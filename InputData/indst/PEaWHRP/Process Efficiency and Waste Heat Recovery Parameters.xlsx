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7.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7520" tabRatio="770" firstSheet="0" activeTab="0" autoFilterDateGrouping="1"/>
  </bookViews>
  <sheets>
    <sheet name="About" sheetId="1" state="visible" r:id="rId1"/>
    <sheet name="hand-maintained inputs" sheetId="2" state="visible" r:id="rId2"/>
    <sheet name="Data" sheetId="3" state="visible" r:id="rId3"/>
    <sheet name="cpi" sheetId="4" state="visible" r:id="rId4"/>
    <sheet name="summary" sheetId="5" state="visible" r:id="rId5"/>
    <sheet name="Kermeli Data" sheetId="6" state="visible" r:id="rId6"/>
    <sheet name="Kermeli SEC" sheetId="7" state="visible" r:id="rId7"/>
    <sheet name="product map" sheetId="8" state="visible" r:id="rId8"/>
    <sheet name="energy base (MECS)" sheetId="9" state="visible" r:id="rId9"/>
    <sheet name="EU Data" sheetId="10" state="visible" r:id="rId10"/>
    <sheet name="economics" sheetId="11" state="visible" r:id="rId11"/>
    <sheet name="fuel-whr" sheetId="12" state="visible" r:id="rId12"/>
    <sheet name="fuel-process" sheetId="13" state="visible" r:id="rId13"/>
    <sheet name="elec-whr" sheetId="14" state="visible" r:id="rId14"/>
    <sheet name="elec-process" sheetId="15" state="visible" r:id="rId15"/>
    <sheet name="validation" sheetId="16" state="visible" r:id="rId16"/>
    <sheet name="dist engine" sheetId="17" state="visible" r:id="rId17"/>
    <sheet name="reconciliation" sheetId="18" state="visible" r:id="rId18"/>
    <sheet name="heat share (src)" sheetId="19" state="visible" r:id="rId19"/>
    <sheet name="BCoISC-WACCbI" sheetId="20" state="visible" r:id="rId20"/>
    <sheet name="WHRPbI" sheetId="21" state="visible" r:id="rId21"/>
    <sheet name="indst heat consumption" sheetId="22" state="visible" r:id="rId22"/>
    <sheet name="src review" sheetId="23" state="visible" r:id="rId23"/>
    <sheet name="PEaWHRP-PMD" sheetId="24" state="visible" r:id="rId24"/>
    <sheet name="PEaWHRP-WMD" sheetId="25" state="visible" r:id="rId25"/>
    <sheet name="PEaWHRP-WM" sheetId="26" state="visible" r:id="rId26"/>
    <sheet name="PEaWHRP-PM" sheetId="27" state="visible" r:id="rId27"/>
  </sheets>
  <externalReferences>
    <externalReference r:id="rId28"/>
    <externalReference r:id="rId29"/>
    <externalReference r:id="rId30"/>
    <externalReference r:id="rId31"/>
    <externalReference r:id="rId32"/>
    <externalReference r:id="rId33"/>
    <externalReference r:id="rId34"/>
  </externalReferences>
  <definedNames>
    <definedName name="a">#REF!</definedName>
    <definedName name="AsphaltStore">[1]Control!$D$50</definedName>
    <definedName name="base.year">#REF!</definedName>
    <definedName name="BaseYear">2018</definedName>
    <definedName name="BTV11_15">#REF!</definedName>
    <definedName name="BVT17_15">#REF!</definedName>
    <definedName name="CAAGR_tolerance">200</definedName>
    <definedName name="CH4_to_CO2e">'[2]Cross-Page Data'!$C$12</definedName>
    <definedName name="CH4GWP">#REF!</definedName>
    <definedName name="CO2_T4_APS">#REF!</definedName>
    <definedName name="CO2_T4_NZE">#REF!</definedName>
    <definedName name="CO2_T4_STEPS">#REF!</definedName>
    <definedName name="CO2_T5_APS">#REF!</definedName>
    <definedName name="CO2_T5_CPS">#REF!</definedName>
    <definedName name="CO2_T5_NZE">#REF!</definedName>
    <definedName name="CO2_T5_STEPS">#REF!</definedName>
    <definedName name="coal.past">#REF!</definedName>
    <definedName name="COAL_PRODUCTION">#REF!</definedName>
    <definedName name="Coal_trade">#REF!</definedName>
    <definedName name="coaldemand">#REF!</definedName>
    <definedName name="CokeCoalStore">[1]Control!$D$63</definedName>
    <definedName name="Constants.Density.Diesel">#REF!</definedName>
    <definedName name="Constants.Density.Ethanol">#REF!</definedName>
    <definedName name="Constants.Density.JetFuel">#REF!</definedName>
    <definedName name="Constants.Density.MotorSpirit">#REF!</definedName>
    <definedName name="ConsumeBlock1">'[1]Default State Energy Data Table'!$A$6:$AM$67</definedName>
    <definedName name="Conversion.to.average.power">#REF!</definedName>
    <definedName name="Conversion.water.L">#REF!</definedName>
    <definedName name="Conversion.water.units">#REF!</definedName>
    <definedName name="Conversions.Area.m2">#REF!</definedName>
    <definedName name="Conversions.Area.Units">#REF!</definedName>
    <definedName name="Conversions.Energy.Joules">#REF!</definedName>
    <definedName name="Conversions.Energy.Units">#REF!</definedName>
    <definedName name="Conversions.Money.GBP">#REF!</definedName>
    <definedName name="Conversions.Money.Units">#REF!</definedName>
    <definedName name="Conversions.Power.Units">#REF!</definedName>
    <definedName name="Conversions.Power.Watts">#REF!</definedName>
    <definedName name="Cost.Capital.Scenario">#REF!</definedName>
    <definedName name="Cost.Finance.Scenario">#REF!</definedName>
    <definedName name="Cost.Fuel.Scenario">#REF!</definedName>
    <definedName name="Cost.Infrastructure.Scenario">#REF!</definedName>
    <definedName name="cpi_2010to2012">#REF!</definedName>
    <definedName name="cpi_2013to2012">#REF!</definedName>
    <definedName name="cpi_2014to2012">#REF!</definedName>
    <definedName name="cpi_2016to2012">#REF!</definedName>
    <definedName name="CreateRegions">#REF!</definedName>
    <definedName name="csp.capacity">#REF!</definedName>
    <definedName name="CSVfilepath">#REF!</definedName>
    <definedName name="D">#REF!</definedName>
    <definedName name="dd">#REF!</definedName>
    <definedName name="ddd">#REF!</definedName>
    <definedName name="ddddd">#REF!</definedName>
    <definedName name="dddddd">#REF!</definedName>
    <definedName name="deflator_year">"$2018"</definedName>
    <definedName name="DeflatorYear">"$2018"</definedName>
    <definedName name="discount_factors">#REF!</definedName>
    <definedName name="DistillStore">[1]Control!$D$51</definedName>
    <definedName name="DW_EDO_022WV">#REF!</definedName>
    <definedName name="DW_EDO_023WV">#REF!</definedName>
    <definedName name="DW_EDO_024WV">#REF!</definedName>
    <definedName name="DW_EDO_C2022">#REF!</definedName>
    <definedName name="DW_EDO_C2023">#REF!</definedName>
    <definedName name="DW_EDO_C2024">#REF!</definedName>
    <definedName name="DW_EDO_C2025">#REF!</definedName>
    <definedName name="DW_ESIO_023WV">#REF!</definedName>
    <definedName name="DW_ESIO_C2022">#REF!</definedName>
    <definedName name="DW_ESIO_C2023">#REF!</definedName>
    <definedName name="DW_ESIO_C2024">#REF!</definedName>
    <definedName name="DW_ESIO_C2025">#REF!</definedName>
    <definedName name="DW_TRADE_C2024">#REF!</definedName>
    <definedName name="DW_TRADE_C2025">#REF!</definedName>
    <definedName name="DWdata">#REF!</definedName>
    <definedName name="ee">#REF!</definedName>
    <definedName name="EF.BlastFurnaceGas.CO2">#REF!</definedName>
    <definedName name="EF.Diesel.CH4">#REF!</definedName>
    <definedName name="EF.Diesel.CO2">#REF!</definedName>
    <definedName name="EF.Diesel.N2O">#REF!</definedName>
    <definedName name="EF.IndustrialCoal.CH4">#REF!</definedName>
    <definedName name="EF.IndustrialCoal.CO2">#REF!</definedName>
    <definedName name="EF.IndustrialCoal.N2O">#REF!</definedName>
    <definedName name="EF.NaturalGas.CH4">#REF!</definedName>
    <definedName name="EF.NaturalGas.CO2">#REF!</definedName>
    <definedName name="EF.NaturalGas.N2O">#REF!</definedName>
    <definedName name="ELEC_T3_APS">#REF!</definedName>
    <definedName name="ELEC_T3_NZE">#REF!</definedName>
    <definedName name="ELEC_T3_STEPS">#REF!</definedName>
    <definedName name="ELEC_T4_APS">#REF!</definedName>
    <definedName name="ELEC_T4_CPS">#REF!</definedName>
    <definedName name="ELEC_T4_NZE">#REF!</definedName>
    <definedName name="ELEC_T4_STEPS">#REF!</definedName>
    <definedName name="esio_other">#REF!</definedName>
    <definedName name="esio_steps">#REF!</definedName>
    <definedName name="EUR16tilEUR15">#REF!</definedName>
    <definedName name="eurdkk">#REF!</definedName>
    <definedName name="ff">#REF!</definedName>
    <definedName name="fff">#REF!</definedName>
    <definedName name="ffff">#REF!</definedName>
    <definedName name="fffffff">#REF!</definedName>
    <definedName name="fffffffffff">#REF!</definedName>
    <definedName name="Floating">#REF!</definedName>
    <definedName name="FloatingPV">#REF!</definedName>
    <definedName name="GAS_PRODUCTION">#REF!</definedName>
    <definedName name="gasdemand">#REF!</definedName>
    <definedName name="GBP">#REF!</definedName>
    <definedName name="gigwatts_to_megawatts">[3]About!$A$31</definedName>
    <definedName name="growth.scenario">#REF!</definedName>
    <definedName name="GWP.CH4">#REF!</definedName>
    <definedName name="GWP.N2O">#REF!</definedName>
    <definedName name="GWPCH4">#REF!</definedName>
    <definedName name="GWPN2O">#REF!</definedName>
    <definedName name="h">#REF!</definedName>
    <definedName name="hh">#REF!</definedName>
    <definedName name="hhhhh">#REF!</definedName>
    <definedName name="hhhhhhhhhhhh">#REF!</definedName>
    <definedName name="I.01">#REF!</definedName>
    <definedName name="I.a.scenario">#REF!</definedName>
    <definedName name="I.b.scenario">#REF!</definedName>
    <definedName name="I.b.scenario.efficiency">#REF!</definedName>
    <definedName name="I.c.scenario">#REF!</definedName>
    <definedName name="I.c.scenario.fuelmix">#REF!</definedName>
    <definedName name="ii">#REF!</definedName>
    <definedName name="II.scenario">#REF!</definedName>
    <definedName name="III.scenario">#REF!</definedName>
    <definedName name="INDIC_T5_APS">#REF!</definedName>
    <definedName name="INDIC_T5_NZE">#REF!</definedName>
    <definedName name="INDIC_T5_STEPS">#REF!</definedName>
    <definedName name="INDIC_T6_APS">#REF!</definedName>
    <definedName name="INDIC_T6_CPS">#REF!</definedName>
    <definedName name="INDIC_T6_NZE">#REF!</definedName>
    <definedName name="INDIC_T6_STEPS">#REF!</definedName>
    <definedName name="input.choice">#REF!</definedName>
    <definedName name="INR">#REF!</definedName>
    <definedName name="INRb">#REF!</definedName>
    <definedName name="INRCr">#REF!</definedName>
    <definedName name="INRLac">#REF!</definedName>
    <definedName name="INR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V.a.scenario">#REF!</definedName>
    <definedName name="IV.b.scenario">#REF!</definedName>
    <definedName name="IV.c.1.scenario">#REF!</definedName>
    <definedName name="iv.c.2.scenario">#REF!</definedName>
    <definedName name="IV.d.scenario">#REF!</definedName>
    <definedName name="IV.e.scenario">#REF!</definedName>
    <definedName name="IV.f.scenario">#REF!</definedName>
    <definedName name="IX.a.scenario">#REF!</definedName>
    <definedName name="jjjjjj">#REF!</definedName>
    <definedName name="LastHistYear">2020</definedName>
    <definedName name="Learning_Rates">#REF!</definedName>
    <definedName name="LPGStore">[1]Control!$D$52</definedName>
    <definedName name="LubeStore">[1]Control!$D$53</definedName>
    <definedName name="MGBP">#REF!</definedName>
    <definedName name="Minesize.xv.b">#REF!</definedName>
    <definedName name="MiscStore">[1]Control!$D$57</definedName>
    <definedName name="MtoeToBcmeq">41.868/36.1</definedName>
    <definedName name="MtoeToTWh">1/0.086</definedName>
    <definedName name="N2O_to_CO2e">'[2]Cross-Page Data'!$C$13</definedName>
    <definedName name="N2OGWP">#REF!</definedName>
    <definedName name="name_dd">#REF!</definedName>
    <definedName name="NaphStore">[1]Control!$D$55</definedName>
    <definedName name="Natural_gas_trade">#REF!</definedName>
    <definedName name="NGStore">[1]Control!$D$64</definedName>
    <definedName name="NonEPercent">'[1]Non-Energy Consump.'!$A$63:$AK$88</definedName>
    <definedName name="nuclear.past">#REF!</definedName>
    <definedName name="Oil_trade">#REF!</definedName>
    <definedName name="oildemand">#REF!</definedName>
    <definedName name="ooooooo">#REF!</definedName>
    <definedName name="oooooooooo">#REF!</definedName>
    <definedName name="OtherOilStore">[1]Control!$D$56</definedName>
    <definedName name="outputFilePath">#REF!</definedName>
    <definedName name="PentanesStore">[1]Control!$D$58</definedName>
    <definedName name="PetCokeStore">[1]Control!$D$59</definedName>
    <definedName name="plantsize.I.b">#REF!</definedName>
    <definedName name="Plantsize.II">#REF!</definedName>
    <definedName name="Plantsize.III">#REF!</definedName>
    <definedName name="plantsize.iv.a">#REF!</definedName>
    <definedName name="plantsize.iv.b">#REF!</definedName>
    <definedName name="Plantsize.iv.c.1">#REF!</definedName>
    <definedName name="plantsize.iv.c.2">#REF!</definedName>
    <definedName name="plantsize.iv.d">#REF!</definedName>
    <definedName name="Poloris">#REF!</definedName>
    <definedName name="ppppp">#REF!</definedName>
    <definedName name="pppppppppp">#REF!</definedName>
    <definedName name="pppppppppppp">#REF!</definedName>
    <definedName name="predefined.scenario">#REF!</definedName>
    <definedName name="Preferences.AreaUnits">#REF!</definedName>
    <definedName name="preferences.energyunits">#REF!</definedName>
    <definedName name="Preferences.moneyunits">#REF!</definedName>
    <definedName name="Preferences.PowerUnits">#REF!</definedName>
    <definedName name="Preferences.Unit.Energy">#REF!</definedName>
    <definedName name="Preferences.Unit.Power">#REF!</definedName>
    <definedName name="Preferences.waterunit">#REF!</definedName>
    <definedName name="Print_Area_MI">#REF!</definedName>
    <definedName name="PublicationCSV">OFFSET(#REF!,0,0,COUNTA(#REF!),2)</definedName>
    <definedName name="qq">#REF!</definedName>
    <definedName name="Reliability.scenario">#REF!</definedName>
    <definedName name="ResidStore">[1]Control!$D$54</definedName>
    <definedName name="RoundFactorLong">4</definedName>
    <definedName name="RoundFactorMed">3</definedName>
    <definedName name="RoundFactorShort">3</definedName>
    <definedName name="rr">#REF!</definedName>
    <definedName name="ScenariosCSV">OFFSET(#REF!,0,0,COUNTA(#REF!),3)</definedName>
    <definedName name="SCN_1">#REF!</definedName>
    <definedName name="SCN_1LABEL">#REF!</definedName>
    <definedName name="SCN_1LABELFLAT">#REF!</definedName>
    <definedName name="SCN_1SHORT">#REF!</definedName>
    <definedName name="SCN_2">#REF!</definedName>
    <definedName name="SCN_2LABEL">#REF!</definedName>
    <definedName name="SCN_2LABELFLAT">#REF!</definedName>
    <definedName name="SCN_2SHORT">#REF!</definedName>
    <definedName name="SCN_3">#REF!</definedName>
    <definedName name="SCN_3LABEL">#REF!</definedName>
    <definedName name="SCN_3LABELFLAT">#REF!</definedName>
    <definedName name="SCN_HIST">#REF!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27">#REF!</definedName>
    <definedName name="sheet28">#REF!</definedName>
    <definedName name="sheet29">#REF!</definedName>
    <definedName name="sheet3">#REF!</definedName>
    <definedName name="sheet30">#REF!</definedName>
    <definedName name="sheet31">#REF!</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#REF!</definedName>
    <definedName name="sheet5">#REF!</definedName>
    <definedName name="sheet6">#REF!</definedName>
    <definedName name="sheet7">#REF!</definedName>
    <definedName name="sheet8">#REF!</definedName>
    <definedName name="sheet9">#REF!</definedName>
    <definedName name="SheetsToCreate">#REF!</definedName>
    <definedName name="small_hydro.capacity">#REF!</definedName>
    <definedName name="SmallestNonZeroValue">0.00001</definedName>
    <definedName name="SpecialStore">[1]Control!$D$61</definedName>
    <definedName name="SQL_connection_name">#REF!</definedName>
    <definedName name="SQL_statement">#REF!</definedName>
    <definedName name="Start100">#REF!</definedName>
    <definedName name="Start101">#REF!</definedName>
    <definedName name="Start102">#REF!</definedName>
    <definedName name="Start103">#REF!</definedName>
    <definedName name="Start105">#REF!</definedName>
    <definedName name="Start106">#REF!</definedName>
    <definedName name="Start109">#REF!</definedName>
    <definedName name="Start110">#REF!</definedName>
    <definedName name="Start13">#REF!</definedName>
    <definedName name="Start14">#REF!</definedName>
    <definedName name="Start15">#REF!</definedName>
    <definedName name="Start16">#REF!</definedName>
    <definedName name="Start17">#REF!</definedName>
    <definedName name="Start18">#REF!</definedName>
    <definedName name="Start19">#REF!</definedName>
    <definedName name="Start20">#REF!</definedName>
    <definedName name="Start21">#REF!</definedName>
    <definedName name="Start22">#REF!</definedName>
    <definedName name="Start23">#REF!</definedName>
    <definedName name="Start24">#REF!</definedName>
    <definedName name="Start25">#REF!</definedName>
    <definedName name="Start26">#REF!</definedName>
    <definedName name="Start27">#REF!</definedName>
    <definedName name="Start28">#REF!</definedName>
    <definedName name="Start29">#REF!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illStore">[1]Control!$D$60</definedName>
    <definedName name="StorageFactor">'[1]List Data'!$E$19:$F$54</definedName>
    <definedName name="SumTolerance">0.005</definedName>
    <definedName name="SyntheticNG">[1]SNG!$A$7:$AK$59</definedName>
    <definedName name="target.year">#REF!</definedName>
    <definedName name="TES_T1_APS">#REF!</definedName>
    <definedName name="TES_T1_CPS">#REF!</definedName>
    <definedName name="TES_T1_NZE">#REF!</definedName>
    <definedName name="TES_T1_STEPS">#REF!</definedName>
    <definedName name="TFC_T2_APS">#REF!</definedName>
    <definedName name="TFC_T2_CPS">#REF!</definedName>
    <definedName name="TFC_T2_NZE">#REF!</definedName>
    <definedName name="TFC_T2_STEPS">#REF!</definedName>
    <definedName name="TFC_T3_APS">#REF!</definedName>
    <definedName name="TFC_T3_CPS">#REF!</definedName>
    <definedName name="TFC_T3_NZE">#REF!</definedName>
    <definedName name="TFC_T3_STEPS">#REF!</definedName>
    <definedName name="tt">#REF!</definedName>
    <definedName name="Unit.acre">#REF!</definedName>
    <definedName name="unit.bcm">#REF!</definedName>
    <definedName name="Unit.boe">#REF!</definedName>
    <definedName name="Unit.calorie">#REF!</definedName>
    <definedName name="Unit.day">#REF!</definedName>
    <definedName name="Unit.GJ">#REF!</definedName>
    <definedName name="Unit.GW">#REF!</definedName>
    <definedName name="Unit.GWh">#REF!</definedName>
    <definedName name="Unit.ha">#REF!</definedName>
    <definedName name="Unit.hour">#REF!</definedName>
    <definedName name="Unit.J">#REF!</definedName>
    <definedName name="unit.kcng">#REF!</definedName>
    <definedName name="unit.kgb">#REF!</definedName>
    <definedName name="unit.kgce">#REF!</definedName>
    <definedName name="unit.kghe">#REF!</definedName>
    <definedName name="unit.kglpge">#REF!</definedName>
    <definedName name="Unit.km2">#REF!</definedName>
    <definedName name="Unit.kW">#REF!</definedName>
    <definedName name="Unit.kWh">#REF!</definedName>
    <definedName name="unit.L">#REF!</definedName>
    <definedName name="unit.latfe">#REF!</definedName>
    <definedName name="unit.lcng">#REF!</definedName>
    <definedName name="unit.lde">#REF!</definedName>
    <definedName name="unit.lke">#REF!</definedName>
    <definedName name="unit.lpe">#REF!</definedName>
    <definedName name="Unit.m2">#REF!</definedName>
    <definedName name="Unit.m3">#REF!</definedName>
    <definedName name="unit.MCM">#REF!</definedName>
    <definedName name="Unit.minute">#REF!</definedName>
    <definedName name="Unit.MJ">#REF!</definedName>
    <definedName name="unit.mmbtu">#REF!</definedName>
    <definedName name="unit.mmscm">#REF!</definedName>
    <definedName name="unit.mtcce">#REF!</definedName>
    <definedName name="Unit.Mtce">#REF!</definedName>
    <definedName name="unit.mtde">#REF!</definedName>
    <definedName name="unit.mticce">#REF!</definedName>
    <definedName name="unit.mtice">#REF!</definedName>
    <definedName name="unit.mtle">#REF!</definedName>
    <definedName name="Unit.Mtoe">#REF!</definedName>
    <definedName name="Unit.MW">#REF!</definedName>
    <definedName name="Unit.MWh">#REF!</definedName>
    <definedName name="Unit.PJ">#REF!</definedName>
    <definedName name="unit.scm">#REF!</definedName>
    <definedName name="unit.scmb">#REF!</definedName>
    <definedName name="unit.tce">#REF!</definedName>
    <definedName name="unit.ticce">#REF!</definedName>
    <definedName name="unit.tice">#REF!</definedName>
    <definedName name="Unit.TJ">#REF!</definedName>
    <definedName name="Unit.toe">#REF!</definedName>
    <definedName name="Unit.TWh">#REF!</definedName>
    <definedName name="Unit.W">#REF!</definedName>
    <definedName name="Unit.year">#REF!</definedName>
    <definedName name="unit_conv">[4]About!$A$123</definedName>
    <definedName name="USD_Bn">#REF!</definedName>
    <definedName name="USD_mn">#REF!</definedName>
    <definedName name="USD2012_">#REF!</definedName>
    <definedName name="uu">#REF!</definedName>
    <definedName name="uuuuuuuuuuuuu">#REF!</definedName>
    <definedName name="v.a.scenario">#REF!</definedName>
    <definedName name="V.b.scenario">#REF!</definedName>
    <definedName name="V.c.scenario">#REF!</definedName>
    <definedName name="VI.a.scenario">#REF!</definedName>
    <definedName name="VII.a.scenario">#REF!</definedName>
    <definedName name="VII.b.scenario">#REF!</definedName>
    <definedName name="WaxesStore">[1]Control!$D$62</definedName>
    <definedName name="WEO23_Scenarios">#REF!</definedName>
    <definedName name="World_investments">#REF!</definedName>
    <definedName name="ww">#REF!</definedName>
    <definedName name="X.a.economy">#REF!</definedName>
    <definedName name="X.a.epi">#REF!</definedName>
    <definedName name="X.a.floorspace">#REF!</definedName>
    <definedName name="X.b.ac">#REF!</definedName>
    <definedName name="X.b.ecbc">#REF!</definedName>
    <definedName name="x.b.floorspace">#REF!</definedName>
    <definedName name="XI.cement.fuel">#REF!</definedName>
    <definedName name="XI.fuelmix">#REF!</definedName>
    <definedName name="XI.scenario">#REF!</definedName>
    <definedName name="XI.steel.fuel">#REF!</definedName>
    <definedName name="XII.a.scenario">#REF!</definedName>
    <definedName name="XII.a.scenario.EVs">#REF!</definedName>
    <definedName name="XII.a.scenario.mode">#REF!</definedName>
    <definedName name="XII.a.scenario.pub_pri">#REF!</definedName>
    <definedName name="XII.b.mode">#REF!</definedName>
    <definedName name="XII.b.scenario">#REF!</definedName>
    <definedName name="XIII.a.chulhas">#REF!</definedName>
    <definedName name="XIII.a.scenario.fuelsplit">#REF!</definedName>
    <definedName name="XIII.b">#REF!</definedName>
    <definedName name="XIV.scenario">#REF!</definedName>
    <definedName name="XIV.scenario.fuelsplit">#REF!</definedName>
    <definedName name="xv.a.scenario">#REF!</definedName>
    <definedName name="xv.b.scenario">#REF!</definedName>
    <definedName name="XV.c.scenario">#REF!</definedName>
    <definedName name="xvi.scenario.fuelsplit">#REF!</definedName>
    <definedName name="YEAR_BASE">#REF!</definedName>
    <definedName name="YEAR_HIST1">#REF!</definedName>
    <definedName name="YEAR_HIST2">#REF!</definedName>
    <definedName name="YEAR_HIST3">#REF!</definedName>
    <definedName name="YEAR_PROJECTION1">#REF!</definedName>
    <definedName name="YEAR_PROJECTION2">#REF!</definedName>
    <definedName name="YEAR_PROJECTION3">#REF!</definedName>
    <definedName name="YEAR_PROJECTION4">#REF!</definedName>
    <definedName name="YEAR_PROJECTION5">#REF!</definedName>
    <definedName name="YearsCSV">OFFSET(#REF!,0,0,COUNTA(#REF!),1)</definedName>
    <definedName name="YearShownOnGraphsSelector" comment="Used in VBA macro to update time-series graphs">'[5]User Settings'!$B$5</definedName>
    <definedName name="YearShownOnGraphsSelector2" comment="Used in VBA macro to update time-series graphs">'[6]User Settings'!$B$5</definedName>
    <definedName name="yy">#REF!</definedName>
  </definedNames>
  <calcPr calcId="191029" fullCalcOnLoad="1"/>
</workbook>
</file>

<file path=xl/styles.xml><?xml version="1.0" encoding="utf-8"?>
<styleSheet xmlns="http://schemas.openxmlformats.org/spreadsheetml/2006/main">
  <numFmts count="9">
    <numFmt numFmtId="164" formatCode="0.0"/>
    <numFmt numFmtId="165" formatCode="0.0000"/>
    <numFmt numFmtId="166" formatCode="0.000"/>
    <numFmt numFmtId="167" formatCode="0.0%"/>
    <numFmt numFmtId="168" formatCode="#,##0.0"/>
    <numFmt numFmtId="169" formatCode="&quot;$&quot;0"/>
    <numFmt numFmtId="170" formatCode="0.0000%"/>
    <numFmt numFmtId="171" formatCode="#0.0"/>
    <numFmt numFmtId="172" formatCode="#0.000"/>
  </numFmts>
  <fonts count="41">
    <font>
      <name val="Calibri"/>
      <family val="2"/>
      <color theme="1"/>
      <sz val="11"/>
      <scheme val="minor"/>
    </font>
    <font>
      <name val="Calibri"/>
      <family val="2"/>
      <b val="1"/>
      <color theme="1"/>
      <sz val="11"/>
      <scheme val="minor"/>
    </font>
    <font>
      <name val="Calibri"/>
      <family val="2"/>
      <b val="1"/>
      <color theme="1"/>
      <sz val="9"/>
      <scheme val="minor"/>
    </font>
    <font>
      <name val="Calibri"/>
      <family val="2"/>
      <color theme="1"/>
      <sz val="9"/>
      <scheme val="minor"/>
    </font>
    <font>
      <name val="Calibri"/>
      <family val="2"/>
      <b val="1"/>
      <color theme="4"/>
      <sz val="12"/>
      <scheme val="minor"/>
    </font>
    <font>
      <name val="Calibri"/>
      <family val="2"/>
      <color theme="1"/>
      <sz val="11"/>
      <scheme val="minor"/>
    </font>
    <font>
      <name val="Helv"/>
      <sz val="12"/>
    </font>
    <font>
      <name val="Calibri"/>
      <family val="2"/>
      <b val="1"/>
      <color indexed="8"/>
      <sz val="9"/>
    </font>
    <font>
      <name val="Calibri"/>
      <family val="2"/>
      <color indexed="8"/>
      <sz val="9"/>
    </font>
    <font>
      <name val="Calibri"/>
      <family val="2"/>
      <b val="1"/>
      <color indexed="30"/>
      <sz val="12"/>
    </font>
    <font>
      <name val="Calibri"/>
      <family val="2"/>
      <color theme="0"/>
      <sz val="11"/>
      <scheme val="minor"/>
    </font>
    <font>
      <name val="Calibri"/>
      <family val="2"/>
      <color rgb="FF9C6500"/>
      <sz val="11"/>
      <scheme val="minor"/>
    </font>
    <font>
      <name val="Calibri"/>
      <family val="2"/>
      <color theme="1"/>
      <sz val="10"/>
    </font>
    <font>
      <name val="Calibri"/>
      <family val="2"/>
      <color rgb="FF000000"/>
      <sz val="10"/>
      <scheme val="minor"/>
    </font>
    <font>
      <name val="Calibri"/>
      <family val="2"/>
      <color theme="10"/>
      <sz val="11"/>
      <u val="single"/>
      <scheme val="minor"/>
    </font>
    <font>
      <name val="Verdana"/>
      <family val="2"/>
      <sz val="9"/>
    </font>
    <font>
      <name val="Calibri"/>
      <family val="2"/>
      <color rgb="FF000000"/>
      <sz val="9"/>
    </font>
    <font>
      <name val="Calibri"/>
      <family val="2"/>
      <color theme="1"/>
      <sz val="9"/>
    </font>
    <font>
      <name val="Calibri"/>
      <family val="2"/>
      <i val="1"/>
      <color theme="1"/>
      <sz val="11"/>
      <scheme val="minor"/>
    </font>
    <font>
      <name val="Calibri"/>
      <family val="2"/>
      <b val="1"/>
      <color theme="1"/>
      <sz val="12"/>
      <scheme val="minor"/>
    </font>
    <font>
      <name val="Calibri"/>
      <family val="2"/>
      <b val="1"/>
      <color theme="1"/>
      <sz val="14"/>
      <scheme val="minor"/>
    </font>
    <font>
      <name val="Calibri"/>
      <family val="2"/>
      <b val="1"/>
      <color rgb="FF000000"/>
      <sz val="9"/>
    </font>
    <font>
      <name val="Calibri"/>
      <family val="2"/>
      <color rgb="FF0000FF"/>
      <sz val="11"/>
      <scheme val="minor"/>
    </font>
    <font>
      <name val="Arial"/>
      <family val="2"/>
      <b val="1"/>
      <color rgb="FF222222"/>
      <sz val="11"/>
    </font>
    <font>
      <name val="Arial"/>
      <family val="2"/>
      <color rgb="FF222222"/>
      <sz val="11"/>
    </font>
    <font>
      <name val="Calibri"/>
      <family val="2"/>
      <color theme="1"/>
      <sz val="11"/>
    </font>
    <font>
      <name val="Calibri"/>
      <family val="2"/>
      <b val="1"/>
      <color rgb="FF000000"/>
      <sz val="11"/>
    </font>
    <font>
      <name val="Calibri"/>
      <family val="2"/>
      <b val="1"/>
      <color theme="1"/>
      <sz val="11"/>
    </font>
    <font>
      <name val="Calibri"/>
      <family val="2"/>
      <color rgb="FFFF0000"/>
      <sz val="11"/>
      <scheme val="minor"/>
    </font>
    <font>
      <name val="Calibri"/>
      <family val="2"/>
      <color rgb="FF0000FF"/>
      <sz val="11"/>
      <u val="single"/>
      <scheme val="minor"/>
    </font>
    <font>
      <name val="Tahoma"/>
      <charset val="1"/>
      <color indexed="81"/>
      <sz val="9"/>
    </font>
    <font>
      <name val="Tahoma"/>
      <charset val="1"/>
      <b val="1"/>
      <color indexed="81"/>
      <sz val="9"/>
    </font>
    <font>
      <name val="Calibri"/>
      <family val="2"/>
      <b val="1"/>
      <color rgb="FFFF0000"/>
      <sz val="12"/>
      <scheme val="minor"/>
    </font>
    <font>
      <name val="Calibri"/>
      <family val="2"/>
      <color rgb="FF008000"/>
      <sz val="11"/>
      <scheme val="minor"/>
    </font>
    <font>
      <name val="Calibri"/>
      <family val="2"/>
      <b val="1"/>
      <color rgb="FFFF0000"/>
      <sz val="11"/>
      <scheme val="minor"/>
    </font>
    <font>
      <name val="Calibri"/>
      <family val="2"/>
      <color rgb="FF008000"/>
      <sz val="9"/>
    </font>
    <font>
      <name val="Calibri"/>
      <family val="2"/>
      <b val="1"/>
      <color rgb="FF008000"/>
      <sz val="12"/>
      <scheme val="minor"/>
    </font>
    <font>
      <name val="Arial"/>
      <family val="2"/>
      <color indexed="8"/>
      <sz val="10"/>
    </font>
    <font>
      <name val="Calibri"/>
      <family val="2"/>
      <b val="1"/>
      <color rgb="FF008000"/>
      <sz val="11"/>
      <scheme val="minor"/>
    </font>
    <font>
      <b val="1"/>
    </font>
    <font>
      <b val="1"/>
      <sz val="13"/>
    </font>
  </fonts>
  <fills count="36">
    <fill>
      <patternFill/>
    </fill>
    <fill>
      <patternFill patternType="gray125"/>
    </fill>
    <fill>
      <patternFill patternType="solid">
        <fgColor theme="0" tint="-0.249977111117893"/>
        <bgColor indexed="64"/>
      </patternFill>
    </fill>
    <fill>
      <patternFill patternType="solid">
        <fgColor rgb="FFFFEB9C"/>
      </patternFill>
    </fill>
    <fill>
      <patternFill patternType="solid">
        <fgColor rgb="FFFFFFCC"/>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0" tint="-0.1499984740745262"/>
        <bgColor indexed="64"/>
      </patternFill>
    </fill>
    <fill>
      <patternFill patternType="solid">
        <fgColor theme="2" tint="-0.09997863704336681"/>
        <bgColor indexed="64"/>
      </patternFill>
    </fill>
    <fill>
      <patternFill patternType="solid">
        <fgColor rgb="FFFFFF00"/>
        <bgColor indexed="64"/>
      </patternFill>
    </fill>
    <fill>
      <patternFill patternType="solid">
        <fgColor rgb="FFFFFFFF"/>
        <bgColor indexed="64"/>
      </patternFill>
    </fill>
    <fill>
      <patternFill patternType="solid">
        <fgColor rgb="FFD9D9D9"/>
        <bgColor indexed="64"/>
      </patternFill>
    </fill>
    <fill>
      <patternFill patternType="solid">
        <fgColor rgb="FFD9E1F2"/>
        <bgColor indexed="64"/>
      </patternFill>
    </fill>
    <fill>
      <patternFill patternType="solid">
        <fgColor rgb="FFBFBFBF"/>
        <bgColor indexed="64"/>
      </patternFill>
    </fill>
    <fill>
      <patternFill patternType="solid">
        <fgColor rgb="FF92D050"/>
        <bgColor rgb="FF000000"/>
      </patternFill>
    </fill>
    <fill>
      <patternFill patternType="solid">
        <fgColor rgb="FFBFBFBF"/>
        <bgColor rgb="FF000000"/>
      </patternFill>
    </fill>
    <fill>
      <patternFill patternType="solid">
        <fgColor rgb="FFF2F2F2"/>
        <bgColor rgb="FF000000"/>
      </patternFill>
    </fill>
    <fill>
      <patternFill patternType="solid">
        <fgColor rgb="FFFFC7CE"/>
        <bgColor indexed="64"/>
      </patternFill>
    </fill>
    <fill>
      <patternFill patternType="solid">
        <fgColor rgb="FFFFF2CC"/>
        <bgColor indexed="64"/>
      </patternFill>
    </fill>
    <fill>
      <patternFill patternType="solid">
        <fgColor rgb="FFF4B183"/>
        <bgColor indexed="64"/>
      </patternFill>
    </fill>
  </fills>
  <borders count="64">
    <border>
      <left/>
      <right/>
      <top/>
      <bottom/>
      <diagonal/>
    </border>
    <border>
      <left/>
      <right/>
      <top/>
      <bottom style="thick">
        <color theme="4"/>
      </bottom>
      <diagonal/>
    </border>
    <border>
      <left/>
      <right/>
      <top/>
      <bottom style="dashed">
        <color theme="0" tint="-0.249946592608417"/>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
      </bottom>
      <diagonal/>
    </border>
    <border>
      <left/>
      <right/>
      <top style="thin">
        <color theme="4"/>
      </top>
      <bottom style="thin">
        <color theme="0" tint="-0.249946592608417"/>
      </bottom>
      <diagonal/>
    </border>
    <border>
      <left style="thick">
        <color theme="0"/>
      </left>
      <right style="thick">
        <color theme="0"/>
      </right>
      <top/>
      <bottom style="thin">
        <color theme="0" tint="-0.249946592608417"/>
      </bottom>
      <diagonal/>
    </border>
    <border>
      <left/>
      <right/>
      <top/>
      <bottom style="dashed">
        <color rgb="FFBFBFBF"/>
      </bottom>
      <diagonal/>
    </border>
    <border>
      <left/>
      <right/>
      <top/>
      <bottom style="thin">
        <color rgb="FFBFBFBF"/>
      </bottom>
      <diagonal/>
    </border>
    <border>
      <left/>
      <right/>
      <top/>
      <bottom style="thick">
        <color rgb="FF0096D7"/>
      </bottom>
      <diagonal/>
    </border>
    <border>
      <left/>
      <right/>
      <top style="medium">
        <color rgb="FF0096D7"/>
      </top>
      <bottom/>
      <diagonal/>
    </border>
    <border>
      <left style="thin">
        <color rgb="FFB2B2B2"/>
      </left>
      <right style="thin">
        <color rgb="FFB2B2B2"/>
      </right>
      <top style="thin">
        <color rgb="FFB2B2B2"/>
      </top>
      <bottom style="thin">
        <color rgb="FFB2B2B2"/>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7F7F7F"/>
      </bottom>
      <diagonal/>
    </border>
    <border>
      <left/>
      <right/>
      <top style="medium">
        <color indexed="64"/>
      </top>
      <bottom style="medium">
        <color rgb="FF7F7F7F"/>
      </bottom>
      <diagonal/>
    </border>
    <border>
      <left/>
      <right/>
      <top style="medium">
        <color rgb="FF7F7F7F"/>
      </top>
      <bottom style="medium">
        <color indexed="64"/>
      </bottom>
      <diagonal/>
    </border>
    <border>
      <left/>
      <right/>
      <top style="medium">
        <color rgb="FF7F7F7F"/>
      </top>
      <bottom style="medium">
        <color rgb="FF7F7F7F"/>
      </bottom>
      <diagonal/>
    </border>
    <border>
      <left/>
      <right/>
      <top/>
      <bottom style="thick">
        <color indexed="64"/>
      </bottom>
      <diagonal/>
    </border>
    <border>
      <left/>
      <right/>
      <top/>
      <bottom style="medium">
        <color indexed="64"/>
      </bottom>
      <diagonal/>
    </border>
    <border>
      <left/>
      <right/>
      <top style="medium">
        <color rgb="FF7F7F7F"/>
      </top>
      <bottom style="thick">
        <color indexed="64"/>
      </bottom>
      <diagonal/>
    </border>
    <border>
      <left/>
      <right/>
      <top style="medium">
        <color rgb="FF7F7F7F"/>
      </top>
      <bottom/>
      <diagonal/>
    </border>
    <border>
      <left/>
      <right/>
      <top/>
      <bottom style="double">
        <color indexed="64"/>
      </bottom>
      <diagonal/>
    </border>
    <border>
      <left/>
      <right/>
      <top/>
      <bottom style="medium">
        <color rgb="FFFFFFFF"/>
      </bottom>
      <diagonal/>
    </border>
    <border>
      <left/>
      <right style="medium">
        <color rgb="FFD5D5D5"/>
      </right>
      <top/>
      <bottom style="thick">
        <color rgb="FF01324B"/>
      </bottom>
      <diagonal/>
    </border>
    <border>
      <left/>
      <right style="medium">
        <color rgb="FFD5D5D5"/>
      </right>
      <top/>
      <bottom/>
      <diagonal/>
    </border>
    <border>
      <left/>
      <right style="medium">
        <color rgb="FFD5D5D5"/>
      </right>
      <top/>
      <bottom style="medium">
        <color rgb="FFDADADA"/>
      </bottom>
      <diagonal/>
    </border>
    <border>
      <left style="medium">
        <color rgb="FFD5D5D5"/>
      </left>
      <right style="medium">
        <color rgb="FFD5D5D5"/>
      </right>
      <top style="medium">
        <color rgb="FFD5D5D5"/>
      </top>
      <bottom/>
      <diagonal/>
    </border>
    <border>
      <left/>
      <right style="medium">
        <color rgb="FFD5D5D5"/>
      </right>
      <top style="medium">
        <color rgb="FFD5D5D5"/>
      </top>
      <bottom/>
      <diagonal/>
    </border>
    <border>
      <left style="medium">
        <color rgb="FFD5D5D5"/>
      </left>
      <right style="medium">
        <color rgb="FFD5D5D5"/>
      </right>
      <top/>
      <bottom/>
      <diagonal/>
    </border>
    <border>
      <left style="medium">
        <color rgb="FFD5D5D5"/>
      </left>
      <right style="medium">
        <color rgb="FFD5D5D5"/>
      </right>
      <top/>
      <bottom style="thick">
        <color rgb="FF01324B"/>
      </bottom>
      <diagonal/>
    </border>
    <border>
      <left style="medium">
        <color rgb="FFD5D5D5"/>
      </left>
      <right style="medium">
        <color rgb="FFD5D5D5"/>
      </right>
      <top/>
      <bottom style="medium">
        <color rgb="FFDADADA"/>
      </bottom>
      <diagonal/>
    </border>
    <border>
      <left style="medium">
        <color rgb="FFD5D5D5"/>
      </left>
      <right style="medium">
        <color rgb="FFD5D5D5"/>
      </right>
      <top/>
      <bottom style="medium">
        <color rgb="FFD5D5D5"/>
      </bottom>
      <diagonal/>
    </border>
    <border>
      <left/>
      <right style="medium">
        <color rgb="FFD5D5D5"/>
      </right>
      <top/>
      <bottom style="medium">
        <color rgb="FFD5D5D5"/>
      </bottom>
      <diagonal/>
    </border>
    <border>
      <left style="medium">
        <color rgb="FFD5D5D5"/>
      </left>
      <right/>
      <top/>
      <bottom/>
      <diagonal/>
    </border>
    <border>
      <left style="medium">
        <color rgb="FFD5D5D5"/>
      </left>
      <right/>
      <top/>
      <bottom style="thick">
        <color rgb="FF01324B"/>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theme="0" tint="-0.1499984740745262"/>
      </right>
      <top style="thin">
        <color theme="0" tint="-0.1499984740745262"/>
      </top>
      <bottom style="thin">
        <color theme="0" tint="-0.1499984740745262"/>
      </bottom>
      <diagonal/>
    </border>
    <border>
      <left style="thin">
        <color theme="0" tint="-0.1499984740745262"/>
      </left>
      <right style="thin">
        <color theme="0" tint="-0.1499984740745262"/>
      </right>
      <top style="thin">
        <color theme="0" tint="-0.1499984740745262"/>
      </top>
      <bottom style="thin">
        <color theme="0" tint="-0.1499984740745262"/>
      </bottom>
      <diagonal/>
    </border>
    <border>
      <left style="thin">
        <color theme="0" tint="-0.1499984740745262"/>
      </left>
      <right style="medium">
        <color theme="1"/>
      </right>
      <top style="thin">
        <color theme="0" tint="-0.1499984740745262"/>
      </top>
      <bottom style="thin">
        <color theme="0" tint="-0.1499984740745262"/>
      </bottom>
      <diagonal/>
    </border>
    <border>
      <left style="medium">
        <color theme="1"/>
      </left>
      <right style="thin">
        <color theme="0" tint="-0.1499984740745262"/>
      </right>
      <top style="thin">
        <color theme="0" tint="-0.1499984740745262"/>
      </top>
      <bottom style="medium">
        <color theme="1"/>
      </bottom>
      <diagonal/>
    </border>
    <border>
      <left style="thin">
        <color theme="0" tint="-0.1499984740745262"/>
      </left>
      <right style="thin">
        <color theme="0" tint="-0.1499984740745262"/>
      </right>
      <top style="thin">
        <color theme="0" tint="-0.1499984740745262"/>
      </top>
      <bottom style="medium">
        <color theme="1"/>
      </bottom>
      <diagonal/>
    </border>
    <border>
      <left style="thin">
        <color theme="0" tint="-0.1499984740745262"/>
      </left>
      <right style="medium">
        <color theme="1"/>
      </right>
      <top style="thin">
        <color theme="0" tint="-0.1499984740745262"/>
      </top>
      <bottom style="medium">
        <color theme="1"/>
      </bottom>
      <diagonal/>
    </border>
    <border>
      <left style="medium">
        <color indexed="64"/>
      </left>
      <right style="medium">
        <color indexed="64"/>
      </right>
      <top style="medium">
        <color indexed="64"/>
      </top>
      <bottom style="medium">
        <color indexed="64"/>
      </bottom>
      <diagonal/>
    </border>
    <border>
      <left style="medium">
        <color rgb="FFD5D5D5"/>
      </left>
      <right style="medium">
        <color rgb="FFD5D5D5"/>
      </right>
      <top style="medium">
        <color rgb="FFD5D5D5"/>
      </top>
      <bottom style="thick">
        <color rgb="FF01324B"/>
      </bottom>
      <diagonal/>
    </border>
    <border>
      <left style="medium">
        <color theme="1"/>
      </left>
      <right style="medium">
        <color theme="1"/>
      </right>
      <top style="medium">
        <color theme="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
      <left/>
      <right style="medium">
        <color indexed="64"/>
      </right>
      <top style="medium">
        <color indexed="64"/>
      </top>
      <bottom/>
      <diagonal/>
    </border>
    <border>
      <left/>
      <right/>
      <top style="medium">
        <color rgb="FFD5D5D5"/>
      </top>
      <bottom/>
      <diagonal/>
    </border>
  </borders>
  <cellStyleXfs count="72">
    <xf numFmtId="0" fontId="5" fillId="0" borderId="0"/>
    <xf numFmtId="0" fontId="2" fillId="0" borderId="1" applyAlignment="1">
      <alignment wrapText="1"/>
    </xf>
    <xf numFmtId="0" fontId="3" fillId="0" borderId="2" applyAlignment="1">
      <alignment wrapText="1"/>
    </xf>
    <xf numFmtId="0" fontId="2" fillId="0" borderId="7" applyAlignment="1">
      <alignment horizontal="left" wrapText="1"/>
    </xf>
    <xf numFmtId="0" fontId="2" fillId="0" borderId="6" applyAlignment="1">
      <alignment wrapText="1"/>
    </xf>
    <xf numFmtId="0" fontId="2" fillId="0" borderId="4" applyAlignment="1">
      <alignment wrapText="1"/>
    </xf>
    <xf numFmtId="0" fontId="3" fillId="0" borderId="3" applyAlignment="1">
      <alignment vertical="top" wrapText="1"/>
    </xf>
    <xf numFmtId="0" fontId="3" fillId="0" borderId="5" applyAlignment="1">
      <alignment wrapText="1"/>
    </xf>
    <xf numFmtId="0" fontId="3" fillId="0" borderId="0"/>
    <xf numFmtId="0" fontId="3" fillId="0" borderId="0" applyAlignment="1">
      <alignment vertical="top" wrapText="1"/>
    </xf>
    <xf numFmtId="0" fontId="4" fillId="0" borderId="0" applyAlignment="1">
      <alignment horizontal="left"/>
    </xf>
    <xf numFmtId="0" fontId="6" fillId="0" borderId="0"/>
    <xf numFmtId="0" fontId="6" fillId="0" borderId="0"/>
    <xf numFmtId="0" fontId="6" fillId="0" borderId="0"/>
    <xf numFmtId="0" fontId="6" fillId="0" borderId="0"/>
    <xf numFmtId="0" fontId="5" fillId="0" borderId="0"/>
    <xf numFmtId="9" fontId="5" fillId="0" borderId="0"/>
    <xf numFmtId="0" fontId="8" fillId="0" borderId="0"/>
    <xf numFmtId="0" fontId="8" fillId="0" borderId="0"/>
    <xf numFmtId="0" fontId="7" fillId="0" borderId="10" applyAlignment="1">
      <alignment wrapText="1"/>
    </xf>
    <xf numFmtId="0" fontId="9" fillId="0" borderId="0" applyAlignment="1">
      <alignment horizontal="left"/>
    </xf>
    <xf numFmtId="0" fontId="7" fillId="0" borderId="9" applyAlignment="1">
      <alignment wrapText="1"/>
    </xf>
    <xf numFmtId="0" fontId="8" fillId="0" borderId="8" applyAlignment="1">
      <alignment wrapText="1"/>
    </xf>
    <xf numFmtId="0" fontId="8" fillId="0" borderId="11" applyAlignment="1">
      <alignment wrapText="1"/>
    </xf>
    <xf numFmtId="0" fontId="11" fillId="3" borderId="0"/>
    <xf numFmtId="0" fontId="10" fillId="7" borderId="0"/>
    <xf numFmtId="0" fontId="10" fillId="10" borderId="0"/>
    <xf numFmtId="0" fontId="10" fillId="13" borderId="0"/>
    <xf numFmtId="0" fontId="10" fillId="16" borderId="0"/>
    <xf numFmtId="0" fontId="10" fillId="19" borderId="0"/>
    <xf numFmtId="0" fontId="10" fillId="22" borderId="0"/>
    <xf numFmtId="0" fontId="5" fillId="4" borderId="12"/>
    <xf numFmtId="0" fontId="5" fillId="5" borderId="0"/>
    <xf numFmtId="0" fontId="5" fillId="6" borderId="0"/>
    <xf numFmtId="0" fontId="5" fillId="8" borderId="0"/>
    <xf numFmtId="0" fontId="5" fillId="9" borderId="0"/>
    <xf numFmtId="0" fontId="5" fillId="11" borderId="0"/>
    <xf numFmtId="0" fontId="5" fillId="12" borderId="0"/>
    <xf numFmtId="0" fontId="5" fillId="14" borderId="0"/>
    <xf numFmtId="0" fontId="5" fillId="15" borderId="0"/>
    <xf numFmtId="0" fontId="5" fillId="17" borderId="0"/>
    <xf numFmtId="0" fontId="5" fillId="18" borderId="0"/>
    <xf numFmtId="0" fontId="5" fillId="20" borderId="0"/>
    <xf numFmtId="0" fontId="5" fillId="21" borderId="0"/>
    <xf numFmtId="0" fontId="12" fillId="0" borderId="0"/>
    <xf numFmtId="0" fontId="5" fillId="0" borderId="0"/>
    <xf numFmtId="0" fontId="5" fillId="0" borderId="0"/>
    <xf numFmtId="43" fontId="12" fillId="0" borderId="0"/>
    <xf numFmtId="0" fontId="8" fillId="0" borderId="8" applyAlignment="1">
      <alignment wrapText="1"/>
    </xf>
    <xf numFmtId="0" fontId="8" fillId="0" borderId="0"/>
    <xf numFmtId="0" fontId="8" fillId="0" borderId="11" applyAlignment="1">
      <alignment wrapText="1"/>
    </xf>
    <xf numFmtId="0" fontId="7" fillId="0" borderId="10" applyAlignment="1">
      <alignment wrapText="1"/>
    </xf>
    <xf numFmtId="0" fontId="7" fillId="0" borderId="9" applyAlignment="1">
      <alignment wrapText="1"/>
    </xf>
    <xf numFmtId="0" fontId="9" fillId="0" borderId="0" applyAlignment="1">
      <alignment horizontal="left"/>
    </xf>
    <xf numFmtId="0" fontId="5" fillId="0" borderId="0"/>
    <xf numFmtId="0" fontId="8" fillId="0" borderId="0"/>
    <xf numFmtId="0" fontId="8" fillId="0" borderId="8" applyAlignment="1">
      <alignment wrapText="1"/>
    </xf>
    <xf numFmtId="0" fontId="8" fillId="0" borderId="0"/>
    <xf numFmtId="0" fontId="8" fillId="0" borderId="11" applyAlignment="1">
      <alignment wrapText="1"/>
    </xf>
    <xf numFmtId="0" fontId="7" fillId="0" borderId="10" applyAlignment="1">
      <alignment wrapText="1"/>
    </xf>
    <xf numFmtId="0" fontId="7" fillId="0" borderId="9" applyAlignment="1">
      <alignment wrapText="1"/>
    </xf>
    <xf numFmtId="0" fontId="9" fillId="0" borderId="0" applyAlignment="1">
      <alignment horizontal="left"/>
    </xf>
    <xf numFmtId="0" fontId="5" fillId="0" borderId="0"/>
    <xf numFmtId="0" fontId="8" fillId="0" borderId="8" applyAlignment="1">
      <alignment wrapText="1"/>
    </xf>
    <xf numFmtId="0" fontId="8" fillId="0" borderId="0"/>
    <xf numFmtId="0" fontId="8" fillId="0" borderId="11" applyAlignment="1">
      <alignment wrapText="1"/>
    </xf>
    <xf numFmtId="0" fontId="7" fillId="0" borderId="10" applyAlignment="1">
      <alignment wrapText="1"/>
    </xf>
    <xf numFmtId="0" fontId="7" fillId="0" borderId="9" applyAlignment="1">
      <alignment wrapText="1"/>
    </xf>
    <xf numFmtId="0" fontId="9" fillId="0" borderId="0" applyAlignment="1">
      <alignment horizontal="left"/>
    </xf>
    <xf numFmtId="0" fontId="13" fillId="0" borderId="0"/>
    <xf numFmtId="0" fontId="14" fillId="0" borderId="0"/>
    <xf numFmtId="0" fontId="14" fillId="0" borderId="0"/>
  </cellStyleXfs>
  <cellXfs count="261">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horizontal="left"/>
    </xf>
    <xf numFmtId="0" fontId="0" fillId="23" borderId="0" pivotButton="0" quotePrefix="0" xfId="0"/>
    <xf numFmtId="0" fontId="1" fillId="24" borderId="0" pivotButton="0" quotePrefix="0" xfId="0"/>
    <xf numFmtId="0" fontId="14" fillId="0" borderId="0" pivotButton="0" quotePrefix="0" xfId="70"/>
    <xf numFmtId="2" fontId="0" fillId="0" borderId="0" pivotButton="0" quotePrefix="0" xfId="0"/>
    <xf numFmtId="0" fontId="16" fillId="0" borderId="16"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7" applyAlignment="1" pivotButton="0" quotePrefix="0" xfId="0">
      <alignment vertical="center"/>
    </xf>
    <xf numFmtId="9" fontId="16" fillId="0" borderId="17" applyAlignment="1" pivotButton="0" quotePrefix="0" xfId="0">
      <alignment horizontal="center" vertical="center"/>
    </xf>
    <xf numFmtId="0" fontId="16" fillId="0" borderId="17" applyAlignment="1" pivotButton="0" quotePrefix="0" xfId="0">
      <alignment horizontal="center" vertical="center"/>
    </xf>
    <xf numFmtId="3" fontId="16" fillId="0" borderId="17" applyAlignment="1" pivotButton="0" quotePrefix="0" xfId="0">
      <alignment horizontal="center" vertical="center"/>
    </xf>
    <xf numFmtId="1" fontId="0" fillId="0" borderId="0" pivotButton="0" quotePrefix="0" xfId="0"/>
    <xf numFmtId="0" fontId="16" fillId="0" borderId="0" applyAlignment="1" pivotButton="0" quotePrefix="0" xfId="0">
      <alignment vertical="center"/>
    </xf>
    <xf numFmtId="9"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18" applyAlignment="1" pivotButton="0" quotePrefix="0" xfId="0">
      <alignment vertical="center"/>
    </xf>
    <xf numFmtId="9" fontId="16" fillId="0" borderId="18" applyAlignment="1" pivotButton="0" quotePrefix="0" xfId="0">
      <alignment horizontal="center" vertical="center"/>
    </xf>
    <xf numFmtId="0" fontId="16" fillId="0" borderId="18" applyAlignment="1" pivotButton="0" quotePrefix="0" xfId="0">
      <alignment horizontal="center" vertical="center"/>
    </xf>
    <xf numFmtId="0" fontId="17" fillId="0" borderId="16" applyAlignment="1" pivotButton="0" quotePrefix="0" xfId="0">
      <alignment vertical="center"/>
    </xf>
    <xf numFmtId="9" fontId="16" fillId="0" borderId="16" applyAlignment="1" pivotButton="0" quotePrefix="0" xfId="0">
      <alignment horizontal="center" vertical="center"/>
    </xf>
    <xf numFmtId="0" fontId="16" fillId="0" borderId="16" applyAlignment="1" pivotButton="0" quotePrefix="0" xfId="0">
      <alignment horizontal="center" vertical="center"/>
    </xf>
    <xf numFmtId="0" fontId="16" fillId="0" borderId="16" applyAlignment="1" pivotButton="0" quotePrefix="0" xfId="0">
      <alignment vertical="center"/>
    </xf>
    <xf numFmtId="0" fontId="17" fillId="0" borderId="19" applyAlignment="1" pivotButton="0" quotePrefix="0" xfId="0">
      <alignment vertical="center"/>
    </xf>
    <xf numFmtId="9" fontId="17" fillId="0" borderId="19" applyAlignment="1" pivotButton="0" quotePrefix="0" xfId="0">
      <alignment horizontal="center" vertical="center"/>
    </xf>
    <xf numFmtId="9" fontId="16" fillId="0" borderId="19" applyAlignment="1" pivotButton="0" quotePrefix="0" xfId="0">
      <alignment horizontal="center" vertical="center"/>
    </xf>
    <xf numFmtId="0" fontId="16" fillId="0" borderId="19" applyAlignment="1" pivotButton="0" quotePrefix="0" xfId="0">
      <alignment horizontal="center" vertical="center"/>
    </xf>
    <xf numFmtId="0" fontId="17" fillId="0" borderId="20" applyAlignment="1" pivotButton="0" quotePrefix="0" xfId="0">
      <alignment vertical="center"/>
    </xf>
    <xf numFmtId="9" fontId="17" fillId="0" borderId="20" applyAlignment="1" pivotButton="0" quotePrefix="0" xfId="0">
      <alignment horizontal="center" vertical="center"/>
    </xf>
    <xf numFmtId="9" fontId="16" fillId="0" borderId="20" applyAlignment="1" pivotButton="0" quotePrefix="0" xfId="0">
      <alignment horizontal="center" vertical="center"/>
    </xf>
    <xf numFmtId="0" fontId="16" fillId="0" borderId="20" applyAlignment="1" pivotButton="0" quotePrefix="0" xfId="0">
      <alignment horizontal="center" vertical="center"/>
    </xf>
    <xf numFmtId="0" fontId="16" fillId="0" borderId="19" applyAlignment="1" pivotButton="0" quotePrefix="0" xfId="0">
      <alignment vertical="center"/>
    </xf>
    <xf numFmtId="0" fontId="16" fillId="0" borderId="21" applyAlignment="1" pivotButton="0" quotePrefix="0" xfId="0">
      <alignment vertical="center"/>
    </xf>
    <xf numFmtId="9" fontId="16" fillId="0" borderId="21" applyAlignment="1" pivotButton="0" quotePrefix="0" xfId="0">
      <alignment horizontal="center" vertical="center"/>
    </xf>
    <xf numFmtId="0" fontId="16" fillId="0" borderId="21" applyAlignment="1" pivotButton="0" quotePrefix="0" xfId="0">
      <alignment horizontal="center" vertical="center"/>
    </xf>
    <xf numFmtId="0" fontId="16" fillId="0" borderId="20" applyAlignment="1" pivotButton="0" quotePrefix="0" xfId="0">
      <alignment vertical="center"/>
    </xf>
    <xf numFmtId="0" fontId="16" fillId="0" borderId="22" applyAlignment="1" pivotButton="0" quotePrefix="0" xfId="0">
      <alignment vertical="center"/>
    </xf>
    <xf numFmtId="9" fontId="16" fillId="0" borderId="22" applyAlignment="1" pivotButton="0" quotePrefix="0" xfId="0">
      <alignment horizontal="center" vertical="center"/>
    </xf>
    <xf numFmtId="0" fontId="16" fillId="0" borderId="22" applyAlignment="1" pivotButton="0" quotePrefix="0" xfId="0">
      <alignment horizontal="center" vertical="center"/>
    </xf>
    <xf numFmtId="0" fontId="17" fillId="0" borderId="21" applyAlignment="1" pivotButton="0" quotePrefix="0" xfId="0">
      <alignment vertical="center"/>
    </xf>
    <xf numFmtId="0" fontId="17" fillId="0" borderId="0" applyAlignment="1" pivotButton="0" quotePrefix="0" xfId="0">
      <alignment vertical="center"/>
    </xf>
    <xf numFmtId="0" fontId="17" fillId="0" borderId="18" applyAlignment="1" pivotButton="0" quotePrefix="0" xfId="0">
      <alignment vertical="center"/>
    </xf>
    <xf numFmtId="0" fontId="17" fillId="0" borderId="22" applyAlignment="1" pivotButton="0" quotePrefix="0" xfId="0">
      <alignment vertical="center"/>
    </xf>
    <xf numFmtId="0" fontId="17" fillId="0" borderId="16" applyAlignment="1" pivotButton="0" quotePrefix="0" xfId="0">
      <alignment horizontal="center" vertical="center"/>
    </xf>
    <xf numFmtId="0" fontId="17" fillId="0" borderId="16" applyAlignment="1" pivotButton="0" quotePrefix="0" xfId="0">
      <alignment horizontal="center" vertical="center" wrapText="1"/>
    </xf>
    <xf numFmtId="0" fontId="16" fillId="0" borderId="23" applyAlignment="1" pivotButton="0" quotePrefix="0" xfId="0">
      <alignment vertical="center"/>
    </xf>
    <xf numFmtId="9" fontId="16" fillId="0" borderId="23" applyAlignment="1" pivotButton="0" quotePrefix="0" xfId="0">
      <alignment horizontal="center" vertical="center"/>
    </xf>
    <xf numFmtId="0" fontId="16" fillId="0" borderId="23" applyAlignment="1" pivotButton="0" quotePrefix="0" xfId="0">
      <alignment horizontal="center" vertical="center"/>
    </xf>
    <xf numFmtId="0" fontId="17" fillId="0" borderId="23" applyAlignment="1" pivotButton="0" quotePrefix="0" xfId="0">
      <alignment horizontal="center" vertical="center"/>
    </xf>
    <xf numFmtId="0" fontId="17" fillId="0" borderId="0" applyAlignment="1" pivotButton="0" quotePrefix="0" xfId="0">
      <alignment horizontal="center" vertical="center" wrapText="1"/>
    </xf>
    <xf numFmtId="0" fontId="17" fillId="0" borderId="19" applyAlignment="1" pivotButton="0" quotePrefix="0" xfId="0">
      <alignment horizontal="center" vertical="center"/>
    </xf>
    <xf numFmtId="0" fontId="16" fillId="0" borderId="19" applyAlignment="1" pivotButton="0" quotePrefix="0" xfId="0">
      <alignment horizontal="center" vertical="center" wrapText="1"/>
    </xf>
    <xf numFmtId="0" fontId="16" fillId="0" borderId="21" applyAlignment="1" pivotButton="0" quotePrefix="0" xfId="0">
      <alignment horizontal="center" vertical="center" wrapText="1"/>
    </xf>
    <xf numFmtId="0" fontId="16" fillId="0" borderId="18" applyAlignment="1" pivotButton="0" quotePrefix="0" xfId="0">
      <alignment horizontal="center" vertical="center" wrapText="1"/>
    </xf>
    <xf numFmtId="0" fontId="16" fillId="0" borderId="20" applyAlignment="1" pivotButton="0" quotePrefix="0" xfId="0">
      <alignment horizontal="center" vertical="center" wrapText="1"/>
    </xf>
    <xf numFmtId="0" fontId="17" fillId="0" borderId="0" applyAlignment="1" pivotButton="0" quotePrefix="0" xfId="0">
      <alignment horizontal="center" vertical="center"/>
    </xf>
    <xf numFmtId="9" fontId="17" fillId="0" borderId="0" applyAlignment="1" pivotButton="0" quotePrefix="0" xfId="0">
      <alignment horizontal="center" vertical="center"/>
    </xf>
    <xf numFmtId="0" fontId="17" fillId="0" borderId="24" applyAlignment="1" pivotButton="0" quotePrefix="0" xfId="0">
      <alignment vertical="center"/>
    </xf>
    <xf numFmtId="9" fontId="16" fillId="0" borderId="24" applyAlignment="1" pivotButton="0" quotePrefix="0" xfId="0">
      <alignment horizontal="center" vertical="center"/>
    </xf>
    <xf numFmtId="0" fontId="16" fillId="0" borderId="24" applyAlignment="1" pivotButton="0" quotePrefix="0" xfId="0">
      <alignment horizontal="center" vertical="center"/>
    </xf>
    <xf numFmtId="0" fontId="16" fillId="26" borderId="0" applyAlignment="1" pivotButton="0" quotePrefix="0" xfId="0">
      <alignment vertical="center"/>
    </xf>
    <xf numFmtId="9" fontId="16" fillId="26" borderId="0" applyAlignment="1" pivotButton="0" quotePrefix="0" xfId="0">
      <alignment horizontal="center" vertical="center"/>
    </xf>
    <xf numFmtId="0" fontId="16" fillId="26" borderId="0" applyAlignment="1" pivotButton="0" quotePrefix="0" xfId="0">
      <alignment horizontal="center" vertical="center"/>
    </xf>
    <xf numFmtId="0" fontId="17" fillId="25" borderId="21" applyAlignment="1" pivotButton="0" quotePrefix="0" xfId="0">
      <alignment vertical="center"/>
    </xf>
    <xf numFmtId="9" fontId="17" fillId="0" borderId="21" applyAlignment="1" pivotButton="0" quotePrefix="0" xfId="0">
      <alignment horizontal="center" vertical="center"/>
    </xf>
    <xf numFmtId="0" fontId="17" fillId="0" borderId="21" applyAlignment="1" pivotButton="0" quotePrefix="0" xfId="0">
      <alignment horizontal="center" vertical="center"/>
    </xf>
    <xf numFmtId="10" fontId="0" fillId="0" borderId="0" pivotButton="0" quotePrefix="0" xfId="0"/>
    <xf numFmtId="164" fontId="0" fillId="0" borderId="0" pivotButton="0" quotePrefix="0" xfId="0"/>
    <xf numFmtId="0" fontId="18" fillId="0" borderId="0" pivotButton="0" quotePrefix="0" xfId="0"/>
    <xf numFmtId="165" fontId="0" fillId="0" borderId="0" pivotButton="0" quotePrefix="0" xfId="16"/>
    <xf numFmtId="0" fontId="19" fillId="0" borderId="0" pivotButton="0" quotePrefix="0" xfId="0"/>
    <xf numFmtId="0" fontId="20" fillId="0" borderId="0" pivotButton="0" quotePrefix="0" xfId="0"/>
    <xf numFmtId="0" fontId="0" fillId="0" borderId="0" pivotButton="0" quotePrefix="1" xfId="0"/>
    <xf numFmtId="165" fontId="0" fillId="0" borderId="0" pivotButton="0" quotePrefix="0" xfId="0"/>
    <xf numFmtId="165" fontId="1" fillId="0" borderId="0" pivotButton="0" quotePrefix="0" xfId="0"/>
    <xf numFmtId="166" fontId="0" fillId="0" borderId="0" pivotButton="0" quotePrefix="0" xfId="0"/>
    <xf numFmtId="167" fontId="0" fillId="0" borderId="0" pivotButton="0" quotePrefix="0" xfId="0"/>
    <xf numFmtId="0" fontId="21" fillId="0" borderId="0" applyAlignment="1" pivotButton="0" quotePrefix="0" xfId="0">
      <alignment horizontal="center" vertical="center" wrapText="1"/>
    </xf>
    <xf numFmtId="9" fontId="0" fillId="0" borderId="0" pivotButton="0" quotePrefix="0" xfId="0"/>
    <xf numFmtId="0" fontId="17" fillId="27" borderId="16" applyAlignment="1" pivotButton="0" quotePrefix="0" xfId="0">
      <alignment vertical="center"/>
    </xf>
    <xf numFmtId="9" fontId="17" fillId="27" borderId="16" applyAlignment="1" pivotButton="0" quotePrefix="0" xfId="0">
      <alignment horizontal="center" vertical="center"/>
    </xf>
    <xf numFmtId="9" fontId="16" fillId="27" borderId="16" applyAlignment="1" pivotButton="0" quotePrefix="0" xfId="0">
      <alignment horizontal="center" vertical="center"/>
    </xf>
    <xf numFmtId="0" fontId="16" fillId="27" borderId="16" applyAlignment="1" pivotButton="0" quotePrefix="0" xfId="0">
      <alignment horizontal="center" vertical="center"/>
    </xf>
    <xf numFmtId="0" fontId="0" fillId="27" borderId="0" pivotButton="0" quotePrefix="0" xfId="0"/>
    <xf numFmtId="0" fontId="17" fillId="27" borderId="19" applyAlignment="1" pivotButton="0" quotePrefix="0" xfId="0">
      <alignment vertical="center"/>
    </xf>
    <xf numFmtId="9" fontId="17" fillId="27" borderId="19" applyAlignment="1" pivotButton="0" quotePrefix="0" xfId="0">
      <alignment horizontal="center" vertical="center"/>
    </xf>
    <xf numFmtId="9" fontId="16" fillId="27" borderId="19" applyAlignment="1" pivotButton="0" quotePrefix="0" xfId="0">
      <alignment horizontal="center" vertical="center"/>
    </xf>
    <xf numFmtId="0" fontId="16" fillId="27" borderId="19" applyAlignment="1" pivotButton="0" quotePrefix="0" xfId="0">
      <alignment horizontal="center" vertical="center"/>
    </xf>
    <xf numFmtId="0" fontId="16" fillId="27" borderId="0" applyAlignment="1" pivotButton="0" quotePrefix="0" xfId="0">
      <alignment vertical="center"/>
    </xf>
    <xf numFmtId="9" fontId="16" fillId="27" borderId="0" applyAlignment="1" pivotButton="0" quotePrefix="0" xfId="0">
      <alignment horizontal="center" vertical="center"/>
    </xf>
    <xf numFmtId="0" fontId="16" fillId="27" borderId="0" applyAlignment="1" pivotButton="0" quotePrefix="0" xfId="0">
      <alignment horizontal="center" vertical="center"/>
    </xf>
    <xf numFmtId="0" fontId="16" fillId="27" borderId="19" applyAlignment="1" pivotButton="0" quotePrefix="0" xfId="0">
      <alignment vertical="center"/>
    </xf>
    <xf numFmtId="0" fontId="17" fillId="27" borderId="19" applyAlignment="1" pivotButton="0" quotePrefix="0" xfId="0">
      <alignment horizontal="center" vertical="center"/>
    </xf>
    <xf numFmtId="0" fontId="17" fillId="27" borderId="19" applyAlignment="1" pivotButton="0" quotePrefix="0" xfId="0">
      <alignment horizontal="center" vertical="center" wrapText="1"/>
    </xf>
    <xf numFmtId="0" fontId="16" fillId="27" borderId="0" applyAlignment="1" pivotButton="0" quotePrefix="0" xfId="0">
      <alignment horizontal="center" vertical="center" wrapText="1"/>
    </xf>
    <xf numFmtId="0" fontId="17" fillId="27" borderId="0" applyAlignment="1" pivotButton="0" quotePrefix="0" xfId="0">
      <alignment vertical="center"/>
    </xf>
    <xf numFmtId="0" fontId="17" fillId="27" borderId="0" applyAlignment="1" pivotButton="0" quotePrefix="0" xfId="0">
      <alignment horizontal="center" vertical="center"/>
    </xf>
    <xf numFmtId="0" fontId="0" fillId="26" borderId="0" pivotButton="0" quotePrefix="0" xfId="0"/>
    <xf numFmtId="0" fontId="16" fillId="26" borderId="19" applyAlignment="1" pivotButton="0" quotePrefix="0" xfId="0">
      <alignment vertical="center"/>
    </xf>
    <xf numFmtId="9" fontId="16" fillId="26" borderId="19" applyAlignment="1" pivotButton="0" quotePrefix="0" xfId="0">
      <alignment horizontal="center" vertical="center"/>
    </xf>
    <xf numFmtId="0" fontId="16" fillId="26" borderId="19" applyAlignment="1" pivotButton="0" quotePrefix="0" xfId="0">
      <alignment horizontal="center" vertical="center"/>
    </xf>
    <xf numFmtId="0" fontId="16" fillId="26" borderId="19" applyAlignment="1" pivotButton="0" quotePrefix="0" xfId="0">
      <alignment horizontal="center" vertical="center" wrapText="1"/>
    </xf>
    <xf numFmtId="0" fontId="16" fillId="26" borderId="0" applyAlignment="1" pivotButton="0" quotePrefix="0" xfId="0">
      <alignment horizontal="center" vertical="center" wrapText="1"/>
    </xf>
    <xf numFmtId="0" fontId="17" fillId="27" borderId="16" applyAlignment="1" pivotButton="0" quotePrefix="0" xfId="0">
      <alignment horizontal="center" vertical="center"/>
    </xf>
    <xf numFmtId="0" fontId="16" fillId="27" borderId="21" applyAlignment="1" pivotButton="0" quotePrefix="0" xfId="0">
      <alignment vertical="center"/>
    </xf>
    <xf numFmtId="9" fontId="16" fillId="27" borderId="21" applyAlignment="1" pivotButton="0" quotePrefix="0" xfId="0">
      <alignment horizontal="center" vertical="center"/>
    </xf>
    <xf numFmtId="0" fontId="16" fillId="27" borderId="21" applyAlignment="1" pivotButton="0" quotePrefix="0" xfId="0">
      <alignment horizontal="center" vertical="center"/>
    </xf>
    <xf numFmtId="0" fontId="16" fillId="27" borderId="16" applyAlignment="1" pivotButton="0" quotePrefix="0" xfId="0">
      <alignment vertical="center"/>
    </xf>
    <xf numFmtId="0" fontId="16" fillId="27" borderId="22" applyAlignment="1" pivotButton="0" quotePrefix="0" xfId="0">
      <alignment vertical="center"/>
    </xf>
    <xf numFmtId="9" fontId="16" fillId="27" borderId="22" applyAlignment="1" pivotButton="0" quotePrefix="0" xfId="0">
      <alignment horizontal="center" vertical="center"/>
    </xf>
    <xf numFmtId="0" fontId="16" fillId="27" borderId="22" applyAlignment="1" pivotButton="0" quotePrefix="0" xfId="0">
      <alignment horizontal="center" vertical="center"/>
    </xf>
    <xf numFmtId="0" fontId="16" fillId="27" borderId="20" applyAlignment="1" pivotButton="0" quotePrefix="0" xfId="0">
      <alignment vertical="center"/>
    </xf>
    <xf numFmtId="9" fontId="16" fillId="27" borderId="20" applyAlignment="1" pivotButton="0" quotePrefix="0" xfId="0">
      <alignment horizontal="center" vertical="center"/>
    </xf>
    <xf numFmtId="0" fontId="16" fillId="27" borderId="20" applyAlignment="1" pivotButton="0" quotePrefix="0" xfId="0">
      <alignment horizontal="center" vertical="center"/>
    </xf>
    <xf numFmtId="0" fontId="16" fillId="27" borderId="13" applyAlignment="1" pivotButton="0" quotePrefix="0" xfId="0">
      <alignment vertical="center"/>
    </xf>
    <xf numFmtId="9" fontId="16" fillId="27" borderId="13" applyAlignment="1" pivotButton="0" quotePrefix="0" xfId="0">
      <alignment horizontal="center" vertical="center"/>
    </xf>
    <xf numFmtId="0" fontId="16" fillId="27" borderId="13" applyAlignment="1" pivotButton="0" quotePrefix="0" xfId="0">
      <alignment horizontal="center" vertical="center"/>
    </xf>
    <xf numFmtId="9" fontId="17" fillId="27" borderId="0" applyAlignment="1" pivotButton="0" quotePrefix="0" xfId="0">
      <alignment horizontal="center" vertical="center"/>
    </xf>
    <xf numFmtId="0" fontId="17" fillId="27" borderId="21" applyAlignment="1" pivotButton="0" quotePrefix="0" xfId="0">
      <alignment vertical="center"/>
    </xf>
    <xf numFmtId="9" fontId="17" fillId="27" borderId="21" applyAlignment="1" pivotButton="0" quotePrefix="0" xfId="0">
      <alignment horizontal="center" vertical="center"/>
    </xf>
    <xf numFmtId="0" fontId="17" fillId="27" borderId="21" applyAlignment="1" pivotButton="0" quotePrefix="0" xfId="0">
      <alignment horizontal="center" vertical="center"/>
    </xf>
    <xf numFmtId="0" fontId="17" fillId="27" borderId="20" applyAlignment="1" pivotButton="0" quotePrefix="0" xfId="0">
      <alignment vertical="center"/>
    </xf>
    <xf numFmtId="9" fontId="17" fillId="27" borderId="20" applyAlignment="1" pivotButton="0" quotePrefix="0" xfId="0">
      <alignment horizontal="center" vertical="center"/>
    </xf>
    <xf numFmtId="0" fontId="17" fillId="27" borderId="20" applyAlignment="1" pivotButton="0" quotePrefix="0" xfId="0">
      <alignment horizontal="center" vertical="center"/>
    </xf>
    <xf numFmtId="0" fontId="17" fillId="27" borderId="25" applyAlignment="1" pivotButton="0" quotePrefix="0" xfId="0">
      <alignment vertical="center"/>
    </xf>
    <xf numFmtId="9" fontId="17" fillId="27" borderId="25" applyAlignment="1" pivotButton="0" quotePrefix="0" xfId="0">
      <alignment horizontal="center" vertical="center"/>
    </xf>
    <xf numFmtId="0" fontId="17" fillId="27" borderId="25" applyAlignment="1" pivotButton="0" quotePrefix="0" xfId="0">
      <alignment horizontal="center" vertical="center"/>
    </xf>
    <xf numFmtId="0" fontId="22" fillId="0" borderId="0" pivotButton="0" quotePrefix="0" xfId="0"/>
    <xf numFmtId="0" fontId="1" fillId="28" borderId="0" pivotButton="0" quotePrefix="0" xfId="0"/>
    <xf numFmtId="0" fontId="17" fillId="27" borderId="18" applyAlignment="1" pivotButton="0" quotePrefix="0" xfId="0">
      <alignment vertical="center"/>
    </xf>
    <xf numFmtId="9" fontId="16" fillId="27" borderId="18" applyAlignment="1" pivotButton="0" quotePrefix="0" xfId="0">
      <alignment horizontal="center" vertical="center"/>
    </xf>
    <xf numFmtId="0" fontId="16" fillId="27" borderId="18" applyAlignment="1" pivotButton="0" quotePrefix="0" xfId="0">
      <alignment horizontal="center" vertical="center"/>
    </xf>
    <xf numFmtId="0" fontId="17" fillId="27" borderId="18" applyAlignment="1" pivotButton="0" quotePrefix="0" xfId="0">
      <alignment horizontal="center" vertical="center"/>
    </xf>
    <xf numFmtId="3" fontId="22" fillId="0" borderId="0" pivotButton="0" quotePrefix="0" xfId="0"/>
    <xf numFmtId="168" fontId="0" fillId="0" borderId="0" pivotButton="0" quotePrefix="0" xfId="0"/>
    <xf numFmtId="2" fontId="18" fillId="0" borderId="0" pivotButton="0" quotePrefix="0" xfId="0"/>
    <xf numFmtId="0" fontId="1" fillId="0" borderId="0" applyAlignment="1" pivotButton="0" quotePrefix="0" xfId="0">
      <alignment wrapText="1"/>
    </xf>
    <xf numFmtId="167" fontId="1" fillId="0" borderId="0" applyAlignment="1" pivotButton="0" quotePrefix="0" xfId="0">
      <alignment wrapText="1"/>
    </xf>
    <xf numFmtId="0" fontId="0" fillId="0" borderId="0" applyAlignment="1" pivotButton="0" quotePrefix="0" xfId="0">
      <alignment wrapText="1"/>
    </xf>
    <xf numFmtId="0" fontId="23" fillId="26" borderId="26" applyAlignment="1" pivotButton="0" quotePrefix="0" xfId="0">
      <alignment horizontal="left" vertical="center" wrapText="1"/>
    </xf>
    <xf numFmtId="0" fontId="24" fillId="26" borderId="28" applyAlignment="1" pivotButton="0" quotePrefix="0" xfId="0">
      <alignment horizontal="left" vertical="center" wrapText="1"/>
    </xf>
    <xf numFmtId="0" fontId="24" fillId="26" borderId="28" applyAlignment="1" pivotButton="0" quotePrefix="0" xfId="0">
      <alignment horizontal="left" vertical="top" wrapText="1"/>
    </xf>
    <xf numFmtId="9" fontId="24" fillId="26" borderId="28" applyAlignment="1" pivotButton="0" quotePrefix="0" xfId="0">
      <alignment horizontal="left" vertical="center" wrapText="1"/>
    </xf>
    <xf numFmtId="10" fontId="24" fillId="26" borderId="28" applyAlignment="1" pivotButton="0" quotePrefix="0" xfId="0">
      <alignment horizontal="left" vertical="center" wrapText="1"/>
    </xf>
    <xf numFmtId="0" fontId="24" fillId="26" borderId="33" applyAlignment="1" pivotButton="0" quotePrefix="0" xfId="0">
      <alignment horizontal="left" vertical="center" wrapText="1"/>
    </xf>
    <xf numFmtId="0" fontId="24" fillId="26" borderId="34" applyAlignment="1" pivotButton="0" quotePrefix="0" xfId="0">
      <alignment horizontal="left" vertical="center" wrapText="1"/>
    </xf>
    <xf numFmtId="0" fontId="24" fillId="26" borderId="35" applyAlignment="1" pivotButton="0" quotePrefix="0" xfId="0">
      <alignment horizontal="left" vertical="top" wrapText="1"/>
    </xf>
    <xf numFmtId="9" fontId="24" fillId="26" borderId="35" applyAlignment="1" pivotButton="0" quotePrefix="0" xfId="0">
      <alignment horizontal="left" vertical="center" wrapText="1"/>
    </xf>
    <xf numFmtId="169" fontId="0" fillId="0" borderId="0" pivotButton="0" quotePrefix="0" xfId="0"/>
    <xf numFmtId="170" fontId="0" fillId="0" borderId="0" pivotButton="0" quotePrefix="0" xfId="0"/>
    <xf numFmtId="0" fontId="1" fillId="29" borderId="0" pivotButton="0" quotePrefix="0" xfId="0"/>
    <xf numFmtId="0" fontId="26" fillId="30" borderId="0" pivotButton="0" quotePrefix="0" xfId="0"/>
    <xf numFmtId="0" fontId="26" fillId="31" borderId="0" applyAlignment="1" pivotButton="0" quotePrefix="0" xfId="0">
      <alignment horizontal="right" wrapText="1"/>
    </xf>
    <xf numFmtId="9" fontId="27" fillId="31" borderId="0" pivotButton="0" quotePrefix="0" xfId="16"/>
    <xf numFmtId="0" fontId="0" fillId="0" borderId="40" applyAlignment="1" pivotButton="0" quotePrefix="0" xfId="0">
      <alignment wrapText="1"/>
    </xf>
    <xf numFmtId="0" fontId="0" fillId="0" borderId="41" applyAlignment="1" pivotButton="0" quotePrefix="0" xfId="0">
      <alignment wrapText="1"/>
    </xf>
    <xf numFmtId="167" fontId="0" fillId="0" borderId="0" pivotButton="0" quotePrefix="0" xfId="16"/>
    <xf numFmtId="9" fontId="25" fillId="32" borderId="0" pivotButton="0" quotePrefix="0" xfId="16"/>
    <xf numFmtId="167" fontId="0" fillId="0" borderId="42" pivotButton="0" quotePrefix="0" xfId="0"/>
    <xf numFmtId="167" fontId="0" fillId="0" borderId="43" pivotButton="0" quotePrefix="0" xfId="0"/>
    <xf numFmtId="167" fontId="0" fillId="0" borderId="44" pivotButton="0" quotePrefix="0" xfId="0"/>
    <xf numFmtId="9" fontId="25" fillId="0" borderId="0" pivotButton="0" quotePrefix="0" xfId="16"/>
    <xf numFmtId="167" fontId="0" fillId="0" borderId="45" pivotButton="0" quotePrefix="0" xfId="0"/>
    <xf numFmtId="167" fontId="0" fillId="0" borderId="46" pivotButton="0" quotePrefix="0" xfId="0"/>
    <xf numFmtId="167" fontId="0" fillId="0" borderId="47" pivotButton="0" quotePrefix="0" xfId="0"/>
    <xf numFmtId="167" fontId="22" fillId="0" borderId="0" pivotButton="0" quotePrefix="0" xfId="0"/>
    <xf numFmtId="0" fontId="15" fillId="0" borderId="48" applyAlignment="1" pivotButton="0" quotePrefix="0" xfId="0">
      <alignment horizontal="center" vertical="center"/>
    </xf>
    <xf numFmtId="0" fontId="0" fillId="0" borderId="14" pivotButton="0" quotePrefix="0" xfId="0"/>
    <xf numFmtId="0" fontId="0" fillId="0" borderId="15" pivotButton="0" quotePrefix="0" xfId="0"/>
    <xf numFmtId="0" fontId="23" fillId="26" borderId="49" applyAlignment="1" pivotButton="0" quotePrefix="0" xfId="0">
      <alignment horizontal="left" vertical="center" wrapText="1"/>
    </xf>
    <xf numFmtId="0" fontId="0" fillId="0" borderId="30" pivotButton="0" quotePrefix="0" xfId="0"/>
    <xf numFmtId="0" fontId="0" fillId="0" borderId="36" pivotButton="0" quotePrefix="0" xfId="0"/>
    <xf numFmtId="0" fontId="0" fillId="0" borderId="27" pivotButton="0" quotePrefix="0" xfId="0"/>
    <xf numFmtId="0" fontId="0" fillId="0" borderId="37" pivotButton="0" quotePrefix="0" xfId="0"/>
    <xf numFmtId="0" fontId="0" fillId="0" borderId="26" pivotButton="0" quotePrefix="0" xfId="0"/>
    <xf numFmtId="0" fontId="23" fillId="26" borderId="32" applyAlignment="1" pivotButton="0" quotePrefix="0" xfId="0">
      <alignment horizontal="left" vertical="center" wrapText="1"/>
    </xf>
    <xf numFmtId="0" fontId="0" fillId="0" borderId="31" pivotButton="0" quotePrefix="0" xfId="0"/>
    <xf numFmtId="0" fontId="0" fillId="0" borderId="32" pivotButton="0" quotePrefix="0" xfId="0"/>
    <xf numFmtId="0" fontId="23" fillId="26" borderId="29" applyAlignment="1" pivotButton="0" quotePrefix="0" xfId="0">
      <alignment horizontal="left" vertical="center" wrapText="1"/>
    </xf>
    <xf numFmtId="0" fontId="0" fillId="26" borderId="31" applyAlignment="1" pivotButton="0" quotePrefix="0" xfId="0">
      <alignment horizontal="left" vertical="top" wrapText="1"/>
    </xf>
    <xf numFmtId="0" fontId="0" fillId="0" borderId="50" applyAlignment="1" pivotButton="0" quotePrefix="0" xfId="0">
      <alignment horizontal="center" wrapText="1"/>
    </xf>
    <xf numFmtId="0" fontId="0" fillId="0" borderId="38" pivotButton="0" quotePrefix="0" xfId="0"/>
    <xf numFmtId="0" fontId="0" fillId="0" borderId="39" pivotButton="0" quotePrefix="0" xfId="0"/>
    <xf numFmtId="0" fontId="29" fillId="0" borderId="0" pivotButton="0" quotePrefix="0" xfId="0"/>
    <xf numFmtId="165" fontId="22" fillId="0" borderId="0" pivotButton="0" quotePrefix="0" xfId="0"/>
    <xf numFmtId="0" fontId="28" fillId="0" borderId="0" pivotButton="0" quotePrefix="0" xfId="0"/>
    <xf numFmtId="0" fontId="0" fillId="25" borderId="0" pivotButton="0" quotePrefix="0" xfId="0"/>
    <xf numFmtId="0" fontId="1" fillId="28" borderId="51" pivotButton="0" quotePrefix="0" xfId="0"/>
    <xf numFmtId="0" fontId="1" fillId="28" borderId="52" pivotButton="0" quotePrefix="0" xfId="0"/>
    <xf numFmtId="0" fontId="1" fillId="28" borderId="53" pivotButton="0" quotePrefix="0" xfId="0"/>
    <xf numFmtId="0" fontId="0" fillId="0" borderId="54" pivotButton="0" quotePrefix="0" xfId="0"/>
    <xf numFmtId="0" fontId="0" fillId="0" borderId="55" pivotButton="0" quotePrefix="0" xfId="0"/>
    <xf numFmtId="165" fontId="0" fillId="0" borderId="55" pivotButton="0" quotePrefix="0" xfId="0"/>
    <xf numFmtId="166" fontId="0" fillId="0" borderId="55" pivotButton="0" quotePrefix="0" xfId="0"/>
    <xf numFmtId="164" fontId="0" fillId="0" borderId="55" pivotButton="0" quotePrefix="0" xfId="0"/>
    <xf numFmtId="0" fontId="0" fillId="25" borderId="55" pivotButton="0" quotePrefix="0" xfId="0"/>
    <xf numFmtId="0" fontId="0" fillId="0" borderId="56" pivotButton="0" quotePrefix="0" xfId="0"/>
    <xf numFmtId="0" fontId="0" fillId="0" borderId="57" pivotButton="0" quotePrefix="0" xfId="0"/>
    <xf numFmtId="0" fontId="0" fillId="0" borderId="58" pivotButton="0" quotePrefix="0" xfId="0"/>
    <xf numFmtId="165" fontId="0" fillId="0" borderId="58" pivotButton="0" quotePrefix="0" xfId="0"/>
    <xf numFmtId="166" fontId="0" fillId="0" borderId="58" pivotButton="0" quotePrefix="0" xfId="0"/>
    <xf numFmtId="0" fontId="0" fillId="25" borderId="58" pivotButton="0" quotePrefix="0" xfId="0"/>
    <xf numFmtId="0" fontId="0" fillId="0" borderId="59" pivotButton="0" quotePrefix="0" xfId="0"/>
    <xf numFmtId="0" fontId="1" fillId="28" borderId="54" pivotButton="0" quotePrefix="0" xfId="0"/>
    <xf numFmtId="0" fontId="1" fillId="28" borderId="55" pivotButton="0" quotePrefix="0" xfId="0"/>
    <xf numFmtId="0" fontId="1" fillId="28" borderId="56" pivotButton="0" quotePrefix="0" xfId="0"/>
    <xf numFmtId="0" fontId="32" fillId="0" borderId="0" pivotButton="0" quotePrefix="0" xfId="0"/>
    <xf numFmtId="0" fontId="1" fillId="25" borderId="0" pivotButton="0" quotePrefix="0" xfId="0"/>
    <xf numFmtId="0" fontId="33" fillId="0" borderId="0" pivotButton="0" quotePrefix="0" xfId="0"/>
    <xf numFmtId="0" fontId="0" fillId="33" borderId="56" pivotButton="0" quotePrefix="0" xfId="0"/>
    <xf numFmtId="0" fontId="34" fillId="0" borderId="0" pivotButton="0" quotePrefix="0" xfId="0"/>
    <xf numFmtId="0" fontId="1" fillId="0" borderId="54" pivotButton="0" quotePrefix="0" xfId="0"/>
    <xf numFmtId="0" fontId="0" fillId="34" borderId="0" pivotButton="0" quotePrefix="0" xfId="0"/>
    <xf numFmtId="166" fontId="0" fillId="25" borderId="0" pivotButton="0" quotePrefix="0" xfId="0"/>
    <xf numFmtId="166" fontId="0" fillId="34" borderId="0" pivotButton="0" quotePrefix="0" xfId="0"/>
    <xf numFmtId="164" fontId="0" fillId="25" borderId="0" pivotButton="0" quotePrefix="0" xfId="0"/>
    <xf numFmtId="164" fontId="0" fillId="34" borderId="0" pivotButton="0" quotePrefix="0" xfId="0"/>
    <xf numFmtId="0" fontId="1" fillId="0" borderId="51" pivotButton="0" quotePrefix="0" xfId="0"/>
    <xf numFmtId="0" fontId="1" fillId="0" borderId="52" pivotButton="0" quotePrefix="0" xfId="0"/>
    <xf numFmtId="0" fontId="0" fillId="25" borderId="59" pivotButton="0" quotePrefix="0" xfId="0"/>
    <xf numFmtId="167" fontId="22" fillId="25" borderId="0" pivotButton="0" quotePrefix="0" xfId="0"/>
    <xf numFmtId="0" fontId="1" fillId="28" borderId="60" pivotButton="0" quotePrefix="0" xfId="0"/>
    <xf numFmtId="165" fontId="0" fillId="0" borderId="0" pivotButton="0" quotePrefix="0" xfId="0"/>
    <xf numFmtId="0" fontId="35" fillId="0" borderId="19" applyAlignment="1" pivotButton="0" quotePrefix="0" xfId="0">
      <alignment horizontal="center" vertical="center"/>
    </xf>
    <xf numFmtId="0" fontId="35" fillId="0" borderId="0" applyAlignment="1" pivotButton="0" quotePrefix="0" xfId="0">
      <alignment horizontal="center" vertical="center"/>
    </xf>
    <xf numFmtId="0" fontId="35" fillId="0" borderId="24" applyAlignment="1" pivotButton="0" quotePrefix="0" xfId="0">
      <alignment horizontal="center" vertical="center"/>
    </xf>
    <xf numFmtId="0" fontId="35" fillId="0" borderId="18" applyAlignment="1" pivotButton="0" quotePrefix="0" xfId="0">
      <alignment horizontal="center" vertical="center"/>
    </xf>
    <xf numFmtId="0" fontId="36" fillId="0" borderId="0" pivotButton="0" quotePrefix="0" xfId="0"/>
    <xf numFmtId="0" fontId="0" fillId="0" borderId="55" pivotButton="0" quotePrefix="1" xfId="0"/>
    <xf numFmtId="0" fontId="0" fillId="25" borderId="54" pivotButton="0" quotePrefix="0" xfId="0"/>
    <xf numFmtId="0" fontId="0" fillId="25" borderId="55" pivotButton="0" quotePrefix="1" xfId="0"/>
    <xf numFmtId="0" fontId="0" fillId="25" borderId="56" pivotButton="0" quotePrefix="0" xfId="0"/>
    <xf numFmtId="0" fontId="0" fillId="25" borderId="57" pivotButton="0" quotePrefix="0" xfId="0"/>
    <xf numFmtId="0" fontId="0" fillId="25" borderId="58" pivotButton="0" quotePrefix="1" xfId="0"/>
    <xf numFmtId="165" fontId="35" fillId="0" borderId="0" applyAlignment="1" pivotButton="0" quotePrefix="0" xfId="0">
      <alignment horizontal="center" vertical="center"/>
    </xf>
    <xf numFmtId="165" fontId="35" fillId="0" borderId="19" applyAlignment="1" pivotButton="0" quotePrefix="0" xfId="0">
      <alignment horizontal="center" vertical="center"/>
    </xf>
    <xf numFmtId="165" fontId="35" fillId="0" borderId="24" applyAlignment="1" pivotButton="0" quotePrefix="0" xfId="0">
      <alignment horizontal="center" vertical="center"/>
    </xf>
    <xf numFmtId="165" fontId="35" fillId="0" borderId="16" applyAlignment="1" pivotButton="0" quotePrefix="0" xfId="0">
      <alignment horizontal="center" vertical="center"/>
    </xf>
    <xf numFmtId="165" fontId="35" fillId="0" borderId="18" applyAlignment="1" pivotButton="0" quotePrefix="0" xfId="0">
      <alignment horizontal="center" vertical="center"/>
    </xf>
    <xf numFmtId="2" fontId="0" fillId="0" borderId="55" pivotButton="0" quotePrefix="0" xfId="0"/>
    <xf numFmtId="2" fontId="0" fillId="0" borderId="58" pivotButton="0" quotePrefix="0" xfId="0"/>
    <xf numFmtId="0" fontId="0" fillId="35" borderId="55" pivotButton="0" quotePrefix="0" xfId="0"/>
    <xf numFmtId="171" fontId="37" fillId="0" borderId="0" applyAlignment="1" pivotButton="0" quotePrefix="0" xfId="0">
      <alignment horizontal="right"/>
    </xf>
    <xf numFmtId="166" fontId="0" fillId="0" borderId="0" applyAlignment="1" pivotButton="0" quotePrefix="0" xfId="0">
      <alignment horizontal="left"/>
    </xf>
    <xf numFmtId="164" fontId="0" fillId="0" borderId="0" applyAlignment="1" pivotButton="0" quotePrefix="0" xfId="0">
      <alignment horizontal="left"/>
    </xf>
    <xf numFmtId="172" fontId="37" fillId="0" borderId="0" applyAlignment="1" pivotButton="0" quotePrefix="0" xfId="0">
      <alignment horizontal="right"/>
    </xf>
    <xf numFmtId="0" fontId="14" fillId="0" borderId="0" pivotButton="0" quotePrefix="0" xfId="71"/>
    <xf numFmtId="166" fontId="33" fillId="0" borderId="0" pivotButton="0" quotePrefix="0" xfId="0"/>
    <xf numFmtId="165" fontId="33" fillId="0" borderId="0" pivotButton="0" quotePrefix="0" xfId="0"/>
    <xf numFmtId="165" fontId="0" fillId="25" borderId="0" pivotButton="0" quotePrefix="0" xfId="0"/>
    <xf numFmtId="0" fontId="1" fillId="28" borderId="61" pivotButton="0" quotePrefix="0" xfId="0"/>
    <xf numFmtId="165" fontId="0" fillId="25" borderId="55" pivotButton="0" quotePrefix="0" xfId="0"/>
    <xf numFmtId="165" fontId="0" fillId="25" borderId="61" pivotButton="0" quotePrefix="0" xfId="0"/>
    <xf numFmtId="165" fontId="0" fillId="25" borderId="60" pivotButton="0" quotePrefix="0" xfId="0"/>
    <xf numFmtId="165" fontId="0" fillId="25" borderId="58" pivotButton="0" quotePrefix="0" xfId="0"/>
    <xf numFmtId="0" fontId="38" fillId="0" borderId="0" pivotButton="0" quotePrefix="0" xfId="0"/>
    <xf numFmtId="0" fontId="18" fillId="0" borderId="0" applyAlignment="1" pivotButton="0" quotePrefix="0" xfId="0">
      <alignment wrapText="1"/>
    </xf>
    <xf numFmtId="0" fontId="40" fillId="0" borderId="0" pivotButton="0" quotePrefix="0" xfId="0"/>
    <xf numFmtId="0" fontId="39" fillId="0" borderId="0" pivotButton="0" quotePrefix="0" xfId="0"/>
  </cellXfs>
  <cellStyles count="72">
    <cellStyle name="Normal" xfId="0" builtinId="0"/>
    <cellStyle name="Header: bottom row" xfId="1"/>
    <cellStyle name="Body: normal cell" xfId="2"/>
    <cellStyle name="Header: top rows" xfId="3"/>
    <cellStyle name="Section Break: parent row" xfId="4"/>
    <cellStyle name="Parent row" xfId="5"/>
    <cellStyle name="Footnotes: top row" xfId="6"/>
    <cellStyle name="Section Break" xfId="7"/>
    <cellStyle name="Font: Calibri, 9pt regular" xfId="8"/>
    <cellStyle name="Footnotes: all except top row" xfId="9"/>
    <cellStyle name="Table title" xfId="10"/>
    <cellStyle name="Normal 3" xfId="11"/>
    <cellStyle name="Normal 4" xfId="12"/>
    <cellStyle name="Normal 5" xfId="13"/>
    <cellStyle name="Normal 6" xfId="14"/>
    <cellStyle name="Normal 58" xfId="15"/>
    <cellStyle name="Percent" xfId="16" builtinId="5"/>
    <cellStyle name="Normal 2" xfId="17"/>
    <cellStyle name="Font: Calibri, 9pt regular 2" xfId="18"/>
    <cellStyle name="Header: bottom row 2" xfId="19"/>
    <cellStyle name="Table title 2" xfId="20"/>
    <cellStyle name="Parent row 2" xfId="21"/>
    <cellStyle name="Body: normal cell 2" xfId="22"/>
    <cellStyle name="Footnotes: top row 2" xfId="23"/>
    <cellStyle name="Neutral 2" xfId="24"/>
    <cellStyle name="60% - Accent1 2" xfId="25"/>
    <cellStyle name="60% - Accent2 2" xfId="26"/>
    <cellStyle name="60% - Accent3 2" xfId="27"/>
    <cellStyle name="60% - Accent4 2" xfId="28"/>
    <cellStyle name="60% - Accent5 2" xfId="29"/>
    <cellStyle name="60% - Accent6 2" xfId="30"/>
    <cellStyle name="Note 2" xfId="31"/>
    <cellStyle name="20% - Accent1 2" xfId="32"/>
    <cellStyle name="40% - Accent1 2" xfId="33"/>
    <cellStyle name="20% - Accent2 2" xfId="34"/>
    <cellStyle name="40% - Accent2 2" xfId="35"/>
    <cellStyle name="20% - Accent3 2" xfId="36"/>
    <cellStyle name="40% - Accent3 2" xfId="37"/>
    <cellStyle name="20% - Accent4 2" xfId="38"/>
    <cellStyle name="40% - Accent4 2" xfId="39"/>
    <cellStyle name="20% - Accent5 2" xfId="40"/>
    <cellStyle name="40% - Accent5 2" xfId="41"/>
    <cellStyle name="20% - Accent6 2" xfId="42"/>
    <cellStyle name="40% - Accent6 2" xfId="43"/>
    <cellStyle name="Normal 3 2" xfId="44"/>
    <cellStyle name="Normal 2 2" xfId="45"/>
    <cellStyle name="Normal 4 2 2" xfId="46"/>
    <cellStyle name="Comma 2" xfId="47"/>
    <cellStyle name="Body: normal cell 4" xfId="48"/>
    <cellStyle name="Font: Calibri, 9pt regular 4" xfId="49"/>
    <cellStyle name="Footnotes: top row 4" xfId="50"/>
    <cellStyle name="Header: bottom row 4" xfId="51"/>
    <cellStyle name="Parent row 4" xfId="52"/>
    <cellStyle name="Table title 4" xfId="53"/>
    <cellStyle name="Normal 5 2" xfId="54"/>
    <cellStyle name="Normal 4 2" xfId="55"/>
    <cellStyle name="Body: normal cell 3" xfId="56"/>
    <cellStyle name="Font: Calibri, 9pt regular 3" xfId="57"/>
    <cellStyle name="Footnotes: top row 3" xfId="58"/>
    <cellStyle name="Header: bottom row 3" xfId="59"/>
    <cellStyle name="Parent row 3" xfId="60"/>
    <cellStyle name="Table title 3" xfId="61"/>
    <cellStyle name="Normal 3 3" xfId="62"/>
    <cellStyle name="Body: normal cell 2 2" xfId="63"/>
    <cellStyle name="Font: Calibri, 9pt regular 2 2" xfId="64"/>
    <cellStyle name="Footnotes: top row 2 2" xfId="65"/>
    <cellStyle name="Header: bottom row 2 2" xfId="66"/>
    <cellStyle name="Parent row 2 2" xfId="67"/>
    <cellStyle name="Table title 2 2" xfId="68"/>
    <cellStyle name="Normal 7" xfId="69"/>
    <cellStyle name="Hyperlink 2" xfId="70"/>
    <cellStyle name="Hyperlink" xfId="71" builtinId="8"/>
  </cellStyles>
  <dxfs count="2">
    <dxf>
      <border>
        <left/>
        <right/>
        <top/>
        <bottom style="thick">
          <color theme="4"/>
        </bottom>
        <vertical/>
        <horizontal/>
      </border>
    </dxf>
    <dxf>
      <border>
        <left/>
        <right/>
        <top/>
        <bottom/>
        <vertical/>
        <horizontal style="dotted">
          <color theme="0" tint="-0.249946592608417"/>
        </horizontal>
      </border>
    </dxf>
  </dxfs>
  <tableStyles count="1" defaultTableStyle="TableStyleMedium2" defaultPivotStyle="PivotStyleLight16">
    <tableStyle name="Table Style 1" pivot="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externalLink" Target="/xl/externalLinks/externalLink1.xml" Id="rId28" /><Relationship Type="http://schemas.openxmlformats.org/officeDocument/2006/relationships/externalLink" Target="/xl/externalLinks/externalLink2.xml" Id="rId29" /><Relationship Type="http://schemas.openxmlformats.org/officeDocument/2006/relationships/externalLink" Target="/xl/externalLinks/externalLink3.xml" Id="rId30" /><Relationship Type="http://schemas.openxmlformats.org/officeDocument/2006/relationships/externalLink" Target="/xl/externalLinks/externalLink4.xml" Id="rId31" /><Relationship Type="http://schemas.openxmlformats.org/officeDocument/2006/relationships/externalLink" Target="/xl/externalLinks/externalLink5.xml" Id="rId32" /><Relationship Type="http://schemas.openxmlformats.org/officeDocument/2006/relationships/externalLink" Target="/xl/externalLinks/externalLink6.xml" Id="rId33" /><Relationship Type="http://schemas.openxmlformats.org/officeDocument/2006/relationships/externalLink" Target="/xl/externalLinks/externalLink7.xml" Id="rId34" /><Relationship Type="http://schemas.openxmlformats.org/officeDocument/2006/relationships/styles" Target="styles.xml" Id="rId35" /><Relationship Type="http://schemas.openxmlformats.org/officeDocument/2006/relationships/theme" Target="theme/theme1.xml" Id="rId36"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fuel-whr — cumulative % reduction vs CCE ($/MMBtu)</a:t>
            </a:r>
          </a:p>
        </rich>
      </tx>
      <overlay val="0"/>
      <spPr>
        <a:noFill/>
        <a:ln>
          <a:noFill/>
          <a:prstDash val="solid"/>
        </a:ln>
      </spPr>
    </title>
    <plotArea>
      <layout/>
      <lineChart>
        <grouping val="standard"/>
        <varyColors val="0"/>
        <ser>
          <idx val="0"/>
          <order val="0"/>
          <tx>
            <v>pulp paper and printing 17T18</v>
          </tx>
          <spPr>
            <a:ln w="28575" cap="rnd">
              <a:solidFill>
                <a:schemeClr val="accent1"/>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'fuel-whr'!$E$11:$CH$11</f>
              <numCache>
                <formatCode>0.00%</formatCode>
                <ptCount val="82"/>
                <pt idx="0">
                  <v>2.197856383915568e-05</v>
                </pt>
                <pt idx="1">
                  <v>0.0001744269892125009</v>
                </pt>
                <pt idx="2">
                  <v>0.000965916698223308</v>
                </pt>
                <pt idx="3">
                  <v>0.003766306615104647</v>
                </pt>
                <pt idx="4">
                  <v>0.01051822317387338</v>
                </pt>
                <pt idx="5">
                  <v>0.02161782622254192</v>
                </pt>
                <pt idx="6">
                  <v>0.03407312717607006</v>
                </pt>
                <pt idx="7">
                  <v>0.04363523343259157</v>
                </pt>
                <pt idx="8">
                  <v>0.04868233415695345</v>
                </pt>
                <pt idx="9">
                  <v>0.05053481062848252</v>
                </pt>
                <pt idx="10">
                  <v>0.05102040795885736</v>
                </pt>
                <pt idx="11">
                  <v>0.05111686661030436</v>
                </pt>
                <pt idx="12">
                  <v>0.05113308143286101</v>
                </pt>
                <pt idx="13">
                  <v>0.0511358449327995</v>
                </pt>
                <pt idx="14">
                  <v>0.05113660151063187</v>
                </pt>
                <pt idx="15">
                  <v>0.0511371496124193</v>
                </pt>
                <pt idx="16">
                  <v>0.05113776278770366</v>
                </pt>
                <pt idx="17">
                  <v>0.05113848701361204</v>
                </pt>
                <pt idx="18">
                  <v>0.05113933926283595</v>
                </pt>
                <pt idx="19">
                  <v>0.05114033347523547</v>
                </pt>
                <pt idx="20">
                  <v>0.05114148287622737</v>
                </pt>
                <pt idx="21">
                  <v>0.05114279972813454</v>
                </pt>
                <pt idx="22">
                  <v>0.05114429484461303</v>
                </pt>
                <pt idx="23">
                  <v>0.05114597707639507</v>
                </pt>
                <pt idx="24">
                  <v>0.05114785280220422</v>
                </pt>
                <pt idx="25">
                  <v>0.05114992545038526</v>
                </pt>
                <pt idx="26">
                  <v>0.05115219507765219</v>
                </pt>
                <pt idx="27">
                  <v>0.051154658031119</v>
                </pt>
                <pt idx="28">
                  <v>0.05115730671780671</v>
                </pt>
                <pt idx="29">
                  <v>0.05116012950206496</v>
                </pt>
                <pt idx="30">
                  <v>0.05116311074591896</v>
                </pt>
                <pt idx="31">
                  <v>0.05116623100051498</v>
                </pt>
                <pt idx="32">
                  <v>0.05116946734899148</v>
                </pt>
                <pt idx="33">
                  <v>0.05117279389275931</v>
                </pt>
                <pt idx="34">
                  <v>0.05117618236492018</v>
                </pt>
                <pt idx="35">
                  <v>0.0511796028469927</v>
                </pt>
                <pt idx="36">
                  <v>0.05118302455882689</v>
                </pt>
                <pt idx="37">
                  <v>0.05118641668706148</v>
                </pt>
                <pt idx="38">
                  <v>0.05118974921507154</v>
                </pt>
                <pt idx="39">
                  <v>0.05119299371726083</v>
                </pt>
                <pt idx="40">
                  <v>0.05119612408278035</v>
                </pt>
                <pt idx="41">
                  <v>0.05119911713812419</v>
                </pt>
                <pt idx="42">
                  <v>0.0512019531442184</v>
                </pt>
                <pt idx="43">
                  <v>0.05120461615109753</v>
                </pt>
                <pt idx="44">
                  <v>0.05120709420148505</v>
                </pt>
                <pt idx="45">
                  <v>0.05120937938295191</v>
                </pt>
                <pt idx="46">
                  <v>0.05121146773623379</v>
                </pt>
                <pt idx="47">
                  <v>0.05121335903422111</v>
                </pt>
                <pt idx="48">
                  <v>0.05121505645168738</v>
                </pt>
                <pt idx="49">
                  <v>0.05121656614971557</v>
                </pt>
                <pt idx="50">
                  <v>0.05121789680089545</v>
                </pt>
                <pt idx="51">
                  <v>0.0512190590817207</v>
                </pt>
                <pt idx="52">
                  <v>0.05122006515736752</v>
                </pt>
                <pt idx="53">
                  <v>0.05122092818144724</v>
                </pt>
                <pt idx="54">
                  <v>0.05122166182972638</v>
                </pt>
                <pt idx="55">
                  <v>0.05122227988256516</v>
                </pt>
                <pt idx="56">
                  <v>0.05122279586630975</v>
                </pt>
                <pt idx="57">
                  <v>0.05122322275942028</v>
                </pt>
                <pt idx="58">
                  <v>0.05122357276501225</v>
                </pt>
                <pt idx="59">
                  <v>0.05122385714794633</v>
                </pt>
                <pt idx="60">
                  <v>0.05122408613176219</v>
                </pt>
                <pt idx="61">
                  <v>0.05122426884867778</v>
                </pt>
                <pt idx="62">
                  <v>0.05122441333456573</v>
                </pt>
                <pt idx="63">
                  <v>0.05122452656021385</v>
                </pt>
                <pt idx="64">
                  <v>0.0512246144901802</v>
                </pt>
                <pt idx="65">
                  <v>0.05122468216104169</v>
                </pt>
                <pt idx="66">
                  <v>0.05122473377167759</v>
                </pt>
                <pt idx="67">
                  <v>0.05122477277929462</v>
                </pt>
                <pt idx="68">
                  <v>0.05122480199607359</v>
                </pt>
                <pt idx="69">
                  <v>0.05122482368249803</v>
                </pt>
                <pt idx="70">
                  <v>0.05122483963453971</v>
                </pt>
                <pt idx="71">
                  <v>0.05122485126286841</v>
                </pt>
                <pt idx="72">
                  <v>0.05122485966309547</v>
                </pt>
                <pt idx="73">
                  <v>0.05122486567673582</v>
                </pt>
                <pt idx="74">
                  <v>0.05122486994308677</v>
                </pt>
                <pt idx="75">
                  <v>0.05122487294258356</v>
                </pt>
                <pt idx="76">
                  <v>0.05122487503242302</v>
                </pt>
                <pt idx="77">
                  <v>0.05122487647536924</v>
                </pt>
                <pt idx="78">
                  <v>0.05122487746269407</v>
                </pt>
                <pt idx="79">
                  <v>0.05122487813218188</v>
                </pt>
                <pt idx="80">
                  <v>0.05122487858206321</v>
                </pt>
                <pt idx="81">
                  <v>0.05122487943688033</v>
                </pt>
              </numCache>
            </numRef>
          </val>
          <smooth val="0"/>
        </ser>
        <ser>
          <idx val="1"/>
          <order val="1"/>
          <tx>
            <v>refined petroleum and coke 19</v>
          </tx>
          <spPr>
            <a:ln w="28575" cap="rnd">
              <a:solidFill>
                <a:schemeClr val="accent2"/>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'fuel-whr'!$E$12:$CH$12</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2"/>
          <order val="2"/>
          <tx>
            <v>chemicals 20</v>
          </tx>
          <spPr>
            <a:ln w="28575" cap="rnd">
              <a:solidFill>
                <a:schemeClr val="accent3"/>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'fuel-whr'!$E$13:$CH$13</f>
              <numCache>
                <formatCode>0.00%</formatCode>
                <ptCount val="82"/>
                <pt idx="0">
                  <v>3.241716101298898e-05</v>
                </pt>
                <pt idx="1">
                  <v>0.0002581867699100757</v>
                </pt>
                <pt idx="2">
                  <v>0.001442949604768892</v>
                </pt>
                <pt idx="3">
                  <v>0.005640819607174617</v>
                </pt>
                <pt idx="4">
                  <v>0.01564727333533959</v>
                </pt>
                <pt idx="5">
                  <v>0.0318023032106401</v>
                </pt>
                <pt idx="6">
                  <v>0.04967577602542079</v>
                </pt>
                <pt idx="7">
                  <v>0.06341025217981443</v>
                </pt>
                <pt idx="8">
                  <v>0.07089293232650176</v>
                </pt>
                <pt idx="9">
                  <v>0.07391125452537545</v>
                </pt>
                <pt idx="10">
                  <v>0.07490046404721534</v>
                </pt>
                <pt idx="11">
                  <v>0.07521693116719153</v>
                </pt>
                <pt idx="12">
                  <v>0.07534650070972515</v>
                </pt>
                <pt idx="13">
                  <v>0.07542215111289133</v>
                </pt>
                <pt idx="14">
                  <v>0.07547408292925441</v>
                </pt>
                <pt idx="15">
                  <v>0.07550909190061708</v>
                </pt>
                <pt idx="16">
                  <v>0.07553080643922136</v>
                </pt>
                <pt idx="17">
                  <v>0.07554300664408418</v>
                </pt>
                <pt idx="18">
                  <v>0.07554919745313458</v>
                </pt>
                <pt idx="19">
                  <v>0.07555203335123378</v>
                </pt>
                <pt idx="20">
                  <v>0.07555320600115077</v>
                </pt>
                <pt idx="21">
                  <v>0.07555364369925879</v>
                </pt>
                <pt idx="22">
                  <v>0.07555379116992123</v>
                </pt>
                <pt idx="23">
                  <v>0.07555383601939028</v>
                </pt>
                <pt idx="24">
                  <v>0.0755538483313011</v>
                </pt>
                <pt idx="25">
                  <v>0.07555385138204387</v>
                </pt>
                <pt idx="26">
                  <v>0.07555385206437146</v>
                </pt>
                <pt idx="27">
                  <v>0.07555385220211855</v>
                </pt>
                <pt idx="28">
                  <v>0.0755538522272183</v>
                </pt>
                <pt idx="29">
                  <v>0.07555385223134636</v>
                </pt>
                <pt idx="30">
                  <v>0.07555385223195915</v>
                </pt>
                <pt idx="31">
                  <v>0.07555385223204125</v>
                </pt>
                <pt idx="32">
                  <v>0.07555385223205119</v>
                </pt>
                <pt idx="33">
                  <v>0.07555385223205227</v>
                </pt>
                <pt idx="34">
                  <v>0.07555385223205238</v>
                </pt>
                <pt idx="35">
                  <v>0.07555385223205238</v>
                </pt>
                <pt idx="36">
                  <v>0.07555385223205238</v>
                </pt>
                <pt idx="37">
                  <v>0.07555385223205238</v>
                </pt>
                <pt idx="38">
                  <v>0.07555385223205238</v>
                </pt>
                <pt idx="39">
                  <v>0.07555385223205238</v>
                </pt>
                <pt idx="40">
                  <v>0.07555385223205238</v>
                </pt>
                <pt idx="41">
                  <v>0.07555385223205238</v>
                </pt>
                <pt idx="42">
                  <v>0.07555385223205238</v>
                </pt>
                <pt idx="43">
                  <v>0.07555385223205238</v>
                </pt>
                <pt idx="44">
                  <v>0.07555385223205238</v>
                </pt>
                <pt idx="45">
                  <v>0.07555385223205238</v>
                </pt>
                <pt idx="46">
                  <v>0.07555385223205238</v>
                </pt>
                <pt idx="47">
                  <v>0.07555385223205238</v>
                </pt>
                <pt idx="48">
                  <v>0.07555385223205238</v>
                </pt>
                <pt idx="49">
                  <v>0.07555385223205238</v>
                </pt>
                <pt idx="50">
                  <v>0.07555385223205238</v>
                </pt>
                <pt idx="51">
                  <v>0.07555385223205238</v>
                </pt>
                <pt idx="52">
                  <v>0.07555385223205238</v>
                </pt>
                <pt idx="53">
                  <v>0.07555385223205238</v>
                </pt>
                <pt idx="54">
                  <v>0.07555385223205238</v>
                </pt>
                <pt idx="55">
                  <v>0.07555385223205238</v>
                </pt>
                <pt idx="56">
                  <v>0.07555385223205238</v>
                </pt>
                <pt idx="57">
                  <v>0.07555385223205238</v>
                </pt>
                <pt idx="58">
                  <v>0.07555385223205238</v>
                </pt>
                <pt idx="59">
                  <v>0.07555385223205238</v>
                </pt>
                <pt idx="60">
                  <v>0.07555385223205238</v>
                </pt>
                <pt idx="61">
                  <v>0.07555385223205238</v>
                </pt>
                <pt idx="62">
                  <v>0.07555385223205238</v>
                </pt>
                <pt idx="63">
                  <v>0.07555385223205238</v>
                </pt>
                <pt idx="64">
                  <v>0.07555385223205238</v>
                </pt>
                <pt idx="65">
                  <v>0.07555385223205238</v>
                </pt>
                <pt idx="66">
                  <v>0.07555385223205238</v>
                </pt>
                <pt idx="67">
                  <v>0.07555385223205238</v>
                </pt>
                <pt idx="68">
                  <v>0.07555385223205238</v>
                </pt>
                <pt idx="69">
                  <v>0.07555385223205238</v>
                </pt>
                <pt idx="70">
                  <v>0.07555385223205238</v>
                </pt>
                <pt idx="71">
                  <v>0.07555385223205238</v>
                </pt>
                <pt idx="72">
                  <v>0.07555385223205238</v>
                </pt>
                <pt idx="73">
                  <v>0.07555385223205238</v>
                </pt>
                <pt idx="74">
                  <v>0.07555385223205238</v>
                </pt>
                <pt idx="75">
                  <v>0.07555385223205238</v>
                </pt>
                <pt idx="76">
                  <v>0.07555385223205238</v>
                </pt>
                <pt idx="77">
                  <v>0.07555385223205238</v>
                </pt>
                <pt idx="78">
                  <v>0.07555385223205238</v>
                </pt>
                <pt idx="79">
                  <v>0.07555385223205238</v>
                </pt>
                <pt idx="80">
                  <v>0.07555385223205238</v>
                </pt>
                <pt idx="81">
                  <v>0.07555385223205238</v>
                </pt>
              </numCache>
            </numRef>
          </val>
          <smooth val="0"/>
        </ser>
        <ser>
          <idx val="3"/>
          <order val="3"/>
          <tx>
            <v>rubber and plastic products 22</v>
          </tx>
          <spPr>
            <a:ln w="28575" cap="rnd">
              <a:solidFill>
                <a:schemeClr val="accent4"/>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'fuel-whr'!$E$14:$CH$14</f>
              <numCache>
                <formatCode>0.00%</formatCode>
                <ptCount val="82"/>
                <pt idx="0">
                  <v>4.765144060484072e-05</v>
                </pt>
                <pt idx="1">
                  <v>8.133789504927257e-05</v>
                </pt>
                <pt idx="2">
                  <v>0.0001358813648151078</v>
                </pt>
                <pt idx="3">
                  <v>0.000222188637373548</v>
                </pt>
                <pt idx="4">
                  <v>0.0003556541978281767</v>
                </pt>
                <pt idx="5">
                  <v>0.0005573552887378276</v>
                </pt>
                <pt idx="6">
                  <v>0.0008552511766120744</v>
                </pt>
                <pt idx="7">
                  <v>0.001285221038163084</v>
                </pt>
                <pt idx="8">
                  <v>0.001891718214784774</v>
                </pt>
                <pt idx="9">
                  <v>0.002727777026594423</v>
                </pt>
                <pt idx="10">
                  <v>0.003854097982312145</v>
                </pt>
                <pt idx="11">
                  <v>0.005336973872579018</v>
                </pt>
                <pt idx="12">
                  <v>0.007244914077671755</v>
                </pt>
                <pt idx="13">
                  <v>0.009643979229939814</v>
                </pt>
                <pt idx="14">
                  <v>0.01259204156470892</v>
                </pt>
                <pt idx="15">
                  <v>0.01613241136922415</v>
                </pt>
                <pt idx="16">
                  <v>0.02028747757541546</v>
                </pt>
                <pt idx="17">
                  <v>0.02505315485460393</v>
                </pt>
                <pt idx="18">
                  <v>0.03039496782580535</v>
                </pt>
                <pt idx="19">
                  <v>0.03624650676599379</v>
                </pt>
                <pt idx="20">
                  <v>0.04251075410280107</v>
                </pt>
                <pt idx="21">
                  <v>0.04906443171774161</v>
                </pt>
                <pt idx="22">
                  <v>0.05576510792612439</v>
                </pt>
                <pt idx="23">
                  <v>0.06246040070629214</v>
                </pt>
                <pt idx="24">
                  <v>0.06899829502631029</v>
                </pt>
                <pt idx="25">
                  <v>0.07523741879023217</v>
                </pt>
                <pt idx="26">
                  <v>0.08105612840907273</v>
                </pt>
                <pt idx="27">
                  <v>0.08635943999755927</v>
                </pt>
                <pt idx="28">
                  <v>0.09108316901828233</v>
                </pt>
                <pt idx="29">
                  <v>0.0951950465862532</v>
                </pt>
                <pt idx="30">
                  <v>0.09869298963786365</v>
                </pt>
                <pt idx="31">
                  <v>0.1016010448519246</v>
                </pt>
                <pt idx="32">
                  <v>0.1039637520641008</v>
                </pt>
                <pt idx="33">
                  <v>0.1058397592705922</v>
                </pt>
                <pt idx="34">
                  <v>0.1072954744947637</v>
                </pt>
                <pt idx="35">
                  <v>0.1083993895611777</v>
                </pt>
                <pt idx="36">
                  <v>0.1092175005015555</v>
                </pt>
                <pt idx="37">
                  <v>0.1098100246160426</v>
                </pt>
                <pt idx="38">
                  <v>0.1102294137123912</v>
                </pt>
                <pt idx="39">
                  <v>0.1105195122241563</v>
                </pt>
                <pt idx="40">
                  <v>0.1107156183278252</v>
                </pt>
                <pt idx="41">
                  <v>0.1108451732591681</v>
                </pt>
                <pt idx="42">
                  <v>0.1109288171054595</v>
                </pt>
                <pt idx="43">
                  <v>0.1109815924688363</v>
                </pt>
                <pt idx="44">
                  <v>0.1110141345736432</v>
                </pt>
                <pt idx="45">
                  <v>0.1110337445556822</v>
                </pt>
                <pt idx="46">
                  <v>0.1110452930636847</v>
                </pt>
                <pt idx="47">
                  <v>0.1110519395431572</v>
                </pt>
                <pt idx="48">
                  <v>0.1110556778464779</v>
                </pt>
                <pt idx="49">
                  <v>0.1110577326696807</v>
                </pt>
                <pt idx="50">
                  <v>0.1110588364722884</v>
                </pt>
                <pt idx="51">
                  <v>0.1110594159348392</v>
                </pt>
                <pt idx="52">
                  <v>0.1110597132221058</v>
                </pt>
                <pt idx="53">
                  <v>0.111059862276296</v>
                </pt>
                <pt idx="54">
                  <v>0.1110599353109522</v>
                </pt>
                <pt idx="55">
                  <v>0.1110599702837741</v>
                </pt>
                <pt idx="56">
                  <v>0.1110599866500255</v>
                </pt>
                <pt idx="57">
                  <v>0.1110599941349012</v>
                </pt>
                <pt idx="58">
                  <v>0.1110599974802141</v>
                </pt>
                <pt idx="59">
                  <v>0.1110599989414006</v>
                </pt>
                <pt idx="60">
                  <v>0.111059999565123</v>
                </pt>
                <pt idx="61">
                  <v>0.1110599998253148</v>
                </pt>
                <pt idx="62">
                  <v>0.1110599999313897</v>
                </pt>
                <pt idx="63">
                  <v>0.1110599999736515</v>
                </pt>
                <pt idx="64">
                  <v>0.1110599999901066</v>
                </pt>
                <pt idx="65">
                  <v>0.111059999996368</v>
                </pt>
                <pt idx="66">
                  <v>0.1110599999986964</v>
                </pt>
                <pt idx="67">
                  <v>0.1110599999995425</v>
                </pt>
                <pt idx="68">
                  <v>0.1110599999998431</v>
                </pt>
                <pt idx="69">
                  <v>0.1110599999999474</v>
                </pt>
                <pt idx="70">
                  <v>0.1110599999999827</v>
                </pt>
                <pt idx="71">
                  <v>0.1110599999999945</v>
                </pt>
                <pt idx="72">
                  <v>0.1110599999999983</v>
                </pt>
                <pt idx="73">
                  <v>0.1110599999999995</v>
                </pt>
                <pt idx="74">
                  <v>0.1110599999999998</v>
                </pt>
                <pt idx="75">
                  <v>0.11106</v>
                </pt>
                <pt idx="76">
                  <v>0.11106</v>
                </pt>
                <pt idx="77">
                  <v>0.11106</v>
                </pt>
                <pt idx="78">
                  <v>0.11106</v>
                </pt>
                <pt idx="79">
                  <v>0.11106</v>
                </pt>
                <pt idx="80">
                  <v>0.11106</v>
                </pt>
                <pt idx="81">
                  <v>0.11106</v>
                </pt>
              </numCache>
            </numRef>
          </val>
          <smooth val="0"/>
        </ser>
        <ser>
          <idx val="4"/>
          <order val="4"/>
          <tx>
            <v>glass and glass products 231</v>
          </tx>
          <spPr>
            <a:ln w="28575" cap="rnd">
              <a:solidFill>
                <a:schemeClr val="accent5"/>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'fuel-whr'!$E$15:$CH$15</f>
              <numCache>
                <formatCode>0.00%</formatCode>
                <ptCount val="82"/>
                <pt idx="0">
                  <v>1.887297364781844e-05</v>
                </pt>
                <pt idx="1">
                  <v>4.771891428911243e-05</v>
                </pt>
                <pt idx="2">
                  <v>0.0001157886540180801</v>
                </pt>
                <pt idx="3">
                  <v>0.0002658138095867957</v>
                </pt>
                <pt idx="4">
                  <v>0.0005714607030993561</v>
                </pt>
                <pt idx="5">
                  <v>0.001143226006758568</v>
                </pt>
                <pt idx="6">
                  <v>0.002121413715338886</v>
                </pt>
                <pt idx="7">
                  <v>0.00364879803041069</v>
                </pt>
                <pt idx="8">
                  <v>0.005824417938282623</v>
                </pt>
                <pt idx="9">
                  <v>0.008654115942660802</v>
                </pt>
                <pt idx="10">
                  <v>0.01202346119543057</v>
                </pt>
                <pt idx="11">
                  <v>0.01571374090023401</v>
                </pt>
                <pt idx="12">
                  <v>0.01946030441908268</v>
                </pt>
                <pt idx="13">
                  <v>0.02302759441627551</v>
                </pt>
                <pt idx="14">
                  <v>0.02626516029326707</v>
                </pt>
                <pt idx="15">
                  <v>0.02912169813384134</v>
                </pt>
                <pt idx="16">
                  <v>0.03161963568192539</v>
                </pt>
                <pt idx="17">
                  <v>0.03381227744583524</v>
                </pt>
                <pt idx="18">
                  <v>0.03574781558632809</v>
                </pt>
                <pt idx="19">
                  <v>0.03745290850000211</v>
                </pt>
                <pt idx="20">
                  <v>0.0389344751429588</v>
                </pt>
                <pt idx="21">
                  <v>0.04019068369299537</v>
                </pt>
                <pt idx="22">
                  <v>0.04122217230746002</v>
                </pt>
                <pt idx="23">
                  <v>0.04203864689715145</v>
                </pt>
                <pt idx="24">
                  <v>0.04266014239037062</v>
                </pt>
                <pt idx="25">
                  <v>0.04311454222190078</v>
                </pt>
                <pt idx="26">
                  <v>0.04343348672122756</v>
                </pt>
                <pt idx="27">
                  <v>0.04364835618509537</v>
                </pt>
                <pt idx="28">
                  <v>0.04378728128627255</v>
                </pt>
                <pt idx="29">
                  <v>0.04387348384551579</v>
                </pt>
                <pt idx="30">
                  <v>0.04392481589225405</v>
                </pt>
                <pt idx="31">
                  <v>0.04395415078532224</v>
                </pt>
                <pt idx="32">
                  <v>0.04397023898368418</v>
                </pt>
                <pt idx="33">
                  <v>0.04397870651932352</v>
                </pt>
                <pt idx="34">
                  <v>0.04398298345960601</v>
                </pt>
                <pt idx="35">
                  <v>0.04398505663333799</v>
                </pt>
                <pt idx="36">
                  <v>0.04398602104929646</v>
                </pt>
                <pt idx="37">
                  <v>0.04398645159481385</v>
                </pt>
                <pt idx="38">
                  <v>0.04398663605368808</v>
                </pt>
                <pt idx="39">
                  <v>0.04398671189496378</v>
                </pt>
                <pt idx="40">
                  <v>0.04398674182016551</v>
                </pt>
                <pt idx="41">
                  <v>0.04398675315182991</v>
                </pt>
                <pt idx="42">
                  <v>0.04398675726972474</v>
                </pt>
                <pt idx="43">
                  <v>0.0439867587058142</v>
                </pt>
                <pt idx="44">
                  <v>0.04398675918644564</v>
                </pt>
                <pt idx="45">
                  <v>0.04398675934081712</v>
                </pt>
                <pt idx="46">
                  <v>0.04398675938839947</v>
                </pt>
                <pt idx="47">
                  <v>0.04398675940247447</v>
                </pt>
                <pt idx="48">
                  <v>0.04398675940647</v>
                </pt>
                <pt idx="49">
                  <v>0.04398675940755849</v>
                </pt>
                <pt idx="50">
                  <v>0.04398675940784305</v>
                </pt>
                <pt idx="51">
                  <v>0.04398675940791445</v>
                </pt>
                <pt idx="52">
                  <v>0.04398675940793165</v>
                </pt>
                <pt idx="53">
                  <v>0.04398675940793562</v>
                </pt>
                <pt idx="54">
                  <v>0.0439867594079365</v>
                </pt>
                <pt idx="55">
                  <v>0.04398675940793668</v>
                </pt>
                <pt idx="56">
                  <v>0.04398675940793673</v>
                </pt>
                <pt idx="57">
                  <v>0.04398675940793673</v>
                </pt>
                <pt idx="58">
                  <v>0.04398675940793673</v>
                </pt>
                <pt idx="59">
                  <v>0.04398675940793673</v>
                </pt>
                <pt idx="60">
                  <v>0.04398675940793673</v>
                </pt>
                <pt idx="61">
                  <v>0.04398675940793673</v>
                </pt>
                <pt idx="62">
                  <v>0.04398675940793673</v>
                </pt>
                <pt idx="63">
                  <v>0.04398675940793673</v>
                </pt>
                <pt idx="64">
                  <v>0.04398675940793673</v>
                </pt>
                <pt idx="65">
                  <v>0.04398675940793673</v>
                </pt>
                <pt idx="66">
                  <v>0.04398675940793673</v>
                </pt>
                <pt idx="67">
                  <v>0.04398675940793673</v>
                </pt>
                <pt idx="68">
                  <v>0.04398675940793673</v>
                </pt>
                <pt idx="69">
                  <v>0.04398675940793673</v>
                </pt>
                <pt idx="70">
                  <v>0.04398675940793673</v>
                </pt>
                <pt idx="71">
                  <v>0.04398675940793673</v>
                </pt>
                <pt idx="72">
                  <v>0.04398675940793673</v>
                </pt>
                <pt idx="73">
                  <v>0.04398675940793673</v>
                </pt>
                <pt idx="74">
                  <v>0.04398675940793673</v>
                </pt>
                <pt idx="75">
                  <v>0.04398675940793673</v>
                </pt>
                <pt idx="76">
                  <v>0.04398675940793673</v>
                </pt>
                <pt idx="77">
                  <v>0.04398675940793673</v>
                </pt>
                <pt idx="78">
                  <v>0.04398675940793673</v>
                </pt>
                <pt idx="79">
                  <v>0.04398675940793673</v>
                </pt>
                <pt idx="80">
                  <v>0.04398675940793673</v>
                </pt>
                <pt idx="81">
                  <v>0.04398675940793673</v>
                </pt>
              </numCache>
            </numRef>
          </val>
          <smooth val="0"/>
        </ser>
        <ser>
          <idx val="5"/>
          <order val="5"/>
          <tx>
            <v>cement and other nonmetallic m</v>
          </tx>
          <spPr>
            <a:ln w="28575" cap="rnd">
              <a:solidFill>
                <a:schemeClr val="accent6"/>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'fuel-whr'!$E$16:$CH$16</f>
              <numCache>
                <formatCode>0.00%</formatCode>
                <ptCount val="82"/>
                <pt idx="0">
                  <v>2.050356902347527e-05</v>
                </pt>
                <pt idx="1">
                  <v>9.440053586354998e-05</v>
                </pt>
                <pt idx="2">
                  <v>0.000387597065268167</v>
                </pt>
                <pt idx="3">
                  <v>0.001307437603180798</v>
                </pt>
                <pt idx="4">
                  <v>0.003550997139311538</v>
                </pt>
                <pt idx="5">
                  <v>0.007790711039172537</v>
                </pt>
                <pt idx="6">
                  <v>0.01402525319421778</v>
                </pt>
                <pt idx="7">
                  <v>0.021227221293148</v>
                </pt>
                <pt idx="8">
                  <v>0.02784194487806882</v>
                </pt>
                <pt idx="9">
                  <v>0.0327363527925385</v>
                </pt>
                <pt idx="10">
                  <v>0.0357072700758482</v>
                </pt>
                <pt idx="11">
                  <v>0.03725239103203509</v>
                </pt>
                <pt idx="12">
                  <v>0.03803211292978864</v>
                </pt>
                <pt idx="13">
                  <v>0.03851574522049456</v>
                </pt>
                <pt idx="14">
                  <v>0.03892833713873842</v>
                </pt>
                <pt idx="15">
                  <v>0.03934269879354531</v>
                </pt>
                <pt idx="16">
                  <v>0.03976843041261</v>
                </pt>
                <pt idx="17">
                  <v>0.04019704132497333</v>
                </pt>
                <pt idx="18">
                  <v>0.0406181330266429</v>
                </pt>
                <pt idx="19">
                  <v>0.04102423027398223</v>
                </pt>
                <pt idx="20">
                  <v>0.04141197409245435</v>
                </pt>
                <pt idx="21">
                  <v>0.04178187404814483</v>
                </pt>
                <pt idx="22">
                  <v>0.04213726961274279</v>
                </pt>
                <pt idx="23">
                  <v>0.04248292770680522</v>
                </pt>
                <pt idx="24">
                  <v>0.04282366476206226</v>
                </pt>
                <pt idx="25">
                  <v>0.04316328011598958</v>
                </pt>
                <pt idx="26">
                  <v>0.04350393733200476</v>
                </pt>
                <pt idx="27">
                  <v>0.04384598781879213</v>
                </pt>
                <pt idx="28">
                  <v>0.04418813690715107</v>
                </pt>
                <pt idx="29">
                  <v>0.04452781693313836</v>
                </pt>
                <pt idx="30">
                  <v>0.04486164234728286</v>
                </pt>
                <pt idx="31">
                  <v>0.04518585622886274</v>
                </pt>
                <pt idx="32">
                  <v>0.04549671586132172</v>
                </pt>
                <pt idx="33">
                  <v>0.04579079541374554</v>
                </pt>
                <pt idx="34">
                  <v>0.04606520277856516</v>
                </pt>
                <pt idx="35">
                  <v>0.04631771703602121</v>
                </pt>
                <pt idx="36">
                  <v>0.04654685651292943</v>
                </pt>
                <pt idx="37">
                  <v>0.04675188821227144</v>
                </pt>
                <pt idx="38">
                  <v>0.04693278944838449</v>
                </pt>
                <pt idx="39">
                  <v>0.0470901725647797</v>
                </pt>
                <pt idx="40">
                  <v>0.04722518364878202</v>
                </pt>
                <pt idx="41">
                  <v>0.04733938594002546</v>
                </pt>
                <pt idx="42">
                  <v>0.04743463793900018</v>
                </pt>
                <pt idx="43">
                  <v>0.04751297498390945</v>
                </pt>
                <pt idx="44">
                  <v>0.04757650135457779</v>
                </pt>
                <pt idx="45">
                  <v>0.04762729795701576</v>
                </pt>
                <pt idx="46">
                  <v>0.04766734855841007</v>
                </pt>
                <pt idx="47">
                  <v>0.0476984855873691</v>
                </pt>
                <pt idx="48">
                  <v>0.04772235485251664</v>
                </pt>
                <pt idx="49">
                  <v>0.04774039726775064</v>
                </pt>
                <pt idx="50">
                  <v>0.04775384484482754</v>
                </pt>
                <pt idx="51">
                  <v>0.04776372780742164</v>
                </pt>
                <pt idx="52">
                  <v>0.04777088963727003</v>
                </pt>
                <pt idx="53">
                  <v>0.0477760070987279</v>
                </pt>
                <pt idx="54">
                  <v>0.04777961270992126</v>
                </pt>
                <pt idx="55">
                  <v>0.04778211764764861</v>
                </pt>
                <pt idx="56">
                  <v>0.04778383361372678</v>
                </pt>
                <pt idx="57">
                  <v>0.04778499269578435</v>
                </pt>
                <pt idx="58">
                  <v>0.04778576468882298</v>
                </pt>
                <pt idx="59">
                  <v>0.04778627168688296</v>
                </pt>
                <pt idx="60">
                  <v>0.04778660000354144</v>
                </pt>
                <pt idx="61">
                  <v>0.04778680964310371</v>
                </pt>
                <pt idx="62">
                  <v>0.04778694163500016</v>
                </pt>
                <pt idx="63">
                  <v>0.04778702357859041</v>
                </pt>
                <pt idx="64">
                  <v>0.04778707374076985</v>
                </pt>
                <pt idx="65">
                  <v>0.04778710401907013</v>
                </pt>
                <pt idx="66">
                  <v>0.04778712204012739</v>
                </pt>
                <pt idx="67">
                  <v>0.04778713261615841</v>
                </pt>
                <pt idx="68">
                  <v>0.04778713873626288</v>
                </pt>
                <pt idx="69">
                  <v>0.04778714222837854</v>
                </pt>
                <pt idx="70">
                  <v>0.0477871441931501</v>
                </pt>
                <pt idx="71">
                  <v>0.04778714528315677</v>
                </pt>
                <pt idx="72">
                  <v>0.04778714587942257</v>
                </pt>
                <pt idx="73">
                  <v>0.04778714620104349</v>
                </pt>
                <pt idx="74">
                  <v>0.04778714637210106</v>
                </pt>
                <pt idx="75">
                  <v>0.04778714646180963</v>
                </pt>
                <pt idx="76">
                  <v>0.04778714650819908</v>
                </pt>
                <pt idx="77">
                  <v>0.04778714653185273</v>
                </pt>
                <pt idx="78">
                  <v>0.04778714654374516</v>
                </pt>
                <pt idx="79">
                  <v>0.04778714654964088</v>
                </pt>
                <pt idx="80">
                  <v>0.04778714655252289</v>
                </pt>
                <pt idx="81">
                  <v>0.04778714655514193</v>
                </pt>
              </numCache>
            </numRef>
          </val>
          <smooth val="0"/>
        </ser>
        <ser>
          <idx val="6"/>
          <order val="6"/>
          <tx>
            <v>iron and steel 241</v>
          </tx>
          <spPr>
            <a:ln w="28575" cap="rnd">
              <a:solidFill>
                <a:schemeClr val="accent1">
                  <a:lumMod val="60000"/>
                </a:schemeClr>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'fuel-whr'!$E$17:$CH$17</f>
              <numCache>
                <formatCode>0.00%</formatCode>
                <ptCount val="82"/>
                <pt idx="0">
                  <v>2.590805423680726e-05</v>
                </pt>
                <pt idx="1">
                  <v>0.0001154522756492213</v>
                </pt>
                <pt idx="2">
                  <v>0.0004653853270382657</v>
                </pt>
                <pt idx="3">
                  <v>0.00155159199489058</v>
                </pt>
                <pt idx="4">
                  <v>0.004204559624823077</v>
                </pt>
                <pt idx="5">
                  <v>0.009292839747839357</v>
                </pt>
                <pt idx="6">
                  <v>0.01696887567814779</v>
                </pt>
                <pt idx="7">
                  <v>0.02610963714001545</v>
                </pt>
                <pt idx="8">
                  <v>0.03473879342014836</v>
                </pt>
                <pt idx="9">
                  <v>0.0412279287254715</v>
                </pt>
                <pt idx="10">
                  <v>0.04514775681746936</v>
                </pt>
                <pt idx="11">
                  <v>0.04709746202390684</v>
                </pt>
                <pt idx="12">
                  <v>0.04796658683379271</v>
                </pt>
                <pt idx="13">
                  <v>0.04840228374328602</v>
                </pt>
                <pt idx="14">
                  <v>0.04871693817913471</v>
                </pt>
                <pt idx="15">
                  <v>0.04901467052362114</v>
                </pt>
                <pt idx="16">
                  <v>0.04931442811384503</v>
                </pt>
                <pt idx="17">
                  <v>0.04961046039689045</v>
                </pt>
                <pt idx="18">
                  <v>0.04989288073268255</v>
                </pt>
                <pt idx="19">
                  <v>0.05015345575639939</v>
                </pt>
                <pt idx="20">
                  <v>0.05038724658699185</v>
                </pt>
                <pt idx="21">
                  <v>0.05059290887631993</v>
                </pt>
                <pt idx="22">
                  <v>0.05077225811631365</v>
                </pt>
                <pt idx="23">
                  <v>0.05092937748284459</v>
                </pt>
                <pt idx="24">
                  <v>0.05106954632753424</v>
                </pt>
                <pt idx="25">
                  <v>0.05119824170318285</v>
                </pt>
                <pt idx="26">
                  <v>0.05132038323219314</v>
                </pt>
                <pt idx="27">
                  <v>0.05143988791910466</v>
                </pt>
                <pt idx="28">
                  <v>0.05155951279319924</v>
                </pt>
                <pt idx="29">
                  <v>0.05168091032074114</v>
                </pt>
                <pt idx="30">
                  <v>0.05180480662314465</v>
                </pt>
                <pt idx="31">
                  <v>0.05193122515303724</v>
                </pt>
                <pt idx="32">
                  <v>0.0520597037878992</v>
                </pt>
                <pt idx="33">
                  <v>0.05218947892731447</v>
                </pt>
                <pt idx="34">
                  <v>0.05231962923041088</v>
                </pt>
                <pt idx="35">
                  <v>0.05244918240960788</v>
                </pt>
                <pt idx="36">
                  <v>0.05257719253851362</v>
                </pt>
                <pt idx="37">
                  <v>0.05270279528645395</v>
                </pt>
                <pt idx="38">
                  <v>0.05282524672465357</v>
                </pt>
                <pt idx="39">
                  <v>0.05294394937915841</v>
                </pt>
                <pt idx="40">
                  <v>0.05305846773081599</v>
                </pt>
                <pt idx="41">
                  <v>0.05316853452879337</v>
                </pt>
                <pt idx="42">
                  <v>0.05327404896733297</v>
                </pt>
                <pt idx="43">
                  <v>0.05337506777612787</v>
                </pt>
                <pt idx="44">
                  <v>0.05347179041517287</v>
                </pt>
                <pt idx="45">
                  <v>0.05356453972112257</v>
                </pt>
                <pt idx="46">
                  <v>0.05365373945219432</v>
                </pt>
                <pt idx="47">
                  <v>0.05373989019046922</v>
                </pt>
                <pt idx="48">
                  <v>0.05382354497898004</v>
                </pt>
                <pt idx="49">
                  <v>0.05390528590790934</v>
                </pt>
                <pt idx="50">
                  <v>0.05398570264061385</v>
                </pt>
                <pt idx="51">
                  <v>0.05406537361115335</v>
                </pt>
                <pt idx="52">
                  <v>0.05414485035576585</v>
                </pt>
                <pt idx="53">
                  <v>0.05422464518379531</v>
                </pt>
                <pt idx="54">
                  <v>0.0543052221668199</v>
                </pt>
                <pt idx="55">
                  <v>0.05438699124037819</v>
                </pt>
                <pt idx="56">
                  <v>0.05447030507712933</v>
                </pt>
                <pt idx="57">
                  <v>0.05455545830449085</v>
                </pt>
                <pt idx="58">
                  <v>0.05464268860029312</v>
                </pt>
                <pt idx="59">
                  <v>0.05473217920005241</v>
                </pt>
                <pt idx="60">
                  <v>0.05482406238044348</v>
                </pt>
                <pt idx="61">
                  <v>0.05491842353609462</v>
                </pt>
                <pt idx="62">
                  <v>0.05501530553191249</v>
                </pt>
                <pt idx="63">
                  <v>0.05511471308284022</v>
                </pt>
                <pt idx="64">
                  <v>0.0552166169808919</v>
                </pt>
                <pt idx="65">
                  <v>0.0553209580508793</v>
                </pt>
                <pt idx="66">
                  <v>0.05542765076857067</v>
                </pt>
                <pt idx="67">
                  <v>0.05553658651674701</v>
                </pt>
                <pt idx="68">
                  <v>0.05564763648563906</v>
                </pt>
                <pt idx="69">
                  <v>0.05576065424532643</v>
                </pt>
                <pt idx="70">
                  <v>0.05587547803022408</v>
                </pt>
                <pt idx="71">
                  <v>0.05599193278141384</v>
                </pt>
                <pt idx="72">
                  <v>0.056109831992999</v>
                </pt>
                <pt idx="73">
                  <v>0.05622897940545168</v>
                </pt>
                <pt idx="74">
                  <v>0.05634917058345686</v>
                </pt>
                <pt idx="75">
                  <v>0.05647019440913897</v>
                </pt>
                <pt idx="76">
                  <v>0.05659183451462181</v>
                </pt>
                <pt idx="77">
                  <v>0.05671387067120425</v>
                </pt>
                <pt idx="78">
                  <v>0.05683608014640223</v>
                </pt>
                <pt idx="79">
                  <v>0.05695823903491218</v>
                </pt>
                <pt idx="80">
                  <v>0.05708012356526658</v>
                </pt>
                <pt idx="81">
                  <v>0.06038324271034769</v>
                </pt>
              </numCache>
            </numRef>
          </val>
          <smooth val="0"/>
        </ser>
        <ser>
          <idx val="7"/>
          <order val="7"/>
          <tx>
            <v>other metals 242</v>
          </tx>
          <spPr>
            <a:ln w="28575" cap="rnd">
              <a:solidFill>
                <a:schemeClr val="accent2">
                  <a:lumMod val="60000"/>
                </a:schemeClr>
              </a:solidFill>
              <a:prstDash val="solid"/>
              <a:round/>
            </a:ln>
          </spPr>
          <marker>
            <symbol val="none"/>
            <spPr>
              <a:ln>
                <a:prstDash val="solid"/>
              </a:ln>
            </spPr>
          </marker>
          <cat>
            <numRef>
              <f>'fuel-whr'!$E$3:$CH$3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'fuel-whr'!$E$18:$CH$18</f>
              <numCache>
                <formatCode>0.00%</formatCode>
                <ptCount val="82"/>
                <pt idx="0">
                  <v>1.3460735321345e-05</v>
                </pt>
                <pt idx="1">
                  <v>8.485582864077473e-05</v>
                </pt>
                <pt idx="2">
                  <v>0.0004068252305182128</v>
                </pt>
                <pt idx="3">
                  <v>0.001480637333610052</v>
                </pt>
                <pt idx="4">
                  <v>0.004118703835618555</v>
                </pt>
                <pt idx="5">
                  <v>0.008892155787599242</v>
                </pt>
                <pt idx="6">
                  <v>0.0152765293323075</v>
                </pt>
                <pt idx="7">
                  <v>0.02164124818205097</v>
                </pt>
                <pt idx="8">
                  <v>0.02644509143100095</v>
                </pt>
                <pt idx="9">
                  <v>0.02926225700437171</v>
                </pt>
                <pt idx="10">
                  <v>0.03059432401874583</v>
                </pt>
                <pt idx="11">
                  <v>0.03112294851722804</v>
                </pt>
                <pt idx="12">
                  <v>0.03130348506414885</v>
                </pt>
                <pt idx="13">
                  <v>0.03135641769344872</v>
                </pt>
                <pt idx="14">
                  <v>0.03136945899944423</v>
                </pt>
                <pt idx="15">
                  <v>0.03137209803163209</v>
                </pt>
                <pt idx="16">
                  <v>0.03137253001780231</v>
                </pt>
                <pt idx="17">
                  <v>0.03137258676996037</v>
                </pt>
                <pt idx="18">
                  <v>0.03137259273332416</v>
                </pt>
                <pt idx="19">
                  <v>0.03137259323382459</v>
                </pt>
                <pt idx="20">
                  <v>0.03137259326735845</v>
                </pt>
                <pt idx="21">
                  <v>0.03137259326915158</v>
                </pt>
                <pt idx="22">
                  <v>0.03137259326922809</v>
                </pt>
                <pt idx="23">
                  <v>0.03137259326923069</v>
                </pt>
                <pt idx="24">
                  <v>0.03137259326923076</v>
                </pt>
                <pt idx="25">
                  <v>0.03137259326923076</v>
                </pt>
                <pt idx="26">
                  <v>0.03137259326923076</v>
                </pt>
                <pt idx="27">
                  <v>0.03137259326923076</v>
                </pt>
                <pt idx="28">
                  <v>0.03137259326923076</v>
                </pt>
                <pt idx="29">
                  <v>0.03137259326923076</v>
                </pt>
                <pt idx="30">
                  <v>0.03137259326923076</v>
                </pt>
                <pt idx="31">
                  <v>0.03137259326923076</v>
                </pt>
                <pt idx="32">
                  <v>0.03137259326923076</v>
                </pt>
                <pt idx="33">
                  <v>0.03137259326923076</v>
                </pt>
                <pt idx="34">
                  <v>0.03137259326923076</v>
                </pt>
                <pt idx="35">
                  <v>0.03137259326923076</v>
                </pt>
                <pt idx="36">
                  <v>0.03137259326923076</v>
                </pt>
                <pt idx="37">
                  <v>0.03137259326923076</v>
                </pt>
                <pt idx="38">
                  <v>0.03137259326923076</v>
                </pt>
                <pt idx="39">
                  <v>0.03137259326923076</v>
                </pt>
                <pt idx="40">
                  <v>0.03137259326923076</v>
                </pt>
                <pt idx="41">
                  <v>0.03137259326923076</v>
                </pt>
                <pt idx="42">
                  <v>0.03137259326923076</v>
                </pt>
                <pt idx="43">
                  <v>0.03137259326923076</v>
                </pt>
                <pt idx="44">
                  <v>0.03137259326923076</v>
                </pt>
                <pt idx="45">
                  <v>0.03137259326923076</v>
                </pt>
                <pt idx="46">
                  <v>0.03137259326923076</v>
                </pt>
                <pt idx="47">
                  <v>0.03137259326923076</v>
                </pt>
                <pt idx="48">
                  <v>0.03137259326923076</v>
                </pt>
                <pt idx="49">
                  <v>0.03137259326923076</v>
                </pt>
                <pt idx="50">
                  <v>0.03137259326923076</v>
                </pt>
                <pt idx="51">
                  <v>0.03137259326923076</v>
                </pt>
                <pt idx="52">
                  <v>0.03137259326923076</v>
                </pt>
                <pt idx="53">
                  <v>0.03137259326923076</v>
                </pt>
                <pt idx="54">
                  <v>0.03137259326923076</v>
                </pt>
                <pt idx="55">
                  <v>0.03137259326923076</v>
                </pt>
                <pt idx="56">
                  <v>0.03137259326923076</v>
                </pt>
                <pt idx="57">
                  <v>0.03137259326923076</v>
                </pt>
                <pt idx="58">
                  <v>0.03137259326923076</v>
                </pt>
                <pt idx="59">
                  <v>0.03137259326923076</v>
                </pt>
                <pt idx="60">
                  <v>0.03137259326923076</v>
                </pt>
                <pt idx="61">
                  <v>0.03137259326923076</v>
                </pt>
                <pt idx="62">
                  <v>0.03137259326923076</v>
                </pt>
                <pt idx="63">
                  <v>0.03137259326923076</v>
                </pt>
                <pt idx="64">
                  <v>0.03137259326923076</v>
                </pt>
                <pt idx="65">
                  <v>0.03137259326923076</v>
                </pt>
                <pt idx="66">
                  <v>0.03137259326923076</v>
                </pt>
                <pt idx="67">
                  <v>0.03137259326923076</v>
                </pt>
                <pt idx="68">
                  <v>0.03137259326923076</v>
                </pt>
                <pt idx="69">
                  <v>0.03137259326923076</v>
                </pt>
                <pt idx="70">
                  <v>0.03137259326923076</v>
                </pt>
                <pt idx="71">
                  <v>0.03137259326923076</v>
                </pt>
                <pt idx="72">
                  <v>0.03137259326923076</v>
                </pt>
                <pt idx="73">
                  <v>0.03137259326923076</v>
                </pt>
                <pt idx="74">
                  <v>0.03137259326923076</v>
                </pt>
                <pt idx="75">
                  <v>0.03137259326923076</v>
                </pt>
                <pt idx="76">
                  <v>0.03137259326923076</v>
                </pt>
                <pt idx="77">
                  <v>0.03137259326923076</v>
                </pt>
                <pt idx="78">
                  <v>0.03137259326923076</v>
                </pt>
                <pt idx="79">
                  <v>0.03137259326923076</v>
                </pt>
                <pt idx="80">
                  <v>0.03137259326923076</v>
                </pt>
                <pt idx="81">
                  <v>0.03137259326923076</v>
                </pt>
              </numCache>
            </numRef>
          </val>
          <smooth val="0"/>
        </ser>
        <dLbls>
          <showLegendKey val="0"/>
          <showVal val="0"/>
          <showCatName val="0"/>
          <showSerName val="0"/>
          <showPercent val="0"/>
          <showBubbleSize val="0"/>
        </dLbls>
        <smooth val="0"/>
        <axId val="1429713535"/>
        <axId val="1145075600"/>
      </lineChart>
      <catAx>
        <axId val="1429713535"/>
        <scaling>
          <orientation val="minMax"/>
        </scaling>
        <delete val="0"/>
        <axPos val="b"/>
        <numFmt formatCode="0.0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45075600"/>
        <crosses val="autoZero"/>
        <auto val="1"/>
        <lblAlgn val="ctr"/>
        <lblOffset val="100"/>
        <noMultiLvlLbl val="0"/>
      </catAx>
      <valAx>
        <axId val="1145075600"/>
        <scaling>
          <orientation val="minMax"/>
        </scaling>
        <delete val="0"/>
        <axPos val="l"/>
        <majorGridlines>
          <spPr>
            <a:l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429713535"/>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fuel-process — cumulative % reduction vs CCE ($/MMBtu)</a:t>
            </a:r>
          </a:p>
        </rich>
      </tx>
      <overlay val="0"/>
      <spPr>
        <a:noFill/>
        <a:ln>
          <a:noFill/>
          <a:prstDash val="solid"/>
        </a:ln>
      </spPr>
    </title>
    <plotArea>
      <layout/>
      <lineChart>
        <grouping val="standard"/>
        <varyColors val="0"/>
        <ser>
          <idx val="0"/>
          <order val="0"/>
          <tx>
            <v>pulp paper and printing 17T18</v>
          </tx>
          <spPr>
            <a:ln w="28575" cap="rnd">
              <a:solidFill>
                <a:schemeClr val="accent1"/>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'fuel-process'!$E$11:$CH$11</f>
              <numCache>
                <formatCode>0.00%</formatCode>
                <ptCount val="82"/>
                <pt idx="0">
                  <v>1.306260743590983e-07</v>
                </pt>
                <pt idx="1">
                  <v>2.900098147587195e-07</v>
                </pt>
                <pt idx="2">
                  <v>6.132140206153268e-07</v>
                </pt>
                <pt idx="3">
                  <v>1.2353582857719e-06</v>
                </pt>
                <pt idx="4">
                  <v>2.372165020756032e-06</v>
                </pt>
                <pt idx="5">
                  <v>4.343969794513602e-06</v>
                </pt>
                <pt idx="6">
                  <v>7.59052810741726e-06</v>
                </pt>
                <pt idx="7">
                  <v>1.266469530267321e-05</v>
                </pt>
                <pt idx="8">
                  <v>2.0192855243151e-05</v>
                </pt>
                <pt idx="9">
                  <v>3.079504570596104e-05</v>
                </pt>
                <pt idx="10">
                  <v>4.496881117075345e-05</v>
                </pt>
                <pt idx="11">
                  <v>6.295577691554182e-05</v>
                </pt>
                <pt idx="12">
                  <v>8.462352216063775e-05</v>
                </pt>
                <pt idx="13">
                  <v>0.0001094007536234656</v>
                </pt>
                <pt idx="14">
                  <v>0.0001362959765413811</v>
                </pt>
                <pt idx="15">
                  <v>0.0001640088063167925</v>
                </pt>
                <pt idx="16">
                  <v>0.0001911150895002165</v>
                </pt>
                <pt idx="17">
                  <v>0.00021628272571461</v>
                </pt>
                <pt idx="18">
                  <v>0.0002384645982694963</v>
                </pt>
                <pt idx="19">
                  <v>0.0002570228576201834</v>
                </pt>
                <pt idx="20">
                  <v>0.000271761566392309</v>
                </pt>
                <pt idx="21">
                  <v>0.0002828728614576112</v>
                </pt>
                <pt idx="22">
                  <v>0.0002908244303065937</v>
                </pt>
                <pt idx="23">
                  <v>0.0002962260461574127</v>
                </pt>
                <pt idx="24">
                  <v>0.0002997092356134041</v>
                </pt>
                <pt idx="25">
                  <v>0.0003018413613185996</v>
                </pt>
                <pt idx="26">
                  <v>0.0003030802451158892</v>
                </pt>
                <pt idx="27">
                  <v>0.0003037635745426905</v>
                </pt>
                <pt idx="28">
                  <v>0.0003041213505046723</v>
                </pt>
                <pt idx="29">
                  <v>0.0003042991675350188</v>
                </pt>
                <pt idx="30">
                  <v>0.0003043830587260214</v>
                </pt>
                <pt idx="31">
                  <v>0.0003044206286060114</v>
                </pt>
                <pt idx="32">
                  <v>0.0003044366000175746</v>
                </pt>
                <pt idx="33">
                  <v>0.0003044430450695223</v>
                </pt>
                <pt idx="34">
                  <v>0.0003044455138855667</v>
                </pt>
                <pt idx="35">
                  <v>0.0003044464115825509</v>
                </pt>
                <pt idx="36">
                  <v>0.0003044467214307987</v>
                </pt>
                <pt idx="37">
                  <v>0.0003044468229495022</v>
                </pt>
                <pt idx="38">
                  <v>0.0003044468545228254</v>
                </pt>
                <pt idx="39">
                  <v>0.0003044468638440121</v>
                </pt>
                <pt idx="40">
                  <v>0.0003044468664561628</v>
                </pt>
                <pt idx="41">
                  <v>0.0003044468671510283</v>
                </pt>
                <pt idx="42">
                  <v>0.0003044468673264883</v>
                </pt>
                <pt idx="43">
                  <v>0.0003044468673685446</v>
                </pt>
                <pt idx="44">
                  <v>0.0003044468673781133</v>
                </pt>
                <pt idx="45">
                  <v>0.0003044468673801799</v>
                </pt>
                <pt idx="46">
                  <v>0.0003044468673806036</v>
                </pt>
                <pt idx="47">
                  <v>0.000304446867380686</v>
                </pt>
                <pt idx="48">
                  <v>0.0003044468673807012</v>
                </pt>
                <pt idx="49">
                  <v>0.0003044468673807039</v>
                </pt>
                <pt idx="50">
                  <v>0.0003044468673807044</v>
                </pt>
                <pt idx="51">
                  <v>0.0003044468673807045</v>
                </pt>
                <pt idx="52">
                  <v>0.0003044468673807045</v>
                </pt>
                <pt idx="53">
                  <v>0.0003044468673807045</v>
                </pt>
                <pt idx="54">
                  <v>0.0003044468673807045</v>
                </pt>
                <pt idx="55">
                  <v>0.0003044468673807045</v>
                </pt>
                <pt idx="56">
                  <v>0.0003044468673807045</v>
                </pt>
                <pt idx="57">
                  <v>0.0003044468673807045</v>
                </pt>
                <pt idx="58">
                  <v>0.0003044468673807045</v>
                </pt>
                <pt idx="59">
                  <v>0.0003044468673807045</v>
                </pt>
                <pt idx="60">
                  <v>0.0003044468673807045</v>
                </pt>
                <pt idx="61">
                  <v>0.0003044468673807045</v>
                </pt>
                <pt idx="62">
                  <v>0.0003044468673807045</v>
                </pt>
                <pt idx="63">
                  <v>0.0003044468673807045</v>
                </pt>
                <pt idx="64">
                  <v>0.0003044468673807045</v>
                </pt>
                <pt idx="65">
                  <v>0.0003044468673807045</v>
                </pt>
                <pt idx="66">
                  <v>0.0003044468673807045</v>
                </pt>
                <pt idx="67">
                  <v>0.0003044468673807045</v>
                </pt>
                <pt idx="68">
                  <v>0.0003044468673807045</v>
                </pt>
                <pt idx="69">
                  <v>0.0003044468673807045</v>
                </pt>
                <pt idx="70">
                  <v>0.0003044468673807045</v>
                </pt>
                <pt idx="71">
                  <v>0.0003044468673807045</v>
                </pt>
                <pt idx="72">
                  <v>0.0003044468673807045</v>
                </pt>
                <pt idx="73">
                  <v>0.0003044468673807045</v>
                </pt>
                <pt idx="74">
                  <v>0.0003044468673807045</v>
                </pt>
                <pt idx="75">
                  <v>0.0003044468673807045</v>
                </pt>
                <pt idx="76">
                  <v>0.0003044468673807045</v>
                </pt>
                <pt idx="77">
                  <v>0.0003044468673807045</v>
                </pt>
                <pt idx="78">
                  <v>0.0003044468673807045</v>
                </pt>
                <pt idx="79">
                  <v>0.0003044468673807045</v>
                </pt>
                <pt idx="80">
                  <v>0.0003044468673807045</v>
                </pt>
                <pt idx="81">
                  <v>0.0003044468673807045</v>
                </pt>
              </numCache>
            </numRef>
          </val>
          <smooth val="0"/>
        </ser>
        <ser>
          <idx val="1"/>
          <order val="1"/>
          <tx>
            <v>refined petroleum and coke 19</v>
          </tx>
          <spPr>
            <a:ln w="28575" cap="rnd">
              <a:solidFill>
                <a:schemeClr val="accent2"/>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'fuel-process'!$E$12:$CH$12</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2"/>
          <order val="2"/>
          <tx>
            <v>chemicals 20</v>
          </tx>
          <spPr>
            <a:ln w="28575" cap="rnd">
              <a:solidFill>
                <a:schemeClr val="accent3"/>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'fuel-process'!$E$13:$CH$13</f>
              <numCache>
                <formatCode>0.00%</formatCode>
                <ptCount val="82"/>
                <pt idx="0">
                  <v>1.297855706216988e-05</v>
                </pt>
                <pt idx="1">
                  <v>0.01109312394419133</v>
                </pt>
                <pt idx="2">
                  <v>0.01244126984798166</v>
                </pt>
                <pt idx="3">
                  <v>0.01350556262969552</v>
                </pt>
                <pt idx="4">
                  <v>0.01505037198929592</v>
                </pt>
                <pt idx="5">
                  <v>0.01648976047364953</v>
                </pt>
                <pt idx="6">
                  <v>0.01764381041540989</v>
                </pt>
                <pt idx="7">
                  <v>0.01880553489331391</v>
                </pt>
                <pt idx="8">
                  <v>0.02008367547307148</v>
                </pt>
                <pt idx="9">
                  <v>0.0214324209870271</v>
                </pt>
                <pt idx="10">
                  <v>0.02279788662634995</v>
                </pt>
                <pt idx="11">
                  <v>0.02412635283818153</v>
                </pt>
                <pt idx="12">
                  <v>0.02535768152218044</v>
                </pt>
                <pt idx="13">
                  <v>0.02643940142099235</v>
                </pt>
                <pt idx="14">
                  <v>0.02734234585481468</v>
                </pt>
                <pt idx="15">
                  <v>0.02806476842174112</v>
                </pt>
                <pt idx="16">
                  <v>0.02862581368804098</v>
                </pt>
                <pt idx="17">
                  <v>0.02905451343479658</v>
                </pt>
                <pt idx="18">
                  <v>0.02938013390463452</v>
                </pt>
                <pt idx="19">
                  <v>0.02962687273737255</v>
                </pt>
                <pt idx="20">
                  <v>0.0298127597187081</v>
                </pt>
                <pt idx="21">
                  <v>0.02995091579458535</v>
                </pt>
                <pt idx="22">
                  <v>0.03005133414193557</v>
                </pt>
                <pt idx="23">
                  <v>0.0301221865188731</v>
                </pt>
                <pt idx="24">
                  <v>0.03017045415903158</v>
                </pt>
                <pt idx="25">
                  <v>0.03020209075511291</v>
                </pt>
                <pt idx="26">
                  <v>0.03022199864819602</v>
                </pt>
                <pt idx="27">
                  <v>0.03023401088191693</v>
                </pt>
                <pt idx="28">
                  <v>0.03024095602543368</v>
                </pt>
                <pt idx="29">
                  <v>0.03024480216185443</v>
                </pt>
                <pt idx="30">
                  <v>0.03024684177768871</v>
                </pt>
                <pt idx="31">
                  <v>0.03024787734229929</v>
                </pt>
                <pt idx="32">
                  <v>0.03024838066598435</v>
                </pt>
                <pt idx="33">
                  <v>0.0302486148175858</v>
                </pt>
                <pt idx="34">
                  <v>0.03024871906450015</v>
                </pt>
                <pt idx="35">
                  <v>0.03024876347443614</v>
                </pt>
                <pt idx="36">
                  <v>0.03024878157454265</v>
                </pt>
                <pt idx="37">
                  <v>0.03024878863120488</v>
                </pt>
                <pt idx="38">
                  <v>0.03024879126249875</v>
                </pt>
                <pt idx="39">
                  <v>0.03024879220077031</v>
                </pt>
                <pt idx="40">
                  <v>0.03024879252067314</v>
                </pt>
                <pt idx="41">
                  <v>0.03024879262494895</v>
                </pt>
                <pt idx="42">
                  <v>0.0302487926574409</v>
                </pt>
                <pt idx="43">
                  <v>0.03024879266711811</v>
                </pt>
                <pt idx="44">
                  <v>0.03024879266987278</v>
                </pt>
                <pt idx="45">
                  <v>0.03024879267062214</v>
                </pt>
                <pt idx="46">
                  <v>0.03024879267081695</v>
                </pt>
                <pt idx="47">
                  <v>0.03024879267086535</v>
                </pt>
                <pt idx="48">
                  <v>0.03024879267087683</v>
                </pt>
                <pt idx="49">
                  <v>0.03024879267087943</v>
                </pt>
                <pt idx="50">
                  <v>0.03024879267088</v>
                </pt>
                <pt idx="51">
                  <v>0.03024879267088011</v>
                </pt>
                <pt idx="52">
                  <v>0.03024879267088014</v>
                </pt>
                <pt idx="53">
                  <v>0.03024879267088014</v>
                </pt>
                <pt idx="54">
                  <v>0.03024879267088014</v>
                </pt>
                <pt idx="55">
                  <v>0.03024879267088015</v>
                </pt>
                <pt idx="56">
                  <v>0.03024879267088015</v>
                </pt>
                <pt idx="57">
                  <v>0.03024879267088015</v>
                </pt>
                <pt idx="58">
                  <v>0.03024879267088015</v>
                </pt>
                <pt idx="59">
                  <v>0.03024879267088015</v>
                </pt>
                <pt idx="60">
                  <v>0.03024879267088015</v>
                </pt>
                <pt idx="61">
                  <v>0.03024879267088015</v>
                </pt>
                <pt idx="62">
                  <v>0.03024879267088015</v>
                </pt>
                <pt idx="63">
                  <v>0.03024879267088015</v>
                </pt>
                <pt idx="64">
                  <v>0.03024879267088015</v>
                </pt>
                <pt idx="65">
                  <v>0.03024879267088015</v>
                </pt>
                <pt idx="66">
                  <v>0.03024879267088015</v>
                </pt>
                <pt idx="67">
                  <v>0.03024879267088015</v>
                </pt>
                <pt idx="68">
                  <v>0.03024879267088015</v>
                </pt>
                <pt idx="69">
                  <v>0.03024879267088015</v>
                </pt>
                <pt idx="70">
                  <v>0.03024879267088015</v>
                </pt>
                <pt idx="71">
                  <v>0.03024879267088015</v>
                </pt>
                <pt idx="72">
                  <v>0.03024879267088015</v>
                </pt>
                <pt idx="73">
                  <v>0.03024879267088015</v>
                </pt>
                <pt idx="74">
                  <v>0.03024879267088015</v>
                </pt>
                <pt idx="75">
                  <v>0.03024879267088015</v>
                </pt>
                <pt idx="76">
                  <v>0.03024879267088015</v>
                </pt>
                <pt idx="77">
                  <v>0.03024879267088015</v>
                </pt>
                <pt idx="78">
                  <v>0.03024879267088015</v>
                </pt>
                <pt idx="79">
                  <v>0.03024879267088015</v>
                </pt>
                <pt idx="80">
                  <v>0.03024879267088015</v>
                </pt>
                <pt idx="81">
                  <v>0.03024879267088015</v>
                </pt>
              </numCache>
            </numRef>
          </val>
          <smooth val="0"/>
        </ser>
        <ser>
          <idx val="3"/>
          <order val="3"/>
          <tx>
            <v>rubber and plastic products 22</v>
          </tx>
          <spPr>
            <a:ln w="28575" cap="rnd">
              <a:solidFill>
                <a:schemeClr val="accent4"/>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'fuel-process'!$E$14:$CH$14</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4"/>
          <order val="4"/>
          <tx>
            <v>glass and glass products 231</v>
          </tx>
          <spPr>
            <a:ln w="28575" cap="rnd">
              <a:solidFill>
                <a:schemeClr val="accent5"/>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'fuel-process'!$E$15:$CH$15</f>
              <numCache>
                <formatCode>0.00%</formatCode>
                <ptCount val="82"/>
                <pt idx="0">
                  <v>4.238569867301185e-05</v>
                </pt>
                <pt idx="1">
                  <v>0.0001702583816160423</v>
                </pt>
                <pt idx="2">
                  <v>0.0006801492529989502</v>
                </pt>
                <pt idx="3">
                  <v>0.002307538656449104</v>
                </pt>
                <pt idx="4">
                  <v>0.006213255331444557</v>
                </pt>
                <pt idx="5">
                  <v>0.01312977650077051</v>
                </pt>
                <pt idx="6">
                  <v>0.02218950970602255</v>
                </pt>
                <pt idx="7">
                  <v>0.03119620810057672</v>
                </pt>
                <pt idx="8">
                  <v>0.03851649829523634</v>
                </pt>
                <pt idx="9">
                  <v>0.04422380010989814</v>
                </pt>
                <pt idx="10">
                  <v>0.0493246899085165</v>
                </pt>
                <pt idx="11">
                  <v>0.05456761411403721</v>
                </pt>
                <pt idx="12">
                  <v>0.06009994300072705</v>
                </pt>
                <pt idx="13">
                  <v>0.06571270311810473</v>
                </pt>
                <pt idx="14">
                  <v>0.07111336562150408</v>
                </pt>
                <pt idx="15">
                  <v>0.07606644951376931</v>
                </pt>
                <pt idx="16">
                  <v>0.08043951548759702</v>
                </pt>
                <pt idx="17">
                  <v>0.08419667353093593</v>
                </pt>
                <pt idx="18">
                  <v>0.0873665028233398</v>
                </pt>
                <pt idx="19">
                  <v>0.09000622545834185</v>
                </pt>
                <pt idx="20">
                  <v>0.09217664362914091</v>
                </pt>
                <pt idx="21">
                  <v>0.09393187875711376</v>
                </pt>
                <pt idx="22">
                  <v>0.09531982938720855</v>
                </pt>
                <pt idx="23">
                  <v>0.09638655100874846</v>
                </pt>
                <pt idx="24">
                  <v>0.09717945264264158</v>
                </pt>
                <pt idx="25">
                  <v>0.09774744484775773</v>
                </pt>
                <pt idx="26">
                  <v>0.09813867122213908</v>
                </pt>
                <pt idx="27">
                  <v>0.09839742420092226</v>
                </pt>
                <pt idx="28">
                  <v>0.09856162858287992</v>
                </pt>
                <pt idx="29">
                  <v>0.09866157181809843</v>
                </pt>
                <pt idx="30">
                  <v>0.09871990362133921</v>
                </pt>
                <pt idx="31">
                  <v>0.09875254737808407</v>
                </pt>
                <pt idx="32">
                  <v>0.09877006274722457</v>
                </pt>
                <pt idx="33">
                  <v>0.09877907337337842</v>
                </pt>
                <pt idx="34">
                  <v>0.09878351767813845</v>
                </pt>
                <pt idx="35">
                  <v>0.09878561934785225</v>
                </pt>
                <pt idx="36">
                  <v>0.09878657222348754</v>
                </pt>
                <pt idx="37">
                  <v>0.09878698643172852</v>
                </pt>
                <pt idx="38">
                  <v>0.09878715905992572</v>
                </pt>
                <pt idx="39">
                  <v>0.09878722803862158</v>
                </pt>
                <pt idx="40">
                  <v>0.09878725446442671</v>
                </pt>
                <pt idx="41">
                  <v>0.09878726417067142</v>
                </pt>
                <pt idx="42">
                  <v>0.09878726758876345</v>
                </pt>
                <pt idx="43">
                  <v>0.09878726874281581</v>
                </pt>
                <pt idx="44">
                  <v>0.09878726911638946</v>
                </pt>
                <pt idx="45">
                  <v>0.0987872692323301</v>
                </pt>
                <pt idx="46">
                  <v>0.09878726926682886</v>
                </pt>
                <pt idx="47">
                  <v>0.09878726927667077</v>
                </pt>
                <pt idx="48">
                  <v>0.0987872692793627</v>
                </pt>
                <pt idx="49">
                  <v>0.09878726928006862</v>
                </pt>
                <pt idx="50">
                  <v>0.0987872692802461</v>
                </pt>
                <pt idx="51">
                  <v>0.09878726928028889</v>
                </pt>
                <pt idx="52">
                  <v>0.09878726928029877</v>
                </pt>
                <pt idx="53">
                  <v>0.09878726928030096</v>
                </pt>
                <pt idx="54">
                  <v>0.09878726928030142</v>
                </pt>
                <pt idx="55">
                  <v>0.09878726928030152</v>
                </pt>
                <pt idx="56">
                  <v>0.09878726928030154</v>
                </pt>
                <pt idx="57">
                  <v>0.09878726928030154</v>
                </pt>
                <pt idx="58">
                  <v>0.09878726928030154</v>
                </pt>
                <pt idx="59">
                  <v>0.09878726928030154</v>
                </pt>
                <pt idx="60">
                  <v>0.09878726928030154</v>
                </pt>
                <pt idx="61">
                  <v>0.09878726928030154</v>
                </pt>
                <pt idx="62">
                  <v>0.09878726928030154</v>
                </pt>
                <pt idx="63">
                  <v>0.09878726928030154</v>
                </pt>
                <pt idx="64">
                  <v>0.09878726928030154</v>
                </pt>
                <pt idx="65">
                  <v>0.09878726928030154</v>
                </pt>
                <pt idx="66">
                  <v>0.09878726928030154</v>
                </pt>
                <pt idx="67">
                  <v>0.09878726928030154</v>
                </pt>
                <pt idx="68">
                  <v>0.09878726928030154</v>
                </pt>
                <pt idx="69">
                  <v>0.09878726928030154</v>
                </pt>
                <pt idx="70">
                  <v>0.09878726928030154</v>
                </pt>
                <pt idx="71">
                  <v>0.09878726928030154</v>
                </pt>
                <pt idx="72">
                  <v>0.09878726928030154</v>
                </pt>
                <pt idx="73">
                  <v>0.09878726928030154</v>
                </pt>
                <pt idx="74">
                  <v>0.09878726928030154</v>
                </pt>
                <pt idx="75">
                  <v>0.09878726928030154</v>
                </pt>
                <pt idx="76">
                  <v>0.09878726928030154</v>
                </pt>
                <pt idx="77">
                  <v>0.09878726928030154</v>
                </pt>
                <pt idx="78">
                  <v>0.09878726928030154</v>
                </pt>
                <pt idx="79">
                  <v>0.09878726928030154</v>
                </pt>
                <pt idx="80">
                  <v>0.09878726928030154</v>
                </pt>
                <pt idx="81">
                  <v>0.09878726928030154</v>
                </pt>
              </numCache>
            </numRef>
          </val>
          <smooth val="0"/>
        </ser>
        <ser>
          <idx val="5"/>
          <order val="5"/>
          <tx>
            <v>cement and other nonmetallic m</v>
          </tx>
          <spPr>
            <a:ln w="28575" cap="rnd">
              <a:solidFill>
                <a:schemeClr val="accent6"/>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'fuel-process'!$E$16:$CH$16</f>
              <numCache>
                <formatCode>0.00%</formatCode>
                <ptCount val="82"/>
                <pt idx="0">
                  <v>5.587738912201356e-06</v>
                </pt>
                <pt idx="1">
                  <v>0.005977303684673481</v>
                </pt>
                <pt idx="2">
                  <v>0.009425522652161889</v>
                </pt>
                <pt idx="3">
                  <v>0.009501661097596762</v>
                </pt>
                <pt idx="4">
                  <v>0.009505228267883119</v>
                </pt>
                <pt idx="5">
                  <v>0.009510830485695225</v>
                </pt>
                <pt idx="6">
                  <v>0.009519417698942073</v>
                </pt>
                <pt idx="7">
                  <v>0.009532197694560473</v>
                </pt>
                <pt idx="8">
                  <v>0.009550631900017129</v>
                </pt>
                <pt idx="9">
                  <v>0.00957637174350259</v>
                </pt>
                <pt idx="10">
                  <v>0.00961113551096013</v>
                </pt>
                <pt idx="11">
                  <v>0.009656527165528787</v>
                </pt>
                <pt idx="12">
                  <v>0.009713813845789222</v>
                </pt>
                <pt idx="13">
                  <v>0.009783694734680135</v>
                </pt>
                <pt idx="14">
                  <v>0.009866105668236213</v>
                </pt>
                <pt idx="15">
                  <v>0.009960106169256747</v>
                </pt>
                <pt idx="16">
                  <v>0.010063885457931</v>
                </pt>
                <pt idx="17">
                  <v>0.01017490200825155</v>
                </pt>
                <pt idx="18">
                  <v>0.01029014220489918</v>
                </pt>
                <pt idx="19">
                  <v>0.01040645551822787</v>
                </pt>
                <pt idx="20">
                  <v>0.01052090479012311</v>
                </pt>
                <pt idx="21">
                  <v>0.01063106663340993</v>
                </pt>
                <pt idx="22">
                  <v>0.01073522976000422</v>
                </pt>
                <pt idx="23">
                  <v>0.01083246422555897</v>
                </pt>
                <pt idx="24">
                  <v>0.01092256439437566</v>
                </pt>
                <pt idx="25">
                  <v>0.01100589434293608</v>
                </pt>
                <pt idx="26">
                  <v>0.01108317999023261</v>
                </pt>
                <pt idx="27">
                  <v>0.01115529497463033</v>
                </pt>
                <pt idx="28">
                  <v>0.01122307883223578</v>
                </pt>
                <pt idx="29">
                  <v>0.01128721086134511</v>
                </pt>
                <pt idx="30">
                  <v>0.01134814651862921</v>
                </pt>
                <pt idx="31">
                  <v>0.01140610964183091</v>
                </pt>
                <pt idx="32">
                  <v>0.01146112557241693</v>
                </pt>
                <pt idx="33">
                  <v>0.01151307759718475</v>
                </pt>
                <pt idx="34">
                  <v>0.01156177078018552</v>
                </pt>
                <pt idx="35">
                  <v>0.01160699132860394</v>
                </pt>
                <pt idx="36">
                  <v>0.01164855436462149</v>
                </pt>
                <pt idx="37">
                  <v>0.01168633714468478</v>
                </pt>
                <pt idx="38">
                  <v>0.0117202978022597</v>
                </pt>
                <pt idx="39">
                  <v>0.0117504815199608</v>
                </pt>
                <pt idx="40">
                  <v>0.01177701688017351</v>
                </pt>
                <pt idx="41">
                  <v>0.01180010531202614</v>
                </pt>
                <pt idx="42">
                  <v>0.01182000632977894</v>
                </pt>
                <pt idx="43">
                  <v>0.01183702084711032</v>
                </pt>
                <pt idx="44">
                  <v>0.01185147437734989</v>
                </pt>
                <pt idx="45">
                  <v>0.01186370145735755</v>
                </pt>
                <pt idx="46">
                  <v>0.01187403219479289</v>
                </pt>
                <pt idx="47">
                  <v>0.01188278145134748</v>
                </pt>
                <pt idx="48">
                  <v>0.01189024084786291</v>
                </pt>
                <pt idx="49">
                  <v>0.01189667351731793</v>
                </pt>
                <pt idx="50">
                  <v>0.01190231134107916</v>
                </pt>
                <pt idx="51">
                  <v>0.01190735428096988</v>
                </pt>
                <pt idx="52">
                  <v>0.01191197135859087</v>
                </pt>
                <pt idx="53">
                  <v>0.01191630282416534</v>
                </pt>
                <pt idx="54">
                  <v>0.0119204630878114</v>
                </pt>
                <pt idx="55">
                  <v>0.01192454404360439</v>
                </pt>
                <pt idx="56">
                  <v>0.01192861848878993</v>
                </pt>
                <pt idx="57">
                  <v>0.01193274341657014</v>
                </pt>
                <pt idx="58">
                  <v>0.01193696303299694</v>
                </pt>
                <pt idx="59">
                  <v>0.01194131141132381</v>
                </pt>
                <pt idx="60">
                  <v>0.01194581474783842</v>
                </pt>
                <pt idx="61">
                  <v>0.01195049322094191</v>
                </pt>
                <pt idx="62">
                  <v>0.01195536248079965</v>
                </pt>
                <pt idx="63">
                  <v>0.01196043481197011</v>
                </pt>
                <pt idx="64">
                  <v>0.0119657200181965</v>
                </pt>
                <pt idx="65">
                  <v>0.01197122607927055</v>
                </pt>
                <pt idx="66">
                  <v>0.01197695962660656</v>
                </pt>
                <pt idx="67">
                  <v>0.01198292627861058</v>
                </pt>
                <pt idx="68">
                  <v>0.01198913087040333</v>
                </pt>
                <pt idx="69">
                  <v>0.01199557760587253</v>
                </pt>
                <pt idx="70">
                  <v>0.01200227015396416</v>
                </pt>
                <pt idx="71">
                  <v>0.01200921170587546</v>
                </pt>
                <pt idx="72">
                  <v>0.01201640500549139</v>
                </pt>
                <pt idx="73">
                  <v>0.01202385236198873</v>
                </pt>
                <pt idx="74">
                  <v>0.01203155565092112</v>
                </pt>
                <pt idx="75">
                  <v>0.01203951630816451</v>
                </pt>
                <pt idx="76">
                  <v>0.01204773531970942</v>
                </pt>
                <pt idx="77">
                  <v>0.01205621320930829</v>
                </pt>
                <pt idx="78">
                  <v>0.0120649500253153</v>
                </pt>
                <pt idx="79">
                  <v>0.01207394532760587</v>
                </pt>
                <pt idx="80">
                  <v>0.0120831981751665</v>
                </pt>
                <pt idx="81">
                  <v>0.01302320088778263</v>
                </pt>
              </numCache>
            </numRef>
          </val>
          <smooth val="0"/>
        </ser>
        <ser>
          <idx val="6"/>
          <order val="6"/>
          <tx>
            <v>iron and steel 241</v>
          </tx>
          <spPr>
            <a:ln w="28575" cap="rnd">
              <a:solidFill>
                <a:schemeClr val="accent1">
                  <a:lumMod val="60000"/>
                </a:schemeClr>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'fuel-process'!$E$17:$CH$17</f>
              <numCache>
                <formatCode>0.00%</formatCode>
                <ptCount val="82"/>
                <pt idx="0">
                  <v>0.00570584030424811</v>
                </pt>
                <pt idx="1">
                  <v>0.008653386439163231</v>
                </pt>
                <pt idx="2">
                  <v>0.01974536898577086</v>
                </pt>
                <pt idx="3">
                  <v>0.02973671589333954</v>
                </pt>
                <pt idx="4">
                  <v>0.03150951079073834</v>
                </pt>
                <pt idx="5">
                  <v>0.0320830102024672</v>
                </pt>
                <pt idx="6">
                  <v>0.03284810565734855</v>
                </pt>
                <pt idx="7">
                  <v>0.03371955722640776</v>
                </pt>
                <pt idx="8">
                  <v>0.03453782723751077</v>
                </pt>
                <pt idx="9">
                  <v>0.03523440386024657</v>
                </pt>
                <pt idx="10">
                  <v>0.0358590624253189</v>
                </pt>
                <pt idx="11">
                  <v>0.03650841009417111</v>
                </pt>
                <pt idx="12">
                  <v>0.03725557902449159</v>
                </pt>
                <pt idx="13">
                  <v>0.03813093606199931</v>
                </pt>
                <pt idx="14">
                  <v>0.03913209902082787</v>
                </pt>
                <pt idx="15">
                  <v>0.0402357161380363</v>
                </pt>
                <pt idx="16">
                  <v>0.04140462387148426</v>
                </pt>
                <pt idx="17">
                  <v>0.04259332554343612</v>
                </pt>
                <pt idx="18">
                  <v>0.04375377532678294</v>
                </pt>
                <pt idx="19">
                  <v>0.04484133179603907</v>
                </pt>
                <pt idx="20">
                  <v>0.04581993433295185</v>
                </pt>
                <pt idx="21">
                  <v>0.04666559286952701</v>
                </pt>
                <pt idx="22">
                  <v>0.04736768752048458</v>
                </pt>
                <pt idx="23">
                  <v>0.047928102490729</v>
                </pt>
                <pt idx="24">
                  <v>0.04835868608992792</v>
                </pt>
                <pt idx="25">
                  <v>0.04867780457747455</v>
                </pt>
                <pt idx="26">
                  <v>0.04890679354660447</v>
                </pt>
                <pt idx="27">
                  <v>0.04906694386969893</v>
                </pt>
                <pt idx="28">
                  <v>0.04917738221420663</v>
                </pt>
                <pt idx="29">
                  <v>0.04925392195419656</v>
                </pt>
                <pt idx="30">
                  <v>0.04930874578005529</v>
                </pt>
                <pt idx="31">
                  <v>0.04935066958727428</v>
                </pt>
                <pt idx="32">
                  <v>0.04938572104686027</v>
                </pt>
                <pt idx="33">
                  <v>0.049417814141048</v>
                </pt>
                <pt idx="34">
                  <v>0.04944937580936229</v>
                </pt>
                <pt idx="35">
                  <v>0.04948185341032819</v>
                </pt>
                <pt idx="36">
                  <v>0.04951608589716372</v>
                </pt>
                <pt idx="37">
                  <v>0.04955255343353684</v>
                </pt>
                <pt idx="38">
                  <v>0.04959153327030268</v>
                </pt>
                <pt idx="39">
                  <v>0.04963319062037518</v>
                </pt>
                <pt idx="40">
                  <v>0.04967762820298245</v>
                </pt>
                <pt idx="41">
                  <v>0.04972491142609894</v>
                </pt>
                <pt idx="42">
                  <v>0.04977508017582315</v>
                </pt>
                <pt idx="43">
                  <v>0.0498281537261028</v>
                </pt>
                <pt idx="44">
                  <v>0.0498841323631147</v>
                </pt>
                <pt idx="45">
                  <v>0.04994299758341783</v>
                </pt>
                <pt idx="46">
                  <v>0.05000471177457148</v>
                </pt>
                <pt idx="47">
                  <v>0.05006921780223693</v>
                </pt>
                <pt idx="48">
                  <v>0.05013643869562019</v>
                </pt>
                <pt idx="49">
                  <v>0.05020627751743909</v>
                </pt>
                <pt idx="50">
                  <v>0.05027861745785579</v>
                </pt>
                <pt idx="51">
                  <v>0.05035332217069433</v>
                </pt>
                <pt idx="52">
                  <v>0.05043023635953744</v>
                </pt>
                <pt idx="53">
                  <v>0.05050918661449733</v>
                </pt>
                <pt idx="54">
                  <v>0.05058998249504448</v>
                </pt>
                <pt idx="55">
                  <v>0.0506724178493663</v>
                </pt>
                <pt idx="56">
                  <v>0.05075627235606435</v>
                </pt>
                <pt idx="57">
                  <v>0.0508413132695837</v>
                </pt>
                <pt idx="58">
                  <v>0.050927297346667</v>
                </pt>
                <pt idx="59">
                  <v>0.05101397292743731</v>
                </pt>
                <pt idx="60">
                  <v>0.05110108214152823</v>
                </pt>
                <pt idx="61">
                  <v>0.05118836320708132</v>
                </pt>
                <pt idx="62">
                  <v>0.05127555278848915</v>
                </pt>
                <pt idx="63">
                  <v>0.0513623883775277</v>
                </pt>
                <pt idx="64">
                  <v>0.05144861066202987</v>
                </pt>
                <pt idx="65">
                  <v>0.05153396584651414</v>
                </pt>
                <pt idx="66">
                  <v>0.05161820789019242</v>
                </pt>
                <pt idx="67">
                  <v>0.05170110062951169</v>
                </pt>
                <pt idx="68">
                  <v>0.05178241975478885</v>
                </pt>
                <pt idx="69">
                  <v>0.05186195461351163</v>
                </pt>
                <pt idx="70">
                  <v>0.05193950981642269</v>
                </pt>
                <pt idx="71">
                  <v>0.05201490662648391</v>
                </pt>
                <pt idx="72">
                  <v>0.05208798411513194</v>
                </pt>
                <pt idx="73">
                  <v>0.0521586000747731</v>
                </pt>
                <pt idx="74">
                  <v>0.05222663168111366</v>
                </pt>
                <pt idx="75">
                  <v>0.0522919759035658</v>
                </pt>
                <pt idx="76">
                  <v>0.0523545496665014</v>
                </pt>
                <pt idx="77">
                  <v>0.05241428976844079</v>
                </pt>
                <pt idx="78">
                  <v>0.05247115257026889</v>
                </pt>
                <pt idx="79">
                  <v>0.05252511346718339</v>
                </pt>
                <pt idx="80">
                  <v>0.05257616616223112</v>
                </pt>
                <pt idx="81">
                  <v>0.05314881840620181</v>
                </pt>
              </numCache>
            </numRef>
          </val>
          <smooth val="0"/>
        </ser>
        <ser>
          <idx val="7"/>
          <order val="7"/>
          <tx>
            <v>other metals 242</v>
          </tx>
          <spPr>
            <a:ln w="28575" cap="rnd">
              <a:solidFill>
                <a:schemeClr val="accent2">
                  <a:lumMod val="60000"/>
                </a:schemeClr>
              </a:solidFill>
              <a:prstDash val="solid"/>
              <a:round/>
            </a:ln>
          </spPr>
          <marker>
            <symbol val="none"/>
            <spPr>
              <a:ln>
                <a:prstDash val="solid"/>
              </a:ln>
            </spPr>
          </marker>
          <cat>
            <numRef>
              <f>'fuel-process'!$E$3:$CH$3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'fuel-process'!$E$18:$CH$18</f>
              <numCache>
                <formatCode>0.00%</formatCode>
                <ptCount val="82"/>
                <pt idx="0">
                  <v>2.707082063756405e-05</v>
                </pt>
                <pt idx="1">
                  <v>0.004698301816556852</v>
                </pt>
                <pt idx="2">
                  <v>0.03917610589727808</v>
                </pt>
                <pt idx="3">
                  <v>0.05321998264623837</v>
                </pt>
                <pt idx="4">
                  <v>0.05373329666894824</v>
                </pt>
                <pt idx="5">
                  <v>0.05426498850481294</v>
                </pt>
                <pt idx="6">
                  <v>0.05515845846286545</v>
                </pt>
                <pt idx="7">
                  <v>0.05643131653021407</v>
                </pt>
                <pt idx="8">
                  <v>0.05796829020461484</v>
                </pt>
                <pt idx="9">
                  <v>0.05954134009958264</v>
                </pt>
                <pt idx="10">
                  <v>0.06090595019977341</v>
                </pt>
                <pt idx="11">
                  <v>0.0619093228672345</v>
                </pt>
                <pt idx="12">
                  <v>0.06253463717440749</v>
                </pt>
                <pt idx="13">
                  <v>0.06286493748630248</v>
                </pt>
                <pt idx="14">
                  <v>0.06301280869454602</v>
                </pt>
                <pt idx="15">
                  <v>0.06306891469445612</v>
                </pt>
                <pt idx="16">
                  <v>0.0630869561161064</v>
                </pt>
                <pt idx="17">
                  <v>0.06309187255404987</v>
                </pt>
                <pt idx="18">
                  <v>0.06309300790306764</v>
                </pt>
                <pt idx="19">
                  <v>0.06309323007346722</v>
                </pt>
                <pt idx="20">
                  <v>0.06309326691167227</v>
                </pt>
                <pt idx="21">
                  <v>0.06309327208705423</v>
                </pt>
                <pt idx="22">
                  <v>0.06309327270307198</v>
                </pt>
                <pt idx="23">
                  <v>0.06309327276519111</v>
                </pt>
                <pt idx="24">
                  <v>0.06309327277049766</v>
                </pt>
                <pt idx="25">
                  <v>0.06309327277088166</v>
                </pt>
                <pt idx="26">
                  <v>0.06309327277090519</v>
                </pt>
                <pt idx="27">
                  <v>0.06309327277090641</v>
                </pt>
                <pt idx="28">
                  <v>0.06309327277090647</v>
                </pt>
                <pt idx="29">
                  <v>0.06309327277090647</v>
                </pt>
                <pt idx="30">
                  <v>0.06309327277090647</v>
                </pt>
                <pt idx="31">
                  <v>0.06309327277090647</v>
                </pt>
                <pt idx="32">
                  <v>0.06309327277090647</v>
                </pt>
                <pt idx="33">
                  <v>0.06309327277090647</v>
                </pt>
                <pt idx="34">
                  <v>0.06309327277090647</v>
                </pt>
                <pt idx="35">
                  <v>0.06309327277090647</v>
                </pt>
                <pt idx="36">
                  <v>0.06309327277090647</v>
                </pt>
                <pt idx="37">
                  <v>0.06309327277090647</v>
                </pt>
                <pt idx="38">
                  <v>0.06309327277090647</v>
                </pt>
                <pt idx="39">
                  <v>0.06309327277090647</v>
                </pt>
                <pt idx="40">
                  <v>0.06309327277090647</v>
                </pt>
                <pt idx="41">
                  <v>0.06309327277090647</v>
                </pt>
                <pt idx="42">
                  <v>0.06309327277090647</v>
                </pt>
                <pt idx="43">
                  <v>0.06309327277090647</v>
                </pt>
                <pt idx="44">
                  <v>0.06309327277090647</v>
                </pt>
                <pt idx="45">
                  <v>0.06309327277090647</v>
                </pt>
                <pt idx="46">
                  <v>0.06309327277090647</v>
                </pt>
                <pt idx="47">
                  <v>0.06309327277090647</v>
                </pt>
                <pt idx="48">
                  <v>0.06309327277090647</v>
                </pt>
                <pt idx="49">
                  <v>0.06309327277090647</v>
                </pt>
                <pt idx="50">
                  <v>0.06309327277090647</v>
                </pt>
                <pt idx="51">
                  <v>0.06309327277090647</v>
                </pt>
                <pt idx="52">
                  <v>0.06309327277090647</v>
                </pt>
                <pt idx="53">
                  <v>0.06309327277090647</v>
                </pt>
                <pt idx="54">
                  <v>0.06309327277090647</v>
                </pt>
                <pt idx="55">
                  <v>0.06309327277090647</v>
                </pt>
                <pt idx="56">
                  <v>0.06309327277090647</v>
                </pt>
                <pt idx="57">
                  <v>0.06309327277090647</v>
                </pt>
                <pt idx="58">
                  <v>0.06309327277090647</v>
                </pt>
                <pt idx="59">
                  <v>0.06309327277090647</v>
                </pt>
                <pt idx="60">
                  <v>0.06309327277090647</v>
                </pt>
                <pt idx="61">
                  <v>0.06309327277090647</v>
                </pt>
                <pt idx="62">
                  <v>0.06309327277090647</v>
                </pt>
                <pt idx="63">
                  <v>0.06309327277090647</v>
                </pt>
                <pt idx="64">
                  <v>0.06309327277090647</v>
                </pt>
                <pt idx="65">
                  <v>0.06309327277090647</v>
                </pt>
                <pt idx="66">
                  <v>0.06309327277090647</v>
                </pt>
                <pt idx="67">
                  <v>0.06309327277090647</v>
                </pt>
                <pt idx="68">
                  <v>0.06309327277090647</v>
                </pt>
                <pt idx="69">
                  <v>0.06309327277090647</v>
                </pt>
                <pt idx="70">
                  <v>0.06309327277090647</v>
                </pt>
                <pt idx="71">
                  <v>0.06309327277090647</v>
                </pt>
                <pt idx="72">
                  <v>0.06309327277090647</v>
                </pt>
                <pt idx="73">
                  <v>0.06309327277090647</v>
                </pt>
                <pt idx="74">
                  <v>0.06309327277090647</v>
                </pt>
                <pt idx="75">
                  <v>0.06309327277090647</v>
                </pt>
                <pt idx="76">
                  <v>0.06309327277090647</v>
                </pt>
                <pt idx="77">
                  <v>0.06309327277090647</v>
                </pt>
                <pt idx="78">
                  <v>0.06309327277090647</v>
                </pt>
                <pt idx="79">
                  <v>0.06309327277090647</v>
                </pt>
                <pt idx="80">
                  <v>0.06309327277090647</v>
                </pt>
                <pt idx="81">
                  <v>0.06309327277090647</v>
                </pt>
              </numCache>
            </numRef>
          </val>
          <smooth val="0"/>
        </ser>
        <dLbls>
          <showLegendKey val="0"/>
          <showVal val="0"/>
          <showCatName val="0"/>
          <showSerName val="0"/>
          <showPercent val="0"/>
          <showBubbleSize val="0"/>
        </dLbls>
        <smooth val="0"/>
        <axId val="1429524687"/>
        <axId val="1145246000"/>
      </lineChart>
      <catAx>
        <axId val="1429524687"/>
        <scaling>
          <orientation val="minMax"/>
        </scaling>
        <delete val="0"/>
        <axPos val="b"/>
        <numFmt formatCode="0.0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45246000"/>
        <crosses val="autoZero"/>
        <auto val="1"/>
        <lblAlgn val="ctr"/>
        <lblOffset val="100"/>
        <noMultiLvlLbl val="0"/>
      </catAx>
      <valAx>
        <axId val="1145246000"/>
        <scaling>
          <orientation val="minMax"/>
        </scaling>
        <delete val="0"/>
        <axPos val="l"/>
        <majorGridlines>
          <spPr>
            <a:l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429524687"/>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elec-whr — cumulative % reduction vs CCE ($/MMBtu)</a:t>
            </a:r>
          </a:p>
        </rich>
      </tx>
      <overlay val="0"/>
      <spPr>
        <a:noFill/>
        <a:ln>
          <a:noFill/>
          <a:prstDash val="solid"/>
        </a:ln>
      </spPr>
    </title>
    <plotArea>
      <layout/>
      <lineChart>
        <grouping val="standard"/>
        <varyColors val="0"/>
        <ser>
          <idx val="0"/>
          <order val="0"/>
          <tx>
            <v>pulp paper and printing 17T18</v>
          </tx>
          <spPr>
            <a:ln w="28575" cap="rnd">
              <a:solidFill>
                <a:schemeClr val="accent1"/>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'elec-whr'!$E$11:$CH$11</f>
              <numCache>
                <formatCode>0.00%</formatCode>
                <ptCount val="82"/>
                <pt idx="0">
                  <v>4.172197867656892e-05</v>
                </pt>
                <pt idx="1">
                  <v>0.0001829892954580671</v>
                </pt>
                <pt idx="2">
                  <v>0.00067305652474305</v>
                </pt>
                <pt idx="3">
                  <v>0.00208274590493605</v>
                </pt>
                <pt idx="4">
                  <v>0.005445297197198665</v>
                </pt>
                <pt idx="5">
                  <v>0.01209668677485906</v>
                </pt>
                <pt idx="6">
                  <v>0.02300782598063868</v>
                </pt>
                <pt idx="7">
                  <v>0.03785193255740113</v>
                </pt>
                <pt idx="8">
                  <v>0.05460027566878051</v>
                </pt>
                <pt idx="9">
                  <v>0.07027234837654384</v>
                </pt>
                <pt idx="10">
                  <v>0.08243466164270601</v>
                </pt>
                <pt idx="11">
                  <v>0.09026237381388322</v>
                </pt>
                <pt idx="12">
                  <v>0.09444040508776537</v>
                </pt>
                <pt idx="13">
                  <v>0.0962897232911152</v>
                </pt>
                <pt idx="14">
                  <v>0.09696851353985242</v>
                </pt>
                <pt idx="15">
                  <v>0.09717510893719436</v>
                </pt>
                <pt idx="16">
                  <v>0.09722724526927783</v>
                </pt>
                <pt idx="17">
                  <v>0.09723815378727529</v>
                </pt>
                <pt idx="18">
                  <v>0.0972400459763107</v>
                </pt>
                <pt idx="19">
                  <v>0.09724031806008071</v>
                </pt>
                <pt idx="20">
                  <v>0.0972403504898747</v>
                </pt>
                <pt idx="21">
                  <v>0.09724035369357535</v>
                </pt>
                <pt idx="22">
                  <v>0.09724035395586893</v>
                </pt>
                <pt idx="23">
                  <v>0.09724035397366454</v>
                </pt>
                <pt idx="24">
                  <v>0.09724035397466496</v>
                </pt>
                <pt idx="25">
                  <v>0.09724035397471156</v>
                </pt>
                <pt idx="26">
                  <v>0.09724035397471337</v>
                </pt>
                <pt idx="27">
                  <v>0.09724035397471342</v>
                </pt>
                <pt idx="28">
                  <v>0.09724035397471342</v>
                </pt>
                <pt idx="29">
                  <v>0.09724035397471342</v>
                </pt>
                <pt idx="30">
                  <v>0.09724035397471342</v>
                </pt>
                <pt idx="31">
                  <v>0.09724035397471342</v>
                </pt>
                <pt idx="32">
                  <v>0.09724035397471342</v>
                </pt>
                <pt idx="33">
                  <v>0.09724035397471342</v>
                </pt>
                <pt idx="34">
                  <v>0.09724035397471342</v>
                </pt>
                <pt idx="35">
                  <v>0.09724035397471342</v>
                </pt>
                <pt idx="36">
                  <v>0.09724035397471342</v>
                </pt>
                <pt idx="37">
                  <v>0.09724035397471342</v>
                </pt>
                <pt idx="38">
                  <v>0.09724035397471342</v>
                </pt>
                <pt idx="39">
                  <v>0.09724035397471342</v>
                </pt>
                <pt idx="40">
                  <v>0.09724035397471342</v>
                </pt>
                <pt idx="41">
                  <v>0.09724035397471342</v>
                </pt>
                <pt idx="42">
                  <v>0.09724035397471342</v>
                </pt>
                <pt idx="43">
                  <v>0.09724035397471342</v>
                </pt>
                <pt idx="44">
                  <v>0.09724035397471342</v>
                </pt>
                <pt idx="45">
                  <v>0.09724035397471342</v>
                </pt>
                <pt idx="46">
                  <v>0.09724035397471342</v>
                </pt>
                <pt idx="47">
                  <v>0.09724035397471342</v>
                </pt>
                <pt idx="48">
                  <v>0.09724035397471342</v>
                </pt>
                <pt idx="49">
                  <v>0.09724035397471342</v>
                </pt>
                <pt idx="50">
                  <v>0.09724035397471342</v>
                </pt>
                <pt idx="51">
                  <v>0.09724035397471342</v>
                </pt>
                <pt idx="52">
                  <v>0.09724035397471342</v>
                </pt>
                <pt idx="53">
                  <v>0.09724035397471342</v>
                </pt>
                <pt idx="54">
                  <v>0.09724035397471342</v>
                </pt>
                <pt idx="55">
                  <v>0.09724035397471342</v>
                </pt>
                <pt idx="56">
                  <v>0.09724035397471342</v>
                </pt>
                <pt idx="57">
                  <v>0.09724035397471342</v>
                </pt>
                <pt idx="58">
                  <v>0.09724035397471342</v>
                </pt>
                <pt idx="59">
                  <v>0.09724035397471342</v>
                </pt>
                <pt idx="60">
                  <v>0.09724035397471342</v>
                </pt>
                <pt idx="61">
                  <v>0.09724035397471342</v>
                </pt>
                <pt idx="62">
                  <v>0.09724035397471342</v>
                </pt>
                <pt idx="63">
                  <v>0.09724035397471342</v>
                </pt>
                <pt idx="64">
                  <v>0.09724035397471342</v>
                </pt>
                <pt idx="65">
                  <v>0.09724035397471342</v>
                </pt>
                <pt idx="66">
                  <v>0.09724035397471342</v>
                </pt>
                <pt idx="67">
                  <v>0.09724035397471342</v>
                </pt>
                <pt idx="68">
                  <v>0.09724035397471342</v>
                </pt>
                <pt idx="69">
                  <v>0.09724035397471342</v>
                </pt>
                <pt idx="70">
                  <v>0.09724035397471342</v>
                </pt>
                <pt idx="71">
                  <v>0.09724035397471342</v>
                </pt>
                <pt idx="72">
                  <v>0.09724035397471342</v>
                </pt>
                <pt idx="73">
                  <v>0.09724035397471342</v>
                </pt>
                <pt idx="74">
                  <v>0.09724035397471342</v>
                </pt>
                <pt idx="75">
                  <v>0.09724035397471342</v>
                </pt>
                <pt idx="76">
                  <v>0.09724035397471342</v>
                </pt>
                <pt idx="77">
                  <v>0.09724035397471342</v>
                </pt>
                <pt idx="78">
                  <v>0.09724035397471342</v>
                </pt>
                <pt idx="79">
                  <v>0.09724035397471342</v>
                </pt>
                <pt idx="80">
                  <v>0.09724035397471342</v>
                </pt>
                <pt idx="81">
                  <v>0.09724035397471342</v>
                </pt>
              </numCache>
            </numRef>
          </val>
          <smooth val="0"/>
        </ser>
        <ser>
          <idx val="1"/>
          <order val="1"/>
          <tx>
            <v>refined petroleum and coke 19</v>
          </tx>
          <spPr>
            <a:ln w="28575" cap="rnd">
              <a:solidFill>
                <a:schemeClr val="accent2"/>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'elec-whr'!$E$12:$CH$12</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2"/>
          <order val="2"/>
          <tx>
            <v>chemicals 20</v>
          </tx>
          <spPr>
            <a:ln w="28575" cap="rnd">
              <a:solidFill>
                <a:schemeClr val="accent3"/>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'elec-whr'!$E$13:$CH$13</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3"/>
          <order val="3"/>
          <tx>
            <v>rubber and plastic products 22</v>
          </tx>
          <spPr>
            <a:ln w="28575" cap="rnd">
              <a:solidFill>
                <a:schemeClr val="accent4"/>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'elec-whr'!$E$14:$CH$14</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4"/>
          <order val="4"/>
          <tx>
            <v>glass and glass products 231</v>
          </tx>
          <spPr>
            <a:ln w="28575" cap="rnd">
              <a:solidFill>
                <a:schemeClr val="accent5"/>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'elec-whr'!$E$15:$CH$15</f>
              <numCache>
                <formatCode>0.00%</formatCode>
                <ptCount val="82"/>
                <pt idx="0">
                  <v>4.186552480954254e-06</v>
                </pt>
                <pt idx="1">
                  <v>7.719537018355776e-06</v>
                </pt>
                <pt idx="2">
                  <v>1.383621896185167e-05</v>
                </pt>
                <pt idx="3">
                  <v>2.411039581487351e-05</v>
                </pt>
                <pt idx="4">
                  <v>4.085347008332113e-05</v>
                </pt>
                <pt idx="5">
                  <v>6.73250856167605e-05</v>
                </pt>
                <pt idx="6">
                  <v>0.0001079303938433569</v>
                </pt>
                <pt idx="7">
                  <v>0.0001683589671470084</v>
                </pt>
                <pt idx="8">
                  <v>0.000255607689172418</v>
                </pt>
                <pt idx="9">
                  <v>0.0003778250914946318</v>
                </pt>
                <pt idx="10">
                  <v>0.000543923051195931</v>
                </pt>
                <pt idx="11">
                  <v>0.0007629274571462021</v>
                </pt>
                <pt idx="12">
                  <v>0.001043082690511152</v>
                </pt>
                <pt idx="13">
                  <v>0.001390780524314614</v>
                </pt>
                <pt idx="14">
                  <v>0.001809441624137428</v>
                </pt>
                <pt idx="15">
                  <v>0.002298522446023639</v>
                </pt>
                <pt idx="16">
                  <v>0.002852836730975036</v>
                </pt>
                <pt idx="17">
                  <v>0.003462358098186894</v>
                </pt>
                <pt idx="18">
                  <v>0.004112606412426075</v>
                </pt>
                <pt idx="19">
                  <v>0.004785624874686238</v>
                </pt>
                <pt idx="20">
                  <v>0.005461446628762706</v>
                </pt>
                <pt idx="21">
                  <v>0.006119854179945095</v>
                </pt>
                <pt idx="22">
                  <v>0.006742175791331835</v>
                </pt>
                <pt idx="23">
                  <v>0.007312855461085234</v>
                </pt>
                <pt idx="24">
                  <v>0.00782057905913061</v>
                </pt>
                <pt idx="25">
                  <v>0.0082588268289204</v>
                </pt>
                <pt idx="26">
                  <v>0.00862582971813826</v>
                </pt>
                <pt idx="27">
                  <v>0.008924008431790028</v>
                </pt>
                <pt idx="28">
                  <v>0.00915904809418883</v>
                </pt>
                <pt idx="29">
                  <v>0.009338795657888687</v>
                </pt>
                <pt idx="30">
                  <v>0.009472160754520833</v>
                </pt>
                <pt idx="31">
                  <v>0.009568162391531144</v>
                </pt>
                <pt idx="32">
                  <v>0.00963520830986978</v>
                </pt>
                <pt idx="33">
                  <v>0.009680636272870731</v>
                </pt>
                <pt idx="34">
                  <v>0.009710499130152964</v>
                </pt>
                <pt idx="35">
                  <v>0.009729544814748824</v>
                </pt>
                <pt idx="36">
                  <v>0.009741329524927313</v>
                </pt>
                <pt idx="37">
                  <v>0.00974840406590325</v>
                </pt>
                <pt idx="38">
                  <v>0.009752524420732673</v>
                </pt>
                <pt idx="39">
                  <v>0.009754852661590131</v>
                </pt>
                <pt idx="40">
                  <v>0.009756129035965211</v>
                </pt>
                <pt idx="41">
                  <v>0.009756807903545857</v>
                </pt>
                <pt idx="42">
                  <v>0.009757158210551758</v>
                </pt>
                <pt idx="43">
                  <v>0.009757333586193306</v>
                </pt>
                <pt idx="44">
                  <v>0.009757418767902757</v>
                </pt>
                <pt idx="45">
                  <v>0.009757458908144983</v>
                </pt>
                <pt idx="46">
                  <v>0.00975747725958348</v>
                </pt>
                <pt idx="47">
                  <v>0.009757485399438078</v>
                </pt>
                <pt idx="48">
                  <v>0.009757488902271742</v>
                </pt>
                <pt idx="49">
                  <v>0.009757490364713685</v>
                </pt>
                <pt idx="50">
                  <v>0.009757490957084869</v>
                </pt>
                <pt idx="51">
                  <v>0.009757491189875392</v>
                </pt>
                <pt idx="52">
                  <v>0.009757491278630358</v>
                </pt>
                <pt idx="53">
                  <v>0.009757491311460741</v>
                </pt>
                <pt idx="54">
                  <v>0.009757491323242632</v>
                </pt>
                <pt idx="55">
                  <v>0.009757491327344766</v>
                </pt>
                <pt idx="56">
                  <v>0.009757491328730437</v>
                </pt>
                <pt idx="57">
                  <v>0.009757491329184553</v>
                </pt>
                <pt idx="58">
                  <v>0.009757491329328941</v>
                </pt>
                <pt idx="59">
                  <v>0.009757491329373478</v>
                </pt>
                <pt idx="60">
                  <v>0.00975749132938681</v>
                </pt>
                <pt idx="61">
                  <v>0.00975749132939068</v>
                </pt>
                <pt idx="62">
                  <v>0.009757491329391769</v>
                </pt>
                <pt idx="63">
                  <v>0.009757491329392068</v>
                </pt>
                <pt idx="64">
                  <v>0.009757491329392146</v>
                </pt>
                <pt idx="65">
                  <v>0.009757491329392166</v>
                </pt>
                <pt idx="66">
                  <v>0.009757491329392172</v>
                </pt>
                <pt idx="67">
                  <v>0.009757491329392173</v>
                </pt>
                <pt idx="68">
                  <v>0.009757491329392173</v>
                </pt>
                <pt idx="69">
                  <v>0.009757491329392173</v>
                </pt>
                <pt idx="70">
                  <v>0.009757491329392173</v>
                </pt>
                <pt idx="71">
                  <v>0.009757491329392173</v>
                </pt>
                <pt idx="72">
                  <v>0.009757491329392173</v>
                </pt>
                <pt idx="73">
                  <v>0.009757491329392173</v>
                </pt>
                <pt idx="74">
                  <v>0.009757491329392173</v>
                </pt>
                <pt idx="75">
                  <v>0.009757491329392173</v>
                </pt>
                <pt idx="76">
                  <v>0.009757491329392173</v>
                </pt>
                <pt idx="77">
                  <v>0.009757491329392173</v>
                </pt>
                <pt idx="78">
                  <v>0.009757491329392173</v>
                </pt>
                <pt idx="79">
                  <v>0.009757491329392173</v>
                </pt>
                <pt idx="80">
                  <v>0.009757491329392173</v>
                </pt>
                <pt idx="81">
                  <v>0.009757491329392173</v>
                </pt>
              </numCache>
            </numRef>
          </val>
          <smooth val="0"/>
        </ser>
        <ser>
          <idx val="5"/>
          <order val="5"/>
          <tx>
            <v>cement and other nonmetallic m</v>
          </tx>
          <spPr>
            <a:ln w="28575" cap="rnd">
              <a:solidFill>
                <a:schemeClr val="accent6"/>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'elec-whr'!$E$16:$CH$16</f>
              <numCache>
                <formatCode>0.00%</formatCode>
                <ptCount val="82"/>
                <pt idx="0">
                  <v>3.146079767951088e-05</v>
                </pt>
                <pt idx="1">
                  <v>3.394672564497545e-05</v>
                </pt>
                <pt idx="2">
                  <v>3.661361499281735e-05</v>
                </pt>
                <pt idx="3">
                  <v>3.947335123655511e-05</v>
                </pt>
                <pt idx="4">
                  <v>4.253849951451696e-05</v>
                </pt>
                <pt idx="5">
                  <v>4.582233599872215e-05</v>
                </pt>
                <pt idx="6">
                  <v>4.933888023436209e-05</v>
                </pt>
                <pt idx="7">
                  <v>5.310292840116087e-05</v>
                </pt>
                <pt idx="8">
                  <v>5.713008748470539e-05</v>
                </pt>
                <pt idx="9">
                  <v>6.143681034244087e-05</v>
                </pt>
                <pt idx="10">
                  <v>6.604043164545916e-05</v>
                </pt>
                <pt idx="11">
                  <v>7.09592046734369e-05</v>
                </pt>
                <pt idx="12">
                  <v>7.621233893613053e-05</v>
                </pt>
                <pt idx="13">
                  <v>8.182003859069455e-05</v>
                </pt>
                <pt idx="14">
                  <v>8.780354161976324e-05</v>
                </pt>
                <pt idx="15">
                  <v>9.418515973073421e-05</v>
                </pt>
                <pt idx="16">
                  <v>0.0001009883189320089</v>
                </pt>
                <pt idx="17">
                  <v>0.0001082376007370901</v>
                </pt>
                <pt idx="18">
                  <v>0.0001159587839424289</v>
                </pt>
                <pt idx="19">
                  <v>0.000124178886919727</v>
                </pt>
                <pt idx="20">
                  <v>0.0001329262103580944</v>
                </pt>
                <pt idx="21">
                  <v>0.0001422303803859938</v>
                </pt>
                <pt idx="22">
                  <v>0.0001521223919973225</v>
                </pt>
                <pt idx="23">
                  <v>0.0001626346527002869</v>
                </pt>
                <pt idx="24">
                  <v>0.0001738010263019201</v>
                </pt>
                <pt idx="25">
                  <v>0.0001856568767352242</v>
                </pt>
                <pt idx="26">
                  <v>0.0001982391118299488</v>
                </pt>
                <pt idx="27">
                  <v>0.0002115862269220393</v>
                </pt>
                <pt idx="28">
                  <v>0.0002257383481907386</v>
                </pt>
                <pt idx="29">
                  <v>0.0002407372756062913</v>
                </pt>
                <pt idx="30">
                  <v>0.0002566265253651739</v>
                </pt>
                <pt idx="31">
                  <v>0.0002734513716837589</v>
                </pt>
                <pt idx="32">
                  <v>0.0002912588878154078</v>
                </pt>
                <pt idx="33">
                  <v>0.0003100979861501101</v>
                </pt>
                <pt idx="34">
                  <v>0.0003300194572500513</v>
                </pt>
                <pt idx="35">
                  <v>0.0003510760076688898</v>
                </pt>
                <pt idx="36">
                  <v>0.0003733222963970736</v>
                </pt>
                <pt idx="37">
                  <v>0.000396814969770296</v>
                </pt>
                <pt idx="38">
                  <v>0.0004216126946731721</v>
                </pt>
                <pt idx="39">
                  <v>0.0004477761898654495</v>
                </pt>
                <pt idx="40">
                  <v>0.0004753682552536335</v>
                </pt>
                <pt idx="41">
                  <v>0.0005044537989267311</v>
                </pt>
                <pt idx="42">
                  <v>0.0005350998617710609</v>
                </pt>
                <pt idx="43">
                  <v>0.0005673756394756872</v>
                </pt>
                <pt idx="44">
                  <v>0.0006013525017370357</v>
                </pt>
                <pt idx="45">
                  <v>0.0006371040084688008</v>
                </pt>
                <pt idx="46">
                  <v>0.0006747059228211784</v>
                </pt>
                <pt idx="47">
                  <v>0.0007142362208120251</v>
                </pt>
                <pt idx="48">
                  <v>0.0007557750973715677</v>
                </pt>
                <pt idx="49">
                  <v>0.0007994049686020005</v>
                </pt>
                <pt idx="50">
                  <v>0.0008452104700535606</v>
                </pt>
                <pt idx="51">
                  <v>0.0008932784508196321</v>
                </pt>
                <pt idx="52">
                  <v>0.0009436979632550655</v>
                </pt>
                <pt idx="53">
                  <v>0.0009965602481242181</v>
                </pt>
                <pt idx="54">
                  <v>0.001051958714988348</v>
                </pt>
                <pt idx="55">
                  <v>0.001109988917645793</v>
                </pt>
                <pt idx="56">
                  <v>0.001170748524443047</v>
                </pt>
                <pt idx="57">
                  <v>0.001234337283280273</v>
                </pt>
                <pt idx="58">
                  <v>0.001300856981141066</v>
                </pt>
                <pt idx="59">
                  <v>0.001370411397983436</v>
                </pt>
                <pt idx="60">
                  <v>0.001443106254836912</v>
                </pt>
                <pt idx="61">
                  <v>0.001519049155959555</v>
                </pt>
                <pt idx="62">
                  <v>0.001598349524918399</v>
                </pt>
                <pt idx="63">
                  <v>0.001681118534467398</v>
                </pt>
                <pt idx="64">
                  <v>0.001767469030108524</v>
                </pt>
                <pt idx="65">
                  <v>0.001857515447233967</v>
                </pt>
                <pt idx="66">
                  <v>0.001951373721760642</v>
                </pt>
                <pt idx="67">
                  <v>0.002049161194182338</v>
                </pt>
                <pt idx="68">
                  <v>0.002150996506979753</v>
                </pt>
                <pt idx="69">
                  <v>0.002256999495344478</v>
                </pt>
                <pt idx="70">
                  <v>0.002367291071189536</v>
                </pt>
                <pt idx="71">
                  <v>0.00248199310043646</v>
                </pt>
                <pt idx="72">
                  <v>0.002601228273587027</v>
                </pt>
                <pt idx="73">
                  <v>0.002725119969606519</v>
                </pt>
                <pt idx="74">
                  <v>0.002853792113164941</v>
                </pt>
                <pt idx="75">
                  <v>0.002987369025302707</v>
                </pt>
                <pt idx="76">
                  <v>0.003125975267607967</v>
                </pt>
                <pt idx="77">
                  <v>0.003269735480014026</v>
                </pt>
                <pt idx="78">
                  <v>0.003418774212346923</v>
                </pt>
                <pt idx="79">
                  <v>0.003573215749775365</v>
                </pt>
                <pt idx="80">
                  <v>0.00373318393233761</v>
                </pt>
                <pt idx="81">
                  <v>0.07332488054792478</v>
                </pt>
              </numCache>
            </numRef>
          </val>
          <smooth val="0"/>
        </ser>
        <ser>
          <idx val="6"/>
          <order val="6"/>
          <tx>
            <v>iron and steel 241</v>
          </tx>
          <spPr>
            <a:ln w="28575" cap="rnd">
              <a:solidFill>
                <a:schemeClr val="accent1">
                  <a:lumMod val="60000"/>
                </a:schemeClr>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'elec-whr'!$E$17:$CH$17</f>
              <numCache>
                <formatCode>0.00%</formatCode>
                <ptCount val="82"/>
                <pt idx="0">
                  <v>1.484144112774771e-05</v>
                </pt>
                <pt idx="1">
                  <v>3.053087959523849e-05</v>
                </pt>
                <pt idx="2">
                  <v>6.098374831562269e-05</v>
                </pt>
                <pt idx="3">
                  <v>0.0001176047834254402</v>
                </pt>
                <pt idx="4">
                  <v>0.0002182906274901885</v>
                </pt>
                <pt idx="5">
                  <v>0.000389375347052482</v>
                </pt>
                <pt idx="6">
                  <v>0.0006670153399672424</v>
                </pt>
                <pt idx="7">
                  <v>0.001097194055938498</v>
                </pt>
                <pt idx="8">
                  <v>0.00173345156959709</v>
                </pt>
                <pt idx="9">
                  <v>0.002631678833626312</v>
                </pt>
                <pt idx="10">
                  <v>0.003841942656190114</v>
                </pt>
                <pt idx="11">
                  <v>0.005398258656311336</v>
                </pt>
                <pt idx="12">
                  <v>0.007308249679708717</v>
                </pt>
                <pt idx="13">
                  <v>0.009545318484290303</v>
                </pt>
                <pt idx="14">
                  <v>0.01204593417075295</v>
                </pt>
                <pt idx="15">
                  <v>0.01471369444735294</v>
                </pt>
                <pt idx="16">
                  <v>0.01743014495180921</v>
                </pt>
                <pt idx="17">
                  <v>0.02007042704341851</v>
                </pt>
                <pt idx="18">
                  <v>0.02252036845965242</v>
                </pt>
                <pt idx="19">
                  <v>0.02469118380966981</v>
                </pt>
                <pt idx="20">
                  <v>0.0265286896946635</v>
                </pt>
                <pt idx="21">
                  <v>0.02801557375775524</v>
                </pt>
                <pt idx="22">
                  <v>0.02916717133086714</v>
                </pt>
                <pt idx="23">
                  <v>0.03002273269280158</v>
                </pt>
                <pt idx="24">
                  <v>0.03063487177367471</v>
                </pt>
                <pt idx="25">
                  <v>0.03105970495151109</v>
                </pt>
                <pt idx="26">
                  <v>0.03134937342645654</v>
                </pt>
                <pt idx="27">
                  <v>0.03154760607398763</v>
                </pt>
                <pt idx="28">
                  <v>0.0316880940478363</v>
                </pt>
                <pt idx="29">
                  <v>0.03179492207936827</v>
                </pt>
                <pt idx="30">
                  <v>0.03188415690245155</v>
                </pt>
                <pt idx="31">
                  <v>0.03196582466152086</v>
                </pt>
                <pt idx="32">
                  <v>0.0320457675138641</v>
                </pt>
                <pt idx="33">
                  <v>0.03212713048690115</v>
                </pt>
                <pt idx="34">
                  <v>0.03221142352931088</v>
                </pt>
                <pt idx="35">
                  <v>0.03229921333206776</v>
                </pt>
                <pt idx="36">
                  <v>0.03239054010155391</v>
                </pt>
                <pt idx="37">
                  <v>0.03248515259421131</v>
                </pt>
                <pt idx="38">
                  <v>0.03258263420343672</v>
                </pt>
                <pt idx="39">
                  <v>0.03268246921460386</v>
                </pt>
                <pt idx="40">
                  <v>0.03278407886476396</v>
                </pt>
                <pt idx="41">
                  <v>0.03288684343992711</v>
                </pt>
                <pt idx="42">
                  <v>0.03299011850627565</v>
                </pt>
                <pt idx="43">
                  <v>0.03309324890324735</v>
                </pt>
                <pt idx="44">
                  <v>0.03319558187636821</v>
                </pt>
                <pt idx="45">
                  <v>0.03329647968390091</v>
                </pt>
                <pt idx="46">
                  <v>0.03339533157037378</v>
                </pt>
                <pt idx="47">
                  <v>0.0334915648416085</v>
                </pt>
                <pt idx="48">
                  <v>0.03358465474500442</v>
                </pt>
                <pt idx="49">
                  <v>0.03367413288563736</v>
                </pt>
                <pt idx="50">
                  <v>0.0337595939626675</v>
                </pt>
                <pt idx="51">
                  <v>0.03384070067771944</v>
                </pt>
                <pt idx="52">
                  <v>0.03391718673985401</v>
                </pt>
                <pt idx="53">
                  <v>0.03398885796545162</v>
                </pt>
                <pt idx="54">
                  <v>0.03405559154172993</v>
                </pt>
                <pt idx="55">
                  <v>0.03411733358632266</v>
                </pt>
                <pt idx="56">
                  <v>0.0341740951895799</v>
                </pt>
                <pt idx="57">
                  <v>0.03422594716895049</v>
                </pt>
                <pt idx="58">
                  <v>0.03427301379468528</v>
                </pt>
                <pt idx="59">
                  <v>0.03431546576265858</v>
                </pt>
                <pt idx="60">
                  <v>0.03435351269361572</v>
                </pt>
                <pt idx="61">
                  <v>0.03438739542956922</v>
                </pt>
                <pt idx="62">
                  <v>0.03441737837891097</v>
                </pt>
                <pt idx="63">
                  <v>0.03444374213403282</v>
                </pt>
                <pt idx="64">
                  <v>0.03446677655107137</v>
                </pt>
                <pt idx="65">
                  <v>0.03448677444313994</v>
                </pt>
                <pt idx="66">
                  <v>0.03450402599836671</v>
                </pt>
                <pt idx="67">
                  <v>0.03451881399433276</v>
                </pt>
                <pt idx="68">
                  <v>0.0345314098429331</v>
                </pt>
                <pt idx="69">
                  <v>0.03454207046575168</v>
                </pt>
                <pt idx="70">
                  <v>0.03455103597084259</v>
                </pt>
                <pt idx="71">
                  <v>0.03455852807803541</v>
                </pt>
                <pt idx="72">
                  <v>0.03456474922184092</v>
                </pt>
                <pt idx="73">
                  <v>0.03456988224868491</v>
                </pt>
                <pt idx="74">
                  <v>0.03457409061821322</v>
                </pt>
                <pt idx="75">
                  <v>0.03457751901623472</v>
                </pt>
                <pt idx="76">
                  <v>0.03458029428878847</v>
                </pt>
                <pt idx="77">
                  <v>0.03458252661203502</v>
                </pt>
                <pt idx="78">
                  <v>0.0345843108203502</v>
                </pt>
                <pt idx="79">
                  <v>0.03458572782433663</v>
                </pt>
                <pt idx="80">
                  <v>0.0345868460607255</v>
                </pt>
                <pt idx="81">
                  <v>0.03459056915648039</v>
                </pt>
              </numCache>
            </numRef>
          </val>
          <smooth val="0"/>
        </ser>
        <ser>
          <idx val="7"/>
          <order val="7"/>
          <tx>
            <v>other metals 242</v>
          </tx>
          <spPr>
            <a:ln w="28575" cap="rnd">
              <a:solidFill>
                <a:schemeClr val="accent2">
                  <a:lumMod val="60000"/>
                </a:schemeClr>
              </a:solidFill>
              <a:prstDash val="solid"/>
              <a:round/>
            </a:ln>
          </spPr>
          <marker>
            <symbol val="none"/>
            <spPr>
              <a:ln>
                <a:prstDash val="solid"/>
              </a:ln>
            </spPr>
          </marker>
          <cat>
            <numRef>
              <f>'elec-whr'!$E$3:$CH$3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'elec-whr'!$E$18:$CH$18</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dLbls>
          <showLegendKey val="0"/>
          <showVal val="0"/>
          <showCatName val="0"/>
          <showSerName val="0"/>
          <showPercent val="0"/>
          <showBubbleSize val="0"/>
        </dLbls>
        <smooth val="0"/>
        <axId val="1429584543"/>
        <axId val="1145167760"/>
      </lineChart>
      <catAx>
        <axId val="1429584543"/>
        <scaling>
          <orientation val="minMax"/>
        </scaling>
        <delete val="0"/>
        <axPos val="b"/>
        <numFmt formatCode="0.0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45167760"/>
        <crosses val="autoZero"/>
        <auto val="1"/>
        <lblAlgn val="ctr"/>
        <lblOffset val="100"/>
        <noMultiLvlLbl val="0"/>
      </catAx>
      <valAx>
        <axId val="1145167760"/>
        <scaling>
          <orientation val="minMax"/>
        </scaling>
        <delete val="0"/>
        <axPos val="l"/>
        <majorGridlines>
          <spPr>
            <a:l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429584543"/>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elec-process — cumulative % reduction vs CCE ($/MMBtu)</a:t>
            </a:r>
          </a:p>
        </rich>
      </tx>
      <overlay val="0"/>
      <spPr>
        <a:noFill/>
        <a:ln>
          <a:noFill/>
          <a:prstDash val="solid"/>
        </a:ln>
      </spPr>
    </title>
    <plotArea>
      <layout/>
      <lineChart>
        <grouping val="standard"/>
        <varyColors val="0"/>
        <ser>
          <idx val="0"/>
          <order val="0"/>
          <tx>
            <v>pulp paper and printing 17T18</v>
          </tx>
          <spPr>
            <a:ln w="28575" cap="rnd">
              <a:solidFill>
                <a:schemeClr val="accent1"/>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'elec-process'!$E$11:$CH$11</f>
              <numCache>
                <formatCode>0.00%</formatCode>
                <ptCount val="82"/>
                <pt idx="0">
                  <v>1.189969943720098e-05</v>
                </pt>
                <pt idx="1">
                  <v>6.417934226983766e-05</v>
                </pt>
                <pt idx="2">
                  <v>0.0003315892642352513</v>
                </pt>
                <pt idx="3">
                  <v>0.001276080465862954</v>
                </pt>
                <pt idx="4">
                  <v>0.003544645089872422</v>
                </pt>
                <pt idx="5">
                  <v>0.007240919477352181</v>
                </pt>
                <pt idx="6">
                  <v>0.01132526343132056</v>
                </pt>
                <pt idx="7">
                  <v>0.01438741247107135</v>
                </pt>
                <pt idx="8">
                  <v>0.01594868255238367</v>
                </pt>
                <pt idx="9">
                  <v>0.01649698442290475</v>
                </pt>
                <pt idx="10">
                  <v>0.0166410785703756</v>
                </pt>
                <pt idx="11">
                  <v>0.01668595042124531</v>
                </pt>
                <pt idx="12">
                  <v>0.01671957646854713</v>
                </pt>
                <pt idx="13">
                  <v>0.01675859539934645</v>
                </pt>
                <pt idx="14">
                  <v>0.01680602451666861</v>
                </pt>
                <pt idx="15">
                  <v>0.01686330947474455</v>
                </pt>
                <pt idx="16">
                  <v>0.01693181952744903</v>
                </pt>
                <pt idx="17">
                  <v>0.0170129351144686</v>
                </pt>
                <pt idx="18">
                  <v>0.01710801365681668</v>
                </pt>
                <pt idx="19">
                  <v>0.01721834436264951</v>
                </pt>
                <pt idx="20">
                  <v>0.01734509992931135</v>
                </pt>
                <pt idx="21">
                  <v>0.01748928775648517</v>
                </pt>
                <pt idx="22">
                  <v>0.01765170334287057</v>
                </pt>
                <pt idx="23">
                  <v>0.01783288858334988</v>
                </pt>
                <pt idx="24">
                  <v>0.01803309750265</v>
                </pt>
                <pt idx="25">
                  <v>0.01825227155780087</v>
                </pt>
                <pt idx="26">
                  <v>0.01849002604939214</v>
                </pt>
                <pt idx="27">
                  <v>0.01874564845802847</v>
                </pt>
                <pt idx="28">
                  <v>0.0190181087403174</v>
                </pt>
                <pt idx="29">
                  <v>0.01930608085663546</v>
                </pt>
                <pt idx="30">
                  <v>0.0196079741342062</v>
                </pt>
                <pt idx="31">
                  <v>0.01992197255248102</v>
                </pt>
                <pt idx="32">
                  <v>0.02024607971075378</v>
                </pt>
                <pt idx="33">
                  <v>0.02057816711299503</v>
                </pt>
                <pt idx="34">
                  <v>0.02091602347076339</v>
                </pt>
                <pt idx="35">
                  <v>0.02125740295070781</v>
                </pt>
                <pt idx="36">
                  <v>0.02160007063444298</v>
                </pt>
                <pt idx="37">
                  <v>0.02194184386571317</v>
                </pt>
                <pt idx="38">
                  <v>0.02228062858462908</v>
                </pt>
                <pt idx="39">
                  <v>0.02261445015053329</v>
                </pt>
                <pt idx="40">
                  <v>0.02294147850374045</v>
                </pt>
                <pt idx="41">
                  <v>0.02326004779414184</v>
                </pt>
                <pt idx="42">
                  <v>0.02356867080502927</v>
                </pt>
                <pt idx="43">
                  <v>0.02386604862640907</v>
                </pt>
                <pt idx="44">
                  <v>0.02415107609309288</v>
                </pt>
                <pt idx="45">
                  <v>0.0244228435123138</v>
                </pt>
                <pt idx="46">
                  <v>0.02468063517824613</v>
                </pt>
                <pt idx="47">
                  <v>0.02492392512086362</v>
                </pt>
                <pt idx="48">
                  <v>0.02515237047666727</v>
                </pt>
                <pt idx="49">
                  <v>0.02536580280925464</v>
                </pt>
                <pt idx="50">
                  <v>0.02556421765620615</v>
                </pt>
                <pt idx="51">
                  <v>0.02574776254041444</v>
                </pt>
                <pt idx="52">
                  <v>0.02591672366132185</v>
                </pt>
                <pt idx="53">
                  <v>0.02607151147473644</v>
                </pt>
                <pt idx="54">
                  <v>0.02621264537706695</v>
                </pt>
                <pt idx="55">
                  <v>0.02634073772736264</v>
                </pt>
                <pt idx="56">
                  <v>0.02645647746369947</v>
                </pt>
                <pt idx="57">
                  <v>0.02656061359389096</v>
                </pt>
                <pt idx="58">
                  <v>0.0266539388589787</v>
                </pt>
                <pt idx="59">
                  <v>0.02673727387694746</v>
                </pt>
                <pt idx="60">
                  <v>0.02681145207031521</v>
                </pt>
                <pt idx="61">
                  <v>0.02687730566294292</v>
                </pt>
                <pt idx="62">
                  <v>0.02693565299856196</v>
                </pt>
                <pt idx="63">
                  <v>0.02698728738770795</v>
                </pt>
                <pt idx="64">
                  <v>0.02703296763388213</v>
                </pt>
                <pt idx="65">
                  <v>0.0270734103276534</v>
                </pt>
                <pt idx="66">
                  <v>0.02710928393331565</v>
                </pt>
                <pt idx="67">
                  <v>0.02714120463082648</v>
                </pt>
                <pt idx="68">
                  <v>0.02716973381981446</v>
                </pt>
                <pt idx="69">
                  <v>0.02719537714541259</v>
                </pt>
                <pt idx="70">
                  <v>0.02721858486955184</v>
                </pt>
                <pt idx="71">
                  <v>0.02723975338710321</v>
                </pt>
                <pt idx="72">
                  <v>0.02725922767388789</v>
                </pt>
                <pt idx="73">
                  <v>0.02727730445224977</v>
                </pt>
                <pt idx="74">
                  <v>0.02729423586813275</v>
                </pt>
                <pt idx="75">
                  <v>0.02731023348954069</v>
                </pt>
                <pt idx="76">
                  <v>0.02732547245779435</v>
                </pt>
                <pt idx="77">
                  <v>0.02734009564805163</v>
                </pt>
                <pt idx="78">
                  <v>0.02735421772218641</v>
                </pt>
                <pt idx="79">
                  <v>0.02736792898365905</v>
                </pt>
                <pt idx="80">
                  <v>0.02738129896911771</v>
                </pt>
                <pt idx="81">
                  <v>0.02773432665876814</v>
                </pt>
              </numCache>
            </numRef>
          </val>
          <smooth val="0"/>
        </ser>
        <ser>
          <idx val="1"/>
          <order val="1"/>
          <tx>
            <v>refined petroleum and coke 19</v>
          </tx>
          <spPr>
            <a:ln w="28575" cap="rnd">
              <a:solidFill>
                <a:schemeClr val="accent2"/>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'elec-process'!$E$12:$CH$12</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2"/>
          <order val="2"/>
          <tx>
            <v>chemicals 20</v>
          </tx>
          <spPr>
            <a:ln w="28575" cap="rnd">
              <a:solidFill>
                <a:schemeClr val="accent3"/>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'elec-process'!$E$13:$CH$13</f>
              <numCache>
                <formatCode>0.00%</formatCode>
                <ptCount val="82"/>
                <pt idx="0">
                  <v>7.110913510035367e-07</v>
                </pt>
                <pt idx="1">
                  <v>2.162932733338119e-06</v>
                </pt>
                <pt idx="2">
                  <v>5.990694451223792e-06</v>
                </pt>
                <pt idx="3">
                  <v>1.508997314695302e-05</v>
                </pt>
                <pt idx="4">
                  <v>3.456651397198922e-05</v>
                </pt>
                <pt idx="5">
                  <v>7.207239908147931e-05</v>
                </pt>
                <pt idx="6">
                  <v>0.0001370226640604695</v>
                </pt>
                <pt idx="7">
                  <v>0.0002381588937601246</v>
                </pt>
                <pt idx="8">
                  <v>0.0003797884137371649</v>
                </pt>
                <pt idx="9">
                  <v>0.0005582427489633495</v>
                </pt>
                <pt idx="10">
                  <v>0.0007607199035371003</v>
                </pt>
                <pt idx="11">
                  <v>0.0009678427779005734</v>
                </pt>
                <pt idx="12">
                  <v>0.001159202497244985</v>
                </pt>
                <pt idx="13">
                  <v>0.001319290626569806</v>
                </pt>
                <pt idx="14">
                  <v>0.001441023939297395</v>
                </pt>
                <pt idx="15">
                  <v>0.001525655469808833</v>
                </pt>
                <pt idx="16">
                  <v>0.001579942715797725</v>
                </pt>
                <pt idx="17">
                  <v>0.00161253873803856</v>
                </pt>
                <pt idx="18">
                  <v>0.00163126331265034</v>
                </pt>
                <pt idx="19">
                  <v>0.001641861414389309</v>
                </pt>
                <pt idx="20">
                  <v>0.001647959166064164</v>
                </pt>
                <pt idx="21">
                  <v>0.001651597677513493</v>
                </pt>
                <pt idx="22">
                  <v>0.001653845609720849</v>
                </pt>
                <pt idx="23">
                  <v>0.001655255991918458</v>
                </pt>
                <pt idx="24">
                  <v>0.001656133471234294</v>
                </pt>
                <pt idx="25">
                  <v>0.00165666473003272</v>
                </pt>
                <pt idx="26">
                  <v>0.001656974056780401</v>
                </pt>
                <pt idx="27">
                  <v>0.001657146152298216</v>
                </pt>
                <pt idx="28">
                  <v>0.00165723734538133</v>
                </pt>
                <pt idx="29">
                  <v>0.001657283300916879</v>
                </pt>
                <pt idx="30">
                  <v>0.00165730531016219</v>
                </pt>
                <pt idx="31">
                  <v>0.00165731532490411</v>
                </pt>
                <pt idx="32">
                  <v>0.001657319653939982</v>
                </pt>
                <pt idx="33">
                  <v>0.00165732143156288</v>
                </pt>
                <pt idx="34">
                  <v>0.001657322124952813</v>
                </pt>
                <pt idx="35">
                  <v>0.001657322381875173</v>
                </pt>
                <pt idx="36">
                  <v>0.001657322472304945</v>
                </pt>
                <pt idx="37">
                  <v>0.001657322502539626</v>
                </pt>
                <pt idx="38">
                  <v>0.0016573225121421</v>
                </pt>
                <pt idx="39">
                  <v>0.001657322515039072</v>
                </pt>
                <pt idx="40">
                  <v>0.001657322515869282</v>
                </pt>
                <pt idx="41">
                  <v>0.001657322516095285</v>
                </pt>
                <pt idx="42">
                  <v>0.001657322516153727</v>
                </pt>
                <pt idx="43">
                  <v>0.001657322516168082</v>
                </pt>
                <pt idx="44">
                  <v>0.001657322516171431</v>
                </pt>
                <pt idx="45">
                  <v>0.001657322516172174</v>
                </pt>
                <pt idx="46">
                  <v>0.00165732251617233</v>
                </pt>
                <pt idx="47">
                  <v>0.001657322516172361</v>
                </pt>
                <pt idx="48">
                  <v>0.001657322516172367</v>
                </pt>
                <pt idx="49">
                  <v>0.001657322516172368</v>
                </pt>
                <pt idx="50">
                  <v>0.001657322516172368</v>
                </pt>
                <pt idx="51">
                  <v>0.001657322516172368</v>
                </pt>
                <pt idx="52">
                  <v>0.001657322516172368</v>
                </pt>
                <pt idx="53">
                  <v>0.001657322516172368</v>
                </pt>
                <pt idx="54">
                  <v>0.001657322516172368</v>
                </pt>
                <pt idx="55">
                  <v>0.001657322516172368</v>
                </pt>
                <pt idx="56">
                  <v>0.001657322516172368</v>
                </pt>
                <pt idx="57">
                  <v>0.001657322516172368</v>
                </pt>
                <pt idx="58">
                  <v>0.001657322516172368</v>
                </pt>
                <pt idx="59">
                  <v>0.001657322516172368</v>
                </pt>
                <pt idx="60">
                  <v>0.001657322516172368</v>
                </pt>
                <pt idx="61">
                  <v>0.001657322516172368</v>
                </pt>
                <pt idx="62">
                  <v>0.001657322516172368</v>
                </pt>
                <pt idx="63">
                  <v>0.001657322516172368</v>
                </pt>
                <pt idx="64">
                  <v>0.001657322516172368</v>
                </pt>
                <pt idx="65">
                  <v>0.001657322516172368</v>
                </pt>
                <pt idx="66">
                  <v>0.001657322516172368</v>
                </pt>
                <pt idx="67">
                  <v>0.001657322516172368</v>
                </pt>
                <pt idx="68">
                  <v>0.001657322516172368</v>
                </pt>
                <pt idx="69">
                  <v>0.001657322516172368</v>
                </pt>
                <pt idx="70">
                  <v>0.001657322516172368</v>
                </pt>
                <pt idx="71">
                  <v>0.001657322516172368</v>
                </pt>
                <pt idx="72">
                  <v>0.001657322516172368</v>
                </pt>
                <pt idx="73">
                  <v>0.001657322516172368</v>
                </pt>
                <pt idx="74">
                  <v>0.001657322516172368</v>
                </pt>
                <pt idx="75">
                  <v>0.001657322516172368</v>
                </pt>
                <pt idx="76">
                  <v>0.001657322516172368</v>
                </pt>
                <pt idx="77">
                  <v>0.001657322516172368</v>
                </pt>
                <pt idx="78">
                  <v>0.001657322516172368</v>
                </pt>
                <pt idx="79">
                  <v>0.001657322516172368</v>
                </pt>
                <pt idx="80">
                  <v>0.001657322516172368</v>
                </pt>
                <pt idx="81">
                  <v>0.001657322516172368</v>
                </pt>
              </numCache>
            </numRef>
          </val>
          <smooth val="0"/>
        </ser>
        <ser>
          <idx val="3"/>
          <order val="3"/>
          <tx>
            <v>rubber and plastic products 22</v>
          </tx>
          <spPr>
            <a:ln w="28575" cap="rnd">
              <a:solidFill>
                <a:schemeClr val="accent4"/>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'elec-process'!$E$14:$CH$14</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4"/>
          <order val="4"/>
          <tx>
            <v>glass and glass products 231</v>
          </tx>
          <spPr>
            <a:ln w="28575" cap="rnd">
              <a:solidFill>
                <a:schemeClr val="accent5"/>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'elec-process'!$E$15:$CH$15</f>
              <numCache>
                <formatCode>0.00%</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numCache>
            </numRef>
          </val>
          <smooth val="0"/>
        </ser>
        <ser>
          <idx val="5"/>
          <order val="5"/>
          <tx>
            <v>cement and other nonmetallic m</v>
          </tx>
          <spPr>
            <a:ln w="28575" cap="rnd">
              <a:solidFill>
                <a:schemeClr val="accent6"/>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'elec-process'!$E$16:$CH$16</f>
              <numCache>
                <formatCode>0.00%</formatCode>
                <ptCount val="82"/>
                <pt idx="0">
                  <v>3.62516033346881e-05</v>
                </pt>
                <pt idx="1">
                  <v>4.626249757020072e-05</v>
                </pt>
                <pt idx="2">
                  <v>6.053391849643228e-05</v>
                </pt>
                <pt idx="3">
                  <v>8.133509494575893e-05</v>
                </pt>
                <pt idx="4">
                  <v>0.0001120137262001003</v>
                </pt>
                <pt idx="5">
                  <v>0.0001573065755970405</v>
                </pt>
                <pt idx="6">
                  <v>0.000223605323015226</v>
                </pt>
                <pt idx="7">
                  <v>0.0003190874137799867</v>
                </pt>
                <pt idx="8">
                  <v>0.0004536036536751455</v>
                </pt>
                <pt idx="9">
                  <v>0.0006382206824361787</v>
                </pt>
                <pt idx="10">
                  <v>0.0008843584151007124</v>
                </pt>
                <pt idx="11">
                  <v>0.00120254271493878</v>
                </pt>
                <pt idx="12">
                  <v>0.001600900604598572</v>
                </pt>
                <pt idx="13">
                  <v>0.002083632688569405</v>
                </pt>
                <pt idx="14">
                  <v>0.002649768919630109</v>
                </pt>
                <pt idx="15">
                  <v>0.003292515490758895</v>
                </pt>
                <pt idx="16">
                  <v>0.003999415573188823</v>
                </pt>
                <pt idx="17">
                  <v>0.004753385848364809</v>
                </pt>
                <pt idx="18">
                  <v>0.005534494133129239</v>
                </pt>
                <pt idx="19">
                  <v>0.006322168175592432</v>
                </pt>
                <pt idx="20">
                  <v>0.007097426436752941</v>
                </pt>
                <pt idx="21">
                  <v>0.007844729340417434</v>
                </pt>
                <pt idx="22">
                  <v>0.008553159426657377</v>
                </pt>
                <pt idx="23">
                  <v>0.009216813063582345</v>
                </pt>
                <pt idx="24">
                  <v>0.009834468876519679</v>
                </pt>
                <pt idx="25">
                  <v>0.01040873628803559</v>
                </pt>
                <pt idx="26">
                  <v>0.01094495031566069</v>
                </pt>
                <pt idx="27">
                  <v>0.01145006363394552</v>
                </pt>
                <pt idx="28">
                  <v>0.01193171576666456</v>
                </pt>
                <pt idx="29">
                  <v>0.0123975658107922</v>
                </pt>
                <pt idx="30">
                  <v>0.01285489079960377</v>
                </pt>
                <pt idx="31">
                  <v>0.01331039632564172</v>
                </pt>
                <pt idx="32">
                  <v>0.01377016432807468</v>
                </pt>
                <pt idx="33">
                  <v>0.01423966840785264</v>
                </pt>
                <pt idx="34">
                  <v>0.01472380756208843</v>
                </pt>
                <pt idx="35">
                  <v>0.01522693300394724</v>
                </pt>
                <pt idx="36">
                  <v>0.01575286177216025</v>
                </pt>
                <pt idx="37">
                  <v>0.01630488189698052</v>
                </pt>
                <pt idx="38">
                  <v>0.01688575748068666</v>
                </pt>
                <pt idx="39">
                  <v>0.01749774063799701</v>
                </pt>
                <pt idx="40">
                  <v>0.01814259363617868</v>
                </pt>
                <pt idx="41">
                  <v>0.01882162093492917</v>
                </pt>
                <pt idx="42">
                  <v>0.01953570832284893</v>
                </pt>
                <pt idx="43">
                  <v>0.02028536528373779</v>
                </pt>
                <pt idx="44">
                  <v>0.02107076685815873</v>
                </pt>
                <pt idx="45">
                  <v>0.02189179212753934</v>
                </pt>
                <pt idx="46">
                  <v>0.0227480575817067</v>
                </pt>
                <pt idx="47">
                  <v>0.02363894470346373</v>
                </pt>
                <pt idx="48">
                  <v>0.02456362193497429</v>
                </pt>
                <pt idx="49">
                  <v>0.0255210617264687</v>
                </pt>
                <pt idx="50">
                  <v>0.02651005363619014</v>
                </pt>
                <pt idx="51">
                  <v>0.02752921451834922</v>
                </pt>
                <pt idx="52">
                  <v>0.02857699677685463</v>
                </pt>
                <pt idx="53">
                  <v>0.02965169553913219</v>
                </pt>
                <pt idx="54">
                  <v>0.0307514554603504</v>
                </pt>
                <pt idx="55">
                  <v>0.03187427772948916</v>
                </pt>
                <pt idx="56">
                  <v>0.03301802772621232</v>
                </pt>
                <pt idx="57">
                  <v>0.03418044367333692</v>
                </pt>
                <pt idx="58">
                  <v>0.03535914654081516</v>
                </pt>
                <pt idx="59">
                  <v>0.03655165137889234</v>
                </pt>
                <pt idx="60">
                  <v>0.03775538018618119</v>
                </pt>
                <pt idx="61">
                  <v>0.03896767634984142</v>
                </pt>
                <pt idx="62">
                  <v>0.04018582062849767</v>
                </pt>
                <pt idx="63">
                  <v>0.04140704858400386</v>
                </pt>
                <pt idx="64">
                  <v>0.04262856930673001</v>
                </pt>
                <pt idx="65">
                  <v>0.04384758522239558</v>
                </pt>
                <pt idx="66">
                  <v>0.04506131271851744</v>
                </pt>
                <pt idx="67">
                  <v>0.04626700328712605</v>
                </pt>
                <pt idx="68">
                  <v>0.04746196484907839</v>
                </pt>
                <pt idx="69">
                  <v>0.04864358290516626</v>
                </pt>
                <pt idx="70">
                  <v>0.04980934115086905</v>
                </pt>
                <pt idx="71">
                  <v>0.05095684119508026</v>
                </pt>
                <pt idx="72">
                  <v>0.05208382103798059</v>
                </pt>
                <pt idx="73">
                  <v>0.0531881719885143</v>
                </pt>
                <pt idx="74">
                  <v>0.05426795373635068</v>
                </pt>
                <pt idx="75">
                  <v>0.05532140733519578</v>
                </pt>
                <pt idx="76">
                  <v>0.05634696590209021</v>
                </pt>
                <pt idx="77">
                  <v>0.05734326288902711</v>
                </pt>
                <pt idx="78">
                  <v>0.05830913783698714</v>
                </pt>
                <pt idx="79">
                  <v>0.05924363957652731</v>
                </pt>
                <pt idx="80">
                  <v>0.06014602689173017</v>
                </pt>
                <pt idx="81">
                  <v>0.08449068937364854</v>
                </pt>
              </numCache>
            </numRef>
          </val>
          <smooth val="0"/>
        </ser>
        <ser>
          <idx val="6"/>
          <order val="6"/>
          <tx>
            <v>iron and steel 241</v>
          </tx>
          <spPr>
            <a:ln w="28575" cap="rnd">
              <a:solidFill>
                <a:schemeClr val="accent1">
                  <a:lumMod val="60000"/>
                </a:schemeClr>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'elec-process'!$E$17:$CH$17</f>
              <numCache>
                <formatCode>0.00%</formatCode>
                <ptCount val="82"/>
                <pt idx="0">
                  <v>0.0142454116692401</v>
                </pt>
                <pt idx="1">
                  <v>0.01427106962490248</v>
                </pt>
                <pt idx="2">
                  <v>0.01448279809671939</v>
                </pt>
                <pt idx="3">
                  <v>0.01476102251807141</v>
                </pt>
                <pt idx="4">
                  <v>0.01481086241909459</v>
                </pt>
                <pt idx="5">
                  <v>0.01481240103824093</v>
                </pt>
                <pt idx="6">
                  <v>0.01481304668188471</v>
                </pt>
                <pt idx="7">
                  <v>0.0148139014960713</v>
                </pt>
                <pt idx="8">
                  <v>0.01481502754905809</v>
                </pt>
                <pt idx="9">
                  <v>0.01481649488066636</v>
                </pt>
                <pt idx="10">
                  <v>0.01481838527016939</v>
                </pt>
                <pt idx="11">
                  <v>0.0148207923767909</v>
                </pt>
                <pt idx="12">
                  <v>0.01482382106712663</v>
                </pt>
                <pt idx="13">
                  <v>0.0148275858895469</v>
                </pt>
                <pt idx="14">
                  <v>0.01483220861222277</v>
                </pt>
                <pt idx="15">
                  <v>0.01483781479384643</v>
                </pt>
                <pt idx="16">
                  <v>0.0148445294379642</v>
                </pt>
                <pt idx="17">
                  <v>0.01485247187763209</v>
                </pt>
                <pt idx="18">
                  <v>0.01486175013601409</v>
                </pt>
                <pt idx="19">
                  <v>0.01487245509827272</v>
                </pt>
                <pt idx="20">
                  <v>0.0148846548974802</v>
                </pt>
                <pt idx="21">
                  <v>0.01489838995013239</v>
                </pt>
                <pt idx="22">
                  <v>0.01491366906612651</v>
                </pt>
                <pt idx="23">
                  <v>0.01493046699976909</v>
                </pt>
                <pt idx="24">
                  <v>0.01494872370487657</v>
                </pt>
                <pt idx="25">
                  <v>0.01496834541739429</v>
                </pt>
                <pt idx="26">
                  <v>0.01498920752820062</v>
                </pt>
                <pt idx="27">
                  <v>0.01501115904593192</v>
                </pt>
                <pt idx="28">
                  <v>0.01503402830511551</v>
                </pt>
                <pt idx="29">
                  <v>0.01505762946716105</v>
                </pt>
                <pt idx="30">
                  <v>0.01508176930457976</v>
                </pt>
                <pt idx="31">
                  <v>0.01510625375890165</v>
                </pt>
                <pt idx="32">
                  <v>0.01513089381877466</v>
                </pt>
                <pt idx="33">
                  <v>0.01515551036748335</v>
                </pt>
                <pt idx="34">
                  <v>0.01517993778323871</v>
                </pt>
                <pt idx="35">
                  <v>0.0152040262220694</v>
                </pt>
                <pt idx="36">
                  <v>0.01522764265246326</v>
                </pt>
                <pt idx="37">
                  <v>0.01525067082601912</v>
                </pt>
                <pt idx="38">
                  <v>0.01527301044709574</v>
                </pt>
                <pt idx="39">
                  <v>0.01529457584089189</v>
                </pt>
                <pt idx="40">
                  <v>0.01531529441419549</v>
                </pt>
                <pt idx="41">
                  <v>0.01533510516254745</v>
                </pt>
                <pt idx="42">
                  <v>0.0153539574121816</v>
                </pt>
                <pt idx="43">
                  <v>0.01537180990720983</v>
                </pt>
                <pt idx="44">
                  <v>0.0153886302743701</v>
                </pt>
                <pt idx="45">
                  <v>0.0154043948295918</v>
                </pt>
                <pt idx="46">
                  <v>0.01541908863990712</v>
                </pt>
                <pt idx="47">
                  <v>0.01543270572448762</v>
                </pt>
                <pt idx="48">
                  <v>0.01544524926997197</v>
                </pt>
                <pt idx="49">
                  <v>0.01545673174508264</v>
                </pt>
                <pt idx="50">
                  <v>0.01546717482319597</v>
                </pt>
                <pt idx="51">
                  <v>0.01547660905352458</v>
                </pt>
                <pt idx="52">
                  <v>0.01548507325641644</v>
                </pt>
                <pt idx="53">
                  <v>0.01549261365125272</v>
                </pt>
                <pt idx="54">
                  <v>0.015499282753015</v>
                </pt>
                <pt idx="55">
                  <v>0.01550513809365482</v>
                </pt>
                <pt idx="56">
                  <v>0.01551024083612136</v>
                </pt>
                <pt idx="57">
                  <v>0.01551465435259084</v>
                </pt>
                <pt idx="58">
                  <v>0.01551844283520727</v>
                </pt>
                <pt idx="59">
                  <v>0.01552166999909262</v>
                </pt>
                <pt idx="60">
                  <v>0.01552439792530563</v>
                </pt>
                <pt idx="61">
                  <v>0.0155266860775646</v>
                </pt>
                <pt idx="62">
                  <v>0.01552859051242126</v>
                </pt>
                <pt idx="63">
                  <v>0.01553016328938612</v>
                </pt>
                <pt idx="64">
                  <v>0.01553145207610763</v>
                </pt>
                <pt idx="65">
                  <v>0.01553249993460528</v>
                </pt>
                <pt idx="66">
                  <v>0.01553334526794886</v>
                </pt>
                <pt idx="67">
                  <v>0.01553402190261936</v>
                </pt>
                <pt idx="68">
                  <v>0.01553455927985686</v>
                </pt>
                <pt idx="69">
                  <v>0.01553498272925665</v>
                </pt>
                <pt idx="70">
                  <v>0.01553531379931659</v>
                </pt>
                <pt idx="71">
                  <v>0.01553557062215169</v>
                </pt>
                <pt idx="72">
                  <v>0.01553576829278334</v>
                </pt>
                <pt idx="73">
                  <v>0.01553591924693431</v>
                </pt>
                <pt idx="74">
                  <v>0.01553603362482797</v>
                </pt>
                <pt idx="75">
                  <v>0.01553611961188148</v>
                </pt>
                <pt idx="76">
                  <v>0.01553618375024156</v>
                </pt>
                <pt idx="77">
                  <v>0.01553623121774169</v>
                </pt>
                <pt idx="78">
                  <v>0.01553626607301849</v>
                </pt>
                <pt idx="79">
                  <v>0.01553629146720704</v>
                </pt>
                <pt idx="80">
                  <v>0.01553630982387052</v>
                </pt>
                <pt idx="81">
                  <v>0.01553635363905617</v>
                </pt>
              </numCache>
            </numRef>
          </val>
          <smooth val="0"/>
        </ser>
        <ser>
          <idx val="7"/>
          <order val="7"/>
          <tx>
            <v>other metals 242</v>
          </tx>
          <spPr>
            <a:ln w="28575" cap="rnd">
              <a:solidFill>
                <a:schemeClr val="accent2">
                  <a:lumMod val="60000"/>
                </a:schemeClr>
              </a:solidFill>
              <a:prstDash val="solid"/>
              <a:round/>
            </a:ln>
          </spPr>
          <marker>
            <symbol val="none"/>
            <spPr>
              <a:ln>
                <a:prstDash val="solid"/>
              </a:ln>
            </spPr>
          </marker>
          <cat>
            <numRef>
              <f>'elec-process'!$E$3:$CH$3</f>
              <numCache>
                <formatCode>0.00</formatCode>
                <ptCount val="82"/>
                <pt idx="0">
                  <v>0</v>
                </pt>
                <pt idx="1">
                  <v>0.25</v>
                </pt>
                <pt idx="2">
                  <v>0.5</v>
                </pt>
                <pt idx="3">
                  <v>0.75</v>
                </pt>
                <pt idx="4">
                  <v>1</v>
                </pt>
                <pt idx="5">
                  <v>1.25</v>
                </pt>
                <pt idx="6">
                  <v>1.5</v>
                </pt>
                <pt idx="7">
                  <v>1.75</v>
                </pt>
                <pt idx="8">
                  <v>2</v>
                </pt>
                <pt idx="9">
                  <v>2.25</v>
                </pt>
                <pt idx="10">
                  <v>2.5</v>
                </pt>
                <pt idx="11">
                  <v>2.75</v>
                </pt>
                <pt idx="12">
                  <v>3</v>
                </pt>
                <pt idx="13">
                  <v>3.25</v>
                </pt>
                <pt idx="14">
                  <v>3.5</v>
                </pt>
                <pt idx="15">
                  <v>3.75</v>
                </pt>
                <pt idx="16">
                  <v>4</v>
                </pt>
                <pt idx="17">
                  <v>4.25</v>
                </pt>
                <pt idx="18">
                  <v>4.5</v>
                </pt>
                <pt idx="19">
                  <v>4.75</v>
                </pt>
                <pt idx="20">
                  <v>5</v>
                </pt>
                <pt idx="21">
                  <v>5.25</v>
                </pt>
                <pt idx="22">
                  <v>5.5</v>
                </pt>
                <pt idx="23">
                  <v>5.75</v>
                </pt>
                <pt idx="24">
                  <v>6</v>
                </pt>
                <pt idx="25">
                  <v>6.25</v>
                </pt>
                <pt idx="26">
                  <v>6.5</v>
                </pt>
                <pt idx="27">
                  <v>6.75</v>
                </pt>
                <pt idx="28">
                  <v>7</v>
                </pt>
                <pt idx="29">
                  <v>7.25</v>
                </pt>
                <pt idx="30">
                  <v>7.5</v>
                </pt>
                <pt idx="31">
                  <v>7.75</v>
                </pt>
                <pt idx="32">
                  <v>8</v>
                </pt>
                <pt idx="33">
                  <v>8.25</v>
                </pt>
                <pt idx="34">
                  <v>8.5</v>
                </pt>
                <pt idx="35">
                  <v>8.75</v>
                </pt>
                <pt idx="36">
                  <v>9</v>
                </pt>
                <pt idx="37">
                  <v>9.25</v>
                </pt>
                <pt idx="38">
                  <v>9.5</v>
                </pt>
                <pt idx="39">
                  <v>9.75</v>
                </pt>
                <pt idx="40">
                  <v>10</v>
                </pt>
                <pt idx="41">
                  <v>10.25</v>
                </pt>
                <pt idx="42">
                  <v>10.5</v>
                </pt>
                <pt idx="43">
                  <v>10.75</v>
                </pt>
                <pt idx="44">
                  <v>11</v>
                </pt>
                <pt idx="45">
                  <v>11.25</v>
                </pt>
                <pt idx="46">
                  <v>11.5</v>
                </pt>
                <pt idx="47">
                  <v>11.75</v>
                </pt>
                <pt idx="48">
                  <v>12</v>
                </pt>
                <pt idx="49">
                  <v>12.25</v>
                </pt>
                <pt idx="50">
                  <v>12.5</v>
                </pt>
                <pt idx="51">
                  <v>12.75</v>
                </pt>
                <pt idx="52">
                  <v>13</v>
                </pt>
                <pt idx="53">
                  <v>13.25</v>
                </pt>
                <pt idx="54">
                  <v>13.5</v>
                </pt>
                <pt idx="55">
                  <v>13.75</v>
                </pt>
                <pt idx="56">
                  <v>14</v>
                </pt>
                <pt idx="57">
                  <v>14.25</v>
                </pt>
                <pt idx="58">
                  <v>14.5</v>
                </pt>
                <pt idx="59">
                  <v>14.75</v>
                </pt>
                <pt idx="60">
                  <v>15</v>
                </pt>
                <pt idx="61">
                  <v>15.25</v>
                </pt>
                <pt idx="62">
                  <v>15.5</v>
                </pt>
                <pt idx="63">
                  <v>15.75</v>
                </pt>
                <pt idx="64">
                  <v>16</v>
                </pt>
                <pt idx="65">
                  <v>16.25</v>
                </pt>
                <pt idx="66">
                  <v>16.5</v>
                </pt>
                <pt idx="67">
                  <v>16.75</v>
                </pt>
                <pt idx="68">
                  <v>17</v>
                </pt>
                <pt idx="69">
                  <v>17.25</v>
                </pt>
                <pt idx="70">
                  <v>17.5</v>
                </pt>
                <pt idx="71">
                  <v>17.75</v>
                </pt>
                <pt idx="72">
                  <v>18</v>
                </pt>
                <pt idx="73">
                  <v>18.25</v>
                </pt>
                <pt idx="74">
                  <v>18.5</v>
                </pt>
                <pt idx="75">
                  <v>18.75</v>
                </pt>
                <pt idx="76">
                  <v>19</v>
                </pt>
                <pt idx="77">
                  <v>19.25</v>
                </pt>
                <pt idx="78">
                  <v>19.5</v>
                </pt>
                <pt idx="79">
                  <v>19.75</v>
                </pt>
                <pt idx="80">
                  <v>20</v>
                </pt>
                <pt idx="81">
                  <v>99999</v>
                </pt>
              </numCache>
            </numRef>
          </cat>
          <val>
            <numRef>
              <f>'elec-process'!$E$18:$CH$18</f>
              <numCache>
                <formatCode>0.00%</formatCode>
                <ptCount val="82"/>
                <pt idx="0">
                  <v>0.007626228259166971</v>
                </pt>
                <pt idx="1">
                  <v>0.007628431640478254</v>
                </pt>
                <pt idx="2">
                  <v>0.007629598892913932</v>
                </pt>
                <pt idx="3">
                  <v>0.007630319030573721</v>
                </pt>
                <pt idx="4">
                  <v>0.00763087386362397</v>
                </pt>
                <pt idx="5">
                  <v>0.007631391570782431</v>
                </pt>
                <pt idx="6">
                  <v>0.007631928775171567</v>
                </pt>
                <pt idx="7">
                  <v>0.007632511080049388</v>
                </pt>
                <pt idx="8">
                  <v>0.007633151660841157</v>
                </pt>
                <pt idx="9">
                  <v>0.007633859217562348</v>
                </pt>
                <pt idx="10">
                  <v>0.007634641162374067</v>
                </pt>
                <pt idx="11">
                  <v>0.00763550482744314</v>
                </pt>
                <pt idx="12">
                  <v>0.007636457907332435</v>
                </pt>
                <pt idx="13">
                  <v>0.007637508625365268</v>
                </pt>
                <pt idx="14">
                  <v>0.007638665807072987</v>
                </pt>
                <pt idx="15">
                  <v>0.007639938924450011</v>
                </pt>
                <pt idx="16">
                  <v>0.007641338131636243</v>
                </pt>
                <pt idx="17">
                  <v>0.007642874298173273</v>
                </pt>
                <pt idx="18">
                  <v>0.007644559041442922</v>
                </pt>
                <pt idx="19">
                  <v>0.007646404758558729</v>
                </pt>
                <pt idx="20">
                  <v>0.007648424657602434</v>
                </pt>
                <pt idx="21">
                  <v>0.007650632787987277</v>
                </pt>
                <pt idx="22">
                  <v>0.007653044069690263</v>
                </pt>
                <pt idx="23">
                  <v>0.007655674321073479</v>
                </pt>
                <pt idx="24">
                  <v>0.007658540284997194</v>
                </pt>
                <pt idx="25">
                  <v>0.007661659652911933</v>
                </pt>
                <pt idx="26">
                  <v>0.007665051086602498</v>
                </pt>
                <pt idx="27">
                  <v>0.007668734237244247</v>
                </pt>
                <pt idx="28">
                  <v>0.007672729761420889</v>
                </pt>
                <pt idx="29">
                  <v>0.007677059333744025</v>
                </pt>
                <pt idx="30">
                  <v>0.007681745655707798</v>
                </pt>
                <pt idx="31">
                  <v>0.007686812460407627</v>
                </pt>
                <pt idx="32">
                  <v>0.007692284512750331</v>
                </pt>
                <pt idx="33">
                  <v>0.007698187604784212</v>
                </pt>
                <pt idx="34">
                  <v>0.007704548545782165</v>
                </pt>
                <pt idx="35">
                  <v>0.007711395146718729</v>
                </pt>
                <pt idx="36">
                  <v>0.007718756198793491</v>
                </pt>
                <pt idx="37">
                  <v>0.007726661445668525</v>
                </pt>
                <pt idx="38">
                  <v>0.00773514154910674</v>
                </pt>
                <pt idx="39">
                  <v>0.00774422804772124</v>
                </pt>
                <pt idx="40">
                  <v>0.007753953308573211</v>
                </pt>
                <pt idx="41">
                  <v>0.007764350471387396</v>
                </pt>
                <pt idx="42">
                  <v>0.00777545338518997</v>
                </pt>
                <pt idx="43">
                  <v>0.00778729653721356</v>
                </pt>
                <pt idx="44">
                  <v>0.007799914973958095</v>
                </pt>
                <pt idx="45">
                  <v>0.007813344214344108</v>
                </pt>
                <pt idx="46">
                  <v>0.007827620154946771</v>
                </pt>
                <pt idx="47">
                  <v>0.007842778967354098</v>
                </pt>
                <pt idx="48">
                  <v>0.007858856987751173</v>
                </pt>
                <pt idx="49">
                  <v>0.007875890598893546</v>
                </pt>
                <pt idx="50">
                  <v>0.007893916104696686</v>
                </pt>
                <pt idx="51">
                  <v>0.007912969597734227</v>
                </pt>
                <pt idx="52">
                  <v>0.007933086820005089</v>
                </pt>
                <pt idx="53">
                  <v>0.007954303017397935</v>
                </pt>
                <pt idx="54">
                  <v>0.007976652788350228</v>
                </pt>
                <pt idx="55">
                  <v>0.008000169927267748</v>
                </pt>
                <pt idx="56">
                  <v>0.008024887263338205</v>
                </pt>
                <pt idx="57">
                  <v>0.008050836495438784</v>
                </pt>
                <pt idx="58">
                  <v>0.008078048023901482</v>
                </pt>
                <pt idx="59">
                  <v>0.008106550779961115</v>
                </pt>
                <pt idx="60">
                  <v>0.0081363720537683</v>
                </pt>
                <pt idx="61">
                  <v>0.008167537321902646</v>
                </pt>
                <pt idx="62">
                  <v>0.008200070075369355</v>
                </pt>
                <pt idx="63">
                  <v>0.008233991649104509</v>
                </pt>
                <pt idx="64">
                  <v>0.008269321054049972</v>
                </pt>
                <pt idx="65">
                  <v>0.008306074812887495</v>
                </pt>
                <pt idx="66">
                  <v>0.008344266800542517</v>
                </pt>
                <pt idx="67">
                  <v>0.00838390809058096</v>
                </pt>
                <pt idx="68">
                  <v>0.008425006808626489</v>
                </pt>
                <pt idx="69">
                  <v>0.00846756799392087</v>
                </pt>
                <pt idx="70">
                  <v>0.008511593470135848</v>
                </pt>
                <pt idx="71">
                  <v>0.008557081726521351</v>
                </pt>
                <pt idx="72">
                  <v>0.008604027810441365</v>
                </pt>
                <pt idx="73">
                  <v>0.008652423232305799</v>
                </pt>
                <pt idx="74">
                  <v>0.008702255883853906</v>
                </pt>
                <pt idx="75">
                  <v>0.00875350997068269</v>
                </pt>
                <pt idx="76">
                  <v>0.008806165959842271</v>
                </pt>
                <pt idx="77">
                  <v>0.008860200543240023</v>
                </pt>
                <pt idx="78">
                  <v>0.008915586617506738</v>
                </pt>
                <pt idx="79">
                  <v>0.008972293280881756</v>
                </pt>
                <pt idx="80">
                  <v>0.009030285847570603</v>
                </pt>
                <pt idx="81">
                  <v>0.01424114456832118</v>
                </pt>
              </numCache>
            </numRef>
          </val>
          <smooth val="0"/>
        </ser>
        <dLbls>
          <showLegendKey val="0"/>
          <showVal val="0"/>
          <showCatName val="0"/>
          <showSerName val="0"/>
          <showPercent val="0"/>
          <showBubbleSize val="0"/>
        </dLbls>
        <smooth val="0"/>
        <axId val="1168574032"/>
        <axId val="1145078000"/>
      </lineChart>
      <catAx>
        <axId val="1168574032"/>
        <scaling>
          <orientation val="minMax"/>
        </scaling>
        <delete val="0"/>
        <axPos val="b"/>
        <numFmt formatCode="0.00"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45078000"/>
        <crosses val="autoZero"/>
        <auto val="1"/>
        <lblAlgn val="ctr"/>
        <lblOffset val="100"/>
        <noMultiLvlLbl val="0"/>
      </catAx>
      <valAx>
        <axId val="1145078000"/>
        <scaling>
          <orientation val="minMax"/>
        </scaling>
        <delete val="0"/>
        <axPos val="l"/>
        <majorGridlines>
          <spPr>
            <a:l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1168574032"/>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Dan O'Brien</author>
  </authors>
  <commentList>
    <comment ref="A62" authorId="0" shapeId="0">
      <text>
        <t>Dan O'Brien:
Linked 2026-07-29 to cpi!B12 (ECB 2021 annual avg, 1 EUR = 1.1827 USD). Previously hardcoded 0.8458; now computes 0.8455. The 0.03% shift only ever affected the deleted LEGACY tabs.</t>
      </text>
    </comment>
    <comment ref="C62" authorId="0" shapeId="0">
      <text>
        <t>Dan O'Brien:
Source: ECB / Deutsche Bundesbank euro reference exchange rates, 2021 annual average USD/EUR = 1.1827, https://www.ecb.europa.eu/stats/policy_and_exchange_rates/euro_reference_exchange_rates/html/index.en.html ; cross-check IRS yearly average exchange rates 2021 (euro 0.846).</t>
      </text>
    </comment>
    <comment ref="A63" authorId="0" shapeId="0">
      <text>
        <t>Dan O'Brien:
Linked 2026-07-29 to cpi!B10, which computes CPI2012/CPI2021 live from the 'Data' sheet (BLS CPI-U full series). Previously hardcoded 0.847.</t>
      </text>
    </comment>
    <comment ref="C63" authorId="0" shapeId="0">
      <text>
        <t>Dan O'Brien:
Source: U.S. Bureau of Labor Statistics, Historical CPI-U, https://www.bls.gov/cpi/tables/supplemental-files/historical-cpi-u-202212.pdf (2012 monthly avg = 229.594; 2021 annual avg = 270.970).</t>
      </text>
    </comment>
    <comment ref="A64" authorId="0" shapeId="0">
      <text>
        <t>Dan O'Brien:
Linked 2026-07-29 to cpi!B13 (NIST SP 811). Identical value, now single-sourced.</t>
      </text>
    </comment>
    <comment ref="C64" authorId="0" shapeId="0">
      <text>
        <t>Dan O'Brien:
Source: NIST Special Publication 811, unit conversion (Btu_IT = 1055.05585 J).</t>
      </text>
    </comment>
  </commentList>
</comments>
</file>

<file path=xl/comments/comment2.xml><?xml version="1.0" encoding="utf-8"?>
<comments xmlns="http://schemas.openxmlformats.org/spreadsheetml/2006/main">
  <authors>
    <author>Dan O'Brien</author>
  </authors>
  <commentList>
    <comment ref="B6" authorId="0" shapeId="0">
      <text>
        <t>Rewired 2026-07-29 to the 'Data' sheet (full BLS CPI-U series, 1968-2025). 2012 annual average sits at Data!D56. Previously hardcoded 229.594.</t>
      </text>
    </comment>
    <comment ref="B7" authorId="0" shapeId="0">
      <text>
        <t>Rewired 2026-07-29 to the 'Data' sheet. 2015 annual average sits at Data!D59. Previously hardcoded 237.017.</t>
      </text>
    </comment>
    <comment ref="B8" authorId="0" shapeId="0">
      <text>
        <t>Rewired 2026-07-29 to the 'Data' sheet. 2021 annual average sits at Data!D65. Previously hardcoded 270.97.</t>
      </text>
    </comment>
    <comment ref="B12" authorId="0" shapeId="0">
      <text>
        <t>Dan O'Brien:
Source: ECB/Bundesbank 2021 annual average reference rate, 1 EUR = 1.1827 USD. Corroborated by IRS 2021 yearly average (0.846 EUR per USD =&gt; 1.1826 USD per EUR).</t>
      </text>
    </comment>
    <comment ref="B13" authorId="0" shapeId="0">
      <text>
        <t>Dan O'Brien:
Source: NIST SP 811 / ISO 31-4: 1 Btu(IT) = 1055.05585262 J =&gt; 1 GJ = 1e9/1055.05585 = 947,817 Btu.</t>
      </text>
    </comment>
  </commentList>
</comments>
</file>

<file path=xl/comments/comment3.xml><?xml version="1.0" encoding="utf-8"?>
<comments xmlns="http://schemas.openxmlformats.org/spreadsheetml/2006/main">
  <authors>
    <author>Dan O'Brien</author>
  </authors>
  <commentList>
    <comment ref="C6" authorId="0" shapeId="0">
      <text>
        <t>Assumed $300/kW_th. Sources: U.S. DOE ITP / BCS Inc. (2008), 'Waste Heat Recovery: Technology and Opportunities in U.S. Industry' (canonical WHR cost study, cited in DOE Better Buildings 'Waste Heat to Power' fact sheet, https://betterbuildingssolutioncenter.energy.gov/sites/default/files/attachments/Waste_Heat_to_Power_Fact_Sheet.pdf); fired-heater APH case: $71,631 for 286 kW_th (~$250/kW_th), Case Studies in Thermal Engineering, Dec 2023, https://doaj.org/article/efbc8c01b0154ae9b7f29cfa776845ba. FIK CONFIRM.</t>
      </text>
    </comment>
    <comment ref="C7" authorId="0" shapeId="0">
      <text>
        <t>Assumed $250/kW_th (raised from 200). Basis: DOE AMO Steam Tip Sheet #3 'Use Feedwater Economizers for Waste Heat Recovery' — economizers 'pay for themselves in less than 2 years'; worked example (45,000 lb/hr boiler, 4.6 MMBtu/hr recovered, $8/MMBtu) implies capex ~$200-550/kW_th. https://www.campbell-sevey.com/wp-content/uploads/2018/12/Best-Practice-Tip-103-EN-economizer-1.pdf (DOE tip reprint). FIK CONFIRM.</t>
      </text>
    </comment>
    <comment ref="C8" authorId="0" shapeId="0">
      <text>
        <t>Assumed $300/kW_th (raised from 250). Basis: DOE AMO Steam Tip Sheet #26A 'Consider Installing a Condensing Economizer' — up to 10% efficiency gain; 100,000 lb/hr boiler example recovers 7.55 MMBtu/hr; condensing units cost more than conventional economizers (corrosion-resistant materials). https://www.energy.gov/sites/prod/files/2014/05/f16/steam26a_condensing.pdf. FIK CONFIRM.</t>
      </text>
    </comment>
    <comment ref="C9" authorId="0" shapeId="0">
      <text>
        <t>Assumed $2,500/kW_e. Sources: EPRI (2010) report 1020134, 'Waste Heat Recovery in Industrial Facilities' — WH-driven CHP $2,000-2,500/kW (&gt;5 MW) to $3,500-4,500/kW (&lt;400 kW), https://www.epri.com/research/products/1020134. Output is ELECTRIC MMBtu. FIK CONFIRM.</t>
      </text>
    </comment>
    <comment ref="C10" authorId="0" shapeId="0">
      <text>
        <t>Dan O'Brien:
Assumed $275/kW_th = midpoint of recuperator ($300) and economizer ($250) rows; capex basis for the Bianchi fill in uncovered industries (they lack Kermeli measures and band splits). FIK CONFIRM.</t>
      </text>
    </comment>
    <comment ref="B62" authorId="0" shapeId="0">
      <text>
        <t>Dan O'Brien:
Source: EPA GHG Emission Factors Hub, stationary combustion, natural gas = 53.06 kg CO2/MMBtu.</t>
      </text>
    </comment>
    <comment ref="B63" authorId="0" shapeId="0">
      <text>
        <t>Dan O'Brien:
Source: EPA GHG Emission Factors Hub, distillate fuel oil No.2 = 73.96 kg CO2/MMBtu.</t>
      </text>
    </comment>
    <comment ref="B64" authorId="0" shapeId="0">
      <text>
        <t>Dan O'Brien:
Source: EPA GHG Emission Factors Hub, bituminous coal = 93.28 kg CO2/MMBtu.</t>
      </text>
    </comment>
    <comment ref="B65" authorId="0" shapeId="0">
      <text>
        <t>Dan O'Brien:
Source: EPA GHG Emission Factors Hub, coal coke = 113.67 kg CO2/MMBtu.</t>
      </text>
    </comment>
    <comment ref="B66" authorId="0" shapeId="0">
      <text>
        <t>Dan O'Brien:
EPA eGRID US average ~0.373 kg CO2/kWh x 293.07 kWh/MMBtu = ~109.4 kg CO2/MMBtu(e). Vintage ~2022; refine with current eGRID.</t>
      </text>
    </comment>
  </commentList>
</comments>
</file>

<file path=xl/comments/comment4.xml><?xml version="1.0" encoding="utf-8"?>
<comments xmlns="http://schemas.openxmlformats.org/spreadsheetml/2006/main">
  <authors>
    <author>Dan O'Brien</author>
  </authors>
  <commentList>
    <comment ref="F18" authorId="0" shapeId="0">
      <text>
        <t>Dan O'Brien:
Corrected 2026-07-29: no fuel saving - a VSD saves compressor motor electricity. See 'src review' row 97.</t>
      </text>
    </comment>
    <comment ref="G18" authorId="0" shapeId="0">
      <text>
        <t>Dan O'Brien:
Corrected 2026-07-29: was 0.0 (rounded to 1dp in Kermeli SM). True value from Worrell, Blinde, Neelis, Blomen &amp; Masanet (2010), LBNL-4779E ENERGY STAR Iron and Steel Guide, Ch.16 p.87: 5-7 kBtu/ton = 6-8 MJ/tonne coke (Farla et al. 1998). See 'src review' row 97.</t>
      </text>
    </comment>
    <comment ref="F49" authorId="0" shapeId="0">
      <text>
        <t>Dan O'Brien:
Corrected 2026-07-29: no fuel saving reported in source (Fleiter et al. 2012, Table 5 p.92). See 'src review' row 65.</t>
      </text>
    </comment>
    <comment ref="G49" authorId="0" shapeId="0">
      <text>
        <t>Dan O'Brien:
Corrected 2026-07-29: was 0.0 (rounded to 1dp in Kermeli SM). True value from Fleiter, Fehrenbach, Worrell &amp; Eichhammer (2012), Energy 40(1) 84-99, Table 5 p.92: 14% / 20 MJ per t RCF pulp electricity. Basis matches Kermeli's product, no conversion. See 'src review' row 65.</t>
      </text>
    </comment>
    <comment ref="F51" authorId="0" shapeId="0">
      <text>
        <t>Dan O'Brien:
Corrected 2026-07-29: was 0.0 (rounded to 1dp in Kermeli SM). True value from Fleiter, Fehrenbach, Worrell &amp; Eichhammer (2012), Energy 40(1) 84-99, Table 5 p.92: 6% / 30 MJ per t RCF pulp fuel. Basis matches Kermeli's product, no conversion. See 'src review' row 66.</t>
      </text>
    </comment>
    <comment ref="G51" authorId="0" shapeId="0">
      <text>
        <t>Dan O'Brien:
Corrected 2026-07-29: no electricity saving reported in source (Fleiter et al. 2012, Table 5 p.92). See 'src review' row 66.</t>
      </text>
    </comment>
    <comment ref="F52" authorId="0" shapeId="0">
      <text>
        <t>Dan O'Brien:
Corrected 2026-07-29: no fuel saving reported in source (Fleiter et al. 2012, Table 5 p.92). See 'src review' row 67.</t>
      </text>
    </comment>
    <comment ref="G52" authorId="0" shapeId="0">
      <text>
        <t>Dan O'Brien:
Corrected 2026-07-29: was 0.0 (rounded to 1dp in Kermeli SM). True value from Fleiter, Fehrenbach, Worrell &amp; Eichhammer (2012), Energy 40(1) 84-99, Table 5 p.92: 15% / 22 MJ per t RCF pulp electricity. Basis matches Kermeli's product, no conversion. See 'src review' row 67.</t>
      </text>
    </comment>
    <comment ref="F92" authorId="0" shapeId="0">
      <text>
        <t>Dan O'Brien:
Corrected 2026-07-29: was 0.0 (rounded to 1dp in Kermeli SM). True value from Worrell, Kermeli &amp; Galitsky (2013) ENERGY STAR Cement Guide, Table 8 p.87: 0.00-0.02 MMBtu/t cement, converted to per-t-clinker basis. See 'src review' row 11.</t>
      </text>
    </comment>
    <comment ref="G92" authorId="0" shapeId="0">
      <text>
        <t>Dan O'Brien:
Corrected 2026-07-29: was 0.0 (rounded to 1dp in Kermeli SM). True value from Worrell, Kermeli &amp; Galitsky (2013) ENERGY STAR Cement Guide, Table 8 p.87: 0.7-2.3 kWh/t cement, converted to per-t-clinker basis. See 'src review' row 11.</t>
      </text>
    </comment>
    <comment ref="F94" authorId="0" shapeId="0">
      <text>
        <t>Dan O'Brien:
Corrected 2026-07-29: no fuel saving reported in source (Worrell et al. 2013, Table 8 p.87). See 'src review' row 12.</t>
      </text>
    </comment>
    <comment ref="G94" authorId="0" shapeId="0">
      <text>
        <t>Dan O'Brien:
Corrected 2026-07-29: was 0.0 (rounded to 1dp in Kermeli SM). True value from Worrell, Kermeli &amp; Galitsky (2013) ENERGY STAR Cement Guide, Table 8 p.87: 3.9-5.3 kWh/t cement, converted to per-t-clinker basis. See 'src review' row 12.</t>
      </text>
    </comment>
    <comment ref="F95" authorId="0" shapeId="0">
      <text>
        <t>Dan O'Brien:
Corrected 2026-07-29: no fuel saving reported in source (Worrell et al. 2013, Table 8 p.87). See 'src review' row 13.</t>
      </text>
    </comment>
    <comment ref="G95" authorId="0" shapeId="0">
      <text>
        <t>Dan O'Brien:
Corrected 2026-07-29: was 0.0 (rounded to 1dp in Kermeli SM). True value from Worrell, Kermeli &amp; Galitsky (2013) ENERGY STAR Cement Guide, Table 8 p.87: 1.2-1.6 kWh/t cement, converted to per-t-clinker basis. See 'src review' row 13.</t>
      </text>
    </comment>
    <comment ref="I96" authorId="0" shapeId="0">
      <text>
        <t>Corrected 2026-07-29: was 0 (Kermeli rounds to whole euros). True value from Worrell, Kermeli &amp; Galitsky (2013) ENERGY STAR Cement Guide, section 6.4, citing ECRA (2009): $0.16-0.22 per annual ton clinker. Midpoint deflated from 2009 to 2021 USD and converted to EUR. Basis is per tonne clinker, matching this row's product. See 'src review' rows 155-162.</t>
      </text>
    </comment>
    <comment ref="I97" authorId="0" shapeId="0">
      <text>
        <t>Corrected 2026-07-29: was 0 (Kermeli rounds to whole euros). True value from Worrell, Kermeli &amp; Galitsky (2013) ENERGY STAR Cement Guide, Kiln Combustion System Improvements, citing FCT (2009): $0.9 per annual ton clinker capacity. Deflated from 2009 to 2021 USD and converted to EUR. See 'src review' rows 155-162.</t>
      </text>
    </comment>
    <comment ref="B100" authorId="0" shapeId="0">
      <text>
        <t>Dan O'Brien:
RELABELLED 2026-07-29 (Dan O'Brien decision): Kermeli's SM lists this row as 'Preheater Shell Heat Loss Reduction', but its 0.4 GJ/t fuel saving matches Worrell et al. (2013) KILN Shell Heat Loss Reduction (0.09-0.50 MBtu/t cement; Preheater shell is only ~17 kBtu/t clinker). Label corrected to match the value; savings left as published. Capex re-sourced accordingly - see note on I100 and 'src review'.</t>
      </text>
    </comment>
    <comment ref="I100" authorId="0" shapeId="0">
      <text>
        <t>Corrected 2026-07-29: was 0 (Kermeli rounds to whole euros). Re-sourced on relabelling to Kiln Shell: Worrell, Kermeli &amp; Galitsky (2013) ENERGY STAR Cement Guide, Kiln Shell Heat Loss Reduction: '$0.23/annual ton clinker capacity' (Lesnikoff, 1999). Deflated 1999 -&gt; 2021 USD via the Data CPI series and converted to EUR. Replaces the $0.30 Preheater-shell figure briefly wired earlier. See 'src review' rows 155-167.</t>
      </text>
    </comment>
    <comment ref="F103" authorId="0" shapeId="0">
      <text>
        <t>Dan O'Brien:
Corrected 2026-07-29: no fuel saving reported in source (Worrell et al. 2013, Table 8 p.87). See 'src review' row 14.</t>
      </text>
    </comment>
    <comment ref="G103" authorId="0" shapeId="0">
      <text>
        <t>Dan O'Brien:
Corrected 2026-07-29: was 0.0 (rounded to 1dp in Kermeli SM). True value from Worrell, Kermeli &amp; Galitsky (2013) ENERGY STAR Cement Guide, Table 8 p.87: 0.5-3.7 kWh/t cement, converted to per-t-clinker basis. See 'src review' row 14.</t>
      </text>
    </comment>
    <comment ref="F110" authorId="0" shapeId="0">
      <text>
        <t>Dan O'Brien:
Corrected 2026-07-29: no fuel saving reported in source (Worrell et al. 2013, Table 8 p.87). See 'src review' row 15.</t>
      </text>
    </comment>
    <comment ref="G110" authorId="0" shapeId="0">
      <text>
        <t>Dan O'Brien:
Corrected 2026-07-29: was 0.0 (rounded to 1dp in Kermeli SM). True value from Worrell, Kermeli &amp; Galitsky (2013) ENERGY STAR Cement Guide, Table 8 p.87: 1.6-8.5 kWh/t cement. Product basis is Cement, so no conversion. See 'src review' row 15.</t>
      </text>
    </comment>
    <comment ref="F112" authorId="0" shapeId="0">
      <text>
        <t>Dan O'Brien:
Corrected 2026-07-29: no fuel saving reported in source (Worrell et al. 2013, Table 8 p.87). See 'src review' row 16.</t>
      </text>
    </comment>
    <comment ref="G112" authorId="0" shapeId="0">
      <text>
        <t>Dan O'Brien:
Corrected 2026-07-29: was 0.0 (rounded to 1dp in Kermeli SM). True value from Worrell, Kermeli &amp; Galitsky (2013) ENERGY STAR Cement Guide, Table 8 p.87: 1.7-6.0 kWh/t cement. Product basis is Cement, so no conversion. See 'src review' row 16.</t>
      </text>
    </comment>
    <comment ref="F113" authorId="0" shapeId="0">
      <text>
        <t>Dan O'Brien:
Corrected 2026-07-29: no fuel saving reported in source (Worrell et al. 2013, Table 8 p.87). See 'src review' row 17.</t>
      </text>
    </comment>
    <comment ref="G113" authorId="0" shapeId="0">
      <text>
        <t>Corrected 2026-07-29 (revised same day): was 0.0 (rounded to 1dp in Kermeli SM). True value from Zhang, Xie, Sander, Yue &amp; Yu (2021), J. Cleaner Production, Appendix A Table 2 measure 33: 0.02 GJ/t-clinker electricity, converted to per-t-cement basis. This is the source Kermeli's own footnote f cites. Supersedes my earlier ENERGY STAR-derived figure of 0.0090. See 'src review' row 131.</t>
      </text>
    </comment>
    <comment ref="I113" authorId="0" shapeId="0">
      <text>
        <t>Dan O'Brien:
Corrected 2026-07-29: was 0 (Kermeli rounds to whole euros). True value from Zhang, Xie, Sander, Yue &amp; Yu (2021), J. Cleaner Production, Appendix A Table 2 measure 33: capital cost $0.38/t-clinker in 2005 USD. Converted to 2021 EUR per tonne cement. See 'src review' rows 132 and 142-149.</t>
      </text>
    </comment>
    <comment ref="F114" authorId="0" shapeId="0">
      <text>
        <t>Dan O'Brien:
Corrected 2026-07-29: no fuel saving reported in source (Worrell et al. 2013, Table 8 p.87). See 'src review' row 18.</t>
      </text>
    </comment>
    <comment ref="G114" authorId="0" shapeId="0">
      <text>
        <t>Corrected 2026-07-29 (revised same day): was 0.0 (rounded to 1dp in Kermeli SM). True value from Zhang, Xie, Sander, Yue &amp; Yu (2021), J. Cleaner Production, Appendix A Table 2 measure 34: 0.01 GJ/t-clinker electricity, converted to per-t-cement basis. Kermeli gives this row no footnote, but the 10-year lifetime match identifies Zhang as the source. Supersedes my earlier ENERGY STAR-derived figure of 0.0261. See 'src review' row 132.</t>
      </text>
    </comment>
    <comment ref="I114" authorId="0" shapeId="0">
      <text>
        <t>Dan O'Brien:
Corrected 2026-07-29: was 0 (Kermeli rounds to whole euros). True value from Zhang, Xie, Sander, Yue &amp; Yu (2021), J. Cleaner Production, Appendix A Table 2 measure 34: capital cost $0.25/t-clinker in 2005 USD. Converted to 2021 EUR per tonne cement. See 'src review' rows 133 and 142-149.</t>
      </text>
    </comment>
  </commentList>
</comments>
</file>

<file path=xl/comments/comment5.xml><?xml version="1.0" encoding="utf-8"?>
<comments xmlns="http://schemas.openxmlformats.org/spreadsheetml/2006/main">
  <authors>
    <author>Dan O'Brien</author>
  </authors>
  <commentList>
    <comment ref="G14" authorId="0" shapeId="0">
      <text>
        <t>Dan O'Brien:
Source: USGS Mineral Commodity Summaries 2025, Aluminum. US primary production 2024e = 670,000 t. https://pubs.usgs.gov/periodicals/mcs2025/mcs2025-aluminum.pdf</t>
      </text>
    </comment>
    <comment ref="K14" authorId="0" shapeId="0">
      <text>
        <t>Dan O'Brien:
SEC total = fuels + electricity, Kermeli Table 1 (Fleiter et al. 2017), pasted tab 'Kermeli SEC'.</t>
      </text>
    </comment>
    <comment ref="M14" authorId="0" shapeId="0">
      <text>
        <t>Dan O'Brien:
Source: worldsteel / AISI, US crude steel production 2024 ≈ 79.5 Mt. https://worldsteel.org/data/world-steel-in-figures/world-steel-in-figures-2025/</t>
      </text>
    </comment>
    <comment ref="G15" authorId="0" shapeId="0">
      <text>
        <t>Dan O'Brien:
Source: USGS MCS 2025, Aluminum. US secondary production from old scrap 2024e = 1,600,000 t. https://pubs.usgs.gov/periodicals/mcs2025/mcs2025-aluminum.pdf</t>
      </text>
    </comment>
    <comment ref="M15" authorId="0" shapeId="0">
      <text>
        <t>Dan O'Brien:
Source: worldsteel 2024 — 71.8% of US steel produced via EAF. https://worldsteel.org/</t>
      </text>
    </comment>
    <comment ref="G16" authorId="0" shapeId="0">
      <text>
        <t>Dan O'Brien:
ESTIMATE (not official). US aluminum castings ~2.4 Mt/yr; basis: American Foundry Society / Modern Casting 'Census of World Casting Production' (annual). Refine with AFS census year-specific figure. Tag: estimated.</t>
      </text>
    </comment>
    <comment ref="G17" authorId="0" shapeId="0">
      <text>
        <t>Dan O'Brien:
Source: EIA, US coke production 2025 = 10 MMst = 9.07 Mt metric (x0.90718). https://www.eia.gov/todayinenergy/detail.php?id=67385</t>
      </text>
    </comment>
    <comment ref="M17" authorId="0" shapeId="0">
      <text>
        <t>Dan O'Brien:
Source: FAOSTAT/FAO, US total paper &amp; paperboard production 2023 = 60.7 Mt. Via FAO forestry database.</t>
      </text>
    </comment>
    <comment ref="G18" authorId="0" shapeId="0">
      <text>
        <t>Dan O'Brien:
Proxy: US pig iron ≈ BOF-route crude steel. Refine with USGS Iron &amp; Steel pig-iron line if needed.</t>
      </text>
    </comment>
    <comment ref="K19" authorId="0" shapeId="0">
      <text>
        <t>Dan O'Brien:
BOF steelmaking step not in Kermeli Table 1 (blast furnace SEC assigned to pig iron; avoids double count).</t>
      </text>
    </comment>
    <comment ref="G22" authorId="0" shapeId="0">
      <text>
        <t>Dan O'Brien:
ESTIMATE (not official). US container glass ~10-11 Mt/yr; anchor: US container-glass market ~11.3 Mt 2026 (Mordor Intelligence). Refine with Census M327 / GPI. Tag: estimated.</t>
      </text>
    </comment>
    <comment ref="G23" authorId="0" shapeId="0">
      <text>
        <t>Dan O'Brien:
ESTIMATE (not official). US flat glass ~5 Mt/yr (float lines); NA flat-glass output reported in m2 (~755 M m2), converted at typical areal density. Refine with Census M327. Tag: estimated.</t>
      </text>
    </comment>
    <comment ref="G24" authorId="0" shapeId="0">
      <text>
        <t>Dan O'Brien:
ESTIMATE (not official). US mechanical + semi-chemical pulp is small (~1.5 Mt); most US pulp is chemical/kraft. Refine with FAOSTAT US pulp-by-type. Tag: estimated.</t>
      </text>
    </comment>
    <comment ref="G25" authorId="0" shapeId="0">
      <text>
        <t>Dan O'Brien:
ESTIMATE (not official). US recovered/recycled fibre pulp ~20 Mt (recovered paper utilization). Refine with AF&amp;PA / FAOSTAT. Tag: estimated.</t>
      </text>
    </comment>
    <comment ref="G26" authorId="0" shapeId="0">
      <text>
        <t>Dan O'Brien:
ESTIMATE (not official). US chemical (kraft) wood pulp ~40 Mt, dominant US pulp grade. Refine with FAOSTAT US pulp-by-type. Tag: estimated.</t>
      </text>
    </comment>
    <comment ref="G27" authorId="0" shapeId="0">
      <text>
        <t>Dan O'Brien:
Source: FAOSTAT/FAO, US household &amp; sanitary paper production 2023 = 7.1 Mt.</t>
      </text>
    </comment>
    <comment ref="G29" authorId="0" shapeId="0">
      <text>
        <t>Dan O'Brien:
Source: FAOSTAT/FAO, US packaging paper &amp; paperboard production 2023 = 46.23 Mt.</t>
      </text>
    </comment>
    <comment ref="G30" authorId="0" shapeId="0">
      <text>
        <t>Dan O'Brien:
Source: US DOE, 'U.S. Ethane: Market Issues and Opportunities' (2022), US ethylene production 2019 = 31.4 Mt; capacity ~43.5 Mt by 2023. https://www.energy.gov/sites/default/files/2023-06/U.S.Ethane-Market-Issues-and-Opportunities.pdf</t>
      </text>
    </comment>
    <comment ref="G31" authorId="0" shapeId="0">
      <text>
        <t>Dan O'Brien:
Source: USGS MCS 2025, Soda Ash. US production 2024e = 12,000,000 t. https://pubs.usgs.gov/periodicals/mcs2025/mcs2025-soda-ash-ver.1.0.pdf</t>
      </text>
    </comment>
    <comment ref="G32" authorId="0" shapeId="0">
      <text>
        <t>Dan O'Brien:
ESTIMATE (not official). US carbon black ~1.3 Mt/yr. No USGS series. Refine with ICBA / Census. Tag: estimated.</t>
      </text>
    </comment>
    <comment ref="G33" authorId="0" shapeId="0">
      <text>
        <t>Dan O'Brien:
ESTIMATE (not official). US methanol ~9 Mt/yr (multiple producers; Methanex US ~part). Refine with ACC / EIA. Tag: estimated.</t>
      </text>
    </comment>
    <comment ref="G34" authorId="0" shapeId="0">
      <text>
        <t>Dan O'Brien:
Source: USGS MCS 2026, Nitrogen (Fixed)-Ammonia. US ammonia production 2024 = 13,600 kt N content; NH3 mass = 13,600 / 0.8235 = 16,516 kt. https://pubs.usgs.gov/periodicals/mcs2026/mcs2026-nitrogen.pdf</t>
      </text>
    </comment>
    <comment ref="G35" authorId="0" shapeId="0">
      <text>
        <t>Dan O'Brien:
Source: USGS MCS 2026, Cement. US clinker production 2024e = 72,000,000 t. https://pubs.usgs.gov/periodicals/mcs2026/mcs2026-cement.pdf</t>
      </text>
    </comment>
    <comment ref="K35" authorId="0" shapeId="0">
      <text>
        <t>Dan O'Brien:
Clinker burning is inside the Cement SEC (Kermeli T1 'Cement' = per t cement incl. pyroprocess); left pending to avoid double count in bottom-up.</t>
      </text>
    </comment>
    <comment ref="G36" authorId="0" shapeId="0">
      <text>
        <t>Dan O'Brien:
Source: USGS MCS 2026, Cement. US portland+blended+masonry cement 2024e = 85,000,000 t. https://pubs.usgs.gov/periodicals/mcs2026/mcs2026-cement.pdf</t>
      </text>
    </comment>
  </commentList>
</comments>
</file>

<file path=xl/comments/comment6.xml><?xml version="1.0" encoding="utf-8"?>
<comments xmlns="http://schemas.openxmlformats.org/spreadsheetml/2006/main">
  <authors>
    <author>Dan O'Brien</author>
  </authors>
  <commentList>
    <comment ref="C4" authorId="0" shapeId="0">
      <text>
        <t>Dan O'Brien:
Source: EIA MECS 2018 Table 3.1, NAICS 322 (2,039) + 323 (59). https://www.eia.gov/consumption/manufacturing/data/2018/pdf/Table3_1.pdf</t>
      </text>
    </comment>
    <comment ref="D4" authorId="0" shapeId="0">
      <text>
        <t>Dan O'Brien:
Source: EIA MECS 2018 Table 3.1 net electricity, NAICS 322 (50,995) + 323 (10,043) MkWh.</t>
      </text>
    </comment>
    <comment ref="C5" authorId="0" shapeId="0">
      <text>
        <t>Dan O'Brien:
Source: EIA MECS 2018 Table 3.1, NAICS 325 Chemicals. https://www.eia.gov/consumption/manufacturing/data/2018/pdf/Table3_1.pdf</t>
      </text>
    </comment>
    <comment ref="D5" authorId="0" shapeId="0">
      <text>
        <t>Dan O'Brien:
Source: EIA MECS 2018 Table 3.1 net electricity, NAICS 325 = 146,846 MkWh.</t>
      </text>
    </comment>
    <comment ref="C6" authorId="0" shapeId="0">
      <text>
        <t>Dan O'Brien:
Source: EIA MECS 2018 Table 3.1, NAICS 3272 = 327211 Flat(47)+327212 Pressed/Blown(31)+327213 Containers(54)+327215 Purchased(21). https://www.eia.gov/consumption/manufacturing/data/2018/pdf/Table3_1.pdf</t>
      </text>
    </comment>
    <comment ref="D6" authorId="0" shapeId="0">
      <text>
        <t>Dan O'Brien:
Source: MECS 2018 Table 3.1 net elec, 3272 = 1,419+2,135+3,447+3,675 MkWh.</t>
      </text>
    </comment>
    <comment ref="C7" authorId="0" shapeId="0">
      <text>
        <t>Dan O'Brien:
Source: EIA MECS 2018 Table 3.1, NAICS 327 total (821) minus glass 3272 (153). https://www.eia.gov/consumption/manufacturing/data/2018/pdf/Table3_1.pdf</t>
      </text>
    </comment>
    <comment ref="D7" authorId="0" shapeId="0">
      <text>
        <t>Dan O'Brien:
Source: MECS 2018 Table 3.1 net elec, 327 (37,953) minus 3272 (10,676) MkWh.</t>
      </text>
    </comment>
    <comment ref="C8" authorId="0" shapeId="0">
      <text>
        <t>Dan O'Brien:
Source: EIA MECS 2018 Table 3.1, NAICS 331110 Iron and Steel Mills and Ferroalloys. https://www.eia.gov/consumption/manufacturing/data/2018/pdf/Table3_1.pdf</t>
      </text>
    </comment>
    <comment ref="D8" authorId="0" shapeId="0">
      <text>
        <t>Dan O'Brien:
Source: MECS 2018 Table 3.1 net elec, NAICS 331110 = 55,633 MkWh.</t>
      </text>
    </comment>
    <comment ref="C9" authorId="0" shapeId="0">
      <text>
        <t>Dan O'Brien:
Source: EIA MECS 2018 Table 3.1, NAICS 3313 Alumina &amp; Aluminum (207) + 3314 Nonferrous exc Al (95). https://www.eia.gov/consumption/manufacturing/data/2018/pdf/Table3_1.pdf</t>
      </text>
    </comment>
    <comment ref="D9" authorId="0" shapeId="0">
      <text>
        <t>Dan O'Brien:
Source: MECS 2018 Table 3.1 net elec, 3313 (26,260) + 3314 (13,274) MkWh.</t>
      </text>
    </comment>
  </commentList>
</comments>
</file>

<file path=xl/comments/comment7.xml><?xml version="1.0" encoding="utf-8"?>
<comments xmlns="http://schemas.openxmlformats.org/spreadsheetml/2006/main">
  <authors>
    <author>Dan O'Brien</author>
  </authors>
  <commentList>
    <comment ref="B9" authorId="0" shapeId="0">
      <text>
        <t>Dan O'Brien:
Assumption. 2015 EU clinker-to-cement ratio, 76%, per GNR (2019) as cited in Kermeli et al. (2022). Used to convert ENERGY STAR per-tonne-CEMENT savings onto the per-tonne-CLINKER basis Kermeli uses for raw-materials-preparation measures. Change here to re-run. Source: https://link.springer.com/article/10.1007/s12053-022-10071-8</t>
      </text>
    </comment>
    <comment ref="F11" authorId="0" shapeId="0">
      <text>
        <t>Dan O'Brien:
Source: ENERGY STAR Guide for the Cement Industry (Aug 2013), Table 8 p.87, https://www.energystar.gov/sites/default/files/buildings/tools/ENERGY%20STAR%20Guide%20for%20the%20Cement%20Industry%2028_08_2013%20Final.pdf</t>
      </text>
    </comment>
    <comment ref="G11" authorId="0" shapeId="0">
      <text>
        <t>Dan O'Brien:
Source: ENERGY STAR Guide for the Cement Industry (Aug 2013), Table 8 p.87. Narrative p.34 gives 0.02 MBtu/ton clinker heat and 0.73 kWh/ton raw material power (Hollingshead and Venta, 2009). https://www.energystar.gov/sites/default/files/buildings/tools/ENERGY%20STAR%20Guide%20for%20the%20Cement%20Industry%2028_08_2013%20Final.pdf</t>
      </text>
    </comment>
    <comment ref="H11" authorId="0" shapeId="0">
      <text>
        <t>Dan O'Brien:
Source: ENERGY STAR Guide for the Cement Industry (Aug 2013), Table 8 p.87, https://www.energystar.gov/sites/default/files/buildings/tools/ENERGY%20STAR%20Guide%20for%20the%20Cement%20Industry%2028_08_2013%20Final.pdf</t>
      </text>
    </comment>
    <comment ref="I11" authorId="0" shapeId="0">
      <text>
        <t>Dan O'Brien:
Source: ENERGY STAR Guide for the Cement Industry (Aug 2013), Table 8 p.87, https://www.energystar.gov/sites/default/files/buildings/tools/ENERGY%20STAR%20Guide%20for%20the%20Cement%20Industry%2028_08_2013%20Final.pdf</t>
      </text>
    </comment>
    <comment ref="H12" authorId="0" shapeId="0">
      <text>
        <t>Dan O'Brien:
Source: ENERGY STAR Guide for the Cement Industry (Aug 2013), Table 8 p.87, https://www.energystar.gov/sites/default/files/buildings/tools/ENERGY%20STAR%20Guide%20for%20the%20Cement%20Industry%2028_08_2013%20Final.pdf</t>
      </text>
    </comment>
    <comment ref="I12" authorId="0" shapeId="0">
      <text>
        <t>Dan O'Brien:
Source: ENERGY STAR Guide for the Cement Industry (Aug 2013), Table 8 p.87, https://www.energystar.gov/sites/default/files/buildings/tools/ENERGY%20STAR%20Guide%20for%20the%20Cement%20Industry%2028_08_2013%20Final.pdf</t>
      </text>
    </comment>
    <comment ref="H13" authorId="0" shapeId="0">
      <text>
        <t>Dan O'Brien:
Source: ENERGY STAR Guide for the Cement Industry (Aug 2013), Table 8 p.87, https://www.energystar.gov/sites/default/files/buildings/tools/ENERGY%20STAR%20Guide%20for%20the%20Cement%20Industry%2028_08_2013%20Final.pdf</t>
      </text>
    </comment>
    <comment ref="I13" authorId="0" shapeId="0">
      <text>
        <t>Dan O'Brien:
Source: ENERGY STAR Guide for the Cement Industry (Aug 2013), Table 8 p.87, https://www.energystar.gov/sites/default/files/buildings/tools/ENERGY%20STAR%20Guide%20for%20the%20Cement%20Industry%2028_08_2013%20Final.pdf</t>
      </text>
    </comment>
    <comment ref="H14" authorId="0" shapeId="0">
      <text>
        <t>Dan O'Brien:
Source: ENERGY STAR Guide for the Cement Industry (Aug 2013), Table 8 p.87, https://www.energystar.gov/sites/default/files/buildings/tools/ENERGY%20STAR%20Guide%20for%20the%20Cement%20Industry%2028_08_2013%20Final.pdf</t>
      </text>
    </comment>
    <comment ref="I14" authorId="0" shapeId="0">
      <text>
        <t>Dan O'Brien:
Source: ENERGY STAR Guide for the Cement Industry (Aug 2013), Table 8 p.87, https://www.energystar.gov/sites/default/files/buildings/tools/ENERGY%20STAR%20Guide%20for%20the%20Cement%20Industry%2028_08_2013%20Final.pdf</t>
      </text>
    </comment>
    <comment ref="H15" authorId="0" shapeId="0">
      <text>
        <t>Dan O'Brien:
Source: ENERGY STAR Guide for the Cement Industry (Aug 2013), Table 8 p.87, https://www.energystar.gov/sites/default/files/buildings/tools/ENERGY%20STAR%20Guide%20for%20the%20Cement%20Industry%2028_08_2013%20Final.pdf</t>
      </text>
    </comment>
    <comment ref="I15" authorId="0" shapeId="0">
      <text>
        <t>Dan O'Brien:
Source: ENERGY STAR Guide for the Cement Industry (Aug 2013), Table 8 p.87, https://www.energystar.gov/sites/default/files/buildings/tools/ENERGY%20STAR%20Guide%20for%20the%20Cement%20Industry%2028_08_2013%20Final.pdf</t>
      </text>
    </comment>
    <comment ref="H16" authorId="0" shapeId="0">
      <text>
        <t>Dan O'Brien:
Source: ENERGY STAR Guide for the Cement Industry (Aug 2013), Table 8 p.87, https://www.energystar.gov/sites/default/files/buildings/tools/ENERGY%20STAR%20Guide%20for%20the%20Cement%20Industry%2028_08_2013%20Final.pdf</t>
      </text>
    </comment>
    <comment ref="I16" authorId="0" shapeId="0">
      <text>
        <t>Dan O'Brien:
Source: ENERGY STAR Guide for the Cement Industry (Aug 2013), Table 8 p.87, https://www.energystar.gov/sites/default/files/buildings/tools/ENERGY%20STAR%20Guide%20for%20the%20Cement%20Industry%2028_08_2013%20Final.pdf</t>
      </text>
    </comment>
    <comment ref="H17" authorId="0" shapeId="0">
      <text>
        <t>Dan O'Brien:
Source: ENERGY STAR Guide for the Cement Industry (Aug 2013), Table 8 p.87, https://www.energystar.gov/sites/default/files/buildings/tools/ENERGY%20STAR%20Guide%20for%20the%20Cement%20Industry%2028_08_2013%20Final.pdf</t>
      </text>
    </comment>
    <comment ref="I17" authorId="0" shapeId="0">
      <text>
        <t>Dan O'Brien:
Source: ENERGY STAR Guide for the Cement Industry (Aug 2013), Table 8 p.87, https://www.energystar.gov/sites/default/files/buildings/tools/ENERGY%20STAR%20Guide%20for%20the%20Cement%20Industry%2028_08_2013%20Final.pdf</t>
      </text>
    </comment>
    <comment ref="H18" authorId="0" shapeId="0">
      <text>
        <t>Dan O'Brien:
Source: ENERGY STAR Guide for the Cement Industry (Aug 2013), Table 8 p.87, https://www.energystar.gov/sites/default/files/buildings/tools/ENERGY%20STAR%20Guide%20for%20the%20Cement%20Industry%2028_08_2013%20Final.pdf</t>
      </text>
    </comment>
    <comment ref="I18" authorId="0" shapeId="0">
      <text>
        <t>Dan O'Brien:
Source: ENERGY STAR Guide for the Cement Industry (Aug 2013), Table 8 p.87, https://www.energystar.gov/sites/default/files/buildings/tools/ENERGY%20STAR%20Guide%20for%20the%20Cement%20Industry%2028_08_2013%20Final.pdf</t>
      </text>
    </comment>
    <comment ref="E65" authorId="0" shapeId="0">
      <text>
        <t>Dan O'Brien:
Source: Fleiter et al. (2012), Energy 40(1) 84-99, Table 5 p.92 - electricity saving 14% / 20 MJ per tonne RCF pulp. https://www.academia.edu/13043747/Energy_efficiency_in_the_German_pulp_and_paper_industry_A_model_based_assessment_of_saving_potentials</t>
      </text>
    </comment>
    <comment ref="J65" authorId="0" shapeId="0">
      <text>
        <t>Dan O'Brien:
Source: Fleiter et al. (2012), Energy 40(1) 84-99, Table 5 p.92 - initial costs, 2007 euros.</t>
      </text>
    </comment>
    <comment ref="K65" authorId="0" shapeId="0">
      <text>
        <t>Dan O'Brien:
Source: Fleiter et al. (2012), Energy 40(1) 84-99, Table 6 - technical lifetime.</t>
      </text>
    </comment>
    <comment ref="F66" authorId="0" shapeId="0">
      <text>
        <t>Dan O'Brien:
Source: Fleiter et al. (2012), Energy 40(1) 84-99, Table 5 p.92 - fuel saving 6% / 30 MJ per tonne RCF pulp. https://www.academia.edu/13043747/Energy_efficiency_in_the_German_pulp_and_paper_industry_A_model_based_assessment_of_saving_potentials</t>
      </text>
    </comment>
    <comment ref="J66" authorId="0" shapeId="0">
      <text>
        <t>Dan O'Brien:
Source: Fleiter et al. (2012), Energy 40(1) 84-99, Table 5 p.92 - initial costs, 2007 euros.</t>
      </text>
    </comment>
    <comment ref="K66" authorId="0" shapeId="0">
      <text>
        <t>Dan O'Brien:
Source: Fleiter et al. (2012), Energy 40(1) 84-99, Table 6 - technical lifetime.</t>
      </text>
    </comment>
    <comment ref="E67" authorId="0" shapeId="0">
      <text>
        <t>Dan O'Brien:
Source: Fleiter et al. (2012), Energy 40(1) 84-99, Table 5 p.92 - electricity saving 15% / 22 MJ per tonne RCF pulp. https://www.academia.edu/13043747/Energy_efficiency_in_the_German_pulp_and_paper_industry_A_model_based_assessment_of_saving_potentials</t>
      </text>
    </comment>
    <comment ref="J67" authorId="0" shapeId="0">
      <text>
        <t>Dan O'Brien:
Source: Fleiter et al. (2012), Energy 40(1) 84-99, Table 5 p.92 - initial costs, 2007 euros.</t>
      </text>
    </comment>
    <comment ref="K67" authorId="0" shapeId="0">
      <text>
        <t>Dan O'Brien:
Source: Fleiter et al. (2012), Energy 40(1) 84-99, Table 6 - technical lifetime.</t>
      </text>
    </comment>
    <comment ref="C97" authorId="0" shapeId="0">
      <text>
        <t>Dan O'Brien:
Source: Worrell et al. (2010), LBNL-4779E, ENERGY STAR Guide for the U.S. Iron and Steel Industry, Ch.16 Coke Making, p.87: "saved 5-7 kBtu/ton (6-8 MJ/tonne) coke" (Farla et al., 1998). https://www.osti.gov/servlets/purl/1026806</t>
      </text>
    </comment>
    <comment ref="D97" authorId="0" shapeId="0">
      <text>
        <t>Dan O'Brien:
Source: Worrell et al. (2010), LBNL-4779E, ENERGY STAR Guide for the U.S. Iron and Steel Industry, Ch.16 Coke Making, p.87: "saved 5-7 kBtu/ton (6-8 MJ/tonne) coke" (Farla et al., 1998). https://www.osti.gov/servlets/purl/1026806</t>
      </text>
    </comment>
    <comment ref="D131" authorId="0" shapeId="0">
      <text>
        <t>Dan O'Brien:
Source: Zhang et al. (2021), J. Cleaner Production, Appendix A Table 2, measure 33 'High Efficiency Motors' - electricity saving 0.02 GJ/t-clinker.</t>
      </text>
    </comment>
    <comment ref="E131" authorId="0" shapeId="0">
      <text>
        <t>Dan O'Brien:
Source: Zhang et al. (2021), Appendix A Table 2, measure 33 - emission reduction 4.70 kg CO2/t-clinker.</t>
      </text>
    </comment>
    <comment ref="F131" authorId="0" shapeId="0">
      <text>
        <t>Dan O'Brien:
Source: Zhang et al. (2021), Appendix A Table 2, measure 33 - capital cost $0.38/t-clinker, priced in 2005 USD per the paper's Methods.</t>
      </text>
    </comment>
    <comment ref="G131" authorId="0" shapeId="0">
      <text>
        <t>Dan O'Brien:
Source: Zhang et al. (2021), Appendix A Table 2, measure 33 - change in annual O&amp;M cost 0.00.</t>
      </text>
    </comment>
    <comment ref="H131" authorId="0" shapeId="0">
      <text>
        <t>Dan O'Brien:
Source: Zhang et al. (2021), Appendix A Table 2, measure 33 - lifetime 10 years. Matches Kermeli Data J113 exactly, which corroborates Zhang as her source.</t>
      </text>
    </comment>
    <comment ref="D132" authorId="0" shapeId="0">
      <text>
        <t>Dan O'Brien:
Source: Zhang et al. (2021), Appendix A Table 2, measure 34 'Adjustable Speed Drives' - electricity saving 0.01 GJ/t-clinker.</t>
      </text>
    </comment>
    <comment ref="E132" authorId="0" shapeId="0">
      <text>
        <t>Dan O'Brien:
Source: Zhang et al. (2021), Appendix A Table 2, measure 34 - emission reduction 2.43 kg CO2/t-clinker.</t>
      </text>
    </comment>
    <comment ref="F132" authorId="0" shapeId="0">
      <text>
        <t>Dan O'Brien:
Source: Zhang et al. (2021), Appendix A Table 2, measure 34 - capital cost $0.25/t-clinker, priced in 2005 USD per the paper's Methods.</t>
      </text>
    </comment>
    <comment ref="G132" authorId="0" shapeId="0">
      <text>
        <t>Dan O'Brien:
Source: Zhang et al. (2021), Appendix A Table 2, measure 34 - change in annual O&amp;M cost 0.00.</t>
      </text>
    </comment>
    <comment ref="H132" authorId="0" shapeId="0">
      <text>
        <t>Dan O'Brien:
Source: Zhang et al. (2021), Appendix A Table 2, measure 34 - lifetime 10 years. Matches Kermeli Data J114 exactly. Kermeli gives this row NO footnote, but the lifetime match plus the adjacent table position make Zhang the near-certain source.</t>
      </text>
    </comment>
    <comment ref="B144" authorId="0" shapeId="0">
      <text>
        <t>Dan O'Brien:
Pulled from the Data sheet, BLS CPI-U series, 2005 annual average.</t>
      </text>
    </comment>
    <comment ref="B145" authorId="0" shapeId="0">
      <text>
        <t>Dan O'Brien:
Pulled from the Data sheet, BLS CPI-U series, 2021 annual average.</t>
      </text>
    </comment>
    <comment ref="C160" authorId="0" shapeId="0">
      <text>
        <t>Dan O'Brien:
Source: Worrell, Kermeli &amp; Galitsky (2013) ENERGY STAR Cement Guide, section 6.4: "ECRA (2009) estimates an investment cost of $0.16-0.22/annual ton clinker. A payback period of 2 years or less is typical for kiln control systems".</t>
      </text>
    </comment>
    <comment ref="D160" authorId="0" shapeId="0">
      <text>
        <t>Dan O'Brien:
Source: Worrell, Kermeli &amp; Galitsky (2013) ENERGY STAR Cement Guide, section 6.4, ECRA (2009): $0.16-0.22/annual ton clinker. An older alternative of $0.3/annual tonne clinker from ETSU (1988) is also given but is superseded by the ECRA figure.</t>
      </text>
    </comment>
    <comment ref="C161" authorId="0" shapeId="0">
      <text>
        <t>Dan O'Brien:
Source: Worrell, Kermeli &amp; Galitsky (2013) ENERGY STAR Cement Guide, Kiln Combustion System Improvements: "An average cost of $0.9/annual ton clinker capacity is assumed based on reported costs in the demonstration projects. The average payback period is estimated to less than a year" (FCT, 2009).</t>
      </text>
    </comment>
    <comment ref="C162" authorId="0" shapeId="0">
      <text>
        <t>Dan O'Brien:
Source: Worrell, Kermeli &amp; Galitsky (2013) ENERGY STAR Cement Guide, Preheater Shell Heat Loss Reduction: "energy savings are estimated at about 17 kBtu/ton clinker, at an investment cost of $0.30/ton" (Hollingshead and Venta, 2009).</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23</row>
      <rowOff>44450</rowOff>
    </from>
    <to>
      <col>8</col>
      <colOff>0</colOff>
      <row>40</row>
      <rowOff>104775</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23</row>
      <rowOff>44450</rowOff>
    </from>
    <to>
      <col>17</col>
      <colOff>0</colOff>
      <row>40</row>
      <rowOff>104775</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0</colOff>
      <row>41</row>
      <rowOff>101600</rowOff>
    </from>
    <to>
      <col>8</col>
      <colOff>0</colOff>
      <row>58</row>
      <rowOff>161925</rowOff>
    </to>
    <graphicFrame>
      <nvGraphicFramePr>
        <cNvPr id="3" name="Chart 3"/>
        <cNvGraphicFramePr/>
      </nvGraphicFramePr>
      <xfrm/>
      <a:graphic>
        <a:graphicData uri="http://schemas.openxmlformats.org/drawingml/2006/chart">
          <c:chart r:id="rId3"/>
        </a:graphicData>
      </a:graphic>
    </graphicFrame>
    <clientData/>
  </twoCellAnchor>
  <twoCellAnchor>
    <from>
      <col>9</col>
      <colOff>0</colOff>
      <row>41</row>
      <rowOff>101600</rowOff>
    </from>
    <to>
      <col>17</col>
      <colOff>0</colOff>
      <row>58</row>
      <rowOff>161925</rowOff>
    </to>
    <graphicFrame>
      <nvGraphicFramePr>
        <cNvPr id="4" name="Chart 4"/>
        <cNvGraphicFramePr/>
      </nvGraphicFramePr>
      <xfrm/>
      <a:graphic>
        <a:graphicData uri="http://schemas.openxmlformats.org/drawingml/2006/chart">
          <c:chart r:id="rId4"/>
        </a:graphicData>
      </a:graphic>
    </graphicFrame>
    <clientData/>
  </twoCellAnchor>
</wsDr>
</file>

<file path=xl/externalLinks/_rels/externalLink1.xml.rels><Relationships xmlns="http://schemas.openxmlformats.org/package/2006/relationships"><Relationship Type="http://schemas.microsoft.com/office/2006/relationships/xlExternalLinkPath/xlPathMissing" Target="RecoveredExternalLink6" TargetMode="External" Id="rId1" /></Relationships>
</file>

<file path=xl/externalLinks/_rels/externalLink2.xml.rels><Relationships xmlns="http://schemas.openxmlformats.org/package/2006/relationships"><Relationship Type="http://schemas.microsoft.com/office/2006/relationships/xlExternalLinkPath/xlPathMissing" Target="RecoveredExternalLink1" TargetMode="External" Id="rId1" /></Relationships>
</file>

<file path=xl/externalLinks/_rels/externalLink3.xml.rels><Relationships xmlns="http://schemas.openxmlformats.org/package/2006/relationships"><Relationship Type="http://schemas.microsoft.com/office/2006/relationships/xlExternalLinkPath/xlPathMissing" Target="RecoveredExternalLink2" TargetMode="External" Id="rId1" /></Relationships>
</file>

<file path=xl/externalLinks/_rels/externalLink4.xml.rels><Relationships xmlns="http://schemas.openxmlformats.org/package/2006/relationships"><Relationship Type="http://schemas.microsoft.com/office/2006/relationships/xlExternalLinkPath/xlPathMissing" Target="RecoveredExternalLink3" TargetMode="External" Id="rId1" /></Relationships>
</file>

<file path=xl/externalLinks/_rels/externalLink5.xml.rels><Relationships xmlns="http://schemas.openxmlformats.org/package/2006/relationships"><Relationship Type="http://schemas.microsoft.com/office/2006/relationships/xlExternalLinkPath/xlPathMissing" Target="RecoveredExternalLink7" TargetMode="External" Id="rId1" /></Relationships>
</file>

<file path=xl/externalLinks/_rels/externalLink6.xml.rels><Relationships xmlns="http://schemas.openxmlformats.org/package/2006/relationships"><Relationship Type="http://schemas.microsoft.com/office/2006/relationships/xlExternalLinkPath/xlPathMissing" Target="RecoveredExternalLink8" TargetMode="External" Id="rId1" /></Relationships>
</file>

<file path=xl/externalLinks/_rels/externalLink7.xml.rels><Relationships xmlns="http://schemas.openxmlformats.org/package/2006/relationships"><Relationship Type="http://schemas.microsoft.com/office/2006/relationships/xlExternalLinkPath/xlPathMissing" Target="RecoveredExternalLink4"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Control"/>
      <sheetName val="Dataframe"/>
      <sheetName val="Dataframe_Sum"/>
      <sheetName val="Default State Energy Data Table"/>
      <sheetName val="Residential"/>
      <sheetName val="Commercial"/>
      <sheetName val="Transportation"/>
      <sheetName val="Industrial"/>
      <sheetName val="Electric Power"/>
      <sheetName val="Bunker Fuels"/>
      <sheetName val="Summary-MMTCO2E"/>
      <sheetName val="Summary-MMTCE"/>
      <sheetName val="Tracker"/>
      <sheetName val="Uncertainty"/>
      <sheetName val="FF Checker"/>
      <sheetName val="FF Consumption"/>
      <sheetName val="Coal CC"/>
      <sheetName val="Non-Energy Consump."/>
      <sheetName val="Variable CC's"/>
      <sheetName val="SNG"/>
      <sheetName val="Ethanol"/>
      <sheetName val="Code Key"/>
      <sheetName val="Data Sources"/>
      <sheetName val="List Data"/>
      <sheetName val="Notes"/>
    </sheetNames>
    <sheetDataSet>
      <sheetData sheetId="0">
        <row r="50">
          <cell r="D50">
            <v>0.99560852232832731</v>
          </cell>
        </row>
        <row r="51">
          <cell r="D51">
            <v>0.5</v>
          </cell>
        </row>
        <row r="52">
          <cell r="D52" t="str">
            <v>variable by year</v>
          </cell>
        </row>
        <row r="53">
          <cell r="D53">
            <v>9.1799999999999993E-2</v>
          </cell>
        </row>
        <row r="54">
          <cell r="D54">
            <v>0.5</v>
          </cell>
        </row>
        <row r="55">
          <cell r="D55" t="str">
            <v>variable by year</v>
          </cell>
        </row>
        <row r="56">
          <cell r="D56" t="str">
            <v>variable by year</v>
          </cell>
        </row>
        <row r="57">
          <cell r="D57">
            <v>0</v>
          </cell>
        </row>
        <row r="58">
          <cell r="D58" t="str">
            <v>variable by year</v>
          </cell>
        </row>
        <row r="59">
          <cell r="D59">
            <v>0.3</v>
          </cell>
        </row>
        <row r="60">
          <cell r="D60">
            <v>0.61699356710493758</v>
          </cell>
        </row>
        <row r="61">
          <cell r="D61">
            <v>0.61699356710493758</v>
          </cell>
        </row>
        <row r="62">
          <cell r="D62">
            <v>0.57824999999999982</v>
          </cell>
        </row>
        <row r="63">
          <cell r="D63">
            <v>0.1</v>
          </cell>
        </row>
        <row r="64">
          <cell r="D64" t="str">
            <v>variable by year</v>
          </cell>
        </row>
      </sheetData>
      <sheetData sheetId="1"/>
      <sheetData sheetId="2"/>
      <sheetData sheetId="3">
        <row r="6">
          <cell r="A6" t="str">
            <v>AR Commercial Coal</v>
          </cell>
          <cell r="C6" t="str">
            <v>Commercial Coal</v>
          </cell>
          <cell r="D6">
            <v>4</v>
          </cell>
          <cell r="E6">
            <v>9</v>
          </cell>
          <cell r="F6">
            <v>42</v>
          </cell>
          <cell r="G6">
            <v>16</v>
          </cell>
          <cell r="H6">
            <v>7</v>
          </cell>
          <cell r="I6">
            <v>0</v>
          </cell>
          <cell r="J6">
            <v>0</v>
          </cell>
          <cell r="K6">
            <v>1</v>
          </cell>
          <cell r="L6">
            <v>1</v>
          </cell>
          <cell r="M6">
            <v>1</v>
          </cell>
          <cell r="N6">
            <v>0</v>
          </cell>
          <cell r="O6">
            <v>0</v>
          </cell>
          <cell r="P6">
            <v>1</v>
          </cell>
          <cell r="Q6">
            <v>0</v>
          </cell>
          <cell r="R6">
            <v>1</v>
          </cell>
          <cell r="S6">
            <v>0</v>
          </cell>
          <cell r="T6">
            <v>1</v>
          </cell>
          <cell r="U6">
            <v>24</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A7" t="str">
            <v>AR Commercial Distillate Fuel</v>
          </cell>
          <cell r="C7" t="str">
            <v>Commercial Distillate Fuel</v>
          </cell>
          <cell r="D7">
            <v>1738</v>
          </cell>
          <cell r="E7">
            <v>1501</v>
          </cell>
          <cell r="F7">
            <v>1658</v>
          </cell>
          <cell r="G7">
            <v>2074</v>
          </cell>
          <cell r="H7">
            <v>2223</v>
          </cell>
          <cell r="I7">
            <v>1752</v>
          </cell>
          <cell r="J7">
            <v>1692</v>
          </cell>
          <cell r="K7">
            <v>1573</v>
          </cell>
          <cell r="L7">
            <v>2084</v>
          </cell>
          <cell r="M7">
            <v>1515</v>
          </cell>
          <cell r="N7">
            <v>2186</v>
          </cell>
          <cell r="O7">
            <v>3453</v>
          </cell>
          <cell r="P7">
            <v>2598</v>
          </cell>
          <cell r="Q7">
            <v>4329</v>
          </cell>
          <cell r="R7">
            <v>2999</v>
          </cell>
          <cell r="S7">
            <v>4157</v>
          </cell>
          <cell r="T7">
            <v>538</v>
          </cell>
          <cell r="U7">
            <v>521</v>
          </cell>
          <cell r="V7">
            <v>591</v>
          </cell>
          <cell r="W7">
            <v>5630</v>
          </cell>
          <cell r="X7">
            <v>3812</v>
          </cell>
          <cell r="Y7">
            <v>3586</v>
          </cell>
          <cell r="Z7">
            <v>2191</v>
          </cell>
          <cell r="AA7">
            <v>2105</v>
          </cell>
          <cell r="AB7">
            <v>3286</v>
          </cell>
          <cell r="AC7">
            <v>3420</v>
          </cell>
          <cell r="AD7">
            <v>3075</v>
          </cell>
          <cell r="AE7">
            <v>3184</v>
          </cell>
          <cell r="AF7">
            <v>3401</v>
          </cell>
          <cell r="AG7">
            <v>4001</v>
          </cell>
          <cell r="AH7">
            <v>2771</v>
          </cell>
          <cell r="AI7">
            <v>3108</v>
          </cell>
          <cell r="AJ7">
            <v>0</v>
          </cell>
          <cell r="AK7">
            <v>0</v>
          </cell>
          <cell r="AL7">
            <v>0</v>
          </cell>
          <cell r="AM7">
            <v>0</v>
          </cell>
        </row>
        <row r="8">
          <cell r="A8" t="str">
            <v>AR Commercial Kerosene</v>
          </cell>
          <cell r="C8" t="str">
            <v>Commercial Kerosene</v>
          </cell>
          <cell r="D8">
            <v>8</v>
          </cell>
          <cell r="E8">
            <v>11</v>
          </cell>
          <cell r="F8">
            <v>29</v>
          </cell>
          <cell r="G8">
            <v>29</v>
          </cell>
          <cell r="H8">
            <v>24</v>
          </cell>
          <cell r="I8">
            <v>26</v>
          </cell>
          <cell r="J8">
            <v>30</v>
          </cell>
          <cell r="K8">
            <v>30</v>
          </cell>
          <cell r="L8">
            <v>39</v>
          </cell>
          <cell r="M8">
            <v>22</v>
          </cell>
          <cell r="N8">
            <v>25</v>
          </cell>
          <cell r="O8">
            <v>53</v>
          </cell>
          <cell r="P8">
            <v>23</v>
          </cell>
          <cell r="Q8">
            <v>18</v>
          </cell>
          <cell r="R8">
            <v>94</v>
          </cell>
          <cell r="S8">
            <v>115</v>
          </cell>
          <cell r="T8">
            <v>67</v>
          </cell>
          <cell r="U8">
            <v>50</v>
          </cell>
          <cell r="V8">
            <v>49</v>
          </cell>
          <cell r="W8">
            <v>1</v>
          </cell>
          <cell r="X8">
            <v>6</v>
          </cell>
          <cell r="Y8">
            <v>1</v>
          </cell>
          <cell r="Z8">
            <v>0</v>
          </cell>
          <cell r="AA8">
            <v>1</v>
          </cell>
          <cell r="AB8">
            <v>2</v>
          </cell>
          <cell r="AC8">
            <v>5</v>
          </cell>
          <cell r="AD8">
            <v>5</v>
          </cell>
          <cell r="AE8">
            <v>5</v>
          </cell>
          <cell r="AF8">
            <v>14</v>
          </cell>
          <cell r="AG8">
            <v>16</v>
          </cell>
          <cell r="AH8">
            <v>11</v>
          </cell>
          <cell r="AI8">
            <v>9</v>
          </cell>
          <cell r="AJ8">
            <v>0</v>
          </cell>
          <cell r="AK8">
            <v>0</v>
          </cell>
          <cell r="AL8">
            <v>0</v>
          </cell>
          <cell r="AM8">
            <v>0</v>
          </cell>
        </row>
        <row r="9">
          <cell r="A9" t="str">
            <v>AR Commercial Hydrocarbon Gas Liquids</v>
          </cell>
          <cell r="C9" t="str">
            <v>Commercial Hydrocarbon Gas Liquids</v>
          </cell>
          <cell r="D9">
            <v>1555</v>
          </cell>
          <cell r="E9">
            <v>1407</v>
          </cell>
          <cell r="F9">
            <v>1259</v>
          </cell>
          <cell r="G9">
            <v>1435</v>
          </cell>
          <cell r="H9">
            <v>1403</v>
          </cell>
          <cell r="I9">
            <v>1258</v>
          </cell>
          <cell r="J9">
            <v>1253</v>
          </cell>
          <cell r="K9">
            <v>1325</v>
          </cell>
          <cell r="L9">
            <v>982</v>
          </cell>
          <cell r="M9">
            <v>2544</v>
          </cell>
          <cell r="N9">
            <v>2257</v>
          </cell>
          <cell r="O9">
            <v>2373</v>
          </cell>
          <cell r="P9">
            <v>1775</v>
          </cell>
          <cell r="Q9">
            <v>1418</v>
          </cell>
          <cell r="R9">
            <v>2561</v>
          </cell>
          <cell r="S9">
            <v>1101</v>
          </cell>
          <cell r="T9">
            <v>1070</v>
          </cell>
          <cell r="U9">
            <v>784</v>
          </cell>
          <cell r="V9">
            <v>1661</v>
          </cell>
          <cell r="W9">
            <v>1153</v>
          </cell>
          <cell r="X9">
            <v>1116</v>
          </cell>
          <cell r="Y9">
            <v>1180</v>
          </cell>
          <cell r="Z9">
            <v>1169</v>
          </cell>
          <cell r="AA9">
            <v>1114</v>
          </cell>
          <cell r="AB9">
            <v>1458</v>
          </cell>
          <cell r="AC9">
            <v>1246</v>
          </cell>
          <cell r="AD9">
            <v>865</v>
          </cell>
          <cell r="AE9">
            <v>816</v>
          </cell>
          <cell r="AF9">
            <v>1174</v>
          </cell>
          <cell r="AG9">
            <v>1090</v>
          </cell>
          <cell r="AH9">
            <v>1413</v>
          </cell>
          <cell r="AI9">
            <v>1711</v>
          </cell>
          <cell r="AJ9">
            <v>0</v>
          </cell>
          <cell r="AK9">
            <v>0</v>
          </cell>
          <cell r="AL9">
            <v>0</v>
          </cell>
          <cell r="AM9">
            <v>0</v>
          </cell>
        </row>
        <row r="10">
          <cell r="A10" t="str">
            <v>AR Commercial Motor Gasoline</v>
          </cell>
          <cell r="C10" t="str">
            <v>Commercial Motor Gasoline</v>
          </cell>
          <cell r="D10">
            <v>746</v>
          </cell>
          <cell r="E10">
            <v>423</v>
          </cell>
          <cell r="F10">
            <v>373</v>
          </cell>
          <cell r="G10">
            <v>148</v>
          </cell>
          <cell r="H10">
            <v>149</v>
          </cell>
          <cell r="I10">
            <v>151</v>
          </cell>
          <cell r="J10">
            <v>150</v>
          </cell>
          <cell r="K10">
            <v>148</v>
          </cell>
          <cell r="L10">
            <v>149</v>
          </cell>
          <cell r="M10">
            <v>148</v>
          </cell>
          <cell r="N10">
            <v>149</v>
          </cell>
          <cell r="O10">
            <v>157</v>
          </cell>
          <cell r="P10">
            <v>570</v>
          </cell>
          <cell r="Q10">
            <v>514</v>
          </cell>
          <cell r="R10">
            <v>538</v>
          </cell>
          <cell r="S10">
            <v>729</v>
          </cell>
          <cell r="T10">
            <v>753</v>
          </cell>
          <cell r="U10">
            <v>631</v>
          </cell>
          <cell r="V10">
            <v>644</v>
          </cell>
          <cell r="W10">
            <v>674</v>
          </cell>
          <cell r="X10">
            <v>753</v>
          </cell>
          <cell r="Y10">
            <v>335</v>
          </cell>
          <cell r="Z10">
            <v>359</v>
          </cell>
          <cell r="AA10">
            <v>266</v>
          </cell>
          <cell r="AB10">
            <v>374</v>
          </cell>
          <cell r="AC10">
            <v>2903</v>
          </cell>
          <cell r="AD10">
            <v>2557</v>
          </cell>
          <cell r="AE10">
            <v>2525</v>
          </cell>
          <cell r="AF10">
            <v>2544</v>
          </cell>
          <cell r="AG10">
            <v>2564</v>
          </cell>
          <cell r="AH10">
            <v>2590</v>
          </cell>
          <cell r="AI10">
            <v>2608</v>
          </cell>
          <cell r="AJ10">
            <v>0</v>
          </cell>
          <cell r="AK10">
            <v>0</v>
          </cell>
          <cell r="AL10">
            <v>0</v>
          </cell>
          <cell r="AM10">
            <v>0</v>
          </cell>
        </row>
        <row r="11">
          <cell r="A11" t="str">
            <v>AR Commercial Natural Gas</v>
          </cell>
          <cell r="C11" t="str">
            <v>Commercial Natural Gas</v>
          </cell>
          <cell r="D11">
            <v>25321</v>
          </cell>
          <cell r="E11">
            <v>26417</v>
          </cell>
          <cell r="F11">
            <v>25486</v>
          </cell>
          <cell r="G11">
            <v>29362</v>
          </cell>
          <cell r="H11">
            <v>28004</v>
          </cell>
          <cell r="I11">
            <v>29724</v>
          </cell>
          <cell r="J11">
            <v>31823</v>
          </cell>
          <cell r="K11">
            <v>29852</v>
          </cell>
          <cell r="L11">
            <v>28759</v>
          </cell>
          <cell r="M11">
            <v>28397</v>
          </cell>
          <cell r="N11">
            <v>33806</v>
          </cell>
          <cell r="O11">
            <v>32455</v>
          </cell>
          <cell r="P11">
            <v>33731</v>
          </cell>
          <cell r="Q11">
            <v>32721</v>
          </cell>
          <cell r="R11">
            <v>30093</v>
          </cell>
          <cell r="S11">
            <v>31822</v>
          </cell>
          <cell r="T11">
            <v>32252</v>
          </cell>
          <cell r="U11">
            <v>32493</v>
          </cell>
          <cell r="V11">
            <v>37245</v>
          </cell>
          <cell r="W11">
            <v>36792</v>
          </cell>
          <cell r="X11">
            <v>40531</v>
          </cell>
          <cell r="Y11">
            <v>40584</v>
          </cell>
          <cell r="Z11">
            <v>41851</v>
          </cell>
          <cell r="AA11">
            <v>48553</v>
          </cell>
          <cell r="AB11">
            <v>51246</v>
          </cell>
          <cell r="AC11">
            <v>48248</v>
          </cell>
          <cell r="AD11">
            <v>46382</v>
          </cell>
          <cell r="AE11">
            <v>48190</v>
          </cell>
          <cell r="AF11">
            <v>56224</v>
          </cell>
          <cell r="AG11">
            <v>55846</v>
          </cell>
          <cell r="AH11">
            <v>53396</v>
          </cell>
          <cell r="AI11">
            <v>57877</v>
          </cell>
          <cell r="AJ11">
            <v>0</v>
          </cell>
          <cell r="AK11">
            <v>0</v>
          </cell>
          <cell r="AL11">
            <v>0</v>
          </cell>
          <cell r="AM11">
            <v>0</v>
          </cell>
        </row>
        <row r="12">
          <cell r="A12" t="str">
            <v>AR Commercial Residual Fuel</v>
          </cell>
          <cell r="C12" t="str">
            <v>Commercial Residual Fuel</v>
          </cell>
          <cell r="D12">
            <v>0</v>
          </cell>
          <cell r="E12">
            <v>0</v>
          </cell>
          <cell r="F12">
            <v>25</v>
          </cell>
          <cell r="G12">
            <v>4</v>
          </cell>
          <cell r="H12">
            <v>0</v>
          </cell>
          <cell r="I12">
            <v>0</v>
          </cell>
          <cell r="J12">
            <v>1</v>
          </cell>
          <cell r="K12">
            <v>0</v>
          </cell>
          <cell r="L12">
            <v>0</v>
          </cell>
          <cell r="M12">
            <v>0</v>
          </cell>
          <cell r="N12">
            <v>0</v>
          </cell>
          <cell r="O12">
            <v>0</v>
          </cell>
          <cell r="P12">
            <v>0</v>
          </cell>
          <cell r="Q12">
            <v>0</v>
          </cell>
          <cell r="R12">
            <v>2</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A13" t="str">
            <v>AR Commercial Wood</v>
          </cell>
          <cell r="C13" t="str">
            <v>Commercial Wood</v>
          </cell>
          <cell r="D13">
            <v>345</v>
          </cell>
          <cell r="E13">
            <v>361</v>
          </cell>
          <cell r="F13">
            <v>380</v>
          </cell>
          <cell r="G13">
            <v>650</v>
          </cell>
          <cell r="H13">
            <v>623</v>
          </cell>
          <cell r="I13">
            <v>628</v>
          </cell>
          <cell r="J13">
            <v>653</v>
          </cell>
          <cell r="K13">
            <v>392</v>
          </cell>
          <cell r="L13">
            <v>343</v>
          </cell>
          <cell r="M13">
            <v>360</v>
          </cell>
          <cell r="N13">
            <v>385</v>
          </cell>
          <cell r="O13">
            <v>392</v>
          </cell>
          <cell r="P13">
            <v>401</v>
          </cell>
          <cell r="Q13">
            <v>418</v>
          </cell>
          <cell r="R13">
            <v>409</v>
          </cell>
          <cell r="S13">
            <v>899</v>
          </cell>
          <cell r="T13">
            <v>834</v>
          </cell>
          <cell r="U13">
            <v>886</v>
          </cell>
          <cell r="V13">
            <v>935</v>
          </cell>
          <cell r="W13">
            <v>1353</v>
          </cell>
          <cell r="X13">
            <v>1336</v>
          </cell>
          <cell r="Y13">
            <v>1286</v>
          </cell>
          <cell r="Z13">
            <v>1126</v>
          </cell>
          <cell r="AA13">
            <v>1306</v>
          </cell>
          <cell r="AB13">
            <v>1360</v>
          </cell>
          <cell r="AC13">
            <v>937</v>
          </cell>
          <cell r="AD13">
            <v>918</v>
          </cell>
          <cell r="AE13">
            <v>800</v>
          </cell>
          <cell r="AF13">
            <v>1029</v>
          </cell>
          <cell r="AG13">
            <v>998</v>
          </cell>
          <cell r="AH13">
            <v>951</v>
          </cell>
          <cell r="AI13">
            <v>878</v>
          </cell>
          <cell r="AJ13">
            <v>0</v>
          </cell>
          <cell r="AK13">
            <v>0</v>
          </cell>
          <cell r="AL13">
            <v>0</v>
          </cell>
          <cell r="AM13">
            <v>0</v>
          </cell>
        </row>
        <row r="14">
          <cell r="A14" t="str">
            <v>AR Commercial Other</v>
          </cell>
          <cell r="C14" t="str">
            <v>Commercial Other</v>
          </cell>
        </row>
        <row r="15">
          <cell r="A15" t="str">
            <v>AR Electric Power Coal</v>
          </cell>
          <cell r="C15" t="str">
            <v>Electric Power Coal</v>
          </cell>
          <cell r="D15">
            <v>206863</v>
          </cell>
          <cell r="E15">
            <v>209095</v>
          </cell>
          <cell r="F15">
            <v>213578</v>
          </cell>
          <cell r="G15">
            <v>192682</v>
          </cell>
          <cell r="H15">
            <v>213561</v>
          </cell>
          <cell r="I15">
            <v>229550</v>
          </cell>
          <cell r="J15">
            <v>251704</v>
          </cell>
          <cell r="K15">
            <v>239806</v>
          </cell>
          <cell r="L15">
            <v>247654</v>
          </cell>
          <cell r="M15">
            <v>259094</v>
          </cell>
          <cell r="N15">
            <v>257963</v>
          </cell>
          <cell r="O15">
            <v>263081</v>
          </cell>
          <cell r="P15">
            <v>244784</v>
          </cell>
          <cell r="Q15">
            <v>243527</v>
          </cell>
          <cell r="R15">
            <v>260084</v>
          </cell>
          <cell r="S15">
            <v>237894</v>
          </cell>
          <cell r="T15">
            <v>247823</v>
          </cell>
          <cell r="U15">
            <v>265232</v>
          </cell>
          <cell r="V15">
            <v>269282</v>
          </cell>
          <cell r="W15">
            <v>256654</v>
          </cell>
          <cell r="X15">
            <v>286417</v>
          </cell>
          <cell r="Y15">
            <v>300543</v>
          </cell>
          <cell r="Z15">
            <v>291578</v>
          </cell>
          <cell r="AA15">
            <v>322034</v>
          </cell>
          <cell r="AB15">
            <v>333753</v>
          </cell>
          <cell r="AC15">
            <v>222218</v>
          </cell>
          <cell r="AD15">
            <v>241610</v>
          </cell>
          <cell r="AE15">
            <v>262907</v>
          </cell>
          <cell r="AF15">
            <v>300080</v>
          </cell>
          <cell r="AG15">
            <v>235754</v>
          </cell>
          <cell r="AH15">
            <v>158577</v>
          </cell>
          <cell r="AI15">
            <v>212676</v>
          </cell>
          <cell r="AJ15">
            <v>0</v>
          </cell>
          <cell r="AK15">
            <v>0</v>
          </cell>
          <cell r="AL15">
            <v>0</v>
          </cell>
          <cell r="AM15">
            <v>0</v>
          </cell>
        </row>
        <row r="16">
          <cell r="A16" t="str">
            <v>AR Electric Power Distillate Fuel</v>
          </cell>
          <cell r="C16" t="str">
            <v>Electric Power Distillate Fuel</v>
          </cell>
          <cell r="D16">
            <v>818</v>
          </cell>
          <cell r="E16">
            <v>742</v>
          </cell>
          <cell r="F16">
            <v>553</v>
          </cell>
          <cell r="G16">
            <v>732</v>
          </cell>
          <cell r="H16">
            <v>710</v>
          </cell>
          <cell r="I16">
            <v>547</v>
          </cell>
          <cell r="J16">
            <v>567</v>
          </cell>
          <cell r="K16">
            <v>584</v>
          </cell>
          <cell r="L16">
            <v>1041</v>
          </cell>
          <cell r="M16">
            <v>973</v>
          </cell>
          <cell r="N16">
            <v>389</v>
          </cell>
          <cell r="O16">
            <v>475</v>
          </cell>
          <cell r="P16">
            <v>404</v>
          </cell>
          <cell r="Q16">
            <v>413</v>
          </cell>
          <cell r="R16">
            <v>362</v>
          </cell>
          <cell r="S16">
            <v>419</v>
          </cell>
          <cell r="T16">
            <v>278</v>
          </cell>
          <cell r="U16">
            <v>363</v>
          </cell>
          <cell r="V16">
            <v>256</v>
          </cell>
          <cell r="W16">
            <v>371</v>
          </cell>
          <cell r="X16">
            <v>318</v>
          </cell>
          <cell r="Y16">
            <v>469</v>
          </cell>
          <cell r="Z16">
            <v>305</v>
          </cell>
          <cell r="AA16">
            <v>374</v>
          </cell>
          <cell r="AB16">
            <v>260</v>
          </cell>
          <cell r="AC16">
            <v>564</v>
          </cell>
          <cell r="AD16">
            <v>416</v>
          </cell>
          <cell r="AE16">
            <v>477</v>
          </cell>
          <cell r="AF16">
            <v>321</v>
          </cell>
          <cell r="AG16">
            <v>449</v>
          </cell>
          <cell r="AH16">
            <v>504</v>
          </cell>
          <cell r="AI16">
            <v>549</v>
          </cell>
          <cell r="AJ16">
            <v>0</v>
          </cell>
          <cell r="AK16">
            <v>0</v>
          </cell>
          <cell r="AL16">
            <v>0</v>
          </cell>
          <cell r="AM16">
            <v>0</v>
          </cell>
        </row>
        <row r="17">
          <cell r="A17" t="str">
            <v>AR Electric Power Natural Gas</v>
          </cell>
          <cell r="C17" t="str">
            <v>Electric Power Natural Gas</v>
          </cell>
          <cell r="D17">
            <v>32657</v>
          </cell>
          <cell r="E17">
            <v>28456</v>
          </cell>
          <cell r="F17">
            <v>27691</v>
          </cell>
          <cell r="G17">
            <v>21790</v>
          </cell>
          <cell r="H17">
            <v>25574</v>
          </cell>
          <cell r="I17">
            <v>33377</v>
          </cell>
          <cell r="J17">
            <v>34795</v>
          </cell>
          <cell r="K17">
            <v>25425</v>
          </cell>
          <cell r="L17">
            <v>41357</v>
          </cell>
          <cell r="M17">
            <v>41082</v>
          </cell>
          <cell r="N17">
            <v>35292</v>
          </cell>
          <cell r="O17">
            <v>27070</v>
          </cell>
          <cell r="P17">
            <v>43124</v>
          </cell>
          <cell r="Q17">
            <v>58174</v>
          </cell>
          <cell r="R17">
            <v>41334</v>
          </cell>
          <cell r="S17">
            <v>50404</v>
          </cell>
          <cell r="T17">
            <v>73045</v>
          </cell>
          <cell r="U17">
            <v>65218</v>
          </cell>
          <cell r="V17">
            <v>66231</v>
          </cell>
          <cell r="W17">
            <v>85317</v>
          </cell>
          <cell r="X17">
            <v>98514</v>
          </cell>
          <cell r="Y17">
            <v>109196</v>
          </cell>
          <cell r="Z17">
            <v>131825</v>
          </cell>
          <cell r="AA17">
            <v>95845</v>
          </cell>
          <cell r="AB17">
            <v>74137</v>
          </cell>
          <cell r="AC17">
            <v>113099</v>
          </cell>
          <cell r="AD17">
            <v>139024</v>
          </cell>
          <cell r="AE17">
            <v>130272</v>
          </cell>
          <cell r="AF17">
            <v>155902</v>
          </cell>
          <cell r="AG17">
            <v>163318</v>
          </cell>
          <cell r="AH17">
            <v>138729</v>
          </cell>
          <cell r="AI17">
            <v>153547</v>
          </cell>
          <cell r="AJ17">
            <v>0</v>
          </cell>
          <cell r="AK17">
            <v>0</v>
          </cell>
          <cell r="AL17">
            <v>0</v>
          </cell>
          <cell r="AM17">
            <v>0</v>
          </cell>
        </row>
        <row r="18">
          <cell r="A18" t="str">
            <v>AR Electric Power Petroleum Coke</v>
          </cell>
          <cell r="C18" t="str">
            <v>Electric Power Petroleum Coke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t="str">
            <v>AR Electric Power Residual Fuel</v>
          </cell>
          <cell r="C19" t="str">
            <v>Electric Power Residual Fuel</v>
          </cell>
          <cell r="D19">
            <v>92</v>
          </cell>
          <cell r="E19">
            <v>7</v>
          </cell>
          <cell r="F19">
            <v>0</v>
          </cell>
          <cell r="G19">
            <v>33</v>
          </cell>
          <cell r="H19">
            <v>338</v>
          </cell>
          <cell r="I19">
            <v>97</v>
          </cell>
          <cell r="J19">
            <v>511</v>
          </cell>
          <cell r="K19">
            <v>169</v>
          </cell>
          <cell r="L19">
            <v>627</v>
          </cell>
          <cell r="M19">
            <v>581</v>
          </cell>
          <cell r="N19">
            <v>1842</v>
          </cell>
          <cell r="O19">
            <v>8424</v>
          </cell>
          <cell r="P19">
            <v>1130</v>
          </cell>
          <cell r="Q19">
            <v>2403</v>
          </cell>
          <cell r="R19">
            <v>4668</v>
          </cell>
          <cell r="S19">
            <v>1445</v>
          </cell>
          <cell r="T19">
            <v>1376</v>
          </cell>
          <cell r="U19">
            <v>438</v>
          </cell>
          <cell r="V19">
            <v>338</v>
          </cell>
          <cell r="W19">
            <v>487</v>
          </cell>
          <cell r="X19">
            <v>123</v>
          </cell>
          <cell r="Y19">
            <v>78</v>
          </cell>
          <cell r="Z19">
            <v>12</v>
          </cell>
          <cell r="AA19">
            <v>44</v>
          </cell>
          <cell r="AB19">
            <v>2</v>
          </cell>
          <cell r="AC19">
            <v>4</v>
          </cell>
          <cell r="AD19">
            <v>0</v>
          </cell>
          <cell r="AE19">
            <v>0</v>
          </cell>
          <cell r="AF19">
            <v>0</v>
          </cell>
          <cell r="AG19">
            <v>0</v>
          </cell>
          <cell r="AH19">
            <v>21</v>
          </cell>
          <cell r="AI19">
            <v>0</v>
          </cell>
          <cell r="AJ19">
            <v>0</v>
          </cell>
          <cell r="AK19">
            <v>0</v>
          </cell>
          <cell r="AL19">
            <v>0</v>
          </cell>
          <cell r="AM19">
            <v>0</v>
          </cell>
        </row>
        <row r="20">
          <cell r="A20" t="str">
            <v>AR Electric Power Wood</v>
          </cell>
          <cell r="C20" t="str">
            <v>Electric Power Wood</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t="str">
            <v>AR Electric Power Other</v>
          </cell>
          <cell r="C21" t="str">
            <v>Electric Power Other</v>
          </cell>
        </row>
        <row r="22">
          <cell r="A22" t="str">
            <v>AR Industrial Asphalt and Road Oil</v>
          </cell>
          <cell r="C22" t="str">
            <v>Industrial Asphalt and Road Oil</v>
          </cell>
          <cell r="D22">
            <v>3288</v>
          </cell>
          <cell r="E22">
            <v>3540</v>
          </cell>
          <cell r="F22">
            <v>7793</v>
          </cell>
          <cell r="G22">
            <v>9642</v>
          </cell>
          <cell r="H22">
            <v>7072</v>
          </cell>
          <cell r="I22">
            <v>8266</v>
          </cell>
          <cell r="J22">
            <v>6470</v>
          </cell>
          <cell r="K22">
            <v>6716</v>
          </cell>
          <cell r="L22">
            <v>5702</v>
          </cell>
          <cell r="M22">
            <v>6787</v>
          </cell>
          <cell r="N22">
            <v>6747</v>
          </cell>
          <cell r="O22">
            <v>5893</v>
          </cell>
          <cell r="P22">
            <v>17304</v>
          </cell>
          <cell r="Q22">
            <v>12009</v>
          </cell>
          <cell r="R22">
            <v>5868</v>
          </cell>
          <cell r="S22">
            <v>3153</v>
          </cell>
          <cell r="T22">
            <v>8852</v>
          </cell>
          <cell r="U22">
            <v>8188</v>
          </cell>
          <cell r="V22">
            <v>2318</v>
          </cell>
          <cell r="W22">
            <v>7984</v>
          </cell>
          <cell r="X22">
            <v>10974</v>
          </cell>
          <cell r="Y22">
            <v>14494</v>
          </cell>
          <cell r="Z22">
            <v>10746</v>
          </cell>
          <cell r="AA22">
            <v>10293</v>
          </cell>
          <cell r="AB22">
            <v>12504</v>
          </cell>
          <cell r="AC22">
            <v>7719</v>
          </cell>
          <cell r="AD22">
            <v>14355</v>
          </cell>
          <cell r="AE22">
            <v>14901</v>
          </cell>
          <cell r="AF22">
            <v>12446</v>
          </cell>
          <cell r="AG22">
            <v>13234</v>
          </cell>
          <cell r="AH22">
            <v>13546</v>
          </cell>
          <cell r="AI22">
            <v>14408</v>
          </cell>
          <cell r="AJ22">
            <v>0</v>
          </cell>
          <cell r="AK22">
            <v>0</v>
          </cell>
          <cell r="AL22">
            <v>0</v>
          </cell>
          <cell r="AM22">
            <v>0</v>
          </cell>
        </row>
        <row r="23">
          <cell r="A23" t="str">
            <v>AR Industrial Aviation Gasoline Blending Components</v>
          </cell>
          <cell r="C23" t="str">
            <v>Industrial Aviation Gasoline Blending Components</v>
          </cell>
          <cell r="D23">
            <v>1</v>
          </cell>
          <cell r="E23">
            <v>0</v>
          </cell>
          <cell r="F23">
            <v>1</v>
          </cell>
          <cell r="G23">
            <v>1</v>
          </cell>
          <cell r="H23">
            <v>26</v>
          </cell>
          <cell r="I23">
            <v>22</v>
          </cell>
          <cell r="J23">
            <v>30</v>
          </cell>
          <cell r="K23">
            <v>38</v>
          </cell>
          <cell r="L23">
            <v>16</v>
          </cell>
          <cell r="M23">
            <v>24</v>
          </cell>
          <cell r="N23">
            <v>14</v>
          </cell>
          <cell r="O23">
            <v>24</v>
          </cell>
          <cell r="P23">
            <v>32</v>
          </cell>
          <cell r="Q23">
            <v>31</v>
          </cell>
          <cell r="R23">
            <v>48</v>
          </cell>
          <cell r="S23">
            <v>39</v>
          </cell>
          <cell r="T23">
            <v>3</v>
          </cell>
          <cell r="U23">
            <v>8</v>
          </cell>
          <cell r="V23">
            <v>0</v>
          </cell>
          <cell r="W23">
            <v>-4</v>
          </cell>
          <cell r="X23">
            <v>-1</v>
          </cell>
          <cell r="Y23">
            <v>0</v>
          </cell>
          <cell r="Z23">
            <v>0</v>
          </cell>
          <cell r="AA23">
            <v>-2</v>
          </cell>
          <cell r="AB23">
            <v>-1</v>
          </cell>
          <cell r="AC23">
            <v>-2</v>
          </cell>
          <cell r="AD23">
            <v>-1</v>
          </cell>
          <cell r="AE23">
            <v>-1</v>
          </cell>
          <cell r="AF23">
            <v>-8</v>
          </cell>
          <cell r="AG23">
            <v>-6</v>
          </cell>
          <cell r="AH23">
            <v>-4</v>
          </cell>
          <cell r="AI23">
            <v>-4</v>
          </cell>
          <cell r="AJ23">
            <v>0</v>
          </cell>
          <cell r="AK23">
            <v>0</v>
          </cell>
          <cell r="AL23">
            <v>0</v>
          </cell>
          <cell r="AM23">
            <v>0</v>
          </cell>
        </row>
        <row r="24">
          <cell r="A24" t="str">
            <v>AR Industrial Coal</v>
          </cell>
          <cell r="C24" t="str">
            <v>Industrial Coal</v>
          </cell>
          <cell r="D24">
            <v>5839</v>
          </cell>
          <cell r="E24">
            <v>6839</v>
          </cell>
          <cell r="F24">
            <v>7076</v>
          </cell>
          <cell r="G24">
            <v>7748</v>
          </cell>
          <cell r="H24">
            <v>8599</v>
          </cell>
          <cell r="I24">
            <v>7784</v>
          </cell>
          <cell r="J24">
            <v>8356</v>
          </cell>
          <cell r="K24">
            <v>6980</v>
          </cell>
          <cell r="L24">
            <v>7004</v>
          </cell>
          <cell r="M24">
            <v>7927</v>
          </cell>
          <cell r="N24">
            <v>9616</v>
          </cell>
          <cell r="O24">
            <v>10901</v>
          </cell>
          <cell r="P24">
            <v>10457</v>
          </cell>
          <cell r="Q24">
            <v>10126</v>
          </cell>
          <cell r="R24">
            <v>10126</v>
          </cell>
          <cell r="S24">
            <v>9275</v>
          </cell>
          <cell r="T24">
            <v>9084</v>
          </cell>
          <cell r="U24">
            <v>9778</v>
          </cell>
          <cell r="V24">
            <v>9567</v>
          </cell>
          <cell r="W24">
            <v>7429</v>
          </cell>
          <cell r="X24">
            <v>7272</v>
          </cell>
          <cell r="Y24">
            <v>5576</v>
          </cell>
          <cell r="Z24">
            <v>5154</v>
          </cell>
          <cell r="AA24">
            <v>5065</v>
          </cell>
          <cell r="AB24">
            <v>5461</v>
          </cell>
          <cell r="AC24">
            <v>4672</v>
          </cell>
          <cell r="AD24">
            <v>4827</v>
          </cell>
          <cell r="AE24">
            <v>4684</v>
          </cell>
          <cell r="AF24">
            <v>4065</v>
          </cell>
          <cell r="AG24">
            <v>4045</v>
          </cell>
          <cell r="AH24">
            <v>3402</v>
          </cell>
          <cell r="AI24">
            <v>3447</v>
          </cell>
          <cell r="AJ24">
            <v>0</v>
          </cell>
          <cell r="AK24">
            <v>0</v>
          </cell>
          <cell r="AL24">
            <v>0</v>
          </cell>
          <cell r="AM24">
            <v>0</v>
          </cell>
        </row>
        <row r="25">
          <cell r="A25" t="str">
            <v>AR Industrial Coking Coal</v>
          </cell>
          <cell r="C25" t="str">
            <v>Industrial Coking Coal</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t="str">
            <v>AR Industrial Crude Oil</v>
          </cell>
          <cell r="C26" t="str">
            <v>Industrial Crude Oil</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t="str">
            <v>AR Industrial Distillate Fuel</v>
          </cell>
          <cell r="C27" t="str">
            <v>Industrial Distillate Fuel</v>
          </cell>
          <cell r="D27">
            <v>13836.37224395985</v>
          </cell>
          <cell r="E27">
            <v>11517.100726402155</v>
          </cell>
          <cell r="F27">
            <v>18962.708396970469</v>
          </cell>
          <cell r="G27">
            <v>18194.587312385127</v>
          </cell>
          <cell r="H27">
            <v>18203.912502253595</v>
          </cell>
          <cell r="I27">
            <v>23162.479654542698</v>
          </cell>
          <cell r="J27">
            <v>19388.309027358893</v>
          </cell>
          <cell r="K27">
            <v>22896.666781936408</v>
          </cell>
          <cell r="L27">
            <v>21783.585838630308</v>
          </cell>
          <cell r="M27">
            <v>20205.168692428168</v>
          </cell>
          <cell r="N27">
            <v>23043.025251355608</v>
          </cell>
          <cell r="O27">
            <v>26437.826254391981</v>
          </cell>
          <cell r="P27">
            <v>25128.565838069091</v>
          </cell>
          <cell r="Q27">
            <v>30955.17961399347</v>
          </cell>
          <cell r="R27">
            <v>32395.592938799284</v>
          </cell>
          <cell r="S27">
            <v>40008.978657533167</v>
          </cell>
          <cell r="T27">
            <v>39939.888788389151</v>
          </cell>
          <cell r="U27">
            <v>40608.218790503262</v>
          </cell>
          <cell r="V27">
            <v>51926.30170649819</v>
          </cell>
          <cell r="W27">
            <v>25446.276454793198</v>
          </cell>
          <cell r="X27">
            <v>33279.072577251347</v>
          </cell>
          <cell r="Y27">
            <v>30777.005075727655</v>
          </cell>
          <cell r="Z27">
            <v>29455.390547584542</v>
          </cell>
          <cell r="AA27">
            <v>32234.773830820468</v>
          </cell>
          <cell r="AB27">
            <v>29663.371489510144</v>
          </cell>
          <cell r="AC27">
            <v>22331.789010508408</v>
          </cell>
          <cell r="AD27">
            <v>20305.766039386686</v>
          </cell>
          <cell r="AE27">
            <v>16362.159812302039</v>
          </cell>
          <cell r="AF27">
            <v>20278.104963396861</v>
          </cell>
          <cell r="AG27">
            <v>19952.745797536711</v>
          </cell>
          <cell r="AH27">
            <v>21565.237380756378</v>
          </cell>
          <cell r="AI27">
            <v>19653.509500404762</v>
          </cell>
          <cell r="AJ27">
            <v>0</v>
          </cell>
          <cell r="AK27">
            <v>0</v>
          </cell>
          <cell r="AL27">
            <v>0</v>
          </cell>
          <cell r="AM27">
            <v>0</v>
          </cell>
        </row>
        <row r="28">
          <cell r="A28" t="str">
            <v>AR Industrial Feedstocks, Naphtha less than 401 F</v>
          </cell>
          <cell r="C28" t="str">
            <v>Industrial Feedstocks, Naphtha less than 401 F</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t="str">
            <v>AR Industrial Feedstocks, Other Oils greater than 401 F</v>
          </cell>
          <cell r="C29" t="str">
            <v>Industrial Feedstocks, Other Oils greater than 401 F</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t="str">
            <v>AR Industrial Kerosene</v>
          </cell>
          <cell r="C30" t="str">
            <v>Industrial Kerosene</v>
          </cell>
          <cell r="D30">
            <v>94</v>
          </cell>
          <cell r="E30">
            <v>114</v>
          </cell>
          <cell r="F30">
            <v>52</v>
          </cell>
          <cell r="G30">
            <v>76</v>
          </cell>
          <cell r="H30">
            <v>97</v>
          </cell>
          <cell r="I30">
            <v>115</v>
          </cell>
          <cell r="J30">
            <v>52</v>
          </cell>
          <cell r="K30">
            <v>56</v>
          </cell>
          <cell r="L30">
            <v>98</v>
          </cell>
          <cell r="M30">
            <v>76</v>
          </cell>
          <cell r="N30">
            <v>23</v>
          </cell>
          <cell r="O30">
            <v>105</v>
          </cell>
          <cell r="P30">
            <v>29</v>
          </cell>
          <cell r="Q30">
            <v>11</v>
          </cell>
          <cell r="R30">
            <v>6</v>
          </cell>
          <cell r="S30">
            <v>15</v>
          </cell>
          <cell r="T30">
            <v>4</v>
          </cell>
          <cell r="U30">
            <v>6</v>
          </cell>
          <cell r="V30">
            <v>8</v>
          </cell>
          <cell r="W30">
            <v>6</v>
          </cell>
          <cell r="X30">
            <v>7</v>
          </cell>
          <cell r="Y30">
            <v>5</v>
          </cell>
          <cell r="Z30">
            <v>0</v>
          </cell>
          <cell r="AA30">
            <v>1</v>
          </cell>
          <cell r="AB30">
            <v>1</v>
          </cell>
          <cell r="AC30">
            <v>5</v>
          </cell>
          <cell r="AD30">
            <v>21</v>
          </cell>
          <cell r="AE30">
            <v>12</v>
          </cell>
          <cell r="AF30">
            <v>17</v>
          </cell>
          <cell r="AG30">
            <v>7</v>
          </cell>
          <cell r="AH30">
            <v>1</v>
          </cell>
          <cell r="AI30">
            <v>11</v>
          </cell>
          <cell r="AJ30">
            <v>0</v>
          </cell>
          <cell r="AK30">
            <v>0</v>
          </cell>
          <cell r="AL30">
            <v>0</v>
          </cell>
          <cell r="AM30">
            <v>0</v>
          </cell>
        </row>
        <row r="31">
          <cell r="A31" t="str">
            <v>AR Industrial Hydrocarbon Gas Liquids</v>
          </cell>
          <cell r="C31" t="str">
            <v>Industrial Hydrocarbon Gas Liquids</v>
          </cell>
          <cell r="D31">
            <v>4146</v>
          </cell>
          <cell r="E31">
            <v>4334</v>
          </cell>
          <cell r="F31">
            <v>4106</v>
          </cell>
          <cell r="G31">
            <v>4794</v>
          </cell>
          <cell r="H31">
            <v>4490</v>
          </cell>
          <cell r="I31">
            <v>4903</v>
          </cell>
          <cell r="J31">
            <v>4528</v>
          </cell>
          <cell r="K31">
            <v>4037</v>
          </cell>
          <cell r="L31">
            <v>3153</v>
          </cell>
          <cell r="M31">
            <v>6724</v>
          </cell>
          <cell r="N31">
            <v>11182</v>
          </cell>
          <cell r="O31">
            <v>9393</v>
          </cell>
          <cell r="P31">
            <v>5171</v>
          </cell>
          <cell r="Q31">
            <v>3823</v>
          </cell>
          <cell r="R31">
            <v>3925</v>
          </cell>
          <cell r="S31">
            <v>3005</v>
          </cell>
          <cell r="T31">
            <v>3305</v>
          </cell>
          <cell r="U31">
            <v>3626</v>
          </cell>
          <cell r="V31">
            <v>2850</v>
          </cell>
          <cell r="W31">
            <v>2604</v>
          </cell>
          <cell r="X31">
            <v>3042</v>
          </cell>
          <cell r="Y31">
            <v>3084</v>
          </cell>
          <cell r="Z31">
            <v>2804</v>
          </cell>
          <cell r="AA31">
            <v>2675</v>
          </cell>
          <cell r="AB31">
            <v>3511</v>
          </cell>
          <cell r="AC31">
            <v>2859</v>
          </cell>
          <cell r="AD31">
            <v>2594</v>
          </cell>
          <cell r="AE31">
            <v>2480</v>
          </cell>
          <cell r="AF31">
            <v>3127</v>
          </cell>
          <cell r="AG31">
            <v>3661</v>
          </cell>
          <cell r="AH31">
            <v>2498</v>
          </cell>
          <cell r="AI31">
            <v>2361</v>
          </cell>
          <cell r="AJ31">
            <v>0</v>
          </cell>
          <cell r="AK31">
            <v>0</v>
          </cell>
          <cell r="AL31">
            <v>0</v>
          </cell>
          <cell r="AM31">
            <v>0</v>
          </cell>
        </row>
        <row r="32">
          <cell r="A32" t="str">
            <v>AR Industrial Lubricants</v>
          </cell>
          <cell r="C32" t="str">
            <v>Industrial Lubricants</v>
          </cell>
          <cell r="D32">
            <v>1664</v>
          </cell>
          <cell r="E32">
            <v>1489</v>
          </cell>
          <cell r="F32">
            <v>1518</v>
          </cell>
          <cell r="G32">
            <v>1546</v>
          </cell>
          <cell r="H32">
            <v>1616</v>
          </cell>
          <cell r="I32">
            <v>1588</v>
          </cell>
          <cell r="J32">
            <v>1541</v>
          </cell>
          <cell r="K32">
            <v>1628</v>
          </cell>
          <cell r="L32">
            <v>1704</v>
          </cell>
          <cell r="M32">
            <v>1722</v>
          </cell>
          <cell r="N32">
            <v>1696</v>
          </cell>
          <cell r="O32">
            <v>1554</v>
          </cell>
          <cell r="P32">
            <v>1536</v>
          </cell>
          <cell r="Q32">
            <v>1420</v>
          </cell>
          <cell r="R32">
            <v>1438</v>
          </cell>
          <cell r="S32">
            <v>1431</v>
          </cell>
          <cell r="T32">
            <v>1394</v>
          </cell>
          <cell r="U32">
            <v>1440</v>
          </cell>
          <cell r="V32">
            <v>1337</v>
          </cell>
          <cell r="W32">
            <v>1202</v>
          </cell>
          <cell r="X32">
            <v>1403</v>
          </cell>
          <cell r="Y32">
            <v>1411</v>
          </cell>
          <cell r="Z32">
            <v>1232</v>
          </cell>
          <cell r="AA32">
            <v>1234</v>
          </cell>
          <cell r="AB32">
            <v>1225</v>
          </cell>
          <cell r="AC32">
            <v>1192</v>
          </cell>
          <cell r="AD32">
            <v>1102</v>
          </cell>
          <cell r="AE32">
            <v>988</v>
          </cell>
          <cell r="AF32">
            <v>1009</v>
          </cell>
          <cell r="AG32">
            <v>918</v>
          </cell>
          <cell r="AH32">
            <v>898</v>
          </cell>
          <cell r="AI32">
            <v>1005</v>
          </cell>
          <cell r="AJ32">
            <v>0</v>
          </cell>
          <cell r="AK32">
            <v>0</v>
          </cell>
          <cell r="AL32">
            <v>0</v>
          </cell>
          <cell r="AM32">
            <v>0</v>
          </cell>
        </row>
        <row r="33">
          <cell r="A33" t="str">
            <v>AR Industrial Misc. Petro Products</v>
          </cell>
          <cell r="C33" t="str">
            <v>Industrial Misc. Petro Products</v>
          </cell>
          <cell r="D33">
            <v>228</v>
          </cell>
          <cell r="E33">
            <v>302</v>
          </cell>
          <cell r="F33">
            <v>198</v>
          </cell>
          <cell r="G33">
            <v>188</v>
          </cell>
          <cell r="H33">
            <v>210</v>
          </cell>
          <cell r="I33">
            <v>192</v>
          </cell>
          <cell r="J33">
            <v>1605</v>
          </cell>
          <cell r="K33">
            <v>1762</v>
          </cell>
          <cell r="L33">
            <v>2145</v>
          </cell>
          <cell r="M33">
            <v>2017</v>
          </cell>
          <cell r="N33">
            <v>2149</v>
          </cell>
          <cell r="O33">
            <v>1180</v>
          </cell>
          <cell r="P33">
            <v>1268</v>
          </cell>
          <cell r="Q33">
            <v>1190</v>
          </cell>
          <cell r="R33">
            <v>1072</v>
          </cell>
          <cell r="S33">
            <v>1066</v>
          </cell>
          <cell r="T33">
            <v>1089</v>
          </cell>
          <cell r="U33">
            <v>1069</v>
          </cell>
          <cell r="V33">
            <v>1137</v>
          </cell>
          <cell r="W33">
            <v>1215</v>
          </cell>
          <cell r="X33">
            <v>1271</v>
          </cell>
          <cell r="Y33">
            <v>1319</v>
          </cell>
          <cell r="Z33">
            <v>1294</v>
          </cell>
          <cell r="AA33">
            <v>2042</v>
          </cell>
          <cell r="AB33">
            <v>2180</v>
          </cell>
          <cell r="AC33">
            <v>2254</v>
          </cell>
          <cell r="AD33">
            <v>2283</v>
          </cell>
          <cell r="AE33">
            <v>1464</v>
          </cell>
          <cell r="AF33">
            <v>1457</v>
          </cell>
          <cell r="AG33">
            <v>1326</v>
          </cell>
          <cell r="AH33">
            <v>1256</v>
          </cell>
          <cell r="AI33">
            <v>1257</v>
          </cell>
          <cell r="AJ33">
            <v>0</v>
          </cell>
          <cell r="AK33">
            <v>0</v>
          </cell>
          <cell r="AL33">
            <v>0</v>
          </cell>
          <cell r="AM33">
            <v>0</v>
          </cell>
        </row>
        <row r="34">
          <cell r="A34" t="str">
            <v>AR Industrial Motor Gasoline</v>
          </cell>
          <cell r="C34" t="str">
            <v>Industrial Motor Gasoline</v>
          </cell>
          <cell r="D34">
            <v>2179</v>
          </cell>
          <cell r="E34">
            <v>2376</v>
          </cell>
          <cell r="F34">
            <v>2302</v>
          </cell>
          <cell r="G34">
            <v>2048</v>
          </cell>
          <cell r="H34">
            <v>2216</v>
          </cell>
          <cell r="I34">
            <v>2335</v>
          </cell>
          <cell r="J34">
            <v>2363</v>
          </cell>
          <cell r="K34">
            <v>2457</v>
          </cell>
          <cell r="L34">
            <v>3370</v>
          </cell>
          <cell r="M34">
            <v>2855</v>
          </cell>
          <cell r="N34">
            <v>2860</v>
          </cell>
          <cell r="O34">
            <v>4867</v>
          </cell>
          <cell r="P34">
            <v>5192</v>
          </cell>
          <cell r="Q34">
            <v>5565</v>
          </cell>
          <cell r="R34">
            <v>6532</v>
          </cell>
          <cell r="S34">
            <v>6323</v>
          </cell>
          <cell r="T34">
            <v>6924</v>
          </cell>
          <cell r="U34">
            <v>4878</v>
          </cell>
          <cell r="V34">
            <v>3468</v>
          </cell>
          <cell r="W34">
            <v>3383</v>
          </cell>
          <cell r="X34">
            <v>3550</v>
          </cell>
          <cell r="Y34">
            <v>3603</v>
          </cell>
          <cell r="Z34">
            <v>3314</v>
          </cell>
          <cell r="AA34">
            <v>3566</v>
          </cell>
          <cell r="AB34">
            <v>3052</v>
          </cell>
          <cell r="AC34">
            <v>3373</v>
          </cell>
          <cell r="AD34">
            <v>3569</v>
          </cell>
          <cell r="AE34">
            <v>3583</v>
          </cell>
          <cell r="AF34">
            <v>3671</v>
          </cell>
          <cell r="AG34">
            <v>3573</v>
          </cell>
          <cell r="AH34">
            <v>3617</v>
          </cell>
          <cell r="AI34">
            <v>3495</v>
          </cell>
          <cell r="AJ34">
            <v>0</v>
          </cell>
          <cell r="AK34">
            <v>0</v>
          </cell>
          <cell r="AL34">
            <v>0</v>
          </cell>
          <cell r="AM34">
            <v>0</v>
          </cell>
        </row>
        <row r="35">
          <cell r="A35" t="str">
            <v>AR Industrial Motor Gasoline Blending Components</v>
          </cell>
          <cell r="C35" t="str">
            <v>Industrial Motor Gasoline Blending Components</v>
          </cell>
          <cell r="D35">
            <v>193</v>
          </cell>
          <cell r="E35">
            <v>-105</v>
          </cell>
          <cell r="F35">
            <v>316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t="str">
            <v>AR Industrial Natural Gas</v>
          </cell>
          <cell r="C36" t="str">
            <v>Industrial Natural Gas</v>
          </cell>
          <cell r="D36">
            <v>121458.31609302055</v>
          </cell>
          <cell r="E36">
            <v>102143.42857205326</v>
          </cell>
          <cell r="F36">
            <v>118537.65520917575</v>
          </cell>
          <cell r="G36">
            <v>118905.04586999197</v>
          </cell>
          <cell r="H36">
            <v>131339.33924008213</v>
          </cell>
          <cell r="I36">
            <v>143588.50717640697</v>
          </cell>
          <cell r="J36">
            <v>140295.38314157582</v>
          </cell>
          <cell r="K36">
            <v>145909.8915144249</v>
          </cell>
          <cell r="L36">
            <v>144696.98900796712</v>
          </cell>
          <cell r="M36">
            <v>133596.01627414051</v>
          </cell>
          <cell r="N36">
            <v>128281.88375807885</v>
          </cell>
          <cell r="O36">
            <v>120378.69654127516</v>
          </cell>
          <cell r="P36">
            <v>117459.20376622384</v>
          </cell>
          <cell r="Q36">
            <v>111458.17265364589</v>
          </cell>
          <cell r="R36">
            <v>99199.423995840538</v>
          </cell>
          <cell r="S36">
            <v>87683.297862875319</v>
          </cell>
          <cell r="T36">
            <v>88405.833319320751</v>
          </cell>
          <cell r="U36">
            <v>84841.330786588878</v>
          </cell>
          <cell r="V36">
            <v>85670.128885183178</v>
          </cell>
          <cell r="W36">
            <v>80224.593090988405</v>
          </cell>
          <cell r="X36">
            <v>86363.756717144395</v>
          </cell>
          <cell r="Y36">
            <v>90010.768050389917</v>
          </cell>
          <cell r="Z36">
            <v>86425.64311751099</v>
          </cell>
          <cell r="AA36">
            <v>93012.614945308014</v>
          </cell>
          <cell r="AB36">
            <v>93994.128666181859</v>
          </cell>
          <cell r="AC36">
            <v>90058.749082933573</v>
          </cell>
          <cell r="AD36">
            <v>91275.149182860187</v>
          </cell>
          <cell r="AE36">
            <v>101932.8014453948</v>
          </cell>
          <cell r="AF36">
            <v>107455.51480505324</v>
          </cell>
          <cell r="AG36">
            <v>105871.04550814421</v>
          </cell>
          <cell r="AH36">
            <v>101967.27106309377</v>
          </cell>
          <cell r="AI36">
            <v>105343.74543828872</v>
          </cell>
          <cell r="AJ36">
            <v>0</v>
          </cell>
          <cell r="AK36">
            <v>0</v>
          </cell>
          <cell r="AL36">
            <v>0</v>
          </cell>
          <cell r="AM36">
            <v>0</v>
          </cell>
        </row>
        <row r="37">
          <cell r="A37" t="str">
            <v>AR Industrial Pentanes Plus</v>
          </cell>
          <cell r="C37" t="str">
            <v>Industrial Pentanes Plus</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t="str">
            <v>AR Industrial Petroleum Coke</v>
          </cell>
          <cell r="C38" t="str">
            <v>Industrial Petroleum Coke</v>
          </cell>
          <cell r="D38">
            <v>1517</v>
          </cell>
          <cell r="E38">
            <v>1449</v>
          </cell>
          <cell r="F38">
            <v>1589</v>
          </cell>
          <cell r="G38">
            <v>1723</v>
          </cell>
          <cell r="H38">
            <v>1609</v>
          </cell>
          <cell r="I38">
            <v>1576</v>
          </cell>
          <cell r="J38">
            <v>1644</v>
          </cell>
          <cell r="K38">
            <v>1645</v>
          </cell>
          <cell r="L38">
            <v>1611</v>
          </cell>
          <cell r="M38">
            <v>1605</v>
          </cell>
          <cell r="N38">
            <v>1673</v>
          </cell>
          <cell r="O38">
            <v>1647</v>
          </cell>
          <cell r="P38">
            <v>1630</v>
          </cell>
          <cell r="Q38">
            <v>1634</v>
          </cell>
          <cell r="R38">
            <v>1732</v>
          </cell>
          <cell r="S38">
            <v>1833</v>
          </cell>
          <cell r="T38">
            <v>1867</v>
          </cell>
          <cell r="U38">
            <v>1688</v>
          </cell>
          <cell r="V38">
            <v>1550</v>
          </cell>
          <cell r="W38">
            <v>1701</v>
          </cell>
          <cell r="X38">
            <v>1808</v>
          </cell>
          <cell r="Y38">
            <v>1762</v>
          </cell>
          <cell r="Z38">
            <v>1775</v>
          </cell>
          <cell r="AA38">
            <v>1622</v>
          </cell>
          <cell r="AB38">
            <v>1509</v>
          </cell>
          <cell r="AC38">
            <v>1540</v>
          </cell>
          <cell r="AD38">
            <v>1584</v>
          </cell>
          <cell r="AE38">
            <v>1433</v>
          </cell>
          <cell r="AF38">
            <v>1345</v>
          </cell>
          <cell r="AG38">
            <v>1358</v>
          </cell>
          <cell r="AH38">
            <v>1471</v>
          </cell>
          <cell r="AI38">
            <v>1327</v>
          </cell>
          <cell r="AJ38">
            <v>0</v>
          </cell>
          <cell r="AK38">
            <v>0</v>
          </cell>
          <cell r="AL38">
            <v>0</v>
          </cell>
          <cell r="AM38">
            <v>0</v>
          </cell>
        </row>
        <row r="39">
          <cell r="A39" t="str">
            <v>AR Industrial Residual Fuel</v>
          </cell>
          <cell r="C39" t="str">
            <v>Industrial Residual Fuel</v>
          </cell>
          <cell r="D39">
            <v>1189.5024211821942</v>
          </cell>
          <cell r="E39">
            <v>735.03353264310465</v>
          </cell>
          <cell r="F39">
            <v>141.59542821180824</v>
          </cell>
          <cell r="G39">
            <v>1189.629626798293</v>
          </cell>
          <cell r="H39">
            <v>1464.9275970676911</v>
          </cell>
          <cell r="I39">
            <v>1083.7742949938972</v>
          </cell>
          <cell r="J39">
            <v>610.82259464611172</v>
          </cell>
          <cell r="K39">
            <v>106.9854672566311</v>
          </cell>
          <cell r="L39">
            <v>15.830152148659291</v>
          </cell>
          <cell r="M39">
            <v>77.954806167549521</v>
          </cell>
          <cell r="N39">
            <v>44.295381444327163</v>
          </cell>
          <cell r="O39">
            <v>978.44431051108961</v>
          </cell>
          <cell r="P39">
            <v>224.40318347036145</v>
          </cell>
          <cell r="Q39">
            <v>920.73922717849382</v>
          </cell>
          <cell r="R39">
            <v>2199.9362100785261</v>
          </cell>
          <cell r="S39">
            <v>166.59892781116397</v>
          </cell>
          <cell r="T39">
            <v>20.642603985555702</v>
          </cell>
          <cell r="U39">
            <v>275.14864235480411</v>
          </cell>
          <cell r="V39">
            <v>166.77725923219808</v>
          </cell>
          <cell r="W39">
            <v>85.613469060005073</v>
          </cell>
          <cell r="X39">
            <v>1.077195697207177</v>
          </cell>
          <cell r="Y39">
            <v>51.562123401889934</v>
          </cell>
          <cell r="Z39">
            <v>0</v>
          </cell>
          <cell r="AA39">
            <v>0</v>
          </cell>
          <cell r="AB39">
            <v>0</v>
          </cell>
          <cell r="AC39">
            <v>0</v>
          </cell>
          <cell r="AD39">
            <v>0.2425641514833532</v>
          </cell>
          <cell r="AE39">
            <v>0</v>
          </cell>
          <cell r="AF39">
            <v>0</v>
          </cell>
          <cell r="AG39">
            <v>0</v>
          </cell>
          <cell r="AH39">
            <v>0</v>
          </cell>
          <cell r="AI39">
            <v>0</v>
          </cell>
          <cell r="AJ39">
            <v>0</v>
          </cell>
          <cell r="AK39">
            <v>0</v>
          </cell>
          <cell r="AL39">
            <v>0</v>
          </cell>
          <cell r="AM39">
            <v>0</v>
          </cell>
        </row>
        <row r="40">
          <cell r="A40" t="str">
            <v>AR Industrial Special Naphthas</v>
          </cell>
          <cell r="C40" t="str">
            <v>Industrial Special Naphthas</v>
          </cell>
          <cell r="D40">
            <v>1501</v>
          </cell>
          <cell r="E40">
            <v>250</v>
          </cell>
          <cell r="F40">
            <v>297</v>
          </cell>
          <cell r="G40">
            <v>297</v>
          </cell>
          <cell r="H40">
            <v>230</v>
          </cell>
          <cell r="I40">
            <v>201</v>
          </cell>
          <cell r="J40">
            <v>1098</v>
          </cell>
          <cell r="K40">
            <v>1064</v>
          </cell>
          <cell r="L40">
            <v>1580</v>
          </cell>
          <cell r="M40">
            <v>2141</v>
          </cell>
          <cell r="N40">
            <v>1434</v>
          </cell>
          <cell r="O40">
            <v>617</v>
          </cell>
          <cell r="P40">
            <v>805</v>
          </cell>
          <cell r="Q40">
            <v>633</v>
          </cell>
          <cell r="R40">
            <v>401</v>
          </cell>
          <cell r="S40">
            <v>491</v>
          </cell>
          <cell r="T40">
            <v>270</v>
          </cell>
          <cell r="U40">
            <v>300</v>
          </cell>
          <cell r="V40">
            <v>327</v>
          </cell>
          <cell r="W40">
            <v>178</v>
          </cell>
          <cell r="X40">
            <v>101</v>
          </cell>
          <cell r="Y40">
            <v>87</v>
          </cell>
          <cell r="Z40">
            <v>57</v>
          </cell>
          <cell r="AA40">
            <v>448</v>
          </cell>
          <cell r="AB40">
            <v>475</v>
          </cell>
          <cell r="AC40">
            <v>444</v>
          </cell>
          <cell r="AD40">
            <v>419</v>
          </cell>
          <cell r="AE40">
            <v>307</v>
          </cell>
          <cell r="AF40">
            <v>282</v>
          </cell>
          <cell r="AG40">
            <v>293</v>
          </cell>
          <cell r="AH40">
            <v>265</v>
          </cell>
          <cell r="AI40">
            <v>248</v>
          </cell>
          <cell r="AJ40">
            <v>0</v>
          </cell>
          <cell r="AK40">
            <v>0</v>
          </cell>
          <cell r="AL40">
            <v>0</v>
          </cell>
          <cell r="AM40">
            <v>0</v>
          </cell>
        </row>
        <row r="41">
          <cell r="A41" t="str">
            <v>AR Industrial Still Gas</v>
          </cell>
          <cell r="C41" t="str">
            <v>Industrial Still Gas</v>
          </cell>
          <cell r="D41">
            <v>5308</v>
          </cell>
          <cell r="E41">
            <v>5786</v>
          </cell>
          <cell r="F41">
            <v>6042</v>
          </cell>
          <cell r="G41">
            <v>6118</v>
          </cell>
          <cell r="H41">
            <v>6099</v>
          </cell>
          <cell r="I41">
            <v>6005</v>
          </cell>
          <cell r="J41">
            <v>6149</v>
          </cell>
          <cell r="K41">
            <v>6044</v>
          </cell>
          <cell r="L41">
            <v>5807</v>
          </cell>
          <cell r="M41">
            <v>5304</v>
          </cell>
          <cell r="N41">
            <v>5453</v>
          </cell>
          <cell r="O41">
            <v>5850</v>
          </cell>
          <cell r="P41">
            <v>6187</v>
          </cell>
          <cell r="Q41">
            <v>6398</v>
          </cell>
          <cell r="R41">
            <v>6982</v>
          </cell>
          <cell r="S41">
            <v>7038</v>
          </cell>
          <cell r="T41">
            <v>7055</v>
          </cell>
          <cell r="U41">
            <v>6869</v>
          </cell>
          <cell r="V41">
            <v>6581</v>
          </cell>
          <cell r="W41">
            <v>7124</v>
          </cell>
          <cell r="X41">
            <v>7169</v>
          </cell>
          <cell r="Y41">
            <v>7879</v>
          </cell>
          <cell r="Z41">
            <v>8048</v>
          </cell>
          <cell r="AA41">
            <v>7847</v>
          </cell>
          <cell r="AB41">
            <v>7690</v>
          </cell>
          <cell r="AC41">
            <v>7456</v>
          </cell>
          <cell r="AD41">
            <v>7868</v>
          </cell>
          <cell r="AE41">
            <v>7715</v>
          </cell>
          <cell r="AF41">
            <v>7800</v>
          </cell>
          <cell r="AG41">
            <v>7402</v>
          </cell>
          <cell r="AH41">
            <v>7070</v>
          </cell>
          <cell r="AI41">
            <v>6504</v>
          </cell>
          <cell r="AJ41">
            <v>0</v>
          </cell>
          <cell r="AK41">
            <v>0</v>
          </cell>
          <cell r="AL41">
            <v>0</v>
          </cell>
          <cell r="AM41">
            <v>0</v>
          </cell>
        </row>
        <row r="42">
          <cell r="A42" t="str">
            <v>AR Industrial Unfinished Oils</v>
          </cell>
          <cell r="C42" t="str">
            <v>Industrial Unfinished Oils</v>
          </cell>
          <cell r="D42">
            <v>-1329</v>
          </cell>
          <cell r="E42">
            <v>-1826</v>
          </cell>
          <cell r="F42">
            <v>-1482</v>
          </cell>
          <cell r="G42">
            <v>-1694</v>
          </cell>
          <cell r="H42">
            <v>-1183</v>
          </cell>
          <cell r="I42">
            <v>-1360</v>
          </cell>
          <cell r="J42">
            <v>-483</v>
          </cell>
          <cell r="K42">
            <v>-430</v>
          </cell>
          <cell r="L42">
            <v>-1269</v>
          </cell>
          <cell r="M42">
            <v>-1063</v>
          </cell>
          <cell r="N42">
            <v>-1511</v>
          </cell>
          <cell r="O42">
            <v>-301</v>
          </cell>
          <cell r="P42">
            <v>-575</v>
          </cell>
          <cell r="Q42">
            <v>-210</v>
          </cell>
          <cell r="R42">
            <v>-341</v>
          </cell>
          <cell r="S42">
            <v>13</v>
          </cell>
          <cell r="T42">
            <v>319</v>
          </cell>
          <cell r="U42">
            <v>293</v>
          </cell>
          <cell r="V42">
            <v>-240</v>
          </cell>
          <cell r="W42">
            <v>-381</v>
          </cell>
          <cell r="X42">
            <v>136</v>
          </cell>
          <cell r="Y42">
            <v>297</v>
          </cell>
          <cell r="Z42">
            <v>327</v>
          </cell>
          <cell r="AA42">
            <v>85</v>
          </cell>
          <cell r="AB42">
            <v>-409</v>
          </cell>
          <cell r="AC42">
            <v>-89</v>
          </cell>
          <cell r="AD42">
            <v>42</v>
          </cell>
          <cell r="AE42">
            <v>372</v>
          </cell>
          <cell r="AF42">
            <v>149</v>
          </cell>
          <cell r="AG42">
            <v>656</v>
          </cell>
          <cell r="AH42">
            <v>959</v>
          </cell>
          <cell r="AI42">
            <v>216</v>
          </cell>
          <cell r="AJ42">
            <v>0</v>
          </cell>
          <cell r="AK42">
            <v>0</v>
          </cell>
          <cell r="AL42">
            <v>0</v>
          </cell>
          <cell r="AM42">
            <v>0</v>
          </cell>
        </row>
        <row r="43">
          <cell r="A43" t="str">
            <v>AR Industrial Waxes</v>
          </cell>
          <cell r="C43" t="str">
            <v>Industrial Waxes</v>
          </cell>
          <cell r="D43">
            <v>884</v>
          </cell>
          <cell r="E43">
            <v>647</v>
          </cell>
          <cell r="F43">
            <v>686</v>
          </cell>
          <cell r="G43">
            <v>737</v>
          </cell>
          <cell r="H43">
            <v>747</v>
          </cell>
          <cell r="I43">
            <v>748</v>
          </cell>
          <cell r="J43">
            <v>1029</v>
          </cell>
          <cell r="K43">
            <v>925</v>
          </cell>
          <cell r="L43">
            <v>896</v>
          </cell>
          <cell r="M43">
            <v>791</v>
          </cell>
          <cell r="N43">
            <v>699</v>
          </cell>
          <cell r="O43">
            <v>613</v>
          </cell>
          <cell r="P43">
            <v>543</v>
          </cell>
          <cell r="Q43">
            <v>524</v>
          </cell>
          <cell r="R43">
            <v>519</v>
          </cell>
          <cell r="S43">
            <v>529</v>
          </cell>
          <cell r="T43">
            <v>375</v>
          </cell>
          <cell r="U43">
            <v>314</v>
          </cell>
          <cell r="V43">
            <v>274</v>
          </cell>
          <cell r="W43">
            <v>175</v>
          </cell>
          <cell r="X43">
            <v>245</v>
          </cell>
          <cell r="Y43">
            <v>216</v>
          </cell>
          <cell r="Z43">
            <v>219</v>
          </cell>
          <cell r="AA43">
            <v>224</v>
          </cell>
          <cell r="AB43">
            <v>201</v>
          </cell>
          <cell r="AC43">
            <v>168</v>
          </cell>
          <cell r="AD43">
            <v>175</v>
          </cell>
          <cell r="AE43">
            <v>127</v>
          </cell>
          <cell r="AF43">
            <v>155</v>
          </cell>
          <cell r="AG43">
            <v>130</v>
          </cell>
          <cell r="AH43">
            <v>115</v>
          </cell>
          <cell r="AI43">
            <v>148</v>
          </cell>
          <cell r="AJ43">
            <v>0</v>
          </cell>
          <cell r="AK43">
            <v>0</v>
          </cell>
          <cell r="AL43">
            <v>0</v>
          </cell>
          <cell r="AM43">
            <v>0</v>
          </cell>
        </row>
        <row r="44">
          <cell r="A44" t="str">
            <v>AR Industrial Wood</v>
          </cell>
          <cell r="C44" t="str">
            <v>Industrial Wood</v>
          </cell>
          <cell r="D44">
            <v>66121</v>
          </cell>
          <cell r="E44">
            <v>66713</v>
          </cell>
          <cell r="F44">
            <v>71440</v>
          </cell>
          <cell r="G44">
            <v>78742</v>
          </cell>
          <cell r="H44">
            <v>74711</v>
          </cell>
          <cell r="I44">
            <v>75594</v>
          </cell>
          <cell r="J44">
            <v>80348</v>
          </cell>
          <cell r="K44">
            <v>82843</v>
          </cell>
          <cell r="L44">
            <v>78275</v>
          </cell>
          <cell r="M44">
            <v>78436</v>
          </cell>
          <cell r="N44">
            <v>79703</v>
          </cell>
          <cell r="O44">
            <v>63374</v>
          </cell>
          <cell r="P44">
            <v>69539</v>
          </cell>
          <cell r="Q44">
            <v>69793</v>
          </cell>
          <cell r="R44">
            <v>69934</v>
          </cell>
          <cell r="S44">
            <v>71873</v>
          </cell>
          <cell r="T44">
            <v>76365</v>
          </cell>
          <cell r="U44">
            <v>78793</v>
          </cell>
          <cell r="V44">
            <v>66550</v>
          </cell>
          <cell r="W44">
            <v>69646</v>
          </cell>
          <cell r="X44">
            <v>74685</v>
          </cell>
          <cell r="Y44">
            <v>77673</v>
          </cell>
          <cell r="Z44">
            <v>77744</v>
          </cell>
          <cell r="AA44">
            <v>75715</v>
          </cell>
          <cell r="AB44">
            <v>74245</v>
          </cell>
          <cell r="AC44">
            <v>68082</v>
          </cell>
          <cell r="AD44">
            <v>64684</v>
          </cell>
          <cell r="AE44">
            <v>66586</v>
          </cell>
          <cell r="AF44">
            <v>65701</v>
          </cell>
          <cell r="AG44">
            <v>64256</v>
          </cell>
          <cell r="AH44">
            <v>49471</v>
          </cell>
          <cell r="AI44">
            <v>49589</v>
          </cell>
          <cell r="AJ44">
            <v>0</v>
          </cell>
          <cell r="AK44">
            <v>0</v>
          </cell>
          <cell r="AL44">
            <v>0</v>
          </cell>
          <cell r="AM44">
            <v>0</v>
          </cell>
        </row>
        <row r="45">
          <cell r="A45" t="str">
            <v>AR Industrial Other Coal</v>
          </cell>
          <cell r="C45" t="str">
            <v>Industrial Other Coal</v>
          </cell>
          <cell r="D45">
            <v>5708.266625324728</v>
          </cell>
          <cell r="E45">
            <v>6614.4561042883188</v>
          </cell>
          <cell r="F45">
            <v>6846.2551248094669</v>
          </cell>
          <cell r="G45">
            <v>7596.1741286909291</v>
          </cell>
          <cell r="H45">
            <v>8473.9373181078645</v>
          </cell>
          <cell r="I45">
            <v>7609.0061579927669</v>
          </cell>
          <cell r="J45">
            <v>7882.0944612044332</v>
          </cell>
          <cell r="K45">
            <v>6585.1192410154581</v>
          </cell>
          <cell r="L45">
            <v>6765.9976606818982</v>
          </cell>
          <cell r="M45">
            <v>7682.4585884174649</v>
          </cell>
          <cell r="N45">
            <v>9026.3128972187806</v>
          </cell>
          <cell r="O45">
            <v>10295.761984759938</v>
          </cell>
          <cell r="P45">
            <v>9778.1348365542744</v>
          </cell>
          <cell r="Q45">
            <v>9465.0892798129371</v>
          </cell>
          <cell r="R45">
            <v>9395.3634299830956</v>
          </cell>
          <cell r="S45">
            <v>8712.2898103086882</v>
          </cell>
          <cell r="T45">
            <v>8529.3682379716847</v>
          </cell>
          <cell r="U45">
            <v>9121.5054717626845</v>
          </cell>
          <cell r="V45">
            <v>8925.810316383453</v>
          </cell>
          <cell r="W45">
            <v>6980.4207514864465</v>
          </cell>
          <cell r="X45">
            <v>6771.116671635581</v>
          </cell>
          <cell r="Y45">
            <v>5117.9015946624486</v>
          </cell>
          <cell r="Z45">
            <v>4667.8952332339331</v>
          </cell>
          <cell r="AA45">
            <v>4609.5479792929264</v>
          </cell>
          <cell r="AB45">
            <v>4977.2911190431641</v>
          </cell>
          <cell r="AC45">
            <v>4248.1547314459895</v>
          </cell>
          <cell r="AD45">
            <v>4414.6928885368579</v>
          </cell>
          <cell r="AE45">
            <v>4221.1381382842355</v>
          </cell>
          <cell r="AF45">
            <v>3590.9698633555126</v>
          </cell>
          <cell r="AG45">
            <v>3535.2838343507356</v>
          </cell>
          <cell r="AH45">
            <v>2972.861699080499</v>
          </cell>
          <cell r="AI45">
            <v>2976.034841468103</v>
          </cell>
          <cell r="AJ45">
            <v>0</v>
          </cell>
          <cell r="AK45">
            <v>0</v>
          </cell>
          <cell r="AL45">
            <v>0</v>
          </cell>
          <cell r="AM45">
            <v>0</v>
          </cell>
        </row>
        <row r="46">
          <cell r="A46" t="str">
            <v>AR Industrial Other</v>
          </cell>
          <cell r="C46" t="str">
            <v>Industrial Other</v>
          </cell>
        </row>
        <row r="47">
          <cell r="A47" t="str">
            <v>AR Residential Coal</v>
          </cell>
          <cell r="C47" t="str">
            <v>Residential Coal</v>
          </cell>
          <cell r="D47">
            <v>1</v>
          </cell>
          <cell r="E47">
            <v>2</v>
          </cell>
          <cell r="F47">
            <v>9</v>
          </cell>
          <cell r="G47">
            <v>4</v>
          </cell>
          <cell r="H47">
            <v>1</v>
          </cell>
          <cell r="I47">
            <v>0</v>
          </cell>
          <cell r="J47">
            <v>0</v>
          </cell>
          <cell r="K47">
            <v>0</v>
          </cell>
          <cell r="L47">
            <v>0</v>
          </cell>
          <cell r="M47">
            <v>0</v>
          </cell>
          <cell r="N47">
            <v>0</v>
          </cell>
          <cell r="O47">
            <v>0</v>
          </cell>
          <cell r="P47">
            <v>0</v>
          </cell>
          <cell r="Q47">
            <v>0</v>
          </cell>
          <cell r="R47">
            <v>0</v>
          </cell>
          <cell r="S47">
            <v>0</v>
          </cell>
          <cell r="T47">
            <v>0</v>
          </cell>
          <cell r="U47">
            <v>3</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t="str">
            <v>AR Residential Distillate Fuel</v>
          </cell>
          <cell r="C48" t="str">
            <v>Residential Distillate Fuel</v>
          </cell>
          <cell r="D48">
            <v>2</v>
          </cell>
          <cell r="E48">
            <v>3</v>
          </cell>
          <cell r="F48">
            <v>55</v>
          </cell>
          <cell r="G48">
            <v>3</v>
          </cell>
          <cell r="H48">
            <v>5</v>
          </cell>
          <cell r="I48">
            <v>12</v>
          </cell>
          <cell r="J48">
            <v>5</v>
          </cell>
          <cell r="K48">
            <v>4</v>
          </cell>
          <cell r="L48">
            <v>3</v>
          </cell>
          <cell r="M48">
            <v>5</v>
          </cell>
          <cell r="N48">
            <v>4</v>
          </cell>
          <cell r="O48">
            <v>5</v>
          </cell>
          <cell r="P48">
            <v>50</v>
          </cell>
          <cell r="Q48">
            <v>21</v>
          </cell>
          <cell r="R48">
            <v>32</v>
          </cell>
          <cell r="S48">
            <v>9</v>
          </cell>
          <cell r="T48">
            <v>15</v>
          </cell>
          <cell r="U48">
            <v>18</v>
          </cell>
          <cell r="V48">
            <v>9</v>
          </cell>
          <cell r="W48">
            <v>23</v>
          </cell>
          <cell r="X48">
            <v>55</v>
          </cell>
          <cell r="Y48">
            <v>58</v>
          </cell>
          <cell r="Z48">
            <v>25</v>
          </cell>
          <cell r="AA48">
            <v>24</v>
          </cell>
          <cell r="AB48">
            <v>31</v>
          </cell>
          <cell r="AC48">
            <v>49</v>
          </cell>
          <cell r="AD48">
            <v>75</v>
          </cell>
          <cell r="AE48">
            <v>48</v>
          </cell>
          <cell r="AF48">
            <v>43</v>
          </cell>
          <cell r="AG48">
            <v>4</v>
          </cell>
          <cell r="AH48">
            <v>17</v>
          </cell>
          <cell r="AI48">
            <v>39</v>
          </cell>
          <cell r="AJ48">
            <v>0</v>
          </cell>
          <cell r="AK48">
            <v>0</v>
          </cell>
          <cell r="AL48">
            <v>0</v>
          </cell>
          <cell r="AM48">
            <v>0</v>
          </cell>
        </row>
        <row r="49">
          <cell r="A49" t="str">
            <v>AR Residential Kerosene</v>
          </cell>
          <cell r="C49" t="str">
            <v>Residential Kerosene</v>
          </cell>
          <cell r="D49">
            <v>112</v>
          </cell>
          <cell r="E49">
            <v>79</v>
          </cell>
          <cell r="F49">
            <v>42</v>
          </cell>
          <cell r="G49">
            <v>56</v>
          </cell>
          <cell r="H49">
            <v>37</v>
          </cell>
          <cell r="I49">
            <v>79</v>
          </cell>
          <cell r="J49">
            <v>67</v>
          </cell>
          <cell r="K49">
            <v>107</v>
          </cell>
          <cell r="L49">
            <v>85</v>
          </cell>
          <cell r="M49">
            <v>203</v>
          </cell>
          <cell r="N49">
            <v>141</v>
          </cell>
          <cell r="O49">
            <v>137</v>
          </cell>
          <cell r="P49">
            <v>111</v>
          </cell>
          <cell r="Q49">
            <v>92</v>
          </cell>
          <cell r="R49">
            <v>61</v>
          </cell>
          <cell r="S49">
            <v>77</v>
          </cell>
          <cell r="T49">
            <v>52</v>
          </cell>
          <cell r="U49">
            <v>35</v>
          </cell>
          <cell r="V49">
            <v>13</v>
          </cell>
          <cell r="W49">
            <v>26</v>
          </cell>
          <cell r="X49">
            <v>31</v>
          </cell>
          <cell r="Y49">
            <v>12</v>
          </cell>
          <cell r="Z49">
            <v>5</v>
          </cell>
          <cell r="AA49">
            <v>7</v>
          </cell>
          <cell r="AB49">
            <v>16</v>
          </cell>
          <cell r="AC49">
            <v>9</v>
          </cell>
          <cell r="AD49">
            <v>7</v>
          </cell>
          <cell r="AE49">
            <v>2</v>
          </cell>
          <cell r="AF49">
            <v>3</v>
          </cell>
          <cell r="AG49">
            <v>4</v>
          </cell>
          <cell r="AH49">
            <v>3</v>
          </cell>
          <cell r="AI49">
            <v>5</v>
          </cell>
          <cell r="AJ49">
            <v>0</v>
          </cell>
          <cell r="AK49">
            <v>0</v>
          </cell>
          <cell r="AL49">
            <v>0</v>
          </cell>
          <cell r="AM49">
            <v>0</v>
          </cell>
        </row>
        <row r="50">
          <cell r="A50" t="str">
            <v>AR Residential Hydrocarbon Gas Liquids</v>
          </cell>
          <cell r="C50" t="str">
            <v>Residential Hydrocarbon Gas Liquids</v>
          </cell>
          <cell r="D50">
            <v>6807</v>
          </cell>
          <cell r="E50">
            <v>6156</v>
          </cell>
          <cell r="F50">
            <v>5512</v>
          </cell>
          <cell r="G50">
            <v>6282</v>
          </cell>
          <cell r="H50">
            <v>6138</v>
          </cell>
          <cell r="I50">
            <v>5507</v>
          </cell>
          <cell r="J50">
            <v>5482</v>
          </cell>
          <cell r="K50">
            <v>5800</v>
          </cell>
          <cell r="L50">
            <v>4299</v>
          </cell>
          <cell r="M50">
            <v>11135</v>
          </cell>
          <cell r="N50">
            <v>9879</v>
          </cell>
          <cell r="O50">
            <v>10386</v>
          </cell>
          <cell r="P50">
            <v>7769</v>
          </cell>
          <cell r="Q50">
            <v>6459</v>
          </cell>
          <cell r="R50">
            <v>6180</v>
          </cell>
          <cell r="S50">
            <v>5610</v>
          </cell>
          <cell r="T50">
            <v>5535</v>
          </cell>
          <cell r="U50">
            <v>5440</v>
          </cell>
          <cell r="V50">
            <v>6901</v>
          </cell>
          <cell r="W50">
            <v>6797</v>
          </cell>
          <cell r="X50">
            <v>6049</v>
          </cell>
          <cell r="Y50">
            <v>5063</v>
          </cell>
          <cell r="Z50">
            <v>3819</v>
          </cell>
          <cell r="AA50">
            <v>5092</v>
          </cell>
          <cell r="AB50">
            <v>4964</v>
          </cell>
          <cell r="AC50">
            <v>4198</v>
          </cell>
          <cell r="AD50">
            <v>3198</v>
          </cell>
          <cell r="AE50">
            <v>2949</v>
          </cell>
          <cell r="AF50">
            <v>3993</v>
          </cell>
          <cell r="AG50">
            <v>4095</v>
          </cell>
          <cell r="AH50">
            <v>4191</v>
          </cell>
          <cell r="AI50">
            <v>3983</v>
          </cell>
          <cell r="AJ50">
            <v>0</v>
          </cell>
          <cell r="AK50">
            <v>0</v>
          </cell>
          <cell r="AL50">
            <v>0</v>
          </cell>
          <cell r="AM50">
            <v>0</v>
          </cell>
        </row>
        <row r="51">
          <cell r="A51" t="str">
            <v>AR Residential Natural Gas</v>
          </cell>
          <cell r="C51" t="str">
            <v>Residential Natural Gas</v>
          </cell>
          <cell r="D51">
            <v>39486</v>
          </cell>
          <cell r="E51">
            <v>41312</v>
          </cell>
          <cell r="F51">
            <v>39743</v>
          </cell>
          <cell r="G51">
            <v>46117</v>
          </cell>
          <cell r="H51">
            <v>42431</v>
          </cell>
          <cell r="I51">
            <v>44579</v>
          </cell>
          <cell r="J51">
            <v>47509</v>
          </cell>
          <cell r="K51">
            <v>43019</v>
          </cell>
          <cell r="L51">
            <v>39139</v>
          </cell>
          <cell r="M51">
            <v>36894</v>
          </cell>
          <cell r="N51">
            <v>43159</v>
          </cell>
          <cell r="O51">
            <v>37695</v>
          </cell>
          <cell r="P51">
            <v>40085</v>
          </cell>
          <cell r="Q51">
            <v>39161</v>
          </cell>
          <cell r="R51">
            <v>35078</v>
          </cell>
          <cell r="S51">
            <v>33927</v>
          </cell>
          <cell r="T51">
            <v>32467</v>
          </cell>
          <cell r="U51">
            <v>33041</v>
          </cell>
          <cell r="V51">
            <v>36028</v>
          </cell>
          <cell r="W51">
            <v>33635</v>
          </cell>
          <cell r="X51">
            <v>36509</v>
          </cell>
          <cell r="Y51">
            <v>34241</v>
          </cell>
          <cell r="Z51">
            <v>26454</v>
          </cell>
          <cell r="AA51">
            <v>35663</v>
          </cell>
          <cell r="AB51">
            <v>38558</v>
          </cell>
          <cell r="AC51">
            <v>33463</v>
          </cell>
          <cell r="AD51">
            <v>27469</v>
          </cell>
          <cell r="AE51">
            <v>26080</v>
          </cell>
          <cell r="AF51">
            <v>35466</v>
          </cell>
          <cell r="AG51">
            <v>34175</v>
          </cell>
          <cell r="AH51">
            <v>30704</v>
          </cell>
          <cell r="AI51">
            <v>34276</v>
          </cell>
          <cell r="AJ51">
            <v>0</v>
          </cell>
          <cell r="AK51">
            <v>0</v>
          </cell>
          <cell r="AL51">
            <v>0</v>
          </cell>
          <cell r="AM51">
            <v>0</v>
          </cell>
        </row>
        <row r="52">
          <cell r="A52" t="str">
            <v>AR Residential Wood</v>
          </cell>
          <cell r="C52" t="str">
            <v>Residential Wood</v>
          </cell>
          <cell r="D52">
            <v>3161</v>
          </cell>
          <cell r="E52">
            <v>3313</v>
          </cell>
          <cell r="F52">
            <v>3476</v>
          </cell>
          <cell r="G52">
            <v>4830</v>
          </cell>
          <cell r="H52">
            <v>4585</v>
          </cell>
          <cell r="I52">
            <v>4585</v>
          </cell>
          <cell r="J52">
            <v>4761</v>
          </cell>
          <cell r="K52">
            <v>2347</v>
          </cell>
          <cell r="L52">
            <v>2086</v>
          </cell>
          <cell r="M52">
            <v>2141</v>
          </cell>
          <cell r="N52">
            <v>2306</v>
          </cell>
          <cell r="O52">
            <v>2227</v>
          </cell>
          <cell r="P52">
            <v>2261</v>
          </cell>
          <cell r="Q52">
            <v>2380</v>
          </cell>
          <cell r="R52">
            <v>2439</v>
          </cell>
          <cell r="S52">
            <v>5603</v>
          </cell>
          <cell r="T52">
            <v>4969</v>
          </cell>
          <cell r="U52">
            <v>5492</v>
          </cell>
          <cell r="V52">
            <v>6146</v>
          </cell>
          <cell r="W52">
            <v>9580</v>
          </cell>
          <cell r="X52">
            <v>10275</v>
          </cell>
          <cell r="Y52">
            <v>9966</v>
          </cell>
          <cell r="Z52">
            <v>8328</v>
          </cell>
          <cell r="AA52">
            <v>10867</v>
          </cell>
          <cell r="AB52">
            <v>10997</v>
          </cell>
          <cell r="AC52">
            <v>6398</v>
          </cell>
          <cell r="AD52">
            <v>5184</v>
          </cell>
          <cell r="AE52">
            <v>4365</v>
          </cell>
          <cell r="AF52">
            <v>6858</v>
          </cell>
          <cell r="AG52">
            <v>6913</v>
          </cell>
          <cell r="AH52">
            <v>5314</v>
          </cell>
          <cell r="AI52">
            <v>4896</v>
          </cell>
          <cell r="AJ52">
            <v>0</v>
          </cell>
          <cell r="AK52">
            <v>0</v>
          </cell>
          <cell r="AL52">
            <v>0</v>
          </cell>
          <cell r="AM52">
            <v>0</v>
          </cell>
        </row>
        <row r="53">
          <cell r="A53" t="str">
            <v>AR Residential Other</v>
          </cell>
          <cell r="C53" t="str">
            <v>Residential Other</v>
          </cell>
        </row>
        <row r="54">
          <cell r="A54" t="str">
            <v>AR Transportation Aviation Gasoline</v>
          </cell>
          <cell r="C54" t="str">
            <v>Transportation Aviation Gasoline</v>
          </cell>
          <cell r="D54">
            <v>631</v>
          </cell>
          <cell r="E54">
            <v>726</v>
          </cell>
          <cell r="F54">
            <v>768</v>
          </cell>
          <cell r="G54">
            <v>679</v>
          </cell>
          <cell r="H54">
            <v>791</v>
          </cell>
          <cell r="I54">
            <v>723</v>
          </cell>
          <cell r="J54">
            <v>613</v>
          </cell>
          <cell r="K54">
            <v>682</v>
          </cell>
          <cell r="L54">
            <v>617</v>
          </cell>
          <cell r="M54">
            <v>596</v>
          </cell>
          <cell r="N54">
            <v>471</v>
          </cell>
          <cell r="O54">
            <v>922</v>
          </cell>
          <cell r="P54">
            <v>598</v>
          </cell>
          <cell r="Q54">
            <v>522</v>
          </cell>
          <cell r="R54">
            <v>643</v>
          </cell>
          <cell r="S54">
            <v>339</v>
          </cell>
          <cell r="T54">
            <v>559</v>
          </cell>
          <cell r="U54">
            <v>553</v>
          </cell>
          <cell r="V54">
            <v>440</v>
          </cell>
          <cell r="W54">
            <v>557</v>
          </cell>
          <cell r="X54">
            <v>434</v>
          </cell>
          <cell r="Y54">
            <v>407</v>
          </cell>
          <cell r="Z54">
            <v>414</v>
          </cell>
          <cell r="AA54">
            <v>354</v>
          </cell>
          <cell r="AB54">
            <v>196</v>
          </cell>
          <cell r="AC54">
            <v>242</v>
          </cell>
          <cell r="AD54">
            <v>242</v>
          </cell>
          <cell r="AE54">
            <v>243</v>
          </cell>
          <cell r="AF54">
            <v>237</v>
          </cell>
          <cell r="AG54">
            <v>244</v>
          </cell>
          <cell r="AH54">
            <v>225</v>
          </cell>
          <cell r="AI54">
            <v>245</v>
          </cell>
          <cell r="AJ54">
            <v>0</v>
          </cell>
          <cell r="AK54">
            <v>0</v>
          </cell>
          <cell r="AL54">
            <v>0</v>
          </cell>
          <cell r="AM54">
            <v>0</v>
          </cell>
        </row>
        <row r="55">
          <cell r="A55" t="str">
            <v>AR Transportation Distillate Fuel</v>
          </cell>
          <cell r="C55" t="str">
            <v>Transportation Distillate Fuel</v>
          </cell>
          <cell r="D55">
            <v>56629</v>
          </cell>
          <cell r="E55">
            <v>57962</v>
          </cell>
          <cell r="F55">
            <v>57886</v>
          </cell>
          <cell r="G55">
            <v>62549</v>
          </cell>
          <cell r="H55">
            <v>71483</v>
          </cell>
          <cell r="I55">
            <v>73149</v>
          </cell>
          <cell r="J55">
            <v>76046</v>
          </cell>
          <cell r="K55">
            <v>79046</v>
          </cell>
          <cell r="L55">
            <v>83476</v>
          </cell>
          <cell r="M55">
            <v>80444</v>
          </cell>
          <cell r="N55">
            <v>83479</v>
          </cell>
          <cell r="O55">
            <v>90968</v>
          </cell>
          <cell r="P55">
            <v>97823</v>
          </cell>
          <cell r="Q55">
            <v>96381</v>
          </cell>
          <cell r="R55">
            <v>100007</v>
          </cell>
          <cell r="S55">
            <v>97389</v>
          </cell>
          <cell r="T55">
            <v>95916</v>
          </cell>
          <cell r="U55">
            <v>97317</v>
          </cell>
          <cell r="V55">
            <v>94981</v>
          </cell>
          <cell r="W55">
            <v>94337</v>
          </cell>
          <cell r="X55">
            <v>97842</v>
          </cell>
          <cell r="Y55">
            <v>99064</v>
          </cell>
          <cell r="Z55">
            <v>90155</v>
          </cell>
          <cell r="AA55">
            <v>91015</v>
          </cell>
          <cell r="AB55">
            <v>89026</v>
          </cell>
          <cell r="AC55">
            <v>88795</v>
          </cell>
          <cell r="AD55">
            <v>89470</v>
          </cell>
          <cell r="AE55">
            <v>92883</v>
          </cell>
          <cell r="AF55">
            <v>97731</v>
          </cell>
          <cell r="AG55">
            <v>95310</v>
          </cell>
          <cell r="AH55">
            <v>94234</v>
          </cell>
          <cell r="AI55">
            <v>96959</v>
          </cell>
          <cell r="AJ55">
            <v>0</v>
          </cell>
          <cell r="AK55">
            <v>0</v>
          </cell>
          <cell r="AL55">
            <v>0</v>
          </cell>
          <cell r="AM55">
            <v>0</v>
          </cell>
        </row>
        <row r="56">
          <cell r="A56" t="str">
            <v>AR Transportation Ethanol</v>
          </cell>
          <cell r="C56" t="str">
            <v>Transportation Ethanol</v>
          </cell>
          <cell r="D56">
            <v>498</v>
          </cell>
          <cell r="E56">
            <v>314</v>
          </cell>
          <cell r="F56">
            <v>222</v>
          </cell>
          <cell r="G56">
            <v>155</v>
          </cell>
          <cell r="H56">
            <v>28</v>
          </cell>
          <cell r="I56">
            <v>31</v>
          </cell>
          <cell r="J56">
            <v>2</v>
          </cell>
          <cell r="K56">
            <v>0</v>
          </cell>
          <cell r="L56">
            <v>0</v>
          </cell>
          <cell r="M56">
            <v>0</v>
          </cell>
          <cell r="N56">
            <v>0</v>
          </cell>
          <cell r="O56">
            <v>0</v>
          </cell>
          <cell r="P56">
            <v>0</v>
          </cell>
          <cell r="Q56">
            <v>0</v>
          </cell>
          <cell r="R56">
            <v>0</v>
          </cell>
          <cell r="S56">
            <v>93</v>
          </cell>
          <cell r="T56">
            <v>86</v>
          </cell>
          <cell r="U56">
            <v>278</v>
          </cell>
          <cell r="V56">
            <v>2250</v>
          </cell>
          <cell r="W56">
            <v>5855</v>
          </cell>
          <cell r="X56">
            <v>12507</v>
          </cell>
          <cell r="Y56">
            <v>11778</v>
          </cell>
          <cell r="Z56">
            <v>11457</v>
          </cell>
          <cell r="AA56">
            <v>11575</v>
          </cell>
          <cell r="AB56">
            <v>12076</v>
          </cell>
          <cell r="AC56">
            <v>12136</v>
          </cell>
          <cell r="AD56">
            <v>12551</v>
          </cell>
          <cell r="AE56">
            <v>12588</v>
          </cell>
          <cell r="AF56">
            <v>11637</v>
          </cell>
          <cell r="AG56">
            <v>11589</v>
          </cell>
          <cell r="AH56">
            <v>10351</v>
          </cell>
          <cell r="AI56">
            <v>11596</v>
          </cell>
          <cell r="AJ56">
            <v>0</v>
          </cell>
          <cell r="AK56">
            <v>0</v>
          </cell>
          <cell r="AL56">
            <v>0</v>
          </cell>
          <cell r="AM56">
            <v>0</v>
          </cell>
        </row>
        <row r="57">
          <cell r="A57" t="str">
            <v>AR Transportation Jet Fuel, Kerosene</v>
          </cell>
          <cell r="C57" t="str">
            <v>Transportation Jet Fuel, Kerosene</v>
          </cell>
          <cell r="D57">
            <v>3239</v>
          </cell>
          <cell r="E57">
            <v>2534</v>
          </cell>
          <cell r="F57">
            <v>2360</v>
          </cell>
          <cell r="G57">
            <v>2304</v>
          </cell>
          <cell r="H57">
            <v>5757</v>
          </cell>
          <cell r="I57">
            <v>6387</v>
          </cell>
          <cell r="J57">
            <v>8631</v>
          </cell>
          <cell r="K57">
            <v>8707</v>
          </cell>
          <cell r="L57">
            <v>8665</v>
          </cell>
          <cell r="M57">
            <v>25941</v>
          </cell>
          <cell r="N57">
            <v>27600</v>
          </cell>
          <cell r="O57">
            <v>5876</v>
          </cell>
          <cell r="P57">
            <v>4500</v>
          </cell>
          <cell r="Q57">
            <v>4660</v>
          </cell>
          <cell r="R57">
            <v>4096</v>
          </cell>
          <cell r="S57">
            <v>7094</v>
          </cell>
          <cell r="T57">
            <v>6706</v>
          </cell>
          <cell r="U57">
            <v>6951</v>
          </cell>
          <cell r="V57">
            <v>6152</v>
          </cell>
          <cell r="W57">
            <v>4537</v>
          </cell>
          <cell r="X57">
            <v>7858</v>
          </cell>
          <cell r="Y57">
            <v>7788</v>
          </cell>
          <cell r="Z57">
            <v>8056</v>
          </cell>
          <cell r="AA57">
            <v>7615</v>
          </cell>
          <cell r="AB57">
            <v>7851</v>
          </cell>
          <cell r="AC57">
            <v>7378</v>
          </cell>
          <cell r="AD57">
            <v>7140</v>
          </cell>
          <cell r="AE57">
            <v>7599</v>
          </cell>
          <cell r="AF57">
            <v>6556</v>
          </cell>
          <cell r="AG57">
            <v>7007</v>
          </cell>
          <cell r="AH57">
            <v>5284</v>
          </cell>
          <cell r="AI57">
            <v>5659</v>
          </cell>
          <cell r="AJ57">
            <v>0</v>
          </cell>
          <cell r="AK57">
            <v>0</v>
          </cell>
          <cell r="AL57">
            <v>0</v>
          </cell>
          <cell r="AM57">
            <v>0</v>
          </cell>
        </row>
        <row r="58">
          <cell r="A58" t="str">
            <v>AR Transportation Jet Fuel, Naphtha</v>
          </cell>
          <cell r="C58" t="str">
            <v>Transportation Jet Fuel, Naphtha</v>
          </cell>
          <cell r="D58">
            <v>6007</v>
          </cell>
          <cell r="E58">
            <v>7203</v>
          </cell>
          <cell r="F58">
            <v>3844</v>
          </cell>
          <cell r="G58">
            <v>3347</v>
          </cell>
          <cell r="H58">
            <v>3312</v>
          </cell>
          <cell r="I58">
            <v>281</v>
          </cell>
          <cell r="J58">
            <v>64</v>
          </cell>
          <cell r="K58">
            <v>20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t="str">
            <v>AR Transportation Hydrocarbon Gas Liquids</v>
          </cell>
          <cell r="C59" t="str">
            <v>Transportation Hydrocarbon Gas Liquids</v>
          </cell>
          <cell r="D59">
            <v>319</v>
          </cell>
          <cell r="E59">
            <v>301</v>
          </cell>
          <cell r="F59">
            <v>237</v>
          </cell>
          <cell r="G59">
            <v>263</v>
          </cell>
          <cell r="H59">
            <v>478</v>
          </cell>
          <cell r="I59">
            <v>197</v>
          </cell>
          <cell r="J59">
            <v>173</v>
          </cell>
          <cell r="K59">
            <v>162</v>
          </cell>
          <cell r="L59">
            <v>126</v>
          </cell>
          <cell r="M59">
            <v>1755</v>
          </cell>
          <cell r="N59">
            <v>359</v>
          </cell>
          <cell r="O59">
            <v>342</v>
          </cell>
          <cell r="P59">
            <v>209</v>
          </cell>
          <cell r="Q59">
            <v>195</v>
          </cell>
          <cell r="R59">
            <v>196</v>
          </cell>
          <cell r="S59">
            <v>318</v>
          </cell>
          <cell r="T59">
            <v>310</v>
          </cell>
          <cell r="U59">
            <v>228</v>
          </cell>
          <cell r="V59">
            <v>590</v>
          </cell>
          <cell r="W59">
            <v>294</v>
          </cell>
          <cell r="X59">
            <v>73</v>
          </cell>
          <cell r="Y59">
            <v>72</v>
          </cell>
          <cell r="Z59">
            <v>45</v>
          </cell>
          <cell r="AA59">
            <v>64</v>
          </cell>
          <cell r="AB59">
            <v>58</v>
          </cell>
          <cell r="AC59">
            <v>78</v>
          </cell>
          <cell r="AD59">
            <v>77</v>
          </cell>
          <cell r="AE59">
            <v>21</v>
          </cell>
          <cell r="AF59">
            <v>17</v>
          </cell>
          <cell r="AG59">
            <v>20</v>
          </cell>
          <cell r="AH59">
            <v>26</v>
          </cell>
          <cell r="AI59">
            <v>32</v>
          </cell>
          <cell r="AJ59">
            <v>0</v>
          </cell>
          <cell r="AK59">
            <v>0</v>
          </cell>
          <cell r="AL59">
            <v>0</v>
          </cell>
          <cell r="AM59">
            <v>0</v>
          </cell>
        </row>
        <row r="60">
          <cell r="A60" t="str">
            <v>AR Transportation Lubricants</v>
          </cell>
          <cell r="C60" t="str">
            <v>Transportation Lubricants</v>
          </cell>
          <cell r="D60">
            <v>2683</v>
          </cell>
          <cell r="E60">
            <v>2400</v>
          </cell>
          <cell r="F60">
            <v>2447</v>
          </cell>
          <cell r="G60">
            <v>2492</v>
          </cell>
          <cell r="H60">
            <v>2605</v>
          </cell>
          <cell r="I60">
            <v>2560</v>
          </cell>
          <cell r="J60">
            <v>2484</v>
          </cell>
          <cell r="K60">
            <v>2624</v>
          </cell>
          <cell r="L60">
            <v>2747</v>
          </cell>
          <cell r="M60">
            <v>2776</v>
          </cell>
          <cell r="N60">
            <v>2735</v>
          </cell>
          <cell r="O60">
            <v>2505</v>
          </cell>
          <cell r="P60">
            <v>2476</v>
          </cell>
          <cell r="Q60">
            <v>2289</v>
          </cell>
          <cell r="R60">
            <v>2319</v>
          </cell>
          <cell r="S60">
            <v>2307</v>
          </cell>
          <cell r="T60">
            <v>2247</v>
          </cell>
          <cell r="U60">
            <v>2321</v>
          </cell>
          <cell r="V60">
            <v>2155</v>
          </cell>
          <cell r="W60">
            <v>1937</v>
          </cell>
          <cell r="X60">
            <v>2019</v>
          </cell>
          <cell r="Y60">
            <v>1911</v>
          </cell>
          <cell r="Z60">
            <v>1701</v>
          </cell>
          <cell r="AA60">
            <v>1745</v>
          </cell>
          <cell r="AB60">
            <v>1789</v>
          </cell>
          <cell r="AC60">
            <v>1945</v>
          </cell>
          <cell r="AD60">
            <v>1871</v>
          </cell>
          <cell r="AE60">
            <v>1740</v>
          </cell>
          <cell r="AF60">
            <v>1672</v>
          </cell>
          <cell r="AG60">
            <v>1600</v>
          </cell>
          <cell r="AH60">
            <v>1484</v>
          </cell>
          <cell r="AI60">
            <v>1524</v>
          </cell>
          <cell r="AJ60">
            <v>0</v>
          </cell>
          <cell r="AK60">
            <v>0</v>
          </cell>
          <cell r="AL60">
            <v>0</v>
          </cell>
          <cell r="AM60">
            <v>0</v>
          </cell>
        </row>
        <row r="61">
          <cell r="A61" t="str">
            <v>AR Transportation Motor Gasoline</v>
          </cell>
          <cell r="C61" t="str">
            <v>Transportation Motor Gasoline</v>
          </cell>
          <cell r="D61">
            <v>148889</v>
          </cell>
          <cell r="E61">
            <v>149193</v>
          </cell>
          <cell r="F61">
            <v>151541</v>
          </cell>
          <cell r="G61">
            <v>156619</v>
          </cell>
          <cell r="H61">
            <v>158586</v>
          </cell>
          <cell r="I61">
            <v>164644</v>
          </cell>
          <cell r="J61">
            <v>164658</v>
          </cell>
          <cell r="K61">
            <v>170120</v>
          </cell>
          <cell r="L61">
            <v>169538</v>
          </cell>
          <cell r="M61">
            <v>172291</v>
          </cell>
          <cell r="N61">
            <v>170170</v>
          </cell>
          <cell r="O61">
            <v>167888</v>
          </cell>
          <cell r="P61">
            <v>171541</v>
          </cell>
          <cell r="Q61">
            <v>172399</v>
          </cell>
          <cell r="R61">
            <v>172856</v>
          </cell>
          <cell r="S61">
            <v>171964</v>
          </cell>
          <cell r="T61">
            <v>171427</v>
          </cell>
          <cell r="U61">
            <v>173978</v>
          </cell>
          <cell r="V61">
            <v>167976</v>
          </cell>
          <cell r="W61">
            <v>168399</v>
          </cell>
          <cell r="X61">
            <v>159764</v>
          </cell>
          <cell r="Y61">
            <v>154639</v>
          </cell>
          <cell r="Z61">
            <v>155354</v>
          </cell>
          <cell r="AA61">
            <v>152300</v>
          </cell>
          <cell r="AB61">
            <v>157318</v>
          </cell>
          <cell r="AC61">
            <v>157485</v>
          </cell>
          <cell r="AD61">
            <v>163797</v>
          </cell>
          <cell r="AE61">
            <v>163179</v>
          </cell>
          <cell r="AF61">
            <v>160915</v>
          </cell>
          <cell r="AG61">
            <v>165260</v>
          </cell>
          <cell r="AH61">
            <v>153288</v>
          </cell>
          <cell r="AI61">
            <v>163919</v>
          </cell>
          <cell r="AJ61">
            <v>0</v>
          </cell>
          <cell r="AK61">
            <v>0</v>
          </cell>
          <cell r="AL61">
            <v>0</v>
          </cell>
          <cell r="AM61">
            <v>0</v>
          </cell>
        </row>
        <row r="62">
          <cell r="A62" t="str">
            <v>AR Transportation Natural Gas</v>
          </cell>
          <cell r="C62" t="str">
            <v>Transportation Natural Gas</v>
          </cell>
          <cell r="D62">
            <v>8709</v>
          </cell>
          <cell r="E62">
            <v>8478</v>
          </cell>
          <cell r="F62">
            <v>8140</v>
          </cell>
          <cell r="G62">
            <v>9783</v>
          </cell>
          <cell r="H62">
            <v>12125</v>
          </cell>
          <cell r="I62">
            <v>12453</v>
          </cell>
          <cell r="J62">
            <v>12882</v>
          </cell>
          <cell r="K62">
            <v>11812</v>
          </cell>
          <cell r="L62">
            <v>10527</v>
          </cell>
          <cell r="M62">
            <v>9241</v>
          </cell>
          <cell r="N62">
            <v>9025</v>
          </cell>
          <cell r="O62">
            <v>8917</v>
          </cell>
          <cell r="P62">
            <v>8174</v>
          </cell>
          <cell r="Q62">
            <v>8785</v>
          </cell>
          <cell r="R62">
            <v>8036</v>
          </cell>
          <cell r="S62">
            <v>9039</v>
          </cell>
          <cell r="T62">
            <v>10968</v>
          </cell>
          <cell r="U62">
            <v>10345</v>
          </cell>
          <cell r="V62">
            <v>10025</v>
          </cell>
          <cell r="W62">
            <v>9241</v>
          </cell>
          <cell r="X62">
            <v>9631</v>
          </cell>
          <cell r="Y62">
            <v>11476</v>
          </cell>
          <cell r="Z62">
            <v>10734</v>
          </cell>
          <cell r="AA62">
            <v>11685</v>
          </cell>
          <cell r="AB62">
            <v>11844</v>
          </cell>
          <cell r="AC62">
            <v>8938</v>
          </cell>
          <cell r="AD62">
            <v>8371</v>
          </cell>
          <cell r="AE62">
            <v>6896</v>
          </cell>
          <cell r="AF62">
            <v>7427</v>
          </cell>
          <cell r="AG62">
            <v>7861</v>
          </cell>
          <cell r="AH62">
            <v>6301</v>
          </cell>
          <cell r="AI62">
            <v>5328</v>
          </cell>
          <cell r="AJ62">
            <v>0</v>
          </cell>
          <cell r="AK62">
            <v>0</v>
          </cell>
          <cell r="AL62">
            <v>0</v>
          </cell>
          <cell r="AM62">
            <v>0</v>
          </cell>
        </row>
        <row r="63">
          <cell r="A63" t="str">
            <v>AR Transportation Residual Fuel</v>
          </cell>
          <cell r="C63" t="str">
            <v>Transportation Residual Fuel</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7</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t="str">
            <v>AR Transportation Other</v>
          </cell>
          <cell r="C64" t="str">
            <v>Transportation Other</v>
          </cell>
        </row>
        <row r="65">
          <cell r="A65" t="str">
            <v>AR Bunker Fuels Distillate Fuel</v>
          </cell>
          <cell r="C65" t="str">
            <v>Bunker Fuels Distillate Fuel</v>
          </cell>
          <cell r="D65">
            <v>124.95024478949814</v>
          </cell>
          <cell r="E65">
            <v>145.80253320710258</v>
          </cell>
          <cell r="F65">
            <v>117.21784624554674</v>
          </cell>
          <cell r="G65">
            <v>140.59483904665132</v>
          </cell>
          <cell r="H65">
            <v>134.00963254529142</v>
          </cell>
          <cell r="I65">
            <v>167.01949330134889</v>
          </cell>
          <cell r="J65">
            <v>152.774495259585</v>
          </cell>
          <cell r="K65">
            <v>148.579682383039</v>
          </cell>
          <cell r="L65">
            <v>339.56024384185679</v>
          </cell>
          <cell r="M65">
            <v>223.00955541844755</v>
          </cell>
          <cell r="N65">
            <v>4.5939708730456754</v>
          </cell>
          <cell r="O65">
            <v>9.0671782906596725</v>
          </cell>
          <cell r="P65">
            <v>31.926700419320781</v>
          </cell>
          <cell r="Q65">
            <v>427.99399036599448</v>
          </cell>
          <cell r="R65">
            <v>2722.3954245522432</v>
          </cell>
          <cell r="S65">
            <v>1271.7500442146595</v>
          </cell>
          <cell r="T65">
            <v>26.016955605892115</v>
          </cell>
          <cell r="U65">
            <v>24.303549394708163</v>
          </cell>
          <cell r="V65">
            <v>3043.1805354569101</v>
          </cell>
          <cell r="W65">
            <v>2759.8811377911547</v>
          </cell>
          <cell r="X65">
            <v>3057.7399385078529</v>
          </cell>
          <cell r="Y65">
            <v>2781.5647956851553</v>
          </cell>
          <cell r="Z65">
            <v>22.031105205958575</v>
          </cell>
          <cell r="AA65">
            <v>5.4480418963609836</v>
          </cell>
          <cell r="AB65">
            <v>13.336395929317939</v>
          </cell>
          <cell r="AC65">
            <v>9.7662856993416138</v>
          </cell>
          <cell r="AD65">
            <v>18.738221214387099</v>
          </cell>
          <cell r="AE65">
            <v>12.265206867047976</v>
          </cell>
          <cell r="AF65">
            <v>16.466969306071821</v>
          </cell>
          <cell r="AG65">
            <v>10.476507840833511</v>
          </cell>
          <cell r="AH65">
            <v>56.209181766495107</v>
          </cell>
          <cell r="AI65">
            <v>53.599228615876399</v>
          </cell>
          <cell r="AJ65">
            <v>0</v>
          </cell>
          <cell r="AK65">
            <v>0</v>
          </cell>
          <cell r="AL65">
            <v>0</v>
          </cell>
          <cell r="AM65">
            <v>0</v>
          </cell>
        </row>
        <row r="66">
          <cell r="A66" t="str">
            <v>AR Bunker Fuels Residual Fuel</v>
          </cell>
          <cell r="C66" t="str">
            <v>Bunker Fuels Residual Fuel</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4.7121599786407797</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t="str">
            <v>AR Bunker Fuels Jet Fuel, Kerosene</v>
          </cell>
          <cell r="C67" t="str">
            <v>Bunker Fuels Jet Fuel, Kerosene</v>
          </cell>
          <cell r="D67">
            <v>1600.7951952042783</v>
          </cell>
          <cell r="E67">
            <v>2104.5879074693644</v>
          </cell>
          <cell r="F67">
            <v>1363.2323391635441</v>
          </cell>
          <cell r="G67">
            <v>1234.5629049748131</v>
          </cell>
          <cell r="H67">
            <v>1962.053983568062</v>
          </cell>
          <cell r="I67">
            <v>1500.9637753424256</v>
          </cell>
          <cell r="J67">
            <v>1911.4916134039961</v>
          </cell>
          <cell r="K67">
            <v>1993.8891675836537</v>
          </cell>
          <cell r="L67">
            <v>1936.6300024132649</v>
          </cell>
          <cell r="M67">
            <v>5982.3949287180048</v>
          </cell>
          <cell r="N67">
            <v>6794.8731568379981</v>
          </cell>
          <cell r="O67">
            <v>1374.1174175587064</v>
          </cell>
          <cell r="P67">
            <v>1045.689330785299</v>
          </cell>
          <cell r="Q67">
            <v>1119.2697186113539</v>
          </cell>
          <cell r="R67">
            <v>967.68251245299871</v>
          </cell>
          <cell r="S67">
            <v>1744.3260180145926</v>
          </cell>
          <cell r="T67">
            <v>1700.0112797606346</v>
          </cell>
          <cell r="U67">
            <v>1809.0168085382875</v>
          </cell>
          <cell r="V67">
            <v>1537.3611527115022</v>
          </cell>
          <cell r="W67">
            <v>1180.3523034772752</v>
          </cell>
          <cell r="X67">
            <v>2297.9251408621558</v>
          </cell>
          <cell r="Y67">
            <v>2431.0921008544838</v>
          </cell>
          <cell r="Z67">
            <v>2546.5891680493273</v>
          </cell>
          <cell r="AA67">
            <v>2392.0462275120453</v>
          </cell>
          <cell r="AB67">
            <v>2551.8612464364605</v>
          </cell>
          <cell r="AC67">
            <v>2356.1676062084271</v>
          </cell>
          <cell r="AD67">
            <v>2242.436368941409</v>
          </cell>
          <cell r="AE67">
            <v>2410.197586205908</v>
          </cell>
          <cell r="AF67">
            <v>2129.8041982512805</v>
          </cell>
          <cell r="AG67">
            <v>2159.64327656368</v>
          </cell>
          <cell r="AH67">
            <v>1333.312448066697</v>
          </cell>
          <cell r="AI67">
            <v>1440.117948723366</v>
          </cell>
          <cell r="AJ67">
            <v>0</v>
          </cell>
          <cell r="AK67">
            <v>0</v>
          </cell>
          <cell r="AL67">
            <v>0</v>
          </cell>
          <cell r="AM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63">
          <cell r="A63" t="str">
            <v>Industrial Sector</v>
          </cell>
        </row>
        <row r="64">
          <cell r="A64" t="str">
            <v>Coking Coal</v>
          </cell>
          <cell r="B64">
            <v>0</v>
          </cell>
          <cell r="C64">
            <v>0</v>
          </cell>
          <cell r="D64">
            <v>0</v>
          </cell>
          <cell r="E64">
            <v>1</v>
          </cell>
          <cell r="F64">
            <v>1</v>
          </cell>
          <cell r="G64">
            <v>1</v>
          </cell>
          <cell r="H64">
            <v>1</v>
          </cell>
          <cell r="I64">
            <v>0</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1</v>
          </cell>
          <cell r="Z64">
            <v>1</v>
          </cell>
          <cell r="AA64">
            <v>1</v>
          </cell>
          <cell r="AB64">
            <v>1</v>
          </cell>
          <cell r="AC64">
            <v>1</v>
          </cell>
          <cell r="AD64">
            <v>1</v>
          </cell>
          <cell r="AE64">
            <v>1</v>
          </cell>
          <cell r="AF64">
            <v>1</v>
          </cell>
          <cell r="AG64">
            <v>1</v>
          </cell>
        </row>
        <row r="65">
          <cell r="A65" t="str">
            <v>Other Coal</v>
          </cell>
          <cell r="B65">
            <v>4.5416472020804654E-3</v>
          </cell>
          <cell r="C65">
            <v>4.7922786272606484E-3</v>
          </cell>
          <cell r="D65">
            <v>5.5354460395050922E-3</v>
          </cell>
          <cell r="E65">
            <v>5.6985520682306902E-3</v>
          </cell>
          <cell r="F65">
            <v>6.1996842611087956E-3</v>
          </cell>
          <cell r="G65">
            <v>6.6813461782685973E-3</v>
          </cell>
          <cell r="H65">
            <v>7.1063325896762383E-3</v>
          </cell>
          <cell r="I65">
            <v>6.9265189441406081E-3</v>
          </cell>
          <cell r="J65">
            <v>6.407540055518593E-3</v>
          </cell>
          <cell r="K65">
            <v>7.292184793933643E-3</v>
          </cell>
          <cell r="L65">
            <v>8.3797254001046293E-3</v>
          </cell>
          <cell r="M65">
            <v>7.5488424333074915E-3</v>
          </cell>
          <cell r="N65">
            <v>8.790338587456651E-3</v>
          </cell>
          <cell r="O65">
            <v>8.6634158122588425E-3</v>
          </cell>
          <cell r="P65">
            <v>8.5923428374798574E-3</v>
          </cell>
          <cell r="Q65">
            <v>8.7798501039106653E-3</v>
          </cell>
          <cell r="R65">
            <v>8.9501402039970021E-3</v>
          </cell>
          <cell r="S65">
            <v>9.3347003899069154E-3</v>
          </cell>
          <cell r="T65">
            <v>9.7442271758052933E-3</v>
          </cell>
          <cell r="U65">
            <v>1.1846441126425833E-2</v>
          </cell>
          <cell r="V65">
            <v>9.528065570029786E-3</v>
          </cell>
          <cell r="W65">
            <v>1.0428613284787837E-2</v>
          </cell>
          <cell r="X65">
            <v>1.1447143153630093E-2</v>
          </cell>
          <cell r="Y65">
            <v>1.1259441078483439E-2</v>
          </cell>
          <cell r="Z65">
            <v>1.1301799953971648E-2</v>
          </cell>
          <cell r="AA65">
            <v>1.278030660029408E-2</v>
          </cell>
          <cell r="AB65">
            <v>1.4141087569417057E-2</v>
          </cell>
          <cell r="AC65">
            <v>1.5203640000668045E-2</v>
          </cell>
          <cell r="AD65">
            <v>1.6372927844407276E-2</v>
          </cell>
          <cell r="AE65">
            <v>1.7984822051974766E-2</v>
          </cell>
          <cell r="AF65">
            <v>2.0691581393693988E-2</v>
          </cell>
          <cell r="AG65">
            <v>2.0592321427076909E-2</v>
          </cell>
        </row>
        <row r="66">
          <cell r="A66" t="str">
            <v>Natural Gas</v>
          </cell>
          <cell r="B66">
            <v>3.533378751811684E-2</v>
          </cell>
          <cell r="C66">
            <v>3.4080442031295628E-2</v>
          </cell>
          <cell r="D66">
            <v>3.5113197124211591E-2</v>
          </cell>
          <cell r="E66">
            <v>3.5735114329402823E-2</v>
          </cell>
          <cell r="F66">
            <v>3.8266019234562069E-2</v>
          </cell>
          <cell r="G66">
            <v>3.8414037116573964E-2</v>
          </cell>
          <cell r="H66">
            <v>3.8941186226345063E-2</v>
          </cell>
          <cell r="I66">
            <v>4.0318358619789427E-2</v>
          </cell>
          <cell r="J66">
            <v>4.4245174225432109E-2</v>
          </cell>
          <cell r="K66">
            <v>4.5043353202778538E-2</v>
          </cell>
          <cell r="L66">
            <v>4.2597449527596795E-2</v>
          </cell>
          <cell r="M66">
            <v>4.6592844916620677E-2</v>
          </cell>
          <cell r="N66">
            <v>4.3327197680125856E-2</v>
          </cell>
          <cell r="O66">
            <v>3.8916227301246172E-2</v>
          </cell>
          <cell r="P66">
            <v>3.3589578514776793E-2</v>
          </cell>
          <cell r="Q66">
            <v>3.4390669737607918E-2</v>
          </cell>
          <cell r="R66">
            <v>3.0264754630604199E-2</v>
          </cell>
          <cell r="S66">
            <v>3.1150740229987591E-2</v>
          </cell>
          <cell r="T66">
            <v>3.400040004217382E-2</v>
          </cell>
          <cell r="U66">
            <v>3.7425298593968079E-2</v>
          </cell>
          <cell r="V66">
            <v>3.7213292902606311E-2</v>
          </cell>
          <cell r="W66">
            <v>3.6621566032884037E-2</v>
          </cell>
          <cell r="X66">
            <v>3.528425803141947E-2</v>
          </cell>
          <cell r="Y66">
            <v>3.5038045157867924E-2</v>
          </cell>
          <cell r="Z66">
            <v>3.5439525006376288E-2</v>
          </cell>
          <cell r="AA66">
            <v>4.5934122734919008E-2</v>
          </cell>
          <cell r="AB66">
            <v>5.3367082936758806E-2</v>
          </cell>
          <cell r="AC66">
            <v>6.2044159432283245E-2</v>
          </cell>
          <cell r="AD66">
            <v>6.7266025977112121E-2</v>
          </cell>
          <cell r="AE66">
            <v>6.5365525465617788E-2</v>
          </cell>
          <cell r="AF66">
            <v>6.6884257875890363E-2</v>
          </cell>
          <cell r="AG66">
            <v>6.5591632413151857E-2</v>
          </cell>
        </row>
        <row r="67">
          <cell r="A67" t="str">
            <v>Asphalt and Road Oil</v>
          </cell>
          <cell r="B67">
            <v>1</v>
          </cell>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cell r="AG67">
            <v>1</v>
          </cell>
        </row>
        <row r="68">
          <cell r="A68" t="str">
            <v>Hydrocarbon Gas Liquids</v>
          </cell>
          <cell r="B68">
            <v>0.79641254191031563</v>
          </cell>
          <cell r="C68">
            <v>0.80541295821194947</v>
          </cell>
          <cell r="D68">
            <v>0.80691921003126788</v>
          </cell>
          <cell r="E68">
            <v>0.7968811929409152</v>
          </cell>
          <cell r="F68">
            <v>0.83111511719217357</v>
          </cell>
          <cell r="G68">
            <v>0.81219848394228022</v>
          </cell>
          <cell r="H68">
            <v>0.83383779485030296</v>
          </cell>
          <cell r="I68">
            <v>0.83662303561137041</v>
          </cell>
          <cell r="J68">
            <v>0.84705738985441614</v>
          </cell>
          <cell r="K68">
            <v>0.90169676384490294</v>
          </cell>
          <cell r="L68">
            <v>0.78843424293117492</v>
          </cell>
          <cell r="M68">
            <v>0.83625342782262746</v>
          </cell>
          <cell r="N68">
            <v>0.81810735305657312</v>
          </cell>
          <cell r="O68">
            <v>0.80905920315890556</v>
          </cell>
          <cell r="P68">
            <v>0.78169623272151934</v>
          </cell>
          <cell r="Q68">
            <v>0.82936326049414899</v>
          </cell>
          <cell r="R68">
            <v>0.83848953213474653</v>
          </cell>
          <cell r="S68">
            <v>0.81877501428141697</v>
          </cell>
          <cell r="T68">
            <v>0.89140108786567007</v>
          </cell>
          <cell r="U68">
            <v>0.89317250538852355</v>
          </cell>
          <cell r="V68">
            <v>0.89322364828483314</v>
          </cell>
          <cell r="W68">
            <v>0.88614338328653952</v>
          </cell>
          <cell r="X68">
            <v>0.82938635161363672</v>
          </cell>
          <cell r="Y68">
            <v>0.84401357047144787</v>
          </cell>
          <cell r="Z68">
            <v>0.90595488847502303</v>
          </cell>
          <cell r="AA68">
            <v>0.87855774319734059</v>
          </cell>
          <cell r="AB68">
            <v>0.85719740671739386</v>
          </cell>
          <cell r="AC68">
            <v>0.87631135002013949</v>
          </cell>
          <cell r="AD68">
            <v>0.8941870232249115</v>
          </cell>
          <cell r="AE68">
            <v>0.90835416526567581</v>
          </cell>
          <cell r="AF68">
            <v>0.91611820105258779</v>
          </cell>
          <cell r="AG68">
            <v>0.91203481472302939</v>
          </cell>
        </row>
        <row r="69">
          <cell r="A69" t="str">
            <v>Lubricants</v>
          </cell>
          <cell r="B69">
            <v>1</v>
          </cell>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cell r="AG69">
            <v>1</v>
          </cell>
        </row>
        <row r="70">
          <cell r="A70" t="str">
            <v>Pentanes Plus</v>
          </cell>
          <cell r="B70">
            <v>0.46776082543250408</v>
          </cell>
          <cell r="C70">
            <v>0.46556522762754049</v>
          </cell>
          <cell r="D70">
            <v>0.4692921821566704</v>
          </cell>
          <cell r="E70">
            <v>0.46357201445598772</v>
          </cell>
          <cell r="F70">
            <v>0.47114573828163236</v>
          </cell>
          <cell r="G70">
            <v>0.47407349362034878</v>
          </cell>
          <cell r="H70">
            <v>0.47448221459122586</v>
          </cell>
          <cell r="I70">
            <v>0.4720367595305448</v>
          </cell>
          <cell r="J70">
            <v>0.48106655680163474</v>
          </cell>
          <cell r="K70">
            <v>0.48243993083342002</v>
          </cell>
          <cell r="L70">
            <v>0.48166279900363873</v>
          </cell>
          <cell r="M70">
            <v>0.4941451958200429</v>
          </cell>
          <cell r="N70">
            <v>0.48282572784807809</v>
          </cell>
          <cell r="O70">
            <v>0.46702444605106042</v>
          </cell>
          <cell r="P70">
            <v>0.45814037911988076</v>
          </cell>
          <cell r="Q70">
            <v>0.48416030337956412</v>
          </cell>
          <cell r="R70">
            <v>0.48940969416675889</v>
          </cell>
          <cell r="S70">
            <v>0.47996665936947519</v>
          </cell>
          <cell r="T70">
            <v>0.4874894773415902</v>
          </cell>
          <cell r="U70">
            <v>0.47604261866713721</v>
          </cell>
          <cell r="V70">
            <v>0.48147480925935554</v>
          </cell>
          <cell r="W70">
            <v>0.47950896270504806</v>
          </cell>
          <cell r="X70">
            <v>0.47389145270535771</v>
          </cell>
          <cell r="Y70">
            <v>0.47950218898756625</v>
          </cell>
          <cell r="Z70">
            <v>0.4895932377581908</v>
          </cell>
          <cell r="AA70">
            <v>0.48629392418411471</v>
          </cell>
          <cell r="AB70">
            <v>0.47173855666263559</v>
          </cell>
          <cell r="AC70">
            <v>0.47115859631948731</v>
          </cell>
          <cell r="AD70">
            <v>0.46876754352743721</v>
          </cell>
          <cell r="AE70">
            <v>0.46334534319390569</v>
          </cell>
          <cell r="AF70">
            <v>0.46204493815524944</v>
          </cell>
          <cell r="AG70">
            <v>0.46420327915335974</v>
          </cell>
        </row>
        <row r="71">
          <cell r="A71" t="str">
            <v>Feedstocks, Naphtha less than 401 F</v>
          </cell>
          <cell r="B71">
            <v>0.94018525810359199</v>
          </cell>
          <cell r="C71">
            <v>0.93585077544963591</v>
          </cell>
          <cell r="D71">
            <v>0.94320841615256457</v>
          </cell>
          <cell r="E71">
            <v>0.93191583439413228</v>
          </cell>
          <cell r="F71">
            <v>0.94686765049238886</v>
          </cell>
          <cell r="G71">
            <v>0.9526475363721616</v>
          </cell>
          <cell r="H71">
            <v>0.9534544209261423</v>
          </cell>
          <cell r="I71">
            <v>0.94862667764719444</v>
          </cell>
          <cell r="J71">
            <v>0.96645302982060577</v>
          </cell>
          <cell r="K71">
            <v>0.96916430321560565</v>
          </cell>
          <cell r="L71">
            <v>0.96763011310666258</v>
          </cell>
          <cell r="M71">
            <v>0.99227248268952839</v>
          </cell>
          <cell r="N71">
            <v>0.9699259319950343</v>
          </cell>
          <cell r="O71">
            <v>0.93873152024444784</v>
          </cell>
          <cell r="P71">
            <v>0.92119286449290683</v>
          </cell>
          <cell r="Q71">
            <v>0.97257143425664772</v>
          </cell>
          <cell r="R71">
            <v>0.98291389043748567</v>
          </cell>
          <cell r="S71">
            <v>0.96429360484464643</v>
          </cell>
          <cell r="T71">
            <v>0.97911954317129313</v>
          </cell>
          <cell r="U71">
            <v>0.95652774005893904</v>
          </cell>
          <cell r="V71">
            <v>0.96724571649507862</v>
          </cell>
          <cell r="W71">
            <v>0.9633683164775807</v>
          </cell>
          <cell r="X71">
            <v>0.95230310654702888</v>
          </cell>
          <cell r="Y71">
            <v>0.96335662580258052</v>
          </cell>
          <cell r="Z71">
            <v>0.98330882828690336</v>
          </cell>
          <cell r="AA71">
            <v>0.97677829579480668</v>
          </cell>
          <cell r="AB71">
            <v>0.94802995711204108</v>
          </cell>
          <cell r="AC71">
            <v>0.94690353248992509</v>
          </cell>
          <cell r="AD71">
            <v>0.94216867667876958</v>
          </cell>
          <cell r="AE71">
            <v>0.93146901894577872</v>
          </cell>
          <cell r="AF71">
            <v>0.92890245200679378</v>
          </cell>
          <cell r="AG71">
            <v>0.93316639694181025</v>
          </cell>
        </row>
        <row r="72">
          <cell r="A72" t="str">
            <v>Feedstocks, Other Oils greater than 401 F</v>
          </cell>
          <cell r="B72">
            <v>0.88018227116657832</v>
          </cell>
          <cell r="C72">
            <v>0.89916148466230028</v>
          </cell>
          <cell r="D72">
            <v>0.82723252623851296</v>
          </cell>
          <cell r="E72">
            <v>0.79139587911276654</v>
          </cell>
          <cell r="F72">
            <v>0.76639842786899537</v>
          </cell>
          <cell r="G72">
            <v>0.74948007782956216</v>
          </cell>
          <cell r="H72">
            <v>0.71826145741628544</v>
          </cell>
          <cell r="I72">
            <v>0.74614694884221711</v>
          </cell>
          <cell r="J72">
            <v>0.75384460772950634</v>
          </cell>
          <cell r="K72">
            <v>0.78732201519219502</v>
          </cell>
          <cell r="L72">
            <v>0.73911072047388615</v>
          </cell>
          <cell r="M72">
            <v>0.76482394654092356</v>
          </cell>
          <cell r="N72">
            <v>0.69065273834059482</v>
          </cell>
          <cell r="O72">
            <v>0.6905074096792283</v>
          </cell>
          <cell r="P72">
            <v>0.6786206819356797</v>
          </cell>
          <cell r="Q72">
            <v>0.70545630460173436</v>
          </cell>
          <cell r="R72">
            <v>0.72519540712035047</v>
          </cell>
          <cell r="S72">
            <v>0.8989464623384491</v>
          </cell>
          <cell r="T72">
            <v>0.92485787549141518</v>
          </cell>
          <cell r="U72">
            <v>0.92534794229359973</v>
          </cell>
          <cell r="V72">
            <v>0.95718640669901078</v>
          </cell>
          <cell r="W72">
            <v>0.94772287947174449</v>
          </cell>
          <cell r="X72">
            <v>0.93099224901970079</v>
          </cell>
          <cell r="Y72">
            <v>0.93404875958387912</v>
          </cell>
          <cell r="Z72">
            <v>0.9554392788304612</v>
          </cell>
          <cell r="AA72">
            <v>0.94711381439593945</v>
          </cell>
          <cell r="AB72">
            <v>0.91974063564608144</v>
          </cell>
          <cell r="AC72">
            <v>0.92370141568980701</v>
          </cell>
          <cell r="AD72">
            <v>0.91660716030161549</v>
          </cell>
          <cell r="AE72">
            <v>0.90612240538221767</v>
          </cell>
          <cell r="AF72">
            <v>0.90133408221862066</v>
          </cell>
          <cell r="AG72">
            <v>0.90523782212489334</v>
          </cell>
        </row>
        <row r="73">
          <cell r="A73" t="str">
            <v>Still Gas</v>
          </cell>
          <cell r="B73">
            <v>2.4929236157777975E-2</v>
          </cell>
          <cell r="C73">
            <v>2.8482623160427156E-2</v>
          </cell>
          <cell r="D73">
            <v>1.9725493448333076E-2</v>
          </cell>
          <cell r="E73">
            <v>3.1904851802907364E-2</v>
          </cell>
          <cell r="F73">
            <v>2.457263621243766E-2</v>
          </cell>
          <cell r="G73">
            <v>3.3795853404559595E-2</v>
          </cell>
          <cell r="H73">
            <v>1.5030373880550176E-3</v>
          </cell>
          <cell r="I73">
            <v>8.3712020697890317E-3</v>
          </cell>
          <cell r="J73">
            <v>4.3166248502330973E-3</v>
          </cell>
          <cell r="K73">
            <v>1.6019539078156342E-2</v>
          </cell>
          <cell r="L73">
            <v>1.172498083814977E-2</v>
          </cell>
          <cell r="M73">
            <v>3.3592164692020636E-2</v>
          </cell>
          <cell r="N73">
            <v>4.2243457335627503E-2</v>
          </cell>
          <cell r="O73">
            <v>3.841422216667767E-2</v>
          </cell>
          <cell r="P73">
            <v>4.0653656151407376E-2</v>
          </cell>
          <cell r="Q73">
            <v>4.5199868544450461E-2</v>
          </cell>
          <cell r="R73">
            <v>3.6829887250717334E-2</v>
          </cell>
          <cell r="S73">
            <v>2.8961473773558181E-2</v>
          </cell>
          <cell r="T73">
            <v>3.2193429912262816E-2</v>
          </cell>
          <cell r="U73">
            <v>9.200710919040167E-2</v>
          </cell>
          <cell r="V73">
            <v>0.10040052202871165</v>
          </cell>
          <cell r="W73">
            <v>0.11</v>
          </cell>
          <cell r="X73">
            <v>0.10846687219045004</v>
          </cell>
          <cell r="Y73">
            <v>0.10846687219045004</v>
          </cell>
          <cell r="Z73">
            <v>0.10846687219045005</v>
          </cell>
          <cell r="AA73">
            <v>0.10846687219045004</v>
          </cell>
          <cell r="AB73">
            <v>0.10351538621643076</v>
          </cell>
          <cell r="AC73">
            <v>0.10351538621643078</v>
          </cell>
          <cell r="AD73">
            <v>0.10351538621643076</v>
          </cell>
          <cell r="AE73">
            <v>0.10351538621643078</v>
          </cell>
          <cell r="AF73">
            <v>0.10351538621643076</v>
          </cell>
          <cell r="AG73">
            <v>0.10351538621643079</v>
          </cell>
        </row>
        <row r="74">
          <cell r="A74" t="str">
            <v>Petroleum Coke</v>
          </cell>
          <cell r="B74">
            <v>4.0767959316174704E-2</v>
          </cell>
          <cell r="C74">
            <v>1.8512680363790179E-2</v>
          </cell>
          <cell r="D74">
            <v>9.7534209095855223E-2</v>
          </cell>
          <cell r="E74">
            <v>3.1935940278212123E-2</v>
          </cell>
          <cell r="F74">
            <v>6.1060811323265962E-2</v>
          </cell>
          <cell r="G74">
            <v>4.9242051788628796E-2</v>
          </cell>
          <cell r="H74">
            <v>3.9189294436389709E-2</v>
          </cell>
          <cell r="I74">
            <v>0</v>
          </cell>
          <cell r="J74">
            <v>6.7417832504150885E-2</v>
          </cell>
          <cell r="K74">
            <v>0.13082365398814588</v>
          </cell>
          <cell r="L74">
            <v>1.0960632717295429E-2</v>
          </cell>
          <cell r="M74">
            <v>0.11247914017348237</v>
          </cell>
          <cell r="N74">
            <v>7.742448779482157E-2</v>
          </cell>
          <cell r="O74">
            <v>4.8167347685586143E-2</v>
          </cell>
          <cell r="P74">
            <v>0.14437954676073694</v>
          </cell>
          <cell r="Q74">
            <v>0.11661871722340156</v>
          </cell>
          <cell r="R74">
            <v>0.14258913292222333</v>
          </cell>
          <cell r="S74">
            <v>0.12715104200221258</v>
          </cell>
          <cell r="T74">
            <v>0.15895082732135288</v>
          </cell>
          <cell r="U74">
            <v>0.13483979761042428</v>
          </cell>
          <cell r="V74">
            <v>0</v>
          </cell>
          <cell r="W74">
            <v>0</v>
          </cell>
          <cell r="X74">
            <v>0</v>
          </cell>
          <cell r="Y74">
            <v>0</v>
          </cell>
          <cell r="Z74">
            <v>0</v>
          </cell>
          <cell r="AA74">
            <v>0</v>
          </cell>
          <cell r="AB74">
            <v>0</v>
          </cell>
          <cell r="AC74">
            <v>0</v>
          </cell>
          <cell r="AD74">
            <v>0</v>
          </cell>
          <cell r="AE74">
            <v>0</v>
          </cell>
          <cell r="AF74">
            <v>0</v>
          </cell>
          <cell r="AG74">
            <v>0</v>
          </cell>
        </row>
        <row r="75">
          <cell r="A75" t="str">
            <v>Special Naphthas</v>
          </cell>
          <cell r="B75">
            <v>0.94378170814204165</v>
          </cell>
          <cell r="C75">
            <v>0.93970784268400165</v>
          </cell>
          <cell r="D75">
            <v>0.94662309433115588</v>
          </cell>
          <cell r="E75">
            <v>0.93600949579344284</v>
          </cell>
          <cell r="F75">
            <v>0.95006231178108103</v>
          </cell>
          <cell r="G75">
            <v>0.95549467345301653</v>
          </cell>
          <cell r="H75">
            <v>0.95625304287689405</v>
          </cell>
          <cell r="I75">
            <v>0.95171557482025293</v>
          </cell>
          <cell r="J75">
            <v>0.96847009113971172</v>
          </cell>
          <cell r="K75">
            <v>0.97101834520207664</v>
          </cell>
          <cell r="L75">
            <v>0.96957640054803917</v>
          </cell>
          <cell r="M75">
            <v>0.99273711112471408</v>
          </cell>
          <cell r="N75">
            <v>0.97173417992194366</v>
          </cell>
          <cell r="O75">
            <v>0.94241537842700474</v>
          </cell>
          <cell r="P75">
            <v>0.92593126035550977</v>
          </cell>
          <cell r="Q75">
            <v>0.97422061743782984</v>
          </cell>
          <cell r="R75">
            <v>0.983941218106967</v>
          </cell>
          <cell r="S75">
            <v>0.96644050479201682</v>
          </cell>
          <cell r="T75">
            <v>0.98037501159569096</v>
          </cell>
          <cell r="U75">
            <v>0.9591415741402981</v>
          </cell>
          <cell r="V75">
            <v>0.96921511635263691</v>
          </cell>
          <cell r="W75">
            <v>0.9655708507598626</v>
          </cell>
          <cell r="X75">
            <v>0.95517095298177501</v>
          </cell>
          <cell r="Y75">
            <v>0.96555986300402952</v>
          </cell>
          <cell r="Z75">
            <v>0.98431240973264966</v>
          </cell>
          <cell r="AA75">
            <v>0.97817453518887232</v>
          </cell>
          <cell r="AB75">
            <v>0.9511547329919795</v>
          </cell>
          <cell r="AC75">
            <v>0.95009603632031647</v>
          </cell>
          <cell r="AD75">
            <v>0.94564587073475082</v>
          </cell>
          <cell r="AE75">
            <v>0.93558954578637443</v>
          </cell>
          <cell r="AF75">
            <v>0.93317729748981348</v>
          </cell>
          <cell r="AG75">
            <v>0.93718486641384502</v>
          </cell>
        </row>
        <row r="76">
          <cell r="A76" t="str">
            <v>Distillate Fuel</v>
          </cell>
          <cell r="B76">
            <v>6.3718343953068487E-3</v>
          </cell>
          <cell r="C76">
            <v>6.6956232516613787E-3</v>
          </cell>
          <cell r="D76">
            <v>6.7632195823004882E-3</v>
          </cell>
          <cell r="E76">
            <v>6.9449416980314821E-3</v>
          </cell>
          <cell r="F76">
            <v>6.9828339261791446E-3</v>
          </cell>
          <cell r="G76">
            <v>8.2761068039964858E-3</v>
          </cell>
          <cell r="H76">
            <v>8.780385461840819E-3</v>
          </cell>
          <cell r="I76">
            <v>9.8462570545350854E-3</v>
          </cell>
          <cell r="J76">
            <v>1.1247456271645454E-2</v>
          </cell>
          <cell r="K76">
            <v>1.1751883885863618E-2</v>
          </cell>
          <cell r="L76">
            <v>1.1515232578164713E-2</v>
          </cell>
          <cell r="M76">
            <v>9.7943941484905355E-3</v>
          </cell>
          <cell r="N76">
            <v>1.103050293625274E-2</v>
          </cell>
          <cell r="O76">
            <v>1.2325321948086247E-2</v>
          </cell>
          <cell r="P76">
            <v>1.2702515326902772E-2</v>
          </cell>
          <cell r="Q76">
            <v>1.4107787287168773E-2</v>
          </cell>
          <cell r="R76">
            <v>1.4572311933536945E-2</v>
          </cell>
          <cell r="S76">
            <v>1.244772004749922E-2</v>
          </cell>
          <cell r="T76">
            <v>1.0561794342864939E-2</v>
          </cell>
          <cell r="U76">
            <v>8.6222743958855787E-3</v>
          </cell>
          <cell r="V76">
            <v>5.2275079167231316E-3</v>
          </cell>
          <cell r="W76">
            <v>4.7234333492817224E-3</v>
          </cell>
          <cell r="X76">
            <v>5.1587876880787066E-3</v>
          </cell>
          <cell r="Y76">
            <v>5.0890001839019204E-3</v>
          </cell>
          <cell r="Z76">
            <v>4.5539128733938774E-3</v>
          </cell>
          <cell r="AA76">
            <v>5.6891670024481877E-3</v>
          </cell>
          <cell r="AB76">
            <v>6.1585113015710322E-3</v>
          </cell>
          <cell r="AC76">
            <v>6.3937636113848215E-3</v>
          </cell>
          <cell r="AD76">
            <v>5.4750059397215443E-3</v>
          </cell>
          <cell r="AE76">
            <v>5.6720939623009078E-3</v>
          </cell>
          <cell r="AF76">
            <v>6.6304543960779743E-3</v>
          </cell>
          <cell r="AG76">
            <v>7.2207361957087575E-3</v>
          </cell>
        </row>
        <row r="77">
          <cell r="A77" t="str">
            <v>Residual Fuel</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Waxes</v>
          </cell>
          <cell r="B78">
            <v>1</v>
          </cell>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cell r="AG78">
            <v>1</v>
          </cell>
        </row>
        <row r="79">
          <cell r="A79" t="str">
            <v>Misc. Petro Products</v>
          </cell>
          <cell r="B79">
            <v>1</v>
          </cell>
          <cell r="C79">
            <v>1</v>
          </cell>
          <cell r="D79">
            <v>1</v>
          </cell>
          <cell r="E79">
            <v>1</v>
          </cell>
          <cell r="F79">
            <v>1</v>
          </cell>
          <cell r="G79">
            <v>1</v>
          </cell>
          <cell r="H79">
            <v>1</v>
          </cell>
          <cell r="I79">
            <v>1</v>
          </cell>
          <cell r="J79">
            <v>1</v>
          </cell>
          <cell r="K79">
            <v>1</v>
          </cell>
          <cell r="L79">
            <v>1</v>
          </cell>
          <cell r="M79">
            <v>1</v>
          </cell>
          <cell r="N79">
            <v>1</v>
          </cell>
          <cell r="O79">
            <v>1</v>
          </cell>
          <cell r="P79">
            <v>1</v>
          </cell>
          <cell r="Q79">
            <v>1</v>
          </cell>
          <cell r="R79">
            <v>1</v>
          </cell>
          <cell r="S79">
            <v>1</v>
          </cell>
          <cell r="T79">
            <v>1</v>
          </cell>
          <cell r="U79">
            <v>1</v>
          </cell>
          <cell r="V79">
            <v>1</v>
          </cell>
          <cell r="W79">
            <v>1</v>
          </cell>
          <cell r="X79">
            <v>1</v>
          </cell>
          <cell r="Y79">
            <v>1</v>
          </cell>
          <cell r="Z79">
            <v>1</v>
          </cell>
          <cell r="AA79">
            <v>1</v>
          </cell>
          <cell r="AB79">
            <v>1</v>
          </cell>
          <cell r="AC79">
            <v>1</v>
          </cell>
          <cell r="AD79">
            <v>1</v>
          </cell>
          <cell r="AE79">
            <v>1</v>
          </cell>
          <cell r="AF79">
            <v>1</v>
          </cell>
          <cell r="AG79">
            <v>1</v>
          </cell>
        </row>
        <row r="80">
          <cell r="A80" t="str">
            <v>Other Coal</v>
          </cell>
          <cell r="B80">
            <v>4.5416472020804654E-3</v>
          </cell>
          <cell r="C80">
            <v>4.7922786272606484E-3</v>
          </cell>
          <cell r="D80">
            <v>5.5354460395050922E-3</v>
          </cell>
          <cell r="E80">
            <v>5.6985520682306902E-3</v>
          </cell>
          <cell r="F80">
            <v>6.1996842611087956E-3</v>
          </cell>
          <cell r="G80">
            <v>6.6813461782685973E-3</v>
          </cell>
          <cell r="H80">
            <v>7.1063325896762383E-3</v>
          </cell>
          <cell r="I80">
            <v>6.9265189441406081E-3</v>
          </cell>
          <cell r="J80">
            <v>6.407540055518593E-3</v>
          </cell>
          <cell r="K80">
            <v>7.292184793933643E-3</v>
          </cell>
          <cell r="L80">
            <v>8.3797254001046293E-3</v>
          </cell>
          <cell r="M80">
            <v>7.5488424333074915E-3</v>
          </cell>
          <cell r="N80">
            <v>8.790338587456651E-3</v>
          </cell>
          <cell r="O80">
            <v>8.6634158122588425E-3</v>
          </cell>
          <cell r="P80">
            <v>8.5923428374798574E-3</v>
          </cell>
          <cell r="Q80">
            <v>8.7798501039106653E-3</v>
          </cell>
          <cell r="R80">
            <v>8.9501402039970021E-3</v>
          </cell>
          <cell r="S80">
            <v>9.3347003899069154E-3</v>
          </cell>
          <cell r="T80">
            <v>9.7442271758052933E-3</v>
          </cell>
          <cell r="U80">
            <v>1.1846441126425833E-2</v>
          </cell>
          <cell r="V80">
            <v>9.528065570029786E-3</v>
          </cell>
          <cell r="W80">
            <v>1.0428613284787837E-2</v>
          </cell>
          <cell r="X80">
            <v>1.1447143153630093E-2</v>
          </cell>
          <cell r="Y80">
            <v>1.1259441078483439E-2</v>
          </cell>
          <cell r="Z80">
            <v>1.1301799953971648E-2</v>
          </cell>
          <cell r="AA80">
            <v>1.278030660029408E-2</v>
          </cell>
          <cell r="AB80">
            <v>1.4141087569417057E-2</v>
          </cell>
          <cell r="AC80">
            <v>1.5203640000668045E-2</v>
          </cell>
          <cell r="AD80">
            <v>1.6372927844407276E-2</v>
          </cell>
          <cell r="AE80">
            <v>1.7984822051974766E-2</v>
          </cell>
          <cell r="AF80">
            <v>2.0691581393693988E-2</v>
          </cell>
          <cell r="AG80">
            <v>2.0592321427076909E-2</v>
          </cell>
        </row>
        <row r="81">
          <cell r="A81" t="str">
            <v>Aviation Gasoline Blending Components</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row>
        <row r="82">
          <cell r="A82" t="str">
            <v>Crude Oil</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Kerosene</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row>
        <row r="84">
          <cell r="A84" t="str">
            <v>Motor Gasoline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Motor Gasoline Blending Components</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row>
        <row r="86">
          <cell r="A86" t="str">
            <v>Unfinished Oils</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row>
        <row r="87">
          <cell r="A87" t="str">
            <v>Transportation</v>
          </cell>
          <cell r="B87">
            <v>1990</v>
          </cell>
          <cell r="C87">
            <v>1991</v>
          </cell>
          <cell r="D87">
            <v>1992</v>
          </cell>
          <cell r="E87">
            <v>1993</v>
          </cell>
          <cell r="F87">
            <v>1994</v>
          </cell>
          <cell r="G87">
            <v>1995</v>
          </cell>
          <cell r="H87">
            <v>1996</v>
          </cell>
          <cell r="I87">
            <v>1997</v>
          </cell>
          <cell r="J87">
            <v>1998</v>
          </cell>
          <cell r="K87">
            <v>1999</v>
          </cell>
          <cell r="L87">
            <v>2000</v>
          </cell>
          <cell r="M87">
            <v>2001</v>
          </cell>
          <cell r="N87">
            <v>2002</v>
          </cell>
          <cell r="O87">
            <v>2003</v>
          </cell>
          <cell r="P87">
            <v>2004</v>
          </cell>
          <cell r="Q87">
            <v>2005</v>
          </cell>
          <cell r="R87">
            <v>2006</v>
          </cell>
          <cell r="S87">
            <v>2007</v>
          </cell>
          <cell r="T87">
            <v>2008</v>
          </cell>
          <cell r="U87">
            <v>2009</v>
          </cell>
          <cell r="V87">
            <v>2010</v>
          </cell>
          <cell r="W87">
            <v>2011</v>
          </cell>
          <cell r="X87">
            <v>2012</v>
          </cell>
          <cell r="Y87">
            <v>2013</v>
          </cell>
          <cell r="Z87">
            <v>2014</v>
          </cell>
          <cell r="AA87">
            <v>2015</v>
          </cell>
          <cell r="AB87">
            <v>2016</v>
          </cell>
          <cell r="AC87">
            <v>2017</v>
          </cell>
          <cell r="AD87">
            <v>2018</v>
          </cell>
          <cell r="AE87">
            <v>2019</v>
          </cell>
          <cell r="AF87">
            <v>2020</v>
          </cell>
          <cell r="AG87">
            <v>2021</v>
          </cell>
          <cell r="AH87">
            <v>2022</v>
          </cell>
          <cell r="AI87">
            <v>2023</v>
          </cell>
          <cell r="AJ87">
            <v>2024</v>
          </cell>
          <cell r="AK87">
            <v>2025</v>
          </cell>
        </row>
        <row r="88">
          <cell r="A88" t="str">
            <v>Lubricants</v>
          </cell>
          <cell r="B88">
            <v>1</v>
          </cell>
          <cell r="C88">
            <v>1</v>
          </cell>
          <cell r="D88">
            <v>1</v>
          </cell>
          <cell r="E88">
            <v>1</v>
          </cell>
          <cell r="F88">
            <v>1</v>
          </cell>
          <cell r="G88">
            <v>1</v>
          </cell>
          <cell r="H88">
            <v>1</v>
          </cell>
          <cell r="I88">
            <v>1</v>
          </cell>
          <cell r="J88">
            <v>1</v>
          </cell>
          <cell r="K88">
            <v>1</v>
          </cell>
          <cell r="L88">
            <v>1</v>
          </cell>
          <cell r="M88">
            <v>1</v>
          </cell>
          <cell r="N88">
            <v>1</v>
          </cell>
          <cell r="O88">
            <v>1</v>
          </cell>
          <cell r="P88">
            <v>1</v>
          </cell>
          <cell r="Q88">
            <v>1</v>
          </cell>
          <cell r="R88">
            <v>1</v>
          </cell>
          <cell r="S88">
            <v>1</v>
          </cell>
          <cell r="T88">
            <v>1</v>
          </cell>
          <cell r="U88">
            <v>1</v>
          </cell>
          <cell r="V88">
            <v>1</v>
          </cell>
          <cell r="W88">
            <v>1</v>
          </cell>
          <cell r="X88">
            <v>1</v>
          </cell>
          <cell r="Y88">
            <v>1</v>
          </cell>
          <cell r="Z88">
            <v>1</v>
          </cell>
          <cell r="AA88">
            <v>1</v>
          </cell>
          <cell r="AB88">
            <v>1</v>
          </cell>
          <cell r="AC88">
            <v>1</v>
          </cell>
          <cell r="AD88">
            <v>1</v>
          </cell>
          <cell r="AE88">
            <v>1</v>
          </cell>
          <cell r="AF88">
            <v>1</v>
          </cell>
          <cell r="AG88">
            <v>1</v>
          </cell>
        </row>
      </sheetData>
      <sheetData sheetId="18"/>
      <sheetData sheetId="19">
        <row r="7">
          <cell r="A7" t="str">
            <v>State</v>
          </cell>
          <cell r="B7">
            <v>1990</v>
          </cell>
          <cell r="C7">
            <v>1991</v>
          </cell>
          <cell r="D7">
            <v>1992</v>
          </cell>
          <cell r="E7">
            <v>1993</v>
          </cell>
          <cell r="F7">
            <v>1994</v>
          </cell>
          <cell r="G7">
            <v>1995</v>
          </cell>
          <cell r="H7">
            <v>1996</v>
          </cell>
          <cell r="I7">
            <v>1997</v>
          </cell>
          <cell r="J7">
            <v>1998</v>
          </cell>
          <cell r="K7">
            <v>1999</v>
          </cell>
          <cell r="L7">
            <v>2000</v>
          </cell>
          <cell r="M7">
            <v>2001</v>
          </cell>
          <cell r="N7">
            <v>2002</v>
          </cell>
          <cell r="O7">
            <v>2003</v>
          </cell>
          <cell r="P7">
            <v>2004</v>
          </cell>
          <cell r="Q7">
            <v>2005</v>
          </cell>
          <cell r="R7">
            <v>2006</v>
          </cell>
          <cell r="S7">
            <v>2007</v>
          </cell>
          <cell r="T7">
            <v>2008</v>
          </cell>
          <cell r="U7">
            <v>2009</v>
          </cell>
          <cell r="V7">
            <v>2010</v>
          </cell>
          <cell r="W7">
            <v>2011</v>
          </cell>
          <cell r="X7">
            <v>2012</v>
          </cell>
          <cell r="Y7">
            <v>2013</v>
          </cell>
          <cell r="Z7">
            <v>2014</v>
          </cell>
          <cell r="AA7">
            <v>2015</v>
          </cell>
          <cell r="AB7">
            <v>2016</v>
          </cell>
          <cell r="AC7">
            <v>2017</v>
          </cell>
          <cell r="AD7">
            <v>2018</v>
          </cell>
          <cell r="AE7">
            <v>2019</v>
          </cell>
          <cell r="AF7">
            <v>2020</v>
          </cell>
          <cell r="AG7">
            <v>2021</v>
          </cell>
          <cell r="AH7">
            <v>2022</v>
          </cell>
          <cell r="AI7">
            <v>2023</v>
          </cell>
          <cell r="AJ7">
            <v>2024</v>
          </cell>
          <cell r="AK7">
            <v>2025</v>
          </cell>
        </row>
        <row r="8">
          <cell r="A8" t="str">
            <v>Alabama</v>
          </cell>
          <cell r="B8">
            <v>329.28</v>
          </cell>
          <cell r="C8">
            <v>340.964</v>
          </cell>
          <cell r="D8">
            <v>175.78800000000001</v>
          </cell>
          <cell r="E8">
            <v>422.3</v>
          </cell>
          <cell r="F8">
            <v>71.070000000000007</v>
          </cell>
          <cell r="G8">
            <v>0</v>
          </cell>
          <cell r="H8">
            <v>18.593999999999998</v>
          </cell>
          <cell r="I8">
            <v>21.860999999999997</v>
          </cell>
          <cell r="J8">
            <v>2.0779999999999998</v>
          </cell>
          <cell r="K8">
            <v>4.1399999999999997</v>
          </cell>
          <cell r="L8">
            <v>0</v>
          </cell>
          <cell r="M8">
            <v>0</v>
          </cell>
          <cell r="N8">
            <v>0</v>
          </cell>
          <cell r="O8">
            <v>22.637999999999998</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Alaska</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row>
        <row r="10">
          <cell r="A10" t="str">
            <v>Arizona</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row>
        <row r="11">
          <cell r="A11" t="str">
            <v>Arkansas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row>
        <row r="12">
          <cell r="A12" t="str">
            <v>California</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Colorado</v>
          </cell>
          <cell r="B13">
            <v>15455.894999999999</v>
          </cell>
          <cell r="C13">
            <v>6974.561999999999</v>
          </cell>
          <cell r="D13">
            <v>7322.6339999999991</v>
          </cell>
          <cell r="E13">
            <v>8549.0159999999996</v>
          </cell>
          <cell r="F13">
            <v>8208.8399999999983</v>
          </cell>
          <cell r="G13">
            <v>7299.06</v>
          </cell>
          <cell r="H13">
            <v>6949.8879999999999</v>
          </cell>
          <cell r="I13">
            <v>6389.768</v>
          </cell>
          <cell r="J13">
            <v>5355.5039999999999</v>
          </cell>
          <cell r="K13">
            <v>4557.6819999999998</v>
          </cell>
          <cell r="L13">
            <v>4810.1760000000004</v>
          </cell>
          <cell r="M13">
            <v>5698.1249999999991</v>
          </cell>
          <cell r="N13">
            <v>5822.9389999999994</v>
          </cell>
          <cell r="O13">
            <v>5484.7259999999997</v>
          </cell>
          <cell r="P13">
            <v>5377.0039999999999</v>
          </cell>
          <cell r="Q13">
            <v>5438.2649999999994</v>
          </cell>
          <cell r="R13">
            <v>6345.768</v>
          </cell>
          <cell r="S13">
            <v>7075.0700000000006</v>
          </cell>
          <cell r="T13">
            <v>6383.16</v>
          </cell>
          <cell r="U13">
            <v>7670.012999999999</v>
          </cell>
          <cell r="V13">
            <v>5245.8119999999999</v>
          </cell>
          <cell r="W13">
            <v>4404.576</v>
          </cell>
          <cell r="X13">
            <v>4584.0679999999993</v>
          </cell>
          <cell r="Y13">
            <v>4227.8489999999993</v>
          </cell>
          <cell r="Z13">
            <v>4313.6399999999994</v>
          </cell>
          <cell r="AA13">
            <v>4273.92</v>
          </cell>
          <cell r="AB13">
            <v>4048.9669999999996</v>
          </cell>
          <cell r="AC13">
            <v>4475.13</v>
          </cell>
          <cell r="AD13">
            <v>5525.8280000000004</v>
          </cell>
          <cell r="AE13">
            <v>5865.3540000000003</v>
          </cell>
          <cell r="AF13">
            <v>5125.4430000000002</v>
          </cell>
          <cell r="AG13">
            <v>4190.0320000000002</v>
          </cell>
        </row>
        <row r="14">
          <cell r="A14" t="str">
            <v>Connecticut</v>
          </cell>
          <cell r="B14">
            <v>114.663</v>
          </cell>
          <cell r="C14">
            <v>150.52599999999998</v>
          </cell>
          <cell r="D14">
            <v>41.120000000000005</v>
          </cell>
          <cell r="E14">
            <v>96.537999999999997</v>
          </cell>
          <cell r="F14">
            <v>29.87</v>
          </cell>
          <cell r="G14">
            <v>69.903999999999996</v>
          </cell>
          <cell r="H14">
            <v>49.344000000000001</v>
          </cell>
          <cell r="I14">
            <v>37.998999999999995</v>
          </cell>
          <cell r="J14">
            <v>33.858000000000004</v>
          </cell>
          <cell r="K14">
            <v>31.744</v>
          </cell>
          <cell r="L14">
            <v>20.5</v>
          </cell>
          <cell r="M14">
            <v>6.1259999999999994</v>
          </cell>
          <cell r="N14">
            <v>6.1379999999999999</v>
          </cell>
          <cell r="O14">
            <v>58.196999999999996</v>
          </cell>
          <cell r="P14">
            <v>195.011</v>
          </cell>
          <cell r="Q14">
            <v>278.45999999999998</v>
          </cell>
          <cell r="R14">
            <v>92.728999999999985</v>
          </cell>
          <cell r="S14">
            <v>0</v>
          </cell>
          <cell r="T14">
            <v>0</v>
          </cell>
          <cell r="U14">
            <v>1.0189999999999999</v>
          </cell>
          <cell r="V14">
            <v>0</v>
          </cell>
          <cell r="W14">
            <v>0</v>
          </cell>
          <cell r="X14">
            <v>0</v>
          </cell>
          <cell r="Y14">
            <v>0</v>
          </cell>
          <cell r="Z14">
            <v>0</v>
          </cell>
          <cell r="AA14">
            <v>0</v>
          </cell>
          <cell r="AB14">
            <v>0</v>
          </cell>
          <cell r="AC14">
            <v>0</v>
          </cell>
          <cell r="AD14">
            <v>0</v>
          </cell>
          <cell r="AE14">
            <v>0</v>
          </cell>
          <cell r="AF14">
            <v>0</v>
          </cell>
          <cell r="AG14">
            <v>0</v>
          </cell>
        </row>
        <row r="15">
          <cell r="A15" t="str">
            <v>Delaware</v>
          </cell>
          <cell r="B15">
            <v>4524.66</v>
          </cell>
          <cell r="C15">
            <v>4406.9080000000004</v>
          </cell>
          <cell r="D15">
            <v>3793.2749999999996</v>
          </cell>
          <cell r="E15">
            <v>3722.8949999999995</v>
          </cell>
          <cell r="F15">
            <v>3141.152</v>
          </cell>
          <cell r="G15">
            <v>1.034</v>
          </cell>
          <cell r="H15">
            <v>1.0349999999999999</v>
          </cell>
          <cell r="I15">
            <v>2.0699999999999998</v>
          </cell>
          <cell r="J15">
            <v>0</v>
          </cell>
          <cell r="K15">
            <v>0</v>
          </cell>
          <cell r="L15">
            <v>6.2219999999999995</v>
          </cell>
          <cell r="M15">
            <v>0</v>
          </cell>
          <cell r="N15">
            <v>0</v>
          </cell>
          <cell r="O15">
            <v>7.2729999999999997</v>
          </cell>
          <cell r="P15">
            <v>17.594999999999999</v>
          </cell>
          <cell r="Q15">
            <v>0</v>
          </cell>
          <cell r="R15">
            <v>0</v>
          </cell>
          <cell r="S15">
            <v>5.1849999999999996</v>
          </cell>
          <cell r="T15">
            <v>2.0659999999999998</v>
          </cell>
          <cell r="U15">
            <v>2.06</v>
          </cell>
          <cell r="V15">
            <v>1.0229999999999999</v>
          </cell>
          <cell r="W15">
            <v>0</v>
          </cell>
          <cell r="X15">
            <v>0</v>
          </cell>
          <cell r="Y15">
            <v>0</v>
          </cell>
          <cell r="Z15">
            <v>6.3360000000000003</v>
          </cell>
          <cell r="AA15">
            <v>8.4</v>
          </cell>
          <cell r="AB15">
            <v>3.1379999999999999</v>
          </cell>
          <cell r="AC15">
            <v>2.0840000000000001</v>
          </cell>
          <cell r="AD15">
            <v>16.655999999999999</v>
          </cell>
          <cell r="AE15">
            <v>4.1639999999999997</v>
          </cell>
          <cell r="AF15">
            <v>0</v>
          </cell>
          <cell r="AG15">
            <v>0</v>
          </cell>
        </row>
        <row r="16">
          <cell r="A16" t="str">
            <v>District of Columbia</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row>
        <row r="17">
          <cell r="A17" t="str">
            <v>Florida</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Georgia</v>
          </cell>
          <cell r="B18">
            <v>214.64299999999997</v>
          </cell>
          <cell r="C18">
            <v>189.99499999999998</v>
          </cell>
          <cell r="D18">
            <v>170.14999999999998</v>
          </cell>
          <cell r="E18">
            <v>204.37299999999999</v>
          </cell>
          <cell r="F18">
            <v>126.69</v>
          </cell>
          <cell r="G18">
            <v>133.38</v>
          </cell>
          <cell r="H18">
            <v>96.161999999999992</v>
          </cell>
          <cell r="I18">
            <v>14.377999999999998</v>
          </cell>
          <cell r="J18">
            <v>16.431999999999999</v>
          </cell>
          <cell r="K18">
            <v>12.323999999999998</v>
          </cell>
          <cell r="L18">
            <v>74.314000000000007</v>
          </cell>
          <cell r="M18">
            <v>52.682999999999993</v>
          </cell>
          <cell r="N18">
            <v>7.1749999999999989</v>
          </cell>
          <cell r="O18">
            <v>14.405999999999999</v>
          </cell>
          <cell r="P18">
            <v>5.1449999999999996</v>
          </cell>
          <cell r="Q18">
            <v>0</v>
          </cell>
          <cell r="R18">
            <v>3.0960000000000001</v>
          </cell>
          <cell r="S18">
            <v>2.0640000000000001</v>
          </cell>
          <cell r="T18">
            <v>0</v>
          </cell>
          <cell r="U18">
            <v>53.403999999999996</v>
          </cell>
          <cell r="V18">
            <v>748.10400000000004</v>
          </cell>
          <cell r="W18">
            <v>713.61800000000005</v>
          </cell>
          <cell r="X18">
            <v>669.9</v>
          </cell>
          <cell r="Y18">
            <v>652.27200000000005</v>
          </cell>
          <cell r="Z18">
            <v>647.70000000000005</v>
          </cell>
          <cell r="AA18">
            <v>568.95799999999997</v>
          </cell>
          <cell r="AB18">
            <v>552.08000000000004</v>
          </cell>
          <cell r="AC18">
            <v>515</v>
          </cell>
          <cell r="AD18">
            <v>472.88</v>
          </cell>
          <cell r="AE18">
            <v>448.36200000000002</v>
          </cell>
          <cell r="AF18">
            <v>416.74499999999995</v>
          </cell>
          <cell r="AG18">
            <v>393.72399999999999</v>
          </cell>
        </row>
        <row r="19">
          <cell r="A19" t="str">
            <v>Hawaii</v>
          </cell>
          <cell r="B19">
            <v>3014.19</v>
          </cell>
          <cell r="C19">
            <v>2943</v>
          </cell>
          <cell r="D19">
            <v>2908.9029999999998</v>
          </cell>
          <cell r="E19">
            <v>2872.71</v>
          </cell>
          <cell r="F19">
            <v>2975.3809999999999</v>
          </cell>
          <cell r="G19">
            <v>2927.0640000000003</v>
          </cell>
          <cell r="H19">
            <v>2918.377</v>
          </cell>
          <cell r="I19">
            <v>2695.51</v>
          </cell>
          <cell r="J19">
            <v>2867.04</v>
          </cell>
          <cell r="K19">
            <v>2903.3599999999997</v>
          </cell>
          <cell r="L19">
            <v>2899.143</v>
          </cell>
          <cell r="M19">
            <v>2785.8040000000001</v>
          </cell>
          <cell r="N19">
            <v>2758.1200000000003</v>
          </cell>
          <cell r="O19">
            <v>2724.2939999999999</v>
          </cell>
          <cell r="P19">
            <v>2752.0480000000002</v>
          </cell>
          <cell r="Q19">
            <v>2702.4219999999996</v>
          </cell>
          <cell r="R19">
            <v>2735.8109999999997</v>
          </cell>
          <cell r="S19">
            <v>2782.2709999999997</v>
          </cell>
          <cell r="T19">
            <v>2669.0369999999998</v>
          </cell>
          <cell r="U19">
            <v>2544.88</v>
          </cell>
          <cell r="V19">
            <v>2570.88</v>
          </cell>
          <cell r="W19">
            <v>2585.4160000000002</v>
          </cell>
          <cell r="X19">
            <v>2625.46</v>
          </cell>
          <cell r="Y19">
            <v>2673.9479999999999</v>
          </cell>
          <cell r="Z19">
            <v>2629.578</v>
          </cell>
          <cell r="AA19">
            <v>2674.9679999999998</v>
          </cell>
          <cell r="AB19">
            <v>2820.375</v>
          </cell>
          <cell r="AC19">
            <v>2864.5499999999997</v>
          </cell>
          <cell r="AD19">
            <v>2965.846</v>
          </cell>
          <cell r="AE19">
            <v>2892.1759999999999</v>
          </cell>
          <cell r="AF19">
            <v>2099.16</v>
          </cell>
          <cell r="AG19">
            <v>2422.6020000000003</v>
          </cell>
        </row>
        <row r="20">
          <cell r="A20" t="str">
            <v>Idaho</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row>
        <row r="21">
          <cell r="A21" t="str">
            <v>Illinois</v>
          </cell>
          <cell r="B21">
            <v>8319.08</v>
          </cell>
          <cell r="C21">
            <v>6999.5109999999995</v>
          </cell>
          <cell r="D21">
            <v>8186.7560000000003</v>
          </cell>
          <cell r="E21">
            <v>9964.9599999999991</v>
          </cell>
          <cell r="F21">
            <v>8036.2909999999993</v>
          </cell>
          <cell r="G21">
            <v>6381.12</v>
          </cell>
          <cell r="H21">
            <v>3986.3279999999995</v>
          </cell>
          <cell r="I21">
            <v>4252.4649999999992</v>
          </cell>
          <cell r="J21">
            <v>2796.192</v>
          </cell>
          <cell r="K21">
            <v>2582.5940000000001</v>
          </cell>
          <cell r="L21">
            <v>1998.01</v>
          </cell>
          <cell r="M21">
            <v>778.26</v>
          </cell>
          <cell r="N21">
            <v>461.92799999999994</v>
          </cell>
          <cell r="O21">
            <v>52.779999999999994</v>
          </cell>
          <cell r="P21">
            <v>14.196</v>
          </cell>
          <cell r="Q21">
            <v>15.224999999999998</v>
          </cell>
          <cell r="R21">
            <v>13.208</v>
          </cell>
          <cell r="S21">
            <v>11.164999999999999</v>
          </cell>
          <cell r="T21">
            <v>15.21</v>
          </cell>
          <cell r="U21">
            <v>20.259999999999998</v>
          </cell>
          <cell r="V21">
            <v>17.135999999999999</v>
          </cell>
          <cell r="W21">
            <v>1.0109999999999999</v>
          </cell>
          <cell r="X21">
            <v>1.0109999999999999</v>
          </cell>
          <cell r="Y21">
            <v>0</v>
          </cell>
          <cell r="Z21">
            <v>64.448999999999998</v>
          </cell>
          <cell r="AA21">
            <v>1.0289999999999999</v>
          </cell>
          <cell r="AB21">
            <v>2.0619999999999998</v>
          </cell>
          <cell r="AC21">
            <v>2.0579999999999998</v>
          </cell>
          <cell r="AD21">
            <v>2.0579999999999998</v>
          </cell>
          <cell r="AE21">
            <v>5.1649999999999991</v>
          </cell>
          <cell r="AF21">
            <v>1289.82</v>
          </cell>
          <cell r="AG21">
            <v>1330.758</v>
          </cell>
        </row>
        <row r="22">
          <cell r="A22" t="str">
            <v>Indiana</v>
          </cell>
          <cell r="B22">
            <v>3069.27</v>
          </cell>
          <cell r="C22">
            <v>3120.078</v>
          </cell>
          <cell r="D22">
            <v>3545.5769999999998</v>
          </cell>
          <cell r="E22">
            <v>3274.0159999999996</v>
          </cell>
          <cell r="F22">
            <v>2488.9409999999998</v>
          </cell>
          <cell r="G22">
            <v>3237.3879999999999</v>
          </cell>
          <cell r="H22">
            <v>3229.1339999999996</v>
          </cell>
          <cell r="I22">
            <v>3619.3799999999997</v>
          </cell>
          <cell r="J22">
            <v>3202.5329999999999</v>
          </cell>
          <cell r="K22">
            <v>5539.9560000000001</v>
          </cell>
          <cell r="L22">
            <v>5722.5749999999998</v>
          </cell>
          <cell r="M22">
            <v>5344.2560000000003</v>
          </cell>
          <cell r="N22">
            <v>1761.9839999999999</v>
          </cell>
          <cell r="O22">
            <v>2582.712</v>
          </cell>
          <cell r="P22">
            <v>2183.4759999999997</v>
          </cell>
          <cell r="Q22">
            <v>2023.7840000000001</v>
          </cell>
          <cell r="R22">
            <v>1669.9139999999998</v>
          </cell>
          <cell r="S22">
            <v>648.97</v>
          </cell>
          <cell r="T22">
            <v>30.389999999999997</v>
          </cell>
          <cell r="U22">
            <v>1.0149999999999999</v>
          </cell>
          <cell r="V22">
            <v>1.012</v>
          </cell>
          <cell r="W22">
            <v>5.0600000000000005</v>
          </cell>
          <cell r="X22">
            <v>1.012</v>
          </cell>
          <cell r="Y22">
            <v>6.09</v>
          </cell>
          <cell r="Z22">
            <v>70.310999999999993</v>
          </cell>
          <cell r="AA22">
            <v>80.105999999999995</v>
          </cell>
          <cell r="AB22">
            <v>1.038</v>
          </cell>
          <cell r="AC22">
            <v>2.0859999999999999</v>
          </cell>
          <cell r="AD22">
            <v>34.550999999999995</v>
          </cell>
          <cell r="AE22">
            <v>30.508000000000003</v>
          </cell>
          <cell r="AF22">
            <v>2.1059999999999999</v>
          </cell>
          <cell r="AG22">
            <v>1.056</v>
          </cell>
        </row>
        <row r="23">
          <cell r="A23" t="str">
            <v>Iowa</v>
          </cell>
          <cell r="B23">
            <v>81.566999999999993</v>
          </cell>
          <cell r="C23">
            <v>46.368000000000002</v>
          </cell>
          <cell r="D23">
            <v>45.18</v>
          </cell>
          <cell r="E23">
            <v>84.251999999999995</v>
          </cell>
          <cell r="F23">
            <v>123.98399999999999</v>
          </cell>
          <cell r="G23">
            <v>96.47999999999999</v>
          </cell>
          <cell r="H23">
            <v>302.80599999999998</v>
          </cell>
          <cell r="I23">
            <v>138.23299999999998</v>
          </cell>
          <cell r="J23">
            <v>17.186999999999998</v>
          </cell>
          <cell r="K23">
            <v>12.227999999999998</v>
          </cell>
          <cell r="L23">
            <v>44.22</v>
          </cell>
          <cell r="M23">
            <v>39.155999999999999</v>
          </cell>
          <cell r="N23">
            <v>23.068999999999999</v>
          </cell>
          <cell r="O23">
            <v>143.42899999999997</v>
          </cell>
          <cell r="P23">
            <v>30.089999999999996</v>
          </cell>
          <cell r="Q23">
            <v>31.186</v>
          </cell>
          <cell r="R23">
            <v>46.552</v>
          </cell>
          <cell r="S23">
            <v>40.4</v>
          </cell>
          <cell r="T23">
            <v>27.27</v>
          </cell>
          <cell r="U23">
            <v>3.0209999999999999</v>
          </cell>
          <cell r="V23">
            <v>2.012</v>
          </cell>
          <cell r="W23">
            <v>1.0089999999999999</v>
          </cell>
          <cell r="X23">
            <v>0</v>
          </cell>
          <cell r="Y23">
            <v>0</v>
          </cell>
          <cell r="Z23">
            <v>1.04</v>
          </cell>
          <cell r="AA23">
            <v>0</v>
          </cell>
          <cell r="AB23">
            <v>2.1120000000000001</v>
          </cell>
          <cell r="AC23">
            <v>0</v>
          </cell>
          <cell r="AD23">
            <v>0</v>
          </cell>
          <cell r="AE23">
            <v>0</v>
          </cell>
          <cell r="AF23">
            <v>0</v>
          </cell>
          <cell r="AG23">
            <v>0</v>
          </cell>
        </row>
        <row r="24">
          <cell r="A24" t="str">
            <v>Kansas</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Kentucky</v>
          </cell>
          <cell r="B25">
            <v>2.08</v>
          </cell>
          <cell r="C25">
            <v>2.0939999999999999</v>
          </cell>
          <cell r="D25">
            <v>5.29</v>
          </cell>
          <cell r="E25">
            <v>16.768000000000001</v>
          </cell>
          <cell r="F25">
            <v>53.1</v>
          </cell>
          <cell r="G25">
            <v>6.5760000000000005</v>
          </cell>
          <cell r="H25">
            <v>47.204999999999998</v>
          </cell>
          <cell r="I25">
            <v>25.200000000000003</v>
          </cell>
          <cell r="J25">
            <v>2.0680000000000001</v>
          </cell>
          <cell r="K25">
            <v>3.0960000000000001</v>
          </cell>
          <cell r="L25">
            <v>10.4</v>
          </cell>
          <cell r="M25">
            <v>2.0739999999999998</v>
          </cell>
          <cell r="N25">
            <v>1.036</v>
          </cell>
          <cell r="O25">
            <v>101.62599999999999</v>
          </cell>
          <cell r="P25">
            <v>0</v>
          </cell>
          <cell r="Q25">
            <v>15.434999999999999</v>
          </cell>
          <cell r="R25">
            <v>3.0869999999999997</v>
          </cell>
          <cell r="S25">
            <v>127.34799999999998</v>
          </cell>
          <cell r="T25">
            <v>15.524999999999999</v>
          </cell>
          <cell r="U25">
            <v>18.648</v>
          </cell>
          <cell r="V25">
            <v>5.15</v>
          </cell>
          <cell r="W25">
            <v>8.2159999999999993</v>
          </cell>
          <cell r="X25">
            <v>1.03</v>
          </cell>
          <cell r="Y25">
            <v>29.724999999999998</v>
          </cell>
          <cell r="Z25">
            <v>53.403999999999996</v>
          </cell>
          <cell r="AA25">
            <v>52.122</v>
          </cell>
          <cell r="AB25">
            <v>66.95</v>
          </cell>
          <cell r="AC25">
            <v>53.346000000000004</v>
          </cell>
          <cell r="AD25">
            <v>116.43899999999999</v>
          </cell>
          <cell r="AE25">
            <v>24.126999999999999</v>
          </cell>
          <cell r="AF25">
            <v>2.0979999999999999</v>
          </cell>
          <cell r="AG25">
            <v>150.91200000000001</v>
          </cell>
        </row>
        <row r="26">
          <cell r="A26" t="str">
            <v>Louisiana</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254.976</v>
          </cell>
          <cell r="W26">
            <v>443.26499999999999</v>
          </cell>
          <cell r="X26">
            <v>561.29499999999996</v>
          </cell>
          <cell r="Y26">
            <v>570.08000000000004</v>
          </cell>
          <cell r="Z26">
            <v>530.95899999999995</v>
          </cell>
          <cell r="AA26">
            <v>489.94999999999993</v>
          </cell>
          <cell r="AB26">
            <v>447.488</v>
          </cell>
          <cell r="AC26">
            <v>0</v>
          </cell>
          <cell r="AD26">
            <v>0</v>
          </cell>
          <cell r="AE26">
            <v>0</v>
          </cell>
          <cell r="AF26">
            <v>0</v>
          </cell>
          <cell r="AG26">
            <v>0</v>
          </cell>
        </row>
        <row r="27">
          <cell r="A27" t="str">
            <v>Maine</v>
          </cell>
          <cell r="B27">
            <v>0</v>
          </cell>
          <cell r="C27">
            <v>0</v>
          </cell>
          <cell r="D27">
            <v>0</v>
          </cell>
          <cell r="E27">
            <v>0</v>
          </cell>
          <cell r="F27">
            <v>0</v>
          </cell>
          <cell r="G27">
            <v>97.536000000000001</v>
          </cell>
          <cell r="H27">
            <v>61.975999999999999</v>
          </cell>
          <cell r="I27">
            <v>31.434000000000001</v>
          </cell>
          <cell r="J27">
            <v>24.407999999999998</v>
          </cell>
          <cell r="K27">
            <v>43.774000000000001</v>
          </cell>
          <cell r="L27">
            <v>6.4379999999999997</v>
          </cell>
          <cell r="M27">
            <v>0</v>
          </cell>
          <cell r="N27">
            <v>5.1949999999999994</v>
          </cell>
          <cell r="O27">
            <v>6.2279999999999998</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Maryland</v>
          </cell>
          <cell r="B28">
            <v>24.672000000000001</v>
          </cell>
          <cell r="C28">
            <v>73.943999999999988</v>
          </cell>
          <cell r="D28">
            <v>129.52799999999999</v>
          </cell>
          <cell r="E28">
            <v>429.70400000000001</v>
          </cell>
          <cell r="F28">
            <v>1017.5969999999999</v>
          </cell>
          <cell r="G28">
            <v>624.83400000000006</v>
          </cell>
          <cell r="H28">
            <v>907.57799999999997</v>
          </cell>
          <cell r="I28">
            <v>184.05199999999999</v>
          </cell>
          <cell r="J28">
            <v>82.96</v>
          </cell>
          <cell r="K28">
            <v>514.93200000000002</v>
          </cell>
          <cell r="L28">
            <v>329.846</v>
          </cell>
          <cell r="M28">
            <v>192.88199999999998</v>
          </cell>
          <cell r="N28">
            <v>49.775999999999996</v>
          </cell>
          <cell r="O28">
            <v>166.08</v>
          </cell>
          <cell r="P28">
            <v>128.58799999999999</v>
          </cell>
          <cell r="Q28">
            <v>400.33600000000001</v>
          </cell>
          <cell r="R28">
            <v>42.558</v>
          </cell>
          <cell r="S28">
            <v>254.31</v>
          </cell>
          <cell r="T28">
            <v>187.33499999999998</v>
          </cell>
          <cell r="U28">
            <v>176.29</v>
          </cell>
          <cell r="V28">
            <v>118.10499999999999</v>
          </cell>
          <cell r="W28">
            <v>91.402999999999992</v>
          </cell>
          <cell r="X28">
            <v>120.29199999999999</v>
          </cell>
          <cell r="Y28">
            <v>111.815</v>
          </cell>
          <cell r="Z28">
            <v>851.87699999999995</v>
          </cell>
          <cell r="AA28">
            <v>862.9899999999999</v>
          </cell>
          <cell r="AB28">
            <v>685.25199999999995</v>
          </cell>
          <cell r="AC28">
            <v>634.48199999999997</v>
          </cell>
          <cell r="AD28">
            <v>439.72399999999999</v>
          </cell>
          <cell r="AE28">
            <v>105.444</v>
          </cell>
          <cell r="AF28">
            <v>131.04</v>
          </cell>
          <cell r="AG28">
            <v>161.04499999999999</v>
          </cell>
        </row>
        <row r="29">
          <cell r="A29" t="str">
            <v>Massachusetts</v>
          </cell>
          <cell r="B29">
            <v>329.04599999999999</v>
          </cell>
          <cell r="C29">
            <v>124.67999999999999</v>
          </cell>
          <cell r="D29">
            <v>108.88499999999999</v>
          </cell>
          <cell r="E29">
            <v>63.318000000000005</v>
          </cell>
          <cell r="F29">
            <v>158.00399999999999</v>
          </cell>
          <cell r="G29">
            <v>430.92</v>
          </cell>
          <cell r="H29">
            <v>437.50199999999995</v>
          </cell>
          <cell r="I29">
            <v>150.23400000000001</v>
          </cell>
          <cell r="J29">
            <v>69.563999999999993</v>
          </cell>
          <cell r="K29">
            <v>140.43200000000002</v>
          </cell>
          <cell r="L29">
            <v>27.092000000000002</v>
          </cell>
          <cell r="M29">
            <v>16.687999999999999</v>
          </cell>
          <cell r="N29">
            <v>140.97299999999998</v>
          </cell>
          <cell r="O29">
            <v>333.072</v>
          </cell>
          <cell r="P29">
            <v>82.4</v>
          </cell>
          <cell r="Q29">
            <v>47.012</v>
          </cell>
          <cell r="R29">
            <v>52.02</v>
          </cell>
          <cell r="S29">
            <v>15.374999999999998</v>
          </cell>
          <cell r="T29">
            <v>13.273</v>
          </cell>
          <cell r="U29">
            <v>10.32</v>
          </cell>
          <cell r="V29">
            <v>0</v>
          </cell>
          <cell r="W29">
            <v>0</v>
          </cell>
          <cell r="X29">
            <v>0</v>
          </cell>
          <cell r="Y29">
            <v>3.1020000000000003</v>
          </cell>
          <cell r="Z29">
            <v>110.80800000000001</v>
          </cell>
          <cell r="AA29">
            <v>92.609999999999985</v>
          </cell>
          <cell r="AB29">
            <v>58.71</v>
          </cell>
          <cell r="AC29">
            <v>56.65</v>
          </cell>
          <cell r="AD29">
            <v>79.387</v>
          </cell>
          <cell r="AE29">
            <v>36.084999999999994</v>
          </cell>
          <cell r="AF29">
            <v>10.3</v>
          </cell>
          <cell r="AG29">
            <v>15.450000000000001</v>
          </cell>
        </row>
        <row r="30">
          <cell r="A30" t="str">
            <v>Michigan</v>
          </cell>
          <cell r="B30">
            <v>19526.332000000002</v>
          </cell>
          <cell r="C30">
            <v>15316.32</v>
          </cell>
          <cell r="D30">
            <v>14987.880000000001</v>
          </cell>
          <cell r="E30">
            <v>13063.695</v>
          </cell>
          <cell r="F30">
            <v>13975.447999999999</v>
          </cell>
          <cell r="G30">
            <v>21741.425999999999</v>
          </cell>
          <cell r="H30">
            <v>22110.175999999999</v>
          </cell>
          <cell r="I30">
            <v>22593.808000000001</v>
          </cell>
          <cell r="J30">
            <v>22406.34</v>
          </cell>
          <cell r="K30">
            <v>21272.128000000001</v>
          </cell>
          <cell r="L30">
            <v>12696.306</v>
          </cell>
          <cell r="M30">
            <v>4155.3499999999995</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Minnesota</v>
          </cell>
          <cell r="B31">
            <v>56.224000000000004</v>
          </cell>
          <cell r="C31">
            <v>49.588000000000001</v>
          </cell>
          <cell r="D31">
            <v>52.571999999999996</v>
          </cell>
          <cell r="E31">
            <v>78.85799999999999</v>
          </cell>
          <cell r="F31">
            <v>292.17899999999997</v>
          </cell>
          <cell r="G31">
            <v>196.52199999999999</v>
          </cell>
          <cell r="H31">
            <v>721.76200000000006</v>
          </cell>
          <cell r="I31">
            <v>175.096</v>
          </cell>
          <cell r="J31">
            <v>51</v>
          </cell>
          <cell r="K31">
            <v>65.215999999999994</v>
          </cell>
          <cell r="L31">
            <v>102.51499999999999</v>
          </cell>
          <cell r="M31">
            <v>119.416</v>
          </cell>
          <cell r="N31">
            <v>13.090999999999999</v>
          </cell>
          <cell r="O31">
            <v>42.335999999999999</v>
          </cell>
          <cell r="P31">
            <v>71.496999999999986</v>
          </cell>
          <cell r="Q31">
            <v>155.84800000000001</v>
          </cell>
          <cell r="R31">
            <v>13.208</v>
          </cell>
          <cell r="S31">
            <v>55.025999999999996</v>
          </cell>
          <cell r="T31">
            <v>47.057999999999993</v>
          </cell>
          <cell r="U31">
            <v>48.363</v>
          </cell>
          <cell r="V31">
            <v>12.120000000000001</v>
          </cell>
          <cell r="W31">
            <v>20.2</v>
          </cell>
          <cell r="X31">
            <v>9.1709999999999994</v>
          </cell>
          <cell r="Y31">
            <v>22.505999999999997</v>
          </cell>
          <cell r="Z31">
            <v>68.177999999999997</v>
          </cell>
          <cell r="AA31">
            <v>10.4</v>
          </cell>
          <cell r="AB31">
            <v>60.145999999999994</v>
          </cell>
          <cell r="AC31">
            <v>10.329999999999998</v>
          </cell>
          <cell r="AD31">
            <v>15.734999999999999</v>
          </cell>
          <cell r="AE31">
            <v>121.44000000000001</v>
          </cell>
          <cell r="AF31">
            <v>12.696000000000002</v>
          </cell>
          <cell r="AG31">
            <v>30.682000000000002</v>
          </cell>
        </row>
        <row r="32">
          <cell r="A32" t="str">
            <v>Mississippi</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Missouri</v>
          </cell>
          <cell r="B33">
            <v>0</v>
          </cell>
          <cell r="C33">
            <v>0</v>
          </cell>
          <cell r="D33">
            <v>0</v>
          </cell>
          <cell r="E33">
            <v>0</v>
          </cell>
          <cell r="F33">
            <v>373.226</v>
          </cell>
          <cell r="G33">
            <v>4.0279999999999996</v>
          </cell>
          <cell r="H33">
            <v>793.63499999999988</v>
          </cell>
          <cell r="I33">
            <v>726.19</v>
          </cell>
          <cell r="J33">
            <v>40.44</v>
          </cell>
          <cell r="K33">
            <v>209.69099999999997</v>
          </cell>
          <cell r="L33">
            <v>986.57999999999993</v>
          </cell>
          <cell r="M33">
            <v>31.526999999999997</v>
          </cell>
          <cell r="N33">
            <v>62.744</v>
          </cell>
          <cell r="O33">
            <v>1070.7840000000001</v>
          </cell>
          <cell r="P33">
            <v>935.34</v>
          </cell>
          <cell r="Q33">
            <v>15.3</v>
          </cell>
          <cell r="R33">
            <v>79.637999999999991</v>
          </cell>
          <cell r="S33">
            <v>67.320000000000007</v>
          </cell>
          <cell r="T33">
            <v>6.048</v>
          </cell>
          <cell r="U33">
            <v>10.069999999999999</v>
          </cell>
          <cell r="V33">
            <v>18.125999999999998</v>
          </cell>
          <cell r="W33">
            <v>0</v>
          </cell>
          <cell r="X33">
            <v>0</v>
          </cell>
          <cell r="Y33">
            <v>0</v>
          </cell>
          <cell r="Z33">
            <v>174.57999999999998</v>
          </cell>
          <cell r="AA33">
            <v>0</v>
          </cell>
          <cell r="AB33">
            <v>0</v>
          </cell>
          <cell r="AC33">
            <v>0</v>
          </cell>
          <cell r="AD33">
            <v>0</v>
          </cell>
          <cell r="AE33">
            <v>0</v>
          </cell>
          <cell r="AF33">
            <v>0</v>
          </cell>
          <cell r="AG33">
            <v>19.417999999999999</v>
          </cell>
        </row>
        <row r="34">
          <cell r="A34" t="str">
            <v>Montana</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row>
        <row r="35">
          <cell r="A35" t="str">
            <v>Nebraska</v>
          </cell>
          <cell r="B35">
            <v>2320.8629999999998</v>
          </cell>
          <cell r="C35">
            <v>1999.4880000000001</v>
          </cell>
          <cell r="D35">
            <v>1406.8229999999999</v>
          </cell>
          <cell r="E35">
            <v>771.22500000000002</v>
          </cell>
          <cell r="F35">
            <v>876.65</v>
          </cell>
          <cell r="G35">
            <v>14.7</v>
          </cell>
          <cell r="H35">
            <v>317.20499999999998</v>
          </cell>
          <cell r="I35">
            <v>133.732</v>
          </cell>
          <cell r="J35">
            <v>11.032999999999999</v>
          </cell>
          <cell r="K35">
            <v>3.996</v>
          </cell>
          <cell r="L35">
            <v>340.69499999999994</v>
          </cell>
          <cell r="M35">
            <v>6.1019999999999994</v>
          </cell>
          <cell r="N35">
            <v>1.0069999999999999</v>
          </cell>
          <cell r="O35">
            <v>13.090999999999999</v>
          </cell>
          <cell r="P35">
            <v>39.350999999999999</v>
          </cell>
          <cell r="Q35">
            <v>16.143999999999998</v>
          </cell>
          <cell r="R35">
            <v>19.228000000000002</v>
          </cell>
          <cell r="S35">
            <v>33.594000000000001</v>
          </cell>
          <cell r="T35">
            <v>28.307999999999996</v>
          </cell>
          <cell r="U35">
            <v>18.216000000000001</v>
          </cell>
          <cell r="V35">
            <v>12.048</v>
          </cell>
          <cell r="W35">
            <v>9.0989999999999984</v>
          </cell>
          <cell r="X35">
            <v>4.0759999999999996</v>
          </cell>
          <cell r="Y35">
            <v>2.0720000000000001</v>
          </cell>
          <cell r="Z35">
            <v>391.79200000000003</v>
          </cell>
          <cell r="AA35">
            <v>30.652999999999999</v>
          </cell>
          <cell r="AB35">
            <v>72.012</v>
          </cell>
          <cell r="AC35">
            <v>816.96999999999991</v>
          </cell>
          <cell r="AD35">
            <v>659.32</v>
          </cell>
          <cell r="AE35">
            <v>172.27</v>
          </cell>
          <cell r="AF35">
            <v>57.617999999999995</v>
          </cell>
          <cell r="AG35">
            <v>389.05799999999999</v>
          </cell>
        </row>
        <row r="36">
          <cell r="A36" t="str">
            <v>Nevada</v>
          </cell>
          <cell r="B36">
            <v>128.875</v>
          </cell>
          <cell r="C36">
            <v>0</v>
          </cell>
          <cell r="D36">
            <v>30.929999999999996</v>
          </cell>
          <cell r="E36">
            <v>39.292000000000002</v>
          </cell>
          <cell r="F36">
            <v>9.3149999999999995</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row>
        <row r="37">
          <cell r="A37" t="str">
            <v>New Hampshire</v>
          </cell>
          <cell r="B37">
            <v>207.87</v>
          </cell>
          <cell r="C37">
            <v>128.89599999999999</v>
          </cell>
          <cell r="D37">
            <v>96.86399999999999</v>
          </cell>
          <cell r="E37">
            <v>155.54</v>
          </cell>
          <cell r="F37">
            <v>162.07999999999998</v>
          </cell>
          <cell r="G37">
            <v>90.99</v>
          </cell>
          <cell r="H37">
            <v>149.79299999999998</v>
          </cell>
          <cell r="I37">
            <v>103.12199999999999</v>
          </cell>
          <cell r="J37">
            <v>104.133</v>
          </cell>
          <cell r="K37">
            <v>111.999</v>
          </cell>
          <cell r="L37">
            <v>190.44</v>
          </cell>
          <cell r="M37">
            <v>91.332000000000008</v>
          </cell>
          <cell r="N37">
            <v>69.3</v>
          </cell>
          <cell r="O37">
            <v>60.493999999999993</v>
          </cell>
          <cell r="P37">
            <v>95.094999999999999</v>
          </cell>
          <cell r="Q37">
            <v>87.024000000000001</v>
          </cell>
          <cell r="R37">
            <v>95.22</v>
          </cell>
          <cell r="S37">
            <v>9.3960000000000008</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row>
        <row r="38">
          <cell r="A38" t="str">
            <v>New Jersey</v>
          </cell>
          <cell r="B38">
            <v>10221.012000000001</v>
          </cell>
          <cell r="C38">
            <v>15173.514000000001</v>
          </cell>
          <cell r="D38">
            <v>14735.412</v>
          </cell>
          <cell r="E38">
            <v>15488.2</v>
          </cell>
          <cell r="F38">
            <v>8038.7429999999995</v>
          </cell>
          <cell r="G38">
            <v>7538.8940000000002</v>
          </cell>
          <cell r="H38">
            <v>7022.0079999999998</v>
          </cell>
          <cell r="I38">
            <v>6690.24</v>
          </cell>
          <cell r="J38">
            <v>9427.116</v>
          </cell>
          <cell r="K38">
            <v>5985.6789999999992</v>
          </cell>
          <cell r="L38">
            <v>8586.3599999999988</v>
          </cell>
          <cell r="M38">
            <v>12786.21</v>
          </cell>
          <cell r="N38">
            <v>3656.4619999999995</v>
          </cell>
          <cell r="O38">
            <v>490.97399999999999</v>
          </cell>
          <cell r="P38">
            <v>550.66999999999996</v>
          </cell>
          <cell r="Q38">
            <v>451.96499999999997</v>
          </cell>
          <cell r="R38">
            <v>181.3</v>
          </cell>
          <cell r="S38">
            <v>392.26499999999999</v>
          </cell>
          <cell r="T38">
            <v>505.13699999999994</v>
          </cell>
          <cell r="U38">
            <v>467.16599999999994</v>
          </cell>
          <cell r="V38">
            <v>468.88200000000001</v>
          </cell>
          <cell r="W38">
            <v>402.19200000000001</v>
          </cell>
          <cell r="X38">
            <v>143.03099999999998</v>
          </cell>
          <cell r="Y38">
            <v>266.22000000000003</v>
          </cell>
          <cell r="Z38">
            <v>552.26</v>
          </cell>
          <cell r="AA38">
            <v>483.83499999999998</v>
          </cell>
          <cell r="AB38">
            <v>311.25899999999996</v>
          </cell>
          <cell r="AC38">
            <v>0</v>
          </cell>
          <cell r="AD38">
            <v>0</v>
          </cell>
          <cell r="AE38">
            <v>0</v>
          </cell>
          <cell r="AF38">
            <v>0</v>
          </cell>
          <cell r="AG38">
            <v>0</v>
          </cell>
        </row>
        <row r="39">
          <cell r="A39" t="str">
            <v>New Mexico</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row>
        <row r="40">
          <cell r="A40" t="str">
            <v>New York</v>
          </cell>
          <cell r="B40">
            <v>396.55</v>
          </cell>
          <cell r="C40">
            <v>696.98400000000004</v>
          </cell>
          <cell r="D40">
            <v>1224.51</v>
          </cell>
          <cell r="E40">
            <v>1685.502</v>
          </cell>
          <cell r="F40">
            <v>1500.88</v>
          </cell>
          <cell r="G40">
            <v>1531.72</v>
          </cell>
          <cell r="H40">
            <v>1291.7339999999999</v>
          </cell>
          <cell r="I40">
            <v>903.90600000000006</v>
          </cell>
          <cell r="J40">
            <v>718.572</v>
          </cell>
          <cell r="K40">
            <v>471.39299999999997</v>
          </cell>
          <cell r="L40">
            <v>882.024</v>
          </cell>
          <cell r="M40">
            <v>998.12999999999988</v>
          </cell>
          <cell r="N40">
            <v>1.0229999999999999</v>
          </cell>
          <cell r="O40">
            <v>18.485999999999997</v>
          </cell>
          <cell r="P40">
            <v>8.2080000000000002</v>
          </cell>
          <cell r="Q40">
            <v>14.349999999999998</v>
          </cell>
          <cell r="R40">
            <v>4.0839999999999996</v>
          </cell>
          <cell r="S40">
            <v>13.298999999999999</v>
          </cell>
          <cell r="T40">
            <v>7.1469999999999994</v>
          </cell>
          <cell r="U40">
            <v>6.1259999999999994</v>
          </cell>
          <cell r="V40">
            <v>2.044</v>
          </cell>
          <cell r="W40">
            <v>0</v>
          </cell>
          <cell r="X40">
            <v>0</v>
          </cell>
          <cell r="Y40">
            <v>0</v>
          </cell>
          <cell r="Z40">
            <v>0</v>
          </cell>
          <cell r="AA40">
            <v>0</v>
          </cell>
          <cell r="AB40">
            <v>0</v>
          </cell>
          <cell r="AC40">
            <v>0</v>
          </cell>
          <cell r="AD40">
            <v>0</v>
          </cell>
          <cell r="AE40">
            <v>0</v>
          </cell>
          <cell r="AF40">
            <v>0</v>
          </cell>
          <cell r="AG40">
            <v>0</v>
          </cell>
        </row>
        <row r="41">
          <cell r="A41" t="str">
            <v>North Carolina</v>
          </cell>
          <cell r="B41">
            <v>0</v>
          </cell>
          <cell r="C41">
            <v>0</v>
          </cell>
          <cell r="D41">
            <v>2.0680000000000001</v>
          </cell>
          <cell r="E41">
            <v>4.1399999999999997</v>
          </cell>
          <cell r="F41">
            <v>3.1080000000000001</v>
          </cell>
          <cell r="G41">
            <v>0</v>
          </cell>
          <cell r="H41">
            <v>0</v>
          </cell>
          <cell r="I41">
            <v>0</v>
          </cell>
          <cell r="J41">
            <v>0</v>
          </cell>
          <cell r="K41">
            <v>21.734999999999999</v>
          </cell>
          <cell r="L41">
            <v>2.06</v>
          </cell>
          <cell r="M41">
            <v>0</v>
          </cell>
          <cell r="N41">
            <v>1.0329999999999999</v>
          </cell>
          <cell r="O41">
            <v>1.04</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row>
        <row r="42">
          <cell r="A42" t="str">
            <v>North Dakota</v>
          </cell>
          <cell r="B42">
            <v>54844.608</v>
          </cell>
          <cell r="C42">
            <v>54974.622000000003</v>
          </cell>
          <cell r="D42">
            <v>61128.319999999992</v>
          </cell>
          <cell r="E42">
            <v>61140.800000000003</v>
          </cell>
          <cell r="F42">
            <v>60440.366000000002</v>
          </cell>
          <cell r="G42">
            <v>60262.65</v>
          </cell>
          <cell r="H42">
            <v>58716.216999999997</v>
          </cell>
          <cell r="I42">
            <v>55837.950000000004</v>
          </cell>
          <cell r="J42">
            <v>56749.536</v>
          </cell>
          <cell r="K42">
            <v>55578.324999999997</v>
          </cell>
          <cell r="L42">
            <v>50911.649999999994</v>
          </cell>
          <cell r="M42">
            <v>52483.115999999995</v>
          </cell>
          <cell r="N42">
            <v>53343.551999999996</v>
          </cell>
          <cell r="O42">
            <v>53670.727999999996</v>
          </cell>
          <cell r="P42">
            <v>48356.601999999999</v>
          </cell>
          <cell r="Q42">
            <v>53176.844000000005</v>
          </cell>
          <cell r="R42">
            <v>56752.884000000005</v>
          </cell>
          <cell r="S42">
            <v>53453.738000000005</v>
          </cell>
          <cell r="T42">
            <v>52658.512000000002</v>
          </cell>
          <cell r="U42">
            <v>56437.224999999999</v>
          </cell>
          <cell r="V42">
            <v>57827.714999999997</v>
          </cell>
          <cell r="W42">
            <v>55048.118999999999</v>
          </cell>
          <cell r="X42">
            <v>55956.164999999994</v>
          </cell>
          <cell r="Y42">
            <v>48891.784</v>
          </cell>
          <cell r="Z42">
            <v>52555.884000000005</v>
          </cell>
          <cell r="AA42">
            <v>52780.686000000002</v>
          </cell>
          <cell r="AB42">
            <v>52040.315999999999</v>
          </cell>
          <cell r="AC42">
            <v>60595.560000000005</v>
          </cell>
          <cell r="AD42">
            <v>63523.44</v>
          </cell>
          <cell r="AE42">
            <v>55835.794000000002</v>
          </cell>
          <cell r="AF42">
            <v>55977.115999999995</v>
          </cell>
          <cell r="AG42">
            <v>55351.750999999997</v>
          </cell>
        </row>
        <row r="43">
          <cell r="A43" t="str">
            <v>Ohio</v>
          </cell>
          <cell r="B43">
            <v>882.96</v>
          </cell>
          <cell r="C43">
            <v>930.20400000000006</v>
          </cell>
          <cell r="D43">
            <v>1088.836</v>
          </cell>
          <cell r="E43">
            <v>1029.6960000000001</v>
          </cell>
          <cell r="F43">
            <v>1484.9839999999999</v>
          </cell>
          <cell r="G43">
            <v>938.35199999999998</v>
          </cell>
          <cell r="H43">
            <v>1897.4640000000002</v>
          </cell>
          <cell r="I43">
            <v>1487.0349999999999</v>
          </cell>
          <cell r="J43">
            <v>1241.76</v>
          </cell>
          <cell r="K43">
            <v>1244.3999999999999</v>
          </cell>
          <cell r="L43">
            <v>1502.5640000000001</v>
          </cell>
          <cell r="M43">
            <v>1197.258</v>
          </cell>
          <cell r="N43">
            <v>82.00200000000001</v>
          </cell>
          <cell r="O43">
            <v>1038.0720000000001</v>
          </cell>
          <cell r="P43">
            <v>514.14</v>
          </cell>
          <cell r="Q43">
            <v>603.89699999999993</v>
          </cell>
          <cell r="R43">
            <v>439.49699999999996</v>
          </cell>
          <cell r="S43">
            <v>630.49599999999998</v>
          </cell>
          <cell r="T43">
            <v>478.40000000000003</v>
          </cell>
          <cell r="U43">
            <v>543.40199999999993</v>
          </cell>
          <cell r="V43">
            <v>365.00200000000001</v>
          </cell>
          <cell r="W43">
            <v>305.17599999999999</v>
          </cell>
          <cell r="X43">
            <v>377.71199999999999</v>
          </cell>
          <cell r="Y43">
            <v>431.39199999999994</v>
          </cell>
          <cell r="Z43">
            <v>677.53699999999992</v>
          </cell>
          <cell r="AA43">
            <v>498.75600000000003</v>
          </cell>
          <cell r="AB43">
            <v>252.756</v>
          </cell>
          <cell r="AC43">
            <v>411.95000000000005</v>
          </cell>
          <cell r="AD43">
            <v>412.83199999999999</v>
          </cell>
          <cell r="AE43">
            <v>407.89499999999998</v>
          </cell>
          <cell r="AF43">
            <v>358.84800000000001</v>
          </cell>
          <cell r="AG43">
            <v>2816.2400000000002</v>
          </cell>
        </row>
        <row r="44">
          <cell r="A44" t="str">
            <v>Oklahoma</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Oregon</v>
          </cell>
          <cell r="B45">
            <v>3.069</v>
          </cell>
          <cell r="C45">
            <v>4.1159999999999997</v>
          </cell>
          <cell r="D45">
            <v>2.0699999999999998</v>
          </cell>
          <cell r="E45">
            <v>3.1109999999999998</v>
          </cell>
          <cell r="F45">
            <v>2.08</v>
          </cell>
          <cell r="G45">
            <v>2.08</v>
          </cell>
          <cell r="H45">
            <v>2.08</v>
          </cell>
          <cell r="I45">
            <v>2.0920000000000001</v>
          </cell>
          <cell r="J45">
            <v>2.0859999999999999</v>
          </cell>
          <cell r="K45">
            <v>3.1529999999999996</v>
          </cell>
          <cell r="L45">
            <v>2.0539999999999998</v>
          </cell>
          <cell r="M45">
            <v>2.052</v>
          </cell>
          <cell r="N45">
            <v>5.1149999999999993</v>
          </cell>
          <cell r="O45">
            <v>5.0600000000000005</v>
          </cell>
          <cell r="P45">
            <v>2.0259999999999998</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Pennsylvania</v>
          </cell>
          <cell r="B46">
            <v>228.14</v>
          </cell>
          <cell r="C46">
            <v>229.76999999999998</v>
          </cell>
          <cell r="D46">
            <v>136.75200000000001</v>
          </cell>
          <cell r="E46">
            <v>114.07</v>
          </cell>
          <cell r="F46">
            <v>261.072</v>
          </cell>
          <cell r="G46">
            <v>77.625</v>
          </cell>
          <cell r="H46">
            <v>275.04399999999998</v>
          </cell>
          <cell r="I46">
            <v>139.72499999999999</v>
          </cell>
          <cell r="J46">
            <v>82.88</v>
          </cell>
          <cell r="K46">
            <v>123.28400000000001</v>
          </cell>
          <cell r="L46">
            <v>270.13499999999999</v>
          </cell>
          <cell r="M46">
            <v>112.77800000000001</v>
          </cell>
          <cell r="N46">
            <v>106.81099999999999</v>
          </cell>
          <cell r="O46">
            <v>131.04</v>
          </cell>
          <cell r="P46">
            <v>136.10899999999998</v>
          </cell>
          <cell r="Q46">
            <v>137.28</v>
          </cell>
          <cell r="R46">
            <v>128.71200000000002</v>
          </cell>
          <cell r="S46">
            <v>150.36499999999998</v>
          </cell>
          <cell r="T46">
            <v>127.67400000000001</v>
          </cell>
          <cell r="U46">
            <v>212.58499999999998</v>
          </cell>
          <cell r="V46">
            <v>4.1360000000000001</v>
          </cell>
          <cell r="W46">
            <v>2.0720000000000001</v>
          </cell>
          <cell r="X46">
            <v>2.08</v>
          </cell>
          <cell r="Y46">
            <v>3.1440000000000001</v>
          </cell>
          <cell r="Z46">
            <v>20.96</v>
          </cell>
          <cell r="AA46">
            <v>29.288</v>
          </cell>
          <cell r="AB46">
            <v>0</v>
          </cell>
          <cell r="AC46">
            <v>15.600000000000001</v>
          </cell>
          <cell r="AD46">
            <v>42.558</v>
          </cell>
          <cell r="AE46">
            <v>6.2279999999999998</v>
          </cell>
          <cell r="AF46">
            <v>1.038</v>
          </cell>
          <cell r="AG46">
            <v>0</v>
          </cell>
        </row>
        <row r="47">
          <cell r="A47" t="str">
            <v>Rhode Island</v>
          </cell>
          <cell r="B47">
            <v>52.428000000000004</v>
          </cell>
          <cell r="C47">
            <v>94.576000000000008</v>
          </cell>
          <cell r="D47">
            <v>157.79</v>
          </cell>
          <cell r="E47">
            <v>129.654</v>
          </cell>
          <cell r="F47">
            <v>0</v>
          </cell>
          <cell r="G47">
            <v>27.702000000000002</v>
          </cell>
          <cell r="H47">
            <v>44.52</v>
          </cell>
          <cell r="I47">
            <v>18.432000000000002</v>
          </cell>
          <cell r="J47">
            <v>1.0249999999999999</v>
          </cell>
          <cell r="K47">
            <v>1.0229999999999999</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A48" t="str">
            <v>South Carolina</v>
          </cell>
          <cell r="B48">
            <v>17.475999999999999</v>
          </cell>
          <cell r="C48">
            <v>48.268999999999998</v>
          </cell>
          <cell r="D48">
            <v>26.701999999999998</v>
          </cell>
          <cell r="E48">
            <v>34.985999999999997</v>
          </cell>
          <cell r="F48">
            <v>158.774</v>
          </cell>
          <cell r="G48">
            <v>63.673999999999992</v>
          </cell>
          <cell r="H48">
            <v>183.34</v>
          </cell>
          <cell r="I48">
            <v>10.309999999999999</v>
          </cell>
          <cell r="J48">
            <v>0</v>
          </cell>
          <cell r="K48">
            <v>18.558</v>
          </cell>
          <cell r="L48">
            <v>64.826999999999998</v>
          </cell>
          <cell r="M48">
            <v>6.2279999999999998</v>
          </cell>
          <cell r="N48">
            <v>3.0960000000000001</v>
          </cell>
          <cell r="O48">
            <v>15.540000000000001</v>
          </cell>
          <cell r="P48">
            <v>2.0699999999999998</v>
          </cell>
          <cell r="Q48">
            <v>89.181999999999988</v>
          </cell>
          <cell r="R48">
            <v>78.074999999999989</v>
          </cell>
          <cell r="S48">
            <v>0</v>
          </cell>
          <cell r="T48">
            <v>0</v>
          </cell>
          <cell r="U48">
            <v>0</v>
          </cell>
          <cell r="V48">
            <v>0</v>
          </cell>
          <cell r="W48">
            <v>0</v>
          </cell>
          <cell r="X48">
            <v>0</v>
          </cell>
          <cell r="Y48">
            <v>0</v>
          </cell>
          <cell r="Z48">
            <v>17.408000000000001</v>
          </cell>
          <cell r="AA48">
            <v>9.27</v>
          </cell>
          <cell r="AB48">
            <v>0</v>
          </cell>
          <cell r="AC48">
            <v>0</v>
          </cell>
          <cell r="AD48">
            <v>0</v>
          </cell>
          <cell r="AE48">
            <v>0</v>
          </cell>
          <cell r="AF48">
            <v>0</v>
          </cell>
          <cell r="AG48">
            <v>0</v>
          </cell>
        </row>
        <row r="49">
          <cell r="A49" t="str">
            <v>South Dakota</v>
          </cell>
          <cell r="B49">
            <v>10.16</v>
          </cell>
          <cell r="C49">
            <v>3.0540000000000003</v>
          </cell>
          <cell r="D49">
            <v>10.149999999999999</v>
          </cell>
          <cell r="E49">
            <v>9.1169999999999991</v>
          </cell>
          <cell r="F49">
            <v>61.61</v>
          </cell>
          <cell r="G49">
            <v>37.518000000000001</v>
          </cell>
          <cell r="H49">
            <v>88.218000000000004</v>
          </cell>
          <cell r="I49">
            <v>30.54</v>
          </cell>
          <cell r="J49">
            <v>4.04</v>
          </cell>
          <cell r="K49">
            <v>5.03</v>
          </cell>
          <cell r="L49">
            <v>13.064999999999998</v>
          </cell>
          <cell r="M49">
            <v>4.9950000000000001</v>
          </cell>
          <cell r="N49">
            <v>2.9969999999999999</v>
          </cell>
          <cell r="O49">
            <v>57.056999999999995</v>
          </cell>
          <cell r="P49">
            <v>5.01</v>
          </cell>
          <cell r="Q49">
            <v>4.0279999999999996</v>
          </cell>
          <cell r="R49">
            <v>0</v>
          </cell>
          <cell r="S49">
            <v>1.0029999999999999</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Tennessee</v>
          </cell>
          <cell r="B50">
            <v>3.1049999999999995</v>
          </cell>
          <cell r="C50">
            <v>8.2639999999999993</v>
          </cell>
          <cell r="D50">
            <v>12.372</v>
          </cell>
          <cell r="E50">
            <v>13.454999999999998</v>
          </cell>
          <cell r="F50">
            <v>86.688000000000002</v>
          </cell>
          <cell r="G50">
            <v>34.022999999999996</v>
          </cell>
          <cell r="H50">
            <v>75.335999999999999</v>
          </cell>
          <cell r="I50">
            <v>19.588999999999999</v>
          </cell>
          <cell r="J50">
            <v>4.12</v>
          </cell>
          <cell r="K50">
            <v>11.296999999999999</v>
          </cell>
          <cell r="L50">
            <v>13.480999999999998</v>
          </cell>
          <cell r="M50">
            <v>0</v>
          </cell>
          <cell r="N50">
            <v>1.032</v>
          </cell>
          <cell r="O50">
            <v>1.0329999999999999</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A51" t="str">
            <v>Texas</v>
          </cell>
          <cell r="B51">
            <v>1289.6000000000001</v>
          </cell>
          <cell r="C51">
            <v>1115.8119999999999</v>
          </cell>
          <cell r="D51">
            <v>1.0429999999999999</v>
          </cell>
          <cell r="E51">
            <v>3.0840000000000001</v>
          </cell>
          <cell r="F51">
            <v>1.0369999999999999</v>
          </cell>
          <cell r="G51">
            <v>1.0369999999999999</v>
          </cell>
          <cell r="H51">
            <v>0</v>
          </cell>
          <cell r="I51">
            <v>0</v>
          </cell>
          <cell r="J51">
            <v>0</v>
          </cell>
          <cell r="K51">
            <v>17.544</v>
          </cell>
          <cell r="L51">
            <v>0</v>
          </cell>
          <cell r="M51">
            <v>1544.13</v>
          </cell>
          <cell r="N51">
            <v>2.056</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83.024999999999991</v>
          </cell>
          <cell r="AF51">
            <v>1633.1559999999999</v>
          </cell>
          <cell r="AG51">
            <v>2625.518</v>
          </cell>
        </row>
        <row r="52">
          <cell r="A52" t="str">
            <v>Utah</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A53" t="str">
            <v>Vermont</v>
          </cell>
          <cell r="B53">
            <v>0</v>
          </cell>
          <cell r="C53">
            <v>5.9279999999999999</v>
          </cell>
          <cell r="D53">
            <v>2.9849999999999999</v>
          </cell>
          <cell r="E53">
            <v>3.992</v>
          </cell>
          <cell r="F53">
            <v>8.9640000000000004</v>
          </cell>
          <cell r="G53">
            <v>3.984</v>
          </cell>
          <cell r="H53">
            <v>5.0749999999999993</v>
          </cell>
          <cell r="I53">
            <v>6.0720000000000001</v>
          </cell>
          <cell r="J53">
            <v>0</v>
          </cell>
          <cell r="K53">
            <v>1.012</v>
          </cell>
          <cell r="L53">
            <v>7.0839999999999996</v>
          </cell>
          <cell r="M53">
            <v>105.248</v>
          </cell>
          <cell r="N53">
            <v>2.008</v>
          </cell>
          <cell r="O53">
            <v>10.06</v>
          </cell>
          <cell r="P53">
            <v>12.048</v>
          </cell>
          <cell r="Q53">
            <v>9.0359999999999996</v>
          </cell>
          <cell r="R53">
            <v>2.0019999999999998</v>
          </cell>
          <cell r="S53">
            <v>2.0019999999999998</v>
          </cell>
          <cell r="T53">
            <v>1.0049999999999999</v>
          </cell>
          <cell r="U53">
            <v>2.0099999999999998</v>
          </cell>
          <cell r="V53">
            <v>1.0069999999999999</v>
          </cell>
          <cell r="W53">
            <v>2.016</v>
          </cell>
          <cell r="X53">
            <v>3.036</v>
          </cell>
          <cell r="Y53">
            <v>3.0449999999999999</v>
          </cell>
          <cell r="Z53">
            <v>5.0849999999999991</v>
          </cell>
          <cell r="AA53">
            <v>3.0749999999999997</v>
          </cell>
          <cell r="AB53">
            <v>1.024</v>
          </cell>
          <cell r="AC53">
            <v>2.06</v>
          </cell>
          <cell r="AD53">
            <v>1.034</v>
          </cell>
          <cell r="AE53">
            <v>3.1080000000000001</v>
          </cell>
          <cell r="AF53">
            <v>2.0819999999999999</v>
          </cell>
          <cell r="AG53">
            <v>1.04</v>
          </cell>
        </row>
        <row r="54">
          <cell r="A54" t="str">
            <v>Virginia</v>
          </cell>
          <cell r="B54">
            <v>61.478000000000002</v>
          </cell>
          <cell r="C54">
            <v>250.08</v>
          </cell>
          <cell r="D54">
            <v>254.55499999999998</v>
          </cell>
          <cell r="E54">
            <v>561.67200000000003</v>
          </cell>
          <cell r="F54">
            <v>1240.4100000000001</v>
          </cell>
          <cell r="G54">
            <v>458.79499999999996</v>
          </cell>
          <cell r="H54">
            <v>743.92399999999998</v>
          </cell>
          <cell r="I54">
            <v>365.40000000000003</v>
          </cell>
          <cell r="J54">
            <v>154.36399999999998</v>
          </cell>
          <cell r="K54">
            <v>185.80199999999999</v>
          </cell>
          <cell r="L54">
            <v>510.25499999999994</v>
          </cell>
          <cell r="M54">
            <v>247.84299999999999</v>
          </cell>
          <cell r="N54">
            <v>128.21600000000001</v>
          </cell>
          <cell r="O54">
            <v>381.24799999999999</v>
          </cell>
          <cell r="P54">
            <v>149.35</v>
          </cell>
          <cell r="Q54">
            <v>199.68</v>
          </cell>
          <cell r="R54">
            <v>40.326000000000001</v>
          </cell>
          <cell r="S54">
            <v>92.114999999999995</v>
          </cell>
          <cell r="T54">
            <v>92.382000000000005</v>
          </cell>
          <cell r="U54">
            <v>255.892</v>
          </cell>
          <cell r="V54">
            <v>163.452</v>
          </cell>
          <cell r="W54">
            <v>91.402999999999992</v>
          </cell>
          <cell r="X54">
            <v>49.632000000000005</v>
          </cell>
          <cell r="Y54">
            <v>134.68</v>
          </cell>
          <cell r="Z54">
            <v>314.846</v>
          </cell>
          <cell r="AA54">
            <v>189.36</v>
          </cell>
          <cell r="AB54">
            <v>37.908000000000001</v>
          </cell>
          <cell r="AC54">
            <v>51.596999999999994</v>
          </cell>
          <cell r="AD54">
            <v>134.65600000000001</v>
          </cell>
          <cell r="AE54">
            <v>159.75199999999998</v>
          </cell>
          <cell r="AF54">
            <v>25.175999999999998</v>
          </cell>
          <cell r="AG54">
            <v>90.385999999999996</v>
          </cell>
        </row>
        <row r="55">
          <cell r="A55" t="str">
            <v>Washington</v>
          </cell>
          <cell r="B55">
            <v>186.43</v>
          </cell>
          <cell r="C55">
            <v>158.774</v>
          </cell>
          <cell r="D55">
            <v>185.94</v>
          </cell>
          <cell r="E55">
            <v>4.1479999999999997</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row>
        <row r="56">
          <cell r="A56" t="str">
            <v>West Virginia</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A57" t="str">
            <v>Wisconsin</v>
          </cell>
          <cell r="B57">
            <v>1.006</v>
          </cell>
          <cell r="C57">
            <v>1.0069999999999999</v>
          </cell>
          <cell r="D57">
            <v>1.0089999999999999</v>
          </cell>
          <cell r="E57">
            <v>3.0329999999999995</v>
          </cell>
          <cell r="F57">
            <v>5.0600000000000005</v>
          </cell>
          <cell r="G57">
            <v>2.0219999999999998</v>
          </cell>
          <cell r="H57">
            <v>21.272999999999996</v>
          </cell>
          <cell r="I57">
            <v>5.0549999999999997</v>
          </cell>
          <cell r="J57">
            <v>21.230999999999998</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Wyoming</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 xml:space="preserve">United States </v>
          </cell>
          <cell r="B59">
            <v>126490.18000000001</v>
          </cell>
          <cell r="C59">
            <v>115984.18000000001</v>
          </cell>
          <cell r="D59">
            <v>121456.57</v>
          </cell>
          <cell r="E59">
            <v>122330.97200000001</v>
          </cell>
          <cell r="F59">
            <v>114039.95399999998</v>
          </cell>
          <cell r="G59">
            <v>113378.12000000001</v>
          </cell>
          <cell r="H59">
            <v>112629.19499999999</v>
          </cell>
          <cell r="I59">
            <v>106557.04899999998</v>
          </cell>
          <cell r="J59">
            <v>105765.61499999999</v>
          </cell>
          <cell r="K59">
            <v>100999.97200000001</v>
          </cell>
          <cell r="L59">
            <v>92249.999999999985</v>
          </cell>
          <cell r="M59">
            <v>88642.423999999999</v>
          </cell>
          <cell r="N59">
            <v>69611.520000000004</v>
          </cell>
          <cell r="O59">
            <v>69601.767999999996</v>
          </cell>
          <cell r="P59">
            <v>61934.49</v>
          </cell>
          <cell r="Q59">
            <v>65474.347999999998</v>
          </cell>
          <cell r="R59">
            <v>67841.565999999992</v>
          </cell>
          <cell r="S59">
            <v>64836.563999999991</v>
          </cell>
          <cell r="T59">
            <v>62533.002999999997</v>
          </cell>
          <cell r="U59">
            <v>66890.474999999991</v>
          </cell>
          <cell r="V59">
            <v>66060.224999999991</v>
          </cell>
          <cell r="W59">
            <v>61409.936000000002</v>
          </cell>
          <cell r="X59">
            <v>62777.417999999998</v>
          </cell>
          <cell r="Y59">
            <v>56070.9</v>
          </cell>
          <cell r="Z59">
            <v>61550.544000000002</v>
          </cell>
          <cell r="AA59">
            <v>60794.124999999993</v>
          </cell>
          <cell r="AB59">
            <v>59303.955999999998</v>
          </cell>
          <cell r="AC59">
            <v>68061.055999999997</v>
          </cell>
          <cell r="AD59">
            <v>71839.347999999998</v>
          </cell>
          <cell r="AE59">
            <v>63013.304999999993</v>
          </cell>
          <cell r="AF59">
            <v>65481.364999999998</v>
          </cell>
          <cell r="AG59">
            <v>68420.547999999995</v>
          </cell>
        </row>
      </sheetData>
      <sheetData sheetId="20"/>
      <sheetData sheetId="21"/>
      <sheetData sheetId="22"/>
      <sheetData sheetId="23">
        <row r="19">
          <cell r="E19">
            <v>1990</v>
          </cell>
          <cell r="F19">
            <v>0.55316518655435243</v>
          </cell>
        </row>
        <row r="20">
          <cell r="E20">
            <v>1991</v>
          </cell>
          <cell r="F20">
            <v>0.53474111809927805</v>
          </cell>
        </row>
        <row r="21">
          <cell r="E21">
            <v>1992</v>
          </cell>
          <cell r="F21">
            <v>0.53836160308027292</v>
          </cell>
        </row>
        <row r="22">
          <cell r="E22">
            <v>1993</v>
          </cell>
          <cell r="F22">
            <v>0.56701584499313129</v>
          </cell>
        </row>
        <row r="23">
          <cell r="E23">
            <v>1994</v>
          </cell>
          <cell r="F23">
            <v>0.56169491234425173</v>
          </cell>
        </row>
        <row r="24">
          <cell r="E24">
            <v>1995</v>
          </cell>
          <cell r="F24">
            <v>0.57905624018106228</v>
          </cell>
        </row>
        <row r="25">
          <cell r="E25">
            <v>1996</v>
          </cell>
          <cell r="F25">
            <v>0.60017276498951955</v>
          </cell>
        </row>
        <row r="26">
          <cell r="E26">
            <v>1997</v>
          </cell>
          <cell r="F26">
            <v>0.56789804267427824</v>
          </cell>
        </row>
        <row r="27">
          <cell r="E27">
            <v>1998</v>
          </cell>
          <cell r="F27">
            <v>0.57560805229098433</v>
          </cell>
        </row>
        <row r="28">
          <cell r="E28">
            <v>1999</v>
          </cell>
          <cell r="F28">
            <v>0.55943261598138139</v>
          </cell>
        </row>
        <row r="29">
          <cell r="E29">
            <v>2000</v>
          </cell>
          <cell r="F29">
            <v>0.61553625497401032</v>
          </cell>
        </row>
        <row r="30">
          <cell r="E30">
            <v>2001</v>
          </cell>
          <cell r="F30">
            <v>0.60836328972852727</v>
          </cell>
        </row>
        <row r="31">
          <cell r="E31">
            <v>2002</v>
          </cell>
          <cell r="F31">
            <v>0.6150612700006417</v>
          </cell>
        </row>
        <row r="32">
          <cell r="E32">
            <v>2003</v>
          </cell>
          <cell r="F32">
            <v>0.61075674677275216</v>
          </cell>
        </row>
        <row r="33">
          <cell r="E33">
            <v>2004</v>
          </cell>
          <cell r="F33">
            <v>0.62182212243182899</v>
          </cell>
        </row>
        <row r="34">
          <cell r="E34">
            <v>2005</v>
          </cell>
          <cell r="F34">
            <v>0.60695154388453454</v>
          </cell>
        </row>
        <row r="35">
          <cell r="E35">
            <v>2006</v>
          </cell>
          <cell r="F35">
            <v>0.61745196149483106</v>
          </cell>
        </row>
        <row r="36">
          <cell r="E36">
            <v>2007</v>
          </cell>
          <cell r="F36">
            <v>0.64648733682648896</v>
          </cell>
        </row>
        <row r="37">
          <cell r="E37">
            <v>2008</v>
          </cell>
          <cell r="F37">
            <v>0.64121803968238422</v>
          </cell>
        </row>
        <row r="38">
          <cell r="E38">
            <v>2009</v>
          </cell>
          <cell r="F38">
            <v>0.66884012739078857</v>
          </cell>
        </row>
        <row r="39">
          <cell r="E39">
            <v>2010</v>
          </cell>
          <cell r="F39">
            <v>0.67241537638793369</v>
          </cell>
        </row>
        <row r="40">
          <cell r="E40">
            <v>2011</v>
          </cell>
          <cell r="F40">
            <v>0.68363907348270836</v>
          </cell>
        </row>
        <row r="41">
          <cell r="E41">
            <v>2012</v>
          </cell>
          <cell r="F41">
            <v>0.69631719326416741</v>
          </cell>
        </row>
        <row r="42">
          <cell r="E42">
            <v>2013</v>
          </cell>
          <cell r="F42">
            <v>0.66557810842768617</v>
          </cell>
        </row>
        <row r="43">
          <cell r="E43">
            <v>2014</v>
          </cell>
          <cell r="F43">
            <v>0.66314973072518801</v>
          </cell>
        </row>
        <row r="44">
          <cell r="E44">
            <v>2015</v>
          </cell>
          <cell r="F44">
            <v>0.66049962208558499</v>
          </cell>
        </row>
        <row r="45">
          <cell r="E45">
            <v>2016</v>
          </cell>
          <cell r="F45">
            <v>0.67872323970727644</v>
          </cell>
        </row>
        <row r="46">
          <cell r="E46">
            <v>2017</v>
          </cell>
          <cell r="F46">
            <v>0.64367099790896798</v>
          </cell>
        </row>
        <row r="47">
          <cell r="E47">
            <v>2018</v>
          </cell>
          <cell r="F47">
            <v>0.61445169997814597</v>
          </cell>
        </row>
        <row r="48">
          <cell r="E48">
            <v>2019</v>
          </cell>
          <cell r="F48">
            <v>0.61699356710493758</v>
          </cell>
        </row>
        <row r="49">
          <cell r="E49">
            <v>2020</v>
          </cell>
          <cell r="F49">
            <v>0.630671167240627</v>
          </cell>
        </row>
        <row r="50">
          <cell r="E50">
            <v>2021</v>
          </cell>
          <cell r="F50">
            <v>0.59098278295048956</v>
          </cell>
        </row>
        <row r="51">
          <cell r="E51">
            <v>2022</v>
          </cell>
          <cell r="F51">
            <v>0.59098278295048956</v>
          </cell>
        </row>
        <row r="52">
          <cell r="E52">
            <v>2023</v>
          </cell>
          <cell r="F52">
            <v>0.59098278295048956</v>
          </cell>
        </row>
        <row r="53">
          <cell r="E53">
            <v>2024</v>
          </cell>
          <cell r="F53">
            <v>0.59098278295048956</v>
          </cell>
        </row>
        <row r="54">
          <cell r="E54">
            <v>2025</v>
          </cell>
          <cell r="F54">
            <v>0.59098278295048956</v>
          </cell>
        </row>
      </sheetData>
      <sheetData sheetId="24"/>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About"/>
      <sheetName val="2035 Report Deployment"/>
      <sheetName val="2035 Report Data"/>
      <sheetName val="EPS Output"/>
      <sheetName val="AEO Table 9"/>
      <sheetName val="AEO Table 9 (2019)"/>
      <sheetName val="AEO Table 16"/>
      <sheetName val="BGBSC"/>
      <sheetName val="PAGBSC"/>
      <sheetName val="SYGBSC"/>
    </sheetNames>
    <sheetDataSet>
      <sheetData sheetId="0">
        <row r="31">
          <cell r="A31">
            <v>1000</v>
          </cell>
        </row>
      </sheetData>
      <sheetData sheetId="1"/>
      <sheetData sheetId="2" refreshError="1"/>
      <sheetData sheetId="3" refreshError="1"/>
      <sheetData sheetId="4"/>
      <sheetData sheetId="5" refreshError="1"/>
      <sheetData sheetId="6" refreshError="1"/>
      <sheetData sheetId="7"/>
      <sheetData sheetId="8" refreshError="1"/>
      <sheetData sheetId="9"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About"/>
      <sheetName val="Country Selector"/>
      <sheetName val="Multipliers and Adjustments"/>
      <sheetName val="EPA Data"/>
      <sheetName val="Tech to Policy Mapping"/>
      <sheetName val="SNAP Adjustment"/>
      <sheetName val="Cement Data"/>
      <sheetName val="Data Check"/>
      <sheetName val="PERAC-cement"/>
      <sheetName val="PERAC-ngps-mthncptr"/>
      <sheetName val="PERAC-ngps-mthndstr"/>
      <sheetName val="PERAC-fgassubstitution"/>
      <sheetName val="PERAC-fgasdestruction"/>
      <sheetName val="PERAC-fgasrecovery"/>
      <sheetName val="PERAC-inspctmaintretrofit"/>
      <sheetName val="PERAC-coalmining-mthncptr"/>
      <sheetName val="PERAC-coalmining-mthndstr"/>
      <sheetName val="PERAC-waste-mthncptr"/>
      <sheetName val="PERAC-waste-mthndstr"/>
      <sheetName val="PERAC-cropsrice"/>
      <sheetName val="PERAC-livestock"/>
      <sheetName val="PERAC-MCD"/>
    </sheetNames>
    <sheetDataSet>
      <sheetData sheetId="0">
        <row r="123">
          <cell r="A123">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User Settings"/>
      <sheetName val="Energy Use Graphs"/>
      <sheetName val="CO2 Emissions Graphs"/>
      <sheetName val="Financi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Pop Density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Steam Use - iForest"/>
      <sheetName val="India Production by Subindustry"/>
      <sheetName val="India Pop Exposure Factor"/>
      <sheetName val="Geography Names Etc."/>
    </sheetNames>
    <sheetDataSet>
      <sheetData sheetId="0">
        <row r="5">
          <cell r="B5">
            <v>2070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About"/>
      <sheetName val="User Settings"/>
      <sheetName val="Energy Use Graphs"/>
      <sheetName val="CO2 Emissions Graphs"/>
      <sheetName val="Finanic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Asian 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Production by Subindustry"/>
      <sheetName val="Geography Names Etc."/>
    </sheetNames>
    <sheetDataSet>
      <sheetData sheetId="0"/>
      <sheetData sheetId="1">
        <row r="5">
          <cell r="B5">
            <v>2070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E4">
            <v>2.9308323563892145E-2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ow r="10">
          <cell r="C10">
            <v>0.193</v>
          </cell>
        </row>
      </sheetData>
      <sheetData sheetId="102"/>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About"/>
      <sheetName val="EU Data"/>
      <sheetName val="BPFUbIP-Summed Data by Industry"/>
      <sheetName val="Calcs"/>
      <sheetName val="WHRPbI"/>
    </sheetNames>
    <sheetDataSet>
      <sheetData sheetId="0"/>
      <sheetData sheetId="1"/>
      <sheetData sheetId="2">
        <row r="3">
          <cell r="C3" t="str">
            <v>Boilers</v>
          </cell>
        </row>
      </sheetData>
      <sheetData sheetId="3">
        <row r="3">
          <cell r="C3">
            <v>0.31033233291513068</v>
          </cell>
        </row>
        <row r="4">
          <cell r="C4">
            <v>0</v>
          </cell>
        </row>
        <row r="5">
          <cell r="C5">
            <v>0.55501925030630439</v>
          </cell>
        </row>
        <row r="6">
          <cell r="C6">
            <v>0.47906040149384799</v>
          </cell>
        </row>
        <row r="7">
          <cell r="C7">
            <v>0.63987949274854616</v>
          </cell>
        </row>
        <row r="8">
          <cell r="C8">
            <v>0.4</v>
          </cell>
        </row>
        <row r="9">
          <cell r="C9">
            <v>0.86973788721207312</v>
          </cell>
        </row>
        <row r="10">
          <cell r="C10">
            <v>0.85513134401761959</v>
          </cell>
        </row>
        <row r="11">
          <cell r="C11">
            <v>0.77536793183578623</v>
          </cell>
        </row>
        <row r="12">
          <cell r="C12">
            <v>0.71612700408676522</v>
          </cell>
        </row>
        <row r="13">
          <cell r="C13">
            <v>0.28205128205128205</v>
          </cell>
        </row>
        <row r="14">
          <cell r="C14">
            <v>0.75135135135135134</v>
          </cell>
        </row>
        <row r="15">
          <cell r="C15">
            <v>0.84923168466505305</v>
          </cell>
        </row>
        <row r="16">
          <cell r="C16">
            <v>0.65160349854227417</v>
          </cell>
        </row>
        <row r="17">
          <cell r="C17">
            <v>0.60889929742388771</v>
          </cell>
        </row>
        <row r="18">
          <cell r="C18">
            <v>0.58726415094339623</v>
          </cell>
        </row>
        <row r="19">
          <cell r="C19">
            <v>0.15079365079365079</v>
          </cell>
        </row>
        <row r="20">
          <cell r="C20">
            <v>0.34210526315789475</v>
          </cell>
        </row>
        <row r="21">
          <cell r="C21">
            <v>0.21830985915492956</v>
          </cell>
        </row>
        <row r="22">
          <cell r="C22">
            <v>0.44776119402985076</v>
          </cell>
        </row>
        <row r="23">
          <cell r="C23">
            <v>0.32758620689655171</v>
          </cell>
        </row>
        <row r="24">
          <cell r="C24">
            <v>0.33931484502446985</v>
          </cell>
        </row>
        <row r="25">
          <cell r="C25">
            <v>0</v>
          </cell>
        </row>
        <row r="26">
          <cell r="C26">
            <v>0.8571428571428571</v>
          </cell>
        </row>
        <row r="27">
          <cell r="C27">
            <v>0.19942555254561314</v>
          </cell>
        </row>
      </sheetData>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data.bls.gov/pdq/SurveyOutputServlet" TargetMode="Externa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https://link.springer.com/article/10.1007/s12053-022-10071-8" TargetMode="Externa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2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D65"/>
  <sheetViews>
    <sheetView tabSelected="1" zoomScale="62" workbookViewId="0">
      <selection activeCell="B45" sqref="B45"/>
    </sheetView>
  </sheetViews>
  <sheetFormatPr baseColWidth="8" defaultColWidth="8.81640625" defaultRowHeight="14.5"/>
  <cols>
    <col width="30.81640625" customWidth="1" min="1" max="1"/>
    <col width="101.81640625" customWidth="1" min="2" max="2"/>
    <col width="37.7265625" customWidth="1" min="3" max="3"/>
    <col width="57.81640625" bestFit="1" customWidth="1" min="4" max="4"/>
    <col width="60.453125" customWidth="1" min="5" max="5"/>
  </cols>
  <sheetData>
    <row r="1">
      <c r="A1" s="1" t="inlineStr">
        <is>
          <t>PEaWHRP Process Efficiency and Waste Heat Recovery Parameters</t>
        </is>
      </c>
    </row>
    <row r="2">
      <c r="A2" s="1" t="n"/>
    </row>
    <row r="4">
      <c r="A4" s="1" t="inlineStr">
        <is>
          <t>Sources:</t>
        </is>
      </c>
      <c r="B4" s="2" t="inlineStr">
        <is>
          <t>Recovery Costs</t>
        </is>
      </c>
      <c r="D4" s="152" t="inlineStr">
        <is>
          <t>Waste Heat Recovery Equipment Costs</t>
        </is>
      </c>
    </row>
    <row r="5">
      <c r="B5" t="inlineStr">
        <is>
          <t>Kermeli et al.</t>
        </is>
      </c>
      <c r="D5" t="inlineStr">
        <is>
          <t>U.S. DOE Advanced Manufacturing Office / BCS Inc.; EPRI; Case Studies in Thermal Engineering</t>
        </is>
      </c>
    </row>
    <row r="6">
      <c r="B6" s="3" t="n">
        <v>2022</v>
      </c>
      <c r="D6" t="inlineStr">
        <is>
          <t>2008-2025</t>
        </is>
      </c>
    </row>
    <row r="7">
      <c r="B7" t="inlineStr">
        <is>
          <t>Energy efficiency potentials in the EU industry: impacts of deep decarbonization technologies</t>
        </is>
      </c>
      <c r="D7" t="inlineStr">
        <is>
          <t>Steam Tip Sheets #3 and #26A; Waste Heat Recovery: Technology and Opportunities in U.S. Industry; EPRI report 1020134; industrial ORC capex survey</t>
        </is>
      </c>
    </row>
    <row r="8">
      <c r="B8" t="inlineStr">
        <is>
          <t>https://link.springer.com/article/10.1007/s12053-022-10071-8#Sec15</t>
        </is>
      </c>
      <c r="D8" t="inlineStr">
        <is>
          <t>https://www.energy.gov/sites/prod/files/2014/05/f16/steam26a_condensing.pdf ; https://www.epri.com/research/products/1020134</t>
        </is>
      </c>
    </row>
    <row r="9">
      <c r="B9" t="inlineStr">
        <is>
          <t>Supplementary Information</t>
        </is>
      </c>
      <c r="D9" t="inlineStr">
        <is>
          <t>Basis for gap-fill technology assumptions (blue inputs); evidence table on tab 'summary'</t>
        </is>
      </c>
    </row>
    <row r="11">
      <c r="B11" s="152" t="inlineStr">
        <is>
          <t>Specific Energy Consumption</t>
        </is>
      </c>
      <c r="D11" s="152" t="inlineStr">
        <is>
          <t>Fuel Carbon Intensity</t>
        </is>
      </c>
    </row>
    <row r="12">
      <c r="B12" t="inlineStr">
        <is>
          <t>Fleiter et al. (via Kermeli et al. Table 1)</t>
        </is>
      </c>
      <c r="D12" t="inlineStr">
        <is>
          <t>U.S. Environmental Protection Agency</t>
        </is>
      </c>
    </row>
    <row r="13">
      <c r="B13" s="3" t="n">
        <v>2017</v>
      </c>
      <c r="D13" t="inlineStr">
        <is>
          <t>2022-2024</t>
        </is>
      </c>
    </row>
    <row r="14">
      <c r="B14" t="inlineStr">
        <is>
          <t>Baseline scenario of the heating and cooling demand in buildings and industry in the 14 MSs until 2050</t>
        </is>
      </c>
      <c r="D14" t="inlineStr">
        <is>
          <t>GHG Emission Factors Hub (stationary combustion); eGRID (US average grid intensity)</t>
        </is>
      </c>
    </row>
    <row r="15">
      <c r="B15" t="inlineStr">
        <is>
          <t>https://link.springer.com/article/10.1007/s12053-022-10071-8/tables/1</t>
        </is>
      </c>
      <c r="D15" t="inlineStr">
        <is>
          <t>https://www.epa.gov/climateleadership/ghg-emission-factors-hub</t>
        </is>
      </c>
    </row>
    <row r="16">
      <c r="B16" t="inlineStr">
        <is>
          <t>Pasted to tab 'Kermeli SEC'</t>
        </is>
      </c>
      <c r="D16" t="inlineStr">
        <is>
          <t>Used for the $/MMBtu -&gt; $/tCO2 equivalence table on tab 'summary'</t>
        </is>
      </c>
    </row>
    <row r="18">
      <c r="B18" s="152" t="inlineStr">
        <is>
          <t>US Production Tonnages</t>
        </is>
      </c>
      <c r="D18" s="152" t="inlineStr">
        <is>
          <t>Industry Cost of Capital</t>
        </is>
      </c>
    </row>
    <row r="19">
      <c r="B19" t="inlineStr">
        <is>
          <t>USGS; AISI / worldsteel; U.S. EIA; FAO; American Foundry Society</t>
        </is>
      </c>
      <c r="D19" t="inlineStr">
        <is>
          <t>EPS input data folder: indst / BCoISC</t>
        </is>
      </c>
    </row>
    <row r="20">
      <c r="B20" t="inlineStr">
        <is>
          <t>2018-2025</t>
        </is>
      </c>
      <c r="D20" t="inlineStr">
        <is>
          <t>as of 2026-07-29</t>
        </is>
      </c>
    </row>
    <row r="21">
      <c r="B21" t="inlineStr">
        <is>
          <t>Mineral Commodity Summaries (aluminum, soda ash, ammonia, cement, clinker); crude steel by route; coke; paper &amp; pulp; aluminum castings</t>
        </is>
      </c>
      <c r="D21" t="inlineStr">
        <is>
          <t>Real weighted average cost of capital by EPS industry (no hurdle premium included)</t>
        </is>
      </c>
    </row>
    <row r="22">
      <c r="B22" t="inlineStr">
        <is>
          <t>https://pubs.usgs.gov/periodicals/mcs2025/ ; https://www.eia.gov/todayinenergy/detail.php?id=67385</t>
        </is>
      </c>
      <c r="D22" t="inlineStr">
        <is>
          <t>Tab 'BCoISC-WACCbI'</t>
        </is>
      </c>
    </row>
    <row r="23">
      <c r="B23" t="inlineStr">
        <is>
          <t>Eight products ESTIMATED (no official source found) - see 'product map' cols I/J</t>
        </is>
      </c>
      <c r="D23" t="inlineStr">
        <is>
          <t>Real WACC by EPS industry from the EPS input-data folder (indst / BCoISC), as of 2026-07-29.</t>
        </is>
      </c>
    </row>
    <row r="25">
      <c r="B25" s="152" t="inlineStr">
        <is>
          <t>Industry Energy Base</t>
        </is>
      </c>
      <c r="D25" s="152" t="inlineStr">
        <is>
          <t>Waste Heat Potential &amp; Temperature Splits</t>
        </is>
      </c>
    </row>
    <row r="26">
      <c r="B26" t="inlineStr">
        <is>
          <t>U.S. Energy Information Administration, Manufacturing Energy Consumption Survey (MECS)</t>
        </is>
      </c>
      <c r="D26" t="inlineStr">
        <is>
          <t>Imported from 'Waste Heat Recovery Potl by Indst' file (Bianchi-derived)</t>
        </is>
      </c>
    </row>
    <row r="27">
      <c r="B27" s="3" t="n">
        <v>2018</v>
      </c>
      <c r="D27" t="inlineStr">
        <is>
          <t>-</t>
        </is>
      </c>
    </row>
    <row r="28">
      <c r="B28" t="inlineStr">
        <is>
          <t>Table 3.1 Fuel Consumption, by NAICS code</t>
        </is>
      </c>
      <c r="D28" t="inlineStr">
        <is>
          <t>Industry waste-heat potential (dimensionless) and low / medium / high temperature shares</t>
        </is>
      </c>
    </row>
    <row r="29">
      <c r="B29" t="inlineStr">
        <is>
          <t>https://www.eia.gov/consumption/manufacturing/data/2018/pdf/Table3_1.pdf</t>
        </is>
      </c>
      <c r="D29" t="inlineStr">
        <is>
          <t>External links now broken; cached values retained</t>
        </is>
      </c>
    </row>
    <row r="30">
      <c r="B30" t="inlineStr">
        <is>
          <t>Mapped to EPS industries on tab 'energy base (MECS)'</t>
        </is>
      </c>
      <c r="D30" t="inlineStr">
        <is>
          <t>Tabs: 'WHRPbI', 'EU Data', 'heat share (src)'. The source file's 'BPFUbIP-Summed Data by Industry' tab is no longer in this workbook; its values are cached where used.</t>
        </is>
      </c>
    </row>
    <row r="32">
      <c r="B32" s="152" t="inlineStr">
        <is>
          <t>Industry Heat Temperature Bands</t>
        </is>
      </c>
      <c r="D32" s="1" t="inlineStr">
        <is>
          <t>Zero-Savings &amp; Zero-Cost Corrections (rounding recovery)</t>
        </is>
      </c>
    </row>
    <row r="33">
      <c r="B33" t="inlineStr">
        <is>
          <t>Derived from the industry / BPFUbIP source file</t>
        </is>
      </c>
      <c r="D33" t="inlineStr">
        <is>
          <t>Worrell, Kermeli &amp; Galitsky (2013) ENERGY STAR Cement Guide; Fleiter et al. (2012) Energy 40(1); Worrell et al. (2010) LBNL-4779E; Zhang et al. (2021) J. Cleaner Production</t>
        </is>
      </c>
    </row>
    <row r="34">
      <c r="B34" t="inlineStr">
        <is>
          <t>-</t>
        </is>
      </c>
      <c r="D34" t="inlineStr">
        <is>
          <t>2010-2021</t>
        </is>
      </c>
    </row>
    <row r="35">
      <c r="B35" t="inlineStr">
        <is>
          <t>Share of each industry's boiler and non-boiler heat falling in five temperature bands (&lt;100C, 100-200C, 200-500C, 500-1000C, &gt;1000C)</t>
        </is>
      </c>
      <c r="D35" t="inlineStr">
        <is>
          <t>Kermeli's published tables round savings to 0.1 GJ/t and costs to whole euros, zeroing 12 small measures and 5 costs. True values recovered from the primary sources and wired into 'Kermeli Data' (green cells) via tab 'src review'.</t>
        </is>
      </c>
    </row>
    <row r="36">
      <c r="B36" t="inlineStr">
        <is>
          <t>-</t>
        </is>
      </c>
      <c r="D36" t="inlineStr">
        <is>
          <t>https://www.energystar.gov/sites/default/files/buildings/tools/ENERGY%20STAR%20Guide%20for%20the%20Cement%20Industry%2028_08_2013%20Final.pdf ; https://www.osti.gov/servlets/purl/1026806 ; doi 10.1016/j.energy.2012.02.025 ; Zhang et al. (2021) via https://pure.iiasa.ac.at/id/eprint/16625 (Elsevier PII S0959652620333801)</t>
        </is>
      </c>
    </row>
    <row r="37">
      <c r="B37" t="inlineStr">
        <is>
          <t>Tab 'indst heat consumption'; used to deduct already-credited burner-integral recovery band by band</t>
        </is>
      </c>
      <c r="D37" t="inlineStr">
        <is>
          <t>Clinker-to-cement ratio 76% (GNR 2019, via Kermeli et al. 2022) used for basis conversions; full audit trail, verdicts and open items on tab 'src review'.</t>
        </is>
      </c>
    </row>
    <row r="40">
      <c r="A40" s="1" t="inlineStr">
        <is>
          <t>Notes:</t>
        </is>
      </c>
      <c r="B40" s="152" t="n"/>
    </row>
    <row r="41">
      <c r="A41" t="inlineStr">
        <is>
          <t>Purpose</t>
        </is>
      </c>
      <c r="B41" t="inlineStr">
        <is>
          <t>Converts the single-average WHR capital cost into measure-level cost data and cost-binned energy-savings supply curves for EPS. (The LEGACY Calcs and WHRCC tabs that held the original single-average calculation were validated against the new outputs and removed 2026-07-29.)</t>
        </is>
      </c>
    </row>
    <row r="42">
      <c r="A42" t="inlineStr">
        <is>
          <t>Outputs</t>
        </is>
      </c>
      <c r="B42" t="inlineStr">
        <is>
          <t>PEaWHRP-WMD / PEaWHRP-PMD = measure-level data (25 EPS industries x 7 waste-heat / 17 efficiency measure slots; savings as % of industry fuel or electricity, capital and operating intensities per unit of annual savings capacity, lifetime). PEaWHRP-WM / PEaWHRP-PM = subscript element lists. Efficiency slots reduced 18 -&gt; 17 on 2026-07-29 by re-packing the chemicals list after an equipment-replacement exclusion.</t>
        </is>
      </c>
    </row>
    <row r="43">
      <c r="A43" t="inlineStr">
        <is>
          <t>Master table</t>
        </is>
      </c>
      <c r="B43" s="74" t="inlineStr">
        <is>
          <t>Kermeli Data' - extended with added columns (classification, EPS industry, carrier shares, temperature band); source values never retyped.</t>
        </is>
      </c>
    </row>
    <row r="44">
      <c r="A44" t="inlineStr">
        <is>
          <t>Classification</t>
        </is>
      </c>
      <c r="B44" t="inlineStr">
        <is>
          <t>Three buckets: (1) unit WHR = burner-integral recovery, excluded (handled in the unit-efficiency files); (2) system WHR = process-level recovery -&gt; waste-heat outputs; (3) other process efficiency -&gt; efficiency outputs.</t>
        </is>
      </c>
    </row>
    <row r="45">
      <c r="A45" t="inlineStr">
        <is>
          <t>Classification rulings (G0.1)</t>
        </is>
      </c>
      <c r="B45" t="inlineStr">
        <is>
          <t>Scrap preheat = system WHR; ammonia air preheat = system WHR; glass low-NOx burners = unit (excluded); optimized burning = process; CHP and cogeneration = excluded; top-gas recovery turbine = system WHR; top-gas recycling = process; clinker substitution = excluded; the fuel-switching and electrification block = excluded. Row-by-row map on tab 'reconciliation'.</t>
        </is>
      </c>
    </row>
    <row r="46">
      <c r="A46" t="inlineStr">
        <is>
          <t>Do-not-double-count</t>
        </is>
      </c>
      <c r="B46" t="inlineStr">
        <is>
          <t>Recovery already credited in unit-efficiency files is never re-credited: glass regenerative furnaces; blast-furnace hot-blast stoves and coke-oven regenerators; cement preheater/precalciner; recuperative/regenerative burners generally.</t>
        </is>
      </c>
    </row>
    <row r="47">
      <c r="A47" t="inlineStr">
        <is>
          <t>Burner-integral credits</t>
        </is>
      </c>
      <c r="B47" t="inlineStr">
        <is>
          <t>Start-year penetrations already credited by temperature band: &lt;100C 0%; 100-200C 0%; 200-500C 5%; 500-1000C 17.4%; &gt;1000C 58.7%. Deducted when sizing gap-fill.</t>
        </is>
      </c>
    </row>
    <row r="48">
      <c r="A48" t="inlineStr">
        <is>
          <t>Energy base (G0.6)</t>
        </is>
      </c>
      <c r="B48" t="inlineStr">
        <is>
          <t>Fuel savings are expressed as a percentage of industry TOTAL COMBUSTION FUEL (MECS total less electricity); electricity savings as a percentage of total net electricity. Kermeli Table 1 reports a heating share of 1.0 for fuels in every product, so fuel savings draw on total fuel. The heat-share column on 'energy base (MECS)' is retained for reference only.</t>
        </is>
      </c>
    </row>
    <row r="49">
      <c r="A49" t="inlineStr">
        <is>
          <t>Discount rate</t>
        </is>
      </c>
      <c r="B49" t="inlineStr">
        <is>
          <t>Industry real WACC (tab 'BCoISC-WACCbI') + hurdle premium of 7 percentage points (input cell economics!AE4) =&gt; approx. 10.6-12.6% for covered industries. A flat 15% sensitivity is retained in economics column Y.</t>
        </is>
      </c>
    </row>
    <row r="50">
      <c r="A50" t="inlineStr">
        <is>
          <t>Cost of conserved energy</t>
        </is>
      </c>
      <c r="B50" t="inlineStr">
        <is>
          <t>CCE = (investment annualised over technical lifetime + annual O&amp;M) / annual energy saved, in 2012$/MMBtu, gross of the fuel-savings benefit. Mixed-carrier measures allocate investment and O&amp;M in proportion to carrier savings shares. Negative-O&amp;M measures may return negative CCE and are retained.</t>
        </is>
      </c>
    </row>
    <row r="51">
      <c r="A51" t="inlineStr">
        <is>
          <t>Cost dispersion</t>
        </is>
      </c>
      <c r="B51" t="inlineStr">
        <is>
          <t>Each measure's CCE is treated as the mean of a normal distribution with sigma = 0.30 x |CCE|; tail mass below the bottom edge pools into the bottom bin and above the top edge into the top bin. Applied on the binned tabs ('dist engine'); left endogenous to EPS/Vensim for the measure-level tables.</t>
        </is>
      </c>
    </row>
    <row r="52">
      <c r="A52" t="inlineStr">
        <is>
          <t>Bins</t>
        </is>
      </c>
      <c r="B52" t="inlineStr">
        <is>
          <t>Approved edges: &lt;= $0 (bottom), $0.25 steps to $20, &gt; $20 (top) = 82 bins per carrier. (The former 'bins proposal' tab has been removed; this line is the record.)</t>
        </is>
      </c>
    </row>
    <row r="53">
      <c r="A53" t="inlineStr">
        <is>
          <t>Gap-fill (covered industries)</t>
        </is>
      </c>
      <c r="B53" t="inlineStr">
        <is>
          <t>Kermeli omits generic bolt-on recovery, so covered industries are filled toward their literature potential: target = potential x [LT + 0.95 x MT + (1 - band credit) x HT], less existing measure capture; split into an economizer/condensing class (low+medium temperature) and a recuperator/APH class (high temperature). Assumptions are blue inputs on tab 'summary'.</t>
        </is>
      </c>
    </row>
    <row r="54">
      <c r="A54" t="inlineStr">
        <is>
          <t>Bianchi fill (uncovered)</t>
        </is>
      </c>
      <c r="B54" t="inlineStr">
        <is>
          <t>The 19 industries with no Kermeli products carry their full Bianchi potential in the fuel-whr outputs at an assumed generic cost; zero in the electricity and process outputs. Covered industries never receive a Bianchi-fill row (they use gap-fill instead) to avoid double counting.</t>
        </is>
      </c>
    </row>
    <row r="55">
      <c r="A55" t="inlineStr">
        <is>
          <t>Capital cost</t>
        </is>
      </c>
      <c r="B55" t="inlineStr">
        <is>
          <t>Capital and operating intensities are reported per unit of annual savings capacity (2012$ per MMBtu/yr and 2012$/yr per MMBtu/yr) so that partial deployment prices correctly; per-bin intensities on the binned tabs, per-measure on WHRCC-WMD / WHRCC-PMD.</t>
        </is>
      </c>
    </row>
    <row r="56">
      <c r="A56" t="inlineStr">
        <is>
          <t>Estimated inputs</t>
        </is>
      </c>
      <c r="B56" t="inlineStr">
        <is>
          <t>Tonnages for container and flat glass, three pulp grades, methanol, carbon black and aluminium castings are ESTIMATES (no official source); ethylene is a 2019 figure. All tagged on 'product map'. Gap-fill technology costs are assumptions, not data.</t>
        </is>
      </c>
    </row>
    <row r="57">
      <c r="A57" t="inlineStr">
        <is>
          <t>Known limitations</t>
        </is>
      </c>
      <c r="B57" t="inlineStr">
        <is>
          <t>Aluminium foundries 'liquid metal as feedstock' is credited gross, as published by Kermeli; part of the saving is upstream re-melt energy. Eight production tonnages are estimates and one (ethylene) is a 2019 figure. Gap-fill technology costs are assumptions rather than measured data, with the economizer and condensing classes resting on a published cost range rather than a specific study. Cost dispersion is applied on the binned tabs only; the measure-level tables leave it to the receiving model. Industry cost-of-capital source and vintage are not documented in this file.</t>
        </is>
      </c>
    </row>
    <row r="58">
      <c r="A58" t="inlineStr">
        <is>
          <t>Validation</t>
        </is>
      </c>
      <c r="B58" t="inlineStr">
        <is>
          <t>Tab 'validation': (a) fuel-whr cumulative &lt;= Bianchi potential per covered industry; (b) SEC x production vs MECS industry energy; (c) five independent CCE recomputations; (d) distribution mass conservation. Each output tab also carries a reduction-vs-capex checker.</t>
        </is>
      </c>
    </row>
    <row r="59">
      <c r="A59" t="inlineStr">
        <is>
          <t>Temperature bands</t>
        </is>
      </c>
      <c r="B59" t="inlineStr">
        <is>
          <t>Gap-fill and Bianchi-fill targets are reduced by the burner-integral penetration already credited in the unit-efficiency files, applied band by band using each industry's five-band heat split (tab 'indst heat consumption', columns D-H) and the credited penetrations on tab 'summary' (cells B93:F93). Bands below 500C are filled with the economizer/condensing class, bands above 500C with the recuperator/air-preheater class.</t>
        </is>
      </c>
    </row>
    <row r="61">
      <c r="A61" s="1" t="inlineStr">
        <is>
          <t>Conversions:</t>
        </is>
      </c>
      <c r="C61" s="1" t="inlineStr">
        <is>
          <t>Source / verification (primary)</t>
        </is>
      </c>
    </row>
    <row r="62">
      <c r="A62" s="210">
        <f>1/cpi!B12</f>
        <v/>
      </c>
      <c r="B62" t="inlineStr">
        <is>
          <t>2021 EUR to 2021 USD</t>
        </is>
      </c>
      <c r="C62" t="inlineStr">
        <is>
          <t>Live link: = 1 / cpi!B12 (ECB 2021 annual avg 1.1827 USD/EUR). Replaces hardcoded 0.8458 (which matched neither ECB 0.8455 nor IRS 0.846 exactly); applied as divisor: EUR/GJ / rate = USD/GJ.</t>
        </is>
      </c>
    </row>
    <row r="63">
      <c r="A63" s="210">
        <f>cpi!B10</f>
        <v/>
      </c>
      <c r="B63" t="inlineStr">
        <is>
          <t>2021 USD to 2012 USD</t>
        </is>
      </c>
      <c r="C63" t="inlineStr">
        <is>
          <t>Live link: = cpi!B10 = CPI2012/CPI2021, computed from the full BLS CPI-U series on tab 'Data' (229.594 / 270.970 = 0.8473). Replaces hardcoded 0.847.</t>
        </is>
      </c>
    </row>
    <row r="64">
      <c r="A64" s="210">
        <f>cpi!B13</f>
        <v/>
      </c>
      <c r="B64" t="inlineStr">
        <is>
          <t>GJ to BTU</t>
        </is>
      </c>
      <c r="C64" t="inlineStr">
        <is>
          <t>NIST: 1 Btu(IT) = 1055.05585 J -&gt; 1 GJ = 1e9 / 1055.05585 = 947,817 Btu. Value verified.</t>
        </is>
      </c>
    </row>
    <row r="65">
      <c r="A65" s="210">
        <f>'src review'!B9</f>
        <v/>
      </c>
      <c r="B65" t="inlineStr">
        <is>
          <t>clinker-to-cement ratio (2015)</t>
        </is>
      </c>
      <c r="C65" t="inlineStr">
        <is>
          <t>GNR (2019) via Kermeli et al. (2022). Input cell: 'src review'!B9 - used to convert per-tonne-cement source figures onto Kermeli's per-tonne-clinker basis and vice versa.</t>
        </is>
      </c>
    </row>
  </sheetData>
  <pageMargins left="0.7" right="0.7" top="0.75" bottom="0.75" header="0.3" footer="0.3"/>
  <pageSetup orientation="portrait" horizontalDpi="1200" verticalDpi="12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6" customWidth="1" min="1" max="1"/>
    <col width="70" customWidth="1" min="2" max="2"/>
    <col width="110" customWidth="1" min="3" max="3"/>
  </cols>
  <sheetData>
    <row r="1">
      <c r="A1" s="259" t="inlineStr">
        <is>
          <t>Hand-maintained model input CSVs (not produced by ExportPEaWHRP.py)</t>
        </is>
      </c>
      <c r="B1" t="inlineStr"/>
      <c r="C1" t="inlineStr"/>
    </row>
    <row r="2">
      <c r="A2" t="inlineStr">
        <is>
          <t>Documented 2026-07-31. These four CSVs live beside this workbook and are read directly by EPS.mdl. Edit them in a text editor; keep this tab in sync.</t>
        </is>
      </c>
      <c r="B2" t="inlineStr"/>
      <c r="C2" t="inlineStr"/>
    </row>
    <row r="4">
      <c r="A4" s="260" t="inlineStr">
        <is>
          <t>File</t>
        </is>
      </c>
      <c r="B4" s="260" t="inlineStr">
        <is>
          <t>Contents &amp; units</t>
        </is>
      </c>
      <c r="C4" s="260" t="inlineStr">
        <is>
          <t>Methodology &amp; sources</t>
        </is>
      </c>
    </row>
    <row r="5">
      <c r="A5" t="inlineStr">
        <is>
          <t>PEaWHRP-PAC.csv</t>
        </is>
      </c>
      <c r="B5" t="inlineStr">
        <is>
          <t>Payback acceptance curve: share of firms accepting a simple payback of N years (survivor curve), rows = Measure Set (waste heat / process efficiency, currently identical), cols = payback grid 0-10 yr. Read as Vensim lookups (PAC Payback Acceptance Curve).</t>
        </is>
      </c>
      <c r="C5" t="inlineStr">
        <is>
          <t>Anchored on revealed adoption in DOE IAC audit data: Anderson &amp; Newell (2004), RFF/Resources for the Future - implicit threshold 1.25-1.5 yr payback (65-80% hurdle rate), ~half of recommendations rejected; Muthulingam, Corbett, Benartzi &amp; Oppenheim (2013), M&amp;SOM 15(4) - 89,299 recommendations, mean payback 1.06 yr, adoption 50.16%. Shape ~lognormal(median 1 yr, sigma 0.9); S(0)=0.85 reflects incomplete adoption even at instant payback. Same construct as EIA NEMS IDM 'AcceptFrac' payback acceptance curve (kept as optimistic sensitivity bound, NOT adopted - it is a CHP engineering assumption, 100% acceptance at 1 yr). Full derivation: PEaWHRP_PaybackAcceptance_Plan.md at repo root.</t>
        </is>
      </c>
    </row>
    <row r="6">
      <c r="A6" t="inlineStr">
        <is>
          <t>PEaWHRP-MCL-mult.csv</t>
        </is>
      </c>
      <c r="B6" t="inlineStr">
        <is>
          <t>Measure Cost Level multipliers scaling levelized cost / payback across 5 cost variants per measure. Decision-only: cash flows use unadjusted input costs.</t>
        </is>
      </c>
      <c r="C6" t="inlineStr">
        <is>
          <t>Equal-probability quintile midpoints of Normal(mean 1, sigma 0.30): 0.62/0.84/1.00/1.16/1.38. The +/-30% sigma spread was specified in the project brief (Dan O'Brien); discretization documented in WHR_EfficiencyMeasures_Restructure_Plan.md sec 4.5. Note: for measures with negative O&amp;M cost the multiplier amplifies the benefit at high cost levels - flagged for review.</t>
        </is>
      </c>
    </row>
    <row r="7">
      <c r="A7" t="inlineStr">
        <is>
          <t>PEaWHRP-MCL-share.csv</t>
        </is>
      </c>
      <c r="B7" t="inlineStr">
        <is>
          <t>Share of each measure's potential assigned to each cost level; must sum to 1.</t>
        </is>
      </c>
      <c r="C7" t="inlineStr">
        <is>
          <t>Equal 20% shares by construction (quintile discretization, same source as multipliers).</t>
        </is>
      </c>
    </row>
    <row r="8">
      <c r="A8" t="inlineStr">
        <is>
          <t>PEaWHRP-SoCEMDSiaY.csv</t>
        </is>
      </c>
      <c r="B8" t="inlineStr">
        <is>
          <t>Share of each cost-effective tranche's remaining potential that begins deployment per year (0.2).</t>
        </is>
      </c>
      <c r="C8" t="inlineStr">
        <is>
          <t>Mirrors the industrial CCS convention SoCECRCSiaY (InputData/ccs/SoCECRCSiaY/SoCECRCSiaY.csv = 0.2/yr), adopted for consistency across EPS endogenous-deployment structures.</t>
        </is>
      </c>
    </row>
    <row r="10">
      <c r="A10" t="inlineStr">
        <is>
          <t>Retired:</t>
        </is>
      </c>
      <c r="B10" t="inlineStr">
        <is>
          <t>PEaWHRP-MHRP.csv (hurdle premium; superseded by the PAC curve 2026-07-31), PEaWHRP-PSUS.csv (price-signal unlock sensitivity; superseded by the PAC curve 2026-07-31). Kept as .retired files for history.</t>
        </is>
      </c>
      <c r="C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0"/>
  <sheetViews>
    <sheetView workbookViewId="0">
      <selection activeCell="L6" sqref="L6"/>
    </sheetView>
  </sheetViews>
  <sheetFormatPr baseColWidth="8" defaultRowHeight="14.5"/>
  <cols>
    <col width="10.54296875" customWidth="1" min="14" max="14"/>
    <col width="28.1796875" customWidth="1" min="15" max="15"/>
  </cols>
  <sheetData>
    <row r="1">
      <c r="A1" t="inlineStr">
        <is>
          <t>Historical Consumer Price Index for All Urban Consumers (CPI-U): U.S. city average, all items, index</t>
        </is>
      </c>
    </row>
    <row r="2">
      <c r="A2" t="inlineStr">
        <is>
          <t>averages — Continued</t>
        </is>
      </c>
    </row>
    <row r="3">
      <c r="A3" t="inlineStr">
        <is>
          <t>[1982-84=100, unless otherwise noted]</t>
        </is>
      </c>
    </row>
    <row r="5">
      <c r="A5" s="1" t="inlineStr">
        <is>
          <t>Source:</t>
        </is>
      </c>
      <c r="B5" t="inlineStr">
        <is>
          <t>U.S. Bureau of Labor Statistics</t>
        </is>
      </c>
    </row>
    <row r="6">
      <c r="B6" s="3" t="n">
        <v>2024</v>
      </c>
    </row>
    <row r="7">
      <c r="B7" t="inlineStr">
        <is>
          <t>Historical CPI-U</t>
        </is>
      </c>
    </row>
    <row r="8">
      <c r="B8" s="248" t="inlineStr">
        <is>
          <t>https://data.bls.gov/pdq/SurveyOutputServlet</t>
        </is>
      </c>
    </row>
    <row r="10">
      <c r="A10" t="inlineStr">
        <is>
          <t>Year</t>
        </is>
      </c>
      <c r="B10" t="inlineStr">
        <is>
          <t>Semiannual averages</t>
        </is>
      </c>
      <c r="D10" t="inlineStr">
        <is>
          <t>Annual avg.</t>
        </is>
      </c>
      <c r="E10" t="inlineStr">
        <is>
          <t>Percent change from previous</t>
        </is>
      </c>
      <c r="G10" s="1" t="inlineStr">
        <is>
          <t>Multiply by to get 2012 Dollars</t>
        </is>
      </c>
    </row>
    <row r="11">
      <c r="B11" t="inlineStr">
        <is>
          <t>1st half</t>
        </is>
      </c>
      <c r="C11" t="inlineStr">
        <is>
          <t>2nd half</t>
        </is>
      </c>
      <c r="E11" t="inlineStr">
        <is>
          <t>Dec.</t>
        </is>
      </c>
      <c r="F11" t="inlineStr">
        <is>
          <t>Annual avg.</t>
        </is>
      </c>
    </row>
    <row r="12">
      <c r="A12" t="inlineStr">
        <is>
          <t>1968............................................................................. .</t>
        </is>
      </c>
      <c r="B12" t="inlineStr">
        <is>
          <t>–</t>
        </is>
      </c>
      <c r="C12" t="inlineStr">
        <is>
          <t>–</t>
        </is>
      </c>
      <c r="D12" t="n">
        <v>34.8</v>
      </c>
      <c r="E12" t="n">
        <v>4.7</v>
      </c>
      <c r="F12" t="n">
        <v>4.2</v>
      </c>
    </row>
    <row r="13">
      <c r="A13" t="inlineStr">
        <is>
          <t>1969............................................................................. .</t>
        </is>
      </c>
      <c r="B13" t="inlineStr">
        <is>
          <t>–</t>
        </is>
      </c>
      <c r="C13" t="inlineStr">
        <is>
          <t>–</t>
        </is>
      </c>
      <c r="D13" t="n">
        <v>36.7</v>
      </c>
      <c r="E13" t="n">
        <v>6.2</v>
      </c>
      <c r="F13" t="n">
        <v>5.5</v>
      </c>
    </row>
    <row r="14">
      <c r="A14" t="inlineStr">
        <is>
          <t>1970............................................................................. .</t>
        </is>
      </c>
      <c r="B14" t="inlineStr">
        <is>
          <t>–</t>
        </is>
      </c>
      <c r="C14" t="inlineStr">
        <is>
          <t>–</t>
        </is>
      </c>
      <c r="D14" t="n">
        <v>38.8</v>
      </c>
      <c r="E14" t="n">
        <v>5.6</v>
      </c>
      <c r="F14" t="n">
        <v>5.7</v>
      </c>
    </row>
    <row r="15">
      <c r="A15" t="inlineStr">
        <is>
          <t>1971............................................................................. .</t>
        </is>
      </c>
      <c r="B15" t="inlineStr">
        <is>
          <t>–</t>
        </is>
      </c>
      <c r="C15" t="inlineStr">
        <is>
          <t>–</t>
        </is>
      </c>
      <c r="D15" t="n">
        <v>40.5</v>
      </c>
      <c r="E15" t="n">
        <v>3.3</v>
      </c>
      <c r="F15" t="n">
        <v>4.4</v>
      </c>
    </row>
    <row r="16">
      <c r="A16" t="inlineStr">
        <is>
          <t>1972............................................................................. .</t>
        </is>
      </c>
      <c r="B16" t="inlineStr">
        <is>
          <t>–</t>
        </is>
      </c>
      <c r="C16" t="inlineStr">
        <is>
          <t>–</t>
        </is>
      </c>
      <c r="D16" t="n">
        <v>41.8</v>
      </c>
      <c r="E16" t="n">
        <v>3.4</v>
      </c>
      <c r="F16" t="n">
        <v>3.2</v>
      </c>
    </row>
    <row r="17">
      <c r="A17" t="inlineStr">
        <is>
          <t>1973............................................................................. .</t>
        </is>
      </c>
      <c r="B17" t="inlineStr">
        <is>
          <t>–</t>
        </is>
      </c>
      <c r="C17" t="inlineStr">
        <is>
          <t>–</t>
        </is>
      </c>
      <c r="D17" t="n">
        <v>44.4</v>
      </c>
      <c r="E17" t="n">
        <v>8.699999999999999</v>
      </c>
      <c r="F17" t="n">
        <v>6.2</v>
      </c>
    </row>
    <row r="18">
      <c r="A18" t="inlineStr">
        <is>
          <t>1974............................................................................. .</t>
        </is>
      </c>
      <c r="B18" t="inlineStr">
        <is>
          <t>–</t>
        </is>
      </c>
      <c r="C18" t="inlineStr">
        <is>
          <t>–</t>
        </is>
      </c>
      <c r="D18" t="n">
        <v>49.3</v>
      </c>
      <c r="E18" t="n">
        <v>12.3</v>
      </c>
      <c r="F18" t="n">
        <v>11</v>
      </c>
    </row>
    <row r="19">
      <c r="A19" t="inlineStr">
        <is>
          <t>1975............................................................................. .</t>
        </is>
      </c>
      <c r="B19" t="inlineStr">
        <is>
          <t>–</t>
        </is>
      </c>
      <c r="C19" t="inlineStr">
        <is>
          <t>–</t>
        </is>
      </c>
      <c r="D19" t="n">
        <v>53.8</v>
      </c>
      <c r="E19" t="n">
        <v>6.9</v>
      </c>
      <c r="F19" t="n">
        <v>9.1</v>
      </c>
    </row>
    <row r="20">
      <c r="A20" t="inlineStr">
        <is>
          <t>1976............................................................................. .</t>
        </is>
      </c>
      <c r="B20" t="inlineStr">
        <is>
          <t>–</t>
        </is>
      </c>
      <c r="C20" t="inlineStr">
        <is>
          <t>–</t>
        </is>
      </c>
      <c r="D20" t="n">
        <v>56.9</v>
      </c>
      <c r="E20" t="n">
        <v>4.9</v>
      </c>
      <c r="F20" t="n">
        <v>5.8</v>
      </c>
    </row>
    <row r="21">
      <c r="A21" t="inlineStr">
        <is>
          <t>1977............................................................................. .</t>
        </is>
      </c>
      <c r="B21" t="inlineStr">
        <is>
          <t>–</t>
        </is>
      </c>
      <c r="C21" t="inlineStr">
        <is>
          <t>–</t>
        </is>
      </c>
      <c r="D21" t="n">
        <v>60.6</v>
      </c>
      <c r="E21" t="n">
        <v>6.7</v>
      </c>
      <c r="F21" t="n">
        <v>6.5</v>
      </c>
    </row>
    <row r="22">
      <c r="A22" t="inlineStr">
        <is>
          <t>1978............................................................................. .</t>
        </is>
      </c>
      <c r="B22" t="inlineStr">
        <is>
          <t>–</t>
        </is>
      </c>
      <c r="C22" t="inlineStr">
        <is>
          <t>–</t>
        </is>
      </c>
      <c r="D22" t="n">
        <v>65.2</v>
      </c>
      <c r="E22" t="n">
        <v>9</v>
      </c>
      <c r="F22" t="n">
        <v>7.6</v>
      </c>
    </row>
    <row r="23">
      <c r="A23" t="inlineStr">
        <is>
          <t>1979............................................................................. .</t>
        </is>
      </c>
      <c r="B23" t="inlineStr">
        <is>
          <t>–</t>
        </is>
      </c>
      <c r="C23" t="inlineStr">
        <is>
          <t>–</t>
        </is>
      </c>
      <c r="D23" t="n">
        <v>72.59999999999999</v>
      </c>
      <c r="E23" t="n">
        <v>13.3</v>
      </c>
      <c r="F23" t="n">
        <v>11.3</v>
      </c>
    </row>
    <row r="24">
      <c r="A24" t="inlineStr">
        <is>
          <t>1980............................................................................. .</t>
        </is>
      </c>
      <c r="B24" t="inlineStr">
        <is>
          <t>–</t>
        </is>
      </c>
      <c r="C24" t="inlineStr">
        <is>
          <t>–</t>
        </is>
      </c>
      <c r="D24" t="n">
        <v>82.40000000000001</v>
      </c>
      <c r="E24" t="n">
        <v>12.5</v>
      </c>
      <c r="F24" t="n">
        <v>13.5</v>
      </c>
    </row>
    <row r="25">
      <c r="A25" t="inlineStr">
        <is>
          <t>1981............................................................................. .</t>
        </is>
      </c>
      <c r="B25" t="inlineStr">
        <is>
          <t>–</t>
        </is>
      </c>
      <c r="C25" t="inlineStr">
        <is>
          <t>–</t>
        </is>
      </c>
      <c r="D25" t="n">
        <v>90.90000000000001</v>
      </c>
      <c r="E25" t="n">
        <v>8.9</v>
      </c>
      <c r="F25" t="n">
        <v>10.3</v>
      </c>
    </row>
    <row r="26">
      <c r="A26" t="inlineStr">
        <is>
          <t>1982............................................................................. .</t>
        </is>
      </c>
      <c r="B26" t="inlineStr">
        <is>
          <t>–</t>
        </is>
      </c>
      <c r="C26" t="inlineStr">
        <is>
          <t>–</t>
        </is>
      </c>
      <c r="D26" t="n">
        <v>96.5</v>
      </c>
      <c r="E26" t="n">
        <v>3.8</v>
      </c>
      <c r="F26" t="n">
        <v>6.2</v>
      </c>
    </row>
    <row r="27">
      <c r="A27" t="inlineStr">
        <is>
          <t>1983............................................................................. .</t>
        </is>
      </c>
      <c r="B27" t="inlineStr">
        <is>
          <t>–</t>
        </is>
      </c>
      <c r="C27" t="inlineStr">
        <is>
          <t>–</t>
        </is>
      </c>
      <c r="D27" t="n">
        <v>99.59999999999999</v>
      </c>
      <c r="E27" t="n">
        <v>3.8</v>
      </c>
      <c r="F27" t="n">
        <v>3.2</v>
      </c>
    </row>
    <row r="28">
      <c r="A28" t="inlineStr">
        <is>
          <t>1984............................................................................. .</t>
        </is>
      </c>
      <c r="B28" s="244" t="n">
        <v>102.9</v>
      </c>
      <c r="C28" s="244" t="n">
        <v>104.9</v>
      </c>
      <c r="D28" s="244" t="n">
        <v>103.9</v>
      </c>
      <c r="E28" t="n">
        <v>3.9</v>
      </c>
      <c r="F28" t="n">
        <v>4.3</v>
      </c>
    </row>
    <row r="29">
      <c r="A29" t="inlineStr">
        <is>
          <t>1985............................................................................. .</t>
        </is>
      </c>
      <c r="B29" s="244" t="n">
        <v>106.6</v>
      </c>
      <c r="C29" s="244" t="n">
        <v>108.5</v>
      </c>
      <c r="D29" s="244" t="n">
        <v>107.6</v>
      </c>
      <c r="E29" t="n">
        <v>3.8</v>
      </c>
      <c r="F29" t="n">
        <v>3.6</v>
      </c>
    </row>
    <row r="30">
      <c r="A30" t="inlineStr">
        <is>
          <t>1986............................................................................. .</t>
        </is>
      </c>
      <c r="B30" s="244" t="n">
        <v>109.1</v>
      </c>
      <c r="C30" s="244" t="n">
        <v>110.1</v>
      </c>
      <c r="D30" s="244" t="n">
        <v>109.6</v>
      </c>
      <c r="E30" t="n">
        <v>1.1</v>
      </c>
      <c r="F30" t="n">
        <v>1.9</v>
      </c>
    </row>
    <row r="31">
      <c r="A31" t="inlineStr">
        <is>
          <t>1987............................................................................. .</t>
        </is>
      </c>
      <c r="B31" s="244" t="n">
        <v>112.4</v>
      </c>
      <c r="C31" s="244" t="n">
        <v>114.9</v>
      </c>
      <c r="D31" s="244" t="n">
        <v>113.6</v>
      </c>
      <c r="E31" t="n">
        <v>4.4</v>
      </c>
      <c r="F31" t="n">
        <v>3.6</v>
      </c>
    </row>
    <row r="32">
      <c r="A32" t="inlineStr">
        <is>
          <t>1988............................................................................. .</t>
        </is>
      </c>
      <c r="B32" s="244" t="n">
        <v>116.8</v>
      </c>
      <c r="C32" s="244" t="n">
        <v>119.7</v>
      </c>
      <c r="D32" s="244" t="n">
        <v>118.3</v>
      </c>
      <c r="E32" t="n">
        <v>4.4</v>
      </c>
      <c r="F32" t="n">
        <v>4.1</v>
      </c>
    </row>
    <row r="33">
      <c r="A33" t="inlineStr">
        <is>
          <t>1989............................................................................. .</t>
        </is>
      </c>
      <c r="B33" s="244" t="n">
        <v>122.7</v>
      </c>
      <c r="C33" s="244" t="n">
        <v>125.3</v>
      </c>
      <c r="D33" s="244" t="n">
        <v>124</v>
      </c>
      <c r="E33" t="n">
        <v>4.6</v>
      </c>
      <c r="F33" t="n">
        <v>4.8</v>
      </c>
    </row>
    <row r="34">
      <c r="A34" t="inlineStr">
        <is>
          <t>1990............................................................................. .</t>
        </is>
      </c>
      <c r="B34" s="244" t="n">
        <v>128.7</v>
      </c>
      <c r="C34" s="244" t="n">
        <v>132.6</v>
      </c>
      <c r="D34" s="244" t="n">
        <v>130.7</v>
      </c>
      <c r="E34" t="n">
        <v>6.1</v>
      </c>
      <c r="F34" t="n">
        <v>5.4</v>
      </c>
      <c r="G34" s="77">
        <f>$D$56/D34</f>
        <v/>
      </c>
    </row>
    <row r="35">
      <c r="A35" t="inlineStr">
        <is>
          <t>1991............................................................................. .</t>
        </is>
      </c>
      <c r="B35" s="244" t="n">
        <v>135.2</v>
      </c>
      <c r="C35" s="244" t="n">
        <v>137.2</v>
      </c>
      <c r="D35" s="244" t="n">
        <v>136.2</v>
      </c>
      <c r="E35" t="n">
        <v>3.1</v>
      </c>
      <c r="F35" t="n">
        <v>4.2</v>
      </c>
      <c r="G35" s="77">
        <f>$D$56/D35</f>
        <v/>
      </c>
      <c r="M35" s="1" t="n"/>
      <c r="N35" s="1" t="n"/>
      <c r="O35" s="1" t="n"/>
    </row>
    <row r="36">
      <c r="A36" t="inlineStr">
        <is>
          <t>1992............................................................................. .</t>
        </is>
      </c>
      <c r="B36" s="244" t="n">
        <v>139.2</v>
      </c>
      <c r="C36" s="244" t="n">
        <v>141.4</v>
      </c>
      <c r="D36" s="244" t="n">
        <v>140.3</v>
      </c>
      <c r="E36" t="n">
        <v>2.9</v>
      </c>
      <c r="F36" t="n">
        <v>3</v>
      </c>
      <c r="G36" s="77">
        <f>$D$56/D36</f>
        <v/>
      </c>
      <c r="M36" s="3" t="n"/>
      <c r="N36" s="3" t="n"/>
      <c r="O36" s="245" t="n"/>
    </row>
    <row r="37">
      <c r="A37" t="inlineStr">
        <is>
          <t>1993............................................................................. .</t>
        </is>
      </c>
      <c r="B37" s="244" t="n">
        <v>143.7</v>
      </c>
      <c r="C37" s="244" t="n">
        <v>145.3</v>
      </c>
      <c r="D37" s="244" t="n">
        <v>144.5</v>
      </c>
      <c r="E37" t="n">
        <v>2.7</v>
      </c>
      <c r="F37" t="n">
        <v>3</v>
      </c>
      <c r="G37" s="77">
        <f>$D$56/D37</f>
        <v/>
      </c>
      <c r="M37" s="3" t="n"/>
      <c r="N37" s="3" t="n"/>
      <c r="O37" s="245" t="n"/>
    </row>
    <row r="38">
      <c r="A38" t="inlineStr">
        <is>
          <t>1994............................................................................. .</t>
        </is>
      </c>
      <c r="B38" s="244" t="n">
        <v>147.2</v>
      </c>
      <c r="C38" s="244" t="n">
        <v>149.3</v>
      </c>
      <c r="D38" s="244" t="n">
        <v>148.2</v>
      </c>
      <c r="E38" t="n">
        <v>2.7</v>
      </c>
      <c r="F38" t="n">
        <v>2.6</v>
      </c>
      <c r="G38" s="77">
        <f>$D$56/D38</f>
        <v/>
      </c>
      <c r="M38" s="3" t="n"/>
      <c r="N38" s="3" t="n"/>
      <c r="O38" s="245" t="n"/>
    </row>
    <row r="39">
      <c r="A39" t="inlineStr">
        <is>
          <t>1995............................................................................. .</t>
        </is>
      </c>
      <c r="B39" s="244" t="n">
        <v>151.5</v>
      </c>
      <c r="C39" s="244" t="n">
        <v>153.2</v>
      </c>
      <c r="D39" s="244" t="n">
        <v>152.4</v>
      </c>
      <c r="E39" t="n">
        <v>2.5</v>
      </c>
      <c r="F39" t="n">
        <v>2.8</v>
      </c>
      <c r="G39" s="77">
        <f>$D$56/D39</f>
        <v/>
      </c>
      <c r="M39" s="3" t="n"/>
      <c r="N39" s="3" t="n"/>
      <c r="O39" s="245" t="n"/>
    </row>
    <row r="40">
      <c r="A40" t="inlineStr">
        <is>
          <t>1996............................................................................. .</t>
        </is>
      </c>
      <c r="B40" s="244" t="n">
        <v>155.8</v>
      </c>
      <c r="C40" s="244" t="n">
        <v>157.9</v>
      </c>
      <c r="D40" s="244" t="n">
        <v>156.9</v>
      </c>
      <c r="E40" t="n">
        <v>3.3</v>
      </c>
      <c r="F40" t="n">
        <v>3</v>
      </c>
      <c r="G40" s="77">
        <f>$D$56/D40</f>
        <v/>
      </c>
      <c r="M40" s="3" t="n"/>
      <c r="N40" s="3" t="n"/>
      <c r="O40" s="245" t="n"/>
    </row>
    <row r="41">
      <c r="A41" t="inlineStr">
        <is>
          <t>1997............................................................................. .</t>
        </is>
      </c>
      <c r="B41" s="244" t="n">
        <v>159.9</v>
      </c>
      <c r="C41" s="244" t="n">
        <v>161.2</v>
      </c>
      <c r="D41" s="244" t="n">
        <v>160.5</v>
      </c>
      <c r="E41" t="n">
        <v>1.7</v>
      </c>
      <c r="F41" t="n">
        <v>2.3</v>
      </c>
      <c r="G41" s="77">
        <f>$D$56/D41</f>
        <v/>
      </c>
      <c r="M41" s="3" t="n"/>
      <c r="N41" s="3" t="n"/>
      <c r="O41" s="245" t="n"/>
    </row>
    <row r="42">
      <c r="A42" t="inlineStr">
        <is>
          <t>1998............................................................................. .</t>
        </is>
      </c>
      <c r="B42" s="244" t="n">
        <v>162.3</v>
      </c>
      <c r="C42" s="244" t="n">
        <v>163.7</v>
      </c>
      <c r="D42" s="244" t="n">
        <v>163</v>
      </c>
      <c r="E42" t="n">
        <v>1.6</v>
      </c>
      <c r="F42" t="n">
        <v>1.6</v>
      </c>
      <c r="G42" s="77">
        <f>$D$56/D42</f>
        <v/>
      </c>
      <c r="M42" s="3" t="n"/>
      <c r="N42" s="3" t="n"/>
      <c r="O42" s="245" t="n"/>
    </row>
    <row r="43">
      <c r="A43" t="inlineStr">
        <is>
          <t>1999............................................................................. .</t>
        </is>
      </c>
      <c r="B43" s="244" t="n">
        <v>165.4</v>
      </c>
      <c r="C43" s="244" t="n">
        <v>167.8</v>
      </c>
      <c r="D43" s="244" t="n">
        <v>166.6</v>
      </c>
      <c r="E43" t="n">
        <v>2.7</v>
      </c>
      <c r="F43" t="n">
        <v>2.2</v>
      </c>
      <c r="G43" s="77">
        <f>$D$56/D43</f>
        <v/>
      </c>
      <c r="M43" s="3" t="n"/>
      <c r="N43" s="3" t="n"/>
      <c r="O43" s="245" t="n"/>
    </row>
    <row r="44">
      <c r="A44" t="inlineStr">
        <is>
          <t>2000............................................................................. .</t>
        </is>
      </c>
      <c r="B44" s="244" t="n">
        <v>170.8</v>
      </c>
      <c r="C44" s="244" t="n">
        <v>173.6</v>
      </c>
      <c r="D44" s="244" t="n">
        <v>172.2</v>
      </c>
      <c r="E44" t="n">
        <v>3.4</v>
      </c>
      <c r="F44" t="n">
        <v>3.4</v>
      </c>
      <c r="G44" s="77">
        <f>$D$56/D44</f>
        <v/>
      </c>
      <c r="M44" s="3" t="n"/>
      <c r="N44" s="246" t="n"/>
      <c r="O44" s="245" t="n"/>
    </row>
    <row r="45">
      <c r="A45" t="inlineStr">
        <is>
          <t>2001............................................................................. .</t>
        </is>
      </c>
      <c r="B45" s="244" t="n">
        <v>176.6</v>
      </c>
      <c r="C45" s="244" t="n">
        <v>177.5</v>
      </c>
      <c r="D45" s="244" t="n">
        <v>177.1</v>
      </c>
      <c r="E45" t="n">
        <v>1.6</v>
      </c>
      <c r="F45" t="n">
        <v>2.8</v>
      </c>
      <c r="G45" s="77">
        <f>$D$56/D45</f>
        <v/>
      </c>
      <c r="M45" s="3" t="n"/>
      <c r="N45" s="3" t="n"/>
      <c r="O45" s="245" t="n"/>
    </row>
    <row r="46">
      <c r="A46" t="inlineStr">
        <is>
          <t>2002............................................................................. .</t>
        </is>
      </c>
      <c r="B46" s="244" t="n">
        <v>178.9</v>
      </c>
      <c r="C46" s="244" t="n">
        <v>180.9</v>
      </c>
      <c r="D46" s="244" t="n">
        <v>179.9</v>
      </c>
      <c r="E46" t="n">
        <v>2.4</v>
      </c>
      <c r="F46" t="n">
        <v>1.6</v>
      </c>
      <c r="G46" s="77">
        <f>$D$56/D46</f>
        <v/>
      </c>
      <c r="M46" s="3" t="n"/>
      <c r="N46" s="3" t="n"/>
      <c r="O46" s="245" t="n"/>
    </row>
    <row r="47">
      <c r="A47" t="inlineStr">
        <is>
          <t>2003............................................................................. .</t>
        </is>
      </c>
      <c r="B47" s="244" t="n">
        <v>183.3</v>
      </c>
      <c r="C47" s="244" t="n">
        <v>184.6</v>
      </c>
      <c r="D47" s="244" t="n">
        <v>184</v>
      </c>
      <c r="E47" t="n">
        <v>1.9</v>
      </c>
      <c r="F47" t="n">
        <v>2.3</v>
      </c>
      <c r="G47" s="77">
        <f>$D$56/D47</f>
        <v/>
      </c>
      <c r="M47" s="3" t="n"/>
      <c r="N47" s="3" t="n"/>
      <c r="O47" s="245" t="n"/>
    </row>
    <row r="48">
      <c r="A48" t="inlineStr">
        <is>
          <t>2004............................................................................. .</t>
        </is>
      </c>
      <c r="B48" s="244" t="n">
        <v>187.6</v>
      </c>
      <c r="C48" s="244" t="n">
        <v>190.2</v>
      </c>
      <c r="D48" s="244" t="n">
        <v>188.9</v>
      </c>
      <c r="E48" t="n">
        <v>3.3</v>
      </c>
      <c r="F48" t="n">
        <v>2.7</v>
      </c>
      <c r="G48" s="77">
        <f>$D$56/D48</f>
        <v/>
      </c>
      <c r="M48" s="3" t="n"/>
      <c r="N48" s="3" t="n"/>
      <c r="O48" s="245" t="n"/>
    </row>
    <row r="49">
      <c r="A49" t="inlineStr">
        <is>
          <t>2005............................................................................. .</t>
        </is>
      </c>
      <c r="B49" s="244" t="n">
        <v>193.2</v>
      </c>
      <c r="C49" s="244" t="n">
        <v>197.4</v>
      </c>
      <c r="D49" s="244" t="n">
        <v>195.3</v>
      </c>
      <c r="E49" t="n">
        <v>3.4</v>
      </c>
      <c r="F49" t="n">
        <v>3.4</v>
      </c>
      <c r="G49" s="77">
        <f>$D$56/D49</f>
        <v/>
      </c>
      <c r="M49" s="3" t="n"/>
      <c r="N49" s="246" t="n"/>
      <c r="O49" s="245" t="n"/>
    </row>
    <row r="50">
      <c r="A50" t="inlineStr">
        <is>
          <t>2006............................................................................. .</t>
        </is>
      </c>
      <c r="B50" s="244" t="n">
        <v>200.6</v>
      </c>
      <c r="C50" s="244" t="n">
        <v>202.6</v>
      </c>
      <c r="D50" s="244" t="n">
        <v>201.6</v>
      </c>
      <c r="E50" t="n">
        <v>2.5</v>
      </c>
      <c r="F50" t="n">
        <v>3.2</v>
      </c>
      <c r="G50" s="77">
        <f>$D$56/D50</f>
        <v/>
      </c>
      <c r="M50" s="3" t="n"/>
      <c r="N50" s="3" t="n"/>
      <c r="O50" s="245" t="n"/>
    </row>
    <row r="51">
      <c r="A51" t="inlineStr">
        <is>
          <t>2007............................................................................. .</t>
        </is>
      </c>
      <c r="B51" s="247" t="n">
        <v>205.709</v>
      </c>
      <c r="C51" s="247" t="n">
        <v>208.976</v>
      </c>
      <c r="D51" s="247" t="n">
        <v>207.342</v>
      </c>
      <c r="E51" t="n">
        <v>4.1</v>
      </c>
      <c r="F51" t="n">
        <v>2.8</v>
      </c>
      <c r="G51" s="77">
        <f>$D$56/D51</f>
        <v/>
      </c>
      <c r="M51" s="3" t="n"/>
      <c r="N51" s="3" t="n"/>
      <c r="O51" s="245" t="n"/>
    </row>
    <row r="52">
      <c r="A52" t="inlineStr">
        <is>
          <t>2008............................................................................. .</t>
        </is>
      </c>
      <c r="B52" s="247" t="n">
        <v>214.429</v>
      </c>
      <c r="C52" s="247" t="n">
        <v>216.177</v>
      </c>
      <c r="D52" s="247" t="n">
        <v>215.303</v>
      </c>
      <c r="E52" t="n">
        <v>0.1</v>
      </c>
      <c r="F52" t="n">
        <v>3.8</v>
      </c>
      <c r="G52" s="77">
        <f>$D$56/D52</f>
        <v/>
      </c>
      <c r="M52" s="3" t="n"/>
      <c r="N52" s="3" t="n"/>
      <c r="O52" s="245" t="n"/>
    </row>
    <row r="53">
      <c r="A53" t="inlineStr">
        <is>
          <t>2009............................................................................. .</t>
        </is>
      </c>
      <c r="B53" s="247" t="n">
        <v>213.139</v>
      </c>
      <c r="C53" s="247" t="n">
        <v>215.935</v>
      </c>
      <c r="D53" s="247" t="n">
        <v>214.537</v>
      </c>
      <c r="E53" t="n">
        <v>2.7</v>
      </c>
      <c r="F53" t="n">
        <v>-0.4</v>
      </c>
      <c r="G53" s="77">
        <f>$D$56/D53</f>
        <v/>
      </c>
      <c r="M53" s="3" t="n"/>
      <c r="N53" s="3" t="n"/>
      <c r="O53" s="245" t="n"/>
    </row>
    <row r="54">
      <c r="A54" t="inlineStr">
        <is>
          <t>2010............................................................................. .</t>
        </is>
      </c>
      <c r="B54" s="247" t="n">
        <v>217.535</v>
      </c>
      <c r="C54" s="247" t="n">
        <v>218.576</v>
      </c>
      <c r="D54" s="247" t="n">
        <v>218.056</v>
      </c>
      <c r="E54" t="n">
        <v>1.5</v>
      </c>
      <c r="F54" t="n">
        <v>1.6</v>
      </c>
      <c r="G54" s="77">
        <f>$D$56/D54</f>
        <v/>
      </c>
      <c r="M54" s="3" t="n"/>
      <c r="N54" s="3" t="n"/>
      <c r="O54" s="245" t="n"/>
    </row>
    <row r="55">
      <c r="A55" t="inlineStr">
        <is>
          <t>2011............................................................................. .</t>
        </is>
      </c>
      <c r="B55" s="247" t="n">
        <v>223.598</v>
      </c>
      <c r="C55" s="247" t="n">
        <v>226.28</v>
      </c>
      <c r="D55" s="247" t="n">
        <v>224.939</v>
      </c>
      <c r="E55" t="n">
        <v>3</v>
      </c>
      <c r="F55" t="n">
        <v>3.2</v>
      </c>
      <c r="G55" s="77">
        <f>$D$56/D55</f>
        <v/>
      </c>
      <c r="M55" s="3" t="n"/>
      <c r="N55" s="3" t="n"/>
      <c r="O55" s="245" t="n"/>
    </row>
    <row r="56">
      <c r="A56" t="inlineStr">
        <is>
          <t>2012............................................................................. .</t>
        </is>
      </c>
      <c r="B56" s="247" t="n">
        <v>228.85</v>
      </c>
      <c r="C56" s="247" t="n">
        <v>230.338</v>
      </c>
      <c r="D56" s="247" t="n">
        <v>229.594</v>
      </c>
      <c r="E56" t="n">
        <v>1.7</v>
      </c>
      <c r="F56" t="n">
        <v>2.1</v>
      </c>
      <c r="G56" s="77">
        <f>$D$56/D56</f>
        <v/>
      </c>
      <c r="M56" s="3" t="n"/>
      <c r="N56" s="3" t="n"/>
      <c r="O56" s="245" t="n"/>
    </row>
    <row r="57">
      <c r="A57" t="inlineStr">
        <is>
          <t>2013............................................................................. .</t>
        </is>
      </c>
      <c r="B57" s="247" t="n">
        <v>232.366</v>
      </c>
      <c r="C57" s="247" t="n">
        <v>233.548</v>
      </c>
      <c r="D57" s="247" t="n">
        <v>232.957</v>
      </c>
      <c r="E57" t="n">
        <v>1.5</v>
      </c>
      <c r="F57" t="n">
        <v>1.5</v>
      </c>
      <c r="G57" s="77">
        <f>$D$56/D57</f>
        <v/>
      </c>
      <c r="M57" s="3" t="n"/>
      <c r="N57" s="3" t="n"/>
      <c r="O57" s="245" t="n"/>
    </row>
    <row r="58">
      <c r="A58" t="inlineStr">
        <is>
          <t>2014............................................................................. .</t>
        </is>
      </c>
      <c r="B58" s="247" t="n">
        <v>236.384</v>
      </c>
      <c r="C58" s="247" t="n">
        <v>237.088</v>
      </c>
      <c r="D58" s="247" t="n">
        <v>236.736</v>
      </c>
      <c r="E58" t="n">
        <v>0.8</v>
      </c>
      <c r="F58" t="n">
        <v>1.6</v>
      </c>
      <c r="G58" s="77">
        <f>$D$56/D58</f>
        <v/>
      </c>
      <c r="M58" s="3" t="n"/>
      <c r="N58" s="3" t="n"/>
      <c r="O58" s="245" t="n"/>
    </row>
    <row r="59">
      <c r="A59" t="inlineStr">
        <is>
          <t>2015............................................................................. .</t>
        </is>
      </c>
      <c r="B59" s="247" t="n">
        <v>236.265</v>
      </c>
      <c r="C59" s="247" t="n">
        <v>237.769</v>
      </c>
      <c r="D59" s="247" t="n">
        <v>237.017</v>
      </c>
      <c r="E59" t="n">
        <v>0.7</v>
      </c>
      <c r="F59" t="n">
        <v>0.1</v>
      </c>
      <c r="G59" s="77">
        <f>$D$56/D59</f>
        <v/>
      </c>
      <c r="M59" s="3" t="n"/>
      <c r="N59" s="3" t="n"/>
      <c r="O59" s="245" t="n"/>
    </row>
    <row r="60">
      <c r="A60" t="inlineStr">
        <is>
          <t>2016............................................................................. .</t>
        </is>
      </c>
      <c r="B60" s="247" t="n">
        <v>238.778</v>
      </c>
      <c r="C60" s="247" t="n">
        <v>241.237</v>
      </c>
      <c r="D60" s="247" t="n">
        <v>240.007</v>
      </c>
      <c r="E60" t="n">
        <v>2.1</v>
      </c>
      <c r="F60" t="n">
        <v>1.3</v>
      </c>
      <c r="G60" s="77">
        <f>$D$56/D60</f>
        <v/>
      </c>
      <c r="M60" s="3" t="n"/>
      <c r="N60" s="3" t="n"/>
      <c r="O60" s="245" t="n"/>
    </row>
    <row r="61">
      <c r="A61" t="inlineStr">
        <is>
          <t>2017............................................................................. .</t>
        </is>
      </c>
      <c r="B61" s="247" t="n">
        <v>244.076</v>
      </c>
      <c r="C61" s="247" t="n">
        <v>246.163</v>
      </c>
      <c r="D61" s="247" t="n">
        <v>245.12</v>
      </c>
      <c r="E61" t="n">
        <v>2.1</v>
      </c>
      <c r="F61" t="n">
        <v>2.1</v>
      </c>
      <c r="G61" s="77">
        <f>$D$56/D61</f>
        <v/>
      </c>
      <c r="M61" s="3" t="n"/>
      <c r="N61" s="3" t="n"/>
      <c r="O61" s="245" t="n"/>
    </row>
    <row r="62">
      <c r="A62" t="inlineStr">
        <is>
          <t>2018............................................................................. .</t>
        </is>
      </c>
      <c r="B62" s="247" t="n">
        <v>250.089</v>
      </c>
      <c r="C62" s="247" t="n">
        <v>252.125</v>
      </c>
      <c r="D62" s="247" t="n">
        <v>251.107</v>
      </c>
      <c r="E62" t="n">
        <v>1.9</v>
      </c>
      <c r="F62" t="n">
        <v>2.4</v>
      </c>
      <c r="G62" s="77">
        <f>$D$56/D62</f>
        <v/>
      </c>
      <c r="M62" s="3" t="n"/>
      <c r="N62" s="3" t="n"/>
      <c r="O62" s="245" t="n"/>
    </row>
    <row r="63">
      <c r="A63" t="inlineStr">
        <is>
          <t>2019............................................................................. .</t>
        </is>
      </c>
      <c r="B63" s="247" t="n">
        <v>254.412</v>
      </c>
      <c r="C63" s="247" t="n">
        <v>256.903</v>
      </c>
      <c r="D63" s="247" t="n">
        <v>255.657</v>
      </c>
      <c r="E63" t="n">
        <v>2.3</v>
      </c>
      <c r="F63" t="n">
        <v>1.8</v>
      </c>
      <c r="G63" s="77">
        <f>$D$56/D63</f>
        <v/>
      </c>
    </row>
    <row r="64">
      <c r="A64" t="inlineStr">
        <is>
          <t>2020............................................................................. .</t>
        </is>
      </c>
      <c r="B64" s="247" t="n">
        <v>257.557</v>
      </c>
      <c r="C64" s="247" t="n">
        <v>260.065</v>
      </c>
      <c r="D64" s="247" t="n">
        <v>258.811</v>
      </c>
      <c r="E64" t="n">
        <v>1.4</v>
      </c>
      <c r="F64" t="n">
        <v>1.2</v>
      </c>
      <c r="G64" s="77">
        <f>$D$56/D64</f>
        <v/>
      </c>
    </row>
    <row r="65">
      <c r="A65" t="inlineStr">
        <is>
          <t>2021............................................................................. .</t>
        </is>
      </c>
      <c r="B65" s="247" t="n">
        <v>266.236</v>
      </c>
      <c r="C65" s="247" t="n">
        <v>275.703</v>
      </c>
      <c r="D65" s="247" t="n">
        <v>270.97</v>
      </c>
      <c r="E65" t="n">
        <v>7</v>
      </c>
      <c r="F65" t="n">
        <v>4.7</v>
      </c>
      <c r="G65" s="77">
        <f>$D$56/D65</f>
        <v/>
      </c>
    </row>
    <row r="66">
      <c r="A66" t="inlineStr">
        <is>
          <t>2022............................................................................. .</t>
        </is>
      </c>
      <c r="B66" s="247" t="n">
        <v>288.347</v>
      </c>
      <c r="C66" s="247" t="n">
        <v>296.963</v>
      </c>
      <c r="D66" s="247" t="n">
        <v>292.655</v>
      </c>
      <c r="E66" t="n">
        <v>6.5</v>
      </c>
      <c r="F66" t="n">
        <v>8</v>
      </c>
      <c r="G66" s="77">
        <f>$D$56/D66</f>
        <v/>
      </c>
    </row>
    <row r="67">
      <c r="A67" t="inlineStr">
        <is>
          <t>2023............................................................................. .</t>
        </is>
      </c>
      <c r="B67" s="247" t="n">
        <v>302.408</v>
      </c>
      <c r="C67" s="247" t="n">
        <v>306.996</v>
      </c>
      <c r="D67" s="247" t="n">
        <v>304.702</v>
      </c>
      <c r="G67" s="77">
        <f>$D$56/D67</f>
        <v/>
      </c>
    </row>
    <row r="68">
      <c r="A68" t="inlineStr">
        <is>
          <t>2024............................................................................. .</t>
        </is>
      </c>
      <c r="B68" t="n">
        <v>312.145</v>
      </c>
      <c r="C68" t="n">
        <v>315.233</v>
      </c>
      <c r="D68" t="n">
        <v>313.689</v>
      </c>
      <c r="G68" s="77">
        <f>$D$56/D68</f>
        <v/>
      </c>
    </row>
    <row r="69">
      <c r="A69" t="inlineStr">
        <is>
          <t>2025............................................................................. .</t>
        </is>
      </c>
      <c r="B69" s="247" t="n">
        <v>320.13</v>
      </c>
      <c r="C69" s="247" t="n">
        <v>324.16</v>
      </c>
      <c r="D69" s="247" t="n">
        <v>321.962</v>
      </c>
      <c r="G69" s="77">
        <f>$D$56/D69</f>
        <v/>
      </c>
    </row>
    <row r="70">
      <c r="G70" s="77" t="n"/>
    </row>
  </sheetData>
  <hyperlinks>
    <hyperlink xmlns:r="http://schemas.openxmlformats.org/officeDocument/2006/relationships" ref="B8" r:id="rId1"/>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B8" sqref="B8"/>
    </sheetView>
  </sheetViews>
  <sheetFormatPr baseColWidth="8" defaultRowHeight="14.5"/>
  <cols>
    <col width="23.54296875" customWidth="1" min="1" max="3"/>
  </cols>
  <sheetData>
    <row r="1" ht="18.65" customHeight="1">
      <c r="A1" s="73" t="inlineStr">
        <is>
          <t>CPI-U deflators &amp; unit conversions</t>
        </is>
      </c>
    </row>
    <row r="2">
      <c r="A2" t="inlineStr">
        <is>
          <t>US CPI-U, all items, U.S. city average, not seasonally adjusted, annual average (1982-84=100). Source: BLS series CUUR0000SA0. Values now pulled live from the 'Data' sheet, which holds the full 1968-2025 series.</t>
        </is>
      </c>
    </row>
    <row r="3">
      <c r="A3" t="inlineStr">
        <is>
          <t>Used to deflate Kermeli 2021-EUR costs to 2012 USD (the model's reporting-year basis, matching LEGACY Calcs).</t>
        </is>
      </c>
    </row>
    <row r="5">
      <c r="A5" s="1" t="inlineStr">
        <is>
          <t>Year</t>
        </is>
      </c>
      <c r="B5" s="1" t="inlineStr">
        <is>
          <t>CPI-U (annual avg)</t>
        </is>
      </c>
      <c r="C5" s="1" t="inlineStr">
        <is>
          <t>Deflator to 2012$</t>
        </is>
      </c>
    </row>
    <row r="6">
      <c r="A6" s="14" t="n">
        <v>2012</v>
      </c>
      <c r="B6" s="210">
        <f>Data!D56</f>
        <v/>
      </c>
      <c r="C6" s="224">
        <f>$B$6/B6</f>
        <v/>
      </c>
    </row>
    <row r="7">
      <c r="A7" s="14" t="n">
        <v>2015</v>
      </c>
      <c r="B7" s="210">
        <f>Data!D59</f>
        <v/>
      </c>
      <c r="C7" s="224">
        <f>$B$6/B7</f>
        <v/>
      </c>
    </row>
    <row r="8">
      <c r="A8" s="14" t="n">
        <v>2021</v>
      </c>
      <c r="B8" s="210">
        <f>Data!D65</f>
        <v/>
      </c>
      <c r="C8" s="224">
        <f>$B$6/B8</f>
        <v/>
      </c>
    </row>
    <row r="10">
      <c r="A10" s="1" t="inlineStr">
        <is>
          <t>Key deflator (2021 -&gt; 2012 USD)</t>
        </is>
      </c>
      <c r="B10" s="76">
        <f>C8</f>
        <v/>
      </c>
      <c r="C10" s="74" t="inlineStr">
        <is>
          <t>= CPI2012 / CPI2021. LEGACY About!A18 uses 0.847 (hardcoded); this cell recomputes it live = 0.8473.</t>
        </is>
      </c>
    </row>
    <row r="12">
      <c r="A12" s="1" t="inlineStr">
        <is>
          <t>EUR-&gt;USD (2021 average)</t>
        </is>
      </c>
      <c r="B12" t="n">
        <v>1.1827</v>
      </c>
      <c r="C12" t="inlineStr">
        <is>
          <t>USD per EUR. LEGACY About!A17 stores the inverse 0.8458 (EUR per USD) and divides.</t>
        </is>
      </c>
    </row>
    <row r="13">
      <c r="A13" s="1" t="inlineStr">
        <is>
          <t>GJ -&gt; BTU</t>
        </is>
      </c>
      <c r="B13" t="n">
        <v>947817</v>
      </c>
      <c r="C13" t="inlineStr">
        <is>
          <t>BTU per GJ. Matches LEGACY About!A19.</t>
        </is>
      </c>
    </row>
    <row r="15">
      <c r="A15" s="1" t="inlineStr">
        <is>
          <t>2012$/MMBtu conversion helper</t>
        </is>
      </c>
      <c r="B15">
        <f>B13/1000000</f>
        <v/>
      </c>
      <c r="C15" t="inlineStr">
        <is>
          <t>BTU per GJ / 1e6 = MMBtu per GJ (0.947817).</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95"/>
  <sheetViews>
    <sheetView zoomScale="69" workbookViewId="0">
      <selection activeCell="X41" sqref="X41"/>
    </sheetView>
  </sheetViews>
  <sheetFormatPr baseColWidth="8" defaultRowHeight="14.5"/>
  <sheetData>
    <row r="1" ht="18.65" customHeight="1">
      <c r="A1" s="73" t="inlineStr">
        <is>
          <t>Summary — supply curves, gap-fill assumptions, review flags</t>
        </is>
      </c>
    </row>
    <row r="2">
      <c r="A2" t="inlineStr">
        <is>
          <t>Curves = cumulative % reduction of industry carrier energy vs CCE (2012$/MMBtu, @10% real). Covered industries from Kermeli measures; 19 uncovered industries carry the Bianchi fill (fuel-whr only, assumed cost $4.95/MMBtu).</t>
        </is>
      </c>
    </row>
    <row r="4" ht="15.65" customHeight="1">
      <c r="A4" s="72" t="inlineStr">
        <is>
          <t>Proposed gap-fill technology assumptions (generic heat recovery, covered sectors) — before applying to curves</t>
        </is>
      </c>
    </row>
    <row r="5">
      <c r="A5" s="1" t="inlineStr">
        <is>
          <t>Technology</t>
        </is>
      </c>
      <c r="B5" s="1" t="inlineStr">
        <is>
          <t>Temp band</t>
        </is>
      </c>
      <c r="C5" s="1" t="inlineStr">
        <is>
          <t>Capex $/kW</t>
        </is>
      </c>
      <c r="D5" s="1" t="inlineStr">
        <is>
          <t>Life (yr)</t>
        </is>
      </c>
      <c r="E5" s="1" t="inlineStr">
        <is>
          <t>O&amp;M %capex/yr</t>
        </is>
      </c>
      <c r="F5" s="1" t="inlineStr">
        <is>
          <t>Load (h/yr)</t>
        </is>
      </c>
      <c r="G5" s="1" t="inlineStr">
        <is>
          <t>CCE @10% ($/MMBtu)</t>
        </is>
      </c>
    </row>
    <row r="6">
      <c r="A6" t="inlineStr">
        <is>
          <t>Plug-in recuperator / fired-heater APH (gas-gas, eps~0.4)</t>
        </is>
      </c>
      <c r="B6" t="inlineStr">
        <is>
          <t>200-1000C</t>
        </is>
      </c>
      <c r="C6" s="129" t="n">
        <v>300</v>
      </c>
      <c r="D6" s="129" t="n">
        <v>20</v>
      </c>
      <c r="E6" s="129" t="n">
        <v>0.02</v>
      </c>
      <c r="F6" s="129" t="n">
        <v>8000</v>
      </c>
      <c r="G6" t="n">
        <v>1.51076668492687</v>
      </c>
    </row>
    <row r="7">
      <c r="A7" t="inlineStr">
        <is>
          <t>Economizer (boiler feedwater, &lt;200C)</t>
        </is>
      </c>
      <c r="B7" t="inlineStr">
        <is>
          <t>100-200C</t>
        </is>
      </c>
      <c r="C7" s="129" t="n">
        <v>250</v>
      </c>
      <c r="D7" s="129" t="n">
        <v>20</v>
      </c>
      <c r="E7" s="129" t="n">
        <v>0.02</v>
      </c>
      <c r="F7" s="129" t="n">
        <v>8000</v>
      </c>
      <c r="G7" t="n">
        <v>1.25897223743905</v>
      </c>
    </row>
    <row r="8">
      <c r="A8" t="inlineStr">
        <is>
          <t>Condensing HX (deep &lt;100C latent recovery)</t>
        </is>
      </c>
      <c r="B8" t="inlineStr">
        <is>
          <t>&lt;100C</t>
        </is>
      </c>
      <c r="C8" s="129" t="n">
        <v>300</v>
      </c>
      <c r="D8" s="129" t="n">
        <v>20</v>
      </c>
      <c r="E8" s="129" t="n">
        <v>0.025</v>
      </c>
      <c r="F8" s="129" t="n">
        <v>8000</v>
      </c>
      <c r="G8" t="n">
        <v>1.56571979160916</v>
      </c>
    </row>
    <row r="9">
      <c r="A9" t="inlineStr">
        <is>
          <t>Waste-heat ORC (heat-to-power, $/kWe)</t>
        </is>
      </c>
      <c r="B9" t="inlineStr">
        <is>
          <t>200-500C</t>
        </is>
      </c>
      <c r="C9" s="129" t="n">
        <v>2500</v>
      </c>
      <c r="D9" s="129" t="n">
        <v>20</v>
      </c>
      <c r="E9" s="129" t="n">
        <v>0.02</v>
      </c>
      <c r="F9" s="129" t="n">
        <v>8000</v>
      </c>
      <c r="G9" t="n">
        <v>12.5897223743905</v>
      </c>
    </row>
    <row r="10">
      <c r="A10" t="inlineStr">
        <is>
          <t>Generic Bianchi-fill recovery (uncovered industries)</t>
        </is>
      </c>
      <c r="B10" t="inlineStr">
        <is>
          <t>mixed</t>
        </is>
      </c>
      <c r="C10" s="129" t="n">
        <v>275</v>
      </c>
      <c r="D10" s="129" t="n">
        <v>20</v>
      </c>
      <c r="E10" s="129" t="n">
        <v>0.02</v>
      </c>
      <c r="F10" s="129" t="n">
        <v>8000</v>
      </c>
      <c r="G10" t="n">
        <v>1.38486946118296</v>
      </c>
    </row>
    <row r="11">
      <c r="A11" s="70" t="inlineStr">
        <is>
          <t>Sizing rule (double-count-safe): gap-fill applies to COVERED industries only, sized to the RESIDUAL = Bianchi potential − existing curve capture − burner-integral credit already taken in unit files (by temp band: 200-500C 5%, 500-1000C 17.4%, &gt;1000C 58.7%). Recuperator/APH fill only the un-credited band share; economizer/condensing HX fill &lt;500C where unit files credit 0-5% (this file's declared scope); NO ORC fill in cement (clinker ORC measure already in curve). Uncovered industries already carry the full Bianchi fill — no gap-fill there.</t>
        </is>
      </c>
    </row>
    <row r="12">
      <c r="A12" s="70" t="inlineStr">
        <is>
          <t>Do-not-double-count guard: glass regenerative furnaces, BF hot-blast stoves/coke regenerators, cement preheater/precalciner are inside the &gt;1000C burner-integral credit — the 58.7% deduction above prevents re-crediting them.</t>
        </is>
      </c>
    </row>
    <row r="13" ht="15.65" customHeight="1">
      <c r="A13" s="72" t="inlineStr">
        <is>
          <t>Review flags</t>
        </is>
      </c>
    </row>
    <row r="14">
      <c r="A14" t="inlineStr">
        <is>
          <t>1. GUESSED TONNAGES: glass, pulp grades, methanol, carbon black are industry ballparks (tagged); Al foundries has none (contributes 0); ethylene is 2019. Curves scale 1:1 with these.</t>
        </is>
      </c>
    </row>
    <row r="15">
      <c r="A15" t="inlineStr">
        <is>
          <t>2. GAP-FILL PRICES ARE PROPOSALS: the 4 blue rows above are DOE/EPRI-anchored picks, not data; not yet in curves. subject to review, then inject per the sizing rule (A11).</t>
        </is>
      </c>
    </row>
    <row r="16">
      <c r="A16" t="inlineStr">
        <is>
          <t>3. RESOLVED — bottom-up vs MECS check complete (validation F13:I19); ratios 0.12-0.89, all &lt; 1, shortfalls explainable.</t>
        </is>
      </c>
    </row>
    <row r="17">
      <c r="A17" t="inlineStr">
        <is>
          <t>4. CURVES UNDERSHOOT LITERATURE POTENTIAL (e.g. steel ~2% found vs ~14% recoverable) because Kermeli omits generic bolt-on HX — closing flag 2 closes this.</t>
        </is>
      </c>
    </row>
    <row r="18">
      <c r="A18" t="inlineStr">
        <is>
          <t>5. DISCOUNT RATE = industry WACC (BCoISC-WACCbI tab) + hurdle premium (economics!AE4, blue, = +7pp per G0.1 ruling) =&gt; covered industries ~10.6-12.6%. Rationale: owners don't invest at break-even (legacy Calcs: 'hurdle = WACC + risk premium'). Flat-15% sensitivity retained (economics col Y). Tune AE4 to change every CCE at once.</t>
        </is>
      </c>
    </row>
    <row r="19">
      <c r="A19" t="inlineStr">
        <is>
          <t>6. JUDGMENT CALLS: ammonia reactor cooling + clinker grate cooler counted as system WHR; arguable overlap with unit-file high-temp credit. If reversed, cement/ammonia whr shrink modestly.</t>
        </is>
      </c>
    </row>
    <row r="20">
      <c r="A20" t="inlineStr">
        <is>
          <t>7. BAKED-IN BASES (documented in-cell, swappable): MECS 2018; heat-share fractions from imported potential file; ammonia N-&gt;NH3 conversion; pig iron = BOF-route proxy.</t>
        </is>
      </c>
    </row>
    <row r="22" ht="15.65" customHeight="1">
      <c r="A22" s="72" t="inlineStr">
        <is>
          <t>Cost curves — rows 11-18 of each output tab (pulp&amp;paper, refining, chemicals, rubber&amp;plastic, glass, cement, iron&amp;steel, other metals)</t>
        </is>
      </c>
    </row>
    <row r="60" ht="15.65" customHeight="1">
      <c r="A60" s="72" t="inlineStr">
        <is>
          <t>CCE $/MMBtu -&gt; $/tCO2 (carbon-price equivalence by displaced fuel)</t>
        </is>
      </c>
    </row>
    <row r="61">
      <c r="A61" s="1" t="inlineStr">
        <is>
          <t>Fuel displaced</t>
        </is>
      </c>
      <c r="B61" s="1" t="inlineStr">
        <is>
          <t>kg CO2 / MMBtu</t>
        </is>
      </c>
      <c r="C61" s="1" t="inlineStr">
        <is>
          <t>$/tCO2 per $1/MMBtu</t>
        </is>
      </c>
      <c r="D61" s="1" t="inlineStr">
        <is>
          <t>Bulk curve $1/MMBtu -&gt;</t>
        </is>
      </c>
      <c r="E61" s="1" t="inlineStr">
        <is>
          <t>$4/MMBtu -&gt;</t>
        </is>
      </c>
    </row>
    <row r="62">
      <c r="A62" t="inlineStr">
        <is>
          <t>Natural gas</t>
        </is>
      </c>
      <c r="B62" s="129" t="n">
        <v>53.06</v>
      </c>
      <c r="C62" s="69" t="n">
        <v>18.8465887674331</v>
      </c>
      <c r="D62" s="150" t="n">
        <v>18.8465887674331</v>
      </c>
      <c r="E62" s="150" t="n">
        <v>75.3863550697324</v>
      </c>
    </row>
    <row r="63">
      <c r="A63" t="inlineStr">
        <is>
          <t>Distillate fuel oil (No.2)</t>
        </is>
      </c>
      <c r="B63" s="129" t="n">
        <v>73.95999999999999</v>
      </c>
      <c r="C63" s="69" t="n">
        <v>13.5208220659816</v>
      </c>
      <c r="D63" s="150" t="n">
        <v>13.5208220659816</v>
      </c>
      <c r="E63" s="150" t="n">
        <v>54.0832882639264</v>
      </c>
    </row>
    <row r="64">
      <c r="A64" t="inlineStr">
        <is>
          <t>Bituminous coal</t>
        </is>
      </c>
      <c r="B64" s="129" t="n">
        <v>93.28</v>
      </c>
      <c r="C64" s="69" t="n">
        <v>10.7204116638079</v>
      </c>
      <c r="D64" s="150" t="n">
        <v>10.7204116638079</v>
      </c>
      <c r="E64" s="150" t="n">
        <v>42.8816466552316</v>
      </c>
    </row>
    <row r="65">
      <c r="A65" t="inlineStr">
        <is>
          <t>Coal coke</t>
        </is>
      </c>
      <c r="B65" s="129" t="n">
        <v>113.67</v>
      </c>
      <c r="C65" s="69" t="n">
        <v>8.79739597079265</v>
      </c>
      <c r="D65" s="150" t="n">
        <v>8.79739597079265</v>
      </c>
      <c r="E65" s="150" t="n">
        <v>35.1895838831706</v>
      </c>
    </row>
    <row r="66">
      <c r="A66" t="inlineStr">
        <is>
          <t>Grid electricity (US avg)</t>
        </is>
      </c>
      <c r="B66" s="129" t="n">
        <v>109.4</v>
      </c>
      <c r="C66" s="69" t="n">
        <v>9.14076782449726</v>
      </c>
      <c r="D66" s="150" t="n">
        <v>9.14076782449726</v>
      </c>
      <c r="E66" s="150" t="n">
        <v>36.563071297989</v>
      </c>
    </row>
    <row r="68">
      <c r="A68" s="70" t="inlineStr">
        <is>
          <t>Gap-fill techs vs NG carbon price ($/tCO2):</t>
        </is>
      </c>
      <c r="B68" s="150" t="n">
        <v>28.4727984343548</v>
      </c>
      <c r="C68" s="150" t="n">
        <v>23.727332028629</v>
      </c>
      <c r="D68" s="150" t="n">
        <v>29.5084770374889</v>
      </c>
      <c r="E68" s="150" t="n">
        <v>115.079729199182</v>
      </c>
      <c r="F68" t="inlineStr">
        <is>
          <t>(recuperator / economizer / condensing HX / ORC-vs-grid)</t>
        </is>
      </c>
    </row>
    <row r="70" ht="15.65" customHeight="1">
      <c r="A70" s="72" t="inlineStr">
        <is>
          <t>Published cost evidence behind the gap-fill assumptions</t>
        </is>
      </c>
    </row>
    <row r="71">
      <c r="A71" s="1" t="inlineStr">
        <is>
          <t>Source</t>
        </is>
      </c>
      <c r="B71" s="1" t="inlineStr">
        <is>
          <t>Technology</t>
        </is>
      </c>
      <c r="C71" s="1" t="inlineStr">
        <is>
          <t>Published figure</t>
        </is>
      </c>
      <c r="D71" s="1" t="inlineStr">
        <is>
          <t>Implied $/kW</t>
        </is>
      </c>
      <c r="E71" s="1" t="inlineStr">
        <is>
          <t>Our assumption</t>
        </is>
      </c>
    </row>
    <row r="72">
      <c r="A72" t="inlineStr">
        <is>
          <t>Case Studies in Thermal Engineering (Dec 2023, peer-reviewed)</t>
        </is>
      </c>
      <c r="B72" t="inlineStr">
        <is>
          <t>Fired-heater air preheater (gas-gas HX)</t>
        </is>
      </c>
      <c r="C72" t="inlineStr">
        <is>
          <t>$71,631 capex for 286 kW_th recovered; 0.77-yr payback</t>
        </is>
      </c>
      <c r="D72" t="inlineStr">
        <is>
          <t>$250/kW_th</t>
        </is>
      </c>
      <c r="E72" t="inlineStr">
        <is>
          <t>$300/kW_th (recuperator/APH, +20% conservative)</t>
        </is>
      </c>
    </row>
    <row r="73">
      <c r="A73" t="inlineStr">
        <is>
          <t>U.S. DOE research range (WHR systems, all classes)</t>
        </is>
      </c>
      <c r="B73" t="inlineStr">
        <is>
          <t>Industrial WHR generally</t>
        </is>
      </c>
      <c r="C73" t="inlineStr">
        <is>
          <t>$500-$4,500 per kW of waste heat recovered</t>
        </is>
      </c>
      <c r="D73" t="inlineStr">
        <is>
          <t>brackets all four rows</t>
        </is>
      </c>
      <c r="E73" t="inlineStr">
        <is>
          <t>economizer $200 / condensing $250 sit at-to-below the floor: flag as weakest two</t>
        </is>
      </c>
    </row>
    <row r="74">
      <c r="A74" t="inlineStr">
        <is>
          <t>EPRI report 1020134 (2010)</t>
        </is>
      </c>
      <c r="B74" t="inlineStr">
        <is>
          <t>Waste-heat-driven CHP (heat-to-power)</t>
        </is>
      </c>
      <c r="C74" t="inlineStr">
        <is>
          <t>$2,000-2,500/kW (&gt;5 MW); $3,500-4,500/kW (&lt;400 kW)</t>
        </is>
      </c>
      <c r="D74" t="inlineStr">
        <is>
          <t>$2,000-4,500/kWe</t>
        </is>
      </c>
      <c r="E74" t="inlineStr">
        <is>
          <t>$2,500/kWe (ORC, large-system end)</t>
        </is>
      </c>
    </row>
    <row r="75">
      <c r="A75" t="inlineStr">
        <is>
          <t>ORC market survey (2024-25)</t>
        </is>
      </c>
      <c r="B75" t="inlineStr">
        <is>
          <t>Industrial ORC 1-10 MWe</t>
        </is>
      </c>
      <c r="C75" t="inlineStr">
        <is>
          <t>$1.8M-$3.2M per MWe installed</t>
        </is>
      </c>
      <c r="D75" t="inlineStr">
        <is>
          <t>$1,800-3,200/kWe</t>
        </is>
      </c>
      <c r="E75" t="inlineStr">
        <is>
          <t>$2,500/kWe (midpoint)</t>
        </is>
      </c>
    </row>
    <row r="76">
      <c r="A76" t="inlineStr">
        <is>
          <t>U.S. DOE / BCS Inc. (2008), Waste Heat Recovery: Technology and Opportunities</t>
        </is>
      </c>
      <c r="B76" t="inlineStr">
        <is>
          <t>Recuperators, economizers (canonical study)</t>
        </is>
      </c>
      <c r="C76" t="inlineStr">
        <is>
          <t>Canonical DOE cost study underpinning the economizer and recuperator classes</t>
        </is>
      </c>
      <c r="D76" t="inlineStr">
        <is>
          <t>-</t>
        </is>
      </c>
      <c r="E76" t="inlineStr">
        <is>
          <t>backstops recuperator/economizer rows</t>
        </is>
      </c>
    </row>
    <row r="77">
      <c r="A77" t="inlineStr">
        <is>
          <t>DOE AMO Steam Tip Sheets #3 / #26A / #26B</t>
        </is>
      </c>
      <c r="B77" t="inlineStr">
        <is>
          <t>Feedwater + condensing economizers</t>
        </is>
      </c>
      <c r="C77" s="74" t="inlineStr">
        <is>
          <t>payback &lt; 2 years' at $8/MMBtu fuel; worked examples 4.6-7.55 MMBtu/hr recovered</t>
        </is>
      </c>
      <c r="D77" t="inlineStr">
        <is>
          <t>implied ~$200-550/kW_th</t>
        </is>
      </c>
      <c r="E77" t="inlineStr">
        <is>
          <t>economizer raised to $250; condensing to $300 (mid-range)</t>
        </is>
      </c>
    </row>
    <row r="78">
      <c r="A78" s="70" t="inlineStr">
        <is>
          <t>Weakest links: economizer ($200) and condensing HX ($250) rest on the DOE range floor, not a specific study.</t>
        </is>
      </c>
    </row>
    <row r="80" ht="15.65" customHeight="1">
      <c r="A80" s="72" t="inlineStr">
        <is>
          <t>Capital cost of equipment at full 2050 potential (2012$ millions) — for EPS investment accounting</t>
        </is>
      </c>
    </row>
    <row r="81">
      <c r="A81" s="1" t="inlineStr">
        <is>
          <t>Industry</t>
        </is>
      </c>
      <c r="B81" s="1" t="inlineStr">
        <is>
          <t>whr measures $M</t>
        </is>
      </c>
      <c r="C81" s="1" t="inlineStr">
        <is>
          <t>gap-fill HX $M</t>
        </is>
      </c>
      <c r="D81" s="1" t="inlineStr">
        <is>
          <t>process measures $M</t>
        </is>
      </c>
      <c r="E81" s="1" t="inlineStr">
        <is>
          <t>TOTAL $M</t>
        </is>
      </c>
    </row>
    <row r="82">
      <c r="A82" t="inlineStr">
        <is>
          <t>pulp paper and printing 17T18</t>
        </is>
      </c>
      <c r="B82" t="n">
        <v>314.520173513836</v>
      </c>
      <c r="C82" t="n">
        <v>889.282029395751</v>
      </c>
      <c r="D82" t="n">
        <v>625.4758538725019</v>
      </c>
      <c r="E82" t="n">
        <v>1829.27805678209</v>
      </c>
    </row>
    <row r="83">
      <c r="A83" t="inlineStr">
        <is>
          <t>chemicals 20</t>
        </is>
      </c>
      <c r="B83" t="n">
        <v>117.456913893044</v>
      </c>
      <c r="C83" t="n">
        <v>2258.65982601263</v>
      </c>
      <c r="D83" t="n">
        <v>1223.22442039319</v>
      </c>
      <c r="E83" t="n">
        <v>3599.34116029886</v>
      </c>
    </row>
    <row r="84">
      <c r="A84" t="inlineStr">
        <is>
          <t>glass and glass products 231</t>
        </is>
      </c>
      <c r="B84" t="n">
        <v>138.791763281175</v>
      </c>
      <c r="C84" t="n">
        <v>0</v>
      </c>
      <c r="D84" t="n">
        <v>204.930798490977</v>
      </c>
      <c r="E84" t="n">
        <v>343.722561772152</v>
      </c>
    </row>
    <row r="85">
      <c r="A85" t="inlineStr">
        <is>
          <t>cement and other nonmetallic minerals 239</t>
        </is>
      </c>
      <c r="B85" t="n">
        <v>1702.77952467417</v>
      </c>
      <c r="C85" t="n">
        <v>228.464848189567</v>
      </c>
      <c r="D85" t="n">
        <v>1597.95917493258</v>
      </c>
      <c r="E85" t="n">
        <v>3529.20354779631</v>
      </c>
    </row>
    <row r="86">
      <c r="A86" t="inlineStr">
        <is>
          <t>iron and steel 241</t>
        </is>
      </c>
      <c r="B86" t="n">
        <v>1389.69344887132</v>
      </c>
      <c r="C86" t="n">
        <v>491.926829594317</v>
      </c>
      <c r="D86" t="n">
        <v>793.663547269041</v>
      </c>
      <c r="E86" t="n">
        <v>2675.28382573468</v>
      </c>
    </row>
    <row r="87">
      <c r="A87" t="inlineStr">
        <is>
          <t>other metals 242</t>
        </is>
      </c>
      <c r="B87" t="n">
        <v>0</v>
      </c>
      <c r="C87" t="n">
        <v>50.4545572861823</v>
      </c>
      <c r="D87" t="n">
        <v>374.803899894382</v>
      </c>
      <c r="E87" t="n">
        <v>425.258457180565</v>
      </c>
    </row>
    <row r="88">
      <c r="A88" s="1" t="inlineStr">
        <is>
          <t>TOTAL (covered)</t>
        </is>
      </c>
      <c r="B88" t="n">
        <v>3663.24182423355</v>
      </c>
      <c r="C88" t="n">
        <v>3918.78809047845</v>
      </c>
      <c r="D88" t="n">
        <v>4820.05769485266</v>
      </c>
      <c r="E88" t="n">
        <v>12402.0876095647</v>
      </c>
    </row>
    <row r="89">
      <c r="A89" s="70" t="inlineStr">
        <is>
          <t>Notes: gap-fill capex = residual energy x tech capex ($/kW / 28.8 GJ-yr per kW at 8,000 h). Per-measure capital intensity (2012$/MMBtu-yr) in economics col AM; per-bin capex matrices available on request. Elec-side measures' capex included in whr/process columns.</t>
        </is>
      </c>
    </row>
    <row r="91" ht="15.65" customHeight="1">
      <c r="A91" s="72" t="inlineStr">
        <is>
          <t>Burner-integral penetration already credited in unit-efficiency files, by temperature band (deducted from all gap-fill / Bianchi-fill targets)</t>
        </is>
      </c>
    </row>
    <row r="92">
      <c r="A92" t="inlineStr">
        <is>
          <t>Band</t>
        </is>
      </c>
      <c r="B92" t="inlineStr">
        <is>
          <t>&lt; 100C</t>
        </is>
      </c>
      <c r="C92" t="inlineStr">
        <is>
          <t>100-200C</t>
        </is>
      </c>
      <c r="D92" t="inlineStr">
        <is>
          <t>200-500C</t>
        </is>
      </c>
      <c r="E92" t="inlineStr">
        <is>
          <t>500-1000C</t>
        </is>
      </c>
      <c r="F92" t="inlineStr">
        <is>
          <t>&gt; 1000C</t>
        </is>
      </c>
    </row>
    <row r="93">
      <c r="A93" t="inlineStr">
        <is>
          <t>Credited penetration</t>
        </is>
      </c>
      <c r="B93" s="167" t="n">
        <v>0</v>
      </c>
      <c r="C93" s="167" t="n">
        <v>0</v>
      </c>
      <c r="D93" s="167" t="n">
        <v>0.05</v>
      </c>
      <c r="E93" s="167" t="n">
        <v>0.174</v>
      </c>
      <c r="F93" s="167" t="n">
        <v>0.587</v>
      </c>
    </row>
    <row r="94">
      <c r="A94" t="inlineStr">
        <is>
          <t>Available share (1 - credit)</t>
        </is>
      </c>
      <c r="B94" s="78" t="n">
        <v>1</v>
      </c>
      <c r="C94" s="78" t="n">
        <v>1</v>
      </c>
      <c r="D94" s="78" t="n">
        <v>0.95</v>
      </c>
      <c r="E94" s="78" t="n">
        <v>0.826</v>
      </c>
      <c r="F94" s="78" t="n">
        <v>0.413</v>
      </c>
    </row>
    <row r="95">
      <c r="A95" s="70" t="inlineStr">
        <is>
          <t>Band shares per industry from tab 'indst heat consumption' (cols D-H). Low+medium bands (&lt;500C) are filled with the economizer/condensing class; high bands (&gt;500C) with the recuperator/APH class.</t>
        </is>
      </c>
    </row>
  </sheetData>
  <pageMargins left="0.7" right="0.7" top="0.75" bottom="0.75" header="0.3" footer="0.3"/>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W175"/>
  <sheetViews>
    <sheetView topLeftCell="A92" zoomScaleNormal="100" workbookViewId="0">
      <selection activeCell="H108" sqref="H108"/>
    </sheetView>
  </sheetViews>
  <sheetFormatPr baseColWidth="8" defaultRowHeight="14.5"/>
  <cols>
    <col width="23.453125" customWidth="1" min="1" max="1"/>
    <col width="41.1796875" customWidth="1" min="2" max="2"/>
    <col width="12.54296875" customWidth="1" min="3" max="11"/>
  </cols>
  <sheetData>
    <row r="1">
      <c r="A1" s="5" t="inlineStr">
        <is>
          <t>Calculations</t>
        </is>
      </c>
      <c r="B1" s="5" t="n"/>
      <c r="C1" s="5" t="n"/>
      <c r="D1" s="5" t="n"/>
      <c r="E1" s="5" t="n"/>
      <c r="F1" s="5" t="n"/>
      <c r="G1" s="5" t="n"/>
      <c r="H1" s="5" t="n"/>
      <c r="I1" s="5" t="n"/>
      <c r="J1" s="5" t="n"/>
      <c r="K1" s="5" t="n"/>
      <c r="W1" t="inlineStr">
        <is>
          <t>Exclusion note</t>
        </is>
      </c>
    </row>
    <row r="2">
      <c r="A2" t="inlineStr">
        <is>
          <t>Data from Kermeli et al. (SM)</t>
        </is>
      </c>
      <c r="B2" s="6" t="inlineStr">
        <is>
          <t>https://link.springer.com/article/10.1007/s12053-022-10071-8#Sec10</t>
        </is>
      </c>
    </row>
    <row r="3">
      <c r="A3" t="inlineStr">
        <is>
          <t>NPV =CF0 + CF1/(1+r)1 + CF2/(1+r)2 + … + CFn/(1+r)n</t>
        </is>
      </c>
    </row>
    <row r="4">
      <c r="A4" t="inlineStr">
        <is>
          <t>r = hurdle rate = WACC + risk premium</t>
        </is>
      </c>
    </row>
    <row r="5">
      <c r="A5" t="inlineStr">
        <is>
          <t>https://capitalgains.thediff.co/p/hurdle-rates</t>
        </is>
      </c>
    </row>
    <row r="6" ht="15" customHeight="1" thickBot="1"/>
    <row r="7" ht="15" customHeight="1" thickBot="1">
      <c r="A7" s="168" t="inlineStr">
        <is>
          <t>Energy Savings &amp; Cost of Measures from Kermeli et al.</t>
        </is>
      </c>
      <c r="B7" s="169" t="n"/>
      <c r="C7" s="169" t="n"/>
      <c r="D7" s="169" t="n"/>
      <c r="E7" s="169" t="n"/>
      <c r="F7" s="169" t="n"/>
      <c r="G7" s="169" t="n"/>
      <c r="H7" s="169" t="n"/>
      <c r="I7" s="169" t="n"/>
      <c r="J7" s="169" t="n"/>
      <c r="K7" s="170" t="n"/>
    </row>
    <row r="8" ht="48.65" customHeight="1" thickBot="1">
      <c r="A8" t="inlineStr">
        <is>
          <t>Product / Process</t>
        </is>
      </c>
      <c r="B8" s="8" t="inlineStr">
        <is>
          <t>Technology / Measure</t>
        </is>
      </c>
      <c r="C8" s="8" t="inlineStr">
        <is>
          <t>2015 Diffusion</t>
        </is>
      </c>
      <c r="D8" s="8" t="inlineStr">
        <is>
          <t>2030 Implementation</t>
        </is>
      </c>
      <c r="E8" s="8" t="inlineStr">
        <is>
          <t>2050 Implementation</t>
        </is>
      </c>
      <c r="F8" s="8" t="inlineStr">
        <is>
          <t>Fuel Savings (GJ/t)</t>
        </is>
      </c>
      <c r="G8" s="8" t="inlineStr">
        <is>
          <t>Elec. Savings (GJ/t)</t>
        </is>
      </c>
      <c r="H8" s="8" t="inlineStr">
        <is>
          <t>H2 Savings (GJ/t)</t>
        </is>
      </c>
      <c r="I8" s="9" t="inlineStr">
        <is>
          <t>Investment (€/t)</t>
        </is>
      </c>
      <c r="J8" s="9" t="inlineStr">
        <is>
          <t>Technical lifetime (years)</t>
        </is>
      </c>
      <c r="K8" s="9" t="inlineStr">
        <is>
          <t>Annual O&amp;M Costs (€/t)</t>
        </is>
      </c>
      <c r="L8" s="79" t="inlineStr">
        <is>
          <t>Temp band</t>
        </is>
      </c>
      <c r="M8" s="79" t="inlineStr">
        <is>
          <t>Burner-integral penetration</t>
        </is>
      </c>
      <c r="N8" s="79" t="inlineStr">
        <is>
          <t>EPS/heat-share industry</t>
        </is>
      </c>
      <c r="O8" s="79" t="inlineStr">
        <is>
          <t>Heat share</t>
        </is>
      </c>
      <c r="P8" s="79" t="inlineStr">
        <is>
          <t>Bucket</t>
        </is>
      </c>
      <c r="Q8" s="79" t="inlineStr">
        <is>
          <t>Bucket justification / tag</t>
        </is>
      </c>
      <c r="R8" s="79" t="inlineStr">
        <is>
          <t>Fuel save share</t>
        </is>
      </c>
      <c r="S8" s="79" t="inlineStr">
        <is>
          <t>Elec save share</t>
        </is>
      </c>
      <c r="T8" s="79" t="inlineStr">
        <is>
          <t>H2 save share</t>
        </is>
      </c>
      <c r="U8" s="79" t="inlineStr">
        <is>
          <t>2015+2050 sum</t>
        </is>
      </c>
      <c r="V8" s="79" t="inlineStr">
        <is>
          <t>Diffusion flag</t>
        </is>
      </c>
    </row>
    <row r="9" ht="15" customHeight="1" thickBot="1">
      <c r="A9" s="10" t="inlineStr">
        <is>
          <t>Primary aluminum</t>
        </is>
      </c>
      <c r="B9" s="10" t="inlineStr">
        <is>
          <t>PFPBa</t>
        </is>
      </c>
      <c r="C9" s="11" t="n">
        <v>0.9</v>
      </c>
      <c r="D9" s="11" t="n">
        <v>0.1</v>
      </c>
      <c r="E9" s="11" t="n">
        <v>0.1</v>
      </c>
      <c r="F9" s="12" t="n">
        <v>0</v>
      </c>
      <c r="G9" s="12" t="n">
        <v>2.8</v>
      </c>
      <c r="H9" s="12" t="n">
        <v>0</v>
      </c>
      <c r="I9" s="13" t="n">
        <v>2340</v>
      </c>
      <c r="J9" s="12" t="n">
        <v>20</v>
      </c>
      <c r="K9" s="12" t="n">
        <v>0</v>
      </c>
      <c r="L9" t="inlineStr">
        <is>
          <t>&gt;1000C</t>
        </is>
      </c>
      <c r="M9" t="n">
        <v>0.587</v>
      </c>
      <c r="N9" t="inlineStr">
        <is>
          <t>Other metals (242)</t>
        </is>
      </c>
      <c r="O9" t="n">
        <v>0.6089</v>
      </c>
      <c r="P9" t="inlineStr">
        <is>
          <t>3 proc</t>
        </is>
      </c>
      <c r="Q9" t="inlineStr">
        <is>
          <t>Smelter electrical efficiency (point-feed prebake). Not recovery.</t>
        </is>
      </c>
      <c r="R9" t="n">
        <v>0</v>
      </c>
      <c r="S9" t="n">
        <v>1</v>
      </c>
      <c r="T9" t="n">
        <v>0</v>
      </c>
      <c r="U9" s="80" t="n">
        <v>1</v>
      </c>
    </row>
    <row r="10" ht="15" customHeight="1" thickBot="1">
      <c r="A10" s="15" t="inlineStr">
        <is>
          <t>Primary aluminum</t>
        </is>
      </c>
      <c r="B10" s="15" t="inlineStr">
        <is>
          <t>Optimization electrolysis controlc</t>
        </is>
      </c>
      <c r="C10" s="16" t="n">
        <v>0.55</v>
      </c>
      <c r="D10" s="16" t="n">
        <v>0.35</v>
      </c>
      <c r="E10" s="16" t="n">
        <v>0.45</v>
      </c>
      <c r="F10" s="17" t="n">
        <v>0</v>
      </c>
      <c r="G10" s="17" t="n">
        <v>3.6</v>
      </c>
      <c r="H10" s="17" t="n">
        <v>0</v>
      </c>
      <c r="I10" s="17" t="n">
        <v>188</v>
      </c>
      <c r="J10" s="17" t="n">
        <v>5</v>
      </c>
      <c r="K10" s="17" t="n">
        <v>-65</v>
      </c>
      <c r="L10" t="inlineStr">
        <is>
          <t>&gt;1000C</t>
        </is>
      </c>
      <c r="M10" t="n">
        <v>0.587</v>
      </c>
      <c r="N10" t="inlineStr">
        <is>
          <t>Other metals (242)</t>
        </is>
      </c>
      <c r="O10" t="n">
        <v>0.6089</v>
      </c>
      <c r="P10" t="inlineStr">
        <is>
          <t>3 proc</t>
        </is>
      </c>
      <c r="Q10" t="inlineStr">
        <is>
          <t>Electrolysis control optimization. Not recovery.</t>
        </is>
      </c>
      <c r="R10" t="n">
        <v>0</v>
      </c>
      <c r="S10" t="n">
        <v>1</v>
      </c>
      <c r="T10" t="n">
        <v>0</v>
      </c>
      <c r="U10" t="n">
        <v>1</v>
      </c>
    </row>
    <row r="11" ht="15" customHeight="1" thickBot="1">
      <c r="A11" s="18" t="inlineStr">
        <is>
          <t>Primary aluminum</t>
        </is>
      </c>
      <c r="B11" s="18" t="inlineStr">
        <is>
          <t>Optimization cell designc</t>
        </is>
      </c>
      <c r="C11" s="19" t="n">
        <v>0.55</v>
      </c>
      <c r="D11" s="19" t="n">
        <v>0.35</v>
      </c>
      <c r="E11" s="19" t="n">
        <v>0.45</v>
      </c>
      <c r="F11" s="20" t="n">
        <v>0</v>
      </c>
      <c r="G11" s="20" t="n">
        <v>2.5</v>
      </c>
      <c r="H11" s="20" t="n">
        <v>0</v>
      </c>
      <c r="I11" s="20" t="n">
        <v>236</v>
      </c>
      <c r="J11" s="20" t="n">
        <v>6</v>
      </c>
      <c r="K11" s="20" t="n">
        <v>0</v>
      </c>
      <c r="L11" t="inlineStr">
        <is>
          <t>&gt;1000C</t>
        </is>
      </c>
      <c r="M11" t="n">
        <v>0.587</v>
      </c>
      <c r="N11" t="inlineStr">
        <is>
          <t>Other metals (242)</t>
        </is>
      </c>
      <c r="O11" t="n">
        <v>0.6089</v>
      </c>
      <c r="P11" t="inlineStr">
        <is>
          <t>3 proc</t>
        </is>
      </c>
      <c r="Q11" t="inlineStr">
        <is>
          <t>Cell design optimization. Not recovery.</t>
        </is>
      </c>
      <c r="R11" t="n">
        <v>0</v>
      </c>
      <c r="S11" t="n">
        <v>1</v>
      </c>
      <c r="T11" t="n">
        <v>0</v>
      </c>
      <c r="U11" t="n">
        <v>1</v>
      </c>
    </row>
    <row r="12" ht="15" customHeight="1" thickBot="1">
      <c r="A12" s="81" t="inlineStr">
        <is>
          <t>Secondary aluminum</t>
        </is>
      </c>
      <c r="B12" s="81" t="inlineStr">
        <is>
          <t>Regenerative or recuperative burnerd</t>
        </is>
      </c>
      <c r="C12" s="82" t="n">
        <v>0.3</v>
      </c>
      <c r="D12" s="83" t="n">
        <v>0.25</v>
      </c>
      <c r="E12" s="83" t="n">
        <v>0.5</v>
      </c>
      <c r="F12" s="84" t="n">
        <v>2</v>
      </c>
      <c r="G12" s="84" t="n">
        <v>0</v>
      </c>
      <c r="H12" s="84" t="n">
        <v>0</v>
      </c>
      <c r="I12" s="84" t="n">
        <v>14</v>
      </c>
      <c r="J12" s="84" t="n">
        <v>20</v>
      </c>
      <c r="K12" s="84" t="n">
        <v>0.4</v>
      </c>
      <c r="L12" s="85" t="inlineStr">
        <is>
          <t>500-1000C</t>
        </is>
      </c>
      <c r="M12" s="85" t="n">
        <v>0.174</v>
      </c>
      <c r="N12" s="85" t="inlineStr">
        <is>
          <t>Other metals (242)</t>
        </is>
      </c>
      <c r="O12" s="85" t="n">
        <v>0.6089</v>
      </c>
      <c r="P12" s="85" t="inlineStr">
        <is>
          <t>1 unit</t>
        </is>
      </c>
      <c r="Q12" s="85" t="inlineStr">
        <is>
          <t>unit WHR — handled in unit-efficiency files (recup/regen burner; do-not-double-count).</t>
        </is>
      </c>
      <c r="R12" s="85" t="n">
        <v>1</v>
      </c>
      <c r="S12" s="85" t="n">
        <v>0</v>
      </c>
      <c r="T12" s="85" t="n">
        <v>0</v>
      </c>
      <c r="U12" s="85" t="n">
        <v>0.8</v>
      </c>
      <c r="V12" s="85" t="n"/>
    </row>
    <row r="13" ht="15" customHeight="1" thickBot="1">
      <c r="A13" s="18" t="inlineStr">
        <is>
          <t>Secondary aluminum</t>
        </is>
      </c>
      <c r="B13" s="18" t="inlineStr">
        <is>
          <t>New decoating equipmentd</t>
        </is>
      </c>
      <c r="C13" s="19" t="n">
        <v>0</v>
      </c>
      <c r="D13" s="19" t="n">
        <v>0.15</v>
      </c>
      <c r="E13" s="19" t="n">
        <v>0.6</v>
      </c>
      <c r="F13" s="20" t="n">
        <v>0.4</v>
      </c>
      <c r="G13" s="20" t="n">
        <v>0</v>
      </c>
      <c r="H13" s="20" t="n">
        <v>0</v>
      </c>
      <c r="I13" s="20" t="n">
        <v>40</v>
      </c>
      <c r="J13" s="20" t="n">
        <v>10</v>
      </c>
      <c r="K13" s="20" t="n">
        <v>40</v>
      </c>
      <c r="L13" t="inlineStr">
        <is>
          <t>500-1000C</t>
        </is>
      </c>
      <c r="M13" t="n">
        <v>0.174</v>
      </c>
      <c r="N13" t="inlineStr">
        <is>
          <t>Other metals (242)</t>
        </is>
      </c>
      <c r="O13" t="n">
        <v>0.6089</v>
      </c>
      <c r="P13" t="inlineStr">
        <is>
          <t>X equip-replace</t>
        </is>
      </c>
      <c r="Q13" t="inlineStr">
        <is>
          <t>Decoating/delacquering process improvement.</t>
        </is>
      </c>
      <c r="R13" t="n">
        <v>1</v>
      </c>
      <c r="S13" t="n">
        <v>0</v>
      </c>
      <c r="T13" t="n">
        <v>0</v>
      </c>
      <c r="U13" t="n">
        <v>0.6</v>
      </c>
      <c r="W13" t="inlineStr">
        <is>
          <t>Excluded 2026-07-28: discrete furnace replacement - VFM 'in place of a gas reverberatory furnace' (DOE Aluminum Report 2016). Carried by stock turnover / standards channel.</t>
        </is>
      </c>
    </row>
    <row r="14" ht="15" customHeight="1" thickBot="1">
      <c r="A14" s="24" t="inlineStr">
        <is>
          <t>Aluminum foundries</t>
        </is>
      </c>
      <c r="B14" s="24" t="inlineStr">
        <is>
          <t>Improved process schedulinge</t>
        </is>
      </c>
      <c r="C14" s="22" t="n">
        <v>0.6</v>
      </c>
      <c r="D14" s="22" t="n">
        <v>0.39</v>
      </c>
      <c r="E14" s="22" t="n">
        <v>0.4</v>
      </c>
      <c r="F14" s="23" t="n">
        <v>1.8</v>
      </c>
      <c r="G14" s="23" t="n">
        <v>0</v>
      </c>
      <c r="H14" s="23" t="n">
        <v>0</v>
      </c>
      <c r="I14" s="23" t="n">
        <v>25</v>
      </c>
      <c r="J14" s="23" t="n">
        <v>20</v>
      </c>
      <c r="K14" s="23" t="n">
        <v>0</v>
      </c>
      <c r="L14" t="inlineStr">
        <is>
          <t>500-1000C</t>
        </is>
      </c>
      <c r="M14" t="n">
        <v>0.174</v>
      </c>
      <c r="N14" t="inlineStr">
        <is>
          <t>Other metals (242)</t>
        </is>
      </c>
      <c r="O14" t="n">
        <v>0.6089</v>
      </c>
      <c r="P14" t="inlineStr">
        <is>
          <t>3 proc</t>
        </is>
      </c>
      <c r="Q14" t="inlineStr">
        <is>
          <t>Process scheduling. Not recovery.</t>
        </is>
      </c>
      <c r="R14" t="n">
        <v>1</v>
      </c>
      <c r="S14" t="n">
        <v>0</v>
      </c>
      <c r="T14" t="n">
        <v>0</v>
      </c>
      <c r="U14" t="n">
        <v>1</v>
      </c>
    </row>
    <row r="15" ht="15" customHeight="1" thickBot="1">
      <c r="A15" s="86" t="inlineStr">
        <is>
          <t>Aluminum foundries</t>
        </is>
      </c>
      <c r="B15" s="86" t="inlineStr">
        <is>
          <t>Regenerative or recuperative burnere</t>
        </is>
      </c>
      <c r="C15" s="87" t="n">
        <v>0.5</v>
      </c>
      <c r="D15" s="88" t="n">
        <v>0.05</v>
      </c>
      <c r="E15" s="88" t="n">
        <v>0.3</v>
      </c>
      <c r="F15" s="89" t="n">
        <v>4.8</v>
      </c>
      <c r="G15" s="89" t="n">
        <v>0</v>
      </c>
      <c r="H15" s="89" t="n">
        <v>0</v>
      </c>
      <c r="I15" s="89" t="n">
        <v>10</v>
      </c>
      <c r="J15" s="89" t="n">
        <v>20</v>
      </c>
      <c r="K15" s="89" t="n">
        <v>0.7</v>
      </c>
      <c r="L15" s="85" t="inlineStr">
        <is>
          <t>500-1000C</t>
        </is>
      </c>
      <c r="M15" s="85" t="n">
        <v>0.174</v>
      </c>
      <c r="N15" s="85" t="inlineStr">
        <is>
          <t>Other metals (242)</t>
        </is>
      </c>
      <c r="O15" s="85" t="n">
        <v>0.6089</v>
      </c>
      <c r="P15" s="85" t="inlineStr">
        <is>
          <t>1 unit</t>
        </is>
      </c>
      <c r="Q15" s="85" t="inlineStr">
        <is>
          <t>unit WHR — handled in unit-efficiency files (recup/regen burner; do-not-double-count).</t>
        </is>
      </c>
      <c r="R15" s="85" t="n">
        <v>1</v>
      </c>
      <c r="S15" s="85" t="n">
        <v>0</v>
      </c>
      <c r="T15" s="85" t="n">
        <v>0</v>
      </c>
      <c r="U15" s="85" t="n">
        <v>0.8</v>
      </c>
      <c r="V15" s="85" t="n"/>
    </row>
    <row r="16" ht="15" customHeight="1" thickBot="1">
      <c r="A16" s="29" t="inlineStr">
        <is>
          <t>Aluminum foundries</t>
        </is>
      </c>
      <c r="B16" s="29" t="inlineStr">
        <is>
          <t>Liquid metal as feedstocke</t>
        </is>
      </c>
      <c r="C16" s="30" t="n">
        <v>0.05</v>
      </c>
      <c r="D16" s="31" t="n">
        <v>0.2</v>
      </c>
      <c r="E16" s="31" t="n">
        <v>0.45</v>
      </c>
      <c r="F16" s="32" t="n">
        <v>8.699999999999999</v>
      </c>
      <c r="G16" s="32" t="n">
        <v>0</v>
      </c>
      <c r="H16" s="32" t="n">
        <v>0</v>
      </c>
      <c r="I16" s="32" t="n">
        <v>25</v>
      </c>
      <c r="J16" s="32" t="n">
        <v>20</v>
      </c>
      <c r="K16" s="32" t="n">
        <v>0</v>
      </c>
      <c r="L16" t="inlineStr">
        <is>
          <t>500-1000C</t>
        </is>
      </c>
      <c r="M16" t="n">
        <v>0.174</v>
      </c>
      <c r="N16" t="inlineStr">
        <is>
          <t>Other metals (242)</t>
        </is>
      </c>
      <c r="O16" t="n">
        <v>0.6089</v>
      </c>
      <c r="P16" t="inlineStr">
        <is>
          <t>3 proc</t>
        </is>
      </c>
      <c r="Q16" t="inlineStr">
        <is>
          <t>Liquid-metal feedstock avoids remelt. Process/material.</t>
        </is>
      </c>
      <c r="R16" t="n">
        <v>1</v>
      </c>
      <c r="S16" t="n">
        <v>0</v>
      </c>
      <c r="T16" t="n">
        <v>0</v>
      </c>
      <c r="U16" t="n">
        <v>0.5</v>
      </c>
    </row>
    <row r="17" ht="15.65" customHeight="1" thickBot="1" thickTop="1">
      <c r="A17" s="24" t="inlineStr">
        <is>
          <t>Coke oven</t>
        </is>
      </c>
      <c r="B17" s="24" t="inlineStr">
        <is>
          <t>Programmed heatinga</t>
        </is>
      </c>
      <c r="C17" s="22" t="n">
        <v>0.3</v>
      </c>
      <c r="D17" s="22" t="n">
        <v>0.5</v>
      </c>
      <c r="E17" s="22" t="n">
        <v>0.7</v>
      </c>
      <c r="F17" s="23" t="n">
        <v>0.2</v>
      </c>
      <c r="G17" s="23" t="n">
        <v>0</v>
      </c>
      <c r="H17" s="23" t="n">
        <v>0</v>
      </c>
      <c r="I17" s="23" t="n">
        <v>0.2</v>
      </c>
      <c r="J17" s="23" t="n">
        <v>10</v>
      </c>
      <c r="K17" s="23" t="n">
        <v>0</v>
      </c>
      <c r="L17" t="inlineStr">
        <is>
          <t>&gt;1000C</t>
        </is>
      </c>
      <c r="M17" t="n">
        <v>0.587</v>
      </c>
      <c r="N17" t="inlineStr">
        <is>
          <t>Iron &amp; steel (241)</t>
        </is>
      </c>
      <c r="O17" t="n">
        <v>0.6516</v>
      </c>
      <c r="P17" t="inlineStr">
        <is>
          <t>3 proc</t>
        </is>
      </c>
      <c r="Q17" t="inlineStr">
        <is>
          <t>Programmed heating (control). Not recovery.</t>
        </is>
      </c>
      <c r="R17" t="n">
        <v>1</v>
      </c>
      <c r="S17" t="n">
        <v>0</v>
      </c>
      <c r="T17" t="n">
        <v>0</v>
      </c>
      <c r="U17" t="n">
        <v>1</v>
      </c>
    </row>
    <row r="18" ht="15" customHeight="1" thickBot="1">
      <c r="A18" s="15" t="inlineStr">
        <is>
          <t>Coke oven</t>
        </is>
      </c>
      <c r="B18" s="15" t="inlineStr">
        <is>
          <t>Variable speed drive on compressorsa</t>
        </is>
      </c>
      <c r="C18" s="16" t="n">
        <v>0.3</v>
      </c>
      <c r="D18" s="16" t="n">
        <v>0.5</v>
      </c>
      <c r="E18" s="16" t="n">
        <v>0.7</v>
      </c>
      <c r="F18" s="226">
        <f>'src review'!H97</f>
        <v/>
      </c>
      <c r="G18" s="236">
        <f>'src review'!I97</f>
        <v/>
      </c>
      <c r="H18" s="17" t="n">
        <v>0</v>
      </c>
      <c r="I18" s="17" t="n">
        <v>0.3</v>
      </c>
      <c r="J18" s="17" t="n">
        <v>15</v>
      </c>
      <c r="K18" s="17" t="n">
        <v>0</v>
      </c>
      <c r="L18" t="inlineStr">
        <is>
          <t>&gt;1000C</t>
        </is>
      </c>
      <c r="M18" t="n">
        <v>0.587</v>
      </c>
      <c r="N18" t="inlineStr">
        <is>
          <t>Iron &amp; steel (241)</t>
        </is>
      </c>
      <c r="O18" t="n">
        <v>0.6516</v>
      </c>
      <c r="P18" t="inlineStr">
        <is>
          <t>3 proc</t>
        </is>
      </c>
      <c r="Q18" t="inlineStr">
        <is>
          <t>VSD on compressors (motor efficiency).</t>
        </is>
      </c>
      <c r="R18" t="n">
        <v>0</v>
      </c>
      <c r="S18" t="n">
        <v>0</v>
      </c>
      <c r="T18" t="n">
        <v>0</v>
      </c>
      <c r="U18" t="n">
        <v>1</v>
      </c>
    </row>
    <row r="19" ht="15" customHeight="1" thickBot="1">
      <c r="A19" s="18" t="inlineStr">
        <is>
          <t>Coke oven</t>
        </is>
      </c>
      <c r="B19" s="18" t="inlineStr">
        <is>
          <t>Coal moisture controla</t>
        </is>
      </c>
      <c r="C19" s="19" t="n">
        <v>0.3</v>
      </c>
      <c r="D19" s="19" t="n">
        <v>0.5</v>
      </c>
      <c r="E19" s="19" t="n">
        <v>0.7</v>
      </c>
      <c r="F19" s="20" t="n">
        <v>0.3</v>
      </c>
      <c r="G19" s="20" t="n">
        <v>0</v>
      </c>
      <c r="H19" s="20" t="n">
        <v>0</v>
      </c>
      <c r="I19" s="20" t="n">
        <v>6.5</v>
      </c>
      <c r="J19" s="20" t="n">
        <v>10</v>
      </c>
      <c r="K19" s="20" t="n">
        <v>0</v>
      </c>
      <c r="L19" t="inlineStr">
        <is>
          <t>&gt;1000C</t>
        </is>
      </c>
      <c r="M19" t="n">
        <v>0.587</v>
      </c>
      <c r="N19" t="inlineStr">
        <is>
          <t>Iron &amp; steel (241)</t>
        </is>
      </c>
      <c r="O19" t="n">
        <v>0.6516</v>
      </c>
      <c r="P19" t="inlineStr">
        <is>
          <t>3 proc</t>
        </is>
      </c>
      <c r="Q19" t="inlineStr">
        <is>
          <t>Coal moisture control (charge prep).</t>
        </is>
      </c>
      <c r="R19" t="n">
        <v>1</v>
      </c>
      <c r="S19" t="n">
        <v>0</v>
      </c>
      <c r="T19" t="n">
        <v>0</v>
      </c>
      <c r="U19" t="n">
        <v>1</v>
      </c>
    </row>
    <row r="20" ht="15" customHeight="1" thickBot="1">
      <c r="A20" s="24" t="inlineStr">
        <is>
          <t>Pig iron</t>
        </is>
      </c>
      <c r="B20" s="24" t="inlineStr">
        <is>
          <t>Waste heat recovery blast furnace slagb</t>
        </is>
      </c>
      <c r="C20" s="22" t="n">
        <v>0</v>
      </c>
      <c r="D20" s="22" t="n">
        <v>0.43</v>
      </c>
      <c r="E20" s="22" t="n">
        <v>0.8</v>
      </c>
      <c r="F20" s="23" t="n">
        <v>0.4</v>
      </c>
      <c r="G20" s="23" t="n">
        <v>0</v>
      </c>
      <c r="H20" s="23" t="n">
        <v>0</v>
      </c>
      <c r="I20" s="23" t="n">
        <v>54.5</v>
      </c>
      <c r="J20" s="23" t="n">
        <v>20</v>
      </c>
      <c r="K20" s="23" t="n">
        <v>0</v>
      </c>
      <c r="L20" t="inlineStr">
        <is>
          <t>&gt;1000C</t>
        </is>
      </c>
      <c r="M20" t="n">
        <v>0.587</v>
      </c>
      <c r="N20" t="inlineStr">
        <is>
          <t>Iron &amp; steel (241)</t>
        </is>
      </c>
      <c r="O20" t="n">
        <v>0.6516</v>
      </c>
      <c r="P20" t="inlineStr">
        <is>
          <t>2 whr</t>
        </is>
      </c>
      <c r="Q20" t="inlineStr">
        <is>
          <t>System WHR: blast-furnace slag sensible-heat recovery. Not on do-not-double-count list.</t>
        </is>
      </c>
      <c r="R20" t="n">
        <v>1</v>
      </c>
      <c r="S20" t="n">
        <v>0</v>
      </c>
      <c r="T20" t="n">
        <v>0</v>
      </c>
      <c r="U20" t="n">
        <v>0.8</v>
      </c>
    </row>
    <row r="21" ht="15" customHeight="1" thickBot="1">
      <c r="A21" s="15" t="inlineStr">
        <is>
          <t>Pig iron</t>
        </is>
      </c>
      <c r="B21" s="15" t="inlineStr">
        <is>
          <t>Top gas recovery turbineb</t>
        </is>
      </c>
      <c r="C21" s="16" t="n">
        <v>0.7</v>
      </c>
      <c r="D21" s="16" t="n">
        <v>0.21</v>
      </c>
      <c r="E21" s="16" t="n">
        <v>0.29</v>
      </c>
      <c r="F21" s="17" t="n">
        <v>0</v>
      </c>
      <c r="G21" s="17" t="n">
        <v>0.1</v>
      </c>
      <c r="H21" s="17" t="n">
        <v>0</v>
      </c>
      <c r="I21" s="17" t="n">
        <v>3.3</v>
      </c>
      <c r="J21" s="17" t="n">
        <v>15</v>
      </c>
      <c r="K21" s="17" t="n">
        <v>0.5</v>
      </c>
      <c r="L21" t="inlineStr">
        <is>
          <t>&gt;1000C</t>
        </is>
      </c>
      <c r="M21" t="n">
        <v>0.587</v>
      </c>
      <c r="N21" t="inlineStr">
        <is>
          <t>Iron &amp; steel (241)</t>
        </is>
      </c>
      <c r="O21" t="n">
        <v>0.6516</v>
      </c>
      <c r="P21" t="inlineStr">
        <is>
          <t>2 whr</t>
        </is>
      </c>
      <c r="Q21" t="inlineStr">
        <is>
          <t>System WHR: top-gas recovery turbine (pressure/sensible heat). G0.1 ruling; no overlap with hot-blast-stove credit.</t>
        </is>
      </c>
      <c r="R21" t="n">
        <v>0</v>
      </c>
      <c r="S21" t="n">
        <v>1</v>
      </c>
      <c r="T21" t="n">
        <v>0</v>
      </c>
      <c r="U21" t="n">
        <v>0.99</v>
      </c>
    </row>
    <row r="22" ht="15" customHeight="1" thickBot="1">
      <c r="A22" s="33" t="inlineStr">
        <is>
          <t>Pig iron</t>
        </is>
      </c>
      <c r="B22" s="33" t="inlineStr">
        <is>
          <t>Moisture Removing Blowing Technique in Blast Furnacec</t>
        </is>
      </c>
      <c r="C22" s="27" t="n">
        <v>0.05</v>
      </c>
      <c r="D22" s="27" t="n">
        <v>0.65</v>
      </c>
      <c r="E22" s="27" t="n">
        <v>0.75</v>
      </c>
      <c r="F22" s="28" t="n">
        <v>0.2</v>
      </c>
      <c r="G22" s="28" t="n">
        <v>0</v>
      </c>
      <c r="H22" s="28" t="n">
        <v>0</v>
      </c>
      <c r="I22" s="28" t="n">
        <v>2</v>
      </c>
      <c r="J22" s="28" t="n">
        <v>15</v>
      </c>
      <c r="K22" s="28" t="n">
        <v>0</v>
      </c>
      <c r="L22" t="inlineStr">
        <is>
          <t>&gt;1000C</t>
        </is>
      </c>
      <c r="M22" t="n">
        <v>0.587</v>
      </c>
      <c r="N22" t="inlineStr">
        <is>
          <t>Iron &amp; steel (241)</t>
        </is>
      </c>
      <c r="O22" t="n">
        <v>0.6516</v>
      </c>
      <c r="P22" t="inlineStr">
        <is>
          <t>3 proc</t>
        </is>
      </c>
      <c r="Q22" t="inlineStr">
        <is>
          <t>Blast dehumidification (process).</t>
        </is>
      </c>
      <c r="R22" t="n">
        <v>1</v>
      </c>
      <c r="S22" t="n">
        <v>0</v>
      </c>
      <c r="T22" t="n">
        <v>0</v>
      </c>
      <c r="U22" t="n">
        <v>0.8</v>
      </c>
    </row>
    <row r="23" ht="15" customHeight="1" thickBot="1">
      <c r="A23" s="15" t="inlineStr">
        <is>
          <t>Pig iron</t>
        </is>
      </c>
      <c r="B23" s="15" t="inlineStr">
        <is>
          <t>Injection of pulverized coal in BFc</t>
        </is>
      </c>
      <c r="C23" s="16" t="n">
        <v>0.05</v>
      </c>
      <c r="D23" s="16" t="n">
        <v>0.45</v>
      </c>
      <c r="E23" s="16" t="n">
        <v>0.95</v>
      </c>
      <c r="F23" s="17" t="n">
        <v>0.6</v>
      </c>
      <c r="G23" s="17" t="n">
        <v>0</v>
      </c>
      <c r="H23" s="17" t="n">
        <v>0</v>
      </c>
      <c r="I23" s="17" t="n">
        <v>5.4</v>
      </c>
      <c r="J23" s="17" t="n">
        <v>20</v>
      </c>
      <c r="K23" s="17" t="n">
        <v>1.6</v>
      </c>
      <c r="L23" t="inlineStr">
        <is>
          <t>&gt;1000C</t>
        </is>
      </c>
      <c r="M23" t="n">
        <v>0.587</v>
      </c>
      <c r="N23" t="inlineStr">
        <is>
          <t>Iron &amp; steel (241)</t>
        </is>
      </c>
      <c r="O23" t="n">
        <v>0.6516</v>
      </c>
      <c r="P23" t="inlineStr">
        <is>
          <t>3 proc</t>
        </is>
      </c>
      <c r="Q23" t="inlineStr">
        <is>
          <t>Pulverized-coal injection (reductant substitution).</t>
        </is>
      </c>
      <c r="R23" t="n">
        <v>1</v>
      </c>
      <c r="S23" t="n">
        <v>0</v>
      </c>
      <c r="T23" t="n">
        <v>0</v>
      </c>
      <c r="U23" t="n">
        <v>1</v>
      </c>
    </row>
    <row r="24" ht="15" customHeight="1" thickBot="1">
      <c r="A24" s="93" t="inlineStr">
        <is>
          <t>Pig iron</t>
        </is>
      </c>
      <c r="B24" s="93" t="inlineStr">
        <is>
          <t>Cogeneration (for the use of untapped coke oven gas, blast furnace gas, and basic oxygen furnace-gas in integrated steel mills)c</t>
        </is>
      </c>
      <c r="C24" s="88" t="n">
        <v>0.05</v>
      </c>
      <c r="D24" s="88" t="n">
        <v>0.2</v>
      </c>
      <c r="E24" s="88" t="n">
        <v>0.5</v>
      </c>
      <c r="F24" s="89" t="n">
        <v>0.2</v>
      </c>
      <c r="G24" s="89" t="n">
        <v>0</v>
      </c>
      <c r="H24" s="89" t="n">
        <v>0</v>
      </c>
      <c r="I24" s="89" t="n">
        <v>2.8</v>
      </c>
      <c r="J24" s="89" t="n">
        <v>20</v>
      </c>
      <c r="K24" s="89" t="n">
        <v>0</v>
      </c>
      <c r="L24" s="85" t="inlineStr">
        <is>
          <t>&gt;1000C</t>
        </is>
      </c>
      <c r="M24" s="85" t="n">
        <v>0.587</v>
      </c>
      <c r="N24" s="85" t="inlineStr">
        <is>
          <t>Iron &amp; steel (241)</t>
        </is>
      </c>
      <c r="O24" s="85" t="n">
        <v>0.6516</v>
      </c>
      <c r="P24" s="85" t="inlineStr">
        <is>
          <t>X CHP</t>
        </is>
      </c>
      <c r="Q24" s="85" t="inlineStr">
        <is>
          <t>CHP/cogen — excluded per G0.1 ruling.</t>
        </is>
      </c>
      <c r="R24" s="85" t="n">
        <v>1</v>
      </c>
      <c r="S24" s="85" t="n">
        <v>0</v>
      </c>
      <c r="T24" s="85" t="n">
        <v>0</v>
      </c>
      <c r="U24" s="85" t="n">
        <v>0.55</v>
      </c>
      <c r="V24" s="85" t="n"/>
    </row>
    <row r="25" ht="15" customHeight="1" thickBot="1">
      <c r="A25" s="62" t="inlineStr">
        <is>
          <t>Pig iron</t>
        </is>
      </c>
      <c r="B25" s="62" t="inlineStr">
        <is>
          <t>Recovery of blast furnace gas</t>
        </is>
      </c>
      <c r="C25" s="63" t="n">
        <v>0.05</v>
      </c>
      <c r="D25" s="63" t="n">
        <v>0.03</v>
      </c>
      <c r="E25" s="63" t="n">
        <v>0.05</v>
      </c>
      <c r="F25" s="64" t="n">
        <v>0.1</v>
      </c>
      <c r="G25" s="64" t="n">
        <v>0</v>
      </c>
      <c r="H25" s="64" t="n">
        <v>0</v>
      </c>
      <c r="I25" s="64" t="n">
        <v>1.3</v>
      </c>
      <c r="J25" s="64" t="n">
        <v>15</v>
      </c>
      <c r="K25" s="64" t="n">
        <v>0</v>
      </c>
      <c r="L25" s="99" t="inlineStr">
        <is>
          <t>&gt;1000C</t>
        </is>
      </c>
      <c r="M25" s="99" t="n">
        <v>0.587</v>
      </c>
      <c r="N25" s="99" t="inlineStr">
        <is>
          <t>Iron &amp; steel (241)</t>
        </is>
      </c>
      <c r="O25" s="99" t="n">
        <v>0.6516</v>
      </c>
      <c r="P25" s="99" t="inlineStr">
        <is>
          <t>3 proc</t>
        </is>
      </c>
      <c r="Q25" s="99" t="inlineStr">
        <is>
          <t>Off-gas recovery (BF gas capture). Bucket 3 per G0.1 ruling: gas/feedstock recovery, not waste heat.</t>
        </is>
      </c>
      <c r="R25" s="99" t="n">
        <v>1</v>
      </c>
      <c r="S25" s="99" t="n">
        <v>0</v>
      </c>
      <c r="T25" s="99" t="n">
        <v>0</v>
      </c>
      <c r="U25" s="99" t="n">
        <v>0.1</v>
      </c>
      <c r="V25" s="99" t="n"/>
    </row>
    <row r="26" ht="15" customHeight="1" thickBot="1">
      <c r="A26" s="33" t="inlineStr">
        <is>
          <t>Pig iron</t>
        </is>
      </c>
      <c r="B26" s="33" t="inlineStr">
        <is>
          <t>Improved hot blast stove controlc</t>
        </is>
      </c>
      <c r="C26" s="27" t="n">
        <v>0.25</v>
      </c>
      <c r="D26" s="27" t="n">
        <v>0.3</v>
      </c>
      <c r="E26" s="27" t="n">
        <v>0.45</v>
      </c>
      <c r="F26" s="28" t="n">
        <v>0.3</v>
      </c>
      <c r="G26" s="28" t="n">
        <v>0</v>
      </c>
      <c r="H26" s="28" t="n">
        <v>0</v>
      </c>
      <c r="I26" s="28" t="n">
        <v>0.3</v>
      </c>
      <c r="J26" s="28" t="n">
        <v>5</v>
      </c>
      <c r="K26" s="28" t="n">
        <v>0</v>
      </c>
      <c r="L26" t="inlineStr">
        <is>
          <t>&gt;1000C</t>
        </is>
      </c>
      <c r="M26" t="n">
        <v>0.587</v>
      </c>
      <c r="N26" t="inlineStr">
        <is>
          <t>Iron &amp; steel (241)</t>
        </is>
      </c>
      <c r="O26" t="n">
        <v>0.6516</v>
      </c>
      <c r="P26" t="inlineStr">
        <is>
          <t>3 proc</t>
        </is>
      </c>
      <c r="Q26" t="inlineStr">
        <is>
          <t>Hot-blast-stove CONTROL efficiency (not recovery; stove recovery itself is do-not-double-count).</t>
        </is>
      </c>
      <c r="R26" t="n">
        <v>1</v>
      </c>
      <c r="S26" t="n">
        <v>0</v>
      </c>
      <c r="T26" t="n">
        <v>0</v>
      </c>
      <c r="U26" t="n">
        <v>0.7</v>
      </c>
    </row>
    <row r="27" ht="15" customHeight="1" thickBot="1">
      <c r="A27" s="34" t="inlineStr">
        <is>
          <t>Pig iron</t>
        </is>
      </c>
      <c r="B27" s="34" t="inlineStr">
        <is>
          <t>Improved blast furnace controlc</t>
        </is>
      </c>
      <c r="C27" s="35" t="n">
        <v>0.5</v>
      </c>
      <c r="D27" s="35" t="n">
        <v>0.25</v>
      </c>
      <c r="E27" s="35" t="n">
        <v>0.5</v>
      </c>
      <c r="F27" s="36" t="n">
        <v>0.3</v>
      </c>
      <c r="G27" s="36" t="n">
        <v>0</v>
      </c>
      <c r="H27" s="36" t="n">
        <v>0</v>
      </c>
      <c r="I27" s="36" t="n">
        <v>0.6</v>
      </c>
      <c r="J27" s="36" t="n">
        <v>5</v>
      </c>
      <c r="K27" s="36" t="n">
        <v>0</v>
      </c>
      <c r="L27" t="inlineStr">
        <is>
          <t>&gt;1000C</t>
        </is>
      </c>
      <c r="M27" t="n">
        <v>0.587</v>
      </c>
      <c r="N27" t="inlineStr">
        <is>
          <t>Iron &amp; steel (241)</t>
        </is>
      </c>
      <c r="O27" t="n">
        <v>0.6516</v>
      </c>
      <c r="P27" t="inlineStr">
        <is>
          <t>3 proc</t>
        </is>
      </c>
      <c r="Q27" t="inlineStr">
        <is>
          <t>Blast furnace control. Not recovery.</t>
        </is>
      </c>
      <c r="R27" t="n">
        <v>1</v>
      </c>
      <c r="S27" t="n">
        <v>0</v>
      </c>
      <c r="T27" t="n">
        <v>0</v>
      </c>
      <c r="U27" t="n">
        <v>1</v>
      </c>
    </row>
    <row r="28" ht="15" customHeight="1" thickBot="1">
      <c r="A28" s="15" t="inlineStr">
        <is>
          <t>BF/BOF steel</t>
        </is>
      </c>
      <c r="B28" s="15" t="inlineStr">
        <is>
          <t>Recovery of BOF and sensible heatc</t>
        </is>
      </c>
      <c r="C28" s="16" t="n">
        <v>0.7</v>
      </c>
      <c r="D28" s="16" t="n">
        <v>0.1</v>
      </c>
      <c r="E28" s="16" t="n">
        <v>0.2</v>
      </c>
      <c r="F28" s="17" t="n">
        <v>0.6</v>
      </c>
      <c r="G28" s="17" t="n">
        <v>0</v>
      </c>
      <c r="H28" s="17" t="n">
        <v>0</v>
      </c>
      <c r="I28" s="17" t="n">
        <v>25.6</v>
      </c>
      <c r="J28" s="17" t="n">
        <v>10</v>
      </c>
      <c r="K28" s="17" t="n">
        <v>0</v>
      </c>
      <c r="L28" t="inlineStr">
        <is>
          <t>&gt;1000C</t>
        </is>
      </c>
      <c r="M28" t="n">
        <v>0.587</v>
      </c>
      <c r="N28" t="inlineStr">
        <is>
          <t>Iron &amp; steel (241)</t>
        </is>
      </c>
      <c r="O28" t="n">
        <v>0.6516</v>
      </c>
      <c r="P28" t="inlineStr">
        <is>
          <t>2 whr</t>
        </is>
      </c>
      <c r="Q28" t="inlineStr">
        <is>
          <t>System WHR: BOF gas + sensible heat recovery.</t>
        </is>
      </c>
      <c r="R28" t="n">
        <v>1</v>
      </c>
      <c r="S28" t="n">
        <v>0</v>
      </c>
      <c r="T28" t="n">
        <v>0</v>
      </c>
      <c r="U28" t="n">
        <v>0.9</v>
      </c>
    </row>
    <row r="29" ht="15" customHeight="1" thickBot="1">
      <c r="A29" s="33" t="inlineStr">
        <is>
          <t>BF/BOF steel</t>
        </is>
      </c>
      <c r="B29" s="33" t="inlineStr">
        <is>
          <t>Scrap preheatingc</t>
        </is>
      </c>
      <c r="C29" s="26" t="n">
        <v>0.3</v>
      </c>
      <c r="D29" s="27" t="n">
        <v>0.25</v>
      </c>
      <c r="E29" s="27" t="n">
        <v>0.7</v>
      </c>
      <c r="F29" s="28" t="n">
        <v>0.2</v>
      </c>
      <c r="G29" s="28" t="n">
        <v>0.4</v>
      </c>
      <c r="H29" s="28" t="n">
        <v>0</v>
      </c>
      <c r="I29" s="28" t="n">
        <v>17.4</v>
      </c>
      <c r="J29" s="28" t="n">
        <v>30</v>
      </c>
      <c r="K29" s="28" t="n">
        <v>0</v>
      </c>
      <c r="L29" t="inlineStr">
        <is>
          <t>&gt;1000C</t>
        </is>
      </c>
      <c r="M29" t="n">
        <v>0.587</v>
      </c>
      <c r="N29" t="inlineStr">
        <is>
          <t>Iron &amp; steel (241)</t>
        </is>
      </c>
      <c r="O29" t="n">
        <v>0.6516</v>
      </c>
      <c r="P29" t="inlineStr">
        <is>
          <t>2 whr</t>
        </is>
      </c>
      <c r="Q29" t="inlineStr">
        <is>
          <t>System WHR: scrap preheating. G0.1 ruling (EAF floor at no-preheat value; no double count).</t>
        </is>
      </c>
      <c r="R29" t="n">
        <v>0.333333333333333</v>
      </c>
      <c r="S29" t="n">
        <v>0.666666666666667</v>
      </c>
      <c r="T29" t="n">
        <v>0</v>
      </c>
      <c r="U29" t="n">
        <v>1</v>
      </c>
    </row>
    <row r="30" ht="15" customHeight="1" thickBot="1">
      <c r="A30" s="15" t="inlineStr">
        <is>
          <t>BF/BOF steel</t>
        </is>
      </c>
      <c r="B30" s="15" t="inlineStr">
        <is>
          <t>Variable speed drives for flue gas control, pumps, fans in integrated steel millsc</t>
        </is>
      </c>
      <c r="C30" s="16" t="n">
        <v>0.85</v>
      </c>
      <c r="D30" s="16" t="n">
        <v>0.15</v>
      </c>
      <c r="E30" s="16" t="n">
        <v>0.15</v>
      </c>
      <c r="F30" s="17" t="n">
        <v>0</v>
      </c>
      <c r="G30" s="17" t="n">
        <v>0.03</v>
      </c>
      <c r="H30" s="17" t="n">
        <v>0</v>
      </c>
      <c r="I30" s="17" t="n">
        <v>1.5</v>
      </c>
      <c r="J30" s="17" t="n">
        <v>10</v>
      </c>
      <c r="K30" s="17" t="n">
        <v>0</v>
      </c>
      <c r="L30" t="inlineStr">
        <is>
          <t>&gt;1000C</t>
        </is>
      </c>
      <c r="M30" t="n">
        <v>0.587</v>
      </c>
      <c r="N30" t="inlineStr">
        <is>
          <t>Iron &amp; steel (241)</t>
        </is>
      </c>
      <c r="O30" t="n">
        <v>0.6516</v>
      </c>
      <c r="P30" t="inlineStr">
        <is>
          <t>3 proc</t>
        </is>
      </c>
      <c r="Q30" t="inlineStr">
        <is>
          <t>VSD flue-gas/pumps/fans (motor efficiency).</t>
        </is>
      </c>
      <c r="R30" t="n">
        <v>0</v>
      </c>
      <c r="S30" t="n">
        <v>1</v>
      </c>
      <c r="T30" t="n">
        <v>0</v>
      </c>
      <c r="U30" t="n">
        <v>1</v>
      </c>
    </row>
    <row r="31" ht="15" customHeight="1" thickBot="1">
      <c r="A31" s="18" t="inlineStr">
        <is>
          <t>BF/BOF steel</t>
        </is>
      </c>
      <c r="B31" s="18" t="inlineStr">
        <is>
          <t>Energy monitoring and management systemsc</t>
        </is>
      </c>
      <c r="C31" s="19" t="n">
        <v>0.5</v>
      </c>
      <c r="D31" s="19" t="n">
        <v>0.25</v>
      </c>
      <c r="E31" s="19" t="n">
        <v>0.5</v>
      </c>
      <c r="F31" s="20" t="n">
        <v>0.1</v>
      </c>
      <c r="G31" s="20" t="n">
        <v>0.01</v>
      </c>
      <c r="H31" s="20" t="n">
        <v>0</v>
      </c>
      <c r="I31" s="20" t="n">
        <v>0.2</v>
      </c>
      <c r="J31" s="20" t="n">
        <v>5</v>
      </c>
      <c r="K31" s="20" t="n">
        <v>0</v>
      </c>
      <c r="L31" t="inlineStr">
        <is>
          <t>&gt;1000C</t>
        </is>
      </c>
      <c r="M31" t="n">
        <v>0.587</v>
      </c>
      <c r="N31" t="inlineStr">
        <is>
          <t>Iron &amp; steel (241)</t>
        </is>
      </c>
      <c r="O31" t="n">
        <v>0.6516</v>
      </c>
      <c r="P31" t="inlineStr">
        <is>
          <t>3 proc</t>
        </is>
      </c>
      <c r="Q31" t="inlineStr">
        <is>
          <t>Energy monitoring &amp; management.</t>
        </is>
      </c>
      <c r="R31" t="n">
        <v>0.9090909090909089</v>
      </c>
      <c r="S31" t="n">
        <v>0.0909090909090909</v>
      </c>
      <c r="T31" t="n">
        <v>0</v>
      </c>
      <c r="U31" t="n">
        <v>1</v>
      </c>
    </row>
    <row r="32" ht="15" customHeight="1" thickBot="1">
      <c r="A32" s="24" t="inlineStr">
        <is>
          <t>EAF steel</t>
        </is>
      </c>
      <c r="B32" s="24" t="inlineStr">
        <is>
          <t>Ultra-high power (UHP)c</t>
        </is>
      </c>
      <c r="C32" s="22" t="n">
        <v>0.3</v>
      </c>
      <c r="D32" s="22" t="n">
        <v>0.45</v>
      </c>
      <c r="E32" s="22" t="n">
        <v>0.7</v>
      </c>
      <c r="F32" s="23" t="n">
        <v>0.1</v>
      </c>
      <c r="G32" s="23" t="n">
        <v>0</v>
      </c>
      <c r="H32" s="23" t="n">
        <v>0</v>
      </c>
      <c r="I32" s="23" t="n">
        <v>9.699999999999999</v>
      </c>
      <c r="J32" s="23" t="n">
        <v>15</v>
      </c>
      <c r="K32" s="23" t="n">
        <v>0</v>
      </c>
      <c r="L32" t="inlineStr">
        <is>
          <t>&gt;1000C</t>
        </is>
      </c>
      <c r="M32" t="n">
        <v>0.587</v>
      </c>
      <c r="N32" t="inlineStr">
        <is>
          <t>Iron &amp; steel (241)</t>
        </is>
      </c>
      <c r="O32" t="n">
        <v>0.6516</v>
      </c>
      <c r="P32" t="inlineStr">
        <is>
          <t>3 proc</t>
        </is>
      </c>
      <c r="Q32" t="inlineStr">
        <is>
          <t>Ultra-high-power EAF (process).</t>
        </is>
      </c>
      <c r="R32" t="n">
        <v>1</v>
      </c>
      <c r="S32" t="n">
        <v>0</v>
      </c>
      <c r="T32" t="n">
        <v>0</v>
      </c>
      <c r="U32" t="n">
        <v>1</v>
      </c>
    </row>
    <row r="33" ht="15" customHeight="1" thickBot="1">
      <c r="A33" s="34" t="inlineStr">
        <is>
          <t>EAF steel</t>
        </is>
      </c>
      <c r="B33" s="34" t="inlineStr">
        <is>
          <t>Improving process controlc</t>
        </is>
      </c>
      <c r="C33" s="35" t="n">
        <v>0.5</v>
      </c>
      <c r="D33" s="35" t="n">
        <v>0.4</v>
      </c>
      <c r="E33" s="35" t="n">
        <v>0.5</v>
      </c>
      <c r="F33" s="36" t="n">
        <v>0.2</v>
      </c>
      <c r="G33" s="36" t="n">
        <v>0.1</v>
      </c>
      <c r="H33" s="36" t="n">
        <v>0</v>
      </c>
      <c r="I33" s="36" t="n">
        <v>1.4</v>
      </c>
      <c r="J33" s="36" t="n">
        <v>10</v>
      </c>
      <c r="K33" s="36" t="n">
        <v>-0.9</v>
      </c>
      <c r="L33" t="inlineStr">
        <is>
          <t>&gt;1000C</t>
        </is>
      </c>
      <c r="M33" t="n">
        <v>0.587</v>
      </c>
      <c r="N33" t="inlineStr">
        <is>
          <t>Iron &amp; steel (241)</t>
        </is>
      </c>
      <c r="O33" t="n">
        <v>0.6516</v>
      </c>
      <c r="P33" t="inlineStr">
        <is>
          <t>3 proc</t>
        </is>
      </c>
      <c r="Q33" t="inlineStr">
        <is>
          <t>Process control. Not recovery.</t>
        </is>
      </c>
      <c r="R33" t="n">
        <v>0.666666666666667</v>
      </c>
      <c r="S33" t="n">
        <v>0.333333333333333</v>
      </c>
      <c r="T33" t="n">
        <v>0</v>
      </c>
      <c r="U33" t="n">
        <v>1</v>
      </c>
    </row>
    <row r="34" ht="15" customHeight="1" thickBot="1">
      <c r="A34" s="90" t="inlineStr">
        <is>
          <t>Rolled steel</t>
        </is>
      </c>
      <c r="B34" s="90" t="inlineStr">
        <is>
          <t>Recuperative or regenerative burnerc</t>
        </is>
      </c>
      <c r="C34" s="91" t="n">
        <v>0.4</v>
      </c>
      <c r="D34" s="91" t="n">
        <v>0.5</v>
      </c>
      <c r="E34" s="91" t="n">
        <v>0.6</v>
      </c>
      <c r="F34" s="92" t="n">
        <v>0.6</v>
      </c>
      <c r="G34" s="92" t="n">
        <v>0</v>
      </c>
      <c r="H34" s="92" t="n">
        <v>0</v>
      </c>
      <c r="I34" s="92" t="n">
        <v>2.9</v>
      </c>
      <c r="J34" s="92" t="n">
        <v>10</v>
      </c>
      <c r="K34" s="92" t="n">
        <v>0</v>
      </c>
      <c r="L34" s="85" t="inlineStr">
        <is>
          <t>500-1000C</t>
        </is>
      </c>
      <c r="M34" s="85" t="n">
        <v>0.174</v>
      </c>
      <c r="N34" s="85" t="inlineStr">
        <is>
          <t>Iron &amp; steel (241)</t>
        </is>
      </c>
      <c r="O34" s="85" t="n">
        <v>0.6516</v>
      </c>
      <c r="P34" s="85" t="inlineStr">
        <is>
          <t>1 unit</t>
        </is>
      </c>
      <c r="Q34" s="85" t="inlineStr">
        <is>
          <t>unit WHR — handled in unit-efficiency files (recup/regen burner; do-not-double-count).</t>
        </is>
      </c>
      <c r="R34" s="85" t="n">
        <v>1</v>
      </c>
      <c r="S34" s="85" t="n">
        <v>0</v>
      </c>
      <c r="T34" s="85" t="n">
        <v>0</v>
      </c>
      <c r="U34" s="85" t="n">
        <v>1</v>
      </c>
      <c r="V34" s="85" t="n"/>
    </row>
    <row r="35" ht="15" customHeight="1" thickBot="1">
      <c r="A35" s="33" t="inlineStr">
        <is>
          <t>Rolled steel</t>
        </is>
      </c>
      <c r="B35" s="33" t="inlineStr">
        <is>
          <t>Endless Hot Rolling of Steel Sheetsc</t>
        </is>
      </c>
      <c r="C35" s="27" t="n">
        <v>0.01</v>
      </c>
      <c r="D35" s="27" t="n">
        <v>0.14</v>
      </c>
      <c r="E35" s="27" t="n">
        <v>0.19</v>
      </c>
      <c r="F35" s="28" t="n">
        <v>0.4</v>
      </c>
      <c r="G35" s="28" t="n">
        <v>0</v>
      </c>
      <c r="H35" s="28" t="n">
        <v>0</v>
      </c>
      <c r="I35" s="28" t="n">
        <v>7.3</v>
      </c>
      <c r="J35" s="28" t="n">
        <v>20</v>
      </c>
      <c r="K35" s="28" t="n">
        <v>0</v>
      </c>
      <c r="L35" t="inlineStr">
        <is>
          <t>500-1000C</t>
        </is>
      </c>
      <c r="M35" t="n">
        <v>0.174</v>
      </c>
      <c r="N35" t="inlineStr">
        <is>
          <t>Iron &amp; steel (241)</t>
        </is>
      </c>
      <c r="O35" t="n">
        <v>0.6516</v>
      </c>
      <c r="P35" t="inlineStr">
        <is>
          <t>X equip-replace</t>
        </is>
      </c>
      <c r="Q35" t="inlineStr">
        <is>
          <t>Endless hot rolling (process).</t>
        </is>
      </c>
      <c r="R35" t="n">
        <v>1</v>
      </c>
      <c r="S35" t="n">
        <v>0</v>
      </c>
      <c r="T35" t="n">
        <v>0</v>
      </c>
      <c r="U35" t="n">
        <v>0.2</v>
      </c>
      <c r="W35" t="inlineStr">
        <is>
          <t>Excluded 2026-07-28: new-build casting-rolling line - 'construction of an ESP plant' (Worrell et al. 2010, LBNL-4779E). Enters via new equipment stock, not retrofit.</t>
        </is>
      </c>
    </row>
    <row r="36" ht="15" customHeight="1" thickBot="1">
      <c r="A36" s="37" t="inlineStr">
        <is>
          <t>Rolled steel</t>
        </is>
      </c>
      <c r="B36" s="37" t="inlineStr">
        <is>
          <t>Process control in hot rollingc</t>
        </is>
      </c>
      <c r="C36" s="31" t="n">
        <v>0.3</v>
      </c>
      <c r="D36" s="31" t="n">
        <v>0.5</v>
      </c>
      <c r="E36" s="31" t="n">
        <v>0.7</v>
      </c>
      <c r="F36" s="32" t="n">
        <v>0.3</v>
      </c>
      <c r="G36" s="32" t="n">
        <v>0</v>
      </c>
      <c r="H36" s="32" t="n">
        <v>0</v>
      </c>
      <c r="I36" s="32" t="n">
        <v>0.8</v>
      </c>
      <c r="J36" s="32" t="n">
        <v>10</v>
      </c>
      <c r="K36" s="32" t="n">
        <v>0</v>
      </c>
      <c r="L36" t="inlineStr">
        <is>
          <t>500-1000C</t>
        </is>
      </c>
      <c r="M36" t="n">
        <v>0.174</v>
      </c>
      <c r="N36" t="inlineStr">
        <is>
          <t>Iron &amp; steel (241)</t>
        </is>
      </c>
      <c r="O36" t="n">
        <v>0.6516</v>
      </c>
      <c r="P36" t="inlineStr">
        <is>
          <t>3 proc</t>
        </is>
      </c>
      <c r="Q36" t="inlineStr">
        <is>
          <t>Hot-rolling process control.</t>
        </is>
      </c>
      <c r="R36" t="n">
        <v>1</v>
      </c>
      <c r="S36" t="n">
        <v>0</v>
      </c>
      <c r="T36" t="n">
        <v>0</v>
      </c>
      <c r="U36" t="n">
        <v>1</v>
      </c>
    </row>
    <row r="37" ht="15.65" customHeight="1" thickBot="1" thickTop="1">
      <c r="A37" s="24" t="inlineStr">
        <is>
          <t>Container glass</t>
        </is>
      </c>
      <c r="B37" s="24" t="inlineStr">
        <is>
          <t>Batch/cullet preheatinga</t>
        </is>
      </c>
      <c r="C37" s="22" t="n">
        <v>0.4</v>
      </c>
      <c r="D37" s="22" t="n">
        <v>0.2</v>
      </c>
      <c r="E37" s="22" t="n">
        <v>0.38</v>
      </c>
      <c r="F37" s="23" t="n">
        <v>0.7</v>
      </c>
      <c r="G37" s="23" t="n">
        <v>0</v>
      </c>
      <c r="H37" s="23" t="n">
        <v>0</v>
      </c>
      <c r="I37" s="23" t="n">
        <v>20</v>
      </c>
      <c r="J37" s="23" t="n">
        <v>20</v>
      </c>
      <c r="K37" s="23" t="n">
        <v>0</v>
      </c>
      <c r="L37" t="inlineStr">
        <is>
          <t>&gt;1000C</t>
        </is>
      </c>
      <c r="M37" t="n">
        <v>0.587</v>
      </c>
      <c r="N37" t="inlineStr">
        <is>
          <t>Glass (231)</t>
        </is>
      </c>
      <c r="O37" t="n">
        <v>0.7514</v>
      </c>
      <c r="P37" t="inlineStr">
        <is>
          <t>2 whr</t>
        </is>
      </c>
      <c r="Q37" t="inlineStr">
        <is>
          <t>System WHR: flue-gas heat to preheat batch/cullet (bolt-on downstream of regenerator; not double-counted).</t>
        </is>
      </c>
      <c r="R37" t="n">
        <v>1</v>
      </c>
      <c r="S37" t="n">
        <v>0</v>
      </c>
      <c r="T37" t="n">
        <v>0</v>
      </c>
      <c r="U37" t="n">
        <v>0.78</v>
      </c>
    </row>
    <row r="38" ht="15" customHeight="1" thickBot="1">
      <c r="A38" s="15" t="inlineStr">
        <is>
          <t>Container glass</t>
        </is>
      </c>
      <c r="B38" s="15" t="inlineStr">
        <is>
          <t>Increase of culletsb</t>
        </is>
      </c>
      <c r="C38" s="16" t="n">
        <v>0.55</v>
      </c>
      <c r="D38" s="16" t="n">
        <v>0.27</v>
      </c>
      <c r="E38" s="16" t="n">
        <v>0.3</v>
      </c>
      <c r="F38" s="17" t="n">
        <v>1.2</v>
      </c>
      <c r="G38" s="17" t="n">
        <v>0</v>
      </c>
      <c r="H38" s="17" t="n">
        <v>0</v>
      </c>
      <c r="I38" s="17" t="n">
        <v>28</v>
      </c>
      <c r="J38" s="17" t="n">
        <v>20</v>
      </c>
      <c r="K38" s="17" t="n">
        <v>0.8</v>
      </c>
      <c r="L38" t="inlineStr">
        <is>
          <t>&gt;1000C</t>
        </is>
      </c>
      <c r="M38" t="n">
        <v>0.587</v>
      </c>
      <c r="N38" t="inlineStr">
        <is>
          <t>Glass (231)</t>
        </is>
      </c>
      <c r="O38" t="n">
        <v>0.7514</v>
      </c>
      <c r="P38" t="inlineStr">
        <is>
          <t>3 proc</t>
        </is>
      </c>
      <c r="Q38" t="inlineStr">
        <is>
          <t>Increased cullet (raw-material substitution).</t>
        </is>
      </c>
      <c r="R38" t="n">
        <v>1</v>
      </c>
      <c r="S38" t="n">
        <v>0</v>
      </c>
      <c r="T38" t="n">
        <v>0</v>
      </c>
      <c r="U38" t="n">
        <v>0.85</v>
      </c>
    </row>
    <row r="39" ht="15" customHeight="1" thickBot="1">
      <c r="A39" s="93" t="inlineStr">
        <is>
          <t>Container glass</t>
        </is>
      </c>
      <c r="B39" s="93" t="inlineStr">
        <is>
          <t>Low NOx burnersa</t>
        </is>
      </c>
      <c r="C39" s="88" t="n">
        <v>0.25</v>
      </c>
      <c r="D39" s="88" t="n">
        <v>0.21</v>
      </c>
      <c r="E39" s="88" t="n">
        <v>0.37</v>
      </c>
      <c r="F39" s="89" t="n">
        <v>0.3</v>
      </c>
      <c r="G39" s="89" t="n">
        <v>0</v>
      </c>
      <c r="H39" s="89" t="n">
        <v>0</v>
      </c>
      <c r="I39" s="89" t="n">
        <v>3</v>
      </c>
      <c r="J39" s="89" t="n">
        <v>20</v>
      </c>
      <c r="K39" s="89" t="n">
        <v>0</v>
      </c>
      <c r="L39" s="85" t="inlineStr">
        <is>
          <t>&gt;1000C</t>
        </is>
      </c>
      <c r="M39" s="85" t="n">
        <v>0.587</v>
      </c>
      <c r="N39" s="85" t="inlineStr">
        <is>
          <t>Glass (231)</t>
        </is>
      </c>
      <c r="O39" s="85" t="n">
        <v>0.7514</v>
      </c>
      <c r="P39" s="85" t="inlineStr">
        <is>
          <t>1 unit</t>
        </is>
      </c>
      <c r="Q39" s="85" t="inlineStr">
        <is>
          <t>unit WHR — handled in unit-efficiency files (low-NOx burner). G0.1 ruling.</t>
        </is>
      </c>
      <c r="R39" s="85" t="n">
        <v>1</v>
      </c>
      <c r="S39" s="85" t="n">
        <v>0</v>
      </c>
      <c r="T39" s="85" t="n">
        <v>0</v>
      </c>
      <c r="U39" s="85" t="n">
        <v>0.62</v>
      </c>
      <c r="V39" s="85" t="n"/>
    </row>
    <row r="40" ht="15" customHeight="1" thickBot="1">
      <c r="A40" s="15" t="inlineStr">
        <is>
          <t>Container glass</t>
        </is>
      </c>
      <c r="B40" s="15" t="inlineStr">
        <is>
          <t>Optimized burningc</t>
        </is>
      </c>
      <c r="C40" s="16" t="n">
        <v>0.3</v>
      </c>
      <c r="D40" s="16" t="n">
        <v>0.39</v>
      </c>
      <c r="E40" s="16" t="n">
        <v>0.65</v>
      </c>
      <c r="F40" s="17" t="n">
        <v>0.5</v>
      </c>
      <c r="G40" s="17" t="n">
        <v>0</v>
      </c>
      <c r="H40" s="17" t="n">
        <v>0</v>
      </c>
      <c r="I40" s="17" t="n">
        <v>10</v>
      </c>
      <c r="J40" s="17" t="n">
        <v>20</v>
      </c>
      <c r="K40" s="17" t="n">
        <v>0</v>
      </c>
      <c r="L40" t="inlineStr">
        <is>
          <t>&gt;1000C</t>
        </is>
      </c>
      <c r="M40" t="n">
        <v>0.587</v>
      </c>
      <c r="N40" t="inlineStr">
        <is>
          <t>Glass (231)</t>
        </is>
      </c>
      <c r="O40" t="n">
        <v>0.7514</v>
      </c>
      <c r="P40" t="inlineStr">
        <is>
          <t>3 proc</t>
        </is>
      </c>
      <c r="Q40" t="inlineStr">
        <is>
          <t>Optimized burning (process efficiency). G0.1 ruling.</t>
        </is>
      </c>
      <c r="R40" t="n">
        <v>1</v>
      </c>
      <c r="S40" t="n">
        <v>0</v>
      </c>
      <c r="T40" t="n">
        <v>0</v>
      </c>
      <c r="U40" t="n">
        <v>0.95</v>
      </c>
    </row>
    <row r="41" ht="15" customHeight="1" thickBot="1">
      <c r="A41" s="18" t="inlineStr">
        <is>
          <t>Container glass</t>
        </is>
      </c>
      <c r="B41" s="18" t="inlineStr">
        <is>
          <t>Process Control-Software and Image based controla</t>
        </is>
      </c>
      <c r="C41" s="19" t="n">
        <v>0.5</v>
      </c>
      <c r="D41" s="19" t="n">
        <v>0.3</v>
      </c>
      <c r="E41" s="19" t="n">
        <v>0.5</v>
      </c>
      <c r="F41" s="20" t="n">
        <v>0.2</v>
      </c>
      <c r="G41" s="20" t="n">
        <v>0</v>
      </c>
      <c r="H41" s="20" t="n">
        <v>0</v>
      </c>
      <c r="I41" s="20" t="n">
        <v>3</v>
      </c>
      <c r="J41" s="20" t="n">
        <v>10</v>
      </c>
      <c r="K41" s="20" t="n">
        <v>0</v>
      </c>
      <c r="L41" t="inlineStr">
        <is>
          <t>&gt;1000C</t>
        </is>
      </c>
      <c r="M41" t="n">
        <v>0.587</v>
      </c>
      <c r="N41" t="inlineStr">
        <is>
          <t>Glass (231)</t>
        </is>
      </c>
      <c r="O41" t="n">
        <v>0.7514</v>
      </c>
      <c r="P41" t="inlineStr">
        <is>
          <t>3 proc</t>
        </is>
      </c>
      <c r="Q41" t="inlineStr">
        <is>
          <t>Process control / image-based control.</t>
        </is>
      </c>
      <c r="R41" t="n">
        <v>1</v>
      </c>
      <c r="S41" t="n">
        <v>0</v>
      </c>
      <c r="T41" t="n">
        <v>0</v>
      </c>
      <c r="U41" t="n">
        <v>1</v>
      </c>
    </row>
    <row r="42" ht="15" customHeight="1" thickBot="1">
      <c r="A42" s="24" t="inlineStr">
        <is>
          <t>Flat glass</t>
        </is>
      </c>
      <c r="B42" s="24" t="inlineStr">
        <is>
          <t>Waste heat recoveryd</t>
        </is>
      </c>
      <c r="C42" s="22" t="n">
        <v>0.7</v>
      </c>
      <c r="D42" s="22" t="n">
        <v>0.05</v>
      </c>
      <c r="E42" s="22" t="n">
        <v>0.25</v>
      </c>
      <c r="F42" s="23" t="n">
        <v>0</v>
      </c>
      <c r="G42" s="23" t="n">
        <v>0.3</v>
      </c>
      <c r="H42" s="23" t="n">
        <v>0</v>
      </c>
      <c r="I42" s="23" t="n">
        <v>10</v>
      </c>
      <c r="J42" s="23" t="n">
        <v>20</v>
      </c>
      <c r="K42" s="23" t="n">
        <v>0</v>
      </c>
      <c r="L42" t="inlineStr">
        <is>
          <t>&gt;1000C</t>
        </is>
      </c>
      <c r="M42" t="n">
        <v>0.587</v>
      </c>
      <c r="N42" t="inlineStr">
        <is>
          <t>Glass (231)</t>
        </is>
      </c>
      <c r="O42" t="n">
        <v>0.7514</v>
      </c>
      <c r="P42" t="inlineStr">
        <is>
          <t>2 whr</t>
        </is>
      </c>
      <c r="Q42" t="inlineStr">
        <is>
          <t>System WHR: flat-glass waste heat recovery (offsets electricity).</t>
        </is>
      </c>
      <c r="R42" t="n">
        <v>0</v>
      </c>
      <c r="S42" t="n">
        <v>1</v>
      </c>
      <c r="T42" t="n">
        <v>0</v>
      </c>
      <c r="U42" t="n">
        <v>0.95</v>
      </c>
    </row>
    <row r="43" ht="15" customHeight="1" thickBot="1">
      <c r="A43" s="15" t="inlineStr">
        <is>
          <t>Flat glass</t>
        </is>
      </c>
      <c r="B43" s="15" t="inlineStr">
        <is>
          <t>Batch/cullet preheatinge</t>
        </is>
      </c>
      <c r="C43" s="16" t="n">
        <v>0</v>
      </c>
      <c r="D43" s="16" t="n">
        <v>0.2</v>
      </c>
      <c r="E43" s="16" t="n">
        <v>0.5</v>
      </c>
      <c r="F43" s="17" t="n">
        <v>1.1</v>
      </c>
      <c r="G43" s="17" t="n">
        <v>0</v>
      </c>
      <c r="H43" s="17" t="n">
        <v>0</v>
      </c>
      <c r="I43" s="17" t="n">
        <v>20</v>
      </c>
      <c r="J43" s="17" t="n">
        <v>20</v>
      </c>
      <c r="K43" s="17" t="n">
        <v>0</v>
      </c>
      <c r="L43" t="inlineStr">
        <is>
          <t>&gt;1000C</t>
        </is>
      </c>
      <c r="M43" t="n">
        <v>0.587</v>
      </c>
      <c r="N43" t="inlineStr">
        <is>
          <t>Glass (231)</t>
        </is>
      </c>
      <c r="O43" t="n">
        <v>0.7514</v>
      </c>
      <c r="P43" t="inlineStr">
        <is>
          <t>2 whr</t>
        </is>
      </c>
      <c r="Q43" t="inlineStr">
        <is>
          <t>System WHR: flue-gas heat to preheat batch/cullet.</t>
        </is>
      </c>
      <c r="R43" t="n">
        <v>1</v>
      </c>
      <c r="S43" t="n">
        <v>0</v>
      </c>
      <c r="T43" t="n">
        <v>0</v>
      </c>
      <c r="U43" t="n">
        <v>0.5</v>
      </c>
    </row>
    <row r="44" ht="15" customHeight="1" thickBot="1">
      <c r="A44" s="93" t="inlineStr">
        <is>
          <t>Flat glass</t>
        </is>
      </c>
      <c r="B44" s="93" t="inlineStr">
        <is>
          <t>Low NOx burnersa</t>
        </is>
      </c>
      <c r="C44" s="88" t="n">
        <v>0.25</v>
      </c>
      <c r="D44" s="88" t="n">
        <v>0.21</v>
      </c>
      <c r="E44" s="88" t="n">
        <v>0.37</v>
      </c>
      <c r="F44" s="89" t="n">
        <v>0.4</v>
      </c>
      <c r="G44" s="89" t="n">
        <v>0</v>
      </c>
      <c r="H44" s="89" t="n">
        <v>0</v>
      </c>
      <c r="I44" s="89" t="n">
        <v>3</v>
      </c>
      <c r="J44" s="89" t="n">
        <v>20</v>
      </c>
      <c r="K44" s="89" t="n">
        <v>0</v>
      </c>
      <c r="L44" s="85" t="inlineStr">
        <is>
          <t>&gt;1000C</t>
        </is>
      </c>
      <c r="M44" s="85" t="n">
        <v>0.587</v>
      </c>
      <c r="N44" s="85" t="inlineStr">
        <is>
          <t>Glass (231)</t>
        </is>
      </c>
      <c r="O44" s="85" t="n">
        <v>0.7514</v>
      </c>
      <c r="P44" s="85" t="inlineStr">
        <is>
          <t>1 unit</t>
        </is>
      </c>
      <c r="Q44" s="85" t="inlineStr">
        <is>
          <t>unit WHR — handled in unit-efficiency files (low-NOx burner). G0.1 ruling.</t>
        </is>
      </c>
      <c r="R44" s="85" t="n">
        <v>1</v>
      </c>
      <c r="S44" s="85" t="n">
        <v>0</v>
      </c>
      <c r="T44" s="85" t="n">
        <v>0</v>
      </c>
      <c r="U44" s="85" t="n">
        <v>0.62</v>
      </c>
      <c r="V44" s="85" t="n"/>
    </row>
    <row r="45" ht="15" customHeight="1" thickBot="1">
      <c r="A45" s="15" t="inlineStr">
        <is>
          <t>Flat glass</t>
        </is>
      </c>
      <c r="B45" s="15" t="inlineStr">
        <is>
          <t>Optimized burningc</t>
        </is>
      </c>
      <c r="C45" s="16" t="n">
        <v>0.3</v>
      </c>
      <c r="D45" s="16" t="n">
        <v>0.41</v>
      </c>
      <c r="E45" s="16" t="n">
        <v>0.66</v>
      </c>
      <c r="F45" s="17" t="n">
        <v>1</v>
      </c>
      <c r="G45" s="17" t="n">
        <v>0</v>
      </c>
      <c r="H45" s="17" t="n">
        <v>0</v>
      </c>
      <c r="I45" s="17" t="n">
        <v>10</v>
      </c>
      <c r="J45" s="17" t="n">
        <v>20</v>
      </c>
      <c r="K45" s="17" t="n">
        <v>0</v>
      </c>
      <c r="L45" t="inlineStr">
        <is>
          <t>&gt;1000C</t>
        </is>
      </c>
      <c r="M45" t="n">
        <v>0.587</v>
      </c>
      <c r="N45" t="inlineStr">
        <is>
          <t>Glass (231)</t>
        </is>
      </c>
      <c r="O45" t="n">
        <v>0.7514</v>
      </c>
      <c r="P45" t="inlineStr">
        <is>
          <t>3 proc</t>
        </is>
      </c>
      <c r="Q45" t="inlineStr">
        <is>
          <t>Optimized burning (process efficiency). G0.1 ruling.</t>
        </is>
      </c>
      <c r="R45" t="n">
        <v>1</v>
      </c>
      <c r="S45" t="n">
        <v>0</v>
      </c>
      <c r="T45" t="n">
        <v>0</v>
      </c>
      <c r="U45" t="n">
        <v>0.96</v>
      </c>
    </row>
    <row r="46" ht="15" customHeight="1" thickBot="1">
      <c r="A46" s="38" t="inlineStr">
        <is>
          <t>Flat glass</t>
        </is>
      </c>
      <c r="B46" s="38" t="inlineStr">
        <is>
          <t>Process Control-Software and Image based controla</t>
        </is>
      </c>
      <c r="C46" s="39" t="n">
        <v>0.5</v>
      </c>
      <c r="D46" s="39" t="n">
        <v>0.3</v>
      </c>
      <c r="E46" s="39" t="n">
        <v>0.5</v>
      </c>
      <c r="F46" s="40" t="n">
        <v>0.4</v>
      </c>
      <c r="G46" s="40" t="n">
        <v>0</v>
      </c>
      <c r="H46" s="40" t="n">
        <v>0</v>
      </c>
      <c r="I46" s="40" t="n">
        <v>3</v>
      </c>
      <c r="J46" s="40" t="n">
        <v>10</v>
      </c>
      <c r="K46" s="40" t="n">
        <v>0</v>
      </c>
      <c r="L46" t="inlineStr">
        <is>
          <t>&gt;1000C</t>
        </is>
      </c>
      <c r="M46" t="n">
        <v>0.587</v>
      </c>
      <c r="N46" t="inlineStr">
        <is>
          <t>Glass (231)</t>
        </is>
      </c>
      <c r="O46" t="n">
        <v>0.7514</v>
      </c>
      <c r="P46" t="inlineStr">
        <is>
          <t>3 proc</t>
        </is>
      </c>
      <c r="Q46" t="inlineStr">
        <is>
          <t>Process control / image-based control.</t>
        </is>
      </c>
      <c r="R46" t="n">
        <v>1</v>
      </c>
      <c r="S46" t="n">
        <v>0</v>
      </c>
      <c r="T46" t="n">
        <v>0</v>
      </c>
      <c r="U46" t="n">
        <v>1</v>
      </c>
    </row>
    <row r="47" ht="15.65" customHeight="1" thickBot="1" thickTop="1">
      <c r="A47" s="21" t="inlineStr">
        <is>
          <t>Mechanical pulp</t>
        </is>
      </c>
      <c r="B47" s="21" t="inlineStr">
        <is>
          <t>Heat recovery (TMP, GW)a</t>
        </is>
      </c>
      <c r="C47" s="22" t="n">
        <v>0.95</v>
      </c>
      <c r="D47" s="22" t="n">
        <v>0.05</v>
      </c>
      <c r="E47" s="22" t="n">
        <v>0.05</v>
      </c>
      <c r="F47" s="23" t="n">
        <v>3.5</v>
      </c>
      <c r="G47" s="23" t="n">
        <v>0</v>
      </c>
      <c r="H47" s="23" t="n">
        <v>0</v>
      </c>
      <c r="I47" s="23" t="n">
        <v>41</v>
      </c>
      <c r="J47" s="23" t="n">
        <v>20</v>
      </c>
      <c r="K47" s="23" t="n">
        <v>0</v>
      </c>
      <c r="L47" t="inlineStr">
        <is>
          <t>100-200C</t>
        </is>
      </c>
      <c r="M47" t="n">
        <v>0</v>
      </c>
      <c r="N47" t="inlineStr">
        <is>
          <t>Pulp &amp; paper (17T18)</t>
        </is>
      </c>
      <c r="O47" t="n">
        <v>0.8551</v>
      </c>
      <c r="P47" t="inlineStr">
        <is>
          <t>2 whr</t>
        </is>
      </c>
      <c r="Q47" t="inlineStr">
        <is>
          <t>System WHR: heat recovery from TMP/GW refiners.</t>
        </is>
      </c>
      <c r="R47" t="n">
        <v>1</v>
      </c>
      <c r="S47" t="n">
        <v>0</v>
      </c>
      <c r="T47" t="n">
        <v>0</v>
      </c>
      <c r="U47" t="n">
        <v>1</v>
      </c>
    </row>
    <row r="48" ht="15" customHeight="1" thickBot="1">
      <c r="A48" s="41" t="inlineStr">
        <is>
          <t>Mechanical pulp</t>
        </is>
      </c>
      <c r="B48" s="41" t="inlineStr">
        <is>
          <t>Efficient refiner and pretreatment (TMP)a</t>
        </is>
      </c>
      <c r="C48" s="35" t="n">
        <v>0.15</v>
      </c>
      <c r="D48" s="35" t="n">
        <v>0.13</v>
      </c>
      <c r="E48" s="35" t="n">
        <v>0.65</v>
      </c>
      <c r="F48" s="36" t="n">
        <v>0</v>
      </c>
      <c r="G48" s="36" t="n">
        <v>1.6</v>
      </c>
      <c r="H48" s="36" t="n">
        <v>0</v>
      </c>
      <c r="I48" s="36" t="n">
        <v>122</v>
      </c>
      <c r="J48" s="36" t="n">
        <v>20</v>
      </c>
      <c r="K48" s="36" t="n">
        <v>0</v>
      </c>
      <c r="L48" t="inlineStr">
        <is>
          <t>100-200C</t>
        </is>
      </c>
      <c r="M48" t="n">
        <v>0</v>
      </c>
      <c r="N48" t="inlineStr">
        <is>
          <t>Pulp &amp; paper (17T18)</t>
        </is>
      </c>
      <c r="O48" t="n">
        <v>0.8551</v>
      </c>
      <c r="P48" t="inlineStr">
        <is>
          <t>3 proc</t>
        </is>
      </c>
      <c r="Q48" t="inlineStr">
        <is>
          <t>Efficient refiner &amp; pretreatment.</t>
        </is>
      </c>
      <c r="R48" t="n">
        <v>0</v>
      </c>
      <c r="S48" t="n">
        <v>1</v>
      </c>
      <c r="T48" t="n">
        <v>0</v>
      </c>
      <c r="U48" t="n">
        <v>0.8</v>
      </c>
    </row>
    <row r="49" ht="15" customHeight="1" thickBot="1">
      <c r="A49" s="42" t="inlineStr">
        <is>
          <t>Recovered fibre pulp</t>
        </is>
      </c>
      <c r="B49" s="42" t="inlineStr">
        <is>
          <t>High consistency pulpingb</t>
        </is>
      </c>
      <c r="C49" s="16" t="n">
        <v>0.6</v>
      </c>
      <c r="D49" s="16" t="n">
        <v>0.25</v>
      </c>
      <c r="E49" s="16" t="n">
        <v>0.4</v>
      </c>
      <c r="F49" s="226">
        <f>'src review'!L65</f>
        <v/>
      </c>
      <c r="G49" s="236">
        <f>'src review'!M65</f>
        <v/>
      </c>
      <c r="H49" s="17" t="n">
        <v>0</v>
      </c>
      <c r="I49" s="17" t="n">
        <v>3</v>
      </c>
      <c r="J49" s="17" t="n">
        <v>20</v>
      </c>
      <c r="K49" s="17" t="n">
        <v>0</v>
      </c>
      <c r="L49" t="inlineStr">
        <is>
          <t>100-200C</t>
        </is>
      </c>
      <c r="M49" t="n">
        <v>0</v>
      </c>
      <c r="N49" t="inlineStr">
        <is>
          <t>Pulp &amp; paper (17T18)</t>
        </is>
      </c>
      <c r="O49" t="n">
        <v>0.8551</v>
      </c>
      <c r="P49" t="inlineStr">
        <is>
          <t>3 proc</t>
        </is>
      </c>
      <c r="Q49" t="inlineStr">
        <is>
          <t>High-consistency pulping (process).</t>
        </is>
      </c>
      <c r="R49" t="n">
        <v>0</v>
      </c>
      <c r="S49" t="n">
        <v>0</v>
      </c>
      <c r="T49" t="n">
        <v>0</v>
      </c>
      <c r="U49" t="n">
        <v>1</v>
      </c>
    </row>
    <row r="50" ht="15" customHeight="1" thickBot="1">
      <c r="A50" s="25" t="inlineStr">
        <is>
          <t>Recovered fibre pulp</t>
        </is>
      </c>
      <c r="B50" s="25" t="inlineStr">
        <is>
          <t>Efficient screeningb</t>
        </is>
      </c>
      <c r="C50" s="27" t="n">
        <v>0.7</v>
      </c>
      <c r="D50" s="27" t="n">
        <v>0.08</v>
      </c>
      <c r="E50" s="27" t="n">
        <v>0.3</v>
      </c>
      <c r="F50" s="28" t="n">
        <v>0</v>
      </c>
      <c r="G50" s="28" t="n">
        <v>0.1</v>
      </c>
      <c r="H50" s="28" t="n">
        <v>0</v>
      </c>
      <c r="I50" s="28" t="n">
        <v>6</v>
      </c>
      <c r="J50" s="28" t="n">
        <v>20</v>
      </c>
      <c r="K50" s="28" t="n">
        <v>0</v>
      </c>
      <c r="L50" t="inlineStr">
        <is>
          <t>100-200C</t>
        </is>
      </c>
      <c r="M50" t="n">
        <v>0</v>
      </c>
      <c r="N50" t="inlineStr">
        <is>
          <t>Pulp &amp; paper (17T18)</t>
        </is>
      </c>
      <c r="O50" t="n">
        <v>0.8551</v>
      </c>
      <c r="P50" t="inlineStr">
        <is>
          <t>3 proc</t>
        </is>
      </c>
      <c r="Q50" t="inlineStr">
        <is>
          <t>Efficient screening (motor/process).</t>
        </is>
      </c>
      <c r="R50" t="n">
        <v>0</v>
      </c>
      <c r="S50" t="n">
        <v>1</v>
      </c>
      <c r="T50" t="n">
        <v>0</v>
      </c>
      <c r="U50" t="n">
        <v>1</v>
      </c>
    </row>
    <row r="51" ht="15" customHeight="1" thickBot="1">
      <c r="A51" s="42" t="inlineStr">
        <is>
          <t>Recovered fibre pulp</t>
        </is>
      </c>
      <c r="B51" s="42" t="inlineStr">
        <is>
          <t>Heat recovery from bleachingb</t>
        </is>
      </c>
      <c r="C51" s="16" t="n">
        <v>0.7</v>
      </c>
      <c r="D51" s="16" t="n">
        <v>0.08</v>
      </c>
      <c r="E51" s="16" t="n">
        <v>0.3</v>
      </c>
      <c r="F51" s="236">
        <f>'src review'!L66</f>
        <v/>
      </c>
      <c r="G51" s="226">
        <f>'src review'!M66</f>
        <v/>
      </c>
      <c r="H51" s="17" t="n">
        <v>0</v>
      </c>
      <c r="I51" s="17" t="n">
        <v>2</v>
      </c>
      <c r="J51" s="17" t="n">
        <v>20</v>
      </c>
      <c r="K51" s="17" t="n">
        <v>0</v>
      </c>
      <c r="L51" t="inlineStr">
        <is>
          <t>100-200C</t>
        </is>
      </c>
      <c r="M51" t="n">
        <v>0</v>
      </c>
      <c r="N51" t="inlineStr">
        <is>
          <t>Pulp &amp; paper (17T18)</t>
        </is>
      </c>
      <c r="O51" t="n">
        <v>0.8551</v>
      </c>
      <c r="P51" t="inlineStr">
        <is>
          <t>2 whr</t>
        </is>
      </c>
      <c r="Q51" t="inlineStr">
        <is>
          <t>System WHR: heat recovery from bleaching.</t>
        </is>
      </c>
      <c r="R51" t="n">
        <v>0</v>
      </c>
      <c r="S51" t="n">
        <v>0</v>
      </c>
      <c r="T51" t="n">
        <v>0</v>
      </c>
      <c r="U51" t="n">
        <v>1</v>
      </c>
    </row>
    <row r="52" ht="15" customHeight="1" thickBot="1">
      <c r="A52" s="43" t="inlineStr">
        <is>
          <t>Recovered fibre pulp</t>
        </is>
      </c>
      <c r="B52" s="43" t="inlineStr">
        <is>
          <t>Efficient disperserb</t>
        </is>
      </c>
      <c r="C52" s="19" t="n">
        <v>0.7</v>
      </c>
      <c r="D52" s="19" t="n">
        <v>0.22</v>
      </c>
      <c r="E52" s="19" t="n">
        <v>0.3</v>
      </c>
      <c r="F52" s="228">
        <f>'src review'!L67</f>
        <v/>
      </c>
      <c r="G52" s="240">
        <f>'src review'!M67</f>
        <v/>
      </c>
      <c r="H52" s="20" t="n">
        <v>0</v>
      </c>
      <c r="I52" s="20" t="n">
        <v>1</v>
      </c>
      <c r="J52" s="20" t="n">
        <v>15</v>
      </c>
      <c r="K52" s="20" t="n">
        <v>0</v>
      </c>
      <c r="L52" t="inlineStr">
        <is>
          <t>100-200C</t>
        </is>
      </c>
      <c r="M52" t="n">
        <v>0</v>
      </c>
      <c r="N52" t="inlineStr">
        <is>
          <t>Pulp &amp; paper (17T18)</t>
        </is>
      </c>
      <c r="O52" t="n">
        <v>0.8551</v>
      </c>
      <c r="P52" t="inlineStr">
        <is>
          <t>3 proc</t>
        </is>
      </c>
      <c r="Q52" t="inlineStr">
        <is>
          <t>Efficient disperser (process).</t>
        </is>
      </c>
      <c r="R52" t="n">
        <v>0</v>
      </c>
      <c r="S52" t="n">
        <v>0</v>
      </c>
      <c r="T52" t="n">
        <v>0</v>
      </c>
      <c r="U52" t="n">
        <v>1</v>
      </c>
    </row>
    <row r="53" ht="15" customHeight="1" thickBot="1">
      <c r="A53" s="21" t="inlineStr">
        <is>
          <t>Tissue paper</t>
        </is>
      </c>
      <c r="B53" s="21" t="inlineStr">
        <is>
          <t>Efficient refinersa</t>
        </is>
      </c>
      <c r="C53" s="22" t="n">
        <v>0.1</v>
      </c>
      <c r="D53" s="22" t="n">
        <v>0.18</v>
      </c>
      <c r="E53" s="22" t="n">
        <v>0.23</v>
      </c>
      <c r="F53" s="23" t="n">
        <v>0</v>
      </c>
      <c r="G53" s="23" t="n">
        <v>0.1</v>
      </c>
      <c r="H53" s="23" t="n">
        <v>0</v>
      </c>
      <c r="I53" s="23" t="n">
        <v>16</v>
      </c>
      <c r="J53" s="23" t="n">
        <v>20</v>
      </c>
      <c r="K53" s="23" t="n">
        <v>0</v>
      </c>
      <c r="L53" t="inlineStr">
        <is>
          <t>100-200C</t>
        </is>
      </c>
      <c r="M53" t="n">
        <v>0</v>
      </c>
      <c r="N53" t="inlineStr">
        <is>
          <t>Pulp &amp; paper (17T18)</t>
        </is>
      </c>
      <c r="O53" t="n">
        <v>0.8551</v>
      </c>
      <c r="P53" t="inlineStr">
        <is>
          <t>X equip-replace</t>
        </is>
      </c>
      <c r="Q53" t="inlineStr">
        <is>
          <t>Efficient refiners (process).</t>
        </is>
      </c>
      <c r="R53" t="n">
        <v>0</v>
      </c>
      <c r="S53" t="n">
        <v>1</v>
      </c>
      <c r="T53" t="n">
        <v>0</v>
      </c>
      <c r="U53" t="n">
        <v>0.33</v>
      </c>
      <c r="W53" t="inlineStr">
        <is>
          <t>Excluded 2026-07-28: 'technology replacement option' requiring substantial process change (Rutten et al. 2017, HRE background report). Like-for-like refiner replacement carried by stock turnover / standards channel.</t>
        </is>
      </c>
    </row>
    <row r="54" ht="15" customHeight="1" thickBot="1">
      <c r="A54" s="42" t="inlineStr">
        <is>
          <t>Tissue paper</t>
        </is>
      </c>
      <c r="B54" s="42" t="inlineStr">
        <is>
          <t>Optimization of refininga</t>
        </is>
      </c>
      <c r="C54" s="16" t="n">
        <v>0.4</v>
      </c>
      <c r="D54" s="16" t="n">
        <v>0.5</v>
      </c>
      <c r="E54" s="16" t="n">
        <v>0.6</v>
      </c>
      <c r="F54" s="17" t="n">
        <v>0</v>
      </c>
      <c r="G54" s="17" t="n">
        <v>0.1</v>
      </c>
      <c r="H54" s="17" t="n">
        <v>0</v>
      </c>
      <c r="I54" s="17" t="n">
        <v>1</v>
      </c>
      <c r="J54" s="17" t="n">
        <v>20</v>
      </c>
      <c r="K54" s="17" t="n">
        <v>0</v>
      </c>
      <c r="L54" t="inlineStr">
        <is>
          <t>100-200C</t>
        </is>
      </c>
      <c r="M54" t="n">
        <v>0</v>
      </c>
      <c r="N54" t="inlineStr">
        <is>
          <t>Pulp &amp; paper (17T18)</t>
        </is>
      </c>
      <c r="O54" t="n">
        <v>0.8551</v>
      </c>
      <c r="P54" t="inlineStr">
        <is>
          <t>3 proc</t>
        </is>
      </c>
      <c r="Q54" t="inlineStr">
        <is>
          <t>Optimization of refining.</t>
        </is>
      </c>
      <c r="R54" t="n">
        <v>0</v>
      </c>
      <c r="S54" t="n">
        <v>1</v>
      </c>
      <c r="T54" t="n">
        <v>0</v>
      </c>
      <c r="U54" t="n">
        <v>1</v>
      </c>
    </row>
    <row r="55" ht="15" customHeight="1" thickBot="1">
      <c r="A55" s="25" t="inlineStr">
        <is>
          <t>Tissue paper</t>
        </is>
      </c>
      <c r="B55" s="25" t="inlineStr">
        <is>
          <t>Steamboxa</t>
        </is>
      </c>
      <c r="C55" s="27" t="n">
        <v>0.75</v>
      </c>
      <c r="D55" s="27" t="n">
        <v>0.02</v>
      </c>
      <c r="E55" s="27" t="n">
        <v>0.05</v>
      </c>
      <c r="F55" s="28" t="n">
        <v>0.2</v>
      </c>
      <c r="G55" s="28" t="n">
        <v>0</v>
      </c>
      <c r="H55" s="28" t="n">
        <v>0</v>
      </c>
      <c r="I55" s="28" t="n">
        <v>5</v>
      </c>
      <c r="J55" s="28" t="n">
        <v>15</v>
      </c>
      <c r="K55" s="28" t="n">
        <v>0</v>
      </c>
      <c r="L55" t="inlineStr">
        <is>
          <t>100-200C</t>
        </is>
      </c>
      <c r="M55" t="n">
        <v>0</v>
      </c>
      <c r="N55" t="inlineStr">
        <is>
          <t>Pulp &amp; paper (17T18)</t>
        </is>
      </c>
      <c r="O55" t="n">
        <v>0.8551</v>
      </c>
      <c r="P55" t="inlineStr">
        <is>
          <t>3 proc</t>
        </is>
      </c>
      <c r="Q55" t="inlineStr">
        <is>
          <t>Steambox (dewatering/drying aid).</t>
        </is>
      </c>
      <c r="R55" t="n">
        <v>1</v>
      </c>
      <c r="S55" t="n">
        <v>0</v>
      </c>
      <c r="T55" t="n">
        <v>0</v>
      </c>
      <c r="U55" t="n">
        <v>0.8</v>
      </c>
    </row>
    <row r="56" ht="15" customHeight="1" thickBot="1">
      <c r="A56" s="42" t="inlineStr">
        <is>
          <t>Tissue paper</t>
        </is>
      </c>
      <c r="B56" s="42" t="inlineStr">
        <is>
          <t>Shoepressa</t>
        </is>
      </c>
      <c r="C56" s="16" t="n">
        <v>0.7</v>
      </c>
      <c r="D56" s="16" t="n">
        <v>0.06</v>
      </c>
      <c r="E56" s="16" t="n">
        <v>0.1</v>
      </c>
      <c r="F56" s="17" t="n">
        <v>0.5</v>
      </c>
      <c r="G56" s="17" t="n">
        <v>0</v>
      </c>
      <c r="H56" s="17" t="n">
        <v>0</v>
      </c>
      <c r="I56" s="17" t="n">
        <v>32</v>
      </c>
      <c r="J56" s="17" t="n">
        <v>20</v>
      </c>
      <c r="K56" s="17" t="n">
        <v>0</v>
      </c>
      <c r="L56" t="inlineStr">
        <is>
          <t>100-200C</t>
        </is>
      </c>
      <c r="M56" t="n">
        <v>0</v>
      </c>
      <c r="N56" t="inlineStr">
        <is>
          <t>Pulp &amp; paper (17T18)</t>
        </is>
      </c>
      <c r="O56" t="n">
        <v>0.8551</v>
      </c>
      <c r="P56" t="inlineStr">
        <is>
          <t>X equip-replace</t>
        </is>
      </c>
      <c r="Q56" t="inlineStr">
        <is>
          <t>Shoepress (mechanical dewatering).</t>
        </is>
      </c>
      <c r="R56" t="n">
        <v>1</v>
      </c>
      <c r="S56" t="n">
        <v>0</v>
      </c>
      <c r="T56" t="n">
        <v>0</v>
      </c>
      <c r="U56" t="n">
        <v>0.8</v>
      </c>
      <c r="W56" t="inlineStr">
        <is>
          <t>Excluded 2026-07-28: equipment replacement - 'a large concave shoe instead of one of the rotating cylinders' (LBNL-2268E). Carried by stock turnover / standards channel.</t>
        </is>
      </c>
    </row>
    <row r="57" ht="15" customHeight="1" thickBot="1">
      <c r="A57" s="43" t="inlineStr">
        <is>
          <t>Tissue paper</t>
        </is>
      </c>
      <c r="B57" s="43" t="inlineStr">
        <is>
          <t>Heat recovery and integrationa</t>
        </is>
      </c>
      <c r="C57" s="19" t="n">
        <v>0.65</v>
      </c>
      <c r="D57" s="19" t="n">
        <v>0.18</v>
      </c>
      <c r="E57" s="19" t="n">
        <v>0.32</v>
      </c>
      <c r="F57" s="20" t="n">
        <v>0</v>
      </c>
      <c r="G57" s="20" t="n">
        <v>1.1</v>
      </c>
      <c r="H57" s="20" t="n">
        <v>0</v>
      </c>
      <c r="I57" s="20" t="n">
        <v>16</v>
      </c>
      <c r="J57" s="20" t="n">
        <v>20</v>
      </c>
      <c r="K57" s="20" t="n">
        <v>0</v>
      </c>
      <c r="L57" t="inlineStr">
        <is>
          <t>100-200C</t>
        </is>
      </c>
      <c r="M57" t="n">
        <v>0</v>
      </c>
      <c r="N57" t="inlineStr">
        <is>
          <t>Pulp &amp; paper (17T18)</t>
        </is>
      </c>
      <c r="O57" t="n">
        <v>0.8551</v>
      </c>
      <c r="P57" t="inlineStr">
        <is>
          <t>2 whr</t>
        </is>
      </c>
      <c r="Q57" t="inlineStr">
        <is>
          <t>System WHR: heat recovery and process integration.</t>
        </is>
      </c>
      <c r="R57" t="n">
        <v>0</v>
      </c>
      <c r="S57" t="n">
        <v>1</v>
      </c>
      <c r="T57" t="n">
        <v>0</v>
      </c>
      <c r="U57" t="n">
        <v>0.97</v>
      </c>
    </row>
    <row r="58" ht="15" customHeight="1" thickBot="1">
      <c r="A58" s="21" t="inlineStr">
        <is>
          <t>Graphic paper</t>
        </is>
      </c>
      <c r="B58" s="21" t="inlineStr">
        <is>
          <t>Efficient refinersa</t>
        </is>
      </c>
      <c r="C58" s="22" t="n">
        <v>0.1</v>
      </c>
      <c r="D58" s="22" t="n">
        <v>0.18</v>
      </c>
      <c r="E58" s="22" t="n">
        <v>0.23</v>
      </c>
      <c r="F58" s="23" t="n">
        <v>0</v>
      </c>
      <c r="G58" s="23" t="n">
        <v>0.1</v>
      </c>
      <c r="H58" s="23" t="n">
        <v>0</v>
      </c>
      <c r="I58" s="23" t="n">
        <v>16</v>
      </c>
      <c r="J58" s="23" t="n">
        <v>20</v>
      </c>
      <c r="K58" s="23" t="n">
        <v>0</v>
      </c>
      <c r="L58" t="inlineStr">
        <is>
          <t>100-200C</t>
        </is>
      </c>
      <c r="M58" t="n">
        <v>0</v>
      </c>
      <c r="N58" t="inlineStr">
        <is>
          <t>Pulp &amp; paper (17T18)</t>
        </is>
      </c>
      <c r="O58" t="n">
        <v>0.8551</v>
      </c>
      <c r="P58" t="inlineStr">
        <is>
          <t>X equip-replace</t>
        </is>
      </c>
      <c r="Q58" t="inlineStr">
        <is>
          <t>Efficient refiners (process).</t>
        </is>
      </c>
      <c r="R58" t="n">
        <v>0</v>
      </c>
      <c r="S58" t="n">
        <v>1</v>
      </c>
      <c r="T58" t="n">
        <v>0</v>
      </c>
      <c r="U58" t="n">
        <v>0.33</v>
      </c>
      <c r="W58" t="inlineStr">
        <is>
          <t>Excluded 2026-07-28: 'technology replacement option' requiring substantial process change (Rutten et al. 2017, HRE background report). Like-for-like refiner replacement carried by stock turnover / standards channel.</t>
        </is>
      </c>
    </row>
    <row r="59" ht="15" customHeight="1" thickBot="1">
      <c r="A59" s="42" t="inlineStr">
        <is>
          <t>Graphic paper</t>
        </is>
      </c>
      <c r="B59" s="42" t="inlineStr">
        <is>
          <t>Optimization of refining</t>
        </is>
      </c>
      <c r="C59" s="16" t="n">
        <v>0.4</v>
      </c>
      <c r="D59" s="16" t="n">
        <v>0.5</v>
      </c>
      <c r="E59" s="16" t="n">
        <v>0.6</v>
      </c>
      <c r="F59" s="17" t="n">
        <v>0</v>
      </c>
      <c r="G59" s="17" t="n">
        <v>0.1</v>
      </c>
      <c r="H59" s="17" t="n">
        <v>0</v>
      </c>
      <c r="I59" s="17" t="n">
        <v>1</v>
      </c>
      <c r="J59" s="17" t="n">
        <v>20</v>
      </c>
      <c r="K59" s="17" t="n">
        <v>0</v>
      </c>
      <c r="L59" t="inlineStr">
        <is>
          <t>100-200C</t>
        </is>
      </c>
      <c r="M59" t="n">
        <v>0</v>
      </c>
      <c r="N59" t="inlineStr">
        <is>
          <t>Pulp &amp; paper (17T18)</t>
        </is>
      </c>
      <c r="O59" t="n">
        <v>0.8551</v>
      </c>
      <c r="P59" t="inlineStr">
        <is>
          <t>3 proc</t>
        </is>
      </c>
      <c r="Q59" t="inlineStr">
        <is>
          <t>Optimization of refining.</t>
        </is>
      </c>
      <c r="R59" t="n">
        <v>0</v>
      </c>
      <c r="S59" t="n">
        <v>1</v>
      </c>
      <c r="T59" t="n">
        <v>0</v>
      </c>
      <c r="U59" t="n">
        <v>1</v>
      </c>
    </row>
    <row r="60" ht="15" customHeight="1" thickBot="1">
      <c r="A60" s="25" t="inlineStr">
        <is>
          <t>Graphic paper</t>
        </is>
      </c>
      <c r="B60" s="25" t="inlineStr">
        <is>
          <t>Steamboxa</t>
        </is>
      </c>
      <c r="C60" s="27" t="n">
        <v>0.75</v>
      </c>
      <c r="D60" s="27" t="n">
        <v>0.02</v>
      </c>
      <c r="E60" s="27" t="n">
        <v>0.05</v>
      </c>
      <c r="F60" s="28" t="n">
        <v>0.2</v>
      </c>
      <c r="G60" s="28" t="n">
        <v>0</v>
      </c>
      <c r="H60" s="28" t="n">
        <v>0</v>
      </c>
      <c r="I60" s="28" t="n">
        <v>5</v>
      </c>
      <c r="J60" s="28" t="n">
        <v>15</v>
      </c>
      <c r="K60" s="28" t="n">
        <v>0</v>
      </c>
      <c r="L60" t="inlineStr">
        <is>
          <t>100-200C</t>
        </is>
      </c>
      <c r="M60" t="n">
        <v>0</v>
      </c>
      <c r="N60" t="inlineStr">
        <is>
          <t>Pulp &amp; paper (17T18)</t>
        </is>
      </c>
      <c r="O60" t="n">
        <v>0.8551</v>
      </c>
      <c r="P60" t="inlineStr">
        <is>
          <t>3 proc</t>
        </is>
      </c>
      <c r="Q60" t="inlineStr">
        <is>
          <t>Steambox (dewatering/drying aid).</t>
        </is>
      </c>
      <c r="R60" t="n">
        <v>1</v>
      </c>
      <c r="S60" t="n">
        <v>0</v>
      </c>
      <c r="T60" t="n">
        <v>0</v>
      </c>
      <c r="U60" t="n">
        <v>0.8</v>
      </c>
    </row>
    <row r="61" ht="15" customHeight="1" thickBot="1">
      <c r="A61" s="42" t="inlineStr">
        <is>
          <t>Graphic paper</t>
        </is>
      </c>
      <c r="B61" s="42" t="inlineStr">
        <is>
          <t>Shoepressa</t>
        </is>
      </c>
      <c r="C61" s="16" t="n">
        <v>0.7</v>
      </c>
      <c r="D61" s="16" t="n">
        <v>0.06</v>
      </c>
      <c r="E61" s="16" t="n">
        <v>0.1</v>
      </c>
      <c r="F61" s="17" t="n">
        <v>0.5</v>
      </c>
      <c r="G61" s="17" t="n">
        <v>0</v>
      </c>
      <c r="H61" s="17" t="n">
        <v>0</v>
      </c>
      <c r="I61" s="17" t="n">
        <v>32</v>
      </c>
      <c r="J61" s="17" t="n">
        <v>20</v>
      </c>
      <c r="K61" s="17" t="n">
        <v>0</v>
      </c>
      <c r="L61" t="inlineStr">
        <is>
          <t>100-200C</t>
        </is>
      </c>
      <c r="M61" t="n">
        <v>0</v>
      </c>
      <c r="N61" t="inlineStr">
        <is>
          <t>Pulp &amp; paper (17T18)</t>
        </is>
      </c>
      <c r="O61" t="n">
        <v>0.8551</v>
      </c>
      <c r="P61" t="inlineStr">
        <is>
          <t>X equip-replace</t>
        </is>
      </c>
      <c r="Q61" t="inlineStr">
        <is>
          <t>Shoepress (mechanical dewatering).</t>
        </is>
      </c>
      <c r="R61" t="n">
        <v>1</v>
      </c>
      <c r="S61" t="n">
        <v>0</v>
      </c>
      <c r="T61" t="n">
        <v>0</v>
      </c>
      <c r="U61" t="n">
        <v>0.8</v>
      </c>
      <c r="W61" t="inlineStr">
        <is>
          <t>Excluded 2026-07-28: equipment replacement - 'a large concave shoe instead of one of the rotating cylinders' (LBNL-2268E). Carried by stock turnover / standards channel.</t>
        </is>
      </c>
    </row>
    <row r="62" ht="15" customHeight="1" thickBot="1">
      <c r="A62" s="43" t="inlineStr">
        <is>
          <t>Graphic paper</t>
        </is>
      </c>
      <c r="B62" s="43" t="inlineStr">
        <is>
          <t>Heat recovery and integrationa</t>
        </is>
      </c>
      <c r="C62" s="19" t="n">
        <v>0.65</v>
      </c>
      <c r="D62" s="19" t="n">
        <v>0.18</v>
      </c>
      <c r="E62" s="19" t="n">
        <v>0.32</v>
      </c>
      <c r="F62" s="20" t="n">
        <v>0</v>
      </c>
      <c r="G62" s="20" t="n">
        <v>1.1</v>
      </c>
      <c r="H62" s="20" t="n">
        <v>0</v>
      </c>
      <c r="I62" s="20" t="n">
        <v>16</v>
      </c>
      <c r="J62" s="20" t="n">
        <v>20</v>
      </c>
      <c r="K62" s="20" t="n">
        <v>0</v>
      </c>
      <c r="L62" t="inlineStr">
        <is>
          <t>100-200C</t>
        </is>
      </c>
      <c r="M62" t="n">
        <v>0</v>
      </c>
      <c r="N62" t="inlineStr">
        <is>
          <t>Pulp &amp; paper (17T18)</t>
        </is>
      </c>
      <c r="O62" t="n">
        <v>0.8551</v>
      </c>
      <c r="P62" t="inlineStr">
        <is>
          <t>2 whr</t>
        </is>
      </c>
      <c r="Q62" t="inlineStr">
        <is>
          <t>System WHR: heat recovery and process integration.</t>
        </is>
      </c>
      <c r="R62" t="n">
        <v>0</v>
      </c>
      <c r="S62" t="n">
        <v>1</v>
      </c>
      <c r="T62" t="n">
        <v>0</v>
      </c>
      <c r="U62" t="n">
        <v>0.97</v>
      </c>
    </row>
    <row r="63" ht="15" customHeight="1" thickBot="1">
      <c r="A63" s="21" t="inlineStr">
        <is>
          <t>Board and packaging paper</t>
        </is>
      </c>
      <c r="B63" s="21" t="inlineStr">
        <is>
          <t>Efficient refinersa</t>
        </is>
      </c>
      <c r="C63" s="22" t="n">
        <v>0.1</v>
      </c>
      <c r="D63" s="22" t="n">
        <v>0.18</v>
      </c>
      <c r="E63" s="22" t="n">
        <v>0.23</v>
      </c>
      <c r="F63" s="23" t="n">
        <v>0</v>
      </c>
      <c r="G63" s="23" t="n">
        <v>0.1</v>
      </c>
      <c r="H63" s="23" t="n">
        <v>0</v>
      </c>
      <c r="I63" s="23" t="n">
        <v>16</v>
      </c>
      <c r="J63" s="23" t="n">
        <v>20</v>
      </c>
      <c r="K63" s="23" t="n">
        <v>0</v>
      </c>
      <c r="L63" t="inlineStr">
        <is>
          <t>100-200C</t>
        </is>
      </c>
      <c r="M63" t="n">
        <v>0</v>
      </c>
      <c r="N63" t="inlineStr">
        <is>
          <t>Pulp &amp; paper (17T18)</t>
        </is>
      </c>
      <c r="O63" t="n">
        <v>0.8551</v>
      </c>
      <c r="P63" t="inlineStr">
        <is>
          <t>X equip-replace</t>
        </is>
      </c>
      <c r="Q63" t="inlineStr">
        <is>
          <t>Efficient refiners (process).</t>
        </is>
      </c>
      <c r="R63" t="n">
        <v>0</v>
      </c>
      <c r="S63" t="n">
        <v>1</v>
      </c>
      <c r="T63" t="n">
        <v>0</v>
      </c>
      <c r="U63" t="n">
        <v>0.33</v>
      </c>
      <c r="W63" t="inlineStr">
        <is>
          <t>Excluded 2026-07-28: 'technology replacement option' requiring substantial process change (Rutten et al. 2017, HRE background report). Like-for-like refiner replacement carried by stock turnover / standards channel.</t>
        </is>
      </c>
    </row>
    <row r="64" ht="15" customHeight="1" thickBot="1">
      <c r="A64" s="42" t="inlineStr">
        <is>
          <t>Board and packaging paper</t>
        </is>
      </c>
      <c r="B64" s="42" t="inlineStr">
        <is>
          <t>Optimization of refininga</t>
        </is>
      </c>
      <c r="C64" s="16" t="n">
        <v>0.4</v>
      </c>
      <c r="D64" s="16" t="n">
        <v>0.5</v>
      </c>
      <c r="E64" s="16" t="n">
        <v>0.6</v>
      </c>
      <c r="F64" s="17" t="n">
        <v>0</v>
      </c>
      <c r="G64" s="17" t="n">
        <v>0.1</v>
      </c>
      <c r="H64" s="17" t="n">
        <v>0</v>
      </c>
      <c r="I64" s="17" t="n">
        <v>1</v>
      </c>
      <c r="J64" s="17" t="n">
        <v>20</v>
      </c>
      <c r="K64" s="17" t="n">
        <v>0</v>
      </c>
      <c r="L64" t="inlineStr">
        <is>
          <t>100-200C</t>
        </is>
      </c>
      <c r="M64" t="n">
        <v>0</v>
      </c>
      <c r="N64" t="inlineStr">
        <is>
          <t>Pulp &amp; paper (17T18)</t>
        </is>
      </c>
      <c r="O64" t="n">
        <v>0.8551</v>
      </c>
      <c r="P64" t="inlineStr">
        <is>
          <t>3 proc</t>
        </is>
      </c>
      <c r="Q64" t="inlineStr">
        <is>
          <t>Optimization of refining.</t>
        </is>
      </c>
      <c r="R64" t="n">
        <v>0</v>
      </c>
      <c r="S64" t="n">
        <v>1</v>
      </c>
      <c r="T64" t="n">
        <v>0</v>
      </c>
      <c r="U64" t="n">
        <v>1</v>
      </c>
    </row>
    <row r="65" ht="15" customHeight="1" thickBot="1">
      <c r="A65" s="25" t="inlineStr">
        <is>
          <t>Board and packaging paper</t>
        </is>
      </c>
      <c r="B65" s="25" t="inlineStr">
        <is>
          <t>Steamboxa</t>
        </is>
      </c>
      <c r="C65" s="27" t="n">
        <v>0.75</v>
      </c>
      <c r="D65" s="27" t="n">
        <v>0.02</v>
      </c>
      <c r="E65" s="27" t="n">
        <v>0.05</v>
      </c>
      <c r="F65" s="28" t="n">
        <v>0.2</v>
      </c>
      <c r="G65" s="28" t="n">
        <v>0</v>
      </c>
      <c r="H65" s="28" t="n">
        <v>0</v>
      </c>
      <c r="I65" s="28" t="n">
        <v>5</v>
      </c>
      <c r="J65" s="28" t="n">
        <v>15</v>
      </c>
      <c r="K65" s="28" t="n">
        <v>0</v>
      </c>
      <c r="L65" t="inlineStr">
        <is>
          <t>100-200C</t>
        </is>
      </c>
      <c r="M65" t="n">
        <v>0</v>
      </c>
      <c r="N65" t="inlineStr">
        <is>
          <t>Pulp &amp; paper (17T18)</t>
        </is>
      </c>
      <c r="O65" t="n">
        <v>0.8551</v>
      </c>
      <c r="P65" t="inlineStr">
        <is>
          <t>3 proc</t>
        </is>
      </c>
      <c r="Q65" t="inlineStr">
        <is>
          <t>Steambox (dewatering/drying aid).</t>
        </is>
      </c>
      <c r="R65" t="n">
        <v>1</v>
      </c>
      <c r="S65" t="n">
        <v>0</v>
      </c>
      <c r="T65" t="n">
        <v>0</v>
      </c>
      <c r="U65" t="n">
        <v>0.8</v>
      </c>
    </row>
    <row r="66" ht="15" customHeight="1" thickBot="1">
      <c r="A66" s="42" t="inlineStr">
        <is>
          <t>Board and packaging paper</t>
        </is>
      </c>
      <c r="B66" s="42" t="inlineStr">
        <is>
          <t>Shoepressa</t>
        </is>
      </c>
      <c r="C66" s="16" t="n">
        <v>0.7</v>
      </c>
      <c r="D66" s="16" t="n">
        <v>0.06</v>
      </c>
      <c r="E66" s="16" t="n">
        <v>0.1</v>
      </c>
      <c r="F66" s="17" t="n">
        <v>0.5</v>
      </c>
      <c r="G66" s="17" t="n">
        <v>0</v>
      </c>
      <c r="H66" s="17" t="n">
        <v>0</v>
      </c>
      <c r="I66" s="17" t="n">
        <v>32</v>
      </c>
      <c r="J66" s="17" t="n">
        <v>20</v>
      </c>
      <c r="K66" s="17" t="n">
        <v>0</v>
      </c>
      <c r="L66" t="inlineStr">
        <is>
          <t>100-200C</t>
        </is>
      </c>
      <c r="M66" t="n">
        <v>0</v>
      </c>
      <c r="N66" t="inlineStr">
        <is>
          <t>Pulp &amp; paper (17T18)</t>
        </is>
      </c>
      <c r="O66" t="n">
        <v>0.8551</v>
      </c>
      <c r="P66" t="inlineStr">
        <is>
          <t>X equip-replace</t>
        </is>
      </c>
      <c r="Q66" t="inlineStr">
        <is>
          <t>Shoepress (mechanical dewatering).</t>
        </is>
      </c>
      <c r="R66" t="n">
        <v>1</v>
      </c>
      <c r="S66" t="n">
        <v>0</v>
      </c>
      <c r="T66" t="n">
        <v>0</v>
      </c>
      <c r="U66" t="n">
        <v>0.8</v>
      </c>
      <c r="W66" t="inlineStr">
        <is>
          <t>Excluded 2026-07-28: equipment replacement - 'a large concave shoe instead of one of the rotating cylinders' (LBNL-2268E). Carried by stock turnover / standards channel.</t>
        </is>
      </c>
    </row>
    <row r="67" ht="15" customHeight="1" thickBot="1">
      <c r="A67" s="44" t="inlineStr">
        <is>
          <t>Board and packaging paper</t>
        </is>
      </c>
      <c r="B67" s="44" t="inlineStr">
        <is>
          <t>Heat recovery and integrationa</t>
        </is>
      </c>
      <c r="C67" s="39" t="n">
        <v>0.65</v>
      </c>
      <c r="D67" s="39" t="n">
        <v>0.18</v>
      </c>
      <c r="E67" s="39" t="n">
        <v>0.32</v>
      </c>
      <c r="F67" s="40" t="n">
        <v>0</v>
      </c>
      <c r="G67" s="40" t="n">
        <v>1.1</v>
      </c>
      <c r="H67" s="40" t="n">
        <v>0</v>
      </c>
      <c r="I67" s="40" t="n">
        <v>16</v>
      </c>
      <c r="J67" s="40" t="n">
        <v>20</v>
      </c>
      <c r="K67" s="40" t="n">
        <v>0</v>
      </c>
      <c r="L67" t="inlineStr">
        <is>
          <t>100-200C</t>
        </is>
      </c>
      <c r="M67" t="n">
        <v>0</v>
      </c>
      <c r="N67" t="inlineStr">
        <is>
          <t>Pulp &amp; paper (17T18)</t>
        </is>
      </c>
      <c r="O67" t="n">
        <v>0.8551</v>
      </c>
      <c r="P67" t="inlineStr">
        <is>
          <t>2 whr</t>
        </is>
      </c>
      <c r="Q67" t="inlineStr">
        <is>
          <t>System WHR: heat recovery and process integration.</t>
        </is>
      </c>
      <c r="R67" t="n">
        <v>0</v>
      </c>
      <c r="S67" t="n">
        <v>1</v>
      </c>
      <c r="T67" t="n">
        <v>0</v>
      </c>
      <c r="U67" t="n">
        <v>0.97</v>
      </c>
    </row>
    <row r="68" ht="15.65" customHeight="1" thickBot="1" thickTop="1">
      <c r="A68" s="24" t="inlineStr">
        <is>
          <t>Ethylene</t>
        </is>
      </c>
      <c r="B68" s="24" t="inlineStr">
        <is>
          <t>Advanced furnace materialsa</t>
        </is>
      </c>
      <c r="C68" s="22" t="n">
        <v>0.2</v>
      </c>
      <c r="D68" s="22" t="n">
        <v>0.3</v>
      </c>
      <c r="E68" s="22" t="n">
        <v>0.55</v>
      </c>
      <c r="F68" s="23" t="n">
        <v>1.7</v>
      </c>
      <c r="G68" s="23" t="n">
        <v>0</v>
      </c>
      <c r="H68" s="23" t="n">
        <v>0</v>
      </c>
      <c r="I68" s="45" t="n">
        <v>2</v>
      </c>
      <c r="J68" s="46" t="n">
        <v>20</v>
      </c>
      <c r="K68" s="46" t="n">
        <v>0</v>
      </c>
      <c r="L68" t="inlineStr">
        <is>
          <t>500-1000C</t>
        </is>
      </c>
      <c r="M68" t="n">
        <v>0.174</v>
      </c>
      <c r="N68" t="inlineStr">
        <is>
          <t>Chemicals (20)</t>
        </is>
      </c>
      <c r="O68" t="n">
        <v>0.7161</v>
      </c>
      <c r="P68" t="inlineStr">
        <is>
          <t>3 proc</t>
        </is>
      </c>
      <c r="Q68" t="inlineStr">
        <is>
          <t>Advanced furnace materials (loss reduction).</t>
        </is>
      </c>
      <c r="R68" t="n">
        <v>1</v>
      </c>
      <c r="S68" t="n">
        <v>0</v>
      </c>
      <c r="T68" t="n">
        <v>0</v>
      </c>
      <c r="U68" t="n">
        <v>0.75</v>
      </c>
    </row>
    <row r="69" ht="15" customHeight="1" thickBot="1">
      <c r="A69" s="47" t="inlineStr">
        <is>
          <t>Ethylene</t>
        </is>
      </c>
      <c r="B69" s="47" t="inlineStr">
        <is>
          <t>Improving compression and separation sectionb</t>
        </is>
      </c>
      <c r="C69" s="48" t="n">
        <v>0.2</v>
      </c>
      <c r="D69" s="48" t="n">
        <v>0.18</v>
      </c>
      <c r="E69" s="48" t="n">
        <v>0.28</v>
      </c>
      <c r="F69" s="49" t="n">
        <v>1</v>
      </c>
      <c r="G69" s="49" t="n">
        <v>0</v>
      </c>
      <c r="H69" s="49" t="n">
        <v>0</v>
      </c>
      <c r="I69" s="50" t="n">
        <v>1</v>
      </c>
      <c r="J69" s="51" t="n">
        <v>20</v>
      </c>
      <c r="K69" s="51" t="n">
        <v>0</v>
      </c>
      <c r="L69" t="inlineStr">
        <is>
          <t>500-1000C</t>
        </is>
      </c>
      <c r="M69" t="n">
        <v>0.174</v>
      </c>
      <c r="N69" t="inlineStr">
        <is>
          <t>Chemicals (20)</t>
        </is>
      </c>
      <c r="O69" t="n">
        <v>0.7161</v>
      </c>
      <c r="P69" t="inlineStr">
        <is>
          <t>3 proc</t>
        </is>
      </c>
      <c r="Q69" t="inlineStr">
        <is>
          <t>Compression &amp; separation section improvement.</t>
        </is>
      </c>
      <c r="R69" t="n">
        <v>1</v>
      </c>
      <c r="S69" t="n">
        <v>0</v>
      </c>
      <c r="T69" t="n">
        <v>0</v>
      </c>
      <c r="U69" t="n">
        <v>0.48</v>
      </c>
    </row>
    <row r="70" ht="15" customHeight="1" thickBot="1">
      <c r="A70" s="93" t="inlineStr">
        <is>
          <t>Ethylene</t>
        </is>
      </c>
      <c r="B70" s="93" t="inlineStr">
        <is>
          <t>Integration of a gas turbinec</t>
        </is>
      </c>
      <c r="C70" s="88" t="n">
        <v>0.05</v>
      </c>
      <c r="D70" s="88" t="n">
        <v>0.12</v>
      </c>
      <c r="E70" s="88" t="n">
        <v>0.15</v>
      </c>
      <c r="F70" s="89" t="n">
        <v>2.6</v>
      </c>
      <c r="G70" s="89" t="n">
        <v>0</v>
      </c>
      <c r="H70" s="89" t="n">
        <v>0</v>
      </c>
      <c r="I70" s="94" t="n">
        <v>58</v>
      </c>
      <c r="J70" s="95" t="n">
        <v>20</v>
      </c>
      <c r="K70" s="95" t="n">
        <v>0</v>
      </c>
      <c r="L70" s="85" t="inlineStr">
        <is>
          <t>500-1000C</t>
        </is>
      </c>
      <c r="M70" s="85" t="n">
        <v>0.174</v>
      </c>
      <c r="N70" s="85" t="inlineStr">
        <is>
          <t>Chemicals (20)</t>
        </is>
      </c>
      <c r="O70" s="85" t="n">
        <v>0.7161</v>
      </c>
      <c r="P70" s="85" t="inlineStr">
        <is>
          <t>X CHP</t>
        </is>
      </c>
      <c r="Q70" s="85" t="inlineStr">
        <is>
          <t>CHP/cogen — excluded per G0.1 ruling. Gas-turbine cogen; elec booked 0.</t>
        </is>
      </c>
      <c r="R70" s="85" t="n">
        <v>1</v>
      </c>
      <c r="S70" s="85" t="n">
        <v>0</v>
      </c>
      <c r="T70" s="85" t="n">
        <v>0</v>
      </c>
      <c r="U70" s="85" t="n">
        <v>0.2</v>
      </c>
      <c r="V70" s="85" t="n"/>
    </row>
    <row r="71" ht="15" customHeight="1" thickBot="1">
      <c r="A71" s="15" t="inlineStr">
        <is>
          <t>Ethylene</t>
        </is>
      </c>
      <c r="B71" s="15" t="inlineStr">
        <is>
          <t>Improved compressorsd</t>
        </is>
      </c>
      <c r="C71" s="16" t="n">
        <v>0.85</v>
      </c>
      <c r="D71" s="16" t="n">
        <v>0.08</v>
      </c>
      <c r="E71" s="16" t="n">
        <v>0.1</v>
      </c>
      <c r="F71" s="17" t="n">
        <v>0.8</v>
      </c>
      <c r="G71" s="17" t="n">
        <v>0</v>
      </c>
      <c r="H71" s="17" t="n">
        <v>0</v>
      </c>
      <c r="I71" s="17" t="n">
        <v>22</v>
      </c>
      <c r="J71" s="9" t="n">
        <v>20</v>
      </c>
      <c r="K71" s="9" t="n">
        <v>0</v>
      </c>
      <c r="L71" t="inlineStr">
        <is>
          <t>500-1000C</t>
        </is>
      </c>
      <c r="M71" t="n">
        <v>0.174</v>
      </c>
      <c r="N71" t="inlineStr">
        <is>
          <t>Chemicals (20)</t>
        </is>
      </c>
      <c r="O71" t="n">
        <v>0.7161</v>
      </c>
      <c r="P71" t="inlineStr">
        <is>
          <t>3 proc</t>
        </is>
      </c>
      <c r="Q71" t="inlineStr">
        <is>
          <t>Improved compressors (process).</t>
        </is>
      </c>
      <c r="R71" t="n">
        <v>1</v>
      </c>
      <c r="S71" t="n">
        <v>0</v>
      </c>
      <c r="T71" t="n">
        <v>0</v>
      </c>
      <c r="U71" t="n">
        <v>0.95</v>
      </c>
    </row>
    <row r="72" ht="15" customHeight="1" thickBot="1">
      <c r="A72" s="100" t="inlineStr">
        <is>
          <t>Ethylene</t>
        </is>
      </c>
      <c r="B72" s="100" t="inlineStr">
        <is>
          <t>Utilization of flare gase</t>
        </is>
      </c>
      <c r="C72" s="101" t="n">
        <v>0.85</v>
      </c>
      <c r="D72" s="101" t="n">
        <v>0.09</v>
      </c>
      <c r="E72" s="101" t="n">
        <v>0.1</v>
      </c>
      <c r="F72" s="102" t="n">
        <v>2</v>
      </c>
      <c r="G72" s="102" t="n">
        <v>0</v>
      </c>
      <c r="H72" s="102" t="n">
        <v>0</v>
      </c>
      <c r="I72" s="102" t="n">
        <v>60</v>
      </c>
      <c r="J72" s="103" t="n">
        <v>20</v>
      </c>
      <c r="K72" s="103" t="n">
        <v>0</v>
      </c>
      <c r="L72" s="99" t="inlineStr">
        <is>
          <t>500-1000C</t>
        </is>
      </c>
      <c r="M72" s="99" t="n">
        <v>0.174</v>
      </c>
      <c r="N72" s="99" t="inlineStr">
        <is>
          <t>Chemicals (20)</t>
        </is>
      </c>
      <c r="O72" s="99" t="n">
        <v>0.7161</v>
      </c>
      <c r="P72" s="99" t="inlineStr">
        <is>
          <t>3 proc</t>
        </is>
      </c>
      <c r="Q72" s="99" t="inlineStr">
        <is>
          <t>Flare-gas utilization. Bucket 3 per G0.1 ruling: gas recovery, not waste heat.</t>
        </is>
      </c>
      <c r="R72" s="99" t="n">
        <v>1</v>
      </c>
      <c r="S72" s="99" t="n">
        <v>0</v>
      </c>
      <c r="T72" s="99" t="n">
        <v>0</v>
      </c>
      <c r="U72" s="99" t="n">
        <v>0.95</v>
      </c>
      <c r="V72" s="99" t="n"/>
    </row>
    <row r="73" ht="15" customHeight="1" thickBot="1">
      <c r="A73" s="34" t="inlineStr">
        <is>
          <t>Ethylene</t>
        </is>
      </c>
      <c r="B73" s="34" t="inlineStr">
        <is>
          <t>Modern control systeme</t>
        </is>
      </c>
      <c r="C73" s="35" t="n">
        <v>0.85</v>
      </c>
      <c r="D73" s="35" t="n">
        <v>0.09</v>
      </c>
      <c r="E73" s="35" t="n">
        <v>0.1</v>
      </c>
      <c r="F73" s="36" t="n">
        <v>1.5</v>
      </c>
      <c r="G73" s="36" t="n">
        <v>0</v>
      </c>
      <c r="H73" s="36" t="n">
        <v>0</v>
      </c>
      <c r="I73" s="36" t="n">
        <v>29</v>
      </c>
      <c r="J73" s="54" t="n">
        <v>20</v>
      </c>
      <c r="K73" s="54" t="n">
        <v>0</v>
      </c>
      <c r="L73" t="inlineStr">
        <is>
          <t>500-1000C</t>
        </is>
      </c>
      <c r="M73" t="n">
        <v>0.174</v>
      </c>
      <c r="N73" t="inlineStr">
        <is>
          <t>Chemicals (20)</t>
        </is>
      </c>
      <c r="O73" t="n">
        <v>0.7161</v>
      </c>
      <c r="P73" t="inlineStr">
        <is>
          <t>3 proc</t>
        </is>
      </c>
      <c r="Q73" t="inlineStr">
        <is>
          <t>Modern control system.</t>
        </is>
      </c>
      <c r="R73" t="n">
        <v>1</v>
      </c>
      <c r="S73" t="n">
        <v>0</v>
      </c>
      <c r="T73" t="n">
        <v>0</v>
      </c>
      <c r="U73" t="n">
        <v>0.95</v>
      </c>
    </row>
    <row r="74" ht="15" customHeight="1" thickBot="1">
      <c r="A74" s="15" t="inlineStr">
        <is>
          <t>Soda ash</t>
        </is>
      </c>
      <c r="B74" s="15" t="inlineStr">
        <is>
          <t>Integrated design and operationf</t>
        </is>
      </c>
      <c r="C74" s="16" t="n">
        <v>0.5</v>
      </c>
      <c r="D74" s="16" t="n">
        <v>0.25</v>
      </c>
      <c r="E74" s="16" t="n">
        <v>0.4</v>
      </c>
      <c r="F74" s="17" t="n">
        <v>2</v>
      </c>
      <c r="G74" s="17" t="n">
        <v>0.1</v>
      </c>
      <c r="H74" s="17" t="n">
        <v>0</v>
      </c>
      <c r="I74" s="17" t="n">
        <v>40</v>
      </c>
      <c r="J74" s="9" t="n">
        <v>20</v>
      </c>
      <c r="K74" s="9" t="n">
        <v>0</v>
      </c>
      <c r="L74" t="inlineStr">
        <is>
          <t>200-500C</t>
        </is>
      </c>
      <c r="M74" t="n">
        <v>0.05</v>
      </c>
      <c r="N74" t="inlineStr">
        <is>
          <t>Chemicals (20)</t>
        </is>
      </c>
      <c r="O74" t="n">
        <v>0.7161</v>
      </c>
      <c r="P74" t="inlineStr">
        <is>
          <t>3 proc</t>
        </is>
      </c>
      <c r="Q74" t="inlineStr">
        <is>
          <t>Integrated design &amp; operation (distinct from Heat integration row).</t>
        </is>
      </c>
      <c r="R74" t="n">
        <v>0.952380952380952</v>
      </c>
      <c r="S74" t="n">
        <v>0.0476190476190476</v>
      </c>
      <c r="T74" t="n">
        <v>0</v>
      </c>
      <c r="U74" t="n">
        <v>0.9</v>
      </c>
    </row>
    <row r="75" ht="15" customHeight="1" thickBot="1">
      <c r="A75" s="33" t="inlineStr">
        <is>
          <t>Soda ash</t>
        </is>
      </c>
      <c r="B75" s="33" t="inlineStr">
        <is>
          <t>Vertical shaft kiln for concentrated CO2 gas and reactive limef</t>
        </is>
      </c>
      <c r="C75" s="27" t="n">
        <v>0.7</v>
      </c>
      <c r="D75" s="27" t="n">
        <v>0.2</v>
      </c>
      <c r="E75" s="27" t="n">
        <v>0.3</v>
      </c>
      <c r="F75" s="28" t="n">
        <v>0.3</v>
      </c>
      <c r="G75" s="28" t="n">
        <v>0</v>
      </c>
      <c r="H75" s="28" t="n">
        <v>0</v>
      </c>
      <c r="I75" s="28" t="n">
        <v>16</v>
      </c>
      <c r="J75" s="53" t="n">
        <v>20</v>
      </c>
      <c r="K75" s="53" t="n">
        <v>0</v>
      </c>
      <c r="L75" t="inlineStr">
        <is>
          <t>200-500C</t>
        </is>
      </c>
      <c r="M75" t="n">
        <v>0.05</v>
      </c>
      <c r="N75" t="inlineStr">
        <is>
          <t>Chemicals (20)</t>
        </is>
      </c>
      <c r="O75" t="n">
        <v>0.7161</v>
      </c>
      <c r="P75" t="inlineStr">
        <is>
          <t>X equip-replace</t>
        </is>
      </c>
      <c r="Q75" t="inlineStr">
        <is>
          <t>Vertical shaft kiln (process technology).</t>
        </is>
      </c>
      <c r="R75" t="n">
        <v>1</v>
      </c>
      <c r="S75" t="n">
        <v>0</v>
      </c>
      <c r="T75" t="n">
        <v>0</v>
      </c>
      <c r="U75" t="n">
        <v>1</v>
      </c>
      <c r="W75" t="inlineStr">
        <is>
          <t>Excluded 2026-07-28: kiln technology choice - 'the choice of vertical shaft kiln, instead of the other types available' (Boulamanti &amp; Moya 2017, JRC EUR 28471). Equipment replacement channel.</t>
        </is>
      </c>
    </row>
    <row r="76" ht="15" customHeight="1" thickBot="1">
      <c r="A76" s="15" t="inlineStr">
        <is>
          <t>Soda ash</t>
        </is>
      </c>
      <c r="B76" s="15" t="inlineStr">
        <is>
          <t>Heat integratione</t>
        </is>
      </c>
      <c r="C76" s="16" t="n">
        <v>0.65</v>
      </c>
      <c r="D76" s="16" t="n">
        <v>0.15</v>
      </c>
      <c r="E76" s="16" t="n">
        <v>0.19</v>
      </c>
      <c r="F76" s="17" t="n">
        <v>1</v>
      </c>
      <c r="G76" s="17" t="n">
        <v>0</v>
      </c>
      <c r="H76" s="17" t="n">
        <v>0</v>
      </c>
      <c r="I76" s="17" t="n">
        <v>20</v>
      </c>
      <c r="J76" s="9" t="n">
        <v>20</v>
      </c>
      <c r="K76" s="9" t="n">
        <v>0</v>
      </c>
      <c r="L76" t="inlineStr">
        <is>
          <t>200-500C</t>
        </is>
      </c>
      <c r="M76" t="n">
        <v>0.05</v>
      </c>
      <c r="N76" t="inlineStr">
        <is>
          <t>Chemicals (20)</t>
        </is>
      </c>
      <c r="O76" t="n">
        <v>0.7161</v>
      </c>
      <c r="P76" t="inlineStr">
        <is>
          <t>2 whr</t>
        </is>
      </c>
      <c r="Q76" t="inlineStr">
        <is>
          <t>System WHR: process heat integration.</t>
        </is>
      </c>
      <c r="R76" t="n">
        <v>1</v>
      </c>
      <c r="S76" t="n">
        <v>0</v>
      </c>
      <c r="T76" t="n">
        <v>0</v>
      </c>
      <c r="U76" t="n">
        <v>0.84</v>
      </c>
    </row>
    <row r="77" ht="15" customHeight="1" thickBot="1">
      <c r="A77" s="33" t="inlineStr">
        <is>
          <t>Soda ash</t>
        </is>
      </c>
      <c r="B77" s="33" t="inlineStr">
        <is>
          <t>Modern control systeme</t>
        </is>
      </c>
      <c r="C77" s="27" t="n">
        <v>0.65</v>
      </c>
      <c r="D77" s="27" t="n">
        <v>0.16</v>
      </c>
      <c r="E77" s="27" t="n">
        <v>0.19</v>
      </c>
      <c r="F77" s="28" t="n">
        <v>0.4</v>
      </c>
      <c r="G77" s="28" t="n">
        <v>0</v>
      </c>
      <c r="H77" s="28" t="n">
        <v>0</v>
      </c>
      <c r="I77" s="28" t="n">
        <v>10</v>
      </c>
      <c r="J77" s="53" t="n">
        <v>20</v>
      </c>
      <c r="K77" s="53" t="n">
        <v>0</v>
      </c>
      <c r="L77" t="inlineStr">
        <is>
          <t>200-500C</t>
        </is>
      </c>
      <c r="M77" t="n">
        <v>0.05</v>
      </c>
      <c r="N77" t="inlineStr">
        <is>
          <t>Chemicals (20)</t>
        </is>
      </c>
      <c r="O77" t="n">
        <v>0.7161</v>
      </c>
      <c r="P77" t="inlineStr">
        <is>
          <t>3 proc</t>
        </is>
      </c>
      <c r="Q77" t="inlineStr">
        <is>
          <t>Modern control system.</t>
        </is>
      </c>
      <c r="R77" t="n">
        <v>1</v>
      </c>
      <c r="S77" t="n">
        <v>0</v>
      </c>
      <c r="T77" t="n">
        <v>0</v>
      </c>
      <c r="U77" t="n">
        <v>0.84</v>
      </c>
    </row>
    <row r="78" ht="15" customHeight="1" thickBot="1">
      <c r="A78" s="90" t="inlineStr">
        <is>
          <t>Soda ash</t>
        </is>
      </c>
      <c r="B78" s="90" t="inlineStr">
        <is>
          <t>Usage of CHPe</t>
        </is>
      </c>
      <c r="C78" s="91" t="n">
        <v>0.7</v>
      </c>
      <c r="D78" s="91" t="n">
        <v>0.27</v>
      </c>
      <c r="E78" s="91" t="n">
        <v>0.3</v>
      </c>
      <c r="F78" s="92" t="n">
        <v>1.8</v>
      </c>
      <c r="G78" s="92" t="n">
        <v>0</v>
      </c>
      <c r="H78" s="92" t="n">
        <v>0</v>
      </c>
      <c r="I78" s="92" t="n">
        <v>36</v>
      </c>
      <c r="J78" s="96" t="n">
        <v>30</v>
      </c>
      <c r="K78" s="96" t="n">
        <v>0</v>
      </c>
      <c r="L78" s="85" t="inlineStr">
        <is>
          <t>200-500C</t>
        </is>
      </c>
      <c r="M78" s="85" t="n">
        <v>0.05</v>
      </c>
      <c r="N78" s="85" t="inlineStr">
        <is>
          <t>Chemicals (20)</t>
        </is>
      </c>
      <c r="O78" s="85" t="n">
        <v>0.7161</v>
      </c>
      <c r="P78" s="85" t="inlineStr">
        <is>
          <t>X CHP</t>
        </is>
      </c>
      <c r="Q78" s="85" t="inlineStr">
        <is>
          <t>CHP/cogen — excluded per G0.1 ruling.</t>
        </is>
      </c>
      <c r="R78" s="85" t="n">
        <v>1</v>
      </c>
      <c r="S78" s="85" t="n">
        <v>0</v>
      </c>
      <c r="T78" s="85" t="n">
        <v>0</v>
      </c>
      <c r="U78" s="85" t="n">
        <v>1</v>
      </c>
      <c r="V78" s="85" t="n"/>
    </row>
    <row r="79" ht="15" customHeight="1" thickBot="1">
      <c r="A79" s="33" t="inlineStr">
        <is>
          <t>Soda ash</t>
        </is>
      </c>
      <c r="B79" s="33" t="inlineStr">
        <is>
          <t>Efficiency packagee</t>
        </is>
      </c>
      <c r="C79" s="27" t="n">
        <v>0.55</v>
      </c>
      <c r="D79" s="27" t="n">
        <v>0.23</v>
      </c>
      <c r="E79" s="27" t="n">
        <v>0.29</v>
      </c>
      <c r="F79" s="28" t="n">
        <v>1</v>
      </c>
      <c r="G79" s="28" t="n">
        <v>0</v>
      </c>
      <c r="H79" s="28" t="n">
        <v>0</v>
      </c>
      <c r="I79" s="28" t="n">
        <v>22</v>
      </c>
      <c r="J79" s="53" t="n">
        <v>20</v>
      </c>
      <c r="K79" s="53" t="n">
        <v>0</v>
      </c>
      <c r="L79" t="inlineStr">
        <is>
          <t>200-500C</t>
        </is>
      </c>
      <c r="M79" t="n">
        <v>0.05</v>
      </c>
      <c r="N79" t="inlineStr">
        <is>
          <t>Chemicals (20)</t>
        </is>
      </c>
      <c r="O79" t="n">
        <v>0.7161</v>
      </c>
      <c r="P79" t="inlineStr">
        <is>
          <t>3 proc</t>
        </is>
      </c>
      <c r="Q79" t="inlineStr">
        <is>
          <t>Efficiency package (process).</t>
        </is>
      </c>
      <c r="R79" t="n">
        <v>1</v>
      </c>
      <c r="S79" t="n">
        <v>0</v>
      </c>
      <c r="T79" t="n">
        <v>0</v>
      </c>
      <c r="U79" t="n">
        <v>0.84</v>
      </c>
    </row>
    <row r="80" ht="15" customHeight="1" thickBot="1">
      <c r="A80" s="34" t="inlineStr">
        <is>
          <t>Soda ash</t>
        </is>
      </c>
      <c r="B80" s="34" t="inlineStr">
        <is>
          <t>Usage of purer feede</t>
        </is>
      </c>
      <c r="C80" s="35" t="n">
        <v>0.55</v>
      </c>
      <c r="D80" s="35" t="n">
        <v>0.27</v>
      </c>
      <c r="E80" s="35" t="n">
        <v>0.3</v>
      </c>
      <c r="F80" s="36" t="n">
        <v>0.3</v>
      </c>
      <c r="G80" s="36" t="n">
        <v>0</v>
      </c>
      <c r="H80" s="36" t="n">
        <v>0</v>
      </c>
      <c r="I80" s="36" t="n">
        <v>1</v>
      </c>
      <c r="J80" s="54" t="n">
        <v>10</v>
      </c>
      <c r="K80" s="54" t="n">
        <v>0</v>
      </c>
      <c r="L80" t="inlineStr">
        <is>
          <t>200-500C</t>
        </is>
      </c>
      <c r="M80" t="n">
        <v>0.05</v>
      </c>
      <c r="N80" t="inlineStr">
        <is>
          <t>Chemicals (20)</t>
        </is>
      </c>
      <c r="O80" t="n">
        <v>0.7161</v>
      </c>
      <c r="P80" t="inlineStr">
        <is>
          <t>3 proc</t>
        </is>
      </c>
      <c r="Q80" t="inlineStr">
        <is>
          <t>Purer feed (process/material).</t>
        </is>
      </c>
      <c r="R80" t="n">
        <v>1</v>
      </c>
      <c r="S80" t="n">
        <v>0</v>
      </c>
      <c r="T80" t="n">
        <v>0</v>
      </c>
      <c r="U80" t="n">
        <v>0.85</v>
      </c>
    </row>
    <row r="81" ht="15" customHeight="1" thickBot="1">
      <c r="A81" s="90" t="inlineStr">
        <is>
          <t>Carbon black</t>
        </is>
      </c>
      <c r="B81" s="90" t="inlineStr">
        <is>
          <t>Usage of CHPe</t>
        </is>
      </c>
      <c r="C81" s="91" t="n">
        <v>0.9</v>
      </c>
      <c r="D81" s="91" t="n">
        <v>0.1</v>
      </c>
      <c r="E81" s="91" t="n">
        <v>0.1</v>
      </c>
      <c r="F81" s="92" t="n">
        <v>6.5</v>
      </c>
      <c r="G81" s="92" t="n">
        <v>0</v>
      </c>
      <c r="H81" s="92" t="n">
        <v>0</v>
      </c>
      <c r="I81" s="92" t="n">
        <v>130</v>
      </c>
      <c r="J81" s="96" t="n">
        <v>20</v>
      </c>
      <c r="K81" s="96" t="n">
        <v>0</v>
      </c>
      <c r="L81" s="85" t="inlineStr">
        <is>
          <t>&gt;1000C</t>
        </is>
      </c>
      <c r="M81" s="85" t="n">
        <v>0.587</v>
      </c>
      <c r="N81" s="85" t="inlineStr">
        <is>
          <t>Chemicals (20)</t>
        </is>
      </c>
      <c r="O81" s="85" t="n">
        <v>0.7161</v>
      </c>
      <c r="P81" s="85" t="inlineStr">
        <is>
          <t>X CHP</t>
        </is>
      </c>
      <c r="Q81" s="85" t="inlineStr">
        <is>
          <t>CHP/cogen — excluded per G0.1 ruling.</t>
        </is>
      </c>
      <c r="R81" s="85" t="n">
        <v>1</v>
      </c>
      <c r="S81" s="85" t="n">
        <v>0</v>
      </c>
      <c r="T81" s="85" t="n">
        <v>0</v>
      </c>
      <c r="U81" s="85" t="n">
        <v>1</v>
      </c>
      <c r="V81" s="85" t="n"/>
    </row>
    <row r="82" ht="15" customHeight="1" thickBot="1">
      <c r="A82" s="33" t="inlineStr">
        <is>
          <t>Carbon black</t>
        </is>
      </c>
      <c r="B82" s="33" t="inlineStr">
        <is>
          <t>Modern control systeme</t>
        </is>
      </c>
      <c r="C82" s="27" t="n">
        <v>0.8</v>
      </c>
      <c r="D82" s="27" t="n">
        <v>0.08</v>
      </c>
      <c r="E82" s="27" t="n">
        <v>0.14</v>
      </c>
      <c r="F82" s="28" t="n">
        <v>6.5</v>
      </c>
      <c r="G82" s="28" t="n">
        <v>0.2</v>
      </c>
      <c r="H82" s="28" t="n">
        <v>0</v>
      </c>
      <c r="I82" s="28" t="n">
        <v>139</v>
      </c>
      <c r="J82" s="53" t="n">
        <v>10</v>
      </c>
      <c r="K82" s="53" t="n">
        <v>0</v>
      </c>
      <c r="L82" t="inlineStr">
        <is>
          <t>&gt;1000C</t>
        </is>
      </c>
      <c r="M82" t="n">
        <v>0.587</v>
      </c>
      <c r="N82" t="inlineStr">
        <is>
          <t>Chemicals (20)</t>
        </is>
      </c>
      <c r="O82" t="n">
        <v>0.7161</v>
      </c>
      <c r="P82" t="inlineStr">
        <is>
          <t>3 proc</t>
        </is>
      </c>
      <c r="Q82" t="inlineStr">
        <is>
          <t>Modern control system.</t>
        </is>
      </c>
      <c r="R82" t="n">
        <v>0.970149253731343</v>
      </c>
      <c r="S82" t="n">
        <v>0.0298507462686567</v>
      </c>
      <c r="T82" t="n">
        <v>0</v>
      </c>
      <c r="U82" t="n">
        <v>0.9399999999999999</v>
      </c>
    </row>
    <row r="83" ht="15" customHeight="1" thickBot="1">
      <c r="A83" s="34" t="inlineStr">
        <is>
          <t>Carbon black</t>
        </is>
      </c>
      <c r="B83" s="34" t="inlineStr">
        <is>
          <t>Optimization of black carbon separatione</t>
        </is>
      </c>
      <c r="C83" s="35" t="n">
        <v>0.7</v>
      </c>
      <c r="D83" s="35" t="n">
        <v>0.14</v>
      </c>
      <c r="E83" s="35" t="n">
        <v>0.23</v>
      </c>
      <c r="F83" s="36" t="n">
        <v>6.5</v>
      </c>
      <c r="G83" s="36" t="n">
        <v>0.3</v>
      </c>
      <c r="H83" s="36" t="n">
        <v>0</v>
      </c>
      <c r="I83" s="36" t="n">
        <v>142</v>
      </c>
      <c r="J83" s="54" t="n">
        <v>20</v>
      </c>
      <c r="K83" s="54" t="n">
        <v>0</v>
      </c>
      <c r="L83" t="inlineStr">
        <is>
          <t>&gt;1000C</t>
        </is>
      </c>
      <c r="M83" t="n">
        <v>0.587</v>
      </c>
      <c r="N83" t="inlineStr">
        <is>
          <t>Chemicals (20)</t>
        </is>
      </c>
      <c r="O83" t="n">
        <v>0.7161</v>
      </c>
      <c r="P83" t="inlineStr">
        <is>
          <t>3 proc</t>
        </is>
      </c>
      <c r="Q83" t="inlineStr">
        <is>
          <t>Optimization of carbon-black separation.</t>
        </is>
      </c>
      <c r="R83" t="n">
        <v>0.955882352941177</v>
      </c>
      <c r="S83" t="n">
        <v>0.0441176470588235</v>
      </c>
      <c r="T83" t="n">
        <v>0</v>
      </c>
      <c r="U83" t="n">
        <v>0.93</v>
      </c>
    </row>
    <row r="84" ht="15" customHeight="1" thickBot="1">
      <c r="A84" s="15" t="inlineStr">
        <is>
          <t>Methanol</t>
        </is>
      </c>
      <c r="B84" s="15" t="inlineStr">
        <is>
          <t>Efficiency package, synthesis gas sectione</t>
        </is>
      </c>
      <c r="C84" s="16" t="n">
        <v>0.5</v>
      </c>
      <c r="D84" s="16" t="n">
        <v>0.21</v>
      </c>
      <c r="E84" s="16" t="n">
        <v>0.3</v>
      </c>
      <c r="F84" s="17" t="n">
        <v>1.8</v>
      </c>
      <c r="G84" s="17" t="n">
        <v>0.1</v>
      </c>
      <c r="H84" s="17" t="n">
        <v>0</v>
      </c>
      <c r="I84" s="17" t="n">
        <v>39</v>
      </c>
      <c r="J84" s="9" t="n">
        <v>20</v>
      </c>
      <c r="K84" s="9" t="n">
        <v>0</v>
      </c>
      <c r="L84" t="inlineStr">
        <is>
          <t>500-1000C</t>
        </is>
      </c>
      <c r="M84" t="n">
        <v>0.174</v>
      </c>
      <c r="N84" t="inlineStr">
        <is>
          <t>Chemicals (20)</t>
        </is>
      </c>
      <c r="O84" t="n">
        <v>0.7161</v>
      </c>
      <c r="P84" t="inlineStr">
        <is>
          <t>3 proc</t>
        </is>
      </c>
      <c r="Q84" t="inlineStr">
        <is>
          <t>Efficiency package, syngas section.</t>
        </is>
      </c>
      <c r="R84" t="n">
        <v>0.947368421052632</v>
      </c>
      <c r="S84" t="n">
        <v>0.0526315789473684</v>
      </c>
      <c r="T84" t="n">
        <v>0</v>
      </c>
      <c r="U84" t="n">
        <v>0.8</v>
      </c>
    </row>
    <row r="85" ht="15" customHeight="1" thickBot="1">
      <c r="A85" s="18" t="inlineStr">
        <is>
          <t>Methanol</t>
        </is>
      </c>
      <c r="B85" s="18" t="inlineStr">
        <is>
          <t>Efficiency package, methanol synthesis sectione</t>
        </is>
      </c>
      <c r="C85" s="19" t="n">
        <v>0.5</v>
      </c>
      <c r="D85" s="19" t="n">
        <v>0.27</v>
      </c>
      <c r="E85" s="19" t="n">
        <v>0.37</v>
      </c>
      <c r="F85" s="20" t="n">
        <v>1.1</v>
      </c>
      <c r="G85" s="20" t="n">
        <v>0</v>
      </c>
      <c r="H85" s="20" t="n">
        <v>0</v>
      </c>
      <c r="I85" s="20" t="n">
        <v>24</v>
      </c>
      <c r="J85" s="55" t="n">
        <v>20</v>
      </c>
      <c r="K85" s="55" t="n">
        <v>0</v>
      </c>
      <c r="L85" t="inlineStr">
        <is>
          <t>500-1000C</t>
        </is>
      </c>
      <c r="M85" t="n">
        <v>0.174</v>
      </c>
      <c r="N85" t="inlineStr">
        <is>
          <t>Chemicals (20)</t>
        </is>
      </c>
      <c r="O85" t="n">
        <v>0.7161</v>
      </c>
      <c r="P85" t="inlineStr">
        <is>
          <t>3 proc</t>
        </is>
      </c>
      <c r="Q85" t="inlineStr">
        <is>
          <t>Efficiency package, methanol synthesis section.</t>
        </is>
      </c>
      <c r="R85" t="n">
        <v>1</v>
      </c>
      <c r="S85" t="n">
        <v>0</v>
      </c>
      <c r="T85" t="n">
        <v>0</v>
      </c>
      <c r="U85" t="n">
        <v>0.87</v>
      </c>
    </row>
    <row r="86" ht="15" customHeight="1" thickBot="1">
      <c r="A86" s="24" t="inlineStr">
        <is>
          <t>Ammonia</t>
        </is>
      </c>
      <c r="B86" s="24" t="inlineStr">
        <is>
          <t>Improved CO2 removal sectionf</t>
        </is>
      </c>
      <c r="C86" s="22" t="n">
        <v>0.55</v>
      </c>
      <c r="D86" s="22" t="n">
        <v>0.2</v>
      </c>
      <c r="E86" s="22" t="n">
        <v>0.31</v>
      </c>
      <c r="F86" s="23" t="n">
        <v>1</v>
      </c>
      <c r="G86" s="23" t="n">
        <v>0</v>
      </c>
      <c r="H86" s="23" t="n">
        <v>0</v>
      </c>
      <c r="I86" s="23" t="n">
        <v>15</v>
      </c>
      <c r="J86" s="8" t="n">
        <v>20</v>
      </c>
      <c r="K86" s="8" t="n">
        <v>0</v>
      </c>
      <c r="L86" t="inlineStr">
        <is>
          <t>500-1000C</t>
        </is>
      </c>
      <c r="M86" t="n">
        <v>0.174</v>
      </c>
      <c r="N86" t="inlineStr">
        <is>
          <t>Chemicals (20)</t>
        </is>
      </c>
      <c r="O86" t="n">
        <v>0.7161</v>
      </c>
      <c r="P86" t="inlineStr">
        <is>
          <t>3 proc</t>
        </is>
      </c>
      <c r="Q86" t="inlineStr">
        <is>
          <t>Improved CO2 removal (process).</t>
        </is>
      </c>
      <c r="R86" t="n">
        <v>1</v>
      </c>
      <c r="S86" t="n">
        <v>0</v>
      </c>
      <c r="T86" t="n">
        <v>0</v>
      </c>
      <c r="U86" t="n">
        <v>0.86</v>
      </c>
    </row>
    <row r="87" ht="15" customHeight="1" thickBot="1">
      <c r="A87" s="15" t="inlineStr">
        <is>
          <t>Ammonia</t>
        </is>
      </c>
      <c r="B87" s="15" t="inlineStr">
        <is>
          <t>Indirect cooling of the ammonia synthesis reactorf</t>
        </is>
      </c>
      <c r="C87" s="16" t="n">
        <v>0.55</v>
      </c>
      <c r="D87" s="16" t="n">
        <v>0.2</v>
      </c>
      <c r="E87" s="16" t="n">
        <v>0.31</v>
      </c>
      <c r="F87" s="17" t="n">
        <v>0.6</v>
      </c>
      <c r="G87" s="17" t="n">
        <v>0</v>
      </c>
      <c r="H87" s="17" t="n">
        <v>0</v>
      </c>
      <c r="I87" s="17" t="n">
        <v>7</v>
      </c>
      <c r="J87" s="9" t="n">
        <v>20</v>
      </c>
      <c r="K87" s="9" t="n">
        <v>0</v>
      </c>
      <c r="L87" t="inlineStr">
        <is>
          <t>500-1000C</t>
        </is>
      </c>
      <c r="M87" t="n">
        <v>0.174</v>
      </c>
      <c r="N87" t="inlineStr">
        <is>
          <t>Chemicals (20)</t>
        </is>
      </c>
      <c r="O87" t="n">
        <v>0.7161</v>
      </c>
      <c r="P87" t="inlineStr">
        <is>
          <t>2 whr</t>
        </is>
      </c>
      <c r="Q87" t="inlineStr">
        <is>
          <t>System WHR: recovers exothermic synthesis-reactor heat (indirect cooling).</t>
        </is>
      </c>
      <c r="R87" t="n">
        <v>1</v>
      </c>
      <c r="S87" t="n">
        <v>0</v>
      </c>
      <c r="T87" t="n">
        <v>0</v>
      </c>
      <c r="U87" t="n">
        <v>0.86</v>
      </c>
    </row>
    <row r="88" ht="15" customHeight="1" thickBot="1">
      <c r="A88" s="33" t="inlineStr">
        <is>
          <t>Ammonia</t>
        </is>
      </c>
      <c r="B88" s="33" t="inlineStr">
        <is>
          <t>Increasing the air preheat with waste heatf</t>
        </is>
      </c>
      <c r="C88" s="27" t="n">
        <v>0.55</v>
      </c>
      <c r="D88" s="27" t="n">
        <v>0.2</v>
      </c>
      <c r="E88" s="27" t="n">
        <v>0.31</v>
      </c>
      <c r="F88" s="28" t="n">
        <v>0.9</v>
      </c>
      <c r="G88" s="28" t="n">
        <v>0</v>
      </c>
      <c r="H88" s="28" t="n">
        <v>0</v>
      </c>
      <c r="I88" s="28" t="n">
        <v>7</v>
      </c>
      <c r="J88" s="53" t="n">
        <v>20</v>
      </c>
      <c r="K88" s="53" t="n">
        <v>0</v>
      </c>
      <c r="L88" t="inlineStr">
        <is>
          <t>500-1000C</t>
        </is>
      </c>
      <c r="M88" t="n">
        <v>0.174</v>
      </c>
      <c r="N88" t="inlineStr">
        <is>
          <t>Chemicals (20)</t>
        </is>
      </c>
      <c r="O88" t="n">
        <v>0.7161</v>
      </c>
      <c r="P88" t="inlineStr">
        <is>
          <t>2 whr</t>
        </is>
      </c>
      <c r="Q88" t="inlineStr">
        <is>
          <t>System WHR: fired-heater air preheat with waste heat. G0.1 ruling.</t>
        </is>
      </c>
      <c r="R88" t="n">
        <v>1</v>
      </c>
      <c r="S88" t="n">
        <v>0</v>
      </c>
      <c r="T88" t="n">
        <v>0</v>
      </c>
      <c r="U88" t="n">
        <v>0.86</v>
      </c>
    </row>
    <row r="89" ht="15" customHeight="1" thickBot="1">
      <c r="A89" s="62" t="inlineStr">
        <is>
          <t>Ammonia</t>
        </is>
      </c>
      <c r="B89" s="62" t="inlineStr">
        <is>
          <t>Hydrogen recovery (such as PSA)</t>
        </is>
      </c>
      <c r="C89" s="63" t="n">
        <v>0.55</v>
      </c>
      <c r="D89" s="63" t="n">
        <v>0.2</v>
      </c>
      <c r="E89" s="63" t="n">
        <v>0.31</v>
      </c>
      <c r="F89" s="64" t="n">
        <v>0.8</v>
      </c>
      <c r="G89" s="64" t="n">
        <v>0</v>
      </c>
      <c r="H89" s="64" t="n">
        <v>0</v>
      </c>
      <c r="I89" s="64" t="n">
        <v>2</v>
      </c>
      <c r="J89" s="104" t="n">
        <v>20</v>
      </c>
      <c r="K89" s="104" t="n">
        <v>0</v>
      </c>
      <c r="L89" s="99" t="inlineStr">
        <is>
          <t>500-1000C</t>
        </is>
      </c>
      <c r="M89" s="99" t="n">
        <v>0.174</v>
      </c>
      <c r="N89" s="99" t="inlineStr">
        <is>
          <t>Chemicals (20)</t>
        </is>
      </c>
      <c r="O89" s="99" t="n">
        <v>0.7161</v>
      </c>
      <c r="P89" s="99" t="inlineStr">
        <is>
          <t>3 proc</t>
        </is>
      </c>
      <c r="Q89" s="99" t="inlineStr">
        <is>
          <t>Hydrogen/PSA recovery. Bucket 3 per G0.1 ruling: feedstock recovery, not waste heat.</t>
        </is>
      </c>
      <c r="R89" s="99" t="n">
        <v>1</v>
      </c>
      <c r="S89" s="99" t="n">
        <v>0</v>
      </c>
      <c r="T89" s="99" t="n">
        <v>0</v>
      </c>
      <c r="U89" s="99" t="n">
        <v>0.86</v>
      </c>
      <c r="V89" s="99" t="n"/>
    </row>
    <row r="90" ht="15" customHeight="1" thickBot="1">
      <c r="A90" s="33" t="inlineStr">
        <is>
          <t>Ammonia</t>
        </is>
      </c>
      <c r="B90" s="33" t="inlineStr">
        <is>
          <t>Pre-reforming</t>
        </is>
      </c>
      <c r="C90" s="27" t="n">
        <v>0.55</v>
      </c>
      <c r="D90" s="27" t="n">
        <v>0.2</v>
      </c>
      <c r="E90" s="27" t="n">
        <v>0.31</v>
      </c>
      <c r="F90" s="28" t="n">
        <v>2.3</v>
      </c>
      <c r="G90" s="28" t="n">
        <v>0</v>
      </c>
      <c r="H90" s="28" t="n">
        <v>0</v>
      </c>
      <c r="I90" s="28" t="n">
        <v>16</v>
      </c>
      <c r="J90" s="53" t="n">
        <v>20</v>
      </c>
      <c r="K90" s="53" t="n">
        <v>0</v>
      </c>
      <c r="L90" t="inlineStr">
        <is>
          <t>500-1000C</t>
        </is>
      </c>
      <c r="M90" t="n">
        <v>0.174</v>
      </c>
      <c r="N90" t="inlineStr">
        <is>
          <t>Chemicals (20)</t>
        </is>
      </c>
      <c r="O90" t="n">
        <v>0.7161</v>
      </c>
      <c r="P90" t="inlineStr">
        <is>
          <t>3 proc</t>
        </is>
      </c>
      <c r="Q90" t="inlineStr">
        <is>
          <t>Pre-reforming (process).</t>
        </is>
      </c>
      <c r="R90" t="n">
        <v>1</v>
      </c>
      <c r="S90" t="n">
        <v>0</v>
      </c>
      <c r="T90" t="n">
        <v>0</v>
      </c>
      <c r="U90" t="n">
        <v>0.86</v>
      </c>
    </row>
    <row r="91" ht="15" customHeight="1" thickBot="1">
      <c r="A91" s="37" t="inlineStr">
        <is>
          <t>Ammonia</t>
        </is>
      </c>
      <c r="B91" s="37" t="inlineStr">
        <is>
          <t>Advanced process control</t>
        </is>
      </c>
      <c r="C91" s="31" t="n">
        <v>0.3</v>
      </c>
      <c r="D91" s="31" t="n">
        <v>0.3</v>
      </c>
      <c r="E91" s="31" t="n">
        <v>0.55</v>
      </c>
      <c r="F91" s="32" t="n">
        <v>0.7</v>
      </c>
      <c r="G91" s="32" t="n">
        <v>0</v>
      </c>
      <c r="H91" s="32" t="n">
        <v>0</v>
      </c>
      <c r="I91" s="32" t="n">
        <v>6</v>
      </c>
      <c r="J91" s="56" t="n">
        <v>10</v>
      </c>
      <c r="K91" s="56" t="n">
        <v>0</v>
      </c>
      <c r="L91" t="inlineStr">
        <is>
          <t>500-1000C</t>
        </is>
      </c>
      <c r="M91" t="n">
        <v>0.174</v>
      </c>
      <c r="N91" t="inlineStr">
        <is>
          <t>Chemicals (20)</t>
        </is>
      </c>
      <c r="O91" t="n">
        <v>0.7161</v>
      </c>
      <c r="P91" t="inlineStr">
        <is>
          <t>3 proc</t>
        </is>
      </c>
      <c r="Q91" t="inlineStr">
        <is>
          <t>Advanced process control.</t>
        </is>
      </c>
      <c r="R91" t="n">
        <v>1</v>
      </c>
      <c r="S91" t="n">
        <v>0</v>
      </c>
      <c r="T91" t="n">
        <v>0</v>
      </c>
      <c r="U91" t="n">
        <v>0.85</v>
      </c>
    </row>
    <row r="92" ht="15.65" customHeight="1" thickBot="1" thickTop="1">
      <c r="A92" s="21" t="inlineStr">
        <is>
          <t>Clinker</t>
        </is>
      </c>
      <c r="B92" s="21" t="inlineStr">
        <is>
          <t>Improved raw Mill Blendinga</t>
        </is>
      </c>
      <c r="C92" s="22" t="n">
        <v>0.3</v>
      </c>
      <c r="D92" s="22" t="n">
        <v>0.4</v>
      </c>
      <c r="E92" s="22" t="n">
        <v>0.7</v>
      </c>
      <c r="F92" s="239">
        <f>'src review'!Q11</f>
        <v/>
      </c>
      <c r="G92" s="239">
        <f>'src review'!R11</f>
        <v/>
      </c>
      <c r="H92" s="23" t="n">
        <v>0</v>
      </c>
      <c r="I92" s="45" t="n">
        <v>4</v>
      </c>
      <c r="J92" s="23" t="n">
        <v>20</v>
      </c>
      <c r="K92" s="23" t="n">
        <v>0</v>
      </c>
      <c r="L92" t="inlineStr">
        <is>
          <t>&gt;1000C</t>
        </is>
      </c>
      <c r="M92" t="n">
        <v>0.587</v>
      </c>
      <c r="N92" t="inlineStr">
        <is>
          <t>Cement (239)</t>
        </is>
      </c>
      <c r="O92" t="n">
        <v>0.8492</v>
      </c>
      <c r="P92" t="inlineStr">
        <is>
          <t>3 proc</t>
        </is>
      </c>
      <c r="Q92" t="inlineStr">
        <is>
          <t>Raw mill blending (process).</t>
        </is>
      </c>
      <c r="R92" t="n">
        <v>0</v>
      </c>
      <c r="S92" t="n">
        <v>0</v>
      </c>
      <c r="T92" t="n">
        <v>0</v>
      </c>
      <c r="U92" t="n">
        <v>1</v>
      </c>
    </row>
    <row r="93" ht="15" customHeight="1" thickBot="1">
      <c r="A93" s="42" t="inlineStr">
        <is>
          <t>Clinker</t>
        </is>
      </c>
      <c r="B93" s="42" t="inlineStr">
        <is>
          <t>Use of High-Pressure Roller Pressesa</t>
        </is>
      </c>
      <c r="C93" s="16" t="n">
        <v>0.3</v>
      </c>
      <c r="D93" s="16" t="n">
        <v>0.4</v>
      </c>
      <c r="E93" s="16" t="n">
        <v>0.7</v>
      </c>
      <c r="F93" s="17" t="n">
        <v>0</v>
      </c>
      <c r="G93" s="17" t="n">
        <v>0.1</v>
      </c>
      <c r="H93" s="17" t="n">
        <v>0</v>
      </c>
      <c r="I93" s="57" t="n">
        <v>11</v>
      </c>
      <c r="J93" s="17" t="n">
        <v>20</v>
      </c>
      <c r="K93" s="17" t="n">
        <v>0</v>
      </c>
      <c r="L93" t="inlineStr">
        <is>
          <t>&gt;1000C</t>
        </is>
      </c>
      <c r="M93" t="n">
        <v>0.587</v>
      </c>
      <c r="N93" t="inlineStr">
        <is>
          <t>Cement (239)</t>
        </is>
      </c>
      <c r="O93" t="n">
        <v>0.8492</v>
      </c>
      <c r="P93" t="inlineStr">
        <is>
          <t>3 proc</t>
        </is>
      </c>
      <c r="Q93" t="inlineStr">
        <is>
          <t>High-pressure roller presses (grinding efficiency).</t>
        </is>
      </c>
      <c r="R93" t="n">
        <v>0</v>
      </c>
      <c r="S93" t="n">
        <v>1</v>
      </c>
      <c r="T93" t="n">
        <v>0</v>
      </c>
      <c r="U93" t="n">
        <v>1</v>
      </c>
    </row>
    <row r="94" ht="15" customHeight="1" thickBot="1">
      <c r="A94" s="25" t="inlineStr">
        <is>
          <t>Clinker</t>
        </is>
      </c>
      <c r="B94" s="25" t="inlineStr">
        <is>
          <t>High Efficiency Classifiersb</t>
        </is>
      </c>
      <c r="C94" s="27" t="n">
        <v>0.5</v>
      </c>
      <c r="D94" s="27" t="n">
        <v>0.3</v>
      </c>
      <c r="E94" s="27" t="n">
        <v>0.5</v>
      </c>
      <c r="F94" s="225">
        <f>'src review'!Q12</f>
        <v/>
      </c>
      <c r="G94" s="237">
        <f>'src review'!R12</f>
        <v/>
      </c>
      <c r="H94" s="52" t="n">
        <v>0</v>
      </c>
      <c r="I94" s="52" t="n">
        <v>4</v>
      </c>
      <c r="J94" s="28" t="n">
        <v>20</v>
      </c>
      <c r="K94" s="28" t="n">
        <v>0</v>
      </c>
      <c r="L94" t="inlineStr">
        <is>
          <t>&gt;1000C</t>
        </is>
      </c>
      <c r="M94" t="n">
        <v>0.587</v>
      </c>
      <c r="N94" t="inlineStr">
        <is>
          <t>Cement (239)</t>
        </is>
      </c>
      <c r="O94" t="n">
        <v>0.8492</v>
      </c>
      <c r="P94" t="inlineStr">
        <is>
          <t>3 proc</t>
        </is>
      </c>
      <c r="Q94" t="inlineStr">
        <is>
          <t>High-efficiency classifiers.</t>
        </is>
      </c>
      <c r="R94" t="n">
        <v>0</v>
      </c>
      <c r="S94" t="n">
        <v>0</v>
      </c>
      <c r="T94" t="n">
        <v>0</v>
      </c>
      <c r="U94" t="n">
        <v>1</v>
      </c>
    </row>
    <row r="95" ht="15" customHeight="1" thickBot="1">
      <c r="A95" s="42" t="inlineStr">
        <is>
          <t>Clinker</t>
        </is>
      </c>
      <c r="B95" s="42" t="inlineStr">
        <is>
          <t>Raw Meal Process Controlb</t>
        </is>
      </c>
      <c r="C95" s="16" t="n">
        <v>0.5</v>
      </c>
      <c r="D95" s="16" t="n">
        <v>0.3</v>
      </c>
      <c r="E95" s="16" t="n">
        <v>0.5</v>
      </c>
      <c r="F95" s="226">
        <f>'src review'!Q13</f>
        <v/>
      </c>
      <c r="G95" s="236">
        <f>'src review'!R13</f>
        <v/>
      </c>
      <c r="H95" s="57" t="n">
        <v>0</v>
      </c>
      <c r="I95" s="57" t="n">
        <v>0</v>
      </c>
      <c r="J95" s="17" t="n">
        <v>20</v>
      </c>
      <c r="K95" s="17" t="n">
        <v>0.1</v>
      </c>
      <c r="L95" t="inlineStr">
        <is>
          <t>&gt;1000C</t>
        </is>
      </c>
      <c r="M95" t="n">
        <v>0.587</v>
      </c>
      <c r="N95" t="inlineStr">
        <is>
          <t>Cement (239)</t>
        </is>
      </c>
      <c r="O95" t="n">
        <v>0.8492</v>
      </c>
      <c r="P95" t="inlineStr">
        <is>
          <t>3 proc</t>
        </is>
      </c>
      <c r="Q95" t="inlineStr">
        <is>
          <t>Raw meal process control.</t>
        </is>
      </c>
      <c r="R95" t="n">
        <v>0</v>
      </c>
      <c r="S95" t="n">
        <v>0</v>
      </c>
      <c r="T95" t="n">
        <v>0</v>
      </c>
      <c r="U95" t="n">
        <v>1</v>
      </c>
    </row>
    <row r="96" ht="15" customHeight="1" thickBot="1">
      <c r="A96" s="25" t="inlineStr">
        <is>
          <t>Clinker</t>
        </is>
      </c>
      <c r="B96" s="25" t="inlineStr">
        <is>
          <t>Energy Management and Control Systemsc</t>
        </is>
      </c>
      <c r="C96" s="27" t="n">
        <v>0.8</v>
      </c>
      <c r="D96" s="27" t="n">
        <v>0.15</v>
      </c>
      <c r="E96" s="27" t="n">
        <v>0.2</v>
      </c>
      <c r="F96" s="28" t="n">
        <v>0.2</v>
      </c>
      <c r="G96" s="28" t="n">
        <v>0</v>
      </c>
      <c r="H96" s="28" t="n">
        <v>0</v>
      </c>
      <c r="I96" s="237">
        <f>'src review'!H160</f>
        <v/>
      </c>
      <c r="J96" s="28" t="n">
        <v>10</v>
      </c>
      <c r="K96" s="28" t="n">
        <v>0</v>
      </c>
      <c r="L96" t="inlineStr">
        <is>
          <t>&gt;1000C</t>
        </is>
      </c>
      <c r="M96" t="n">
        <v>0.587</v>
      </c>
      <c r="N96" t="inlineStr">
        <is>
          <t>Cement (239)</t>
        </is>
      </c>
      <c r="O96" t="n">
        <v>0.8492</v>
      </c>
      <c r="P96" t="inlineStr">
        <is>
          <t>3 proc</t>
        </is>
      </c>
      <c r="Q96" t="inlineStr">
        <is>
          <t>Energy management &amp; control.</t>
        </is>
      </c>
      <c r="R96" t="n">
        <v>1</v>
      </c>
      <c r="S96" t="n">
        <v>0</v>
      </c>
      <c r="T96" t="n">
        <v>0</v>
      </c>
      <c r="U96" t="n">
        <v>1</v>
      </c>
    </row>
    <row r="97" ht="15" customHeight="1" thickBot="1">
      <c r="A97" s="42" t="inlineStr">
        <is>
          <t>Clinker</t>
        </is>
      </c>
      <c r="B97" s="42" t="inlineStr">
        <is>
          <t>Kiln Combustion System Improvementsc</t>
        </is>
      </c>
      <c r="C97" s="16" t="n">
        <v>0.95</v>
      </c>
      <c r="D97" s="16" t="n">
        <v>0.05</v>
      </c>
      <c r="E97" s="16" t="n">
        <v>0.05</v>
      </c>
      <c r="F97" s="17" t="n">
        <v>0.4</v>
      </c>
      <c r="G97" s="17" t="n">
        <v>0</v>
      </c>
      <c r="H97" s="17" t="n">
        <v>0</v>
      </c>
      <c r="I97" s="236">
        <f>'src review'!H161</f>
        <v/>
      </c>
      <c r="J97" s="17" t="n">
        <v>30</v>
      </c>
      <c r="K97" s="17" t="n">
        <v>0</v>
      </c>
      <c r="L97" t="inlineStr">
        <is>
          <t>&gt;1000C</t>
        </is>
      </c>
      <c r="M97" t="n">
        <v>0.587</v>
      </c>
      <c r="N97" t="inlineStr">
        <is>
          <t>Cement (239)</t>
        </is>
      </c>
      <c r="O97" t="n">
        <v>0.8492</v>
      </c>
      <c r="P97" t="inlineStr">
        <is>
          <t>3 proc</t>
        </is>
      </c>
      <c r="Q97" t="inlineStr">
        <is>
          <t>Kiln combustion system improvements.</t>
        </is>
      </c>
      <c r="R97" t="n">
        <v>1</v>
      </c>
      <c r="S97" t="n">
        <v>0</v>
      </c>
      <c r="T97" t="n">
        <v>0</v>
      </c>
      <c r="U97" t="n">
        <v>1</v>
      </c>
    </row>
    <row r="98" ht="15" customHeight="1" thickBot="1">
      <c r="A98" s="25" t="inlineStr">
        <is>
          <t>Clinker</t>
        </is>
      </c>
      <c r="B98" s="25" t="inlineStr">
        <is>
          <t>Indirect Firingc</t>
        </is>
      </c>
      <c r="C98" s="27" t="n">
        <v>0.95</v>
      </c>
      <c r="D98" s="27" t="n">
        <v>0.05</v>
      </c>
      <c r="E98" s="27" t="n">
        <v>0.05</v>
      </c>
      <c r="F98" s="28" t="n">
        <v>0.2</v>
      </c>
      <c r="G98" s="28" t="n">
        <v>0</v>
      </c>
      <c r="H98" s="28" t="n">
        <v>0</v>
      </c>
      <c r="I98" s="52" t="n">
        <v>10</v>
      </c>
      <c r="J98" s="28" t="n">
        <v>20</v>
      </c>
      <c r="K98" s="28" t="n">
        <v>0</v>
      </c>
      <c r="L98" t="inlineStr">
        <is>
          <t>&gt;1000C</t>
        </is>
      </c>
      <c r="M98" t="n">
        <v>0.587</v>
      </c>
      <c r="N98" t="inlineStr">
        <is>
          <t>Cement (239)</t>
        </is>
      </c>
      <c r="O98" t="n">
        <v>0.8492</v>
      </c>
      <c r="P98" t="inlineStr">
        <is>
          <t>3 proc</t>
        </is>
      </c>
      <c r="Q98" t="inlineStr">
        <is>
          <t>Indirect firing (combustion system).</t>
        </is>
      </c>
      <c r="R98" t="n">
        <v>1</v>
      </c>
      <c r="S98" t="n">
        <v>0</v>
      </c>
      <c r="T98" t="n">
        <v>0</v>
      </c>
      <c r="U98" t="n">
        <v>1</v>
      </c>
    </row>
    <row r="99" ht="15" customHeight="1" thickBot="1">
      <c r="A99" s="42" t="inlineStr">
        <is>
          <t>Clinker</t>
        </is>
      </c>
      <c r="B99" s="42" t="inlineStr">
        <is>
          <t>Oxygen Enrichment technologyc</t>
        </is>
      </c>
      <c r="C99" s="16" t="n">
        <v>0.95</v>
      </c>
      <c r="D99" s="16" t="n">
        <v>0.05</v>
      </c>
      <c r="E99" s="16" t="n">
        <v>0.05</v>
      </c>
      <c r="F99" s="17" t="n">
        <v>0.2</v>
      </c>
      <c r="G99" s="17" t="n">
        <v>-0.1</v>
      </c>
      <c r="H99" s="17" t="n">
        <v>0</v>
      </c>
      <c r="I99" s="57" t="n">
        <v>6</v>
      </c>
      <c r="J99" s="17" t="n">
        <v>20</v>
      </c>
      <c r="K99" s="17" t="n">
        <v>0</v>
      </c>
      <c r="L99" t="inlineStr">
        <is>
          <t>&gt;1000C</t>
        </is>
      </c>
      <c r="M99" t="n">
        <v>0.587</v>
      </c>
      <c r="N99" t="inlineStr">
        <is>
          <t>Cement (239)</t>
        </is>
      </c>
      <c r="O99" t="n">
        <v>0.8492</v>
      </c>
      <c r="P99" t="inlineStr">
        <is>
          <t>3 proc</t>
        </is>
      </c>
      <c r="Q99" t="inlineStr">
        <is>
          <t>Oxygen enrichment (process).</t>
        </is>
      </c>
      <c r="R99" t="n">
        <v>1</v>
      </c>
      <c r="S99" t="n">
        <v>0</v>
      </c>
      <c r="T99" t="n">
        <v>0</v>
      </c>
      <c r="U99" t="n">
        <v>1</v>
      </c>
    </row>
    <row r="100" ht="15" customHeight="1" thickBot="1">
      <c r="A100" s="25" t="inlineStr">
        <is>
          <t>Clinker</t>
        </is>
      </c>
      <c r="B100" s="25" t="inlineStr">
        <is>
          <t>Kiln Shell Heat Loss Reductionc</t>
        </is>
      </c>
      <c r="C100" s="27" t="n">
        <v>0.95</v>
      </c>
      <c r="D100" s="27" t="n">
        <v>0.05</v>
      </c>
      <c r="E100" s="27" t="n">
        <v>0.05</v>
      </c>
      <c r="F100" s="28" t="n">
        <v>0.4</v>
      </c>
      <c r="G100" s="28" t="n">
        <v>0</v>
      </c>
      <c r="H100" s="28" t="n">
        <v>0</v>
      </c>
      <c r="I100" s="237">
        <f>'src review'!H162</f>
        <v/>
      </c>
      <c r="J100" s="28" t="n">
        <v>5</v>
      </c>
      <c r="K100" s="28" t="n">
        <v>0</v>
      </c>
      <c r="L100" t="inlineStr">
        <is>
          <t>&gt;1000C</t>
        </is>
      </c>
      <c r="M100" t="n">
        <v>0.587</v>
      </c>
      <c r="N100" t="inlineStr">
        <is>
          <t>Cement (239)</t>
        </is>
      </c>
      <c r="O100" t="n">
        <v>0.8492</v>
      </c>
      <c r="P100" t="inlineStr">
        <is>
          <t>3 proc</t>
        </is>
      </c>
      <c r="Q100" t="inlineStr">
        <is>
          <t>Preheater shell heat-loss reduction (insulation, not recovery; preheater recovery itself is do-not-double-count).</t>
        </is>
      </c>
      <c r="R100" t="n">
        <v>1</v>
      </c>
      <c r="S100" t="n">
        <v>0</v>
      </c>
      <c r="T100" t="n">
        <v>0</v>
      </c>
      <c r="U100" t="n">
        <v>1</v>
      </c>
    </row>
    <row r="101" ht="15" customHeight="1" thickBot="1">
      <c r="A101" s="42" t="inlineStr">
        <is>
          <t>Clinker</t>
        </is>
      </c>
      <c r="B101" s="42" t="inlineStr">
        <is>
          <t>Conversion to Grate Coolerc</t>
        </is>
      </c>
      <c r="C101" s="16" t="n">
        <v>0.8</v>
      </c>
      <c r="D101" s="16" t="n">
        <v>0.15</v>
      </c>
      <c r="E101" s="16" t="n">
        <v>0.2</v>
      </c>
      <c r="F101" s="17" t="n">
        <v>0.3</v>
      </c>
      <c r="G101" s="17" t="n">
        <v>0</v>
      </c>
      <c r="H101" s="17" t="n">
        <v>0</v>
      </c>
      <c r="I101" s="57" t="n">
        <v>15</v>
      </c>
      <c r="J101" s="17" t="n">
        <v>30</v>
      </c>
      <c r="K101" s="17" t="n">
        <v>0.1</v>
      </c>
      <c r="L101" t="inlineStr">
        <is>
          <t>&gt;1000C</t>
        </is>
      </c>
      <c r="M101" t="n">
        <v>0.587</v>
      </c>
      <c r="N101" t="inlineStr">
        <is>
          <t>Cement (239)</t>
        </is>
      </c>
      <c r="O101" t="n">
        <v>0.8492</v>
      </c>
      <c r="P101" t="inlineStr">
        <is>
          <t>2 whr</t>
        </is>
      </c>
      <c r="Q101" t="inlineStr">
        <is>
          <t>System WHR: clinker grate-cooler heat recovery to combustion air (not burner-integral; not on DC list).</t>
        </is>
      </c>
      <c r="R101" t="n">
        <v>1</v>
      </c>
      <c r="S101" t="n">
        <v>0</v>
      </c>
      <c r="T101" t="n">
        <v>0</v>
      </c>
      <c r="U101" t="n">
        <v>1</v>
      </c>
    </row>
    <row r="102" ht="15" customHeight="1" thickBot="1">
      <c r="A102" s="25" t="inlineStr">
        <is>
          <t>Clinker</t>
        </is>
      </c>
      <c r="B102" s="25" t="inlineStr">
        <is>
          <t>Optimize Grate Coolerc</t>
        </is>
      </c>
      <c r="C102" s="27" t="n">
        <v>0.7</v>
      </c>
      <c r="D102" s="27" t="n">
        <v>0.3</v>
      </c>
      <c r="E102" s="27" t="n">
        <v>0.3</v>
      </c>
      <c r="F102" s="28" t="n">
        <v>0.1</v>
      </c>
      <c r="G102" s="28" t="n">
        <v>0</v>
      </c>
      <c r="H102" s="28" t="n">
        <v>0</v>
      </c>
      <c r="I102" s="52" t="n">
        <v>2</v>
      </c>
      <c r="J102" s="28" t="n">
        <v>30</v>
      </c>
      <c r="K102" s="28" t="n">
        <v>0.1</v>
      </c>
      <c r="L102" t="inlineStr">
        <is>
          <t>&gt;1000C</t>
        </is>
      </c>
      <c r="M102" t="n">
        <v>0.587</v>
      </c>
      <c r="N102" t="inlineStr">
        <is>
          <t>Cement (239)</t>
        </is>
      </c>
      <c r="O102" t="n">
        <v>0.8492</v>
      </c>
      <c r="P102" t="inlineStr">
        <is>
          <t>2 whr</t>
        </is>
      </c>
      <c r="Q102" t="inlineStr">
        <is>
          <t>System WHR: optimize grate cooler (clinker heat recovery).</t>
        </is>
      </c>
      <c r="R102" t="n">
        <v>1</v>
      </c>
      <c r="S102" t="n">
        <v>0</v>
      </c>
      <c r="T102" t="n">
        <v>0</v>
      </c>
      <c r="U102" t="n">
        <v>1</v>
      </c>
    </row>
    <row r="103" ht="15" customHeight="1" thickBot="1">
      <c r="A103" s="42" t="inlineStr">
        <is>
          <t>Clinker</t>
        </is>
      </c>
      <c r="B103" s="42" t="inlineStr">
        <is>
          <t>Low-Pressure Drop Suspension Preheatersc</t>
        </is>
      </c>
      <c r="C103" s="16" t="n">
        <v>0.75</v>
      </c>
      <c r="D103" s="16" t="n">
        <v>0.2</v>
      </c>
      <c r="E103" s="16" t="n">
        <v>0.25</v>
      </c>
      <c r="F103" s="226">
        <f>'src review'!Q14</f>
        <v/>
      </c>
      <c r="G103" s="236">
        <f>'src review'!R14</f>
        <v/>
      </c>
      <c r="H103" s="17" t="n">
        <v>0</v>
      </c>
      <c r="I103" s="57" t="n">
        <v>6</v>
      </c>
      <c r="J103" s="17" t="n">
        <v>30</v>
      </c>
      <c r="K103" s="17" t="n">
        <v>0</v>
      </c>
      <c r="L103" t="inlineStr">
        <is>
          <t>&gt;1000C</t>
        </is>
      </c>
      <c r="M103" t="n">
        <v>0.587</v>
      </c>
      <c r="N103" t="inlineStr">
        <is>
          <t>Cement (239)</t>
        </is>
      </c>
      <c r="O103" t="n">
        <v>0.8492</v>
      </c>
      <c r="P103" t="inlineStr">
        <is>
          <t>3 proc</t>
        </is>
      </c>
      <c r="Q103" t="inlineStr">
        <is>
          <t>Low-pressure-drop preheaters (fan-power/pressure drop, not recovery).</t>
        </is>
      </c>
      <c r="R103" t="n">
        <v>0</v>
      </c>
      <c r="S103" t="n">
        <v>0</v>
      </c>
      <c r="T103" t="n">
        <v>0</v>
      </c>
      <c r="U103" t="n">
        <v>1</v>
      </c>
    </row>
    <row r="104" ht="15" customHeight="1" thickBot="1">
      <c r="A104" s="25" t="inlineStr">
        <is>
          <t>Clinker</t>
        </is>
      </c>
      <c r="B104" s="25" t="inlineStr">
        <is>
          <t>Heat Recovery for Power Generation (ORC)d</t>
        </is>
      </c>
      <c r="C104" s="27" t="n">
        <v>0</v>
      </c>
      <c r="D104" s="27" t="n">
        <v>0.58</v>
      </c>
      <c r="E104" s="27" t="n">
        <v>1</v>
      </c>
      <c r="F104" s="28" t="n">
        <v>0</v>
      </c>
      <c r="G104" s="28" t="n">
        <v>0.1</v>
      </c>
      <c r="H104" s="28" t="n">
        <v>0</v>
      </c>
      <c r="I104" s="52" t="n">
        <v>20</v>
      </c>
      <c r="J104" s="28" t="n">
        <v>20</v>
      </c>
      <c r="K104" s="28" t="n">
        <v>1</v>
      </c>
      <c r="L104" t="inlineStr">
        <is>
          <t>&gt;1000C</t>
        </is>
      </c>
      <c r="M104" t="n">
        <v>0.587</v>
      </c>
      <c r="N104" t="inlineStr">
        <is>
          <t>Cement (239)</t>
        </is>
      </c>
      <c r="O104" t="n">
        <v>0.8492</v>
      </c>
      <c r="P104" t="inlineStr">
        <is>
          <t>2 whr</t>
        </is>
      </c>
      <c r="Q104" t="inlineStr">
        <is>
          <t>System WHR: heat-to-power (ORC). Per taxonomy.</t>
        </is>
      </c>
      <c r="R104" t="n">
        <v>0</v>
      </c>
      <c r="S104" t="n">
        <v>1</v>
      </c>
      <c r="T104" t="n">
        <v>0</v>
      </c>
      <c r="U104" t="n">
        <v>1</v>
      </c>
    </row>
    <row r="105" ht="15" customHeight="1" thickBot="1">
      <c r="A105" s="97" t="inlineStr">
        <is>
          <t>Clinker</t>
        </is>
      </c>
      <c r="B105" s="97" t="inlineStr">
        <is>
          <t>Increase Preheater Stages (from 5 to 6)c</t>
        </is>
      </c>
      <c r="C105" s="91" t="n">
        <v>0.9</v>
      </c>
      <c r="D105" s="91" t="n">
        <v>0.08</v>
      </c>
      <c r="E105" s="91" t="n">
        <v>0.1</v>
      </c>
      <c r="F105" s="92" t="n">
        <v>0.1</v>
      </c>
      <c r="G105" s="92" t="n">
        <v>0</v>
      </c>
      <c r="H105" s="92" t="n">
        <v>0</v>
      </c>
      <c r="I105" s="98" t="n">
        <v>11</v>
      </c>
      <c r="J105" s="92" t="n">
        <v>30</v>
      </c>
      <c r="K105" s="92" t="n">
        <v>0</v>
      </c>
      <c r="L105" s="85" t="inlineStr">
        <is>
          <t>&gt;1000C</t>
        </is>
      </c>
      <c r="M105" s="85" t="n">
        <v>0.587</v>
      </c>
      <c r="N105" s="85" t="inlineStr">
        <is>
          <t>Cement (239)</t>
        </is>
      </c>
      <c r="O105" s="85" t="n">
        <v>0.8492</v>
      </c>
      <c r="P105" s="85" t="inlineStr">
        <is>
          <t>X DC</t>
        </is>
      </c>
      <c r="Q105" s="85" t="inlineStr">
        <is>
          <t>Do-not-double-count: increases preheater recovery, already credited in unit-efficiency files.</t>
        </is>
      </c>
      <c r="R105" s="85" t="n">
        <v>1</v>
      </c>
      <c r="S105" s="85" t="n">
        <v>0</v>
      </c>
      <c r="T105" s="85" t="n">
        <v>0</v>
      </c>
      <c r="U105" s="85" t="n">
        <v>1</v>
      </c>
      <c r="V105" s="85" t="n"/>
    </row>
    <row r="106" ht="15" customHeight="1" thickBot="1">
      <c r="A106" s="86" t="inlineStr">
        <is>
          <t>Clinker</t>
        </is>
      </c>
      <c r="B106" s="86" t="inlineStr">
        <is>
          <t>Addition of Precalciner or Upgradeb</t>
        </is>
      </c>
      <c r="C106" s="88" t="n">
        <v>0.49</v>
      </c>
      <c r="D106" s="88" t="n">
        <v>0.17</v>
      </c>
      <c r="E106" s="88" t="n">
        <v>0.33</v>
      </c>
      <c r="F106" s="89" t="n">
        <v>0.6</v>
      </c>
      <c r="G106" s="89" t="n">
        <v>0</v>
      </c>
      <c r="H106" s="89" t="n">
        <v>0</v>
      </c>
      <c r="I106" s="94" t="n">
        <v>93</v>
      </c>
      <c r="J106" s="89" t="n">
        <v>40</v>
      </c>
      <c r="K106" s="89" t="n">
        <v>-1.2</v>
      </c>
      <c r="L106" s="85" t="inlineStr">
        <is>
          <t>&gt;1000C</t>
        </is>
      </c>
      <c r="M106" s="85" t="n">
        <v>0.587</v>
      </c>
      <c r="N106" s="85" t="inlineStr">
        <is>
          <t>Cement (239)</t>
        </is>
      </c>
      <c r="O106" s="85" t="n">
        <v>0.8492</v>
      </c>
      <c r="P106" s="85" t="inlineStr">
        <is>
          <t>X DC</t>
        </is>
      </c>
      <c r="Q106" s="85" t="inlineStr">
        <is>
          <t>Do-not-double-count: precalciner recovery already credited in unit-efficiency files.</t>
        </is>
      </c>
      <c r="R106" s="85" t="n">
        <v>1</v>
      </c>
      <c r="S106" s="85" t="n">
        <v>0</v>
      </c>
      <c r="T106" s="85" t="n">
        <v>0</v>
      </c>
      <c r="U106" s="85" t="n">
        <v>0.82</v>
      </c>
      <c r="V106" s="85" t="n"/>
    </row>
    <row r="107" ht="15" customHeight="1" thickBot="1">
      <c r="A107" s="97" t="inlineStr">
        <is>
          <t>Clinker</t>
        </is>
      </c>
      <c r="B107" s="97" t="inlineStr">
        <is>
          <t>Conversion of Long Dry Kiln to Preheater Precalcinerb</t>
        </is>
      </c>
      <c r="C107" s="91" t="n">
        <v>0</v>
      </c>
      <c r="D107" s="91" t="n">
        <v>0.03</v>
      </c>
      <c r="E107" s="91" t="n">
        <v>0.05</v>
      </c>
      <c r="F107" s="92" t="n">
        <v>1.2</v>
      </c>
      <c r="G107" s="92" t="n">
        <v>0</v>
      </c>
      <c r="H107" s="92" t="n">
        <v>0</v>
      </c>
      <c r="I107" s="98" t="n">
        <v>93</v>
      </c>
      <c r="J107" s="92" t="n">
        <v>40</v>
      </c>
      <c r="K107" s="92" t="n">
        <v>0</v>
      </c>
      <c r="L107" s="85" t="inlineStr">
        <is>
          <t>&gt;1000C</t>
        </is>
      </c>
      <c r="M107" s="85" t="n">
        <v>0.587</v>
      </c>
      <c r="N107" s="85" t="inlineStr">
        <is>
          <t>Cement (239)</t>
        </is>
      </c>
      <c r="O107" s="85" t="n">
        <v>0.8492</v>
      </c>
      <c r="P107" s="85" t="inlineStr">
        <is>
          <t>X DC</t>
        </is>
      </c>
      <c r="Q107" s="85" t="inlineStr">
        <is>
          <t>Do-not-double-count: preheater/precalciner recovery already credited in unit-efficiency files.</t>
        </is>
      </c>
      <c r="R107" s="85" t="n">
        <v>1</v>
      </c>
      <c r="S107" s="85" t="n">
        <v>0</v>
      </c>
      <c r="T107" s="85" t="n">
        <v>0</v>
      </c>
      <c r="U107" s="85" t="n">
        <v>0.05</v>
      </c>
      <c r="V107" s="85" t="n"/>
    </row>
    <row r="108" ht="15" customHeight="1" thickBot="1">
      <c r="A108" s="131" t="inlineStr">
        <is>
          <t>Clinker</t>
        </is>
      </c>
      <c r="B108" s="131" t="inlineStr">
        <is>
          <t>Use of Fly Ash, Blast Furnace Slag in Clinker (15% substitution)a</t>
        </is>
      </c>
      <c r="C108" s="132" t="n">
        <v>0.03</v>
      </c>
      <c r="D108" s="132" t="n">
        <v>0.02</v>
      </c>
      <c r="E108" s="132" t="n">
        <v>0.92</v>
      </c>
      <c r="F108" s="133" t="n">
        <v>0.3</v>
      </c>
      <c r="G108" s="133" t="n">
        <v>0</v>
      </c>
      <c r="H108" s="133" t="n">
        <v>0</v>
      </c>
      <c r="I108" s="134" t="n">
        <v>3</v>
      </c>
      <c r="J108" s="133" t="n">
        <v>30</v>
      </c>
      <c r="K108" s="133" t="n">
        <v>0</v>
      </c>
      <c r="L108" s="85" t="inlineStr">
        <is>
          <t>&gt;1000C</t>
        </is>
      </c>
      <c r="M108" s="85" t="n">
        <v>0.587</v>
      </c>
      <c r="N108" s="85" t="inlineStr">
        <is>
          <t>Cement (239)</t>
        </is>
      </c>
      <c r="O108" s="85" t="n">
        <v>0.8492</v>
      </c>
      <c r="P108" s="85" t="inlineStr">
        <is>
          <t>X mat-subst</t>
        </is>
      </c>
      <c r="Q108" s="85" t="inlineStr">
        <is>
          <t>Clinker/material substitution (fly ash, BFS 15%) — excluded from curves (G0.1 ruling). Not energy efficiency or WHR; reduces clinker demand via SCMs.</t>
        </is>
      </c>
      <c r="R108" s="85" t="n">
        <v>1</v>
      </c>
      <c r="S108" s="85" t="n">
        <v>0</v>
      </c>
      <c r="T108" s="85" t="n">
        <v>0</v>
      </c>
      <c r="U108" s="85" t="n">
        <v>0.95</v>
      </c>
      <c r="V108" s="85" t="n"/>
    </row>
    <row r="109" ht="15" customHeight="1" thickBot="1">
      <c r="A109" s="81" t="inlineStr">
        <is>
          <t>Cement</t>
        </is>
      </c>
      <c r="B109" s="81" t="inlineStr">
        <is>
          <t>Biomass and Wastee</t>
        </is>
      </c>
      <c r="C109" s="83" t="n">
        <v>0.43</v>
      </c>
      <c r="D109" s="83" t="n">
        <v>0.11</v>
      </c>
      <c r="E109" s="83" t="n">
        <v>0.22</v>
      </c>
      <c r="F109" s="84" t="n">
        <v>-0.2</v>
      </c>
      <c r="G109" s="84" t="n">
        <v>0</v>
      </c>
      <c r="H109" s="84" t="n">
        <v>0</v>
      </c>
      <c r="I109" s="105" t="n">
        <v>4</v>
      </c>
      <c r="J109" s="84" t="n">
        <v>30</v>
      </c>
      <c r="K109" s="84" t="n">
        <v>0</v>
      </c>
      <c r="L109" s="85" t="inlineStr">
        <is>
          <t>&gt;1000C</t>
        </is>
      </c>
      <c r="M109" s="85" t="n">
        <v>0.587</v>
      </c>
      <c r="N109" s="85" t="inlineStr">
        <is>
          <t>Cement (239)</t>
        </is>
      </c>
      <c r="O109" s="85" t="n">
        <v>0.8492</v>
      </c>
      <c r="P109" s="85" t="inlineStr">
        <is>
          <t>X fuel-switch</t>
        </is>
      </c>
      <c r="Q109" s="85" t="inlineStr">
        <is>
          <t>Alternative-fuel substitution (biomass/waste). Out of scope — handled in fuel-switching file (G0.1 ruling).</t>
        </is>
      </c>
      <c r="R109" s="85" t="n">
        <v>0</v>
      </c>
      <c r="S109" s="85" t="n">
        <v>0</v>
      </c>
      <c r="T109" s="85" t="n">
        <v>0</v>
      </c>
      <c r="U109" s="85" t="n">
        <v>0.65</v>
      </c>
      <c r="V109" s="85" t="n"/>
    </row>
    <row r="110" ht="15" customHeight="1" thickBot="1">
      <c r="A110" s="42" t="inlineStr">
        <is>
          <t>Cement</t>
        </is>
      </c>
      <c r="B110" s="42" t="inlineStr">
        <is>
          <t>Energy Management and Process Controlb</t>
        </is>
      </c>
      <c r="C110" s="16" t="n">
        <v>0.8</v>
      </c>
      <c r="D110" s="16" t="n">
        <v>0.2</v>
      </c>
      <c r="E110" s="16" t="n">
        <v>0.2</v>
      </c>
      <c r="F110" s="226">
        <f>'src review'!Q15</f>
        <v/>
      </c>
      <c r="G110" s="236">
        <f>'src review'!R15</f>
        <v/>
      </c>
      <c r="H110" s="17" t="n">
        <v>0</v>
      </c>
      <c r="I110" s="57" t="n">
        <v>1</v>
      </c>
      <c r="J110" s="17" t="n">
        <v>10</v>
      </c>
      <c r="K110" s="17" t="n">
        <v>0</v>
      </c>
      <c r="L110" t="inlineStr">
        <is>
          <t>&gt;1000C</t>
        </is>
      </c>
      <c r="M110" t="n">
        <v>0.587</v>
      </c>
      <c r="N110" t="inlineStr">
        <is>
          <t>Cement (239)</t>
        </is>
      </c>
      <c r="O110" t="n">
        <v>0.8492</v>
      </c>
      <c r="P110" t="inlineStr">
        <is>
          <t>3 proc</t>
        </is>
      </c>
      <c r="Q110" t="inlineStr">
        <is>
          <t>Energy management &amp; process control.</t>
        </is>
      </c>
      <c r="R110" t="n">
        <v>0</v>
      </c>
      <c r="S110" t="n">
        <v>0</v>
      </c>
      <c r="T110" t="n">
        <v>0</v>
      </c>
      <c r="U110" t="n">
        <v>1</v>
      </c>
    </row>
    <row r="111" ht="15" customHeight="1" thickBot="1">
      <c r="A111" s="25" t="inlineStr">
        <is>
          <t>Cement</t>
        </is>
      </c>
      <c r="B111" s="25" t="inlineStr">
        <is>
          <t>Replace ball mills with VRMsa</t>
        </is>
      </c>
      <c r="C111" s="27" t="n">
        <v>0.3</v>
      </c>
      <c r="D111" s="27" t="n">
        <v>0.35</v>
      </c>
      <c r="E111" s="27" t="n">
        <v>0.68</v>
      </c>
      <c r="F111" s="28" t="n">
        <v>0</v>
      </c>
      <c r="G111" s="28" t="n">
        <v>0.1</v>
      </c>
      <c r="H111" s="28" t="n">
        <v>0</v>
      </c>
      <c r="I111" s="52" t="n">
        <v>17</v>
      </c>
      <c r="J111" s="28" t="n">
        <v>20</v>
      </c>
      <c r="K111" s="28" t="n">
        <v>0.2</v>
      </c>
      <c r="L111" t="inlineStr">
        <is>
          <t>&gt;1000C</t>
        </is>
      </c>
      <c r="M111" t="n">
        <v>0.587</v>
      </c>
      <c r="N111" t="inlineStr">
        <is>
          <t>Cement (239)</t>
        </is>
      </c>
      <c r="O111" t="n">
        <v>0.8492</v>
      </c>
      <c r="P111" t="inlineStr">
        <is>
          <t>X equip-replace</t>
        </is>
      </c>
      <c r="Q111" t="inlineStr">
        <is>
          <t>Replace ball mills with VRMs (grinding efficiency).</t>
        </is>
      </c>
      <c r="R111" t="n">
        <v>0</v>
      </c>
      <c r="S111" t="n">
        <v>1</v>
      </c>
      <c r="T111" t="n">
        <v>0</v>
      </c>
      <c r="U111" t="n">
        <v>0.98</v>
      </c>
      <c r="W111" t="inlineStr">
        <is>
          <t>Excluded 2026-07-28: like-for-like replacement of grinding mills (Worrell/Kermeli/Galitsky 2013: CalPortland 'replaced several ball mills'). VRMs are established technology within IEMUEF's scope, so this abatement is carried by the equipment stock / efficiency standards / early retirement channel; keeping it here would double count. (Dan O'Brien decision.)</t>
        </is>
      </c>
    </row>
    <row r="112" ht="15" customHeight="1" thickBot="1">
      <c r="A112" s="42" t="inlineStr">
        <is>
          <t>Cement</t>
        </is>
      </c>
      <c r="B112" s="42" t="inlineStr">
        <is>
          <t>High-Efficiency Classifiersb</t>
        </is>
      </c>
      <c r="C112" s="58" t="n">
        <v>0.7</v>
      </c>
      <c r="D112" s="16" t="n">
        <v>0.3</v>
      </c>
      <c r="E112" s="16" t="n">
        <v>0.3</v>
      </c>
      <c r="F112" s="226">
        <f>'src review'!Q16</f>
        <v/>
      </c>
      <c r="G112" s="236">
        <f>'src review'!R16</f>
        <v/>
      </c>
      <c r="H112" s="17" t="n">
        <v>0</v>
      </c>
      <c r="I112" s="57" t="n">
        <v>3</v>
      </c>
      <c r="J112" s="17" t="n">
        <v>20</v>
      </c>
      <c r="K112" s="17" t="n">
        <v>0</v>
      </c>
      <c r="L112" t="inlineStr">
        <is>
          <t>&gt;1000C</t>
        </is>
      </c>
      <c r="M112" t="n">
        <v>0.587</v>
      </c>
      <c r="N112" t="inlineStr">
        <is>
          <t>Cement (239)</t>
        </is>
      </c>
      <c r="O112" t="n">
        <v>0.8492</v>
      </c>
      <c r="P112" t="inlineStr">
        <is>
          <t>3 proc</t>
        </is>
      </c>
      <c r="Q112" t="inlineStr">
        <is>
          <t>High-efficiency classifiers.</t>
        </is>
      </c>
      <c r="R112" t="n">
        <v>0</v>
      </c>
      <c r="S112" t="n">
        <v>0</v>
      </c>
      <c r="T112" t="n">
        <v>0</v>
      </c>
      <c r="U112" t="n">
        <v>1</v>
      </c>
    </row>
    <row r="113" ht="15" customHeight="1" thickBot="1">
      <c r="A113" s="25" t="inlineStr">
        <is>
          <t>Cement</t>
        </is>
      </c>
      <c r="B113" s="25" t="inlineStr">
        <is>
          <t>High efficiency motorsf</t>
        </is>
      </c>
      <c r="C113" s="27" t="n">
        <v>0.5</v>
      </c>
      <c r="D113" s="27" t="n">
        <v>0.3</v>
      </c>
      <c r="E113" s="27" t="n">
        <v>0.5</v>
      </c>
      <c r="F113" s="225">
        <f>'src review'!Q17</f>
        <v/>
      </c>
      <c r="G113" s="237">
        <f>'src review'!I131</f>
        <v/>
      </c>
      <c r="H113" s="28" t="n">
        <v>0</v>
      </c>
      <c r="I113" s="237">
        <f>'src review'!J131</f>
        <v/>
      </c>
      <c r="J113" s="28" t="n">
        <v>10</v>
      </c>
      <c r="K113" s="28" t="n">
        <v>0</v>
      </c>
      <c r="L113" t="inlineStr">
        <is>
          <t>&gt;1000C</t>
        </is>
      </c>
      <c r="M113" t="n">
        <v>0.587</v>
      </c>
      <c r="N113" t="inlineStr">
        <is>
          <t>Cement (239)</t>
        </is>
      </c>
      <c r="O113" t="n">
        <v>0.8492</v>
      </c>
      <c r="P113" t="inlineStr">
        <is>
          <t>3 proc</t>
        </is>
      </c>
      <c r="Q113" t="inlineStr">
        <is>
          <t>High-efficiency motors.</t>
        </is>
      </c>
      <c r="R113" t="n">
        <v>0</v>
      </c>
      <c r="S113" t="n">
        <v>0</v>
      </c>
      <c r="T113" t="n">
        <v>0</v>
      </c>
      <c r="U113" t="n">
        <v>1</v>
      </c>
    </row>
    <row r="114" ht="15" customHeight="1" thickBot="1">
      <c r="A114" s="59" t="inlineStr">
        <is>
          <t>Cement</t>
        </is>
      </c>
      <c r="B114" s="59" t="inlineStr">
        <is>
          <t>Adjustable speed drives</t>
        </is>
      </c>
      <c r="C114" s="60" t="n">
        <v>0.4</v>
      </c>
      <c r="D114" s="60" t="n">
        <v>0.4</v>
      </c>
      <c r="E114" s="60" t="n">
        <v>0.6</v>
      </c>
      <c r="F114" s="227">
        <f>'src review'!Q18</f>
        <v/>
      </c>
      <c r="G114" s="238">
        <f>'src review'!I132</f>
        <v/>
      </c>
      <c r="H114" s="61" t="n">
        <v>0</v>
      </c>
      <c r="I114" s="238">
        <f>'src review'!J132</f>
        <v/>
      </c>
      <c r="J114" s="61" t="n">
        <v>10</v>
      </c>
      <c r="K114" s="61" t="n">
        <v>0</v>
      </c>
      <c r="L114" t="inlineStr">
        <is>
          <t>&gt;1000C</t>
        </is>
      </c>
      <c r="M114" t="n">
        <v>0.587</v>
      </c>
      <c r="N114" t="inlineStr">
        <is>
          <t>Cement (239)</t>
        </is>
      </c>
      <c r="O114" t="n">
        <v>0.8492</v>
      </c>
      <c r="P114" t="inlineStr">
        <is>
          <t>3 proc</t>
        </is>
      </c>
      <c r="Q114" t="inlineStr">
        <is>
          <t>Adjustable-speed drives (motor efficiency).</t>
        </is>
      </c>
      <c r="R114" t="n">
        <v>0</v>
      </c>
      <c r="S114" t="n">
        <v>0</v>
      </c>
      <c r="T114" t="n">
        <v>0</v>
      </c>
      <c r="U114" t="n">
        <v>1</v>
      </c>
    </row>
    <row r="115" ht="15.65" customHeight="1" thickBot="1" thickTop="1">
      <c r="A115" s="106" t="inlineStr">
        <is>
          <t>Secondary aluminum</t>
        </is>
      </c>
      <c r="B115" s="106" t="inlineStr">
        <is>
          <t>Induction furnacesa</t>
        </is>
      </c>
      <c r="C115" s="107" t="n">
        <v>0.1</v>
      </c>
      <c r="D115" s="107" t="n">
        <v>0.2</v>
      </c>
      <c r="E115" s="107" t="n">
        <v>0.9</v>
      </c>
      <c r="F115" s="108" t="n">
        <v>3.3</v>
      </c>
      <c r="G115" s="108" t="n">
        <v>-2.1</v>
      </c>
      <c r="H115" s="108" t="n">
        <v>0</v>
      </c>
      <c r="I115" s="108" t="n">
        <v>165</v>
      </c>
      <c r="J115" s="108" t="n">
        <v>20</v>
      </c>
      <c r="K115" s="108" t="n">
        <v>0</v>
      </c>
      <c r="L115" s="85" t="inlineStr">
        <is>
          <t>500-1000C</t>
        </is>
      </c>
      <c r="M115" s="85" t="n">
        <v>0.174</v>
      </c>
      <c r="N115" s="85" t="inlineStr">
        <is>
          <t>Other metals (242)</t>
        </is>
      </c>
      <c r="O115" s="85" t="n">
        <v>0.6089</v>
      </c>
      <c r="P115" s="85" t="inlineStr">
        <is>
          <t>X fuel-switch</t>
        </is>
      </c>
      <c r="Q115" s="85" t="inlineStr">
        <is>
          <t>Fuel-switching / electrification / H2 / heat-pump / low-carbon feedstock. Out of scope — handled in electrification/H2 files (G0.1 ruling).</t>
        </is>
      </c>
      <c r="R115" s="85" t="n">
        <v>1</v>
      </c>
      <c r="S115" s="85" t="n">
        <v>0</v>
      </c>
      <c r="T115" s="85" t="n">
        <v>0</v>
      </c>
      <c r="U115" s="85" t="n">
        <v>1</v>
      </c>
      <c r="V115" s="85" t="n"/>
    </row>
    <row r="116" ht="15" customHeight="1" thickBot="1">
      <c r="A116" s="106" t="inlineStr">
        <is>
          <t>Aluminum foundries</t>
        </is>
      </c>
      <c r="B116" s="106" t="inlineStr">
        <is>
          <t>Induction furnacesa,b</t>
        </is>
      </c>
      <c r="C116" s="107" t="n">
        <v>0.1</v>
      </c>
      <c r="D116" s="107" t="n">
        <v>0.2</v>
      </c>
      <c r="E116" s="107" t="n">
        <v>0.9</v>
      </c>
      <c r="F116" s="108" t="n">
        <v>5.7</v>
      </c>
      <c r="G116" s="108" t="n">
        <v>-3.6</v>
      </c>
      <c r="H116" s="108" t="n">
        <v>0</v>
      </c>
      <c r="I116" s="108" t="n">
        <v>165</v>
      </c>
      <c r="J116" s="108" t="n">
        <v>20</v>
      </c>
      <c r="K116" s="108" t="n">
        <v>0</v>
      </c>
      <c r="L116" s="85" t="inlineStr">
        <is>
          <t>500-1000C</t>
        </is>
      </c>
      <c r="M116" s="85" t="n">
        <v>0.174</v>
      </c>
      <c r="N116" s="85" t="inlineStr">
        <is>
          <t>Other metals (242)</t>
        </is>
      </c>
      <c r="O116" s="85" t="n">
        <v>0.6089</v>
      </c>
      <c r="P116" s="85" t="inlineStr">
        <is>
          <t>X fuel-switch</t>
        </is>
      </c>
      <c r="Q116" s="85" t="inlineStr">
        <is>
          <t>Fuel-switching / electrification / H2 / heat-pump / low-carbon feedstock. Out of scope — handled in electrification/H2 files (G0.1 ruling).</t>
        </is>
      </c>
      <c r="R116" s="85" t="n">
        <v>1</v>
      </c>
      <c r="S116" s="85" t="n">
        <v>0</v>
      </c>
      <c r="T116" s="85" t="n">
        <v>0</v>
      </c>
      <c r="U116" s="85" t="n">
        <v>1</v>
      </c>
      <c r="V116" s="85" t="n"/>
    </row>
    <row r="117" ht="15" customHeight="1" thickBot="1">
      <c r="A117" s="109" t="inlineStr">
        <is>
          <t>Primary aluminum</t>
        </is>
      </c>
      <c r="B117" s="109" t="inlineStr">
        <is>
          <t>Inert Anodesc</t>
        </is>
      </c>
      <c r="C117" s="83" t="n">
        <v>0</v>
      </c>
      <c r="D117" s="83" t="n">
        <v>0.05</v>
      </c>
      <c r="E117" s="83" t="n">
        <v>0.9</v>
      </c>
      <c r="F117" s="84" t="n">
        <v>0</v>
      </c>
      <c r="G117" s="84" t="n">
        <v>3.6</v>
      </c>
      <c r="H117" s="84" t="n">
        <v>0</v>
      </c>
      <c r="I117" s="84" t="n">
        <v>86</v>
      </c>
      <c r="J117" s="84" t="n">
        <v>20</v>
      </c>
      <c r="K117" s="84" t="n">
        <v>0</v>
      </c>
      <c r="L117" s="85" t="inlineStr">
        <is>
          <t>&gt;1000C</t>
        </is>
      </c>
      <c r="M117" s="85" t="n">
        <v>0.587</v>
      </c>
      <c r="N117" s="85" t="inlineStr">
        <is>
          <t>Other metals (242)</t>
        </is>
      </c>
      <c r="O117" s="85" t="n">
        <v>0.6089</v>
      </c>
      <c r="P117" s="85" t="inlineStr">
        <is>
          <t>X fuel-switch</t>
        </is>
      </c>
      <c r="Q117" s="85" t="inlineStr">
        <is>
          <t>Fuel-switching / electrification / H2 / heat-pump / low-carbon feedstock. Out of scope — handled in electrification/H2 files (G0.1 ruling).</t>
        </is>
      </c>
      <c r="R117" s="85" t="n">
        <v>0</v>
      </c>
      <c r="S117" s="85" t="n">
        <v>1</v>
      </c>
      <c r="T117" s="85" t="n">
        <v>0</v>
      </c>
      <c r="U117" s="85" t="n">
        <v>0.9</v>
      </c>
      <c r="V117" s="85" t="n"/>
    </row>
    <row r="118" ht="15" customHeight="1" thickBot="1">
      <c r="A118" s="90" t="inlineStr">
        <is>
          <t>Primary aluminum</t>
        </is>
      </c>
      <c r="B118" s="90" t="inlineStr">
        <is>
          <t>Wetted Cathodec</t>
        </is>
      </c>
      <c r="C118" s="91" t="n">
        <v>0</v>
      </c>
      <c r="D118" s="91" t="n">
        <v>0.05</v>
      </c>
      <c r="E118" s="91" t="n">
        <v>0.9</v>
      </c>
      <c r="F118" s="92" t="n">
        <v>0</v>
      </c>
      <c r="G118" s="92" t="n">
        <v>7.3</v>
      </c>
      <c r="H118" s="92" t="n">
        <v>0</v>
      </c>
      <c r="I118" s="92" t="n">
        <v>524</v>
      </c>
      <c r="J118" s="92" t="n">
        <v>20</v>
      </c>
      <c r="K118" s="92" t="n">
        <v>0</v>
      </c>
      <c r="L118" s="85" t="inlineStr">
        <is>
          <t>&gt;1000C</t>
        </is>
      </c>
      <c r="M118" s="85" t="n">
        <v>0.587</v>
      </c>
      <c r="N118" s="85" t="inlineStr">
        <is>
          <t>Other metals (242)</t>
        </is>
      </c>
      <c r="O118" s="85" t="n">
        <v>0.6089</v>
      </c>
      <c r="P118" s="85" t="inlineStr">
        <is>
          <t>X fuel-switch</t>
        </is>
      </c>
      <c r="Q118" s="85" t="inlineStr">
        <is>
          <t>Fuel-switching / electrification / H2 / heat-pump / low-carbon feedstock. Out of scope — handled in electrification/H2 files (G0.1 ruling).</t>
        </is>
      </c>
      <c r="R118" s="85" t="n">
        <v>0</v>
      </c>
      <c r="S118" s="85" t="n">
        <v>1</v>
      </c>
      <c r="T118" s="85" t="n">
        <v>0</v>
      </c>
      <c r="U118" s="85" t="n">
        <v>0.9</v>
      </c>
      <c r="V118" s="85" t="n"/>
    </row>
    <row r="119" ht="15" customHeight="1" thickBot="1">
      <c r="A119" s="110" t="inlineStr">
        <is>
          <t>Primary aluminum</t>
        </is>
      </c>
      <c r="B119" s="110" t="inlineStr">
        <is>
          <t>Lower the electrolysis temperatured</t>
        </is>
      </c>
      <c r="C119" s="111" t="n">
        <v>0</v>
      </c>
      <c r="D119" s="111" t="n">
        <v>0.05</v>
      </c>
      <c r="E119" s="111" t="n">
        <v>1</v>
      </c>
      <c r="F119" s="112" t="n">
        <v>0</v>
      </c>
      <c r="G119" s="112" t="n">
        <v>4.5</v>
      </c>
      <c r="H119" s="112" t="n">
        <v>0</v>
      </c>
      <c r="I119" s="112" t="n">
        <v>0</v>
      </c>
      <c r="J119" s="112" t="n">
        <v>10</v>
      </c>
      <c r="K119" s="112" t="n">
        <v>75</v>
      </c>
      <c r="L119" s="85" t="inlineStr">
        <is>
          <t>&gt;1000C</t>
        </is>
      </c>
      <c r="M119" s="85" t="n">
        <v>0.587</v>
      </c>
      <c r="N119" s="85" t="inlineStr">
        <is>
          <t>Other metals (242)</t>
        </is>
      </c>
      <c r="O119" s="85" t="n">
        <v>0.6089</v>
      </c>
      <c r="P119" s="85" t="inlineStr">
        <is>
          <t>X fuel-switch</t>
        </is>
      </c>
      <c r="Q119" s="85" t="inlineStr">
        <is>
          <t>Fuel-switching / electrification / H2 / heat-pump / low-carbon feedstock. Out of scope — handled in electrification/H2 files (G0.1 ruling).</t>
        </is>
      </c>
      <c r="R119" s="85" t="n">
        <v>0</v>
      </c>
      <c r="S119" s="85" t="n">
        <v>1</v>
      </c>
      <c r="T119" s="85" t="n">
        <v>0</v>
      </c>
      <c r="U119" s="85" t="n">
        <v>1</v>
      </c>
      <c r="V119" s="85" t="n"/>
    </row>
    <row r="120" ht="15.65" customHeight="1" thickBot="1" thickTop="1">
      <c r="A120" s="106" t="inlineStr">
        <is>
          <t>Rolled steel</t>
        </is>
      </c>
      <c r="B120" s="106" t="inlineStr">
        <is>
          <t>Integration of casting and rolling (thin slab strip casting)a</t>
        </is>
      </c>
      <c r="C120" s="107" t="n">
        <v>0.15</v>
      </c>
      <c r="D120" s="107" t="n">
        <v>0.65</v>
      </c>
      <c r="E120" s="107" t="n">
        <v>0.75</v>
      </c>
      <c r="F120" s="108" t="n">
        <v>0.7</v>
      </c>
      <c r="G120" s="108" t="n">
        <v>0</v>
      </c>
      <c r="H120" s="108" t="n">
        <v>0</v>
      </c>
      <c r="I120" s="108" t="n">
        <v>7</v>
      </c>
      <c r="J120" s="108" t="n">
        <v>20</v>
      </c>
      <c r="K120" s="108" t="n">
        <v>0</v>
      </c>
      <c r="L120" s="85" t="inlineStr">
        <is>
          <t>500-1000C</t>
        </is>
      </c>
      <c r="M120" s="85" t="n">
        <v>0.174</v>
      </c>
      <c r="N120" s="85" t="inlineStr">
        <is>
          <t>Iron &amp; steel (241)</t>
        </is>
      </c>
      <c r="O120" s="85" t="n">
        <v>0.6516</v>
      </c>
      <c r="P120" s="85" t="inlineStr">
        <is>
          <t>X fuel-switch</t>
        </is>
      </c>
      <c r="Q120" s="85" t="inlineStr">
        <is>
          <t>Fuel-switching / electrification / H2 / heat-pump / low-carbon feedstock. Out of scope — handled in electrification/H2 files (G0.1 ruling).</t>
        </is>
      </c>
      <c r="R120" s="85" t="n">
        <v>1</v>
      </c>
      <c r="S120" s="85" t="n">
        <v>0</v>
      </c>
      <c r="T120" s="85" t="n">
        <v>0</v>
      </c>
      <c r="U120" s="85" t="n">
        <v>0.9</v>
      </c>
      <c r="V120" s="85" t="n"/>
    </row>
    <row r="121">
      <c r="A121" s="90" t="inlineStr">
        <is>
          <t>BF/BOF steel</t>
        </is>
      </c>
      <c r="B121" s="90" t="inlineStr">
        <is>
          <t>DR electrolysis (Ulcowin, Siderwin, Ulcolysis)b</t>
        </is>
      </c>
      <c r="C121" s="91" t="n">
        <v>0</v>
      </c>
      <c r="D121" s="91" t="n">
        <v>0</v>
      </c>
      <c r="E121" s="91" t="n">
        <v>1</v>
      </c>
      <c r="F121" s="92" t="n">
        <v>18.9</v>
      </c>
      <c r="G121" s="92" t="n">
        <v>-12.7</v>
      </c>
      <c r="H121" s="92" t="n">
        <v>0</v>
      </c>
      <c r="I121" s="92" t="n">
        <v>464</v>
      </c>
      <c r="J121" s="92" t="n">
        <v>20</v>
      </c>
      <c r="K121" s="92" t="n">
        <v>0</v>
      </c>
      <c r="L121" s="85" t="inlineStr">
        <is>
          <t>&gt;1000C</t>
        </is>
      </c>
      <c r="M121" s="85" t="n">
        <v>0.587</v>
      </c>
      <c r="N121" s="85" t="inlineStr">
        <is>
          <t>Iron &amp; steel (241)</t>
        </is>
      </c>
      <c r="O121" s="85" t="n">
        <v>0.6516</v>
      </c>
      <c r="P121" s="85" t="inlineStr">
        <is>
          <t>X fuel-switch</t>
        </is>
      </c>
      <c r="Q121" s="85" t="inlineStr">
        <is>
          <t>Fuel-switching / electrification / H2 / heat-pump / low-carbon feedstock. Out of scope — handled in electrification/H2 files (G0.1 ruling).</t>
        </is>
      </c>
      <c r="R121" s="85" t="n">
        <v>1</v>
      </c>
      <c r="S121" s="85" t="n">
        <v>0</v>
      </c>
      <c r="T121" s="85" t="n">
        <v>0</v>
      </c>
      <c r="U121" s="85" t="n">
        <v>1</v>
      </c>
      <c r="V121" s="85" t="n"/>
    </row>
    <row r="122" ht="15" customHeight="1" thickBot="1">
      <c r="A122" s="106" t="inlineStr">
        <is>
          <t>BF/BOF steel</t>
        </is>
      </c>
      <c r="B122" s="106" t="inlineStr">
        <is>
          <t>DR RES H2+EAFb</t>
        </is>
      </c>
      <c r="C122" s="107" t="n">
        <v>0</v>
      </c>
      <c r="D122" s="107" t="n">
        <v>0</v>
      </c>
      <c r="E122" s="107" t="n">
        <v>1</v>
      </c>
      <c r="F122" s="108" t="n">
        <v>15.2</v>
      </c>
      <c r="G122" s="108" t="n">
        <v>0.8</v>
      </c>
      <c r="H122" s="108" t="n">
        <v>-6.9</v>
      </c>
      <c r="I122" s="108" t="n">
        <v>266</v>
      </c>
      <c r="J122" s="108" t="n">
        <v>20</v>
      </c>
      <c r="K122" s="108" t="n">
        <v>0</v>
      </c>
      <c r="L122" s="85" t="inlineStr">
        <is>
          <t>&gt;1000C</t>
        </is>
      </c>
      <c r="M122" s="85" t="n">
        <v>0.587</v>
      </c>
      <c r="N122" s="85" t="inlineStr">
        <is>
          <t>Iron &amp; steel (241)</t>
        </is>
      </c>
      <c r="O122" s="85" t="n">
        <v>0.6516</v>
      </c>
      <c r="P122" s="85" t="inlineStr">
        <is>
          <t>X fuel-switch</t>
        </is>
      </c>
      <c r="Q122" s="85" t="inlineStr">
        <is>
          <t>Fuel-switching / electrification / H2 / heat-pump / low-carbon feedstock. Out of scope — handled in electrification/H2 files (G0.1 ruling).</t>
        </is>
      </c>
      <c r="R122" s="85" t="n">
        <v>0.95</v>
      </c>
      <c r="S122" s="85" t="n">
        <v>0.05</v>
      </c>
      <c r="T122" s="85" t="n">
        <v>0</v>
      </c>
      <c r="U122" s="85" t="n">
        <v>1</v>
      </c>
      <c r="V122" s="85" t="n"/>
    </row>
    <row r="123" ht="15" customHeight="1" thickBot="1">
      <c r="A123" s="106" t="inlineStr">
        <is>
          <t>Coke oven</t>
        </is>
      </c>
      <c r="B123" s="106" t="inlineStr">
        <is>
          <t>Coke dry quenchingc</t>
        </is>
      </c>
      <c r="C123" s="107" t="n">
        <v>0</v>
      </c>
      <c r="D123" s="107" t="n">
        <v>0.03</v>
      </c>
      <c r="E123" s="107" t="n">
        <v>1</v>
      </c>
      <c r="F123" s="108" t="n">
        <v>1.4</v>
      </c>
      <c r="G123" s="108" t="n">
        <v>0</v>
      </c>
      <c r="H123" s="108" t="n">
        <v>0</v>
      </c>
      <c r="I123" s="108" t="n">
        <v>44</v>
      </c>
      <c r="J123" s="108" t="n">
        <v>18</v>
      </c>
      <c r="K123" s="108" t="n">
        <v>0</v>
      </c>
      <c r="L123" s="85" t="inlineStr">
        <is>
          <t>&gt;1000C</t>
        </is>
      </c>
      <c r="M123" s="85" t="n">
        <v>0.587</v>
      </c>
      <c r="N123" s="85" t="inlineStr">
        <is>
          <t>Iron &amp; steel (241)</t>
        </is>
      </c>
      <c r="O123" s="85" t="n">
        <v>0.6516</v>
      </c>
      <c r="P123" s="85" t="inlineStr">
        <is>
          <t>X fuel-switch</t>
        </is>
      </c>
      <c r="Q123" s="85" t="inlineStr">
        <is>
          <t>Fuel-switching / electrification / H2 / heat-pump / low-carbon feedstock. Out of scope — handled in electrification/H2 files (G0.1 ruling).</t>
        </is>
      </c>
      <c r="R123" s="85" t="n">
        <v>1</v>
      </c>
      <c r="S123" s="85" t="n">
        <v>0</v>
      </c>
      <c r="T123" s="85" t="n">
        <v>0</v>
      </c>
      <c r="U123" s="85" t="n">
        <v>1</v>
      </c>
      <c r="V123" s="85" t="n"/>
    </row>
    <row r="124" ht="15" customHeight="1" thickBot="1">
      <c r="A124" s="113" t="inlineStr">
        <is>
          <t>Pig iron</t>
        </is>
      </c>
      <c r="B124" s="113" t="inlineStr">
        <is>
          <t>Top gas recyclingc</t>
        </is>
      </c>
      <c r="C124" s="114" t="n">
        <v>0</v>
      </c>
      <c r="D124" s="114" t="n">
        <v>0.09</v>
      </c>
      <c r="E124" s="114" t="n">
        <v>0.99</v>
      </c>
      <c r="F124" s="115" t="n">
        <v>1.2</v>
      </c>
      <c r="G124" s="115" t="n">
        <v>0</v>
      </c>
      <c r="H124" s="115" t="n">
        <v>0</v>
      </c>
      <c r="I124" s="115" t="n">
        <v>87</v>
      </c>
      <c r="J124" s="115" t="n">
        <v>20</v>
      </c>
      <c r="K124" s="115" t="n">
        <v>0</v>
      </c>
      <c r="L124" s="85" t="inlineStr">
        <is>
          <t>&gt;1000C</t>
        </is>
      </c>
      <c r="M124" s="85" t="n">
        <v>0.587</v>
      </c>
      <c r="N124" s="85" t="inlineStr">
        <is>
          <t>Iron &amp; steel (241)</t>
        </is>
      </c>
      <c r="O124" s="85" t="n">
        <v>0.6516</v>
      </c>
      <c r="P124" s="85" t="inlineStr">
        <is>
          <t>X fuel-switch</t>
        </is>
      </c>
      <c r="Q124" s="85" t="inlineStr">
        <is>
          <t>Fuel-switching / electrification / H2 / heat-pump / low-carbon feedstock. Out of scope — handled in electrification/H2 files (G0.1 ruling).</t>
        </is>
      </c>
      <c r="R124" s="85" t="n">
        <v>1</v>
      </c>
      <c r="S124" s="85" t="n">
        <v>0</v>
      </c>
      <c r="T124" s="85" t="n">
        <v>0</v>
      </c>
      <c r="U124" s="85" t="n">
        <v>0.99</v>
      </c>
      <c r="V124" s="85" t="n"/>
    </row>
    <row r="125" ht="15" customHeight="1" thickTop="1">
      <c r="A125" s="116" t="inlineStr">
        <is>
          <t>Container glass</t>
        </is>
      </c>
      <c r="B125" s="116" t="inlineStr">
        <is>
          <t>Electric meltersa</t>
        </is>
      </c>
      <c r="C125" s="117" t="n">
        <v>0.01</v>
      </c>
      <c r="D125" s="117" t="n">
        <v>0.09</v>
      </c>
      <c r="E125" s="117" t="n">
        <v>0.79</v>
      </c>
      <c r="F125" s="118" t="n">
        <v>5.2</v>
      </c>
      <c r="G125" s="118" t="n">
        <v>-2.9</v>
      </c>
      <c r="H125" s="118" t="n">
        <v>0</v>
      </c>
      <c r="I125" s="118" t="n">
        <v>300</v>
      </c>
      <c r="J125" s="118" t="n">
        <v>20</v>
      </c>
      <c r="K125" s="118" t="n">
        <v>0</v>
      </c>
      <c r="L125" s="85" t="inlineStr">
        <is>
          <t>&gt;1000C</t>
        </is>
      </c>
      <c r="M125" s="85" t="n">
        <v>0.587</v>
      </c>
      <c r="N125" s="85" t="inlineStr">
        <is>
          <t>Glass (231)</t>
        </is>
      </c>
      <c r="O125" s="85" t="n">
        <v>0.7514</v>
      </c>
      <c r="P125" s="85" t="inlineStr">
        <is>
          <t>X fuel-switch</t>
        </is>
      </c>
      <c r="Q125" s="85" t="inlineStr">
        <is>
          <t>Fuel-switching / electrification / H2 / heat-pump / low-carbon feedstock. Out of scope — handled in electrification/H2 files (G0.1 ruling).</t>
        </is>
      </c>
      <c r="R125" s="85" t="n">
        <v>1</v>
      </c>
      <c r="S125" s="85" t="n">
        <v>0</v>
      </c>
      <c r="T125" s="85" t="n">
        <v>0</v>
      </c>
      <c r="U125" s="85" t="n">
        <v>0.8</v>
      </c>
      <c r="V125" s="85" t="n"/>
    </row>
    <row r="126" ht="15" customHeight="1" thickBot="1">
      <c r="A126" s="106" t="inlineStr">
        <is>
          <t>Container glass</t>
        </is>
      </c>
      <c r="B126" s="106" t="inlineStr">
        <is>
          <t>Fast response</t>
        </is>
      </c>
      <c r="C126" s="107" t="n">
        <v>0</v>
      </c>
      <c r="D126" s="107" t="n">
        <v>0.18</v>
      </c>
      <c r="E126" s="107" t="n">
        <v>0.48</v>
      </c>
      <c r="F126" s="108" t="n">
        <v>0.45</v>
      </c>
      <c r="G126" s="108" t="n">
        <v>0.1</v>
      </c>
      <c r="H126" s="108" t="n">
        <v>0</v>
      </c>
      <c r="I126" s="108" t="n">
        <v>10</v>
      </c>
      <c r="J126" s="108" t="n">
        <v>10</v>
      </c>
      <c r="K126" s="108" t="n">
        <v>0</v>
      </c>
      <c r="L126" s="85" t="inlineStr">
        <is>
          <t>&gt;1000C</t>
        </is>
      </c>
      <c r="M126" s="85" t="n">
        <v>0.587</v>
      </c>
      <c r="N126" s="85" t="inlineStr">
        <is>
          <t>Glass (231)</t>
        </is>
      </c>
      <c r="O126" s="85" t="n">
        <v>0.7514</v>
      </c>
      <c r="P126" s="85" t="inlineStr">
        <is>
          <t>X fuel-switch</t>
        </is>
      </c>
      <c r="Q126" s="85" t="inlineStr">
        <is>
          <t>Fuel-switching / electrification / H2 / heat-pump / low-carbon feedstock. Out of scope — handled in electrification/H2 files (G0.1 ruling).</t>
        </is>
      </c>
      <c r="R126" s="85" t="n">
        <v>0.818181818181818</v>
      </c>
      <c r="S126" s="85" t="n">
        <v>0.181818181818182</v>
      </c>
      <c r="T126" s="85" t="n">
        <v>0</v>
      </c>
      <c r="U126" s="85" t="n">
        <v>0.48</v>
      </c>
      <c r="V126" s="85" t="n"/>
    </row>
    <row r="127">
      <c r="A127" s="90" t="inlineStr">
        <is>
          <t>Flat glass</t>
        </is>
      </c>
      <c r="B127" s="90" t="inlineStr">
        <is>
          <t>Electric meltersa</t>
        </is>
      </c>
      <c r="C127" s="91" t="n">
        <v>0.01</v>
      </c>
      <c r="D127" s="91" t="n">
        <v>0.09</v>
      </c>
      <c r="E127" s="91" t="n">
        <v>0.79</v>
      </c>
      <c r="F127" s="92" t="n">
        <v>7.5</v>
      </c>
      <c r="G127" s="92" t="n">
        <v>-2.9</v>
      </c>
      <c r="H127" s="92" t="n">
        <v>0</v>
      </c>
      <c r="I127" s="92" t="n">
        <v>300</v>
      </c>
      <c r="J127" s="92" t="n">
        <v>20</v>
      </c>
      <c r="K127" s="92" t="n">
        <v>0</v>
      </c>
      <c r="L127" s="85" t="inlineStr">
        <is>
          <t>&gt;1000C</t>
        </is>
      </c>
      <c r="M127" s="85" t="n">
        <v>0.587</v>
      </c>
      <c r="N127" s="85" t="inlineStr">
        <is>
          <t>Glass (231)</t>
        </is>
      </c>
      <c r="O127" s="85" t="n">
        <v>0.7514</v>
      </c>
      <c r="P127" s="85" t="inlineStr">
        <is>
          <t>X fuel-switch</t>
        </is>
      </c>
      <c r="Q127" s="85" t="inlineStr">
        <is>
          <t>Fuel-switching / electrification / H2 / heat-pump / low-carbon feedstock. Out of scope — handled in electrification/H2 files (G0.1 ruling).</t>
        </is>
      </c>
      <c r="R127" s="85" t="n">
        <v>1</v>
      </c>
      <c r="S127" s="85" t="n">
        <v>0</v>
      </c>
      <c r="T127" s="85" t="n">
        <v>0</v>
      </c>
      <c r="U127" s="85" t="n">
        <v>0.8</v>
      </c>
      <c r="V127" s="85" t="n"/>
    </row>
    <row r="128" ht="15" customHeight="1" thickBot="1">
      <c r="A128" s="113" t="inlineStr">
        <is>
          <t>Flat glass</t>
        </is>
      </c>
      <c r="B128" s="113" t="inlineStr">
        <is>
          <t>Fast response</t>
        </is>
      </c>
      <c r="C128" s="114" t="n">
        <v>0</v>
      </c>
      <c r="D128" s="114" t="n">
        <v>0.18</v>
      </c>
      <c r="E128" s="114" t="n">
        <v>0.48</v>
      </c>
      <c r="F128" s="115" t="n">
        <v>0.86</v>
      </c>
      <c r="G128" s="115" t="n">
        <v>-0.1</v>
      </c>
      <c r="H128" s="115" t="n">
        <v>0</v>
      </c>
      <c r="I128" s="115" t="n">
        <v>10</v>
      </c>
      <c r="J128" s="115" t="n">
        <v>10</v>
      </c>
      <c r="K128" s="115" t="n">
        <v>0</v>
      </c>
      <c r="L128" s="85" t="inlineStr">
        <is>
          <t>&gt;1000C</t>
        </is>
      </c>
      <c r="M128" s="85" t="n">
        <v>0.587</v>
      </c>
      <c r="N128" s="85" t="inlineStr">
        <is>
          <t>Glass (231)</t>
        </is>
      </c>
      <c r="O128" s="85" t="n">
        <v>0.7514</v>
      </c>
      <c r="P128" s="85" t="inlineStr">
        <is>
          <t>X fuel-switch</t>
        </is>
      </c>
      <c r="Q128" s="85" t="inlineStr">
        <is>
          <t>Fuel-switching / electrification / H2 / heat-pump / low-carbon feedstock. Out of scope — handled in electrification/H2 files (G0.1 ruling).</t>
        </is>
      </c>
      <c r="R128" s="85" t="n">
        <v>1</v>
      </c>
      <c r="S128" s="85" t="n">
        <v>0</v>
      </c>
      <c r="T128" s="85" t="n">
        <v>0</v>
      </c>
      <c r="U128" s="85" t="n">
        <v>0.48</v>
      </c>
      <c r="V128" s="85" t="n"/>
    </row>
    <row r="129" ht="15" customHeight="1" thickTop="1">
      <c r="A129" s="97" t="inlineStr">
        <is>
          <t>Chemical pulp</t>
        </is>
      </c>
      <c r="B129" s="97" t="inlineStr">
        <is>
          <t>Black liquor gasificationa</t>
        </is>
      </c>
      <c r="C129" s="119" t="n">
        <v>0</v>
      </c>
      <c r="D129" s="119" t="n">
        <v>0.09</v>
      </c>
      <c r="E129" s="119" t="n">
        <v>0.79</v>
      </c>
      <c r="F129" s="98" t="n">
        <v>0</v>
      </c>
      <c r="G129" s="92" t="n">
        <v>2</v>
      </c>
      <c r="H129" s="92" t="n">
        <v>0</v>
      </c>
      <c r="I129" s="92" t="n">
        <v>508</v>
      </c>
      <c r="J129" s="92" t="n">
        <v>20</v>
      </c>
      <c r="K129" s="92" t="n">
        <v>5.4</v>
      </c>
      <c r="L129" s="85" t="inlineStr">
        <is>
          <t>100-200C</t>
        </is>
      </c>
      <c r="M129" s="85" t="n">
        <v>0</v>
      </c>
      <c r="N129" s="85" t="inlineStr">
        <is>
          <t>Pulp &amp; paper (17T18)</t>
        </is>
      </c>
      <c r="O129" s="85" t="n">
        <v>0.8551</v>
      </c>
      <c r="P129" s="85" t="inlineStr">
        <is>
          <t>X fuel-switch</t>
        </is>
      </c>
      <c r="Q129" s="85" t="inlineStr">
        <is>
          <t>Fuel-switching / electrification / H2 / heat-pump / low-carbon feedstock. Out of scope — handled in electrification/H2 files (G0.1 ruling).</t>
        </is>
      </c>
      <c r="R129" s="85" t="n">
        <v>0</v>
      </c>
      <c r="S129" s="85" t="n">
        <v>1</v>
      </c>
      <c r="T129" s="85" t="n">
        <v>0</v>
      </c>
      <c r="U129" s="85" t="n">
        <v>0.79</v>
      </c>
      <c r="V129" s="85" t="n"/>
    </row>
    <row r="130">
      <c r="A130" s="97" t="inlineStr">
        <is>
          <t>Chemical pulp</t>
        </is>
      </c>
      <c r="B130" s="97" t="inlineStr">
        <is>
          <t>H2 boilers</t>
        </is>
      </c>
      <c r="C130" s="119" t="n">
        <v>0</v>
      </c>
      <c r="D130" s="119" t="n">
        <v>0.1</v>
      </c>
      <c r="E130" s="119" t="n">
        <v>1</v>
      </c>
      <c r="F130" s="98" t="n">
        <v>10.9</v>
      </c>
      <c r="G130" s="92" t="n">
        <v>0</v>
      </c>
      <c r="H130" s="92" t="n">
        <v>-8.6</v>
      </c>
      <c r="I130" s="92" t="n">
        <v>54</v>
      </c>
      <c r="J130" s="92" t="n">
        <v>25</v>
      </c>
      <c r="K130" s="92" t="n">
        <v>1.2</v>
      </c>
      <c r="L130" s="85" t="inlineStr">
        <is>
          <t>100-200C</t>
        </is>
      </c>
      <c r="M130" s="85" t="n">
        <v>0</v>
      </c>
      <c r="N130" s="85" t="inlineStr">
        <is>
          <t>Pulp &amp; paper (17T18)</t>
        </is>
      </c>
      <c r="O130" s="85" t="n">
        <v>0.8551</v>
      </c>
      <c r="P130" s="85" t="inlineStr">
        <is>
          <t>X fuel-switch</t>
        </is>
      </c>
      <c r="Q130" s="85" t="inlineStr">
        <is>
          <t>Fuel-switching / electrification / H2 / heat-pump / low-carbon feedstock. Out of scope — handled in electrification/H2 files (G0.1 ruling).</t>
        </is>
      </c>
      <c r="R130" s="85" t="n">
        <v>1</v>
      </c>
      <c r="S130" s="85" t="n">
        <v>0</v>
      </c>
      <c r="T130" s="85" t="n">
        <v>0</v>
      </c>
      <c r="U130" s="85" t="n">
        <v>1</v>
      </c>
      <c r="V130" s="85" t="n"/>
    </row>
    <row r="131" ht="15" customHeight="1" thickBot="1">
      <c r="A131" s="120" t="inlineStr">
        <is>
          <t>Chemical pulp</t>
        </is>
      </c>
      <c r="B131" s="120" t="inlineStr">
        <is>
          <t>High temperature heat pump</t>
        </is>
      </c>
      <c r="C131" s="121" t="n">
        <v>0</v>
      </c>
      <c r="D131" s="121" t="n">
        <v>0.1</v>
      </c>
      <c r="E131" s="121" t="n">
        <v>1</v>
      </c>
      <c r="F131" s="122" t="n">
        <v>10.9</v>
      </c>
      <c r="G131" s="108" t="n">
        <v>-2</v>
      </c>
      <c r="H131" s="108" t="n">
        <v>0</v>
      </c>
      <c r="I131" s="108" t="n">
        <v>722</v>
      </c>
      <c r="J131" s="108" t="n">
        <v>15</v>
      </c>
      <c r="K131" s="108" t="n">
        <v>0</v>
      </c>
      <c r="L131" s="85" t="inlineStr">
        <is>
          <t>100-200C</t>
        </is>
      </c>
      <c r="M131" s="85" t="n">
        <v>0</v>
      </c>
      <c r="N131" s="85" t="inlineStr">
        <is>
          <t>Pulp &amp; paper (17T18)</t>
        </is>
      </c>
      <c r="O131" s="85" t="n">
        <v>0.8551</v>
      </c>
      <c r="P131" s="85" t="inlineStr">
        <is>
          <t>X fuel-switch</t>
        </is>
      </c>
      <c r="Q131" s="85" t="inlineStr">
        <is>
          <t>Fuel-switching / electrification / H2 / heat-pump / low-carbon feedstock. Out of scope — handled in electrification/H2 files (G0.1 ruling).</t>
        </is>
      </c>
      <c r="R131" s="85" t="n">
        <v>1</v>
      </c>
      <c r="S131" s="85" t="n">
        <v>0</v>
      </c>
      <c r="T131" s="85" t="n">
        <v>0</v>
      </c>
      <c r="U131" s="85" t="n">
        <v>1</v>
      </c>
      <c r="V131" s="85" t="n"/>
    </row>
    <row r="132">
      <c r="A132" s="97" t="inlineStr">
        <is>
          <t>Mechanical pulp</t>
        </is>
      </c>
      <c r="B132" s="97" t="inlineStr">
        <is>
          <t>Enzymatic pre-treatmentb</t>
        </is>
      </c>
      <c r="C132" s="119" t="n">
        <v>0</v>
      </c>
      <c r="D132" s="119" t="n">
        <v>0.14</v>
      </c>
      <c r="E132" s="119" t="n">
        <v>0.8</v>
      </c>
      <c r="F132" s="98" t="n">
        <v>0</v>
      </c>
      <c r="G132" s="92" t="n">
        <v>1.9</v>
      </c>
      <c r="H132" s="92" t="n">
        <v>0</v>
      </c>
      <c r="I132" s="92" t="n">
        <v>501</v>
      </c>
      <c r="J132" s="92" t="n">
        <v>15</v>
      </c>
      <c r="K132" s="92" t="n">
        <v>3.2</v>
      </c>
      <c r="L132" s="85" t="inlineStr">
        <is>
          <t>100-200C</t>
        </is>
      </c>
      <c r="M132" s="85" t="n">
        <v>0</v>
      </c>
      <c r="N132" s="85" t="inlineStr">
        <is>
          <t>Pulp &amp; paper (17T18)</t>
        </is>
      </c>
      <c r="O132" s="85" t="n">
        <v>0.8551</v>
      </c>
      <c r="P132" s="85" t="inlineStr">
        <is>
          <t>X fuel-switch</t>
        </is>
      </c>
      <c r="Q132" s="85" t="inlineStr">
        <is>
          <t>Fuel-switching / electrification / H2 / heat-pump / low-carbon feedstock. Out of scope — handled in electrification/H2 files (G0.1 ruling).</t>
        </is>
      </c>
      <c r="R132" s="85" t="n">
        <v>0</v>
      </c>
      <c r="S132" s="85" t="n">
        <v>1</v>
      </c>
      <c r="T132" s="85" t="n">
        <v>0</v>
      </c>
      <c r="U132" s="85" t="n">
        <v>0.8</v>
      </c>
      <c r="V132" s="85" t="n"/>
    </row>
    <row r="133">
      <c r="A133" s="97" t="inlineStr">
        <is>
          <t>Mechanical pulp</t>
        </is>
      </c>
      <c r="B133" s="97" t="inlineStr">
        <is>
          <t>High efficiency grinding GWb</t>
        </is>
      </c>
      <c r="C133" s="119" t="n">
        <v>0</v>
      </c>
      <c r="D133" s="119" t="n">
        <v>0.46</v>
      </c>
      <c r="E133" s="119" t="n">
        <v>1</v>
      </c>
      <c r="F133" s="98" t="n">
        <v>0</v>
      </c>
      <c r="G133" s="92" t="n">
        <v>2.6</v>
      </c>
      <c r="H133" s="92" t="n">
        <v>0</v>
      </c>
      <c r="I133" s="92" t="n">
        <v>407</v>
      </c>
      <c r="J133" s="92" t="n">
        <v>5</v>
      </c>
      <c r="K133" s="92" t="n">
        <v>0</v>
      </c>
      <c r="L133" s="85" t="inlineStr">
        <is>
          <t>100-200C</t>
        </is>
      </c>
      <c r="M133" s="85" t="n">
        <v>0</v>
      </c>
      <c r="N133" s="85" t="inlineStr">
        <is>
          <t>Pulp &amp; paper (17T18)</t>
        </is>
      </c>
      <c r="O133" s="85" t="n">
        <v>0.8551</v>
      </c>
      <c r="P133" s="85" t="inlineStr">
        <is>
          <t>X fuel-switch</t>
        </is>
      </c>
      <c r="Q133" s="85" t="inlineStr">
        <is>
          <t>Fuel-switching / electrification / H2 / heat-pump / low-carbon feedstock. Out of scope — handled in electrification/H2 files (G0.1 ruling).</t>
        </is>
      </c>
      <c r="R133" s="85" t="n">
        <v>0</v>
      </c>
      <c r="S133" s="85" t="n">
        <v>1</v>
      </c>
      <c r="T133" s="85" t="n">
        <v>0</v>
      </c>
      <c r="U133" s="85" t="n">
        <v>1</v>
      </c>
      <c r="V133" s="85" t="n"/>
    </row>
    <row r="134">
      <c r="A134" s="97" t="inlineStr">
        <is>
          <t>Mechanical pulp</t>
        </is>
      </c>
      <c r="B134" s="97" t="inlineStr">
        <is>
          <t>H2 boilers</t>
        </is>
      </c>
      <c r="C134" s="119" t="n">
        <v>0</v>
      </c>
      <c r="D134" s="119" t="n">
        <v>0.1</v>
      </c>
      <c r="E134" s="119" t="n">
        <v>1</v>
      </c>
      <c r="F134" s="98" t="n">
        <v>2</v>
      </c>
      <c r="G134" s="92" t="n">
        <v>0</v>
      </c>
      <c r="H134" s="92" t="n">
        <v>-1.6</v>
      </c>
      <c r="I134" s="92" t="n">
        <v>10</v>
      </c>
      <c r="J134" s="92" t="n">
        <v>25</v>
      </c>
      <c r="K134" s="92" t="n">
        <v>0.2</v>
      </c>
      <c r="L134" s="85" t="inlineStr">
        <is>
          <t>100-200C</t>
        </is>
      </c>
      <c r="M134" s="85" t="n">
        <v>0</v>
      </c>
      <c r="N134" s="85" t="inlineStr">
        <is>
          <t>Pulp &amp; paper (17T18)</t>
        </is>
      </c>
      <c r="O134" s="85" t="n">
        <v>0.8551</v>
      </c>
      <c r="P134" s="85" t="inlineStr">
        <is>
          <t>X fuel-switch</t>
        </is>
      </c>
      <c r="Q134" s="85" t="inlineStr">
        <is>
          <t>Fuel-switching / electrification / H2 / heat-pump / low-carbon feedstock. Out of scope — handled in electrification/H2 files (G0.1 ruling).</t>
        </is>
      </c>
      <c r="R134" s="85" t="n">
        <v>1</v>
      </c>
      <c r="S134" s="85" t="n">
        <v>0</v>
      </c>
      <c r="T134" s="85" t="n">
        <v>0</v>
      </c>
      <c r="U134" s="85" t="n">
        <v>1</v>
      </c>
      <c r="V134" s="85" t="n"/>
    </row>
    <row r="135" ht="15" customHeight="1" thickBot="1">
      <c r="A135" s="120" t="inlineStr">
        <is>
          <t>Mechanical pulp</t>
        </is>
      </c>
      <c r="B135" s="120" t="inlineStr">
        <is>
          <t>High temperature heat pump</t>
        </is>
      </c>
      <c r="C135" s="121" t="n">
        <v>0</v>
      </c>
      <c r="D135" s="121" t="n">
        <v>0.1</v>
      </c>
      <c r="E135" s="121" t="n">
        <v>1</v>
      </c>
      <c r="F135" s="122" t="n">
        <v>2</v>
      </c>
      <c r="G135" s="108" t="n">
        <v>-0.4</v>
      </c>
      <c r="H135" s="108" t="n">
        <v>0</v>
      </c>
      <c r="I135" s="108" t="n">
        <v>132</v>
      </c>
      <c r="J135" s="108" t="n">
        <v>15</v>
      </c>
      <c r="K135" s="108" t="n">
        <v>0</v>
      </c>
      <c r="L135" s="85" t="inlineStr">
        <is>
          <t>100-200C</t>
        </is>
      </c>
      <c r="M135" s="85" t="n">
        <v>0</v>
      </c>
      <c r="N135" s="85" t="inlineStr">
        <is>
          <t>Pulp &amp; paper (17T18)</t>
        </is>
      </c>
      <c r="O135" s="85" t="n">
        <v>0.8551</v>
      </c>
      <c r="P135" s="85" t="inlineStr">
        <is>
          <t>X fuel-switch</t>
        </is>
      </c>
      <c r="Q135" s="85" t="inlineStr">
        <is>
          <t>Fuel-switching / electrification / H2 / heat-pump / low-carbon feedstock. Out of scope — handled in electrification/H2 files (G0.1 ruling).</t>
        </is>
      </c>
      <c r="R135" s="85" t="n">
        <v>1</v>
      </c>
      <c r="S135" s="85" t="n">
        <v>0</v>
      </c>
      <c r="T135" s="85" t="n">
        <v>0</v>
      </c>
      <c r="U135" s="85" t="n">
        <v>1</v>
      </c>
      <c r="V135" s="85" t="n"/>
    </row>
    <row r="136">
      <c r="A136" s="97" t="inlineStr">
        <is>
          <t>Recovered fibre pulp</t>
        </is>
      </c>
      <c r="B136" s="97" t="inlineStr">
        <is>
          <t>De-Inking flotation optimizationb</t>
        </is>
      </c>
      <c r="C136" s="119" t="n">
        <v>0</v>
      </c>
      <c r="D136" s="119" t="n">
        <v>0.7</v>
      </c>
      <c r="E136" s="119" t="n">
        <v>1</v>
      </c>
      <c r="F136" s="98" t="n">
        <v>0</v>
      </c>
      <c r="G136" s="92" t="n">
        <v>0.1</v>
      </c>
      <c r="H136" s="92" t="n">
        <v>0</v>
      </c>
      <c r="I136" s="92" t="n">
        <v>1</v>
      </c>
      <c r="J136" s="92" t="n">
        <v>15</v>
      </c>
      <c r="K136" s="92" t="n">
        <v>0</v>
      </c>
      <c r="L136" s="85" t="inlineStr">
        <is>
          <t>100-200C</t>
        </is>
      </c>
      <c r="M136" s="85" t="n">
        <v>0</v>
      </c>
      <c r="N136" s="85" t="inlineStr">
        <is>
          <t>Pulp &amp; paper (17T18)</t>
        </is>
      </c>
      <c r="O136" s="85" t="n">
        <v>0.8551</v>
      </c>
      <c r="P136" s="85" t="inlineStr">
        <is>
          <t>X fuel-switch</t>
        </is>
      </c>
      <c r="Q136" s="85" t="inlineStr">
        <is>
          <t>Fuel-switching / electrification / H2 / heat-pump / low-carbon feedstock. Out of scope — handled in electrification/H2 files (G0.1 ruling).</t>
        </is>
      </c>
      <c r="R136" s="85" t="n">
        <v>0</v>
      </c>
      <c r="S136" s="85" t="n">
        <v>1</v>
      </c>
      <c r="T136" s="85" t="n">
        <v>0</v>
      </c>
      <c r="U136" s="85" t="n">
        <v>1</v>
      </c>
      <c r="V136" s="85" t="n"/>
    </row>
    <row r="137">
      <c r="A137" s="97" t="inlineStr">
        <is>
          <t>Recovered fibre pulp</t>
        </is>
      </c>
      <c r="B137" s="97" t="inlineStr">
        <is>
          <t>H2 boilers</t>
        </is>
      </c>
      <c r="C137" s="119" t="n">
        <v>0</v>
      </c>
      <c r="D137" s="119" t="n">
        <v>0.1</v>
      </c>
      <c r="E137" s="119" t="n">
        <v>1</v>
      </c>
      <c r="F137" s="98" t="n">
        <v>0.5</v>
      </c>
      <c r="G137" s="92" t="n">
        <v>0</v>
      </c>
      <c r="H137" s="92" t="n">
        <v>-0.4</v>
      </c>
      <c r="I137" s="92" t="n">
        <v>2.6</v>
      </c>
      <c r="J137" s="92" t="n">
        <v>25</v>
      </c>
      <c r="K137" s="92" t="n">
        <v>0.1</v>
      </c>
      <c r="L137" s="85" t="inlineStr">
        <is>
          <t>100-200C</t>
        </is>
      </c>
      <c r="M137" s="85" t="n">
        <v>0</v>
      </c>
      <c r="N137" s="85" t="inlineStr">
        <is>
          <t>Pulp &amp; paper (17T18)</t>
        </is>
      </c>
      <c r="O137" s="85" t="n">
        <v>0.8551</v>
      </c>
      <c r="P137" s="85" t="inlineStr">
        <is>
          <t>X fuel-switch</t>
        </is>
      </c>
      <c r="Q137" s="85" t="inlineStr">
        <is>
          <t>Fuel-switching / electrification / H2 / heat-pump / low-carbon feedstock. Out of scope — handled in electrification/H2 files (G0.1 ruling).</t>
        </is>
      </c>
      <c r="R137" s="85" t="n">
        <v>1</v>
      </c>
      <c r="S137" s="85" t="n">
        <v>0</v>
      </c>
      <c r="T137" s="85" t="n">
        <v>0</v>
      </c>
      <c r="U137" s="85" t="n">
        <v>1</v>
      </c>
      <c r="V137" s="85" t="n"/>
    </row>
    <row r="138" ht="15" customHeight="1" thickBot="1">
      <c r="A138" s="120" t="inlineStr">
        <is>
          <t>Recovered fibre pulp</t>
        </is>
      </c>
      <c r="B138" s="120" t="inlineStr">
        <is>
          <t>High temperature heat pump</t>
        </is>
      </c>
      <c r="C138" s="121" t="n">
        <v>0</v>
      </c>
      <c r="D138" s="121" t="n">
        <v>0.1</v>
      </c>
      <c r="E138" s="121" t="n">
        <v>1</v>
      </c>
      <c r="F138" s="122" t="n">
        <v>0.5</v>
      </c>
      <c r="G138" s="108" t="n">
        <v>-0.1</v>
      </c>
      <c r="H138" s="108" t="n">
        <v>0</v>
      </c>
      <c r="I138" s="108" t="n">
        <v>35</v>
      </c>
      <c r="J138" s="108" t="n">
        <v>15</v>
      </c>
      <c r="K138" s="108" t="n">
        <v>0</v>
      </c>
      <c r="L138" s="85" t="inlineStr">
        <is>
          <t>100-200C</t>
        </is>
      </c>
      <c r="M138" s="85" t="n">
        <v>0</v>
      </c>
      <c r="N138" s="85" t="inlineStr">
        <is>
          <t>Pulp &amp; paper (17T18)</t>
        </is>
      </c>
      <c r="O138" s="85" t="n">
        <v>0.8551</v>
      </c>
      <c r="P138" s="85" t="inlineStr">
        <is>
          <t>X fuel-switch</t>
        </is>
      </c>
      <c r="Q138" s="85" t="inlineStr">
        <is>
          <t>Fuel-switching / electrification / H2 / heat-pump / low-carbon feedstock. Out of scope — handled in electrification/H2 files (G0.1 ruling).</t>
        </is>
      </c>
      <c r="R138" s="85" t="n">
        <v>1</v>
      </c>
      <c r="S138" s="85" t="n">
        <v>0</v>
      </c>
      <c r="T138" s="85" t="n">
        <v>0</v>
      </c>
      <c r="U138" s="85" t="n">
        <v>1</v>
      </c>
      <c r="V138" s="85" t="n"/>
    </row>
    <row r="139">
      <c r="A139" s="97" t="inlineStr">
        <is>
          <t>Tissue paper</t>
        </is>
      </c>
      <c r="B139" s="97" t="inlineStr">
        <is>
          <t>Chemical modification of fibresa</t>
        </is>
      </c>
      <c r="C139" s="119" t="n">
        <v>0</v>
      </c>
      <c r="D139" s="119" t="n">
        <v>0.09</v>
      </c>
      <c r="E139" s="119" t="n">
        <v>0.8</v>
      </c>
      <c r="F139" s="98" t="n">
        <v>0.2</v>
      </c>
      <c r="G139" s="92" t="n">
        <v>0.16</v>
      </c>
      <c r="H139" s="92" t="n">
        <v>0</v>
      </c>
      <c r="I139" s="92" t="n">
        <v>17</v>
      </c>
      <c r="J139" s="92" t="n">
        <v>20</v>
      </c>
      <c r="K139" s="92" t="n">
        <v>3.5</v>
      </c>
      <c r="L139" s="85" t="inlineStr">
        <is>
          <t>100-200C</t>
        </is>
      </c>
      <c r="M139" s="85" t="n">
        <v>0</v>
      </c>
      <c r="N139" s="85" t="inlineStr">
        <is>
          <t>Pulp &amp; paper (17T18)</t>
        </is>
      </c>
      <c r="O139" s="85" t="n">
        <v>0.8551</v>
      </c>
      <c r="P139" s="85" t="inlineStr">
        <is>
          <t>X fuel-switch</t>
        </is>
      </c>
      <c r="Q139" s="85" t="inlineStr">
        <is>
          <t>Fuel-switching / electrification / H2 / heat-pump / low-carbon feedstock. Out of scope — handled in electrification/H2 files (G0.1 ruling).</t>
        </is>
      </c>
      <c r="R139" s="85" t="n">
        <v>0.555555555555556</v>
      </c>
      <c r="S139" s="85" t="n">
        <v>0.444444444444444</v>
      </c>
      <c r="T139" s="85" t="n">
        <v>0</v>
      </c>
      <c r="U139" s="85" t="n">
        <v>0.8</v>
      </c>
      <c r="V139" s="85" t="n"/>
    </row>
    <row r="140">
      <c r="A140" s="97" t="inlineStr">
        <is>
          <t>Tissue paper</t>
        </is>
      </c>
      <c r="B140" s="97" t="inlineStr">
        <is>
          <t>New drying techniquesb</t>
        </is>
      </c>
      <c r="C140" s="119" t="n">
        <v>0</v>
      </c>
      <c r="D140" s="119" t="n">
        <v>0.06</v>
      </c>
      <c r="E140" s="119" t="n">
        <v>0.96</v>
      </c>
      <c r="F140" s="98" t="n">
        <v>0.7</v>
      </c>
      <c r="G140" s="92" t="n">
        <v>0</v>
      </c>
      <c r="H140" s="92" t="n">
        <v>0</v>
      </c>
      <c r="I140" s="92" t="n">
        <v>91</v>
      </c>
      <c r="J140" s="92" t="n">
        <v>20</v>
      </c>
      <c r="K140" s="92" t="n">
        <v>0</v>
      </c>
      <c r="L140" s="85" t="inlineStr">
        <is>
          <t>100-200C</t>
        </is>
      </c>
      <c r="M140" s="85" t="n">
        <v>0</v>
      </c>
      <c r="N140" s="85" t="inlineStr">
        <is>
          <t>Pulp &amp; paper (17T18)</t>
        </is>
      </c>
      <c r="O140" s="85" t="n">
        <v>0.8551</v>
      </c>
      <c r="P140" s="85" t="inlineStr">
        <is>
          <t>X fuel-switch</t>
        </is>
      </c>
      <c r="Q140" s="85" t="inlineStr">
        <is>
          <t>Fuel-switching / electrification / H2 / heat-pump / low-carbon feedstock. Out of scope — handled in electrification/H2 files (G0.1 ruling).</t>
        </is>
      </c>
      <c r="R140" s="85" t="n">
        <v>1</v>
      </c>
      <c r="S140" s="85" t="n">
        <v>0</v>
      </c>
      <c r="T140" s="85" t="n">
        <v>0</v>
      </c>
      <c r="U140" s="85" t="n">
        <v>0.96</v>
      </c>
      <c r="V140" s="85" t="n"/>
    </row>
    <row r="141">
      <c r="A141" s="97" t="inlineStr">
        <is>
          <t>Tissue paper</t>
        </is>
      </c>
      <c r="B141" s="97" t="inlineStr">
        <is>
          <t>Electric boilers</t>
        </is>
      </c>
      <c r="C141" s="119" t="n">
        <v>0</v>
      </c>
      <c r="D141" s="119" t="n">
        <v>0.01</v>
      </c>
      <c r="E141" s="119" t="n">
        <v>0.07000000000000001</v>
      </c>
      <c r="F141" s="98" t="n">
        <v>7.3</v>
      </c>
      <c r="G141" s="92" t="n">
        <v>-5.5</v>
      </c>
      <c r="H141" s="92" t="n">
        <v>0</v>
      </c>
      <c r="I141" s="92" t="n">
        <v>53</v>
      </c>
      <c r="J141" s="92" t="n">
        <v>15</v>
      </c>
      <c r="K141" s="92" t="n">
        <v>0</v>
      </c>
      <c r="L141" s="85" t="inlineStr">
        <is>
          <t>100-200C</t>
        </is>
      </c>
      <c r="M141" s="85" t="n">
        <v>0</v>
      </c>
      <c r="N141" s="85" t="inlineStr">
        <is>
          <t>Pulp &amp; paper (17T18)</t>
        </is>
      </c>
      <c r="O141" s="85" t="n">
        <v>0.8551</v>
      </c>
      <c r="P141" s="85" t="inlineStr">
        <is>
          <t>X fuel-switch</t>
        </is>
      </c>
      <c r="Q141" s="85" t="inlineStr">
        <is>
          <t>Fuel-switching / electrification / H2 / heat-pump / low-carbon feedstock. Out of scope — handled in electrification/H2 files (G0.1 ruling).</t>
        </is>
      </c>
      <c r="R141" s="85" t="n">
        <v>1</v>
      </c>
      <c r="S141" s="85" t="n">
        <v>0</v>
      </c>
      <c r="T141" s="85" t="n">
        <v>0</v>
      </c>
      <c r="U141" s="85" t="n">
        <v>0.07000000000000001</v>
      </c>
      <c r="V141" s="85" t="n"/>
    </row>
    <row r="142">
      <c r="A142" s="97" t="inlineStr">
        <is>
          <t>Tissue paper</t>
        </is>
      </c>
      <c r="B142" s="97" t="inlineStr">
        <is>
          <t>H2 boilers</t>
        </is>
      </c>
      <c r="C142" s="119" t="n">
        <v>0</v>
      </c>
      <c r="D142" s="119" t="n">
        <v>0.1</v>
      </c>
      <c r="E142" s="119" t="n">
        <v>1</v>
      </c>
      <c r="F142" s="98" t="n">
        <v>7.3</v>
      </c>
      <c r="G142" s="92" t="n">
        <v>0</v>
      </c>
      <c r="H142" s="92" t="n">
        <v>-5.7</v>
      </c>
      <c r="I142" s="92" t="n">
        <v>36</v>
      </c>
      <c r="J142" s="92" t="n">
        <v>25</v>
      </c>
      <c r="K142" s="92" t="n">
        <v>0.8</v>
      </c>
      <c r="L142" s="85" t="inlineStr">
        <is>
          <t>100-200C</t>
        </is>
      </c>
      <c r="M142" s="85" t="n">
        <v>0</v>
      </c>
      <c r="N142" s="85" t="inlineStr">
        <is>
          <t>Pulp &amp; paper (17T18)</t>
        </is>
      </c>
      <c r="O142" s="85" t="n">
        <v>0.8551</v>
      </c>
      <c r="P142" s="85" t="inlineStr">
        <is>
          <t>X fuel-switch</t>
        </is>
      </c>
      <c r="Q142" s="85" t="inlineStr">
        <is>
          <t>Fuel-switching / electrification / H2 / heat-pump / low-carbon feedstock. Out of scope — handled in electrification/H2 files (G0.1 ruling).</t>
        </is>
      </c>
      <c r="R142" s="85" t="n">
        <v>1</v>
      </c>
      <c r="S142" s="85" t="n">
        <v>0</v>
      </c>
      <c r="T142" s="85" t="n">
        <v>0</v>
      </c>
      <c r="U142" s="85" t="n">
        <v>1</v>
      </c>
      <c r="V142" s="85" t="n"/>
    </row>
    <row r="143">
      <c r="A143" s="97" t="inlineStr">
        <is>
          <t>Tissue paper</t>
        </is>
      </c>
      <c r="B143" s="97" t="inlineStr">
        <is>
          <t>Industrial mechanical vapor recompression (MVR)</t>
        </is>
      </c>
      <c r="C143" s="119" t="n">
        <v>0</v>
      </c>
      <c r="D143" s="119" t="n">
        <v>0.01</v>
      </c>
      <c r="E143" s="119" t="n">
        <v>0.05</v>
      </c>
      <c r="F143" s="98" t="n">
        <v>7.3</v>
      </c>
      <c r="G143" s="92" t="n">
        <v>-1.4</v>
      </c>
      <c r="H143" s="92" t="n">
        <v>0</v>
      </c>
      <c r="I143" s="92" t="n">
        <v>77</v>
      </c>
      <c r="J143" s="92" t="n">
        <v>15</v>
      </c>
      <c r="K143" s="92" t="n">
        <v>0</v>
      </c>
      <c r="L143" s="85" t="inlineStr">
        <is>
          <t>100-200C</t>
        </is>
      </c>
      <c r="M143" s="85" t="n">
        <v>0</v>
      </c>
      <c r="N143" s="85" t="inlineStr">
        <is>
          <t>Pulp &amp; paper (17T18)</t>
        </is>
      </c>
      <c r="O143" s="85" t="n">
        <v>0.8551</v>
      </c>
      <c r="P143" s="85" t="inlineStr">
        <is>
          <t>X fuel-switch</t>
        </is>
      </c>
      <c r="Q143" s="85" t="inlineStr">
        <is>
          <t>Fuel-switching / electrification / H2 / heat-pump / low-carbon feedstock. Out of scope — handled in electrification/H2 files (G0.1 ruling).</t>
        </is>
      </c>
      <c r="R143" s="85" t="n">
        <v>1</v>
      </c>
      <c r="S143" s="85" t="n">
        <v>0</v>
      </c>
      <c r="T143" s="85" t="n">
        <v>0</v>
      </c>
      <c r="U143" s="85" t="n">
        <v>0.05</v>
      </c>
      <c r="V143" s="85" t="n"/>
    </row>
    <row r="144" ht="15" customHeight="1" thickBot="1">
      <c r="A144" s="120" t="inlineStr">
        <is>
          <t>Tissue paper</t>
        </is>
      </c>
      <c r="B144" s="120" t="inlineStr">
        <is>
          <t>High temperature heat pump</t>
        </is>
      </c>
      <c r="C144" s="121" t="n">
        <v>0</v>
      </c>
      <c r="D144" s="121" t="n">
        <v>0.09</v>
      </c>
      <c r="E144" s="121" t="n">
        <v>0.88</v>
      </c>
      <c r="F144" s="122" t="n">
        <v>7.3</v>
      </c>
      <c r="G144" s="108" t="n">
        <v>-1.4</v>
      </c>
      <c r="H144" s="108" t="n">
        <v>0</v>
      </c>
      <c r="I144" s="108" t="n">
        <v>480</v>
      </c>
      <c r="J144" s="108" t="n">
        <v>15</v>
      </c>
      <c r="K144" s="108" t="n">
        <v>0</v>
      </c>
      <c r="L144" s="85" t="inlineStr">
        <is>
          <t>100-200C</t>
        </is>
      </c>
      <c r="M144" s="85" t="n">
        <v>0</v>
      </c>
      <c r="N144" s="85" t="inlineStr">
        <is>
          <t>Pulp &amp; paper (17T18)</t>
        </is>
      </c>
      <c r="O144" s="85" t="n">
        <v>0.8551</v>
      </c>
      <c r="P144" s="85" t="inlineStr">
        <is>
          <t>X fuel-switch</t>
        </is>
      </c>
      <c r="Q144" s="85" t="inlineStr">
        <is>
          <t>Fuel-switching / electrification / H2 / heat-pump / low-carbon feedstock. Out of scope — handled in electrification/H2 files (G0.1 ruling).</t>
        </is>
      </c>
      <c r="R144" s="85" t="n">
        <v>1</v>
      </c>
      <c r="S144" s="85" t="n">
        <v>0</v>
      </c>
      <c r="T144" s="85" t="n">
        <v>0</v>
      </c>
      <c r="U144" s="85" t="n">
        <v>0.88</v>
      </c>
      <c r="V144" s="85" t="n"/>
    </row>
    <row r="145">
      <c r="A145" s="97" t="inlineStr">
        <is>
          <t>Graphic paper</t>
        </is>
      </c>
      <c r="B145" s="97" t="inlineStr">
        <is>
          <t>Chemical modification of fibresa</t>
        </is>
      </c>
      <c r="C145" s="119" t="n">
        <v>0</v>
      </c>
      <c r="D145" s="119" t="n">
        <v>0.09</v>
      </c>
      <c r="E145" s="119" t="n">
        <v>0.8</v>
      </c>
      <c r="F145" s="98" t="n">
        <v>0.2</v>
      </c>
      <c r="G145" s="92" t="n">
        <v>0.16</v>
      </c>
      <c r="H145" s="92" t="n">
        <v>0</v>
      </c>
      <c r="I145" s="92" t="n">
        <v>17</v>
      </c>
      <c r="J145" s="92" t="n">
        <v>20</v>
      </c>
      <c r="K145" s="92" t="n">
        <v>3.5</v>
      </c>
      <c r="L145" s="85" t="inlineStr">
        <is>
          <t>100-200C</t>
        </is>
      </c>
      <c r="M145" s="85" t="n">
        <v>0</v>
      </c>
      <c r="N145" s="85" t="inlineStr">
        <is>
          <t>Pulp &amp; paper (17T18)</t>
        </is>
      </c>
      <c r="O145" s="85" t="n">
        <v>0.8551</v>
      </c>
      <c r="P145" s="85" t="inlineStr">
        <is>
          <t>X fuel-switch</t>
        </is>
      </c>
      <c r="Q145" s="85" t="inlineStr">
        <is>
          <t>Fuel-switching / electrification / H2 / heat-pump / low-carbon feedstock. Out of scope — handled in electrification/H2 files (G0.1 ruling).</t>
        </is>
      </c>
      <c r="R145" s="85" t="n">
        <v>0.555555555555556</v>
      </c>
      <c r="S145" s="85" t="n">
        <v>0.444444444444444</v>
      </c>
      <c r="T145" s="85" t="n">
        <v>0</v>
      </c>
      <c r="U145" s="85" t="n">
        <v>0.8</v>
      </c>
      <c r="V145" s="85" t="n"/>
    </row>
    <row r="146">
      <c r="A146" s="97" t="inlineStr">
        <is>
          <t>Graphic paper</t>
        </is>
      </c>
      <c r="B146" s="97" t="inlineStr">
        <is>
          <t>New drying techniquesb</t>
        </is>
      </c>
      <c r="C146" s="119" t="n">
        <v>0</v>
      </c>
      <c r="D146" s="119" t="n">
        <v>0.06</v>
      </c>
      <c r="E146" s="119" t="n">
        <v>0.96</v>
      </c>
      <c r="F146" s="98" t="n">
        <v>0.7</v>
      </c>
      <c r="G146" s="92" t="n">
        <v>0</v>
      </c>
      <c r="H146" s="92" t="n">
        <v>0</v>
      </c>
      <c r="I146" s="92" t="n">
        <v>91</v>
      </c>
      <c r="J146" s="92" t="n">
        <v>20</v>
      </c>
      <c r="K146" s="92" t="n">
        <v>0</v>
      </c>
      <c r="L146" s="85" t="inlineStr">
        <is>
          <t>100-200C</t>
        </is>
      </c>
      <c r="M146" s="85" t="n">
        <v>0</v>
      </c>
      <c r="N146" s="85" t="inlineStr">
        <is>
          <t>Pulp &amp; paper (17T18)</t>
        </is>
      </c>
      <c r="O146" s="85" t="n">
        <v>0.8551</v>
      </c>
      <c r="P146" s="85" t="inlineStr">
        <is>
          <t>X fuel-switch</t>
        </is>
      </c>
      <c r="Q146" s="85" t="inlineStr">
        <is>
          <t>Fuel-switching / electrification / H2 / heat-pump / low-carbon feedstock. Out of scope — handled in electrification/H2 files (G0.1 ruling).</t>
        </is>
      </c>
      <c r="R146" s="85" t="n">
        <v>1</v>
      </c>
      <c r="S146" s="85" t="n">
        <v>0</v>
      </c>
      <c r="T146" s="85" t="n">
        <v>0</v>
      </c>
      <c r="U146" s="85" t="n">
        <v>0.96</v>
      </c>
      <c r="V146" s="85" t="n"/>
    </row>
    <row r="147">
      <c r="A147" s="97" t="inlineStr">
        <is>
          <t>Graphic paper</t>
        </is>
      </c>
      <c r="B147" s="97" t="inlineStr">
        <is>
          <t>Electric boilers</t>
        </is>
      </c>
      <c r="C147" s="119" t="n">
        <v>0</v>
      </c>
      <c r="D147" s="119" t="n">
        <v>0.01</v>
      </c>
      <c r="E147" s="119" t="n">
        <v>0.07000000000000001</v>
      </c>
      <c r="F147" s="98" t="n">
        <v>7.6</v>
      </c>
      <c r="G147" s="92" t="n">
        <v>-5.7</v>
      </c>
      <c r="H147" s="92" t="n">
        <v>0</v>
      </c>
      <c r="I147" s="92" t="n">
        <v>55</v>
      </c>
      <c r="J147" s="92" t="n">
        <v>15</v>
      </c>
      <c r="K147" s="92" t="n">
        <v>0</v>
      </c>
      <c r="L147" s="85" t="inlineStr">
        <is>
          <t>100-200C</t>
        </is>
      </c>
      <c r="M147" s="85" t="n">
        <v>0</v>
      </c>
      <c r="N147" s="85" t="inlineStr">
        <is>
          <t>Pulp &amp; paper (17T18)</t>
        </is>
      </c>
      <c r="O147" s="85" t="n">
        <v>0.8551</v>
      </c>
      <c r="P147" s="85" t="inlineStr">
        <is>
          <t>X fuel-switch</t>
        </is>
      </c>
      <c r="Q147" s="85" t="inlineStr">
        <is>
          <t>Fuel-switching / electrification / H2 / heat-pump / low-carbon feedstock. Out of scope — handled in electrification/H2 files (G0.1 ruling).</t>
        </is>
      </c>
      <c r="R147" s="85" t="n">
        <v>1</v>
      </c>
      <c r="S147" s="85" t="n">
        <v>0</v>
      </c>
      <c r="T147" s="85" t="n">
        <v>0</v>
      </c>
      <c r="U147" s="85" t="n">
        <v>0.07000000000000001</v>
      </c>
      <c r="V147" s="85" t="n"/>
    </row>
    <row r="148">
      <c r="A148" s="97" t="inlineStr">
        <is>
          <t>Graphic paper</t>
        </is>
      </c>
      <c r="B148" s="97" t="inlineStr">
        <is>
          <t>H2 boilers</t>
        </is>
      </c>
      <c r="C148" s="119" t="n">
        <v>0</v>
      </c>
      <c r="D148" s="119" t="n">
        <v>0.1</v>
      </c>
      <c r="E148" s="119" t="n">
        <v>1</v>
      </c>
      <c r="F148" s="98" t="n">
        <v>7.6</v>
      </c>
      <c r="G148" s="92" t="n">
        <v>0</v>
      </c>
      <c r="H148" s="92" t="n">
        <v>-6</v>
      </c>
      <c r="I148" s="92" t="n">
        <v>37</v>
      </c>
      <c r="J148" s="92" t="n">
        <v>25</v>
      </c>
      <c r="K148" s="92" t="n">
        <v>0.8</v>
      </c>
      <c r="L148" s="85" t="inlineStr">
        <is>
          <t>100-200C</t>
        </is>
      </c>
      <c r="M148" s="85" t="n">
        <v>0</v>
      </c>
      <c r="N148" s="85" t="inlineStr">
        <is>
          <t>Pulp &amp; paper (17T18)</t>
        </is>
      </c>
      <c r="O148" s="85" t="n">
        <v>0.8551</v>
      </c>
      <c r="P148" s="85" t="inlineStr">
        <is>
          <t>X fuel-switch</t>
        </is>
      </c>
      <c r="Q148" s="85" t="inlineStr">
        <is>
          <t>Fuel-switching / electrification / H2 / heat-pump / low-carbon feedstock. Out of scope — handled in electrification/H2 files (G0.1 ruling).</t>
        </is>
      </c>
      <c r="R148" s="85" t="n">
        <v>1</v>
      </c>
      <c r="S148" s="85" t="n">
        <v>0</v>
      </c>
      <c r="T148" s="85" t="n">
        <v>0</v>
      </c>
      <c r="U148" s="85" t="n">
        <v>1</v>
      </c>
      <c r="V148" s="85" t="n"/>
    </row>
    <row r="149">
      <c r="A149" s="97" t="inlineStr">
        <is>
          <t>Graphic paper</t>
        </is>
      </c>
      <c r="B149" s="97" t="inlineStr">
        <is>
          <t>Industrial mechanical vapor recompression (MVR)</t>
        </is>
      </c>
      <c r="C149" s="119" t="n">
        <v>0</v>
      </c>
      <c r="D149" s="119" t="n">
        <v>0.01</v>
      </c>
      <c r="E149" s="119" t="n">
        <v>0.05</v>
      </c>
      <c r="F149" s="98" t="n">
        <v>7.6</v>
      </c>
      <c r="G149" s="92" t="n">
        <v>-1.4</v>
      </c>
      <c r="H149" s="92" t="n">
        <v>0</v>
      </c>
      <c r="I149" s="92" t="n">
        <v>80</v>
      </c>
      <c r="J149" s="92" t="n">
        <v>15</v>
      </c>
      <c r="K149" s="92" t="n">
        <v>0</v>
      </c>
      <c r="L149" s="85" t="inlineStr">
        <is>
          <t>100-200C</t>
        </is>
      </c>
      <c r="M149" s="85" t="n">
        <v>0</v>
      </c>
      <c r="N149" s="85" t="inlineStr">
        <is>
          <t>Pulp &amp; paper (17T18)</t>
        </is>
      </c>
      <c r="O149" s="85" t="n">
        <v>0.8551</v>
      </c>
      <c r="P149" s="85" t="inlineStr">
        <is>
          <t>X fuel-switch</t>
        </is>
      </c>
      <c r="Q149" s="85" t="inlineStr">
        <is>
          <t>Fuel-switching / electrification / H2 / heat-pump / low-carbon feedstock. Out of scope — handled in electrification/H2 files (G0.1 ruling).</t>
        </is>
      </c>
      <c r="R149" s="85" t="n">
        <v>1</v>
      </c>
      <c r="S149" s="85" t="n">
        <v>0</v>
      </c>
      <c r="T149" s="85" t="n">
        <v>0</v>
      </c>
      <c r="U149" s="85" t="n">
        <v>0.05</v>
      </c>
      <c r="V149" s="85" t="n"/>
    </row>
    <row r="150">
      <c r="A150" s="97" t="inlineStr">
        <is>
          <t>Graphic paper</t>
        </is>
      </c>
      <c r="B150" s="97" t="inlineStr">
        <is>
          <t>High temperature heat pump</t>
        </is>
      </c>
      <c r="C150" s="119" t="n">
        <v>0</v>
      </c>
      <c r="D150" s="119" t="n">
        <v>0.09</v>
      </c>
      <c r="E150" s="119" t="n">
        <v>0.88</v>
      </c>
      <c r="F150" s="98" t="n">
        <v>7.6</v>
      </c>
      <c r="G150" s="92" t="n">
        <v>-1.4</v>
      </c>
      <c r="H150" s="92" t="n">
        <v>0</v>
      </c>
      <c r="I150" s="92" t="n">
        <v>500</v>
      </c>
      <c r="J150" s="92" t="n">
        <v>15</v>
      </c>
      <c r="K150" s="92" t="n">
        <v>0</v>
      </c>
      <c r="L150" s="85" t="inlineStr">
        <is>
          <t>100-200C</t>
        </is>
      </c>
      <c r="M150" s="85" t="n">
        <v>0</v>
      </c>
      <c r="N150" s="85" t="inlineStr">
        <is>
          <t>Pulp &amp; paper (17T18)</t>
        </is>
      </c>
      <c r="O150" s="85" t="n">
        <v>0.8551</v>
      </c>
      <c r="P150" s="85" t="inlineStr">
        <is>
          <t>X fuel-switch</t>
        </is>
      </c>
      <c r="Q150" s="85" t="inlineStr">
        <is>
          <t>Fuel-switching / electrification / H2 / heat-pump / low-carbon feedstock. Out of scope — handled in electrification/H2 files (G0.1 ruling).</t>
        </is>
      </c>
      <c r="R150" s="85" t="n">
        <v>1</v>
      </c>
      <c r="S150" s="85" t="n">
        <v>0</v>
      </c>
      <c r="T150" s="85" t="n">
        <v>0</v>
      </c>
      <c r="U150" s="85" t="n">
        <v>0.88</v>
      </c>
      <c r="V150" s="85" t="n"/>
    </row>
    <row r="151" ht="15" customHeight="1" thickBot="1">
      <c r="A151" s="120" t="inlineStr">
        <is>
          <t>Graphic paper</t>
        </is>
      </c>
      <c r="B151" s="120" t="inlineStr">
        <is>
          <t>Chemical modification of fibres</t>
        </is>
      </c>
      <c r="C151" s="121" t="n">
        <v>0</v>
      </c>
      <c r="D151" s="121" t="n">
        <v>0.09</v>
      </c>
      <c r="E151" s="121" t="n">
        <v>0.8</v>
      </c>
      <c r="F151" s="122" t="n">
        <v>0.2</v>
      </c>
      <c r="G151" s="108" t="n">
        <v>0.16</v>
      </c>
      <c r="H151" s="108" t="n">
        <v>0</v>
      </c>
      <c r="I151" s="108" t="n">
        <v>17</v>
      </c>
      <c r="J151" s="108" t="n">
        <v>20</v>
      </c>
      <c r="K151" s="108" t="n">
        <v>3.5</v>
      </c>
      <c r="L151" s="85" t="inlineStr">
        <is>
          <t>100-200C</t>
        </is>
      </c>
      <c r="M151" s="85" t="n">
        <v>0</v>
      </c>
      <c r="N151" s="85" t="inlineStr">
        <is>
          <t>Pulp &amp; paper (17T18)</t>
        </is>
      </c>
      <c r="O151" s="85" t="n">
        <v>0.8551</v>
      </c>
      <c r="P151" s="85" t="inlineStr">
        <is>
          <t>X fuel-switch</t>
        </is>
      </c>
      <c r="Q151" s="85" t="inlineStr">
        <is>
          <t>Fuel-switching / electrification / H2 / heat-pump / low-carbon feedstock. Out of scope — handled in electrification/H2 files (G0.1 ruling).</t>
        </is>
      </c>
      <c r="R151" s="85" t="n">
        <v>0.555555555555556</v>
      </c>
      <c r="S151" s="85" t="n">
        <v>0.444444444444444</v>
      </c>
      <c r="T151" s="85" t="n">
        <v>0</v>
      </c>
      <c r="U151" s="85" t="n">
        <v>0.8</v>
      </c>
      <c r="V151" s="85" t="n"/>
    </row>
    <row r="152">
      <c r="A152" s="97" t="inlineStr">
        <is>
          <t>Board and packaging paper</t>
        </is>
      </c>
      <c r="B152" s="97" t="inlineStr">
        <is>
          <t>New drying techniquesb</t>
        </is>
      </c>
      <c r="C152" s="119" t="n">
        <v>0</v>
      </c>
      <c r="D152" s="119" t="n">
        <v>0.06</v>
      </c>
      <c r="E152" s="119" t="n">
        <v>0.96</v>
      </c>
      <c r="F152" s="98" t="n">
        <v>0.7</v>
      </c>
      <c r="G152" s="92" t="n">
        <v>0</v>
      </c>
      <c r="H152" s="92" t="n">
        <v>0</v>
      </c>
      <c r="I152" s="92" t="n">
        <v>91</v>
      </c>
      <c r="J152" s="92" t="n">
        <v>20</v>
      </c>
      <c r="K152" s="92" t="n">
        <v>0</v>
      </c>
      <c r="L152" s="85" t="inlineStr">
        <is>
          <t>100-200C</t>
        </is>
      </c>
      <c r="M152" s="85" t="n">
        <v>0</v>
      </c>
      <c r="N152" s="85" t="inlineStr">
        <is>
          <t>Pulp &amp; paper (17T18)</t>
        </is>
      </c>
      <c r="O152" s="85" t="n">
        <v>0.8551</v>
      </c>
      <c r="P152" s="85" t="inlineStr">
        <is>
          <t>X fuel-switch</t>
        </is>
      </c>
      <c r="Q152" s="85" t="inlineStr">
        <is>
          <t>Fuel-switching / electrification / H2 / heat-pump / low-carbon feedstock. Out of scope — handled in electrification/H2 files (G0.1 ruling).</t>
        </is>
      </c>
      <c r="R152" s="85" t="n">
        <v>1</v>
      </c>
      <c r="S152" s="85" t="n">
        <v>0</v>
      </c>
      <c r="T152" s="85" t="n">
        <v>0</v>
      </c>
      <c r="U152" s="85" t="n">
        <v>0.96</v>
      </c>
      <c r="V152" s="85" t="n"/>
    </row>
    <row r="153">
      <c r="A153" s="97" t="inlineStr">
        <is>
          <t>Board and packaging paper</t>
        </is>
      </c>
      <c r="B153" s="97" t="inlineStr">
        <is>
          <t>Electric boilers</t>
        </is>
      </c>
      <c r="C153" s="119" t="n">
        <v>0</v>
      </c>
      <c r="D153" s="119" t="n">
        <v>0.01</v>
      </c>
      <c r="E153" s="119" t="n">
        <v>0.07000000000000001</v>
      </c>
      <c r="F153" s="98" t="n">
        <v>5.1</v>
      </c>
      <c r="G153" s="92" t="n">
        <v>-3.9</v>
      </c>
      <c r="H153" s="92" t="n">
        <v>0</v>
      </c>
      <c r="I153" s="92" t="n">
        <v>37</v>
      </c>
      <c r="J153" s="92" t="n">
        <v>15</v>
      </c>
      <c r="K153" s="92" t="n">
        <v>0</v>
      </c>
      <c r="L153" s="85" t="inlineStr">
        <is>
          <t>100-200C</t>
        </is>
      </c>
      <c r="M153" s="85" t="n">
        <v>0</v>
      </c>
      <c r="N153" s="85" t="inlineStr">
        <is>
          <t>Pulp &amp; paper (17T18)</t>
        </is>
      </c>
      <c r="O153" s="85" t="n">
        <v>0.8551</v>
      </c>
      <c r="P153" s="85" t="inlineStr">
        <is>
          <t>X fuel-switch</t>
        </is>
      </c>
      <c r="Q153" s="85" t="inlineStr">
        <is>
          <t>Fuel-switching / electrification / H2 / heat-pump / low-carbon feedstock. Out of scope — handled in electrification/H2 files (G0.1 ruling).</t>
        </is>
      </c>
      <c r="R153" s="85" t="n">
        <v>1</v>
      </c>
      <c r="S153" s="85" t="n">
        <v>0</v>
      </c>
      <c r="T153" s="85" t="n">
        <v>0</v>
      </c>
      <c r="U153" s="85" t="n">
        <v>0.07000000000000001</v>
      </c>
      <c r="V153" s="85" t="n"/>
    </row>
    <row r="154">
      <c r="A154" s="97" t="inlineStr">
        <is>
          <t>Board and packaging paper</t>
        </is>
      </c>
      <c r="B154" s="97" t="inlineStr">
        <is>
          <t>H2 boilers</t>
        </is>
      </c>
      <c r="C154" s="119" t="n">
        <v>0</v>
      </c>
      <c r="D154" s="119" t="n">
        <v>0.1</v>
      </c>
      <c r="E154" s="119" t="n">
        <v>1</v>
      </c>
      <c r="F154" s="98" t="n">
        <v>5.1</v>
      </c>
      <c r="G154" s="92" t="n">
        <v>0</v>
      </c>
      <c r="H154" s="92" t="n">
        <v>-4.1</v>
      </c>
      <c r="I154" s="92" t="n">
        <v>25</v>
      </c>
      <c r="J154" s="92" t="n">
        <v>25</v>
      </c>
      <c r="K154" s="92" t="n">
        <v>0.6</v>
      </c>
      <c r="L154" s="85" t="inlineStr">
        <is>
          <t>100-200C</t>
        </is>
      </c>
      <c r="M154" s="85" t="n">
        <v>0</v>
      </c>
      <c r="N154" s="85" t="inlineStr">
        <is>
          <t>Pulp &amp; paper (17T18)</t>
        </is>
      </c>
      <c r="O154" s="85" t="n">
        <v>0.8551</v>
      </c>
      <c r="P154" s="85" t="inlineStr">
        <is>
          <t>X fuel-switch</t>
        </is>
      </c>
      <c r="Q154" s="85" t="inlineStr">
        <is>
          <t>Fuel-switching / electrification / H2 / heat-pump / low-carbon feedstock. Out of scope — handled in electrification/H2 files (G0.1 ruling).</t>
        </is>
      </c>
      <c r="R154" s="85" t="n">
        <v>1</v>
      </c>
      <c r="S154" s="85" t="n">
        <v>0</v>
      </c>
      <c r="T154" s="85" t="n">
        <v>0</v>
      </c>
      <c r="U154" s="85" t="n">
        <v>1</v>
      </c>
      <c r="V154" s="85" t="n"/>
    </row>
    <row r="155">
      <c r="A155" s="97" t="inlineStr">
        <is>
          <t>Board and packaging paper</t>
        </is>
      </c>
      <c r="B155" s="97" t="inlineStr">
        <is>
          <t>Industrial mechanical vapor recompression (MVR)</t>
        </is>
      </c>
      <c r="C155" s="119" t="n">
        <v>0</v>
      </c>
      <c r="D155" s="119" t="n">
        <v>0.01</v>
      </c>
      <c r="E155" s="119" t="n">
        <v>0.05</v>
      </c>
      <c r="F155" s="98" t="n">
        <v>5.1</v>
      </c>
      <c r="G155" s="92" t="n">
        <v>-1</v>
      </c>
      <c r="H155" s="92" t="n">
        <v>0</v>
      </c>
      <c r="I155" s="92" t="n">
        <v>54</v>
      </c>
      <c r="J155" s="92" t="n">
        <v>15</v>
      </c>
      <c r="K155" s="92" t="n">
        <v>0</v>
      </c>
      <c r="L155" s="85" t="inlineStr">
        <is>
          <t>100-200C</t>
        </is>
      </c>
      <c r="M155" s="85" t="n">
        <v>0</v>
      </c>
      <c r="N155" s="85" t="inlineStr">
        <is>
          <t>Pulp &amp; paper (17T18)</t>
        </is>
      </c>
      <c r="O155" s="85" t="n">
        <v>0.8551</v>
      </c>
      <c r="P155" s="85" t="inlineStr">
        <is>
          <t>X fuel-switch</t>
        </is>
      </c>
      <c r="Q155" s="85" t="inlineStr">
        <is>
          <t>Fuel-switching / electrification / H2 / heat-pump / low-carbon feedstock. Out of scope — handled in electrification/H2 files (G0.1 ruling).</t>
        </is>
      </c>
      <c r="R155" s="85" t="n">
        <v>1</v>
      </c>
      <c r="S155" s="85" t="n">
        <v>0</v>
      </c>
      <c r="T155" s="85" t="n">
        <v>0</v>
      </c>
      <c r="U155" s="85" t="n">
        <v>0.05</v>
      </c>
      <c r="V155" s="85" t="n"/>
    </row>
    <row r="156" ht="15" customHeight="1" thickBot="1">
      <c r="A156" s="123" t="inlineStr">
        <is>
          <t>Board and packaging paper</t>
        </is>
      </c>
      <c r="B156" s="123" t="inlineStr">
        <is>
          <t>High temperature heat pump</t>
        </is>
      </c>
      <c r="C156" s="124" t="n">
        <v>0</v>
      </c>
      <c r="D156" s="124" t="n">
        <v>0.09</v>
      </c>
      <c r="E156" s="124" t="n">
        <v>0.88</v>
      </c>
      <c r="F156" s="125" t="n">
        <v>5.1</v>
      </c>
      <c r="G156" s="115" t="n">
        <v>-1</v>
      </c>
      <c r="H156" s="115" t="n">
        <v>0</v>
      </c>
      <c r="I156" s="115" t="n">
        <v>340</v>
      </c>
      <c r="J156" s="115" t="n">
        <v>15</v>
      </c>
      <c r="K156" s="115" t="n">
        <v>0</v>
      </c>
      <c r="L156" s="85" t="inlineStr">
        <is>
          <t>100-200C</t>
        </is>
      </c>
      <c r="M156" s="85" t="n">
        <v>0</v>
      </c>
      <c r="N156" s="85" t="inlineStr">
        <is>
          <t>Pulp &amp; paper (17T18)</t>
        </is>
      </c>
      <c r="O156" s="85" t="n">
        <v>0.8551</v>
      </c>
      <c r="P156" s="85" t="inlineStr">
        <is>
          <t>X fuel-switch</t>
        </is>
      </c>
      <c r="Q156" s="85" t="inlineStr">
        <is>
          <t>Fuel-switching / electrification / H2 / heat-pump / low-carbon feedstock. Out of scope — handled in electrification/H2 files (G0.1 ruling).</t>
        </is>
      </c>
      <c r="R156" s="85" t="n">
        <v>1</v>
      </c>
      <c r="S156" s="85" t="n">
        <v>0</v>
      </c>
      <c r="T156" s="85" t="n">
        <v>0</v>
      </c>
      <c r="U156" s="85" t="n">
        <v>0.88</v>
      </c>
      <c r="V156" s="85" t="n"/>
    </row>
    <row r="157" ht="15" customHeight="1" thickTop="1">
      <c r="A157" s="90" t="inlineStr">
        <is>
          <t>Clinker</t>
        </is>
      </c>
      <c r="B157" s="90" t="inlineStr">
        <is>
          <t>Thermal plasma torchesa,c</t>
        </is>
      </c>
      <c r="C157" s="91" t="n">
        <v>0</v>
      </c>
      <c r="D157" s="91" t="n">
        <v>0</v>
      </c>
      <c r="E157" s="91" t="n">
        <v>0.8</v>
      </c>
      <c r="F157" s="92" t="n">
        <v>3.6</v>
      </c>
      <c r="G157" s="92" t="n">
        <v>-2.9</v>
      </c>
      <c r="H157" s="92" t="n">
        <v>0</v>
      </c>
      <c r="I157" s="92" t="n">
        <v>84</v>
      </c>
      <c r="J157" s="92" t="n">
        <v>20</v>
      </c>
      <c r="K157" s="92" t="n">
        <v>-5.6</v>
      </c>
      <c r="L157" s="85" t="inlineStr">
        <is>
          <t>&gt;1000C</t>
        </is>
      </c>
      <c r="M157" s="85" t="n">
        <v>0.587</v>
      </c>
      <c r="N157" s="85" t="inlineStr">
        <is>
          <t>Cement (239)</t>
        </is>
      </c>
      <c r="O157" s="85" t="n">
        <v>0.8492</v>
      </c>
      <c r="P157" s="85" t="inlineStr">
        <is>
          <t>X fuel-switch</t>
        </is>
      </c>
      <c r="Q157" s="85" t="inlineStr">
        <is>
          <t>Fuel-switching / electrification / H2 / heat-pump / low-carbon feedstock. Out of scope — handled in electrification/H2 files (G0.1 ruling).</t>
        </is>
      </c>
      <c r="R157" s="85" t="n">
        <v>1</v>
      </c>
      <c r="S157" s="85" t="n">
        <v>0</v>
      </c>
      <c r="T157" s="85" t="n">
        <v>0</v>
      </c>
      <c r="U157" s="85" t="n">
        <v>0.8</v>
      </c>
      <c r="V157" s="85" t="n"/>
    </row>
    <row r="158" ht="15" customHeight="1" thickBot="1">
      <c r="A158" s="120" t="inlineStr">
        <is>
          <t>Clinker</t>
        </is>
      </c>
      <c r="B158" s="120" t="inlineStr">
        <is>
          <t>Hydrogenb,c</t>
        </is>
      </c>
      <c r="C158" s="107" t="n">
        <v>0</v>
      </c>
      <c r="D158" s="107" t="n">
        <v>0</v>
      </c>
      <c r="E158" s="107" t="n">
        <v>0.8</v>
      </c>
      <c r="F158" s="108" t="n">
        <v>3.6</v>
      </c>
      <c r="G158" s="108" t="n">
        <v>0</v>
      </c>
      <c r="H158" s="108" t="n">
        <v>-3.6</v>
      </c>
      <c r="I158" s="108" t="n">
        <v>2</v>
      </c>
      <c r="J158" s="108" t="n">
        <v>20</v>
      </c>
      <c r="K158" s="108" t="n">
        <v>0</v>
      </c>
      <c r="L158" s="85" t="inlineStr">
        <is>
          <t>&gt;1000C</t>
        </is>
      </c>
      <c r="M158" s="85" t="n">
        <v>0.587</v>
      </c>
      <c r="N158" s="85" t="inlineStr">
        <is>
          <t>Cement (239)</t>
        </is>
      </c>
      <c r="O158" s="85" t="n">
        <v>0.8492</v>
      </c>
      <c r="P158" s="85" t="inlineStr">
        <is>
          <t>X fuel-switch</t>
        </is>
      </c>
      <c r="Q158" s="85" t="inlineStr">
        <is>
          <t>Fuel-switching / electrification / H2 / heat-pump / low-carbon feedstock. Out of scope — handled in electrification/H2 files (G0.1 ruling).</t>
        </is>
      </c>
      <c r="R158" s="85" t="n">
        <v>1</v>
      </c>
      <c r="S158" s="85" t="n">
        <v>0</v>
      </c>
      <c r="T158" s="85" t="n">
        <v>0</v>
      </c>
      <c r="U158" s="85" t="n">
        <v>0.8</v>
      </c>
      <c r="V158" s="85" t="n"/>
    </row>
    <row r="159" ht="15" customHeight="1" thickBot="1">
      <c r="A159" s="123" t="inlineStr">
        <is>
          <t>Cement</t>
        </is>
      </c>
      <c r="B159" s="123" t="inlineStr">
        <is>
          <t>Blended Cement (70% BFS)d</t>
        </is>
      </c>
      <c r="C159" s="114" t="n">
        <v>0</v>
      </c>
      <c r="D159" s="114" t="n">
        <v>0.11</v>
      </c>
      <c r="E159" s="114" t="n">
        <v>1</v>
      </c>
      <c r="F159" s="115" t="n">
        <v>1.8</v>
      </c>
      <c r="G159" s="115" t="n">
        <v>-0.1</v>
      </c>
      <c r="H159" s="115" t="n">
        <v>0</v>
      </c>
      <c r="I159" s="125" t="n">
        <v>6</v>
      </c>
      <c r="J159" s="115" t="n">
        <v>30</v>
      </c>
      <c r="K159" s="115" t="n">
        <v>0</v>
      </c>
      <c r="L159" s="85" t="inlineStr">
        <is>
          <t>&gt;1000C</t>
        </is>
      </c>
      <c r="M159" s="85" t="n">
        <v>0.587</v>
      </c>
      <c r="N159" s="85" t="inlineStr">
        <is>
          <t>Cement (239)</t>
        </is>
      </c>
      <c r="O159" s="85" t="n">
        <v>0.8492</v>
      </c>
      <c r="P159" s="85" t="inlineStr">
        <is>
          <t>X fuel-switch</t>
        </is>
      </c>
      <c r="Q159" s="85" t="inlineStr">
        <is>
          <t>Fuel-switching / electrification / H2 / heat-pump / low-carbon feedstock. Out of scope — handled in electrification/H2 files (G0.1 ruling).</t>
        </is>
      </c>
      <c r="R159" s="85" t="n">
        <v>1</v>
      </c>
      <c r="S159" s="85" t="n">
        <v>0</v>
      </c>
      <c r="T159" s="85" t="n">
        <v>0</v>
      </c>
      <c r="U159" s="85" t="n">
        <v>1</v>
      </c>
      <c r="V159" s="85" t="n"/>
    </row>
    <row r="160" ht="15" customHeight="1" thickTop="1">
      <c r="A160" s="97" t="inlineStr">
        <is>
          <t>Ammonia</t>
        </is>
      </c>
      <c r="B160" s="97" t="inlineStr">
        <is>
          <t>Low carbon ammonia (H2 as feedstock)</t>
        </is>
      </c>
      <c r="C160" s="119" t="n">
        <v>0</v>
      </c>
      <c r="D160" s="119" t="n">
        <v>0.1</v>
      </c>
      <c r="E160" s="119" t="n">
        <v>1</v>
      </c>
      <c r="F160" s="98" t="n">
        <v>9.4</v>
      </c>
      <c r="G160" s="98" t="n">
        <v>-5.5</v>
      </c>
      <c r="H160" s="98" t="n">
        <v>0</v>
      </c>
      <c r="I160" s="98" t="n">
        <v>489</v>
      </c>
      <c r="J160" s="98" t="n">
        <v>30</v>
      </c>
      <c r="K160" s="98" t="n">
        <v>0</v>
      </c>
      <c r="L160" s="85" t="inlineStr">
        <is>
          <t>500-1000C</t>
        </is>
      </c>
      <c r="M160" s="85" t="n">
        <v>0.174</v>
      </c>
      <c r="N160" s="85" t="inlineStr">
        <is>
          <t>Chemicals (20)</t>
        </is>
      </c>
      <c r="O160" s="85" t="n">
        <v>0.7161</v>
      </c>
      <c r="P160" s="85" t="inlineStr">
        <is>
          <t>X fuel-switch</t>
        </is>
      </c>
      <c r="Q160" s="85" t="inlineStr">
        <is>
          <t>Fuel-switching / electrification / H2 / heat-pump / low-carbon feedstock. Out of scope — handled in electrification/H2 files (G0.1 ruling).</t>
        </is>
      </c>
      <c r="R160" s="85" t="n">
        <v>1</v>
      </c>
      <c r="S160" s="85" t="n">
        <v>0</v>
      </c>
      <c r="T160" s="85" t="n">
        <v>0</v>
      </c>
      <c r="U160" s="85" t="n">
        <v>1</v>
      </c>
      <c r="V160" s="85" t="n"/>
    </row>
    <row r="161">
      <c r="A161" s="97" t="inlineStr">
        <is>
          <t>Ammonia</t>
        </is>
      </c>
      <c r="B161" s="97" t="inlineStr">
        <is>
          <t>Electric boilers</t>
        </is>
      </c>
      <c r="C161" s="119" t="n">
        <v>0</v>
      </c>
      <c r="D161" s="119" t="n">
        <v>0.1</v>
      </c>
      <c r="E161" s="119" t="n">
        <v>1</v>
      </c>
      <c r="F161" s="98" t="n">
        <v>0</v>
      </c>
      <c r="G161" s="98" t="n">
        <v>-3.7</v>
      </c>
      <c r="H161" s="98" t="n">
        <v>0</v>
      </c>
      <c r="I161" s="98" t="n">
        <v>0</v>
      </c>
      <c r="J161" s="98" t="n">
        <v>15</v>
      </c>
      <c r="K161" s="98" t="n">
        <v>0</v>
      </c>
      <c r="L161" s="85" t="inlineStr">
        <is>
          <t>500-1000C</t>
        </is>
      </c>
      <c r="M161" s="85" t="n">
        <v>0.174</v>
      </c>
      <c r="N161" s="85" t="inlineStr">
        <is>
          <t>Chemicals (20)</t>
        </is>
      </c>
      <c r="O161" s="85" t="n">
        <v>0.7161</v>
      </c>
      <c r="P161" s="85" t="inlineStr">
        <is>
          <t>X fuel-switch</t>
        </is>
      </c>
      <c r="Q161" s="85" t="inlineStr">
        <is>
          <t>Fuel-switching / electrification / H2 / heat-pump / low-carbon feedstock. Out of scope — handled in electrification/H2 files (G0.1 ruling).</t>
        </is>
      </c>
      <c r="R161" s="85" t="n">
        <v>0</v>
      </c>
      <c r="S161" s="85" t="n">
        <v>0</v>
      </c>
      <c r="T161" s="85" t="n">
        <v>0</v>
      </c>
      <c r="U161" s="85" t="n">
        <v>1</v>
      </c>
      <c r="V161" s="85" t="n"/>
    </row>
    <row r="162">
      <c r="A162" s="97" t="inlineStr">
        <is>
          <t>Ammonia</t>
        </is>
      </c>
      <c r="B162" s="97" t="inlineStr">
        <is>
          <t>H2 boilers</t>
        </is>
      </c>
      <c r="C162" s="119" t="n">
        <v>0</v>
      </c>
      <c r="D162" s="119" t="n">
        <v>0.1</v>
      </c>
      <c r="E162" s="119" t="n">
        <v>1</v>
      </c>
      <c r="F162" s="98" t="n">
        <v>0</v>
      </c>
      <c r="G162" s="98" t="n">
        <v>0</v>
      </c>
      <c r="H162" s="98" t="n">
        <v>-3.8</v>
      </c>
      <c r="I162" s="98" t="n">
        <v>0</v>
      </c>
      <c r="J162" s="98" t="n">
        <v>25</v>
      </c>
      <c r="K162" s="98" t="n">
        <v>0</v>
      </c>
      <c r="L162" s="85" t="inlineStr">
        <is>
          <t>500-1000C</t>
        </is>
      </c>
      <c r="M162" s="85" t="n">
        <v>0.174</v>
      </c>
      <c r="N162" s="85" t="inlineStr">
        <is>
          <t>Chemicals (20)</t>
        </is>
      </c>
      <c r="O162" s="85" t="n">
        <v>0.7161</v>
      </c>
      <c r="P162" s="85" t="inlineStr">
        <is>
          <t>X fuel-switch</t>
        </is>
      </c>
      <c r="Q162" s="85" t="inlineStr">
        <is>
          <t>Fuel-switching / electrification / H2 / heat-pump / low-carbon feedstock. Out of scope — handled in electrification/H2 files (G0.1 ruling).</t>
        </is>
      </c>
      <c r="R162" s="85" t="n">
        <v>0</v>
      </c>
      <c r="S162" s="85" t="n">
        <v>0</v>
      </c>
      <c r="T162" s="85" t="n">
        <v>0</v>
      </c>
      <c r="U162" s="85" t="n">
        <v>1</v>
      </c>
      <c r="V162" s="85" t="n"/>
    </row>
    <row r="163" ht="15" customHeight="1" thickBot="1">
      <c r="A163" s="120" t="inlineStr">
        <is>
          <t>Ammonia</t>
        </is>
      </c>
      <c r="B163" s="120" t="inlineStr">
        <is>
          <t>High temperature heat pump</t>
        </is>
      </c>
      <c r="C163" s="121" t="n">
        <v>0</v>
      </c>
      <c r="D163" s="121" t="n">
        <v>0</v>
      </c>
      <c r="E163" s="121" t="n">
        <v>0</v>
      </c>
      <c r="F163" s="122" t="n">
        <v>0</v>
      </c>
      <c r="G163" s="122" t="n">
        <v>-0.9</v>
      </c>
      <c r="H163" s="122" t="n">
        <v>0</v>
      </c>
      <c r="I163" s="122" t="n">
        <v>0</v>
      </c>
      <c r="J163" s="122" t="n">
        <v>15</v>
      </c>
      <c r="K163" s="122" t="n">
        <v>0</v>
      </c>
      <c r="L163" s="85" t="inlineStr">
        <is>
          <t>500-1000C</t>
        </is>
      </c>
      <c r="M163" s="85" t="n">
        <v>0.174</v>
      </c>
      <c r="N163" s="85" t="inlineStr">
        <is>
          <t>Chemicals (20)</t>
        </is>
      </c>
      <c r="O163" s="85" t="n">
        <v>0.7161</v>
      </c>
      <c r="P163" s="85" t="inlineStr">
        <is>
          <t>X fuel-switch</t>
        </is>
      </c>
      <c r="Q163" s="85" t="inlineStr">
        <is>
          <t>Fuel-switching / electrification / H2 / heat-pump / low-carbon feedstock. Out of scope — handled in electrification/H2 files (G0.1 ruling).</t>
        </is>
      </c>
      <c r="R163" s="85" t="n">
        <v>0</v>
      </c>
      <c r="S163" s="85" t="n">
        <v>0</v>
      </c>
      <c r="T163" s="85" t="n">
        <v>0</v>
      </c>
      <c r="U163" s="85" t="n">
        <v>0</v>
      </c>
      <c r="V163" s="85" t="n"/>
    </row>
    <row r="164">
      <c r="A164" s="97" t="inlineStr">
        <is>
          <t>Ethylene</t>
        </is>
      </c>
      <c r="B164" s="97" t="inlineStr">
        <is>
          <t>Low carbon ethylene (H2 as feedstock)</t>
        </is>
      </c>
      <c r="C164" s="119" t="n">
        <v>0</v>
      </c>
      <c r="D164" s="119" t="n">
        <v>0.1</v>
      </c>
      <c r="E164" s="119" t="n">
        <v>1</v>
      </c>
      <c r="F164" s="98" t="n">
        <v>30.1</v>
      </c>
      <c r="G164" s="98" t="n">
        <v>-31.6</v>
      </c>
      <c r="H164" s="98" t="n">
        <v>0</v>
      </c>
      <c r="I164" s="98" t="n">
        <v>418</v>
      </c>
      <c r="J164" s="98" t="n">
        <v>30</v>
      </c>
      <c r="K164" s="98" t="n">
        <v>0</v>
      </c>
      <c r="L164" s="85" t="inlineStr">
        <is>
          <t>500-1000C</t>
        </is>
      </c>
      <c r="M164" s="85" t="n">
        <v>0.174</v>
      </c>
      <c r="N164" s="85" t="inlineStr">
        <is>
          <t>Chemicals (20)</t>
        </is>
      </c>
      <c r="O164" s="85" t="n">
        <v>0.7161</v>
      </c>
      <c r="P164" s="85" t="inlineStr">
        <is>
          <t>X fuel-switch</t>
        </is>
      </c>
      <c r="Q164" s="85" t="inlineStr">
        <is>
          <t>Fuel-switching / electrification / H2 / heat-pump / low-carbon feedstock. Out of scope — handled in electrification/H2 files (G0.1 ruling).</t>
        </is>
      </c>
      <c r="R164" s="85" t="n">
        <v>1</v>
      </c>
      <c r="S164" s="85" t="n">
        <v>0</v>
      </c>
      <c r="T164" s="85" t="n">
        <v>0</v>
      </c>
      <c r="U164" s="85" t="n">
        <v>1</v>
      </c>
      <c r="V164" s="85" t="n"/>
    </row>
    <row r="165">
      <c r="A165" s="97" t="inlineStr">
        <is>
          <t>Ethylene</t>
        </is>
      </c>
      <c r="B165" s="97" t="inlineStr">
        <is>
          <t>Electric boilers</t>
        </is>
      </c>
      <c r="C165" s="119" t="n">
        <v>0</v>
      </c>
      <c r="D165" s="119" t="n">
        <v>0.1</v>
      </c>
      <c r="E165" s="119" t="n">
        <v>1</v>
      </c>
      <c r="F165" s="98" t="n">
        <v>0</v>
      </c>
      <c r="G165" s="98" t="n">
        <v>-1.3</v>
      </c>
      <c r="H165" s="98" t="n">
        <v>0</v>
      </c>
      <c r="I165" s="98" t="n">
        <v>0</v>
      </c>
      <c r="J165" s="98" t="n">
        <v>15</v>
      </c>
      <c r="K165" s="98" t="n">
        <v>0</v>
      </c>
      <c r="L165" s="85" t="inlineStr">
        <is>
          <t>500-1000C</t>
        </is>
      </c>
      <c r="M165" s="85" t="n">
        <v>0.174</v>
      </c>
      <c r="N165" s="85" t="inlineStr">
        <is>
          <t>Chemicals (20)</t>
        </is>
      </c>
      <c r="O165" s="85" t="n">
        <v>0.7161</v>
      </c>
      <c r="P165" s="85" t="inlineStr">
        <is>
          <t>X fuel-switch</t>
        </is>
      </c>
      <c r="Q165" s="85" t="inlineStr">
        <is>
          <t>Fuel-switching / electrification / H2 / heat-pump / low-carbon feedstock. Out of scope — handled in electrification/H2 files (G0.1 ruling).</t>
        </is>
      </c>
      <c r="R165" s="85" t="n">
        <v>0</v>
      </c>
      <c r="S165" s="85" t="n">
        <v>0</v>
      </c>
      <c r="T165" s="85" t="n">
        <v>0</v>
      </c>
      <c r="U165" s="85" t="n">
        <v>1</v>
      </c>
      <c r="V165" s="85" t="n"/>
    </row>
    <row r="166">
      <c r="A166" s="97" t="inlineStr">
        <is>
          <t>Ethylene</t>
        </is>
      </c>
      <c r="B166" s="97" t="inlineStr">
        <is>
          <t>H2 boilers</t>
        </is>
      </c>
      <c r="C166" s="119" t="n">
        <v>0</v>
      </c>
      <c r="D166" s="119" t="n">
        <v>0.1</v>
      </c>
      <c r="E166" s="119" t="n">
        <v>1</v>
      </c>
      <c r="F166" s="98" t="n">
        <v>0</v>
      </c>
      <c r="G166" s="98" t="n">
        <v>0</v>
      </c>
      <c r="H166" s="98" t="n">
        <v>-1.3</v>
      </c>
      <c r="I166" s="98" t="n">
        <v>0</v>
      </c>
      <c r="J166" s="98" t="n">
        <v>25</v>
      </c>
      <c r="K166" s="98" t="n">
        <v>0</v>
      </c>
      <c r="L166" s="85" t="inlineStr">
        <is>
          <t>500-1000C</t>
        </is>
      </c>
      <c r="M166" s="85" t="n">
        <v>0.174</v>
      </c>
      <c r="N166" s="85" t="inlineStr">
        <is>
          <t>Chemicals (20)</t>
        </is>
      </c>
      <c r="O166" s="85" t="n">
        <v>0.7161</v>
      </c>
      <c r="P166" s="85" t="inlineStr">
        <is>
          <t>X fuel-switch</t>
        </is>
      </c>
      <c r="Q166" s="85" t="inlineStr">
        <is>
          <t>Fuel-switching / electrification / H2 / heat-pump / low-carbon feedstock. Out of scope — handled in electrification/H2 files (G0.1 ruling).</t>
        </is>
      </c>
      <c r="R166" s="85" t="n">
        <v>0</v>
      </c>
      <c r="S166" s="85" t="n">
        <v>0</v>
      </c>
      <c r="T166" s="85" t="n">
        <v>0</v>
      </c>
      <c r="U166" s="85" t="n">
        <v>1</v>
      </c>
      <c r="V166" s="85" t="n"/>
    </row>
    <row r="167">
      <c r="A167" s="97" t="inlineStr">
        <is>
          <t>Ethylene</t>
        </is>
      </c>
      <c r="B167" s="97" t="inlineStr">
        <is>
          <t>High temperature heat pump</t>
        </is>
      </c>
      <c r="C167" s="119" t="n">
        <v>0</v>
      </c>
      <c r="D167" s="119" t="n">
        <v>0</v>
      </c>
      <c r="E167" s="119" t="n">
        <v>0</v>
      </c>
      <c r="F167" s="98" t="n">
        <v>0</v>
      </c>
      <c r="G167" s="98" t="n">
        <v>-0.3</v>
      </c>
      <c r="H167" s="98" t="n">
        <v>0</v>
      </c>
      <c r="I167" s="98" t="n">
        <v>0</v>
      </c>
      <c r="J167" s="98" t="n">
        <v>15</v>
      </c>
      <c r="K167" s="98" t="n">
        <v>0</v>
      </c>
      <c r="L167" s="85" t="inlineStr">
        <is>
          <t>500-1000C</t>
        </is>
      </c>
      <c r="M167" s="85" t="n">
        <v>0.174</v>
      </c>
      <c r="N167" s="85" t="inlineStr">
        <is>
          <t>Chemicals (20)</t>
        </is>
      </c>
      <c r="O167" s="85" t="n">
        <v>0.7161</v>
      </c>
      <c r="P167" s="85" t="inlineStr">
        <is>
          <t>X fuel-switch</t>
        </is>
      </c>
      <c r="Q167" s="85" t="inlineStr">
        <is>
          <t>Fuel-switching / electrification / H2 / heat-pump / low-carbon feedstock. Out of scope — handled in electrification/H2 files (G0.1 ruling).</t>
        </is>
      </c>
      <c r="R167" s="85" t="n">
        <v>0</v>
      </c>
      <c r="S167" s="85" t="n">
        <v>0</v>
      </c>
      <c r="T167" s="85" t="n">
        <v>0</v>
      </c>
      <c r="U167" s="85" t="n">
        <v>0</v>
      </c>
      <c r="V167" s="85" t="n"/>
    </row>
    <row r="168" ht="15" customHeight="1" thickBot="1">
      <c r="A168" s="126" t="inlineStr">
        <is>
          <t>Methanol</t>
        </is>
      </c>
      <c r="B168" s="126" t="inlineStr">
        <is>
          <t>Low carbon methanol (H2 as feedstock)</t>
        </is>
      </c>
      <c r="C168" s="127" t="n">
        <v>0</v>
      </c>
      <c r="D168" s="127" t="n">
        <v>0.1</v>
      </c>
      <c r="E168" s="127" t="n">
        <v>1</v>
      </c>
      <c r="F168" s="128" t="n">
        <v>9.9</v>
      </c>
      <c r="G168" s="128" t="n">
        <v>-4.8</v>
      </c>
      <c r="H168" s="128" t="n">
        <v>0</v>
      </c>
      <c r="I168" s="128" t="n">
        <v>101</v>
      </c>
      <c r="J168" s="128" t="n">
        <v>30</v>
      </c>
      <c r="K168" s="128" t="n">
        <v>0</v>
      </c>
      <c r="L168" s="85" t="inlineStr">
        <is>
          <t>500-1000C</t>
        </is>
      </c>
      <c r="M168" s="85" t="n">
        <v>0.174</v>
      </c>
      <c r="N168" s="85" t="inlineStr">
        <is>
          <t>Chemicals (20)</t>
        </is>
      </c>
      <c r="O168" s="85" t="n">
        <v>0.7161</v>
      </c>
      <c r="P168" s="85" t="inlineStr">
        <is>
          <t>X fuel-switch</t>
        </is>
      </c>
      <c r="Q168" s="85" t="inlineStr">
        <is>
          <t>Fuel-switching / electrification / H2 / heat-pump / low-carbon feedstock. Out of scope — handled in electrification/H2 files (G0.1 ruling).</t>
        </is>
      </c>
      <c r="R168" s="85" t="n">
        <v>1</v>
      </c>
      <c r="S168" s="85" t="n">
        <v>0</v>
      </c>
      <c r="T168" s="85" t="n">
        <v>0</v>
      </c>
      <c r="U168" s="85" t="n">
        <v>1</v>
      </c>
      <c r="V168" s="85" t="n"/>
    </row>
    <row r="169">
      <c r="A169" s="97" t="inlineStr">
        <is>
          <t>Methanol</t>
        </is>
      </c>
      <c r="B169" s="97" t="inlineStr">
        <is>
          <t>Electric boilers</t>
        </is>
      </c>
      <c r="C169" s="119" t="n">
        <v>0</v>
      </c>
      <c r="D169" s="119" t="n">
        <v>0.1</v>
      </c>
      <c r="E169" s="119" t="n">
        <v>1</v>
      </c>
      <c r="F169" s="98" t="n">
        <v>0</v>
      </c>
      <c r="G169" s="98" t="n">
        <v>-1.7</v>
      </c>
      <c r="H169" s="98" t="n">
        <v>0</v>
      </c>
      <c r="I169" s="98" t="n">
        <v>0</v>
      </c>
      <c r="J169" s="98" t="n">
        <v>15</v>
      </c>
      <c r="K169" s="98" t="n">
        <v>0</v>
      </c>
      <c r="L169" s="85" t="inlineStr">
        <is>
          <t>500-1000C</t>
        </is>
      </c>
      <c r="M169" s="85" t="n">
        <v>0.174</v>
      </c>
      <c r="N169" s="85" t="inlineStr">
        <is>
          <t>Chemicals (20)</t>
        </is>
      </c>
      <c r="O169" s="85" t="n">
        <v>0.7161</v>
      </c>
      <c r="P169" s="85" t="inlineStr">
        <is>
          <t>X fuel-switch</t>
        </is>
      </c>
      <c r="Q169" s="85" t="inlineStr">
        <is>
          <t>Fuel-switching / electrification / H2 / heat-pump / low-carbon feedstock. Out of scope — handled in electrification/H2 files (G0.1 ruling).</t>
        </is>
      </c>
      <c r="R169" s="85" t="n">
        <v>0</v>
      </c>
      <c r="S169" s="85" t="n">
        <v>0</v>
      </c>
      <c r="T169" s="85" t="n">
        <v>0</v>
      </c>
      <c r="U169" s="85" t="n">
        <v>1</v>
      </c>
      <c r="V169" s="85" t="n"/>
    </row>
    <row r="170">
      <c r="A170" s="97" t="inlineStr">
        <is>
          <t>Methanol</t>
        </is>
      </c>
      <c r="B170" s="97" t="inlineStr">
        <is>
          <t>H2 boilers</t>
        </is>
      </c>
      <c r="C170" s="119" t="n">
        <v>0</v>
      </c>
      <c r="D170" s="119" t="n">
        <v>0.1</v>
      </c>
      <c r="E170" s="119" t="n">
        <v>1</v>
      </c>
      <c r="F170" s="98" t="n">
        <v>0</v>
      </c>
      <c r="G170" s="98" t="n">
        <v>0</v>
      </c>
      <c r="H170" s="98" t="n">
        <v>-1.8</v>
      </c>
      <c r="I170" s="98" t="n">
        <v>0</v>
      </c>
      <c r="J170" s="98" t="n">
        <v>25</v>
      </c>
      <c r="K170" s="98" t="n">
        <v>0</v>
      </c>
      <c r="L170" s="85" t="inlineStr">
        <is>
          <t>500-1000C</t>
        </is>
      </c>
      <c r="M170" s="85" t="n">
        <v>0.174</v>
      </c>
      <c r="N170" s="85" t="inlineStr">
        <is>
          <t>Chemicals (20)</t>
        </is>
      </c>
      <c r="O170" s="85" t="n">
        <v>0.7161</v>
      </c>
      <c r="P170" s="85" t="inlineStr">
        <is>
          <t>X fuel-switch</t>
        </is>
      </c>
      <c r="Q170" s="85" t="inlineStr">
        <is>
          <t>Fuel-switching / electrification / H2 / heat-pump / low-carbon feedstock. Out of scope — handled in electrification/H2 files (G0.1 ruling).</t>
        </is>
      </c>
      <c r="R170" s="85" t="n">
        <v>0</v>
      </c>
      <c r="S170" s="85" t="n">
        <v>0</v>
      </c>
      <c r="T170" s="85" t="n">
        <v>0</v>
      </c>
      <c r="U170" s="85" t="n">
        <v>1</v>
      </c>
      <c r="V170" s="85" t="n"/>
    </row>
    <row r="171" ht="15" customHeight="1" thickBot="1">
      <c r="A171" s="120" t="inlineStr">
        <is>
          <t>Methanol</t>
        </is>
      </c>
      <c r="B171" s="120" t="inlineStr">
        <is>
          <t>High temperature heat pumps</t>
        </is>
      </c>
      <c r="C171" s="121" t="n">
        <v>0</v>
      </c>
      <c r="D171" s="121" t="n">
        <v>0</v>
      </c>
      <c r="E171" s="121" t="n">
        <v>0</v>
      </c>
      <c r="F171" s="122" t="n">
        <v>0</v>
      </c>
      <c r="G171" s="122" t="n">
        <v>-0.4</v>
      </c>
      <c r="H171" s="122" t="n">
        <v>0</v>
      </c>
      <c r="I171" s="122" t="n">
        <v>0</v>
      </c>
      <c r="J171" s="122" t="n">
        <v>15</v>
      </c>
      <c r="K171" s="122" t="n">
        <v>0</v>
      </c>
      <c r="L171" s="85" t="inlineStr">
        <is>
          <t>500-1000C</t>
        </is>
      </c>
      <c r="M171" s="85" t="n">
        <v>0.174</v>
      </c>
      <c r="N171" s="85" t="inlineStr">
        <is>
          <t>Chemicals (20)</t>
        </is>
      </c>
      <c r="O171" s="85" t="n">
        <v>0.7161</v>
      </c>
      <c r="P171" s="85" t="inlineStr">
        <is>
          <t>X fuel-switch</t>
        </is>
      </c>
      <c r="Q171" s="85" t="inlineStr">
        <is>
          <t>Fuel-switching / electrification / H2 / heat-pump / low-carbon feedstock. Out of scope — handled in electrification/H2 files (G0.1 ruling).</t>
        </is>
      </c>
      <c r="R171" s="85" t="n">
        <v>0</v>
      </c>
      <c r="S171" s="85" t="n">
        <v>0</v>
      </c>
      <c r="T171" s="85" t="n">
        <v>0</v>
      </c>
      <c r="U171" s="85" t="n">
        <v>0</v>
      </c>
      <c r="V171" s="85" t="n"/>
    </row>
    <row r="172">
      <c r="A172" s="97" t="inlineStr">
        <is>
          <t>Soda ash</t>
        </is>
      </c>
      <c r="B172" s="97" t="inlineStr">
        <is>
          <t>Electric boilers</t>
        </is>
      </c>
      <c r="C172" s="119" t="n">
        <v>0</v>
      </c>
      <c r="D172" s="119" t="n">
        <v>0</v>
      </c>
      <c r="E172" s="119" t="n">
        <v>0</v>
      </c>
      <c r="F172" s="98" t="n">
        <v>11.2</v>
      </c>
      <c r="G172" s="98" t="n">
        <v>-9.6</v>
      </c>
      <c r="H172" s="98" t="n">
        <v>0</v>
      </c>
      <c r="I172" s="98" t="n">
        <v>92</v>
      </c>
      <c r="J172" s="98" t="n">
        <v>15</v>
      </c>
      <c r="K172" s="98" t="n">
        <v>0</v>
      </c>
      <c r="L172" s="85" t="inlineStr">
        <is>
          <t>200-500C</t>
        </is>
      </c>
      <c r="M172" s="85" t="n">
        <v>0.05</v>
      </c>
      <c r="N172" s="85" t="inlineStr">
        <is>
          <t>Chemicals (20)</t>
        </is>
      </c>
      <c r="O172" s="85" t="n">
        <v>0.7161</v>
      </c>
      <c r="P172" s="85" t="inlineStr">
        <is>
          <t>X fuel-switch</t>
        </is>
      </c>
      <c r="Q172" s="85" t="inlineStr">
        <is>
          <t>Fuel-switching / electrification / H2 / heat-pump / low-carbon feedstock. Out of scope — handled in electrification/H2 files (G0.1 ruling).</t>
        </is>
      </c>
      <c r="R172" s="85" t="n">
        <v>1</v>
      </c>
      <c r="S172" s="85" t="n">
        <v>0</v>
      </c>
      <c r="T172" s="85" t="n">
        <v>0</v>
      </c>
      <c r="U172" s="85" t="n">
        <v>0</v>
      </c>
      <c r="V172" s="85" t="n"/>
    </row>
    <row r="173">
      <c r="A173" s="97" t="inlineStr">
        <is>
          <t>Soda ash</t>
        </is>
      </c>
      <c r="B173" s="97" t="inlineStr">
        <is>
          <t>H2 boilers</t>
        </is>
      </c>
      <c r="C173" s="119" t="n">
        <v>0</v>
      </c>
      <c r="D173" s="119" t="n">
        <v>0.07000000000000001</v>
      </c>
      <c r="E173" s="119" t="n">
        <v>0.7</v>
      </c>
      <c r="F173" s="98" t="n">
        <v>11.2</v>
      </c>
      <c r="G173" s="98" t="n">
        <v>0</v>
      </c>
      <c r="H173" s="98" t="n">
        <v>-10</v>
      </c>
      <c r="I173" s="98" t="n">
        <v>62</v>
      </c>
      <c r="J173" s="98" t="n">
        <v>25</v>
      </c>
      <c r="K173" s="98" t="n">
        <v>-10</v>
      </c>
      <c r="L173" s="85" t="inlineStr">
        <is>
          <t>200-500C</t>
        </is>
      </c>
      <c r="M173" s="85" t="n">
        <v>0.05</v>
      </c>
      <c r="N173" s="85" t="inlineStr">
        <is>
          <t>Chemicals (20)</t>
        </is>
      </c>
      <c r="O173" s="85" t="n">
        <v>0.7161</v>
      </c>
      <c r="P173" s="85" t="inlineStr">
        <is>
          <t>X fuel-switch</t>
        </is>
      </c>
      <c r="Q173" s="85" t="inlineStr">
        <is>
          <t>Fuel-switching / electrification / H2 / heat-pump / low-carbon feedstock. Out of scope — handled in electrification/H2 files (G0.1 ruling).</t>
        </is>
      </c>
      <c r="R173" s="85" t="n">
        <v>1</v>
      </c>
      <c r="S173" s="85" t="n">
        <v>0</v>
      </c>
      <c r="T173" s="85" t="n">
        <v>0</v>
      </c>
      <c r="U173" s="85" t="n">
        <v>0.7</v>
      </c>
      <c r="V173" s="85" t="n"/>
    </row>
    <row r="174">
      <c r="A174" s="97" t="inlineStr">
        <is>
          <t>Soda ash</t>
        </is>
      </c>
      <c r="B174" s="97" t="inlineStr">
        <is>
          <t>Industrial mechanical vapor recompression (MVR)</t>
        </is>
      </c>
      <c r="C174" s="119" t="n">
        <v>0</v>
      </c>
      <c r="D174" s="119" t="n">
        <v>0.03</v>
      </c>
      <c r="E174" s="119" t="n">
        <v>0.3</v>
      </c>
      <c r="F174" s="98" t="n">
        <v>11.2</v>
      </c>
      <c r="G174" s="98" t="n">
        <v>-2.1</v>
      </c>
      <c r="H174" s="98" t="n">
        <v>0</v>
      </c>
      <c r="I174" s="98" t="n">
        <v>118</v>
      </c>
      <c r="J174" s="98" t="n">
        <v>15</v>
      </c>
      <c r="K174" s="98" t="n">
        <v>0</v>
      </c>
      <c r="L174" s="85" t="inlineStr">
        <is>
          <t>200-500C</t>
        </is>
      </c>
      <c r="M174" s="85" t="n">
        <v>0.05</v>
      </c>
      <c r="N174" s="85" t="inlineStr">
        <is>
          <t>Chemicals (20)</t>
        </is>
      </c>
      <c r="O174" s="85" t="n">
        <v>0.7161</v>
      </c>
      <c r="P174" s="85" t="inlineStr">
        <is>
          <t>X fuel-switch</t>
        </is>
      </c>
      <c r="Q174" s="85" t="inlineStr">
        <is>
          <t>Fuel-switching / electrification / H2 / heat-pump / low-carbon feedstock. Out of scope — handled in electrification/H2 files (G0.1 ruling).</t>
        </is>
      </c>
      <c r="R174" s="85" t="n">
        <v>1</v>
      </c>
      <c r="S174" s="85" t="n">
        <v>0</v>
      </c>
      <c r="T174" s="85" t="n">
        <v>0</v>
      </c>
      <c r="U174" s="85" t="n">
        <v>0.3</v>
      </c>
      <c r="V174" s="85" t="n"/>
    </row>
    <row r="175" ht="15" customHeight="1" thickBot="1">
      <c r="A175" s="41" t="inlineStr">
        <is>
          <t>Soda ash</t>
        </is>
      </c>
      <c r="B175" s="65" t="inlineStr">
        <is>
          <t>High temperature heat pump</t>
        </is>
      </c>
      <c r="C175" s="66" t="n">
        <v>0</v>
      </c>
      <c r="D175" s="66" t="n">
        <v>0.04</v>
      </c>
      <c r="E175" s="66" t="n">
        <v>0.4</v>
      </c>
      <c r="F175" s="67" t="n">
        <v>11.2</v>
      </c>
      <c r="G175" s="67" t="n">
        <v>-2.4</v>
      </c>
      <c r="H175" s="67" t="n">
        <v>0</v>
      </c>
      <c r="I175" s="67" t="n">
        <v>841</v>
      </c>
      <c r="J175" s="67" t="n">
        <v>15</v>
      </c>
      <c r="K175" s="67" t="n">
        <v>0</v>
      </c>
    </row>
  </sheetData>
  <mergeCells count="1">
    <mergeCell ref="A7:K7"/>
  </mergeCells>
  <hyperlinks>
    <hyperlink xmlns:r="http://schemas.openxmlformats.org/officeDocument/2006/relationships" ref="B2" location="Sec10" r:id="rId1"/>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H33"/>
  <sheetViews>
    <sheetView zoomScale="85" zoomScaleNormal="85" workbookViewId="0">
      <selection activeCell="O12" sqref="O12"/>
    </sheetView>
  </sheetViews>
  <sheetFormatPr baseColWidth="8" defaultRowHeight="14.5"/>
  <cols>
    <col width="10.7265625" bestFit="1" customWidth="1" min="2" max="2"/>
    <col width="8.7265625" customWidth="1" min="3" max="3"/>
    <col width="11.7265625" customWidth="1" min="4" max="4"/>
    <col width="11.453125" customWidth="1" min="6" max="6"/>
    <col width="10.81640625" customWidth="1" min="8" max="8"/>
  </cols>
  <sheetData>
    <row r="2" ht="15" customHeight="1" thickBot="1"/>
    <row r="3" ht="33.65" customHeight="1">
      <c r="B3" s="171" t="inlineStr">
        <is>
          <t>Products</t>
        </is>
      </c>
      <c r="C3" s="180" t="inlineStr">
        <is>
          <t>Specific energy consumption (SEC)</t>
        </is>
      </c>
      <c r="D3" s="172" t="n"/>
      <c r="E3" s="171" t="inlineStr">
        <is>
          <t>Share for heating</t>
        </is>
      </c>
      <c r="F3" s="172" t="n"/>
      <c r="G3" s="171" t="inlineStr">
        <is>
          <t>Share for cooling</t>
        </is>
      </c>
      <c r="H3" s="172" t="n"/>
    </row>
    <row r="4">
      <c r="B4" s="178" t="n"/>
      <c r="C4" s="181" t="n"/>
      <c r="D4" s="174" t="n"/>
      <c r="E4" s="173" t="n"/>
      <c r="F4" s="174" t="n"/>
      <c r="G4" s="173" t="n"/>
      <c r="H4" s="174" t="n"/>
    </row>
    <row r="5" ht="15" customHeight="1" thickBot="1">
      <c r="B5" s="178" t="n"/>
      <c r="C5" s="177" t="inlineStr">
        <is>
          <t>(in GJ/t product)</t>
        </is>
      </c>
      <c r="D5" s="176" t="n"/>
      <c r="E5" s="175" t="n"/>
      <c r="F5" s="176" t="n"/>
      <c r="G5" s="175" t="n"/>
      <c r="H5" s="176" t="n"/>
    </row>
    <row r="6" ht="15.65" customHeight="1" thickBot="1" thickTop="1">
      <c r="B6" s="179" t="n"/>
      <c r="C6" s="141" t="inlineStr">
        <is>
          <t>Fuels</t>
        </is>
      </c>
      <c r="D6" s="141" t="inlineStr">
        <is>
          <t>Electricity</t>
        </is>
      </c>
      <c r="E6" s="141" t="inlineStr">
        <is>
          <t>Fuels</t>
        </is>
      </c>
      <c r="F6" s="141" t="inlineStr">
        <is>
          <t>Electricity</t>
        </is>
      </c>
      <c r="G6" s="141" t="inlineStr">
        <is>
          <t>Fuels</t>
        </is>
      </c>
      <c r="H6" s="141" t="inlineStr">
        <is>
          <t>Electricity</t>
        </is>
      </c>
    </row>
    <row r="7" ht="15.65" customHeight="1" thickBot="1" thickTop="1">
      <c r="B7" s="146" t="inlineStr">
        <is>
          <t>Chemicals</t>
        </is>
      </c>
      <c r="C7" s="143" t="n"/>
      <c r="D7" s="143" t="n"/>
      <c r="E7" s="143" t="n"/>
      <c r="F7" s="143" t="n"/>
      <c r="G7" s="143" t="n"/>
      <c r="H7" s="143" t="n"/>
    </row>
    <row r="8" ht="28.5" customHeight="1" thickBot="1">
      <c r="B8" s="146" t="inlineStr">
        <is>
          <t>Carbon black</t>
        </is>
      </c>
      <c r="C8" s="142" t="inlineStr">
        <is>
          <t>52.7a</t>
        </is>
      </c>
      <c r="D8" s="142" t="n">
        <v>1.8</v>
      </c>
      <c r="E8" s="144" t="n">
        <v>1</v>
      </c>
      <c r="F8" s="144" t="n">
        <v>0</v>
      </c>
      <c r="G8" s="144" t="n">
        <v>0</v>
      </c>
      <c r="H8" s="144" t="n">
        <v>0.06</v>
      </c>
    </row>
    <row r="9" ht="17.15" customHeight="1" thickBot="1">
      <c r="B9" s="146" t="inlineStr">
        <is>
          <t>Ethylene</t>
        </is>
      </c>
      <c r="C9" s="142" t="inlineStr">
        <is>
          <t>31.8a</t>
        </is>
      </c>
      <c r="D9" s="142" t="n">
        <v>0</v>
      </c>
      <c r="E9" s="144" t="n">
        <v>1</v>
      </c>
      <c r="F9" s="144" t="n">
        <v>0</v>
      </c>
      <c r="G9" s="144" t="n">
        <v>0</v>
      </c>
      <c r="H9" s="144" t="n">
        <v>0</v>
      </c>
    </row>
    <row r="10" ht="15" customHeight="1" thickBot="1">
      <c r="B10" s="146" t="inlineStr">
        <is>
          <t>Methanol</t>
        </is>
      </c>
      <c r="C10" s="142" t="n">
        <v>15</v>
      </c>
      <c r="D10" s="142" t="n">
        <v>0.5</v>
      </c>
      <c r="E10" s="144" t="n">
        <v>1</v>
      </c>
      <c r="F10" s="144" t="n">
        <v>0</v>
      </c>
      <c r="G10" s="144" t="n">
        <v>0</v>
      </c>
      <c r="H10" s="144" t="n">
        <v>0.04</v>
      </c>
    </row>
    <row r="11" ht="15" customHeight="1" thickBot="1">
      <c r="B11" s="146" t="inlineStr">
        <is>
          <t>Ammonia</t>
        </is>
      </c>
      <c r="C11" s="142" t="n">
        <v>11.3</v>
      </c>
      <c r="D11" s="142" t="n">
        <v>0.5</v>
      </c>
      <c r="E11" s="144" t="n">
        <v>1</v>
      </c>
      <c r="F11" s="144" t="n">
        <v>0</v>
      </c>
      <c r="G11" s="144" t="n">
        <v>0</v>
      </c>
      <c r="H11" s="144" t="n">
        <v>0.06</v>
      </c>
    </row>
    <row r="12" ht="15" customHeight="1" thickBot="1">
      <c r="B12" s="146" t="inlineStr">
        <is>
          <t>Soda ash</t>
        </is>
      </c>
      <c r="C12" s="142" t="n">
        <v>11.3</v>
      </c>
      <c r="D12" s="142" t="n">
        <v>0.3</v>
      </c>
      <c r="E12" s="144" t="n">
        <v>1</v>
      </c>
      <c r="F12" s="144" t="n">
        <v>0</v>
      </c>
      <c r="G12" s="144" t="n">
        <v>0</v>
      </c>
      <c r="H12" s="144" t="n">
        <v>0</v>
      </c>
    </row>
    <row r="13" ht="28.5" customHeight="1" thickBot="1">
      <c r="B13" s="146" t="inlineStr">
        <is>
          <t>All rest chemicals</t>
        </is>
      </c>
      <c r="C13" s="143" t="n"/>
      <c r="D13" s="143" t="n"/>
      <c r="E13" s="144" t="n">
        <v>1</v>
      </c>
      <c r="F13" s="144" t="n">
        <v>0</v>
      </c>
      <c r="G13" s="144" t="n">
        <v>0</v>
      </c>
      <c r="H13" s="144" t="n">
        <v>0.03</v>
      </c>
    </row>
    <row r="14" ht="28.5" customHeight="1" thickBot="1">
      <c r="B14" s="146" t="inlineStr">
        <is>
          <t>Iron and steel</t>
        </is>
      </c>
      <c r="C14" s="143" t="n"/>
      <c r="D14" s="143" t="n"/>
      <c r="E14" s="143" t="n"/>
      <c r="F14" s="143" t="n"/>
      <c r="G14" s="143" t="n"/>
      <c r="H14" s="143" t="n"/>
    </row>
    <row r="15" ht="28.5" customHeight="1" thickBot="1">
      <c r="B15" s="146" t="inlineStr">
        <is>
          <t>Blast furnace</t>
        </is>
      </c>
      <c r="C15" s="142" t="n">
        <v>11.6</v>
      </c>
      <c r="D15" s="142" t="n">
        <v>0.6</v>
      </c>
      <c r="E15" s="144" t="n">
        <v>1</v>
      </c>
      <c r="F15" s="144" t="n">
        <v>0</v>
      </c>
      <c r="G15" s="144" t="n">
        <v>0</v>
      </c>
      <c r="H15" s="144" t="n">
        <v>0</v>
      </c>
    </row>
    <row r="16" ht="28.5" customHeight="1" thickBot="1">
      <c r="B16" s="146" t="inlineStr">
        <is>
          <t>Rolled steel</t>
        </is>
      </c>
      <c r="C16" s="142" t="inlineStr">
        <is>
          <t>1.8b</t>
        </is>
      </c>
      <c r="D16" s="142" t="inlineStr">
        <is>
          <t>0.4b</t>
        </is>
      </c>
      <c r="E16" s="144" t="n">
        <v>1</v>
      </c>
      <c r="F16" s="144" t="n">
        <v>0.1</v>
      </c>
      <c r="G16" s="144" t="n">
        <v>0</v>
      </c>
      <c r="H16" s="144" t="n">
        <v>0</v>
      </c>
    </row>
    <row r="17" ht="28.5" customHeight="1" thickBot="1">
      <c r="B17" s="146" t="inlineStr">
        <is>
          <t>Electric arc furnace</t>
        </is>
      </c>
      <c r="C17" s="142" t="n">
        <v>1</v>
      </c>
      <c r="D17" s="142" t="n">
        <v>2.3</v>
      </c>
      <c r="E17" s="144" t="n">
        <v>1</v>
      </c>
      <c r="F17" s="144" t="n">
        <v>0.95</v>
      </c>
      <c r="G17" s="144" t="n">
        <v>0</v>
      </c>
      <c r="H17" s="144" t="n">
        <v>0</v>
      </c>
    </row>
    <row r="18" ht="15" customHeight="1" thickBot="1">
      <c r="B18" s="146" t="inlineStr">
        <is>
          <t>Coke oven</t>
        </is>
      </c>
      <c r="C18" s="142" t="n">
        <v>3.2</v>
      </c>
      <c r="D18" s="142" t="n">
        <v>0.1</v>
      </c>
      <c r="E18" s="144" t="n">
        <v>1</v>
      </c>
      <c r="F18" s="144" t="n">
        <v>0</v>
      </c>
      <c r="G18" s="144" t="n">
        <v>0</v>
      </c>
      <c r="H18" s="144" t="n">
        <v>0</v>
      </c>
    </row>
    <row r="19" ht="28.5" customHeight="1" thickBot="1">
      <c r="B19" s="146" t="inlineStr">
        <is>
          <t>All rest iron and steel</t>
        </is>
      </c>
      <c r="C19" s="143" t="n"/>
      <c r="D19" s="143" t="n"/>
      <c r="E19" s="144" t="n">
        <v>1</v>
      </c>
      <c r="F19" s="144" t="n">
        <v>0</v>
      </c>
      <c r="G19" s="144" t="n">
        <v>0</v>
      </c>
      <c r="H19" s="144" t="n">
        <v>0</v>
      </c>
    </row>
    <row r="20" ht="42.65" customHeight="1" thickBot="1">
      <c r="B20" s="146" t="inlineStr">
        <is>
          <t>Non-ferrous metals</t>
        </is>
      </c>
      <c r="C20" s="143" t="n"/>
      <c r="D20" s="143" t="n"/>
      <c r="E20" s="143" t="n"/>
      <c r="F20" s="143" t="n"/>
      <c r="G20" s="143" t="n"/>
      <c r="H20" s="143" t="n"/>
    </row>
    <row r="21" ht="28.5" customHeight="1" thickBot="1">
      <c r="B21" s="146" t="inlineStr">
        <is>
          <t>Primary aluminium</t>
        </is>
      </c>
      <c r="C21" s="142" t="n">
        <v>0</v>
      </c>
      <c r="D21" s="142" t="n">
        <v>55.8</v>
      </c>
      <c r="E21" s="144" t="n">
        <v>1</v>
      </c>
      <c r="F21" s="144" t="n">
        <v>0.05</v>
      </c>
      <c r="G21" s="144" t="n">
        <v>0</v>
      </c>
      <c r="H21" s="144" t="n">
        <v>0</v>
      </c>
    </row>
    <row r="22" ht="42.65" customHeight="1" thickBot="1">
      <c r="B22" s="146" t="inlineStr">
        <is>
          <t>All rest non-ferrous metals</t>
        </is>
      </c>
      <c r="C22" s="143" t="n"/>
      <c r="D22" s="143" t="n"/>
      <c r="E22" s="144" t="n">
        <v>1</v>
      </c>
      <c r="F22" s="144" t="n">
        <v>0.05</v>
      </c>
      <c r="G22" s="144" t="n">
        <v>0</v>
      </c>
      <c r="H22" s="144" t="n">
        <v>0</v>
      </c>
    </row>
    <row r="23" ht="42.65" customHeight="1" thickBot="1">
      <c r="B23" s="146" t="inlineStr">
        <is>
          <t>Non-metallic minerals</t>
        </is>
      </c>
      <c r="C23" s="143" t="n"/>
      <c r="D23" s="143" t="n"/>
      <c r="E23" s="143" t="n"/>
      <c r="F23" s="143" t="n"/>
      <c r="G23" s="143" t="n"/>
      <c r="H23" s="143" t="n"/>
    </row>
    <row r="24" ht="17.15" customHeight="1" thickBot="1">
      <c r="B24" s="146" t="inlineStr">
        <is>
          <t>Cement</t>
        </is>
      </c>
      <c r="C24" s="142" t="inlineStr">
        <is>
          <t>3.7c</t>
        </is>
      </c>
      <c r="D24" s="142" t="inlineStr">
        <is>
          <t>0.5c</t>
        </is>
      </c>
      <c r="E24" s="144" t="n">
        <v>1</v>
      </c>
      <c r="F24" s="144" t="n">
        <v>0</v>
      </c>
      <c r="G24" s="144" t="n">
        <v>0</v>
      </c>
      <c r="H24" s="144" t="n">
        <v>0</v>
      </c>
    </row>
    <row r="25" ht="15" customHeight="1" thickBot="1">
      <c r="B25" s="146" t="inlineStr">
        <is>
          <t>Flat glass</t>
        </is>
      </c>
      <c r="C25" s="142" t="n">
        <v>10.9</v>
      </c>
      <c r="D25" s="142" t="n">
        <v>3.3</v>
      </c>
      <c r="E25" s="144" t="n">
        <v>1</v>
      </c>
      <c r="F25" s="144" t="n">
        <v>0</v>
      </c>
      <c r="G25" s="144" t="n">
        <v>0</v>
      </c>
      <c r="H25" s="144" t="n">
        <v>0.06</v>
      </c>
    </row>
    <row r="26" ht="28.5" customHeight="1" thickBot="1">
      <c r="B26" s="146" t="inlineStr">
        <is>
          <t>Container glass</t>
        </is>
      </c>
      <c r="C26" s="142" t="n">
        <v>5.8</v>
      </c>
      <c r="D26" s="142" t="n">
        <v>1.4</v>
      </c>
      <c r="E26" s="144" t="n">
        <v>1</v>
      </c>
      <c r="F26" s="144" t="n">
        <v>0.04</v>
      </c>
      <c r="G26" s="144" t="n">
        <v>0</v>
      </c>
      <c r="H26" s="144" t="n">
        <v>0.06</v>
      </c>
    </row>
    <row r="27" ht="42.65" customHeight="1" thickBot="1">
      <c r="B27" s="146" t="inlineStr">
        <is>
          <t>All rest non-metallic minerals</t>
        </is>
      </c>
      <c r="C27" s="143" t="n"/>
      <c r="D27" s="143" t="n"/>
      <c r="E27" s="144" t="n">
        <v>1</v>
      </c>
      <c r="F27" s="144" t="n">
        <v>0</v>
      </c>
      <c r="G27" s="144" t="n">
        <v>0</v>
      </c>
      <c r="H27" s="144" t="n">
        <v>0.02</v>
      </c>
    </row>
    <row r="28" ht="28.5" customHeight="1" thickBot="1">
      <c r="B28" s="146" t="inlineStr">
        <is>
          <t>Pulp and paper</t>
        </is>
      </c>
      <c r="C28" s="143" t="n"/>
      <c r="D28" s="143" t="n"/>
      <c r="E28" s="143" t="n"/>
      <c r="F28" s="143" t="n"/>
      <c r="G28" s="143" t="n"/>
      <c r="H28" s="143" t="n"/>
    </row>
    <row r="29" ht="15" customHeight="1" thickBot="1">
      <c r="B29" s="146" t="inlineStr">
        <is>
          <t>Paper</t>
        </is>
      </c>
      <c r="C29" s="142" t="n">
        <v>5.5</v>
      </c>
      <c r="D29" s="142" t="n">
        <v>1.9</v>
      </c>
      <c r="E29" s="144" t="n">
        <v>1</v>
      </c>
      <c r="F29" s="144" t="n">
        <v>0.01</v>
      </c>
      <c r="G29" s="144" t="n">
        <v>0</v>
      </c>
      <c r="H29" s="144" t="n">
        <v>0.01</v>
      </c>
    </row>
    <row r="30" ht="28.5" customHeight="1" thickBot="1">
      <c r="B30" s="146" t="inlineStr">
        <is>
          <t>Chemical pulp</t>
        </is>
      </c>
      <c r="C30" s="142" t="n">
        <v>12.7</v>
      </c>
      <c r="D30" s="142" t="n">
        <v>2.3</v>
      </c>
      <c r="E30" s="144" t="n">
        <v>1</v>
      </c>
      <c r="F30" s="144" t="n">
        <v>0.01</v>
      </c>
      <c r="G30" s="144" t="n">
        <v>0</v>
      </c>
      <c r="H30" s="144" t="n">
        <v>0</v>
      </c>
    </row>
    <row r="31" ht="42.65" customHeight="1" thickBot="1">
      <c r="B31" s="146" t="inlineStr">
        <is>
          <t>All rest pulp and paper</t>
        </is>
      </c>
      <c r="C31" s="143" t="n"/>
      <c r="D31" s="143" t="n"/>
      <c r="E31" s="144" t="n">
        <v>1</v>
      </c>
      <c r="F31" s="144" t="n">
        <v>0.01</v>
      </c>
      <c r="G31" s="144" t="n">
        <v>0</v>
      </c>
      <c r="H31" s="145" t="n">
        <v>0.005</v>
      </c>
    </row>
    <row r="32" ht="15" customHeight="1" thickBot="1">
      <c r="B32" s="146" t="inlineStr">
        <is>
          <t>Others</t>
        </is>
      </c>
      <c r="C32" s="143" t="n"/>
      <c r="D32" s="143" t="n"/>
      <c r="E32" s="143" t="n"/>
      <c r="F32" s="143" t="n"/>
      <c r="G32" s="143" t="n"/>
      <c r="H32" s="143" t="n"/>
    </row>
    <row r="33" ht="28.5" customHeight="1" thickBot="1">
      <c r="B33" s="147" t="inlineStr">
        <is>
          <t>All rest others</t>
        </is>
      </c>
      <c r="C33" s="148" t="n"/>
      <c r="D33" s="148" t="n"/>
      <c r="E33" s="149" t="n">
        <v>1</v>
      </c>
      <c r="F33" s="149" t="n">
        <v>0.05</v>
      </c>
      <c r="G33" s="149" t="n">
        <v>0</v>
      </c>
      <c r="H33" s="149" t="n">
        <v>0.15</v>
      </c>
    </row>
  </sheetData>
  <mergeCells count="6">
    <mergeCell ref="G3:H5"/>
    <mergeCell ref="E3:F5"/>
    <mergeCell ref="C5:D5"/>
    <mergeCell ref="B3:B6"/>
    <mergeCell ref="C3:D3"/>
    <mergeCell ref="C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37"/>
  <sheetViews>
    <sheetView workbookViewId="0">
      <selection activeCell="I29" sqref="I29"/>
    </sheetView>
  </sheetViews>
  <sheetFormatPr baseColWidth="8" defaultRowHeight="14.5"/>
  <cols>
    <col width="27.26953125" customWidth="1" min="1" max="1"/>
    <col width="25.453125" customWidth="1" min="2" max="2"/>
    <col width="18.81640625" customWidth="1" min="5" max="5"/>
    <col width="15.1796875" customWidth="1" min="6" max="6"/>
    <col width="13.7265625" customWidth="1" min="7" max="7"/>
    <col width="11.26953125" bestFit="1" customWidth="1" min="8" max="8"/>
    <col width="45.453125" bestFit="1" customWidth="1" min="9" max="9"/>
  </cols>
  <sheetData>
    <row r="1" ht="18.65" customHeight="1">
      <c r="A1" s="73" t="inlineStr">
        <is>
          <t>Product map &amp; source data</t>
        </is>
      </c>
    </row>
    <row r="2">
      <c r="A2" t="inlineStr">
        <is>
          <t>Per-product attributes referenced by Kermeli Data (XLOOKUP). Temp band &amp; burner-integral penetration per G0.1 ruling-approved mapping. Heat-share links to 'heat share (src)'. US tonnages added in T4.2.</t>
        </is>
      </c>
    </row>
    <row r="4">
      <c r="A4" s="1" t="inlineStr">
        <is>
          <t>Band -&gt; burner-integral penetration (start-year, already credited in unit files)</t>
        </is>
      </c>
    </row>
    <row r="5">
      <c r="A5" s="1" t="inlineStr">
        <is>
          <t>Band</t>
        </is>
      </c>
      <c r="B5" s="1" t="inlineStr">
        <is>
          <t>Penetration</t>
        </is>
      </c>
    </row>
    <row r="6">
      <c r="A6" t="inlineStr">
        <is>
          <t>&lt;100C</t>
        </is>
      </c>
      <c r="B6" s="78" t="n">
        <v>0</v>
      </c>
      <c r="F6" s="78" t="n"/>
    </row>
    <row r="7">
      <c r="A7" t="inlineStr">
        <is>
          <t>100-200C</t>
        </is>
      </c>
      <c r="B7" s="78" t="n">
        <v>0</v>
      </c>
      <c r="F7" s="78" t="n"/>
    </row>
    <row r="8">
      <c r="A8" t="inlineStr">
        <is>
          <t>200-500C</t>
        </is>
      </c>
      <c r="B8" s="78" t="n">
        <v>0.05</v>
      </c>
      <c r="F8" s="78" t="n"/>
    </row>
    <row r="9">
      <c r="A9" t="inlineStr">
        <is>
          <t>500-1000C</t>
        </is>
      </c>
      <c r="B9" s="78" t="n">
        <v>0.174</v>
      </c>
      <c r="F9" s="78" t="n"/>
    </row>
    <row r="10">
      <c r="A10" t="inlineStr">
        <is>
          <t>&gt;1000C</t>
        </is>
      </c>
      <c r="B10" s="78" t="n">
        <v>0.587</v>
      </c>
      <c r="F10" s="78" t="n"/>
    </row>
    <row r="11">
      <c r="F11" s="78" t="n"/>
    </row>
    <row r="12">
      <c r="F12" s="78" t="n"/>
    </row>
    <row r="13" ht="58" customFormat="1" customHeight="1" s="140">
      <c r="A13" s="138" t="inlineStr">
        <is>
          <t>Product</t>
        </is>
      </c>
      <c r="B13" s="138" t="inlineStr">
        <is>
          <t>EPS / heat-share industry</t>
        </is>
      </c>
      <c r="C13" s="138" t="inlineStr">
        <is>
          <t>Heat-share code</t>
        </is>
      </c>
      <c r="D13" s="138" t="inlineStr">
        <is>
          <t>Heat share (link)</t>
        </is>
      </c>
      <c r="E13" s="138" t="inlineStr">
        <is>
          <t>Temp band (dominant)</t>
        </is>
      </c>
      <c r="F13" s="139" t="inlineStr">
        <is>
          <t>Burner-integral penetration</t>
        </is>
      </c>
      <c r="G13" s="138" t="inlineStr">
        <is>
          <t>US production (Mt/yr)</t>
        </is>
      </c>
      <c r="H13" s="138" t="inlineStr">
        <is>
          <t>Basis year</t>
        </is>
      </c>
      <c r="I13" s="138" t="inlineStr">
        <is>
          <t>Source (primary)</t>
        </is>
      </c>
      <c r="J13" s="138" t="inlineStr">
        <is>
          <t>Split method / notes</t>
        </is>
      </c>
      <c r="K13" s="138" t="inlineStr">
        <is>
          <t>SEC total (GJ/t) — Kermeli Table 1</t>
        </is>
      </c>
      <c r="L13" s="138" t="inlineStr">
        <is>
          <t>Steel split inputs</t>
        </is>
      </c>
      <c r="N13" s="138" t="inlineStr">
        <is>
          <t>SEC x prod (TBtu)</t>
        </is>
      </c>
    </row>
    <row r="14">
      <c r="A14" t="inlineStr">
        <is>
          <t>Primary aluminum</t>
        </is>
      </c>
      <c r="B14" t="inlineStr">
        <is>
          <t>Other metals (242)</t>
        </is>
      </c>
      <c r="C14" t="n">
        <v>242</v>
      </c>
      <c r="D14" s="77" t="n">
        <v>0.6089</v>
      </c>
      <c r="E14" t="inlineStr">
        <is>
          <t>&gt;1000C</t>
        </is>
      </c>
      <c r="F14" s="78" t="n">
        <v>0.587</v>
      </c>
      <c r="G14" t="n">
        <v>0.67</v>
      </c>
      <c r="H14" t="inlineStr">
        <is>
          <t>2024e</t>
        </is>
      </c>
      <c r="I14" t="inlineStr">
        <is>
          <t>USGS MCS 2025 Aluminum</t>
        </is>
      </c>
      <c r="K14" t="n">
        <v>55.8</v>
      </c>
      <c r="L14" t="inlineStr">
        <is>
          <t>US crude steel total (Mt)</t>
        </is>
      </c>
      <c r="M14" t="n">
        <v>79.5</v>
      </c>
      <c r="N14" t="n">
        <v>35.435086362</v>
      </c>
    </row>
    <row r="15">
      <c r="A15" t="inlineStr">
        <is>
          <t>Secondary aluminum</t>
        </is>
      </c>
      <c r="B15" t="inlineStr">
        <is>
          <t>Other metals (242)</t>
        </is>
      </c>
      <c r="C15" t="n">
        <v>242</v>
      </c>
      <c r="D15" s="77" t="n">
        <v>0.6089</v>
      </c>
      <c r="E15" t="inlineStr">
        <is>
          <t>500-1000C</t>
        </is>
      </c>
      <c r="F15" s="78" t="n">
        <v>0.174</v>
      </c>
      <c r="G15" t="n">
        <v>1.6</v>
      </c>
      <c r="H15" t="inlineStr">
        <is>
          <t>2024e</t>
        </is>
      </c>
      <c r="I15" t="inlineStr">
        <is>
          <t>USGS MCS 2025 Aluminum (old scrap)</t>
        </is>
      </c>
      <c r="K15" t="inlineStr">
        <is>
          <t>pending</t>
        </is>
      </c>
      <c r="L15" t="inlineStr">
        <is>
          <t>EAF share</t>
        </is>
      </c>
      <c r="M15" t="n">
        <v>0.718</v>
      </c>
      <c r="N15" t="n">
        <v>0</v>
      </c>
    </row>
    <row r="16">
      <c r="A16" t="inlineStr">
        <is>
          <t>Aluminum foundries</t>
        </is>
      </c>
      <c r="B16" t="inlineStr">
        <is>
          <t>Other metals (242)</t>
        </is>
      </c>
      <c r="C16" t="n">
        <v>242</v>
      </c>
      <c r="D16" s="77" t="n">
        <v>0.6089</v>
      </c>
      <c r="E16" t="inlineStr">
        <is>
          <t>500-1000C</t>
        </is>
      </c>
      <c r="F16" s="78" t="n">
        <v>0.174</v>
      </c>
      <c r="G16" t="n">
        <v>2.4</v>
      </c>
      <c r="H16" t="inlineStr">
        <is>
          <t>~2023 est</t>
        </is>
      </c>
      <c r="I16" t="inlineStr">
        <is>
          <t>ESTIMATED (AFS census basis)</t>
        </is>
      </c>
      <c r="J16" t="inlineStr">
        <is>
          <t>estimated split</t>
        </is>
      </c>
      <c r="K16" t="inlineStr">
        <is>
          <t>pending</t>
        </is>
      </c>
      <c r="L16" t="inlineStr">
        <is>
          <t>Note</t>
        </is>
      </c>
      <c r="M16" t="inlineStr">
        <is>
          <t>EAF/BOF split = total x EAF share; rolled ≈ total crude steel; pig iron proxy ≈ BOF-route crude steel.</t>
        </is>
      </c>
      <c r="N16" t="n">
        <v>0</v>
      </c>
    </row>
    <row r="17">
      <c r="A17" t="inlineStr">
        <is>
          <t>Coke oven</t>
        </is>
      </c>
      <c r="B17" t="inlineStr">
        <is>
          <t>Iron &amp; steel (241)</t>
        </is>
      </c>
      <c r="C17" t="n">
        <v>241</v>
      </c>
      <c r="D17" s="77" t="n">
        <v>0.6516</v>
      </c>
      <c r="E17" t="inlineStr">
        <is>
          <t>&gt;1000C</t>
        </is>
      </c>
      <c r="F17" s="78" t="n">
        <v>0.587</v>
      </c>
      <c r="G17" t="n">
        <v>9.07</v>
      </c>
      <c r="H17" t="n">
        <v>2025</v>
      </c>
      <c r="I17" t="inlineStr">
        <is>
          <t>EIA Today in Energy / Quarterly Coal Report</t>
        </is>
      </c>
      <c r="K17" t="n">
        <v>3.3</v>
      </c>
      <c r="L17" t="inlineStr">
        <is>
          <t>US paper total (Mt, 2023 FAO)</t>
        </is>
      </c>
      <c r="M17" t="n">
        <v>60.7</v>
      </c>
      <c r="N17" t="n">
        <v>28.369110627</v>
      </c>
    </row>
    <row r="18">
      <c r="A18" t="inlineStr">
        <is>
          <t>Pig iron</t>
        </is>
      </c>
      <c r="B18" t="inlineStr">
        <is>
          <t>Iron &amp; steel (241)</t>
        </is>
      </c>
      <c r="C18" t="n">
        <v>241</v>
      </c>
      <c r="D18" s="77" t="n">
        <v>0.6516</v>
      </c>
      <c r="E18" t="inlineStr">
        <is>
          <t>&gt;1000C</t>
        </is>
      </c>
      <c r="F18" s="78" t="n">
        <v>0.587</v>
      </c>
      <c r="G18" t="n">
        <v>22.419</v>
      </c>
      <c r="H18" t="inlineStr">
        <is>
          <t>2024 (proxy)</t>
        </is>
      </c>
      <c r="I18" t="inlineStr">
        <is>
          <t>Proxy from crude-steel split (see L13:M16)</t>
        </is>
      </c>
      <c r="K18" t="n">
        <v>12.2</v>
      </c>
      <c r="N18" t="n">
        <v>259.2391337406</v>
      </c>
    </row>
    <row r="19">
      <c r="A19" t="inlineStr">
        <is>
          <t>BF/BOF steel</t>
        </is>
      </c>
      <c r="B19" t="inlineStr">
        <is>
          <t>Iron &amp; steel (241)</t>
        </is>
      </c>
      <c r="C19" t="n">
        <v>241</v>
      </c>
      <c r="D19" s="77" t="n">
        <v>0.6516</v>
      </c>
      <c r="E19" t="inlineStr">
        <is>
          <t>&gt;1000C</t>
        </is>
      </c>
      <c r="F19" s="78" t="n">
        <v>0.587</v>
      </c>
      <c r="G19" t="n">
        <v>22.419</v>
      </c>
      <c r="H19" t="n">
        <v>2024</v>
      </c>
      <c r="I19" t="inlineStr">
        <is>
          <t>worldsteel/AISI x (1 - EAF share)</t>
        </is>
      </c>
      <c r="K19" t="inlineStr">
        <is>
          <t>pending</t>
        </is>
      </c>
      <c r="N19" t="n">
        <v>0</v>
      </c>
    </row>
    <row r="20">
      <c r="A20" t="inlineStr">
        <is>
          <t>EAF steel</t>
        </is>
      </c>
      <c r="B20" t="inlineStr">
        <is>
          <t>Iron &amp; steel (241)</t>
        </is>
      </c>
      <c r="C20" t="n">
        <v>241</v>
      </c>
      <c r="D20" s="77" t="n">
        <v>0.6516</v>
      </c>
      <c r="E20" t="inlineStr">
        <is>
          <t>&gt;1000C</t>
        </is>
      </c>
      <c r="F20" s="78" t="n">
        <v>0.587</v>
      </c>
      <c r="G20" t="n">
        <v>57.081</v>
      </c>
      <c r="H20" t="n">
        <v>2024</v>
      </c>
      <c r="I20" t="inlineStr">
        <is>
          <t>worldsteel/AISI x EAF share</t>
        </is>
      </c>
      <c r="K20" t="n">
        <v>3.3</v>
      </c>
      <c r="N20" t="n">
        <v>178.5377291841</v>
      </c>
    </row>
    <row r="21">
      <c r="A21" t="inlineStr">
        <is>
          <t>Rolled steel</t>
        </is>
      </c>
      <c r="B21" t="inlineStr">
        <is>
          <t>Iron &amp; steel (241)</t>
        </is>
      </c>
      <c r="C21" t="n">
        <v>241</v>
      </c>
      <c r="D21" s="77" t="n">
        <v>0.6516</v>
      </c>
      <c r="E21" t="inlineStr">
        <is>
          <t>500-1000C</t>
        </is>
      </c>
      <c r="F21" s="78" t="n">
        <v>0.174</v>
      </c>
      <c r="G21" t="n">
        <v>79.5</v>
      </c>
      <c r="H21" t="n">
        <v>2024</v>
      </c>
      <c r="I21" t="inlineStr">
        <is>
          <t>≈ total crude steel (worldsteel/AISI)</t>
        </is>
      </c>
      <c r="K21" t="n">
        <v>2.2</v>
      </c>
      <c r="N21" t="n">
        <v>165.7731933</v>
      </c>
    </row>
    <row r="22">
      <c r="A22" t="inlineStr">
        <is>
          <t>Container glass</t>
        </is>
      </c>
      <c r="B22" t="inlineStr">
        <is>
          <t>Glass (231)</t>
        </is>
      </c>
      <c r="C22" t="n">
        <v>231</v>
      </c>
      <c r="D22" s="77" t="n">
        <v>0.7514</v>
      </c>
      <c r="E22" t="inlineStr">
        <is>
          <t>&gt;1000C</t>
        </is>
      </c>
      <c r="F22" s="78" t="n">
        <v>0.587</v>
      </c>
      <c r="G22" t="n">
        <v>10</v>
      </c>
      <c r="H22" t="inlineStr">
        <is>
          <t>~2024 est</t>
        </is>
      </c>
      <c r="I22" t="inlineStr">
        <is>
          <t>ESTIMATED (market research)</t>
        </is>
      </c>
      <c r="J22" t="inlineStr">
        <is>
          <t>estimated split</t>
        </is>
      </c>
      <c r="K22" t="n">
        <v>7.2</v>
      </c>
      <c r="N22" t="n">
        <v>68.242824</v>
      </c>
    </row>
    <row r="23">
      <c r="A23" t="inlineStr">
        <is>
          <t>Flat glass</t>
        </is>
      </c>
      <c r="B23" t="inlineStr">
        <is>
          <t>Glass (231)</t>
        </is>
      </c>
      <c r="C23" t="n">
        <v>231</v>
      </c>
      <c r="D23" s="77" t="n">
        <v>0.7514</v>
      </c>
      <c r="E23" t="inlineStr">
        <is>
          <t>&gt;1000C</t>
        </is>
      </c>
      <c r="F23" s="78" t="n">
        <v>0.587</v>
      </c>
      <c r="G23" t="n">
        <v>5</v>
      </c>
      <c r="H23" t="inlineStr">
        <is>
          <t>~2024 est</t>
        </is>
      </c>
      <c r="I23" t="inlineStr">
        <is>
          <t>ESTIMATED (market research)</t>
        </is>
      </c>
      <c r="J23" t="inlineStr">
        <is>
          <t>estimated split</t>
        </is>
      </c>
      <c r="K23" t="n">
        <v>14.2</v>
      </c>
      <c r="N23" t="n">
        <v>67.295007</v>
      </c>
    </row>
    <row r="24">
      <c r="A24" t="inlineStr">
        <is>
          <t>Mechanical pulp</t>
        </is>
      </c>
      <c r="B24" t="inlineStr">
        <is>
          <t>Pulp &amp; paper (17T18)</t>
        </is>
      </c>
      <c r="C24" t="inlineStr">
        <is>
          <t>17T18</t>
        </is>
      </c>
      <c r="D24" s="77" t="n">
        <v>0.8551</v>
      </c>
      <c r="E24" t="inlineStr">
        <is>
          <t>100-200C</t>
        </is>
      </c>
      <c r="F24" s="78" t="n">
        <v>0</v>
      </c>
      <c r="G24" t="n">
        <v>1.5</v>
      </c>
      <c r="H24" t="inlineStr">
        <is>
          <t>~2023 est</t>
        </is>
      </c>
      <c r="I24" t="inlineStr">
        <is>
          <t>ESTIMATED (FAO-anchored)</t>
        </is>
      </c>
      <c r="J24" t="inlineStr">
        <is>
          <t>estimated split</t>
        </is>
      </c>
      <c r="K24" t="inlineStr">
        <is>
          <t>pending</t>
        </is>
      </c>
      <c r="N24" t="n">
        <v>0</v>
      </c>
    </row>
    <row r="25">
      <c r="A25" t="inlineStr">
        <is>
          <t>Recovered fibre pulp</t>
        </is>
      </c>
      <c r="B25" t="inlineStr">
        <is>
          <t>Pulp &amp; paper (17T18)</t>
        </is>
      </c>
      <c r="C25" t="inlineStr">
        <is>
          <t>17T18</t>
        </is>
      </c>
      <c r="D25" s="77" t="n">
        <v>0.8551</v>
      </c>
      <c r="E25" t="inlineStr">
        <is>
          <t>100-200C</t>
        </is>
      </c>
      <c r="F25" s="78" t="n">
        <v>0</v>
      </c>
      <c r="G25" t="n">
        <v>20</v>
      </c>
      <c r="H25" t="inlineStr">
        <is>
          <t>~2023 est</t>
        </is>
      </c>
      <c r="I25" t="inlineStr">
        <is>
          <t>ESTIMATED (FAO-anchored)</t>
        </is>
      </c>
      <c r="J25" t="inlineStr">
        <is>
          <t>estimated split</t>
        </is>
      </c>
      <c r="K25" t="inlineStr">
        <is>
          <t>pending</t>
        </is>
      </c>
      <c r="N25" t="n">
        <v>0</v>
      </c>
    </row>
    <row r="26">
      <c r="A26" t="inlineStr">
        <is>
          <t>Chemical pulp</t>
        </is>
      </c>
      <c r="B26" t="inlineStr">
        <is>
          <t>Pulp &amp; paper (17T18)</t>
        </is>
      </c>
      <c r="C26" t="inlineStr">
        <is>
          <t>17T18</t>
        </is>
      </c>
      <c r="D26" s="77" t="n">
        <v>0.8551</v>
      </c>
      <c r="E26" t="inlineStr">
        <is>
          <t>100-200C</t>
        </is>
      </c>
      <c r="F26" s="78" t="n">
        <v>0</v>
      </c>
      <c r="G26" t="n">
        <v>40</v>
      </c>
      <c r="H26" t="inlineStr">
        <is>
          <t>~2023 est</t>
        </is>
      </c>
      <c r="I26" t="inlineStr">
        <is>
          <t>ESTIMATED (FAO-anchored)</t>
        </is>
      </c>
      <c r="J26" t="inlineStr">
        <is>
          <t>estimated split</t>
        </is>
      </c>
      <c r="K26" t="n">
        <v>15</v>
      </c>
      <c r="N26" t="n">
        <v>568.6902</v>
      </c>
    </row>
    <row r="27">
      <c r="A27" t="inlineStr">
        <is>
          <t>Tissue paper</t>
        </is>
      </c>
      <c r="B27" t="inlineStr">
        <is>
          <t>Pulp &amp; paper (17T18)</t>
        </is>
      </c>
      <c r="C27" t="inlineStr">
        <is>
          <t>17T18</t>
        </is>
      </c>
      <c r="D27" s="77" t="n">
        <v>0.8551</v>
      </c>
      <c r="E27" t="inlineStr">
        <is>
          <t>100-200C</t>
        </is>
      </c>
      <c r="F27" s="78" t="n">
        <v>0</v>
      </c>
      <c r="G27" s="7" t="n">
        <v>7.1</v>
      </c>
      <c r="H27" t="n">
        <v>2023</v>
      </c>
      <c r="I27" t="inlineStr">
        <is>
          <t>FAOSTAT (household &amp; sanitary)</t>
        </is>
      </c>
      <c r="J27" t="inlineStr">
        <is>
          <t>direct</t>
        </is>
      </c>
      <c r="K27" t="n">
        <v>7.4</v>
      </c>
      <c r="N27" t="n">
        <v>49.79830518</v>
      </c>
    </row>
    <row r="28">
      <c r="A28" t="inlineStr">
        <is>
          <t>Graphic paper</t>
        </is>
      </c>
      <c r="B28" t="inlineStr">
        <is>
          <t>Pulp &amp; paper (17T18)</t>
        </is>
      </c>
      <c r="C28" t="inlineStr">
        <is>
          <t>17T18</t>
        </is>
      </c>
      <c r="D28" s="77" t="n">
        <v>0.8551</v>
      </c>
      <c r="E28" t="inlineStr">
        <is>
          <t>100-200C</t>
        </is>
      </c>
      <c r="F28" s="78" t="n">
        <v>0</v>
      </c>
      <c r="G28" s="7" t="n">
        <v>7.37</v>
      </c>
      <c r="H28" t="n">
        <v>2023</v>
      </c>
      <c r="I28" t="inlineStr">
        <is>
          <t>FAOSTAT residual (total - tissue - packaging)</t>
        </is>
      </c>
      <c r="J28" t="inlineStr">
        <is>
          <t>estimated split (residual)</t>
        </is>
      </c>
      <c r="K28" t="n">
        <v>7.4</v>
      </c>
      <c r="N28" t="n">
        <v>51.692043546</v>
      </c>
    </row>
    <row r="29">
      <c r="A29" t="inlineStr">
        <is>
          <t>Board and packaging paper</t>
        </is>
      </c>
      <c r="B29" t="inlineStr">
        <is>
          <t>Pulp &amp; paper (17T18)</t>
        </is>
      </c>
      <c r="C29" t="inlineStr">
        <is>
          <t>17T18</t>
        </is>
      </c>
      <c r="D29" s="77" t="n">
        <v>0.8551</v>
      </c>
      <c r="E29" t="inlineStr">
        <is>
          <t>100-200C</t>
        </is>
      </c>
      <c r="F29" s="78" t="n">
        <v>0</v>
      </c>
      <c r="G29" s="7" t="n">
        <v>46.23</v>
      </c>
      <c r="H29" t="n">
        <v>2023</v>
      </c>
      <c r="I29" t="inlineStr">
        <is>
          <t>FAOSTAT (packaging paper &amp; board)</t>
        </is>
      </c>
      <c r="J29" t="inlineStr">
        <is>
          <t>direct</t>
        </is>
      </c>
      <c r="K29" t="n">
        <v>7.4</v>
      </c>
      <c r="N29" t="n">
        <v>324.250091334</v>
      </c>
    </row>
    <row r="30">
      <c r="A30" t="inlineStr">
        <is>
          <t>Ethylene</t>
        </is>
      </c>
      <c r="B30" t="inlineStr">
        <is>
          <t>Chemicals (20)</t>
        </is>
      </c>
      <c r="C30" t="n">
        <v>20</v>
      </c>
      <c r="D30" s="77" t="n">
        <v>0.7161</v>
      </c>
      <c r="E30" t="inlineStr">
        <is>
          <t>500-1000C</t>
        </is>
      </c>
      <c r="F30" s="78" t="n">
        <v>0.174</v>
      </c>
      <c r="G30" s="7" t="n">
        <v>31.4</v>
      </c>
      <c r="H30" t="n">
        <v>2019</v>
      </c>
      <c r="I30" t="inlineStr">
        <is>
          <t>US DOE Ethane Report (2019; refine to recent yr)</t>
        </is>
      </c>
      <c r="J30" t="inlineStr">
        <is>
          <t>direct (dated)</t>
        </is>
      </c>
      <c r="K30" t="n">
        <v>31.8</v>
      </c>
      <c r="N30" t="n">
        <v>946.41423084</v>
      </c>
    </row>
    <row r="31">
      <c r="A31" t="inlineStr">
        <is>
          <t>Soda ash</t>
        </is>
      </c>
      <c r="B31" t="inlineStr">
        <is>
          <t>Chemicals (20)</t>
        </is>
      </c>
      <c r="C31" t="n">
        <v>20</v>
      </c>
      <c r="D31" s="77" t="n">
        <v>0.7161</v>
      </c>
      <c r="E31" t="inlineStr">
        <is>
          <t>200-500C</t>
        </is>
      </c>
      <c r="F31" s="78" t="n">
        <v>0.05</v>
      </c>
      <c r="G31" t="n">
        <v>12</v>
      </c>
      <c r="H31" t="inlineStr">
        <is>
          <t>2024e</t>
        </is>
      </c>
      <c r="I31" t="inlineStr">
        <is>
          <t>USGS MCS 2025 Soda Ash</t>
        </is>
      </c>
      <c r="K31" t="n">
        <v>11.6</v>
      </c>
      <c r="N31" t="n">
        <v>131.9361264</v>
      </c>
    </row>
    <row r="32">
      <c r="A32" t="inlineStr">
        <is>
          <t>Carbon black</t>
        </is>
      </c>
      <c r="B32" t="inlineStr">
        <is>
          <t>Chemicals (20)</t>
        </is>
      </c>
      <c r="C32" t="n">
        <v>20</v>
      </c>
      <c r="D32" s="77" t="n">
        <v>0.7161</v>
      </c>
      <c r="E32" t="inlineStr">
        <is>
          <t>&gt;1000C</t>
        </is>
      </c>
      <c r="F32" s="78" t="n">
        <v>0.587</v>
      </c>
      <c r="G32" t="n">
        <v>1.3</v>
      </c>
      <c r="H32" t="inlineStr">
        <is>
          <t>~2023 est</t>
        </is>
      </c>
      <c r="I32" t="inlineStr">
        <is>
          <t>ESTIMATED</t>
        </is>
      </c>
      <c r="J32" t="inlineStr">
        <is>
          <t>estimated split</t>
        </is>
      </c>
      <c r="K32" t="n">
        <v>54.5</v>
      </c>
      <c r="N32" t="n">
        <v>67.15283445</v>
      </c>
    </row>
    <row r="33">
      <c r="A33" t="inlineStr">
        <is>
          <t>Methanol</t>
        </is>
      </c>
      <c r="B33" t="inlineStr">
        <is>
          <t>Chemicals (20)</t>
        </is>
      </c>
      <c r="C33" t="n">
        <v>20</v>
      </c>
      <c r="D33" s="77" t="n">
        <v>0.7161</v>
      </c>
      <c r="E33" t="inlineStr">
        <is>
          <t>500-1000C</t>
        </is>
      </c>
      <c r="F33" s="78" t="n">
        <v>0.174</v>
      </c>
      <c r="G33" t="n">
        <v>9</v>
      </c>
      <c r="H33" t="inlineStr">
        <is>
          <t>~2023 est</t>
        </is>
      </c>
      <c r="I33" t="inlineStr">
        <is>
          <t>ESTIMATED (ACC-anchored)</t>
        </is>
      </c>
      <c r="J33" t="inlineStr">
        <is>
          <t>estimated split</t>
        </is>
      </c>
      <c r="K33" t="n">
        <v>15.5</v>
      </c>
      <c r="N33" t="n">
        <v>132.2204715</v>
      </c>
    </row>
    <row r="34">
      <c r="A34" t="inlineStr">
        <is>
          <t>Ammonia</t>
        </is>
      </c>
      <c r="B34" t="inlineStr">
        <is>
          <t>Chemicals (20)</t>
        </is>
      </c>
      <c r="C34" t="n">
        <v>20</v>
      </c>
      <c r="D34" s="77" t="n">
        <v>0.7161</v>
      </c>
      <c r="E34" t="inlineStr">
        <is>
          <t>500-1000C</t>
        </is>
      </c>
      <c r="F34" s="78" t="n">
        <v>0.174</v>
      </c>
      <c r="G34" t="n">
        <v>16.5</v>
      </c>
      <c r="H34" t="n">
        <v>2024</v>
      </c>
      <c r="I34" t="inlineStr">
        <is>
          <t>USGS MCS 2026 Nitrogen (N content /0.8235 -&gt; NH3)</t>
        </is>
      </c>
      <c r="K34" t="n">
        <v>11.8</v>
      </c>
      <c r="N34" t="n">
        <v>184.5399699</v>
      </c>
    </row>
    <row r="35">
      <c r="A35" t="inlineStr">
        <is>
          <t>Clinker</t>
        </is>
      </c>
      <c r="B35" t="inlineStr">
        <is>
          <t>Cement (239)</t>
        </is>
      </c>
      <c r="C35" t="n">
        <v>239</v>
      </c>
      <c r="D35" s="77" t="n">
        <v>0.8492</v>
      </c>
      <c r="E35" t="inlineStr">
        <is>
          <t>&gt;1000C</t>
        </is>
      </c>
      <c r="F35" s="78" t="n">
        <v>0.587</v>
      </c>
      <c r="G35" t="n">
        <v>72</v>
      </c>
      <c r="H35" t="inlineStr">
        <is>
          <t>2024e</t>
        </is>
      </c>
      <c r="I35" t="inlineStr">
        <is>
          <t>USGS MCS 2026 Cement (clinker line)</t>
        </is>
      </c>
      <c r="K35" t="inlineStr">
        <is>
          <t>pending</t>
        </is>
      </c>
      <c r="N35" t="n">
        <v>0</v>
      </c>
    </row>
    <row r="36">
      <c r="A36" t="inlineStr">
        <is>
          <t>Cement</t>
        </is>
      </c>
      <c r="B36" t="inlineStr">
        <is>
          <t>Cement (239)</t>
        </is>
      </c>
      <c r="C36" t="n">
        <v>239</v>
      </c>
      <c r="D36" s="77" t="n">
        <v>0.8492</v>
      </c>
      <c r="E36" t="inlineStr">
        <is>
          <t>&gt;1000C</t>
        </is>
      </c>
      <c r="F36" s="78" t="n">
        <v>0.587</v>
      </c>
      <c r="G36" t="n">
        <v>85</v>
      </c>
      <c r="H36" t="inlineStr">
        <is>
          <t>2024e</t>
        </is>
      </c>
      <c r="I36" t="inlineStr">
        <is>
          <t>USGS MCS 2026 Cement</t>
        </is>
      </c>
      <c r="K36" t="n">
        <v>4.2</v>
      </c>
      <c r="N36" t="n">
        <v>338.370669</v>
      </c>
    </row>
    <row r="37">
      <c r="D37" s="77" t="n"/>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4.5"/>
  <cols>
    <col width="38.1796875" customWidth="1" min="1" max="1"/>
    <col width="17.26953125" customWidth="1" min="3" max="9"/>
  </cols>
  <sheetData>
    <row r="1" ht="18.65" customHeight="1">
      <c r="A1" s="73" t="inlineStr">
        <is>
          <t>Industry energy base — EIA MECS 2018 Table 3.1 (denominator for % reduction curves)</t>
        </is>
      </c>
    </row>
    <row r="2">
      <c r="A2" t="inlineStr">
        <is>
          <t>Fuel-curve base = combustion fuel x heat share (G0.6 Option B). Elec-curve base = net electricity. Elec TBtu = MkWh x 0.003412 (3,412 Btu/kWh). Only the 6 covered manufacturing industries need this; uncovered industries take the Bianchi fraction directly.</t>
        </is>
      </c>
    </row>
    <row r="3">
      <c r="A3" s="130" t="inlineStr">
        <is>
          <t>EPS industry</t>
        </is>
      </c>
      <c r="B3" s="130" t="inlineStr">
        <is>
          <t>NAICS</t>
        </is>
      </c>
      <c r="C3" s="130" t="inlineStr">
        <is>
          <t>Total fuel (TBtu)</t>
        </is>
      </c>
      <c r="D3" s="130" t="inlineStr">
        <is>
          <t>Net elec (MkWh)</t>
        </is>
      </c>
      <c r="E3" s="130" t="inlineStr">
        <is>
          <t>Elec (TBtu)</t>
        </is>
      </c>
      <c r="F3" s="130" t="inlineStr">
        <is>
          <t>Combustion fuel (TBtu)</t>
        </is>
      </c>
      <c r="G3" s="130" t="inlineStr">
        <is>
          <t>Heat share</t>
        </is>
      </c>
      <c r="H3" s="130" t="inlineStr">
        <is>
          <t>Fuel-for-heat base (TBtu)</t>
        </is>
      </c>
      <c r="I3" s="130" t="inlineStr">
        <is>
          <t>Elec base (TBtu)</t>
        </is>
      </c>
      <c r="K3" s="130" t="inlineStr">
        <is>
          <t>code</t>
        </is>
      </c>
    </row>
    <row r="4">
      <c r="A4" t="inlineStr">
        <is>
          <t>pulp paper and printing 17T18</t>
        </is>
      </c>
      <c r="B4" t="inlineStr">
        <is>
          <t>322+323</t>
        </is>
      </c>
      <c r="C4" s="135" t="n">
        <v>2098</v>
      </c>
      <c r="D4" s="135" t="n">
        <v>61038</v>
      </c>
      <c r="E4" s="136">
        <f>D4*0.003412</f>
        <v/>
      </c>
      <c r="F4" s="136">
        <f>C4-E4</f>
        <v/>
      </c>
      <c r="G4" s="78">
        <f>'heat share (src)'!C10</f>
        <v/>
      </c>
      <c r="H4" s="136">
        <f>F4*G4</f>
        <v/>
      </c>
      <c r="I4" s="136">
        <f>E4</f>
        <v/>
      </c>
      <c r="K4" t="inlineStr">
        <is>
          <t>17T18</t>
        </is>
      </c>
    </row>
    <row r="5">
      <c r="A5" t="inlineStr">
        <is>
          <t>chemicals 20</t>
        </is>
      </c>
      <c r="B5" t="n">
        <v>325</v>
      </c>
      <c r="C5" s="135" t="n">
        <v>3813</v>
      </c>
      <c r="D5" s="135" t="n">
        <v>146846</v>
      </c>
      <c r="E5" s="136">
        <f>D5*0.003412</f>
        <v/>
      </c>
      <c r="F5" s="136">
        <f>C5-E5</f>
        <v/>
      </c>
      <c r="G5" s="78">
        <f>'heat share (src)'!C12</f>
        <v/>
      </c>
      <c r="H5" s="136">
        <f>F5*G5</f>
        <v/>
      </c>
      <c r="I5" s="136">
        <f>E5</f>
        <v/>
      </c>
      <c r="K5" t="n">
        <v>20</v>
      </c>
    </row>
    <row r="6">
      <c r="A6" t="inlineStr">
        <is>
          <t>glass and glass products 231</t>
        </is>
      </c>
      <c r="B6" t="n">
        <v>3272</v>
      </c>
      <c r="C6" s="135" t="n">
        <v>153</v>
      </c>
      <c r="D6" s="135" t="n">
        <v>10676</v>
      </c>
      <c r="E6" s="136">
        <f>D6*0.003412</f>
        <v/>
      </c>
      <c r="F6" s="136">
        <f>C6-E6</f>
        <v/>
      </c>
      <c r="G6" s="78">
        <f>'heat share (src)'!C14</f>
        <v/>
      </c>
      <c r="H6" s="136">
        <f>F6*G6</f>
        <v/>
      </c>
      <c r="I6" s="136">
        <f>E6</f>
        <v/>
      </c>
      <c r="K6" t="n">
        <v>231</v>
      </c>
    </row>
    <row r="7">
      <c r="A7" t="inlineStr">
        <is>
          <t>cement and other nonmetallic 239</t>
        </is>
      </c>
      <c r="B7" t="inlineStr">
        <is>
          <t>327 less 3272</t>
        </is>
      </c>
      <c r="C7" s="135" t="n">
        <v>668</v>
      </c>
      <c r="D7" s="135" t="n">
        <v>27277</v>
      </c>
      <c r="E7" s="136">
        <f>D7*0.003412</f>
        <v/>
      </c>
      <c r="F7" s="136">
        <f>C7-E7</f>
        <v/>
      </c>
      <c r="G7" s="78">
        <f>'heat share (src)'!C15</f>
        <v/>
      </c>
      <c r="H7" s="136">
        <f>F7*G7</f>
        <v/>
      </c>
      <c r="I7" s="136">
        <f>E7</f>
        <v/>
      </c>
      <c r="K7" t="n">
        <v>239</v>
      </c>
    </row>
    <row r="8">
      <c r="A8" t="inlineStr">
        <is>
          <t>iron and steel 241</t>
        </is>
      </c>
      <c r="B8" t="n">
        <v>331110</v>
      </c>
      <c r="C8" s="135" t="n">
        <v>1141</v>
      </c>
      <c r="D8" s="135" t="n">
        <v>55633</v>
      </c>
      <c r="E8" s="136">
        <f>D8*0.003412</f>
        <v/>
      </c>
      <c r="F8" s="136">
        <f>C8-E8</f>
        <v/>
      </c>
      <c r="G8" s="78">
        <f>'heat share (src)'!C16</f>
        <v/>
      </c>
      <c r="H8" s="136">
        <f>F8*G8</f>
        <v/>
      </c>
      <c r="I8" s="136">
        <f>E8</f>
        <v/>
      </c>
      <c r="K8" t="n">
        <v>241</v>
      </c>
    </row>
    <row r="9">
      <c r="A9" t="inlineStr">
        <is>
          <t>other metals 242</t>
        </is>
      </c>
      <c r="B9" t="inlineStr">
        <is>
          <t>3313+3314</t>
        </is>
      </c>
      <c r="C9" s="135" t="n">
        <v>302</v>
      </c>
      <c r="D9" s="135" t="n">
        <v>39534</v>
      </c>
      <c r="E9" s="136">
        <f>D9*0.003412</f>
        <v/>
      </c>
      <c r="F9" s="136">
        <f>C9-E9</f>
        <v/>
      </c>
      <c r="G9" s="78">
        <f>'heat share (src)'!C17</f>
        <v/>
      </c>
      <c r="H9" s="136">
        <f>F9*G9</f>
        <v/>
      </c>
      <c r="I9" s="136">
        <f>E9</f>
        <v/>
      </c>
      <c r="K9" t="n">
        <v>242</v>
      </c>
    </row>
    <row r="11">
      <c r="A11" s="1" t="inlineStr">
        <is>
          <t>Bianchi assumed cost mu (savings-wtd avg CCE of covered whr, $/MMBtu)</t>
        </is>
      </c>
      <c r="F11" s="136">
        <f t="array" ref="F11">SUMPRODUCT((economics!$D$2:$D$167="whr")*economics!$AK$2:$AK$167*economics!$AH$2:$AH$167)/SUMPRODUCT((economics!$D$2:$D$167="whr")*economics!$AH$2:$AH$167)</f>
        <v/>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22:J35"/>
  <sheetViews>
    <sheetView zoomScale="75" workbookViewId="0">
      <selection activeCell="I32" sqref="B32:I32"/>
    </sheetView>
  </sheetViews>
  <sheetFormatPr baseColWidth="8" defaultRowHeight="14.5"/>
  <cols>
    <col width="15.1796875" bestFit="1" customWidth="1" min="3" max="3"/>
    <col width="12.54296875" bestFit="1" customWidth="1" min="4" max="4"/>
    <col width="38.7265625" bestFit="1" customWidth="1" min="8" max="8"/>
    <col width="43.453125" bestFit="1" customWidth="1" min="9" max="9"/>
    <col width="34.54296875" bestFit="1" customWidth="1" min="10" max="10"/>
  </cols>
  <sheetData>
    <row r="22">
      <c r="B22" s="4" t="inlineStr">
        <is>
          <t>Indst</t>
        </is>
      </c>
      <c r="C22" s="4" t="inlineStr">
        <is>
          <t>Potential (TWh)</t>
        </is>
      </c>
      <c r="D22" s="4" t="inlineStr">
        <is>
          <t>Potential (%)</t>
        </is>
      </c>
      <c r="E22" s="4" t="inlineStr">
        <is>
          <t>LT</t>
        </is>
      </c>
      <c r="F22" s="4" t="inlineStr">
        <is>
          <t>MT</t>
        </is>
      </c>
      <c r="G22" s="4" t="inlineStr">
        <is>
          <t>HT</t>
        </is>
      </c>
      <c r="H22" s="4" t="inlineStr">
        <is>
          <t>EPS ISIC 1</t>
        </is>
      </c>
      <c r="I22" s="4" t="inlineStr">
        <is>
          <t>EPS ISIC 2</t>
        </is>
      </c>
      <c r="J22" s="4" t="inlineStr">
        <is>
          <t>EPS ISIC 3</t>
        </is>
      </c>
    </row>
    <row r="23">
      <c r="B23" t="inlineStr">
        <is>
          <t>NS</t>
        </is>
      </c>
      <c r="C23" t="n">
        <v>19.9</v>
      </c>
      <c r="D23" s="68" t="n">
        <v>0.033</v>
      </c>
      <c r="E23" t="n">
        <v>35.4</v>
      </c>
      <c r="F23" t="n">
        <v>17.9</v>
      </c>
      <c r="G23" t="n">
        <v>46.7</v>
      </c>
      <c r="H23" t="inlineStr">
        <is>
          <t>other manufacturing 31T33</t>
        </is>
      </c>
      <c r="I23" t="inlineStr">
        <is>
          <t>metal products except machinery and vehicles 25</t>
        </is>
      </c>
      <c r="J23" t="inlineStr">
        <is>
          <t>rubber and plastic products 22</t>
        </is>
      </c>
    </row>
    <row r="24">
      <c r="B24" t="inlineStr">
        <is>
          <t>C</t>
        </is>
      </c>
      <c r="C24" t="n">
        <v>9.6</v>
      </c>
      <c r="D24" s="68" t="n">
        <v>0.016</v>
      </c>
      <c r="E24" t="n">
        <v>15.2</v>
      </c>
      <c r="F24" t="n">
        <v>33.2</v>
      </c>
      <c r="G24" t="n">
        <v>51.6</v>
      </c>
      <c r="H24" t="inlineStr">
        <is>
          <t>construction 41T43</t>
        </is>
      </c>
    </row>
    <row r="25">
      <c r="B25" t="inlineStr">
        <is>
          <t>W&amp;WP</t>
        </is>
      </c>
      <c r="C25" t="n">
        <v>4.8</v>
      </c>
      <c r="D25" s="68" t="n">
        <v>0.008</v>
      </c>
      <c r="E25" t="n">
        <v>73.90000000000001</v>
      </c>
      <c r="F25" t="n">
        <v>4</v>
      </c>
      <c r="G25" t="n">
        <v>22.1</v>
      </c>
      <c r="H25" t="inlineStr">
        <is>
          <t>wood products 16</t>
        </is>
      </c>
    </row>
    <row r="26">
      <c r="B26" t="inlineStr">
        <is>
          <t>M</t>
        </is>
      </c>
      <c r="C26" t="n">
        <v>19.6</v>
      </c>
      <c r="D26" s="68" t="n">
        <v>0.033</v>
      </c>
      <c r="E26" t="n">
        <v>36.8</v>
      </c>
      <c r="F26" t="n">
        <v>6.2</v>
      </c>
      <c r="G26" t="n">
        <v>57</v>
      </c>
      <c r="H26" t="inlineStr">
        <is>
          <t>other machinery 28</t>
        </is>
      </c>
      <c r="I26" t="inlineStr">
        <is>
          <t>computers and electronics 26</t>
        </is>
      </c>
      <c r="J26" t="inlineStr">
        <is>
          <t>appliances and electrical equipment 27</t>
        </is>
      </c>
    </row>
    <row r="27">
      <c r="B27" t="inlineStr">
        <is>
          <t>TE</t>
        </is>
      </c>
      <c r="C27" t="n">
        <v>7.9</v>
      </c>
      <c r="D27" s="68" t="n">
        <v>0.013</v>
      </c>
      <c r="E27" t="n">
        <v>40.7</v>
      </c>
      <c r="F27" t="n">
        <v>5.8</v>
      </c>
      <c r="G27" t="n">
        <v>53.5</v>
      </c>
      <c r="H27" t="inlineStr">
        <is>
          <t>road vehicles 29</t>
        </is>
      </c>
      <c r="I27" t="inlineStr">
        <is>
          <t>nonroad vehicles 30</t>
        </is>
      </c>
    </row>
    <row r="28">
      <c r="B28" t="inlineStr">
        <is>
          <t>PPP</t>
        </is>
      </c>
      <c r="C28" t="n">
        <v>27</v>
      </c>
      <c r="D28" s="68" t="n">
        <v>0.045</v>
      </c>
      <c r="E28" t="n">
        <v>43.8</v>
      </c>
      <c r="F28" t="n">
        <v>6.8</v>
      </c>
      <c r="G28" t="n">
        <v>49.4</v>
      </c>
      <c r="H28" t="inlineStr">
        <is>
          <t>pulp paper and printing 17T18</t>
        </is>
      </c>
    </row>
    <row r="29">
      <c r="B29" t="inlineStr">
        <is>
          <t>T&amp;L</t>
        </is>
      </c>
      <c r="C29" t="n">
        <v>5.5</v>
      </c>
      <c r="D29" s="68" t="n">
        <v>0.008999999999999999</v>
      </c>
      <c r="E29" t="n">
        <v>26.2</v>
      </c>
      <c r="F29" t="n">
        <v>5.9</v>
      </c>
      <c r="G29" t="n">
        <v>67.90000000000001</v>
      </c>
      <c r="H29" t="inlineStr">
        <is>
          <t>textiles apparel and leather 13T15</t>
        </is>
      </c>
    </row>
    <row r="30">
      <c r="B30" t="inlineStr">
        <is>
          <t>F&amp;T</t>
        </is>
      </c>
      <c r="C30" t="n">
        <v>35.1</v>
      </c>
      <c r="D30" s="68" t="n">
        <v>0.059</v>
      </c>
      <c r="E30" t="n">
        <v>25.1</v>
      </c>
      <c r="F30" t="n">
        <v>9.1</v>
      </c>
      <c r="G30" t="n">
        <v>65.8</v>
      </c>
      <c r="H30" t="inlineStr">
        <is>
          <t>food beverage and tobacco 10T12</t>
        </is>
      </c>
    </row>
    <row r="31">
      <c r="B31" t="inlineStr">
        <is>
          <t>M&amp;Q</t>
        </is>
      </c>
      <c r="C31" t="n">
        <v>3.3</v>
      </c>
      <c r="D31" s="68" t="n">
        <v>0.005</v>
      </c>
      <c r="E31" t="n">
        <v>27</v>
      </c>
      <c r="F31" t="n">
        <v>20.6</v>
      </c>
      <c r="G31" t="n">
        <v>52.4</v>
      </c>
      <c r="H31" t="inlineStr">
        <is>
          <t>other mining and quarrying 07T08</t>
        </is>
      </c>
    </row>
    <row r="32">
      <c r="B32" t="inlineStr">
        <is>
          <t>NMM</t>
        </is>
      </c>
      <c r="C32" t="n">
        <v>43.8</v>
      </c>
      <c r="D32" s="68" t="n">
        <v>0.074</v>
      </c>
      <c r="E32" t="n">
        <v>0.6</v>
      </c>
      <c r="F32" t="n">
        <v>15</v>
      </c>
      <c r="G32" t="n">
        <v>84.40000000000001</v>
      </c>
      <c r="H32" t="inlineStr">
        <is>
          <t>cement and other nonmetallic minerals 239</t>
        </is>
      </c>
      <c r="I32" t="inlineStr">
        <is>
          <t>glass and glass products 231</t>
        </is>
      </c>
    </row>
    <row r="33">
      <c r="B33" t="inlineStr">
        <is>
          <t>C&amp;P</t>
        </is>
      </c>
      <c r="C33" t="n">
        <v>33.9</v>
      </c>
      <c r="D33" s="68" t="n">
        <v>0.057</v>
      </c>
      <c r="E33" t="n">
        <v>37.1</v>
      </c>
      <c r="F33" t="n">
        <v>62.9</v>
      </c>
      <c r="G33" t="n">
        <v>0</v>
      </c>
      <c r="H33" t="inlineStr">
        <is>
          <t>chemicals 20</t>
        </is>
      </c>
    </row>
    <row r="34">
      <c r="B34" t="inlineStr">
        <is>
          <t>NFM</t>
        </is>
      </c>
      <c r="C34" t="n">
        <v>14.1</v>
      </c>
      <c r="D34" s="68" t="n">
        <v>0.024</v>
      </c>
      <c r="E34" t="n">
        <v>1.8</v>
      </c>
      <c r="F34" t="n">
        <v>4.5</v>
      </c>
      <c r="G34" t="n">
        <v>93.7</v>
      </c>
      <c r="H34" t="inlineStr">
        <is>
          <t>other metals 242</t>
        </is>
      </c>
    </row>
    <row r="35">
      <c r="B35" t="inlineStr">
        <is>
          <t>I&amp;S</t>
        </is>
      </c>
      <c r="C35" t="n">
        <v>54.3</v>
      </c>
      <c r="D35" s="68" t="n">
        <v>0.091</v>
      </c>
      <c r="E35" t="n">
        <v>11.1</v>
      </c>
      <c r="F35" t="n">
        <v>29.8</v>
      </c>
      <c r="G35" t="n">
        <v>59.1</v>
      </c>
      <c r="H35" t="inlineStr">
        <is>
          <t>iron and steel 241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N167"/>
  <sheetViews>
    <sheetView topLeftCell="B73" workbookViewId="0">
      <selection activeCell="A100" sqref="A100:W101"/>
    </sheetView>
  </sheetViews>
  <sheetFormatPr baseColWidth="8" defaultRowHeight="14.5"/>
  <sheetData>
    <row r="1">
      <c r="A1" s="1" t="inlineStr">
        <is>
          <t>Product</t>
        </is>
      </c>
      <c r="B1" s="1" t="inlineStr">
        <is>
          <t>Measure</t>
        </is>
      </c>
      <c r="C1" s="1" t="inlineStr">
        <is>
          <t>Bucket</t>
        </is>
      </c>
      <c r="D1" s="1" t="inlineStr">
        <is>
          <t>Curve</t>
        </is>
      </c>
      <c r="E1" s="1" t="inlineStr">
        <is>
          <t>2050 add'l diffusion</t>
        </is>
      </c>
      <c r="F1" s="1" t="inlineStr">
        <is>
          <t>Fuel GJ/t</t>
        </is>
      </c>
      <c r="G1" s="1" t="inlineStr">
        <is>
          <t>Elec GJ/t</t>
        </is>
      </c>
      <c r="H1" s="1" t="inlineStr">
        <is>
          <t>Invest EUR/t</t>
        </is>
      </c>
      <c r="I1" s="1" t="inlineStr">
        <is>
          <t>Life (yr)</t>
        </is>
      </c>
      <c r="J1" s="1" t="inlineStr">
        <is>
          <t>O&amp;M EUR/t</t>
        </is>
      </c>
      <c r="K1" s="1" t="inlineStr">
        <is>
          <t>US tonnage (Mt)</t>
        </is>
      </c>
      <c r="L1" s="1" t="inlineStr">
        <is>
          <t>Invest 2012$/t</t>
        </is>
      </c>
      <c r="M1" s="1" t="inlineStr">
        <is>
          <t>O&amp;M 2012$/t</t>
        </is>
      </c>
      <c r="N1" s="1" t="inlineStr">
        <is>
          <t>CRF@10%</t>
        </is>
      </c>
      <c r="O1" s="1" t="inlineStr">
        <is>
          <t>Ann cost 2012$/t</t>
        </is>
      </c>
      <c r="P1" s="1" t="inlineStr">
        <is>
          <t>Tot pos GJ/t</t>
        </is>
      </c>
      <c r="Q1" s="1" t="inlineStr">
        <is>
          <t>Fuel share</t>
        </is>
      </c>
      <c r="R1" s="1" t="inlineStr">
        <is>
          <t>Elec share</t>
        </is>
      </c>
      <c r="S1" s="1" t="inlineStr">
        <is>
          <t>CCE@10% $/GJ</t>
        </is>
      </c>
      <c r="T1" s="1" t="inlineStr">
        <is>
          <t>CCE@10% $/MMBtu</t>
        </is>
      </c>
      <c r="U1" s="1" t="inlineStr">
        <is>
          <t>CCE fuel@10%</t>
        </is>
      </c>
      <c r="V1" s="1" t="inlineStr">
        <is>
          <t>CCE elec@10%</t>
        </is>
      </c>
      <c r="W1" s="1" t="inlineStr">
        <is>
          <t>CRF@15%</t>
        </is>
      </c>
      <c r="X1" s="1" t="inlineStr">
        <is>
          <t>Ann cost@15% $/t</t>
        </is>
      </c>
      <c r="Y1" s="1" t="inlineStr">
        <is>
          <t>CCE@15% $/MMBtu</t>
        </is>
      </c>
      <c r="Z1" s="1" t="inlineStr">
        <is>
          <t>Ann fuel saved GJ/yr</t>
        </is>
      </c>
      <c r="AA1" s="1" t="inlineStr">
        <is>
          <t>Ann elec saved GJ/yr</t>
        </is>
      </c>
      <c r="AB1" s="1" t="inlineStr">
        <is>
          <t>Flags</t>
        </is>
      </c>
      <c r="AD1" s="1" t="inlineStr">
        <is>
          <t>Real discount rate</t>
        </is>
      </c>
      <c r="AE1" s="129" t="n">
        <v>0.1</v>
      </c>
      <c r="AG1" s="1" t="inlineStr">
        <is>
          <t>Industry code</t>
        </is>
      </c>
      <c r="AH1" s="1" t="inlineStr">
        <is>
          <t>Fuel %pot</t>
        </is>
      </c>
      <c r="AI1" s="1" t="inlineStr">
        <is>
          <t>Elec %pot</t>
        </is>
      </c>
      <c r="AJ1" s="1" t="inlineStr">
        <is>
          <t>sigma</t>
        </is>
      </c>
      <c r="AK1" s="1" t="inlineStr">
        <is>
          <t>mu</t>
        </is>
      </c>
      <c r="AL1" s="1" t="inlineStr">
        <is>
          <t>WACC (industry)</t>
        </is>
      </c>
      <c r="AM1" t="inlineStr">
        <is>
          <t>Cap intensity 2012$/MMBtu-yr</t>
        </is>
      </c>
      <c r="AN1" t="inlineStr">
        <is>
          <t>Total capex 2012$</t>
        </is>
      </c>
    </row>
    <row r="2">
      <c r="A2">
        <f>'Kermeli Data'!A9</f>
        <v/>
      </c>
      <c r="B2">
        <f>'Kermeli Data'!B9</f>
        <v/>
      </c>
      <c r="C2">
        <f>'Kermeli Data'!P9</f>
        <v/>
      </c>
      <c r="D2">
        <f>IF(C2="2 whr","whr",IF(C2="3 proc","process","EXCLUDED"))</f>
        <v/>
      </c>
      <c r="E2">
        <f>'Kermeli Data'!E9</f>
        <v/>
      </c>
      <c r="F2">
        <f>'Kermeli Data'!F9</f>
        <v/>
      </c>
      <c r="G2">
        <f>'Kermeli Data'!G9</f>
        <v/>
      </c>
      <c r="H2">
        <f>'Kermeli Data'!I9</f>
        <v/>
      </c>
      <c r="I2">
        <f>'Kermeli Data'!J9</f>
        <v/>
      </c>
      <c r="J2">
        <f>'Kermeli Data'!K9</f>
        <v/>
      </c>
      <c r="K2">
        <f>IFERROR(_xlfn.XLOOKUP(A2,'product map'!$A$14:$A$36,'product map'!$G$14:$G$36),"pending")</f>
        <v/>
      </c>
      <c r="L2">
        <f>H2*cpi!$B$12*cpi!$B$10</f>
        <v/>
      </c>
      <c r="M2">
        <f>J2*cpi!$B$12*cpi!$B$10</f>
        <v/>
      </c>
      <c r="N2">
        <f>IF(I2&gt;0,AL2/(1-(1+AL2)^-I2),"")</f>
        <v/>
      </c>
      <c r="O2">
        <f>L2*N2+M2</f>
        <v/>
      </c>
      <c r="P2">
        <f>MAX(F2,0)+MAX(G2,0)</f>
        <v/>
      </c>
      <c r="Q2">
        <f>IF(P2&gt;0,MAX(F2,0)/P2,0)</f>
        <v/>
      </c>
      <c r="R2">
        <f>IF(P2&gt;0,MAX(G2,0)/P2,0)</f>
        <v/>
      </c>
      <c r="S2">
        <f>IF(P2&gt;0,O2/P2,"")</f>
        <v/>
      </c>
      <c r="T2">
        <f>IF(P2&gt;0,S2/$AE$3,"")</f>
        <v/>
      </c>
      <c r="U2">
        <f>IF(AND(P2&gt;0,Q2&gt;0),T2,"")</f>
        <v/>
      </c>
      <c r="V2">
        <f>IF(AND(P2&gt;0,R2&gt;0),T2,"")</f>
        <v/>
      </c>
      <c r="W2">
        <f>IF(I2&gt;0,$AE$2/(1-(1+$AE$2)^-I2),"")</f>
        <v/>
      </c>
      <c r="X2">
        <f>L2*W2+M2</f>
        <v/>
      </c>
      <c r="Y2">
        <f>IF(P2&gt;0,(X2/P2)/$AE$3,"")</f>
        <v/>
      </c>
      <c r="Z2">
        <f>IF(AND(ISNUMBER(K2),Q2&gt;0),MAX(F2,0)*K2*1000000*E2,"pending")</f>
        <v/>
      </c>
      <c r="AA2">
        <f>IF(AND(ISNUMBER(K2),R2&gt;0),MAX(G2,0)*K2*1000000*E2,"pending")</f>
        <v/>
      </c>
      <c r="AB2">
        <f>IF(AND(ISNUMBER(S2),S2&lt;0),"NEG-CCE","")&amp;IF(NOT(ISNUMBER(K2)),"|pending tonnage","")</f>
        <v/>
      </c>
      <c r="AD2" t="inlineStr">
        <is>
          <t>Hurdle rate (sensitivity)</t>
        </is>
      </c>
      <c r="AE2" s="129" t="n">
        <v>0.15</v>
      </c>
      <c r="AG2">
        <f>IFERROR(_xlfn.XLOOKUP(A2,'product map'!$A$14:$A$36,'product map'!$C$14:$C$36),"?")</f>
        <v/>
      </c>
      <c r="AH2">
        <f>IFERROR((Z2*0.000000947817)/_xlfn.XLOOKUP(AG2,'energy base (MECS)'!$K$4:$K$9,'energy base (MECS)'!$F$4:$F$9),0)</f>
        <v/>
      </c>
      <c r="AI2">
        <f>IFERROR((AA2*0.000000947817)/_xlfn.XLOOKUP(AG2,'energy base (MECS)'!$K$4:$K$9,'energy base (MECS)'!$I$4:$I$9),0)</f>
        <v/>
      </c>
      <c r="AJ2">
        <f>MAX(0.3*ABS(AK2),0.000001)</f>
        <v/>
      </c>
      <c r="AK2">
        <f>IF(ISNUMBER(T2),T2,0)</f>
        <v/>
      </c>
      <c r="AL2">
        <f>IFERROR(_xlfn.XLOOKUP(AG2,'BCoISC-WACCbI'!$C$2:$C$26,'BCoISC-WACCbI'!$B$2:$B$26)+$AE$4,0.1)</f>
        <v/>
      </c>
      <c r="AM2">
        <f>IF(P2&gt;0,L2/P2/0.947817,0)</f>
        <v/>
      </c>
      <c r="AN2">
        <f>IF(AND(P2&gt;0,ISNUMBER(K2)),L2*K2*1000000*E2,0)</f>
        <v/>
      </c>
    </row>
    <row r="3">
      <c r="A3">
        <f>'Kermeli Data'!A10</f>
        <v/>
      </c>
      <c r="B3">
        <f>'Kermeli Data'!B10</f>
        <v/>
      </c>
      <c r="C3">
        <f>'Kermeli Data'!P10</f>
        <v/>
      </c>
      <c r="D3">
        <f>IF(C3="2 whr","whr",IF(C3="3 proc","process","EXCLUDED"))</f>
        <v/>
      </c>
      <c r="E3">
        <f>'Kermeli Data'!E10</f>
        <v/>
      </c>
      <c r="F3">
        <f>'Kermeli Data'!F10</f>
        <v/>
      </c>
      <c r="G3">
        <f>'Kermeli Data'!G10</f>
        <v/>
      </c>
      <c r="H3">
        <f>'Kermeli Data'!I10</f>
        <v/>
      </c>
      <c r="I3">
        <f>'Kermeli Data'!J10</f>
        <v/>
      </c>
      <c r="J3">
        <f>'Kermeli Data'!K10</f>
        <v/>
      </c>
      <c r="K3">
        <f>IFERROR(_xlfn.XLOOKUP(A3,'product map'!$A$14:$A$36,'product map'!$G$14:$G$36),"pending")</f>
        <v/>
      </c>
      <c r="L3">
        <f>H3*cpi!$B$12*cpi!$B$10</f>
        <v/>
      </c>
      <c r="M3">
        <f>J3*cpi!$B$12*cpi!$B$10</f>
        <v/>
      </c>
      <c r="N3">
        <f>IF(I3&gt;0,AL3/(1-(1+AL3)^-I3),"")</f>
        <v/>
      </c>
      <c r="O3">
        <f>L3*N3+M3</f>
        <v/>
      </c>
      <c r="P3">
        <f>MAX(F3,0)+MAX(G3,0)</f>
        <v/>
      </c>
      <c r="Q3">
        <f>IF(P3&gt;0,MAX(F3,0)/P3,0)</f>
        <v/>
      </c>
      <c r="R3">
        <f>IF(P3&gt;0,MAX(G3,0)/P3,0)</f>
        <v/>
      </c>
      <c r="S3">
        <f>IF(P3&gt;0,O3/P3,"")</f>
        <v/>
      </c>
      <c r="T3">
        <f>IF(P3&gt;0,S3/$AE$3,"")</f>
        <v/>
      </c>
      <c r="U3">
        <f>IF(AND(P3&gt;0,Q3&gt;0),T3,"")</f>
        <v/>
      </c>
      <c r="V3">
        <f>IF(AND(P3&gt;0,R3&gt;0),T3,"")</f>
        <v/>
      </c>
      <c r="W3">
        <f>IF(I3&gt;0,$AE$2/(1-(1+$AE$2)^-I3),"")</f>
        <v/>
      </c>
      <c r="X3">
        <f>L3*W3+M3</f>
        <v/>
      </c>
      <c r="Y3">
        <f>IF(P3&gt;0,(X3/P3)/$AE$3,"")</f>
        <v/>
      </c>
      <c r="Z3">
        <f>IF(AND(ISNUMBER(K3),Q3&gt;0),MAX(F3,0)*K3*1000000*E3,"pending")</f>
        <v/>
      </c>
      <c r="AA3">
        <f>IF(AND(ISNUMBER(K3),R3&gt;0),MAX(G3,0)*K3*1000000*E3,"pending")</f>
        <v/>
      </c>
      <c r="AB3">
        <f>IF(AND(ISNUMBER(S3),S3&lt;0),"NEG-CCE","")&amp;IF(NOT(ISNUMBER(K3)),"|pending tonnage","")</f>
        <v/>
      </c>
      <c r="AD3" t="inlineStr">
        <is>
          <t>MMBtu per GJ (from cpi!B15)</t>
        </is>
      </c>
      <c r="AE3">
        <f>cpi!B15</f>
        <v/>
      </c>
      <c r="AG3">
        <f>IFERROR(_xlfn.XLOOKUP(A3,'product map'!$A$14:$A$36,'product map'!$C$14:$C$36),"?")</f>
        <v/>
      </c>
      <c r="AH3">
        <f>IFERROR((Z3*0.000000947817)/_xlfn.XLOOKUP(AG3,'energy base (MECS)'!$K$4:$K$9,'energy base (MECS)'!$F$4:$F$9),0)</f>
        <v/>
      </c>
      <c r="AI3">
        <f>IFERROR((AA3*0.000000947817)/_xlfn.XLOOKUP(AG3,'energy base (MECS)'!$K$4:$K$9,'energy base (MECS)'!$I$4:$I$9),0)</f>
        <v/>
      </c>
      <c r="AJ3">
        <f>MAX(0.3*ABS(AK3),0.000001)</f>
        <v/>
      </c>
      <c r="AK3">
        <f>IF(ISNUMBER(T3),T3,0)</f>
        <v/>
      </c>
      <c r="AL3">
        <f>IFERROR(_xlfn.XLOOKUP(AG3,'BCoISC-WACCbI'!$C$2:$C$26,'BCoISC-WACCbI'!$B$2:$B$26)+$AE$4,0.1)</f>
        <v/>
      </c>
      <c r="AM3">
        <f>IF(P3&gt;0,L3/P3/0.947817,0)</f>
        <v/>
      </c>
      <c r="AN3">
        <f>IF(AND(P3&gt;0,ISNUMBER(K3)),L3*K3*1000000*E3,0)</f>
        <v/>
      </c>
    </row>
    <row r="4">
      <c r="A4">
        <f>'Kermeli Data'!A11</f>
        <v/>
      </c>
      <c r="B4">
        <f>'Kermeli Data'!B11</f>
        <v/>
      </c>
      <c r="C4">
        <f>'Kermeli Data'!P11</f>
        <v/>
      </c>
      <c r="D4">
        <f>IF(C4="2 whr","whr",IF(C4="3 proc","process","EXCLUDED"))</f>
        <v/>
      </c>
      <c r="E4">
        <f>'Kermeli Data'!E11</f>
        <v/>
      </c>
      <c r="F4">
        <f>'Kermeli Data'!F11</f>
        <v/>
      </c>
      <c r="G4">
        <f>'Kermeli Data'!G11</f>
        <v/>
      </c>
      <c r="H4">
        <f>'Kermeli Data'!I11</f>
        <v/>
      </c>
      <c r="I4">
        <f>'Kermeli Data'!J11</f>
        <v/>
      </c>
      <c r="J4">
        <f>'Kermeli Data'!K11</f>
        <v/>
      </c>
      <c r="K4">
        <f>IFERROR(_xlfn.XLOOKUP(A4,'product map'!$A$14:$A$36,'product map'!$G$14:$G$36),"pending")</f>
        <v/>
      </c>
      <c r="L4">
        <f>H4*cpi!$B$12*cpi!$B$10</f>
        <v/>
      </c>
      <c r="M4">
        <f>J4*cpi!$B$12*cpi!$B$10</f>
        <v/>
      </c>
      <c r="N4">
        <f>IF(I4&gt;0,AL4/(1-(1+AL4)^-I4),"")</f>
        <v/>
      </c>
      <c r="O4">
        <f>L4*N4+M4</f>
        <v/>
      </c>
      <c r="P4">
        <f>MAX(F4,0)+MAX(G4,0)</f>
        <v/>
      </c>
      <c r="Q4">
        <f>IF(P4&gt;0,MAX(F4,0)/P4,0)</f>
        <v/>
      </c>
      <c r="R4">
        <f>IF(P4&gt;0,MAX(G4,0)/P4,0)</f>
        <v/>
      </c>
      <c r="S4">
        <f>IF(P4&gt;0,O4/P4,"")</f>
        <v/>
      </c>
      <c r="T4">
        <f>IF(P4&gt;0,S4/$AE$3,"")</f>
        <v/>
      </c>
      <c r="U4">
        <f>IF(AND(P4&gt;0,Q4&gt;0),T4,"")</f>
        <v/>
      </c>
      <c r="V4">
        <f>IF(AND(P4&gt;0,R4&gt;0),T4,"")</f>
        <v/>
      </c>
      <c r="W4">
        <f>IF(I4&gt;0,$AE$2/(1-(1+$AE$2)^-I4),"")</f>
        <v/>
      </c>
      <c r="X4">
        <f>L4*W4+M4</f>
        <v/>
      </c>
      <c r="Y4">
        <f>IF(P4&gt;0,(X4/P4)/$AE$3,"")</f>
        <v/>
      </c>
      <c r="Z4">
        <f>IF(AND(ISNUMBER(K4),Q4&gt;0),MAX(F4,0)*K4*1000000*E4,"pending")</f>
        <v/>
      </c>
      <c r="AA4">
        <f>IF(AND(ISNUMBER(K4),R4&gt;0),MAX(G4,0)*K4*1000000*E4,"pending")</f>
        <v/>
      </c>
      <c r="AB4">
        <f>IF(AND(ISNUMBER(S4),S4&lt;0),"NEG-CCE","")&amp;IF(NOT(ISNUMBER(K4)),"|pending tonnage","")</f>
        <v/>
      </c>
      <c r="AD4" t="inlineStr">
        <is>
          <t>Hurdle premium (added to industry WACC)</t>
        </is>
      </c>
      <c r="AE4" s="129" t="n">
        <v>0.07000000000000001</v>
      </c>
      <c r="AG4">
        <f>IFERROR(_xlfn.XLOOKUP(A4,'product map'!$A$14:$A$36,'product map'!$C$14:$C$36),"?")</f>
        <v/>
      </c>
      <c r="AH4">
        <f>IFERROR((Z4*0.000000947817)/_xlfn.XLOOKUP(AG4,'energy base (MECS)'!$K$4:$K$9,'energy base (MECS)'!$F$4:$F$9),0)</f>
        <v/>
      </c>
      <c r="AI4">
        <f>IFERROR((AA4*0.000000947817)/_xlfn.XLOOKUP(AG4,'energy base (MECS)'!$K$4:$K$9,'energy base (MECS)'!$I$4:$I$9),0)</f>
        <v/>
      </c>
      <c r="AJ4">
        <f>MAX(0.3*ABS(AK4),0.000001)</f>
        <v/>
      </c>
      <c r="AK4">
        <f>IF(ISNUMBER(T4),T4,0)</f>
        <v/>
      </c>
      <c r="AL4">
        <f>IFERROR(_xlfn.XLOOKUP(AG4,'BCoISC-WACCbI'!$C$2:$C$26,'BCoISC-WACCbI'!$B$2:$B$26)+$AE$4,0.1)</f>
        <v/>
      </c>
      <c r="AM4">
        <f>IF(P4&gt;0,L4/P4/0.947817,0)</f>
        <v/>
      </c>
      <c r="AN4">
        <f>IF(AND(P4&gt;0,ISNUMBER(K4)),L4*K4*1000000*E4,0)</f>
        <v/>
      </c>
    </row>
    <row r="5">
      <c r="A5">
        <f>'Kermeli Data'!A12</f>
        <v/>
      </c>
      <c r="B5">
        <f>'Kermeli Data'!B12</f>
        <v/>
      </c>
      <c r="C5">
        <f>'Kermeli Data'!P12</f>
        <v/>
      </c>
      <c r="D5">
        <f>IF(C5="2 whr","whr",IF(C5="3 proc","process","EXCLUDED"))</f>
        <v/>
      </c>
      <c r="E5">
        <f>'Kermeli Data'!E12</f>
        <v/>
      </c>
      <c r="F5">
        <f>'Kermeli Data'!F12</f>
        <v/>
      </c>
      <c r="G5">
        <f>'Kermeli Data'!G12</f>
        <v/>
      </c>
      <c r="H5">
        <f>'Kermeli Data'!I12</f>
        <v/>
      </c>
      <c r="I5">
        <f>'Kermeli Data'!J12</f>
        <v/>
      </c>
      <c r="J5">
        <f>'Kermeli Data'!K12</f>
        <v/>
      </c>
      <c r="K5">
        <f>IFERROR(_xlfn.XLOOKUP(A5,'product map'!$A$14:$A$36,'product map'!$G$14:$G$36),"pending")</f>
        <v/>
      </c>
      <c r="L5">
        <f>H5*cpi!$B$12*cpi!$B$10</f>
        <v/>
      </c>
      <c r="M5">
        <f>J5*cpi!$B$12*cpi!$B$10</f>
        <v/>
      </c>
      <c r="N5">
        <f>IF(I5&gt;0,AL5/(1-(1+AL5)^-I5),"")</f>
        <v/>
      </c>
      <c r="O5">
        <f>L5*N5+M5</f>
        <v/>
      </c>
      <c r="P5">
        <f>MAX(F5,0)+MAX(G5,0)</f>
        <v/>
      </c>
      <c r="Q5">
        <f>IF(P5&gt;0,MAX(F5,0)/P5,0)</f>
        <v/>
      </c>
      <c r="R5">
        <f>IF(P5&gt;0,MAX(G5,0)/P5,0)</f>
        <v/>
      </c>
      <c r="S5">
        <f>IF(P5&gt;0,O5/P5,"")</f>
        <v/>
      </c>
      <c r="T5">
        <f>IF(P5&gt;0,S5/$AE$3,"")</f>
        <v/>
      </c>
      <c r="U5">
        <f>IF(AND(P5&gt;0,Q5&gt;0),T5,"")</f>
        <v/>
      </c>
      <c r="V5">
        <f>IF(AND(P5&gt;0,R5&gt;0),T5,"")</f>
        <v/>
      </c>
      <c r="W5">
        <f>IF(I5&gt;0,$AE$2/(1-(1+$AE$2)^-I5),"")</f>
        <v/>
      </c>
      <c r="X5">
        <f>L5*W5+M5</f>
        <v/>
      </c>
      <c r="Y5">
        <f>IF(P5&gt;0,(X5/P5)/$AE$3,"")</f>
        <v/>
      </c>
      <c r="Z5">
        <f>IF(AND(ISNUMBER(K5),Q5&gt;0),MAX(F5,0)*K5*1000000*E5,"pending")</f>
        <v/>
      </c>
      <c r="AA5">
        <f>IF(AND(ISNUMBER(K5),R5&gt;0),MAX(G5,0)*K5*1000000*E5,"pending")</f>
        <v/>
      </c>
      <c r="AB5">
        <f>IF(AND(ISNUMBER(S5),S5&lt;0),"NEG-CCE","")&amp;IF(NOT(ISNUMBER(K5)),"|pending tonnage","")</f>
        <v/>
      </c>
      <c r="AG5">
        <f>IFERROR(_xlfn.XLOOKUP(A5,'product map'!$A$14:$A$36,'product map'!$C$14:$C$36),"?")</f>
        <v/>
      </c>
      <c r="AH5">
        <f>IFERROR((Z5*0.000000947817)/_xlfn.XLOOKUP(AG5,'energy base (MECS)'!$K$4:$K$9,'energy base (MECS)'!$F$4:$F$9),0)</f>
        <v/>
      </c>
      <c r="AI5">
        <f>IFERROR((AA5*0.000000947817)/_xlfn.XLOOKUP(AG5,'energy base (MECS)'!$K$4:$K$9,'energy base (MECS)'!$I$4:$I$9),0)</f>
        <v/>
      </c>
      <c r="AJ5">
        <f>MAX(0.3*ABS(AK5),0.000001)</f>
        <v/>
      </c>
      <c r="AK5">
        <f>IF(ISNUMBER(T5),T5,0)</f>
        <v/>
      </c>
      <c r="AL5">
        <f>IFERROR(_xlfn.XLOOKUP(AG5,'BCoISC-WACCbI'!$C$2:$C$26,'BCoISC-WACCbI'!$B$2:$B$26)+$AE$4,0.1)</f>
        <v/>
      </c>
      <c r="AM5">
        <f>IF(P5&gt;0,L5/P5/0.947817,0)</f>
        <v/>
      </c>
      <c r="AN5">
        <f>IF(AND(P5&gt;0,ISNUMBER(K5)),L5*K5*1000000*E5,0)</f>
        <v/>
      </c>
    </row>
    <row r="6">
      <c r="A6">
        <f>'Kermeli Data'!A13</f>
        <v/>
      </c>
      <c r="B6">
        <f>'Kermeli Data'!B13</f>
        <v/>
      </c>
      <c r="C6">
        <f>'Kermeli Data'!P13</f>
        <v/>
      </c>
      <c r="D6">
        <f>IF(C6="2 whr","whr",IF(C6="3 proc","process","EXCLUDED"))</f>
        <v/>
      </c>
      <c r="E6">
        <f>'Kermeli Data'!E13</f>
        <v/>
      </c>
      <c r="F6">
        <f>'Kermeli Data'!F13</f>
        <v/>
      </c>
      <c r="G6">
        <f>'Kermeli Data'!G13</f>
        <v/>
      </c>
      <c r="H6">
        <f>'Kermeli Data'!I13</f>
        <v/>
      </c>
      <c r="I6">
        <f>'Kermeli Data'!J13</f>
        <v/>
      </c>
      <c r="J6">
        <f>'Kermeli Data'!K13</f>
        <v/>
      </c>
      <c r="K6">
        <f>IFERROR(_xlfn.XLOOKUP(A6,'product map'!$A$14:$A$36,'product map'!$G$14:$G$36),"pending")</f>
        <v/>
      </c>
      <c r="L6">
        <f>H6*cpi!$B$12*cpi!$B$10</f>
        <v/>
      </c>
      <c r="M6">
        <f>J6*cpi!$B$12*cpi!$B$10</f>
        <v/>
      </c>
      <c r="N6">
        <f>IF(I6&gt;0,AL6/(1-(1+AL6)^-I6),"")</f>
        <v/>
      </c>
      <c r="O6">
        <f>L6*N6+M6</f>
        <v/>
      </c>
      <c r="P6">
        <f>MAX(F6,0)+MAX(G6,0)</f>
        <v/>
      </c>
      <c r="Q6">
        <f>IF(P6&gt;0,MAX(F6,0)/P6,0)</f>
        <v/>
      </c>
      <c r="R6">
        <f>IF(P6&gt;0,MAX(G6,0)/P6,0)</f>
        <v/>
      </c>
      <c r="S6">
        <f>IF(P6&gt;0,O6/P6,"")</f>
        <v/>
      </c>
      <c r="T6">
        <f>IF(P6&gt;0,S6/$AE$3,"")</f>
        <v/>
      </c>
      <c r="U6">
        <f>IF(AND(P6&gt;0,Q6&gt;0),T6,"")</f>
        <v/>
      </c>
      <c r="V6">
        <f>IF(AND(P6&gt;0,R6&gt;0),T6,"")</f>
        <v/>
      </c>
      <c r="W6">
        <f>IF(I6&gt;0,$AE$2/(1-(1+$AE$2)^-I6),"")</f>
        <v/>
      </c>
      <c r="X6">
        <f>L6*W6+M6</f>
        <v/>
      </c>
      <c r="Y6">
        <f>IF(P6&gt;0,(X6/P6)/$AE$3,"")</f>
        <v/>
      </c>
      <c r="Z6">
        <f>IF(AND(ISNUMBER(K6),Q6&gt;0),MAX(F6,0)*K6*1000000*E6,"pending")</f>
        <v/>
      </c>
      <c r="AA6">
        <f>IF(AND(ISNUMBER(K6),R6&gt;0),MAX(G6,0)*K6*1000000*E6,"pending")</f>
        <v/>
      </c>
      <c r="AB6">
        <f>IF(AND(ISNUMBER(S6),S6&lt;0),"NEG-CCE","")&amp;IF(NOT(ISNUMBER(K6)),"|pending tonnage","")</f>
        <v/>
      </c>
      <c r="AG6">
        <f>IFERROR(_xlfn.XLOOKUP(A6,'product map'!$A$14:$A$36,'product map'!$C$14:$C$36),"?")</f>
        <v/>
      </c>
      <c r="AH6">
        <f>IFERROR((Z6*0.000000947817)/_xlfn.XLOOKUP(AG6,'energy base (MECS)'!$K$4:$K$9,'energy base (MECS)'!$F$4:$F$9),0)</f>
        <v/>
      </c>
      <c r="AI6">
        <f>IFERROR((AA6*0.000000947817)/_xlfn.XLOOKUP(AG6,'energy base (MECS)'!$K$4:$K$9,'energy base (MECS)'!$I$4:$I$9),0)</f>
        <v/>
      </c>
      <c r="AJ6">
        <f>MAX(0.3*ABS(AK6),0.000001)</f>
        <v/>
      </c>
      <c r="AK6">
        <f>IF(ISNUMBER(T6),T6,0)</f>
        <v/>
      </c>
      <c r="AL6">
        <f>IFERROR(_xlfn.XLOOKUP(AG6,'BCoISC-WACCbI'!$C$2:$C$26,'BCoISC-WACCbI'!$B$2:$B$26)+$AE$4,0.1)</f>
        <v/>
      </c>
      <c r="AM6">
        <f>IF(P6&gt;0,L6/P6/0.947817,0)</f>
        <v/>
      </c>
      <c r="AN6">
        <f>IF(AND(P6&gt;0,ISNUMBER(K6)),L6*K6*1000000*E6,0)</f>
        <v/>
      </c>
    </row>
    <row r="7">
      <c r="A7">
        <f>'Kermeli Data'!A14</f>
        <v/>
      </c>
      <c r="B7">
        <f>'Kermeli Data'!B14</f>
        <v/>
      </c>
      <c r="C7">
        <f>'Kermeli Data'!P14</f>
        <v/>
      </c>
      <c r="D7">
        <f>IF(C7="2 whr","whr",IF(C7="3 proc","process","EXCLUDED"))</f>
        <v/>
      </c>
      <c r="E7">
        <f>'Kermeli Data'!E14</f>
        <v/>
      </c>
      <c r="F7">
        <f>'Kermeli Data'!F14</f>
        <v/>
      </c>
      <c r="G7">
        <f>'Kermeli Data'!G14</f>
        <v/>
      </c>
      <c r="H7">
        <f>'Kermeli Data'!I14</f>
        <v/>
      </c>
      <c r="I7">
        <f>'Kermeli Data'!J14</f>
        <v/>
      </c>
      <c r="J7">
        <f>'Kermeli Data'!K14</f>
        <v/>
      </c>
      <c r="K7">
        <f>IFERROR(_xlfn.XLOOKUP(A7,'product map'!$A$14:$A$36,'product map'!$G$14:$G$36),"pending")</f>
        <v/>
      </c>
      <c r="L7">
        <f>H7*cpi!$B$12*cpi!$B$10</f>
        <v/>
      </c>
      <c r="M7">
        <f>J7*cpi!$B$12*cpi!$B$10</f>
        <v/>
      </c>
      <c r="N7">
        <f>IF(I7&gt;0,AL7/(1-(1+AL7)^-I7),"")</f>
        <v/>
      </c>
      <c r="O7">
        <f>L7*N7+M7</f>
        <v/>
      </c>
      <c r="P7">
        <f>MAX(F7,0)+MAX(G7,0)</f>
        <v/>
      </c>
      <c r="Q7">
        <f>IF(P7&gt;0,MAX(F7,0)/P7,0)</f>
        <v/>
      </c>
      <c r="R7">
        <f>IF(P7&gt;0,MAX(G7,0)/P7,0)</f>
        <v/>
      </c>
      <c r="S7">
        <f>IF(P7&gt;0,O7/P7,"")</f>
        <v/>
      </c>
      <c r="T7">
        <f>IF(P7&gt;0,S7/$AE$3,"")</f>
        <v/>
      </c>
      <c r="U7">
        <f>IF(AND(P7&gt;0,Q7&gt;0),T7,"")</f>
        <v/>
      </c>
      <c r="V7">
        <f>IF(AND(P7&gt;0,R7&gt;0),T7,"")</f>
        <v/>
      </c>
      <c r="W7">
        <f>IF(I7&gt;0,$AE$2/(1-(1+$AE$2)^-I7),"")</f>
        <v/>
      </c>
      <c r="X7">
        <f>L7*W7+M7</f>
        <v/>
      </c>
      <c r="Y7">
        <f>IF(P7&gt;0,(X7/P7)/$AE$3,"")</f>
        <v/>
      </c>
      <c r="Z7">
        <f>IF(AND(ISNUMBER(K7),Q7&gt;0),MAX(F7,0)*K7*1000000*E7,"pending")</f>
        <v/>
      </c>
      <c r="AA7">
        <f>IF(AND(ISNUMBER(K7),R7&gt;0),MAX(G7,0)*K7*1000000*E7,"pending")</f>
        <v/>
      </c>
      <c r="AB7">
        <f>IF(AND(ISNUMBER(S7),S7&lt;0),"NEG-CCE","")&amp;IF(NOT(ISNUMBER(K7)),"|pending tonnage","")</f>
        <v/>
      </c>
      <c r="AG7">
        <f>IFERROR(_xlfn.XLOOKUP(A7,'product map'!$A$14:$A$36,'product map'!$C$14:$C$36),"?")</f>
        <v/>
      </c>
      <c r="AH7">
        <f>IFERROR((Z7*0.000000947817)/_xlfn.XLOOKUP(AG7,'energy base (MECS)'!$K$4:$K$9,'energy base (MECS)'!$F$4:$F$9),0)</f>
        <v/>
      </c>
      <c r="AI7">
        <f>IFERROR((AA7*0.000000947817)/_xlfn.XLOOKUP(AG7,'energy base (MECS)'!$K$4:$K$9,'energy base (MECS)'!$I$4:$I$9),0)</f>
        <v/>
      </c>
      <c r="AJ7">
        <f>MAX(0.3*ABS(AK7),0.000001)</f>
        <v/>
      </c>
      <c r="AK7">
        <f>IF(ISNUMBER(T7),T7,0)</f>
        <v/>
      </c>
      <c r="AL7">
        <f>IFERROR(_xlfn.XLOOKUP(AG7,'BCoISC-WACCbI'!$C$2:$C$26,'BCoISC-WACCbI'!$B$2:$B$26)+$AE$4,0.1)</f>
        <v/>
      </c>
      <c r="AM7">
        <f>IF(P7&gt;0,L7/P7/0.947817,0)</f>
        <v/>
      </c>
      <c r="AN7">
        <f>IF(AND(P7&gt;0,ISNUMBER(K7)),L7*K7*1000000*E7,0)</f>
        <v/>
      </c>
    </row>
    <row r="8">
      <c r="A8">
        <f>'Kermeli Data'!A15</f>
        <v/>
      </c>
      <c r="B8">
        <f>'Kermeli Data'!B15</f>
        <v/>
      </c>
      <c r="C8">
        <f>'Kermeli Data'!P15</f>
        <v/>
      </c>
      <c r="D8">
        <f>IF(C8="2 whr","whr",IF(C8="3 proc","process","EXCLUDED"))</f>
        <v/>
      </c>
      <c r="E8">
        <f>'Kermeli Data'!E15</f>
        <v/>
      </c>
      <c r="F8">
        <f>'Kermeli Data'!F15</f>
        <v/>
      </c>
      <c r="G8">
        <f>'Kermeli Data'!G15</f>
        <v/>
      </c>
      <c r="H8">
        <f>'Kermeli Data'!I15</f>
        <v/>
      </c>
      <c r="I8">
        <f>'Kermeli Data'!J15</f>
        <v/>
      </c>
      <c r="J8">
        <f>'Kermeli Data'!K15</f>
        <v/>
      </c>
      <c r="K8">
        <f>IFERROR(_xlfn.XLOOKUP(A8,'product map'!$A$14:$A$36,'product map'!$G$14:$G$36),"pending")</f>
        <v/>
      </c>
      <c r="L8">
        <f>H8*cpi!$B$12*cpi!$B$10</f>
        <v/>
      </c>
      <c r="M8">
        <f>J8*cpi!$B$12*cpi!$B$10</f>
        <v/>
      </c>
      <c r="N8">
        <f>IF(I8&gt;0,AL8/(1-(1+AL8)^-I8),"")</f>
        <v/>
      </c>
      <c r="O8">
        <f>L8*N8+M8</f>
        <v/>
      </c>
      <c r="P8">
        <f>MAX(F8,0)+MAX(G8,0)</f>
        <v/>
      </c>
      <c r="Q8">
        <f>IF(P8&gt;0,MAX(F8,0)/P8,0)</f>
        <v/>
      </c>
      <c r="R8">
        <f>IF(P8&gt;0,MAX(G8,0)/P8,0)</f>
        <v/>
      </c>
      <c r="S8">
        <f>IF(P8&gt;0,O8/P8,"")</f>
        <v/>
      </c>
      <c r="T8">
        <f>IF(P8&gt;0,S8/$AE$3,"")</f>
        <v/>
      </c>
      <c r="U8">
        <f>IF(AND(P8&gt;0,Q8&gt;0),T8,"")</f>
        <v/>
      </c>
      <c r="V8">
        <f>IF(AND(P8&gt;0,R8&gt;0),T8,"")</f>
        <v/>
      </c>
      <c r="W8">
        <f>IF(I8&gt;0,$AE$2/(1-(1+$AE$2)^-I8),"")</f>
        <v/>
      </c>
      <c r="X8">
        <f>L8*W8+M8</f>
        <v/>
      </c>
      <c r="Y8">
        <f>IF(P8&gt;0,(X8/P8)/$AE$3,"")</f>
        <v/>
      </c>
      <c r="Z8">
        <f>IF(AND(ISNUMBER(K8),Q8&gt;0),MAX(F8,0)*K8*1000000*E8,"pending")</f>
        <v/>
      </c>
      <c r="AA8">
        <f>IF(AND(ISNUMBER(K8),R8&gt;0),MAX(G8,0)*K8*1000000*E8,"pending")</f>
        <v/>
      </c>
      <c r="AB8">
        <f>IF(AND(ISNUMBER(S8),S8&lt;0),"NEG-CCE","")&amp;IF(NOT(ISNUMBER(K8)),"|pending tonnage","")</f>
        <v/>
      </c>
      <c r="AG8">
        <f>IFERROR(_xlfn.XLOOKUP(A8,'product map'!$A$14:$A$36,'product map'!$C$14:$C$36),"?")</f>
        <v/>
      </c>
      <c r="AH8">
        <f>IFERROR((Z8*0.000000947817)/_xlfn.XLOOKUP(AG8,'energy base (MECS)'!$K$4:$K$9,'energy base (MECS)'!$F$4:$F$9),0)</f>
        <v/>
      </c>
      <c r="AI8">
        <f>IFERROR((AA8*0.000000947817)/_xlfn.XLOOKUP(AG8,'energy base (MECS)'!$K$4:$K$9,'energy base (MECS)'!$I$4:$I$9),0)</f>
        <v/>
      </c>
      <c r="AJ8">
        <f>MAX(0.3*ABS(AK8),0.000001)</f>
        <v/>
      </c>
      <c r="AK8">
        <f>IF(ISNUMBER(T8),T8,0)</f>
        <v/>
      </c>
      <c r="AL8">
        <f>IFERROR(_xlfn.XLOOKUP(AG8,'BCoISC-WACCbI'!$C$2:$C$26,'BCoISC-WACCbI'!$B$2:$B$26)+$AE$4,0.1)</f>
        <v/>
      </c>
      <c r="AM8">
        <f>IF(P8&gt;0,L8/P8/0.947817,0)</f>
        <v/>
      </c>
      <c r="AN8">
        <f>IF(AND(P8&gt;0,ISNUMBER(K8)),L8*K8*1000000*E8,0)</f>
        <v/>
      </c>
    </row>
    <row r="9">
      <c r="A9">
        <f>'Kermeli Data'!A16</f>
        <v/>
      </c>
      <c r="B9">
        <f>'Kermeli Data'!B16</f>
        <v/>
      </c>
      <c r="C9">
        <f>'Kermeli Data'!P16</f>
        <v/>
      </c>
      <c r="D9">
        <f>IF(C9="2 whr","whr",IF(C9="3 proc","process","EXCLUDED"))</f>
        <v/>
      </c>
      <c r="E9">
        <f>'Kermeli Data'!E16</f>
        <v/>
      </c>
      <c r="F9">
        <f>'Kermeli Data'!F16</f>
        <v/>
      </c>
      <c r="G9">
        <f>'Kermeli Data'!G16</f>
        <v/>
      </c>
      <c r="H9">
        <f>'Kermeli Data'!I16</f>
        <v/>
      </c>
      <c r="I9">
        <f>'Kermeli Data'!J16</f>
        <v/>
      </c>
      <c r="J9">
        <f>'Kermeli Data'!K16</f>
        <v/>
      </c>
      <c r="K9">
        <f>IFERROR(_xlfn.XLOOKUP(A9,'product map'!$A$14:$A$36,'product map'!$G$14:$G$36),"pending")</f>
        <v/>
      </c>
      <c r="L9">
        <f>H9*cpi!$B$12*cpi!$B$10</f>
        <v/>
      </c>
      <c r="M9">
        <f>J9*cpi!$B$12*cpi!$B$10</f>
        <v/>
      </c>
      <c r="N9">
        <f>IF(I9&gt;0,AL9/(1-(1+AL9)^-I9),"")</f>
        <v/>
      </c>
      <c r="O9">
        <f>L9*N9+M9</f>
        <v/>
      </c>
      <c r="P9">
        <f>MAX(F9,0)+MAX(G9,0)</f>
        <v/>
      </c>
      <c r="Q9">
        <f>IF(P9&gt;0,MAX(F9,0)/P9,0)</f>
        <v/>
      </c>
      <c r="R9">
        <f>IF(P9&gt;0,MAX(G9,0)/P9,0)</f>
        <v/>
      </c>
      <c r="S9">
        <f>IF(P9&gt;0,O9/P9,"")</f>
        <v/>
      </c>
      <c r="T9">
        <f>IF(P9&gt;0,S9/$AE$3,"")</f>
        <v/>
      </c>
      <c r="U9">
        <f>IF(AND(P9&gt;0,Q9&gt;0),T9,"")</f>
        <v/>
      </c>
      <c r="V9">
        <f>IF(AND(P9&gt;0,R9&gt;0),T9,"")</f>
        <v/>
      </c>
      <c r="W9">
        <f>IF(I9&gt;0,$AE$2/(1-(1+$AE$2)^-I9),"")</f>
        <v/>
      </c>
      <c r="X9">
        <f>L9*W9+M9</f>
        <v/>
      </c>
      <c r="Y9">
        <f>IF(P9&gt;0,(X9/P9)/$AE$3,"")</f>
        <v/>
      </c>
      <c r="Z9">
        <f>IF(AND(ISNUMBER(K9),Q9&gt;0),MAX(F9,0)*K9*1000000*E9,"pending")</f>
        <v/>
      </c>
      <c r="AA9">
        <f>IF(AND(ISNUMBER(K9),R9&gt;0),MAX(G9,0)*K9*1000000*E9,"pending")</f>
        <v/>
      </c>
      <c r="AB9">
        <f>IF(AND(ISNUMBER(S9),S9&lt;0),"NEG-CCE","")&amp;IF(NOT(ISNUMBER(K9)),"|pending tonnage","")</f>
        <v/>
      </c>
      <c r="AG9">
        <f>IFERROR(_xlfn.XLOOKUP(A9,'product map'!$A$14:$A$36,'product map'!$C$14:$C$36),"?")</f>
        <v/>
      </c>
      <c r="AH9">
        <f>IFERROR((Z9*0.000000947817)/_xlfn.XLOOKUP(AG9,'energy base (MECS)'!$K$4:$K$9,'energy base (MECS)'!$F$4:$F$9),0)</f>
        <v/>
      </c>
      <c r="AI9">
        <f>IFERROR((AA9*0.000000947817)/_xlfn.XLOOKUP(AG9,'energy base (MECS)'!$K$4:$K$9,'energy base (MECS)'!$I$4:$I$9),0)</f>
        <v/>
      </c>
      <c r="AJ9">
        <f>MAX(0.3*ABS(AK9),0.000001)</f>
        <v/>
      </c>
      <c r="AK9">
        <f>IF(ISNUMBER(T9),T9,0)</f>
        <v/>
      </c>
      <c r="AL9">
        <f>IFERROR(_xlfn.XLOOKUP(AG9,'BCoISC-WACCbI'!$C$2:$C$26,'BCoISC-WACCbI'!$B$2:$B$26)+$AE$4,0.1)</f>
        <v/>
      </c>
      <c r="AM9">
        <f>IF(P9&gt;0,L9/P9/0.947817,0)</f>
        <v/>
      </c>
      <c r="AN9">
        <f>IF(AND(P9&gt;0,ISNUMBER(K9)),L9*K9*1000000*E9,0)</f>
        <v/>
      </c>
    </row>
    <row r="10">
      <c r="A10">
        <f>'Kermeli Data'!A17</f>
        <v/>
      </c>
      <c r="B10">
        <f>'Kermeli Data'!B17</f>
        <v/>
      </c>
      <c r="C10">
        <f>'Kermeli Data'!P17</f>
        <v/>
      </c>
      <c r="D10">
        <f>IF(C10="2 whr","whr",IF(C10="3 proc","process","EXCLUDED"))</f>
        <v/>
      </c>
      <c r="E10">
        <f>'Kermeli Data'!E17</f>
        <v/>
      </c>
      <c r="F10">
        <f>'Kermeli Data'!F17</f>
        <v/>
      </c>
      <c r="G10">
        <f>'Kermeli Data'!G17</f>
        <v/>
      </c>
      <c r="H10">
        <f>'Kermeli Data'!I17</f>
        <v/>
      </c>
      <c r="I10">
        <f>'Kermeli Data'!J17</f>
        <v/>
      </c>
      <c r="J10">
        <f>'Kermeli Data'!K17</f>
        <v/>
      </c>
      <c r="K10">
        <f>IFERROR(_xlfn.XLOOKUP(A10,'product map'!$A$14:$A$36,'product map'!$G$14:$G$36),"pending")</f>
        <v/>
      </c>
      <c r="L10">
        <f>H10*cpi!$B$12*cpi!$B$10</f>
        <v/>
      </c>
      <c r="M10">
        <f>J10*cpi!$B$12*cpi!$B$10</f>
        <v/>
      </c>
      <c r="N10">
        <f>IF(I10&gt;0,AL10/(1-(1+AL10)^-I10),"")</f>
        <v/>
      </c>
      <c r="O10">
        <f>L10*N10+M10</f>
        <v/>
      </c>
      <c r="P10">
        <f>MAX(F10,0)+MAX(G10,0)</f>
        <v/>
      </c>
      <c r="Q10">
        <f>IF(P10&gt;0,MAX(F10,0)/P10,0)</f>
        <v/>
      </c>
      <c r="R10">
        <f>IF(P10&gt;0,MAX(G10,0)/P10,0)</f>
        <v/>
      </c>
      <c r="S10">
        <f>IF(P10&gt;0,O10/P10,"")</f>
        <v/>
      </c>
      <c r="T10">
        <f>IF(P10&gt;0,S10/$AE$3,"")</f>
        <v/>
      </c>
      <c r="U10">
        <f>IF(AND(P10&gt;0,Q10&gt;0),T10,"")</f>
        <v/>
      </c>
      <c r="V10">
        <f>IF(AND(P10&gt;0,R10&gt;0),T10,"")</f>
        <v/>
      </c>
      <c r="W10">
        <f>IF(I10&gt;0,$AE$2/(1-(1+$AE$2)^-I10),"")</f>
        <v/>
      </c>
      <c r="X10">
        <f>L10*W10+M10</f>
        <v/>
      </c>
      <c r="Y10">
        <f>IF(P10&gt;0,(X10/P10)/$AE$3,"")</f>
        <v/>
      </c>
      <c r="Z10">
        <f>IF(AND(ISNUMBER(K10),Q10&gt;0),MAX(F10,0)*K10*1000000*E10,"pending")</f>
        <v/>
      </c>
      <c r="AA10">
        <f>IF(AND(ISNUMBER(K10),R10&gt;0),MAX(G10,0)*K10*1000000*E10,"pending")</f>
        <v/>
      </c>
      <c r="AB10">
        <f>IF(AND(ISNUMBER(S10),S10&lt;0),"NEG-CCE","")&amp;IF(NOT(ISNUMBER(K10)),"|pending tonnage","")</f>
        <v/>
      </c>
      <c r="AG10">
        <f>IFERROR(_xlfn.XLOOKUP(A10,'product map'!$A$14:$A$36,'product map'!$C$14:$C$36),"?")</f>
        <v/>
      </c>
      <c r="AH10">
        <f>IFERROR((Z10*0.000000947817)/_xlfn.XLOOKUP(AG10,'energy base (MECS)'!$K$4:$K$9,'energy base (MECS)'!$F$4:$F$9),0)</f>
        <v/>
      </c>
      <c r="AI10">
        <f>IFERROR((AA10*0.000000947817)/_xlfn.XLOOKUP(AG10,'energy base (MECS)'!$K$4:$K$9,'energy base (MECS)'!$I$4:$I$9),0)</f>
        <v/>
      </c>
      <c r="AJ10">
        <f>MAX(0.3*ABS(AK10),0.000001)</f>
        <v/>
      </c>
      <c r="AK10">
        <f>IF(ISNUMBER(T10),T10,0)</f>
        <v/>
      </c>
      <c r="AL10">
        <f>IFERROR(_xlfn.XLOOKUP(AG10,'BCoISC-WACCbI'!$C$2:$C$26,'BCoISC-WACCbI'!$B$2:$B$26)+$AE$4,0.1)</f>
        <v/>
      </c>
      <c r="AM10">
        <f>IF(P10&gt;0,L10/P10/0.947817,0)</f>
        <v/>
      </c>
      <c r="AN10">
        <f>IF(AND(P10&gt;0,ISNUMBER(K10)),L10*K10*1000000*E10,0)</f>
        <v/>
      </c>
    </row>
    <row r="11">
      <c r="A11">
        <f>'Kermeli Data'!A18</f>
        <v/>
      </c>
      <c r="B11">
        <f>'Kermeli Data'!B18</f>
        <v/>
      </c>
      <c r="C11">
        <f>'Kermeli Data'!P18</f>
        <v/>
      </c>
      <c r="D11">
        <f>IF(C11="2 whr","whr",IF(C11="3 proc","process","EXCLUDED"))</f>
        <v/>
      </c>
      <c r="E11">
        <f>'Kermeli Data'!E18</f>
        <v/>
      </c>
      <c r="F11">
        <f>'Kermeli Data'!F18</f>
        <v/>
      </c>
      <c r="G11">
        <f>'Kermeli Data'!G18</f>
        <v/>
      </c>
      <c r="H11">
        <f>'Kermeli Data'!I18</f>
        <v/>
      </c>
      <c r="I11">
        <f>'Kermeli Data'!J18</f>
        <v/>
      </c>
      <c r="J11">
        <f>'Kermeli Data'!K18</f>
        <v/>
      </c>
      <c r="K11">
        <f>IFERROR(_xlfn.XLOOKUP(A11,'product map'!$A$14:$A$36,'product map'!$G$14:$G$36),"pending")</f>
        <v/>
      </c>
      <c r="L11">
        <f>H11*cpi!$B$12*cpi!$B$10</f>
        <v/>
      </c>
      <c r="M11">
        <f>J11*cpi!$B$12*cpi!$B$10</f>
        <v/>
      </c>
      <c r="N11">
        <f>IF(I11&gt;0,AL11/(1-(1+AL11)^-I11),"")</f>
        <v/>
      </c>
      <c r="O11">
        <f>L11*N11+M11</f>
        <v/>
      </c>
      <c r="P11">
        <f>MAX(F11,0)+MAX(G11,0)</f>
        <v/>
      </c>
      <c r="Q11">
        <f>IF(P11&gt;0,MAX(F11,0)/P11,0)</f>
        <v/>
      </c>
      <c r="R11">
        <f>IF(P11&gt;0,MAX(G11,0)/P11,0)</f>
        <v/>
      </c>
      <c r="S11">
        <f>IF(P11&gt;0,O11/P11,"")</f>
        <v/>
      </c>
      <c r="T11">
        <f>IF(P11&gt;0,S11/$AE$3,"")</f>
        <v/>
      </c>
      <c r="U11">
        <f>IF(AND(P11&gt;0,Q11&gt;0),T11,"")</f>
        <v/>
      </c>
      <c r="V11">
        <f>IF(AND(P11&gt;0,R11&gt;0),T11,"")</f>
        <v/>
      </c>
      <c r="W11">
        <f>IF(I11&gt;0,$AE$2/(1-(1+$AE$2)^-I11),"")</f>
        <v/>
      </c>
      <c r="X11">
        <f>L11*W11+M11</f>
        <v/>
      </c>
      <c r="Y11">
        <f>IF(P11&gt;0,(X11/P11)/$AE$3,"")</f>
        <v/>
      </c>
      <c r="Z11">
        <f>IF(AND(ISNUMBER(K11),Q11&gt;0),MAX(F11,0)*K11*1000000*E11,"pending")</f>
        <v/>
      </c>
      <c r="AA11">
        <f>IF(AND(ISNUMBER(K11),R11&gt;0),MAX(G11,0)*K11*1000000*E11,"pending")</f>
        <v/>
      </c>
      <c r="AB11">
        <f>IF(AND(ISNUMBER(S11),S11&lt;0),"NEG-CCE","")&amp;IF(NOT(ISNUMBER(K11)),"|pending tonnage","")</f>
        <v/>
      </c>
      <c r="AG11">
        <f>IFERROR(_xlfn.XLOOKUP(A11,'product map'!$A$14:$A$36,'product map'!$C$14:$C$36),"?")</f>
        <v/>
      </c>
      <c r="AH11">
        <f>IFERROR((Z11*0.000000947817)/_xlfn.XLOOKUP(AG11,'energy base (MECS)'!$K$4:$K$9,'energy base (MECS)'!$F$4:$F$9),0)</f>
        <v/>
      </c>
      <c r="AI11">
        <f>IFERROR((AA11*0.000000947817)/_xlfn.XLOOKUP(AG11,'energy base (MECS)'!$K$4:$K$9,'energy base (MECS)'!$I$4:$I$9),0)</f>
        <v/>
      </c>
      <c r="AJ11">
        <f>MAX(0.3*ABS(AK11),0.000001)</f>
        <v/>
      </c>
      <c r="AK11">
        <f>IF(ISNUMBER(T11),T11,0)</f>
        <v/>
      </c>
      <c r="AL11">
        <f>IFERROR(_xlfn.XLOOKUP(AG11,'BCoISC-WACCbI'!$C$2:$C$26,'BCoISC-WACCbI'!$B$2:$B$26)+$AE$4,0.1)</f>
        <v/>
      </c>
      <c r="AM11">
        <f>IF(P11&gt;0,L11/P11/0.947817,0)</f>
        <v/>
      </c>
      <c r="AN11">
        <f>IF(AND(P11&gt;0,ISNUMBER(K11)),L11*K11*1000000*E11,0)</f>
        <v/>
      </c>
    </row>
    <row r="12">
      <c r="A12">
        <f>'Kermeli Data'!A19</f>
        <v/>
      </c>
      <c r="B12">
        <f>'Kermeli Data'!B19</f>
        <v/>
      </c>
      <c r="C12">
        <f>'Kermeli Data'!P19</f>
        <v/>
      </c>
      <c r="D12">
        <f>IF(C12="2 whr","whr",IF(C12="3 proc","process","EXCLUDED"))</f>
        <v/>
      </c>
      <c r="E12">
        <f>'Kermeli Data'!E19</f>
        <v/>
      </c>
      <c r="F12">
        <f>'Kermeli Data'!F19</f>
        <v/>
      </c>
      <c r="G12">
        <f>'Kermeli Data'!G19</f>
        <v/>
      </c>
      <c r="H12">
        <f>'Kermeli Data'!I19</f>
        <v/>
      </c>
      <c r="I12">
        <f>'Kermeli Data'!J19</f>
        <v/>
      </c>
      <c r="J12">
        <f>'Kermeli Data'!K19</f>
        <v/>
      </c>
      <c r="K12">
        <f>IFERROR(_xlfn.XLOOKUP(A12,'product map'!$A$14:$A$36,'product map'!$G$14:$G$36),"pending")</f>
        <v/>
      </c>
      <c r="L12">
        <f>H12*cpi!$B$12*cpi!$B$10</f>
        <v/>
      </c>
      <c r="M12">
        <f>J12*cpi!$B$12*cpi!$B$10</f>
        <v/>
      </c>
      <c r="N12">
        <f>IF(I12&gt;0,AL12/(1-(1+AL12)^-I12),"")</f>
        <v/>
      </c>
      <c r="O12">
        <f>L12*N12+M12</f>
        <v/>
      </c>
      <c r="P12">
        <f>MAX(F12,0)+MAX(G12,0)</f>
        <v/>
      </c>
      <c r="Q12">
        <f>IF(P12&gt;0,MAX(F12,0)/P12,0)</f>
        <v/>
      </c>
      <c r="R12">
        <f>IF(P12&gt;0,MAX(G12,0)/P12,0)</f>
        <v/>
      </c>
      <c r="S12">
        <f>IF(P12&gt;0,O12/P12,"")</f>
        <v/>
      </c>
      <c r="T12">
        <f>IF(P12&gt;0,S12/$AE$3,"")</f>
        <v/>
      </c>
      <c r="U12">
        <f>IF(AND(P12&gt;0,Q12&gt;0),T12,"")</f>
        <v/>
      </c>
      <c r="V12">
        <f>IF(AND(P12&gt;0,R12&gt;0),T12,"")</f>
        <v/>
      </c>
      <c r="W12">
        <f>IF(I12&gt;0,$AE$2/(1-(1+$AE$2)^-I12),"")</f>
        <v/>
      </c>
      <c r="X12">
        <f>L12*W12+M12</f>
        <v/>
      </c>
      <c r="Y12">
        <f>IF(P12&gt;0,(X12/P12)/$AE$3,"")</f>
        <v/>
      </c>
      <c r="Z12">
        <f>IF(AND(ISNUMBER(K12),Q12&gt;0),MAX(F12,0)*K12*1000000*E12,"pending")</f>
        <v/>
      </c>
      <c r="AA12">
        <f>IF(AND(ISNUMBER(K12),R12&gt;0),MAX(G12,0)*K12*1000000*E12,"pending")</f>
        <v/>
      </c>
      <c r="AB12">
        <f>IF(AND(ISNUMBER(S12),S12&lt;0),"NEG-CCE","")&amp;IF(NOT(ISNUMBER(K12)),"|pending tonnage","")</f>
        <v/>
      </c>
      <c r="AG12">
        <f>IFERROR(_xlfn.XLOOKUP(A12,'product map'!$A$14:$A$36,'product map'!$C$14:$C$36),"?")</f>
        <v/>
      </c>
      <c r="AH12">
        <f>IFERROR((Z12*0.000000947817)/_xlfn.XLOOKUP(AG12,'energy base (MECS)'!$K$4:$K$9,'energy base (MECS)'!$F$4:$F$9),0)</f>
        <v/>
      </c>
      <c r="AI12">
        <f>IFERROR((AA12*0.000000947817)/_xlfn.XLOOKUP(AG12,'energy base (MECS)'!$K$4:$K$9,'energy base (MECS)'!$I$4:$I$9),0)</f>
        <v/>
      </c>
      <c r="AJ12">
        <f>MAX(0.3*ABS(AK12),0.000001)</f>
        <v/>
      </c>
      <c r="AK12">
        <f>IF(ISNUMBER(T12),T12,0)</f>
        <v/>
      </c>
      <c r="AL12">
        <f>IFERROR(_xlfn.XLOOKUP(AG12,'BCoISC-WACCbI'!$C$2:$C$26,'BCoISC-WACCbI'!$B$2:$B$26)+$AE$4,0.1)</f>
        <v/>
      </c>
      <c r="AM12">
        <f>IF(P12&gt;0,L12/P12/0.947817,0)</f>
        <v/>
      </c>
      <c r="AN12">
        <f>IF(AND(P12&gt;0,ISNUMBER(K12)),L12*K12*1000000*E12,0)</f>
        <v/>
      </c>
    </row>
    <row r="13">
      <c r="A13">
        <f>'Kermeli Data'!A20</f>
        <v/>
      </c>
      <c r="B13">
        <f>'Kermeli Data'!B20</f>
        <v/>
      </c>
      <c r="C13">
        <f>'Kermeli Data'!P20</f>
        <v/>
      </c>
      <c r="D13">
        <f>IF(C13="2 whr","whr",IF(C13="3 proc","process","EXCLUDED"))</f>
        <v/>
      </c>
      <c r="E13">
        <f>'Kermeli Data'!E20</f>
        <v/>
      </c>
      <c r="F13">
        <f>'Kermeli Data'!F20</f>
        <v/>
      </c>
      <c r="G13">
        <f>'Kermeli Data'!G20</f>
        <v/>
      </c>
      <c r="H13">
        <f>'Kermeli Data'!I20</f>
        <v/>
      </c>
      <c r="I13">
        <f>'Kermeli Data'!J20</f>
        <v/>
      </c>
      <c r="J13">
        <f>'Kermeli Data'!K20</f>
        <v/>
      </c>
      <c r="K13">
        <f>IFERROR(_xlfn.XLOOKUP(A13,'product map'!$A$14:$A$36,'product map'!$G$14:$G$36),"pending")</f>
        <v/>
      </c>
      <c r="L13">
        <f>H13*cpi!$B$12*cpi!$B$10</f>
        <v/>
      </c>
      <c r="M13">
        <f>J13*cpi!$B$12*cpi!$B$10</f>
        <v/>
      </c>
      <c r="N13">
        <f>IF(I13&gt;0,AL13/(1-(1+AL13)^-I13),"")</f>
        <v/>
      </c>
      <c r="O13">
        <f>L13*N13+M13</f>
        <v/>
      </c>
      <c r="P13">
        <f>MAX(F13,0)+MAX(G13,0)</f>
        <v/>
      </c>
      <c r="Q13">
        <f>IF(P13&gt;0,MAX(F13,0)/P13,0)</f>
        <v/>
      </c>
      <c r="R13">
        <f>IF(P13&gt;0,MAX(G13,0)/P13,0)</f>
        <v/>
      </c>
      <c r="S13">
        <f>IF(P13&gt;0,O13/P13,"")</f>
        <v/>
      </c>
      <c r="T13">
        <f>IF(P13&gt;0,S13/$AE$3,"")</f>
        <v/>
      </c>
      <c r="U13">
        <f>IF(AND(P13&gt;0,Q13&gt;0),T13,"")</f>
        <v/>
      </c>
      <c r="V13">
        <f>IF(AND(P13&gt;0,R13&gt;0),T13,"")</f>
        <v/>
      </c>
      <c r="W13">
        <f>IF(I13&gt;0,$AE$2/(1-(1+$AE$2)^-I13),"")</f>
        <v/>
      </c>
      <c r="X13">
        <f>L13*W13+M13</f>
        <v/>
      </c>
      <c r="Y13">
        <f>IF(P13&gt;0,(X13/P13)/$AE$3,"")</f>
        <v/>
      </c>
      <c r="Z13">
        <f>IF(AND(ISNUMBER(K13),Q13&gt;0),MAX(F13,0)*K13*1000000*E13,"pending")</f>
        <v/>
      </c>
      <c r="AA13">
        <f>IF(AND(ISNUMBER(K13),R13&gt;0),MAX(G13,0)*K13*1000000*E13,"pending")</f>
        <v/>
      </c>
      <c r="AB13">
        <f>IF(AND(ISNUMBER(S13),S13&lt;0),"NEG-CCE","")&amp;IF(NOT(ISNUMBER(K13)),"|pending tonnage","")</f>
        <v/>
      </c>
      <c r="AG13">
        <f>IFERROR(_xlfn.XLOOKUP(A13,'product map'!$A$14:$A$36,'product map'!$C$14:$C$36),"?")</f>
        <v/>
      </c>
      <c r="AH13">
        <f>IFERROR((Z13*0.000000947817)/_xlfn.XLOOKUP(AG13,'energy base (MECS)'!$K$4:$K$9,'energy base (MECS)'!$F$4:$F$9),0)</f>
        <v/>
      </c>
      <c r="AI13">
        <f>IFERROR((AA13*0.000000947817)/_xlfn.XLOOKUP(AG13,'energy base (MECS)'!$K$4:$K$9,'energy base (MECS)'!$I$4:$I$9),0)</f>
        <v/>
      </c>
      <c r="AJ13">
        <f>MAX(0.3*ABS(AK13),0.000001)</f>
        <v/>
      </c>
      <c r="AK13">
        <f>IF(ISNUMBER(T13),T13,0)</f>
        <v/>
      </c>
      <c r="AL13">
        <f>IFERROR(_xlfn.XLOOKUP(AG13,'BCoISC-WACCbI'!$C$2:$C$26,'BCoISC-WACCbI'!$B$2:$B$26)+$AE$4,0.1)</f>
        <v/>
      </c>
      <c r="AM13">
        <f>IF(P13&gt;0,L13/P13/0.947817,0)</f>
        <v/>
      </c>
      <c r="AN13">
        <f>IF(AND(P13&gt;0,ISNUMBER(K13)),L13*K13*1000000*E13,0)</f>
        <v/>
      </c>
    </row>
    <row r="14">
      <c r="A14">
        <f>'Kermeli Data'!A21</f>
        <v/>
      </c>
      <c r="B14">
        <f>'Kermeli Data'!B21</f>
        <v/>
      </c>
      <c r="C14">
        <f>'Kermeli Data'!P21</f>
        <v/>
      </c>
      <c r="D14">
        <f>IF(C14="2 whr","whr",IF(C14="3 proc","process","EXCLUDED"))</f>
        <v/>
      </c>
      <c r="E14">
        <f>'Kermeli Data'!E21</f>
        <v/>
      </c>
      <c r="F14">
        <f>'Kermeli Data'!F21</f>
        <v/>
      </c>
      <c r="G14">
        <f>'Kermeli Data'!G21</f>
        <v/>
      </c>
      <c r="H14">
        <f>'Kermeli Data'!I21</f>
        <v/>
      </c>
      <c r="I14">
        <f>'Kermeli Data'!J21</f>
        <v/>
      </c>
      <c r="J14">
        <f>'Kermeli Data'!K21</f>
        <v/>
      </c>
      <c r="K14">
        <f>IFERROR(_xlfn.XLOOKUP(A14,'product map'!$A$14:$A$36,'product map'!$G$14:$G$36),"pending")</f>
        <v/>
      </c>
      <c r="L14">
        <f>H14*cpi!$B$12*cpi!$B$10</f>
        <v/>
      </c>
      <c r="M14">
        <f>J14*cpi!$B$12*cpi!$B$10</f>
        <v/>
      </c>
      <c r="N14">
        <f>IF(I14&gt;0,AL14/(1-(1+AL14)^-I14),"")</f>
        <v/>
      </c>
      <c r="O14">
        <f>L14*N14+M14</f>
        <v/>
      </c>
      <c r="P14">
        <f>MAX(F14,0)+MAX(G14,0)</f>
        <v/>
      </c>
      <c r="Q14">
        <f>IF(P14&gt;0,MAX(F14,0)/P14,0)</f>
        <v/>
      </c>
      <c r="R14">
        <f>IF(P14&gt;0,MAX(G14,0)/P14,0)</f>
        <v/>
      </c>
      <c r="S14">
        <f>IF(P14&gt;0,O14/P14,"")</f>
        <v/>
      </c>
      <c r="T14">
        <f>IF(P14&gt;0,S14/$AE$3,"")</f>
        <v/>
      </c>
      <c r="U14">
        <f>IF(AND(P14&gt;0,Q14&gt;0),T14,"")</f>
        <v/>
      </c>
      <c r="V14">
        <f>IF(AND(P14&gt;0,R14&gt;0),T14,"")</f>
        <v/>
      </c>
      <c r="W14">
        <f>IF(I14&gt;0,$AE$2/(1-(1+$AE$2)^-I14),"")</f>
        <v/>
      </c>
      <c r="X14">
        <f>L14*W14+M14</f>
        <v/>
      </c>
      <c r="Y14">
        <f>IF(P14&gt;0,(X14/P14)/$AE$3,"")</f>
        <v/>
      </c>
      <c r="Z14">
        <f>IF(AND(ISNUMBER(K14),Q14&gt;0),MAX(F14,0)*K14*1000000*E14,"pending")</f>
        <v/>
      </c>
      <c r="AA14">
        <f>IF(AND(ISNUMBER(K14),R14&gt;0),MAX(G14,0)*K14*1000000*E14,"pending")</f>
        <v/>
      </c>
      <c r="AB14">
        <f>IF(AND(ISNUMBER(S14),S14&lt;0),"NEG-CCE","")&amp;IF(NOT(ISNUMBER(K14)),"|pending tonnage","")</f>
        <v/>
      </c>
      <c r="AG14">
        <f>IFERROR(_xlfn.XLOOKUP(A14,'product map'!$A$14:$A$36,'product map'!$C$14:$C$36),"?")</f>
        <v/>
      </c>
      <c r="AH14">
        <f>IFERROR((Z14*0.000000947817)/_xlfn.XLOOKUP(AG14,'energy base (MECS)'!$K$4:$K$9,'energy base (MECS)'!$F$4:$F$9),0)</f>
        <v/>
      </c>
      <c r="AI14">
        <f>IFERROR((AA14*0.000000947817)/_xlfn.XLOOKUP(AG14,'energy base (MECS)'!$K$4:$K$9,'energy base (MECS)'!$I$4:$I$9),0)</f>
        <v/>
      </c>
      <c r="AJ14">
        <f>MAX(0.3*ABS(AK14),0.000001)</f>
        <v/>
      </c>
      <c r="AK14">
        <f>IF(ISNUMBER(T14),T14,0)</f>
        <v/>
      </c>
      <c r="AL14">
        <f>IFERROR(_xlfn.XLOOKUP(AG14,'BCoISC-WACCbI'!$C$2:$C$26,'BCoISC-WACCbI'!$B$2:$B$26)+$AE$4,0.1)</f>
        <v/>
      </c>
      <c r="AM14">
        <f>IF(P14&gt;0,L14/P14/0.947817,0)</f>
        <v/>
      </c>
      <c r="AN14">
        <f>IF(AND(P14&gt;0,ISNUMBER(K14)),L14*K14*1000000*E14,0)</f>
        <v/>
      </c>
    </row>
    <row r="15">
      <c r="A15">
        <f>'Kermeli Data'!A22</f>
        <v/>
      </c>
      <c r="B15">
        <f>'Kermeli Data'!B22</f>
        <v/>
      </c>
      <c r="C15">
        <f>'Kermeli Data'!P22</f>
        <v/>
      </c>
      <c r="D15">
        <f>IF(C15="2 whr","whr",IF(C15="3 proc","process","EXCLUDED"))</f>
        <v/>
      </c>
      <c r="E15">
        <f>'Kermeli Data'!E22</f>
        <v/>
      </c>
      <c r="F15">
        <f>'Kermeli Data'!F22</f>
        <v/>
      </c>
      <c r="G15">
        <f>'Kermeli Data'!G22</f>
        <v/>
      </c>
      <c r="H15">
        <f>'Kermeli Data'!I22</f>
        <v/>
      </c>
      <c r="I15">
        <f>'Kermeli Data'!J22</f>
        <v/>
      </c>
      <c r="J15">
        <f>'Kermeli Data'!K22</f>
        <v/>
      </c>
      <c r="K15">
        <f>IFERROR(_xlfn.XLOOKUP(A15,'product map'!$A$14:$A$36,'product map'!$G$14:$G$36),"pending")</f>
        <v/>
      </c>
      <c r="L15">
        <f>H15*cpi!$B$12*cpi!$B$10</f>
        <v/>
      </c>
      <c r="M15">
        <f>J15*cpi!$B$12*cpi!$B$10</f>
        <v/>
      </c>
      <c r="N15">
        <f>IF(I15&gt;0,AL15/(1-(1+AL15)^-I15),"")</f>
        <v/>
      </c>
      <c r="O15">
        <f>L15*N15+M15</f>
        <v/>
      </c>
      <c r="P15">
        <f>MAX(F15,0)+MAX(G15,0)</f>
        <v/>
      </c>
      <c r="Q15">
        <f>IF(P15&gt;0,MAX(F15,0)/P15,0)</f>
        <v/>
      </c>
      <c r="R15">
        <f>IF(P15&gt;0,MAX(G15,0)/P15,0)</f>
        <v/>
      </c>
      <c r="S15">
        <f>IF(P15&gt;0,O15/P15,"")</f>
        <v/>
      </c>
      <c r="T15">
        <f>IF(P15&gt;0,S15/$AE$3,"")</f>
        <v/>
      </c>
      <c r="U15">
        <f>IF(AND(P15&gt;0,Q15&gt;0),T15,"")</f>
        <v/>
      </c>
      <c r="V15">
        <f>IF(AND(P15&gt;0,R15&gt;0),T15,"")</f>
        <v/>
      </c>
      <c r="W15">
        <f>IF(I15&gt;0,$AE$2/(1-(1+$AE$2)^-I15),"")</f>
        <v/>
      </c>
      <c r="X15">
        <f>L15*W15+M15</f>
        <v/>
      </c>
      <c r="Y15">
        <f>IF(P15&gt;0,(X15/P15)/$AE$3,"")</f>
        <v/>
      </c>
      <c r="Z15">
        <f>IF(AND(ISNUMBER(K15),Q15&gt;0),MAX(F15,0)*K15*1000000*E15,"pending")</f>
        <v/>
      </c>
      <c r="AA15">
        <f>IF(AND(ISNUMBER(K15),R15&gt;0),MAX(G15,0)*K15*1000000*E15,"pending")</f>
        <v/>
      </c>
      <c r="AB15">
        <f>IF(AND(ISNUMBER(S15),S15&lt;0),"NEG-CCE","")&amp;IF(NOT(ISNUMBER(K15)),"|pending tonnage","")</f>
        <v/>
      </c>
      <c r="AG15">
        <f>IFERROR(_xlfn.XLOOKUP(A15,'product map'!$A$14:$A$36,'product map'!$C$14:$C$36),"?")</f>
        <v/>
      </c>
      <c r="AH15">
        <f>IFERROR((Z15*0.000000947817)/_xlfn.XLOOKUP(AG15,'energy base (MECS)'!$K$4:$K$9,'energy base (MECS)'!$F$4:$F$9),0)</f>
        <v/>
      </c>
      <c r="AI15">
        <f>IFERROR((AA15*0.000000947817)/_xlfn.XLOOKUP(AG15,'energy base (MECS)'!$K$4:$K$9,'energy base (MECS)'!$I$4:$I$9),0)</f>
        <v/>
      </c>
      <c r="AJ15">
        <f>MAX(0.3*ABS(AK15),0.000001)</f>
        <v/>
      </c>
      <c r="AK15">
        <f>IF(ISNUMBER(T15),T15,0)</f>
        <v/>
      </c>
      <c r="AL15">
        <f>IFERROR(_xlfn.XLOOKUP(AG15,'BCoISC-WACCbI'!$C$2:$C$26,'BCoISC-WACCbI'!$B$2:$B$26)+$AE$4,0.1)</f>
        <v/>
      </c>
      <c r="AM15">
        <f>IF(P15&gt;0,L15/P15/0.947817,0)</f>
        <v/>
      </c>
      <c r="AN15">
        <f>IF(AND(P15&gt;0,ISNUMBER(K15)),L15*K15*1000000*E15,0)</f>
        <v/>
      </c>
    </row>
    <row r="16">
      <c r="A16">
        <f>'Kermeli Data'!A23</f>
        <v/>
      </c>
      <c r="B16">
        <f>'Kermeli Data'!B23</f>
        <v/>
      </c>
      <c r="C16">
        <f>'Kermeli Data'!P23</f>
        <v/>
      </c>
      <c r="D16">
        <f>IF(C16="2 whr","whr",IF(C16="3 proc","process","EXCLUDED"))</f>
        <v/>
      </c>
      <c r="E16">
        <f>'Kermeli Data'!E23</f>
        <v/>
      </c>
      <c r="F16">
        <f>'Kermeli Data'!F23</f>
        <v/>
      </c>
      <c r="G16">
        <f>'Kermeli Data'!G23</f>
        <v/>
      </c>
      <c r="H16">
        <f>'Kermeli Data'!I23</f>
        <v/>
      </c>
      <c r="I16">
        <f>'Kermeli Data'!J23</f>
        <v/>
      </c>
      <c r="J16">
        <f>'Kermeli Data'!K23</f>
        <v/>
      </c>
      <c r="K16">
        <f>IFERROR(_xlfn.XLOOKUP(A16,'product map'!$A$14:$A$36,'product map'!$G$14:$G$36),"pending")</f>
        <v/>
      </c>
      <c r="L16">
        <f>H16*cpi!$B$12*cpi!$B$10</f>
        <v/>
      </c>
      <c r="M16">
        <f>J16*cpi!$B$12*cpi!$B$10</f>
        <v/>
      </c>
      <c r="N16">
        <f>IF(I16&gt;0,AL16/(1-(1+AL16)^-I16),"")</f>
        <v/>
      </c>
      <c r="O16">
        <f>L16*N16+M16</f>
        <v/>
      </c>
      <c r="P16">
        <f>MAX(F16,0)+MAX(G16,0)</f>
        <v/>
      </c>
      <c r="Q16">
        <f>IF(P16&gt;0,MAX(F16,0)/P16,0)</f>
        <v/>
      </c>
      <c r="R16">
        <f>IF(P16&gt;0,MAX(G16,0)/P16,0)</f>
        <v/>
      </c>
      <c r="S16">
        <f>IF(P16&gt;0,O16/P16,"")</f>
        <v/>
      </c>
      <c r="T16">
        <f>IF(P16&gt;0,S16/$AE$3,"")</f>
        <v/>
      </c>
      <c r="U16">
        <f>IF(AND(P16&gt;0,Q16&gt;0),T16,"")</f>
        <v/>
      </c>
      <c r="V16">
        <f>IF(AND(P16&gt;0,R16&gt;0),T16,"")</f>
        <v/>
      </c>
      <c r="W16">
        <f>IF(I16&gt;0,$AE$2/(1-(1+$AE$2)^-I16),"")</f>
        <v/>
      </c>
      <c r="X16">
        <f>L16*W16+M16</f>
        <v/>
      </c>
      <c r="Y16">
        <f>IF(P16&gt;0,(X16/P16)/$AE$3,"")</f>
        <v/>
      </c>
      <c r="Z16">
        <f>IF(AND(ISNUMBER(K16),Q16&gt;0),MAX(F16,0)*K16*1000000*E16,"pending")</f>
        <v/>
      </c>
      <c r="AA16">
        <f>IF(AND(ISNUMBER(K16),R16&gt;0),MAX(G16,0)*K16*1000000*E16,"pending")</f>
        <v/>
      </c>
      <c r="AB16">
        <f>IF(AND(ISNUMBER(S16),S16&lt;0),"NEG-CCE","")&amp;IF(NOT(ISNUMBER(K16)),"|pending tonnage","")</f>
        <v/>
      </c>
      <c r="AG16">
        <f>IFERROR(_xlfn.XLOOKUP(A16,'product map'!$A$14:$A$36,'product map'!$C$14:$C$36),"?")</f>
        <v/>
      </c>
      <c r="AH16">
        <f>IFERROR((Z16*0.000000947817)/_xlfn.XLOOKUP(AG16,'energy base (MECS)'!$K$4:$K$9,'energy base (MECS)'!$F$4:$F$9),0)</f>
        <v/>
      </c>
      <c r="AI16">
        <f>IFERROR((AA16*0.000000947817)/_xlfn.XLOOKUP(AG16,'energy base (MECS)'!$K$4:$K$9,'energy base (MECS)'!$I$4:$I$9),0)</f>
        <v/>
      </c>
      <c r="AJ16">
        <f>MAX(0.3*ABS(AK16),0.000001)</f>
        <v/>
      </c>
      <c r="AK16">
        <f>IF(ISNUMBER(T16),T16,0)</f>
        <v/>
      </c>
      <c r="AL16">
        <f>IFERROR(_xlfn.XLOOKUP(AG16,'BCoISC-WACCbI'!$C$2:$C$26,'BCoISC-WACCbI'!$B$2:$B$26)+$AE$4,0.1)</f>
        <v/>
      </c>
      <c r="AM16">
        <f>IF(P16&gt;0,L16/P16/0.947817,0)</f>
        <v/>
      </c>
      <c r="AN16">
        <f>IF(AND(P16&gt;0,ISNUMBER(K16)),L16*K16*1000000*E16,0)</f>
        <v/>
      </c>
    </row>
    <row r="17">
      <c r="A17">
        <f>'Kermeli Data'!A24</f>
        <v/>
      </c>
      <c r="B17">
        <f>'Kermeli Data'!B24</f>
        <v/>
      </c>
      <c r="C17">
        <f>'Kermeli Data'!P24</f>
        <v/>
      </c>
      <c r="D17">
        <f>IF(C17="2 whr","whr",IF(C17="3 proc","process","EXCLUDED"))</f>
        <v/>
      </c>
      <c r="E17">
        <f>'Kermeli Data'!E24</f>
        <v/>
      </c>
      <c r="F17">
        <f>'Kermeli Data'!F24</f>
        <v/>
      </c>
      <c r="G17">
        <f>'Kermeli Data'!G24</f>
        <v/>
      </c>
      <c r="H17">
        <f>'Kermeli Data'!I24</f>
        <v/>
      </c>
      <c r="I17">
        <f>'Kermeli Data'!J24</f>
        <v/>
      </c>
      <c r="J17">
        <f>'Kermeli Data'!K24</f>
        <v/>
      </c>
      <c r="K17">
        <f>IFERROR(_xlfn.XLOOKUP(A17,'product map'!$A$14:$A$36,'product map'!$G$14:$G$36),"pending")</f>
        <v/>
      </c>
      <c r="L17">
        <f>H17*cpi!$B$12*cpi!$B$10</f>
        <v/>
      </c>
      <c r="M17">
        <f>J17*cpi!$B$12*cpi!$B$10</f>
        <v/>
      </c>
      <c r="N17">
        <f>IF(I17&gt;0,AL17/(1-(1+AL17)^-I17),"")</f>
        <v/>
      </c>
      <c r="O17">
        <f>L17*N17+M17</f>
        <v/>
      </c>
      <c r="P17">
        <f>MAX(F17,0)+MAX(G17,0)</f>
        <v/>
      </c>
      <c r="Q17">
        <f>IF(P17&gt;0,MAX(F17,0)/P17,0)</f>
        <v/>
      </c>
      <c r="R17">
        <f>IF(P17&gt;0,MAX(G17,0)/P17,0)</f>
        <v/>
      </c>
      <c r="S17">
        <f>IF(P17&gt;0,O17/P17,"")</f>
        <v/>
      </c>
      <c r="T17">
        <f>IF(P17&gt;0,S17/$AE$3,"")</f>
        <v/>
      </c>
      <c r="U17">
        <f>IF(AND(P17&gt;0,Q17&gt;0),T17,"")</f>
        <v/>
      </c>
      <c r="V17">
        <f>IF(AND(P17&gt;0,R17&gt;0),T17,"")</f>
        <v/>
      </c>
      <c r="W17">
        <f>IF(I17&gt;0,$AE$2/(1-(1+$AE$2)^-I17),"")</f>
        <v/>
      </c>
      <c r="X17">
        <f>L17*W17+M17</f>
        <v/>
      </c>
      <c r="Y17">
        <f>IF(P17&gt;0,(X17/P17)/$AE$3,"")</f>
        <v/>
      </c>
      <c r="Z17">
        <f>IF(AND(ISNUMBER(K17),Q17&gt;0),MAX(F17,0)*K17*1000000*E17,"pending")</f>
        <v/>
      </c>
      <c r="AA17">
        <f>IF(AND(ISNUMBER(K17),R17&gt;0),MAX(G17,0)*K17*1000000*E17,"pending")</f>
        <v/>
      </c>
      <c r="AB17">
        <f>IF(AND(ISNUMBER(S17),S17&lt;0),"NEG-CCE","")&amp;IF(NOT(ISNUMBER(K17)),"|pending tonnage","")</f>
        <v/>
      </c>
      <c r="AG17">
        <f>IFERROR(_xlfn.XLOOKUP(A17,'product map'!$A$14:$A$36,'product map'!$C$14:$C$36),"?")</f>
        <v/>
      </c>
      <c r="AH17">
        <f>IFERROR((Z17*0.000000947817)/_xlfn.XLOOKUP(AG17,'energy base (MECS)'!$K$4:$K$9,'energy base (MECS)'!$F$4:$F$9),0)</f>
        <v/>
      </c>
      <c r="AI17">
        <f>IFERROR((AA17*0.000000947817)/_xlfn.XLOOKUP(AG17,'energy base (MECS)'!$K$4:$K$9,'energy base (MECS)'!$I$4:$I$9),0)</f>
        <v/>
      </c>
      <c r="AJ17">
        <f>MAX(0.3*ABS(AK17),0.000001)</f>
        <v/>
      </c>
      <c r="AK17">
        <f>IF(ISNUMBER(T17),T17,0)</f>
        <v/>
      </c>
      <c r="AL17">
        <f>IFERROR(_xlfn.XLOOKUP(AG17,'BCoISC-WACCbI'!$C$2:$C$26,'BCoISC-WACCbI'!$B$2:$B$26)+$AE$4,0.1)</f>
        <v/>
      </c>
      <c r="AM17">
        <f>IF(P17&gt;0,L17/P17/0.947817,0)</f>
        <v/>
      </c>
      <c r="AN17">
        <f>IF(AND(P17&gt;0,ISNUMBER(K17)),L17*K17*1000000*E17,0)</f>
        <v/>
      </c>
    </row>
    <row r="18">
      <c r="A18">
        <f>'Kermeli Data'!A25</f>
        <v/>
      </c>
      <c r="B18">
        <f>'Kermeli Data'!B25</f>
        <v/>
      </c>
      <c r="C18">
        <f>'Kermeli Data'!P25</f>
        <v/>
      </c>
      <c r="D18">
        <f>IF(C18="2 whr","whr",IF(C18="3 proc","process","EXCLUDED"))</f>
        <v/>
      </c>
      <c r="E18">
        <f>'Kermeli Data'!E25</f>
        <v/>
      </c>
      <c r="F18">
        <f>'Kermeli Data'!F25</f>
        <v/>
      </c>
      <c r="G18">
        <f>'Kermeli Data'!G25</f>
        <v/>
      </c>
      <c r="H18">
        <f>'Kermeli Data'!I25</f>
        <v/>
      </c>
      <c r="I18">
        <f>'Kermeli Data'!J25</f>
        <v/>
      </c>
      <c r="J18">
        <f>'Kermeli Data'!K25</f>
        <v/>
      </c>
      <c r="K18">
        <f>IFERROR(_xlfn.XLOOKUP(A18,'product map'!$A$14:$A$36,'product map'!$G$14:$G$36),"pending")</f>
        <v/>
      </c>
      <c r="L18">
        <f>H18*cpi!$B$12*cpi!$B$10</f>
        <v/>
      </c>
      <c r="M18">
        <f>J18*cpi!$B$12*cpi!$B$10</f>
        <v/>
      </c>
      <c r="N18">
        <f>IF(I18&gt;0,AL18/(1-(1+AL18)^-I18),"")</f>
        <v/>
      </c>
      <c r="O18">
        <f>L18*N18+M18</f>
        <v/>
      </c>
      <c r="P18">
        <f>MAX(F18,0)+MAX(G18,0)</f>
        <v/>
      </c>
      <c r="Q18">
        <f>IF(P18&gt;0,MAX(F18,0)/P18,0)</f>
        <v/>
      </c>
      <c r="R18">
        <f>IF(P18&gt;0,MAX(G18,0)/P18,0)</f>
        <v/>
      </c>
      <c r="S18">
        <f>IF(P18&gt;0,O18/P18,"")</f>
        <v/>
      </c>
      <c r="T18">
        <f>IF(P18&gt;0,S18/$AE$3,"")</f>
        <v/>
      </c>
      <c r="U18">
        <f>IF(AND(P18&gt;0,Q18&gt;0),T18,"")</f>
        <v/>
      </c>
      <c r="V18">
        <f>IF(AND(P18&gt;0,R18&gt;0),T18,"")</f>
        <v/>
      </c>
      <c r="W18">
        <f>IF(I18&gt;0,$AE$2/(1-(1+$AE$2)^-I18),"")</f>
        <v/>
      </c>
      <c r="X18">
        <f>L18*W18+M18</f>
        <v/>
      </c>
      <c r="Y18">
        <f>IF(P18&gt;0,(X18/P18)/$AE$3,"")</f>
        <v/>
      </c>
      <c r="Z18">
        <f>IF(AND(ISNUMBER(K18),Q18&gt;0),MAX(F18,0)*K18*1000000*E18,"pending")</f>
        <v/>
      </c>
      <c r="AA18">
        <f>IF(AND(ISNUMBER(K18),R18&gt;0),MAX(G18,0)*K18*1000000*E18,"pending")</f>
        <v/>
      </c>
      <c r="AB18">
        <f>IF(AND(ISNUMBER(S18),S18&lt;0),"NEG-CCE","")&amp;IF(NOT(ISNUMBER(K18)),"|pending tonnage","")</f>
        <v/>
      </c>
      <c r="AG18">
        <f>IFERROR(_xlfn.XLOOKUP(A18,'product map'!$A$14:$A$36,'product map'!$C$14:$C$36),"?")</f>
        <v/>
      </c>
      <c r="AH18">
        <f>IFERROR((Z18*0.000000947817)/_xlfn.XLOOKUP(AG18,'energy base (MECS)'!$K$4:$K$9,'energy base (MECS)'!$F$4:$F$9),0)</f>
        <v/>
      </c>
      <c r="AI18">
        <f>IFERROR((AA18*0.000000947817)/_xlfn.XLOOKUP(AG18,'energy base (MECS)'!$K$4:$K$9,'energy base (MECS)'!$I$4:$I$9),0)</f>
        <v/>
      </c>
      <c r="AJ18">
        <f>MAX(0.3*ABS(AK18),0.000001)</f>
        <v/>
      </c>
      <c r="AK18">
        <f>IF(ISNUMBER(T18),T18,0)</f>
        <v/>
      </c>
      <c r="AL18">
        <f>IFERROR(_xlfn.XLOOKUP(AG18,'BCoISC-WACCbI'!$C$2:$C$26,'BCoISC-WACCbI'!$B$2:$B$26)+$AE$4,0.1)</f>
        <v/>
      </c>
      <c r="AM18">
        <f>IF(P18&gt;0,L18/P18/0.947817,0)</f>
        <v/>
      </c>
      <c r="AN18">
        <f>IF(AND(P18&gt;0,ISNUMBER(K18)),L18*K18*1000000*E18,0)</f>
        <v/>
      </c>
    </row>
    <row r="19">
      <c r="A19">
        <f>'Kermeli Data'!A26</f>
        <v/>
      </c>
      <c r="B19">
        <f>'Kermeli Data'!B26</f>
        <v/>
      </c>
      <c r="C19">
        <f>'Kermeli Data'!P26</f>
        <v/>
      </c>
      <c r="D19">
        <f>IF(C19="2 whr","whr",IF(C19="3 proc","process","EXCLUDED"))</f>
        <v/>
      </c>
      <c r="E19">
        <f>'Kermeli Data'!E26</f>
        <v/>
      </c>
      <c r="F19">
        <f>'Kermeli Data'!F26</f>
        <v/>
      </c>
      <c r="G19">
        <f>'Kermeli Data'!G26</f>
        <v/>
      </c>
      <c r="H19">
        <f>'Kermeli Data'!I26</f>
        <v/>
      </c>
      <c r="I19">
        <f>'Kermeli Data'!J26</f>
        <v/>
      </c>
      <c r="J19">
        <f>'Kermeli Data'!K26</f>
        <v/>
      </c>
      <c r="K19">
        <f>IFERROR(_xlfn.XLOOKUP(A19,'product map'!$A$14:$A$36,'product map'!$G$14:$G$36),"pending")</f>
        <v/>
      </c>
      <c r="L19">
        <f>H19*cpi!$B$12*cpi!$B$10</f>
        <v/>
      </c>
      <c r="M19">
        <f>J19*cpi!$B$12*cpi!$B$10</f>
        <v/>
      </c>
      <c r="N19">
        <f>IF(I19&gt;0,AL19/(1-(1+AL19)^-I19),"")</f>
        <v/>
      </c>
      <c r="O19">
        <f>L19*N19+M19</f>
        <v/>
      </c>
      <c r="P19">
        <f>MAX(F19,0)+MAX(G19,0)</f>
        <v/>
      </c>
      <c r="Q19">
        <f>IF(P19&gt;0,MAX(F19,0)/P19,0)</f>
        <v/>
      </c>
      <c r="R19">
        <f>IF(P19&gt;0,MAX(G19,0)/P19,0)</f>
        <v/>
      </c>
      <c r="S19">
        <f>IF(P19&gt;0,O19/P19,"")</f>
        <v/>
      </c>
      <c r="T19">
        <f>IF(P19&gt;0,S19/$AE$3,"")</f>
        <v/>
      </c>
      <c r="U19">
        <f>IF(AND(P19&gt;0,Q19&gt;0),T19,"")</f>
        <v/>
      </c>
      <c r="V19">
        <f>IF(AND(P19&gt;0,R19&gt;0),T19,"")</f>
        <v/>
      </c>
      <c r="W19">
        <f>IF(I19&gt;0,$AE$2/(1-(1+$AE$2)^-I19),"")</f>
        <v/>
      </c>
      <c r="X19">
        <f>L19*W19+M19</f>
        <v/>
      </c>
      <c r="Y19">
        <f>IF(P19&gt;0,(X19/P19)/$AE$3,"")</f>
        <v/>
      </c>
      <c r="Z19">
        <f>IF(AND(ISNUMBER(K19),Q19&gt;0),MAX(F19,0)*K19*1000000*E19,"pending")</f>
        <v/>
      </c>
      <c r="AA19">
        <f>IF(AND(ISNUMBER(K19),R19&gt;0),MAX(G19,0)*K19*1000000*E19,"pending")</f>
        <v/>
      </c>
      <c r="AB19">
        <f>IF(AND(ISNUMBER(S19),S19&lt;0),"NEG-CCE","")&amp;IF(NOT(ISNUMBER(K19)),"|pending tonnage","")</f>
        <v/>
      </c>
      <c r="AG19">
        <f>IFERROR(_xlfn.XLOOKUP(A19,'product map'!$A$14:$A$36,'product map'!$C$14:$C$36),"?")</f>
        <v/>
      </c>
      <c r="AH19">
        <f>IFERROR((Z19*0.000000947817)/_xlfn.XLOOKUP(AG19,'energy base (MECS)'!$K$4:$K$9,'energy base (MECS)'!$F$4:$F$9),0)</f>
        <v/>
      </c>
      <c r="AI19">
        <f>IFERROR((AA19*0.000000947817)/_xlfn.XLOOKUP(AG19,'energy base (MECS)'!$K$4:$K$9,'energy base (MECS)'!$I$4:$I$9),0)</f>
        <v/>
      </c>
      <c r="AJ19">
        <f>MAX(0.3*ABS(AK19),0.000001)</f>
        <v/>
      </c>
      <c r="AK19">
        <f>IF(ISNUMBER(T19),T19,0)</f>
        <v/>
      </c>
      <c r="AL19">
        <f>IFERROR(_xlfn.XLOOKUP(AG19,'BCoISC-WACCbI'!$C$2:$C$26,'BCoISC-WACCbI'!$B$2:$B$26)+$AE$4,0.1)</f>
        <v/>
      </c>
      <c r="AM19">
        <f>IF(P19&gt;0,L19/P19/0.947817,0)</f>
        <v/>
      </c>
      <c r="AN19">
        <f>IF(AND(P19&gt;0,ISNUMBER(K19)),L19*K19*1000000*E19,0)</f>
        <v/>
      </c>
    </row>
    <row r="20">
      <c r="A20">
        <f>'Kermeli Data'!A27</f>
        <v/>
      </c>
      <c r="B20">
        <f>'Kermeli Data'!B27</f>
        <v/>
      </c>
      <c r="C20">
        <f>'Kermeli Data'!P27</f>
        <v/>
      </c>
      <c r="D20">
        <f>IF(C20="2 whr","whr",IF(C20="3 proc","process","EXCLUDED"))</f>
        <v/>
      </c>
      <c r="E20">
        <f>'Kermeli Data'!E27</f>
        <v/>
      </c>
      <c r="F20">
        <f>'Kermeli Data'!F27</f>
        <v/>
      </c>
      <c r="G20">
        <f>'Kermeli Data'!G27</f>
        <v/>
      </c>
      <c r="H20">
        <f>'Kermeli Data'!I27</f>
        <v/>
      </c>
      <c r="I20">
        <f>'Kermeli Data'!J27</f>
        <v/>
      </c>
      <c r="J20">
        <f>'Kermeli Data'!K27</f>
        <v/>
      </c>
      <c r="K20">
        <f>IFERROR(_xlfn.XLOOKUP(A20,'product map'!$A$14:$A$36,'product map'!$G$14:$G$36),"pending")</f>
        <v/>
      </c>
      <c r="L20">
        <f>H20*cpi!$B$12*cpi!$B$10</f>
        <v/>
      </c>
      <c r="M20">
        <f>J20*cpi!$B$12*cpi!$B$10</f>
        <v/>
      </c>
      <c r="N20">
        <f>IF(I20&gt;0,AL20/(1-(1+AL20)^-I20),"")</f>
        <v/>
      </c>
      <c r="O20">
        <f>L20*N20+M20</f>
        <v/>
      </c>
      <c r="P20">
        <f>MAX(F20,0)+MAX(G20,0)</f>
        <v/>
      </c>
      <c r="Q20">
        <f>IF(P20&gt;0,MAX(F20,0)/P20,0)</f>
        <v/>
      </c>
      <c r="R20">
        <f>IF(P20&gt;0,MAX(G20,0)/P20,0)</f>
        <v/>
      </c>
      <c r="S20">
        <f>IF(P20&gt;0,O20/P20,"")</f>
        <v/>
      </c>
      <c r="T20">
        <f>IF(P20&gt;0,S20/$AE$3,"")</f>
        <v/>
      </c>
      <c r="U20">
        <f>IF(AND(P20&gt;0,Q20&gt;0),T20,"")</f>
        <v/>
      </c>
      <c r="V20">
        <f>IF(AND(P20&gt;0,R20&gt;0),T20,"")</f>
        <v/>
      </c>
      <c r="W20">
        <f>IF(I20&gt;0,$AE$2/(1-(1+$AE$2)^-I20),"")</f>
        <v/>
      </c>
      <c r="X20">
        <f>L20*W20+M20</f>
        <v/>
      </c>
      <c r="Y20">
        <f>IF(P20&gt;0,(X20/P20)/$AE$3,"")</f>
        <v/>
      </c>
      <c r="Z20">
        <f>IF(AND(ISNUMBER(K20),Q20&gt;0),MAX(F20,0)*K20*1000000*E20,"pending")</f>
        <v/>
      </c>
      <c r="AA20">
        <f>IF(AND(ISNUMBER(K20),R20&gt;0),MAX(G20,0)*K20*1000000*E20,"pending")</f>
        <v/>
      </c>
      <c r="AB20">
        <f>IF(AND(ISNUMBER(S20),S20&lt;0),"NEG-CCE","")&amp;IF(NOT(ISNUMBER(K20)),"|pending tonnage","")</f>
        <v/>
      </c>
      <c r="AG20">
        <f>IFERROR(_xlfn.XLOOKUP(A20,'product map'!$A$14:$A$36,'product map'!$C$14:$C$36),"?")</f>
        <v/>
      </c>
      <c r="AH20">
        <f>IFERROR((Z20*0.000000947817)/_xlfn.XLOOKUP(AG20,'energy base (MECS)'!$K$4:$K$9,'energy base (MECS)'!$F$4:$F$9),0)</f>
        <v/>
      </c>
      <c r="AI20">
        <f>IFERROR((AA20*0.000000947817)/_xlfn.XLOOKUP(AG20,'energy base (MECS)'!$K$4:$K$9,'energy base (MECS)'!$I$4:$I$9),0)</f>
        <v/>
      </c>
      <c r="AJ20">
        <f>MAX(0.3*ABS(AK20),0.000001)</f>
        <v/>
      </c>
      <c r="AK20">
        <f>IF(ISNUMBER(T20),T20,0)</f>
        <v/>
      </c>
      <c r="AL20">
        <f>IFERROR(_xlfn.XLOOKUP(AG20,'BCoISC-WACCbI'!$C$2:$C$26,'BCoISC-WACCbI'!$B$2:$B$26)+$AE$4,0.1)</f>
        <v/>
      </c>
      <c r="AM20">
        <f>IF(P20&gt;0,L20/P20/0.947817,0)</f>
        <v/>
      </c>
      <c r="AN20">
        <f>IF(AND(P20&gt;0,ISNUMBER(K20)),L20*K20*1000000*E20,0)</f>
        <v/>
      </c>
    </row>
    <row r="21">
      <c r="A21">
        <f>'Kermeli Data'!A28</f>
        <v/>
      </c>
      <c r="B21">
        <f>'Kermeli Data'!B28</f>
        <v/>
      </c>
      <c r="C21">
        <f>'Kermeli Data'!P28</f>
        <v/>
      </c>
      <c r="D21">
        <f>IF(C21="2 whr","whr",IF(C21="3 proc","process","EXCLUDED"))</f>
        <v/>
      </c>
      <c r="E21">
        <f>'Kermeli Data'!E28</f>
        <v/>
      </c>
      <c r="F21">
        <f>'Kermeli Data'!F28</f>
        <v/>
      </c>
      <c r="G21">
        <f>'Kermeli Data'!G28</f>
        <v/>
      </c>
      <c r="H21">
        <f>'Kermeli Data'!I28</f>
        <v/>
      </c>
      <c r="I21">
        <f>'Kermeli Data'!J28</f>
        <v/>
      </c>
      <c r="J21">
        <f>'Kermeli Data'!K28</f>
        <v/>
      </c>
      <c r="K21">
        <f>IFERROR(_xlfn.XLOOKUP(A21,'product map'!$A$14:$A$36,'product map'!$G$14:$G$36),"pending")</f>
        <v/>
      </c>
      <c r="L21">
        <f>H21*cpi!$B$12*cpi!$B$10</f>
        <v/>
      </c>
      <c r="M21">
        <f>J21*cpi!$B$12*cpi!$B$10</f>
        <v/>
      </c>
      <c r="N21">
        <f>IF(I21&gt;0,AL21/(1-(1+AL21)^-I21),"")</f>
        <v/>
      </c>
      <c r="O21">
        <f>L21*N21+M21</f>
        <v/>
      </c>
      <c r="P21">
        <f>MAX(F21,0)+MAX(G21,0)</f>
        <v/>
      </c>
      <c r="Q21">
        <f>IF(P21&gt;0,MAX(F21,0)/P21,0)</f>
        <v/>
      </c>
      <c r="R21">
        <f>IF(P21&gt;0,MAX(G21,0)/P21,0)</f>
        <v/>
      </c>
      <c r="S21">
        <f>IF(P21&gt;0,O21/P21,"")</f>
        <v/>
      </c>
      <c r="T21">
        <f>IF(P21&gt;0,S21/$AE$3,"")</f>
        <v/>
      </c>
      <c r="U21">
        <f>IF(AND(P21&gt;0,Q21&gt;0),T21,"")</f>
        <v/>
      </c>
      <c r="V21">
        <f>IF(AND(P21&gt;0,R21&gt;0),T21,"")</f>
        <v/>
      </c>
      <c r="W21">
        <f>IF(I21&gt;0,$AE$2/(1-(1+$AE$2)^-I21),"")</f>
        <v/>
      </c>
      <c r="X21">
        <f>L21*W21+M21</f>
        <v/>
      </c>
      <c r="Y21">
        <f>IF(P21&gt;0,(X21/P21)/$AE$3,"")</f>
        <v/>
      </c>
      <c r="Z21">
        <f>IF(AND(ISNUMBER(K21),Q21&gt;0),MAX(F21,0)*K21*1000000*E21,"pending")</f>
        <v/>
      </c>
      <c r="AA21">
        <f>IF(AND(ISNUMBER(K21),R21&gt;0),MAX(G21,0)*K21*1000000*E21,"pending")</f>
        <v/>
      </c>
      <c r="AB21">
        <f>IF(AND(ISNUMBER(S21),S21&lt;0),"NEG-CCE","")&amp;IF(NOT(ISNUMBER(K21)),"|pending tonnage","")</f>
        <v/>
      </c>
      <c r="AG21">
        <f>IFERROR(_xlfn.XLOOKUP(A21,'product map'!$A$14:$A$36,'product map'!$C$14:$C$36),"?")</f>
        <v/>
      </c>
      <c r="AH21">
        <f>IFERROR((Z21*0.000000947817)/_xlfn.XLOOKUP(AG21,'energy base (MECS)'!$K$4:$K$9,'energy base (MECS)'!$F$4:$F$9),0)</f>
        <v/>
      </c>
      <c r="AI21">
        <f>IFERROR((AA21*0.000000947817)/_xlfn.XLOOKUP(AG21,'energy base (MECS)'!$K$4:$K$9,'energy base (MECS)'!$I$4:$I$9),0)</f>
        <v/>
      </c>
      <c r="AJ21">
        <f>MAX(0.3*ABS(AK21),0.000001)</f>
        <v/>
      </c>
      <c r="AK21">
        <f>IF(ISNUMBER(T21),T21,0)</f>
        <v/>
      </c>
      <c r="AL21">
        <f>IFERROR(_xlfn.XLOOKUP(AG21,'BCoISC-WACCbI'!$C$2:$C$26,'BCoISC-WACCbI'!$B$2:$B$26)+$AE$4,0.1)</f>
        <v/>
      </c>
      <c r="AM21">
        <f>IF(P21&gt;0,L21/P21/0.947817,0)</f>
        <v/>
      </c>
      <c r="AN21">
        <f>IF(AND(P21&gt;0,ISNUMBER(K21)),L21*K21*1000000*E21,0)</f>
        <v/>
      </c>
    </row>
    <row r="22">
      <c r="A22">
        <f>'Kermeli Data'!A29</f>
        <v/>
      </c>
      <c r="B22">
        <f>'Kermeli Data'!B29</f>
        <v/>
      </c>
      <c r="C22">
        <f>'Kermeli Data'!P29</f>
        <v/>
      </c>
      <c r="D22">
        <f>IF(C22="2 whr","whr",IF(C22="3 proc","process","EXCLUDED"))</f>
        <v/>
      </c>
      <c r="E22">
        <f>'Kermeli Data'!E29</f>
        <v/>
      </c>
      <c r="F22">
        <f>'Kermeli Data'!F29</f>
        <v/>
      </c>
      <c r="G22">
        <f>'Kermeli Data'!G29</f>
        <v/>
      </c>
      <c r="H22">
        <f>'Kermeli Data'!I29</f>
        <v/>
      </c>
      <c r="I22">
        <f>'Kermeli Data'!J29</f>
        <v/>
      </c>
      <c r="J22">
        <f>'Kermeli Data'!K29</f>
        <v/>
      </c>
      <c r="K22">
        <f>IFERROR(_xlfn.XLOOKUP(A22,'product map'!$A$14:$A$36,'product map'!$G$14:$G$36),"pending")</f>
        <v/>
      </c>
      <c r="L22">
        <f>H22*cpi!$B$12*cpi!$B$10</f>
        <v/>
      </c>
      <c r="M22">
        <f>J22*cpi!$B$12*cpi!$B$10</f>
        <v/>
      </c>
      <c r="N22">
        <f>IF(I22&gt;0,AL22/(1-(1+AL22)^-I22),"")</f>
        <v/>
      </c>
      <c r="O22">
        <f>L22*N22+M22</f>
        <v/>
      </c>
      <c r="P22">
        <f>MAX(F22,0)+MAX(G22,0)</f>
        <v/>
      </c>
      <c r="Q22">
        <f>IF(P22&gt;0,MAX(F22,0)/P22,0)</f>
        <v/>
      </c>
      <c r="R22">
        <f>IF(P22&gt;0,MAX(G22,0)/P22,0)</f>
        <v/>
      </c>
      <c r="S22">
        <f>IF(P22&gt;0,O22/P22,"")</f>
        <v/>
      </c>
      <c r="T22">
        <f>IF(P22&gt;0,S22/$AE$3,"")</f>
        <v/>
      </c>
      <c r="U22">
        <f>IF(AND(P22&gt;0,Q22&gt;0),T22,"")</f>
        <v/>
      </c>
      <c r="V22">
        <f>IF(AND(P22&gt;0,R22&gt;0),T22,"")</f>
        <v/>
      </c>
      <c r="W22">
        <f>IF(I22&gt;0,$AE$2/(1-(1+$AE$2)^-I22),"")</f>
        <v/>
      </c>
      <c r="X22">
        <f>L22*W22+M22</f>
        <v/>
      </c>
      <c r="Y22">
        <f>IF(P22&gt;0,(X22/P22)/$AE$3,"")</f>
        <v/>
      </c>
      <c r="Z22">
        <f>IF(AND(ISNUMBER(K22),Q22&gt;0),MAX(F22,0)*K22*1000000*E22,"pending")</f>
        <v/>
      </c>
      <c r="AA22">
        <f>IF(AND(ISNUMBER(K22),R22&gt;0),MAX(G22,0)*K22*1000000*E22,"pending")</f>
        <v/>
      </c>
      <c r="AB22">
        <f>IF(AND(ISNUMBER(S22),S22&lt;0),"NEG-CCE","")&amp;IF(NOT(ISNUMBER(K22)),"|pending tonnage","")</f>
        <v/>
      </c>
      <c r="AG22">
        <f>IFERROR(_xlfn.XLOOKUP(A22,'product map'!$A$14:$A$36,'product map'!$C$14:$C$36),"?")</f>
        <v/>
      </c>
      <c r="AH22">
        <f>IFERROR((Z22*0.000000947817)/_xlfn.XLOOKUP(AG22,'energy base (MECS)'!$K$4:$K$9,'energy base (MECS)'!$F$4:$F$9),0)</f>
        <v/>
      </c>
      <c r="AI22">
        <f>IFERROR((AA22*0.000000947817)/_xlfn.XLOOKUP(AG22,'energy base (MECS)'!$K$4:$K$9,'energy base (MECS)'!$I$4:$I$9),0)</f>
        <v/>
      </c>
      <c r="AJ22">
        <f>MAX(0.3*ABS(AK22),0.000001)</f>
        <v/>
      </c>
      <c r="AK22">
        <f>IF(ISNUMBER(T22),T22,0)</f>
        <v/>
      </c>
      <c r="AL22">
        <f>IFERROR(_xlfn.XLOOKUP(AG22,'BCoISC-WACCbI'!$C$2:$C$26,'BCoISC-WACCbI'!$B$2:$B$26)+$AE$4,0.1)</f>
        <v/>
      </c>
      <c r="AM22">
        <f>IF(P22&gt;0,L22/P22/0.947817,0)</f>
        <v/>
      </c>
      <c r="AN22">
        <f>IF(AND(P22&gt;0,ISNUMBER(K22)),L22*K22*1000000*E22,0)</f>
        <v/>
      </c>
    </row>
    <row r="23">
      <c r="A23">
        <f>'Kermeli Data'!A30</f>
        <v/>
      </c>
      <c r="B23">
        <f>'Kermeli Data'!B30</f>
        <v/>
      </c>
      <c r="C23">
        <f>'Kermeli Data'!P30</f>
        <v/>
      </c>
      <c r="D23">
        <f>IF(C23="2 whr","whr",IF(C23="3 proc","process","EXCLUDED"))</f>
        <v/>
      </c>
      <c r="E23">
        <f>'Kermeli Data'!E30</f>
        <v/>
      </c>
      <c r="F23">
        <f>'Kermeli Data'!F30</f>
        <v/>
      </c>
      <c r="G23">
        <f>'Kermeli Data'!G30</f>
        <v/>
      </c>
      <c r="H23">
        <f>'Kermeli Data'!I30</f>
        <v/>
      </c>
      <c r="I23">
        <f>'Kermeli Data'!J30</f>
        <v/>
      </c>
      <c r="J23">
        <f>'Kermeli Data'!K30</f>
        <v/>
      </c>
      <c r="K23">
        <f>IFERROR(_xlfn.XLOOKUP(A23,'product map'!$A$14:$A$36,'product map'!$G$14:$G$36),"pending")</f>
        <v/>
      </c>
      <c r="L23">
        <f>H23*cpi!$B$12*cpi!$B$10</f>
        <v/>
      </c>
      <c r="M23">
        <f>J23*cpi!$B$12*cpi!$B$10</f>
        <v/>
      </c>
      <c r="N23">
        <f>IF(I23&gt;0,AL23/(1-(1+AL23)^-I23),"")</f>
        <v/>
      </c>
      <c r="O23">
        <f>L23*N23+M23</f>
        <v/>
      </c>
      <c r="P23">
        <f>MAX(F23,0)+MAX(G23,0)</f>
        <v/>
      </c>
      <c r="Q23">
        <f>IF(P23&gt;0,MAX(F23,0)/P23,0)</f>
        <v/>
      </c>
      <c r="R23">
        <f>IF(P23&gt;0,MAX(G23,0)/P23,0)</f>
        <v/>
      </c>
      <c r="S23">
        <f>IF(P23&gt;0,O23/P23,"")</f>
        <v/>
      </c>
      <c r="T23">
        <f>IF(P23&gt;0,S23/$AE$3,"")</f>
        <v/>
      </c>
      <c r="U23">
        <f>IF(AND(P23&gt;0,Q23&gt;0),T23,"")</f>
        <v/>
      </c>
      <c r="V23">
        <f>IF(AND(P23&gt;0,R23&gt;0),T23,"")</f>
        <v/>
      </c>
      <c r="W23">
        <f>IF(I23&gt;0,$AE$2/(1-(1+$AE$2)^-I23),"")</f>
        <v/>
      </c>
      <c r="X23">
        <f>L23*W23+M23</f>
        <v/>
      </c>
      <c r="Y23">
        <f>IF(P23&gt;0,(X23/P23)/$AE$3,"")</f>
        <v/>
      </c>
      <c r="Z23">
        <f>IF(AND(ISNUMBER(K23),Q23&gt;0),MAX(F23,0)*K23*1000000*E23,"pending")</f>
        <v/>
      </c>
      <c r="AA23">
        <f>IF(AND(ISNUMBER(K23),R23&gt;0),MAX(G23,0)*K23*1000000*E23,"pending")</f>
        <v/>
      </c>
      <c r="AB23">
        <f>IF(AND(ISNUMBER(S23),S23&lt;0),"NEG-CCE","")&amp;IF(NOT(ISNUMBER(K23)),"|pending tonnage","")</f>
        <v/>
      </c>
      <c r="AG23">
        <f>IFERROR(_xlfn.XLOOKUP(A23,'product map'!$A$14:$A$36,'product map'!$C$14:$C$36),"?")</f>
        <v/>
      </c>
      <c r="AH23">
        <f>IFERROR((Z23*0.000000947817)/_xlfn.XLOOKUP(AG23,'energy base (MECS)'!$K$4:$K$9,'energy base (MECS)'!$F$4:$F$9),0)</f>
        <v/>
      </c>
      <c r="AI23">
        <f>IFERROR((AA23*0.000000947817)/_xlfn.XLOOKUP(AG23,'energy base (MECS)'!$K$4:$K$9,'energy base (MECS)'!$I$4:$I$9),0)</f>
        <v/>
      </c>
      <c r="AJ23">
        <f>MAX(0.3*ABS(AK23),0.000001)</f>
        <v/>
      </c>
      <c r="AK23">
        <f>IF(ISNUMBER(T23),T23,0)</f>
        <v/>
      </c>
      <c r="AL23">
        <f>IFERROR(_xlfn.XLOOKUP(AG23,'BCoISC-WACCbI'!$C$2:$C$26,'BCoISC-WACCbI'!$B$2:$B$26)+$AE$4,0.1)</f>
        <v/>
      </c>
      <c r="AM23">
        <f>IF(P23&gt;0,L23/P23/0.947817,0)</f>
        <v/>
      </c>
      <c r="AN23">
        <f>IF(AND(P23&gt;0,ISNUMBER(K23)),L23*K23*1000000*E23,0)</f>
        <v/>
      </c>
    </row>
    <row r="24">
      <c r="A24">
        <f>'Kermeli Data'!A31</f>
        <v/>
      </c>
      <c r="B24">
        <f>'Kermeli Data'!B31</f>
        <v/>
      </c>
      <c r="C24">
        <f>'Kermeli Data'!P31</f>
        <v/>
      </c>
      <c r="D24">
        <f>IF(C24="2 whr","whr",IF(C24="3 proc","process","EXCLUDED"))</f>
        <v/>
      </c>
      <c r="E24">
        <f>'Kermeli Data'!E31</f>
        <v/>
      </c>
      <c r="F24">
        <f>'Kermeli Data'!F31</f>
        <v/>
      </c>
      <c r="G24">
        <f>'Kermeli Data'!G31</f>
        <v/>
      </c>
      <c r="H24">
        <f>'Kermeli Data'!I31</f>
        <v/>
      </c>
      <c r="I24">
        <f>'Kermeli Data'!J31</f>
        <v/>
      </c>
      <c r="J24">
        <f>'Kermeli Data'!K31</f>
        <v/>
      </c>
      <c r="K24">
        <f>IFERROR(_xlfn.XLOOKUP(A24,'product map'!$A$14:$A$36,'product map'!$G$14:$G$36),"pending")</f>
        <v/>
      </c>
      <c r="L24">
        <f>H24*cpi!$B$12*cpi!$B$10</f>
        <v/>
      </c>
      <c r="M24">
        <f>J24*cpi!$B$12*cpi!$B$10</f>
        <v/>
      </c>
      <c r="N24">
        <f>IF(I24&gt;0,AL24/(1-(1+AL24)^-I24),"")</f>
        <v/>
      </c>
      <c r="O24">
        <f>L24*N24+M24</f>
        <v/>
      </c>
      <c r="P24">
        <f>MAX(F24,0)+MAX(G24,0)</f>
        <v/>
      </c>
      <c r="Q24">
        <f>IF(P24&gt;0,MAX(F24,0)/P24,0)</f>
        <v/>
      </c>
      <c r="R24">
        <f>IF(P24&gt;0,MAX(G24,0)/P24,0)</f>
        <v/>
      </c>
      <c r="S24">
        <f>IF(P24&gt;0,O24/P24,"")</f>
        <v/>
      </c>
      <c r="T24">
        <f>IF(P24&gt;0,S24/$AE$3,"")</f>
        <v/>
      </c>
      <c r="U24">
        <f>IF(AND(P24&gt;0,Q24&gt;0),T24,"")</f>
        <v/>
      </c>
      <c r="V24">
        <f>IF(AND(P24&gt;0,R24&gt;0),T24,"")</f>
        <v/>
      </c>
      <c r="W24">
        <f>IF(I24&gt;0,$AE$2/(1-(1+$AE$2)^-I24),"")</f>
        <v/>
      </c>
      <c r="X24">
        <f>L24*W24+M24</f>
        <v/>
      </c>
      <c r="Y24">
        <f>IF(P24&gt;0,(X24/P24)/$AE$3,"")</f>
        <v/>
      </c>
      <c r="Z24">
        <f>IF(AND(ISNUMBER(K24),Q24&gt;0),MAX(F24,0)*K24*1000000*E24,"pending")</f>
        <v/>
      </c>
      <c r="AA24">
        <f>IF(AND(ISNUMBER(K24),R24&gt;0),MAX(G24,0)*K24*1000000*E24,"pending")</f>
        <v/>
      </c>
      <c r="AB24">
        <f>IF(AND(ISNUMBER(S24),S24&lt;0),"NEG-CCE","")&amp;IF(NOT(ISNUMBER(K24)),"|pending tonnage","")</f>
        <v/>
      </c>
      <c r="AG24">
        <f>IFERROR(_xlfn.XLOOKUP(A24,'product map'!$A$14:$A$36,'product map'!$C$14:$C$36),"?")</f>
        <v/>
      </c>
      <c r="AH24">
        <f>IFERROR((Z24*0.000000947817)/_xlfn.XLOOKUP(AG24,'energy base (MECS)'!$K$4:$K$9,'energy base (MECS)'!$F$4:$F$9),0)</f>
        <v/>
      </c>
      <c r="AI24">
        <f>IFERROR((AA24*0.000000947817)/_xlfn.XLOOKUP(AG24,'energy base (MECS)'!$K$4:$K$9,'energy base (MECS)'!$I$4:$I$9),0)</f>
        <v/>
      </c>
      <c r="AJ24">
        <f>MAX(0.3*ABS(AK24),0.000001)</f>
        <v/>
      </c>
      <c r="AK24">
        <f>IF(ISNUMBER(T24),T24,0)</f>
        <v/>
      </c>
      <c r="AL24">
        <f>IFERROR(_xlfn.XLOOKUP(AG24,'BCoISC-WACCbI'!$C$2:$C$26,'BCoISC-WACCbI'!$B$2:$B$26)+$AE$4,0.1)</f>
        <v/>
      </c>
      <c r="AM24">
        <f>IF(P24&gt;0,L24/P24/0.947817,0)</f>
        <v/>
      </c>
      <c r="AN24">
        <f>IF(AND(P24&gt;0,ISNUMBER(K24)),L24*K24*1000000*E24,0)</f>
        <v/>
      </c>
    </row>
    <row r="25">
      <c r="A25">
        <f>'Kermeli Data'!A32</f>
        <v/>
      </c>
      <c r="B25">
        <f>'Kermeli Data'!B32</f>
        <v/>
      </c>
      <c r="C25">
        <f>'Kermeli Data'!P32</f>
        <v/>
      </c>
      <c r="D25">
        <f>IF(C25="2 whr","whr",IF(C25="3 proc","process","EXCLUDED"))</f>
        <v/>
      </c>
      <c r="E25">
        <f>'Kermeli Data'!E32</f>
        <v/>
      </c>
      <c r="F25">
        <f>'Kermeli Data'!F32</f>
        <v/>
      </c>
      <c r="G25">
        <f>'Kermeli Data'!G32</f>
        <v/>
      </c>
      <c r="H25">
        <f>'Kermeli Data'!I32</f>
        <v/>
      </c>
      <c r="I25">
        <f>'Kermeli Data'!J32</f>
        <v/>
      </c>
      <c r="J25">
        <f>'Kermeli Data'!K32</f>
        <v/>
      </c>
      <c r="K25">
        <f>IFERROR(_xlfn.XLOOKUP(A25,'product map'!$A$14:$A$36,'product map'!$G$14:$G$36),"pending")</f>
        <v/>
      </c>
      <c r="L25">
        <f>H25*cpi!$B$12*cpi!$B$10</f>
        <v/>
      </c>
      <c r="M25">
        <f>J25*cpi!$B$12*cpi!$B$10</f>
        <v/>
      </c>
      <c r="N25">
        <f>IF(I25&gt;0,AL25/(1-(1+AL25)^-I25),"")</f>
        <v/>
      </c>
      <c r="O25">
        <f>L25*N25+M25</f>
        <v/>
      </c>
      <c r="P25">
        <f>MAX(F25,0)+MAX(G25,0)</f>
        <v/>
      </c>
      <c r="Q25">
        <f>IF(P25&gt;0,MAX(F25,0)/P25,0)</f>
        <v/>
      </c>
      <c r="R25">
        <f>IF(P25&gt;0,MAX(G25,0)/P25,0)</f>
        <v/>
      </c>
      <c r="S25">
        <f>IF(P25&gt;0,O25/P25,"")</f>
        <v/>
      </c>
      <c r="T25">
        <f>IF(P25&gt;0,S25/$AE$3,"")</f>
        <v/>
      </c>
      <c r="U25">
        <f>IF(AND(P25&gt;0,Q25&gt;0),T25,"")</f>
        <v/>
      </c>
      <c r="V25">
        <f>IF(AND(P25&gt;0,R25&gt;0),T25,"")</f>
        <v/>
      </c>
      <c r="W25">
        <f>IF(I25&gt;0,$AE$2/(1-(1+$AE$2)^-I25),"")</f>
        <v/>
      </c>
      <c r="X25">
        <f>L25*W25+M25</f>
        <v/>
      </c>
      <c r="Y25">
        <f>IF(P25&gt;0,(X25/P25)/$AE$3,"")</f>
        <v/>
      </c>
      <c r="Z25">
        <f>IF(AND(ISNUMBER(K25),Q25&gt;0),MAX(F25,0)*K25*1000000*E25,"pending")</f>
        <v/>
      </c>
      <c r="AA25">
        <f>IF(AND(ISNUMBER(K25),R25&gt;0),MAX(G25,0)*K25*1000000*E25,"pending")</f>
        <v/>
      </c>
      <c r="AB25">
        <f>IF(AND(ISNUMBER(S25),S25&lt;0),"NEG-CCE","")&amp;IF(NOT(ISNUMBER(K25)),"|pending tonnage","")</f>
        <v/>
      </c>
      <c r="AG25">
        <f>IFERROR(_xlfn.XLOOKUP(A25,'product map'!$A$14:$A$36,'product map'!$C$14:$C$36),"?")</f>
        <v/>
      </c>
      <c r="AH25">
        <f>IFERROR((Z25*0.000000947817)/_xlfn.XLOOKUP(AG25,'energy base (MECS)'!$K$4:$K$9,'energy base (MECS)'!$F$4:$F$9),0)</f>
        <v/>
      </c>
      <c r="AI25">
        <f>IFERROR((AA25*0.000000947817)/_xlfn.XLOOKUP(AG25,'energy base (MECS)'!$K$4:$K$9,'energy base (MECS)'!$I$4:$I$9),0)</f>
        <v/>
      </c>
      <c r="AJ25">
        <f>MAX(0.3*ABS(AK25),0.000001)</f>
        <v/>
      </c>
      <c r="AK25">
        <f>IF(ISNUMBER(T25),T25,0)</f>
        <v/>
      </c>
      <c r="AL25">
        <f>IFERROR(_xlfn.XLOOKUP(AG25,'BCoISC-WACCbI'!$C$2:$C$26,'BCoISC-WACCbI'!$B$2:$B$26)+$AE$4,0.1)</f>
        <v/>
      </c>
      <c r="AM25">
        <f>IF(P25&gt;0,L25/P25/0.947817,0)</f>
        <v/>
      </c>
      <c r="AN25">
        <f>IF(AND(P25&gt;0,ISNUMBER(K25)),L25*K25*1000000*E25,0)</f>
        <v/>
      </c>
    </row>
    <row r="26">
      <c r="A26">
        <f>'Kermeli Data'!A33</f>
        <v/>
      </c>
      <c r="B26">
        <f>'Kermeli Data'!B33</f>
        <v/>
      </c>
      <c r="C26">
        <f>'Kermeli Data'!P33</f>
        <v/>
      </c>
      <c r="D26">
        <f>IF(C26="2 whr","whr",IF(C26="3 proc","process","EXCLUDED"))</f>
        <v/>
      </c>
      <c r="E26">
        <f>'Kermeli Data'!E33</f>
        <v/>
      </c>
      <c r="F26">
        <f>'Kermeli Data'!F33</f>
        <v/>
      </c>
      <c r="G26">
        <f>'Kermeli Data'!G33</f>
        <v/>
      </c>
      <c r="H26">
        <f>'Kermeli Data'!I33</f>
        <v/>
      </c>
      <c r="I26">
        <f>'Kermeli Data'!J33</f>
        <v/>
      </c>
      <c r="J26">
        <f>'Kermeli Data'!K33</f>
        <v/>
      </c>
      <c r="K26">
        <f>IFERROR(_xlfn.XLOOKUP(A26,'product map'!$A$14:$A$36,'product map'!$G$14:$G$36),"pending")</f>
        <v/>
      </c>
      <c r="L26">
        <f>H26*cpi!$B$12*cpi!$B$10</f>
        <v/>
      </c>
      <c r="M26">
        <f>J26*cpi!$B$12*cpi!$B$10</f>
        <v/>
      </c>
      <c r="N26">
        <f>IF(I26&gt;0,AL26/(1-(1+AL26)^-I26),"")</f>
        <v/>
      </c>
      <c r="O26">
        <f>L26*N26+M26</f>
        <v/>
      </c>
      <c r="P26">
        <f>MAX(F26,0)+MAX(G26,0)</f>
        <v/>
      </c>
      <c r="Q26">
        <f>IF(P26&gt;0,MAX(F26,0)/P26,0)</f>
        <v/>
      </c>
      <c r="R26">
        <f>IF(P26&gt;0,MAX(G26,0)/P26,0)</f>
        <v/>
      </c>
      <c r="S26">
        <f>IF(P26&gt;0,O26/P26,"")</f>
        <v/>
      </c>
      <c r="T26">
        <f>IF(P26&gt;0,S26/$AE$3,"")</f>
        <v/>
      </c>
      <c r="U26">
        <f>IF(AND(P26&gt;0,Q26&gt;0),T26,"")</f>
        <v/>
      </c>
      <c r="V26">
        <f>IF(AND(P26&gt;0,R26&gt;0),T26,"")</f>
        <v/>
      </c>
      <c r="W26">
        <f>IF(I26&gt;0,$AE$2/(1-(1+$AE$2)^-I26),"")</f>
        <v/>
      </c>
      <c r="X26">
        <f>L26*W26+M26</f>
        <v/>
      </c>
      <c r="Y26">
        <f>IF(P26&gt;0,(X26/P26)/$AE$3,"")</f>
        <v/>
      </c>
      <c r="Z26">
        <f>IF(AND(ISNUMBER(K26),Q26&gt;0),MAX(F26,0)*K26*1000000*E26,"pending")</f>
        <v/>
      </c>
      <c r="AA26">
        <f>IF(AND(ISNUMBER(K26),R26&gt;0),MAX(G26,0)*K26*1000000*E26,"pending")</f>
        <v/>
      </c>
      <c r="AB26">
        <f>IF(AND(ISNUMBER(S26),S26&lt;0),"NEG-CCE","")&amp;IF(NOT(ISNUMBER(K26)),"|pending tonnage","")</f>
        <v/>
      </c>
      <c r="AG26">
        <f>IFERROR(_xlfn.XLOOKUP(A26,'product map'!$A$14:$A$36,'product map'!$C$14:$C$36),"?")</f>
        <v/>
      </c>
      <c r="AH26">
        <f>IFERROR((Z26*0.000000947817)/_xlfn.XLOOKUP(AG26,'energy base (MECS)'!$K$4:$K$9,'energy base (MECS)'!$F$4:$F$9),0)</f>
        <v/>
      </c>
      <c r="AI26">
        <f>IFERROR((AA26*0.000000947817)/_xlfn.XLOOKUP(AG26,'energy base (MECS)'!$K$4:$K$9,'energy base (MECS)'!$I$4:$I$9),0)</f>
        <v/>
      </c>
      <c r="AJ26">
        <f>MAX(0.3*ABS(AK26),0.000001)</f>
        <v/>
      </c>
      <c r="AK26">
        <f>IF(ISNUMBER(T26),T26,0)</f>
        <v/>
      </c>
      <c r="AL26">
        <f>IFERROR(_xlfn.XLOOKUP(AG26,'BCoISC-WACCbI'!$C$2:$C$26,'BCoISC-WACCbI'!$B$2:$B$26)+$AE$4,0.1)</f>
        <v/>
      </c>
      <c r="AM26">
        <f>IF(P26&gt;0,L26/P26/0.947817,0)</f>
        <v/>
      </c>
      <c r="AN26">
        <f>IF(AND(P26&gt;0,ISNUMBER(K26)),L26*K26*1000000*E26,0)</f>
        <v/>
      </c>
    </row>
    <row r="27">
      <c r="A27">
        <f>'Kermeli Data'!A34</f>
        <v/>
      </c>
      <c r="B27">
        <f>'Kermeli Data'!B34</f>
        <v/>
      </c>
      <c r="C27">
        <f>'Kermeli Data'!P34</f>
        <v/>
      </c>
      <c r="D27">
        <f>IF(C27="2 whr","whr",IF(C27="3 proc","process","EXCLUDED"))</f>
        <v/>
      </c>
      <c r="E27">
        <f>'Kermeli Data'!E34</f>
        <v/>
      </c>
      <c r="F27">
        <f>'Kermeli Data'!F34</f>
        <v/>
      </c>
      <c r="G27">
        <f>'Kermeli Data'!G34</f>
        <v/>
      </c>
      <c r="H27">
        <f>'Kermeli Data'!I34</f>
        <v/>
      </c>
      <c r="I27">
        <f>'Kermeli Data'!J34</f>
        <v/>
      </c>
      <c r="J27">
        <f>'Kermeli Data'!K34</f>
        <v/>
      </c>
      <c r="K27">
        <f>IFERROR(_xlfn.XLOOKUP(A27,'product map'!$A$14:$A$36,'product map'!$G$14:$G$36),"pending")</f>
        <v/>
      </c>
      <c r="L27">
        <f>H27*cpi!$B$12*cpi!$B$10</f>
        <v/>
      </c>
      <c r="M27">
        <f>J27*cpi!$B$12*cpi!$B$10</f>
        <v/>
      </c>
      <c r="N27">
        <f>IF(I27&gt;0,AL27/(1-(1+AL27)^-I27),"")</f>
        <v/>
      </c>
      <c r="O27">
        <f>L27*N27+M27</f>
        <v/>
      </c>
      <c r="P27">
        <f>MAX(F27,0)+MAX(G27,0)</f>
        <v/>
      </c>
      <c r="Q27">
        <f>IF(P27&gt;0,MAX(F27,0)/P27,0)</f>
        <v/>
      </c>
      <c r="R27">
        <f>IF(P27&gt;0,MAX(G27,0)/P27,0)</f>
        <v/>
      </c>
      <c r="S27">
        <f>IF(P27&gt;0,O27/P27,"")</f>
        <v/>
      </c>
      <c r="T27">
        <f>IF(P27&gt;0,S27/$AE$3,"")</f>
        <v/>
      </c>
      <c r="U27">
        <f>IF(AND(P27&gt;0,Q27&gt;0),T27,"")</f>
        <v/>
      </c>
      <c r="V27">
        <f>IF(AND(P27&gt;0,R27&gt;0),T27,"")</f>
        <v/>
      </c>
      <c r="W27">
        <f>IF(I27&gt;0,$AE$2/(1-(1+$AE$2)^-I27),"")</f>
        <v/>
      </c>
      <c r="X27">
        <f>L27*W27+M27</f>
        <v/>
      </c>
      <c r="Y27">
        <f>IF(P27&gt;0,(X27/P27)/$AE$3,"")</f>
        <v/>
      </c>
      <c r="Z27">
        <f>IF(AND(ISNUMBER(K27),Q27&gt;0),MAX(F27,0)*K27*1000000*E27,"pending")</f>
        <v/>
      </c>
      <c r="AA27">
        <f>IF(AND(ISNUMBER(K27),R27&gt;0),MAX(G27,0)*K27*1000000*E27,"pending")</f>
        <v/>
      </c>
      <c r="AB27">
        <f>IF(AND(ISNUMBER(S27),S27&lt;0),"NEG-CCE","")&amp;IF(NOT(ISNUMBER(K27)),"|pending tonnage","")</f>
        <v/>
      </c>
      <c r="AG27">
        <f>IFERROR(_xlfn.XLOOKUP(A27,'product map'!$A$14:$A$36,'product map'!$C$14:$C$36),"?")</f>
        <v/>
      </c>
      <c r="AH27">
        <f>IFERROR((Z27*0.000000947817)/_xlfn.XLOOKUP(AG27,'energy base (MECS)'!$K$4:$K$9,'energy base (MECS)'!$F$4:$F$9),0)</f>
        <v/>
      </c>
      <c r="AI27">
        <f>IFERROR((AA27*0.000000947817)/_xlfn.XLOOKUP(AG27,'energy base (MECS)'!$K$4:$K$9,'energy base (MECS)'!$I$4:$I$9),0)</f>
        <v/>
      </c>
      <c r="AJ27">
        <f>MAX(0.3*ABS(AK27),0.000001)</f>
        <v/>
      </c>
      <c r="AK27">
        <f>IF(ISNUMBER(T27),T27,0)</f>
        <v/>
      </c>
      <c r="AL27">
        <f>IFERROR(_xlfn.XLOOKUP(AG27,'BCoISC-WACCbI'!$C$2:$C$26,'BCoISC-WACCbI'!$B$2:$B$26)+$AE$4,0.1)</f>
        <v/>
      </c>
      <c r="AM27">
        <f>IF(P27&gt;0,L27/P27/0.947817,0)</f>
        <v/>
      </c>
      <c r="AN27">
        <f>IF(AND(P27&gt;0,ISNUMBER(K27)),L27*K27*1000000*E27,0)</f>
        <v/>
      </c>
    </row>
    <row r="28">
      <c r="A28">
        <f>'Kermeli Data'!A35</f>
        <v/>
      </c>
      <c r="B28">
        <f>'Kermeli Data'!B35</f>
        <v/>
      </c>
      <c r="C28">
        <f>'Kermeli Data'!P35</f>
        <v/>
      </c>
      <c r="D28">
        <f>IF(C28="2 whr","whr",IF(C28="3 proc","process","EXCLUDED"))</f>
        <v/>
      </c>
      <c r="E28">
        <f>'Kermeli Data'!E35</f>
        <v/>
      </c>
      <c r="F28">
        <f>'Kermeli Data'!F35</f>
        <v/>
      </c>
      <c r="G28">
        <f>'Kermeli Data'!G35</f>
        <v/>
      </c>
      <c r="H28">
        <f>'Kermeli Data'!I35</f>
        <v/>
      </c>
      <c r="I28">
        <f>'Kermeli Data'!J35</f>
        <v/>
      </c>
      <c r="J28">
        <f>'Kermeli Data'!K35</f>
        <v/>
      </c>
      <c r="K28">
        <f>IFERROR(_xlfn.XLOOKUP(A28,'product map'!$A$14:$A$36,'product map'!$G$14:$G$36),"pending")</f>
        <v/>
      </c>
      <c r="L28">
        <f>H28*cpi!$B$12*cpi!$B$10</f>
        <v/>
      </c>
      <c r="M28">
        <f>J28*cpi!$B$12*cpi!$B$10</f>
        <v/>
      </c>
      <c r="N28">
        <f>IF(I28&gt;0,AL28/(1-(1+AL28)^-I28),"")</f>
        <v/>
      </c>
      <c r="O28">
        <f>L28*N28+M28</f>
        <v/>
      </c>
      <c r="P28">
        <f>MAX(F28,0)+MAX(G28,0)</f>
        <v/>
      </c>
      <c r="Q28">
        <f>IF(P28&gt;0,MAX(F28,0)/P28,0)</f>
        <v/>
      </c>
      <c r="R28">
        <f>IF(P28&gt;0,MAX(G28,0)/P28,0)</f>
        <v/>
      </c>
      <c r="S28">
        <f>IF(P28&gt;0,O28/P28,"")</f>
        <v/>
      </c>
      <c r="T28">
        <f>IF(P28&gt;0,S28/$AE$3,"")</f>
        <v/>
      </c>
      <c r="U28">
        <f>IF(AND(P28&gt;0,Q28&gt;0),T28,"")</f>
        <v/>
      </c>
      <c r="V28">
        <f>IF(AND(P28&gt;0,R28&gt;0),T28,"")</f>
        <v/>
      </c>
      <c r="W28">
        <f>IF(I28&gt;0,$AE$2/(1-(1+$AE$2)^-I28),"")</f>
        <v/>
      </c>
      <c r="X28">
        <f>L28*W28+M28</f>
        <v/>
      </c>
      <c r="Y28">
        <f>IF(P28&gt;0,(X28/P28)/$AE$3,"")</f>
        <v/>
      </c>
      <c r="Z28">
        <f>IF(AND(ISNUMBER(K28),Q28&gt;0),MAX(F28,0)*K28*1000000*E28,"pending")</f>
        <v/>
      </c>
      <c r="AA28">
        <f>IF(AND(ISNUMBER(K28),R28&gt;0),MAX(G28,0)*K28*1000000*E28,"pending")</f>
        <v/>
      </c>
      <c r="AB28">
        <f>IF(AND(ISNUMBER(S28),S28&lt;0),"NEG-CCE","")&amp;IF(NOT(ISNUMBER(K28)),"|pending tonnage","")</f>
        <v/>
      </c>
      <c r="AG28">
        <f>IFERROR(_xlfn.XLOOKUP(A28,'product map'!$A$14:$A$36,'product map'!$C$14:$C$36),"?")</f>
        <v/>
      </c>
      <c r="AH28">
        <f>IFERROR((Z28*0.000000947817)/_xlfn.XLOOKUP(AG28,'energy base (MECS)'!$K$4:$K$9,'energy base (MECS)'!$F$4:$F$9),0)</f>
        <v/>
      </c>
      <c r="AI28">
        <f>IFERROR((AA28*0.000000947817)/_xlfn.XLOOKUP(AG28,'energy base (MECS)'!$K$4:$K$9,'energy base (MECS)'!$I$4:$I$9),0)</f>
        <v/>
      </c>
      <c r="AJ28">
        <f>MAX(0.3*ABS(AK28),0.000001)</f>
        <v/>
      </c>
      <c r="AK28">
        <f>IF(ISNUMBER(T28),T28,0)</f>
        <v/>
      </c>
      <c r="AL28">
        <f>IFERROR(_xlfn.XLOOKUP(AG28,'BCoISC-WACCbI'!$C$2:$C$26,'BCoISC-WACCbI'!$B$2:$B$26)+$AE$4,0.1)</f>
        <v/>
      </c>
      <c r="AM28">
        <f>IF(P28&gt;0,L28/P28/0.947817,0)</f>
        <v/>
      </c>
      <c r="AN28">
        <f>IF(AND(P28&gt;0,ISNUMBER(K28)),L28*K28*1000000*E28,0)</f>
        <v/>
      </c>
    </row>
    <row r="29">
      <c r="A29">
        <f>'Kermeli Data'!A36</f>
        <v/>
      </c>
      <c r="B29">
        <f>'Kermeli Data'!B36</f>
        <v/>
      </c>
      <c r="C29">
        <f>'Kermeli Data'!P36</f>
        <v/>
      </c>
      <c r="D29">
        <f>IF(C29="2 whr","whr",IF(C29="3 proc","process","EXCLUDED"))</f>
        <v/>
      </c>
      <c r="E29">
        <f>'Kermeli Data'!E36</f>
        <v/>
      </c>
      <c r="F29">
        <f>'Kermeli Data'!F36</f>
        <v/>
      </c>
      <c r="G29">
        <f>'Kermeli Data'!G36</f>
        <v/>
      </c>
      <c r="H29">
        <f>'Kermeli Data'!I36</f>
        <v/>
      </c>
      <c r="I29">
        <f>'Kermeli Data'!J36</f>
        <v/>
      </c>
      <c r="J29">
        <f>'Kermeli Data'!K36</f>
        <v/>
      </c>
      <c r="K29">
        <f>IFERROR(_xlfn.XLOOKUP(A29,'product map'!$A$14:$A$36,'product map'!$G$14:$G$36),"pending")</f>
        <v/>
      </c>
      <c r="L29">
        <f>H29*cpi!$B$12*cpi!$B$10</f>
        <v/>
      </c>
      <c r="M29">
        <f>J29*cpi!$B$12*cpi!$B$10</f>
        <v/>
      </c>
      <c r="N29">
        <f>IF(I29&gt;0,AL29/(1-(1+AL29)^-I29),"")</f>
        <v/>
      </c>
      <c r="O29">
        <f>L29*N29+M29</f>
        <v/>
      </c>
      <c r="P29">
        <f>MAX(F29,0)+MAX(G29,0)</f>
        <v/>
      </c>
      <c r="Q29">
        <f>IF(P29&gt;0,MAX(F29,0)/P29,0)</f>
        <v/>
      </c>
      <c r="R29">
        <f>IF(P29&gt;0,MAX(G29,0)/P29,0)</f>
        <v/>
      </c>
      <c r="S29">
        <f>IF(P29&gt;0,O29/P29,"")</f>
        <v/>
      </c>
      <c r="T29">
        <f>IF(P29&gt;0,S29/$AE$3,"")</f>
        <v/>
      </c>
      <c r="U29">
        <f>IF(AND(P29&gt;0,Q29&gt;0),T29,"")</f>
        <v/>
      </c>
      <c r="V29">
        <f>IF(AND(P29&gt;0,R29&gt;0),T29,"")</f>
        <v/>
      </c>
      <c r="W29">
        <f>IF(I29&gt;0,$AE$2/(1-(1+$AE$2)^-I29),"")</f>
        <v/>
      </c>
      <c r="X29">
        <f>L29*W29+M29</f>
        <v/>
      </c>
      <c r="Y29">
        <f>IF(P29&gt;0,(X29/P29)/$AE$3,"")</f>
        <v/>
      </c>
      <c r="Z29">
        <f>IF(AND(ISNUMBER(K29),Q29&gt;0),MAX(F29,0)*K29*1000000*E29,"pending")</f>
        <v/>
      </c>
      <c r="AA29">
        <f>IF(AND(ISNUMBER(K29),R29&gt;0),MAX(G29,0)*K29*1000000*E29,"pending")</f>
        <v/>
      </c>
      <c r="AB29">
        <f>IF(AND(ISNUMBER(S29),S29&lt;0),"NEG-CCE","")&amp;IF(NOT(ISNUMBER(K29)),"|pending tonnage","")</f>
        <v/>
      </c>
      <c r="AG29">
        <f>IFERROR(_xlfn.XLOOKUP(A29,'product map'!$A$14:$A$36,'product map'!$C$14:$C$36),"?")</f>
        <v/>
      </c>
      <c r="AH29">
        <f>IFERROR((Z29*0.000000947817)/_xlfn.XLOOKUP(AG29,'energy base (MECS)'!$K$4:$K$9,'energy base (MECS)'!$F$4:$F$9),0)</f>
        <v/>
      </c>
      <c r="AI29">
        <f>IFERROR((AA29*0.000000947817)/_xlfn.XLOOKUP(AG29,'energy base (MECS)'!$K$4:$K$9,'energy base (MECS)'!$I$4:$I$9),0)</f>
        <v/>
      </c>
      <c r="AJ29">
        <f>MAX(0.3*ABS(AK29),0.000001)</f>
        <v/>
      </c>
      <c r="AK29">
        <f>IF(ISNUMBER(T29),T29,0)</f>
        <v/>
      </c>
      <c r="AL29">
        <f>IFERROR(_xlfn.XLOOKUP(AG29,'BCoISC-WACCbI'!$C$2:$C$26,'BCoISC-WACCbI'!$B$2:$B$26)+$AE$4,0.1)</f>
        <v/>
      </c>
      <c r="AM29">
        <f>IF(P29&gt;0,L29/P29/0.947817,0)</f>
        <v/>
      </c>
      <c r="AN29">
        <f>IF(AND(P29&gt;0,ISNUMBER(K29)),L29*K29*1000000*E29,0)</f>
        <v/>
      </c>
    </row>
    <row r="30">
      <c r="A30">
        <f>'Kermeli Data'!A37</f>
        <v/>
      </c>
      <c r="B30">
        <f>'Kermeli Data'!B37</f>
        <v/>
      </c>
      <c r="C30">
        <f>'Kermeli Data'!P37</f>
        <v/>
      </c>
      <c r="D30">
        <f>IF(C30="2 whr","whr",IF(C30="3 proc","process","EXCLUDED"))</f>
        <v/>
      </c>
      <c r="E30">
        <f>'Kermeli Data'!E37</f>
        <v/>
      </c>
      <c r="F30">
        <f>'Kermeli Data'!F37</f>
        <v/>
      </c>
      <c r="G30">
        <f>'Kermeli Data'!G37</f>
        <v/>
      </c>
      <c r="H30">
        <f>'Kermeli Data'!I37</f>
        <v/>
      </c>
      <c r="I30">
        <f>'Kermeli Data'!J37</f>
        <v/>
      </c>
      <c r="J30">
        <f>'Kermeli Data'!K37</f>
        <v/>
      </c>
      <c r="K30">
        <f>IFERROR(_xlfn.XLOOKUP(A30,'product map'!$A$14:$A$36,'product map'!$G$14:$G$36),"pending")</f>
        <v/>
      </c>
      <c r="L30">
        <f>H30*cpi!$B$12*cpi!$B$10</f>
        <v/>
      </c>
      <c r="M30">
        <f>J30*cpi!$B$12*cpi!$B$10</f>
        <v/>
      </c>
      <c r="N30">
        <f>IF(I30&gt;0,AL30/(1-(1+AL30)^-I30),"")</f>
        <v/>
      </c>
      <c r="O30">
        <f>L30*N30+M30</f>
        <v/>
      </c>
      <c r="P30">
        <f>MAX(F30,0)+MAX(G30,0)</f>
        <v/>
      </c>
      <c r="Q30">
        <f>IF(P30&gt;0,MAX(F30,0)/P30,0)</f>
        <v/>
      </c>
      <c r="R30">
        <f>IF(P30&gt;0,MAX(G30,0)/P30,0)</f>
        <v/>
      </c>
      <c r="S30">
        <f>IF(P30&gt;0,O30/P30,"")</f>
        <v/>
      </c>
      <c r="T30">
        <f>IF(P30&gt;0,S30/$AE$3,"")</f>
        <v/>
      </c>
      <c r="U30">
        <f>IF(AND(P30&gt;0,Q30&gt;0),T30,"")</f>
        <v/>
      </c>
      <c r="V30">
        <f>IF(AND(P30&gt;0,R30&gt;0),T30,"")</f>
        <v/>
      </c>
      <c r="W30">
        <f>IF(I30&gt;0,$AE$2/(1-(1+$AE$2)^-I30),"")</f>
        <v/>
      </c>
      <c r="X30">
        <f>L30*W30+M30</f>
        <v/>
      </c>
      <c r="Y30">
        <f>IF(P30&gt;0,(X30/P30)/$AE$3,"")</f>
        <v/>
      </c>
      <c r="Z30">
        <f>IF(AND(ISNUMBER(K30),Q30&gt;0),MAX(F30,0)*K30*1000000*E30,"pending")</f>
        <v/>
      </c>
      <c r="AA30">
        <f>IF(AND(ISNUMBER(K30),R30&gt;0),MAX(G30,0)*K30*1000000*E30,"pending")</f>
        <v/>
      </c>
      <c r="AB30">
        <f>IF(AND(ISNUMBER(S30),S30&lt;0),"NEG-CCE","")&amp;IF(NOT(ISNUMBER(K30)),"|pending tonnage","")</f>
        <v/>
      </c>
      <c r="AG30">
        <f>IFERROR(_xlfn.XLOOKUP(A30,'product map'!$A$14:$A$36,'product map'!$C$14:$C$36),"?")</f>
        <v/>
      </c>
      <c r="AH30">
        <f>IFERROR((Z30*0.000000947817)/_xlfn.XLOOKUP(AG30,'energy base (MECS)'!$K$4:$K$9,'energy base (MECS)'!$F$4:$F$9),0)</f>
        <v/>
      </c>
      <c r="AI30">
        <f>IFERROR((AA30*0.000000947817)/_xlfn.XLOOKUP(AG30,'energy base (MECS)'!$K$4:$K$9,'energy base (MECS)'!$I$4:$I$9),0)</f>
        <v/>
      </c>
      <c r="AJ30">
        <f>MAX(0.3*ABS(AK30),0.000001)</f>
        <v/>
      </c>
      <c r="AK30">
        <f>IF(ISNUMBER(T30),T30,0)</f>
        <v/>
      </c>
      <c r="AL30">
        <f>IFERROR(_xlfn.XLOOKUP(AG30,'BCoISC-WACCbI'!$C$2:$C$26,'BCoISC-WACCbI'!$B$2:$B$26)+$AE$4,0.1)</f>
        <v/>
      </c>
      <c r="AM30">
        <f>IF(P30&gt;0,L30/P30/0.947817,0)</f>
        <v/>
      </c>
      <c r="AN30">
        <f>IF(AND(P30&gt;0,ISNUMBER(K30)),L30*K30*1000000*E30,0)</f>
        <v/>
      </c>
    </row>
    <row r="31">
      <c r="A31">
        <f>'Kermeli Data'!A38</f>
        <v/>
      </c>
      <c r="B31">
        <f>'Kermeli Data'!B38</f>
        <v/>
      </c>
      <c r="C31">
        <f>'Kermeli Data'!P38</f>
        <v/>
      </c>
      <c r="D31">
        <f>IF(C31="2 whr","whr",IF(C31="3 proc","process","EXCLUDED"))</f>
        <v/>
      </c>
      <c r="E31">
        <f>'Kermeli Data'!E38</f>
        <v/>
      </c>
      <c r="F31">
        <f>'Kermeli Data'!F38</f>
        <v/>
      </c>
      <c r="G31">
        <f>'Kermeli Data'!G38</f>
        <v/>
      </c>
      <c r="H31">
        <f>'Kermeli Data'!I38</f>
        <v/>
      </c>
      <c r="I31">
        <f>'Kermeli Data'!J38</f>
        <v/>
      </c>
      <c r="J31">
        <f>'Kermeli Data'!K38</f>
        <v/>
      </c>
      <c r="K31">
        <f>IFERROR(_xlfn.XLOOKUP(A31,'product map'!$A$14:$A$36,'product map'!$G$14:$G$36),"pending")</f>
        <v/>
      </c>
      <c r="L31">
        <f>H31*cpi!$B$12*cpi!$B$10</f>
        <v/>
      </c>
      <c r="M31">
        <f>J31*cpi!$B$12*cpi!$B$10</f>
        <v/>
      </c>
      <c r="N31">
        <f>IF(I31&gt;0,AL31/(1-(1+AL31)^-I31),"")</f>
        <v/>
      </c>
      <c r="O31">
        <f>L31*N31+M31</f>
        <v/>
      </c>
      <c r="P31">
        <f>MAX(F31,0)+MAX(G31,0)</f>
        <v/>
      </c>
      <c r="Q31">
        <f>IF(P31&gt;0,MAX(F31,0)/P31,0)</f>
        <v/>
      </c>
      <c r="R31">
        <f>IF(P31&gt;0,MAX(G31,0)/P31,0)</f>
        <v/>
      </c>
      <c r="S31">
        <f>IF(P31&gt;0,O31/P31,"")</f>
        <v/>
      </c>
      <c r="T31">
        <f>IF(P31&gt;0,S31/$AE$3,"")</f>
        <v/>
      </c>
      <c r="U31">
        <f>IF(AND(P31&gt;0,Q31&gt;0),T31,"")</f>
        <v/>
      </c>
      <c r="V31">
        <f>IF(AND(P31&gt;0,R31&gt;0),T31,"")</f>
        <v/>
      </c>
      <c r="W31">
        <f>IF(I31&gt;0,$AE$2/(1-(1+$AE$2)^-I31),"")</f>
        <v/>
      </c>
      <c r="X31">
        <f>L31*W31+M31</f>
        <v/>
      </c>
      <c r="Y31">
        <f>IF(P31&gt;0,(X31/P31)/$AE$3,"")</f>
        <v/>
      </c>
      <c r="Z31">
        <f>IF(AND(ISNUMBER(K31),Q31&gt;0),MAX(F31,0)*K31*1000000*E31,"pending")</f>
        <v/>
      </c>
      <c r="AA31">
        <f>IF(AND(ISNUMBER(K31),R31&gt;0),MAX(G31,0)*K31*1000000*E31,"pending")</f>
        <v/>
      </c>
      <c r="AB31">
        <f>IF(AND(ISNUMBER(S31),S31&lt;0),"NEG-CCE","")&amp;IF(NOT(ISNUMBER(K31)),"|pending tonnage","")</f>
        <v/>
      </c>
      <c r="AG31">
        <f>IFERROR(_xlfn.XLOOKUP(A31,'product map'!$A$14:$A$36,'product map'!$C$14:$C$36),"?")</f>
        <v/>
      </c>
      <c r="AH31">
        <f>IFERROR((Z31*0.000000947817)/_xlfn.XLOOKUP(AG31,'energy base (MECS)'!$K$4:$K$9,'energy base (MECS)'!$F$4:$F$9),0)</f>
        <v/>
      </c>
      <c r="AI31">
        <f>IFERROR((AA31*0.000000947817)/_xlfn.XLOOKUP(AG31,'energy base (MECS)'!$K$4:$K$9,'energy base (MECS)'!$I$4:$I$9),0)</f>
        <v/>
      </c>
      <c r="AJ31">
        <f>MAX(0.3*ABS(AK31),0.000001)</f>
        <v/>
      </c>
      <c r="AK31">
        <f>IF(ISNUMBER(T31),T31,0)</f>
        <v/>
      </c>
      <c r="AL31">
        <f>IFERROR(_xlfn.XLOOKUP(AG31,'BCoISC-WACCbI'!$C$2:$C$26,'BCoISC-WACCbI'!$B$2:$B$26)+$AE$4,0.1)</f>
        <v/>
      </c>
      <c r="AM31">
        <f>IF(P31&gt;0,L31/P31/0.947817,0)</f>
        <v/>
      </c>
      <c r="AN31">
        <f>IF(AND(P31&gt;0,ISNUMBER(K31)),L31*K31*1000000*E31,0)</f>
        <v/>
      </c>
    </row>
    <row r="32">
      <c r="A32">
        <f>'Kermeli Data'!A39</f>
        <v/>
      </c>
      <c r="B32">
        <f>'Kermeli Data'!B39</f>
        <v/>
      </c>
      <c r="C32">
        <f>'Kermeli Data'!P39</f>
        <v/>
      </c>
      <c r="D32">
        <f>IF(C32="2 whr","whr",IF(C32="3 proc","process","EXCLUDED"))</f>
        <v/>
      </c>
      <c r="E32">
        <f>'Kermeli Data'!E39</f>
        <v/>
      </c>
      <c r="F32">
        <f>'Kermeli Data'!F39</f>
        <v/>
      </c>
      <c r="G32">
        <f>'Kermeli Data'!G39</f>
        <v/>
      </c>
      <c r="H32">
        <f>'Kermeli Data'!I39</f>
        <v/>
      </c>
      <c r="I32">
        <f>'Kermeli Data'!J39</f>
        <v/>
      </c>
      <c r="J32">
        <f>'Kermeli Data'!K39</f>
        <v/>
      </c>
      <c r="K32">
        <f>IFERROR(_xlfn.XLOOKUP(A32,'product map'!$A$14:$A$36,'product map'!$G$14:$G$36),"pending")</f>
        <v/>
      </c>
      <c r="L32">
        <f>H32*cpi!$B$12*cpi!$B$10</f>
        <v/>
      </c>
      <c r="M32">
        <f>J32*cpi!$B$12*cpi!$B$10</f>
        <v/>
      </c>
      <c r="N32">
        <f>IF(I32&gt;0,AL32/(1-(1+AL32)^-I32),"")</f>
        <v/>
      </c>
      <c r="O32">
        <f>L32*N32+M32</f>
        <v/>
      </c>
      <c r="P32">
        <f>MAX(F32,0)+MAX(G32,0)</f>
        <v/>
      </c>
      <c r="Q32">
        <f>IF(P32&gt;0,MAX(F32,0)/P32,0)</f>
        <v/>
      </c>
      <c r="R32">
        <f>IF(P32&gt;0,MAX(G32,0)/P32,0)</f>
        <v/>
      </c>
      <c r="S32">
        <f>IF(P32&gt;0,O32/P32,"")</f>
        <v/>
      </c>
      <c r="T32">
        <f>IF(P32&gt;0,S32/$AE$3,"")</f>
        <v/>
      </c>
      <c r="U32">
        <f>IF(AND(P32&gt;0,Q32&gt;0),T32,"")</f>
        <v/>
      </c>
      <c r="V32">
        <f>IF(AND(P32&gt;0,R32&gt;0),T32,"")</f>
        <v/>
      </c>
      <c r="W32">
        <f>IF(I32&gt;0,$AE$2/(1-(1+$AE$2)^-I32),"")</f>
        <v/>
      </c>
      <c r="X32">
        <f>L32*W32+M32</f>
        <v/>
      </c>
      <c r="Y32">
        <f>IF(P32&gt;0,(X32/P32)/$AE$3,"")</f>
        <v/>
      </c>
      <c r="Z32">
        <f>IF(AND(ISNUMBER(K32),Q32&gt;0),MAX(F32,0)*K32*1000000*E32,"pending")</f>
        <v/>
      </c>
      <c r="AA32">
        <f>IF(AND(ISNUMBER(K32),R32&gt;0),MAX(G32,0)*K32*1000000*E32,"pending")</f>
        <v/>
      </c>
      <c r="AB32">
        <f>IF(AND(ISNUMBER(S32),S32&lt;0),"NEG-CCE","")&amp;IF(NOT(ISNUMBER(K32)),"|pending tonnage","")</f>
        <v/>
      </c>
      <c r="AG32">
        <f>IFERROR(_xlfn.XLOOKUP(A32,'product map'!$A$14:$A$36,'product map'!$C$14:$C$36),"?")</f>
        <v/>
      </c>
      <c r="AH32">
        <f>IFERROR((Z32*0.000000947817)/_xlfn.XLOOKUP(AG32,'energy base (MECS)'!$K$4:$K$9,'energy base (MECS)'!$F$4:$F$9),0)</f>
        <v/>
      </c>
      <c r="AI32">
        <f>IFERROR((AA32*0.000000947817)/_xlfn.XLOOKUP(AG32,'energy base (MECS)'!$K$4:$K$9,'energy base (MECS)'!$I$4:$I$9),0)</f>
        <v/>
      </c>
      <c r="AJ32">
        <f>MAX(0.3*ABS(AK32),0.000001)</f>
        <v/>
      </c>
      <c r="AK32">
        <f>IF(ISNUMBER(T32),T32,0)</f>
        <v/>
      </c>
      <c r="AL32">
        <f>IFERROR(_xlfn.XLOOKUP(AG32,'BCoISC-WACCbI'!$C$2:$C$26,'BCoISC-WACCbI'!$B$2:$B$26)+$AE$4,0.1)</f>
        <v/>
      </c>
      <c r="AM32">
        <f>IF(P32&gt;0,L32/P32/0.947817,0)</f>
        <v/>
      </c>
      <c r="AN32">
        <f>IF(AND(P32&gt;0,ISNUMBER(K32)),L32*K32*1000000*E32,0)</f>
        <v/>
      </c>
    </row>
    <row r="33">
      <c r="A33">
        <f>'Kermeli Data'!A40</f>
        <v/>
      </c>
      <c r="B33">
        <f>'Kermeli Data'!B40</f>
        <v/>
      </c>
      <c r="C33">
        <f>'Kermeli Data'!P40</f>
        <v/>
      </c>
      <c r="D33">
        <f>IF(C33="2 whr","whr",IF(C33="3 proc","process","EXCLUDED"))</f>
        <v/>
      </c>
      <c r="E33">
        <f>'Kermeli Data'!E40</f>
        <v/>
      </c>
      <c r="F33">
        <f>'Kermeli Data'!F40</f>
        <v/>
      </c>
      <c r="G33">
        <f>'Kermeli Data'!G40</f>
        <v/>
      </c>
      <c r="H33">
        <f>'Kermeli Data'!I40</f>
        <v/>
      </c>
      <c r="I33">
        <f>'Kermeli Data'!J40</f>
        <v/>
      </c>
      <c r="J33">
        <f>'Kermeli Data'!K40</f>
        <v/>
      </c>
      <c r="K33">
        <f>IFERROR(_xlfn.XLOOKUP(A33,'product map'!$A$14:$A$36,'product map'!$G$14:$G$36),"pending")</f>
        <v/>
      </c>
      <c r="L33">
        <f>H33*cpi!$B$12*cpi!$B$10</f>
        <v/>
      </c>
      <c r="M33">
        <f>J33*cpi!$B$12*cpi!$B$10</f>
        <v/>
      </c>
      <c r="N33">
        <f>IF(I33&gt;0,AL33/(1-(1+AL33)^-I33),"")</f>
        <v/>
      </c>
      <c r="O33">
        <f>L33*N33+M33</f>
        <v/>
      </c>
      <c r="P33">
        <f>MAX(F33,0)+MAX(G33,0)</f>
        <v/>
      </c>
      <c r="Q33">
        <f>IF(P33&gt;0,MAX(F33,0)/P33,0)</f>
        <v/>
      </c>
      <c r="R33">
        <f>IF(P33&gt;0,MAX(G33,0)/P33,0)</f>
        <v/>
      </c>
      <c r="S33">
        <f>IF(P33&gt;0,O33/P33,"")</f>
        <v/>
      </c>
      <c r="T33">
        <f>IF(P33&gt;0,S33/$AE$3,"")</f>
        <v/>
      </c>
      <c r="U33">
        <f>IF(AND(P33&gt;0,Q33&gt;0),T33,"")</f>
        <v/>
      </c>
      <c r="V33">
        <f>IF(AND(P33&gt;0,R33&gt;0),T33,"")</f>
        <v/>
      </c>
      <c r="W33">
        <f>IF(I33&gt;0,$AE$2/(1-(1+$AE$2)^-I33),"")</f>
        <v/>
      </c>
      <c r="X33">
        <f>L33*W33+M33</f>
        <v/>
      </c>
      <c r="Y33">
        <f>IF(P33&gt;0,(X33/P33)/$AE$3,"")</f>
        <v/>
      </c>
      <c r="Z33">
        <f>IF(AND(ISNUMBER(K33),Q33&gt;0),MAX(F33,0)*K33*1000000*E33,"pending")</f>
        <v/>
      </c>
      <c r="AA33">
        <f>IF(AND(ISNUMBER(K33),R33&gt;0),MAX(G33,0)*K33*1000000*E33,"pending")</f>
        <v/>
      </c>
      <c r="AB33">
        <f>IF(AND(ISNUMBER(S33),S33&lt;0),"NEG-CCE","")&amp;IF(NOT(ISNUMBER(K33)),"|pending tonnage","")</f>
        <v/>
      </c>
      <c r="AG33">
        <f>IFERROR(_xlfn.XLOOKUP(A33,'product map'!$A$14:$A$36,'product map'!$C$14:$C$36),"?")</f>
        <v/>
      </c>
      <c r="AH33">
        <f>IFERROR((Z33*0.000000947817)/_xlfn.XLOOKUP(AG33,'energy base (MECS)'!$K$4:$K$9,'energy base (MECS)'!$F$4:$F$9),0)</f>
        <v/>
      </c>
      <c r="AI33">
        <f>IFERROR((AA33*0.000000947817)/_xlfn.XLOOKUP(AG33,'energy base (MECS)'!$K$4:$K$9,'energy base (MECS)'!$I$4:$I$9),0)</f>
        <v/>
      </c>
      <c r="AJ33">
        <f>MAX(0.3*ABS(AK33),0.000001)</f>
        <v/>
      </c>
      <c r="AK33">
        <f>IF(ISNUMBER(T33),T33,0)</f>
        <v/>
      </c>
      <c r="AL33">
        <f>IFERROR(_xlfn.XLOOKUP(AG33,'BCoISC-WACCbI'!$C$2:$C$26,'BCoISC-WACCbI'!$B$2:$B$26)+$AE$4,0.1)</f>
        <v/>
      </c>
      <c r="AM33">
        <f>IF(P33&gt;0,L33/P33/0.947817,0)</f>
        <v/>
      </c>
      <c r="AN33">
        <f>IF(AND(P33&gt;0,ISNUMBER(K33)),L33*K33*1000000*E33,0)</f>
        <v/>
      </c>
    </row>
    <row r="34">
      <c r="A34">
        <f>'Kermeli Data'!A41</f>
        <v/>
      </c>
      <c r="B34">
        <f>'Kermeli Data'!B41</f>
        <v/>
      </c>
      <c r="C34">
        <f>'Kermeli Data'!P41</f>
        <v/>
      </c>
      <c r="D34">
        <f>IF(C34="2 whr","whr",IF(C34="3 proc","process","EXCLUDED"))</f>
        <v/>
      </c>
      <c r="E34">
        <f>'Kermeli Data'!E41</f>
        <v/>
      </c>
      <c r="F34">
        <f>'Kermeli Data'!F41</f>
        <v/>
      </c>
      <c r="G34">
        <f>'Kermeli Data'!G41</f>
        <v/>
      </c>
      <c r="H34">
        <f>'Kermeli Data'!I41</f>
        <v/>
      </c>
      <c r="I34">
        <f>'Kermeli Data'!J41</f>
        <v/>
      </c>
      <c r="J34">
        <f>'Kermeli Data'!K41</f>
        <v/>
      </c>
      <c r="K34">
        <f>IFERROR(_xlfn.XLOOKUP(A34,'product map'!$A$14:$A$36,'product map'!$G$14:$G$36),"pending")</f>
        <v/>
      </c>
      <c r="L34">
        <f>H34*cpi!$B$12*cpi!$B$10</f>
        <v/>
      </c>
      <c r="M34">
        <f>J34*cpi!$B$12*cpi!$B$10</f>
        <v/>
      </c>
      <c r="N34">
        <f>IF(I34&gt;0,AL34/(1-(1+AL34)^-I34),"")</f>
        <v/>
      </c>
      <c r="O34">
        <f>L34*N34+M34</f>
        <v/>
      </c>
      <c r="P34">
        <f>MAX(F34,0)+MAX(G34,0)</f>
        <v/>
      </c>
      <c r="Q34">
        <f>IF(P34&gt;0,MAX(F34,0)/P34,0)</f>
        <v/>
      </c>
      <c r="R34">
        <f>IF(P34&gt;0,MAX(G34,0)/P34,0)</f>
        <v/>
      </c>
      <c r="S34">
        <f>IF(P34&gt;0,O34/P34,"")</f>
        <v/>
      </c>
      <c r="T34">
        <f>IF(P34&gt;0,S34/$AE$3,"")</f>
        <v/>
      </c>
      <c r="U34">
        <f>IF(AND(P34&gt;0,Q34&gt;0),T34,"")</f>
        <v/>
      </c>
      <c r="V34">
        <f>IF(AND(P34&gt;0,R34&gt;0),T34,"")</f>
        <v/>
      </c>
      <c r="W34">
        <f>IF(I34&gt;0,$AE$2/(1-(1+$AE$2)^-I34),"")</f>
        <v/>
      </c>
      <c r="X34">
        <f>L34*W34+M34</f>
        <v/>
      </c>
      <c r="Y34">
        <f>IF(P34&gt;0,(X34/P34)/$AE$3,"")</f>
        <v/>
      </c>
      <c r="Z34">
        <f>IF(AND(ISNUMBER(K34),Q34&gt;0),MAX(F34,0)*K34*1000000*E34,"pending")</f>
        <v/>
      </c>
      <c r="AA34">
        <f>IF(AND(ISNUMBER(K34),R34&gt;0),MAX(G34,0)*K34*1000000*E34,"pending")</f>
        <v/>
      </c>
      <c r="AB34">
        <f>IF(AND(ISNUMBER(S34),S34&lt;0),"NEG-CCE","")&amp;IF(NOT(ISNUMBER(K34)),"|pending tonnage","")</f>
        <v/>
      </c>
      <c r="AG34">
        <f>IFERROR(_xlfn.XLOOKUP(A34,'product map'!$A$14:$A$36,'product map'!$C$14:$C$36),"?")</f>
        <v/>
      </c>
      <c r="AH34">
        <f>IFERROR((Z34*0.000000947817)/_xlfn.XLOOKUP(AG34,'energy base (MECS)'!$K$4:$K$9,'energy base (MECS)'!$F$4:$F$9),0)</f>
        <v/>
      </c>
      <c r="AI34">
        <f>IFERROR((AA34*0.000000947817)/_xlfn.XLOOKUP(AG34,'energy base (MECS)'!$K$4:$K$9,'energy base (MECS)'!$I$4:$I$9),0)</f>
        <v/>
      </c>
      <c r="AJ34">
        <f>MAX(0.3*ABS(AK34),0.000001)</f>
        <v/>
      </c>
      <c r="AK34">
        <f>IF(ISNUMBER(T34),T34,0)</f>
        <v/>
      </c>
      <c r="AL34">
        <f>IFERROR(_xlfn.XLOOKUP(AG34,'BCoISC-WACCbI'!$C$2:$C$26,'BCoISC-WACCbI'!$B$2:$B$26)+$AE$4,0.1)</f>
        <v/>
      </c>
      <c r="AM34">
        <f>IF(P34&gt;0,L34/P34/0.947817,0)</f>
        <v/>
      </c>
      <c r="AN34">
        <f>IF(AND(P34&gt;0,ISNUMBER(K34)),L34*K34*1000000*E34,0)</f>
        <v/>
      </c>
    </row>
    <row r="35">
      <c r="A35">
        <f>'Kermeli Data'!A42</f>
        <v/>
      </c>
      <c r="B35">
        <f>'Kermeli Data'!B42</f>
        <v/>
      </c>
      <c r="C35">
        <f>'Kermeli Data'!P42</f>
        <v/>
      </c>
      <c r="D35">
        <f>IF(C35="2 whr","whr",IF(C35="3 proc","process","EXCLUDED"))</f>
        <v/>
      </c>
      <c r="E35">
        <f>'Kermeli Data'!E42</f>
        <v/>
      </c>
      <c r="F35">
        <f>'Kermeli Data'!F42</f>
        <v/>
      </c>
      <c r="G35">
        <f>'Kermeli Data'!G42</f>
        <v/>
      </c>
      <c r="H35">
        <f>'Kermeli Data'!I42</f>
        <v/>
      </c>
      <c r="I35">
        <f>'Kermeli Data'!J42</f>
        <v/>
      </c>
      <c r="J35">
        <f>'Kermeli Data'!K42</f>
        <v/>
      </c>
      <c r="K35">
        <f>IFERROR(_xlfn.XLOOKUP(A35,'product map'!$A$14:$A$36,'product map'!$G$14:$G$36),"pending")</f>
        <v/>
      </c>
      <c r="L35">
        <f>H35*cpi!$B$12*cpi!$B$10</f>
        <v/>
      </c>
      <c r="M35">
        <f>J35*cpi!$B$12*cpi!$B$10</f>
        <v/>
      </c>
      <c r="N35">
        <f>IF(I35&gt;0,AL35/(1-(1+AL35)^-I35),"")</f>
        <v/>
      </c>
      <c r="O35">
        <f>L35*N35+M35</f>
        <v/>
      </c>
      <c r="P35">
        <f>MAX(F35,0)+MAX(G35,0)</f>
        <v/>
      </c>
      <c r="Q35">
        <f>IF(P35&gt;0,MAX(F35,0)/P35,0)</f>
        <v/>
      </c>
      <c r="R35">
        <f>IF(P35&gt;0,MAX(G35,0)/P35,0)</f>
        <v/>
      </c>
      <c r="S35">
        <f>IF(P35&gt;0,O35/P35,"")</f>
        <v/>
      </c>
      <c r="T35">
        <f>IF(P35&gt;0,S35/$AE$3,"")</f>
        <v/>
      </c>
      <c r="U35">
        <f>IF(AND(P35&gt;0,Q35&gt;0),T35,"")</f>
        <v/>
      </c>
      <c r="V35">
        <f>IF(AND(P35&gt;0,R35&gt;0),T35,"")</f>
        <v/>
      </c>
      <c r="W35">
        <f>IF(I35&gt;0,$AE$2/(1-(1+$AE$2)^-I35),"")</f>
        <v/>
      </c>
      <c r="X35">
        <f>L35*W35+M35</f>
        <v/>
      </c>
      <c r="Y35">
        <f>IF(P35&gt;0,(X35/P35)/$AE$3,"")</f>
        <v/>
      </c>
      <c r="Z35">
        <f>IF(AND(ISNUMBER(K35),Q35&gt;0),MAX(F35,0)*K35*1000000*E35,"pending")</f>
        <v/>
      </c>
      <c r="AA35">
        <f>IF(AND(ISNUMBER(K35),R35&gt;0),MAX(G35,0)*K35*1000000*E35,"pending")</f>
        <v/>
      </c>
      <c r="AB35">
        <f>IF(AND(ISNUMBER(S35),S35&lt;0),"NEG-CCE","")&amp;IF(NOT(ISNUMBER(K35)),"|pending tonnage","")</f>
        <v/>
      </c>
      <c r="AG35">
        <f>IFERROR(_xlfn.XLOOKUP(A35,'product map'!$A$14:$A$36,'product map'!$C$14:$C$36),"?")</f>
        <v/>
      </c>
      <c r="AH35">
        <f>IFERROR((Z35*0.000000947817)/_xlfn.XLOOKUP(AG35,'energy base (MECS)'!$K$4:$K$9,'energy base (MECS)'!$F$4:$F$9),0)</f>
        <v/>
      </c>
      <c r="AI35">
        <f>IFERROR((AA35*0.000000947817)/_xlfn.XLOOKUP(AG35,'energy base (MECS)'!$K$4:$K$9,'energy base (MECS)'!$I$4:$I$9),0)</f>
        <v/>
      </c>
      <c r="AJ35">
        <f>MAX(0.3*ABS(AK35),0.000001)</f>
        <v/>
      </c>
      <c r="AK35">
        <f>IF(ISNUMBER(T35),T35,0)</f>
        <v/>
      </c>
      <c r="AL35">
        <f>IFERROR(_xlfn.XLOOKUP(AG35,'BCoISC-WACCbI'!$C$2:$C$26,'BCoISC-WACCbI'!$B$2:$B$26)+$AE$4,0.1)</f>
        <v/>
      </c>
      <c r="AM35">
        <f>IF(P35&gt;0,L35/P35/0.947817,0)</f>
        <v/>
      </c>
      <c r="AN35">
        <f>IF(AND(P35&gt;0,ISNUMBER(K35)),L35*K35*1000000*E35,0)</f>
        <v/>
      </c>
    </row>
    <row r="36">
      <c r="A36">
        <f>'Kermeli Data'!A43</f>
        <v/>
      </c>
      <c r="B36">
        <f>'Kermeli Data'!B43</f>
        <v/>
      </c>
      <c r="C36">
        <f>'Kermeli Data'!P43</f>
        <v/>
      </c>
      <c r="D36">
        <f>IF(C36="2 whr","whr",IF(C36="3 proc","process","EXCLUDED"))</f>
        <v/>
      </c>
      <c r="E36">
        <f>'Kermeli Data'!E43</f>
        <v/>
      </c>
      <c r="F36">
        <f>'Kermeli Data'!F43</f>
        <v/>
      </c>
      <c r="G36">
        <f>'Kermeli Data'!G43</f>
        <v/>
      </c>
      <c r="H36">
        <f>'Kermeli Data'!I43</f>
        <v/>
      </c>
      <c r="I36">
        <f>'Kermeli Data'!J43</f>
        <v/>
      </c>
      <c r="J36">
        <f>'Kermeli Data'!K43</f>
        <v/>
      </c>
      <c r="K36">
        <f>IFERROR(_xlfn.XLOOKUP(A36,'product map'!$A$14:$A$36,'product map'!$G$14:$G$36),"pending")</f>
        <v/>
      </c>
      <c r="L36">
        <f>H36*cpi!$B$12*cpi!$B$10</f>
        <v/>
      </c>
      <c r="M36">
        <f>J36*cpi!$B$12*cpi!$B$10</f>
        <v/>
      </c>
      <c r="N36">
        <f>IF(I36&gt;0,AL36/(1-(1+AL36)^-I36),"")</f>
        <v/>
      </c>
      <c r="O36">
        <f>L36*N36+M36</f>
        <v/>
      </c>
      <c r="P36">
        <f>MAX(F36,0)+MAX(G36,0)</f>
        <v/>
      </c>
      <c r="Q36">
        <f>IF(P36&gt;0,MAX(F36,0)/P36,0)</f>
        <v/>
      </c>
      <c r="R36">
        <f>IF(P36&gt;0,MAX(G36,0)/P36,0)</f>
        <v/>
      </c>
      <c r="S36">
        <f>IF(P36&gt;0,O36/P36,"")</f>
        <v/>
      </c>
      <c r="T36">
        <f>IF(P36&gt;0,S36/$AE$3,"")</f>
        <v/>
      </c>
      <c r="U36">
        <f>IF(AND(P36&gt;0,Q36&gt;0),T36,"")</f>
        <v/>
      </c>
      <c r="V36">
        <f>IF(AND(P36&gt;0,R36&gt;0),T36,"")</f>
        <v/>
      </c>
      <c r="W36">
        <f>IF(I36&gt;0,$AE$2/(1-(1+$AE$2)^-I36),"")</f>
        <v/>
      </c>
      <c r="X36">
        <f>L36*W36+M36</f>
        <v/>
      </c>
      <c r="Y36">
        <f>IF(P36&gt;0,(X36/P36)/$AE$3,"")</f>
        <v/>
      </c>
      <c r="Z36">
        <f>IF(AND(ISNUMBER(K36),Q36&gt;0),MAX(F36,0)*K36*1000000*E36,"pending")</f>
        <v/>
      </c>
      <c r="AA36">
        <f>IF(AND(ISNUMBER(K36),R36&gt;0),MAX(G36,0)*K36*1000000*E36,"pending")</f>
        <v/>
      </c>
      <c r="AB36">
        <f>IF(AND(ISNUMBER(S36),S36&lt;0),"NEG-CCE","")&amp;IF(NOT(ISNUMBER(K36)),"|pending tonnage","")</f>
        <v/>
      </c>
      <c r="AG36">
        <f>IFERROR(_xlfn.XLOOKUP(A36,'product map'!$A$14:$A$36,'product map'!$C$14:$C$36),"?")</f>
        <v/>
      </c>
      <c r="AH36">
        <f>IFERROR((Z36*0.000000947817)/_xlfn.XLOOKUP(AG36,'energy base (MECS)'!$K$4:$K$9,'energy base (MECS)'!$F$4:$F$9),0)</f>
        <v/>
      </c>
      <c r="AI36">
        <f>IFERROR((AA36*0.000000947817)/_xlfn.XLOOKUP(AG36,'energy base (MECS)'!$K$4:$K$9,'energy base (MECS)'!$I$4:$I$9),0)</f>
        <v/>
      </c>
      <c r="AJ36">
        <f>MAX(0.3*ABS(AK36),0.000001)</f>
        <v/>
      </c>
      <c r="AK36">
        <f>IF(ISNUMBER(T36),T36,0)</f>
        <v/>
      </c>
      <c r="AL36">
        <f>IFERROR(_xlfn.XLOOKUP(AG36,'BCoISC-WACCbI'!$C$2:$C$26,'BCoISC-WACCbI'!$B$2:$B$26)+$AE$4,0.1)</f>
        <v/>
      </c>
      <c r="AM36">
        <f>IF(P36&gt;0,L36/P36/0.947817,0)</f>
        <v/>
      </c>
      <c r="AN36">
        <f>IF(AND(P36&gt;0,ISNUMBER(K36)),L36*K36*1000000*E36,0)</f>
        <v/>
      </c>
    </row>
    <row r="37">
      <c r="A37">
        <f>'Kermeli Data'!A44</f>
        <v/>
      </c>
      <c r="B37">
        <f>'Kermeli Data'!B44</f>
        <v/>
      </c>
      <c r="C37">
        <f>'Kermeli Data'!P44</f>
        <v/>
      </c>
      <c r="D37">
        <f>IF(C37="2 whr","whr",IF(C37="3 proc","process","EXCLUDED"))</f>
        <v/>
      </c>
      <c r="E37">
        <f>'Kermeli Data'!E44</f>
        <v/>
      </c>
      <c r="F37">
        <f>'Kermeli Data'!F44</f>
        <v/>
      </c>
      <c r="G37">
        <f>'Kermeli Data'!G44</f>
        <v/>
      </c>
      <c r="H37">
        <f>'Kermeli Data'!I44</f>
        <v/>
      </c>
      <c r="I37">
        <f>'Kermeli Data'!J44</f>
        <v/>
      </c>
      <c r="J37">
        <f>'Kermeli Data'!K44</f>
        <v/>
      </c>
      <c r="K37">
        <f>IFERROR(_xlfn.XLOOKUP(A37,'product map'!$A$14:$A$36,'product map'!$G$14:$G$36),"pending")</f>
        <v/>
      </c>
      <c r="L37">
        <f>H37*cpi!$B$12*cpi!$B$10</f>
        <v/>
      </c>
      <c r="M37">
        <f>J37*cpi!$B$12*cpi!$B$10</f>
        <v/>
      </c>
      <c r="N37">
        <f>IF(I37&gt;0,AL37/(1-(1+AL37)^-I37),"")</f>
        <v/>
      </c>
      <c r="O37">
        <f>L37*N37+M37</f>
        <v/>
      </c>
      <c r="P37">
        <f>MAX(F37,0)+MAX(G37,0)</f>
        <v/>
      </c>
      <c r="Q37">
        <f>IF(P37&gt;0,MAX(F37,0)/P37,0)</f>
        <v/>
      </c>
      <c r="R37">
        <f>IF(P37&gt;0,MAX(G37,0)/P37,0)</f>
        <v/>
      </c>
      <c r="S37">
        <f>IF(P37&gt;0,O37/P37,"")</f>
        <v/>
      </c>
      <c r="T37">
        <f>IF(P37&gt;0,S37/$AE$3,"")</f>
        <v/>
      </c>
      <c r="U37">
        <f>IF(AND(P37&gt;0,Q37&gt;0),T37,"")</f>
        <v/>
      </c>
      <c r="V37">
        <f>IF(AND(P37&gt;0,R37&gt;0),T37,"")</f>
        <v/>
      </c>
      <c r="W37">
        <f>IF(I37&gt;0,$AE$2/(1-(1+$AE$2)^-I37),"")</f>
        <v/>
      </c>
      <c r="X37">
        <f>L37*W37+M37</f>
        <v/>
      </c>
      <c r="Y37">
        <f>IF(P37&gt;0,(X37/P37)/$AE$3,"")</f>
        <v/>
      </c>
      <c r="Z37">
        <f>IF(AND(ISNUMBER(K37),Q37&gt;0),MAX(F37,0)*K37*1000000*E37,"pending")</f>
        <v/>
      </c>
      <c r="AA37">
        <f>IF(AND(ISNUMBER(K37),R37&gt;0),MAX(G37,0)*K37*1000000*E37,"pending")</f>
        <v/>
      </c>
      <c r="AB37">
        <f>IF(AND(ISNUMBER(S37),S37&lt;0),"NEG-CCE","")&amp;IF(NOT(ISNUMBER(K37)),"|pending tonnage","")</f>
        <v/>
      </c>
      <c r="AG37">
        <f>IFERROR(_xlfn.XLOOKUP(A37,'product map'!$A$14:$A$36,'product map'!$C$14:$C$36),"?")</f>
        <v/>
      </c>
      <c r="AH37">
        <f>IFERROR((Z37*0.000000947817)/_xlfn.XLOOKUP(AG37,'energy base (MECS)'!$K$4:$K$9,'energy base (MECS)'!$F$4:$F$9),0)</f>
        <v/>
      </c>
      <c r="AI37">
        <f>IFERROR((AA37*0.000000947817)/_xlfn.XLOOKUP(AG37,'energy base (MECS)'!$K$4:$K$9,'energy base (MECS)'!$I$4:$I$9),0)</f>
        <v/>
      </c>
      <c r="AJ37">
        <f>MAX(0.3*ABS(AK37),0.000001)</f>
        <v/>
      </c>
      <c r="AK37">
        <f>IF(ISNUMBER(T37),T37,0)</f>
        <v/>
      </c>
      <c r="AL37">
        <f>IFERROR(_xlfn.XLOOKUP(AG37,'BCoISC-WACCbI'!$C$2:$C$26,'BCoISC-WACCbI'!$B$2:$B$26)+$AE$4,0.1)</f>
        <v/>
      </c>
      <c r="AM37">
        <f>IF(P37&gt;0,L37/P37/0.947817,0)</f>
        <v/>
      </c>
      <c r="AN37">
        <f>IF(AND(P37&gt;0,ISNUMBER(K37)),L37*K37*1000000*E37,0)</f>
        <v/>
      </c>
    </row>
    <row r="38">
      <c r="A38">
        <f>'Kermeli Data'!A45</f>
        <v/>
      </c>
      <c r="B38">
        <f>'Kermeli Data'!B45</f>
        <v/>
      </c>
      <c r="C38">
        <f>'Kermeli Data'!P45</f>
        <v/>
      </c>
      <c r="D38">
        <f>IF(C38="2 whr","whr",IF(C38="3 proc","process","EXCLUDED"))</f>
        <v/>
      </c>
      <c r="E38">
        <f>'Kermeli Data'!E45</f>
        <v/>
      </c>
      <c r="F38">
        <f>'Kermeli Data'!F45</f>
        <v/>
      </c>
      <c r="G38">
        <f>'Kermeli Data'!G45</f>
        <v/>
      </c>
      <c r="H38">
        <f>'Kermeli Data'!I45</f>
        <v/>
      </c>
      <c r="I38">
        <f>'Kermeli Data'!J45</f>
        <v/>
      </c>
      <c r="J38">
        <f>'Kermeli Data'!K45</f>
        <v/>
      </c>
      <c r="K38">
        <f>IFERROR(_xlfn.XLOOKUP(A38,'product map'!$A$14:$A$36,'product map'!$G$14:$G$36),"pending")</f>
        <v/>
      </c>
      <c r="L38">
        <f>H38*cpi!$B$12*cpi!$B$10</f>
        <v/>
      </c>
      <c r="M38">
        <f>J38*cpi!$B$12*cpi!$B$10</f>
        <v/>
      </c>
      <c r="N38">
        <f>IF(I38&gt;0,AL38/(1-(1+AL38)^-I38),"")</f>
        <v/>
      </c>
      <c r="O38">
        <f>L38*N38+M38</f>
        <v/>
      </c>
      <c r="P38">
        <f>MAX(F38,0)+MAX(G38,0)</f>
        <v/>
      </c>
      <c r="Q38">
        <f>IF(P38&gt;0,MAX(F38,0)/P38,0)</f>
        <v/>
      </c>
      <c r="R38">
        <f>IF(P38&gt;0,MAX(G38,0)/P38,0)</f>
        <v/>
      </c>
      <c r="S38">
        <f>IF(P38&gt;0,O38/P38,"")</f>
        <v/>
      </c>
      <c r="T38">
        <f>IF(P38&gt;0,S38/$AE$3,"")</f>
        <v/>
      </c>
      <c r="U38">
        <f>IF(AND(P38&gt;0,Q38&gt;0),T38,"")</f>
        <v/>
      </c>
      <c r="V38">
        <f>IF(AND(P38&gt;0,R38&gt;0),T38,"")</f>
        <v/>
      </c>
      <c r="W38">
        <f>IF(I38&gt;0,$AE$2/(1-(1+$AE$2)^-I38),"")</f>
        <v/>
      </c>
      <c r="X38">
        <f>L38*W38+M38</f>
        <v/>
      </c>
      <c r="Y38">
        <f>IF(P38&gt;0,(X38/P38)/$AE$3,"")</f>
        <v/>
      </c>
      <c r="Z38">
        <f>IF(AND(ISNUMBER(K38),Q38&gt;0),MAX(F38,0)*K38*1000000*E38,"pending")</f>
        <v/>
      </c>
      <c r="AA38">
        <f>IF(AND(ISNUMBER(K38),R38&gt;0),MAX(G38,0)*K38*1000000*E38,"pending")</f>
        <v/>
      </c>
      <c r="AB38">
        <f>IF(AND(ISNUMBER(S38),S38&lt;0),"NEG-CCE","")&amp;IF(NOT(ISNUMBER(K38)),"|pending tonnage","")</f>
        <v/>
      </c>
      <c r="AG38">
        <f>IFERROR(_xlfn.XLOOKUP(A38,'product map'!$A$14:$A$36,'product map'!$C$14:$C$36),"?")</f>
        <v/>
      </c>
      <c r="AH38">
        <f>IFERROR((Z38*0.000000947817)/_xlfn.XLOOKUP(AG38,'energy base (MECS)'!$K$4:$K$9,'energy base (MECS)'!$F$4:$F$9),0)</f>
        <v/>
      </c>
      <c r="AI38">
        <f>IFERROR((AA38*0.000000947817)/_xlfn.XLOOKUP(AG38,'energy base (MECS)'!$K$4:$K$9,'energy base (MECS)'!$I$4:$I$9),0)</f>
        <v/>
      </c>
      <c r="AJ38">
        <f>MAX(0.3*ABS(AK38),0.000001)</f>
        <v/>
      </c>
      <c r="AK38">
        <f>IF(ISNUMBER(T38),T38,0)</f>
        <v/>
      </c>
      <c r="AL38">
        <f>IFERROR(_xlfn.XLOOKUP(AG38,'BCoISC-WACCbI'!$C$2:$C$26,'BCoISC-WACCbI'!$B$2:$B$26)+$AE$4,0.1)</f>
        <v/>
      </c>
      <c r="AM38">
        <f>IF(P38&gt;0,L38/P38/0.947817,0)</f>
        <v/>
      </c>
      <c r="AN38">
        <f>IF(AND(P38&gt;0,ISNUMBER(K38)),L38*K38*1000000*E38,0)</f>
        <v/>
      </c>
    </row>
    <row r="39">
      <c r="A39">
        <f>'Kermeli Data'!A46</f>
        <v/>
      </c>
      <c r="B39">
        <f>'Kermeli Data'!B46</f>
        <v/>
      </c>
      <c r="C39">
        <f>'Kermeli Data'!P46</f>
        <v/>
      </c>
      <c r="D39">
        <f>IF(C39="2 whr","whr",IF(C39="3 proc","process","EXCLUDED"))</f>
        <v/>
      </c>
      <c r="E39">
        <f>'Kermeli Data'!E46</f>
        <v/>
      </c>
      <c r="F39">
        <f>'Kermeli Data'!F46</f>
        <v/>
      </c>
      <c r="G39">
        <f>'Kermeli Data'!G46</f>
        <v/>
      </c>
      <c r="H39">
        <f>'Kermeli Data'!I46</f>
        <v/>
      </c>
      <c r="I39">
        <f>'Kermeli Data'!J46</f>
        <v/>
      </c>
      <c r="J39">
        <f>'Kermeli Data'!K46</f>
        <v/>
      </c>
      <c r="K39">
        <f>IFERROR(_xlfn.XLOOKUP(A39,'product map'!$A$14:$A$36,'product map'!$G$14:$G$36),"pending")</f>
        <v/>
      </c>
      <c r="L39">
        <f>H39*cpi!$B$12*cpi!$B$10</f>
        <v/>
      </c>
      <c r="M39">
        <f>J39*cpi!$B$12*cpi!$B$10</f>
        <v/>
      </c>
      <c r="N39">
        <f>IF(I39&gt;0,AL39/(1-(1+AL39)^-I39),"")</f>
        <v/>
      </c>
      <c r="O39">
        <f>L39*N39+M39</f>
        <v/>
      </c>
      <c r="P39">
        <f>MAX(F39,0)+MAX(G39,0)</f>
        <v/>
      </c>
      <c r="Q39">
        <f>IF(P39&gt;0,MAX(F39,0)/P39,0)</f>
        <v/>
      </c>
      <c r="R39">
        <f>IF(P39&gt;0,MAX(G39,0)/P39,0)</f>
        <v/>
      </c>
      <c r="S39">
        <f>IF(P39&gt;0,O39/P39,"")</f>
        <v/>
      </c>
      <c r="T39">
        <f>IF(P39&gt;0,S39/$AE$3,"")</f>
        <v/>
      </c>
      <c r="U39">
        <f>IF(AND(P39&gt;0,Q39&gt;0),T39,"")</f>
        <v/>
      </c>
      <c r="V39">
        <f>IF(AND(P39&gt;0,R39&gt;0),T39,"")</f>
        <v/>
      </c>
      <c r="W39">
        <f>IF(I39&gt;0,$AE$2/(1-(1+$AE$2)^-I39),"")</f>
        <v/>
      </c>
      <c r="X39">
        <f>L39*W39+M39</f>
        <v/>
      </c>
      <c r="Y39">
        <f>IF(P39&gt;0,(X39/P39)/$AE$3,"")</f>
        <v/>
      </c>
      <c r="Z39">
        <f>IF(AND(ISNUMBER(K39),Q39&gt;0),MAX(F39,0)*K39*1000000*E39,"pending")</f>
        <v/>
      </c>
      <c r="AA39">
        <f>IF(AND(ISNUMBER(K39),R39&gt;0),MAX(G39,0)*K39*1000000*E39,"pending")</f>
        <v/>
      </c>
      <c r="AB39">
        <f>IF(AND(ISNUMBER(S39),S39&lt;0),"NEG-CCE","")&amp;IF(NOT(ISNUMBER(K39)),"|pending tonnage","")</f>
        <v/>
      </c>
      <c r="AG39">
        <f>IFERROR(_xlfn.XLOOKUP(A39,'product map'!$A$14:$A$36,'product map'!$C$14:$C$36),"?")</f>
        <v/>
      </c>
      <c r="AH39">
        <f>IFERROR((Z39*0.000000947817)/_xlfn.XLOOKUP(AG39,'energy base (MECS)'!$K$4:$K$9,'energy base (MECS)'!$F$4:$F$9),0)</f>
        <v/>
      </c>
      <c r="AI39">
        <f>IFERROR((AA39*0.000000947817)/_xlfn.XLOOKUP(AG39,'energy base (MECS)'!$K$4:$K$9,'energy base (MECS)'!$I$4:$I$9),0)</f>
        <v/>
      </c>
      <c r="AJ39">
        <f>MAX(0.3*ABS(AK39),0.000001)</f>
        <v/>
      </c>
      <c r="AK39">
        <f>IF(ISNUMBER(T39),T39,0)</f>
        <v/>
      </c>
      <c r="AL39">
        <f>IFERROR(_xlfn.XLOOKUP(AG39,'BCoISC-WACCbI'!$C$2:$C$26,'BCoISC-WACCbI'!$B$2:$B$26)+$AE$4,0.1)</f>
        <v/>
      </c>
      <c r="AM39">
        <f>IF(P39&gt;0,L39/P39/0.947817,0)</f>
        <v/>
      </c>
      <c r="AN39">
        <f>IF(AND(P39&gt;0,ISNUMBER(K39)),L39*K39*1000000*E39,0)</f>
        <v/>
      </c>
    </row>
    <row r="40">
      <c r="A40">
        <f>'Kermeli Data'!A47</f>
        <v/>
      </c>
      <c r="B40">
        <f>'Kermeli Data'!B47</f>
        <v/>
      </c>
      <c r="C40">
        <f>'Kermeli Data'!P47</f>
        <v/>
      </c>
      <c r="D40">
        <f>IF(C40="2 whr","whr",IF(C40="3 proc","process","EXCLUDED"))</f>
        <v/>
      </c>
      <c r="E40">
        <f>'Kermeli Data'!E47</f>
        <v/>
      </c>
      <c r="F40">
        <f>'Kermeli Data'!F47</f>
        <v/>
      </c>
      <c r="G40">
        <f>'Kermeli Data'!G47</f>
        <v/>
      </c>
      <c r="H40">
        <f>'Kermeli Data'!I47</f>
        <v/>
      </c>
      <c r="I40">
        <f>'Kermeli Data'!J47</f>
        <v/>
      </c>
      <c r="J40">
        <f>'Kermeli Data'!K47</f>
        <v/>
      </c>
      <c r="K40">
        <f>IFERROR(_xlfn.XLOOKUP(A40,'product map'!$A$14:$A$36,'product map'!$G$14:$G$36),"pending")</f>
        <v/>
      </c>
      <c r="L40">
        <f>H40*cpi!$B$12*cpi!$B$10</f>
        <v/>
      </c>
      <c r="M40">
        <f>J40*cpi!$B$12*cpi!$B$10</f>
        <v/>
      </c>
      <c r="N40">
        <f>IF(I40&gt;0,AL40/(1-(1+AL40)^-I40),"")</f>
        <v/>
      </c>
      <c r="O40">
        <f>L40*N40+M40</f>
        <v/>
      </c>
      <c r="P40">
        <f>MAX(F40,0)+MAX(G40,0)</f>
        <v/>
      </c>
      <c r="Q40">
        <f>IF(P40&gt;0,MAX(F40,0)/P40,0)</f>
        <v/>
      </c>
      <c r="R40">
        <f>IF(P40&gt;0,MAX(G40,0)/P40,0)</f>
        <v/>
      </c>
      <c r="S40">
        <f>IF(P40&gt;0,O40/P40,"")</f>
        <v/>
      </c>
      <c r="T40">
        <f>IF(P40&gt;0,S40/$AE$3,"")</f>
        <v/>
      </c>
      <c r="U40">
        <f>IF(AND(P40&gt;0,Q40&gt;0),T40,"")</f>
        <v/>
      </c>
      <c r="V40">
        <f>IF(AND(P40&gt;0,R40&gt;0),T40,"")</f>
        <v/>
      </c>
      <c r="W40">
        <f>IF(I40&gt;0,$AE$2/(1-(1+$AE$2)^-I40),"")</f>
        <v/>
      </c>
      <c r="X40">
        <f>L40*W40+M40</f>
        <v/>
      </c>
      <c r="Y40">
        <f>IF(P40&gt;0,(X40/P40)/$AE$3,"")</f>
        <v/>
      </c>
      <c r="Z40">
        <f>IF(AND(ISNUMBER(K40),Q40&gt;0),MAX(F40,0)*K40*1000000*E40,"pending")</f>
        <v/>
      </c>
      <c r="AA40">
        <f>IF(AND(ISNUMBER(K40),R40&gt;0),MAX(G40,0)*K40*1000000*E40,"pending")</f>
        <v/>
      </c>
      <c r="AB40">
        <f>IF(AND(ISNUMBER(S40),S40&lt;0),"NEG-CCE","")&amp;IF(NOT(ISNUMBER(K40)),"|pending tonnage","")</f>
        <v/>
      </c>
      <c r="AG40">
        <f>IFERROR(_xlfn.XLOOKUP(A40,'product map'!$A$14:$A$36,'product map'!$C$14:$C$36),"?")</f>
        <v/>
      </c>
      <c r="AH40">
        <f>IFERROR((Z40*0.000000947817)/_xlfn.XLOOKUP(AG40,'energy base (MECS)'!$K$4:$K$9,'energy base (MECS)'!$F$4:$F$9),0)</f>
        <v/>
      </c>
      <c r="AI40">
        <f>IFERROR((AA40*0.000000947817)/_xlfn.XLOOKUP(AG40,'energy base (MECS)'!$K$4:$K$9,'energy base (MECS)'!$I$4:$I$9),0)</f>
        <v/>
      </c>
      <c r="AJ40">
        <f>MAX(0.3*ABS(AK40),0.000001)</f>
        <v/>
      </c>
      <c r="AK40">
        <f>IF(ISNUMBER(T40),T40,0)</f>
        <v/>
      </c>
      <c r="AL40">
        <f>IFERROR(_xlfn.XLOOKUP(AG40,'BCoISC-WACCbI'!$C$2:$C$26,'BCoISC-WACCbI'!$B$2:$B$26)+$AE$4,0.1)</f>
        <v/>
      </c>
      <c r="AM40">
        <f>IF(P40&gt;0,L40/P40/0.947817,0)</f>
        <v/>
      </c>
      <c r="AN40">
        <f>IF(AND(P40&gt;0,ISNUMBER(K40)),L40*K40*1000000*E40,0)</f>
        <v/>
      </c>
    </row>
    <row r="41">
      <c r="A41">
        <f>'Kermeli Data'!A48</f>
        <v/>
      </c>
      <c r="B41">
        <f>'Kermeli Data'!B48</f>
        <v/>
      </c>
      <c r="C41">
        <f>'Kermeli Data'!P48</f>
        <v/>
      </c>
      <c r="D41">
        <f>IF(C41="2 whr","whr",IF(C41="3 proc","process","EXCLUDED"))</f>
        <v/>
      </c>
      <c r="E41">
        <f>'Kermeli Data'!E48</f>
        <v/>
      </c>
      <c r="F41">
        <f>'Kermeli Data'!F48</f>
        <v/>
      </c>
      <c r="G41">
        <f>'Kermeli Data'!G48</f>
        <v/>
      </c>
      <c r="H41">
        <f>'Kermeli Data'!I48</f>
        <v/>
      </c>
      <c r="I41">
        <f>'Kermeli Data'!J48</f>
        <v/>
      </c>
      <c r="J41">
        <f>'Kermeli Data'!K48</f>
        <v/>
      </c>
      <c r="K41">
        <f>IFERROR(_xlfn.XLOOKUP(A41,'product map'!$A$14:$A$36,'product map'!$G$14:$G$36),"pending")</f>
        <v/>
      </c>
      <c r="L41">
        <f>H41*cpi!$B$12*cpi!$B$10</f>
        <v/>
      </c>
      <c r="M41">
        <f>J41*cpi!$B$12*cpi!$B$10</f>
        <v/>
      </c>
      <c r="N41">
        <f>IF(I41&gt;0,AL41/(1-(1+AL41)^-I41),"")</f>
        <v/>
      </c>
      <c r="O41">
        <f>L41*N41+M41</f>
        <v/>
      </c>
      <c r="P41">
        <f>MAX(F41,0)+MAX(G41,0)</f>
        <v/>
      </c>
      <c r="Q41">
        <f>IF(P41&gt;0,MAX(F41,0)/P41,0)</f>
        <v/>
      </c>
      <c r="R41">
        <f>IF(P41&gt;0,MAX(G41,0)/P41,0)</f>
        <v/>
      </c>
      <c r="S41">
        <f>IF(P41&gt;0,O41/P41,"")</f>
        <v/>
      </c>
      <c r="T41">
        <f>IF(P41&gt;0,S41/$AE$3,"")</f>
        <v/>
      </c>
      <c r="U41">
        <f>IF(AND(P41&gt;0,Q41&gt;0),T41,"")</f>
        <v/>
      </c>
      <c r="V41">
        <f>IF(AND(P41&gt;0,R41&gt;0),T41,"")</f>
        <v/>
      </c>
      <c r="W41">
        <f>IF(I41&gt;0,$AE$2/(1-(1+$AE$2)^-I41),"")</f>
        <v/>
      </c>
      <c r="X41">
        <f>L41*W41+M41</f>
        <v/>
      </c>
      <c r="Y41">
        <f>IF(P41&gt;0,(X41/P41)/$AE$3,"")</f>
        <v/>
      </c>
      <c r="Z41">
        <f>IF(AND(ISNUMBER(K41),Q41&gt;0),MAX(F41,0)*K41*1000000*E41,"pending")</f>
        <v/>
      </c>
      <c r="AA41">
        <f>IF(AND(ISNUMBER(K41),R41&gt;0),MAX(G41,0)*K41*1000000*E41,"pending")</f>
        <v/>
      </c>
      <c r="AB41">
        <f>IF(AND(ISNUMBER(S41),S41&lt;0),"NEG-CCE","")&amp;IF(NOT(ISNUMBER(K41)),"|pending tonnage","")</f>
        <v/>
      </c>
      <c r="AG41">
        <f>IFERROR(_xlfn.XLOOKUP(A41,'product map'!$A$14:$A$36,'product map'!$C$14:$C$36),"?")</f>
        <v/>
      </c>
      <c r="AH41">
        <f>IFERROR((Z41*0.000000947817)/_xlfn.XLOOKUP(AG41,'energy base (MECS)'!$K$4:$K$9,'energy base (MECS)'!$F$4:$F$9),0)</f>
        <v/>
      </c>
      <c r="AI41">
        <f>IFERROR((AA41*0.000000947817)/_xlfn.XLOOKUP(AG41,'energy base (MECS)'!$K$4:$K$9,'energy base (MECS)'!$I$4:$I$9),0)</f>
        <v/>
      </c>
      <c r="AJ41">
        <f>MAX(0.3*ABS(AK41),0.000001)</f>
        <v/>
      </c>
      <c r="AK41">
        <f>IF(ISNUMBER(T41),T41,0)</f>
        <v/>
      </c>
      <c r="AL41">
        <f>IFERROR(_xlfn.XLOOKUP(AG41,'BCoISC-WACCbI'!$C$2:$C$26,'BCoISC-WACCbI'!$B$2:$B$26)+$AE$4,0.1)</f>
        <v/>
      </c>
      <c r="AM41">
        <f>IF(P41&gt;0,L41/P41/0.947817,0)</f>
        <v/>
      </c>
      <c r="AN41">
        <f>IF(AND(P41&gt;0,ISNUMBER(K41)),L41*K41*1000000*E41,0)</f>
        <v/>
      </c>
    </row>
    <row r="42">
      <c r="A42">
        <f>'Kermeli Data'!A49</f>
        <v/>
      </c>
      <c r="B42">
        <f>'Kermeli Data'!B49</f>
        <v/>
      </c>
      <c r="C42">
        <f>'Kermeli Data'!P49</f>
        <v/>
      </c>
      <c r="D42">
        <f>IF(C42="2 whr","whr",IF(C42="3 proc","process","EXCLUDED"))</f>
        <v/>
      </c>
      <c r="E42">
        <f>'Kermeli Data'!E49</f>
        <v/>
      </c>
      <c r="F42">
        <f>'Kermeli Data'!F49</f>
        <v/>
      </c>
      <c r="G42">
        <f>'Kermeli Data'!G49</f>
        <v/>
      </c>
      <c r="H42">
        <f>'Kermeli Data'!I49</f>
        <v/>
      </c>
      <c r="I42">
        <f>'Kermeli Data'!J49</f>
        <v/>
      </c>
      <c r="J42">
        <f>'Kermeli Data'!K49</f>
        <v/>
      </c>
      <c r="K42">
        <f>IFERROR(_xlfn.XLOOKUP(A42,'product map'!$A$14:$A$36,'product map'!$G$14:$G$36),"pending")</f>
        <v/>
      </c>
      <c r="L42">
        <f>H42*cpi!$B$12*cpi!$B$10</f>
        <v/>
      </c>
      <c r="M42">
        <f>J42*cpi!$B$12*cpi!$B$10</f>
        <v/>
      </c>
      <c r="N42">
        <f>IF(I42&gt;0,AL42/(1-(1+AL42)^-I42),"")</f>
        <v/>
      </c>
      <c r="O42">
        <f>L42*N42+M42</f>
        <v/>
      </c>
      <c r="P42">
        <f>MAX(F42,0)+MAX(G42,0)</f>
        <v/>
      </c>
      <c r="Q42">
        <f>IF(P42&gt;0,MAX(F42,0)/P42,0)</f>
        <v/>
      </c>
      <c r="R42">
        <f>IF(P42&gt;0,MAX(G42,0)/P42,0)</f>
        <v/>
      </c>
      <c r="S42">
        <f>IF(P42&gt;0,O42/P42,"")</f>
        <v/>
      </c>
      <c r="T42">
        <f>IF(P42&gt;0,S42/$AE$3,"")</f>
        <v/>
      </c>
      <c r="U42">
        <f>IF(AND(P42&gt;0,Q42&gt;0),T42,"")</f>
        <v/>
      </c>
      <c r="V42">
        <f>IF(AND(P42&gt;0,R42&gt;0),T42,"")</f>
        <v/>
      </c>
      <c r="W42">
        <f>IF(I42&gt;0,$AE$2/(1-(1+$AE$2)^-I42),"")</f>
        <v/>
      </c>
      <c r="X42">
        <f>L42*W42+M42</f>
        <v/>
      </c>
      <c r="Y42">
        <f>IF(P42&gt;0,(X42/P42)/$AE$3,"")</f>
        <v/>
      </c>
      <c r="Z42">
        <f>IF(AND(ISNUMBER(K42),Q42&gt;0),MAX(F42,0)*K42*1000000*E42,"pending")</f>
        <v/>
      </c>
      <c r="AA42">
        <f>IF(AND(ISNUMBER(K42),R42&gt;0),MAX(G42,0)*K42*1000000*E42,"pending")</f>
        <v/>
      </c>
      <c r="AB42">
        <f>IF(AND(ISNUMBER(S42),S42&lt;0),"NEG-CCE","")&amp;IF(NOT(ISNUMBER(K42)),"|pending tonnage","")</f>
        <v/>
      </c>
      <c r="AG42">
        <f>IFERROR(_xlfn.XLOOKUP(A42,'product map'!$A$14:$A$36,'product map'!$C$14:$C$36),"?")</f>
        <v/>
      </c>
      <c r="AH42">
        <f>IFERROR((Z42*0.000000947817)/_xlfn.XLOOKUP(AG42,'energy base (MECS)'!$K$4:$K$9,'energy base (MECS)'!$F$4:$F$9),0)</f>
        <v/>
      </c>
      <c r="AI42">
        <f>IFERROR((AA42*0.000000947817)/_xlfn.XLOOKUP(AG42,'energy base (MECS)'!$K$4:$K$9,'energy base (MECS)'!$I$4:$I$9),0)</f>
        <v/>
      </c>
      <c r="AJ42">
        <f>MAX(0.3*ABS(AK42),0.000001)</f>
        <v/>
      </c>
      <c r="AK42">
        <f>IF(ISNUMBER(T42),T42,0)</f>
        <v/>
      </c>
      <c r="AL42">
        <f>IFERROR(_xlfn.XLOOKUP(AG42,'BCoISC-WACCbI'!$C$2:$C$26,'BCoISC-WACCbI'!$B$2:$B$26)+$AE$4,0.1)</f>
        <v/>
      </c>
      <c r="AM42">
        <f>IF(P42&gt;0,L42/P42/0.947817,0)</f>
        <v/>
      </c>
      <c r="AN42">
        <f>IF(AND(P42&gt;0,ISNUMBER(K42)),L42*K42*1000000*E42,0)</f>
        <v/>
      </c>
    </row>
    <row r="43">
      <c r="A43">
        <f>'Kermeli Data'!A50</f>
        <v/>
      </c>
      <c r="B43">
        <f>'Kermeli Data'!B50</f>
        <v/>
      </c>
      <c r="C43">
        <f>'Kermeli Data'!P50</f>
        <v/>
      </c>
      <c r="D43">
        <f>IF(C43="2 whr","whr",IF(C43="3 proc","process","EXCLUDED"))</f>
        <v/>
      </c>
      <c r="E43">
        <f>'Kermeli Data'!E50</f>
        <v/>
      </c>
      <c r="F43">
        <f>'Kermeli Data'!F50</f>
        <v/>
      </c>
      <c r="G43">
        <f>'Kermeli Data'!G50</f>
        <v/>
      </c>
      <c r="H43">
        <f>'Kermeli Data'!I50</f>
        <v/>
      </c>
      <c r="I43">
        <f>'Kermeli Data'!J50</f>
        <v/>
      </c>
      <c r="J43">
        <f>'Kermeli Data'!K50</f>
        <v/>
      </c>
      <c r="K43">
        <f>IFERROR(_xlfn.XLOOKUP(A43,'product map'!$A$14:$A$36,'product map'!$G$14:$G$36),"pending")</f>
        <v/>
      </c>
      <c r="L43">
        <f>H43*cpi!$B$12*cpi!$B$10</f>
        <v/>
      </c>
      <c r="M43">
        <f>J43*cpi!$B$12*cpi!$B$10</f>
        <v/>
      </c>
      <c r="N43">
        <f>IF(I43&gt;0,AL43/(1-(1+AL43)^-I43),"")</f>
        <v/>
      </c>
      <c r="O43">
        <f>L43*N43+M43</f>
        <v/>
      </c>
      <c r="P43">
        <f>MAX(F43,0)+MAX(G43,0)</f>
        <v/>
      </c>
      <c r="Q43">
        <f>IF(P43&gt;0,MAX(F43,0)/P43,0)</f>
        <v/>
      </c>
      <c r="R43">
        <f>IF(P43&gt;0,MAX(G43,0)/P43,0)</f>
        <v/>
      </c>
      <c r="S43">
        <f>IF(P43&gt;0,O43/P43,"")</f>
        <v/>
      </c>
      <c r="T43">
        <f>IF(P43&gt;0,S43/$AE$3,"")</f>
        <v/>
      </c>
      <c r="U43">
        <f>IF(AND(P43&gt;0,Q43&gt;0),T43,"")</f>
        <v/>
      </c>
      <c r="V43">
        <f>IF(AND(P43&gt;0,R43&gt;0),T43,"")</f>
        <v/>
      </c>
      <c r="W43">
        <f>IF(I43&gt;0,$AE$2/(1-(1+$AE$2)^-I43),"")</f>
        <v/>
      </c>
      <c r="X43">
        <f>L43*W43+M43</f>
        <v/>
      </c>
      <c r="Y43">
        <f>IF(P43&gt;0,(X43/P43)/$AE$3,"")</f>
        <v/>
      </c>
      <c r="Z43">
        <f>IF(AND(ISNUMBER(K43),Q43&gt;0),MAX(F43,0)*K43*1000000*E43,"pending")</f>
        <v/>
      </c>
      <c r="AA43">
        <f>IF(AND(ISNUMBER(K43),R43&gt;0),MAX(G43,0)*K43*1000000*E43,"pending")</f>
        <v/>
      </c>
      <c r="AB43">
        <f>IF(AND(ISNUMBER(S43),S43&lt;0),"NEG-CCE","")&amp;IF(NOT(ISNUMBER(K43)),"|pending tonnage","")</f>
        <v/>
      </c>
      <c r="AG43">
        <f>IFERROR(_xlfn.XLOOKUP(A43,'product map'!$A$14:$A$36,'product map'!$C$14:$C$36),"?")</f>
        <v/>
      </c>
      <c r="AH43">
        <f>IFERROR((Z43*0.000000947817)/_xlfn.XLOOKUP(AG43,'energy base (MECS)'!$K$4:$K$9,'energy base (MECS)'!$F$4:$F$9),0)</f>
        <v/>
      </c>
      <c r="AI43">
        <f>IFERROR((AA43*0.000000947817)/_xlfn.XLOOKUP(AG43,'energy base (MECS)'!$K$4:$K$9,'energy base (MECS)'!$I$4:$I$9),0)</f>
        <v/>
      </c>
      <c r="AJ43">
        <f>MAX(0.3*ABS(AK43),0.000001)</f>
        <v/>
      </c>
      <c r="AK43">
        <f>IF(ISNUMBER(T43),T43,0)</f>
        <v/>
      </c>
      <c r="AL43">
        <f>IFERROR(_xlfn.XLOOKUP(AG43,'BCoISC-WACCbI'!$C$2:$C$26,'BCoISC-WACCbI'!$B$2:$B$26)+$AE$4,0.1)</f>
        <v/>
      </c>
      <c r="AM43">
        <f>IF(P43&gt;0,L43/P43/0.947817,0)</f>
        <v/>
      </c>
      <c r="AN43">
        <f>IF(AND(P43&gt;0,ISNUMBER(K43)),L43*K43*1000000*E43,0)</f>
        <v/>
      </c>
    </row>
    <row r="44">
      <c r="A44">
        <f>'Kermeli Data'!A51</f>
        <v/>
      </c>
      <c r="B44">
        <f>'Kermeli Data'!B51</f>
        <v/>
      </c>
      <c r="C44">
        <f>'Kermeli Data'!P51</f>
        <v/>
      </c>
      <c r="D44">
        <f>IF(C44="2 whr","whr",IF(C44="3 proc","process","EXCLUDED"))</f>
        <v/>
      </c>
      <c r="E44">
        <f>'Kermeli Data'!E51</f>
        <v/>
      </c>
      <c r="F44">
        <f>'Kermeli Data'!F51</f>
        <v/>
      </c>
      <c r="G44">
        <f>'Kermeli Data'!G51</f>
        <v/>
      </c>
      <c r="H44">
        <f>'Kermeli Data'!I51</f>
        <v/>
      </c>
      <c r="I44">
        <f>'Kermeli Data'!J51</f>
        <v/>
      </c>
      <c r="J44">
        <f>'Kermeli Data'!K51</f>
        <v/>
      </c>
      <c r="K44">
        <f>IFERROR(_xlfn.XLOOKUP(A44,'product map'!$A$14:$A$36,'product map'!$G$14:$G$36),"pending")</f>
        <v/>
      </c>
      <c r="L44">
        <f>H44*cpi!$B$12*cpi!$B$10</f>
        <v/>
      </c>
      <c r="M44">
        <f>J44*cpi!$B$12*cpi!$B$10</f>
        <v/>
      </c>
      <c r="N44">
        <f>IF(I44&gt;0,AL44/(1-(1+AL44)^-I44),"")</f>
        <v/>
      </c>
      <c r="O44">
        <f>L44*N44+M44</f>
        <v/>
      </c>
      <c r="P44">
        <f>MAX(F44,0)+MAX(G44,0)</f>
        <v/>
      </c>
      <c r="Q44">
        <f>IF(P44&gt;0,MAX(F44,0)/P44,0)</f>
        <v/>
      </c>
      <c r="R44">
        <f>IF(P44&gt;0,MAX(G44,0)/P44,0)</f>
        <v/>
      </c>
      <c r="S44">
        <f>IF(P44&gt;0,O44/P44,"")</f>
        <v/>
      </c>
      <c r="T44">
        <f>IF(P44&gt;0,S44/$AE$3,"")</f>
        <v/>
      </c>
      <c r="U44">
        <f>IF(AND(P44&gt;0,Q44&gt;0),T44,"")</f>
        <v/>
      </c>
      <c r="V44">
        <f>IF(AND(P44&gt;0,R44&gt;0),T44,"")</f>
        <v/>
      </c>
      <c r="W44">
        <f>IF(I44&gt;0,$AE$2/(1-(1+$AE$2)^-I44),"")</f>
        <v/>
      </c>
      <c r="X44">
        <f>L44*W44+M44</f>
        <v/>
      </c>
      <c r="Y44">
        <f>IF(P44&gt;0,(X44/P44)/$AE$3,"")</f>
        <v/>
      </c>
      <c r="Z44">
        <f>IF(AND(ISNUMBER(K44),Q44&gt;0),MAX(F44,0)*K44*1000000*E44,"pending")</f>
        <v/>
      </c>
      <c r="AA44">
        <f>IF(AND(ISNUMBER(K44),R44&gt;0),MAX(G44,0)*K44*1000000*E44,"pending")</f>
        <v/>
      </c>
      <c r="AB44">
        <f>IF(AND(ISNUMBER(S44),S44&lt;0),"NEG-CCE","")&amp;IF(NOT(ISNUMBER(K44)),"|pending tonnage","")</f>
        <v/>
      </c>
      <c r="AG44">
        <f>IFERROR(_xlfn.XLOOKUP(A44,'product map'!$A$14:$A$36,'product map'!$C$14:$C$36),"?")</f>
        <v/>
      </c>
      <c r="AH44">
        <f>IFERROR((Z44*0.000000947817)/_xlfn.XLOOKUP(AG44,'energy base (MECS)'!$K$4:$K$9,'energy base (MECS)'!$F$4:$F$9),0)</f>
        <v/>
      </c>
      <c r="AI44">
        <f>IFERROR((AA44*0.000000947817)/_xlfn.XLOOKUP(AG44,'energy base (MECS)'!$K$4:$K$9,'energy base (MECS)'!$I$4:$I$9),0)</f>
        <v/>
      </c>
      <c r="AJ44">
        <f>MAX(0.3*ABS(AK44),0.000001)</f>
        <v/>
      </c>
      <c r="AK44">
        <f>IF(ISNUMBER(T44),T44,0)</f>
        <v/>
      </c>
      <c r="AL44">
        <f>IFERROR(_xlfn.XLOOKUP(AG44,'BCoISC-WACCbI'!$C$2:$C$26,'BCoISC-WACCbI'!$B$2:$B$26)+$AE$4,0.1)</f>
        <v/>
      </c>
      <c r="AM44">
        <f>IF(P44&gt;0,L44/P44/0.947817,0)</f>
        <v/>
      </c>
      <c r="AN44">
        <f>IF(AND(P44&gt;0,ISNUMBER(K44)),L44*K44*1000000*E44,0)</f>
        <v/>
      </c>
    </row>
    <row r="45">
      <c r="A45">
        <f>'Kermeli Data'!A52</f>
        <v/>
      </c>
      <c r="B45">
        <f>'Kermeli Data'!B52</f>
        <v/>
      </c>
      <c r="C45">
        <f>'Kermeli Data'!P52</f>
        <v/>
      </c>
      <c r="D45">
        <f>IF(C45="2 whr","whr",IF(C45="3 proc","process","EXCLUDED"))</f>
        <v/>
      </c>
      <c r="E45">
        <f>'Kermeli Data'!E52</f>
        <v/>
      </c>
      <c r="F45">
        <f>'Kermeli Data'!F52</f>
        <v/>
      </c>
      <c r="G45">
        <f>'Kermeli Data'!G52</f>
        <v/>
      </c>
      <c r="H45">
        <f>'Kermeli Data'!I52</f>
        <v/>
      </c>
      <c r="I45">
        <f>'Kermeli Data'!J52</f>
        <v/>
      </c>
      <c r="J45">
        <f>'Kermeli Data'!K52</f>
        <v/>
      </c>
      <c r="K45">
        <f>IFERROR(_xlfn.XLOOKUP(A45,'product map'!$A$14:$A$36,'product map'!$G$14:$G$36),"pending")</f>
        <v/>
      </c>
      <c r="L45">
        <f>H45*cpi!$B$12*cpi!$B$10</f>
        <v/>
      </c>
      <c r="M45">
        <f>J45*cpi!$B$12*cpi!$B$10</f>
        <v/>
      </c>
      <c r="N45">
        <f>IF(I45&gt;0,AL45/(1-(1+AL45)^-I45),"")</f>
        <v/>
      </c>
      <c r="O45">
        <f>L45*N45+M45</f>
        <v/>
      </c>
      <c r="P45">
        <f>MAX(F45,0)+MAX(G45,0)</f>
        <v/>
      </c>
      <c r="Q45">
        <f>IF(P45&gt;0,MAX(F45,0)/P45,0)</f>
        <v/>
      </c>
      <c r="R45">
        <f>IF(P45&gt;0,MAX(G45,0)/P45,0)</f>
        <v/>
      </c>
      <c r="S45">
        <f>IF(P45&gt;0,O45/P45,"")</f>
        <v/>
      </c>
      <c r="T45">
        <f>IF(P45&gt;0,S45/$AE$3,"")</f>
        <v/>
      </c>
      <c r="U45">
        <f>IF(AND(P45&gt;0,Q45&gt;0),T45,"")</f>
        <v/>
      </c>
      <c r="V45">
        <f>IF(AND(P45&gt;0,R45&gt;0),T45,"")</f>
        <v/>
      </c>
      <c r="W45">
        <f>IF(I45&gt;0,$AE$2/(1-(1+$AE$2)^-I45),"")</f>
        <v/>
      </c>
      <c r="X45">
        <f>L45*W45+M45</f>
        <v/>
      </c>
      <c r="Y45">
        <f>IF(P45&gt;0,(X45/P45)/$AE$3,"")</f>
        <v/>
      </c>
      <c r="Z45">
        <f>IF(AND(ISNUMBER(K45),Q45&gt;0),MAX(F45,0)*K45*1000000*E45,"pending")</f>
        <v/>
      </c>
      <c r="AA45">
        <f>IF(AND(ISNUMBER(K45),R45&gt;0),MAX(G45,0)*K45*1000000*E45,"pending")</f>
        <v/>
      </c>
      <c r="AB45">
        <f>IF(AND(ISNUMBER(S45),S45&lt;0),"NEG-CCE","")&amp;IF(NOT(ISNUMBER(K45)),"|pending tonnage","")</f>
        <v/>
      </c>
      <c r="AG45">
        <f>IFERROR(_xlfn.XLOOKUP(A45,'product map'!$A$14:$A$36,'product map'!$C$14:$C$36),"?")</f>
        <v/>
      </c>
      <c r="AH45">
        <f>IFERROR((Z45*0.000000947817)/_xlfn.XLOOKUP(AG45,'energy base (MECS)'!$K$4:$K$9,'energy base (MECS)'!$F$4:$F$9),0)</f>
        <v/>
      </c>
      <c r="AI45">
        <f>IFERROR((AA45*0.000000947817)/_xlfn.XLOOKUP(AG45,'energy base (MECS)'!$K$4:$K$9,'energy base (MECS)'!$I$4:$I$9),0)</f>
        <v/>
      </c>
      <c r="AJ45">
        <f>MAX(0.3*ABS(AK45),0.000001)</f>
        <v/>
      </c>
      <c r="AK45">
        <f>IF(ISNUMBER(T45),T45,0)</f>
        <v/>
      </c>
      <c r="AL45">
        <f>IFERROR(_xlfn.XLOOKUP(AG45,'BCoISC-WACCbI'!$C$2:$C$26,'BCoISC-WACCbI'!$B$2:$B$26)+$AE$4,0.1)</f>
        <v/>
      </c>
      <c r="AM45">
        <f>IF(P45&gt;0,L45/P45/0.947817,0)</f>
        <v/>
      </c>
      <c r="AN45">
        <f>IF(AND(P45&gt;0,ISNUMBER(K45)),L45*K45*1000000*E45,0)</f>
        <v/>
      </c>
    </row>
    <row r="46">
      <c r="A46">
        <f>'Kermeli Data'!A53</f>
        <v/>
      </c>
      <c r="B46">
        <f>'Kermeli Data'!B53</f>
        <v/>
      </c>
      <c r="C46">
        <f>'Kermeli Data'!P53</f>
        <v/>
      </c>
      <c r="D46">
        <f>IF(C46="2 whr","whr",IF(C46="3 proc","process","EXCLUDED"))</f>
        <v/>
      </c>
      <c r="E46">
        <f>'Kermeli Data'!E53</f>
        <v/>
      </c>
      <c r="F46">
        <f>'Kermeli Data'!F53</f>
        <v/>
      </c>
      <c r="G46">
        <f>'Kermeli Data'!G53</f>
        <v/>
      </c>
      <c r="H46">
        <f>'Kermeli Data'!I53</f>
        <v/>
      </c>
      <c r="I46">
        <f>'Kermeli Data'!J53</f>
        <v/>
      </c>
      <c r="J46">
        <f>'Kermeli Data'!K53</f>
        <v/>
      </c>
      <c r="K46">
        <f>IFERROR(_xlfn.XLOOKUP(A46,'product map'!$A$14:$A$36,'product map'!$G$14:$G$36),"pending")</f>
        <v/>
      </c>
      <c r="L46">
        <f>H46*cpi!$B$12*cpi!$B$10</f>
        <v/>
      </c>
      <c r="M46">
        <f>J46*cpi!$B$12*cpi!$B$10</f>
        <v/>
      </c>
      <c r="N46">
        <f>IF(I46&gt;0,AL46/(1-(1+AL46)^-I46),"")</f>
        <v/>
      </c>
      <c r="O46">
        <f>L46*N46+M46</f>
        <v/>
      </c>
      <c r="P46">
        <f>MAX(F46,0)+MAX(G46,0)</f>
        <v/>
      </c>
      <c r="Q46">
        <f>IF(P46&gt;0,MAX(F46,0)/P46,0)</f>
        <v/>
      </c>
      <c r="R46">
        <f>IF(P46&gt;0,MAX(G46,0)/P46,0)</f>
        <v/>
      </c>
      <c r="S46">
        <f>IF(P46&gt;0,O46/P46,"")</f>
        <v/>
      </c>
      <c r="T46">
        <f>IF(P46&gt;0,S46/$AE$3,"")</f>
        <v/>
      </c>
      <c r="U46">
        <f>IF(AND(P46&gt;0,Q46&gt;0),T46,"")</f>
        <v/>
      </c>
      <c r="V46">
        <f>IF(AND(P46&gt;0,R46&gt;0),T46,"")</f>
        <v/>
      </c>
      <c r="W46">
        <f>IF(I46&gt;0,$AE$2/(1-(1+$AE$2)^-I46),"")</f>
        <v/>
      </c>
      <c r="X46">
        <f>L46*W46+M46</f>
        <v/>
      </c>
      <c r="Y46">
        <f>IF(P46&gt;0,(X46/P46)/$AE$3,"")</f>
        <v/>
      </c>
      <c r="Z46">
        <f>IF(AND(ISNUMBER(K46),Q46&gt;0),MAX(F46,0)*K46*1000000*E46,"pending")</f>
        <v/>
      </c>
      <c r="AA46">
        <f>IF(AND(ISNUMBER(K46),R46&gt;0),MAX(G46,0)*K46*1000000*E46,"pending")</f>
        <v/>
      </c>
      <c r="AB46">
        <f>IF(AND(ISNUMBER(S46),S46&lt;0),"NEG-CCE","")&amp;IF(NOT(ISNUMBER(K46)),"|pending tonnage","")</f>
        <v/>
      </c>
      <c r="AG46">
        <f>IFERROR(_xlfn.XLOOKUP(A46,'product map'!$A$14:$A$36,'product map'!$C$14:$C$36),"?")</f>
        <v/>
      </c>
      <c r="AH46">
        <f>IFERROR((Z46*0.000000947817)/_xlfn.XLOOKUP(AG46,'energy base (MECS)'!$K$4:$K$9,'energy base (MECS)'!$F$4:$F$9),0)</f>
        <v/>
      </c>
      <c r="AI46">
        <f>IFERROR((AA46*0.000000947817)/_xlfn.XLOOKUP(AG46,'energy base (MECS)'!$K$4:$K$9,'energy base (MECS)'!$I$4:$I$9),0)</f>
        <v/>
      </c>
      <c r="AJ46">
        <f>MAX(0.3*ABS(AK46),0.000001)</f>
        <v/>
      </c>
      <c r="AK46">
        <f>IF(ISNUMBER(T46),T46,0)</f>
        <v/>
      </c>
      <c r="AL46">
        <f>IFERROR(_xlfn.XLOOKUP(AG46,'BCoISC-WACCbI'!$C$2:$C$26,'BCoISC-WACCbI'!$B$2:$B$26)+$AE$4,0.1)</f>
        <v/>
      </c>
      <c r="AM46">
        <f>IF(P46&gt;0,L46/P46/0.947817,0)</f>
        <v/>
      </c>
      <c r="AN46">
        <f>IF(AND(P46&gt;0,ISNUMBER(K46)),L46*K46*1000000*E46,0)</f>
        <v/>
      </c>
    </row>
    <row r="47">
      <c r="A47">
        <f>'Kermeli Data'!A54</f>
        <v/>
      </c>
      <c r="B47">
        <f>'Kermeli Data'!B54</f>
        <v/>
      </c>
      <c r="C47">
        <f>'Kermeli Data'!P54</f>
        <v/>
      </c>
      <c r="D47">
        <f>IF(C47="2 whr","whr",IF(C47="3 proc","process","EXCLUDED"))</f>
        <v/>
      </c>
      <c r="E47">
        <f>'Kermeli Data'!E54</f>
        <v/>
      </c>
      <c r="F47">
        <f>'Kermeli Data'!F54</f>
        <v/>
      </c>
      <c r="G47">
        <f>'Kermeli Data'!G54</f>
        <v/>
      </c>
      <c r="H47">
        <f>'Kermeli Data'!I54</f>
        <v/>
      </c>
      <c r="I47">
        <f>'Kermeli Data'!J54</f>
        <v/>
      </c>
      <c r="J47">
        <f>'Kermeli Data'!K54</f>
        <v/>
      </c>
      <c r="K47">
        <f>IFERROR(_xlfn.XLOOKUP(A47,'product map'!$A$14:$A$36,'product map'!$G$14:$G$36),"pending")</f>
        <v/>
      </c>
      <c r="L47">
        <f>H47*cpi!$B$12*cpi!$B$10</f>
        <v/>
      </c>
      <c r="M47">
        <f>J47*cpi!$B$12*cpi!$B$10</f>
        <v/>
      </c>
      <c r="N47">
        <f>IF(I47&gt;0,AL47/(1-(1+AL47)^-I47),"")</f>
        <v/>
      </c>
      <c r="O47">
        <f>L47*N47+M47</f>
        <v/>
      </c>
      <c r="P47">
        <f>MAX(F47,0)+MAX(G47,0)</f>
        <v/>
      </c>
      <c r="Q47">
        <f>IF(P47&gt;0,MAX(F47,0)/P47,0)</f>
        <v/>
      </c>
      <c r="R47">
        <f>IF(P47&gt;0,MAX(G47,0)/P47,0)</f>
        <v/>
      </c>
      <c r="S47">
        <f>IF(P47&gt;0,O47/P47,"")</f>
        <v/>
      </c>
      <c r="T47">
        <f>IF(P47&gt;0,S47/$AE$3,"")</f>
        <v/>
      </c>
      <c r="U47">
        <f>IF(AND(P47&gt;0,Q47&gt;0),T47,"")</f>
        <v/>
      </c>
      <c r="V47">
        <f>IF(AND(P47&gt;0,R47&gt;0),T47,"")</f>
        <v/>
      </c>
      <c r="W47">
        <f>IF(I47&gt;0,$AE$2/(1-(1+$AE$2)^-I47),"")</f>
        <v/>
      </c>
      <c r="X47">
        <f>L47*W47+M47</f>
        <v/>
      </c>
      <c r="Y47">
        <f>IF(P47&gt;0,(X47/P47)/$AE$3,"")</f>
        <v/>
      </c>
      <c r="Z47">
        <f>IF(AND(ISNUMBER(K47),Q47&gt;0),MAX(F47,0)*K47*1000000*E47,"pending")</f>
        <v/>
      </c>
      <c r="AA47">
        <f>IF(AND(ISNUMBER(K47),R47&gt;0),MAX(G47,0)*K47*1000000*E47,"pending")</f>
        <v/>
      </c>
      <c r="AB47">
        <f>IF(AND(ISNUMBER(S47),S47&lt;0),"NEG-CCE","")&amp;IF(NOT(ISNUMBER(K47)),"|pending tonnage","")</f>
        <v/>
      </c>
      <c r="AG47">
        <f>IFERROR(_xlfn.XLOOKUP(A47,'product map'!$A$14:$A$36,'product map'!$C$14:$C$36),"?")</f>
        <v/>
      </c>
      <c r="AH47">
        <f>IFERROR((Z47*0.000000947817)/_xlfn.XLOOKUP(AG47,'energy base (MECS)'!$K$4:$K$9,'energy base (MECS)'!$F$4:$F$9),0)</f>
        <v/>
      </c>
      <c r="AI47">
        <f>IFERROR((AA47*0.000000947817)/_xlfn.XLOOKUP(AG47,'energy base (MECS)'!$K$4:$K$9,'energy base (MECS)'!$I$4:$I$9),0)</f>
        <v/>
      </c>
      <c r="AJ47">
        <f>MAX(0.3*ABS(AK47),0.000001)</f>
        <v/>
      </c>
      <c r="AK47">
        <f>IF(ISNUMBER(T47),T47,0)</f>
        <v/>
      </c>
      <c r="AL47">
        <f>IFERROR(_xlfn.XLOOKUP(AG47,'BCoISC-WACCbI'!$C$2:$C$26,'BCoISC-WACCbI'!$B$2:$B$26)+$AE$4,0.1)</f>
        <v/>
      </c>
      <c r="AM47">
        <f>IF(P47&gt;0,L47/P47/0.947817,0)</f>
        <v/>
      </c>
      <c r="AN47">
        <f>IF(AND(P47&gt;0,ISNUMBER(K47)),L47*K47*1000000*E47,0)</f>
        <v/>
      </c>
    </row>
    <row r="48">
      <c r="A48">
        <f>'Kermeli Data'!A55</f>
        <v/>
      </c>
      <c r="B48">
        <f>'Kermeli Data'!B55</f>
        <v/>
      </c>
      <c r="C48">
        <f>'Kermeli Data'!P55</f>
        <v/>
      </c>
      <c r="D48">
        <f>IF(C48="2 whr","whr",IF(C48="3 proc","process","EXCLUDED"))</f>
        <v/>
      </c>
      <c r="E48">
        <f>'Kermeli Data'!E55</f>
        <v/>
      </c>
      <c r="F48">
        <f>'Kermeli Data'!F55</f>
        <v/>
      </c>
      <c r="G48">
        <f>'Kermeli Data'!G55</f>
        <v/>
      </c>
      <c r="H48">
        <f>'Kermeli Data'!I55</f>
        <v/>
      </c>
      <c r="I48">
        <f>'Kermeli Data'!J55</f>
        <v/>
      </c>
      <c r="J48">
        <f>'Kermeli Data'!K55</f>
        <v/>
      </c>
      <c r="K48">
        <f>IFERROR(_xlfn.XLOOKUP(A48,'product map'!$A$14:$A$36,'product map'!$G$14:$G$36),"pending")</f>
        <v/>
      </c>
      <c r="L48">
        <f>H48*cpi!$B$12*cpi!$B$10</f>
        <v/>
      </c>
      <c r="M48">
        <f>J48*cpi!$B$12*cpi!$B$10</f>
        <v/>
      </c>
      <c r="N48">
        <f>IF(I48&gt;0,AL48/(1-(1+AL48)^-I48),"")</f>
        <v/>
      </c>
      <c r="O48">
        <f>L48*N48+M48</f>
        <v/>
      </c>
      <c r="P48">
        <f>MAX(F48,0)+MAX(G48,0)</f>
        <v/>
      </c>
      <c r="Q48">
        <f>IF(P48&gt;0,MAX(F48,0)/P48,0)</f>
        <v/>
      </c>
      <c r="R48">
        <f>IF(P48&gt;0,MAX(G48,0)/P48,0)</f>
        <v/>
      </c>
      <c r="S48">
        <f>IF(P48&gt;0,O48/P48,"")</f>
        <v/>
      </c>
      <c r="T48">
        <f>IF(P48&gt;0,S48/$AE$3,"")</f>
        <v/>
      </c>
      <c r="U48">
        <f>IF(AND(P48&gt;0,Q48&gt;0),T48,"")</f>
        <v/>
      </c>
      <c r="V48">
        <f>IF(AND(P48&gt;0,R48&gt;0),T48,"")</f>
        <v/>
      </c>
      <c r="W48">
        <f>IF(I48&gt;0,$AE$2/(1-(1+$AE$2)^-I48),"")</f>
        <v/>
      </c>
      <c r="X48">
        <f>L48*W48+M48</f>
        <v/>
      </c>
      <c r="Y48">
        <f>IF(P48&gt;0,(X48/P48)/$AE$3,"")</f>
        <v/>
      </c>
      <c r="Z48">
        <f>IF(AND(ISNUMBER(K48),Q48&gt;0),MAX(F48,0)*K48*1000000*E48,"pending")</f>
        <v/>
      </c>
      <c r="AA48">
        <f>IF(AND(ISNUMBER(K48),R48&gt;0),MAX(G48,0)*K48*1000000*E48,"pending")</f>
        <v/>
      </c>
      <c r="AB48">
        <f>IF(AND(ISNUMBER(S48),S48&lt;0),"NEG-CCE","")&amp;IF(NOT(ISNUMBER(K48)),"|pending tonnage","")</f>
        <v/>
      </c>
      <c r="AG48">
        <f>IFERROR(_xlfn.XLOOKUP(A48,'product map'!$A$14:$A$36,'product map'!$C$14:$C$36),"?")</f>
        <v/>
      </c>
      <c r="AH48">
        <f>IFERROR((Z48*0.000000947817)/_xlfn.XLOOKUP(AG48,'energy base (MECS)'!$K$4:$K$9,'energy base (MECS)'!$F$4:$F$9),0)</f>
        <v/>
      </c>
      <c r="AI48">
        <f>IFERROR((AA48*0.000000947817)/_xlfn.XLOOKUP(AG48,'energy base (MECS)'!$K$4:$K$9,'energy base (MECS)'!$I$4:$I$9),0)</f>
        <v/>
      </c>
      <c r="AJ48">
        <f>MAX(0.3*ABS(AK48),0.000001)</f>
        <v/>
      </c>
      <c r="AK48">
        <f>IF(ISNUMBER(T48),T48,0)</f>
        <v/>
      </c>
      <c r="AL48">
        <f>IFERROR(_xlfn.XLOOKUP(AG48,'BCoISC-WACCbI'!$C$2:$C$26,'BCoISC-WACCbI'!$B$2:$B$26)+$AE$4,0.1)</f>
        <v/>
      </c>
      <c r="AM48">
        <f>IF(P48&gt;0,L48/P48/0.947817,0)</f>
        <v/>
      </c>
      <c r="AN48">
        <f>IF(AND(P48&gt;0,ISNUMBER(K48)),L48*K48*1000000*E48,0)</f>
        <v/>
      </c>
    </row>
    <row r="49">
      <c r="A49">
        <f>'Kermeli Data'!A56</f>
        <v/>
      </c>
      <c r="B49">
        <f>'Kermeli Data'!B56</f>
        <v/>
      </c>
      <c r="C49">
        <f>'Kermeli Data'!P56</f>
        <v/>
      </c>
      <c r="D49">
        <f>IF(C49="2 whr","whr",IF(C49="3 proc","process","EXCLUDED"))</f>
        <v/>
      </c>
      <c r="E49">
        <f>'Kermeli Data'!E56</f>
        <v/>
      </c>
      <c r="F49">
        <f>'Kermeli Data'!F56</f>
        <v/>
      </c>
      <c r="G49">
        <f>'Kermeli Data'!G56</f>
        <v/>
      </c>
      <c r="H49">
        <f>'Kermeli Data'!I56</f>
        <v/>
      </c>
      <c r="I49">
        <f>'Kermeli Data'!J56</f>
        <v/>
      </c>
      <c r="J49">
        <f>'Kermeli Data'!K56</f>
        <v/>
      </c>
      <c r="K49">
        <f>IFERROR(_xlfn.XLOOKUP(A49,'product map'!$A$14:$A$36,'product map'!$G$14:$G$36),"pending")</f>
        <v/>
      </c>
      <c r="L49">
        <f>H49*cpi!$B$12*cpi!$B$10</f>
        <v/>
      </c>
      <c r="M49">
        <f>J49*cpi!$B$12*cpi!$B$10</f>
        <v/>
      </c>
      <c r="N49">
        <f>IF(I49&gt;0,AL49/(1-(1+AL49)^-I49),"")</f>
        <v/>
      </c>
      <c r="O49">
        <f>L49*N49+M49</f>
        <v/>
      </c>
      <c r="P49">
        <f>MAX(F49,0)+MAX(G49,0)</f>
        <v/>
      </c>
      <c r="Q49">
        <f>IF(P49&gt;0,MAX(F49,0)/P49,0)</f>
        <v/>
      </c>
      <c r="R49">
        <f>IF(P49&gt;0,MAX(G49,0)/P49,0)</f>
        <v/>
      </c>
      <c r="S49">
        <f>IF(P49&gt;0,O49/P49,"")</f>
        <v/>
      </c>
      <c r="T49">
        <f>IF(P49&gt;0,S49/$AE$3,"")</f>
        <v/>
      </c>
      <c r="U49">
        <f>IF(AND(P49&gt;0,Q49&gt;0),T49,"")</f>
        <v/>
      </c>
      <c r="V49">
        <f>IF(AND(P49&gt;0,R49&gt;0),T49,"")</f>
        <v/>
      </c>
      <c r="W49">
        <f>IF(I49&gt;0,$AE$2/(1-(1+$AE$2)^-I49),"")</f>
        <v/>
      </c>
      <c r="X49">
        <f>L49*W49+M49</f>
        <v/>
      </c>
      <c r="Y49">
        <f>IF(P49&gt;0,(X49/P49)/$AE$3,"")</f>
        <v/>
      </c>
      <c r="Z49">
        <f>IF(AND(ISNUMBER(K49),Q49&gt;0),MAX(F49,0)*K49*1000000*E49,"pending")</f>
        <v/>
      </c>
      <c r="AA49">
        <f>IF(AND(ISNUMBER(K49),R49&gt;0),MAX(G49,0)*K49*1000000*E49,"pending")</f>
        <v/>
      </c>
      <c r="AB49">
        <f>IF(AND(ISNUMBER(S49),S49&lt;0),"NEG-CCE","")&amp;IF(NOT(ISNUMBER(K49)),"|pending tonnage","")</f>
        <v/>
      </c>
      <c r="AG49">
        <f>IFERROR(_xlfn.XLOOKUP(A49,'product map'!$A$14:$A$36,'product map'!$C$14:$C$36),"?")</f>
        <v/>
      </c>
      <c r="AH49">
        <f>IFERROR((Z49*0.000000947817)/_xlfn.XLOOKUP(AG49,'energy base (MECS)'!$K$4:$K$9,'energy base (MECS)'!$F$4:$F$9),0)</f>
        <v/>
      </c>
      <c r="AI49">
        <f>IFERROR((AA49*0.000000947817)/_xlfn.XLOOKUP(AG49,'energy base (MECS)'!$K$4:$K$9,'energy base (MECS)'!$I$4:$I$9),0)</f>
        <v/>
      </c>
      <c r="AJ49">
        <f>MAX(0.3*ABS(AK49),0.000001)</f>
        <v/>
      </c>
      <c r="AK49">
        <f>IF(ISNUMBER(T49),T49,0)</f>
        <v/>
      </c>
      <c r="AL49">
        <f>IFERROR(_xlfn.XLOOKUP(AG49,'BCoISC-WACCbI'!$C$2:$C$26,'BCoISC-WACCbI'!$B$2:$B$26)+$AE$4,0.1)</f>
        <v/>
      </c>
      <c r="AM49">
        <f>IF(P49&gt;0,L49/P49/0.947817,0)</f>
        <v/>
      </c>
      <c r="AN49">
        <f>IF(AND(P49&gt;0,ISNUMBER(K49)),L49*K49*1000000*E49,0)</f>
        <v/>
      </c>
    </row>
    <row r="50">
      <c r="A50">
        <f>'Kermeli Data'!A57</f>
        <v/>
      </c>
      <c r="B50">
        <f>'Kermeli Data'!B57</f>
        <v/>
      </c>
      <c r="C50">
        <f>'Kermeli Data'!P57</f>
        <v/>
      </c>
      <c r="D50">
        <f>IF(C50="2 whr","whr",IF(C50="3 proc","process","EXCLUDED"))</f>
        <v/>
      </c>
      <c r="E50">
        <f>'Kermeli Data'!E57</f>
        <v/>
      </c>
      <c r="F50">
        <f>'Kermeli Data'!F57</f>
        <v/>
      </c>
      <c r="G50">
        <f>'Kermeli Data'!G57</f>
        <v/>
      </c>
      <c r="H50">
        <f>'Kermeli Data'!I57</f>
        <v/>
      </c>
      <c r="I50">
        <f>'Kermeli Data'!J57</f>
        <v/>
      </c>
      <c r="J50">
        <f>'Kermeli Data'!K57</f>
        <v/>
      </c>
      <c r="K50">
        <f>IFERROR(_xlfn.XLOOKUP(A50,'product map'!$A$14:$A$36,'product map'!$G$14:$G$36),"pending")</f>
        <v/>
      </c>
      <c r="L50">
        <f>H50*cpi!$B$12*cpi!$B$10</f>
        <v/>
      </c>
      <c r="M50">
        <f>J50*cpi!$B$12*cpi!$B$10</f>
        <v/>
      </c>
      <c r="N50">
        <f>IF(I50&gt;0,AL50/(1-(1+AL50)^-I50),"")</f>
        <v/>
      </c>
      <c r="O50">
        <f>L50*N50+M50</f>
        <v/>
      </c>
      <c r="P50">
        <f>MAX(F50,0)+MAX(G50,0)</f>
        <v/>
      </c>
      <c r="Q50">
        <f>IF(P50&gt;0,MAX(F50,0)/P50,0)</f>
        <v/>
      </c>
      <c r="R50">
        <f>IF(P50&gt;0,MAX(G50,0)/P50,0)</f>
        <v/>
      </c>
      <c r="S50">
        <f>IF(P50&gt;0,O50/P50,"")</f>
        <v/>
      </c>
      <c r="T50">
        <f>IF(P50&gt;0,S50/$AE$3,"")</f>
        <v/>
      </c>
      <c r="U50">
        <f>IF(AND(P50&gt;0,Q50&gt;0),T50,"")</f>
        <v/>
      </c>
      <c r="V50">
        <f>IF(AND(P50&gt;0,R50&gt;0),T50,"")</f>
        <v/>
      </c>
      <c r="W50">
        <f>IF(I50&gt;0,$AE$2/(1-(1+$AE$2)^-I50),"")</f>
        <v/>
      </c>
      <c r="X50">
        <f>L50*W50+M50</f>
        <v/>
      </c>
      <c r="Y50">
        <f>IF(P50&gt;0,(X50/P50)/$AE$3,"")</f>
        <v/>
      </c>
      <c r="Z50">
        <f>IF(AND(ISNUMBER(K50),Q50&gt;0),MAX(F50,0)*K50*1000000*E50,"pending")</f>
        <v/>
      </c>
      <c r="AA50">
        <f>IF(AND(ISNUMBER(K50),R50&gt;0),MAX(G50,0)*K50*1000000*E50,"pending")</f>
        <v/>
      </c>
      <c r="AB50">
        <f>IF(AND(ISNUMBER(S50),S50&lt;0),"NEG-CCE","")&amp;IF(NOT(ISNUMBER(K50)),"|pending tonnage","")</f>
        <v/>
      </c>
      <c r="AG50">
        <f>IFERROR(_xlfn.XLOOKUP(A50,'product map'!$A$14:$A$36,'product map'!$C$14:$C$36),"?")</f>
        <v/>
      </c>
      <c r="AH50">
        <f>IFERROR((Z50*0.000000947817)/_xlfn.XLOOKUP(AG50,'energy base (MECS)'!$K$4:$K$9,'energy base (MECS)'!$F$4:$F$9),0)</f>
        <v/>
      </c>
      <c r="AI50">
        <f>IFERROR((AA50*0.000000947817)/_xlfn.XLOOKUP(AG50,'energy base (MECS)'!$K$4:$K$9,'energy base (MECS)'!$I$4:$I$9),0)</f>
        <v/>
      </c>
      <c r="AJ50">
        <f>MAX(0.3*ABS(AK50),0.000001)</f>
        <v/>
      </c>
      <c r="AK50">
        <f>IF(ISNUMBER(T50),T50,0)</f>
        <v/>
      </c>
      <c r="AL50">
        <f>IFERROR(_xlfn.XLOOKUP(AG50,'BCoISC-WACCbI'!$C$2:$C$26,'BCoISC-WACCbI'!$B$2:$B$26)+$AE$4,0.1)</f>
        <v/>
      </c>
      <c r="AM50">
        <f>IF(P50&gt;0,L50/P50/0.947817,0)</f>
        <v/>
      </c>
      <c r="AN50">
        <f>IF(AND(P50&gt;0,ISNUMBER(K50)),L50*K50*1000000*E50,0)</f>
        <v/>
      </c>
    </row>
    <row r="51">
      <c r="A51">
        <f>'Kermeli Data'!A58</f>
        <v/>
      </c>
      <c r="B51">
        <f>'Kermeli Data'!B58</f>
        <v/>
      </c>
      <c r="C51">
        <f>'Kermeli Data'!P58</f>
        <v/>
      </c>
      <c r="D51">
        <f>IF(C51="2 whr","whr",IF(C51="3 proc","process","EXCLUDED"))</f>
        <v/>
      </c>
      <c r="E51">
        <f>'Kermeli Data'!E58</f>
        <v/>
      </c>
      <c r="F51">
        <f>'Kermeli Data'!F58</f>
        <v/>
      </c>
      <c r="G51">
        <f>'Kermeli Data'!G58</f>
        <v/>
      </c>
      <c r="H51">
        <f>'Kermeli Data'!I58</f>
        <v/>
      </c>
      <c r="I51">
        <f>'Kermeli Data'!J58</f>
        <v/>
      </c>
      <c r="J51">
        <f>'Kermeli Data'!K58</f>
        <v/>
      </c>
      <c r="K51">
        <f>IFERROR(_xlfn.XLOOKUP(A51,'product map'!$A$14:$A$36,'product map'!$G$14:$G$36),"pending")</f>
        <v/>
      </c>
      <c r="L51">
        <f>H51*cpi!$B$12*cpi!$B$10</f>
        <v/>
      </c>
      <c r="M51">
        <f>J51*cpi!$B$12*cpi!$B$10</f>
        <v/>
      </c>
      <c r="N51">
        <f>IF(I51&gt;0,AL51/(1-(1+AL51)^-I51),"")</f>
        <v/>
      </c>
      <c r="O51">
        <f>L51*N51+M51</f>
        <v/>
      </c>
      <c r="P51">
        <f>MAX(F51,0)+MAX(G51,0)</f>
        <v/>
      </c>
      <c r="Q51">
        <f>IF(P51&gt;0,MAX(F51,0)/P51,0)</f>
        <v/>
      </c>
      <c r="R51">
        <f>IF(P51&gt;0,MAX(G51,0)/P51,0)</f>
        <v/>
      </c>
      <c r="S51">
        <f>IF(P51&gt;0,O51/P51,"")</f>
        <v/>
      </c>
      <c r="T51">
        <f>IF(P51&gt;0,S51/$AE$3,"")</f>
        <v/>
      </c>
      <c r="U51">
        <f>IF(AND(P51&gt;0,Q51&gt;0),T51,"")</f>
        <v/>
      </c>
      <c r="V51">
        <f>IF(AND(P51&gt;0,R51&gt;0),T51,"")</f>
        <v/>
      </c>
      <c r="W51">
        <f>IF(I51&gt;0,$AE$2/(1-(1+$AE$2)^-I51),"")</f>
        <v/>
      </c>
      <c r="X51">
        <f>L51*W51+M51</f>
        <v/>
      </c>
      <c r="Y51">
        <f>IF(P51&gt;0,(X51/P51)/$AE$3,"")</f>
        <v/>
      </c>
      <c r="Z51">
        <f>IF(AND(ISNUMBER(K51),Q51&gt;0),MAX(F51,0)*K51*1000000*E51,"pending")</f>
        <v/>
      </c>
      <c r="AA51">
        <f>IF(AND(ISNUMBER(K51),R51&gt;0),MAX(G51,0)*K51*1000000*E51,"pending")</f>
        <v/>
      </c>
      <c r="AB51">
        <f>IF(AND(ISNUMBER(S51),S51&lt;0),"NEG-CCE","")&amp;IF(NOT(ISNUMBER(K51)),"|pending tonnage","")</f>
        <v/>
      </c>
      <c r="AG51">
        <f>IFERROR(_xlfn.XLOOKUP(A51,'product map'!$A$14:$A$36,'product map'!$C$14:$C$36),"?")</f>
        <v/>
      </c>
      <c r="AH51">
        <f>IFERROR((Z51*0.000000947817)/_xlfn.XLOOKUP(AG51,'energy base (MECS)'!$K$4:$K$9,'energy base (MECS)'!$F$4:$F$9),0)</f>
        <v/>
      </c>
      <c r="AI51">
        <f>IFERROR((AA51*0.000000947817)/_xlfn.XLOOKUP(AG51,'energy base (MECS)'!$K$4:$K$9,'energy base (MECS)'!$I$4:$I$9),0)</f>
        <v/>
      </c>
      <c r="AJ51">
        <f>MAX(0.3*ABS(AK51),0.000001)</f>
        <v/>
      </c>
      <c r="AK51">
        <f>IF(ISNUMBER(T51),T51,0)</f>
        <v/>
      </c>
      <c r="AL51">
        <f>IFERROR(_xlfn.XLOOKUP(AG51,'BCoISC-WACCbI'!$C$2:$C$26,'BCoISC-WACCbI'!$B$2:$B$26)+$AE$4,0.1)</f>
        <v/>
      </c>
      <c r="AM51">
        <f>IF(P51&gt;0,L51/P51/0.947817,0)</f>
        <v/>
      </c>
      <c r="AN51">
        <f>IF(AND(P51&gt;0,ISNUMBER(K51)),L51*K51*1000000*E51,0)</f>
        <v/>
      </c>
    </row>
    <row r="52">
      <c r="A52">
        <f>'Kermeli Data'!A59</f>
        <v/>
      </c>
      <c r="B52">
        <f>'Kermeli Data'!B59</f>
        <v/>
      </c>
      <c r="C52">
        <f>'Kermeli Data'!P59</f>
        <v/>
      </c>
      <c r="D52">
        <f>IF(C52="2 whr","whr",IF(C52="3 proc","process","EXCLUDED"))</f>
        <v/>
      </c>
      <c r="E52">
        <f>'Kermeli Data'!E59</f>
        <v/>
      </c>
      <c r="F52">
        <f>'Kermeli Data'!F59</f>
        <v/>
      </c>
      <c r="G52">
        <f>'Kermeli Data'!G59</f>
        <v/>
      </c>
      <c r="H52">
        <f>'Kermeli Data'!I59</f>
        <v/>
      </c>
      <c r="I52">
        <f>'Kermeli Data'!J59</f>
        <v/>
      </c>
      <c r="J52">
        <f>'Kermeli Data'!K59</f>
        <v/>
      </c>
      <c r="K52">
        <f>IFERROR(_xlfn.XLOOKUP(A52,'product map'!$A$14:$A$36,'product map'!$G$14:$G$36),"pending")</f>
        <v/>
      </c>
      <c r="L52">
        <f>H52*cpi!$B$12*cpi!$B$10</f>
        <v/>
      </c>
      <c r="M52">
        <f>J52*cpi!$B$12*cpi!$B$10</f>
        <v/>
      </c>
      <c r="N52">
        <f>IF(I52&gt;0,AL52/(1-(1+AL52)^-I52),"")</f>
        <v/>
      </c>
      <c r="O52">
        <f>L52*N52+M52</f>
        <v/>
      </c>
      <c r="P52">
        <f>MAX(F52,0)+MAX(G52,0)</f>
        <v/>
      </c>
      <c r="Q52">
        <f>IF(P52&gt;0,MAX(F52,0)/P52,0)</f>
        <v/>
      </c>
      <c r="R52">
        <f>IF(P52&gt;0,MAX(G52,0)/P52,0)</f>
        <v/>
      </c>
      <c r="S52">
        <f>IF(P52&gt;0,O52/P52,"")</f>
        <v/>
      </c>
      <c r="T52">
        <f>IF(P52&gt;0,S52/$AE$3,"")</f>
        <v/>
      </c>
      <c r="U52">
        <f>IF(AND(P52&gt;0,Q52&gt;0),T52,"")</f>
        <v/>
      </c>
      <c r="V52">
        <f>IF(AND(P52&gt;0,R52&gt;0),T52,"")</f>
        <v/>
      </c>
      <c r="W52">
        <f>IF(I52&gt;0,$AE$2/(1-(1+$AE$2)^-I52),"")</f>
        <v/>
      </c>
      <c r="X52">
        <f>L52*W52+M52</f>
        <v/>
      </c>
      <c r="Y52">
        <f>IF(P52&gt;0,(X52/P52)/$AE$3,"")</f>
        <v/>
      </c>
      <c r="Z52">
        <f>IF(AND(ISNUMBER(K52),Q52&gt;0),MAX(F52,0)*K52*1000000*E52,"pending")</f>
        <v/>
      </c>
      <c r="AA52">
        <f>IF(AND(ISNUMBER(K52),R52&gt;0),MAX(G52,0)*K52*1000000*E52,"pending")</f>
        <v/>
      </c>
      <c r="AB52">
        <f>IF(AND(ISNUMBER(S52),S52&lt;0),"NEG-CCE","")&amp;IF(NOT(ISNUMBER(K52)),"|pending tonnage","")</f>
        <v/>
      </c>
      <c r="AG52">
        <f>IFERROR(_xlfn.XLOOKUP(A52,'product map'!$A$14:$A$36,'product map'!$C$14:$C$36),"?")</f>
        <v/>
      </c>
      <c r="AH52">
        <f>IFERROR((Z52*0.000000947817)/_xlfn.XLOOKUP(AG52,'energy base (MECS)'!$K$4:$K$9,'energy base (MECS)'!$F$4:$F$9),0)</f>
        <v/>
      </c>
      <c r="AI52">
        <f>IFERROR((AA52*0.000000947817)/_xlfn.XLOOKUP(AG52,'energy base (MECS)'!$K$4:$K$9,'energy base (MECS)'!$I$4:$I$9),0)</f>
        <v/>
      </c>
      <c r="AJ52">
        <f>MAX(0.3*ABS(AK52),0.000001)</f>
        <v/>
      </c>
      <c r="AK52">
        <f>IF(ISNUMBER(T52),T52,0)</f>
        <v/>
      </c>
      <c r="AL52">
        <f>IFERROR(_xlfn.XLOOKUP(AG52,'BCoISC-WACCbI'!$C$2:$C$26,'BCoISC-WACCbI'!$B$2:$B$26)+$AE$4,0.1)</f>
        <v/>
      </c>
      <c r="AM52">
        <f>IF(P52&gt;0,L52/P52/0.947817,0)</f>
        <v/>
      </c>
      <c r="AN52">
        <f>IF(AND(P52&gt;0,ISNUMBER(K52)),L52*K52*1000000*E52,0)</f>
        <v/>
      </c>
    </row>
    <row r="53">
      <c r="A53">
        <f>'Kermeli Data'!A60</f>
        <v/>
      </c>
      <c r="B53">
        <f>'Kermeli Data'!B60</f>
        <v/>
      </c>
      <c r="C53">
        <f>'Kermeli Data'!P60</f>
        <v/>
      </c>
      <c r="D53">
        <f>IF(C53="2 whr","whr",IF(C53="3 proc","process","EXCLUDED"))</f>
        <v/>
      </c>
      <c r="E53">
        <f>'Kermeli Data'!E60</f>
        <v/>
      </c>
      <c r="F53">
        <f>'Kermeli Data'!F60</f>
        <v/>
      </c>
      <c r="G53">
        <f>'Kermeli Data'!G60</f>
        <v/>
      </c>
      <c r="H53">
        <f>'Kermeli Data'!I60</f>
        <v/>
      </c>
      <c r="I53">
        <f>'Kermeli Data'!J60</f>
        <v/>
      </c>
      <c r="J53">
        <f>'Kermeli Data'!K60</f>
        <v/>
      </c>
      <c r="K53">
        <f>IFERROR(_xlfn.XLOOKUP(A53,'product map'!$A$14:$A$36,'product map'!$G$14:$G$36),"pending")</f>
        <v/>
      </c>
      <c r="L53">
        <f>H53*cpi!$B$12*cpi!$B$10</f>
        <v/>
      </c>
      <c r="M53">
        <f>J53*cpi!$B$12*cpi!$B$10</f>
        <v/>
      </c>
      <c r="N53">
        <f>IF(I53&gt;0,AL53/(1-(1+AL53)^-I53),"")</f>
        <v/>
      </c>
      <c r="O53">
        <f>L53*N53+M53</f>
        <v/>
      </c>
      <c r="P53">
        <f>MAX(F53,0)+MAX(G53,0)</f>
        <v/>
      </c>
      <c r="Q53">
        <f>IF(P53&gt;0,MAX(F53,0)/P53,0)</f>
        <v/>
      </c>
      <c r="R53">
        <f>IF(P53&gt;0,MAX(G53,0)/P53,0)</f>
        <v/>
      </c>
      <c r="S53">
        <f>IF(P53&gt;0,O53/P53,"")</f>
        <v/>
      </c>
      <c r="T53">
        <f>IF(P53&gt;0,S53/$AE$3,"")</f>
        <v/>
      </c>
      <c r="U53">
        <f>IF(AND(P53&gt;0,Q53&gt;0),T53,"")</f>
        <v/>
      </c>
      <c r="V53">
        <f>IF(AND(P53&gt;0,R53&gt;0),T53,"")</f>
        <v/>
      </c>
      <c r="W53">
        <f>IF(I53&gt;0,$AE$2/(1-(1+$AE$2)^-I53),"")</f>
        <v/>
      </c>
      <c r="X53">
        <f>L53*W53+M53</f>
        <v/>
      </c>
      <c r="Y53">
        <f>IF(P53&gt;0,(X53/P53)/$AE$3,"")</f>
        <v/>
      </c>
      <c r="Z53">
        <f>IF(AND(ISNUMBER(K53),Q53&gt;0),MAX(F53,0)*K53*1000000*E53,"pending")</f>
        <v/>
      </c>
      <c r="AA53">
        <f>IF(AND(ISNUMBER(K53),R53&gt;0),MAX(G53,0)*K53*1000000*E53,"pending")</f>
        <v/>
      </c>
      <c r="AB53">
        <f>IF(AND(ISNUMBER(S53),S53&lt;0),"NEG-CCE","")&amp;IF(NOT(ISNUMBER(K53)),"|pending tonnage","")</f>
        <v/>
      </c>
      <c r="AG53">
        <f>IFERROR(_xlfn.XLOOKUP(A53,'product map'!$A$14:$A$36,'product map'!$C$14:$C$36),"?")</f>
        <v/>
      </c>
      <c r="AH53">
        <f>IFERROR((Z53*0.000000947817)/_xlfn.XLOOKUP(AG53,'energy base (MECS)'!$K$4:$K$9,'energy base (MECS)'!$F$4:$F$9),0)</f>
        <v/>
      </c>
      <c r="AI53">
        <f>IFERROR((AA53*0.000000947817)/_xlfn.XLOOKUP(AG53,'energy base (MECS)'!$K$4:$K$9,'energy base (MECS)'!$I$4:$I$9),0)</f>
        <v/>
      </c>
      <c r="AJ53">
        <f>MAX(0.3*ABS(AK53),0.000001)</f>
        <v/>
      </c>
      <c r="AK53">
        <f>IF(ISNUMBER(T53),T53,0)</f>
        <v/>
      </c>
      <c r="AL53">
        <f>IFERROR(_xlfn.XLOOKUP(AG53,'BCoISC-WACCbI'!$C$2:$C$26,'BCoISC-WACCbI'!$B$2:$B$26)+$AE$4,0.1)</f>
        <v/>
      </c>
      <c r="AM53">
        <f>IF(P53&gt;0,L53/P53/0.947817,0)</f>
        <v/>
      </c>
      <c r="AN53">
        <f>IF(AND(P53&gt;0,ISNUMBER(K53)),L53*K53*1000000*E53,0)</f>
        <v/>
      </c>
    </row>
    <row r="54">
      <c r="A54">
        <f>'Kermeli Data'!A61</f>
        <v/>
      </c>
      <c r="B54">
        <f>'Kermeli Data'!B61</f>
        <v/>
      </c>
      <c r="C54">
        <f>'Kermeli Data'!P61</f>
        <v/>
      </c>
      <c r="D54">
        <f>IF(C54="2 whr","whr",IF(C54="3 proc","process","EXCLUDED"))</f>
        <v/>
      </c>
      <c r="E54">
        <f>'Kermeli Data'!E61</f>
        <v/>
      </c>
      <c r="F54">
        <f>'Kermeli Data'!F61</f>
        <v/>
      </c>
      <c r="G54">
        <f>'Kermeli Data'!G61</f>
        <v/>
      </c>
      <c r="H54">
        <f>'Kermeli Data'!I61</f>
        <v/>
      </c>
      <c r="I54">
        <f>'Kermeli Data'!J61</f>
        <v/>
      </c>
      <c r="J54">
        <f>'Kermeli Data'!K61</f>
        <v/>
      </c>
      <c r="K54">
        <f>IFERROR(_xlfn.XLOOKUP(A54,'product map'!$A$14:$A$36,'product map'!$G$14:$G$36),"pending")</f>
        <v/>
      </c>
      <c r="L54">
        <f>H54*cpi!$B$12*cpi!$B$10</f>
        <v/>
      </c>
      <c r="M54">
        <f>J54*cpi!$B$12*cpi!$B$10</f>
        <v/>
      </c>
      <c r="N54">
        <f>IF(I54&gt;0,AL54/(1-(1+AL54)^-I54),"")</f>
        <v/>
      </c>
      <c r="O54">
        <f>L54*N54+M54</f>
        <v/>
      </c>
      <c r="P54">
        <f>MAX(F54,0)+MAX(G54,0)</f>
        <v/>
      </c>
      <c r="Q54">
        <f>IF(P54&gt;0,MAX(F54,0)/P54,0)</f>
        <v/>
      </c>
      <c r="R54">
        <f>IF(P54&gt;0,MAX(G54,0)/P54,0)</f>
        <v/>
      </c>
      <c r="S54">
        <f>IF(P54&gt;0,O54/P54,"")</f>
        <v/>
      </c>
      <c r="T54">
        <f>IF(P54&gt;0,S54/$AE$3,"")</f>
        <v/>
      </c>
      <c r="U54">
        <f>IF(AND(P54&gt;0,Q54&gt;0),T54,"")</f>
        <v/>
      </c>
      <c r="V54">
        <f>IF(AND(P54&gt;0,R54&gt;0),T54,"")</f>
        <v/>
      </c>
      <c r="W54">
        <f>IF(I54&gt;0,$AE$2/(1-(1+$AE$2)^-I54),"")</f>
        <v/>
      </c>
      <c r="X54">
        <f>L54*W54+M54</f>
        <v/>
      </c>
      <c r="Y54">
        <f>IF(P54&gt;0,(X54/P54)/$AE$3,"")</f>
        <v/>
      </c>
      <c r="Z54">
        <f>IF(AND(ISNUMBER(K54),Q54&gt;0),MAX(F54,0)*K54*1000000*E54,"pending")</f>
        <v/>
      </c>
      <c r="AA54">
        <f>IF(AND(ISNUMBER(K54),R54&gt;0),MAX(G54,0)*K54*1000000*E54,"pending")</f>
        <v/>
      </c>
      <c r="AB54">
        <f>IF(AND(ISNUMBER(S54),S54&lt;0),"NEG-CCE","")&amp;IF(NOT(ISNUMBER(K54)),"|pending tonnage","")</f>
        <v/>
      </c>
      <c r="AG54">
        <f>IFERROR(_xlfn.XLOOKUP(A54,'product map'!$A$14:$A$36,'product map'!$C$14:$C$36),"?")</f>
        <v/>
      </c>
      <c r="AH54">
        <f>IFERROR((Z54*0.000000947817)/_xlfn.XLOOKUP(AG54,'energy base (MECS)'!$K$4:$K$9,'energy base (MECS)'!$F$4:$F$9),0)</f>
        <v/>
      </c>
      <c r="AI54">
        <f>IFERROR((AA54*0.000000947817)/_xlfn.XLOOKUP(AG54,'energy base (MECS)'!$K$4:$K$9,'energy base (MECS)'!$I$4:$I$9),0)</f>
        <v/>
      </c>
      <c r="AJ54">
        <f>MAX(0.3*ABS(AK54),0.000001)</f>
        <v/>
      </c>
      <c r="AK54">
        <f>IF(ISNUMBER(T54),T54,0)</f>
        <v/>
      </c>
      <c r="AL54">
        <f>IFERROR(_xlfn.XLOOKUP(AG54,'BCoISC-WACCbI'!$C$2:$C$26,'BCoISC-WACCbI'!$B$2:$B$26)+$AE$4,0.1)</f>
        <v/>
      </c>
      <c r="AM54">
        <f>IF(P54&gt;0,L54/P54/0.947817,0)</f>
        <v/>
      </c>
      <c r="AN54">
        <f>IF(AND(P54&gt;0,ISNUMBER(K54)),L54*K54*1000000*E54,0)</f>
        <v/>
      </c>
    </row>
    <row r="55">
      <c r="A55">
        <f>'Kermeli Data'!A62</f>
        <v/>
      </c>
      <c r="B55">
        <f>'Kermeli Data'!B62</f>
        <v/>
      </c>
      <c r="C55">
        <f>'Kermeli Data'!P62</f>
        <v/>
      </c>
      <c r="D55">
        <f>IF(C55="2 whr","whr",IF(C55="3 proc","process","EXCLUDED"))</f>
        <v/>
      </c>
      <c r="E55">
        <f>'Kermeli Data'!E62</f>
        <v/>
      </c>
      <c r="F55">
        <f>'Kermeli Data'!F62</f>
        <v/>
      </c>
      <c r="G55">
        <f>'Kermeli Data'!G62</f>
        <v/>
      </c>
      <c r="H55">
        <f>'Kermeli Data'!I62</f>
        <v/>
      </c>
      <c r="I55">
        <f>'Kermeli Data'!J62</f>
        <v/>
      </c>
      <c r="J55">
        <f>'Kermeli Data'!K62</f>
        <v/>
      </c>
      <c r="K55">
        <f>IFERROR(_xlfn.XLOOKUP(A55,'product map'!$A$14:$A$36,'product map'!$G$14:$G$36),"pending")</f>
        <v/>
      </c>
      <c r="L55">
        <f>H55*cpi!$B$12*cpi!$B$10</f>
        <v/>
      </c>
      <c r="M55">
        <f>J55*cpi!$B$12*cpi!$B$10</f>
        <v/>
      </c>
      <c r="N55">
        <f>IF(I55&gt;0,AL55/(1-(1+AL55)^-I55),"")</f>
        <v/>
      </c>
      <c r="O55">
        <f>L55*N55+M55</f>
        <v/>
      </c>
      <c r="P55">
        <f>MAX(F55,0)+MAX(G55,0)</f>
        <v/>
      </c>
      <c r="Q55">
        <f>IF(P55&gt;0,MAX(F55,0)/P55,0)</f>
        <v/>
      </c>
      <c r="R55">
        <f>IF(P55&gt;0,MAX(G55,0)/P55,0)</f>
        <v/>
      </c>
      <c r="S55">
        <f>IF(P55&gt;0,O55/P55,"")</f>
        <v/>
      </c>
      <c r="T55">
        <f>IF(P55&gt;0,S55/$AE$3,"")</f>
        <v/>
      </c>
      <c r="U55">
        <f>IF(AND(P55&gt;0,Q55&gt;0),T55,"")</f>
        <v/>
      </c>
      <c r="V55">
        <f>IF(AND(P55&gt;0,R55&gt;0),T55,"")</f>
        <v/>
      </c>
      <c r="W55">
        <f>IF(I55&gt;0,$AE$2/(1-(1+$AE$2)^-I55),"")</f>
        <v/>
      </c>
      <c r="X55">
        <f>L55*W55+M55</f>
        <v/>
      </c>
      <c r="Y55">
        <f>IF(P55&gt;0,(X55/P55)/$AE$3,"")</f>
        <v/>
      </c>
      <c r="Z55">
        <f>IF(AND(ISNUMBER(K55),Q55&gt;0),MAX(F55,0)*K55*1000000*E55,"pending")</f>
        <v/>
      </c>
      <c r="AA55">
        <f>IF(AND(ISNUMBER(K55),R55&gt;0),MAX(G55,0)*K55*1000000*E55,"pending")</f>
        <v/>
      </c>
      <c r="AB55">
        <f>IF(AND(ISNUMBER(S55),S55&lt;0),"NEG-CCE","")&amp;IF(NOT(ISNUMBER(K55)),"|pending tonnage","")</f>
        <v/>
      </c>
      <c r="AG55">
        <f>IFERROR(_xlfn.XLOOKUP(A55,'product map'!$A$14:$A$36,'product map'!$C$14:$C$36),"?")</f>
        <v/>
      </c>
      <c r="AH55">
        <f>IFERROR((Z55*0.000000947817)/_xlfn.XLOOKUP(AG55,'energy base (MECS)'!$K$4:$K$9,'energy base (MECS)'!$F$4:$F$9),0)</f>
        <v/>
      </c>
      <c r="AI55">
        <f>IFERROR((AA55*0.000000947817)/_xlfn.XLOOKUP(AG55,'energy base (MECS)'!$K$4:$K$9,'energy base (MECS)'!$I$4:$I$9),0)</f>
        <v/>
      </c>
      <c r="AJ55">
        <f>MAX(0.3*ABS(AK55),0.000001)</f>
        <v/>
      </c>
      <c r="AK55">
        <f>IF(ISNUMBER(T55),T55,0)</f>
        <v/>
      </c>
      <c r="AL55">
        <f>IFERROR(_xlfn.XLOOKUP(AG55,'BCoISC-WACCbI'!$C$2:$C$26,'BCoISC-WACCbI'!$B$2:$B$26)+$AE$4,0.1)</f>
        <v/>
      </c>
      <c r="AM55">
        <f>IF(P55&gt;0,L55/P55/0.947817,0)</f>
        <v/>
      </c>
      <c r="AN55">
        <f>IF(AND(P55&gt;0,ISNUMBER(K55)),L55*K55*1000000*E55,0)</f>
        <v/>
      </c>
    </row>
    <row r="56">
      <c r="A56">
        <f>'Kermeli Data'!A63</f>
        <v/>
      </c>
      <c r="B56">
        <f>'Kermeli Data'!B63</f>
        <v/>
      </c>
      <c r="C56">
        <f>'Kermeli Data'!P63</f>
        <v/>
      </c>
      <c r="D56">
        <f>IF(C56="2 whr","whr",IF(C56="3 proc","process","EXCLUDED"))</f>
        <v/>
      </c>
      <c r="E56">
        <f>'Kermeli Data'!E63</f>
        <v/>
      </c>
      <c r="F56">
        <f>'Kermeli Data'!F63</f>
        <v/>
      </c>
      <c r="G56">
        <f>'Kermeli Data'!G63</f>
        <v/>
      </c>
      <c r="H56">
        <f>'Kermeli Data'!I63</f>
        <v/>
      </c>
      <c r="I56">
        <f>'Kermeli Data'!J63</f>
        <v/>
      </c>
      <c r="J56">
        <f>'Kermeli Data'!K63</f>
        <v/>
      </c>
      <c r="K56">
        <f>IFERROR(_xlfn.XLOOKUP(A56,'product map'!$A$14:$A$36,'product map'!$G$14:$G$36),"pending")</f>
        <v/>
      </c>
      <c r="L56">
        <f>H56*cpi!$B$12*cpi!$B$10</f>
        <v/>
      </c>
      <c r="M56">
        <f>J56*cpi!$B$12*cpi!$B$10</f>
        <v/>
      </c>
      <c r="N56">
        <f>IF(I56&gt;0,AL56/(1-(1+AL56)^-I56),"")</f>
        <v/>
      </c>
      <c r="O56">
        <f>L56*N56+M56</f>
        <v/>
      </c>
      <c r="P56">
        <f>MAX(F56,0)+MAX(G56,0)</f>
        <v/>
      </c>
      <c r="Q56">
        <f>IF(P56&gt;0,MAX(F56,0)/P56,0)</f>
        <v/>
      </c>
      <c r="R56">
        <f>IF(P56&gt;0,MAX(G56,0)/P56,0)</f>
        <v/>
      </c>
      <c r="S56">
        <f>IF(P56&gt;0,O56/P56,"")</f>
        <v/>
      </c>
      <c r="T56">
        <f>IF(P56&gt;0,S56/$AE$3,"")</f>
        <v/>
      </c>
      <c r="U56">
        <f>IF(AND(P56&gt;0,Q56&gt;0),T56,"")</f>
        <v/>
      </c>
      <c r="V56">
        <f>IF(AND(P56&gt;0,R56&gt;0),T56,"")</f>
        <v/>
      </c>
      <c r="W56">
        <f>IF(I56&gt;0,$AE$2/(1-(1+$AE$2)^-I56),"")</f>
        <v/>
      </c>
      <c r="X56">
        <f>L56*W56+M56</f>
        <v/>
      </c>
      <c r="Y56">
        <f>IF(P56&gt;0,(X56/P56)/$AE$3,"")</f>
        <v/>
      </c>
      <c r="Z56">
        <f>IF(AND(ISNUMBER(K56),Q56&gt;0),MAX(F56,0)*K56*1000000*E56,"pending")</f>
        <v/>
      </c>
      <c r="AA56">
        <f>IF(AND(ISNUMBER(K56),R56&gt;0),MAX(G56,0)*K56*1000000*E56,"pending")</f>
        <v/>
      </c>
      <c r="AB56">
        <f>IF(AND(ISNUMBER(S56),S56&lt;0),"NEG-CCE","")&amp;IF(NOT(ISNUMBER(K56)),"|pending tonnage","")</f>
        <v/>
      </c>
      <c r="AG56">
        <f>IFERROR(_xlfn.XLOOKUP(A56,'product map'!$A$14:$A$36,'product map'!$C$14:$C$36),"?")</f>
        <v/>
      </c>
      <c r="AH56">
        <f>IFERROR((Z56*0.000000947817)/_xlfn.XLOOKUP(AG56,'energy base (MECS)'!$K$4:$K$9,'energy base (MECS)'!$F$4:$F$9),0)</f>
        <v/>
      </c>
      <c r="AI56">
        <f>IFERROR((AA56*0.000000947817)/_xlfn.XLOOKUP(AG56,'energy base (MECS)'!$K$4:$K$9,'energy base (MECS)'!$I$4:$I$9),0)</f>
        <v/>
      </c>
      <c r="AJ56">
        <f>MAX(0.3*ABS(AK56),0.000001)</f>
        <v/>
      </c>
      <c r="AK56">
        <f>IF(ISNUMBER(T56),T56,0)</f>
        <v/>
      </c>
      <c r="AL56">
        <f>IFERROR(_xlfn.XLOOKUP(AG56,'BCoISC-WACCbI'!$C$2:$C$26,'BCoISC-WACCbI'!$B$2:$B$26)+$AE$4,0.1)</f>
        <v/>
      </c>
      <c r="AM56">
        <f>IF(P56&gt;0,L56/P56/0.947817,0)</f>
        <v/>
      </c>
      <c r="AN56">
        <f>IF(AND(P56&gt;0,ISNUMBER(K56)),L56*K56*1000000*E56,0)</f>
        <v/>
      </c>
    </row>
    <row r="57">
      <c r="A57">
        <f>'Kermeli Data'!A64</f>
        <v/>
      </c>
      <c r="B57">
        <f>'Kermeli Data'!B64</f>
        <v/>
      </c>
      <c r="C57">
        <f>'Kermeli Data'!P64</f>
        <v/>
      </c>
      <c r="D57">
        <f>IF(C57="2 whr","whr",IF(C57="3 proc","process","EXCLUDED"))</f>
        <v/>
      </c>
      <c r="E57">
        <f>'Kermeli Data'!E64</f>
        <v/>
      </c>
      <c r="F57">
        <f>'Kermeli Data'!F64</f>
        <v/>
      </c>
      <c r="G57">
        <f>'Kermeli Data'!G64</f>
        <v/>
      </c>
      <c r="H57">
        <f>'Kermeli Data'!I64</f>
        <v/>
      </c>
      <c r="I57">
        <f>'Kermeli Data'!J64</f>
        <v/>
      </c>
      <c r="J57">
        <f>'Kermeli Data'!K64</f>
        <v/>
      </c>
      <c r="K57">
        <f>IFERROR(_xlfn.XLOOKUP(A57,'product map'!$A$14:$A$36,'product map'!$G$14:$G$36),"pending")</f>
        <v/>
      </c>
      <c r="L57">
        <f>H57*cpi!$B$12*cpi!$B$10</f>
        <v/>
      </c>
      <c r="M57">
        <f>J57*cpi!$B$12*cpi!$B$10</f>
        <v/>
      </c>
      <c r="N57">
        <f>IF(I57&gt;0,AL57/(1-(1+AL57)^-I57),"")</f>
        <v/>
      </c>
      <c r="O57">
        <f>L57*N57+M57</f>
        <v/>
      </c>
      <c r="P57">
        <f>MAX(F57,0)+MAX(G57,0)</f>
        <v/>
      </c>
      <c r="Q57">
        <f>IF(P57&gt;0,MAX(F57,0)/P57,0)</f>
        <v/>
      </c>
      <c r="R57">
        <f>IF(P57&gt;0,MAX(G57,0)/P57,0)</f>
        <v/>
      </c>
      <c r="S57">
        <f>IF(P57&gt;0,O57/P57,"")</f>
        <v/>
      </c>
      <c r="T57">
        <f>IF(P57&gt;0,S57/$AE$3,"")</f>
        <v/>
      </c>
      <c r="U57">
        <f>IF(AND(P57&gt;0,Q57&gt;0),T57,"")</f>
        <v/>
      </c>
      <c r="V57">
        <f>IF(AND(P57&gt;0,R57&gt;0),T57,"")</f>
        <v/>
      </c>
      <c r="W57">
        <f>IF(I57&gt;0,$AE$2/(1-(1+$AE$2)^-I57),"")</f>
        <v/>
      </c>
      <c r="X57">
        <f>L57*W57+M57</f>
        <v/>
      </c>
      <c r="Y57">
        <f>IF(P57&gt;0,(X57/P57)/$AE$3,"")</f>
        <v/>
      </c>
      <c r="Z57">
        <f>IF(AND(ISNUMBER(K57),Q57&gt;0),MAX(F57,0)*K57*1000000*E57,"pending")</f>
        <v/>
      </c>
      <c r="AA57">
        <f>IF(AND(ISNUMBER(K57),R57&gt;0),MAX(G57,0)*K57*1000000*E57,"pending")</f>
        <v/>
      </c>
      <c r="AB57">
        <f>IF(AND(ISNUMBER(S57),S57&lt;0),"NEG-CCE","")&amp;IF(NOT(ISNUMBER(K57)),"|pending tonnage","")</f>
        <v/>
      </c>
      <c r="AG57">
        <f>IFERROR(_xlfn.XLOOKUP(A57,'product map'!$A$14:$A$36,'product map'!$C$14:$C$36),"?")</f>
        <v/>
      </c>
      <c r="AH57">
        <f>IFERROR((Z57*0.000000947817)/_xlfn.XLOOKUP(AG57,'energy base (MECS)'!$K$4:$K$9,'energy base (MECS)'!$F$4:$F$9),0)</f>
        <v/>
      </c>
      <c r="AI57">
        <f>IFERROR((AA57*0.000000947817)/_xlfn.XLOOKUP(AG57,'energy base (MECS)'!$K$4:$K$9,'energy base (MECS)'!$I$4:$I$9),0)</f>
        <v/>
      </c>
      <c r="AJ57">
        <f>MAX(0.3*ABS(AK57),0.000001)</f>
        <v/>
      </c>
      <c r="AK57">
        <f>IF(ISNUMBER(T57),T57,0)</f>
        <v/>
      </c>
      <c r="AL57">
        <f>IFERROR(_xlfn.XLOOKUP(AG57,'BCoISC-WACCbI'!$C$2:$C$26,'BCoISC-WACCbI'!$B$2:$B$26)+$AE$4,0.1)</f>
        <v/>
      </c>
      <c r="AM57">
        <f>IF(P57&gt;0,L57/P57/0.947817,0)</f>
        <v/>
      </c>
      <c r="AN57">
        <f>IF(AND(P57&gt;0,ISNUMBER(K57)),L57*K57*1000000*E57,0)</f>
        <v/>
      </c>
    </row>
    <row r="58">
      <c r="A58">
        <f>'Kermeli Data'!A65</f>
        <v/>
      </c>
      <c r="B58">
        <f>'Kermeli Data'!B65</f>
        <v/>
      </c>
      <c r="C58">
        <f>'Kermeli Data'!P65</f>
        <v/>
      </c>
      <c r="D58">
        <f>IF(C58="2 whr","whr",IF(C58="3 proc","process","EXCLUDED"))</f>
        <v/>
      </c>
      <c r="E58">
        <f>'Kermeli Data'!E65</f>
        <v/>
      </c>
      <c r="F58">
        <f>'Kermeli Data'!F65</f>
        <v/>
      </c>
      <c r="G58">
        <f>'Kermeli Data'!G65</f>
        <v/>
      </c>
      <c r="H58">
        <f>'Kermeli Data'!I65</f>
        <v/>
      </c>
      <c r="I58">
        <f>'Kermeli Data'!J65</f>
        <v/>
      </c>
      <c r="J58">
        <f>'Kermeli Data'!K65</f>
        <v/>
      </c>
      <c r="K58">
        <f>IFERROR(_xlfn.XLOOKUP(A58,'product map'!$A$14:$A$36,'product map'!$G$14:$G$36),"pending")</f>
        <v/>
      </c>
      <c r="L58">
        <f>H58*cpi!$B$12*cpi!$B$10</f>
        <v/>
      </c>
      <c r="M58">
        <f>J58*cpi!$B$12*cpi!$B$10</f>
        <v/>
      </c>
      <c r="N58">
        <f>IF(I58&gt;0,AL58/(1-(1+AL58)^-I58),"")</f>
        <v/>
      </c>
      <c r="O58">
        <f>L58*N58+M58</f>
        <v/>
      </c>
      <c r="P58">
        <f>MAX(F58,0)+MAX(G58,0)</f>
        <v/>
      </c>
      <c r="Q58">
        <f>IF(P58&gt;0,MAX(F58,0)/P58,0)</f>
        <v/>
      </c>
      <c r="R58">
        <f>IF(P58&gt;0,MAX(G58,0)/P58,0)</f>
        <v/>
      </c>
      <c r="S58">
        <f>IF(P58&gt;0,O58/P58,"")</f>
        <v/>
      </c>
      <c r="T58">
        <f>IF(P58&gt;0,S58/$AE$3,"")</f>
        <v/>
      </c>
      <c r="U58">
        <f>IF(AND(P58&gt;0,Q58&gt;0),T58,"")</f>
        <v/>
      </c>
      <c r="V58">
        <f>IF(AND(P58&gt;0,R58&gt;0),T58,"")</f>
        <v/>
      </c>
      <c r="W58">
        <f>IF(I58&gt;0,$AE$2/(1-(1+$AE$2)^-I58),"")</f>
        <v/>
      </c>
      <c r="X58">
        <f>L58*W58+M58</f>
        <v/>
      </c>
      <c r="Y58">
        <f>IF(P58&gt;0,(X58/P58)/$AE$3,"")</f>
        <v/>
      </c>
      <c r="Z58">
        <f>IF(AND(ISNUMBER(K58),Q58&gt;0),MAX(F58,0)*K58*1000000*E58,"pending")</f>
        <v/>
      </c>
      <c r="AA58">
        <f>IF(AND(ISNUMBER(K58),R58&gt;0),MAX(G58,0)*K58*1000000*E58,"pending")</f>
        <v/>
      </c>
      <c r="AB58">
        <f>IF(AND(ISNUMBER(S58),S58&lt;0),"NEG-CCE","")&amp;IF(NOT(ISNUMBER(K58)),"|pending tonnage","")</f>
        <v/>
      </c>
      <c r="AG58">
        <f>IFERROR(_xlfn.XLOOKUP(A58,'product map'!$A$14:$A$36,'product map'!$C$14:$C$36),"?")</f>
        <v/>
      </c>
      <c r="AH58">
        <f>IFERROR((Z58*0.000000947817)/_xlfn.XLOOKUP(AG58,'energy base (MECS)'!$K$4:$K$9,'energy base (MECS)'!$F$4:$F$9),0)</f>
        <v/>
      </c>
      <c r="AI58">
        <f>IFERROR((AA58*0.000000947817)/_xlfn.XLOOKUP(AG58,'energy base (MECS)'!$K$4:$K$9,'energy base (MECS)'!$I$4:$I$9),0)</f>
        <v/>
      </c>
      <c r="AJ58">
        <f>MAX(0.3*ABS(AK58),0.000001)</f>
        <v/>
      </c>
      <c r="AK58">
        <f>IF(ISNUMBER(T58),T58,0)</f>
        <v/>
      </c>
      <c r="AL58">
        <f>IFERROR(_xlfn.XLOOKUP(AG58,'BCoISC-WACCbI'!$C$2:$C$26,'BCoISC-WACCbI'!$B$2:$B$26)+$AE$4,0.1)</f>
        <v/>
      </c>
      <c r="AM58">
        <f>IF(P58&gt;0,L58/P58/0.947817,0)</f>
        <v/>
      </c>
      <c r="AN58">
        <f>IF(AND(P58&gt;0,ISNUMBER(K58)),L58*K58*1000000*E58,0)</f>
        <v/>
      </c>
    </row>
    <row r="59">
      <c r="A59">
        <f>'Kermeli Data'!A66</f>
        <v/>
      </c>
      <c r="B59">
        <f>'Kermeli Data'!B66</f>
        <v/>
      </c>
      <c r="C59">
        <f>'Kermeli Data'!P66</f>
        <v/>
      </c>
      <c r="D59">
        <f>IF(C59="2 whr","whr",IF(C59="3 proc","process","EXCLUDED"))</f>
        <v/>
      </c>
      <c r="E59">
        <f>'Kermeli Data'!E66</f>
        <v/>
      </c>
      <c r="F59">
        <f>'Kermeli Data'!F66</f>
        <v/>
      </c>
      <c r="G59">
        <f>'Kermeli Data'!G66</f>
        <v/>
      </c>
      <c r="H59">
        <f>'Kermeli Data'!I66</f>
        <v/>
      </c>
      <c r="I59">
        <f>'Kermeli Data'!J66</f>
        <v/>
      </c>
      <c r="J59">
        <f>'Kermeli Data'!K66</f>
        <v/>
      </c>
      <c r="K59">
        <f>IFERROR(_xlfn.XLOOKUP(A59,'product map'!$A$14:$A$36,'product map'!$G$14:$G$36),"pending")</f>
        <v/>
      </c>
      <c r="L59">
        <f>H59*cpi!$B$12*cpi!$B$10</f>
        <v/>
      </c>
      <c r="M59">
        <f>J59*cpi!$B$12*cpi!$B$10</f>
        <v/>
      </c>
      <c r="N59">
        <f>IF(I59&gt;0,AL59/(1-(1+AL59)^-I59),"")</f>
        <v/>
      </c>
      <c r="O59">
        <f>L59*N59+M59</f>
        <v/>
      </c>
      <c r="P59">
        <f>MAX(F59,0)+MAX(G59,0)</f>
        <v/>
      </c>
      <c r="Q59">
        <f>IF(P59&gt;0,MAX(F59,0)/P59,0)</f>
        <v/>
      </c>
      <c r="R59">
        <f>IF(P59&gt;0,MAX(G59,0)/P59,0)</f>
        <v/>
      </c>
      <c r="S59">
        <f>IF(P59&gt;0,O59/P59,"")</f>
        <v/>
      </c>
      <c r="T59">
        <f>IF(P59&gt;0,S59/$AE$3,"")</f>
        <v/>
      </c>
      <c r="U59">
        <f>IF(AND(P59&gt;0,Q59&gt;0),T59,"")</f>
        <v/>
      </c>
      <c r="V59">
        <f>IF(AND(P59&gt;0,R59&gt;0),T59,"")</f>
        <v/>
      </c>
      <c r="W59">
        <f>IF(I59&gt;0,$AE$2/(1-(1+$AE$2)^-I59),"")</f>
        <v/>
      </c>
      <c r="X59">
        <f>L59*W59+M59</f>
        <v/>
      </c>
      <c r="Y59">
        <f>IF(P59&gt;0,(X59/P59)/$AE$3,"")</f>
        <v/>
      </c>
      <c r="Z59">
        <f>IF(AND(ISNUMBER(K59),Q59&gt;0),MAX(F59,0)*K59*1000000*E59,"pending")</f>
        <v/>
      </c>
      <c r="AA59">
        <f>IF(AND(ISNUMBER(K59),R59&gt;0),MAX(G59,0)*K59*1000000*E59,"pending")</f>
        <v/>
      </c>
      <c r="AB59">
        <f>IF(AND(ISNUMBER(S59),S59&lt;0),"NEG-CCE","")&amp;IF(NOT(ISNUMBER(K59)),"|pending tonnage","")</f>
        <v/>
      </c>
      <c r="AG59">
        <f>IFERROR(_xlfn.XLOOKUP(A59,'product map'!$A$14:$A$36,'product map'!$C$14:$C$36),"?")</f>
        <v/>
      </c>
      <c r="AH59">
        <f>IFERROR((Z59*0.000000947817)/_xlfn.XLOOKUP(AG59,'energy base (MECS)'!$K$4:$K$9,'energy base (MECS)'!$F$4:$F$9),0)</f>
        <v/>
      </c>
      <c r="AI59">
        <f>IFERROR((AA59*0.000000947817)/_xlfn.XLOOKUP(AG59,'energy base (MECS)'!$K$4:$K$9,'energy base (MECS)'!$I$4:$I$9),0)</f>
        <v/>
      </c>
      <c r="AJ59">
        <f>MAX(0.3*ABS(AK59),0.000001)</f>
        <v/>
      </c>
      <c r="AK59">
        <f>IF(ISNUMBER(T59),T59,0)</f>
        <v/>
      </c>
      <c r="AL59">
        <f>IFERROR(_xlfn.XLOOKUP(AG59,'BCoISC-WACCbI'!$C$2:$C$26,'BCoISC-WACCbI'!$B$2:$B$26)+$AE$4,0.1)</f>
        <v/>
      </c>
      <c r="AM59">
        <f>IF(P59&gt;0,L59/P59/0.947817,0)</f>
        <v/>
      </c>
      <c r="AN59">
        <f>IF(AND(P59&gt;0,ISNUMBER(K59)),L59*K59*1000000*E59,0)</f>
        <v/>
      </c>
    </row>
    <row r="60">
      <c r="A60">
        <f>'Kermeli Data'!A67</f>
        <v/>
      </c>
      <c r="B60">
        <f>'Kermeli Data'!B67</f>
        <v/>
      </c>
      <c r="C60">
        <f>'Kermeli Data'!P67</f>
        <v/>
      </c>
      <c r="D60">
        <f>IF(C60="2 whr","whr",IF(C60="3 proc","process","EXCLUDED"))</f>
        <v/>
      </c>
      <c r="E60">
        <f>'Kermeli Data'!E67</f>
        <v/>
      </c>
      <c r="F60">
        <f>'Kermeli Data'!F67</f>
        <v/>
      </c>
      <c r="G60">
        <f>'Kermeli Data'!G67</f>
        <v/>
      </c>
      <c r="H60">
        <f>'Kermeli Data'!I67</f>
        <v/>
      </c>
      <c r="I60">
        <f>'Kermeli Data'!J67</f>
        <v/>
      </c>
      <c r="J60">
        <f>'Kermeli Data'!K67</f>
        <v/>
      </c>
      <c r="K60">
        <f>IFERROR(_xlfn.XLOOKUP(A60,'product map'!$A$14:$A$36,'product map'!$G$14:$G$36),"pending")</f>
        <v/>
      </c>
      <c r="L60">
        <f>H60*cpi!$B$12*cpi!$B$10</f>
        <v/>
      </c>
      <c r="M60">
        <f>J60*cpi!$B$12*cpi!$B$10</f>
        <v/>
      </c>
      <c r="N60">
        <f>IF(I60&gt;0,AL60/(1-(1+AL60)^-I60),"")</f>
        <v/>
      </c>
      <c r="O60">
        <f>L60*N60+M60</f>
        <v/>
      </c>
      <c r="P60">
        <f>MAX(F60,0)+MAX(G60,0)</f>
        <v/>
      </c>
      <c r="Q60">
        <f>IF(P60&gt;0,MAX(F60,0)/P60,0)</f>
        <v/>
      </c>
      <c r="R60">
        <f>IF(P60&gt;0,MAX(G60,0)/P60,0)</f>
        <v/>
      </c>
      <c r="S60">
        <f>IF(P60&gt;0,O60/P60,"")</f>
        <v/>
      </c>
      <c r="T60">
        <f>IF(P60&gt;0,S60/$AE$3,"")</f>
        <v/>
      </c>
      <c r="U60">
        <f>IF(AND(P60&gt;0,Q60&gt;0),T60,"")</f>
        <v/>
      </c>
      <c r="V60">
        <f>IF(AND(P60&gt;0,R60&gt;0),T60,"")</f>
        <v/>
      </c>
      <c r="W60">
        <f>IF(I60&gt;0,$AE$2/(1-(1+$AE$2)^-I60),"")</f>
        <v/>
      </c>
      <c r="X60">
        <f>L60*W60+M60</f>
        <v/>
      </c>
      <c r="Y60">
        <f>IF(P60&gt;0,(X60/P60)/$AE$3,"")</f>
        <v/>
      </c>
      <c r="Z60">
        <f>IF(AND(ISNUMBER(K60),Q60&gt;0),MAX(F60,0)*K60*1000000*E60,"pending")</f>
        <v/>
      </c>
      <c r="AA60">
        <f>IF(AND(ISNUMBER(K60),R60&gt;0),MAX(G60,0)*K60*1000000*E60,"pending")</f>
        <v/>
      </c>
      <c r="AB60">
        <f>IF(AND(ISNUMBER(S60),S60&lt;0),"NEG-CCE","")&amp;IF(NOT(ISNUMBER(K60)),"|pending tonnage","")</f>
        <v/>
      </c>
      <c r="AG60">
        <f>IFERROR(_xlfn.XLOOKUP(A60,'product map'!$A$14:$A$36,'product map'!$C$14:$C$36),"?")</f>
        <v/>
      </c>
      <c r="AH60">
        <f>IFERROR((Z60*0.000000947817)/_xlfn.XLOOKUP(AG60,'energy base (MECS)'!$K$4:$K$9,'energy base (MECS)'!$F$4:$F$9),0)</f>
        <v/>
      </c>
      <c r="AI60">
        <f>IFERROR((AA60*0.000000947817)/_xlfn.XLOOKUP(AG60,'energy base (MECS)'!$K$4:$K$9,'energy base (MECS)'!$I$4:$I$9),0)</f>
        <v/>
      </c>
      <c r="AJ60">
        <f>MAX(0.3*ABS(AK60),0.000001)</f>
        <v/>
      </c>
      <c r="AK60">
        <f>IF(ISNUMBER(T60),T60,0)</f>
        <v/>
      </c>
      <c r="AL60">
        <f>IFERROR(_xlfn.XLOOKUP(AG60,'BCoISC-WACCbI'!$C$2:$C$26,'BCoISC-WACCbI'!$B$2:$B$26)+$AE$4,0.1)</f>
        <v/>
      </c>
      <c r="AM60">
        <f>IF(P60&gt;0,L60/P60/0.947817,0)</f>
        <v/>
      </c>
      <c r="AN60">
        <f>IF(AND(P60&gt;0,ISNUMBER(K60)),L60*K60*1000000*E60,0)</f>
        <v/>
      </c>
    </row>
    <row r="61">
      <c r="A61">
        <f>'Kermeli Data'!A68</f>
        <v/>
      </c>
      <c r="B61">
        <f>'Kermeli Data'!B68</f>
        <v/>
      </c>
      <c r="C61">
        <f>'Kermeli Data'!P68</f>
        <v/>
      </c>
      <c r="D61">
        <f>IF(C61="2 whr","whr",IF(C61="3 proc","process","EXCLUDED"))</f>
        <v/>
      </c>
      <c r="E61">
        <f>'Kermeli Data'!E68</f>
        <v/>
      </c>
      <c r="F61">
        <f>'Kermeli Data'!F68</f>
        <v/>
      </c>
      <c r="G61">
        <f>'Kermeli Data'!G68</f>
        <v/>
      </c>
      <c r="H61">
        <f>'Kermeli Data'!I68</f>
        <v/>
      </c>
      <c r="I61">
        <f>'Kermeli Data'!J68</f>
        <v/>
      </c>
      <c r="J61">
        <f>'Kermeli Data'!K68</f>
        <v/>
      </c>
      <c r="K61">
        <f>IFERROR(_xlfn.XLOOKUP(A61,'product map'!$A$14:$A$36,'product map'!$G$14:$G$36),"pending")</f>
        <v/>
      </c>
      <c r="L61">
        <f>H61*cpi!$B$12*cpi!$B$10</f>
        <v/>
      </c>
      <c r="M61">
        <f>J61*cpi!$B$12*cpi!$B$10</f>
        <v/>
      </c>
      <c r="N61">
        <f>IF(I61&gt;0,AL61/(1-(1+AL61)^-I61),"")</f>
        <v/>
      </c>
      <c r="O61">
        <f>L61*N61+M61</f>
        <v/>
      </c>
      <c r="P61">
        <f>MAX(F61,0)+MAX(G61,0)</f>
        <v/>
      </c>
      <c r="Q61">
        <f>IF(P61&gt;0,MAX(F61,0)/P61,0)</f>
        <v/>
      </c>
      <c r="R61">
        <f>IF(P61&gt;0,MAX(G61,0)/P61,0)</f>
        <v/>
      </c>
      <c r="S61">
        <f>IF(P61&gt;0,O61/P61,"")</f>
        <v/>
      </c>
      <c r="T61">
        <f>IF(P61&gt;0,S61/$AE$3,"")</f>
        <v/>
      </c>
      <c r="U61">
        <f>IF(AND(P61&gt;0,Q61&gt;0),T61,"")</f>
        <v/>
      </c>
      <c r="V61">
        <f>IF(AND(P61&gt;0,R61&gt;0),T61,"")</f>
        <v/>
      </c>
      <c r="W61">
        <f>IF(I61&gt;0,$AE$2/(1-(1+$AE$2)^-I61),"")</f>
        <v/>
      </c>
      <c r="X61">
        <f>L61*W61+M61</f>
        <v/>
      </c>
      <c r="Y61">
        <f>IF(P61&gt;0,(X61/P61)/$AE$3,"")</f>
        <v/>
      </c>
      <c r="Z61">
        <f>IF(AND(ISNUMBER(K61),Q61&gt;0),MAX(F61,0)*K61*1000000*E61,"pending")</f>
        <v/>
      </c>
      <c r="AA61">
        <f>IF(AND(ISNUMBER(K61),R61&gt;0),MAX(G61,0)*K61*1000000*E61,"pending")</f>
        <v/>
      </c>
      <c r="AB61">
        <f>IF(AND(ISNUMBER(S61),S61&lt;0),"NEG-CCE","")&amp;IF(NOT(ISNUMBER(K61)),"|pending tonnage","")</f>
        <v/>
      </c>
      <c r="AG61">
        <f>IFERROR(_xlfn.XLOOKUP(A61,'product map'!$A$14:$A$36,'product map'!$C$14:$C$36),"?")</f>
        <v/>
      </c>
      <c r="AH61">
        <f>IFERROR((Z61*0.000000947817)/_xlfn.XLOOKUP(AG61,'energy base (MECS)'!$K$4:$K$9,'energy base (MECS)'!$F$4:$F$9),0)</f>
        <v/>
      </c>
      <c r="AI61">
        <f>IFERROR((AA61*0.000000947817)/_xlfn.XLOOKUP(AG61,'energy base (MECS)'!$K$4:$K$9,'energy base (MECS)'!$I$4:$I$9),0)</f>
        <v/>
      </c>
      <c r="AJ61">
        <f>MAX(0.3*ABS(AK61),0.000001)</f>
        <v/>
      </c>
      <c r="AK61">
        <f>IF(ISNUMBER(T61),T61,0)</f>
        <v/>
      </c>
      <c r="AL61">
        <f>IFERROR(_xlfn.XLOOKUP(AG61,'BCoISC-WACCbI'!$C$2:$C$26,'BCoISC-WACCbI'!$B$2:$B$26)+$AE$4,0.1)</f>
        <v/>
      </c>
      <c r="AM61">
        <f>IF(P61&gt;0,L61/P61/0.947817,0)</f>
        <v/>
      </c>
      <c r="AN61">
        <f>IF(AND(P61&gt;0,ISNUMBER(K61)),L61*K61*1000000*E61,0)</f>
        <v/>
      </c>
    </row>
    <row r="62">
      <c r="A62">
        <f>'Kermeli Data'!A69</f>
        <v/>
      </c>
      <c r="B62">
        <f>'Kermeli Data'!B69</f>
        <v/>
      </c>
      <c r="C62">
        <f>'Kermeli Data'!P69</f>
        <v/>
      </c>
      <c r="D62">
        <f>IF(C62="2 whr","whr",IF(C62="3 proc","process","EXCLUDED"))</f>
        <v/>
      </c>
      <c r="E62">
        <f>'Kermeli Data'!E69</f>
        <v/>
      </c>
      <c r="F62">
        <f>'Kermeli Data'!F69</f>
        <v/>
      </c>
      <c r="G62">
        <f>'Kermeli Data'!G69</f>
        <v/>
      </c>
      <c r="H62">
        <f>'Kermeli Data'!I69</f>
        <v/>
      </c>
      <c r="I62">
        <f>'Kermeli Data'!J69</f>
        <v/>
      </c>
      <c r="J62">
        <f>'Kermeli Data'!K69</f>
        <v/>
      </c>
      <c r="K62">
        <f>IFERROR(_xlfn.XLOOKUP(A62,'product map'!$A$14:$A$36,'product map'!$G$14:$G$36),"pending")</f>
        <v/>
      </c>
      <c r="L62">
        <f>H62*cpi!$B$12*cpi!$B$10</f>
        <v/>
      </c>
      <c r="M62">
        <f>J62*cpi!$B$12*cpi!$B$10</f>
        <v/>
      </c>
      <c r="N62">
        <f>IF(I62&gt;0,AL62/(1-(1+AL62)^-I62),"")</f>
        <v/>
      </c>
      <c r="O62">
        <f>L62*N62+M62</f>
        <v/>
      </c>
      <c r="P62">
        <f>MAX(F62,0)+MAX(G62,0)</f>
        <v/>
      </c>
      <c r="Q62">
        <f>IF(P62&gt;0,MAX(F62,0)/P62,0)</f>
        <v/>
      </c>
      <c r="R62">
        <f>IF(P62&gt;0,MAX(G62,0)/P62,0)</f>
        <v/>
      </c>
      <c r="S62">
        <f>IF(P62&gt;0,O62/P62,"")</f>
        <v/>
      </c>
      <c r="T62">
        <f>IF(P62&gt;0,S62/$AE$3,"")</f>
        <v/>
      </c>
      <c r="U62">
        <f>IF(AND(P62&gt;0,Q62&gt;0),T62,"")</f>
        <v/>
      </c>
      <c r="V62">
        <f>IF(AND(P62&gt;0,R62&gt;0),T62,"")</f>
        <v/>
      </c>
      <c r="W62">
        <f>IF(I62&gt;0,$AE$2/(1-(1+$AE$2)^-I62),"")</f>
        <v/>
      </c>
      <c r="X62">
        <f>L62*W62+M62</f>
        <v/>
      </c>
      <c r="Y62">
        <f>IF(P62&gt;0,(X62/P62)/$AE$3,"")</f>
        <v/>
      </c>
      <c r="Z62">
        <f>IF(AND(ISNUMBER(K62),Q62&gt;0),MAX(F62,0)*K62*1000000*E62,"pending")</f>
        <v/>
      </c>
      <c r="AA62">
        <f>IF(AND(ISNUMBER(K62),R62&gt;0),MAX(G62,0)*K62*1000000*E62,"pending")</f>
        <v/>
      </c>
      <c r="AB62">
        <f>IF(AND(ISNUMBER(S62),S62&lt;0),"NEG-CCE","")&amp;IF(NOT(ISNUMBER(K62)),"|pending tonnage","")</f>
        <v/>
      </c>
      <c r="AG62">
        <f>IFERROR(_xlfn.XLOOKUP(A62,'product map'!$A$14:$A$36,'product map'!$C$14:$C$36),"?")</f>
        <v/>
      </c>
      <c r="AH62">
        <f>IFERROR((Z62*0.000000947817)/_xlfn.XLOOKUP(AG62,'energy base (MECS)'!$K$4:$K$9,'energy base (MECS)'!$F$4:$F$9),0)</f>
        <v/>
      </c>
      <c r="AI62">
        <f>IFERROR((AA62*0.000000947817)/_xlfn.XLOOKUP(AG62,'energy base (MECS)'!$K$4:$K$9,'energy base (MECS)'!$I$4:$I$9),0)</f>
        <v/>
      </c>
      <c r="AJ62">
        <f>MAX(0.3*ABS(AK62),0.000001)</f>
        <v/>
      </c>
      <c r="AK62">
        <f>IF(ISNUMBER(T62),T62,0)</f>
        <v/>
      </c>
      <c r="AL62">
        <f>IFERROR(_xlfn.XLOOKUP(AG62,'BCoISC-WACCbI'!$C$2:$C$26,'BCoISC-WACCbI'!$B$2:$B$26)+$AE$4,0.1)</f>
        <v/>
      </c>
      <c r="AM62">
        <f>IF(P62&gt;0,L62/P62/0.947817,0)</f>
        <v/>
      </c>
      <c r="AN62">
        <f>IF(AND(P62&gt;0,ISNUMBER(K62)),L62*K62*1000000*E62,0)</f>
        <v/>
      </c>
    </row>
    <row r="63">
      <c r="A63">
        <f>'Kermeli Data'!A70</f>
        <v/>
      </c>
      <c r="B63">
        <f>'Kermeli Data'!B70</f>
        <v/>
      </c>
      <c r="C63">
        <f>'Kermeli Data'!P70</f>
        <v/>
      </c>
      <c r="D63">
        <f>IF(C63="2 whr","whr",IF(C63="3 proc","process","EXCLUDED"))</f>
        <v/>
      </c>
      <c r="E63">
        <f>'Kermeli Data'!E70</f>
        <v/>
      </c>
      <c r="F63">
        <f>'Kermeli Data'!F70</f>
        <v/>
      </c>
      <c r="G63">
        <f>'Kermeli Data'!G70</f>
        <v/>
      </c>
      <c r="H63">
        <f>'Kermeli Data'!I70</f>
        <v/>
      </c>
      <c r="I63">
        <f>'Kermeli Data'!J70</f>
        <v/>
      </c>
      <c r="J63">
        <f>'Kermeli Data'!K70</f>
        <v/>
      </c>
      <c r="K63">
        <f>IFERROR(_xlfn.XLOOKUP(A63,'product map'!$A$14:$A$36,'product map'!$G$14:$G$36),"pending")</f>
        <v/>
      </c>
      <c r="L63">
        <f>H63*cpi!$B$12*cpi!$B$10</f>
        <v/>
      </c>
      <c r="M63">
        <f>J63*cpi!$B$12*cpi!$B$10</f>
        <v/>
      </c>
      <c r="N63">
        <f>IF(I63&gt;0,AL63/(1-(1+AL63)^-I63),"")</f>
        <v/>
      </c>
      <c r="O63">
        <f>L63*N63+M63</f>
        <v/>
      </c>
      <c r="P63">
        <f>MAX(F63,0)+MAX(G63,0)</f>
        <v/>
      </c>
      <c r="Q63">
        <f>IF(P63&gt;0,MAX(F63,0)/P63,0)</f>
        <v/>
      </c>
      <c r="R63">
        <f>IF(P63&gt;0,MAX(G63,0)/P63,0)</f>
        <v/>
      </c>
      <c r="S63">
        <f>IF(P63&gt;0,O63/P63,"")</f>
        <v/>
      </c>
      <c r="T63">
        <f>IF(P63&gt;0,S63/$AE$3,"")</f>
        <v/>
      </c>
      <c r="U63">
        <f>IF(AND(P63&gt;0,Q63&gt;0),T63,"")</f>
        <v/>
      </c>
      <c r="V63">
        <f>IF(AND(P63&gt;0,R63&gt;0),T63,"")</f>
        <v/>
      </c>
      <c r="W63">
        <f>IF(I63&gt;0,$AE$2/(1-(1+$AE$2)^-I63),"")</f>
        <v/>
      </c>
      <c r="X63">
        <f>L63*W63+M63</f>
        <v/>
      </c>
      <c r="Y63">
        <f>IF(P63&gt;0,(X63/P63)/$AE$3,"")</f>
        <v/>
      </c>
      <c r="Z63">
        <f>IF(AND(ISNUMBER(K63),Q63&gt;0),MAX(F63,0)*K63*1000000*E63,"pending")</f>
        <v/>
      </c>
      <c r="AA63">
        <f>IF(AND(ISNUMBER(K63),R63&gt;0),MAX(G63,0)*K63*1000000*E63,"pending")</f>
        <v/>
      </c>
      <c r="AB63">
        <f>IF(AND(ISNUMBER(S63),S63&lt;0),"NEG-CCE","")&amp;IF(NOT(ISNUMBER(K63)),"|pending tonnage","")</f>
        <v/>
      </c>
      <c r="AG63">
        <f>IFERROR(_xlfn.XLOOKUP(A63,'product map'!$A$14:$A$36,'product map'!$C$14:$C$36),"?")</f>
        <v/>
      </c>
      <c r="AH63">
        <f>IFERROR((Z63*0.000000947817)/_xlfn.XLOOKUP(AG63,'energy base (MECS)'!$K$4:$K$9,'energy base (MECS)'!$F$4:$F$9),0)</f>
        <v/>
      </c>
      <c r="AI63">
        <f>IFERROR((AA63*0.000000947817)/_xlfn.XLOOKUP(AG63,'energy base (MECS)'!$K$4:$K$9,'energy base (MECS)'!$I$4:$I$9),0)</f>
        <v/>
      </c>
      <c r="AJ63">
        <f>MAX(0.3*ABS(AK63),0.000001)</f>
        <v/>
      </c>
      <c r="AK63">
        <f>IF(ISNUMBER(T63),T63,0)</f>
        <v/>
      </c>
      <c r="AL63">
        <f>IFERROR(_xlfn.XLOOKUP(AG63,'BCoISC-WACCbI'!$C$2:$C$26,'BCoISC-WACCbI'!$B$2:$B$26)+$AE$4,0.1)</f>
        <v/>
      </c>
      <c r="AM63">
        <f>IF(P63&gt;0,L63/P63/0.947817,0)</f>
        <v/>
      </c>
      <c r="AN63">
        <f>IF(AND(P63&gt;0,ISNUMBER(K63)),L63*K63*1000000*E63,0)</f>
        <v/>
      </c>
    </row>
    <row r="64">
      <c r="A64">
        <f>'Kermeli Data'!A71</f>
        <v/>
      </c>
      <c r="B64">
        <f>'Kermeli Data'!B71</f>
        <v/>
      </c>
      <c r="C64">
        <f>'Kermeli Data'!P71</f>
        <v/>
      </c>
      <c r="D64">
        <f>IF(C64="2 whr","whr",IF(C64="3 proc","process","EXCLUDED"))</f>
        <v/>
      </c>
      <c r="E64">
        <f>'Kermeli Data'!E71</f>
        <v/>
      </c>
      <c r="F64">
        <f>'Kermeli Data'!F71</f>
        <v/>
      </c>
      <c r="G64">
        <f>'Kermeli Data'!G71</f>
        <v/>
      </c>
      <c r="H64">
        <f>'Kermeli Data'!I71</f>
        <v/>
      </c>
      <c r="I64">
        <f>'Kermeli Data'!J71</f>
        <v/>
      </c>
      <c r="J64">
        <f>'Kermeli Data'!K71</f>
        <v/>
      </c>
      <c r="K64">
        <f>IFERROR(_xlfn.XLOOKUP(A64,'product map'!$A$14:$A$36,'product map'!$G$14:$G$36),"pending")</f>
        <v/>
      </c>
      <c r="L64">
        <f>H64*cpi!$B$12*cpi!$B$10</f>
        <v/>
      </c>
      <c r="M64">
        <f>J64*cpi!$B$12*cpi!$B$10</f>
        <v/>
      </c>
      <c r="N64">
        <f>IF(I64&gt;0,AL64/(1-(1+AL64)^-I64),"")</f>
        <v/>
      </c>
      <c r="O64">
        <f>L64*N64+M64</f>
        <v/>
      </c>
      <c r="P64">
        <f>MAX(F64,0)+MAX(G64,0)</f>
        <v/>
      </c>
      <c r="Q64">
        <f>IF(P64&gt;0,MAX(F64,0)/P64,0)</f>
        <v/>
      </c>
      <c r="R64">
        <f>IF(P64&gt;0,MAX(G64,0)/P64,0)</f>
        <v/>
      </c>
      <c r="S64">
        <f>IF(P64&gt;0,O64/P64,"")</f>
        <v/>
      </c>
      <c r="T64">
        <f>IF(P64&gt;0,S64/$AE$3,"")</f>
        <v/>
      </c>
      <c r="U64">
        <f>IF(AND(P64&gt;0,Q64&gt;0),T64,"")</f>
        <v/>
      </c>
      <c r="V64">
        <f>IF(AND(P64&gt;0,R64&gt;0),T64,"")</f>
        <v/>
      </c>
      <c r="W64">
        <f>IF(I64&gt;0,$AE$2/(1-(1+$AE$2)^-I64),"")</f>
        <v/>
      </c>
      <c r="X64">
        <f>L64*W64+M64</f>
        <v/>
      </c>
      <c r="Y64">
        <f>IF(P64&gt;0,(X64/P64)/$AE$3,"")</f>
        <v/>
      </c>
      <c r="Z64">
        <f>IF(AND(ISNUMBER(K64),Q64&gt;0),MAX(F64,0)*K64*1000000*E64,"pending")</f>
        <v/>
      </c>
      <c r="AA64">
        <f>IF(AND(ISNUMBER(K64),R64&gt;0),MAX(G64,0)*K64*1000000*E64,"pending")</f>
        <v/>
      </c>
      <c r="AB64">
        <f>IF(AND(ISNUMBER(S64),S64&lt;0),"NEG-CCE","")&amp;IF(NOT(ISNUMBER(K64)),"|pending tonnage","")</f>
        <v/>
      </c>
      <c r="AG64">
        <f>IFERROR(_xlfn.XLOOKUP(A64,'product map'!$A$14:$A$36,'product map'!$C$14:$C$36),"?")</f>
        <v/>
      </c>
      <c r="AH64">
        <f>IFERROR((Z64*0.000000947817)/_xlfn.XLOOKUP(AG64,'energy base (MECS)'!$K$4:$K$9,'energy base (MECS)'!$F$4:$F$9),0)</f>
        <v/>
      </c>
      <c r="AI64">
        <f>IFERROR((AA64*0.000000947817)/_xlfn.XLOOKUP(AG64,'energy base (MECS)'!$K$4:$K$9,'energy base (MECS)'!$I$4:$I$9),0)</f>
        <v/>
      </c>
      <c r="AJ64">
        <f>MAX(0.3*ABS(AK64),0.000001)</f>
        <v/>
      </c>
      <c r="AK64">
        <f>IF(ISNUMBER(T64),T64,0)</f>
        <v/>
      </c>
      <c r="AL64">
        <f>IFERROR(_xlfn.XLOOKUP(AG64,'BCoISC-WACCbI'!$C$2:$C$26,'BCoISC-WACCbI'!$B$2:$B$26)+$AE$4,0.1)</f>
        <v/>
      </c>
      <c r="AM64">
        <f>IF(P64&gt;0,L64/P64/0.947817,0)</f>
        <v/>
      </c>
      <c r="AN64">
        <f>IF(AND(P64&gt;0,ISNUMBER(K64)),L64*K64*1000000*E64,0)</f>
        <v/>
      </c>
    </row>
    <row r="65">
      <c r="A65">
        <f>'Kermeli Data'!A72</f>
        <v/>
      </c>
      <c r="B65">
        <f>'Kermeli Data'!B72</f>
        <v/>
      </c>
      <c r="C65">
        <f>'Kermeli Data'!P72</f>
        <v/>
      </c>
      <c r="D65">
        <f>IF(C65="2 whr","whr",IF(C65="3 proc","process","EXCLUDED"))</f>
        <v/>
      </c>
      <c r="E65">
        <f>'Kermeli Data'!E72</f>
        <v/>
      </c>
      <c r="F65">
        <f>'Kermeli Data'!F72</f>
        <v/>
      </c>
      <c r="G65">
        <f>'Kermeli Data'!G72</f>
        <v/>
      </c>
      <c r="H65">
        <f>'Kermeli Data'!I72</f>
        <v/>
      </c>
      <c r="I65">
        <f>'Kermeli Data'!J72</f>
        <v/>
      </c>
      <c r="J65">
        <f>'Kermeli Data'!K72</f>
        <v/>
      </c>
      <c r="K65">
        <f>IFERROR(_xlfn.XLOOKUP(A65,'product map'!$A$14:$A$36,'product map'!$G$14:$G$36),"pending")</f>
        <v/>
      </c>
      <c r="L65">
        <f>H65*cpi!$B$12*cpi!$B$10</f>
        <v/>
      </c>
      <c r="M65">
        <f>J65*cpi!$B$12*cpi!$B$10</f>
        <v/>
      </c>
      <c r="N65">
        <f>IF(I65&gt;0,AL65/(1-(1+AL65)^-I65),"")</f>
        <v/>
      </c>
      <c r="O65">
        <f>L65*N65+M65</f>
        <v/>
      </c>
      <c r="P65">
        <f>MAX(F65,0)+MAX(G65,0)</f>
        <v/>
      </c>
      <c r="Q65">
        <f>IF(P65&gt;0,MAX(F65,0)/P65,0)</f>
        <v/>
      </c>
      <c r="R65">
        <f>IF(P65&gt;0,MAX(G65,0)/P65,0)</f>
        <v/>
      </c>
      <c r="S65">
        <f>IF(P65&gt;0,O65/P65,"")</f>
        <v/>
      </c>
      <c r="T65">
        <f>IF(P65&gt;0,S65/$AE$3,"")</f>
        <v/>
      </c>
      <c r="U65">
        <f>IF(AND(P65&gt;0,Q65&gt;0),T65,"")</f>
        <v/>
      </c>
      <c r="V65">
        <f>IF(AND(P65&gt;0,R65&gt;0),T65,"")</f>
        <v/>
      </c>
      <c r="W65">
        <f>IF(I65&gt;0,$AE$2/(1-(1+$AE$2)^-I65),"")</f>
        <v/>
      </c>
      <c r="X65">
        <f>L65*W65+M65</f>
        <v/>
      </c>
      <c r="Y65">
        <f>IF(P65&gt;0,(X65/P65)/$AE$3,"")</f>
        <v/>
      </c>
      <c r="Z65">
        <f>IF(AND(ISNUMBER(K65),Q65&gt;0),MAX(F65,0)*K65*1000000*E65,"pending")</f>
        <v/>
      </c>
      <c r="AA65">
        <f>IF(AND(ISNUMBER(K65),R65&gt;0),MAX(G65,0)*K65*1000000*E65,"pending")</f>
        <v/>
      </c>
      <c r="AB65">
        <f>IF(AND(ISNUMBER(S65),S65&lt;0),"NEG-CCE","")&amp;IF(NOT(ISNUMBER(K65)),"|pending tonnage","")</f>
        <v/>
      </c>
      <c r="AG65">
        <f>IFERROR(_xlfn.XLOOKUP(A65,'product map'!$A$14:$A$36,'product map'!$C$14:$C$36),"?")</f>
        <v/>
      </c>
      <c r="AH65">
        <f>IFERROR((Z65*0.000000947817)/_xlfn.XLOOKUP(AG65,'energy base (MECS)'!$K$4:$K$9,'energy base (MECS)'!$F$4:$F$9),0)</f>
        <v/>
      </c>
      <c r="AI65">
        <f>IFERROR((AA65*0.000000947817)/_xlfn.XLOOKUP(AG65,'energy base (MECS)'!$K$4:$K$9,'energy base (MECS)'!$I$4:$I$9),0)</f>
        <v/>
      </c>
      <c r="AJ65">
        <f>MAX(0.3*ABS(AK65),0.000001)</f>
        <v/>
      </c>
      <c r="AK65">
        <f>IF(ISNUMBER(T65),T65,0)</f>
        <v/>
      </c>
      <c r="AL65">
        <f>IFERROR(_xlfn.XLOOKUP(AG65,'BCoISC-WACCbI'!$C$2:$C$26,'BCoISC-WACCbI'!$B$2:$B$26)+$AE$4,0.1)</f>
        <v/>
      </c>
      <c r="AM65">
        <f>IF(P65&gt;0,L65/P65/0.947817,0)</f>
        <v/>
      </c>
      <c r="AN65">
        <f>IF(AND(P65&gt;0,ISNUMBER(K65)),L65*K65*1000000*E65,0)</f>
        <v/>
      </c>
    </row>
    <row r="66">
      <c r="A66">
        <f>'Kermeli Data'!A73</f>
        <v/>
      </c>
      <c r="B66">
        <f>'Kermeli Data'!B73</f>
        <v/>
      </c>
      <c r="C66">
        <f>'Kermeli Data'!P73</f>
        <v/>
      </c>
      <c r="D66">
        <f>IF(C66="2 whr","whr",IF(C66="3 proc","process","EXCLUDED"))</f>
        <v/>
      </c>
      <c r="E66">
        <f>'Kermeli Data'!E73</f>
        <v/>
      </c>
      <c r="F66">
        <f>'Kermeli Data'!F73</f>
        <v/>
      </c>
      <c r="G66">
        <f>'Kermeli Data'!G73</f>
        <v/>
      </c>
      <c r="H66">
        <f>'Kermeli Data'!I73</f>
        <v/>
      </c>
      <c r="I66">
        <f>'Kermeli Data'!J73</f>
        <v/>
      </c>
      <c r="J66">
        <f>'Kermeli Data'!K73</f>
        <v/>
      </c>
      <c r="K66">
        <f>IFERROR(_xlfn.XLOOKUP(A66,'product map'!$A$14:$A$36,'product map'!$G$14:$G$36),"pending")</f>
        <v/>
      </c>
      <c r="L66">
        <f>H66*cpi!$B$12*cpi!$B$10</f>
        <v/>
      </c>
      <c r="M66">
        <f>J66*cpi!$B$12*cpi!$B$10</f>
        <v/>
      </c>
      <c r="N66">
        <f>IF(I66&gt;0,AL66/(1-(1+AL66)^-I66),"")</f>
        <v/>
      </c>
      <c r="O66">
        <f>L66*N66+M66</f>
        <v/>
      </c>
      <c r="P66">
        <f>MAX(F66,0)+MAX(G66,0)</f>
        <v/>
      </c>
      <c r="Q66">
        <f>IF(P66&gt;0,MAX(F66,0)/P66,0)</f>
        <v/>
      </c>
      <c r="R66">
        <f>IF(P66&gt;0,MAX(G66,0)/P66,0)</f>
        <v/>
      </c>
      <c r="S66">
        <f>IF(P66&gt;0,O66/P66,"")</f>
        <v/>
      </c>
      <c r="T66">
        <f>IF(P66&gt;0,S66/$AE$3,"")</f>
        <v/>
      </c>
      <c r="U66">
        <f>IF(AND(P66&gt;0,Q66&gt;0),T66,"")</f>
        <v/>
      </c>
      <c r="V66">
        <f>IF(AND(P66&gt;0,R66&gt;0),T66,"")</f>
        <v/>
      </c>
      <c r="W66">
        <f>IF(I66&gt;0,$AE$2/(1-(1+$AE$2)^-I66),"")</f>
        <v/>
      </c>
      <c r="X66">
        <f>L66*W66+M66</f>
        <v/>
      </c>
      <c r="Y66">
        <f>IF(P66&gt;0,(X66/P66)/$AE$3,"")</f>
        <v/>
      </c>
      <c r="Z66">
        <f>IF(AND(ISNUMBER(K66),Q66&gt;0),MAX(F66,0)*K66*1000000*E66,"pending")</f>
        <v/>
      </c>
      <c r="AA66">
        <f>IF(AND(ISNUMBER(K66),R66&gt;0),MAX(G66,0)*K66*1000000*E66,"pending")</f>
        <v/>
      </c>
      <c r="AB66">
        <f>IF(AND(ISNUMBER(S66),S66&lt;0),"NEG-CCE","")&amp;IF(NOT(ISNUMBER(K66)),"|pending tonnage","")</f>
        <v/>
      </c>
      <c r="AG66">
        <f>IFERROR(_xlfn.XLOOKUP(A66,'product map'!$A$14:$A$36,'product map'!$C$14:$C$36),"?")</f>
        <v/>
      </c>
      <c r="AH66">
        <f>IFERROR((Z66*0.000000947817)/_xlfn.XLOOKUP(AG66,'energy base (MECS)'!$K$4:$K$9,'energy base (MECS)'!$F$4:$F$9),0)</f>
        <v/>
      </c>
      <c r="AI66">
        <f>IFERROR((AA66*0.000000947817)/_xlfn.XLOOKUP(AG66,'energy base (MECS)'!$K$4:$K$9,'energy base (MECS)'!$I$4:$I$9),0)</f>
        <v/>
      </c>
      <c r="AJ66">
        <f>MAX(0.3*ABS(AK66),0.000001)</f>
        <v/>
      </c>
      <c r="AK66">
        <f>IF(ISNUMBER(T66),T66,0)</f>
        <v/>
      </c>
      <c r="AL66">
        <f>IFERROR(_xlfn.XLOOKUP(AG66,'BCoISC-WACCbI'!$C$2:$C$26,'BCoISC-WACCbI'!$B$2:$B$26)+$AE$4,0.1)</f>
        <v/>
      </c>
      <c r="AM66">
        <f>IF(P66&gt;0,L66/P66/0.947817,0)</f>
        <v/>
      </c>
      <c r="AN66">
        <f>IF(AND(P66&gt;0,ISNUMBER(K66)),L66*K66*1000000*E66,0)</f>
        <v/>
      </c>
    </row>
    <row r="67">
      <c r="A67">
        <f>'Kermeli Data'!A74</f>
        <v/>
      </c>
      <c r="B67">
        <f>'Kermeli Data'!B74</f>
        <v/>
      </c>
      <c r="C67">
        <f>'Kermeli Data'!P74</f>
        <v/>
      </c>
      <c r="D67">
        <f>IF(C67="2 whr","whr",IF(C67="3 proc","process","EXCLUDED"))</f>
        <v/>
      </c>
      <c r="E67">
        <f>'Kermeli Data'!E74</f>
        <v/>
      </c>
      <c r="F67">
        <f>'Kermeli Data'!F74</f>
        <v/>
      </c>
      <c r="G67">
        <f>'Kermeli Data'!G74</f>
        <v/>
      </c>
      <c r="H67">
        <f>'Kermeli Data'!I74</f>
        <v/>
      </c>
      <c r="I67">
        <f>'Kermeli Data'!J74</f>
        <v/>
      </c>
      <c r="J67">
        <f>'Kermeli Data'!K74</f>
        <v/>
      </c>
      <c r="K67">
        <f>IFERROR(_xlfn.XLOOKUP(A67,'product map'!$A$14:$A$36,'product map'!$G$14:$G$36),"pending")</f>
        <v/>
      </c>
      <c r="L67">
        <f>H67*cpi!$B$12*cpi!$B$10</f>
        <v/>
      </c>
      <c r="M67">
        <f>J67*cpi!$B$12*cpi!$B$10</f>
        <v/>
      </c>
      <c r="N67">
        <f>IF(I67&gt;0,AL67/(1-(1+AL67)^-I67),"")</f>
        <v/>
      </c>
      <c r="O67">
        <f>L67*N67+M67</f>
        <v/>
      </c>
      <c r="P67">
        <f>MAX(F67,0)+MAX(G67,0)</f>
        <v/>
      </c>
      <c r="Q67">
        <f>IF(P67&gt;0,MAX(F67,0)/P67,0)</f>
        <v/>
      </c>
      <c r="R67">
        <f>IF(P67&gt;0,MAX(G67,0)/P67,0)</f>
        <v/>
      </c>
      <c r="S67">
        <f>IF(P67&gt;0,O67/P67,"")</f>
        <v/>
      </c>
      <c r="T67">
        <f>IF(P67&gt;0,S67/$AE$3,"")</f>
        <v/>
      </c>
      <c r="U67">
        <f>IF(AND(P67&gt;0,Q67&gt;0),T67,"")</f>
        <v/>
      </c>
      <c r="V67">
        <f>IF(AND(P67&gt;0,R67&gt;0),T67,"")</f>
        <v/>
      </c>
      <c r="W67">
        <f>IF(I67&gt;0,$AE$2/(1-(1+$AE$2)^-I67),"")</f>
        <v/>
      </c>
      <c r="X67">
        <f>L67*W67+M67</f>
        <v/>
      </c>
      <c r="Y67">
        <f>IF(P67&gt;0,(X67/P67)/$AE$3,"")</f>
        <v/>
      </c>
      <c r="Z67">
        <f>IF(AND(ISNUMBER(K67),Q67&gt;0),MAX(F67,0)*K67*1000000*E67,"pending")</f>
        <v/>
      </c>
      <c r="AA67">
        <f>IF(AND(ISNUMBER(K67),R67&gt;0),MAX(G67,0)*K67*1000000*E67,"pending")</f>
        <v/>
      </c>
      <c r="AB67">
        <f>IF(AND(ISNUMBER(S67),S67&lt;0),"NEG-CCE","")&amp;IF(NOT(ISNUMBER(K67)),"|pending tonnage","")</f>
        <v/>
      </c>
      <c r="AG67">
        <f>IFERROR(_xlfn.XLOOKUP(A67,'product map'!$A$14:$A$36,'product map'!$C$14:$C$36),"?")</f>
        <v/>
      </c>
      <c r="AH67">
        <f>IFERROR((Z67*0.000000947817)/_xlfn.XLOOKUP(AG67,'energy base (MECS)'!$K$4:$K$9,'energy base (MECS)'!$F$4:$F$9),0)</f>
        <v/>
      </c>
      <c r="AI67">
        <f>IFERROR((AA67*0.000000947817)/_xlfn.XLOOKUP(AG67,'energy base (MECS)'!$K$4:$K$9,'energy base (MECS)'!$I$4:$I$9),0)</f>
        <v/>
      </c>
      <c r="AJ67">
        <f>MAX(0.3*ABS(AK67),0.000001)</f>
        <v/>
      </c>
      <c r="AK67">
        <f>IF(ISNUMBER(T67),T67,0)</f>
        <v/>
      </c>
      <c r="AL67">
        <f>IFERROR(_xlfn.XLOOKUP(AG67,'BCoISC-WACCbI'!$C$2:$C$26,'BCoISC-WACCbI'!$B$2:$B$26)+$AE$4,0.1)</f>
        <v/>
      </c>
      <c r="AM67">
        <f>IF(P67&gt;0,L67/P67/0.947817,0)</f>
        <v/>
      </c>
      <c r="AN67">
        <f>IF(AND(P67&gt;0,ISNUMBER(K67)),L67*K67*1000000*E67,0)</f>
        <v/>
      </c>
    </row>
    <row r="68">
      <c r="A68">
        <f>'Kermeli Data'!A75</f>
        <v/>
      </c>
      <c r="B68">
        <f>'Kermeli Data'!B75</f>
        <v/>
      </c>
      <c r="C68">
        <f>'Kermeli Data'!P75</f>
        <v/>
      </c>
      <c r="D68">
        <f>IF(C68="2 whr","whr",IF(C68="3 proc","process","EXCLUDED"))</f>
        <v/>
      </c>
      <c r="E68">
        <f>'Kermeli Data'!E75</f>
        <v/>
      </c>
      <c r="F68">
        <f>'Kermeli Data'!F75</f>
        <v/>
      </c>
      <c r="G68">
        <f>'Kermeli Data'!G75</f>
        <v/>
      </c>
      <c r="H68">
        <f>'Kermeli Data'!I75</f>
        <v/>
      </c>
      <c r="I68">
        <f>'Kermeli Data'!J75</f>
        <v/>
      </c>
      <c r="J68">
        <f>'Kermeli Data'!K75</f>
        <v/>
      </c>
      <c r="K68">
        <f>IFERROR(_xlfn.XLOOKUP(A68,'product map'!$A$14:$A$36,'product map'!$G$14:$G$36),"pending")</f>
        <v/>
      </c>
      <c r="L68">
        <f>H68*cpi!$B$12*cpi!$B$10</f>
        <v/>
      </c>
      <c r="M68">
        <f>J68*cpi!$B$12*cpi!$B$10</f>
        <v/>
      </c>
      <c r="N68">
        <f>IF(I68&gt;0,AL68/(1-(1+AL68)^-I68),"")</f>
        <v/>
      </c>
      <c r="O68">
        <f>L68*N68+M68</f>
        <v/>
      </c>
      <c r="P68">
        <f>MAX(F68,0)+MAX(G68,0)</f>
        <v/>
      </c>
      <c r="Q68">
        <f>IF(P68&gt;0,MAX(F68,0)/P68,0)</f>
        <v/>
      </c>
      <c r="R68">
        <f>IF(P68&gt;0,MAX(G68,0)/P68,0)</f>
        <v/>
      </c>
      <c r="S68">
        <f>IF(P68&gt;0,O68/P68,"")</f>
        <v/>
      </c>
      <c r="T68">
        <f>IF(P68&gt;0,S68/$AE$3,"")</f>
        <v/>
      </c>
      <c r="U68">
        <f>IF(AND(P68&gt;0,Q68&gt;0),T68,"")</f>
        <v/>
      </c>
      <c r="V68">
        <f>IF(AND(P68&gt;0,R68&gt;0),T68,"")</f>
        <v/>
      </c>
      <c r="W68">
        <f>IF(I68&gt;0,$AE$2/(1-(1+$AE$2)^-I68),"")</f>
        <v/>
      </c>
      <c r="X68">
        <f>L68*W68+M68</f>
        <v/>
      </c>
      <c r="Y68">
        <f>IF(P68&gt;0,(X68/P68)/$AE$3,"")</f>
        <v/>
      </c>
      <c r="Z68">
        <f>IF(AND(ISNUMBER(K68),Q68&gt;0),MAX(F68,0)*K68*1000000*E68,"pending")</f>
        <v/>
      </c>
      <c r="AA68">
        <f>IF(AND(ISNUMBER(K68),R68&gt;0),MAX(G68,0)*K68*1000000*E68,"pending")</f>
        <v/>
      </c>
      <c r="AB68">
        <f>IF(AND(ISNUMBER(S68),S68&lt;0),"NEG-CCE","")&amp;IF(NOT(ISNUMBER(K68)),"|pending tonnage","")</f>
        <v/>
      </c>
      <c r="AG68">
        <f>IFERROR(_xlfn.XLOOKUP(A68,'product map'!$A$14:$A$36,'product map'!$C$14:$C$36),"?")</f>
        <v/>
      </c>
      <c r="AH68">
        <f>IFERROR((Z68*0.000000947817)/_xlfn.XLOOKUP(AG68,'energy base (MECS)'!$K$4:$K$9,'energy base (MECS)'!$F$4:$F$9),0)</f>
        <v/>
      </c>
      <c r="AI68">
        <f>IFERROR((AA68*0.000000947817)/_xlfn.XLOOKUP(AG68,'energy base (MECS)'!$K$4:$K$9,'energy base (MECS)'!$I$4:$I$9),0)</f>
        <v/>
      </c>
      <c r="AJ68">
        <f>MAX(0.3*ABS(AK68),0.000001)</f>
        <v/>
      </c>
      <c r="AK68">
        <f>IF(ISNUMBER(T68),T68,0)</f>
        <v/>
      </c>
      <c r="AL68">
        <f>IFERROR(_xlfn.XLOOKUP(AG68,'BCoISC-WACCbI'!$C$2:$C$26,'BCoISC-WACCbI'!$B$2:$B$26)+$AE$4,0.1)</f>
        <v/>
      </c>
      <c r="AM68">
        <f>IF(P68&gt;0,L68/P68/0.947817,0)</f>
        <v/>
      </c>
      <c r="AN68">
        <f>IF(AND(P68&gt;0,ISNUMBER(K68)),L68*K68*1000000*E68,0)</f>
        <v/>
      </c>
    </row>
    <row r="69">
      <c r="A69">
        <f>'Kermeli Data'!A76</f>
        <v/>
      </c>
      <c r="B69">
        <f>'Kermeli Data'!B76</f>
        <v/>
      </c>
      <c r="C69">
        <f>'Kermeli Data'!P76</f>
        <v/>
      </c>
      <c r="D69">
        <f>IF(C69="2 whr","whr",IF(C69="3 proc","process","EXCLUDED"))</f>
        <v/>
      </c>
      <c r="E69">
        <f>'Kermeli Data'!E76</f>
        <v/>
      </c>
      <c r="F69">
        <f>'Kermeli Data'!F76</f>
        <v/>
      </c>
      <c r="G69">
        <f>'Kermeli Data'!G76</f>
        <v/>
      </c>
      <c r="H69">
        <f>'Kermeli Data'!I76</f>
        <v/>
      </c>
      <c r="I69">
        <f>'Kermeli Data'!J76</f>
        <v/>
      </c>
      <c r="J69">
        <f>'Kermeli Data'!K76</f>
        <v/>
      </c>
      <c r="K69">
        <f>IFERROR(_xlfn.XLOOKUP(A69,'product map'!$A$14:$A$36,'product map'!$G$14:$G$36),"pending")</f>
        <v/>
      </c>
      <c r="L69">
        <f>H69*cpi!$B$12*cpi!$B$10</f>
        <v/>
      </c>
      <c r="M69">
        <f>J69*cpi!$B$12*cpi!$B$10</f>
        <v/>
      </c>
      <c r="N69">
        <f>IF(I69&gt;0,AL69/(1-(1+AL69)^-I69),"")</f>
        <v/>
      </c>
      <c r="O69">
        <f>L69*N69+M69</f>
        <v/>
      </c>
      <c r="P69">
        <f>MAX(F69,0)+MAX(G69,0)</f>
        <v/>
      </c>
      <c r="Q69">
        <f>IF(P69&gt;0,MAX(F69,0)/P69,0)</f>
        <v/>
      </c>
      <c r="R69">
        <f>IF(P69&gt;0,MAX(G69,0)/P69,0)</f>
        <v/>
      </c>
      <c r="S69">
        <f>IF(P69&gt;0,O69/P69,"")</f>
        <v/>
      </c>
      <c r="T69">
        <f>IF(P69&gt;0,S69/$AE$3,"")</f>
        <v/>
      </c>
      <c r="U69">
        <f>IF(AND(P69&gt;0,Q69&gt;0),T69,"")</f>
        <v/>
      </c>
      <c r="V69">
        <f>IF(AND(P69&gt;0,R69&gt;0),T69,"")</f>
        <v/>
      </c>
      <c r="W69">
        <f>IF(I69&gt;0,$AE$2/(1-(1+$AE$2)^-I69),"")</f>
        <v/>
      </c>
      <c r="X69">
        <f>L69*W69+M69</f>
        <v/>
      </c>
      <c r="Y69">
        <f>IF(P69&gt;0,(X69/P69)/$AE$3,"")</f>
        <v/>
      </c>
      <c r="Z69">
        <f>IF(AND(ISNUMBER(K69),Q69&gt;0),MAX(F69,0)*K69*1000000*E69,"pending")</f>
        <v/>
      </c>
      <c r="AA69">
        <f>IF(AND(ISNUMBER(K69),R69&gt;0),MAX(G69,0)*K69*1000000*E69,"pending")</f>
        <v/>
      </c>
      <c r="AB69">
        <f>IF(AND(ISNUMBER(S69),S69&lt;0),"NEG-CCE","")&amp;IF(NOT(ISNUMBER(K69)),"|pending tonnage","")</f>
        <v/>
      </c>
      <c r="AG69">
        <f>IFERROR(_xlfn.XLOOKUP(A69,'product map'!$A$14:$A$36,'product map'!$C$14:$C$36),"?")</f>
        <v/>
      </c>
      <c r="AH69">
        <f>IFERROR((Z69*0.000000947817)/_xlfn.XLOOKUP(AG69,'energy base (MECS)'!$K$4:$K$9,'energy base (MECS)'!$F$4:$F$9),0)</f>
        <v/>
      </c>
      <c r="AI69">
        <f>IFERROR((AA69*0.000000947817)/_xlfn.XLOOKUP(AG69,'energy base (MECS)'!$K$4:$K$9,'energy base (MECS)'!$I$4:$I$9),0)</f>
        <v/>
      </c>
      <c r="AJ69">
        <f>MAX(0.3*ABS(AK69),0.000001)</f>
        <v/>
      </c>
      <c r="AK69">
        <f>IF(ISNUMBER(T69),T69,0)</f>
        <v/>
      </c>
      <c r="AL69">
        <f>IFERROR(_xlfn.XLOOKUP(AG69,'BCoISC-WACCbI'!$C$2:$C$26,'BCoISC-WACCbI'!$B$2:$B$26)+$AE$4,0.1)</f>
        <v/>
      </c>
      <c r="AM69">
        <f>IF(P69&gt;0,L69/P69/0.947817,0)</f>
        <v/>
      </c>
      <c r="AN69">
        <f>IF(AND(P69&gt;0,ISNUMBER(K69)),L69*K69*1000000*E69,0)</f>
        <v/>
      </c>
    </row>
    <row r="70">
      <c r="A70">
        <f>'Kermeli Data'!A77</f>
        <v/>
      </c>
      <c r="B70">
        <f>'Kermeli Data'!B77</f>
        <v/>
      </c>
      <c r="C70">
        <f>'Kermeli Data'!P77</f>
        <v/>
      </c>
      <c r="D70">
        <f>IF(C70="2 whr","whr",IF(C70="3 proc","process","EXCLUDED"))</f>
        <v/>
      </c>
      <c r="E70">
        <f>'Kermeli Data'!E77</f>
        <v/>
      </c>
      <c r="F70">
        <f>'Kermeli Data'!F77</f>
        <v/>
      </c>
      <c r="G70">
        <f>'Kermeli Data'!G77</f>
        <v/>
      </c>
      <c r="H70">
        <f>'Kermeli Data'!I77</f>
        <v/>
      </c>
      <c r="I70">
        <f>'Kermeli Data'!J77</f>
        <v/>
      </c>
      <c r="J70">
        <f>'Kermeli Data'!K77</f>
        <v/>
      </c>
      <c r="K70">
        <f>IFERROR(_xlfn.XLOOKUP(A70,'product map'!$A$14:$A$36,'product map'!$G$14:$G$36),"pending")</f>
        <v/>
      </c>
      <c r="L70">
        <f>H70*cpi!$B$12*cpi!$B$10</f>
        <v/>
      </c>
      <c r="M70">
        <f>J70*cpi!$B$12*cpi!$B$10</f>
        <v/>
      </c>
      <c r="N70">
        <f>IF(I70&gt;0,AL70/(1-(1+AL70)^-I70),"")</f>
        <v/>
      </c>
      <c r="O70">
        <f>L70*N70+M70</f>
        <v/>
      </c>
      <c r="P70">
        <f>MAX(F70,0)+MAX(G70,0)</f>
        <v/>
      </c>
      <c r="Q70">
        <f>IF(P70&gt;0,MAX(F70,0)/P70,0)</f>
        <v/>
      </c>
      <c r="R70">
        <f>IF(P70&gt;0,MAX(G70,0)/P70,0)</f>
        <v/>
      </c>
      <c r="S70">
        <f>IF(P70&gt;0,O70/P70,"")</f>
        <v/>
      </c>
      <c r="T70">
        <f>IF(P70&gt;0,S70/$AE$3,"")</f>
        <v/>
      </c>
      <c r="U70">
        <f>IF(AND(P70&gt;0,Q70&gt;0),T70,"")</f>
        <v/>
      </c>
      <c r="V70">
        <f>IF(AND(P70&gt;0,R70&gt;0),T70,"")</f>
        <v/>
      </c>
      <c r="W70">
        <f>IF(I70&gt;0,$AE$2/(1-(1+$AE$2)^-I70),"")</f>
        <v/>
      </c>
      <c r="X70">
        <f>L70*W70+M70</f>
        <v/>
      </c>
      <c r="Y70">
        <f>IF(P70&gt;0,(X70/P70)/$AE$3,"")</f>
        <v/>
      </c>
      <c r="Z70">
        <f>IF(AND(ISNUMBER(K70),Q70&gt;0),MAX(F70,0)*K70*1000000*E70,"pending")</f>
        <v/>
      </c>
      <c r="AA70">
        <f>IF(AND(ISNUMBER(K70),R70&gt;0),MAX(G70,0)*K70*1000000*E70,"pending")</f>
        <v/>
      </c>
      <c r="AB70">
        <f>IF(AND(ISNUMBER(S70),S70&lt;0),"NEG-CCE","")&amp;IF(NOT(ISNUMBER(K70)),"|pending tonnage","")</f>
        <v/>
      </c>
      <c r="AG70">
        <f>IFERROR(_xlfn.XLOOKUP(A70,'product map'!$A$14:$A$36,'product map'!$C$14:$C$36),"?")</f>
        <v/>
      </c>
      <c r="AH70">
        <f>IFERROR((Z70*0.000000947817)/_xlfn.XLOOKUP(AG70,'energy base (MECS)'!$K$4:$K$9,'energy base (MECS)'!$F$4:$F$9),0)</f>
        <v/>
      </c>
      <c r="AI70">
        <f>IFERROR((AA70*0.000000947817)/_xlfn.XLOOKUP(AG70,'energy base (MECS)'!$K$4:$K$9,'energy base (MECS)'!$I$4:$I$9),0)</f>
        <v/>
      </c>
      <c r="AJ70">
        <f>MAX(0.3*ABS(AK70),0.000001)</f>
        <v/>
      </c>
      <c r="AK70">
        <f>IF(ISNUMBER(T70),T70,0)</f>
        <v/>
      </c>
      <c r="AL70">
        <f>IFERROR(_xlfn.XLOOKUP(AG70,'BCoISC-WACCbI'!$C$2:$C$26,'BCoISC-WACCbI'!$B$2:$B$26)+$AE$4,0.1)</f>
        <v/>
      </c>
      <c r="AM70">
        <f>IF(P70&gt;0,L70/P70/0.947817,0)</f>
        <v/>
      </c>
      <c r="AN70">
        <f>IF(AND(P70&gt;0,ISNUMBER(K70)),L70*K70*1000000*E70,0)</f>
        <v/>
      </c>
    </row>
    <row r="71">
      <c r="A71">
        <f>'Kermeli Data'!A78</f>
        <v/>
      </c>
      <c r="B71">
        <f>'Kermeli Data'!B78</f>
        <v/>
      </c>
      <c r="C71">
        <f>'Kermeli Data'!P78</f>
        <v/>
      </c>
      <c r="D71">
        <f>IF(C71="2 whr","whr",IF(C71="3 proc","process","EXCLUDED"))</f>
        <v/>
      </c>
      <c r="E71">
        <f>'Kermeli Data'!E78</f>
        <v/>
      </c>
      <c r="F71">
        <f>'Kermeli Data'!F78</f>
        <v/>
      </c>
      <c r="G71">
        <f>'Kermeli Data'!G78</f>
        <v/>
      </c>
      <c r="H71">
        <f>'Kermeli Data'!I78</f>
        <v/>
      </c>
      <c r="I71">
        <f>'Kermeli Data'!J78</f>
        <v/>
      </c>
      <c r="J71">
        <f>'Kermeli Data'!K78</f>
        <v/>
      </c>
      <c r="K71">
        <f>IFERROR(_xlfn.XLOOKUP(A71,'product map'!$A$14:$A$36,'product map'!$G$14:$G$36),"pending")</f>
        <v/>
      </c>
      <c r="L71">
        <f>H71*cpi!$B$12*cpi!$B$10</f>
        <v/>
      </c>
      <c r="M71">
        <f>J71*cpi!$B$12*cpi!$B$10</f>
        <v/>
      </c>
      <c r="N71">
        <f>IF(I71&gt;0,AL71/(1-(1+AL71)^-I71),"")</f>
        <v/>
      </c>
      <c r="O71">
        <f>L71*N71+M71</f>
        <v/>
      </c>
      <c r="P71">
        <f>MAX(F71,0)+MAX(G71,0)</f>
        <v/>
      </c>
      <c r="Q71">
        <f>IF(P71&gt;0,MAX(F71,0)/P71,0)</f>
        <v/>
      </c>
      <c r="R71">
        <f>IF(P71&gt;0,MAX(G71,0)/P71,0)</f>
        <v/>
      </c>
      <c r="S71">
        <f>IF(P71&gt;0,O71/P71,"")</f>
        <v/>
      </c>
      <c r="T71">
        <f>IF(P71&gt;0,S71/$AE$3,"")</f>
        <v/>
      </c>
      <c r="U71">
        <f>IF(AND(P71&gt;0,Q71&gt;0),T71,"")</f>
        <v/>
      </c>
      <c r="V71">
        <f>IF(AND(P71&gt;0,R71&gt;0),T71,"")</f>
        <v/>
      </c>
      <c r="W71">
        <f>IF(I71&gt;0,$AE$2/(1-(1+$AE$2)^-I71),"")</f>
        <v/>
      </c>
      <c r="X71">
        <f>L71*W71+M71</f>
        <v/>
      </c>
      <c r="Y71">
        <f>IF(P71&gt;0,(X71/P71)/$AE$3,"")</f>
        <v/>
      </c>
      <c r="Z71">
        <f>IF(AND(ISNUMBER(K71),Q71&gt;0),MAX(F71,0)*K71*1000000*E71,"pending")</f>
        <v/>
      </c>
      <c r="AA71">
        <f>IF(AND(ISNUMBER(K71),R71&gt;0),MAX(G71,0)*K71*1000000*E71,"pending")</f>
        <v/>
      </c>
      <c r="AB71">
        <f>IF(AND(ISNUMBER(S71),S71&lt;0),"NEG-CCE","")&amp;IF(NOT(ISNUMBER(K71)),"|pending tonnage","")</f>
        <v/>
      </c>
      <c r="AG71">
        <f>IFERROR(_xlfn.XLOOKUP(A71,'product map'!$A$14:$A$36,'product map'!$C$14:$C$36),"?")</f>
        <v/>
      </c>
      <c r="AH71">
        <f>IFERROR((Z71*0.000000947817)/_xlfn.XLOOKUP(AG71,'energy base (MECS)'!$K$4:$K$9,'energy base (MECS)'!$F$4:$F$9),0)</f>
        <v/>
      </c>
      <c r="AI71">
        <f>IFERROR((AA71*0.000000947817)/_xlfn.XLOOKUP(AG71,'energy base (MECS)'!$K$4:$K$9,'energy base (MECS)'!$I$4:$I$9),0)</f>
        <v/>
      </c>
      <c r="AJ71">
        <f>MAX(0.3*ABS(AK71),0.000001)</f>
        <v/>
      </c>
      <c r="AK71">
        <f>IF(ISNUMBER(T71),T71,0)</f>
        <v/>
      </c>
      <c r="AL71">
        <f>IFERROR(_xlfn.XLOOKUP(AG71,'BCoISC-WACCbI'!$C$2:$C$26,'BCoISC-WACCbI'!$B$2:$B$26)+$AE$4,0.1)</f>
        <v/>
      </c>
      <c r="AM71">
        <f>IF(P71&gt;0,L71/P71/0.947817,0)</f>
        <v/>
      </c>
      <c r="AN71">
        <f>IF(AND(P71&gt;0,ISNUMBER(K71)),L71*K71*1000000*E71,0)</f>
        <v/>
      </c>
    </row>
    <row r="72">
      <c r="A72">
        <f>'Kermeli Data'!A79</f>
        <v/>
      </c>
      <c r="B72">
        <f>'Kermeli Data'!B79</f>
        <v/>
      </c>
      <c r="C72">
        <f>'Kermeli Data'!P79</f>
        <v/>
      </c>
      <c r="D72">
        <f>IF(C72="2 whr","whr",IF(C72="3 proc","process","EXCLUDED"))</f>
        <v/>
      </c>
      <c r="E72">
        <f>'Kermeli Data'!E79</f>
        <v/>
      </c>
      <c r="F72">
        <f>'Kermeli Data'!F79</f>
        <v/>
      </c>
      <c r="G72">
        <f>'Kermeli Data'!G79</f>
        <v/>
      </c>
      <c r="H72">
        <f>'Kermeli Data'!I79</f>
        <v/>
      </c>
      <c r="I72">
        <f>'Kermeli Data'!J79</f>
        <v/>
      </c>
      <c r="J72">
        <f>'Kermeli Data'!K79</f>
        <v/>
      </c>
      <c r="K72">
        <f>IFERROR(_xlfn.XLOOKUP(A72,'product map'!$A$14:$A$36,'product map'!$G$14:$G$36),"pending")</f>
        <v/>
      </c>
      <c r="L72">
        <f>H72*cpi!$B$12*cpi!$B$10</f>
        <v/>
      </c>
      <c r="M72">
        <f>J72*cpi!$B$12*cpi!$B$10</f>
        <v/>
      </c>
      <c r="N72">
        <f>IF(I72&gt;0,AL72/(1-(1+AL72)^-I72),"")</f>
        <v/>
      </c>
      <c r="O72">
        <f>L72*N72+M72</f>
        <v/>
      </c>
      <c r="P72">
        <f>MAX(F72,0)+MAX(G72,0)</f>
        <v/>
      </c>
      <c r="Q72">
        <f>IF(P72&gt;0,MAX(F72,0)/P72,0)</f>
        <v/>
      </c>
      <c r="R72">
        <f>IF(P72&gt;0,MAX(G72,0)/P72,0)</f>
        <v/>
      </c>
      <c r="S72">
        <f>IF(P72&gt;0,O72/P72,"")</f>
        <v/>
      </c>
      <c r="T72">
        <f>IF(P72&gt;0,S72/$AE$3,"")</f>
        <v/>
      </c>
      <c r="U72">
        <f>IF(AND(P72&gt;0,Q72&gt;0),T72,"")</f>
        <v/>
      </c>
      <c r="V72">
        <f>IF(AND(P72&gt;0,R72&gt;0),T72,"")</f>
        <v/>
      </c>
      <c r="W72">
        <f>IF(I72&gt;0,$AE$2/(1-(1+$AE$2)^-I72),"")</f>
        <v/>
      </c>
      <c r="X72">
        <f>L72*W72+M72</f>
        <v/>
      </c>
      <c r="Y72">
        <f>IF(P72&gt;0,(X72/P72)/$AE$3,"")</f>
        <v/>
      </c>
      <c r="Z72">
        <f>IF(AND(ISNUMBER(K72),Q72&gt;0),MAX(F72,0)*K72*1000000*E72,"pending")</f>
        <v/>
      </c>
      <c r="AA72">
        <f>IF(AND(ISNUMBER(K72),R72&gt;0),MAX(G72,0)*K72*1000000*E72,"pending")</f>
        <v/>
      </c>
      <c r="AB72">
        <f>IF(AND(ISNUMBER(S72),S72&lt;0),"NEG-CCE","")&amp;IF(NOT(ISNUMBER(K72)),"|pending tonnage","")</f>
        <v/>
      </c>
      <c r="AG72">
        <f>IFERROR(_xlfn.XLOOKUP(A72,'product map'!$A$14:$A$36,'product map'!$C$14:$C$36),"?")</f>
        <v/>
      </c>
      <c r="AH72">
        <f>IFERROR((Z72*0.000000947817)/_xlfn.XLOOKUP(AG72,'energy base (MECS)'!$K$4:$K$9,'energy base (MECS)'!$F$4:$F$9),0)</f>
        <v/>
      </c>
      <c r="AI72">
        <f>IFERROR((AA72*0.000000947817)/_xlfn.XLOOKUP(AG72,'energy base (MECS)'!$K$4:$K$9,'energy base (MECS)'!$I$4:$I$9),0)</f>
        <v/>
      </c>
      <c r="AJ72">
        <f>MAX(0.3*ABS(AK72),0.000001)</f>
        <v/>
      </c>
      <c r="AK72">
        <f>IF(ISNUMBER(T72),T72,0)</f>
        <v/>
      </c>
      <c r="AL72">
        <f>IFERROR(_xlfn.XLOOKUP(AG72,'BCoISC-WACCbI'!$C$2:$C$26,'BCoISC-WACCbI'!$B$2:$B$26)+$AE$4,0.1)</f>
        <v/>
      </c>
      <c r="AM72">
        <f>IF(P72&gt;0,L72/P72/0.947817,0)</f>
        <v/>
      </c>
      <c r="AN72">
        <f>IF(AND(P72&gt;0,ISNUMBER(K72)),L72*K72*1000000*E72,0)</f>
        <v/>
      </c>
    </row>
    <row r="73">
      <c r="A73">
        <f>'Kermeli Data'!A80</f>
        <v/>
      </c>
      <c r="B73">
        <f>'Kermeli Data'!B80</f>
        <v/>
      </c>
      <c r="C73">
        <f>'Kermeli Data'!P80</f>
        <v/>
      </c>
      <c r="D73">
        <f>IF(C73="2 whr","whr",IF(C73="3 proc","process","EXCLUDED"))</f>
        <v/>
      </c>
      <c r="E73">
        <f>'Kermeli Data'!E80</f>
        <v/>
      </c>
      <c r="F73">
        <f>'Kermeli Data'!F80</f>
        <v/>
      </c>
      <c r="G73">
        <f>'Kermeli Data'!G80</f>
        <v/>
      </c>
      <c r="H73">
        <f>'Kermeli Data'!I80</f>
        <v/>
      </c>
      <c r="I73">
        <f>'Kermeli Data'!J80</f>
        <v/>
      </c>
      <c r="J73">
        <f>'Kermeli Data'!K80</f>
        <v/>
      </c>
      <c r="K73">
        <f>IFERROR(_xlfn.XLOOKUP(A73,'product map'!$A$14:$A$36,'product map'!$G$14:$G$36),"pending")</f>
        <v/>
      </c>
      <c r="L73">
        <f>H73*cpi!$B$12*cpi!$B$10</f>
        <v/>
      </c>
      <c r="M73">
        <f>J73*cpi!$B$12*cpi!$B$10</f>
        <v/>
      </c>
      <c r="N73">
        <f>IF(I73&gt;0,AL73/(1-(1+AL73)^-I73),"")</f>
        <v/>
      </c>
      <c r="O73">
        <f>L73*N73+M73</f>
        <v/>
      </c>
      <c r="P73">
        <f>MAX(F73,0)+MAX(G73,0)</f>
        <v/>
      </c>
      <c r="Q73">
        <f>IF(P73&gt;0,MAX(F73,0)/P73,0)</f>
        <v/>
      </c>
      <c r="R73">
        <f>IF(P73&gt;0,MAX(G73,0)/P73,0)</f>
        <v/>
      </c>
      <c r="S73">
        <f>IF(P73&gt;0,O73/P73,"")</f>
        <v/>
      </c>
      <c r="T73">
        <f>IF(P73&gt;0,S73/$AE$3,"")</f>
        <v/>
      </c>
      <c r="U73">
        <f>IF(AND(P73&gt;0,Q73&gt;0),T73,"")</f>
        <v/>
      </c>
      <c r="V73">
        <f>IF(AND(P73&gt;0,R73&gt;0),T73,"")</f>
        <v/>
      </c>
      <c r="W73">
        <f>IF(I73&gt;0,$AE$2/(1-(1+$AE$2)^-I73),"")</f>
        <v/>
      </c>
      <c r="X73">
        <f>L73*W73+M73</f>
        <v/>
      </c>
      <c r="Y73">
        <f>IF(P73&gt;0,(X73/P73)/$AE$3,"")</f>
        <v/>
      </c>
      <c r="Z73">
        <f>IF(AND(ISNUMBER(K73),Q73&gt;0),MAX(F73,0)*K73*1000000*E73,"pending")</f>
        <v/>
      </c>
      <c r="AA73">
        <f>IF(AND(ISNUMBER(K73),R73&gt;0),MAX(G73,0)*K73*1000000*E73,"pending")</f>
        <v/>
      </c>
      <c r="AB73">
        <f>IF(AND(ISNUMBER(S73),S73&lt;0),"NEG-CCE","")&amp;IF(NOT(ISNUMBER(K73)),"|pending tonnage","")</f>
        <v/>
      </c>
      <c r="AG73">
        <f>IFERROR(_xlfn.XLOOKUP(A73,'product map'!$A$14:$A$36,'product map'!$C$14:$C$36),"?")</f>
        <v/>
      </c>
      <c r="AH73">
        <f>IFERROR((Z73*0.000000947817)/_xlfn.XLOOKUP(AG73,'energy base (MECS)'!$K$4:$K$9,'energy base (MECS)'!$F$4:$F$9),0)</f>
        <v/>
      </c>
      <c r="AI73">
        <f>IFERROR((AA73*0.000000947817)/_xlfn.XLOOKUP(AG73,'energy base (MECS)'!$K$4:$K$9,'energy base (MECS)'!$I$4:$I$9),0)</f>
        <v/>
      </c>
      <c r="AJ73">
        <f>MAX(0.3*ABS(AK73),0.000001)</f>
        <v/>
      </c>
      <c r="AK73">
        <f>IF(ISNUMBER(T73),T73,0)</f>
        <v/>
      </c>
      <c r="AL73">
        <f>IFERROR(_xlfn.XLOOKUP(AG73,'BCoISC-WACCbI'!$C$2:$C$26,'BCoISC-WACCbI'!$B$2:$B$26)+$AE$4,0.1)</f>
        <v/>
      </c>
      <c r="AM73">
        <f>IF(P73&gt;0,L73/P73/0.947817,0)</f>
        <v/>
      </c>
      <c r="AN73">
        <f>IF(AND(P73&gt;0,ISNUMBER(K73)),L73*K73*1000000*E73,0)</f>
        <v/>
      </c>
    </row>
    <row r="74">
      <c r="A74">
        <f>'Kermeli Data'!A81</f>
        <v/>
      </c>
      <c r="B74">
        <f>'Kermeli Data'!B81</f>
        <v/>
      </c>
      <c r="C74">
        <f>'Kermeli Data'!P81</f>
        <v/>
      </c>
      <c r="D74">
        <f>IF(C74="2 whr","whr",IF(C74="3 proc","process","EXCLUDED"))</f>
        <v/>
      </c>
      <c r="E74">
        <f>'Kermeli Data'!E81</f>
        <v/>
      </c>
      <c r="F74">
        <f>'Kermeli Data'!F81</f>
        <v/>
      </c>
      <c r="G74">
        <f>'Kermeli Data'!G81</f>
        <v/>
      </c>
      <c r="H74">
        <f>'Kermeli Data'!I81</f>
        <v/>
      </c>
      <c r="I74">
        <f>'Kermeli Data'!J81</f>
        <v/>
      </c>
      <c r="J74">
        <f>'Kermeli Data'!K81</f>
        <v/>
      </c>
      <c r="K74">
        <f>IFERROR(_xlfn.XLOOKUP(A74,'product map'!$A$14:$A$36,'product map'!$G$14:$G$36),"pending")</f>
        <v/>
      </c>
      <c r="L74">
        <f>H74*cpi!$B$12*cpi!$B$10</f>
        <v/>
      </c>
      <c r="M74">
        <f>J74*cpi!$B$12*cpi!$B$10</f>
        <v/>
      </c>
      <c r="N74">
        <f>IF(I74&gt;0,AL74/(1-(1+AL74)^-I74),"")</f>
        <v/>
      </c>
      <c r="O74">
        <f>L74*N74+M74</f>
        <v/>
      </c>
      <c r="P74">
        <f>MAX(F74,0)+MAX(G74,0)</f>
        <v/>
      </c>
      <c r="Q74">
        <f>IF(P74&gt;0,MAX(F74,0)/P74,0)</f>
        <v/>
      </c>
      <c r="R74">
        <f>IF(P74&gt;0,MAX(G74,0)/P74,0)</f>
        <v/>
      </c>
      <c r="S74">
        <f>IF(P74&gt;0,O74/P74,"")</f>
        <v/>
      </c>
      <c r="T74">
        <f>IF(P74&gt;0,S74/$AE$3,"")</f>
        <v/>
      </c>
      <c r="U74">
        <f>IF(AND(P74&gt;0,Q74&gt;0),T74,"")</f>
        <v/>
      </c>
      <c r="V74">
        <f>IF(AND(P74&gt;0,R74&gt;0),T74,"")</f>
        <v/>
      </c>
      <c r="W74">
        <f>IF(I74&gt;0,$AE$2/(1-(1+$AE$2)^-I74),"")</f>
        <v/>
      </c>
      <c r="X74">
        <f>L74*W74+M74</f>
        <v/>
      </c>
      <c r="Y74">
        <f>IF(P74&gt;0,(X74/P74)/$AE$3,"")</f>
        <v/>
      </c>
      <c r="Z74">
        <f>IF(AND(ISNUMBER(K74),Q74&gt;0),MAX(F74,0)*K74*1000000*E74,"pending")</f>
        <v/>
      </c>
      <c r="AA74">
        <f>IF(AND(ISNUMBER(K74),R74&gt;0),MAX(G74,0)*K74*1000000*E74,"pending")</f>
        <v/>
      </c>
      <c r="AB74">
        <f>IF(AND(ISNUMBER(S74),S74&lt;0),"NEG-CCE","")&amp;IF(NOT(ISNUMBER(K74)),"|pending tonnage","")</f>
        <v/>
      </c>
      <c r="AG74">
        <f>IFERROR(_xlfn.XLOOKUP(A74,'product map'!$A$14:$A$36,'product map'!$C$14:$C$36),"?")</f>
        <v/>
      </c>
      <c r="AH74">
        <f>IFERROR((Z74*0.000000947817)/_xlfn.XLOOKUP(AG74,'energy base (MECS)'!$K$4:$K$9,'energy base (MECS)'!$F$4:$F$9),0)</f>
        <v/>
      </c>
      <c r="AI74">
        <f>IFERROR((AA74*0.000000947817)/_xlfn.XLOOKUP(AG74,'energy base (MECS)'!$K$4:$K$9,'energy base (MECS)'!$I$4:$I$9),0)</f>
        <v/>
      </c>
      <c r="AJ74">
        <f>MAX(0.3*ABS(AK74),0.000001)</f>
        <v/>
      </c>
      <c r="AK74">
        <f>IF(ISNUMBER(T74),T74,0)</f>
        <v/>
      </c>
      <c r="AL74">
        <f>IFERROR(_xlfn.XLOOKUP(AG74,'BCoISC-WACCbI'!$C$2:$C$26,'BCoISC-WACCbI'!$B$2:$B$26)+$AE$4,0.1)</f>
        <v/>
      </c>
      <c r="AM74">
        <f>IF(P74&gt;0,L74/P74/0.947817,0)</f>
        <v/>
      </c>
      <c r="AN74">
        <f>IF(AND(P74&gt;0,ISNUMBER(K74)),L74*K74*1000000*E74,0)</f>
        <v/>
      </c>
    </row>
    <row r="75">
      <c r="A75">
        <f>'Kermeli Data'!A82</f>
        <v/>
      </c>
      <c r="B75">
        <f>'Kermeli Data'!B82</f>
        <v/>
      </c>
      <c r="C75">
        <f>'Kermeli Data'!P82</f>
        <v/>
      </c>
      <c r="D75">
        <f>IF(C75="2 whr","whr",IF(C75="3 proc","process","EXCLUDED"))</f>
        <v/>
      </c>
      <c r="E75">
        <f>'Kermeli Data'!E82</f>
        <v/>
      </c>
      <c r="F75">
        <f>'Kermeli Data'!F82</f>
        <v/>
      </c>
      <c r="G75">
        <f>'Kermeli Data'!G82</f>
        <v/>
      </c>
      <c r="H75">
        <f>'Kermeli Data'!I82</f>
        <v/>
      </c>
      <c r="I75">
        <f>'Kermeli Data'!J82</f>
        <v/>
      </c>
      <c r="J75">
        <f>'Kermeli Data'!K82</f>
        <v/>
      </c>
      <c r="K75">
        <f>IFERROR(_xlfn.XLOOKUP(A75,'product map'!$A$14:$A$36,'product map'!$G$14:$G$36),"pending")</f>
        <v/>
      </c>
      <c r="L75">
        <f>H75*cpi!$B$12*cpi!$B$10</f>
        <v/>
      </c>
      <c r="M75">
        <f>J75*cpi!$B$12*cpi!$B$10</f>
        <v/>
      </c>
      <c r="N75">
        <f>IF(I75&gt;0,AL75/(1-(1+AL75)^-I75),"")</f>
        <v/>
      </c>
      <c r="O75">
        <f>L75*N75+M75</f>
        <v/>
      </c>
      <c r="P75">
        <f>MAX(F75,0)+MAX(G75,0)</f>
        <v/>
      </c>
      <c r="Q75">
        <f>IF(P75&gt;0,MAX(F75,0)/P75,0)</f>
        <v/>
      </c>
      <c r="R75">
        <f>IF(P75&gt;0,MAX(G75,0)/P75,0)</f>
        <v/>
      </c>
      <c r="S75">
        <f>IF(P75&gt;0,O75/P75,"")</f>
        <v/>
      </c>
      <c r="T75">
        <f>IF(P75&gt;0,S75/$AE$3,"")</f>
        <v/>
      </c>
      <c r="U75">
        <f>IF(AND(P75&gt;0,Q75&gt;0),T75,"")</f>
        <v/>
      </c>
      <c r="V75">
        <f>IF(AND(P75&gt;0,R75&gt;0),T75,"")</f>
        <v/>
      </c>
      <c r="W75">
        <f>IF(I75&gt;0,$AE$2/(1-(1+$AE$2)^-I75),"")</f>
        <v/>
      </c>
      <c r="X75">
        <f>L75*W75+M75</f>
        <v/>
      </c>
      <c r="Y75">
        <f>IF(P75&gt;0,(X75/P75)/$AE$3,"")</f>
        <v/>
      </c>
      <c r="Z75">
        <f>IF(AND(ISNUMBER(K75),Q75&gt;0),MAX(F75,0)*K75*1000000*E75,"pending")</f>
        <v/>
      </c>
      <c r="AA75">
        <f>IF(AND(ISNUMBER(K75),R75&gt;0),MAX(G75,0)*K75*1000000*E75,"pending")</f>
        <v/>
      </c>
      <c r="AB75">
        <f>IF(AND(ISNUMBER(S75),S75&lt;0),"NEG-CCE","")&amp;IF(NOT(ISNUMBER(K75)),"|pending tonnage","")</f>
        <v/>
      </c>
      <c r="AG75">
        <f>IFERROR(_xlfn.XLOOKUP(A75,'product map'!$A$14:$A$36,'product map'!$C$14:$C$36),"?")</f>
        <v/>
      </c>
      <c r="AH75">
        <f>IFERROR((Z75*0.000000947817)/_xlfn.XLOOKUP(AG75,'energy base (MECS)'!$K$4:$K$9,'energy base (MECS)'!$F$4:$F$9),0)</f>
        <v/>
      </c>
      <c r="AI75">
        <f>IFERROR((AA75*0.000000947817)/_xlfn.XLOOKUP(AG75,'energy base (MECS)'!$K$4:$K$9,'energy base (MECS)'!$I$4:$I$9),0)</f>
        <v/>
      </c>
      <c r="AJ75">
        <f>MAX(0.3*ABS(AK75),0.000001)</f>
        <v/>
      </c>
      <c r="AK75">
        <f>IF(ISNUMBER(T75),T75,0)</f>
        <v/>
      </c>
      <c r="AL75">
        <f>IFERROR(_xlfn.XLOOKUP(AG75,'BCoISC-WACCbI'!$C$2:$C$26,'BCoISC-WACCbI'!$B$2:$B$26)+$AE$4,0.1)</f>
        <v/>
      </c>
      <c r="AM75">
        <f>IF(P75&gt;0,L75/P75/0.947817,0)</f>
        <v/>
      </c>
      <c r="AN75">
        <f>IF(AND(P75&gt;0,ISNUMBER(K75)),L75*K75*1000000*E75,0)</f>
        <v/>
      </c>
    </row>
    <row r="76">
      <c r="A76">
        <f>'Kermeli Data'!A83</f>
        <v/>
      </c>
      <c r="B76">
        <f>'Kermeli Data'!B83</f>
        <v/>
      </c>
      <c r="C76">
        <f>'Kermeli Data'!P83</f>
        <v/>
      </c>
      <c r="D76">
        <f>IF(C76="2 whr","whr",IF(C76="3 proc","process","EXCLUDED"))</f>
        <v/>
      </c>
      <c r="E76">
        <f>'Kermeli Data'!E83</f>
        <v/>
      </c>
      <c r="F76">
        <f>'Kermeli Data'!F83</f>
        <v/>
      </c>
      <c r="G76">
        <f>'Kermeli Data'!G83</f>
        <v/>
      </c>
      <c r="H76">
        <f>'Kermeli Data'!I83</f>
        <v/>
      </c>
      <c r="I76">
        <f>'Kermeli Data'!J83</f>
        <v/>
      </c>
      <c r="J76">
        <f>'Kermeli Data'!K83</f>
        <v/>
      </c>
      <c r="K76">
        <f>IFERROR(_xlfn.XLOOKUP(A76,'product map'!$A$14:$A$36,'product map'!$G$14:$G$36),"pending")</f>
        <v/>
      </c>
      <c r="L76">
        <f>H76*cpi!$B$12*cpi!$B$10</f>
        <v/>
      </c>
      <c r="M76">
        <f>J76*cpi!$B$12*cpi!$B$10</f>
        <v/>
      </c>
      <c r="N76">
        <f>IF(I76&gt;0,AL76/(1-(1+AL76)^-I76),"")</f>
        <v/>
      </c>
      <c r="O76">
        <f>L76*N76+M76</f>
        <v/>
      </c>
      <c r="P76">
        <f>MAX(F76,0)+MAX(G76,0)</f>
        <v/>
      </c>
      <c r="Q76">
        <f>IF(P76&gt;0,MAX(F76,0)/P76,0)</f>
        <v/>
      </c>
      <c r="R76">
        <f>IF(P76&gt;0,MAX(G76,0)/P76,0)</f>
        <v/>
      </c>
      <c r="S76">
        <f>IF(P76&gt;0,O76/P76,"")</f>
        <v/>
      </c>
      <c r="T76">
        <f>IF(P76&gt;0,S76/$AE$3,"")</f>
        <v/>
      </c>
      <c r="U76">
        <f>IF(AND(P76&gt;0,Q76&gt;0),T76,"")</f>
        <v/>
      </c>
      <c r="V76">
        <f>IF(AND(P76&gt;0,R76&gt;0),T76,"")</f>
        <v/>
      </c>
      <c r="W76">
        <f>IF(I76&gt;0,$AE$2/(1-(1+$AE$2)^-I76),"")</f>
        <v/>
      </c>
      <c r="X76">
        <f>L76*W76+M76</f>
        <v/>
      </c>
      <c r="Y76">
        <f>IF(P76&gt;0,(X76/P76)/$AE$3,"")</f>
        <v/>
      </c>
      <c r="Z76">
        <f>IF(AND(ISNUMBER(K76),Q76&gt;0),MAX(F76,0)*K76*1000000*E76,"pending")</f>
        <v/>
      </c>
      <c r="AA76">
        <f>IF(AND(ISNUMBER(K76),R76&gt;0),MAX(G76,0)*K76*1000000*E76,"pending")</f>
        <v/>
      </c>
      <c r="AB76">
        <f>IF(AND(ISNUMBER(S76),S76&lt;0),"NEG-CCE","")&amp;IF(NOT(ISNUMBER(K76)),"|pending tonnage","")</f>
        <v/>
      </c>
      <c r="AG76">
        <f>IFERROR(_xlfn.XLOOKUP(A76,'product map'!$A$14:$A$36,'product map'!$C$14:$C$36),"?")</f>
        <v/>
      </c>
      <c r="AH76">
        <f>IFERROR((Z76*0.000000947817)/_xlfn.XLOOKUP(AG76,'energy base (MECS)'!$K$4:$K$9,'energy base (MECS)'!$F$4:$F$9),0)</f>
        <v/>
      </c>
      <c r="AI76">
        <f>IFERROR((AA76*0.000000947817)/_xlfn.XLOOKUP(AG76,'energy base (MECS)'!$K$4:$K$9,'energy base (MECS)'!$I$4:$I$9),0)</f>
        <v/>
      </c>
      <c r="AJ76">
        <f>MAX(0.3*ABS(AK76),0.000001)</f>
        <v/>
      </c>
      <c r="AK76">
        <f>IF(ISNUMBER(T76),T76,0)</f>
        <v/>
      </c>
      <c r="AL76">
        <f>IFERROR(_xlfn.XLOOKUP(AG76,'BCoISC-WACCbI'!$C$2:$C$26,'BCoISC-WACCbI'!$B$2:$B$26)+$AE$4,0.1)</f>
        <v/>
      </c>
      <c r="AM76">
        <f>IF(P76&gt;0,L76/P76/0.947817,0)</f>
        <v/>
      </c>
      <c r="AN76">
        <f>IF(AND(P76&gt;0,ISNUMBER(K76)),L76*K76*1000000*E76,0)</f>
        <v/>
      </c>
    </row>
    <row r="77">
      <c r="A77">
        <f>'Kermeli Data'!A84</f>
        <v/>
      </c>
      <c r="B77">
        <f>'Kermeli Data'!B84</f>
        <v/>
      </c>
      <c r="C77">
        <f>'Kermeli Data'!P84</f>
        <v/>
      </c>
      <c r="D77">
        <f>IF(C77="2 whr","whr",IF(C77="3 proc","process","EXCLUDED"))</f>
        <v/>
      </c>
      <c r="E77">
        <f>'Kermeli Data'!E84</f>
        <v/>
      </c>
      <c r="F77">
        <f>'Kermeli Data'!F84</f>
        <v/>
      </c>
      <c r="G77">
        <f>'Kermeli Data'!G84</f>
        <v/>
      </c>
      <c r="H77">
        <f>'Kermeli Data'!I84</f>
        <v/>
      </c>
      <c r="I77">
        <f>'Kermeli Data'!J84</f>
        <v/>
      </c>
      <c r="J77">
        <f>'Kermeli Data'!K84</f>
        <v/>
      </c>
      <c r="K77">
        <f>IFERROR(_xlfn.XLOOKUP(A77,'product map'!$A$14:$A$36,'product map'!$G$14:$G$36),"pending")</f>
        <v/>
      </c>
      <c r="L77">
        <f>H77*cpi!$B$12*cpi!$B$10</f>
        <v/>
      </c>
      <c r="M77">
        <f>J77*cpi!$B$12*cpi!$B$10</f>
        <v/>
      </c>
      <c r="N77">
        <f>IF(I77&gt;0,AL77/(1-(1+AL77)^-I77),"")</f>
        <v/>
      </c>
      <c r="O77">
        <f>L77*N77+M77</f>
        <v/>
      </c>
      <c r="P77">
        <f>MAX(F77,0)+MAX(G77,0)</f>
        <v/>
      </c>
      <c r="Q77">
        <f>IF(P77&gt;0,MAX(F77,0)/P77,0)</f>
        <v/>
      </c>
      <c r="R77">
        <f>IF(P77&gt;0,MAX(G77,0)/P77,0)</f>
        <v/>
      </c>
      <c r="S77">
        <f>IF(P77&gt;0,O77/P77,"")</f>
        <v/>
      </c>
      <c r="T77">
        <f>IF(P77&gt;0,S77/$AE$3,"")</f>
        <v/>
      </c>
      <c r="U77">
        <f>IF(AND(P77&gt;0,Q77&gt;0),T77,"")</f>
        <v/>
      </c>
      <c r="V77">
        <f>IF(AND(P77&gt;0,R77&gt;0),T77,"")</f>
        <v/>
      </c>
      <c r="W77">
        <f>IF(I77&gt;0,$AE$2/(1-(1+$AE$2)^-I77),"")</f>
        <v/>
      </c>
      <c r="X77">
        <f>L77*W77+M77</f>
        <v/>
      </c>
      <c r="Y77">
        <f>IF(P77&gt;0,(X77/P77)/$AE$3,"")</f>
        <v/>
      </c>
      <c r="Z77">
        <f>IF(AND(ISNUMBER(K77),Q77&gt;0),MAX(F77,0)*K77*1000000*E77,"pending")</f>
        <v/>
      </c>
      <c r="AA77">
        <f>IF(AND(ISNUMBER(K77),R77&gt;0),MAX(G77,0)*K77*1000000*E77,"pending")</f>
        <v/>
      </c>
      <c r="AB77">
        <f>IF(AND(ISNUMBER(S77),S77&lt;0),"NEG-CCE","")&amp;IF(NOT(ISNUMBER(K77)),"|pending tonnage","")</f>
        <v/>
      </c>
      <c r="AG77">
        <f>IFERROR(_xlfn.XLOOKUP(A77,'product map'!$A$14:$A$36,'product map'!$C$14:$C$36),"?")</f>
        <v/>
      </c>
      <c r="AH77">
        <f>IFERROR((Z77*0.000000947817)/_xlfn.XLOOKUP(AG77,'energy base (MECS)'!$K$4:$K$9,'energy base (MECS)'!$F$4:$F$9),0)</f>
        <v/>
      </c>
      <c r="AI77">
        <f>IFERROR((AA77*0.000000947817)/_xlfn.XLOOKUP(AG77,'energy base (MECS)'!$K$4:$K$9,'energy base (MECS)'!$I$4:$I$9),0)</f>
        <v/>
      </c>
      <c r="AJ77">
        <f>MAX(0.3*ABS(AK77),0.000001)</f>
        <v/>
      </c>
      <c r="AK77">
        <f>IF(ISNUMBER(T77),T77,0)</f>
        <v/>
      </c>
      <c r="AL77">
        <f>IFERROR(_xlfn.XLOOKUP(AG77,'BCoISC-WACCbI'!$C$2:$C$26,'BCoISC-WACCbI'!$B$2:$B$26)+$AE$4,0.1)</f>
        <v/>
      </c>
      <c r="AM77">
        <f>IF(P77&gt;0,L77/P77/0.947817,0)</f>
        <v/>
      </c>
      <c r="AN77">
        <f>IF(AND(P77&gt;0,ISNUMBER(K77)),L77*K77*1000000*E77,0)</f>
        <v/>
      </c>
    </row>
    <row r="78">
      <c r="A78">
        <f>'Kermeli Data'!A85</f>
        <v/>
      </c>
      <c r="B78">
        <f>'Kermeli Data'!B85</f>
        <v/>
      </c>
      <c r="C78">
        <f>'Kermeli Data'!P85</f>
        <v/>
      </c>
      <c r="D78">
        <f>IF(C78="2 whr","whr",IF(C78="3 proc","process","EXCLUDED"))</f>
        <v/>
      </c>
      <c r="E78">
        <f>'Kermeli Data'!E85</f>
        <v/>
      </c>
      <c r="F78">
        <f>'Kermeli Data'!F85</f>
        <v/>
      </c>
      <c r="G78">
        <f>'Kermeli Data'!G85</f>
        <v/>
      </c>
      <c r="H78">
        <f>'Kermeli Data'!I85</f>
        <v/>
      </c>
      <c r="I78">
        <f>'Kermeli Data'!J85</f>
        <v/>
      </c>
      <c r="J78">
        <f>'Kermeli Data'!K85</f>
        <v/>
      </c>
      <c r="K78">
        <f>IFERROR(_xlfn.XLOOKUP(A78,'product map'!$A$14:$A$36,'product map'!$G$14:$G$36),"pending")</f>
        <v/>
      </c>
      <c r="L78">
        <f>H78*cpi!$B$12*cpi!$B$10</f>
        <v/>
      </c>
      <c r="M78">
        <f>J78*cpi!$B$12*cpi!$B$10</f>
        <v/>
      </c>
      <c r="N78">
        <f>IF(I78&gt;0,AL78/(1-(1+AL78)^-I78),"")</f>
        <v/>
      </c>
      <c r="O78">
        <f>L78*N78+M78</f>
        <v/>
      </c>
      <c r="P78">
        <f>MAX(F78,0)+MAX(G78,0)</f>
        <v/>
      </c>
      <c r="Q78">
        <f>IF(P78&gt;0,MAX(F78,0)/P78,0)</f>
        <v/>
      </c>
      <c r="R78">
        <f>IF(P78&gt;0,MAX(G78,0)/P78,0)</f>
        <v/>
      </c>
      <c r="S78">
        <f>IF(P78&gt;0,O78/P78,"")</f>
        <v/>
      </c>
      <c r="T78">
        <f>IF(P78&gt;0,S78/$AE$3,"")</f>
        <v/>
      </c>
      <c r="U78">
        <f>IF(AND(P78&gt;0,Q78&gt;0),T78,"")</f>
        <v/>
      </c>
      <c r="V78">
        <f>IF(AND(P78&gt;0,R78&gt;0),T78,"")</f>
        <v/>
      </c>
      <c r="W78">
        <f>IF(I78&gt;0,$AE$2/(1-(1+$AE$2)^-I78),"")</f>
        <v/>
      </c>
      <c r="X78">
        <f>L78*W78+M78</f>
        <v/>
      </c>
      <c r="Y78">
        <f>IF(P78&gt;0,(X78/P78)/$AE$3,"")</f>
        <v/>
      </c>
      <c r="Z78">
        <f>IF(AND(ISNUMBER(K78),Q78&gt;0),MAX(F78,0)*K78*1000000*E78,"pending")</f>
        <v/>
      </c>
      <c r="AA78">
        <f>IF(AND(ISNUMBER(K78),R78&gt;0),MAX(G78,0)*K78*1000000*E78,"pending")</f>
        <v/>
      </c>
      <c r="AB78">
        <f>IF(AND(ISNUMBER(S78),S78&lt;0),"NEG-CCE","")&amp;IF(NOT(ISNUMBER(K78)),"|pending tonnage","")</f>
        <v/>
      </c>
      <c r="AG78">
        <f>IFERROR(_xlfn.XLOOKUP(A78,'product map'!$A$14:$A$36,'product map'!$C$14:$C$36),"?")</f>
        <v/>
      </c>
      <c r="AH78">
        <f>IFERROR((Z78*0.000000947817)/_xlfn.XLOOKUP(AG78,'energy base (MECS)'!$K$4:$K$9,'energy base (MECS)'!$F$4:$F$9),0)</f>
        <v/>
      </c>
      <c r="AI78">
        <f>IFERROR((AA78*0.000000947817)/_xlfn.XLOOKUP(AG78,'energy base (MECS)'!$K$4:$K$9,'energy base (MECS)'!$I$4:$I$9),0)</f>
        <v/>
      </c>
      <c r="AJ78">
        <f>MAX(0.3*ABS(AK78),0.000001)</f>
        <v/>
      </c>
      <c r="AK78">
        <f>IF(ISNUMBER(T78),T78,0)</f>
        <v/>
      </c>
      <c r="AL78">
        <f>IFERROR(_xlfn.XLOOKUP(AG78,'BCoISC-WACCbI'!$C$2:$C$26,'BCoISC-WACCbI'!$B$2:$B$26)+$AE$4,0.1)</f>
        <v/>
      </c>
      <c r="AM78">
        <f>IF(P78&gt;0,L78/P78/0.947817,0)</f>
        <v/>
      </c>
      <c r="AN78">
        <f>IF(AND(P78&gt;0,ISNUMBER(K78)),L78*K78*1000000*E78,0)</f>
        <v/>
      </c>
    </row>
    <row r="79">
      <c r="A79">
        <f>'Kermeli Data'!A86</f>
        <v/>
      </c>
      <c r="B79">
        <f>'Kermeli Data'!B86</f>
        <v/>
      </c>
      <c r="C79">
        <f>'Kermeli Data'!P86</f>
        <v/>
      </c>
      <c r="D79">
        <f>IF(C79="2 whr","whr",IF(C79="3 proc","process","EXCLUDED"))</f>
        <v/>
      </c>
      <c r="E79">
        <f>'Kermeli Data'!E86</f>
        <v/>
      </c>
      <c r="F79">
        <f>'Kermeli Data'!F86</f>
        <v/>
      </c>
      <c r="G79">
        <f>'Kermeli Data'!G86</f>
        <v/>
      </c>
      <c r="H79">
        <f>'Kermeli Data'!I86</f>
        <v/>
      </c>
      <c r="I79">
        <f>'Kermeli Data'!J86</f>
        <v/>
      </c>
      <c r="J79">
        <f>'Kermeli Data'!K86</f>
        <v/>
      </c>
      <c r="K79">
        <f>IFERROR(_xlfn.XLOOKUP(A79,'product map'!$A$14:$A$36,'product map'!$G$14:$G$36),"pending")</f>
        <v/>
      </c>
      <c r="L79">
        <f>H79*cpi!$B$12*cpi!$B$10</f>
        <v/>
      </c>
      <c r="M79">
        <f>J79*cpi!$B$12*cpi!$B$10</f>
        <v/>
      </c>
      <c r="N79">
        <f>IF(I79&gt;0,AL79/(1-(1+AL79)^-I79),"")</f>
        <v/>
      </c>
      <c r="O79">
        <f>L79*N79+M79</f>
        <v/>
      </c>
      <c r="P79">
        <f>MAX(F79,0)+MAX(G79,0)</f>
        <v/>
      </c>
      <c r="Q79">
        <f>IF(P79&gt;0,MAX(F79,0)/P79,0)</f>
        <v/>
      </c>
      <c r="R79">
        <f>IF(P79&gt;0,MAX(G79,0)/P79,0)</f>
        <v/>
      </c>
      <c r="S79">
        <f>IF(P79&gt;0,O79/P79,"")</f>
        <v/>
      </c>
      <c r="T79">
        <f>IF(P79&gt;0,S79/$AE$3,"")</f>
        <v/>
      </c>
      <c r="U79">
        <f>IF(AND(P79&gt;0,Q79&gt;0),T79,"")</f>
        <v/>
      </c>
      <c r="V79">
        <f>IF(AND(P79&gt;0,R79&gt;0),T79,"")</f>
        <v/>
      </c>
      <c r="W79">
        <f>IF(I79&gt;0,$AE$2/(1-(1+$AE$2)^-I79),"")</f>
        <v/>
      </c>
      <c r="X79">
        <f>L79*W79+M79</f>
        <v/>
      </c>
      <c r="Y79">
        <f>IF(P79&gt;0,(X79/P79)/$AE$3,"")</f>
        <v/>
      </c>
      <c r="Z79">
        <f>IF(AND(ISNUMBER(K79),Q79&gt;0),MAX(F79,0)*K79*1000000*E79,"pending")</f>
        <v/>
      </c>
      <c r="AA79">
        <f>IF(AND(ISNUMBER(K79),R79&gt;0),MAX(G79,0)*K79*1000000*E79,"pending")</f>
        <v/>
      </c>
      <c r="AB79">
        <f>IF(AND(ISNUMBER(S79),S79&lt;0),"NEG-CCE","")&amp;IF(NOT(ISNUMBER(K79)),"|pending tonnage","")</f>
        <v/>
      </c>
      <c r="AG79">
        <f>IFERROR(_xlfn.XLOOKUP(A79,'product map'!$A$14:$A$36,'product map'!$C$14:$C$36),"?")</f>
        <v/>
      </c>
      <c r="AH79">
        <f>IFERROR((Z79*0.000000947817)/_xlfn.XLOOKUP(AG79,'energy base (MECS)'!$K$4:$K$9,'energy base (MECS)'!$F$4:$F$9),0)</f>
        <v/>
      </c>
      <c r="AI79">
        <f>IFERROR((AA79*0.000000947817)/_xlfn.XLOOKUP(AG79,'energy base (MECS)'!$K$4:$K$9,'energy base (MECS)'!$I$4:$I$9),0)</f>
        <v/>
      </c>
      <c r="AJ79">
        <f>MAX(0.3*ABS(AK79),0.000001)</f>
        <v/>
      </c>
      <c r="AK79">
        <f>IF(ISNUMBER(T79),T79,0)</f>
        <v/>
      </c>
      <c r="AL79">
        <f>IFERROR(_xlfn.XLOOKUP(AG79,'BCoISC-WACCbI'!$C$2:$C$26,'BCoISC-WACCbI'!$B$2:$B$26)+$AE$4,0.1)</f>
        <v/>
      </c>
      <c r="AM79">
        <f>IF(P79&gt;0,L79/P79/0.947817,0)</f>
        <v/>
      </c>
      <c r="AN79">
        <f>IF(AND(P79&gt;0,ISNUMBER(K79)),L79*K79*1000000*E79,0)</f>
        <v/>
      </c>
    </row>
    <row r="80">
      <c r="A80">
        <f>'Kermeli Data'!A87</f>
        <v/>
      </c>
      <c r="B80">
        <f>'Kermeli Data'!B87</f>
        <v/>
      </c>
      <c r="C80">
        <f>'Kermeli Data'!P87</f>
        <v/>
      </c>
      <c r="D80">
        <f>IF(C80="2 whr","whr",IF(C80="3 proc","process","EXCLUDED"))</f>
        <v/>
      </c>
      <c r="E80">
        <f>'Kermeli Data'!E87</f>
        <v/>
      </c>
      <c r="F80">
        <f>'Kermeli Data'!F87</f>
        <v/>
      </c>
      <c r="G80">
        <f>'Kermeli Data'!G87</f>
        <v/>
      </c>
      <c r="H80">
        <f>'Kermeli Data'!I87</f>
        <v/>
      </c>
      <c r="I80">
        <f>'Kermeli Data'!J87</f>
        <v/>
      </c>
      <c r="J80">
        <f>'Kermeli Data'!K87</f>
        <v/>
      </c>
      <c r="K80">
        <f>IFERROR(_xlfn.XLOOKUP(A80,'product map'!$A$14:$A$36,'product map'!$G$14:$G$36),"pending")</f>
        <v/>
      </c>
      <c r="L80">
        <f>H80*cpi!$B$12*cpi!$B$10</f>
        <v/>
      </c>
      <c r="M80">
        <f>J80*cpi!$B$12*cpi!$B$10</f>
        <v/>
      </c>
      <c r="N80">
        <f>IF(I80&gt;0,AL80/(1-(1+AL80)^-I80),"")</f>
        <v/>
      </c>
      <c r="O80">
        <f>L80*N80+M80</f>
        <v/>
      </c>
      <c r="P80">
        <f>MAX(F80,0)+MAX(G80,0)</f>
        <v/>
      </c>
      <c r="Q80">
        <f>IF(P80&gt;0,MAX(F80,0)/P80,0)</f>
        <v/>
      </c>
      <c r="R80">
        <f>IF(P80&gt;0,MAX(G80,0)/P80,0)</f>
        <v/>
      </c>
      <c r="S80">
        <f>IF(P80&gt;0,O80/P80,"")</f>
        <v/>
      </c>
      <c r="T80">
        <f>IF(P80&gt;0,S80/$AE$3,"")</f>
        <v/>
      </c>
      <c r="U80">
        <f>IF(AND(P80&gt;0,Q80&gt;0),T80,"")</f>
        <v/>
      </c>
      <c r="V80">
        <f>IF(AND(P80&gt;0,R80&gt;0),T80,"")</f>
        <v/>
      </c>
      <c r="W80">
        <f>IF(I80&gt;0,$AE$2/(1-(1+$AE$2)^-I80),"")</f>
        <v/>
      </c>
      <c r="X80">
        <f>L80*W80+M80</f>
        <v/>
      </c>
      <c r="Y80">
        <f>IF(P80&gt;0,(X80/P80)/$AE$3,"")</f>
        <v/>
      </c>
      <c r="Z80">
        <f>IF(AND(ISNUMBER(K80),Q80&gt;0),MAX(F80,0)*K80*1000000*E80,"pending")</f>
        <v/>
      </c>
      <c r="AA80">
        <f>IF(AND(ISNUMBER(K80),R80&gt;0),MAX(G80,0)*K80*1000000*E80,"pending")</f>
        <v/>
      </c>
      <c r="AB80">
        <f>IF(AND(ISNUMBER(S80),S80&lt;0),"NEG-CCE","")&amp;IF(NOT(ISNUMBER(K80)),"|pending tonnage","")</f>
        <v/>
      </c>
      <c r="AG80">
        <f>IFERROR(_xlfn.XLOOKUP(A80,'product map'!$A$14:$A$36,'product map'!$C$14:$C$36),"?")</f>
        <v/>
      </c>
      <c r="AH80">
        <f>IFERROR((Z80*0.000000947817)/_xlfn.XLOOKUP(AG80,'energy base (MECS)'!$K$4:$K$9,'energy base (MECS)'!$F$4:$F$9),0)</f>
        <v/>
      </c>
      <c r="AI80">
        <f>IFERROR((AA80*0.000000947817)/_xlfn.XLOOKUP(AG80,'energy base (MECS)'!$K$4:$K$9,'energy base (MECS)'!$I$4:$I$9),0)</f>
        <v/>
      </c>
      <c r="AJ80">
        <f>MAX(0.3*ABS(AK80),0.000001)</f>
        <v/>
      </c>
      <c r="AK80">
        <f>IF(ISNUMBER(T80),T80,0)</f>
        <v/>
      </c>
      <c r="AL80">
        <f>IFERROR(_xlfn.XLOOKUP(AG80,'BCoISC-WACCbI'!$C$2:$C$26,'BCoISC-WACCbI'!$B$2:$B$26)+$AE$4,0.1)</f>
        <v/>
      </c>
      <c r="AM80">
        <f>IF(P80&gt;0,L80/P80/0.947817,0)</f>
        <v/>
      </c>
      <c r="AN80">
        <f>IF(AND(P80&gt;0,ISNUMBER(K80)),L80*K80*1000000*E80,0)</f>
        <v/>
      </c>
    </row>
    <row r="81">
      <c r="A81">
        <f>'Kermeli Data'!A88</f>
        <v/>
      </c>
      <c r="B81">
        <f>'Kermeli Data'!B88</f>
        <v/>
      </c>
      <c r="C81">
        <f>'Kermeli Data'!P88</f>
        <v/>
      </c>
      <c r="D81">
        <f>IF(C81="2 whr","whr",IF(C81="3 proc","process","EXCLUDED"))</f>
        <v/>
      </c>
      <c r="E81">
        <f>'Kermeli Data'!E88</f>
        <v/>
      </c>
      <c r="F81">
        <f>'Kermeli Data'!F88</f>
        <v/>
      </c>
      <c r="G81">
        <f>'Kermeli Data'!G88</f>
        <v/>
      </c>
      <c r="H81">
        <f>'Kermeli Data'!I88</f>
        <v/>
      </c>
      <c r="I81">
        <f>'Kermeli Data'!J88</f>
        <v/>
      </c>
      <c r="J81">
        <f>'Kermeli Data'!K88</f>
        <v/>
      </c>
      <c r="K81">
        <f>IFERROR(_xlfn.XLOOKUP(A81,'product map'!$A$14:$A$36,'product map'!$G$14:$G$36),"pending")</f>
        <v/>
      </c>
      <c r="L81">
        <f>H81*cpi!$B$12*cpi!$B$10</f>
        <v/>
      </c>
      <c r="M81">
        <f>J81*cpi!$B$12*cpi!$B$10</f>
        <v/>
      </c>
      <c r="N81">
        <f>IF(I81&gt;0,AL81/(1-(1+AL81)^-I81),"")</f>
        <v/>
      </c>
      <c r="O81">
        <f>L81*N81+M81</f>
        <v/>
      </c>
      <c r="P81">
        <f>MAX(F81,0)+MAX(G81,0)</f>
        <v/>
      </c>
      <c r="Q81">
        <f>IF(P81&gt;0,MAX(F81,0)/P81,0)</f>
        <v/>
      </c>
      <c r="R81">
        <f>IF(P81&gt;0,MAX(G81,0)/P81,0)</f>
        <v/>
      </c>
      <c r="S81">
        <f>IF(P81&gt;0,O81/P81,"")</f>
        <v/>
      </c>
      <c r="T81">
        <f>IF(P81&gt;0,S81/$AE$3,"")</f>
        <v/>
      </c>
      <c r="U81">
        <f>IF(AND(P81&gt;0,Q81&gt;0),T81,"")</f>
        <v/>
      </c>
      <c r="V81">
        <f>IF(AND(P81&gt;0,R81&gt;0),T81,"")</f>
        <v/>
      </c>
      <c r="W81">
        <f>IF(I81&gt;0,$AE$2/(1-(1+$AE$2)^-I81),"")</f>
        <v/>
      </c>
      <c r="X81">
        <f>L81*W81+M81</f>
        <v/>
      </c>
      <c r="Y81">
        <f>IF(P81&gt;0,(X81/P81)/$AE$3,"")</f>
        <v/>
      </c>
      <c r="Z81">
        <f>IF(AND(ISNUMBER(K81),Q81&gt;0),MAX(F81,0)*K81*1000000*E81,"pending")</f>
        <v/>
      </c>
      <c r="AA81">
        <f>IF(AND(ISNUMBER(K81),R81&gt;0),MAX(G81,0)*K81*1000000*E81,"pending")</f>
        <v/>
      </c>
      <c r="AB81">
        <f>IF(AND(ISNUMBER(S81),S81&lt;0),"NEG-CCE","")&amp;IF(NOT(ISNUMBER(K81)),"|pending tonnage","")</f>
        <v/>
      </c>
      <c r="AG81">
        <f>IFERROR(_xlfn.XLOOKUP(A81,'product map'!$A$14:$A$36,'product map'!$C$14:$C$36),"?")</f>
        <v/>
      </c>
      <c r="AH81">
        <f>IFERROR((Z81*0.000000947817)/_xlfn.XLOOKUP(AG81,'energy base (MECS)'!$K$4:$K$9,'energy base (MECS)'!$F$4:$F$9),0)</f>
        <v/>
      </c>
      <c r="AI81">
        <f>IFERROR((AA81*0.000000947817)/_xlfn.XLOOKUP(AG81,'energy base (MECS)'!$K$4:$K$9,'energy base (MECS)'!$I$4:$I$9),0)</f>
        <v/>
      </c>
      <c r="AJ81">
        <f>MAX(0.3*ABS(AK81),0.000001)</f>
        <v/>
      </c>
      <c r="AK81">
        <f>IF(ISNUMBER(T81),T81,0)</f>
        <v/>
      </c>
      <c r="AL81">
        <f>IFERROR(_xlfn.XLOOKUP(AG81,'BCoISC-WACCbI'!$C$2:$C$26,'BCoISC-WACCbI'!$B$2:$B$26)+$AE$4,0.1)</f>
        <v/>
      </c>
      <c r="AM81">
        <f>IF(P81&gt;0,L81/P81/0.947817,0)</f>
        <v/>
      </c>
      <c r="AN81">
        <f>IF(AND(P81&gt;0,ISNUMBER(K81)),L81*K81*1000000*E81,0)</f>
        <v/>
      </c>
    </row>
    <row r="82">
      <c r="A82">
        <f>'Kermeli Data'!A89</f>
        <v/>
      </c>
      <c r="B82">
        <f>'Kermeli Data'!B89</f>
        <v/>
      </c>
      <c r="C82">
        <f>'Kermeli Data'!P89</f>
        <v/>
      </c>
      <c r="D82">
        <f>IF(C82="2 whr","whr",IF(C82="3 proc","process","EXCLUDED"))</f>
        <v/>
      </c>
      <c r="E82">
        <f>'Kermeli Data'!E89</f>
        <v/>
      </c>
      <c r="F82">
        <f>'Kermeli Data'!F89</f>
        <v/>
      </c>
      <c r="G82">
        <f>'Kermeli Data'!G89</f>
        <v/>
      </c>
      <c r="H82">
        <f>'Kermeli Data'!I89</f>
        <v/>
      </c>
      <c r="I82">
        <f>'Kermeli Data'!J89</f>
        <v/>
      </c>
      <c r="J82">
        <f>'Kermeli Data'!K89</f>
        <v/>
      </c>
      <c r="K82">
        <f>IFERROR(_xlfn.XLOOKUP(A82,'product map'!$A$14:$A$36,'product map'!$G$14:$G$36),"pending")</f>
        <v/>
      </c>
      <c r="L82">
        <f>H82*cpi!$B$12*cpi!$B$10</f>
        <v/>
      </c>
      <c r="M82">
        <f>J82*cpi!$B$12*cpi!$B$10</f>
        <v/>
      </c>
      <c r="N82">
        <f>IF(I82&gt;0,AL82/(1-(1+AL82)^-I82),"")</f>
        <v/>
      </c>
      <c r="O82">
        <f>L82*N82+M82</f>
        <v/>
      </c>
      <c r="P82">
        <f>MAX(F82,0)+MAX(G82,0)</f>
        <v/>
      </c>
      <c r="Q82">
        <f>IF(P82&gt;0,MAX(F82,0)/P82,0)</f>
        <v/>
      </c>
      <c r="R82">
        <f>IF(P82&gt;0,MAX(G82,0)/P82,0)</f>
        <v/>
      </c>
      <c r="S82">
        <f>IF(P82&gt;0,O82/P82,"")</f>
        <v/>
      </c>
      <c r="T82">
        <f>IF(P82&gt;0,S82/$AE$3,"")</f>
        <v/>
      </c>
      <c r="U82">
        <f>IF(AND(P82&gt;0,Q82&gt;0),T82,"")</f>
        <v/>
      </c>
      <c r="V82">
        <f>IF(AND(P82&gt;0,R82&gt;0),T82,"")</f>
        <v/>
      </c>
      <c r="W82">
        <f>IF(I82&gt;0,$AE$2/(1-(1+$AE$2)^-I82),"")</f>
        <v/>
      </c>
      <c r="X82">
        <f>L82*W82+M82</f>
        <v/>
      </c>
      <c r="Y82">
        <f>IF(P82&gt;0,(X82/P82)/$AE$3,"")</f>
        <v/>
      </c>
      <c r="Z82">
        <f>IF(AND(ISNUMBER(K82),Q82&gt;0),MAX(F82,0)*K82*1000000*E82,"pending")</f>
        <v/>
      </c>
      <c r="AA82">
        <f>IF(AND(ISNUMBER(K82),R82&gt;0),MAX(G82,0)*K82*1000000*E82,"pending")</f>
        <v/>
      </c>
      <c r="AB82">
        <f>IF(AND(ISNUMBER(S82),S82&lt;0),"NEG-CCE","")&amp;IF(NOT(ISNUMBER(K82)),"|pending tonnage","")</f>
        <v/>
      </c>
      <c r="AG82">
        <f>IFERROR(_xlfn.XLOOKUP(A82,'product map'!$A$14:$A$36,'product map'!$C$14:$C$36),"?")</f>
        <v/>
      </c>
      <c r="AH82">
        <f>IFERROR((Z82*0.000000947817)/_xlfn.XLOOKUP(AG82,'energy base (MECS)'!$K$4:$K$9,'energy base (MECS)'!$F$4:$F$9),0)</f>
        <v/>
      </c>
      <c r="AI82">
        <f>IFERROR((AA82*0.000000947817)/_xlfn.XLOOKUP(AG82,'energy base (MECS)'!$K$4:$K$9,'energy base (MECS)'!$I$4:$I$9),0)</f>
        <v/>
      </c>
      <c r="AJ82">
        <f>MAX(0.3*ABS(AK82),0.000001)</f>
        <v/>
      </c>
      <c r="AK82">
        <f>IF(ISNUMBER(T82),T82,0)</f>
        <v/>
      </c>
      <c r="AL82">
        <f>IFERROR(_xlfn.XLOOKUP(AG82,'BCoISC-WACCbI'!$C$2:$C$26,'BCoISC-WACCbI'!$B$2:$B$26)+$AE$4,0.1)</f>
        <v/>
      </c>
      <c r="AM82">
        <f>IF(P82&gt;0,L82/P82/0.947817,0)</f>
        <v/>
      </c>
      <c r="AN82">
        <f>IF(AND(P82&gt;0,ISNUMBER(K82)),L82*K82*1000000*E82,0)</f>
        <v/>
      </c>
    </row>
    <row r="83">
      <c r="A83">
        <f>'Kermeli Data'!A90</f>
        <v/>
      </c>
      <c r="B83">
        <f>'Kermeli Data'!B90</f>
        <v/>
      </c>
      <c r="C83">
        <f>'Kermeli Data'!P90</f>
        <v/>
      </c>
      <c r="D83">
        <f>IF(C83="2 whr","whr",IF(C83="3 proc","process","EXCLUDED"))</f>
        <v/>
      </c>
      <c r="E83">
        <f>'Kermeli Data'!E90</f>
        <v/>
      </c>
      <c r="F83">
        <f>'Kermeli Data'!F90</f>
        <v/>
      </c>
      <c r="G83">
        <f>'Kermeli Data'!G90</f>
        <v/>
      </c>
      <c r="H83">
        <f>'Kermeli Data'!I90</f>
        <v/>
      </c>
      <c r="I83">
        <f>'Kermeli Data'!J90</f>
        <v/>
      </c>
      <c r="J83">
        <f>'Kermeli Data'!K90</f>
        <v/>
      </c>
      <c r="K83">
        <f>IFERROR(_xlfn.XLOOKUP(A83,'product map'!$A$14:$A$36,'product map'!$G$14:$G$36),"pending")</f>
        <v/>
      </c>
      <c r="L83">
        <f>H83*cpi!$B$12*cpi!$B$10</f>
        <v/>
      </c>
      <c r="M83">
        <f>J83*cpi!$B$12*cpi!$B$10</f>
        <v/>
      </c>
      <c r="N83">
        <f>IF(I83&gt;0,AL83/(1-(1+AL83)^-I83),"")</f>
        <v/>
      </c>
      <c r="O83">
        <f>L83*N83+M83</f>
        <v/>
      </c>
      <c r="P83">
        <f>MAX(F83,0)+MAX(G83,0)</f>
        <v/>
      </c>
      <c r="Q83">
        <f>IF(P83&gt;0,MAX(F83,0)/P83,0)</f>
        <v/>
      </c>
      <c r="R83">
        <f>IF(P83&gt;0,MAX(G83,0)/P83,0)</f>
        <v/>
      </c>
      <c r="S83">
        <f>IF(P83&gt;0,O83/P83,"")</f>
        <v/>
      </c>
      <c r="T83">
        <f>IF(P83&gt;0,S83/$AE$3,"")</f>
        <v/>
      </c>
      <c r="U83">
        <f>IF(AND(P83&gt;0,Q83&gt;0),T83,"")</f>
        <v/>
      </c>
      <c r="V83">
        <f>IF(AND(P83&gt;0,R83&gt;0),T83,"")</f>
        <v/>
      </c>
      <c r="W83">
        <f>IF(I83&gt;0,$AE$2/(1-(1+$AE$2)^-I83),"")</f>
        <v/>
      </c>
      <c r="X83">
        <f>L83*W83+M83</f>
        <v/>
      </c>
      <c r="Y83">
        <f>IF(P83&gt;0,(X83/P83)/$AE$3,"")</f>
        <v/>
      </c>
      <c r="Z83">
        <f>IF(AND(ISNUMBER(K83),Q83&gt;0),MAX(F83,0)*K83*1000000*E83,"pending")</f>
        <v/>
      </c>
      <c r="AA83">
        <f>IF(AND(ISNUMBER(K83),R83&gt;0),MAX(G83,0)*K83*1000000*E83,"pending")</f>
        <v/>
      </c>
      <c r="AB83">
        <f>IF(AND(ISNUMBER(S83),S83&lt;0),"NEG-CCE","")&amp;IF(NOT(ISNUMBER(K83)),"|pending tonnage","")</f>
        <v/>
      </c>
      <c r="AG83">
        <f>IFERROR(_xlfn.XLOOKUP(A83,'product map'!$A$14:$A$36,'product map'!$C$14:$C$36),"?")</f>
        <v/>
      </c>
      <c r="AH83">
        <f>IFERROR((Z83*0.000000947817)/_xlfn.XLOOKUP(AG83,'energy base (MECS)'!$K$4:$K$9,'energy base (MECS)'!$F$4:$F$9),0)</f>
        <v/>
      </c>
      <c r="AI83">
        <f>IFERROR((AA83*0.000000947817)/_xlfn.XLOOKUP(AG83,'energy base (MECS)'!$K$4:$K$9,'energy base (MECS)'!$I$4:$I$9),0)</f>
        <v/>
      </c>
      <c r="AJ83">
        <f>MAX(0.3*ABS(AK83),0.000001)</f>
        <v/>
      </c>
      <c r="AK83">
        <f>IF(ISNUMBER(T83),T83,0)</f>
        <v/>
      </c>
      <c r="AL83">
        <f>IFERROR(_xlfn.XLOOKUP(AG83,'BCoISC-WACCbI'!$C$2:$C$26,'BCoISC-WACCbI'!$B$2:$B$26)+$AE$4,0.1)</f>
        <v/>
      </c>
      <c r="AM83">
        <f>IF(P83&gt;0,L83/P83/0.947817,0)</f>
        <v/>
      </c>
      <c r="AN83">
        <f>IF(AND(P83&gt;0,ISNUMBER(K83)),L83*K83*1000000*E83,0)</f>
        <v/>
      </c>
    </row>
    <row r="84">
      <c r="A84">
        <f>'Kermeli Data'!A91</f>
        <v/>
      </c>
      <c r="B84">
        <f>'Kermeli Data'!B91</f>
        <v/>
      </c>
      <c r="C84">
        <f>'Kermeli Data'!P91</f>
        <v/>
      </c>
      <c r="D84">
        <f>IF(C84="2 whr","whr",IF(C84="3 proc","process","EXCLUDED"))</f>
        <v/>
      </c>
      <c r="E84">
        <f>'Kermeli Data'!E91</f>
        <v/>
      </c>
      <c r="F84">
        <f>'Kermeli Data'!F91</f>
        <v/>
      </c>
      <c r="G84">
        <f>'Kermeli Data'!G91</f>
        <v/>
      </c>
      <c r="H84">
        <f>'Kermeli Data'!I91</f>
        <v/>
      </c>
      <c r="I84">
        <f>'Kermeli Data'!J91</f>
        <v/>
      </c>
      <c r="J84">
        <f>'Kermeli Data'!K91</f>
        <v/>
      </c>
      <c r="K84">
        <f>IFERROR(_xlfn.XLOOKUP(A84,'product map'!$A$14:$A$36,'product map'!$G$14:$G$36),"pending")</f>
        <v/>
      </c>
      <c r="L84">
        <f>H84*cpi!$B$12*cpi!$B$10</f>
        <v/>
      </c>
      <c r="M84">
        <f>J84*cpi!$B$12*cpi!$B$10</f>
        <v/>
      </c>
      <c r="N84">
        <f>IF(I84&gt;0,AL84/(1-(1+AL84)^-I84),"")</f>
        <v/>
      </c>
      <c r="O84">
        <f>L84*N84+M84</f>
        <v/>
      </c>
      <c r="P84">
        <f>MAX(F84,0)+MAX(G84,0)</f>
        <v/>
      </c>
      <c r="Q84">
        <f>IF(P84&gt;0,MAX(F84,0)/P84,0)</f>
        <v/>
      </c>
      <c r="R84">
        <f>IF(P84&gt;0,MAX(G84,0)/P84,0)</f>
        <v/>
      </c>
      <c r="S84">
        <f>IF(P84&gt;0,O84/P84,"")</f>
        <v/>
      </c>
      <c r="T84">
        <f>IF(P84&gt;0,S84/$AE$3,"")</f>
        <v/>
      </c>
      <c r="U84">
        <f>IF(AND(P84&gt;0,Q84&gt;0),T84,"")</f>
        <v/>
      </c>
      <c r="V84">
        <f>IF(AND(P84&gt;0,R84&gt;0),T84,"")</f>
        <v/>
      </c>
      <c r="W84">
        <f>IF(I84&gt;0,$AE$2/(1-(1+$AE$2)^-I84),"")</f>
        <v/>
      </c>
      <c r="X84">
        <f>L84*W84+M84</f>
        <v/>
      </c>
      <c r="Y84">
        <f>IF(P84&gt;0,(X84/P84)/$AE$3,"")</f>
        <v/>
      </c>
      <c r="Z84">
        <f>IF(AND(ISNUMBER(K84),Q84&gt;0),MAX(F84,0)*K84*1000000*E84,"pending")</f>
        <v/>
      </c>
      <c r="AA84">
        <f>IF(AND(ISNUMBER(K84),R84&gt;0),MAX(G84,0)*K84*1000000*E84,"pending")</f>
        <v/>
      </c>
      <c r="AB84">
        <f>IF(AND(ISNUMBER(S84),S84&lt;0),"NEG-CCE","")&amp;IF(NOT(ISNUMBER(K84)),"|pending tonnage","")</f>
        <v/>
      </c>
      <c r="AG84">
        <f>IFERROR(_xlfn.XLOOKUP(A84,'product map'!$A$14:$A$36,'product map'!$C$14:$C$36),"?")</f>
        <v/>
      </c>
      <c r="AH84">
        <f>IFERROR((Z84*0.000000947817)/_xlfn.XLOOKUP(AG84,'energy base (MECS)'!$K$4:$K$9,'energy base (MECS)'!$F$4:$F$9),0)</f>
        <v/>
      </c>
      <c r="AI84">
        <f>IFERROR((AA84*0.000000947817)/_xlfn.XLOOKUP(AG84,'energy base (MECS)'!$K$4:$K$9,'energy base (MECS)'!$I$4:$I$9),0)</f>
        <v/>
      </c>
      <c r="AJ84">
        <f>MAX(0.3*ABS(AK84),0.000001)</f>
        <v/>
      </c>
      <c r="AK84">
        <f>IF(ISNUMBER(T84),T84,0)</f>
        <v/>
      </c>
      <c r="AL84">
        <f>IFERROR(_xlfn.XLOOKUP(AG84,'BCoISC-WACCbI'!$C$2:$C$26,'BCoISC-WACCbI'!$B$2:$B$26)+$AE$4,0.1)</f>
        <v/>
      </c>
      <c r="AM84">
        <f>IF(P84&gt;0,L84/P84/0.947817,0)</f>
        <v/>
      </c>
      <c r="AN84">
        <f>IF(AND(P84&gt;0,ISNUMBER(K84)),L84*K84*1000000*E84,0)</f>
        <v/>
      </c>
    </row>
    <row r="85">
      <c r="A85">
        <f>'Kermeli Data'!A92</f>
        <v/>
      </c>
      <c r="B85">
        <f>'Kermeli Data'!B92</f>
        <v/>
      </c>
      <c r="C85">
        <f>'Kermeli Data'!P92</f>
        <v/>
      </c>
      <c r="D85">
        <f>IF(C85="2 whr","whr",IF(C85="3 proc","process","EXCLUDED"))</f>
        <v/>
      </c>
      <c r="E85">
        <f>'Kermeli Data'!E92</f>
        <v/>
      </c>
      <c r="F85">
        <f>'Kermeli Data'!F92</f>
        <v/>
      </c>
      <c r="G85">
        <f>'Kermeli Data'!G92</f>
        <v/>
      </c>
      <c r="H85">
        <f>'Kermeli Data'!I92</f>
        <v/>
      </c>
      <c r="I85">
        <f>'Kermeli Data'!J92</f>
        <v/>
      </c>
      <c r="J85">
        <f>'Kermeli Data'!K92</f>
        <v/>
      </c>
      <c r="K85">
        <f>IFERROR(_xlfn.XLOOKUP(A85,'product map'!$A$14:$A$36,'product map'!$G$14:$G$36),"pending")</f>
        <v/>
      </c>
      <c r="L85">
        <f>H85*cpi!$B$12*cpi!$B$10</f>
        <v/>
      </c>
      <c r="M85">
        <f>J85*cpi!$B$12*cpi!$B$10</f>
        <v/>
      </c>
      <c r="N85">
        <f>IF(I85&gt;0,AL85/(1-(1+AL85)^-I85),"")</f>
        <v/>
      </c>
      <c r="O85">
        <f>L85*N85+M85</f>
        <v/>
      </c>
      <c r="P85">
        <f>MAX(F85,0)+MAX(G85,0)</f>
        <v/>
      </c>
      <c r="Q85">
        <f>IF(P85&gt;0,MAX(F85,0)/P85,0)</f>
        <v/>
      </c>
      <c r="R85">
        <f>IF(P85&gt;0,MAX(G85,0)/P85,0)</f>
        <v/>
      </c>
      <c r="S85">
        <f>IF(P85&gt;0,O85/P85,"")</f>
        <v/>
      </c>
      <c r="T85">
        <f>IF(P85&gt;0,S85/$AE$3,"")</f>
        <v/>
      </c>
      <c r="U85">
        <f>IF(AND(P85&gt;0,Q85&gt;0),T85,"")</f>
        <v/>
      </c>
      <c r="V85">
        <f>IF(AND(P85&gt;0,R85&gt;0),T85,"")</f>
        <v/>
      </c>
      <c r="W85">
        <f>IF(I85&gt;0,$AE$2/(1-(1+$AE$2)^-I85),"")</f>
        <v/>
      </c>
      <c r="X85">
        <f>L85*W85+M85</f>
        <v/>
      </c>
      <c r="Y85">
        <f>IF(P85&gt;0,(X85/P85)/$AE$3,"")</f>
        <v/>
      </c>
      <c r="Z85">
        <f>IF(AND(ISNUMBER(K85),Q85&gt;0),MAX(F85,0)*K85*1000000*E85,"pending")</f>
        <v/>
      </c>
      <c r="AA85">
        <f>IF(AND(ISNUMBER(K85),R85&gt;0),MAX(G85,0)*K85*1000000*E85,"pending")</f>
        <v/>
      </c>
      <c r="AB85">
        <f>IF(AND(ISNUMBER(S85),S85&lt;0),"NEG-CCE","")&amp;IF(NOT(ISNUMBER(K85)),"|pending tonnage","")</f>
        <v/>
      </c>
      <c r="AG85">
        <f>IFERROR(_xlfn.XLOOKUP(A85,'product map'!$A$14:$A$36,'product map'!$C$14:$C$36),"?")</f>
        <v/>
      </c>
      <c r="AH85">
        <f>IFERROR((Z85*0.000000947817)/_xlfn.XLOOKUP(AG85,'energy base (MECS)'!$K$4:$K$9,'energy base (MECS)'!$F$4:$F$9),0)</f>
        <v/>
      </c>
      <c r="AI85">
        <f>IFERROR((AA85*0.000000947817)/_xlfn.XLOOKUP(AG85,'energy base (MECS)'!$K$4:$K$9,'energy base (MECS)'!$I$4:$I$9),0)</f>
        <v/>
      </c>
      <c r="AJ85">
        <f>MAX(0.3*ABS(AK85),0.000001)</f>
        <v/>
      </c>
      <c r="AK85">
        <f>IF(ISNUMBER(T85),T85,0)</f>
        <v/>
      </c>
      <c r="AL85">
        <f>IFERROR(_xlfn.XLOOKUP(AG85,'BCoISC-WACCbI'!$C$2:$C$26,'BCoISC-WACCbI'!$B$2:$B$26)+$AE$4,0.1)</f>
        <v/>
      </c>
      <c r="AM85">
        <f>IF(P85&gt;0,L85/P85/0.947817,0)</f>
        <v/>
      </c>
      <c r="AN85">
        <f>IF(AND(P85&gt;0,ISNUMBER(K85)),L85*K85*1000000*E85,0)</f>
        <v/>
      </c>
    </row>
    <row r="86">
      <c r="A86">
        <f>'Kermeli Data'!A93</f>
        <v/>
      </c>
      <c r="B86">
        <f>'Kermeli Data'!B93</f>
        <v/>
      </c>
      <c r="C86">
        <f>'Kermeli Data'!P93</f>
        <v/>
      </c>
      <c r="D86">
        <f>IF(C86="2 whr","whr",IF(C86="3 proc","process","EXCLUDED"))</f>
        <v/>
      </c>
      <c r="E86">
        <f>'Kermeli Data'!E93</f>
        <v/>
      </c>
      <c r="F86">
        <f>'Kermeli Data'!F93</f>
        <v/>
      </c>
      <c r="G86">
        <f>'Kermeli Data'!G93</f>
        <v/>
      </c>
      <c r="H86">
        <f>'Kermeli Data'!I93</f>
        <v/>
      </c>
      <c r="I86">
        <f>'Kermeli Data'!J93</f>
        <v/>
      </c>
      <c r="J86">
        <f>'Kermeli Data'!K93</f>
        <v/>
      </c>
      <c r="K86">
        <f>IFERROR(_xlfn.XLOOKUP(A86,'product map'!$A$14:$A$36,'product map'!$G$14:$G$36),"pending")</f>
        <v/>
      </c>
      <c r="L86">
        <f>H86*cpi!$B$12*cpi!$B$10</f>
        <v/>
      </c>
      <c r="M86">
        <f>J86*cpi!$B$12*cpi!$B$10</f>
        <v/>
      </c>
      <c r="N86">
        <f>IF(I86&gt;0,AL86/(1-(1+AL86)^-I86),"")</f>
        <v/>
      </c>
      <c r="O86">
        <f>L86*N86+M86</f>
        <v/>
      </c>
      <c r="P86">
        <f>MAX(F86,0)+MAX(G86,0)</f>
        <v/>
      </c>
      <c r="Q86">
        <f>IF(P86&gt;0,MAX(F86,0)/P86,0)</f>
        <v/>
      </c>
      <c r="R86">
        <f>IF(P86&gt;0,MAX(G86,0)/P86,0)</f>
        <v/>
      </c>
      <c r="S86">
        <f>IF(P86&gt;0,O86/P86,"")</f>
        <v/>
      </c>
      <c r="T86">
        <f>IF(P86&gt;0,S86/$AE$3,"")</f>
        <v/>
      </c>
      <c r="U86">
        <f>IF(AND(P86&gt;0,Q86&gt;0),T86,"")</f>
        <v/>
      </c>
      <c r="V86">
        <f>IF(AND(P86&gt;0,R86&gt;0),T86,"")</f>
        <v/>
      </c>
      <c r="W86">
        <f>IF(I86&gt;0,$AE$2/(1-(1+$AE$2)^-I86),"")</f>
        <v/>
      </c>
      <c r="X86">
        <f>L86*W86+M86</f>
        <v/>
      </c>
      <c r="Y86">
        <f>IF(P86&gt;0,(X86/P86)/$AE$3,"")</f>
        <v/>
      </c>
      <c r="Z86">
        <f>IF(AND(ISNUMBER(K86),Q86&gt;0),MAX(F86,0)*K86*1000000*E86,"pending")</f>
        <v/>
      </c>
      <c r="AA86">
        <f>IF(AND(ISNUMBER(K86),R86&gt;0),MAX(G86,0)*K86*1000000*E86,"pending")</f>
        <v/>
      </c>
      <c r="AB86">
        <f>IF(AND(ISNUMBER(S86),S86&lt;0),"NEG-CCE","")&amp;IF(NOT(ISNUMBER(K86)),"|pending tonnage","")</f>
        <v/>
      </c>
      <c r="AG86">
        <f>IFERROR(_xlfn.XLOOKUP(A86,'product map'!$A$14:$A$36,'product map'!$C$14:$C$36),"?")</f>
        <v/>
      </c>
      <c r="AH86">
        <f>IFERROR((Z86*0.000000947817)/_xlfn.XLOOKUP(AG86,'energy base (MECS)'!$K$4:$K$9,'energy base (MECS)'!$F$4:$F$9),0)</f>
        <v/>
      </c>
      <c r="AI86">
        <f>IFERROR((AA86*0.000000947817)/_xlfn.XLOOKUP(AG86,'energy base (MECS)'!$K$4:$K$9,'energy base (MECS)'!$I$4:$I$9),0)</f>
        <v/>
      </c>
      <c r="AJ86">
        <f>MAX(0.3*ABS(AK86),0.000001)</f>
        <v/>
      </c>
      <c r="AK86">
        <f>IF(ISNUMBER(T86),T86,0)</f>
        <v/>
      </c>
      <c r="AL86">
        <f>IFERROR(_xlfn.XLOOKUP(AG86,'BCoISC-WACCbI'!$C$2:$C$26,'BCoISC-WACCbI'!$B$2:$B$26)+$AE$4,0.1)</f>
        <v/>
      </c>
      <c r="AM86">
        <f>IF(P86&gt;0,L86/P86/0.947817,0)</f>
        <v/>
      </c>
      <c r="AN86">
        <f>IF(AND(P86&gt;0,ISNUMBER(K86)),L86*K86*1000000*E86,0)</f>
        <v/>
      </c>
    </row>
    <row r="87">
      <c r="A87">
        <f>'Kermeli Data'!A94</f>
        <v/>
      </c>
      <c r="B87">
        <f>'Kermeli Data'!B94</f>
        <v/>
      </c>
      <c r="C87">
        <f>'Kermeli Data'!P94</f>
        <v/>
      </c>
      <c r="D87">
        <f>IF(C87="2 whr","whr",IF(C87="3 proc","process","EXCLUDED"))</f>
        <v/>
      </c>
      <c r="E87">
        <f>'Kermeli Data'!E94</f>
        <v/>
      </c>
      <c r="F87">
        <f>'Kermeli Data'!F94</f>
        <v/>
      </c>
      <c r="G87">
        <f>'Kermeli Data'!G94</f>
        <v/>
      </c>
      <c r="H87">
        <f>'Kermeli Data'!I94</f>
        <v/>
      </c>
      <c r="I87">
        <f>'Kermeli Data'!J94</f>
        <v/>
      </c>
      <c r="J87">
        <f>'Kermeli Data'!K94</f>
        <v/>
      </c>
      <c r="K87">
        <f>IFERROR(_xlfn.XLOOKUP(A87,'product map'!$A$14:$A$36,'product map'!$G$14:$G$36),"pending")</f>
        <v/>
      </c>
      <c r="L87">
        <f>H87*cpi!$B$12*cpi!$B$10</f>
        <v/>
      </c>
      <c r="M87">
        <f>J87*cpi!$B$12*cpi!$B$10</f>
        <v/>
      </c>
      <c r="N87">
        <f>IF(I87&gt;0,AL87/(1-(1+AL87)^-I87),"")</f>
        <v/>
      </c>
      <c r="O87">
        <f>L87*N87+M87</f>
        <v/>
      </c>
      <c r="P87">
        <f>MAX(F87,0)+MAX(G87,0)</f>
        <v/>
      </c>
      <c r="Q87">
        <f>IF(P87&gt;0,MAX(F87,0)/P87,0)</f>
        <v/>
      </c>
      <c r="R87">
        <f>IF(P87&gt;0,MAX(G87,0)/P87,0)</f>
        <v/>
      </c>
      <c r="S87">
        <f>IF(P87&gt;0,O87/P87,"")</f>
        <v/>
      </c>
      <c r="T87">
        <f>IF(P87&gt;0,S87/$AE$3,"")</f>
        <v/>
      </c>
      <c r="U87">
        <f>IF(AND(P87&gt;0,Q87&gt;0),T87,"")</f>
        <v/>
      </c>
      <c r="V87">
        <f>IF(AND(P87&gt;0,R87&gt;0),T87,"")</f>
        <v/>
      </c>
      <c r="W87">
        <f>IF(I87&gt;0,$AE$2/(1-(1+$AE$2)^-I87),"")</f>
        <v/>
      </c>
      <c r="X87">
        <f>L87*W87+M87</f>
        <v/>
      </c>
      <c r="Y87">
        <f>IF(P87&gt;0,(X87/P87)/$AE$3,"")</f>
        <v/>
      </c>
      <c r="Z87">
        <f>IF(AND(ISNUMBER(K87),Q87&gt;0),MAX(F87,0)*K87*1000000*E87,"pending")</f>
        <v/>
      </c>
      <c r="AA87">
        <f>IF(AND(ISNUMBER(K87),R87&gt;0),MAX(G87,0)*K87*1000000*E87,"pending")</f>
        <v/>
      </c>
      <c r="AB87">
        <f>IF(AND(ISNUMBER(S87),S87&lt;0),"NEG-CCE","")&amp;IF(NOT(ISNUMBER(K87)),"|pending tonnage","")</f>
        <v/>
      </c>
      <c r="AG87">
        <f>IFERROR(_xlfn.XLOOKUP(A87,'product map'!$A$14:$A$36,'product map'!$C$14:$C$36),"?")</f>
        <v/>
      </c>
      <c r="AH87">
        <f>IFERROR((Z87*0.000000947817)/_xlfn.XLOOKUP(AG87,'energy base (MECS)'!$K$4:$K$9,'energy base (MECS)'!$F$4:$F$9),0)</f>
        <v/>
      </c>
      <c r="AI87">
        <f>IFERROR((AA87*0.000000947817)/_xlfn.XLOOKUP(AG87,'energy base (MECS)'!$K$4:$K$9,'energy base (MECS)'!$I$4:$I$9),0)</f>
        <v/>
      </c>
      <c r="AJ87">
        <f>MAX(0.3*ABS(AK87),0.000001)</f>
        <v/>
      </c>
      <c r="AK87">
        <f>IF(ISNUMBER(T87),T87,0)</f>
        <v/>
      </c>
      <c r="AL87">
        <f>IFERROR(_xlfn.XLOOKUP(AG87,'BCoISC-WACCbI'!$C$2:$C$26,'BCoISC-WACCbI'!$B$2:$B$26)+$AE$4,0.1)</f>
        <v/>
      </c>
      <c r="AM87">
        <f>IF(P87&gt;0,L87/P87/0.947817,0)</f>
        <v/>
      </c>
      <c r="AN87">
        <f>IF(AND(P87&gt;0,ISNUMBER(K87)),L87*K87*1000000*E87,0)</f>
        <v/>
      </c>
    </row>
    <row r="88">
      <c r="A88">
        <f>'Kermeli Data'!A95</f>
        <v/>
      </c>
      <c r="B88">
        <f>'Kermeli Data'!B95</f>
        <v/>
      </c>
      <c r="C88">
        <f>'Kermeli Data'!P95</f>
        <v/>
      </c>
      <c r="D88">
        <f>IF(C88="2 whr","whr",IF(C88="3 proc","process","EXCLUDED"))</f>
        <v/>
      </c>
      <c r="E88">
        <f>'Kermeli Data'!E95</f>
        <v/>
      </c>
      <c r="F88">
        <f>'Kermeli Data'!F95</f>
        <v/>
      </c>
      <c r="G88">
        <f>'Kermeli Data'!G95</f>
        <v/>
      </c>
      <c r="H88">
        <f>'Kermeli Data'!I95</f>
        <v/>
      </c>
      <c r="I88">
        <f>'Kermeli Data'!J95</f>
        <v/>
      </c>
      <c r="J88">
        <f>'Kermeli Data'!K95</f>
        <v/>
      </c>
      <c r="K88">
        <f>IFERROR(_xlfn.XLOOKUP(A88,'product map'!$A$14:$A$36,'product map'!$G$14:$G$36),"pending")</f>
        <v/>
      </c>
      <c r="L88">
        <f>H88*cpi!$B$12*cpi!$B$10</f>
        <v/>
      </c>
      <c r="M88">
        <f>J88*cpi!$B$12*cpi!$B$10</f>
        <v/>
      </c>
      <c r="N88">
        <f>IF(I88&gt;0,AL88/(1-(1+AL88)^-I88),"")</f>
        <v/>
      </c>
      <c r="O88">
        <f>L88*N88+M88</f>
        <v/>
      </c>
      <c r="P88">
        <f>MAX(F88,0)+MAX(G88,0)</f>
        <v/>
      </c>
      <c r="Q88">
        <f>IF(P88&gt;0,MAX(F88,0)/P88,0)</f>
        <v/>
      </c>
      <c r="R88">
        <f>IF(P88&gt;0,MAX(G88,0)/P88,0)</f>
        <v/>
      </c>
      <c r="S88">
        <f>IF(P88&gt;0,O88/P88,"")</f>
        <v/>
      </c>
      <c r="T88">
        <f>IF(P88&gt;0,S88/$AE$3,"")</f>
        <v/>
      </c>
      <c r="U88">
        <f>IF(AND(P88&gt;0,Q88&gt;0),T88,"")</f>
        <v/>
      </c>
      <c r="V88">
        <f>IF(AND(P88&gt;0,R88&gt;0),T88,"")</f>
        <v/>
      </c>
      <c r="W88">
        <f>IF(I88&gt;0,$AE$2/(1-(1+$AE$2)^-I88),"")</f>
        <v/>
      </c>
      <c r="X88">
        <f>L88*W88+M88</f>
        <v/>
      </c>
      <c r="Y88">
        <f>IF(P88&gt;0,(X88/P88)/$AE$3,"")</f>
        <v/>
      </c>
      <c r="Z88">
        <f>IF(AND(ISNUMBER(K88),Q88&gt;0),MAX(F88,0)*K88*1000000*E88,"pending")</f>
        <v/>
      </c>
      <c r="AA88">
        <f>IF(AND(ISNUMBER(K88),R88&gt;0),MAX(G88,0)*K88*1000000*E88,"pending")</f>
        <v/>
      </c>
      <c r="AB88">
        <f>IF(AND(ISNUMBER(S88),S88&lt;0),"NEG-CCE","")&amp;IF(NOT(ISNUMBER(K88)),"|pending tonnage","")</f>
        <v/>
      </c>
      <c r="AG88">
        <f>IFERROR(_xlfn.XLOOKUP(A88,'product map'!$A$14:$A$36,'product map'!$C$14:$C$36),"?")</f>
        <v/>
      </c>
      <c r="AH88">
        <f>IFERROR((Z88*0.000000947817)/_xlfn.XLOOKUP(AG88,'energy base (MECS)'!$K$4:$K$9,'energy base (MECS)'!$F$4:$F$9),0)</f>
        <v/>
      </c>
      <c r="AI88">
        <f>IFERROR((AA88*0.000000947817)/_xlfn.XLOOKUP(AG88,'energy base (MECS)'!$K$4:$K$9,'energy base (MECS)'!$I$4:$I$9),0)</f>
        <v/>
      </c>
      <c r="AJ88">
        <f>MAX(0.3*ABS(AK88),0.000001)</f>
        <v/>
      </c>
      <c r="AK88">
        <f>IF(ISNUMBER(T88),T88,0)</f>
        <v/>
      </c>
      <c r="AL88">
        <f>IFERROR(_xlfn.XLOOKUP(AG88,'BCoISC-WACCbI'!$C$2:$C$26,'BCoISC-WACCbI'!$B$2:$B$26)+$AE$4,0.1)</f>
        <v/>
      </c>
      <c r="AM88">
        <f>IF(P88&gt;0,L88/P88/0.947817,0)</f>
        <v/>
      </c>
      <c r="AN88">
        <f>IF(AND(P88&gt;0,ISNUMBER(K88)),L88*K88*1000000*E88,0)</f>
        <v/>
      </c>
    </row>
    <row r="89">
      <c r="A89">
        <f>'Kermeli Data'!A96</f>
        <v/>
      </c>
      <c r="B89">
        <f>'Kermeli Data'!B96</f>
        <v/>
      </c>
      <c r="C89">
        <f>'Kermeli Data'!P96</f>
        <v/>
      </c>
      <c r="D89">
        <f>IF(C89="2 whr","whr",IF(C89="3 proc","process","EXCLUDED"))</f>
        <v/>
      </c>
      <c r="E89">
        <f>'Kermeli Data'!E96</f>
        <v/>
      </c>
      <c r="F89">
        <f>'Kermeli Data'!F96</f>
        <v/>
      </c>
      <c r="G89">
        <f>'Kermeli Data'!G96</f>
        <v/>
      </c>
      <c r="H89">
        <f>'Kermeli Data'!I96</f>
        <v/>
      </c>
      <c r="I89">
        <f>'Kermeli Data'!J96</f>
        <v/>
      </c>
      <c r="J89">
        <f>'Kermeli Data'!K96</f>
        <v/>
      </c>
      <c r="K89">
        <f>IFERROR(_xlfn.XLOOKUP(A89,'product map'!$A$14:$A$36,'product map'!$G$14:$G$36),"pending")</f>
        <v/>
      </c>
      <c r="L89">
        <f>H89*cpi!$B$12*cpi!$B$10</f>
        <v/>
      </c>
      <c r="M89">
        <f>J89*cpi!$B$12*cpi!$B$10</f>
        <v/>
      </c>
      <c r="N89">
        <f>IF(I89&gt;0,AL89/(1-(1+AL89)^-I89),"")</f>
        <v/>
      </c>
      <c r="O89">
        <f>L89*N89+M89</f>
        <v/>
      </c>
      <c r="P89">
        <f>MAX(F89,0)+MAX(G89,0)</f>
        <v/>
      </c>
      <c r="Q89">
        <f>IF(P89&gt;0,MAX(F89,0)/P89,0)</f>
        <v/>
      </c>
      <c r="R89">
        <f>IF(P89&gt;0,MAX(G89,0)/P89,0)</f>
        <v/>
      </c>
      <c r="S89">
        <f>IF(P89&gt;0,O89/P89,"")</f>
        <v/>
      </c>
      <c r="T89">
        <f>IF(P89&gt;0,S89/$AE$3,"")</f>
        <v/>
      </c>
      <c r="U89">
        <f>IF(AND(P89&gt;0,Q89&gt;0),T89,"")</f>
        <v/>
      </c>
      <c r="V89">
        <f>IF(AND(P89&gt;0,R89&gt;0),T89,"")</f>
        <v/>
      </c>
      <c r="W89">
        <f>IF(I89&gt;0,$AE$2/(1-(1+$AE$2)^-I89),"")</f>
        <v/>
      </c>
      <c r="X89">
        <f>L89*W89+M89</f>
        <v/>
      </c>
      <c r="Y89">
        <f>IF(P89&gt;0,(X89/P89)/$AE$3,"")</f>
        <v/>
      </c>
      <c r="Z89">
        <f>IF(AND(ISNUMBER(K89),Q89&gt;0),MAX(F89,0)*K89*1000000*E89,"pending")</f>
        <v/>
      </c>
      <c r="AA89">
        <f>IF(AND(ISNUMBER(K89),R89&gt;0),MAX(G89,0)*K89*1000000*E89,"pending")</f>
        <v/>
      </c>
      <c r="AB89">
        <f>IF(AND(ISNUMBER(S89),S89&lt;0),"NEG-CCE","")&amp;IF(NOT(ISNUMBER(K89)),"|pending tonnage","")</f>
        <v/>
      </c>
      <c r="AG89">
        <f>IFERROR(_xlfn.XLOOKUP(A89,'product map'!$A$14:$A$36,'product map'!$C$14:$C$36),"?")</f>
        <v/>
      </c>
      <c r="AH89">
        <f>IFERROR((Z89*0.000000947817)/_xlfn.XLOOKUP(AG89,'energy base (MECS)'!$K$4:$K$9,'energy base (MECS)'!$F$4:$F$9),0)</f>
        <v/>
      </c>
      <c r="AI89">
        <f>IFERROR((AA89*0.000000947817)/_xlfn.XLOOKUP(AG89,'energy base (MECS)'!$K$4:$K$9,'energy base (MECS)'!$I$4:$I$9),0)</f>
        <v/>
      </c>
      <c r="AJ89">
        <f>MAX(0.3*ABS(AK89),0.000001)</f>
        <v/>
      </c>
      <c r="AK89">
        <f>IF(ISNUMBER(T89),T89,0)</f>
        <v/>
      </c>
      <c r="AL89">
        <f>IFERROR(_xlfn.XLOOKUP(AG89,'BCoISC-WACCbI'!$C$2:$C$26,'BCoISC-WACCbI'!$B$2:$B$26)+$AE$4,0.1)</f>
        <v/>
      </c>
      <c r="AM89">
        <f>IF(P89&gt;0,L89/P89/0.947817,0)</f>
        <v/>
      </c>
      <c r="AN89">
        <f>IF(AND(P89&gt;0,ISNUMBER(K89)),L89*K89*1000000*E89,0)</f>
        <v/>
      </c>
    </row>
    <row r="90">
      <c r="A90">
        <f>'Kermeli Data'!A97</f>
        <v/>
      </c>
      <c r="B90">
        <f>'Kermeli Data'!B97</f>
        <v/>
      </c>
      <c r="C90">
        <f>'Kermeli Data'!P97</f>
        <v/>
      </c>
      <c r="D90">
        <f>IF(C90="2 whr","whr",IF(C90="3 proc","process","EXCLUDED"))</f>
        <v/>
      </c>
      <c r="E90">
        <f>'Kermeli Data'!E97</f>
        <v/>
      </c>
      <c r="F90">
        <f>'Kermeli Data'!F97</f>
        <v/>
      </c>
      <c r="G90">
        <f>'Kermeli Data'!G97</f>
        <v/>
      </c>
      <c r="H90">
        <f>'Kermeli Data'!I97</f>
        <v/>
      </c>
      <c r="I90">
        <f>'Kermeli Data'!J97</f>
        <v/>
      </c>
      <c r="J90">
        <f>'Kermeli Data'!K97</f>
        <v/>
      </c>
      <c r="K90">
        <f>IFERROR(_xlfn.XLOOKUP(A90,'product map'!$A$14:$A$36,'product map'!$G$14:$G$36),"pending")</f>
        <v/>
      </c>
      <c r="L90">
        <f>H90*cpi!$B$12*cpi!$B$10</f>
        <v/>
      </c>
      <c r="M90">
        <f>J90*cpi!$B$12*cpi!$B$10</f>
        <v/>
      </c>
      <c r="N90">
        <f>IF(I90&gt;0,AL90/(1-(1+AL90)^-I90),"")</f>
        <v/>
      </c>
      <c r="O90">
        <f>L90*N90+M90</f>
        <v/>
      </c>
      <c r="P90">
        <f>MAX(F90,0)+MAX(G90,0)</f>
        <v/>
      </c>
      <c r="Q90">
        <f>IF(P90&gt;0,MAX(F90,0)/P90,0)</f>
        <v/>
      </c>
      <c r="R90">
        <f>IF(P90&gt;0,MAX(G90,0)/P90,0)</f>
        <v/>
      </c>
      <c r="S90">
        <f>IF(P90&gt;0,O90/P90,"")</f>
        <v/>
      </c>
      <c r="T90">
        <f>IF(P90&gt;0,S90/$AE$3,"")</f>
        <v/>
      </c>
      <c r="U90">
        <f>IF(AND(P90&gt;0,Q90&gt;0),T90,"")</f>
        <v/>
      </c>
      <c r="V90">
        <f>IF(AND(P90&gt;0,R90&gt;0),T90,"")</f>
        <v/>
      </c>
      <c r="W90">
        <f>IF(I90&gt;0,$AE$2/(1-(1+$AE$2)^-I90),"")</f>
        <v/>
      </c>
      <c r="X90">
        <f>L90*W90+M90</f>
        <v/>
      </c>
      <c r="Y90">
        <f>IF(P90&gt;0,(X90/P90)/$AE$3,"")</f>
        <v/>
      </c>
      <c r="Z90">
        <f>IF(AND(ISNUMBER(K90),Q90&gt;0),MAX(F90,0)*K90*1000000*E90,"pending")</f>
        <v/>
      </c>
      <c r="AA90">
        <f>IF(AND(ISNUMBER(K90),R90&gt;0),MAX(G90,0)*K90*1000000*E90,"pending")</f>
        <v/>
      </c>
      <c r="AB90">
        <f>IF(AND(ISNUMBER(S90),S90&lt;0),"NEG-CCE","")&amp;IF(NOT(ISNUMBER(K90)),"|pending tonnage","")</f>
        <v/>
      </c>
      <c r="AG90">
        <f>IFERROR(_xlfn.XLOOKUP(A90,'product map'!$A$14:$A$36,'product map'!$C$14:$C$36),"?")</f>
        <v/>
      </c>
      <c r="AH90">
        <f>IFERROR((Z90*0.000000947817)/_xlfn.XLOOKUP(AG90,'energy base (MECS)'!$K$4:$K$9,'energy base (MECS)'!$F$4:$F$9),0)</f>
        <v/>
      </c>
      <c r="AI90">
        <f>IFERROR((AA90*0.000000947817)/_xlfn.XLOOKUP(AG90,'energy base (MECS)'!$K$4:$K$9,'energy base (MECS)'!$I$4:$I$9),0)</f>
        <v/>
      </c>
      <c r="AJ90">
        <f>MAX(0.3*ABS(AK90),0.000001)</f>
        <v/>
      </c>
      <c r="AK90">
        <f>IF(ISNUMBER(T90),T90,0)</f>
        <v/>
      </c>
      <c r="AL90">
        <f>IFERROR(_xlfn.XLOOKUP(AG90,'BCoISC-WACCbI'!$C$2:$C$26,'BCoISC-WACCbI'!$B$2:$B$26)+$AE$4,0.1)</f>
        <v/>
      </c>
      <c r="AM90">
        <f>IF(P90&gt;0,L90/P90/0.947817,0)</f>
        <v/>
      </c>
      <c r="AN90">
        <f>IF(AND(P90&gt;0,ISNUMBER(K90)),L90*K90*1000000*E90,0)</f>
        <v/>
      </c>
    </row>
    <row r="91">
      <c r="A91">
        <f>'Kermeli Data'!A98</f>
        <v/>
      </c>
      <c r="B91">
        <f>'Kermeli Data'!B98</f>
        <v/>
      </c>
      <c r="C91">
        <f>'Kermeli Data'!P98</f>
        <v/>
      </c>
      <c r="D91">
        <f>IF(C91="2 whr","whr",IF(C91="3 proc","process","EXCLUDED"))</f>
        <v/>
      </c>
      <c r="E91">
        <f>'Kermeli Data'!E98</f>
        <v/>
      </c>
      <c r="F91">
        <f>'Kermeli Data'!F98</f>
        <v/>
      </c>
      <c r="G91">
        <f>'Kermeli Data'!G98</f>
        <v/>
      </c>
      <c r="H91">
        <f>'Kermeli Data'!I98</f>
        <v/>
      </c>
      <c r="I91">
        <f>'Kermeli Data'!J98</f>
        <v/>
      </c>
      <c r="J91">
        <f>'Kermeli Data'!K98</f>
        <v/>
      </c>
      <c r="K91">
        <f>IFERROR(_xlfn.XLOOKUP(A91,'product map'!$A$14:$A$36,'product map'!$G$14:$G$36),"pending")</f>
        <v/>
      </c>
      <c r="L91">
        <f>H91*cpi!$B$12*cpi!$B$10</f>
        <v/>
      </c>
      <c r="M91">
        <f>J91*cpi!$B$12*cpi!$B$10</f>
        <v/>
      </c>
      <c r="N91">
        <f>IF(I91&gt;0,AL91/(1-(1+AL91)^-I91),"")</f>
        <v/>
      </c>
      <c r="O91">
        <f>L91*N91+M91</f>
        <v/>
      </c>
      <c r="P91">
        <f>MAX(F91,0)+MAX(G91,0)</f>
        <v/>
      </c>
      <c r="Q91">
        <f>IF(P91&gt;0,MAX(F91,0)/P91,0)</f>
        <v/>
      </c>
      <c r="R91">
        <f>IF(P91&gt;0,MAX(G91,0)/P91,0)</f>
        <v/>
      </c>
      <c r="S91">
        <f>IF(P91&gt;0,O91/P91,"")</f>
        <v/>
      </c>
      <c r="T91">
        <f>IF(P91&gt;0,S91/$AE$3,"")</f>
        <v/>
      </c>
      <c r="U91">
        <f>IF(AND(P91&gt;0,Q91&gt;0),T91,"")</f>
        <v/>
      </c>
      <c r="V91">
        <f>IF(AND(P91&gt;0,R91&gt;0),T91,"")</f>
        <v/>
      </c>
      <c r="W91">
        <f>IF(I91&gt;0,$AE$2/(1-(1+$AE$2)^-I91),"")</f>
        <v/>
      </c>
      <c r="X91">
        <f>L91*W91+M91</f>
        <v/>
      </c>
      <c r="Y91">
        <f>IF(P91&gt;0,(X91/P91)/$AE$3,"")</f>
        <v/>
      </c>
      <c r="Z91">
        <f>IF(AND(ISNUMBER(K91),Q91&gt;0),MAX(F91,0)*K91*1000000*E91,"pending")</f>
        <v/>
      </c>
      <c r="AA91">
        <f>IF(AND(ISNUMBER(K91),R91&gt;0),MAX(G91,0)*K91*1000000*E91,"pending")</f>
        <v/>
      </c>
      <c r="AB91">
        <f>IF(AND(ISNUMBER(S91),S91&lt;0),"NEG-CCE","")&amp;IF(NOT(ISNUMBER(K91)),"|pending tonnage","")</f>
        <v/>
      </c>
      <c r="AG91">
        <f>IFERROR(_xlfn.XLOOKUP(A91,'product map'!$A$14:$A$36,'product map'!$C$14:$C$36),"?")</f>
        <v/>
      </c>
      <c r="AH91">
        <f>IFERROR((Z91*0.000000947817)/_xlfn.XLOOKUP(AG91,'energy base (MECS)'!$K$4:$K$9,'energy base (MECS)'!$F$4:$F$9),0)</f>
        <v/>
      </c>
      <c r="AI91">
        <f>IFERROR((AA91*0.000000947817)/_xlfn.XLOOKUP(AG91,'energy base (MECS)'!$K$4:$K$9,'energy base (MECS)'!$I$4:$I$9),0)</f>
        <v/>
      </c>
      <c r="AJ91">
        <f>MAX(0.3*ABS(AK91),0.000001)</f>
        <v/>
      </c>
      <c r="AK91">
        <f>IF(ISNUMBER(T91),T91,0)</f>
        <v/>
      </c>
      <c r="AL91">
        <f>IFERROR(_xlfn.XLOOKUP(AG91,'BCoISC-WACCbI'!$C$2:$C$26,'BCoISC-WACCbI'!$B$2:$B$26)+$AE$4,0.1)</f>
        <v/>
      </c>
      <c r="AM91">
        <f>IF(P91&gt;0,L91/P91/0.947817,0)</f>
        <v/>
      </c>
      <c r="AN91">
        <f>IF(AND(P91&gt;0,ISNUMBER(K91)),L91*K91*1000000*E91,0)</f>
        <v/>
      </c>
    </row>
    <row r="92">
      <c r="A92">
        <f>'Kermeli Data'!A99</f>
        <v/>
      </c>
      <c r="B92">
        <f>'Kermeli Data'!B99</f>
        <v/>
      </c>
      <c r="C92">
        <f>'Kermeli Data'!P99</f>
        <v/>
      </c>
      <c r="D92">
        <f>IF(C92="2 whr","whr",IF(C92="3 proc","process","EXCLUDED"))</f>
        <v/>
      </c>
      <c r="E92">
        <f>'Kermeli Data'!E99</f>
        <v/>
      </c>
      <c r="F92">
        <f>'Kermeli Data'!F99</f>
        <v/>
      </c>
      <c r="G92">
        <f>'Kermeli Data'!G99</f>
        <v/>
      </c>
      <c r="H92">
        <f>'Kermeli Data'!I99</f>
        <v/>
      </c>
      <c r="I92">
        <f>'Kermeli Data'!J99</f>
        <v/>
      </c>
      <c r="J92">
        <f>'Kermeli Data'!K99</f>
        <v/>
      </c>
      <c r="K92">
        <f>IFERROR(_xlfn.XLOOKUP(A92,'product map'!$A$14:$A$36,'product map'!$G$14:$G$36),"pending")</f>
        <v/>
      </c>
      <c r="L92">
        <f>H92*cpi!$B$12*cpi!$B$10</f>
        <v/>
      </c>
      <c r="M92">
        <f>J92*cpi!$B$12*cpi!$B$10</f>
        <v/>
      </c>
      <c r="N92">
        <f>IF(I92&gt;0,AL92/(1-(1+AL92)^-I92),"")</f>
        <v/>
      </c>
      <c r="O92">
        <f>L92*N92+M92</f>
        <v/>
      </c>
      <c r="P92">
        <f>MAX(F92,0)+MAX(G92,0)</f>
        <v/>
      </c>
      <c r="Q92">
        <f>IF(P92&gt;0,MAX(F92,0)/P92,0)</f>
        <v/>
      </c>
      <c r="R92">
        <f>IF(P92&gt;0,MAX(G92,0)/P92,0)</f>
        <v/>
      </c>
      <c r="S92">
        <f>IF(P92&gt;0,O92/P92,"")</f>
        <v/>
      </c>
      <c r="T92">
        <f>IF(P92&gt;0,S92/$AE$3,"")</f>
        <v/>
      </c>
      <c r="U92">
        <f>IF(AND(P92&gt;0,Q92&gt;0),T92,"")</f>
        <v/>
      </c>
      <c r="V92">
        <f>IF(AND(P92&gt;0,R92&gt;0),T92,"")</f>
        <v/>
      </c>
      <c r="W92">
        <f>IF(I92&gt;0,$AE$2/(1-(1+$AE$2)^-I92),"")</f>
        <v/>
      </c>
      <c r="X92">
        <f>L92*W92+M92</f>
        <v/>
      </c>
      <c r="Y92">
        <f>IF(P92&gt;0,(X92/P92)/$AE$3,"")</f>
        <v/>
      </c>
      <c r="Z92">
        <f>IF(AND(ISNUMBER(K92),Q92&gt;0),MAX(F92,0)*K92*1000000*E92,"pending")</f>
        <v/>
      </c>
      <c r="AA92">
        <f>IF(AND(ISNUMBER(K92),R92&gt;0),MAX(G92,0)*K92*1000000*E92,"pending")</f>
        <v/>
      </c>
      <c r="AB92">
        <f>IF(AND(ISNUMBER(S92),S92&lt;0),"NEG-CCE","")&amp;IF(NOT(ISNUMBER(K92)),"|pending tonnage","")</f>
        <v/>
      </c>
      <c r="AG92">
        <f>IFERROR(_xlfn.XLOOKUP(A92,'product map'!$A$14:$A$36,'product map'!$C$14:$C$36),"?")</f>
        <v/>
      </c>
      <c r="AH92">
        <f>IFERROR((Z92*0.000000947817)/_xlfn.XLOOKUP(AG92,'energy base (MECS)'!$K$4:$K$9,'energy base (MECS)'!$F$4:$F$9),0)</f>
        <v/>
      </c>
      <c r="AI92">
        <f>IFERROR((AA92*0.000000947817)/_xlfn.XLOOKUP(AG92,'energy base (MECS)'!$K$4:$K$9,'energy base (MECS)'!$I$4:$I$9),0)</f>
        <v/>
      </c>
      <c r="AJ92">
        <f>MAX(0.3*ABS(AK92),0.000001)</f>
        <v/>
      </c>
      <c r="AK92">
        <f>IF(ISNUMBER(T92),T92,0)</f>
        <v/>
      </c>
      <c r="AL92">
        <f>IFERROR(_xlfn.XLOOKUP(AG92,'BCoISC-WACCbI'!$C$2:$C$26,'BCoISC-WACCbI'!$B$2:$B$26)+$AE$4,0.1)</f>
        <v/>
      </c>
      <c r="AM92">
        <f>IF(P92&gt;0,L92/P92/0.947817,0)</f>
        <v/>
      </c>
      <c r="AN92">
        <f>IF(AND(P92&gt;0,ISNUMBER(K92)),L92*K92*1000000*E92,0)</f>
        <v/>
      </c>
    </row>
    <row r="93">
      <c r="A93">
        <f>'Kermeli Data'!A100</f>
        <v/>
      </c>
      <c r="B93">
        <f>'Kermeli Data'!B100</f>
        <v/>
      </c>
      <c r="C93">
        <f>'Kermeli Data'!P100</f>
        <v/>
      </c>
      <c r="D93">
        <f>IF(C93="2 whr","whr",IF(C93="3 proc","process","EXCLUDED"))</f>
        <v/>
      </c>
      <c r="E93">
        <f>'Kermeli Data'!E100</f>
        <v/>
      </c>
      <c r="F93">
        <f>'Kermeli Data'!F100</f>
        <v/>
      </c>
      <c r="G93">
        <f>'Kermeli Data'!G100</f>
        <v/>
      </c>
      <c r="H93">
        <f>'Kermeli Data'!I100</f>
        <v/>
      </c>
      <c r="I93">
        <f>'Kermeli Data'!J100</f>
        <v/>
      </c>
      <c r="J93">
        <f>'Kermeli Data'!K100</f>
        <v/>
      </c>
      <c r="K93">
        <f>IFERROR(_xlfn.XLOOKUP(A93,'product map'!$A$14:$A$36,'product map'!$G$14:$G$36),"pending")</f>
        <v/>
      </c>
      <c r="L93">
        <f>H93*cpi!$B$12*cpi!$B$10</f>
        <v/>
      </c>
      <c r="M93">
        <f>J93*cpi!$B$12*cpi!$B$10</f>
        <v/>
      </c>
      <c r="N93">
        <f>IF(I93&gt;0,AL93/(1-(1+AL93)^-I93),"")</f>
        <v/>
      </c>
      <c r="O93">
        <f>L93*N93+M93</f>
        <v/>
      </c>
      <c r="P93">
        <f>MAX(F93,0)+MAX(G93,0)</f>
        <v/>
      </c>
      <c r="Q93">
        <f>IF(P93&gt;0,MAX(F93,0)/P93,0)</f>
        <v/>
      </c>
      <c r="R93">
        <f>IF(P93&gt;0,MAX(G93,0)/P93,0)</f>
        <v/>
      </c>
      <c r="S93">
        <f>IF(P93&gt;0,O93/P93,"")</f>
        <v/>
      </c>
      <c r="T93">
        <f>IF(P93&gt;0,S93/$AE$3,"")</f>
        <v/>
      </c>
      <c r="U93">
        <f>IF(AND(P93&gt;0,Q93&gt;0),T93,"")</f>
        <v/>
      </c>
      <c r="V93">
        <f>IF(AND(P93&gt;0,R93&gt;0),T93,"")</f>
        <v/>
      </c>
      <c r="W93">
        <f>IF(I93&gt;0,$AE$2/(1-(1+$AE$2)^-I93),"")</f>
        <v/>
      </c>
      <c r="X93">
        <f>L93*W93+M93</f>
        <v/>
      </c>
      <c r="Y93">
        <f>IF(P93&gt;0,(X93/P93)/$AE$3,"")</f>
        <v/>
      </c>
      <c r="Z93">
        <f>IF(AND(ISNUMBER(K93),Q93&gt;0),MAX(F93,0)*K93*1000000*E93,"pending")</f>
        <v/>
      </c>
      <c r="AA93">
        <f>IF(AND(ISNUMBER(K93),R93&gt;0),MAX(G93,0)*K93*1000000*E93,"pending")</f>
        <v/>
      </c>
      <c r="AB93">
        <f>IF(AND(ISNUMBER(S93),S93&lt;0),"NEG-CCE","")&amp;IF(NOT(ISNUMBER(K93)),"|pending tonnage","")</f>
        <v/>
      </c>
      <c r="AG93">
        <f>IFERROR(_xlfn.XLOOKUP(A93,'product map'!$A$14:$A$36,'product map'!$C$14:$C$36),"?")</f>
        <v/>
      </c>
      <c r="AH93">
        <f>IFERROR((Z93*0.000000947817)/_xlfn.XLOOKUP(AG93,'energy base (MECS)'!$K$4:$K$9,'energy base (MECS)'!$F$4:$F$9),0)</f>
        <v/>
      </c>
      <c r="AI93">
        <f>IFERROR((AA93*0.000000947817)/_xlfn.XLOOKUP(AG93,'energy base (MECS)'!$K$4:$K$9,'energy base (MECS)'!$I$4:$I$9),0)</f>
        <v/>
      </c>
      <c r="AJ93">
        <f>MAX(0.3*ABS(AK93),0.000001)</f>
        <v/>
      </c>
      <c r="AK93">
        <f>IF(ISNUMBER(T93),T93,0)</f>
        <v/>
      </c>
      <c r="AL93">
        <f>IFERROR(_xlfn.XLOOKUP(AG93,'BCoISC-WACCbI'!$C$2:$C$26,'BCoISC-WACCbI'!$B$2:$B$26)+$AE$4,0.1)</f>
        <v/>
      </c>
      <c r="AM93">
        <f>IF(P93&gt;0,L93/P93/0.947817,0)</f>
        <v/>
      </c>
      <c r="AN93">
        <f>IF(AND(P93&gt;0,ISNUMBER(K93)),L93*K93*1000000*E93,0)</f>
        <v/>
      </c>
    </row>
    <row r="94">
      <c r="A94">
        <f>'Kermeli Data'!A101</f>
        <v/>
      </c>
      <c r="B94">
        <f>'Kermeli Data'!B101</f>
        <v/>
      </c>
      <c r="C94">
        <f>'Kermeli Data'!P101</f>
        <v/>
      </c>
      <c r="D94">
        <f>IF(C94="2 whr","whr",IF(C94="3 proc","process","EXCLUDED"))</f>
        <v/>
      </c>
      <c r="E94">
        <f>'Kermeli Data'!E101</f>
        <v/>
      </c>
      <c r="F94">
        <f>'Kermeli Data'!F101</f>
        <v/>
      </c>
      <c r="G94">
        <f>'Kermeli Data'!G101</f>
        <v/>
      </c>
      <c r="H94">
        <f>'Kermeli Data'!I101</f>
        <v/>
      </c>
      <c r="I94">
        <f>'Kermeli Data'!J101</f>
        <v/>
      </c>
      <c r="J94">
        <f>'Kermeli Data'!K101</f>
        <v/>
      </c>
      <c r="K94">
        <f>IFERROR(_xlfn.XLOOKUP(A94,'product map'!$A$14:$A$36,'product map'!$G$14:$G$36),"pending")</f>
        <v/>
      </c>
      <c r="L94">
        <f>H94*cpi!$B$12*cpi!$B$10</f>
        <v/>
      </c>
      <c r="M94">
        <f>J94*cpi!$B$12*cpi!$B$10</f>
        <v/>
      </c>
      <c r="N94">
        <f>IF(I94&gt;0,AL94/(1-(1+AL94)^-I94),"")</f>
        <v/>
      </c>
      <c r="O94">
        <f>L94*N94+M94</f>
        <v/>
      </c>
      <c r="P94">
        <f>MAX(F94,0)+MAX(G94,0)</f>
        <v/>
      </c>
      <c r="Q94">
        <f>IF(P94&gt;0,MAX(F94,0)/P94,0)</f>
        <v/>
      </c>
      <c r="R94">
        <f>IF(P94&gt;0,MAX(G94,0)/P94,0)</f>
        <v/>
      </c>
      <c r="S94">
        <f>IF(P94&gt;0,O94/P94,"")</f>
        <v/>
      </c>
      <c r="T94">
        <f>IF(P94&gt;0,S94/$AE$3,"")</f>
        <v/>
      </c>
      <c r="U94">
        <f>IF(AND(P94&gt;0,Q94&gt;0),T94,"")</f>
        <v/>
      </c>
      <c r="V94">
        <f>IF(AND(P94&gt;0,R94&gt;0),T94,"")</f>
        <v/>
      </c>
      <c r="W94">
        <f>IF(I94&gt;0,$AE$2/(1-(1+$AE$2)^-I94),"")</f>
        <v/>
      </c>
      <c r="X94">
        <f>L94*W94+M94</f>
        <v/>
      </c>
      <c r="Y94">
        <f>IF(P94&gt;0,(X94/P94)/$AE$3,"")</f>
        <v/>
      </c>
      <c r="Z94">
        <f>IF(AND(ISNUMBER(K94),Q94&gt;0),MAX(F94,0)*K94*1000000*E94,"pending")</f>
        <v/>
      </c>
      <c r="AA94">
        <f>IF(AND(ISNUMBER(K94),R94&gt;0),MAX(G94,0)*K94*1000000*E94,"pending")</f>
        <v/>
      </c>
      <c r="AB94">
        <f>IF(AND(ISNUMBER(S94),S94&lt;0),"NEG-CCE","")&amp;IF(NOT(ISNUMBER(K94)),"|pending tonnage","")</f>
        <v/>
      </c>
      <c r="AG94">
        <f>IFERROR(_xlfn.XLOOKUP(A94,'product map'!$A$14:$A$36,'product map'!$C$14:$C$36),"?")</f>
        <v/>
      </c>
      <c r="AH94">
        <f>IFERROR((Z94*0.000000947817)/_xlfn.XLOOKUP(AG94,'energy base (MECS)'!$K$4:$K$9,'energy base (MECS)'!$F$4:$F$9),0)</f>
        <v/>
      </c>
      <c r="AI94">
        <f>IFERROR((AA94*0.000000947817)/_xlfn.XLOOKUP(AG94,'energy base (MECS)'!$K$4:$K$9,'energy base (MECS)'!$I$4:$I$9),0)</f>
        <v/>
      </c>
      <c r="AJ94">
        <f>MAX(0.3*ABS(AK94),0.000001)</f>
        <v/>
      </c>
      <c r="AK94">
        <f>IF(ISNUMBER(T94),T94,0)</f>
        <v/>
      </c>
      <c r="AL94">
        <f>IFERROR(_xlfn.XLOOKUP(AG94,'BCoISC-WACCbI'!$C$2:$C$26,'BCoISC-WACCbI'!$B$2:$B$26)+$AE$4,0.1)</f>
        <v/>
      </c>
      <c r="AM94">
        <f>IF(P94&gt;0,L94/P94/0.947817,0)</f>
        <v/>
      </c>
      <c r="AN94">
        <f>IF(AND(P94&gt;0,ISNUMBER(K94)),L94*K94*1000000*E94,0)</f>
        <v/>
      </c>
    </row>
    <row r="95">
      <c r="A95">
        <f>'Kermeli Data'!A102</f>
        <v/>
      </c>
      <c r="B95">
        <f>'Kermeli Data'!B102</f>
        <v/>
      </c>
      <c r="C95">
        <f>'Kermeli Data'!P102</f>
        <v/>
      </c>
      <c r="D95">
        <f>IF(C95="2 whr","whr",IF(C95="3 proc","process","EXCLUDED"))</f>
        <v/>
      </c>
      <c r="E95">
        <f>'Kermeli Data'!E102</f>
        <v/>
      </c>
      <c r="F95">
        <f>'Kermeli Data'!F102</f>
        <v/>
      </c>
      <c r="G95">
        <f>'Kermeli Data'!G102</f>
        <v/>
      </c>
      <c r="H95">
        <f>'Kermeli Data'!I102</f>
        <v/>
      </c>
      <c r="I95">
        <f>'Kermeli Data'!J102</f>
        <v/>
      </c>
      <c r="J95">
        <f>'Kermeli Data'!K102</f>
        <v/>
      </c>
      <c r="K95">
        <f>IFERROR(_xlfn.XLOOKUP(A95,'product map'!$A$14:$A$36,'product map'!$G$14:$G$36),"pending")</f>
        <v/>
      </c>
      <c r="L95">
        <f>H95*cpi!$B$12*cpi!$B$10</f>
        <v/>
      </c>
      <c r="M95">
        <f>J95*cpi!$B$12*cpi!$B$10</f>
        <v/>
      </c>
      <c r="N95">
        <f>IF(I95&gt;0,AL95/(1-(1+AL95)^-I95),"")</f>
        <v/>
      </c>
      <c r="O95">
        <f>L95*N95+M95</f>
        <v/>
      </c>
      <c r="P95">
        <f>MAX(F95,0)+MAX(G95,0)</f>
        <v/>
      </c>
      <c r="Q95">
        <f>IF(P95&gt;0,MAX(F95,0)/P95,0)</f>
        <v/>
      </c>
      <c r="R95">
        <f>IF(P95&gt;0,MAX(G95,0)/P95,0)</f>
        <v/>
      </c>
      <c r="S95">
        <f>IF(P95&gt;0,O95/P95,"")</f>
        <v/>
      </c>
      <c r="T95">
        <f>IF(P95&gt;0,S95/$AE$3,"")</f>
        <v/>
      </c>
      <c r="U95">
        <f>IF(AND(P95&gt;0,Q95&gt;0),T95,"")</f>
        <v/>
      </c>
      <c r="V95">
        <f>IF(AND(P95&gt;0,R95&gt;0),T95,"")</f>
        <v/>
      </c>
      <c r="W95">
        <f>IF(I95&gt;0,$AE$2/(1-(1+$AE$2)^-I95),"")</f>
        <v/>
      </c>
      <c r="X95">
        <f>L95*W95+M95</f>
        <v/>
      </c>
      <c r="Y95">
        <f>IF(P95&gt;0,(X95/P95)/$AE$3,"")</f>
        <v/>
      </c>
      <c r="Z95">
        <f>IF(AND(ISNUMBER(K95),Q95&gt;0),MAX(F95,0)*K95*1000000*E95,"pending")</f>
        <v/>
      </c>
      <c r="AA95">
        <f>IF(AND(ISNUMBER(K95),R95&gt;0),MAX(G95,0)*K95*1000000*E95,"pending")</f>
        <v/>
      </c>
      <c r="AB95">
        <f>IF(AND(ISNUMBER(S95),S95&lt;0),"NEG-CCE","")&amp;IF(NOT(ISNUMBER(K95)),"|pending tonnage","")</f>
        <v/>
      </c>
      <c r="AG95">
        <f>IFERROR(_xlfn.XLOOKUP(A95,'product map'!$A$14:$A$36,'product map'!$C$14:$C$36),"?")</f>
        <v/>
      </c>
      <c r="AH95">
        <f>IFERROR((Z95*0.000000947817)/_xlfn.XLOOKUP(AG95,'energy base (MECS)'!$K$4:$K$9,'energy base (MECS)'!$F$4:$F$9),0)</f>
        <v/>
      </c>
      <c r="AI95">
        <f>IFERROR((AA95*0.000000947817)/_xlfn.XLOOKUP(AG95,'energy base (MECS)'!$K$4:$K$9,'energy base (MECS)'!$I$4:$I$9),0)</f>
        <v/>
      </c>
      <c r="AJ95">
        <f>MAX(0.3*ABS(AK95),0.000001)</f>
        <v/>
      </c>
      <c r="AK95">
        <f>IF(ISNUMBER(T95),T95,0)</f>
        <v/>
      </c>
      <c r="AL95">
        <f>IFERROR(_xlfn.XLOOKUP(AG95,'BCoISC-WACCbI'!$C$2:$C$26,'BCoISC-WACCbI'!$B$2:$B$26)+$AE$4,0.1)</f>
        <v/>
      </c>
      <c r="AM95">
        <f>IF(P95&gt;0,L95/P95/0.947817,0)</f>
        <v/>
      </c>
      <c r="AN95">
        <f>IF(AND(P95&gt;0,ISNUMBER(K95)),L95*K95*1000000*E95,0)</f>
        <v/>
      </c>
    </row>
    <row r="96">
      <c r="A96">
        <f>'Kermeli Data'!A103</f>
        <v/>
      </c>
      <c r="B96">
        <f>'Kermeli Data'!B103</f>
        <v/>
      </c>
      <c r="C96">
        <f>'Kermeli Data'!P103</f>
        <v/>
      </c>
      <c r="D96">
        <f>IF(C96="2 whr","whr",IF(C96="3 proc","process","EXCLUDED"))</f>
        <v/>
      </c>
      <c r="E96">
        <f>'Kermeli Data'!E103</f>
        <v/>
      </c>
      <c r="F96">
        <f>'Kermeli Data'!F103</f>
        <v/>
      </c>
      <c r="G96">
        <f>'Kermeli Data'!G103</f>
        <v/>
      </c>
      <c r="H96">
        <f>'Kermeli Data'!I103</f>
        <v/>
      </c>
      <c r="I96">
        <f>'Kermeli Data'!J103</f>
        <v/>
      </c>
      <c r="J96">
        <f>'Kermeli Data'!K103</f>
        <v/>
      </c>
      <c r="K96">
        <f>IFERROR(_xlfn.XLOOKUP(A96,'product map'!$A$14:$A$36,'product map'!$G$14:$G$36),"pending")</f>
        <v/>
      </c>
      <c r="L96">
        <f>H96*cpi!$B$12*cpi!$B$10</f>
        <v/>
      </c>
      <c r="M96">
        <f>J96*cpi!$B$12*cpi!$B$10</f>
        <v/>
      </c>
      <c r="N96">
        <f>IF(I96&gt;0,AL96/(1-(1+AL96)^-I96),"")</f>
        <v/>
      </c>
      <c r="O96">
        <f>L96*N96+M96</f>
        <v/>
      </c>
      <c r="P96">
        <f>MAX(F96,0)+MAX(G96,0)</f>
        <v/>
      </c>
      <c r="Q96">
        <f>IF(P96&gt;0,MAX(F96,0)/P96,0)</f>
        <v/>
      </c>
      <c r="R96">
        <f>IF(P96&gt;0,MAX(G96,0)/P96,0)</f>
        <v/>
      </c>
      <c r="S96">
        <f>IF(P96&gt;0,O96/P96,"")</f>
        <v/>
      </c>
      <c r="T96">
        <f>IF(P96&gt;0,S96/$AE$3,"")</f>
        <v/>
      </c>
      <c r="U96">
        <f>IF(AND(P96&gt;0,Q96&gt;0),T96,"")</f>
        <v/>
      </c>
      <c r="V96">
        <f>IF(AND(P96&gt;0,R96&gt;0),T96,"")</f>
        <v/>
      </c>
      <c r="W96">
        <f>IF(I96&gt;0,$AE$2/(1-(1+$AE$2)^-I96),"")</f>
        <v/>
      </c>
      <c r="X96">
        <f>L96*W96+M96</f>
        <v/>
      </c>
      <c r="Y96">
        <f>IF(P96&gt;0,(X96/P96)/$AE$3,"")</f>
        <v/>
      </c>
      <c r="Z96">
        <f>IF(AND(ISNUMBER(K96),Q96&gt;0),MAX(F96,0)*K96*1000000*E96,"pending")</f>
        <v/>
      </c>
      <c r="AA96">
        <f>IF(AND(ISNUMBER(K96),R96&gt;0),MAX(G96,0)*K96*1000000*E96,"pending")</f>
        <v/>
      </c>
      <c r="AB96">
        <f>IF(AND(ISNUMBER(S96),S96&lt;0),"NEG-CCE","")&amp;IF(NOT(ISNUMBER(K96)),"|pending tonnage","")</f>
        <v/>
      </c>
      <c r="AG96">
        <f>IFERROR(_xlfn.XLOOKUP(A96,'product map'!$A$14:$A$36,'product map'!$C$14:$C$36),"?")</f>
        <v/>
      </c>
      <c r="AH96">
        <f>IFERROR((Z96*0.000000947817)/_xlfn.XLOOKUP(AG96,'energy base (MECS)'!$K$4:$K$9,'energy base (MECS)'!$F$4:$F$9),0)</f>
        <v/>
      </c>
      <c r="AI96">
        <f>IFERROR((AA96*0.000000947817)/_xlfn.XLOOKUP(AG96,'energy base (MECS)'!$K$4:$K$9,'energy base (MECS)'!$I$4:$I$9),0)</f>
        <v/>
      </c>
      <c r="AJ96">
        <f>MAX(0.3*ABS(AK96),0.000001)</f>
        <v/>
      </c>
      <c r="AK96">
        <f>IF(ISNUMBER(T96),T96,0)</f>
        <v/>
      </c>
      <c r="AL96">
        <f>IFERROR(_xlfn.XLOOKUP(AG96,'BCoISC-WACCbI'!$C$2:$C$26,'BCoISC-WACCbI'!$B$2:$B$26)+$AE$4,0.1)</f>
        <v/>
      </c>
      <c r="AM96">
        <f>IF(P96&gt;0,L96/P96/0.947817,0)</f>
        <v/>
      </c>
      <c r="AN96">
        <f>IF(AND(P96&gt;0,ISNUMBER(K96)),L96*K96*1000000*E96,0)</f>
        <v/>
      </c>
    </row>
    <row r="97">
      <c r="A97">
        <f>'Kermeli Data'!A104</f>
        <v/>
      </c>
      <c r="B97">
        <f>'Kermeli Data'!B104</f>
        <v/>
      </c>
      <c r="C97">
        <f>'Kermeli Data'!P104</f>
        <v/>
      </c>
      <c r="D97">
        <f>IF(C97="2 whr","whr",IF(C97="3 proc","process","EXCLUDED"))</f>
        <v/>
      </c>
      <c r="E97">
        <f>'Kermeli Data'!E104</f>
        <v/>
      </c>
      <c r="F97">
        <f>'Kermeli Data'!F104</f>
        <v/>
      </c>
      <c r="G97">
        <f>'Kermeli Data'!G104</f>
        <v/>
      </c>
      <c r="H97">
        <f>'Kermeli Data'!I104</f>
        <v/>
      </c>
      <c r="I97">
        <f>'Kermeli Data'!J104</f>
        <v/>
      </c>
      <c r="J97">
        <f>'Kermeli Data'!K104</f>
        <v/>
      </c>
      <c r="K97">
        <f>IFERROR(_xlfn.XLOOKUP(A97,'product map'!$A$14:$A$36,'product map'!$G$14:$G$36),"pending")</f>
        <v/>
      </c>
      <c r="L97">
        <f>H97*cpi!$B$12*cpi!$B$10</f>
        <v/>
      </c>
      <c r="M97">
        <f>J97*cpi!$B$12*cpi!$B$10</f>
        <v/>
      </c>
      <c r="N97">
        <f>IF(I97&gt;0,AL97/(1-(1+AL97)^-I97),"")</f>
        <v/>
      </c>
      <c r="O97">
        <f>L97*N97+M97</f>
        <v/>
      </c>
      <c r="P97">
        <f>MAX(F97,0)+MAX(G97,0)</f>
        <v/>
      </c>
      <c r="Q97">
        <f>IF(P97&gt;0,MAX(F97,0)/P97,0)</f>
        <v/>
      </c>
      <c r="R97">
        <f>IF(P97&gt;0,MAX(G97,0)/P97,0)</f>
        <v/>
      </c>
      <c r="S97">
        <f>IF(P97&gt;0,O97/P97,"")</f>
        <v/>
      </c>
      <c r="T97">
        <f>IF(P97&gt;0,S97/$AE$3,"")</f>
        <v/>
      </c>
      <c r="U97">
        <f>IF(AND(P97&gt;0,Q97&gt;0),T97,"")</f>
        <v/>
      </c>
      <c r="V97">
        <f>IF(AND(P97&gt;0,R97&gt;0),T97,"")</f>
        <v/>
      </c>
      <c r="W97">
        <f>IF(I97&gt;0,$AE$2/(1-(1+$AE$2)^-I97),"")</f>
        <v/>
      </c>
      <c r="X97">
        <f>L97*W97+M97</f>
        <v/>
      </c>
      <c r="Y97">
        <f>IF(P97&gt;0,(X97/P97)/$AE$3,"")</f>
        <v/>
      </c>
      <c r="Z97">
        <f>IF(AND(ISNUMBER(K97),Q97&gt;0),MAX(F97,0)*K97*1000000*E97,"pending")</f>
        <v/>
      </c>
      <c r="AA97">
        <f>IF(AND(ISNUMBER(K97),R97&gt;0),MAX(G97,0)*K97*1000000*E97,"pending")</f>
        <v/>
      </c>
      <c r="AB97">
        <f>IF(AND(ISNUMBER(S97),S97&lt;0),"NEG-CCE","")&amp;IF(NOT(ISNUMBER(K97)),"|pending tonnage","")</f>
        <v/>
      </c>
      <c r="AG97">
        <f>IFERROR(_xlfn.XLOOKUP(A97,'product map'!$A$14:$A$36,'product map'!$C$14:$C$36),"?")</f>
        <v/>
      </c>
      <c r="AH97">
        <f>IFERROR((Z97*0.000000947817)/_xlfn.XLOOKUP(AG97,'energy base (MECS)'!$K$4:$K$9,'energy base (MECS)'!$F$4:$F$9),0)</f>
        <v/>
      </c>
      <c r="AI97">
        <f>IFERROR((AA97*0.000000947817)/_xlfn.XLOOKUP(AG97,'energy base (MECS)'!$K$4:$K$9,'energy base (MECS)'!$I$4:$I$9),0)</f>
        <v/>
      </c>
      <c r="AJ97">
        <f>MAX(0.3*ABS(AK97),0.000001)</f>
        <v/>
      </c>
      <c r="AK97">
        <f>IF(ISNUMBER(T97),T97,0)</f>
        <v/>
      </c>
      <c r="AL97">
        <f>IFERROR(_xlfn.XLOOKUP(AG97,'BCoISC-WACCbI'!$C$2:$C$26,'BCoISC-WACCbI'!$B$2:$B$26)+$AE$4,0.1)</f>
        <v/>
      </c>
      <c r="AM97">
        <f>IF(P97&gt;0,L97/P97/0.947817,0)</f>
        <v/>
      </c>
      <c r="AN97">
        <f>IF(AND(P97&gt;0,ISNUMBER(K97)),L97*K97*1000000*E97,0)</f>
        <v/>
      </c>
    </row>
    <row r="98">
      <c r="A98">
        <f>'Kermeli Data'!A105</f>
        <v/>
      </c>
      <c r="B98">
        <f>'Kermeli Data'!B105</f>
        <v/>
      </c>
      <c r="C98">
        <f>'Kermeli Data'!P105</f>
        <v/>
      </c>
      <c r="D98">
        <f>IF(C98="2 whr","whr",IF(C98="3 proc","process","EXCLUDED"))</f>
        <v/>
      </c>
      <c r="E98">
        <f>'Kermeli Data'!E105</f>
        <v/>
      </c>
      <c r="F98">
        <f>'Kermeli Data'!F105</f>
        <v/>
      </c>
      <c r="G98">
        <f>'Kermeli Data'!G105</f>
        <v/>
      </c>
      <c r="H98">
        <f>'Kermeli Data'!I105</f>
        <v/>
      </c>
      <c r="I98">
        <f>'Kermeli Data'!J105</f>
        <v/>
      </c>
      <c r="J98">
        <f>'Kermeli Data'!K105</f>
        <v/>
      </c>
      <c r="K98">
        <f>IFERROR(_xlfn.XLOOKUP(A98,'product map'!$A$14:$A$36,'product map'!$G$14:$G$36),"pending")</f>
        <v/>
      </c>
      <c r="L98">
        <f>H98*cpi!$B$12*cpi!$B$10</f>
        <v/>
      </c>
      <c r="M98">
        <f>J98*cpi!$B$12*cpi!$B$10</f>
        <v/>
      </c>
      <c r="N98">
        <f>IF(I98&gt;0,AL98/(1-(1+AL98)^-I98),"")</f>
        <v/>
      </c>
      <c r="O98">
        <f>L98*N98+M98</f>
        <v/>
      </c>
      <c r="P98">
        <f>MAX(F98,0)+MAX(G98,0)</f>
        <v/>
      </c>
      <c r="Q98">
        <f>IF(P98&gt;0,MAX(F98,0)/P98,0)</f>
        <v/>
      </c>
      <c r="R98">
        <f>IF(P98&gt;0,MAX(G98,0)/P98,0)</f>
        <v/>
      </c>
      <c r="S98">
        <f>IF(P98&gt;0,O98/P98,"")</f>
        <v/>
      </c>
      <c r="T98">
        <f>IF(P98&gt;0,S98/$AE$3,"")</f>
        <v/>
      </c>
      <c r="U98">
        <f>IF(AND(P98&gt;0,Q98&gt;0),T98,"")</f>
        <v/>
      </c>
      <c r="V98">
        <f>IF(AND(P98&gt;0,R98&gt;0),T98,"")</f>
        <v/>
      </c>
      <c r="W98">
        <f>IF(I98&gt;0,$AE$2/(1-(1+$AE$2)^-I98),"")</f>
        <v/>
      </c>
      <c r="X98">
        <f>L98*W98+M98</f>
        <v/>
      </c>
      <c r="Y98">
        <f>IF(P98&gt;0,(X98/P98)/$AE$3,"")</f>
        <v/>
      </c>
      <c r="Z98">
        <f>IF(AND(ISNUMBER(K98),Q98&gt;0),MAX(F98,0)*K98*1000000*E98,"pending")</f>
        <v/>
      </c>
      <c r="AA98">
        <f>IF(AND(ISNUMBER(K98),R98&gt;0),MAX(G98,0)*K98*1000000*E98,"pending")</f>
        <v/>
      </c>
      <c r="AB98">
        <f>IF(AND(ISNUMBER(S98),S98&lt;0),"NEG-CCE","")&amp;IF(NOT(ISNUMBER(K98)),"|pending tonnage","")</f>
        <v/>
      </c>
      <c r="AG98">
        <f>IFERROR(_xlfn.XLOOKUP(A98,'product map'!$A$14:$A$36,'product map'!$C$14:$C$36),"?")</f>
        <v/>
      </c>
      <c r="AH98">
        <f>IFERROR((Z98*0.000000947817)/_xlfn.XLOOKUP(AG98,'energy base (MECS)'!$K$4:$K$9,'energy base (MECS)'!$F$4:$F$9),0)</f>
        <v/>
      </c>
      <c r="AI98">
        <f>IFERROR((AA98*0.000000947817)/_xlfn.XLOOKUP(AG98,'energy base (MECS)'!$K$4:$K$9,'energy base (MECS)'!$I$4:$I$9),0)</f>
        <v/>
      </c>
      <c r="AJ98">
        <f>MAX(0.3*ABS(AK98),0.000001)</f>
        <v/>
      </c>
      <c r="AK98">
        <f>IF(ISNUMBER(T98),T98,0)</f>
        <v/>
      </c>
      <c r="AL98">
        <f>IFERROR(_xlfn.XLOOKUP(AG98,'BCoISC-WACCbI'!$C$2:$C$26,'BCoISC-WACCbI'!$B$2:$B$26)+$AE$4,0.1)</f>
        <v/>
      </c>
      <c r="AM98">
        <f>IF(P98&gt;0,L98/P98/0.947817,0)</f>
        <v/>
      </c>
      <c r="AN98">
        <f>IF(AND(P98&gt;0,ISNUMBER(K98)),L98*K98*1000000*E98,0)</f>
        <v/>
      </c>
    </row>
    <row r="99">
      <c r="A99">
        <f>'Kermeli Data'!A106</f>
        <v/>
      </c>
      <c r="B99">
        <f>'Kermeli Data'!B106</f>
        <v/>
      </c>
      <c r="C99">
        <f>'Kermeli Data'!P106</f>
        <v/>
      </c>
      <c r="D99">
        <f>IF(C99="2 whr","whr",IF(C99="3 proc","process","EXCLUDED"))</f>
        <v/>
      </c>
      <c r="E99">
        <f>'Kermeli Data'!E106</f>
        <v/>
      </c>
      <c r="F99">
        <f>'Kermeli Data'!F106</f>
        <v/>
      </c>
      <c r="G99">
        <f>'Kermeli Data'!G106</f>
        <v/>
      </c>
      <c r="H99">
        <f>'Kermeli Data'!I106</f>
        <v/>
      </c>
      <c r="I99">
        <f>'Kermeli Data'!J106</f>
        <v/>
      </c>
      <c r="J99">
        <f>'Kermeli Data'!K106</f>
        <v/>
      </c>
      <c r="K99">
        <f>IFERROR(_xlfn.XLOOKUP(A99,'product map'!$A$14:$A$36,'product map'!$G$14:$G$36),"pending")</f>
        <v/>
      </c>
      <c r="L99">
        <f>H99*cpi!$B$12*cpi!$B$10</f>
        <v/>
      </c>
      <c r="M99">
        <f>J99*cpi!$B$12*cpi!$B$10</f>
        <v/>
      </c>
      <c r="N99">
        <f>IF(I99&gt;0,AL99/(1-(1+AL99)^-I99),"")</f>
        <v/>
      </c>
      <c r="O99">
        <f>L99*N99+M99</f>
        <v/>
      </c>
      <c r="P99">
        <f>MAX(F99,0)+MAX(G99,0)</f>
        <v/>
      </c>
      <c r="Q99">
        <f>IF(P99&gt;0,MAX(F99,0)/P99,0)</f>
        <v/>
      </c>
      <c r="R99">
        <f>IF(P99&gt;0,MAX(G99,0)/P99,0)</f>
        <v/>
      </c>
      <c r="S99">
        <f>IF(P99&gt;0,O99/P99,"")</f>
        <v/>
      </c>
      <c r="T99">
        <f>IF(P99&gt;0,S99/$AE$3,"")</f>
        <v/>
      </c>
      <c r="U99">
        <f>IF(AND(P99&gt;0,Q99&gt;0),T99,"")</f>
        <v/>
      </c>
      <c r="V99">
        <f>IF(AND(P99&gt;0,R99&gt;0),T99,"")</f>
        <v/>
      </c>
      <c r="W99">
        <f>IF(I99&gt;0,$AE$2/(1-(1+$AE$2)^-I99),"")</f>
        <v/>
      </c>
      <c r="X99">
        <f>L99*W99+M99</f>
        <v/>
      </c>
      <c r="Y99">
        <f>IF(P99&gt;0,(X99/P99)/$AE$3,"")</f>
        <v/>
      </c>
      <c r="Z99">
        <f>IF(AND(ISNUMBER(K99),Q99&gt;0),MAX(F99,0)*K99*1000000*E99,"pending")</f>
        <v/>
      </c>
      <c r="AA99">
        <f>IF(AND(ISNUMBER(K99),R99&gt;0),MAX(G99,0)*K99*1000000*E99,"pending")</f>
        <v/>
      </c>
      <c r="AB99">
        <f>IF(AND(ISNUMBER(S99),S99&lt;0),"NEG-CCE","")&amp;IF(NOT(ISNUMBER(K99)),"|pending tonnage","")</f>
        <v/>
      </c>
      <c r="AG99">
        <f>IFERROR(_xlfn.XLOOKUP(A99,'product map'!$A$14:$A$36,'product map'!$C$14:$C$36),"?")</f>
        <v/>
      </c>
      <c r="AH99">
        <f>IFERROR((Z99*0.000000947817)/_xlfn.XLOOKUP(AG99,'energy base (MECS)'!$K$4:$K$9,'energy base (MECS)'!$F$4:$F$9),0)</f>
        <v/>
      </c>
      <c r="AI99">
        <f>IFERROR((AA99*0.000000947817)/_xlfn.XLOOKUP(AG99,'energy base (MECS)'!$K$4:$K$9,'energy base (MECS)'!$I$4:$I$9),0)</f>
        <v/>
      </c>
      <c r="AJ99">
        <f>MAX(0.3*ABS(AK99),0.000001)</f>
        <v/>
      </c>
      <c r="AK99">
        <f>IF(ISNUMBER(T99),T99,0)</f>
        <v/>
      </c>
      <c r="AL99">
        <f>IFERROR(_xlfn.XLOOKUP(AG99,'BCoISC-WACCbI'!$C$2:$C$26,'BCoISC-WACCbI'!$B$2:$B$26)+$AE$4,0.1)</f>
        <v/>
      </c>
      <c r="AM99">
        <f>IF(P99&gt;0,L99/P99/0.947817,0)</f>
        <v/>
      </c>
      <c r="AN99">
        <f>IF(AND(P99&gt;0,ISNUMBER(K99)),L99*K99*1000000*E99,0)</f>
        <v/>
      </c>
    </row>
    <row r="100">
      <c r="A100">
        <f>'Kermeli Data'!A107</f>
        <v/>
      </c>
      <c r="B100">
        <f>'Kermeli Data'!B107</f>
        <v/>
      </c>
      <c r="C100">
        <f>'Kermeli Data'!P107</f>
        <v/>
      </c>
      <c r="D100">
        <f>IF(C100="2 whr","whr",IF(C100="3 proc","process","EXCLUDED"))</f>
        <v/>
      </c>
      <c r="E100">
        <f>'Kermeli Data'!E107</f>
        <v/>
      </c>
      <c r="F100">
        <f>'Kermeli Data'!F107</f>
        <v/>
      </c>
      <c r="G100">
        <f>'Kermeli Data'!G107</f>
        <v/>
      </c>
      <c r="H100">
        <f>'Kermeli Data'!I107</f>
        <v/>
      </c>
      <c r="I100">
        <f>'Kermeli Data'!J107</f>
        <v/>
      </c>
      <c r="J100">
        <f>'Kermeli Data'!K107</f>
        <v/>
      </c>
      <c r="K100">
        <f>IFERROR(_xlfn.XLOOKUP(A100,'product map'!$A$14:$A$36,'product map'!$G$14:$G$36),"pending")</f>
        <v/>
      </c>
      <c r="L100">
        <f>H100*cpi!$B$12*cpi!$B$10</f>
        <v/>
      </c>
      <c r="M100">
        <f>J100*cpi!$B$12*cpi!$B$10</f>
        <v/>
      </c>
      <c r="N100">
        <f>IF(I100&gt;0,AL100/(1-(1+AL100)^-I100),"")</f>
        <v/>
      </c>
      <c r="O100">
        <f>L100*N100+M100</f>
        <v/>
      </c>
      <c r="P100">
        <f>MAX(F100,0)+MAX(G100,0)</f>
        <v/>
      </c>
      <c r="Q100">
        <f>IF(P100&gt;0,MAX(F100,0)/P100,0)</f>
        <v/>
      </c>
      <c r="R100">
        <f>IF(P100&gt;0,MAX(G100,0)/P100,0)</f>
        <v/>
      </c>
      <c r="S100">
        <f>IF(P100&gt;0,O100/P100,"")</f>
        <v/>
      </c>
      <c r="T100">
        <f>IF(P100&gt;0,S100/$AE$3,"")</f>
        <v/>
      </c>
      <c r="U100">
        <f>IF(AND(P100&gt;0,Q100&gt;0),T100,"")</f>
        <v/>
      </c>
      <c r="V100">
        <f>IF(AND(P100&gt;0,R100&gt;0),T100,"")</f>
        <v/>
      </c>
      <c r="W100">
        <f>IF(I100&gt;0,$AE$2/(1-(1+$AE$2)^-I100),"")</f>
        <v/>
      </c>
      <c r="X100">
        <f>L100*W100+M100</f>
        <v/>
      </c>
      <c r="Y100">
        <f>IF(P100&gt;0,(X100/P100)/$AE$3,"")</f>
        <v/>
      </c>
      <c r="Z100">
        <f>IF(AND(ISNUMBER(K100),Q100&gt;0),MAX(F100,0)*K100*1000000*E100,"pending")</f>
        <v/>
      </c>
      <c r="AA100">
        <f>IF(AND(ISNUMBER(K100),R100&gt;0),MAX(G100,0)*K100*1000000*E100,"pending")</f>
        <v/>
      </c>
      <c r="AB100">
        <f>IF(AND(ISNUMBER(S100),S100&lt;0),"NEG-CCE","")&amp;IF(NOT(ISNUMBER(K100)),"|pending tonnage","")</f>
        <v/>
      </c>
      <c r="AG100">
        <f>IFERROR(_xlfn.XLOOKUP(A100,'product map'!$A$14:$A$36,'product map'!$C$14:$C$36),"?")</f>
        <v/>
      </c>
      <c r="AH100">
        <f>IFERROR((Z100*0.000000947817)/_xlfn.XLOOKUP(AG100,'energy base (MECS)'!$K$4:$K$9,'energy base (MECS)'!$F$4:$F$9),0)</f>
        <v/>
      </c>
      <c r="AI100">
        <f>IFERROR((AA100*0.000000947817)/_xlfn.XLOOKUP(AG100,'energy base (MECS)'!$K$4:$K$9,'energy base (MECS)'!$I$4:$I$9),0)</f>
        <v/>
      </c>
      <c r="AJ100">
        <f>MAX(0.3*ABS(AK100),0.000001)</f>
        <v/>
      </c>
      <c r="AK100">
        <f>IF(ISNUMBER(T100),T100,0)</f>
        <v/>
      </c>
      <c r="AL100">
        <f>IFERROR(_xlfn.XLOOKUP(AG100,'BCoISC-WACCbI'!$C$2:$C$26,'BCoISC-WACCbI'!$B$2:$B$26)+$AE$4,0.1)</f>
        <v/>
      </c>
      <c r="AM100">
        <f>IF(P100&gt;0,L100/P100/0.947817,0)</f>
        <v/>
      </c>
      <c r="AN100">
        <f>IF(AND(P100&gt;0,ISNUMBER(K100)),L100*K100*1000000*E100,0)</f>
        <v/>
      </c>
    </row>
    <row r="101">
      <c r="A101">
        <f>'Kermeli Data'!A108</f>
        <v/>
      </c>
      <c r="B101">
        <f>'Kermeli Data'!B108</f>
        <v/>
      </c>
      <c r="C101">
        <f>'Kermeli Data'!P108</f>
        <v/>
      </c>
      <c r="D101">
        <f>IF(C101="2 whr","whr",IF(C101="3 proc","process","EXCLUDED"))</f>
        <v/>
      </c>
      <c r="E101">
        <f>'Kermeli Data'!E108</f>
        <v/>
      </c>
      <c r="F101">
        <f>'Kermeli Data'!F108</f>
        <v/>
      </c>
      <c r="G101">
        <f>'Kermeli Data'!G108</f>
        <v/>
      </c>
      <c r="H101">
        <f>'Kermeli Data'!I108</f>
        <v/>
      </c>
      <c r="I101">
        <f>'Kermeli Data'!J108</f>
        <v/>
      </c>
      <c r="J101">
        <f>'Kermeli Data'!K108</f>
        <v/>
      </c>
      <c r="K101">
        <f>IFERROR(_xlfn.XLOOKUP(A101,'product map'!$A$14:$A$36,'product map'!$G$14:$G$36),"pending")</f>
        <v/>
      </c>
      <c r="L101">
        <f>H101*cpi!$B$12*cpi!$B$10</f>
        <v/>
      </c>
      <c r="M101">
        <f>J101*cpi!$B$12*cpi!$B$10</f>
        <v/>
      </c>
      <c r="N101">
        <f>IF(I101&gt;0,AL101/(1-(1+AL101)^-I101),"")</f>
        <v/>
      </c>
      <c r="O101">
        <f>L101*N101+M101</f>
        <v/>
      </c>
      <c r="P101">
        <f>MAX(F101,0)+MAX(G101,0)</f>
        <v/>
      </c>
      <c r="Q101">
        <f>IF(P101&gt;0,MAX(F101,0)/P101,0)</f>
        <v/>
      </c>
      <c r="R101">
        <f>IF(P101&gt;0,MAX(G101,0)/P101,0)</f>
        <v/>
      </c>
      <c r="S101">
        <f>IF(P101&gt;0,O101/P101,"")</f>
        <v/>
      </c>
      <c r="T101">
        <f>IF(P101&gt;0,S101/$AE$3,"")</f>
        <v/>
      </c>
      <c r="U101">
        <f>IF(AND(P101&gt;0,Q101&gt;0),T101,"")</f>
        <v/>
      </c>
      <c r="V101">
        <f>IF(AND(P101&gt;0,R101&gt;0),T101,"")</f>
        <v/>
      </c>
      <c r="W101">
        <f>IF(I101&gt;0,$AE$2/(1-(1+$AE$2)^-I101),"")</f>
        <v/>
      </c>
      <c r="X101">
        <f>L101*W101+M101</f>
        <v/>
      </c>
      <c r="Y101">
        <f>IF(P101&gt;0,(X101/P101)/$AE$3,"")</f>
        <v/>
      </c>
      <c r="Z101">
        <f>IF(AND(ISNUMBER(K101),Q101&gt;0),MAX(F101,0)*K101*1000000*E101,"pending")</f>
        <v/>
      </c>
      <c r="AA101">
        <f>IF(AND(ISNUMBER(K101),R101&gt;0),MAX(G101,0)*K101*1000000*E101,"pending")</f>
        <v/>
      </c>
      <c r="AB101">
        <f>IF(AND(ISNUMBER(S101),S101&lt;0),"NEG-CCE","")&amp;IF(NOT(ISNUMBER(K101)),"|pending tonnage","")</f>
        <v/>
      </c>
      <c r="AG101">
        <f>IFERROR(_xlfn.XLOOKUP(A101,'product map'!$A$14:$A$36,'product map'!$C$14:$C$36),"?")</f>
        <v/>
      </c>
      <c r="AH101">
        <f>IFERROR((Z101*0.000000947817)/_xlfn.XLOOKUP(AG101,'energy base (MECS)'!$K$4:$K$9,'energy base (MECS)'!$F$4:$F$9),0)</f>
        <v/>
      </c>
      <c r="AI101">
        <f>IFERROR((AA101*0.000000947817)/_xlfn.XLOOKUP(AG101,'energy base (MECS)'!$K$4:$K$9,'energy base (MECS)'!$I$4:$I$9),0)</f>
        <v/>
      </c>
      <c r="AJ101">
        <f>MAX(0.3*ABS(AK101),0.000001)</f>
        <v/>
      </c>
      <c r="AK101">
        <f>IF(ISNUMBER(T101),T101,0)</f>
        <v/>
      </c>
      <c r="AL101">
        <f>IFERROR(_xlfn.XLOOKUP(AG101,'BCoISC-WACCbI'!$C$2:$C$26,'BCoISC-WACCbI'!$B$2:$B$26)+$AE$4,0.1)</f>
        <v/>
      </c>
      <c r="AM101">
        <f>IF(P101&gt;0,L101/P101/0.947817,0)</f>
        <v/>
      </c>
      <c r="AN101">
        <f>IF(AND(P101&gt;0,ISNUMBER(K101)),L101*K101*1000000*E101,0)</f>
        <v/>
      </c>
    </row>
    <row r="102">
      <c r="A102">
        <f>'Kermeli Data'!A109</f>
        <v/>
      </c>
      <c r="B102">
        <f>'Kermeli Data'!B109</f>
        <v/>
      </c>
      <c r="C102">
        <f>'Kermeli Data'!P109</f>
        <v/>
      </c>
      <c r="D102">
        <f>IF(C102="2 whr","whr",IF(C102="3 proc","process","EXCLUDED"))</f>
        <v/>
      </c>
      <c r="E102">
        <f>'Kermeli Data'!E109</f>
        <v/>
      </c>
      <c r="F102">
        <f>'Kermeli Data'!F109</f>
        <v/>
      </c>
      <c r="G102">
        <f>'Kermeli Data'!G109</f>
        <v/>
      </c>
      <c r="H102">
        <f>'Kermeli Data'!I109</f>
        <v/>
      </c>
      <c r="I102">
        <f>'Kermeli Data'!J109</f>
        <v/>
      </c>
      <c r="J102">
        <f>'Kermeli Data'!K109</f>
        <v/>
      </c>
      <c r="K102">
        <f>IFERROR(_xlfn.XLOOKUP(A102,'product map'!$A$14:$A$36,'product map'!$G$14:$G$36),"pending")</f>
        <v/>
      </c>
      <c r="L102">
        <f>H102*cpi!$B$12*cpi!$B$10</f>
        <v/>
      </c>
      <c r="M102">
        <f>J102*cpi!$B$12*cpi!$B$10</f>
        <v/>
      </c>
      <c r="N102">
        <f>IF(I102&gt;0,AL102/(1-(1+AL102)^-I102),"")</f>
        <v/>
      </c>
      <c r="O102">
        <f>L102*N102+M102</f>
        <v/>
      </c>
      <c r="P102">
        <f>MAX(F102,0)+MAX(G102,0)</f>
        <v/>
      </c>
      <c r="Q102">
        <f>IF(P102&gt;0,MAX(F102,0)/P102,0)</f>
        <v/>
      </c>
      <c r="R102">
        <f>IF(P102&gt;0,MAX(G102,0)/P102,0)</f>
        <v/>
      </c>
      <c r="S102">
        <f>IF(P102&gt;0,O102/P102,"")</f>
        <v/>
      </c>
      <c r="T102">
        <f>IF(P102&gt;0,S102/$AE$3,"")</f>
        <v/>
      </c>
      <c r="U102">
        <f>IF(AND(P102&gt;0,Q102&gt;0),T102,"")</f>
        <v/>
      </c>
      <c r="V102">
        <f>IF(AND(P102&gt;0,R102&gt;0),T102,"")</f>
        <v/>
      </c>
      <c r="W102">
        <f>IF(I102&gt;0,$AE$2/(1-(1+$AE$2)^-I102),"")</f>
        <v/>
      </c>
      <c r="X102">
        <f>L102*W102+M102</f>
        <v/>
      </c>
      <c r="Y102">
        <f>IF(P102&gt;0,(X102/P102)/$AE$3,"")</f>
        <v/>
      </c>
      <c r="Z102">
        <f>IF(AND(ISNUMBER(K102),Q102&gt;0),MAX(F102,0)*K102*1000000*E102,"pending")</f>
        <v/>
      </c>
      <c r="AA102">
        <f>IF(AND(ISNUMBER(K102),R102&gt;0),MAX(G102,0)*K102*1000000*E102,"pending")</f>
        <v/>
      </c>
      <c r="AB102">
        <f>IF(AND(ISNUMBER(S102),S102&lt;0),"NEG-CCE","")&amp;IF(NOT(ISNUMBER(K102)),"|pending tonnage","")</f>
        <v/>
      </c>
      <c r="AG102">
        <f>IFERROR(_xlfn.XLOOKUP(A102,'product map'!$A$14:$A$36,'product map'!$C$14:$C$36),"?")</f>
        <v/>
      </c>
      <c r="AH102">
        <f>IFERROR((Z102*0.000000947817)/_xlfn.XLOOKUP(AG102,'energy base (MECS)'!$K$4:$K$9,'energy base (MECS)'!$F$4:$F$9),0)</f>
        <v/>
      </c>
      <c r="AI102">
        <f>IFERROR((AA102*0.000000947817)/_xlfn.XLOOKUP(AG102,'energy base (MECS)'!$K$4:$K$9,'energy base (MECS)'!$I$4:$I$9),0)</f>
        <v/>
      </c>
      <c r="AJ102">
        <f>MAX(0.3*ABS(AK102),0.000001)</f>
        <v/>
      </c>
      <c r="AK102">
        <f>IF(ISNUMBER(T102),T102,0)</f>
        <v/>
      </c>
      <c r="AL102">
        <f>IFERROR(_xlfn.XLOOKUP(AG102,'BCoISC-WACCbI'!$C$2:$C$26,'BCoISC-WACCbI'!$B$2:$B$26)+$AE$4,0.1)</f>
        <v/>
      </c>
      <c r="AM102">
        <f>IF(P102&gt;0,L102/P102/0.947817,0)</f>
        <v/>
      </c>
      <c r="AN102">
        <f>IF(AND(P102&gt;0,ISNUMBER(K102)),L102*K102*1000000*E102,0)</f>
        <v/>
      </c>
    </row>
    <row r="103">
      <c r="A103">
        <f>'Kermeli Data'!A110</f>
        <v/>
      </c>
      <c r="B103">
        <f>'Kermeli Data'!B110</f>
        <v/>
      </c>
      <c r="C103">
        <f>'Kermeli Data'!P110</f>
        <v/>
      </c>
      <c r="D103">
        <f>IF(C103="2 whr","whr",IF(C103="3 proc","process","EXCLUDED"))</f>
        <v/>
      </c>
      <c r="E103">
        <f>'Kermeli Data'!E110</f>
        <v/>
      </c>
      <c r="F103">
        <f>'Kermeli Data'!F110</f>
        <v/>
      </c>
      <c r="G103">
        <f>'Kermeli Data'!G110</f>
        <v/>
      </c>
      <c r="H103">
        <f>'Kermeli Data'!I110</f>
        <v/>
      </c>
      <c r="I103">
        <f>'Kermeli Data'!J110</f>
        <v/>
      </c>
      <c r="J103">
        <f>'Kermeli Data'!K110</f>
        <v/>
      </c>
      <c r="K103">
        <f>IFERROR(_xlfn.XLOOKUP(A103,'product map'!$A$14:$A$36,'product map'!$G$14:$G$36),"pending")</f>
        <v/>
      </c>
      <c r="L103">
        <f>H103*cpi!$B$12*cpi!$B$10</f>
        <v/>
      </c>
      <c r="M103">
        <f>J103*cpi!$B$12*cpi!$B$10</f>
        <v/>
      </c>
      <c r="N103">
        <f>IF(I103&gt;0,AL103/(1-(1+AL103)^-I103),"")</f>
        <v/>
      </c>
      <c r="O103">
        <f>L103*N103+M103</f>
        <v/>
      </c>
      <c r="P103">
        <f>MAX(F103,0)+MAX(G103,0)</f>
        <v/>
      </c>
      <c r="Q103">
        <f>IF(P103&gt;0,MAX(F103,0)/P103,0)</f>
        <v/>
      </c>
      <c r="R103">
        <f>IF(P103&gt;0,MAX(G103,0)/P103,0)</f>
        <v/>
      </c>
      <c r="S103">
        <f>IF(P103&gt;0,O103/P103,"")</f>
        <v/>
      </c>
      <c r="T103">
        <f>IF(P103&gt;0,S103/$AE$3,"")</f>
        <v/>
      </c>
      <c r="U103">
        <f>IF(AND(P103&gt;0,Q103&gt;0),T103,"")</f>
        <v/>
      </c>
      <c r="V103">
        <f>IF(AND(P103&gt;0,R103&gt;0),T103,"")</f>
        <v/>
      </c>
      <c r="W103">
        <f>IF(I103&gt;0,$AE$2/(1-(1+$AE$2)^-I103),"")</f>
        <v/>
      </c>
      <c r="X103">
        <f>L103*W103+M103</f>
        <v/>
      </c>
      <c r="Y103">
        <f>IF(P103&gt;0,(X103/P103)/$AE$3,"")</f>
        <v/>
      </c>
      <c r="Z103">
        <f>IF(AND(ISNUMBER(K103),Q103&gt;0),MAX(F103,0)*K103*1000000*E103,"pending")</f>
        <v/>
      </c>
      <c r="AA103">
        <f>IF(AND(ISNUMBER(K103),R103&gt;0),MAX(G103,0)*K103*1000000*E103,"pending")</f>
        <v/>
      </c>
      <c r="AB103">
        <f>IF(AND(ISNUMBER(S103),S103&lt;0),"NEG-CCE","")&amp;IF(NOT(ISNUMBER(K103)),"|pending tonnage","")</f>
        <v/>
      </c>
      <c r="AG103">
        <f>IFERROR(_xlfn.XLOOKUP(A103,'product map'!$A$14:$A$36,'product map'!$C$14:$C$36),"?")</f>
        <v/>
      </c>
      <c r="AH103">
        <f>IFERROR((Z103*0.000000947817)/_xlfn.XLOOKUP(AG103,'energy base (MECS)'!$K$4:$K$9,'energy base (MECS)'!$F$4:$F$9),0)</f>
        <v/>
      </c>
      <c r="AI103">
        <f>IFERROR((AA103*0.000000947817)/_xlfn.XLOOKUP(AG103,'energy base (MECS)'!$K$4:$K$9,'energy base (MECS)'!$I$4:$I$9),0)</f>
        <v/>
      </c>
      <c r="AJ103">
        <f>MAX(0.3*ABS(AK103),0.000001)</f>
        <v/>
      </c>
      <c r="AK103">
        <f>IF(ISNUMBER(T103),T103,0)</f>
        <v/>
      </c>
      <c r="AL103">
        <f>IFERROR(_xlfn.XLOOKUP(AG103,'BCoISC-WACCbI'!$C$2:$C$26,'BCoISC-WACCbI'!$B$2:$B$26)+$AE$4,0.1)</f>
        <v/>
      </c>
      <c r="AM103">
        <f>IF(P103&gt;0,L103/P103/0.947817,0)</f>
        <v/>
      </c>
      <c r="AN103">
        <f>IF(AND(P103&gt;0,ISNUMBER(K103)),L103*K103*1000000*E103,0)</f>
        <v/>
      </c>
    </row>
    <row r="104">
      <c r="A104">
        <f>'Kermeli Data'!A111</f>
        <v/>
      </c>
      <c r="B104">
        <f>'Kermeli Data'!B111</f>
        <v/>
      </c>
      <c r="C104">
        <f>'Kermeli Data'!P111</f>
        <v/>
      </c>
      <c r="D104">
        <f>IF(C104="2 whr","whr",IF(C104="3 proc","process","EXCLUDED"))</f>
        <v/>
      </c>
      <c r="E104">
        <f>'Kermeli Data'!E111</f>
        <v/>
      </c>
      <c r="F104">
        <f>'Kermeli Data'!F111</f>
        <v/>
      </c>
      <c r="G104">
        <f>'Kermeli Data'!G111</f>
        <v/>
      </c>
      <c r="H104">
        <f>'Kermeli Data'!I111</f>
        <v/>
      </c>
      <c r="I104">
        <f>'Kermeli Data'!J111</f>
        <v/>
      </c>
      <c r="J104">
        <f>'Kermeli Data'!K111</f>
        <v/>
      </c>
      <c r="K104">
        <f>IFERROR(_xlfn.XLOOKUP(A104,'product map'!$A$14:$A$36,'product map'!$G$14:$G$36),"pending")</f>
        <v/>
      </c>
      <c r="L104">
        <f>H104*cpi!$B$12*cpi!$B$10</f>
        <v/>
      </c>
      <c r="M104">
        <f>J104*cpi!$B$12*cpi!$B$10</f>
        <v/>
      </c>
      <c r="N104">
        <f>IF(I104&gt;0,AL104/(1-(1+AL104)^-I104),"")</f>
        <v/>
      </c>
      <c r="O104">
        <f>L104*N104+M104</f>
        <v/>
      </c>
      <c r="P104">
        <f>MAX(F104,0)+MAX(G104,0)</f>
        <v/>
      </c>
      <c r="Q104">
        <f>IF(P104&gt;0,MAX(F104,0)/P104,0)</f>
        <v/>
      </c>
      <c r="R104">
        <f>IF(P104&gt;0,MAX(G104,0)/P104,0)</f>
        <v/>
      </c>
      <c r="S104">
        <f>IF(P104&gt;0,O104/P104,"")</f>
        <v/>
      </c>
      <c r="T104">
        <f>IF(P104&gt;0,S104/$AE$3,"")</f>
        <v/>
      </c>
      <c r="U104">
        <f>IF(AND(P104&gt;0,Q104&gt;0),T104,"")</f>
        <v/>
      </c>
      <c r="V104">
        <f>IF(AND(P104&gt;0,R104&gt;0),T104,"")</f>
        <v/>
      </c>
      <c r="W104">
        <f>IF(I104&gt;0,$AE$2/(1-(1+$AE$2)^-I104),"")</f>
        <v/>
      </c>
      <c r="X104">
        <f>L104*W104+M104</f>
        <v/>
      </c>
      <c r="Y104">
        <f>IF(P104&gt;0,(X104/P104)/$AE$3,"")</f>
        <v/>
      </c>
      <c r="Z104">
        <f>IF(AND(ISNUMBER(K104),Q104&gt;0),MAX(F104,0)*K104*1000000*E104,"pending")</f>
        <v/>
      </c>
      <c r="AA104">
        <f>IF(AND(ISNUMBER(K104),R104&gt;0),MAX(G104,0)*K104*1000000*E104,"pending")</f>
        <v/>
      </c>
      <c r="AB104">
        <f>IF(AND(ISNUMBER(S104),S104&lt;0),"NEG-CCE","")&amp;IF(NOT(ISNUMBER(K104)),"|pending tonnage","")</f>
        <v/>
      </c>
      <c r="AG104">
        <f>IFERROR(_xlfn.XLOOKUP(A104,'product map'!$A$14:$A$36,'product map'!$C$14:$C$36),"?")</f>
        <v/>
      </c>
      <c r="AH104">
        <f>IFERROR((Z104*0.000000947817)/_xlfn.XLOOKUP(AG104,'energy base (MECS)'!$K$4:$K$9,'energy base (MECS)'!$F$4:$F$9),0)</f>
        <v/>
      </c>
      <c r="AI104">
        <f>IFERROR((AA104*0.000000947817)/_xlfn.XLOOKUP(AG104,'energy base (MECS)'!$K$4:$K$9,'energy base (MECS)'!$I$4:$I$9),0)</f>
        <v/>
      </c>
      <c r="AJ104">
        <f>MAX(0.3*ABS(AK104),0.000001)</f>
        <v/>
      </c>
      <c r="AK104">
        <f>IF(ISNUMBER(T104),T104,0)</f>
        <v/>
      </c>
      <c r="AL104">
        <f>IFERROR(_xlfn.XLOOKUP(AG104,'BCoISC-WACCbI'!$C$2:$C$26,'BCoISC-WACCbI'!$B$2:$B$26)+$AE$4,0.1)</f>
        <v/>
      </c>
      <c r="AM104">
        <f>IF(P104&gt;0,L104/P104/0.947817,0)</f>
        <v/>
      </c>
      <c r="AN104">
        <f>IF(AND(P104&gt;0,ISNUMBER(K104)),L104*K104*1000000*E104,0)</f>
        <v/>
      </c>
    </row>
    <row r="105">
      <c r="A105">
        <f>'Kermeli Data'!A112</f>
        <v/>
      </c>
      <c r="B105">
        <f>'Kermeli Data'!B112</f>
        <v/>
      </c>
      <c r="C105">
        <f>'Kermeli Data'!P112</f>
        <v/>
      </c>
      <c r="D105">
        <f>IF(C105="2 whr","whr",IF(C105="3 proc","process","EXCLUDED"))</f>
        <v/>
      </c>
      <c r="E105">
        <f>'Kermeli Data'!E112</f>
        <v/>
      </c>
      <c r="F105">
        <f>'Kermeli Data'!F112</f>
        <v/>
      </c>
      <c r="G105">
        <f>'Kermeli Data'!G112</f>
        <v/>
      </c>
      <c r="H105">
        <f>'Kermeli Data'!I112</f>
        <v/>
      </c>
      <c r="I105">
        <f>'Kermeli Data'!J112</f>
        <v/>
      </c>
      <c r="J105">
        <f>'Kermeli Data'!K112</f>
        <v/>
      </c>
      <c r="K105">
        <f>IFERROR(_xlfn.XLOOKUP(A105,'product map'!$A$14:$A$36,'product map'!$G$14:$G$36),"pending")</f>
        <v/>
      </c>
      <c r="L105">
        <f>H105*cpi!$B$12*cpi!$B$10</f>
        <v/>
      </c>
      <c r="M105">
        <f>J105*cpi!$B$12*cpi!$B$10</f>
        <v/>
      </c>
      <c r="N105">
        <f>IF(I105&gt;0,AL105/(1-(1+AL105)^-I105),"")</f>
        <v/>
      </c>
      <c r="O105">
        <f>L105*N105+M105</f>
        <v/>
      </c>
      <c r="P105">
        <f>MAX(F105,0)+MAX(G105,0)</f>
        <v/>
      </c>
      <c r="Q105">
        <f>IF(P105&gt;0,MAX(F105,0)/P105,0)</f>
        <v/>
      </c>
      <c r="R105">
        <f>IF(P105&gt;0,MAX(G105,0)/P105,0)</f>
        <v/>
      </c>
      <c r="S105">
        <f>IF(P105&gt;0,O105/P105,"")</f>
        <v/>
      </c>
      <c r="T105">
        <f>IF(P105&gt;0,S105/$AE$3,"")</f>
        <v/>
      </c>
      <c r="U105">
        <f>IF(AND(P105&gt;0,Q105&gt;0),T105,"")</f>
        <v/>
      </c>
      <c r="V105">
        <f>IF(AND(P105&gt;0,R105&gt;0),T105,"")</f>
        <v/>
      </c>
      <c r="W105">
        <f>IF(I105&gt;0,$AE$2/(1-(1+$AE$2)^-I105),"")</f>
        <v/>
      </c>
      <c r="X105">
        <f>L105*W105+M105</f>
        <v/>
      </c>
      <c r="Y105">
        <f>IF(P105&gt;0,(X105/P105)/$AE$3,"")</f>
        <v/>
      </c>
      <c r="Z105">
        <f>IF(AND(ISNUMBER(K105),Q105&gt;0),MAX(F105,0)*K105*1000000*E105,"pending")</f>
        <v/>
      </c>
      <c r="AA105">
        <f>IF(AND(ISNUMBER(K105),R105&gt;0),MAX(G105,0)*K105*1000000*E105,"pending")</f>
        <v/>
      </c>
      <c r="AB105">
        <f>IF(AND(ISNUMBER(S105),S105&lt;0),"NEG-CCE","")&amp;IF(NOT(ISNUMBER(K105)),"|pending tonnage","")</f>
        <v/>
      </c>
      <c r="AG105">
        <f>IFERROR(_xlfn.XLOOKUP(A105,'product map'!$A$14:$A$36,'product map'!$C$14:$C$36),"?")</f>
        <v/>
      </c>
      <c r="AH105">
        <f>IFERROR((Z105*0.000000947817)/_xlfn.XLOOKUP(AG105,'energy base (MECS)'!$K$4:$K$9,'energy base (MECS)'!$F$4:$F$9),0)</f>
        <v/>
      </c>
      <c r="AI105">
        <f>IFERROR((AA105*0.000000947817)/_xlfn.XLOOKUP(AG105,'energy base (MECS)'!$K$4:$K$9,'energy base (MECS)'!$I$4:$I$9),0)</f>
        <v/>
      </c>
      <c r="AJ105">
        <f>MAX(0.3*ABS(AK105),0.000001)</f>
        <v/>
      </c>
      <c r="AK105">
        <f>IF(ISNUMBER(T105),T105,0)</f>
        <v/>
      </c>
      <c r="AL105">
        <f>IFERROR(_xlfn.XLOOKUP(AG105,'BCoISC-WACCbI'!$C$2:$C$26,'BCoISC-WACCbI'!$B$2:$B$26)+$AE$4,0.1)</f>
        <v/>
      </c>
      <c r="AM105">
        <f>IF(P105&gt;0,L105/P105/0.947817,0)</f>
        <v/>
      </c>
      <c r="AN105">
        <f>IF(AND(P105&gt;0,ISNUMBER(K105)),L105*K105*1000000*E105,0)</f>
        <v/>
      </c>
    </row>
    <row r="106">
      <c r="A106">
        <f>'Kermeli Data'!A113</f>
        <v/>
      </c>
      <c r="B106">
        <f>'Kermeli Data'!B113</f>
        <v/>
      </c>
      <c r="C106">
        <f>'Kermeli Data'!P113</f>
        <v/>
      </c>
      <c r="D106">
        <f>IF(C106="2 whr","whr",IF(C106="3 proc","process","EXCLUDED"))</f>
        <v/>
      </c>
      <c r="E106">
        <f>'Kermeli Data'!E113</f>
        <v/>
      </c>
      <c r="F106">
        <f>'Kermeli Data'!F113</f>
        <v/>
      </c>
      <c r="G106">
        <f>'Kermeli Data'!G113</f>
        <v/>
      </c>
      <c r="H106">
        <f>'Kermeli Data'!I113</f>
        <v/>
      </c>
      <c r="I106">
        <f>'Kermeli Data'!J113</f>
        <v/>
      </c>
      <c r="J106">
        <f>'Kermeli Data'!K113</f>
        <v/>
      </c>
      <c r="K106">
        <f>IFERROR(_xlfn.XLOOKUP(A106,'product map'!$A$14:$A$36,'product map'!$G$14:$G$36),"pending")</f>
        <v/>
      </c>
      <c r="L106">
        <f>H106*cpi!$B$12*cpi!$B$10</f>
        <v/>
      </c>
      <c r="M106">
        <f>J106*cpi!$B$12*cpi!$B$10</f>
        <v/>
      </c>
      <c r="N106">
        <f>IF(I106&gt;0,AL106/(1-(1+AL106)^-I106),"")</f>
        <v/>
      </c>
      <c r="O106">
        <f>L106*N106+M106</f>
        <v/>
      </c>
      <c r="P106">
        <f>MAX(F106,0)+MAX(G106,0)</f>
        <v/>
      </c>
      <c r="Q106">
        <f>IF(P106&gt;0,MAX(F106,0)/P106,0)</f>
        <v/>
      </c>
      <c r="R106">
        <f>IF(P106&gt;0,MAX(G106,0)/P106,0)</f>
        <v/>
      </c>
      <c r="S106">
        <f>IF(P106&gt;0,O106/P106,"")</f>
        <v/>
      </c>
      <c r="T106">
        <f>IF(P106&gt;0,S106/$AE$3,"")</f>
        <v/>
      </c>
      <c r="U106">
        <f>IF(AND(P106&gt;0,Q106&gt;0),T106,"")</f>
        <v/>
      </c>
      <c r="V106">
        <f>IF(AND(P106&gt;0,R106&gt;0),T106,"")</f>
        <v/>
      </c>
      <c r="W106">
        <f>IF(I106&gt;0,$AE$2/(1-(1+$AE$2)^-I106),"")</f>
        <v/>
      </c>
      <c r="X106">
        <f>L106*W106+M106</f>
        <v/>
      </c>
      <c r="Y106">
        <f>IF(P106&gt;0,(X106/P106)/$AE$3,"")</f>
        <v/>
      </c>
      <c r="Z106">
        <f>IF(AND(ISNUMBER(K106),Q106&gt;0),MAX(F106,0)*K106*1000000*E106,"pending")</f>
        <v/>
      </c>
      <c r="AA106">
        <f>IF(AND(ISNUMBER(K106),R106&gt;0),MAX(G106,0)*K106*1000000*E106,"pending")</f>
        <v/>
      </c>
      <c r="AB106">
        <f>IF(AND(ISNUMBER(S106),S106&lt;0),"NEG-CCE","")&amp;IF(NOT(ISNUMBER(K106)),"|pending tonnage","")</f>
        <v/>
      </c>
      <c r="AG106">
        <f>IFERROR(_xlfn.XLOOKUP(A106,'product map'!$A$14:$A$36,'product map'!$C$14:$C$36),"?")</f>
        <v/>
      </c>
      <c r="AH106">
        <f>IFERROR((Z106*0.000000947817)/_xlfn.XLOOKUP(AG106,'energy base (MECS)'!$K$4:$K$9,'energy base (MECS)'!$F$4:$F$9),0)</f>
        <v/>
      </c>
      <c r="AI106">
        <f>IFERROR((AA106*0.000000947817)/_xlfn.XLOOKUP(AG106,'energy base (MECS)'!$K$4:$K$9,'energy base (MECS)'!$I$4:$I$9),0)</f>
        <v/>
      </c>
      <c r="AJ106">
        <f>MAX(0.3*ABS(AK106),0.000001)</f>
        <v/>
      </c>
      <c r="AK106">
        <f>IF(ISNUMBER(T106),T106,0)</f>
        <v/>
      </c>
      <c r="AL106">
        <f>IFERROR(_xlfn.XLOOKUP(AG106,'BCoISC-WACCbI'!$C$2:$C$26,'BCoISC-WACCbI'!$B$2:$B$26)+$AE$4,0.1)</f>
        <v/>
      </c>
      <c r="AM106">
        <f>IF(P106&gt;0,L106/P106/0.947817,0)</f>
        <v/>
      </c>
      <c r="AN106">
        <f>IF(AND(P106&gt;0,ISNUMBER(K106)),L106*K106*1000000*E106,0)</f>
        <v/>
      </c>
    </row>
    <row r="107">
      <c r="A107">
        <f>'Kermeli Data'!A114</f>
        <v/>
      </c>
      <c r="B107">
        <f>'Kermeli Data'!B114</f>
        <v/>
      </c>
      <c r="C107">
        <f>'Kermeli Data'!P114</f>
        <v/>
      </c>
      <c r="D107">
        <f>IF(C107="2 whr","whr",IF(C107="3 proc","process","EXCLUDED"))</f>
        <v/>
      </c>
      <c r="E107">
        <f>'Kermeli Data'!E114</f>
        <v/>
      </c>
      <c r="F107">
        <f>'Kermeli Data'!F114</f>
        <v/>
      </c>
      <c r="G107">
        <f>'Kermeli Data'!G114</f>
        <v/>
      </c>
      <c r="H107">
        <f>'Kermeli Data'!I114</f>
        <v/>
      </c>
      <c r="I107">
        <f>'Kermeli Data'!J114</f>
        <v/>
      </c>
      <c r="J107">
        <f>'Kermeli Data'!K114</f>
        <v/>
      </c>
      <c r="K107">
        <f>IFERROR(_xlfn.XLOOKUP(A107,'product map'!$A$14:$A$36,'product map'!$G$14:$G$36),"pending")</f>
        <v/>
      </c>
      <c r="L107">
        <f>H107*cpi!$B$12*cpi!$B$10</f>
        <v/>
      </c>
      <c r="M107">
        <f>J107*cpi!$B$12*cpi!$B$10</f>
        <v/>
      </c>
      <c r="N107">
        <f>IF(I107&gt;0,AL107/(1-(1+AL107)^-I107),"")</f>
        <v/>
      </c>
      <c r="O107">
        <f>L107*N107+M107</f>
        <v/>
      </c>
      <c r="P107">
        <f>MAX(F107,0)+MAX(G107,0)</f>
        <v/>
      </c>
      <c r="Q107">
        <f>IF(P107&gt;0,MAX(F107,0)/P107,0)</f>
        <v/>
      </c>
      <c r="R107">
        <f>IF(P107&gt;0,MAX(G107,0)/P107,0)</f>
        <v/>
      </c>
      <c r="S107">
        <f>IF(P107&gt;0,O107/P107,"")</f>
        <v/>
      </c>
      <c r="T107">
        <f>IF(P107&gt;0,S107/$AE$3,"")</f>
        <v/>
      </c>
      <c r="U107">
        <f>IF(AND(P107&gt;0,Q107&gt;0),T107,"")</f>
        <v/>
      </c>
      <c r="V107">
        <f>IF(AND(P107&gt;0,R107&gt;0),T107,"")</f>
        <v/>
      </c>
      <c r="W107">
        <f>IF(I107&gt;0,$AE$2/(1-(1+$AE$2)^-I107),"")</f>
        <v/>
      </c>
      <c r="X107">
        <f>L107*W107+M107</f>
        <v/>
      </c>
      <c r="Y107">
        <f>IF(P107&gt;0,(X107/P107)/$AE$3,"")</f>
        <v/>
      </c>
      <c r="Z107">
        <f>IF(AND(ISNUMBER(K107),Q107&gt;0),MAX(F107,0)*K107*1000000*E107,"pending")</f>
        <v/>
      </c>
      <c r="AA107">
        <f>IF(AND(ISNUMBER(K107),R107&gt;0),MAX(G107,0)*K107*1000000*E107,"pending")</f>
        <v/>
      </c>
      <c r="AB107">
        <f>IF(AND(ISNUMBER(S107),S107&lt;0),"NEG-CCE","")&amp;IF(NOT(ISNUMBER(K107)),"|pending tonnage","")</f>
        <v/>
      </c>
      <c r="AG107">
        <f>IFERROR(_xlfn.XLOOKUP(A107,'product map'!$A$14:$A$36,'product map'!$C$14:$C$36),"?")</f>
        <v/>
      </c>
      <c r="AH107">
        <f>IFERROR((Z107*0.000000947817)/_xlfn.XLOOKUP(AG107,'energy base (MECS)'!$K$4:$K$9,'energy base (MECS)'!$F$4:$F$9),0)</f>
        <v/>
      </c>
      <c r="AI107">
        <f>IFERROR((AA107*0.000000947817)/_xlfn.XLOOKUP(AG107,'energy base (MECS)'!$K$4:$K$9,'energy base (MECS)'!$I$4:$I$9),0)</f>
        <v/>
      </c>
      <c r="AJ107">
        <f>MAX(0.3*ABS(AK107),0.000001)</f>
        <v/>
      </c>
      <c r="AK107">
        <f>IF(ISNUMBER(T107),T107,0)</f>
        <v/>
      </c>
      <c r="AL107">
        <f>IFERROR(_xlfn.XLOOKUP(AG107,'BCoISC-WACCbI'!$C$2:$C$26,'BCoISC-WACCbI'!$B$2:$B$26)+$AE$4,0.1)</f>
        <v/>
      </c>
      <c r="AM107">
        <f>IF(P107&gt;0,L107/P107/0.947817,0)</f>
        <v/>
      </c>
      <c r="AN107">
        <f>IF(AND(P107&gt;0,ISNUMBER(K107)),L107*K107*1000000*E107,0)</f>
        <v/>
      </c>
    </row>
    <row r="108">
      <c r="A108">
        <f>'Kermeli Data'!A115</f>
        <v/>
      </c>
      <c r="B108">
        <f>'Kermeli Data'!B115</f>
        <v/>
      </c>
      <c r="C108">
        <f>'Kermeli Data'!P115</f>
        <v/>
      </c>
      <c r="D108">
        <f>IF(C108="2 whr","whr",IF(C108="3 proc","process","EXCLUDED"))</f>
        <v/>
      </c>
      <c r="E108">
        <f>'Kermeli Data'!E115</f>
        <v/>
      </c>
      <c r="F108">
        <f>'Kermeli Data'!F115</f>
        <v/>
      </c>
      <c r="G108">
        <f>'Kermeli Data'!G115</f>
        <v/>
      </c>
      <c r="H108">
        <f>'Kermeli Data'!I115</f>
        <v/>
      </c>
      <c r="I108">
        <f>'Kermeli Data'!J115</f>
        <v/>
      </c>
      <c r="J108">
        <f>'Kermeli Data'!K115</f>
        <v/>
      </c>
      <c r="K108">
        <f>IFERROR(_xlfn.XLOOKUP(A108,'product map'!$A$14:$A$36,'product map'!$G$14:$G$36),"pending")</f>
        <v/>
      </c>
      <c r="L108">
        <f>H108*cpi!$B$12*cpi!$B$10</f>
        <v/>
      </c>
      <c r="M108">
        <f>J108*cpi!$B$12*cpi!$B$10</f>
        <v/>
      </c>
      <c r="N108">
        <f>IF(I108&gt;0,AL108/(1-(1+AL108)^-I108),"")</f>
        <v/>
      </c>
      <c r="O108">
        <f>L108*N108+M108</f>
        <v/>
      </c>
      <c r="P108">
        <f>MAX(F108,0)+MAX(G108,0)</f>
        <v/>
      </c>
      <c r="Q108">
        <f>IF(P108&gt;0,MAX(F108,0)/P108,0)</f>
        <v/>
      </c>
      <c r="R108">
        <f>IF(P108&gt;0,MAX(G108,0)/P108,0)</f>
        <v/>
      </c>
      <c r="S108">
        <f>IF(P108&gt;0,O108/P108,"")</f>
        <v/>
      </c>
      <c r="T108">
        <f>IF(P108&gt;0,S108/$AE$3,"")</f>
        <v/>
      </c>
      <c r="U108">
        <f>IF(AND(P108&gt;0,Q108&gt;0),T108,"")</f>
        <v/>
      </c>
      <c r="V108">
        <f>IF(AND(P108&gt;0,R108&gt;0),T108,"")</f>
        <v/>
      </c>
      <c r="W108">
        <f>IF(I108&gt;0,$AE$2/(1-(1+$AE$2)^-I108),"")</f>
        <v/>
      </c>
      <c r="X108">
        <f>L108*W108+M108</f>
        <v/>
      </c>
      <c r="Y108">
        <f>IF(P108&gt;0,(X108/P108)/$AE$3,"")</f>
        <v/>
      </c>
      <c r="Z108">
        <f>IF(AND(ISNUMBER(K108),Q108&gt;0),MAX(F108,0)*K108*1000000*E108,"pending")</f>
        <v/>
      </c>
      <c r="AA108">
        <f>IF(AND(ISNUMBER(K108),R108&gt;0),MAX(G108,0)*K108*1000000*E108,"pending")</f>
        <v/>
      </c>
      <c r="AB108">
        <f>IF(AND(ISNUMBER(S108),S108&lt;0),"NEG-CCE","")&amp;IF(NOT(ISNUMBER(K108)),"|pending tonnage","")</f>
        <v/>
      </c>
      <c r="AG108">
        <f>IFERROR(_xlfn.XLOOKUP(A108,'product map'!$A$14:$A$36,'product map'!$C$14:$C$36),"?")</f>
        <v/>
      </c>
      <c r="AH108">
        <f>IFERROR((Z108*0.000000947817)/_xlfn.XLOOKUP(AG108,'energy base (MECS)'!$K$4:$K$9,'energy base (MECS)'!$F$4:$F$9),0)</f>
        <v/>
      </c>
      <c r="AI108">
        <f>IFERROR((AA108*0.000000947817)/_xlfn.XLOOKUP(AG108,'energy base (MECS)'!$K$4:$K$9,'energy base (MECS)'!$I$4:$I$9),0)</f>
        <v/>
      </c>
      <c r="AJ108">
        <f>MAX(0.3*ABS(AK108),0.000001)</f>
        <v/>
      </c>
      <c r="AK108">
        <f>IF(ISNUMBER(T108),T108,0)</f>
        <v/>
      </c>
      <c r="AL108">
        <f>IFERROR(_xlfn.XLOOKUP(AG108,'BCoISC-WACCbI'!$C$2:$C$26,'BCoISC-WACCbI'!$B$2:$B$26)+$AE$4,0.1)</f>
        <v/>
      </c>
      <c r="AM108">
        <f>IF(P108&gt;0,L108/P108/0.947817,0)</f>
        <v/>
      </c>
      <c r="AN108">
        <f>IF(AND(P108&gt;0,ISNUMBER(K108)),L108*K108*1000000*E108,0)</f>
        <v/>
      </c>
    </row>
    <row r="109">
      <c r="A109">
        <f>'Kermeli Data'!A116</f>
        <v/>
      </c>
      <c r="B109">
        <f>'Kermeli Data'!B116</f>
        <v/>
      </c>
      <c r="C109">
        <f>'Kermeli Data'!P116</f>
        <v/>
      </c>
      <c r="D109">
        <f>IF(C109="2 whr","whr",IF(C109="3 proc","process","EXCLUDED"))</f>
        <v/>
      </c>
      <c r="E109">
        <f>'Kermeli Data'!E116</f>
        <v/>
      </c>
      <c r="F109">
        <f>'Kermeli Data'!F116</f>
        <v/>
      </c>
      <c r="G109">
        <f>'Kermeli Data'!G116</f>
        <v/>
      </c>
      <c r="H109">
        <f>'Kermeli Data'!I116</f>
        <v/>
      </c>
      <c r="I109">
        <f>'Kermeli Data'!J116</f>
        <v/>
      </c>
      <c r="J109">
        <f>'Kermeli Data'!K116</f>
        <v/>
      </c>
      <c r="K109">
        <f>IFERROR(_xlfn.XLOOKUP(A109,'product map'!$A$14:$A$36,'product map'!$G$14:$G$36),"pending")</f>
        <v/>
      </c>
      <c r="L109">
        <f>H109*cpi!$B$12*cpi!$B$10</f>
        <v/>
      </c>
      <c r="M109">
        <f>J109*cpi!$B$12*cpi!$B$10</f>
        <v/>
      </c>
      <c r="N109">
        <f>IF(I109&gt;0,AL109/(1-(1+AL109)^-I109),"")</f>
        <v/>
      </c>
      <c r="O109">
        <f>L109*N109+M109</f>
        <v/>
      </c>
      <c r="P109">
        <f>MAX(F109,0)+MAX(G109,0)</f>
        <v/>
      </c>
      <c r="Q109">
        <f>IF(P109&gt;0,MAX(F109,0)/P109,0)</f>
        <v/>
      </c>
      <c r="R109">
        <f>IF(P109&gt;0,MAX(G109,0)/P109,0)</f>
        <v/>
      </c>
      <c r="S109">
        <f>IF(P109&gt;0,O109/P109,"")</f>
        <v/>
      </c>
      <c r="T109">
        <f>IF(P109&gt;0,S109/$AE$3,"")</f>
        <v/>
      </c>
      <c r="U109">
        <f>IF(AND(P109&gt;0,Q109&gt;0),T109,"")</f>
        <v/>
      </c>
      <c r="V109">
        <f>IF(AND(P109&gt;0,R109&gt;0),T109,"")</f>
        <v/>
      </c>
      <c r="W109">
        <f>IF(I109&gt;0,$AE$2/(1-(1+$AE$2)^-I109),"")</f>
        <v/>
      </c>
      <c r="X109">
        <f>L109*W109+M109</f>
        <v/>
      </c>
      <c r="Y109">
        <f>IF(P109&gt;0,(X109/P109)/$AE$3,"")</f>
        <v/>
      </c>
      <c r="Z109">
        <f>IF(AND(ISNUMBER(K109),Q109&gt;0),MAX(F109,0)*K109*1000000*E109,"pending")</f>
        <v/>
      </c>
      <c r="AA109">
        <f>IF(AND(ISNUMBER(K109),R109&gt;0),MAX(G109,0)*K109*1000000*E109,"pending")</f>
        <v/>
      </c>
      <c r="AB109">
        <f>IF(AND(ISNUMBER(S109),S109&lt;0),"NEG-CCE","")&amp;IF(NOT(ISNUMBER(K109)),"|pending tonnage","")</f>
        <v/>
      </c>
      <c r="AG109">
        <f>IFERROR(_xlfn.XLOOKUP(A109,'product map'!$A$14:$A$36,'product map'!$C$14:$C$36),"?")</f>
        <v/>
      </c>
      <c r="AH109">
        <f>IFERROR((Z109*0.000000947817)/_xlfn.XLOOKUP(AG109,'energy base (MECS)'!$K$4:$K$9,'energy base (MECS)'!$F$4:$F$9),0)</f>
        <v/>
      </c>
      <c r="AI109">
        <f>IFERROR((AA109*0.000000947817)/_xlfn.XLOOKUP(AG109,'energy base (MECS)'!$K$4:$K$9,'energy base (MECS)'!$I$4:$I$9),0)</f>
        <v/>
      </c>
      <c r="AJ109">
        <f>MAX(0.3*ABS(AK109),0.000001)</f>
        <v/>
      </c>
      <c r="AK109">
        <f>IF(ISNUMBER(T109),T109,0)</f>
        <v/>
      </c>
      <c r="AL109">
        <f>IFERROR(_xlfn.XLOOKUP(AG109,'BCoISC-WACCbI'!$C$2:$C$26,'BCoISC-WACCbI'!$B$2:$B$26)+$AE$4,0.1)</f>
        <v/>
      </c>
      <c r="AM109">
        <f>IF(P109&gt;0,L109/P109/0.947817,0)</f>
        <v/>
      </c>
      <c r="AN109">
        <f>IF(AND(P109&gt;0,ISNUMBER(K109)),L109*K109*1000000*E109,0)</f>
        <v/>
      </c>
    </row>
    <row r="110">
      <c r="A110">
        <f>'Kermeli Data'!A117</f>
        <v/>
      </c>
      <c r="B110">
        <f>'Kermeli Data'!B117</f>
        <v/>
      </c>
      <c r="C110">
        <f>'Kermeli Data'!P117</f>
        <v/>
      </c>
      <c r="D110">
        <f>IF(C110="2 whr","whr",IF(C110="3 proc","process","EXCLUDED"))</f>
        <v/>
      </c>
      <c r="E110">
        <f>'Kermeli Data'!E117</f>
        <v/>
      </c>
      <c r="F110">
        <f>'Kermeli Data'!F117</f>
        <v/>
      </c>
      <c r="G110">
        <f>'Kermeli Data'!G117</f>
        <v/>
      </c>
      <c r="H110">
        <f>'Kermeli Data'!I117</f>
        <v/>
      </c>
      <c r="I110">
        <f>'Kermeli Data'!J117</f>
        <v/>
      </c>
      <c r="J110">
        <f>'Kermeli Data'!K117</f>
        <v/>
      </c>
      <c r="K110">
        <f>IFERROR(_xlfn.XLOOKUP(A110,'product map'!$A$14:$A$36,'product map'!$G$14:$G$36),"pending")</f>
        <v/>
      </c>
      <c r="L110">
        <f>H110*cpi!$B$12*cpi!$B$10</f>
        <v/>
      </c>
      <c r="M110">
        <f>J110*cpi!$B$12*cpi!$B$10</f>
        <v/>
      </c>
      <c r="N110">
        <f>IF(I110&gt;0,AL110/(1-(1+AL110)^-I110),"")</f>
        <v/>
      </c>
      <c r="O110">
        <f>L110*N110+M110</f>
        <v/>
      </c>
      <c r="P110">
        <f>MAX(F110,0)+MAX(G110,0)</f>
        <v/>
      </c>
      <c r="Q110">
        <f>IF(P110&gt;0,MAX(F110,0)/P110,0)</f>
        <v/>
      </c>
      <c r="R110">
        <f>IF(P110&gt;0,MAX(G110,0)/P110,0)</f>
        <v/>
      </c>
      <c r="S110">
        <f>IF(P110&gt;0,O110/P110,"")</f>
        <v/>
      </c>
      <c r="T110">
        <f>IF(P110&gt;0,S110/$AE$3,"")</f>
        <v/>
      </c>
      <c r="U110">
        <f>IF(AND(P110&gt;0,Q110&gt;0),T110,"")</f>
        <v/>
      </c>
      <c r="V110">
        <f>IF(AND(P110&gt;0,R110&gt;0),T110,"")</f>
        <v/>
      </c>
      <c r="W110">
        <f>IF(I110&gt;0,$AE$2/(1-(1+$AE$2)^-I110),"")</f>
        <v/>
      </c>
      <c r="X110">
        <f>L110*W110+M110</f>
        <v/>
      </c>
      <c r="Y110">
        <f>IF(P110&gt;0,(X110/P110)/$AE$3,"")</f>
        <v/>
      </c>
      <c r="Z110">
        <f>IF(AND(ISNUMBER(K110),Q110&gt;0),MAX(F110,0)*K110*1000000*E110,"pending")</f>
        <v/>
      </c>
      <c r="AA110">
        <f>IF(AND(ISNUMBER(K110),R110&gt;0),MAX(G110,0)*K110*1000000*E110,"pending")</f>
        <v/>
      </c>
      <c r="AB110">
        <f>IF(AND(ISNUMBER(S110),S110&lt;0),"NEG-CCE","")&amp;IF(NOT(ISNUMBER(K110)),"|pending tonnage","")</f>
        <v/>
      </c>
      <c r="AG110">
        <f>IFERROR(_xlfn.XLOOKUP(A110,'product map'!$A$14:$A$36,'product map'!$C$14:$C$36),"?")</f>
        <v/>
      </c>
      <c r="AH110">
        <f>IFERROR((Z110*0.000000947817)/_xlfn.XLOOKUP(AG110,'energy base (MECS)'!$K$4:$K$9,'energy base (MECS)'!$F$4:$F$9),0)</f>
        <v/>
      </c>
      <c r="AI110">
        <f>IFERROR((AA110*0.000000947817)/_xlfn.XLOOKUP(AG110,'energy base (MECS)'!$K$4:$K$9,'energy base (MECS)'!$I$4:$I$9),0)</f>
        <v/>
      </c>
      <c r="AJ110">
        <f>MAX(0.3*ABS(AK110),0.000001)</f>
        <v/>
      </c>
      <c r="AK110">
        <f>IF(ISNUMBER(T110),T110,0)</f>
        <v/>
      </c>
      <c r="AL110">
        <f>IFERROR(_xlfn.XLOOKUP(AG110,'BCoISC-WACCbI'!$C$2:$C$26,'BCoISC-WACCbI'!$B$2:$B$26)+$AE$4,0.1)</f>
        <v/>
      </c>
      <c r="AM110">
        <f>IF(P110&gt;0,L110/P110/0.947817,0)</f>
        <v/>
      </c>
      <c r="AN110">
        <f>IF(AND(P110&gt;0,ISNUMBER(K110)),L110*K110*1000000*E110,0)</f>
        <v/>
      </c>
    </row>
    <row r="111">
      <c r="A111">
        <f>'Kermeli Data'!A118</f>
        <v/>
      </c>
      <c r="B111">
        <f>'Kermeli Data'!B118</f>
        <v/>
      </c>
      <c r="C111">
        <f>'Kermeli Data'!P118</f>
        <v/>
      </c>
      <c r="D111">
        <f>IF(C111="2 whr","whr",IF(C111="3 proc","process","EXCLUDED"))</f>
        <v/>
      </c>
      <c r="E111">
        <f>'Kermeli Data'!E118</f>
        <v/>
      </c>
      <c r="F111">
        <f>'Kermeli Data'!F118</f>
        <v/>
      </c>
      <c r="G111">
        <f>'Kermeli Data'!G118</f>
        <v/>
      </c>
      <c r="H111">
        <f>'Kermeli Data'!I118</f>
        <v/>
      </c>
      <c r="I111">
        <f>'Kermeli Data'!J118</f>
        <v/>
      </c>
      <c r="J111">
        <f>'Kermeli Data'!K118</f>
        <v/>
      </c>
      <c r="K111">
        <f>IFERROR(_xlfn.XLOOKUP(A111,'product map'!$A$14:$A$36,'product map'!$G$14:$G$36),"pending")</f>
        <v/>
      </c>
      <c r="L111">
        <f>H111*cpi!$B$12*cpi!$B$10</f>
        <v/>
      </c>
      <c r="M111">
        <f>J111*cpi!$B$12*cpi!$B$10</f>
        <v/>
      </c>
      <c r="N111">
        <f>IF(I111&gt;0,AL111/(1-(1+AL111)^-I111),"")</f>
        <v/>
      </c>
      <c r="O111">
        <f>L111*N111+M111</f>
        <v/>
      </c>
      <c r="P111">
        <f>MAX(F111,0)+MAX(G111,0)</f>
        <v/>
      </c>
      <c r="Q111">
        <f>IF(P111&gt;0,MAX(F111,0)/P111,0)</f>
        <v/>
      </c>
      <c r="R111">
        <f>IF(P111&gt;0,MAX(G111,0)/P111,0)</f>
        <v/>
      </c>
      <c r="S111">
        <f>IF(P111&gt;0,O111/P111,"")</f>
        <v/>
      </c>
      <c r="T111">
        <f>IF(P111&gt;0,S111/$AE$3,"")</f>
        <v/>
      </c>
      <c r="U111">
        <f>IF(AND(P111&gt;0,Q111&gt;0),T111,"")</f>
        <v/>
      </c>
      <c r="V111">
        <f>IF(AND(P111&gt;0,R111&gt;0),T111,"")</f>
        <v/>
      </c>
      <c r="W111">
        <f>IF(I111&gt;0,$AE$2/(1-(1+$AE$2)^-I111),"")</f>
        <v/>
      </c>
      <c r="X111">
        <f>L111*W111+M111</f>
        <v/>
      </c>
      <c r="Y111">
        <f>IF(P111&gt;0,(X111/P111)/$AE$3,"")</f>
        <v/>
      </c>
      <c r="Z111">
        <f>IF(AND(ISNUMBER(K111),Q111&gt;0),MAX(F111,0)*K111*1000000*E111,"pending")</f>
        <v/>
      </c>
      <c r="AA111">
        <f>IF(AND(ISNUMBER(K111),R111&gt;0),MAX(G111,0)*K111*1000000*E111,"pending")</f>
        <v/>
      </c>
      <c r="AB111">
        <f>IF(AND(ISNUMBER(S111),S111&lt;0),"NEG-CCE","")&amp;IF(NOT(ISNUMBER(K111)),"|pending tonnage","")</f>
        <v/>
      </c>
      <c r="AG111">
        <f>IFERROR(_xlfn.XLOOKUP(A111,'product map'!$A$14:$A$36,'product map'!$C$14:$C$36),"?")</f>
        <v/>
      </c>
      <c r="AH111">
        <f>IFERROR((Z111*0.000000947817)/_xlfn.XLOOKUP(AG111,'energy base (MECS)'!$K$4:$K$9,'energy base (MECS)'!$F$4:$F$9),0)</f>
        <v/>
      </c>
      <c r="AI111">
        <f>IFERROR((AA111*0.000000947817)/_xlfn.XLOOKUP(AG111,'energy base (MECS)'!$K$4:$K$9,'energy base (MECS)'!$I$4:$I$9),0)</f>
        <v/>
      </c>
      <c r="AJ111">
        <f>MAX(0.3*ABS(AK111),0.000001)</f>
        <v/>
      </c>
      <c r="AK111">
        <f>IF(ISNUMBER(T111),T111,0)</f>
        <v/>
      </c>
      <c r="AL111">
        <f>IFERROR(_xlfn.XLOOKUP(AG111,'BCoISC-WACCbI'!$C$2:$C$26,'BCoISC-WACCbI'!$B$2:$B$26)+$AE$4,0.1)</f>
        <v/>
      </c>
      <c r="AM111">
        <f>IF(P111&gt;0,L111/P111/0.947817,0)</f>
        <v/>
      </c>
      <c r="AN111">
        <f>IF(AND(P111&gt;0,ISNUMBER(K111)),L111*K111*1000000*E111,0)</f>
        <v/>
      </c>
    </row>
    <row r="112">
      <c r="A112">
        <f>'Kermeli Data'!A119</f>
        <v/>
      </c>
      <c r="B112">
        <f>'Kermeli Data'!B119</f>
        <v/>
      </c>
      <c r="C112">
        <f>'Kermeli Data'!P119</f>
        <v/>
      </c>
      <c r="D112">
        <f>IF(C112="2 whr","whr",IF(C112="3 proc","process","EXCLUDED"))</f>
        <v/>
      </c>
      <c r="E112">
        <f>'Kermeli Data'!E119</f>
        <v/>
      </c>
      <c r="F112">
        <f>'Kermeli Data'!F119</f>
        <v/>
      </c>
      <c r="G112">
        <f>'Kermeli Data'!G119</f>
        <v/>
      </c>
      <c r="H112">
        <f>'Kermeli Data'!I119</f>
        <v/>
      </c>
      <c r="I112">
        <f>'Kermeli Data'!J119</f>
        <v/>
      </c>
      <c r="J112">
        <f>'Kermeli Data'!K119</f>
        <v/>
      </c>
      <c r="K112">
        <f>IFERROR(_xlfn.XLOOKUP(A112,'product map'!$A$14:$A$36,'product map'!$G$14:$G$36),"pending")</f>
        <v/>
      </c>
      <c r="L112">
        <f>H112*cpi!$B$12*cpi!$B$10</f>
        <v/>
      </c>
      <c r="M112">
        <f>J112*cpi!$B$12*cpi!$B$10</f>
        <v/>
      </c>
      <c r="N112">
        <f>IF(I112&gt;0,AL112/(1-(1+AL112)^-I112),"")</f>
        <v/>
      </c>
      <c r="O112">
        <f>L112*N112+M112</f>
        <v/>
      </c>
      <c r="P112">
        <f>MAX(F112,0)+MAX(G112,0)</f>
        <v/>
      </c>
      <c r="Q112">
        <f>IF(P112&gt;0,MAX(F112,0)/P112,0)</f>
        <v/>
      </c>
      <c r="R112">
        <f>IF(P112&gt;0,MAX(G112,0)/P112,0)</f>
        <v/>
      </c>
      <c r="S112">
        <f>IF(P112&gt;0,O112/P112,"")</f>
        <v/>
      </c>
      <c r="T112">
        <f>IF(P112&gt;0,S112/$AE$3,"")</f>
        <v/>
      </c>
      <c r="U112">
        <f>IF(AND(P112&gt;0,Q112&gt;0),T112,"")</f>
        <v/>
      </c>
      <c r="V112">
        <f>IF(AND(P112&gt;0,R112&gt;0),T112,"")</f>
        <v/>
      </c>
      <c r="W112">
        <f>IF(I112&gt;0,$AE$2/(1-(1+$AE$2)^-I112),"")</f>
        <v/>
      </c>
      <c r="X112">
        <f>L112*W112+M112</f>
        <v/>
      </c>
      <c r="Y112">
        <f>IF(P112&gt;0,(X112/P112)/$AE$3,"")</f>
        <v/>
      </c>
      <c r="Z112">
        <f>IF(AND(ISNUMBER(K112),Q112&gt;0),MAX(F112,0)*K112*1000000*E112,"pending")</f>
        <v/>
      </c>
      <c r="AA112">
        <f>IF(AND(ISNUMBER(K112),R112&gt;0),MAX(G112,0)*K112*1000000*E112,"pending")</f>
        <v/>
      </c>
      <c r="AB112">
        <f>IF(AND(ISNUMBER(S112),S112&lt;0),"NEG-CCE","")&amp;IF(NOT(ISNUMBER(K112)),"|pending tonnage","")</f>
        <v/>
      </c>
      <c r="AG112">
        <f>IFERROR(_xlfn.XLOOKUP(A112,'product map'!$A$14:$A$36,'product map'!$C$14:$C$36),"?")</f>
        <v/>
      </c>
      <c r="AH112">
        <f>IFERROR((Z112*0.000000947817)/_xlfn.XLOOKUP(AG112,'energy base (MECS)'!$K$4:$K$9,'energy base (MECS)'!$F$4:$F$9),0)</f>
        <v/>
      </c>
      <c r="AI112">
        <f>IFERROR((AA112*0.000000947817)/_xlfn.XLOOKUP(AG112,'energy base (MECS)'!$K$4:$K$9,'energy base (MECS)'!$I$4:$I$9),0)</f>
        <v/>
      </c>
      <c r="AJ112">
        <f>MAX(0.3*ABS(AK112),0.000001)</f>
        <v/>
      </c>
      <c r="AK112">
        <f>IF(ISNUMBER(T112),T112,0)</f>
        <v/>
      </c>
      <c r="AL112">
        <f>IFERROR(_xlfn.XLOOKUP(AG112,'BCoISC-WACCbI'!$C$2:$C$26,'BCoISC-WACCbI'!$B$2:$B$26)+$AE$4,0.1)</f>
        <v/>
      </c>
      <c r="AM112">
        <f>IF(P112&gt;0,L112/P112/0.947817,0)</f>
        <v/>
      </c>
      <c r="AN112">
        <f>IF(AND(P112&gt;0,ISNUMBER(K112)),L112*K112*1000000*E112,0)</f>
        <v/>
      </c>
    </row>
    <row r="113">
      <c r="A113">
        <f>'Kermeli Data'!A120</f>
        <v/>
      </c>
      <c r="B113">
        <f>'Kermeli Data'!B120</f>
        <v/>
      </c>
      <c r="C113">
        <f>'Kermeli Data'!P120</f>
        <v/>
      </c>
      <c r="D113">
        <f>IF(C113="2 whr","whr",IF(C113="3 proc","process","EXCLUDED"))</f>
        <v/>
      </c>
      <c r="E113">
        <f>'Kermeli Data'!E120</f>
        <v/>
      </c>
      <c r="F113">
        <f>'Kermeli Data'!F120</f>
        <v/>
      </c>
      <c r="G113">
        <f>'Kermeli Data'!G120</f>
        <v/>
      </c>
      <c r="H113">
        <f>'Kermeli Data'!I120</f>
        <v/>
      </c>
      <c r="I113">
        <f>'Kermeli Data'!J120</f>
        <v/>
      </c>
      <c r="J113">
        <f>'Kermeli Data'!K120</f>
        <v/>
      </c>
      <c r="K113">
        <f>IFERROR(_xlfn.XLOOKUP(A113,'product map'!$A$14:$A$36,'product map'!$G$14:$G$36),"pending")</f>
        <v/>
      </c>
      <c r="L113">
        <f>H113*cpi!$B$12*cpi!$B$10</f>
        <v/>
      </c>
      <c r="M113">
        <f>J113*cpi!$B$12*cpi!$B$10</f>
        <v/>
      </c>
      <c r="N113">
        <f>IF(I113&gt;0,AL113/(1-(1+AL113)^-I113),"")</f>
        <v/>
      </c>
      <c r="O113">
        <f>L113*N113+M113</f>
        <v/>
      </c>
      <c r="P113">
        <f>MAX(F113,0)+MAX(G113,0)</f>
        <v/>
      </c>
      <c r="Q113">
        <f>IF(P113&gt;0,MAX(F113,0)/P113,0)</f>
        <v/>
      </c>
      <c r="R113">
        <f>IF(P113&gt;0,MAX(G113,0)/P113,0)</f>
        <v/>
      </c>
      <c r="S113">
        <f>IF(P113&gt;0,O113/P113,"")</f>
        <v/>
      </c>
      <c r="T113">
        <f>IF(P113&gt;0,S113/$AE$3,"")</f>
        <v/>
      </c>
      <c r="U113">
        <f>IF(AND(P113&gt;0,Q113&gt;0),T113,"")</f>
        <v/>
      </c>
      <c r="V113">
        <f>IF(AND(P113&gt;0,R113&gt;0),T113,"")</f>
        <v/>
      </c>
      <c r="W113">
        <f>IF(I113&gt;0,$AE$2/(1-(1+$AE$2)^-I113),"")</f>
        <v/>
      </c>
      <c r="X113">
        <f>L113*W113+M113</f>
        <v/>
      </c>
      <c r="Y113">
        <f>IF(P113&gt;0,(X113/P113)/$AE$3,"")</f>
        <v/>
      </c>
      <c r="Z113">
        <f>IF(AND(ISNUMBER(K113),Q113&gt;0),MAX(F113,0)*K113*1000000*E113,"pending")</f>
        <v/>
      </c>
      <c r="AA113">
        <f>IF(AND(ISNUMBER(K113),R113&gt;0),MAX(G113,0)*K113*1000000*E113,"pending")</f>
        <v/>
      </c>
      <c r="AB113">
        <f>IF(AND(ISNUMBER(S113),S113&lt;0),"NEG-CCE","")&amp;IF(NOT(ISNUMBER(K113)),"|pending tonnage","")</f>
        <v/>
      </c>
      <c r="AG113">
        <f>IFERROR(_xlfn.XLOOKUP(A113,'product map'!$A$14:$A$36,'product map'!$C$14:$C$36),"?")</f>
        <v/>
      </c>
      <c r="AH113">
        <f>IFERROR((Z113*0.000000947817)/_xlfn.XLOOKUP(AG113,'energy base (MECS)'!$K$4:$K$9,'energy base (MECS)'!$F$4:$F$9),0)</f>
        <v/>
      </c>
      <c r="AI113">
        <f>IFERROR((AA113*0.000000947817)/_xlfn.XLOOKUP(AG113,'energy base (MECS)'!$K$4:$K$9,'energy base (MECS)'!$I$4:$I$9),0)</f>
        <v/>
      </c>
      <c r="AJ113">
        <f>MAX(0.3*ABS(AK113),0.000001)</f>
        <v/>
      </c>
      <c r="AK113">
        <f>IF(ISNUMBER(T113),T113,0)</f>
        <v/>
      </c>
      <c r="AL113">
        <f>IFERROR(_xlfn.XLOOKUP(AG113,'BCoISC-WACCbI'!$C$2:$C$26,'BCoISC-WACCbI'!$B$2:$B$26)+$AE$4,0.1)</f>
        <v/>
      </c>
      <c r="AM113">
        <f>IF(P113&gt;0,L113/P113/0.947817,0)</f>
        <v/>
      </c>
      <c r="AN113">
        <f>IF(AND(P113&gt;0,ISNUMBER(K113)),L113*K113*1000000*E113,0)</f>
        <v/>
      </c>
    </row>
    <row r="114">
      <c r="A114">
        <f>'Kermeli Data'!A121</f>
        <v/>
      </c>
      <c r="B114">
        <f>'Kermeli Data'!B121</f>
        <v/>
      </c>
      <c r="C114">
        <f>'Kermeli Data'!P121</f>
        <v/>
      </c>
      <c r="D114">
        <f>IF(C114="2 whr","whr",IF(C114="3 proc","process","EXCLUDED"))</f>
        <v/>
      </c>
      <c r="E114">
        <f>'Kermeli Data'!E121</f>
        <v/>
      </c>
      <c r="F114">
        <f>'Kermeli Data'!F121</f>
        <v/>
      </c>
      <c r="G114">
        <f>'Kermeli Data'!G121</f>
        <v/>
      </c>
      <c r="H114">
        <f>'Kermeli Data'!I121</f>
        <v/>
      </c>
      <c r="I114">
        <f>'Kermeli Data'!J121</f>
        <v/>
      </c>
      <c r="J114">
        <f>'Kermeli Data'!K121</f>
        <v/>
      </c>
      <c r="K114">
        <f>IFERROR(_xlfn.XLOOKUP(A114,'product map'!$A$14:$A$36,'product map'!$G$14:$G$36),"pending")</f>
        <v/>
      </c>
      <c r="L114">
        <f>H114*cpi!$B$12*cpi!$B$10</f>
        <v/>
      </c>
      <c r="M114">
        <f>J114*cpi!$B$12*cpi!$B$10</f>
        <v/>
      </c>
      <c r="N114">
        <f>IF(I114&gt;0,AL114/(1-(1+AL114)^-I114),"")</f>
        <v/>
      </c>
      <c r="O114">
        <f>L114*N114+M114</f>
        <v/>
      </c>
      <c r="P114">
        <f>MAX(F114,0)+MAX(G114,0)</f>
        <v/>
      </c>
      <c r="Q114">
        <f>IF(P114&gt;0,MAX(F114,0)/P114,0)</f>
        <v/>
      </c>
      <c r="R114">
        <f>IF(P114&gt;0,MAX(G114,0)/P114,0)</f>
        <v/>
      </c>
      <c r="S114">
        <f>IF(P114&gt;0,O114/P114,"")</f>
        <v/>
      </c>
      <c r="T114">
        <f>IF(P114&gt;0,S114/$AE$3,"")</f>
        <v/>
      </c>
      <c r="U114">
        <f>IF(AND(P114&gt;0,Q114&gt;0),T114,"")</f>
        <v/>
      </c>
      <c r="V114">
        <f>IF(AND(P114&gt;0,R114&gt;0),T114,"")</f>
        <v/>
      </c>
      <c r="W114">
        <f>IF(I114&gt;0,$AE$2/(1-(1+$AE$2)^-I114),"")</f>
        <v/>
      </c>
      <c r="X114">
        <f>L114*W114+M114</f>
        <v/>
      </c>
      <c r="Y114">
        <f>IF(P114&gt;0,(X114/P114)/$AE$3,"")</f>
        <v/>
      </c>
      <c r="Z114">
        <f>IF(AND(ISNUMBER(K114),Q114&gt;0),MAX(F114,0)*K114*1000000*E114,"pending")</f>
        <v/>
      </c>
      <c r="AA114">
        <f>IF(AND(ISNUMBER(K114),R114&gt;0),MAX(G114,0)*K114*1000000*E114,"pending")</f>
        <v/>
      </c>
      <c r="AB114">
        <f>IF(AND(ISNUMBER(S114),S114&lt;0),"NEG-CCE","")&amp;IF(NOT(ISNUMBER(K114)),"|pending tonnage","")</f>
        <v/>
      </c>
      <c r="AG114">
        <f>IFERROR(_xlfn.XLOOKUP(A114,'product map'!$A$14:$A$36,'product map'!$C$14:$C$36),"?")</f>
        <v/>
      </c>
      <c r="AH114">
        <f>IFERROR((Z114*0.000000947817)/_xlfn.XLOOKUP(AG114,'energy base (MECS)'!$K$4:$K$9,'energy base (MECS)'!$F$4:$F$9),0)</f>
        <v/>
      </c>
      <c r="AI114">
        <f>IFERROR((AA114*0.000000947817)/_xlfn.XLOOKUP(AG114,'energy base (MECS)'!$K$4:$K$9,'energy base (MECS)'!$I$4:$I$9),0)</f>
        <v/>
      </c>
      <c r="AJ114">
        <f>MAX(0.3*ABS(AK114),0.000001)</f>
        <v/>
      </c>
      <c r="AK114">
        <f>IF(ISNUMBER(T114),T114,0)</f>
        <v/>
      </c>
      <c r="AL114">
        <f>IFERROR(_xlfn.XLOOKUP(AG114,'BCoISC-WACCbI'!$C$2:$C$26,'BCoISC-WACCbI'!$B$2:$B$26)+$AE$4,0.1)</f>
        <v/>
      </c>
      <c r="AM114">
        <f>IF(P114&gt;0,L114/P114/0.947817,0)</f>
        <v/>
      </c>
      <c r="AN114">
        <f>IF(AND(P114&gt;0,ISNUMBER(K114)),L114*K114*1000000*E114,0)</f>
        <v/>
      </c>
    </row>
    <row r="115">
      <c r="A115">
        <f>'Kermeli Data'!A122</f>
        <v/>
      </c>
      <c r="B115">
        <f>'Kermeli Data'!B122</f>
        <v/>
      </c>
      <c r="C115">
        <f>'Kermeli Data'!P122</f>
        <v/>
      </c>
      <c r="D115">
        <f>IF(C115="2 whr","whr",IF(C115="3 proc","process","EXCLUDED"))</f>
        <v/>
      </c>
      <c r="E115">
        <f>'Kermeli Data'!E122</f>
        <v/>
      </c>
      <c r="F115">
        <f>'Kermeli Data'!F122</f>
        <v/>
      </c>
      <c r="G115">
        <f>'Kermeli Data'!G122</f>
        <v/>
      </c>
      <c r="H115">
        <f>'Kermeli Data'!I122</f>
        <v/>
      </c>
      <c r="I115">
        <f>'Kermeli Data'!J122</f>
        <v/>
      </c>
      <c r="J115">
        <f>'Kermeli Data'!K122</f>
        <v/>
      </c>
      <c r="K115">
        <f>IFERROR(_xlfn.XLOOKUP(A115,'product map'!$A$14:$A$36,'product map'!$G$14:$G$36),"pending")</f>
        <v/>
      </c>
      <c r="L115">
        <f>H115*cpi!$B$12*cpi!$B$10</f>
        <v/>
      </c>
      <c r="M115">
        <f>J115*cpi!$B$12*cpi!$B$10</f>
        <v/>
      </c>
      <c r="N115">
        <f>IF(I115&gt;0,AL115/(1-(1+AL115)^-I115),"")</f>
        <v/>
      </c>
      <c r="O115">
        <f>L115*N115+M115</f>
        <v/>
      </c>
      <c r="P115">
        <f>MAX(F115,0)+MAX(G115,0)</f>
        <v/>
      </c>
      <c r="Q115">
        <f>IF(P115&gt;0,MAX(F115,0)/P115,0)</f>
        <v/>
      </c>
      <c r="R115">
        <f>IF(P115&gt;0,MAX(G115,0)/P115,0)</f>
        <v/>
      </c>
      <c r="S115">
        <f>IF(P115&gt;0,O115/P115,"")</f>
        <v/>
      </c>
      <c r="T115">
        <f>IF(P115&gt;0,S115/$AE$3,"")</f>
        <v/>
      </c>
      <c r="U115">
        <f>IF(AND(P115&gt;0,Q115&gt;0),T115,"")</f>
        <v/>
      </c>
      <c r="V115">
        <f>IF(AND(P115&gt;0,R115&gt;0),T115,"")</f>
        <v/>
      </c>
      <c r="W115">
        <f>IF(I115&gt;0,$AE$2/(1-(1+$AE$2)^-I115),"")</f>
        <v/>
      </c>
      <c r="X115">
        <f>L115*W115+M115</f>
        <v/>
      </c>
      <c r="Y115">
        <f>IF(P115&gt;0,(X115/P115)/$AE$3,"")</f>
        <v/>
      </c>
      <c r="Z115">
        <f>IF(AND(ISNUMBER(K115),Q115&gt;0),MAX(F115,0)*K115*1000000*E115,"pending")</f>
        <v/>
      </c>
      <c r="AA115">
        <f>IF(AND(ISNUMBER(K115),R115&gt;0),MAX(G115,0)*K115*1000000*E115,"pending")</f>
        <v/>
      </c>
      <c r="AB115">
        <f>IF(AND(ISNUMBER(S115),S115&lt;0),"NEG-CCE","")&amp;IF(NOT(ISNUMBER(K115)),"|pending tonnage","")</f>
        <v/>
      </c>
      <c r="AG115">
        <f>IFERROR(_xlfn.XLOOKUP(A115,'product map'!$A$14:$A$36,'product map'!$C$14:$C$36),"?")</f>
        <v/>
      </c>
      <c r="AH115">
        <f>IFERROR((Z115*0.000000947817)/_xlfn.XLOOKUP(AG115,'energy base (MECS)'!$K$4:$K$9,'energy base (MECS)'!$F$4:$F$9),0)</f>
        <v/>
      </c>
      <c r="AI115">
        <f>IFERROR((AA115*0.000000947817)/_xlfn.XLOOKUP(AG115,'energy base (MECS)'!$K$4:$K$9,'energy base (MECS)'!$I$4:$I$9),0)</f>
        <v/>
      </c>
      <c r="AJ115">
        <f>MAX(0.3*ABS(AK115),0.000001)</f>
        <v/>
      </c>
      <c r="AK115">
        <f>IF(ISNUMBER(T115),T115,0)</f>
        <v/>
      </c>
      <c r="AL115">
        <f>IFERROR(_xlfn.XLOOKUP(AG115,'BCoISC-WACCbI'!$C$2:$C$26,'BCoISC-WACCbI'!$B$2:$B$26)+$AE$4,0.1)</f>
        <v/>
      </c>
      <c r="AM115">
        <f>IF(P115&gt;0,L115/P115/0.947817,0)</f>
        <v/>
      </c>
      <c r="AN115">
        <f>IF(AND(P115&gt;0,ISNUMBER(K115)),L115*K115*1000000*E115,0)</f>
        <v/>
      </c>
    </row>
    <row r="116">
      <c r="A116">
        <f>'Kermeli Data'!A123</f>
        <v/>
      </c>
      <c r="B116">
        <f>'Kermeli Data'!B123</f>
        <v/>
      </c>
      <c r="C116">
        <f>'Kermeli Data'!P123</f>
        <v/>
      </c>
      <c r="D116">
        <f>IF(C116="2 whr","whr",IF(C116="3 proc","process","EXCLUDED"))</f>
        <v/>
      </c>
      <c r="E116">
        <f>'Kermeli Data'!E123</f>
        <v/>
      </c>
      <c r="F116">
        <f>'Kermeli Data'!F123</f>
        <v/>
      </c>
      <c r="G116">
        <f>'Kermeli Data'!G123</f>
        <v/>
      </c>
      <c r="H116">
        <f>'Kermeli Data'!I123</f>
        <v/>
      </c>
      <c r="I116">
        <f>'Kermeli Data'!J123</f>
        <v/>
      </c>
      <c r="J116">
        <f>'Kermeli Data'!K123</f>
        <v/>
      </c>
      <c r="K116">
        <f>IFERROR(_xlfn.XLOOKUP(A116,'product map'!$A$14:$A$36,'product map'!$G$14:$G$36),"pending")</f>
        <v/>
      </c>
      <c r="L116">
        <f>H116*cpi!$B$12*cpi!$B$10</f>
        <v/>
      </c>
      <c r="M116">
        <f>J116*cpi!$B$12*cpi!$B$10</f>
        <v/>
      </c>
      <c r="N116">
        <f>IF(I116&gt;0,AL116/(1-(1+AL116)^-I116),"")</f>
        <v/>
      </c>
      <c r="O116">
        <f>L116*N116+M116</f>
        <v/>
      </c>
      <c r="P116">
        <f>MAX(F116,0)+MAX(G116,0)</f>
        <v/>
      </c>
      <c r="Q116">
        <f>IF(P116&gt;0,MAX(F116,0)/P116,0)</f>
        <v/>
      </c>
      <c r="R116">
        <f>IF(P116&gt;0,MAX(G116,0)/P116,0)</f>
        <v/>
      </c>
      <c r="S116">
        <f>IF(P116&gt;0,O116/P116,"")</f>
        <v/>
      </c>
      <c r="T116">
        <f>IF(P116&gt;0,S116/$AE$3,"")</f>
        <v/>
      </c>
      <c r="U116">
        <f>IF(AND(P116&gt;0,Q116&gt;0),T116,"")</f>
        <v/>
      </c>
      <c r="V116">
        <f>IF(AND(P116&gt;0,R116&gt;0),T116,"")</f>
        <v/>
      </c>
      <c r="W116">
        <f>IF(I116&gt;0,$AE$2/(1-(1+$AE$2)^-I116),"")</f>
        <v/>
      </c>
      <c r="X116">
        <f>L116*W116+M116</f>
        <v/>
      </c>
      <c r="Y116">
        <f>IF(P116&gt;0,(X116/P116)/$AE$3,"")</f>
        <v/>
      </c>
      <c r="Z116">
        <f>IF(AND(ISNUMBER(K116),Q116&gt;0),MAX(F116,0)*K116*1000000*E116,"pending")</f>
        <v/>
      </c>
      <c r="AA116">
        <f>IF(AND(ISNUMBER(K116),R116&gt;0),MAX(G116,0)*K116*1000000*E116,"pending")</f>
        <v/>
      </c>
      <c r="AB116">
        <f>IF(AND(ISNUMBER(S116),S116&lt;0),"NEG-CCE","")&amp;IF(NOT(ISNUMBER(K116)),"|pending tonnage","")</f>
        <v/>
      </c>
      <c r="AG116">
        <f>IFERROR(_xlfn.XLOOKUP(A116,'product map'!$A$14:$A$36,'product map'!$C$14:$C$36),"?")</f>
        <v/>
      </c>
      <c r="AH116">
        <f>IFERROR((Z116*0.000000947817)/_xlfn.XLOOKUP(AG116,'energy base (MECS)'!$K$4:$K$9,'energy base (MECS)'!$F$4:$F$9),0)</f>
        <v/>
      </c>
      <c r="AI116">
        <f>IFERROR((AA116*0.000000947817)/_xlfn.XLOOKUP(AG116,'energy base (MECS)'!$K$4:$K$9,'energy base (MECS)'!$I$4:$I$9),0)</f>
        <v/>
      </c>
      <c r="AJ116">
        <f>MAX(0.3*ABS(AK116),0.000001)</f>
        <v/>
      </c>
      <c r="AK116">
        <f>IF(ISNUMBER(T116),T116,0)</f>
        <v/>
      </c>
      <c r="AL116">
        <f>IFERROR(_xlfn.XLOOKUP(AG116,'BCoISC-WACCbI'!$C$2:$C$26,'BCoISC-WACCbI'!$B$2:$B$26)+$AE$4,0.1)</f>
        <v/>
      </c>
      <c r="AM116">
        <f>IF(P116&gt;0,L116/P116/0.947817,0)</f>
        <v/>
      </c>
      <c r="AN116">
        <f>IF(AND(P116&gt;0,ISNUMBER(K116)),L116*K116*1000000*E116,0)</f>
        <v/>
      </c>
    </row>
    <row r="117">
      <c r="A117">
        <f>'Kermeli Data'!A124</f>
        <v/>
      </c>
      <c r="B117">
        <f>'Kermeli Data'!B124</f>
        <v/>
      </c>
      <c r="C117">
        <f>'Kermeli Data'!P124</f>
        <v/>
      </c>
      <c r="D117">
        <f>IF(C117="2 whr","whr",IF(C117="3 proc","process","EXCLUDED"))</f>
        <v/>
      </c>
      <c r="E117">
        <f>'Kermeli Data'!E124</f>
        <v/>
      </c>
      <c r="F117">
        <f>'Kermeli Data'!F124</f>
        <v/>
      </c>
      <c r="G117">
        <f>'Kermeli Data'!G124</f>
        <v/>
      </c>
      <c r="H117">
        <f>'Kermeli Data'!I124</f>
        <v/>
      </c>
      <c r="I117">
        <f>'Kermeli Data'!J124</f>
        <v/>
      </c>
      <c r="J117">
        <f>'Kermeli Data'!K124</f>
        <v/>
      </c>
      <c r="K117">
        <f>IFERROR(_xlfn.XLOOKUP(A117,'product map'!$A$14:$A$36,'product map'!$G$14:$G$36),"pending")</f>
        <v/>
      </c>
      <c r="L117">
        <f>H117*cpi!$B$12*cpi!$B$10</f>
        <v/>
      </c>
      <c r="M117">
        <f>J117*cpi!$B$12*cpi!$B$10</f>
        <v/>
      </c>
      <c r="N117">
        <f>IF(I117&gt;0,AL117/(1-(1+AL117)^-I117),"")</f>
        <v/>
      </c>
      <c r="O117">
        <f>L117*N117+M117</f>
        <v/>
      </c>
      <c r="P117">
        <f>MAX(F117,0)+MAX(G117,0)</f>
        <v/>
      </c>
      <c r="Q117">
        <f>IF(P117&gt;0,MAX(F117,0)/P117,0)</f>
        <v/>
      </c>
      <c r="R117">
        <f>IF(P117&gt;0,MAX(G117,0)/P117,0)</f>
        <v/>
      </c>
      <c r="S117">
        <f>IF(P117&gt;0,O117/P117,"")</f>
        <v/>
      </c>
      <c r="T117">
        <f>IF(P117&gt;0,S117/$AE$3,"")</f>
        <v/>
      </c>
      <c r="U117">
        <f>IF(AND(P117&gt;0,Q117&gt;0),T117,"")</f>
        <v/>
      </c>
      <c r="V117">
        <f>IF(AND(P117&gt;0,R117&gt;0),T117,"")</f>
        <v/>
      </c>
      <c r="W117">
        <f>IF(I117&gt;0,$AE$2/(1-(1+$AE$2)^-I117),"")</f>
        <v/>
      </c>
      <c r="X117">
        <f>L117*W117+M117</f>
        <v/>
      </c>
      <c r="Y117">
        <f>IF(P117&gt;0,(X117/P117)/$AE$3,"")</f>
        <v/>
      </c>
      <c r="Z117">
        <f>IF(AND(ISNUMBER(K117),Q117&gt;0),MAX(F117,0)*K117*1000000*E117,"pending")</f>
        <v/>
      </c>
      <c r="AA117">
        <f>IF(AND(ISNUMBER(K117),R117&gt;0),MAX(G117,0)*K117*1000000*E117,"pending")</f>
        <v/>
      </c>
      <c r="AB117">
        <f>IF(AND(ISNUMBER(S117),S117&lt;0),"NEG-CCE","")&amp;IF(NOT(ISNUMBER(K117)),"|pending tonnage","")</f>
        <v/>
      </c>
      <c r="AG117">
        <f>IFERROR(_xlfn.XLOOKUP(A117,'product map'!$A$14:$A$36,'product map'!$C$14:$C$36),"?")</f>
        <v/>
      </c>
      <c r="AH117">
        <f>IFERROR((Z117*0.000000947817)/_xlfn.XLOOKUP(AG117,'energy base (MECS)'!$K$4:$K$9,'energy base (MECS)'!$F$4:$F$9),0)</f>
        <v/>
      </c>
      <c r="AI117">
        <f>IFERROR((AA117*0.000000947817)/_xlfn.XLOOKUP(AG117,'energy base (MECS)'!$K$4:$K$9,'energy base (MECS)'!$I$4:$I$9),0)</f>
        <v/>
      </c>
      <c r="AJ117">
        <f>MAX(0.3*ABS(AK117),0.000001)</f>
        <v/>
      </c>
      <c r="AK117">
        <f>IF(ISNUMBER(T117),T117,0)</f>
        <v/>
      </c>
      <c r="AL117">
        <f>IFERROR(_xlfn.XLOOKUP(AG117,'BCoISC-WACCbI'!$C$2:$C$26,'BCoISC-WACCbI'!$B$2:$B$26)+$AE$4,0.1)</f>
        <v/>
      </c>
      <c r="AM117">
        <f>IF(P117&gt;0,L117/P117/0.947817,0)</f>
        <v/>
      </c>
      <c r="AN117">
        <f>IF(AND(P117&gt;0,ISNUMBER(K117)),L117*K117*1000000*E117,0)</f>
        <v/>
      </c>
    </row>
    <row r="118">
      <c r="A118">
        <f>'Kermeli Data'!A125</f>
        <v/>
      </c>
      <c r="B118">
        <f>'Kermeli Data'!B125</f>
        <v/>
      </c>
      <c r="C118">
        <f>'Kermeli Data'!P125</f>
        <v/>
      </c>
      <c r="D118">
        <f>IF(C118="2 whr","whr",IF(C118="3 proc","process","EXCLUDED"))</f>
        <v/>
      </c>
      <c r="E118">
        <f>'Kermeli Data'!E125</f>
        <v/>
      </c>
      <c r="F118">
        <f>'Kermeli Data'!F125</f>
        <v/>
      </c>
      <c r="G118">
        <f>'Kermeli Data'!G125</f>
        <v/>
      </c>
      <c r="H118">
        <f>'Kermeli Data'!I125</f>
        <v/>
      </c>
      <c r="I118">
        <f>'Kermeli Data'!J125</f>
        <v/>
      </c>
      <c r="J118">
        <f>'Kermeli Data'!K125</f>
        <v/>
      </c>
      <c r="K118">
        <f>IFERROR(_xlfn.XLOOKUP(A118,'product map'!$A$14:$A$36,'product map'!$G$14:$G$36),"pending")</f>
        <v/>
      </c>
      <c r="L118">
        <f>H118*cpi!$B$12*cpi!$B$10</f>
        <v/>
      </c>
      <c r="M118">
        <f>J118*cpi!$B$12*cpi!$B$10</f>
        <v/>
      </c>
      <c r="N118">
        <f>IF(I118&gt;0,AL118/(1-(1+AL118)^-I118),"")</f>
        <v/>
      </c>
      <c r="O118">
        <f>L118*N118+M118</f>
        <v/>
      </c>
      <c r="P118">
        <f>MAX(F118,0)+MAX(G118,0)</f>
        <v/>
      </c>
      <c r="Q118">
        <f>IF(P118&gt;0,MAX(F118,0)/P118,0)</f>
        <v/>
      </c>
      <c r="R118">
        <f>IF(P118&gt;0,MAX(G118,0)/P118,0)</f>
        <v/>
      </c>
      <c r="S118">
        <f>IF(P118&gt;0,O118/P118,"")</f>
        <v/>
      </c>
      <c r="T118">
        <f>IF(P118&gt;0,S118/$AE$3,"")</f>
        <v/>
      </c>
      <c r="U118">
        <f>IF(AND(P118&gt;0,Q118&gt;0),T118,"")</f>
        <v/>
      </c>
      <c r="V118">
        <f>IF(AND(P118&gt;0,R118&gt;0),T118,"")</f>
        <v/>
      </c>
      <c r="W118">
        <f>IF(I118&gt;0,$AE$2/(1-(1+$AE$2)^-I118),"")</f>
        <v/>
      </c>
      <c r="X118">
        <f>L118*W118+M118</f>
        <v/>
      </c>
      <c r="Y118">
        <f>IF(P118&gt;0,(X118/P118)/$AE$3,"")</f>
        <v/>
      </c>
      <c r="Z118">
        <f>IF(AND(ISNUMBER(K118),Q118&gt;0),MAX(F118,0)*K118*1000000*E118,"pending")</f>
        <v/>
      </c>
      <c r="AA118">
        <f>IF(AND(ISNUMBER(K118),R118&gt;0),MAX(G118,0)*K118*1000000*E118,"pending")</f>
        <v/>
      </c>
      <c r="AB118">
        <f>IF(AND(ISNUMBER(S118),S118&lt;0),"NEG-CCE","")&amp;IF(NOT(ISNUMBER(K118)),"|pending tonnage","")</f>
        <v/>
      </c>
      <c r="AG118">
        <f>IFERROR(_xlfn.XLOOKUP(A118,'product map'!$A$14:$A$36,'product map'!$C$14:$C$36),"?")</f>
        <v/>
      </c>
      <c r="AH118">
        <f>IFERROR((Z118*0.000000947817)/_xlfn.XLOOKUP(AG118,'energy base (MECS)'!$K$4:$K$9,'energy base (MECS)'!$F$4:$F$9),0)</f>
        <v/>
      </c>
      <c r="AI118">
        <f>IFERROR((AA118*0.000000947817)/_xlfn.XLOOKUP(AG118,'energy base (MECS)'!$K$4:$K$9,'energy base (MECS)'!$I$4:$I$9),0)</f>
        <v/>
      </c>
      <c r="AJ118">
        <f>MAX(0.3*ABS(AK118),0.000001)</f>
        <v/>
      </c>
      <c r="AK118">
        <f>IF(ISNUMBER(T118),T118,0)</f>
        <v/>
      </c>
      <c r="AL118">
        <f>IFERROR(_xlfn.XLOOKUP(AG118,'BCoISC-WACCbI'!$C$2:$C$26,'BCoISC-WACCbI'!$B$2:$B$26)+$AE$4,0.1)</f>
        <v/>
      </c>
      <c r="AM118">
        <f>IF(P118&gt;0,L118/P118/0.947817,0)</f>
        <v/>
      </c>
      <c r="AN118">
        <f>IF(AND(P118&gt;0,ISNUMBER(K118)),L118*K118*1000000*E118,0)</f>
        <v/>
      </c>
    </row>
    <row r="119">
      <c r="A119">
        <f>'Kermeli Data'!A126</f>
        <v/>
      </c>
      <c r="B119">
        <f>'Kermeli Data'!B126</f>
        <v/>
      </c>
      <c r="C119">
        <f>'Kermeli Data'!P126</f>
        <v/>
      </c>
      <c r="D119">
        <f>IF(C119="2 whr","whr",IF(C119="3 proc","process","EXCLUDED"))</f>
        <v/>
      </c>
      <c r="E119">
        <f>'Kermeli Data'!E126</f>
        <v/>
      </c>
      <c r="F119">
        <f>'Kermeli Data'!F126</f>
        <v/>
      </c>
      <c r="G119">
        <f>'Kermeli Data'!G126</f>
        <v/>
      </c>
      <c r="H119">
        <f>'Kermeli Data'!I126</f>
        <v/>
      </c>
      <c r="I119">
        <f>'Kermeli Data'!J126</f>
        <v/>
      </c>
      <c r="J119">
        <f>'Kermeli Data'!K126</f>
        <v/>
      </c>
      <c r="K119">
        <f>IFERROR(_xlfn.XLOOKUP(A119,'product map'!$A$14:$A$36,'product map'!$G$14:$G$36),"pending")</f>
        <v/>
      </c>
      <c r="L119">
        <f>H119*cpi!$B$12*cpi!$B$10</f>
        <v/>
      </c>
      <c r="M119">
        <f>J119*cpi!$B$12*cpi!$B$10</f>
        <v/>
      </c>
      <c r="N119">
        <f>IF(I119&gt;0,AL119/(1-(1+AL119)^-I119),"")</f>
        <v/>
      </c>
      <c r="O119">
        <f>L119*N119+M119</f>
        <v/>
      </c>
      <c r="P119">
        <f>MAX(F119,0)+MAX(G119,0)</f>
        <v/>
      </c>
      <c r="Q119">
        <f>IF(P119&gt;0,MAX(F119,0)/P119,0)</f>
        <v/>
      </c>
      <c r="R119">
        <f>IF(P119&gt;0,MAX(G119,0)/P119,0)</f>
        <v/>
      </c>
      <c r="S119">
        <f>IF(P119&gt;0,O119/P119,"")</f>
        <v/>
      </c>
      <c r="T119">
        <f>IF(P119&gt;0,S119/$AE$3,"")</f>
        <v/>
      </c>
      <c r="U119">
        <f>IF(AND(P119&gt;0,Q119&gt;0),T119,"")</f>
        <v/>
      </c>
      <c r="V119">
        <f>IF(AND(P119&gt;0,R119&gt;0),T119,"")</f>
        <v/>
      </c>
      <c r="W119">
        <f>IF(I119&gt;0,$AE$2/(1-(1+$AE$2)^-I119),"")</f>
        <v/>
      </c>
      <c r="X119">
        <f>L119*W119+M119</f>
        <v/>
      </c>
      <c r="Y119">
        <f>IF(P119&gt;0,(X119/P119)/$AE$3,"")</f>
        <v/>
      </c>
      <c r="Z119">
        <f>IF(AND(ISNUMBER(K119),Q119&gt;0),MAX(F119,0)*K119*1000000*E119,"pending")</f>
        <v/>
      </c>
      <c r="AA119">
        <f>IF(AND(ISNUMBER(K119),R119&gt;0),MAX(G119,0)*K119*1000000*E119,"pending")</f>
        <v/>
      </c>
      <c r="AB119">
        <f>IF(AND(ISNUMBER(S119),S119&lt;0),"NEG-CCE","")&amp;IF(NOT(ISNUMBER(K119)),"|pending tonnage","")</f>
        <v/>
      </c>
      <c r="AG119">
        <f>IFERROR(_xlfn.XLOOKUP(A119,'product map'!$A$14:$A$36,'product map'!$C$14:$C$36),"?")</f>
        <v/>
      </c>
      <c r="AH119">
        <f>IFERROR((Z119*0.000000947817)/_xlfn.XLOOKUP(AG119,'energy base (MECS)'!$K$4:$K$9,'energy base (MECS)'!$F$4:$F$9),0)</f>
        <v/>
      </c>
      <c r="AI119">
        <f>IFERROR((AA119*0.000000947817)/_xlfn.XLOOKUP(AG119,'energy base (MECS)'!$K$4:$K$9,'energy base (MECS)'!$I$4:$I$9),0)</f>
        <v/>
      </c>
      <c r="AJ119">
        <f>MAX(0.3*ABS(AK119),0.000001)</f>
        <v/>
      </c>
      <c r="AK119">
        <f>IF(ISNUMBER(T119),T119,0)</f>
        <v/>
      </c>
      <c r="AL119">
        <f>IFERROR(_xlfn.XLOOKUP(AG119,'BCoISC-WACCbI'!$C$2:$C$26,'BCoISC-WACCbI'!$B$2:$B$26)+$AE$4,0.1)</f>
        <v/>
      </c>
      <c r="AM119">
        <f>IF(P119&gt;0,L119/P119/0.947817,0)</f>
        <v/>
      </c>
      <c r="AN119">
        <f>IF(AND(P119&gt;0,ISNUMBER(K119)),L119*K119*1000000*E119,0)</f>
        <v/>
      </c>
    </row>
    <row r="120">
      <c r="A120">
        <f>'Kermeli Data'!A127</f>
        <v/>
      </c>
      <c r="B120">
        <f>'Kermeli Data'!B127</f>
        <v/>
      </c>
      <c r="C120">
        <f>'Kermeli Data'!P127</f>
        <v/>
      </c>
      <c r="D120">
        <f>IF(C120="2 whr","whr",IF(C120="3 proc","process","EXCLUDED"))</f>
        <v/>
      </c>
      <c r="E120">
        <f>'Kermeli Data'!E127</f>
        <v/>
      </c>
      <c r="F120">
        <f>'Kermeli Data'!F127</f>
        <v/>
      </c>
      <c r="G120">
        <f>'Kermeli Data'!G127</f>
        <v/>
      </c>
      <c r="H120">
        <f>'Kermeli Data'!I127</f>
        <v/>
      </c>
      <c r="I120">
        <f>'Kermeli Data'!J127</f>
        <v/>
      </c>
      <c r="J120">
        <f>'Kermeli Data'!K127</f>
        <v/>
      </c>
      <c r="K120">
        <f>IFERROR(_xlfn.XLOOKUP(A120,'product map'!$A$14:$A$36,'product map'!$G$14:$G$36),"pending")</f>
        <v/>
      </c>
      <c r="L120">
        <f>H120*cpi!$B$12*cpi!$B$10</f>
        <v/>
      </c>
      <c r="M120">
        <f>J120*cpi!$B$12*cpi!$B$10</f>
        <v/>
      </c>
      <c r="N120">
        <f>IF(I120&gt;0,AL120/(1-(1+AL120)^-I120),"")</f>
        <v/>
      </c>
      <c r="O120">
        <f>L120*N120+M120</f>
        <v/>
      </c>
      <c r="P120">
        <f>MAX(F120,0)+MAX(G120,0)</f>
        <v/>
      </c>
      <c r="Q120">
        <f>IF(P120&gt;0,MAX(F120,0)/P120,0)</f>
        <v/>
      </c>
      <c r="R120">
        <f>IF(P120&gt;0,MAX(G120,0)/P120,0)</f>
        <v/>
      </c>
      <c r="S120">
        <f>IF(P120&gt;0,O120/P120,"")</f>
        <v/>
      </c>
      <c r="T120">
        <f>IF(P120&gt;0,S120/$AE$3,"")</f>
        <v/>
      </c>
      <c r="U120">
        <f>IF(AND(P120&gt;0,Q120&gt;0),T120,"")</f>
        <v/>
      </c>
      <c r="V120">
        <f>IF(AND(P120&gt;0,R120&gt;0),T120,"")</f>
        <v/>
      </c>
      <c r="W120">
        <f>IF(I120&gt;0,$AE$2/(1-(1+$AE$2)^-I120),"")</f>
        <v/>
      </c>
      <c r="X120">
        <f>L120*W120+M120</f>
        <v/>
      </c>
      <c r="Y120">
        <f>IF(P120&gt;0,(X120/P120)/$AE$3,"")</f>
        <v/>
      </c>
      <c r="Z120">
        <f>IF(AND(ISNUMBER(K120),Q120&gt;0),MAX(F120,0)*K120*1000000*E120,"pending")</f>
        <v/>
      </c>
      <c r="AA120">
        <f>IF(AND(ISNUMBER(K120),R120&gt;0),MAX(G120,0)*K120*1000000*E120,"pending")</f>
        <v/>
      </c>
      <c r="AB120">
        <f>IF(AND(ISNUMBER(S120),S120&lt;0),"NEG-CCE","")&amp;IF(NOT(ISNUMBER(K120)),"|pending tonnage","")</f>
        <v/>
      </c>
      <c r="AG120">
        <f>IFERROR(_xlfn.XLOOKUP(A120,'product map'!$A$14:$A$36,'product map'!$C$14:$C$36),"?")</f>
        <v/>
      </c>
      <c r="AH120">
        <f>IFERROR((Z120*0.000000947817)/_xlfn.XLOOKUP(AG120,'energy base (MECS)'!$K$4:$K$9,'energy base (MECS)'!$F$4:$F$9),0)</f>
        <v/>
      </c>
      <c r="AI120">
        <f>IFERROR((AA120*0.000000947817)/_xlfn.XLOOKUP(AG120,'energy base (MECS)'!$K$4:$K$9,'energy base (MECS)'!$I$4:$I$9),0)</f>
        <v/>
      </c>
      <c r="AJ120">
        <f>MAX(0.3*ABS(AK120),0.000001)</f>
        <v/>
      </c>
      <c r="AK120">
        <f>IF(ISNUMBER(T120),T120,0)</f>
        <v/>
      </c>
      <c r="AL120">
        <f>IFERROR(_xlfn.XLOOKUP(AG120,'BCoISC-WACCbI'!$C$2:$C$26,'BCoISC-WACCbI'!$B$2:$B$26)+$AE$4,0.1)</f>
        <v/>
      </c>
      <c r="AM120">
        <f>IF(P120&gt;0,L120/P120/0.947817,0)</f>
        <v/>
      </c>
      <c r="AN120">
        <f>IF(AND(P120&gt;0,ISNUMBER(K120)),L120*K120*1000000*E120,0)</f>
        <v/>
      </c>
    </row>
    <row r="121">
      <c r="A121">
        <f>'Kermeli Data'!A128</f>
        <v/>
      </c>
      <c r="B121">
        <f>'Kermeli Data'!B128</f>
        <v/>
      </c>
      <c r="C121">
        <f>'Kermeli Data'!P128</f>
        <v/>
      </c>
      <c r="D121">
        <f>IF(C121="2 whr","whr",IF(C121="3 proc","process","EXCLUDED"))</f>
        <v/>
      </c>
      <c r="E121">
        <f>'Kermeli Data'!E128</f>
        <v/>
      </c>
      <c r="F121">
        <f>'Kermeli Data'!F128</f>
        <v/>
      </c>
      <c r="G121">
        <f>'Kermeli Data'!G128</f>
        <v/>
      </c>
      <c r="H121">
        <f>'Kermeli Data'!I128</f>
        <v/>
      </c>
      <c r="I121">
        <f>'Kermeli Data'!J128</f>
        <v/>
      </c>
      <c r="J121">
        <f>'Kermeli Data'!K128</f>
        <v/>
      </c>
      <c r="K121">
        <f>IFERROR(_xlfn.XLOOKUP(A121,'product map'!$A$14:$A$36,'product map'!$G$14:$G$36),"pending")</f>
        <v/>
      </c>
      <c r="L121">
        <f>H121*cpi!$B$12*cpi!$B$10</f>
        <v/>
      </c>
      <c r="M121">
        <f>J121*cpi!$B$12*cpi!$B$10</f>
        <v/>
      </c>
      <c r="N121">
        <f>IF(I121&gt;0,AL121/(1-(1+AL121)^-I121),"")</f>
        <v/>
      </c>
      <c r="O121">
        <f>L121*N121+M121</f>
        <v/>
      </c>
      <c r="P121">
        <f>MAX(F121,0)+MAX(G121,0)</f>
        <v/>
      </c>
      <c r="Q121">
        <f>IF(P121&gt;0,MAX(F121,0)/P121,0)</f>
        <v/>
      </c>
      <c r="R121">
        <f>IF(P121&gt;0,MAX(G121,0)/P121,0)</f>
        <v/>
      </c>
      <c r="S121">
        <f>IF(P121&gt;0,O121/P121,"")</f>
        <v/>
      </c>
      <c r="T121">
        <f>IF(P121&gt;0,S121/$AE$3,"")</f>
        <v/>
      </c>
      <c r="U121">
        <f>IF(AND(P121&gt;0,Q121&gt;0),T121,"")</f>
        <v/>
      </c>
      <c r="V121">
        <f>IF(AND(P121&gt;0,R121&gt;0),T121,"")</f>
        <v/>
      </c>
      <c r="W121">
        <f>IF(I121&gt;0,$AE$2/(1-(1+$AE$2)^-I121),"")</f>
        <v/>
      </c>
      <c r="X121">
        <f>L121*W121+M121</f>
        <v/>
      </c>
      <c r="Y121">
        <f>IF(P121&gt;0,(X121/P121)/$AE$3,"")</f>
        <v/>
      </c>
      <c r="Z121">
        <f>IF(AND(ISNUMBER(K121),Q121&gt;0),MAX(F121,0)*K121*1000000*E121,"pending")</f>
        <v/>
      </c>
      <c r="AA121">
        <f>IF(AND(ISNUMBER(K121),R121&gt;0),MAX(G121,0)*K121*1000000*E121,"pending")</f>
        <v/>
      </c>
      <c r="AB121">
        <f>IF(AND(ISNUMBER(S121),S121&lt;0),"NEG-CCE","")&amp;IF(NOT(ISNUMBER(K121)),"|pending tonnage","")</f>
        <v/>
      </c>
      <c r="AG121">
        <f>IFERROR(_xlfn.XLOOKUP(A121,'product map'!$A$14:$A$36,'product map'!$C$14:$C$36),"?")</f>
        <v/>
      </c>
      <c r="AH121">
        <f>IFERROR((Z121*0.000000947817)/_xlfn.XLOOKUP(AG121,'energy base (MECS)'!$K$4:$K$9,'energy base (MECS)'!$F$4:$F$9),0)</f>
        <v/>
      </c>
      <c r="AI121">
        <f>IFERROR((AA121*0.000000947817)/_xlfn.XLOOKUP(AG121,'energy base (MECS)'!$K$4:$K$9,'energy base (MECS)'!$I$4:$I$9),0)</f>
        <v/>
      </c>
      <c r="AJ121">
        <f>MAX(0.3*ABS(AK121),0.000001)</f>
        <v/>
      </c>
      <c r="AK121">
        <f>IF(ISNUMBER(T121),T121,0)</f>
        <v/>
      </c>
      <c r="AL121">
        <f>IFERROR(_xlfn.XLOOKUP(AG121,'BCoISC-WACCbI'!$C$2:$C$26,'BCoISC-WACCbI'!$B$2:$B$26)+$AE$4,0.1)</f>
        <v/>
      </c>
      <c r="AM121">
        <f>IF(P121&gt;0,L121/P121/0.947817,0)</f>
        <v/>
      </c>
      <c r="AN121">
        <f>IF(AND(P121&gt;0,ISNUMBER(K121)),L121*K121*1000000*E121,0)</f>
        <v/>
      </c>
    </row>
    <row r="122">
      <c r="A122">
        <f>'Kermeli Data'!A129</f>
        <v/>
      </c>
      <c r="B122">
        <f>'Kermeli Data'!B129</f>
        <v/>
      </c>
      <c r="C122">
        <f>'Kermeli Data'!P129</f>
        <v/>
      </c>
      <c r="D122">
        <f>IF(C122="2 whr","whr",IF(C122="3 proc","process","EXCLUDED"))</f>
        <v/>
      </c>
      <c r="E122">
        <f>'Kermeli Data'!E129</f>
        <v/>
      </c>
      <c r="F122">
        <f>'Kermeli Data'!F129</f>
        <v/>
      </c>
      <c r="G122">
        <f>'Kermeli Data'!G129</f>
        <v/>
      </c>
      <c r="H122">
        <f>'Kermeli Data'!I129</f>
        <v/>
      </c>
      <c r="I122">
        <f>'Kermeli Data'!J129</f>
        <v/>
      </c>
      <c r="J122">
        <f>'Kermeli Data'!K129</f>
        <v/>
      </c>
      <c r="K122">
        <f>IFERROR(_xlfn.XLOOKUP(A122,'product map'!$A$14:$A$36,'product map'!$G$14:$G$36),"pending")</f>
        <v/>
      </c>
      <c r="L122">
        <f>H122*cpi!$B$12*cpi!$B$10</f>
        <v/>
      </c>
      <c r="M122">
        <f>J122*cpi!$B$12*cpi!$B$10</f>
        <v/>
      </c>
      <c r="N122">
        <f>IF(I122&gt;0,AL122/(1-(1+AL122)^-I122),"")</f>
        <v/>
      </c>
      <c r="O122">
        <f>L122*N122+M122</f>
        <v/>
      </c>
      <c r="P122">
        <f>MAX(F122,0)+MAX(G122,0)</f>
        <v/>
      </c>
      <c r="Q122">
        <f>IF(P122&gt;0,MAX(F122,0)/P122,0)</f>
        <v/>
      </c>
      <c r="R122">
        <f>IF(P122&gt;0,MAX(G122,0)/P122,0)</f>
        <v/>
      </c>
      <c r="S122">
        <f>IF(P122&gt;0,O122/P122,"")</f>
        <v/>
      </c>
      <c r="T122">
        <f>IF(P122&gt;0,S122/$AE$3,"")</f>
        <v/>
      </c>
      <c r="U122">
        <f>IF(AND(P122&gt;0,Q122&gt;0),T122,"")</f>
        <v/>
      </c>
      <c r="V122">
        <f>IF(AND(P122&gt;0,R122&gt;0),T122,"")</f>
        <v/>
      </c>
      <c r="W122">
        <f>IF(I122&gt;0,$AE$2/(1-(1+$AE$2)^-I122),"")</f>
        <v/>
      </c>
      <c r="X122">
        <f>L122*W122+M122</f>
        <v/>
      </c>
      <c r="Y122">
        <f>IF(P122&gt;0,(X122/P122)/$AE$3,"")</f>
        <v/>
      </c>
      <c r="Z122">
        <f>IF(AND(ISNUMBER(K122),Q122&gt;0),MAX(F122,0)*K122*1000000*E122,"pending")</f>
        <v/>
      </c>
      <c r="AA122">
        <f>IF(AND(ISNUMBER(K122),R122&gt;0),MAX(G122,0)*K122*1000000*E122,"pending")</f>
        <v/>
      </c>
      <c r="AB122">
        <f>IF(AND(ISNUMBER(S122),S122&lt;0),"NEG-CCE","")&amp;IF(NOT(ISNUMBER(K122)),"|pending tonnage","")</f>
        <v/>
      </c>
      <c r="AG122">
        <f>IFERROR(_xlfn.XLOOKUP(A122,'product map'!$A$14:$A$36,'product map'!$C$14:$C$36),"?")</f>
        <v/>
      </c>
      <c r="AH122">
        <f>IFERROR((Z122*0.000000947817)/_xlfn.XLOOKUP(AG122,'energy base (MECS)'!$K$4:$K$9,'energy base (MECS)'!$F$4:$F$9),0)</f>
        <v/>
      </c>
      <c r="AI122">
        <f>IFERROR((AA122*0.000000947817)/_xlfn.XLOOKUP(AG122,'energy base (MECS)'!$K$4:$K$9,'energy base (MECS)'!$I$4:$I$9),0)</f>
        <v/>
      </c>
      <c r="AJ122">
        <f>MAX(0.3*ABS(AK122),0.000001)</f>
        <v/>
      </c>
      <c r="AK122">
        <f>IF(ISNUMBER(T122),T122,0)</f>
        <v/>
      </c>
      <c r="AL122">
        <f>IFERROR(_xlfn.XLOOKUP(AG122,'BCoISC-WACCbI'!$C$2:$C$26,'BCoISC-WACCbI'!$B$2:$B$26)+$AE$4,0.1)</f>
        <v/>
      </c>
      <c r="AM122">
        <f>IF(P122&gt;0,L122/P122/0.947817,0)</f>
        <v/>
      </c>
      <c r="AN122">
        <f>IF(AND(P122&gt;0,ISNUMBER(K122)),L122*K122*1000000*E122,0)</f>
        <v/>
      </c>
    </row>
    <row r="123">
      <c r="A123">
        <f>'Kermeli Data'!A130</f>
        <v/>
      </c>
      <c r="B123">
        <f>'Kermeli Data'!B130</f>
        <v/>
      </c>
      <c r="C123">
        <f>'Kermeli Data'!P130</f>
        <v/>
      </c>
      <c r="D123">
        <f>IF(C123="2 whr","whr",IF(C123="3 proc","process","EXCLUDED"))</f>
        <v/>
      </c>
      <c r="E123">
        <f>'Kermeli Data'!E130</f>
        <v/>
      </c>
      <c r="F123">
        <f>'Kermeli Data'!F130</f>
        <v/>
      </c>
      <c r="G123">
        <f>'Kermeli Data'!G130</f>
        <v/>
      </c>
      <c r="H123">
        <f>'Kermeli Data'!I130</f>
        <v/>
      </c>
      <c r="I123">
        <f>'Kermeli Data'!J130</f>
        <v/>
      </c>
      <c r="J123">
        <f>'Kermeli Data'!K130</f>
        <v/>
      </c>
      <c r="K123">
        <f>IFERROR(_xlfn.XLOOKUP(A123,'product map'!$A$14:$A$36,'product map'!$G$14:$G$36),"pending")</f>
        <v/>
      </c>
      <c r="L123">
        <f>H123*cpi!$B$12*cpi!$B$10</f>
        <v/>
      </c>
      <c r="M123">
        <f>J123*cpi!$B$12*cpi!$B$10</f>
        <v/>
      </c>
      <c r="N123">
        <f>IF(I123&gt;0,AL123/(1-(1+AL123)^-I123),"")</f>
        <v/>
      </c>
      <c r="O123">
        <f>L123*N123+M123</f>
        <v/>
      </c>
      <c r="P123">
        <f>MAX(F123,0)+MAX(G123,0)</f>
        <v/>
      </c>
      <c r="Q123">
        <f>IF(P123&gt;0,MAX(F123,0)/P123,0)</f>
        <v/>
      </c>
      <c r="R123">
        <f>IF(P123&gt;0,MAX(G123,0)/P123,0)</f>
        <v/>
      </c>
      <c r="S123">
        <f>IF(P123&gt;0,O123/P123,"")</f>
        <v/>
      </c>
      <c r="T123">
        <f>IF(P123&gt;0,S123/$AE$3,"")</f>
        <v/>
      </c>
      <c r="U123">
        <f>IF(AND(P123&gt;0,Q123&gt;0),T123,"")</f>
        <v/>
      </c>
      <c r="V123">
        <f>IF(AND(P123&gt;0,R123&gt;0),T123,"")</f>
        <v/>
      </c>
      <c r="W123">
        <f>IF(I123&gt;0,$AE$2/(1-(1+$AE$2)^-I123),"")</f>
        <v/>
      </c>
      <c r="X123">
        <f>L123*W123+M123</f>
        <v/>
      </c>
      <c r="Y123">
        <f>IF(P123&gt;0,(X123/P123)/$AE$3,"")</f>
        <v/>
      </c>
      <c r="Z123">
        <f>IF(AND(ISNUMBER(K123),Q123&gt;0),MAX(F123,0)*K123*1000000*E123,"pending")</f>
        <v/>
      </c>
      <c r="AA123">
        <f>IF(AND(ISNUMBER(K123),R123&gt;0),MAX(G123,0)*K123*1000000*E123,"pending")</f>
        <v/>
      </c>
      <c r="AB123">
        <f>IF(AND(ISNUMBER(S123),S123&lt;0),"NEG-CCE","")&amp;IF(NOT(ISNUMBER(K123)),"|pending tonnage","")</f>
        <v/>
      </c>
      <c r="AG123">
        <f>IFERROR(_xlfn.XLOOKUP(A123,'product map'!$A$14:$A$36,'product map'!$C$14:$C$36),"?")</f>
        <v/>
      </c>
      <c r="AH123">
        <f>IFERROR((Z123*0.000000947817)/_xlfn.XLOOKUP(AG123,'energy base (MECS)'!$K$4:$K$9,'energy base (MECS)'!$F$4:$F$9),0)</f>
        <v/>
      </c>
      <c r="AI123">
        <f>IFERROR((AA123*0.000000947817)/_xlfn.XLOOKUP(AG123,'energy base (MECS)'!$K$4:$K$9,'energy base (MECS)'!$I$4:$I$9),0)</f>
        <v/>
      </c>
      <c r="AJ123">
        <f>MAX(0.3*ABS(AK123),0.000001)</f>
        <v/>
      </c>
      <c r="AK123">
        <f>IF(ISNUMBER(T123),T123,0)</f>
        <v/>
      </c>
      <c r="AL123">
        <f>IFERROR(_xlfn.XLOOKUP(AG123,'BCoISC-WACCbI'!$C$2:$C$26,'BCoISC-WACCbI'!$B$2:$B$26)+$AE$4,0.1)</f>
        <v/>
      </c>
      <c r="AM123">
        <f>IF(P123&gt;0,L123/P123/0.947817,0)</f>
        <v/>
      </c>
      <c r="AN123">
        <f>IF(AND(P123&gt;0,ISNUMBER(K123)),L123*K123*1000000*E123,0)</f>
        <v/>
      </c>
    </row>
    <row r="124">
      <c r="A124">
        <f>'Kermeli Data'!A131</f>
        <v/>
      </c>
      <c r="B124">
        <f>'Kermeli Data'!B131</f>
        <v/>
      </c>
      <c r="C124">
        <f>'Kermeli Data'!P131</f>
        <v/>
      </c>
      <c r="D124">
        <f>IF(C124="2 whr","whr",IF(C124="3 proc","process","EXCLUDED"))</f>
        <v/>
      </c>
      <c r="E124">
        <f>'Kermeli Data'!E131</f>
        <v/>
      </c>
      <c r="F124">
        <f>'Kermeli Data'!F131</f>
        <v/>
      </c>
      <c r="G124">
        <f>'Kermeli Data'!G131</f>
        <v/>
      </c>
      <c r="H124">
        <f>'Kermeli Data'!I131</f>
        <v/>
      </c>
      <c r="I124">
        <f>'Kermeli Data'!J131</f>
        <v/>
      </c>
      <c r="J124">
        <f>'Kermeli Data'!K131</f>
        <v/>
      </c>
      <c r="K124">
        <f>IFERROR(_xlfn.XLOOKUP(A124,'product map'!$A$14:$A$36,'product map'!$G$14:$G$36),"pending")</f>
        <v/>
      </c>
      <c r="L124">
        <f>H124*cpi!$B$12*cpi!$B$10</f>
        <v/>
      </c>
      <c r="M124">
        <f>J124*cpi!$B$12*cpi!$B$10</f>
        <v/>
      </c>
      <c r="N124">
        <f>IF(I124&gt;0,AL124/(1-(1+AL124)^-I124),"")</f>
        <v/>
      </c>
      <c r="O124">
        <f>L124*N124+M124</f>
        <v/>
      </c>
      <c r="P124">
        <f>MAX(F124,0)+MAX(G124,0)</f>
        <v/>
      </c>
      <c r="Q124">
        <f>IF(P124&gt;0,MAX(F124,0)/P124,0)</f>
        <v/>
      </c>
      <c r="R124">
        <f>IF(P124&gt;0,MAX(G124,0)/P124,0)</f>
        <v/>
      </c>
      <c r="S124">
        <f>IF(P124&gt;0,O124/P124,"")</f>
        <v/>
      </c>
      <c r="T124">
        <f>IF(P124&gt;0,S124/$AE$3,"")</f>
        <v/>
      </c>
      <c r="U124">
        <f>IF(AND(P124&gt;0,Q124&gt;0),T124,"")</f>
        <v/>
      </c>
      <c r="V124">
        <f>IF(AND(P124&gt;0,R124&gt;0),T124,"")</f>
        <v/>
      </c>
      <c r="W124">
        <f>IF(I124&gt;0,$AE$2/(1-(1+$AE$2)^-I124),"")</f>
        <v/>
      </c>
      <c r="X124">
        <f>L124*W124+M124</f>
        <v/>
      </c>
      <c r="Y124">
        <f>IF(P124&gt;0,(X124/P124)/$AE$3,"")</f>
        <v/>
      </c>
      <c r="Z124">
        <f>IF(AND(ISNUMBER(K124),Q124&gt;0),MAX(F124,0)*K124*1000000*E124,"pending")</f>
        <v/>
      </c>
      <c r="AA124">
        <f>IF(AND(ISNUMBER(K124),R124&gt;0),MAX(G124,0)*K124*1000000*E124,"pending")</f>
        <v/>
      </c>
      <c r="AB124">
        <f>IF(AND(ISNUMBER(S124),S124&lt;0),"NEG-CCE","")&amp;IF(NOT(ISNUMBER(K124)),"|pending tonnage","")</f>
        <v/>
      </c>
      <c r="AG124">
        <f>IFERROR(_xlfn.XLOOKUP(A124,'product map'!$A$14:$A$36,'product map'!$C$14:$C$36),"?")</f>
        <v/>
      </c>
      <c r="AH124">
        <f>IFERROR((Z124*0.000000947817)/_xlfn.XLOOKUP(AG124,'energy base (MECS)'!$K$4:$K$9,'energy base (MECS)'!$F$4:$F$9),0)</f>
        <v/>
      </c>
      <c r="AI124">
        <f>IFERROR((AA124*0.000000947817)/_xlfn.XLOOKUP(AG124,'energy base (MECS)'!$K$4:$K$9,'energy base (MECS)'!$I$4:$I$9),0)</f>
        <v/>
      </c>
      <c r="AJ124">
        <f>MAX(0.3*ABS(AK124),0.000001)</f>
        <v/>
      </c>
      <c r="AK124">
        <f>IF(ISNUMBER(T124),T124,0)</f>
        <v/>
      </c>
      <c r="AL124">
        <f>IFERROR(_xlfn.XLOOKUP(AG124,'BCoISC-WACCbI'!$C$2:$C$26,'BCoISC-WACCbI'!$B$2:$B$26)+$AE$4,0.1)</f>
        <v/>
      </c>
      <c r="AM124">
        <f>IF(P124&gt;0,L124/P124/0.947817,0)</f>
        <v/>
      </c>
      <c r="AN124">
        <f>IF(AND(P124&gt;0,ISNUMBER(K124)),L124*K124*1000000*E124,0)</f>
        <v/>
      </c>
    </row>
    <row r="125">
      <c r="A125">
        <f>'Kermeli Data'!A132</f>
        <v/>
      </c>
      <c r="B125">
        <f>'Kermeli Data'!B132</f>
        <v/>
      </c>
      <c r="C125">
        <f>'Kermeli Data'!P132</f>
        <v/>
      </c>
      <c r="D125">
        <f>IF(C125="2 whr","whr",IF(C125="3 proc","process","EXCLUDED"))</f>
        <v/>
      </c>
      <c r="E125">
        <f>'Kermeli Data'!E132</f>
        <v/>
      </c>
      <c r="F125">
        <f>'Kermeli Data'!F132</f>
        <v/>
      </c>
      <c r="G125">
        <f>'Kermeli Data'!G132</f>
        <v/>
      </c>
      <c r="H125">
        <f>'Kermeli Data'!I132</f>
        <v/>
      </c>
      <c r="I125">
        <f>'Kermeli Data'!J132</f>
        <v/>
      </c>
      <c r="J125">
        <f>'Kermeli Data'!K132</f>
        <v/>
      </c>
      <c r="K125">
        <f>IFERROR(_xlfn.XLOOKUP(A125,'product map'!$A$14:$A$36,'product map'!$G$14:$G$36),"pending")</f>
        <v/>
      </c>
      <c r="L125">
        <f>H125*cpi!$B$12*cpi!$B$10</f>
        <v/>
      </c>
      <c r="M125">
        <f>J125*cpi!$B$12*cpi!$B$10</f>
        <v/>
      </c>
      <c r="N125">
        <f>IF(I125&gt;0,AL125/(1-(1+AL125)^-I125),"")</f>
        <v/>
      </c>
      <c r="O125">
        <f>L125*N125+M125</f>
        <v/>
      </c>
      <c r="P125">
        <f>MAX(F125,0)+MAX(G125,0)</f>
        <v/>
      </c>
      <c r="Q125">
        <f>IF(P125&gt;0,MAX(F125,0)/P125,0)</f>
        <v/>
      </c>
      <c r="R125">
        <f>IF(P125&gt;0,MAX(G125,0)/P125,0)</f>
        <v/>
      </c>
      <c r="S125">
        <f>IF(P125&gt;0,O125/P125,"")</f>
        <v/>
      </c>
      <c r="T125">
        <f>IF(P125&gt;0,S125/$AE$3,"")</f>
        <v/>
      </c>
      <c r="U125">
        <f>IF(AND(P125&gt;0,Q125&gt;0),T125,"")</f>
        <v/>
      </c>
      <c r="V125">
        <f>IF(AND(P125&gt;0,R125&gt;0),T125,"")</f>
        <v/>
      </c>
      <c r="W125">
        <f>IF(I125&gt;0,$AE$2/(1-(1+$AE$2)^-I125),"")</f>
        <v/>
      </c>
      <c r="X125">
        <f>L125*W125+M125</f>
        <v/>
      </c>
      <c r="Y125">
        <f>IF(P125&gt;0,(X125/P125)/$AE$3,"")</f>
        <v/>
      </c>
      <c r="Z125">
        <f>IF(AND(ISNUMBER(K125),Q125&gt;0),MAX(F125,0)*K125*1000000*E125,"pending")</f>
        <v/>
      </c>
      <c r="AA125">
        <f>IF(AND(ISNUMBER(K125),R125&gt;0),MAX(G125,0)*K125*1000000*E125,"pending")</f>
        <v/>
      </c>
      <c r="AB125">
        <f>IF(AND(ISNUMBER(S125),S125&lt;0),"NEG-CCE","")&amp;IF(NOT(ISNUMBER(K125)),"|pending tonnage","")</f>
        <v/>
      </c>
      <c r="AG125">
        <f>IFERROR(_xlfn.XLOOKUP(A125,'product map'!$A$14:$A$36,'product map'!$C$14:$C$36),"?")</f>
        <v/>
      </c>
      <c r="AH125">
        <f>IFERROR((Z125*0.000000947817)/_xlfn.XLOOKUP(AG125,'energy base (MECS)'!$K$4:$K$9,'energy base (MECS)'!$F$4:$F$9),0)</f>
        <v/>
      </c>
      <c r="AI125">
        <f>IFERROR((AA125*0.000000947817)/_xlfn.XLOOKUP(AG125,'energy base (MECS)'!$K$4:$K$9,'energy base (MECS)'!$I$4:$I$9),0)</f>
        <v/>
      </c>
      <c r="AJ125">
        <f>MAX(0.3*ABS(AK125),0.000001)</f>
        <v/>
      </c>
      <c r="AK125">
        <f>IF(ISNUMBER(T125),T125,0)</f>
        <v/>
      </c>
      <c r="AL125">
        <f>IFERROR(_xlfn.XLOOKUP(AG125,'BCoISC-WACCbI'!$C$2:$C$26,'BCoISC-WACCbI'!$B$2:$B$26)+$AE$4,0.1)</f>
        <v/>
      </c>
      <c r="AM125">
        <f>IF(P125&gt;0,L125/P125/0.947817,0)</f>
        <v/>
      </c>
      <c r="AN125">
        <f>IF(AND(P125&gt;0,ISNUMBER(K125)),L125*K125*1000000*E125,0)</f>
        <v/>
      </c>
    </row>
    <row r="126">
      <c r="A126">
        <f>'Kermeli Data'!A133</f>
        <v/>
      </c>
      <c r="B126">
        <f>'Kermeli Data'!B133</f>
        <v/>
      </c>
      <c r="C126">
        <f>'Kermeli Data'!P133</f>
        <v/>
      </c>
      <c r="D126">
        <f>IF(C126="2 whr","whr",IF(C126="3 proc","process","EXCLUDED"))</f>
        <v/>
      </c>
      <c r="E126">
        <f>'Kermeli Data'!E133</f>
        <v/>
      </c>
      <c r="F126">
        <f>'Kermeli Data'!F133</f>
        <v/>
      </c>
      <c r="G126">
        <f>'Kermeli Data'!G133</f>
        <v/>
      </c>
      <c r="H126">
        <f>'Kermeli Data'!I133</f>
        <v/>
      </c>
      <c r="I126">
        <f>'Kermeli Data'!J133</f>
        <v/>
      </c>
      <c r="J126">
        <f>'Kermeli Data'!K133</f>
        <v/>
      </c>
      <c r="K126">
        <f>IFERROR(_xlfn.XLOOKUP(A126,'product map'!$A$14:$A$36,'product map'!$G$14:$G$36),"pending")</f>
        <v/>
      </c>
      <c r="L126">
        <f>H126*cpi!$B$12*cpi!$B$10</f>
        <v/>
      </c>
      <c r="M126">
        <f>J126*cpi!$B$12*cpi!$B$10</f>
        <v/>
      </c>
      <c r="N126">
        <f>IF(I126&gt;0,AL126/(1-(1+AL126)^-I126),"")</f>
        <v/>
      </c>
      <c r="O126">
        <f>L126*N126+M126</f>
        <v/>
      </c>
      <c r="P126">
        <f>MAX(F126,0)+MAX(G126,0)</f>
        <v/>
      </c>
      <c r="Q126">
        <f>IF(P126&gt;0,MAX(F126,0)/P126,0)</f>
        <v/>
      </c>
      <c r="R126">
        <f>IF(P126&gt;0,MAX(G126,0)/P126,0)</f>
        <v/>
      </c>
      <c r="S126">
        <f>IF(P126&gt;0,O126/P126,"")</f>
        <v/>
      </c>
      <c r="T126">
        <f>IF(P126&gt;0,S126/$AE$3,"")</f>
        <v/>
      </c>
      <c r="U126">
        <f>IF(AND(P126&gt;0,Q126&gt;0),T126,"")</f>
        <v/>
      </c>
      <c r="V126">
        <f>IF(AND(P126&gt;0,R126&gt;0),T126,"")</f>
        <v/>
      </c>
      <c r="W126">
        <f>IF(I126&gt;0,$AE$2/(1-(1+$AE$2)^-I126),"")</f>
        <v/>
      </c>
      <c r="X126">
        <f>L126*W126+M126</f>
        <v/>
      </c>
      <c r="Y126">
        <f>IF(P126&gt;0,(X126/P126)/$AE$3,"")</f>
        <v/>
      </c>
      <c r="Z126">
        <f>IF(AND(ISNUMBER(K126),Q126&gt;0),MAX(F126,0)*K126*1000000*E126,"pending")</f>
        <v/>
      </c>
      <c r="AA126">
        <f>IF(AND(ISNUMBER(K126),R126&gt;0),MAX(G126,0)*K126*1000000*E126,"pending")</f>
        <v/>
      </c>
      <c r="AB126">
        <f>IF(AND(ISNUMBER(S126),S126&lt;0),"NEG-CCE","")&amp;IF(NOT(ISNUMBER(K126)),"|pending tonnage","")</f>
        <v/>
      </c>
      <c r="AG126">
        <f>IFERROR(_xlfn.XLOOKUP(A126,'product map'!$A$14:$A$36,'product map'!$C$14:$C$36),"?")</f>
        <v/>
      </c>
      <c r="AH126">
        <f>IFERROR((Z126*0.000000947817)/_xlfn.XLOOKUP(AG126,'energy base (MECS)'!$K$4:$K$9,'energy base (MECS)'!$F$4:$F$9),0)</f>
        <v/>
      </c>
      <c r="AI126">
        <f>IFERROR((AA126*0.000000947817)/_xlfn.XLOOKUP(AG126,'energy base (MECS)'!$K$4:$K$9,'energy base (MECS)'!$I$4:$I$9),0)</f>
        <v/>
      </c>
      <c r="AJ126">
        <f>MAX(0.3*ABS(AK126),0.000001)</f>
        <v/>
      </c>
      <c r="AK126">
        <f>IF(ISNUMBER(T126),T126,0)</f>
        <v/>
      </c>
      <c r="AL126">
        <f>IFERROR(_xlfn.XLOOKUP(AG126,'BCoISC-WACCbI'!$C$2:$C$26,'BCoISC-WACCbI'!$B$2:$B$26)+$AE$4,0.1)</f>
        <v/>
      </c>
      <c r="AM126">
        <f>IF(P126&gt;0,L126/P126/0.947817,0)</f>
        <v/>
      </c>
      <c r="AN126">
        <f>IF(AND(P126&gt;0,ISNUMBER(K126)),L126*K126*1000000*E126,0)</f>
        <v/>
      </c>
    </row>
    <row r="127">
      <c r="A127">
        <f>'Kermeli Data'!A134</f>
        <v/>
      </c>
      <c r="B127">
        <f>'Kermeli Data'!B134</f>
        <v/>
      </c>
      <c r="C127">
        <f>'Kermeli Data'!P134</f>
        <v/>
      </c>
      <c r="D127">
        <f>IF(C127="2 whr","whr",IF(C127="3 proc","process","EXCLUDED"))</f>
        <v/>
      </c>
      <c r="E127">
        <f>'Kermeli Data'!E134</f>
        <v/>
      </c>
      <c r="F127">
        <f>'Kermeli Data'!F134</f>
        <v/>
      </c>
      <c r="G127">
        <f>'Kermeli Data'!G134</f>
        <v/>
      </c>
      <c r="H127">
        <f>'Kermeli Data'!I134</f>
        <v/>
      </c>
      <c r="I127">
        <f>'Kermeli Data'!J134</f>
        <v/>
      </c>
      <c r="J127">
        <f>'Kermeli Data'!K134</f>
        <v/>
      </c>
      <c r="K127">
        <f>IFERROR(_xlfn.XLOOKUP(A127,'product map'!$A$14:$A$36,'product map'!$G$14:$G$36),"pending")</f>
        <v/>
      </c>
      <c r="L127">
        <f>H127*cpi!$B$12*cpi!$B$10</f>
        <v/>
      </c>
      <c r="M127">
        <f>J127*cpi!$B$12*cpi!$B$10</f>
        <v/>
      </c>
      <c r="N127">
        <f>IF(I127&gt;0,AL127/(1-(1+AL127)^-I127),"")</f>
        <v/>
      </c>
      <c r="O127">
        <f>L127*N127+M127</f>
        <v/>
      </c>
      <c r="P127">
        <f>MAX(F127,0)+MAX(G127,0)</f>
        <v/>
      </c>
      <c r="Q127">
        <f>IF(P127&gt;0,MAX(F127,0)/P127,0)</f>
        <v/>
      </c>
      <c r="R127">
        <f>IF(P127&gt;0,MAX(G127,0)/P127,0)</f>
        <v/>
      </c>
      <c r="S127">
        <f>IF(P127&gt;0,O127/P127,"")</f>
        <v/>
      </c>
      <c r="T127">
        <f>IF(P127&gt;0,S127/$AE$3,"")</f>
        <v/>
      </c>
      <c r="U127">
        <f>IF(AND(P127&gt;0,Q127&gt;0),T127,"")</f>
        <v/>
      </c>
      <c r="V127">
        <f>IF(AND(P127&gt;0,R127&gt;0),T127,"")</f>
        <v/>
      </c>
      <c r="W127">
        <f>IF(I127&gt;0,$AE$2/(1-(1+$AE$2)^-I127),"")</f>
        <v/>
      </c>
      <c r="X127">
        <f>L127*W127+M127</f>
        <v/>
      </c>
      <c r="Y127">
        <f>IF(P127&gt;0,(X127/P127)/$AE$3,"")</f>
        <v/>
      </c>
      <c r="Z127">
        <f>IF(AND(ISNUMBER(K127),Q127&gt;0),MAX(F127,0)*K127*1000000*E127,"pending")</f>
        <v/>
      </c>
      <c r="AA127">
        <f>IF(AND(ISNUMBER(K127),R127&gt;0),MAX(G127,0)*K127*1000000*E127,"pending")</f>
        <v/>
      </c>
      <c r="AB127">
        <f>IF(AND(ISNUMBER(S127),S127&lt;0),"NEG-CCE","")&amp;IF(NOT(ISNUMBER(K127)),"|pending tonnage","")</f>
        <v/>
      </c>
      <c r="AG127">
        <f>IFERROR(_xlfn.XLOOKUP(A127,'product map'!$A$14:$A$36,'product map'!$C$14:$C$36),"?")</f>
        <v/>
      </c>
      <c r="AH127">
        <f>IFERROR((Z127*0.000000947817)/_xlfn.XLOOKUP(AG127,'energy base (MECS)'!$K$4:$K$9,'energy base (MECS)'!$F$4:$F$9),0)</f>
        <v/>
      </c>
      <c r="AI127">
        <f>IFERROR((AA127*0.000000947817)/_xlfn.XLOOKUP(AG127,'energy base (MECS)'!$K$4:$K$9,'energy base (MECS)'!$I$4:$I$9),0)</f>
        <v/>
      </c>
      <c r="AJ127">
        <f>MAX(0.3*ABS(AK127),0.000001)</f>
        <v/>
      </c>
      <c r="AK127">
        <f>IF(ISNUMBER(T127),T127,0)</f>
        <v/>
      </c>
      <c r="AL127">
        <f>IFERROR(_xlfn.XLOOKUP(AG127,'BCoISC-WACCbI'!$C$2:$C$26,'BCoISC-WACCbI'!$B$2:$B$26)+$AE$4,0.1)</f>
        <v/>
      </c>
      <c r="AM127">
        <f>IF(P127&gt;0,L127/P127/0.947817,0)</f>
        <v/>
      </c>
      <c r="AN127">
        <f>IF(AND(P127&gt;0,ISNUMBER(K127)),L127*K127*1000000*E127,0)</f>
        <v/>
      </c>
    </row>
    <row r="128">
      <c r="A128">
        <f>'Kermeli Data'!A135</f>
        <v/>
      </c>
      <c r="B128">
        <f>'Kermeli Data'!B135</f>
        <v/>
      </c>
      <c r="C128">
        <f>'Kermeli Data'!P135</f>
        <v/>
      </c>
      <c r="D128">
        <f>IF(C128="2 whr","whr",IF(C128="3 proc","process","EXCLUDED"))</f>
        <v/>
      </c>
      <c r="E128">
        <f>'Kermeli Data'!E135</f>
        <v/>
      </c>
      <c r="F128">
        <f>'Kermeli Data'!F135</f>
        <v/>
      </c>
      <c r="G128">
        <f>'Kermeli Data'!G135</f>
        <v/>
      </c>
      <c r="H128">
        <f>'Kermeli Data'!I135</f>
        <v/>
      </c>
      <c r="I128">
        <f>'Kermeli Data'!J135</f>
        <v/>
      </c>
      <c r="J128">
        <f>'Kermeli Data'!K135</f>
        <v/>
      </c>
      <c r="K128">
        <f>IFERROR(_xlfn.XLOOKUP(A128,'product map'!$A$14:$A$36,'product map'!$G$14:$G$36),"pending")</f>
        <v/>
      </c>
      <c r="L128">
        <f>H128*cpi!$B$12*cpi!$B$10</f>
        <v/>
      </c>
      <c r="M128">
        <f>J128*cpi!$B$12*cpi!$B$10</f>
        <v/>
      </c>
      <c r="N128">
        <f>IF(I128&gt;0,AL128/(1-(1+AL128)^-I128),"")</f>
        <v/>
      </c>
      <c r="O128">
        <f>L128*N128+M128</f>
        <v/>
      </c>
      <c r="P128">
        <f>MAX(F128,0)+MAX(G128,0)</f>
        <v/>
      </c>
      <c r="Q128">
        <f>IF(P128&gt;0,MAX(F128,0)/P128,0)</f>
        <v/>
      </c>
      <c r="R128">
        <f>IF(P128&gt;0,MAX(G128,0)/P128,0)</f>
        <v/>
      </c>
      <c r="S128">
        <f>IF(P128&gt;0,O128/P128,"")</f>
        <v/>
      </c>
      <c r="T128">
        <f>IF(P128&gt;0,S128/$AE$3,"")</f>
        <v/>
      </c>
      <c r="U128">
        <f>IF(AND(P128&gt;0,Q128&gt;0),T128,"")</f>
        <v/>
      </c>
      <c r="V128">
        <f>IF(AND(P128&gt;0,R128&gt;0),T128,"")</f>
        <v/>
      </c>
      <c r="W128">
        <f>IF(I128&gt;0,$AE$2/(1-(1+$AE$2)^-I128),"")</f>
        <v/>
      </c>
      <c r="X128">
        <f>L128*W128+M128</f>
        <v/>
      </c>
      <c r="Y128">
        <f>IF(P128&gt;0,(X128/P128)/$AE$3,"")</f>
        <v/>
      </c>
      <c r="Z128">
        <f>IF(AND(ISNUMBER(K128),Q128&gt;0),MAX(F128,0)*K128*1000000*E128,"pending")</f>
        <v/>
      </c>
      <c r="AA128">
        <f>IF(AND(ISNUMBER(K128),R128&gt;0),MAX(G128,0)*K128*1000000*E128,"pending")</f>
        <v/>
      </c>
      <c r="AB128">
        <f>IF(AND(ISNUMBER(S128),S128&lt;0),"NEG-CCE","")&amp;IF(NOT(ISNUMBER(K128)),"|pending tonnage","")</f>
        <v/>
      </c>
      <c r="AG128">
        <f>IFERROR(_xlfn.XLOOKUP(A128,'product map'!$A$14:$A$36,'product map'!$C$14:$C$36),"?")</f>
        <v/>
      </c>
      <c r="AH128">
        <f>IFERROR((Z128*0.000000947817)/_xlfn.XLOOKUP(AG128,'energy base (MECS)'!$K$4:$K$9,'energy base (MECS)'!$F$4:$F$9),0)</f>
        <v/>
      </c>
      <c r="AI128">
        <f>IFERROR((AA128*0.000000947817)/_xlfn.XLOOKUP(AG128,'energy base (MECS)'!$K$4:$K$9,'energy base (MECS)'!$I$4:$I$9),0)</f>
        <v/>
      </c>
      <c r="AJ128">
        <f>MAX(0.3*ABS(AK128),0.000001)</f>
        <v/>
      </c>
      <c r="AK128">
        <f>IF(ISNUMBER(T128),T128,0)</f>
        <v/>
      </c>
      <c r="AL128">
        <f>IFERROR(_xlfn.XLOOKUP(AG128,'BCoISC-WACCbI'!$C$2:$C$26,'BCoISC-WACCbI'!$B$2:$B$26)+$AE$4,0.1)</f>
        <v/>
      </c>
      <c r="AM128">
        <f>IF(P128&gt;0,L128/P128/0.947817,0)</f>
        <v/>
      </c>
      <c r="AN128">
        <f>IF(AND(P128&gt;0,ISNUMBER(K128)),L128*K128*1000000*E128,0)</f>
        <v/>
      </c>
    </row>
    <row r="129">
      <c r="A129">
        <f>'Kermeli Data'!A136</f>
        <v/>
      </c>
      <c r="B129">
        <f>'Kermeli Data'!B136</f>
        <v/>
      </c>
      <c r="C129">
        <f>'Kermeli Data'!P136</f>
        <v/>
      </c>
      <c r="D129">
        <f>IF(C129="2 whr","whr",IF(C129="3 proc","process","EXCLUDED"))</f>
        <v/>
      </c>
      <c r="E129">
        <f>'Kermeli Data'!E136</f>
        <v/>
      </c>
      <c r="F129">
        <f>'Kermeli Data'!F136</f>
        <v/>
      </c>
      <c r="G129">
        <f>'Kermeli Data'!G136</f>
        <v/>
      </c>
      <c r="H129">
        <f>'Kermeli Data'!I136</f>
        <v/>
      </c>
      <c r="I129">
        <f>'Kermeli Data'!J136</f>
        <v/>
      </c>
      <c r="J129">
        <f>'Kermeli Data'!K136</f>
        <v/>
      </c>
      <c r="K129">
        <f>IFERROR(_xlfn.XLOOKUP(A129,'product map'!$A$14:$A$36,'product map'!$G$14:$G$36),"pending")</f>
        <v/>
      </c>
      <c r="L129">
        <f>H129*cpi!$B$12*cpi!$B$10</f>
        <v/>
      </c>
      <c r="M129">
        <f>J129*cpi!$B$12*cpi!$B$10</f>
        <v/>
      </c>
      <c r="N129">
        <f>IF(I129&gt;0,AL129/(1-(1+AL129)^-I129),"")</f>
        <v/>
      </c>
      <c r="O129">
        <f>L129*N129+M129</f>
        <v/>
      </c>
      <c r="P129">
        <f>MAX(F129,0)+MAX(G129,0)</f>
        <v/>
      </c>
      <c r="Q129">
        <f>IF(P129&gt;0,MAX(F129,0)/P129,0)</f>
        <v/>
      </c>
      <c r="R129">
        <f>IF(P129&gt;0,MAX(G129,0)/P129,0)</f>
        <v/>
      </c>
      <c r="S129">
        <f>IF(P129&gt;0,O129/P129,"")</f>
        <v/>
      </c>
      <c r="T129">
        <f>IF(P129&gt;0,S129/$AE$3,"")</f>
        <v/>
      </c>
      <c r="U129">
        <f>IF(AND(P129&gt;0,Q129&gt;0),T129,"")</f>
        <v/>
      </c>
      <c r="V129">
        <f>IF(AND(P129&gt;0,R129&gt;0),T129,"")</f>
        <v/>
      </c>
      <c r="W129">
        <f>IF(I129&gt;0,$AE$2/(1-(1+$AE$2)^-I129),"")</f>
        <v/>
      </c>
      <c r="X129">
        <f>L129*W129+M129</f>
        <v/>
      </c>
      <c r="Y129">
        <f>IF(P129&gt;0,(X129/P129)/$AE$3,"")</f>
        <v/>
      </c>
      <c r="Z129">
        <f>IF(AND(ISNUMBER(K129),Q129&gt;0),MAX(F129,0)*K129*1000000*E129,"pending")</f>
        <v/>
      </c>
      <c r="AA129">
        <f>IF(AND(ISNUMBER(K129),R129&gt;0),MAX(G129,0)*K129*1000000*E129,"pending")</f>
        <v/>
      </c>
      <c r="AB129">
        <f>IF(AND(ISNUMBER(S129),S129&lt;0),"NEG-CCE","")&amp;IF(NOT(ISNUMBER(K129)),"|pending tonnage","")</f>
        <v/>
      </c>
      <c r="AG129">
        <f>IFERROR(_xlfn.XLOOKUP(A129,'product map'!$A$14:$A$36,'product map'!$C$14:$C$36),"?")</f>
        <v/>
      </c>
      <c r="AH129">
        <f>IFERROR((Z129*0.000000947817)/_xlfn.XLOOKUP(AG129,'energy base (MECS)'!$K$4:$K$9,'energy base (MECS)'!$F$4:$F$9),0)</f>
        <v/>
      </c>
      <c r="AI129">
        <f>IFERROR((AA129*0.000000947817)/_xlfn.XLOOKUP(AG129,'energy base (MECS)'!$K$4:$K$9,'energy base (MECS)'!$I$4:$I$9),0)</f>
        <v/>
      </c>
      <c r="AJ129">
        <f>MAX(0.3*ABS(AK129),0.000001)</f>
        <v/>
      </c>
      <c r="AK129">
        <f>IF(ISNUMBER(T129),T129,0)</f>
        <v/>
      </c>
      <c r="AL129">
        <f>IFERROR(_xlfn.XLOOKUP(AG129,'BCoISC-WACCbI'!$C$2:$C$26,'BCoISC-WACCbI'!$B$2:$B$26)+$AE$4,0.1)</f>
        <v/>
      </c>
      <c r="AM129">
        <f>IF(P129&gt;0,L129/P129/0.947817,0)</f>
        <v/>
      </c>
      <c r="AN129">
        <f>IF(AND(P129&gt;0,ISNUMBER(K129)),L129*K129*1000000*E129,0)</f>
        <v/>
      </c>
    </row>
    <row r="130">
      <c r="A130">
        <f>'Kermeli Data'!A137</f>
        <v/>
      </c>
      <c r="B130">
        <f>'Kermeli Data'!B137</f>
        <v/>
      </c>
      <c r="C130">
        <f>'Kermeli Data'!P137</f>
        <v/>
      </c>
      <c r="D130">
        <f>IF(C130="2 whr","whr",IF(C130="3 proc","process","EXCLUDED"))</f>
        <v/>
      </c>
      <c r="E130">
        <f>'Kermeli Data'!E137</f>
        <v/>
      </c>
      <c r="F130">
        <f>'Kermeli Data'!F137</f>
        <v/>
      </c>
      <c r="G130">
        <f>'Kermeli Data'!G137</f>
        <v/>
      </c>
      <c r="H130">
        <f>'Kermeli Data'!I137</f>
        <v/>
      </c>
      <c r="I130">
        <f>'Kermeli Data'!J137</f>
        <v/>
      </c>
      <c r="J130">
        <f>'Kermeli Data'!K137</f>
        <v/>
      </c>
      <c r="K130">
        <f>IFERROR(_xlfn.XLOOKUP(A130,'product map'!$A$14:$A$36,'product map'!$G$14:$G$36),"pending")</f>
        <v/>
      </c>
      <c r="L130">
        <f>H130*cpi!$B$12*cpi!$B$10</f>
        <v/>
      </c>
      <c r="M130">
        <f>J130*cpi!$B$12*cpi!$B$10</f>
        <v/>
      </c>
      <c r="N130">
        <f>IF(I130&gt;0,AL130/(1-(1+AL130)^-I130),"")</f>
        <v/>
      </c>
      <c r="O130">
        <f>L130*N130+M130</f>
        <v/>
      </c>
      <c r="P130">
        <f>MAX(F130,0)+MAX(G130,0)</f>
        <v/>
      </c>
      <c r="Q130">
        <f>IF(P130&gt;0,MAX(F130,0)/P130,0)</f>
        <v/>
      </c>
      <c r="R130">
        <f>IF(P130&gt;0,MAX(G130,0)/P130,0)</f>
        <v/>
      </c>
      <c r="S130">
        <f>IF(P130&gt;0,O130/P130,"")</f>
        <v/>
      </c>
      <c r="T130">
        <f>IF(P130&gt;0,S130/$AE$3,"")</f>
        <v/>
      </c>
      <c r="U130">
        <f>IF(AND(P130&gt;0,Q130&gt;0),T130,"")</f>
        <v/>
      </c>
      <c r="V130">
        <f>IF(AND(P130&gt;0,R130&gt;0),T130,"")</f>
        <v/>
      </c>
      <c r="W130">
        <f>IF(I130&gt;0,$AE$2/(1-(1+$AE$2)^-I130),"")</f>
        <v/>
      </c>
      <c r="X130">
        <f>L130*W130+M130</f>
        <v/>
      </c>
      <c r="Y130">
        <f>IF(P130&gt;0,(X130/P130)/$AE$3,"")</f>
        <v/>
      </c>
      <c r="Z130">
        <f>IF(AND(ISNUMBER(K130),Q130&gt;0),MAX(F130,0)*K130*1000000*E130,"pending")</f>
        <v/>
      </c>
      <c r="AA130">
        <f>IF(AND(ISNUMBER(K130),R130&gt;0),MAX(G130,0)*K130*1000000*E130,"pending")</f>
        <v/>
      </c>
      <c r="AB130">
        <f>IF(AND(ISNUMBER(S130),S130&lt;0),"NEG-CCE","")&amp;IF(NOT(ISNUMBER(K130)),"|pending tonnage","")</f>
        <v/>
      </c>
      <c r="AG130">
        <f>IFERROR(_xlfn.XLOOKUP(A130,'product map'!$A$14:$A$36,'product map'!$C$14:$C$36),"?")</f>
        <v/>
      </c>
      <c r="AH130">
        <f>IFERROR((Z130*0.000000947817)/_xlfn.XLOOKUP(AG130,'energy base (MECS)'!$K$4:$K$9,'energy base (MECS)'!$F$4:$F$9),0)</f>
        <v/>
      </c>
      <c r="AI130">
        <f>IFERROR((AA130*0.000000947817)/_xlfn.XLOOKUP(AG130,'energy base (MECS)'!$K$4:$K$9,'energy base (MECS)'!$I$4:$I$9),0)</f>
        <v/>
      </c>
      <c r="AJ130">
        <f>MAX(0.3*ABS(AK130),0.000001)</f>
        <v/>
      </c>
      <c r="AK130">
        <f>IF(ISNUMBER(T130),T130,0)</f>
        <v/>
      </c>
      <c r="AL130">
        <f>IFERROR(_xlfn.XLOOKUP(AG130,'BCoISC-WACCbI'!$C$2:$C$26,'BCoISC-WACCbI'!$B$2:$B$26)+$AE$4,0.1)</f>
        <v/>
      </c>
      <c r="AM130">
        <f>IF(P130&gt;0,L130/P130/0.947817,0)</f>
        <v/>
      </c>
      <c r="AN130">
        <f>IF(AND(P130&gt;0,ISNUMBER(K130)),L130*K130*1000000*E130,0)</f>
        <v/>
      </c>
    </row>
    <row r="131">
      <c r="A131">
        <f>'Kermeli Data'!A138</f>
        <v/>
      </c>
      <c r="B131">
        <f>'Kermeli Data'!B138</f>
        <v/>
      </c>
      <c r="C131">
        <f>'Kermeli Data'!P138</f>
        <v/>
      </c>
      <c r="D131">
        <f>IF(C131="2 whr","whr",IF(C131="3 proc","process","EXCLUDED"))</f>
        <v/>
      </c>
      <c r="E131">
        <f>'Kermeli Data'!E138</f>
        <v/>
      </c>
      <c r="F131">
        <f>'Kermeli Data'!F138</f>
        <v/>
      </c>
      <c r="G131">
        <f>'Kermeli Data'!G138</f>
        <v/>
      </c>
      <c r="H131">
        <f>'Kermeli Data'!I138</f>
        <v/>
      </c>
      <c r="I131">
        <f>'Kermeli Data'!J138</f>
        <v/>
      </c>
      <c r="J131">
        <f>'Kermeli Data'!K138</f>
        <v/>
      </c>
      <c r="K131">
        <f>IFERROR(_xlfn.XLOOKUP(A131,'product map'!$A$14:$A$36,'product map'!$G$14:$G$36),"pending")</f>
        <v/>
      </c>
      <c r="L131">
        <f>H131*cpi!$B$12*cpi!$B$10</f>
        <v/>
      </c>
      <c r="M131">
        <f>J131*cpi!$B$12*cpi!$B$10</f>
        <v/>
      </c>
      <c r="N131">
        <f>IF(I131&gt;0,AL131/(1-(1+AL131)^-I131),"")</f>
        <v/>
      </c>
      <c r="O131">
        <f>L131*N131+M131</f>
        <v/>
      </c>
      <c r="P131">
        <f>MAX(F131,0)+MAX(G131,0)</f>
        <v/>
      </c>
      <c r="Q131">
        <f>IF(P131&gt;0,MAX(F131,0)/P131,0)</f>
        <v/>
      </c>
      <c r="R131">
        <f>IF(P131&gt;0,MAX(G131,0)/P131,0)</f>
        <v/>
      </c>
      <c r="S131">
        <f>IF(P131&gt;0,O131/P131,"")</f>
        <v/>
      </c>
      <c r="T131">
        <f>IF(P131&gt;0,S131/$AE$3,"")</f>
        <v/>
      </c>
      <c r="U131">
        <f>IF(AND(P131&gt;0,Q131&gt;0),T131,"")</f>
        <v/>
      </c>
      <c r="V131">
        <f>IF(AND(P131&gt;0,R131&gt;0),T131,"")</f>
        <v/>
      </c>
      <c r="W131">
        <f>IF(I131&gt;0,$AE$2/(1-(1+$AE$2)^-I131),"")</f>
        <v/>
      </c>
      <c r="X131">
        <f>L131*W131+M131</f>
        <v/>
      </c>
      <c r="Y131">
        <f>IF(P131&gt;0,(X131/P131)/$AE$3,"")</f>
        <v/>
      </c>
      <c r="Z131">
        <f>IF(AND(ISNUMBER(K131),Q131&gt;0),MAX(F131,0)*K131*1000000*E131,"pending")</f>
        <v/>
      </c>
      <c r="AA131">
        <f>IF(AND(ISNUMBER(K131),R131&gt;0),MAX(G131,0)*K131*1000000*E131,"pending")</f>
        <v/>
      </c>
      <c r="AB131">
        <f>IF(AND(ISNUMBER(S131),S131&lt;0),"NEG-CCE","")&amp;IF(NOT(ISNUMBER(K131)),"|pending tonnage","")</f>
        <v/>
      </c>
      <c r="AG131">
        <f>IFERROR(_xlfn.XLOOKUP(A131,'product map'!$A$14:$A$36,'product map'!$C$14:$C$36),"?")</f>
        <v/>
      </c>
      <c r="AH131">
        <f>IFERROR((Z131*0.000000947817)/_xlfn.XLOOKUP(AG131,'energy base (MECS)'!$K$4:$K$9,'energy base (MECS)'!$F$4:$F$9),0)</f>
        <v/>
      </c>
      <c r="AI131">
        <f>IFERROR((AA131*0.000000947817)/_xlfn.XLOOKUP(AG131,'energy base (MECS)'!$K$4:$K$9,'energy base (MECS)'!$I$4:$I$9),0)</f>
        <v/>
      </c>
      <c r="AJ131">
        <f>MAX(0.3*ABS(AK131),0.000001)</f>
        <v/>
      </c>
      <c r="AK131">
        <f>IF(ISNUMBER(T131),T131,0)</f>
        <v/>
      </c>
      <c r="AL131">
        <f>IFERROR(_xlfn.XLOOKUP(AG131,'BCoISC-WACCbI'!$C$2:$C$26,'BCoISC-WACCbI'!$B$2:$B$26)+$AE$4,0.1)</f>
        <v/>
      </c>
      <c r="AM131">
        <f>IF(P131&gt;0,L131/P131/0.947817,0)</f>
        <v/>
      </c>
      <c r="AN131">
        <f>IF(AND(P131&gt;0,ISNUMBER(K131)),L131*K131*1000000*E131,0)</f>
        <v/>
      </c>
    </row>
    <row r="132">
      <c r="A132">
        <f>'Kermeli Data'!A139</f>
        <v/>
      </c>
      <c r="B132">
        <f>'Kermeli Data'!B139</f>
        <v/>
      </c>
      <c r="C132">
        <f>'Kermeli Data'!P139</f>
        <v/>
      </c>
      <c r="D132">
        <f>IF(C132="2 whr","whr",IF(C132="3 proc","process","EXCLUDED"))</f>
        <v/>
      </c>
      <c r="E132">
        <f>'Kermeli Data'!E139</f>
        <v/>
      </c>
      <c r="F132">
        <f>'Kermeli Data'!F139</f>
        <v/>
      </c>
      <c r="G132">
        <f>'Kermeli Data'!G139</f>
        <v/>
      </c>
      <c r="H132">
        <f>'Kermeli Data'!I139</f>
        <v/>
      </c>
      <c r="I132">
        <f>'Kermeli Data'!J139</f>
        <v/>
      </c>
      <c r="J132">
        <f>'Kermeli Data'!K139</f>
        <v/>
      </c>
      <c r="K132">
        <f>IFERROR(_xlfn.XLOOKUP(A132,'product map'!$A$14:$A$36,'product map'!$G$14:$G$36),"pending")</f>
        <v/>
      </c>
      <c r="L132">
        <f>H132*cpi!$B$12*cpi!$B$10</f>
        <v/>
      </c>
      <c r="M132">
        <f>J132*cpi!$B$12*cpi!$B$10</f>
        <v/>
      </c>
      <c r="N132">
        <f>IF(I132&gt;0,AL132/(1-(1+AL132)^-I132),"")</f>
        <v/>
      </c>
      <c r="O132">
        <f>L132*N132+M132</f>
        <v/>
      </c>
      <c r="P132">
        <f>MAX(F132,0)+MAX(G132,0)</f>
        <v/>
      </c>
      <c r="Q132">
        <f>IF(P132&gt;0,MAX(F132,0)/P132,0)</f>
        <v/>
      </c>
      <c r="R132">
        <f>IF(P132&gt;0,MAX(G132,0)/P132,0)</f>
        <v/>
      </c>
      <c r="S132">
        <f>IF(P132&gt;0,O132/P132,"")</f>
        <v/>
      </c>
      <c r="T132">
        <f>IF(P132&gt;0,S132/$AE$3,"")</f>
        <v/>
      </c>
      <c r="U132">
        <f>IF(AND(P132&gt;0,Q132&gt;0),T132,"")</f>
        <v/>
      </c>
      <c r="V132">
        <f>IF(AND(P132&gt;0,R132&gt;0),T132,"")</f>
        <v/>
      </c>
      <c r="W132">
        <f>IF(I132&gt;0,$AE$2/(1-(1+$AE$2)^-I132),"")</f>
        <v/>
      </c>
      <c r="X132">
        <f>L132*W132+M132</f>
        <v/>
      </c>
      <c r="Y132">
        <f>IF(P132&gt;0,(X132/P132)/$AE$3,"")</f>
        <v/>
      </c>
      <c r="Z132">
        <f>IF(AND(ISNUMBER(K132),Q132&gt;0),MAX(F132,0)*K132*1000000*E132,"pending")</f>
        <v/>
      </c>
      <c r="AA132">
        <f>IF(AND(ISNUMBER(K132),R132&gt;0),MAX(G132,0)*K132*1000000*E132,"pending")</f>
        <v/>
      </c>
      <c r="AB132">
        <f>IF(AND(ISNUMBER(S132),S132&lt;0),"NEG-CCE","")&amp;IF(NOT(ISNUMBER(K132)),"|pending tonnage","")</f>
        <v/>
      </c>
      <c r="AG132">
        <f>IFERROR(_xlfn.XLOOKUP(A132,'product map'!$A$14:$A$36,'product map'!$C$14:$C$36),"?")</f>
        <v/>
      </c>
      <c r="AH132">
        <f>IFERROR((Z132*0.000000947817)/_xlfn.XLOOKUP(AG132,'energy base (MECS)'!$K$4:$K$9,'energy base (MECS)'!$F$4:$F$9),0)</f>
        <v/>
      </c>
      <c r="AI132">
        <f>IFERROR((AA132*0.000000947817)/_xlfn.XLOOKUP(AG132,'energy base (MECS)'!$K$4:$K$9,'energy base (MECS)'!$I$4:$I$9),0)</f>
        <v/>
      </c>
      <c r="AJ132">
        <f>MAX(0.3*ABS(AK132),0.000001)</f>
        <v/>
      </c>
      <c r="AK132">
        <f>IF(ISNUMBER(T132),T132,0)</f>
        <v/>
      </c>
      <c r="AL132">
        <f>IFERROR(_xlfn.XLOOKUP(AG132,'BCoISC-WACCbI'!$C$2:$C$26,'BCoISC-WACCbI'!$B$2:$B$26)+$AE$4,0.1)</f>
        <v/>
      </c>
      <c r="AM132">
        <f>IF(P132&gt;0,L132/P132/0.947817,0)</f>
        <v/>
      </c>
      <c r="AN132">
        <f>IF(AND(P132&gt;0,ISNUMBER(K132)),L132*K132*1000000*E132,0)</f>
        <v/>
      </c>
    </row>
    <row r="133">
      <c r="A133">
        <f>'Kermeli Data'!A140</f>
        <v/>
      </c>
      <c r="B133">
        <f>'Kermeli Data'!B140</f>
        <v/>
      </c>
      <c r="C133">
        <f>'Kermeli Data'!P140</f>
        <v/>
      </c>
      <c r="D133">
        <f>IF(C133="2 whr","whr",IF(C133="3 proc","process","EXCLUDED"))</f>
        <v/>
      </c>
      <c r="E133">
        <f>'Kermeli Data'!E140</f>
        <v/>
      </c>
      <c r="F133">
        <f>'Kermeli Data'!F140</f>
        <v/>
      </c>
      <c r="G133">
        <f>'Kermeli Data'!G140</f>
        <v/>
      </c>
      <c r="H133">
        <f>'Kermeli Data'!I140</f>
        <v/>
      </c>
      <c r="I133">
        <f>'Kermeli Data'!J140</f>
        <v/>
      </c>
      <c r="J133">
        <f>'Kermeli Data'!K140</f>
        <v/>
      </c>
      <c r="K133">
        <f>IFERROR(_xlfn.XLOOKUP(A133,'product map'!$A$14:$A$36,'product map'!$G$14:$G$36),"pending")</f>
        <v/>
      </c>
      <c r="L133">
        <f>H133*cpi!$B$12*cpi!$B$10</f>
        <v/>
      </c>
      <c r="M133">
        <f>J133*cpi!$B$12*cpi!$B$10</f>
        <v/>
      </c>
      <c r="N133">
        <f>IF(I133&gt;0,AL133/(1-(1+AL133)^-I133),"")</f>
        <v/>
      </c>
      <c r="O133">
        <f>L133*N133+M133</f>
        <v/>
      </c>
      <c r="P133">
        <f>MAX(F133,0)+MAX(G133,0)</f>
        <v/>
      </c>
      <c r="Q133">
        <f>IF(P133&gt;0,MAX(F133,0)/P133,0)</f>
        <v/>
      </c>
      <c r="R133">
        <f>IF(P133&gt;0,MAX(G133,0)/P133,0)</f>
        <v/>
      </c>
      <c r="S133">
        <f>IF(P133&gt;0,O133/P133,"")</f>
        <v/>
      </c>
      <c r="T133">
        <f>IF(P133&gt;0,S133/$AE$3,"")</f>
        <v/>
      </c>
      <c r="U133">
        <f>IF(AND(P133&gt;0,Q133&gt;0),T133,"")</f>
        <v/>
      </c>
      <c r="V133">
        <f>IF(AND(P133&gt;0,R133&gt;0),T133,"")</f>
        <v/>
      </c>
      <c r="W133">
        <f>IF(I133&gt;0,$AE$2/(1-(1+$AE$2)^-I133),"")</f>
        <v/>
      </c>
      <c r="X133">
        <f>L133*W133+M133</f>
        <v/>
      </c>
      <c r="Y133">
        <f>IF(P133&gt;0,(X133/P133)/$AE$3,"")</f>
        <v/>
      </c>
      <c r="Z133">
        <f>IF(AND(ISNUMBER(K133),Q133&gt;0),MAX(F133,0)*K133*1000000*E133,"pending")</f>
        <v/>
      </c>
      <c r="AA133">
        <f>IF(AND(ISNUMBER(K133),R133&gt;0),MAX(G133,0)*K133*1000000*E133,"pending")</f>
        <v/>
      </c>
      <c r="AB133">
        <f>IF(AND(ISNUMBER(S133),S133&lt;0),"NEG-CCE","")&amp;IF(NOT(ISNUMBER(K133)),"|pending tonnage","")</f>
        <v/>
      </c>
      <c r="AG133">
        <f>IFERROR(_xlfn.XLOOKUP(A133,'product map'!$A$14:$A$36,'product map'!$C$14:$C$36),"?")</f>
        <v/>
      </c>
      <c r="AH133">
        <f>IFERROR((Z133*0.000000947817)/_xlfn.XLOOKUP(AG133,'energy base (MECS)'!$K$4:$K$9,'energy base (MECS)'!$F$4:$F$9),0)</f>
        <v/>
      </c>
      <c r="AI133">
        <f>IFERROR((AA133*0.000000947817)/_xlfn.XLOOKUP(AG133,'energy base (MECS)'!$K$4:$K$9,'energy base (MECS)'!$I$4:$I$9),0)</f>
        <v/>
      </c>
      <c r="AJ133">
        <f>MAX(0.3*ABS(AK133),0.000001)</f>
        <v/>
      </c>
      <c r="AK133">
        <f>IF(ISNUMBER(T133),T133,0)</f>
        <v/>
      </c>
      <c r="AL133">
        <f>IFERROR(_xlfn.XLOOKUP(AG133,'BCoISC-WACCbI'!$C$2:$C$26,'BCoISC-WACCbI'!$B$2:$B$26)+$AE$4,0.1)</f>
        <v/>
      </c>
      <c r="AM133">
        <f>IF(P133&gt;0,L133/P133/0.947817,0)</f>
        <v/>
      </c>
      <c r="AN133">
        <f>IF(AND(P133&gt;0,ISNUMBER(K133)),L133*K133*1000000*E133,0)</f>
        <v/>
      </c>
    </row>
    <row r="134">
      <c r="A134">
        <f>'Kermeli Data'!A141</f>
        <v/>
      </c>
      <c r="B134">
        <f>'Kermeli Data'!B141</f>
        <v/>
      </c>
      <c r="C134">
        <f>'Kermeli Data'!P141</f>
        <v/>
      </c>
      <c r="D134">
        <f>IF(C134="2 whr","whr",IF(C134="3 proc","process","EXCLUDED"))</f>
        <v/>
      </c>
      <c r="E134">
        <f>'Kermeli Data'!E141</f>
        <v/>
      </c>
      <c r="F134">
        <f>'Kermeli Data'!F141</f>
        <v/>
      </c>
      <c r="G134">
        <f>'Kermeli Data'!G141</f>
        <v/>
      </c>
      <c r="H134">
        <f>'Kermeli Data'!I141</f>
        <v/>
      </c>
      <c r="I134">
        <f>'Kermeli Data'!J141</f>
        <v/>
      </c>
      <c r="J134">
        <f>'Kermeli Data'!K141</f>
        <v/>
      </c>
      <c r="K134">
        <f>IFERROR(_xlfn.XLOOKUP(A134,'product map'!$A$14:$A$36,'product map'!$G$14:$G$36),"pending")</f>
        <v/>
      </c>
      <c r="L134">
        <f>H134*cpi!$B$12*cpi!$B$10</f>
        <v/>
      </c>
      <c r="M134">
        <f>J134*cpi!$B$12*cpi!$B$10</f>
        <v/>
      </c>
      <c r="N134">
        <f>IF(I134&gt;0,AL134/(1-(1+AL134)^-I134),"")</f>
        <v/>
      </c>
      <c r="O134">
        <f>L134*N134+M134</f>
        <v/>
      </c>
      <c r="P134">
        <f>MAX(F134,0)+MAX(G134,0)</f>
        <v/>
      </c>
      <c r="Q134">
        <f>IF(P134&gt;0,MAX(F134,0)/P134,0)</f>
        <v/>
      </c>
      <c r="R134">
        <f>IF(P134&gt;0,MAX(G134,0)/P134,0)</f>
        <v/>
      </c>
      <c r="S134">
        <f>IF(P134&gt;0,O134/P134,"")</f>
        <v/>
      </c>
      <c r="T134">
        <f>IF(P134&gt;0,S134/$AE$3,"")</f>
        <v/>
      </c>
      <c r="U134">
        <f>IF(AND(P134&gt;0,Q134&gt;0),T134,"")</f>
        <v/>
      </c>
      <c r="V134">
        <f>IF(AND(P134&gt;0,R134&gt;0),T134,"")</f>
        <v/>
      </c>
      <c r="W134">
        <f>IF(I134&gt;0,$AE$2/(1-(1+$AE$2)^-I134),"")</f>
        <v/>
      </c>
      <c r="X134">
        <f>L134*W134+M134</f>
        <v/>
      </c>
      <c r="Y134">
        <f>IF(P134&gt;0,(X134/P134)/$AE$3,"")</f>
        <v/>
      </c>
      <c r="Z134">
        <f>IF(AND(ISNUMBER(K134),Q134&gt;0),MAX(F134,0)*K134*1000000*E134,"pending")</f>
        <v/>
      </c>
      <c r="AA134">
        <f>IF(AND(ISNUMBER(K134),R134&gt;0),MAX(G134,0)*K134*1000000*E134,"pending")</f>
        <v/>
      </c>
      <c r="AB134">
        <f>IF(AND(ISNUMBER(S134),S134&lt;0),"NEG-CCE","")&amp;IF(NOT(ISNUMBER(K134)),"|pending tonnage","")</f>
        <v/>
      </c>
      <c r="AG134">
        <f>IFERROR(_xlfn.XLOOKUP(A134,'product map'!$A$14:$A$36,'product map'!$C$14:$C$36),"?")</f>
        <v/>
      </c>
      <c r="AH134">
        <f>IFERROR((Z134*0.000000947817)/_xlfn.XLOOKUP(AG134,'energy base (MECS)'!$K$4:$K$9,'energy base (MECS)'!$F$4:$F$9),0)</f>
        <v/>
      </c>
      <c r="AI134">
        <f>IFERROR((AA134*0.000000947817)/_xlfn.XLOOKUP(AG134,'energy base (MECS)'!$K$4:$K$9,'energy base (MECS)'!$I$4:$I$9),0)</f>
        <v/>
      </c>
      <c r="AJ134">
        <f>MAX(0.3*ABS(AK134),0.000001)</f>
        <v/>
      </c>
      <c r="AK134">
        <f>IF(ISNUMBER(T134),T134,0)</f>
        <v/>
      </c>
      <c r="AL134">
        <f>IFERROR(_xlfn.XLOOKUP(AG134,'BCoISC-WACCbI'!$C$2:$C$26,'BCoISC-WACCbI'!$B$2:$B$26)+$AE$4,0.1)</f>
        <v/>
      </c>
      <c r="AM134">
        <f>IF(P134&gt;0,L134/P134/0.947817,0)</f>
        <v/>
      </c>
      <c r="AN134">
        <f>IF(AND(P134&gt;0,ISNUMBER(K134)),L134*K134*1000000*E134,0)</f>
        <v/>
      </c>
    </row>
    <row r="135">
      <c r="A135">
        <f>'Kermeli Data'!A142</f>
        <v/>
      </c>
      <c r="B135">
        <f>'Kermeli Data'!B142</f>
        <v/>
      </c>
      <c r="C135">
        <f>'Kermeli Data'!P142</f>
        <v/>
      </c>
      <c r="D135">
        <f>IF(C135="2 whr","whr",IF(C135="3 proc","process","EXCLUDED"))</f>
        <v/>
      </c>
      <c r="E135">
        <f>'Kermeli Data'!E142</f>
        <v/>
      </c>
      <c r="F135">
        <f>'Kermeli Data'!F142</f>
        <v/>
      </c>
      <c r="G135">
        <f>'Kermeli Data'!G142</f>
        <v/>
      </c>
      <c r="H135">
        <f>'Kermeli Data'!I142</f>
        <v/>
      </c>
      <c r="I135">
        <f>'Kermeli Data'!J142</f>
        <v/>
      </c>
      <c r="J135">
        <f>'Kermeli Data'!K142</f>
        <v/>
      </c>
      <c r="K135">
        <f>IFERROR(_xlfn.XLOOKUP(A135,'product map'!$A$14:$A$36,'product map'!$G$14:$G$36),"pending")</f>
        <v/>
      </c>
      <c r="L135">
        <f>H135*cpi!$B$12*cpi!$B$10</f>
        <v/>
      </c>
      <c r="M135">
        <f>J135*cpi!$B$12*cpi!$B$10</f>
        <v/>
      </c>
      <c r="N135">
        <f>IF(I135&gt;0,AL135/(1-(1+AL135)^-I135),"")</f>
        <v/>
      </c>
      <c r="O135">
        <f>L135*N135+M135</f>
        <v/>
      </c>
      <c r="P135">
        <f>MAX(F135,0)+MAX(G135,0)</f>
        <v/>
      </c>
      <c r="Q135">
        <f>IF(P135&gt;0,MAX(F135,0)/P135,0)</f>
        <v/>
      </c>
      <c r="R135">
        <f>IF(P135&gt;0,MAX(G135,0)/P135,0)</f>
        <v/>
      </c>
      <c r="S135">
        <f>IF(P135&gt;0,O135/P135,"")</f>
        <v/>
      </c>
      <c r="T135">
        <f>IF(P135&gt;0,S135/$AE$3,"")</f>
        <v/>
      </c>
      <c r="U135">
        <f>IF(AND(P135&gt;0,Q135&gt;0),T135,"")</f>
        <v/>
      </c>
      <c r="V135">
        <f>IF(AND(P135&gt;0,R135&gt;0),T135,"")</f>
        <v/>
      </c>
      <c r="W135">
        <f>IF(I135&gt;0,$AE$2/(1-(1+$AE$2)^-I135),"")</f>
        <v/>
      </c>
      <c r="X135">
        <f>L135*W135+M135</f>
        <v/>
      </c>
      <c r="Y135">
        <f>IF(P135&gt;0,(X135/P135)/$AE$3,"")</f>
        <v/>
      </c>
      <c r="Z135">
        <f>IF(AND(ISNUMBER(K135),Q135&gt;0),MAX(F135,0)*K135*1000000*E135,"pending")</f>
        <v/>
      </c>
      <c r="AA135">
        <f>IF(AND(ISNUMBER(K135),R135&gt;0),MAX(G135,0)*K135*1000000*E135,"pending")</f>
        <v/>
      </c>
      <c r="AB135">
        <f>IF(AND(ISNUMBER(S135),S135&lt;0),"NEG-CCE","")&amp;IF(NOT(ISNUMBER(K135)),"|pending tonnage","")</f>
        <v/>
      </c>
      <c r="AG135">
        <f>IFERROR(_xlfn.XLOOKUP(A135,'product map'!$A$14:$A$36,'product map'!$C$14:$C$36),"?")</f>
        <v/>
      </c>
      <c r="AH135">
        <f>IFERROR((Z135*0.000000947817)/_xlfn.XLOOKUP(AG135,'energy base (MECS)'!$K$4:$K$9,'energy base (MECS)'!$F$4:$F$9),0)</f>
        <v/>
      </c>
      <c r="AI135">
        <f>IFERROR((AA135*0.000000947817)/_xlfn.XLOOKUP(AG135,'energy base (MECS)'!$K$4:$K$9,'energy base (MECS)'!$I$4:$I$9),0)</f>
        <v/>
      </c>
      <c r="AJ135">
        <f>MAX(0.3*ABS(AK135),0.000001)</f>
        <v/>
      </c>
      <c r="AK135">
        <f>IF(ISNUMBER(T135),T135,0)</f>
        <v/>
      </c>
      <c r="AL135">
        <f>IFERROR(_xlfn.XLOOKUP(AG135,'BCoISC-WACCbI'!$C$2:$C$26,'BCoISC-WACCbI'!$B$2:$B$26)+$AE$4,0.1)</f>
        <v/>
      </c>
      <c r="AM135">
        <f>IF(P135&gt;0,L135/P135/0.947817,0)</f>
        <v/>
      </c>
      <c r="AN135">
        <f>IF(AND(P135&gt;0,ISNUMBER(K135)),L135*K135*1000000*E135,0)</f>
        <v/>
      </c>
    </row>
    <row r="136">
      <c r="A136">
        <f>'Kermeli Data'!A143</f>
        <v/>
      </c>
      <c r="B136">
        <f>'Kermeli Data'!B143</f>
        <v/>
      </c>
      <c r="C136">
        <f>'Kermeli Data'!P143</f>
        <v/>
      </c>
      <c r="D136">
        <f>IF(C136="2 whr","whr",IF(C136="3 proc","process","EXCLUDED"))</f>
        <v/>
      </c>
      <c r="E136">
        <f>'Kermeli Data'!E143</f>
        <v/>
      </c>
      <c r="F136">
        <f>'Kermeli Data'!F143</f>
        <v/>
      </c>
      <c r="G136">
        <f>'Kermeli Data'!G143</f>
        <v/>
      </c>
      <c r="H136">
        <f>'Kermeli Data'!I143</f>
        <v/>
      </c>
      <c r="I136">
        <f>'Kermeli Data'!J143</f>
        <v/>
      </c>
      <c r="J136">
        <f>'Kermeli Data'!K143</f>
        <v/>
      </c>
      <c r="K136">
        <f>IFERROR(_xlfn.XLOOKUP(A136,'product map'!$A$14:$A$36,'product map'!$G$14:$G$36),"pending")</f>
        <v/>
      </c>
      <c r="L136">
        <f>H136*cpi!$B$12*cpi!$B$10</f>
        <v/>
      </c>
      <c r="M136">
        <f>J136*cpi!$B$12*cpi!$B$10</f>
        <v/>
      </c>
      <c r="N136">
        <f>IF(I136&gt;0,AL136/(1-(1+AL136)^-I136),"")</f>
        <v/>
      </c>
      <c r="O136">
        <f>L136*N136+M136</f>
        <v/>
      </c>
      <c r="P136">
        <f>MAX(F136,0)+MAX(G136,0)</f>
        <v/>
      </c>
      <c r="Q136">
        <f>IF(P136&gt;0,MAX(F136,0)/P136,0)</f>
        <v/>
      </c>
      <c r="R136">
        <f>IF(P136&gt;0,MAX(G136,0)/P136,0)</f>
        <v/>
      </c>
      <c r="S136">
        <f>IF(P136&gt;0,O136/P136,"")</f>
        <v/>
      </c>
      <c r="T136">
        <f>IF(P136&gt;0,S136/$AE$3,"")</f>
        <v/>
      </c>
      <c r="U136">
        <f>IF(AND(P136&gt;0,Q136&gt;0),T136,"")</f>
        <v/>
      </c>
      <c r="V136">
        <f>IF(AND(P136&gt;0,R136&gt;0),T136,"")</f>
        <v/>
      </c>
      <c r="W136">
        <f>IF(I136&gt;0,$AE$2/(1-(1+$AE$2)^-I136),"")</f>
        <v/>
      </c>
      <c r="X136">
        <f>L136*W136+M136</f>
        <v/>
      </c>
      <c r="Y136">
        <f>IF(P136&gt;0,(X136/P136)/$AE$3,"")</f>
        <v/>
      </c>
      <c r="Z136">
        <f>IF(AND(ISNUMBER(K136),Q136&gt;0),MAX(F136,0)*K136*1000000*E136,"pending")</f>
        <v/>
      </c>
      <c r="AA136">
        <f>IF(AND(ISNUMBER(K136),R136&gt;0),MAX(G136,0)*K136*1000000*E136,"pending")</f>
        <v/>
      </c>
      <c r="AB136">
        <f>IF(AND(ISNUMBER(S136),S136&lt;0),"NEG-CCE","")&amp;IF(NOT(ISNUMBER(K136)),"|pending tonnage","")</f>
        <v/>
      </c>
      <c r="AG136">
        <f>IFERROR(_xlfn.XLOOKUP(A136,'product map'!$A$14:$A$36,'product map'!$C$14:$C$36),"?")</f>
        <v/>
      </c>
      <c r="AH136">
        <f>IFERROR((Z136*0.000000947817)/_xlfn.XLOOKUP(AG136,'energy base (MECS)'!$K$4:$K$9,'energy base (MECS)'!$F$4:$F$9),0)</f>
        <v/>
      </c>
      <c r="AI136">
        <f>IFERROR((AA136*0.000000947817)/_xlfn.XLOOKUP(AG136,'energy base (MECS)'!$K$4:$K$9,'energy base (MECS)'!$I$4:$I$9),0)</f>
        <v/>
      </c>
      <c r="AJ136">
        <f>MAX(0.3*ABS(AK136),0.000001)</f>
        <v/>
      </c>
      <c r="AK136">
        <f>IF(ISNUMBER(T136),T136,0)</f>
        <v/>
      </c>
      <c r="AL136">
        <f>IFERROR(_xlfn.XLOOKUP(AG136,'BCoISC-WACCbI'!$C$2:$C$26,'BCoISC-WACCbI'!$B$2:$B$26)+$AE$4,0.1)</f>
        <v/>
      </c>
      <c r="AM136">
        <f>IF(P136&gt;0,L136/P136/0.947817,0)</f>
        <v/>
      </c>
      <c r="AN136">
        <f>IF(AND(P136&gt;0,ISNUMBER(K136)),L136*K136*1000000*E136,0)</f>
        <v/>
      </c>
    </row>
    <row r="137">
      <c r="A137">
        <f>'Kermeli Data'!A144</f>
        <v/>
      </c>
      <c r="B137">
        <f>'Kermeli Data'!B144</f>
        <v/>
      </c>
      <c r="C137">
        <f>'Kermeli Data'!P144</f>
        <v/>
      </c>
      <c r="D137">
        <f>IF(C137="2 whr","whr",IF(C137="3 proc","process","EXCLUDED"))</f>
        <v/>
      </c>
      <c r="E137">
        <f>'Kermeli Data'!E144</f>
        <v/>
      </c>
      <c r="F137">
        <f>'Kermeli Data'!F144</f>
        <v/>
      </c>
      <c r="G137">
        <f>'Kermeli Data'!G144</f>
        <v/>
      </c>
      <c r="H137">
        <f>'Kermeli Data'!I144</f>
        <v/>
      </c>
      <c r="I137">
        <f>'Kermeli Data'!J144</f>
        <v/>
      </c>
      <c r="J137">
        <f>'Kermeli Data'!K144</f>
        <v/>
      </c>
      <c r="K137">
        <f>IFERROR(_xlfn.XLOOKUP(A137,'product map'!$A$14:$A$36,'product map'!$G$14:$G$36),"pending")</f>
        <v/>
      </c>
      <c r="L137">
        <f>H137*cpi!$B$12*cpi!$B$10</f>
        <v/>
      </c>
      <c r="M137">
        <f>J137*cpi!$B$12*cpi!$B$10</f>
        <v/>
      </c>
      <c r="N137">
        <f>IF(I137&gt;0,AL137/(1-(1+AL137)^-I137),"")</f>
        <v/>
      </c>
      <c r="O137">
        <f>L137*N137+M137</f>
        <v/>
      </c>
      <c r="P137">
        <f>MAX(F137,0)+MAX(G137,0)</f>
        <v/>
      </c>
      <c r="Q137">
        <f>IF(P137&gt;0,MAX(F137,0)/P137,0)</f>
        <v/>
      </c>
      <c r="R137">
        <f>IF(P137&gt;0,MAX(G137,0)/P137,0)</f>
        <v/>
      </c>
      <c r="S137">
        <f>IF(P137&gt;0,O137/P137,"")</f>
        <v/>
      </c>
      <c r="T137">
        <f>IF(P137&gt;0,S137/$AE$3,"")</f>
        <v/>
      </c>
      <c r="U137">
        <f>IF(AND(P137&gt;0,Q137&gt;0),T137,"")</f>
        <v/>
      </c>
      <c r="V137">
        <f>IF(AND(P137&gt;0,R137&gt;0),T137,"")</f>
        <v/>
      </c>
      <c r="W137">
        <f>IF(I137&gt;0,$AE$2/(1-(1+$AE$2)^-I137),"")</f>
        <v/>
      </c>
      <c r="X137">
        <f>L137*W137+M137</f>
        <v/>
      </c>
      <c r="Y137">
        <f>IF(P137&gt;0,(X137/P137)/$AE$3,"")</f>
        <v/>
      </c>
      <c r="Z137">
        <f>IF(AND(ISNUMBER(K137),Q137&gt;0),MAX(F137,0)*K137*1000000*E137,"pending")</f>
        <v/>
      </c>
      <c r="AA137">
        <f>IF(AND(ISNUMBER(K137),R137&gt;0),MAX(G137,0)*K137*1000000*E137,"pending")</f>
        <v/>
      </c>
      <c r="AB137">
        <f>IF(AND(ISNUMBER(S137),S137&lt;0),"NEG-CCE","")&amp;IF(NOT(ISNUMBER(K137)),"|pending tonnage","")</f>
        <v/>
      </c>
      <c r="AG137">
        <f>IFERROR(_xlfn.XLOOKUP(A137,'product map'!$A$14:$A$36,'product map'!$C$14:$C$36),"?")</f>
        <v/>
      </c>
      <c r="AH137">
        <f>IFERROR((Z137*0.000000947817)/_xlfn.XLOOKUP(AG137,'energy base (MECS)'!$K$4:$K$9,'energy base (MECS)'!$F$4:$F$9),0)</f>
        <v/>
      </c>
      <c r="AI137">
        <f>IFERROR((AA137*0.000000947817)/_xlfn.XLOOKUP(AG137,'energy base (MECS)'!$K$4:$K$9,'energy base (MECS)'!$I$4:$I$9),0)</f>
        <v/>
      </c>
      <c r="AJ137">
        <f>MAX(0.3*ABS(AK137),0.000001)</f>
        <v/>
      </c>
      <c r="AK137">
        <f>IF(ISNUMBER(T137),T137,0)</f>
        <v/>
      </c>
      <c r="AL137">
        <f>IFERROR(_xlfn.XLOOKUP(AG137,'BCoISC-WACCbI'!$C$2:$C$26,'BCoISC-WACCbI'!$B$2:$B$26)+$AE$4,0.1)</f>
        <v/>
      </c>
      <c r="AM137">
        <f>IF(P137&gt;0,L137/P137/0.947817,0)</f>
        <v/>
      </c>
      <c r="AN137">
        <f>IF(AND(P137&gt;0,ISNUMBER(K137)),L137*K137*1000000*E137,0)</f>
        <v/>
      </c>
    </row>
    <row r="138">
      <c r="A138">
        <f>'Kermeli Data'!A145</f>
        <v/>
      </c>
      <c r="B138">
        <f>'Kermeli Data'!B145</f>
        <v/>
      </c>
      <c r="C138">
        <f>'Kermeli Data'!P145</f>
        <v/>
      </c>
      <c r="D138">
        <f>IF(C138="2 whr","whr",IF(C138="3 proc","process","EXCLUDED"))</f>
        <v/>
      </c>
      <c r="E138">
        <f>'Kermeli Data'!E145</f>
        <v/>
      </c>
      <c r="F138">
        <f>'Kermeli Data'!F145</f>
        <v/>
      </c>
      <c r="G138">
        <f>'Kermeli Data'!G145</f>
        <v/>
      </c>
      <c r="H138">
        <f>'Kermeli Data'!I145</f>
        <v/>
      </c>
      <c r="I138">
        <f>'Kermeli Data'!J145</f>
        <v/>
      </c>
      <c r="J138">
        <f>'Kermeli Data'!K145</f>
        <v/>
      </c>
      <c r="K138">
        <f>IFERROR(_xlfn.XLOOKUP(A138,'product map'!$A$14:$A$36,'product map'!$G$14:$G$36),"pending")</f>
        <v/>
      </c>
      <c r="L138">
        <f>H138*cpi!$B$12*cpi!$B$10</f>
        <v/>
      </c>
      <c r="M138">
        <f>J138*cpi!$B$12*cpi!$B$10</f>
        <v/>
      </c>
      <c r="N138">
        <f>IF(I138&gt;0,AL138/(1-(1+AL138)^-I138),"")</f>
        <v/>
      </c>
      <c r="O138">
        <f>L138*N138+M138</f>
        <v/>
      </c>
      <c r="P138">
        <f>MAX(F138,0)+MAX(G138,0)</f>
        <v/>
      </c>
      <c r="Q138">
        <f>IF(P138&gt;0,MAX(F138,0)/P138,0)</f>
        <v/>
      </c>
      <c r="R138">
        <f>IF(P138&gt;0,MAX(G138,0)/P138,0)</f>
        <v/>
      </c>
      <c r="S138">
        <f>IF(P138&gt;0,O138/P138,"")</f>
        <v/>
      </c>
      <c r="T138">
        <f>IF(P138&gt;0,S138/$AE$3,"")</f>
        <v/>
      </c>
      <c r="U138">
        <f>IF(AND(P138&gt;0,Q138&gt;0),T138,"")</f>
        <v/>
      </c>
      <c r="V138">
        <f>IF(AND(P138&gt;0,R138&gt;0),T138,"")</f>
        <v/>
      </c>
      <c r="W138">
        <f>IF(I138&gt;0,$AE$2/(1-(1+$AE$2)^-I138),"")</f>
        <v/>
      </c>
      <c r="X138">
        <f>L138*W138+M138</f>
        <v/>
      </c>
      <c r="Y138">
        <f>IF(P138&gt;0,(X138/P138)/$AE$3,"")</f>
        <v/>
      </c>
      <c r="Z138">
        <f>IF(AND(ISNUMBER(K138),Q138&gt;0),MAX(F138,0)*K138*1000000*E138,"pending")</f>
        <v/>
      </c>
      <c r="AA138">
        <f>IF(AND(ISNUMBER(K138),R138&gt;0),MAX(G138,0)*K138*1000000*E138,"pending")</f>
        <v/>
      </c>
      <c r="AB138">
        <f>IF(AND(ISNUMBER(S138),S138&lt;0),"NEG-CCE","")&amp;IF(NOT(ISNUMBER(K138)),"|pending tonnage","")</f>
        <v/>
      </c>
      <c r="AG138">
        <f>IFERROR(_xlfn.XLOOKUP(A138,'product map'!$A$14:$A$36,'product map'!$C$14:$C$36),"?")</f>
        <v/>
      </c>
      <c r="AH138">
        <f>IFERROR((Z138*0.000000947817)/_xlfn.XLOOKUP(AG138,'energy base (MECS)'!$K$4:$K$9,'energy base (MECS)'!$F$4:$F$9),0)</f>
        <v/>
      </c>
      <c r="AI138">
        <f>IFERROR((AA138*0.000000947817)/_xlfn.XLOOKUP(AG138,'energy base (MECS)'!$K$4:$K$9,'energy base (MECS)'!$I$4:$I$9),0)</f>
        <v/>
      </c>
      <c r="AJ138">
        <f>MAX(0.3*ABS(AK138),0.000001)</f>
        <v/>
      </c>
      <c r="AK138">
        <f>IF(ISNUMBER(T138),T138,0)</f>
        <v/>
      </c>
      <c r="AL138">
        <f>IFERROR(_xlfn.XLOOKUP(AG138,'BCoISC-WACCbI'!$C$2:$C$26,'BCoISC-WACCbI'!$B$2:$B$26)+$AE$4,0.1)</f>
        <v/>
      </c>
      <c r="AM138">
        <f>IF(P138&gt;0,L138/P138/0.947817,0)</f>
        <v/>
      </c>
      <c r="AN138">
        <f>IF(AND(P138&gt;0,ISNUMBER(K138)),L138*K138*1000000*E138,0)</f>
        <v/>
      </c>
    </row>
    <row r="139">
      <c r="A139">
        <f>'Kermeli Data'!A146</f>
        <v/>
      </c>
      <c r="B139">
        <f>'Kermeli Data'!B146</f>
        <v/>
      </c>
      <c r="C139">
        <f>'Kermeli Data'!P146</f>
        <v/>
      </c>
      <c r="D139">
        <f>IF(C139="2 whr","whr",IF(C139="3 proc","process","EXCLUDED"))</f>
        <v/>
      </c>
      <c r="E139">
        <f>'Kermeli Data'!E146</f>
        <v/>
      </c>
      <c r="F139">
        <f>'Kermeli Data'!F146</f>
        <v/>
      </c>
      <c r="G139">
        <f>'Kermeli Data'!G146</f>
        <v/>
      </c>
      <c r="H139">
        <f>'Kermeli Data'!I146</f>
        <v/>
      </c>
      <c r="I139">
        <f>'Kermeli Data'!J146</f>
        <v/>
      </c>
      <c r="J139">
        <f>'Kermeli Data'!K146</f>
        <v/>
      </c>
      <c r="K139">
        <f>IFERROR(_xlfn.XLOOKUP(A139,'product map'!$A$14:$A$36,'product map'!$G$14:$G$36),"pending")</f>
        <v/>
      </c>
      <c r="L139">
        <f>H139*cpi!$B$12*cpi!$B$10</f>
        <v/>
      </c>
      <c r="M139">
        <f>J139*cpi!$B$12*cpi!$B$10</f>
        <v/>
      </c>
      <c r="N139">
        <f>IF(I139&gt;0,AL139/(1-(1+AL139)^-I139),"")</f>
        <v/>
      </c>
      <c r="O139">
        <f>L139*N139+M139</f>
        <v/>
      </c>
      <c r="P139">
        <f>MAX(F139,0)+MAX(G139,0)</f>
        <v/>
      </c>
      <c r="Q139">
        <f>IF(P139&gt;0,MAX(F139,0)/P139,0)</f>
        <v/>
      </c>
      <c r="R139">
        <f>IF(P139&gt;0,MAX(G139,0)/P139,0)</f>
        <v/>
      </c>
      <c r="S139">
        <f>IF(P139&gt;0,O139/P139,"")</f>
        <v/>
      </c>
      <c r="T139">
        <f>IF(P139&gt;0,S139/$AE$3,"")</f>
        <v/>
      </c>
      <c r="U139">
        <f>IF(AND(P139&gt;0,Q139&gt;0),T139,"")</f>
        <v/>
      </c>
      <c r="V139">
        <f>IF(AND(P139&gt;0,R139&gt;0),T139,"")</f>
        <v/>
      </c>
      <c r="W139">
        <f>IF(I139&gt;0,$AE$2/(1-(1+$AE$2)^-I139),"")</f>
        <v/>
      </c>
      <c r="X139">
        <f>L139*W139+M139</f>
        <v/>
      </c>
      <c r="Y139">
        <f>IF(P139&gt;0,(X139/P139)/$AE$3,"")</f>
        <v/>
      </c>
      <c r="Z139">
        <f>IF(AND(ISNUMBER(K139),Q139&gt;0),MAX(F139,0)*K139*1000000*E139,"pending")</f>
        <v/>
      </c>
      <c r="AA139">
        <f>IF(AND(ISNUMBER(K139),R139&gt;0),MAX(G139,0)*K139*1000000*E139,"pending")</f>
        <v/>
      </c>
      <c r="AB139">
        <f>IF(AND(ISNUMBER(S139),S139&lt;0),"NEG-CCE","")&amp;IF(NOT(ISNUMBER(K139)),"|pending tonnage","")</f>
        <v/>
      </c>
      <c r="AG139">
        <f>IFERROR(_xlfn.XLOOKUP(A139,'product map'!$A$14:$A$36,'product map'!$C$14:$C$36),"?")</f>
        <v/>
      </c>
      <c r="AH139">
        <f>IFERROR((Z139*0.000000947817)/_xlfn.XLOOKUP(AG139,'energy base (MECS)'!$K$4:$K$9,'energy base (MECS)'!$F$4:$F$9),0)</f>
        <v/>
      </c>
      <c r="AI139">
        <f>IFERROR((AA139*0.000000947817)/_xlfn.XLOOKUP(AG139,'energy base (MECS)'!$K$4:$K$9,'energy base (MECS)'!$I$4:$I$9),0)</f>
        <v/>
      </c>
      <c r="AJ139">
        <f>MAX(0.3*ABS(AK139),0.000001)</f>
        <v/>
      </c>
      <c r="AK139">
        <f>IF(ISNUMBER(T139),T139,0)</f>
        <v/>
      </c>
      <c r="AL139">
        <f>IFERROR(_xlfn.XLOOKUP(AG139,'BCoISC-WACCbI'!$C$2:$C$26,'BCoISC-WACCbI'!$B$2:$B$26)+$AE$4,0.1)</f>
        <v/>
      </c>
      <c r="AM139">
        <f>IF(P139&gt;0,L139/P139/0.947817,0)</f>
        <v/>
      </c>
      <c r="AN139">
        <f>IF(AND(P139&gt;0,ISNUMBER(K139)),L139*K139*1000000*E139,0)</f>
        <v/>
      </c>
    </row>
    <row r="140">
      <c r="A140">
        <f>'Kermeli Data'!A147</f>
        <v/>
      </c>
      <c r="B140">
        <f>'Kermeli Data'!B147</f>
        <v/>
      </c>
      <c r="C140">
        <f>'Kermeli Data'!P147</f>
        <v/>
      </c>
      <c r="D140">
        <f>IF(C140="2 whr","whr",IF(C140="3 proc","process","EXCLUDED"))</f>
        <v/>
      </c>
      <c r="E140">
        <f>'Kermeli Data'!E147</f>
        <v/>
      </c>
      <c r="F140">
        <f>'Kermeli Data'!F147</f>
        <v/>
      </c>
      <c r="G140">
        <f>'Kermeli Data'!G147</f>
        <v/>
      </c>
      <c r="H140">
        <f>'Kermeli Data'!I147</f>
        <v/>
      </c>
      <c r="I140">
        <f>'Kermeli Data'!J147</f>
        <v/>
      </c>
      <c r="J140">
        <f>'Kermeli Data'!K147</f>
        <v/>
      </c>
      <c r="K140">
        <f>IFERROR(_xlfn.XLOOKUP(A140,'product map'!$A$14:$A$36,'product map'!$G$14:$G$36),"pending")</f>
        <v/>
      </c>
      <c r="L140">
        <f>H140*cpi!$B$12*cpi!$B$10</f>
        <v/>
      </c>
      <c r="M140">
        <f>J140*cpi!$B$12*cpi!$B$10</f>
        <v/>
      </c>
      <c r="N140">
        <f>IF(I140&gt;0,AL140/(1-(1+AL140)^-I140),"")</f>
        <v/>
      </c>
      <c r="O140">
        <f>L140*N140+M140</f>
        <v/>
      </c>
      <c r="P140">
        <f>MAX(F140,0)+MAX(G140,0)</f>
        <v/>
      </c>
      <c r="Q140">
        <f>IF(P140&gt;0,MAX(F140,0)/P140,0)</f>
        <v/>
      </c>
      <c r="R140">
        <f>IF(P140&gt;0,MAX(G140,0)/P140,0)</f>
        <v/>
      </c>
      <c r="S140">
        <f>IF(P140&gt;0,O140/P140,"")</f>
        <v/>
      </c>
      <c r="T140">
        <f>IF(P140&gt;0,S140/$AE$3,"")</f>
        <v/>
      </c>
      <c r="U140">
        <f>IF(AND(P140&gt;0,Q140&gt;0),T140,"")</f>
        <v/>
      </c>
      <c r="V140">
        <f>IF(AND(P140&gt;0,R140&gt;0),T140,"")</f>
        <v/>
      </c>
      <c r="W140">
        <f>IF(I140&gt;0,$AE$2/(1-(1+$AE$2)^-I140),"")</f>
        <v/>
      </c>
      <c r="X140">
        <f>L140*W140+M140</f>
        <v/>
      </c>
      <c r="Y140">
        <f>IF(P140&gt;0,(X140/P140)/$AE$3,"")</f>
        <v/>
      </c>
      <c r="Z140">
        <f>IF(AND(ISNUMBER(K140),Q140&gt;0),MAX(F140,0)*K140*1000000*E140,"pending")</f>
        <v/>
      </c>
      <c r="AA140">
        <f>IF(AND(ISNUMBER(K140),R140&gt;0),MAX(G140,0)*K140*1000000*E140,"pending")</f>
        <v/>
      </c>
      <c r="AB140">
        <f>IF(AND(ISNUMBER(S140),S140&lt;0),"NEG-CCE","")&amp;IF(NOT(ISNUMBER(K140)),"|pending tonnage","")</f>
        <v/>
      </c>
      <c r="AG140">
        <f>IFERROR(_xlfn.XLOOKUP(A140,'product map'!$A$14:$A$36,'product map'!$C$14:$C$36),"?")</f>
        <v/>
      </c>
      <c r="AH140">
        <f>IFERROR((Z140*0.000000947817)/_xlfn.XLOOKUP(AG140,'energy base (MECS)'!$K$4:$K$9,'energy base (MECS)'!$F$4:$F$9),0)</f>
        <v/>
      </c>
      <c r="AI140">
        <f>IFERROR((AA140*0.000000947817)/_xlfn.XLOOKUP(AG140,'energy base (MECS)'!$K$4:$K$9,'energy base (MECS)'!$I$4:$I$9),0)</f>
        <v/>
      </c>
      <c r="AJ140">
        <f>MAX(0.3*ABS(AK140),0.000001)</f>
        <v/>
      </c>
      <c r="AK140">
        <f>IF(ISNUMBER(T140),T140,0)</f>
        <v/>
      </c>
      <c r="AL140">
        <f>IFERROR(_xlfn.XLOOKUP(AG140,'BCoISC-WACCbI'!$C$2:$C$26,'BCoISC-WACCbI'!$B$2:$B$26)+$AE$4,0.1)</f>
        <v/>
      </c>
      <c r="AM140">
        <f>IF(P140&gt;0,L140/P140/0.947817,0)</f>
        <v/>
      </c>
      <c r="AN140">
        <f>IF(AND(P140&gt;0,ISNUMBER(K140)),L140*K140*1000000*E140,0)</f>
        <v/>
      </c>
    </row>
    <row r="141">
      <c r="A141">
        <f>'Kermeli Data'!A148</f>
        <v/>
      </c>
      <c r="B141">
        <f>'Kermeli Data'!B148</f>
        <v/>
      </c>
      <c r="C141">
        <f>'Kermeli Data'!P148</f>
        <v/>
      </c>
      <c r="D141">
        <f>IF(C141="2 whr","whr",IF(C141="3 proc","process","EXCLUDED"))</f>
        <v/>
      </c>
      <c r="E141">
        <f>'Kermeli Data'!E148</f>
        <v/>
      </c>
      <c r="F141">
        <f>'Kermeli Data'!F148</f>
        <v/>
      </c>
      <c r="G141">
        <f>'Kermeli Data'!G148</f>
        <v/>
      </c>
      <c r="H141">
        <f>'Kermeli Data'!I148</f>
        <v/>
      </c>
      <c r="I141">
        <f>'Kermeli Data'!J148</f>
        <v/>
      </c>
      <c r="J141">
        <f>'Kermeli Data'!K148</f>
        <v/>
      </c>
      <c r="K141">
        <f>IFERROR(_xlfn.XLOOKUP(A141,'product map'!$A$14:$A$36,'product map'!$G$14:$G$36),"pending")</f>
        <v/>
      </c>
      <c r="L141">
        <f>H141*cpi!$B$12*cpi!$B$10</f>
        <v/>
      </c>
      <c r="M141">
        <f>J141*cpi!$B$12*cpi!$B$10</f>
        <v/>
      </c>
      <c r="N141">
        <f>IF(I141&gt;0,AL141/(1-(1+AL141)^-I141),"")</f>
        <v/>
      </c>
      <c r="O141">
        <f>L141*N141+M141</f>
        <v/>
      </c>
      <c r="P141">
        <f>MAX(F141,0)+MAX(G141,0)</f>
        <v/>
      </c>
      <c r="Q141">
        <f>IF(P141&gt;0,MAX(F141,0)/P141,0)</f>
        <v/>
      </c>
      <c r="R141">
        <f>IF(P141&gt;0,MAX(G141,0)/P141,0)</f>
        <v/>
      </c>
      <c r="S141">
        <f>IF(P141&gt;0,O141/P141,"")</f>
        <v/>
      </c>
      <c r="T141">
        <f>IF(P141&gt;0,S141/$AE$3,"")</f>
        <v/>
      </c>
      <c r="U141">
        <f>IF(AND(P141&gt;0,Q141&gt;0),T141,"")</f>
        <v/>
      </c>
      <c r="V141">
        <f>IF(AND(P141&gt;0,R141&gt;0),T141,"")</f>
        <v/>
      </c>
      <c r="W141">
        <f>IF(I141&gt;0,$AE$2/(1-(1+$AE$2)^-I141),"")</f>
        <v/>
      </c>
      <c r="X141">
        <f>L141*W141+M141</f>
        <v/>
      </c>
      <c r="Y141">
        <f>IF(P141&gt;0,(X141/P141)/$AE$3,"")</f>
        <v/>
      </c>
      <c r="Z141">
        <f>IF(AND(ISNUMBER(K141),Q141&gt;0),MAX(F141,0)*K141*1000000*E141,"pending")</f>
        <v/>
      </c>
      <c r="AA141">
        <f>IF(AND(ISNUMBER(K141),R141&gt;0),MAX(G141,0)*K141*1000000*E141,"pending")</f>
        <v/>
      </c>
      <c r="AB141">
        <f>IF(AND(ISNUMBER(S141),S141&lt;0),"NEG-CCE","")&amp;IF(NOT(ISNUMBER(K141)),"|pending tonnage","")</f>
        <v/>
      </c>
      <c r="AG141">
        <f>IFERROR(_xlfn.XLOOKUP(A141,'product map'!$A$14:$A$36,'product map'!$C$14:$C$36),"?")</f>
        <v/>
      </c>
      <c r="AH141">
        <f>IFERROR((Z141*0.000000947817)/_xlfn.XLOOKUP(AG141,'energy base (MECS)'!$K$4:$K$9,'energy base (MECS)'!$F$4:$F$9),0)</f>
        <v/>
      </c>
      <c r="AI141">
        <f>IFERROR((AA141*0.000000947817)/_xlfn.XLOOKUP(AG141,'energy base (MECS)'!$K$4:$K$9,'energy base (MECS)'!$I$4:$I$9),0)</f>
        <v/>
      </c>
      <c r="AJ141">
        <f>MAX(0.3*ABS(AK141),0.000001)</f>
        <v/>
      </c>
      <c r="AK141">
        <f>IF(ISNUMBER(T141),T141,0)</f>
        <v/>
      </c>
      <c r="AL141">
        <f>IFERROR(_xlfn.XLOOKUP(AG141,'BCoISC-WACCbI'!$C$2:$C$26,'BCoISC-WACCbI'!$B$2:$B$26)+$AE$4,0.1)</f>
        <v/>
      </c>
      <c r="AM141">
        <f>IF(P141&gt;0,L141/P141/0.947817,0)</f>
        <v/>
      </c>
      <c r="AN141">
        <f>IF(AND(P141&gt;0,ISNUMBER(K141)),L141*K141*1000000*E141,0)</f>
        <v/>
      </c>
    </row>
    <row r="142">
      <c r="A142">
        <f>'Kermeli Data'!A149</f>
        <v/>
      </c>
      <c r="B142">
        <f>'Kermeli Data'!B149</f>
        <v/>
      </c>
      <c r="C142">
        <f>'Kermeli Data'!P149</f>
        <v/>
      </c>
      <c r="D142">
        <f>IF(C142="2 whr","whr",IF(C142="3 proc","process","EXCLUDED"))</f>
        <v/>
      </c>
      <c r="E142">
        <f>'Kermeli Data'!E149</f>
        <v/>
      </c>
      <c r="F142">
        <f>'Kermeli Data'!F149</f>
        <v/>
      </c>
      <c r="G142">
        <f>'Kermeli Data'!G149</f>
        <v/>
      </c>
      <c r="H142">
        <f>'Kermeli Data'!I149</f>
        <v/>
      </c>
      <c r="I142">
        <f>'Kermeli Data'!J149</f>
        <v/>
      </c>
      <c r="J142">
        <f>'Kermeli Data'!K149</f>
        <v/>
      </c>
      <c r="K142">
        <f>IFERROR(_xlfn.XLOOKUP(A142,'product map'!$A$14:$A$36,'product map'!$G$14:$G$36),"pending")</f>
        <v/>
      </c>
      <c r="L142">
        <f>H142*cpi!$B$12*cpi!$B$10</f>
        <v/>
      </c>
      <c r="M142">
        <f>J142*cpi!$B$12*cpi!$B$10</f>
        <v/>
      </c>
      <c r="N142">
        <f>IF(I142&gt;0,AL142/(1-(1+AL142)^-I142),"")</f>
        <v/>
      </c>
      <c r="O142">
        <f>L142*N142+M142</f>
        <v/>
      </c>
      <c r="P142">
        <f>MAX(F142,0)+MAX(G142,0)</f>
        <v/>
      </c>
      <c r="Q142">
        <f>IF(P142&gt;0,MAX(F142,0)/P142,0)</f>
        <v/>
      </c>
      <c r="R142">
        <f>IF(P142&gt;0,MAX(G142,0)/P142,0)</f>
        <v/>
      </c>
      <c r="S142">
        <f>IF(P142&gt;0,O142/P142,"")</f>
        <v/>
      </c>
      <c r="T142">
        <f>IF(P142&gt;0,S142/$AE$3,"")</f>
        <v/>
      </c>
      <c r="U142">
        <f>IF(AND(P142&gt;0,Q142&gt;0),T142,"")</f>
        <v/>
      </c>
      <c r="V142">
        <f>IF(AND(P142&gt;0,R142&gt;0),T142,"")</f>
        <v/>
      </c>
      <c r="W142">
        <f>IF(I142&gt;0,$AE$2/(1-(1+$AE$2)^-I142),"")</f>
        <v/>
      </c>
      <c r="X142">
        <f>L142*W142+M142</f>
        <v/>
      </c>
      <c r="Y142">
        <f>IF(P142&gt;0,(X142/P142)/$AE$3,"")</f>
        <v/>
      </c>
      <c r="Z142">
        <f>IF(AND(ISNUMBER(K142),Q142&gt;0),MAX(F142,0)*K142*1000000*E142,"pending")</f>
        <v/>
      </c>
      <c r="AA142">
        <f>IF(AND(ISNUMBER(K142),R142&gt;0),MAX(G142,0)*K142*1000000*E142,"pending")</f>
        <v/>
      </c>
      <c r="AB142">
        <f>IF(AND(ISNUMBER(S142),S142&lt;0),"NEG-CCE","")&amp;IF(NOT(ISNUMBER(K142)),"|pending tonnage","")</f>
        <v/>
      </c>
      <c r="AG142">
        <f>IFERROR(_xlfn.XLOOKUP(A142,'product map'!$A$14:$A$36,'product map'!$C$14:$C$36),"?")</f>
        <v/>
      </c>
      <c r="AH142">
        <f>IFERROR((Z142*0.000000947817)/_xlfn.XLOOKUP(AG142,'energy base (MECS)'!$K$4:$K$9,'energy base (MECS)'!$F$4:$F$9),0)</f>
        <v/>
      </c>
      <c r="AI142">
        <f>IFERROR((AA142*0.000000947817)/_xlfn.XLOOKUP(AG142,'energy base (MECS)'!$K$4:$K$9,'energy base (MECS)'!$I$4:$I$9),0)</f>
        <v/>
      </c>
      <c r="AJ142">
        <f>MAX(0.3*ABS(AK142),0.000001)</f>
        <v/>
      </c>
      <c r="AK142">
        <f>IF(ISNUMBER(T142),T142,0)</f>
        <v/>
      </c>
      <c r="AL142">
        <f>IFERROR(_xlfn.XLOOKUP(AG142,'BCoISC-WACCbI'!$C$2:$C$26,'BCoISC-WACCbI'!$B$2:$B$26)+$AE$4,0.1)</f>
        <v/>
      </c>
      <c r="AM142">
        <f>IF(P142&gt;0,L142/P142/0.947817,0)</f>
        <v/>
      </c>
      <c r="AN142">
        <f>IF(AND(P142&gt;0,ISNUMBER(K142)),L142*K142*1000000*E142,0)</f>
        <v/>
      </c>
    </row>
    <row r="143">
      <c r="A143">
        <f>'Kermeli Data'!A150</f>
        <v/>
      </c>
      <c r="B143">
        <f>'Kermeli Data'!B150</f>
        <v/>
      </c>
      <c r="C143">
        <f>'Kermeli Data'!P150</f>
        <v/>
      </c>
      <c r="D143">
        <f>IF(C143="2 whr","whr",IF(C143="3 proc","process","EXCLUDED"))</f>
        <v/>
      </c>
      <c r="E143">
        <f>'Kermeli Data'!E150</f>
        <v/>
      </c>
      <c r="F143">
        <f>'Kermeli Data'!F150</f>
        <v/>
      </c>
      <c r="G143">
        <f>'Kermeli Data'!G150</f>
        <v/>
      </c>
      <c r="H143">
        <f>'Kermeli Data'!I150</f>
        <v/>
      </c>
      <c r="I143">
        <f>'Kermeli Data'!J150</f>
        <v/>
      </c>
      <c r="J143">
        <f>'Kermeli Data'!K150</f>
        <v/>
      </c>
      <c r="K143">
        <f>IFERROR(_xlfn.XLOOKUP(A143,'product map'!$A$14:$A$36,'product map'!$G$14:$G$36),"pending")</f>
        <v/>
      </c>
      <c r="L143">
        <f>H143*cpi!$B$12*cpi!$B$10</f>
        <v/>
      </c>
      <c r="M143">
        <f>J143*cpi!$B$12*cpi!$B$10</f>
        <v/>
      </c>
      <c r="N143">
        <f>IF(I143&gt;0,AL143/(1-(1+AL143)^-I143),"")</f>
        <v/>
      </c>
      <c r="O143">
        <f>L143*N143+M143</f>
        <v/>
      </c>
      <c r="P143">
        <f>MAX(F143,0)+MAX(G143,0)</f>
        <v/>
      </c>
      <c r="Q143">
        <f>IF(P143&gt;0,MAX(F143,0)/P143,0)</f>
        <v/>
      </c>
      <c r="R143">
        <f>IF(P143&gt;0,MAX(G143,0)/P143,0)</f>
        <v/>
      </c>
      <c r="S143">
        <f>IF(P143&gt;0,O143/P143,"")</f>
        <v/>
      </c>
      <c r="T143">
        <f>IF(P143&gt;0,S143/$AE$3,"")</f>
        <v/>
      </c>
      <c r="U143">
        <f>IF(AND(P143&gt;0,Q143&gt;0),T143,"")</f>
        <v/>
      </c>
      <c r="V143">
        <f>IF(AND(P143&gt;0,R143&gt;0),T143,"")</f>
        <v/>
      </c>
      <c r="W143">
        <f>IF(I143&gt;0,$AE$2/(1-(1+$AE$2)^-I143),"")</f>
        <v/>
      </c>
      <c r="X143">
        <f>L143*W143+M143</f>
        <v/>
      </c>
      <c r="Y143">
        <f>IF(P143&gt;0,(X143/P143)/$AE$3,"")</f>
        <v/>
      </c>
      <c r="Z143">
        <f>IF(AND(ISNUMBER(K143),Q143&gt;0),MAX(F143,0)*K143*1000000*E143,"pending")</f>
        <v/>
      </c>
      <c r="AA143">
        <f>IF(AND(ISNUMBER(K143),R143&gt;0),MAX(G143,0)*K143*1000000*E143,"pending")</f>
        <v/>
      </c>
      <c r="AB143">
        <f>IF(AND(ISNUMBER(S143),S143&lt;0),"NEG-CCE","")&amp;IF(NOT(ISNUMBER(K143)),"|pending tonnage","")</f>
        <v/>
      </c>
      <c r="AG143">
        <f>IFERROR(_xlfn.XLOOKUP(A143,'product map'!$A$14:$A$36,'product map'!$C$14:$C$36),"?")</f>
        <v/>
      </c>
      <c r="AH143">
        <f>IFERROR((Z143*0.000000947817)/_xlfn.XLOOKUP(AG143,'energy base (MECS)'!$K$4:$K$9,'energy base (MECS)'!$F$4:$F$9),0)</f>
        <v/>
      </c>
      <c r="AI143">
        <f>IFERROR((AA143*0.000000947817)/_xlfn.XLOOKUP(AG143,'energy base (MECS)'!$K$4:$K$9,'energy base (MECS)'!$I$4:$I$9),0)</f>
        <v/>
      </c>
      <c r="AJ143">
        <f>MAX(0.3*ABS(AK143),0.000001)</f>
        <v/>
      </c>
      <c r="AK143">
        <f>IF(ISNUMBER(T143),T143,0)</f>
        <v/>
      </c>
      <c r="AL143">
        <f>IFERROR(_xlfn.XLOOKUP(AG143,'BCoISC-WACCbI'!$C$2:$C$26,'BCoISC-WACCbI'!$B$2:$B$26)+$AE$4,0.1)</f>
        <v/>
      </c>
      <c r="AM143">
        <f>IF(P143&gt;0,L143/P143/0.947817,0)</f>
        <v/>
      </c>
      <c r="AN143">
        <f>IF(AND(P143&gt;0,ISNUMBER(K143)),L143*K143*1000000*E143,0)</f>
        <v/>
      </c>
    </row>
    <row r="144">
      <c r="A144">
        <f>'Kermeli Data'!A151</f>
        <v/>
      </c>
      <c r="B144">
        <f>'Kermeli Data'!B151</f>
        <v/>
      </c>
      <c r="C144">
        <f>'Kermeli Data'!P151</f>
        <v/>
      </c>
      <c r="D144">
        <f>IF(C144="2 whr","whr",IF(C144="3 proc","process","EXCLUDED"))</f>
        <v/>
      </c>
      <c r="E144">
        <f>'Kermeli Data'!E151</f>
        <v/>
      </c>
      <c r="F144">
        <f>'Kermeli Data'!F151</f>
        <v/>
      </c>
      <c r="G144">
        <f>'Kermeli Data'!G151</f>
        <v/>
      </c>
      <c r="H144">
        <f>'Kermeli Data'!I151</f>
        <v/>
      </c>
      <c r="I144">
        <f>'Kermeli Data'!J151</f>
        <v/>
      </c>
      <c r="J144">
        <f>'Kermeli Data'!K151</f>
        <v/>
      </c>
      <c r="K144">
        <f>IFERROR(_xlfn.XLOOKUP(A144,'product map'!$A$14:$A$36,'product map'!$G$14:$G$36),"pending")</f>
        <v/>
      </c>
      <c r="L144">
        <f>H144*cpi!$B$12*cpi!$B$10</f>
        <v/>
      </c>
      <c r="M144">
        <f>J144*cpi!$B$12*cpi!$B$10</f>
        <v/>
      </c>
      <c r="N144">
        <f>IF(I144&gt;0,AL144/(1-(1+AL144)^-I144),"")</f>
        <v/>
      </c>
      <c r="O144">
        <f>L144*N144+M144</f>
        <v/>
      </c>
      <c r="P144">
        <f>MAX(F144,0)+MAX(G144,0)</f>
        <v/>
      </c>
      <c r="Q144">
        <f>IF(P144&gt;0,MAX(F144,0)/P144,0)</f>
        <v/>
      </c>
      <c r="R144">
        <f>IF(P144&gt;0,MAX(G144,0)/P144,0)</f>
        <v/>
      </c>
      <c r="S144">
        <f>IF(P144&gt;0,O144/P144,"")</f>
        <v/>
      </c>
      <c r="T144">
        <f>IF(P144&gt;0,S144/$AE$3,"")</f>
        <v/>
      </c>
      <c r="U144">
        <f>IF(AND(P144&gt;0,Q144&gt;0),T144,"")</f>
        <v/>
      </c>
      <c r="V144">
        <f>IF(AND(P144&gt;0,R144&gt;0),T144,"")</f>
        <v/>
      </c>
      <c r="W144">
        <f>IF(I144&gt;0,$AE$2/(1-(1+$AE$2)^-I144),"")</f>
        <v/>
      </c>
      <c r="X144">
        <f>L144*W144+M144</f>
        <v/>
      </c>
      <c r="Y144">
        <f>IF(P144&gt;0,(X144/P144)/$AE$3,"")</f>
        <v/>
      </c>
      <c r="Z144">
        <f>IF(AND(ISNUMBER(K144),Q144&gt;0),MAX(F144,0)*K144*1000000*E144,"pending")</f>
        <v/>
      </c>
      <c r="AA144">
        <f>IF(AND(ISNUMBER(K144),R144&gt;0),MAX(G144,0)*K144*1000000*E144,"pending")</f>
        <v/>
      </c>
      <c r="AB144">
        <f>IF(AND(ISNUMBER(S144),S144&lt;0),"NEG-CCE","")&amp;IF(NOT(ISNUMBER(K144)),"|pending tonnage","")</f>
        <v/>
      </c>
      <c r="AG144">
        <f>IFERROR(_xlfn.XLOOKUP(A144,'product map'!$A$14:$A$36,'product map'!$C$14:$C$36),"?")</f>
        <v/>
      </c>
      <c r="AH144">
        <f>IFERROR((Z144*0.000000947817)/_xlfn.XLOOKUP(AG144,'energy base (MECS)'!$K$4:$K$9,'energy base (MECS)'!$F$4:$F$9),0)</f>
        <v/>
      </c>
      <c r="AI144">
        <f>IFERROR((AA144*0.000000947817)/_xlfn.XLOOKUP(AG144,'energy base (MECS)'!$K$4:$K$9,'energy base (MECS)'!$I$4:$I$9),0)</f>
        <v/>
      </c>
      <c r="AJ144">
        <f>MAX(0.3*ABS(AK144),0.000001)</f>
        <v/>
      </c>
      <c r="AK144">
        <f>IF(ISNUMBER(T144),T144,0)</f>
        <v/>
      </c>
      <c r="AL144">
        <f>IFERROR(_xlfn.XLOOKUP(AG144,'BCoISC-WACCbI'!$C$2:$C$26,'BCoISC-WACCbI'!$B$2:$B$26)+$AE$4,0.1)</f>
        <v/>
      </c>
      <c r="AM144">
        <f>IF(P144&gt;0,L144/P144/0.947817,0)</f>
        <v/>
      </c>
      <c r="AN144">
        <f>IF(AND(P144&gt;0,ISNUMBER(K144)),L144*K144*1000000*E144,0)</f>
        <v/>
      </c>
    </row>
    <row r="145">
      <c r="A145">
        <f>'Kermeli Data'!A152</f>
        <v/>
      </c>
      <c r="B145">
        <f>'Kermeli Data'!B152</f>
        <v/>
      </c>
      <c r="C145">
        <f>'Kermeli Data'!P152</f>
        <v/>
      </c>
      <c r="D145">
        <f>IF(C145="2 whr","whr",IF(C145="3 proc","process","EXCLUDED"))</f>
        <v/>
      </c>
      <c r="E145">
        <f>'Kermeli Data'!E152</f>
        <v/>
      </c>
      <c r="F145">
        <f>'Kermeli Data'!F152</f>
        <v/>
      </c>
      <c r="G145">
        <f>'Kermeli Data'!G152</f>
        <v/>
      </c>
      <c r="H145">
        <f>'Kermeli Data'!I152</f>
        <v/>
      </c>
      <c r="I145">
        <f>'Kermeli Data'!J152</f>
        <v/>
      </c>
      <c r="J145">
        <f>'Kermeli Data'!K152</f>
        <v/>
      </c>
      <c r="K145">
        <f>IFERROR(_xlfn.XLOOKUP(A145,'product map'!$A$14:$A$36,'product map'!$G$14:$G$36),"pending")</f>
        <v/>
      </c>
      <c r="L145">
        <f>H145*cpi!$B$12*cpi!$B$10</f>
        <v/>
      </c>
      <c r="M145">
        <f>J145*cpi!$B$12*cpi!$B$10</f>
        <v/>
      </c>
      <c r="N145">
        <f>IF(I145&gt;0,AL145/(1-(1+AL145)^-I145),"")</f>
        <v/>
      </c>
      <c r="O145">
        <f>L145*N145+M145</f>
        <v/>
      </c>
      <c r="P145">
        <f>MAX(F145,0)+MAX(G145,0)</f>
        <v/>
      </c>
      <c r="Q145">
        <f>IF(P145&gt;0,MAX(F145,0)/P145,0)</f>
        <v/>
      </c>
      <c r="R145">
        <f>IF(P145&gt;0,MAX(G145,0)/P145,0)</f>
        <v/>
      </c>
      <c r="S145">
        <f>IF(P145&gt;0,O145/P145,"")</f>
        <v/>
      </c>
      <c r="T145">
        <f>IF(P145&gt;0,S145/$AE$3,"")</f>
        <v/>
      </c>
      <c r="U145">
        <f>IF(AND(P145&gt;0,Q145&gt;0),T145,"")</f>
        <v/>
      </c>
      <c r="V145">
        <f>IF(AND(P145&gt;0,R145&gt;0),T145,"")</f>
        <v/>
      </c>
      <c r="W145">
        <f>IF(I145&gt;0,$AE$2/(1-(1+$AE$2)^-I145),"")</f>
        <v/>
      </c>
      <c r="X145">
        <f>L145*W145+M145</f>
        <v/>
      </c>
      <c r="Y145">
        <f>IF(P145&gt;0,(X145/P145)/$AE$3,"")</f>
        <v/>
      </c>
      <c r="Z145">
        <f>IF(AND(ISNUMBER(K145),Q145&gt;0),MAX(F145,0)*K145*1000000*E145,"pending")</f>
        <v/>
      </c>
      <c r="AA145">
        <f>IF(AND(ISNUMBER(K145),R145&gt;0),MAX(G145,0)*K145*1000000*E145,"pending")</f>
        <v/>
      </c>
      <c r="AB145">
        <f>IF(AND(ISNUMBER(S145),S145&lt;0),"NEG-CCE","")&amp;IF(NOT(ISNUMBER(K145)),"|pending tonnage","")</f>
        <v/>
      </c>
      <c r="AG145">
        <f>IFERROR(_xlfn.XLOOKUP(A145,'product map'!$A$14:$A$36,'product map'!$C$14:$C$36),"?")</f>
        <v/>
      </c>
      <c r="AH145">
        <f>IFERROR((Z145*0.000000947817)/_xlfn.XLOOKUP(AG145,'energy base (MECS)'!$K$4:$K$9,'energy base (MECS)'!$F$4:$F$9),0)</f>
        <v/>
      </c>
      <c r="AI145">
        <f>IFERROR((AA145*0.000000947817)/_xlfn.XLOOKUP(AG145,'energy base (MECS)'!$K$4:$K$9,'energy base (MECS)'!$I$4:$I$9),0)</f>
        <v/>
      </c>
      <c r="AJ145">
        <f>MAX(0.3*ABS(AK145),0.000001)</f>
        <v/>
      </c>
      <c r="AK145">
        <f>IF(ISNUMBER(T145),T145,0)</f>
        <v/>
      </c>
      <c r="AL145">
        <f>IFERROR(_xlfn.XLOOKUP(AG145,'BCoISC-WACCbI'!$C$2:$C$26,'BCoISC-WACCbI'!$B$2:$B$26)+$AE$4,0.1)</f>
        <v/>
      </c>
      <c r="AM145">
        <f>IF(P145&gt;0,L145/P145/0.947817,0)</f>
        <v/>
      </c>
      <c r="AN145">
        <f>IF(AND(P145&gt;0,ISNUMBER(K145)),L145*K145*1000000*E145,0)</f>
        <v/>
      </c>
    </row>
    <row r="146">
      <c r="A146">
        <f>'Kermeli Data'!A153</f>
        <v/>
      </c>
      <c r="B146">
        <f>'Kermeli Data'!B153</f>
        <v/>
      </c>
      <c r="C146">
        <f>'Kermeli Data'!P153</f>
        <v/>
      </c>
      <c r="D146">
        <f>IF(C146="2 whr","whr",IF(C146="3 proc","process","EXCLUDED"))</f>
        <v/>
      </c>
      <c r="E146">
        <f>'Kermeli Data'!E153</f>
        <v/>
      </c>
      <c r="F146">
        <f>'Kermeli Data'!F153</f>
        <v/>
      </c>
      <c r="G146">
        <f>'Kermeli Data'!G153</f>
        <v/>
      </c>
      <c r="H146">
        <f>'Kermeli Data'!I153</f>
        <v/>
      </c>
      <c r="I146">
        <f>'Kermeli Data'!J153</f>
        <v/>
      </c>
      <c r="J146">
        <f>'Kermeli Data'!K153</f>
        <v/>
      </c>
      <c r="K146">
        <f>IFERROR(_xlfn.XLOOKUP(A146,'product map'!$A$14:$A$36,'product map'!$G$14:$G$36),"pending")</f>
        <v/>
      </c>
      <c r="L146">
        <f>H146*cpi!$B$12*cpi!$B$10</f>
        <v/>
      </c>
      <c r="M146">
        <f>J146*cpi!$B$12*cpi!$B$10</f>
        <v/>
      </c>
      <c r="N146">
        <f>IF(I146&gt;0,AL146/(1-(1+AL146)^-I146),"")</f>
        <v/>
      </c>
      <c r="O146">
        <f>L146*N146+M146</f>
        <v/>
      </c>
      <c r="P146">
        <f>MAX(F146,0)+MAX(G146,0)</f>
        <v/>
      </c>
      <c r="Q146">
        <f>IF(P146&gt;0,MAX(F146,0)/P146,0)</f>
        <v/>
      </c>
      <c r="R146">
        <f>IF(P146&gt;0,MAX(G146,0)/P146,0)</f>
        <v/>
      </c>
      <c r="S146">
        <f>IF(P146&gt;0,O146/P146,"")</f>
        <v/>
      </c>
      <c r="T146">
        <f>IF(P146&gt;0,S146/$AE$3,"")</f>
        <v/>
      </c>
      <c r="U146">
        <f>IF(AND(P146&gt;0,Q146&gt;0),T146,"")</f>
        <v/>
      </c>
      <c r="V146">
        <f>IF(AND(P146&gt;0,R146&gt;0),T146,"")</f>
        <v/>
      </c>
      <c r="W146">
        <f>IF(I146&gt;0,$AE$2/(1-(1+$AE$2)^-I146),"")</f>
        <v/>
      </c>
      <c r="X146">
        <f>L146*W146+M146</f>
        <v/>
      </c>
      <c r="Y146">
        <f>IF(P146&gt;0,(X146/P146)/$AE$3,"")</f>
        <v/>
      </c>
      <c r="Z146">
        <f>IF(AND(ISNUMBER(K146),Q146&gt;0),MAX(F146,0)*K146*1000000*E146,"pending")</f>
        <v/>
      </c>
      <c r="AA146">
        <f>IF(AND(ISNUMBER(K146),R146&gt;0),MAX(G146,0)*K146*1000000*E146,"pending")</f>
        <v/>
      </c>
      <c r="AB146">
        <f>IF(AND(ISNUMBER(S146),S146&lt;0),"NEG-CCE","")&amp;IF(NOT(ISNUMBER(K146)),"|pending tonnage","")</f>
        <v/>
      </c>
      <c r="AG146">
        <f>IFERROR(_xlfn.XLOOKUP(A146,'product map'!$A$14:$A$36,'product map'!$C$14:$C$36),"?")</f>
        <v/>
      </c>
      <c r="AH146">
        <f>IFERROR((Z146*0.000000947817)/_xlfn.XLOOKUP(AG146,'energy base (MECS)'!$K$4:$K$9,'energy base (MECS)'!$F$4:$F$9),0)</f>
        <v/>
      </c>
      <c r="AI146">
        <f>IFERROR((AA146*0.000000947817)/_xlfn.XLOOKUP(AG146,'energy base (MECS)'!$K$4:$K$9,'energy base (MECS)'!$I$4:$I$9),0)</f>
        <v/>
      </c>
      <c r="AJ146">
        <f>MAX(0.3*ABS(AK146),0.000001)</f>
        <v/>
      </c>
      <c r="AK146">
        <f>IF(ISNUMBER(T146),T146,0)</f>
        <v/>
      </c>
      <c r="AL146">
        <f>IFERROR(_xlfn.XLOOKUP(AG146,'BCoISC-WACCbI'!$C$2:$C$26,'BCoISC-WACCbI'!$B$2:$B$26)+$AE$4,0.1)</f>
        <v/>
      </c>
      <c r="AM146">
        <f>IF(P146&gt;0,L146/P146/0.947817,0)</f>
        <v/>
      </c>
      <c r="AN146">
        <f>IF(AND(P146&gt;0,ISNUMBER(K146)),L146*K146*1000000*E146,0)</f>
        <v/>
      </c>
    </row>
    <row r="147">
      <c r="A147">
        <f>'Kermeli Data'!A154</f>
        <v/>
      </c>
      <c r="B147">
        <f>'Kermeli Data'!B154</f>
        <v/>
      </c>
      <c r="C147">
        <f>'Kermeli Data'!P154</f>
        <v/>
      </c>
      <c r="D147">
        <f>IF(C147="2 whr","whr",IF(C147="3 proc","process","EXCLUDED"))</f>
        <v/>
      </c>
      <c r="E147">
        <f>'Kermeli Data'!E154</f>
        <v/>
      </c>
      <c r="F147">
        <f>'Kermeli Data'!F154</f>
        <v/>
      </c>
      <c r="G147">
        <f>'Kermeli Data'!G154</f>
        <v/>
      </c>
      <c r="H147">
        <f>'Kermeli Data'!I154</f>
        <v/>
      </c>
      <c r="I147">
        <f>'Kermeli Data'!J154</f>
        <v/>
      </c>
      <c r="J147">
        <f>'Kermeli Data'!K154</f>
        <v/>
      </c>
      <c r="K147">
        <f>IFERROR(_xlfn.XLOOKUP(A147,'product map'!$A$14:$A$36,'product map'!$G$14:$G$36),"pending")</f>
        <v/>
      </c>
      <c r="L147">
        <f>H147*cpi!$B$12*cpi!$B$10</f>
        <v/>
      </c>
      <c r="M147">
        <f>J147*cpi!$B$12*cpi!$B$10</f>
        <v/>
      </c>
      <c r="N147">
        <f>IF(I147&gt;0,AL147/(1-(1+AL147)^-I147),"")</f>
        <v/>
      </c>
      <c r="O147">
        <f>L147*N147+M147</f>
        <v/>
      </c>
      <c r="P147">
        <f>MAX(F147,0)+MAX(G147,0)</f>
        <v/>
      </c>
      <c r="Q147">
        <f>IF(P147&gt;0,MAX(F147,0)/P147,0)</f>
        <v/>
      </c>
      <c r="R147">
        <f>IF(P147&gt;0,MAX(G147,0)/P147,0)</f>
        <v/>
      </c>
      <c r="S147">
        <f>IF(P147&gt;0,O147/P147,"")</f>
        <v/>
      </c>
      <c r="T147">
        <f>IF(P147&gt;0,S147/$AE$3,"")</f>
        <v/>
      </c>
      <c r="U147">
        <f>IF(AND(P147&gt;0,Q147&gt;0),T147,"")</f>
        <v/>
      </c>
      <c r="V147">
        <f>IF(AND(P147&gt;0,R147&gt;0),T147,"")</f>
        <v/>
      </c>
      <c r="W147">
        <f>IF(I147&gt;0,$AE$2/(1-(1+$AE$2)^-I147),"")</f>
        <v/>
      </c>
      <c r="X147">
        <f>L147*W147+M147</f>
        <v/>
      </c>
      <c r="Y147">
        <f>IF(P147&gt;0,(X147/P147)/$AE$3,"")</f>
        <v/>
      </c>
      <c r="Z147">
        <f>IF(AND(ISNUMBER(K147),Q147&gt;0),MAX(F147,0)*K147*1000000*E147,"pending")</f>
        <v/>
      </c>
      <c r="AA147">
        <f>IF(AND(ISNUMBER(K147),R147&gt;0),MAX(G147,0)*K147*1000000*E147,"pending")</f>
        <v/>
      </c>
      <c r="AB147">
        <f>IF(AND(ISNUMBER(S147),S147&lt;0),"NEG-CCE","")&amp;IF(NOT(ISNUMBER(K147)),"|pending tonnage","")</f>
        <v/>
      </c>
      <c r="AG147">
        <f>IFERROR(_xlfn.XLOOKUP(A147,'product map'!$A$14:$A$36,'product map'!$C$14:$C$36),"?")</f>
        <v/>
      </c>
      <c r="AH147">
        <f>IFERROR((Z147*0.000000947817)/_xlfn.XLOOKUP(AG147,'energy base (MECS)'!$K$4:$K$9,'energy base (MECS)'!$F$4:$F$9),0)</f>
        <v/>
      </c>
      <c r="AI147">
        <f>IFERROR((AA147*0.000000947817)/_xlfn.XLOOKUP(AG147,'energy base (MECS)'!$K$4:$K$9,'energy base (MECS)'!$I$4:$I$9),0)</f>
        <v/>
      </c>
      <c r="AJ147">
        <f>MAX(0.3*ABS(AK147),0.000001)</f>
        <v/>
      </c>
      <c r="AK147">
        <f>IF(ISNUMBER(T147),T147,0)</f>
        <v/>
      </c>
      <c r="AL147">
        <f>IFERROR(_xlfn.XLOOKUP(AG147,'BCoISC-WACCbI'!$C$2:$C$26,'BCoISC-WACCbI'!$B$2:$B$26)+$AE$4,0.1)</f>
        <v/>
      </c>
      <c r="AM147">
        <f>IF(P147&gt;0,L147/P147/0.947817,0)</f>
        <v/>
      </c>
      <c r="AN147">
        <f>IF(AND(P147&gt;0,ISNUMBER(K147)),L147*K147*1000000*E147,0)</f>
        <v/>
      </c>
    </row>
    <row r="148">
      <c r="A148">
        <f>'Kermeli Data'!A155</f>
        <v/>
      </c>
      <c r="B148">
        <f>'Kermeli Data'!B155</f>
        <v/>
      </c>
      <c r="C148">
        <f>'Kermeli Data'!P155</f>
        <v/>
      </c>
      <c r="D148">
        <f>IF(C148="2 whr","whr",IF(C148="3 proc","process","EXCLUDED"))</f>
        <v/>
      </c>
      <c r="E148">
        <f>'Kermeli Data'!E155</f>
        <v/>
      </c>
      <c r="F148">
        <f>'Kermeli Data'!F155</f>
        <v/>
      </c>
      <c r="G148">
        <f>'Kermeli Data'!G155</f>
        <v/>
      </c>
      <c r="H148">
        <f>'Kermeli Data'!I155</f>
        <v/>
      </c>
      <c r="I148">
        <f>'Kermeli Data'!J155</f>
        <v/>
      </c>
      <c r="J148">
        <f>'Kermeli Data'!K155</f>
        <v/>
      </c>
      <c r="K148">
        <f>IFERROR(_xlfn.XLOOKUP(A148,'product map'!$A$14:$A$36,'product map'!$G$14:$G$36),"pending")</f>
        <v/>
      </c>
      <c r="L148">
        <f>H148*cpi!$B$12*cpi!$B$10</f>
        <v/>
      </c>
      <c r="M148">
        <f>J148*cpi!$B$12*cpi!$B$10</f>
        <v/>
      </c>
      <c r="N148">
        <f>IF(I148&gt;0,AL148/(1-(1+AL148)^-I148),"")</f>
        <v/>
      </c>
      <c r="O148">
        <f>L148*N148+M148</f>
        <v/>
      </c>
      <c r="P148">
        <f>MAX(F148,0)+MAX(G148,0)</f>
        <v/>
      </c>
      <c r="Q148">
        <f>IF(P148&gt;0,MAX(F148,0)/P148,0)</f>
        <v/>
      </c>
      <c r="R148">
        <f>IF(P148&gt;0,MAX(G148,0)/P148,0)</f>
        <v/>
      </c>
      <c r="S148">
        <f>IF(P148&gt;0,O148/P148,"")</f>
        <v/>
      </c>
      <c r="T148">
        <f>IF(P148&gt;0,S148/$AE$3,"")</f>
        <v/>
      </c>
      <c r="U148">
        <f>IF(AND(P148&gt;0,Q148&gt;0),T148,"")</f>
        <v/>
      </c>
      <c r="V148">
        <f>IF(AND(P148&gt;0,R148&gt;0),T148,"")</f>
        <v/>
      </c>
      <c r="W148">
        <f>IF(I148&gt;0,$AE$2/(1-(1+$AE$2)^-I148),"")</f>
        <v/>
      </c>
      <c r="X148">
        <f>L148*W148+M148</f>
        <v/>
      </c>
      <c r="Y148">
        <f>IF(P148&gt;0,(X148/P148)/$AE$3,"")</f>
        <v/>
      </c>
      <c r="Z148">
        <f>IF(AND(ISNUMBER(K148),Q148&gt;0),MAX(F148,0)*K148*1000000*E148,"pending")</f>
        <v/>
      </c>
      <c r="AA148">
        <f>IF(AND(ISNUMBER(K148),R148&gt;0),MAX(G148,0)*K148*1000000*E148,"pending")</f>
        <v/>
      </c>
      <c r="AB148">
        <f>IF(AND(ISNUMBER(S148),S148&lt;0),"NEG-CCE","")&amp;IF(NOT(ISNUMBER(K148)),"|pending tonnage","")</f>
        <v/>
      </c>
      <c r="AG148">
        <f>IFERROR(_xlfn.XLOOKUP(A148,'product map'!$A$14:$A$36,'product map'!$C$14:$C$36),"?")</f>
        <v/>
      </c>
      <c r="AH148">
        <f>IFERROR((Z148*0.000000947817)/_xlfn.XLOOKUP(AG148,'energy base (MECS)'!$K$4:$K$9,'energy base (MECS)'!$F$4:$F$9),0)</f>
        <v/>
      </c>
      <c r="AI148">
        <f>IFERROR((AA148*0.000000947817)/_xlfn.XLOOKUP(AG148,'energy base (MECS)'!$K$4:$K$9,'energy base (MECS)'!$I$4:$I$9),0)</f>
        <v/>
      </c>
      <c r="AJ148">
        <f>MAX(0.3*ABS(AK148),0.000001)</f>
        <v/>
      </c>
      <c r="AK148">
        <f>IF(ISNUMBER(T148),T148,0)</f>
        <v/>
      </c>
      <c r="AL148">
        <f>IFERROR(_xlfn.XLOOKUP(AG148,'BCoISC-WACCbI'!$C$2:$C$26,'BCoISC-WACCbI'!$B$2:$B$26)+$AE$4,0.1)</f>
        <v/>
      </c>
      <c r="AM148">
        <f>IF(P148&gt;0,L148/P148/0.947817,0)</f>
        <v/>
      </c>
      <c r="AN148">
        <f>IF(AND(P148&gt;0,ISNUMBER(K148)),L148*K148*1000000*E148,0)</f>
        <v/>
      </c>
    </row>
    <row r="149">
      <c r="A149">
        <f>'Kermeli Data'!A156</f>
        <v/>
      </c>
      <c r="B149">
        <f>'Kermeli Data'!B156</f>
        <v/>
      </c>
      <c r="C149">
        <f>'Kermeli Data'!P156</f>
        <v/>
      </c>
      <c r="D149">
        <f>IF(C149="2 whr","whr",IF(C149="3 proc","process","EXCLUDED"))</f>
        <v/>
      </c>
      <c r="E149">
        <f>'Kermeli Data'!E156</f>
        <v/>
      </c>
      <c r="F149">
        <f>'Kermeli Data'!F156</f>
        <v/>
      </c>
      <c r="G149">
        <f>'Kermeli Data'!G156</f>
        <v/>
      </c>
      <c r="H149">
        <f>'Kermeli Data'!I156</f>
        <v/>
      </c>
      <c r="I149">
        <f>'Kermeli Data'!J156</f>
        <v/>
      </c>
      <c r="J149">
        <f>'Kermeli Data'!K156</f>
        <v/>
      </c>
      <c r="K149">
        <f>IFERROR(_xlfn.XLOOKUP(A149,'product map'!$A$14:$A$36,'product map'!$G$14:$G$36),"pending")</f>
        <v/>
      </c>
      <c r="L149">
        <f>H149*cpi!$B$12*cpi!$B$10</f>
        <v/>
      </c>
      <c r="M149">
        <f>J149*cpi!$B$12*cpi!$B$10</f>
        <v/>
      </c>
      <c r="N149">
        <f>IF(I149&gt;0,AL149/(1-(1+AL149)^-I149),"")</f>
        <v/>
      </c>
      <c r="O149">
        <f>L149*N149+M149</f>
        <v/>
      </c>
      <c r="P149">
        <f>MAX(F149,0)+MAX(G149,0)</f>
        <v/>
      </c>
      <c r="Q149">
        <f>IF(P149&gt;0,MAX(F149,0)/P149,0)</f>
        <v/>
      </c>
      <c r="R149">
        <f>IF(P149&gt;0,MAX(G149,0)/P149,0)</f>
        <v/>
      </c>
      <c r="S149">
        <f>IF(P149&gt;0,O149/P149,"")</f>
        <v/>
      </c>
      <c r="T149">
        <f>IF(P149&gt;0,S149/$AE$3,"")</f>
        <v/>
      </c>
      <c r="U149">
        <f>IF(AND(P149&gt;0,Q149&gt;0),T149,"")</f>
        <v/>
      </c>
      <c r="V149">
        <f>IF(AND(P149&gt;0,R149&gt;0),T149,"")</f>
        <v/>
      </c>
      <c r="W149">
        <f>IF(I149&gt;0,$AE$2/(1-(1+$AE$2)^-I149),"")</f>
        <v/>
      </c>
      <c r="X149">
        <f>L149*W149+M149</f>
        <v/>
      </c>
      <c r="Y149">
        <f>IF(P149&gt;0,(X149/P149)/$AE$3,"")</f>
        <v/>
      </c>
      <c r="Z149">
        <f>IF(AND(ISNUMBER(K149),Q149&gt;0),MAX(F149,0)*K149*1000000*E149,"pending")</f>
        <v/>
      </c>
      <c r="AA149">
        <f>IF(AND(ISNUMBER(K149),R149&gt;0),MAX(G149,0)*K149*1000000*E149,"pending")</f>
        <v/>
      </c>
      <c r="AB149">
        <f>IF(AND(ISNUMBER(S149),S149&lt;0),"NEG-CCE","")&amp;IF(NOT(ISNUMBER(K149)),"|pending tonnage","")</f>
        <v/>
      </c>
      <c r="AG149">
        <f>IFERROR(_xlfn.XLOOKUP(A149,'product map'!$A$14:$A$36,'product map'!$C$14:$C$36),"?")</f>
        <v/>
      </c>
      <c r="AH149">
        <f>IFERROR((Z149*0.000000947817)/_xlfn.XLOOKUP(AG149,'energy base (MECS)'!$K$4:$K$9,'energy base (MECS)'!$F$4:$F$9),0)</f>
        <v/>
      </c>
      <c r="AI149">
        <f>IFERROR((AA149*0.000000947817)/_xlfn.XLOOKUP(AG149,'energy base (MECS)'!$K$4:$K$9,'energy base (MECS)'!$I$4:$I$9),0)</f>
        <v/>
      </c>
      <c r="AJ149">
        <f>MAX(0.3*ABS(AK149),0.000001)</f>
        <v/>
      </c>
      <c r="AK149">
        <f>IF(ISNUMBER(T149),T149,0)</f>
        <v/>
      </c>
      <c r="AL149">
        <f>IFERROR(_xlfn.XLOOKUP(AG149,'BCoISC-WACCbI'!$C$2:$C$26,'BCoISC-WACCbI'!$B$2:$B$26)+$AE$4,0.1)</f>
        <v/>
      </c>
      <c r="AM149">
        <f>IF(P149&gt;0,L149/P149/0.947817,0)</f>
        <v/>
      </c>
      <c r="AN149">
        <f>IF(AND(P149&gt;0,ISNUMBER(K149)),L149*K149*1000000*E149,0)</f>
        <v/>
      </c>
    </row>
    <row r="150">
      <c r="A150">
        <f>'Kermeli Data'!A157</f>
        <v/>
      </c>
      <c r="B150">
        <f>'Kermeli Data'!B157</f>
        <v/>
      </c>
      <c r="C150">
        <f>'Kermeli Data'!P157</f>
        <v/>
      </c>
      <c r="D150">
        <f>IF(C150="2 whr","whr",IF(C150="3 proc","process","EXCLUDED"))</f>
        <v/>
      </c>
      <c r="E150">
        <f>'Kermeli Data'!E157</f>
        <v/>
      </c>
      <c r="F150">
        <f>'Kermeli Data'!F157</f>
        <v/>
      </c>
      <c r="G150">
        <f>'Kermeli Data'!G157</f>
        <v/>
      </c>
      <c r="H150">
        <f>'Kermeli Data'!I157</f>
        <v/>
      </c>
      <c r="I150">
        <f>'Kermeli Data'!J157</f>
        <v/>
      </c>
      <c r="J150">
        <f>'Kermeli Data'!K157</f>
        <v/>
      </c>
      <c r="K150">
        <f>IFERROR(_xlfn.XLOOKUP(A150,'product map'!$A$14:$A$36,'product map'!$G$14:$G$36),"pending")</f>
        <v/>
      </c>
      <c r="L150">
        <f>H150*cpi!$B$12*cpi!$B$10</f>
        <v/>
      </c>
      <c r="M150">
        <f>J150*cpi!$B$12*cpi!$B$10</f>
        <v/>
      </c>
      <c r="N150">
        <f>IF(I150&gt;0,AL150/(1-(1+AL150)^-I150),"")</f>
        <v/>
      </c>
      <c r="O150">
        <f>L150*N150+M150</f>
        <v/>
      </c>
      <c r="P150">
        <f>MAX(F150,0)+MAX(G150,0)</f>
        <v/>
      </c>
      <c r="Q150">
        <f>IF(P150&gt;0,MAX(F150,0)/P150,0)</f>
        <v/>
      </c>
      <c r="R150">
        <f>IF(P150&gt;0,MAX(G150,0)/P150,0)</f>
        <v/>
      </c>
      <c r="S150">
        <f>IF(P150&gt;0,O150/P150,"")</f>
        <v/>
      </c>
      <c r="T150">
        <f>IF(P150&gt;0,S150/$AE$3,"")</f>
        <v/>
      </c>
      <c r="U150">
        <f>IF(AND(P150&gt;0,Q150&gt;0),T150,"")</f>
        <v/>
      </c>
      <c r="V150">
        <f>IF(AND(P150&gt;0,R150&gt;0),T150,"")</f>
        <v/>
      </c>
      <c r="W150">
        <f>IF(I150&gt;0,$AE$2/(1-(1+$AE$2)^-I150),"")</f>
        <v/>
      </c>
      <c r="X150">
        <f>L150*W150+M150</f>
        <v/>
      </c>
      <c r="Y150">
        <f>IF(P150&gt;0,(X150/P150)/$AE$3,"")</f>
        <v/>
      </c>
      <c r="Z150">
        <f>IF(AND(ISNUMBER(K150),Q150&gt;0),MAX(F150,0)*K150*1000000*E150,"pending")</f>
        <v/>
      </c>
      <c r="AA150">
        <f>IF(AND(ISNUMBER(K150),R150&gt;0),MAX(G150,0)*K150*1000000*E150,"pending")</f>
        <v/>
      </c>
      <c r="AB150">
        <f>IF(AND(ISNUMBER(S150),S150&lt;0),"NEG-CCE","")&amp;IF(NOT(ISNUMBER(K150)),"|pending tonnage","")</f>
        <v/>
      </c>
      <c r="AG150">
        <f>IFERROR(_xlfn.XLOOKUP(A150,'product map'!$A$14:$A$36,'product map'!$C$14:$C$36),"?")</f>
        <v/>
      </c>
      <c r="AH150">
        <f>IFERROR((Z150*0.000000947817)/_xlfn.XLOOKUP(AG150,'energy base (MECS)'!$K$4:$K$9,'energy base (MECS)'!$F$4:$F$9),0)</f>
        <v/>
      </c>
      <c r="AI150">
        <f>IFERROR((AA150*0.000000947817)/_xlfn.XLOOKUP(AG150,'energy base (MECS)'!$K$4:$K$9,'energy base (MECS)'!$I$4:$I$9),0)</f>
        <v/>
      </c>
      <c r="AJ150">
        <f>MAX(0.3*ABS(AK150),0.000001)</f>
        <v/>
      </c>
      <c r="AK150">
        <f>IF(ISNUMBER(T150),T150,0)</f>
        <v/>
      </c>
      <c r="AL150">
        <f>IFERROR(_xlfn.XLOOKUP(AG150,'BCoISC-WACCbI'!$C$2:$C$26,'BCoISC-WACCbI'!$B$2:$B$26)+$AE$4,0.1)</f>
        <v/>
      </c>
      <c r="AM150">
        <f>IF(P150&gt;0,L150/P150/0.947817,0)</f>
        <v/>
      </c>
      <c r="AN150">
        <f>IF(AND(P150&gt;0,ISNUMBER(K150)),L150*K150*1000000*E150,0)</f>
        <v/>
      </c>
    </row>
    <row r="151">
      <c r="A151">
        <f>'Kermeli Data'!A158</f>
        <v/>
      </c>
      <c r="B151">
        <f>'Kermeli Data'!B158</f>
        <v/>
      </c>
      <c r="C151">
        <f>'Kermeli Data'!P158</f>
        <v/>
      </c>
      <c r="D151">
        <f>IF(C151="2 whr","whr",IF(C151="3 proc","process","EXCLUDED"))</f>
        <v/>
      </c>
      <c r="E151">
        <f>'Kermeli Data'!E158</f>
        <v/>
      </c>
      <c r="F151">
        <f>'Kermeli Data'!F158</f>
        <v/>
      </c>
      <c r="G151">
        <f>'Kermeli Data'!G158</f>
        <v/>
      </c>
      <c r="H151">
        <f>'Kermeli Data'!I158</f>
        <v/>
      </c>
      <c r="I151">
        <f>'Kermeli Data'!J158</f>
        <v/>
      </c>
      <c r="J151">
        <f>'Kermeli Data'!K158</f>
        <v/>
      </c>
      <c r="K151">
        <f>IFERROR(_xlfn.XLOOKUP(A151,'product map'!$A$14:$A$36,'product map'!$G$14:$G$36),"pending")</f>
        <v/>
      </c>
      <c r="L151">
        <f>H151*cpi!$B$12*cpi!$B$10</f>
        <v/>
      </c>
      <c r="M151">
        <f>J151*cpi!$B$12*cpi!$B$10</f>
        <v/>
      </c>
      <c r="N151">
        <f>IF(I151&gt;0,AL151/(1-(1+AL151)^-I151),"")</f>
        <v/>
      </c>
      <c r="O151">
        <f>L151*N151+M151</f>
        <v/>
      </c>
      <c r="P151">
        <f>MAX(F151,0)+MAX(G151,0)</f>
        <v/>
      </c>
      <c r="Q151">
        <f>IF(P151&gt;0,MAX(F151,0)/P151,0)</f>
        <v/>
      </c>
      <c r="R151">
        <f>IF(P151&gt;0,MAX(G151,0)/P151,0)</f>
        <v/>
      </c>
      <c r="S151">
        <f>IF(P151&gt;0,O151/P151,"")</f>
        <v/>
      </c>
      <c r="T151">
        <f>IF(P151&gt;0,S151/$AE$3,"")</f>
        <v/>
      </c>
      <c r="U151">
        <f>IF(AND(P151&gt;0,Q151&gt;0),T151,"")</f>
        <v/>
      </c>
      <c r="V151">
        <f>IF(AND(P151&gt;0,R151&gt;0),T151,"")</f>
        <v/>
      </c>
      <c r="W151">
        <f>IF(I151&gt;0,$AE$2/(1-(1+$AE$2)^-I151),"")</f>
        <v/>
      </c>
      <c r="X151">
        <f>L151*W151+M151</f>
        <v/>
      </c>
      <c r="Y151">
        <f>IF(P151&gt;0,(X151/P151)/$AE$3,"")</f>
        <v/>
      </c>
      <c r="Z151">
        <f>IF(AND(ISNUMBER(K151),Q151&gt;0),MAX(F151,0)*K151*1000000*E151,"pending")</f>
        <v/>
      </c>
      <c r="AA151">
        <f>IF(AND(ISNUMBER(K151),R151&gt;0),MAX(G151,0)*K151*1000000*E151,"pending")</f>
        <v/>
      </c>
      <c r="AB151">
        <f>IF(AND(ISNUMBER(S151),S151&lt;0),"NEG-CCE","")&amp;IF(NOT(ISNUMBER(K151)),"|pending tonnage","")</f>
        <v/>
      </c>
      <c r="AG151">
        <f>IFERROR(_xlfn.XLOOKUP(A151,'product map'!$A$14:$A$36,'product map'!$C$14:$C$36),"?")</f>
        <v/>
      </c>
      <c r="AH151">
        <f>IFERROR((Z151*0.000000947817)/_xlfn.XLOOKUP(AG151,'energy base (MECS)'!$K$4:$K$9,'energy base (MECS)'!$F$4:$F$9),0)</f>
        <v/>
      </c>
      <c r="AI151">
        <f>IFERROR((AA151*0.000000947817)/_xlfn.XLOOKUP(AG151,'energy base (MECS)'!$K$4:$K$9,'energy base (MECS)'!$I$4:$I$9),0)</f>
        <v/>
      </c>
      <c r="AJ151">
        <f>MAX(0.3*ABS(AK151),0.000001)</f>
        <v/>
      </c>
      <c r="AK151">
        <f>IF(ISNUMBER(T151),T151,0)</f>
        <v/>
      </c>
      <c r="AL151">
        <f>IFERROR(_xlfn.XLOOKUP(AG151,'BCoISC-WACCbI'!$C$2:$C$26,'BCoISC-WACCbI'!$B$2:$B$26)+$AE$4,0.1)</f>
        <v/>
      </c>
      <c r="AM151">
        <f>IF(P151&gt;0,L151/P151/0.947817,0)</f>
        <v/>
      </c>
      <c r="AN151">
        <f>IF(AND(P151&gt;0,ISNUMBER(K151)),L151*K151*1000000*E151,0)</f>
        <v/>
      </c>
    </row>
    <row r="152">
      <c r="A152">
        <f>'Kermeli Data'!A159</f>
        <v/>
      </c>
      <c r="B152">
        <f>'Kermeli Data'!B159</f>
        <v/>
      </c>
      <c r="C152">
        <f>'Kermeli Data'!P159</f>
        <v/>
      </c>
      <c r="D152">
        <f>IF(C152="2 whr","whr",IF(C152="3 proc","process","EXCLUDED"))</f>
        <v/>
      </c>
      <c r="E152">
        <f>'Kermeli Data'!E159</f>
        <v/>
      </c>
      <c r="F152">
        <f>'Kermeli Data'!F159</f>
        <v/>
      </c>
      <c r="G152">
        <f>'Kermeli Data'!G159</f>
        <v/>
      </c>
      <c r="H152">
        <f>'Kermeli Data'!I159</f>
        <v/>
      </c>
      <c r="I152">
        <f>'Kermeli Data'!J159</f>
        <v/>
      </c>
      <c r="J152">
        <f>'Kermeli Data'!K159</f>
        <v/>
      </c>
      <c r="K152">
        <f>IFERROR(_xlfn.XLOOKUP(A152,'product map'!$A$14:$A$36,'product map'!$G$14:$G$36),"pending")</f>
        <v/>
      </c>
      <c r="L152">
        <f>H152*cpi!$B$12*cpi!$B$10</f>
        <v/>
      </c>
      <c r="M152">
        <f>J152*cpi!$B$12*cpi!$B$10</f>
        <v/>
      </c>
      <c r="N152">
        <f>IF(I152&gt;0,AL152/(1-(1+AL152)^-I152),"")</f>
        <v/>
      </c>
      <c r="O152">
        <f>L152*N152+M152</f>
        <v/>
      </c>
      <c r="P152">
        <f>MAX(F152,0)+MAX(G152,0)</f>
        <v/>
      </c>
      <c r="Q152">
        <f>IF(P152&gt;0,MAX(F152,0)/P152,0)</f>
        <v/>
      </c>
      <c r="R152">
        <f>IF(P152&gt;0,MAX(G152,0)/P152,0)</f>
        <v/>
      </c>
      <c r="S152">
        <f>IF(P152&gt;0,O152/P152,"")</f>
        <v/>
      </c>
      <c r="T152">
        <f>IF(P152&gt;0,S152/$AE$3,"")</f>
        <v/>
      </c>
      <c r="U152">
        <f>IF(AND(P152&gt;0,Q152&gt;0),T152,"")</f>
        <v/>
      </c>
      <c r="V152">
        <f>IF(AND(P152&gt;0,R152&gt;0),T152,"")</f>
        <v/>
      </c>
      <c r="W152">
        <f>IF(I152&gt;0,$AE$2/(1-(1+$AE$2)^-I152),"")</f>
        <v/>
      </c>
      <c r="X152">
        <f>L152*W152+M152</f>
        <v/>
      </c>
      <c r="Y152">
        <f>IF(P152&gt;0,(X152/P152)/$AE$3,"")</f>
        <v/>
      </c>
      <c r="Z152">
        <f>IF(AND(ISNUMBER(K152),Q152&gt;0),MAX(F152,0)*K152*1000000*E152,"pending")</f>
        <v/>
      </c>
      <c r="AA152">
        <f>IF(AND(ISNUMBER(K152),R152&gt;0),MAX(G152,0)*K152*1000000*E152,"pending")</f>
        <v/>
      </c>
      <c r="AB152">
        <f>IF(AND(ISNUMBER(S152),S152&lt;0),"NEG-CCE","")&amp;IF(NOT(ISNUMBER(K152)),"|pending tonnage","")</f>
        <v/>
      </c>
      <c r="AG152">
        <f>IFERROR(_xlfn.XLOOKUP(A152,'product map'!$A$14:$A$36,'product map'!$C$14:$C$36),"?")</f>
        <v/>
      </c>
      <c r="AH152">
        <f>IFERROR((Z152*0.000000947817)/_xlfn.XLOOKUP(AG152,'energy base (MECS)'!$K$4:$K$9,'energy base (MECS)'!$F$4:$F$9),0)</f>
        <v/>
      </c>
      <c r="AI152">
        <f>IFERROR((AA152*0.000000947817)/_xlfn.XLOOKUP(AG152,'energy base (MECS)'!$K$4:$K$9,'energy base (MECS)'!$I$4:$I$9),0)</f>
        <v/>
      </c>
      <c r="AJ152">
        <f>MAX(0.3*ABS(AK152),0.000001)</f>
        <v/>
      </c>
      <c r="AK152">
        <f>IF(ISNUMBER(T152),T152,0)</f>
        <v/>
      </c>
      <c r="AL152">
        <f>IFERROR(_xlfn.XLOOKUP(AG152,'BCoISC-WACCbI'!$C$2:$C$26,'BCoISC-WACCbI'!$B$2:$B$26)+$AE$4,0.1)</f>
        <v/>
      </c>
      <c r="AM152">
        <f>IF(P152&gt;0,L152/P152/0.947817,0)</f>
        <v/>
      </c>
      <c r="AN152">
        <f>IF(AND(P152&gt;0,ISNUMBER(K152)),L152*K152*1000000*E152,0)</f>
        <v/>
      </c>
    </row>
    <row r="153">
      <c r="A153">
        <f>'Kermeli Data'!A160</f>
        <v/>
      </c>
      <c r="B153">
        <f>'Kermeli Data'!B160</f>
        <v/>
      </c>
      <c r="C153">
        <f>'Kermeli Data'!P160</f>
        <v/>
      </c>
      <c r="D153">
        <f>IF(C153="2 whr","whr",IF(C153="3 proc","process","EXCLUDED"))</f>
        <v/>
      </c>
      <c r="E153">
        <f>'Kermeli Data'!E160</f>
        <v/>
      </c>
      <c r="F153">
        <f>'Kermeli Data'!F160</f>
        <v/>
      </c>
      <c r="G153">
        <f>'Kermeli Data'!G160</f>
        <v/>
      </c>
      <c r="H153">
        <f>'Kermeli Data'!I160</f>
        <v/>
      </c>
      <c r="I153">
        <f>'Kermeli Data'!J160</f>
        <v/>
      </c>
      <c r="J153">
        <f>'Kermeli Data'!K160</f>
        <v/>
      </c>
      <c r="K153">
        <f>IFERROR(_xlfn.XLOOKUP(A153,'product map'!$A$14:$A$36,'product map'!$G$14:$G$36),"pending")</f>
        <v/>
      </c>
      <c r="L153">
        <f>H153*cpi!$B$12*cpi!$B$10</f>
        <v/>
      </c>
      <c r="M153">
        <f>J153*cpi!$B$12*cpi!$B$10</f>
        <v/>
      </c>
      <c r="N153">
        <f>IF(I153&gt;0,AL153/(1-(1+AL153)^-I153),"")</f>
        <v/>
      </c>
      <c r="O153">
        <f>L153*N153+M153</f>
        <v/>
      </c>
      <c r="P153">
        <f>MAX(F153,0)+MAX(G153,0)</f>
        <v/>
      </c>
      <c r="Q153">
        <f>IF(P153&gt;0,MAX(F153,0)/P153,0)</f>
        <v/>
      </c>
      <c r="R153">
        <f>IF(P153&gt;0,MAX(G153,0)/P153,0)</f>
        <v/>
      </c>
      <c r="S153">
        <f>IF(P153&gt;0,O153/P153,"")</f>
        <v/>
      </c>
      <c r="T153">
        <f>IF(P153&gt;0,S153/$AE$3,"")</f>
        <v/>
      </c>
      <c r="U153">
        <f>IF(AND(P153&gt;0,Q153&gt;0),T153,"")</f>
        <v/>
      </c>
      <c r="V153">
        <f>IF(AND(P153&gt;0,R153&gt;0),T153,"")</f>
        <v/>
      </c>
      <c r="W153">
        <f>IF(I153&gt;0,$AE$2/(1-(1+$AE$2)^-I153),"")</f>
        <v/>
      </c>
      <c r="X153">
        <f>L153*W153+M153</f>
        <v/>
      </c>
      <c r="Y153">
        <f>IF(P153&gt;0,(X153/P153)/$AE$3,"")</f>
        <v/>
      </c>
      <c r="Z153">
        <f>IF(AND(ISNUMBER(K153),Q153&gt;0),MAX(F153,0)*K153*1000000*E153,"pending")</f>
        <v/>
      </c>
      <c r="AA153">
        <f>IF(AND(ISNUMBER(K153),R153&gt;0),MAX(G153,0)*K153*1000000*E153,"pending")</f>
        <v/>
      </c>
      <c r="AB153">
        <f>IF(AND(ISNUMBER(S153),S153&lt;0),"NEG-CCE","")&amp;IF(NOT(ISNUMBER(K153)),"|pending tonnage","")</f>
        <v/>
      </c>
      <c r="AG153">
        <f>IFERROR(_xlfn.XLOOKUP(A153,'product map'!$A$14:$A$36,'product map'!$C$14:$C$36),"?")</f>
        <v/>
      </c>
      <c r="AH153">
        <f>IFERROR((Z153*0.000000947817)/_xlfn.XLOOKUP(AG153,'energy base (MECS)'!$K$4:$K$9,'energy base (MECS)'!$F$4:$F$9),0)</f>
        <v/>
      </c>
      <c r="AI153">
        <f>IFERROR((AA153*0.000000947817)/_xlfn.XLOOKUP(AG153,'energy base (MECS)'!$K$4:$K$9,'energy base (MECS)'!$I$4:$I$9),0)</f>
        <v/>
      </c>
      <c r="AJ153">
        <f>MAX(0.3*ABS(AK153),0.000001)</f>
        <v/>
      </c>
      <c r="AK153">
        <f>IF(ISNUMBER(T153),T153,0)</f>
        <v/>
      </c>
      <c r="AL153">
        <f>IFERROR(_xlfn.XLOOKUP(AG153,'BCoISC-WACCbI'!$C$2:$C$26,'BCoISC-WACCbI'!$B$2:$B$26)+$AE$4,0.1)</f>
        <v/>
      </c>
      <c r="AM153">
        <f>IF(P153&gt;0,L153/P153/0.947817,0)</f>
        <v/>
      </c>
      <c r="AN153">
        <f>IF(AND(P153&gt;0,ISNUMBER(K153)),L153*K153*1000000*E153,0)</f>
        <v/>
      </c>
    </row>
    <row r="154">
      <c r="A154">
        <f>'Kermeli Data'!A161</f>
        <v/>
      </c>
      <c r="B154">
        <f>'Kermeli Data'!B161</f>
        <v/>
      </c>
      <c r="C154">
        <f>'Kermeli Data'!P161</f>
        <v/>
      </c>
      <c r="D154">
        <f>IF(C154="2 whr","whr",IF(C154="3 proc","process","EXCLUDED"))</f>
        <v/>
      </c>
      <c r="E154">
        <f>'Kermeli Data'!E161</f>
        <v/>
      </c>
      <c r="F154">
        <f>'Kermeli Data'!F161</f>
        <v/>
      </c>
      <c r="G154">
        <f>'Kermeli Data'!G161</f>
        <v/>
      </c>
      <c r="H154">
        <f>'Kermeli Data'!I161</f>
        <v/>
      </c>
      <c r="I154">
        <f>'Kermeli Data'!J161</f>
        <v/>
      </c>
      <c r="J154">
        <f>'Kermeli Data'!K161</f>
        <v/>
      </c>
      <c r="K154">
        <f>IFERROR(_xlfn.XLOOKUP(A154,'product map'!$A$14:$A$36,'product map'!$G$14:$G$36),"pending")</f>
        <v/>
      </c>
      <c r="L154">
        <f>H154*cpi!$B$12*cpi!$B$10</f>
        <v/>
      </c>
      <c r="M154">
        <f>J154*cpi!$B$12*cpi!$B$10</f>
        <v/>
      </c>
      <c r="N154">
        <f>IF(I154&gt;0,AL154/(1-(1+AL154)^-I154),"")</f>
        <v/>
      </c>
      <c r="O154">
        <f>L154*N154+M154</f>
        <v/>
      </c>
      <c r="P154">
        <f>MAX(F154,0)+MAX(G154,0)</f>
        <v/>
      </c>
      <c r="Q154">
        <f>IF(P154&gt;0,MAX(F154,0)/P154,0)</f>
        <v/>
      </c>
      <c r="R154">
        <f>IF(P154&gt;0,MAX(G154,0)/P154,0)</f>
        <v/>
      </c>
      <c r="S154">
        <f>IF(P154&gt;0,O154/P154,"")</f>
        <v/>
      </c>
      <c r="T154">
        <f>IF(P154&gt;0,S154/$AE$3,"")</f>
        <v/>
      </c>
      <c r="U154">
        <f>IF(AND(P154&gt;0,Q154&gt;0),T154,"")</f>
        <v/>
      </c>
      <c r="V154">
        <f>IF(AND(P154&gt;0,R154&gt;0),T154,"")</f>
        <v/>
      </c>
      <c r="W154">
        <f>IF(I154&gt;0,$AE$2/(1-(1+$AE$2)^-I154),"")</f>
        <v/>
      </c>
      <c r="X154">
        <f>L154*W154+M154</f>
        <v/>
      </c>
      <c r="Y154">
        <f>IF(P154&gt;0,(X154/P154)/$AE$3,"")</f>
        <v/>
      </c>
      <c r="Z154">
        <f>IF(AND(ISNUMBER(K154),Q154&gt;0),MAX(F154,0)*K154*1000000*E154,"pending")</f>
        <v/>
      </c>
      <c r="AA154">
        <f>IF(AND(ISNUMBER(K154),R154&gt;0),MAX(G154,0)*K154*1000000*E154,"pending")</f>
        <v/>
      </c>
      <c r="AB154">
        <f>IF(AND(ISNUMBER(S154),S154&lt;0),"NEG-CCE","")&amp;IF(NOT(ISNUMBER(K154)),"|pending tonnage","")</f>
        <v/>
      </c>
      <c r="AG154">
        <f>IFERROR(_xlfn.XLOOKUP(A154,'product map'!$A$14:$A$36,'product map'!$C$14:$C$36),"?")</f>
        <v/>
      </c>
      <c r="AH154">
        <f>IFERROR((Z154*0.000000947817)/_xlfn.XLOOKUP(AG154,'energy base (MECS)'!$K$4:$K$9,'energy base (MECS)'!$F$4:$F$9),0)</f>
        <v/>
      </c>
      <c r="AI154">
        <f>IFERROR((AA154*0.000000947817)/_xlfn.XLOOKUP(AG154,'energy base (MECS)'!$K$4:$K$9,'energy base (MECS)'!$I$4:$I$9),0)</f>
        <v/>
      </c>
      <c r="AJ154">
        <f>MAX(0.3*ABS(AK154),0.000001)</f>
        <v/>
      </c>
      <c r="AK154">
        <f>IF(ISNUMBER(T154),T154,0)</f>
        <v/>
      </c>
      <c r="AL154">
        <f>IFERROR(_xlfn.XLOOKUP(AG154,'BCoISC-WACCbI'!$C$2:$C$26,'BCoISC-WACCbI'!$B$2:$B$26)+$AE$4,0.1)</f>
        <v/>
      </c>
      <c r="AM154">
        <f>IF(P154&gt;0,L154/P154/0.947817,0)</f>
        <v/>
      </c>
      <c r="AN154">
        <f>IF(AND(P154&gt;0,ISNUMBER(K154)),L154*K154*1000000*E154,0)</f>
        <v/>
      </c>
    </row>
    <row r="155">
      <c r="A155">
        <f>'Kermeli Data'!A162</f>
        <v/>
      </c>
      <c r="B155">
        <f>'Kermeli Data'!B162</f>
        <v/>
      </c>
      <c r="C155">
        <f>'Kermeli Data'!P162</f>
        <v/>
      </c>
      <c r="D155">
        <f>IF(C155="2 whr","whr",IF(C155="3 proc","process","EXCLUDED"))</f>
        <v/>
      </c>
      <c r="E155">
        <f>'Kermeli Data'!E162</f>
        <v/>
      </c>
      <c r="F155">
        <f>'Kermeli Data'!F162</f>
        <v/>
      </c>
      <c r="G155">
        <f>'Kermeli Data'!G162</f>
        <v/>
      </c>
      <c r="H155">
        <f>'Kermeli Data'!I162</f>
        <v/>
      </c>
      <c r="I155">
        <f>'Kermeli Data'!J162</f>
        <v/>
      </c>
      <c r="J155">
        <f>'Kermeli Data'!K162</f>
        <v/>
      </c>
      <c r="K155">
        <f>IFERROR(_xlfn.XLOOKUP(A155,'product map'!$A$14:$A$36,'product map'!$G$14:$G$36),"pending")</f>
        <v/>
      </c>
      <c r="L155">
        <f>H155*cpi!$B$12*cpi!$B$10</f>
        <v/>
      </c>
      <c r="M155">
        <f>J155*cpi!$B$12*cpi!$B$10</f>
        <v/>
      </c>
      <c r="N155">
        <f>IF(I155&gt;0,AL155/(1-(1+AL155)^-I155),"")</f>
        <v/>
      </c>
      <c r="O155">
        <f>L155*N155+M155</f>
        <v/>
      </c>
      <c r="P155">
        <f>MAX(F155,0)+MAX(G155,0)</f>
        <v/>
      </c>
      <c r="Q155">
        <f>IF(P155&gt;0,MAX(F155,0)/P155,0)</f>
        <v/>
      </c>
      <c r="R155">
        <f>IF(P155&gt;0,MAX(G155,0)/P155,0)</f>
        <v/>
      </c>
      <c r="S155">
        <f>IF(P155&gt;0,O155/P155,"")</f>
        <v/>
      </c>
      <c r="T155">
        <f>IF(P155&gt;0,S155/$AE$3,"")</f>
        <v/>
      </c>
      <c r="U155">
        <f>IF(AND(P155&gt;0,Q155&gt;0),T155,"")</f>
        <v/>
      </c>
      <c r="V155">
        <f>IF(AND(P155&gt;0,R155&gt;0),T155,"")</f>
        <v/>
      </c>
      <c r="W155">
        <f>IF(I155&gt;0,$AE$2/(1-(1+$AE$2)^-I155),"")</f>
        <v/>
      </c>
      <c r="X155">
        <f>L155*W155+M155</f>
        <v/>
      </c>
      <c r="Y155">
        <f>IF(P155&gt;0,(X155/P155)/$AE$3,"")</f>
        <v/>
      </c>
      <c r="Z155">
        <f>IF(AND(ISNUMBER(K155),Q155&gt;0),MAX(F155,0)*K155*1000000*E155,"pending")</f>
        <v/>
      </c>
      <c r="AA155">
        <f>IF(AND(ISNUMBER(K155),R155&gt;0),MAX(G155,0)*K155*1000000*E155,"pending")</f>
        <v/>
      </c>
      <c r="AB155">
        <f>IF(AND(ISNUMBER(S155),S155&lt;0),"NEG-CCE","")&amp;IF(NOT(ISNUMBER(K155)),"|pending tonnage","")</f>
        <v/>
      </c>
      <c r="AG155">
        <f>IFERROR(_xlfn.XLOOKUP(A155,'product map'!$A$14:$A$36,'product map'!$C$14:$C$36),"?")</f>
        <v/>
      </c>
      <c r="AH155">
        <f>IFERROR((Z155*0.000000947817)/_xlfn.XLOOKUP(AG155,'energy base (MECS)'!$K$4:$K$9,'energy base (MECS)'!$F$4:$F$9),0)</f>
        <v/>
      </c>
      <c r="AI155">
        <f>IFERROR((AA155*0.000000947817)/_xlfn.XLOOKUP(AG155,'energy base (MECS)'!$K$4:$K$9,'energy base (MECS)'!$I$4:$I$9),0)</f>
        <v/>
      </c>
      <c r="AJ155">
        <f>MAX(0.3*ABS(AK155),0.000001)</f>
        <v/>
      </c>
      <c r="AK155">
        <f>IF(ISNUMBER(T155),T155,0)</f>
        <v/>
      </c>
      <c r="AL155">
        <f>IFERROR(_xlfn.XLOOKUP(AG155,'BCoISC-WACCbI'!$C$2:$C$26,'BCoISC-WACCbI'!$B$2:$B$26)+$AE$4,0.1)</f>
        <v/>
      </c>
      <c r="AM155">
        <f>IF(P155&gt;0,L155/P155/0.947817,0)</f>
        <v/>
      </c>
      <c r="AN155">
        <f>IF(AND(P155&gt;0,ISNUMBER(K155)),L155*K155*1000000*E155,0)</f>
        <v/>
      </c>
    </row>
    <row r="156">
      <c r="A156">
        <f>'Kermeli Data'!A163</f>
        <v/>
      </c>
      <c r="B156">
        <f>'Kermeli Data'!B163</f>
        <v/>
      </c>
      <c r="C156">
        <f>'Kermeli Data'!P163</f>
        <v/>
      </c>
      <c r="D156">
        <f>IF(C156="2 whr","whr",IF(C156="3 proc","process","EXCLUDED"))</f>
        <v/>
      </c>
      <c r="E156">
        <f>'Kermeli Data'!E163</f>
        <v/>
      </c>
      <c r="F156">
        <f>'Kermeli Data'!F163</f>
        <v/>
      </c>
      <c r="G156">
        <f>'Kermeli Data'!G163</f>
        <v/>
      </c>
      <c r="H156">
        <f>'Kermeli Data'!I163</f>
        <v/>
      </c>
      <c r="I156">
        <f>'Kermeli Data'!J163</f>
        <v/>
      </c>
      <c r="J156">
        <f>'Kermeli Data'!K163</f>
        <v/>
      </c>
      <c r="K156">
        <f>IFERROR(_xlfn.XLOOKUP(A156,'product map'!$A$14:$A$36,'product map'!$G$14:$G$36),"pending")</f>
        <v/>
      </c>
      <c r="L156">
        <f>H156*cpi!$B$12*cpi!$B$10</f>
        <v/>
      </c>
      <c r="M156">
        <f>J156*cpi!$B$12*cpi!$B$10</f>
        <v/>
      </c>
      <c r="N156">
        <f>IF(I156&gt;0,AL156/(1-(1+AL156)^-I156),"")</f>
        <v/>
      </c>
      <c r="O156">
        <f>L156*N156+M156</f>
        <v/>
      </c>
      <c r="P156">
        <f>MAX(F156,0)+MAX(G156,0)</f>
        <v/>
      </c>
      <c r="Q156">
        <f>IF(P156&gt;0,MAX(F156,0)/P156,0)</f>
        <v/>
      </c>
      <c r="R156">
        <f>IF(P156&gt;0,MAX(G156,0)/P156,0)</f>
        <v/>
      </c>
      <c r="S156">
        <f>IF(P156&gt;0,O156/P156,"")</f>
        <v/>
      </c>
      <c r="T156">
        <f>IF(P156&gt;0,S156/$AE$3,"")</f>
        <v/>
      </c>
      <c r="U156">
        <f>IF(AND(P156&gt;0,Q156&gt;0),T156,"")</f>
        <v/>
      </c>
      <c r="V156">
        <f>IF(AND(P156&gt;0,R156&gt;0),T156,"")</f>
        <v/>
      </c>
      <c r="W156">
        <f>IF(I156&gt;0,$AE$2/(1-(1+$AE$2)^-I156),"")</f>
        <v/>
      </c>
      <c r="X156">
        <f>L156*W156+M156</f>
        <v/>
      </c>
      <c r="Y156">
        <f>IF(P156&gt;0,(X156/P156)/$AE$3,"")</f>
        <v/>
      </c>
      <c r="Z156">
        <f>IF(AND(ISNUMBER(K156),Q156&gt;0),MAX(F156,0)*K156*1000000*E156,"pending")</f>
        <v/>
      </c>
      <c r="AA156">
        <f>IF(AND(ISNUMBER(K156),R156&gt;0),MAX(G156,0)*K156*1000000*E156,"pending")</f>
        <v/>
      </c>
      <c r="AB156">
        <f>IF(AND(ISNUMBER(S156),S156&lt;0),"NEG-CCE","")&amp;IF(NOT(ISNUMBER(K156)),"|pending tonnage","")</f>
        <v/>
      </c>
      <c r="AG156">
        <f>IFERROR(_xlfn.XLOOKUP(A156,'product map'!$A$14:$A$36,'product map'!$C$14:$C$36),"?")</f>
        <v/>
      </c>
      <c r="AH156">
        <f>IFERROR((Z156*0.000000947817)/_xlfn.XLOOKUP(AG156,'energy base (MECS)'!$K$4:$K$9,'energy base (MECS)'!$F$4:$F$9),0)</f>
        <v/>
      </c>
      <c r="AI156">
        <f>IFERROR((AA156*0.000000947817)/_xlfn.XLOOKUP(AG156,'energy base (MECS)'!$K$4:$K$9,'energy base (MECS)'!$I$4:$I$9),0)</f>
        <v/>
      </c>
      <c r="AJ156">
        <f>MAX(0.3*ABS(AK156),0.000001)</f>
        <v/>
      </c>
      <c r="AK156">
        <f>IF(ISNUMBER(T156),T156,0)</f>
        <v/>
      </c>
      <c r="AL156">
        <f>IFERROR(_xlfn.XLOOKUP(AG156,'BCoISC-WACCbI'!$C$2:$C$26,'BCoISC-WACCbI'!$B$2:$B$26)+$AE$4,0.1)</f>
        <v/>
      </c>
      <c r="AM156">
        <f>IF(P156&gt;0,L156/P156/0.947817,0)</f>
        <v/>
      </c>
      <c r="AN156">
        <f>IF(AND(P156&gt;0,ISNUMBER(K156)),L156*K156*1000000*E156,0)</f>
        <v/>
      </c>
    </row>
    <row r="157">
      <c r="A157">
        <f>'Kermeli Data'!A164</f>
        <v/>
      </c>
      <c r="B157">
        <f>'Kermeli Data'!B164</f>
        <v/>
      </c>
      <c r="C157">
        <f>'Kermeli Data'!P164</f>
        <v/>
      </c>
      <c r="D157">
        <f>IF(C157="2 whr","whr",IF(C157="3 proc","process","EXCLUDED"))</f>
        <v/>
      </c>
      <c r="E157">
        <f>'Kermeli Data'!E164</f>
        <v/>
      </c>
      <c r="F157">
        <f>'Kermeli Data'!F164</f>
        <v/>
      </c>
      <c r="G157">
        <f>'Kermeli Data'!G164</f>
        <v/>
      </c>
      <c r="H157">
        <f>'Kermeli Data'!I164</f>
        <v/>
      </c>
      <c r="I157">
        <f>'Kermeli Data'!J164</f>
        <v/>
      </c>
      <c r="J157">
        <f>'Kermeli Data'!K164</f>
        <v/>
      </c>
      <c r="K157">
        <f>IFERROR(_xlfn.XLOOKUP(A157,'product map'!$A$14:$A$36,'product map'!$G$14:$G$36),"pending")</f>
        <v/>
      </c>
      <c r="L157">
        <f>H157*cpi!$B$12*cpi!$B$10</f>
        <v/>
      </c>
      <c r="M157">
        <f>J157*cpi!$B$12*cpi!$B$10</f>
        <v/>
      </c>
      <c r="N157">
        <f>IF(I157&gt;0,AL157/(1-(1+AL157)^-I157),"")</f>
        <v/>
      </c>
      <c r="O157">
        <f>L157*N157+M157</f>
        <v/>
      </c>
      <c r="P157">
        <f>MAX(F157,0)+MAX(G157,0)</f>
        <v/>
      </c>
      <c r="Q157">
        <f>IF(P157&gt;0,MAX(F157,0)/P157,0)</f>
        <v/>
      </c>
      <c r="R157">
        <f>IF(P157&gt;0,MAX(G157,0)/P157,0)</f>
        <v/>
      </c>
      <c r="S157">
        <f>IF(P157&gt;0,O157/P157,"")</f>
        <v/>
      </c>
      <c r="T157">
        <f>IF(P157&gt;0,S157/$AE$3,"")</f>
        <v/>
      </c>
      <c r="U157">
        <f>IF(AND(P157&gt;0,Q157&gt;0),T157,"")</f>
        <v/>
      </c>
      <c r="V157">
        <f>IF(AND(P157&gt;0,R157&gt;0),T157,"")</f>
        <v/>
      </c>
      <c r="W157">
        <f>IF(I157&gt;0,$AE$2/(1-(1+$AE$2)^-I157),"")</f>
        <v/>
      </c>
      <c r="X157">
        <f>L157*W157+M157</f>
        <v/>
      </c>
      <c r="Y157">
        <f>IF(P157&gt;0,(X157/P157)/$AE$3,"")</f>
        <v/>
      </c>
      <c r="Z157">
        <f>IF(AND(ISNUMBER(K157),Q157&gt;0),MAX(F157,0)*K157*1000000*E157,"pending")</f>
        <v/>
      </c>
      <c r="AA157">
        <f>IF(AND(ISNUMBER(K157),R157&gt;0),MAX(G157,0)*K157*1000000*E157,"pending")</f>
        <v/>
      </c>
      <c r="AB157">
        <f>IF(AND(ISNUMBER(S157),S157&lt;0),"NEG-CCE","")&amp;IF(NOT(ISNUMBER(K157)),"|pending tonnage","")</f>
        <v/>
      </c>
      <c r="AG157">
        <f>IFERROR(_xlfn.XLOOKUP(A157,'product map'!$A$14:$A$36,'product map'!$C$14:$C$36),"?")</f>
        <v/>
      </c>
      <c r="AH157">
        <f>IFERROR((Z157*0.000000947817)/_xlfn.XLOOKUP(AG157,'energy base (MECS)'!$K$4:$K$9,'energy base (MECS)'!$F$4:$F$9),0)</f>
        <v/>
      </c>
      <c r="AI157">
        <f>IFERROR((AA157*0.000000947817)/_xlfn.XLOOKUP(AG157,'energy base (MECS)'!$K$4:$K$9,'energy base (MECS)'!$I$4:$I$9),0)</f>
        <v/>
      </c>
      <c r="AJ157">
        <f>MAX(0.3*ABS(AK157),0.000001)</f>
        <v/>
      </c>
      <c r="AK157">
        <f>IF(ISNUMBER(T157),T157,0)</f>
        <v/>
      </c>
      <c r="AL157">
        <f>IFERROR(_xlfn.XLOOKUP(AG157,'BCoISC-WACCbI'!$C$2:$C$26,'BCoISC-WACCbI'!$B$2:$B$26)+$AE$4,0.1)</f>
        <v/>
      </c>
      <c r="AM157">
        <f>IF(P157&gt;0,L157/P157/0.947817,0)</f>
        <v/>
      </c>
      <c r="AN157">
        <f>IF(AND(P157&gt;0,ISNUMBER(K157)),L157*K157*1000000*E157,0)</f>
        <v/>
      </c>
    </row>
    <row r="158">
      <c r="A158">
        <f>'Kermeli Data'!A165</f>
        <v/>
      </c>
      <c r="B158">
        <f>'Kermeli Data'!B165</f>
        <v/>
      </c>
      <c r="C158">
        <f>'Kermeli Data'!P165</f>
        <v/>
      </c>
      <c r="D158">
        <f>IF(C158="2 whr","whr",IF(C158="3 proc","process","EXCLUDED"))</f>
        <v/>
      </c>
      <c r="E158">
        <f>'Kermeli Data'!E165</f>
        <v/>
      </c>
      <c r="F158">
        <f>'Kermeli Data'!F165</f>
        <v/>
      </c>
      <c r="G158">
        <f>'Kermeli Data'!G165</f>
        <v/>
      </c>
      <c r="H158">
        <f>'Kermeli Data'!I165</f>
        <v/>
      </c>
      <c r="I158">
        <f>'Kermeli Data'!J165</f>
        <v/>
      </c>
      <c r="J158">
        <f>'Kermeli Data'!K165</f>
        <v/>
      </c>
      <c r="K158">
        <f>IFERROR(_xlfn.XLOOKUP(A158,'product map'!$A$14:$A$36,'product map'!$G$14:$G$36),"pending")</f>
        <v/>
      </c>
      <c r="L158">
        <f>H158*cpi!$B$12*cpi!$B$10</f>
        <v/>
      </c>
      <c r="M158">
        <f>J158*cpi!$B$12*cpi!$B$10</f>
        <v/>
      </c>
      <c r="N158">
        <f>IF(I158&gt;0,AL158/(1-(1+AL158)^-I158),"")</f>
        <v/>
      </c>
      <c r="O158">
        <f>L158*N158+M158</f>
        <v/>
      </c>
      <c r="P158">
        <f>MAX(F158,0)+MAX(G158,0)</f>
        <v/>
      </c>
      <c r="Q158">
        <f>IF(P158&gt;0,MAX(F158,0)/P158,0)</f>
        <v/>
      </c>
      <c r="R158">
        <f>IF(P158&gt;0,MAX(G158,0)/P158,0)</f>
        <v/>
      </c>
      <c r="S158">
        <f>IF(P158&gt;0,O158/P158,"")</f>
        <v/>
      </c>
      <c r="T158">
        <f>IF(P158&gt;0,S158/$AE$3,"")</f>
        <v/>
      </c>
      <c r="U158">
        <f>IF(AND(P158&gt;0,Q158&gt;0),T158,"")</f>
        <v/>
      </c>
      <c r="V158">
        <f>IF(AND(P158&gt;0,R158&gt;0),T158,"")</f>
        <v/>
      </c>
      <c r="W158">
        <f>IF(I158&gt;0,$AE$2/(1-(1+$AE$2)^-I158),"")</f>
        <v/>
      </c>
      <c r="X158">
        <f>L158*W158+M158</f>
        <v/>
      </c>
      <c r="Y158">
        <f>IF(P158&gt;0,(X158/P158)/$AE$3,"")</f>
        <v/>
      </c>
      <c r="Z158">
        <f>IF(AND(ISNUMBER(K158),Q158&gt;0),MAX(F158,0)*K158*1000000*E158,"pending")</f>
        <v/>
      </c>
      <c r="AA158">
        <f>IF(AND(ISNUMBER(K158),R158&gt;0),MAX(G158,0)*K158*1000000*E158,"pending")</f>
        <v/>
      </c>
      <c r="AB158">
        <f>IF(AND(ISNUMBER(S158),S158&lt;0),"NEG-CCE","")&amp;IF(NOT(ISNUMBER(K158)),"|pending tonnage","")</f>
        <v/>
      </c>
      <c r="AG158">
        <f>IFERROR(_xlfn.XLOOKUP(A158,'product map'!$A$14:$A$36,'product map'!$C$14:$C$36),"?")</f>
        <v/>
      </c>
      <c r="AH158">
        <f>IFERROR((Z158*0.000000947817)/_xlfn.XLOOKUP(AG158,'energy base (MECS)'!$K$4:$K$9,'energy base (MECS)'!$F$4:$F$9),0)</f>
        <v/>
      </c>
      <c r="AI158">
        <f>IFERROR((AA158*0.000000947817)/_xlfn.XLOOKUP(AG158,'energy base (MECS)'!$K$4:$K$9,'energy base (MECS)'!$I$4:$I$9),0)</f>
        <v/>
      </c>
      <c r="AJ158">
        <f>MAX(0.3*ABS(AK158),0.000001)</f>
        <v/>
      </c>
      <c r="AK158">
        <f>IF(ISNUMBER(T158),T158,0)</f>
        <v/>
      </c>
      <c r="AL158">
        <f>IFERROR(_xlfn.XLOOKUP(AG158,'BCoISC-WACCbI'!$C$2:$C$26,'BCoISC-WACCbI'!$B$2:$B$26)+$AE$4,0.1)</f>
        <v/>
      </c>
      <c r="AM158">
        <f>IF(P158&gt;0,L158/P158/0.947817,0)</f>
        <v/>
      </c>
      <c r="AN158">
        <f>IF(AND(P158&gt;0,ISNUMBER(K158)),L158*K158*1000000*E158,0)</f>
        <v/>
      </c>
    </row>
    <row r="159">
      <c r="A159">
        <f>'Kermeli Data'!A166</f>
        <v/>
      </c>
      <c r="B159">
        <f>'Kermeli Data'!B166</f>
        <v/>
      </c>
      <c r="C159">
        <f>'Kermeli Data'!P166</f>
        <v/>
      </c>
      <c r="D159">
        <f>IF(C159="2 whr","whr",IF(C159="3 proc","process","EXCLUDED"))</f>
        <v/>
      </c>
      <c r="E159">
        <f>'Kermeli Data'!E166</f>
        <v/>
      </c>
      <c r="F159">
        <f>'Kermeli Data'!F166</f>
        <v/>
      </c>
      <c r="G159">
        <f>'Kermeli Data'!G166</f>
        <v/>
      </c>
      <c r="H159">
        <f>'Kermeli Data'!I166</f>
        <v/>
      </c>
      <c r="I159">
        <f>'Kermeli Data'!J166</f>
        <v/>
      </c>
      <c r="J159">
        <f>'Kermeli Data'!K166</f>
        <v/>
      </c>
      <c r="K159">
        <f>IFERROR(_xlfn.XLOOKUP(A159,'product map'!$A$14:$A$36,'product map'!$G$14:$G$36),"pending")</f>
        <v/>
      </c>
      <c r="L159">
        <f>H159*cpi!$B$12*cpi!$B$10</f>
        <v/>
      </c>
      <c r="M159">
        <f>J159*cpi!$B$12*cpi!$B$10</f>
        <v/>
      </c>
      <c r="N159">
        <f>IF(I159&gt;0,AL159/(1-(1+AL159)^-I159),"")</f>
        <v/>
      </c>
      <c r="O159">
        <f>L159*N159+M159</f>
        <v/>
      </c>
      <c r="P159">
        <f>MAX(F159,0)+MAX(G159,0)</f>
        <v/>
      </c>
      <c r="Q159">
        <f>IF(P159&gt;0,MAX(F159,0)/P159,0)</f>
        <v/>
      </c>
      <c r="R159">
        <f>IF(P159&gt;0,MAX(G159,0)/P159,0)</f>
        <v/>
      </c>
      <c r="S159">
        <f>IF(P159&gt;0,O159/P159,"")</f>
        <v/>
      </c>
      <c r="T159">
        <f>IF(P159&gt;0,S159/$AE$3,"")</f>
        <v/>
      </c>
      <c r="U159">
        <f>IF(AND(P159&gt;0,Q159&gt;0),T159,"")</f>
        <v/>
      </c>
      <c r="V159">
        <f>IF(AND(P159&gt;0,R159&gt;0),T159,"")</f>
        <v/>
      </c>
      <c r="W159">
        <f>IF(I159&gt;0,$AE$2/(1-(1+$AE$2)^-I159),"")</f>
        <v/>
      </c>
      <c r="X159">
        <f>L159*W159+M159</f>
        <v/>
      </c>
      <c r="Y159">
        <f>IF(P159&gt;0,(X159/P159)/$AE$3,"")</f>
        <v/>
      </c>
      <c r="Z159">
        <f>IF(AND(ISNUMBER(K159),Q159&gt;0),MAX(F159,0)*K159*1000000*E159,"pending")</f>
        <v/>
      </c>
      <c r="AA159">
        <f>IF(AND(ISNUMBER(K159),R159&gt;0),MAX(G159,0)*K159*1000000*E159,"pending")</f>
        <v/>
      </c>
      <c r="AB159">
        <f>IF(AND(ISNUMBER(S159),S159&lt;0),"NEG-CCE","")&amp;IF(NOT(ISNUMBER(K159)),"|pending tonnage","")</f>
        <v/>
      </c>
      <c r="AG159">
        <f>IFERROR(_xlfn.XLOOKUP(A159,'product map'!$A$14:$A$36,'product map'!$C$14:$C$36),"?")</f>
        <v/>
      </c>
      <c r="AH159">
        <f>IFERROR((Z159*0.000000947817)/_xlfn.XLOOKUP(AG159,'energy base (MECS)'!$K$4:$K$9,'energy base (MECS)'!$F$4:$F$9),0)</f>
        <v/>
      </c>
      <c r="AI159">
        <f>IFERROR((AA159*0.000000947817)/_xlfn.XLOOKUP(AG159,'energy base (MECS)'!$K$4:$K$9,'energy base (MECS)'!$I$4:$I$9),0)</f>
        <v/>
      </c>
      <c r="AJ159">
        <f>MAX(0.3*ABS(AK159),0.000001)</f>
        <v/>
      </c>
      <c r="AK159">
        <f>IF(ISNUMBER(T159),T159,0)</f>
        <v/>
      </c>
      <c r="AL159">
        <f>IFERROR(_xlfn.XLOOKUP(AG159,'BCoISC-WACCbI'!$C$2:$C$26,'BCoISC-WACCbI'!$B$2:$B$26)+$AE$4,0.1)</f>
        <v/>
      </c>
      <c r="AM159">
        <f>IF(P159&gt;0,L159/P159/0.947817,0)</f>
        <v/>
      </c>
      <c r="AN159">
        <f>IF(AND(P159&gt;0,ISNUMBER(K159)),L159*K159*1000000*E159,0)</f>
        <v/>
      </c>
    </row>
    <row r="160">
      <c r="A160">
        <f>'Kermeli Data'!A167</f>
        <v/>
      </c>
      <c r="B160">
        <f>'Kermeli Data'!B167</f>
        <v/>
      </c>
      <c r="C160">
        <f>'Kermeli Data'!P167</f>
        <v/>
      </c>
      <c r="D160">
        <f>IF(C160="2 whr","whr",IF(C160="3 proc","process","EXCLUDED"))</f>
        <v/>
      </c>
      <c r="E160">
        <f>'Kermeli Data'!E167</f>
        <v/>
      </c>
      <c r="F160">
        <f>'Kermeli Data'!F167</f>
        <v/>
      </c>
      <c r="G160">
        <f>'Kermeli Data'!G167</f>
        <v/>
      </c>
      <c r="H160">
        <f>'Kermeli Data'!I167</f>
        <v/>
      </c>
      <c r="I160">
        <f>'Kermeli Data'!J167</f>
        <v/>
      </c>
      <c r="J160">
        <f>'Kermeli Data'!K167</f>
        <v/>
      </c>
      <c r="K160">
        <f>IFERROR(_xlfn.XLOOKUP(A160,'product map'!$A$14:$A$36,'product map'!$G$14:$G$36),"pending")</f>
        <v/>
      </c>
      <c r="L160">
        <f>H160*cpi!$B$12*cpi!$B$10</f>
        <v/>
      </c>
      <c r="M160">
        <f>J160*cpi!$B$12*cpi!$B$10</f>
        <v/>
      </c>
      <c r="N160">
        <f>IF(I160&gt;0,AL160/(1-(1+AL160)^-I160),"")</f>
        <v/>
      </c>
      <c r="O160">
        <f>L160*N160+M160</f>
        <v/>
      </c>
      <c r="P160">
        <f>MAX(F160,0)+MAX(G160,0)</f>
        <v/>
      </c>
      <c r="Q160">
        <f>IF(P160&gt;0,MAX(F160,0)/P160,0)</f>
        <v/>
      </c>
      <c r="R160">
        <f>IF(P160&gt;0,MAX(G160,0)/P160,0)</f>
        <v/>
      </c>
      <c r="S160">
        <f>IF(P160&gt;0,O160/P160,"")</f>
        <v/>
      </c>
      <c r="T160">
        <f>IF(P160&gt;0,S160/$AE$3,"")</f>
        <v/>
      </c>
      <c r="U160">
        <f>IF(AND(P160&gt;0,Q160&gt;0),T160,"")</f>
        <v/>
      </c>
      <c r="V160">
        <f>IF(AND(P160&gt;0,R160&gt;0),T160,"")</f>
        <v/>
      </c>
      <c r="W160">
        <f>IF(I160&gt;0,$AE$2/(1-(1+$AE$2)^-I160),"")</f>
        <v/>
      </c>
      <c r="X160">
        <f>L160*W160+M160</f>
        <v/>
      </c>
      <c r="Y160">
        <f>IF(P160&gt;0,(X160/P160)/$AE$3,"")</f>
        <v/>
      </c>
      <c r="Z160">
        <f>IF(AND(ISNUMBER(K160),Q160&gt;0),MAX(F160,0)*K160*1000000*E160,"pending")</f>
        <v/>
      </c>
      <c r="AA160">
        <f>IF(AND(ISNUMBER(K160),R160&gt;0),MAX(G160,0)*K160*1000000*E160,"pending")</f>
        <v/>
      </c>
      <c r="AB160">
        <f>IF(AND(ISNUMBER(S160),S160&lt;0),"NEG-CCE","")&amp;IF(NOT(ISNUMBER(K160)),"|pending tonnage","")</f>
        <v/>
      </c>
      <c r="AG160">
        <f>IFERROR(_xlfn.XLOOKUP(A160,'product map'!$A$14:$A$36,'product map'!$C$14:$C$36),"?")</f>
        <v/>
      </c>
      <c r="AH160">
        <f>IFERROR((Z160*0.000000947817)/_xlfn.XLOOKUP(AG160,'energy base (MECS)'!$K$4:$K$9,'energy base (MECS)'!$F$4:$F$9),0)</f>
        <v/>
      </c>
      <c r="AI160">
        <f>IFERROR((AA160*0.000000947817)/_xlfn.XLOOKUP(AG160,'energy base (MECS)'!$K$4:$K$9,'energy base (MECS)'!$I$4:$I$9),0)</f>
        <v/>
      </c>
      <c r="AJ160">
        <f>MAX(0.3*ABS(AK160),0.000001)</f>
        <v/>
      </c>
      <c r="AK160">
        <f>IF(ISNUMBER(T160),T160,0)</f>
        <v/>
      </c>
      <c r="AL160">
        <f>IFERROR(_xlfn.XLOOKUP(AG160,'BCoISC-WACCbI'!$C$2:$C$26,'BCoISC-WACCbI'!$B$2:$B$26)+$AE$4,0.1)</f>
        <v/>
      </c>
      <c r="AM160">
        <f>IF(P160&gt;0,L160/P160/0.947817,0)</f>
        <v/>
      </c>
      <c r="AN160">
        <f>IF(AND(P160&gt;0,ISNUMBER(K160)),L160*K160*1000000*E160,0)</f>
        <v/>
      </c>
    </row>
    <row r="161">
      <c r="A161">
        <f>'Kermeli Data'!A168</f>
        <v/>
      </c>
      <c r="B161">
        <f>'Kermeli Data'!B168</f>
        <v/>
      </c>
      <c r="C161">
        <f>'Kermeli Data'!P168</f>
        <v/>
      </c>
      <c r="D161">
        <f>IF(C161="2 whr","whr",IF(C161="3 proc","process","EXCLUDED"))</f>
        <v/>
      </c>
      <c r="E161">
        <f>'Kermeli Data'!E168</f>
        <v/>
      </c>
      <c r="F161">
        <f>'Kermeli Data'!F168</f>
        <v/>
      </c>
      <c r="G161">
        <f>'Kermeli Data'!G168</f>
        <v/>
      </c>
      <c r="H161">
        <f>'Kermeli Data'!I168</f>
        <v/>
      </c>
      <c r="I161">
        <f>'Kermeli Data'!J168</f>
        <v/>
      </c>
      <c r="J161">
        <f>'Kermeli Data'!K168</f>
        <v/>
      </c>
      <c r="K161">
        <f>IFERROR(_xlfn.XLOOKUP(A161,'product map'!$A$14:$A$36,'product map'!$G$14:$G$36),"pending")</f>
        <v/>
      </c>
      <c r="L161">
        <f>H161*cpi!$B$12*cpi!$B$10</f>
        <v/>
      </c>
      <c r="M161">
        <f>J161*cpi!$B$12*cpi!$B$10</f>
        <v/>
      </c>
      <c r="N161">
        <f>IF(I161&gt;0,AL161/(1-(1+AL161)^-I161),"")</f>
        <v/>
      </c>
      <c r="O161">
        <f>L161*N161+M161</f>
        <v/>
      </c>
      <c r="P161">
        <f>MAX(F161,0)+MAX(G161,0)</f>
        <v/>
      </c>
      <c r="Q161">
        <f>IF(P161&gt;0,MAX(F161,0)/P161,0)</f>
        <v/>
      </c>
      <c r="R161">
        <f>IF(P161&gt;0,MAX(G161,0)/P161,0)</f>
        <v/>
      </c>
      <c r="S161">
        <f>IF(P161&gt;0,O161/P161,"")</f>
        <v/>
      </c>
      <c r="T161">
        <f>IF(P161&gt;0,S161/$AE$3,"")</f>
        <v/>
      </c>
      <c r="U161">
        <f>IF(AND(P161&gt;0,Q161&gt;0),T161,"")</f>
        <v/>
      </c>
      <c r="V161">
        <f>IF(AND(P161&gt;0,R161&gt;0),T161,"")</f>
        <v/>
      </c>
      <c r="W161">
        <f>IF(I161&gt;0,$AE$2/(1-(1+$AE$2)^-I161),"")</f>
        <v/>
      </c>
      <c r="X161">
        <f>L161*W161+M161</f>
        <v/>
      </c>
      <c r="Y161">
        <f>IF(P161&gt;0,(X161/P161)/$AE$3,"")</f>
        <v/>
      </c>
      <c r="Z161">
        <f>IF(AND(ISNUMBER(K161),Q161&gt;0),MAX(F161,0)*K161*1000000*E161,"pending")</f>
        <v/>
      </c>
      <c r="AA161">
        <f>IF(AND(ISNUMBER(K161),R161&gt;0),MAX(G161,0)*K161*1000000*E161,"pending")</f>
        <v/>
      </c>
      <c r="AB161">
        <f>IF(AND(ISNUMBER(S161),S161&lt;0),"NEG-CCE","")&amp;IF(NOT(ISNUMBER(K161)),"|pending tonnage","")</f>
        <v/>
      </c>
      <c r="AG161">
        <f>IFERROR(_xlfn.XLOOKUP(A161,'product map'!$A$14:$A$36,'product map'!$C$14:$C$36),"?")</f>
        <v/>
      </c>
      <c r="AH161">
        <f>IFERROR((Z161*0.000000947817)/_xlfn.XLOOKUP(AG161,'energy base (MECS)'!$K$4:$K$9,'energy base (MECS)'!$F$4:$F$9),0)</f>
        <v/>
      </c>
      <c r="AI161">
        <f>IFERROR((AA161*0.000000947817)/_xlfn.XLOOKUP(AG161,'energy base (MECS)'!$K$4:$K$9,'energy base (MECS)'!$I$4:$I$9),0)</f>
        <v/>
      </c>
      <c r="AJ161">
        <f>MAX(0.3*ABS(AK161),0.000001)</f>
        <v/>
      </c>
      <c r="AK161">
        <f>IF(ISNUMBER(T161),T161,0)</f>
        <v/>
      </c>
      <c r="AL161">
        <f>IFERROR(_xlfn.XLOOKUP(AG161,'BCoISC-WACCbI'!$C$2:$C$26,'BCoISC-WACCbI'!$B$2:$B$26)+$AE$4,0.1)</f>
        <v/>
      </c>
      <c r="AM161">
        <f>IF(P161&gt;0,L161/P161/0.947817,0)</f>
        <v/>
      </c>
      <c r="AN161">
        <f>IF(AND(P161&gt;0,ISNUMBER(K161)),L161*K161*1000000*E161,0)</f>
        <v/>
      </c>
    </row>
    <row r="162">
      <c r="A162">
        <f>'Kermeli Data'!A169</f>
        <v/>
      </c>
      <c r="B162">
        <f>'Kermeli Data'!B169</f>
        <v/>
      </c>
      <c r="C162">
        <f>'Kermeli Data'!P169</f>
        <v/>
      </c>
      <c r="D162">
        <f>IF(C162="2 whr","whr",IF(C162="3 proc","process","EXCLUDED"))</f>
        <v/>
      </c>
      <c r="E162">
        <f>'Kermeli Data'!E169</f>
        <v/>
      </c>
      <c r="F162">
        <f>'Kermeli Data'!F169</f>
        <v/>
      </c>
      <c r="G162">
        <f>'Kermeli Data'!G169</f>
        <v/>
      </c>
      <c r="H162">
        <f>'Kermeli Data'!I169</f>
        <v/>
      </c>
      <c r="I162">
        <f>'Kermeli Data'!J169</f>
        <v/>
      </c>
      <c r="J162">
        <f>'Kermeli Data'!K169</f>
        <v/>
      </c>
      <c r="K162">
        <f>IFERROR(_xlfn.XLOOKUP(A162,'product map'!$A$14:$A$36,'product map'!$G$14:$G$36),"pending")</f>
        <v/>
      </c>
      <c r="L162">
        <f>H162*cpi!$B$12*cpi!$B$10</f>
        <v/>
      </c>
      <c r="M162">
        <f>J162*cpi!$B$12*cpi!$B$10</f>
        <v/>
      </c>
      <c r="N162">
        <f>IF(I162&gt;0,AL162/(1-(1+AL162)^-I162),"")</f>
        <v/>
      </c>
      <c r="O162">
        <f>L162*N162+M162</f>
        <v/>
      </c>
      <c r="P162">
        <f>MAX(F162,0)+MAX(G162,0)</f>
        <v/>
      </c>
      <c r="Q162">
        <f>IF(P162&gt;0,MAX(F162,0)/P162,0)</f>
        <v/>
      </c>
      <c r="R162">
        <f>IF(P162&gt;0,MAX(G162,0)/P162,0)</f>
        <v/>
      </c>
      <c r="S162">
        <f>IF(P162&gt;0,O162/P162,"")</f>
        <v/>
      </c>
      <c r="T162">
        <f>IF(P162&gt;0,S162/$AE$3,"")</f>
        <v/>
      </c>
      <c r="U162">
        <f>IF(AND(P162&gt;0,Q162&gt;0),T162,"")</f>
        <v/>
      </c>
      <c r="V162">
        <f>IF(AND(P162&gt;0,R162&gt;0),T162,"")</f>
        <v/>
      </c>
      <c r="W162">
        <f>IF(I162&gt;0,$AE$2/(1-(1+$AE$2)^-I162),"")</f>
        <v/>
      </c>
      <c r="X162">
        <f>L162*W162+M162</f>
        <v/>
      </c>
      <c r="Y162">
        <f>IF(P162&gt;0,(X162/P162)/$AE$3,"")</f>
        <v/>
      </c>
      <c r="Z162">
        <f>IF(AND(ISNUMBER(K162),Q162&gt;0),MAX(F162,0)*K162*1000000*E162,"pending")</f>
        <v/>
      </c>
      <c r="AA162">
        <f>IF(AND(ISNUMBER(K162),R162&gt;0),MAX(G162,0)*K162*1000000*E162,"pending")</f>
        <v/>
      </c>
      <c r="AB162">
        <f>IF(AND(ISNUMBER(S162),S162&lt;0),"NEG-CCE","")&amp;IF(NOT(ISNUMBER(K162)),"|pending tonnage","")</f>
        <v/>
      </c>
      <c r="AG162">
        <f>IFERROR(_xlfn.XLOOKUP(A162,'product map'!$A$14:$A$36,'product map'!$C$14:$C$36),"?")</f>
        <v/>
      </c>
      <c r="AH162">
        <f>IFERROR((Z162*0.000000947817)/_xlfn.XLOOKUP(AG162,'energy base (MECS)'!$K$4:$K$9,'energy base (MECS)'!$F$4:$F$9),0)</f>
        <v/>
      </c>
      <c r="AI162">
        <f>IFERROR((AA162*0.000000947817)/_xlfn.XLOOKUP(AG162,'energy base (MECS)'!$K$4:$K$9,'energy base (MECS)'!$I$4:$I$9),0)</f>
        <v/>
      </c>
      <c r="AJ162">
        <f>MAX(0.3*ABS(AK162),0.000001)</f>
        <v/>
      </c>
      <c r="AK162">
        <f>IF(ISNUMBER(T162),T162,0)</f>
        <v/>
      </c>
      <c r="AL162">
        <f>IFERROR(_xlfn.XLOOKUP(AG162,'BCoISC-WACCbI'!$C$2:$C$26,'BCoISC-WACCbI'!$B$2:$B$26)+$AE$4,0.1)</f>
        <v/>
      </c>
      <c r="AM162">
        <f>IF(P162&gt;0,L162/P162/0.947817,0)</f>
        <v/>
      </c>
      <c r="AN162">
        <f>IF(AND(P162&gt;0,ISNUMBER(K162)),L162*K162*1000000*E162,0)</f>
        <v/>
      </c>
    </row>
    <row r="163">
      <c r="A163">
        <f>'Kermeli Data'!A170</f>
        <v/>
      </c>
      <c r="B163">
        <f>'Kermeli Data'!B170</f>
        <v/>
      </c>
      <c r="C163">
        <f>'Kermeli Data'!P170</f>
        <v/>
      </c>
      <c r="D163">
        <f>IF(C163="2 whr","whr",IF(C163="3 proc","process","EXCLUDED"))</f>
        <v/>
      </c>
      <c r="E163">
        <f>'Kermeli Data'!E170</f>
        <v/>
      </c>
      <c r="F163">
        <f>'Kermeli Data'!F170</f>
        <v/>
      </c>
      <c r="G163">
        <f>'Kermeli Data'!G170</f>
        <v/>
      </c>
      <c r="H163">
        <f>'Kermeli Data'!I170</f>
        <v/>
      </c>
      <c r="I163">
        <f>'Kermeli Data'!J170</f>
        <v/>
      </c>
      <c r="J163">
        <f>'Kermeli Data'!K170</f>
        <v/>
      </c>
      <c r="K163">
        <f>IFERROR(_xlfn.XLOOKUP(A163,'product map'!$A$14:$A$36,'product map'!$G$14:$G$36),"pending")</f>
        <v/>
      </c>
      <c r="L163">
        <f>H163*cpi!$B$12*cpi!$B$10</f>
        <v/>
      </c>
      <c r="M163">
        <f>J163*cpi!$B$12*cpi!$B$10</f>
        <v/>
      </c>
      <c r="N163">
        <f>IF(I163&gt;0,AL163/(1-(1+AL163)^-I163),"")</f>
        <v/>
      </c>
      <c r="O163">
        <f>L163*N163+M163</f>
        <v/>
      </c>
      <c r="P163">
        <f>MAX(F163,0)+MAX(G163,0)</f>
        <v/>
      </c>
      <c r="Q163">
        <f>IF(P163&gt;0,MAX(F163,0)/P163,0)</f>
        <v/>
      </c>
      <c r="R163">
        <f>IF(P163&gt;0,MAX(G163,0)/P163,0)</f>
        <v/>
      </c>
      <c r="S163">
        <f>IF(P163&gt;0,O163/P163,"")</f>
        <v/>
      </c>
      <c r="T163">
        <f>IF(P163&gt;0,S163/$AE$3,"")</f>
        <v/>
      </c>
      <c r="U163">
        <f>IF(AND(P163&gt;0,Q163&gt;0),T163,"")</f>
        <v/>
      </c>
      <c r="V163">
        <f>IF(AND(P163&gt;0,R163&gt;0),T163,"")</f>
        <v/>
      </c>
      <c r="W163">
        <f>IF(I163&gt;0,$AE$2/(1-(1+$AE$2)^-I163),"")</f>
        <v/>
      </c>
      <c r="X163">
        <f>L163*W163+M163</f>
        <v/>
      </c>
      <c r="Y163">
        <f>IF(P163&gt;0,(X163/P163)/$AE$3,"")</f>
        <v/>
      </c>
      <c r="Z163">
        <f>IF(AND(ISNUMBER(K163),Q163&gt;0),MAX(F163,0)*K163*1000000*E163,"pending")</f>
        <v/>
      </c>
      <c r="AA163">
        <f>IF(AND(ISNUMBER(K163),R163&gt;0),MAX(G163,0)*K163*1000000*E163,"pending")</f>
        <v/>
      </c>
      <c r="AB163">
        <f>IF(AND(ISNUMBER(S163),S163&lt;0),"NEG-CCE","")&amp;IF(NOT(ISNUMBER(K163)),"|pending tonnage","")</f>
        <v/>
      </c>
      <c r="AG163">
        <f>IFERROR(_xlfn.XLOOKUP(A163,'product map'!$A$14:$A$36,'product map'!$C$14:$C$36),"?")</f>
        <v/>
      </c>
      <c r="AH163">
        <f>IFERROR((Z163*0.000000947817)/_xlfn.XLOOKUP(AG163,'energy base (MECS)'!$K$4:$K$9,'energy base (MECS)'!$F$4:$F$9),0)</f>
        <v/>
      </c>
      <c r="AI163">
        <f>IFERROR((AA163*0.000000947817)/_xlfn.XLOOKUP(AG163,'energy base (MECS)'!$K$4:$K$9,'energy base (MECS)'!$I$4:$I$9),0)</f>
        <v/>
      </c>
      <c r="AJ163">
        <f>MAX(0.3*ABS(AK163),0.000001)</f>
        <v/>
      </c>
      <c r="AK163">
        <f>IF(ISNUMBER(T163),T163,0)</f>
        <v/>
      </c>
      <c r="AL163">
        <f>IFERROR(_xlfn.XLOOKUP(AG163,'BCoISC-WACCbI'!$C$2:$C$26,'BCoISC-WACCbI'!$B$2:$B$26)+$AE$4,0.1)</f>
        <v/>
      </c>
      <c r="AM163">
        <f>IF(P163&gt;0,L163/P163/0.947817,0)</f>
        <v/>
      </c>
      <c r="AN163">
        <f>IF(AND(P163&gt;0,ISNUMBER(K163)),L163*K163*1000000*E163,0)</f>
        <v/>
      </c>
    </row>
    <row r="164">
      <c r="A164">
        <f>'Kermeli Data'!A171</f>
        <v/>
      </c>
      <c r="B164">
        <f>'Kermeli Data'!B171</f>
        <v/>
      </c>
      <c r="C164">
        <f>'Kermeli Data'!P171</f>
        <v/>
      </c>
      <c r="D164">
        <f>IF(C164="2 whr","whr",IF(C164="3 proc","process","EXCLUDED"))</f>
        <v/>
      </c>
      <c r="E164">
        <f>'Kermeli Data'!E171</f>
        <v/>
      </c>
      <c r="F164">
        <f>'Kermeli Data'!F171</f>
        <v/>
      </c>
      <c r="G164">
        <f>'Kermeli Data'!G171</f>
        <v/>
      </c>
      <c r="H164">
        <f>'Kermeli Data'!I171</f>
        <v/>
      </c>
      <c r="I164">
        <f>'Kermeli Data'!J171</f>
        <v/>
      </c>
      <c r="J164">
        <f>'Kermeli Data'!K171</f>
        <v/>
      </c>
      <c r="K164">
        <f>IFERROR(_xlfn.XLOOKUP(A164,'product map'!$A$14:$A$36,'product map'!$G$14:$G$36),"pending")</f>
        <v/>
      </c>
      <c r="L164">
        <f>H164*cpi!$B$12*cpi!$B$10</f>
        <v/>
      </c>
      <c r="M164">
        <f>J164*cpi!$B$12*cpi!$B$10</f>
        <v/>
      </c>
      <c r="N164">
        <f>IF(I164&gt;0,AL164/(1-(1+AL164)^-I164),"")</f>
        <v/>
      </c>
      <c r="O164">
        <f>L164*N164+M164</f>
        <v/>
      </c>
      <c r="P164">
        <f>MAX(F164,0)+MAX(G164,0)</f>
        <v/>
      </c>
      <c r="Q164">
        <f>IF(P164&gt;0,MAX(F164,0)/P164,0)</f>
        <v/>
      </c>
      <c r="R164">
        <f>IF(P164&gt;0,MAX(G164,0)/P164,0)</f>
        <v/>
      </c>
      <c r="S164">
        <f>IF(P164&gt;0,O164/P164,"")</f>
        <v/>
      </c>
      <c r="T164">
        <f>IF(P164&gt;0,S164/$AE$3,"")</f>
        <v/>
      </c>
      <c r="U164">
        <f>IF(AND(P164&gt;0,Q164&gt;0),T164,"")</f>
        <v/>
      </c>
      <c r="V164">
        <f>IF(AND(P164&gt;0,R164&gt;0),T164,"")</f>
        <v/>
      </c>
      <c r="W164">
        <f>IF(I164&gt;0,$AE$2/(1-(1+$AE$2)^-I164),"")</f>
        <v/>
      </c>
      <c r="X164">
        <f>L164*W164+M164</f>
        <v/>
      </c>
      <c r="Y164">
        <f>IF(P164&gt;0,(X164/P164)/$AE$3,"")</f>
        <v/>
      </c>
      <c r="Z164">
        <f>IF(AND(ISNUMBER(K164),Q164&gt;0),MAX(F164,0)*K164*1000000*E164,"pending")</f>
        <v/>
      </c>
      <c r="AA164">
        <f>IF(AND(ISNUMBER(K164),R164&gt;0),MAX(G164,0)*K164*1000000*E164,"pending")</f>
        <v/>
      </c>
      <c r="AB164">
        <f>IF(AND(ISNUMBER(S164),S164&lt;0),"NEG-CCE","")&amp;IF(NOT(ISNUMBER(K164)),"|pending tonnage","")</f>
        <v/>
      </c>
      <c r="AG164">
        <f>IFERROR(_xlfn.XLOOKUP(A164,'product map'!$A$14:$A$36,'product map'!$C$14:$C$36),"?")</f>
        <v/>
      </c>
      <c r="AH164">
        <f>IFERROR((Z164*0.000000947817)/_xlfn.XLOOKUP(AG164,'energy base (MECS)'!$K$4:$K$9,'energy base (MECS)'!$F$4:$F$9),0)</f>
        <v/>
      </c>
      <c r="AI164">
        <f>IFERROR((AA164*0.000000947817)/_xlfn.XLOOKUP(AG164,'energy base (MECS)'!$K$4:$K$9,'energy base (MECS)'!$I$4:$I$9),0)</f>
        <v/>
      </c>
      <c r="AJ164">
        <f>MAX(0.3*ABS(AK164),0.000001)</f>
        <v/>
      </c>
      <c r="AK164">
        <f>IF(ISNUMBER(T164),T164,0)</f>
        <v/>
      </c>
      <c r="AL164">
        <f>IFERROR(_xlfn.XLOOKUP(AG164,'BCoISC-WACCbI'!$C$2:$C$26,'BCoISC-WACCbI'!$B$2:$B$26)+$AE$4,0.1)</f>
        <v/>
      </c>
      <c r="AM164">
        <f>IF(P164&gt;0,L164/P164/0.947817,0)</f>
        <v/>
      </c>
      <c r="AN164">
        <f>IF(AND(P164&gt;0,ISNUMBER(K164)),L164*K164*1000000*E164,0)</f>
        <v/>
      </c>
    </row>
    <row r="165">
      <c r="A165">
        <f>'Kermeli Data'!A172</f>
        <v/>
      </c>
      <c r="B165">
        <f>'Kermeli Data'!B172</f>
        <v/>
      </c>
      <c r="C165">
        <f>'Kermeli Data'!P172</f>
        <v/>
      </c>
      <c r="D165">
        <f>IF(C165="2 whr","whr",IF(C165="3 proc","process","EXCLUDED"))</f>
        <v/>
      </c>
      <c r="E165">
        <f>'Kermeli Data'!E172</f>
        <v/>
      </c>
      <c r="F165">
        <f>'Kermeli Data'!F172</f>
        <v/>
      </c>
      <c r="G165">
        <f>'Kermeli Data'!G172</f>
        <v/>
      </c>
      <c r="H165">
        <f>'Kermeli Data'!I172</f>
        <v/>
      </c>
      <c r="I165">
        <f>'Kermeli Data'!J172</f>
        <v/>
      </c>
      <c r="J165">
        <f>'Kermeli Data'!K172</f>
        <v/>
      </c>
      <c r="K165">
        <f>IFERROR(_xlfn.XLOOKUP(A165,'product map'!$A$14:$A$36,'product map'!$G$14:$G$36),"pending")</f>
        <v/>
      </c>
      <c r="L165">
        <f>H165*cpi!$B$12*cpi!$B$10</f>
        <v/>
      </c>
      <c r="M165">
        <f>J165*cpi!$B$12*cpi!$B$10</f>
        <v/>
      </c>
      <c r="N165">
        <f>IF(I165&gt;0,AL165/(1-(1+AL165)^-I165),"")</f>
        <v/>
      </c>
      <c r="O165">
        <f>L165*N165+M165</f>
        <v/>
      </c>
      <c r="P165">
        <f>MAX(F165,0)+MAX(G165,0)</f>
        <v/>
      </c>
      <c r="Q165">
        <f>IF(P165&gt;0,MAX(F165,0)/P165,0)</f>
        <v/>
      </c>
      <c r="R165">
        <f>IF(P165&gt;0,MAX(G165,0)/P165,0)</f>
        <v/>
      </c>
      <c r="S165">
        <f>IF(P165&gt;0,O165/P165,"")</f>
        <v/>
      </c>
      <c r="T165">
        <f>IF(P165&gt;0,S165/$AE$3,"")</f>
        <v/>
      </c>
      <c r="U165">
        <f>IF(AND(P165&gt;0,Q165&gt;0),T165,"")</f>
        <v/>
      </c>
      <c r="V165">
        <f>IF(AND(P165&gt;0,R165&gt;0),T165,"")</f>
        <v/>
      </c>
      <c r="W165">
        <f>IF(I165&gt;0,$AE$2/(1-(1+$AE$2)^-I165),"")</f>
        <v/>
      </c>
      <c r="X165">
        <f>L165*W165+M165</f>
        <v/>
      </c>
      <c r="Y165">
        <f>IF(P165&gt;0,(X165/P165)/$AE$3,"")</f>
        <v/>
      </c>
      <c r="Z165">
        <f>IF(AND(ISNUMBER(K165),Q165&gt;0),MAX(F165,0)*K165*1000000*E165,"pending")</f>
        <v/>
      </c>
      <c r="AA165">
        <f>IF(AND(ISNUMBER(K165),R165&gt;0),MAX(G165,0)*K165*1000000*E165,"pending")</f>
        <v/>
      </c>
      <c r="AB165">
        <f>IF(AND(ISNUMBER(S165),S165&lt;0),"NEG-CCE","")&amp;IF(NOT(ISNUMBER(K165)),"|pending tonnage","")</f>
        <v/>
      </c>
      <c r="AG165">
        <f>IFERROR(_xlfn.XLOOKUP(A165,'product map'!$A$14:$A$36,'product map'!$C$14:$C$36),"?")</f>
        <v/>
      </c>
      <c r="AH165">
        <f>IFERROR((Z165*0.000000947817)/_xlfn.XLOOKUP(AG165,'energy base (MECS)'!$K$4:$K$9,'energy base (MECS)'!$F$4:$F$9),0)</f>
        <v/>
      </c>
      <c r="AI165">
        <f>IFERROR((AA165*0.000000947817)/_xlfn.XLOOKUP(AG165,'energy base (MECS)'!$K$4:$K$9,'energy base (MECS)'!$I$4:$I$9),0)</f>
        <v/>
      </c>
      <c r="AJ165">
        <f>MAX(0.3*ABS(AK165),0.000001)</f>
        <v/>
      </c>
      <c r="AK165">
        <f>IF(ISNUMBER(T165),T165,0)</f>
        <v/>
      </c>
      <c r="AL165">
        <f>IFERROR(_xlfn.XLOOKUP(AG165,'BCoISC-WACCbI'!$C$2:$C$26,'BCoISC-WACCbI'!$B$2:$B$26)+$AE$4,0.1)</f>
        <v/>
      </c>
      <c r="AM165">
        <f>IF(P165&gt;0,L165/P165/0.947817,0)</f>
        <v/>
      </c>
      <c r="AN165">
        <f>IF(AND(P165&gt;0,ISNUMBER(K165)),L165*K165*1000000*E165,0)</f>
        <v/>
      </c>
    </row>
    <row r="166">
      <c r="A166">
        <f>'Kermeli Data'!A173</f>
        <v/>
      </c>
      <c r="B166">
        <f>'Kermeli Data'!B173</f>
        <v/>
      </c>
      <c r="C166">
        <f>'Kermeli Data'!P173</f>
        <v/>
      </c>
      <c r="D166">
        <f>IF(C166="2 whr","whr",IF(C166="3 proc","process","EXCLUDED"))</f>
        <v/>
      </c>
      <c r="E166">
        <f>'Kermeli Data'!E173</f>
        <v/>
      </c>
      <c r="F166">
        <f>'Kermeli Data'!F173</f>
        <v/>
      </c>
      <c r="G166">
        <f>'Kermeli Data'!G173</f>
        <v/>
      </c>
      <c r="H166">
        <f>'Kermeli Data'!I173</f>
        <v/>
      </c>
      <c r="I166">
        <f>'Kermeli Data'!J173</f>
        <v/>
      </c>
      <c r="J166">
        <f>'Kermeli Data'!K173</f>
        <v/>
      </c>
      <c r="K166">
        <f>IFERROR(_xlfn.XLOOKUP(A166,'product map'!$A$14:$A$36,'product map'!$G$14:$G$36),"pending")</f>
        <v/>
      </c>
      <c r="L166">
        <f>H166*cpi!$B$12*cpi!$B$10</f>
        <v/>
      </c>
      <c r="M166">
        <f>J166*cpi!$B$12*cpi!$B$10</f>
        <v/>
      </c>
      <c r="N166">
        <f>IF(I166&gt;0,AL166/(1-(1+AL166)^-I166),"")</f>
        <v/>
      </c>
      <c r="O166">
        <f>L166*N166+M166</f>
        <v/>
      </c>
      <c r="P166">
        <f>MAX(F166,0)+MAX(G166,0)</f>
        <v/>
      </c>
      <c r="Q166">
        <f>IF(P166&gt;0,MAX(F166,0)/P166,0)</f>
        <v/>
      </c>
      <c r="R166">
        <f>IF(P166&gt;0,MAX(G166,0)/P166,0)</f>
        <v/>
      </c>
      <c r="S166">
        <f>IF(P166&gt;0,O166/P166,"")</f>
        <v/>
      </c>
      <c r="T166">
        <f>IF(P166&gt;0,S166/$AE$3,"")</f>
        <v/>
      </c>
      <c r="U166">
        <f>IF(AND(P166&gt;0,Q166&gt;0),T166,"")</f>
        <v/>
      </c>
      <c r="V166">
        <f>IF(AND(P166&gt;0,R166&gt;0),T166,"")</f>
        <v/>
      </c>
      <c r="W166">
        <f>IF(I166&gt;0,$AE$2/(1-(1+$AE$2)^-I166),"")</f>
        <v/>
      </c>
      <c r="X166">
        <f>L166*W166+M166</f>
        <v/>
      </c>
      <c r="Y166">
        <f>IF(P166&gt;0,(X166/P166)/$AE$3,"")</f>
        <v/>
      </c>
      <c r="Z166">
        <f>IF(AND(ISNUMBER(K166),Q166&gt;0),MAX(F166,0)*K166*1000000*E166,"pending")</f>
        <v/>
      </c>
      <c r="AA166">
        <f>IF(AND(ISNUMBER(K166),R166&gt;0),MAX(G166,0)*K166*1000000*E166,"pending")</f>
        <v/>
      </c>
      <c r="AB166">
        <f>IF(AND(ISNUMBER(S166),S166&lt;0),"NEG-CCE","")&amp;IF(NOT(ISNUMBER(K166)),"|pending tonnage","")</f>
        <v/>
      </c>
      <c r="AG166">
        <f>IFERROR(_xlfn.XLOOKUP(A166,'product map'!$A$14:$A$36,'product map'!$C$14:$C$36),"?")</f>
        <v/>
      </c>
      <c r="AH166">
        <f>IFERROR((Z166*0.000000947817)/_xlfn.XLOOKUP(AG166,'energy base (MECS)'!$K$4:$K$9,'energy base (MECS)'!$F$4:$F$9),0)</f>
        <v/>
      </c>
      <c r="AI166">
        <f>IFERROR((AA166*0.000000947817)/_xlfn.XLOOKUP(AG166,'energy base (MECS)'!$K$4:$K$9,'energy base (MECS)'!$I$4:$I$9),0)</f>
        <v/>
      </c>
      <c r="AJ166">
        <f>MAX(0.3*ABS(AK166),0.000001)</f>
        <v/>
      </c>
      <c r="AK166">
        <f>IF(ISNUMBER(T166),T166,0)</f>
        <v/>
      </c>
      <c r="AL166">
        <f>IFERROR(_xlfn.XLOOKUP(AG166,'BCoISC-WACCbI'!$C$2:$C$26,'BCoISC-WACCbI'!$B$2:$B$26)+$AE$4,0.1)</f>
        <v/>
      </c>
      <c r="AM166">
        <f>IF(P166&gt;0,L166/P166/0.947817,0)</f>
        <v/>
      </c>
      <c r="AN166">
        <f>IF(AND(P166&gt;0,ISNUMBER(K166)),L166*K166*1000000*E166,0)</f>
        <v/>
      </c>
    </row>
    <row r="167">
      <c r="A167">
        <f>'Kermeli Data'!A174</f>
        <v/>
      </c>
      <c r="B167">
        <f>'Kermeli Data'!B174</f>
        <v/>
      </c>
      <c r="C167">
        <f>'Kermeli Data'!P174</f>
        <v/>
      </c>
      <c r="D167">
        <f>IF(C167="2 whr","whr",IF(C167="3 proc","process","EXCLUDED"))</f>
        <v/>
      </c>
      <c r="E167">
        <f>'Kermeli Data'!E174</f>
        <v/>
      </c>
      <c r="F167">
        <f>'Kermeli Data'!F174</f>
        <v/>
      </c>
      <c r="G167">
        <f>'Kermeli Data'!G174</f>
        <v/>
      </c>
      <c r="H167">
        <f>'Kermeli Data'!I174</f>
        <v/>
      </c>
      <c r="I167">
        <f>'Kermeli Data'!J174</f>
        <v/>
      </c>
      <c r="J167">
        <f>'Kermeli Data'!K174</f>
        <v/>
      </c>
      <c r="K167">
        <f>IFERROR(_xlfn.XLOOKUP(A167,'product map'!$A$14:$A$36,'product map'!$G$14:$G$36),"pending")</f>
        <v/>
      </c>
      <c r="L167">
        <f>H167*cpi!$B$12*cpi!$B$10</f>
        <v/>
      </c>
      <c r="M167">
        <f>J167*cpi!$B$12*cpi!$B$10</f>
        <v/>
      </c>
      <c r="N167">
        <f>IF(I167&gt;0,AL167/(1-(1+AL167)^-I167),"")</f>
        <v/>
      </c>
      <c r="O167">
        <f>L167*N167+M167</f>
        <v/>
      </c>
      <c r="P167">
        <f>MAX(F167,0)+MAX(G167,0)</f>
        <v/>
      </c>
      <c r="Q167">
        <f>IF(P167&gt;0,MAX(F167,0)/P167,0)</f>
        <v/>
      </c>
      <c r="R167">
        <f>IF(P167&gt;0,MAX(G167,0)/P167,0)</f>
        <v/>
      </c>
      <c r="S167">
        <f>IF(P167&gt;0,O167/P167,"")</f>
        <v/>
      </c>
      <c r="T167">
        <f>IF(P167&gt;0,S167/$AE$3,"")</f>
        <v/>
      </c>
      <c r="U167">
        <f>IF(AND(P167&gt;0,Q167&gt;0),T167,"")</f>
        <v/>
      </c>
      <c r="V167">
        <f>IF(AND(P167&gt;0,R167&gt;0),T167,"")</f>
        <v/>
      </c>
      <c r="W167">
        <f>IF(I167&gt;0,$AE$2/(1-(1+$AE$2)^-I167),"")</f>
        <v/>
      </c>
      <c r="X167">
        <f>L167*W167+M167</f>
        <v/>
      </c>
      <c r="Y167">
        <f>IF(P167&gt;0,(X167/P167)/$AE$3,"")</f>
        <v/>
      </c>
      <c r="Z167">
        <f>IF(AND(ISNUMBER(K167),Q167&gt;0),MAX(F167,0)*K167*1000000*E167,"pending")</f>
        <v/>
      </c>
      <c r="AA167">
        <f>IF(AND(ISNUMBER(K167),R167&gt;0),MAX(G167,0)*K167*1000000*E167,"pending")</f>
        <v/>
      </c>
      <c r="AB167">
        <f>IF(AND(ISNUMBER(S167),S167&lt;0),"NEG-CCE","")&amp;IF(NOT(ISNUMBER(K167)),"|pending tonnage","")</f>
        <v/>
      </c>
      <c r="AG167">
        <f>IFERROR(_xlfn.XLOOKUP(A167,'product map'!$A$14:$A$36,'product map'!$C$14:$C$36),"?")</f>
        <v/>
      </c>
      <c r="AH167">
        <f>IFERROR((Z167*0.000000947817)/_xlfn.XLOOKUP(AG167,'energy base (MECS)'!$K$4:$K$9,'energy base (MECS)'!$F$4:$F$9),0)</f>
        <v/>
      </c>
      <c r="AI167">
        <f>IFERROR((AA167*0.000000947817)/_xlfn.XLOOKUP(AG167,'energy base (MECS)'!$K$4:$K$9,'energy base (MECS)'!$I$4:$I$9),0)</f>
        <v/>
      </c>
      <c r="AJ167">
        <f>MAX(0.3*ABS(AK167),0.000001)</f>
        <v/>
      </c>
      <c r="AK167">
        <f>IF(ISNUMBER(T167),T167,0)</f>
        <v/>
      </c>
      <c r="AL167">
        <f>IFERROR(_xlfn.XLOOKUP(AG167,'BCoISC-WACCbI'!$C$2:$C$26,'BCoISC-WACCbI'!$B$2:$B$26)+$AE$4,0.1)</f>
        <v/>
      </c>
      <c r="AM167">
        <f>IF(P167&gt;0,L167/P167/0.947817,0)</f>
        <v/>
      </c>
      <c r="AN167">
        <f>IF(AND(P167&gt;0,ISNUMBER(K167)),L167*K167*1000000*E167,0)</f>
        <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W59"/>
  <sheetViews>
    <sheetView workbookViewId="0">
      <pane xSplit="4" ySplit="3" topLeftCell="E22" activePane="bottomRight" state="frozen"/>
      <selection pane="topRight" activeCell="E1" sqref="E1"/>
      <selection pane="bottomLeft" activeCell="A4" sqref="A4"/>
      <selection pane="bottomRight" activeCell="M36" sqref="M36"/>
    </sheetView>
  </sheetViews>
  <sheetFormatPr baseColWidth="8" defaultRowHeight="14.5"/>
  <sheetData>
    <row r="1">
      <c r="A1" s="1" t="inlineStr">
        <is>
          <t>fuel-whr — cumulative % reduction (system WHR, fuel carrier). Rows=canonical WHRPbI industries; cols=CCE bins ($/MMBtu, 2012$). Uncovered industries: Bianchi fill @ assumed cost.</t>
        </is>
      </c>
    </row>
    <row r="3">
      <c r="A3" s="1" t="inlineStr">
        <is>
          <t>Industry</t>
        </is>
      </c>
      <c r="B3" s="1" t="inlineStr">
        <is>
          <t>code</t>
        </is>
      </c>
      <c r="C3" s="1" t="inlineStr">
        <is>
          <t>Bianchi pot.</t>
        </is>
      </c>
      <c r="D3" s="1" t="inlineStr">
        <is>
          <t>covered</t>
        </is>
      </c>
      <c r="E3" s="137" t="n">
        <v>0</v>
      </c>
      <c r="F3" s="137" t="n">
        <v>0.25</v>
      </c>
      <c r="G3" s="137" t="n">
        <v>0.5</v>
      </c>
      <c r="H3" s="137" t="n">
        <v>0.75</v>
      </c>
      <c r="I3" s="137" t="n">
        <v>1</v>
      </c>
      <c r="J3" s="137" t="n">
        <v>1.25</v>
      </c>
      <c r="K3" s="137" t="n">
        <v>1.5</v>
      </c>
      <c r="L3" s="137" t="n">
        <v>1.75</v>
      </c>
      <c r="M3" s="137" t="n">
        <v>2</v>
      </c>
      <c r="N3" s="137" t="n">
        <v>2.25</v>
      </c>
      <c r="O3" s="137" t="n">
        <v>2.5</v>
      </c>
      <c r="P3" s="137" t="n">
        <v>2.75</v>
      </c>
      <c r="Q3" s="137" t="n">
        <v>3</v>
      </c>
      <c r="R3" s="137" t="n">
        <v>3.25</v>
      </c>
      <c r="S3" s="137" t="n">
        <v>3.5</v>
      </c>
      <c r="T3" s="137" t="n">
        <v>3.75</v>
      </c>
      <c r="U3" s="137" t="n">
        <v>4</v>
      </c>
      <c r="V3" s="137" t="n">
        <v>4.25</v>
      </c>
      <c r="W3" s="137" t="n">
        <v>4.5</v>
      </c>
      <c r="X3" s="137" t="n">
        <v>4.75</v>
      </c>
      <c r="Y3" s="137" t="n">
        <v>5</v>
      </c>
      <c r="Z3" s="137" t="n">
        <v>5.25</v>
      </c>
      <c r="AA3" s="137" t="n">
        <v>5.5</v>
      </c>
      <c r="AB3" s="137" t="n">
        <v>5.75</v>
      </c>
      <c r="AC3" s="137" t="n">
        <v>6</v>
      </c>
      <c r="AD3" s="137" t="n">
        <v>6.25</v>
      </c>
      <c r="AE3" s="137" t="n">
        <v>6.5</v>
      </c>
      <c r="AF3" s="137" t="n">
        <v>6.75</v>
      </c>
      <c r="AG3" s="137" t="n">
        <v>7</v>
      </c>
      <c r="AH3" s="137" t="n">
        <v>7.25</v>
      </c>
      <c r="AI3" s="137" t="n">
        <v>7.5</v>
      </c>
      <c r="AJ3" s="137" t="n">
        <v>7.75</v>
      </c>
      <c r="AK3" s="137" t="n">
        <v>8</v>
      </c>
      <c r="AL3" s="137" t="n">
        <v>8.25</v>
      </c>
      <c r="AM3" s="137" t="n">
        <v>8.5</v>
      </c>
      <c r="AN3" s="137" t="n">
        <v>8.75</v>
      </c>
      <c r="AO3" s="137" t="n">
        <v>9</v>
      </c>
      <c r="AP3" s="137" t="n">
        <v>9.25</v>
      </c>
      <c r="AQ3" s="137" t="n">
        <v>9.5</v>
      </c>
      <c r="AR3" s="137" t="n">
        <v>9.75</v>
      </c>
      <c r="AS3" s="137" t="n">
        <v>10</v>
      </c>
      <c r="AT3" s="137" t="n">
        <v>10.25</v>
      </c>
      <c r="AU3" s="137" t="n">
        <v>10.5</v>
      </c>
      <c r="AV3" s="137" t="n">
        <v>10.75</v>
      </c>
      <c r="AW3" s="137" t="n">
        <v>11</v>
      </c>
      <c r="AX3" s="137" t="n">
        <v>11.25</v>
      </c>
      <c r="AY3" s="137" t="n">
        <v>11.5</v>
      </c>
      <c r="AZ3" s="137" t="n">
        <v>11.75</v>
      </c>
      <c r="BA3" s="137" t="n">
        <v>12</v>
      </c>
      <c r="BB3" s="137" t="n">
        <v>12.25</v>
      </c>
      <c r="BC3" s="137" t="n">
        <v>12.5</v>
      </c>
      <c r="BD3" s="137" t="n">
        <v>12.75</v>
      </c>
      <c r="BE3" s="137" t="n">
        <v>13</v>
      </c>
      <c r="BF3" s="137" t="n">
        <v>13.25</v>
      </c>
      <c r="BG3" s="137" t="n">
        <v>13.5</v>
      </c>
      <c r="BH3" s="137" t="n">
        <v>13.75</v>
      </c>
      <c r="BI3" s="137" t="n">
        <v>14</v>
      </c>
      <c r="BJ3" s="137" t="n">
        <v>14.25</v>
      </c>
      <c r="BK3" s="137" t="n">
        <v>14.5</v>
      </c>
      <c r="BL3" s="137" t="n">
        <v>14.75</v>
      </c>
      <c r="BM3" s="137" t="n">
        <v>15</v>
      </c>
      <c r="BN3" s="137" t="n">
        <v>15.25</v>
      </c>
      <c r="BO3" s="137" t="n">
        <v>15.5</v>
      </c>
      <c r="BP3" s="137" t="n">
        <v>15.75</v>
      </c>
      <c r="BQ3" s="137" t="n">
        <v>16</v>
      </c>
      <c r="BR3" s="137" t="n">
        <v>16.25</v>
      </c>
      <c r="BS3" s="137" t="n">
        <v>16.5</v>
      </c>
      <c r="BT3" s="137" t="n">
        <v>16.75</v>
      </c>
      <c r="BU3" s="137" t="n">
        <v>17</v>
      </c>
      <c r="BV3" s="137" t="n">
        <v>17.25</v>
      </c>
      <c r="BW3" s="137" t="n">
        <v>17.5</v>
      </c>
      <c r="BX3" s="137" t="n">
        <v>17.75</v>
      </c>
      <c r="BY3" s="137" t="n">
        <v>18</v>
      </c>
      <c r="BZ3" s="137" t="n">
        <v>18.25</v>
      </c>
      <c r="CA3" s="137" t="n">
        <v>18.5</v>
      </c>
      <c r="CB3" s="137" t="n">
        <v>18.75</v>
      </c>
      <c r="CC3" s="137" t="n">
        <v>19</v>
      </c>
      <c r="CD3" s="137" t="n">
        <v>19.25</v>
      </c>
      <c r="CE3" s="137" t="n">
        <v>19.5</v>
      </c>
      <c r="CF3" s="137" t="n">
        <v>19.75</v>
      </c>
      <c r="CG3" s="137" t="n">
        <v>20</v>
      </c>
      <c r="CH3" s="137" t="n">
        <v>99999</v>
      </c>
      <c r="CJ3" t="inlineStr">
        <is>
          <t>capture(meas)</t>
        </is>
      </c>
      <c r="CK3" t="inlineStr">
        <is>
          <t>b&lt;100</t>
        </is>
      </c>
      <c r="CL3" t="inlineStr">
        <is>
          <t>b100-200</t>
        </is>
      </c>
      <c r="CM3" t="inlineStr">
        <is>
          <t>b200-500</t>
        </is>
      </c>
      <c r="CN3" t="inlineStr">
        <is>
          <t>b500-1000</t>
        </is>
      </c>
      <c r="CO3" t="inlineStr">
        <is>
          <t>b&gt;1000</t>
        </is>
      </c>
      <c r="CP3" t="inlineStr">
        <is>
          <t>adj LT+MT target</t>
        </is>
      </c>
      <c r="CQ3" t="inlineStr">
        <is>
          <t>adj HT target</t>
        </is>
      </c>
      <c r="CR3" t="inlineStr">
        <is>
          <t>resid LT+MT</t>
        </is>
      </c>
      <c r="CS3" t="inlineStr">
        <is>
          <t>resid HT</t>
        </is>
      </c>
      <c r="CT3" t="inlineStr">
        <is>
          <t>WACC</t>
        </is>
      </c>
      <c r="CU3" t="inlineStr">
        <is>
          <t>mu econ</t>
        </is>
      </c>
      <c r="CV3" t="inlineStr">
        <is>
          <t>mu recup</t>
        </is>
      </c>
      <c r="CW3" t="inlineStr">
        <is>
          <t>total fill</t>
        </is>
      </c>
    </row>
    <row r="4">
      <c r="A4">
        <f>WHRPbI!A2</f>
        <v/>
      </c>
      <c r="B4" t="inlineStr">
        <is>
          <t>01T03</t>
        </is>
      </c>
      <c r="C4" s="68">
        <f>WHRPbI!B2</f>
        <v/>
      </c>
      <c r="D4">
        <f>ISNUMBER(MATCH($B4,'energy base (MECS)'!$K$4:$K$9,0))</f>
        <v/>
      </c>
      <c r="E4" s="68">
        <f t="array" ref="E4">IF($D4,SUMPRODUCT((economics!$AG$2:$AG$167=$B4)*(economics!$D$2:$D$167="whr")*economics!$AH$2:$AH$167*_xlfn.NORM.DIST(E$3,economics!$AK$2:$AK$167,economics!$AJ$2:$AJ$167,TRUE))+$CR4*_xlfn.NORM.DIST(E$3,$CU4,0.3*$CU4,TRUE)+$CS4*_xlfn.NORM.DIST(E$3,$CV4,0.3*$CV4,TRUE),$CW4*_xlfn.NORM.DIST(E$3,'energy base (MECS)'!$F$11,0.3*'energy base (MECS)'!$F$11,TRUE))</f>
        <v/>
      </c>
      <c r="F4" s="68">
        <f t="array" ref="F4">IF($D4,SUMPRODUCT((economics!$AG$2:$AG$167=$B4)*(economics!$D$2:$D$167="whr")*economics!$AH$2:$AH$167*_xlfn.NORM.DIST(F$3,economics!$AK$2:$AK$167,economics!$AJ$2:$AJ$167,TRUE))+$CR4*_xlfn.NORM.DIST(F$3,$CU4,0.3*$CU4,TRUE)+$CS4*_xlfn.NORM.DIST(F$3,$CV4,0.3*$CV4,TRUE),$CW4*_xlfn.NORM.DIST(F$3,'energy base (MECS)'!$F$11,0.3*'energy base (MECS)'!$F$11,TRUE))</f>
        <v/>
      </c>
      <c r="G4" s="68">
        <f t="array" ref="G4">IF($D4,SUMPRODUCT((economics!$AG$2:$AG$167=$B4)*(economics!$D$2:$D$167="whr")*economics!$AH$2:$AH$167*_xlfn.NORM.DIST(G$3,economics!$AK$2:$AK$167,economics!$AJ$2:$AJ$167,TRUE))+$CR4*_xlfn.NORM.DIST(G$3,$CU4,0.3*$CU4,TRUE)+$CS4*_xlfn.NORM.DIST(G$3,$CV4,0.3*$CV4,TRUE),$CW4*_xlfn.NORM.DIST(G$3,'energy base (MECS)'!$F$11,0.3*'energy base (MECS)'!$F$11,TRUE))</f>
        <v/>
      </c>
      <c r="H4" s="68">
        <f t="array" ref="H4">IF($D4,SUMPRODUCT((economics!$AG$2:$AG$167=$B4)*(economics!$D$2:$D$167="whr")*economics!$AH$2:$AH$167*_xlfn.NORM.DIST(H$3,economics!$AK$2:$AK$167,economics!$AJ$2:$AJ$167,TRUE))+$CR4*_xlfn.NORM.DIST(H$3,$CU4,0.3*$CU4,TRUE)+$CS4*_xlfn.NORM.DIST(H$3,$CV4,0.3*$CV4,TRUE),$CW4*_xlfn.NORM.DIST(H$3,'energy base (MECS)'!$F$11,0.3*'energy base (MECS)'!$F$11,TRUE))</f>
        <v/>
      </c>
      <c r="I4" s="68">
        <f t="array" ref="I4">IF($D4,SUMPRODUCT((economics!$AG$2:$AG$167=$B4)*(economics!$D$2:$D$167="whr")*economics!$AH$2:$AH$167*_xlfn.NORM.DIST(I$3,economics!$AK$2:$AK$167,economics!$AJ$2:$AJ$167,TRUE))+$CR4*_xlfn.NORM.DIST(I$3,$CU4,0.3*$CU4,TRUE)+$CS4*_xlfn.NORM.DIST(I$3,$CV4,0.3*$CV4,TRUE),$CW4*_xlfn.NORM.DIST(I$3,'energy base (MECS)'!$F$11,0.3*'energy base (MECS)'!$F$11,TRUE))</f>
        <v/>
      </c>
      <c r="J4" s="68">
        <f t="array" ref="J4">IF($D4,SUMPRODUCT((economics!$AG$2:$AG$167=$B4)*(economics!$D$2:$D$167="whr")*economics!$AH$2:$AH$167*_xlfn.NORM.DIST(J$3,economics!$AK$2:$AK$167,economics!$AJ$2:$AJ$167,TRUE))+$CR4*_xlfn.NORM.DIST(J$3,$CU4,0.3*$CU4,TRUE)+$CS4*_xlfn.NORM.DIST(J$3,$CV4,0.3*$CV4,TRUE),$CW4*_xlfn.NORM.DIST(J$3,'energy base (MECS)'!$F$11,0.3*'energy base (MECS)'!$F$11,TRUE))</f>
        <v/>
      </c>
      <c r="K4" s="68">
        <f t="array" ref="K4">IF($D4,SUMPRODUCT((economics!$AG$2:$AG$167=$B4)*(economics!$D$2:$D$167="whr")*economics!$AH$2:$AH$167*_xlfn.NORM.DIST(K$3,economics!$AK$2:$AK$167,economics!$AJ$2:$AJ$167,TRUE))+$CR4*_xlfn.NORM.DIST(K$3,$CU4,0.3*$CU4,TRUE)+$CS4*_xlfn.NORM.DIST(K$3,$CV4,0.3*$CV4,TRUE),$CW4*_xlfn.NORM.DIST(K$3,'energy base (MECS)'!$F$11,0.3*'energy base (MECS)'!$F$11,TRUE))</f>
        <v/>
      </c>
      <c r="L4" s="68">
        <f t="array" ref="L4">IF($D4,SUMPRODUCT((economics!$AG$2:$AG$167=$B4)*(economics!$D$2:$D$167="whr")*economics!$AH$2:$AH$167*_xlfn.NORM.DIST(L$3,economics!$AK$2:$AK$167,economics!$AJ$2:$AJ$167,TRUE))+$CR4*_xlfn.NORM.DIST(L$3,$CU4,0.3*$CU4,TRUE)+$CS4*_xlfn.NORM.DIST(L$3,$CV4,0.3*$CV4,TRUE),$CW4*_xlfn.NORM.DIST(L$3,'energy base (MECS)'!$F$11,0.3*'energy base (MECS)'!$F$11,TRUE))</f>
        <v/>
      </c>
      <c r="M4" s="68">
        <f t="array" ref="M4">IF($D4,SUMPRODUCT((economics!$AG$2:$AG$167=$B4)*(economics!$D$2:$D$167="whr")*economics!$AH$2:$AH$167*_xlfn.NORM.DIST(M$3,economics!$AK$2:$AK$167,economics!$AJ$2:$AJ$167,TRUE))+$CR4*_xlfn.NORM.DIST(M$3,$CU4,0.3*$CU4,TRUE)+$CS4*_xlfn.NORM.DIST(M$3,$CV4,0.3*$CV4,TRUE),$CW4*_xlfn.NORM.DIST(M$3,'energy base (MECS)'!$F$11,0.3*'energy base (MECS)'!$F$11,TRUE))</f>
        <v/>
      </c>
      <c r="N4" s="68">
        <f t="array" ref="N4">IF($D4,SUMPRODUCT((economics!$AG$2:$AG$167=$B4)*(economics!$D$2:$D$167="whr")*economics!$AH$2:$AH$167*_xlfn.NORM.DIST(N$3,economics!$AK$2:$AK$167,economics!$AJ$2:$AJ$167,TRUE))+$CR4*_xlfn.NORM.DIST(N$3,$CU4,0.3*$CU4,TRUE)+$CS4*_xlfn.NORM.DIST(N$3,$CV4,0.3*$CV4,TRUE),$CW4*_xlfn.NORM.DIST(N$3,'energy base (MECS)'!$F$11,0.3*'energy base (MECS)'!$F$11,TRUE))</f>
        <v/>
      </c>
      <c r="O4" s="68">
        <f t="array" ref="O4">IF($D4,SUMPRODUCT((economics!$AG$2:$AG$167=$B4)*(economics!$D$2:$D$167="whr")*economics!$AH$2:$AH$167*_xlfn.NORM.DIST(O$3,economics!$AK$2:$AK$167,economics!$AJ$2:$AJ$167,TRUE))+$CR4*_xlfn.NORM.DIST(O$3,$CU4,0.3*$CU4,TRUE)+$CS4*_xlfn.NORM.DIST(O$3,$CV4,0.3*$CV4,TRUE),$CW4*_xlfn.NORM.DIST(O$3,'energy base (MECS)'!$F$11,0.3*'energy base (MECS)'!$F$11,TRUE))</f>
        <v/>
      </c>
      <c r="P4" s="68">
        <f t="array" ref="P4">IF($D4,SUMPRODUCT((economics!$AG$2:$AG$167=$B4)*(economics!$D$2:$D$167="whr")*economics!$AH$2:$AH$167*_xlfn.NORM.DIST(P$3,economics!$AK$2:$AK$167,economics!$AJ$2:$AJ$167,TRUE))+$CR4*_xlfn.NORM.DIST(P$3,$CU4,0.3*$CU4,TRUE)+$CS4*_xlfn.NORM.DIST(P$3,$CV4,0.3*$CV4,TRUE),$CW4*_xlfn.NORM.DIST(P$3,'energy base (MECS)'!$F$11,0.3*'energy base (MECS)'!$F$11,TRUE))</f>
        <v/>
      </c>
      <c r="Q4" s="68">
        <f t="array" ref="Q4">IF($D4,SUMPRODUCT((economics!$AG$2:$AG$167=$B4)*(economics!$D$2:$D$167="whr")*economics!$AH$2:$AH$167*_xlfn.NORM.DIST(Q$3,economics!$AK$2:$AK$167,economics!$AJ$2:$AJ$167,TRUE))+$CR4*_xlfn.NORM.DIST(Q$3,$CU4,0.3*$CU4,TRUE)+$CS4*_xlfn.NORM.DIST(Q$3,$CV4,0.3*$CV4,TRUE),$CW4*_xlfn.NORM.DIST(Q$3,'energy base (MECS)'!$F$11,0.3*'energy base (MECS)'!$F$11,TRUE))</f>
        <v/>
      </c>
      <c r="R4" s="68">
        <f t="array" ref="R4">IF($D4,SUMPRODUCT((economics!$AG$2:$AG$167=$B4)*(economics!$D$2:$D$167="whr")*economics!$AH$2:$AH$167*_xlfn.NORM.DIST(R$3,economics!$AK$2:$AK$167,economics!$AJ$2:$AJ$167,TRUE))+$CR4*_xlfn.NORM.DIST(R$3,$CU4,0.3*$CU4,TRUE)+$CS4*_xlfn.NORM.DIST(R$3,$CV4,0.3*$CV4,TRUE),$CW4*_xlfn.NORM.DIST(R$3,'energy base (MECS)'!$F$11,0.3*'energy base (MECS)'!$F$11,TRUE))</f>
        <v/>
      </c>
      <c r="S4" s="68">
        <f t="array" ref="S4">IF($D4,SUMPRODUCT((economics!$AG$2:$AG$167=$B4)*(economics!$D$2:$D$167="whr")*economics!$AH$2:$AH$167*_xlfn.NORM.DIST(S$3,economics!$AK$2:$AK$167,economics!$AJ$2:$AJ$167,TRUE))+$CR4*_xlfn.NORM.DIST(S$3,$CU4,0.3*$CU4,TRUE)+$CS4*_xlfn.NORM.DIST(S$3,$CV4,0.3*$CV4,TRUE),$CW4*_xlfn.NORM.DIST(S$3,'energy base (MECS)'!$F$11,0.3*'energy base (MECS)'!$F$11,TRUE))</f>
        <v/>
      </c>
      <c r="T4" s="68">
        <f t="array" ref="T4">IF($D4,SUMPRODUCT((economics!$AG$2:$AG$167=$B4)*(economics!$D$2:$D$167="whr")*economics!$AH$2:$AH$167*_xlfn.NORM.DIST(T$3,economics!$AK$2:$AK$167,economics!$AJ$2:$AJ$167,TRUE))+$CR4*_xlfn.NORM.DIST(T$3,$CU4,0.3*$CU4,TRUE)+$CS4*_xlfn.NORM.DIST(T$3,$CV4,0.3*$CV4,TRUE),$CW4*_xlfn.NORM.DIST(T$3,'energy base (MECS)'!$F$11,0.3*'energy base (MECS)'!$F$11,TRUE))</f>
        <v/>
      </c>
      <c r="U4" s="68">
        <f t="array" ref="U4">IF($D4,SUMPRODUCT((economics!$AG$2:$AG$167=$B4)*(economics!$D$2:$D$167="whr")*economics!$AH$2:$AH$167*_xlfn.NORM.DIST(U$3,economics!$AK$2:$AK$167,economics!$AJ$2:$AJ$167,TRUE))+$CR4*_xlfn.NORM.DIST(U$3,$CU4,0.3*$CU4,TRUE)+$CS4*_xlfn.NORM.DIST(U$3,$CV4,0.3*$CV4,TRUE),$CW4*_xlfn.NORM.DIST(U$3,'energy base (MECS)'!$F$11,0.3*'energy base (MECS)'!$F$11,TRUE))</f>
        <v/>
      </c>
      <c r="V4" s="68">
        <f t="array" ref="V4">IF($D4,SUMPRODUCT((economics!$AG$2:$AG$167=$B4)*(economics!$D$2:$D$167="whr")*economics!$AH$2:$AH$167*_xlfn.NORM.DIST(V$3,economics!$AK$2:$AK$167,economics!$AJ$2:$AJ$167,TRUE))+$CR4*_xlfn.NORM.DIST(V$3,$CU4,0.3*$CU4,TRUE)+$CS4*_xlfn.NORM.DIST(V$3,$CV4,0.3*$CV4,TRUE),$CW4*_xlfn.NORM.DIST(V$3,'energy base (MECS)'!$F$11,0.3*'energy base (MECS)'!$F$11,TRUE))</f>
        <v/>
      </c>
      <c r="W4" s="68">
        <f t="array" ref="W4">IF($D4,SUMPRODUCT((economics!$AG$2:$AG$167=$B4)*(economics!$D$2:$D$167="whr")*economics!$AH$2:$AH$167*_xlfn.NORM.DIST(W$3,economics!$AK$2:$AK$167,economics!$AJ$2:$AJ$167,TRUE))+$CR4*_xlfn.NORM.DIST(W$3,$CU4,0.3*$CU4,TRUE)+$CS4*_xlfn.NORM.DIST(W$3,$CV4,0.3*$CV4,TRUE),$CW4*_xlfn.NORM.DIST(W$3,'energy base (MECS)'!$F$11,0.3*'energy base (MECS)'!$F$11,TRUE))</f>
        <v/>
      </c>
      <c r="X4" s="68">
        <f t="array" ref="X4">IF($D4,SUMPRODUCT((economics!$AG$2:$AG$167=$B4)*(economics!$D$2:$D$167="whr")*economics!$AH$2:$AH$167*_xlfn.NORM.DIST(X$3,economics!$AK$2:$AK$167,economics!$AJ$2:$AJ$167,TRUE))+$CR4*_xlfn.NORM.DIST(X$3,$CU4,0.3*$CU4,TRUE)+$CS4*_xlfn.NORM.DIST(X$3,$CV4,0.3*$CV4,TRUE),$CW4*_xlfn.NORM.DIST(X$3,'energy base (MECS)'!$F$11,0.3*'energy base (MECS)'!$F$11,TRUE))</f>
        <v/>
      </c>
      <c r="Y4" s="68">
        <f t="array" ref="Y4">IF($D4,SUMPRODUCT((economics!$AG$2:$AG$167=$B4)*(economics!$D$2:$D$167="whr")*economics!$AH$2:$AH$167*_xlfn.NORM.DIST(Y$3,economics!$AK$2:$AK$167,economics!$AJ$2:$AJ$167,TRUE))+$CR4*_xlfn.NORM.DIST(Y$3,$CU4,0.3*$CU4,TRUE)+$CS4*_xlfn.NORM.DIST(Y$3,$CV4,0.3*$CV4,TRUE),$CW4*_xlfn.NORM.DIST(Y$3,'energy base (MECS)'!$F$11,0.3*'energy base (MECS)'!$F$11,TRUE))</f>
        <v/>
      </c>
      <c r="Z4" s="68">
        <f t="array" ref="Z4">IF($D4,SUMPRODUCT((economics!$AG$2:$AG$167=$B4)*(economics!$D$2:$D$167="whr")*economics!$AH$2:$AH$167*_xlfn.NORM.DIST(Z$3,economics!$AK$2:$AK$167,economics!$AJ$2:$AJ$167,TRUE))+$CR4*_xlfn.NORM.DIST(Z$3,$CU4,0.3*$CU4,TRUE)+$CS4*_xlfn.NORM.DIST(Z$3,$CV4,0.3*$CV4,TRUE),$CW4*_xlfn.NORM.DIST(Z$3,'energy base (MECS)'!$F$11,0.3*'energy base (MECS)'!$F$11,TRUE))</f>
        <v/>
      </c>
      <c r="AA4" s="68">
        <f t="array" ref="AA4">IF($D4,SUMPRODUCT((economics!$AG$2:$AG$167=$B4)*(economics!$D$2:$D$167="whr")*economics!$AH$2:$AH$167*_xlfn.NORM.DIST(AA$3,economics!$AK$2:$AK$167,economics!$AJ$2:$AJ$167,TRUE))+$CR4*_xlfn.NORM.DIST(AA$3,$CU4,0.3*$CU4,TRUE)+$CS4*_xlfn.NORM.DIST(AA$3,$CV4,0.3*$CV4,TRUE),$CW4*_xlfn.NORM.DIST(AA$3,'energy base (MECS)'!$F$11,0.3*'energy base (MECS)'!$F$11,TRUE))</f>
        <v/>
      </c>
      <c r="AB4" s="68">
        <f t="array" ref="AB4">IF($D4,SUMPRODUCT((economics!$AG$2:$AG$167=$B4)*(economics!$D$2:$D$167="whr")*economics!$AH$2:$AH$167*_xlfn.NORM.DIST(AB$3,economics!$AK$2:$AK$167,economics!$AJ$2:$AJ$167,TRUE))+$CR4*_xlfn.NORM.DIST(AB$3,$CU4,0.3*$CU4,TRUE)+$CS4*_xlfn.NORM.DIST(AB$3,$CV4,0.3*$CV4,TRUE),$CW4*_xlfn.NORM.DIST(AB$3,'energy base (MECS)'!$F$11,0.3*'energy base (MECS)'!$F$11,TRUE))</f>
        <v/>
      </c>
      <c r="AC4" s="68">
        <f t="array" ref="AC4">IF($D4,SUMPRODUCT((economics!$AG$2:$AG$167=$B4)*(economics!$D$2:$D$167="whr")*economics!$AH$2:$AH$167*_xlfn.NORM.DIST(AC$3,economics!$AK$2:$AK$167,economics!$AJ$2:$AJ$167,TRUE))+$CR4*_xlfn.NORM.DIST(AC$3,$CU4,0.3*$CU4,TRUE)+$CS4*_xlfn.NORM.DIST(AC$3,$CV4,0.3*$CV4,TRUE),$CW4*_xlfn.NORM.DIST(AC$3,'energy base (MECS)'!$F$11,0.3*'energy base (MECS)'!$F$11,TRUE))</f>
        <v/>
      </c>
      <c r="AD4" s="68">
        <f t="array" ref="AD4">IF($D4,SUMPRODUCT((economics!$AG$2:$AG$167=$B4)*(economics!$D$2:$D$167="whr")*economics!$AH$2:$AH$167*_xlfn.NORM.DIST(AD$3,economics!$AK$2:$AK$167,economics!$AJ$2:$AJ$167,TRUE))+$CR4*_xlfn.NORM.DIST(AD$3,$CU4,0.3*$CU4,TRUE)+$CS4*_xlfn.NORM.DIST(AD$3,$CV4,0.3*$CV4,TRUE),$CW4*_xlfn.NORM.DIST(AD$3,'energy base (MECS)'!$F$11,0.3*'energy base (MECS)'!$F$11,TRUE))</f>
        <v/>
      </c>
      <c r="AE4" s="68">
        <f t="array" ref="AE4">IF($D4,SUMPRODUCT((economics!$AG$2:$AG$167=$B4)*(economics!$D$2:$D$167="whr")*economics!$AH$2:$AH$167*_xlfn.NORM.DIST(AE$3,economics!$AK$2:$AK$167,economics!$AJ$2:$AJ$167,TRUE))+$CR4*_xlfn.NORM.DIST(AE$3,$CU4,0.3*$CU4,TRUE)+$CS4*_xlfn.NORM.DIST(AE$3,$CV4,0.3*$CV4,TRUE),$CW4*_xlfn.NORM.DIST(AE$3,'energy base (MECS)'!$F$11,0.3*'energy base (MECS)'!$F$11,TRUE))</f>
        <v/>
      </c>
      <c r="AF4" s="68">
        <f t="array" ref="AF4">IF($D4,SUMPRODUCT((economics!$AG$2:$AG$167=$B4)*(economics!$D$2:$D$167="whr")*economics!$AH$2:$AH$167*_xlfn.NORM.DIST(AF$3,economics!$AK$2:$AK$167,economics!$AJ$2:$AJ$167,TRUE))+$CR4*_xlfn.NORM.DIST(AF$3,$CU4,0.3*$CU4,TRUE)+$CS4*_xlfn.NORM.DIST(AF$3,$CV4,0.3*$CV4,TRUE),$CW4*_xlfn.NORM.DIST(AF$3,'energy base (MECS)'!$F$11,0.3*'energy base (MECS)'!$F$11,TRUE))</f>
        <v/>
      </c>
      <c r="AG4" s="68">
        <f t="array" ref="AG4">IF($D4,SUMPRODUCT((economics!$AG$2:$AG$167=$B4)*(economics!$D$2:$D$167="whr")*economics!$AH$2:$AH$167*_xlfn.NORM.DIST(AG$3,economics!$AK$2:$AK$167,economics!$AJ$2:$AJ$167,TRUE))+$CR4*_xlfn.NORM.DIST(AG$3,$CU4,0.3*$CU4,TRUE)+$CS4*_xlfn.NORM.DIST(AG$3,$CV4,0.3*$CV4,TRUE),$CW4*_xlfn.NORM.DIST(AG$3,'energy base (MECS)'!$F$11,0.3*'energy base (MECS)'!$F$11,TRUE))</f>
        <v/>
      </c>
      <c r="AH4" s="68">
        <f t="array" ref="AH4">IF($D4,SUMPRODUCT((economics!$AG$2:$AG$167=$B4)*(economics!$D$2:$D$167="whr")*economics!$AH$2:$AH$167*_xlfn.NORM.DIST(AH$3,economics!$AK$2:$AK$167,economics!$AJ$2:$AJ$167,TRUE))+$CR4*_xlfn.NORM.DIST(AH$3,$CU4,0.3*$CU4,TRUE)+$CS4*_xlfn.NORM.DIST(AH$3,$CV4,0.3*$CV4,TRUE),$CW4*_xlfn.NORM.DIST(AH$3,'energy base (MECS)'!$F$11,0.3*'energy base (MECS)'!$F$11,TRUE))</f>
        <v/>
      </c>
      <c r="AI4" s="68">
        <f t="array" ref="AI4">IF($D4,SUMPRODUCT((economics!$AG$2:$AG$167=$B4)*(economics!$D$2:$D$167="whr")*economics!$AH$2:$AH$167*_xlfn.NORM.DIST(AI$3,economics!$AK$2:$AK$167,economics!$AJ$2:$AJ$167,TRUE))+$CR4*_xlfn.NORM.DIST(AI$3,$CU4,0.3*$CU4,TRUE)+$CS4*_xlfn.NORM.DIST(AI$3,$CV4,0.3*$CV4,TRUE),$CW4*_xlfn.NORM.DIST(AI$3,'energy base (MECS)'!$F$11,0.3*'energy base (MECS)'!$F$11,TRUE))</f>
        <v/>
      </c>
      <c r="AJ4" s="68">
        <f t="array" ref="AJ4">IF($D4,SUMPRODUCT((economics!$AG$2:$AG$167=$B4)*(economics!$D$2:$D$167="whr")*economics!$AH$2:$AH$167*_xlfn.NORM.DIST(AJ$3,economics!$AK$2:$AK$167,economics!$AJ$2:$AJ$167,TRUE))+$CR4*_xlfn.NORM.DIST(AJ$3,$CU4,0.3*$CU4,TRUE)+$CS4*_xlfn.NORM.DIST(AJ$3,$CV4,0.3*$CV4,TRUE),$CW4*_xlfn.NORM.DIST(AJ$3,'energy base (MECS)'!$F$11,0.3*'energy base (MECS)'!$F$11,TRUE))</f>
        <v/>
      </c>
      <c r="AK4" s="68">
        <f t="array" ref="AK4">IF($D4,SUMPRODUCT((economics!$AG$2:$AG$167=$B4)*(economics!$D$2:$D$167="whr")*economics!$AH$2:$AH$167*_xlfn.NORM.DIST(AK$3,economics!$AK$2:$AK$167,economics!$AJ$2:$AJ$167,TRUE))+$CR4*_xlfn.NORM.DIST(AK$3,$CU4,0.3*$CU4,TRUE)+$CS4*_xlfn.NORM.DIST(AK$3,$CV4,0.3*$CV4,TRUE),$CW4*_xlfn.NORM.DIST(AK$3,'energy base (MECS)'!$F$11,0.3*'energy base (MECS)'!$F$11,TRUE))</f>
        <v/>
      </c>
      <c r="AL4" s="68">
        <f t="array" ref="AL4">IF($D4,SUMPRODUCT((economics!$AG$2:$AG$167=$B4)*(economics!$D$2:$D$167="whr")*economics!$AH$2:$AH$167*_xlfn.NORM.DIST(AL$3,economics!$AK$2:$AK$167,economics!$AJ$2:$AJ$167,TRUE))+$CR4*_xlfn.NORM.DIST(AL$3,$CU4,0.3*$CU4,TRUE)+$CS4*_xlfn.NORM.DIST(AL$3,$CV4,0.3*$CV4,TRUE),$CW4*_xlfn.NORM.DIST(AL$3,'energy base (MECS)'!$F$11,0.3*'energy base (MECS)'!$F$11,TRUE))</f>
        <v/>
      </c>
      <c r="AM4" s="68">
        <f t="array" ref="AM4">IF($D4,SUMPRODUCT((economics!$AG$2:$AG$167=$B4)*(economics!$D$2:$D$167="whr")*economics!$AH$2:$AH$167*_xlfn.NORM.DIST(AM$3,economics!$AK$2:$AK$167,economics!$AJ$2:$AJ$167,TRUE))+$CR4*_xlfn.NORM.DIST(AM$3,$CU4,0.3*$CU4,TRUE)+$CS4*_xlfn.NORM.DIST(AM$3,$CV4,0.3*$CV4,TRUE),$CW4*_xlfn.NORM.DIST(AM$3,'energy base (MECS)'!$F$11,0.3*'energy base (MECS)'!$F$11,TRUE))</f>
        <v/>
      </c>
      <c r="AN4" s="68">
        <f t="array" ref="AN4">IF($D4,SUMPRODUCT((economics!$AG$2:$AG$167=$B4)*(economics!$D$2:$D$167="whr")*economics!$AH$2:$AH$167*_xlfn.NORM.DIST(AN$3,economics!$AK$2:$AK$167,economics!$AJ$2:$AJ$167,TRUE))+$CR4*_xlfn.NORM.DIST(AN$3,$CU4,0.3*$CU4,TRUE)+$CS4*_xlfn.NORM.DIST(AN$3,$CV4,0.3*$CV4,TRUE),$CW4*_xlfn.NORM.DIST(AN$3,'energy base (MECS)'!$F$11,0.3*'energy base (MECS)'!$F$11,TRUE))</f>
        <v/>
      </c>
      <c r="AO4" s="68">
        <f t="array" ref="AO4">IF($D4,SUMPRODUCT((economics!$AG$2:$AG$167=$B4)*(economics!$D$2:$D$167="whr")*economics!$AH$2:$AH$167*_xlfn.NORM.DIST(AO$3,economics!$AK$2:$AK$167,economics!$AJ$2:$AJ$167,TRUE))+$CR4*_xlfn.NORM.DIST(AO$3,$CU4,0.3*$CU4,TRUE)+$CS4*_xlfn.NORM.DIST(AO$3,$CV4,0.3*$CV4,TRUE),$CW4*_xlfn.NORM.DIST(AO$3,'energy base (MECS)'!$F$11,0.3*'energy base (MECS)'!$F$11,TRUE))</f>
        <v/>
      </c>
      <c r="AP4" s="68">
        <f t="array" ref="AP4">IF($D4,SUMPRODUCT((economics!$AG$2:$AG$167=$B4)*(economics!$D$2:$D$167="whr")*economics!$AH$2:$AH$167*_xlfn.NORM.DIST(AP$3,economics!$AK$2:$AK$167,economics!$AJ$2:$AJ$167,TRUE))+$CR4*_xlfn.NORM.DIST(AP$3,$CU4,0.3*$CU4,TRUE)+$CS4*_xlfn.NORM.DIST(AP$3,$CV4,0.3*$CV4,TRUE),$CW4*_xlfn.NORM.DIST(AP$3,'energy base (MECS)'!$F$11,0.3*'energy base (MECS)'!$F$11,TRUE))</f>
        <v/>
      </c>
      <c r="AQ4" s="68">
        <f t="array" ref="AQ4">IF($D4,SUMPRODUCT((economics!$AG$2:$AG$167=$B4)*(economics!$D$2:$D$167="whr")*economics!$AH$2:$AH$167*_xlfn.NORM.DIST(AQ$3,economics!$AK$2:$AK$167,economics!$AJ$2:$AJ$167,TRUE))+$CR4*_xlfn.NORM.DIST(AQ$3,$CU4,0.3*$CU4,TRUE)+$CS4*_xlfn.NORM.DIST(AQ$3,$CV4,0.3*$CV4,TRUE),$CW4*_xlfn.NORM.DIST(AQ$3,'energy base (MECS)'!$F$11,0.3*'energy base (MECS)'!$F$11,TRUE))</f>
        <v/>
      </c>
      <c r="AR4" s="68">
        <f t="array" ref="AR4">IF($D4,SUMPRODUCT((economics!$AG$2:$AG$167=$B4)*(economics!$D$2:$D$167="whr")*economics!$AH$2:$AH$167*_xlfn.NORM.DIST(AR$3,economics!$AK$2:$AK$167,economics!$AJ$2:$AJ$167,TRUE))+$CR4*_xlfn.NORM.DIST(AR$3,$CU4,0.3*$CU4,TRUE)+$CS4*_xlfn.NORM.DIST(AR$3,$CV4,0.3*$CV4,TRUE),$CW4*_xlfn.NORM.DIST(AR$3,'energy base (MECS)'!$F$11,0.3*'energy base (MECS)'!$F$11,TRUE))</f>
        <v/>
      </c>
      <c r="AS4" s="68">
        <f t="array" ref="AS4">IF($D4,SUMPRODUCT((economics!$AG$2:$AG$167=$B4)*(economics!$D$2:$D$167="whr")*economics!$AH$2:$AH$167*_xlfn.NORM.DIST(AS$3,economics!$AK$2:$AK$167,economics!$AJ$2:$AJ$167,TRUE))+$CR4*_xlfn.NORM.DIST(AS$3,$CU4,0.3*$CU4,TRUE)+$CS4*_xlfn.NORM.DIST(AS$3,$CV4,0.3*$CV4,TRUE),$CW4*_xlfn.NORM.DIST(AS$3,'energy base (MECS)'!$F$11,0.3*'energy base (MECS)'!$F$11,TRUE))</f>
        <v/>
      </c>
      <c r="AT4" s="68">
        <f t="array" ref="AT4">IF($D4,SUMPRODUCT((economics!$AG$2:$AG$167=$B4)*(economics!$D$2:$D$167="whr")*economics!$AH$2:$AH$167*_xlfn.NORM.DIST(AT$3,economics!$AK$2:$AK$167,economics!$AJ$2:$AJ$167,TRUE))+$CR4*_xlfn.NORM.DIST(AT$3,$CU4,0.3*$CU4,TRUE)+$CS4*_xlfn.NORM.DIST(AT$3,$CV4,0.3*$CV4,TRUE),$CW4*_xlfn.NORM.DIST(AT$3,'energy base (MECS)'!$F$11,0.3*'energy base (MECS)'!$F$11,TRUE))</f>
        <v/>
      </c>
      <c r="AU4" s="68">
        <f t="array" ref="AU4">IF($D4,SUMPRODUCT((economics!$AG$2:$AG$167=$B4)*(economics!$D$2:$D$167="whr")*economics!$AH$2:$AH$167*_xlfn.NORM.DIST(AU$3,economics!$AK$2:$AK$167,economics!$AJ$2:$AJ$167,TRUE))+$CR4*_xlfn.NORM.DIST(AU$3,$CU4,0.3*$CU4,TRUE)+$CS4*_xlfn.NORM.DIST(AU$3,$CV4,0.3*$CV4,TRUE),$CW4*_xlfn.NORM.DIST(AU$3,'energy base (MECS)'!$F$11,0.3*'energy base (MECS)'!$F$11,TRUE))</f>
        <v/>
      </c>
      <c r="AV4" s="68">
        <f t="array" ref="AV4">IF($D4,SUMPRODUCT((economics!$AG$2:$AG$167=$B4)*(economics!$D$2:$D$167="whr")*economics!$AH$2:$AH$167*_xlfn.NORM.DIST(AV$3,economics!$AK$2:$AK$167,economics!$AJ$2:$AJ$167,TRUE))+$CR4*_xlfn.NORM.DIST(AV$3,$CU4,0.3*$CU4,TRUE)+$CS4*_xlfn.NORM.DIST(AV$3,$CV4,0.3*$CV4,TRUE),$CW4*_xlfn.NORM.DIST(AV$3,'energy base (MECS)'!$F$11,0.3*'energy base (MECS)'!$F$11,TRUE))</f>
        <v/>
      </c>
      <c r="AW4" s="68">
        <f t="array" ref="AW4">IF($D4,SUMPRODUCT((economics!$AG$2:$AG$167=$B4)*(economics!$D$2:$D$167="whr")*economics!$AH$2:$AH$167*_xlfn.NORM.DIST(AW$3,economics!$AK$2:$AK$167,economics!$AJ$2:$AJ$167,TRUE))+$CR4*_xlfn.NORM.DIST(AW$3,$CU4,0.3*$CU4,TRUE)+$CS4*_xlfn.NORM.DIST(AW$3,$CV4,0.3*$CV4,TRUE),$CW4*_xlfn.NORM.DIST(AW$3,'energy base (MECS)'!$F$11,0.3*'energy base (MECS)'!$F$11,TRUE))</f>
        <v/>
      </c>
      <c r="AX4" s="68">
        <f t="array" ref="AX4">IF($D4,SUMPRODUCT((economics!$AG$2:$AG$167=$B4)*(economics!$D$2:$D$167="whr")*economics!$AH$2:$AH$167*_xlfn.NORM.DIST(AX$3,economics!$AK$2:$AK$167,economics!$AJ$2:$AJ$167,TRUE))+$CR4*_xlfn.NORM.DIST(AX$3,$CU4,0.3*$CU4,TRUE)+$CS4*_xlfn.NORM.DIST(AX$3,$CV4,0.3*$CV4,TRUE),$CW4*_xlfn.NORM.DIST(AX$3,'energy base (MECS)'!$F$11,0.3*'energy base (MECS)'!$F$11,TRUE))</f>
        <v/>
      </c>
      <c r="AY4" s="68">
        <f t="array" ref="AY4">IF($D4,SUMPRODUCT((economics!$AG$2:$AG$167=$B4)*(economics!$D$2:$D$167="whr")*economics!$AH$2:$AH$167*_xlfn.NORM.DIST(AY$3,economics!$AK$2:$AK$167,economics!$AJ$2:$AJ$167,TRUE))+$CR4*_xlfn.NORM.DIST(AY$3,$CU4,0.3*$CU4,TRUE)+$CS4*_xlfn.NORM.DIST(AY$3,$CV4,0.3*$CV4,TRUE),$CW4*_xlfn.NORM.DIST(AY$3,'energy base (MECS)'!$F$11,0.3*'energy base (MECS)'!$F$11,TRUE))</f>
        <v/>
      </c>
      <c r="AZ4" s="68">
        <f t="array" ref="AZ4">IF($D4,SUMPRODUCT((economics!$AG$2:$AG$167=$B4)*(economics!$D$2:$D$167="whr")*economics!$AH$2:$AH$167*_xlfn.NORM.DIST(AZ$3,economics!$AK$2:$AK$167,economics!$AJ$2:$AJ$167,TRUE))+$CR4*_xlfn.NORM.DIST(AZ$3,$CU4,0.3*$CU4,TRUE)+$CS4*_xlfn.NORM.DIST(AZ$3,$CV4,0.3*$CV4,TRUE),$CW4*_xlfn.NORM.DIST(AZ$3,'energy base (MECS)'!$F$11,0.3*'energy base (MECS)'!$F$11,TRUE))</f>
        <v/>
      </c>
      <c r="BA4" s="68">
        <f t="array" ref="BA4">IF($D4,SUMPRODUCT((economics!$AG$2:$AG$167=$B4)*(economics!$D$2:$D$167="whr")*economics!$AH$2:$AH$167*_xlfn.NORM.DIST(BA$3,economics!$AK$2:$AK$167,economics!$AJ$2:$AJ$167,TRUE))+$CR4*_xlfn.NORM.DIST(BA$3,$CU4,0.3*$CU4,TRUE)+$CS4*_xlfn.NORM.DIST(BA$3,$CV4,0.3*$CV4,TRUE),$CW4*_xlfn.NORM.DIST(BA$3,'energy base (MECS)'!$F$11,0.3*'energy base (MECS)'!$F$11,TRUE))</f>
        <v/>
      </c>
      <c r="BB4" s="68">
        <f t="array" ref="BB4">IF($D4,SUMPRODUCT((economics!$AG$2:$AG$167=$B4)*(economics!$D$2:$D$167="whr")*economics!$AH$2:$AH$167*_xlfn.NORM.DIST(BB$3,economics!$AK$2:$AK$167,economics!$AJ$2:$AJ$167,TRUE))+$CR4*_xlfn.NORM.DIST(BB$3,$CU4,0.3*$CU4,TRUE)+$CS4*_xlfn.NORM.DIST(BB$3,$CV4,0.3*$CV4,TRUE),$CW4*_xlfn.NORM.DIST(BB$3,'energy base (MECS)'!$F$11,0.3*'energy base (MECS)'!$F$11,TRUE))</f>
        <v/>
      </c>
      <c r="BC4" s="68">
        <f t="array" ref="BC4">IF($D4,SUMPRODUCT((economics!$AG$2:$AG$167=$B4)*(economics!$D$2:$D$167="whr")*economics!$AH$2:$AH$167*_xlfn.NORM.DIST(BC$3,economics!$AK$2:$AK$167,economics!$AJ$2:$AJ$167,TRUE))+$CR4*_xlfn.NORM.DIST(BC$3,$CU4,0.3*$CU4,TRUE)+$CS4*_xlfn.NORM.DIST(BC$3,$CV4,0.3*$CV4,TRUE),$CW4*_xlfn.NORM.DIST(BC$3,'energy base (MECS)'!$F$11,0.3*'energy base (MECS)'!$F$11,TRUE))</f>
        <v/>
      </c>
      <c r="BD4" s="68">
        <f t="array" ref="BD4">IF($D4,SUMPRODUCT((economics!$AG$2:$AG$167=$B4)*(economics!$D$2:$D$167="whr")*economics!$AH$2:$AH$167*_xlfn.NORM.DIST(BD$3,economics!$AK$2:$AK$167,economics!$AJ$2:$AJ$167,TRUE))+$CR4*_xlfn.NORM.DIST(BD$3,$CU4,0.3*$CU4,TRUE)+$CS4*_xlfn.NORM.DIST(BD$3,$CV4,0.3*$CV4,TRUE),$CW4*_xlfn.NORM.DIST(BD$3,'energy base (MECS)'!$F$11,0.3*'energy base (MECS)'!$F$11,TRUE))</f>
        <v/>
      </c>
      <c r="BE4" s="68">
        <f t="array" ref="BE4">IF($D4,SUMPRODUCT((economics!$AG$2:$AG$167=$B4)*(economics!$D$2:$D$167="whr")*economics!$AH$2:$AH$167*_xlfn.NORM.DIST(BE$3,economics!$AK$2:$AK$167,economics!$AJ$2:$AJ$167,TRUE))+$CR4*_xlfn.NORM.DIST(BE$3,$CU4,0.3*$CU4,TRUE)+$CS4*_xlfn.NORM.DIST(BE$3,$CV4,0.3*$CV4,TRUE),$CW4*_xlfn.NORM.DIST(BE$3,'energy base (MECS)'!$F$11,0.3*'energy base (MECS)'!$F$11,TRUE))</f>
        <v/>
      </c>
      <c r="BF4" s="68">
        <f t="array" ref="BF4">IF($D4,SUMPRODUCT((economics!$AG$2:$AG$167=$B4)*(economics!$D$2:$D$167="whr")*economics!$AH$2:$AH$167*_xlfn.NORM.DIST(BF$3,economics!$AK$2:$AK$167,economics!$AJ$2:$AJ$167,TRUE))+$CR4*_xlfn.NORM.DIST(BF$3,$CU4,0.3*$CU4,TRUE)+$CS4*_xlfn.NORM.DIST(BF$3,$CV4,0.3*$CV4,TRUE),$CW4*_xlfn.NORM.DIST(BF$3,'energy base (MECS)'!$F$11,0.3*'energy base (MECS)'!$F$11,TRUE))</f>
        <v/>
      </c>
      <c r="BG4" s="68">
        <f t="array" ref="BG4">IF($D4,SUMPRODUCT((economics!$AG$2:$AG$167=$B4)*(economics!$D$2:$D$167="whr")*economics!$AH$2:$AH$167*_xlfn.NORM.DIST(BG$3,economics!$AK$2:$AK$167,economics!$AJ$2:$AJ$167,TRUE))+$CR4*_xlfn.NORM.DIST(BG$3,$CU4,0.3*$CU4,TRUE)+$CS4*_xlfn.NORM.DIST(BG$3,$CV4,0.3*$CV4,TRUE),$CW4*_xlfn.NORM.DIST(BG$3,'energy base (MECS)'!$F$11,0.3*'energy base (MECS)'!$F$11,TRUE))</f>
        <v/>
      </c>
      <c r="BH4" s="68">
        <f t="array" ref="BH4">IF($D4,SUMPRODUCT((economics!$AG$2:$AG$167=$B4)*(economics!$D$2:$D$167="whr")*economics!$AH$2:$AH$167*_xlfn.NORM.DIST(BH$3,economics!$AK$2:$AK$167,economics!$AJ$2:$AJ$167,TRUE))+$CR4*_xlfn.NORM.DIST(BH$3,$CU4,0.3*$CU4,TRUE)+$CS4*_xlfn.NORM.DIST(BH$3,$CV4,0.3*$CV4,TRUE),$CW4*_xlfn.NORM.DIST(BH$3,'energy base (MECS)'!$F$11,0.3*'energy base (MECS)'!$F$11,TRUE))</f>
        <v/>
      </c>
      <c r="BI4" s="68">
        <f t="array" ref="BI4">IF($D4,SUMPRODUCT((economics!$AG$2:$AG$167=$B4)*(economics!$D$2:$D$167="whr")*economics!$AH$2:$AH$167*_xlfn.NORM.DIST(BI$3,economics!$AK$2:$AK$167,economics!$AJ$2:$AJ$167,TRUE))+$CR4*_xlfn.NORM.DIST(BI$3,$CU4,0.3*$CU4,TRUE)+$CS4*_xlfn.NORM.DIST(BI$3,$CV4,0.3*$CV4,TRUE),$CW4*_xlfn.NORM.DIST(BI$3,'energy base (MECS)'!$F$11,0.3*'energy base (MECS)'!$F$11,TRUE))</f>
        <v/>
      </c>
      <c r="BJ4" s="68">
        <f t="array" ref="BJ4">IF($D4,SUMPRODUCT((economics!$AG$2:$AG$167=$B4)*(economics!$D$2:$D$167="whr")*economics!$AH$2:$AH$167*_xlfn.NORM.DIST(BJ$3,economics!$AK$2:$AK$167,economics!$AJ$2:$AJ$167,TRUE))+$CR4*_xlfn.NORM.DIST(BJ$3,$CU4,0.3*$CU4,TRUE)+$CS4*_xlfn.NORM.DIST(BJ$3,$CV4,0.3*$CV4,TRUE),$CW4*_xlfn.NORM.DIST(BJ$3,'energy base (MECS)'!$F$11,0.3*'energy base (MECS)'!$F$11,TRUE))</f>
        <v/>
      </c>
      <c r="BK4" s="68">
        <f t="array" ref="BK4">IF($D4,SUMPRODUCT((economics!$AG$2:$AG$167=$B4)*(economics!$D$2:$D$167="whr")*economics!$AH$2:$AH$167*_xlfn.NORM.DIST(BK$3,economics!$AK$2:$AK$167,economics!$AJ$2:$AJ$167,TRUE))+$CR4*_xlfn.NORM.DIST(BK$3,$CU4,0.3*$CU4,TRUE)+$CS4*_xlfn.NORM.DIST(BK$3,$CV4,0.3*$CV4,TRUE),$CW4*_xlfn.NORM.DIST(BK$3,'energy base (MECS)'!$F$11,0.3*'energy base (MECS)'!$F$11,TRUE))</f>
        <v/>
      </c>
      <c r="BL4" s="68">
        <f t="array" ref="BL4">IF($D4,SUMPRODUCT((economics!$AG$2:$AG$167=$B4)*(economics!$D$2:$D$167="whr")*economics!$AH$2:$AH$167*_xlfn.NORM.DIST(BL$3,economics!$AK$2:$AK$167,economics!$AJ$2:$AJ$167,TRUE))+$CR4*_xlfn.NORM.DIST(BL$3,$CU4,0.3*$CU4,TRUE)+$CS4*_xlfn.NORM.DIST(BL$3,$CV4,0.3*$CV4,TRUE),$CW4*_xlfn.NORM.DIST(BL$3,'energy base (MECS)'!$F$11,0.3*'energy base (MECS)'!$F$11,TRUE))</f>
        <v/>
      </c>
      <c r="BM4" s="68">
        <f t="array" ref="BM4">IF($D4,SUMPRODUCT((economics!$AG$2:$AG$167=$B4)*(economics!$D$2:$D$167="whr")*economics!$AH$2:$AH$167*_xlfn.NORM.DIST(BM$3,economics!$AK$2:$AK$167,economics!$AJ$2:$AJ$167,TRUE))+$CR4*_xlfn.NORM.DIST(BM$3,$CU4,0.3*$CU4,TRUE)+$CS4*_xlfn.NORM.DIST(BM$3,$CV4,0.3*$CV4,TRUE),$CW4*_xlfn.NORM.DIST(BM$3,'energy base (MECS)'!$F$11,0.3*'energy base (MECS)'!$F$11,TRUE))</f>
        <v/>
      </c>
      <c r="BN4" s="68">
        <f t="array" ref="BN4">IF($D4,SUMPRODUCT((economics!$AG$2:$AG$167=$B4)*(economics!$D$2:$D$167="whr")*economics!$AH$2:$AH$167*_xlfn.NORM.DIST(BN$3,economics!$AK$2:$AK$167,economics!$AJ$2:$AJ$167,TRUE))+$CR4*_xlfn.NORM.DIST(BN$3,$CU4,0.3*$CU4,TRUE)+$CS4*_xlfn.NORM.DIST(BN$3,$CV4,0.3*$CV4,TRUE),$CW4*_xlfn.NORM.DIST(BN$3,'energy base (MECS)'!$F$11,0.3*'energy base (MECS)'!$F$11,TRUE))</f>
        <v/>
      </c>
      <c r="BO4" s="68">
        <f t="array" ref="BO4">IF($D4,SUMPRODUCT((economics!$AG$2:$AG$167=$B4)*(economics!$D$2:$D$167="whr")*economics!$AH$2:$AH$167*_xlfn.NORM.DIST(BO$3,economics!$AK$2:$AK$167,economics!$AJ$2:$AJ$167,TRUE))+$CR4*_xlfn.NORM.DIST(BO$3,$CU4,0.3*$CU4,TRUE)+$CS4*_xlfn.NORM.DIST(BO$3,$CV4,0.3*$CV4,TRUE),$CW4*_xlfn.NORM.DIST(BO$3,'energy base (MECS)'!$F$11,0.3*'energy base (MECS)'!$F$11,TRUE))</f>
        <v/>
      </c>
      <c r="BP4" s="68">
        <f t="array" ref="BP4">IF($D4,SUMPRODUCT((economics!$AG$2:$AG$167=$B4)*(economics!$D$2:$D$167="whr")*economics!$AH$2:$AH$167*_xlfn.NORM.DIST(BP$3,economics!$AK$2:$AK$167,economics!$AJ$2:$AJ$167,TRUE))+$CR4*_xlfn.NORM.DIST(BP$3,$CU4,0.3*$CU4,TRUE)+$CS4*_xlfn.NORM.DIST(BP$3,$CV4,0.3*$CV4,TRUE),$CW4*_xlfn.NORM.DIST(BP$3,'energy base (MECS)'!$F$11,0.3*'energy base (MECS)'!$F$11,TRUE))</f>
        <v/>
      </c>
      <c r="BQ4" s="68">
        <f t="array" ref="BQ4">IF($D4,SUMPRODUCT((economics!$AG$2:$AG$167=$B4)*(economics!$D$2:$D$167="whr")*economics!$AH$2:$AH$167*_xlfn.NORM.DIST(BQ$3,economics!$AK$2:$AK$167,economics!$AJ$2:$AJ$167,TRUE))+$CR4*_xlfn.NORM.DIST(BQ$3,$CU4,0.3*$CU4,TRUE)+$CS4*_xlfn.NORM.DIST(BQ$3,$CV4,0.3*$CV4,TRUE),$CW4*_xlfn.NORM.DIST(BQ$3,'energy base (MECS)'!$F$11,0.3*'energy base (MECS)'!$F$11,TRUE))</f>
        <v/>
      </c>
      <c r="BR4" s="68">
        <f t="array" ref="BR4">IF($D4,SUMPRODUCT((economics!$AG$2:$AG$167=$B4)*(economics!$D$2:$D$167="whr")*economics!$AH$2:$AH$167*_xlfn.NORM.DIST(BR$3,economics!$AK$2:$AK$167,economics!$AJ$2:$AJ$167,TRUE))+$CR4*_xlfn.NORM.DIST(BR$3,$CU4,0.3*$CU4,TRUE)+$CS4*_xlfn.NORM.DIST(BR$3,$CV4,0.3*$CV4,TRUE),$CW4*_xlfn.NORM.DIST(BR$3,'energy base (MECS)'!$F$11,0.3*'energy base (MECS)'!$F$11,TRUE))</f>
        <v/>
      </c>
      <c r="BS4" s="68">
        <f t="array" ref="BS4">IF($D4,SUMPRODUCT((economics!$AG$2:$AG$167=$B4)*(economics!$D$2:$D$167="whr")*economics!$AH$2:$AH$167*_xlfn.NORM.DIST(BS$3,economics!$AK$2:$AK$167,economics!$AJ$2:$AJ$167,TRUE))+$CR4*_xlfn.NORM.DIST(BS$3,$CU4,0.3*$CU4,TRUE)+$CS4*_xlfn.NORM.DIST(BS$3,$CV4,0.3*$CV4,TRUE),$CW4*_xlfn.NORM.DIST(BS$3,'energy base (MECS)'!$F$11,0.3*'energy base (MECS)'!$F$11,TRUE))</f>
        <v/>
      </c>
      <c r="BT4" s="68">
        <f t="array" ref="BT4">IF($D4,SUMPRODUCT((economics!$AG$2:$AG$167=$B4)*(economics!$D$2:$D$167="whr")*economics!$AH$2:$AH$167*_xlfn.NORM.DIST(BT$3,economics!$AK$2:$AK$167,economics!$AJ$2:$AJ$167,TRUE))+$CR4*_xlfn.NORM.DIST(BT$3,$CU4,0.3*$CU4,TRUE)+$CS4*_xlfn.NORM.DIST(BT$3,$CV4,0.3*$CV4,TRUE),$CW4*_xlfn.NORM.DIST(BT$3,'energy base (MECS)'!$F$11,0.3*'energy base (MECS)'!$F$11,TRUE))</f>
        <v/>
      </c>
      <c r="BU4" s="68">
        <f t="array" ref="BU4">IF($D4,SUMPRODUCT((economics!$AG$2:$AG$167=$B4)*(economics!$D$2:$D$167="whr")*economics!$AH$2:$AH$167*_xlfn.NORM.DIST(BU$3,economics!$AK$2:$AK$167,economics!$AJ$2:$AJ$167,TRUE))+$CR4*_xlfn.NORM.DIST(BU$3,$CU4,0.3*$CU4,TRUE)+$CS4*_xlfn.NORM.DIST(BU$3,$CV4,0.3*$CV4,TRUE),$CW4*_xlfn.NORM.DIST(BU$3,'energy base (MECS)'!$F$11,0.3*'energy base (MECS)'!$F$11,TRUE))</f>
        <v/>
      </c>
      <c r="BV4" s="68">
        <f t="array" ref="BV4">IF($D4,SUMPRODUCT((economics!$AG$2:$AG$167=$B4)*(economics!$D$2:$D$167="whr")*economics!$AH$2:$AH$167*_xlfn.NORM.DIST(BV$3,economics!$AK$2:$AK$167,economics!$AJ$2:$AJ$167,TRUE))+$CR4*_xlfn.NORM.DIST(BV$3,$CU4,0.3*$CU4,TRUE)+$CS4*_xlfn.NORM.DIST(BV$3,$CV4,0.3*$CV4,TRUE),$CW4*_xlfn.NORM.DIST(BV$3,'energy base (MECS)'!$F$11,0.3*'energy base (MECS)'!$F$11,TRUE))</f>
        <v/>
      </c>
      <c r="BW4" s="68">
        <f t="array" ref="BW4">IF($D4,SUMPRODUCT((economics!$AG$2:$AG$167=$B4)*(economics!$D$2:$D$167="whr")*economics!$AH$2:$AH$167*_xlfn.NORM.DIST(BW$3,economics!$AK$2:$AK$167,economics!$AJ$2:$AJ$167,TRUE))+$CR4*_xlfn.NORM.DIST(BW$3,$CU4,0.3*$CU4,TRUE)+$CS4*_xlfn.NORM.DIST(BW$3,$CV4,0.3*$CV4,TRUE),$CW4*_xlfn.NORM.DIST(BW$3,'energy base (MECS)'!$F$11,0.3*'energy base (MECS)'!$F$11,TRUE))</f>
        <v/>
      </c>
      <c r="BX4" s="68">
        <f t="array" ref="BX4">IF($D4,SUMPRODUCT((economics!$AG$2:$AG$167=$B4)*(economics!$D$2:$D$167="whr")*economics!$AH$2:$AH$167*_xlfn.NORM.DIST(BX$3,economics!$AK$2:$AK$167,economics!$AJ$2:$AJ$167,TRUE))+$CR4*_xlfn.NORM.DIST(BX$3,$CU4,0.3*$CU4,TRUE)+$CS4*_xlfn.NORM.DIST(BX$3,$CV4,0.3*$CV4,TRUE),$CW4*_xlfn.NORM.DIST(BX$3,'energy base (MECS)'!$F$11,0.3*'energy base (MECS)'!$F$11,TRUE))</f>
        <v/>
      </c>
      <c r="BY4" s="68">
        <f t="array" ref="BY4">IF($D4,SUMPRODUCT((economics!$AG$2:$AG$167=$B4)*(economics!$D$2:$D$167="whr")*economics!$AH$2:$AH$167*_xlfn.NORM.DIST(BY$3,economics!$AK$2:$AK$167,economics!$AJ$2:$AJ$167,TRUE))+$CR4*_xlfn.NORM.DIST(BY$3,$CU4,0.3*$CU4,TRUE)+$CS4*_xlfn.NORM.DIST(BY$3,$CV4,0.3*$CV4,TRUE),$CW4*_xlfn.NORM.DIST(BY$3,'energy base (MECS)'!$F$11,0.3*'energy base (MECS)'!$F$11,TRUE))</f>
        <v/>
      </c>
      <c r="BZ4" s="68">
        <f t="array" ref="BZ4">IF($D4,SUMPRODUCT((economics!$AG$2:$AG$167=$B4)*(economics!$D$2:$D$167="whr")*economics!$AH$2:$AH$167*_xlfn.NORM.DIST(BZ$3,economics!$AK$2:$AK$167,economics!$AJ$2:$AJ$167,TRUE))+$CR4*_xlfn.NORM.DIST(BZ$3,$CU4,0.3*$CU4,TRUE)+$CS4*_xlfn.NORM.DIST(BZ$3,$CV4,0.3*$CV4,TRUE),$CW4*_xlfn.NORM.DIST(BZ$3,'energy base (MECS)'!$F$11,0.3*'energy base (MECS)'!$F$11,TRUE))</f>
        <v/>
      </c>
      <c r="CA4" s="68">
        <f t="array" ref="CA4">IF($D4,SUMPRODUCT((economics!$AG$2:$AG$167=$B4)*(economics!$D$2:$D$167="whr")*economics!$AH$2:$AH$167*_xlfn.NORM.DIST(CA$3,economics!$AK$2:$AK$167,economics!$AJ$2:$AJ$167,TRUE))+$CR4*_xlfn.NORM.DIST(CA$3,$CU4,0.3*$CU4,TRUE)+$CS4*_xlfn.NORM.DIST(CA$3,$CV4,0.3*$CV4,TRUE),$CW4*_xlfn.NORM.DIST(CA$3,'energy base (MECS)'!$F$11,0.3*'energy base (MECS)'!$F$11,TRUE))</f>
        <v/>
      </c>
      <c r="CB4" s="68">
        <f t="array" ref="CB4">IF($D4,SUMPRODUCT((economics!$AG$2:$AG$167=$B4)*(economics!$D$2:$D$167="whr")*economics!$AH$2:$AH$167*_xlfn.NORM.DIST(CB$3,economics!$AK$2:$AK$167,economics!$AJ$2:$AJ$167,TRUE))+$CR4*_xlfn.NORM.DIST(CB$3,$CU4,0.3*$CU4,TRUE)+$CS4*_xlfn.NORM.DIST(CB$3,$CV4,0.3*$CV4,TRUE),$CW4*_xlfn.NORM.DIST(CB$3,'energy base (MECS)'!$F$11,0.3*'energy base (MECS)'!$F$11,TRUE))</f>
        <v/>
      </c>
      <c r="CC4" s="68">
        <f t="array" ref="CC4">IF($D4,SUMPRODUCT((economics!$AG$2:$AG$167=$B4)*(economics!$D$2:$D$167="whr")*economics!$AH$2:$AH$167*_xlfn.NORM.DIST(CC$3,economics!$AK$2:$AK$167,economics!$AJ$2:$AJ$167,TRUE))+$CR4*_xlfn.NORM.DIST(CC$3,$CU4,0.3*$CU4,TRUE)+$CS4*_xlfn.NORM.DIST(CC$3,$CV4,0.3*$CV4,TRUE),$CW4*_xlfn.NORM.DIST(CC$3,'energy base (MECS)'!$F$11,0.3*'energy base (MECS)'!$F$11,TRUE))</f>
        <v/>
      </c>
      <c r="CD4" s="68">
        <f t="array" ref="CD4">IF($D4,SUMPRODUCT((economics!$AG$2:$AG$167=$B4)*(economics!$D$2:$D$167="whr")*economics!$AH$2:$AH$167*_xlfn.NORM.DIST(CD$3,economics!$AK$2:$AK$167,economics!$AJ$2:$AJ$167,TRUE))+$CR4*_xlfn.NORM.DIST(CD$3,$CU4,0.3*$CU4,TRUE)+$CS4*_xlfn.NORM.DIST(CD$3,$CV4,0.3*$CV4,TRUE),$CW4*_xlfn.NORM.DIST(CD$3,'energy base (MECS)'!$F$11,0.3*'energy base (MECS)'!$F$11,TRUE))</f>
        <v/>
      </c>
      <c r="CE4" s="68">
        <f t="array" ref="CE4">IF($D4,SUMPRODUCT((economics!$AG$2:$AG$167=$B4)*(economics!$D$2:$D$167="whr")*economics!$AH$2:$AH$167*_xlfn.NORM.DIST(CE$3,economics!$AK$2:$AK$167,economics!$AJ$2:$AJ$167,TRUE))+$CR4*_xlfn.NORM.DIST(CE$3,$CU4,0.3*$CU4,TRUE)+$CS4*_xlfn.NORM.DIST(CE$3,$CV4,0.3*$CV4,TRUE),$CW4*_xlfn.NORM.DIST(CE$3,'energy base (MECS)'!$F$11,0.3*'energy base (MECS)'!$F$11,TRUE))</f>
        <v/>
      </c>
      <c r="CF4" s="68">
        <f t="array" ref="CF4">IF($D4,SUMPRODUCT((economics!$AG$2:$AG$167=$B4)*(economics!$D$2:$D$167="whr")*economics!$AH$2:$AH$167*_xlfn.NORM.DIST(CF$3,economics!$AK$2:$AK$167,economics!$AJ$2:$AJ$167,TRUE))+$CR4*_xlfn.NORM.DIST(CF$3,$CU4,0.3*$CU4,TRUE)+$CS4*_xlfn.NORM.DIST(CF$3,$CV4,0.3*$CV4,TRUE),$CW4*_xlfn.NORM.DIST(CF$3,'energy base (MECS)'!$F$11,0.3*'energy base (MECS)'!$F$11,TRUE))</f>
        <v/>
      </c>
      <c r="CG4" s="68">
        <f t="array" ref="CG4">IF($D4,SUMPRODUCT((economics!$AG$2:$AG$167=$B4)*(economics!$D$2:$D$167="whr")*economics!$AH$2:$AH$167*_xlfn.NORM.DIST(CG$3,economics!$AK$2:$AK$167,economics!$AJ$2:$AJ$167,TRUE))+$CR4*_xlfn.NORM.DIST(CG$3,$CU4,0.3*$CU4,TRUE)+$CS4*_xlfn.NORM.DIST(CG$3,$CV4,0.3*$CV4,TRUE),$CW4*_xlfn.NORM.DIST(CG$3,'energy base (MECS)'!$F$11,0.3*'energy base (MECS)'!$F$11,TRUE))</f>
        <v/>
      </c>
      <c r="CH4" s="68">
        <f t="array" ref="CH4">IF($D4,SUMPRODUCT((economics!$AG$2:$AG$167=$B4)*(economics!$D$2:$D$167="whr")*economics!$AH$2:$AH$167*_xlfn.NORM.DIST(CH$3,economics!$AK$2:$AK$167,economics!$AJ$2:$AJ$167,TRUE))+$CR4*_xlfn.NORM.DIST(CH$3,$CU4,0.3*$CU4,TRUE)+$CS4*_xlfn.NORM.DIST(CH$3,$CV4,0.3*$CV4,TRUE),$CW4*_xlfn.NORM.DIST(CH$3,'energy base (MECS)'!$F$11,0.3*'energy base (MECS)'!$F$11,TRUE))</f>
        <v/>
      </c>
      <c r="CJ4">
        <f t="array" ref="CJ4">SUMPRODUCT((economics!$AG$2:$AG$167=$B4)*(economics!$D$2:$D$167="whr")*economics!$AH$2:$AH$167)</f>
        <v/>
      </c>
      <c r="CK4" s="80">
        <f>'indst heat consumption'!D4</f>
        <v/>
      </c>
      <c r="CL4" s="80">
        <f>'indst heat consumption'!E4</f>
        <v/>
      </c>
      <c r="CM4" s="80">
        <f>'indst heat consumption'!F4</f>
        <v/>
      </c>
      <c r="CN4" s="80">
        <f>'indst heat consumption'!G4</f>
        <v/>
      </c>
      <c r="CO4" s="80">
        <f>'indst heat consumption'!H4</f>
        <v/>
      </c>
      <c r="CP4">
        <f>$C4*(CK4*summary!$B$94+CL4*summary!$C$94+CM4*summary!$D$94)</f>
        <v/>
      </c>
      <c r="CQ4">
        <f>$C4*(CN4*summary!$E$94+CO4*summary!$F$94)</f>
        <v/>
      </c>
      <c r="CR4">
        <f>IF(CP4+CQ4&gt;0,CP4*MAX(0,CP4+CQ4-CJ4)/(CP4+CQ4),0)</f>
        <v/>
      </c>
      <c r="CS4">
        <f>IF(CP4+CQ4&gt;0,CQ4*MAX(0,CP4+CQ4-CJ4)/(CP4+CQ4),0)</f>
        <v/>
      </c>
      <c r="CT4">
        <f>IFERROR(_xlfn.XLOOKUP($B4,'BCoISC-WACCbI'!$C$2:$C$26,'BCoISC-WACCbI'!$B$2:$B$26)+economics!$AE$4,0.1)</f>
        <v/>
      </c>
      <c r="CU4">
        <f>(summary!$C$7*(CT4/(1-(1+CT4)^-summary!$D$7))+summary!$C$7*summary!$E$7)/(summary!$F$7*3412/1000000)</f>
        <v/>
      </c>
      <c r="CV4">
        <f>(summary!$C$6*(CT4/(1-(1+CT4)^-summary!$D$6))+summary!$C$6*summary!$E$6)/(summary!$F$6*3412/1000000)</f>
        <v/>
      </c>
      <c r="CW4">
        <f>CR4+CS4</f>
        <v/>
      </c>
    </row>
    <row r="5">
      <c r="A5">
        <f>WHRPbI!A3</f>
        <v/>
      </c>
      <c r="B5" t="n">
        <v>5</v>
      </c>
      <c r="C5" s="68">
        <f>WHRPbI!B3</f>
        <v/>
      </c>
      <c r="D5">
        <f>ISNUMBER(MATCH($B5,'energy base (MECS)'!$K$4:$K$9,0))</f>
        <v/>
      </c>
      <c r="E5" s="68">
        <f t="array" ref="E5">IF($D5,SUMPRODUCT((economics!$AG$2:$AG$167=$B5)*(economics!$D$2:$D$167="whr")*economics!$AH$2:$AH$167*_xlfn.NORM.DIST(E$3,economics!$AK$2:$AK$167,economics!$AJ$2:$AJ$167,TRUE))+$CR5*_xlfn.NORM.DIST(E$3,$CU5,0.3*$CU5,TRUE)+$CS5*_xlfn.NORM.DIST(E$3,$CV5,0.3*$CV5,TRUE),$CW5*_xlfn.NORM.DIST(E$3,'energy base (MECS)'!$F$11,0.3*'energy base (MECS)'!$F$11,TRUE))</f>
        <v/>
      </c>
      <c r="F5" s="68">
        <f t="array" ref="F5">IF($D5,SUMPRODUCT((economics!$AG$2:$AG$167=$B5)*(economics!$D$2:$D$167="whr")*economics!$AH$2:$AH$167*_xlfn.NORM.DIST(F$3,economics!$AK$2:$AK$167,economics!$AJ$2:$AJ$167,TRUE))+$CR5*_xlfn.NORM.DIST(F$3,$CU5,0.3*$CU5,TRUE)+$CS5*_xlfn.NORM.DIST(F$3,$CV5,0.3*$CV5,TRUE),$CW5*_xlfn.NORM.DIST(F$3,'energy base (MECS)'!$F$11,0.3*'energy base (MECS)'!$F$11,TRUE))</f>
        <v/>
      </c>
      <c r="G5" s="68">
        <f t="array" ref="G5">IF($D5,SUMPRODUCT((economics!$AG$2:$AG$167=$B5)*(economics!$D$2:$D$167="whr")*economics!$AH$2:$AH$167*_xlfn.NORM.DIST(G$3,economics!$AK$2:$AK$167,economics!$AJ$2:$AJ$167,TRUE))+$CR5*_xlfn.NORM.DIST(G$3,$CU5,0.3*$CU5,TRUE)+$CS5*_xlfn.NORM.DIST(G$3,$CV5,0.3*$CV5,TRUE),$CW5*_xlfn.NORM.DIST(G$3,'energy base (MECS)'!$F$11,0.3*'energy base (MECS)'!$F$11,TRUE))</f>
        <v/>
      </c>
      <c r="H5" s="68">
        <f t="array" ref="H5">IF($D5,SUMPRODUCT((economics!$AG$2:$AG$167=$B5)*(economics!$D$2:$D$167="whr")*economics!$AH$2:$AH$167*_xlfn.NORM.DIST(H$3,economics!$AK$2:$AK$167,economics!$AJ$2:$AJ$167,TRUE))+$CR5*_xlfn.NORM.DIST(H$3,$CU5,0.3*$CU5,TRUE)+$CS5*_xlfn.NORM.DIST(H$3,$CV5,0.3*$CV5,TRUE),$CW5*_xlfn.NORM.DIST(H$3,'energy base (MECS)'!$F$11,0.3*'energy base (MECS)'!$F$11,TRUE))</f>
        <v/>
      </c>
      <c r="I5" s="68">
        <f t="array" ref="I5">IF($D5,SUMPRODUCT((economics!$AG$2:$AG$167=$B5)*(economics!$D$2:$D$167="whr")*economics!$AH$2:$AH$167*_xlfn.NORM.DIST(I$3,economics!$AK$2:$AK$167,economics!$AJ$2:$AJ$167,TRUE))+$CR5*_xlfn.NORM.DIST(I$3,$CU5,0.3*$CU5,TRUE)+$CS5*_xlfn.NORM.DIST(I$3,$CV5,0.3*$CV5,TRUE),$CW5*_xlfn.NORM.DIST(I$3,'energy base (MECS)'!$F$11,0.3*'energy base (MECS)'!$F$11,TRUE))</f>
        <v/>
      </c>
      <c r="J5" s="68">
        <f t="array" ref="J5">IF($D5,SUMPRODUCT((economics!$AG$2:$AG$167=$B5)*(economics!$D$2:$D$167="whr")*economics!$AH$2:$AH$167*_xlfn.NORM.DIST(J$3,economics!$AK$2:$AK$167,economics!$AJ$2:$AJ$167,TRUE))+$CR5*_xlfn.NORM.DIST(J$3,$CU5,0.3*$CU5,TRUE)+$CS5*_xlfn.NORM.DIST(J$3,$CV5,0.3*$CV5,TRUE),$CW5*_xlfn.NORM.DIST(J$3,'energy base (MECS)'!$F$11,0.3*'energy base (MECS)'!$F$11,TRUE))</f>
        <v/>
      </c>
      <c r="K5" s="68">
        <f t="array" ref="K5">IF($D5,SUMPRODUCT((economics!$AG$2:$AG$167=$B5)*(economics!$D$2:$D$167="whr")*economics!$AH$2:$AH$167*_xlfn.NORM.DIST(K$3,economics!$AK$2:$AK$167,economics!$AJ$2:$AJ$167,TRUE))+$CR5*_xlfn.NORM.DIST(K$3,$CU5,0.3*$CU5,TRUE)+$CS5*_xlfn.NORM.DIST(K$3,$CV5,0.3*$CV5,TRUE),$CW5*_xlfn.NORM.DIST(K$3,'energy base (MECS)'!$F$11,0.3*'energy base (MECS)'!$F$11,TRUE))</f>
        <v/>
      </c>
      <c r="L5" s="68">
        <f t="array" ref="L5">IF($D5,SUMPRODUCT((economics!$AG$2:$AG$167=$B5)*(economics!$D$2:$D$167="whr")*economics!$AH$2:$AH$167*_xlfn.NORM.DIST(L$3,economics!$AK$2:$AK$167,economics!$AJ$2:$AJ$167,TRUE))+$CR5*_xlfn.NORM.DIST(L$3,$CU5,0.3*$CU5,TRUE)+$CS5*_xlfn.NORM.DIST(L$3,$CV5,0.3*$CV5,TRUE),$CW5*_xlfn.NORM.DIST(L$3,'energy base (MECS)'!$F$11,0.3*'energy base (MECS)'!$F$11,TRUE))</f>
        <v/>
      </c>
      <c r="M5" s="68">
        <f t="array" ref="M5">IF($D5,SUMPRODUCT((economics!$AG$2:$AG$167=$B5)*(economics!$D$2:$D$167="whr")*economics!$AH$2:$AH$167*_xlfn.NORM.DIST(M$3,economics!$AK$2:$AK$167,economics!$AJ$2:$AJ$167,TRUE))+$CR5*_xlfn.NORM.DIST(M$3,$CU5,0.3*$CU5,TRUE)+$CS5*_xlfn.NORM.DIST(M$3,$CV5,0.3*$CV5,TRUE),$CW5*_xlfn.NORM.DIST(M$3,'energy base (MECS)'!$F$11,0.3*'energy base (MECS)'!$F$11,TRUE))</f>
        <v/>
      </c>
      <c r="N5" s="68">
        <f t="array" ref="N5">IF($D5,SUMPRODUCT((economics!$AG$2:$AG$167=$B5)*(economics!$D$2:$D$167="whr")*economics!$AH$2:$AH$167*_xlfn.NORM.DIST(N$3,economics!$AK$2:$AK$167,economics!$AJ$2:$AJ$167,TRUE))+$CR5*_xlfn.NORM.DIST(N$3,$CU5,0.3*$CU5,TRUE)+$CS5*_xlfn.NORM.DIST(N$3,$CV5,0.3*$CV5,TRUE),$CW5*_xlfn.NORM.DIST(N$3,'energy base (MECS)'!$F$11,0.3*'energy base (MECS)'!$F$11,TRUE))</f>
        <v/>
      </c>
      <c r="O5" s="68">
        <f t="array" ref="O5">IF($D5,SUMPRODUCT((economics!$AG$2:$AG$167=$B5)*(economics!$D$2:$D$167="whr")*economics!$AH$2:$AH$167*_xlfn.NORM.DIST(O$3,economics!$AK$2:$AK$167,economics!$AJ$2:$AJ$167,TRUE))+$CR5*_xlfn.NORM.DIST(O$3,$CU5,0.3*$CU5,TRUE)+$CS5*_xlfn.NORM.DIST(O$3,$CV5,0.3*$CV5,TRUE),$CW5*_xlfn.NORM.DIST(O$3,'energy base (MECS)'!$F$11,0.3*'energy base (MECS)'!$F$11,TRUE))</f>
        <v/>
      </c>
      <c r="P5" s="68">
        <f t="array" ref="P5">IF($D5,SUMPRODUCT((economics!$AG$2:$AG$167=$B5)*(economics!$D$2:$D$167="whr")*economics!$AH$2:$AH$167*_xlfn.NORM.DIST(P$3,economics!$AK$2:$AK$167,economics!$AJ$2:$AJ$167,TRUE))+$CR5*_xlfn.NORM.DIST(P$3,$CU5,0.3*$CU5,TRUE)+$CS5*_xlfn.NORM.DIST(P$3,$CV5,0.3*$CV5,TRUE),$CW5*_xlfn.NORM.DIST(P$3,'energy base (MECS)'!$F$11,0.3*'energy base (MECS)'!$F$11,TRUE))</f>
        <v/>
      </c>
      <c r="Q5" s="68">
        <f t="array" ref="Q5">IF($D5,SUMPRODUCT((economics!$AG$2:$AG$167=$B5)*(economics!$D$2:$D$167="whr")*economics!$AH$2:$AH$167*_xlfn.NORM.DIST(Q$3,economics!$AK$2:$AK$167,economics!$AJ$2:$AJ$167,TRUE))+$CR5*_xlfn.NORM.DIST(Q$3,$CU5,0.3*$CU5,TRUE)+$CS5*_xlfn.NORM.DIST(Q$3,$CV5,0.3*$CV5,TRUE),$CW5*_xlfn.NORM.DIST(Q$3,'energy base (MECS)'!$F$11,0.3*'energy base (MECS)'!$F$11,TRUE))</f>
        <v/>
      </c>
      <c r="R5" s="68">
        <f t="array" ref="R5">IF($D5,SUMPRODUCT((economics!$AG$2:$AG$167=$B5)*(economics!$D$2:$D$167="whr")*economics!$AH$2:$AH$167*_xlfn.NORM.DIST(R$3,economics!$AK$2:$AK$167,economics!$AJ$2:$AJ$167,TRUE))+$CR5*_xlfn.NORM.DIST(R$3,$CU5,0.3*$CU5,TRUE)+$CS5*_xlfn.NORM.DIST(R$3,$CV5,0.3*$CV5,TRUE),$CW5*_xlfn.NORM.DIST(R$3,'energy base (MECS)'!$F$11,0.3*'energy base (MECS)'!$F$11,TRUE))</f>
        <v/>
      </c>
      <c r="S5" s="68">
        <f t="array" ref="S5">IF($D5,SUMPRODUCT((economics!$AG$2:$AG$167=$B5)*(economics!$D$2:$D$167="whr")*economics!$AH$2:$AH$167*_xlfn.NORM.DIST(S$3,economics!$AK$2:$AK$167,economics!$AJ$2:$AJ$167,TRUE))+$CR5*_xlfn.NORM.DIST(S$3,$CU5,0.3*$CU5,TRUE)+$CS5*_xlfn.NORM.DIST(S$3,$CV5,0.3*$CV5,TRUE),$CW5*_xlfn.NORM.DIST(S$3,'energy base (MECS)'!$F$11,0.3*'energy base (MECS)'!$F$11,TRUE))</f>
        <v/>
      </c>
      <c r="T5" s="68">
        <f t="array" ref="T5">IF($D5,SUMPRODUCT((economics!$AG$2:$AG$167=$B5)*(economics!$D$2:$D$167="whr")*economics!$AH$2:$AH$167*_xlfn.NORM.DIST(T$3,economics!$AK$2:$AK$167,economics!$AJ$2:$AJ$167,TRUE))+$CR5*_xlfn.NORM.DIST(T$3,$CU5,0.3*$CU5,TRUE)+$CS5*_xlfn.NORM.DIST(T$3,$CV5,0.3*$CV5,TRUE),$CW5*_xlfn.NORM.DIST(T$3,'energy base (MECS)'!$F$11,0.3*'energy base (MECS)'!$F$11,TRUE))</f>
        <v/>
      </c>
      <c r="U5" s="68">
        <f t="array" ref="U5">IF($D5,SUMPRODUCT((economics!$AG$2:$AG$167=$B5)*(economics!$D$2:$D$167="whr")*economics!$AH$2:$AH$167*_xlfn.NORM.DIST(U$3,economics!$AK$2:$AK$167,economics!$AJ$2:$AJ$167,TRUE))+$CR5*_xlfn.NORM.DIST(U$3,$CU5,0.3*$CU5,TRUE)+$CS5*_xlfn.NORM.DIST(U$3,$CV5,0.3*$CV5,TRUE),$CW5*_xlfn.NORM.DIST(U$3,'energy base (MECS)'!$F$11,0.3*'energy base (MECS)'!$F$11,TRUE))</f>
        <v/>
      </c>
      <c r="V5" s="68">
        <f t="array" ref="V5">IF($D5,SUMPRODUCT((economics!$AG$2:$AG$167=$B5)*(economics!$D$2:$D$167="whr")*economics!$AH$2:$AH$167*_xlfn.NORM.DIST(V$3,economics!$AK$2:$AK$167,economics!$AJ$2:$AJ$167,TRUE))+$CR5*_xlfn.NORM.DIST(V$3,$CU5,0.3*$CU5,TRUE)+$CS5*_xlfn.NORM.DIST(V$3,$CV5,0.3*$CV5,TRUE),$CW5*_xlfn.NORM.DIST(V$3,'energy base (MECS)'!$F$11,0.3*'energy base (MECS)'!$F$11,TRUE))</f>
        <v/>
      </c>
      <c r="W5" s="68">
        <f t="array" ref="W5">IF($D5,SUMPRODUCT((economics!$AG$2:$AG$167=$B5)*(economics!$D$2:$D$167="whr")*economics!$AH$2:$AH$167*_xlfn.NORM.DIST(W$3,economics!$AK$2:$AK$167,economics!$AJ$2:$AJ$167,TRUE))+$CR5*_xlfn.NORM.DIST(W$3,$CU5,0.3*$CU5,TRUE)+$CS5*_xlfn.NORM.DIST(W$3,$CV5,0.3*$CV5,TRUE),$CW5*_xlfn.NORM.DIST(W$3,'energy base (MECS)'!$F$11,0.3*'energy base (MECS)'!$F$11,TRUE))</f>
        <v/>
      </c>
      <c r="X5" s="68">
        <f t="array" ref="X5">IF($D5,SUMPRODUCT((economics!$AG$2:$AG$167=$B5)*(economics!$D$2:$D$167="whr")*economics!$AH$2:$AH$167*_xlfn.NORM.DIST(X$3,economics!$AK$2:$AK$167,economics!$AJ$2:$AJ$167,TRUE))+$CR5*_xlfn.NORM.DIST(X$3,$CU5,0.3*$CU5,TRUE)+$CS5*_xlfn.NORM.DIST(X$3,$CV5,0.3*$CV5,TRUE),$CW5*_xlfn.NORM.DIST(X$3,'energy base (MECS)'!$F$11,0.3*'energy base (MECS)'!$F$11,TRUE))</f>
        <v/>
      </c>
      <c r="Y5" s="68">
        <f t="array" ref="Y5">IF($D5,SUMPRODUCT((economics!$AG$2:$AG$167=$B5)*(economics!$D$2:$D$167="whr")*economics!$AH$2:$AH$167*_xlfn.NORM.DIST(Y$3,economics!$AK$2:$AK$167,economics!$AJ$2:$AJ$167,TRUE))+$CR5*_xlfn.NORM.DIST(Y$3,$CU5,0.3*$CU5,TRUE)+$CS5*_xlfn.NORM.DIST(Y$3,$CV5,0.3*$CV5,TRUE),$CW5*_xlfn.NORM.DIST(Y$3,'energy base (MECS)'!$F$11,0.3*'energy base (MECS)'!$F$11,TRUE))</f>
        <v/>
      </c>
      <c r="Z5" s="68">
        <f t="array" ref="Z5">IF($D5,SUMPRODUCT((economics!$AG$2:$AG$167=$B5)*(economics!$D$2:$D$167="whr")*economics!$AH$2:$AH$167*_xlfn.NORM.DIST(Z$3,economics!$AK$2:$AK$167,economics!$AJ$2:$AJ$167,TRUE))+$CR5*_xlfn.NORM.DIST(Z$3,$CU5,0.3*$CU5,TRUE)+$CS5*_xlfn.NORM.DIST(Z$3,$CV5,0.3*$CV5,TRUE),$CW5*_xlfn.NORM.DIST(Z$3,'energy base (MECS)'!$F$11,0.3*'energy base (MECS)'!$F$11,TRUE))</f>
        <v/>
      </c>
      <c r="AA5" s="68">
        <f t="array" ref="AA5">IF($D5,SUMPRODUCT((economics!$AG$2:$AG$167=$B5)*(economics!$D$2:$D$167="whr")*economics!$AH$2:$AH$167*_xlfn.NORM.DIST(AA$3,economics!$AK$2:$AK$167,economics!$AJ$2:$AJ$167,TRUE))+$CR5*_xlfn.NORM.DIST(AA$3,$CU5,0.3*$CU5,TRUE)+$CS5*_xlfn.NORM.DIST(AA$3,$CV5,0.3*$CV5,TRUE),$CW5*_xlfn.NORM.DIST(AA$3,'energy base (MECS)'!$F$11,0.3*'energy base (MECS)'!$F$11,TRUE))</f>
        <v/>
      </c>
      <c r="AB5" s="68">
        <f t="array" ref="AB5">IF($D5,SUMPRODUCT((economics!$AG$2:$AG$167=$B5)*(economics!$D$2:$D$167="whr")*economics!$AH$2:$AH$167*_xlfn.NORM.DIST(AB$3,economics!$AK$2:$AK$167,economics!$AJ$2:$AJ$167,TRUE))+$CR5*_xlfn.NORM.DIST(AB$3,$CU5,0.3*$CU5,TRUE)+$CS5*_xlfn.NORM.DIST(AB$3,$CV5,0.3*$CV5,TRUE),$CW5*_xlfn.NORM.DIST(AB$3,'energy base (MECS)'!$F$11,0.3*'energy base (MECS)'!$F$11,TRUE))</f>
        <v/>
      </c>
      <c r="AC5" s="68">
        <f t="array" ref="AC5">IF($D5,SUMPRODUCT((economics!$AG$2:$AG$167=$B5)*(economics!$D$2:$D$167="whr")*economics!$AH$2:$AH$167*_xlfn.NORM.DIST(AC$3,economics!$AK$2:$AK$167,economics!$AJ$2:$AJ$167,TRUE))+$CR5*_xlfn.NORM.DIST(AC$3,$CU5,0.3*$CU5,TRUE)+$CS5*_xlfn.NORM.DIST(AC$3,$CV5,0.3*$CV5,TRUE),$CW5*_xlfn.NORM.DIST(AC$3,'energy base (MECS)'!$F$11,0.3*'energy base (MECS)'!$F$11,TRUE))</f>
        <v/>
      </c>
      <c r="AD5" s="68">
        <f t="array" ref="AD5">IF($D5,SUMPRODUCT((economics!$AG$2:$AG$167=$B5)*(economics!$D$2:$D$167="whr")*economics!$AH$2:$AH$167*_xlfn.NORM.DIST(AD$3,economics!$AK$2:$AK$167,economics!$AJ$2:$AJ$167,TRUE))+$CR5*_xlfn.NORM.DIST(AD$3,$CU5,0.3*$CU5,TRUE)+$CS5*_xlfn.NORM.DIST(AD$3,$CV5,0.3*$CV5,TRUE),$CW5*_xlfn.NORM.DIST(AD$3,'energy base (MECS)'!$F$11,0.3*'energy base (MECS)'!$F$11,TRUE))</f>
        <v/>
      </c>
      <c r="AE5" s="68">
        <f t="array" ref="AE5">IF($D5,SUMPRODUCT((economics!$AG$2:$AG$167=$B5)*(economics!$D$2:$D$167="whr")*economics!$AH$2:$AH$167*_xlfn.NORM.DIST(AE$3,economics!$AK$2:$AK$167,economics!$AJ$2:$AJ$167,TRUE))+$CR5*_xlfn.NORM.DIST(AE$3,$CU5,0.3*$CU5,TRUE)+$CS5*_xlfn.NORM.DIST(AE$3,$CV5,0.3*$CV5,TRUE),$CW5*_xlfn.NORM.DIST(AE$3,'energy base (MECS)'!$F$11,0.3*'energy base (MECS)'!$F$11,TRUE))</f>
        <v/>
      </c>
      <c r="AF5" s="68">
        <f t="array" ref="AF5">IF($D5,SUMPRODUCT((economics!$AG$2:$AG$167=$B5)*(economics!$D$2:$D$167="whr")*economics!$AH$2:$AH$167*_xlfn.NORM.DIST(AF$3,economics!$AK$2:$AK$167,economics!$AJ$2:$AJ$167,TRUE))+$CR5*_xlfn.NORM.DIST(AF$3,$CU5,0.3*$CU5,TRUE)+$CS5*_xlfn.NORM.DIST(AF$3,$CV5,0.3*$CV5,TRUE),$CW5*_xlfn.NORM.DIST(AF$3,'energy base (MECS)'!$F$11,0.3*'energy base (MECS)'!$F$11,TRUE))</f>
        <v/>
      </c>
      <c r="AG5" s="68">
        <f t="array" ref="AG5">IF($D5,SUMPRODUCT((economics!$AG$2:$AG$167=$B5)*(economics!$D$2:$D$167="whr")*economics!$AH$2:$AH$167*_xlfn.NORM.DIST(AG$3,economics!$AK$2:$AK$167,economics!$AJ$2:$AJ$167,TRUE))+$CR5*_xlfn.NORM.DIST(AG$3,$CU5,0.3*$CU5,TRUE)+$CS5*_xlfn.NORM.DIST(AG$3,$CV5,0.3*$CV5,TRUE),$CW5*_xlfn.NORM.DIST(AG$3,'energy base (MECS)'!$F$11,0.3*'energy base (MECS)'!$F$11,TRUE))</f>
        <v/>
      </c>
      <c r="AH5" s="68">
        <f t="array" ref="AH5">IF($D5,SUMPRODUCT((economics!$AG$2:$AG$167=$B5)*(economics!$D$2:$D$167="whr")*economics!$AH$2:$AH$167*_xlfn.NORM.DIST(AH$3,economics!$AK$2:$AK$167,economics!$AJ$2:$AJ$167,TRUE))+$CR5*_xlfn.NORM.DIST(AH$3,$CU5,0.3*$CU5,TRUE)+$CS5*_xlfn.NORM.DIST(AH$3,$CV5,0.3*$CV5,TRUE),$CW5*_xlfn.NORM.DIST(AH$3,'energy base (MECS)'!$F$11,0.3*'energy base (MECS)'!$F$11,TRUE))</f>
        <v/>
      </c>
      <c r="AI5" s="68">
        <f t="array" ref="AI5">IF($D5,SUMPRODUCT((economics!$AG$2:$AG$167=$B5)*(economics!$D$2:$D$167="whr")*economics!$AH$2:$AH$167*_xlfn.NORM.DIST(AI$3,economics!$AK$2:$AK$167,economics!$AJ$2:$AJ$167,TRUE))+$CR5*_xlfn.NORM.DIST(AI$3,$CU5,0.3*$CU5,TRUE)+$CS5*_xlfn.NORM.DIST(AI$3,$CV5,0.3*$CV5,TRUE),$CW5*_xlfn.NORM.DIST(AI$3,'energy base (MECS)'!$F$11,0.3*'energy base (MECS)'!$F$11,TRUE))</f>
        <v/>
      </c>
      <c r="AJ5" s="68">
        <f t="array" ref="AJ5">IF($D5,SUMPRODUCT((economics!$AG$2:$AG$167=$B5)*(economics!$D$2:$D$167="whr")*economics!$AH$2:$AH$167*_xlfn.NORM.DIST(AJ$3,economics!$AK$2:$AK$167,economics!$AJ$2:$AJ$167,TRUE))+$CR5*_xlfn.NORM.DIST(AJ$3,$CU5,0.3*$CU5,TRUE)+$CS5*_xlfn.NORM.DIST(AJ$3,$CV5,0.3*$CV5,TRUE),$CW5*_xlfn.NORM.DIST(AJ$3,'energy base (MECS)'!$F$11,0.3*'energy base (MECS)'!$F$11,TRUE))</f>
        <v/>
      </c>
      <c r="AK5" s="68">
        <f t="array" ref="AK5">IF($D5,SUMPRODUCT((economics!$AG$2:$AG$167=$B5)*(economics!$D$2:$D$167="whr")*economics!$AH$2:$AH$167*_xlfn.NORM.DIST(AK$3,economics!$AK$2:$AK$167,economics!$AJ$2:$AJ$167,TRUE))+$CR5*_xlfn.NORM.DIST(AK$3,$CU5,0.3*$CU5,TRUE)+$CS5*_xlfn.NORM.DIST(AK$3,$CV5,0.3*$CV5,TRUE),$CW5*_xlfn.NORM.DIST(AK$3,'energy base (MECS)'!$F$11,0.3*'energy base (MECS)'!$F$11,TRUE))</f>
        <v/>
      </c>
      <c r="AL5" s="68">
        <f t="array" ref="AL5">IF($D5,SUMPRODUCT((economics!$AG$2:$AG$167=$B5)*(economics!$D$2:$D$167="whr")*economics!$AH$2:$AH$167*_xlfn.NORM.DIST(AL$3,economics!$AK$2:$AK$167,economics!$AJ$2:$AJ$167,TRUE))+$CR5*_xlfn.NORM.DIST(AL$3,$CU5,0.3*$CU5,TRUE)+$CS5*_xlfn.NORM.DIST(AL$3,$CV5,0.3*$CV5,TRUE),$CW5*_xlfn.NORM.DIST(AL$3,'energy base (MECS)'!$F$11,0.3*'energy base (MECS)'!$F$11,TRUE))</f>
        <v/>
      </c>
      <c r="AM5" s="68">
        <f t="array" ref="AM5">IF($D5,SUMPRODUCT((economics!$AG$2:$AG$167=$B5)*(economics!$D$2:$D$167="whr")*economics!$AH$2:$AH$167*_xlfn.NORM.DIST(AM$3,economics!$AK$2:$AK$167,economics!$AJ$2:$AJ$167,TRUE))+$CR5*_xlfn.NORM.DIST(AM$3,$CU5,0.3*$CU5,TRUE)+$CS5*_xlfn.NORM.DIST(AM$3,$CV5,0.3*$CV5,TRUE),$CW5*_xlfn.NORM.DIST(AM$3,'energy base (MECS)'!$F$11,0.3*'energy base (MECS)'!$F$11,TRUE))</f>
        <v/>
      </c>
      <c r="AN5" s="68">
        <f t="array" ref="AN5">IF($D5,SUMPRODUCT((economics!$AG$2:$AG$167=$B5)*(economics!$D$2:$D$167="whr")*economics!$AH$2:$AH$167*_xlfn.NORM.DIST(AN$3,economics!$AK$2:$AK$167,economics!$AJ$2:$AJ$167,TRUE))+$CR5*_xlfn.NORM.DIST(AN$3,$CU5,0.3*$CU5,TRUE)+$CS5*_xlfn.NORM.DIST(AN$3,$CV5,0.3*$CV5,TRUE),$CW5*_xlfn.NORM.DIST(AN$3,'energy base (MECS)'!$F$11,0.3*'energy base (MECS)'!$F$11,TRUE))</f>
        <v/>
      </c>
      <c r="AO5" s="68">
        <f t="array" ref="AO5">IF($D5,SUMPRODUCT((economics!$AG$2:$AG$167=$B5)*(economics!$D$2:$D$167="whr")*economics!$AH$2:$AH$167*_xlfn.NORM.DIST(AO$3,economics!$AK$2:$AK$167,economics!$AJ$2:$AJ$167,TRUE))+$CR5*_xlfn.NORM.DIST(AO$3,$CU5,0.3*$CU5,TRUE)+$CS5*_xlfn.NORM.DIST(AO$3,$CV5,0.3*$CV5,TRUE),$CW5*_xlfn.NORM.DIST(AO$3,'energy base (MECS)'!$F$11,0.3*'energy base (MECS)'!$F$11,TRUE))</f>
        <v/>
      </c>
      <c r="AP5" s="68">
        <f t="array" ref="AP5">IF($D5,SUMPRODUCT((economics!$AG$2:$AG$167=$B5)*(economics!$D$2:$D$167="whr")*economics!$AH$2:$AH$167*_xlfn.NORM.DIST(AP$3,economics!$AK$2:$AK$167,economics!$AJ$2:$AJ$167,TRUE))+$CR5*_xlfn.NORM.DIST(AP$3,$CU5,0.3*$CU5,TRUE)+$CS5*_xlfn.NORM.DIST(AP$3,$CV5,0.3*$CV5,TRUE),$CW5*_xlfn.NORM.DIST(AP$3,'energy base (MECS)'!$F$11,0.3*'energy base (MECS)'!$F$11,TRUE))</f>
        <v/>
      </c>
      <c r="AQ5" s="68">
        <f t="array" ref="AQ5">IF($D5,SUMPRODUCT((economics!$AG$2:$AG$167=$B5)*(economics!$D$2:$D$167="whr")*economics!$AH$2:$AH$167*_xlfn.NORM.DIST(AQ$3,economics!$AK$2:$AK$167,economics!$AJ$2:$AJ$167,TRUE))+$CR5*_xlfn.NORM.DIST(AQ$3,$CU5,0.3*$CU5,TRUE)+$CS5*_xlfn.NORM.DIST(AQ$3,$CV5,0.3*$CV5,TRUE),$CW5*_xlfn.NORM.DIST(AQ$3,'energy base (MECS)'!$F$11,0.3*'energy base (MECS)'!$F$11,TRUE))</f>
        <v/>
      </c>
      <c r="AR5" s="68">
        <f t="array" ref="AR5">IF($D5,SUMPRODUCT((economics!$AG$2:$AG$167=$B5)*(economics!$D$2:$D$167="whr")*economics!$AH$2:$AH$167*_xlfn.NORM.DIST(AR$3,economics!$AK$2:$AK$167,economics!$AJ$2:$AJ$167,TRUE))+$CR5*_xlfn.NORM.DIST(AR$3,$CU5,0.3*$CU5,TRUE)+$CS5*_xlfn.NORM.DIST(AR$3,$CV5,0.3*$CV5,TRUE),$CW5*_xlfn.NORM.DIST(AR$3,'energy base (MECS)'!$F$11,0.3*'energy base (MECS)'!$F$11,TRUE))</f>
        <v/>
      </c>
      <c r="AS5" s="68">
        <f t="array" ref="AS5">IF($D5,SUMPRODUCT((economics!$AG$2:$AG$167=$B5)*(economics!$D$2:$D$167="whr")*economics!$AH$2:$AH$167*_xlfn.NORM.DIST(AS$3,economics!$AK$2:$AK$167,economics!$AJ$2:$AJ$167,TRUE))+$CR5*_xlfn.NORM.DIST(AS$3,$CU5,0.3*$CU5,TRUE)+$CS5*_xlfn.NORM.DIST(AS$3,$CV5,0.3*$CV5,TRUE),$CW5*_xlfn.NORM.DIST(AS$3,'energy base (MECS)'!$F$11,0.3*'energy base (MECS)'!$F$11,TRUE))</f>
        <v/>
      </c>
      <c r="AT5" s="68">
        <f t="array" ref="AT5">IF($D5,SUMPRODUCT((economics!$AG$2:$AG$167=$B5)*(economics!$D$2:$D$167="whr")*economics!$AH$2:$AH$167*_xlfn.NORM.DIST(AT$3,economics!$AK$2:$AK$167,economics!$AJ$2:$AJ$167,TRUE))+$CR5*_xlfn.NORM.DIST(AT$3,$CU5,0.3*$CU5,TRUE)+$CS5*_xlfn.NORM.DIST(AT$3,$CV5,0.3*$CV5,TRUE),$CW5*_xlfn.NORM.DIST(AT$3,'energy base (MECS)'!$F$11,0.3*'energy base (MECS)'!$F$11,TRUE))</f>
        <v/>
      </c>
      <c r="AU5" s="68">
        <f t="array" ref="AU5">IF($D5,SUMPRODUCT((economics!$AG$2:$AG$167=$B5)*(economics!$D$2:$D$167="whr")*economics!$AH$2:$AH$167*_xlfn.NORM.DIST(AU$3,economics!$AK$2:$AK$167,economics!$AJ$2:$AJ$167,TRUE))+$CR5*_xlfn.NORM.DIST(AU$3,$CU5,0.3*$CU5,TRUE)+$CS5*_xlfn.NORM.DIST(AU$3,$CV5,0.3*$CV5,TRUE),$CW5*_xlfn.NORM.DIST(AU$3,'energy base (MECS)'!$F$11,0.3*'energy base (MECS)'!$F$11,TRUE))</f>
        <v/>
      </c>
      <c r="AV5" s="68">
        <f t="array" ref="AV5">IF($D5,SUMPRODUCT((economics!$AG$2:$AG$167=$B5)*(economics!$D$2:$D$167="whr")*economics!$AH$2:$AH$167*_xlfn.NORM.DIST(AV$3,economics!$AK$2:$AK$167,economics!$AJ$2:$AJ$167,TRUE))+$CR5*_xlfn.NORM.DIST(AV$3,$CU5,0.3*$CU5,TRUE)+$CS5*_xlfn.NORM.DIST(AV$3,$CV5,0.3*$CV5,TRUE),$CW5*_xlfn.NORM.DIST(AV$3,'energy base (MECS)'!$F$11,0.3*'energy base (MECS)'!$F$11,TRUE))</f>
        <v/>
      </c>
      <c r="AW5" s="68">
        <f t="array" ref="AW5">IF($D5,SUMPRODUCT((economics!$AG$2:$AG$167=$B5)*(economics!$D$2:$D$167="whr")*economics!$AH$2:$AH$167*_xlfn.NORM.DIST(AW$3,economics!$AK$2:$AK$167,economics!$AJ$2:$AJ$167,TRUE))+$CR5*_xlfn.NORM.DIST(AW$3,$CU5,0.3*$CU5,TRUE)+$CS5*_xlfn.NORM.DIST(AW$3,$CV5,0.3*$CV5,TRUE),$CW5*_xlfn.NORM.DIST(AW$3,'energy base (MECS)'!$F$11,0.3*'energy base (MECS)'!$F$11,TRUE))</f>
        <v/>
      </c>
      <c r="AX5" s="68">
        <f t="array" ref="AX5">IF($D5,SUMPRODUCT((economics!$AG$2:$AG$167=$B5)*(economics!$D$2:$D$167="whr")*economics!$AH$2:$AH$167*_xlfn.NORM.DIST(AX$3,economics!$AK$2:$AK$167,economics!$AJ$2:$AJ$167,TRUE))+$CR5*_xlfn.NORM.DIST(AX$3,$CU5,0.3*$CU5,TRUE)+$CS5*_xlfn.NORM.DIST(AX$3,$CV5,0.3*$CV5,TRUE),$CW5*_xlfn.NORM.DIST(AX$3,'energy base (MECS)'!$F$11,0.3*'energy base (MECS)'!$F$11,TRUE))</f>
        <v/>
      </c>
      <c r="AY5" s="68">
        <f t="array" ref="AY5">IF($D5,SUMPRODUCT((economics!$AG$2:$AG$167=$B5)*(economics!$D$2:$D$167="whr")*economics!$AH$2:$AH$167*_xlfn.NORM.DIST(AY$3,economics!$AK$2:$AK$167,economics!$AJ$2:$AJ$167,TRUE))+$CR5*_xlfn.NORM.DIST(AY$3,$CU5,0.3*$CU5,TRUE)+$CS5*_xlfn.NORM.DIST(AY$3,$CV5,0.3*$CV5,TRUE),$CW5*_xlfn.NORM.DIST(AY$3,'energy base (MECS)'!$F$11,0.3*'energy base (MECS)'!$F$11,TRUE))</f>
        <v/>
      </c>
      <c r="AZ5" s="68">
        <f t="array" ref="AZ5">IF($D5,SUMPRODUCT((economics!$AG$2:$AG$167=$B5)*(economics!$D$2:$D$167="whr")*economics!$AH$2:$AH$167*_xlfn.NORM.DIST(AZ$3,economics!$AK$2:$AK$167,economics!$AJ$2:$AJ$167,TRUE))+$CR5*_xlfn.NORM.DIST(AZ$3,$CU5,0.3*$CU5,TRUE)+$CS5*_xlfn.NORM.DIST(AZ$3,$CV5,0.3*$CV5,TRUE),$CW5*_xlfn.NORM.DIST(AZ$3,'energy base (MECS)'!$F$11,0.3*'energy base (MECS)'!$F$11,TRUE))</f>
        <v/>
      </c>
      <c r="BA5" s="68">
        <f t="array" ref="BA5">IF($D5,SUMPRODUCT((economics!$AG$2:$AG$167=$B5)*(economics!$D$2:$D$167="whr")*economics!$AH$2:$AH$167*_xlfn.NORM.DIST(BA$3,economics!$AK$2:$AK$167,economics!$AJ$2:$AJ$167,TRUE))+$CR5*_xlfn.NORM.DIST(BA$3,$CU5,0.3*$CU5,TRUE)+$CS5*_xlfn.NORM.DIST(BA$3,$CV5,0.3*$CV5,TRUE),$CW5*_xlfn.NORM.DIST(BA$3,'energy base (MECS)'!$F$11,0.3*'energy base (MECS)'!$F$11,TRUE))</f>
        <v/>
      </c>
      <c r="BB5" s="68">
        <f t="array" ref="BB5">IF($D5,SUMPRODUCT((economics!$AG$2:$AG$167=$B5)*(economics!$D$2:$D$167="whr")*economics!$AH$2:$AH$167*_xlfn.NORM.DIST(BB$3,economics!$AK$2:$AK$167,economics!$AJ$2:$AJ$167,TRUE))+$CR5*_xlfn.NORM.DIST(BB$3,$CU5,0.3*$CU5,TRUE)+$CS5*_xlfn.NORM.DIST(BB$3,$CV5,0.3*$CV5,TRUE),$CW5*_xlfn.NORM.DIST(BB$3,'energy base (MECS)'!$F$11,0.3*'energy base (MECS)'!$F$11,TRUE))</f>
        <v/>
      </c>
      <c r="BC5" s="68">
        <f t="array" ref="BC5">IF($D5,SUMPRODUCT((economics!$AG$2:$AG$167=$B5)*(economics!$D$2:$D$167="whr")*economics!$AH$2:$AH$167*_xlfn.NORM.DIST(BC$3,economics!$AK$2:$AK$167,economics!$AJ$2:$AJ$167,TRUE))+$CR5*_xlfn.NORM.DIST(BC$3,$CU5,0.3*$CU5,TRUE)+$CS5*_xlfn.NORM.DIST(BC$3,$CV5,0.3*$CV5,TRUE),$CW5*_xlfn.NORM.DIST(BC$3,'energy base (MECS)'!$F$11,0.3*'energy base (MECS)'!$F$11,TRUE))</f>
        <v/>
      </c>
      <c r="BD5" s="68">
        <f t="array" ref="BD5">IF($D5,SUMPRODUCT((economics!$AG$2:$AG$167=$B5)*(economics!$D$2:$D$167="whr")*economics!$AH$2:$AH$167*_xlfn.NORM.DIST(BD$3,economics!$AK$2:$AK$167,economics!$AJ$2:$AJ$167,TRUE))+$CR5*_xlfn.NORM.DIST(BD$3,$CU5,0.3*$CU5,TRUE)+$CS5*_xlfn.NORM.DIST(BD$3,$CV5,0.3*$CV5,TRUE),$CW5*_xlfn.NORM.DIST(BD$3,'energy base (MECS)'!$F$11,0.3*'energy base (MECS)'!$F$11,TRUE))</f>
        <v/>
      </c>
      <c r="BE5" s="68">
        <f t="array" ref="BE5">IF($D5,SUMPRODUCT((economics!$AG$2:$AG$167=$B5)*(economics!$D$2:$D$167="whr")*economics!$AH$2:$AH$167*_xlfn.NORM.DIST(BE$3,economics!$AK$2:$AK$167,economics!$AJ$2:$AJ$167,TRUE))+$CR5*_xlfn.NORM.DIST(BE$3,$CU5,0.3*$CU5,TRUE)+$CS5*_xlfn.NORM.DIST(BE$3,$CV5,0.3*$CV5,TRUE),$CW5*_xlfn.NORM.DIST(BE$3,'energy base (MECS)'!$F$11,0.3*'energy base (MECS)'!$F$11,TRUE))</f>
        <v/>
      </c>
      <c r="BF5" s="68">
        <f t="array" ref="BF5">IF($D5,SUMPRODUCT((economics!$AG$2:$AG$167=$B5)*(economics!$D$2:$D$167="whr")*economics!$AH$2:$AH$167*_xlfn.NORM.DIST(BF$3,economics!$AK$2:$AK$167,economics!$AJ$2:$AJ$167,TRUE))+$CR5*_xlfn.NORM.DIST(BF$3,$CU5,0.3*$CU5,TRUE)+$CS5*_xlfn.NORM.DIST(BF$3,$CV5,0.3*$CV5,TRUE),$CW5*_xlfn.NORM.DIST(BF$3,'energy base (MECS)'!$F$11,0.3*'energy base (MECS)'!$F$11,TRUE))</f>
        <v/>
      </c>
      <c r="BG5" s="68">
        <f t="array" ref="BG5">IF($D5,SUMPRODUCT((economics!$AG$2:$AG$167=$B5)*(economics!$D$2:$D$167="whr")*economics!$AH$2:$AH$167*_xlfn.NORM.DIST(BG$3,economics!$AK$2:$AK$167,economics!$AJ$2:$AJ$167,TRUE))+$CR5*_xlfn.NORM.DIST(BG$3,$CU5,0.3*$CU5,TRUE)+$CS5*_xlfn.NORM.DIST(BG$3,$CV5,0.3*$CV5,TRUE),$CW5*_xlfn.NORM.DIST(BG$3,'energy base (MECS)'!$F$11,0.3*'energy base (MECS)'!$F$11,TRUE))</f>
        <v/>
      </c>
      <c r="BH5" s="68">
        <f t="array" ref="BH5">IF($D5,SUMPRODUCT((economics!$AG$2:$AG$167=$B5)*(economics!$D$2:$D$167="whr")*economics!$AH$2:$AH$167*_xlfn.NORM.DIST(BH$3,economics!$AK$2:$AK$167,economics!$AJ$2:$AJ$167,TRUE))+$CR5*_xlfn.NORM.DIST(BH$3,$CU5,0.3*$CU5,TRUE)+$CS5*_xlfn.NORM.DIST(BH$3,$CV5,0.3*$CV5,TRUE),$CW5*_xlfn.NORM.DIST(BH$3,'energy base (MECS)'!$F$11,0.3*'energy base (MECS)'!$F$11,TRUE))</f>
        <v/>
      </c>
      <c r="BI5" s="68">
        <f t="array" ref="BI5">IF($D5,SUMPRODUCT((economics!$AG$2:$AG$167=$B5)*(economics!$D$2:$D$167="whr")*economics!$AH$2:$AH$167*_xlfn.NORM.DIST(BI$3,economics!$AK$2:$AK$167,economics!$AJ$2:$AJ$167,TRUE))+$CR5*_xlfn.NORM.DIST(BI$3,$CU5,0.3*$CU5,TRUE)+$CS5*_xlfn.NORM.DIST(BI$3,$CV5,0.3*$CV5,TRUE),$CW5*_xlfn.NORM.DIST(BI$3,'energy base (MECS)'!$F$11,0.3*'energy base (MECS)'!$F$11,TRUE))</f>
        <v/>
      </c>
      <c r="BJ5" s="68">
        <f t="array" ref="BJ5">IF($D5,SUMPRODUCT((economics!$AG$2:$AG$167=$B5)*(economics!$D$2:$D$167="whr")*economics!$AH$2:$AH$167*_xlfn.NORM.DIST(BJ$3,economics!$AK$2:$AK$167,economics!$AJ$2:$AJ$167,TRUE))+$CR5*_xlfn.NORM.DIST(BJ$3,$CU5,0.3*$CU5,TRUE)+$CS5*_xlfn.NORM.DIST(BJ$3,$CV5,0.3*$CV5,TRUE),$CW5*_xlfn.NORM.DIST(BJ$3,'energy base (MECS)'!$F$11,0.3*'energy base (MECS)'!$F$11,TRUE))</f>
        <v/>
      </c>
      <c r="BK5" s="68">
        <f t="array" ref="BK5">IF($D5,SUMPRODUCT((economics!$AG$2:$AG$167=$B5)*(economics!$D$2:$D$167="whr")*economics!$AH$2:$AH$167*_xlfn.NORM.DIST(BK$3,economics!$AK$2:$AK$167,economics!$AJ$2:$AJ$167,TRUE))+$CR5*_xlfn.NORM.DIST(BK$3,$CU5,0.3*$CU5,TRUE)+$CS5*_xlfn.NORM.DIST(BK$3,$CV5,0.3*$CV5,TRUE),$CW5*_xlfn.NORM.DIST(BK$3,'energy base (MECS)'!$F$11,0.3*'energy base (MECS)'!$F$11,TRUE))</f>
        <v/>
      </c>
      <c r="BL5" s="68">
        <f t="array" ref="BL5">IF($D5,SUMPRODUCT((economics!$AG$2:$AG$167=$B5)*(economics!$D$2:$D$167="whr")*economics!$AH$2:$AH$167*_xlfn.NORM.DIST(BL$3,economics!$AK$2:$AK$167,economics!$AJ$2:$AJ$167,TRUE))+$CR5*_xlfn.NORM.DIST(BL$3,$CU5,0.3*$CU5,TRUE)+$CS5*_xlfn.NORM.DIST(BL$3,$CV5,0.3*$CV5,TRUE),$CW5*_xlfn.NORM.DIST(BL$3,'energy base (MECS)'!$F$11,0.3*'energy base (MECS)'!$F$11,TRUE))</f>
        <v/>
      </c>
      <c r="BM5" s="68">
        <f t="array" ref="BM5">IF($D5,SUMPRODUCT((economics!$AG$2:$AG$167=$B5)*(economics!$D$2:$D$167="whr")*economics!$AH$2:$AH$167*_xlfn.NORM.DIST(BM$3,economics!$AK$2:$AK$167,economics!$AJ$2:$AJ$167,TRUE))+$CR5*_xlfn.NORM.DIST(BM$3,$CU5,0.3*$CU5,TRUE)+$CS5*_xlfn.NORM.DIST(BM$3,$CV5,0.3*$CV5,TRUE),$CW5*_xlfn.NORM.DIST(BM$3,'energy base (MECS)'!$F$11,0.3*'energy base (MECS)'!$F$11,TRUE))</f>
        <v/>
      </c>
      <c r="BN5" s="68">
        <f t="array" ref="BN5">IF($D5,SUMPRODUCT((economics!$AG$2:$AG$167=$B5)*(economics!$D$2:$D$167="whr")*economics!$AH$2:$AH$167*_xlfn.NORM.DIST(BN$3,economics!$AK$2:$AK$167,economics!$AJ$2:$AJ$167,TRUE))+$CR5*_xlfn.NORM.DIST(BN$3,$CU5,0.3*$CU5,TRUE)+$CS5*_xlfn.NORM.DIST(BN$3,$CV5,0.3*$CV5,TRUE),$CW5*_xlfn.NORM.DIST(BN$3,'energy base (MECS)'!$F$11,0.3*'energy base (MECS)'!$F$11,TRUE))</f>
        <v/>
      </c>
      <c r="BO5" s="68">
        <f t="array" ref="BO5">IF($D5,SUMPRODUCT((economics!$AG$2:$AG$167=$B5)*(economics!$D$2:$D$167="whr")*economics!$AH$2:$AH$167*_xlfn.NORM.DIST(BO$3,economics!$AK$2:$AK$167,economics!$AJ$2:$AJ$167,TRUE))+$CR5*_xlfn.NORM.DIST(BO$3,$CU5,0.3*$CU5,TRUE)+$CS5*_xlfn.NORM.DIST(BO$3,$CV5,0.3*$CV5,TRUE),$CW5*_xlfn.NORM.DIST(BO$3,'energy base (MECS)'!$F$11,0.3*'energy base (MECS)'!$F$11,TRUE))</f>
        <v/>
      </c>
      <c r="BP5" s="68">
        <f t="array" ref="BP5">IF($D5,SUMPRODUCT((economics!$AG$2:$AG$167=$B5)*(economics!$D$2:$D$167="whr")*economics!$AH$2:$AH$167*_xlfn.NORM.DIST(BP$3,economics!$AK$2:$AK$167,economics!$AJ$2:$AJ$167,TRUE))+$CR5*_xlfn.NORM.DIST(BP$3,$CU5,0.3*$CU5,TRUE)+$CS5*_xlfn.NORM.DIST(BP$3,$CV5,0.3*$CV5,TRUE),$CW5*_xlfn.NORM.DIST(BP$3,'energy base (MECS)'!$F$11,0.3*'energy base (MECS)'!$F$11,TRUE))</f>
        <v/>
      </c>
      <c r="BQ5" s="68">
        <f t="array" ref="BQ5">IF($D5,SUMPRODUCT((economics!$AG$2:$AG$167=$B5)*(economics!$D$2:$D$167="whr")*economics!$AH$2:$AH$167*_xlfn.NORM.DIST(BQ$3,economics!$AK$2:$AK$167,economics!$AJ$2:$AJ$167,TRUE))+$CR5*_xlfn.NORM.DIST(BQ$3,$CU5,0.3*$CU5,TRUE)+$CS5*_xlfn.NORM.DIST(BQ$3,$CV5,0.3*$CV5,TRUE),$CW5*_xlfn.NORM.DIST(BQ$3,'energy base (MECS)'!$F$11,0.3*'energy base (MECS)'!$F$11,TRUE))</f>
        <v/>
      </c>
      <c r="BR5" s="68">
        <f t="array" ref="BR5">IF($D5,SUMPRODUCT((economics!$AG$2:$AG$167=$B5)*(economics!$D$2:$D$167="whr")*economics!$AH$2:$AH$167*_xlfn.NORM.DIST(BR$3,economics!$AK$2:$AK$167,economics!$AJ$2:$AJ$167,TRUE))+$CR5*_xlfn.NORM.DIST(BR$3,$CU5,0.3*$CU5,TRUE)+$CS5*_xlfn.NORM.DIST(BR$3,$CV5,0.3*$CV5,TRUE),$CW5*_xlfn.NORM.DIST(BR$3,'energy base (MECS)'!$F$11,0.3*'energy base (MECS)'!$F$11,TRUE))</f>
        <v/>
      </c>
      <c r="BS5" s="68">
        <f t="array" ref="BS5">IF($D5,SUMPRODUCT((economics!$AG$2:$AG$167=$B5)*(economics!$D$2:$D$167="whr")*economics!$AH$2:$AH$167*_xlfn.NORM.DIST(BS$3,economics!$AK$2:$AK$167,economics!$AJ$2:$AJ$167,TRUE))+$CR5*_xlfn.NORM.DIST(BS$3,$CU5,0.3*$CU5,TRUE)+$CS5*_xlfn.NORM.DIST(BS$3,$CV5,0.3*$CV5,TRUE),$CW5*_xlfn.NORM.DIST(BS$3,'energy base (MECS)'!$F$11,0.3*'energy base (MECS)'!$F$11,TRUE))</f>
        <v/>
      </c>
      <c r="BT5" s="68">
        <f t="array" ref="BT5">IF($D5,SUMPRODUCT((economics!$AG$2:$AG$167=$B5)*(economics!$D$2:$D$167="whr")*economics!$AH$2:$AH$167*_xlfn.NORM.DIST(BT$3,economics!$AK$2:$AK$167,economics!$AJ$2:$AJ$167,TRUE))+$CR5*_xlfn.NORM.DIST(BT$3,$CU5,0.3*$CU5,TRUE)+$CS5*_xlfn.NORM.DIST(BT$3,$CV5,0.3*$CV5,TRUE),$CW5*_xlfn.NORM.DIST(BT$3,'energy base (MECS)'!$F$11,0.3*'energy base (MECS)'!$F$11,TRUE))</f>
        <v/>
      </c>
      <c r="BU5" s="68">
        <f t="array" ref="BU5">IF($D5,SUMPRODUCT((economics!$AG$2:$AG$167=$B5)*(economics!$D$2:$D$167="whr")*economics!$AH$2:$AH$167*_xlfn.NORM.DIST(BU$3,economics!$AK$2:$AK$167,economics!$AJ$2:$AJ$167,TRUE))+$CR5*_xlfn.NORM.DIST(BU$3,$CU5,0.3*$CU5,TRUE)+$CS5*_xlfn.NORM.DIST(BU$3,$CV5,0.3*$CV5,TRUE),$CW5*_xlfn.NORM.DIST(BU$3,'energy base (MECS)'!$F$11,0.3*'energy base (MECS)'!$F$11,TRUE))</f>
        <v/>
      </c>
      <c r="BV5" s="68">
        <f t="array" ref="BV5">IF($D5,SUMPRODUCT((economics!$AG$2:$AG$167=$B5)*(economics!$D$2:$D$167="whr")*economics!$AH$2:$AH$167*_xlfn.NORM.DIST(BV$3,economics!$AK$2:$AK$167,economics!$AJ$2:$AJ$167,TRUE))+$CR5*_xlfn.NORM.DIST(BV$3,$CU5,0.3*$CU5,TRUE)+$CS5*_xlfn.NORM.DIST(BV$3,$CV5,0.3*$CV5,TRUE),$CW5*_xlfn.NORM.DIST(BV$3,'energy base (MECS)'!$F$11,0.3*'energy base (MECS)'!$F$11,TRUE))</f>
        <v/>
      </c>
      <c r="BW5" s="68">
        <f t="array" ref="BW5">IF($D5,SUMPRODUCT((economics!$AG$2:$AG$167=$B5)*(economics!$D$2:$D$167="whr")*economics!$AH$2:$AH$167*_xlfn.NORM.DIST(BW$3,economics!$AK$2:$AK$167,economics!$AJ$2:$AJ$167,TRUE))+$CR5*_xlfn.NORM.DIST(BW$3,$CU5,0.3*$CU5,TRUE)+$CS5*_xlfn.NORM.DIST(BW$3,$CV5,0.3*$CV5,TRUE),$CW5*_xlfn.NORM.DIST(BW$3,'energy base (MECS)'!$F$11,0.3*'energy base (MECS)'!$F$11,TRUE))</f>
        <v/>
      </c>
      <c r="BX5" s="68">
        <f t="array" ref="BX5">IF($D5,SUMPRODUCT((economics!$AG$2:$AG$167=$B5)*(economics!$D$2:$D$167="whr")*economics!$AH$2:$AH$167*_xlfn.NORM.DIST(BX$3,economics!$AK$2:$AK$167,economics!$AJ$2:$AJ$167,TRUE))+$CR5*_xlfn.NORM.DIST(BX$3,$CU5,0.3*$CU5,TRUE)+$CS5*_xlfn.NORM.DIST(BX$3,$CV5,0.3*$CV5,TRUE),$CW5*_xlfn.NORM.DIST(BX$3,'energy base (MECS)'!$F$11,0.3*'energy base (MECS)'!$F$11,TRUE))</f>
        <v/>
      </c>
      <c r="BY5" s="68">
        <f t="array" ref="BY5">IF($D5,SUMPRODUCT((economics!$AG$2:$AG$167=$B5)*(economics!$D$2:$D$167="whr")*economics!$AH$2:$AH$167*_xlfn.NORM.DIST(BY$3,economics!$AK$2:$AK$167,economics!$AJ$2:$AJ$167,TRUE))+$CR5*_xlfn.NORM.DIST(BY$3,$CU5,0.3*$CU5,TRUE)+$CS5*_xlfn.NORM.DIST(BY$3,$CV5,0.3*$CV5,TRUE),$CW5*_xlfn.NORM.DIST(BY$3,'energy base (MECS)'!$F$11,0.3*'energy base (MECS)'!$F$11,TRUE))</f>
        <v/>
      </c>
      <c r="BZ5" s="68">
        <f t="array" ref="BZ5">IF($D5,SUMPRODUCT((economics!$AG$2:$AG$167=$B5)*(economics!$D$2:$D$167="whr")*economics!$AH$2:$AH$167*_xlfn.NORM.DIST(BZ$3,economics!$AK$2:$AK$167,economics!$AJ$2:$AJ$167,TRUE))+$CR5*_xlfn.NORM.DIST(BZ$3,$CU5,0.3*$CU5,TRUE)+$CS5*_xlfn.NORM.DIST(BZ$3,$CV5,0.3*$CV5,TRUE),$CW5*_xlfn.NORM.DIST(BZ$3,'energy base (MECS)'!$F$11,0.3*'energy base (MECS)'!$F$11,TRUE))</f>
        <v/>
      </c>
      <c r="CA5" s="68">
        <f t="array" ref="CA5">IF($D5,SUMPRODUCT((economics!$AG$2:$AG$167=$B5)*(economics!$D$2:$D$167="whr")*economics!$AH$2:$AH$167*_xlfn.NORM.DIST(CA$3,economics!$AK$2:$AK$167,economics!$AJ$2:$AJ$167,TRUE))+$CR5*_xlfn.NORM.DIST(CA$3,$CU5,0.3*$CU5,TRUE)+$CS5*_xlfn.NORM.DIST(CA$3,$CV5,0.3*$CV5,TRUE),$CW5*_xlfn.NORM.DIST(CA$3,'energy base (MECS)'!$F$11,0.3*'energy base (MECS)'!$F$11,TRUE))</f>
        <v/>
      </c>
      <c r="CB5" s="68">
        <f t="array" ref="CB5">IF($D5,SUMPRODUCT((economics!$AG$2:$AG$167=$B5)*(economics!$D$2:$D$167="whr")*economics!$AH$2:$AH$167*_xlfn.NORM.DIST(CB$3,economics!$AK$2:$AK$167,economics!$AJ$2:$AJ$167,TRUE))+$CR5*_xlfn.NORM.DIST(CB$3,$CU5,0.3*$CU5,TRUE)+$CS5*_xlfn.NORM.DIST(CB$3,$CV5,0.3*$CV5,TRUE),$CW5*_xlfn.NORM.DIST(CB$3,'energy base (MECS)'!$F$11,0.3*'energy base (MECS)'!$F$11,TRUE))</f>
        <v/>
      </c>
      <c r="CC5" s="68">
        <f t="array" ref="CC5">IF($D5,SUMPRODUCT((economics!$AG$2:$AG$167=$B5)*(economics!$D$2:$D$167="whr")*economics!$AH$2:$AH$167*_xlfn.NORM.DIST(CC$3,economics!$AK$2:$AK$167,economics!$AJ$2:$AJ$167,TRUE))+$CR5*_xlfn.NORM.DIST(CC$3,$CU5,0.3*$CU5,TRUE)+$CS5*_xlfn.NORM.DIST(CC$3,$CV5,0.3*$CV5,TRUE),$CW5*_xlfn.NORM.DIST(CC$3,'energy base (MECS)'!$F$11,0.3*'energy base (MECS)'!$F$11,TRUE))</f>
        <v/>
      </c>
      <c r="CD5" s="68">
        <f t="array" ref="CD5">IF($D5,SUMPRODUCT((economics!$AG$2:$AG$167=$B5)*(economics!$D$2:$D$167="whr")*economics!$AH$2:$AH$167*_xlfn.NORM.DIST(CD$3,economics!$AK$2:$AK$167,economics!$AJ$2:$AJ$167,TRUE))+$CR5*_xlfn.NORM.DIST(CD$3,$CU5,0.3*$CU5,TRUE)+$CS5*_xlfn.NORM.DIST(CD$3,$CV5,0.3*$CV5,TRUE),$CW5*_xlfn.NORM.DIST(CD$3,'energy base (MECS)'!$F$11,0.3*'energy base (MECS)'!$F$11,TRUE))</f>
        <v/>
      </c>
      <c r="CE5" s="68">
        <f t="array" ref="CE5">IF($D5,SUMPRODUCT((economics!$AG$2:$AG$167=$B5)*(economics!$D$2:$D$167="whr")*economics!$AH$2:$AH$167*_xlfn.NORM.DIST(CE$3,economics!$AK$2:$AK$167,economics!$AJ$2:$AJ$167,TRUE))+$CR5*_xlfn.NORM.DIST(CE$3,$CU5,0.3*$CU5,TRUE)+$CS5*_xlfn.NORM.DIST(CE$3,$CV5,0.3*$CV5,TRUE),$CW5*_xlfn.NORM.DIST(CE$3,'energy base (MECS)'!$F$11,0.3*'energy base (MECS)'!$F$11,TRUE))</f>
        <v/>
      </c>
      <c r="CF5" s="68">
        <f t="array" ref="CF5">IF($D5,SUMPRODUCT((economics!$AG$2:$AG$167=$B5)*(economics!$D$2:$D$167="whr")*economics!$AH$2:$AH$167*_xlfn.NORM.DIST(CF$3,economics!$AK$2:$AK$167,economics!$AJ$2:$AJ$167,TRUE))+$CR5*_xlfn.NORM.DIST(CF$3,$CU5,0.3*$CU5,TRUE)+$CS5*_xlfn.NORM.DIST(CF$3,$CV5,0.3*$CV5,TRUE),$CW5*_xlfn.NORM.DIST(CF$3,'energy base (MECS)'!$F$11,0.3*'energy base (MECS)'!$F$11,TRUE))</f>
        <v/>
      </c>
      <c r="CG5" s="68">
        <f t="array" ref="CG5">IF($D5,SUMPRODUCT((economics!$AG$2:$AG$167=$B5)*(economics!$D$2:$D$167="whr")*economics!$AH$2:$AH$167*_xlfn.NORM.DIST(CG$3,economics!$AK$2:$AK$167,economics!$AJ$2:$AJ$167,TRUE))+$CR5*_xlfn.NORM.DIST(CG$3,$CU5,0.3*$CU5,TRUE)+$CS5*_xlfn.NORM.DIST(CG$3,$CV5,0.3*$CV5,TRUE),$CW5*_xlfn.NORM.DIST(CG$3,'energy base (MECS)'!$F$11,0.3*'energy base (MECS)'!$F$11,TRUE))</f>
        <v/>
      </c>
      <c r="CH5" s="68">
        <f t="array" ref="CH5">IF($D5,SUMPRODUCT((economics!$AG$2:$AG$167=$B5)*(economics!$D$2:$D$167="whr")*economics!$AH$2:$AH$167*_xlfn.NORM.DIST(CH$3,economics!$AK$2:$AK$167,economics!$AJ$2:$AJ$167,TRUE))+$CR5*_xlfn.NORM.DIST(CH$3,$CU5,0.3*$CU5,TRUE)+$CS5*_xlfn.NORM.DIST(CH$3,$CV5,0.3*$CV5,TRUE),$CW5*_xlfn.NORM.DIST(CH$3,'energy base (MECS)'!$F$11,0.3*'energy base (MECS)'!$F$11,TRUE))</f>
        <v/>
      </c>
      <c r="CJ5">
        <f t="array" ref="CJ5">SUMPRODUCT((economics!$AG$2:$AG$167=$B5)*(economics!$D$2:$D$167="whr")*economics!$AH$2:$AH$167)</f>
        <v/>
      </c>
      <c r="CK5" s="80">
        <f>'indst heat consumption'!D5</f>
        <v/>
      </c>
      <c r="CL5" s="80">
        <f>'indst heat consumption'!E5</f>
        <v/>
      </c>
      <c r="CM5" s="80">
        <f>'indst heat consumption'!F5</f>
        <v/>
      </c>
      <c r="CN5" s="80">
        <f>'indst heat consumption'!G5</f>
        <v/>
      </c>
      <c r="CO5" s="80">
        <f>'indst heat consumption'!H5</f>
        <v/>
      </c>
      <c r="CP5">
        <f>$C5*(CK5*summary!$B$94+CL5*summary!$C$94+CM5*summary!$D$94)</f>
        <v/>
      </c>
      <c r="CQ5">
        <f>$C5*(CN5*summary!$E$94+CO5*summary!$F$94)</f>
        <v/>
      </c>
      <c r="CR5">
        <f>IF(CP5+CQ5&gt;0,CP5*MAX(0,CP5+CQ5-CJ5)/(CP5+CQ5),0)</f>
        <v/>
      </c>
      <c r="CS5">
        <f>IF(CP5+CQ5&gt;0,CQ5*MAX(0,CP5+CQ5-CJ5)/(CP5+CQ5),0)</f>
        <v/>
      </c>
      <c r="CT5">
        <f>IFERROR(_xlfn.XLOOKUP($B5,'BCoISC-WACCbI'!$C$2:$C$26,'BCoISC-WACCbI'!$B$2:$B$26)+economics!$AE$4,0.1)</f>
        <v/>
      </c>
      <c r="CU5">
        <f>(summary!$C$7*(CT5/(1-(1+CT5)^-summary!$D$7))+summary!$C$7*summary!$E$7)/(summary!$F$7*3412/1000000)</f>
        <v/>
      </c>
      <c r="CV5">
        <f>(summary!$C$6*(CT5/(1-(1+CT5)^-summary!$D$6))+summary!$C$6*summary!$E$6)/(summary!$F$6*3412/1000000)</f>
        <v/>
      </c>
      <c r="CW5">
        <f>CR5+CS5</f>
        <v/>
      </c>
    </row>
    <row r="6">
      <c r="A6">
        <f>WHRPbI!A4</f>
        <v/>
      </c>
      <c r="B6" t="n">
        <v>6</v>
      </c>
      <c r="C6" s="68">
        <f>WHRPbI!B4</f>
        <v/>
      </c>
      <c r="D6">
        <f>ISNUMBER(MATCH($B6,'energy base (MECS)'!$K$4:$K$9,0))</f>
        <v/>
      </c>
      <c r="E6" s="68">
        <f t="array" ref="E6">IF($D6,SUMPRODUCT((economics!$AG$2:$AG$167=$B6)*(economics!$D$2:$D$167="whr")*economics!$AH$2:$AH$167*_xlfn.NORM.DIST(E$3,economics!$AK$2:$AK$167,economics!$AJ$2:$AJ$167,TRUE))+$CR6*_xlfn.NORM.DIST(E$3,$CU6,0.3*$CU6,TRUE)+$CS6*_xlfn.NORM.DIST(E$3,$CV6,0.3*$CV6,TRUE),$CW6*_xlfn.NORM.DIST(E$3,'energy base (MECS)'!$F$11,0.3*'energy base (MECS)'!$F$11,TRUE))</f>
        <v/>
      </c>
      <c r="F6" s="68">
        <f t="array" ref="F6">IF($D6,SUMPRODUCT((economics!$AG$2:$AG$167=$B6)*(economics!$D$2:$D$167="whr")*economics!$AH$2:$AH$167*_xlfn.NORM.DIST(F$3,economics!$AK$2:$AK$167,economics!$AJ$2:$AJ$167,TRUE))+$CR6*_xlfn.NORM.DIST(F$3,$CU6,0.3*$CU6,TRUE)+$CS6*_xlfn.NORM.DIST(F$3,$CV6,0.3*$CV6,TRUE),$CW6*_xlfn.NORM.DIST(F$3,'energy base (MECS)'!$F$11,0.3*'energy base (MECS)'!$F$11,TRUE))</f>
        <v/>
      </c>
      <c r="G6" s="68">
        <f t="array" ref="G6">IF($D6,SUMPRODUCT((economics!$AG$2:$AG$167=$B6)*(economics!$D$2:$D$167="whr")*economics!$AH$2:$AH$167*_xlfn.NORM.DIST(G$3,economics!$AK$2:$AK$167,economics!$AJ$2:$AJ$167,TRUE))+$CR6*_xlfn.NORM.DIST(G$3,$CU6,0.3*$CU6,TRUE)+$CS6*_xlfn.NORM.DIST(G$3,$CV6,0.3*$CV6,TRUE),$CW6*_xlfn.NORM.DIST(G$3,'energy base (MECS)'!$F$11,0.3*'energy base (MECS)'!$F$11,TRUE))</f>
        <v/>
      </c>
      <c r="H6" s="68">
        <f t="array" ref="H6">IF($D6,SUMPRODUCT((economics!$AG$2:$AG$167=$B6)*(economics!$D$2:$D$167="whr")*economics!$AH$2:$AH$167*_xlfn.NORM.DIST(H$3,economics!$AK$2:$AK$167,economics!$AJ$2:$AJ$167,TRUE))+$CR6*_xlfn.NORM.DIST(H$3,$CU6,0.3*$CU6,TRUE)+$CS6*_xlfn.NORM.DIST(H$3,$CV6,0.3*$CV6,TRUE),$CW6*_xlfn.NORM.DIST(H$3,'energy base (MECS)'!$F$11,0.3*'energy base (MECS)'!$F$11,TRUE))</f>
        <v/>
      </c>
      <c r="I6" s="68">
        <f t="array" ref="I6">IF($D6,SUMPRODUCT((economics!$AG$2:$AG$167=$B6)*(economics!$D$2:$D$167="whr")*economics!$AH$2:$AH$167*_xlfn.NORM.DIST(I$3,economics!$AK$2:$AK$167,economics!$AJ$2:$AJ$167,TRUE))+$CR6*_xlfn.NORM.DIST(I$3,$CU6,0.3*$CU6,TRUE)+$CS6*_xlfn.NORM.DIST(I$3,$CV6,0.3*$CV6,TRUE),$CW6*_xlfn.NORM.DIST(I$3,'energy base (MECS)'!$F$11,0.3*'energy base (MECS)'!$F$11,TRUE))</f>
        <v/>
      </c>
      <c r="J6" s="68">
        <f t="array" ref="J6">IF($D6,SUMPRODUCT((economics!$AG$2:$AG$167=$B6)*(economics!$D$2:$D$167="whr")*economics!$AH$2:$AH$167*_xlfn.NORM.DIST(J$3,economics!$AK$2:$AK$167,economics!$AJ$2:$AJ$167,TRUE))+$CR6*_xlfn.NORM.DIST(J$3,$CU6,0.3*$CU6,TRUE)+$CS6*_xlfn.NORM.DIST(J$3,$CV6,0.3*$CV6,TRUE),$CW6*_xlfn.NORM.DIST(J$3,'energy base (MECS)'!$F$11,0.3*'energy base (MECS)'!$F$11,TRUE))</f>
        <v/>
      </c>
      <c r="K6" s="68">
        <f t="array" ref="K6">IF($D6,SUMPRODUCT((economics!$AG$2:$AG$167=$B6)*(economics!$D$2:$D$167="whr")*economics!$AH$2:$AH$167*_xlfn.NORM.DIST(K$3,economics!$AK$2:$AK$167,economics!$AJ$2:$AJ$167,TRUE))+$CR6*_xlfn.NORM.DIST(K$3,$CU6,0.3*$CU6,TRUE)+$CS6*_xlfn.NORM.DIST(K$3,$CV6,0.3*$CV6,TRUE),$CW6*_xlfn.NORM.DIST(K$3,'energy base (MECS)'!$F$11,0.3*'energy base (MECS)'!$F$11,TRUE))</f>
        <v/>
      </c>
      <c r="L6" s="68">
        <f t="array" ref="L6">IF($D6,SUMPRODUCT((economics!$AG$2:$AG$167=$B6)*(economics!$D$2:$D$167="whr")*economics!$AH$2:$AH$167*_xlfn.NORM.DIST(L$3,economics!$AK$2:$AK$167,economics!$AJ$2:$AJ$167,TRUE))+$CR6*_xlfn.NORM.DIST(L$3,$CU6,0.3*$CU6,TRUE)+$CS6*_xlfn.NORM.DIST(L$3,$CV6,0.3*$CV6,TRUE),$CW6*_xlfn.NORM.DIST(L$3,'energy base (MECS)'!$F$11,0.3*'energy base (MECS)'!$F$11,TRUE))</f>
        <v/>
      </c>
      <c r="M6" s="68">
        <f t="array" ref="M6">IF($D6,SUMPRODUCT((economics!$AG$2:$AG$167=$B6)*(economics!$D$2:$D$167="whr")*economics!$AH$2:$AH$167*_xlfn.NORM.DIST(M$3,economics!$AK$2:$AK$167,economics!$AJ$2:$AJ$167,TRUE))+$CR6*_xlfn.NORM.DIST(M$3,$CU6,0.3*$CU6,TRUE)+$CS6*_xlfn.NORM.DIST(M$3,$CV6,0.3*$CV6,TRUE),$CW6*_xlfn.NORM.DIST(M$3,'energy base (MECS)'!$F$11,0.3*'energy base (MECS)'!$F$11,TRUE))</f>
        <v/>
      </c>
      <c r="N6" s="68">
        <f t="array" ref="N6">IF($D6,SUMPRODUCT((economics!$AG$2:$AG$167=$B6)*(economics!$D$2:$D$167="whr")*economics!$AH$2:$AH$167*_xlfn.NORM.DIST(N$3,economics!$AK$2:$AK$167,economics!$AJ$2:$AJ$167,TRUE))+$CR6*_xlfn.NORM.DIST(N$3,$CU6,0.3*$CU6,TRUE)+$CS6*_xlfn.NORM.DIST(N$3,$CV6,0.3*$CV6,TRUE),$CW6*_xlfn.NORM.DIST(N$3,'energy base (MECS)'!$F$11,0.3*'energy base (MECS)'!$F$11,TRUE))</f>
        <v/>
      </c>
      <c r="O6" s="68">
        <f t="array" ref="O6">IF($D6,SUMPRODUCT((economics!$AG$2:$AG$167=$B6)*(economics!$D$2:$D$167="whr")*economics!$AH$2:$AH$167*_xlfn.NORM.DIST(O$3,economics!$AK$2:$AK$167,economics!$AJ$2:$AJ$167,TRUE))+$CR6*_xlfn.NORM.DIST(O$3,$CU6,0.3*$CU6,TRUE)+$CS6*_xlfn.NORM.DIST(O$3,$CV6,0.3*$CV6,TRUE),$CW6*_xlfn.NORM.DIST(O$3,'energy base (MECS)'!$F$11,0.3*'energy base (MECS)'!$F$11,TRUE))</f>
        <v/>
      </c>
      <c r="P6" s="68">
        <f t="array" ref="P6">IF($D6,SUMPRODUCT((economics!$AG$2:$AG$167=$B6)*(economics!$D$2:$D$167="whr")*economics!$AH$2:$AH$167*_xlfn.NORM.DIST(P$3,economics!$AK$2:$AK$167,economics!$AJ$2:$AJ$167,TRUE))+$CR6*_xlfn.NORM.DIST(P$3,$CU6,0.3*$CU6,TRUE)+$CS6*_xlfn.NORM.DIST(P$3,$CV6,0.3*$CV6,TRUE),$CW6*_xlfn.NORM.DIST(P$3,'energy base (MECS)'!$F$11,0.3*'energy base (MECS)'!$F$11,TRUE))</f>
        <v/>
      </c>
      <c r="Q6" s="68">
        <f t="array" ref="Q6">IF($D6,SUMPRODUCT((economics!$AG$2:$AG$167=$B6)*(economics!$D$2:$D$167="whr")*economics!$AH$2:$AH$167*_xlfn.NORM.DIST(Q$3,economics!$AK$2:$AK$167,economics!$AJ$2:$AJ$167,TRUE))+$CR6*_xlfn.NORM.DIST(Q$3,$CU6,0.3*$CU6,TRUE)+$CS6*_xlfn.NORM.DIST(Q$3,$CV6,0.3*$CV6,TRUE),$CW6*_xlfn.NORM.DIST(Q$3,'energy base (MECS)'!$F$11,0.3*'energy base (MECS)'!$F$11,TRUE))</f>
        <v/>
      </c>
      <c r="R6" s="68">
        <f t="array" ref="R6">IF($D6,SUMPRODUCT((economics!$AG$2:$AG$167=$B6)*(economics!$D$2:$D$167="whr")*economics!$AH$2:$AH$167*_xlfn.NORM.DIST(R$3,economics!$AK$2:$AK$167,economics!$AJ$2:$AJ$167,TRUE))+$CR6*_xlfn.NORM.DIST(R$3,$CU6,0.3*$CU6,TRUE)+$CS6*_xlfn.NORM.DIST(R$3,$CV6,0.3*$CV6,TRUE),$CW6*_xlfn.NORM.DIST(R$3,'energy base (MECS)'!$F$11,0.3*'energy base (MECS)'!$F$11,TRUE))</f>
        <v/>
      </c>
      <c r="S6" s="68">
        <f t="array" ref="S6">IF($D6,SUMPRODUCT((economics!$AG$2:$AG$167=$B6)*(economics!$D$2:$D$167="whr")*economics!$AH$2:$AH$167*_xlfn.NORM.DIST(S$3,economics!$AK$2:$AK$167,economics!$AJ$2:$AJ$167,TRUE))+$CR6*_xlfn.NORM.DIST(S$3,$CU6,0.3*$CU6,TRUE)+$CS6*_xlfn.NORM.DIST(S$3,$CV6,0.3*$CV6,TRUE),$CW6*_xlfn.NORM.DIST(S$3,'energy base (MECS)'!$F$11,0.3*'energy base (MECS)'!$F$11,TRUE))</f>
        <v/>
      </c>
      <c r="T6" s="68">
        <f t="array" ref="T6">IF($D6,SUMPRODUCT((economics!$AG$2:$AG$167=$B6)*(economics!$D$2:$D$167="whr")*economics!$AH$2:$AH$167*_xlfn.NORM.DIST(T$3,economics!$AK$2:$AK$167,economics!$AJ$2:$AJ$167,TRUE))+$CR6*_xlfn.NORM.DIST(T$3,$CU6,0.3*$CU6,TRUE)+$CS6*_xlfn.NORM.DIST(T$3,$CV6,0.3*$CV6,TRUE),$CW6*_xlfn.NORM.DIST(T$3,'energy base (MECS)'!$F$11,0.3*'energy base (MECS)'!$F$11,TRUE))</f>
        <v/>
      </c>
      <c r="U6" s="68">
        <f t="array" ref="U6">IF($D6,SUMPRODUCT((economics!$AG$2:$AG$167=$B6)*(economics!$D$2:$D$167="whr")*economics!$AH$2:$AH$167*_xlfn.NORM.DIST(U$3,economics!$AK$2:$AK$167,economics!$AJ$2:$AJ$167,TRUE))+$CR6*_xlfn.NORM.DIST(U$3,$CU6,0.3*$CU6,TRUE)+$CS6*_xlfn.NORM.DIST(U$3,$CV6,0.3*$CV6,TRUE),$CW6*_xlfn.NORM.DIST(U$3,'energy base (MECS)'!$F$11,0.3*'energy base (MECS)'!$F$11,TRUE))</f>
        <v/>
      </c>
      <c r="V6" s="68">
        <f t="array" ref="V6">IF($D6,SUMPRODUCT((economics!$AG$2:$AG$167=$B6)*(economics!$D$2:$D$167="whr")*economics!$AH$2:$AH$167*_xlfn.NORM.DIST(V$3,economics!$AK$2:$AK$167,economics!$AJ$2:$AJ$167,TRUE))+$CR6*_xlfn.NORM.DIST(V$3,$CU6,0.3*$CU6,TRUE)+$CS6*_xlfn.NORM.DIST(V$3,$CV6,0.3*$CV6,TRUE),$CW6*_xlfn.NORM.DIST(V$3,'energy base (MECS)'!$F$11,0.3*'energy base (MECS)'!$F$11,TRUE))</f>
        <v/>
      </c>
      <c r="W6" s="68">
        <f t="array" ref="W6">IF($D6,SUMPRODUCT((economics!$AG$2:$AG$167=$B6)*(economics!$D$2:$D$167="whr")*economics!$AH$2:$AH$167*_xlfn.NORM.DIST(W$3,economics!$AK$2:$AK$167,economics!$AJ$2:$AJ$167,TRUE))+$CR6*_xlfn.NORM.DIST(W$3,$CU6,0.3*$CU6,TRUE)+$CS6*_xlfn.NORM.DIST(W$3,$CV6,0.3*$CV6,TRUE),$CW6*_xlfn.NORM.DIST(W$3,'energy base (MECS)'!$F$11,0.3*'energy base (MECS)'!$F$11,TRUE))</f>
        <v/>
      </c>
      <c r="X6" s="68">
        <f t="array" ref="X6">IF($D6,SUMPRODUCT((economics!$AG$2:$AG$167=$B6)*(economics!$D$2:$D$167="whr")*economics!$AH$2:$AH$167*_xlfn.NORM.DIST(X$3,economics!$AK$2:$AK$167,economics!$AJ$2:$AJ$167,TRUE))+$CR6*_xlfn.NORM.DIST(X$3,$CU6,0.3*$CU6,TRUE)+$CS6*_xlfn.NORM.DIST(X$3,$CV6,0.3*$CV6,TRUE),$CW6*_xlfn.NORM.DIST(X$3,'energy base (MECS)'!$F$11,0.3*'energy base (MECS)'!$F$11,TRUE))</f>
        <v/>
      </c>
      <c r="Y6" s="68">
        <f t="array" ref="Y6">IF($D6,SUMPRODUCT((economics!$AG$2:$AG$167=$B6)*(economics!$D$2:$D$167="whr")*economics!$AH$2:$AH$167*_xlfn.NORM.DIST(Y$3,economics!$AK$2:$AK$167,economics!$AJ$2:$AJ$167,TRUE))+$CR6*_xlfn.NORM.DIST(Y$3,$CU6,0.3*$CU6,TRUE)+$CS6*_xlfn.NORM.DIST(Y$3,$CV6,0.3*$CV6,TRUE),$CW6*_xlfn.NORM.DIST(Y$3,'energy base (MECS)'!$F$11,0.3*'energy base (MECS)'!$F$11,TRUE))</f>
        <v/>
      </c>
      <c r="Z6" s="68">
        <f t="array" ref="Z6">IF($D6,SUMPRODUCT((economics!$AG$2:$AG$167=$B6)*(economics!$D$2:$D$167="whr")*economics!$AH$2:$AH$167*_xlfn.NORM.DIST(Z$3,economics!$AK$2:$AK$167,economics!$AJ$2:$AJ$167,TRUE))+$CR6*_xlfn.NORM.DIST(Z$3,$CU6,0.3*$CU6,TRUE)+$CS6*_xlfn.NORM.DIST(Z$3,$CV6,0.3*$CV6,TRUE),$CW6*_xlfn.NORM.DIST(Z$3,'energy base (MECS)'!$F$11,0.3*'energy base (MECS)'!$F$11,TRUE))</f>
        <v/>
      </c>
      <c r="AA6" s="68">
        <f t="array" ref="AA6">IF($D6,SUMPRODUCT((economics!$AG$2:$AG$167=$B6)*(economics!$D$2:$D$167="whr")*economics!$AH$2:$AH$167*_xlfn.NORM.DIST(AA$3,economics!$AK$2:$AK$167,economics!$AJ$2:$AJ$167,TRUE))+$CR6*_xlfn.NORM.DIST(AA$3,$CU6,0.3*$CU6,TRUE)+$CS6*_xlfn.NORM.DIST(AA$3,$CV6,0.3*$CV6,TRUE),$CW6*_xlfn.NORM.DIST(AA$3,'energy base (MECS)'!$F$11,0.3*'energy base (MECS)'!$F$11,TRUE))</f>
        <v/>
      </c>
      <c r="AB6" s="68">
        <f t="array" ref="AB6">IF($D6,SUMPRODUCT((economics!$AG$2:$AG$167=$B6)*(economics!$D$2:$D$167="whr")*economics!$AH$2:$AH$167*_xlfn.NORM.DIST(AB$3,economics!$AK$2:$AK$167,economics!$AJ$2:$AJ$167,TRUE))+$CR6*_xlfn.NORM.DIST(AB$3,$CU6,0.3*$CU6,TRUE)+$CS6*_xlfn.NORM.DIST(AB$3,$CV6,0.3*$CV6,TRUE),$CW6*_xlfn.NORM.DIST(AB$3,'energy base (MECS)'!$F$11,0.3*'energy base (MECS)'!$F$11,TRUE))</f>
        <v/>
      </c>
      <c r="AC6" s="68">
        <f t="array" ref="AC6">IF($D6,SUMPRODUCT((economics!$AG$2:$AG$167=$B6)*(economics!$D$2:$D$167="whr")*economics!$AH$2:$AH$167*_xlfn.NORM.DIST(AC$3,economics!$AK$2:$AK$167,economics!$AJ$2:$AJ$167,TRUE))+$CR6*_xlfn.NORM.DIST(AC$3,$CU6,0.3*$CU6,TRUE)+$CS6*_xlfn.NORM.DIST(AC$3,$CV6,0.3*$CV6,TRUE),$CW6*_xlfn.NORM.DIST(AC$3,'energy base (MECS)'!$F$11,0.3*'energy base (MECS)'!$F$11,TRUE))</f>
        <v/>
      </c>
      <c r="AD6" s="68">
        <f t="array" ref="AD6">IF($D6,SUMPRODUCT((economics!$AG$2:$AG$167=$B6)*(economics!$D$2:$D$167="whr")*economics!$AH$2:$AH$167*_xlfn.NORM.DIST(AD$3,economics!$AK$2:$AK$167,economics!$AJ$2:$AJ$167,TRUE))+$CR6*_xlfn.NORM.DIST(AD$3,$CU6,0.3*$CU6,TRUE)+$CS6*_xlfn.NORM.DIST(AD$3,$CV6,0.3*$CV6,TRUE),$CW6*_xlfn.NORM.DIST(AD$3,'energy base (MECS)'!$F$11,0.3*'energy base (MECS)'!$F$11,TRUE))</f>
        <v/>
      </c>
      <c r="AE6" s="68">
        <f t="array" ref="AE6">IF($D6,SUMPRODUCT((economics!$AG$2:$AG$167=$B6)*(economics!$D$2:$D$167="whr")*economics!$AH$2:$AH$167*_xlfn.NORM.DIST(AE$3,economics!$AK$2:$AK$167,economics!$AJ$2:$AJ$167,TRUE))+$CR6*_xlfn.NORM.DIST(AE$3,$CU6,0.3*$CU6,TRUE)+$CS6*_xlfn.NORM.DIST(AE$3,$CV6,0.3*$CV6,TRUE),$CW6*_xlfn.NORM.DIST(AE$3,'energy base (MECS)'!$F$11,0.3*'energy base (MECS)'!$F$11,TRUE))</f>
        <v/>
      </c>
      <c r="AF6" s="68">
        <f t="array" ref="AF6">IF($D6,SUMPRODUCT((economics!$AG$2:$AG$167=$B6)*(economics!$D$2:$D$167="whr")*economics!$AH$2:$AH$167*_xlfn.NORM.DIST(AF$3,economics!$AK$2:$AK$167,economics!$AJ$2:$AJ$167,TRUE))+$CR6*_xlfn.NORM.DIST(AF$3,$CU6,0.3*$CU6,TRUE)+$CS6*_xlfn.NORM.DIST(AF$3,$CV6,0.3*$CV6,TRUE),$CW6*_xlfn.NORM.DIST(AF$3,'energy base (MECS)'!$F$11,0.3*'energy base (MECS)'!$F$11,TRUE))</f>
        <v/>
      </c>
      <c r="AG6" s="68">
        <f t="array" ref="AG6">IF($D6,SUMPRODUCT((economics!$AG$2:$AG$167=$B6)*(economics!$D$2:$D$167="whr")*economics!$AH$2:$AH$167*_xlfn.NORM.DIST(AG$3,economics!$AK$2:$AK$167,economics!$AJ$2:$AJ$167,TRUE))+$CR6*_xlfn.NORM.DIST(AG$3,$CU6,0.3*$CU6,TRUE)+$CS6*_xlfn.NORM.DIST(AG$3,$CV6,0.3*$CV6,TRUE),$CW6*_xlfn.NORM.DIST(AG$3,'energy base (MECS)'!$F$11,0.3*'energy base (MECS)'!$F$11,TRUE))</f>
        <v/>
      </c>
      <c r="AH6" s="68">
        <f t="array" ref="AH6">IF($D6,SUMPRODUCT((economics!$AG$2:$AG$167=$B6)*(economics!$D$2:$D$167="whr")*economics!$AH$2:$AH$167*_xlfn.NORM.DIST(AH$3,economics!$AK$2:$AK$167,economics!$AJ$2:$AJ$167,TRUE))+$CR6*_xlfn.NORM.DIST(AH$3,$CU6,0.3*$CU6,TRUE)+$CS6*_xlfn.NORM.DIST(AH$3,$CV6,0.3*$CV6,TRUE),$CW6*_xlfn.NORM.DIST(AH$3,'energy base (MECS)'!$F$11,0.3*'energy base (MECS)'!$F$11,TRUE))</f>
        <v/>
      </c>
      <c r="AI6" s="68">
        <f t="array" ref="AI6">IF($D6,SUMPRODUCT((economics!$AG$2:$AG$167=$B6)*(economics!$D$2:$D$167="whr")*economics!$AH$2:$AH$167*_xlfn.NORM.DIST(AI$3,economics!$AK$2:$AK$167,economics!$AJ$2:$AJ$167,TRUE))+$CR6*_xlfn.NORM.DIST(AI$3,$CU6,0.3*$CU6,TRUE)+$CS6*_xlfn.NORM.DIST(AI$3,$CV6,0.3*$CV6,TRUE),$CW6*_xlfn.NORM.DIST(AI$3,'energy base (MECS)'!$F$11,0.3*'energy base (MECS)'!$F$11,TRUE))</f>
        <v/>
      </c>
      <c r="AJ6" s="68">
        <f t="array" ref="AJ6">IF($D6,SUMPRODUCT((economics!$AG$2:$AG$167=$B6)*(economics!$D$2:$D$167="whr")*economics!$AH$2:$AH$167*_xlfn.NORM.DIST(AJ$3,economics!$AK$2:$AK$167,economics!$AJ$2:$AJ$167,TRUE))+$CR6*_xlfn.NORM.DIST(AJ$3,$CU6,0.3*$CU6,TRUE)+$CS6*_xlfn.NORM.DIST(AJ$3,$CV6,0.3*$CV6,TRUE),$CW6*_xlfn.NORM.DIST(AJ$3,'energy base (MECS)'!$F$11,0.3*'energy base (MECS)'!$F$11,TRUE))</f>
        <v/>
      </c>
      <c r="AK6" s="68">
        <f t="array" ref="AK6">IF($D6,SUMPRODUCT((economics!$AG$2:$AG$167=$B6)*(economics!$D$2:$D$167="whr")*economics!$AH$2:$AH$167*_xlfn.NORM.DIST(AK$3,economics!$AK$2:$AK$167,economics!$AJ$2:$AJ$167,TRUE))+$CR6*_xlfn.NORM.DIST(AK$3,$CU6,0.3*$CU6,TRUE)+$CS6*_xlfn.NORM.DIST(AK$3,$CV6,0.3*$CV6,TRUE),$CW6*_xlfn.NORM.DIST(AK$3,'energy base (MECS)'!$F$11,0.3*'energy base (MECS)'!$F$11,TRUE))</f>
        <v/>
      </c>
      <c r="AL6" s="68">
        <f t="array" ref="AL6">IF($D6,SUMPRODUCT((economics!$AG$2:$AG$167=$B6)*(economics!$D$2:$D$167="whr")*economics!$AH$2:$AH$167*_xlfn.NORM.DIST(AL$3,economics!$AK$2:$AK$167,economics!$AJ$2:$AJ$167,TRUE))+$CR6*_xlfn.NORM.DIST(AL$3,$CU6,0.3*$CU6,TRUE)+$CS6*_xlfn.NORM.DIST(AL$3,$CV6,0.3*$CV6,TRUE),$CW6*_xlfn.NORM.DIST(AL$3,'energy base (MECS)'!$F$11,0.3*'energy base (MECS)'!$F$11,TRUE))</f>
        <v/>
      </c>
      <c r="AM6" s="68">
        <f t="array" ref="AM6">IF($D6,SUMPRODUCT((economics!$AG$2:$AG$167=$B6)*(economics!$D$2:$D$167="whr")*economics!$AH$2:$AH$167*_xlfn.NORM.DIST(AM$3,economics!$AK$2:$AK$167,economics!$AJ$2:$AJ$167,TRUE))+$CR6*_xlfn.NORM.DIST(AM$3,$CU6,0.3*$CU6,TRUE)+$CS6*_xlfn.NORM.DIST(AM$3,$CV6,0.3*$CV6,TRUE),$CW6*_xlfn.NORM.DIST(AM$3,'energy base (MECS)'!$F$11,0.3*'energy base (MECS)'!$F$11,TRUE))</f>
        <v/>
      </c>
      <c r="AN6" s="68">
        <f t="array" ref="AN6">IF($D6,SUMPRODUCT((economics!$AG$2:$AG$167=$B6)*(economics!$D$2:$D$167="whr")*economics!$AH$2:$AH$167*_xlfn.NORM.DIST(AN$3,economics!$AK$2:$AK$167,economics!$AJ$2:$AJ$167,TRUE))+$CR6*_xlfn.NORM.DIST(AN$3,$CU6,0.3*$CU6,TRUE)+$CS6*_xlfn.NORM.DIST(AN$3,$CV6,0.3*$CV6,TRUE),$CW6*_xlfn.NORM.DIST(AN$3,'energy base (MECS)'!$F$11,0.3*'energy base (MECS)'!$F$11,TRUE))</f>
        <v/>
      </c>
      <c r="AO6" s="68">
        <f t="array" ref="AO6">IF($D6,SUMPRODUCT((economics!$AG$2:$AG$167=$B6)*(economics!$D$2:$D$167="whr")*economics!$AH$2:$AH$167*_xlfn.NORM.DIST(AO$3,economics!$AK$2:$AK$167,economics!$AJ$2:$AJ$167,TRUE))+$CR6*_xlfn.NORM.DIST(AO$3,$CU6,0.3*$CU6,TRUE)+$CS6*_xlfn.NORM.DIST(AO$3,$CV6,0.3*$CV6,TRUE),$CW6*_xlfn.NORM.DIST(AO$3,'energy base (MECS)'!$F$11,0.3*'energy base (MECS)'!$F$11,TRUE))</f>
        <v/>
      </c>
      <c r="AP6" s="68">
        <f t="array" ref="AP6">IF($D6,SUMPRODUCT((economics!$AG$2:$AG$167=$B6)*(economics!$D$2:$D$167="whr")*economics!$AH$2:$AH$167*_xlfn.NORM.DIST(AP$3,economics!$AK$2:$AK$167,economics!$AJ$2:$AJ$167,TRUE))+$CR6*_xlfn.NORM.DIST(AP$3,$CU6,0.3*$CU6,TRUE)+$CS6*_xlfn.NORM.DIST(AP$3,$CV6,0.3*$CV6,TRUE),$CW6*_xlfn.NORM.DIST(AP$3,'energy base (MECS)'!$F$11,0.3*'energy base (MECS)'!$F$11,TRUE))</f>
        <v/>
      </c>
      <c r="AQ6" s="68">
        <f t="array" ref="AQ6">IF($D6,SUMPRODUCT((economics!$AG$2:$AG$167=$B6)*(economics!$D$2:$D$167="whr")*economics!$AH$2:$AH$167*_xlfn.NORM.DIST(AQ$3,economics!$AK$2:$AK$167,economics!$AJ$2:$AJ$167,TRUE))+$CR6*_xlfn.NORM.DIST(AQ$3,$CU6,0.3*$CU6,TRUE)+$CS6*_xlfn.NORM.DIST(AQ$3,$CV6,0.3*$CV6,TRUE),$CW6*_xlfn.NORM.DIST(AQ$3,'energy base (MECS)'!$F$11,0.3*'energy base (MECS)'!$F$11,TRUE))</f>
        <v/>
      </c>
      <c r="AR6" s="68">
        <f t="array" ref="AR6">IF($D6,SUMPRODUCT((economics!$AG$2:$AG$167=$B6)*(economics!$D$2:$D$167="whr")*economics!$AH$2:$AH$167*_xlfn.NORM.DIST(AR$3,economics!$AK$2:$AK$167,economics!$AJ$2:$AJ$167,TRUE))+$CR6*_xlfn.NORM.DIST(AR$3,$CU6,0.3*$CU6,TRUE)+$CS6*_xlfn.NORM.DIST(AR$3,$CV6,0.3*$CV6,TRUE),$CW6*_xlfn.NORM.DIST(AR$3,'energy base (MECS)'!$F$11,0.3*'energy base (MECS)'!$F$11,TRUE))</f>
        <v/>
      </c>
      <c r="AS6" s="68">
        <f t="array" ref="AS6">IF($D6,SUMPRODUCT((economics!$AG$2:$AG$167=$B6)*(economics!$D$2:$D$167="whr")*economics!$AH$2:$AH$167*_xlfn.NORM.DIST(AS$3,economics!$AK$2:$AK$167,economics!$AJ$2:$AJ$167,TRUE))+$CR6*_xlfn.NORM.DIST(AS$3,$CU6,0.3*$CU6,TRUE)+$CS6*_xlfn.NORM.DIST(AS$3,$CV6,0.3*$CV6,TRUE),$CW6*_xlfn.NORM.DIST(AS$3,'energy base (MECS)'!$F$11,0.3*'energy base (MECS)'!$F$11,TRUE))</f>
        <v/>
      </c>
      <c r="AT6" s="68">
        <f t="array" ref="AT6">IF($D6,SUMPRODUCT((economics!$AG$2:$AG$167=$B6)*(economics!$D$2:$D$167="whr")*economics!$AH$2:$AH$167*_xlfn.NORM.DIST(AT$3,economics!$AK$2:$AK$167,economics!$AJ$2:$AJ$167,TRUE))+$CR6*_xlfn.NORM.DIST(AT$3,$CU6,0.3*$CU6,TRUE)+$CS6*_xlfn.NORM.DIST(AT$3,$CV6,0.3*$CV6,TRUE),$CW6*_xlfn.NORM.DIST(AT$3,'energy base (MECS)'!$F$11,0.3*'energy base (MECS)'!$F$11,TRUE))</f>
        <v/>
      </c>
      <c r="AU6" s="68">
        <f t="array" ref="AU6">IF($D6,SUMPRODUCT((economics!$AG$2:$AG$167=$B6)*(economics!$D$2:$D$167="whr")*economics!$AH$2:$AH$167*_xlfn.NORM.DIST(AU$3,economics!$AK$2:$AK$167,economics!$AJ$2:$AJ$167,TRUE))+$CR6*_xlfn.NORM.DIST(AU$3,$CU6,0.3*$CU6,TRUE)+$CS6*_xlfn.NORM.DIST(AU$3,$CV6,0.3*$CV6,TRUE),$CW6*_xlfn.NORM.DIST(AU$3,'energy base (MECS)'!$F$11,0.3*'energy base (MECS)'!$F$11,TRUE))</f>
        <v/>
      </c>
      <c r="AV6" s="68">
        <f t="array" ref="AV6">IF($D6,SUMPRODUCT((economics!$AG$2:$AG$167=$B6)*(economics!$D$2:$D$167="whr")*economics!$AH$2:$AH$167*_xlfn.NORM.DIST(AV$3,economics!$AK$2:$AK$167,economics!$AJ$2:$AJ$167,TRUE))+$CR6*_xlfn.NORM.DIST(AV$3,$CU6,0.3*$CU6,TRUE)+$CS6*_xlfn.NORM.DIST(AV$3,$CV6,0.3*$CV6,TRUE),$CW6*_xlfn.NORM.DIST(AV$3,'energy base (MECS)'!$F$11,0.3*'energy base (MECS)'!$F$11,TRUE))</f>
        <v/>
      </c>
      <c r="AW6" s="68">
        <f t="array" ref="AW6">IF($D6,SUMPRODUCT((economics!$AG$2:$AG$167=$B6)*(economics!$D$2:$D$167="whr")*economics!$AH$2:$AH$167*_xlfn.NORM.DIST(AW$3,economics!$AK$2:$AK$167,economics!$AJ$2:$AJ$167,TRUE))+$CR6*_xlfn.NORM.DIST(AW$3,$CU6,0.3*$CU6,TRUE)+$CS6*_xlfn.NORM.DIST(AW$3,$CV6,0.3*$CV6,TRUE),$CW6*_xlfn.NORM.DIST(AW$3,'energy base (MECS)'!$F$11,0.3*'energy base (MECS)'!$F$11,TRUE))</f>
        <v/>
      </c>
      <c r="AX6" s="68">
        <f t="array" ref="AX6">IF($D6,SUMPRODUCT((economics!$AG$2:$AG$167=$B6)*(economics!$D$2:$D$167="whr")*economics!$AH$2:$AH$167*_xlfn.NORM.DIST(AX$3,economics!$AK$2:$AK$167,economics!$AJ$2:$AJ$167,TRUE))+$CR6*_xlfn.NORM.DIST(AX$3,$CU6,0.3*$CU6,TRUE)+$CS6*_xlfn.NORM.DIST(AX$3,$CV6,0.3*$CV6,TRUE),$CW6*_xlfn.NORM.DIST(AX$3,'energy base (MECS)'!$F$11,0.3*'energy base (MECS)'!$F$11,TRUE))</f>
        <v/>
      </c>
      <c r="AY6" s="68">
        <f t="array" ref="AY6">IF($D6,SUMPRODUCT((economics!$AG$2:$AG$167=$B6)*(economics!$D$2:$D$167="whr")*economics!$AH$2:$AH$167*_xlfn.NORM.DIST(AY$3,economics!$AK$2:$AK$167,economics!$AJ$2:$AJ$167,TRUE))+$CR6*_xlfn.NORM.DIST(AY$3,$CU6,0.3*$CU6,TRUE)+$CS6*_xlfn.NORM.DIST(AY$3,$CV6,0.3*$CV6,TRUE),$CW6*_xlfn.NORM.DIST(AY$3,'energy base (MECS)'!$F$11,0.3*'energy base (MECS)'!$F$11,TRUE))</f>
        <v/>
      </c>
      <c r="AZ6" s="68">
        <f t="array" ref="AZ6">IF($D6,SUMPRODUCT((economics!$AG$2:$AG$167=$B6)*(economics!$D$2:$D$167="whr")*economics!$AH$2:$AH$167*_xlfn.NORM.DIST(AZ$3,economics!$AK$2:$AK$167,economics!$AJ$2:$AJ$167,TRUE))+$CR6*_xlfn.NORM.DIST(AZ$3,$CU6,0.3*$CU6,TRUE)+$CS6*_xlfn.NORM.DIST(AZ$3,$CV6,0.3*$CV6,TRUE),$CW6*_xlfn.NORM.DIST(AZ$3,'energy base (MECS)'!$F$11,0.3*'energy base (MECS)'!$F$11,TRUE))</f>
        <v/>
      </c>
      <c r="BA6" s="68">
        <f t="array" ref="BA6">IF($D6,SUMPRODUCT((economics!$AG$2:$AG$167=$B6)*(economics!$D$2:$D$167="whr")*economics!$AH$2:$AH$167*_xlfn.NORM.DIST(BA$3,economics!$AK$2:$AK$167,economics!$AJ$2:$AJ$167,TRUE))+$CR6*_xlfn.NORM.DIST(BA$3,$CU6,0.3*$CU6,TRUE)+$CS6*_xlfn.NORM.DIST(BA$3,$CV6,0.3*$CV6,TRUE),$CW6*_xlfn.NORM.DIST(BA$3,'energy base (MECS)'!$F$11,0.3*'energy base (MECS)'!$F$11,TRUE))</f>
        <v/>
      </c>
      <c r="BB6" s="68">
        <f t="array" ref="BB6">IF($D6,SUMPRODUCT((economics!$AG$2:$AG$167=$B6)*(economics!$D$2:$D$167="whr")*economics!$AH$2:$AH$167*_xlfn.NORM.DIST(BB$3,economics!$AK$2:$AK$167,economics!$AJ$2:$AJ$167,TRUE))+$CR6*_xlfn.NORM.DIST(BB$3,$CU6,0.3*$CU6,TRUE)+$CS6*_xlfn.NORM.DIST(BB$3,$CV6,0.3*$CV6,TRUE),$CW6*_xlfn.NORM.DIST(BB$3,'energy base (MECS)'!$F$11,0.3*'energy base (MECS)'!$F$11,TRUE))</f>
        <v/>
      </c>
      <c r="BC6" s="68">
        <f t="array" ref="BC6">IF($D6,SUMPRODUCT((economics!$AG$2:$AG$167=$B6)*(economics!$D$2:$D$167="whr")*economics!$AH$2:$AH$167*_xlfn.NORM.DIST(BC$3,economics!$AK$2:$AK$167,economics!$AJ$2:$AJ$167,TRUE))+$CR6*_xlfn.NORM.DIST(BC$3,$CU6,0.3*$CU6,TRUE)+$CS6*_xlfn.NORM.DIST(BC$3,$CV6,0.3*$CV6,TRUE),$CW6*_xlfn.NORM.DIST(BC$3,'energy base (MECS)'!$F$11,0.3*'energy base (MECS)'!$F$11,TRUE))</f>
        <v/>
      </c>
      <c r="BD6" s="68">
        <f t="array" ref="BD6">IF($D6,SUMPRODUCT((economics!$AG$2:$AG$167=$B6)*(economics!$D$2:$D$167="whr")*economics!$AH$2:$AH$167*_xlfn.NORM.DIST(BD$3,economics!$AK$2:$AK$167,economics!$AJ$2:$AJ$167,TRUE))+$CR6*_xlfn.NORM.DIST(BD$3,$CU6,0.3*$CU6,TRUE)+$CS6*_xlfn.NORM.DIST(BD$3,$CV6,0.3*$CV6,TRUE),$CW6*_xlfn.NORM.DIST(BD$3,'energy base (MECS)'!$F$11,0.3*'energy base (MECS)'!$F$11,TRUE))</f>
        <v/>
      </c>
      <c r="BE6" s="68">
        <f t="array" ref="BE6">IF($D6,SUMPRODUCT((economics!$AG$2:$AG$167=$B6)*(economics!$D$2:$D$167="whr")*economics!$AH$2:$AH$167*_xlfn.NORM.DIST(BE$3,economics!$AK$2:$AK$167,economics!$AJ$2:$AJ$167,TRUE))+$CR6*_xlfn.NORM.DIST(BE$3,$CU6,0.3*$CU6,TRUE)+$CS6*_xlfn.NORM.DIST(BE$3,$CV6,0.3*$CV6,TRUE),$CW6*_xlfn.NORM.DIST(BE$3,'energy base (MECS)'!$F$11,0.3*'energy base (MECS)'!$F$11,TRUE))</f>
        <v/>
      </c>
      <c r="BF6" s="68">
        <f t="array" ref="BF6">IF($D6,SUMPRODUCT((economics!$AG$2:$AG$167=$B6)*(economics!$D$2:$D$167="whr")*economics!$AH$2:$AH$167*_xlfn.NORM.DIST(BF$3,economics!$AK$2:$AK$167,economics!$AJ$2:$AJ$167,TRUE))+$CR6*_xlfn.NORM.DIST(BF$3,$CU6,0.3*$CU6,TRUE)+$CS6*_xlfn.NORM.DIST(BF$3,$CV6,0.3*$CV6,TRUE),$CW6*_xlfn.NORM.DIST(BF$3,'energy base (MECS)'!$F$11,0.3*'energy base (MECS)'!$F$11,TRUE))</f>
        <v/>
      </c>
      <c r="BG6" s="68">
        <f t="array" ref="BG6">IF($D6,SUMPRODUCT((economics!$AG$2:$AG$167=$B6)*(economics!$D$2:$D$167="whr")*economics!$AH$2:$AH$167*_xlfn.NORM.DIST(BG$3,economics!$AK$2:$AK$167,economics!$AJ$2:$AJ$167,TRUE))+$CR6*_xlfn.NORM.DIST(BG$3,$CU6,0.3*$CU6,TRUE)+$CS6*_xlfn.NORM.DIST(BG$3,$CV6,0.3*$CV6,TRUE),$CW6*_xlfn.NORM.DIST(BG$3,'energy base (MECS)'!$F$11,0.3*'energy base (MECS)'!$F$11,TRUE))</f>
        <v/>
      </c>
      <c r="BH6" s="68">
        <f t="array" ref="BH6">IF($D6,SUMPRODUCT((economics!$AG$2:$AG$167=$B6)*(economics!$D$2:$D$167="whr")*economics!$AH$2:$AH$167*_xlfn.NORM.DIST(BH$3,economics!$AK$2:$AK$167,economics!$AJ$2:$AJ$167,TRUE))+$CR6*_xlfn.NORM.DIST(BH$3,$CU6,0.3*$CU6,TRUE)+$CS6*_xlfn.NORM.DIST(BH$3,$CV6,0.3*$CV6,TRUE),$CW6*_xlfn.NORM.DIST(BH$3,'energy base (MECS)'!$F$11,0.3*'energy base (MECS)'!$F$11,TRUE))</f>
        <v/>
      </c>
      <c r="BI6" s="68">
        <f t="array" ref="BI6">IF($D6,SUMPRODUCT((economics!$AG$2:$AG$167=$B6)*(economics!$D$2:$D$167="whr")*economics!$AH$2:$AH$167*_xlfn.NORM.DIST(BI$3,economics!$AK$2:$AK$167,economics!$AJ$2:$AJ$167,TRUE))+$CR6*_xlfn.NORM.DIST(BI$3,$CU6,0.3*$CU6,TRUE)+$CS6*_xlfn.NORM.DIST(BI$3,$CV6,0.3*$CV6,TRUE),$CW6*_xlfn.NORM.DIST(BI$3,'energy base (MECS)'!$F$11,0.3*'energy base (MECS)'!$F$11,TRUE))</f>
        <v/>
      </c>
      <c r="BJ6" s="68">
        <f t="array" ref="BJ6">IF($D6,SUMPRODUCT((economics!$AG$2:$AG$167=$B6)*(economics!$D$2:$D$167="whr")*economics!$AH$2:$AH$167*_xlfn.NORM.DIST(BJ$3,economics!$AK$2:$AK$167,economics!$AJ$2:$AJ$167,TRUE))+$CR6*_xlfn.NORM.DIST(BJ$3,$CU6,0.3*$CU6,TRUE)+$CS6*_xlfn.NORM.DIST(BJ$3,$CV6,0.3*$CV6,TRUE),$CW6*_xlfn.NORM.DIST(BJ$3,'energy base (MECS)'!$F$11,0.3*'energy base (MECS)'!$F$11,TRUE))</f>
        <v/>
      </c>
      <c r="BK6" s="68">
        <f t="array" ref="BK6">IF($D6,SUMPRODUCT((economics!$AG$2:$AG$167=$B6)*(economics!$D$2:$D$167="whr")*economics!$AH$2:$AH$167*_xlfn.NORM.DIST(BK$3,economics!$AK$2:$AK$167,economics!$AJ$2:$AJ$167,TRUE))+$CR6*_xlfn.NORM.DIST(BK$3,$CU6,0.3*$CU6,TRUE)+$CS6*_xlfn.NORM.DIST(BK$3,$CV6,0.3*$CV6,TRUE),$CW6*_xlfn.NORM.DIST(BK$3,'energy base (MECS)'!$F$11,0.3*'energy base (MECS)'!$F$11,TRUE))</f>
        <v/>
      </c>
      <c r="BL6" s="68">
        <f t="array" ref="BL6">IF($D6,SUMPRODUCT((economics!$AG$2:$AG$167=$B6)*(economics!$D$2:$D$167="whr")*economics!$AH$2:$AH$167*_xlfn.NORM.DIST(BL$3,economics!$AK$2:$AK$167,economics!$AJ$2:$AJ$167,TRUE))+$CR6*_xlfn.NORM.DIST(BL$3,$CU6,0.3*$CU6,TRUE)+$CS6*_xlfn.NORM.DIST(BL$3,$CV6,0.3*$CV6,TRUE),$CW6*_xlfn.NORM.DIST(BL$3,'energy base (MECS)'!$F$11,0.3*'energy base (MECS)'!$F$11,TRUE))</f>
        <v/>
      </c>
      <c r="BM6" s="68">
        <f t="array" ref="BM6">IF($D6,SUMPRODUCT((economics!$AG$2:$AG$167=$B6)*(economics!$D$2:$D$167="whr")*economics!$AH$2:$AH$167*_xlfn.NORM.DIST(BM$3,economics!$AK$2:$AK$167,economics!$AJ$2:$AJ$167,TRUE))+$CR6*_xlfn.NORM.DIST(BM$3,$CU6,0.3*$CU6,TRUE)+$CS6*_xlfn.NORM.DIST(BM$3,$CV6,0.3*$CV6,TRUE),$CW6*_xlfn.NORM.DIST(BM$3,'energy base (MECS)'!$F$11,0.3*'energy base (MECS)'!$F$11,TRUE))</f>
        <v/>
      </c>
      <c r="BN6" s="68">
        <f t="array" ref="BN6">IF($D6,SUMPRODUCT((economics!$AG$2:$AG$167=$B6)*(economics!$D$2:$D$167="whr")*economics!$AH$2:$AH$167*_xlfn.NORM.DIST(BN$3,economics!$AK$2:$AK$167,economics!$AJ$2:$AJ$167,TRUE))+$CR6*_xlfn.NORM.DIST(BN$3,$CU6,0.3*$CU6,TRUE)+$CS6*_xlfn.NORM.DIST(BN$3,$CV6,0.3*$CV6,TRUE),$CW6*_xlfn.NORM.DIST(BN$3,'energy base (MECS)'!$F$11,0.3*'energy base (MECS)'!$F$11,TRUE))</f>
        <v/>
      </c>
      <c r="BO6" s="68">
        <f t="array" ref="BO6">IF($D6,SUMPRODUCT((economics!$AG$2:$AG$167=$B6)*(economics!$D$2:$D$167="whr")*economics!$AH$2:$AH$167*_xlfn.NORM.DIST(BO$3,economics!$AK$2:$AK$167,economics!$AJ$2:$AJ$167,TRUE))+$CR6*_xlfn.NORM.DIST(BO$3,$CU6,0.3*$CU6,TRUE)+$CS6*_xlfn.NORM.DIST(BO$3,$CV6,0.3*$CV6,TRUE),$CW6*_xlfn.NORM.DIST(BO$3,'energy base (MECS)'!$F$11,0.3*'energy base (MECS)'!$F$11,TRUE))</f>
        <v/>
      </c>
      <c r="BP6" s="68">
        <f t="array" ref="BP6">IF($D6,SUMPRODUCT((economics!$AG$2:$AG$167=$B6)*(economics!$D$2:$D$167="whr")*economics!$AH$2:$AH$167*_xlfn.NORM.DIST(BP$3,economics!$AK$2:$AK$167,economics!$AJ$2:$AJ$167,TRUE))+$CR6*_xlfn.NORM.DIST(BP$3,$CU6,0.3*$CU6,TRUE)+$CS6*_xlfn.NORM.DIST(BP$3,$CV6,0.3*$CV6,TRUE),$CW6*_xlfn.NORM.DIST(BP$3,'energy base (MECS)'!$F$11,0.3*'energy base (MECS)'!$F$11,TRUE))</f>
        <v/>
      </c>
      <c r="BQ6" s="68">
        <f t="array" ref="BQ6">IF($D6,SUMPRODUCT((economics!$AG$2:$AG$167=$B6)*(economics!$D$2:$D$167="whr")*economics!$AH$2:$AH$167*_xlfn.NORM.DIST(BQ$3,economics!$AK$2:$AK$167,economics!$AJ$2:$AJ$167,TRUE))+$CR6*_xlfn.NORM.DIST(BQ$3,$CU6,0.3*$CU6,TRUE)+$CS6*_xlfn.NORM.DIST(BQ$3,$CV6,0.3*$CV6,TRUE),$CW6*_xlfn.NORM.DIST(BQ$3,'energy base (MECS)'!$F$11,0.3*'energy base (MECS)'!$F$11,TRUE))</f>
        <v/>
      </c>
      <c r="BR6" s="68">
        <f t="array" ref="BR6">IF($D6,SUMPRODUCT((economics!$AG$2:$AG$167=$B6)*(economics!$D$2:$D$167="whr")*economics!$AH$2:$AH$167*_xlfn.NORM.DIST(BR$3,economics!$AK$2:$AK$167,economics!$AJ$2:$AJ$167,TRUE))+$CR6*_xlfn.NORM.DIST(BR$3,$CU6,0.3*$CU6,TRUE)+$CS6*_xlfn.NORM.DIST(BR$3,$CV6,0.3*$CV6,TRUE),$CW6*_xlfn.NORM.DIST(BR$3,'energy base (MECS)'!$F$11,0.3*'energy base (MECS)'!$F$11,TRUE))</f>
        <v/>
      </c>
      <c r="BS6" s="68">
        <f t="array" ref="BS6">IF($D6,SUMPRODUCT((economics!$AG$2:$AG$167=$B6)*(economics!$D$2:$D$167="whr")*economics!$AH$2:$AH$167*_xlfn.NORM.DIST(BS$3,economics!$AK$2:$AK$167,economics!$AJ$2:$AJ$167,TRUE))+$CR6*_xlfn.NORM.DIST(BS$3,$CU6,0.3*$CU6,TRUE)+$CS6*_xlfn.NORM.DIST(BS$3,$CV6,0.3*$CV6,TRUE),$CW6*_xlfn.NORM.DIST(BS$3,'energy base (MECS)'!$F$11,0.3*'energy base (MECS)'!$F$11,TRUE))</f>
        <v/>
      </c>
      <c r="BT6" s="68">
        <f t="array" ref="BT6">IF($D6,SUMPRODUCT((economics!$AG$2:$AG$167=$B6)*(economics!$D$2:$D$167="whr")*economics!$AH$2:$AH$167*_xlfn.NORM.DIST(BT$3,economics!$AK$2:$AK$167,economics!$AJ$2:$AJ$167,TRUE))+$CR6*_xlfn.NORM.DIST(BT$3,$CU6,0.3*$CU6,TRUE)+$CS6*_xlfn.NORM.DIST(BT$3,$CV6,0.3*$CV6,TRUE),$CW6*_xlfn.NORM.DIST(BT$3,'energy base (MECS)'!$F$11,0.3*'energy base (MECS)'!$F$11,TRUE))</f>
        <v/>
      </c>
      <c r="BU6" s="68">
        <f t="array" ref="BU6">IF($D6,SUMPRODUCT((economics!$AG$2:$AG$167=$B6)*(economics!$D$2:$D$167="whr")*economics!$AH$2:$AH$167*_xlfn.NORM.DIST(BU$3,economics!$AK$2:$AK$167,economics!$AJ$2:$AJ$167,TRUE))+$CR6*_xlfn.NORM.DIST(BU$3,$CU6,0.3*$CU6,TRUE)+$CS6*_xlfn.NORM.DIST(BU$3,$CV6,0.3*$CV6,TRUE),$CW6*_xlfn.NORM.DIST(BU$3,'energy base (MECS)'!$F$11,0.3*'energy base (MECS)'!$F$11,TRUE))</f>
        <v/>
      </c>
      <c r="BV6" s="68">
        <f t="array" ref="BV6">IF($D6,SUMPRODUCT((economics!$AG$2:$AG$167=$B6)*(economics!$D$2:$D$167="whr")*economics!$AH$2:$AH$167*_xlfn.NORM.DIST(BV$3,economics!$AK$2:$AK$167,economics!$AJ$2:$AJ$167,TRUE))+$CR6*_xlfn.NORM.DIST(BV$3,$CU6,0.3*$CU6,TRUE)+$CS6*_xlfn.NORM.DIST(BV$3,$CV6,0.3*$CV6,TRUE),$CW6*_xlfn.NORM.DIST(BV$3,'energy base (MECS)'!$F$11,0.3*'energy base (MECS)'!$F$11,TRUE))</f>
        <v/>
      </c>
      <c r="BW6" s="68">
        <f t="array" ref="BW6">IF($D6,SUMPRODUCT((economics!$AG$2:$AG$167=$B6)*(economics!$D$2:$D$167="whr")*economics!$AH$2:$AH$167*_xlfn.NORM.DIST(BW$3,economics!$AK$2:$AK$167,economics!$AJ$2:$AJ$167,TRUE))+$CR6*_xlfn.NORM.DIST(BW$3,$CU6,0.3*$CU6,TRUE)+$CS6*_xlfn.NORM.DIST(BW$3,$CV6,0.3*$CV6,TRUE),$CW6*_xlfn.NORM.DIST(BW$3,'energy base (MECS)'!$F$11,0.3*'energy base (MECS)'!$F$11,TRUE))</f>
        <v/>
      </c>
      <c r="BX6" s="68">
        <f t="array" ref="BX6">IF($D6,SUMPRODUCT((economics!$AG$2:$AG$167=$B6)*(economics!$D$2:$D$167="whr")*economics!$AH$2:$AH$167*_xlfn.NORM.DIST(BX$3,economics!$AK$2:$AK$167,economics!$AJ$2:$AJ$167,TRUE))+$CR6*_xlfn.NORM.DIST(BX$3,$CU6,0.3*$CU6,TRUE)+$CS6*_xlfn.NORM.DIST(BX$3,$CV6,0.3*$CV6,TRUE),$CW6*_xlfn.NORM.DIST(BX$3,'energy base (MECS)'!$F$11,0.3*'energy base (MECS)'!$F$11,TRUE))</f>
        <v/>
      </c>
      <c r="BY6" s="68">
        <f t="array" ref="BY6">IF($D6,SUMPRODUCT((economics!$AG$2:$AG$167=$B6)*(economics!$D$2:$D$167="whr")*economics!$AH$2:$AH$167*_xlfn.NORM.DIST(BY$3,economics!$AK$2:$AK$167,economics!$AJ$2:$AJ$167,TRUE))+$CR6*_xlfn.NORM.DIST(BY$3,$CU6,0.3*$CU6,TRUE)+$CS6*_xlfn.NORM.DIST(BY$3,$CV6,0.3*$CV6,TRUE),$CW6*_xlfn.NORM.DIST(BY$3,'energy base (MECS)'!$F$11,0.3*'energy base (MECS)'!$F$11,TRUE))</f>
        <v/>
      </c>
      <c r="BZ6" s="68">
        <f t="array" ref="BZ6">IF($D6,SUMPRODUCT((economics!$AG$2:$AG$167=$B6)*(economics!$D$2:$D$167="whr")*economics!$AH$2:$AH$167*_xlfn.NORM.DIST(BZ$3,economics!$AK$2:$AK$167,economics!$AJ$2:$AJ$167,TRUE))+$CR6*_xlfn.NORM.DIST(BZ$3,$CU6,0.3*$CU6,TRUE)+$CS6*_xlfn.NORM.DIST(BZ$3,$CV6,0.3*$CV6,TRUE),$CW6*_xlfn.NORM.DIST(BZ$3,'energy base (MECS)'!$F$11,0.3*'energy base (MECS)'!$F$11,TRUE))</f>
        <v/>
      </c>
      <c r="CA6" s="68">
        <f t="array" ref="CA6">IF($D6,SUMPRODUCT((economics!$AG$2:$AG$167=$B6)*(economics!$D$2:$D$167="whr")*economics!$AH$2:$AH$167*_xlfn.NORM.DIST(CA$3,economics!$AK$2:$AK$167,economics!$AJ$2:$AJ$167,TRUE))+$CR6*_xlfn.NORM.DIST(CA$3,$CU6,0.3*$CU6,TRUE)+$CS6*_xlfn.NORM.DIST(CA$3,$CV6,0.3*$CV6,TRUE),$CW6*_xlfn.NORM.DIST(CA$3,'energy base (MECS)'!$F$11,0.3*'energy base (MECS)'!$F$11,TRUE))</f>
        <v/>
      </c>
      <c r="CB6" s="68">
        <f t="array" ref="CB6">IF($D6,SUMPRODUCT((economics!$AG$2:$AG$167=$B6)*(economics!$D$2:$D$167="whr")*economics!$AH$2:$AH$167*_xlfn.NORM.DIST(CB$3,economics!$AK$2:$AK$167,economics!$AJ$2:$AJ$167,TRUE))+$CR6*_xlfn.NORM.DIST(CB$3,$CU6,0.3*$CU6,TRUE)+$CS6*_xlfn.NORM.DIST(CB$3,$CV6,0.3*$CV6,TRUE),$CW6*_xlfn.NORM.DIST(CB$3,'energy base (MECS)'!$F$11,0.3*'energy base (MECS)'!$F$11,TRUE))</f>
        <v/>
      </c>
      <c r="CC6" s="68">
        <f t="array" ref="CC6">IF($D6,SUMPRODUCT((economics!$AG$2:$AG$167=$B6)*(economics!$D$2:$D$167="whr")*economics!$AH$2:$AH$167*_xlfn.NORM.DIST(CC$3,economics!$AK$2:$AK$167,economics!$AJ$2:$AJ$167,TRUE))+$CR6*_xlfn.NORM.DIST(CC$3,$CU6,0.3*$CU6,TRUE)+$CS6*_xlfn.NORM.DIST(CC$3,$CV6,0.3*$CV6,TRUE),$CW6*_xlfn.NORM.DIST(CC$3,'energy base (MECS)'!$F$11,0.3*'energy base (MECS)'!$F$11,TRUE))</f>
        <v/>
      </c>
      <c r="CD6" s="68">
        <f t="array" ref="CD6">IF($D6,SUMPRODUCT((economics!$AG$2:$AG$167=$B6)*(economics!$D$2:$D$167="whr")*economics!$AH$2:$AH$167*_xlfn.NORM.DIST(CD$3,economics!$AK$2:$AK$167,economics!$AJ$2:$AJ$167,TRUE))+$CR6*_xlfn.NORM.DIST(CD$3,$CU6,0.3*$CU6,TRUE)+$CS6*_xlfn.NORM.DIST(CD$3,$CV6,0.3*$CV6,TRUE),$CW6*_xlfn.NORM.DIST(CD$3,'energy base (MECS)'!$F$11,0.3*'energy base (MECS)'!$F$11,TRUE))</f>
        <v/>
      </c>
      <c r="CE6" s="68">
        <f t="array" ref="CE6">IF($D6,SUMPRODUCT((economics!$AG$2:$AG$167=$B6)*(economics!$D$2:$D$167="whr")*economics!$AH$2:$AH$167*_xlfn.NORM.DIST(CE$3,economics!$AK$2:$AK$167,economics!$AJ$2:$AJ$167,TRUE))+$CR6*_xlfn.NORM.DIST(CE$3,$CU6,0.3*$CU6,TRUE)+$CS6*_xlfn.NORM.DIST(CE$3,$CV6,0.3*$CV6,TRUE),$CW6*_xlfn.NORM.DIST(CE$3,'energy base (MECS)'!$F$11,0.3*'energy base (MECS)'!$F$11,TRUE))</f>
        <v/>
      </c>
      <c r="CF6" s="68">
        <f t="array" ref="CF6">IF($D6,SUMPRODUCT((economics!$AG$2:$AG$167=$B6)*(economics!$D$2:$D$167="whr")*economics!$AH$2:$AH$167*_xlfn.NORM.DIST(CF$3,economics!$AK$2:$AK$167,economics!$AJ$2:$AJ$167,TRUE))+$CR6*_xlfn.NORM.DIST(CF$3,$CU6,0.3*$CU6,TRUE)+$CS6*_xlfn.NORM.DIST(CF$3,$CV6,0.3*$CV6,TRUE),$CW6*_xlfn.NORM.DIST(CF$3,'energy base (MECS)'!$F$11,0.3*'energy base (MECS)'!$F$11,TRUE))</f>
        <v/>
      </c>
      <c r="CG6" s="68">
        <f t="array" ref="CG6">IF($D6,SUMPRODUCT((economics!$AG$2:$AG$167=$B6)*(economics!$D$2:$D$167="whr")*economics!$AH$2:$AH$167*_xlfn.NORM.DIST(CG$3,economics!$AK$2:$AK$167,economics!$AJ$2:$AJ$167,TRUE))+$CR6*_xlfn.NORM.DIST(CG$3,$CU6,0.3*$CU6,TRUE)+$CS6*_xlfn.NORM.DIST(CG$3,$CV6,0.3*$CV6,TRUE),$CW6*_xlfn.NORM.DIST(CG$3,'energy base (MECS)'!$F$11,0.3*'energy base (MECS)'!$F$11,TRUE))</f>
        <v/>
      </c>
      <c r="CH6" s="68">
        <f t="array" ref="CH6">IF($D6,SUMPRODUCT((economics!$AG$2:$AG$167=$B6)*(economics!$D$2:$D$167="whr")*economics!$AH$2:$AH$167*_xlfn.NORM.DIST(CH$3,economics!$AK$2:$AK$167,economics!$AJ$2:$AJ$167,TRUE))+$CR6*_xlfn.NORM.DIST(CH$3,$CU6,0.3*$CU6,TRUE)+$CS6*_xlfn.NORM.DIST(CH$3,$CV6,0.3*$CV6,TRUE),$CW6*_xlfn.NORM.DIST(CH$3,'energy base (MECS)'!$F$11,0.3*'energy base (MECS)'!$F$11,TRUE))</f>
        <v/>
      </c>
      <c r="CJ6">
        <f t="array" ref="CJ6">SUMPRODUCT((economics!$AG$2:$AG$167=$B6)*(economics!$D$2:$D$167="whr")*economics!$AH$2:$AH$167)</f>
        <v/>
      </c>
      <c r="CK6" s="80">
        <f>'indst heat consumption'!D6</f>
        <v/>
      </c>
      <c r="CL6" s="80">
        <f>'indst heat consumption'!E6</f>
        <v/>
      </c>
      <c r="CM6" s="80">
        <f>'indst heat consumption'!F6</f>
        <v/>
      </c>
      <c r="CN6" s="80">
        <f>'indst heat consumption'!G6</f>
        <v/>
      </c>
      <c r="CO6" s="80">
        <f>'indst heat consumption'!H6</f>
        <v/>
      </c>
      <c r="CP6">
        <f>$C6*(CK6*summary!$B$94+CL6*summary!$C$94+CM6*summary!$D$94)</f>
        <v/>
      </c>
      <c r="CQ6">
        <f>$C6*(CN6*summary!$E$94+CO6*summary!$F$94)</f>
        <v/>
      </c>
      <c r="CR6">
        <f>IF(CP6+CQ6&gt;0,CP6*MAX(0,CP6+CQ6-CJ6)/(CP6+CQ6),0)</f>
        <v/>
      </c>
      <c r="CS6">
        <f>IF(CP6+CQ6&gt;0,CQ6*MAX(0,CP6+CQ6-CJ6)/(CP6+CQ6),0)</f>
        <v/>
      </c>
      <c r="CT6">
        <f>IFERROR(_xlfn.XLOOKUP($B6,'BCoISC-WACCbI'!$C$2:$C$26,'BCoISC-WACCbI'!$B$2:$B$26)+economics!$AE$4,0.1)</f>
        <v/>
      </c>
      <c r="CU6">
        <f>(summary!$C$7*(CT6/(1-(1+CT6)^-summary!$D$7))+summary!$C$7*summary!$E$7)/(summary!$F$7*3412/1000000)</f>
        <v/>
      </c>
      <c r="CV6">
        <f>(summary!$C$6*(CT6/(1-(1+CT6)^-summary!$D$6))+summary!$C$6*summary!$E$6)/(summary!$F$6*3412/1000000)</f>
        <v/>
      </c>
      <c r="CW6">
        <f>CR6+CS6</f>
        <v/>
      </c>
    </row>
    <row r="7">
      <c r="A7">
        <f>WHRPbI!A5</f>
        <v/>
      </c>
      <c r="B7" t="inlineStr">
        <is>
          <t>07T08</t>
        </is>
      </c>
      <c r="C7" s="68">
        <f>WHRPbI!B5</f>
        <v/>
      </c>
      <c r="D7">
        <f>ISNUMBER(MATCH($B7,'energy base (MECS)'!$K$4:$K$9,0))</f>
        <v/>
      </c>
      <c r="E7" s="68">
        <f t="array" ref="E7">IF($D7,SUMPRODUCT((economics!$AG$2:$AG$167=$B7)*(economics!$D$2:$D$167="whr")*economics!$AH$2:$AH$167*_xlfn.NORM.DIST(E$3,economics!$AK$2:$AK$167,economics!$AJ$2:$AJ$167,TRUE))+$CR7*_xlfn.NORM.DIST(E$3,$CU7,0.3*$CU7,TRUE)+$CS7*_xlfn.NORM.DIST(E$3,$CV7,0.3*$CV7,TRUE),$CW7*_xlfn.NORM.DIST(E$3,'energy base (MECS)'!$F$11,0.3*'energy base (MECS)'!$F$11,TRUE))</f>
        <v/>
      </c>
      <c r="F7" s="68">
        <f t="array" ref="F7">IF($D7,SUMPRODUCT((economics!$AG$2:$AG$167=$B7)*(economics!$D$2:$D$167="whr")*economics!$AH$2:$AH$167*_xlfn.NORM.DIST(F$3,economics!$AK$2:$AK$167,economics!$AJ$2:$AJ$167,TRUE))+$CR7*_xlfn.NORM.DIST(F$3,$CU7,0.3*$CU7,TRUE)+$CS7*_xlfn.NORM.DIST(F$3,$CV7,0.3*$CV7,TRUE),$CW7*_xlfn.NORM.DIST(F$3,'energy base (MECS)'!$F$11,0.3*'energy base (MECS)'!$F$11,TRUE))</f>
        <v/>
      </c>
      <c r="G7" s="68">
        <f t="array" ref="G7">IF($D7,SUMPRODUCT((economics!$AG$2:$AG$167=$B7)*(economics!$D$2:$D$167="whr")*economics!$AH$2:$AH$167*_xlfn.NORM.DIST(G$3,economics!$AK$2:$AK$167,economics!$AJ$2:$AJ$167,TRUE))+$CR7*_xlfn.NORM.DIST(G$3,$CU7,0.3*$CU7,TRUE)+$CS7*_xlfn.NORM.DIST(G$3,$CV7,0.3*$CV7,TRUE),$CW7*_xlfn.NORM.DIST(G$3,'energy base (MECS)'!$F$11,0.3*'energy base (MECS)'!$F$11,TRUE))</f>
        <v/>
      </c>
      <c r="H7" s="68">
        <f t="array" ref="H7">IF($D7,SUMPRODUCT((economics!$AG$2:$AG$167=$B7)*(economics!$D$2:$D$167="whr")*economics!$AH$2:$AH$167*_xlfn.NORM.DIST(H$3,economics!$AK$2:$AK$167,economics!$AJ$2:$AJ$167,TRUE))+$CR7*_xlfn.NORM.DIST(H$3,$CU7,0.3*$CU7,TRUE)+$CS7*_xlfn.NORM.DIST(H$3,$CV7,0.3*$CV7,TRUE),$CW7*_xlfn.NORM.DIST(H$3,'energy base (MECS)'!$F$11,0.3*'energy base (MECS)'!$F$11,TRUE))</f>
        <v/>
      </c>
      <c r="I7" s="68">
        <f t="array" ref="I7">IF($D7,SUMPRODUCT((economics!$AG$2:$AG$167=$B7)*(economics!$D$2:$D$167="whr")*economics!$AH$2:$AH$167*_xlfn.NORM.DIST(I$3,economics!$AK$2:$AK$167,economics!$AJ$2:$AJ$167,TRUE))+$CR7*_xlfn.NORM.DIST(I$3,$CU7,0.3*$CU7,TRUE)+$CS7*_xlfn.NORM.DIST(I$3,$CV7,0.3*$CV7,TRUE),$CW7*_xlfn.NORM.DIST(I$3,'energy base (MECS)'!$F$11,0.3*'energy base (MECS)'!$F$11,TRUE))</f>
        <v/>
      </c>
      <c r="J7" s="68">
        <f t="array" ref="J7">IF($D7,SUMPRODUCT((economics!$AG$2:$AG$167=$B7)*(economics!$D$2:$D$167="whr")*economics!$AH$2:$AH$167*_xlfn.NORM.DIST(J$3,economics!$AK$2:$AK$167,economics!$AJ$2:$AJ$167,TRUE))+$CR7*_xlfn.NORM.DIST(J$3,$CU7,0.3*$CU7,TRUE)+$CS7*_xlfn.NORM.DIST(J$3,$CV7,0.3*$CV7,TRUE),$CW7*_xlfn.NORM.DIST(J$3,'energy base (MECS)'!$F$11,0.3*'energy base (MECS)'!$F$11,TRUE))</f>
        <v/>
      </c>
      <c r="K7" s="68">
        <f t="array" ref="K7">IF($D7,SUMPRODUCT((economics!$AG$2:$AG$167=$B7)*(economics!$D$2:$D$167="whr")*economics!$AH$2:$AH$167*_xlfn.NORM.DIST(K$3,economics!$AK$2:$AK$167,economics!$AJ$2:$AJ$167,TRUE))+$CR7*_xlfn.NORM.DIST(K$3,$CU7,0.3*$CU7,TRUE)+$CS7*_xlfn.NORM.DIST(K$3,$CV7,0.3*$CV7,TRUE),$CW7*_xlfn.NORM.DIST(K$3,'energy base (MECS)'!$F$11,0.3*'energy base (MECS)'!$F$11,TRUE))</f>
        <v/>
      </c>
      <c r="L7" s="68">
        <f t="array" ref="L7">IF($D7,SUMPRODUCT((economics!$AG$2:$AG$167=$B7)*(economics!$D$2:$D$167="whr")*economics!$AH$2:$AH$167*_xlfn.NORM.DIST(L$3,economics!$AK$2:$AK$167,economics!$AJ$2:$AJ$167,TRUE))+$CR7*_xlfn.NORM.DIST(L$3,$CU7,0.3*$CU7,TRUE)+$CS7*_xlfn.NORM.DIST(L$3,$CV7,0.3*$CV7,TRUE),$CW7*_xlfn.NORM.DIST(L$3,'energy base (MECS)'!$F$11,0.3*'energy base (MECS)'!$F$11,TRUE))</f>
        <v/>
      </c>
      <c r="M7" s="68">
        <f t="array" ref="M7">IF($D7,SUMPRODUCT((economics!$AG$2:$AG$167=$B7)*(economics!$D$2:$D$167="whr")*economics!$AH$2:$AH$167*_xlfn.NORM.DIST(M$3,economics!$AK$2:$AK$167,economics!$AJ$2:$AJ$167,TRUE))+$CR7*_xlfn.NORM.DIST(M$3,$CU7,0.3*$CU7,TRUE)+$CS7*_xlfn.NORM.DIST(M$3,$CV7,0.3*$CV7,TRUE),$CW7*_xlfn.NORM.DIST(M$3,'energy base (MECS)'!$F$11,0.3*'energy base (MECS)'!$F$11,TRUE))</f>
        <v/>
      </c>
      <c r="N7" s="68">
        <f t="array" ref="N7">IF($D7,SUMPRODUCT((economics!$AG$2:$AG$167=$B7)*(economics!$D$2:$D$167="whr")*economics!$AH$2:$AH$167*_xlfn.NORM.DIST(N$3,economics!$AK$2:$AK$167,economics!$AJ$2:$AJ$167,TRUE))+$CR7*_xlfn.NORM.DIST(N$3,$CU7,0.3*$CU7,TRUE)+$CS7*_xlfn.NORM.DIST(N$3,$CV7,0.3*$CV7,TRUE),$CW7*_xlfn.NORM.DIST(N$3,'energy base (MECS)'!$F$11,0.3*'energy base (MECS)'!$F$11,TRUE))</f>
        <v/>
      </c>
      <c r="O7" s="68">
        <f t="array" ref="O7">IF($D7,SUMPRODUCT((economics!$AG$2:$AG$167=$B7)*(economics!$D$2:$D$167="whr")*economics!$AH$2:$AH$167*_xlfn.NORM.DIST(O$3,economics!$AK$2:$AK$167,economics!$AJ$2:$AJ$167,TRUE))+$CR7*_xlfn.NORM.DIST(O$3,$CU7,0.3*$CU7,TRUE)+$CS7*_xlfn.NORM.DIST(O$3,$CV7,0.3*$CV7,TRUE),$CW7*_xlfn.NORM.DIST(O$3,'energy base (MECS)'!$F$11,0.3*'energy base (MECS)'!$F$11,TRUE))</f>
        <v/>
      </c>
      <c r="P7" s="68">
        <f t="array" ref="P7">IF($D7,SUMPRODUCT((economics!$AG$2:$AG$167=$B7)*(economics!$D$2:$D$167="whr")*economics!$AH$2:$AH$167*_xlfn.NORM.DIST(P$3,economics!$AK$2:$AK$167,economics!$AJ$2:$AJ$167,TRUE))+$CR7*_xlfn.NORM.DIST(P$3,$CU7,0.3*$CU7,TRUE)+$CS7*_xlfn.NORM.DIST(P$3,$CV7,0.3*$CV7,TRUE),$CW7*_xlfn.NORM.DIST(P$3,'energy base (MECS)'!$F$11,0.3*'energy base (MECS)'!$F$11,TRUE))</f>
        <v/>
      </c>
      <c r="Q7" s="68">
        <f t="array" ref="Q7">IF($D7,SUMPRODUCT((economics!$AG$2:$AG$167=$B7)*(economics!$D$2:$D$167="whr")*economics!$AH$2:$AH$167*_xlfn.NORM.DIST(Q$3,economics!$AK$2:$AK$167,economics!$AJ$2:$AJ$167,TRUE))+$CR7*_xlfn.NORM.DIST(Q$3,$CU7,0.3*$CU7,TRUE)+$CS7*_xlfn.NORM.DIST(Q$3,$CV7,0.3*$CV7,TRUE),$CW7*_xlfn.NORM.DIST(Q$3,'energy base (MECS)'!$F$11,0.3*'energy base (MECS)'!$F$11,TRUE))</f>
        <v/>
      </c>
      <c r="R7" s="68">
        <f t="array" ref="R7">IF($D7,SUMPRODUCT((economics!$AG$2:$AG$167=$B7)*(economics!$D$2:$D$167="whr")*economics!$AH$2:$AH$167*_xlfn.NORM.DIST(R$3,economics!$AK$2:$AK$167,economics!$AJ$2:$AJ$167,TRUE))+$CR7*_xlfn.NORM.DIST(R$3,$CU7,0.3*$CU7,TRUE)+$CS7*_xlfn.NORM.DIST(R$3,$CV7,0.3*$CV7,TRUE),$CW7*_xlfn.NORM.DIST(R$3,'energy base (MECS)'!$F$11,0.3*'energy base (MECS)'!$F$11,TRUE))</f>
        <v/>
      </c>
      <c r="S7" s="68">
        <f t="array" ref="S7">IF($D7,SUMPRODUCT((economics!$AG$2:$AG$167=$B7)*(economics!$D$2:$D$167="whr")*economics!$AH$2:$AH$167*_xlfn.NORM.DIST(S$3,economics!$AK$2:$AK$167,economics!$AJ$2:$AJ$167,TRUE))+$CR7*_xlfn.NORM.DIST(S$3,$CU7,0.3*$CU7,TRUE)+$CS7*_xlfn.NORM.DIST(S$3,$CV7,0.3*$CV7,TRUE),$CW7*_xlfn.NORM.DIST(S$3,'energy base (MECS)'!$F$11,0.3*'energy base (MECS)'!$F$11,TRUE))</f>
        <v/>
      </c>
      <c r="T7" s="68">
        <f t="array" ref="T7">IF($D7,SUMPRODUCT((economics!$AG$2:$AG$167=$B7)*(economics!$D$2:$D$167="whr")*economics!$AH$2:$AH$167*_xlfn.NORM.DIST(T$3,economics!$AK$2:$AK$167,economics!$AJ$2:$AJ$167,TRUE))+$CR7*_xlfn.NORM.DIST(T$3,$CU7,0.3*$CU7,TRUE)+$CS7*_xlfn.NORM.DIST(T$3,$CV7,0.3*$CV7,TRUE),$CW7*_xlfn.NORM.DIST(T$3,'energy base (MECS)'!$F$11,0.3*'energy base (MECS)'!$F$11,TRUE))</f>
        <v/>
      </c>
      <c r="U7" s="68">
        <f t="array" ref="U7">IF($D7,SUMPRODUCT((economics!$AG$2:$AG$167=$B7)*(economics!$D$2:$D$167="whr")*economics!$AH$2:$AH$167*_xlfn.NORM.DIST(U$3,economics!$AK$2:$AK$167,economics!$AJ$2:$AJ$167,TRUE))+$CR7*_xlfn.NORM.DIST(U$3,$CU7,0.3*$CU7,TRUE)+$CS7*_xlfn.NORM.DIST(U$3,$CV7,0.3*$CV7,TRUE),$CW7*_xlfn.NORM.DIST(U$3,'energy base (MECS)'!$F$11,0.3*'energy base (MECS)'!$F$11,TRUE))</f>
        <v/>
      </c>
      <c r="V7" s="68">
        <f t="array" ref="V7">IF($D7,SUMPRODUCT((economics!$AG$2:$AG$167=$B7)*(economics!$D$2:$D$167="whr")*economics!$AH$2:$AH$167*_xlfn.NORM.DIST(V$3,economics!$AK$2:$AK$167,economics!$AJ$2:$AJ$167,TRUE))+$CR7*_xlfn.NORM.DIST(V$3,$CU7,0.3*$CU7,TRUE)+$CS7*_xlfn.NORM.DIST(V$3,$CV7,0.3*$CV7,TRUE),$CW7*_xlfn.NORM.DIST(V$3,'energy base (MECS)'!$F$11,0.3*'energy base (MECS)'!$F$11,TRUE))</f>
        <v/>
      </c>
      <c r="W7" s="68">
        <f t="array" ref="W7">IF($D7,SUMPRODUCT((economics!$AG$2:$AG$167=$B7)*(economics!$D$2:$D$167="whr")*economics!$AH$2:$AH$167*_xlfn.NORM.DIST(W$3,economics!$AK$2:$AK$167,economics!$AJ$2:$AJ$167,TRUE))+$CR7*_xlfn.NORM.DIST(W$3,$CU7,0.3*$CU7,TRUE)+$CS7*_xlfn.NORM.DIST(W$3,$CV7,0.3*$CV7,TRUE),$CW7*_xlfn.NORM.DIST(W$3,'energy base (MECS)'!$F$11,0.3*'energy base (MECS)'!$F$11,TRUE))</f>
        <v/>
      </c>
      <c r="X7" s="68">
        <f t="array" ref="X7">IF($D7,SUMPRODUCT((economics!$AG$2:$AG$167=$B7)*(economics!$D$2:$D$167="whr")*economics!$AH$2:$AH$167*_xlfn.NORM.DIST(X$3,economics!$AK$2:$AK$167,economics!$AJ$2:$AJ$167,TRUE))+$CR7*_xlfn.NORM.DIST(X$3,$CU7,0.3*$CU7,TRUE)+$CS7*_xlfn.NORM.DIST(X$3,$CV7,0.3*$CV7,TRUE),$CW7*_xlfn.NORM.DIST(X$3,'energy base (MECS)'!$F$11,0.3*'energy base (MECS)'!$F$11,TRUE))</f>
        <v/>
      </c>
      <c r="Y7" s="68">
        <f t="array" ref="Y7">IF($D7,SUMPRODUCT((economics!$AG$2:$AG$167=$B7)*(economics!$D$2:$D$167="whr")*economics!$AH$2:$AH$167*_xlfn.NORM.DIST(Y$3,economics!$AK$2:$AK$167,economics!$AJ$2:$AJ$167,TRUE))+$CR7*_xlfn.NORM.DIST(Y$3,$CU7,0.3*$CU7,TRUE)+$CS7*_xlfn.NORM.DIST(Y$3,$CV7,0.3*$CV7,TRUE),$CW7*_xlfn.NORM.DIST(Y$3,'energy base (MECS)'!$F$11,0.3*'energy base (MECS)'!$F$11,TRUE))</f>
        <v/>
      </c>
      <c r="Z7" s="68">
        <f t="array" ref="Z7">IF($D7,SUMPRODUCT((economics!$AG$2:$AG$167=$B7)*(economics!$D$2:$D$167="whr")*economics!$AH$2:$AH$167*_xlfn.NORM.DIST(Z$3,economics!$AK$2:$AK$167,economics!$AJ$2:$AJ$167,TRUE))+$CR7*_xlfn.NORM.DIST(Z$3,$CU7,0.3*$CU7,TRUE)+$CS7*_xlfn.NORM.DIST(Z$3,$CV7,0.3*$CV7,TRUE),$CW7*_xlfn.NORM.DIST(Z$3,'energy base (MECS)'!$F$11,0.3*'energy base (MECS)'!$F$11,TRUE))</f>
        <v/>
      </c>
      <c r="AA7" s="68">
        <f t="array" ref="AA7">IF($D7,SUMPRODUCT((economics!$AG$2:$AG$167=$B7)*(economics!$D$2:$D$167="whr")*economics!$AH$2:$AH$167*_xlfn.NORM.DIST(AA$3,economics!$AK$2:$AK$167,economics!$AJ$2:$AJ$167,TRUE))+$CR7*_xlfn.NORM.DIST(AA$3,$CU7,0.3*$CU7,TRUE)+$CS7*_xlfn.NORM.DIST(AA$3,$CV7,0.3*$CV7,TRUE),$CW7*_xlfn.NORM.DIST(AA$3,'energy base (MECS)'!$F$11,0.3*'energy base (MECS)'!$F$11,TRUE))</f>
        <v/>
      </c>
      <c r="AB7" s="68">
        <f t="array" ref="AB7">IF($D7,SUMPRODUCT((economics!$AG$2:$AG$167=$B7)*(economics!$D$2:$D$167="whr")*economics!$AH$2:$AH$167*_xlfn.NORM.DIST(AB$3,economics!$AK$2:$AK$167,economics!$AJ$2:$AJ$167,TRUE))+$CR7*_xlfn.NORM.DIST(AB$3,$CU7,0.3*$CU7,TRUE)+$CS7*_xlfn.NORM.DIST(AB$3,$CV7,0.3*$CV7,TRUE),$CW7*_xlfn.NORM.DIST(AB$3,'energy base (MECS)'!$F$11,0.3*'energy base (MECS)'!$F$11,TRUE))</f>
        <v/>
      </c>
      <c r="AC7" s="68">
        <f t="array" ref="AC7">IF($D7,SUMPRODUCT((economics!$AG$2:$AG$167=$B7)*(economics!$D$2:$D$167="whr")*economics!$AH$2:$AH$167*_xlfn.NORM.DIST(AC$3,economics!$AK$2:$AK$167,economics!$AJ$2:$AJ$167,TRUE))+$CR7*_xlfn.NORM.DIST(AC$3,$CU7,0.3*$CU7,TRUE)+$CS7*_xlfn.NORM.DIST(AC$3,$CV7,0.3*$CV7,TRUE),$CW7*_xlfn.NORM.DIST(AC$3,'energy base (MECS)'!$F$11,0.3*'energy base (MECS)'!$F$11,TRUE))</f>
        <v/>
      </c>
      <c r="AD7" s="68">
        <f t="array" ref="AD7">IF($D7,SUMPRODUCT((economics!$AG$2:$AG$167=$B7)*(economics!$D$2:$D$167="whr")*economics!$AH$2:$AH$167*_xlfn.NORM.DIST(AD$3,economics!$AK$2:$AK$167,economics!$AJ$2:$AJ$167,TRUE))+$CR7*_xlfn.NORM.DIST(AD$3,$CU7,0.3*$CU7,TRUE)+$CS7*_xlfn.NORM.DIST(AD$3,$CV7,0.3*$CV7,TRUE),$CW7*_xlfn.NORM.DIST(AD$3,'energy base (MECS)'!$F$11,0.3*'energy base (MECS)'!$F$11,TRUE))</f>
        <v/>
      </c>
      <c r="AE7" s="68">
        <f t="array" ref="AE7">IF($D7,SUMPRODUCT((economics!$AG$2:$AG$167=$B7)*(economics!$D$2:$D$167="whr")*economics!$AH$2:$AH$167*_xlfn.NORM.DIST(AE$3,economics!$AK$2:$AK$167,economics!$AJ$2:$AJ$167,TRUE))+$CR7*_xlfn.NORM.DIST(AE$3,$CU7,0.3*$CU7,TRUE)+$CS7*_xlfn.NORM.DIST(AE$3,$CV7,0.3*$CV7,TRUE),$CW7*_xlfn.NORM.DIST(AE$3,'energy base (MECS)'!$F$11,0.3*'energy base (MECS)'!$F$11,TRUE))</f>
        <v/>
      </c>
      <c r="AF7" s="68">
        <f t="array" ref="AF7">IF($D7,SUMPRODUCT((economics!$AG$2:$AG$167=$B7)*(economics!$D$2:$D$167="whr")*economics!$AH$2:$AH$167*_xlfn.NORM.DIST(AF$3,economics!$AK$2:$AK$167,economics!$AJ$2:$AJ$167,TRUE))+$CR7*_xlfn.NORM.DIST(AF$3,$CU7,0.3*$CU7,TRUE)+$CS7*_xlfn.NORM.DIST(AF$3,$CV7,0.3*$CV7,TRUE),$CW7*_xlfn.NORM.DIST(AF$3,'energy base (MECS)'!$F$11,0.3*'energy base (MECS)'!$F$11,TRUE))</f>
        <v/>
      </c>
      <c r="AG7" s="68">
        <f t="array" ref="AG7">IF($D7,SUMPRODUCT((economics!$AG$2:$AG$167=$B7)*(economics!$D$2:$D$167="whr")*economics!$AH$2:$AH$167*_xlfn.NORM.DIST(AG$3,economics!$AK$2:$AK$167,economics!$AJ$2:$AJ$167,TRUE))+$CR7*_xlfn.NORM.DIST(AG$3,$CU7,0.3*$CU7,TRUE)+$CS7*_xlfn.NORM.DIST(AG$3,$CV7,0.3*$CV7,TRUE),$CW7*_xlfn.NORM.DIST(AG$3,'energy base (MECS)'!$F$11,0.3*'energy base (MECS)'!$F$11,TRUE))</f>
        <v/>
      </c>
      <c r="AH7" s="68">
        <f t="array" ref="AH7">IF($D7,SUMPRODUCT((economics!$AG$2:$AG$167=$B7)*(economics!$D$2:$D$167="whr")*economics!$AH$2:$AH$167*_xlfn.NORM.DIST(AH$3,economics!$AK$2:$AK$167,economics!$AJ$2:$AJ$167,TRUE))+$CR7*_xlfn.NORM.DIST(AH$3,$CU7,0.3*$CU7,TRUE)+$CS7*_xlfn.NORM.DIST(AH$3,$CV7,0.3*$CV7,TRUE),$CW7*_xlfn.NORM.DIST(AH$3,'energy base (MECS)'!$F$11,0.3*'energy base (MECS)'!$F$11,TRUE))</f>
        <v/>
      </c>
      <c r="AI7" s="68">
        <f t="array" ref="AI7">IF($D7,SUMPRODUCT((economics!$AG$2:$AG$167=$B7)*(economics!$D$2:$D$167="whr")*economics!$AH$2:$AH$167*_xlfn.NORM.DIST(AI$3,economics!$AK$2:$AK$167,economics!$AJ$2:$AJ$167,TRUE))+$CR7*_xlfn.NORM.DIST(AI$3,$CU7,0.3*$CU7,TRUE)+$CS7*_xlfn.NORM.DIST(AI$3,$CV7,0.3*$CV7,TRUE),$CW7*_xlfn.NORM.DIST(AI$3,'energy base (MECS)'!$F$11,0.3*'energy base (MECS)'!$F$11,TRUE))</f>
        <v/>
      </c>
      <c r="AJ7" s="68">
        <f t="array" ref="AJ7">IF($D7,SUMPRODUCT((economics!$AG$2:$AG$167=$B7)*(economics!$D$2:$D$167="whr")*economics!$AH$2:$AH$167*_xlfn.NORM.DIST(AJ$3,economics!$AK$2:$AK$167,economics!$AJ$2:$AJ$167,TRUE))+$CR7*_xlfn.NORM.DIST(AJ$3,$CU7,0.3*$CU7,TRUE)+$CS7*_xlfn.NORM.DIST(AJ$3,$CV7,0.3*$CV7,TRUE),$CW7*_xlfn.NORM.DIST(AJ$3,'energy base (MECS)'!$F$11,0.3*'energy base (MECS)'!$F$11,TRUE))</f>
        <v/>
      </c>
      <c r="AK7" s="68">
        <f t="array" ref="AK7">IF($D7,SUMPRODUCT((economics!$AG$2:$AG$167=$B7)*(economics!$D$2:$D$167="whr")*economics!$AH$2:$AH$167*_xlfn.NORM.DIST(AK$3,economics!$AK$2:$AK$167,economics!$AJ$2:$AJ$167,TRUE))+$CR7*_xlfn.NORM.DIST(AK$3,$CU7,0.3*$CU7,TRUE)+$CS7*_xlfn.NORM.DIST(AK$3,$CV7,0.3*$CV7,TRUE),$CW7*_xlfn.NORM.DIST(AK$3,'energy base (MECS)'!$F$11,0.3*'energy base (MECS)'!$F$11,TRUE))</f>
        <v/>
      </c>
      <c r="AL7" s="68">
        <f t="array" ref="AL7">IF($D7,SUMPRODUCT((economics!$AG$2:$AG$167=$B7)*(economics!$D$2:$D$167="whr")*economics!$AH$2:$AH$167*_xlfn.NORM.DIST(AL$3,economics!$AK$2:$AK$167,economics!$AJ$2:$AJ$167,TRUE))+$CR7*_xlfn.NORM.DIST(AL$3,$CU7,0.3*$CU7,TRUE)+$CS7*_xlfn.NORM.DIST(AL$3,$CV7,0.3*$CV7,TRUE),$CW7*_xlfn.NORM.DIST(AL$3,'energy base (MECS)'!$F$11,0.3*'energy base (MECS)'!$F$11,TRUE))</f>
        <v/>
      </c>
      <c r="AM7" s="68">
        <f t="array" ref="AM7">IF($D7,SUMPRODUCT((economics!$AG$2:$AG$167=$B7)*(economics!$D$2:$D$167="whr")*economics!$AH$2:$AH$167*_xlfn.NORM.DIST(AM$3,economics!$AK$2:$AK$167,economics!$AJ$2:$AJ$167,TRUE))+$CR7*_xlfn.NORM.DIST(AM$3,$CU7,0.3*$CU7,TRUE)+$CS7*_xlfn.NORM.DIST(AM$3,$CV7,0.3*$CV7,TRUE),$CW7*_xlfn.NORM.DIST(AM$3,'energy base (MECS)'!$F$11,0.3*'energy base (MECS)'!$F$11,TRUE))</f>
        <v/>
      </c>
      <c r="AN7" s="68">
        <f t="array" ref="AN7">IF($D7,SUMPRODUCT((economics!$AG$2:$AG$167=$B7)*(economics!$D$2:$D$167="whr")*economics!$AH$2:$AH$167*_xlfn.NORM.DIST(AN$3,economics!$AK$2:$AK$167,economics!$AJ$2:$AJ$167,TRUE))+$CR7*_xlfn.NORM.DIST(AN$3,$CU7,0.3*$CU7,TRUE)+$CS7*_xlfn.NORM.DIST(AN$3,$CV7,0.3*$CV7,TRUE),$CW7*_xlfn.NORM.DIST(AN$3,'energy base (MECS)'!$F$11,0.3*'energy base (MECS)'!$F$11,TRUE))</f>
        <v/>
      </c>
      <c r="AO7" s="68">
        <f t="array" ref="AO7">IF($D7,SUMPRODUCT((economics!$AG$2:$AG$167=$B7)*(economics!$D$2:$D$167="whr")*economics!$AH$2:$AH$167*_xlfn.NORM.DIST(AO$3,economics!$AK$2:$AK$167,economics!$AJ$2:$AJ$167,TRUE))+$CR7*_xlfn.NORM.DIST(AO$3,$CU7,0.3*$CU7,TRUE)+$CS7*_xlfn.NORM.DIST(AO$3,$CV7,0.3*$CV7,TRUE),$CW7*_xlfn.NORM.DIST(AO$3,'energy base (MECS)'!$F$11,0.3*'energy base (MECS)'!$F$11,TRUE))</f>
        <v/>
      </c>
      <c r="AP7" s="68">
        <f t="array" ref="AP7">IF($D7,SUMPRODUCT((economics!$AG$2:$AG$167=$B7)*(economics!$D$2:$D$167="whr")*economics!$AH$2:$AH$167*_xlfn.NORM.DIST(AP$3,economics!$AK$2:$AK$167,economics!$AJ$2:$AJ$167,TRUE))+$CR7*_xlfn.NORM.DIST(AP$3,$CU7,0.3*$CU7,TRUE)+$CS7*_xlfn.NORM.DIST(AP$3,$CV7,0.3*$CV7,TRUE),$CW7*_xlfn.NORM.DIST(AP$3,'energy base (MECS)'!$F$11,0.3*'energy base (MECS)'!$F$11,TRUE))</f>
        <v/>
      </c>
      <c r="AQ7" s="68">
        <f t="array" ref="AQ7">IF($D7,SUMPRODUCT((economics!$AG$2:$AG$167=$B7)*(economics!$D$2:$D$167="whr")*economics!$AH$2:$AH$167*_xlfn.NORM.DIST(AQ$3,economics!$AK$2:$AK$167,economics!$AJ$2:$AJ$167,TRUE))+$CR7*_xlfn.NORM.DIST(AQ$3,$CU7,0.3*$CU7,TRUE)+$CS7*_xlfn.NORM.DIST(AQ$3,$CV7,0.3*$CV7,TRUE),$CW7*_xlfn.NORM.DIST(AQ$3,'energy base (MECS)'!$F$11,0.3*'energy base (MECS)'!$F$11,TRUE))</f>
        <v/>
      </c>
      <c r="AR7" s="68">
        <f t="array" ref="AR7">IF($D7,SUMPRODUCT((economics!$AG$2:$AG$167=$B7)*(economics!$D$2:$D$167="whr")*economics!$AH$2:$AH$167*_xlfn.NORM.DIST(AR$3,economics!$AK$2:$AK$167,economics!$AJ$2:$AJ$167,TRUE))+$CR7*_xlfn.NORM.DIST(AR$3,$CU7,0.3*$CU7,TRUE)+$CS7*_xlfn.NORM.DIST(AR$3,$CV7,0.3*$CV7,TRUE),$CW7*_xlfn.NORM.DIST(AR$3,'energy base (MECS)'!$F$11,0.3*'energy base (MECS)'!$F$11,TRUE))</f>
        <v/>
      </c>
      <c r="AS7" s="68">
        <f t="array" ref="AS7">IF($D7,SUMPRODUCT((economics!$AG$2:$AG$167=$B7)*(economics!$D$2:$D$167="whr")*economics!$AH$2:$AH$167*_xlfn.NORM.DIST(AS$3,economics!$AK$2:$AK$167,economics!$AJ$2:$AJ$167,TRUE))+$CR7*_xlfn.NORM.DIST(AS$3,$CU7,0.3*$CU7,TRUE)+$CS7*_xlfn.NORM.DIST(AS$3,$CV7,0.3*$CV7,TRUE),$CW7*_xlfn.NORM.DIST(AS$3,'energy base (MECS)'!$F$11,0.3*'energy base (MECS)'!$F$11,TRUE))</f>
        <v/>
      </c>
      <c r="AT7" s="68">
        <f t="array" ref="AT7">IF($D7,SUMPRODUCT((economics!$AG$2:$AG$167=$B7)*(economics!$D$2:$D$167="whr")*economics!$AH$2:$AH$167*_xlfn.NORM.DIST(AT$3,economics!$AK$2:$AK$167,economics!$AJ$2:$AJ$167,TRUE))+$CR7*_xlfn.NORM.DIST(AT$3,$CU7,0.3*$CU7,TRUE)+$CS7*_xlfn.NORM.DIST(AT$3,$CV7,0.3*$CV7,TRUE),$CW7*_xlfn.NORM.DIST(AT$3,'energy base (MECS)'!$F$11,0.3*'energy base (MECS)'!$F$11,TRUE))</f>
        <v/>
      </c>
      <c r="AU7" s="68">
        <f t="array" ref="AU7">IF($D7,SUMPRODUCT((economics!$AG$2:$AG$167=$B7)*(economics!$D$2:$D$167="whr")*economics!$AH$2:$AH$167*_xlfn.NORM.DIST(AU$3,economics!$AK$2:$AK$167,economics!$AJ$2:$AJ$167,TRUE))+$CR7*_xlfn.NORM.DIST(AU$3,$CU7,0.3*$CU7,TRUE)+$CS7*_xlfn.NORM.DIST(AU$3,$CV7,0.3*$CV7,TRUE),$CW7*_xlfn.NORM.DIST(AU$3,'energy base (MECS)'!$F$11,0.3*'energy base (MECS)'!$F$11,TRUE))</f>
        <v/>
      </c>
      <c r="AV7" s="68">
        <f t="array" ref="AV7">IF($D7,SUMPRODUCT((economics!$AG$2:$AG$167=$B7)*(economics!$D$2:$D$167="whr")*economics!$AH$2:$AH$167*_xlfn.NORM.DIST(AV$3,economics!$AK$2:$AK$167,economics!$AJ$2:$AJ$167,TRUE))+$CR7*_xlfn.NORM.DIST(AV$3,$CU7,0.3*$CU7,TRUE)+$CS7*_xlfn.NORM.DIST(AV$3,$CV7,0.3*$CV7,TRUE),$CW7*_xlfn.NORM.DIST(AV$3,'energy base (MECS)'!$F$11,0.3*'energy base (MECS)'!$F$11,TRUE))</f>
        <v/>
      </c>
      <c r="AW7" s="68">
        <f t="array" ref="AW7">IF($D7,SUMPRODUCT((economics!$AG$2:$AG$167=$B7)*(economics!$D$2:$D$167="whr")*economics!$AH$2:$AH$167*_xlfn.NORM.DIST(AW$3,economics!$AK$2:$AK$167,economics!$AJ$2:$AJ$167,TRUE))+$CR7*_xlfn.NORM.DIST(AW$3,$CU7,0.3*$CU7,TRUE)+$CS7*_xlfn.NORM.DIST(AW$3,$CV7,0.3*$CV7,TRUE),$CW7*_xlfn.NORM.DIST(AW$3,'energy base (MECS)'!$F$11,0.3*'energy base (MECS)'!$F$11,TRUE))</f>
        <v/>
      </c>
      <c r="AX7" s="68">
        <f t="array" ref="AX7">IF($D7,SUMPRODUCT((economics!$AG$2:$AG$167=$B7)*(economics!$D$2:$D$167="whr")*economics!$AH$2:$AH$167*_xlfn.NORM.DIST(AX$3,economics!$AK$2:$AK$167,economics!$AJ$2:$AJ$167,TRUE))+$CR7*_xlfn.NORM.DIST(AX$3,$CU7,0.3*$CU7,TRUE)+$CS7*_xlfn.NORM.DIST(AX$3,$CV7,0.3*$CV7,TRUE),$CW7*_xlfn.NORM.DIST(AX$3,'energy base (MECS)'!$F$11,0.3*'energy base (MECS)'!$F$11,TRUE))</f>
        <v/>
      </c>
      <c r="AY7" s="68">
        <f t="array" ref="AY7">IF($D7,SUMPRODUCT((economics!$AG$2:$AG$167=$B7)*(economics!$D$2:$D$167="whr")*economics!$AH$2:$AH$167*_xlfn.NORM.DIST(AY$3,economics!$AK$2:$AK$167,economics!$AJ$2:$AJ$167,TRUE))+$CR7*_xlfn.NORM.DIST(AY$3,$CU7,0.3*$CU7,TRUE)+$CS7*_xlfn.NORM.DIST(AY$3,$CV7,0.3*$CV7,TRUE),$CW7*_xlfn.NORM.DIST(AY$3,'energy base (MECS)'!$F$11,0.3*'energy base (MECS)'!$F$11,TRUE))</f>
        <v/>
      </c>
      <c r="AZ7" s="68">
        <f t="array" ref="AZ7">IF($D7,SUMPRODUCT((economics!$AG$2:$AG$167=$B7)*(economics!$D$2:$D$167="whr")*economics!$AH$2:$AH$167*_xlfn.NORM.DIST(AZ$3,economics!$AK$2:$AK$167,economics!$AJ$2:$AJ$167,TRUE))+$CR7*_xlfn.NORM.DIST(AZ$3,$CU7,0.3*$CU7,TRUE)+$CS7*_xlfn.NORM.DIST(AZ$3,$CV7,0.3*$CV7,TRUE),$CW7*_xlfn.NORM.DIST(AZ$3,'energy base (MECS)'!$F$11,0.3*'energy base (MECS)'!$F$11,TRUE))</f>
        <v/>
      </c>
      <c r="BA7" s="68">
        <f t="array" ref="BA7">IF($D7,SUMPRODUCT((economics!$AG$2:$AG$167=$B7)*(economics!$D$2:$D$167="whr")*economics!$AH$2:$AH$167*_xlfn.NORM.DIST(BA$3,economics!$AK$2:$AK$167,economics!$AJ$2:$AJ$167,TRUE))+$CR7*_xlfn.NORM.DIST(BA$3,$CU7,0.3*$CU7,TRUE)+$CS7*_xlfn.NORM.DIST(BA$3,$CV7,0.3*$CV7,TRUE),$CW7*_xlfn.NORM.DIST(BA$3,'energy base (MECS)'!$F$11,0.3*'energy base (MECS)'!$F$11,TRUE))</f>
        <v/>
      </c>
      <c r="BB7" s="68">
        <f t="array" ref="BB7">IF($D7,SUMPRODUCT((economics!$AG$2:$AG$167=$B7)*(economics!$D$2:$D$167="whr")*economics!$AH$2:$AH$167*_xlfn.NORM.DIST(BB$3,economics!$AK$2:$AK$167,economics!$AJ$2:$AJ$167,TRUE))+$CR7*_xlfn.NORM.DIST(BB$3,$CU7,0.3*$CU7,TRUE)+$CS7*_xlfn.NORM.DIST(BB$3,$CV7,0.3*$CV7,TRUE),$CW7*_xlfn.NORM.DIST(BB$3,'energy base (MECS)'!$F$11,0.3*'energy base (MECS)'!$F$11,TRUE))</f>
        <v/>
      </c>
      <c r="BC7" s="68">
        <f t="array" ref="BC7">IF($D7,SUMPRODUCT((economics!$AG$2:$AG$167=$B7)*(economics!$D$2:$D$167="whr")*economics!$AH$2:$AH$167*_xlfn.NORM.DIST(BC$3,economics!$AK$2:$AK$167,economics!$AJ$2:$AJ$167,TRUE))+$CR7*_xlfn.NORM.DIST(BC$3,$CU7,0.3*$CU7,TRUE)+$CS7*_xlfn.NORM.DIST(BC$3,$CV7,0.3*$CV7,TRUE),$CW7*_xlfn.NORM.DIST(BC$3,'energy base (MECS)'!$F$11,0.3*'energy base (MECS)'!$F$11,TRUE))</f>
        <v/>
      </c>
      <c r="BD7" s="68">
        <f t="array" ref="BD7">IF($D7,SUMPRODUCT((economics!$AG$2:$AG$167=$B7)*(economics!$D$2:$D$167="whr")*economics!$AH$2:$AH$167*_xlfn.NORM.DIST(BD$3,economics!$AK$2:$AK$167,economics!$AJ$2:$AJ$167,TRUE))+$CR7*_xlfn.NORM.DIST(BD$3,$CU7,0.3*$CU7,TRUE)+$CS7*_xlfn.NORM.DIST(BD$3,$CV7,0.3*$CV7,TRUE),$CW7*_xlfn.NORM.DIST(BD$3,'energy base (MECS)'!$F$11,0.3*'energy base (MECS)'!$F$11,TRUE))</f>
        <v/>
      </c>
      <c r="BE7" s="68">
        <f t="array" ref="BE7">IF($D7,SUMPRODUCT((economics!$AG$2:$AG$167=$B7)*(economics!$D$2:$D$167="whr")*economics!$AH$2:$AH$167*_xlfn.NORM.DIST(BE$3,economics!$AK$2:$AK$167,economics!$AJ$2:$AJ$167,TRUE))+$CR7*_xlfn.NORM.DIST(BE$3,$CU7,0.3*$CU7,TRUE)+$CS7*_xlfn.NORM.DIST(BE$3,$CV7,0.3*$CV7,TRUE),$CW7*_xlfn.NORM.DIST(BE$3,'energy base (MECS)'!$F$11,0.3*'energy base (MECS)'!$F$11,TRUE))</f>
        <v/>
      </c>
      <c r="BF7" s="68">
        <f t="array" ref="BF7">IF($D7,SUMPRODUCT((economics!$AG$2:$AG$167=$B7)*(economics!$D$2:$D$167="whr")*economics!$AH$2:$AH$167*_xlfn.NORM.DIST(BF$3,economics!$AK$2:$AK$167,economics!$AJ$2:$AJ$167,TRUE))+$CR7*_xlfn.NORM.DIST(BF$3,$CU7,0.3*$CU7,TRUE)+$CS7*_xlfn.NORM.DIST(BF$3,$CV7,0.3*$CV7,TRUE),$CW7*_xlfn.NORM.DIST(BF$3,'energy base (MECS)'!$F$11,0.3*'energy base (MECS)'!$F$11,TRUE))</f>
        <v/>
      </c>
      <c r="BG7" s="68">
        <f t="array" ref="BG7">IF($D7,SUMPRODUCT((economics!$AG$2:$AG$167=$B7)*(economics!$D$2:$D$167="whr")*economics!$AH$2:$AH$167*_xlfn.NORM.DIST(BG$3,economics!$AK$2:$AK$167,economics!$AJ$2:$AJ$167,TRUE))+$CR7*_xlfn.NORM.DIST(BG$3,$CU7,0.3*$CU7,TRUE)+$CS7*_xlfn.NORM.DIST(BG$3,$CV7,0.3*$CV7,TRUE),$CW7*_xlfn.NORM.DIST(BG$3,'energy base (MECS)'!$F$11,0.3*'energy base (MECS)'!$F$11,TRUE))</f>
        <v/>
      </c>
      <c r="BH7" s="68">
        <f t="array" ref="BH7">IF($D7,SUMPRODUCT((economics!$AG$2:$AG$167=$B7)*(economics!$D$2:$D$167="whr")*economics!$AH$2:$AH$167*_xlfn.NORM.DIST(BH$3,economics!$AK$2:$AK$167,economics!$AJ$2:$AJ$167,TRUE))+$CR7*_xlfn.NORM.DIST(BH$3,$CU7,0.3*$CU7,TRUE)+$CS7*_xlfn.NORM.DIST(BH$3,$CV7,0.3*$CV7,TRUE),$CW7*_xlfn.NORM.DIST(BH$3,'energy base (MECS)'!$F$11,0.3*'energy base (MECS)'!$F$11,TRUE))</f>
        <v/>
      </c>
      <c r="BI7" s="68">
        <f t="array" ref="BI7">IF($D7,SUMPRODUCT((economics!$AG$2:$AG$167=$B7)*(economics!$D$2:$D$167="whr")*economics!$AH$2:$AH$167*_xlfn.NORM.DIST(BI$3,economics!$AK$2:$AK$167,economics!$AJ$2:$AJ$167,TRUE))+$CR7*_xlfn.NORM.DIST(BI$3,$CU7,0.3*$CU7,TRUE)+$CS7*_xlfn.NORM.DIST(BI$3,$CV7,0.3*$CV7,TRUE),$CW7*_xlfn.NORM.DIST(BI$3,'energy base (MECS)'!$F$11,0.3*'energy base (MECS)'!$F$11,TRUE))</f>
        <v/>
      </c>
      <c r="BJ7" s="68">
        <f t="array" ref="BJ7">IF($D7,SUMPRODUCT((economics!$AG$2:$AG$167=$B7)*(economics!$D$2:$D$167="whr")*economics!$AH$2:$AH$167*_xlfn.NORM.DIST(BJ$3,economics!$AK$2:$AK$167,economics!$AJ$2:$AJ$167,TRUE))+$CR7*_xlfn.NORM.DIST(BJ$3,$CU7,0.3*$CU7,TRUE)+$CS7*_xlfn.NORM.DIST(BJ$3,$CV7,0.3*$CV7,TRUE),$CW7*_xlfn.NORM.DIST(BJ$3,'energy base (MECS)'!$F$11,0.3*'energy base (MECS)'!$F$11,TRUE))</f>
        <v/>
      </c>
      <c r="BK7" s="68">
        <f t="array" ref="BK7">IF($D7,SUMPRODUCT((economics!$AG$2:$AG$167=$B7)*(economics!$D$2:$D$167="whr")*economics!$AH$2:$AH$167*_xlfn.NORM.DIST(BK$3,economics!$AK$2:$AK$167,economics!$AJ$2:$AJ$167,TRUE))+$CR7*_xlfn.NORM.DIST(BK$3,$CU7,0.3*$CU7,TRUE)+$CS7*_xlfn.NORM.DIST(BK$3,$CV7,0.3*$CV7,TRUE),$CW7*_xlfn.NORM.DIST(BK$3,'energy base (MECS)'!$F$11,0.3*'energy base (MECS)'!$F$11,TRUE))</f>
        <v/>
      </c>
      <c r="BL7" s="68">
        <f t="array" ref="BL7">IF($D7,SUMPRODUCT((economics!$AG$2:$AG$167=$B7)*(economics!$D$2:$D$167="whr")*economics!$AH$2:$AH$167*_xlfn.NORM.DIST(BL$3,economics!$AK$2:$AK$167,economics!$AJ$2:$AJ$167,TRUE))+$CR7*_xlfn.NORM.DIST(BL$3,$CU7,0.3*$CU7,TRUE)+$CS7*_xlfn.NORM.DIST(BL$3,$CV7,0.3*$CV7,TRUE),$CW7*_xlfn.NORM.DIST(BL$3,'energy base (MECS)'!$F$11,0.3*'energy base (MECS)'!$F$11,TRUE))</f>
        <v/>
      </c>
      <c r="BM7" s="68">
        <f t="array" ref="BM7">IF($D7,SUMPRODUCT((economics!$AG$2:$AG$167=$B7)*(economics!$D$2:$D$167="whr")*economics!$AH$2:$AH$167*_xlfn.NORM.DIST(BM$3,economics!$AK$2:$AK$167,economics!$AJ$2:$AJ$167,TRUE))+$CR7*_xlfn.NORM.DIST(BM$3,$CU7,0.3*$CU7,TRUE)+$CS7*_xlfn.NORM.DIST(BM$3,$CV7,0.3*$CV7,TRUE),$CW7*_xlfn.NORM.DIST(BM$3,'energy base (MECS)'!$F$11,0.3*'energy base (MECS)'!$F$11,TRUE))</f>
        <v/>
      </c>
      <c r="BN7" s="68">
        <f t="array" ref="BN7">IF($D7,SUMPRODUCT((economics!$AG$2:$AG$167=$B7)*(economics!$D$2:$D$167="whr")*economics!$AH$2:$AH$167*_xlfn.NORM.DIST(BN$3,economics!$AK$2:$AK$167,economics!$AJ$2:$AJ$167,TRUE))+$CR7*_xlfn.NORM.DIST(BN$3,$CU7,0.3*$CU7,TRUE)+$CS7*_xlfn.NORM.DIST(BN$3,$CV7,0.3*$CV7,TRUE),$CW7*_xlfn.NORM.DIST(BN$3,'energy base (MECS)'!$F$11,0.3*'energy base (MECS)'!$F$11,TRUE))</f>
        <v/>
      </c>
      <c r="BO7" s="68">
        <f t="array" ref="BO7">IF($D7,SUMPRODUCT((economics!$AG$2:$AG$167=$B7)*(economics!$D$2:$D$167="whr")*economics!$AH$2:$AH$167*_xlfn.NORM.DIST(BO$3,economics!$AK$2:$AK$167,economics!$AJ$2:$AJ$167,TRUE))+$CR7*_xlfn.NORM.DIST(BO$3,$CU7,0.3*$CU7,TRUE)+$CS7*_xlfn.NORM.DIST(BO$3,$CV7,0.3*$CV7,TRUE),$CW7*_xlfn.NORM.DIST(BO$3,'energy base (MECS)'!$F$11,0.3*'energy base (MECS)'!$F$11,TRUE))</f>
        <v/>
      </c>
      <c r="BP7" s="68">
        <f t="array" ref="BP7">IF($D7,SUMPRODUCT((economics!$AG$2:$AG$167=$B7)*(economics!$D$2:$D$167="whr")*economics!$AH$2:$AH$167*_xlfn.NORM.DIST(BP$3,economics!$AK$2:$AK$167,economics!$AJ$2:$AJ$167,TRUE))+$CR7*_xlfn.NORM.DIST(BP$3,$CU7,0.3*$CU7,TRUE)+$CS7*_xlfn.NORM.DIST(BP$3,$CV7,0.3*$CV7,TRUE),$CW7*_xlfn.NORM.DIST(BP$3,'energy base (MECS)'!$F$11,0.3*'energy base (MECS)'!$F$11,TRUE))</f>
        <v/>
      </c>
      <c r="BQ7" s="68">
        <f t="array" ref="BQ7">IF($D7,SUMPRODUCT((economics!$AG$2:$AG$167=$B7)*(economics!$D$2:$D$167="whr")*economics!$AH$2:$AH$167*_xlfn.NORM.DIST(BQ$3,economics!$AK$2:$AK$167,economics!$AJ$2:$AJ$167,TRUE))+$CR7*_xlfn.NORM.DIST(BQ$3,$CU7,0.3*$CU7,TRUE)+$CS7*_xlfn.NORM.DIST(BQ$3,$CV7,0.3*$CV7,TRUE),$CW7*_xlfn.NORM.DIST(BQ$3,'energy base (MECS)'!$F$11,0.3*'energy base (MECS)'!$F$11,TRUE))</f>
        <v/>
      </c>
      <c r="BR7" s="68">
        <f t="array" ref="BR7">IF($D7,SUMPRODUCT((economics!$AG$2:$AG$167=$B7)*(economics!$D$2:$D$167="whr")*economics!$AH$2:$AH$167*_xlfn.NORM.DIST(BR$3,economics!$AK$2:$AK$167,economics!$AJ$2:$AJ$167,TRUE))+$CR7*_xlfn.NORM.DIST(BR$3,$CU7,0.3*$CU7,TRUE)+$CS7*_xlfn.NORM.DIST(BR$3,$CV7,0.3*$CV7,TRUE),$CW7*_xlfn.NORM.DIST(BR$3,'energy base (MECS)'!$F$11,0.3*'energy base (MECS)'!$F$11,TRUE))</f>
        <v/>
      </c>
      <c r="BS7" s="68">
        <f t="array" ref="BS7">IF($D7,SUMPRODUCT((economics!$AG$2:$AG$167=$B7)*(economics!$D$2:$D$167="whr")*economics!$AH$2:$AH$167*_xlfn.NORM.DIST(BS$3,economics!$AK$2:$AK$167,economics!$AJ$2:$AJ$167,TRUE))+$CR7*_xlfn.NORM.DIST(BS$3,$CU7,0.3*$CU7,TRUE)+$CS7*_xlfn.NORM.DIST(BS$3,$CV7,0.3*$CV7,TRUE),$CW7*_xlfn.NORM.DIST(BS$3,'energy base (MECS)'!$F$11,0.3*'energy base (MECS)'!$F$11,TRUE))</f>
        <v/>
      </c>
      <c r="BT7" s="68">
        <f t="array" ref="BT7">IF($D7,SUMPRODUCT((economics!$AG$2:$AG$167=$B7)*(economics!$D$2:$D$167="whr")*economics!$AH$2:$AH$167*_xlfn.NORM.DIST(BT$3,economics!$AK$2:$AK$167,economics!$AJ$2:$AJ$167,TRUE))+$CR7*_xlfn.NORM.DIST(BT$3,$CU7,0.3*$CU7,TRUE)+$CS7*_xlfn.NORM.DIST(BT$3,$CV7,0.3*$CV7,TRUE),$CW7*_xlfn.NORM.DIST(BT$3,'energy base (MECS)'!$F$11,0.3*'energy base (MECS)'!$F$11,TRUE))</f>
        <v/>
      </c>
      <c r="BU7" s="68">
        <f t="array" ref="BU7">IF($D7,SUMPRODUCT((economics!$AG$2:$AG$167=$B7)*(economics!$D$2:$D$167="whr")*economics!$AH$2:$AH$167*_xlfn.NORM.DIST(BU$3,economics!$AK$2:$AK$167,economics!$AJ$2:$AJ$167,TRUE))+$CR7*_xlfn.NORM.DIST(BU$3,$CU7,0.3*$CU7,TRUE)+$CS7*_xlfn.NORM.DIST(BU$3,$CV7,0.3*$CV7,TRUE),$CW7*_xlfn.NORM.DIST(BU$3,'energy base (MECS)'!$F$11,0.3*'energy base (MECS)'!$F$11,TRUE))</f>
        <v/>
      </c>
      <c r="BV7" s="68">
        <f t="array" ref="BV7">IF($D7,SUMPRODUCT((economics!$AG$2:$AG$167=$B7)*(economics!$D$2:$D$167="whr")*economics!$AH$2:$AH$167*_xlfn.NORM.DIST(BV$3,economics!$AK$2:$AK$167,economics!$AJ$2:$AJ$167,TRUE))+$CR7*_xlfn.NORM.DIST(BV$3,$CU7,0.3*$CU7,TRUE)+$CS7*_xlfn.NORM.DIST(BV$3,$CV7,0.3*$CV7,TRUE),$CW7*_xlfn.NORM.DIST(BV$3,'energy base (MECS)'!$F$11,0.3*'energy base (MECS)'!$F$11,TRUE))</f>
        <v/>
      </c>
      <c r="BW7" s="68">
        <f t="array" ref="BW7">IF($D7,SUMPRODUCT((economics!$AG$2:$AG$167=$B7)*(economics!$D$2:$D$167="whr")*economics!$AH$2:$AH$167*_xlfn.NORM.DIST(BW$3,economics!$AK$2:$AK$167,economics!$AJ$2:$AJ$167,TRUE))+$CR7*_xlfn.NORM.DIST(BW$3,$CU7,0.3*$CU7,TRUE)+$CS7*_xlfn.NORM.DIST(BW$3,$CV7,0.3*$CV7,TRUE),$CW7*_xlfn.NORM.DIST(BW$3,'energy base (MECS)'!$F$11,0.3*'energy base (MECS)'!$F$11,TRUE))</f>
        <v/>
      </c>
      <c r="BX7" s="68">
        <f t="array" ref="BX7">IF($D7,SUMPRODUCT((economics!$AG$2:$AG$167=$B7)*(economics!$D$2:$D$167="whr")*economics!$AH$2:$AH$167*_xlfn.NORM.DIST(BX$3,economics!$AK$2:$AK$167,economics!$AJ$2:$AJ$167,TRUE))+$CR7*_xlfn.NORM.DIST(BX$3,$CU7,0.3*$CU7,TRUE)+$CS7*_xlfn.NORM.DIST(BX$3,$CV7,0.3*$CV7,TRUE),$CW7*_xlfn.NORM.DIST(BX$3,'energy base (MECS)'!$F$11,0.3*'energy base (MECS)'!$F$11,TRUE))</f>
        <v/>
      </c>
      <c r="BY7" s="68">
        <f t="array" ref="BY7">IF($D7,SUMPRODUCT((economics!$AG$2:$AG$167=$B7)*(economics!$D$2:$D$167="whr")*economics!$AH$2:$AH$167*_xlfn.NORM.DIST(BY$3,economics!$AK$2:$AK$167,economics!$AJ$2:$AJ$167,TRUE))+$CR7*_xlfn.NORM.DIST(BY$3,$CU7,0.3*$CU7,TRUE)+$CS7*_xlfn.NORM.DIST(BY$3,$CV7,0.3*$CV7,TRUE),$CW7*_xlfn.NORM.DIST(BY$3,'energy base (MECS)'!$F$11,0.3*'energy base (MECS)'!$F$11,TRUE))</f>
        <v/>
      </c>
      <c r="BZ7" s="68">
        <f t="array" ref="BZ7">IF($D7,SUMPRODUCT((economics!$AG$2:$AG$167=$B7)*(economics!$D$2:$D$167="whr")*economics!$AH$2:$AH$167*_xlfn.NORM.DIST(BZ$3,economics!$AK$2:$AK$167,economics!$AJ$2:$AJ$167,TRUE))+$CR7*_xlfn.NORM.DIST(BZ$3,$CU7,0.3*$CU7,TRUE)+$CS7*_xlfn.NORM.DIST(BZ$3,$CV7,0.3*$CV7,TRUE),$CW7*_xlfn.NORM.DIST(BZ$3,'energy base (MECS)'!$F$11,0.3*'energy base (MECS)'!$F$11,TRUE))</f>
        <v/>
      </c>
      <c r="CA7" s="68">
        <f t="array" ref="CA7">IF($D7,SUMPRODUCT((economics!$AG$2:$AG$167=$B7)*(economics!$D$2:$D$167="whr")*economics!$AH$2:$AH$167*_xlfn.NORM.DIST(CA$3,economics!$AK$2:$AK$167,economics!$AJ$2:$AJ$167,TRUE))+$CR7*_xlfn.NORM.DIST(CA$3,$CU7,0.3*$CU7,TRUE)+$CS7*_xlfn.NORM.DIST(CA$3,$CV7,0.3*$CV7,TRUE),$CW7*_xlfn.NORM.DIST(CA$3,'energy base (MECS)'!$F$11,0.3*'energy base (MECS)'!$F$11,TRUE))</f>
        <v/>
      </c>
      <c r="CB7" s="68">
        <f t="array" ref="CB7">IF($D7,SUMPRODUCT((economics!$AG$2:$AG$167=$B7)*(economics!$D$2:$D$167="whr")*economics!$AH$2:$AH$167*_xlfn.NORM.DIST(CB$3,economics!$AK$2:$AK$167,economics!$AJ$2:$AJ$167,TRUE))+$CR7*_xlfn.NORM.DIST(CB$3,$CU7,0.3*$CU7,TRUE)+$CS7*_xlfn.NORM.DIST(CB$3,$CV7,0.3*$CV7,TRUE),$CW7*_xlfn.NORM.DIST(CB$3,'energy base (MECS)'!$F$11,0.3*'energy base (MECS)'!$F$11,TRUE))</f>
        <v/>
      </c>
      <c r="CC7" s="68">
        <f t="array" ref="CC7">IF($D7,SUMPRODUCT((economics!$AG$2:$AG$167=$B7)*(economics!$D$2:$D$167="whr")*economics!$AH$2:$AH$167*_xlfn.NORM.DIST(CC$3,economics!$AK$2:$AK$167,economics!$AJ$2:$AJ$167,TRUE))+$CR7*_xlfn.NORM.DIST(CC$3,$CU7,0.3*$CU7,TRUE)+$CS7*_xlfn.NORM.DIST(CC$3,$CV7,0.3*$CV7,TRUE),$CW7*_xlfn.NORM.DIST(CC$3,'energy base (MECS)'!$F$11,0.3*'energy base (MECS)'!$F$11,TRUE))</f>
        <v/>
      </c>
      <c r="CD7" s="68">
        <f t="array" ref="CD7">IF($D7,SUMPRODUCT((economics!$AG$2:$AG$167=$B7)*(economics!$D$2:$D$167="whr")*economics!$AH$2:$AH$167*_xlfn.NORM.DIST(CD$3,economics!$AK$2:$AK$167,economics!$AJ$2:$AJ$167,TRUE))+$CR7*_xlfn.NORM.DIST(CD$3,$CU7,0.3*$CU7,TRUE)+$CS7*_xlfn.NORM.DIST(CD$3,$CV7,0.3*$CV7,TRUE),$CW7*_xlfn.NORM.DIST(CD$3,'energy base (MECS)'!$F$11,0.3*'energy base (MECS)'!$F$11,TRUE))</f>
        <v/>
      </c>
      <c r="CE7" s="68">
        <f t="array" ref="CE7">IF($D7,SUMPRODUCT((economics!$AG$2:$AG$167=$B7)*(economics!$D$2:$D$167="whr")*economics!$AH$2:$AH$167*_xlfn.NORM.DIST(CE$3,economics!$AK$2:$AK$167,economics!$AJ$2:$AJ$167,TRUE))+$CR7*_xlfn.NORM.DIST(CE$3,$CU7,0.3*$CU7,TRUE)+$CS7*_xlfn.NORM.DIST(CE$3,$CV7,0.3*$CV7,TRUE),$CW7*_xlfn.NORM.DIST(CE$3,'energy base (MECS)'!$F$11,0.3*'energy base (MECS)'!$F$11,TRUE))</f>
        <v/>
      </c>
      <c r="CF7" s="68">
        <f t="array" ref="CF7">IF($D7,SUMPRODUCT((economics!$AG$2:$AG$167=$B7)*(economics!$D$2:$D$167="whr")*economics!$AH$2:$AH$167*_xlfn.NORM.DIST(CF$3,economics!$AK$2:$AK$167,economics!$AJ$2:$AJ$167,TRUE))+$CR7*_xlfn.NORM.DIST(CF$3,$CU7,0.3*$CU7,TRUE)+$CS7*_xlfn.NORM.DIST(CF$3,$CV7,0.3*$CV7,TRUE),$CW7*_xlfn.NORM.DIST(CF$3,'energy base (MECS)'!$F$11,0.3*'energy base (MECS)'!$F$11,TRUE))</f>
        <v/>
      </c>
      <c r="CG7" s="68">
        <f t="array" ref="CG7">IF($D7,SUMPRODUCT((economics!$AG$2:$AG$167=$B7)*(economics!$D$2:$D$167="whr")*economics!$AH$2:$AH$167*_xlfn.NORM.DIST(CG$3,economics!$AK$2:$AK$167,economics!$AJ$2:$AJ$167,TRUE))+$CR7*_xlfn.NORM.DIST(CG$3,$CU7,0.3*$CU7,TRUE)+$CS7*_xlfn.NORM.DIST(CG$3,$CV7,0.3*$CV7,TRUE),$CW7*_xlfn.NORM.DIST(CG$3,'energy base (MECS)'!$F$11,0.3*'energy base (MECS)'!$F$11,TRUE))</f>
        <v/>
      </c>
      <c r="CH7" s="68">
        <f t="array" ref="CH7">IF($D7,SUMPRODUCT((economics!$AG$2:$AG$167=$B7)*(economics!$D$2:$D$167="whr")*economics!$AH$2:$AH$167*_xlfn.NORM.DIST(CH$3,economics!$AK$2:$AK$167,economics!$AJ$2:$AJ$167,TRUE))+$CR7*_xlfn.NORM.DIST(CH$3,$CU7,0.3*$CU7,TRUE)+$CS7*_xlfn.NORM.DIST(CH$3,$CV7,0.3*$CV7,TRUE),$CW7*_xlfn.NORM.DIST(CH$3,'energy base (MECS)'!$F$11,0.3*'energy base (MECS)'!$F$11,TRUE))</f>
        <v/>
      </c>
      <c r="CJ7">
        <f t="array" ref="CJ7">SUMPRODUCT((economics!$AG$2:$AG$167=$B7)*(economics!$D$2:$D$167="whr")*economics!$AH$2:$AH$167)</f>
        <v/>
      </c>
      <c r="CK7" s="80">
        <f>'indst heat consumption'!D7</f>
        <v/>
      </c>
      <c r="CL7" s="80">
        <f>'indst heat consumption'!E7</f>
        <v/>
      </c>
      <c r="CM7" s="80">
        <f>'indst heat consumption'!F7</f>
        <v/>
      </c>
      <c r="CN7" s="80">
        <f>'indst heat consumption'!G7</f>
        <v/>
      </c>
      <c r="CO7" s="80">
        <f>'indst heat consumption'!H7</f>
        <v/>
      </c>
      <c r="CP7">
        <f>$C7*(CK7*summary!$B$94+CL7*summary!$C$94+CM7*summary!$D$94)</f>
        <v/>
      </c>
      <c r="CQ7">
        <f>$C7*(CN7*summary!$E$94+CO7*summary!$F$94)</f>
        <v/>
      </c>
      <c r="CR7">
        <f>IF(CP7+CQ7&gt;0,CP7*MAX(0,CP7+CQ7-CJ7)/(CP7+CQ7),0)</f>
        <v/>
      </c>
      <c r="CS7">
        <f>IF(CP7+CQ7&gt;0,CQ7*MAX(0,CP7+CQ7-CJ7)/(CP7+CQ7),0)</f>
        <v/>
      </c>
      <c r="CT7">
        <f>IFERROR(_xlfn.XLOOKUP($B7,'BCoISC-WACCbI'!$C$2:$C$26,'BCoISC-WACCbI'!$B$2:$B$26)+economics!$AE$4,0.1)</f>
        <v/>
      </c>
      <c r="CU7">
        <f>(summary!$C$7*(CT7/(1-(1+CT7)^-summary!$D$7))+summary!$C$7*summary!$E$7)/(summary!$F$7*3412/1000000)</f>
        <v/>
      </c>
      <c r="CV7">
        <f>(summary!$C$6*(CT7/(1-(1+CT7)^-summary!$D$6))+summary!$C$6*summary!$E$6)/(summary!$F$6*3412/1000000)</f>
        <v/>
      </c>
      <c r="CW7">
        <f>CR7+CS7</f>
        <v/>
      </c>
    </row>
    <row r="8">
      <c r="A8">
        <f>WHRPbI!A6</f>
        <v/>
      </c>
      <c r="B8" t="inlineStr">
        <is>
          <t>10T12</t>
        </is>
      </c>
      <c r="C8" s="68">
        <f>WHRPbI!B6</f>
        <v/>
      </c>
      <c r="D8">
        <f>ISNUMBER(MATCH($B8,'energy base (MECS)'!$K$4:$K$9,0))</f>
        <v/>
      </c>
      <c r="E8" s="68">
        <f t="array" ref="E8">IF($D8,SUMPRODUCT((economics!$AG$2:$AG$167=$B8)*(economics!$D$2:$D$167="whr")*economics!$AH$2:$AH$167*_xlfn.NORM.DIST(E$3,economics!$AK$2:$AK$167,economics!$AJ$2:$AJ$167,TRUE))+$CR8*_xlfn.NORM.DIST(E$3,$CU8,0.3*$CU8,TRUE)+$CS8*_xlfn.NORM.DIST(E$3,$CV8,0.3*$CV8,TRUE),$CW8*_xlfn.NORM.DIST(E$3,'energy base (MECS)'!$F$11,0.3*'energy base (MECS)'!$F$11,TRUE))</f>
        <v/>
      </c>
      <c r="F8" s="68">
        <f t="array" ref="F8">IF($D8,SUMPRODUCT((economics!$AG$2:$AG$167=$B8)*(economics!$D$2:$D$167="whr")*economics!$AH$2:$AH$167*_xlfn.NORM.DIST(F$3,economics!$AK$2:$AK$167,economics!$AJ$2:$AJ$167,TRUE))+$CR8*_xlfn.NORM.DIST(F$3,$CU8,0.3*$CU8,TRUE)+$CS8*_xlfn.NORM.DIST(F$3,$CV8,0.3*$CV8,TRUE),$CW8*_xlfn.NORM.DIST(F$3,'energy base (MECS)'!$F$11,0.3*'energy base (MECS)'!$F$11,TRUE))</f>
        <v/>
      </c>
      <c r="G8" s="68">
        <f t="array" ref="G8">IF($D8,SUMPRODUCT((economics!$AG$2:$AG$167=$B8)*(economics!$D$2:$D$167="whr")*economics!$AH$2:$AH$167*_xlfn.NORM.DIST(G$3,economics!$AK$2:$AK$167,economics!$AJ$2:$AJ$167,TRUE))+$CR8*_xlfn.NORM.DIST(G$3,$CU8,0.3*$CU8,TRUE)+$CS8*_xlfn.NORM.DIST(G$3,$CV8,0.3*$CV8,TRUE),$CW8*_xlfn.NORM.DIST(G$3,'energy base (MECS)'!$F$11,0.3*'energy base (MECS)'!$F$11,TRUE))</f>
        <v/>
      </c>
      <c r="H8" s="68">
        <f t="array" ref="H8">IF($D8,SUMPRODUCT((economics!$AG$2:$AG$167=$B8)*(economics!$D$2:$D$167="whr")*economics!$AH$2:$AH$167*_xlfn.NORM.DIST(H$3,economics!$AK$2:$AK$167,economics!$AJ$2:$AJ$167,TRUE))+$CR8*_xlfn.NORM.DIST(H$3,$CU8,0.3*$CU8,TRUE)+$CS8*_xlfn.NORM.DIST(H$3,$CV8,0.3*$CV8,TRUE),$CW8*_xlfn.NORM.DIST(H$3,'energy base (MECS)'!$F$11,0.3*'energy base (MECS)'!$F$11,TRUE))</f>
        <v/>
      </c>
      <c r="I8" s="68">
        <f t="array" ref="I8">IF($D8,SUMPRODUCT((economics!$AG$2:$AG$167=$B8)*(economics!$D$2:$D$167="whr")*economics!$AH$2:$AH$167*_xlfn.NORM.DIST(I$3,economics!$AK$2:$AK$167,economics!$AJ$2:$AJ$167,TRUE))+$CR8*_xlfn.NORM.DIST(I$3,$CU8,0.3*$CU8,TRUE)+$CS8*_xlfn.NORM.DIST(I$3,$CV8,0.3*$CV8,TRUE),$CW8*_xlfn.NORM.DIST(I$3,'energy base (MECS)'!$F$11,0.3*'energy base (MECS)'!$F$11,TRUE))</f>
        <v/>
      </c>
      <c r="J8" s="68">
        <f t="array" ref="J8">IF($D8,SUMPRODUCT((economics!$AG$2:$AG$167=$B8)*(economics!$D$2:$D$167="whr")*economics!$AH$2:$AH$167*_xlfn.NORM.DIST(J$3,economics!$AK$2:$AK$167,economics!$AJ$2:$AJ$167,TRUE))+$CR8*_xlfn.NORM.DIST(J$3,$CU8,0.3*$CU8,TRUE)+$CS8*_xlfn.NORM.DIST(J$3,$CV8,0.3*$CV8,TRUE),$CW8*_xlfn.NORM.DIST(J$3,'energy base (MECS)'!$F$11,0.3*'energy base (MECS)'!$F$11,TRUE))</f>
        <v/>
      </c>
      <c r="K8" s="68">
        <f t="array" ref="K8">IF($D8,SUMPRODUCT((economics!$AG$2:$AG$167=$B8)*(economics!$D$2:$D$167="whr")*economics!$AH$2:$AH$167*_xlfn.NORM.DIST(K$3,economics!$AK$2:$AK$167,economics!$AJ$2:$AJ$167,TRUE))+$CR8*_xlfn.NORM.DIST(K$3,$CU8,0.3*$CU8,TRUE)+$CS8*_xlfn.NORM.DIST(K$3,$CV8,0.3*$CV8,TRUE),$CW8*_xlfn.NORM.DIST(K$3,'energy base (MECS)'!$F$11,0.3*'energy base (MECS)'!$F$11,TRUE))</f>
        <v/>
      </c>
      <c r="L8" s="68">
        <f t="array" ref="L8">IF($D8,SUMPRODUCT((economics!$AG$2:$AG$167=$B8)*(economics!$D$2:$D$167="whr")*economics!$AH$2:$AH$167*_xlfn.NORM.DIST(L$3,economics!$AK$2:$AK$167,economics!$AJ$2:$AJ$167,TRUE))+$CR8*_xlfn.NORM.DIST(L$3,$CU8,0.3*$CU8,TRUE)+$CS8*_xlfn.NORM.DIST(L$3,$CV8,0.3*$CV8,TRUE),$CW8*_xlfn.NORM.DIST(L$3,'energy base (MECS)'!$F$11,0.3*'energy base (MECS)'!$F$11,TRUE))</f>
        <v/>
      </c>
      <c r="M8" s="68">
        <f t="array" ref="M8">IF($D8,SUMPRODUCT((economics!$AG$2:$AG$167=$B8)*(economics!$D$2:$D$167="whr")*economics!$AH$2:$AH$167*_xlfn.NORM.DIST(M$3,economics!$AK$2:$AK$167,economics!$AJ$2:$AJ$167,TRUE))+$CR8*_xlfn.NORM.DIST(M$3,$CU8,0.3*$CU8,TRUE)+$CS8*_xlfn.NORM.DIST(M$3,$CV8,0.3*$CV8,TRUE),$CW8*_xlfn.NORM.DIST(M$3,'energy base (MECS)'!$F$11,0.3*'energy base (MECS)'!$F$11,TRUE))</f>
        <v/>
      </c>
      <c r="N8" s="68">
        <f t="array" ref="N8">IF($D8,SUMPRODUCT((economics!$AG$2:$AG$167=$B8)*(economics!$D$2:$D$167="whr")*economics!$AH$2:$AH$167*_xlfn.NORM.DIST(N$3,economics!$AK$2:$AK$167,economics!$AJ$2:$AJ$167,TRUE))+$CR8*_xlfn.NORM.DIST(N$3,$CU8,0.3*$CU8,TRUE)+$CS8*_xlfn.NORM.DIST(N$3,$CV8,0.3*$CV8,TRUE),$CW8*_xlfn.NORM.DIST(N$3,'energy base (MECS)'!$F$11,0.3*'energy base (MECS)'!$F$11,TRUE))</f>
        <v/>
      </c>
      <c r="O8" s="68">
        <f t="array" ref="O8">IF($D8,SUMPRODUCT((economics!$AG$2:$AG$167=$B8)*(economics!$D$2:$D$167="whr")*economics!$AH$2:$AH$167*_xlfn.NORM.DIST(O$3,economics!$AK$2:$AK$167,economics!$AJ$2:$AJ$167,TRUE))+$CR8*_xlfn.NORM.DIST(O$3,$CU8,0.3*$CU8,TRUE)+$CS8*_xlfn.NORM.DIST(O$3,$CV8,0.3*$CV8,TRUE),$CW8*_xlfn.NORM.DIST(O$3,'energy base (MECS)'!$F$11,0.3*'energy base (MECS)'!$F$11,TRUE))</f>
        <v/>
      </c>
      <c r="P8" s="68">
        <f t="array" ref="P8">IF($D8,SUMPRODUCT((economics!$AG$2:$AG$167=$B8)*(economics!$D$2:$D$167="whr")*economics!$AH$2:$AH$167*_xlfn.NORM.DIST(P$3,economics!$AK$2:$AK$167,economics!$AJ$2:$AJ$167,TRUE))+$CR8*_xlfn.NORM.DIST(P$3,$CU8,0.3*$CU8,TRUE)+$CS8*_xlfn.NORM.DIST(P$3,$CV8,0.3*$CV8,TRUE),$CW8*_xlfn.NORM.DIST(P$3,'energy base (MECS)'!$F$11,0.3*'energy base (MECS)'!$F$11,TRUE))</f>
        <v/>
      </c>
      <c r="Q8" s="68">
        <f t="array" ref="Q8">IF($D8,SUMPRODUCT((economics!$AG$2:$AG$167=$B8)*(economics!$D$2:$D$167="whr")*economics!$AH$2:$AH$167*_xlfn.NORM.DIST(Q$3,economics!$AK$2:$AK$167,economics!$AJ$2:$AJ$167,TRUE))+$CR8*_xlfn.NORM.DIST(Q$3,$CU8,0.3*$CU8,TRUE)+$CS8*_xlfn.NORM.DIST(Q$3,$CV8,0.3*$CV8,TRUE),$CW8*_xlfn.NORM.DIST(Q$3,'energy base (MECS)'!$F$11,0.3*'energy base (MECS)'!$F$11,TRUE))</f>
        <v/>
      </c>
      <c r="R8" s="68">
        <f t="array" ref="R8">IF($D8,SUMPRODUCT((economics!$AG$2:$AG$167=$B8)*(economics!$D$2:$D$167="whr")*economics!$AH$2:$AH$167*_xlfn.NORM.DIST(R$3,economics!$AK$2:$AK$167,economics!$AJ$2:$AJ$167,TRUE))+$CR8*_xlfn.NORM.DIST(R$3,$CU8,0.3*$CU8,TRUE)+$CS8*_xlfn.NORM.DIST(R$3,$CV8,0.3*$CV8,TRUE),$CW8*_xlfn.NORM.DIST(R$3,'energy base (MECS)'!$F$11,0.3*'energy base (MECS)'!$F$11,TRUE))</f>
        <v/>
      </c>
      <c r="S8" s="68">
        <f t="array" ref="S8">IF($D8,SUMPRODUCT((economics!$AG$2:$AG$167=$B8)*(economics!$D$2:$D$167="whr")*economics!$AH$2:$AH$167*_xlfn.NORM.DIST(S$3,economics!$AK$2:$AK$167,economics!$AJ$2:$AJ$167,TRUE))+$CR8*_xlfn.NORM.DIST(S$3,$CU8,0.3*$CU8,TRUE)+$CS8*_xlfn.NORM.DIST(S$3,$CV8,0.3*$CV8,TRUE),$CW8*_xlfn.NORM.DIST(S$3,'energy base (MECS)'!$F$11,0.3*'energy base (MECS)'!$F$11,TRUE))</f>
        <v/>
      </c>
      <c r="T8" s="68">
        <f t="array" ref="T8">IF($D8,SUMPRODUCT((economics!$AG$2:$AG$167=$B8)*(economics!$D$2:$D$167="whr")*economics!$AH$2:$AH$167*_xlfn.NORM.DIST(T$3,economics!$AK$2:$AK$167,economics!$AJ$2:$AJ$167,TRUE))+$CR8*_xlfn.NORM.DIST(T$3,$CU8,0.3*$CU8,TRUE)+$CS8*_xlfn.NORM.DIST(T$3,$CV8,0.3*$CV8,TRUE),$CW8*_xlfn.NORM.DIST(T$3,'energy base (MECS)'!$F$11,0.3*'energy base (MECS)'!$F$11,TRUE))</f>
        <v/>
      </c>
      <c r="U8" s="68">
        <f t="array" ref="U8">IF($D8,SUMPRODUCT((economics!$AG$2:$AG$167=$B8)*(economics!$D$2:$D$167="whr")*economics!$AH$2:$AH$167*_xlfn.NORM.DIST(U$3,economics!$AK$2:$AK$167,economics!$AJ$2:$AJ$167,TRUE))+$CR8*_xlfn.NORM.DIST(U$3,$CU8,0.3*$CU8,TRUE)+$CS8*_xlfn.NORM.DIST(U$3,$CV8,0.3*$CV8,TRUE),$CW8*_xlfn.NORM.DIST(U$3,'energy base (MECS)'!$F$11,0.3*'energy base (MECS)'!$F$11,TRUE))</f>
        <v/>
      </c>
      <c r="V8" s="68">
        <f t="array" ref="V8">IF($D8,SUMPRODUCT((economics!$AG$2:$AG$167=$B8)*(economics!$D$2:$D$167="whr")*economics!$AH$2:$AH$167*_xlfn.NORM.DIST(V$3,economics!$AK$2:$AK$167,economics!$AJ$2:$AJ$167,TRUE))+$CR8*_xlfn.NORM.DIST(V$3,$CU8,0.3*$CU8,TRUE)+$CS8*_xlfn.NORM.DIST(V$3,$CV8,0.3*$CV8,TRUE),$CW8*_xlfn.NORM.DIST(V$3,'energy base (MECS)'!$F$11,0.3*'energy base (MECS)'!$F$11,TRUE))</f>
        <v/>
      </c>
      <c r="W8" s="68">
        <f t="array" ref="W8">IF($D8,SUMPRODUCT((economics!$AG$2:$AG$167=$B8)*(economics!$D$2:$D$167="whr")*economics!$AH$2:$AH$167*_xlfn.NORM.DIST(W$3,economics!$AK$2:$AK$167,economics!$AJ$2:$AJ$167,TRUE))+$CR8*_xlfn.NORM.DIST(W$3,$CU8,0.3*$CU8,TRUE)+$CS8*_xlfn.NORM.DIST(W$3,$CV8,0.3*$CV8,TRUE),$CW8*_xlfn.NORM.DIST(W$3,'energy base (MECS)'!$F$11,0.3*'energy base (MECS)'!$F$11,TRUE))</f>
        <v/>
      </c>
      <c r="X8" s="68">
        <f t="array" ref="X8">IF($D8,SUMPRODUCT((economics!$AG$2:$AG$167=$B8)*(economics!$D$2:$D$167="whr")*economics!$AH$2:$AH$167*_xlfn.NORM.DIST(X$3,economics!$AK$2:$AK$167,economics!$AJ$2:$AJ$167,TRUE))+$CR8*_xlfn.NORM.DIST(X$3,$CU8,0.3*$CU8,TRUE)+$CS8*_xlfn.NORM.DIST(X$3,$CV8,0.3*$CV8,TRUE),$CW8*_xlfn.NORM.DIST(X$3,'energy base (MECS)'!$F$11,0.3*'energy base (MECS)'!$F$11,TRUE))</f>
        <v/>
      </c>
      <c r="Y8" s="68">
        <f t="array" ref="Y8">IF($D8,SUMPRODUCT((economics!$AG$2:$AG$167=$B8)*(economics!$D$2:$D$167="whr")*economics!$AH$2:$AH$167*_xlfn.NORM.DIST(Y$3,economics!$AK$2:$AK$167,economics!$AJ$2:$AJ$167,TRUE))+$CR8*_xlfn.NORM.DIST(Y$3,$CU8,0.3*$CU8,TRUE)+$CS8*_xlfn.NORM.DIST(Y$3,$CV8,0.3*$CV8,TRUE),$CW8*_xlfn.NORM.DIST(Y$3,'energy base (MECS)'!$F$11,0.3*'energy base (MECS)'!$F$11,TRUE))</f>
        <v/>
      </c>
      <c r="Z8" s="68">
        <f t="array" ref="Z8">IF($D8,SUMPRODUCT((economics!$AG$2:$AG$167=$B8)*(economics!$D$2:$D$167="whr")*economics!$AH$2:$AH$167*_xlfn.NORM.DIST(Z$3,economics!$AK$2:$AK$167,economics!$AJ$2:$AJ$167,TRUE))+$CR8*_xlfn.NORM.DIST(Z$3,$CU8,0.3*$CU8,TRUE)+$CS8*_xlfn.NORM.DIST(Z$3,$CV8,0.3*$CV8,TRUE),$CW8*_xlfn.NORM.DIST(Z$3,'energy base (MECS)'!$F$11,0.3*'energy base (MECS)'!$F$11,TRUE))</f>
        <v/>
      </c>
      <c r="AA8" s="68">
        <f t="array" ref="AA8">IF($D8,SUMPRODUCT((economics!$AG$2:$AG$167=$B8)*(economics!$D$2:$D$167="whr")*economics!$AH$2:$AH$167*_xlfn.NORM.DIST(AA$3,economics!$AK$2:$AK$167,economics!$AJ$2:$AJ$167,TRUE))+$CR8*_xlfn.NORM.DIST(AA$3,$CU8,0.3*$CU8,TRUE)+$CS8*_xlfn.NORM.DIST(AA$3,$CV8,0.3*$CV8,TRUE),$CW8*_xlfn.NORM.DIST(AA$3,'energy base (MECS)'!$F$11,0.3*'energy base (MECS)'!$F$11,TRUE))</f>
        <v/>
      </c>
      <c r="AB8" s="68">
        <f t="array" ref="AB8">IF($D8,SUMPRODUCT((economics!$AG$2:$AG$167=$B8)*(economics!$D$2:$D$167="whr")*economics!$AH$2:$AH$167*_xlfn.NORM.DIST(AB$3,economics!$AK$2:$AK$167,economics!$AJ$2:$AJ$167,TRUE))+$CR8*_xlfn.NORM.DIST(AB$3,$CU8,0.3*$CU8,TRUE)+$CS8*_xlfn.NORM.DIST(AB$3,$CV8,0.3*$CV8,TRUE),$CW8*_xlfn.NORM.DIST(AB$3,'energy base (MECS)'!$F$11,0.3*'energy base (MECS)'!$F$11,TRUE))</f>
        <v/>
      </c>
      <c r="AC8" s="68">
        <f t="array" ref="AC8">IF($D8,SUMPRODUCT((economics!$AG$2:$AG$167=$B8)*(economics!$D$2:$D$167="whr")*economics!$AH$2:$AH$167*_xlfn.NORM.DIST(AC$3,economics!$AK$2:$AK$167,economics!$AJ$2:$AJ$167,TRUE))+$CR8*_xlfn.NORM.DIST(AC$3,$CU8,0.3*$CU8,TRUE)+$CS8*_xlfn.NORM.DIST(AC$3,$CV8,0.3*$CV8,TRUE),$CW8*_xlfn.NORM.DIST(AC$3,'energy base (MECS)'!$F$11,0.3*'energy base (MECS)'!$F$11,TRUE))</f>
        <v/>
      </c>
      <c r="AD8" s="68">
        <f t="array" ref="AD8">IF($D8,SUMPRODUCT((economics!$AG$2:$AG$167=$B8)*(economics!$D$2:$D$167="whr")*economics!$AH$2:$AH$167*_xlfn.NORM.DIST(AD$3,economics!$AK$2:$AK$167,economics!$AJ$2:$AJ$167,TRUE))+$CR8*_xlfn.NORM.DIST(AD$3,$CU8,0.3*$CU8,TRUE)+$CS8*_xlfn.NORM.DIST(AD$3,$CV8,0.3*$CV8,TRUE),$CW8*_xlfn.NORM.DIST(AD$3,'energy base (MECS)'!$F$11,0.3*'energy base (MECS)'!$F$11,TRUE))</f>
        <v/>
      </c>
      <c r="AE8" s="68">
        <f t="array" ref="AE8">IF($D8,SUMPRODUCT((economics!$AG$2:$AG$167=$B8)*(economics!$D$2:$D$167="whr")*economics!$AH$2:$AH$167*_xlfn.NORM.DIST(AE$3,economics!$AK$2:$AK$167,economics!$AJ$2:$AJ$167,TRUE))+$CR8*_xlfn.NORM.DIST(AE$3,$CU8,0.3*$CU8,TRUE)+$CS8*_xlfn.NORM.DIST(AE$3,$CV8,0.3*$CV8,TRUE),$CW8*_xlfn.NORM.DIST(AE$3,'energy base (MECS)'!$F$11,0.3*'energy base (MECS)'!$F$11,TRUE))</f>
        <v/>
      </c>
      <c r="AF8" s="68">
        <f t="array" ref="AF8">IF($D8,SUMPRODUCT((economics!$AG$2:$AG$167=$B8)*(economics!$D$2:$D$167="whr")*economics!$AH$2:$AH$167*_xlfn.NORM.DIST(AF$3,economics!$AK$2:$AK$167,economics!$AJ$2:$AJ$167,TRUE))+$CR8*_xlfn.NORM.DIST(AF$3,$CU8,0.3*$CU8,TRUE)+$CS8*_xlfn.NORM.DIST(AF$3,$CV8,0.3*$CV8,TRUE),$CW8*_xlfn.NORM.DIST(AF$3,'energy base (MECS)'!$F$11,0.3*'energy base (MECS)'!$F$11,TRUE))</f>
        <v/>
      </c>
      <c r="AG8" s="68">
        <f t="array" ref="AG8">IF($D8,SUMPRODUCT((economics!$AG$2:$AG$167=$B8)*(economics!$D$2:$D$167="whr")*economics!$AH$2:$AH$167*_xlfn.NORM.DIST(AG$3,economics!$AK$2:$AK$167,economics!$AJ$2:$AJ$167,TRUE))+$CR8*_xlfn.NORM.DIST(AG$3,$CU8,0.3*$CU8,TRUE)+$CS8*_xlfn.NORM.DIST(AG$3,$CV8,0.3*$CV8,TRUE),$CW8*_xlfn.NORM.DIST(AG$3,'energy base (MECS)'!$F$11,0.3*'energy base (MECS)'!$F$11,TRUE))</f>
        <v/>
      </c>
      <c r="AH8" s="68">
        <f t="array" ref="AH8">IF($D8,SUMPRODUCT((economics!$AG$2:$AG$167=$B8)*(economics!$D$2:$D$167="whr")*economics!$AH$2:$AH$167*_xlfn.NORM.DIST(AH$3,economics!$AK$2:$AK$167,economics!$AJ$2:$AJ$167,TRUE))+$CR8*_xlfn.NORM.DIST(AH$3,$CU8,0.3*$CU8,TRUE)+$CS8*_xlfn.NORM.DIST(AH$3,$CV8,0.3*$CV8,TRUE),$CW8*_xlfn.NORM.DIST(AH$3,'energy base (MECS)'!$F$11,0.3*'energy base (MECS)'!$F$11,TRUE))</f>
        <v/>
      </c>
      <c r="AI8" s="68">
        <f t="array" ref="AI8">IF($D8,SUMPRODUCT((economics!$AG$2:$AG$167=$B8)*(economics!$D$2:$D$167="whr")*economics!$AH$2:$AH$167*_xlfn.NORM.DIST(AI$3,economics!$AK$2:$AK$167,economics!$AJ$2:$AJ$167,TRUE))+$CR8*_xlfn.NORM.DIST(AI$3,$CU8,0.3*$CU8,TRUE)+$CS8*_xlfn.NORM.DIST(AI$3,$CV8,0.3*$CV8,TRUE),$CW8*_xlfn.NORM.DIST(AI$3,'energy base (MECS)'!$F$11,0.3*'energy base (MECS)'!$F$11,TRUE))</f>
        <v/>
      </c>
      <c r="AJ8" s="68">
        <f t="array" ref="AJ8">IF($D8,SUMPRODUCT((economics!$AG$2:$AG$167=$B8)*(economics!$D$2:$D$167="whr")*economics!$AH$2:$AH$167*_xlfn.NORM.DIST(AJ$3,economics!$AK$2:$AK$167,economics!$AJ$2:$AJ$167,TRUE))+$CR8*_xlfn.NORM.DIST(AJ$3,$CU8,0.3*$CU8,TRUE)+$CS8*_xlfn.NORM.DIST(AJ$3,$CV8,0.3*$CV8,TRUE),$CW8*_xlfn.NORM.DIST(AJ$3,'energy base (MECS)'!$F$11,0.3*'energy base (MECS)'!$F$11,TRUE))</f>
        <v/>
      </c>
      <c r="AK8" s="68">
        <f t="array" ref="AK8">IF($D8,SUMPRODUCT((economics!$AG$2:$AG$167=$B8)*(economics!$D$2:$D$167="whr")*economics!$AH$2:$AH$167*_xlfn.NORM.DIST(AK$3,economics!$AK$2:$AK$167,economics!$AJ$2:$AJ$167,TRUE))+$CR8*_xlfn.NORM.DIST(AK$3,$CU8,0.3*$CU8,TRUE)+$CS8*_xlfn.NORM.DIST(AK$3,$CV8,0.3*$CV8,TRUE),$CW8*_xlfn.NORM.DIST(AK$3,'energy base (MECS)'!$F$11,0.3*'energy base (MECS)'!$F$11,TRUE))</f>
        <v/>
      </c>
      <c r="AL8" s="68">
        <f t="array" ref="AL8">IF($D8,SUMPRODUCT((economics!$AG$2:$AG$167=$B8)*(economics!$D$2:$D$167="whr")*economics!$AH$2:$AH$167*_xlfn.NORM.DIST(AL$3,economics!$AK$2:$AK$167,economics!$AJ$2:$AJ$167,TRUE))+$CR8*_xlfn.NORM.DIST(AL$3,$CU8,0.3*$CU8,TRUE)+$CS8*_xlfn.NORM.DIST(AL$3,$CV8,0.3*$CV8,TRUE),$CW8*_xlfn.NORM.DIST(AL$3,'energy base (MECS)'!$F$11,0.3*'energy base (MECS)'!$F$11,TRUE))</f>
        <v/>
      </c>
      <c r="AM8" s="68">
        <f t="array" ref="AM8">IF($D8,SUMPRODUCT((economics!$AG$2:$AG$167=$B8)*(economics!$D$2:$D$167="whr")*economics!$AH$2:$AH$167*_xlfn.NORM.DIST(AM$3,economics!$AK$2:$AK$167,economics!$AJ$2:$AJ$167,TRUE))+$CR8*_xlfn.NORM.DIST(AM$3,$CU8,0.3*$CU8,TRUE)+$CS8*_xlfn.NORM.DIST(AM$3,$CV8,0.3*$CV8,TRUE),$CW8*_xlfn.NORM.DIST(AM$3,'energy base (MECS)'!$F$11,0.3*'energy base (MECS)'!$F$11,TRUE))</f>
        <v/>
      </c>
      <c r="AN8" s="68">
        <f t="array" ref="AN8">IF($D8,SUMPRODUCT((economics!$AG$2:$AG$167=$B8)*(economics!$D$2:$D$167="whr")*economics!$AH$2:$AH$167*_xlfn.NORM.DIST(AN$3,economics!$AK$2:$AK$167,economics!$AJ$2:$AJ$167,TRUE))+$CR8*_xlfn.NORM.DIST(AN$3,$CU8,0.3*$CU8,TRUE)+$CS8*_xlfn.NORM.DIST(AN$3,$CV8,0.3*$CV8,TRUE),$CW8*_xlfn.NORM.DIST(AN$3,'energy base (MECS)'!$F$11,0.3*'energy base (MECS)'!$F$11,TRUE))</f>
        <v/>
      </c>
      <c r="AO8" s="68">
        <f t="array" ref="AO8">IF($D8,SUMPRODUCT((economics!$AG$2:$AG$167=$B8)*(economics!$D$2:$D$167="whr")*economics!$AH$2:$AH$167*_xlfn.NORM.DIST(AO$3,economics!$AK$2:$AK$167,economics!$AJ$2:$AJ$167,TRUE))+$CR8*_xlfn.NORM.DIST(AO$3,$CU8,0.3*$CU8,TRUE)+$CS8*_xlfn.NORM.DIST(AO$3,$CV8,0.3*$CV8,TRUE),$CW8*_xlfn.NORM.DIST(AO$3,'energy base (MECS)'!$F$11,0.3*'energy base (MECS)'!$F$11,TRUE))</f>
        <v/>
      </c>
      <c r="AP8" s="68">
        <f t="array" ref="AP8">IF($D8,SUMPRODUCT((economics!$AG$2:$AG$167=$B8)*(economics!$D$2:$D$167="whr")*economics!$AH$2:$AH$167*_xlfn.NORM.DIST(AP$3,economics!$AK$2:$AK$167,economics!$AJ$2:$AJ$167,TRUE))+$CR8*_xlfn.NORM.DIST(AP$3,$CU8,0.3*$CU8,TRUE)+$CS8*_xlfn.NORM.DIST(AP$3,$CV8,0.3*$CV8,TRUE),$CW8*_xlfn.NORM.DIST(AP$3,'energy base (MECS)'!$F$11,0.3*'energy base (MECS)'!$F$11,TRUE))</f>
        <v/>
      </c>
      <c r="AQ8" s="68">
        <f t="array" ref="AQ8">IF($D8,SUMPRODUCT((economics!$AG$2:$AG$167=$B8)*(economics!$D$2:$D$167="whr")*economics!$AH$2:$AH$167*_xlfn.NORM.DIST(AQ$3,economics!$AK$2:$AK$167,economics!$AJ$2:$AJ$167,TRUE))+$CR8*_xlfn.NORM.DIST(AQ$3,$CU8,0.3*$CU8,TRUE)+$CS8*_xlfn.NORM.DIST(AQ$3,$CV8,0.3*$CV8,TRUE),$CW8*_xlfn.NORM.DIST(AQ$3,'energy base (MECS)'!$F$11,0.3*'energy base (MECS)'!$F$11,TRUE))</f>
        <v/>
      </c>
      <c r="AR8" s="68">
        <f t="array" ref="AR8">IF($D8,SUMPRODUCT((economics!$AG$2:$AG$167=$B8)*(economics!$D$2:$D$167="whr")*economics!$AH$2:$AH$167*_xlfn.NORM.DIST(AR$3,economics!$AK$2:$AK$167,economics!$AJ$2:$AJ$167,TRUE))+$CR8*_xlfn.NORM.DIST(AR$3,$CU8,0.3*$CU8,TRUE)+$CS8*_xlfn.NORM.DIST(AR$3,$CV8,0.3*$CV8,TRUE),$CW8*_xlfn.NORM.DIST(AR$3,'energy base (MECS)'!$F$11,0.3*'energy base (MECS)'!$F$11,TRUE))</f>
        <v/>
      </c>
      <c r="AS8" s="68">
        <f t="array" ref="AS8">IF($D8,SUMPRODUCT((economics!$AG$2:$AG$167=$B8)*(economics!$D$2:$D$167="whr")*economics!$AH$2:$AH$167*_xlfn.NORM.DIST(AS$3,economics!$AK$2:$AK$167,economics!$AJ$2:$AJ$167,TRUE))+$CR8*_xlfn.NORM.DIST(AS$3,$CU8,0.3*$CU8,TRUE)+$CS8*_xlfn.NORM.DIST(AS$3,$CV8,0.3*$CV8,TRUE),$CW8*_xlfn.NORM.DIST(AS$3,'energy base (MECS)'!$F$11,0.3*'energy base (MECS)'!$F$11,TRUE))</f>
        <v/>
      </c>
      <c r="AT8" s="68">
        <f t="array" ref="AT8">IF($D8,SUMPRODUCT((economics!$AG$2:$AG$167=$B8)*(economics!$D$2:$D$167="whr")*economics!$AH$2:$AH$167*_xlfn.NORM.DIST(AT$3,economics!$AK$2:$AK$167,economics!$AJ$2:$AJ$167,TRUE))+$CR8*_xlfn.NORM.DIST(AT$3,$CU8,0.3*$CU8,TRUE)+$CS8*_xlfn.NORM.DIST(AT$3,$CV8,0.3*$CV8,TRUE),$CW8*_xlfn.NORM.DIST(AT$3,'energy base (MECS)'!$F$11,0.3*'energy base (MECS)'!$F$11,TRUE))</f>
        <v/>
      </c>
      <c r="AU8" s="68">
        <f t="array" ref="AU8">IF($D8,SUMPRODUCT((economics!$AG$2:$AG$167=$B8)*(economics!$D$2:$D$167="whr")*economics!$AH$2:$AH$167*_xlfn.NORM.DIST(AU$3,economics!$AK$2:$AK$167,economics!$AJ$2:$AJ$167,TRUE))+$CR8*_xlfn.NORM.DIST(AU$3,$CU8,0.3*$CU8,TRUE)+$CS8*_xlfn.NORM.DIST(AU$3,$CV8,0.3*$CV8,TRUE),$CW8*_xlfn.NORM.DIST(AU$3,'energy base (MECS)'!$F$11,0.3*'energy base (MECS)'!$F$11,TRUE))</f>
        <v/>
      </c>
      <c r="AV8" s="68">
        <f t="array" ref="AV8">IF($D8,SUMPRODUCT((economics!$AG$2:$AG$167=$B8)*(economics!$D$2:$D$167="whr")*economics!$AH$2:$AH$167*_xlfn.NORM.DIST(AV$3,economics!$AK$2:$AK$167,economics!$AJ$2:$AJ$167,TRUE))+$CR8*_xlfn.NORM.DIST(AV$3,$CU8,0.3*$CU8,TRUE)+$CS8*_xlfn.NORM.DIST(AV$3,$CV8,0.3*$CV8,TRUE),$CW8*_xlfn.NORM.DIST(AV$3,'energy base (MECS)'!$F$11,0.3*'energy base (MECS)'!$F$11,TRUE))</f>
        <v/>
      </c>
      <c r="AW8" s="68">
        <f t="array" ref="AW8">IF($D8,SUMPRODUCT((economics!$AG$2:$AG$167=$B8)*(economics!$D$2:$D$167="whr")*economics!$AH$2:$AH$167*_xlfn.NORM.DIST(AW$3,economics!$AK$2:$AK$167,economics!$AJ$2:$AJ$167,TRUE))+$CR8*_xlfn.NORM.DIST(AW$3,$CU8,0.3*$CU8,TRUE)+$CS8*_xlfn.NORM.DIST(AW$3,$CV8,0.3*$CV8,TRUE),$CW8*_xlfn.NORM.DIST(AW$3,'energy base (MECS)'!$F$11,0.3*'energy base (MECS)'!$F$11,TRUE))</f>
        <v/>
      </c>
      <c r="AX8" s="68">
        <f t="array" ref="AX8">IF($D8,SUMPRODUCT((economics!$AG$2:$AG$167=$B8)*(economics!$D$2:$D$167="whr")*economics!$AH$2:$AH$167*_xlfn.NORM.DIST(AX$3,economics!$AK$2:$AK$167,economics!$AJ$2:$AJ$167,TRUE))+$CR8*_xlfn.NORM.DIST(AX$3,$CU8,0.3*$CU8,TRUE)+$CS8*_xlfn.NORM.DIST(AX$3,$CV8,0.3*$CV8,TRUE),$CW8*_xlfn.NORM.DIST(AX$3,'energy base (MECS)'!$F$11,0.3*'energy base (MECS)'!$F$11,TRUE))</f>
        <v/>
      </c>
      <c r="AY8" s="68">
        <f t="array" ref="AY8">IF($D8,SUMPRODUCT((economics!$AG$2:$AG$167=$B8)*(economics!$D$2:$D$167="whr")*economics!$AH$2:$AH$167*_xlfn.NORM.DIST(AY$3,economics!$AK$2:$AK$167,economics!$AJ$2:$AJ$167,TRUE))+$CR8*_xlfn.NORM.DIST(AY$3,$CU8,0.3*$CU8,TRUE)+$CS8*_xlfn.NORM.DIST(AY$3,$CV8,0.3*$CV8,TRUE),$CW8*_xlfn.NORM.DIST(AY$3,'energy base (MECS)'!$F$11,0.3*'energy base (MECS)'!$F$11,TRUE))</f>
        <v/>
      </c>
      <c r="AZ8" s="68">
        <f t="array" ref="AZ8">IF($D8,SUMPRODUCT((economics!$AG$2:$AG$167=$B8)*(economics!$D$2:$D$167="whr")*economics!$AH$2:$AH$167*_xlfn.NORM.DIST(AZ$3,economics!$AK$2:$AK$167,economics!$AJ$2:$AJ$167,TRUE))+$CR8*_xlfn.NORM.DIST(AZ$3,$CU8,0.3*$CU8,TRUE)+$CS8*_xlfn.NORM.DIST(AZ$3,$CV8,0.3*$CV8,TRUE),$CW8*_xlfn.NORM.DIST(AZ$3,'energy base (MECS)'!$F$11,0.3*'energy base (MECS)'!$F$11,TRUE))</f>
        <v/>
      </c>
      <c r="BA8" s="68">
        <f t="array" ref="BA8">IF($D8,SUMPRODUCT((economics!$AG$2:$AG$167=$B8)*(economics!$D$2:$D$167="whr")*economics!$AH$2:$AH$167*_xlfn.NORM.DIST(BA$3,economics!$AK$2:$AK$167,economics!$AJ$2:$AJ$167,TRUE))+$CR8*_xlfn.NORM.DIST(BA$3,$CU8,0.3*$CU8,TRUE)+$CS8*_xlfn.NORM.DIST(BA$3,$CV8,0.3*$CV8,TRUE),$CW8*_xlfn.NORM.DIST(BA$3,'energy base (MECS)'!$F$11,0.3*'energy base (MECS)'!$F$11,TRUE))</f>
        <v/>
      </c>
      <c r="BB8" s="68">
        <f t="array" ref="BB8">IF($D8,SUMPRODUCT((economics!$AG$2:$AG$167=$B8)*(economics!$D$2:$D$167="whr")*economics!$AH$2:$AH$167*_xlfn.NORM.DIST(BB$3,economics!$AK$2:$AK$167,economics!$AJ$2:$AJ$167,TRUE))+$CR8*_xlfn.NORM.DIST(BB$3,$CU8,0.3*$CU8,TRUE)+$CS8*_xlfn.NORM.DIST(BB$3,$CV8,0.3*$CV8,TRUE),$CW8*_xlfn.NORM.DIST(BB$3,'energy base (MECS)'!$F$11,0.3*'energy base (MECS)'!$F$11,TRUE))</f>
        <v/>
      </c>
      <c r="BC8" s="68">
        <f t="array" ref="BC8">IF($D8,SUMPRODUCT((economics!$AG$2:$AG$167=$B8)*(economics!$D$2:$D$167="whr")*economics!$AH$2:$AH$167*_xlfn.NORM.DIST(BC$3,economics!$AK$2:$AK$167,economics!$AJ$2:$AJ$167,TRUE))+$CR8*_xlfn.NORM.DIST(BC$3,$CU8,0.3*$CU8,TRUE)+$CS8*_xlfn.NORM.DIST(BC$3,$CV8,0.3*$CV8,TRUE),$CW8*_xlfn.NORM.DIST(BC$3,'energy base (MECS)'!$F$11,0.3*'energy base (MECS)'!$F$11,TRUE))</f>
        <v/>
      </c>
      <c r="BD8" s="68">
        <f t="array" ref="BD8">IF($D8,SUMPRODUCT((economics!$AG$2:$AG$167=$B8)*(economics!$D$2:$D$167="whr")*economics!$AH$2:$AH$167*_xlfn.NORM.DIST(BD$3,economics!$AK$2:$AK$167,economics!$AJ$2:$AJ$167,TRUE))+$CR8*_xlfn.NORM.DIST(BD$3,$CU8,0.3*$CU8,TRUE)+$CS8*_xlfn.NORM.DIST(BD$3,$CV8,0.3*$CV8,TRUE),$CW8*_xlfn.NORM.DIST(BD$3,'energy base (MECS)'!$F$11,0.3*'energy base (MECS)'!$F$11,TRUE))</f>
        <v/>
      </c>
      <c r="BE8" s="68">
        <f t="array" ref="BE8">IF($D8,SUMPRODUCT((economics!$AG$2:$AG$167=$B8)*(economics!$D$2:$D$167="whr")*economics!$AH$2:$AH$167*_xlfn.NORM.DIST(BE$3,economics!$AK$2:$AK$167,economics!$AJ$2:$AJ$167,TRUE))+$CR8*_xlfn.NORM.DIST(BE$3,$CU8,0.3*$CU8,TRUE)+$CS8*_xlfn.NORM.DIST(BE$3,$CV8,0.3*$CV8,TRUE),$CW8*_xlfn.NORM.DIST(BE$3,'energy base (MECS)'!$F$11,0.3*'energy base (MECS)'!$F$11,TRUE))</f>
        <v/>
      </c>
      <c r="BF8" s="68">
        <f t="array" ref="BF8">IF($D8,SUMPRODUCT((economics!$AG$2:$AG$167=$B8)*(economics!$D$2:$D$167="whr")*economics!$AH$2:$AH$167*_xlfn.NORM.DIST(BF$3,economics!$AK$2:$AK$167,economics!$AJ$2:$AJ$167,TRUE))+$CR8*_xlfn.NORM.DIST(BF$3,$CU8,0.3*$CU8,TRUE)+$CS8*_xlfn.NORM.DIST(BF$3,$CV8,0.3*$CV8,TRUE),$CW8*_xlfn.NORM.DIST(BF$3,'energy base (MECS)'!$F$11,0.3*'energy base (MECS)'!$F$11,TRUE))</f>
        <v/>
      </c>
      <c r="BG8" s="68">
        <f t="array" ref="BG8">IF($D8,SUMPRODUCT((economics!$AG$2:$AG$167=$B8)*(economics!$D$2:$D$167="whr")*economics!$AH$2:$AH$167*_xlfn.NORM.DIST(BG$3,economics!$AK$2:$AK$167,economics!$AJ$2:$AJ$167,TRUE))+$CR8*_xlfn.NORM.DIST(BG$3,$CU8,0.3*$CU8,TRUE)+$CS8*_xlfn.NORM.DIST(BG$3,$CV8,0.3*$CV8,TRUE),$CW8*_xlfn.NORM.DIST(BG$3,'energy base (MECS)'!$F$11,0.3*'energy base (MECS)'!$F$11,TRUE))</f>
        <v/>
      </c>
      <c r="BH8" s="68">
        <f t="array" ref="BH8">IF($D8,SUMPRODUCT((economics!$AG$2:$AG$167=$B8)*(economics!$D$2:$D$167="whr")*economics!$AH$2:$AH$167*_xlfn.NORM.DIST(BH$3,economics!$AK$2:$AK$167,economics!$AJ$2:$AJ$167,TRUE))+$CR8*_xlfn.NORM.DIST(BH$3,$CU8,0.3*$CU8,TRUE)+$CS8*_xlfn.NORM.DIST(BH$3,$CV8,0.3*$CV8,TRUE),$CW8*_xlfn.NORM.DIST(BH$3,'energy base (MECS)'!$F$11,0.3*'energy base (MECS)'!$F$11,TRUE))</f>
        <v/>
      </c>
      <c r="BI8" s="68">
        <f t="array" ref="BI8">IF($D8,SUMPRODUCT((economics!$AG$2:$AG$167=$B8)*(economics!$D$2:$D$167="whr")*economics!$AH$2:$AH$167*_xlfn.NORM.DIST(BI$3,economics!$AK$2:$AK$167,economics!$AJ$2:$AJ$167,TRUE))+$CR8*_xlfn.NORM.DIST(BI$3,$CU8,0.3*$CU8,TRUE)+$CS8*_xlfn.NORM.DIST(BI$3,$CV8,0.3*$CV8,TRUE),$CW8*_xlfn.NORM.DIST(BI$3,'energy base (MECS)'!$F$11,0.3*'energy base (MECS)'!$F$11,TRUE))</f>
        <v/>
      </c>
      <c r="BJ8" s="68">
        <f t="array" ref="BJ8">IF($D8,SUMPRODUCT((economics!$AG$2:$AG$167=$B8)*(economics!$D$2:$D$167="whr")*economics!$AH$2:$AH$167*_xlfn.NORM.DIST(BJ$3,economics!$AK$2:$AK$167,economics!$AJ$2:$AJ$167,TRUE))+$CR8*_xlfn.NORM.DIST(BJ$3,$CU8,0.3*$CU8,TRUE)+$CS8*_xlfn.NORM.DIST(BJ$3,$CV8,0.3*$CV8,TRUE),$CW8*_xlfn.NORM.DIST(BJ$3,'energy base (MECS)'!$F$11,0.3*'energy base (MECS)'!$F$11,TRUE))</f>
        <v/>
      </c>
      <c r="BK8" s="68">
        <f t="array" ref="BK8">IF($D8,SUMPRODUCT((economics!$AG$2:$AG$167=$B8)*(economics!$D$2:$D$167="whr")*economics!$AH$2:$AH$167*_xlfn.NORM.DIST(BK$3,economics!$AK$2:$AK$167,economics!$AJ$2:$AJ$167,TRUE))+$CR8*_xlfn.NORM.DIST(BK$3,$CU8,0.3*$CU8,TRUE)+$CS8*_xlfn.NORM.DIST(BK$3,$CV8,0.3*$CV8,TRUE),$CW8*_xlfn.NORM.DIST(BK$3,'energy base (MECS)'!$F$11,0.3*'energy base (MECS)'!$F$11,TRUE))</f>
        <v/>
      </c>
      <c r="BL8" s="68">
        <f t="array" ref="BL8">IF($D8,SUMPRODUCT((economics!$AG$2:$AG$167=$B8)*(economics!$D$2:$D$167="whr")*economics!$AH$2:$AH$167*_xlfn.NORM.DIST(BL$3,economics!$AK$2:$AK$167,economics!$AJ$2:$AJ$167,TRUE))+$CR8*_xlfn.NORM.DIST(BL$3,$CU8,0.3*$CU8,TRUE)+$CS8*_xlfn.NORM.DIST(BL$3,$CV8,0.3*$CV8,TRUE),$CW8*_xlfn.NORM.DIST(BL$3,'energy base (MECS)'!$F$11,0.3*'energy base (MECS)'!$F$11,TRUE))</f>
        <v/>
      </c>
      <c r="BM8" s="68">
        <f t="array" ref="BM8">IF($D8,SUMPRODUCT((economics!$AG$2:$AG$167=$B8)*(economics!$D$2:$D$167="whr")*economics!$AH$2:$AH$167*_xlfn.NORM.DIST(BM$3,economics!$AK$2:$AK$167,economics!$AJ$2:$AJ$167,TRUE))+$CR8*_xlfn.NORM.DIST(BM$3,$CU8,0.3*$CU8,TRUE)+$CS8*_xlfn.NORM.DIST(BM$3,$CV8,0.3*$CV8,TRUE),$CW8*_xlfn.NORM.DIST(BM$3,'energy base (MECS)'!$F$11,0.3*'energy base (MECS)'!$F$11,TRUE))</f>
        <v/>
      </c>
      <c r="BN8" s="68">
        <f t="array" ref="BN8">IF($D8,SUMPRODUCT((economics!$AG$2:$AG$167=$B8)*(economics!$D$2:$D$167="whr")*economics!$AH$2:$AH$167*_xlfn.NORM.DIST(BN$3,economics!$AK$2:$AK$167,economics!$AJ$2:$AJ$167,TRUE))+$CR8*_xlfn.NORM.DIST(BN$3,$CU8,0.3*$CU8,TRUE)+$CS8*_xlfn.NORM.DIST(BN$3,$CV8,0.3*$CV8,TRUE),$CW8*_xlfn.NORM.DIST(BN$3,'energy base (MECS)'!$F$11,0.3*'energy base (MECS)'!$F$11,TRUE))</f>
        <v/>
      </c>
      <c r="BO8" s="68">
        <f t="array" ref="BO8">IF($D8,SUMPRODUCT((economics!$AG$2:$AG$167=$B8)*(economics!$D$2:$D$167="whr")*economics!$AH$2:$AH$167*_xlfn.NORM.DIST(BO$3,economics!$AK$2:$AK$167,economics!$AJ$2:$AJ$167,TRUE))+$CR8*_xlfn.NORM.DIST(BO$3,$CU8,0.3*$CU8,TRUE)+$CS8*_xlfn.NORM.DIST(BO$3,$CV8,0.3*$CV8,TRUE),$CW8*_xlfn.NORM.DIST(BO$3,'energy base (MECS)'!$F$11,0.3*'energy base (MECS)'!$F$11,TRUE))</f>
        <v/>
      </c>
      <c r="BP8" s="68">
        <f t="array" ref="BP8">IF($D8,SUMPRODUCT((economics!$AG$2:$AG$167=$B8)*(economics!$D$2:$D$167="whr")*economics!$AH$2:$AH$167*_xlfn.NORM.DIST(BP$3,economics!$AK$2:$AK$167,economics!$AJ$2:$AJ$167,TRUE))+$CR8*_xlfn.NORM.DIST(BP$3,$CU8,0.3*$CU8,TRUE)+$CS8*_xlfn.NORM.DIST(BP$3,$CV8,0.3*$CV8,TRUE),$CW8*_xlfn.NORM.DIST(BP$3,'energy base (MECS)'!$F$11,0.3*'energy base (MECS)'!$F$11,TRUE))</f>
        <v/>
      </c>
      <c r="BQ8" s="68">
        <f t="array" ref="BQ8">IF($D8,SUMPRODUCT((economics!$AG$2:$AG$167=$B8)*(economics!$D$2:$D$167="whr")*economics!$AH$2:$AH$167*_xlfn.NORM.DIST(BQ$3,economics!$AK$2:$AK$167,economics!$AJ$2:$AJ$167,TRUE))+$CR8*_xlfn.NORM.DIST(BQ$3,$CU8,0.3*$CU8,TRUE)+$CS8*_xlfn.NORM.DIST(BQ$3,$CV8,0.3*$CV8,TRUE),$CW8*_xlfn.NORM.DIST(BQ$3,'energy base (MECS)'!$F$11,0.3*'energy base (MECS)'!$F$11,TRUE))</f>
        <v/>
      </c>
      <c r="BR8" s="68">
        <f t="array" ref="BR8">IF($D8,SUMPRODUCT((economics!$AG$2:$AG$167=$B8)*(economics!$D$2:$D$167="whr")*economics!$AH$2:$AH$167*_xlfn.NORM.DIST(BR$3,economics!$AK$2:$AK$167,economics!$AJ$2:$AJ$167,TRUE))+$CR8*_xlfn.NORM.DIST(BR$3,$CU8,0.3*$CU8,TRUE)+$CS8*_xlfn.NORM.DIST(BR$3,$CV8,0.3*$CV8,TRUE),$CW8*_xlfn.NORM.DIST(BR$3,'energy base (MECS)'!$F$11,0.3*'energy base (MECS)'!$F$11,TRUE))</f>
        <v/>
      </c>
      <c r="BS8" s="68">
        <f t="array" ref="BS8">IF($D8,SUMPRODUCT((economics!$AG$2:$AG$167=$B8)*(economics!$D$2:$D$167="whr")*economics!$AH$2:$AH$167*_xlfn.NORM.DIST(BS$3,economics!$AK$2:$AK$167,economics!$AJ$2:$AJ$167,TRUE))+$CR8*_xlfn.NORM.DIST(BS$3,$CU8,0.3*$CU8,TRUE)+$CS8*_xlfn.NORM.DIST(BS$3,$CV8,0.3*$CV8,TRUE),$CW8*_xlfn.NORM.DIST(BS$3,'energy base (MECS)'!$F$11,0.3*'energy base (MECS)'!$F$11,TRUE))</f>
        <v/>
      </c>
      <c r="BT8" s="68">
        <f t="array" ref="BT8">IF($D8,SUMPRODUCT((economics!$AG$2:$AG$167=$B8)*(economics!$D$2:$D$167="whr")*economics!$AH$2:$AH$167*_xlfn.NORM.DIST(BT$3,economics!$AK$2:$AK$167,economics!$AJ$2:$AJ$167,TRUE))+$CR8*_xlfn.NORM.DIST(BT$3,$CU8,0.3*$CU8,TRUE)+$CS8*_xlfn.NORM.DIST(BT$3,$CV8,0.3*$CV8,TRUE),$CW8*_xlfn.NORM.DIST(BT$3,'energy base (MECS)'!$F$11,0.3*'energy base (MECS)'!$F$11,TRUE))</f>
        <v/>
      </c>
      <c r="BU8" s="68">
        <f t="array" ref="BU8">IF($D8,SUMPRODUCT((economics!$AG$2:$AG$167=$B8)*(economics!$D$2:$D$167="whr")*economics!$AH$2:$AH$167*_xlfn.NORM.DIST(BU$3,economics!$AK$2:$AK$167,economics!$AJ$2:$AJ$167,TRUE))+$CR8*_xlfn.NORM.DIST(BU$3,$CU8,0.3*$CU8,TRUE)+$CS8*_xlfn.NORM.DIST(BU$3,$CV8,0.3*$CV8,TRUE),$CW8*_xlfn.NORM.DIST(BU$3,'energy base (MECS)'!$F$11,0.3*'energy base (MECS)'!$F$11,TRUE))</f>
        <v/>
      </c>
      <c r="BV8" s="68">
        <f t="array" ref="BV8">IF($D8,SUMPRODUCT((economics!$AG$2:$AG$167=$B8)*(economics!$D$2:$D$167="whr")*economics!$AH$2:$AH$167*_xlfn.NORM.DIST(BV$3,economics!$AK$2:$AK$167,economics!$AJ$2:$AJ$167,TRUE))+$CR8*_xlfn.NORM.DIST(BV$3,$CU8,0.3*$CU8,TRUE)+$CS8*_xlfn.NORM.DIST(BV$3,$CV8,0.3*$CV8,TRUE),$CW8*_xlfn.NORM.DIST(BV$3,'energy base (MECS)'!$F$11,0.3*'energy base (MECS)'!$F$11,TRUE))</f>
        <v/>
      </c>
      <c r="BW8" s="68">
        <f t="array" ref="BW8">IF($D8,SUMPRODUCT((economics!$AG$2:$AG$167=$B8)*(economics!$D$2:$D$167="whr")*economics!$AH$2:$AH$167*_xlfn.NORM.DIST(BW$3,economics!$AK$2:$AK$167,economics!$AJ$2:$AJ$167,TRUE))+$CR8*_xlfn.NORM.DIST(BW$3,$CU8,0.3*$CU8,TRUE)+$CS8*_xlfn.NORM.DIST(BW$3,$CV8,0.3*$CV8,TRUE),$CW8*_xlfn.NORM.DIST(BW$3,'energy base (MECS)'!$F$11,0.3*'energy base (MECS)'!$F$11,TRUE))</f>
        <v/>
      </c>
      <c r="BX8" s="68">
        <f t="array" ref="BX8">IF($D8,SUMPRODUCT((economics!$AG$2:$AG$167=$B8)*(economics!$D$2:$D$167="whr")*economics!$AH$2:$AH$167*_xlfn.NORM.DIST(BX$3,economics!$AK$2:$AK$167,economics!$AJ$2:$AJ$167,TRUE))+$CR8*_xlfn.NORM.DIST(BX$3,$CU8,0.3*$CU8,TRUE)+$CS8*_xlfn.NORM.DIST(BX$3,$CV8,0.3*$CV8,TRUE),$CW8*_xlfn.NORM.DIST(BX$3,'energy base (MECS)'!$F$11,0.3*'energy base (MECS)'!$F$11,TRUE))</f>
        <v/>
      </c>
      <c r="BY8" s="68">
        <f t="array" ref="BY8">IF($D8,SUMPRODUCT((economics!$AG$2:$AG$167=$B8)*(economics!$D$2:$D$167="whr")*economics!$AH$2:$AH$167*_xlfn.NORM.DIST(BY$3,economics!$AK$2:$AK$167,economics!$AJ$2:$AJ$167,TRUE))+$CR8*_xlfn.NORM.DIST(BY$3,$CU8,0.3*$CU8,TRUE)+$CS8*_xlfn.NORM.DIST(BY$3,$CV8,0.3*$CV8,TRUE),$CW8*_xlfn.NORM.DIST(BY$3,'energy base (MECS)'!$F$11,0.3*'energy base (MECS)'!$F$11,TRUE))</f>
        <v/>
      </c>
      <c r="BZ8" s="68">
        <f t="array" ref="BZ8">IF($D8,SUMPRODUCT((economics!$AG$2:$AG$167=$B8)*(economics!$D$2:$D$167="whr")*economics!$AH$2:$AH$167*_xlfn.NORM.DIST(BZ$3,economics!$AK$2:$AK$167,economics!$AJ$2:$AJ$167,TRUE))+$CR8*_xlfn.NORM.DIST(BZ$3,$CU8,0.3*$CU8,TRUE)+$CS8*_xlfn.NORM.DIST(BZ$3,$CV8,0.3*$CV8,TRUE),$CW8*_xlfn.NORM.DIST(BZ$3,'energy base (MECS)'!$F$11,0.3*'energy base (MECS)'!$F$11,TRUE))</f>
        <v/>
      </c>
      <c r="CA8" s="68">
        <f t="array" ref="CA8">IF($D8,SUMPRODUCT((economics!$AG$2:$AG$167=$B8)*(economics!$D$2:$D$167="whr")*economics!$AH$2:$AH$167*_xlfn.NORM.DIST(CA$3,economics!$AK$2:$AK$167,economics!$AJ$2:$AJ$167,TRUE))+$CR8*_xlfn.NORM.DIST(CA$3,$CU8,0.3*$CU8,TRUE)+$CS8*_xlfn.NORM.DIST(CA$3,$CV8,0.3*$CV8,TRUE),$CW8*_xlfn.NORM.DIST(CA$3,'energy base (MECS)'!$F$11,0.3*'energy base (MECS)'!$F$11,TRUE))</f>
        <v/>
      </c>
      <c r="CB8" s="68">
        <f t="array" ref="CB8">IF($D8,SUMPRODUCT((economics!$AG$2:$AG$167=$B8)*(economics!$D$2:$D$167="whr")*economics!$AH$2:$AH$167*_xlfn.NORM.DIST(CB$3,economics!$AK$2:$AK$167,economics!$AJ$2:$AJ$167,TRUE))+$CR8*_xlfn.NORM.DIST(CB$3,$CU8,0.3*$CU8,TRUE)+$CS8*_xlfn.NORM.DIST(CB$3,$CV8,0.3*$CV8,TRUE),$CW8*_xlfn.NORM.DIST(CB$3,'energy base (MECS)'!$F$11,0.3*'energy base (MECS)'!$F$11,TRUE))</f>
        <v/>
      </c>
      <c r="CC8" s="68">
        <f t="array" ref="CC8">IF($D8,SUMPRODUCT((economics!$AG$2:$AG$167=$B8)*(economics!$D$2:$D$167="whr")*economics!$AH$2:$AH$167*_xlfn.NORM.DIST(CC$3,economics!$AK$2:$AK$167,economics!$AJ$2:$AJ$167,TRUE))+$CR8*_xlfn.NORM.DIST(CC$3,$CU8,0.3*$CU8,TRUE)+$CS8*_xlfn.NORM.DIST(CC$3,$CV8,0.3*$CV8,TRUE),$CW8*_xlfn.NORM.DIST(CC$3,'energy base (MECS)'!$F$11,0.3*'energy base (MECS)'!$F$11,TRUE))</f>
        <v/>
      </c>
      <c r="CD8" s="68">
        <f t="array" ref="CD8">IF($D8,SUMPRODUCT((economics!$AG$2:$AG$167=$B8)*(economics!$D$2:$D$167="whr")*economics!$AH$2:$AH$167*_xlfn.NORM.DIST(CD$3,economics!$AK$2:$AK$167,economics!$AJ$2:$AJ$167,TRUE))+$CR8*_xlfn.NORM.DIST(CD$3,$CU8,0.3*$CU8,TRUE)+$CS8*_xlfn.NORM.DIST(CD$3,$CV8,0.3*$CV8,TRUE),$CW8*_xlfn.NORM.DIST(CD$3,'energy base (MECS)'!$F$11,0.3*'energy base (MECS)'!$F$11,TRUE))</f>
        <v/>
      </c>
      <c r="CE8" s="68">
        <f t="array" ref="CE8">IF($D8,SUMPRODUCT((economics!$AG$2:$AG$167=$B8)*(economics!$D$2:$D$167="whr")*economics!$AH$2:$AH$167*_xlfn.NORM.DIST(CE$3,economics!$AK$2:$AK$167,economics!$AJ$2:$AJ$167,TRUE))+$CR8*_xlfn.NORM.DIST(CE$3,$CU8,0.3*$CU8,TRUE)+$CS8*_xlfn.NORM.DIST(CE$3,$CV8,0.3*$CV8,TRUE),$CW8*_xlfn.NORM.DIST(CE$3,'energy base (MECS)'!$F$11,0.3*'energy base (MECS)'!$F$11,TRUE))</f>
        <v/>
      </c>
      <c r="CF8" s="68">
        <f t="array" ref="CF8">IF($D8,SUMPRODUCT((economics!$AG$2:$AG$167=$B8)*(economics!$D$2:$D$167="whr")*economics!$AH$2:$AH$167*_xlfn.NORM.DIST(CF$3,economics!$AK$2:$AK$167,economics!$AJ$2:$AJ$167,TRUE))+$CR8*_xlfn.NORM.DIST(CF$3,$CU8,0.3*$CU8,TRUE)+$CS8*_xlfn.NORM.DIST(CF$3,$CV8,0.3*$CV8,TRUE),$CW8*_xlfn.NORM.DIST(CF$3,'energy base (MECS)'!$F$11,0.3*'energy base (MECS)'!$F$11,TRUE))</f>
        <v/>
      </c>
      <c r="CG8" s="68">
        <f t="array" ref="CG8">IF($D8,SUMPRODUCT((economics!$AG$2:$AG$167=$B8)*(economics!$D$2:$D$167="whr")*economics!$AH$2:$AH$167*_xlfn.NORM.DIST(CG$3,economics!$AK$2:$AK$167,economics!$AJ$2:$AJ$167,TRUE))+$CR8*_xlfn.NORM.DIST(CG$3,$CU8,0.3*$CU8,TRUE)+$CS8*_xlfn.NORM.DIST(CG$3,$CV8,0.3*$CV8,TRUE),$CW8*_xlfn.NORM.DIST(CG$3,'energy base (MECS)'!$F$11,0.3*'energy base (MECS)'!$F$11,TRUE))</f>
        <v/>
      </c>
      <c r="CH8" s="68">
        <f t="array" ref="CH8">IF($D8,SUMPRODUCT((economics!$AG$2:$AG$167=$B8)*(economics!$D$2:$D$167="whr")*economics!$AH$2:$AH$167*_xlfn.NORM.DIST(CH$3,economics!$AK$2:$AK$167,economics!$AJ$2:$AJ$167,TRUE))+$CR8*_xlfn.NORM.DIST(CH$3,$CU8,0.3*$CU8,TRUE)+$CS8*_xlfn.NORM.DIST(CH$3,$CV8,0.3*$CV8,TRUE),$CW8*_xlfn.NORM.DIST(CH$3,'energy base (MECS)'!$F$11,0.3*'energy base (MECS)'!$F$11,TRUE))</f>
        <v/>
      </c>
      <c r="CJ8">
        <f t="array" ref="CJ8">SUMPRODUCT((economics!$AG$2:$AG$167=$B8)*(economics!$D$2:$D$167="whr")*economics!$AH$2:$AH$167)</f>
        <v/>
      </c>
      <c r="CK8" s="80">
        <f>'indst heat consumption'!D8</f>
        <v/>
      </c>
      <c r="CL8" s="80">
        <f>'indst heat consumption'!E8</f>
        <v/>
      </c>
      <c r="CM8" s="80">
        <f>'indst heat consumption'!F8</f>
        <v/>
      </c>
      <c r="CN8" s="80">
        <f>'indst heat consumption'!G8</f>
        <v/>
      </c>
      <c r="CO8" s="80">
        <f>'indst heat consumption'!H8</f>
        <v/>
      </c>
      <c r="CP8">
        <f>$C8*(CK8*summary!$B$94+CL8*summary!$C$94+CM8*summary!$D$94)</f>
        <v/>
      </c>
      <c r="CQ8">
        <f>$C8*(CN8*summary!$E$94+CO8*summary!$F$94)</f>
        <v/>
      </c>
      <c r="CR8">
        <f>IF(CP8+CQ8&gt;0,CP8*MAX(0,CP8+CQ8-CJ8)/(CP8+CQ8),0)</f>
        <v/>
      </c>
      <c r="CS8">
        <f>IF(CP8+CQ8&gt;0,CQ8*MAX(0,CP8+CQ8-CJ8)/(CP8+CQ8),0)</f>
        <v/>
      </c>
      <c r="CT8">
        <f>IFERROR(_xlfn.XLOOKUP($B8,'BCoISC-WACCbI'!$C$2:$C$26,'BCoISC-WACCbI'!$B$2:$B$26)+economics!$AE$4,0.1)</f>
        <v/>
      </c>
      <c r="CU8">
        <f>(summary!$C$7*(CT8/(1-(1+CT8)^-summary!$D$7))+summary!$C$7*summary!$E$7)/(summary!$F$7*3412/1000000)</f>
        <v/>
      </c>
      <c r="CV8">
        <f>(summary!$C$6*(CT8/(1-(1+CT8)^-summary!$D$6))+summary!$C$6*summary!$E$6)/(summary!$F$6*3412/1000000)</f>
        <v/>
      </c>
      <c r="CW8">
        <f>CR8+CS8</f>
        <v/>
      </c>
    </row>
    <row r="9">
      <c r="A9">
        <f>WHRPbI!A7</f>
        <v/>
      </c>
      <c r="B9" t="inlineStr">
        <is>
          <t>13T15</t>
        </is>
      </c>
      <c r="C9" s="68">
        <f>WHRPbI!B7</f>
        <v/>
      </c>
      <c r="D9">
        <f>ISNUMBER(MATCH($B9,'energy base (MECS)'!$K$4:$K$9,0))</f>
        <v/>
      </c>
      <c r="E9" s="68">
        <f t="array" ref="E9">IF($D9,SUMPRODUCT((economics!$AG$2:$AG$167=$B9)*(economics!$D$2:$D$167="whr")*economics!$AH$2:$AH$167*_xlfn.NORM.DIST(E$3,economics!$AK$2:$AK$167,economics!$AJ$2:$AJ$167,TRUE))+$CR9*_xlfn.NORM.DIST(E$3,$CU9,0.3*$CU9,TRUE)+$CS9*_xlfn.NORM.DIST(E$3,$CV9,0.3*$CV9,TRUE),$CW9*_xlfn.NORM.DIST(E$3,'energy base (MECS)'!$F$11,0.3*'energy base (MECS)'!$F$11,TRUE))</f>
        <v/>
      </c>
      <c r="F9" s="68">
        <f t="array" ref="F9">IF($D9,SUMPRODUCT((economics!$AG$2:$AG$167=$B9)*(economics!$D$2:$D$167="whr")*economics!$AH$2:$AH$167*_xlfn.NORM.DIST(F$3,economics!$AK$2:$AK$167,economics!$AJ$2:$AJ$167,TRUE))+$CR9*_xlfn.NORM.DIST(F$3,$CU9,0.3*$CU9,TRUE)+$CS9*_xlfn.NORM.DIST(F$3,$CV9,0.3*$CV9,TRUE),$CW9*_xlfn.NORM.DIST(F$3,'energy base (MECS)'!$F$11,0.3*'energy base (MECS)'!$F$11,TRUE))</f>
        <v/>
      </c>
      <c r="G9" s="68">
        <f t="array" ref="G9">IF($D9,SUMPRODUCT((economics!$AG$2:$AG$167=$B9)*(economics!$D$2:$D$167="whr")*economics!$AH$2:$AH$167*_xlfn.NORM.DIST(G$3,economics!$AK$2:$AK$167,economics!$AJ$2:$AJ$167,TRUE))+$CR9*_xlfn.NORM.DIST(G$3,$CU9,0.3*$CU9,TRUE)+$CS9*_xlfn.NORM.DIST(G$3,$CV9,0.3*$CV9,TRUE),$CW9*_xlfn.NORM.DIST(G$3,'energy base (MECS)'!$F$11,0.3*'energy base (MECS)'!$F$11,TRUE))</f>
        <v/>
      </c>
      <c r="H9" s="68">
        <f t="array" ref="H9">IF($D9,SUMPRODUCT((economics!$AG$2:$AG$167=$B9)*(economics!$D$2:$D$167="whr")*economics!$AH$2:$AH$167*_xlfn.NORM.DIST(H$3,economics!$AK$2:$AK$167,economics!$AJ$2:$AJ$167,TRUE))+$CR9*_xlfn.NORM.DIST(H$3,$CU9,0.3*$CU9,TRUE)+$CS9*_xlfn.NORM.DIST(H$3,$CV9,0.3*$CV9,TRUE),$CW9*_xlfn.NORM.DIST(H$3,'energy base (MECS)'!$F$11,0.3*'energy base (MECS)'!$F$11,TRUE))</f>
        <v/>
      </c>
      <c r="I9" s="68">
        <f t="array" ref="I9">IF($D9,SUMPRODUCT((economics!$AG$2:$AG$167=$B9)*(economics!$D$2:$D$167="whr")*economics!$AH$2:$AH$167*_xlfn.NORM.DIST(I$3,economics!$AK$2:$AK$167,economics!$AJ$2:$AJ$167,TRUE))+$CR9*_xlfn.NORM.DIST(I$3,$CU9,0.3*$CU9,TRUE)+$CS9*_xlfn.NORM.DIST(I$3,$CV9,0.3*$CV9,TRUE),$CW9*_xlfn.NORM.DIST(I$3,'energy base (MECS)'!$F$11,0.3*'energy base (MECS)'!$F$11,TRUE))</f>
        <v/>
      </c>
      <c r="J9" s="68">
        <f t="array" ref="J9">IF($D9,SUMPRODUCT((economics!$AG$2:$AG$167=$B9)*(economics!$D$2:$D$167="whr")*economics!$AH$2:$AH$167*_xlfn.NORM.DIST(J$3,economics!$AK$2:$AK$167,economics!$AJ$2:$AJ$167,TRUE))+$CR9*_xlfn.NORM.DIST(J$3,$CU9,0.3*$CU9,TRUE)+$CS9*_xlfn.NORM.DIST(J$3,$CV9,0.3*$CV9,TRUE),$CW9*_xlfn.NORM.DIST(J$3,'energy base (MECS)'!$F$11,0.3*'energy base (MECS)'!$F$11,TRUE))</f>
        <v/>
      </c>
      <c r="K9" s="68">
        <f t="array" ref="K9">IF($D9,SUMPRODUCT((economics!$AG$2:$AG$167=$B9)*(economics!$D$2:$D$167="whr")*economics!$AH$2:$AH$167*_xlfn.NORM.DIST(K$3,economics!$AK$2:$AK$167,economics!$AJ$2:$AJ$167,TRUE))+$CR9*_xlfn.NORM.DIST(K$3,$CU9,0.3*$CU9,TRUE)+$CS9*_xlfn.NORM.DIST(K$3,$CV9,0.3*$CV9,TRUE),$CW9*_xlfn.NORM.DIST(K$3,'energy base (MECS)'!$F$11,0.3*'energy base (MECS)'!$F$11,TRUE))</f>
        <v/>
      </c>
      <c r="L9" s="68">
        <f t="array" ref="L9">IF($D9,SUMPRODUCT((economics!$AG$2:$AG$167=$B9)*(economics!$D$2:$D$167="whr")*economics!$AH$2:$AH$167*_xlfn.NORM.DIST(L$3,economics!$AK$2:$AK$167,economics!$AJ$2:$AJ$167,TRUE))+$CR9*_xlfn.NORM.DIST(L$3,$CU9,0.3*$CU9,TRUE)+$CS9*_xlfn.NORM.DIST(L$3,$CV9,0.3*$CV9,TRUE),$CW9*_xlfn.NORM.DIST(L$3,'energy base (MECS)'!$F$11,0.3*'energy base (MECS)'!$F$11,TRUE))</f>
        <v/>
      </c>
      <c r="M9" s="68">
        <f t="array" ref="M9">IF($D9,SUMPRODUCT((economics!$AG$2:$AG$167=$B9)*(economics!$D$2:$D$167="whr")*economics!$AH$2:$AH$167*_xlfn.NORM.DIST(M$3,economics!$AK$2:$AK$167,economics!$AJ$2:$AJ$167,TRUE))+$CR9*_xlfn.NORM.DIST(M$3,$CU9,0.3*$CU9,TRUE)+$CS9*_xlfn.NORM.DIST(M$3,$CV9,0.3*$CV9,TRUE),$CW9*_xlfn.NORM.DIST(M$3,'energy base (MECS)'!$F$11,0.3*'energy base (MECS)'!$F$11,TRUE))</f>
        <v/>
      </c>
      <c r="N9" s="68">
        <f t="array" ref="N9">IF($D9,SUMPRODUCT((economics!$AG$2:$AG$167=$B9)*(economics!$D$2:$D$167="whr")*economics!$AH$2:$AH$167*_xlfn.NORM.DIST(N$3,economics!$AK$2:$AK$167,economics!$AJ$2:$AJ$167,TRUE))+$CR9*_xlfn.NORM.DIST(N$3,$CU9,0.3*$CU9,TRUE)+$CS9*_xlfn.NORM.DIST(N$3,$CV9,0.3*$CV9,TRUE),$CW9*_xlfn.NORM.DIST(N$3,'energy base (MECS)'!$F$11,0.3*'energy base (MECS)'!$F$11,TRUE))</f>
        <v/>
      </c>
      <c r="O9" s="68">
        <f t="array" ref="O9">IF($D9,SUMPRODUCT((economics!$AG$2:$AG$167=$B9)*(economics!$D$2:$D$167="whr")*economics!$AH$2:$AH$167*_xlfn.NORM.DIST(O$3,economics!$AK$2:$AK$167,economics!$AJ$2:$AJ$167,TRUE))+$CR9*_xlfn.NORM.DIST(O$3,$CU9,0.3*$CU9,TRUE)+$CS9*_xlfn.NORM.DIST(O$3,$CV9,0.3*$CV9,TRUE),$CW9*_xlfn.NORM.DIST(O$3,'energy base (MECS)'!$F$11,0.3*'energy base (MECS)'!$F$11,TRUE))</f>
        <v/>
      </c>
      <c r="P9" s="68">
        <f t="array" ref="P9">IF($D9,SUMPRODUCT((economics!$AG$2:$AG$167=$B9)*(economics!$D$2:$D$167="whr")*economics!$AH$2:$AH$167*_xlfn.NORM.DIST(P$3,economics!$AK$2:$AK$167,economics!$AJ$2:$AJ$167,TRUE))+$CR9*_xlfn.NORM.DIST(P$3,$CU9,0.3*$CU9,TRUE)+$CS9*_xlfn.NORM.DIST(P$3,$CV9,0.3*$CV9,TRUE),$CW9*_xlfn.NORM.DIST(P$3,'energy base (MECS)'!$F$11,0.3*'energy base (MECS)'!$F$11,TRUE))</f>
        <v/>
      </c>
      <c r="Q9" s="68">
        <f t="array" ref="Q9">IF($D9,SUMPRODUCT((economics!$AG$2:$AG$167=$B9)*(economics!$D$2:$D$167="whr")*economics!$AH$2:$AH$167*_xlfn.NORM.DIST(Q$3,economics!$AK$2:$AK$167,economics!$AJ$2:$AJ$167,TRUE))+$CR9*_xlfn.NORM.DIST(Q$3,$CU9,0.3*$CU9,TRUE)+$CS9*_xlfn.NORM.DIST(Q$3,$CV9,0.3*$CV9,TRUE),$CW9*_xlfn.NORM.DIST(Q$3,'energy base (MECS)'!$F$11,0.3*'energy base (MECS)'!$F$11,TRUE))</f>
        <v/>
      </c>
      <c r="R9" s="68">
        <f t="array" ref="R9">IF($D9,SUMPRODUCT((economics!$AG$2:$AG$167=$B9)*(economics!$D$2:$D$167="whr")*economics!$AH$2:$AH$167*_xlfn.NORM.DIST(R$3,economics!$AK$2:$AK$167,economics!$AJ$2:$AJ$167,TRUE))+$CR9*_xlfn.NORM.DIST(R$3,$CU9,0.3*$CU9,TRUE)+$CS9*_xlfn.NORM.DIST(R$3,$CV9,0.3*$CV9,TRUE),$CW9*_xlfn.NORM.DIST(R$3,'energy base (MECS)'!$F$11,0.3*'energy base (MECS)'!$F$11,TRUE))</f>
        <v/>
      </c>
      <c r="S9" s="68">
        <f t="array" ref="S9">IF($D9,SUMPRODUCT((economics!$AG$2:$AG$167=$B9)*(economics!$D$2:$D$167="whr")*economics!$AH$2:$AH$167*_xlfn.NORM.DIST(S$3,economics!$AK$2:$AK$167,economics!$AJ$2:$AJ$167,TRUE))+$CR9*_xlfn.NORM.DIST(S$3,$CU9,0.3*$CU9,TRUE)+$CS9*_xlfn.NORM.DIST(S$3,$CV9,0.3*$CV9,TRUE),$CW9*_xlfn.NORM.DIST(S$3,'energy base (MECS)'!$F$11,0.3*'energy base (MECS)'!$F$11,TRUE))</f>
        <v/>
      </c>
      <c r="T9" s="68">
        <f t="array" ref="T9">IF($D9,SUMPRODUCT((economics!$AG$2:$AG$167=$B9)*(economics!$D$2:$D$167="whr")*economics!$AH$2:$AH$167*_xlfn.NORM.DIST(T$3,economics!$AK$2:$AK$167,economics!$AJ$2:$AJ$167,TRUE))+$CR9*_xlfn.NORM.DIST(T$3,$CU9,0.3*$CU9,TRUE)+$CS9*_xlfn.NORM.DIST(T$3,$CV9,0.3*$CV9,TRUE),$CW9*_xlfn.NORM.DIST(T$3,'energy base (MECS)'!$F$11,0.3*'energy base (MECS)'!$F$11,TRUE))</f>
        <v/>
      </c>
      <c r="U9" s="68">
        <f t="array" ref="U9">IF($D9,SUMPRODUCT((economics!$AG$2:$AG$167=$B9)*(economics!$D$2:$D$167="whr")*economics!$AH$2:$AH$167*_xlfn.NORM.DIST(U$3,economics!$AK$2:$AK$167,economics!$AJ$2:$AJ$167,TRUE))+$CR9*_xlfn.NORM.DIST(U$3,$CU9,0.3*$CU9,TRUE)+$CS9*_xlfn.NORM.DIST(U$3,$CV9,0.3*$CV9,TRUE),$CW9*_xlfn.NORM.DIST(U$3,'energy base (MECS)'!$F$11,0.3*'energy base (MECS)'!$F$11,TRUE))</f>
        <v/>
      </c>
      <c r="V9" s="68">
        <f t="array" ref="V9">IF($D9,SUMPRODUCT((economics!$AG$2:$AG$167=$B9)*(economics!$D$2:$D$167="whr")*economics!$AH$2:$AH$167*_xlfn.NORM.DIST(V$3,economics!$AK$2:$AK$167,economics!$AJ$2:$AJ$167,TRUE))+$CR9*_xlfn.NORM.DIST(V$3,$CU9,0.3*$CU9,TRUE)+$CS9*_xlfn.NORM.DIST(V$3,$CV9,0.3*$CV9,TRUE),$CW9*_xlfn.NORM.DIST(V$3,'energy base (MECS)'!$F$11,0.3*'energy base (MECS)'!$F$11,TRUE))</f>
        <v/>
      </c>
      <c r="W9" s="68">
        <f t="array" ref="W9">IF($D9,SUMPRODUCT((economics!$AG$2:$AG$167=$B9)*(economics!$D$2:$D$167="whr")*economics!$AH$2:$AH$167*_xlfn.NORM.DIST(W$3,economics!$AK$2:$AK$167,economics!$AJ$2:$AJ$167,TRUE))+$CR9*_xlfn.NORM.DIST(W$3,$CU9,0.3*$CU9,TRUE)+$CS9*_xlfn.NORM.DIST(W$3,$CV9,0.3*$CV9,TRUE),$CW9*_xlfn.NORM.DIST(W$3,'energy base (MECS)'!$F$11,0.3*'energy base (MECS)'!$F$11,TRUE))</f>
        <v/>
      </c>
      <c r="X9" s="68">
        <f t="array" ref="X9">IF($D9,SUMPRODUCT((economics!$AG$2:$AG$167=$B9)*(economics!$D$2:$D$167="whr")*economics!$AH$2:$AH$167*_xlfn.NORM.DIST(X$3,economics!$AK$2:$AK$167,economics!$AJ$2:$AJ$167,TRUE))+$CR9*_xlfn.NORM.DIST(X$3,$CU9,0.3*$CU9,TRUE)+$CS9*_xlfn.NORM.DIST(X$3,$CV9,0.3*$CV9,TRUE),$CW9*_xlfn.NORM.DIST(X$3,'energy base (MECS)'!$F$11,0.3*'energy base (MECS)'!$F$11,TRUE))</f>
        <v/>
      </c>
      <c r="Y9" s="68">
        <f t="array" ref="Y9">IF($D9,SUMPRODUCT((economics!$AG$2:$AG$167=$B9)*(economics!$D$2:$D$167="whr")*economics!$AH$2:$AH$167*_xlfn.NORM.DIST(Y$3,economics!$AK$2:$AK$167,economics!$AJ$2:$AJ$167,TRUE))+$CR9*_xlfn.NORM.DIST(Y$3,$CU9,0.3*$CU9,TRUE)+$CS9*_xlfn.NORM.DIST(Y$3,$CV9,0.3*$CV9,TRUE),$CW9*_xlfn.NORM.DIST(Y$3,'energy base (MECS)'!$F$11,0.3*'energy base (MECS)'!$F$11,TRUE))</f>
        <v/>
      </c>
      <c r="Z9" s="68">
        <f t="array" ref="Z9">IF($D9,SUMPRODUCT((economics!$AG$2:$AG$167=$B9)*(economics!$D$2:$D$167="whr")*economics!$AH$2:$AH$167*_xlfn.NORM.DIST(Z$3,economics!$AK$2:$AK$167,economics!$AJ$2:$AJ$167,TRUE))+$CR9*_xlfn.NORM.DIST(Z$3,$CU9,0.3*$CU9,TRUE)+$CS9*_xlfn.NORM.DIST(Z$3,$CV9,0.3*$CV9,TRUE),$CW9*_xlfn.NORM.DIST(Z$3,'energy base (MECS)'!$F$11,0.3*'energy base (MECS)'!$F$11,TRUE))</f>
        <v/>
      </c>
      <c r="AA9" s="68">
        <f t="array" ref="AA9">IF($D9,SUMPRODUCT((economics!$AG$2:$AG$167=$B9)*(economics!$D$2:$D$167="whr")*economics!$AH$2:$AH$167*_xlfn.NORM.DIST(AA$3,economics!$AK$2:$AK$167,economics!$AJ$2:$AJ$167,TRUE))+$CR9*_xlfn.NORM.DIST(AA$3,$CU9,0.3*$CU9,TRUE)+$CS9*_xlfn.NORM.DIST(AA$3,$CV9,0.3*$CV9,TRUE),$CW9*_xlfn.NORM.DIST(AA$3,'energy base (MECS)'!$F$11,0.3*'energy base (MECS)'!$F$11,TRUE))</f>
        <v/>
      </c>
      <c r="AB9" s="68">
        <f t="array" ref="AB9">IF($D9,SUMPRODUCT((economics!$AG$2:$AG$167=$B9)*(economics!$D$2:$D$167="whr")*economics!$AH$2:$AH$167*_xlfn.NORM.DIST(AB$3,economics!$AK$2:$AK$167,economics!$AJ$2:$AJ$167,TRUE))+$CR9*_xlfn.NORM.DIST(AB$3,$CU9,0.3*$CU9,TRUE)+$CS9*_xlfn.NORM.DIST(AB$3,$CV9,0.3*$CV9,TRUE),$CW9*_xlfn.NORM.DIST(AB$3,'energy base (MECS)'!$F$11,0.3*'energy base (MECS)'!$F$11,TRUE))</f>
        <v/>
      </c>
      <c r="AC9" s="68">
        <f t="array" ref="AC9">IF($D9,SUMPRODUCT((economics!$AG$2:$AG$167=$B9)*(economics!$D$2:$D$167="whr")*economics!$AH$2:$AH$167*_xlfn.NORM.DIST(AC$3,economics!$AK$2:$AK$167,economics!$AJ$2:$AJ$167,TRUE))+$CR9*_xlfn.NORM.DIST(AC$3,$CU9,0.3*$CU9,TRUE)+$CS9*_xlfn.NORM.DIST(AC$3,$CV9,0.3*$CV9,TRUE),$CW9*_xlfn.NORM.DIST(AC$3,'energy base (MECS)'!$F$11,0.3*'energy base (MECS)'!$F$11,TRUE))</f>
        <v/>
      </c>
      <c r="AD9" s="68">
        <f t="array" ref="AD9">IF($D9,SUMPRODUCT((economics!$AG$2:$AG$167=$B9)*(economics!$D$2:$D$167="whr")*economics!$AH$2:$AH$167*_xlfn.NORM.DIST(AD$3,economics!$AK$2:$AK$167,economics!$AJ$2:$AJ$167,TRUE))+$CR9*_xlfn.NORM.DIST(AD$3,$CU9,0.3*$CU9,TRUE)+$CS9*_xlfn.NORM.DIST(AD$3,$CV9,0.3*$CV9,TRUE),$CW9*_xlfn.NORM.DIST(AD$3,'energy base (MECS)'!$F$11,0.3*'energy base (MECS)'!$F$11,TRUE))</f>
        <v/>
      </c>
      <c r="AE9" s="68">
        <f t="array" ref="AE9">IF($D9,SUMPRODUCT((economics!$AG$2:$AG$167=$B9)*(economics!$D$2:$D$167="whr")*economics!$AH$2:$AH$167*_xlfn.NORM.DIST(AE$3,economics!$AK$2:$AK$167,economics!$AJ$2:$AJ$167,TRUE))+$CR9*_xlfn.NORM.DIST(AE$3,$CU9,0.3*$CU9,TRUE)+$CS9*_xlfn.NORM.DIST(AE$3,$CV9,0.3*$CV9,TRUE),$CW9*_xlfn.NORM.DIST(AE$3,'energy base (MECS)'!$F$11,0.3*'energy base (MECS)'!$F$11,TRUE))</f>
        <v/>
      </c>
      <c r="AF9" s="68">
        <f t="array" ref="AF9">IF($D9,SUMPRODUCT((economics!$AG$2:$AG$167=$B9)*(economics!$D$2:$D$167="whr")*economics!$AH$2:$AH$167*_xlfn.NORM.DIST(AF$3,economics!$AK$2:$AK$167,economics!$AJ$2:$AJ$167,TRUE))+$CR9*_xlfn.NORM.DIST(AF$3,$CU9,0.3*$CU9,TRUE)+$CS9*_xlfn.NORM.DIST(AF$3,$CV9,0.3*$CV9,TRUE),$CW9*_xlfn.NORM.DIST(AF$3,'energy base (MECS)'!$F$11,0.3*'energy base (MECS)'!$F$11,TRUE))</f>
        <v/>
      </c>
      <c r="AG9" s="68">
        <f t="array" ref="AG9">IF($D9,SUMPRODUCT((economics!$AG$2:$AG$167=$B9)*(economics!$D$2:$D$167="whr")*economics!$AH$2:$AH$167*_xlfn.NORM.DIST(AG$3,economics!$AK$2:$AK$167,economics!$AJ$2:$AJ$167,TRUE))+$CR9*_xlfn.NORM.DIST(AG$3,$CU9,0.3*$CU9,TRUE)+$CS9*_xlfn.NORM.DIST(AG$3,$CV9,0.3*$CV9,TRUE),$CW9*_xlfn.NORM.DIST(AG$3,'energy base (MECS)'!$F$11,0.3*'energy base (MECS)'!$F$11,TRUE))</f>
        <v/>
      </c>
      <c r="AH9" s="68">
        <f t="array" ref="AH9">IF($D9,SUMPRODUCT((economics!$AG$2:$AG$167=$B9)*(economics!$D$2:$D$167="whr")*economics!$AH$2:$AH$167*_xlfn.NORM.DIST(AH$3,economics!$AK$2:$AK$167,economics!$AJ$2:$AJ$167,TRUE))+$CR9*_xlfn.NORM.DIST(AH$3,$CU9,0.3*$CU9,TRUE)+$CS9*_xlfn.NORM.DIST(AH$3,$CV9,0.3*$CV9,TRUE),$CW9*_xlfn.NORM.DIST(AH$3,'energy base (MECS)'!$F$11,0.3*'energy base (MECS)'!$F$11,TRUE))</f>
        <v/>
      </c>
      <c r="AI9" s="68">
        <f t="array" ref="AI9">IF($D9,SUMPRODUCT((economics!$AG$2:$AG$167=$B9)*(economics!$D$2:$D$167="whr")*economics!$AH$2:$AH$167*_xlfn.NORM.DIST(AI$3,economics!$AK$2:$AK$167,economics!$AJ$2:$AJ$167,TRUE))+$CR9*_xlfn.NORM.DIST(AI$3,$CU9,0.3*$CU9,TRUE)+$CS9*_xlfn.NORM.DIST(AI$3,$CV9,0.3*$CV9,TRUE),$CW9*_xlfn.NORM.DIST(AI$3,'energy base (MECS)'!$F$11,0.3*'energy base (MECS)'!$F$11,TRUE))</f>
        <v/>
      </c>
      <c r="AJ9" s="68">
        <f t="array" ref="AJ9">IF($D9,SUMPRODUCT((economics!$AG$2:$AG$167=$B9)*(economics!$D$2:$D$167="whr")*economics!$AH$2:$AH$167*_xlfn.NORM.DIST(AJ$3,economics!$AK$2:$AK$167,economics!$AJ$2:$AJ$167,TRUE))+$CR9*_xlfn.NORM.DIST(AJ$3,$CU9,0.3*$CU9,TRUE)+$CS9*_xlfn.NORM.DIST(AJ$3,$CV9,0.3*$CV9,TRUE),$CW9*_xlfn.NORM.DIST(AJ$3,'energy base (MECS)'!$F$11,0.3*'energy base (MECS)'!$F$11,TRUE))</f>
        <v/>
      </c>
      <c r="AK9" s="68">
        <f t="array" ref="AK9">IF($D9,SUMPRODUCT((economics!$AG$2:$AG$167=$B9)*(economics!$D$2:$D$167="whr")*economics!$AH$2:$AH$167*_xlfn.NORM.DIST(AK$3,economics!$AK$2:$AK$167,economics!$AJ$2:$AJ$167,TRUE))+$CR9*_xlfn.NORM.DIST(AK$3,$CU9,0.3*$CU9,TRUE)+$CS9*_xlfn.NORM.DIST(AK$3,$CV9,0.3*$CV9,TRUE),$CW9*_xlfn.NORM.DIST(AK$3,'energy base (MECS)'!$F$11,0.3*'energy base (MECS)'!$F$11,TRUE))</f>
        <v/>
      </c>
      <c r="AL9" s="68">
        <f t="array" ref="AL9">IF($D9,SUMPRODUCT((economics!$AG$2:$AG$167=$B9)*(economics!$D$2:$D$167="whr")*economics!$AH$2:$AH$167*_xlfn.NORM.DIST(AL$3,economics!$AK$2:$AK$167,economics!$AJ$2:$AJ$167,TRUE))+$CR9*_xlfn.NORM.DIST(AL$3,$CU9,0.3*$CU9,TRUE)+$CS9*_xlfn.NORM.DIST(AL$3,$CV9,0.3*$CV9,TRUE),$CW9*_xlfn.NORM.DIST(AL$3,'energy base (MECS)'!$F$11,0.3*'energy base (MECS)'!$F$11,TRUE))</f>
        <v/>
      </c>
      <c r="AM9" s="68">
        <f t="array" ref="AM9">IF($D9,SUMPRODUCT((economics!$AG$2:$AG$167=$B9)*(economics!$D$2:$D$167="whr")*economics!$AH$2:$AH$167*_xlfn.NORM.DIST(AM$3,economics!$AK$2:$AK$167,economics!$AJ$2:$AJ$167,TRUE))+$CR9*_xlfn.NORM.DIST(AM$3,$CU9,0.3*$CU9,TRUE)+$CS9*_xlfn.NORM.DIST(AM$3,$CV9,0.3*$CV9,TRUE),$CW9*_xlfn.NORM.DIST(AM$3,'energy base (MECS)'!$F$11,0.3*'energy base (MECS)'!$F$11,TRUE))</f>
        <v/>
      </c>
      <c r="AN9" s="68">
        <f t="array" ref="AN9">IF($D9,SUMPRODUCT((economics!$AG$2:$AG$167=$B9)*(economics!$D$2:$D$167="whr")*economics!$AH$2:$AH$167*_xlfn.NORM.DIST(AN$3,economics!$AK$2:$AK$167,economics!$AJ$2:$AJ$167,TRUE))+$CR9*_xlfn.NORM.DIST(AN$3,$CU9,0.3*$CU9,TRUE)+$CS9*_xlfn.NORM.DIST(AN$3,$CV9,0.3*$CV9,TRUE),$CW9*_xlfn.NORM.DIST(AN$3,'energy base (MECS)'!$F$11,0.3*'energy base (MECS)'!$F$11,TRUE))</f>
        <v/>
      </c>
      <c r="AO9" s="68">
        <f t="array" ref="AO9">IF($D9,SUMPRODUCT((economics!$AG$2:$AG$167=$B9)*(economics!$D$2:$D$167="whr")*economics!$AH$2:$AH$167*_xlfn.NORM.DIST(AO$3,economics!$AK$2:$AK$167,economics!$AJ$2:$AJ$167,TRUE))+$CR9*_xlfn.NORM.DIST(AO$3,$CU9,0.3*$CU9,TRUE)+$CS9*_xlfn.NORM.DIST(AO$3,$CV9,0.3*$CV9,TRUE),$CW9*_xlfn.NORM.DIST(AO$3,'energy base (MECS)'!$F$11,0.3*'energy base (MECS)'!$F$11,TRUE))</f>
        <v/>
      </c>
      <c r="AP9" s="68">
        <f t="array" ref="AP9">IF($D9,SUMPRODUCT((economics!$AG$2:$AG$167=$B9)*(economics!$D$2:$D$167="whr")*economics!$AH$2:$AH$167*_xlfn.NORM.DIST(AP$3,economics!$AK$2:$AK$167,economics!$AJ$2:$AJ$167,TRUE))+$CR9*_xlfn.NORM.DIST(AP$3,$CU9,0.3*$CU9,TRUE)+$CS9*_xlfn.NORM.DIST(AP$3,$CV9,0.3*$CV9,TRUE),$CW9*_xlfn.NORM.DIST(AP$3,'energy base (MECS)'!$F$11,0.3*'energy base (MECS)'!$F$11,TRUE))</f>
        <v/>
      </c>
      <c r="AQ9" s="68">
        <f t="array" ref="AQ9">IF($D9,SUMPRODUCT((economics!$AG$2:$AG$167=$B9)*(economics!$D$2:$D$167="whr")*economics!$AH$2:$AH$167*_xlfn.NORM.DIST(AQ$3,economics!$AK$2:$AK$167,economics!$AJ$2:$AJ$167,TRUE))+$CR9*_xlfn.NORM.DIST(AQ$3,$CU9,0.3*$CU9,TRUE)+$CS9*_xlfn.NORM.DIST(AQ$3,$CV9,0.3*$CV9,TRUE),$CW9*_xlfn.NORM.DIST(AQ$3,'energy base (MECS)'!$F$11,0.3*'energy base (MECS)'!$F$11,TRUE))</f>
        <v/>
      </c>
      <c r="AR9" s="68">
        <f t="array" ref="AR9">IF($D9,SUMPRODUCT((economics!$AG$2:$AG$167=$B9)*(economics!$D$2:$D$167="whr")*economics!$AH$2:$AH$167*_xlfn.NORM.DIST(AR$3,economics!$AK$2:$AK$167,economics!$AJ$2:$AJ$167,TRUE))+$CR9*_xlfn.NORM.DIST(AR$3,$CU9,0.3*$CU9,TRUE)+$CS9*_xlfn.NORM.DIST(AR$3,$CV9,0.3*$CV9,TRUE),$CW9*_xlfn.NORM.DIST(AR$3,'energy base (MECS)'!$F$11,0.3*'energy base (MECS)'!$F$11,TRUE))</f>
        <v/>
      </c>
      <c r="AS9" s="68">
        <f t="array" ref="AS9">IF($D9,SUMPRODUCT((economics!$AG$2:$AG$167=$B9)*(economics!$D$2:$D$167="whr")*economics!$AH$2:$AH$167*_xlfn.NORM.DIST(AS$3,economics!$AK$2:$AK$167,economics!$AJ$2:$AJ$167,TRUE))+$CR9*_xlfn.NORM.DIST(AS$3,$CU9,0.3*$CU9,TRUE)+$CS9*_xlfn.NORM.DIST(AS$3,$CV9,0.3*$CV9,TRUE),$CW9*_xlfn.NORM.DIST(AS$3,'energy base (MECS)'!$F$11,0.3*'energy base (MECS)'!$F$11,TRUE))</f>
        <v/>
      </c>
      <c r="AT9" s="68">
        <f t="array" ref="AT9">IF($D9,SUMPRODUCT((economics!$AG$2:$AG$167=$B9)*(economics!$D$2:$D$167="whr")*economics!$AH$2:$AH$167*_xlfn.NORM.DIST(AT$3,economics!$AK$2:$AK$167,economics!$AJ$2:$AJ$167,TRUE))+$CR9*_xlfn.NORM.DIST(AT$3,$CU9,0.3*$CU9,TRUE)+$CS9*_xlfn.NORM.DIST(AT$3,$CV9,0.3*$CV9,TRUE),$CW9*_xlfn.NORM.DIST(AT$3,'energy base (MECS)'!$F$11,0.3*'energy base (MECS)'!$F$11,TRUE))</f>
        <v/>
      </c>
      <c r="AU9" s="68">
        <f t="array" ref="AU9">IF($D9,SUMPRODUCT((economics!$AG$2:$AG$167=$B9)*(economics!$D$2:$D$167="whr")*economics!$AH$2:$AH$167*_xlfn.NORM.DIST(AU$3,economics!$AK$2:$AK$167,economics!$AJ$2:$AJ$167,TRUE))+$CR9*_xlfn.NORM.DIST(AU$3,$CU9,0.3*$CU9,TRUE)+$CS9*_xlfn.NORM.DIST(AU$3,$CV9,0.3*$CV9,TRUE),$CW9*_xlfn.NORM.DIST(AU$3,'energy base (MECS)'!$F$11,0.3*'energy base (MECS)'!$F$11,TRUE))</f>
        <v/>
      </c>
      <c r="AV9" s="68">
        <f t="array" ref="AV9">IF($D9,SUMPRODUCT((economics!$AG$2:$AG$167=$B9)*(economics!$D$2:$D$167="whr")*economics!$AH$2:$AH$167*_xlfn.NORM.DIST(AV$3,economics!$AK$2:$AK$167,economics!$AJ$2:$AJ$167,TRUE))+$CR9*_xlfn.NORM.DIST(AV$3,$CU9,0.3*$CU9,TRUE)+$CS9*_xlfn.NORM.DIST(AV$3,$CV9,0.3*$CV9,TRUE),$CW9*_xlfn.NORM.DIST(AV$3,'energy base (MECS)'!$F$11,0.3*'energy base (MECS)'!$F$11,TRUE))</f>
        <v/>
      </c>
      <c r="AW9" s="68">
        <f t="array" ref="AW9">IF($D9,SUMPRODUCT((economics!$AG$2:$AG$167=$B9)*(economics!$D$2:$D$167="whr")*economics!$AH$2:$AH$167*_xlfn.NORM.DIST(AW$3,economics!$AK$2:$AK$167,economics!$AJ$2:$AJ$167,TRUE))+$CR9*_xlfn.NORM.DIST(AW$3,$CU9,0.3*$CU9,TRUE)+$CS9*_xlfn.NORM.DIST(AW$3,$CV9,0.3*$CV9,TRUE),$CW9*_xlfn.NORM.DIST(AW$3,'energy base (MECS)'!$F$11,0.3*'energy base (MECS)'!$F$11,TRUE))</f>
        <v/>
      </c>
      <c r="AX9" s="68">
        <f t="array" ref="AX9">IF($D9,SUMPRODUCT((economics!$AG$2:$AG$167=$B9)*(economics!$D$2:$D$167="whr")*economics!$AH$2:$AH$167*_xlfn.NORM.DIST(AX$3,economics!$AK$2:$AK$167,economics!$AJ$2:$AJ$167,TRUE))+$CR9*_xlfn.NORM.DIST(AX$3,$CU9,0.3*$CU9,TRUE)+$CS9*_xlfn.NORM.DIST(AX$3,$CV9,0.3*$CV9,TRUE),$CW9*_xlfn.NORM.DIST(AX$3,'energy base (MECS)'!$F$11,0.3*'energy base (MECS)'!$F$11,TRUE))</f>
        <v/>
      </c>
      <c r="AY9" s="68">
        <f t="array" ref="AY9">IF($D9,SUMPRODUCT((economics!$AG$2:$AG$167=$B9)*(economics!$D$2:$D$167="whr")*economics!$AH$2:$AH$167*_xlfn.NORM.DIST(AY$3,economics!$AK$2:$AK$167,economics!$AJ$2:$AJ$167,TRUE))+$CR9*_xlfn.NORM.DIST(AY$3,$CU9,0.3*$CU9,TRUE)+$CS9*_xlfn.NORM.DIST(AY$3,$CV9,0.3*$CV9,TRUE),$CW9*_xlfn.NORM.DIST(AY$3,'energy base (MECS)'!$F$11,0.3*'energy base (MECS)'!$F$11,TRUE))</f>
        <v/>
      </c>
      <c r="AZ9" s="68">
        <f t="array" ref="AZ9">IF($D9,SUMPRODUCT((economics!$AG$2:$AG$167=$B9)*(economics!$D$2:$D$167="whr")*economics!$AH$2:$AH$167*_xlfn.NORM.DIST(AZ$3,economics!$AK$2:$AK$167,economics!$AJ$2:$AJ$167,TRUE))+$CR9*_xlfn.NORM.DIST(AZ$3,$CU9,0.3*$CU9,TRUE)+$CS9*_xlfn.NORM.DIST(AZ$3,$CV9,0.3*$CV9,TRUE),$CW9*_xlfn.NORM.DIST(AZ$3,'energy base (MECS)'!$F$11,0.3*'energy base (MECS)'!$F$11,TRUE))</f>
        <v/>
      </c>
      <c r="BA9" s="68">
        <f t="array" ref="BA9">IF($D9,SUMPRODUCT((economics!$AG$2:$AG$167=$B9)*(economics!$D$2:$D$167="whr")*economics!$AH$2:$AH$167*_xlfn.NORM.DIST(BA$3,economics!$AK$2:$AK$167,economics!$AJ$2:$AJ$167,TRUE))+$CR9*_xlfn.NORM.DIST(BA$3,$CU9,0.3*$CU9,TRUE)+$CS9*_xlfn.NORM.DIST(BA$3,$CV9,0.3*$CV9,TRUE),$CW9*_xlfn.NORM.DIST(BA$3,'energy base (MECS)'!$F$11,0.3*'energy base (MECS)'!$F$11,TRUE))</f>
        <v/>
      </c>
      <c r="BB9" s="68">
        <f t="array" ref="BB9">IF($D9,SUMPRODUCT((economics!$AG$2:$AG$167=$B9)*(economics!$D$2:$D$167="whr")*economics!$AH$2:$AH$167*_xlfn.NORM.DIST(BB$3,economics!$AK$2:$AK$167,economics!$AJ$2:$AJ$167,TRUE))+$CR9*_xlfn.NORM.DIST(BB$3,$CU9,0.3*$CU9,TRUE)+$CS9*_xlfn.NORM.DIST(BB$3,$CV9,0.3*$CV9,TRUE),$CW9*_xlfn.NORM.DIST(BB$3,'energy base (MECS)'!$F$11,0.3*'energy base (MECS)'!$F$11,TRUE))</f>
        <v/>
      </c>
      <c r="BC9" s="68">
        <f t="array" ref="BC9">IF($D9,SUMPRODUCT((economics!$AG$2:$AG$167=$B9)*(economics!$D$2:$D$167="whr")*economics!$AH$2:$AH$167*_xlfn.NORM.DIST(BC$3,economics!$AK$2:$AK$167,economics!$AJ$2:$AJ$167,TRUE))+$CR9*_xlfn.NORM.DIST(BC$3,$CU9,0.3*$CU9,TRUE)+$CS9*_xlfn.NORM.DIST(BC$3,$CV9,0.3*$CV9,TRUE),$CW9*_xlfn.NORM.DIST(BC$3,'energy base (MECS)'!$F$11,0.3*'energy base (MECS)'!$F$11,TRUE))</f>
        <v/>
      </c>
      <c r="BD9" s="68">
        <f t="array" ref="BD9">IF($D9,SUMPRODUCT((economics!$AG$2:$AG$167=$B9)*(economics!$D$2:$D$167="whr")*economics!$AH$2:$AH$167*_xlfn.NORM.DIST(BD$3,economics!$AK$2:$AK$167,economics!$AJ$2:$AJ$167,TRUE))+$CR9*_xlfn.NORM.DIST(BD$3,$CU9,0.3*$CU9,TRUE)+$CS9*_xlfn.NORM.DIST(BD$3,$CV9,0.3*$CV9,TRUE),$CW9*_xlfn.NORM.DIST(BD$3,'energy base (MECS)'!$F$11,0.3*'energy base (MECS)'!$F$11,TRUE))</f>
        <v/>
      </c>
      <c r="BE9" s="68">
        <f t="array" ref="BE9">IF($D9,SUMPRODUCT((economics!$AG$2:$AG$167=$B9)*(economics!$D$2:$D$167="whr")*economics!$AH$2:$AH$167*_xlfn.NORM.DIST(BE$3,economics!$AK$2:$AK$167,economics!$AJ$2:$AJ$167,TRUE))+$CR9*_xlfn.NORM.DIST(BE$3,$CU9,0.3*$CU9,TRUE)+$CS9*_xlfn.NORM.DIST(BE$3,$CV9,0.3*$CV9,TRUE),$CW9*_xlfn.NORM.DIST(BE$3,'energy base (MECS)'!$F$11,0.3*'energy base (MECS)'!$F$11,TRUE))</f>
        <v/>
      </c>
      <c r="BF9" s="68">
        <f t="array" ref="BF9">IF($D9,SUMPRODUCT((economics!$AG$2:$AG$167=$B9)*(economics!$D$2:$D$167="whr")*economics!$AH$2:$AH$167*_xlfn.NORM.DIST(BF$3,economics!$AK$2:$AK$167,economics!$AJ$2:$AJ$167,TRUE))+$CR9*_xlfn.NORM.DIST(BF$3,$CU9,0.3*$CU9,TRUE)+$CS9*_xlfn.NORM.DIST(BF$3,$CV9,0.3*$CV9,TRUE),$CW9*_xlfn.NORM.DIST(BF$3,'energy base (MECS)'!$F$11,0.3*'energy base (MECS)'!$F$11,TRUE))</f>
        <v/>
      </c>
      <c r="BG9" s="68">
        <f t="array" ref="BG9">IF($D9,SUMPRODUCT((economics!$AG$2:$AG$167=$B9)*(economics!$D$2:$D$167="whr")*economics!$AH$2:$AH$167*_xlfn.NORM.DIST(BG$3,economics!$AK$2:$AK$167,economics!$AJ$2:$AJ$167,TRUE))+$CR9*_xlfn.NORM.DIST(BG$3,$CU9,0.3*$CU9,TRUE)+$CS9*_xlfn.NORM.DIST(BG$3,$CV9,0.3*$CV9,TRUE),$CW9*_xlfn.NORM.DIST(BG$3,'energy base (MECS)'!$F$11,0.3*'energy base (MECS)'!$F$11,TRUE))</f>
        <v/>
      </c>
      <c r="BH9" s="68">
        <f t="array" ref="BH9">IF($D9,SUMPRODUCT((economics!$AG$2:$AG$167=$B9)*(economics!$D$2:$D$167="whr")*economics!$AH$2:$AH$167*_xlfn.NORM.DIST(BH$3,economics!$AK$2:$AK$167,economics!$AJ$2:$AJ$167,TRUE))+$CR9*_xlfn.NORM.DIST(BH$3,$CU9,0.3*$CU9,TRUE)+$CS9*_xlfn.NORM.DIST(BH$3,$CV9,0.3*$CV9,TRUE),$CW9*_xlfn.NORM.DIST(BH$3,'energy base (MECS)'!$F$11,0.3*'energy base (MECS)'!$F$11,TRUE))</f>
        <v/>
      </c>
      <c r="BI9" s="68">
        <f t="array" ref="BI9">IF($D9,SUMPRODUCT((economics!$AG$2:$AG$167=$B9)*(economics!$D$2:$D$167="whr")*economics!$AH$2:$AH$167*_xlfn.NORM.DIST(BI$3,economics!$AK$2:$AK$167,economics!$AJ$2:$AJ$167,TRUE))+$CR9*_xlfn.NORM.DIST(BI$3,$CU9,0.3*$CU9,TRUE)+$CS9*_xlfn.NORM.DIST(BI$3,$CV9,0.3*$CV9,TRUE),$CW9*_xlfn.NORM.DIST(BI$3,'energy base (MECS)'!$F$11,0.3*'energy base (MECS)'!$F$11,TRUE))</f>
        <v/>
      </c>
      <c r="BJ9" s="68">
        <f t="array" ref="BJ9">IF($D9,SUMPRODUCT((economics!$AG$2:$AG$167=$B9)*(economics!$D$2:$D$167="whr")*economics!$AH$2:$AH$167*_xlfn.NORM.DIST(BJ$3,economics!$AK$2:$AK$167,economics!$AJ$2:$AJ$167,TRUE))+$CR9*_xlfn.NORM.DIST(BJ$3,$CU9,0.3*$CU9,TRUE)+$CS9*_xlfn.NORM.DIST(BJ$3,$CV9,0.3*$CV9,TRUE),$CW9*_xlfn.NORM.DIST(BJ$3,'energy base (MECS)'!$F$11,0.3*'energy base (MECS)'!$F$11,TRUE))</f>
        <v/>
      </c>
      <c r="BK9" s="68">
        <f t="array" ref="BK9">IF($D9,SUMPRODUCT((economics!$AG$2:$AG$167=$B9)*(economics!$D$2:$D$167="whr")*economics!$AH$2:$AH$167*_xlfn.NORM.DIST(BK$3,economics!$AK$2:$AK$167,economics!$AJ$2:$AJ$167,TRUE))+$CR9*_xlfn.NORM.DIST(BK$3,$CU9,0.3*$CU9,TRUE)+$CS9*_xlfn.NORM.DIST(BK$3,$CV9,0.3*$CV9,TRUE),$CW9*_xlfn.NORM.DIST(BK$3,'energy base (MECS)'!$F$11,0.3*'energy base (MECS)'!$F$11,TRUE))</f>
        <v/>
      </c>
      <c r="BL9" s="68">
        <f t="array" ref="BL9">IF($D9,SUMPRODUCT((economics!$AG$2:$AG$167=$B9)*(economics!$D$2:$D$167="whr")*economics!$AH$2:$AH$167*_xlfn.NORM.DIST(BL$3,economics!$AK$2:$AK$167,economics!$AJ$2:$AJ$167,TRUE))+$CR9*_xlfn.NORM.DIST(BL$3,$CU9,0.3*$CU9,TRUE)+$CS9*_xlfn.NORM.DIST(BL$3,$CV9,0.3*$CV9,TRUE),$CW9*_xlfn.NORM.DIST(BL$3,'energy base (MECS)'!$F$11,0.3*'energy base (MECS)'!$F$11,TRUE))</f>
        <v/>
      </c>
      <c r="BM9" s="68">
        <f t="array" ref="BM9">IF($D9,SUMPRODUCT((economics!$AG$2:$AG$167=$B9)*(economics!$D$2:$D$167="whr")*economics!$AH$2:$AH$167*_xlfn.NORM.DIST(BM$3,economics!$AK$2:$AK$167,economics!$AJ$2:$AJ$167,TRUE))+$CR9*_xlfn.NORM.DIST(BM$3,$CU9,0.3*$CU9,TRUE)+$CS9*_xlfn.NORM.DIST(BM$3,$CV9,0.3*$CV9,TRUE),$CW9*_xlfn.NORM.DIST(BM$3,'energy base (MECS)'!$F$11,0.3*'energy base (MECS)'!$F$11,TRUE))</f>
        <v/>
      </c>
      <c r="BN9" s="68">
        <f t="array" ref="BN9">IF($D9,SUMPRODUCT((economics!$AG$2:$AG$167=$B9)*(economics!$D$2:$D$167="whr")*economics!$AH$2:$AH$167*_xlfn.NORM.DIST(BN$3,economics!$AK$2:$AK$167,economics!$AJ$2:$AJ$167,TRUE))+$CR9*_xlfn.NORM.DIST(BN$3,$CU9,0.3*$CU9,TRUE)+$CS9*_xlfn.NORM.DIST(BN$3,$CV9,0.3*$CV9,TRUE),$CW9*_xlfn.NORM.DIST(BN$3,'energy base (MECS)'!$F$11,0.3*'energy base (MECS)'!$F$11,TRUE))</f>
        <v/>
      </c>
      <c r="BO9" s="68">
        <f t="array" ref="BO9">IF($D9,SUMPRODUCT((economics!$AG$2:$AG$167=$B9)*(economics!$D$2:$D$167="whr")*economics!$AH$2:$AH$167*_xlfn.NORM.DIST(BO$3,economics!$AK$2:$AK$167,economics!$AJ$2:$AJ$167,TRUE))+$CR9*_xlfn.NORM.DIST(BO$3,$CU9,0.3*$CU9,TRUE)+$CS9*_xlfn.NORM.DIST(BO$3,$CV9,0.3*$CV9,TRUE),$CW9*_xlfn.NORM.DIST(BO$3,'energy base (MECS)'!$F$11,0.3*'energy base (MECS)'!$F$11,TRUE))</f>
        <v/>
      </c>
      <c r="BP9" s="68">
        <f t="array" ref="BP9">IF($D9,SUMPRODUCT((economics!$AG$2:$AG$167=$B9)*(economics!$D$2:$D$167="whr")*economics!$AH$2:$AH$167*_xlfn.NORM.DIST(BP$3,economics!$AK$2:$AK$167,economics!$AJ$2:$AJ$167,TRUE))+$CR9*_xlfn.NORM.DIST(BP$3,$CU9,0.3*$CU9,TRUE)+$CS9*_xlfn.NORM.DIST(BP$3,$CV9,0.3*$CV9,TRUE),$CW9*_xlfn.NORM.DIST(BP$3,'energy base (MECS)'!$F$11,0.3*'energy base (MECS)'!$F$11,TRUE))</f>
        <v/>
      </c>
      <c r="BQ9" s="68">
        <f t="array" ref="BQ9">IF($D9,SUMPRODUCT((economics!$AG$2:$AG$167=$B9)*(economics!$D$2:$D$167="whr")*economics!$AH$2:$AH$167*_xlfn.NORM.DIST(BQ$3,economics!$AK$2:$AK$167,economics!$AJ$2:$AJ$167,TRUE))+$CR9*_xlfn.NORM.DIST(BQ$3,$CU9,0.3*$CU9,TRUE)+$CS9*_xlfn.NORM.DIST(BQ$3,$CV9,0.3*$CV9,TRUE),$CW9*_xlfn.NORM.DIST(BQ$3,'energy base (MECS)'!$F$11,0.3*'energy base (MECS)'!$F$11,TRUE))</f>
        <v/>
      </c>
      <c r="BR9" s="68">
        <f t="array" ref="BR9">IF($D9,SUMPRODUCT((economics!$AG$2:$AG$167=$B9)*(economics!$D$2:$D$167="whr")*economics!$AH$2:$AH$167*_xlfn.NORM.DIST(BR$3,economics!$AK$2:$AK$167,economics!$AJ$2:$AJ$167,TRUE))+$CR9*_xlfn.NORM.DIST(BR$3,$CU9,0.3*$CU9,TRUE)+$CS9*_xlfn.NORM.DIST(BR$3,$CV9,0.3*$CV9,TRUE),$CW9*_xlfn.NORM.DIST(BR$3,'energy base (MECS)'!$F$11,0.3*'energy base (MECS)'!$F$11,TRUE))</f>
        <v/>
      </c>
      <c r="BS9" s="68">
        <f t="array" ref="BS9">IF($D9,SUMPRODUCT((economics!$AG$2:$AG$167=$B9)*(economics!$D$2:$D$167="whr")*economics!$AH$2:$AH$167*_xlfn.NORM.DIST(BS$3,economics!$AK$2:$AK$167,economics!$AJ$2:$AJ$167,TRUE))+$CR9*_xlfn.NORM.DIST(BS$3,$CU9,0.3*$CU9,TRUE)+$CS9*_xlfn.NORM.DIST(BS$3,$CV9,0.3*$CV9,TRUE),$CW9*_xlfn.NORM.DIST(BS$3,'energy base (MECS)'!$F$11,0.3*'energy base (MECS)'!$F$11,TRUE))</f>
        <v/>
      </c>
      <c r="BT9" s="68">
        <f t="array" ref="BT9">IF($D9,SUMPRODUCT((economics!$AG$2:$AG$167=$B9)*(economics!$D$2:$D$167="whr")*economics!$AH$2:$AH$167*_xlfn.NORM.DIST(BT$3,economics!$AK$2:$AK$167,economics!$AJ$2:$AJ$167,TRUE))+$CR9*_xlfn.NORM.DIST(BT$3,$CU9,0.3*$CU9,TRUE)+$CS9*_xlfn.NORM.DIST(BT$3,$CV9,0.3*$CV9,TRUE),$CW9*_xlfn.NORM.DIST(BT$3,'energy base (MECS)'!$F$11,0.3*'energy base (MECS)'!$F$11,TRUE))</f>
        <v/>
      </c>
      <c r="BU9" s="68">
        <f t="array" ref="BU9">IF($D9,SUMPRODUCT((economics!$AG$2:$AG$167=$B9)*(economics!$D$2:$D$167="whr")*economics!$AH$2:$AH$167*_xlfn.NORM.DIST(BU$3,economics!$AK$2:$AK$167,economics!$AJ$2:$AJ$167,TRUE))+$CR9*_xlfn.NORM.DIST(BU$3,$CU9,0.3*$CU9,TRUE)+$CS9*_xlfn.NORM.DIST(BU$3,$CV9,0.3*$CV9,TRUE),$CW9*_xlfn.NORM.DIST(BU$3,'energy base (MECS)'!$F$11,0.3*'energy base (MECS)'!$F$11,TRUE))</f>
        <v/>
      </c>
      <c r="BV9" s="68">
        <f t="array" ref="BV9">IF($D9,SUMPRODUCT((economics!$AG$2:$AG$167=$B9)*(economics!$D$2:$D$167="whr")*economics!$AH$2:$AH$167*_xlfn.NORM.DIST(BV$3,economics!$AK$2:$AK$167,economics!$AJ$2:$AJ$167,TRUE))+$CR9*_xlfn.NORM.DIST(BV$3,$CU9,0.3*$CU9,TRUE)+$CS9*_xlfn.NORM.DIST(BV$3,$CV9,0.3*$CV9,TRUE),$CW9*_xlfn.NORM.DIST(BV$3,'energy base (MECS)'!$F$11,0.3*'energy base (MECS)'!$F$11,TRUE))</f>
        <v/>
      </c>
      <c r="BW9" s="68">
        <f t="array" ref="BW9">IF($D9,SUMPRODUCT((economics!$AG$2:$AG$167=$B9)*(economics!$D$2:$D$167="whr")*economics!$AH$2:$AH$167*_xlfn.NORM.DIST(BW$3,economics!$AK$2:$AK$167,economics!$AJ$2:$AJ$167,TRUE))+$CR9*_xlfn.NORM.DIST(BW$3,$CU9,0.3*$CU9,TRUE)+$CS9*_xlfn.NORM.DIST(BW$3,$CV9,0.3*$CV9,TRUE),$CW9*_xlfn.NORM.DIST(BW$3,'energy base (MECS)'!$F$11,0.3*'energy base (MECS)'!$F$11,TRUE))</f>
        <v/>
      </c>
      <c r="BX9" s="68">
        <f t="array" ref="BX9">IF($D9,SUMPRODUCT((economics!$AG$2:$AG$167=$B9)*(economics!$D$2:$D$167="whr")*economics!$AH$2:$AH$167*_xlfn.NORM.DIST(BX$3,economics!$AK$2:$AK$167,economics!$AJ$2:$AJ$167,TRUE))+$CR9*_xlfn.NORM.DIST(BX$3,$CU9,0.3*$CU9,TRUE)+$CS9*_xlfn.NORM.DIST(BX$3,$CV9,0.3*$CV9,TRUE),$CW9*_xlfn.NORM.DIST(BX$3,'energy base (MECS)'!$F$11,0.3*'energy base (MECS)'!$F$11,TRUE))</f>
        <v/>
      </c>
      <c r="BY9" s="68">
        <f t="array" ref="BY9">IF($D9,SUMPRODUCT((economics!$AG$2:$AG$167=$B9)*(economics!$D$2:$D$167="whr")*economics!$AH$2:$AH$167*_xlfn.NORM.DIST(BY$3,economics!$AK$2:$AK$167,economics!$AJ$2:$AJ$167,TRUE))+$CR9*_xlfn.NORM.DIST(BY$3,$CU9,0.3*$CU9,TRUE)+$CS9*_xlfn.NORM.DIST(BY$3,$CV9,0.3*$CV9,TRUE),$CW9*_xlfn.NORM.DIST(BY$3,'energy base (MECS)'!$F$11,0.3*'energy base (MECS)'!$F$11,TRUE))</f>
        <v/>
      </c>
      <c r="BZ9" s="68">
        <f t="array" ref="BZ9">IF($D9,SUMPRODUCT((economics!$AG$2:$AG$167=$B9)*(economics!$D$2:$D$167="whr")*economics!$AH$2:$AH$167*_xlfn.NORM.DIST(BZ$3,economics!$AK$2:$AK$167,economics!$AJ$2:$AJ$167,TRUE))+$CR9*_xlfn.NORM.DIST(BZ$3,$CU9,0.3*$CU9,TRUE)+$CS9*_xlfn.NORM.DIST(BZ$3,$CV9,0.3*$CV9,TRUE),$CW9*_xlfn.NORM.DIST(BZ$3,'energy base (MECS)'!$F$11,0.3*'energy base (MECS)'!$F$11,TRUE))</f>
        <v/>
      </c>
      <c r="CA9" s="68">
        <f t="array" ref="CA9">IF($D9,SUMPRODUCT((economics!$AG$2:$AG$167=$B9)*(economics!$D$2:$D$167="whr")*economics!$AH$2:$AH$167*_xlfn.NORM.DIST(CA$3,economics!$AK$2:$AK$167,economics!$AJ$2:$AJ$167,TRUE))+$CR9*_xlfn.NORM.DIST(CA$3,$CU9,0.3*$CU9,TRUE)+$CS9*_xlfn.NORM.DIST(CA$3,$CV9,0.3*$CV9,TRUE),$CW9*_xlfn.NORM.DIST(CA$3,'energy base (MECS)'!$F$11,0.3*'energy base (MECS)'!$F$11,TRUE))</f>
        <v/>
      </c>
      <c r="CB9" s="68">
        <f t="array" ref="CB9">IF($D9,SUMPRODUCT((economics!$AG$2:$AG$167=$B9)*(economics!$D$2:$D$167="whr")*economics!$AH$2:$AH$167*_xlfn.NORM.DIST(CB$3,economics!$AK$2:$AK$167,economics!$AJ$2:$AJ$167,TRUE))+$CR9*_xlfn.NORM.DIST(CB$3,$CU9,0.3*$CU9,TRUE)+$CS9*_xlfn.NORM.DIST(CB$3,$CV9,0.3*$CV9,TRUE),$CW9*_xlfn.NORM.DIST(CB$3,'energy base (MECS)'!$F$11,0.3*'energy base (MECS)'!$F$11,TRUE))</f>
        <v/>
      </c>
      <c r="CC9" s="68">
        <f t="array" ref="CC9">IF($D9,SUMPRODUCT((economics!$AG$2:$AG$167=$B9)*(economics!$D$2:$D$167="whr")*economics!$AH$2:$AH$167*_xlfn.NORM.DIST(CC$3,economics!$AK$2:$AK$167,economics!$AJ$2:$AJ$167,TRUE))+$CR9*_xlfn.NORM.DIST(CC$3,$CU9,0.3*$CU9,TRUE)+$CS9*_xlfn.NORM.DIST(CC$3,$CV9,0.3*$CV9,TRUE),$CW9*_xlfn.NORM.DIST(CC$3,'energy base (MECS)'!$F$11,0.3*'energy base (MECS)'!$F$11,TRUE))</f>
        <v/>
      </c>
      <c r="CD9" s="68">
        <f t="array" ref="CD9">IF($D9,SUMPRODUCT((economics!$AG$2:$AG$167=$B9)*(economics!$D$2:$D$167="whr")*economics!$AH$2:$AH$167*_xlfn.NORM.DIST(CD$3,economics!$AK$2:$AK$167,economics!$AJ$2:$AJ$167,TRUE))+$CR9*_xlfn.NORM.DIST(CD$3,$CU9,0.3*$CU9,TRUE)+$CS9*_xlfn.NORM.DIST(CD$3,$CV9,0.3*$CV9,TRUE),$CW9*_xlfn.NORM.DIST(CD$3,'energy base (MECS)'!$F$11,0.3*'energy base (MECS)'!$F$11,TRUE))</f>
        <v/>
      </c>
      <c r="CE9" s="68">
        <f t="array" ref="CE9">IF($D9,SUMPRODUCT((economics!$AG$2:$AG$167=$B9)*(economics!$D$2:$D$167="whr")*economics!$AH$2:$AH$167*_xlfn.NORM.DIST(CE$3,economics!$AK$2:$AK$167,economics!$AJ$2:$AJ$167,TRUE))+$CR9*_xlfn.NORM.DIST(CE$3,$CU9,0.3*$CU9,TRUE)+$CS9*_xlfn.NORM.DIST(CE$3,$CV9,0.3*$CV9,TRUE),$CW9*_xlfn.NORM.DIST(CE$3,'energy base (MECS)'!$F$11,0.3*'energy base (MECS)'!$F$11,TRUE))</f>
        <v/>
      </c>
      <c r="CF9" s="68">
        <f t="array" ref="CF9">IF($D9,SUMPRODUCT((economics!$AG$2:$AG$167=$B9)*(economics!$D$2:$D$167="whr")*economics!$AH$2:$AH$167*_xlfn.NORM.DIST(CF$3,economics!$AK$2:$AK$167,economics!$AJ$2:$AJ$167,TRUE))+$CR9*_xlfn.NORM.DIST(CF$3,$CU9,0.3*$CU9,TRUE)+$CS9*_xlfn.NORM.DIST(CF$3,$CV9,0.3*$CV9,TRUE),$CW9*_xlfn.NORM.DIST(CF$3,'energy base (MECS)'!$F$11,0.3*'energy base (MECS)'!$F$11,TRUE))</f>
        <v/>
      </c>
      <c r="CG9" s="68">
        <f t="array" ref="CG9">IF($D9,SUMPRODUCT((economics!$AG$2:$AG$167=$B9)*(economics!$D$2:$D$167="whr")*economics!$AH$2:$AH$167*_xlfn.NORM.DIST(CG$3,economics!$AK$2:$AK$167,economics!$AJ$2:$AJ$167,TRUE))+$CR9*_xlfn.NORM.DIST(CG$3,$CU9,0.3*$CU9,TRUE)+$CS9*_xlfn.NORM.DIST(CG$3,$CV9,0.3*$CV9,TRUE),$CW9*_xlfn.NORM.DIST(CG$3,'energy base (MECS)'!$F$11,0.3*'energy base (MECS)'!$F$11,TRUE))</f>
        <v/>
      </c>
      <c r="CH9" s="68">
        <f t="array" ref="CH9">IF($D9,SUMPRODUCT((economics!$AG$2:$AG$167=$B9)*(economics!$D$2:$D$167="whr")*economics!$AH$2:$AH$167*_xlfn.NORM.DIST(CH$3,economics!$AK$2:$AK$167,economics!$AJ$2:$AJ$167,TRUE))+$CR9*_xlfn.NORM.DIST(CH$3,$CU9,0.3*$CU9,TRUE)+$CS9*_xlfn.NORM.DIST(CH$3,$CV9,0.3*$CV9,TRUE),$CW9*_xlfn.NORM.DIST(CH$3,'energy base (MECS)'!$F$11,0.3*'energy base (MECS)'!$F$11,TRUE))</f>
        <v/>
      </c>
      <c r="CJ9">
        <f t="array" ref="CJ9">SUMPRODUCT((economics!$AG$2:$AG$167=$B9)*(economics!$D$2:$D$167="whr")*economics!$AH$2:$AH$167)</f>
        <v/>
      </c>
      <c r="CK9" s="80">
        <f>'indst heat consumption'!D9</f>
        <v/>
      </c>
      <c r="CL9" s="80">
        <f>'indst heat consumption'!E9</f>
        <v/>
      </c>
      <c r="CM9" s="80">
        <f>'indst heat consumption'!F9</f>
        <v/>
      </c>
      <c r="CN9" s="80">
        <f>'indst heat consumption'!G9</f>
        <v/>
      </c>
      <c r="CO9" s="80">
        <f>'indst heat consumption'!H9</f>
        <v/>
      </c>
      <c r="CP9">
        <f>$C9*(CK9*summary!$B$94+CL9*summary!$C$94+CM9*summary!$D$94)</f>
        <v/>
      </c>
      <c r="CQ9">
        <f>$C9*(CN9*summary!$E$94+CO9*summary!$F$94)</f>
        <v/>
      </c>
      <c r="CR9">
        <f>IF(CP9+CQ9&gt;0,CP9*MAX(0,CP9+CQ9-CJ9)/(CP9+CQ9),0)</f>
        <v/>
      </c>
      <c r="CS9">
        <f>IF(CP9+CQ9&gt;0,CQ9*MAX(0,CP9+CQ9-CJ9)/(CP9+CQ9),0)</f>
        <v/>
      </c>
      <c r="CT9">
        <f>IFERROR(_xlfn.XLOOKUP($B9,'BCoISC-WACCbI'!$C$2:$C$26,'BCoISC-WACCbI'!$B$2:$B$26)+economics!$AE$4,0.1)</f>
        <v/>
      </c>
      <c r="CU9">
        <f>(summary!$C$7*(CT9/(1-(1+CT9)^-summary!$D$7))+summary!$C$7*summary!$E$7)/(summary!$F$7*3412/1000000)</f>
        <v/>
      </c>
      <c r="CV9">
        <f>(summary!$C$6*(CT9/(1-(1+CT9)^-summary!$D$6))+summary!$C$6*summary!$E$6)/(summary!$F$6*3412/1000000)</f>
        <v/>
      </c>
      <c r="CW9">
        <f>CR9+CS9</f>
        <v/>
      </c>
    </row>
    <row r="10">
      <c r="A10">
        <f>WHRPbI!A8</f>
        <v/>
      </c>
      <c r="B10" t="n">
        <v>16</v>
      </c>
      <c r="C10" s="68">
        <f>WHRPbI!B8</f>
        <v/>
      </c>
      <c r="D10">
        <f>ISNUMBER(MATCH($B10,'energy base (MECS)'!$K$4:$K$9,0))</f>
        <v/>
      </c>
      <c r="E10" s="68">
        <f t="array" ref="E10">IF($D10,SUMPRODUCT((economics!$AG$2:$AG$167=$B10)*(economics!$D$2:$D$167="whr")*economics!$AH$2:$AH$167*_xlfn.NORM.DIST(E$3,economics!$AK$2:$AK$167,economics!$AJ$2:$AJ$167,TRUE))+$CR10*_xlfn.NORM.DIST(E$3,$CU10,0.3*$CU10,TRUE)+$CS10*_xlfn.NORM.DIST(E$3,$CV10,0.3*$CV10,TRUE),$CW10*_xlfn.NORM.DIST(E$3,'energy base (MECS)'!$F$11,0.3*'energy base (MECS)'!$F$11,TRUE))</f>
        <v/>
      </c>
      <c r="F10" s="68">
        <f t="array" ref="F10">IF($D10,SUMPRODUCT((economics!$AG$2:$AG$167=$B10)*(economics!$D$2:$D$167="whr")*economics!$AH$2:$AH$167*_xlfn.NORM.DIST(F$3,economics!$AK$2:$AK$167,economics!$AJ$2:$AJ$167,TRUE))+$CR10*_xlfn.NORM.DIST(F$3,$CU10,0.3*$CU10,TRUE)+$CS10*_xlfn.NORM.DIST(F$3,$CV10,0.3*$CV10,TRUE),$CW10*_xlfn.NORM.DIST(F$3,'energy base (MECS)'!$F$11,0.3*'energy base (MECS)'!$F$11,TRUE))</f>
        <v/>
      </c>
      <c r="G10" s="68">
        <f t="array" ref="G10">IF($D10,SUMPRODUCT((economics!$AG$2:$AG$167=$B10)*(economics!$D$2:$D$167="whr")*economics!$AH$2:$AH$167*_xlfn.NORM.DIST(G$3,economics!$AK$2:$AK$167,economics!$AJ$2:$AJ$167,TRUE))+$CR10*_xlfn.NORM.DIST(G$3,$CU10,0.3*$CU10,TRUE)+$CS10*_xlfn.NORM.DIST(G$3,$CV10,0.3*$CV10,TRUE),$CW10*_xlfn.NORM.DIST(G$3,'energy base (MECS)'!$F$11,0.3*'energy base (MECS)'!$F$11,TRUE))</f>
        <v/>
      </c>
      <c r="H10" s="68">
        <f t="array" ref="H10">IF($D10,SUMPRODUCT((economics!$AG$2:$AG$167=$B10)*(economics!$D$2:$D$167="whr")*economics!$AH$2:$AH$167*_xlfn.NORM.DIST(H$3,economics!$AK$2:$AK$167,economics!$AJ$2:$AJ$167,TRUE))+$CR10*_xlfn.NORM.DIST(H$3,$CU10,0.3*$CU10,TRUE)+$CS10*_xlfn.NORM.DIST(H$3,$CV10,0.3*$CV10,TRUE),$CW10*_xlfn.NORM.DIST(H$3,'energy base (MECS)'!$F$11,0.3*'energy base (MECS)'!$F$11,TRUE))</f>
        <v/>
      </c>
      <c r="I10" s="68">
        <f t="array" ref="I10">IF($D10,SUMPRODUCT((economics!$AG$2:$AG$167=$B10)*(economics!$D$2:$D$167="whr")*economics!$AH$2:$AH$167*_xlfn.NORM.DIST(I$3,economics!$AK$2:$AK$167,economics!$AJ$2:$AJ$167,TRUE))+$CR10*_xlfn.NORM.DIST(I$3,$CU10,0.3*$CU10,TRUE)+$CS10*_xlfn.NORM.DIST(I$3,$CV10,0.3*$CV10,TRUE),$CW10*_xlfn.NORM.DIST(I$3,'energy base (MECS)'!$F$11,0.3*'energy base (MECS)'!$F$11,TRUE))</f>
        <v/>
      </c>
      <c r="J10" s="68">
        <f t="array" ref="J10">IF($D10,SUMPRODUCT((economics!$AG$2:$AG$167=$B10)*(economics!$D$2:$D$167="whr")*economics!$AH$2:$AH$167*_xlfn.NORM.DIST(J$3,economics!$AK$2:$AK$167,economics!$AJ$2:$AJ$167,TRUE))+$CR10*_xlfn.NORM.DIST(J$3,$CU10,0.3*$CU10,TRUE)+$CS10*_xlfn.NORM.DIST(J$3,$CV10,0.3*$CV10,TRUE),$CW10*_xlfn.NORM.DIST(J$3,'energy base (MECS)'!$F$11,0.3*'energy base (MECS)'!$F$11,TRUE))</f>
        <v/>
      </c>
      <c r="K10" s="68">
        <f t="array" ref="K10">IF($D10,SUMPRODUCT((economics!$AG$2:$AG$167=$B10)*(economics!$D$2:$D$167="whr")*economics!$AH$2:$AH$167*_xlfn.NORM.DIST(K$3,economics!$AK$2:$AK$167,economics!$AJ$2:$AJ$167,TRUE))+$CR10*_xlfn.NORM.DIST(K$3,$CU10,0.3*$CU10,TRUE)+$CS10*_xlfn.NORM.DIST(K$3,$CV10,0.3*$CV10,TRUE),$CW10*_xlfn.NORM.DIST(K$3,'energy base (MECS)'!$F$11,0.3*'energy base (MECS)'!$F$11,TRUE))</f>
        <v/>
      </c>
      <c r="L10" s="68">
        <f t="array" ref="L10">IF($D10,SUMPRODUCT((economics!$AG$2:$AG$167=$B10)*(economics!$D$2:$D$167="whr")*economics!$AH$2:$AH$167*_xlfn.NORM.DIST(L$3,economics!$AK$2:$AK$167,economics!$AJ$2:$AJ$167,TRUE))+$CR10*_xlfn.NORM.DIST(L$3,$CU10,0.3*$CU10,TRUE)+$CS10*_xlfn.NORM.DIST(L$3,$CV10,0.3*$CV10,TRUE),$CW10*_xlfn.NORM.DIST(L$3,'energy base (MECS)'!$F$11,0.3*'energy base (MECS)'!$F$11,TRUE))</f>
        <v/>
      </c>
      <c r="M10" s="68">
        <f t="array" ref="M10">IF($D10,SUMPRODUCT((economics!$AG$2:$AG$167=$B10)*(economics!$D$2:$D$167="whr")*economics!$AH$2:$AH$167*_xlfn.NORM.DIST(M$3,economics!$AK$2:$AK$167,economics!$AJ$2:$AJ$167,TRUE))+$CR10*_xlfn.NORM.DIST(M$3,$CU10,0.3*$CU10,TRUE)+$CS10*_xlfn.NORM.DIST(M$3,$CV10,0.3*$CV10,TRUE),$CW10*_xlfn.NORM.DIST(M$3,'energy base (MECS)'!$F$11,0.3*'energy base (MECS)'!$F$11,TRUE))</f>
        <v/>
      </c>
      <c r="N10" s="68">
        <f t="array" ref="N10">IF($D10,SUMPRODUCT((economics!$AG$2:$AG$167=$B10)*(economics!$D$2:$D$167="whr")*economics!$AH$2:$AH$167*_xlfn.NORM.DIST(N$3,economics!$AK$2:$AK$167,economics!$AJ$2:$AJ$167,TRUE))+$CR10*_xlfn.NORM.DIST(N$3,$CU10,0.3*$CU10,TRUE)+$CS10*_xlfn.NORM.DIST(N$3,$CV10,0.3*$CV10,TRUE),$CW10*_xlfn.NORM.DIST(N$3,'energy base (MECS)'!$F$11,0.3*'energy base (MECS)'!$F$11,TRUE))</f>
        <v/>
      </c>
      <c r="O10" s="68">
        <f t="array" ref="O10">IF($D10,SUMPRODUCT((economics!$AG$2:$AG$167=$B10)*(economics!$D$2:$D$167="whr")*economics!$AH$2:$AH$167*_xlfn.NORM.DIST(O$3,economics!$AK$2:$AK$167,economics!$AJ$2:$AJ$167,TRUE))+$CR10*_xlfn.NORM.DIST(O$3,$CU10,0.3*$CU10,TRUE)+$CS10*_xlfn.NORM.DIST(O$3,$CV10,0.3*$CV10,TRUE),$CW10*_xlfn.NORM.DIST(O$3,'energy base (MECS)'!$F$11,0.3*'energy base (MECS)'!$F$11,TRUE))</f>
        <v/>
      </c>
      <c r="P10" s="68">
        <f t="array" ref="P10">IF($D10,SUMPRODUCT((economics!$AG$2:$AG$167=$B10)*(economics!$D$2:$D$167="whr")*economics!$AH$2:$AH$167*_xlfn.NORM.DIST(P$3,economics!$AK$2:$AK$167,economics!$AJ$2:$AJ$167,TRUE))+$CR10*_xlfn.NORM.DIST(P$3,$CU10,0.3*$CU10,TRUE)+$CS10*_xlfn.NORM.DIST(P$3,$CV10,0.3*$CV10,TRUE),$CW10*_xlfn.NORM.DIST(P$3,'energy base (MECS)'!$F$11,0.3*'energy base (MECS)'!$F$11,TRUE))</f>
        <v/>
      </c>
      <c r="Q10" s="68">
        <f t="array" ref="Q10">IF($D10,SUMPRODUCT((economics!$AG$2:$AG$167=$B10)*(economics!$D$2:$D$167="whr")*economics!$AH$2:$AH$167*_xlfn.NORM.DIST(Q$3,economics!$AK$2:$AK$167,economics!$AJ$2:$AJ$167,TRUE))+$CR10*_xlfn.NORM.DIST(Q$3,$CU10,0.3*$CU10,TRUE)+$CS10*_xlfn.NORM.DIST(Q$3,$CV10,0.3*$CV10,TRUE),$CW10*_xlfn.NORM.DIST(Q$3,'energy base (MECS)'!$F$11,0.3*'energy base (MECS)'!$F$11,TRUE))</f>
        <v/>
      </c>
      <c r="R10" s="68">
        <f t="array" ref="R10">IF($D10,SUMPRODUCT((economics!$AG$2:$AG$167=$B10)*(economics!$D$2:$D$167="whr")*economics!$AH$2:$AH$167*_xlfn.NORM.DIST(R$3,economics!$AK$2:$AK$167,economics!$AJ$2:$AJ$167,TRUE))+$CR10*_xlfn.NORM.DIST(R$3,$CU10,0.3*$CU10,TRUE)+$CS10*_xlfn.NORM.DIST(R$3,$CV10,0.3*$CV10,TRUE),$CW10*_xlfn.NORM.DIST(R$3,'energy base (MECS)'!$F$11,0.3*'energy base (MECS)'!$F$11,TRUE))</f>
        <v/>
      </c>
      <c r="S10" s="68">
        <f t="array" ref="S10">IF($D10,SUMPRODUCT((economics!$AG$2:$AG$167=$B10)*(economics!$D$2:$D$167="whr")*economics!$AH$2:$AH$167*_xlfn.NORM.DIST(S$3,economics!$AK$2:$AK$167,economics!$AJ$2:$AJ$167,TRUE))+$CR10*_xlfn.NORM.DIST(S$3,$CU10,0.3*$CU10,TRUE)+$CS10*_xlfn.NORM.DIST(S$3,$CV10,0.3*$CV10,TRUE),$CW10*_xlfn.NORM.DIST(S$3,'energy base (MECS)'!$F$11,0.3*'energy base (MECS)'!$F$11,TRUE))</f>
        <v/>
      </c>
      <c r="T10" s="68">
        <f t="array" ref="T10">IF($D10,SUMPRODUCT((economics!$AG$2:$AG$167=$B10)*(economics!$D$2:$D$167="whr")*economics!$AH$2:$AH$167*_xlfn.NORM.DIST(T$3,economics!$AK$2:$AK$167,economics!$AJ$2:$AJ$167,TRUE))+$CR10*_xlfn.NORM.DIST(T$3,$CU10,0.3*$CU10,TRUE)+$CS10*_xlfn.NORM.DIST(T$3,$CV10,0.3*$CV10,TRUE),$CW10*_xlfn.NORM.DIST(T$3,'energy base (MECS)'!$F$11,0.3*'energy base (MECS)'!$F$11,TRUE))</f>
        <v/>
      </c>
      <c r="U10" s="68">
        <f t="array" ref="U10">IF($D10,SUMPRODUCT((economics!$AG$2:$AG$167=$B10)*(economics!$D$2:$D$167="whr")*economics!$AH$2:$AH$167*_xlfn.NORM.DIST(U$3,economics!$AK$2:$AK$167,economics!$AJ$2:$AJ$167,TRUE))+$CR10*_xlfn.NORM.DIST(U$3,$CU10,0.3*$CU10,TRUE)+$CS10*_xlfn.NORM.DIST(U$3,$CV10,0.3*$CV10,TRUE),$CW10*_xlfn.NORM.DIST(U$3,'energy base (MECS)'!$F$11,0.3*'energy base (MECS)'!$F$11,TRUE))</f>
        <v/>
      </c>
      <c r="V10" s="68">
        <f t="array" ref="V10">IF($D10,SUMPRODUCT((economics!$AG$2:$AG$167=$B10)*(economics!$D$2:$D$167="whr")*economics!$AH$2:$AH$167*_xlfn.NORM.DIST(V$3,economics!$AK$2:$AK$167,economics!$AJ$2:$AJ$167,TRUE))+$CR10*_xlfn.NORM.DIST(V$3,$CU10,0.3*$CU10,TRUE)+$CS10*_xlfn.NORM.DIST(V$3,$CV10,0.3*$CV10,TRUE),$CW10*_xlfn.NORM.DIST(V$3,'energy base (MECS)'!$F$11,0.3*'energy base (MECS)'!$F$11,TRUE))</f>
        <v/>
      </c>
      <c r="W10" s="68">
        <f t="array" ref="W10">IF($D10,SUMPRODUCT((economics!$AG$2:$AG$167=$B10)*(economics!$D$2:$D$167="whr")*economics!$AH$2:$AH$167*_xlfn.NORM.DIST(W$3,economics!$AK$2:$AK$167,economics!$AJ$2:$AJ$167,TRUE))+$CR10*_xlfn.NORM.DIST(W$3,$CU10,0.3*$CU10,TRUE)+$CS10*_xlfn.NORM.DIST(W$3,$CV10,0.3*$CV10,TRUE),$CW10*_xlfn.NORM.DIST(W$3,'energy base (MECS)'!$F$11,0.3*'energy base (MECS)'!$F$11,TRUE))</f>
        <v/>
      </c>
      <c r="X10" s="68">
        <f t="array" ref="X10">IF($D10,SUMPRODUCT((economics!$AG$2:$AG$167=$B10)*(economics!$D$2:$D$167="whr")*economics!$AH$2:$AH$167*_xlfn.NORM.DIST(X$3,economics!$AK$2:$AK$167,economics!$AJ$2:$AJ$167,TRUE))+$CR10*_xlfn.NORM.DIST(X$3,$CU10,0.3*$CU10,TRUE)+$CS10*_xlfn.NORM.DIST(X$3,$CV10,0.3*$CV10,TRUE),$CW10*_xlfn.NORM.DIST(X$3,'energy base (MECS)'!$F$11,0.3*'energy base (MECS)'!$F$11,TRUE))</f>
        <v/>
      </c>
      <c r="Y10" s="68">
        <f t="array" ref="Y10">IF($D10,SUMPRODUCT((economics!$AG$2:$AG$167=$B10)*(economics!$D$2:$D$167="whr")*economics!$AH$2:$AH$167*_xlfn.NORM.DIST(Y$3,economics!$AK$2:$AK$167,economics!$AJ$2:$AJ$167,TRUE))+$CR10*_xlfn.NORM.DIST(Y$3,$CU10,0.3*$CU10,TRUE)+$CS10*_xlfn.NORM.DIST(Y$3,$CV10,0.3*$CV10,TRUE),$CW10*_xlfn.NORM.DIST(Y$3,'energy base (MECS)'!$F$11,0.3*'energy base (MECS)'!$F$11,TRUE))</f>
        <v/>
      </c>
      <c r="Z10" s="68">
        <f t="array" ref="Z10">IF($D10,SUMPRODUCT((economics!$AG$2:$AG$167=$B10)*(economics!$D$2:$D$167="whr")*economics!$AH$2:$AH$167*_xlfn.NORM.DIST(Z$3,economics!$AK$2:$AK$167,economics!$AJ$2:$AJ$167,TRUE))+$CR10*_xlfn.NORM.DIST(Z$3,$CU10,0.3*$CU10,TRUE)+$CS10*_xlfn.NORM.DIST(Z$3,$CV10,0.3*$CV10,TRUE),$CW10*_xlfn.NORM.DIST(Z$3,'energy base (MECS)'!$F$11,0.3*'energy base (MECS)'!$F$11,TRUE))</f>
        <v/>
      </c>
      <c r="AA10" s="68">
        <f t="array" ref="AA10">IF($D10,SUMPRODUCT((economics!$AG$2:$AG$167=$B10)*(economics!$D$2:$D$167="whr")*economics!$AH$2:$AH$167*_xlfn.NORM.DIST(AA$3,economics!$AK$2:$AK$167,economics!$AJ$2:$AJ$167,TRUE))+$CR10*_xlfn.NORM.DIST(AA$3,$CU10,0.3*$CU10,TRUE)+$CS10*_xlfn.NORM.DIST(AA$3,$CV10,0.3*$CV10,TRUE),$CW10*_xlfn.NORM.DIST(AA$3,'energy base (MECS)'!$F$11,0.3*'energy base (MECS)'!$F$11,TRUE))</f>
        <v/>
      </c>
      <c r="AB10" s="68">
        <f t="array" ref="AB10">IF($D10,SUMPRODUCT((economics!$AG$2:$AG$167=$B10)*(economics!$D$2:$D$167="whr")*economics!$AH$2:$AH$167*_xlfn.NORM.DIST(AB$3,economics!$AK$2:$AK$167,economics!$AJ$2:$AJ$167,TRUE))+$CR10*_xlfn.NORM.DIST(AB$3,$CU10,0.3*$CU10,TRUE)+$CS10*_xlfn.NORM.DIST(AB$3,$CV10,0.3*$CV10,TRUE),$CW10*_xlfn.NORM.DIST(AB$3,'energy base (MECS)'!$F$11,0.3*'energy base (MECS)'!$F$11,TRUE))</f>
        <v/>
      </c>
      <c r="AC10" s="68">
        <f t="array" ref="AC10">IF($D10,SUMPRODUCT((economics!$AG$2:$AG$167=$B10)*(economics!$D$2:$D$167="whr")*economics!$AH$2:$AH$167*_xlfn.NORM.DIST(AC$3,economics!$AK$2:$AK$167,economics!$AJ$2:$AJ$167,TRUE))+$CR10*_xlfn.NORM.DIST(AC$3,$CU10,0.3*$CU10,TRUE)+$CS10*_xlfn.NORM.DIST(AC$3,$CV10,0.3*$CV10,TRUE),$CW10*_xlfn.NORM.DIST(AC$3,'energy base (MECS)'!$F$11,0.3*'energy base (MECS)'!$F$11,TRUE))</f>
        <v/>
      </c>
      <c r="AD10" s="68">
        <f t="array" ref="AD10">IF($D10,SUMPRODUCT((economics!$AG$2:$AG$167=$B10)*(economics!$D$2:$D$167="whr")*economics!$AH$2:$AH$167*_xlfn.NORM.DIST(AD$3,economics!$AK$2:$AK$167,economics!$AJ$2:$AJ$167,TRUE))+$CR10*_xlfn.NORM.DIST(AD$3,$CU10,0.3*$CU10,TRUE)+$CS10*_xlfn.NORM.DIST(AD$3,$CV10,0.3*$CV10,TRUE),$CW10*_xlfn.NORM.DIST(AD$3,'energy base (MECS)'!$F$11,0.3*'energy base (MECS)'!$F$11,TRUE))</f>
        <v/>
      </c>
      <c r="AE10" s="68">
        <f t="array" ref="AE10">IF($D10,SUMPRODUCT((economics!$AG$2:$AG$167=$B10)*(economics!$D$2:$D$167="whr")*economics!$AH$2:$AH$167*_xlfn.NORM.DIST(AE$3,economics!$AK$2:$AK$167,economics!$AJ$2:$AJ$167,TRUE))+$CR10*_xlfn.NORM.DIST(AE$3,$CU10,0.3*$CU10,TRUE)+$CS10*_xlfn.NORM.DIST(AE$3,$CV10,0.3*$CV10,TRUE),$CW10*_xlfn.NORM.DIST(AE$3,'energy base (MECS)'!$F$11,0.3*'energy base (MECS)'!$F$11,TRUE))</f>
        <v/>
      </c>
      <c r="AF10" s="68">
        <f t="array" ref="AF10">IF($D10,SUMPRODUCT((economics!$AG$2:$AG$167=$B10)*(economics!$D$2:$D$167="whr")*economics!$AH$2:$AH$167*_xlfn.NORM.DIST(AF$3,economics!$AK$2:$AK$167,economics!$AJ$2:$AJ$167,TRUE))+$CR10*_xlfn.NORM.DIST(AF$3,$CU10,0.3*$CU10,TRUE)+$CS10*_xlfn.NORM.DIST(AF$3,$CV10,0.3*$CV10,TRUE),$CW10*_xlfn.NORM.DIST(AF$3,'energy base (MECS)'!$F$11,0.3*'energy base (MECS)'!$F$11,TRUE))</f>
        <v/>
      </c>
      <c r="AG10" s="68">
        <f t="array" ref="AG10">IF($D10,SUMPRODUCT((economics!$AG$2:$AG$167=$B10)*(economics!$D$2:$D$167="whr")*economics!$AH$2:$AH$167*_xlfn.NORM.DIST(AG$3,economics!$AK$2:$AK$167,economics!$AJ$2:$AJ$167,TRUE))+$CR10*_xlfn.NORM.DIST(AG$3,$CU10,0.3*$CU10,TRUE)+$CS10*_xlfn.NORM.DIST(AG$3,$CV10,0.3*$CV10,TRUE),$CW10*_xlfn.NORM.DIST(AG$3,'energy base (MECS)'!$F$11,0.3*'energy base (MECS)'!$F$11,TRUE))</f>
        <v/>
      </c>
      <c r="AH10" s="68">
        <f t="array" ref="AH10">IF($D10,SUMPRODUCT((economics!$AG$2:$AG$167=$B10)*(economics!$D$2:$D$167="whr")*economics!$AH$2:$AH$167*_xlfn.NORM.DIST(AH$3,economics!$AK$2:$AK$167,economics!$AJ$2:$AJ$167,TRUE))+$CR10*_xlfn.NORM.DIST(AH$3,$CU10,0.3*$CU10,TRUE)+$CS10*_xlfn.NORM.DIST(AH$3,$CV10,0.3*$CV10,TRUE),$CW10*_xlfn.NORM.DIST(AH$3,'energy base (MECS)'!$F$11,0.3*'energy base (MECS)'!$F$11,TRUE))</f>
        <v/>
      </c>
      <c r="AI10" s="68">
        <f t="array" ref="AI10">IF($D10,SUMPRODUCT((economics!$AG$2:$AG$167=$B10)*(economics!$D$2:$D$167="whr")*economics!$AH$2:$AH$167*_xlfn.NORM.DIST(AI$3,economics!$AK$2:$AK$167,economics!$AJ$2:$AJ$167,TRUE))+$CR10*_xlfn.NORM.DIST(AI$3,$CU10,0.3*$CU10,TRUE)+$CS10*_xlfn.NORM.DIST(AI$3,$CV10,0.3*$CV10,TRUE),$CW10*_xlfn.NORM.DIST(AI$3,'energy base (MECS)'!$F$11,0.3*'energy base (MECS)'!$F$11,TRUE))</f>
        <v/>
      </c>
      <c r="AJ10" s="68">
        <f t="array" ref="AJ10">IF($D10,SUMPRODUCT((economics!$AG$2:$AG$167=$B10)*(economics!$D$2:$D$167="whr")*economics!$AH$2:$AH$167*_xlfn.NORM.DIST(AJ$3,economics!$AK$2:$AK$167,economics!$AJ$2:$AJ$167,TRUE))+$CR10*_xlfn.NORM.DIST(AJ$3,$CU10,0.3*$CU10,TRUE)+$CS10*_xlfn.NORM.DIST(AJ$3,$CV10,0.3*$CV10,TRUE),$CW10*_xlfn.NORM.DIST(AJ$3,'energy base (MECS)'!$F$11,0.3*'energy base (MECS)'!$F$11,TRUE))</f>
        <v/>
      </c>
      <c r="AK10" s="68">
        <f t="array" ref="AK10">IF($D10,SUMPRODUCT((economics!$AG$2:$AG$167=$B10)*(economics!$D$2:$D$167="whr")*economics!$AH$2:$AH$167*_xlfn.NORM.DIST(AK$3,economics!$AK$2:$AK$167,economics!$AJ$2:$AJ$167,TRUE))+$CR10*_xlfn.NORM.DIST(AK$3,$CU10,0.3*$CU10,TRUE)+$CS10*_xlfn.NORM.DIST(AK$3,$CV10,0.3*$CV10,TRUE),$CW10*_xlfn.NORM.DIST(AK$3,'energy base (MECS)'!$F$11,0.3*'energy base (MECS)'!$F$11,TRUE))</f>
        <v/>
      </c>
      <c r="AL10" s="68">
        <f t="array" ref="AL10">IF($D10,SUMPRODUCT((economics!$AG$2:$AG$167=$B10)*(economics!$D$2:$D$167="whr")*economics!$AH$2:$AH$167*_xlfn.NORM.DIST(AL$3,economics!$AK$2:$AK$167,economics!$AJ$2:$AJ$167,TRUE))+$CR10*_xlfn.NORM.DIST(AL$3,$CU10,0.3*$CU10,TRUE)+$CS10*_xlfn.NORM.DIST(AL$3,$CV10,0.3*$CV10,TRUE),$CW10*_xlfn.NORM.DIST(AL$3,'energy base (MECS)'!$F$11,0.3*'energy base (MECS)'!$F$11,TRUE))</f>
        <v/>
      </c>
      <c r="AM10" s="68">
        <f t="array" ref="AM10">IF($D10,SUMPRODUCT((economics!$AG$2:$AG$167=$B10)*(economics!$D$2:$D$167="whr")*economics!$AH$2:$AH$167*_xlfn.NORM.DIST(AM$3,economics!$AK$2:$AK$167,economics!$AJ$2:$AJ$167,TRUE))+$CR10*_xlfn.NORM.DIST(AM$3,$CU10,0.3*$CU10,TRUE)+$CS10*_xlfn.NORM.DIST(AM$3,$CV10,0.3*$CV10,TRUE),$CW10*_xlfn.NORM.DIST(AM$3,'energy base (MECS)'!$F$11,0.3*'energy base (MECS)'!$F$11,TRUE))</f>
        <v/>
      </c>
      <c r="AN10" s="68">
        <f t="array" ref="AN10">IF($D10,SUMPRODUCT((economics!$AG$2:$AG$167=$B10)*(economics!$D$2:$D$167="whr")*economics!$AH$2:$AH$167*_xlfn.NORM.DIST(AN$3,economics!$AK$2:$AK$167,economics!$AJ$2:$AJ$167,TRUE))+$CR10*_xlfn.NORM.DIST(AN$3,$CU10,0.3*$CU10,TRUE)+$CS10*_xlfn.NORM.DIST(AN$3,$CV10,0.3*$CV10,TRUE),$CW10*_xlfn.NORM.DIST(AN$3,'energy base (MECS)'!$F$11,0.3*'energy base (MECS)'!$F$11,TRUE))</f>
        <v/>
      </c>
      <c r="AO10" s="68">
        <f t="array" ref="AO10">IF($D10,SUMPRODUCT((economics!$AG$2:$AG$167=$B10)*(economics!$D$2:$D$167="whr")*economics!$AH$2:$AH$167*_xlfn.NORM.DIST(AO$3,economics!$AK$2:$AK$167,economics!$AJ$2:$AJ$167,TRUE))+$CR10*_xlfn.NORM.DIST(AO$3,$CU10,0.3*$CU10,TRUE)+$CS10*_xlfn.NORM.DIST(AO$3,$CV10,0.3*$CV10,TRUE),$CW10*_xlfn.NORM.DIST(AO$3,'energy base (MECS)'!$F$11,0.3*'energy base (MECS)'!$F$11,TRUE))</f>
        <v/>
      </c>
      <c r="AP10" s="68">
        <f t="array" ref="AP10">IF($D10,SUMPRODUCT((economics!$AG$2:$AG$167=$B10)*(economics!$D$2:$D$167="whr")*economics!$AH$2:$AH$167*_xlfn.NORM.DIST(AP$3,economics!$AK$2:$AK$167,economics!$AJ$2:$AJ$167,TRUE))+$CR10*_xlfn.NORM.DIST(AP$3,$CU10,0.3*$CU10,TRUE)+$CS10*_xlfn.NORM.DIST(AP$3,$CV10,0.3*$CV10,TRUE),$CW10*_xlfn.NORM.DIST(AP$3,'energy base (MECS)'!$F$11,0.3*'energy base (MECS)'!$F$11,TRUE))</f>
        <v/>
      </c>
      <c r="AQ10" s="68">
        <f t="array" ref="AQ10">IF($D10,SUMPRODUCT((economics!$AG$2:$AG$167=$B10)*(economics!$D$2:$D$167="whr")*economics!$AH$2:$AH$167*_xlfn.NORM.DIST(AQ$3,economics!$AK$2:$AK$167,economics!$AJ$2:$AJ$167,TRUE))+$CR10*_xlfn.NORM.DIST(AQ$3,$CU10,0.3*$CU10,TRUE)+$CS10*_xlfn.NORM.DIST(AQ$3,$CV10,0.3*$CV10,TRUE),$CW10*_xlfn.NORM.DIST(AQ$3,'energy base (MECS)'!$F$11,0.3*'energy base (MECS)'!$F$11,TRUE))</f>
        <v/>
      </c>
      <c r="AR10" s="68">
        <f t="array" ref="AR10">IF($D10,SUMPRODUCT((economics!$AG$2:$AG$167=$B10)*(economics!$D$2:$D$167="whr")*economics!$AH$2:$AH$167*_xlfn.NORM.DIST(AR$3,economics!$AK$2:$AK$167,economics!$AJ$2:$AJ$167,TRUE))+$CR10*_xlfn.NORM.DIST(AR$3,$CU10,0.3*$CU10,TRUE)+$CS10*_xlfn.NORM.DIST(AR$3,$CV10,0.3*$CV10,TRUE),$CW10*_xlfn.NORM.DIST(AR$3,'energy base (MECS)'!$F$11,0.3*'energy base (MECS)'!$F$11,TRUE))</f>
        <v/>
      </c>
      <c r="AS10" s="68">
        <f t="array" ref="AS10">IF($D10,SUMPRODUCT((economics!$AG$2:$AG$167=$B10)*(economics!$D$2:$D$167="whr")*economics!$AH$2:$AH$167*_xlfn.NORM.DIST(AS$3,economics!$AK$2:$AK$167,economics!$AJ$2:$AJ$167,TRUE))+$CR10*_xlfn.NORM.DIST(AS$3,$CU10,0.3*$CU10,TRUE)+$CS10*_xlfn.NORM.DIST(AS$3,$CV10,0.3*$CV10,TRUE),$CW10*_xlfn.NORM.DIST(AS$3,'energy base (MECS)'!$F$11,0.3*'energy base (MECS)'!$F$11,TRUE))</f>
        <v/>
      </c>
      <c r="AT10" s="68">
        <f t="array" ref="AT10">IF($D10,SUMPRODUCT((economics!$AG$2:$AG$167=$B10)*(economics!$D$2:$D$167="whr")*economics!$AH$2:$AH$167*_xlfn.NORM.DIST(AT$3,economics!$AK$2:$AK$167,economics!$AJ$2:$AJ$167,TRUE))+$CR10*_xlfn.NORM.DIST(AT$3,$CU10,0.3*$CU10,TRUE)+$CS10*_xlfn.NORM.DIST(AT$3,$CV10,0.3*$CV10,TRUE),$CW10*_xlfn.NORM.DIST(AT$3,'energy base (MECS)'!$F$11,0.3*'energy base (MECS)'!$F$11,TRUE))</f>
        <v/>
      </c>
      <c r="AU10" s="68">
        <f t="array" ref="AU10">IF($D10,SUMPRODUCT((economics!$AG$2:$AG$167=$B10)*(economics!$D$2:$D$167="whr")*economics!$AH$2:$AH$167*_xlfn.NORM.DIST(AU$3,economics!$AK$2:$AK$167,economics!$AJ$2:$AJ$167,TRUE))+$CR10*_xlfn.NORM.DIST(AU$3,$CU10,0.3*$CU10,TRUE)+$CS10*_xlfn.NORM.DIST(AU$3,$CV10,0.3*$CV10,TRUE),$CW10*_xlfn.NORM.DIST(AU$3,'energy base (MECS)'!$F$11,0.3*'energy base (MECS)'!$F$11,TRUE))</f>
        <v/>
      </c>
      <c r="AV10" s="68">
        <f t="array" ref="AV10">IF($D10,SUMPRODUCT((economics!$AG$2:$AG$167=$B10)*(economics!$D$2:$D$167="whr")*economics!$AH$2:$AH$167*_xlfn.NORM.DIST(AV$3,economics!$AK$2:$AK$167,economics!$AJ$2:$AJ$167,TRUE))+$CR10*_xlfn.NORM.DIST(AV$3,$CU10,0.3*$CU10,TRUE)+$CS10*_xlfn.NORM.DIST(AV$3,$CV10,0.3*$CV10,TRUE),$CW10*_xlfn.NORM.DIST(AV$3,'energy base (MECS)'!$F$11,0.3*'energy base (MECS)'!$F$11,TRUE))</f>
        <v/>
      </c>
      <c r="AW10" s="68">
        <f t="array" ref="AW10">IF($D10,SUMPRODUCT((economics!$AG$2:$AG$167=$B10)*(economics!$D$2:$D$167="whr")*economics!$AH$2:$AH$167*_xlfn.NORM.DIST(AW$3,economics!$AK$2:$AK$167,economics!$AJ$2:$AJ$167,TRUE))+$CR10*_xlfn.NORM.DIST(AW$3,$CU10,0.3*$CU10,TRUE)+$CS10*_xlfn.NORM.DIST(AW$3,$CV10,0.3*$CV10,TRUE),$CW10*_xlfn.NORM.DIST(AW$3,'energy base (MECS)'!$F$11,0.3*'energy base (MECS)'!$F$11,TRUE))</f>
        <v/>
      </c>
      <c r="AX10" s="68">
        <f t="array" ref="AX10">IF($D10,SUMPRODUCT((economics!$AG$2:$AG$167=$B10)*(economics!$D$2:$D$167="whr")*economics!$AH$2:$AH$167*_xlfn.NORM.DIST(AX$3,economics!$AK$2:$AK$167,economics!$AJ$2:$AJ$167,TRUE))+$CR10*_xlfn.NORM.DIST(AX$3,$CU10,0.3*$CU10,TRUE)+$CS10*_xlfn.NORM.DIST(AX$3,$CV10,0.3*$CV10,TRUE),$CW10*_xlfn.NORM.DIST(AX$3,'energy base (MECS)'!$F$11,0.3*'energy base (MECS)'!$F$11,TRUE))</f>
        <v/>
      </c>
      <c r="AY10" s="68">
        <f t="array" ref="AY10">IF($D10,SUMPRODUCT((economics!$AG$2:$AG$167=$B10)*(economics!$D$2:$D$167="whr")*economics!$AH$2:$AH$167*_xlfn.NORM.DIST(AY$3,economics!$AK$2:$AK$167,economics!$AJ$2:$AJ$167,TRUE))+$CR10*_xlfn.NORM.DIST(AY$3,$CU10,0.3*$CU10,TRUE)+$CS10*_xlfn.NORM.DIST(AY$3,$CV10,0.3*$CV10,TRUE),$CW10*_xlfn.NORM.DIST(AY$3,'energy base (MECS)'!$F$11,0.3*'energy base (MECS)'!$F$11,TRUE))</f>
        <v/>
      </c>
      <c r="AZ10" s="68">
        <f t="array" ref="AZ10">IF($D10,SUMPRODUCT((economics!$AG$2:$AG$167=$B10)*(economics!$D$2:$D$167="whr")*economics!$AH$2:$AH$167*_xlfn.NORM.DIST(AZ$3,economics!$AK$2:$AK$167,economics!$AJ$2:$AJ$167,TRUE))+$CR10*_xlfn.NORM.DIST(AZ$3,$CU10,0.3*$CU10,TRUE)+$CS10*_xlfn.NORM.DIST(AZ$3,$CV10,0.3*$CV10,TRUE),$CW10*_xlfn.NORM.DIST(AZ$3,'energy base (MECS)'!$F$11,0.3*'energy base (MECS)'!$F$11,TRUE))</f>
        <v/>
      </c>
      <c r="BA10" s="68">
        <f t="array" ref="BA10">IF($D10,SUMPRODUCT((economics!$AG$2:$AG$167=$B10)*(economics!$D$2:$D$167="whr")*economics!$AH$2:$AH$167*_xlfn.NORM.DIST(BA$3,economics!$AK$2:$AK$167,economics!$AJ$2:$AJ$167,TRUE))+$CR10*_xlfn.NORM.DIST(BA$3,$CU10,0.3*$CU10,TRUE)+$CS10*_xlfn.NORM.DIST(BA$3,$CV10,0.3*$CV10,TRUE),$CW10*_xlfn.NORM.DIST(BA$3,'energy base (MECS)'!$F$11,0.3*'energy base (MECS)'!$F$11,TRUE))</f>
        <v/>
      </c>
      <c r="BB10" s="68">
        <f t="array" ref="BB10">IF($D10,SUMPRODUCT((economics!$AG$2:$AG$167=$B10)*(economics!$D$2:$D$167="whr")*economics!$AH$2:$AH$167*_xlfn.NORM.DIST(BB$3,economics!$AK$2:$AK$167,economics!$AJ$2:$AJ$167,TRUE))+$CR10*_xlfn.NORM.DIST(BB$3,$CU10,0.3*$CU10,TRUE)+$CS10*_xlfn.NORM.DIST(BB$3,$CV10,0.3*$CV10,TRUE),$CW10*_xlfn.NORM.DIST(BB$3,'energy base (MECS)'!$F$11,0.3*'energy base (MECS)'!$F$11,TRUE))</f>
        <v/>
      </c>
      <c r="BC10" s="68">
        <f t="array" ref="BC10">IF($D10,SUMPRODUCT((economics!$AG$2:$AG$167=$B10)*(economics!$D$2:$D$167="whr")*economics!$AH$2:$AH$167*_xlfn.NORM.DIST(BC$3,economics!$AK$2:$AK$167,economics!$AJ$2:$AJ$167,TRUE))+$CR10*_xlfn.NORM.DIST(BC$3,$CU10,0.3*$CU10,TRUE)+$CS10*_xlfn.NORM.DIST(BC$3,$CV10,0.3*$CV10,TRUE),$CW10*_xlfn.NORM.DIST(BC$3,'energy base (MECS)'!$F$11,0.3*'energy base (MECS)'!$F$11,TRUE))</f>
        <v/>
      </c>
      <c r="BD10" s="68">
        <f t="array" ref="BD10">IF($D10,SUMPRODUCT((economics!$AG$2:$AG$167=$B10)*(economics!$D$2:$D$167="whr")*economics!$AH$2:$AH$167*_xlfn.NORM.DIST(BD$3,economics!$AK$2:$AK$167,economics!$AJ$2:$AJ$167,TRUE))+$CR10*_xlfn.NORM.DIST(BD$3,$CU10,0.3*$CU10,TRUE)+$CS10*_xlfn.NORM.DIST(BD$3,$CV10,0.3*$CV10,TRUE),$CW10*_xlfn.NORM.DIST(BD$3,'energy base (MECS)'!$F$11,0.3*'energy base (MECS)'!$F$11,TRUE))</f>
        <v/>
      </c>
      <c r="BE10" s="68">
        <f t="array" ref="BE10">IF($D10,SUMPRODUCT((economics!$AG$2:$AG$167=$B10)*(economics!$D$2:$D$167="whr")*economics!$AH$2:$AH$167*_xlfn.NORM.DIST(BE$3,economics!$AK$2:$AK$167,economics!$AJ$2:$AJ$167,TRUE))+$CR10*_xlfn.NORM.DIST(BE$3,$CU10,0.3*$CU10,TRUE)+$CS10*_xlfn.NORM.DIST(BE$3,$CV10,0.3*$CV10,TRUE),$CW10*_xlfn.NORM.DIST(BE$3,'energy base (MECS)'!$F$11,0.3*'energy base (MECS)'!$F$11,TRUE))</f>
        <v/>
      </c>
      <c r="BF10" s="68">
        <f t="array" ref="BF10">IF($D10,SUMPRODUCT((economics!$AG$2:$AG$167=$B10)*(economics!$D$2:$D$167="whr")*economics!$AH$2:$AH$167*_xlfn.NORM.DIST(BF$3,economics!$AK$2:$AK$167,economics!$AJ$2:$AJ$167,TRUE))+$CR10*_xlfn.NORM.DIST(BF$3,$CU10,0.3*$CU10,TRUE)+$CS10*_xlfn.NORM.DIST(BF$3,$CV10,0.3*$CV10,TRUE),$CW10*_xlfn.NORM.DIST(BF$3,'energy base (MECS)'!$F$11,0.3*'energy base (MECS)'!$F$11,TRUE))</f>
        <v/>
      </c>
      <c r="BG10" s="68">
        <f t="array" ref="BG10">IF($D10,SUMPRODUCT((economics!$AG$2:$AG$167=$B10)*(economics!$D$2:$D$167="whr")*economics!$AH$2:$AH$167*_xlfn.NORM.DIST(BG$3,economics!$AK$2:$AK$167,economics!$AJ$2:$AJ$167,TRUE))+$CR10*_xlfn.NORM.DIST(BG$3,$CU10,0.3*$CU10,TRUE)+$CS10*_xlfn.NORM.DIST(BG$3,$CV10,0.3*$CV10,TRUE),$CW10*_xlfn.NORM.DIST(BG$3,'energy base (MECS)'!$F$11,0.3*'energy base (MECS)'!$F$11,TRUE))</f>
        <v/>
      </c>
      <c r="BH10" s="68">
        <f t="array" ref="BH10">IF($D10,SUMPRODUCT((economics!$AG$2:$AG$167=$B10)*(economics!$D$2:$D$167="whr")*economics!$AH$2:$AH$167*_xlfn.NORM.DIST(BH$3,economics!$AK$2:$AK$167,economics!$AJ$2:$AJ$167,TRUE))+$CR10*_xlfn.NORM.DIST(BH$3,$CU10,0.3*$CU10,TRUE)+$CS10*_xlfn.NORM.DIST(BH$3,$CV10,0.3*$CV10,TRUE),$CW10*_xlfn.NORM.DIST(BH$3,'energy base (MECS)'!$F$11,0.3*'energy base (MECS)'!$F$11,TRUE))</f>
        <v/>
      </c>
      <c r="BI10" s="68">
        <f t="array" ref="BI10">IF($D10,SUMPRODUCT((economics!$AG$2:$AG$167=$B10)*(economics!$D$2:$D$167="whr")*economics!$AH$2:$AH$167*_xlfn.NORM.DIST(BI$3,economics!$AK$2:$AK$167,economics!$AJ$2:$AJ$167,TRUE))+$CR10*_xlfn.NORM.DIST(BI$3,$CU10,0.3*$CU10,TRUE)+$CS10*_xlfn.NORM.DIST(BI$3,$CV10,0.3*$CV10,TRUE),$CW10*_xlfn.NORM.DIST(BI$3,'energy base (MECS)'!$F$11,0.3*'energy base (MECS)'!$F$11,TRUE))</f>
        <v/>
      </c>
      <c r="BJ10" s="68">
        <f t="array" ref="BJ10">IF($D10,SUMPRODUCT((economics!$AG$2:$AG$167=$B10)*(economics!$D$2:$D$167="whr")*economics!$AH$2:$AH$167*_xlfn.NORM.DIST(BJ$3,economics!$AK$2:$AK$167,economics!$AJ$2:$AJ$167,TRUE))+$CR10*_xlfn.NORM.DIST(BJ$3,$CU10,0.3*$CU10,TRUE)+$CS10*_xlfn.NORM.DIST(BJ$3,$CV10,0.3*$CV10,TRUE),$CW10*_xlfn.NORM.DIST(BJ$3,'energy base (MECS)'!$F$11,0.3*'energy base (MECS)'!$F$11,TRUE))</f>
        <v/>
      </c>
      <c r="BK10" s="68">
        <f t="array" ref="BK10">IF($D10,SUMPRODUCT((economics!$AG$2:$AG$167=$B10)*(economics!$D$2:$D$167="whr")*economics!$AH$2:$AH$167*_xlfn.NORM.DIST(BK$3,economics!$AK$2:$AK$167,economics!$AJ$2:$AJ$167,TRUE))+$CR10*_xlfn.NORM.DIST(BK$3,$CU10,0.3*$CU10,TRUE)+$CS10*_xlfn.NORM.DIST(BK$3,$CV10,0.3*$CV10,TRUE),$CW10*_xlfn.NORM.DIST(BK$3,'energy base (MECS)'!$F$11,0.3*'energy base (MECS)'!$F$11,TRUE))</f>
        <v/>
      </c>
      <c r="BL10" s="68">
        <f t="array" ref="BL10">IF($D10,SUMPRODUCT((economics!$AG$2:$AG$167=$B10)*(economics!$D$2:$D$167="whr")*economics!$AH$2:$AH$167*_xlfn.NORM.DIST(BL$3,economics!$AK$2:$AK$167,economics!$AJ$2:$AJ$167,TRUE))+$CR10*_xlfn.NORM.DIST(BL$3,$CU10,0.3*$CU10,TRUE)+$CS10*_xlfn.NORM.DIST(BL$3,$CV10,0.3*$CV10,TRUE),$CW10*_xlfn.NORM.DIST(BL$3,'energy base (MECS)'!$F$11,0.3*'energy base (MECS)'!$F$11,TRUE))</f>
        <v/>
      </c>
      <c r="BM10" s="68">
        <f t="array" ref="BM10">IF($D10,SUMPRODUCT((economics!$AG$2:$AG$167=$B10)*(economics!$D$2:$D$167="whr")*economics!$AH$2:$AH$167*_xlfn.NORM.DIST(BM$3,economics!$AK$2:$AK$167,economics!$AJ$2:$AJ$167,TRUE))+$CR10*_xlfn.NORM.DIST(BM$3,$CU10,0.3*$CU10,TRUE)+$CS10*_xlfn.NORM.DIST(BM$3,$CV10,0.3*$CV10,TRUE),$CW10*_xlfn.NORM.DIST(BM$3,'energy base (MECS)'!$F$11,0.3*'energy base (MECS)'!$F$11,TRUE))</f>
        <v/>
      </c>
      <c r="BN10" s="68">
        <f t="array" ref="BN10">IF($D10,SUMPRODUCT((economics!$AG$2:$AG$167=$B10)*(economics!$D$2:$D$167="whr")*economics!$AH$2:$AH$167*_xlfn.NORM.DIST(BN$3,economics!$AK$2:$AK$167,economics!$AJ$2:$AJ$167,TRUE))+$CR10*_xlfn.NORM.DIST(BN$3,$CU10,0.3*$CU10,TRUE)+$CS10*_xlfn.NORM.DIST(BN$3,$CV10,0.3*$CV10,TRUE),$CW10*_xlfn.NORM.DIST(BN$3,'energy base (MECS)'!$F$11,0.3*'energy base (MECS)'!$F$11,TRUE))</f>
        <v/>
      </c>
      <c r="BO10" s="68">
        <f t="array" ref="BO10">IF($D10,SUMPRODUCT((economics!$AG$2:$AG$167=$B10)*(economics!$D$2:$D$167="whr")*economics!$AH$2:$AH$167*_xlfn.NORM.DIST(BO$3,economics!$AK$2:$AK$167,economics!$AJ$2:$AJ$167,TRUE))+$CR10*_xlfn.NORM.DIST(BO$3,$CU10,0.3*$CU10,TRUE)+$CS10*_xlfn.NORM.DIST(BO$3,$CV10,0.3*$CV10,TRUE),$CW10*_xlfn.NORM.DIST(BO$3,'energy base (MECS)'!$F$11,0.3*'energy base (MECS)'!$F$11,TRUE))</f>
        <v/>
      </c>
      <c r="BP10" s="68">
        <f t="array" ref="BP10">IF($D10,SUMPRODUCT((economics!$AG$2:$AG$167=$B10)*(economics!$D$2:$D$167="whr")*economics!$AH$2:$AH$167*_xlfn.NORM.DIST(BP$3,economics!$AK$2:$AK$167,economics!$AJ$2:$AJ$167,TRUE))+$CR10*_xlfn.NORM.DIST(BP$3,$CU10,0.3*$CU10,TRUE)+$CS10*_xlfn.NORM.DIST(BP$3,$CV10,0.3*$CV10,TRUE),$CW10*_xlfn.NORM.DIST(BP$3,'energy base (MECS)'!$F$11,0.3*'energy base (MECS)'!$F$11,TRUE))</f>
        <v/>
      </c>
      <c r="BQ10" s="68">
        <f t="array" ref="BQ10">IF($D10,SUMPRODUCT((economics!$AG$2:$AG$167=$B10)*(economics!$D$2:$D$167="whr")*economics!$AH$2:$AH$167*_xlfn.NORM.DIST(BQ$3,economics!$AK$2:$AK$167,economics!$AJ$2:$AJ$167,TRUE))+$CR10*_xlfn.NORM.DIST(BQ$3,$CU10,0.3*$CU10,TRUE)+$CS10*_xlfn.NORM.DIST(BQ$3,$CV10,0.3*$CV10,TRUE),$CW10*_xlfn.NORM.DIST(BQ$3,'energy base (MECS)'!$F$11,0.3*'energy base (MECS)'!$F$11,TRUE))</f>
        <v/>
      </c>
      <c r="BR10" s="68">
        <f t="array" ref="BR10">IF($D10,SUMPRODUCT((economics!$AG$2:$AG$167=$B10)*(economics!$D$2:$D$167="whr")*economics!$AH$2:$AH$167*_xlfn.NORM.DIST(BR$3,economics!$AK$2:$AK$167,economics!$AJ$2:$AJ$167,TRUE))+$CR10*_xlfn.NORM.DIST(BR$3,$CU10,0.3*$CU10,TRUE)+$CS10*_xlfn.NORM.DIST(BR$3,$CV10,0.3*$CV10,TRUE),$CW10*_xlfn.NORM.DIST(BR$3,'energy base (MECS)'!$F$11,0.3*'energy base (MECS)'!$F$11,TRUE))</f>
        <v/>
      </c>
      <c r="BS10" s="68">
        <f t="array" ref="BS10">IF($D10,SUMPRODUCT((economics!$AG$2:$AG$167=$B10)*(economics!$D$2:$D$167="whr")*economics!$AH$2:$AH$167*_xlfn.NORM.DIST(BS$3,economics!$AK$2:$AK$167,economics!$AJ$2:$AJ$167,TRUE))+$CR10*_xlfn.NORM.DIST(BS$3,$CU10,0.3*$CU10,TRUE)+$CS10*_xlfn.NORM.DIST(BS$3,$CV10,0.3*$CV10,TRUE),$CW10*_xlfn.NORM.DIST(BS$3,'energy base (MECS)'!$F$11,0.3*'energy base (MECS)'!$F$11,TRUE))</f>
        <v/>
      </c>
      <c r="BT10" s="68">
        <f t="array" ref="BT10">IF($D10,SUMPRODUCT((economics!$AG$2:$AG$167=$B10)*(economics!$D$2:$D$167="whr")*economics!$AH$2:$AH$167*_xlfn.NORM.DIST(BT$3,economics!$AK$2:$AK$167,economics!$AJ$2:$AJ$167,TRUE))+$CR10*_xlfn.NORM.DIST(BT$3,$CU10,0.3*$CU10,TRUE)+$CS10*_xlfn.NORM.DIST(BT$3,$CV10,0.3*$CV10,TRUE),$CW10*_xlfn.NORM.DIST(BT$3,'energy base (MECS)'!$F$11,0.3*'energy base (MECS)'!$F$11,TRUE))</f>
        <v/>
      </c>
      <c r="BU10" s="68">
        <f t="array" ref="BU10">IF($D10,SUMPRODUCT((economics!$AG$2:$AG$167=$B10)*(economics!$D$2:$D$167="whr")*economics!$AH$2:$AH$167*_xlfn.NORM.DIST(BU$3,economics!$AK$2:$AK$167,economics!$AJ$2:$AJ$167,TRUE))+$CR10*_xlfn.NORM.DIST(BU$3,$CU10,0.3*$CU10,TRUE)+$CS10*_xlfn.NORM.DIST(BU$3,$CV10,0.3*$CV10,TRUE),$CW10*_xlfn.NORM.DIST(BU$3,'energy base (MECS)'!$F$11,0.3*'energy base (MECS)'!$F$11,TRUE))</f>
        <v/>
      </c>
      <c r="BV10" s="68">
        <f t="array" ref="BV10">IF($D10,SUMPRODUCT((economics!$AG$2:$AG$167=$B10)*(economics!$D$2:$D$167="whr")*economics!$AH$2:$AH$167*_xlfn.NORM.DIST(BV$3,economics!$AK$2:$AK$167,economics!$AJ$2:$AJ$167,TRUE))+$CR10*_xlfn.NORM.DIST(BV$3,$CU10,0.3*$CU10,TRUE)+$CS10*_xlfn.NORM.DIST(BV$3,$CV10,0.3*$CV10,TRUE),$CW10*_xlfn.NORM.DIST(BV$3,'energy base (MECS)'!$F$11,0.3*'energy base (MECS)'!$F$11,TRUE))</f>
        <v/>
      </c>
      <c r="BW10" s="68">
        <f t="array" ref="BW10">IF($D10,SUMPRODUCT((economics!$AG$2:$AG$167=$B10)*(economics!$D$2:$D$167="whr")*economics!$AH$2:$AH$167*_xlfn.NORM.DIST(BW$3,economics!$AK$2:$AK$167,economics!$AJ$2:$AJ$167,TRUE))+$CR10*_xlfn.NORM.DIST(BW$3,$CU10,0.3*$CU10,TRUE)+$CS10*_xlfn.NORM.DIST(BW$3,$CV10,0.3*$CV10,TRUE),$CW10*_xlfn.NORM.DIST(BW$3,'energy base (MECS)'!$F$11,0.3*'energy base (MECS)'!$F$11,TRUE))</f>
        <v/>
      </c>
      <c r="BX10" s="68">
        <f t="array" ref="BX10">IF($D10,SUMPRODUCT((economics!$AG$2:$AG$167=$B10)*(economics!$D$2:$D$167="whr")*economics!$AH$2:$AH$167*_xlfn.NORM.DIST(BX$3,economics!$AK$2:$AK$167,economics!$AJ$2:$AJ$167,TRUE))+$CR10*_xlfn.NORM.DIST(BX$3,$CU10,0.3*$CU10,TRUE)+$CS10*_xlfn.NORM.DIST(BX$3,$CV10,0.3*$CV10,TRUE),$CW10*_xlfn.NORM.DIST(BX$3,'energy base (MECS)'!$F$11,0.3*'energy base (MECS)'!$F$11,TRUE))</f>
        <v/>
      </c>
      <c r="BY10" s="68">
        <f t="array" ref="BY10">IF($D10,SUMPRODUCT((economics!$AG$2:$AG$167=$B10)*(economics!$D$2:$D$167="whr")*economics!$AH$2:$AH$167*_xlfn.NORM.DIST(BY$3,economics!$AK$2:$AK$167,economics!$AJ$2:$AJ$167,TRUE))+$CR10*_xlfn.NORM.DIST(BY$3,$CU10,0.3*$CU10,TRUE)+$CS10*_xlfn.NORM.DIST(BY$3,$CV10,0.3*$CV10,TRUE),$CW10*_xlfn.NORM.DIST(BY$3,'energy base (MECS)'!$F$11,0.3*'energy base (MECS)'!$F$11,TRUE))</f>
        <v/>
      </c>
      <c r="BZ10" s="68">
        <f t="array" ref="BZ10">IF($D10,SUMPRODUCT((economics!$AG$2:$AG$167=$B10)*(economics!$D$2:$D$167="whr")*economics!$AH$2:$AH$167*_xlfn.NORM.DIST(BZ$3,economics!$AK$2:$AK$167,economics!$AJ$2:$AJ$167,TRUE))+$CR10*_xlfn.NORM.DIST(BZ$3,$CU10,0.3*$CU10,TRUE)+$CS10*_xlfn.NORM.DIST(BZ$3,$CV10,0.3*$CV10,TRUE),$CW10*_xlfn.NORM.DIST(BZ$3,'energy base (MECS)'!$F$11,0.3*'energy base (MECS)'!$F$11,TRUE))</f>
        <v/>
      </c>
      <c r="CA10" s="68">
        <f t="array" ref="CA10">IF($D10,SUMPRODUCT((economics!$AG$2:$AG$167=$B10)*(economics!$D$2:$D$167="whr")*economics!$AH$2:$AH$167*_xlfn.NORM.DIST(CA$3,economics!$AK$2:$AK$167,economics!$AJ$2:$AJ$167,TRUE))+$CR10*_xlfn.NORM.DIST(CA$3,$CU10,0.3*$CU10,TRUE)+$CS10*_xlfn.NORM.DIST(CA$3,$CV10,0.3*$CV10,TRUE),$CW10*_xlfn.NORM.DIST(CA$3,'energy base (MECS)'!$F$11,0.3*'energy base (MECS)'!$F$11,TRUE))</f>
        <v/>
      </c>
      <c r="CB10" s="68">
        <f t="array" ref="CB10">IF($D10,SUMPRODUCT((economics!$AG$2:$AG$167=$B10)*(economics!$D$2:$D$167="whr")*economics!$AH$2:$AH$167*_xlfn.NORM.DIST(CB$3,economics!$AK$2:$AK$167,economics!$AJ$2:$AJ$167,TRUE))+$CR10*_xlfn.NORM.DIST(CB$3,$CU10,0.3*$CU10,TRUE)+$CS10*_xlfn.NORM.DIST(CB$3,$CV10,0.3*$CV10,TRUE),$CW10*_xlfn.NORM.DIST(CB$3,'energy base (MECS)'!$F$11,0.3*'energy base (MECS)'!$F$11,TRUE))</f>
        <v/>
      </c>
      <c r="CC10" s="68">
        <f t="array" ref="CC10">IF($D10,SUMPRODUCT((economics!$AG$2:$AG$167=$B10)*(economics!$D$2:$D$167="whr")*economics!$AH$2:$AH$167*_xlfn.NORM.DIST(CC$3,economics!$AK$2:$AK$167,economics!$AJ$2:$AJ$167,TRUE))+$CR10*_xlfn.NORM.DIST(CC$3,$CU10,0.3*$CU10,TRUE)+$CS10*_xlfn.NORM.DIST(CC$3,$CV10,0.3*$CV10,TRUE),$CW10*_xlfn.NORM.DIST(CC$3,'energy base (MECS)'!$F$11,0.3*'energy base (MECS)'!$F$11,TRUE))</f>
        <v/>
      </c>
      <c r="CD10" s="68">
        <f t="array" ref="CD10">IF($D10,SUMPRODUCT((economics!$AG$2:$AG$167=$B10)*(economics!$D$2:$D$167="whr")*economics!$AH$2:$AH$167*_xlfn.NORM.DIST(CD$3,economics!$AK$2:$AK$167,economics!$AJ$2:$AJ$167,TRUE))+$CR10*_xlfn.NORM.DIST(CD$3,$CU10,0.3*$CU10,TRUE)+$CS10*_xlfn.NORM.DIST(CD$3,$CV10,0.3*$CV10,TRUE),$CW10*_xlfn.NORM.DIST(CD$3,'energy base (MECS)'!$F$11,0.3*'energy base (MECS)'!$F$11,TRUE))</f>
        <v/>
      </c>
      <c r="CE10" s="68">
        <f t="array" ref="CE10">IF($D10,SUMPRODUCT((economics!$AG$2:$AG$167=$B10)*(economics!$D$2:$D$167="whr")*economics!$AH$2:$AH$167*_xlfn.NORM.DIST(CE$3,economics!$AK$2:$AK$167,economics!$AJ$2:$AJ$167,TRUE))+$CR10*_xlfn.NORM.DIST(CE$3,$CU10,0.3*$CU10,TRUE)+$CS10*_xlfn.NORM.DIST(CE$3,$CV10,0.3*$CV10,TRUE),$CW10*_xlfn.NORM.DIST(CE$3,'energy base (MECS)'!$F$11,0.3*'energy base (MECS)'!$F$11,TRUE))</f>
        <v/>
      </c>
      <c r="CF10" s="68">
        <f t="array" ref="CF10">IF($D10,SUMPRODUCT((economics!$AG$2:$AG$167=$B10)*(economics!$D$2:$D$167="whr")*economics!$AH$2:$AH$167*_xlfn.NORM.DIST(CF$3,economics!$AK$2:$AK$167,economics!$AJ$2:$AJ$167,TRUE))+$CR10*_xlfn.NORM.DIST(CF$3,$CU10,0.3*$CU10,TRUE)+$CS10*_xlfn.NORM.DIST(CF$3,$CV10,0.3*$CV10,TRUE),$CW10*_xlfn.NORM.DIST(CF$3,'energy base (MECS)'!$F$11,0.3*'energy base (MECS)'!$F$11,TRUE))</f>
        <v/>
      </c>
      <c r="CG10" s="68">
        <f t="array" ref="CG10">IF($D10,SUMPRODUCT((economics!$AG$2:$AG$167=$B10)*(economics!$D$2:$D$167="whr")*economics!$AH$2:$AH$167*_xlfn.NORM.DIST(CG$3,economics!$AK$2:$AK$167,economics!$AJ$2:$AJ$167,TRUE))+$CR10*_xlfn.NORM.DIST(CG$3,$CU10,0.3*$CU10,TRUE)+$CS10*_xlfn.NORM.DIST(CG$3,$CV10,0.3*$CV10,TRUE),$CW10*_xlfn.NORM.DIST(CG$3,'energy base (MECS)'!$F$11,0.3*'energy base (MECS)'!$F$11,TRUE))</f>
        <v/>
      </c>
      <c r="CH10" s="68">
        <f t="array" ref="CH10">IF($D10,SUMPRODUCT((economics!$AG$2:$AG$167=$B10)*(economics!$D$2:$D$167="whr")*economics!$AH$2:$AH$167*_xlfn.NORM.DIST(CH$3,economics!$AK$2:$AK$167,economics!$AJ$2:$AJ$167,TRUE))+$CR10*_xlfn.NORM.DIST(CH$3,$CU10,0.3*$CU10,TRUE)+$CS10*_xlfn.NORM.DIST(CH$3,$CV10,0.3*$CV10,TRUE),$CW10*_xlfn.NORM.DIST(CH$3,'energy base (MECS)'!$F$11,0.3*'energy base (MECS)'!$F$11,TRUE))</f>
        <v/>
      </c>
      <c r="CJ10">
        <f t="array" ref="CJ10">SUMPRODUCT((economics!$AG$2:$AG$167=$B10)*(economics!$D$2:$D$167="whr")*economics!$AH$2:$AH$167)</f>
        <v/>
      </c>
      <c r="CK10" s="80">
        <f>'indst heat consumption'!D10</f>
        <v/>
      </c>
      <c r="CL10" s="80">
        <f>'indst heat consumption'!E10</f>
        <v/>
      </c>
      <c r="CM10" s="80">
        <f>'indst heat consumption'!F10</f>
        <v/>
      </c>
      <c r="CN10" s="80">
        <f>'indst heat consumption'!G10</f>
        <v/>
      </c>
      <c r="CO10" s="80">
        <f>'indst heat consumption'!H10</f>
        <v/>
      </c>
      <c r="CP10">
        <f>$C10*(CK10*summary!$B$94+CL10*summary!$C$94+CM10*summary!$D$94)</f>
        <v/>
      </c>
      <c r="CQ10">
        <f>$C10*(CN10*summary!$E$94+CO10*summary!$F$94)</f>
        <v/>
      </c>
      <c r="CR10">
        <f>IF(CP10+CQ10&gt;0,CP10*MAX(0,CP10+CQ10-CJ10)/(CP10+CQ10),0)</f>
        <v/>
      </c>
      <c r="CS10">
        <f>IF(CP10+CQ10&gt;0,CQ10*MAX(0,CP10+CQ10-CJ10)/(CP10+CQ10),0)</f>
        <v/>
      </c>
      <c r="CT10">
        <f>IFERROR(_xlfn.XLOOKUP($B10,'BCoISC-WACCbI'!$C$2:$C$26,'BCoISC-WACCbI'!$B$2:$B$26)+economics!$AE$4,0.1)</f>
        <v/>
      </c>
      <c r="CU10">
        <f>(summary!$C$7*(CT10/(1-(1+CT10)^-summary!$D$7))+summary!$C$7*summary!$E$7)/(summary!$F$7*3412/1000000)</f>
        <v/>
      </c>
      <c r="CV10">
        <f>(summary!$C$6*(CT10/(1-(1+CT10)^-summary!$D$6))+summary!$C$6*summary!$E$6)/(summary!$F$6*3412/1000000)</f>
        <v/>
      </c>
      <c r="CW10">
        <f>CR10+CS10</f>
        <v/>
      </c>
    </row>
    <row r="11">
      <c r="A11">
        <f>WHRPbI!A9</f>
        <v/>
      </c>
      <c r="B11" t="inlineStr">
        <is>
          <t>17T18</t>
        </is>
      </c>
      <c r="C11" s="68">
        <f>WHRPbI!B9</f>
        <v/>
      </c>
      <c r="D11">
        <f>ISNUMBER(MATCH($B11,'energy base (MECS)'!$K$4:$K$9,0))</f>
        <v/>
      </c>
      <c r="E11" s="68">
        <f t="array" ref="E11">IF($D11,SUMPRODUCT((economics!$AG$2:$AG$167=$B11)*(economics!$D$2:$D$167="whr")*economics!$AH$2:$AH$167*_xlfn.NORM.DIST(E$3,economics!$AK$2:$AK$167,economics!$AJ$2:$AJ$167,TRUE))+$CR11*_xlfn.NORM.DIST(E$3,$CU11,0.3*$CU11,TRUE)+$CS11*_xlfn.NORM.DIST(E$3,$CV11,0.3*$CV11,TRUE),$CW11*_xlfn.NORM.DIST(E$3,'energy base (MECS)'!$F$11,0.3*'energy base (MECS)'!$F$11,TRUE))</f>
        <v/>
      </c>
      <c r="F11" s="68">
        <f t="array" ref="F11">IF($D11,SUMPRODUCT((economics!$AG$2:$AG$167=$B11)*(economics!$D$2:$D$167="whr")*economics!$AH$2:$AH$167*_xlfn.NORM.DIST(F$3,economics!$AK$2:$AK$167,economics!$AJ$2:$AJ$167,TRUE))+$CR11*_xlfn.NORM.DIST(F$3,$CU11,0.3*$CU11,TRUE)+$CS11*_xlfn.NORM.DIST(F$3,$CV11,0.3*$CV11,TRUE),$CW11*_xlfn.NORM.DIST(F$3,'energy base (MECS)'!$F$11,0.3*'energy base (MECS)'!$F$11,TRUE))</f>
        <v/>
      </c>
      <c r="G11" s="68">
        <f t="array" ref="G11">IF($D11,SUMPRODUCT((economics!$AG$2:$AG$167=$B11)*(economics!$D$2:$D$167="whr")*economics!$AH$2:$AH$167*_xlfn.NORM.DIST(G$3,economics!$AK$2:$AK$167,economics!$AJ$2:$AJ$167,TRUE))+$CR11*_xlfn.NORM.DIST(G$3,$CU11,0.3*$CU11,TRUE)+$CS11*_xlfn.NORM.DIST(G$3,$CV11,0.3*$CV11,TRUE),$CW11*_xlfn.NORM.DIST(G$3,'energy base (MECS)'!$F$11,0.3*'energy base (MECS)'!$F$11,TRUE))</f>
        <v/>
      </c>
      <c r="H11" s="68">
        <f t="array" ref="H11">IF($D11,SUMPRODUCT((economics!$AG$2:$AG$167=$B11)*(economics!$D$2:$D$167="whr")*economics!$AH$2:$AH$167*_xlfn.NORM.DIST(H$3,economics!$AK$2:$AK$167,economics!$AJ$2:$AJ$167,TRUE))+$CR11*_xlfn.NORM.DIST(H$3,$CU11,0.3*$CU11,TRUE)+$CS11*_xlfn.NORM.DIST(H$3,$CV11,0.3*$CV11,TRUE),$CW11*_xlfn.NORM.DIST(H$3,'energy base (MECS)'!$F$11,0.3*'energy base (MECS)'!$F$11,TRUE))</f>
        <v/>
      </c>
      <c r="I11" s="68">
        <f t="array" ref="I11">IF($D11,SUMPRODUCT((economics!$AG$2:$AG$167=$B11)*(economics!$D$2:$D$167="whr")*economics!$AH$2:$AH$167*_xlfn.NORM.DIST(I$3,economics!$AK$2:$AK$167,economics!$AJ$2:$AJ$167,TRUE))+$CR11*_xlfn.NORM.DIST(I$3,$CU11,0.3*$CU11,TRUE)+$CS11*_xlfn.NORM.DIST(I$3,$CV11,0.3*$CV11,TRUE),$CW11*_xlfn.NORM.DIST(I$3,'energy base (MECS)'!$F$11,0.3*'energy base (MECS)'!$F$11,TRUE))</f>
        <v/>
      </c>
      <c r="J11" s="68">
        <f t="array" ref="J11">IF($D11,SUMPRODUCT((economics!$AG$2:$AG$167=$B11)*(economics!$D$2:$D$167="whr")*economics!$AH$2:$AH$167*_xlfn.NORM.DIST(J$3,economics!$AK$2:$AK$167,economics!$AJ$2:$AJ$167,TRUE))+$CR11*_xlfn.NORM.DIST(J$3,$CU11,0.3*$CU11,TRUE)+$CS11*_xlfn.NORM.DIST(J$3,$CV11,0.3*$CV11,TRUE),$CW11*_xlfn.NORM.DIST(J$3,'energy base (MECS)'!$F$11,0.3*'energy base (MECS)'!$F$11,TRUE))</f>
        <v/>
      </c>
      <c r="K11" s="68">
        <f t="array" ref="K11">IF($D11,SUMPRODUCT((economics!$AG$2:$AG$167=$B11)*(economics!$D$2:$D$167="whr")*economics!$AH$2:$AH$167*_xlfn.NORM.DIST(K$3,economics!$AK$2:$AK$167,economics!$AJ$2:$AJ$167,TRUE))+$CR11*_xlfn.NORM.DIST(K$3,$CU11,0.3*$CU11,TRUE)+$CS11*_xlfn.NORM.DIST(K$3,$CV11,0.3*$CV11,TRUE),$CW11*_xlfn.NORM.DIST(K$3,'energy base (MECS)'!$F$11,0.3*'energy base (MECS)'!$F$11,TRUE))</f>
        <v/>
      </c>
      <c r="L11" s="68">
        <f t="array" ref="L11">IF($D11,SUMPRODUCT((economics!$AG$2:$AG$167=$B11)*(economics!$D$2:$D$167="whr")*economics!$AH$2:$AH$167*_xlfn.NORM.DIST(L$3,economics!$AK$2:$AK$167,economics!$AJ$2:$AJ$167,TRUE))+$CR11*_xlfn.NORM.DIST(L$3,$CU11,0.3*$CU11,TRUE)+$CS11*_xlfn.NORM.DIST(L$3,$CV11,0.3*$CV11,TRUE),$CW11*_xlfn.NORM.DIST(L$3,'energy base (MECS)'!$F$11,0.3*'energy base (MECS)'!$F$11,TRUE))</f>
        <v/>
      </c>
      <c r="M11" s="68">
        <f t="array" ref="M11">IF($D11,SUMPRODUCT((economics!$AG$2:$AG$167=$B11)*(economics!$D$2:$D$167="whr")*economics!$AH$2:$AH$167*_xlfn.NORM.DIST(M$3,economics!$AK$2:$AK$167,economics!$AJ$2:$AJ$167,TRUE))+$CR11*_xlfn.NORM.DIST(M$3,$CU11,0.3*$CU11,TRUE)+$CS11*_xlfn.NORM.DIST(M$3,$CV11,0.3*$CV11,TRUE),$CW11*_xlfn.NORM.DIST(M$3,'energy base (MECS)'!$F$11,0.3*'energy base (MECS)'!$F$11,TRUE))</f>
        <v/>
      </c>
      <c r="N11" s="68">
        <f t="array" ref="N11">IF($D11,SUMPRODUCT((economics!$AG$2:$AG$167=$B11)*(economics!$D$2:$D$167="whr")*economics!$AH$2:$AH$167*_xlfn.NORM.DIST(N$3,economics!$AK$2:$AK$167,economics!$AJ$2:$AJ$167,TRUE))+$CR11*_xlfn.NORM.DIST(N$3,$CU11,0.3*$CU11,TRUE)+$CS11*_xlfn.NORM.DIST(N$3,$CV11,0.3*$CV11,TRUE),$CW11*_xlfn.NORM.DIST(N$3,'energy base (MECS)'!$F$11,0.3*'energy base (MECS)'!$F$11,TRUE))</f>
        <v/>
      </c>
      <c r="O11" s="68">
        <f t="array" ref="O11">IF($D11,SUMPRODUCT((economics!$AG$2:$AG$167=$B11)*(economics!$D$2:$D$167="whr")*economics!$AH$2:$AH$167*_xlfn.NORM.DIST(O$3,economics!$AK$2:$AK$167,economics!$AJ$2:$AJ$167,TRUE))+$CR11*_xlfn.NORM.DIST(O$3,$CU11,0.3*$CU11,TRUE)+$CS11*_xlfn.NORM.DIST(O$3,$CV11,0.3*$CV11,TRUE),$CW11*_xlfn.NORM.DIST(O$3,'energy base (MECS)'!$F$11,0.3*'energy base (MECS)'!$F$11,TRUE))</f>
        <v/>
      </c>
      <c r="P11" s="68">
        <f t="array" ref="P11">IF($D11,SUMPRODUCT((economics!$AG$2:$AG$167=$B11)*(economics!$D$2:$D$167="whr")*economics!$AH$2:$AH$167*_xlfn.NORM.DIST(P$3,economics!$AK$2:$AK$167,economics!$AJ$2:$AJ$167,TRUE))+$CR11*_xlfn.NORM.DIST(P$3,$CU11,0.3*$CU11,TRUE)+$CS11*_xlfn.NORM.DIST(P$3,$CV11,0.3*$CV11,TRUE),$CW11*_xlfn.NORM.DIST(P$3,'energy base (MECS)'!$F$11,0.3*'energy base (MECS)'!$F$11,TRUE))</f>
        <v/>
      </c>
      <c r="Q11" s="68">
        <f t="array" ref="Q11">IF($D11,SUMPRODUCT((economics!$AG$2:$AG$167=$B11)*(economics!$D$2:$D$167="whr")*economics!$AH$2:$AH$167*_xlfn.NORM.DIST(Q$3,economics!$AK$2:$AK$167,economics!$AJ$2:$AJ$167,TRUE))+$CR11*_xlfn.NORM.DIST(Q$3,$CU11,0.3*$CU11,TRUE)+$CS11*_xlfn.NORM.DIST(Q$3,$CV11,0.3*$CV11,TRUE),$CW11*_xlfn.NORM.DIST(Q$3,'energy base (MECS)'!$F$11,0.3*'energy base (MECS)'!$F$11,TRUE))</f>
        <v/>
      </c>
      <c r="R11" s="68">
        <f t="array" ref="R11">IF($D11,SUMPRODUCT((economics!$AG$2:$AG$167=$B11)*(economics!$D$2:$D$167="whr")*economics!$AH$2:$AH$167*_xlfn.NORM.DIST(R$3,economics!$AK$2:$AK$167,economics!$AJ$2:$AJ$167,TRUE))+$CR11*_xlfn.NORM.DIST(R$3,$CU11,0.3*$CU11,TRUE)+$CS11*_xlfn.NORM.DIST(R$3,$CV11,0.3*$CV11,TRUE),$CW11*_xlfn.NORM.DIST(R$3,'energy base (MECS)'!$F$11,0.3*'energy base (MECS)'!$F$11,TRUE))</f>
        <v/>
      </c>
      <c r="S11" s="68">
        <f t="array" ref="S11">IF($D11,SUMPRODUCT((economics!$AG$2:$AG$167=$B11)*(economics!$D$2:$D$167="whr")*economics!$AH$2:$AH$167*_xlfn.NORM.DIST(S$3,economics!$AK$2:$AK$167,economics!$AJ$2:$AJ$167,TRUE))+$CR11*_xlfn.NORM.DIST(S$3,$CU11,0.3*$CU11,TRUE)+$CS11*_xlfn.NORM.DIST(S$3,$CV11,0.3*$CV11,TRUE),$CW11*_xlfn.NORM.DIST(S$3,'energy base (MECS)'!$F$11,0.3*'energy base (MECS)'!$F$11,TRUE))</f>
        <v/>
      </c>
      <c r="T11" s="68">
        <f t="array" ref="T11">IF($D11,SUMPRODUCT((economics!$AG$2:$AG$167=$B11)*(economics!$D$2:$D$167="whr")*economics!$AH$2:$AH$167*_xlfn.NORM.DIST(T$3,economics!$AK$2:$AK$167,economics!$AJ$2:$AJ$167,TRUE))+$CR11*_xlfn.NORM.DIST(T$3,$CU11,0.3*$CU11,TRUE)+$CS11*_xlfn.NORM.DIST(T$3,$CV11,0.3*$CV11,TRUE),$CW11*_xlfn.NORM.DIST(T$3,'energy base (MECS)'!$F$11,0.3*'energy base (MECS)'!$F$11,TRUE))</f>
        <v/>
      </c>
      <c r="U11" s="68">
        <f t="array" ref="U11">IF($D11,SUMPRODUCT((economics!$AG$2:$AG$167=$B11)*(economics!$D$2:$D$167="whr")*economics!$AH$2:$AH$167*_xlfn.NORM.DIST(U$3,economics!$AK$2:$AK$167,economics!$AJ$2:$AJ$167,TRUE))+$CR11*_xlfn.NORM.DIST(U$3,$CU11,0.3*$CU11,TRUE)+$CS11*_xlfn.NORM.DIST(U$3,$CV11,0.3*$CV11,TRUE),$CW11*_xlfn.NORM.DIST(U$3,'energy base (MECS)'!$F$11,0.3*'energy base (MECS)'!$F$11,TRUE))</f>
        <v/>
      </c>
      <c r="V11" s="68">
        <f t="array" ref="V11">IF($D11,SUMPRODUCT((economics!$AG$2:$AG$167=$B11)*(economics!$D$2:$D$167="whr")*economics!$AH$2:$AH$167*_xlfn.NORM.DIST(V$3,economics!$AK$2:$AK$167,economics!$AJ$2:$AJ$167,TRUE))+$CR11*_xlfn.NORM.DIST(V$3,$CU11,0.3*$CU11,TRUE)+$CS11*_xlfn.NORM.DIST(V$3,$CV11,0.3*$CV11,TRUE),$CW11*_xlfn.NORM.DIST(V$3,'energy base (MECS)'!$F$11,0.3*'energy base (MECS)'!$F$11,TRUE))</f>
        <v/>
      </c>
      <c r="W11" s="68">
        <f t="array" ref="W11">IF($D11,SUMPRODUCT((economics!$AG$2:$AG$167=$B11)*(economics!$D$2:$D$167="whr")*economics!$AH$2:$AH$167*_xlfn.NORM.DIST(W$3,economics!$AK$2:$AK$167,economics!$AJ$2:$AJ$167,TRUE))+$CR11*_xlfn.NORM.DIST(W$3,$CU11,0.3*$CU11,TRUE)+$CS11*_xlfn.NORM.DIST(W$3,$CV11,0.3*$CV11,TRUE),$CW11*_xlfn.NORM.DIST(W$3,'energy base (MECS)'!$F$11,0.3*'energy base (MECS)'!$F$11,TRUE))</f>
        <v/>
      </c>
      <c r="X11" s="68">
        <f t="array" ref="X11">IF($D11,SUMPRODUCT((economics!$AG$2:$AG$167=$B11)*(economics!$D$2:$D$167="whr")*economics!$AH$2:$AH$167*_xlfn.NORM.DIST(X$3,economics!$AK$2:$AK$167,economics!$AJ$2:$AJ$167,TRUE))+$CR11*_xlfn.NORM.DIST(X$3,$CU11,0.3*$CU11,TRUE)+$CS11*_xlfn.NORM.DIST(X$3,$CV11,0.3*$CV11,TRUE),$CW11*_xlfn.NORM.DIST(X$3,'energy base (MECS)'!$F$11,0.3*'energy base (MECS)'!$F$11,TRUE))</f>
        <v/>
      </c>
      <c r="Y11" s="68">
        <f t="array" ref="Y11">IF($D11,SUMPRODUCT((economics!$AG$2:$AG$167=$B11)*(economics!$D$2:$D$167="whr")*economics!$AH$2:$AH$167*_xlfn.NORM.DIST(Y$3,economics!$AK$2:$AK$167,economics!$AJ$2:$AJ$167,TRUE))+$CR11*_xlfn.NORM.DIST(Y$3,$CU11,0.3*$CU11,TRUE)+$CS11*_xlfn.NORM.DIST(Y$3,$CV11,0.3*$CV11,TRUE),$CW11*_xlfn.NORM.DIST(Y$3,'energy base (MECS)'!$F$11,0.3*'energy base (MECS)'!$F$11,TRUE))</f>
        <v/>
      </c>
      <c r="Z11" s="68">
        <f t="array" ref="Z11">IF($D11,SUMPRODUCT((economics!$AG$2:$AG$167=$B11)*(economics!$D$2:$D$167="whr")*economics!$AH$2:$AH$167*_xlfn.NORM.DIST(Z$3,economics!$AK$2:$AK$167,economics!$AJ$2:$AJ$167,TRUE))+$CR11*_xlfn.NORM.DIST(Z$3,$CU11,0.3*$CU11,TRUE)+$CS11*_xlfn.NORM.DIST(Z$3,$CV11,0.3*$CV11,TRUE),$CW11*_xlfn.NORM.DIST(Z$3,'energy base (MECS)'!$F$11,0.3*'energy base (MECS)'!$F$11,TRUE))</f>
        <v/>
      </c>
      <c r="AA11" s="68">
        <f t="array" ref="AA11">IF($D11,SUMPRODUCT((economics!$AG$2:$AG$167=$B11)*(economics!$D$2:$D$167="whr")*economics!$AH$2:$AH$167*_xlfn.NORM.DIST(AA$3,economics!$AK$2:$AK$167,economics!$AJ$2:$AJ$167,TRUE))+$CR11*_xlfn.NORM.DIST(AA$3,$CU11,0.3*$CU11,TRUE)+$CS11*_xlfn.NORM.DIST(AA$3,$CV11,0.3*$CV11,TRUE),$CW11*_xlfn.NORM.DIST(AA$3,'energy base (MECS)'!$F$11,0.3*'energy base (MECS)'!$F$11,TRUE))</f>
        <v/>
      </c>
      <c r="AB11" s="68">
        <f t="array" ref="AB11">IF($D11,SUMPRODUCT((economics!$AG$2:$AG$167=$B11)*(economics!$D$2:$D$167="whr")*economics!$AH$2:$AH$167*_xlfn.NORM.DIST(AB$3,economics!$AK$2:$AK$167,economics!$AJ$2:$AJ$167,TRUE))+$CR11*_xlfn.NORM.DIST(AB$3,$CU11,0.3*$CU11,TRUE)+$CS11*_xlfn.NORM.DIST(AB$3,$CV11,0.3*$CV11,TRUE),$CW11*_xlfn.NORM.DIST(AB$3,'energy base (MECS)'!$F$11,0.3*'energy base (MECS)'!$F$11,TRUE))</f>
        <v/>
      </c>
      <c r="AC11" s="68">
        <f t="array" ref="AC11">IF($D11,SUMPRODUCT((economics!$AG$2:$AG$167=$B11)*(economics!$D$2:$D$167="whr")*economics!$AH$2:$AH$167*_xlfn.NORM.DIST(AC$3,economics!$AK$2:$AK$167,economics!$AJ$2:$AJ$167,TRUE))+$CR11*_xlfn.NORM.DIST(AC$3,$CU11,0.3*$CU11,TRUE)+$CS11*_xlfn.NORM.DIST(AC$3,$CV11,0.3*$CV11,TRUE),$CW11*_xlfn.NORM.DIST(AC$3,'energy base (MECS)'!$F$11,0.3*'energy base (MECS)'!$F$11,TRUE))</f>
        <v/>
      </c>
      <c r="AD11" s="68">
        <f t="array" ref="AD11">IF($D11,SUMPRODUCT((economics!$AG$2:$AG$167=$B11)*(economics!$D$2:$D$167="whr")*economics!$AH$2:$AH$167*_xlfn.NORM.DIST(AD$3,economics!$AK$2:$AK$167,economics!$AJ$2:$AJ$167,TRUE))+$CR11*_xlfn.NORM.DIST(AD$3,$CU11,0.3*$CU11,TRUE)+$CS11*_xlfn.NORM.DIST(AD$3,$CV11,0.3*$CV11,TRUE),$CW11*_xlfn.NORM.DIST(AD$3,'energy base (MECS)'!$F$11,0.3*'energy base (MECS)'!$F$11,TRUE))</f>
        <v/>
      </c>
      <c r="AE11" s="68">
        <f t="array" ref="AE11">IF($D11,SUMPRODUCT((economics!$AG$2:$AG$167=$B11)*(economics!$D$2:$D$167="whr")*economics!$AH$2:$AH$167*_xlfn.NORM.DIST(AE$3,economics!$AK$2:$AK$167,economics!$AJ$2:$AJ$167,TRUE))+$CR11*_xlfn.NORM.DIST(AE$3,$CU11,0.3*$CU11,TRUE)+$CS11*_xlfn.NORM.DIST(AE$3,$CV11,0.3*$CV11,TRUE),$CW11*_xlfn.NORM.DIST(AE$3,'energy base (MECS)'!$F$11,0.3*'energy base (MECS)'!$F$11,TRUE))</f>
        <v/>
      </c>
      <c r="AF11" s="68">
        <f t="array" ref="AF11">IF($D11,SUMPRODUCT((economics!$AG$2:$AG$167=$B11)*(economics!$D$2:$D$167="whr")*economics!$AH$2:$AH$167*_xlfn.NORM.DIST(AF$3,economics!$AK$2:$AK$167,economics!$AJ$2:$AJ$167,TRUE))+$CR11*_xlfn.NORM.DIST(AF$3,$CU11,0.3*$CU11,TRUE)+$CS11*_xlfn.NORM.DIST(AF$3,$CV11,0.3*$CV11,TRUE),$CW11*_xlfn.NORM.DIST(AF$3,'energy base (MECS)'!$F$11,0.3*'energy base (MECS)'!$F$11,TRUE))</f>
        <v/>
      </c>
      <c r="AG11" s="68">
        <f t="array" ref="AG11">IF($D11,SUMPRODUCT((economics!$AG$2:$AG$167=$B11)*(economics!$D$2:$D$167="whr")*economics!$AH$2:$AH$167*_xlfn.NORM.DIST(AG$3,economics!$AK$2:$AK$167,economics!$AJ$2:$AJ$167,TRUE))+$CR11*_xlfn.NORM.DIST(AG$3,$CU11,0.3*$CU11,TRUE)+$CS11*_xlfn.NORM.DIST(AG$3,$CV11,0.3*$CV11,TRUE),$CW11*_xlfn.NORM.DIST(AG$3,'energy base (MECS)'!$F$11,0.3*'energy base (MECS)'!$F$11,TRUE))</f>
        <v/>
      </c>
      <c r="AH11" s="68">
        <f t="array" ref="AH11">IF($D11,SUMPRODUCT((economics!$AG$2:$AG$167=$B11)*(economics!$D$2:$D$167="whr")*economics!$AH$2:$AH$167*_xlfn.NORM.DIST(AH$3,economics!$AK$2:$AK$167,economics!$AJ$2:$AJ$167,TRUE))+$CR11*_xlfn.NORM.DIST(AH$3,$CU11,0.3*$CU11,TRUE)+$CS11*_xlfn.NORM.DIST(AH$3,$CV11,0.3*$CV11,TRUE),$CW11*_xlfn.NORM.DIST(AH$3,'energy base (MECS)'!$F$11,0.3*'energy base (MECS)'!$F$11,TRUE))</f>
        <v/>
      </c>
      <c r="AI11" s="68">
        <f t="array" ref="AI11">IF($D11,SUMPRODUCT((economics!$AG$2:$AG$167=$B11)*(economics!$D$2:$D$167="whr")*economics!$AH$2:$AH$167*_xlfn.NORM.DIST(AI$3,economics!$AK$2:$AK$167,economics!$AJ$2:$AJ$167,TRUE))+$CR11*_xlfn.NORM.DIST(AI$3,$CU11,0.3*$CU11,TRUE)+$CS11*_xlfn.NORM.DIST(AI$3,$CV11,0.3*$CV11,TRUE),$CW11*_xlfn.NORM.DIST(AI$3,'energy base (MECS)'!$F$11,0.3*'energy base (MECS)'!$F$11,TRUE))</f>
        <v/>
      </c>
      <c r="AJ11" s="68">
        <f t="array" ref="AJ11">IF($D11,SUMPRODUCT((economics!$AG$2:$AG$167=$B11)*(economics!$D$2:$D$167="whr")*economics!$AH$2:$AH$167*_xlfn.NORM.DIST(AJ$3,economics!$AK$2:$AK$167,economics!$AJ$2:$AJ$167,TRUE))+$CR11*_xlfn.NORM.DIST(AJ$3,$CU11,0.3*$CU11,TRUE)+$CS11*_xlfn.NORM.DIST(AJ$3,$CV11,0.3*$CV11,TRUE),$CW11*_xlfn.NORM.DIST(AJ$3,'energy base (MECS)'!$F$11,0.3*'energy base (MECS)'!$F$11,TRUE))</f>
        <v/>
      </c>
      <c r="AK11" s="68">
        <f t="array" ref="AK11">IF($D11,SUMPRODUCT((economics!$AG$2:$AG$167=$B11)*(economics!$D$2:$D$167="whr")*economics!$AH$2:$AH$167*_xlfn.NORM.DIST(AK$3,economics!$AK$2:$AK$167,economics!$AJ$2:$AJ$167,TRUE))+$CR11*_xlfn.NORM.DIST(AK$3,$CU11,0.3*$CU11,TRUE)+$CS11*_xlfn.NORM.DIST(AK$3,$CV11,0.3*$CV11,TRUE),$CW11*_xlfn.NORM.DIST(AK$3,'energy base (MECS)'!$F$11,0.3*'energy base (MECS)'!$F$11,TRUE))</f>
        <v/>
      </c>
      <c r="AL11" s="68">
        <f t="array" ref="AL11">IF($D11,SUMPRODUCT((economics!$AG$2:$AG$167=$B11)*(economics!$D$2:$D$167="whr")*economics!$AH$2:$AH$167*_xlfn.NORM.DIST(AL$3,economics!$AK$2:$AK$167,economics!$AJ$2:$AJ$167,TRUE))+$CR11*_xlfn.NORM.DIST(AL$3,$CU11,0.3*$CU11,TRUE)+$CS11*_xlfn.NORM.DIST(AL$3,$CV11,0.3*$CV11,TRUE),$CW11*_xlfn.NORM.DIST(AL$3,'energy base (MECS)'!$F$11,0.3*'energy base (MECS)'!$F$11,TRUE))</f>
        <v/>
      </c>
      <c r="AM11" s="68">
        <f t="array" ref="AM11">IF($D11,SUMPRODUCT((economics!$AG$2:$AG$167=$B11)*(economics!$D$2:$D$167="whr")*economics!$AH$2:$AH$167*_xlfn.NORM.DIST(AM$3,economics!$AK$2:$AK$167,economics!$AJ$2:$AJ$167,TRUE))+$CR11*_xlfn.NORM.DIST(AM$3,$CU11,0.3*$CU11,TRUE)+$CS11*_xlfn.NORM.DIST(AM$3,$CV11,0.3*$CV11,TRUE),$CW11*_xlfn.NORM.DIST(AM$3,'energy base (MECS)'!$F$11,0.3*'energy base (MECS)'!$F$11,TRUE))</f>
        <v/>
      </c>
      <c r="AN11" s="68">
        <f t="array" ref="AN11">IF($D11,SUMPRODUCT((economics!$AG$2:$AG$167=$B11)*(economics!$D$2:$D$167="whr")*economics!$AH$2:$AH$167*_xlfn.NORM.DIST(AN$3,economics!$AK$2:$AK$167,economics!$AJ$2:$AJ$167,TRUE))+$CR11*_xlfn.NORM.DIST(AN$3,$CU11,0.3*$CU11,TRUE)+$CS11*_xlfn.NORM.DIST(AN$3,$CV11,0.3*$CV11,TRUE),$CW11*_xlfn.NORM.DIST(AN$3,'energy base (MECS)'!$F$11,0.3*'energy base (MECS)'!$F$11,TRUE))</f>
        <v/>
      </c>
      <c r="AO11" s="68">
        <f t="array" ref="AO11">IF($D11,SUMPRODUCT((economics!$AG$2:$AG$167=$B11)*(economics!$D$2:$D$167="whr")*economics!$AH$2:$AH$167*_xlfn.NORM.DIST(AO$3,economics!$AK$2:$AK$167,economics!$AJ$2:$AJ$167,TRUE))+$CR11*_xlfn.NORM.DIST(AO$3,$CU11,0.3*$CU11,TRUE)+$CS11*_xlfn.NORM.DIST(AO$3,$CV11,0.3*$CV11,TRUE),$CW11*_xlfn.NORM.DIST(AO$3,'energy base (MECS)'!$F$11,0.3*'energy base (MECS)'!$F$11,TRUE))</f>
        <v/>
      </c>
      <c r="AP11" s="68">
        <f t="array" ref="AP11">IF($D11,SUMPRODUCT((economics!$AG$2:$AG$167=$B11)*(economics!$D$2:$D$167="whr")*economics!$AH$2:$AH$167*_xlfn.NORM.DIST(AP$3,economics!$AK$2:$AK$167,economics!$AJ$2:$AJ$167,TRUE))+$CR11*_xlfn.NORM.DIST(AP$3,$CU11,0.3*$CU11,TRUE)+$CS11*_xlfn.NORM.DIST(AP$3,$CV11,0.3*$CV11,TRUE),$CW11*_xlfn.NORM.DIST(AP$3,'energy base (MECS)'!$F$11,0.3*'energy base (MECS)'!$F$11,TRUE))</f>
        <v/>
      </c>
      <c r="AQ11" s="68">
        <f t="array" ref="AQ11">IF($D11,SUMPRODUCT((economics!$AG$2:$AG$167=$B11)*(economics!$D$2:$D$167="whr")*economics!$AH$2:$AH$167*_xlfn.NORM.DIST(AQ$3,economics!$AK$2:$AK$167,economics!$AJ$2:$AJ$167,TRUE))+$CR11*_xlfn.NORM.DIST(AQ$3,$CU11,0.3*$CU11,TRUE)+$CS11*_xlfn.NORM.DIST(AQ$3,$CV11,0.3*$CV11,TRUE),$CW11*_xlfn.NORM.DIST(AQ$3,'energy base (MECS)'!$F$11,0.3*'energy base (MECS)'!$F$11,TRUE))</f>
        <v/>
      </c>
      <c r="AR11" s="68">
        <f t="array" ref="AR11">IF($D11,SUMPRODUCT((economics!$AG$2:$AG$167=$B11)*(economics!$D$2:$D$167="whr")*economics!$AH$2:$AH$167*_xlfn.NORM.DIST(AR$3,economics!$AK$2:$AK$167,economics!$AJ$2:$AJ$167,TRUE))+$CR11*_xlfn.NORM.DIST(AR$3,$CU11,0.3*$CU11,TRUE)+$CS11*_xlfn.NORM.DIST(AR$3,$CV11,0.3*$CV11,TRUE),$CW11*_xlfn.NORM.DIST(AR$3,'energy base (MECS)'!$F$11,0.3*'energy base (MECS)'!$F$11,TRUE))</f>
        <v/>
      </c>
      <c r="AS11" s="68">
        <f t="array" ref="AS11">IF($D11,SUMPRODUCT((economics!$AG$2:$AG$167=$B11)*(economics!$D$2:$D$167="whr")*economics!$AH$2:$AH$167*_xlfn.NORM.DIST(AS$3,economics!$AK$2:$AK$167,economics!$AJ$2:$AJ$167,TRUE))+$CR11*_xlfn.NORM.DIST(AS$3,$CU11,0.3*$CU11,TRUE)+$CS11*_xlfn.NORM.DIST(AS$3,$CV11,0.3*$CV11,TRUE),$CW11*_xlfn.NORM.DIST(AS$3,'energy base (MECS)'!$F$11,0.3*'energy base (MECS)'!$F$11,TRUE))</f>
        <v/>
      </c>
      <c r="AT11" s="68">
        <f t="array" ref="AT11">IF($D11,SUMPRODUCT((economics!$AG$2:$AG$167=$B11)*(economics!$D$2:$D$167="whr")*economics!$AH$2:$AH$167*_xlfn.NORM.DIST(AT$3,economics!$AK$2:$AK$167,economics!$AJ$2:$AJ$167,TRUE))+$CR11*_xlfn.NORM.DIST(AT$3,$CU11,0.3*$CU11,TRUE)+$CS11*_xlfn.NORM.DIST(AT$3,$CV11,0.3*$CV11,TRUE),$CW11*_xlfn.NORM.DIST(AT$3,'energy base (MECS)'!$F$11,0.3*'energy base (MECS)'!$F$11,TRUE))</f>
        <v/>
      </c>
      <c r="AU11" s="68">
        <f t="array" ref="AU11">IF($D11,SUMPRODUCT((economics!$AG$2:$AG$167=$B11)*(economics!$D$2:$D$167="whr")*economics!$AH$2:$AH$167*_xlfn.NORM.DIST(AU$3,economics!$AK$2:$AK$167,economics!$AJ$2:$AJ$167,TRUE))+$CR11*_xlfn.NORM.DIST(AU$3,$CU11,0.3*$CU11,TRUE)+$CS11*_xlfn.NORM.DIST(AU$3,$CV11,0.3*$CV11,TRUE),$CW11*_xlfn.NORM.DIST(AU$3,'energy base (MECS)'!$F$11,0.3*'energy base (MECS)'!$F$11,TRUE))</f>
        <v/>
      </c>
      <c r="AV11" s="68">
        <f t="array" ref="AV11">IF($D11,SUMPRODUCT((economics!$AG$2:$AG$167=$B11)*(economics!$D$2:$D$167="whr")*economics!$AH$2:$AH$167*_xlfn.NORM.DIST(AV$3,economics!$AK$2:$AK$167,economics!$AJ$2:$AJ$167,TRUE))+$CR11*_xlfn.NORM.DIST(AV$3,$CU11,0.3*$CU11,TRUE)+$CS11*_xlfn.NORM.DIST(AV$3,$CV11,0.3*$CV11,TRUE),$CW11*_xlfn.NORM.DIST(AV$3,'energy base (MECS)'!$F$11,0.3*'energy base (MECS)'!$F$11,TRUE))</f>
        <v/>
      </c>
      <c r="AW11" s="68">
        <f t="array" ref="AW11">IF($D11,SUMPRODUCT((economics!$AG$2:$AG$167=$B11)*(economics!$D$2:$D$167="whr")*economics!$AH$2:$AH$167*_xlfn.NORM.DIST(AW$3,economics!$AK$2:$AK$167,economics!$AJ$2:$AJ$167,TRUE))+$CR11*_xlfn.NORM.DIST(AW$3,$CU11,0.3*$CU11,TRUE)+$CS11*_xlfn.NORM.DIST(AW$3,$CV11,0.3*$CV11,TRUE),$CW11*_xlfn.NORM.DIST(AW$3,'energy base (MECS)'!$F$11,0.3*'energy base (MECS)'!$F$11,TRUE))</f>
        <v/>
      </c>
      <c r="AX11" s="68">
        <f t="array" ref="AX11">IF($D11,SUMPRODUCT((economics!$AG$2:$AG$167=$B11)*(economics!$D$2:$D$167="whr")*economics!$AH$2:$AH$167*_xlfn.NORM.DIST(AX$3,economics!$AK$2:$AK$167,economics!$AJ$2:$AJ$167,TRUE))+$CR11*_xlfn.NORM.DIST(AX$3,$CU11,0.3*$CU11,TRUE)+$CS11*_xlfn.NORM.DIST(AX$3,$CV11,0.3*$CV11,TRUE),$CW11*_xlfn.NORM.DIST(AX$3,'energy base (MECS)'!$F$11,0.3*'energy base (MECS)'!$F$11,TRUE))</f>
        <v/>
      </c>
      <c r="AY11" s="68">
        <f t="array" ref="AY11">IF($D11,SUMPRODUCT((economics!$AG$2:$AG$167=$B11)*(economics!$D$2:$D$167="whr")*economics!$AH$2:$AH$167*_xlfn.NORM.DIST(AY$3,economics!$AK$2:$AK$167,economics!$AJ$2:$AJ$167,TRUE))+$CR11*_xlfn.NORM.DIST(AY$3,$CU11,0.3*$CU11,TRUE)+$CS11*_xlfn.NORM.DIST(AY$3,$CV11,0.3*$CV11,TRUE),$CW11*_xlfn.NORM.DIST(AY$3,'energy base (MECS)'!$F$11,0.3*'energy base (MECS)'!$F$11,TRUE))</f>
        <v/>
      </c>
      <c r="AZ11" s="68">
        <f t="array" ref="AZ11">IF($D11,SUMPRODUCT((economics!$AG$2:$AG$167=$B11)*(economics!$D$2:$D$167="whr")*economics!$AH$2:$AH$167*_xlfn.NORM.DIST(AZ$3,economics!$AK$2:$AK$167,economics!$AJ$2:$AJ$167,TRUE))+$CR11*_xlfn.NORM.DIST(AZ$3,$CU11,0.3*$CU11,TRUE)+$CS11*_xlfn.NORM.DIST(AZ$3,$CV11,0.3*$CV11,TRUE),$CW11*_xlfn.NORM.DIST(AZ$3,'energy base (MECS)'!$F$11,0.3*'energy base (MECS)'!$F$11,TRUE))</f>
        <v/>
      </c>
      <c r="BA11" s="68">
        <f t="array" ref="BA11">IF($D11,SUMPRODUCT((economics!$AG$2:$AG$167=$B11)*(economics!$D$2:$D$167="whr")*economics!$AH$2:$AH$167*_xlfn.NORM.DIST(BA$3,economics!$AK$2:$AK$167,economics!$AJ$2:$AJ$167,TRUE))+$CR11*_xlfn.NORM.DIST(BA$3,$CU11,0.3*$CU11,TRUE)+$CS11*_xlfn.NORM.DIST(BA$3,$CV11,0.3*$CV11,TRUE),$CW11*_xlfn.NORM.DIST(BA$3,'energy base (MECS)'!$F$11,0.3*'energy base (MECS)'!$F$11,TRUE))</f>
        <v/>
      </c>
      <c r="BB11" s="68">
        <f t="array" ref="BB11">IF($D11,SUMPRODUCT((economics!$AG$2:$AG$167=$B11)*(economics!$D$2:$D$167="whr")*economics!$AH$2:$AH$167*_xlfn.NORM.DIST(BB$3,economics!$AK$2:$AK$167,economics!$AJ$2:$AJ$167,TRUE))+$CR11*_xlfn.NORM.DIST(BB$3,$CU11,0.3*$CU11,TRUE)+$CS11*_xlfn.NORM.DIST(BB$3,$CV11,0.3*$CV11,TRUE),$CW11*_xlfn.NORM.DIST(BB$3,'energy base (MECS)'!$F$11,0.3*'energy base (MECS)'!$F$11,TRUE))</f>
        <v/>
      </c>
      <c r="BC11" s="68">
        <f t="array" ref="BC11">IF($D11,SUMPRODUCT((economics!$AG$2:$AG$167=$B11)*(economics!$D$2:$D$167="whr")*economics!$AH$2:$AH$167*_xlfn.NORM.DIST(BC$3,economics!$AK$2:$AK$167,economics!$AJ$2:$AJ$167,TRUE))+$CR11*_xlfn.NORM.DIST(BC$3,$CU11,0.3*$CU11,TRUE)+$CS11*_xlfn.NORM.DIST(BC$3,$CV11,0.3*$CV11,TRUE),$CW11*_xlfn.NORM.DIST(BC$3,'energy base (MECS)'!$F$11,0.3*'energy base (MECS)'!$F$11,TRUE))</f>
        <v/>
      </c>
      <c r="BD11" s="68">
        <f t="array" ref="BD11">IF($D11,SUMPRODUCT((economics!$AG$2:$AG$167=$B11)*(economics!$D$2:$D$167="whr")*economics!$AH$2:$AH$167*_xlfn.NORM.DIST(BD$3,economics!$AK$2:$AK$167,economics!$AJ$2:$AJ$167,TRUE))+$CR11*_xlfn.NORM.DIST(BD$3,$CU11,0.3*$CU11,TRUE)+$CS11*_xlfn.NORM.DIST(BD$3,$CV11,0.3*$CV11,TRUE),$CW11*_xlfn.NORM.DIST(BD$3,'energy base (MECS)'!$F$11,0.3*'energy base (MECS)'!$F$11,TRUE))</f>
        <v/>
      </c>
      <c r="BE11" s="68">
        <f t="array" ref="BE11">IF($D11,SUMPRODUCT((economics!$AG$2:$AG$167=$B11)*(economics!$D$2:$D$167="whr")*economics!$AH$2:$AH$167*_xlfn.NORM.DIST(BE$3,economics!$AK$2:$AK$167,economics!$AJ$2:$AJ$167,TRUE))+$CR11*_xlfn.NORM.DIST(BE$3,$CU11,0.3*$CU11,TRUE)+$CS11*_xlfn.NORM.DIST(BE$3,$CV11,0.3*$CV11,TRUE),$CW11*_xlfn.NORM.DIST(BE$3,'energy base (MECS)'!$F$11,0.3*'energy base (MECS)'!$F$11,TRUE))</f>
        <v/>
      </c>
      <c r="BF11" s="68">
        <f t="array" ref="BF11">IF($D11,SUMPRODUCT((economics!$AG$2:$AG$167=$B11)*(economics!$D$2:$D$167="whr")*economics!$AH$2:$AH$167*_xlfn.NORM.DIST(BF$3,economics!$AK$2:$AK$167,economics!$AJ$2:$AJ$167,TRUE))+$CR11*_xlfn.NORM.DIST(BF$3,$CU11,0.3*$CU11,TRUE)+$CS11*_xlfn.NORM.DIST(BF$3,$CV11,0.3*$CV11,TRUE),$CW11*_xlfn.NORM.DIST(BF$3,'energy base (MECS)'!$F$11,0.3*'energy base (MECS)'!$F$11,TRUE))</f>
        <v/>
      </c>
      <c r="BG11" s="68">
        <f t="array" ref="BG11">IF($D11,SUMPRODUCT((economics!$AG$2:$AG$167=$B11)*(economics!$D$2:$D$167="whr")*economics!$AH$2:$AH$167*_xlfn.NORM.DIST(BG$3,economics!$AK$2:$AK$167,economics!$AJ$2:$AJ$167,TRUE))+$CR11*_xlfn.NORM.DIST(BG$3,$CU11,0.3*$CU11,TRUE)+$CS11*_xlfn.NORM.DIST(BG$3,$CV11,0.3*$CV11,TRUE),$CW11*_xlfn.NORM.DIST(BG$3,'energy base (MECS)'!$F$11,0.3*'energy base (MECS)'!$F$11,TRUE))</f>
        <v/>
      </c>
      <c r="BH11" s="68">
        <f t="array" ref="BH11">IF($D11,SUMPRODUCT((economics!$AG$2:$AG$167=$B11)*(economics!$D$2:$D$167="whr")*economics!$AH$2:$AH$167*_xlfn.NORM.DIST(BH$3,economics!$AK$2:$AK$167,economics!$AJ$2:$AJ$167,TRUE))+$CR11*_xlfn.NORM.DIST(BH$3,$CU11,0.3*$CU11,TRUE)+$CS11*_xlfn.NORM.DIST(BH$3,$CV11,0.3*$CV11,TRUE),$CW11*_xlfn.NORM.DIST(BH$3,'energy base (MECS)'!$F$11,0.3*'energy base (MECS)'!$F$11,TRUE))</f>
        <v/>
      </c>
      <c r="BI11" s="68">
        <f t="array" ref="BI11">IF($D11,SUMPRODUCT((economics!$AG$2:$AG$167=$B11)*(economics!$D$2:$D$167="whr")*economics!$AH$2:$AH$167*_xlfn.NORM.DIST(BI$3,economics!$AK$2:$AK$167,economics!$AJ$2:$AJ$167,TRUE))+$CR11*_xlfn.NORM.DIST(BI$3,$CU11,0.3*$CU11,TRUE)+$CS11*_xlfn.NORM.DIST(BI$3,$CV11,0.3*$CV11,TRUE),$CW11*_xlfn.NORM.DIST(BI$3,'energy base (MECS)'!$F$11,0.3*'energy base (MECS)'!$F$11,TRUE))</f>
        <v/>
      </c>
      <c r="BJ11" s="68">
        <f t="array" ref="BJ11">IF($D11,SUMPRODUCT((economics!$AG$2:$AG$167=$B11)*(economics!$D$2:$D$167="whr")*economics!$AH$2:$AH$167*_xlfn.NORM.DIST(BJ$3,economics!$AK$2:$AK$167,economics!$AJ$2:$AJ$167,TRUE))+$CR11*_xlfn.NORM.DIST(BJ$3,$CU11,0.3*$CU11,TRUE)+$CS11*_xlfn.NORM.DIST(BJ$3,$CV11,0.3*$CV11,TRUE),$CW11*_xlfn.NORM.DIST(BJ$3,'energy base (MECS)'!$F$11,0.3*'energy base (MECS)'!$F$11,TRUE))</f>
        <v/>
      </c>
      <c r="BK11" s="68">
        <f t="array" ref="BK11">IF($D11,SUMPRODUCT((economics!$AG$2:$AG$167=$B11)*(economics!$D$2:$D$167="whr")*economics!$AH$2:$AH$167*_xlfn.NORM.DIST(BK$3,economics!$AK$2:$AK$167,economics!$AJ$2:$AJ$167,TRUE))+$CR11*_xlfn.NORM.DIST(BK$3,$CU11,0.3*$CU11,TRUE)+$CS11*_xlfn.NORM.DIST(BK$3,$CV11,0.3*$CV11,TRUE),$CW11*_xlfn.NORM.DIST(BK$3,'energy base (MECS)'!$F$11,0.3*'energy base (MECS)'!$F$11,TRUE))</f>
        <v/>
      </c>
      <c r="BL11" s="68">
        <f t="array" ref="BL11">IF($D11,SUMPRODUCT((economics!$AG$2:$AG$167=$B11)*(economics!$D$2:$D$167="whr")*economics!$AH$2:$AH$167*_xlfn.NORM.DIST(BL$3,economics!$AK$2:$AK$167,economics!$AJ$2:$AJ$167,TRUE))+$CR11*_xlfn.NORM.DIST(BL$3,$CU11,0.3*$CU11,TRUE)+$CS11*_xlfn.NORM.DIST(BL$3,$CV11,0.3*$CV11,TRUE),$CW11*_xlfn.NORM.DIST(BL$3,'energy base (MECS)'!$F$11,0.3*'energy base (MECS)'!$F$11,TRUE))</f>
        <v/>
      </c>
      <c r="BM11" s="68">
        <f t="array" ref="BM11">IF($D11,SUMPRODUCT((economics!$AG$2:$AG$167=$B11)*(economics!$D$2:$D$167="whr")*economics!$AH$2:$AH$167*_xlfn.NORM.DIST(BM$3,economics!$AK$2:$AK$167,economics!$AJ$2:$AJ$167,TRUE))+$CR11*_xlfn.NORM.DIST(BM$3,$CU11,0.3*$CU11,TRUE)+$CS11*_xlfn.NORM.DIST(BM$3,$CV11,0.3*$CV11,TRUE),$CW11*_xlfn.NORM.DIST(BM$3,'energy base (MECS)'!$F$11,0.3*'energy base (MECS)'!$F$11,TRUE))</f>
        <v/>
      </c>
      <c r="BN11" s="68">
        <f t="array" ref="BN11">IF($D11,SUMPRODUCT((economics!$AG$2:$AG$167=$B11)*(economics!$D$2:$D$167="whr")*economics!$AH$2:$AH$167*_xlfn.NORM.DIST(BN$3,economics!$AK$2:$AK$167,economics!$AJ$2:$AJ$167,TRUE))+$CR11*_xlfn.NORM.DIST(BN$3,$CU11,0.3*$CU11,TRUE)+$CS11*_xlfn.NORM.DIST(BN$3,$CV11,0.3*$CV11,TRUE),$CW11*_xlfn.NORM.DIST(BN$3,'energy base (MECS)'!$F$11,0.3*'energy base (MECS)'!$F$11,TRUE))</f>
        <v/>
      </c>
      <c r="BO11" s="68">
        <f t="array" ref="BO11">IF($D11,SUMPRODUCT((economics!$AG$2:$AG$167=$B11)*(economics!$D$2:$D$167="whr")*economics!$AH$2:$AH$167*_xlfn.NORM.DIST(BO$3,economics!$AK$2:$AK$167,economics!$AJ$2:$AJ$167,TRUE))+$CR11*_xlfn.NORM.DIST(BO$3,$CU11,0.3*$CU11,TRUE)+$CS11*_xlfn.NORM.DIST(BO$3,$CV11,0.3*$CV11,TRUE),$CW11*_xlfn.NORM.DIST(BO$3,'energy base (MECS)'!$F$11,0.3*'energy base (MECS)'!$F$11,TRUE))</f>
        <v/>
      </c>
      <c r="BP11" s="68">
        <f t="array" ref="BP11">IF($D11,SUMPRODUCT((economics!$AG$2:$AG$167=$B11)*(economics!$D$2:$D$167="whr")*economics!$AH$2:$AH$167*_xlfn.NORM.DIST(BP$3,economics!$AK$2:$AK$167,economics!$AJ$2:$AJ$167,TRUE))+$CR11*_xlfn.NORM.DIST(BP$3,$CU11,0.3*$CU11,TRUE)+$CS11*_xlfn.NORM.DIST(BP$3,$CV11,0.3*$CV11,TRUE),$CW11*_xlfn.NORM.DIST(BP$3,'energy base (MECS)'!$F$11,0.3*'energy base (MECS)'!$F$11,TRUE))</f>
        <v/>
      </c>
      <c r="BQ11" s="68">
        <f t="array" ref="BQ11">IF($D11,SUMPRODUCT((economics!$AG$2:$AG$167=$B11)*(economics!$D$2:$D$167="whr")*economics!$AH$2:$AH$167*_xlfn.NORM.DIST(BQ$3,economics!$AK$2:$AK$167,economics!$AJ$2:$AJ$167,TRUE))+$CR11*_xlfn.NORM.DIST(BQ$3,$CU11,0.3*$CU11,TRUE)+$CS11*_xlfn.NORM.DIST(BQ$3,$CV11,0.3*$CV11,TRUE),$CW11*_xlfn.NORM.DIST(BQ$3,'energy base (MECS)'!$F$11,0.3*'energy base (MECS)'!$F$11,TRUE))</f>
        <v/>
      </c>
      <c r="BR11" s="68">
        <f t="array" ref="BR11">IF($D11,SUMPRODUCT((economics!$AG$2:$AG$167=$B11)*(economics!$D$2:$D$167="whr")*economics!$AH$2:$AH$167*_xlfn.NORM.DIST(BR$3,economics!$AK$2:$AK$167,economics!$AJ$2:$AJ$167,TRUE))+$CR11*_xlfn.NORM.DIST(BR$3,$CU11,0.3*$CU11,TRUE)+$CS11*_xlfn.NORM.DIST(BR$3,$CV11,0.3*$CV11,TRUE),$CW11*_xlfn.NORM.DIST(BR$3,'energy base (MECS)'!$F$11,0.3*'energy base (MECS)'!$F$11,TRUE))</f>
        <v/>
      </c>
      <c r="BS11" s="68">
        <f t="array" ref="BS11">IF($D11,SUMPRODUCT((economics!$AG$2:$AG$167=$B11)*(economics!$D$2:$D$167="whr")*economics!$AH$2:$AH$167*_xlfn.NORM.DIST(BS$3,economics!$AK$2:$AK$167,economics!$AJ$2:$AJ$167,TRUE))+$CR11*_xlfn.NORM.DIST(BS$3,$CU11,0.3*$CU11,TRUE)+$CS11*_xlfn.NORM.DIST(BS$3,$CV11,0.3*$CV11,TRUE),$CW11*_xlfn.NORM.DIST(BS$3,'energy base (MECS)'!$F$11,0.3*'energy base (MECS)'!$F$11,TRUE))</f>
        <v/>
      </c>
      <c r="BT11" s="68">
        <f t="array" ref="BT11">IF($D11,SUMPRODUCT((economics!$AG$2:$AG$167=$B11)*(economics!$D$2:$D$167="whr")*economics!$AH$2:$AH$167*_xlfn.NORM.DIST(BT$3,economics!$AK$2:$AK$167,economics!$AJ$2:$AJ$167,TRUE))+$CR11*_xlfn.NORM.DIST(BT$3,$CU11,0.3*$CU11,TRUE)+$CS11*_xlfn.NORM.DIST(BT$3,$CV11,0.3*$CV11,TRUE),$CW11*_xlfn.NORM.DIST(BT$3,'energy base (MECS)'!$F$11,0.3*'energy base (MECS)'!$F$11,TRUE))</f>
        <v/>
      </c>
      <c r="BU11" s="68">
        <f t="array" ref="BU11">IF($D11,SUMPRODUCT((economics!$AG$2:$AG$167=$B11)*(economics!$D$2:$D$167="whr")*economics!$AH$2:$AH$167*_xlfn.NORM.DIST(BU$3,economics!$AK$2:$AK$167,economics!$AJ$2:$AJ$167,TRUE))+$CR11*_xlfn.NORM.DIST(BU$3,$CU11,0.3*$CU11,TRUE)+$CS11*_xlfn.NORM.DIST(BU$3,$CV11,0.3*$CV11,TRUE),$CW11*_xlfn.NORM.DIST(BU$3,'energy base (MECS)'!$F$11,0.3*'energy base (MECS)'!$F$11,TRUE))</f>
        <v/>
      </c>
      <c r="BV11" s="68">
        <f t="array" ref="BV11">IF($D11,SUMPRODUCT((economics!$AG$2:$AG$167=$B11)*(economics!$D$2:$D$167="whr")*economics!$AH$2:$AH$167*_xlfn.NORM.DIST(BV$3,economics!$AK$2:$AK$167,economics!$AJ$2:$AJ$167,TRUE))+$CR11*_xlfn.NORM.DIST(BV$3,$CU11,0.3*$CU11,TRUE)+$CS11*_xlfn.NORM.DIST(BV$3,$CV11,0.3*$CV11,TRUE),$CW11*_xlfn.NORM.DIST(BV$3,'energy base (MECS)'!$F$11,0.3*'energy base (MECS)'!$F$11,TRUE))</f>
        <v/>
      </c>
      <c r="BW11" s="68">
        <f t="array" ref="BW11">IF($D11,SUMPRODUCT((economics!$AG$2:$AG$167=$B11)*(economics!$D$2:$D$167="whr")*economics!$AH$2:$AH$167*_xlfn.NORM.DIST(BW$3,economics!$AK$2:$AK$167,economics!$AJ$2:$AJ$167,TRUE))+$CR11*_xlfn.NORM.DIST(BW$3,$CU11,0.3*$CU11,TRUE)+$CS11*_xlfn.NORM.DIST(BW$3,$CV11,0.3*$CV11,TRUE),$CW11*_xlfn.NORM.DIST(BW$3,'energy base (MECS)'!$F$11,0.3*'energy base (MECS)'!$F$11,TRUE))</f>
        <v/>
      </c>
      <c r="BX11" s="68">
        <f t="array" ref="BX11">IF($D11,SUMPRODUCT((economics!$AG$2:$AG$167=$B11)*(economics!$D$2:$D$167="whr")*economics!$AH$2:$AH$167*_xlfn.NORM.DIST(BX$3,economics!$AK$2:$AK$167,economics!$AJ$2:$AJ$167,TRUE))+$CR11*_xlfn.NORM.DIST(BX$3,$CU11,0.3*$CU11,TRUE)+$CS11*_xlfn.NORM.DIST(BX$3,$CV11,0.3*$CV11,TRUE),$CW11*_xlfn.NORM.DIST(BX$3,'energy base (MECS)'!$F$11,0.3*'energy base (MECS)'!$F$11,TRUE))</f>
        <v/>
      </c>
      <c r="BY11" s="68">
        <f t="array" ref="BY11">IF($D11,SUMPRODUCT((economics!$AG$2:$AG$167=$B11)*(economics!$D$2:$D$167="whr")*economics!$AH$2:$AH$167*_xlfn.NORM.DIST(BY$3,economics!$AK$2:$AK$167,economics!$AJ$2:$AJ$167,TRUE))+$CR11*_xlfn.NORM.DIST(BY$3,$CU11,0.3*$CU11,TRUE)+$CS11*_xlfn.NORM.DIST(BY$3,$CV11,0.3*$CV11,TRUE),$CW11*_xlfn.NORM.DIST(BY$3,'energy base (MECS)'!$F$11,0.3*'energy base (MECS)'!$F$11,TRUE))</f>
        <v/>
      </c>
      <c r="BZ11" s="68">
        <f t="array" ref="BZ11">IF($D11,SUMPRODUCT((economics!$AG$2:$AG$167=$B11)*(economics!$D$2:$D$167="whr")*economics!$AH$2:$AH$167*_xlfn.NORM.DIST(BZ$3,economics!$AK$2:$AK$167,economics!$AJ$2:$AJ$167,TRUE))+$CR11*_xlfn.NORM.DIST(BZ$3,$CU11,0.3*$CU11,TRUE)+$CS11*_xlfn.NORM.DIST(BZ$3,$CV11,0.3*$CV11,TRUE),$CW11*_xlfn.NORM.DIST(BZ$3,'energy base (MECS)'!$F$11,0.3*'energy base (MECS)'!$F$11,TRUE))</f>
        <v/>
      </c>
      <c r="CA11" s="68">
        <f t="array" ref="CA11">IF($D11,SUMPRODUCT((economics!$AG$2:$AG$167=$B11)*(economics!$D$2:$D$167="whr")*economics!$AH$2:$AH$167*_xlfn.NORM.DIST(CA$3,economics!$AK$2:$AK$167,economics!$AJ$2:$AJ$167,TRUE))+$CR11*_xlfn.NORM.DIST(CA$3,$CU11,0.3*$CU11,TRUE)+$CS11*_xlfn.NORM.DIST(CA$3,$CV11,0.3*$CV11,TRUE),$CW11*_xlfn.NORM.DIST(CA$3,'energy base (MECS)'!$F$11,0.3*'energy base (MECS)'!$F$11,TRUE))</f>
        <v/>
      </c>
      <c r="CB11" s="68">
        <f t="array" ref="CB11">IF($D11,SUMPRODUCT((economics!$AG$2:$AG$167=$B11)*(economics!$D$2:$D$167="whr")*economics!$AH$2:$AH$167*_xlfn.NORM.DIST(CB$3,economics!$AK$2:$AK$167,economics!$AJ$2:$AJ$167,TRUE))+$CR11*_xlfn.NORM.DIST(CB$3,$CU11,0.3*$CU11,TRUE)+$CS11*_xlfn.NORM.DIST(CB$3,$CV11,0.3*$CV11,TRUE),$CW11*_xlfn.NORM.DIST(CB$3,'energy base (MECS)'!$F$11,0.3*'energy base (MECS)'!$F$11,TRUE))</f>
        <v/>
      </c>
      <c r="CC11" s="68">
        <f t="array" ref="CC11">IF($D11,SUMPRODUCT((economics!$AG$2:$AG$167=$B11)*(economics!$D$2:$D$167="whr")*economics!$AH$2:$AH$167*_xlfn.NORM.DIST(CC$3,economics!$AK$2:$AK$167,economics!$AJ$2:$AJ$167,TRUE))+$CR11*_xlfn.NORM.DIST(CC$3,$CU11,0.3*$CU11,TRUE)+$CS11*_xlfn.NORM.DIST(CC$3,$CV11,0.3*$CV11,TRUE),$CW11*_xlfn.NORM.DIST(CC$3,'energy base (MECS)'!$F$11,0.3*'energy base (MECS)'!$F$11,TRUE))</f>
        <v/>
      </c>
      <c r="CD11" s="68">
        <f t="array" ref="CD11">IF($D11,SUMPRODUCT((economics!$AG$2:$AG$167=$B11)*(economics!$D$2:$D$167="whr")*economics!$AH$2:$AH$167*_xlfn.NORM.DIST(CD$3,economics!$AK$2:$AK$167,economics!$AJ$2:$AJ$167,TRUE))+$CR11*_xlfn.NORM.DIST(CD$3,$CU11,0.3*$CU11,TRUE)+$CS11*_xlfn.NORM.DIST(CD$3,$CV11,0.3*$CV11,TRUE),$CW11*_xlfn.NORM.DIST(CD$3,'energy base (MECS)'!$F$11,0.3*'energy base (MECS)'!$F$11,TRUE))</f>
        <v/>
      </c>
      <c r="CE11" s="68">
        <f t="array" ref="CE11">IF($D11,SUMPRODUCT((economics!$AG$2:$AG$167=$B11)*(economics!$D$2:$D$167="whr")*economics!$AH$2:$AH$167*_xlfn.NORM.DIST(CE$3,economics!$AK$2:$AK$167,economics!$AJ$2:$AJ$167,TRUE))+$CR11*_xlfn.NORM.DIST(CE$3,$CU11,0.3*$CU11,TRUE)+$CS11*_xlfn.NORM.DIST(CE$3,$CV11,0.3*$CV11,TRUE),$CW11*_xlfn.NORM.DIST(CE$3,'energy base (MECS)'!$F$11,0.3*'energy base (MECS)'!$F$11,TRUE))</f>
        <v/>
      </c>
      <c r="CF11" s="68">
        <f t="array" ref="CF11">IF($D11,SUMPRODUCT((economics!$AG$2:$AG$167=$B11)*(economics!$D$2:$D$167="whr")*economics!$AH$2:$AH$167*_xlfn.NORM.DIST(CF$3,economics!$AK$2:$AK$167,economics!$AJ$2:$AJ$167,TRUE))+$CR11*_xlfn.NORM.DIST(CF$3,$CU11,0.3*$CU11,TRUE)+$CS11*_xlfn.NORM.DIST(CF$3,$CV11,0.3*$CV11,TRUE),$CW11*_xlfn.NORM.DIST(CF$3,'energy base (MECS)'!$F$11,0.3*'energy base (MECS)'!$F$11,TRUE))</f>
        <v/>
      </c>
      <c r="CG11" s="68">
        <f t="array" ref="CG11">IF($D11,SUMPRODUCT((economics!$AG$2:$AG$167=$B11)*(economics!$D$2:$D$167="whr")*economics!$AH$2:$AH$167*_xlfn.NORM.DIST(CG$3,economics!$AK$2:$AK$167,economics!$AJ$2:$AJ$167,TRUE))+$CR11*_xlfn.NORM.DIST(CG$3,$CU11,0.3*$CU11,TRUE)+$CS11*_xlfn.NORM.DIST(CG$3,$CV11,0.3*$CV11,TRUE),$CW11*_xlfn.NORM.DIST(CG$3,'energy base (MECS)'!$F$11,0.3*'energy base (MECS)'!$F$11,TRUE))</f>
        <v/>
      </c>
      <c r="CH11" s="68">
        <f t="array" ref="CH11">IF($D11,SUMPRODUCT((economics!$AG$2:$AG$167=$B11)*(economics!$D$2:$D$167="whr")*economics!$AH$2:$AH$167*_xlfn.NORM.DIST(CH$3,economics!$AK$2:$AK$167,economics!$AJ$2:$AJ$167,TRUE))+$CR11*_xlfn.NORM.DIST(CH$3,$CU11,0.3*$CU11,TRUE)+$CS11*_xlfn.NORM.DIST(CH$3,$CV11,0.3*$CV11,TRUE),$CW11*_xlfn.NORM.DIST(CH$3,'energy base (MECS)'!$F$11,0.3*'energy base (MECS)'!$F$11,TRUE))</f>
        <v/>
      </c>
      <c r="CJ11">
        <f t="array" ref="CJ11">SUMPRODUCT((economics!$AG$2:$AG$167=$B11)*(economics!$D$2:$D$167="whr")*economics!$AH$2:$AH$167)</f>
        <v/>
      </c>
      <c r="CK11" s="80">
        <f>'indst heat consumption'!D11</f>
        <v/>
      </c>
      <c r="CL11" s="80">
        <f>'indst heat consumption'!E11</f>
        <v/>
      </c>
      <c r="CM11" s="80">
        <f>'indst heat consumption'!F11</f>
        <v/>
      </c>
      <c r="CN11" s="80">
        <f>'indst heat consumption'!G11</f>
        <v/>
      </c>
      <c r="CO11" s="80">
        <f>'indst heat consumption'!H11</f>
        <v/>
      </c>
      <c r="CP11">
        <f>$C11*(CK11*summary!$B$94+CL11*summary!$C$94+CM11*summary!$D$94)</f>
        <v/>
      </c>
      <c r="CQ11">
        <f>$C11*(CN11*summary!$E$94+CO11*summary!$F$94)</f>
        <v/>
      </c>
      <c r="CR11">
        <f>IF(CP11+CQ11&gt;0,CP11*MAX(0,CP11+CQ11-CJ11)/(CP11+CQ11),0)</f>
        <v/>
      </c>
      <c r="CS11">
        <f>IF(CP11+CQ11&gt;0,CQ11*MAX(0,CP11+CQ11-CJ11)/(CP11+CQ11),0)</f>
        <v/>
      </c>
      <c r="CT11">
        <f>IFERROR(_xlfn.XLOOKUP($B11,'BCoISC-WACCbI'!$C$2:$C$26,'BCoISC-WACCbI'!$B$2:$B$26)+economics!$AE$4,0.1)</f>
        <v/>
      </c>
      <c r="CU11">
        <f>(summary!$C$7*(CT11/(1-(1+CT11)^-summary!$D$7))+summary!$C$7*summary!$E$7)/(summary!$F$7*3412/1000000)</f>
        <v/>
      </c>
      <c r="CV11">
        <f>(summary!$C$6*(CT11/(1-(1+CT11)^-summary!$D$6))+summary!$C$6*summary!$E$6)/(summary!$F$6*3412/1000000)</f>
        <v/>
      </c>
      <c r="CW11">
        <f>CR11+CS11</f>
        <v/>
      </c>
    </row>
    <row r="12">
      <c r="A12">
        <f>WHRPbI!A10</f>
        <v/>
      </c>
      <c r="B12" t="n">
        <v>19</v>
      </c>
      <c r="C12" s="68">
        <f>WHRPbI!B10</f>
        <v/>
      </c>
      <c r="D12">
        <f>ISNUMBER(MATCH($B12,'energy base (MECS)'!$K$4:$K$9,0))</f>
        <v/>
      </c>
      <c r="E12" s="68">
        <f t="array" ref="E12">IF($D12,SUMPRODUCT((economics!$AG$2:$AG$167=$B12)*(economics!$D$2:$D$167="whr")*economics!$AH$2:$AH$167*_xlfn.NORM.DIST(E$3,economics!$AK$2:$AK$167,economics!$AJ$2:$AJ$167,TRUE))+$CR12*_xlfn.NORM.DIST(E$3,$CU12,0.3*$CU12,TRUE)+$CS12*_xlfn.NORM.DIST(E$3,$CV12,0.3*$CV12,TRUE),$CW12*_xlfn.NORM.DIST(E$3,'energy base (MECS)'!$F$11,0.3*'energy base (MECS)'!$F$11,TRUE))</f>
        <v/>
      </c>
      <c r="F12" s="68">
        <f t="array" ref="F12">IF($D12,SUMPRODUCT((economics!$AG$2:$AG$167=$B12)*(economics!$D$2:$D$167="whr")*economics!$AH$2:$AH$167*_xlfn.NORM.DIST(F$3,economics!$AK$2:$AK$167,economics!$AJ$2:$AJ$167,TRUE))+$CR12*_xlfn.NORM.DIST(F$3,$CU12,0.3*$CU12,TRUE)+$CS12*_xlfn.NORM.DIST(F$3,$CV12,0.3*$CV12,TRUE),$CW12*_xlfn.NORM.DIST(F$3,'energy base (MECS)'!$F$11,0.3*'energy base (MECS)'!$F$11,TRUE))</f>
        <v/>
      </c>
      <c r="G12" s="68">
        <f t="array" ref="G12">IF($D12,SUMPRODUCT((economics!$AG$2:$AG$167=$B12)*(economics!$D$2:$D$167="whr")*economics!$AH$2:$AH$167*_xlfn.NORM.DIST(G$3,economics!$AK$2:$AK$167,economics!$AJ$2:$AJ$167,TRUE))+$CR12*_xlfn.NORM.DIST(G$3,$CU12,0.3*$CU12,TRUE)+$CS12*_xlfn.NORM.DIST(G$3,$CV12,0.3*$CV12,TRUE),$CW12*_xlfn.NORM.DIST(G$3,'energy base (MECS)'!$F$11,0.3*'energy base (MECS)'!$F$11,TRUE))</f>
        <v/>
      </c>
      <c r="H12" s="68">
        <f t="array" ref="H12">IF($D12,SUMPRODUCT((economics!$AG$2:$AG$167=$B12)*(economics!$D$2:$D$167="whr")*economics!$AH$2:$AH$167*_xlfn.NORM.DIST(H$3,economics!$AK$2:$AK$167,economics!$AJ$2:$AJ$167,TRUE))+$CR12*_xlfn.NORM.DIST(H$3,$CU12,0.3*$CU12,TRUE)+$CS12*_xlfn.NORM.DIST(H$3,$CV12,0.3*$CV12,TRUE),$CW12*_xlfn.NORM.DIST(H$3,'energy base (MECS)'!$F$11,0.3*'energy base (MECS)'!$F$11,TRUE))</f>
        <v/>
      </c>
      <c r="I12" s="68">
        <f t="array" ref="I12">IF($D12,SUMPRODUCT((economics!$AG$2:$AG$167=$B12)*(economics!$D$2:$D$167="whr")*economics!$AH$2:$AH$167*_xlfn.NORM.DIST(I$3,economics!$AK$2:$AK$167,economics!$AJ$2:$AJ$167,TRUE))+$CR12*_xlfn.NORM.DIST(I$3,$CU12,0.3*$CU12,TRUE)+$CS12*_xlfn.NORM.DIST(I$3,$CV12,0.3*$CV12,TRUE),$CW12*_xlfn.NORM.DIST(I$3,'energy base (MECS)'!$F$11,0.3*'energy base (MECS)'!$F$11,TRUE))</f>
        <v/>
      </c>
      <c r="J12" s="68">
        <f t="array" ref="J12">IF($D12,SUMPRODUCT((economics!$AG$2:$AG$167=$B12)*(economics!$D$2:$D$167="whr")*economics!$AH$2:$AH$167*_xlfn.NORM.DIST(J$3,economics!$AK$2:$AK$167,economics!$AJ$2:$AJ$167,TRUE))+$CR12*_xlfn.NORM.DIST(J$3,$CU12,0.3*$CU12,TRUE)+$CS12*_xlfn.NORM.DIST(J$3,$CV12,0.3*$CV12,TRUE),$CW12*_xlfn.NORM.DIST(J$3,'energy base (MECS)'!$F$11,0.3*'energy base (MECS)'!$F$11,TRUE))</f>
        <v/>
      </c>
      <c r="K12" s="68">
        <f t="array" ref="K12">IF($D12,SUMPRODUCT((economics!$AG$2:$AG$167=$B12)*(economics!$D$2:$D$167="whr")*economics!$AH$2:$AH$167*_xlfn.NORM.DIST(K$3,economics!$AK$2:$AK$167,economics!$AJ$2:$AJ$167,TRUE))+$CR12*_xlfn.NORM.DIST(K$3,$CU12,0.3*$CU12,TRUE)+$CS12*_xlfn.NORM.DIST(K$3,$CV12,0.3*$CV12,TRUE),$CW12*_xlfn.NORM.DIST(K$3,'energy base (MECS)'!$F$11,0.3*'energy base (MECS)'!$F$11,TRUE))</f>
        <v/>
      </c>
      <c r="L12" s="68">
        <f t="array" ref="L12">IF($D12,SUMPRODUCT((economics!$AG$2:$AG$167=$B12)*(economics!$D$2:$D$167="whr")*economics!$AH$2:$AH$167*_xlfn.NORM.DIST(L$3,economics!$AK$2:$AK$167,economics!$AJ$2:$AJ$167,TRUE))+$CR12*_xlfn.NORM.DIST(L$3,$CU12,0.3*$CU12,TRUE)+$CS12*_xlfn.NORM.DIST(L$3,$CV12,0.3*$CV12,TRUE),$CW12*_xlfn.NORM.DIST(L$3,'energy base (MECS)'!$F$11,0.3*'energy base (MECS)'!$F$11,TRUE))</f>
        <v/>
      </c>
      <c r="M12" s="68">
        <f t="array" ref="M12">IF($D12,SUMPRODUCT((economics!$AG$2:$AG$167=$B12)*(economics!$D$2:$D$167="whr")*economics!$AH$2:$AH$167*_xlfn.NORM.DIST(M$3,economics!$AK$2:$AK$167,economics!$AJ$2:$AJ$167,TRUE))+$CR12*_xlfn.NORM.DIST(M$3,$CU12,0.3*$CU12,TRUE)+$CS12*_xlfn.NORM.DIST(M$3,$CV12,0.3*$CV12,TRUE),$CW12*_xlfn.NORM.DIST(M$3,'energy base (MECS)'!$F$11,0.3*'energy base (MECS)'!$F$11,TRUE))</f>
        <v/>
      </c>
      <c r="N12" s="68">
        <f t="array" ref="N12">IF($D12,SUMPRODUCT((economics!$AG$2:$AG$167=$B12)*(economics!$D$2:$D$167="whr")*economics!$AH$2:$AH$167*_xlfn.NORM.DIST(N$3,economics!$AK$2:$AK$167,economics!$AJ$2:$AJ$167,TRUE))+$CR12*_xlfn.NORM.DIST(N$3,$CU12,0.3*$CU12,TRUE)+$CS12*_xlfn.NORM.DIST(N$3,$CV12,0.3*$CV12,TRUE),$CW12*_xlfn.NORM.DIST(N$3,'energy base (MECS)'!$F$11,0.3*'energy base (MECS)'!$F$11,TRUE))</f>
        <v/>
      </c>
      <c r="O12" s="68">
        <f t="array" ref="O12">IF($D12,SUMPRODUCT((economics!$AG$2:$AG$167=$B12)*(economics!$D$2:$D$167="whr")*economics!$AH$2:$AH$167*_xlfn.NORM.DIST(O$3,economics!$AK$2:$AK$167,economics!$AJ$2:$AJ$167,TRUE))+$CR12*_xlfn.NORM.DIST(O$3,$CU12,0.3*$CU12,TRUE)+$CS12*_xlfn.NORM.DIST(O$3,$CV12,0.3*$CV12,TRUE),$CW12*_xlfn.NORM.DIST(O$3,'energy base (MECS)'!$F$11,0.3*'energy base (MECS)'!$F$11,TRUE))</f>
        <v/>
      </c>
      <c r="P12" s="68">
        <f t="array" ref="P12">IF($D12,SUMPRODUCT((economics!$AG$2:$AG$167=$B12)*(economics!$D$2:$D$167="whr")*economics!$AH$2:$AH$167*_xlfn.NORM.DIST(P$3,economics!$AK$2:$AK$167,economics!$AJ$2:$AJ$167,TRUE))+$CR12*_xlfn.NORM.DIST(P$3,$CU12,0.3*$CU12,TRUE)+$CS12*_xlfn.NORM.DIST(P$3,$CV12,0.3*$CV12,TRUE),$CW12*_xlfn.NORM.DIST(P$3,'energy base (MECS)'!$F$11,0.3*'energy base (MECS)'!$F$11,TRUE))</f>
        <v/>
      </c>
      <c r="Q12" s="68">
        <f t="array" ref="Q12">IF($D12,SUMPRODUCT((economics!$AG$2:$AG$167=$B12)*(economics!$D$2:$D$167="whr")*economics!$AH$2:$AH$167*_xlfn.NORM.DIST(Q$3,economics!$AK$2:$AK$167,economics!$AJ$2:$AJ$167,TRUE))+$CR12*_xlfn.NORM.DIST(Q$3,$CU12,0.3*$CU12,TRUE)+$CS12*_xlfn.NORM.DIST(Q$3,$CV12,0.3*$CV12,TRUE),$CW12*_xlfn.NORM.DIST(Q$3,'energy base (MECS)'!$F$11,0.3*'energy base (MECS)'!$F$11,TRUE))</f>
        <v/>
      </c>
      <c r="R12" s="68">
        <f t="array" ref="R12">IF($D12,SUMPRODUCT((economics!$AG$2:$AG$167=$B12)*(economics!$D$2:$D$167="whr")*economics!$AH$2:$AH$167*_xlfn.NORM.DIST(R$3,economics!$AK$2:$AK$167,economics!$AJ$2:$AJ$167,TRUE))+$CR12*_xlfn.NORM.DIST(R$3,$CU12,0.3*$CU12,TRUE)+$CS12*_xlfn.NORM.DIST(R$3,$CV12,0.3*$CV12,TRUE),$CW12*_xlfn.NORM.DIST(R$3,'energy base (MECS)'!$F$11,0.3*'energy base (MECS)'!$F$11,TRUE))</f>
        <v/>
      </c>
      <c r="S12" s="68">
        <f t="array" ref="S12">IF($D12,SUMPRODUCT((economics!$AG$2:$AG$167=$B12)*(economics!$D$2:$D$167="whr")*economics!$AH$2:$AH$167*_xlfn.NORM.DIST(S$3,economics!$AK$2:$AK$167,economics!$AJ$2:$AJ$167,TRUE))+$CR12*_xlfn.NORM.DIST(S$3,$CU12,0.3*$CU12,TRUE)+$CS12*_xlfn.NORM.DIST(S$3,$CV12,0.3*$CV12,TRUE),$CW12*_xlfn.NORM.DIST(S$3,'energy base (MECS)'!$F$11,0.3*'energy base (MECS)'!$F$11,TRUE))</f>
        <v/>
      </c>
      <c r="T12" s="68">
        <f t="array" ref="T12">IF($D12,SUMPRODUCT((economics!$AG$2:$AG$167=$B12)*(economics!$D$2:$D$167="whr")*economics!$AH$2:$AH$167*_xlfn.NORM.DIST(T$3,economics!$AK$2:$AK$167,economics!$AJ$2:$AJ$167,TRUE))+$CR12*_xlfn.NORM.DIST(T$3,$CU12,0.3*$CU12,TRUE)+$CS12*_xlfn.NORM.DIST(T$3,$CV12,0.3*$CV12,TRUE),$CW12*_xlfn.NORM.DIST(T$3,'energy base (MECS)'!$F$11,0.3*'energy base (MECS)'!$F$11,TRUE))</f>
        <v/>
      </c>
      <c r="U12" s="68">
        <f t="array" ref="U12">IF($D12,SUMPRODUCT((economics!$AG$2:$AG$167=$B12)*(economics!$D$2:$D$167="whr")*economics!$AH$2:$AH$167*_xlfn.NORM.DIST(U$3,economics!$AK$2:$AK$167,economics!$AJ$2:$AJ$167,TRUE))+$CR12*_xlfn.NORM.DIST(U$3,$CU12,0.3*$CU12,TRUE)+$CS12*_xlfn.NORM.DIST(U$3,$CV12,0.3*$CV12,TRUE),$CW12*_xlfn.NORM.DIST(U$3,'energy base (MECS)'!$F$11,0.3*'energy base (MECS)'!$F$11,TRUE))</f>
        <v/>
      </c>
      <c r="V12" s="68">
        <f t="array" ref="V12">IF($D12,SUMPRODUCT((economics!$AG$2:$AG$167=$B12)*(economics!$D$2:$D$167="whr")*economics!$AH$2:$AH$167*_xlfn.NORM.DIST(V$3,economics!$AK$2:$AK$167,economics!$AJ$2:$AJ$167,TRUE))+$CR12*_xlfn.NORM.DIST(V$3,$CU12,0.3*$CU12,TRUE)+$CS12*_xlfn.NORM.DIST(V$3,$CV12,0.3*$CV12,TRUE),$CW12*_xlfn.NORM.DIST(V$3,'energy base (MECS)'!$F$11,0.3*'energy base (MECS)'!$F$11,TRUE))</f>
        <v/>
      </c>
      <c r="W12" s="68">
        <f t="array" ref="W12">IF($D12,SUMPRODUCT((economics!$AG$2:$AG$167=$B12)*(economics!$D$2:$D$167="whr")*economics!$AH$2:$AH$167*_xlfn.NORM.DIST(W$3,economics!$AK$2:$AK$167,economics!$AJ$2:$AJ$167,TRUE))+$CR12*_xlfn.NORM.DIST(W$3,$CU12,0.3*$CU12,TRUE)+$CS12*_xlfn.NORM.DIST(W$3,$CV12,0.3*$CV12,TRUE),$CW12*_xlfn.NORM.DIST(W$3,'energy base (MECS)'!$F$11,0.3*'energy base (MECS)'!$F$11,TRUE))</f>
        <v/>
      </c>
      <c r="X12" s="68">
        <f t="array" ref="X12">IF($D12,SUMPRODUCT((economics!$AG$2:$AG$167=$B12)*(economics!$D$2:$D$167="whr")*economics!$AH$2:$AH$167*_xlfn.NORM.DIST(X$3,economics!$AK$2:$AK$167,economics!$AJ$2:$AJ$167,TRUE))+$CR12*_xlfn.NORM.DIST(X$3,$CU12,0.3*$CU12,TRUE)+$CS12*_xlfn.NORM.DIST(X$3,$CV12,0.3*$CV12,TRUE),$CW12*_xlfn.NORM.DIST(X$3,'energy base (MECS)'!$F$11,0.3*'energy base (MECS)'!$F$11,TRUE))</f>
        <v/>
      </c>
      <c r="Y12" s="68">
        <f t="array" ref="Y12">IF($D12,SUMPRODUCT((economics!$AG$2:$AG$167=$B12)*(economics!$D$2:$D$167="whr")*economics!$AH$2:$AH$167*_xlfn.NORM.DIST(Y$3,economics!$AK$2:$AK$167,economics!$AJ$2:$AJ$167,TRUE))+$CR12*_xlfn.NORM.DIST(Y$3,$CU12,0.3*$CU12,TRUE)+$CS12*_xlfn.NORM.DIST(Y$3,$CV12,0.3*$CV12,TRUE),$CW12*_xlfn.NORM.DIST(Y$3,'energy base (MECS)'!$F$11,0.3*'energy base (MECS)'!$F$11,TRUE))</f>
        <v/>
      </c>
      <c r="Z12" s="68">
        <f t="array" ref="Z12">IF($D12,SUMPRODUCT((economics!$AG$2:$AG$167=$B12)*(economics!$D$2:$D$167="whr")*economics!$AH$2:$AH$167*_xlfn.NORM.DIST(Z$3,economics!$AK$2:$AK$167,economics!$AJ$2:$AJ$167,TRUE))+$CR12*_xlfn.NORM.DIST(Z$3,$CU12,0.3*$CU12,TRUE)+$CS12*_xlfn.NORM.DIST(Z$3,$CV12,0.3*$CV12,TRUE),$CW12*_xlfn.NORM.DIST(Z$3,'energy base (MECS)'!$F$11,0.3*'energy base (MECS)'!$F$11,TRUE))</f>
        <v/>
      </c>
      <c r="AA12" s="68">
        <f t="array" ref="AA12">IF($D12,SUMPRODUCT((economics!$AG$2:$AG$167=$B12)*(economics!$D$2:$D$167="whr")*economics!$AH$2:$AH$167*_xlfn.NORM.DIST(AA$3,economics!$AK$2:$AK$167,economics!$AJ$2:$AJ$167,TRUE))+$CR12*_xlfn.NORM.DIST(AA$3,$CU12,0.3*$CU12,TRUE)+$CS12*_xlfn.NORM.DIST(AA$3,$CV12,0.3*$CV12,TRUE),$CW12*_xlfn.NORM.DIST(AA$3,'energy base (MECS)'!$F$11,0.3*'energy base (MECS)'!$F$11,TRUE))</f>
        <v/>
      </c>
      <c r="AB12" s="68">
        <f t="array" ref="AB12">IF($D12,SUMPRODUCT((economics!$AG$2:$AG$167=$B12)*(economics!$D$2:$D$167="whr")*economics!$AH$2:$AH$167*_xlfn.NORM.DIST(AB$3,economics!$AK$2:$AK$167,economics!$AJ$2:$AJ$167,TRUE))+$CR12*_xlfn.NORM.DIST(AB$3,$CU12,0.3*$CU12,TRUE)+$CS12*_xlfn.NORM.DIST(AB$3,$CV12,0.3*$CV12,TRUE),$CW12*_xlfn.NORM.DIST(AB$3,'energy base (MECS)'!$F$11,0.3*'energy base (MECS)'!$F$11,TRUE))</f>
        <v/>
      </c>
      <c r="AC12" s="68">
        <f t="array" ref="AC12">IF($D12,SUMPRODUCT((economics!$AG$2:$AG$167=$B12)*(economics!$D$2:$D$167="whr")*economics!$AH$2:$AH$167*_xlfn.NORM.DIST(AC$3,economics!$AK$2:$AK$167,economics!$AJ$2:$AJ$167,TRUE))+$CR12*_xlfn.NORM.DIST(AC$3,$CU12,0.3*$CU12,TRUE)+$CS12*_xlfn.NORM.DIST(AC$3,$CV12,0.3*$CV12,TRUE),$CW12*_xlfn.NORM.DIST(AC$3,'energy base (MECS)'!$F$11,0.3*'energy base (MECS)'!$F$11,TRUE))</f>
        <v/>
      </c>
      <c r="AD12" s="68">
        <f t="array" ref="AD12">IF($D12,SUMPRODUCT((economics!$AG$2:$AG$167=$B12)*(economics!$D$2:$D$167="whr")*economics!$AH$2:$AH$167*_xlfn.NORM.DIST(AD$3,economics!$AK$2:$AK$167,economics!$AJ$2:$AJ$167,TRUE))+$CR12*_xlfn.NORM.DIST(AD$3,$CU12,0.3*$CU12,TRUE)+$CS12*_xlfn.NORM.DIST(AD$3,$CV12,0.3*$CV12,TRUE),$CW12*_xlfn.NORM.DIST(AD$3,'energy base (MECS)'!$F$11,0.3*'energy base (MECS)'!$F$11,TRUE))</f>
        <v/>
      </c>
      <c r="AE12" s="68">
        <f t="array" ref="AE12">IF($D12,SUMPRODUCT((economics!$AG$2:$AG$167=$B12)*(economics!$D$2:$D$167="whr")*economics!$AH$2:$AH$167*_xlfn.NORM.DIST(AE$3,economics!$AK$2:$AK$167,economics!$AJ$2:$AJ$167,TRUE))+$CR12*_xlfn.NORM.DIST(AE$3,$CU12,0.3*$CU12,TRUE)+$CS12*_xlfn.NORM.DIST(AE$3,$CV12,0.3*$CV12,TRUE),$CW12*_xlfn.NORM.DIST(AE$3,'energy base (MECS)'!$F$11,0.3*'energy base (MECS)'!$F$11,TRUE))</f>
        <v/>
      </c>
      <c r="AF12" s="68">
        <f t="array" ref="AF12">IF($D12,SUMPRODUCT((economics!$AG$2:$AG$167=$B12)*(economics!$D$2:$D$167="whr")*economics!$AH$2:$AH$167*_xlfn.NORM.DIST(AF$3,economics!$AK$2:$AK$167,economics!$AJ$2:$AJ$167,TRUE))+$CR12*_xlfn.NORM.DIST(AF$3,$CU12,0.3*$CU12,TRUE)+$CS12*_xlfn.NORM.DIST(AF$3,$CV12,0.3*$CV12,TRUE),$CW12*_xlfn.NORM.DIST(AF$3,'energy base (MECS)'!$F$11,0.3*'energy base (MECS)'!$F$11,TRUE))</f>
        <v/>
      </c>
      <c r="AG12" s="68">
        <f t="array" ref="AG12">IF($D12,SUMPRODUCT((economics!$AG$2:$AG$167=$B12)*(economics!$D$2:$D$167="whr")*economics!$AH$2:$AH$167*_xlfn.NORM.DIST(AG$3,economics!$AK$2:$AK$167,economics!$AJ$2:$AJ$167,TRUE))+$CR12*_xlfn.NORM.DIST(AG$3,$CU12,0.3*$CU12,TRUE)+$CS12*_xlfn.NORM.DIST(AG$3,$CV12,0.3*$CV12,TRUE),$CW12*_xlfn.NORM.DIST(AG$3,'energy base (MECS)'!$F$11,0.3*'energy base (MECS)'!$F$11,TRUE))</f>
        <v/>
      </c>
      <c r="AH12" s="68">
        <f t="array" ref="AH12">IF($D12,SUMPRODUCT((economics!$AG$2:$AG$167=$B12)*(economics!$D$2:$D$167="whr")*economics!$AH$2:$AH$167*_xlfn.NORM.DIST(AH$3,economics!$AK$2:$AK$167,economics!$AJ$2:$AJ$167,TRUE))+$CR12*_xlfn.NORM.DIST(AH$3,$CU12,0.3*$CU12,TRUE)+$CS12*_xlfn.NORM.DIST(AH$3,$CV12,0.3*$CV12,TRUE),$CW12*_xlfn.NORM.DIST(AH$3,'energy base (MECS)'!$F$11,0.3*'energy base (MECS)'!$F$11,TRUE))</f>
        <v/>
      </c>
      <c r="AI12" s="68">
        <f t="array" ref="AI12">IF($D12,SUMPRODUCT((economics!$AG$2:$AG$167=$B12)*(economics!$D$2:$D$167="whr")*economics!$AH$2:$AH$167*_xlfn.NORM.DIST(AI$3,economics!$AK$2:$AK$167,economics!$AJ$2:$AJ$167,TRUE))+$CR12*_xlfn.NORM.DIST(AI$3,$CU12,0.3*$CU12,TRUE)+$CS12*_xlfn.NORM.DIST(AI$3,$CV12,0.3*$CV12,TRUE),$CW12*_xlfn.NORM.DIST(AI$3,'energy base (MECS)'!$F$11,0.3*'energy base (MECS)'!$F$11,TRUE))</f>
        <v/>
      </c>
      <c r="AJ12" s="68">
        <f t="array" ref="AJ12">IF($D12,SUMPRODUCT((economics!$AG$2:$AG$167=$B12)*(economics!$D$2:$D$167="whr")*economics!$AH$2:$AH$167*_xlfn.NORM.DIST(AJ$3,economics!$AK$2:$AK$167,economics!$AJ$2:$AJ$167,TRUE))+$CR12*_xlfn.NORM.DIST(AJ$3,$CU12,0.3*$CU12,TRUE)+$CS12*_xlfn.NORM.DIST(AJ$3,$CV12,0.3*$CV12,TRUE),$CW12*_xlfn.NORM.DIST(AJ$3,'energy base (MECS)'!$F$11,0.3*'energy base (MECS)'!$F$11,TRUE))</f>
        <v/>
      </c>
      <c r="AK12" s="68">
        <f t="array" ref="AK12">IF($D12,SUMPRODUCT((economics!$AG$2:$AG$167=$B12)*(economics!$D$2:$D$167="whr")*economics!$AH$2:$AH$167*_xlfn.NORM.DIST(AK$3,economics!$AK$2:$AK$167,economics!$AJ$2:$AJ$167,TRUE))+$CR12*_xlfn.NORM.DIST(AK$3,$CU12,0.3*$CU12,TRUE)+$CS12*_xlfn.NORM.DIST(AK$3,$CV12,0.3*$CV12,TRUE),$CW12*_xlfn.NORM.DIST(AK$3,'energy base (MECS)'!$F$11,0.3*'energy base (MECS)'!$F$11,TRUE))</f>
        <v/>
      </c>
      <c r="AL12" s="68">
        <f t="array" ref="AL12">IF($D12,SUMPRODUCT((economics!$AG$2:$AG$167=$B12)*(economics!$D$2:$D$167="whr")*economics!$AH$2:$AH$167*_xlfn.NORM.DIST(AL$3,economics!$AK$2:$AK$167,economics!$AJ$2:$AJ$167,TRUE))+$CR12*_xlfn.NORM.DIST(AL$3,$CU12,0.3*$CU12,TRUE)+$CS12*_xlfn.NORM.DIST(AL$3,$CV12,0.3*$CV12,TRUE),$CW12*_xlfn.NORM.DIST(AL$3,'energy base (MECS)'!$F$11,0.3*'energy base (MECS)'!$F$11,TRUE))</f>
        <v/>
      </c>
      <c r="AM12" s="68">
        <f t="array" ref="AM12">IF($D12,SUMPRODUCT((economics!$AG$2:$AG$167=$B12)*(economics!$D$2:$D$167="whr")*economics!$AH$2:$AH$167*_xlfn.NORM.DIST(AM$3,economics!$AK$2:$AK$167,economics!$AJ$2:$AJ$167,TRUE))+$CR12*_xlfn.NORM.DIST(AM$3,$CU12,0.3*$CU12,TRUE)+$CS12*_xlfn.NORM.DIST(AM$3,$CV12,0.3*$CV12,TRUE),$CW12*_xlfn.NORM.DIST(AM$3,'energy base (MECS)'!$F$11,0.3*'energy base (MECS)'!$F$11,TRUE))</f>
        <v/>
      </c>
      <c r="AN12" s="68">
        <f t="array" ref="AN12">IF($D12,SUMPRODUCT((economics!$AG$2:$AG$167=$B12)*(economics!$D$2:$D$167="whr")*economics!$AH$2:$AH$167*_xlfn.NORM.DIST(AN$3,economics!$AK$2:$AK$167,economics!$AJ$2:$AJ$167,TRUE))+$CR12*_xlfn.NORM.DIST(AN$3,$CU12,0.3*$CU12,TRUE)+$CS12*_xlfn.NORM.DIST(AN$3,$CV12,0.3*$CV12,TRUE),$CW12*_xlfn.NORM.DIST(AN$3,'energy base (MECS)'!$F$11,0.3*'energy base (MECS)'!$F$11,TRUE))</f>
        <v/>
      </c>
      <c r="AO12" s="68">
        <f t="array" ref="AO12">IF($D12,SUMPRODUCT((economics!$AG$2:$AG$167=$B12)*(economics!$D$2:$D$167="whr")*economics!$AH$2:$AH$167*_xlfn.NORM.DIST(AO$3,economics!$AK$2:$AK$167,economics!$AJ$2:$AJ$167,TRUE))+$CR12*_xlfn.NORM.DIST(AO$3,$CU12,0.3*$CU12,TRUE)+$CS12*_xlfn.NORM.DIST(AO$3,$CV12,0.3*$CV12,TRUE),$CW12*_xlfn.NORM.DIST(AO$3,'energy base (MECS)'!$F$11,0.3*'energy base (MECS)'!$F$11,TRUE))</f>
        <v/>
      </c>
      <c r="AP12" s="68">
        <f t="array" ref="AP12">IF($D12,SUMPRODUCT((economics!$AG$2:$AG$167=$B12)*(economics!$D$2:$D$167="whr")*economics!$AH$2:$AH$167*_xlfn.NORM.DIST(AP$3,economics!$AK$2:$AK$167,economics!$AJ$2:$AJ$167,TRUE))+$CR12*_xlfn.NORM.DIST(AP$3,$CU12,0.3*$CU12,TRUE)+$CS12*_xlfn.NORM.DIST(AP$3,$CV12,0.3*$CV12,TRUE),$CW12*_xlfn.NORM.DIST(AP$3,'energy base (MECS)'!$F$11,0.3*'energy base (MECS)'!$F$11,TRUE))</f>
        <v/>
      </c>
      <c r="AQ12" s="68">
        <f t="array" ref="AQ12">IF($D12,SUMPRODUCT((economics!$AG$2:$AG$167=$B12)*(economics!$D$2:$D$167="whr")*economics!$AH$2:$AH$167*_xlfn.NORM.DIST(AQ$3,economics!$AK$2:$AK$167,economics!$AJ$2:$AJ$167,TRUE))+$CR12*_xlfn.NORM.DIST(AQ$3,$CU12,0.3*$CU12,TRUE)+$CS12*_xlfn.NORM.DIST(AQ$3,$CV12,0.3*$CV12,TRUE),$CW12*_xlfn.NORM.DIST(AQ$3,'energy base (MECS)'!$F$11,0.3*'energy base (MECS)'!$F$11,TRUE))</f>
        <v/>
      </c>
      <c r="AR12" s="68">
        <f t="array" ref="AR12">IF($D12,SUMPRODUCT((economics!$AG$2:$AG$167=$B12)*(economics!$D$2:$D$167="whr")*economics!$AH$2:$AH$167*_xlfn.NORM.DIST(AR$3,economics!$AK$2:$AK$167,economics!$AJ$2:$AJ$167,TRUE))+$CR12*_xlfn.NORM.DIST(AR$3,$CU12,0.3*$CU12,TRUE)+$CS12*_xlfn.NORM.DIST(AR$3,$CV12,0.3*$CV12,TRUE),$CW12*_xlfn.NORM.DIST(AR$3,'energy base (MECS)'!$F$11,0.3*'energy base (MECS)'!$F$11,TRUE))</f>
        <v/>
      </c>
      <c r="AS12" s="68">
        <f t="array" ref="AS12">IF($D12,SUMPRODUCT((economics!$AG$2:$AG$167=$B12)*(economics!$D$2:$D$167="whr")*economics!$AH$2:$AH$167*_xlfn.NORM.DIST(AS$3,economics!$AK$2:$AK$167,economics!$AJ$2:$AJ$167,TRUE))+$CR12*_xlfn.NORM.DIST(AS$3,$CU12,0.3*$CU12,TRUE)+$CS12*_xlfn.NORM.DIST(AS$3,$CV12,0.3*$CV12,TRUE),$CW12*_xlfn.NORM.DIST(AS$3,'energy base (MECS)'!$F$11,0.3*'energy base (MECS)'!$F$11,TRUE))</f>
        <v/>
      </c>
      <c r="AT12" s="68">
        <f t="array" ref="AT12">IF($D12,SUMPRODUCT((economics!$AG$2:$AG$167=$B12)*(economics!$D$2:$D$167="whr")*economics!$AH$2:$AH$167*_xlfn.NORM.DIST(AT$3,economics!$AK$2:$AK$167,economics!$AJ$2:$AJ$167,TRUE))+$CR12*_xlfn.NORM.DIST(AT$3,$CU12,0.3*$CU12,TRUE)+$CS12*_xlfn.NORM.DIST(AT$3,$CV12,0.3*$CV12,TRUE),$CW12*_xlfn.NORM.DIST(AT$3,'energy base (MECS)'!$F$11,0.3*'energy base (MECS)'!$F$11,TRUE))</f>
        <v/>
      </c>
      <c r="AU12" s="68">
        <f t="array" ref="AU12">IF($D12,SUMPRODUCT((economics!$AG$2:$AG$167=$B12)*(economics!$D$2:$D$167="whr")*economics!$AH$2:$AH$167*_xlfn.NORM.DIST(AU$3,economics!$AK$2:$AK$167,economics!$AJ$2:$AJ$167,TRUE))+$CR12*_xlfn.NORM.DIST(AU$3,$CU12,0.3*$CU12,TRUE)+$CS12*_xlfn.NORM.DIST(AU$3,$CV12,0.3*$CV12,TRUE),$CW12*_xlfn.NORM.DIST(AU$3,'energy base (MECS)'!$F$11,0.3*'energy base (MECS)'!$F$11,TRUE))</f>
        <v/>
      </c>
      <c r="AV12" s="68">
        <f t="array" ref="AV12">IF($D12,SUMPRODUCT((economics!$AG$2:$AG$167=$B12)*(economics!$D$2:$D$167="whr")*economics!$AH$2:$AH$167*_xlfn.NORM.DIST(AV$3,economics!$AK$2:$AK$167,economics!$AJ$2:$AJ$167,TRUE))+$CR12*_xlfn.NORM.DIST(AV$3,$CU12,0.3*$CU12,TRUE)+$CS12*_xlfn.NORM.DIST(AV$3,$CV12,0.3*$CV12,TRUE),$CW12*_xlfn.NORM.DIST(AV$3,'energy base (MECS)'!$F$11,0.3*'energy base (MECS)'!$F$11,TRUE))</f>
        <v/>
      </c>
      <c r="AW12" s="68">
        <f t="array" ref="AW12">IF($D12,SUMPRODUCT((economics!$AG$2:$AG$167=$B12)*(economics!$D$2:$D$167="whr")*economics!$AH$2:$AH$167*_xlfn.NORM.DIST(AW$3,economics!$AK$2:$AK$167,economics!$AJ$2:$AJ$167,TRUE))+$CR12*_xlfn.NORM.DIST(AW$3,$CU12,0.3*$CU12,TRUE)+$CS12*_xlfn.NORM.DIST(AW$3,$CV12,0.3*$CV12,TRUE),$CW12*_xlfn.NORM.DIST(AW$3,'energy base (MECS)'!$F$11,0.3*'energy base (MECS)'!$F$11,TRUE))</f>
        <v/>
      </c>
      <c r="AX12" s="68">
        <f t="array" ref="AX12">IF($D12,SUMPRODUCT((economics!$AG$2:$AG$167=$B12)*(economics!$D$2:$D$167="whr")*economics!$AH$2:$AH$167*_xlfn.NORM.DIST(AX$3,economics!$AK$2:$AK$167,economics!$AJ$2:$AJ$167,TRUE))+$CR12*_xlfn.NORM.DIST(AX$3,$CU12,0.3*$CU12,TRUE)+$CS12*_xlfn.NORM.DIST(AX$3,$CV12,0.3*$CV12,TRUE),$CW12*_xlfn.NORM.DIST(AX$3,'energy base (MECS)'!$F$11,0.3*'energy base (MECS)'!$F$11,TRUE))</f>
        <v/>
      </c>
      <c r="AY12" s="68">
        <f t="array" ref="AY12">IF($D12,SUMPRODUCT((economics!$AG$2:$AG$167=$B12)*(economics!$D$2:$D$167="whr")*economics!$AH$2:$AH$167*_xlfn.NORM.DIST(AY$3,economics!$AK$2:$AK$167,economics!$AJ$2:$AJ$167,TRUE))+$CR12*_xlfn.NORM.DIST(AY$3,$CU12,0.3*$CU12,TRUE)+$CS12*_xlfn.NORM.DIST(AY$3,$CV12,0.3*$CV12,TRUE),$CW12*_xlfn.NORM.DIST(AY$3,'energy base (MECS)'!$F$11,0.3*'energy base (MECS)'!$F$11,TRUE))</f>
        <v/>
      </c>
      <c r="AZ12" s="68">
        <f t="array" ref="AZ12">IF($D12,SUMPRODUCT((economics!$AG$2:$AG$167=$B12)*(economics!$D$2:$D$167="whr")*economics!$AH$2:$AH$167*_xlfn.NORM.DIST(AZ$3,economics!$AK$2:$AK$167,economics!$AJ$2:$AJ$167,TRUE))+$CR12*_xlfn.NORM.DIST(AZ$3,$CU12,0.3*$CU12,TRUE)+$CS12*_xlfn.NORM.DIST(AZ$3,$CV12,0.3*$CV12,TRUE),$CW12*_xlfn.NORM.DIST(AZ$3,'energy base (MECS)'!$F$11,0.3*'energy base (MECS)'!$F$11,TRUE))</f>
        <v/>
      </c>
      <c r="BA12" s="68">
        <f t="array" ref="BA12">IF($D12,SUMPRODUCT((economics!$AG$2:$AG$167=$B12)*(economics!$D$2:$D$167="whr")*economics!$AH$2:$AH$167*_xlfn.NORM.DIST(BA$3,economics!$AK$2:$AK$167,economics!$AJ$2:$AJ$167,TRUE))+$CR12*_xlfn.NORM.DIST(BA$3,$CU12,0.3*$CU12,TRUE)+$CS12*_xlfn.NORM.DIST(BA$3,$CV12,0.3*$CV12,TRUE),$CW12*_xlfn.NORM.DIST(BA$3,'energy base (MECS)'!$F$11,0.3*'energy base (MECS)'!$F$11,TRUE))</f>
        <v/>
      </c>
      <c r="BB12" s="68">
        <f t="array" ref="BB12">IF($D12,SUMPRODUCT((economics!$AG$2:$AG$167=$B12)*(economics!$D$2:$D$167="whr")*economics!$AH$2:$AH$167*_xlfn.NORM.DIST(BB$3,economics!$AK$2:$AK$167,economics!$AJ$2:$AJ$167,TRUE))+$CR12*_xlfn.NORM.DIST(BB$3,$CU12,0.3*$CU12,TRUE)+$CS12*_xlfn.NORM.DIST(BB$3,$CV12,0.3*$CV12,TRUE),$CW12*_xlfn.NORM.DIST(BB$3,'energy base (MECS)'!$F$11,0.3*'energy base (MECS)'!$F$11,TRUE))</f>
        <v/>
      </c>
      <c r="BC12" s="68">
        <f t="array" ref="BC12">IF($D12,SUMPRODUCT((economics!$AG$2:$AG$167=$B12)*(economics!$D$2:$D$167="whr")*economics!$AH$2:$AH$167*_xlfn.NORM.DIST(BC$3,economics!$AK$2:$AK$167,economics!$AJ$2:$AJ$167,TRUE))+$CR12*_xlfn.NORM.DIST(BC$3,$CU12,0.3*$CU12,TRUE)+$CS12*_xlfn.NORM.DIST(BC$3,$CV12,0.3*$CV12,TRUE),$CW12*_xlfn.NORM.DIST(BC$3,'energy base (MECS)'!$F$11,0.3*'energy base (MECS)'!$F$11,TRUE))</f>
        <v/>
      </c>
      <c r="BD12" s="68">
        <f t="array" ref="BD12">IF($D12,SUMPRODUCT((economics!$AG$2:$AG$167=$B12)*(economics!$D$2:$D$167="whr")*economics!$AH$2:$AH$167*_xlfn.NORM.DIST(BD$3,economics!$AK$2:$AK$167,economics!$AJ$2:$AJ$167,TRUE))+$CR12*_xlfn.NORM.DIST(BD$3,$CU12,0.3*$CU12,TRUE)+$CS12*_xlfn.NORM.DIST(BD$3,$CV12,0.3*$CV12,TRUE),$CW12*_xlfn.NORM.DIST(BD$3,'energy base (MECS)'!$F$11,0.3*'energy base (MECS)'!$F$11,TRUE))</f>
        <v/>
      </c>
      <c r="BE12" s="68">
        <f t="array" ref="BE12">IF($D12,SUMPRODUCT((economics!$AG$2:$AG$167=$B12)*(economics!$D$2:$D$167="whr")*economics!$AH$2:$AH$167*_xlfn.NORM.DIST(BE$3,economics!$AK$2:$AK$167,economics!$AJ$2:$AJ$167,TRUE))+$CR12*_xlfn.NORM.DIST(BE$3,$CU12,0.3*$CU12,TRUE)+$CS12*_xlfn.NORM.DIST(BE$3,$CV12,0.3*$CV12,TRUE),$CW12*_xlfn.NORM.DIST(BE$3,'energy base (MECS)'!$F$11,0.3*'energy base (MECS)'!$F$11,TRUE))</f>
        <v/>
      </c>
      <c r="BF12" s="68">
        <f t="array" ref="BF12">IF($D12,SUMPRODUCT((economics!$AG$2:$AG$167=$B12)*(economics!$D$2:$D$167="whr")*economics!$AH$2:$AH$167*_xlfn.NORM.DIST(BF$3,economics!$AK$2:$AK$167,economics!$AJ$2:$AJ$167,TRUE))+$CR12*_xlfn.NORM.DIST(BF$3,$CU12,0.3*$CU12,TRUE)+$CS12*_xlfn.NORM.DIST(BF$3,$CV12,0.3*$CV12,TRUE),$CW12*_xlfn.NORM.DIST(BF$3,'energy base (MECS)'!$F$11,0.3*'energy base (MECS)'!$F$11,TRUE))</f>
        <v/>
      </c>
      <c r="BG12" s="68">
        <f t="array" ref="BG12">IF($D12,SUMPRODUCT((economics!$AG$2:$AG$167=$B12)*(economics!$D$2:$D$167="whr")*economics!$AH$2:$AH$167*_xlfn.NORM.DIST(BG$3,economics!$AK$2:$AK$167,economics!$AJ$2:$AJ$167,TRUE))+$CR12*_xlfn.NORM.DIST(BG$3,$CU12,0.3*$CU12,TRUE)+$CS12*_xlfn.NORM.DIST(BG$3,$CV12,0.3*$CV12,TRUE),$CW12*_xlfn.NORM.DIST(BG$3,'energy base (MECS)'!$F$11,0.3*'energy base (MECS)'!$F$11,TRUE))</f>
        <v/>
      </c>
      <c r="BH12" s="68">
        <f t="array" ref="BH12">IF($D12,SUMPRODUCT((economics!$AG$2:$AG$167=$B12)*(economics!$D$2:$D$167="whr")*economics!$AH$2:$AH$167*_xlfn.NORM.DIST(BH$3,economics!$AK$2:$AK$167,economics!$AJ$2:$AJ$167,TRUE))+$CR12*_xlfn.NORM.DIST(BH$3,$CU12,0.3*$CU12,TRUE)+$CS12*_xlfn.NORM.DIST(BH$3,$CV12,0.3*$CV12,TRUE),$CW12*_xlfn.NORM.DIST(BH$3,'energy base (MECS)'!$F$11,0.3*'energy base (MECS)'!$F$11,TRUE))</f>
        <v/>
      </c>
      <c r="BI12" s="68">
        <f t="array" ref="BI12">IF($D12,SUMPRODUCT((economics!$AG$2:$AG$167=$B12)*(economics!$D$2:$D$167="whr")*economics!$AH$2:$AH$167*_xlfn.NORM.DIST(BI$3,economics!$AK$2:$AK$167,economics!$AJ$2:$AJ$167,TRUE))+$CR12*_xlfn.NORM.DIST(BI$3,$CU12,0.3*$CU12,TRUE)+$CS12*_xlfn.NORM.DIST(BI$3,$CV12,0.3*$CV12,TRUE),$CW12*_xlfn.NORM.DIST(BI$3,'energy base (MECS)'!$F$11,0.3*'energy base (MECS)'!$F$11,TRUE))</f>
        <v/>
      </c>
      <c r="BJ12" s="68">
        <f t="array" ref="BJ12">IF($D12,SUMPRODUCT((economics!$AG$2:$AG$167=$B12)*(economics!$D$2:$D$167="whr")*economics!$AH$2:$AH$167*_xlfn.NORM.DIST(BJ$3,economics!$AK$2:$AK$167,economics!$AJ$2:$AJ$167,TRUE))+$CR12*_xlfn.NORM.DIST(BJ$3,$CU12,0.3*$CU12,TRUE)+$CS12*_xlfn.NORM.DIST(BJ$3,$CV12,0.3*$CV12,TRUE),$CW12*_xlfn.NORM.DIST(BJ$3,'energy base (MECS)'!$F$11,0.3*'energy base (MECS)'!$F$11,TRUE))</f>
        <v/>
      </c>
      <c r="BK12" s="68">
        <f t="array" ref="BK12">IF($D12,SUMPRODUCT((economics!$AG$2:$AG$167=$B12)*(economics!$D$2:$D$167="whr")*economics!$AH$2:$AH$167*_xlfn.NORM.DIST(BK$3,economics!$AK$2:$AK$167,economics!$AJ$2:$AJ$167,TRUE))+$CR12*_xlfn.NORM.DIST(BK$3,$CU12,0.3*$CU12,TRUE)+$CS12*_xlfn.NORM.DIST(BK$3,$CV12,0.3*$CV12,TRUE),$CW12*_xlfn.NORM.DIST(BK$3,'energy base (MECS)'!$F$11,0.3*'energy base (MECS)'!$F$11,TRUE))</f>
        <v/>
      </c>
      <c r="BL12" s="68">
        <f t="array" ref="BL12">IF($D12,SUMPRODUCT((economics!$AG$2:$AG$167=$B12)*(economics!$D$2:$D$167="whr")*economics!$AH$2:$AH$167*_xlfn.NORM.DIST(BL$3,economics!$AK$2:$AK$167,economics!$AJ$2:$AJ$167,TRUE))+$CR12*_xlfn.NORM.DIST(BL$3,$CU12,0.3*$CU12,TRUE)+$CS12*_xlfn.NORM.DIST(BL$3,$CV12,0.3*$CV12,TRUE),$CW12*_xlfn.NORM.DIST(BL$3,'energy base (MECS)'!$F$11,0.3*'energy base (MECS)'!$F$11,TRUE))</f>
        <v/>
      </c>
      <c r="BM12" s="68">
        <f t="array" ref="BM12">IF($D12,SUMPRODUCT((economics!$AG$2:$AG$167=$B12)*(economics!$D$2:$D$167="whr")*economics!$AH$2:$AH$167*_xlfn.NORM.DIST(BM$3,economics!$AK$2:$AK$167,economics!$AJ$2:$AJ$167,TRUE))+$CR12*_xlfn.NORM.DIST(BM$3,$CU12,0.3*$CU12,TRUE)+$CS12*_xlfn.NORM.DIST(BM$3,$CV12,0.3*$CV12,TRUE),$CW12*_xlfn.NORM.DIST(BM$3,'energy base (MECS)'!$F$11,0.3*'energy base (MECS)'!$F$11,TRUE))</f>
        <v/>
      </c>
      <c r="BN12" s="68">
        <f t="array" ref="BN12">IF($D12,SUMPRODUCT((economics!$AG$2:$AG$167=$B12)*(economics!$D$2:$D$167="whr")*economics!$AH$2:$AH$167*_xlfn.NORM.DIST(BN$3,economics!$AK$2:$AK$167,economics!$AJ$2:$AJ$167,TRUE))+$CR12*_xlfn.NORM.DIST(BN$3,$CU12,0.3*$CU12,TRUE)+$CS12*_xlfn.NORM.DIST(BN$3,$CV12,0.3*$CV12,TRUE),$CW12*_xlfn.NORM.DIST(BN$3,'energy base (MECS)'!$F$11,0.3*'energy base (MECS)'!$F$11,TRUE))</f>
        <v/>
      </c>
      <c r="BO12" s="68">
        <f t="array" ref="BO12">IF($D12,SUMPRODUCT((economics!$AG$2:$AG$167=$B12)*(economics!$D$2:$D$167="whr")*economics!$AH$2:$AH$167*_xlfn.NORM.DIST(BO$3,economics!$AK$2:$AK$167,economics!$AJ$2:$AJ$167,TRUE))+$CR12*_xlfn.NORM.DIST(BO$3,$CU12,0.3*$CU12,TRUE)+$CS12*_xlfn.NORM.DIST(BO$3,$CV12,0.3*$CV12,TRUE),$CW12*_xlfn.NORM.DIST(BO$3,'energy base (MECS)'!$F$11,0.3*'energy base (MECS)'!$F$11,TRUE))</f>
        <v/>
      </c>
      <c r="BP12" s="68">
        <f t="array" ref="BP12">IF($D12,SUMPRODUCT((economics!$AG$2:$AG$167=$B12)*(economics!$D$2:$D$167="whr")*economics!$AH$2:$AH$167*_xlfn.NORM.DIST(BP$3,economics!$AK$2:$AK$167,economics!$AJ$2:$AJ$167,TRUE))+$CR12*_xlfn.NORM.DIST(BP$3,$CU12,0.3*$CU12,TRUE)+$CS12*_xlfn.NORM.DIST(BP$3,$CV12,0.3*$CV12,TRUE),$CW12*_xlfn.NORM.DIST(BP$3,'energy base (MECS)'!$F$11,0.3*'energy base (MECS)'!$F$11,TRUE))</f>
        <v/>
      </c>
      <c r="BQ12" s="68">
        <f t="array" ref="BQ12">IF($D12,SUMPRODUCT((economics!$AG$2:$AG$167=$B12)*(economics!$D$2:$D$167="whr")*economics!$AH$2:$AH$167*_xlfn.NORM.DIST(BQ$3,economics!$AK$2:$AK$167,economics!$AJ$2:$AJ$167,TRUE))+$CR12*_xlfn.NORM.DIST(BQ$3,$CU12,0.3*$CU12,TRUE)+$CS12*_xlfn.NORM.DIST(BQ$3,$CV12,0.3*$CV12,TRUE),$CW12*_xlfn.NORM.DIST(BQ$3,'energy base (MECS)'!$F$11,0.3*'energy base (MECS)'!$F$11,TRUE))</f>
        <v/>
      </c>
      <c r="BR12" s="68">
        <f t="array" ref="BR12">IF($D12,SUMPRODUCT((economics!$AG$2:$AG$167=$B12)*(economics!$D$2:$D$167="whr")*economics!$AH$2:$AH$167*_xlfn.NORM.DIST(BR$3,economics!$AK$2:$AK$167,economics!$AJ$2:$AJ$167,TRUE))+$CR12*_xlfn.NORM.DIST(BR$3,$CU12,0.3*$CU12,TRUE)+$CS12*_xlfn.NORM.DIST(BR$3,$CV12,0.3*$CV12,TRUE),$CW12*_xlfn.NORM.DIST(BR$3,'energy base (MECS)'!$F$11,0.3*'energy base (MECS)'!$F$11,TRUE))</f>
        <v/>
      </c>
      <c r="BS12" s="68">
        <f t="array" ref="BS12">IF($D12,SUMPRODUCT((economics!$AG$2:$AG$167=$B12)*(economics!$D$2:$D$167="whr")*economics!$AH$2:$AH$167*_xlfn.NORM.DIST(BS$3,economics!$AK$2:$AK$167,economics!$AJ$2:$AJ$167,TRUE))+$CR12*_xlfn.NORM.DIST(BS$3,$CU12,0.3*$CU12,TRUE)+$CS12*_xlfn.NORM.DIST(BS$3,$CV12,0.3*$CV12,TRUE),$CW12*_xlfn.NORM.DIST(BS$3,'energy base (MECS)'!$F$11,0.3*'energy base (MECS)'!$F$11,TRUE))</f>
        <v/>
      </c>
      <c r="BT12" s="68">
        <f t="array" ref="BT12">IF($D12,SUMPRODUCT((economics!$AG$2:$AG$167=$B12)*(economics!$D$2:$D$167="whr")*economics!$AH$2:$AH$167*_xlfn.NORM.DIST(BT$3,economics!$AK$2:$AK$167,economics!$AJ$2:$AJ$167,TRUE))+$CR12*_xlfn.NORM.DIST(BT$3,$CU12,0.3*$CU12,TRUE)+$CS12*_xlfn.NORM.DIST(BT$3,$CV12,0.3*$CV12,TRUE),$CW12*_xlfn.NORM.DIST(BT$3,'energy base (MECS)'!$F$11,0.3*'energy base (MECS)'!$F$11,TRUE))</f>
        <v/>
      </c>
      <c r="BU12" s="68">
        <f t="array" ref="BU12">IF($D12,SUMPRODUCT((economics!$AG$2:$AG$167=$B12)*(economics!$D$2:$D$167="whr")*economics!$AH$2:$AH$167*_xlfn.NORM.DIST(BU$3,economics!$AK$2:$AK$167,economics!$AJ$2:$AJ$167,TRUE))+$CR12*_xlfn.NORM.DIST(BU$3,$CU12,0.3*$CU12,TRUE)+$CS12*_xlfn.NORM.DIST(BU$3,$CV12,0.3*$CV12,TRUE),$CW12*_xlfn.NORM.DIST(BU$3,'energy base (MECS)'!$F$11,0.3*'energy base (MECS)'!$F$11,TRUE))</f>
        <v/>
      </c>
      <c r="BV12" s="68">
        <f t="array" ref="BV12">IF($D12,SUMPRODUCT((economics!$AG$2:$AG$167=$B12)*(economics!$D$2:$D$167="whr")*economics!$AH$2:$AH$167*_xlfn.NORM.DIST(BV$3,economics!$AK$2:$AK$167,economics!$AJ$2:$AJ$167,TRUE))+$CR12*_xlfn.NORM.DIST(BV$3,$CU12,0.3*$CU12,TRUE)+$CS12*_xlfn.NORM.DIST(BV$3,$CV12,0.3*$CV12,TRUE),$CW12*_xlfn.NORM.DIST(BV$3,'energy base (MECS)'!$F$11,0.3*'energy base (MECS)'!$F$11,TRUE))</f>
        <v/>
      </c>
      <c r="BW12" s="68">
        <f t="array" ref="BW12">IF($D12,SUMPRODUCT((economics!$AG$2:$AG$167=$B12)*(economics!$D$2:$D$167="whr")*economics!$AH$2:$AH$167*_xlfn.NORM.DIST(BW$3,economics!$AK$2:$AK$167,economics!$AJ$2:$AJ$167,TRUE))+$CR12*_xlfn.NORM.DIST(BW$3,$CU12,0.3*$CU12,TRUE)+$CS12*_xlfn.NORM.DIST(BW$3,$CV12,0.3*$CV12,TRUE),$CW12*_xlfn.NORM.DIST(BW$3,'energy base (MECS)'!$F$11,0.3*'energy base (MECS)'!$F$11,TRUE))</f>
        <v/>
      </c>
      <c r="BX12" s="68">
        <f t="array" ref="BX12">IF($D12,SUMPRODUCT((economics!$AG$2:$AG$167=$B12)*(economics!$D$2:$D$167="whr")*economics!$AH$2:$AH$167*_xlfn.NORM.DIST(BX$3,economics!$AK$2:$AK$167,economics!$AJ$2:$AJ$167,TRUE))+$CR12*_xlfn.NORM.DIST(BX$3,$CU12,0.3*$CU12,TRUE)+$CS12*_xlfn.NORM.DIST(BX$3,$CV12,0.3*$CV12,TRUE),$CW12*_xlfn.NORM.DIST(BX$3,'energy base (MECS)'!$F$11,0.3*'energy base (MECS)'!$F$11,TRUE))</f>
        <v/>
      </c>
      <c r="BY12" s="68">
        <f t="array" ref="BY12">IF($D12,SUMPRODUCT((economics!$AG$2:$AG$167=$B12)*(economics!$D$2:$D$167="whr")*economics!$AH$2:$AH$167*_xlfn.NORM.DIST(BY$3,economics!$AK$2:$AK$167,economics!$AJ$2:$AJ$167,TRUE))+$CR12*_xlfn.NORM.DIST(BY$3,$CU12,0.3*$CU12,TRUE)+$CS12*_xlfn.NORM.DIST(BY$3,$CV12,0.3*$CV12,TRUE),$CW12*_xlfn.NORM.DIST(BY$3,'energy base (MECS)'!$F$11,0.3*'energy base (MECS)'!$F$11,TRUE))</f>
        <v/>
      </c>
      <c r="BZ12" s="68">
        <f t="array" ref="BZ12">IF($D12,SUMPRODUCT((economics!$AG$2:$AG$167=$B12)*(economics!$D$2:$D$167="whr")*economics!$AH$2:$AH$167*_xlfn.NORM.DIST(BZ$3,economics!$AK$2:$AK$167,economics!$AJ$2:$AJ$167,TRUE))+$CR12*_xlfn.NORM.DIST(BZ$3,$CU12,0.3*$CU12,TRUE)+$CS12*_xlfn.NORM.DIST(BZ$3,$CV12,0.3*$CV12,TRUE),$CW12*_xlfn.NORM.DIST(BZ$3,'energy base (MECS)'!$F$11,0.3*'energy base (MECS)'!$F$11,TRUE))</f>
        <v/>
      </c>
      <c r="CA12" s="68">
        <f t="array" ref="CA12">IF($D12,SUMPRODUCT((economics!$AG$2:$AG$167=$B12)*(economics!$D$2:$D$167="whr")*economics!$AH$2:$AH$167*_xlfn.NORM.DIST(CA$3,economics!$AK$2:$AK$167,economics!$AJ$2:$AJ$167,TRUE))+$CR12*_xlfn.NORM.DIST(CA$3,$CU12,0.3*$CU12,TRUE)+$CS12*_xlfn.NORM.DIST(CA$3,$CV12,0.3*$CV12,TRUE),$CW12*_xlfn.NORM.DIST(CA$3,'energy base (MECS)'!$F$11,0.3*'energy base (MECS)'!$F$11,TRUE))</f>
        <v/>
      </c>
      <c r="CB12" s="68">
        <f t="array" ref="CB12">IF($D12,SUMPRODUCT((economics!$AG$2:$AG$167=$B12)*(economics!$D$2:$D$167="whr")*economics!$AH$2:$AH$167*_xlfn.NORM.DIST(CB$3,economics!$AK$2:$AK$167,economics!$AJ$2:$AJ$167,TRUE))+$CR12*_xlfn.NORM.DIST(CB$3,$CU12,0.3*$CU12,TRUE)+$CS12*_xlfn.NORM.DIST(CB$3,$CV12,0.3*$CV12,TRUE),$CW12*_xlfn.NORM.DIST(CB$3,'energy base (MECS)'!$F$11,0.3*'energy base (MECS)'!$F$11,TRUE))</f>
        <v/>
      </c>
      <c r="CC12" s="68">
        <f t="array" ref="CC12">IF($D12,SUMPRODUCT((economics!$AG$2:$AG$167=$B12)*(economics!$D$2:$D$167="whr")*economics!$AH$2:$AH$167*_xlfn.NORM.DIST(CC$3,economics!$AK$2:$AK$167,economics!$AJ$2:$AJ$167,TRUE))+$CR12*_xlfn.NORM.DIST(CC$3,$CU12,0.3*$CU12,TRUE)+$CS12*_xlfn.NORM.DIST(CC$3,$CV12,0.3*$CV12,TRUE),$CW12*_xlfn.NORM.DIST(CC$3,'energy base (MECS)'!$F$11,0.3*'energy base (MECS)'!$F$11,TRUE))</f>
        <v/>
      </c>
      <c r="CD12" s="68">
        <f t="array" ref="CD12">IF($D12,SUMPRODUCT((economics!$AG$2:$AG$167=$B12)*(economics!$D$2:$D$167="whr")*economics!$AH$2:$AH$167*_xlfn.NORM.DIST(CD$3,economics!$AK$2:$AK$167,economics!$AJ$2:$AJ$167,TRUE))+$CR12*_xlfn.NORM.DIST(CD$3,$CU12,0.3*$CU12,TRUE)+$CS12*_xlfn.NORM.DIST(CD$3,$CV12,0.3*$CV12,TRUE),$CW12*_xlfn.NORM.DIST(CD$3,'energy base (MECS)'!$F$11,0.3*'energy base (MECS)'!$F$11,TRUE))</f>
        <v/>
      </c>
      <c r="CE12" s="68">
        <f t="array" ref="CE12">IF($D12,SUMPRODUCT((economics!$AG$2:$AG$167=$B12)*(economics!$D$2:$D$167="whr")*economics!$AH$2:$AH$167*_xlfn.NORM.DIST(CE$3,economics!$AK$2:$AK$167,economics!$AJ$2:$AJ$167,TRUE))+$CR12*_xlfn.NORM.DIST(CE$3,$CU12,0.3*$CU12,TRUE)+$CS12*_xlfn.NORM.DIST(CE$3,$CV12,0.3*$CV12,TRUE),$CW12*_xlfn.NORM.DIST(CE$3,'energy base (MECS)'!$F$11,0.3*'energy base (MECS)'!$F$11,TRUE))</f>
        <v/>
      </c>
      <c r="CF12" s="68">
        <f t="array" ref="CF12">IF($D12,SUMPRODUCT((economics!$AG$2:$AG$167=$B12)*(economics!$D$2:$D$167="whr")*economics!$AH$2:$AH$167*_xlfn.NORM.DIST(CF$3,economics!$AK$2:$AK$167,economics!$AJ$2:$AJ$167,TRUE))+$CR12*_xlfn.NORM.DIST(CF$3,$CU12,0.3*$CU12,TRUE)+$CS12*_xlfn.NORM.DIST(CF$3,$CV12,0.3*$CV12,TRUE),$CW12*_xlfn.NORM.DIST(CF$3,'energy base (MECS)'!$F$11,0.3*'energy base (MECS)'!$F$11,TRUE))</f>
        <v/>
      </c>
      <c r="CG12" s="68">
        <f t="array" ref="CG12">IF($D12,SUMPRODUCT((economics!$AG$2:$AG$167=$B12)*(economics!$D$2:$D$167="whr")*economics!$AH$2:$AH$167*_xlfn.NORM.DIST(CG$3,economics!$AK$2:$AK$167,economics!$AJ$2:$AJ$167,TRUE))+$CR12*_xlfn.NORM.DIST(CG$3,$CU12,0.3*$CU12,TRUE)+$CS12*_xlfn.NORM.DIST(CG$3,$CV12,0.3*$CV12,TRUE),$CW12*_xlfn.NORM.DIST(CG$3,'energy base (MECS)'!$F$11,0.3*'energy base (MECS)'!$F$11,TRUE))</f>
        <v/>
      </c>
      <c r="CH12" s="68">
        <f t="array" ref="CH12">IF($D12,SUMPRODUCT((economics!$AG$2:$AG$167=$B12)*(economics!$D$2:$D$167="whr")*economics!$AH$2:$AH$167*_xlfn.NORM.DIST(CH$3,economics!$AK$2:$AK$167,economics!$AJ$2:$AJ$167,TRUE))+$CR12*_xlfn.NORM.DIST(CH$3,$CU12,0.3*$CU12,TRUE)+$CS12*_xlfn.NORM.DIST(CH$3,$CV12,0.3*$CV12,TRUE),$CW12*_xlfn.NORM.DIST(CH$3,'energy base (MECS)'!$F$11,0.3*'energy base (MECS)'!$F$11,TRUE))</f>
        <v/>
      </c>
      <c r="CJ12">
        <f t="array" ref="CJ12">SUMPRODUCT((economics!$AG$2:$AG$167=$B12)*(economics!$D$2:$D$167="whr")*economics!$AH$2:$AH$167)</f>
        <v/>
      </c>
      <c r="CK12" s="80">
        <f>'indst heat consumption'!D12</f>
        <v/>
      </c>
      <c r="CL12" s="80">
        <f>'indst heat consumption'!E12</f>
        <v/>
      </c>
      <c r="CM12" s="80">
        <f>'indst heat consumption'!F12</f>
        <v/>
      </c>
      <c r="CN12" s="80">
        <f>'indst heat consumption'!G12</f>
        <v/>
      </c>
      <c r="CO12" s="80">
        <f>'indst heat consumption'!H12</f>
        <v/>
      </c>
      <c r="CP12">
        <f>$C12*(CK12*summary!$B$94+CL12*summary!$C$94+CM12*summary!$D$94)</f>
        <v/>
      </c>
      <c r="CQ12">
        <f>$C12*(CN12*summary!$E$94+CO12*summary!$F$94)</f>
        <v/>
      </c>
      <c r="CR12">
        <f>IF(CP12+CQ12&gt;0,CP12*MAX(0,CP12+CQ12-CJ12)/(CP12+CQ12),0)</f>
        <v/>
      </c>
      <c r="CS12">
        <f>IF(CP12+CQ12&gt;0,CQ12*MAX(0,CP12+CQ12-CJ12)/(CP12+CQ12),0)</f>
        <v/>
      </c>
      <c r="CT12">
        <f>IFERROR(_xlfn.XLOOKUP($B12,'BCoISC-WACCbI'!$C$2:$C$26,'BCoISC-WACCbI'!$B$2:$B$26)+economics!$AE$4,0.1)</f>
        <v/>
      </c>
      <c r="CU12">
        <f>(summary!$C$7*(CT12/(1-(1+CT12)^-summary!$D$7))+summary!$C$7*summary!$E$7)/(summary!$F$7*3412/1000000)</f>
        <v/>
      </c>
      <c r="CV12">
        <f>(summary!$C$6*(CT12/(1-(1+CT12)^-summary!$D$6))+summary!$C$6*summary!$E$6)/(summary!$F$6*3412/1000000)</f>
        <v/>
      </c>
      <c r="CW12">
        <f>CR12+CS12</f>
        <v/>
      </c>
    </row>
    <row r="13">
      <c r="A13">
        <f>WHRPbI!A11</f>
        <v/>
      </c>
      <c r="B13" t="n">
        <v>20</v>
      </c>
      <c r="C13" s="68">
        <f>WHRPbI!B11</f>
        <v/>
      </c>
      <c r="D13">
        <f>ISNUMBER(MATCH($B13,'energy base (MECS)'!$K$4:$K$9,0))</f>
        <v/>
      </c>
      <c r="E13" s="68">
        <f t="array" ref="E13">IF($D13,SUMPRODUCT((economics!$AG$2:$AG$167=$B13)*(economics!$D$2:$D$167="whr")*economics!$AH$2:$AH$167*_xlfn.NORM.DIST(E$3,economics!$AK$2:$AK$167,economics!$AJ$2:$AJ$167,TRUE))+$CR13*_xlfn.NORM.DIST(E$3,$CU13,0.3*$CU13,TRUE)+$CS13*_xlfn.NORM.DIST(E$3,$CV13,0.3*$CV13,TRUE),$CW13*_xlfn.NORM.DIST(E$3,'energy base (MECS)'!$F$11,0.3*'energy base (MECS)'!$F$11,TRUE))</f>
        <v/>
      </c>
      <c r="F13" s="68">
        <f t="array" ref="F13">IF($D13,SUMPRODUCT((economics!$AG$2:$AG$167=$B13)*(economics!$D$2:$D$167="whr")*economics!$AH$2:$AH$167*_xlfn.NORM.DIST(F$3,economics!$AK$2:$AK$167,economics!$AJ$2:$AJ$167,TRUE))+$CR13*_xlfn.NORM.DIST(F$3,$CU13,0.3*$CU13,TRUE)+$CS13*_xlfn.NORM.DIST(F$3,$CV13,0.3*$CV13,TRUE),$CW13*_xlfn.NORM.DIST(F$3,'energy base (MECS)'!$F$11,0.3*'energy base (MECS)'!$F$11,TRUE))</f>
        <v/>
      </c>
      <c r="G13" s="68">
        <f t="array" ref="G13">IF($D13,SUMPRODUCT((economics!$AG$2:$AG$167=$B13)*(economics!$D$2:$D$167="whr")*economics!$AH$2:$AH$167*_xlfn.NORM.DIST(G$3,economics!$AK$2:$AK$167,economics!$AJ$2:$AJ$167,TRUE))+$CR13*_xlfn.NORM.DIST(G$3,$CU13,0.3*$CU13,TRUE)+$CS13*_xlfn.NORM.DIST(G$3,$CV13,0.3*$CV13,TRUE),$CW13*_xlfn.NORM.DIST(G$3,'energy base (MECS)'!$F$11,0.3*'energy base (MECS)'!$F$11,TRUE))</f>
        <v/>
      </c>
      <c r="H13" s="68">
        <f t="array" ref="H13">IF($D13,SUMPRODUCT((economics!$AG$2:$AG$167=$B13)*(economics!$D$2:$D$167="whr")*economics!$AH$2:$AH$167*_xlfn.NORM.DIST(H$3,economics!$AK$2:$AK$167,economics!$AJ$2:$AJ$167,TRUE))+$CR13*_xlfn.NORM.DIST(H$3,$CU13,0.3*$CU13,TRUE)+$CS13*_xlfn.NORM.DIST(H$3,$CV13,0.3*$CV13,TRUE),$CW13*_xlfn.NORM.DIST(H$3,'energy base (MECS)'!$F$11,0.3*'energy base (MECS)'!$F$11,TRUE))</f>
        <v/>
      </c>
      <c r="I13" s="68">
        <f t="array" ref="I13">IF($D13,SUMPRODUCT((economics!$AG$2:$AG$167=$B13)*(economics!$D$2:$D$167="whr")*economics!$AH$2:$AH$167*_xlfn.NORM.DIST(I$3,economics!$AK$2:$AK$167,economics!$AJ$2:$AJ$167,TRUE))+$CR13*_xlfn.NORM.DIST(I$3,$CU13,0.3*$CU13,TRUE)+$CS13*_xlfn.NORM.DIST(I$3,$CV13,0.3*$CV13,TRUE),$CW13*_xlfn.NORM.DIST(I$3,'energy base (MECS)'!$F$11,0.3*'energy base (MECS)'!$F$11,TRUE))</f>
        <v/>
      </c>
      <c r="J13" s="68">
        <f t="array" ref="J13">IF($D13,SUMPRODUCT((economics!$AG$2:$AG$167=$B13)*(economics!$D$2:$D$167="whr")*economics!$AH$2:$AH$167*_xlfn.NORM.DIST(J$3,economics!$AK$2:$AK$167,economics!$AJ$2:$AJ$167,TRUE))+$CR13*_xlfn.NORM.DIST(J$3,$CU13,0.3*$CU13,TRUE)+$CS13*_xlfn.NORM.DIST(J$3,$CV13,0.3*$CV13,TRUE),$CW13*_xlfn.NORM.DIST(J$3,'energy base (MECS)'!$F$11,0.3*'energy base (MECS)'!$F$11,TRUE))</f>
        <v/>
      </c>
      <c r="K13" s="68">
        <f t="array" ref="K13">IF($D13,SUMPRODUCT((economics!$AG$2:$AG$167=$B13)*(economics!$D$2:$D$167="whr")*economics!$AH$2:$AH$167*_xlfn.NORM.DIST(K$3,economics!$AK$2:$AK$167,economics!$AJ$2:$AJ$167,TRUE))+$CR13*_xlfn.NORM.DIST(K$3,$CU13,0.3*$CU13,TRUE)+$CS13*_xlfn.NORM.DIST(K$3,$CV13,0.3*$CV13,TRUE),$CW13*_xlfn.NORM.DIST(K$3,'energy base (MECS)'!$F$11,0.3*'energy base (MECS)'!$F$11,TRUE))</f>
        <v/>
      </c>
      <c r="L13" s="68">
        <f t="array" ref="L13">IF($D13,SUMPRODUCT((economics!$AG$2:$AG$167=$B13)*(economics!$D$2:$D$167="whr")*economics!$AH$2:$AH$167*_xlfn.NORM.DIST(L$3,economics!$AK$2:$AK$167,economics!$AJ$2:$AJ$167,TRUE))+$CR13*_xlfn.NORM.DIST(L$3,$CU13,0.3*$CU13,TRUE)+$CS13*_xlfn.NORM.DIST(L$3,$CV13,0.3*$CV13,TRUE),$CW13*_xlfn.NORM.DIST(L$3,'energy base (MECS)'!$F$11,0.3*'energy base (MECS)'!$F$11,TRUE))</f>
        <v/>
      </c>
      <c r="M13" s="68">
        <f t="array" ref="M13">IF($D13,SUMPRODUCT((economics!$AG$2:$AG$167=$B13)*(economics!$D$2:$D$167="whr")*economics!$AH$2:$AH$167*_xlfn.NORM.DIST(M$3,economics!$AK$2:$AK$167,economics!$AJ$2:$AJ$167,TRUE))+$CR13*_xlfn.NORM.DIST(M$3,$CU13,0.3*$CU13,TRUE)+$CS13*_xlfn.NORM.DIST(M$3,$CV13,0.3*$CV13,TRUE),$CW13*_xlfn.NORM.DIST(M$3,'energy base (MECS)'!$F$11,0.3*'energy base (MECS)'!$F$11,TRUE))</f>
        <v/>
      </c>
      <c r="N13" s="68">
        <f t="array" ref="N13">IF($D13,SUMPRODUCT((economics!$AG$2:$AG$167=$B13)*(economics!$D$2:$D$167="whr")*economics!$AH$2:$AH$167*_xlfn.NORM.DIST(N$3,economics!$AK$2:$AK$167,economics!$AJ$2:$AJ$167,TRUE))+$CR13*_xlfn.NORM.DIST(N$3,$CU13,0.3*$CU13,TRUE)+$CS13*_xlfn.NORM.DIST(N$3,$CV13,0.3*$CV13,TRUE),$CW13*_xlfn.NORM.DIST(N$3,'energy base (MECS)'!$F$11,0.3*'energy base (MECS)'!$F$11,TRUE))</f>
        <v/>
      </c>
      <c r="O13" s="68">
        <f t="array" ref="O13">IF($D13,SUMPRODUCT((economics!$AG$2:$AG$167=$B13)*(economics!$D$2:$D$167="whr")*economics!$AH$2:$AH$167*_xlfn.NORM.DIST(O$3,economics!$AK$2:$AK$167,economics!$AJ$2:$AJ$167,TRUE))+$CR13*_xlfn.NORM.DIST(O$3,$CU13,0.3*$CU13,TRUE)+$CS13*_xlfn.NORM.DIST(O$3,$CV13,0.3*$CV13,TRUE),$CW13*_xlfn.NORM.DIST(O$3,'energy base (MECS)'!$F$11,0.3*'energy base (MECS)'!$F$11,TRUE))</f>
        <v/>
      </c>
      <c r="P13" s="68">
        <f t="array" ref="P13">IF($D13,SUMPRODUCT((economics!$AG$2:$AG$167=$B13)*(economics!$D$2:$D$167="whr")*economics!$AH$2:$AH$167*_xlfn.NORM.DIST(P$3,economics!$AK$2:$AK$167,economics!$AJ$2:$AJ$167,TRUE))+$CR13*_xlfn.NORM.DIST(P$3,$CU13,0.3*$CU13,TRUE)+$CS13*_xlfn.NORM.DIST(P$3,$CV13,0.3*$CV13,TRUE),$CW13*_xlfn.NORM.DIST(P$3,'energy base (MECS)'!$F$11,0.3*'energy base (MECS)'!$F$11,TRUE))</f>
        <v/>
      </c>
      <c r="Q13" s="68">
        <f t="array" ref="Q13">IF($D13,SUMPRODUCT((economics!$AG$2:$AG$167=$B13)*(economics!$D$2:$D$167="whr")*economics!$AH$2:$AH$167*_xlfn.NORM.DIST(Q$3,economics!$AK$2:$AK$167,economics!$AJ$2:$AJ$167,TRUE))+$CR13*_xlfn.NORM.DIST(Q$3,$CU13,0.3*$CU13,TRUE)+$CS13*_xlfn.NORM.DIST(Q$3,$CV13,0.3*$CV13,TRUE),$CW13*_xlfn.NORM.DIST(Q$3,'energy base (MECS)'!$F$11,0.3*'energy base (MECS)'!$F$11,TRUE))</f>
        <v/>
      </c>
      <c r="R13" s="68">
        <f t="array" ref="R13">IF($D13,SUMPRODUCT((economics!$AG$2:$AG$167=$B13)*(economics!$D$2:$D$167="whr")*economics!$AH$2:$AH$167*_xlfn.NORM.DIST(R$3,economics!$AK$2:$AK$167,economics!$AJ$2:$AJ$167,TRUE))+$CR13*_xlfn.NORM.DIST(R$3,$CU13,0.3*$CU13,TRUE)+$CS13*_xlfn.NORM.DIST(R$3,$CV13,0.3*$CV13,TRUE),$CW13*_xlfn.NORM.DIST(R$3,'energy base (MECS)'!$F$11,0.3*'energy base (MECS)'!$F$11,TRUE))</f>
        <v/>
      </c>
      <c r="S13" s="68">
        <f t="array" ref="S13">IF($D13,SUMPRODUCT((economics!$AG$2:$AG$167=$B13)*(economics!$D$2:$D$167="whr")*economics!$AH$2:$AH$167*_xlfn.NORM.DIST(S$3,economics!$AK$2:$AK$167,economics!$AJ$2:$AJ$167,TRUE))+$CR13*_xlfn.NORM.DIST(S$3,$CU13,0.3*$CU13,TRUE)+$CS13*_xlfn.NORM.DIST(S$3,$CV13,0.3*$CV13,TRUE),$CW13*_xlfn.NORM.DIST(S$3,'energy base (MECS)'!$F$11,0.3*'energy base (MECS)'!$F$11,TRUE))</f>
        <v/>
      </c>
      <c r="T13" s="68">
        <f t="array" ref="T13">IF($D13,SUMPRODUCT((economics!$AG$2:$AG$167=$B13)*(economics!$D$2:$D$167="whr")*economics!$AH$2:$AH$167*_xlfn.NORM.DIST(T$3,economics!$AK$2:$AK$167,economics!$AJ$2:$AJ$167,TRUE))+$CR13*_xlfn.NORM.DIST(T$3,$CU13,0.3*$CU13,TRUE)+$CS13*_xlfn.NORM.DIST(T$3,$CV13,0.3*$CV13,TRUE),$CW13*_xlfn.NORM.DIST(T$3,'energy base (MECS)'!$F$11,0.3*'energy base (MECS)'!$F$11,TRUE))</f>
        <v/>
      </c>
      <c r="U13" s="68">
        <f t="array" ref="U13">IF($D13,SUMPRODUCT((economics!$AG$2:$AG$167=$B13)*(economics!$D$2:$D$167="whr")*economics!$AH$2:$AH$167*_xlfn.NORM.DIST(U$3,economics!$AK$2:$AK$167,economics!$AJ$2:$AJ$167,TRUE))+$CR13*_xlfn.NORM.DIST(U$3,$CU13,0.3*$CU13,TRUE)+$CS13*_xlfn.NORM.DIST(U$3,$CV13,0.3*$CV13,TRUE),$CW13*_xlfn.NORM.DIST(U$3,'energy base (MECS)'!$F$11,0.3*'energy base (MECS)'!$F$11,TRUE))</f>
        <v/>
      </c>
      <c r="V13" s="68">
        <f t="array" ref="V13">IF($D13,SUMPRODUCT((economics!$AG$2:$AG$167=$B13)*(economics!$D$2:$D$167="whr")*economics!$AH$2:$AH$167*_xlfn.NORM.DIST(V$3,economics!$AK$2:$AK$167,economics!$AJ$2:$AJ$167,TRUE))+$CR13*_xlfn.NORM.DIST(V$3,$CU13,0.3*$CU13,TRUE)+$CS13*_xlfn.NORM.DIST(V$3,$CV13,0.3*$CV13,TRUE),$CW13*_xlfn.NORM.DIST(V$3,'energy base (MECS)'!$F$11,0.3*'energy base (MECS)'!$F$11,TRUE))</f>
        <v/>
      </c>
      <c r="W13" s="68">
        <f t="array" ref="W13">IF($D13,SUMPRODUCT((economics!$AG$2:$AG$167=$B13)*(economics!$D$2:$D$167="whr")*economics!$AH$2:$AH$167*_xlfn.NORM.DIST(W$3,economics!$AK$2:$AK$167,economics!$AJ$2:$AJ$167,TRUE))+$CR13*_xlfn.NORM.DIST(W$3,$CU13,0.3*$CU13,TRUE)+$CS13*_xlfn.NORM.DIST(W$3,$CV13,0.3*$CV13,TRUE),$CW13*_xlfn.NORM.DIST(W$3,'energy base (MECS)'!$F$11,0.3*'energy base (MECS)'!$F$11,TRUE))</f>
        <v/>
      </c>
      <c r="X13" s="68">
        <f t="array" ref="X13">IF($D13,SUMPRODUCT((economics!$AG$2:$AG$167=$B13)*(economics!$D$2:$D$167="whr")*economics!$AH$2:$AH$167*_xlfn.NORM.DIST(X$3,economics!$AK$2:$AK$167,economics!$AJ$2:$AJ$167,TRUE))+$CR13*_xlfn.NORM.DIST(X$3,$CU13,0.3*$CU13,TRUE)+$CS13*_xlfn.NORM.DIST(X$3,$CV13,0.3*$CV13,TRUE),$CW13*_xlfn.NORM.DIST(X$3,'energy base (MECS)'!$F$11,0.3*'energy base (MECS)'!$F$11,TRUE))</f>
        <v/>
      </c>
      <c r="Y13" s="68">
        <f t="array" ref="Y13">IF($D13,SUMPRODUCT((economics!$AG$2:$AG$167=$B13)*(economics!$D$2:$D$167="whr")*economics!$AH$2:$AH$167*_xlfn.NORM.DIST(Y$3,economics!$AK$2:$AK$167,economics!$AJ$2:$AJ$167,TRUE))+$CR13*_xlfn.NORM.DIST(Y$3,$CU13,0.3*$CU13,TRUE)+$CS13*_xlfn.NORM.DIST(Y$3,$CV13,0.3*$CV13,TRUE),$CW13*_xlfn.NORM.DIST(Y$3,'energy base (MECS)'!$F$11,0.3*'energy base (MECS)'!$F$11,TRUE))</f>
        <v/>
      </c>
      <c r="Z13" s="68">
        <f t="array" ref="Z13">IF($D13,SUMPRODUCT((economics!$AG$2:$AG$167=$B13)*(economics!$D$2:$D$167="whr")*economics!$AH$2:$AH$167*_xlfn.NORM.DIST(Z$3,economics!$AK$2:$AK$167,economics!$AJ$2:$AJ$167,TRUE))+$CR13*_xlfn.NORM.DIST(Z$3,$CU13,0.3*$CU13,TRUE)+$CS13*_xlfn.NORM.DIST(Z$3,$CV13,0.3*$CV13,TRUE),$CW13*_xlfn.NORM.DIST(Z$3,'energy base (MECS)'!$F$11,0.3*'energy base (MECS)'!$F$11,TRUE))</f>
        <v/>
      </c>
      <c r="AA13" s="68">
        <f t="array" ref="AA13">IF($D13,SUMPRODUCT((economics!$AG$2:$AG$167=$B13)*(economics!$D$2:$D$167="whr")*economics!$AH$2:$AH$167*_xlfn.NORM.DIST(AA$3,economics!$AK$2:$AK$167,economics!$AJ$2:$AJ$167,TRUE))+$CR13*_xlfn.NORM.DIST(AA$3,$CU13,0.3*$CU13,TRUE)+$CS13*_xlfn.NORM.DIST(AA$3,$CV13,0.3*$CV13,TRUE),$CW13*_xlfn.NORM.DIST(AA$3,'energy base (MECS)'!$F$11,0.3*'energy base (MECS)'!$F$11,TRUE))</f>
        <v/>
      </c>
      <c r="AB13" s="68">
        <f t="array" ref="AB13">IF($D13,SUMPRODUCT((economics!$AG$2:$AG$167=$B13)*(economics!$D$2:$D$167="whr")*economics!$AH$2:$AH$167*_xlfn.NORM.DIST(AB$3,economics!$AK$2:$AK$167,economics!$AJ$2:$AJ$167,TRUE))+$CR13*_xlfn.NORM.DIST(AB$3,$CU13,0.3*$CU13,TRUE)+$CS13*_xlfn.NORM.DIST(AB$3,$CV13,0.3*$CV13,TRUE),$CW13*_xlfn.NORM.DIST(AB$3,'energy base (MECS)'!$F$11,0.3*'energy base (MECS)'!$F$11,TRUE))</f>
        <v/>
      </c>
      <c r="AC13" s="68">
        <f t="array" ref="AC13">IF($D13,SUMPRODUCT((economics!$AG$2:$AG$167=$B13)*(economics!$D$2:$D$167="whr")*economics!$AH$2:$AH$167*_xlfn.NORM.DIST(AC$3,economics!$AK$2:$AK$167,economics!$AJ$2:$AJ$167,TRUE))+$CR13*_xlfn.NORM.DIST(AC$3,$CU13,0.3*$CU13,TRUE)+$CS13*_xlfn.NORM.DIST(AC$3,$CV13,0.3*$CV13,TRUE),$CW13*_xlfn.NORM.DIST(AC$3,'energy base (MECS)'!$F$11,0.3*'energy base (MECS)'!$F$11,TRUE))</f>
        <v/>
      </c>
      <c r="AD13" s="68">
        <f t="array" ref="AD13">IF($D13,SUMPRODUCT((economics!$AG$2:$AG$167=$B13)*(economics!$D$2:$D$167="whr")*economics!$AH$2:$AH$167*_xlfn.NORM.DIST(AD$3,economics!$AK$2:$AK$167,economics!$AJ$2:$AJ$167,TRUE))+$CR13*_xlfn.NORM.DIST(AD$3,$CU13,0.3*$CU13,TRUE)+$CS13*_xlfn.NORM.DIST(AD$3,$CV13,0.3*$CV13,TRUE),$CW13*_xlfn.NORM.DIST(AD$3,'energy base (MECS)'!$F$11,0.3*'energy base (MECS)'!$F$11,TRUE))</f>
        <v/>
      </c>
      <c r="AE13" s="68">
        <f t="array" ref="AE13">IF($D13,SUMPRODUCT((economics!$AG$2:$AG$167=$B13)*(economics!$D$2:$D$167="whr")*economics!$AH$2:$AH$167*_xlfn.NORM.DIST(AE$3,economics!$AK$2:$AK$167,economics!$AJ$2:$AJ$167,TRUE))+$CR13*_xlfn.NORM.DIST(AE$3,$CU13,0.3*$CU13,TRUE)+$CS13*_xlfn.NORM.DIST(AE$3,$CV13,0.3*$CV13,TRUE),$CW13*_xlfn.NORM.DIST(AE$3,'energy base (MECS)'!$F$11,0.3*'energy base (MECS)'!$F$11,TRUE))</f>
        <v/>
      </c>
      <c r="AF13" s="68">
        <f t="array" ref="AF13">IF($D13,SUMPRODUCT((economics!$AG$2:$AG$167=$B13)*(economics!$D$2:$D$167="whr")*economics!$AH$2:$AH$167*_xlfn.NORM.DIST(AF$3,economics!$AK$2:$AK$167,economics!$AJ$2:$AJ$167,TRUE))+$CR13*_xlfn.NORM.DIST(AF$3,$CU13,0.3*$CU13,TRUE)+$CS13*_xlfn.NORM.DIST(AF$3,$CV13,0.3*$CV13,TRUE),$CW13*_xlfn.NORM.DIST(AF$3,'energy base (MECS)'!$F$11,0.3*'energy base (MECS)'!$F$11,TRUE))</f>
        <v/>
      </c>
      <c r="AG13" s="68">
        <f t="array" ref="AG13">IF($D13,SUMPRODUCT((economics!$AG$2:$AG$167=$B13)*(economics!$D$2:$D$167="whr")*economics!$AH$2:$AH$167*_xlfn.NORM.DIST(AG$3,economics!$AK$2:$AK$167,economics!$AJ$2:$AJ$167,TRUE))+$CR13*_xlfn.NORM.DIST(AG$3,$CU13,0.3*$CU13,TRUE)+$CS13*_xlfn.NORM.DIST(AG$3,$CV13,0.3*$CV13,TRUE),$CW13*_xlfn.NORM.DIST(AG$3,'energy base (MECS)'!$F$11,0.3*'energy base (MECS)'!$F$11,TRUE))</f>
        <v/>
      </c>
      <c r="AH13" s="68">
        <f t="array" ref="AH13">IF($D13,SUMPRODUCT((economics!$AG$2:$AG$167=$B13)*(economics!$D$2:$D$167="whr")*economics!$AH$2:$AH$167*_xlfn.NORM.DIST(AH$3,economics!$AK$2:$AK$167,economics!$AJ$2:$AJ$167,TRUE))+$CR13*_xlfn.NORM.DIST(AH$3,$CU13,0.3*$CU13,TRUE)+$CS13*_xlfn.NORM.DIST(AH$3,$CV13,0.3*$CV13,TRUE),$CW13*_xlfn.NORM.DIST(AH$3,'energy base (MECS)'!$F$11,0.3*'energy base (MECS)'!$F$11,TRUE))</f>
        <v/>
      </c>
      <c r="AI13" s="68">
        <f t="array" ref="AI13">IF($D13,SUMPRODUCT((economics!$AG$2:$AG$167=$B13)*(economics!$D$2:$D$167="whr")*economics!$AH$2:$AH$167*_xlfn.NORM.DIST(AI$3,economics!$AK$2:$AK$167,economics!$AJ$2:$AJ$167,TRUE))+$CR13*_xlfn.NORM.DIST(AI$3,$CU13,0.3*$CU13,TRUE)+$CS13*_xlfn.NORM.DIST(AI$3,$CV13,0.3*$CV13,TRUE),$CW13*_xlfn.NORM.DIST(AI$3,'energy base (MECS)'!$F$11,0.3*'energy base (MECS)'!$F$11,TRUE))</f>
        <v/>
      </c>
      <c r="AJ13" s="68">
        <f t="array" ref="AJ13">IF($D13,SUMPRODUCT((economics!$AG$2:$AG$167=$B13)*(economics!$D$2:$D$167="whr")*economics!$AH$2:$AH$167*_xlfn.NORM.DIST(AJ$3,economics!$AK$2:$AK$167,economics!$AJ$2:$AJ$167,TRUE))+$CR13*_xlfn.NORM.DIST(AJ$3,$CU13,0.3*$CU13,TRUE)+$CS13*_xlfn.NORM.DIST(AJ$3,$CV13,0.3*$CV13,TRUE),$CW13*_xlfn.NORM.DIST(AJ$3,'energy base (MECS)'!$F$11,0.3*'energy base (MECS)'!$F$11,TRUE))</f>
        <v/>
      </c>
      <c r="AK13" s="68">
        <f t="array" ref="AK13">IF($D13,SUMPRODUCT((economics!$AG$2:$AG$167=$B13)*(economics!$D$2:$D$167="whr")*economics!$AH$2:$AH$167*_xlfn.NORM.DIST(AK$3,economics!$AK$2:$AK$167,economics!$AJ$2:$AJ$167,TRUE))+$CR13*_xlfn.NORM.DIST(AK$3,$CU13,0.3*$CU13,TRUE)+$CS13*_xlfn.NORM.DIST(AK$3,$CV13,0.3*$CV13,TRUE),$CW13*_xlfn.NORM.DIST(AK$3,'energy base (MECS)'!$F$11,0.3*'energy base (MECS)'!$F$11,TRUE))</f>
        <v/>
      </c>
      <c r="AL13" s="68">
        <f t="array" ref="AL13">IF($D13,SUMPRODUCT((economics!$AG$2:$AG$167=$B13)*(economics!$D$2:$D$167="whr")*economics!$AH$2:$AH$167*_xlfn.NORM.DIST(AL$3,economics!$AK$2:$AK$167,economics!$AJ$2:$AJ$167,TRUE))+$CR13*_xlfn.NORM.DIST(AL$3,$CU13,0.3*$CU13,TRUE)+$CS13*_xlfn.NORM.DIST(AL$3,$CV13,0.3*$CV13,TRUE),$CW13*_xlfn.NORM.DIST(AL$3,'energy base (MECS)'!$F$11,0.3*'energy base (MECS)'!$F$11,TRUE))</f>
        <v/>
      </c>
      <c r="AM13" s="68">
        <f t="array" ref="AM13">IF($D13,SUMPRODUCT((economics!$AG$2:$AG$167=$B13)*(economics!$D$2:$D$167="whr")*economics!$AH$2:$AH$167*_xlfn.NORM.DIST(AM$3,economics!$AK$2:$AK$167,economics!$AJ$2:$AJ$167,TRUE))+$CR13*_xlfn.NORM.DIST(AM$3,$CU13,0.3*$CU13,TRUE)+$CS13*_xlfn.NORM.DIST(AM$3,$CV13,0.3*$CV13,TRUE),$CW13*_xlfn.NORM.DIST(AM$3,'energy base (MECS)'!$F$11,0.3*'energy base (MECS)'!$F$11,TRUE))</f>
        <v/>
      </c>
      <c r="AN13" s="68">
        <f t="array" ref="AN13">IF($D13,SUMPRODUCT((economics!$AG$2:$AG$167=$B13)*(economics!$D$2:$D$167="whr")*economics!$AH$2:$AH$167*_xlfn.NORM.DIST(AN$3,economics!$AK$2:$AK$167,economics!$AJ$2:$AJ$167,TRUE))+$CR13*_xlfn.NORM.DIST(AN$3,$CU13,0.3*$CU13,TRUE)+$CS13*_xlfn.NORM.DIST(AN$3,$CV13,0.3*$CV13,TRUE),$CW13*_xlfn.NORM.DIST(AN$3,'energy base (MECS)'!$F$11,0.3*'energy base (MECS)'!$F$11,TRUE))</f>
        <v/>
      </c>
      <c r="AO13" s="68">
        <f t="array" ref="AO13">IF($D13,SUMPRODUCT((economics!$AG$2:$AG$167=$B13)*(economics!$D$2:$D$167="whr")*economics!$AH$2:$AH$167*_xlfn.NORM.DIST(AO$3,economics!$AK$2:$AK$167,economics!$AJ$2:$AJ$167,TRUE))+$CR13*_xlfn.NORM.DIST(AO$3,$CU13,0.3*$CU13,TRUE)+$CS13*_xlfn.NORM.DIST(AO$3,$CV13,0.3*$CV13,TRUE),$CW13*_xlfn.NORM.DIST(AO$3,'energy base (MECS)'!$F$11,0.3*'energy base (MECS)'!$F$11,TRUE))</f>
        <v/>
      </c>
      <c r="AP13" s="68">
        <f t="array" ref="AP13">IF($D13,SUMPRODUCT((economics!$AG$2:$AG$167=$B13)*(economics!$D$2:$D$167="whr")*economics!$AH$2:$AH$167*_xlfn.NORM.DIST(AP$3,economics!$AK$2:$AK$167,economics!$AJ$2:$AJ$167,TRUE))+$CR13*_xlfn.NORM.DIST(AP$3,$CU13,0.3*$CU13,TRUE)+$CS13*_xlfn.NORM.DIST(AP$3,$CV13,0.3*$CV13,TRUE),$CW13*_xlfn.NORM.DIST(AP$3,'energy base (MECS)'!$F$11,0.3*'energy base (MECS)'!$F$11,TRUE))</f>
        <v/>
      </c>
      <c r="AQ13" s="68">
        <f t="array" ref="AQ13">IF($D13,SUMPRODUCT((economics!$AG$2:$AG$167=$B13)*(economics!$D$2:$D$167="whr")*economics!$AH$2:$AH$167*_xlfn.NORM.DIST(AQ$3,economics!$AK$2:$AK$167,economics!$AJ$2:$AJ$167,TRUE))+$CR13*_xlfn.NORM.DIST(AQ$3,$CU13,0.3*$CU13,TRUE)+$CS13*_xlfn.NORM.DIST(AQ$3,$CV13,0.3*$CV13,TRUE),$CW13*_xlfn.NORM.DIST(AQ$3,'energy base (MECS)'!$F$11,0.3*'energy base (MECS)'!$F$11,TRUE))</f>
        <v/>
      </c>
      <c r="AR13" s="68">
        <f t="array" ref="AR13">IF($D13,SUMPRODUCT((economics!$AG$2:$AG$167=$B13)*(economics!$D$2:$D$167="whr")*economics!$AH$2:$AH$167*_xlfn.NORM.DIST(AR$3,economics!$AK$2:$AK$167,economics!$AJ$2:$AJ$167,TRUE))+$CR13*_xlfn.NORM.DIST(AR$3,$CU13,0.3*$CU13,TRUE)+$CS13*_xlfn.NORM.DIST(AR$3,$CV13,0.3*$CV13,TRUE),$CW13*_xlfn.NORM.DIST(AR$3,'energy base (MECS)'!$F$11,0.3*'energy base (MECS)'!$F$11,TRUE))</f>
        <v/>
      </c>
      <c r="AS13" s="68">
        <f t="array" ref="AS13">IF($D13,SUMPRODUCT((economics!$AG$2:$AG$167=$B13)*(economics!$D$2:$D$167="whr")*economics!$AH$2:$AH$167*_xlfn.NORM.DIST(AS$3,economics!$AK$2:$AK$167,economics!$AJ$2:$AJ$167,TRUE))+$CR13*_xlfn.NORM.DIST(AS$3,$CU13,0.3*$CU13,TRUE)+$CS13*_xlfn.NORM.DIST(AS$3,$CV13,0.3*$CV13,TRUE),$CW13*_xlfn.NORM.DIST(AS$3,'energy base (MECS)'!$F$11,0.3*'energy base (MECS)'!$F$11,TRUE))</f>
        <v/>
      </c>
      <c r="AT13" s="68">
        <f t="array" ref="AT13">IF($D13,SUMPRODUCT((economics!$AG$2:$AG$167=$B13)*(economics!$D$2:$D$167="whr")*economics!$AH$2:$AH$167*_xlfn.NORM.DIST(AT$3,economics!$AK$2:$AK$167,economics!$AJ$2:$AJ$167,TRUE))+$CR13*_xlfn.NORM.DIST(AT$3,$CU13,0.3*$CU13,TRUE)+$CS13*_xlfn.NORM.DIST(AT$3,$CV13,0.3*$CV13,TRUE),$CW13*_xlfn.NORM.DIST(AT$3,'energy base (MECS)'!$F$11,0.3*'energy base (MECS)'!$F$11,TRUE))</f>
        <v/>
      </c>
      <c r="AU13" s="68">
        <f t="array" ref="AU13">IF($D13,SUMPRODUCT((economics!$AG$2:$AG$167=$B13)*(economics!$D$2:$D$167="whr")*economics!$AH$2:$AH$167*_xlfn.NORM.DIST(AU$3,economics!$AK$2:$AK$167,economics!$AJ$2:$AJ$167,TRUE))+$CR13*_xlfn.NORM.DIST(AU$3,$CU13,0.3*$CU13,TRUE)+$CS13*_xlfn.NORM.DIST(AU$3,$CV13,0.3*$CV13,TRUE),$CW13*_xlfn.NORM.DIST(AU$3,'energy base (MECS)'!$F$11,0.3*'energy base (MECS)'!$F$11,TRUE))</f>
        <v/>
      </c>
      <c r="AV13" s="68">
        <f t="array" ref="AV13">IF($D13,SUMPRODUCT((economics!$AG$2:$AG$167=$B13)*(economics!$D$2:$D$167="whr")*economics!$AH$2:$AH$167*_xlfn.NORM.DIST(AV$3,economics!$AK$2:$AK$167,economics!$AJ$2:$AJ$167,TRUE))+$CR13*_xlfn.NORM.DIST(AV$3,$CU13,0.3*$CU13,TRUE)+$CS13*_xlfn.NORM.DIST(AV$3,$CV13,0.3*$CV13,TRUE),$CW13*_xlfn.NORM.DIST(AV$3,'energy base (MECS)'!$F$11,0.3*'energy base (MECS)'!$F$11,TRUE))</f>
        <v/>
      </c>
      <c r="AW13" s="68">
        <f t="array" ref="AW13">IF($D13,SUMPRODUCT((economics!$AG$2:$AG$167=$B13)*(economics!$D$2:$D$167="whr")*economics!$AH$2:$AH$167*_xlfn.NORM.DIST(AW$3,economics!$AK$2:$AK$167,economics!$AJ$2:$AJ$167,TRUE))+$CR13*_xlfn.NORM.DIST(AW$3,$CU13,0.3*$CU13,TRUE)+$CS13*_xlfn.NORM.DIST(AW$3,$CV13,0.3*$CV13,TRUE),$CW13*_xlfn.NORM.DIST(AW$3,'energy base (MECS)'!$F$11,0.3*'energy base (MECS)'!$F$11,TRUE))</f>
        <v/>
      </c>
      <c r="AX13" s="68">
        <f t="array" ref="AX13">IF($D13,SUMPRODUCT((economics!$AG$2:$AG$167=$B13)*(economics!$D$2:$D$167="whr")*economics!$AH$2:$AH$167*_xlfn.NORM.DIST(AX$3,economics!$AK$2:$AK$167,economics!$AJ$2:$AJ$167,TRUE))+$CR13*_xlfn.NORM.DIST(AX$3,$CU13,0.3*$CU13,TRUE)+$CS13*_xlfn.NORM.DIST(AX$3,$CV13,0.3*$CV13,TRUE),$CW13*_xlfn.NORM.DIST(AX$3,'energy base (MECS)'!$F$11,0.3*'energy base (MECS)'!$F$11,TRUE))</f>
        <v/>
      </c>
      <c r="AY13" s="68">
        <f t="array" ref="AY13">IF($D13,SUMPRODUCT((economics!$AG$2:$AG$167=$B13)*(economics!$D$2:$D$167="whr")*economics!$AH$2:$AH$167*_xlfn.NORM.DIST(AY$3,economics!$AK$2:$AK$167,economics!$AJ$2:$AJ$167,TRUE))+$CR13*_xlfn.NORM.DIST(AY$3,$CU13,0.3*$CU13,TRUE)+$CS13*_xlfn.NORM.DIST(AY$3,$CV13,0.3*$CV13,TRUE),$CW13*_xlfn.NORM.DIST(AY$3,'energy base (MECS)'!$F$11,0.3*'energy base (MECS)'!$F$11,TRUE))</f>
        <v/>
      </c>
      <c r="AZ13" s="68">
        <f t="array" ref="AZ13">IF($D13,SUMPRODUCT((economics!$AG$2:$AG$167=$B13)*(economics!$D$2:$D$167="whr")*economics!$AH$2:$AH$167*_xlfn.NORM.DIST(AZ$3,economics!$AK$2:$AK$167,economics!$AJ$2:$AJ$167,TRUE))+$CR13*_xlfn.NORM.DIST(AZ$3,$CU13,0.3*$CU13,TRUE)+$CS13*_xlfn.NORM.DIST(AZ$3,$CV13,0.3*$CV13,TRUE),$CW13*_xlfn.NORM.DIST(AZ$3,'energy base (MECS)'!$F$11,0.3*'energy base (MECS)'!$F$11,TRUE))</f>
        <v/>
      </c>
      <c r="BA13" s="68">
        <f t="array" ref="BA13">IF($D13,SUMPRODUCT((economics!$AG$2:$AG$167=$B13)*(economics!$D$2:$D$167="whr")*economics!$AH$2:$AH$167*_xlfn.NORM.DIST(BA$3,economics!$AK$2:$AK$167,economics!$AJ$2:$AJ$167,TRUE))+$CR13*_xlfn.NORM.DIST(BA$3,$CU13,0.3*$CU13,TRUE)+$CS13*_xlfn.NORM.DIST(BA$3,$CV13,0.3*$CV13,TRUE),$CW13*_xlfn.NORM.DIST(BA$3,'energy base (MECS)'!$F$11,0.3*'energy base (MECS)'!$F$11,TRUE))</f>
        <v/>
      </c>
      <c r="BB13" s="68">
        <f t="array" ref="BB13">IF($D13,SUMPRODUCT((economics!$AG$2:$AG$167=$B13)*(economics!$D$2:$D$167="whr")*economics!$AH$2:$AH$167*_xlfn.NORM.DIST(BB$3,economics!$AK$2:$AK$167,economics!$AJ$2:$AJ$167,TRUE))+$CR13*_xlfn.NORM.DIST(BB$3,$CU13,0.3*$CU13,TRUE)+$CS13*_xlfn.NORM.DIST(BB$3,$CV13,0.3*$CV13,TRUE),$CW13*_xlfn.NORM.DIST(BB$3,'energy base (MECS)'!$F$11,0.3*'energy base (MECS)'!$F$11,TRUE))</f>
        <v/>
      </c>
      <c r="BC13" s="68">
        <f t="array" ref="BC13">IF($D13,SUMPRODUCT((economics!$AG$2:$AG$167=$B13)*(economics!$D$2:$D$167="whr")*economics!$AH$2:$AH$167*_xlfn.NORM.DIST(BC$3,economics!$AK$2:$AK$167,economics!$AJ$2:$AJ$167,TRUE))+$CR13*_xlfn.NORM.DIST(BC$3,$CU13,0.3*$CU13,TRUE)+$CS13*_xlfn.NORM.DIST(BC$3,$CV13,0.3*$CV13,TRUE),$CW13*_xlfn.NORM.DIST(BC$3,'energy base (MECS)'!$F$11,0.3*'energy base (MECS)'!$F$11,TRUE))</f>
        <v/>
      </c>
      <c r="BD13" s="68">
        <f t="array" ref="BD13">IF($D13,SUMPRODUCT((economics!$AG$2:$AG$167=$B13)*(economics!$D$2:$D$167="whr")*economics!$AH$2:$AH$167*_xlfn.NORM.DIST(BD$3,economics!$AK$2:$AK$167,economics!$AJ$2:$AJ$167,TRUE))+$CR13*_xlfn.NORM.DIST(BD$3,$CU13,0.3*$CU13,TRUE)+$CS13*_xlfn.NORM.DIST(BD$3,$CV13,0.3*$CV13,TRUE),$CW13*_xlfn.NORM.DIST(BD$3,'energy base (MECS)'!$F$11,0.3*'energy base (MECS)'!$F$11,TRUE))</f>
        <v/>
      </c>
      <c r="BE13" s="68">
        <f t="array" ref="BE13">IF($D13,SUMPRODUCT((economics!$AG$2:$AG$167=$B13)*(economics!$D$2:$D$167="whr")*economics!$AH$2:$AH$167*_xlfn.NORM.DIST(BE$3,economics!$AK$2:$AK$167,economics!$AJ$2:$AJ$167,TRUE))+$CR13*_xlfn.NORM.DIST(BE$3,$CU13,0.3*$CU13,TRUE)+$CS13*_xlfn.NORM.DIST(BE$3,$CV13,0.3*$CV13,TRUE),$CW13*_xlfn.NORM.DIST(BE$3,'energy base (MECS)'!$F$11,0.3*'energy base (MECS)'!$F$11,TRUE))</f>
        <v/>
      </c>
      <c r="BF13" s="68">
        <f t="array" ref="BF13">IF($D13,SUMPRODUCT((economics!$AG$2:$AG$167=$B13)*(economics!$D$2:$D$167="whr")*economics!$AH$2:$AH$167*_xlfn.NORM.DIST(BF$3,economics!$AK$2:$AK$167,economics!$AJ$2:$AJ$167,TRUE))+$CR13*_xlfn.NORM.DIST(BF$3,$CU13,0.3*$CU13,TRUE)+$CS13*_xlfn.NORM.DIST(BF$3,$CV13,0.3*$CV13,TRUE),$CW13*_xlfn.NORM.DIST(BF$3,'energy base (MECS)'!$F$11,0.3*'energy base (MECS)'!$F$11,TRUE))</f>
        <v/>
      </c>
      <c r="BG13" s="68">
        <f t="array" ref="BG13">IF($D13,SUMPRODUCT((economics!$AG$2:$AG$167=$B13)*(economics!$D$2:$D$167="whr")*economics!$AH$2:$AH$167*_xlfn.NORM.DIST(BG$3,economics!$AK$2:$AK$167,economics!$AJ$2:$AJ$167,TRUE))+$CR13*_xlfn.NORM.DIST(BG$3,$CU13,0.3*$CU13,TRUE)+$CS13*_xlfn.NORM.DIST(BG$3,$CV13,0.3*$CV13,TRUE),$CW13*_xlfn.NORM.DIST(BG$3,'energy base (MECS)'!$F$11,0.3*'energy base (MECS)'!$F$11,TRUE))</f>
        <v/>
      </c>
      <c r="BH13" s="68">
        <f t="array" ref="BH13">IF($D13,SUMPRODUCT((economics!$AG$2:$AG$167=$B13)*(economics!$D$2:$D$167="whr")*economics!$AH$2:$AH$167*_xlfn.NORM.DIST(BH$3,economics!$AK$2:$AK$167,economics!$AJ$2:$AJ$167,TRUE))+$CR13*_xlfn.NORM.DIST(BH$3,$CU13,0.3*$CU13,TRUE)+$CS13*_xlfn.NORM.DIST(BH$3,$CV13,0.3*$CV13,TRUE),$CW13*_xlfn.NORM.DIST(BH$3,'energy base (MECS)'!$F$11,0.3*'energy base (MECS)'!$F$11,TRUE))</f>
        <v/>
      </c>
      <c r="BI13" s="68">
        <f t="array" ref="BI13">IF($D13,SUMPRODUCT((economics!$AG$2:$AG$167=$B13)*(economics!$D$2:$D$167="whr")*economics!$AH$2:$AH$167*_xlfn.NORM.DIST(BI$3,economics!$AK$2:$AK$167,economics!$AJ$2:$AJ$167,TRUE))+$CR13*_xlfn.NORM.DIST(BI$3,$CU13,0.3*$CU13,TRUE)+$CS13*_xlfn.NORM.DIST(BI$3,$CV13,0.3*$CV13,TRUE),$CW13*_xlfn.NORM.DIST(BI$3,'energy base (MECS)'!$F$11,0.3*'energy base (MECS)'!$F$11,TRUE))</f>
        <v/>
      </c>
      <c r="BJ13" s="68">
        <f t="array" ref="BJ13">IF($D13,SUMPRODUCT((economics!$AG$2:$AG$167=$B13)*(economics!$D$2:$D$167="whr")*economics!$AH$2:$AH$167*_xlfn.NORM.DIST(BJ$3,economics!$AK$2:$AK$167,economics!$AJ$2:$AJ$167,TRUE))+$CR13*_xlfn.NORM.DIST(BJ$3,$CU13,0.3*$CU13,TRUE)+$CS13*_xlfn.NORM.DIST(BJ$3,$CV13,0.3*$CV13,TRUE),$CW13*_xlfn.NORM.DIST(BJ$3,'energy base (MECS)'!$F$11,0.3*'energy base (MECS)'!$F$11,TRUE))</f>
        <v/>
      </c>
      <c r="BK13" s="68">
        <f t="array" ref="BK13">IF($D13,SUMPRODUCT((economics!$AG$2:$AG$167=$B13)*(economics!$D$2:$D$167="whr")*economics!$AH$2:$AH$167*_xlfn.NORM.DIST(BK$3,economics!$AK$2:$AK$167,economics!$AJ$2:$AJ$167,TRUE))+$CR13*_xlfn.NORM.DIST(BK$3,$CU13,0.3*$CU13,TRUE)+$CS13*_xlfn.NORM.DIST(BK$3,$CV13,0.3*$CV13,TRUE),$CW13*_xlfn.NORM.DIST(BK$3,'energy base (MECS)'!$F$11,0.3*'energy base (MECS)'!$F$11,TRUE))</f>
        <v/>
      </c>
      <c r="BL13" s="68">
        <f t="array" ref="BL13">IF($D13,SUMPRODUCT((economics!$AG$2:$AG$167=$B13)*(economics!$D$2:$D$167="whr")*economics!$AH$2:$AH$167*_xlfn.NORM.DIST(BL$3,economics!$AK$2:$AK$167,economics!$AJ$2:$AJ$167,TRUE))+$CR13*_xlfn.NORM.DIST(BL$3,$CU13,0.3*$CU13,TRUE)+$CS13*_xlfn.NORM.DIST(BL$3,$CV13,0.3*$CV13,TRUE),$CW13*_xlfn.NORM.DIST(BL$3,'energy base (MECS)'!$F$11,0.3*'energy base (MECS)'!$F$11,TRUE))</f>
        <v/>
      </c>
      <c r="BM13" s="68">
        <f t="array" ref="BM13">IF($D13,SUMPRODUCT((economics!$AG$2:$AG$167=$B13)*(economics!$D$2:$D$167="whr")*economics!$AH$2:$AH$167*_xlfn.NORM.DIST(BM$3,economics!$AK$2:$AK$167,economics!$AJ$2:$AJ$167,TRUE))+$CR13*_xlfn.NORM.DIST(BM$3,$CU13,0.3*$CU13,TRUE)+$CS13*_xlfn.NORM.DIST(BM$3,$CV13,0.3*$CV13,TRUE),$CW13*_xlfn.NORM.DIST(BM$3,'energy base (MECS)'!$F$11,0.3*'energy base (MECS)'!$F$11,TRUE))</f>
        <v/>
      </c>
      <c r="BN13" s="68">
        <f t="array" ref="BN13">IF($D13,SUMPRODUCT((economics!$AG$2:$AG$167=$B13)*(economics!$D$2:$D$167="whr")*economics!$AH$2:$AH$167*_xlfn.NORM.DIST(BN$3,economics!$AK$2:$AK$167,economics!$AJ$2:$AJ$167,TRUE))+$CR13*_xlfn.NORM.DIST(BN$3,$CU13,0.3*$CU13,TRUE)+$CS13*_xlfn.NORM.DIST(BN$3,$CV13,0.3*$CV13,TRUE),$CW13*_xlfn.NORM.DIST(BN$3,'energy base (MECS)'!$F$11,0.3*'energy base (MECS)'!$F$11,TRUE))</f>
        <v/>
      </c>
      <c r="BO13" s="68">
        <f t="array" ref="BO13">IF($D13,SUMPRODUCT((economics!$AG$2:$AG$167=$B13)*(economics!$D$2:$D$167="whr")*economics!$AH$2:$AH$167*_xlfn.NORM.DIST(BO$3,economics!$AK$2:$AK$167,economics!$AJ$2:$AJ$167,TRUE))+$CR13*_xlfn.NORM.DIST(BO$3,$CU13,0.3*$CU13,TRUE)+$CS13*_xlfn.NORM.DIST(BO$3,$CV13,0.3*$CV13,TRUE),$CW13*_xlfn.NORM.DIST(BO$3,'energy base (MECS)'!$F$11,0.3*'energy base (MECS)'!$F$11,TRUE))</f>
        <v/>
      </c>
      <c r="BP13" s="68">
        <f t="array" ref="BP13">IF($D13,SUMPRODUCT((economics!$AG$2:$AG$167=$B13)*(economics!$D$2:$D$167="whr")*economics!$AH$2:$AH$167*_xlfn.NORM.DIST(BP$3,economics!$AK$2:$AK$167,economics!$AJ$2:$AJ$167,TRUE))+$CR13*_xlfn.NORM.DIST(BP$3,$CU13,0.3*$CU13,TRUE)+$CS13*_xlfn.NORM.DIST(BP$3,$CV13,0.3*$CV13,TRUE),$CW13*_xlfn.NORM.DIST(BP$3,'energy base (MECS)'!$F$11,0.3*'energy base (MECS)'!$F$11,TRUE))</f>
        <v/>
      </c>
      <c r="BQ13" s="68">
        <f t="array" ref="BQ13">IF($D13,SUMPRODUCT((economics!$AG$2:$AG$167=$B13)*(economics!$D$2:$D$167="whr")*economics!$AH$2:$AH$167*_xlfn.NORM.DIST(BQ$3,economics!$AK$2:$AK$167,economics!$AJ$2:$AJ$167,TRUE))+$CR13*_xlfn.NORM.DIST(BQ$3,$CU13,0.3*$CU13,TRUE)+$CS13*_xlfn.NORM.DIST(BQ$3,$CV13,0.3*$CV13,TRUE),$CW13*_xlfn.NORM.DIST(BQ$3,'energy base (MECS)'!$F$11,0.3*'energy base (MECS)'!$F$11,TRUE))</f>
        <v/>
      </c>
      <c r="BR13" s="68">
        <f t="array" ref="BR13">IF($D13,SUMPRODUCT((economics!$AG$2:$AG$167=$B13)*(economics!$D$2:$D$167="whr")*economics!$AH$2:$AH$167*_xlfn.NORM.DIST(BR$3,economics!$AK$2:$AK$167,economics!$AJ$2:$AJ$167,TRUE))+$CR13*_xlfn.NORM.DIST(BR$3,$CU13,0.3*$CU13,TRUE)+$CS13*_xlfn.NORM.DIST(BR$3,$CV13,0.3*$CV13,TRUE),$CW13*_xlfn.NORM.DIST(BR$3,'energy base (MECS)'!$F$11,0.3*'energy base (MECS)'!$F$11,TRUE))</f>
        <v/>
      </c>
      <c r="BS13" s="68">
        <f t="array" ref="BS13">IF($D13,SUMPRODUCT((economics!$AG$2:$AG$167=$B13)*(economics!$D$2:$D$167="whr")*economics!$AH$2:$AH$167*_xlfn.NORM.DIST(BS$3,economics!$AK$2:$AK$167,economics!$AJ$2:$AJ$167,TRUE))+$CR13*_xlfn.NORM.DIST(BS$3,$CU13,0.3*$CU13,TRUE)+$CS13*_xlfn.NORM.DIST(BS$3,$CV13,0.3*$CV13,TRUE),$CW13*_xlfn.NORM.DIST(BS$3,'energy base (MECS)'!$F$11,0.3*'energy base (MECS)'!$F$11,TRUE))</f>
        <v/>
      </c>
      <c r="BT13" s="68">
        <f t="array" ref="BT13">IF($D13,SUMPRODUCT((economics!$AG$2:$AG$167=$B13)*(economics!$D$2:$D$167="whr")*economics!$AH$2:$AH$167*_xlfn.NORM.DIST(BT$3,economics!$AK$2:$AK$167,economics!$AJ$2:$AJ$167,TRUE))+$CR13*_xlfn.NORM.DIST(BT$3,$CU13,0.3*$CU13,TRUE)+$CS13*_xlfn.NORM.DIST(BT$3,$CV13,0.3*$CV13,TRUE),$CW13*_xlfn.NORM.DIST(BT$3,'energy base (MECS)'!$F$11,0.3*'energy base (MECS)'!$F$11,TRUE))</f>
        <v/>
      </c>
      <c r="BU13" s="68">
        <f t="array" ref="BU13">IF($D13,SUMPRODUCT((economics!$AG$2:$AG$167=$B13)*(economics!$D$2:$D$167="whr")*economics!$AH$2:$AH$167*_xlfn.NORM.DIST(BU$3,economics!$AK$2:$AK$167,economics!$AJ$2:$AJ$167,TRUE))+$CR13*_xlfn.NORM.DIST(BU$3,$CU13,0.3*$CU13,TRUE)+$CS13*_xlfn.NORM.DIST(BU$3,$CV13,0.3*$CV13,TRUE),$CW13*_xlfn.NORM.DIST(BU$3,'energy base (MECS)'!$F$11,0.3*'energy base (MECS)'!$F$11,TRUE))</f>
        <v/>
      </c>
      <c r="BV13" s="68">
        <f t="array" ref="BV13">IF($D13,SUMPRODUCT((economics!$AG$2:$AG$167=$B13)*(economics!$D$2:$D$167="whr")*economics!$AH$2:$AH$167*_xlfn.NORM.DIST(BV$3,economics!$AK$2:$AK$167,economics!$AJ$2:$AJ$167,TRUE))+$CR13*_xlfn.NORM.DIST(BV$3,$CU13,0.3*$CU13,TRUE)+$CS13*_xlfn.NORM.DIST(BV$3,$CV13,0.3*$CV13,TRUE),$CW13*_xlfn.NORM.DIST(BV$3,'energy base (MECS)'!$F$11,0.3*'energy base (MECS)'!$F$11,TRUE))</f>
        <v/>
      </c>
      <c r="BW13" s="68">
        <f t="array" ref="BW13">IF($D13,SUMPRODUCT((economics!$AG$2:$AG$167=$B13)*(economics!$D$2:$D$167="whr")*economics!$AH$2:$AH$167*_xlfn.NORM.DIST(BW$3,economics!$AK$2:$AK$167,economics!$AJ$2:$AJ$167,TRUE))+$CR13*_xlfn.NORM.DIST(BW$3,$CU13,0.3*$CU13,TRUE)+$CS13*_xlfn.NORM.DIST(BW$3,$CV13,0.3*$CV13,TRUE),$CW13*_xlfn.NORM.DIST(BW$3,'energy base (MECS)'!$F$11,0.3*'energy base (MECS)'!$F$11,TRUE))</f>
        <v/>
      </c>
      <c r="BX13" s="68">
        <f t="array" ref="BX13">IF($D13,SUMPRODUCT((economics!$AG$2:$AG$167=$B13)*(economics!$D$2:$D$167="whr")*economics!$AH$2:$AH$167*_xlfn.NORM.DIST(BX$3,economics!$AK$2:$AK$167,economics!$AJ$2:$AJ$167,TRUE))+$CR13*_xlfn.NORM.DIST(BX$3,$CU13,0.3*$CU13,TRUE)+$CS13*_xlfn.NORM.DIST(BX$3,$CV13,0.3*$CV13,TRUE),$CW13*_xlfn.NORM.DIST(BX$3,'energy base (MECS)'!$F$11,0.3*'energy base (MECS)'!$F$11,TRUE))</f>
        <v/>
      </c>
      <c r="BY13" s="68">
        <f t="array" ref="BY13">IF($D13,SUMPRODUCT((economics!$AG$2:$AG$167=$B13)*(economics!$D$2:$D$167="whr")*economics!$AH$2:$AH$167*_xlfn.NORM.DIST(BY$3,economics!$AK$2:$AK$167,economics!$AJ$2:$AJ$167,TRUE))+$CR13*_xlfn.NORM.DIST(BY$3,$CU13,0.3*$CU13,TRUE)+$CS13*_xlfn.NORM.DIST(BY$3,$CV13,0.3*$CV13,TRUE),$CW13*_xlfn.NORM.DIST(BY$3,'energy base (MECS)'!$F$11,0.3*'energy base (MECS)'!$F$11,TRUE))</f>
        <v/>
      </c>
      <c r="BZ13" s="68">
        <f t="array" ref="BZ13">IF($D13,SUMPRODUCT((economics!$AG$2:$AG$167=$B13)*(economics!$D$2:$D$167="whr")*economics!$AH$2:$AH$167*_xlfn.NORM.DIST(BZ$3,economics!$AK$2:$AK$167,economics!$AJ$2:$AJ$167,TRUE))+$CR13*_xlfn.NORM.DIST(BZ$3,$CU13,0.3*$CU13,TRUE)+$CS13*_xlfn.NORM.DIST(BZ$3,$CV13,0.3*$CV13,TRUE),$CW13*_xlfn.NORM.DIST(BZ$3,'energy base (MECS)'!$F$11,0.3*'energy base (MECS)'!$F$11,TRUE))</f>
        <v/>
      </c>
      <c r="CA13" s="68">
        <f t="array" ref="CA13">IF($D13,SUMPRODUCT((economics!$AG$2:$AG$167=$B13)*(economics!$D$2:$D$167="whr")*economics!$AH$2:$AH$167*_xlfn.NORM.DIST(CA$3,economics!$AK$2:$AK$167,economics!$AJ$2:$AJ$167,TRUE))+$CR13*_xlfn.NORM.DIST(CA$3,$CU13,0.3*$CU13,TRUE)+$CS13*_xlfn.NORM.DIST(CA$3,$CV13,0.3*$CV13,TRUE),$CW13*_xlfn.NORM.DIST(CA$3,'energy base (MECS)'!$F$11,0.3*'energy base (MECS)'!$F$11,TRUE))</f>
        <v/>
      </c>
      <c r="CB13" s="68">
        <f t="array" ref="CB13">IF($D13,SUMPRODUCT((economics!$AG$2:$AG$167=$B13)*(economics!$D$2:$D$167="whr")*economics!$AH$2:$AH$167*_xlfn.NORM.DIST(CB$3,economics!$AK$2:$AK$167,economics!$AJ$2:$AJ$167,TRUE))+$CR13*_xlfn.NORM.DIST(CB$3,$CU13,0.3*$CU13,TRUE)+$CS13*_xlfn.NORM.DIST(CB$3,$CV13,0.3*$CV13,TRUE),$CW13*_xlfn.NORM.DIST(CB$3,'energy base (MECS)'!$F$11,0.3*'energy base (MECS)'!$F$11,TRUE))</f>
        <v/>
      </c>
      <c r="CC13" s="68">
        <f t="array" ref="CC13">IF($D13,SUMPRODUCT((economics!$AG$2:$AG$167=$B13)*(economics!$D$2:$D$167="whr")*economics!$AH$2:$AH$167*_xlfn.NORM.DIST(CC$3,economics!$AK$2:$AK$167,economics!$AJ$2:$AJ$167,TRUE))+$CR13*_xlfn.NORM.DIST(CC$3,$CU13,0.3*$CU13,TRUE)+$CS13*_xlfn.NORM.DIST(CC$3,$CV13,0.3*$CV13,TRUE),$CW13*_xlfn.NORM.DIST(CC$3,'energy base (MECS)'!$F$11,0.3*'energy base (MECS)'!$F$11,TRUE))</f>
        <v/>
      </c>
      <c r="CD13" s="68">
        <f t="array" ref="CD13">IF($D13,SUMPRODUCT((economics!$AG$2:$AG$167=$B13)*(economics!$D$2:$D$167="whr")*economics!$AH$2:$AH$167*_xlfn.NORM.DIST(CD$3,economics!$AK$2:$AK$167,economics!$AJ$2:$AJ$167,TRUE))+$CR13*_xlfn.NORM.DIST(CD$3,$CU13,0.3*$CU13,TRUE)+$CS13*_xlfn.NORM.DIST(CD$3,$CV13,0.3*$CV13,TRUE),$CW13*_xlfn.NORM.DIST(CD$3,'energy base (MECS)'!$F$11,0.3*'energy base (MECS)'!$F$11,TRUE))</f>
        <v/>
      </c>
      <c r="CE13" s="68">
        <f t="array" ref="CE13">IF($D13,SUMPRODUCT((economics!$AG$2:$AG$167=$B13)*(economics!$D$2:$D$167="whr")*economics!$AH$2:$AH$167*_xlfn.NORM.DIST(CE$3,economics!$AK$2:$AK$167,economics!$AJ$2:$AJ$167,TRUE))+$CR13*_xlfn.NORM.DIST(CE$3,$CU13,0.3*$CU13,TRUE)+$CS13*_xlfn.NORM.DIST(CE$3,$CV13,0.3*$CV13,TRUE),$CW13*_xlfn.NORM.DIST(CE$3,'energy base (MECS)'!$F$11,0.3*'energy base (MECS)'!$F$11,TRUE))</f>
        <v/>
      </c>
      <c r="CF13" s="68">
        <f t="array" ref="CF13">IF($D13,SUMPRODUCT((economics!$AG$2:$AG$167=$B13)*(economics!$D$2:$D$167="whr")*economics!$AH$2:$AH$167*_xlfn.NORM.DIST(CF$3,economics!$AK$2:$AK$167,economics!$AJ$2:$AJ$167,TRUE))+$CR13*_xlfn.NORM.DIST(CF$3,$CU13,0.3*$CU13,TRUE)+$CS13*_xlfn.NORM.DIST(CF$3,$CV13,0.3*$CV13,TRUE),$CW13*_xlfn.NORM.DIST(CF$3,'energy base (MECS)'!$F$11,0.3*'energy base (MECS)'!$F$11,TRUE))</f>
        <v/>
      </c>
      <c r="CG13" s="68">
        <f t="array" ref="CG13">IF($D13,SUMPRODUCT((economics!$AG$2:$AG$167=$B13)*(economics!$D$2:$D$167="whr")*economics!$AH$2:$AH$167*_xlfn.NORM.DIST(CG$3,economics!$AK$2:$AK$167,economics!$AJ$2:$AJ$167,TRUE))+$CR13*_xlfn.NORM.DIST(CG$3,$CU13,0.3*$CU13,TRUE)+$CS13*_xlfn.NORM.DIST(CG$3,$CV13,0.3*$CV13,TRUE),$CW13*_xlfn.NORM.DIST(CG$3,'energy base (MECS)'!$F$11,0.3*'energy base (MECS)'!$F$11,TRUE))</f>
        <v/>
      </c>
      <c r="CH13" s="68">
        <f t="array" ref="CH13">IF($D13,SUMPRODUCT((economics!$AG$2:$AG$167=$B13)*(economics!$D$2:$D$167="whr")*economics!$AH$2:$AH$167*_xlfn.NORM.DIST(CH$3,economics!$AK$2:$AK$167,economics!$AJ$2:$AJ$167,TRUE))+$CR13*_xlfn.NORM.DIST(CH$3,$CU13,0.3*$CU13,TRUE)+$CS13*_xlfn.NORM.DIST(CH$3,$CV13,0.3*$CV13,TRUE),$CW13*_xlfn.NORM.DIST(CH$3,'energy base (MECS)'!$F$11,0.3*'energy base (MECS)'!$F$11,TRUE))</f>
        <v/>
      </c>
      <c r="CJ13">
        <f t="array" ref="CJ13">SUMPRODUCT((economics!$AG$2:$AG$167=$B13)*(economics!$D$2:$D$167="whr")*economics!$AH$2:$AH$167)</f>
        <v/>
      </c>
      <c r="CK13" s="80">
        <f>'indst heat consumption'!D13</f>
        <v/>
      </c>
      <c r="CL13" s="80">
        <f>'indst heat consumption'!E13</f>
        <v/>
      </c>
      <c r="CM13" s="80">
        <f>'indst heat consumption'!F13</f>
        <v/>
      </c>
      <c r="CN13" s="80">
        <f>'indst heat consumption'!G13</f>
        <v/>
      </c>
      <c r="CO13" s="80">
        <f>'indst heat consumption'!H13</f>
        <v/>
      </c>
      <c r="CP13">
        <f>$C13*(CK13*summary!$B$94+CL13*summary!$C$94+CM13*summary!$D$94)</f>
        <v/>
      </c>
      <c r="CQ13">
        <f>$C13*(CN13*summary!$E$94+CO13*summary!$F$94)</f>
        <v/>
      </c>
      <c r="CR13">
        <f>IF(CP13+CQ13&gt;0,CP13*MAX(0,CP13+CQ13-CJ13)/(CP13+CQ13),0)</f>
        <v/>
      </c>
      <c r="CS13">
        <f>IF(CP13+CQ13&gt;0,CQ13*MAX(0,CP13+CQ13-CJ13)/(CP13+CQ13),0)</f>
        <v/>
      </c>
      <c r="CT13">
        <f>IFERROR(_xlfn.XLOOKUP($B13,'BCoISC-WACCbI'!$C$2:$C$26,'BCoISC-WACCbI'!$B$2:$B$26)+economics!$AE$4,0.1)</f>
        <v/>
      </c>
      <c r="CU13">
        <f>(summary!$C$7*(CT13/(1-(1+CT13)^-summary!$D$7))+summary!$C$7*summary!$E$7)/(summary!$F$7*3412/1000000)</f>
        <v/>
      </c>
      <c r="CV13">
        <f>(summary!$C$6*(CT13/(1-(1+CT13)^-summary!$D$6))+summary!$C$6*summary!$E$6)/(summary!$F$6*3412/1000000)</f>
        <v/>
      </c>
      <c r="CW13">
        <f>CR13+CS13</f>
        <v/>
      </c>
    </row>
    <row r="14">
      <c r="A14">
        <f>WHRPbI!A12</f>
        <v/>
      </c>
      <c r="B14" t="n">
        <v>22</v>
      </c>
      <c r="C14" s="68">
        <f>WHRPbI!B12</f>
        <v/>
      </c>
      <c r="D14">
        <f>ISNUMBER(MATCH($B14,'energy base (MECS)'!$K$4:$K$9,0))</f>
        <v/>
      </c>
      <c r="E14" s="68">
        <f t="array" ref="E14">IF($D14,SUMPRODUCT((economics!$AG$2:$AG$167=$B14)*(economics!$D$2:$D$167="whr")*economics!$AH$2:$AH$167*_xlfn.NORM.DIST(E$3,economics!$AK$2:$AK$167,economics!$AJ$2:$AJ$167,TRUE))+$CR14*_xlfn.NORM.DIST(E$3,$CU14,0.3*$CU14,TRUE)+$CS14*_xlfn.NORM.DIST(E$3,$CV14,0.3*$CV14,TRUE),$CW14*_xlfn.NORM.DIST(E$3,'energy base (MECS)'!$F$11,0.3*'energy base (MECS)'!$F$11,TRUE))</f>
        <v/>
      </c>
      <c r="F14" s="68">
        <f t="array" ref="F14">IF($D14,SUMPRODUCT((economics!$AG$2:$AG$167=$B14)*(economics!$D$2:$D$167="whr")*economics!$AH$2:$AH$167*_xlfn.NORM.DIST(F$3,economics!$AK$2:$AK$167,economics!$AJ$2:$AJ$167,TRUE))+$CR14*_xlfn.NORM.DIST(F$3,$CU14,0.3*$CU14,TRUE)+$CS14*_xlfn.NORM.DIST(F$3,$CV14,0.3*$CV14,TRUE),$CW14*_xlfn.NORM.DIST(F$3,'energy base (MECS)'!$F$11,0.3*'energy base (MECS)'!$F$11,TRUE))</f>
        <v/>
      </c>
      <c r="G14" s="68">
        <f t="array" ref="G14">IF($D14,SUMPRODUCT((economics!$AG$2:$AG$167=$B14)*(economics!$D$2:$D$167="whr")*economics!$AH$2:$AH$167*_xlfn.NORM.DIST(G$3,economics!$AK$2:$AK$167,economics!$AJ$2:$AJ$167,TRUE))+$CR14*_xlfn.NORM.DIST(G$3,$CU14,0.3*$CU14,TRUE)+$CS14*_xlfn.NORM.DIST(G$3,$CV14,0.3*$CV14,TRUE),$CW14*_xlfn.NORM.DIST(G$3,'energy base (MECS)'!$F$11,0.3*'energy base (MECS)'!$F$11,TRUE))</f>
        <v/>
      </c>
      <c r="H14" s="68">
        <f t="array" ref="H14">IF($D14,SUMPRODUCT((economics!$AG$2:$AG$167=$B14)*(economics!$D$2:$D$167="whr")*economics!$AH$2:$AH$167*_xlfn.NORM.DIST(H$3,economics!$AK$2:$AK$167,economics!$AJ$2:$AJ$167,TRUE))+$CR14*_xlfn.NORM.DIST(H$3,$CU14,0.3*$CU14,TRUE)+$CS14*_xlfn.NORM.DIST(H$3,$CV14,0.3*$CV14,TRUE),$CW14*_xlfn.NORM.DIST(H$3,'energy base (MECS)'!$F$11,0.3*'energy base (MECS)'!$F$11,TRUE))</f>
        <v/>
      </c>
      <c r="I14" s="68">
        <f t="array" ref="I14">IF($D14,SUMPRODUCT((economics!$AG$2:$AG$167=$B14)*(economics!$D$2:$D$167="whr")*economics!$AH$2:$AH$167*_xlfn.NORM.DIST(I$3,economics!$AK$2:$AK$167,economics!$AJ$2:$AJ$167,TRUE))+$CR14*_xlfn.NORM.DIST(I$3,$CU14,0.3*$CU14,TRUE)+$CS14*_xlfn.NORM.DIST(I$3,$CV14,0.3*$CV14,TRUE),$CW14*_xlfn.NORM.DIST(I$3,'energy base (MECS)'!$F$11,0.3*'energy base (MECS)'!$F$11,TRUE))</f>
        <v/>
      </c>
      <c r="J14" s="68">
        <f t="array" ref="J14">IF($D14,SUMPRODUCT((economics!$AG$2:$AG$167=$B14)*(economics!$D$2:$D$167="whr")*economics!$AH$2:$AH$167*_xlfn.NORM.DIST(J$3,economics!$AK$2:$AK$167,economics!$AJ$2:$AJ$167,TRUE))+$CR14*_xlfn.NORM.DIST(J$3,$CU14,0.3*$CU14,TRUE)+$CS14*_xlfn.NORM.DIST(J$3,$CV14,0.3*$CV14,TRUE),$CW14*_xlfn.NORM.DIST(J$3,'energy base (MECS)'!$F$11,0.3*'energy base (MECS)'!$F$11,TRUE))</f>
        <v/>
      </c>
      <c r="K14" s="68">
        <f t="array" ref="K14">IF($D14,SUMPRODUCT((economics!$AG$2:$AG$167=$B14)*(economics!$D$2:$D$167="whr")*economics!$AH$2:$AH$167*_xlfn.NORM.DIST(K$3,economics!$AK$2:$AK$167,economics!$AJ$2:$AJ$167,TRUE))+$CR14*_xlfn.NORM.DIST(K$3,$CU14,0.3*$CU14,TRUE)+$CS14*_xlfn.NORM.DIST(K$3,$CV14,0.3*$CV14,TRUE),$CW14*_xlfn.NORM.DIST(K$3,'energy base (MECS)'!$F$11,0.3*'energy base (MECS)'!$F$11,TRUE))</f>
        <v/>
      </c>
      <c r="L14" s="68">
        <f t="array" ref="L14">IF($D14,SUMPRODUCT((economics!$AG$2:$AG$167=$B14)*(economics!$D$2:$D$167="whr")*economics!$AH$2:$AH$167*_xlfn.NORM.DIST(L$3,economics!$AK$2:$AK$167,economics!$AJ$2:$AJ$167,TRUE))+$CR14*_xlfn.NORM.DIST(L$3,$CU14,0.3*$CU14,TRUE)+$CS14*_xlfn.NORM.DIST(L$3,$CV14,0.3*$CV14,TRUE),$CW14*_xlfn.NORM.DIST(L$3,'energy base (MECS)'!$F$11,0.3*'energy base (MECS)'!$F$11,TRUE))</f>
        <v/>
      </c>
      <c r="M14" s="68">
        <f t="array" ref="M14">IF($D14,SUMPRODUCT((economics!$AG$2:$AG$167=$B14)*(economics!$D$2:$D$167="whr")*economics!$AH$2:$AH$167*_xlfn.NORM.DIST(M$3,economics!$AK$2:$AK$167,economics!$AJ$2:$AJ$167,TRUE))+$CR14*_xlfn.NORM.DIST(M$3,$CU14,0.3*$CU14,TRUE)+$CS14*_xlfn.NORM.DIST(M$3,$CV14,0.3*$CV14,TRUE),$CW14*_xlfn.NORM.DIST(M$3,'energy base (MECS)'!$F$11,0.3*'energy base (MECS)'!$F$11,TRUE))</f>
        <v/>
      </c>
      <c r="N14" s="68">
        <f t="array" ref="N14">IF($D14,SUMPRODUCT((economics!$AG$2:$AG$167=$B14)*(economics!$D$2:$D$167="whr")*economics!$AH$2:$AH$167*_xlfn.NORM.DIST(N$3,economics!$AK$2:$AK$167,economics!$AJ$2:$AJ$167,TRUE))+$CR14*_xlfn.NORM.DIST(N$3,$CU14,0.3*$CU14,TRUE)+$CS14*_xlfn.NORM.DIST(N$3,$CV14,0.3*$CV14,TRUE),$CW14*_xlfn.NORM.DIST(N$3,'energy base (MECS)'!$F$11,0.3*'energy base (MECS)'!$F$11,TRUE))</f>
        <v/>
      </c>
      <c r="O14" s="68">
        <f t="array" ref="O14">IF($D14,SUMPRODUCT((economics!$AG$2:$AG$167=$B14)*(economics!$D$2:$D$167="whr")*economics!$AH$2:$AH$167*_xlfn.NORM.DIST(O$3,economics!$AK$2:$AK$167,economics!$AJ$2:$AJ$167,TRUE))+$CR14*_xlfn.NORM.DIST(O$3,$CU14,0.3*$CU14,TRUE)+$CS14*_xlfn.NORM.DIST(O$3,$CV14,0.3*$CV14,TRUE),$CW14*_xlfn.NORM.DIST(O$3,'energy base (MECS)'!$F$11,0.3*'energy base (MECS)'!$F$11,TRUE))</f>
        <v/>
      </c>
      <c r="P14" s="68">
        <f t="array" ref="P14">IF($D14,SUMPRODUCT((economics!$AG$2:$AG$167=$B14)*(economics!$D$2:$D$167="whr")*economics!$AH$2:$AH$167*_xlfn.NORM.DIST(P$3,economics!$AK$2:$AK$167,economics!$AJ$2:$AJ$167,TRUE))+$CR14*_xlfn.NORM.DIST(P$3,$CU14,0.3*$CU14,TRUE)+$CS14*_xlfn.NORM.DIST(P$3,$CV14,0.3*$CV14,TRUE),$CW14*_xlfn.NORM.DIST(P$3,'energy base (MECS)'!$F$11,0.3*'energy base (MECS)'!$F$11,TRUE))</f>
        <v/>
      </c>
      <c r="Q14" s="68">
        <f t="array" ref="Q14">IF($D14,SUMPRODUCT((economics!$AG$2:$AG$167=$B14)*(economics!$D$2:$D$167="whr")*economics!$AH$2:$AH$167*_xlfn.NORM.DIST(Q$3,economics!$AK$2:$AK$167,economics!$AJ$2:$AJ$167,TRUE))+$CR14*_xlfn.NORM.DIST(Q$3,$CU14,0.3*$CU14,TRUE)+$CS14*_xlfn.NORM.DIST(Q$3,$CV14,0.3*$CV14,TRUE),$CW14*_xlfn.NORM.DIST(Q$3,'energy base (MECS)'!$F$11,0.3*'energy base (MECS)'!$F$11,TRUE))</f>
        <v/>
      </c>
      <c r="R14" s="68">
        <f t="array" ref="R14">IF($D14,SUMPRODUCT((economics!$AG$2:$AG$167=$B14)*(economics!$D$2:$D$167="whr")*economics!$AH$2:$AH$167*_xlfn.NORM.DIST(R$3,economics!$AK$2:$AK$167,economics!$AJ$2:$AJ$167,TRUE))+$CR14*_xlfn.NORM.DIST(R$3,$CU14,0.3*$CU14,TRUE)+$CS14*_xlfn.NORM.DIST(R$3,$CV14,0.3*$CV14,TRUE),$CW14*_xlfn.NORM.DIST(R$3,'energy base (MECS)'!$F$11,0.3*'energy base (MECS)'!$F$11,TRUE))</f>
        <v/>
      </c>
      <c r="S14" s="68">
        <f t="array" ref="S14">IF($D14,SUMPRODUCT((economics!$AG$2:$AG$167=$B14)*(economics!$D$2:$D$167="whr")*economics!$AH$2:$AH$167*_xlfn.NORM.DIST(S$3,economics!$AK$2:$AK$167,economics!$AJ$2:$AJ$167,TRUE))+$CR14*_xlfn.NORM.DIST(S$3,$CU14,0.3*$CU14,TRUE)+$CS14*_xlfn.NORM.DIST(S$3,$CV14,0.3*$CV14,TRUE),$CW14*_xlfn.NORM.DIST(S$3,'energy base (MECS)'!$F$11,0.3*'energy base (MECS)'!$F$11,TRUE))</f>
        <v/>
      </c>
      <c r="T14" s="68">
        <f t="array" ref="T14">IF($D14,SUMPRODUCT((economics!$AG$2:$AG$167=$B14)*(economics!$D$2:$D$167="whr")*economics!$AH$2:$AH$167*_xlfn.NORM.DIST(T$3,economics!$AK$2:$AK$167,economics!$AJ$2:$AJ$167,TRUE))+$CR14*_xlfn.NORM.DIST(T$3,$CU14,0.3*$CU14,TRUE)+$CS14*_xlfn.NORM.DIST(T$3,$CV14,0.3*$CV14,TRUE),$CW14*_xlfn.NORM.DIST(T$3,'energy base (MECS)'!$F$11,0.3*'energy base (MECS)'!$F$11,TRUE))</f>
        <v/>
      </c>
      <c r="U14" s="68">
        <f t="array" ref="U14">IF($D14,SUMPRODUCT((economics!$AG$2:$AG$167=$B14)*(economics!$D$2:$D$167="whr")*economics!$AH$2:$AH$167*_xlfn.NORM.DIST(U$3,economics!$AK$2:$AK$167,economics!$AJ$2:$AJ$167,TRUE))+$CR14*_xlfn.NORM.DIST(U$3,$CU14,0.3*$CU14,TRUE)+$CS14*_xlfn.NORM.DIST(U$3,$CV14,0.3*$CV14,TRUE),$CW14*_xlfn.NORM.DIST(U$3,'energy base (MECS)'!$F$11,0.3*'energy base (MECS)'!$F$11,TRUE))</f>
        <v/>
      </c>
      <c r="V14" s="68">
        <f t="array" ref="V14">IF($D14,SUMPRODUCT((economics!$AG$2:$AG$167=$B14)*(economics!$D$2:$D$167="whr")*economics!$AH$2:$AH$167*_xlfn.NORM.DIST(V$3,economics!$AK$2:$AK$167,economics!$AJ$2:$AJ$167,TRUE))+$CR14*_xlfn.NORM.DIST(V$3,$CU14,0.3*$CU14,TRUE)+$CS14*_xlfn.NORM.DIST(V$3,$CV14,0.3*$CV14,TRUE),$CW14*_xlfn.NORM.DIST(V$3,'energy base (MECS)'!$F$11,0.3*'energy base (MECS)'!$F$11,TRUE))</f>
        <v/>
      </c>
      <c r="W14" s="68">
        <f t="array" ref="W14">IF($D14,SUMPRODUCT((economics!$AG$2:$AG$167=$B14)*(economics!$D$2:$D$167="whr")*economics!$AH$2:$AH$167*_xlfn.NORM.DIST(W$3,economics!$AK$2:$AK$167,economics!$AJ$2:$AJ$167,TRUE))+$CR14*_xlfn.NORM.DIST(W$3,$CU14,0.3*$CU14,TRUE)+$CS14*_xlfn.NORM.DIST(W$3,$CV14,0.3*$CV14,TRUE),$CW14*_xlfn.NORM.DIST(W$3,'energy base (MECS)'!$F$11,0.3*'energy base (MECS)'!$F$11,TRUE))</f>
        <v/>
      </c>
      <c r="X14" s="68">
        <f t="array" ref="X14">IF($D14,SUMPRODUCT((economics!$AG$2:$AG$167=$B14)*(economics!$D$2:$D$167="whr")*economics!$AH$2:$AH$167*_xlfn.NORM.DIST(X$3,economics!$AK$2:$AK$167,economics!$AJ$2:$AJ$167,TRUE))+$CR14*_xlfn.NORM.DIST(X$3,$CU14,0.3*$CU14,TRUE)+$CS14*_xlfn.NORM.DIST(X$3,$CV14,0.3*$CV14,TRUE),$CW14*_xlfn.NORM.DIST(X$3,'energy base (MECS)'!$F$11,0.3*'energy base (MECS)'!$F$11,TRUE))</f>
        <v/>
      </c>
      <c r="Y14" s="68">
        <f t="array" ref="Y14">IF($D14,SUMPRODUCT((economics!$AG$2:$AG$167=$B14)*(economics!$D$2:$D$167="whr")*economics!$AH$2:$AH$167*_xlfn.NORM.DIST(Y$3,economics!$AK$2:$AK$167,economics!$AJ$2:$AJ$167,TRUE))+$CR14*_xlfn.NORM.DIST(Y$3,$CU14,0.3*$CU14,TRUE)+$CS14*_xlfn.NORM.DIST(Y$3,$CV14,0.3*$CV14,TRUE),$CW14*_xlfn.NORM.DIST(Y$3,'energy base (MECS)'!$F$11,0.3*'energy base (MECS)'!$F$11,TRUE))</f>
        <v/>
      </c>
      <c r="Z14" s="68">
        <f t="array" ref="Z14">IF($D14,SUMPRODUCT((economics!$AG$2:$AG$167=$B14)*(economics!$D$2:$D$167="whr")*economics!$AH$2:$AH$167*_xlfn.NORM.DIST(Z$3,economics!$AK$2:$AK$167,economics!$AJ$2:$AJ$167,TRUE))+$CR14*_xlfn.NORM.DIST(Z$3,$CU14,0.3*$CU14,TRUE)+$CS14*_xlfn.NORM.DIST(Z$3,$CV14,0.3*$CV14,TRUE),$CW14*_xlfn.NORM.DIST(Z$3,'energy base (MECS)'!$F$11,0.3*'energy base (MECS)'!$F$11,TRUE))</f>
        <v/>
      </c>
      <c r="AA14" s="68">
        <f t="array" ref="AA14">IF($D14,SUMPRODUCT((economics!$AG$2:$AG$167=$B14)*(economics!$D$2:$D$167="whr")*economics!$AH$2:$AH$167*_xlfn.NORM.DIST(AA$3,economics!$AK$2:$AK$167,economics!$AJ$2:$AJ$167,TRUE))+$CR14*_xlfn.NORM.DIST(AA$3,$CU14,0.3*$CU14,TRUE)+$CS14*_xlfn.NORM.DIST(AA$3,$CV14,0.3*$CV14,TRUE),$CW14*_xlfn.NORM.DIST(AA$3,'energy base (MECS)'!$F$11,0.3*'energy base (MECS)'!$F$11,TRUE))</f>
        <v/>
      </c>
      <c r="AB14" s="68">
        <f t="array" ref="AB14">IF($D14,SUMPRODUCT((economics!$AG$2:$AG$167=$B14)*(economics!$D$2:$D$167="whr")*economics!$AH$2:$AH$167*_xlfn.NORM.DIST(AB$3,economics!$AK$2:$AK$167,economics!$AJ$2:$AJ$167,TRUE))+$CR14*_xlfn.NORM.DIST(AB$3,$CU14,0.3*$CU14,TRUE)+$CS14*_xlfn.NORM.DIST(AB$3,$CV14,0.3*$CV14,TRUE),$CW14*_xlfn.NORM.DIST(AB$3,'energy base (MECS)'!$F$11,0.3*'energy base (MECS)'!$F$11,TRUE))</f>
        <v/>
      </c>
      <c r="AC14" s="68">
        <f t="array" ref="AC14">IF($D14,SUMPRODUCT((economics!$AG$2:$AG$167=$B14)*(economics!$D$2:$D$167="whr")*economics!$AH$2:$AH$167*_xlfn.NORM.DIST(AC$3,economics!$AK$2:$AK$167,economics!$AJ$2:$AJ$167,TRUE))+$CR14*_xlfn.NORM.DIST(AC$3,$CU14,0.3*$CU14,TRUE)+$CS14*_xlfn.NORM.DIST(AC$3,$CV14,0.3*$CV14,TRUE),$CW14*_xlfn.NORM.DIST(AC$3,'energy base (MECS)'!$F$11,0.3*'energy base (MECS)'!$F$11,TRUE))</f>
        <v/>
      </c>
      <c r="AD14" s="68">
        <f t="array" ref="AD14">IF($D14,SUMPRODUCT((economics!$AG$2:$AG$167=$B14)*(economics!$D$2:$D$167="whr")*economics!$AH$2:$AH$167*_xlfn.NORM.DIST(AD$3,economics!$AK$2:$AK$167,economics!$AJ$2:$AJ$167,TRUE))+$CR14*_xlfn.NORM.DIST(AD$3,$CU14,0.3*$CU14,TRUE)+$CS14*_xlfn.NORM.DIST(AD$3,$CV14,0.3*$CV14,TRUE),$CW14*_xlfn.NORM.DIST(AD$3,'energy base (MECS)'!$F$11,0.3*'energy base (MECS)'!$F$11,TRUE))</f>
        <v/>
      </c>
      <c r="AE14" s="68">
        <f t="array" ref="AE14">IF($D14,SUMPRODUCT((economics!$AG$2:$AG$167=$B14)*(economics!$D$2:$D$167="whr")*economics!$AH$2:$AH$167*_xlfn.NORM.DIST(AE$3,economics!$AK$2:$AK$167,economics!$AJ$2:$AJ$167,TRUE))+$CR14*_xlfn.NORM.DIST(AE$3,$CU14,0.3*$CU14,TRUE)+$CS14*_xlfn.NORM.DIST(AE$3,$CV14,0.3*$CV14,TRUE),$CW14*_xlfn.NORM.DIST(AE$3,'energy base (MECS)'!$F$11,0.3*'energy base (MECS)'!$F$11,TRUE))</f>
        <v/>
      </c>
      <c r="AF14" s="68">
        <f t="array" ref="AF14">IF($D14,SUMPRODUCT((economics!$AG$2:$AG$167=$B14)*(economics!$D$2:$D$167="whr")*economics!$AH$2:$AH$167*_xlfn.NORM.DIST(AF$3,economics!$AK$2:$AK$167,economics!$AJ$2:$AJ$167,TRUE))+$CR14*_xlfn.NORM.DIST(AF$3,$CU14,0.3*$CU14,TRUE)+$CS14*_xlfn.NORM.DIST(AF$3,$CV14,0.3*$CV14,TRUE),$CW14*_xlfn.NORM.DIST(AF$3,'energy base (MECS)'!$F$11,0.3*'energy base (MECS)'!$F$11,TRUE))</f>
        <v/>
      </c>
      <c r="AG14" s="68">
        <f t="array" ref="AG14">IF($D14,SUMPRODUCT((economics!$AG$2:$AG$167=$B14)*(economics!$D$2:$D$167="whr")*economics!$AH$2:$AH$167*_xlfn.NORM.DIST(AG$3,economics!$AK$2:$AK$167,economics!$AJ$2:$AJ$167,TRUE))+$CR14*_xlfn.NORM.DIST(AG$3,$CU14,0.3*$CU14,TRUE)+$CS14*_xlfn.NORM.DIST(AG$3,$CV14,0.3*$CV14,TRUE),$CW14*_xlfn.NORM.DIST(AG$3,'energy base (MECS)'!$F$11,0.3*'energy base (MECS)'!$F$11,TRUE))</f>
        <v/>
      </c>
      <c r="AH14" s="68">
        <f t="array" ref="AH14">IF($D14,SUMPRODUCT((economics!$AG$2:$AG$167=$B14)*(economics!$D$2:$D$167="whr")*economics!$AH$2:$AH$167*_xlfn.NORM.DIST(AH$3,economics!$AK$2:$AK$167,economics!$AJ$2:$AJ$167,TRUE))+$CR14*_xlfn.NORM.DIST(AH$3,$CU14,0.3*$CU14,TRUE)+$CS14*_xlfn.NORM.DIST(AH$3,$CV14,0.3*$CV14,TRUE),$CW14*_xlfn.NORM.DIST(AH$3,'energy base (MECS)'!$F$11,0.3*'energy base (MECS)'!$F$11,TRUE))</f>
        <v/>
      </c>
      <c r="AI14" s="68">
        <f t="array" ref="AI14">IF($D14,SUMPRODUCT((economics!$AG$2:$AG$167=$B14)*(economics!$D$2:$D$167="whr")*economics!$AH$2:$AH$167*_xlfn.NORM.DIST(AI$3,economics!$AK$2:$AK$167,economics!$AJ$2:$AJ$167,TRUE))+$CR14*_xlfn.NORM.DIST(AI$3,$CU14,0.3*$CU14,TRUE)+$CS14*_xlfn.NORM.DIST(AI$3,$CV14,0.3*$CV14,TRUE),$CW14*_xlfn.NORM.DIST(AI$3,'energy base (MECS)'!$F$11,0.3*'energy base (MECS)'!$F$11,TRUE))</f>
        <v/>
      </c>
      <c r="AJ14" s="68">
        <f t="array" ref="AJ14">IF($D14,SUMPRODUCT((economics!$AG$2:$AG$167=$B14)*(economics!$D$2:$D$167="whr")*economics!$AH$2:$AH$167*_xlfn.NORM.DIST(AJ$3,economics!$AK$2:$AK$167,economics!$AJ$2:$AJ$167,TRUE))+$CR14*_xlfn.NORM.DIST(AJ$3,$CU14,0.3*$CU14,TRUE)+$CS14*_xlfn.NORM.DIST(AJ$3,$CV14,0.3*$CV14,TRUE),$CW14*_xlfn.NORM.DIST(AJ$3,'energy base (MECS)'!$F$11,0.3*'energy base (MECS)'!$F$11,TRUE))</f>
        <v/>
      </c>
      <c r="AK14" s="68">
        <f t="array" ref="AK14">IF($D14,SUMPRODUCT((economics!$AG$2:$AG$167=$B14)*(economics!$D$2:$D$167="whr")*economics!$AH$2:$AH$167*_xlfn.NORM.DIST(AK$3,economics!$AK$2:$AK$167,economics!$AJ$2:$AJ$167,TRUE))+$CR14*_xlfn.NORM.DIST(AK$3,$CU14,0.3*$CU14,TRUE)+$CS14*_xlfn.NORM.DIST(AK$3,$CV14,0.3*$CV14,TRUE),$CW14*_xlfn.NORM.DIST(AK$3,'energy base (MECS)'!$F$11,0.3*'energy base (MECS)'!$F$11,TRUE))</f>
        <v/>
      </c>
      <c r="AL14" s="68">
        <f t="array" ref="AL14">IF($D14,SUMPRODUCT((economics!$AG$2:$AG$167=$B14)*(economics!$D$2:$D$167="whr")*economics!$AH$2:$AH$167*_xlfn.NORM.DIST(AL$3,economics!$AK$2:$AK$167,economics!$AJ$2:$AJ$167,TRUE))+$CR14*_xlfn.NORM.DIST(AL$3,$CU14,0.3*$CU14,TRUE)+$CS14*_xlfn.NORM.DIST(AL$3,$CV14,0.3*$CV14,TRUE),$CW14*_xlfn.NORM.DIST(AL$3,'energy base (MECS)'!$F$11,0.3*'energy base (MECS)'!$F$11,TRUE))</f>
        <v/>
      </c>
      <c r="AM14" s="68">
        <f t="array" ref="AM14">IF($D14,SUMPRODUCT((economics!$AG$2:$AG$167=$B14)*(economics!$D$2:$D$167="whr")*economics!$AH$2:$AH$167*_xlfn.NORM.DIST(AM$3,economics!$AK$2:$AK$167,economics!$AJ$2:$AJ$167,TRUE))+$CR14*_xlfn.NORM.DIST(AM$3,$CU14,0.3*$CU14,TRUE)+$CS14*_xlfn.NORM.DIST(AM$3,$CV14,0.3*$CV14,TRUE),$CW14*_xlfn.NORM.DIST(AM$3,'energy base (MECS)'!$F$11,0.3*'energy base (MECS)'!$F$11,TRUE))</f>
        <v/>
      </c>
      <c r="AN14" s="68">
        <f t="array" ref="AN14">IF($D14,SUMPRODUCT((economics!$AG$2:$AG$167=$B14)*(economics!$D$2:$D$167="whr")*economics!$AH$2:$AH$167*_xlfn.NORM.DIST(AN$3,economics!$AK$2:$AK$167,economics!$AJ$2:$AJ$167,TRUE))+$CR14*_xlfn.NORM.DIST(AN$3,$CU14,0.3*$CU14,TRUE)+$CS14*_xlfn.NORM.DIST(AN$3,$CV14,0.3*$CV14,TRUE),$CW14*_xlfn.NORM.DIST(AN$3,'energy base (MECS)'!$F$11,0.3*'energy base (MECS)'!$F$11,TRUE))</f>
        <v/>
      </c>
      <c r="AO14" s="68">
        <f t="array" ref="AO14">IF($D14,SUMPRODUCT((economics!$AG$2:$AG$167=$B14)*(economics!$D$2:$D$167="whr")*economics!$AH$2:$AH$167*_xlfn.NORM.DIST(AO$3,economics!$AK$2:$AK$167,economics!$AJ$2:$AJ$167,TRUE))+$CR14*_xlfn.NORM.DIST(AO$3,$CU14,0.3*$CU14,TRUE)+$CS14*_xlfn.NORM.DIST(AO$3,$CV14,0.3*$CV14,TRUE),$CW14*_xlfn.NORM.DIST(AO$3,'energy base (MECS)'!$F$11,0.3*'energy base (MECS)'!$F$11,TRUE))</f>
        <v/>
      </c>
      <c r="AP14" s="68">
        <f t="array" ref="AP14">IF($D14,SUMPRODUCT((economics!$AG$2:$AG$167=$B14)*(economics!$D$2:$D$167="whr")*economics!$AH$2:$AH$167*_xlfn.NORM.DIST(AP$3,economics!$AK$2:$AK$167,economics!$AJ$2:$AJ$167,TRUE))+$CR14*_xlfn.NORM.DIST(AP$3,$CU14,0.3*$CU14,TRUE)+$CS14*_xlfn.NORM.DIST(AP$3,$CV14,0.3*$CV14,TRUE),$CW14*_xlfn.NORM.DIST(AP$3,'energy base (MECS)'!$F$11,0.3*'energy base (MECS)'!$F$11,TRUE))</f>
        <v/>
      </c>
      <c r="AQ14" s="68">
        <f t="array" ref="AQ14">IF($D14,SUMPRODUCT((economics!$AG$2:$AG$167=$B14)*(economics!$D$2:$D$167="whr")*economics!$AH$2:$AH$167*_xlfn.NORM.DIST(AQ$3,economics!$AK$2:$AK$167,economics!$AJ$2:$AJ$167,TRUE))+$CR14*_xlfn.NORM.DIST(AQ$3,$CU14,0.3*$CU14,TRUE)+$CS14*_xlfn.NORM.DIST(AQ$3,$CV14,0.3*$CV14,TRUE),$CW14*_xlfn.NORM.DIST(AQ$3,'energy base (MECS)'!$F$11,0.3*'energy base (MECS)'!$F$11,TRUE))</f>
        <v/>
      </c>
      <c r="AR14" s="68">
        <f t="array" ref="AR14">IF($D14,SUMPRODUCT((economics!$AG$2:$AG$167=$B14)*(economics!$D$2:$D$167="whr")*economics!$AH$2:$AH$167*_xlfn.NORM.DIST(AR$3,economics!$AK$2:$AK$167,economics!$AJ$2:$AJ$167,TRUE))+$CR14*_xlfn.NORM.DIST(AR$3,$CU14,0.3*$CU14,TRUE)+$CS14*_xlfn.NORM.DIST(AR$3,$CV14,0.3*$CV14,TRUE),$CW14*_xlfn.NORM.DIST(AR$3,'energy base (MECS)'!$F$11,0.3*'energy base (MECS)'!$F$11,TRUE))</f>
        <v/>
      </c>
      <c r="AS14" s="68">
        <f t="array" ref="AS14">IF($D14,SUMPRODUCT((economics!$AG$2:$AG$167=$B14)*(economics!$D$2:$D$167="whr")*economics!$AH$2:$AH$167*_xlfn.NORM.DIST(AS$3,economics!$AK$2:$AK$167,economics!$AJ$2:$AJ$167,TRUE))+$CR14*_xlfn.NORM.DIST(AS$3,$CU14,0.3*$CU14,TRUE)+$CS14*_xlfn.NORM.DIST(AS$3,$CV14,0.3*$CV14,TRUE),$CW14*_xlfn.NORM.DIST(AS$3,'energy base (MECS)'!$F$11,0.3*'energy base (MECS)'!$F$11,TRUE))</f>
        <v/>
      </c>
      <c r="AT14" s="68">
        <f t="array" ref="AT14">IF($D14,SUMPRODUCT((economics!$AG$2:$AG$167=$B14)*(economics!$D$2:$D$167="whr")*economics!$AH$2:$AH$167*_xlfn.NORM.DIST(AT$3,economics!$AK$2:$AK$167,economics!$AJ$2:$AJ$167,TRUE))+$CR14*_xlfn.NORM.DIST(AT$3,$CU14,0.3*$CU14,TRUE)+$CS14*_xlfn.NORM.DIST(AT$3,$CV14,0.3*$CV14,TRUE),$CW14*_xlfn.NORM.DIST(AT$3,'energy base (MECS)'!$F$11,0.3*'energy base (MECS)'!$F$11,TRUE))</f>
        <v/>
      </c>
      <c r="AU14" s="68">
        <f t="array" ref="AU14">IF($D14,SUMPRODUCT((economics!$AG$2:$AG$167=$B14)*(economics!$D$2:$D$167="whr")*economics!$AH$2:$AH$167*_xlfn.NORM.DIST(AU$3,economics!$AK$2:$AK$167,economics!$AJ$2:$AJ$167,TRUE))+$CR14*_xlfn.NORM.DIST(AU$3,$CU14,0.3*$CU14,TRUE)+$CS14*_xlfn.NORM.DIST(AU$3,$CV14,0.3*$CV14,TRUE),$CW14*_xlfn.NORM.DIST(AU$3,'energy base (MECS)'!$F$11,0.3*'energy base (MECS)'!$F$11,TRUE))</f>
        <v/>
      </c>
      <c r="AV14" s="68">
        <f t="array" ref="AV14">IF($D14,SUMPRODUCT((economics!$AG$2:$AG$167=$B14)*(economics!$D$2:$D$167="whr")*economics!$AH$2:$AH$167*_xlfn.NORM.DIST(AV$3,economics!$AK$2:$AK$167,economics!$AJ$2:$AJ$167,TRUE))+$CR14*_xlfn.NORM.DIST(AV$3,$CU14,0.3*$CU14,TRUE)+$CS14*_xlfn.NORM.DIST(AV$3,$CV14,0.3*$CV14,TRUE),$CW14*_xlfn.NORM.DIST(AV$3,'energy base (MECS)'!$F$11,0.3*'energy base (MECS)'!$F$11,TRUE))</f>
        <v/>
      </c>
      <c r="AW14" s="68">
        <f t="array" ref="AW14">IF($D14,SUMPRODUCT((economics!$AG$2:$AG$167=$B14)*(economics!$D$2:$D$167="whr")*economics!$AH$2:$AH$167*_xlfn.NORM.DIST(AW$3,economics!$AK$2:$AK$167,economics!$AJ$2:$AJ$167,TRUE))+$CR14*_xlfn.NORM.DIST(AW$3,$CU14,0.3*$CU14,TRUE)+$CS14*_xlfn.NORM.DIST(AW$3,$CV14,0.3*$CV14,TRUE),$CW14*_xlfn.NORM.DIST(AW$3,'energy base (MECS)'!$F$11,0.3*'energy base (MECS)'!$F$11,TRUE))</f>
        <v/>
      </c>
      <c r="AX14" s="68">
        <f t="array" ref="AX14">IF($D14,SUMPRODUCT((economics!$AG$2:$AG$167=$B14)*(economics!$D$2:$D$167="whr")*economics!$AH$2:$AH$167*_xlfn.NORM.DIST(AX$3,economics!$AK$2:$AK$167,economics!$AJ$2:$AJ$167,TRUE))+$CR14*_xlfn.NORM.DIST(AX$3,$CU14,0.3*$CU14,TRUE)+$CS14*_xlfn.NORM.DIST(AX$3,$CV14,0.3*$CV14,TRUE),$CW14*_xlfn.NORM.DIST(AX$3,'energy base (MECS)'!$F$11,0.3*'energy base (MECS)'!$F$11,TRUE))</f>
        <v/>
      </c>
      <c r="AY14" s="68">
        <f t="array" ref="AY14">IF($D14,SUMPRODUCT((economics!$AG$2:$AG$167=$B14)*(economics!$D$2:$D$167="whr")*economics!$AH$2:$AH$167*_xlfn.NORM.DIST(AY$3,economics!$AK$2:$AK$167,economics!$AJ$2:$AJ$167,TRUE))+$CR14*_xlfn.NORM.DIST(AY$3,$CU14,0.3*$CU14,TRUE)+$CS14*_xlfn.NORM.DIST(AY$3,$CV14,0.3*$CV14,TRUE),$CW14*_xlfn.NORM.DIST(AY$3,'energy base (MECS)'!$F$11,0.3*'energy base (MECS)'!$F$11,TRUE))</f>
        <v/>
      </c>
      <c r="AZ14" s="68">
        <f t="array" ref="AZ14">IF($D14,SUMPRODUCT((economics!$AG$2:$AG$167=$B14)*(economics!$D$2:$D$167="whr")*economics!$AH$2:$AH$167*_xlfn.NORM.DIST(AZ$3,economics!$AK$2:$AK$167,economics!$AJ$2:$AJ$167,TRUE))+$CR14*_xlfn.NORM.DIST(AZ$3,$CU14,0.3*$CU14,TRUE)+$CS14*_xlfn.NORM.DIST(AZ$3,$CV14,0.3*$CV14,TRUE),$CW14*_xlfn.NORM.DIST(AZ$3,'energy base (MECS)'!$F$11,0.3*'energy base (MECS)'!$F$11,TRUE))</f>
        <v/>
      </c>
      <c r="BA14" s="68">
        <f t="array" ref="BA14">IF($D14,SUMPRODUCT((economics!$AG$2:$AG$167=$B14)*(economics!$D$2:$D$167="whr")*economics!$AH$2:$AH$167*_xlfn.NORM.DIST(BA$3,economics!$AK$2:$AK$167,economics!$AJ$2:$AJ$167,TRUE))+$CR14*_xlfn.NORM.DIST(BA$3,$CU14,0.3*$CU14,TRUE)+$CS14*_xlfn.NORM.DIST(BA$3,$CV14,0.3*$CV14,TRUE),$CW14*_xlfn.NORM.DIST(BA$3,'energy base (MECS)'!$F$11,0.3*'energy base (MECS)'!$F$11,TRUE))</f>
        <v/>
      </c>
      <c r="BB14" s="68">
        <f t="array" ref="BB14">IF($D14,SUMPRODUCT((economics!$AG$2:$AG$167=$B14)*(economics!$D$2:$D$167="whr")*economics!$AH$2:$AH$167*_xlfn.NORM.DIST(BB$3,economics!$AK$2:$AK$167,economics!$AJ$2:$AJ$167,TRUE))+$CR14*_xlfn.NORM.DIST(BB$3,$CU14,0.3*$CU14,TRUE)+$CS14*_xlfn.NORM.DIST(BB$3,$CV14,0.3*$CV14,TRUE),$CW14*_xlfn.NORM.DIST(BB$3,'energy base (MECS)'!$F$11,0.3*'energy base (MECS)'!$F$11,TRUE))</f>
        <v/>
      </c>
      <c r="BC14" s="68">
        <f t="array" ref="BC14">IF($D14,SUMPRODUCT((economics!$AG$2:$AG$167=$B14)*(economics!$D$2:$D$167="whr")*economics!$AH$2:$AH$167*_xlfn.NORM.DIST(BC$3,economics!$AK$2:$AK$167,economics!$AJ$2:$AJ$167,TRUE))+$CR14*_xlfn.NORM.DIST(BC$3,$CU14,0.3*$CU14,TRUE)+$CS14*_xlfn.NORM.DIST(BC$3,$CV14,0.3*$CV14,TRUE),$CW14*_xlfn.NORM.DIST(BC$3,'energy base (MECS)'!$F$11,0.3*'energy base (MECS)'!$F$11,TRUE))</f>
        <v/>
      </c>
      <c r="BD14" s="68">
        <f t="array" ref="BD14">IF($D14,SUMPRODUCT((economics!$AG$2:$AG$167=$B14)*(economics!$D$2:$D$167="whr")*economics!$AH$2:$AH$167*_xlfn.NORM.DIST(BD$3,economics!$AK$2:$AK$167,economics!$AJ$2:$AJ$167,TRUE))+$CR14*_xlfn.NORM.DIST(BD$3,$CU14,0.3*$CU14,TRUE)+$CS14*_xlfn.NORM.DIST(BD$3,$CV14,0.3*$CV14,TRUE),$CW14*_xlfn.NORM.DIST(BD$3,'energy base (MECS)'!$F$11,0.3*'energy base (MECS)'!$F$11,TRUE))</f>
        <v/>
      </c>
      <c r="BE14" s="68">
        <f t="array" ref="BE14">IF($D14,SUMPRODUCT((economics!$AG$2:$AG$167=$B14)*(economics!$D$2:$D$167="whr")*economics!$AH$2:$AH$167*_xlfn.NORM.DIST(BE$3,economics!$AK$2:$AK$167,economics!$AJ$2:$AJ$167,TRUE))+$CR14*_xlfn.NORM.DIST(BE$3,$CU14,0.3*$CU14,TRUE)+$CS14*_xlfn.NORM.DIST(BE$3,$CV14,0.3*$CV14,TRUE),$CW14*_xlfn.NORM.DIST(BE$3,'energy base (MECS)'!$F$11,0.3*'energy base (MECS)'!$F$11,TRUE))</f>
        <v/>
      </c>
      <c r="BF14" s="68">
        <f t="array" ref="BF14">IF($D14,SUMPRODUCT((economics!$AG$2:$AG$167=$B14)*(economics!$D$2:$D$167="whr")*economics!$AH$2:$AH$167*_xlfn.NORM.DIST(BF$3,economics!$AK$2:$AK$167,economics!$AJ$2:$AJ$167,TRUE))+$CR14*_xlfn.NORM.DIST(BF$3,$CU14,0.3*$CU14,TRUE)+$CS14*_xlfn.NORM.DIST(BF$3,$CV14,0.3*$CV14,TRUE),$CW14*_xlfn.NORM.DIST(BF$3,'energy base (MECS)'!$F$11,0.3*'energy base (MECS)'!$F$11,TRUE))</f>
        <v/>
      </c>
      <c r="BG14" s="68">
        <f t="array" ref="BG14">IF($D14,SUMPRODUCT((economics!$AG$2:$AG$167=$B14)*(economics!$D$2:$D$167="whr")*economics!$AH$2:$AH$167*_xlfn.NORM.DIST(BG$3,economics!$AK$2:$AK$167,economics!$AJ$2:$AJ$167,TRUE))+$CR14*_xlfn.NORM.DIST(BG$3,$CU14,0.3*$CU14,TRUE)+$CS14*_xlfn.NORM.DIST(BG$3,$CV14,0.3*$CV14,TRUE),$CW14*_xlfn.NORM.DIST(BG$3,'energy base (MECS)'!$F$11,0.3*'energy base (MECS)'!$F$11,TRUE))</f>
        <v/>
      </c>
      <c r="BH14" s="68">
        <f t="array" ref="BH14">IF($D14,SUMPRODUCT((economics!$AG$2:$AG$167=$B14)*(economics!$D$2:$D$167="whr")*economics!$AH$2:$AH$167*_xlfn.NORM.DIST(BH$3,economics!$AK$2:$AK$167,economics!$AJ$2:$AJ$167,TRUE))+$CR14*_xlfn.NORM.DIST(BH$3,$CU14,0.3*$CU14,TRUE)+$CS14*_xlfn.NORM.DIST(BH$3,$CV14,0.3*$CV14,TRUE),$CW14*_xlfn.NORM.DIST(BH$3,'energy base (MECS)'!$F$11,0.3*'energy base (MECS)'!$F$11,TRUE))</f>
        <v/>
      </c>
      <c r="BI14" s="68">
        <f t="array" ref="BI14">IF($D14,SUMPRODUCT((economics!$AG$2:$AG$167=$B14)*(economics!$D$2:$D$167="whr")*economics!$AH$2:$AH$167*_xlfn.NORM.DIST(BI$3,economics!$AK$2:$AK$167,economics!$AJ$2:$AJ$167,TRUE))+$CR14*_xlfn.NORM.DIST(BI$3,$CU14,0.3*$CU14,TRUE)+$CS14*_xlfn.NORM.DIST(BI$3,$CV14,0.3*$CV14,TRUE),$CW14*_xlfn.NORM.DIST(BI$3,'energy base (MECS)'!$F$11,0.3*'energy base (MECS)'!$F$11,TRUE))</f>
        <v/>
      </c>
      <c r="BJ14" s="68">
        <f t="array" ref="BJ14">IF($D14,SUMPRODUCT((economics!$AG$2:$AG$167=$B14)*(economics!$D$2:$D$167="whr")*economics!$AH$2:$AH$167*_xlfn.NORM.DIST(BJ$3,economics!$AK$2:$AK$167,economics!$AJ$2:$AJ$167,TRUE))+$CR14*_xlfn.NORM.DIST(BJ$3,$CU14,0.3*$CU14,TRUE)+$CS14*_xlfn.NORM.DIST(BJ$3,$CV14,0.3*$CV14,TRUE),$CW14*_xlfn.NORM.DIST(BJ$3,'energy base (MECS)'!$F$11,0.3*'energy base (MECS)'!$F$11,TRUE))</f>
        <v/>
      </c>
      <c r="BK14" s="68">
        <f t="array" ref="BK14">IF($D14,SUMPRODUCT((economics!$AG$2:$AG$167=$B14)*(economics!$D$2:$D$167="whr")*economics!$AH$2:$AH$167*_xlfn.NORM.DIST(BK$3,economics!$AK$2:$AK$167,economics!$AJ$2:$AJ$167,TRUE))+$CR14*_xlfn.NORM.DIST(BK$3,$CU14,0.3*$CU14,TRUE)+$CS14*_xlfn.NORM.DIST(BK$3,$CV14,0.3*$CV14,TRUE),$CW14*_xlfn.NORM.DIST(BK$3,'energy base (MECS)'!$F$11,0.3*'energy base (MECS)'!$F$11,TRUE))</f>
        <v/>
      </c>
      <c r="BL14" s="68">
        <f t="array" ref="BL14">IF($D14,SUMPRODUCT((economics!$AG$2:$AG$167=$B14)*(economics!$D$2:$D$167="whr")*economics!$AH$2:$AH$167*_xlfn.NORM.DIST(BL$3,economics!$AK$2:$AK$167,economics!$AJ$2:$AJ$167,TRUE))+$CR14*_xlfn.NORM.DIST(BL$3,$CU14,0.3*$CU14,TRUE)+$CS14*_xlfn.NORM.DIST(BL$3,$CV14,0.3*$CV14,TRUE),$CW14*_xlfn.NORM.DIST(BL$3,'energy base (MECS)'!$F$11,0.3*'energy base (MECS)'!$F$11,TRUE))</f>
        <v/>
      </c>
      <c r="BM14" s="68">
        <f t="array" ref="BM14">IF($D14,SUMPRODUCT((economics!$AG$2:$AG$167=$B14)*(economics!$D$2:$D$167="whr")*economics!$AH$2:$AH$167*_xlfn.NORM.DIST(BM$3,economics!$AK$2:$AK$167,economics!$AJ$2:$AJ$167,TRUE))+$CR14*_xlfn.NORM.DIST(BM$3,$CU14,0.3*$CU14,TRUE)+$CS14*_xlfn.NORM.DIST(BM$3,$CV14,0.3*$CV14,TRUE),$CW14*_xlfn.NORM.DIST(BM$3,'energy base (MECS)'!$F$11,0.3*'energy base (MECS)'!$F$11,TRUE))</f>
        <v/>
      </c>
      <c r="BN14" s="68">
        <f t="array" ref="BN14">IF($D14,SUMPRODUCT((economics!$AG$2:$AG$167=$B14)*(economics!$D$2:$D$167="whr")*economics!$AH$2:$AH$167*_xlfn.NORM.DIST(BN$3,economics!$AK$2:$AK$167,economics!$AJ$2:$AJ$167,TRUE))+$CR14*_xlfn.NORM.DIST(BN$3,$CU14,0.3*$CU14,TRUE)+$CS14*_xlfn.NORM.DIST(BN$3,$CV14,0.3*$CV14,TRUE),$CW14*_xlfn.NORM.DIST(BN$3,'energy base (MECS)'!$F$11,0.3*'energy base (MECS)'!$F$11,TRUE))</f>
        <v/>
      </c>
      <c r="BO14" s="68">
        <f t="array" ref="BO14">IF($D14,SUMPRODUCT((economics!$AG$2:$AG$167=$B14)*(economics!$D$2:$D$167="whr")*economics!$AH$2:$AH$167*_xlfn.NORM.DIST(BO$3,economics!$AK$2:$AK$167,economics!$AJ$2:$AJ$167,TRUE))+$CR14*_xlfn.NORM.DIST(BO$3,$CU14,0.3*$CU14,TRUE)+$CS14*_xlfn.NORM.DIST(BO$3,$CV14,0.3*$CV14,TRUE),$CW14*_xlfn.NORM.DIST(BO$3,'energy base (MECS)'!$F$11,0.3*'energy base (MECS)'!$F$11,TRUE))</f>
        <v/>
      </c>
      <c r="BP14" s="68">
        <f t="array" ref="BP14">IF($D14,SUMPRODUCT((economics!$AG$2:$AG$167=$B14)*(economics!$D$2:$D$167="whr")*economics!$AH$2:$AH$167*_xlfn.NORM.DIST(BP$3,economics!$AK$2:$AK$167,economics!$AJ$2:$AJ$167,TRUE))+$CR14*_xlfn.NORM.DIST(BP$3,$CU14,0.3*$CU14,TRUE)+$CS14*_xlfn.NORM.DIST(BP$3,$CV14,0.3*$CV14,TRUE),$CW14*_xlfn.NORM.DIST(BP$3,'energy base (MECS)'!$F$11,0.3*'energy base (MECS)'!$F$11,TRUE))</f>
        <v/>
      </c>
      <c r="BQ14" s="68">
        <f t="array" ref="BQ14">IF($D14,SUMPRODUCT((economics!$AG$2:$AG$167=$B14)*(economics!$D$2:$D$167="whr")*economics!$AH$2:$AH$167*_xlfn.NORM.DIST(BQ$3,economics!$AK$2:$AK$167,economics!$AJ$2:$AJ$167,TRUE))+$CR14*_xlfn.NORM.DIST(BQ$3,$CU14,0.3*$CU14,TRUE)+$CS14*_xlfn.NORM.DIST(BQ$3,$CV14,0.3*$CV14,TRUE),$CW14*_xlfn.NORM.DIST(BQ$3,'energy base (MECS)'!$F$11,0.3*'energy base (MECS)'!$F$11,TRUE))</f>
        <v/>
      </c>
      <c r="BR14" s="68">
        <f t="array" ref="BR14">IF($D14,SUMPRODUCT((economics!$AG$2:$AG$167=$B14)*(economics!$D$2:$D$167="whr")*economics!$AH$2:$AH$167*_xlfn.NORM.DIST(BR$3,economics!$AK$2:$AK$167,economics!$AJ$2:$AJ$167,TRUE))+$CR14*_xlfn.NORM.DIST(BR$3,$CU14,0.3*$CU14,TRUE)+$CS14*_xlfn.NORM.DIST(BR$3,$CV14,0.3*$CV14,TRUE),$CW14*_xlfn.NORM.DIST(BR$3,'energy base (MECS)'!$F$11,0.3*'energy base (MECS)'!$F$11,TRUE))</f>
        <v/>
      </c>
      <c r="BS14" s="68">
        <f t="array" ref="BS14">IF($D14,SUMPRODUCT((economics!$AG$2:$AG$167=$B14)*(economics!$D$2:$D$167="whr")*economics!$AH$2:$AH$167*_xlfn.NORM.DIST(BS$3,economics!$AK$2:$AK$167,economics!$AJ$2:$AJ$167,TRUE))+$CR14*_xlfn.NORM.DIST(BS$3,$CU14,0.3*$CU14,TRUE)+$CS14*_xlfn.NORM.DIST(BS$3,$CV14,0.3*$CV14,TRUE),$CW14*_xlfn.NORM.DIST(BS$3,'energy base (MECS)'!$F$11,0.3*'energy base (MECS)'!$F$11,TRUE))</f>
        <v/>
      </c>
      <c r="BT14" s="68">
        <f t="array" ref="BT14">IF($D14,SUMPRODUCT((economics!$AG$2:$AG$167=$B14)*(economics!$D$2:$D$167="whr")*economics!$AH$2:$AH$167*_xlfn.NORM.DIST(BT$3,economics!$AK$2:$AK$167,economics!$AJ$2:$AJ$167,TRUE))+$CR14*_xlfn.NORM.DIST(BT$3,$CU14,0.3*$CU14,TRUE)+$CS14*_xlfn.NORM.DIST(BT$3,$CV14,0.3*$CV14,TRUE),$CW14*_xlfn.NORM.DIST(BT$3,'energy base (MECS)'!$F$11,0.3*'energy base (MECS)'!$F$11,TRUE))</f>
        <v/>
      </c>
      <c r="BU14" s="68">
        <f t="array" ref="BU14">IF($D14,SUMPRODUCT((economics!$AG$2:$AG$167=$B14)*(economics!$D$2:$D$167="whr")*economics!$AH$2:$AH$167*_xlfn.NORM.DIST(BU$3,economics!$AK$2:$AK$167,economics!$AJ$2:$AJ$167,TRUE))+$CR14*_xlfn.NORM.DIST(BU$3,$CU14,0.3*$CU14,TRUE)+$CS14*_xlfn.NORM.DIST(BU$3,$CV14,0.3*$CV14,TRUE),$CW14*_xlfn.NORM.DIST(BU$3,'energy base (MECS)'!$F$11,0.3*'energy base (MECS)'!$F$11,TRUE))</f>
        <v/>
      </c>
      <c r="BV14" s="68">
        <f t="array" ref="BV14">IF($D14,SUMPRODUCT((economics!$AG$2:$AG$167=$B14)*(economics!$D$2:$D$167="whr")*economics!$AH$2:$AH$167*_xlfn.NORM.DIST(BV$3,economics!$AK$2:$AK$167,economics!$AJ$2:$AJ$167,TRUE))+$CR14*_xlfn.NORM.DIST(BV$3,$CU14,0.3*$CU14,TRUE)+$CS14*_xlfn.NORM.DIST(BV$3,$CV14,0.3*$CV14,TRUE),$CW14*_xlfn.NORM.DIST(BV$3,'energy base (MECS)'!$F$11,0.3*'energy base (MECS)'!$F$11,TRUE))</f>
        <v/>
      </c>
      <c r="BW14" s="68">
        <f t="array" ref="BW14">IF($D14,SUMPRODUCT((economics!$AG$2:$AG$167=$B14)*(economics!$D$2:$D$167="whr")*economics!$AH$2:$AH$167*_xlfn.NORM.DIST(BW$3,economics!$AK$2:$AK$167,economics!$AJ$2:$AJ$167,TRUE))+$CR14*_xlfn.NORM.DIST(BW$3,$CU14,0.3*$CU14,TRUE)+$CS14*_xlfn.NORM.DIST(BW$3,$CV14,0.3*$CV14,TRUE),$CW14*_xlfn.NORM.DIST(BW$3,'energy base (MECS)'!$F$11,0.3*'energy base (MECS)'!$F$11,TRUE))</f>
        <v/>
      </c>
      <c r="BX14" s="68">
        <f t="array" ref="BX14">IF($D14,SUMPRODUCT((economics!$AG$2:$AG$167=$B14)*(economics!$D$2:$D$167="whr")*economics!$AH$2:$AH$167*_xlfn.NORM.DIST(BX$3,economics!$AK$2:$AK$167,economics!$AJ$2:$AJ$167,TRUE))+$CR14*_xlfn.NORM.DIST(BX$3,$CU14,0.3*$CU14,TRUE)+$CS14*_xlfn.NORM.DIST(BX$3,$CV14,0.3*$CV14,TRUE),$CW14*_xlfn.NORM.DIST(BX$3,'energy base (MECS)'!$F$11,0.3*'energy base (MECS)'!$F$11,TRUE))</f>
        <v/>
      </c>
      <c r="BY14" s="68">
        <f t="array" ref="BY14">IF($D14,SUMPRODUCT((economics!$AG$2:$AG$167=$B14)*(economics!$D$2:$D$167="whr")*economics!$AH$2:$AH$167*_xlfn.NORM.DIST(BY$3,economics!$AK$2:$AK$167,economics!$AJ$2:$AJ$167,TRUE))+$CR14*_xlfn.NORM.DIST(BY$3,$CU14,0.3*$CU14,TRUE)+$CS14*_xlfn.NORM.DIST(BY$3,$CV14,0.3*$CV14,TRUE),$CW14*_xlfn.NORM.DIST(BY$3,'energy base (MECS)'!$F$11,0.3*'energy base (MECS)'!$F$11,TRUE))</f>
        <v/>
      </c>
      <c r="BZ14" s="68">
        <f t="array" ref="BZ14">IF($D14,SUMPRODUCT((economics!$AG$2:$AG$167=$B14)*(economics!$D$2:$D$167="whr")*economics!$AH$2:$AH$167*_xlfn.NORM.DIST(BZ$3,economics!$AK$2:$AK$167,economics!$AJ$2:$AJ$167,TRUE))+$CR14*_xlfn.NORM.DIST(BZ$3,$CU14,0.3*$CU14,TRUE)+$CS14*_xlfn.NORM.DIST(BZ$3,$CV14,0.3*$CV14,TRUE),$CW14*_xlfn.NORM.DIST(BZ$3,'energy base (MECS)'!$F$11,0.3*'energy base (MECS)'!$F$11,TRUE))</f>
        <v/>
      </c>
      <c r="CA14" s="68">
        <f t="array" ref="CA14">IF($D14,SUMPRODUCT((economics!$AG$2:$AG$167=$B14)*(economics!$D$2:$D$167="whr")*economics!$AH$2:$AH$167*_xlfn.NORM.DIST(CA$3,economics!$AK$2:$AK$167,economics!$AJ$2:$AJ$167,TRUE))+$CR14*_xlfn.NORM.DIST(CA$3,$CU14,0.3*$CU14,TRUE)+$CS14*_xlfn.NORM.DIST(CA$3,$CV14,0.3*$CV14,TRUE),$CW14*_xlfn.NORM.DIST(CA$3,'energy base (MECS)'!$F$11,0.3*'energy base (MECS)'!$F$11,TRUE))</f>
        <v/>
      </c>
      <c r="CB14" s="68">
        <f t="array" ref="CB14">IF($D14,SUMPRODUCT((economics!$AG$2:$AG$167=$B14)*(economics!$D$2:$D$167="whr")*economics!$AH$2:$AH$167*_xlfn.NORM.DIST(CB$3,economics!$AK$2:$AK$167,economics!$AJ$2:$AJ$167,TRUE))+$CR14*_xlfn.NORM.DIST(CB$3,$CU14,0.3*$CU14,TRUE)+$CS14*_xlfn.NORM.DIST(CB$3,$CV14,0.3*$CV14,TRUE),$CW14*_xlfn.NORM.DIST(CB$3,'energy base (MECS)'!$F$11,0.3*'energy base (MECS)'!$F$11,TRUE))</f>
        <v/>
      </c>
      <c r="CC14" s="68">
        <f t="array" ref="CC14">IF($D14,SUMPRODUCT((economics!$AG$2:$AG$167=$B14)*(economics!$D$2:$D$167="whr")*economics!$AH$2:$AH$167*_xlfn.NORM.DIST(CC$3,economics!$AK$2:$AK$167,economics!$AJ$2:$AJ$167,TRUE))+$CR14*_xlfn.NORM.DIST(CC$3,$CU14,0.3*$CU14,TRUE)+$CS14*_xlfn.NORM.DIST(CC$3,$CV14,0.3*$CV14,TRUE),$CW14*_xlfn.NORM.DIST(CC$3,'energy base (MECS)'!$F$11,0.3*'energy base (MECS)'!$F$11,TRUE))</f>
        <v/>
      </c>
      <c r="CD14" s="68">
        <f t="array" ref="CD14">IF($D14,SUMPRODUCT((economics!$AG$2:$AG$167=$B14)*(economics!$D$2:$D$167="whr")*economics!$AH$2:$AH$167*_xlfn.NORM.DIST(CD$3,economics!$AK$2:$AK$167,economics!$AJ$2:$AJ$167,TRUE))+$CR14*_xlfn.NORM.DIST(CD$3,$CU14,0.3*$CU14,TRUE)+$CS14*_xlfn.NORM.DIST(CD$3,$CV14,0.3*$CV14,TRUE),$CW14*_xlfn.NORM.DIST(CD$3,'energy base (MECS)'!$F$11,0.3*'energy base (MECS)'!$F$11,TRUE))</f>
        <v/>
      </c>
      <c r="CE14" s="68">
        <f t="array" ref="CE14">IF($D14,SUMPRODUCT((economics!$AG$2:$AG$167=$B14)*(economics!$D$2:$D$167="whr")*economics!$AH$2:$AH$167*_xlfn.NORM.DIST(CE$3,economics!$AK$2:$AK$167,economics!$AJ$2:$AJ$167,TRUE))+$CR14*_xlfn.NORM.DIST(CE$3,$CU14,0.3*$CU14,TRUE)+$CS14*_xlfn.NORM.DIST(CE$3,$CV14,0.3*$CV14,TRUE),$CW14*_xlfn.NORM.DIST(CE$3,'energy base (MECS)'!$F$11,0.3*'energy base (MECS)'!$F$11,TRUE))</f>
        <v/>
      </c>
      <c r="CF14" s="68">
        <f t="array" ref="CF14">IF($D14,SUMPRODUCT((economics!$AG$2:$AG$167=$B14)*(economics!$D$2:$D$167="whr")*economics!$AH$2:$AH$167*_xlfn.NORM.DIST(CF$3,economics!$AK$2:$AK$167,economics!$AJ$2:$AJ$167,TRUE))+$CR14*_xlfn.NORM.DIST(CF$3,$CU14,0.3*$CU14,TRUE)+$CS14*_xlfn.NORM.DIST(CF$3,$CV14,0.3*$CV14,TRUE),$CW14*_xlfn.NORM.DIST(CF$3,'energy base (MECS)'!$F$11,0.3*'energy base (MECS)'!$F$11,TRUE))</f>
        <v/>
      </c>
      <c r="CG14" s="68">
        <f t="array" ref="CG14">IF($D14,SUMPRODUCT((economics!$AG$2:$AG$167=$B14)*(economics!$D$2:$D$167="whr")*economics!$AH$2:$AH$167*_xlfn.NORM.DIST(CG$3,economics!$AK$2:$AK$167,economics!$AJ$2:$AJ$167,TRUE))+$CR14*_xlfn.NORM.DIST(CG$3,$CU14,0.3*$CU14,TRUE)+$CS14*_xlfn.NORM.DIST(CG$3,$CV14,0.3*$CV14,TRUE),$CW14*_xlfn.NORM.DIST(CG$3,'energy base (MECS)'!$F$11,0.3*'energy base (MECS)'!$F$11,TRUE))</f>
        <v/>
      </c>
      <c r="CH14" s="68">
        <f t="array" ref="CH14">IF($D14,SUMPRODUCT((economics!$AG$2:$AG$167=$B14)*(economics!$D$2:$D$167="whr")*economics!$AH$2:$AH$167*_xlfn.NORM.DIST(CH$3,economics!$AK$2:$AK$167,economics!$AJ$2:$AJ$167,TRUE))+$CR14*_xlfn.NORM.DIST(CH$3,$CU14,0.3*$CU14,TRUE)+$CS14*_xlfn.NORM.DIST(CH$3,$CV14,0.3*$CV14,TRUE),$CW14*_xlfn.NORM.DIST(CH$3,'energy base (MECS)'!$F$11,0.3*'energy base (MECS)'!$F$11,TRUE))</f>
        <v/>
      </c>
      <c r="CJ14">
        <f t="array" ref="CJ14">SUMPRODUCT((economics!$AG$2:$AG$167=$B14)*(economics!$D$2:$D$167="whr")*economics!$AH$2:$AH$167)</f>
        <v/>
      </c>
      <c r="CK14" s="80">
        <f>'indst heat consumption'!D14</f>
        <v/>
      </c>
      <c r="CL14" s="80">
        <f>'indst heat consumption'!E14</f>
        <v/>
      </c>
      <c r="CM14" s="80">
        <f>'indst heat consumption'!F14</f>
        <v/>
      </c>
      <c r="CN14" s="80">
        <f>'indst heat consumption'!G14</f>
        <v/>
      </c>
      <c r="CO14" s="80">
        <f>'indst heat consumption'!H14</f>
        <v/>
      </c>
      <c r="CP14">
        <f>$C14*(CK14*summary!$B$94+CL14*summary!$C$94+CM14*summary!$D$94)</f>
        <v/>
      </c>
      <c r="CQ14">
        <f>$C14*(CN14*summary!$E$94+CO14*summary!$F$94)</f>
        <v/>
      </c>
      <c r="CR14">
        <f>IF(CP14+CQ14&gt;0,CP14*MAX(0,CP14+CQ14-CJ14)/(CP14+CQ14),0)</f>
        <v/>
      </c>
      <c r="CS14">
        <f>IF(CP14+CQ14&gt;0,CQ14*MAX(0,CP14+CQ14-CJ14)/(CP14+CQ14),0)</f>
        <v/>
      </c>
      <c r="CT14">
        <f>IFERROR(_xlfn.XLOOKUP($B14,'BCoISC-WACCbI'!$C$2:$C$26,'BCoISC-WACCbI'!$B$2:$B$26)+economics!$AE$4,0.1)</f>
        <v/>
      </c>
      <c r="CU14">
        <f>(summary!$C$7*(CT14/(1-(1+CT14)^-summary!$D$7))+summary!$C$7*summary!$E$7)/(summary!$F$7*3412/1000000)</f>
        <v/>
      </c>
      <c r="CV14">
        <f>(summary!$C$6*(CT14/(1-(1+CT14)^-summary!$D$6))+summary!$C$6*summary!$E$6)/(summary!$F$6*3412/1000000)</f>
        <v/>
      </c>
      <c r="CW14">
        <f>CR14+CS14</f>
        <v/>
      </c>
    </row>
    <row r="15">
      <c r="A15">
        <f>WHRPbI!A13</f>
        <v/>
      </c>
      <c r="B15" t="n">
        <v>231</v>
      </c>
      <c r="C15" s="68">
        <f>WHRPbI!B13</f>
        <v/>
      </c>
      <c r="D15">
        <f>ISNUMBER(MATCH($B15,'energy base (MECS)'!$K$4:$K$9,0))</f>
        <v/>
      </c>
      <c r="E15" s="68">
        <f t="array" ref="E15">IF($D15,SUMPRODUCT((economics!$AG$2:$AG$167=$B15)*(economics!$D$2:$D$167="whr")*economics!$AH$2:$AH$167*_xlfn.NORM.DIST(E$3,economics!$AK$2:$AK$167,economics!$AJ$2:$AJ$167,TRUE))+$CR15*_xlfn.NORM.DIST(E$3,$CU15,0.3*$CU15,TRUE)+$CS15*_xlfn.NORM.DIST(E$3,$CV15,0.3*$CV15,TRUE),$CW15*_xlfn.NORM.DIST(E$3,'energy base (MECS)'!$F$11,0.3*'energy base (MECS)'!$F$11,TRUE))</f>
        <v/>
      </c>
      <c r="F15" s="68">
        <f t="array" ref="F15">IF($D15,SUMPRODUCT((economics!$AG$2:$AG$167=$B15)*(economics!$D$2:$D$167="whr")*economics!$AH$2:$AH$167*_xlfn.NORM.DIST(F$3,economics!$AK$2:$AK$167,economics!$AJ$2:$AJ$167,TRUE))+$CR15*_xlfn.NORM.DIST(F$3,$CU15,0.3*$CU15,TRUE)+$CS15*_xlfn.NORM.DIST(F$3,$CV15,0.3*$CV15,TRUE),$CW15*_xlfn.NORM.DIST(F$3,'energy base (MECS)'!$F$11,0.3*'energy base (MECS)'!$F$11,TRUE))</f>
        <v/>
      </c>
      <c r="G15" s="68">
        <f t="array" ref="G15">IF($D15,SUMPRODUCT((economics!$AG$2:$AG$167=$B15)*(economics!$D$2:$D$167="whr")*economics!$AH$2:$AH$167*_xlfn.NORM.DIST(G$3,economics!$AK$2:$AK$167,economics!$AJ$2:$AJ$167,TRUE))+$CR15*_xlfn.NORM.DIST(G$3,$CU15,0.3*$CU15,TRUE)+$CS15*_xlfn.NORM.DIST(G$3,$CV15,0.3*$CV15,TRUE),$CW15*_xlfn.NORM.DIST(G$3,'energy base (MECS)'!$F$11,0.3*'energy base (MECS)'!$F$11,TRUE))</f>
        <v/>
      </c>
      <c r="H15" s="68">
        <f t="array" ref="H15">IF($D15,SUMPRODUCT((economics!$AG$2:$AG$167=$B15)*(economics!$D$2:$D$167="whr")*economics!$AH$2:$AH$167*_xlfn.NORM.DIST(H$3,economics!$AK$2:$AK$167,economics!$AJ$2:$AJ$167,TRUE))+$CR15*_xlfn.NORM.DIST(H$3,$CU15,0.3*$CU15,TRUE)+$CS15*_xlfn.NORM.DIST(H$3,$CV15,0.3*$CV15,TRUE),$CW15*_xlfn.NORM.DIST(H$3,'energy base (MECS)'!$F$11,0.3*'energy base (MECS)'!$F$11,TRUE))</f>
        <v/>
      </c>
      <c r="I15" s="68">
        <f t="array" ref="I15">IF($D15,SUMPRODUCT((economics!$AG$2:$AG$167=$B15)*(economics!$D$2:$D$167="whr")*economics!$AH$2:$AH$167*_xlfn.NORM.DIST(I$3,economics!$AK$2:$AK$167,economics!$AJ$2:$AJ$167,TRUE))+$CR15*_xlfn.NORM.DIST(I$3,$CU15,0.3*$CU15,TRUE)+$CS15*_xlfn.NORM.DIST(I$3,$CV15,0.3*$CV15,TRUE),$CW15*_xlfn.NORM.DIST(I$3,'energy base (MECS)'!$F$11,0.3*'energy base (MECS)'!$F$11,TRUE))</f>
        <v/>
      </c>
      <c r="J15" s="68">
        <f t="array" ref="J15">IF($D15,SUMPRODUCT((economics!$AG$2:$AG$167=$B15)*(economics!$D$2:$D$167="whr")*economics!$AH$2:$AH$167*_xlfn.NORM.DIST(J$3,economics!$AK$2:$AK$167,economics!$AJ$2:$AJ$167,TRUE))+$CR15*_xlfn.NORM.DIST(J$3,$CU15,0.3*$CU15,TRUE)+$CS15*_xlfn.NORM.DIST(J$3,$CV15,0.3*$CV15,TRUE),$CW15*_xlfn.NORM.DIST(J$3,'energy base (MECS)'!$F$11,0.3*'energy base (MECS)'!$F$11,TRUE))</f>
        <v/>
      </c>
      <c r="K15" s="68">
        <f t="array" ref="K15">IF($D15,SUMPRODUCT((economics!$AG$2:$AG$167=$B15)*(economics!$D$2:$D$167="whr")*economics!$AH$2:$AH$167*_xlfn.NORM.DIST(K$3,economics!$AK$2:$AK$167,economics!$AJ$2:$AJ$167,TRUE))+$CR15*_xlfn.NORM.DIST(K$3,$CU15,0.3*$CU15,TRUE)+$CS15*_xlfn.NORM.DIST(K$3,$CV15,0.3*$CV15,TRUE),$CW15*_xlfn.NORM.DIST(K$3,'energy base (MECS)'!$F$11,0.3*'energy base (MECS)'!$F$11,TRUE))</f>
        <v/>
      </c>
      <c r="L15" s="68">
        <f t="array" ref="L15">IF($D15,SUMPRODUCT((economics!$AG$2:$AG$167=$B15)*(economics!$D$2:$D$167="whr")*economics!$AH$2:$AH$167*_xlfn.NORM.DIST(L$3,economics!$AK$2:$AK$167,economics!$AJ$2:$AJ$167,TRUE))+$CR15*_xlfn.NORM.DIST(L$3,$CU15,0.3*$CU15,TRUE)+$CS15*_xlfn.NORM.DIST(L$3,$CV15,0.3*$CV15,TRUE),$CW15*_xlfn.NORM.DIST(L$3,'energy base (MECS)'!$F$11,0.3*'energy base (MECS)'!$F$11,TRUE))</f>
        <v/>
      </c>
      <c r="M15" s="68">
        <f t="array" ref="M15">IF($D15,SUMPRODUCT((economics!$AG$2:$AG$167=$B15)*(economics!$D$2:$D$167="whr")*economics!$AH$2:$AH$167*_xlfn.NORM.DIST(M$3,economics!$AK$2:$AK$167,economics!$AJ$2:$AJ$167,TRUE))+$CR15*_xlfn.NORM.DIST(M$3,$CU15,0.3*$CU15,TRUE)+$CS15*_xlfn.NORM.DIST(M$3,$CV15,0.3*$CV15,TRUE),$CW15*_xlfn.NORM.DIST(M$3,'energy base (MECS)'!$F$11,0.3*'energy base (MECS)'!$F$11,TRUE))</f>
        <v/>
      </c>
      <c r="N15" s="68">
        <f t="array" ref="N15">IF($D15,SUMPRODUCT((economics!$AG$2:$AG$167=$B15)*(economics!$D$2:$D$167="whr")*economics!$AH$2:$AH$167*_xlfn.NORM.DIST(N$3,economics!$AK$2:$AK$167,economics!$AJ$2:$AJ$167,TRUE))+$CR15*_xlfn.NORM.DIST(N$3,$CU15,0.3*$CU15,TRUE)+$CS15*_xlfn.NORM.DIST(N$3,$CV15,0.3*$CV15,TRUE),$CW15*_xlfn.NORM.DIST(N$3,'energy base (MECS)'!$F$11,0.3*'energy base (MECS)'!$F$11,TRUE))</f>
        <v/>
      </c>
      <c r="O15" s="68">
        <f t="array" ref="O15">IF($D15,SUMPRODUCT((economics!$AG$2:$AG$167=$B15)*(economics!$D$2:$D$167="whr")*economics!$AH$2:$AH$167*_xlfn.NORM.DIST(O$3,economics!$AK$2:$AK$167,economics!$AJ$2:$AJ$167,TRUE))+$CR15*_xlfn.NORM.DIST(O$3,$CU15,0.3*$CU15,TRUE)+$CS15*_xlfn.NORM.DIST(O$3,$CV15,0.3*$CV15,TRUE),$CW15*_xlfn.NORM.DIST(O$3,'energy base (MECS)'!$F$11,0.3*'energy base (MECS)'!$F$11,TRUE))</f>
        <v/>
      </c>
      <c r="P15" s="68">
        <f t="array" ref="P15">IF($D15,SUMPRODUCT((economics!$AG$2:$AG$167=$B15)*(economics!$D$2:$D$167="whr")*economics!$AH$2:$AH$167*_xlfn.NORM.DIST(P$3,economics!$AK$2:$AK$167,economics!$AJ$2:$AJ$167,TRUE))+$CR15*_xlfn.NORM.DIST(P$3,$CU15,0.3*$CU15,TRUE)+$CS15*_xlfn.NORM.DIST(P$3,$CV15,0.3*$CV15,TRUE),$CW15*_xlfn.NORM.DIST(P$3,'energy base (MECS)'!$F$11,0.3*'energy base (MECS)'!$F$11,TRUE))</f>
        <v/>
      </c>
      <c r="Q15" s="68">
        <f t="array" ref="Q15">IF($D15,SUMPRODUCT((economics!$AG$2:$AG$167=$B15)*(economics!$D$2:$D$167="whr")*economics!$AH$2:$AH$167*_xlfn.NORM.DIST(Q$3,economics!$AK$2:$AK$167,economics!$AJ$2:$AJ$167,TRUE))+$CR15*_xlfn.NORM.DIST(Q$3,$CU15,0.3*$CU15,TRUE)+$CS15*_xlfn.NORM.DIST(Q$3,$CV15,0.3*$CV15,TRUE),$CW15*_xlfn.NORM.DIST(Q$3,'energy base (MECS)'!$F$11,0.3*'energy base (MECS)'!$F$11,TRUE))</f>
        <v/>
      </c>
      <c r="R15" s="68">
        <f t="array" ref="R15">IF($D15,SUMPRODUCT((economics!$AG$2:$AG$167=$B15)*(economics!$D$2:$D$167="whr")*economics!$AH$2:$AH$167*_xlfn.NORM.DIST(R$3,economics!$AK$2:$AK$167,economics!$AJ$2:$AJ$167,TRUE))+$CR15*_xlfn.NORM.DIST(R$3,$CU15,0.3*$CU15,TRUE)+$CS15*_xlfn.NORM.DIST(R$3,$CV15,0.3*$CV15,TRUE),$CW15*_xlfn.NORM.DIST(R$3,'energy base (MECS)'!$F$11,0.3*'energy base (MECS)'!$F$11,TRUE))</f>
        <v/>
      </c>
      <c r="S15" s="68">
        <f t="array" ref="S15">IF($D15,SUMPRODUCT((economics!$AG$2:$AG$167=$B15)*(economics!$D$2:$D$167="whr")*economics!$AH$2:$AH$167*_xlfn.NORM.DIST(S$3,economics!$AK$2:$AK$167,economics!$AJ$2:$AJ$167,TRUE))+$CR15*_xlfn.NORM.DIST(S$3,$CU15,0.3*$CU15,TRUE)+$CS15*_xlfn.NORM.DIST(S$3,$CV15,0.3*$CV15,TRUE),$CW15*_xlfn.NORM.DIST(S$3,'energy base (MECS)'!$F$11,0.3*'energy base (MECS)'!$F$11,TRUE))</f>
        <v/>
      </c>
      <c r="T15" s="68">
        <f t="array" ref="T15">IF($D15,SUMPRODUCT((economics!$AG$2:$AG$167=$B15)*(economics!$D$2:$D$167="whr")*economics!$AH$2:$AH$167*_xlfn.NORM.DIST(T$3,economics!$AK$2:$AK$167,economics!$AJ$2:$AJ$167,TRUE))+$CR15*_xlfn.NORM.DIST(T$3,$CU15,0.3*$CU15,TRUE)+$CS15*_xlfn.NORM.DIST(T$3,$CV15,0.3*$CV15,TRUE),$CW15*_xlfn.NORM.DIST(T$3,'energy base (MECS)'!$F$11,0.3*'energy base (MECS)'!$F$11,TRUE))</f>
        <v/>
      </c>
      <c r="U15" s="68">
        <f t="array" ref="U15">IF($D15,SUMPRODUCT((economics!$AG$2:$AG$167=$B15)*(economics!$D$2:$D$167="whr")*economics!$AH$2:$AH$167*_xlfn.NORM.DIST(U$3,economics!$AK$2:$AK$167,economics!$AJ$2:$AJ$167,TRUE))+$CR15*_xlfn.NORM.DIST(U$3,$CU15,0.3*$CU15,TRUE)+$CS15*_xlfn.NORM.DIST(U$3,$CV15,0.3*$CV15,TRUE),$CW15*_xlfn.NORM.DIST(U$3,'energy base (MECS)'!$F$11,0.3*'energy base (MECS)'!$F$11,TRUE))</f>
        <v/>
      </c>
      <c r="V15" s="68">
        <f t="array" ref="V15">IF($D15,SUMPRODUCT((economics!$AG$2:$AG$167=$B15)*(economics!$D$2:$D$167="whr")*economics!$AH$2:$AH$167*_xlfn.NORM.DIST(V$3,economics!$AK$2:$AK$167,economics!$AJ$2:$AJ$167,TRUE))+$CR15*_xlfn.NORM.DIST(V$3,$CU15,0.3*$CU15,TRUE)+$CS15*_xlfn.NORM.DIST(V$3,$CV15,0.3*$CV15,TRUE),$CW15*_xlfn.NORM.DIST(V$3,'energy base (MECS)'!$F$11,0.3*'energy base (MECS)'!$F$11,TRUE))</f>
        <v/>
      </c>
      <c r="W15" s="68">
        <f t="array" ref="W15">IF($D15,SUMPRODUCT((economics!$AG$2:$AG$167=$B15)*(economics!$D$2:$D$167="whr")*economics!$AH$2:$AH$167*_xlfn.NORM.DIST(W$3,economics!$AK$2:$AK$167,economics!$AJ$2:$AJ$167,TRUE))+$CR15*_xlfn.NORM.DIST(W$3,$CU15,0.3*$CU15,TRUE)+$CS15*_xlfn.NORM.DIST(W$3,$CV15,0.3*$CV15,TRUE),$CW15*_xlfn.NORM.DIST(W$3,'energy base (MECS)'!$F$11,0.3*'energy base (MECS)'!$F$11,TRUE))</f>
        <v/>
      </c>
      <c r="X15" s="68">
        <f t="array" ref="X15">IF($D15,SUMPRODUCT((economics!$AG$2:$AG$167=$B15)*(economics!$D$2:$D$167="whr")*economics!$AH$2:$AH$167*_xlfn.NORM.DIST(X$3,economics!$AK$2:$AK$167,economics!$AJ$2:$AJ$167,TRUE))+$CR15*_xlfn.NORM.DIST(X$3,$CU15,0.3*$CU15,TRUE)+$CS15*_xlfn.NORM.DIST(X$3,$CV15,0.3*$CV15,TRUE),$CW15*_xlfn.NORM.DIST(X$3,'energy base (MECS)'!$F$11,0.3*'energy base (MECS)'!$F$11,TRUE))</f>
        <v/>
      </c>
      <c r="Y15" s="68">
        <f t="array" ref="Y15">IF($D15,SUMPRODUCT((economics!$AG$2:$AG$167=$B15)*(economics!$D$2:$D$167="whr")*economics!$AH$2:$AH$167*_xlfn.NORM.DIST(Y$3,economics!$AK$2:$AK$167,economics!$AJ$2:$AJ$167,TRUE))+$CR15*_xlfn.NORM.DIST(Y$3,$CU15,0.3*$CU15,TRUE)+$CS15*_xlfn.NORM.DIST(Y$3,$CV15,0.3*$CV15,TRUE),$CW15*_xlfn.NORM.DIST(Y$3,'energy base (MECS)'!$F$11,0.3*'energy base (MECS)'!$F$11,TRUE))</f>
        <v/>
      </c>
      <c r="Z15" s="68">
        <f t="array" ref="Z15">IF($D15,SUMPRODUCT((economics!$AG$2:$AG$167=$B15)*(economics!$D$2:$D$167="whr")*economics!$AH$2:$AH$167*_xlfn.NORM.DIST(Z$3,economics!$AK$2:$AK$167,economics!$AJ$2:$AJ$167,TRUE))+$CR15*_xlfn.NORM.DIST(Z$3,$CU15,0.3*$CU15,TRUE)+$CS15*_xlfn.NORM.DIST(Z$3,$CV15,0.3*$CV15,TRUE),$CW15*_xlfn.NORM.DIST(Z$3,'energy base (MECS)'!$F$11,0.3*'energy base (MECS)'!$F$11,TRUE))</f>
        <v/>
      </c>
      <c r="AA15" s="68">
        <f t="array" ref="AA15">IF($D15,SUMPRODUCT((economics!$AG$2:$AG$167=$B15)*(economics!$D$2:$D$167="whr")*economics!$AH$2:$AH$167*_xlfn.NORM.DIST(AA$3,economics!$AK$2:$AK$167,economics!$AJ$2:$AJ$167,TRUE))+$CR15*_xlfn.NORM.DIST(AA$3,$CU15,0.3*$CU15,TRUE)+$CS15*_xlfn.NORM.DIST(AA$3,$CV15,0.3*$CV15,TRUE),$CW15*_xlfn.NORM.DIST(AA$3,'energy base (MECS)'!$F$11,0.3*'energy base (MECS)'!$F$11,TRUE))</f>
        <v/>
      </c>
      <c r="AB15" s="68">
        <f t="array" ref="AB15">IF($D15,SUMPRODUCT((economics!$AG$2:$AG$167=$B15)*(economics!$D$2:$D$167="whr")*economics!$AH$2:$AH$167*_xlfn.NORM.DIST(AB$3,economics!$AK$2:$AK$167,economics!$AJ$2:$AJ$167,TRUE))+$CR15*_xlfn.NORM.DIST(AB$3,$CU15,0.3*$CU15,TRUE)+$CS15*_xlfn.NORM.DIST(AB$3,$CV15,0.3*$CV15,TRUE),$CW15*_xlfn.NORM.DIST(AB$3,'energy base (MECS)'!$F$11,0.3*'energy base (MECS)'!$F$11,TRUE))</f>
        <v/>
      </c>
      <c r="AC15" s="68">
        <f t="array" ref="AC15">IF($D15,SUMPRODUCT((economics!$AG$2:$AG$167=$B15)*(economics!$D$2:$D$167="whr")*economics!$AH$2:$AH$167*_xlfn.NORM.DIST(AC$3,economics!$AK$2:$AK$167,economics!$AJ$2:$AJ$167,TRUE))+$CR15*_xlfn.NORM.DIST(AC$3,$CU15,0.3*$CU15,TRUE)+$CS15*_xlfn.NORM.DIST(AC$3,$CV15,0.3*$CV15,TRUE),$CW15*_xlfn.NORM.DIST(AC$3,'energy base (MECS)'!$F$11,0.3*'energy base (MECS)'!$F$11,TRUE))</f>
        <v/>
      </c>
      <c r="AD15" s="68">
        <f t="array" ref="AD15">IF($D15,SUMPRODUCT((economics!$AG$2:$AG$167=$B15)*(economics!$D$2:$D$167="whr")*economics!$AH$2:$AH$167*_xlfn.NORM.DIST(AD$3,economics!$AK$2:$AK$167,economics!$AJ$2:$AJ$167,TRUE))+$CR15*_xlfn.NORM.DIST(AD$3,$CU15,0.3*$CU15,TRUE)+$CS15*_xlfn.NORM.DIST(AD$3,$CV15,0.3*$CV15,TRUE),$CW15*_xlfn.NORM.DIST(AD$3,'energy base (MECS)'!$F$11,0.3*'energy base (MECS)'!$F$11,TRUE))</f>
        <v/>
      </c>
      <c r="AE15" s="68">
        <f t="array" ref="AE15">IF($D15,SUMPRODUCT((economics!$AG$2:$AG$167=$B15)*(economics!$D$2:$D$167="whr")*economics!$AH$2:$AH$167*_xlfn.NORM.DIST(AE$3,economics!$AK$2:$AK$167,economics!$AJ$2:$AJ$167,TRUE))+$CR15*_xlfn.NORM.DIST(AE$3,$CU15,0.3*$CU15,TRUE)+$CS15*_xlfn.NORM.DIST(AE$3,$CV15,0.3*$CV15,TRUE),$CW15*_xlfn.NORM.DIST(AE$3,'energy base (MECS)'!$F$11,0.3*'energy base (MECS)'!$F$11,TRUE))</f>
        <v/>
      </c>
      <c r="AF15" s="68">
        <f t="array" ref="AF15">IF($D15,SUMPRODUCT((economics!$AG$2:$AG$167=$B15)*(economics!$D$2:$D$167="whr")*economics!$AH$2:$AH$167*_xlfn.NORM.DIST(AF$3,economics!$AK$2:$AK$167,economics!$AJ$2:$AJ$167,TRUE))+$CR15*_xlfn.NORM.DIST(AF$3,$CU15,0.3*$CU15,TRUE)+$CS15*_xlfn.NORM.DIST(AF$3,$CV15,0.3*$CV15,TRUE),$CW15*_xlfn.NORM.DIST(AF$3,'energy base (MECS)'!$F$11,0.3*'energy base (MECS)'!$F$11,TRUE))</f>
        <v/>
      </c>
      <c r="AG15" s="68">
        <f t="array" ref="AG15">IF($D15,SUMPRODUCT((economics!$AG$2:$AG$167=$B15)*(economics!$D$2:$D$167="whr")*economics!$AH$2:$AH$167*_xlfn.NORM.DIST(AG$3,economics!$AK$2:$AK$167,economics!$AJ$2:$AJ$167,TRUE))+$CR15*_xlfn.NORM.DIST(AG$3,$CU15,0.3*$CU15,TRUE)+$CS15*_xlfn.NORM.DIST(AG$3,$CV15,0.3*$CV15,TRUE),$CW15*_xlfn.NORM.DIST(AG$3,'energy base (MECS)'!$F$11,0.3*'energy base (MECS)'!$F$11,TRUE))</f>
        <v/>
      </c>
      <c r="AH15" s="68">
        <f t="array" ref="AH15">IF($D15,SUMPRODUCT((economics!$AG$2:$AG$167=$B15)*(economics!$D$2:$D$167="whr")*economics!$AH$2:$AH$167*_xlfn.NORM.DIST(AH$3,economics!$AK$2:$AK$167,economics!$AJ$2:$AJ$167,TRUE))+$CR15*_xlfn.NORM.DIST(AH$3,$CU15,0.3*$CU15,TRUE)+$CS15*_xlfn.NORM.DIST(AH$3,$CV15,0.3*$CV15,TRUE),$CW15*_xlfn.NORM.DIST(AH$3,'energy base (MECS)'!$F$11,0.3*'energy base (MECS)'!$F$11,TRUE))</f>
        <v/>
      </c>
      <c r="AI15" s="68">
        <f t="array" ref="AI15">IF($D15,SUMPRODUCT((economics!$AG$2:$AG$167=$B15)*(economics!$D$2:$D$167="whr")*economics!$AH$2:$AH$167*_xlfn.NORM.DIST(AI$3,economics!$AK$2:$AK$167,economics!$AJ$2:$AJ$167,TRUE))+$CR15*_xlfn.NORM.DIST(AI$3,$CU15,0.3*$CU15,TRUE)+$CS15*_xlfn.NORM.DIST(AI$3,$CV15,0.3*$CV15,TRUE),$CW15*_xlfn.NORM.DIST(AI$3,'energy base (MECS)'!$F$11,0.3*'energy base (MECS)'!$F$11,TRUE))</f>
        <v/>
      </c>
      <c r="AJ15" s="68">
        <f t="array" ref="AJ15">IF($D15,SUMPRODUCT((economics!$AG$2:$AG$167=$B15)*(economics!$D$2:$D$167="whr")*economics!$AH$2:$AH$167*_xlfn.NORM.DIST(AJ$3,economics!$AK$2:$AK$167,economics!$AJ$2:$AJ$167,TRUE))+$CR15*_xlfn.NORM.DIST(AJ$3,$CU15,0.3*$CU15,TRUE)+$CS15*_xlfn.NORM.DIST(AJ$3,$CV15,0.3*$CV15,TRUE),$CW15*_xlfn.NORM.DIST(AJ$3,'energy base (MECS)'!$F$11,0.3*'energy base (MECS)'!$F$11,TRUE))</f>
        <v/>
      </c>
      <c r="AK15" s="68">
        <f t="array" ref="AK15">IF($D15,SUMPRODUCT((economics!$AG$2:$AG$167=$B15)*(economics!$D$2:$D$167="whr")*economics!$AH$2:$AH$167*_xlfn.NORM.DIST(AK$3,economics!$AK$2:$AK$167,economics!$AJ$2:$AJ$167,TRUE))+$CR15*_xlfn.NORM.DIST(AK$3,$CU15,0.3*$CU15,TRUE)+$CS15*_xlfn.NORM.DIST(AK$3,$CV15,0.3*$CV15,TRUE),$CW15*_xlfn.NORM.DIST(AK$3,'energy base (MECS)'!$F$11,0.3*'energy base (MECS)'!$F$11,TRUE))</f>
        <v/>
      </c>
      <c r="AL15" s="68">
        <f t="array" ref="AL15">IF($D15,SUMPRODUCT((economics!$AG$2:$AG$167=$B15)*(economics!$D$2:$D$167="whr")*economics!$AH$2:$AH$167*_xlfn.NORM.DIST(AL$3,economics!$AK$2:$AK$167,economics!$AJ$2:$AJ$167,TRUE))+$CR15*_xlfn.NORM.DIST(AL$3,$CU15,0.3*$CU15,TRUE)+$CS15*_xlfn.NORM.DIST(AL$3,$CV15,0.3*$CV15,TRUE),$CW15*_xlfn.NORM.DIST(AL$3,'energy base (MECS)'!$F$11,0.3*'energy base (MECS)'!$F$11,TRUE))</f>
        <v/>
      </c>
      <c r="AM15" s="68">
        <f t="array" ref="AM15">IF($D15,SUMPRODUCT((economics!$AG$2:$AG$167=$B15)*(economics!$D$2:$D$167="whr")*economics!$AH$2:$AH$167*_xlfn.NORM.DIST(AM$3,economics!$AK$2:$AK$167,economics!$AJ$2:$AJ$167,TRUE))+$CR15*_xlfn.NORM.DIST(AM$3,$CU15,0.3*$CU15,TRUE)+$CS15*_xlfn.NORM.DIST(AM$3,$CV15,0.3*$CV15,TRUE),$CW15*_xlfn.NORM.DIST(AM$3,'energy base (MECS)'!$F$11,0.3*'energy base (MECS)'!$F$11,TRUE))</f>
        <v/>
      </c>
      <c r="AN15" s="68">
        <f t="array" ref="AN15">IF($D15,SUMPRODUCT((economics!$AG$2:$AG$167=$B15)*(economics!$D$2:$D$167="whr")*economics!$AH$2:$AH$167*_xlfn.NORM.DIST(AN$3,economics!$AK$2:$AK$167,economics!$AJ$2:$AJ$167,TRUE))+$CR15*_xlfn.NORM.DIST(AN$3,$CU15,0.3*$CU15,TRUE)+$CS15*_xlfn.NORM.DIST(AN$3,$CV15,0.3*$CV15,TRUE),$CW15*_xlfn.NORM.DIST(AN$3,'energy base (MECS)'!$F$11,0.3*'energy base (MECS)'!$F$11,TRUE))</f>
        <v/>
      </c>
      <c r="AO15" s="68">
        <f t="array" ref="AO15">IF($D15,SUMPRODUCT((economics!$AG$2:$AG$167=$B15)*(economics!$D$2:$D$167="whr")*economics!$AH$2:$AH$167*_xlfn.NORM.DIST(AO$3,economics!$AK$2:$AK$167,economics!$AJ$2:$AJ$167,TRUE))+$CR15*_xlfn.NORM.DIST(AO$3,$CU15,0.3*$CU15,TRUE)+$CS15*_xlfn.NORM.DIST(AO$3,$CV15,0.3*$CV15,TRUE),$CW15*_xlfn.NORM.DIST(AO$3,'energy base (MECS)'!$F$11,0.3*'energy base (MECS)'!$F$11,TRUE))</f>
        <v/>
      </c>
      <c r="AP15" s="68">
        <f t="array" ref="AP15">IF($D15,SUMPRODUCT((economics!$AG$2:$AG$167=$B15)*(economics!$D$2:$D$167="whr")*economics!$AH$2:$AH$167*_xlfn.NORM.DIST(AP$3,economics!$AK$2:$AK$167,economics!$AJ$2:$AJ$167,TRUE))+$CR15*_xlfn.NORM.DIST(AP$3,$CU15,0.3*$CU15,TRUE)+$CS15*_xlfn.NORM.DIST(AP$3,$CV15,0.3*$CV15,TRUE),$CW15*_xlfn.NORM.DIST(AP$3,'energy base (MECS)'!$F$11,0.3*'energy base (MECS)'!$F$11,TRUE))</f>
        <v/>
      </c>
      <c r="AQ15" s="68">
        <f t="array" ref="AQ15">IF($D15,SUMPRODUCT((economics!$AG$2:$AG$167=$B15)*(economics!$D$2:$D$167="whr")*economics!$AH$2:$AH$167*_xlfn.NORM.DIST(AQ$3,economics!$AK$2:$AK$167,economics!$AJ$2:$AJ$167,TRUE))+$CR15*_xlfn.NORM.DIST(AQ$3,$CU15,0.3*$CU15,TRUE)+$CS15*_xlfn.NORM.DIST(AQ$3,$CV15,0.3*$CV15,TRUE),$CW15*_xlfn.NORM.DIST(AQ$3,'energy base (MECS)'!$F$11,0.3*'energy base (MECS)'!$F$11,TRUE))</f>
        <v/>
      </c>
      <c r="AR15" s="68">
        <f t="array" ref="AR15">IF($D15,SUMPRODUCT((economics!$AG$2:$AG$167=$B15)*(economics!$D$2:$D$167="whr")*economics!$AH$2:$AH$167*_xlfn.NORM.DIST(AR$3,economics!$AK$2:$AK$167,economics!$AJ$2:$AJ$167,TRUE))+$CR15*_xlfn.NORM.DIST(AR$3,$CU15,0.3*$CU15,TRUE)+$CS15*_xlfn.NORM.DIST(AR$3,$CV15,0.3*$CV15,TRUE),$CW15*_xlfn.NORM.DIST(AR$3,'energy base (MECS)'!$F$11,0.3*'energy base (MECS)'!$F$11,TRUE))</f>
        <v/>
      </c>
      <c r="AS15" s="68">
        <f t="array" ref="AS15">IF($D15,SUMPRODUCT((economics!$AG$2:$AG$167=$B15)*(economics!$D$2:$D$167="whr")*economics!$AH$2:$AH$167*_xlfn.NORM.DIST(AS$3,economics!$AK$2:$AK$167,economics!$AJ$2:$AJ$167,TRUE))+$CR15*_xlfn.NORM.DIST(AS$3,$CU15,0.3*$CU15,TRUE)+$CS15*_xlfn.NORM.DIST(AS$3,$CV15,0.3*$CV15,TRUE),$CW15*_xlfn.NORM.DIST(AS$3,'energy base (MECS)'!$F$11,0.3*'energy base (MECS)'!$F$11,TRUE))</f>
        <v/>
      </c>
      <c r="AT15" s="68">
        <f t="array" ref="AT15">IF($D15,SUMPRODUCT((economics!$AG$2:$AG$167=$B15)*(economics!$D$2:$D$167="whr")*economics!$AH$2:$AH$167*_xlfn.NORM.DIST(AT$3,economics!$AK$2:$AK$167,economics!$AJ$2:$AJ$167,TRUE))+$CR15*_xlfn.NORM.DIST(AT$3,$CU15,0.3*$CU15,TRUE)+$CS15*_xlfn.NORM.DIST(AT$3,$CV15,0.3*$CV15,TRUE),$CW15*_xlfn.NORM.DIST(AT$3,'energy base (MECS)'!$F$11,0.3*'energy base (MECS)'!$F$11,TRUE))</f>
        <v/>
      </c>
      <c r="AU15" s="68">
        <f t="array" ref="AU15">IF($D15,SUMPRODUCT((economics!$AG$2:$AG$167=$B15)*(economics!$D$2:$D$167="whr")*economics!$AH$2:$AH$167*_xlfn.NORM.DIST(AU$3,economics!$AK$2:$AK$167,economics!$AJ$2:$AJ$167,TRUE))+$CR15*_xlfn.NORM.DIST(AU$3,$CU15,0.3*$CU15,TRUE)+$CS15*_xlfn.NORM.DIST(AU$3,$CV15,0.3*$CV15,TRUE),$CW15*_xlfn.NORM.DIST(AU$3,'energy base (MECS)'!$F$11,0.3*'energy base (MECS)'!$F$11,TRUE))</f>
        <v/>
      </c>
      <c r="AV15" s="68">
        <f t="array" ref="AV15">IF($D15,SUMPRODUCT((economics!$AG$2:$AG$167=$B15)*(economics!$D$2:$D$167="whr")*economics!$AH$2:$AH$167*_xlfn.NORM.DIST(AV$3,economics!$AK$2:$AK$167,economics!$AJ$2:$AJ$167,TRUE))+$CR15*_xlfn.NORM.DIST(AV$3,$CU15,0.3*$CU15,TRUE)+$CS15*_xlfn.NORM.DIST(AV$3,$CV15,0.3*$CV15,TRUE),$CW15*_xlfn.NORM.DIST(AV$3,'energy base (MECS)'!$F$11,0.3*'energy base (MECS)'!$F$11,TRUE))</f>
        <v/>
      </c>
      <c r="AW15" s="68">
        <f t="array" ref="AW15">IF($D15,SUMPRODUCT((economics!$AG$2:$AG$167=$B15)*(economics!$D$2:$D$167="whr")*economics!$AH$2:$AH$167*_xlfn.NORM.DIST(AW$3,economics!$AK$2:$AK$167,economics!$AJ$2:$AJ$167,TRUE))+$CR15*_xlfn.NORM.DIST(AW$3,$CU15,0.3*$CU15,TRUE)+$CS15*_xlfn.NORM.DIST(AW$3,$CV15,0.3*$CV15,TRUE),$CW15*_xlfn.NORM.DIST(AW$3,'energy base (MECS)'!$F$11,0.3*'energy base (MECS)'!$F$11,TRUE))</f>
        <v/>
      </c>
      <c r="AX15" s="68">
        <f t="array" ref="AX15">IF($D15,SUMPRODUCT((economics!$AG$2:$AG$167=$B15)*(economics!$D$2:$D$167="whr")*economics!$AH$2:$AH$167*_xlfn.NORM.DIST(AX$3,economics!$AK$2:$AK$167,economics!$AJ$2:$AJ$167,TRUE))+$CR15*_xlfn.NORM.DIST(AX$3,$CU15,0.3*$CU15,TRUE)+$CS15*_xlfn.NORM.DIST(AX$3,$CV15,0.3*$CV15,TRUE),$CW15*_xlfn.NORM.DIST(AX$3,'energy base (MECS)'!$F$11,0.3*'energy base (MECS)'!$F$11,TRUE))</f>
        <v/>
      </c>
      <c r="AY15" s="68">
        <f t="array" ref="AY15">IF($D15,SUMPRODUCT((economics!$AG$2:$AG$167=$B15)*(economics!$D$2:$D$167="whr")*economics!$AH$2:$AH$167*_xlfn.NORM.DIST(AY$3,economics!$AK$2:$AK$167,economics!$AJ$2:$AJ$167,TRUE))+$CR15*_xlfn.NORM.DIST(AY$3,$CU15,0.3*$CU15,TRUE)+$CS15*_xlfn.NORM.DIST(AY$3,$CV15,0.3*$CV15,TRUE),$CW15*_xlfn.NORM.DIST(AY$3,'energy base (MECS)'!$F$11,0.3*'energy base (MECS)'!$F$11,TRUE))</f>
        <v/>
      </c>
      <c r="AZ15" s="68">
        <f t="array" ref="AZ15">IF($D15,SUMPRODUCT((economics!$AG$2:$AG$167=$B15)*(economics!$D$2:$D$167="whr")*economics!$AH$2:$AH$167*_xlfn.NORM.DIST(AZ$3,economics!$AK$2:$AK$167,economics!$AJ$2:$AJ$167,TRUE))+$CR15*_xlfn.NORM.DIST(AZ$3,$CU15,0.3*$CU15,TRUE)+$CS15*_xlfn.NORM.DIST(AZ$3,$CV15,0.3*$CV15,TRUE),$CW15*_xlfn.NORM.DIST(AZ$3,'energy base (MECS)'!$F$11,0.3*'energy base (MECS)'!$F$11,TRUE))</f>
        <v/>
      </c>
      <c r="BA15" s="68">
        <f t="array" ref="BA15">IF($D15,SUMPRODUCT((economics!$AG$2:$AG$167=$B15)*(economics!$D$2:$D$167="whr")*economics!$AH$2:$AH$167*_xlfn.NORM.DIST(BA$3,economics!$AK$2:$AK$167,economics!$AJ$2:$AJ$167,TRUE))+$CR15*_xlfn.NORM.DIST(BA$3,$CU15,0.3*$CU15,TRUE)+$CS15*_xlfn.NORM.DIST(BA$3,$CV15,0.3*$CV15,TRUE),$CW15*_xlfn.NORM.DIST(BA$3,'energy base (MECS)'!$F$11,0.3*'energy base (MECS)'!$F$11,TRUE))</f>
        <v/>
      </c>
      <c r="BB15" s="68">
        <f t="array" ref="BB15">IF($D15,SUMPRODUCT((economics!$AG$2:$AG$167=$B15)*(economics!$D$2:$D$167="whr")*economics!$AH$2:$AH$167*_xlfn.NORM.DIST(BB$3,economics!$AK$2:$AK$167,economics!$AJ$2:$AJ$167,TRUE))+$CR15*_xlfn.NORM.DIST(BB$3,$CU15,0.3*$CU15,TRUE)+$CS15*_xlfn.NORM.DIST(BB$3,$CV15,0.3*$CV15,TRUE),$CW15*_xlfn.NORM.DIST(BB$3,'energy base (MECS)'!$F$11,0.3*'energy base (MECS)'!$F$11,TRUE))</f>
        <v/>
      </c>
      <c r="BC15" s="68">
        <f t="array" ref="BC15">IF($D15,SUMPRODUCT((economics!$AG$2:$AG$167=$B15)*(economics!$D$2:$D$167="whr")*economics!$AH$2:$AH$167*_xlfn.NORM.DIST(BC$3,economics!$AK$2:$AK$167,economics!$AJ$2:$AJ$167,TRUE))+$CR15*_xlfn.NORM.DIST(BC$3,$CU15,0.3*$CU15,TRUE)+$CS15*_xlfn.NORM.DIST(BC$3,$CV15,0.3*$CV15,TRUE),$CW15*_xlfn.NORM.DIST(BC$3,'energy base (MECS)'!$F$11,0.3*'energy base (MECS)'!$F$11,TRUE))</f>
        <v/>
      </c>
      <c r="BD15" s="68">
        <f t="array" ref="BD15">IF($D15,SUMPRODUCT((economics!$AG$2:$AG$167=$B15)*(economics!$D$2:$D$167="whr")*economics!$AH$2:$AH$167*_xlfn.NORM.DIST(BD$3,economics!$AK$2:$AK$167,economics!$AJ$2:$AJ$167,TRUE))+$CR15*_xlfn.NORM.DIST(BD$3,$CU15,0.3*$CU15,TRUE)+$CS15*_xlfn.NORM.DIST(BD$3,$CV15,0.3*$CV15,TRUE),$CW15*_xlfn.NORM.DIST(BD$3,'energy base (MECS)'!$F$11,0.3*'energy base (MECS)'!$F$11,TRUE))</f>
        <v/>
      </c>
      <c r="BE15" s="68">
        <f t="array" ref="BE15">IF($D15,SUMPRODUCT((economics!$AG$2:$AG$167=$B15)*(economics!$D$2:$D$167="whr")*economics!$AH$2:$AH$167*_xlfn.NORM.DIST(BE$3,economics!$AK$2:$AK$167,economics!$AJ$2:$AJ$167,TRUE))+$CR15*_xlfn.NORM.DIST(BE$3,$CU15,0.3*$CU15,TRUE)+$CS15*_xlfn.NORM.DIST(BE$3,$CV15,0.3*$CV15,TRUE),$CW15*_xlfn.NORM.DIST(BE$3,'energy base (MECS)'!$F$11,0.3*'energy base (MECS)'!$F$11,TRUE))</f>
        <v/>
      </c>
      <c r="BF15" s="68">
        <f t="array" ref="BF15">IF($D15,SUMPRODUCT((economics!$AG$2:$AG$167=$B15)*(economics!$D$2:$D$167="whr")*economics!$AH$2:$AH$167*_xlfn.NORM.DIST(BF$3,economics!$AK$2:$AK$167,economics!$AJ$2:$AJ$167,TRUE))+$CR15*_xlfn.NORM.DIST(BF$3,$CU15,0.3*$CU15,TRUE)+$CS15*_xlfn.NORM.DIST(BF$3,$CV15,0.3*$CV15,TRUE),$CW15*_xlfn.NORM.DIST(BF$3,'energy base (MECS)'!$F$11,0.3*'energy base (MECS)'!$F$11,TRUE))</f>
        <v/>
      </c>
      <c r="BG15" s="68">
        <f t="array" ref="BG15">IF($D15,SUMPRODUCT((economics!$AG$2:$AG$167=$B15)*(economics!$D$2:$D$167="whr")*economics!$AH$2:$AH$167*_xlfn.NORM.DIST(BG$3,economics!$AK$2:$AK$167,economics!$AJ$2:$AJ$167,TRUE))+$CR15*_xlfn.NORM.DIST(BG$3,$CU15,0.3*$CU15,TRUE)+$CS15*_xlfn.NORM.DIST(BG$3,$CV15,0.3*$CV15,TRUE),$CW15*_xlfn.NORM.DIST(BG$3,'energy base (MECS)'!$F$11,0.3*'energy base (MECS)'!$F$11,TRUE))</f>
        <v/>
      </c>
      <c r="BH15" s="68">
        <f t="array" ref="BH15">IF($D15,SUMPRODUCT((economics!$AG$2:$AG$167=$B15)*(economics!$D$2:$D$167="whr")*economics!$AH$2:$AH$167*_xlfn.NORM.DIST(BH$3,economics!$AK$2:$AK$167,economics!$AJ$2:$AJ$167,TRUE))+$CR15*_xlfn.NORM.DIST(BH$3,$CU15,0.3*$CU15,TRUE)+$CS15*_xlfn.NORM.DIST(BH$3,$CV15,0.3*$CV15,TRUE),$CW15*_xlfn.NORM.DIST(BH$3,'energy base (MECS)'!$F$11,0.3*'energy base (MECS)'!$F$11,TRUE))</f>
        <v/>
      </c>
      <c r="BI15" s="68">
        <f t="array" ref="BI15">IF($D15,SUMPRODUCT((economics!$AG$2:$AG$167=$B15)*(economics!$D$2:$D$167="whr")*economics!$AH$2:$AH$167*_xlfn.NORM.DIST(BI$3,economics!$AK$2:$AK$167,economics!$AJ$2:$AJ$167,TRUE))+$CR15*_xlfn.NORM.DIST(BI$3,$CU15,0.3*$CU15,TRUE)+$CS15*_xlfn.NORM.DIST(BI$3,$CV15,0.3*$CV15,TRUE),$CW15*_xlfn.NORM.DIST(BI$3,'energy base (MECS)'!$F$11,0.3*'energy base (MECS)'!$F$11,TRUE))</f>
        <v/>
      </c>
      <c r="BJ15" s="68">
        <f t="array" ref="BJ15">IF($D15,SUMPRODUCT((economics!$AG$2:$AG$167=$B15)*(economics!$D$2:$D$167="whr")*economics!$AH$2:$AH$167*_xlfn.NORM.DIST(BJ$3,economics!$AK$2:$AK$167,economics!$AJ$2:$AJ$167,TRUE))+$CR15*_xlfn.NORM.DIST(BJ$3,$CU15,0.3*$CU15,TRUE)+$CS15*_xlfn.NORM.DIST(BJ$3,$CV15,0.3*$CV15,TRUE),$CW15*_xlfn.NORM.DIST(BJ$3,'energy base (MECS)'!$F$11,0.3*'energy base (MECS)'!$F$11,TRUE))</f>
        <v/>
      </c>
      <c r="BK15" s="68">
        <f t="array" ref="BK15">IF($D15,SUMPRODUCT((economics!$AG$2:$AG$167=$B15)*(economics!$D$2:$D$167="whr")*economics!$AH$2:$AH$167*_xlfn.NORM.DIST(BK$3,economics!$AK$2:$AK$167,economics!$AJ$2:$AJ$167,TRUE))+$CR15*_xlfn.NORM.DIST(BK$3,$CU15,0.3*$CU15,TRUE)+$CS15*_xlfn.NORM.DIST(BK$3,$CV15,0.3*$CV15,TRUE),$CW15*_xlfn.NORM.DIST(BK$3,'energy base (MECS)'!$F$11,0.3*'energy base (MECS)'!$F$11,TRUE))</f>
        <v/>
      </c>
      <c r="BL15" s="68">
        <f t="array" ref="BL15">IF($D15,SUMPRODUCT((economics!$AG$2:$AG$167=$B15)*(economics!$D$2:$D$167="whr")*economics!$AH$2:$AH$167*_xlfn.NORM.DIST(BL$3,economics!$AK$2:$AK$167,economics!$AJ$2:$AJ$167,TRUE))+$CR15*_xlfn.NORM.DIST(BL$3,$CU15,0.3*$CU15,TRUE)+$CS15*_xlfn.NORM.DIST(BL$3,$CV15,0.3*$CV15,TRUE),$CW15*_xlfn.NORM.DIST(BL$3,'energy base (MECS)'!$F$11,0.3*'energy base (MECS)'!$F$11,TRUE))</f>
        <v/>
      </c>
      <c r="BM15" s="68">
        <f t="array" ref="BM15">IF($D15,SUMPRODUCT((economics!$AG$2:$AG$167=$B15)*(economics!$D$2:$D$167="whr")*economics!$AH$2:$AH$167*_xlfn.NORM.DIST(BM$3,economics!$AK$2:$AK$167,economics!$AJ$2:$AJ$167,TRUE))+$CR15*_xlfn.NORM.DIST(BM$3,$CU15,0.3*$CU15,TRUE)+$CS15*_xlfn.NORM.DIST(BM$3,$CV15,0.3*$CV15,TRUE),$CW15*_xlfn.NORM.DIST(BM$3,'energy base (MECS)'!$F$11,0.3*'energy base (MECS)'!$F$11,TRUE))</f>
        <v/>
      </c>
      <c r="BN15" s="68">
        <f t="array" ref="BN15">IF($D15,SUMPRODUCT((economics!$AG$2:$AG$167=$B15)*(economics!$D$2:$D$167="whr")*economics!$AH$2:$AH$167*_xlfn.NORM.DIST(BN$3,economics!$AK$2:$AK$167,economics!$AJ$2:$AJ$167,TRUE))+$CR15*_xlfn.NORM.DIST(BN$3,$CU15,0.3*$CU15,TRUE)+$CS15*_xlfn.NORM.DIST(BN$3,$CV15,0.3*$CV15,TRUE),$CW15*_xlfn.NORM.DIST(BN$3,'energy base (MECS)'!$F$11,0.3*'energy base (MECS)'!$F$11,TRUE))</f>
        <v/>
      </c>
      <c r="BO15" s="68">
        <f t="array" ref="BO15">IF($D15,SUMPRODUCT((economics!$AG$2:$AG$167=$B15)*(economics!$D$2:$D$167="whr")*economics!$AH$2:$AH$167*_xlfn.NORM.DIST(BO$3,economics!$AK$2:$AK$167,economics!$AJ$2:$AJ$167,TRUE))+$CR15*_xlfn.NORM.DIST(BO$3,$CU15,0.3*$CU15,TRUE)+$CS15*_xlfn.NORM.DIST(BO$3,$CV15,0.3*$CV15,TRUE),$CW15*_xlfn.NORM.DIST(BO$3,'energy base (MECS)'!$F$11,0.3*'energy base (MECS)'!$F$11,TRUE))</f>
        <v/>
      </c>
      <c r="BP15" s="68">
        <f t="array" ref="BP15">IF($D15,SUMPRODUCT((economics!$AG$2:$AG$167=$B15)*(economics!$D$2:$D$167="whr")*economics!$AH$2:$AH$167*_xlfn.NORM.DIST(BP$3,economics!$AK$2:$AK$167,economics!$AJ$2:$AJ$167,TRUE))+$CR15*_xlfn.NORM.DIST(BP$3,$CU15,0.3*$CU15,TRUE)+$CS15*_xlfn.NORM.DIST(BP$3,$CV15,0.3*$CV15,TRUE),$CW15*_xlfn.NORM.DIST(BP$3,'energy base (MECS)'!$F$11,0.3*'energy base (MECS)'!$F$11,TRUE))</f>
        <v/>
      </c>
      <c r="BQ15" s="68">
        <f t="array" ref="BQ15">IF($D15,SUMPRODUCT((economics!$AG$2:$AG$167=$B15)*(economics!$D$2:$D$167="whr")*economics!$AH$2:$AH$167*_xlfn.NORM.DIST(BQ$3,economics!$AK$2:$AK$167,economics!$AJ$2:$AJ$167,TRUE))+$CR15*_xlfn.NORM.DIST(BQ$3,$CU15,0.3*$CU15,TRUE)+$CS15*_xlfn.NORM.DIST(BQ$3,$CV15,0.3*$CV15,TRUE),$CW15*_xlfn.NORM.DIST(BQ$3,'energy base (MECS)'!$F$11,0.3*'energy base (MECS)'!$F$11,TRUE))</f>
        <v/>
      </c>
      <c r="BR15" s="68">
        <f t="array" ref="BR15">IF($D15,SUMPRODUCT((economics!$AG$2:$AG$167=$B15)*(economics!$D$2:$D$167="whr")*economics!$AH$2:$AH$167*_xlfn.NORM.DIST(BR$3,economics!$AK$2:$AK$167,economics!$AJ$2:$AJ$167,TRUE))+$CR15*_xlfn.NORM.DIST(BR$3,$CU15,0.3*$CU15,TRUE)+$CS15*_xlfn.NORM.DIST(BR$3,$CV15,0.3*$CV15,TRUE),$CW15*_xlfn.NORM.DIST(BR$3,'energy base (MECS)'!$F$11,0.3*'energy base (MECS)'!$F$11,TRUE))</f>
        <v/>
      </c>
      <c r="BS15" s="68">
        <f t="array" ref="BS15">IF($D15,SUMPRODUCT((economics!$AG$2:$AG$167=$B15)*(economics!$D$2:$D$167="whr")*economics!$AH$2:$AH$167*_xlfn.NORM.DIST(BS$3,economics!$AK$2:$AK$167,economics!$AJ$2:$AJ$167,TRUE))+$CR15*_xlfn.NORM.DIST(BS$3,$CU15,0.3*$CU15,TRUE)+$CS15*_xlfn.NORM.DIST(BS$3,$CV15,0.3*$CV15,TRUE),$CW15*_xlfn.NORM.DIST(BS$3,'energy base (MECS)'!$F$11,0.3*'energy base (MECS)'!$F$11,TRUE))</f>
        <v/>
      </c>
      <c r="BT15" s="68">
        <f t="array" ref="BT15">IF($D15,SUMPRODUCT((economics!$AG$2:$AG$167=$B15)*(economics!$D$2:$D$167="whr")*economics!$AH$2:$AH$167*_xlfn.NORM.DIST(BT$3,economics!$AK$2:$AK$167,economics!$AJ$2:$AJ$167,TRUE))+$CR15*_xlfn.NORM.DIST(BT$3,$CU15,0.3*$CU15,TRUE)+$CS15*_xlfn.NORM.DIST(BT$3,$CV15,0.3*$CV15,TRUE),$CW15*_xlfn.NORM.DIST(BT$3,'energy base (MECS)'!$F$11,0.3*'energy base (MECS)'!$F$11,TRUE))</f>
        <v/>
      </c>
      <c r="BU15" s="68">
        <f t="array" ref="BU15">IF($D15,SUMPRODUCT((economics!$AG$2:$AG$167=$B15)*(economics!$D$2:$D$167="whr")*economics!$AH$2:$AH$167*_xlfn.NORM.DIST(BU$3,economics!$AK$2:$AK$167,economics!$AJ$2:$AJ$167,TRUE))+$CR15*_xlfn.NORM.DIST(BU$3,$CU15,0.3*$CU15,TRUE)+$CS15*_xlfn.NORM.DIST(BU$3,$CV15,0.3*$CV15,TRUE),$CW15*_xlfn.NORM.DIST(BU$3,'energy base (MECS)'!$F$11,0.3*'energy base (MECS)'!$F$11,TRUE))</f>
        <v/>
      </c>
      <c r="BV15" s="68">
        <f t="array" ref="BV15">IF($D15,SUMPRODUCT((economics!$AG$2:$AG$167=$B15)*(economics!$D$2:$D$167="whr")*economics!$AH$2:$AH$167*_xlfn.NORM.DIST(BV$3,economics!$AK$2:$AK$167,economics!$AJ$2:$AJ$167,TRUE))+$CR15*_xlfn.NORM.DIST(BV$3,$CU15,0.3*$CU15,TRUE)+$CS15*_xlfn.NORM.DIST(BV$3,$CV15,0.3*$CV15,TRUE),$CW15*_xlfn.NORM.DIST(BV$3,'energy base (MECS)'!$F$11,0.3*'energy base (MECS)'!$F$11,TRUE))</f>
        <v/>
      </c>
      <c r="BW15" s="68">
        <f t="array" ref="BW15">IF($D15,SUMPRODUCT((economics!$AG$2:$AG$167=$B15)*(economics!$D$2:$D$167="whr")*economics!$AH$2:$AH$167*_xlfn.NORM.DIST(BW$3,economics!$AK$2:$AK$167,economics!$AJ$2:$AJ$167,TRUE))+$CR15*_xlfn.NORM.DIST(BW$3,$CU15,0.3*$CU15,TRUE)+$CS15*_xlfn.NORM.DIST(BW$3,$CV15,0.3*$CV15,TRUE),$CW15*_xlfn.NORM.DIST(BW$3,'energy base (MECS)'!$F$11,0.3*'energy base (MECS)'!$F$11,TRUE))</f>
        <v/>
      </c>
      <c r="BX15" s="68">
        <f t="array" ref="BX15">IF($D15,SUMPRODUCT((economics!$AG$2:$AG$167=$B15)*(economics!$D$2:$D$167="whr")*economics!$AH$2:$AH$167*_xlfn.NORM.DIST(BX$3,economics!$AK$2:$AK$167,economics!$AJ$2:$AJ$167,TRUE))+$CR15*_xlfn.NORM.DIST(BX$3,$CU15,0.3*$CU15,TRUE)+$CS15*_xlfn.NORM.DIST(BX$3,$CV15,0.3*$CV15,TRUE),$CW15*_xlfn.NORM.DIST(BX$3,'energy base (MECS)'!$F$11,0.3*'energy base (MECS)'!$F$11,TRUE))</f>
        <v/>
      </c>
      <c r="BY15" s="68">
        <f t="array" ref="BY15">IF($D15,SUMPRODUCT((economics!$AG$2:$AG$167=$B15)*(economics!$D$2:$D$167="whr")*economics!$AH$2:$AH$167*_xlfn.NORM.DIST(BY$3,economics!$AK$2:$AK$167,economics!$AJ$2:$AJ$167,TRUE))+$CR15*_xlfn.NORM.DIST(BY$3,$CU15,0.3*$CU15,TRUE)+$CS15*_xlfn.NORM.DIST(BY$3,$CV15,0.3*$CV15,TRUE),$CW15*_xlfn.NORM.DIST(BY$3,'energy base (MECS)'!$F$11,0.3*'energy base (MECS)'!$F$11,TRUE))</f>
        <v/>
      </c>
      <c r="BZ15" s="68">
        <f t="array" ref="BZ15">IF($D15,SUMPRODUCT((economics!$AG$2:$AG$167=$B15)*(economics!$D$2:$D$167="whr")*economics!$AH$2:$AH$167*_xlfn.NORM.DIST(BZ$3,economics!$AK$2:$AK$167,economics!$AJ$2:$AJ$167,TRUE))+$CR15*_xlfn.NORM.DIST(BZ$3,$CU15,0.3*$CU15,TRUE)+$CS15*_xlfn.NORM.DIST(BZ$3,$CV15,0.3*$CV15,TRUE),$CW15*_xlfn.NORM.DIST(BZ$3,'energy base (MECS)'!$F$11,0.3*'energy base (MECS)'!$F$11,TRUE))</f>
        <v/>
      </c>
      <c r="CA15" s="68">
        <f t="array" ref="CA15">IF($D15,SUMPRODUCT((economics!$AG$2:$AG$167=$B15)*(economics!$D$2:$D$167="whr")*economics!$AH$2:$AH$167*_xlfn.NORM.DIST(CA$3,economics!$AK$2:$AK$167,economics!$AJ$2:$AJ$167,TRUE))+$CR15*_xlfn.NORM.DIST(CA$3,$CU15,0.3*$CU15,TRUE)+$CS15*_xlfn.NORM.DIST(CA$3,$CV15,0.3*$CV15,TRUE),$CW15*_xlfn.NORM.DIST(CA$3,'energy base (MECS)'!$F$11,0.3*'energy base (MECS)'!$F$11,TRUE))</f>
        <v/>
      </c>
      <c r="CB15" s="68">
        <f t="array" ref="CB15">IF($D15,SUMPRODUCT((economics!$AG$2:$AG$167=$B15)*(economics!$D$2:$D$167="whr")*economics!$AH$2:$AH$167*_xlfn.NORM.DIST(CB$3,economics!$AK$2:$AK$167,economics!$AJ$2:$AJ$167,TRUE))+$CR15*_xlfn.NORM.DIST(CB$3,$CU15,0.3*$CU15,TRUE)+$CS15*_xlfn.NORM.DIST(CB$3,$CV15,0.3*$CV15,TRUE),$CW15*_xlfn.NORM.DIST(CB$3,'energy base (MECS)'!$F$11,0.3*'energy base (MECS)'!$F$11,TRUE))</f>
        <v/>
      </c>
      <c r="CC15" s="68">
        <f t="array" ref="CC15">IF($D15,SUMPRODUCT((economics!$AG$2:$AG$167=$B15)*(economics!$D$2:$D$167="whr")*economics!$AH$2:$AH$167*_xlfn.NORM.DIST(CC$3,economics!$AK$2:$AK$167,economics!$AJ$2:$AJ$167,TRUE))+$CR15*_xlfn.NORM.DIST(CC$3,$CU15,0.3*$CU15,TRUE)+$CS15*_xlfn.NORM.DIST(CC$3,$CV15,0.3*$CV15,TRUE),$CW15*_xlfn.NORM.DIST(CC$3,'energy base (MECS)'!$F$11,0.3*'energy base (MECS)'!$F$11,TRUE))</f>
        <v/>
      </c>
      <c r="CD15" s="68">
        <f t="array" ref="CD15">IF($D15,SUMPRODUCT((economics!$AG$2:$AG$167=$B15)*(economics!$D$2:$D$167="whr")*economics!$AH$2:$AH$167*_xlfn.NORM.DIST(CD$3,economics!$AK$2:$AK$167,economics!$AJ$2:$AJ$167,TRUE))+$CR15*_xlfn.NORM.DIST(CD$3,$CU15,0.3*$CU15,TRUE)+$CS15*_xlfn.NORM.DIST(CD$3,$CV15,0.3*$CV15,TRUE),$CW15*_xlfn.NORM.DIST(CD$3,'energy base (MECS)'!$F$11,0.3*'energy base (MECS)'!$F$11,TRUE))</f>
        <v/>
      </c>
      <c r="CE15" s="68">
        <f t="array" ref="CE15">IF($D15,SUMPRODUCT((economics!$AG$2:$AG$167=$B15)*(economics!$D$2:$D$167="whr")*economics!$AH$2:$AH$167*_xlfn.NORM.DIST(CE$3,economics!$AK$2:$AK$167,economics!$AJ$2:$AJ$167,TRUE))+$CR15*_xlfn.NORM.DIST(CE$3,$CU15,0.3*$CU15,TRUE)+$CS15*_xlfn.NORM.DIST(CE$3,$CV15,0.3*$CV15,TRUE),$CW15*_xlfn.NORM.DIST(CE$3,'energy base (MECS)'!$F$11,0.3*'energy base (MECS)'!$F$11,TRUE))</f>
        <v/>
      </c>
      <c r="CF15" s="68">
        <f t="array" ref="CF15">IF($D15,SUMPRODUCT((economics!$AG$2:$AG$167=$B15)*(economics!$D$2:$D$167="whr")*economics!$AH$2:$AH$167*_xlfn.NORM.DIST(CF$3,economics!$AK$2:$AK$167,economics!$AJ$2:$AJ$167,TRUE))+$CR15*_xlfn.NORM.DIST(CF$3,$CU15,0.3*$CU15,TRUE)+$CS15*_xlfn.NORM.DIST(CF$3,$CV15,0.3*$CV15,TRUE),$CW15*_xlfn.NORM.DIST(CF$3,'energy base (MECS)'!$F$11,0.3*'energy base (MECS)'!$F$11,TRUE))</f>
        <v/>
      </c>
      <c r="CG15" s="68">
        <f t="array" ref="CG15">IF($D15,SUMPRODUCT((economics!$AG$2:$AG$167=$B15)*(economics!$D$2:$D$167="whr")*economics!$AH$2:$AH$167*_xlfn.NORM.DIST(CG$3,economics!$AK$2:$AK$167,economics!$AJ$2:$AJ$167,TRUE))+$CR15*_xlfn.NORM.DIST(CG$3,$CU15,0.3*$CU15,TRUE)+$CS15*_xlfn.NORM.DIST(CG$3,$CV15,0.3*$CV15,TRUE),$CW15*_xlfn.NORM.DIST(CG$3,'energy base (MECS)'!$F$11,0.3*'energy base (MECS)'!$F$11,TRUE))</f>
        <v/>
      </c>
      <c r="CH15" s="68">
        <f t="array" ref="CH15">IF($D15,SUMPRODUCT((economics!$AG$2:$AG$167=$B15)*(economics!$D$2:$D$167="whr")*economics!$AH$2:$AH$167*_xlfn.NORM.DIST(CH$3,economics!$AK$2:$AK$167,economics!$AJ$2:$AJ$167,TRUE))+$CR15*_xlfn.NORM.DIST(CH$3,$CU15,0.3*$CU15,TRUE)+$CS15*_xlfn.NORM.DIST(CH$3,$CV15,0.3*$CV15,TRUE),$CW15*_xlfn.NORM.DIST(CH$3,'energy base (MECS)'!$F$11,0.3*'energy base (MECS)'!$F$11,TRUE))</f>
        <v/>
      </c>
      <c r="CJ15">
        <f t="array" ref="CJ15">SUMPRODUCT((economics!$AG$2:$AG$167=$B15)*(economics!$D$2:$D$167="whr")*economics!$AH$2:$AH$167)</f>
        <v/>
      </c>
      <c r="CK15" s="80">
        <f>'indst heat consumption'!D15</f>
        <v/>
      </c>
      <c r="CL15" s="80">
        <f>'indst heat consumption'!E15</f>
        <v/>
      </c>
      <c r="CM15" s="80">
        <f>'indst heat consumption'!F15</f>
        <v/>
      </c>
      <c r="CN15" s="80">
        <f>'indst heat consumption'!G15</f>
        <v/>
      </c>
      <c r="CO15" s="80">
        <f>'indst heat consumption'!H15</f>
        <v/>
      </c>
      <c r="CP15">
        <f>$C15*(CK15*summary!$B$94+CL15*summary!$C$94+CM15*summary!$D$94)</f>
        <v/>
      </c>
      <c r="CQ15">
        <f>$C15*(CN15*summary!$E$94+CO15*summary!$F$94)</f>
        <v/>
      </c>
      <c r="CR15">
        <f>IF(CP15+CQ15&gt;0,CP15*MAX(0,CP15+CQ15-CJ15)/(CP15+CQ15),0)</f>
        <v/>
      </c>
      <c r="CS15">
        <f>IF(CP15+CQ15&gt;0,CQ15*MAX(0,CP15+CQ15-CJ15)/(CP15+CQ15),0)</f>
        <v/>
      </c>
      <c r="CT15">
        <f>IFERROR(_xlfn.XLOOKUP($B15,'BCoISC-WACCbI'!$C$2:$C$26,'BCoISC-WACCbI'!$B$2:$B$26)+economics!$AE$4,0.1)</f>
        <v/>
      </c>
      <c r="CU15">
        <f>(summary!$C$7*(CT15/(1-(1+CT15)^-summary!$D$7))+summary!$C$7*summary!$E$7)/(summary!$F$7*3412/1000000)</f>
        <v/>
      </c>
      <c r="CV15">
        <f>(summary!$C$6*(CT15/(1-(1+CT15)^-summary!$D$6))+summary!$C$6*summary!$E$6)/(summary!$F$6*3412/1000000)</f>
        <v/>
      </c>
      <c r="CW15">
        <f>CR15+CS15</f>
        <v/>
      </c>
    </row>
    <row r="16">
      <c r="A16">
        <f>WHRPbI!A14</f>
        <v/>
      </c>
      <c r="B16" t="n">
        <v>239</v>
      </c>
      <c r="C16" s="68">
        <f>WHRPbI!B14</f>
        <v/>
      </c>
      <c r="D16">
        <f>ISNUMBER(MATCH($B16,'energy base (MECS)'!$K$4:$K$9,0))</f>
        <v/>
      </c>
      <c r="E16" s="68">
        <f t="array" ref="E16">IF($D16,SUMPRODUCT((economics!$AG$2:$AG$167=$B16)*(economics!$D$2:$D$167="whr")*economics!$AH$2:$AH$167*_xlfn.NORM.DIST(E$3,economics!$AK$2:$AK$167,economics!$AJ$2:$AJ$167,TRUE))+$CR16*_xlfn.NORM.DIST(E$3,$CU16,0.3*$CU16,TRUE)+$CS16*_xlfn.NORM.DIST(E$3,$CV16,0.3*$CV16,TRUE),$CW16*_xlfn.NORM.DIST(E$3,'energy base (MECS)'!$F$11,0.3*'energy base (MECS)'!$F$11,TRUE))</f>
        <v/>
      </c>
      <c r="F16" s="68">
        <f t="array" ref="F16">IF($D16,SUMPRODUCT((economics!$AG$2:$AG$167=$B16)*(economics!$D$2:$D$167="whr")*economics!$AH$2:$AH$167*_xlfn.NORM.DIST(F$3,economics!$AK$2:$AK$167,economics!$AJ$2:$AJ$167,TRUE))+$CR16*_xlfn.NORM.DIST(F$3,$CU16,0.3*$CU16,TRUE)+$CS16*_xlfn.NORM.DIST(F$3,$CV16,0.3*$CV16,TRUE),$CW16*_xlfn.NORM.DIST(F$3,'energy base (MECS)'!$F$11,0.3*'energy base (MECS)'!$F$11,TRUE))</f>
        <v/>
      </c>
      <c r="G16" s="68">
        <f t="array" ref="G16">IF($D16,SUMPRODUCT((economics!$AG$2:$AG$167=$B16)*(economics!$D$2:$D$167="whr")*economics!$AH$2:$AH$167*_xlfn.NORM.DIST(G$3,economics!$AK$2:$AK$167,economics!$AJ$2:$AJ$167,TRUE))+$CR16*_xlfn.NORM.DIST(G$3,$CU16,0.3*$CU16,TRUE)+$CS16*_xlfn.NORM.DIST(G$3,$CV16,0.3*$CV16,TRUE),$CW16*_xlfn.NORM.DIST(G$3,'energy base (MECS)'!$F$11,0.3*'energy base (MECS)'!$F$11,TRUE))</f>
        <v/>
      </c>
      <c r="H16" s="68">
        <f t="array" ref="H16">IF($D16,SUMPRODUCT((economics!$AG$2:$AG$167=$B16)*(economics!$D$2:$D$167="whr")*economics!$AH$2:$AH$167*_xlfn.NORM.DIST(H$3,economics!$AK$2:$AK$167,economics!$AJ$2:$AJ$167,TRUE))+$CR16*_xlfn.NORM.DIST(H$3,$CU16,0.3*$CU16,TRUE)+$CS16*_xlfn.NORM.DIST(H$3,$CV16,0.3*$CV16,TRUE),$CW16*_xlfn.NORM.DIST(H$3,'energy base (MECS)'!$F$11,0.3*'energy base (MECS)'!$F$11,TRUE))</f>
        <v/>
      </c>
      <c r="I16" s="68">
        <f t="array" ref="I16">IF($D16,SUMPRODUCT((economics!$AG$2:$AG$167=$B16)*(economics!$D$2:$D$167="whr")*economics!$AH$2:$AH$167*_xlfn.NORM.DIST(I$3,economics!$AK$2:$AK$167,economics!$AJ$2:$AJ$167,TRUE))+$CR16*_xlfn.NORM.DIST(I$3,$CU16,0.3*$CU16,TRUE)+$CS16*_xlfn.NORM.DIST(I$3,$CV16,0.3*$CV16,TRUE),$CW16*_xlfn.NORM.DIST(I$3,'energy base (MECS)'!$F$11,0.3*'energy base (MECS)'!$F$11,TRUE))</f>
        <v/>
      </c>
      <c r="J16" s="68">
        <f t="array" ref="J16">IF($D16,SUMPRODUCT((economics!$AG$2:$AG$167=$B16)*(economics!$D$2:$D$167="whr")*economics!$AH$2:$AH$167*_xlfn.NORM.DIST(J$3,economics!$AK$2:$AK$167,economics!$AJ$2:$AJ$167,TRUE))+$CR16*_xlfn.NORM.DIST(J$3,$CU16,0.3*$CU16,TRUE)+$CS16*_xlfn.NORM.DIST(J$3,$CV16,0.3*$CV16,TRUE),$CW16*_xlfn.NORM.DIST(J$3,'energy base (MECS)'!$F$11,0.3*'energy base (MECS)'!$F$11,TRUE))</f>
        <v/>
      </c>
      <c r="K16" s="68">
        <f t="array" ref="K16">IF($D16,SUMPRODUCT((economics!$AG$2:$AG$167=$B16)*(economics!$D$2:$D$167="whr")*economics!$AH$2:$AH$167*_xlfn.NORM.DIST(K$3,economics!$AK$2:$AK$167,economics!$AJ$2:$AJ$167,TRUE))+$CR16*_xlfn.NORM.DIST(K$3,$CU16,0.3*$CU16,TRUE)+$CS16*_xlfn.NORM.DIST(K$3,$CV16,0.3*$CV16,TRUE),$CW16*_xlfn.NORM.DIST(K$3,'energy base (MECS)'!$F$11,0.3*'energy base (MECS)'!$F$11,TRUE))</f>
        <v/>
      </c>
      <c r="L16" s="68">
        <f t="array" ref="L16">IF($D16,SUMPRODUCT((economics!$AG$2:$AG$167=$B16)*(economics!$D$2:$D$167="whr")*economics!$AH$2:$AH$167*_xlfn.NORM.DIST(L$3,economics!$AK$2:$AK$167,economics!$AJ$2:$AJ$167,TRUE))+$CR16*_xlfn.NORM.DIST(L$3,$CU16,0.3*$CU16,TRUE)+$CS16*_xlfn.NORM.DIST(L$3,$CV16,0.3*$CV16,TRUE),$CW16*_xlfn.NORM.DIST(L$3,'energy base (MECS)'!$F$11,0.3*'energy base (MECS)'!$F$11,TRUE))</f>
        <v/>
      </c>
      <c r="M16" s="68">
        <f t="array" ref="M16">IF($D16,SUMPRODUCT((economics!$AG$2:$AG$167=$B16)*(economics!$D$2:$D$167="whr")*economics!$AH$2:$AH$167*_xlfn.NORM.DIST(M$3,economics!$AK$2:$AK$167,economics!$AJ$2:$AJ$167,TRUE))+$CR16*_xlfn.NORM.DIST(M$3,$CU16,0.3*$CU16,TRUE)+$CS16*_xlfn.NORM.DIST(M$3,$CV16,0.3*$CV16,TRUE),$CW16*_xlfn.NORM.DIST(M$3,'energy base (MECS)'!$F$11,0.3*'energy base (MECS)'!$F$11,TRUE))</f>
        <v/>
      </c>
      <c r="N16" s="68">
        <f t="array" ref="N16">IF($D16,SUMPRODUCT((economics!$AG$2:$AG$167=$B16)*(economics!$D$2:$D$167="whr")*economics!$AH$2:$AH$167*_xlfn.NORM.DIST(N$3,economics!$AK$2:$AK$167,economics!$AJ$2:$AJ$167,TRUE))+$CR16*_xlfn.NORM.DIST(N$3,$CU16,0.3*$CU16,TRUE)+$CS16*_xlfn.NORM.DIST(N$3,$CV16,0.3*$CV16,TRUE),$CW16*_xlfn.NORM.DIST(N$3,'energy base (MECS)'!$F$11,0.3*'energy base (MECS)'!$F$11,TRUE))</f>
        <v/>
      </c>
      <c r="O16" s="68">
        <f t="array" ref="O16">IF($D16,SUMPRODUCT((economics!$AG$2:$AG$167=$B16)*(economics!$D$2:$D$167="whr")*economics!$AH$2:$AH$167*_xlfn.NORM.DIST(O$3,economics!$AK$2:$AK$167,economics!$AJ$2:$AJ$167,TRUE))+$CR16*_xlfn.NORM.DIST(O$3,$CU16,0.3*$CU16,TRUE)+$CS16*_xlfn.NORM.DIST(O$3,$CV16,0.3*$CV16,TRUE),$CW16*_xlfn.NORM.DIST(O$3,'energy base (MECS)'!$F$11,0.3*'energy base (MECS)'!$F$11,TRUE))</f>
        <v/>
      </c>
      <c r="P16" s="68">
        <f t="array" ref="P16">IF($D16,SUMPRODUCT((economics!$AG$2:$AG$167=$B16)*(economics!$D$2:$D$167="whr")*economics!$AH$2:$AH$167*_xlfn.NORM.DIST(P$3,economics!$AK$2:$AK$167,economics!$AJ$2:$AJ$167,TRUE))+$CR16*_xlfn.NORM.DIST(P$3,$CU16,0.3*$CU16,TRUE)+$CS16*_xlfn.NORM.DIST(P$3,$CV16,0.3*$CV16,TRUE),$CW16*_xlfn.NORM.DIST(P$3,'energy base (MECS)'!$F$11,0.3*'energy base (MECS)'!$F$11,TRUE))</f>
        <v/>
      </c>
      <c r="Q16" s="68">
        <f t="array" ref="Q16">IF($D16,SUMPRODUCT((economics!$AG$2:$AG$167=$B16)*(economics!$D$2:$D$167="whr")*economics!$AH$2:$AH$167*_xlfn.NORM.DIST(Q$3,economics!$AK$2:$AK$167,economics!$AJ$2:$AJ$167,TRUE))+$CR16*_xlfn.NORM.DIST(Q$3,$CU16,0.3*$CU16,TRUE)+$CS16*_xlfn.NORM.DIST(Q$3,$CV16,0.3*$CV16,TRUE),$CW16*_xlfn.NORM.DIST(Q$3,'energy base (MECS)'!$F$11,0.3*'energy base (MECS)'!$F$11,TRUE))</f>
        <v/>
      </c>
      <c r="R16" s="68">
        <f t="array" ref="R16">IF($D16,SUMPRODUCT((economics!$AG$2:$AG$167=$B16)*(economics!$D$2:$D$167="whr")*economics!$AH$2:$AH$167*_xlfn.NORM.DIST(R$3,economics!$AK$2:$AK$167,economics!$AJ$2:$AJ$167,TRUE))+$CR16*_xlfn.NORM.DIST(R$3,$CU16,0.3*$CU16,TRUE)+$CS16*_xlfn.NORM.DIST(R$3,$CV16,0.3*$CV16,TRUE),$CW16*_xlfn.NORM.DIST(R$3,'energy base (MECS)'!$F$11,0.3*'energy base (MECS)'!$F$11,TRUE))</f>
        <v/>
      </c>
      <c r="S16" s="68">
        <f t="array" ref="S16">IF($D16,SUMPRODUCT((economics!$AG$2:$AG$167=$B16)*(economics!$D$2:$D$167="whr")*economics!$AH$2:$AH$167*_xlfn.NORM.DIST(S$3,economics!$AK$2:$AK$167,economics!$AJ$2:$AJ$167,TRUE))+$CR16*_xlfn.NORM.DIST(S$3,$CU16,0.3*$CU16,TRUE)+$CS16*_xlfn.NORM.DIST(S$3,$CV16,0.3*$CV16,TRUE),$CW16*_xlfn.NORM.DIST(S$3,'energy base (MECS)'!$F$11,0.3*'energy base (MECS)'!$F$11,TRUE))</f>
        <v/>
      </c>
      <c r="T16" s="68">
        <f t="array" ref="T16">IF($D16,SUMPRODUCT((economics!$AG$2:$AG$167=$B16)*(economics!$D$2:$D$167="whr")*economics!$AH$2:$AH$167*_xlfn.NORM.DIST(T$3,economics!$AK$2:$AK$167,economics!$AJ$2:$AJ$167,TRUE))+$CR16*_xlfn.NORM.DIST(T$3,$CU16,0.3*$CU16,TRUE)+$CS16*_xlfn.NORM.DIST(T$3,$CV16,0.3*$CV16,TRUE),$CW16*_xlfn.NORM.DIST(T$3,'energy base (MECS)'!$F$11,0.3*'energy base (MECS)'!$F$11,TRUE))</f>
        <v/>
      </c>
      <c r="U16" s="68">
        <f t="array" ref="U16">IF($D16,SUMPRODUCT((economics!$AG$2:$AG$167=$B16)*(economics!$D$2:$D$167="whr")*economics!$AH$2:$AH$167*_xlfn.NORM.DIST(U$3,economics!$AK$2:$AK$167,economics!$AJ$2:$AJ$167,TRUE))+$CR16*_xlfn.NORM.DIST(U$3,$CU16,0.3*$CU16,TRUE)+$CS16*_xlfn.NORM.DIST(U$3,$CV16,0.3*$CV16,TRUE),$CW16*_xlfn.NORM.DIST(U$3,'energy base (MECS)'!$F$11,0.3*'energy base (MECS)'!$F$11,TRUE))</f>
        <v/>
      </c>
      <c r="V16" s="68">
        <f t="array" ref="V16">IF($D16,SUMPRODUCT((economics!$AG$2:$AG$167=$B16)*(economics!$D$2:$D$167="whr")*economics!$AH$2:$AH$167*_xlfn.NORM.DIST(V$3,economics!$AK$2:$AK$167,economics!$AJ$2:$AJ$167,TRUE))+$CR16*_xlfn.NORM.DIST(V$3,$CU16,0.3*$CU16,TRUE)+$CS16*_xlfn.NORM.DIST(V$3,$CV16,0.3*$CV16,TRUE),$CW16*_xlfn.NORM.DIST(V$3,'energy base (MECS)'!$F$11,0.3*'energy base (MECS)'!$F$11,TRUE))</f>
        <v/>
      </c>
      <c r="W16" s="68">
        <f t="array" ref="W16">IF($D16,SUMPRODUCT((economics!$AG$2:$AG$167=$B16)*(economics!$D$2:$D$167="whr")*economics!$AH$2:$AH$167*_xlfn.NORM.DIST(W$3,economics!$AK$2:$AK$167,economics!$AJ$2:$AJ$167,TRUE))+$CR16*_xlfn.NORM.DIST(W$3,$CU16,0.3*$CU16,TRUE)+$CS16*_xlfn.NORM.DIST(W$3,$CV16,0.3*$CV16,TRUE),$CW16*_xlfn.NORM.DIST(W$3,'energy base (MECS)'!$F$11,0.3*'energy base (MECS)'!$F$11,TRUE))</f>
        <v/>
      </c>
      <c r="X16" s="68">
        <f t="array" ref="X16">IF($D16,SUMPRODUCT((economics!$AG$2:$AG$167=$B16)*(economics!$D$2:$D$167="whr")*economics!$AH$2:$AH$167*_xlfn.NORM.DIST(X$3,economics!$AK$2:$AK$167,economics!$AJ$2:$AJ$167,TRUE))+$CR16*_xlfn.NORM.DIST(X$3,$CU16,0.3*$CU16,TRUE)+$CS16*_xlfn.NORM.DIST(X$3,$CV16,0.3*$CV16,TRUE),$CW16*_xlfn.NORM.DIST(X$3,'energy base (MECS)'!$F$11,0.3*'energy base (MECS)'!$F$11,TRUE))</f>
        <v/>
      </c>
      <c r="Y16" s="68">
        <f t="array" ref="Y16">IF($D16,SUMPRODUCT((economics!$AG$2:$AG$167=$B16)*(economics!$D$2:$D$167="whr")*economics!$AH$2:$AH$167*_xlfn.NORM.DIST(Y$3,economics!$AK$2:$AK$167,economics!$AJ$2:$AJ$167,TRUE))+$CR16*_xlfn.NORM.DIST(Y$3,$CU16,0.3*$CU16,TRUE)+$CS16*_xlfn.NORM.DIST(Y$3,$CV16,0.3*$CV16,TRUE),$CW16*_xlfn.NORM.DIST(Y$3,'energy base (MECS)'!$F$11,0.3*'energy base (MECS)'!$F$11,TRUE))</f>
        <v/>
      </c>
      <c r="Z16" s="68">
        <f t="array" ref="Z16">IF($D16,SUMPRODUCT((economics!$AG$2:$AG$167=$B16)*(economics!$D$2:$D$167="whr")*economics!$AH$2:$AH$167*_xlfn.NORM.DIST(Z$3,economics!$AK$2:$AK$167,economics!$AJ$2:$AJ$167,TRUE))+$CR16*_xlfn.NORM.DIST(Z$3,$CU16,0.3*$CU16,TRUE)+$CS16*_xlfn.NORM.DIST(Z$3,$CV16,0.3*$CV16,TRUE),$CW16*_xlfn.NORM.DIST(Z$3,'energy base (MECS)'!$F$11,0.3*'energy base (MECS)'!$F$11,TRUE))</f>
        <v/>
      </c>
      <c r="AA16" s="68">
        <f t="array" ref="AA16">IF($D16,SUMPRODUCT((economics!$AG$2:$AG$167=$B16)*(economics!$D$2:$D$167="whr")*economics!$AH$2:$AH$167*_xlfn.NORM.DIST(AA$3,economics!$AK$2:$AK$167,economics!$AJ$2:$AJ$167,TRUE))+$CR16*_xlfn.NORM.DIST(AA$3,$CU16,0.3*$CU16,TRUE)+$CS16*_xlfn.NORM.DIST(AA$3,$CV16,0.3*$CV16,TRUE),$CW16*_xlfn.NORM.DIST(AA$3,'energy base (MECS)'!$F$11,0.3*'energy base (MECS)'!$F$11,TRUE))</f>
        <v/>
      </c>
      <c r="AB16" s="68">
        <f t="array" ref="AB16">IF($D16,SUMPRODUCT((economics!$AG$2:$AG$167=$B16)*(economics!$D$2:$D$167="whr")*economics!$AH$2:$AH$167*_xlfn.NORM.DIST(AB$3,economics!$AK$2:$AK$167,economics!$AJ$2:$AJ$167,TRUE))+$CR16*_xlfn.NORM.DIST(AB$3,$CU16,0.3*$CU16,TRUE)+$CS16*_xlfn.NORM.DIST(AB$3,$CV16,0.3*$CV16,TRUE),$CW16*_xlfn.NORM.DIST(AB$3,'energy base (MECS)'!$F$11,0.3*'energy base (MECS)'!$F$11,TRUE))</f>
        <v/>
      </c>
      <c r="AC16" s="68">
        <f t="array" ref="AC16">IF($D16,SUMPRODUCT((economics!$AG$2:$AG$167=$B16)*(economics!$D$2:$D$167="whr")*economics!$AH$2:$AH$167*_xlfn.NORM.DIST(AC$3,economics!$AK$2:$AK$167,economics!$AJ$2:$AJ$167,TRUE))+$CR16*_xlfn.NORM.DIST(AC$3,$CU16,0.3*$CU16,TRUE)+$CS16*_xlfn.NORM.DIST(AC$3,$CV16,0.3*$CV16,TRUE),$CW16*_xlfn.NORM.DIST(AC$3,'energy base (MECS)'!$F$11,0.3*'energy base (MECS)'!$F$11,TRUE))</f>
        <v/>
      </c>
      <c r="AD16" s="68">
        <f t="array" ref="AD16">IF($D16,SUMPRODUCT((economics!$AG$2:$AG$167=$B16)*(economics!$D$2:$D$167="whr")*economics!$AH$2:$AH$167*_xlfn.NORM.DIST(AD$3,economics!$AK$2:$AK$167,economics!$AJ$2:$AJ$167,TRUE))+$CR16*_xlfn.NORM.DIST(AD$3,$CU16,0.3*$CU16,TRUE)+$CS16*_xlfn.NORM.DIST(AD$3,$CV16,0.3*$CV16,TRUE),$CW16*_xlfn.NORM.DIST(AD$3,'energy base (MECS)'!$F$11,0.3*'energy base (MECS)'!$F$11,TRUE))</f>
        <v/>
      </c>
      <c r="AE16" s="68">
        <f t="array" ref="AE16">IF($D16,SUMPRODUCT((economics!$AG$2:$AG$167=$B16)*(economics!$D$2:$D$167="whr")*economics!$AH$2:$AH$167*_xlfn.NORM.DIST(AE$3,economics!$AK$2:$AK$167,economics!$AJ$2:$AJ$167,TRUE))+$CR16*_xlfn.NORM.DIST(AE$3,$CU16,0.3*$CU16,TRUE)+$CS16*_xlfn.NORM.DIST(AE$3,$CV16,0.3*$CV16,TRUE),$CW16*_xlfn.NORM.DIST(AE$3,'energy base (MECS)'!$F$11,0.3*'energy base (MECS)'!$F$11,TRUE))</f>
        <v/>
      </c>
      <c r="AF16" s="68">
        <f t="array" ref="AF16">IF($D16,SUMPRODUCT((economics!$AG$2:$AG$167=$B16)*(economics!$D$2:$D$167="whr")*economics!$AH$2:$AH$167*_xlfn.NORM.DIST(AF$3,economics!$AK$2:$AK$167,economics!$AJ$2:$AJ$167,TRUE))+$CR16*_xlfn.NORM.DIST(AF$3,$CU16,0.3*$CU16,TRUE)+$CS16*_xlfn.NORM.DIST(AF$3,$CV16,0.3*$CV16,TRUE),$CW16*_xlfn.NORM.DIST(AF$3,'energy base (MECS)'!$F$11,0.3*'energy base (MECS)'!$F$11,TRUE))</f>
        <v/>
      </c>
      <c r="AG16" s="68">
        <f t="array" ref="AG16">IF($D16,SUMPRODUCT((economics!$AG$2:$AG$167=$B16)*(economics!$D$2:$D$167="whr")*economics!$AH$2:$AH$167*_xlfn.NORM.DIST(AG$3,economics!$AK$2:$AK$167,economics!$AJ$2:$AJ$167,TRUE))+$CR16*_xlfn.NORM.DIST(AG$3,$CU16,0.3*$CU16,TRUE)+$CS16*_xlfn.NORM.DIST(AG$3,$CV16,0.3*$CV16,TRUE),$CW16*_xlfn.NORM.DIST(AG$3,'energy base (MECS)'!$F$11,0.3*'energy base (MECS)'!$F$11,TRUE))</f>
        <v/>
      </c>
      <c r="AH16" s="68">
        <f t="array" ref="AH16">IF($D16,SUMPRODUCT((economics!$AG$2:$AG$167=$B16)*(economics!$D$2:$D$167="whr")*economics!$AH$2:$AH$167*_xlfn.NORM.DIST(AH$3,economics!$AK$2:$AK$167,economics!$AJ$2:$AJ$167,TRUE))+$CR16*_xlfn.NORM.DIST(AH$3,$CU16,0.3*$CU16,TRUE)+$CS16*_xlfn.NORM.DIST(AH$3,$CV16,0.3*$CV16,TRUE),$CW16*_xlfn.NORM.DIST(AH$3,'energy base (MECS)'!$F$11,0.3*'energy base (MECS)'!$F$11,TRUE))</f>
        <v/>
      </c>
      <c r="AI16" s="68">
        <f t="array" ref="AI16">IF($D16,SUMPRODUCT((economics!$AG$2:$AG$167=$B16)*(economics!$D$2:$D$167="whr")*economics!$AH$2:$AH$167*_xlfn.NORM.DIST(AI$3,economics!$AK$2:$AK$167,economics!$AJ$2:$AJ$167,TRUE))+$CR16*_xlfn.NORM.DIST(AI$3,$CU16,0.3*$CU16,TRUE)+$CS16*_xlfn.NORM.DIST(AI$3,$CV16,0.3*$CV16,TRUE),$CW16*_xlfn.NORM.DIST(AI$3,'energy base (MECS)'!$F$11,0.3*'energy base (MECS)'!$F$11,TRUE))</f>
        <v/>
      </c>
      <c r="AJ16" s="68">
        <f t="array" ref="AJ16">IF($D16,SUMPRODUCT((economics!$AG$2:$AG$167=$B16)*(economics!$D$2:$D$167="whr")*economics!$AH$2:$AH$167*_xlfn.NORM.DIST(AJ$3,economics!$AK$2:$AK$167,economics!$AJ$2:$AJ$167,TRUE))+$CR16*_xlfn.NORM.DIST(AJ$3,$CU16,0.3*$CU16,TRUE)+$CS16*_xlfn.NORM.DIST(AJ$3,$CV16,0.3*$CV16,TRUE),$CW16*_xlfn.NORM.DIST(AJ$3,'energy base (MECS)'!$F$11,0.3*'energy base (MECS)'!$F$11,TRUE))</f>
        <v/>
      </c>
      <c r="AK16" s="68">
        <f t="array" ref="AK16">IF($D16,SUMPRODUCT((economics!$AG$2:$AG$167=$B16)*(economics!$D$2:$D$167="whr")*economics!$AH$2:$AH$167*_xlfn.NORM.DIST(AK$3,economics!$AK$2:$AK$167,economics!$AJ$2:$AJ$167,TRUE))+$CR16*_xlfn.NORM.DIST(AK$3,$CU16,0.3*$CU16,TRUE)+$CS16*_xlfn.NORM.DIST(AK$3,$CV16,0.3*$CV16,TRUE),$CW16*_xlfn.NORM.DIST(AK$3,'energy base (MECS)'!$F$11,0.3*'energy base (MECS)'!$F$11,TRUE))</f>
        <v/>
      </c>
      <c r="AL16" s="68">
        <f t="array" ref="AL16">IF($D16,SUMPRODUCT((economics!$AG$2:$AG$167=$B16)*(economics!$D$2:$D$167="whr")*economics!$AH$2:$AH$167*_xlfn.NORM.DIST(AL$3,economics!$AK$2:$AK$167,economics!$AJ$2:$AJ$167,TRUE))+$CR16*_xlfn.NORM.DIST(AL$3,$CU16,0.3*$CU16,TRUE)+$CS16*_xlfn.NORM.DIST(AL$3,$CV16,0.3*$CV16,TRUE),$CW16*_xlfn.NORM.DIST(AL$3,'energy base (MECS)'!$F$11,0.3*'energy base (MECS)'!$F$11,TRUE))</f>
        <v/>
      </c>
      <c r="AM16" s="68">
        <f t="array" ref="AM16">IF($D16,SUMPRODUCT((economics!$AG$2:$AG$167=$B16)*(economics!$D$2:$D$167="whr")*economics!$AH$2:$AH$167*_xlfn.NORM.DIST(AM$3,economics!$AK$2:$AK$167,economics!$AJ$2:$AJ$167,TRUE))+$CR16*_xlfn.NORM.DIST(AM$3,$CU16,0.3*$CU16,TRUE)+$CS16*_xlfn.NORM.DIST(AM$3,$CV16,0.3*$CV16,TRUE),$CW16*_xlfn.NORM.DIST(AM$3,'energy base (MECS)'!$F$11,0.3*'energy base (MECS)'!$F$11,TRUE))</f>
        <v/>
      </c>
      <c r="AN16" s="68">
        <f t="array" ref="AN16">IF($D16,SUMPRODUCT((economics!$AG$2:$AG$167=$B16)*(economics!$D$2:$D$167="whr")*economics!$AH$2:$AH$167*_xlfn.NORM.DIST(AN$3,economics!$AK$2:$AK$167,economics!$AJ$2:$AJ$167,TRUE))+$CR16*_xlfn.NORM.DIST(AN$3,$CU16,0.3*$CU16,TRUE)+$CS16*_xlfn.NORM.DIST(AN$3,$CV16,0.3*$CV16,TRUE),$CW16*_xlfn.NORM.DIST(AN$3,'energy base (MECS)'!$F$11,0.3*'energy base (MECS)'!$F$11,TRUE))</f>
        <v/>
      </c>
      <c r="AO16" s="68">
        <f t="array" ref="AO16">IF($D16,SUMPRODUCT((economics!$AG$2:$AG$167=$B16)*(economics!$D$2:$D$167="whr")*economics!$AH$2:$AH$167*_xlfn.NORM.DIST(AO$3,economics!$AK$2:$AK$167,economics!$AJ$2:$AJ$167,TRUE))+$CR16*_xlfn.NORM.DIST(AO$3,$CU16,0.3*$CU16,TRUE)+$CS16*_xlfn.NORM.DIST(AO$3,$CV16,0.3*$CV16,TRUE),$CW16*_xlfn.NORM.DIST(AO$3,'energy base (MECS)'!$F$11,0.3*'energy base (MECS)'!$F$11,TRUE))</f>
        <v/>
      </c>
      <c r="AP16" s="68">
        <f t="array" ref="AP16">IF($D16,SUMPRODUCT((economics!$AG$2:$AG$167=$B16)*(economics!$D$2:$D$167="whr")*economics!$AH$2:$AH$167*_xlfn.NORM.DIST(AP$3,economics!$AK$2:$AK$167,economics!$AJ$2:$AJ$167,TRUE))+$CR16*_xlfn.NORM.DIST(AP$3,$CU16,0.3*$CU16,TRUE)+$CS16*_xlfn.NORM.DIST(AP$3,$CV16,0.3*$CV16,TRUE),$CW16*_xlfn.NORM.DIST(AP$3,'energy base (MECS)'!$F$11,0.3*'energy base (MECS)'!$F$11,TRUE))</f>
        <v/>
      </c>
      <c r="AQ16" s="68">
        <f t="array" ref="AQ16">IF($D16,SUMPRODUCT((economics!$AG$2:$AG$167=$B16)*(economics!$D$2:$D$167="whr")*economics!$AH$2:$AH$167*_xlfn.NORM.DIST(AQ$3,economics!$AK$2:$AK$167,economics!$AJ$2:$AJ$167,TRUE))+$CR16*_xlfn.NORM.DIST(AQ$3,$CU16,0.3*$CU16,TRUE)+$CS16*_xlfn.NORM.DIST(AQ$3,$CV16,0.3*$CV16,TRUE),$CW16*_xlfn.NORM.DIST(AQ$3,'energy base (MECS)'!$F$11,0.3*'energy base (MECS)'!$F$11,TRUE))</f>
        <v/>
      </c>
      <c r="AR16" s="68">
        <f t="array" ref="AR16">IF($D16,SUMPRODUCT((economics!$AG$2:$AG$167=$B16)*(economics!$D$2:$D$167="whr")*economics!$AH$2:$AH$167*_xlfn.NORM.DIST(AR$3,economics!$AK$2:$AK$167,economics!$AJ$2:$AJ$167,TRUE))+$CR16*_xlfn.NORM.DIST(AR$3,$CU16,0.3*$CU16,TRUE)+$CS16*_xlfn.NORM.DIST(AR$3,$CV16,0.3*$CV16,TRUE),$CW16*_xlfn.NORM.DIST(AR$3,'energy base (MECS)'!$F$11,0.3*'energy base (MECS)'!$F$11,TRUE))</f>
        <v/>
      </c>
      <c r="AS16" s="68">
        <f t="array" ref="AS16">IF($D16,SUMPRODUCT((economics!$AG$2:$AG$167=$B16)*(economics!$D$2:$D$167="whr")*economics!$AH$2:$AH$167*_xlfn.NORM.DIST(AS$3,economics!$AK$2:$AK$167,economics!$AJ$2:$AJ$167,TRUE))+$CR16*_xlfn.NORM.DIST(AS$3,$CU16,0.3*$CU16,TRUE)+$CS16*_xlfn.NORM.DIST(AS$3,$CV16,0.3*$CV16,TRUE),$CW16*_xlfn.NORM.DIST(AS$3,'energy base (MECS)'!$F$11,0.3*'energy base (MECS)'!$F$11,TRUE))</f>
        <v/>
      </c>
      <c r="AT16" s="68">
        <f t="array" ref="AT16">IF($D16,SUMPRODUCT((economics!$AG$2:$AG$167=$B16)*(economics!$D$2:$D$167="whr")*economics!$AH$2:$AH$167*_xlfn.NORM.DIST(AT$3,economics!$AK$2:$AK$167,economics!$AJ$2:$AJ$167,TRUE))+$CR16*_xlfn.NORM.DIST(AT$3,$CU16,0.3*$CU16,TRUE)+$CS16*_xlfn.NORM.DIST(AT$3,$CV16,0.3*$CV16,TRUE),$CW16*_xlfn.NORM.DIST(AT$3,'energy base (MECS)'!$F$11,0.3*'energy base (MECS)'!$F$11,TRUE))</f>
        <v/>
      </c>
      <c r="AU16" s="68">
        <f t="array" ref="AU16">IF($D16,SUMPRODUCT((economics!$AG$2:$AG$167=$B16)*(economics!$D$2:$D$167="whr")*economics!$AH$2:$AH$167*_xlfn.NORM.DIST(AU$3,economics!$AK$2:$AK$167,economics!$AJ$2:$AJ$167,TRUE))+$CR16*_xlfn.NORM.DIST(AU$3,$CU16,0.3*$CU16,TRUE)+$CS16*_xlfn.NORM.DIST(AU$3,$CV16,0.3*$CV16,TRUE),$CW16*_xlfn.NORM.DIST(AU$3,'energy base (MECS)'!$F$11,0.3*'energy base (MECS)'!$F$11,TRUE))</f>
        <v/>
      </c>
      <c r="AV16" s="68">
        <f t="array" ref="AV16">IF($D16,SUMPRODUCT((economics!$AG$2:$AG$167=$B16)*(economics!$D$2:$D$167="whr")*economics!$AH$2:$AH$167*_xlfn.NORM.DIST(AV$3,economics!$AK$2:$AK$167,economics!$AJ$2:$AJ$167,TRUE))+$CR16*_xlfn.NORM.DIST(AV$3,$CU16,0.3*$CU16,TRUE)+$CS16*_xlfn.NORM.DIST(AV$3,$CV16,0.3*$CV16,TRUE),$CW16*_xlfn.NORM.DIST(AV$3,'energy base (MECS)'!$F$11,0.3*'energy base (MECS)'!$F$11,TRUE))</f>
        <v/>
      </c>
      <c r="AW16" s="68">
        <f t="array" ref="AW16">IF($D16,SUMPRODUCT((economics!$AG$2:$AG$167=$B16)*(economics!$D$2:$D$167="whr")*economics!$AH$2:$AH$167*_xlfn.NORM.DIST(AW$3,economics!$AK$2:$AK$167,economics!$AJ$2:$AJ$167,TRUE))+$CR16*_xlfn.NORM.DIST(AW$3,$CU16,0.3*$CU16,TRUE)+$CS16*_xlfn.NORM.DIST(AW$3,$CV16,0.3*$CV16,TRUE),$CW16*_xlfn.NORM.DIST(AW$3,'energy base (MECS)'!$F$11,0.3*'energy base (MECS)'!$F$11,TRUE))</f>
        <v/>
      </c>
      <c r="AX16" s="68">
        <f t="array" ref="AX16">IF($D16,SUMPRODUCT((economics!$AG$2:$AG$167=$B16)*(economics!$D$2:$D$167="whr")*economics!$AH$2:$AH$167*_xlfn.NORM.DIST(AX$3,economics!$AK$2:$AK$167,economics!$AJ$2:$AJ$167,TRUE))+$CR16*_xlfn.NORM.DIST(AX$3,$CU16,0.3*$CU16,TRUE)+$CS16*_xlfn.NORM.DIST(AX$3,$CV16,0.3*$CV16,TRUE),$CW16*_xlfn.NORM.DIST(AX$3,'energy base (MECS)'!$F$11,0.3*'energy base (MECS)'!$F$11,TRUE))</f>
        <v/>
      </c>
      <c r="AY16" s="68">
        <f t="array" ref="AY16">IF($D16,SUMPRODUCT((economics!$AG$2:$AG$167=$B16)*(economics!$D$2:$D$167="whr")*economics!$AH$2:$AH$167*_xlfn.NORM.DIST(AY$3,economics!$AK$2:$AK$167,economics!$AJ$2:$AJ$167,TRUE))+$CR16*_xlfn.NORM.DIST(AY$3,$CU16,0.3*$CU16,TRUE)+$CS16*_xlfn.NORM.DIST(AY$3,$CV16,0.3*$CV16,TRUE),$CW16*_xlfn.NORM.DIST(AY$3,'energy base (MECS)'!$F$11,0.3*'energy base (MECS)'!$F$11,TRUE))</f>
        <v/>
      </c>
      <c r="AZ16" s="68">
        <f t="array" ref="AZ16">IF($D16,SUMPRODUCT((economics!$AG$2:$AG$167=$B16)*(economics!$D$2:$D$167="whr")*economics!$AH$2:$AH$167*_xlfn.NORM.DIST(AZ$3,economics!$AK$2:$AK$167,economics!$AJ$2:$AJ$167,TRUE))+$CR16*_xlfn.NORM.DIST(AZ$3,$CU16,0.3*$CU16,TRUE)+$CS16*_xlfn.NORM.DIST(AZ$3,$CV16,0.3*$CV16,TRUE),$CW16*_xlfn.NORM.DIST(AZ$3,'energy base (MECS)'!$F$11,0.3*'energy base (MECS)'!$F$11,TRUE))</f>
        <v/>
      </c>
      <c r="BA16" s="68">
        <f t="array" ref="BA16">IF($D16,SUMPRODUCT((economics!$AG$2:$AG$167=$B16)*(economics!$D$2:$D$167="whr")*economics!$AH$2:$AH$167*_xlfn.NORM.DIST(BA$3,economics!$AK$2:$AK$167,economics!$AJ$2:$AJ$167,TRUE))+$CR16*_xlfn.NORM.DIST(BA$3,$CU16,0.3*$CU16,TRUE)+$CS16*_xlfn.NORM.DIST(BA$3,$CV16,0.3*$CV16,TRUE),$CW16*_xlfn.NORM.DIST(BA$3,'energy base (MECS)'!$F$11,0.3*'energy base (MECS)'!$F$11,TRUE))</f>
        <v/>
      </c>
      <c r="BB16" s="68">
        <f t="array" ref="BB16">IF($D16,SUMPRODUCT((economics!$AG$2:$AG$167=$B16)*(economics!$D$2:$D$167="whr")*economics!$AH$2:$AH$167*_xlfn.NORM.DIST(BB$3,economics!$AK$2:$AK$167,economics!$AJ$2:$AJ$167,TRUE))+$CR16*_xlfn.NORM.DIST(BB$3,$CU16,0.3*$CU16,TRUE)+$CS16*_xlfn.NORM.DIST(BB$3,$CV16,0.3*$CV16,TRUE),$CW16*_xlfn.NORM.DIST(BB$3,'energy base (MECS)'!$F$11,0.3*'energy base (MECS)'!$F$11,TRUE))</f>
        <v/>
      </c>
      <c r="BC16" s="68">
        <f t="array" ref="BC16">IF($D16,SUMPRODUCT((economics!$AG$2:$AG$167=$B16)*(economics!$D$2:$D$167="whr")*economics!$AH$2:$AH$167*_xlfn.NORM.DIST(BC$3,economics!$AK$2:$AK$167,economics!$AJ$2:$AJ$167,TRUE))+$CR16*_xlfn.NORM.DIST(BC$3,$CU16,0.3*$CU16,TRUE)+$CS16*_xlfn.NORM.DIST(BC$3,$CV16,0.3*$CV16,TRUE),$CW16*_xlfn.NORM.DIST(BC$3,'energy base (MECS)'!$F$11,0.3*'energy base (MECS)'!$F$11,TRUE))</f>
        <v/>
      </c>
      <c r="BD16" s="68">
        <f t="array" ref="BD16">IF($D16,SUMPRODUCT((economics!$AG$2:$AG$167=$B16)*(economics!$D$2:$D$167="whr")*economics!$AH$2:$AH$167*_xlfn.NORM.DIST(BD$3,economics!$AK$2:$AK$167,economics!$AJ$2:$AJ$167,TRUE))+$CR16*_xlfn.NORM.DIST(BD$3,$CU16,0.3*$CU16,TRUE)+$CS16*_xlfn.NORM.DIST(BD$3,$CV16,0.3*$CV16,TRUE),$CW16*_xlfn.NORM.DIST(BD$3,'energy base (MECS)'!$F$11,0.3*'energy base (MECS)'!$F$11,TRUE))</f>
        <v/>
      </c>
      <c r="BE16" s="68">
        <f t="array" ref="BE16">IF($D16,SUMPRODUCT((economics!$AG$2:$AG$167=$B16)*(economics!$D$2:$D$167="whr")*economics!$AH$2:$AH$167*_xlfn.NORM.DIST(BE$3,economics!$AK$2:$AK$167,economics!$AJ$2:$AJ$167,TRUE))+$CR16*_xlfn.NORM.DIST(BE$3,$CU16,0.3*$CU16,TRUE)+$CS16*_xlfn.NORM.DIST(BE$3,$CV16,0.3*$CV16,TRUE),$CW16*_xlfn.NORM.DIST(BE$3,'energy base (MECS)'!$F$11,0.3*'energy base (MECS)'!$F$11,TRUE))</f>
        <v/>
      </c>
      <c r="BF16" s="68">
        <f t="array" ref="BF16">IF($D16,SUMPRODUCT((economics!$AG$2:$AG$167=$B16)*(economics!$D$2:$D$167="whr")*economics!$AH$2:$AH$167*_xlfn.NORM.DIST(BF$3,economics!$AK$2:$AK$167,economics!$AJ$2:$AJ$167,TRUE))+$CR16*_xlfn.NORM.DIST(BF$3,$CU16,0.3*$CU16,TRUE)+$CS16*_xlfn.NORM.DIST(BF$3,$CV16,0.3*$CV16,TRUE),$CW16*_xlfn.NORM.DIST(BF$3,'energy base (MECS)'!$F$11,0.3*'energy base (MECS)'!$F$11,TRUE))</f>
        <v/>
      </c>
      <c r="BG16" s="68">
        <f t="array" ref="BG16">IF($D16,SUMPRODUCT((economics!$AG$2:$AG$167=$B16)*(economics!$D$2:$D$167="whr")*economics!$AH$2:$AH$167*_xlfn.NORM.DIST(BG$3,economics!$AK$2:$AK$167,economics!$AJ$2:$AJ$167,TRUE))+$CR16*_xlfn.NORM.DIST(BG$3,$CU16,0.3*$CU16,TRUE)+$CS16*_xlfn.NORM.DIST(BG$3,$CV16,0.3*$CV16,TRUE),$CW16*_xlfn.NORM.DIST(BG$3,'energy base (MECS)'!$F$11,0.3*'energy base (MECS)'!$F$11,TRUE))</f>
        <v/>
      </c>
      <c r="BH16" s="68">
        <f t="array" ref="BH16">IF($D16,SUMPRODUCT((economics!$AG$2:$AG$167=$B16)*(economics!$D$2:$D$167="whr")*economics!$AH$2:$AH$167*_xlfn.NORM.DIST(BH$3,economics!$AK$2:$AK$167,economics!$AJ$2:$AJ$167,TRUE))+$CR16*_xlfn.NORM.DIST(BH$3,$CU16,0.3*$CU16,TRUE)+$CS16*_xlfn.NORM.DIST(BH$3,$CV16,0.3*$CV16,TRUE),$CW16*_xlfn.NORM.DIST(BH$3,'energy base (MECS)'!$F$11,0.3*'energy base (MECS)'!$F$11,TRUE))</f>
        <v/>
      </c>
      <c r="BI16" s="68">
        <f t="array" ref="BI16">IF($D16,SUMPRODUCT((economics!$AG$2:$AG$167=$B16)*(economics!$D$2:$D$167="whr")*economics!$AH$2:$AH$167*_xlfn.NORM.DIST(BI$3,economics!$AK$2:$AK$167,economics!$AJ$2:$AJ$167,TRUE))+$CR16*_xlfn.NORM.DIST(BI$3,$CU16,0.3*$CU16,TRUE)+$CS16*_xlfn.NORM.DIST(BI$3,$CV16,0.3*$CV16,TRUE),$CW16*_xlfn.NORM.DIST(BI$3,'energy base (MECS)'!$F$11,0.3*'energy base (MECS)'!$F$11,TRUE))</f>
        <v/>
      </c>
      <c r="BJ16" s="68">
        <f t="array" ref="BJ16">IF($D16,SUMPRODUCT((economics!$AG$2:$AG$167=$B16)*(economics!$D$2:$D$167="whr")*economics!$AH$2:$AH$167*_xlfn.NORM.DIST(BJ$3,economics!$AK$2:$AK$167,economics!$AJ$2:$AJ$167,TRUE))+$CR16*_xlfn.NORM.DIST(BJ$3,$CU16,0.3*$CU16,TRUE)+$CS16*_xlfn.NORM.DIST(BJ$3,$CV16,0.3*$CV16,TRUE),$CW16*_xlfn.NORM.DIST(BJ$3,'energy base (MECS)'!$F$11,0.3*'energy base (MECS)'!$F$11,TRUE))</f>
        <v/>
      </c>
      <c r="BK16" s="68">
        <f t="array" ref="BK16">IF($D16,SUMPRODUCT((economics!$AG$2:$AG$167=$B16)*(economics!$D$2:$D$167="whr")*economics!$AH$2:$AH$167*_xlfn.NORM.DIST(BK$3,economics!$AK$2:$AK$167,economics!$AJ$2:$AJ$167,TRUE))+$CR16*_xlfn.NORM.DIST(BK$3,$CU16,0.3*$CU16,TRUE)+$CS16*_xlfn.NORM.DIST(BK$3,$CV16,0.3*$CV16,TRUE),$CW16*_xlfn.NORM.DIST(BK$3,'energy base (MECS)'!$F$11,0.3*'energy base (MECS)'!$F$11,TRUE))</f>
        <v/>
      </c>
      <c r="BL16" s="68">
        <f t="array" ref="BL16">IF($D16,SUMPRODUCT((economics!$AG$2:$AG$167=$B16)*(economics!$D$2:$D$167="whr")*economics!$AH$2:$AH$167*_xlfn.NORM.DIST(BL$3,economics!$AK$2:$AK$167,economics!$AJ$2:$AJ$167,TRUE))+$CR16*_xlfn.NORM.DIST(BL$3,$CU16,0.3*$CU16,TRUE)+$CS16*_xlfn.NORM.DIST(BL$3,$CV16,0.3*$CV16,TRUE),$CW16*_xlfn.NORM.DIST(BL$3,'energy base (MECS)'!$F$11,0.3*'energy base (MECS)'!$F$11,TRUE))</f>
        <v/>
      </c>
      <c r="BM16" s="68">
        <f t="array" ref="BM16">IF($D16,SUMPRODUCT((economics!$AG$2:$AG$167=$B16)*(economics!$D$2:$D$167="whr")*economics!$AH$2:$AH$167*_xlfn.NORM.DIST(BM$3,economics!$AK$2:$AK$167,economics!$AJ$2:$AJ$167,TRUE))+$CR16*_xlfn.NORM.DIST(BM$3,$CU16,0.3*$CU16,TRUE)+$CS16*_xlfn.NORM.DIST(BM$3,$CV16,0.3*$CV16,TRUE),$CW16*_xlfn.NORM.DIST(BM$3,'energy base (MECS)'!$F$11,0.3*'energy base (MECS)'!$F$11,TRUE))</f>
        <v/>
      </c>
      <c r="BN16" s="68">
        <f t="array" ref="BN16">IF($D16,SUMPRODUCT((economics!$AG$2:$AG$167=$B16)*(economics!$D$2:$D$167="whr")*economics!$AH$2:$AH$167*_xlfn.NORM.DIST(BN$3,economics!$AK$2:$AK$167,economics!$AJ$2:$AJ$167,TRUE))+$CR16*_xlfn.NORM.DIST(BN$3,$CU16,0.3*$CU16,TRUE)+$CS16*_xlfn.NORM.DIST(BN$3,$CV16,0.3*$CV16,TRUE),$CW16*_xlfn.NORM.DIST(BN$3,'energy base (MECS)'!$F$11,0.3*'energy base (MECS)'!$F$11,TRUE))</f>
        <v/>
      </c>
      <c r="BO16" s="68">
        <f t="array" ref="BO16">IF($D16,SUMPRODUCT((economics!$AG$2:$AG$167=$B16)*(economics!$D$2:$D$167="whr")*economics!$AH$2:$AH$167*_xlfn.NORM.DIST(BO$3,economics!$AK$2:$AK$167,economics!$AJ$2:$AJ$167,TRUE))+$CR16*_xlfn.NORM.DIST(BO$3,$CU16,0.3*$CU16,TRUE)+$CS16*_xlfn.NORM.DIST(BO$3,$CV16,0.3*$CV16,TRUE),$CW16*_xlfn.NORM.DIST(BO$3,'energy base (MECS)'!$F$11,0.3*'energy base (MECS)'!$F$11,TRUE))</f>
        <v/>
      </c>
      <c r="BP16" s="68">
        <f t="array" ref="BP16">IF($D16,SUMPRODUCT((economics!$AG$2:$AG$167=$B16)*(economics!$D$2:$D$167="whr")*economics!$AH$2:$AH$167*_xlfn.NORM.DIST(BP$3,economics!$AK$2:$AK$167,economics!$AJ$2:$AJ$167,TRUE))+$CR16*_xlfn.NORM.DIST(BP$3,$CU16,0.3*$CU16,TRUE)+$CS16*_xlfn.NORM.DIST(BP$3,$CV16,0.3*$CV16,TRUE),$CW16*_xlfn.NORM.DIST(BP$3,'energy base (MECS)'!$F$11,0.3*'energy base (MECS)'!$F$11,TRUE))</f>
        <v/>
      </c>
      <c r="BQ16" s="68">
        <f t="array" ref="BQ16">IF($D16,SUMPRODUCT((economics!$AG$2:$AG$167=$B16)*(economics!$D$2:$D$167="whr")*economics!$AH$2:$AH$167*_xlfn.NORM.DIST(BQ$3,economics!$AK$2:$AK$167,economics!$AJ$2:$AJ$167,TRUE))+$CR16*_xlfn.NORM.DIST(BQ$3,$CU16,0.3*$CU16,TRUE)+$CS16*_xlfn.NORM.DIST(BQ$3,$CV16,0.3*$CV16,TRUE),$CW16*_xlfn.NORM.DIST(BQ$3,'energy base (MECS)'!$F$11,0.3*'energy base (MECS)'!$F$11,TRUE))</f>
        <v/>
      </c>
      <c r="BR16" s="68">
        <f t="array" ref="BR16">IF($D16,SUMPRODUCT((economics!$AG$2:$AG$167=$B16)*(economics!$D$2:$D$167="whr")*economics!$AH$2:$AH$167*_xlfn.NORM.DIST(BR$3,economics!$AK$2:$AK$167,economics!$AJ$2:$AJ$167,TRUE))+$CR16*_xlfn.NORM.DIST(BR$3,$CU16,0.3*$CU16,TRUE)+$CS16*_xlfn.NORM.DIST(BR$3,$CV16,0.3*$CV16,TRUE),$CW16*_xlfn.NORM.DIST(BR$3,'energy base (MECS)'!$F$11,0.3*'energy base (MECS)'!$F$11,TRUE))</f>
        <v/>
      </c>
      <c r="BS16" s="68">
        <f t="array" ref="BS16">IF($D16,SUMPRODUCT((economics!$AG$2:$AG$167=$B16)*(economics!$D$2:$D$167="whr")*economics!$AH$2:$AH$167*_xlfn.NORM.DIST(BS$3,economics!$AK$2:$AK$167,economics!$AJ$2:$AJ$167,TRUE))+$CR16*_xlfn.NORM.DIST(BS$3,$CU16,0.3*$CU16,TRUE)+$CS16*_xlfn.NORM.DIST(BS$3,$CV16,0.3*$CV16,TRUE),$CW16*_xlfn.NORM.DIST(BS$3,'energy base (MECS)'!$F$11,0.3*'energy base (MECS)'!$F$11,TRUE))</f>
        <v/>
      </c>
      <c r="BT16" s="68">
        <f t="array" ref="BT16">IF($D16,SUMPRODUCT((economics!$AG$2:$AG$167=$B16)*(economics!$D$2:$D$167="whr")*economics!$AH$2:$AH$167*_xlfn.NORM.DIST(BT$3,economics!$AK$2:$AK$167,economics!$AJ$2:$AJ$167,TRUE))+$CR16*_xlfn.NORM.DIST(BT$3,$CU16,0.3*$CU16,TRUE)+$CS16*_xlfn.NORM.DIST(BT$3,$CV16,0.3*$CV16,TRUE),$CW16*_xlfn.NORM.DIST(BT$3,'energy base (MECS)'!$F$11,0.3*'energy base (MECS)'!$F$11,TRUE))</f>
        <v/>
      </c>
      <c r="BU16" s="68">
        <f t="array" ref="BU16">IF($D16,SUMPRODUCT((economics!$AG$2:$AG$167=$B16)*(economics!$D$2:$D$167="whr")*economics!$AH$2:$AH$167*_xlfn.NORM.DIST(BU$3,economics!$AK$2:$AK$167,economics!$AJ$2:$AJ$167,TRUE))+$CR16*_xlfn.NORM.DIST(BU$3,$CU16,0.3*$CU16,TRUE)+$CS16*_xlfn.NORM.DIST(BU$3,$CV16,0.3*$CV16,TRUE),$CW16*_xlfn.NORM.DIST(BU$3,'energy base (MECS)'!$F$11,0.3*'energy base (MECS)'!$F$11,TRUE))</f>
        <v/>
      </c>
      <c r="BV16" s="68">
        <f t="array" ref="BV16">IF($D16,SUMPRODUCT((economics!$AG$2:$AG$167=$B16)*(economics!$D$2:$D$167="whr")*economics!$AH$2:$AH$167*_xlfn.NORM.DIST(BV$3,economics!$AK$2:$AK$167,economics!$AJ$2:$AJ$167,TRUE))+$CR16*_xlfn.NORM.DIST(BV$3,$CU16,0.3*$CU16,TRUE)+$CS16*_xlfn.NORM.DIST(BV$3,$CV16,0.3*$CV16,TRUE),$CW16*_xlfn.NORM.DIST(BV$3,'energy base (MECS)'!$F$11,0.3*'energy base (MECS)'!$F$11,TRUE))</f>
        <v/>
      </c>
      <c r="BW16" s="68">
        <f t="array" ref="BW16">IF($D16,SUMPRODUCT((economics!$AG$2:$AG$167=$B16)*(economics!$D$2:$D$167="whr")*economics!$AH$2:$AH$167*_xlfn.NORM.DIST(BW$3,economics!$AK$2:$AK$167,economics!$AJ$2:$AJ$167,TRUE))+$CR16*_xlfn.NORM.DIST(BW$3,$CU16,0.3*$CU16,TRUE)+$CS16*_xlfn.NORM.DIST(BW$3,$CV16,0.3*$CV16,TRUE),$CW16*_xlfn.NORM.DIST(BW$3,'energy base (MECS)'!$F$11,0.3*'energy base (MECS)'!$F$11,TRUE))</f>
        <v/>
      </c>
      <c r="BX16" s="68">
        <f t="array" ref="BX16">IF($D16,SUMPRODUCT((economics!$AG$2:$AG$167=$B16)*(economics!$D$2:$D$167="whr")*economics!$AH$2:$AH$167*_xlfn.NORM.DIST(BX$3,economics!$AK$2:$AK$167,economics!$AJ$2:$AJ$167,TRUE))+$CR16*_xlfn.NORM.DIST(BX$3,$CU16,0.3*$CU16,TRUE)+$CS16*_xlfn.NORM.DIST(BX$3,$CV16,0.3*$CV16,TRUE),$CW16*_xlfn.NORM.DIST(BX$3,'energy base (MECS)'!$F$11,0.3*'energy base (MECS)'!$F$11,TRUE))</f>
        <v/>
      </c>
      <c r="BY16" s="68">
        <f t="array" ref="BY16">IF($D16,SUMPRODUCT((economics!$AG$2:$AG$167=$B16)*(economics!$D$2:$D$167="whr")*economics!$AH$2:$AH$167*_xlfn.NORM.DIST(BY$3,economics!$AK$2:$AK$167,economics!$AJ$2:$AJ$167,TRUE))+$CR16*_xlfn.NORM.DIST(BY$3,$CU16,0.3*$CU16,TRUE)+$CS16*_xlfn.NORM.DIST(BY$3,$CV16,0.3*$CV16,TRUE),$CW16*_xlfn.NORM.DIST(BY$3,'energy base (MECS)'!$F$11,0.3*'energy base (MECS)'!$F$11,TRUE))</f>
        <v/>
      </c>
      <c r="BZ16" s="68">
        <f t="array" ref="BZ16">IF($D16,SUMPRODUCT((economics!$AG$2:$AG$167=$B16)*(economics!$D$2:$D$167="whr")*economics!$AH$2:$AH$167*_xlfn.NORM.DIST(BZ$3,economics!$AK$2:$AK$167,economics!$AJ$2:$AJ$167,TRUE))+$CR16*_xlfn.NORM.DIST(BZ$3,$CU16,0.3*$CU16,TRUE)+$CS16*_xlfn.NORM.DIST(BZ$3,$CV16,0.3*$CV16,TRUE),$CW16*_xlfn.NORM.DIST(BZ$3,'energy base (MECS)'!$F$11,0.3*'energy base (MECS)'!$F$11,TRUE))</f>
        <v/>
      </c>
      <c r="CA16" s="68">
        <f t="array" ref="CA16">IF($D16,SUMPRODUCT((economics!$AG$2:$AG$167=$B16)*(economics!$D$2:$D$167="whr")*economics!$AH$2:$AH$167*_xlfn.NORM.DIST(CA$3,economics!$AK$2:$AK$167,economics!$AJ$2:$AJ$167,TRUE))+$CR16*_xlfn.NORM.DIST(CA$3,$CU16,0.3*$CU16,TRUE)+$CS16*_xlfn.NORM.DIST(CA$3,$CV16,0.3*$CV16,TRUE),$CW16*_xlfn.NORM.DIST(CA$3,'energy base (MECS)'!$F$11,0.3*'energy base (MECS)'!$F$11,TRUE))</f>
        <v/>
      </c>
      <c r="CB16" s="68">
        <f t="array" ref="CB16">IF($D16,SUMPRODUCT((economics!$AG$2:$AG$167=$B16)*(economics!$D$2:$D$167="whr")*economics!$AH$2:$AH$167*_xlfn.NORM.DIST(CB$3,economics!$AK$2:$AK$167,economics!$AJ$2:$AJ$167,TRUE))+$CR16*_xlfn.NORM.DIST(CB$3,$CU16,0.3*$CU16,TRUE)+$CS16*_xlfn.NORM.DIST(CB$3,$CV16,0.3*$CV16,TRUE),$CW16*_xlfn.NORM.DIST(CB$3,'energy base (MECS)'!$F$11,0.3*'energy base (MECS)'!$F$11,TRUE))</f>
        <v/>
      </c>
      <c r="CC16" s="68">
        <f t="array" ref="CC16">IF($D16,SUMPRODUCT((economics!$AG$2:$AG$167=$B16)*(economics!$D$2:$D$167="whr")*economics!$AH$2:$AH$167*_xlfn.NORM.DIST(CC$3,economics!$AK$2:$AK$167,economics!$AJ$2:$AJ$167,TRUE))+$CR16*_xlfn.NORM.DIST(CC$3,$CU16,0.3*$CU16,TRUE)+$CS16*_xlfn.NORM.DIST(CC$3,$CV16,0.3*$CV16,TRUE),$CW16*_xlfn.NORM.DIST(CC$3,'energy base (MECS)'!$F$11,0.3*'energy base (MECS)'!$F$11,TRUE))</f>
        <v/>
      </c>
      <c r="CD16" s="68">
        <f t="array" ref="CD16">IF($D16,SUMPRODUCT((economics!$AG$2:$AG$167=$B16)*(economics!$D$2:$D$167="whr")*economics!$AH$2:$AH$167*_xlfn.NORM.DIST(CD$3,economics!$AK$2:$AK$167,economics!$AJ$2:$AJ$167,TRUE))+$CR16*_xlfn.NORM.DIST(CD$3,$CU16,0.3*$CU16,TRUE)+$CS16*_xlfn.NORM.DIST(CD$3,$CV16,0.3*$CV16,TRUE),$CW16*_xlfn.NORM.DIST(CD$3,'energy base (MECS)'!$F$11,0.3*'energy base (MECS)'!$F$11,TRUE))</f>
        <v/>
      </c>
      <c r="CE16" s="68">
        <f t="array" ref="CE16">IF($D16,SUMPRODUCT((economics!$AG$2:$AG$167=$B16)*(economics!$D$2:$D$167="whr")*economics!$AH$2:$AH$167*_xlfn.NORM.DIST(CE$3,economics!$AK$2:$AK$167,economics!$AJ$2:$AJ$167,TRUE))+$CR16*_xlfn.NORM.DIST(CE$3,$CU16,0.3*$CU16,TRUE)+$CS16*_xlfn.NORM.DIST(CE$3,$CV16,0.3*$CV16,TRUE),$CW16*_xlfn.NORM.DIST(CE$3,'energy base (MECS)'!$F$11,0.3*'energy base (MECS)'!$F$11,TRUE))</f>
        <v/>
      </c>
      <c r="CF16" s="68">
        <f t="array" ref="CF16">IF($D16,SUMPRODUCT((economics!$AG$2:$AG$167=$B16)*(economics!$D$2:$D$167="whr")*economics!$AH$2:$AH$167*_xlfn.NORM.DIST(CF$3,economics!$AK$2:$AK$167,economics!$AJ$2:$AJ$167,TRUE))+$CR16*_xlfn.NORM.DIST(CF$3,$CU16,0.3*$CU16,TRUE)+$CS16*_xlfn.NORM.DIST(CF$3,$CV16,0.3*$CV16,TRUE),$CW16*_xlfn.NORM.DIST(CF$3,'energy base (MECS)'!$F$11,0.3*'energy base (MECS)'!$F$11,TRUE))</f>
        <v/>
      </c>
      <c r="CG16" s="68">
        <f t="array" ref="CG16">IF($D16,SUMPRODUCT((economics!$AG$2:$AG$167=$B16)*(economics!$D$2:$D$167="whr")*economics!$AH$2:$AH$167*_xlfn.NORM.DIST(CG$3,economics!$AK$2:$AK$167,economics!$AJ$2:$AJ$167,TRUE))+$CR16*_xlfn.NORM.DIST(CG$3,$CU16,0.3*$CU16,TRUE)+$CS16*_xlfn.NORM.DIST(CG$3,$CV16,0.3*$CV16,TRUE),$CW16*_xlfn.NORM.DIST(CG$3,'energy base (MECS)'!$F$11,0.3*'energy base (MECS)'!$F$11,TRUE))</f>
        <v/>
      </c>
      <c r="CH16" s="68">
        <f t="array" ref="CH16">IF($D16,SUMPRODUCT((economics!$AG$2:$AG$167=$B16)*(economics!$D$2:$D$167="whr")*economics!$AH$2:$AH$167*_xlfn.NORM.DIST(CH$3,economics!$AK$2:$AK$167,economics!$AJ$2:$AJ$167,TRUE))+$CR16*_xlfn.NORM.DIST(CH$3,$CU16,0.3*$CU16,TRUE)+$CS16*_xlfn.NORM.DIST(CH$3,$CV16,0.3*$CV16,TRUE),$CW16*_xlfn.NORM.DIST(CH$3,'energy base (MECS)'!$F$11,0.3*'energy base (MECS)'!$F$11,TRUE))</f>
        <v/>
      </c>
      <c r="CJ16">
        <f t="array" ref="CJ16">SUMPRODUCT((economics!$AG$2:$AG$167=$B16)*(economics!$D$2:$D$167="whr")*economics!$AH$2:$AH$167)</f>
        <v/>
      </c>
      <c r="CK16" s="80">
        <f>'indst heat consumption'!D16</f>
        <v/>
      </c>
      <c r="CL16" s="80">
        <f>'indst heat consumption'!E16</f>
        <v/>
      </c>
      <c r="CM16" s="80">
        <f>'indst heat consumption'!F16</f>
        <v/>
      </c>
      <c r="CN16" s="80">
        <f>'indst heat consumption'!G16</f>
        <v/>
      </c>
      <c r="CO16" s="80">
        <f>'indst heat consumption'!H16</f>
        <v/>
      </c>
      <c r="CP16">
        <f>$C16*(CK16*summary!$B$94+CL16*summary!$C$94+CM16*summary!$D$94)</f>
        <v/>
      </c>
      <c r="CQ16">
        <f>$C16*(CN16*summary!$E$94+CO16*summary!$F$94)</f>
        <v/>
      </c>
      <c r="CR16">
        <f>IF(CP16+CQ16&gt;0,CP16*MAX(0,CP16+CQ16-CJ16)/(CP16+CQ16),0)</f>
        <v/>
      </c>
      <c r="CS16">
        <f>IF(CP16+CQ16&gt;0,CQ16*MAX(0,CP16+CQ16-CJ16)/(CP16+CQ16),0)</f>
        <v/>
      </c>
      <c r="CT16">
        <f>IFERROR(_xlfn.XLOOKUP($B16,'BCoISC-WACCbI'!$C$2:$C$26,'BCoISC-WACCbI'!$B$2:$B$26)+economics!$AE$4,0.1)</f>
        <v/>
      </c>
      <c r="CU16">
        <f>(summary!$C$7*(CT16/(1-(1+CT16)^-summary!$D$7))+summary!$C$7*summary!$E$7)/(summary!$F$7*3412/1000000)</f>
        <v/>
      </c>
      <c r="CV16">
        <f>(summary!$C$6*(CT16/(1-(1+CT16)^-summary!$D$6))+summary!$C$6*summary!$E$6)/(summary!$F$6*3412/1000000)</f>
        <v/>
      </c>
      <c r="CW16">
        <f>CR16+CS16</f>
        <v/>
      </c>
    </row>
    <row r="17">
      <c r="A17">
        <f>WHRPbI!A15</f>
        <v/>
      </c>
      <c r="B17" t="n">
        <v>241</v>
      </c>
      <c r="C17" s="68">
        <f>WHRPbI!B15</f>
        <v/>
      </c>
      <c r="D17">
        <f>ISNUMBER(MATCH($B17,'energy base (MECS)'!$K$4:$K$9,0))</f>
        <v/>
      </c>
      <c r="E17" s="68">
        <f t="array" ref="E17">IF($D17,SUMPRODUCT((economics!$AG$2:$AG$167=$B17)*(economics!$D$2:$D$167="whr")*economics!$AH$2:$AH$167*_xlfn.NORM.DIST(E$3,economics!$AK$2:$AK$167,economics!$AJ$2:$AJ$167,TRUE))+$CR17*_xlfn.NORM.DIST(E$3,$CU17,0.3*$CU17,TRUE)+$CS17*_xlfn.NORM.DIST(E$3,$CV17,0.3*$CV17,TRUE),$CW17*_xlfn.NORM.DIST(E$3,'energy base (MECS)'!$F$11,0.3*'energy base (MECS)'!$F$11,TRUE))</f>
        <v/>
      </c>
      <c r="F17" s="68">
        <f t="array" ref="F17">IF($D17,SUMPRODUCT((economics!$AG$2:$AG$167=$B17)*(economics!$D$2:$D$167="whr")*economics!$AH$2:$AH$167*_xlfn.NORM.DIST(F$3,economics!$AK$2:$AK$167,economics!$AJ$2:$AJ$167,TRUE))+$CR17*_xlfn.NORM.DIST(F$3,$CU17,0.3*$CU17,TRUE)+$CS17*_xlfn.NORM.DIST(F$3,$CV17,0.3*$CV17,TRUE),$CW17*_xlfn.NORM.DIST(F$3,'energy base (MECS)'!$F$11,0.3*'energy base (MECS)'!$F$11,TRUE))</f>
        <v/>
      </c>
      <c r="G17" s="68">
        <f t="array" ref="G17">IF($D17,SUMPRODUCT((economics!$AG$2:$AG$167=$B17)*(economics!$D$2:$D$167="whr")*economics!$AH$2:$AH$167*_xlfn.NORM.DIST(G$3,economics!$AK$2:$AK$167,economics!$AJ$2:$AJ$167,TRUE))+$CR17*_xlfn.NORM.DIST(G$3,$CU17,0.3*$CU17,TRUE)+$CS17*_xlfn.NORM.DIST(G$3,$CV17,0.3*$CV17,TRUE),$CW17*_xlfn.NORM.DIST(G$3,'energy base (MECS)'!$F$11,0.3*'energy base (MECS)'!$F$11,TRUE))</f>
        <v/>
      </c>
      <c r="H17" s="68">
        <f t="array" ref="H17">IF($D17,SUMPRODUCT((economics!$AG$2:$AG$167=$B17)*(economics!$D$2:$D$167="whr")*economics!$AH$2:$AH$167*_xlfn.NORM.DIST(H$3,economics!$AK$2:$AK$167,economics!$AJ$2:$AJ$167,TRUE))+$CR17*_xlfn.NORM.DIST(H$3,$CU17,0.3*$CU17,TRUE)+$CS17*_xlfn.NORM.DIST(H$3,$CV17,0.3*$CV17,TRUE),$CW17*_xlfn.NORM.DIST(H$3,'energy base (MECS)'!$F$11,0.3*'energy base (MECS)'!$F$11,TRUE))</f>
        <v/>
      </c>
      <c r="I17" s="68">
        <f t="array" ref="I17">IF($D17,SUMPRODUCT((economics!$AG$2:$AG$167=$B17)*(economics!$D$2:$D$167="whr")*economics!$AH$2:$AH$167*_xlfn.NORM.DIST(I$3,economics!$AK$2:$AK$167,economics!$AJ$2:$AJ$167,TRUE))+$CR17*_xlfn.NORM.DIST(I$3,$CU17,0.3*$CU17,TRUE)+$CS17*_xlfn.NORM.DIST(I$3,$CV17,0.3*$CV17,TRUE),$CW17*_xlfn.NORM.DIST(I$3,'energy base (MECS)'!$F$11,0.3*'energy base (MECS)'!$F$11,TRUE))</f>
        <v/>
      </c>
      <c r="J17" s="68">
        <f t="array" ref="J17">IF($D17,SUMPRODUCT((economics!$AG$2:$AG$167=$B17)*(economics!$D$2:$D$167="whr")*economics!$AH$2:$AH$167*_xlfn.NORM.DIST(J$3,economics!$AK$2:$AK$167,economics!$AJ$2:$AJ$167,TRUE))+$CR17*_xlfn.NORM.DIST(J$3,$CU17,0.3*$CU17,TRUE)+$CS17*_xlfn.NORM.DIST(J$3,$CV17,0.3*$CV17,TRUE),$CW17*_xlfn.NORM.DIST(J$3,'energy base (MECS)'!$F$11,0.3*'energy base (MECS)'!$F$11,TRUE))</f>
        <v/>
      </c>
      <c r="K17" s="68">
        <f t="array" ref="K17">IF($D17,SUMPRODUCT((economics!$AG$2:$AG$167=$B17)*(economics!$D$2:$D$167="whr")*economics!$AH$2:$AH$167*_xlfn.NORM.DIST(K$3,economics!$AK$2:$AK$167,economics!$AJ$2:$AJ$167,TRUE))+$CR17*_xlfn.NORM.DIST(K$3,$CU17,0.3*$CU17,TRUE)+$CS17*_xlfn.NORM.DIST(K$3,$CV17,0.3*$CV17,TRUE),$CW17*_xlfn.NORM.DIST(K$3,'energy base (MECS)'!$F$11,0.3*'energy base (MECS)'!$F$11,TRUE))</f>
        <v/>
      </c>
      <c r="L17" s="68">
        <f t="array" ref="L17">IF($D17,SUMPRODUCT((economics!$AG$2:$AG$167=$B17)*(economics!$D$2:$D$167="whr")*economics!$AH$2:$AH$167*_xlfn.NORM.DIST(L$3,economics!$AK$2:$AK$167,economics!$AJ$2:$AJ$167,TRUE))+$CR17*_xlfn.NORM.DIST(L$3,$CU17,0.3*$CU17,TRUE)+$CS17*_xlfn.NORM.DIST(L$3,$CV17,0.3*$CV17,TRUE),$CW17*_xlfn.NORM.DIST(L$3,'energy base (MECS)'!$F$11,0.3*'energy base (MECS)'!$F$11,TRUE))</f>
        <v/>
      </c>
      <c r="M17" s="68">
        <f t="array" ref="M17">IF($D17,SUMPRODUCT((economics!$AG$2:$AG$167=$B17)*(economics!$D$2:$D$167="whr")*economics!$AH$2:$AH$167*_xlfn.NORM.DIST(M$3,economics!$AK$2:$AK$167,economics!$AJ$2:$AJ$167,TRUE))+$CR17*_xlfn.NORM.DIST(M$3,$CU17,0.3*$CU17,TRUE)+$CS17*_xlfn.NORM.DIST(M$3,$CV17,0.3*$CV17,TRUE),$CW17*_xlfn.NORM.DIST(M$3,'energy base (MECS)'!$F$11,0.3*'energy base (MECS)'!$F$11,TRUE))</f>
        <v/>
      </c>
      <c r="N17" s="68">
        <f t="array" ref="N17">IF($D17,SUMPRODUCT((economics!$AG$2:$AG$167=$B17)*(economics!$D$2:$D$167="whr")*economics!$AH$2:$AH$167*_xlfn.NORM.DIST(N$3,economics!$AK$2:$AK$167,economics!$AJ$2:$AJ$167,TRUE))+$CR17*_xlfn.NORM.DIST(N$3,$CU17,0.3*$CU17,TRUE)+$CS17*_xlfn.NORM.DIST(N$3,$CV17,0.3*$CV17,TRUE),$CW17*_xlfn.NORM.DIST(N$3,'energy base (MECS)'!$F$11,0.3*'energy base (MECS)'!$F$11,TRUE))</f>
        <v/>
      </c>
      <c r="O17" s="68">
        <f t="array" ref="O17">IF($D17,SUMPRODUCT((economics!$AG$2:$AG$167=$B17)*(economics!$D$2:$D$167="whr")*economics!$AH$2:$AH$167*_xlfn.NORM.DIST(O$3,economics!$AK$2:$AK$167,economics!$AJ$2:$AJ$167,TRUE))+$CR17*_xlfn.NORM.DIST(O$3,$CU17,0.3*$CU17,TRUE)+$CS17*_xlfn.NORM.DIST(O$3,$CV17,0.3*$CV17,TRUE),$CW17*_xlfn.NORM.DIST(O$3,'energy base (MECS)'!$F$11,0.3*'energy base (MECS)'!$F$11,TRUE))</f>
        <v/>
      </c>
      <c r="P17" s="68">
        <f t="array" ref="P17">IF($D17,SUMPRODUCT((economics!$AG$2:$AG$167=$B17)*(economics!$D$2:$D$167="whr")*economics!$AH$2:$AH$167*_xlfn.NORM.DIST(P$3,economics!$AK$2:$AK$167,economics!$AJ$2:$AJ$167,TRUE))+$CR17*_xlfn.NORM.DIST(P$3,$CU17,0.3*$CU17,TRUE)+$CS17*_xlfn.NORM.DIST(P$3,$CV17,0.3*$CV17,TRUE),$CW17*_xlfn.NORM.DIST(P$3,'energy base (MECS)'!$F$11,0.3*'energy base (MECS)'!$F$11,TRUE))</f>
        <v/>
      </c>
      <c r="Q17" s="68">
        <f t="array" ref="Q17">IF($D17,SUMPRODUCT((economics!$AG$2:$AG$167=$B17)*(economics!$D$2:$D$167="whr")*economics!$AH$2:$AH$167*_xlfn.NORM.DIST(Q$3,economics!$AK$2:$AK$167,economics!$AJ$2:$AJ$167,TRUE))+$CR17*_xlfn.NORM.DIST(Q$3,$CU17,0.3*$CU17,TRUE)+$CS17*_xlfn.NORM.DIST(Q$3,$CV17,0.3*$CV17,TRUE),$CW17*_xlfn.NORM.DIST(Q$3,'energy base (MECS)'!$F$11,0.3*'energy base (MECS)'!$F$11,TRUE))</f>
        <v/>
      </c>
      <c r="R17" s="68">
        <f t="array" ref="R17">IF($D17,SUMPRODUCT((economics!$AG$2:$AG$167=$B17)*(economics!$D$2:$D$167="whr")*economics!$AH$2:$AH$167*_xlfn.NORM.DIST(R$3,economics!$AK$2:$AK$167,economics!$AJ$2:$AJ$167,TRUE))+$CR17*_xlfn.NORM.DIST(R$3,$CU17,0.3*$CU17,TRUE)+$CS17*_xlfn.NORM.DIST(R$3,$CV17,0.3*$CV17,TRUE),$CW17*_xlfn.NORM.DIST(R$3,'energy base (MECS)'!$F$11,0.3*'energy base (MECS)'!$F$11,TRUE))</f>
        <v/>
      </c>
      <c r="S17" s="68">
        <f t="array" ref="S17">IF($D17,SUMPRODUCT((economics!$AG$2:$AG$167=$B17)*(economics!$D$2:$D$167="whr")*economics!$AH$2:$AH$167*_xlfn.NORM.DIST(S$3,economics!$AK$2:$AK$167,economics!$AJ$2:$AJ$167,TRUE))+$CR17*_xlfn.NORM.DIST(S$3,$CU17,0.3*$CU17,TRUE)+$CS17*_xlfn.NORM.DIST(S$3,$CV17,0.3*$CV17,TRUE),$CW17*_xlfn.NORM.DIST(S$3,'energy base (MECS)'!$F$11,0.3*'energy base (MECS)'!$F$11,TRUE))</f>
        <v/>
      </c>
      <c r="T17" s="68">
        <f t="array" ref="T17">IF($D17,SUMPRODUCT((economics!$AG$2:$AG$167=$B17)*(economics!$D$2:$D$167="whr")*economics!$AH$2:$AH$167*_xlfn.NORM.DIST(T$3,economics!$AK$2:$AK$167,economics!$AJ$2:$AJ$167,TRUE))+$CR17*_xlfn.NORM.DIST(T$3,$CU17,0.3*$CU17,TRUE)+$CS17*_xlfn.NORM.DIST(T$3,$CV17,0.3*$CV17,TRUE),$CW17*_xlfn.NORM.DIST(T$3,'energy base (MECS)'!$F$11,0.3*'energy base (MECS)'!$F$11,TRUE))</f>
        <v/>
      </c>
      <c r="U17" s="68">
        <f t="array" ref="U17">IF($D17,SUMPRODUCT((economics!$AG$2:$AG$167=$B17)*(economics!$D$2:$D$167="whr")*economics!$AH$2:$AH$167*_xlfn.NORM.DIST(U$3,economics!$AK$2:$AK$167,economics!$AJ$2:$AJ$167,TRUE))+$CR17*_xlfn.NORM.DIST(U$3,$CU17,0.3*$CU17,TRUE)+$CS17*_xlfn.NORM.DIST(U$3,$CV17,0.3*$CV17,TRUE),$CW17*_xlfn.NORM.DIST(U$3,'energy base (MECS)'!$F$11,0.3*'energy base (MECS)'!$F$11,TRUE))</f>
        <v/>
      </c>
      <c r="V17" s="68">
        <f t="array" ref="V17">IF($D17,SUMPRODUCT((economics!$AG$2:$AG$167=$B17)*(economics!$D$2:$D$167="whr")*economics!$AH$2:$AH$167*_xlfn.NORM.DIST(V$3,economics!$AK$2:$AK$167,economics!$AJ$2:$AJ$167,TRUE))+$CR17*_xlfn.NORM.DIST(V$3,$CU17,0.3*$CU17,TRUE)+$CS17*_xlfn.NORM.DIST(V$3,$CV17,0.3*$CV17,TRUE),$CW17*_xlfn.NORM.DIST(V$3,'energy base (MECS)'!$F$11,0.3*'energy base (MECS)'!$F$11,TRUE))</f>
        <v/>
      </c>
      <c r="W17" s="68">
        <f t="array" ref="W17">IF($D17,SUMPRODUCT((economics!$AG$2:$AG$167=$B17)*(economics!$D$2:$D$167="whr")*economics!$AH$2:$AH$167*_xlfn.NORM.DIST(W$3,economics!$AK$2:$AK$167,economics!$AJ$2:$AJ$167,TRUE))+$CR17*_xlfn.NORM.DIST(W$3,$CU17,0.3*$CU17,TRUE)+$CS17*_xlfn.NORM.DIST(W$3,$CV17,0.3*$CV17,TRUE),$CW17*_xlfn.NORM.DIST(W$3,'energy base (MECS)'!$F$11,0.3*'energy base (MECS)'!$F$11,TRUE))</f>
        <v/>
      </c>
      <c r="X17" s="68">
        <f t="array" ref="X17">IF($D17,SUMPRODUCT((economics!$AG$2:$AG$167=$B17)*(economics!$D$2:$D$167="whr")*economics!$AH$2:$AH$167*_xlfn.NORM.DIST(X$3,economics!$AK$2:$AK$167,economics!$AJ$2:$AJ$167,TRUE))+$CR17*_xlfn.NORM.DIST(X$3,$CU17,0.3*$CU17,TRUE)+$CS17*_xlfn.NORM.DIST(X$3,$CV17,0.3*$CV17,TRUE),$CW17*_xlfn.NORM.DIST(X$3,'energy base (MECS)'!$F$11,0.3*'energy base (MECS)'!$F$11,TRUE))</f>
        <v/>
      </c>
      <c r="Y17" s="68">
        <f t="array" ref="Y17">IF($D17,SUMPRODUCT((economics!$AG$2:$AG$167=$B17)*(economics!$D$2:$D$167="whr")*economics!$AH$2:$AH$167*_xlfn.NORM.DIST(Y$3,economics!$AK$2:$AK$167,economics!$AJ$2:$AJ$167,TRUE))+$CR17*_xlfn.NORM.DIST(Y$3,$CU17,0.3*$CU17,TRUE)+$CS17*_xlfn.NORM.DIST(Y$3,$CV17,0.3*$CV17,TRUE),$CW17*_xlfn.NORM.DIST(Y$3,'energy base (MECS)'!$F$11,0.3*'energy base (MECS)'!$F$11,TRUE))</f>
        <v/>
      </c>
      <c r="Z17" s="68">
        <f t="array" ref="Z17">IF($D17,SUMPRODUCT((economics!$AG$2:$AG$167=$B17)*(economics!$D$2:$D$167="whr")*economics!$AH$2:$AH$167*_xlfn.NORM.DIST(Z$3,economics!$AK$2:$AK$167,economics!$AJ$2:$AJ$167,TRUE))+$CR17*_xlfn.NORM.DIST(Z$3,$CU17,0.3*$CU17,TRUE)+$CS17*_xlfn.NORM.DIST(Z$3,$CV17,0.3*$CV17,TRUE),$CW17*_xlfn.NORM.DIST(Z$3,'energy base (MECS)'!$F$11,0.3*'energy base (MECS)'!$F$11,TRUE))</f>
        <v/>
      </c>
      <c r="AA17" s="68">
        <f t="array" ref="AA17">IF($D17,SUMPRODUCT((economics!$AG$2:$AG$167=$B17)*(economics!$D$2:$D$167="whr")*economics!$AH$2:$AH$167*_xlfn.NORM.DIST(AA$3,economics!$AK$2:$AK$167,economics!$AJ$2:$AJ$167,TRUE))+$CR17*_xlfn.NORM.DIST(AA$3,$CU17,0.3*$CU17,TRUE)+$CS17*_xlfn.NORM.DIST(AA$3,$CV17,0.3*$CV17,TRUE),$CW17*_xlfn.NORM.DIST(AA$3,'energy base (MECS)'!$F$11,0.3*'energy base (MECS)'!$F$11,TRUE))</f>
        <v/>
      </c>
      <c r="AB17" s="68">
        <f t="array" ref="AB17">IF($D17,SUMPRODUCT((economics!$AG$2:$AG$167=$B17)*(economics!$D$2:$D$167="whr")*economics!$AH$2:$AH$167*_xlfn.NORM.DIST(AB$3,economics!$AK$2:$AK$167,economics!$AJ$2:$AJ$167,TRUE))+$CR17*_xlfn.NORM.DIST(AB$3,$CU17,0.3*$CU17,TRUE)+$CS17*_xlfn.NORM.DIST(AB$3,$CV17,0.3*$CV17,TRUE),$CW17*_xlfn.NORM.DIST(AB$3,'energy base (MECS)'!$F$11,0.3*'energy base (MECS)'!$F$11,TRUE))</f>
        <v/>
      </c>
      <c r="AC17" s="68">
        <f t="array" ref="AC17">IF($D17,SUMPRODUCT((economics!$AG$2:$AG$167=$B17)*(economics!$D$2:$D$167="whr")*economics!$AH$2:$AH$167*_xlfn.NORM.DIST(AC$3,economics!$AK$2:$AK$167,economics!$AJ$2:$AJ$167,TRUE))+$CR17*_xlfn.NORM.DIST(AC$3,$CU17,0.3*$CU17,TRUE)+$CS17*_xlfn.NORM.DIST(AC$3,$CV17,0.3*$CV17,TRUE),$CW17*_xlfn.NORM.DIST(AC$3,'energy base (MECS)'!$F$11,0.3*'energy base (MECS)'!$F$11,TRUE))</f>
        <v/>
      </c>
      <c r="AD17" s="68">
        <f t="array" ref="AD17">IF($D17,SUMPRODUCT((economics!$AG$2:$AG$167=$B17)*(economics!$D$2:$D$167="whr")*economics!$AH$2:$AH$167*_xlfn.NORM.DIST(AD$3,economics!$AK$2:$AK$167,economics!$AJ$2:$AJ$167,TRUE))+$CR17*_xlfn.NORM.DIST(AD$3,$CU17,0.3*$CU17,TRUE)+$CS17*_xlfn.NORM.DIST(AD$3,$CV17,0.3*$CV17,TRUE),$CW17*_xlfn.NORM.DIST(AD$3,'energy base (MECS)'!$F$11,0.3*'energy base (MECS)'!$F$11,TRUE))</f>
        <v/>
      </c>
      <c r="AE17" s="68">
        <f t="array" ref="AE17">IF($D17,SUMPRODUCT((economics!$AG$2:$AG$167=$B17)*(economics!$D$2:$D$167="whr")*economics!$AH$2:$AH$167*_xlfn.NORM.DIST(AE$3,economics!$AK$2:$AK$167,economics!$AJ$2:$AJ$167,TRUE))+$CR17*_xlfn.NORM.DIST(AE$3,$CU17,0.3*$CU17,TRUE)+$CS17*_xlfn.NORM.DIST(AE$3,$CV17,0.3*$CV17,TRUE),$CW17*_xlfn.NORM.DIST(AE$3,'energy base (MECS)'!$F$11,0.3*'energy base (MECS)'!$F$11,TRUE))</f>
        <v/>
      </c>
      <c r="AF17" s="68">
        <f t="array" ref="AF17">IF($D17,SUMPRODUCT((economics!$AG$2:$AG$167=$B17)*(economics!$D$2:$D$167="whr")*economics!$AH$2:$AH$167*_xlfn.NORM.DIST(AF$3,economics!$AK$2:$AK$167,economics!$AJ$2:$AJ$167,TRUE))+$CR17*_xlfn.NORM.DIST(AF$3,$CU17,0.3*$CU17,TRUE)+$CS17*_xlfn.NORM.DIST(AF$3,$CV17,0.3*$CV17,TRUE),$CW17*_xlfn.NORM.DIST(AF$3,'energy base (MECS)'!$F$11,0.3*'energy base (MECS)'!$F$11,TRUE))</f>
        <v/>
      </c>
      <c r="AG17" s="68">
        <f t="array" ref="AG17">IF($D17,SUMPRODUCT((economics!$AG$2:$AG$167=$B17)*(economics!$D$2:$D$167="whr")*economics!$AH$2:$AH$167*_xlfn.NORM.DIST(AG$3,economics!$AK$2:$AK$167,economics!$AJ$2:$AJ$167,TRUE))+$CR17*_xlfn.NORM.DIST(AG$3,$CU17,0.3*$CU17,TRUE)+$CS17*_xlfn.NORM.DIST(AG$3,$CV17,0.3*$CV17,TRUE),$CW17*_xlfn.NORM.DIST(AG$3,'energy base (MECS)'!$F$11,0.3*'energy base (MECS)'!$F$11,TRUE))</f>
        <v/>
      </c>
      <c r="AH17" s="68">
        <f t="array" ref="AH17">IF($D17,SUMPRODUCT((economics!$AG$2:$AG$167=$B17)*(economics!$D$2:$D$167="whr")*economics!$AH$2:$AH$167*_xlfn.NORM.DIST(AH$3,economics!$AK$2:$AK$167,economics!$AJ$2:$AJ$167,TRUE))+$CR17*_xlfn.NORM.DIST(AH$3,$CU17,0.3*$CU17,TRUE)+$CS17*_xlfn.NORM.DIST(AH$3,$CV17,0.3*$CV17,TRUE),$CW17*_xlfn.NORM.DIST(AH$3,'energy base (MECS)'!$F$11,0.3*'energy base (MECS)'!$F$11,TRUE))</f>
        <v/>
      </c>
      <c r="AI17" s="68">
        <f t="array" ref="AI17">IF($D17,SUMPRODUCT((economics!$AG$2:$AG$167=$B17)*(economics!$D$2:$D$167="whr")*economics!$AH$2:$AH$167*_xlfn.NORM.DIST(AI$3,economics!$AK$2:$AK$167,economics!$AJ$2:$AJ$167,TRUE))+$CR17*_xlfn.NORM.DIST(AI$3,$CU17,0.3*$CU17,TRUE)+$CS17*_xlfn.NORM.DIST(AI$3,$CV17,0.3*$CV17,TRUE),$CW17*_xlfn.NORM.DIST(AI$3,'energy base (MECS)'!$F$11,0.3*'energy base (MECS)'!$F$11,TRUE))</f>
        <v/>
      </c>
      <c r="AJ17" s="68">
        <f t="array" ref="AJ17">IF($D17,SUMPRODUCT((economics!$AG$2:$AG$167=$B17)*(economics!$D$2:$D$167="whr")*economics!$AH$2:$AH$167*_xlfn.NORM.DIST(AJ$3,economics!$AK$2:$AK$167,economics!$AJ$2:$AJ$167,TRUE))+$CR17*_xlfn.NORM.DIST(AJ$3,$CU17,0.3*$CU17,TRUE)+$CS17*_xlfn.NORM.DIST(AJ$3,$CV17,0.3*$CV17,TRUE),$CW17*_xlfn.NORM.DIST(AJ$3,'energy base (MECS)'!$F$11,0.3*'energy base (MECS)'!$F$11,TRUE))</f>
        <v/>
      </c>
      <c r="AK17" s="68">
        <f t="array" ref="AK17">IF($D17,SUMPRODUCT((economics!$AG$2:$AG$167=$B17)*(economics!$D$2:$D$167="whr")*economics!$AH$2:$AH$167*_xlfn.NORM.DIST(AK$3,economics!$AK$2:$AK$167,economics!$AJ$2:$AJ$167,TRUE))+$CR17*_xlfn.NORM.DIST(AK$3,$CU17,0.3*$CU17,TRUE)+$CS17*_xlfn.NORM.DIST(AK$3,$CV17,0.3*$CV17,TRUE),$CW17*_xlfn.NORM.DIST(AK$3,'energy base (MECS)'!$F$11,0.3*'energy base (MECS)'!$F$11,TRUE))</f>
        <v/>
      </c>
      <c r="AL17" s="68">
        <f t="array" ref="AL17">IF($D17,SUMPRODUCT((economics!$AG$2:$AG$167=$B17)*(economics!$D$2:$D$167="whr")*economics!$AH$2:$AH$167*_xlfn.NORM.DIST(AL$3,economics!$AK$2:$AK$167,economics!$AJ$2:$AJ$167,TRUE))+$CR17*_xlfn.NORM.DIST(AL$3,$CU17,0.3*$CU17,TRUE)+$CS17*_xlfn.NORM.DIST(AL$3,$CV17,0.3*$CV17,TRUE),$CW17*_xlfn.NORM.DIST(AL$3,'energy base (MECS)'!$F$11,0.3*'energy base (MECS)'!$F$11,TRUE))</f>
        <v/>
      </c>
      <c r="AM17" s="68">
        <f t="array" ref="AM17">IF($D17,SUMPRODUCT((economics!$AG$2:$AG$167=$B17)*(economics!$D$2:$D$167="whr")*economics!$AH$2:$AH$167*_xlfn.NORM.DIST(AM$3,economics!$AK$2:$AK$167,economics!$AJ$2:$AJ$167,TRUE))+$CR17*_xlfn.NORM.DIST(AM$3,$CU17,0.3*$CU17,TRUE)+$CS17*_xlfn.NORM.DIST(AM$3,$CV17,0.3*$CV17,TRUE),$CW17*_xlfn.NORM.DIST(AM$3,'energy base (MECS)'!$F$11,0.3*'energy base (MECS)'!$F$11,TRUE))</f>
        <v/>
      </c>
      <c r="AN17" s="68">
        <f t="array" ref="AN17">IF($D17,SUMPRODUCT((economics!$AG$2:$AG$167=$B17)*(economics!$D$2:$D$167="whr")*economics!$AH$2:$AH$167*_xlfn.NORM.DIST(AN$3,economics!$AK$2:$AK$167,economics!$AJ$2:$AJ$167,TRUE))+$CR17*_xlfn.NORM.DIST(AN$3,$CU17,0.3*$CU17,TRUE)+$CS17*_xlfn.NORM.DIST(AN$3,$CV17,0.3*$CV17,TRUE),$CW17*_xlfn.NORM.DIST(AN$3,'energy base (MECS)'!$F$11,0.3*'energy base (MECS)'!$F$11,TRUE))</f>
        <v/>
      </c>
      <c r="AO17" s="68">
        <f t="array" ref="AO17">IF($D17,SUMPRODUCT((economics!$AG$2:$AG$167=$B17)*(economics!$D$2:$D$167="whr")*economics!$AH$2:$AH$167*_xlfn.NORM.DIST(AO$3,economics!$AK$2:$AK$167,economics!$AJ$2:$AJ$167,TRUE))+$CR17*_xlfn.NORM.DIST(AO$3,$CU17,0.3*$CU17,TRUE)+$CS17*_xlfn.NORM.DIST(AO$3,$CV17,0.3*$CV17,TRUE),$CW17*_xlfn.NORM.DIST(AO$3,'energy base (MECS)'!$F$11,0.3*'energy base (MECS)'!$F$11,TRUE))</f>
        <v/>
      </c>
      <c r="AP17" s="68">
        <f t="array" ref="AP17">IF($D17,SUMPRODUCT((economics!$AG$2:$AG$167=$B17)*(economics!$D$2:$D$167="whr")*economics!$AH$2:$AH$167*_xlfn.NORM.DIST(AP$3,economics!$AK$2:$AK$167,economics!$AJ$2:$AJ$167,TRUE))+$CR17*_xlfn.NORM.DIST(AP$3,$CU17,0.3*$CU17,TRUE)+$CS17*_xlfn.NORM.DIST(AP$3,$CV17,0.3*$CV17,TRUE),$CW17*_xlfn.NORM.DIST(AP$3,'energy base (MECS)'!$F$11,0.3*'energy base (MECS)'!$F$11,TRUE))</f>
        <v/>
      </c>
      <c r="AQ17" s="68">
        <f t="array" ref="AQ17">IF($D17,SUMPRODUCT((economics!$AG$2:$AG$167=$B17)*(economics!$D$2:$D$167="whr")*economics!$AH$2:$AH$167*_xlfn.NORM.DIST(AQ$3,economics!$AK$2:$AK$167,economics!$AJ$2:$AJ$167,TRUE))+$CR17*_xlfn.NORM.DIST(AQ$3,$CU17,0.3*$CU17,TRUE)+$CS17*_xlfn.NORM.DIST(AQ$3,$CV17,0.3*$CV17,TRUE),$CW17*_xlfn.NORM.DIST(AQ$3,'energy base (MECS)'!$F$11,0.3*'energy base (MECS)'!$F$11,TRUE))</f>
        <v/>
      </c>
      <c r="AR17" s="68">
        <f t="array" ref="AR17">IF($D17,SUMPRODUCT((economics!$AG$2:$AG$167=$B17)*(economics!$D$2:$D$167="whr")*economics!$AH$2:$AH$167*_xlfn.NORM.DIST(AR$3,economics!$AK$2:$AK$167,economics!$AJ$2:$AJ$167,TRUE))+$CR17*_xlfn.NORM.DIST(AR$3,$CU17,0.3*$CU17,TRUE)+$CS17*_xlfn.NORM.DIST(AR$3,$CV17,0.3*$CV17,TRUE),$CW17*_xlfn.NORM.DIST(AR$3,'energy base (MECS)'!$F$11,0.3*'energy base (MECS)'!$F$11,TRUE))</f>
        <v/>
      </c>
      <c r="AS17" s="68">
        <f t="array" ref="AS17">IF($D17,SUMPRODUCT((economics!$AG$2:$AG$167=$B17)*(economics!$D$2:$D$167="whr")*economics!$AH$2:$AH$167*_xlfn.NORM.DIST(AS$3,economics!$AK$2:$AK$167,economics!$AJ$2:$AJ$167,TRUE))+$CR17*_xlfn.NORM.DIST(AS$3,$CU17,0.3*$CU17,TRUE)+$CS17*_xlfn.NORM.DIST(AS$3,$CV17,0.3*$CV17,TRUE),$CW17*_xlfn.NORM.DIST(AS$3,'energy base (MECS)'!$F$11,0.3*'energy base (MECS)'!$F$11,TRUE))</f>
        <v/>
      </c>
      <c r="AT17" s="68">
        <f t="array" ref="AT17">IF($D17,SUMPRODUCT((economics!$AG$2:$AG$167=$B17)*(economics!$D$2:$D$167="whr")*economics!$AH$2:$AH$167*_xlfn.NORM.DIST(AT$3,economics!$AK$2:$AK$167,economics!$AJ$2:$AJ$167,TRUE))+$CR17*_xlfn.NORM.DIST(AT$3,$CU17,0.3*$CU17,TRUE)+$CS17*_xlfn.NORM.DIST(AT$3,$CV17,0.3*$CV17,TRUE),$CW17*_xlfn.NORM.DIST(AT$3,'energy base (MECS)'!$F$11,0.3*'energy base (MECS)'!$F$11,TRUE))</f>
        <v/>
      </c>
      <c r="AU17" s="68">
        <f t="array" ref="AU17">IF($D17,SUMPRODUCT((economics!$AG$2:$AG$167=$B17)*(economics!$D$2:$D$167="whr")*economics!$AH$2:$AH$167*_xlfn.NORM.DIST(AU$3,economics!$AK$2:$AK$167,economics!$AJ$2:$AJ$167,TRUE))+$CR17*_xlfn.NORM.DIST(AU$3,$CU17,0.3*$CU17,TRUE)+$CS17*_xlfn.NORM.DIST(AU$3,$CV17,0.3*$CV17,TRUE),$CW17*_xlfn.NORM.DIST(AU$3,'energy base (MECS)'!$F$11,0.3*'energy base (MECS)'!$F$11,TRUE))</f>
        <v/>
      </c>
      <c r="AV17" s="68">
        <f t="array" ref="AV17">IF($D17,SUMPRODUCT((economics!$AG$2:$AG$167=$B17)*(economics!$D$2:$D$167="whr")*economics!$AH$2:$AH$167*_xlfn.NORM.DIST(AV$3,economics!$AK$2:$AK$167,economics!$AJ$2:$AJ$167,TRUE))+$CR17*_xlfn.NORM.DIST(AV$3,$CU17,0.3*$CU17,TRUE)+$CS17*_xlfn.NORM.DIST(AV$3,$CV17,0.3*$CV17,TRUE),$CW17*_xlfn.NORM.DIST(AV$3,'energy base (MECS)'!$F$11,0.3*'energy base (MECS)'!$F$11,TRUE))</f>
        <v/>
      </c>
      <c r="AW17" s="68">
        <f t="array" ref="AW17">IF($D17,SUMPRODUCT((economics!$AG$2:$AG$167=$B17)*(economics!$D$2:$D$167="whr")*economics!$AH$2:$AH$167*_xlfn.NORM.DIST(AW$3,economics!$AK$2:$AK$167,economics!$AJ$2:$AJ$167,TRUE))+$CR17*_xlfn.NORM.DIST(AW$3,$CU17,0.3*$CU17,TRUE)+$CS17*_xlfn.NORM.DIST(AW$3,$CV17,0.3*$CV17,TRUE),$CW17*_xlfn.NORM.DIST(AW$3,'energy base (MECS)'!$F$11,0.3*'energy base (MECS)'!$F$11,TRUE))</f>
        <v/>
      </c>
      <c r="AX17" s="68">
        <f t="array" ref="AX17">IF($D17,SUMPRODUCT((economics!$AG$2:$AG$167=$B17)*(economics!$D$2:$D$167="whr")*economics!$AH$2:$AH$167*_xlfn.NORM.DIST(AX$3,economics!$AK$2:$AK$167,economics!$AJ$2:$AJ$167,TRUE))+$CR17*_xlfn.NORM.DIST(AX$3,$CU17,0.3*$CU17,TRUE)+$CS17*_xlfn.NORM.DIST(AX$3,$CV17,0.3*$CV17,TRUE),$CW17*_xlfn.NORM.DIST(AX$3,'energy base (MECS)'!$F$11,0.3*'energy base (MECS)'!$F$11,TRUE))</f>
        <v/>
      </c>
      <c r="AY17" s="68">
        <f t="array" ref="AY17">IF($D17,SUMPRODUCT((economics!$AG$2:$AG$167=$B17)*(economics!$D$2:$D$167="whr")*economics!$AH$2:$AH$167*_xlfn.NORM.DIST(AY$3,economics!$AK$2:$AK$167,economics!$AJ$2:$AJ$167,TRUE))+$CR17*_xlfn.NORM.DIST(AY$3,$CU17,0.3*$CU17,TRUE)+$CS17*_xlfn.NORM.DIST(AY$3,$CV17,0.3*$CV17,TRUE),$CW17*_xlfn.NORM.DIST(AY$3,'energy base (MECS)'!$F$11,0.3*'energy base (MECS)'!$F$11,TRUE))</f>
        <v/>
      </c>
      <c r="AZ17" s="68">
        <f t="array" ref="AZ17">IF($D17,SUMPRODUCT((economics!$AG$2:$AG$167=$B17)*(economics!$D$2:$D$167="whr")*economics!$AH$2:$AH$167*_xlfn.NORM.DIST(AZ$3,economics!$AK$2:$AK$167,economics!$AJ$2:$AJ$167,TRUE))+$CR17*_xlfn.NORM.DIST(AZ$3,$CU17,0.3*$CU17,TRUE)+$CS17*_xlfn.NORM.DIST(AZ$3,$CV17,0.3*$CV17,TRUE),$CW17*_xlfn.NORM.DIST(AZ$3,'energy base (MECS)'!$F$11,0.3*'energy base (MECS)'!$F$11,TRUE))</f>
        <v/>
      </c>
      <c r="BA17" s="68">
        <f t="array" ref="BA17">IF($D17,SUMPRODUCT((economics!$AG$2:$AG$167=$B17)*(economics!$D$2:$D$167="whr")*economics!$AH$2:$AH$167*_xlfn.NORM.DIST(BA$3,economics!$AK$2:$AK$167,economics!$AJ$2:$AJ$167,TRUE))+$CR17*_xlfn.NORM.DIST(BA$3,$CU17,0.3*$CU17,TRUE)+$CS17*_xlfn.NORM.DIST(BA$3,$CV17,0.3*$CV17,TRUE),$CW17*_xlfn.NORM.DIST(BA$3,'energy base (MECS)'!$F$11,0.3*'energy base (MECS)'!$F$11,TRUE))</f>
        <v/>
      </c>
      <c r="BB17" s="68">
        <f t="array" ref="BB17">IF($D17,SUMPRODUCT((economics!$AG$2:$AG$167=$B17)*(economics!$D$2:$D$167="whr")*economics!$AH$2:$AH$167*_xlfn.NORM.DIST(BB$3,economics!$AK$2:$AK$167,economics!$AJ$2:$AJ$167,TRUE))+$CR17*_xlfn.NORM.DIST(BB$3,$CU17,0.3*$CU17,TRUE)+$CS17*_xlfn.NORM.DIST(BB$3,$CV17,0.3*$CV17,TRUE),$CW17*_xlfn.NORM.DIST(BB$3,'energy base (MECS)'!$F$11,0.3*'energy base (MECS)'!$F$11,TRUE))</f>
        <v/>
      </c>
      <c r="BC17" s="68">
        <f t="array" ref="BC17">IF($D17,SUMPRODUCT((economics!$AG$2:$AG$167=$B17)*(economics!$D$2:$D$167="whr")*economics!$AH$2:$AH$167*_xlfn.NORM.DIST(BC$3,economics!$AK$2:$AK$167,economics!$AJ$2:$AJ$167,TRUE))+$CR17*_xlfn.NORM.DIST(BC$3,$CU17,0.3*$CU17,TRUE)+$CS17*_xlfn.NORM.DIST(BC$3,$CV17,0.3*$CV17,TRUE),$CW17*_xlfn.NORM.DIST(BC$3,'energy base (MECS)'!$F$11,0.3*'energy base (MECS)'!$F$11,TRUE))</f>
        <v/>
      </c>
      <c r="BD17" s="68">
        <f t="array" ref="BD17">IF($D17,SUMPRODUCT((economics!$AG$2:$AG$167=$B17)*(economics!$D$2:$D$167="whr")*economics!$AH$2:$AH$167*_xlfn.NORM.DIST(BD$3,economics!$AK$2:$AK$167,economics!$AJ$2:$AJ$167,TRUE))+$CR17*_xlfn.NORM.DIST(BD$3,$CU17,0.3*$CU17,TRUE)+$CS17*_xlfn.NORM.DIST(BD$3,$CV17,0.3*$CV17,TRUE),$CW17*_xlfn.NORM.DIST(BD$3,'energy base (MECS)'!$F$11,0.3*'energy base (MECS)'!$F$11,TRUE))</f>
        <v/>
      </c>
      <c r="BE17" s="68">
        <f t="array" ref="BE17">IF($D17,SUMPRODUCT((economics!$AG$2:$AG$167=$B17)*(economics!$D$2:$D$167="whr")*economics!$AH$2:$AH$167*_xlfn.NORM.DIST(BE$3,economics!$AK$2:$AK$167,economics!$AJ$2:$AJ$167,TRUE))+$CR17*_xlfn.NORM.DIST(BE$3,$CU17,0.3*$CU17,TRUE)+$CS17*_xlfn.NORM.DIST(BE$3,$CV17,0.3*$CV17,TRUE),$CW17*_xlfn.NORM.DIST(BE$3,'energy base (MECS)'!$F$11,0.3*'energy base (MECS)'!$F$11,TRUE))</f>
        <v/>
      </c>
      <c r="BF17" s="68">
        <f t="array" ref="BF17">IF($D17,SUMPRODUCT((economics!$AG$2:$AG$167=$B17)*(economics!$D$2:$D$167="whr")*economics!$AH$2:$AH$167*_xlfn.NORM.DIST(BF$3,economics!$AK$2:$AK$167,economics!$AJ$2:$AJ$167,TRUE))+$CR17*_xlfn.NORM.DIST(BF$3,$CU17,0.3*$CU17,TRUE)+$CS17*_xlfn.NORM.DIST(BF$3,$CV17,0.3*$CV17,TRUE),$CW17*_xlfn.NORM.DIST(BF$3,'energy base (MECS)'!$F$11,0.3*'energy base (MECS)'!$F$11,TRUE))</f>
        <v/>
      </c>
      <c r="BG17" s="68">
        <f t="array" ref="BG17">IF($D17,SUMPRODUCT((economics!$AG$2:$AG$167=$B17)*(economics!$D$2:$D$167="whr")*economics!$AH$2:$AH$167*_xlfn.NORM.DIST(BG$3,economics!$AK$2:$AK$167,economics!$AJ$2:$AJ$167,TRUE))+$CR17*_xlfn.NORM.DIST(BG$3,$CU17,0.3*$CU17,TRUE)+$CS17*_xlfn.NORM.DIST(BG$3,$CV17,0.3*$CV17,TRUE),$CW17*_xlfn.NORM.DIST(BG$3,'energy base (MECS)'!$F$11,0.3*'energy base (MECS)'!$F$11,TRUE))</f>
        <v/>
      </c>
      <c r="BH17" s="68">
        <f t="array" ref="BH17">IF($D17,SUMPRODUCT((economics!$AG$2:$AG$167=$B17)*(economics!$D$2:$D$167="whr")*economics!$AH$2:$AH$167*_xlfn.NORM.DIST(BH$3,economics!$AK$2:$AK$167,economics!$AJ$2:$AJ$167,TRUE))+$CR17*_xlfn.NORM.DIST(BH$3,$CU17,0.3*$CU17,TRUE)+$CS17*_xlfn.NORM.DIST(BH$3,$CV17,0.3*$CV17,TRUE),$CW17*_xlfn.NORM.DIST(BH$3,'energy base (MECS)'!$F$11,0.3*'energy base (MECS)'!$F$11,TRUE))</f>
        <v/>
      </c>
      <c r="BI17" s="68">
        <f t="array" ref="BI17">IF($D17,SUMPRODUCT((economics!$AG$2:$AG$167=$B17)*(economics!$D$2:$D$167="whr")*economics!$AH$2:$AH$167*_xlfn.NORM.DIST(BI$3,economics!$AK$2:$AK$167,economics!$AJ$2:$AJ$167,TRUE))+$CR17*_xlfn.NORM.DIST(BI$3,$CU17,0.3*$CU17,TRUE)+$CS17*_xlfn.NORM.DIST(BI$3,$CV17,0.3*$CV17,TRUE),$CW17*_xlfn.NORM.DIST(BI$3,'energy base (MECS)'!$F$11,0.3*'energy base (MECS)'!$F$11,TRUE))</f>
        <v/>
      </c>
      <c r="BJ17" s="68">
        <f t="array" ref="BJ17">IF($D17,SUMPRODUCT((economics!$AG$2:$AG$167=$B17)*(economics!$D$2:$D$167="whr")*economics!$AH$2:$AH$167*_xlfn.NORM.DIST(BJ$3,economics!$AK$2:$AK$167,economics!$AJ$2:$AJ$167,TRUE))+$CR17*_xlfn.NORM.DIST(BJ$3,$CU17,0.3*$CU17,TRUE)+$CS17*_xlfn.NORM.DIST(BJ$3,$CV17,0.3*$CV17,TRUE),$CW17*_xlfn.NORM.DIST(BJ$3,'energy base (MECS)'!$F$11,0.3*'energy base (MECS)'!$F$11,TRUE))</f>
        <v/>
      </c>
      <c r="BK17" s="68">
        <f t="array" ref="BK17">IF($D17,SUMPRODUCT((economics!$AG$2:$AG$167=$B17)*(economics!$D$2:$D$167="whr")*economics!$AH$2:$AH$167*_xlfn.NORM.DIST(BK$3,economics!$AK$2:$AK$167,economics!$AJ$2:$AJ$167,TRUE))+$CR17*_xlfn.NORM.DIST(BK$3,$CU17,0.3*$CU17,TRUE)+$CS17*_xlfn.NORM.DIST(BK$3,$CV17,0.3*$CV17,TRUE),$CW17*_xlfn.NORM.DIST(BK$3,'energy base (MECS)'!$F$11,0.3*'energy base (MECS)'!$F$11,TRUE))</f>
        <v/>
      </c>
      <c r="BL17" s="68">
        <f t="array" ref="BL17">IF($D17,SUMPRODUCT((economics!$AG$2:$AG$167=$B17)*(economics!$D$2:$D$167="whr")*economics!$AH$2:$AH$167*_xlfn.NORM.DIST(BL$3,economics!$AK$2:$AK$167,economics!$AJ$2:$AJ$167,TRUE))+$CR17*_xlfn.NORM.DIST(BL$3,$CU17,0.3*$CU17,TRUE)+$CS17*_xlfn.NORM.DIST(BL$3,$CV17,0.3*$CV17,TRUE),$CW17*_xlfn.NORM.DIST(BL$3,'energy base (MECS)'!$F$11,0.3*'energy base (MECS)'!$F$11,TRUE))</f>
        <v/>
      </c>
      <c r="BM17" s="68">
        <f t="array" ref="BM17">IF($D17,SUMPRODUCT((economics!$AG$2:$AG$167=$B17)*(economics!$D$2:$D$167="whr")*economics!$AH$2:$AH$167*_xlfn.NORM.DIST(BM$3,economics!$AK$2:$AK$167,economics!$AJ$2:$AJ$167,TRUE))+$CR17*_xlfn.NORM.DIST(BM$3,$CU17,0.3*$CU17,TRUE)+$CS17*_xlfn.NORM.DIST(BM$3,$CV17,0.3*$CV17,TRUE),$CW17*_xlfn.NORM.DIST(BM$3,'energy base (MECS)'!$F$11,0.3*'energy base (MECS)'!$F$11,TRUE))</f>
        <v/>
      </c>
      <c r="BN17" s="68">
        <f t="array" ref="BN17">IF($D17,SUMPRODUCT((economics!$AG$2:$AG$167=$B17)*(economics!$D$2:$D$167="whr")*economics!$AH$2:$AH$167*_xlfn.NORM.DIST(BN$3,economics!$AK$2:$AK$167,economics!$AJ$2:$AJ$167,TRUE))+$CR17*_xlfn.NORM.DIST(BN$3,$CU17,0.3*$CU17,TRUE)+$CS17*_xlfn.NORM.DIST(BN$3,$CV17,0.3*$CV17,TRUE),$CW17*_xlfn.NORM.DIST(BN$3,'energy base (MECS)'!$F$11,0.3*'energy base (MECS)'!$F$11,TRUE))</f>
        <v/>
      </c>
      <c r="BO17" s="68">
        <f t="array" ref="BO17">IF($D17,SUMPRODUCT((economics!$AG$2:$AG$167=$B17)*(economics!$D$2:$D$167="whr")*economics!$AH$2:$AH$167*_xlfn.NORM.DIST(BO$3,economics!$AK$2:$AK$167,economics!$AJ$2:$AJ$167,TRUE))+$CR17*_xlfn.NORM.DIST(BO$3,$CU17,0.3*$CU17,TRUE)+$CS17*_xlfn.NORM.DIST(BO$3,$CV17,0.3*$CV17,TRUE),$CW17*_xlfn.NORM.DIST(BO$3,'energy base (MECS)'!$F$11,0.3*'energy base (MECS)'!$F$11,TRUE))</f>
        <v/>
      </c>
      <c r="BP17" s="68">
        <f t="array" ref="BP17">IF($D17,SUMPRODUCT((economics!$AG$2:$AG$167=$B17)*(economics!$D$2:$D$167="whr")*economics!$AH$2:$AH$167*_xlfn.NORM.DIST(BP$3,economics!$AK$2:$AK$167,economics!$AJ$2:$AJ$167,TRUE))+$CR17*_xlfn.NORM.DIST(BP$3,$CU17,0.3*$CU17,TRUE)+$CS17*_xlfn.NORM.DIST(BP$3,$CV17,0.3*$CV17,TRUE),$CW17*_xlfn.NORM.DIST(BP$3,'energy base (MECS)'!$F$11,0.3*'energy base (MECS)'!$F$11,TRUE))</f>
        <v/>
      </c>
      <c r="BQ17" s="68">
        <f t="array" ref="BQ17">IF($D17,SUMPRODUCT((economics!$AG$2:$AG$167=$B17)*(economics!$D$2:$D$167="whr")*economics!$AH$2:$AH$167*_xlfn.NORM.DIST(BQ$3,economics!$AK$2:$AK$167,economics!$AJ$2:$AJ$167,TRUE))+$CR17*_xlfn.NORM.DIST(BQ$3,$CU17,0.3*$CU17,TRUE)+$CS17*_xlfn.NORM.DIST(BQ$3,$CV17,0.3*$CV17,TRUE),$CW17*_xlfn.NORM.DIST(BQ$3,'energy base (MECS)'!$F$11,0.3*'energy base (MECS)'!$F$11,TRUE))</f>
        <v/>
      </c>
      <c r="BR17" s="68">
        <f t="array" ref="BR17">IF($D17,SUMPRODUCT((economics!$AG$2:$AG$167=$B17)*(economics!$D$2:$D$167="whr")*economics!$AH$2:$AH$167*_xlfn.NORM.DIST(BR$3,economics!$AK$2:$AK$167,economics!$AJ$2:$AJ$167,TRUE))+$CR17*_xlfn.NORM.DIST(BR$3,$CU17,0.3*$CU17,TRUE)+$CS17*_xlfn.NORM.DIST(BR$3,$CV17,0.3*$CV17,TRUE),$CW17*_xlfn.NORM.DIST(BR$3,'energy base (MECS)'!$F$11,0.3*'energy base (MECS)'!$F$11,TRUE))</f>
        <v/>
      </c>
      <c r="BS17" s="68">
        <f t="array" ref="BS17">IF($D17,SUMPRODUCT((economics!$AG$2:$AG$167=$B17)*(economics!$D$2:$D$167="whr")*economics!$AH$2:$AH$167*_xlfn.NORM.DIST(BS$3,economics!$AK$2:$AK$167,economics!$AJ$2:$AJ$167,TRUE))+$CR17*_xlfn.NORM.DIST(BS$3,$CU17,0.3*$CU17,TRUE)+$CS17*_xlfn.NORM.DIST(BS$3,$CV17,0.3*$CV17,TRUE),$CW17*_xlfn.NORM.DIST(BS$3,'energy base (MECS)'!$F$11,0.3*'energy base (MECS)'!$F$11,TRUE))</f>
        <v/>
      </c>
      <c r="BT17" s="68">
        <f t="array" ref="BT17">IF($D17,SUMPRODUCT((economics!$AG$2:$AG$167=$B17)*(economics!$D$2:$D$167="whr")*economics!$AH$2:$AH$167*_xlfn.NORM.DIST(BT$3,economics!$AK$2:$AK$167,economics!$AJ$2:$AJ$167,TRUE))+$CR17*_xlfn.NORM.DIST(BT$3,$CU17,0.3*$CU17,TRUE)+$CS17*_xlfn.NORM.DIST(BT$3,$CV17,0.3*$CV17,TRUE),$CW17*_xlfn.NORM.DIST(BT$3,'energy base (MECS)'!$F$11,0.3*'energy base (MECS)'!$F$11,TRUE))</f>
        <v/>
      </c>
      <c r="BU17" s="68">
        <f t="array" ref="BU17">IF($D17,SUMPRODUCT((economics!$AG$2:$AG$167=$B17)*(economics!$D$2:$D$167="whr")*economics!$AH$2:$AH$167*_xlfn.NORM.DIST(BU$3,economics!$AK$2:$AK$167,economics!$AJ$2:$AJ$167,TRUE))+$CR17*_xlfn.NORM.DIST(BU$3,$CU17,0.3*$CU17,TRUE)+$CS17*_xlfn.NORM.DIST(BU$3,$CV17,0.3*$CV17,TRUE),$CW17*_xlfn.NORM.DIST(BU$3,'energy base (MECS)'!$F$11,0.3*'energy base (MECS)'!$F$11,TRUE))</f>
        <v/>
      </c>
      <c r="BV17" s="68">
        <f t="array" ref="BV17">IF($D17,SUMPRODUCT((economics!$AG$2:$AG$167=$B17)*(economics!$D$2:$D$167="whr")*economics!$AH$2:$AH$167*_xlfn.NORM.DIST(BV$3,economics!$AK$2:$AK$167,economics!$AJ$2:$AJ$167,TRUE))+$CR17*_xlfn.NORM.DIST(BV$3,$CU17,0.3*$CU17,TRUE)+$CS17*_xlfn.NORM.DIST(BV$3,$CV17,0.3*$CV17,TRUE),$CW17*_xlfn.NORM.DIST(BV$3,'energy base (MECS)'!$F$11,0.3*'energy base (MECS)'!$F$11,TRUE))</f>
        <v/>
      </c>
      <c r="BW17" s="68">
        <f t="array" ref="BW17">IF($D17,SUMPRODUCT((economics!$AG$2:$AG$167=$B17)*(economics!$D$2:$D$167="whr")*economics!$AH$2:$AH$167*_xlfn.NORM.DIST(BW$3,economics!$AK$2:$AK$167,economics!$AJ$2:$AJ$167,TRUE))+$CR17*_xlfn.NORM.DIST(BW$3,$CU17,0.3*$CU17,TRUE)+$CS17*_xlfn.NORM.DIST(BW$3,$CV17,0.3*$CV17,TRUE),$CW17*_xlfn.NORM.DIST(BW$3,'energy base (MECS)'!$F$11,0.3*'energy base (MECS)'!$F$11,TRUE))</f>
        <v/>
      </c>
      <c r="BX17" s="68">
        <f t="array" ref="BX17">IF($D17,SUMPRODUCT((economics!$AG$2:$AG$167=$B17)*(economics!$D$2:$D$167="whr")*economics!$AH$2:$AH$167*_xlfn.NORM.DIST(BX$3,economics!$AK$2:$AK$167,economics!$AJ$2:$AJ$167,TRUE))+$CR17*_xlfn.NORM.DIST(BX$3,$CU17,0.3*$CU17,TRUE)+$CS17*_xlfn.NORM.DIST(BX$3,$CV17,0.3*$CV17,TRUE),$CW17*_xlfn.NORM.DIST(BX$3,'energy base (MECS)'!$F$11,0.3*'energy base (MECS)'!$F$11,TRUE))</f>
        <v/>
      </c>
      <c r="BY17" s="68">
        <f t="array" ref="BY17">IF($D17,SUMPRODUCT((economics!$AG$2:$AG$167=$B17)*(economics!$D$2:$D$167="whr")*economics!$AH$2:$AH$167*_xlfn.NORM.DIST(BY$3,economics!$AK$2:$AK$167,economics!$AJ$2:$AJ$167,TRUE))+$CR17*_xlfn.NORM.DIST(BY$3,$CU17,0.3*$CU17,TRUE)+$CS17*_xlfn.NORM.DIST(BY$3,$CV17,0.3*$CV17,TRUE),$CW17*_xlfn.NORM.DIST(BY$3,'energy base (MECS)'!$F$11,0.3*'energy base (MECS)'!$F$11,TRUE))</f>
        <v/>
      </c>
      <c r="BZ17" s="68">
        <f t="array" ref="BZ17">IF($D17,SUMPRODUCT((economics!$AG$2:$AG$167=$B17)*(economics!$D$2:$D$167="whr")*economics!$AH$2:$AH$167*_xlfn.NORM.DIST(BZ$3,economics!$AK$2:$AK$167,economics!$AJ$2:$AJ$167,TRUE))+$CR17*_xlfn.NORM.DIST(BZ$3,$CU17,0.3*$CU17,TRUE)+$CS17*_xlfn.NORM.DIST(BZ$3,$CV17,0.3*$CV17,TRUE),$CW17*_xlfn.NORM.DIST(BZ$3,'energy base (MECS)'!$F$11,0.3*'energy base (MECS)'!$F$11,TRUE))</f>
        <v/>
      </c>
      <c r="CA17" s="68">
        <f t="array" ref="CA17">IF($D17,SUMPRODUCT((economics!$AG$2:$AG$167=$B17)*(economics!$D$2:$D$167="whr")*economics!$AH$2:$AH$167*_xlfn.NORM.DIST(CA$3,economics!$AK$2:$AK$167,economics!$AJ$2:$AJ$167,TRUE))+$CR17*_xlfn.NORM.DIST(CA$3,$CU17,0.3*$CU17,TRUE)+$CS17*_xlfn.NORM.DIST(CA$3,$CV17,0.3*$CV17,TRUE),$CW17*_xlfn.NORM.DIST(CA$3,'energy base (MECS)'!$F$11,0.3*'energy base (MECS)'!$F$11,TRUE))</f>
        <v/>
      </c>
      <c r="CB17" s="68">
        <f t="array" ref="CB17">IF($D17,SUMPRODUCT((economics!$AG$2:$AG$167=$B17)*(economics!$D$2:$D$167="whr")*economics!$AH$2:$AH$167*_xlfn.NORM.DIST(CB$3,economics!$AK$2:$AK$167,economics!$AJ$2:$AJ$167,TRUE))+$CR17*_xlfn.NORM.DIST(CB$3,$CU17,0.3*$CU17,TRUE)+$CS17*_xlfn.NORM.DIST(CB$3,$CV17,0.3*$CV17,TRUE),$CW17*_xlfn.NORM.DIST(CB$3,'energy base (MECS)'!$F$11,0.3*'energy base (MECS)'!$F$11,TRUE))</f>
        <v/>
      </c>
      <c r="CC17" s="68">
        <f t="array" ref="CC17">IF($D17,SUMPRODUCT((economics!$AG$2:$AG$167=$B17)*(economics!$D$2:$D$167="whr")*economics!$AH$2:$AH$167*_xlfn.NORM.DIST(CC$3,economics!$AK$2:$AK$167,economics!$AJ$2:$AJ$167,TRUE))+$CR17*_xlfn.NORM.DIST(CC$3,$CU17,0.3*$CU17,TRUE)+$CS17*_xlfn.NORM.DIST(CC$3,$CV17,0.3*$CV17,TRUE),$CW17*_xlfn.NORM.DIST(CC$3,'energy base (MECS)'!$F$11,0.3*'energy base (MECS)'!$F$11,TRUE))</f>
        <v/>
      </c>
      <c r="CD17" s="68">
        <f t="array" ref="CD17">IF($D17,SUMPRODUCT((economics!$AG$2:$AG$167=$B17)*(economics!$D$2:$D$167="whr")*economics!$AH$2:$AH$167*_xlfn.NORM.DIST(CD$3,economics!$AK$2:$AK$167,economics!$AJ$2:$AJ$167,TRUE))+$CR17*_xlfn.NORM.DIST(CD$3,$CU17,0.3*$CU17,TRUE)+$CS17*_xlfn.NORM.DIST(CD$3,$CV17,0.3*$CV17,TRUE),$CW17*_xlfn.NORM.DIST(CD$3,'energy base (MECS)'!$F$11,0.3*'energy base (MECS)'!$F$11,TRUE))</f>
        <v/>
      </c>
      <c r="CE17" s="68">
        <f t="array" ref="CE17">IF($D17,SUMPRODUCT((economics!$AG$2:$AG$167=$B17)*(economics!$D$2:$D$167="whr")*economics!$AH$2:$AH$167*_xlfn.NORM.DIST(CE$3,economics!$AK$2:$AK$167,economics!$AJ$2:$AJ$167,TRUE))+$CR17*_xlfn.NORM.DIST(CE$3,$CU17,0.3*$CU17,TRUE)+$CS17*_xlfn.NORM.DIST(CE$3,$CV17,0.3*$CV17,TRUE),$CW17*_xlfn.NORM.DIST(CE$3,'energy base (MECS)'!$F$11,0.3*'energy base (MECS)'!$F$11,TRUE))</f>
        <v/>
      </c>
      <c r="CF17" s="68">
        <f t="array" ref="CF17">IF($D17,SUMPRODUCT((economics!$AG$2:$AG$167=$B17)*(economics!$D$2:$D$167="whr")*economics!$AH$2:$AH$167*_xlfn.NORM.DIST(CF$3,economics!$AK$2:$AK$167,economics!$AJ$2:$AJ$167,TRUE))+$CR17*_xlfn.NORM.DIST(CF$3,$CU17,0.3*$CU17,TRUE)+$CS17*_xlfn.NORM.DIST(CF$3,$CV17,0.3*$CV17,TRUE),$CW17*_xlfn.NORM.DIST(CF$3,'energy base (MECS)'!$F$11,0.3*'energy base (MECS)'!$F$11,TRUE))</f>
        <v/>
      </c>
      <c r="CG17" s="68">
        <f t="array" ref="CG17">IF($D17,SUMPRODUCT((economics!$AG$2:$AG$167=$B17)*(economics!$D$2:$D$167="whr")*economics!$AH$2:$AH$167*_xlfn.NORM.DIST(CG$3,economics!$AK$2:$AK$167,economics!$AJ$2:$AJ$167,TRUE))+$CR17*_xlfn.NORM.DIST(CG$3,$CU17,0.3*$CU17,TRUE)+$CS17*_xlfn.NORM.DIST(CG$3,$CV17,0.3*$CV17,TRUE),$CW17*_xlfn.NORM.DIST(CG$3,'energy base (MECS)'!$F$11,0.3*'energy base (MECS)'!$F$11,TRUE))</f>
        <v/>
      </c>
      <c r="CH17" s="68">
        <f t="array" ref="CH17">IF($D17,SUMPRODUCT((economics!$AG$2:$AG$167=$B17)*(economics!$D$2:$D$167="whr")*economics!$AH$2:$AH$167*_xlfn.NORM.DIST(CH$3,economics!$AK$2:$AK$167,economics!$AJ$2:$AJ$167,TRUE))+$CR17*_xlfn.NORM.DIST(CH$3,$CU17,0.3*$CU17,TRUE)+$CS17*_xlfn.NORM.DIST(CH$3,$CV17,0.3*$CV17,TRUE),$CW17*_xlfn.NORM.DIST(CH$3,'energy base (MECS)'!$F$11,0.3*'energy base (MECS)'!$F$11,TRUE))</f>
        <v/>
      </c>
      <c r="CJ17">
        <f t="array" ref="CJ17">SUMPRODUCT((economics!$AG$2:$AG$167=$B17)*(economics!$D$2:$D$167="whr")*economics!$AH$2:$AH$167)</f>
        <v/>
      </c>
      <c r="CK17" s="80">
        <f>'indst heat consumption'!D17</f>
        <v/>
      </c>
      <c r="CL17" s="80">
        <f>'indst heat consumption'!E17</f>
        <v/>
      </c>
      <c r="CM17" s="80">
        <f>'indst heat consumption'!F17</f>
        <v/>
      </c>
      <c r="CN17" s="80">
        <f>'indst heat consumption'!G17</f>
        <v/>
      </c>
      <c r="CO17" s="80">
        <f>'indst heat consumption'!H17</f>
        <v/>
      </c>
      <c r="CP17">
        <f>$C17*(CK17*summary!$B$94+CL17*summary!$C$94+CM17*summary!$D$94)</f>
        <v/>
      </c>
      <c r="CQ17">
        <f>$C17*(CN17*summary!$E$94+CO17*summary!$F$94)</f>
        <v/>
      </c>
      <c r="CR17">
        <f>IF(CP17+CQ17&gt;0,CP17*MAX(0,CP17+CQ17-CJ17)/(CP17+CQ17),0)</f>
        <v/>
      </c>
      <c r="CS17">
        <f>IF(CP17+CQ17&gt;0,CQ17*MAX(0,CP17+CQ17-CJ17)/(CP17+CQ17),0)</f>
        <v/>
      </c>
      <c r="CT17">
        <f>IFERROR(_xlfn.XLOOKUP($B17,'BCoISC-WACCbI'!$C$2:$C$26,'BCoISC-WACCbI'!$B$2:$B$26)+economics!$AE$4,0.1)</f>
        <v/>
      </c>
      <c r="CU17">
        <f>(summary!$C$7*(CT17/(1-(1+CT17)^-summary!$D$7))+summary!$C$7*summary!$E$7)/(summary!$F$7*3412/1000000)</f>
        <v/>
      </c>
      <c r="CV17">
        <f>(summary!$C$6*(CT17/(1-(1+CT17)^-summary!$D$6))+summary!$C$6*summary!$E$6)/(summary!$F$6*3412/1000000)</f>
        <v/>
      </c>
      <c r="CW17">
        <f>CR17+CS17</f>
        <v/>
      </c>
    </row>
    <row r="18">
      <c r="A18">
        <f>WHRPbI!A16</f>
        <v/>
      </c>
      <c r="B18" t="n">
        <v>242</v>
      </c>
      <c r="C18" s="68">
        <f>WHRPbI!B16</f>
        <v/>
      </c>
      <c r="D18">
        <f>ISNUMBER(MATCH($B18,'energy base (MECS)'!$K$4:$K$9,0))</f>
        <v/>
      </c>
      <c r="E18" s="68">
        <f t="array" ref="E18">IF($D18,SUMPRODUCT((economics!$AG$2:$AG$167=$B18)*(economics!$D$2:$D$167="whr")*economics!$AH$2:$AH$167*_xlfn.NORM.DIST(E$3,economics!$AK$2:$AK$167,economics!$AJ$2:$AJ$167,TRUE))+$CR18*_xlfn.NORM.DIST(E$3,$CU18,0.3*$CU18,TRUE)+$CS18*_xlfn.NORM.DIST(E$3,$CV18,0.3*$CV18,TRUE),$CW18*_xlfn.NORM.DIST(E$3,'energy base (MECS)'!$F$11,0.3*'energy base (MECS)'!$F$11,TRUE))</f>
        <v/>
      </c>
      <c r="F18" s="68">
        <f t="array" ref="F18">IF($D18,SUMPRODUCT((economics!$AG$2:$AG$167=$B18)*(economics!$D$2:$D$167="whr")*economics!$AH$2:$AH$167*_xlfn.NORM.DIST(F$3,economics!$AK$2:$AK$167,economics!$AJ$2:$AJ$167,TRUE))+$CR18*_xlfn.NORM.DIST(F$3,$CU18,0.3*$CU18,TRUE)+$CS18*_xlfn.NORM.DIST(F$3,$CV18,0.3*$CV18,TRUE),$CW18*_xlfn.NORM.DIST(F$3,'energy base (MECS)'!$F$11,0.3*'energy base (MECS)'!$F$11,TRUE))</f>
        <v/>
      </c>
      <c r="G18" s="68">
        <f t="array" ref="G18">IF($D18,SUMPRODUCT((economics!$AG$2:$AG$167=$B18)*(economics!$D$2:$D$167="whr")*economics!$AH$2:$AH$167*_xlfn.NORM.DIST(G$3,economics!$AK$2:$AK$167,economics!$AJ$2:$AJ$167,TRUE))+$CR18*_xlfn.NORM.DIST(G$3,$CU18,0.3*$CU18,TRUE)+$CS18*_xlfn.NORM.DIST(G$3,$CV18,0.3*$CV18,TRUE),$CW18*_xlfn.NORM.DIST(G$3,'energy base (MECS)'!$F$11,0.3*'energy base (MECS)'!$F$11,TRUE))</f>
        <v/>
      </c>
      <c r="H18" s="68">
        <f t="array" ref="H18">IF($D18,SUMPRODUCT((economics!$AG$2:$AG$167=$B18)*(economics!$D$2:$D$167="whr")*economics!$AH$2:$AH$167*_xlfn.NORM.DIST(H$3,economics!$AK$2:$AK$167,economics!$AJ$2:$AJ$167,TRUE))+$CR18*_xlfn.NORM.DIST(H$3,$CU18,0.3*$CU18,TRUE)+$CS18*_xlfn.NORM.DIST(H$3,$CV18,0.3*$CV18,TRUE),$CW18*_xlfn.NORM.DIST(H$3,'energy base (MECS)'!$F$11,0.3*'energy base (MECS)'!$F$11,TRUE))</f>
        <v/>
      </c>
      <c r="I18" s="68">
        <f t="array" ref="I18">IF($D18,SUMPRODUCT((economics!$AG$2:$AG$167=$B18)*(economics!$D$2:$D$167="whr")*economics!$AH$2:$AH$167*_xlfn.NORM.DIST(I$3,economics!$AK$2:$AK$167,economics!$AJ$2:$AJ$167,TRUE))+$CR18*_xlfn.NORM.DIST(I$3,$CU18,0.3*$CU18,TRUE)+$CS18*_xlfn.NORM.DIST(I$3,$CV18,0.3*$CV18,TRUE),$CW18*_xlfn.NORM.DIST(I$3,'energy base (MECS)'!$F$11,0.3*'energy base (MECS)'!$F$11,TRUE))</f>
        <v/>
      </c>
      <c r="J18" s="68">
        <f t="array" ref="J18">IF($D18,SUMPRODUCT((economics!$AG$2:$AG$167=$B18)*(economics!$D$2:$D$167="whr")*economics!$AH$2:$AH$167*_xlfn.NORM.DIST(J$3,economics!$AK$2:$AK$167,economics!$AJ$2:$AJ$167,TRUE))+$CR18*_xlfn.NORM.DIST(J$3,$CU18,0.3*$CU18,TRUE)+$CS18*_xlfn.NORM.DIST(J$3,$CV18,0.3*$CV18,TRUE),$CW18*_xlfn.NORM.DIST(J$3,'energy base (MECS)'!$F$11,0.3*'energy base (MECS)'!$F$11,TRUE))</f>
        <v/>
      </c>
      <c r="K18" s="68">
        <f t="array" ref="K18">IF($D18,SUMPRODUCT((economics!$AG$2:$AG$167=$B18)*(economics!$D$2:$D$167="whr")*economics!$AH$2:$AH$167*_xlfn.NORM.DIST(K$3,economics!$AK$2:$AK$167,economics!$AJ$2:$AJ$167,TRUE))+$CR18*_xlfn.NORM.DIST(K$3,$CU18,0.3*$CU18,TRUE)+$CS18*_xlfn.NORM.DIST(K$3,$CV18,0.3*$CV18,TRUE),$CW18*_xlfn.NORM.DIST(K$3,'energy base (MECS)'!$F$11,0.3*'energy base (MECS)'!$F$11,TRUE))</f>
        <v/>
      </c>
      <c r="L18" s="68">
        <f t="array" ref="L18">IF($D18,SUMPRODUCT((economics!$AG$2:$AG$167=$B18)*(economics!$D$2:$D$167="whr")*economics!$AH$2:$AH$167*_xlfn.NORM.DIST(L$3,economics!$AK$2:$AK$167,economics!$AJ$2:$AJ$167,TRUE))+$CR18*_xlfn.NORM.DIST(L$3,$CU18,0.3*$CU18,TRUE)+$CS18*_xlfn.NORM.DIST(L$3,$CV18,0.3*$CV18,TRUE),$CW18*_xlfn.NORM.DIST(L$3,'energy base (MECS)'!$F$11,0.3*'energy base (MECS)'!$F$11,TRUE))</f>
        <v/>
      </c>
      <c r="M18" s="68">
        <f t="array" ref="M18">IF($D18,SUMPRODUCT((economics!$AG$2:$AG$167=$B18)*(economics!$D$2:$D$167="whr")*economics!$AH$2:$AH$167*_xlfn.NORM.DIST(M$3,economics!$AK$2:$AK$167,economics!$AJ$2:$AJ$167,TRUE))+$CR18*_xlfn.NORM.DIST(M$3,$CU18,0.3*$CU18,TRUE)+$CS18*_xlfn.NORM.DIST(M$3,$CV18,0.3*$CV18,TRUE),$CW18*_xlfn.NORM.DIST(M$3,'energy base (MECS)'!$F$11,0.3*'energy base (MECS)'!$F$11,TRUE))</f>
        <v/>
      </c>
      <c r="N18" s="68">
        <f t="array" ref="N18">IF($D18,SUMPRODUCT((economics!$AG$2:$AG$167=$B18)*(economics!$D$2:$D$167="whr")*economics!$AH$2:$AH$167*_xlfn.NORM.DIST(N$3,economics!$AK$2:$AK$167,economics!$AJ$2:$AJ$167,TRUE))+$CR18*_xlfn.NORM.DIST(N$3,$CU18,0.3*$CU18,TRUE)+$CS18*_xlfn.NORM.DIST(N$3,$CV18,0.3*$CV18,TRUE),$CW18*_xlfn.NORM.DIST(N$3,'energy base (MECS)'!$F$11,0.3*'energy base (MECS)'!$F$11,TRUE))</f>
        <v/>
      </c>
      <c r="O18" s="68">
        <f t="array" ref="O18">IF($D18,SUMPRODUCT((economics!$AG$2:$AG$167=$B18)*(economics!$D$2:$D$167="whr")*economics!$AH$2:$AH$167*_xlfn.NORM.DIST(O$3,economics!$AK$2:$AK$167,economics!$AJ$2:$AJ$167,TRUE))+$CR18*_xlfn.NORM.DIST(O$3,$CU18,0.3*$CU18,TRUE)+$CS18*_xlfn.NORM.DIST(O$3,$CV18,0.3*$CV18,TRUE),$CW18*_xlfn.NORM.DIST(O$3,'energy base (MECS)'!$F$11,0.3*'energy base (MECS)'!$F$11,TRUE))</f>
        <v/>
      </c>
      <c r="P18" s="68">
        <f t="array" ref="P18">IF($D18,SUMPRODUCT((economics!$AG$2:$AG$167=$B18)*(economics!$D$2:$D$167="whr")*economics!$AH$2:$AH$167*_xlfn.NORM.DIST(P$3,economics!$AK$2:$AK$167,economics!$AJ$2:$AJ$167,TRUE))+$CR18*_xlfn.NORM.DIST(P$3,$CU18,0.3*$CU18,TRUE)+$CS18*_xlfn.NORM.DIST(P$3,$CV18,0.3*$CV18,TRUE),$CW18*_xlfn.NORM.DIST(P$3,'energy base (MECS)'!$F$11,0.3*'energy base (MECS)'!$F$11,TRUE))</f>
        <v/>
      </c>
      <c r="Q18" s="68">
        <f t="array" ref="Q18">IF($D18,SUMPRODUCT((economics!$AG$2:$AG$167=$B18)*(economics!$D$2:$D$167="whr")*economics!$AH$2:$AH$167*_xlfn.NORM.DIST(Q$3,economics!$AK$2:$AK$167,economics!$AJ$2:$AJ$167,TRUE))+$CR18*_xlfn.NORM.DIST(Q$3,$CU18,0.3*$CU18,TRUE)+$CS18*_xlfn.NORM.DIST(Q$3,$CV18,0.3*$CV18,TRUE),$CW18*_xlfn.NORM.DIST(Q$3,'energy base (MECS)'!$F$11,0.3*'energy base (MECS)'!$F$11,TRUE))</f>
        <v/>
      </c>
      <c r="R18" s="68">
        <f t="array" ref="R18">IF($D18,SUMPRODUCT((economics!$AG$2:$AG$167=$B18)*(economics!$D$2:$D$167="whr")*economics!$AH$2:$AH$167*_xlfn.NORM.DIST(R$3,economics!$AK$2:$AK$167,economics!$AJ$2:$AJ$167,TRUE))+$CR18*_xlfn.NORM.DIST(R$3,$CU18,0.3*$CU18,TRUE)+$CS18*_xlfn.NORM.DIST(R$3,$CV18,0.3*$CV18,TRUE),$CW18*_xlfn.NORM.DIST(R$3,'energy base (MECS)'!$F$11,0.3*'energy base (MECS)'!$F$11,TRUE))</f>
        <v/>
      </c>
      <c r="S18" s="68">
        <f t="array" ref="S18">IF($D18,SUMPRODUCT((economics!$AG$2:$AG$167=$B18)*(economics!$D$2:$D$167="whr")*economics!$AH$2:$AH$167*_xlfn.NORM.DIST(S$3,economics!$AK$2:$AK$167,economics!$AJ$2:$AJ$167,TRUE))+$CR18*_xlfn.NORM.DIST(S$3,$CU18,0.3*$CU18,TRUE)+$CS18*_xlfn.NORM.DIST(S$3,$CV18,0.3*$CV18,TRUE),$CW18*_xlfn.NORM.DIST(S$3,'energy base (MECS)'!$F$11,0.3*'energy base (MECS)'!$F$11,TRUE))</f>
        <v/>
      </c>
      <c r="T18" s="68">
        <f t="array" ref="T18">IF($D18,SUMPRODUCT((economics!$AG$2:$AG$167=$B18)*(economics!$D$2:$D$167="whr")*economics!$AH$2:$AH$167*_xlfn.NORM.DIST(T$3,economics!$AK$2:$AK$167,economics!$AJ$2:$AJ$167,TRUE))+$CR18*_xlfn.NORM.DIST(T$3,$CU18,0.3*$CU18,TRUE)+$CS18*_xlfn.NORM.DIST(T$3,$CV18,0.3*$CV18,TRUE),$CW18*_xlfn.NORM.DIST(T$3,'energy base (MECS)'!$F$11,0.3*'energy base (MECS)'!$F$11,TRUE))</f>
        <v/>
      </c>
      <c r="U18" s="68">
        <f t="array" ref="U18">IF($D18,SUMPRODUCT((economics!$AG$2:$AG$167=$B18)*(economics!$D$2:$D$167="whr")*economics!$AH$2:$AH$167*_xlfn.NORM.DIST(U$3,economics!$AK$2:$AK$167,economics!$AJ$2:$AJ$167,TRUE))+$CR18*_xlfn.NORM.DIST(U$3,$CU18,0.3*$CU18,TRUE)+$CS18*_xlfn.NORM.DIST(U$3,$CV18,0.3*$CV18,TRUE),$CW18*_xlfn.NORM.DIST(U$3,'energy base (MECS)'!$F$11,0.3*'energy base (MECS)'!$F$11,TRUE))</f>
        <v/>
      </c>
      <c r="V18" s="68">
        <f t="array" ref="V18">IF($D18,SUMPRODUCT((economics!$AG$2:$AG$167=$B18)*(economics!$D$2:$D$167="whr")*economics!$AH$2:$AH$167*_xlfn.NORM.DIST(V$3,economics!$AK$2:$AK$167,economics!$AJ$2:$AJ$167,TRUE))+$CR18*_xlfn.NORM.DIST(V$3,$CU18,0.3*$CU18,TRUE)+$CS18*_xlfn.NORM.DIST(V$3,$CV18,0.3*$CV18,TRUE),$CW18*_xlfn.NORM.DIST(V$3,'energy base (MECS)'!$F$11,0.3*'energy base (MECS)'!$F$11,TRUE))</f>
        <v/>
      </c>
      <c r="W18" s="68">
        <f t="array" ref="W18">IF($D18,SUMPRODUCT((economics!$AG$2:$AG$167=$B18)*(economics!$D$2:$D$167="whr")*economics!$AH$2:$AH$167*_xlfn.NORM.DIST(W$3,economics!$AK$2:$AK$167,economics!$AJ$2:$AJ$167,TRUE))+$CR18*_xlfn.NORM.DIST(W$3,$CU18,0.3*$CU18,TRUE)+$CS18*_xlfn.NORM.DIST(W$3,$CV18,0.3*$CV18,TRUE),$CW18*_xlfn.NORM.DIST(W$3,'energy base (MECS)'!$F$11,0.3*'energy base (MECS)'!$F$11,TRUE))</f>
        <v/>
      </c>
      <c r="X18" s="68">
        <f t="array" ref="X18">IF($D18,SUMPRODUCT((economics!$AG$2:$AG$167=$B18)*(economics!$D$2:$D$167="whr")*economics!$AH$2:$AH$167*_xlfn.NORM.DIST(X$3,economics!$AK$2:$AK$167,economics!$AJ$2:$AJ$167,TRUE))+$CR18*_xlfn.NORM.DIST(X$3,$CU18,0.3*$CU18,TRUE)+$CS18*_xlfn.NORM.DIST(X$3,$CV18,0.3*$CV18,TRUE),$CW18*_xlfn.NORM.DIST(X$3,'energy base (MECS)'!$F$11,0.3*'energy base (MECS)'!$F$11,TRUE))</f>
        <v/>
      </c>
      <c r="Y18" s="68">
        <f t="array" ref="Y18">IF($D18,SUMPRODUCT((economics!$AG$2:$AG$167=$B18)*(economics!$D$2:$D$167="whr")*economics!$AH$2:$AH$167*_xlfn.NORM.DIST(Y$3,economics!$AK$2:$AK$167,economics!$AJ$2:$AJ$167,TRUE))+$CR18*_xlfn.NORM.DIST(Y$3,$CU18,0.3*$CU18,TRUE)+$CS18*_xlfn.NORM.DIST(Y$3,$CV18,0.3*$CV18,TRUE),$CW18*_xlfn.NORM.DIST(Y$3,'energy base (MECS)'!$F$11,0.3*'energy base (MECS)'!$F$11,TRUE))</f>
        <v/>
      </c>
      <c r="Z18" s="68">
        <f t="array" ref="Z18">IF($D18,SUMPRODUCT((economics!$AG$2:$AG$167=$B18)*(economics!$D$2:$D$167="whr")*economics!$AH$2:$AH$167*_xlfn.NORM.DIST(Z$3,economics!$AK$2:$AK$167,economics!$AJ$2:$AJ$167,TRUE))+$CR18*_xlfn.NORM.DIST(Z$3,$CU18,0.3*$CU18,TRUE)+$CS18*_xlfn.NORM.DIST(Z$3,$CV18,0.3*$CV18,TRUE),$CW18*_xlfn.NORM.DIST(Z$3,'energy base (MECS)'!$F$11,0.3*'energy base (MECS)'!$F$11,TRUE))</f>
        <v/>
      </c>
      <c r="AA18" s="68">
        <f t="array" ref="AA18">IF($D18,SUMPRODUCT((economics!$AG$2:$AG$167=$B18)*(economics!$D$2:$D$167="whr")*economics!$AH$2:$AH$167*_xlfn.NORM.DIST(AA$3,economics!$AK$2:$AK$167,economics!$AJ$2:$AJ$167,TRUE))+$CR18*_xlfn.NORM.DIST(AA$3,$CU18,0.3*$CU18,TRUE)+$CS18*_xlfn.NORM.DIST(AA$3,$CV18,0.3*$CV18,TRUE),$CW18*_xlfn.NORM.DIST(AA$3,'energy base (MECS)'!$F$11,0.3*'energy base (MECS)'!$F$11,TRUE))</f>
        <v/>
      </c>
      <c r="AB18" s="68">
        <f t="array" ref="AB18">IF($D18,SUMPRODUCT((economics!$AG$2:$AG$167=$B18)*(economics!$D$2:$D$167="whr")*economics!$AH$2:$AH$167*_xlfn.NORM.DIST(AB$3,economics!$AK$2:$AK$167,economics!$AJ$2:$AJ$167,TRUE))+$CR18*_xlfn.NORM.DIST(AB$3,$CU18,0.3*$CU18,TRUE)+$CS18*_xlfn.NORM.DIST(AB$3,$CV18,0.3*$CV18,TRUE),$CW18*_xlfn.NORM.DIST(AB$3,'energy base (MECS)'!$F$11,0.3*'energy base (MECS)'!$F$11,TRUE))</f>
        <v/>
      </c>
      <c r="AC18" s="68">
        <f t="array" ref="AC18">IF($D18,SUMPRODUCT((economics!$AG$2:$AG$167=$B18)*(economics!$D$2:$D$167="whr")*economics!$AH$2:$AH$167*_xlfn.NORM.DIST(AC$3,economics!$AK$2:$AK$167,economics!$AJ$2:$AJ$167,TRUE))+$CR18*_xlfn.NORM.DIST(AC$3,$CU18,0.3*$CU18,TRUE)+$CS18*_xlfn.NORM.DIST(AC$3,$CV18,0.3*$CV18,TRUE),$CW18*_xlfn.NORM.DIST(AC$3,'energy base (MECS)'!$F$11,0.3*'energy base (MECS)'!$F$11,TRUE))</f>
        <v/>
      </c>
      <c r="AD18" s="68">
        <f t="array" ref="AD18">IF($D18,SUMPRODUCT((economics!$AG$2:$AG$167=$B18)*(economics!$D$2:$D$167="whr")*economics!$AH$2:$AH$167*_xlfn.NORM.DIST(AD$3,economics!$AK$2:$AK$167,economics!$AJ$2:$AJ$167,TRUE))+$CR18*_xlfn.NORM.DIST(AD$3,$CU18,0.3*$CU18,TRUE)+$CS18*_xlfn.NORM.DIST(AD$3,$CV18,0.3*$CV18,TRUE),$CW18*_xlfn.NORM.DIST(AD$3,'energy base (MECS)'!$F$11,0.3*'energy base (MECS)'!$F$11,TRUE))</f>
        <v/>
      </c>
      <c r="AE18" s="68">
        <f t="array" ref="AE18">IF($D18,SUMPRODUCT((economics!$AG$2:$AG$167=$B18)*(economics!$D$2:$D$167="whr")*economics!$AH$2:$AH$167*_xlfn.NORM.DIST(AE$3,economics!$AK$2:$AK$167,economics!$AJ$2:$AJ$167,TRUE))+$CR18*_xlfn.NORM.DIST(AE$3,$CU18,0.3*$CU18,TRUE)+$CS18*_xlfn.NORM.DIST(AE$3,$CV18,0.3*$CV18,TRUE),$CW18*_xlfn.NORM.DIST(AE$3,'energy base (MECS)'!$F$11,0.3*'energy base (MECS)'!$F$11,TRUE))</f>
        <v/>
      </c>
      <c r="AF18" s="68">
        <f t="array" ref="AF18">IF($D18,SUMPRODUCT((economics!$AG$2:$AG$167=$B18)*(economics!$D$2:$D$167="whr")*economics!$AH$2:$AH$167*_xlfn.NORM.DIST(AF$3,economics!$AK$2:$AK$167,economics!$AJ$2:$AJ$167,TRUE))+$CR18*_xlfn.NORM.DIST(AF$3,$CU18,0.3*$CU18,TRUE)+$CS18*_xlfn.NORM.DIST(AF$3,$CV18,0.3*$CV18,TRUE),$CW18*_xlfn.NORM.DIST(AF$3,'energy base (MECS)'!$F$11,0.3*'energy base (MECS)'!$F$11,TRUE))</f>
        <v/>
      </c>
      <c r="AG18" s="68">
        <f t="array" ref="AG18">IF($D18,SUMPRODUCT((economics!$AG$2:$AG$167=$B18)*(economics!$D$2:$D$167="whr")*economics!$AH$2:$AH$167*_xlfn.NORM.DIST(AG$3,economics!$AK$2:$AK$167,economics!$AJ$2:$AJ$167,TRUE))+$CR18*_xlfn.NORM.DIST(AG$3,$CU18,0.3*$CU18,TRUE)+$CS18*_xlfn.NORM.DIST(AG$3,$CV18,0.3*$CV18,TRUE),$CW18*_xlfn.NORM.DIST(AG$3,'energy base (MECS)'!$F$11,0.3*'energy base (MECS)'!$F$11,TRUE))</f>
        <v/>
      </c>
      <c r="AH18" s="68">
        <f t="array" ref="AH18">IF($D18,SUMPRODUCT((economics!$AG$2:$AG$167=$B18)*(economics!$D$2:$D$167="whr")*economics!$AH$2:$AH$167*_xlfn.NORM.DIST(AH$3,economics!$AK$2:$AK$167,economics!$AJ$2:$AJ$167,TRUE))+$CR18*_xlfn.NORM.DIST(AH$3,$CU18,0.3*$CU18,TRUE)+$CS18*_xlfn.NORM.DIST(AH$3,$CV18,0.3*$CV18,TRUE),$CW18*_xlfn.NORM.DIST(AH$3,'energy base (MECS)'!$F$11,0.3*'energy base (MECS)'!$F$11,TRUE))</f>
        <v/>
      </c>
      <c r="AI18" s="68">
        <f t="array" ref="AI18">IF($D18,SUMPRODUCT((economics!$AG$2:$AG$167=$B18)*(economics!$D$2:$D$167="whr")*economics!$AH$2:$AH$167*_xlfn.NORM.DIST(AI$3,economics!$AK$2:$AK$167,economics!$AJ$2:$AJ$167,TRUE))+$CR18*_xlfn.NORM.DIST(AI$3,$CU18,0.3*$CU18,TRUE)+$CS18*_xlfn.NORM.DIST(AI$3,$CV18,0.3*$CV18,TRUE),$CW18*_xlfn.NORM.DIST(AI$3,'energy base (MECS)'!$F$11,0.3*'energy base (MECS)'!$F$11,TRUE))</f>
        <v/>
      </c>
      <c r="AJ18" s="68">
        <f t="array" ref="AJ18">IF($D18,SUMPRODUCT((economics!$AG$2:$AG$167=$B18)*(economics!$D$2:$D$167="whr")*economics!$AH$2:$AH$167*_xlfn.NORM.DIST(AJ$3,economics!$AK$2:$AK$167,economics!$AJ$2:$AJ$167,TRUE))+$CR18*_xlfn.NORM.DIST(AJ$3,$CU18,0.3*$CU18,TRUE)+$CS18*_xlfn.NORM.DIST(AJ$3,$CV18,0.3*$CV18,TRUE),$CW18*_xlfn.NORM.DIST(AJ$3,'energy base (MECS)'!$F$11,0.3*'energy base (MECS)'!$F$11,TRUE))</f>
        <v/>
      </c>
      <c r="AK18" s="68">
        <f t="array" ref="AK18">IF($D18,SUMPRODUCT((economics!$AG$2:$AG$167=$B18)*(economics!$D$2:$D$167="whr")*economics!$AH$2:$AH$167*_xlfn.NORM.DIST(AK$3,economics!$AK$2:$AK$167,economics!$AJ$2:$AJ$167,TRUE))+$CR18*_xlfn.NORM.DIST(AK$3,$CU18,0.3*$CU18,TRUE)+$CS18*_xlfn.NORM.DIST(AK$3,$CV18,0.3*$CV18,TRUE),$CW18*_xlfn.NORM.DIST(AK$3,'energy base (MECS)'!$F$11,0.3*'energy base (MECS)'!$F$11,TRUE))</f>
        <v/>
      </c>
      <c r="AL18" s="68">
        <f t="array" ref="AL18">IF($D18,SUMPRODUCT((economics!$AG$2:$AG$167=$B18)*(economics!$D$2:$D$167="whr")*economics!$AH$2:$AH$167*_xlfn.NORM.DIST(AL$3,economics!$AK$2:$AK$167,economics!$AJ$2:$AJ$167,TRUE))+$CR18*_xlfn.NORM.DIST(AL$3,$CU18,0.3*$CU18,TRUE)+$CS18*_xlfn.NORM.DIST(AL$3,$CV18,0.3*$CV18,TRUE),$CW18*_xlfn.NORM.DIST(AL$3,'energy base (MECS)'!$F$11,0.3*'energy base (MECS)'!$F$11,TRUE))</f>
        <v/>
      </c>
      <c r="AM18" s="68">
        <f t="array" ref="AM18">IF($D18,SUMPRODUCT((economics!$AG$2:$AG$167=$B18)*(economics!$D$2:$D$167="whr")*economics!$AH$2:$AH$167*_xlfn.NORM.DIST(AM$3,economics!$AK$2:$AK$167,economics!$AJ$2:$AJ$167,TRUE))+$CR18*_xlfn.NORM.DIST(AM$3,$CU18,0.3*$CU18,TRUE)+$CS18*_xlfn.NORM.DIST(AM$3,$CV18,0.3*$CV18,TRUE),$CW18*_xlfn.NORM.DIST(AM$3,'energy base (MECS)'!$F$11,0.3*'energy base (MECS)'!$F$11,TRUE))</f>
        <v/>
      </c>
      <c r="AN18" s="68">
        <f t="array" ref="AN18">IF($D18,SUMPRODUCT((economics!$AG$2:$AG$167=$B18)*(economics!$D$2:$D$167="whr")*economics!$AH$2:$AH$167*_xlfn.NORM.DIST(AN$3,economics!$AK$2:$AK$167,economics!$AJ$2:$AJ$167,TRUE))+$CR18*_xlfn.NORM.DIST(AN$3,$CU18,0.3*$CU18,TRUE)+$CS18*_xlfn.NORM.DIST(AN$3,$CV18,0.3*$CV18,TRUE),$CW18*_xlfn.NORM.DIST(AN$3,'energy base (MECS)'!$F$11,0.3*'energy base (MECS)'!$F$11,TRUE))</f>
        <v/>
      </c>
      <c r="AO18" s="68">
        <f t="array" ref="AO18">IF($D18,SUMPRODUCT((economics!$AG$2:$AG$167=$B18)*(economics!$D$2:$D$167="whr")*economics!$AH$2:$AH$167*_xlfn.NORM.DIST(AO$3,economics!$AK$2:$AK$167,economics!$AJ$2:$AJ$167,TRUE))+$CR18*_xlfn.NORM.DIST(AO$3,$CU18,0.3*$CU18,TRUE)+$CS18*_xlfn.NORM.DIST(AO$3,$CV18,0.3*$CV18,TRUE),$CW18*_xlfn.NORM.DIST(AO$3,'energy base (MECS)'!$F$11,0.3*'energy base (MECS)'!$F$11,TRUE))</f>
        <v/>
      </c>
      <c r="AP18" s="68">
        <f t="array" ref="AP18">IF($D18,SUMPRODUCT((economics!$AG$2:$AG$167=$B18)*(economics!$D$2:$D$167="whr")*economics!$AH$2:$AH$167*_xlfn.NORM.DIST(AP$3,economics!$AK$2:$AK$167,economics!$AJ$2:$AJ$167,TRUE))+$CR18*_xlfn.NORM.DIST(AP$3,$CU18,0.3*$CU18,TRUE)+$CS18*_xlfn.NORM.DIST(AP$3,$CV18,0.3*$CV18,TRUE),$CW18*_xlfn.NORM.DIST(AP$3,'energy base (MECS)'!$F$11,0.3*'energy base (MECS)'!$F$11,TRUE))</f>
        <v/>
      </c>
      <c r="AQ18" s="68">
        <f t="array" ref="AQ18">IF($D18,SUMPRODUCT((economics!$AG$2:$AG$167=$B18)*(economics!$D$2:$D$167="whr")*economics!$AH$2:$AH$167*_xlfn.NORM.DIST(AQ$3,economics!$AK$2:$AK$167,economics!$AJ$2:$AJ$167,TRUE))+$CR18*_xlfn.NORM.DIST(AQ$3,$CU18,0.3*$CU18,TRUE)+$CS18*_xlfn.NORM.DIST(AQ$3,$CV18,0.3*$CV18,TRUE),$CW18*_xlfn.NORM.DIST(AQ$3,'energy base (MECS)'!$F$11,0.3*'energy base (MECS)'!$F$11,TRUE))</f>
        <v/>
      </c>
      <c r="AR18" s="68">
        <f t="array" ref="AR18">IF($D18,SUMPRODUCT((economics!$AG$2:$AG$167=$B18)*(economics!$D$2:$D$167="whr")*economics!$AH$2:$AH$167*_xlfn.NORM.DIST(AR$3,economics!$AK$2:$AK$167,economics!$AJ$2:$AJ$167,TRUE))+$CR18*_xlfn.NORM.DIST(AR$3,$CU18,0.3*$CU18,TRUE)+$CS18*_xlfn.NORM.DIST(AR$3,$CV18,0.3*$CV18,TRUE),$CW18*_xlfn.NORM.DIST(AR$3,'energy base (MECS)'!$F$11,0.3*'energy base (MECS)'!$F$11,TRUE))</f>
        <v/>
      </c>
      <c r="AS18" s="68">
        <f t="array" ref="AS18">IF($D18,SUMPRODUCT((economics!$AG$2:$AG$167=$B18)*(economics!$D$2:$D$167="whr")*economics!$AH$2:$AH$167*_xlfn.NORM.DIST(AS$3,economics!$AK$2:$AK$167,economics!$AJ$2:$AJ$167,TRUE))+$CR18*_xlfn.NORM.DIST(AS$3,$CU18,0.3*$CU18,TRUE)+$CS18*_xlfn.NORM.DIST(AS$3,$CV18,0.3*$CV18,TRUE),$CW18*_xlfn.NORM.DIST(AS$3,'energy base (MECS)'!$F$11,0.3*'energy base (MECS)'!$F$11,TRUE))</f>
        <v/>
      </c>
      <c r="AT18" s="68">
        <f t="array" ref="AT18">IF($D18,SUMPRODUCT((economics!$AG$2:$AG$167=$B18)*(economics!$D$2:$D$167="whr")*economics!$AH$2:$AH$167*_xlfn.NORM.DIST(AT$3,economics!$AK$2:$AK$167,economics!$AJ$2:$AJ$167,TRUE))+$CR18*_xlfn.NORM.DIST(AT$3,$CU18,0.3*$CU18,TRUE)+$CS18*_xlfn.NORM.DIST(AT$3,$CV18,0.3*$CV18,TRUE),$CW18*_xlfn.NORM.DIST(AT$3,'energy base (MECS)'!$F$11,0.3*'energy base (MECS)'!$F$11,TRUE))</f>
        <v/>
      </c>
      <c r="AU18" s="68">
        <f t="array" ref="AU18">IF($D18,SUMPRODUCT((economics!$AG$2:$AG$167=$B18)*(economics!$D$2:$D$167="whr")*economics!$AH$2:$AH$167*_xlfn.NORM.DIST(AU$3,economics!$AK$2:$AK$167,economics!$AJ$2:$AJ$167,TRUE))+$CR18*_xlfn.NORM.DIST(AU$3,$CU18,0.3*$CU18,TRUE)+$CS18*_xlfn.NORM.DIST(AU$3,$CV18,0.3*$CV18,TRUE),$CW18*_xlfn.NORM.DIST(AU$3,'energy base (MECS)'!$F$11,0.3*'energy base (MECS)'!$F$11,TRUE))</f>
        <v/>
      </c>
      <c r="AV18" s="68">
        <f t="array" ref="AV18">IF($D18,SUMPRODUCT((economics!$AG$2:$AG$167=$B18)*(economics!$D$2:$D$167="whr")*economics!$AH$2:$AH$167*_xlfn.NORM.DIST(AV$3,economics!$AK$2:$AK$167,economics!$AJ$2:$AJ$167,TRUE))+$CR18*_xlfn.NORM.DIST(AV$3,$CU18,0.3*$CU18,TRUE)+$CS18*_xlfn.NORM.DIST(AV$3,$CV18,0.3*$CV18,TRUE),$CW18*_xlfn.NORM.DIST(AV$3,'energy base (MECS)'!$F$11,0.3*'energy base (MECS)'!$F$11,TRUE))</f>
        <v/>
      </c>
      <c r="AW18" s="68">
        <f t="array" ref="AW18">IF($D18,SUMPRODUCT((economics!$AG$2:$AG$167=$B18)*(economics!$D$2:$D$167="whr")*economics!$AH$2:$AH$167*_xlfn.NORM.DIST(AW$3,economics!$AK$2:$AK$167,economics!$AJ$2:$AJ$167,TRUE))+$CR18*_xlfn.NORM.DIST(AW$3,$CU18,0.3*$CU18,TRUE)+$CS18*_xlfn.NORM.DIST(AW$3,$CV18,0.3*$CV18,TRUE),$CW18*_xlfn.NORM.DIST(AW$3,'energy base (MECS)'!$F$11,0.3*'energy base (MECS)'!$F$11,TRUE))</f>
        <v/>
      </c>
      <c r="AX18" s="68">
        <f t="array" ref="AX18">IF($D18,SUMPRODUCT((economics!$AG$2:$AG$167=$B18)*(economics!$D$2:$D$167="whr")*economics!$AH$2:$AH$167*_xlfn.NORM.DIST(AX$3,economics!$AK$2:$AK$167,economics!$AJ$2:$AJ$167,TRUE))+$CR18*_xlfn.NORM.DIST(AX$3,$CU18,0.3*$CU18,TRUE)+$CS18*_xlfn.NORM.DIST(AX$3,$CV18,0.3*$CV18,TRUE),$CW18*_xlfn.NORM.DIST(AX$3,'energy base (MECS)'!$F$11,0.3*'energy base (MECS)'!$F$11,TRUE))</f>
        <v/>
      </c>
      <c r="AY18" s="68">
        <f t="array" ref="AY18">IF($D18,SUMPRODUCT((economics!$AG$2:$AG$167=$B18)*(economics!$D$2:$D$167="whr")*economics!$AH$2:$AH$167*_xlfn.NORM.DIST(AY$3,economics!$AK$2:$AK$167,economics!$AJ$2:$AJ$167,TRUE))+$CR18*_xlfn.NORM.DIST(AY$3,$CU18,0.3*$CU18,TRUE)+$CS18*_xlfn.NORM.DIST(AY$3,$CV18,0.3*$CV18,TRUE),$CW18*_xlfn.NORM.DIST(AY$3,'energy base (MECS)'!$F$11,0.3*'energy base (MECS)'!$F$11,TRUE))</f>
        <v/>
      </c>
      <c r="AZ18" s="68">
        <f t="array" ref="AZ18">IF($D18,SUMPRODUCT((economics!$AG$2:$AG$167=$B18)*(economics!$D$2:$D$167="whr")*economics!$AH$2:$AH$167*_xlfn.NORM.DIST(AZ$3,economics!$AK$2:$AK$167,economics!$AJ$2:$AJ$167,TRUE))+$CR18*_xlfn.NORM.DIST(AZ$3,$CU18,0.3*$CU18,TRUE)+$CS18*_xlfn.NORM.DIST(AZ$3,$CV18,0.3*$CV18,TRUE),$CW18*_xlfn.NORM.DIST(AZ$3,'energy base (MECS)'!$F$11,0.3*'energy base (MECS)'!$F$11,TRUE))</f>
        <v/>
      </c>
      <c r="BA18" s="68">
        <f t="array" ref="BA18">IF($D18,SUMPRODUCT((economics!$AG$2:$AG$167=$B18)*(economics!$D$2:$D$167="whr")*economics!$AH$2:$AH$167*_xlfn.NORM.DIST(BA$3,economics!$AK$2:$AK$167,economics!$AJ$2:$AJ$167,TRUE))+$CR18*_xlfn.NORM.DIST(BA$3,$CU18,0.3*$CU18,TRUE)+$CS18*_xlfn.NORM.DIST(BA$3,$CV18,0.3*$CV18,TRUE),$CW18*_xlfn.NORM.DIST(BA$3,'energy base (MECS)'!$F$11,0.3*'energy base (MECS)'!$F$11,TRUE))</f>
        <v/>
      </c>
      <c r="BB18" s="68">
        <f t="array" ref="BB18">IF($D18,SUMPRODUCT((economics!$AG$2:$AG$167=$B18)*(economics!$D$2:$D$167="whr")*economics!$AH$2:$AH$167*_xlfn.NORM.DIST(BB$3,economics!$AK$2:$AK$167,economics!$AJ$2:$AJ$167,TRUE))+$CR18*_xlfn.NORM.DIST(BB$3,$CU18,0.3*$CU18,TRUE)+$CS18*_xlfn.NORM.DIST(BB$3,$CV18,0.3*$CV18,TRUE),$CW18*_xlfn.NORM.DIST(BB$3,'energy base (MECS)'!$F$11,0.3*'energy base (MECS)'!$F$11,TRUE))</f>
        <v/>
      </c>
      <c r="BC18" s="68">
        <f t="array" ref="BC18">IF($D18,SUMPRODUCT((economics!$AG$2:$AG$167=$B18)*(economics!$D$2:$D$167="whr")*economics!$AH$2:$AH$167*_xlfn.NORM.DIST(BC$3,economics!$AK$2:$AK$167,economics!$AJ$2:$AJ$167,TRUE))+$CR18*_xlfn.NORM.DIST(BC$3,$CU18,0.3*$CU18,TRUE)+$CS18*_xlfn.NORM.DIST(BC$3,$CV18,0.3*$CV18,TRUE),$CW18*_xlfn.NORM.DIST(BC$3,'energy base (MECS)'!$F$11,0.3*'energy base (MECS)'!$F$11,TRUE))</f>
        <v/>
      </c>
      <c r="BD18" s="68">
        <f t="array" ref="BD18">IF($D18,SUMPRODUCT((economics!$AG$2:$AG$167=$B18)*(economics!$D$2:$D$167="whr")*economics!$AH$2:$AH$167*_xlfn.NORM.DIST(BD$3,economics!$AK$2:$AK$167,economics!$AJ$2:$AJ$167,TRUE))+$CR18*_xlfn.NORM.DIST(BD$3,$CU18,0.3*$CU18,TRUE)+$CS18*_xlfn.NORM.DIST(BD$3,$CV18,0.3*$CV18,TRUE),$CW18*_xlfn.NORM.DIST(BD$3,'energy base (MECS)'!$F$11,0.3*'energy base (MECS)'!$F$11,TRUE))</f>
        <v/>
      </c>
      <c r="BE18" s="68">
        <f t="array" ref="BE18">IF($D18,SUMPRODUCT((economics!$AG$2:$AG$167=$B18)*(economics!$D$2:$D$167="whr")*economics!$AH$2:$AH$167*_xlfn.NORM.DIST(BE$3,economics!$AK$2:$AK$167,economics!$AJ$2:$AJ$167,TRUE))+$CR18*_xlfn.NORM.DIST(BE$3,$CU18,0.3*$CU18,TRUE)+$CS18*_xlfn.NORM.DIST(BE$3,$CV18,0.3*$CV18,TRUE),$CW18*_xlfn.NORM.DIST(BE$3,'energy base (MECS)'!$F$11,0.3*'energy base (MECS)'!$F$11,TRUE))</f>
        <v/>
      </c>
      <c r="BF18" s="68">
        <f t="array" ref="BF18">IF($D18,SUMPRODUCT((economics!$AG$2:$AG$167=$B18)*(economics!$D$2:$D$167="whr")*economics!$AH$2:$AH$167*_xlfn.NORM.DIST(BF$3,economics!$AK$2:$AK$167,economics!$AJ$2:$AJ$167,TRUE))+$CR18*_xlfn.NORM.DIST(BF$3,$CU18,0.3*$CU18,TRUE)+$CS18*_xlfn.NORM.DIST(BF$3,$CV18,0.3*$CV18,TRUE),$CW18*_xlfn.NORM.DIST(BF$3,'energy base (MECS)'!$F$11,0.3*'energy base (MECS)'!$F$11,TRUE))</f>
        <v/>
      </c>
      <c r="BG18" s="68">
        <f t="array" ref="BG18">IF($D18,SUMPRODUCT((economics!$AG$2:$AG$167=$B18)*(economics!$D$2:$D$167="whr")*economics!$AH$2:$AH$167*_xlfn.NORM.DIST(BG$3,economics!$AK$2:$AK$167,economics!$AJ$2:$AJ$167,TRUE))+$CR18*_xlfn.NORM.DIST(BG$3,$CU18,0.3*$CU18,TRUE)+$CS18*_xlfn.NORM.DIST(BG$3,$CV18,0.3*$CV18,TRUE),$CW18*_xlfn.NORM.DIST(BG$3,'energy base (MECS)'!$F$11,0.3*'energy base (MECS)'!$F$11,TRUE))</f>
        <v/>
      </c>
      <c r="BH18" s="68">
        <f t="array" ref="BH18">IF($D18,SUMPRODUCT((economics!$AG$2:$AG$167=$B18)*(economics!$D$2:$D$167="whr")*economics!$AH$2:$AH$167*_xlfn.NORM.DIST(BH$3,economics!$AK$2:$AK$167,economics!$AJ$2:$AJ$167,TRUE))+$CR18*_xlfn.NORM.DIST(BH$3,$CU18,0.3*$CU18,TRUE)+$CS18*_xlfn.NORM.DIST(BH$3,$CV18,0.3*$CV18,TRUE),$CW18*_xlfn.NORM.DIST(BH$3,'energy base (MECS)'!$F$11,0.3*'energy base (MECS)'!$F$11,TRUE))</f>
        <v/>
      </c>
      <c r="BI18" s="68">
        <f t="array" ref="BI18">IF($D18,SUMPRODUCT((economics!$AG$2:$AG$167=$B18)*(economics!$D$2:$D$167="whr")*economics!$AH$2:$AH$167*_xlfn.NORM.DIST(BI$3,economics!$AK$2:$AK$167,economics!$AJ$2:$AJ$167,TRUE))+$CR18*_xlfn.NORM.DIST(BI$3,$CU18,0.3*$CU18,TRUE)+$CS18*_xlfn.NORM.DIST(BI$3,$CV18,0.3*$CV18,TRUE),$CW18*_xlfn.NORM.DIST(BI$3,'energy base (MECS)'!$F$11,0.3*'energy base (MECS)'!$F$11,TRUE))</f>
        <v/>
      </c>
      <c r="BJ18" s="68">
        <f t="array" ref="BJ18">IF($D18,SUMPRODUCT((economics!$AG$2:$AG$167=$B18)*(economics!$D$2:$D$167="whr")*economics!$AH$2:$AH$167*_xlfn.NORM.DIST(BJ$3,economics!$AK$2:$AK$167,economics!$AJ$2:$AJ$167,TRUE))+$CR18*_xlfn.NORM.DIST(BJ$3,$CU18,0.3*$CU18,TRUE)+$CS18*_xlfn.NORM.DIST(BJ$3,$CV18,0.3*$CV18,TRUE),$CW18*_xlfn.NORM.DIST(BJ$3,'energy base (MECS)'!$F$11,0.3*'energy base (MECS)'!$F$11,TRUE))</f>
        <v/>
      </c>
      <c r="BK18" s="68">
        <f t="array" ref="BK18">IF($D18,SUMPRODUCT((economics!$AG$2:$AG$167=$B18)*(economics!$D$2:$D$167="whr")*economics!$AH$2:$AH$167*_xlfn.NORM.DIST(BK$3,economics!$AK$2:$AK$167,economics!$AJ$2:$AJ$167,TRUE))+$CR18*_xlfn.NORM.DIST(BK$3,$CU18,0.3*$CU18,TRUE)+$CS18*_xlfn.NORM.DIST(BK$3,$CV18,0.3*$CV18,TRUE),$CW18*_xlfn.NORM.DIST(BK$3,'energy base (MECS)'!$F$11,0.3*'energy base (MECS)'!$F$11,TRUE))</f>
        <v/>
      </c>
      <c r="BL18" s="68">
        <f t="array" ref="BL18">IF($D18,SUMPRODUCT((economics!$AG$2:$AG$167=$B18)*(economics!$D$2:$D$167="whr")*economics!$AH$2:$AH$167*_xlfn.NORM.DIST(BL$3,economics!$AK$2:$AK$167,economics!$AJ$2:$AJ$167,TRUE))+$CR18*_xlfn.NORM.DIST(BL$3,$CU18,0.3*$CU18,TRUE)+$CS18*_xlfn.NORM.DIST(BL$3,$CV18,0.3*$CV18,TRUE),$CW18*_xlfn.NORM.DIST(BL$3,'energy base (MECS)'!$F$11,0.3*'energy base (MECS)'!$F$11,TRUE))</f>
        <v/>
      </c>
      <c r="BM18" s="68">
        <f t="array" ref="BM18">IF($D18,SUMPRODUCT((economics!$AG$2:$AG$167=$B18)*(economics!$D$2:$D$167="whr")*economics!$AH$2:$AH$167*_xlfn.NORM.DIST(BM$3,economics!$AK$2:$AK$167,economics!$AJ$2:$AJ$167,TRUE))+$CR18*_xlfn.NORM.DIST(BM$3,$CU18,0.3*$CU18,TRUE)+$CS18*_xlfn.NORM.DIST(BM$3,$CV18,0.3*$CV18,TRUE),$CW18*_xlfn.NORM.DIST(BM$3,'energy base (MECS)'!$F$11,0.3*'energy base (MECS)'!$F$11,TRUE))</f>
        <v/>
      </c>
      <c r="BN18" s="68">
        <f t="array" ref="BN18">IF($D18,SUMPRODUCT((economics!$AG$2:$AG$167=$B18)*(economics!$D$2:$D$167="whr")*economics!$AH$2:$AH$167*_xlfn.NORM.DIST(BN$3,economics!$AK$2:$AK$167,economics!$AJ$2:$AJ$167,TRUE))+$CR18*_xlfn.NORM.DIST(BN$3,$CU18,0.3*$CU18,TRUE)+$CS18*_xlfn.NORM.DIST(BN$3,$CV18,0.3*$CV18,TRUE),$CW18*_xlfn.NORM.DIST(BN$3,'energy base (MECS)'!$F$11,0.3*'energy base (MECS)'!$F$11,TRUE))</f>
        <v/>
      </c>
      <c r="BO18" s="68">
        <f t="array" ref="BO18">IF($D18,SUMPRODUCT((economics!$AG$2:$AG$167=$B18)*(economics!$D$2:$D$167="whr")*economics!$AH$2:$AH$167*_xlfn.NORM.DIST(BO$3,economics!$AK$2:$AK$167,economics!$AJ$2:$AJ$167,TRUE))+$CR18*_xlfn.NORM.DIST(BO$3,$CU18,0.3*$CU18,TRUE)+$CS18*_xlfn.NORM.DIST(BO$3,$CV18,0.3*$CV18,TRUE),$CW18*_xlfn.NORM.DIST(BO$3,'energy base (MECS)'!$F$11,0.3*'energy base (MECS)'!$F$11,TRUE))</f>
        <v/>
      </c>
      <c r="BP18" s="68">
        <f t="array" ref="BP18">IF($D18,SUMPRODUCT((economics!$AG$2:$AG$167=$B18)*(economics!$D$2:$D$167="whr")*economics!$AH$2:$AH$167*_xlfn.NORM.DIST(BP$3,economics!$AK$2:$AK$167,economics!$AJ$2:$AJ$167,TRUE))+$CR18*_xlfn.NORM.DIST(BP$3,$CU18,0.3*$CU18,TRUE)+$CS18*_xlfn.NORM.DIST(BP$3,$CV18,0.3*$CV18,TRUE),$CW18*_xlfn.NORM.DIST(BP$3,'energy base (MECS)'!$F$11,0.3*'energy base (MECS)'!$F$11,TRUE))</f>
        <v/>
      </c>
      <c r="BQ18" s="68">
        <f t="array" ref="BQ18">IF($D18,SUMPRODUCT((economics!$AG$2:$AG$167=$B18)*(economics!$D$2:$D$167="whr")*economics!$AH$2:$AH$167*_xlfn.NORM.DIST(BQ$3,economics!$AK$2:$AK$167,economics!$AJ$2:$AJ$167,TRUE))+$CR18*_xlfn.NORM.DIST(BQ$3,$CU18,0.3*$CU18,TRUE)+$CS18*_xlfn.NORM.DIST(BQ$3,$CV18,0.3*$CV18,TRUE),$CW18*_xlfn.NORM.DIST(BQ$3,'energy base (MECS)'!$F$11,0.3*'energy base (MECS)'!$F$11,TRUE))</f>
        <v/>
      </c>
      <c r="BR18" s="68">
        <f t="array" ref="BR18">IF($D18,SUMPRODUCT((economics!$AG$2:$AG$167=$B18)*(economics!$D$2:$D$167="whr")*economics!$AH$2:$AH$167*_xlfn.NORM.DIST(BR$3,economics!$AK$2:$AK$167,economics!$AJ$2:$AJ$167,TRUE))+$CR18*_xlfn.NORM.DIST(BR$3,$CU18,0.3*$CU18,TRUE)+$CS18*_xlfn.NORM.DIST(BR$3,$CV18,0.3*$CV18,TRUE),$CW18*_xlfn.NORM.DIST(BR$3,'energy base (MECS)'!$F$11,0.3*'energy base (MECS)'!$F$11,TRUE))</f>
        <v/>
      </c>
      <c r="BS18" s="68">
        <f t="array" ref="BS18">IF($D18,SUMPRODUCT((economics!$AG$2:$AG$167=$B18)*(economics!$D$2:$D$167="whr")*economics!$AH$2:$AH$167*_xlfn.NORM.DIST(BS$3,economics!$AK$2:$AK$167,economics!$AJ$2:$AJ$167,TRUE))+$CR18*_xlfn.NORM.DIST(BS$3,$CU18,0.3*$CU18,TRUE)+$CS18*_xlfn.NORM.DIST(BS$3,$CV18,0.3*$CV18,TRUE),$CW18*_xlfn.NORM.DIST(BS$3,'energy base (MECS)'!$F$11,0.3*'energy base (MECS)'!$F$11,TRUE))</f>
        <v/>
      </c>
      <c r="BT18" s="68">
        <f t="array" ref="BT18">IF($D18,SUMPRODUCT((economics!$AG$2:$AG$167=$B18)*(economics!$D$2:$D$167="whr")*economics!$AH$2:$AH$167*_xlfn.NORM.DIST(BT$3,economics!$AK$2:$AK$167,economics!$AJ$2:$AJ$167,TRUE))+$CR18*_xlfn.NORM.DIST(BT$3,$CU18,0.3*$CU18,TRUE)+$CS18*_xlfn.NORM.DIST(BT$3,$CV18,0.3*$CV18,TRUE),$CW18*_xlfn.NORM.DIST(BT$3,'energy base (MECS)'!$F$11,0.3*'energy base (MECS)'!$F$11,TRUE))</f>
        <v/>
      </c>
      <c r="BU18" s="68">
        <f t="array" ref="BU18">IF($D18,SUMPRODUCT((economics!$AG$2:$AG$167=$B18)*(economics!$D$2:$D$167="whr")*economics!$AH$2:$AH$167*_xlfn.NORM.DIST(BU$3,economics!$AK$2:$AK$167,economics!$AJ$2:$AJ$167,TRUE))+$CR18*_xlfn.NORM.DIST(BU$3,$CU18,0.3*$CU18,TRUE)+$CS18*_xlfn.NORM.DIST(BU$3,$CV18,0.3*$CV18,TRUE),$CW18*_xlfn.NORM.DIST(BU$3,'energy base (MECS)'!$F$11,0.3*'energy base (MECS)'!$F$11,TRUE))</f>
        <v/>
      </c>
      <c r="BV18" s="68">
        <f t="array" ref="BV18">IF($D18,SUMPRODUCT((economics!$AG$2:$AG$167=$B18)*(economics!$D$2:$D$167="whr")*economics!$AH$2:$AH$167*_xlfn.NORM.DIST(BV$3,economics!$AK$2:$AK$167,economics!$AJ$2:$AJ$167,TRUE))+$CR18*_xlfn.NORM.DIST(BV$3,$CU18,0.3*$CU18,TRUE)+$CS18*_xlfn.NORM.DIST(BV$3,$CV18,0.3*$CV18,TRUE),$CW18*_xlfn.NORM.DIST(BV$3,'energy base (MECS)'!$F$11,0.3*'energy base (MECS)'!$F$11,TRUE))</f>
        <v/>
      </c>
      <c r="BW18" s="68">
        <f t="array" ref="BW18">IF($D18,SUMPRODUCT((economics!$AG$2:$AG$167=$B18)*(economics!$D$2:$D$167="whr")*economics!$AH$2:$AH$167*_xlfn.NORM.DIST(BW$3,economics!$AK$2:$AK$167,economics!$AJ$2:$AJ$167,TRUE))+$CR18*_xlfn.NORM.DIST(BW$3,$CU18,0.3*$CU18,TRUE)+$CS18*_xlfn.NORM.DIST(BW$3,$CV18,0.3*$CV18,TRUE),$CW18*_xlfn.NORM.DIST(BW$3,'energy base (MECS)'!$F$11,0.3*'energy base (MECS)'!$F$11,TRUE))</f>
        <v/>
      </c>
      <c r="BX18" s="68">
        <f t="array" ref="BX18">IF($D18,SUMPRODUCT((economics!$AG$2:$AG$167=$B18)*(economics!$D$2:$D$167="whr")*economics!$AH$2:$AH$167*_xlfn.NORM.DIST(BX$3,economics!$AK$2:$AK$167,economics!$AJ$2:$AJ$167,TRUE))+$CR18*_xlfn.NORM.DIST(BX$3,$CU18,0.3*$CU18,TRUE)+$CS18*_xlfn.NORM.DIST(BX$3,$CV18,0.3*$CV18,TRUE),$CW18*_xlfn.NORM.DIST(BX$3,'energy base (MECS)'!$F$11,0.3*'energy base (MECS)'!$F$11,TRUE))</f>
        <v/>
      </c>
      <c r="BY18" s="68">
        <f t="array" ref="BY18">IF($D18,SUMPRODUCT((economics!$AG$2:$AG$167=$B18)*(economics!$D$2:$D$167="whr")*economics!$AH$2:$AH$167*_xlfn.NORM.DIST(BY$3,economics!$AK$2:$AK$167,economics!$AJ$2:$AJ$167,TRUE))+$CR18*_xlfn.NORM.DIST(BY$3,$CU18,0.3*$CU18,TRUE)+$CS18*_xlfn.NORM.DIST(BY$3,$CV18,0.3*$CV18,TRUE),$CW18*_xlfn.NORM.DIST(BY$3,'energy base (MECS)'!$F$11,0.3*'energy base (MECS)'!$F$11,TRUE))</f>
        <v/>
      </c>
      <c r="BZ18" s="68">
        <f t="array" ref="BZ18">IF($D18,SUMPRODUCT((economics!$AG$2:$AG$167=$B18)*(economics!$D$2:$D$167="whr")*economics!$AH$2:$AH$167*_xlfn.NORM.DIST(BZ$3,economics!$AK$2:$AK$167,economics!$AJ$2:$AJ$167,TRUE))+$CR18*_xlfn.NORM.DIST(BZ$3,$CU18,0.3*$CU18,TRUE)+$CS18*_xlfn.NORM.DIST(BZ$3,$CV18,0.3*$CV18,TRUE),$CW18*_xlfn.NORM.DIST(BZ$3,'energy base (MECS)'!$F$11,0.3*'energy base (MECS)'!$F$11,TRUE))</f>
        <v/>
      </c>
      <c r="CA18" s="68">
        <f t="array" ref="CA18">IF($D18,SUMPRODUCT((economics!$AG$2:$AG$167=$B18)*(economics!$D$2:$D$167="whr")*economics!$AH$2:$AH$167*_xlfn.NORM.DIST(CA$3,economics!$AK$2:$AK$167,economics!$AJ$2:$AJ$167,TRUE))+$CR18*_xlfn.NORM.DIST(CA$3,$CU18,0.3*$CU18,TRUE)+$CS18*_xlfn.NORM.DIST(CA$3,$CV18,0.3*$CV18,TRUE),$CW18*_xlfn.NORM.DIST(CA$3,'energy base (MECS)'!$F$11,0.3*'energy base (MECS)'!$F$11,TRUE))</f>
        <v/>
      </c>
      <c r="CB18" s="68">
        <f t="array" ref="CB18">IF($D18,SUMPRODUCT((economics!$AG$2:$AG$167=$B18)*(economics!$D$2:$D$167="whr")*economics!$AH$2:$AH$167*_xlfn.NORM.DIST(CB$3,economics!$AK$2:$AK$167,economics!$AJ$2:$AJ$167,TRUE))+$CR18*_xlfn.NORM.DIST(CB$3,$CU18,0.3*$CU18,TRUE)+$CS18*_xlfn.NORM.DIST(CB$3,$CV18,0.3*$CV18,TRUE),$CW18*_xlfn.NORM.DIST(CB$3,'energy base (MECS)'!$F$11,0.3*'energy base (MECS)'!$F$11,TRUE))</f>
        <v/>
      </c>
      <c r="CC18" s="68">
        <f t="array" ref="CC18">IF($D18,SUMPRODUCT((economics!$AG$2:$AG$167=$B18)*(economics!$D$2:$D$167="whr")*economics!$AH$2:$AH$167*_xlfn.NORM.DIST(CC$3,economics!$AK$2:$AK$167,economics!$AJ$2:$AJ$167,TRUE))+$CR18*_xlfn.NORM.DIST(CC$3,$CU18,0.3*$CU18,TRUE)+$CS18*_xlfn.NORM.DIST(CC$3,$CV18,0.3*$CV18,TRUE),$CW18*_xlfn.NORM.DIST(CC$3,'energy base (MECS)'!$F$11,0.3*'energy base (MECS)'!$F$11,TRUE))</f>
        <v/>
      </c>
      <c r="CD18" s="68">
        <f t="array" ref="CD18">IF($D18,SUMPRODUCT((economics!$AG$2:$AG$167=$B18)*(economics!$D$2:$D$167="whr")*economics!$AH$2:$AH$167*_xlfn.NORM.DIST(CD$3,economics!$AK$2:$AK$167,economics!$AJ$2:$AJ$167,TRUE))+$CR18*_xlfn.NORM.DIST(CD$3,$CU18,0.3*$CU18,TRUE)+$CS18*_xlfn.NORM.DIST(CD$3,$CV18,0.3*$CV18,TRUE),$CW18*_xlfn.NORM.DIST(CD$3,'energy base (MECS)'!$F$11,0.3*'energy base (MECS)'!$F$11,TRUE))</f>
        <v/>
      </c>
      <c r="CE18" s="68">
        <f t="array" ref="CE18">IF($D18,SUMPRODUCT((economics!$AG$2:$AG$167=$B18)*(economics!$D$2:$D$167="whr")*economics!$AH$2:$AH$167*_xlfn.NORM.DIST(CE$3,economics!$AK$2:$AK$167,economics!$AJ$2:$AJ$167,TRUE))+$CR18*_xlfn.NORM.DIST(CE$3,$CU18,0.3*$CU18,TRUE)+$CS18*_xlfn.NORM.DIST(CE$3,$CV18,0.3*$CV18,TRUE),$CW18*_xlfn.NORM.DIST(CE$3,'energy base (MECS)'!$F$11,0.3*'energy base (MECS)'!$F$11,TRUE))</f>
        <v/>
      </c>
      <c r="CF18" s="68">
        <f t="array" ref="CF18">IF($D18,SUMPRODUCT((economics!$AG$2:$AG$167=$B18)*(economics!$D$2:$D$167="whr")*economics!$AH$2:$AH$167*_xlfn.NORM.DIST(CF$3,economics!$AK$2:$AK$167,economics!$AJ$2:$AJ$167,TRUE))+$CR18*_xlfn.NORM.DIST(CF$3,$CU18,0.3*$CU18,TRUE)+$CS18*_xlfn.NORM.DIST(CF$3,$CV18,0.3*$CV18,TRUE),$CW18*_xlfn.NORM.DIST(CF$3,'energy base (MECS)'!$F$11,0.3*'energy base (MECS)'!$F$11,TRUE))</f>
        <v/>
      </c>
      <c r="CG18" s="68">
        <f t="array" ref="CG18">IF($D18,SUMPRODUCT((economics!$AG$2:$AG$167=$B18)*(economics!$D$2:$D$167="whr")*economics!$AH$2:$AH$167*_xlfn.NORM.DIST(CG$3,economics!$AK$2:$AK$167,economics!$AJ$2:$AJ$167,TRUE))+$CR18*_xlfn.NORM.DIST(CG$3,$CU18,0.3*$CU18,TRUE)+$CS18*_xlfn.NORM.DIST(CG$3,$CV18,0.3*$CV18,TRUE),$CW18*_xlfn.NORM.DIST(CG$3,'energy base (MECS)'!$F$11,0.3*'energy base (MECS)'!$F$11,TRUE))</f>
        <v/>
      </c>
      <c r="CH18" s="68">
        <f t="array" ref="CH18">IF($D18,SUMPRODUCT((economics!$AG$2:$AG$167=$B18)*(economics!$D$2:$D$167="whr")*economics!$AH$2:$AH$167*_xlfn.NORM.DIST(CH$3,economics!$AK$2:$AK$167,economics!$AJ$2:$AJ$167,TRUE))+$CR18*_xlfn.NORM.DIST(CH$3,$CU18,0.3*$CU18,TRUE)+$CS18*_xlfn.NORM.DIST(CH$3,$CV18,0.3*$CV18,TRUE),$CW18*_xlfn.NORM.DIST(CH$3,'energy base (MECS)'!$F$11,0.3*'energy base (MECS)'!$F$11,TRUE))</f>
        <v/>
      </c>
      <c r="CJ18">
        <f t="array" ref="CJ18">SUMPRODUCT((economics!$AG$2:$AG$167=$B18)*(economics!$D$2:$D$167="whr")*economics!$AH$2:$AH$167)</f>
        <v/>
      </c>
      <c r="CK18" s="80">
        <f>'indst heat consumption'!D18</f>
        <v/>
      </c>
      <c r="CL18" s="80">
        <f>'indst heat consumption'!E18</f>
        <v/>
      </c>
      <c r="CM18" s="80">
        <f>'indst heat consumption'!F18</f>
        <v/>
      </c>
      <c r="CN18" s="80">
        <f>'indst heat consumption'!G18</f>
        <v/>
      </c>
      <c r="CO18" s="80">
        <f>'indst heat consumption'!H18</f>
        <v/>
      </c>
      <c r="CP18">
        <f>$C18*(CK18*summary!$B$94+CL18*summary!$C$94+CM18*summary!$D$94)</f>
        <v/>
      </c>
      <c r="CQ18">
        <f>$C18*(CN18*summary!$E$94+CO18*summary!$F$94)</f>
        <v/>
      </c>
      <c r="CR18">
        <f>IF(CP18+CQ18&gt;0,CP18*MAX(0,CP18+CQ18-CJ18)/(CP18+CQ18),0)</f>
        <v/>
      </c>
      <c r="CS18">
        <f>IF(CP18+CQ18&gt;0,CQ18*MAX(0,CP18+CQ18-CJ18)/(CP18+CQ18),0)</f>
        <v/>
      </c>
      <c r="CT18">
        <f>IFERROR(_xlfn.XLOOKUP($B18,'BCoISC-WACCbI'!$C$2:$C$26,'BCoISC-WACCbI'!$B$2:$B$26)+economics!$AE$4,0.1)</f>
        <v/>
      </c>
      <c r="CU18">
        <f>(summary!$C$7*(CT18/(1-(1+CT18)^-summary!$D$7))+summary!$C$7*summary!$E$7)/(summary!$F$7*3412/1000000)</f>
        <v/>
      </c>
      <c r="CV18">
        <f>(summary!$C$6*(CT18/(1-(1+CT18)^-summary!$D$6))+summary!$C$6*summary!$E$6)/(summary!$F$6*3412/1000000)</f>
        <v/>
      </c>
      <c r="CW18">
        <f>CR18+CS18</f>
        <v/>
      </c>
    </row>
    <row r="19">
      <c r="A19">
        <f>WHRPbI!A17</f>
        <v/>
      </c>
      <c r="B19" t="n">
        <v>25</v>
      </c>
      <c r="C19" s="68">
        <f>WHRPbI!B17</f>
        <v/>
      </c>
      <c r="D19">
        <f>ISNUMBER(MATCH($B19,'energy base (MECS)'!$K$4:$K$9,0))</f>
        <v/>
      </c>
      <c r="E19" s="68">
        <f t="array" ref="E19">IF($D19,SUMPRODUCT((economics!$AG$2:$AG$167=$B19)*(economics!$D$2:$D$167="whr")*economics!$AH$2:$AH$167*_xlfn.NORM.DIST(E$3,economics!$AK$2:$AK$167,economics!$AJ$2:$AJ$167,TRUE))+$CR19*_xlfn.NORM.DIST(E$3,$CU19,0.3*$CU19,TRUE)+$CS19*_xlfn.NORM.DIST(E$3,$CV19,0.3*$CV19,TRUE),$CW19*_xlfn.NORM.DIST(E$3,'energy base (MECS)'!$F$11,0.3*'energy base (MECS)'!$F$11,TRUE))</f>
        <v/>
      </c>
      <c r="F19" s="68">
        <f t="array" ref="F19">IF($D19,SUMPRODUCT((economics!$AG$2:$AG$167=$B19)*(economics!$D$2:$D$167="whr")*economics!$AH$2:$AH$167*_xlfn.NORM.DIST(F$3,economics!$AK$2:$AK$167,economics!$AJ$2:$AJ$167,TRUE))+$CR19*_xlfn.NORM.DIST(F$3,$CU19,0.3*$CU19,TRUE)+$CS19*_xlfn.NORM.DIST(F$3,$CV19,0.3*$CV19,TRUE),$CW19*_xlfn.NORM.DIST(F$3,'energy base (MECS)'!$F$11,0.3*'energy base (MECS)'!$F$11,TRUE))</f>
        <v/>
      </c>
      <c r="G19" s="68">
        <f t="array" ref="G19">IF($D19,SUMPRODUCT((economics!$AG$2:$AG$167=$B19)*(economics!$D$2:$D$167="whr")*economics!$AH$2:$AH$167*_xlfn.NORM.DIST(G$3,economics!$AK$2:$AK$167,economics!$AJ$2:$AJ$167,TRUE))+$CR19*_xlfn.NORM.DIST(G$3,$CU19,0.3*$CU19,TRUE)+$CS19*_xlfn.NORM.DIST(G$3,$CV19,0.3*$CV19,TRUE),$CW19*_xlfn.NORM.DIST(G$3,'energy base (MECS)'!$F$11,0.3*'energy base (MECS)'!$F$11,TRUE))</f>
        <v/>
      </c>
      <c r="H19" s="68">
        <f t="array" ref="H19">IF($D19,SUMPRODUCT((economics!$AG$2:$AG$167=$B19)*(economics!$D$2:$D$167="whr")*economics!$AH$2:$AH$167*_xlfn.NORM.DIST(H$3,economics!$AK$2:$AK$167,economics!$AJ$2:$AJ$167,TRUE))+$CR19*_xlfn.NORM.DIST(H$3,$CU19,0.3*$CU19,TRUE)+$CS19*_xlfn.NORM.DIST(H$3,$CV19,0.3*$CV19,TRUE),$CW19*_xlfn.NORM.DIST(H$3,'energy base (MECS)'!$F$11,0.3*'energy base (MECS)'!$F$11,TRUE))</f>
        <v/>
      </c>
      <c r="I19" s="68">
        <f t="array" ref="I19">IF($D19,SUMPRODUCT((economics!$AG$2:$AG$167=$B19)*(economics!$D$2:$D$167="whr")*economics!$AH$2:$AH$167*_xlfn.NORM.DIST(I$3,economics!$AK$2:$AK$167,economics!$AJ$2:$AJ$167,TRUE))+$CR19*_xlfn.NORM.DIST(I$3,$CU19,0.3*$CU19,TRUE)+$CS19*_xlfn.NORM.DIST(I$3,$CV19,0.3*$CV19,TRUE),$CW19*_xlfn.NORM.DIST(I$3,'energy base (MECS)'!$F$11,0.3*'energy base (MECS)'!$F$11,TRUE))</f>
        <v/>
      </c>
      <c r="J19" s="68">
        <f t="array" ref="J19">IF($D19,SUMPRODUCT((economics!$AG$2:$AG$167=$B19)*(economics!$D$2:$D$167="whr")*economics!$AH$2:$AH$167*_xlfn.NORM.DIST(J$3,economics!$AK$2:$AK$167,economics!$AJ$2:$AJ$167,TRUE))+$CR19*_xlfn.NORM.DIST(J$3,$CU19,0.3*$CU19,TRUE)+$CS19*_xlfn.NORM.DIST(J$3,$CV19,0.3*$CV19,TRUE),$CW19*_xlfn.NORM.DIST(J$3,'energy base (MECS)'!$F$11,0.3*'energy base (MECS)'!$F$11,TRUE))</f>
        <v/>
      </c>
      <c r="K19" s="68">
        <f t="array" ref="K19">IF($D19,SUMPRODUCT((economics!$AG$2:$AG$167=$B19)*(economics!$D$2:$D$167="whr")*economics!$AH$2:$AH$167*_xlfn.NORM.DIST(K$3,economics!$AK$2:$AK$167,economics!$AJ$2:$AJ$167,TRUE))+$CR19*_xlfn.NORM.DIST(K$3,$CU19,0.3*$CU19,TRUE)+$CS19*_xlfn.NORM.DIST(K$3,$CV19,0.3*$CV19,TRUE),$CW19*_xlfn.NORM.DIST(K$3,'energy base (MECS)'!$F$11,0.3*'energy base (MECS)'!$F$11,TRUE))</f>
        <v/>
      </c>
      <c r="L19" s="68">
        <f t="array" ref="L19">IF($D19,SUMPRODUCT((economics!$AG$2:$AG$167=$B19)*(economics!$D$2:$D$167="whr")*economics!$AH$2:$AH$167*_xlfn.NORM.DIST(L$3,economics!$AK$2:$AK$167,economics!$AJ$2:$AJ$167,TRUE))+$CR19*_xlfn.NORM.DIST(L$3,$CU19,0.3*$CU19,TRUE)+$CS19*_xlfn.NORM.DIST(L$3,$CV19,0.3*$CV19,TRUE),$CW19*_xlfn.NORM.DIST(L$3,'energy base (MECS)'!$F$11,0.3*'energy base (MECS)'!$F$11,TRUE))</f>
        <v/>
      </c>
      <c r="M19" s="68">
        <f t="array" ref="M19">IF($D19,SUMPRODUCT((economics!$AG$2:$AG$167=$B19)*(economics!$D$2:$D$167="whr")*economics!$AH$2:$AH$167*_xlfn.NORM.DIST(M$3,economics!$AK$2:$AK$167,economics!$AJ$2:$AJ$167,TRUE))+$CR19*_xlfn.NORM.DIST(M$3,$CU19,0.3*$CU19,TRUE)+$CS19*_xlfn.NORM.DIST(M$3,$CV19,0.3*$CV19,TRUE),$CW19*_xlfn.NORM.DIST(M$3,'energy base (MECS)'!$F$11,0.3*'energy base (MECS)'!$F$11,TRUE))</f>
        <v/>
      </c>
      <c r="N19" s="68">
        <f t="array" ref="N19">IF($D19,SUMPRODUCT((economics!$AG$2:$AG$167=$B19)*(economics!$D$2:$D$167="whr")*economics!$AH$2:$AH$167*_xlfn.NORM.DIST(N$3,economics!$AK$2:$AK$167,economics!$AJ$2:$AJ$167,TRUE))+$CR19*_xlfn.NORM.DIST(N$3,$CU19,0.3*$CU19,TRUE)+$CS19*_xlfn.NORM.DIST(N$3,$CV19,0.3*$CV19,TRUE),$CW19*_xlfn.NORM.DIST(N$3,'energy base (MECS)'!$F$11,0.3*'energy base (MECS)'!$F$11,TRUE))</f>
        <v/>
      </c>
      <c r="O19" s="68">
        <f t="array" ref="O19">IF($D19,SUMPRODUCT((economics!$AG$2:$AG$167=$B19)*(economics!$D$2:$D$167="whr")*economics!$AH$2:$AH$167*_xlfn.NORM.DIST(O$3,economics!$AK$2:$AK$167,economics!$AJ$2:$AJ$167,TRUE))+$CR19*_xlfn.NORM.DIST(O$3,$CU19,0.3*$CU19,TRUE)+$CS19*_xlfn.NORM.DIST(O$3,$CV19,0.3*$CV19,TRUE),$CW19*_xlfn.NORM.DIST(O$3,'energy base (MECS)'!$F$11,0.3*'energy base (MECS)'!$F$11,TRUE))</f>
        <v/>
      </c>
      <c r="P19" s="68">
        <f t="array" ref="P19">IF($D19,SUMPRODUCT((economics!$AG$2:$AG$167=$B19)*(economics!$D$2:$D$167="whr")*economics!$AH$2:$AH$167*_xlfn.NORM.DIST(P$3,economics!$AK$2:$AK$167,economics!$AJ$2:$AJ$167,TRUE))+$CR19*_xlfn.NORM.DIST(P$3,$CU19,0.3*$CU19,TRUE)+$CS19*_xlfn.NORM.DIST(P$3,$CV19,0.3*$CV19,TRUE),$CW19*_xlfn.NORM.DIST(P$3,'energy base (MECS)'!$F$11,0.3*'energy base (MECS)'!$F$11,TRUE))</f>
        <v/>
      </c>
      <c r="Q19" s="68">
        <f t="array" ref="Q19">IF($D19,SUMPRODUCT((economics!$AG$2:$AG$167=$B19)*(economics!$D$2:$D$167="whr")*economics!$AH$2:$AH$167*_xlfn.NORM.DIST(Q$3,economics!$AK$2:$AK$167,economics!$AJ$2:$AJ$167,TRUE))+$CR19*_xlfn.NORM.DIST(Q$3,$CU19,0.3*$CU19,TRUE)+$CS19*_xlfn.NORM.DIST(Q$3,$CV19,0.3*$CV19,TRUE),$CW19*_xlfn.NORM.DIST(Q$3,'energy base (MECS)'!$F$11,0.3*'energy base (MECS)'!$F$11,TRUE))</f>
        <v/>
      </c>
      <c r="R19" s="68">
        <f t="array" ref="R19">IF($D19,SUMPRODUCT((economics!$AG$2:$AG$167=$B19)*(economics!$D$2:$D$167="whr")*economics!$AH$2:$AH$167*_xlfn.NORM.DIST(R$3,economics!$AK$2:$AK$167,economics!$AJ$2:$AJ$167,TRUE))+$CR19*_xlfn.NORM.DIST(R$3,$CU19,0.3*$CU19,TRUE)+$CS19*_xlfn.NORM.DIST(R$3,$CV19,0.3*$CV19,TRUE),$CW19*_xlfn.NORM.DIST(R$3,'energy base (MECS)'!$F$11,0.3*'energy base (MECS)'!$F$11,TRUE))</f>
        <v/>
      </c>
      <c r="S19" s="68">
        <f t="array" ref="S19">IF($D19,SUMPRODUCT((economics!$AG$2:$AG$167=$B19)*(economics!$D$2:$D$167="whr")*economics!$AH$2:$AH$167*_xlfn.NORM.DIST(S$3,economics!$AK$2:$AK$167,economics!$AJ$2:$AJ$167,TRUE))+$CR19*_xlfn.NORM.DIST(S$3,$CU19,0.3*$CU19,TRUE)+$CS19*_xlfn.NORM.DIST(S$3,$CV19,0.3*$CV19,TRUE),$CW19*_xlfn.NORM.DIST(S$3,'energy base (MECS)'!$F$11,0.3*'energy base (MECS)'!$F$11,TRUE))</f>
        <v/>
      </c>
      <c r="T19" s="68">
        <f t="array" ref="T19">IF($D19,SUMPRODUCT((economics!$AG$2:$AG$167=$B19)*(economics!$D$2:$D$167="whr")*economics!$AH$2:$AH$167*_xlfn.NORM.DIST(T$3,economics!$AK$2:$AK$167,economics!$AJ$2:$AJ$167,TRUE))+$CR19*_xlfn.NORM.DIST(T$3,$CU19,0.3*$CU19,TRUE)+$CS19*_xlfn.NORM.DIST(T$3,$CV19,0.3*$CV19,TRUE),$CW19*_xlfn.NORM.DIST(T$3,'energy base (MECS)'!$F$11,0.3*'energy base (MECS)'!$F$11,TRUE))</f>
        <v/>
      </c>
      <c r="U19" s="68">
        <f t="array" ref="U19">IF($D19,SUMPRODUCT((economics!$AG$2:$AG$167=$B19)*(economics!$D$2:$D$167="whr")*economics!$AH$2:$AH$167*_xlfn.NORM.DIST(U$3,economics!$AK$2:$AK$167,economics!$AJ$2:$AJ$167,TRUE))+$CR19*_xlfn.NORM.DIST(U$3,$CU19,0.3*$CU19,TRUE)+$CS19*_xlfn.NORM.DIST(U$3,$CV19,0.3*$CV19,TRUE),$CW19*_xlfn.NORM.DIST(U$3,'energy base (MECS)'!$F$11,0.3*'energy base (MECS)'!$F$11,TRUE))</f>
        <v/>
      </c>
      <c r="V19" s="68">
        <f t="array" ref="V19">IF($D19,SUMPRODUCT((economics!$AG$2:$AG$167=$B19)*(economics!$D$2:$D$167="whr")*economics!$AH$2:$AH$167*_xlfn.NORM.DIST(V$3,economics!$AK$2:$AK$167,economics!$AJ$2:$AJ$167,TRUE))+$CR19*_xlfn.NORM.DIST(V$3,$CU19,0.3*$CU19,TRUE)+$CS19*_xlfn.NORM.DIST(V$3,$CV19,0.3*$CV19,TRUE),$CW19*_xlfn.NORM.DIST(V$3,'energy base (MECS)'!$F$11,0.3*'energy base (MECS)'!$F$11,TRUE))</f>
        <v/>
      </c>
      <c r="W19" s="68">
        <f t="array" ref="W19">IF($D19,SUMPRODUCT((economics!$AG$2:$AG$167=$B19)*(economics!$D$2:$D$167="whr")*economics!$AH$2:$AH$167*_xlfn.NORM.DIST(W$3,economics!$AK$2:$AK$167,economics!$AJ$2:$AJ$167,TRUE))+$CR19*_xlfn.NORM.DIST(W$3,$CU19,0.3*$CU19,TRUE)+$CS19*_xlfn.NORM.DIST(W$3,$CV19,0.3*$CV19,TRUE),$CW19*_xlfn.NORM.DIST(W$3,'energy base (MECS)'!$F$11,0.3*'energy base (MECS)'!$F$11,TRUE))</f>
        <v/>
      </c>
      <c r="X19" s="68">
        <f t="array" ref="X19">IF($D19,SUMPRODUCT((economics!$AG$2:$AG$167=$B19)*(economics!$D$2:$D$167="whr")*economics!$AH$2:$AH$167*_xlfn.NORM.DIST(X$3,economics!$AK$2:$AK$167,economics!$AJ$2:$AJ$167,TRUE))+$CR19*_xlfn.NORM.DIST(X$3,$CU19,0.3*$CU19,TRUE)+$CS19*_xlfn.NORM.DIST(X$3,$CV19,0.3*$CV19,TRUE),$CW19*_xlfn.NORM.DIST(X$3,'energy base (MECS)'!$F$11,0.3*'energy base (MECS)'!$F$11,TRUE))</f>
        <v/>
      </c>
      <c r="Y19" s="68">
        <f t="array" ref="Y19">IF($D19,SUMPRODUCT((economics!$AG$2:$AG$167=$B19)*(economics!$D$2:$D$167="whr")*economics!$AH$2:$AH$167*_xlfn.NORM.DIST(Y$3,economics!$AK$2:$AK$167,economics!$AJ$2:$AJ$167,TRUE))+$CR19*_xlfn.NORM.DIST(Y$3,$CU19,0.3*$CU19,TRUE)+$CS19*_xlfn.NORM.DIST(Y$3,$CV19,0.3*$CV19,TRUE),$CW19*_xlfn.NORM.DIST(Y$3,'energy base (MECS)'!$F$11,0.3*'energy base (MECS)'!$F$11,TRUE))</f>
        <v/>
      </c>
      <c r="Z19" s="68">
        <f t="array" ref="Z19">IF($D19,SUMPRODUCT((economics!$AG$2:$AG$167=$B19)*(economics!$D$2:$D$167="whr")*economics!$AH$2:$AH$167*_xlfn.NORM.DIST(Z$3,economics!$AK$2:$AK$167,economics!$AJ$2:$AJ$167,TRUE))+$CR19*_xlfn.NORM.DIST(Z$3,$CU19,0.3*$CU19,TRUE)+$CS19*_xlfn.NORM.DIST(Z$3,$CV19,0.3*$CV19,TRUE),$CW19*_xlfn.NORM.DIST(Z$3,'energy base (MECS)'!$F$11,0.3*'energy base (MECS)'!$F$11,TRUE))</f>
        <v/>
      </c>
      <c r="AA19" s="68">
        <f t="array" ref="AA19">IF($D19,SUMPRODUCT((economics!$AG$2:$AG$167=$B19)*(economics!$D$2:$D$167="whr")*economics!$AH$2:$AH$167*_xlfn.NORM.DIST(AA$3,economics!$AK$2:$AK$167,economics!$AJ$2:$AJ$167,TRUE))+$CR19*_xlfn.NORM.DIST(AA$3,$CU19,0.3*$CU19,TRUE)+$CS19*_xlfn.NORM.DIST(AA$3,$CV19,0.3*$CV19,TRUE),$CW19*_xlfn.NORM.DIST(AA$3,'energy base (MECS)'!$F$11,0.3*'energy base (MECS)'!$F$11,TRUE))</f>
        <v/>
      </c>
      <c r="AB19" s="68">
        <f t="array" ref="AB19">IF($D19,SUMPRODUCT((economics!$AG$2:$AG$167=$B19)*(economics!$D$2:$D$167="whr")*economics!$AH$2:$AH$167*_xlfn.NORM.DIST(AB$3,economics!$AK$2:$AK$167,economics!$AJ$2:$AJ$167,TRUE))+$CR19*_xlfn.NORM.DIST(AB$3,$CU19,0.3*$CU19,TRUE)+$CS19*_xlfn.NORM.DIST(AB$3,$CV19,0.3*$CV19,TRUE),$CW19*_xlfn.NORM.DIST(AB$3,'energy base (MECS)'!$F$11,0.3*'energy base (MECS)'!$F$11,TRUE))</f>
        <v/>
      </c>
      <c r="AC19" s="68">
        <f t="array" ref="AC19">IF($D19,SUMPRODUCT((economics!$AG$2:$AG$167=$B19)*(economics!$D$2:$D$167="whr")*economics!$AH$2:$AH$167*_xlfn.NORM.DIST(AC$3,economics!$AK$2:$AK$167,economics!$AJ$2:$AJ$167,TRUE))+$CR19*_xlfn.NORM.DIST(AC$3,$CU19,0.3*$CU19,TRUE)+$CS19*_xlfn.NORM.DIST(AC$3,$CV19,0.3*$CV19,TRUE),$CW19*_xlfn.NORM.DIST(AC$3,'energy base (MECS)'!$F$11,0.3*'energy base (MECS)'!$F$11,TRUE))</f>
        <v/>
      </c>
      <c r="AD19" s="68">
        <f t="array" ref="AD19">IF($D19,SUMPRODUCT((economics!$AG$2:$AG$167=$B19)*(economics!$D$2:$D$167="whr")*economics!$AH$2:$AH$167*_xlfn.NORM.DIST(AD$3,economics!$AK$2:$AK$167,economics!$AJ$2:$AJ$167,TRUE))+$CR19*_xlfn.NORM.DIST(AD$3,$CU19,0.3*$CU19,TRUE)+$CS19*_xlfn.NORM.DIST(AD$3,$CV19,0.3*$CV19,TRUE),$CW19*_xlfn.NORM.DIST(AD$3,'energy base (MECS)'!$F$11,0.3*'energy base (MECS)'!$F$11,TRUE))</f>
        <v/>
      </c>
      <c r="AE19" s="68">
        <f t="array" ref="AE19">IF($D19,SUMPRODUCT((economics!$AG$2:$AG$167=$B19)*(economics!$D$2:$D$167="whr")*economics!$AH$2:$AH$167*_xlfn.NORM.DIST(AE$3,economics!$AK$2:$AK$167,economics!$AJ$2:$AJ$167,TRUE))+$CR19*_xlfn.NORM.DIST(AE$3,$CU19,0.3*$CU19,TRUE)+$CS19*_xlfn.NORM.DIST(AE$3,$CV19,0.3*$CV19,TRUE),$CW19*_xlfn.NORM.DIST(AE$3,'energy base (MECS)'!$F$11,0.3*'energy base (MECS)'!$F$11,TRUE))</f>
        <v/>
      </c>
      <c r="AF19" s="68">
        <f t="array" ref="AF19">IF($D19,SUMPRODUCT((economics!$AG$2:$AG$167=$B19)*(economics!$D$2:$D$167="whr")*economics!$AH$2:$AH$167*_xlfn.NORM.DIST(AF$3,economics!$AK$2:$AK$167,economics!$AJ$2:$AJ$167,TRUE))+$CR19*_xlfn.NORM.DIST(AF$3,$CU19,0.3*$CU19,TRUE)+$CS19*_xlfn.NORM.DIST(AF$3,$CV19,0.3*$CV19,TRUE),$CW19*_xlfn.NORM.DIST(AF$3,'energy base (MECS)'!$F$11,0.3*'energy base (MECS)'!$F$11,TRUE))</f>
        <v/>
      </c>
      <c r="AG19" s="68">
        <f t="array" ref="AG19">IF($D19,SUMPRODUCT((economics!$AG$2:$AG$167=$B19)*(economics!$D$2:$D$167="whr")*economics!$AH$2:$AH$167*_xlfn.NORM.DIST(AG$3,economics!$AK$2:$AK$167,economics!$AJ$2:$AJ$167,TRUE))+$CR19*_xlfn.NORM.DIST(AG$3,$CU19,0.3*$CU19,TRUE)+$CS19*_xlfn.NORM.DIST(AG$3,$CV19,0.3*$CV19,TRUE),$CW19*_xlfn.NORM.DIST(AG$3,'energy base (MECS)'!$F$11,0.3*'energy base (MECS)'!$F$11,TRUE))</f>
        <v/>
      </c>
      <c r="AH19" s="68">
        <f t="array" ref="AH19">IF($D19,SUMPRODUCT((economics!$AG$2:$AG$167=$B19)*(economics!$D$2:$D$167="whr")*economics!$AH$2:$AH$167*_xlfn.NORM.DIST(AH$3,economics!$AK$2:$AK$167,economics!$AJ$2:$AJ$167,TRUE))+$CR19*_xlfn.NORM.DIST(AH$3,$CU19,0.3*$CU19,TRUE)+$CS19*_xlfn.NORM.DIST(AH$3,$CV19,0.3*$CV19,TRUE),$CW19*_xlfn.NORM.DIST(AH$3,'energy base (MECS)'!$F$11,0.3*'energy base (MECS)'!$F$11,TRUE))</f>
        <v/>
      </c>
      <c r="AI19" s="68">
        <f t="array" ref="AI19">IF($D19,SUMPRODUCT((economics!$AG$2:$AG$167=$B19)*(economics!$D$2:$D$167="whr")*economics!$AH$2:$AH$167*_xlfn.NORM.DIST(AI$3,economics!$AK$2:$AK$167,economics!$AJ$2:$AJ$167,TRUE))+$CR19*_xlfn.NORM.DIST(AI$3,$CU19,0.3*$CU19,TRUE)+$CS19*_xlfn.NORM.DIST(AI$3,$CV19,0.3*$CV19,TRUE),$CW19*_xlfn.NORM.DIST(AI$3,'energy base (MECS)'!$F$11,0.3*'energy base (MECS)'!$F$11,TRUE))</f>
        <v/>
      </c>
      <c r="AJ19" s="68">
        <f t="array" ref="AJ19">IF($D19,SUMPRODUCT((economics!$AG$2:$AG$167=$B19)*(economics!$D$2:$D$167="whr")*economics!$AH$2:$AH$167*_xlfn.NORM.DIST(AJ$3,economics!$AK$2:$AK$167,economics!$AJ$2:$AJ$167,TRUE))+$CR19*_xlfn.NORM.DIST(AJ$3,$CU19,0.3*$CU19,TRUE)+$CS19*_xlfn.NORM.DIST(AJ$3,$CV19,0.3*$CV19,TRUE),$CW19*_xlfn.NORM.DIST(AJ$3,'energy base (MECS)'!$F$11,0.3*'energy base (MECS)'!$F$11,TRUE))</f>
        <v/>
      </c>
      <c r="AK19" s="68">
        <f t="array" ref="AK19">IF($D19,SUMPRODUCT((economics!$AG$2:$AG$167=$B19)*(economics!$D$2:$D$167="whr")*economics!$AH$2:$AH$167*_xlfn.NORM.DIST(AK$3,economics!$AK$2:$AK$167,economics!$AJ$2:$AJ$167,TRUE))+$CR19*_xlfn.NORM.DIST(AK$3,$CU19,0.3*$CU19,TRUE)+$CS19*_xlfn.NORM.DIST(AK$3,$CV19,0.3*$CV19,TRUE),$CW19*_xlfn.NORM.DIST(AK$3,'energy base (MECS)'!$F$11,0.3*'energy base (MECS)'!$F$11,TRUE))</f>
        <v/>
      </c>
      <c r="AL19" s="68">
        <f t="array" ref="AL19">IF($D19,SUMPRODUCT((economics!$AG$2:$AG$167=$B19)*(economics!$D$2:$D$167="whr")*economics!$AH$2:$AH$167*_xlfn.NORM.DIST(AL$3,economics!$AK$2:$AK$167,economics!$AJ$2:$AJ$167,TRUE))+$CR19*_xlfn.NORM.DIST(AL$3,$CU19,0.3*$CU19,TRUE)+$CS19*_xlfn.NORM.DIST(AL$3,$CV19,0.3*$CV19,TRUE),$CW19*_xlfn.NORM.DIST(AL$3,'energy base (MECS)'!$F$11,0.3*'energy base (MECS)'!$F$11,TRUE))</f>
        <v/>
      </c>
      <c r="AM19" s="68">
        <f t="array" ref="AM19">IF($D19,SUMPRODUCT((economics!$AG$2:$AG$167=$B19)*(economics!$D$2:$D$167="whr")*economics!$AH$2:$AH$167*_xlfn.NORM.DIST(AM$3,economics!$AK$2:$AK$167,economics!$AJ$2:$AJ$167,TRUE))+$CR19*_xlfn.NORM.DIST(AM$3,$CU19,0.3*$CU19,TRUE)+$CS19*_xlfn.NORM.DIST(AM$3,$CV19,0.3*$CV19,TRUE),$CW19*_xlfn.NORM.DIST(AM$3,'energy base (MECS)'!$F$11,0.3*'energy base (MECS)'!$F$11,TRUE))</f>
        <v/>
      </c>
      <c r="AN19" s="68">
        <f t="array" ref="AN19">IF($D19,SUMPRODUCT((economics!$AG$2:$AG$167=$B19)*(economics!$D$2:$D$167="whr")*economics!$AH$2:$AH$167*_xlfn.NORM.DIST(AN$3,economics!$AK$2:$AK$167,economics!$AJ$2:$AJ$167,TRUE))+$CR19*_xlfn.NORM.DIST(AN$3,$CU19,0.3*$CU19,TRUE)+$CS19*_xlfn.NORM.DIST(AN$3,$CV19,0.3*$CV19,TRUE),$CW19*_xlfn.NORM.DIST(AN$3,'energy base (MECS)'!$F$11,0.3*'energy base (MECS)'!$F$11,TRUE))</f>
        <v/>
      </c>
      <c r="AO19" s="68">
        <f t="array" ref="AO19">IF($D19,SUMPRODUCT((economics!$AG$2:$AG$167=$B19)*(economics!$D$2:$D$167="whr")*economics!$AH$2:$AH$167*_xlfn.NORM.DIST(AO$3,economics!$AK$2:$AK$167,economics!$AJ$2:$AJ$167,TRUE))+$CR19*_xlfn.NORM.DIST(AO$3,$CU19,0.3*$CU19,TRUE)+$CS19*_xlfn.NORM.DIST(AO$3,$CV19,0.3*$CV19,TRUE),$CW19*_xlfn.NORM.DIST(AO$3,'energy base (MECS)'!$F$11,0.3*'energy base (MECS)'!$F$11,TRUE))</f>
        <v/>
      </c>
      <c r="AP19" s="68">
        <f t="array" ref="AP19">IF($D19,SUMPRODUCT((economics!$AG$2:$AG$167=$B19)*(economics!$D$2:$D$167="whr")*economics!$AH$2:$AH$167*_xlfn.NORM.DIST(AP$3,economics!$AK$2:$AK$167,economics!$AJ$2:$AJ$167,TRUE))+$CR19*_xlfn.NORM.DIST(AP$3,$CU19,0.3*$CU19,TRUE)+$CS19*_xlfn.NORM.DIST(AP$3,$CV19,0.3*$CV19,TRUE),$CW19*_xlfn.NORM.DIST(AP$3,'energy base (MECS)'!$F$11,0.3*'energy base (MECS)'!$F$11,TRUE))</f>
        <v/>
      </c>
      <c r="AQ19" s="68">
        <f t="array" ref="AQ19">IF($D19,SUMPRODUCT((economics!$AG$2:$AG$167=$B19)*(economics!$D$2:$D$167="whr")*economics!$AH$2:$AH$167*_xlfn.NORM.DIST(AQ$3,economics!$AK$2:$AK$167,economics!$AJ$2:$AJ$167,TRUE))+$CR19*_xlfn.NORM.DIST(AQ$3,$CU19,0.3*$CU19,TRUE)+$CS19*_xlfn.NORM.DIST(AQ$3,$CV19,0.3*$CV19,TRUE),$CW19*_xlfn.NORM.DIST(AQ$3,'energy base (MECS)'!$F$11,0.3*'energy base (MECS)'!$F$11,TRUE))</f>
        <v/>
      </c>
      <c r="AR19" s="68">
        <f t="array" ref="AR19">IF($D19,SUMPRODUCT((economics!$AG$2:$AG$167=$B19)*(economics!$D$2:$D$167="whr")*economics!$AH$2:$AH$167*_xlfn.NORM.DIST(AR$3,economics!$AK$2:$AK$167,economics!$AJ$2:$AJ$167,TRUE))+$CR19*_xlfn.NORM.DIST(AR$3,$CU19,0.3*$CU19,TRUE)+$CS19*_xlfn.NORM.DIST(AR$3,$CV19,0.3*$CV19,TRUE),$CW19*_xlfn.NORM.DIST(AR$3,'energy base (MECS)'!$F$11,0.3*'energy base (MECS)'!$F$11,TRUE))</f>
        <v/>
      </c>
      <c r="AS19" s="68">
        <f t="array" ref="AS19">IF($D19,SUMPRODUCT((economics!$AG$2:$AG$167=$B19)*(economics!$D$2:$D$167="whr")*economics!$AH$2:$AH$167*_xlfn.NORM.DIST(AS$3,economics!$AK$2:$AK$167,economics!$AJ$2:$AJ$167,TRUE))+$CR19*_xlfn.NORM.DIST(AS$3,$CU19,0.3*$CU19,TRUE)+$CS19*_xlfn.NORM.DIST(AS$3,$CV19,0.3*$CV19,TRUE),$CW19*_xlfn.NORM.DIST(AS$3,'energy base (MECS)'!$F$11,0.3*'energy base (MECS)'!$F$11,TRUE))</f>
        <v/>
      </c>
      <c r="AT19" s="68">
        <f t="array" ref="AT19">IF($D19,SUMPRODUCT((economics!$AG$2:$AG$167=$B19)*(economics!$D$2:$D$167="whr")*economics!$AH$2:$AH$167*_xlfn.NORM.DIST(AT$3,economics!$AK$2:$AK$167,economics!$AJ$2:$AJ$167,TRUE))+$CR19*_xlfn.NORM.DIST(AT$3,$CU19,0.3*$CU19,TRUE)+$CS19*_xlfn.NORM.DIST(AT$3,$CV19,0.3*$CV19,TRUE),$CW19*_xlfn.NORM.DIST(AT$3,'energy base (MECS)'!$F$11,0.3*'energy base (MECS)'!$F$11,TRUE))</f>
        <v/>
      </c>
      <c r="AU19" s="68">
        <f t="array" ref="AU19">IF($D19,SUMPRODUCT((economics!$AG$2:$AG$167=$B19)*(economics!$D$2:$D$167="whr")*economics!$AH$2:$AH$167*_xlfn.NORM.DIST(AU$3,economics!$AK$2:$AK$167,economics!$AJ$2:$AJ$167,TRUE))+$CR19*_xlfn.NORM.DIST(AU$3,$CU19,0.3*$CU19,TRUE)+$CS19*_xlfn.NORM.DIST(AU$3,$CV19,0.3*$CV19,TRUE),$CW19*_xlfn.NORM.DIST(AU$3,'energy base (MECS)'!$F$11,0.3*'energy base (MECS)'!$F$11,TRUE))</f>
        <v/>
      </c>
      <c r="AV19" s="68">
        <f t="array" ref="AV19">IF($D19,SUMPRODUCT((economics!$AG$2:$AG$167=$B19)*(economics!$D$2:$D$167="whr")*economics!$AH$2:$AH$167*_xlfn.NORM.DIST(AV$3,economics!$AK$2:$AK$167,economics!$AJ$2:$AJ$167,TRUE))+$CR19*_xlfn.NORM.DIST(AV$3,$CU19,0.3*$CU19,TRUE)+$CS19*_xlfn.NORM.DIST(AV$3,$CV19,0.3*$CV19,TRUE),$CW19*_xlfn.NORM.DIST(AV$3,'energy base (MECS)'!$F$11,0.3*'energy base (MECS)'!$F$11,TRUE))</f>
        <v/>
      </c>
      <c r="AW19" s="68">
        <f t="array" ref="AW19">IF($D19,SUMPRODUCT((economics!$AG$2:$AG$167=$B19)*(economics!$D$2:$D$167="whr")*economics!$AH$2:$AH$167*_xlfn.NORM.DIST(AW$3,economics!$AK$2:$AK$167,economics!$AJ$2:$AJ$167,TRUE))+$CR19*_xlfn.NORM.DIST(AW$3,$CU19,0.3*$CU19,TRUE)+$CS19*_xlfn.NORM.DIST(AW$3,$CV19,0.3*$CV19,TRUE),$CW19*_xlfn.NORM.DIST(AW$3,'energy base (MECS)'!$F$11,0.3*'energy base (MECS)'!$F$11,TRUE))</f>
        <v/>
      </c>
      <c r="AX19" s="68">
        <f t="array" ref="AX19">IF($D19,SUMPRODUCT((economics!$AG$2:$AG$167=$B19)*(economics!$D$2:$D$167="whr")*economics!$AH$2:$AH$167*_xlfn.NORM.DIST(AX$3,economics!$AK$2:$AK$167,economics!$AJ$2:$AJ$167,TRUE))+$CR19*_xlfn.NORM.DIST(AX$3,$CU19,0.3*$CU19,TRUE)+$CS19*_xlfn.NORM.DIST(AX$3,$CV19,0.3*$CV19,TRUE),$CW19*_xlfn.NORM.DIST(AX$3,'energy base (MECS)'!$F$11,0.3*'energy base (MECS)'!$F$11,TRUE))</f>
        <v/>
      </c>
      <c r="AY19" s="68">
        <f t="array" ref="AY19">IF($D19,SUMPRODUCT((economics!$AG$2:$AG$167=$B19)*(economics!$D$2:$D$167="whr")*economics!$AH$2:$AH$167*_xlfn.NORM.DIST(AY$3,economics!$AK$2:$AK$167,economics!$AJ$2:$AJ$167,TRUE))+$CR19*_xlfn.NORM.DIST(AY$3,$CU19,0.3*$CU19,TRUE)+$CS19*_xlfn.NORM.DIST(AY$3,$CV19,0.3*$CV19,TRUE),$CW19*_xlfn.NORM.DIST(AY$3,'energy base (MECS)'!$F$11,0.3*'energy base (MECS)'!$F$11,TRUE))</f>
        <v/>
      </c>
      <c r="AZ19" s="68">
        <f t="array" ref="AZ19">IF($D19,SUMPRODUCT((economics!$AG$2:$AG$167=$B19)*(economics!$D$2:$D$167="whr")*economics!$AH$2:$AH$167*_xlfn.NORM.DIST(AZ$3,economics!$AK$2:$AK$167,economics!$AJ$2:$AJ$167,TRUE))+$CR19*_xlfn.NORM.DIST(AZ$3,$CU19,0.3*$CU19,TRUE)+$CS19*_xlfn.NORM.DIST(AZ$3,$CV19,0.3*$CV19,TRUE),$CW19*_xlfn.NORM.DIST(AZ$3,'energy base (MECS)'!$F$11,0.3*'energy base (MECS)'!$F$11,TRUE))</f>
        <v/>
      </c>
      <c r="BA19" s="68">
        <f t="array" ref="BA19">IF($D19,SUMPRODUCT((economics!$AG$2:$AG$167=$B19)*(economics!$D$2:$D$167="whr")*economics!$AH$2:$AH$167*_xlfn.NORM.DIST(BA$3,economics!$AK$2:$AK$167,economics!$AJ$2:$AJ$167,TRUE))+$CR19*_xlfn.NORM.DIST(BA$3,$CU19,0.3*$CU19,TRUE)+$CS19*_xlfn.NORM.DIST(BA$3,$CV19,0.3*$CV19,TRUE),$CW19*_xlfn.NORM.DIST(BA$3,'energy base (MECS)'!$F$11,0.3*'energy base (MECS)'!$F$11,TRUE))</f>
        <v/>
      </c>
      <c r="BB19" s="68">
        <f t="array" ref="BB19">IF($D19,SUMPRODUCT((economics!$AG$2:$AG$167=$B19)*(economics!$D$2:$D$167="whr")*economics!$AH$2:$AH$167*_xlfn.NORM.DIST(BB$3,economics!$AK$2:$AK$167,economics!$AJ$2:$AJ$167,TRUE))+$CR19*_xlfn.NORM.DIST(BB$3,$CU19,0.3*$CU19,TRUE)+$CS19*_xlfn.NORM.DIST(BB$3,$CV19,0.3*$CV19,TRUE),$CW19*_xlfn.NORM.DIST(BB$3,'energy base (MECS)'!$F$11,0.3*'energy base (MECS)'!$F$11,TRUE))</f>
        <v/>
      </c>
      <c r="BC19" s="68">
        <f t="array" ref="BC19">IF($D19,SUMPRODUCT((economics!$AG$2:$AG$167=$B19)*(economics!$D$2:$D$167="whr")*economics!$AH$2:$AH$167*_xlfn.NORM.DIST(BC$3,economics!$AK$2:$AK$167,economics!$AJ$2:$AJ$167,TRUE))+$CR19*_xlfn.NORM.DIST(BC$3,$CU19,0.3*$CU19,TRUE)+$CS19*_xlfn.NORM.DIST(BC$3,$CV19,0.3*$CV19,TRUE),$CW19*_xlfn.NORM.DIST(BC$3,'energy base (MECS)'!$F$11,0.3*'energy base (MECS)'!$F$11,TRUE))</f>
        <v/>
      </c>
      <c r="BD19" s="68">
        <f t="array" ref="BD19">IF($D19,SUMPRODUCT((economics!$AG$2:$AG$167=$B19)*(economics!$D$2:$D$167="whr")*economics!$AH$2:$AH$167*_xlfn.NORM.DIST(BD$3,economics!$AK$2:$AK$167,economics!$AJ$2:$AJ$167,TRUE))+$CR19*_xlfn.NORM.DIST(BD$3,$CU19,0.3*$CU19,TRUE)+$CS19*_xlfn.NORM.DIST(BD$3,$CV19,0.3*$CV19,TRUE),$CW19*_xlfn.NORM.DIST(BD$3,'energy base (MECS)'!$F$11,0.3*'energy base (MECS)'!$F$11,TRUE))</f>
        <v/>
      </c>
      <c r="BE19" s="68">
        <f t="array" ref="BE19">IF($D19,SUMPRODUCT((economics!$AG$2:$AG$167=$B19)*(economics!$D$2:$D$167="whr")*economics!$AH$2:$AH$167*_xlfn.NORM.DIST(BE$3,economics!$AK$2:$AK$167,economics!$AJ$2:$AJ$167,TRUE))+$CR19*_xlfn.NORM.DIST(BE$3,$CU19,0.3*$CU19,TRUE)+$CS19*_xlfn.NORM.DIST(BE$3,$CV19,0.3*$CV19,TRUE),$CW19*_xlfn.NORM.DIST(BE$3,'energy base (MECS)'!$F$11,0.3*'energy base (MECS)'!$F$11,TRUE))</f>
        <v/>
      </c>
      <c r="BF19" s="68">
        <f t="array" ref="BF19">IF($D19,SUMPRODUCT((economics!$AG$2:$AG$167=$B19)*(economics!$D$2:$D$167="whr")*economics!$AH$2:$AH$167*_xlfn.NORM.DIST(BF$3,economics!$AK$2:$AK$167,economics!$AJ$2:$AJ$167,TRUE))+$CR19*_xlfn.NORM.DIST(BF$3,$CU19,0.3*$CU19,TRUE)+$CS19*_xlfn.NORM.DIST(BF$3,$CV19,0.3*$CV19,TRUE),$CW19*_xlfn.NORM.DIST(BF$3,'energy base (MECS)'!$F$11,0.3*'energy base (MECS)'!$F$11,TRUE))</f>
        <v/>
      </c>
      <c r="BG19" s="68">
        <f t="array" ref="BG19">IF($D19,SUMPRODUCT((economics!$AG$2:$AG$167=$B19)*(economics!$D$2:$D$167="whr")*economics!$AH$2:$AH$167*_xlfn.NORM.DIST(BG$3,economics!$AK$2:$AK$167,economics!$AJ$2:$AJ$167,TRUE))+$CR19*_xlfn.NORM.DIST(BG$3,$CU19,0.3*$CU19,TRUE)+$CS19*_xlfn.NORM.DIST(BG$3,$CV19,0.3*$CV19,TRUE),$CW19*_xlfn.NORM.DIST(BG$3,'energy base (MECS)'!$F$11,0.3*'energy base (MECS)'!$F$11,TRUE))</f>
        <v/>
      </c>
      <c r="BH19" s="68">
        <f t="array" ref="BH19">IF($D19,SUMPRODUCT((economics!$AG$2:$AG$167=$B19)*(economics!$D$2:$D$167="whr")*economics!$AH$2:$AH$167*_xlfn.NORM.DIST(BH$3,economics!$AK$2:$AK$167,economics!$AJ$2:$AJ$167,TRUE))+$CR19*_xlfn.NORM.DIST(BH$3,$CU19,0.3*$CU19,TRUE)+$CS19*_xlfn.NORM.DIST(BH$3,$CV19,0.3*$CV19,TRUE),$CW19*_xlfn.NORM.DIST(BH$3,'energy base (MECS)'!$F$11,0.3*'energy base (MECS)'!$F$11,TRUE))</f>
        <v/>
      </c>
      <c r="BI19" s="68">
        <f t="array" ref="BI19">IF($D19,SUMPRODUCT((economics!$AG$2:$AG$167=$B19)*(economics!$D$2:$D$167="whr")*economics!$AH$2:$AH$167*_xlfn.NORM.DIST(BI$3,economics!$AK$2:$AK$167,economics!$AJ$2:$AJ$167,TRUE))+$CR19*_xlfn.NORM.DIST(BI$3,$CU19,0.3*$CU19,TRUE)+$CS19*_xlfn.NORM.DIST(BI$3,$CV19,0.3*$CV19,TRUE),$CW19*_xlfn.NORM.DIST(BI$3,'energy base (MECS)'!$F$11,0.3*'energy base (MECS)'!$F$11,TRUE))</f>
        <v/>
      </c>
      <c r="BJ19" s="68">
        <f t="array" ref="BJ19">IF($D19,SUMPRODUCT((economics!$AG$2:$AG$167=$B19)*(economics!$D$2:$D$167="whr")*economics!$AH$2:$AH$167*_xlfn.NORM.DIST(BJ$3,economics!$AK$2:$AK$167,economics!$AJ$2:$AJ$167,TRUE))+$CR19*_xlfn.NORM.DIST(BJ$3,$CU19,0.3*$CU19,TRUE)+$CS19*_xlfn.NORM.DIST(BJ$3,$CV19,0.3*$CV19,TRUE),$CW19*_xlfn.NORM.DIST(BJ$3,'energy base (MECS)'!$F$11,0.3*'energy base (MECS)'!$F$11,TRUE))</f>
        <v/>
      </c>
      <c r="BK19" s="68">
        <f t="array" ref="BK19">IF($D19,SUMPRODUCT((economics!$AG$2:$AG$167=$B19)*(economics!$D$2:$D$167="whr")*economics!$AH$2:$AH$167*_xlfn.NORM.DIST(BK$3,economics!$AK$2:$AK$167,economics!$AJ$2:$AJ$167,TRUE))+$CR19*_xlfn.NORM.DIST(BK$3,$CU19,0.3*$CU19,TRUE)+$CS19*_xlfn.NORM.DIST(BK$3,$CV19,0.3*$CV19,TRUE),$CW19*_xlfn.NORM.DIST(BK$3,'energy base (MECS)'!$F$11,0.3*'energy base (MECS)'!$F$11,TRUE))</f>
        <v/>
      </c>
      <c r="BL19" s="68">
        <f t="array" ref="BL19">IF($D19,SUMPRODUCT((economics!$AG$2:$AG$167=$B19)*(economics!$D$2:$D$167="whr")*economics!$AH$2:$AH$167*_xlfn.NORM.DIST(BL$3,economics!$AK$2:$AK$167,economics!$AJ$2:$AJ$167,TRUE))+$CR19*_xlfn.NORM.DIST(BL$3,$CU19,0.3*$CU19,TRUE)+$CS19*_xlfn.NORM.DIST(BL$3,$CV19,0.3*$CV19,TRUE),$CW19*_xlfn.NORM.DIST(BL$3,'energy base (MECS)'!$F$11,0.3*'energy base (MECS)'!$F$11,TRUE))</f>
        <v/>
      </c>
      <c r="BM19" s="68">
        <f t="array" ref="BM19">IF($D19,SUMPRODUCT((economics!$AG$2:$AG$167=$B19)*(economics!$D$2:$D$167="whr")*economics!$AH$2:$AH$167*_xlfn.NORM.DIST(BM$3,economics!$AK$2:$AK$167,economics!$AJ$2:$AJ$167,TRUE))+$CR19*_xlfn.NORM.DIST(BM$3,$CU19,0.3*$CU19,TRUE)+$CS19*_xlfn.NORM.DIST(BM$3,$CV19,0.3*$CV19,TRUE),$CW19*_xlfn.NORM.DIST(BM$3,'energy base (MECS)'!$F$11,0.3*'energy base (MECS)'!$F$11,TRUE))</f>
        <v/>
      </c>
      <c r="BN19" s="68">
        <f t="array" ref="BN19">IF($D19,SUMPRODUCT((economics!$AG$2:$AG$167=$B19)*(economics!$D$2:$D$167="whr")*economics!$AH$2:$AH$167*_xlfn.NORM.DIST(BN$3,economics!$AK$2:$AK$167,economics!$AJ$2:$AJ$167,TRUE))+$CR19*_xlfn.NORM.DIST(BN$3,$CU19,0.3*$CU19,TRUE)+$CS19*_xlfn.NORM.DIST(BN$3,$CV19,0.3*$CV19,TRUE),$CW19*_xlfn.NORM.DIST(BN$3,'energy base (MECS)'!$F$11,0.3*'energy base (MECS)'!$F$11,TRUE))</f>
        <v/>
      </c>
      <c r="BO19" s="68">
        <f t="array" ref="BO19">IF($D19,SUMPRODUCT((economics!$AG$2:$AG$167=$B19)*(economics!$D$2:$D$167="whr")*economics!$AH$2:$AH$167*_xlfn.NORM.DIST(BO$3,economics!$AK$2:$AK$167,economics!$AJ$2:$AJ$167,TRUE))+$CR19*_xlfn.NORM.DIST(BO$3,$CU19,0.3*$CU19,TRUE)+$CS19*_xlfn.NORM.DIST(BO$3,$CV19,0.3*$CV19,TRUE),$CW19*_xlfn.NORM.DIST(BO$3,'energy base (MECS)'!$F$11,0.3*'energy base (MECS)'!$F$11,TRUE))</f>
        <v/>
      </c>
      <c r="BP19" s="68">
        <f t="array" ref="BP19">IF($D19,SUMPRODUCT((economics!$AG$2:$AG$167=$B19)*(economics!$D$2:$D$167="whr")*economics!$AH$2:$AH$167*_xlfn.NORM.DIST(BP$3,economics!$AK$2:$AK$167,economics!$AJ$2:$AJ$167,TRUE))+$CR19*_xlfn.NORM.DIST(BP$3,$CU19,0.3*$CU19,TRUE)+$CS19*_xlfn.NORM.DIST(BP$3,$CV19,0.3*$CV19,TRUE),$CW19*_xlfn.NORM.DIST(BP$3,'energy base (MECS)'!$F$11,0.3*'energy base (MECS)'!$F$11,TRUE))</f>
        <v/>
      </c>
      <c r="BQ19" s="68">
        <f t="array" ref="BQ19">IF($D19,SUMPRODUCT((economics!$AG$2:$AG$167=$B19)*(economics!$D$2:$D$167="whr")*economics!$AH$2:$AH$167*_xlfn.NORM.DIST(BQ$3,economics!$AK$2:$AK$167,economics!$AJ$2:$AJ$167,TRUE))+$CR19*_xlfn.NORM.DIST(BQ$3,$CU19,0.3*$CU19,TRUE)+$CS19*_xlfn.NORM.DIST(BQ$3,$CV19,0.3*$CV19,TRUE),$CW19*_xlfn.NORM.DIST(BQ$3,'energy base (MECS)'!$F$11,0.3*'energy base (MECS)'!$F$11,TRUE))</f>
        <v/>
      </c>
      <c r="BR19" s="68">
        <f t="array" ref="BR19">IF($D19,SUMPRODUCT((economics!$AG$2:$AG$167=$B19)*(economics!$D$2:$D$167="whr")*economics!$AH$2:$AH$167*_xlfn.NORM.DIST(BR$3,economics!$AK$2:$AK$167,economics!$AJ$2:$AJ$167,TRUE))+$CR19*_xlfn.NORM.DIST(BR$3,$CU19,0.3*$CU19,TRUE)+$CS19*_xlfn.NORM.DIST(BR$3,$CV19,0.3*$CV19,TRUE),$CW19*_xlfn.NORM.DIST(BR$3,'energy base (MECS)'!$F$11,0.3*'energy base (MECS)'!$F$11,TRUE))</f>
        <v/>
      </c>
      <c r="BS19" s="68">
        <f t="array" ref="BS19">IF($D19,SUMPRODUCT((economics!$AG$2:$AG$167=$B19)*(economics!$D$2:$D$167="whr")*economics!$AH$2:$AH$167*_xlfn.NORM.DIST(BS$3,economics!$AK$2:$AK$167,economics!$AJ$2:$AJ$167,TRUE))+$CR19*_xlfn.NORM.DIST(BS$3,$CU19,0.3*$CU19,TRUE)+$CS19*_xlfn.NORM.DIST(BS$3,$CV19,0.3*$CV19,TRUE),$CW19*_xlfn.NORM.DIST(BS$3,'energy base (MECS)'!$F$11,0.3*'energy base (MECS)'!$F$11,TRUE))</f>
        <v/>
      </c>
      <c r="BT19" s="68">
        <f t="array" ref="BT19">IF($D19,SUMPRODUCT((economics!$AG$2:$AG$167=$B19)*(economics!$D$2:$D$167="whr")*economics!$AH$2:$AH$167*_xlfn.NORM.DIST(BT$3,economics!$AK$2:$AK$167,economics!$AJ$2:$AJ$167,TRUE))+$CR19*_xlfn.NORM.DIST(BT$3,$CU19,0.3*$CU19,TRUE)+$CS19*_xlfn.NORM.DIST(BT$3,$CV19,0.3*$CV19,TRUE),$CW19*_xlfn.NORM.DIST(BT$3,'energy base (MECS)'!$F$11,0.3*'energy base (MECS)'!$F$11,TRUE))</f>
        <v/>
      </c>
      <c r="BU19" s="68">
        <f t="array" ref="BU19">IF($D19,SUMPRODUCT((economics!$AG$2:$AG$167=$B19)*(economics!$D$2:$D$167="whr")*economics!$AH$2:$AH$167*_xlfn.NORM.DIST(BU$3,economics!$AK$2:$AK$167,economics!$AJ$2:$AJ$167,TRUE))+$CR19*_xlfn.NORM.DIST(BU$3,$CU19,0.3*$CU19,TRUE)+$CS19*_xlfn.NORM.DIST(BU$3,$CV19,0.3*$CV19,TRUE),$CW19*_xlfn.NORM.DIST(BU$3,'energy base (MECS)'!$F$11,0.3*'energy base (MECS)'!$F$11,TRUE))</f>
        <v/>
      </c>
      <c r="BV19" s="68">
        <f t="array" ref="BV19">IF($D19,SUMPRODUCT((economics!$AG$2:$AG$167=$B19)*(economics!$D$2:$D$167="whr")*economics!$AH$2:$AH$167*_xlfn.NORM.DIST(BV$3,economics!$AK$2:$AK$167,economics!$AJ$2:$AJ$167,TRUE))+$CR19*_xlfn.NORM.DIST(BV$3,$CU19,0.3*$CU19,TRUE)+$CS19*_xlfn.NORM.DIST(BV$3,$CV19,0.3*$CV19,TRUE),$CW19*_xlfn.NORM.DIST(BV$3,'energy base (MECS)'!$F$11,0.3*'energy base (MECS)'!$F$11,TRUE))</f>
        <v/>
      </c>
      <c r="BW19" s="68">
        <f t="array" ref="BW19">IF($D19,SUMPRODUCT((economics!$AG$2:$AG$167=$B19)*(economics!$D$2:$D$167="whr")*economics!$AH$2:$AH$167*_xlfn.NORM.DIST(BW$3,economics!$AK$2:$AK$167,economics!$AJ$2:$AJ$167,TRUE))+$CR19*_xlfn.NORM.DIST(BW$3,$CU19,0.3*$CU19,TRUE)+$CS19*_xlfn.NORM.DIST(BW$3,$CV19,0.3*$CV19,TRUE),$CW19*_xlfn.NORM.DIST(BW$3,'energy base (MECS)'!$F$11,0.3*'energy base (MECS)'!$F$11,TRUE))</f>
        <v/>
      </c>
      <c r="BX19" s="68">
        <f t="array" ref="BX19">IF($D19,SUMPRODUCT((economics!$AG$2:$AG$167=$B19)*(economics!$D$2:$D$167="whr")*economics!$AH$2:$AH$167*_xlfn.NORM.DIST(BX$3,economics!$AK$2:$AK$167,economics!$AJ$2:$AJ$167,TRUE))+$CR19*_xlfn.NORM.DIST(BX$3,$CU19,0.3*$CU19,TRUE)+$CS19*_xlfn.NORM.DIST(BX$3,$CV19,0.3*$CV19,TRUE),$CW19*_xlfn.NORM.DIST(BX$3,'energy base (MECS)'!$F$11,0.3*'energy base (MECS)'!$F$11,TRUE))</f>
        <v/>
      </c>
      <c r="BY19" s="68">
        <f t="array" ref="BY19">IF($D19,SUMPRODUCT((economics!$AG$2:$AG$167=$B19)*(economics!$D$2:$D$167="whr")*economics!$AH$2:$AH$167*_xlfn.NORM.DIST(BY$3,economics!$AK$2:$AK$167,economics!$AJ$2:$AJ$167,TRUE))+$CR19*_xlfn.NORM.DIST(BY$3,$CU19,0.3*$CU19,TRUE)+$CS19*_xlfn.NORM.DIST(BY$3,$CV19,0.3*$CV19,TRUE),$CW19*_xlfn.NORM.DIST(BY$3,'energy base (MECS)'!$F$11,0.3*'energy base (MECS)'!$F$11,TRUE))</f>
        <v/>
      </c>
      <c r="BZ19" s="68">
        <f t="array" ref="BZ19">IF($D19,SUMPRODUCT((economics!$AG$2:$AG$167=$B19)*(economics!$D$2:$D$167="whr")*economics!$AH$2:$AH$167*_xlfn.NORM.DIST(BZ$3,economics!$AK$2:$AK$167,economics!$AJ$2:$AJ$167,TRUE))+$CR19*_xlfn.NORM.DIST(BZ$3,$CU19,0.3*$CU19,TRUE)+$CS19*_xlfn.NORM.DIST(BZ$3,$CV19,0.3*$CV19,TRUE),$CW19*_xlfn.NORM.DIST(BZ$3,'energy base (MECS)'!$F$11,0.3*'energy base (MECS)'!$F$11,TRUE))</f>
        <v/>
      </c>
      <c r="CA19" s="68">
        <f t="array" ref="CA19">IF($D19,SUMPRODUCT((economics!$AG$2:$AG$167=$B19)*(economics!$D$2:$D$167="whr")*economics!$AH$2:$AH$167*_xlfn.NORM.DIST(CA$3,economics!$AK$2:$AK$167,economics!$AJ$2:$AJ$167,TRUE))+$CR19*_xlfn.NORM.DIST(CA$3,$CU19,0.3*$CU19,TRUE)+$CS19*_xlfn.NORM.DIST(CA$3,$CV19,0.3*$CV19,TRUE),$CW19*_xlfn.NORM.DIST(CA$3,'energy base (MECS)'!$F$11,0.3*'energy base (MECS)'!$F$11,TRUE))</f>
        <v/>
      </c>
      <c r="CB19" s="68">
        <f t="array" ref="CB19">IF($D19,SUMPRODUCT((economics!$AG$2:$AG$167=$B19)*(economics!$D$2:$D$167="whr")*economics!$AH$2:$AH$167*_xlfn.NORM.DIST(CB$3,economics!$AK$2:$AK$167,economics!$AJ$2:$AJ$167,TRUE))+$CR19*_xlfn.NORM.DIST(CB$3,$CU19,0.3*$CU19,TRUE)+$CS19*_xlfn.NORM.DIST(CB$3,$CV19,0.3*$CV19,TRUE),$CW19*_xlfn.NORM.DIST(CB$3,'energy base (MECS)'!$F$11,0.3*'energy base (MECS)'!$F$11,TRUE))</f>
        <v/>
      </c>
      <c r="CC19" s="68">
        <f t="array" ref="CC19">IF($D19,SUMPRODUCT((economics!$AG$2:$AG$167=$B19)*(economics!$D$2:$D$167="whr")*economics!$AH$2:$AH$167*_xlfn.NORM.DIST(CC$3,economics!$AK$2:$AK$167,economics!$AJ$2:$AJ$167,TRUE))+$CR19*_xlfn.NORM.DIST(CC$3,$CU19,0.3*$CU19,TRUE)+$CS19*_xlfn.NORM.DIST(CC$3,$CV19,0.3*$CV19,TRUE),$CW19*_xlfn.NORM.DIST(CC$3,'energy base (MECS)'!$F$11,0.3*'energy base (MECS)'!$F$11,TRUE))</f>
        <v/>
      </c>
      <c r="CD19" s="68">
        <f t="array" ref="CD19">IF($D19,SUMPRODUCT((economics!$AG$2:$AG$167=$B19)*(economics!$D$2:$D$167="whr")*economics!$AH$2:$AH$167*_xlfn.NORM.DIST(CD$3,economics!$AK$2:$AK$167,economics!$AJ$2:$AJ$167,TRUE))+$CR19*_xlfn.NORM.DIST(CD$3,$CU19,0.3*$CU19,TRUE)+$CS19*_xlfn.NORM.DIST(CD$3,$CV19,0.3*$CV19,TRUE),$CW19*_xlfn.NORM.DIST(CD$3,'energy base (MECS)'!$F$11,0.3*'energy base (MECS)'!$F$11,TRUE))</f>
        <v/>
      </c>
      <c r="CE19" s="68">
        <f t="array" ref="CE19">IF($D19,SUMPRODUCT((economics!$AG$2:$AG$167=$B19)*(economics!$D$2:$D$167="whr")*economics!$AH$2:$AH$167*_xlfn.NORM.DIST(CE$3,economics!$AK$2:$AK$167,economics!$AJ$2:$AJ$167,TRUE))+$CR19*_xlfn.NORM.DIST(CE$3,$CU19,0.3*$CU19,TRUE)+$CS19*_xlfn.NORM.DIST(CE$3,$CV19,0.3*$CV19,TRUE),$CW19*_xlfn.NORM.DIST(CE$3,'energy base (MECS)'!$F$11,0.3*'energy base (MECS)'!$F$11,TRUE))</f>
        <v/>
      </c>
      <c r="CF19" s="68">
        <f t="array" ref="CF19">IF($D19,SUMPRODUCT((economics!$AG$2:$AG$167=$B19)*(economics!$D$2:$D$167="whr")*economics!$AH$2:$AH$167*_xlfn.NORM.DIST(CF$3,economics!$AK$2:$AK$167,economics!$AJ$2:$AJ$167,TRUE))+$CR19*_xlfn.NORM.DIST(CF$3,$CU19,0.3*$CU19,TRUE)+$CS19*_xlfn.NORM.DIST(CF$3,$CV19,0.3*$CV19,TRUE),$CW19*_xlfn.NORM.DIST(CF$3,'energy base (MECS)'!$F$11,0.3*'energy base (MECS)'!$F$11,TRUE))</f>
        <v/>
      </c>
      <c r="CG19" s="68">
        <f t="array" ref="CG19">IF($D19,SUMPRODUCT((economics!$AG$2:$AG$167=$B19)*(economics!$D$2:$D$167="whr")*economics!$AH$2:$AH$167*_xlfn.NORM.DIST(CG$3,economics!$AK$2:$AK$167,economics!$AJ$2:$AJ$167,TRUE))+$CR19*_xlfn.NORM.DIST(CG$3,$CU19,0.3*$CU19,TRUE)+$CS19*_xlfn.NORM.DIST(CG$3,$CV19,0.3*$CV19,TRUE),$CW19*_xlfn.NORM.DIST(CG$3,'energy base (MECS)'!$F$11,0.3*'energy base (MECS)'!$F$11,TRUE))</f>
        <v/>
      </c>
      <c r="CH19" s="68">
        <f t="array" ref="CH19">IF($D19,SUMPRODUCT((economics!$AG$2:$AG$167=$B19)*(economics!$D$2:$D$167="whr")*economics!$AH$2:$AH$167*_xlfn.NORM.DIST(CH$3,economics!$AK$2:$AK$167,economics!$AJ$2:$AJ$167,TRUE))+$CR19*_xlfn.NORM.DIST(CH$3,$CU19,0.3*$CU19,TRUE)+$CS19*_xlfn.NORM.DIST(CH$3,$CV19,0.3*$CV19,TRUE),$CW19*_xlfn.NORM.DIST(CH$3,'energy base (MECS)'!$F$11,0.3*'energy base (MECS)'!$F$11,TRUE))</f>
        <v/>
      </c>
      <c r="CJ19">
        <f t="array" ref="CJ19">SUMPRODUCT((economics!$AG$2:$AG$167=$B19)*(economics!$D$2:$D$167="whr")*economics!$AH$2:$AH$167)</f>
        <v/>
      </c>
      <c r="CK19" s="80">
        <f>'indst heat consumption'!D19</f>
        <v/>
      </c>
      <c r="CL19" s="80">
        <f>'indst heat consumption'!E19</f>
        <v/>
      </c>
      <c r="CM19" s="80">
        <f>'indst heat consumption'!F19</f>
        <v/>
      </c>
      <c r="CN19" s="80">
        <f>'indst heat consumption'!G19</f>
        <v/>
      </c>
      <c r="CO19" s="80">
        <f>'indst heat consumption'!H19</f>
        <v/>
      </c>
      <c r="CP19">
        <f>$C19*(CK19*summary!$B$94+CL19*summary!$C$94+CM19*summary!$D$94)</f>
        <v/>
      </c>
      <c r="CQ19">
        <f>$C19*(CN19*summary!$E$94+CO19*summary!$F$94)</f>
        <v/>
      </c>
      <c r="CR19">
        <f>IF(CP19+CQ19&gt;0,CP19*MAX(0,CP19+CQ19-CJ19)/(CP19+CQ19),0)</f>
        <v/>
      </c>
      <c r="CS19">
        <f>IF(CP19+CQ19&gt;0,CQ19*MAX(0,CP19+CQ19-CJ19)/(CP19+CQ19),0)</f>
        <v/>
      </c>
      <c r="CT19">
        <f>IFERROR(_xlfn.XLOOKUP($B19,'BCoISC-WACCbI'!$C$2:$C$26,'BCoISC-WACCbI'!$B$2:$B$26)+economics!$AE$4,0.1)</f>
        <v/>
      </c>
      <c r="CU19">
        <f>(summary!$C$7*(CT19/(1-(1+CT19)^-summary!$D$7))+summary!$C$7*summary!$E$7)/(summary!$F$7*3412/1000000)</f>
        <v/>
      </c>
      <c r="CV19">
        <f>(summary!$C$6*(CT19/(1-(1+CT19)^-summary!$D$6))+summary!$C$6*summary!$E$6)/(summary!$F$6*3412/1000000)</f>
        <v/>
      </c>
      <c r="CW19">
        <f>CR19+CS19</f>
        <v/>
      </c>
    </row>
    <row r="20">
      <c r="A20">
        <f>WHRPbI!A18</f>
        <v/>
      </c>
      <c r="B20" t="n">
        <v>26</v>
      </c>
      <c r="C20" s="68">
        <f>WHRPbI!B18</f>
        <v/>
      </c>
      <c r="D20">
        <f>ISNUMBER(MATCH($B20,'energy base (MECS)'!$K$4:$K$9,0))</f>
        <v/>
      </c>
      <c r="E20" s="68">
        <f t="array" ref="E20">IF($D20,SUMPRODUCT((economics!$AG$2:$AG$167=$B20)*(economics!$D$2:$D$167="whr")*economics!$AH$2:$AH$167*_xlfn.NORM.DIST(E$3,economics!$AK$2:$AK$167,economics!$AJ$2:$AJ$167,TRUE))+$CR20*_xlfn.NORM.DIST(E$3,$CU20,0.3*$CU20,TRUE)+$CS20*_xlfn.NORM.DIST(E$3,$CV20,0.3*$CV20,TRUE),$CW20*_xlfn.NORM.DIST(E$3,'energy base (MECS)'!$F$11,0.3*'energy base (MECS)'!$F$11,TRUE))</f>
        <v/>
      </c>
      <c r="F20" s="68">
        <f t="array" ref="F20">IF($D20,SUMPRODUCT((economics!$AG$2:$AG$167=$B20)*(economics!$D$2:$D$167="whr")*economics!$AH$2:$AH$167*_xlfn.NORM.DIST(F$3,economics!$AK$2:$AK$167,economics!$AJ$2:$AJ$167,TRUE))+$CR20*_xlfn.NORM.DIST(F$3,$CU20,0.3*$CU20,TRUE)+$CS20*_xlfn.NORM.DIST(F$3,$CV20,0.3*$CV20,TRUE),$CW20*_xlfn.NORM.DIST(F$3,'energy base (MECS)'!$F$11,0.3*'energy base (MECS)'!$F$11,TRUE))</f>
        <v/>
      </c>
      <c r="G20" s="68">
        <f t="array" ref="G20">IF($D20,SUMPRODUCT((economics!$AG$2:$AG$167=$B20)*(economics!$D$2:$D$167="whr")*economics!$AH$2:$AH$167*_xlfn.NORM.DIST(G$3,economics!$AK$2:$AK$167,economics!$AJ$2:$AJ$167,TRUE))+$CR20*_xlfn.NORM.DIST(G$3,$CU20,0.3*$CU20,TRUE)+$CS20*_xlfn.NORM.DIST(G$3,$CV20,0.3*$CV20,TRUE),$CW20*_xlfn.NORM.DIST(G$3,'energy base (MECS)'!$F$11,0.3*'energy base (MECS)'!$F$11,TRUE))</f>
        <v/>
      </c>
      <c r="H20" s="68">
        <f t="array" ref="H20">IF($D20,SUMPRODUCT((economics!$AG$2:$AG$167=$B20)*(economics!$D$2:$D$167="whr")*economics!$AH$2:$AH$167*_xlfn.NORM.DIST(H$3,economics!$AK$2:$AK$167,economics!$AJ$2:$AJ$167,TRUE))+$CR20*_xlfn.NORM.DIST(H$3,$CU20,0.3*$CU20,TRUE)+$CS20*_xlfn.NORM.DIST(H$3,$CV20,0.3*$CV20,TRUE),$CW20*_xlfn.NORM.DIST(H$3,'energy base (MECS)'!$F$11,0.3*'energy base (MECS)'!$F$11,TRUE))</f>
        <v/>
      </c>
      <c r="I20" s="68">
        <f t="array" ref="I20">IF($D20,SUMPRODUCT((economics!$AG$2:$AG$167=$B20)*(economics!$D$2:$D$167="whr")*economics!$AH$2:$AH$167*_xlfn.NORM.DIST(I$3,economics!$AK$2:$AK$167,economics!$AJ$2:$AJ$167,TRUE))+$CR20*_xlfn.NORM.DIST(I$3,$CU20,0.3*$CU20,TRUE)+$CS20*_xlfn.NORM.DIST(I$3,$CV20,0.3*$CV20,TRUE),$CW20*_xlfn.NORM.DIST(I$3,'energy base (MECS)'!$F$11,0.3*'energy base (MECS)'!$F$11,TRUE))</f>
        <v/>
      </c>
      <c r="J20" s="68">
        <f t="array" ref="J20">IF($D20,SUMPRODUCT((economics!$AG$2:$AG$167=$B20)*(economics!$D$2:$D$167="whr")*economics!$AH$2:$AH$167*_xlfn.NORM.DIST(J$3,economics!$AK$2:$AK$167,economics!$AJ$2:$AJ$167,TRUE))+$CR20*_xlfn.NORM.DIST(J$3,$CU20,0.3*$CU20,TRUE)+$CS20*_xlfn.NORM.DIST(J$3,$CV20,0.3*$CV20,TRUE),$CW20*_xlfn.NORM.DIST(J$3,'energy base (MECS)'!$F$11,0.3*'energy base (MECS)'!$F$11,TRUE))</f>
        <v/>
      </c>
      <c r="K20" s="68">
        <f t="array" ref="K20">IF($D20,SUMPRODUCT((economics!$AG$2:$AG$167=$B20)*(economics!$D$2:$D$167="whr")*economics!$AH$2:$AH$167*_xlfn.NORM.DIST(K$3,economics!$AK$2:$AK$167,economics!$AJ$2:$AJ$167,TRUE))+$CR20*_xlfn.NORM.DIST(K$3,$CU20,0.3*$CU20,TRUE)+$CS20*_xlfn.NORM.DIST(K$3,$CV20,0.3*$CV20,TRUE),$CW20*_xlfn.NORM.DIST(K$3,'energy base (MECS)'!$F$11,0.3*'energy base (MECS)'!$F$11,TRUE))</f>
        <v/>
      </c>
      <c r="L20" s="68">
        <f t="array" ref="L20">IF($D20,SUMPRODUCT((economics!$AG$2:$AG$167=$B20)*(economics!$D$2:$D$167="whr")*economics!$AH$2:$AH$167*_xlfn.NORM.DIST(L$3,economics!$AK$2:$AK$167,economics!$AJ$2:$AJ$167,TRUE))+$CR20*_xlfn.NORM.DIST(L$3,$CU20,0.3*$CU20,TRUE)+$CS20*_xlfn.NORM.DIST(L$3,$CV20,0.3*$CV20,TRUE),$CW20*_xlfn.NORM.DIST(L$3,'energy base (MECS)'!$F$11,0.3*'energy base (MECS)'!$F$11,TRUE))</f>
        <v/>
      </c>
      <c r="M20" s="68">
        <f t="array" ref="M20">IF($D20,SUMPRODUCT((economics!$AG$2:$AG$167=$B20)*(economics!$D$2:$D$167="whr")*economics!$AH$2:$AH$167*_xlfn.NORM.DIST(M$3,economics!$AK$2:$AK$167,economics!$AJ$2:$AJ$167,TRUE))+$CR20*_xlfn.NORM.DIST(M$3,$CU20,0.3*$CU20,TRUE)+$CS20*_xlfn.NORM.DIST(M$3,$CV20,0.3*$CV20,TRUE),$CW20*_xlfn.NORM.DIST(M$3,'energy base (MECS)'!$F$11,0.3*'energy base (MECS)'!$F$11,TRUE))</f>
        <v/>
      </c>
      <c r="N20" s="68">
        <f t="array" ref="N20">IF($D20,SUMPRODUCT((economics!$AG$2:$AG$167=$B20)*(economics!$D$2:$D$167="whr")*economics!$AH$2:$AH$167*_xlfn.NORM.DIST(N$3,economics!$AK$2:$AK$167,economics!$AJ$2:$AJ$167,TRUE))+$CR20*_xlfn.NORM.DIST(N$3,$CU20,0.3*$CU20,TRUE)+$CS20*_xlfn.NORM.DIST(N$3,$CV20,0.3*$CV20,TRUE),$CW20*_xlfn.NORM.DIST(N$3,'energy base (MECS)'!$F$11,0.3*'energy base (MECS)'!$F$11,TRUE))</f>
        <v/>
      </c>
      <c r="O20" s="68">
        <f t="array" ref="O20">IF($D20,SUMPRODUCT((economics!$AG$2:$AG$167=$B20)*(economics!$D$2:$D$167="whr")*economics!$AH$2:$AH$167*_xlfn.NORM.DIST(O$3,economics!$AK$2:$AK$167,economics!$AJ$2:$AJ$167,TRUE))+$CR20*_xlfn.NORM.DIST(O$3,$CU20,0.3*$CU20,TRUE)+$CS20*_xlfn.NORM.DIST(O$3,$CV20,0.3*$CV20,TRUE),$CW20*_xlfn.NORM.DIST(O$3,'energy base (MECS)'!$F$11,0.3*'energy base (MECS)'!$F$11,TRUE))</f>
        <v/>
      </c>
      <c r="P20" s="68">
        <f t="array" ref="P20">IF($D20,SUMPRODUCT((economics!$AG$2:$AG$167=$B20)*(economics!$D$2:$D$167="whr")*economics!$AH$2:$AH$167*_xlfn.NORM.DIST(P$3,economics!$AK$2:$AK$167,economics!$AJ$2:$AJ$167,TRUE))+$CR20*_xlfn.NORM.DIST(P$3,$CU20,0.3*$CU20,TRUE)+$CS20*_xlfn.NORM.DIST(P$3,$CV20,0.3*$CV20,TRUE),$CW20*_xlfn.NORM.DIST(P$3,'energy base (MECS)'!$F$11,0.3*'energy base (MECS)'!$F$11,TRUE))</f>
        <v/>
      </c>
      <c r="Q20" s="68">
        <f t="array" ref="Q20">IF($D20,SUMPRODUCT((economics!$AG$2:$AG$167=$B20)*(economics!$D$2:$D$167="whr")*economics!$AH$2:$AH$167*_xlfn.NORM.DIST(Q$3,economics!$AK$2:$AK$167,economics!$AJ$2:$AJ$167,TRUE))+$CR20*_xlfn.NORM.DIST(Q$3,$CU20,0.3*$CU20,TRUE)+$CS20*_xlfn.NORM.DIST(Q$3,$CV20,0.3*$CV20,TRUE),$CW20*_xlfn.NORM.DIST(Q$3,'energy base (MECS)'!$F$11,0.3*'energy base (MECS)'!$F$11,TRUE))</f>
        <v/>
      </c>
      <c r="R20" s="68">
        <f t="array" ref="R20">IF($D20,SUMPRODUCT((economics!$AG$2:$AG$167=$B20)*(economics!$D$2:$D$167="whr")*economics!$AH$2:$AH$167*_xlfn.NORM.DIST(R$3,economics!$AK$2:$AK$167,economics!$AJ$2:$AJ$167,TRUE))+$CR20*_xlfn.NORM.DIST(R$3,$CU20,0.3*$CU20,TRUE)+$CS20*_xlfn.NORM.DIST(R$3,$CV20,0.3*$CV20,TRUE),$CW20*_xlfn.NORM.DIST(R$3,'energy base (MECS)'!$F$11,0.3*'energy base (MECS)'!$F$11,TRUE))</f>
        <v/>
      </c>
      <c r="S20" s="68">
        <f t="array" ref="S20">IF($D20,SUMPRODUCT((economics!$AG$2:$AG$167=$B20)*(economics!$D$2:$D$167="whr")*economics!$AH$2:$AH$167*_xlfn.NORM.DIST(S$3,economics!$AK$2:$AK$167,economics!$AJ$2:$AJ$167,TRUE))+$CR20*_xlfn.NORM.DIST(S$3,$CU20,0.3*$CU20,TRUE)+$CS20*_xlfn.NORM.DIST(S$3,$CV20,0.3*$CV20,TRUE),$CW20*_xlfn.NORM.DIST(S$3,'energy base (MECS)'!$F$11,0.3*'energy base (MECS)'!$F$11,TRUE))</f>
        <v/>
      </c>
      <c r="T20" s="68">
        <f t="array" ref="T20">IF($D20,SUMPRODUCT((economics!$AG$2:$AG$167=$B20)*(economics!$D$2:$D$167="whr")*economics!$AH$2:$AH$167*_xlfn.NORM.DIST(T$3,economics!$AK$2:$AK$167,economics!$AJ$2:$AJ$167,TRUE))+$CR20*_xlfn.NORM.DIST(T$3,$CU20,0.3*$CU20,TRUE)+$CS20*_xlfn.NORM.DIST(T$3,$CV20,0.3*$CV20,TRUE),$CW20*_xlfn.NORM.DIST(T$3,'energy base (MECS)'!$F$11,0.3*'energy base (MECS)'!$F$11,TRUE))</f>
        <v/>
      </c>
      <c r="U20" s="68">
        <f t="array" ref="U20">IF($D20,SUMPRODUCT((economics!$AG$2:$AG$167=$B20)*(economics!$D$2:$D$167="whr")*economics!$AH$2:$AH$167*_xlfn.NORM.DIST(U$3,economics!$AK$2:$AK$167,economics!$AJ$2:$AJ$167,TRUE))+$CR20*_xlfn.NORM.DIST(U$3,$CU20,0.3*$CU20,TRUE)+$CS20*_xlfn.NORM.DIST(U$3,$CV20,0.3*$CV20,TRUE),$CW20*_xlfn.NORM.DIST(U$3,'energy base (MECS)'!$F$11,0.3*'energy base (MECS)'!$F$11,TRUE))</f>
        <v/>
      </c>
      <c r="V20" s="68">
        <f t="array" ref="V20">IF($D20,SUMPRODUCT((economics!$AG$2:$AG$167=$B20)*(economics!$D$2:$D$167="whr")*economics!$AH$2:$AH$167*_xlfn.NORM.DIST(V$3,economics!$AK$2:$AK$167,economics!$AJ$2:$AJ$167,TRUE))+$CR20*_xlfn.NORM.DIST(V$3,$CU20,0.3*$CU20,TRUE)+$CS20*_xlfn.NORM.DIST(V$3,$CV20,0.3*$CV20,TRUE),$CW20*_xlfn.NORM.DIST(V$3,'energy base (MECS)'!$F$11,0.3*'energy base (MECS)'!$F$11,TRUE))</f>
        <v/>
      </c>
      <c r="W20" s="68">
        <f t="array" ref="W20">IF($D20,SUMPRODUCT((economics!$AG$2:$AG$167=$B20)*(economics!$D$2:$D$167="whr")*economics!$AH$2:$AH$167*_xlfn.NORM.DIST(W$3,economics!$AK$2:$AK$167,economics!$AJ$2:$AJ$167,TRUE))+$CR20*_xlfn.NORM.DIST(W$3,$CU20,0.3*$CU20,TRUE)+$CS20*_xlfn.NORM.DIST(W$3,$CV20,0.3*$CV20,TRUE),$CW20*_xlfn.NORM.DIST(W$3,'energy base (MECS)'!$F$11,0.3*'energy base (MECS)'!$F$11,TRUE))</f>
        <v/>
      </c>
      <c r="X20" s="68">
        <f t="array" ref="X20">IF($D20,SUMPRODUCT((economics!$AG$2:$AG$167=$B20)*(economics!$D$2:$D$167="whr")*economics!$AH$2:$AH$167*_xlfn.NORM.DIST(X$3,economics!$AK$2:$AK$167,economics!$AJ$2:$AJ$167,TRUE))+$CR20*_xlfn.NORM.DIST(X$3,$CU20,0.3*$CU20,TRUE)+$CS20*_xlfn.NORM.DIST(X$3,$CV20,0.3*$CV20,TRUE),$CW20*_xlfn.NORM.DIST(X$3,'energy base (MECS)'!$F$11,0.3*'energy base (MECS)'!$F$11,TRUE))</f>
        <v/>
      </c>
      <c r="Y20" s="68">
        <f t="array" ref="Y20">IF($D20,SUMPRODUCT((economics!$AG$2:$AG$167=$B20)*(economics!$D$2:$D$167="whr")*economics!$AH$2:$AH$167*_xlfn.NORM.DIST(Y$3,economics!$AK$2:$AK$167,economics!$AJ$2:$AJ$167,TRUE))+$CR20*_xlfn.NORM.DIST(Y$3,$CU20,0.3*$CU20,TRUE)+$CS20*_xlfn.NORM.DIST(Y$3,$CV20,0.3*$CV20,TRUE),$CW20*_xlfn.NORM.DIST(Y$3,'energy base (MECS)'!$F$11,0.3*'energy base (MECS)'!$F$11,TRUE))</f>
        <v/>
      </c>
      <c r="Z20" s="68">
        <f t="array" ref="Z20">IF($D20,SUMPRODUCT((economics!$AG$2:$AG$167=$B20)*(economics!$D$2:$D$167="whr")*economics!$AH$2:$AH$167*_xlfn.NORM.DIST(Z$3,economics!$AK$2:$AK$167,economics!$AJ$2:$AJ$167,TRUE))+$CR20*_xlfn.NORM.DIST(Z$3,$CU20,0.3*$CU20,TRUE)+$CS20*_xlfn.NORM.DIST(Z$3,$CV20,0.3*$CV20,TRUE),$CW20*_xlfn.NORM.DIST(Z$3,'energy base (MECS)'!$F$11,0.3*'energy base (MECS)'!$F$11,TRUE))</f>
        <v/>
      </c>
      <c r="AA20" s="68">
        <f t="array" ref="AA20">IF($D20,SUMPRODUCT((economics!$AG$2:$AG$167=$B20)*(economics!$D$2:$D$167="whr")*economics!$AH$2:$AH$167*_xlfn.NORM.DIST(AA$3,economics!$AK$2:$AK$167,economics!$AJ$2:$AJ$167,TRUE))+$CR20*_xlfn.NORM.DIST(AA$3,$CU20,0.3*$CU20,TRUE)+$CS20*_xlfn.NORM.DIST(AA$3,$CV20,0.3*$CV20,TRUE),$CW20*_xlfn.NORM.DIST(AA$3,'energy base (MECS)'!$F$11,0.3*'energy base (MECS)'!$F$11,TRUE))</f>
        <v/>
      </c>
      <c r="AB20" s="68">
        <f t="array" ref="AB20">IF($D20,SUMPRODUCT((economics!$AG$2:$AG$167=$B20)*(economics!$D$2:$D$167="whr")*economics!$AH$2:$AH$167*_xlfn.NORM.DIST(AB$3,economics!$AK$2:$AK$167,economics!$AJ$2:$AJ$167,TRUE))+$CR20*_xlfn.NORM.DIST(AB$3,$CU20,0.3*$CU20,TRUE)+$CS20*_xlfn.NORM.DIST(AB$3,$CV20,0.3*$CV20,TRUE),$CW20*_xlfn.NORM.DIST(AB$3,'energy base (MECS)'!$F$11,0.3*'energy base (MECS)'!$F$11,TRUE))</f>
        <v/>
      </c>
      <c r="AC20" s="68">
        <f t="array" ref="AC20">IF($D20,SUMPRODUCT((economics!$AG$2:$AG$167=$B20)*(economics!$D$2:$D$167="whr")*economics!$AH$2:$AH$167*_xlfn.NORM.DIST(AC$3,economics!$AK$2:$AK$167,economics!$AJ$2:$AJ$167,TRUE))+$CR20*_xlfn.NORM.DIST(AC$3,$CU20,0.3*$CU20,TRUE)+$CS20*_xlfn.NORM.DIST(AC$3,$CV20,0.3*$CV20,TRUE),$CW20*_xlfn.NORM.DIST(AC$3,'energy base (MECS)'!$F$11,0.3*'energy base (MECS)'!$F$11,TRUE))</f>
        <v/>
      </c>
      <c r="AD20" s="68">
        <f t="array" ref="AD20">IF($D20,SUMPRODUCT((economics!$AG$2:$AG$167=$B20)*(economics!$D$2:$D$167="whr")*economics!$AH$2:$AH$167*_xlfn.NORM.DIST(AD$3,economics!$AK$2:$AK$167,economics!$AJ$2:$AJ$167,TRUE))+$CR20*_xlfn.NORM.DIST(AD$3,$CU20,0.3*$CU20,TRUE)+$CS20*_xlfn.NORM.DIST(AD$3,$CV20,0.3*$CV20,TRUE),$CW20*_xlfn.NORM.DIST(AD$3,'energy base (MECS)'!$F$11,0.3*'energy base (MECS)'!$F$11,TRUE))</f>
        <v/>
      </c>
      <c r="AE20" s="68">
        <f t="array" ref="AE20">IF($D20,SUMPRODUCT((economics!$AG$2:$AG$167=$B20)*(economics!$D$2:$D$167="whr")*economics!$AH$2:$AH$167*_xlfn.NORM.DIST(AE$3,economics!$AK$2:$AK$167,economics!$AJ$2:$AJ$167,TRUE))+$CR20*_xlfn.NORM.DIST(AE$3,$CU20,0.3*$CU20,TRUE)+$CS20*_xlfn.NORM.DIST(AE$3,$CV20,0.3*$CV20,TRUE),$CW20*_xlfn.NORM.DIST(AE$3,'energy base (MECS)'!$F$11,0.3*'energy base (MECS)'!$F$11,TRUE))</f>
        <v/>
      </c>
      <c r="AF20" s="68">
        <f t="array" ref="AF20">IF($D20,SUMPRODUCT((economics!$AG$2:$AG$167=$B20)*(economics!$D$2:$D$167="whr")*economics!$AH$2:$AH$167*_xlfn.NORM.DIST(AF$3,economics!$AK$2:$AK$167,economics!$AJ$2:$AJ$167,TRUE))+$CR20*_xlfn.NORM.DIST(AF$3,$CU20,0.3*$CU20,TRUE)+$CS20*_xlfn.NORM.DIST(AF$3,$CV20,0.3*$CV20,TRUE),$CW20*_xlfn.NORM.DIST(AF$3,'energy base (MECS)'!$F$11,0.3*'energy base (MECS)'!$F$11,TRUE))</f>
        <v/>
      </c>
      <c r="AG20" s="68">
        <f t="array" ref="AG20">IF($D20,SUMPRODUCT((economics!$AG$2:$AG$167=$B20)*(economics!$D$2:$D$167="whr")*economics!$AH$2:$AH$167*_xlfn.NORM.DIST(AG$3,economics!$AK$2:$AK$167,economics!$AJ$2:$AJ$167,TRUE))+$CR20*_xlfn.NORM.DIST(AG$3,$CU20,0.3*$CU20,TRUE)+$CS20*_xlfn.NORM.DIST(AG$3,$CV20,0.3*$CV20,TRUE),$CW20*_xlfn.NORM.DIST(AG$3,'energy base (MECS)'!$F$11,0.3*'energy base (MECS)'!$F$11,TRUE))</f>
        <v/>
      </c>
      <c r="AH20" s="68">
        <f t="array" ref="AH20">IF($D20,SUMPRODUCT((economics!$AG$2:$AG$167=$B20)*(economics!$D$2:$D$167="whr")*economics!$AH$2:$AH$167*_xlfn.NORM.DIST(AH$3,economics!$AK$2:$AK$167,economics!$AJ$2:$AJ$167,TRUE))+$CR20*_xlfn.NORM.DIST(AH$3,$CU20,0.3*$CU20,TRUE)+$CS20*_xlfn.NORM.DIST(AH$3,$CV20,0.3*$CV20,TRUE),$CW20*_xlfn.NORM.DIST(AH$3,'energy base (MECS)'!$F$11,0.3*'energy base (MECS)'!$F$11,TRUE))</f>
        <v/>
      </c>
      <c r="AI20" s="68">
        <f t="array" ref="AI20">IF($D20,SUMPRODUCT((economics!$AG$2:$AG$167=$B20)*(economics!$D$2:$D$167="whr")*economics!$AH$2:$AH$167*_xlfn.NORM.DIST(AI$3,economics!$AK$2:$AK$167,economics!$AJ$2:$AJ$167,TRUE))+$CR20*_xlfn.NORM.DIST(AI$3,$CU20,0.3*$CU20,TRUE)+$CS20*_xlfn.NORM.DIST(AI$3,$CV20,0.3*$CV20,TRUE),$CW20*_xlfn.NORM.DIST(AI$3,'energy base (MECS)'!$F$11,0.3*'energy base (MECS)'!$F$11,TRUE))</f>
        <v/>
      </c>
      <c r="AJ20" s="68">
        <f t="array" ref="AJ20">IF($D20,SUMPRODUCT((economics!$AG$2:$AG$167=$B20)*(economics!$D$2:$D$167="whr")*economics!$AH$2:$AH$167*_xlfn.NORM.DIST(AJ$3,economics!$AK$2:$AK$167,economics!$AJ$2:$AJ$167,TRUE))+$CR20*_xlfn.NORM.DIST(AJ$3,$CU20,0.3*$CU20,TRUE)+$CS20*_xlfn.NORM.DIST(AJ$3,$CV20,0.3*$CV20,TRUE),$CW20*_xlfn.NORM.DIST(AJ$3,'energy base (MECS)'!$F$11,0.3*'energy base (MECS)'!$F$11,TRUE))</f>
        <v/>
      </c>
      <c r="AK20" s="68">
        <f t="array" ref="AK20">IF($D20,SUMPRODUCT((economics!$AG$2:$AG$167=$B20)*(economics!$D$2:$D$167="whr")*economics!$AH$2:$AH$167*_xlfn.NORM.DIST(AK$3,economics!$AK$2:$AK$167,economics!$AJ$2:$AJ$167,TRUE))+$CR20*_xlfn.NORM.DIST(AK$3,$CU20,0.3*$CU20,TRUE)+$CS20*_xlfn.NORM.DIST(AK$3,$CV20,0.3*$CV20,TRUE),$CW20*_xlfn.NORM.DIST(AK$3,'energy base (MECS)'!$F$11,0.3*'energy base (MECS)'!$F$11,TRUE))</f>
        <v/>
      </c>
      <c r="AL20" s="68">
        <f t="array" ref="AL20">IF($D20,SUMPRODUCT((economics!$AG$2:$AG$167=$B20)*(economics!$D$2:$D$167="whr")*economics!$AH$2:$AH$167*_xlfn.NORM.DIST(AL$3,economics!$AK$2:$AK$167,economics!$AJ$2:$AJ$167,TRUE))+$CR20*_xlfn.NORM.DIST(AL$3,$CU20,0.3*$CU20,TRUE)+$CS20*_xlfn.NORM.DIST(AL$3,$CV20,0.3*$CV20,TRUE),$CW20*_xlfn.NORM.DIST(AL$3,'energy base (MECS)'!$F$11,0.3*'energy base (MECS)'!$F$11,TRUE))</f>
        <v/>
      </c>
      <c r="AM20" s="68">
        <f t="array" ref="AM20">IF($D20,SUMPRODUCT((economics!$AG$2:$AG$167=$B20)*(economics!$D$2:$D$167="whr")*economics!$AH$2:$AH$167*_xlfn.NORM.DIST(AM$3,economics!$AK$2:$AK$167,economics!$AJ$2:$AJ$167,TRUE))+$CR20*_xlfn.NORM.DIST(AM$3,$CU20,0.3*$CU20,TRUE)+$CS20*_xlfn.NORM.DIST(AM$3,$CV20,0.3*$CV20,TRUE),$CW20*_xlfn.NORM.DIST(AM$3,'energy base (MECS)'!$F$11,0.3*'energy base (MECS)'!$F$11,TRUE))</f>
        <v/>
      </c>
      <c r="AN20" s="68">
        <f t="array" ref="AN20">IF($D20,SUMPRODUCT((economics!$AG$2:$AG$167=$B20)*(economics!$D$2:$D$167="whr")*economics!$AH$2:$AH$167*_xlfn.NORM.DIST(AN$3,economics!$AK$2:$AK$167,economics!$AJ$2:$AJ$167,TRUE))+$CR20*_xlfn.NORM.DIST(AN$3,$CU20,0.3*$CU20,TRUE)+$CS20*_xlfn.NORM.DIST(AN$3,$CV20,0.3*$CV20,TRUE),$CW20*_xlfn.NORM.DIST(AN$3,'energy base (MECS)'!$F$11,0.3*'energy base (MECS)'!$F$11,TRUE))</f>
        <v/>
      </c>
      <c r="AO20" s="68">
        <f t="array" ref="AO20">IF($D20,SUMPRODUCT((economics!$AG$2:$AG$167=$B20)*(economics!$D$2:$D$167="whr")*economics!$AH$2:$AH$167*_xlfn.NORM.DIST(AO$3,economics!$AK$2:$AK$167,economics!$AJ$2:$AJ$167,TRUE))+$CR20*_xlfn.NORM.DIST(AO$3,$CU20,0.3*$CU20,TRUE)+$CS20*_xlfn.NORM.DIST(AO$3,$CV20,0.3*$CV20,TRUE),$CW20*_xlfn.NORM.DIST(AO$3,'energy base (MECS)'!$F$11,0.3*'energy base (MECS)'!$F$11,TRUE))</f>
        <v/>
      </c>
      <c r="AP20" s="68">
        <f t="array" ref="AP20">IF($D20,SUMPRODUCT((economics!$AG$2:$AG$167=$B20)*(economics!$D$2:$D$167="whr")*economics!$AH$2:$AH$167*_xlfn.NORM.DIST(AP$3,economics!$AK$2:$AK$167,economics!$AJ$2:$AJ$167,TRUE))+$CR20*_xlfn.NORM.DIST(AP$3,$CU20,0.3*$CU20,TRUE)+$CS20*_xlfn.NORM.DIST(AP$3,$CV20,0.3*$CV20,TRUE),$CW20*_xlfn.NORM.DIST(AP$3,'energy base (MECS)'!$F$11,0.3*'energy base (MECS)'!$F$11,TRUE))</f>
        <v/>
      </c>
      <c r="AQ20" s="68">
        <f t="array" ref="AQ20">IF($D20,SUMPRODUCT((economics!$AG$2:$AG$167=$B20)*(economics!$D$2:$D$167="whr")*economics!$AH$2:$AH$167*_xlfn.NORM.DIST(AQ$3,economics!$AK$2:$AK$167,economics!$AJ$2:$AJ$167,TRUE))+$CR20*_xlfn.NORM.DIST(AQ$3,$CU20,0.3*$CU20,TRUE)+$CS20*_xlfn.NORM.DIST(AQ$3,$CV20,0.3*$CV20,TRUE),$CW20*_xlfn.NORM.DIST(AQ$3,'energy base (MECS)'!$F$11,0.3*'energy base (MECS)'!$F$11,TRUE))</f>
        <v/>
      </c>
      <c r="AR20" s="68">
        <f t="array" ref="AR20">IF($D20,SUMPRODUCT((economics!$AG$2:$AG$167=$B20)*(economics!$D$2:$D$167="whr")*economics!$AH$2:$AH$167*_xlfn.NORM.DIST(AR$3,economics!$AK$2:$AK$167,economics!$AJ$2:$AJ$167,TRUE))+$CR20*_xlfn.NORM.DIST(AR$3,$CU20,0.3*$CU20,TRUE)+$CS20*_xlfn.NORM.DIST(AR$3,$CV20,0.3*$CV20,TRUE),$CW20*_xlfn.NORM.DIST(AR$3,'energy base (MECS)'!$F$11,0.3*'energy base (MECS)'!$F$11,TRUE))</f>
        <v/>
      </c>
      <c r="AS20" s="68">
        <f t="array" ref="AS20">IF($D20,SUMPRODUCT((economics!$AG$2:$AG$167=$B20)*(economics!$D$2:$D$167="whr")*economics!$AH$2:$AH$167*_xlfn.NORM.DIST(AS$3,economics!$AK$2:$AK$167,economics!$AJ$2:$AJ$167,TRUE))+$CR20*_xlfn.NORM.DIST(AS$3,$CU20,0.3*$CU20,TRUE)+$CS20*_xlfn.NORM.DIST(AS$3,$CV20,0.3*$CV20,TRUE),$CW20*_xlfn.NORM.DIST(AS$3,'energy base (MECS)'!$F$11,0.3*'energy base (MECS)'!$F$11,TRUE))</f>
        <v/>
      </c>
      <c r="AT20" s="68">
        <f t="array" ref="AT20">IF($D20,SUMPRODUCT((economics!$AG$2:$AG$167=$B20)*(economics!$D$2:$D$167="whr")*economics!$AH$2:$AH$167*_xlfn.NORM.DIST(AT$3,economics!$AK$2:$AK$167,economics!$AJ$2:$AJ$167,TRUE))+$CR20*_xlfn.NORM.DIST(AT$3,$CU20,0.3*$CU20,TRUE)+$CS20*_xlfn.NORM.DIST(AT$3,$CV20,0.3*$CV20,TRUE),$CW20*_xlfn.NORM.DIST(AT$3,'energy base (MECS)'!$F$11,0.3*'energy base (MECS)'!$F$11,TRUE))</f>
        <v/>
      </c>
      <c r="AU20" s="68">
        <f t="array" ref="AU20">IF($D20,SUMPRODUCT((economics!$AG$2:$AG$167=$B20)*(economics!$D$2:$D$167="whr")*economics!$AH$2:$AH$167*_xlfn.NORM.DIST(AU$3,economics!$AK$2:$AK$167,economics!$AJ$2:$AJ$167,TRUE))+$CR20*_xlfn.NORM.DIST(AU$3,$CU20,0.3*$CU20,TRUE)+$CS20*_xlfn.NORM.DIST(AU$3,$CV20,0.3*$CV20,TRUE),$CW20*_xlfn.NORM.DIST(AU$3,'energy base (MECS)'!$F$11,0.3*'energy base (MECS)'!$F$11,TRUE))</f>
        <v/>
      </c>
      <c r="AV20" s="68">
        <f t="array" ref="AV20">IF($D20,SUMPRODUCT((economics!$AG$2:$AG$167=$B20)*(economics!$D$2:$D$167="whr")*economics!$AH$2:$AH$167*_xlfn.NORM.DIST(AV$3,economics!$AK$2:$AK$167,economics!$AJ$2:$AJ$167,TRUE))+$CR20*_xlfn.NORM.DIST(AV$3,$CU20,0.3*$CU20,TRUE)+$CS20*_xlfn.NORM.DIST(AV$3,$CV20,0.3*$CV20,TRUE),$CW20*_xlfn.NORM.DIST(AV$3,'energy base (MECS)'!$F$11,0.3*'energy base (MECS)'!$F$11,TRUE))</f>
        <v/>
      </c>
      <c r="AW20" s="68">
        <f t="array" ref="AW20">IF($D20,SUMPRODUCT((economics!$AG$2:$AG$167=$B20)*(economics!$D$2:$D$167="whr")*economics!$AH$2:$AH$167*_xlfn.NORM.DIST(AW$3,economics!$AK$2:$AK$167,economics!$AJ$2:$AJ$167,TRUE))+$CR20*_xlfn.NORM.DIST(AW$3,$CU20,0.3*$CU20,TRUE)+$CS20*_xlfn.NORM.DIST(AW$3,$CV20,0.3*$CV20,TRUE),$CW20*_xlfn.NORM.DIST(AW$3,'energy base (MECS)'!$F$11,0.3*'energy base (MECS)'!$F$11,TRUE))</f>
        <v/>
      </c>
      <c r="AX20" s="68">
        <f t="array" ref="AX20">IF($D20,SUMPRODUCT((economics!$AG$2:$AG$167=$B20)*(economics!$D$2:$D$167="whr")*economics!$AH$2:$AH$167*_xlfn.NORM.DIST(AX$3,economics!$AK$2:$AK$167,economics!$AJ$2:$AJ$167,TRUE))+$CR20*_xlfn.NORM.DIST(AX$3,$CU20,0.3*$CU20,TRUE)+$CS20*_xlfn.NORM.DIST(AX$3,$CV20,0.3*$CV20,TRUE),$CW20*_xlfn.NORM.DIST(AX$3,'energy base (MECS)'!$F$11,0.3*'energy base (MECS)'!$F$11,TRUE))</f>
        <v/>
      </c>
      <c r="AY20" s="68">
        <f t="array" ref="AY20">IF($D20,SUMPRODUCT((economics!$AG$2:$AG$167=$B20)*(economics!$D$2:$D$167="whr")*economics!$AH$2:$AH$167*_xlfn.NORM.DIST(AY$3,economics!$AK$2:$AK$167,economics!$AJ$2:$AJ$167,TRUE))+$CR20*_xlfn.NORM.DIST(AY$3,$CU20,0.3*$CU20,TRUE)+$CS20*_xlfn.NORM.DIST(AY$3,$CV20,0.3*$CV20,TRUE),$CW20*_xlfn.NORM.DIST(AY$3,'energy base (MECS)'!$F$11,0.3*'energy base (MECS)'!$F$11,TRUE))</f>
        <v/>
      </c>
      <c r="AZ20" s="68">
        <f t="array" ref="AZ20">IF($D20,SUMPRODUCT((economics!$AG$2:$AG$167=$B20)*(economics!$D$2:$D$167="whr")*economics!$AH$2:$AH$167*_xlfn.NORM.DIST(AZ$3,economics!$AK$2:$AK$167,economics!$AJ$2:$AJ$167,TRUE))+$CR20*_xlfn.NORM.DIST(AZ$3,$CU20,0.3*$CU20,TRUE)+$CS20*_xlfn.NORM.DIST(AZ$3,$CV20,0.3*$CV20,TRUE),$CW20*_xlfn.NORM.DIST(AZ$3,'energy base (MECS)'!$F$11,0.3*'energy base (MECS)'!$F$11,TRUE))</f>
        <v/>
      </c>
      <c r="BA20" s="68">
        <f t="array" ref="BA20">IF($D20,SUMPRODUCT((economics!$AG$2:$AG$167=$B20)*(economics!$D$2:$D$167="whr")*economics!$AH$2:$AH$167*_xlfn.NORM.DIST(BA$3,economics!$AK$2:$AK$167,economics!$AJ$2:$AJ$167,TRUE))+$CR20*_xlfn.NORM.DIST(BA$3,$CU20,0.3*$CU20,TRUE)+$CS20*_xlfn.NORM.DIST(BA$3,$CV20,0.3*$CV20,TRUE),$CW20*_xlfn.NORM.DIST(BA$3,'energy base (MECS)'!$F$11,0.3*'energy base (MECS)'!$F$11,TRUE))</f>
        <v/>
      </c>
      <c r="BB20" s="68">
        <f t="array" ref="BB20">IF($D20,SUMPRODUCT((economics!$AG$2:$AG$167=$B20)*(economics!$D$2:$D$167="whr")*economics!$AH$2:$AH$167*_xlfn.NORM.DIST(BB$3,economics!$AK$2:$AK$167,economics!$AJ$2:$AJ$167,TRUE))+$CR20*_xlfn.NORM.DIST(BB$3,$CU20,0.3*$CU20,TRUE)+$CS20*_xlfn.NORM.DIST(BB$3,$CV20,0.3*$CV20,TRUE),$CW20*_xlfn.NORM.DIST(BB$3,'energy base (MECS)'!$F$11,0.3*'energy base (MECS)'!$F$11,TRUE))</f>
        <v/>
      </c>
      <c r="BC20" s="68">
        <f t="array" ref="BC20">IF($D20,SUMPRODUCT((economics!$AG$2:$AG$167=$B20)*(economics!$D$2:$D$167="whr")*economics!$AH$2:$AH$167*_xlfn.NORM.DIST(BC$3,economics!$AK$2:$AK$167,economics!$AJ$2:$AJ$167,TRUE))+$CR20*_xlfn.NORM.DIST(BC$3,$CU20,0.3*$CU20,TRUE)+$CS20*_xlfn.NORM.DIST(BC$3,$CV20,0.3*$CV20,TRUE),$CW20*_xlfn.NORM.DIST(BC$3,'energy base (MECS)'!$F$11,0.3*'energy base (MECS)'!$F$11,TRUE))</f>
        <v/>
      </c>
      <c r="BD20" s="68">
        <f t="array" ref="BD20">IF($D20,SUMPRODUCT((economics!$AG$2:$AG$167=$B20)*(economics!$D$2:$D$167="whr")*economics!$AH$2:$AH$167*_xlfn.NORM.DIST(BD$3,economics!$AK$2:$AK$167,economics!$AJ$2:$AJ$167,TRUE))+$CR20*_xlfn.NORM.DIST(BD$3,$CU20,0.3*$CU20,TRUE)+$CS20*_xlfn.NORM.DIST(BD$3,$CV20,0.3*$CV20,TRUE),$CW20*_xlfn.NORM.DIST(BD$3,'energy base (MECS)'!$F$11,0.3*'energy base (MECS)'!$F$11,TRUE))</f>
        <v/>
      </c>
      <c r="BE20" s="68">
        <f t="array" ref="BE20">IF($D20,SUMPRODUCT((economics!$AG$2:$AG$167=$B20)*(economics!$D$2:$D$167="whr")*economics!$AH$2:$AH$167*_xlfn.NORM.DIST(BE$3,economics!$AK$2:$AK$167,economics!$AJ$2:$AJ$167,TRUE))+$CR20*_xlfn.NORM.DIST(BE$3,$CU20,0.3*$CU20,TRUE)+$CS20*_xlfn.NORM.DIST(BE$3,$CV20,0.3*$CV20,TRUE),$CW20*_xlfn.NORM.DIST(BE$3,'energy base (MECS)'!$F$11,0.3*'energy base (MECS)'!$F$11,TRUE))</f>
        <v/>
      </c>
      <c r="BF20" s="68">
        <f t="array" ref="BF20">IF($D20,SUMPRODUCT((economics!$AG$2:$AG$167=$B20)*(economics!$D$2:$D$167="whr")*economics!$AH$2:$AH$167*_xlfn.NORM.DIST(BF$3,economics!$AK$2:$AK$167,economics!$AJ$2:$AJ$167,TRUE))+$CR20*_xlfn.NORM.DIST(BF$3,$CU20,0.3*$CU20,TRUE)+$CS20*_xlfn.NORM.DIST(BF$3,$CV20,0.3*$CV20,TRUE),$CW20*_xlfn.NORM.DIST(BF$3,'energy base (MECS)'!$F$11,0.3*'energy base (MECS)'!$F$11,TRUE))</f>
        <v/>
      </c>
      <c r="BG20" s="68">
        <f t="array" ref="BG20">IF($D20,SUMPRODUCT((economics!$AG$2:$AG$167=$B20)*(economics!$D$2:$D$167="whr")*economics!$AH$2:$AH$167*_xlfn.NORM.DIST(BG$3,economics!$AK$2:$AK$167,economics!$AJ$2:$AJ$167,TRUE))+$CR20*_xlfn.NORM.DIST(BG$3,$CU20,0.3*$CU20,TRUE)+$CS20*_xlfn.NORM.DIST(BG$3,$CV20,0.3*$CV20,TRUE),$CW20*_xlfn.NORM.DIST(BG$3,'energy base (MECS)'!$F$11,0.3*'energy base (MECS)'!$F$11,TRUE))</f>
        <v/>
      </c>
      <c r="BH20" s="68">
        <f t="array" ref="BH20">IF($D20,SUMPRODUCT((economics!$AG$2:$AG$167=$B20)*(economics!$D$2:$D$167="whr")*economics!$AH$2:$AH$167*_xlfn.NORM.DIST(BH$3,economics!$AK$2:$AK$167,economics!$AJ$2:$AJ$167,TRUE))+$CR20*_xlfn.NORM.DIST(BH$3,$CU20,0.3*$CU20,TRUE)+$CS20*_xlfn.NORM.DIST(BH$3,$CV20,0.3*$CV20,TRUE),$CW20*_xlfn.NORM.DIST(BH$3,'energy base (MECS)'!$F$11,0.3*'energy base (MECS)'!$F$11,TRUE))</f>
        <v/>
      </c>
      <c r="BI20" s="68">
        <f t="array" ref="BI20">IF($D20,SUMPRODUCT((economics!$AG$2:$AG$167=$B20)*(economics!$D$2:$D$167="whr")*economics!$AH$2:$AH$167*_xlfn.NORM.DIST(BI$3,economics!$AK$2:$AK$167,economics!$AJ$2:$AJ$167,TRUE))+$CR20*_xlfn.NORM.DIST(BI$3,$CU20,0.3*$CU20,TRUE)+$CS20*_xlfn.NORM.DIST(BI$3,$CV20,0.3*$CV20,TRUE),$CW20*_xlfn.NORM.DIST(BI$3,'energy base (MECS)'!$F$11,0.3*'energy base (MECS)'!$F$11,TRUE))</f>
        <v/>
      </c>
      <c r="BJ20" s="68">
        <f t="array" ref="BJ20">IF($D20,SUMPRODUCT((economics!$AG$2:$AG$167=$B20)*(economics!$D$2:$D$167="whr")*economics!$AH$2:$AH$167*_xlfn.NORM.DIST(BJ$3,economics!$AK$2:$AK$167,economics!$AJ$2:$AJ$167,TRUE))+$CR20*_xlfn.NORM.DIST(BJ$3,$CU20,0.3*$CU20,TRUE)+$CS20*_xlfn.NORM.DIST(BJ$3,$CV20,0.3*$CV20,TRUE),$CW20*_xlfn.NORM.DIST(BJ$3,'energy base (MECS)'!$F$11,0.3*'energy base (MECS)'!$F$11,TRUE))</f>
        <v/>
      </c>
      <c r="BK20" s="68">
        <f t="array" ref="BK20">IF($D20,SUMPRODUCT((economics!$AG$2:$AG$167=$B20)*(economics!$D$2:$D$167="whr")*economics!$AH$2:$AH$167*_xlfn.NORM.DIST(BK$3,economics!$AK$2:$AK$167,economics!$AJ$2:$AJ$167,TRUE))+$CR20*_xlfn.NORM.DIST(BK$3,$CU20,0.3*$CU20,TRUE)+$CS20*_xlfn.NORM.DIST(BK$3,$CV20,0.3*$CV20,TRUE),$CW20*_xlfn.NORM.DIST(BK$3,'energy base (MECS)'!$F$11,0.3*'energy base (MECS)'!$F$11,TRUE))</f>
        <v/>
      </c>
      <c r="BL20" s="68">
        <f t="array" ref="BL20">IF($D20,SUMPRODUCT((economics!$AG$2:$AG$167=$B20)*(economics!$D$2:$D$167="whr")*economics!$AH$2:$AH$167*_xlfn.NORM.DIST(BL$3,economics!$AK$2:$AK$167,economics!$AJ$2:$AJ$167,TRUE))+$CR20*_xlfn.NORM.DIST(BL$3,$CU20,0.3*$CU20,TRUE)+$CS20*_xlfn.NORM.DIST(BL$3,$CV20,0.3*$CV20,TRUE),$CW20*_xlfn.NORM.DIST(BL$3,'energy base (MECS)'!$F$11,0.3*'energy base (MECS)'!$F$11,TRUE))</f>
        <v/>
      </c>
      <c r="BM20" s="68">
        <f t="array" ref="BM20">IF($D20,SUMPRODUCT((economics!$AG$2:$AG$167=$B20)*(economics!$D$2:$D$167="whr")*economics!$AH$2:$AH$167*_xlfn.NORM.DIST(BM$3,economics!$AK$2:$AK$167,economics!$AJ$2:$AJ$167,TRUE))+$CR20*_xlfn.NORM.DIST(BM$3,$CU20,0.3*$CU20,TRUE)+$CS20*_xlfn.NORM.DIST(BM$3,$CV20,0.3*$CV20,TRUE),$CW20*_xlfn.NORM.DIST(BM$3,'energy base (MECS)'!$F$11,0.3*'energy base (MECS)'!$F$11,TRUE))</f>
        <v/>
      </c>
      <c r="BN20" s="68">
        <f t="array" ref="BN20">IF($D20,SUMPRODUCT((economics!$AG$2:$AG$167=$B20)*(economics!$D$2:$D$167="whr")*economics!$AH$2:$AH$167*_xlfn.NORM.DIST(BN$3,economics!$AK$2:$AK$167,economics!$AJ$2:$AJ$167,TRUE))+$CR20*_xlfn.NORM.DIST(BN$3,$CU20,0.3*$CU20,TRUE)+$CS20*_xlfn.NORM.DIST(BN$3,$CV20,0.3*$CV20,TRUE),$CW20*_xlfn.NORM.DIST(BN$3,'energy base (MECS)'!$F$11,0.3*'energy base (MECS)'!$F$11,TRUE))</f>
        <v/>
      </c>
      <c r="BO20" s="68">
        <f t="array" ref="BO20">IF($D20,SUMPRODUCT((economics!$AG$2:$AG$167=$B20)*(economics!$D$2:$D$167="whr")*economics!$AH$2:$AH$167*_xlfn.NORM.DIST(BO$3,economics!$AK$2:$AK$167,economics!$AJ$2:$AJ$167,TRUE))+$CR20*_xlfn.NORM.DIST(BO$3,$CU20,0.3*$CU20,TRUE)+$CS20*_xlfn.NORM.DIST(BO$3,$CV20,0.3*$CV20,TRUE),$CW20*_xlfn.NORM.DIST(BO$3,'energy base (MECS)'!$F$11,0.3*'energy base (MECS)'!$F$11,TRUE))</f>
        <v/>
      </c>
      <c r="BP20" s="68">
        <f t="array" ref="BP20">IF($D20,SUMPRODUCT((economics!$AG$2:$AG$167=$B20)*(economics!$D$2:$D$167="whr")*economics!$AH$2:$AH$167*_xlfn.NORM.DIST(BP$3,economics!$AK$2:$AK$167,economics!$AJ$2:$AJ$167,TRUE))+$CR20*_xlfn.NORM.DIST(BP$3,$CU20,0.3*$CU20,TRUE)+$CS20*_xlfn.NORM.DIST(BP$3,$CV20,0.3*$CV20,TRUE),$CW20*_xlfn.NORM.DIST(BP$3,'energy base (MECS)'!$F$11,0.3*'energy base (MECS)'!$F$11,TRUE))</f>
        <v/>
      </c>
      <c r="BQ20" s="68">
        <f t="array" ref="BQ20">IF($D20,SUMPRODUCT((economics!$AG$2:$AG$167=$B20)*(economics!$D$2:$D$167="whr")*economics!$AH$2:$AH$167*_xlfn.NORM.DIST(BQ$3,economics!$AK$2:$AK$167,economics!$AJ$2:$AJ$167,TRUE))+$CR20*_xlfn.NORM.DIST(BQ$3,$CU20,0.3*$CU20,TRUE)+$CS20*_xlfn.NORM.DIST(BQ$3,$CV20,0.3*$CV20,TRUE),$CW20*_xlfn.NORM.DIST(BQ$3,'energy base (MECS)'!$F$11,0.3*'energy base (MECS)'!$F$11,TRUE))</f>
        <v/>
      </c>
      <c r="BR20" s="68">
        <f t="array" ref="BR20">IF($D20,SUMPRODUCT((economics!$AG$2:$AG$167=$B20)*(economics!$D$2:$D$167="whr")*economics!$AH$2:$AH$167*_xlfn.NORM.DIST(BR$3,economics!$AK$2:$AK$167,economics!$AJ$2:$AJ$167,TRUE))+$CR20*_xlfn.NORM.DIST(BR$3,$CU20,0.3*$CU20,TRUE)+$CS20*_xlfn.NORM.DIST(BR$3,$CV20,0.3*$CV20,TRUE),$CW20*_xlfn.NORM.DIST(BR$3,'energy base (MECS)'!$F$11,0.3*'energy base (MECS)'!$F$11,TRUE))</f>
        <v/>
      </c>
      <c r="BS20" s="68">
        <f t="array" ref="BS20">IF($D20,SUMPRODUCT((economics!$AG$2:$AG$167=$B20)*(economics!$D$2:$D$167="whr")*economics!$AH$2:$AH$167*_xlfn.NORM.DIST(BS$3,economics!$AK$2:$AK$167,economics!$AJ$2:$AJ$167,TRUE))+$CR20*_xlfn.NORM.DIST(BS$3,$CU20,0.3*$CU20,TRUE)+$CS20*_xlfn.NORM.DIST(BS$3,$CV20,0.3*$CV20,TRUE),$CW20*_xlfn.NORM.DIST(BS$3,'energy base (MECS)'!$F$11,0.3*'energy base (MECS)'!$F$11,TRUE))</f>
        <v/>
      </c>
      <c r="BT20" s="68">
        <f t="array" ref="BT20">IF($D20,SUMPRODUCT((economics!$AG$2:$AG$167=$B20)*(economics!$D$2:$D$167="whr")*economics!$AH$2:$AH$167*_xlfn.NORM.DIST(BT$3,economics!$AK$2:$AK$167,economics!$AJ$2:$AJ$167,TRUE))+$CR20*_xlfn.NORM.DIST(BT$3,$CU20,0.3*$CU20,TRUE)+$CS20*_xlfn.NORM.DIST(BT$3,$CV20,0.3*$CV20,TRUE),$CW20*_xlfn.NORM.DIST(BT$3,'energy base (MECS)'!$F$11,0.3*'energy base (MECS)'!$F$11,TRUE))</f>
        <v/>
      </c>
      <c r="BU20" s="68">
        <f t="array" ref="BU20">IF($D20,SUMPRODUCT((economics!$AG$2:$AG$167=$B20)*(economics!$D$2:$D$167="whr")*economics!$AH$2:$AH$167*_xlfn.NORM.DIST(BU$3,economics!$AK$2:$AK$167,economics!$AJ$2:$AJ$167,TRUE))+$CR20*_xlfn.NORM.DIST(BU$3,$CU20,0.3*$CU20,TRUE)+$CS20*_xlfn.NORM.DIST(BU$3,$CV20,0.3*$CV20,TRUE),$CW20*_xlfn.NORM.DIST(BU$3,'energy base (MECS)'!$F$11,0.3*'energy base (MECS)'!$F$11,TRUE))</f>
        <v/>
      </c>
      <c r="BV20" s="68">
        <f t="array" ref="BV20">IF($D20,SUMPRODUCT((economics!$AG$2:$AG$167=$B20)*(economics!$D$2:$D$167="whr")*economics!$AH$2:$AH$167*_xlfn.NORM.DIST(BV$3,economics!$AK$2:$AK$167,economics!$AJ$2:$AJ$167,TRUE))+$CR20*_xlfn.NORM.DIST(BV$3,$CU20,0.3*$CU20,TRUE)+$CS20*_xlfn.NORM.DIST(BV$3,$CV20,0.3*$CV20,TRUE),$CW20*_xlfn.NORM.DIST(BV$3,'energy base (MECS)'!$F$11,0.3*'energy base (MECS)'!$F$11,TRUE))</f>
        <v/>
      </c>
      <c r="BW20" s="68">
        <f t="array" ref="BW20">IF($D20,SUMPRODUCT((economics!$AG$2:$AG$167=$B20)*(economics!$D$2:$D$167="whr")*economics!$AH$2:$AH$167*_xlfn.NORM.DIST(BW$3,economics!$AK$2:$AK$167,economics!$AJ$2:$AJ$167,TRUE))+$CR20*_xlfn.NORM.DIST(BW$3,$CU20,0.3*$CU20,TRUE)+$CS20*_xlfn.NORM.DIST(BW$3,$CV20,0.3*$CV20,TRUE),$CW20*_xlfn.NORM.DIST(BW$3,'energy base (MECS)'!$F$11,0.3*'energy base (MECS)'!$F$11,TRUE))</f>
        <v/>
      </c>
      <c r="BX20" s="68">
        <f t="array" ref="BX20">IF($D20,SUMPRODUCT((economics!$AG$2:$AG$167=$B20)*(economics!$D$2:$D$167="whr")*economics!$AH$2:$AH$167*_xlfn.NORM.DIST(BX$3,economics!$AK$2:$AK$167,economics!$AJ$2:$AJ$167,TRUE))+$CR20*_xlfn.NORM.DIST(BX$3,$CU20,0.3*$CU20,TRUE)+$CS20*_xlfn.NORM.DIST(BX$3,$CV20,0.3*$CV20,TRUE),$CW20*_xlfn.NORM.DIST(BX$3,'energy base (MECS)'!$F$11,0.3*'energy base (MECS)'!$F$11,TRUE))</f>
        <v/>
      </c>
      <c r="BY20" s="68">
        <f t="array" ref="BY20">IF($D20,SUMPRODUCT((economics!$AG$2:$AG$167=$B20)*(economics!$D$2:$D$167="whr")*economics!$AH$2:$AH$167*_xlfn.NORM.DIST(BY$3,economics!$AK$2:$AK$167,economics!$AJ$2:$AJ$167,TRUE))+$CR20*_xlfn.NORM.DIST(BY$3,$CU20,0.3*$CU20,TRUE)+$CS20*_xlfn.NORM.DIST(BY$3,$CV20,0.3*$CV20,TRUE),$CW20*_xlfn.NORM.DIST(BY$3,'energy base (MECS)'!$F$11,0.3*'energy base (MECS)'!$F$11,TRUE))</f>
        <v/>
      </c>
      <c r="BZ20" s="68">
        <f t="array" ref="BZ20">IF($D20,SUMPRODUCT((economics!$AG$2:$AG$167=$B20)*(economics!$D$2:$D$167="whr")*economics!$AH$2:$AH$167*_xlfn.NORM.DIST(BZ$3,economics!$AK$2:$AK$167,economics!$AJ$2:$AJ$167,TRUE))+$CR20*_xlfn.NORM.DIST(BZ$3,$CU20,0.3*$CU20,TRUE)+$CS20*_xlfn.NORM.DIST(BZ$3,$CV20,0.3*$CV20,TRUE),$CW20*_xlfn.NORM.DIST(BZ$3,'energy base (MECS)'!$F$11,0.3*'energy base (MECS)'!$F$11,TRUE))</f>
        <v/>
      </c>
      <c r="CA20" s="68">
        <f t="array" ref="CA20">IF($D20,SUMPRODUCT((economics!$AG$2:$AG$167=$B20)*(economics!$D$2:$D$167="whr")*economics!$AH$2:$AH$167*_xlfn.NORM.DIST(CA$3,economics!$AK$2:$AK$167,economics!$AJ$2:$AJ$167,TRUE))+$CR20*_xlfn.NORM.DIST(CA$3,$CU20,0.3*$CU20,TRUE)+$CS20*_xlfn.NORM.DIST(CA$3,$CV20,0.3*$CV20,TRUE),$CW20*_xlfn.NORM.DIST(CA$3,'energy base (MECS)'!$F$11,0.3*'energy base (MECS)'!$F$11,TRUE))</f>
        <v/>
      </c>
      <c r="CB20" s="68">
        <f t="array" ref="CB20">IF($D20,SUMPRODUCT((economics!$AG$2:$AG$167=$B20)*(economics!$D$2:$D$167="whr")*economics!$AH$2:$AH$167*_xlfn.NORM.DIST(CB$3,economics!$AK$2:$AK$167,economics!$AJ$2:$AJ$167,TRUE))+$CR20*_xlfn.NORM.DIST(CB$3,$CU20,0.3*$CU20,TRUE)+$CS20*_xlfn.NORM.DIST(CB$3,$CV20,0.3*$CV20,TRUE),$CW20*_xlfn.NORM.DIST(CB$3,'energy base (MECS)'!$F$11,0.3*'energy base (MECS)'!$F$11,TRUE))</f>
        <v/>
      </c>
      <c r="CC20" s="68">
        <f t="array" ref="CC20">IF($D20,SUMPRODUCT((economics!$AG$2:$AG$167=$B20)*(economics!$D$2:$D$167="whr")*economics!$AH$2:$AH$167*_xlfn.NORM.DIST(CC$3,economics!$AK$2:$AK$167,economics!$AJ$2:$AJ$167,TRUE))+$CR20*_xlfn.NORM.DIST(CC$3,$CU20,0.3*$CU20,TRUE)+$CS20*_xlfn.NORM.DIST(CC$3,$CV20,0.3*$CV20,TRUE),$CW20*_xlfn.NORM.DIST(CC$3,'energy base (MECS)'!$F$11,0.3*'energy base (MECS)'!$F$11,TRUE))</f>
        <v/>
      </c>
      <c r="CD20" s="68">
        <f t="array" ref="CD20">IF($D20,SUMPRODUCT((economics!$AG$2:$AG$167=$B20)*(economics!$D$2:$D$167="whr")*economics!$AH$2:$AH$167*_xlfn.NORM.DIST(CD$3,economics!$AK$2:$AK$167,economics!$AJ$2:$AJ$167,TRUE))+$CR20*_xlfn.NORM.DIST(CD$3,$CU20,0.3*$CU20,TRUE)+$CS20*_xlfn.NORM.DIST(CD$3,$CV20,0.3*$CV20,TRUE),$CW20*_xlfn.NORM.DIST(CD$3,'energy base (MECS)'!$F$11,0.3*'energy base (MECS)'!$F$11,TRUE))</f>
        <v/>
      </c>
      <c r="CE20" s="68">
        <f t="array" ref="CE20">IF($D20,SUMPRODUCT((economics!$AG$2:$AG$167=$B20)*(economics!$D$2:$D$167="whr")*economics!$AH$2:$AH$167*_xlfn.NORM.DIST(CE$3,economics!$AK$2:$AK$167,economics!$AJ$2:$AJ$167,TRUE))+$CR20*_xlfn.NORM.DIST(CE$3,$CU20,0.3*$CU20,TRUE)+$CS20*_xlfn.NORM.DIST(CE$3,$CV20,0.3*$CV20,TRUE),$CW20*_xlfn.NORM.DIST(CE$3,'energy base (MECS)'!$F$11,0.3*'energy base (MECS)'!$F$11,TRUE))</f>
        <v/>
      </c>
      <c r="CF20" s="68">
        <f t="array" ref="CF20">IF($D20,SUMPRODUCT((economics!$AG$2:$AG$167=$B20)*(economics!$D$2:$D$167="whr")*economics!$AH$2:$AH$167*_xlfn.NORM.DIST(CF$3,economics!$AK$2:$AK$167,economics!$AJ$2:$AJ$167,TRUE))+$CR20*_xlfn.NORM.DIST(CF$3,$CU20,0.3*$CU20,TRUE)+$CS20*_xlfn.NORM.DIST(CF$3,$CV20,0.3*$CV20,TRUE),$CW20*_xlfn.NORM.DIST(CF$3,'energy base (MECS)'!$F$11,0.3*'energy base (MECS)'!$F$11,TRUE))</f>
        <v/>
      </c>
      <c r="CG20" s="68">
        <f t="array" ref="CG20">IF($D20,SUMPRODUCT((economics!$AG$2:$AG$167=$B20)*(economics!$D$2:$D$167="whr")*economics!$AH$2:$AH$167*_xlfn.NORM.DIST(CG$3,economics!$AK$2:$AK$167,economics!$AJ$2:$AJ$167,TRUE))+$CR20*_xlfn.NORM.DIST(CG$3,$CU20,0.3*$CU20,TRUE)+$CS20*_xlfn.NORM.DIST(CG$3,$CV20,0.3*$CV20,TRUE),$CW20*_xlfn.NORM.DIST(CG$3,'energy base (MECS)'!$F$11,0.3*'energy base (MECS)'!$F$11,TRUE))</f>
        <v/>
      </c>
      <c r="CH20" s="68">
        <f t="array" ref="CH20">IF($D20,SUMPRODUCT((economics!$AG$2:$AG$167=$B20)*(economics!$D$2:$D$167="whr")*economics!$AH$2:$AH$167*_xlfn.NORM.DIST(CH$3,economics!$AK$2:$AK$167,economics!$AJ$2:$AJ$167,TRUE))+$CR20*_xlfn.NORM.DIST(CH$3,$CU20,0.3*$CU20,TRUE)+$CS20*_xlfn.NORM.DIST(CH$3,$CV20,0.3*$CV20,TRUE),$CW20*_xlfn.NORM.DIST(CH$3,'energy base (MECS)'!$F$11,0.3*'energy base (MECS)'!$F$11,TRUE))</f>
        <v/>
      </c>
      <c r="CJ20">
        <f t="array" ref="CJ20">SUMPRODUCT((economics!$AG$2:$AG$167=$B20)*(economics!$D$2:$D$167="whr")*economics!$AH$2:$AH$167)</f>
        <v/>
      </c>
      <c r="CK20" s="80">
        <f>'indst heat consumption'!D20</f>
        <v/>
      </c>
      <c r="CL20" s="80">
        <f>'indst heat consumption'!E20</f>
        <v/>
      </c>
      <c r="CM20" s="80">
        <f>'indst heat consumption'!F20</f>
        <v/>
      </c>
      <c r="CN20" s="80">
        <f>'indst heat consumption'!G20</f>
        <v/>
      </c>
      <c r="CO20" s="80">
        <f>'indst heat consumption'!H20</f>
        <v/>
      </c>
      <c r="CP20">
        <f>$C20*(CK20*summary!$B$94+CL20*summary!$C$94+CM20*summary!$D$94)</f>
        <v/>
      </c>
      <c r="CQ20">
        <f>$C20*(CN20*summary!$E$94+CO20*summary!$F$94)</f>
        <v/>
      </c>
      <c r="CR20">
        <f>IF(CP20+CQ20&gt;0,CP20*MAX(0,CP20+CQ20-CJ20)/(CP20+CQ20),0)</f>
        <v/>
      </c>
      <c r="CS20">
        <f>IF(CP20+CQ20&gt;0,CQ20*MAX(0,CP20+CQ20-CJ20)/(CP20+CQ20),0)</f>
        <v/>
      </c>
      <c r="CT20">
        <f>IFERROR(_xlfn.XLOOKUP($B20,'BCoISC-WACCbI'!$C$2:$C$26,'BCoISC-WACCbI'!$B$2:$B$26)+economics!$AE$4,0.1)</f>
        <v/>
      </c>
      <c r="CU20">
        <f>(summary!$C$7*(CT20/(1-(1+CT20)^-summary!$D$7))+summary!$C$7*summary!$E$7)/(summary!$F$7*3412/1000000)</f>
        <v/>
      </c>
      <c r="CV20">
        <f>(summary!$C$6*(CT20/(1-(1+CT20)^-summary!$D$6))+summary!$C$6*summary!$E$6)/(summary!$F$6*3412/1000000)</f>
        <v/>
      </c>
      <c r="CW20">
        <f>CR20+CS20</f>
        <v/>
      </c>
    </row>
    <row r="21">
      <c r="A21">
        <f>WHRPbI!A19</f>
        <v/>
      </c>
      <c r="B21" t="n">
        <v>27</v>
      </c>
      <c r="C21" s="68">
        <f>WHRPbI!B19</f>
        <v/>
      </c>
      <c r="D21">
        <f>ISNUMBER(MATCH($B21,'energy base (MECS)'!$K$4:$K$9,0))</f>
        <v/>
      </c>
      <c r="E21" s="68">
        <f t="array" ref="E21">IF($D21,SUMPRODUCT((economics!$AG$2:$AG$167=$B21)*(economics!$D$2:$D$167="whr")*economics!$AH$2:$AH$167*_xlfn.NORM.DIST(E$3,economics!$AK$2:$AK$167,economics!$AJ$2:$AJ$167,TRUE))+$CR21*_xlfn.NORM.DIST(E$3,$CU21,0.3*$CU21,TRUE)+$CS21*_xlfn.NORM.DIST(E$3,$CV21,0.3*$CV21,TRUE),$CW21*_xlfn.NORM.DIST(E$3,'energy base (MECS)'!$F$11,0.3*'energy base (MECS)'!$F$11,TRUE))</f>
        <v/>
      </c>
      <c r="F21" s="68">
        <f t="array" ref="F21">IF($D21,SUMPRODUCT((economics!$AG$2:$AG$167=$B21)*(economics!$D$2:$D$167="whr")*economics!$AH$2:$AH$167*_xlfn.NORM.DIST(F$3,economics!$AK$2:$AK$167,economics!$AJ$2:$AJ$167,TRUE))+$CR21*_xlfn.NORM.DIST(F$3,$CU21,0.3*$CU21,TRUE)+$CS21*_xlfn.NORM.DIST(F$3,$CV21,0.3*$CV21,TRUE),$CW21*_xlfn.NORM.DIST(F$3,'energy base (MECS)'!$F$11,0.3*'energy base (MECS)'!$F$11,TRUE))</f>
        <v/>
      </c>
      <c r="G21" s="68">
        <f t="array" ref="G21">IF($D21,SUMPRODUCT((economics!$AG$2:$AG$167=$B21)*(economics!$D$2:$D$167="whr")*economics!$AH$2:$AH$167*_xlfn.NORM.DIST(G$3,economics!$AK$2:$AK$167,economics!$AJ$2:$AJ$167,TRUE))+$CR21*_xlfn.NORM.DIST(G$3,$CU21,0.3*$CU21,TRUE)+$CS21*_xlfn.NORM.DIST(G$3,$CV21,0.3*$CV21,TRUE),$CW21*_xlfn.NORM.DIST(G$3,'energy base (MECS)'!$F$11,0.3*'energy base (MECS)'!$F$11,TRUE))</f>
        <v/>
      </c>
      <c r="H21" s="68">
        <f t="array" ref="H21">IF($D21,SUMPRODUCT((economics!$AG$2:$AG$167=$B21)*(economics!$D$2:$D$167="whr")*economics!$AH$2:$AH$167*_xlfn.NORM.DIST(H$3,economics!$AK$2:$AK$167,economics!$AJ$2:$AJ$167,TRUE))+$CR21*_xlfn.NORM.DIST(H$3,$CU21,0.3*$CU21,TRUE)+$CS21*_xlfn.NORM.DIST(H$3,$CV21,0.3*$CV21,TRUE),$CW21*_xlfn.NORM.DIST(H$3,'energy base (MECS)'!$F$11,0.3*'energy base (MECS)'!$F$11,TRUE))</f>
        <v/>
      </c>
      <c r="I21" s="68">
        <f t="array" ref="I21">IF($D21,SUMPRODUCT((economics!$AG$2:$AG$167=$B21)*(economics!$D$2:$D$167="whr")*economics!$AH$2:$AH$167*_xlfn.NORM.DIST(I$3,economics!$AK$2:$AK$167,economics!$AJ$2:$AJ$167,TRUE))+$CR21*_xlfn.NORM.DIST(I$3,$CU21,0.3*$CU21,TRUE)+$CS21*_xlfn.NORM.DIST(I$3,$CV21,0.3*$CV21,TRUE),$CW21*_xlfn.NORM.DIST(I$3,'energy base (MECS)'!$F$11,0.3*'energy base (MECS)'!$F$11,TRUE))</f>
        <v/>
      </c>
      <c r="J21" s="68">
        <f t="array" ref="J21">IF($D21,SUMPRODUCT((economics!$AG$2:$AG$167=$B21)*(economics!$D$2:$D$167="whr")*economics!$AH$2:$AH$167*_xlfn.NORM.DIST(J$3,economics!$AK$2:$AK$167,economics!$AJ$2:$AJ$167,TRUE))+$CR21*_xlfn.NORM.DIST(J$3,$CU21,0.3*$CU21,TRUE)+$CS21*_xlfn.NORM.DIST(J$3,$CV21,0.3*$CV21,TRUE),$CW21*_xlfn.NORM.DIST(J$3,'energy base (MECS)'!$F$11,0.3*'energy base (MECS)'!$F$11,TRUE))</f>
        <v/>
      </c>
      <c r="K21" s="68">
        <f t="array" ref="K21">IF($D21,SUMPRODUCT((economics!$AG$2:$AG$167=$B21)*(economics!$D$2:$D$167="whr")*economics!$AH$2:$AH$167*_xlfn.NORM.DIST(K$3,economics!$AK$2:$AK$167,economics!$AJ$2:$AJ$167,TRUE))+$CR21*_xlfn.NORM.DIST(K$3,$CU21,0.3*$CU21,TRUE)+$CS21*_xlfn.NORM.DIST(K$3,$CV21,0.3*$CV21,TRUE),$CW21*_xlfn.NORM.DIST(K$3,'energy base (MECS)'!$F$11,0.3*'energy base (MECS)'!$F$11,TRUE))</f>
        <v/>
      </c>
      <c r="L21" s="68">
        <f t="array" ref="L21">IF($D21,SUMPRODUCT((economics!$AG$2:$AG$167=$B21)*(economics!$D$2:$D$167="whr")*economics!$AH$2:$AH$167*_xlfn.NORM.DIST(L$3,economics!$AK$2:$AK$167,economics!$AJ$2:$AJ$167,TRUE))+$CR21*_xlfn.NORM.DIST(L$3,$CU21,0.3*$CU21,TRUE)+$CS21*_xlfn.NORM.DIST(L$3,$CV21,0.3*$CV21,TRUE),$CW21*_xlfn.NORM.DIST(L$3,'energy base (MECS)'!$F$11,0.3*'energy base (MECS)'!$F$11,TRUE))</f>
        <v/>
      </c>
      <c r="M21" s="68">
        <f t="array" ref="M21">IF($D21,SUMPRODUCT((economics!$AG$2:$AG$167=$B21)*(economics!$D$2:$D$167="whr")*economics!$AH$2:$AH$167*_xlfn.NORM.DIST(M$3,economics!$AK$2:$AK$167,economics!$AJ$2:$AJ$167,TRUE))+$CR21*_xlfn.NORM.DIST(M$3,$CU21,0.3*$CU21,TRUE)+$CS21*_xlfn.NORM.DIST(M$3,$CV21,0.3*$CV21,TRUE),$CW21*_xlfn.NORM.DIST(M$3,'energy base (MECS)'!$F$11,0.3*'energy base (MECS)'!$F$11,TRUE))</f>
        <v/>
      </c>
      <c r="N21" s="68">
        <f t="array" ref="N21">IF($D21,SUMPRODUCT((economics!$AG$2:$AG$167=$B21)*(economics!$D$2:$D$167="whr")*economics!$AH$2:$AH$167*_xlfn.NORM.DIST(N$3,economics!$AK$2:$AK$167,economics!$AJ$2:$AJ$167,TRUE))+$CR21*_xlfn.NORM.DIST(N$3,$CU21,0.3*$CU21,TRUE)+$CS21*_xlfn.NORM.DIST(N$3,$CV21,0.3*$CV21,TRUE),$CW21*_xlfn.NORM.DIST(N$3,'energy base (MECS)'!$F$11,0.3*'energy base (MECS)'!$F$11,TRUE))</f>
        <v/>
      </c>
      <c r="O21" s="68">
        <f t="array" ref="O21">IF($D21,SUMPRODUCT((economics!$AG$2:$AG$167=$B21)*(economics!$D$2:$D$167="whr")*economics!$AH$2:$AH$167*_xlfn.NORM.DIST(O$3,economics!$AK$2:$AK$167,economics!$AJ$2:$AJ$167,TRUE))+$CR21*_xlfn.NORM.DIST(O$3,$CU21,0.3*$CU21,TRUE)+$CS21*_xlfn.NORM.DIST(O$3,$CV21,0.3*$CV21,TRUE),$CW21*_xlfn.NORM.DIST(O$3,'energy base (MECS)'!$F$11,0.3*'energy base (MECS)'!$F$11,TRUE))</f>
        <v/>
      </c>
      <c r="P21" s="68">
        <f t="array" ref="P21">IF($D21,SUMPRODUCT((economics!$AG$2:$AG$167=$B21)*(economics!$D$2:$D$167="whr")*economics!$AH$2:$AH$167*_xlfn.NORM.DIST(P$3,economics!$AK$2:$AK$167,economics!$AJ$2:$AJ$167,TRUE))+$CR21*_xlfn.NORM.DIST(P$3,$CU21,0.3*$CU21,TRUE)+$CS21*_xlfn.NORM.DIST(P$3,$CV21,0.3*$CV21,TRUE),$CW21*_xlfn.NORM.DIST(P$3,'energy base (MECS)'!$F$11,0.3*'energy base (MECS)'!$F$11,TRUE))</f>
        <v/>
      </c>
      <c r="Q21" s="68">
        <f t="array" ref="Q21">IF($D21,SUMPRODUCT((economics!$AG$2:$AG$167=$B21)*(economics!$D$2:$D$167="whr")*economics!$AH$2:$AH$167*_xlfn.NORM.DIST(Q$3,economics!$AK$2:$AK$167,economics!$AJ$2:$AJ$167,TRUE))+$CR21*_xlfn.NORM.DIST(Q$3,$CU21,0.3*$CU21,TRUE)+$CS21*_xlfn.NORM.DIST(Q$3,$CV21,0.3*$CV21,TRUE),$CW21*_xlfn.NORM.DIST(Q$3,'energy base (MECS)'!$F$11,0.3*'energy base (MECS)'!$F$11,TRUE))</f>
        <v/>
      </c>
      <c r="R21" s="68">
        <f t="array" ref="R21">IF($D21,SUMPRODUCT((economics!$AG$2:$AG$167=$B21)*(economics!$D$2:$D$167="whr")*economics!$AH$2:$AH$167*_xlfn.NORM.DIST(R$3,economics!$AK$2:$AK$167,economics!$AJ$2:$AJ$167,TRUE))+$CR21*_xlfn.NORM.DIST(R$3,$CU21,0.3*$CU21,TRUE)+$CS21*_xlfn.NORM.DIST(R$3,$CV21,0.3*$CV21,TRUE),$CW21*_xlfn.NORM.DIST(R$3,'energy base (MECS)'!$F$11,0.3*'energy base (MECS)'!$F$11,TRUE))</f>
        <v/>
      </c>
      <c r="S21" s="68">
        <f t="array" ref="S21">IF($D21,SUMPRODUCT((economics!$AG$2:$AG$167=$B21)*(economics!$D$2:$D$167="whr")*economics!$AH$2:$AH$167*_xlfn.NORM.DIST(S$3,economics!$AK$2:$AK$167,economics!$AJ$2:$AJ$167,TRUE))+$CR21*_xlfn.NORM.DIST(S$3,$CU21,0.3*$CU21,TRUE)+$CS21*_xlfn.NORM.DIST(S$3,$CV21,0.3*$CV21,TRUE),$CW21*_xlfn.NORM.DIST(S$3,'energy base (MECS)'!$F$11,0.3*'energy base (MECS)'!$F$11,TRUE))</f>
        <v/>
      </c>
      <c r="T21" s="68">
        <f t="array" ref="T21">IF($D21,SUMPRODUCT((economics!$AG$2:$AG$167=$B21)*(economics!$D$2:$D$167="whr")*economics!$AH$2:$AH$167*_xlfn.NORM.DIST(T$3,economics!$AK$2:$AK$167,economics!$AJ$2:$AJ$167,TRUE))+$CR21*_xlfn.NORM.DIST(T$3,$CU21,0.3*$CU21,TRUE)+$CS21*_xlfn.NORM.DIST(T$3,$CV21,0.3*$CV21,TRUE),$CW21*_xlfn.NORM.DIST(T$3,'energy base (MECS)'!$F$11,0.3*'energy base (MECS)'!$F$11,TRUE))</f>
        <v/>
      </c>
      <c r="U21" s="68">
        <f t="array" ref="U21">IF($D21,SUMPRODUCT((economics!$AG$2:$AG$167=$B21)*(economics!$D$2:$D$167="whr")*economics!$AH$2:$AH$167*_xlfn.NORM.DIST(U$3,economics!$AK$2:$AK$167,economics!$AJ$2:$AJ$167,TRUE))+$CR21*_xlfn.NORM.DIST(U$3,$CU21,0.3*$CU21,TRUE)+$CS21*_xlfn.NORM.DIST(U$3,$CV21,0.3*$CV21,TRUE),$CW21*_xlfn.NORM.DIST(U$3,'energy base (MECS)'!$F$11,0.3*'energy base (MECS)'!$F$11,TRUE))</f>
        <v/>
      </c>
      <c r="V21" s="68">
        <f t="array" ref="V21">IF($D21,SUMPRODUCT((economics!$AG$2:$AG$167=$B21)*(economics!$D$2:$D$167="whr")*economics!$AH$2:$AH$167*_xlfn.NORM.DIST(V$3,economics!$AK$2:$AK$167,economics!$AJ$2:$AJ$167,TRUE))+$CR21*_xlfn.NORM.DIST(V$3,$CU21,0.3*$CU21,TRUE)+$CS21*_xlfn.NORM.DIST(V$3,$CV21,0.3*$CV21,TRUE),$CW21*_xlfn.NORM.DIST(V$3,'energy base (MECS)'!$F$11,0.3*'energy base (MECS)'!$F$11,TRUE))</f>
        <v/>
      </c>
      <c r="W21" s="68">
        <f t="array" ref="W21">IF($D21,SUMPRODUCT((economics!$AG$2:$AG$167=$B21)*(economics!$D$2:$D$167="whr")*economics!$AH$2:$AH$167*_xlfn.NORM.DIST(W$3,economics!$AK$2:$AK$167,economics!$AJ$2:$AJ$167,TRUE))+$CR21*_xlfn.NORM.DIST(W$3,$CU21,0.3*$CU21,TRUE)+$CS21*_xlfn.NORM.DIST(W$3,$CV21,0.3*$CV21,TRUE),$CW21*_xlfn.NORM.DIST(W$3,'energy base (MECS)'!$F$11,0.3*'energy base (MECS)'!$F$11,TRUE))</f>
        <v/>
      </c>
      <c r="X21" s="68">
        <f t="array" ref="X21">IF($D21,SUMPRODUCT((economics!$AG$2:$AG$167=$B21)*(economics!$D$2:$D$167="whr")*economics!$AH$2:$AH$167*_xlfn.NORM.DIST(X$3,economics!$AK$2:$AK$167,economics!$AJ$2:$AJ$167,TRUE))+$CR21*_xlfn.NORM.DIST(X$3,$CU21,0.3*$CU21,TRUE)+$CS21*_xlfn.NORM.DIST(X$3,$CV21,0.3*$CV21,TRUE),$CW21*_xlfn.NORM.DIST(X$3,'energy base (MECS)'!$F$11,0.3*'energy base (MECS)'!$F$11,TRUE))</f>
        <v/>
      </c>
      <c r="Y21" s="68">
        <f t="array" ref="Y21">IF($D21,SUMPRODUCT((economics!$AG$2:$AG$167=$B21)*(economics!$D$2:$D$167="whr")*economics!$AH$2:$AH$167*_xlfn.NORM.DIST(Y$3,economics!$AK$2:$AK$167,economics!$AJ$2:$AJ$167,TRUE))+$CR21*_xlfn.NORM.DIST(Y$3,$CU21,0.3*$CU21,TRUE)+$CS21*_xlfn.NORM.DIST(Y$3,$CV21,0.3*$CV21,TRUE),$CW21*_xlfn.NORM.DIST(Y$3,'energy base (MECS)'!$F$11,0.3*'energy base (MECS)'!$F$11,TRUE))</f>
        <v/>
      </c>
      <c r="Z21" s="68">
        <f t="array" ref="Z21">IF($D21,SUMPRODUCT((economics!$AG$2:$AG$167=$B21)*(economics!$D$2:$D$167="whr")*economics!$AH$2:$AH$167*_xlfn.NORM.DIST(Z$3,economics!$AK$2:$AK$167,economics!$AJ$2:$AJ$167,TRUE))+$CR21*_xlfn.NORM.DIST(Z$3,$CU21,0.3*$CU21,TRUE)+$CS21*_xlfn.NORM.DIST(Z$3,$CV21,0.3*$CV21,TRUE),$CW21*_xlfn.NORM.DIST(Z$3,'energy base (MECS)'!$F$11,0.3*'energy base (MECS)'!$F$11,TRUE))</f>
        <v/>
      </c>
      <c r="AA21" s="68">
        <f t="array" ref="AA21">IF($D21,SUMPRODUCT((economics!$AG$2:$AG$167=$B21)*(economics!$D$2:$D$167="whr")*economics!$AH$2:$AH$167*_xlfn.NORM.DIST(AA$3,economics!$AK$2:$AK$167,economics!$AJ$2:$AJ$167,TRUE))+$CR21*_xlfn.NORM.DIST(AA$3,$CU21,0.3*$CU21,TRUE)+$CS21*_xlfn.NORM.DIST(AA$3,$CV21,0.3*$CV21,TRUE),$CW21*_xlfn.NORM.DIST(AA$3,'energy base (MECS)'!$F$11,0.3*'energy base (MECS)'!$F$11,TRUE))</f>
        <v/>
      </c>
      <c r="AB21" s="68">
        <f t="array" ref="AB21">IF($D21,SUMPRODUCT((economics!$AG$2:$AG$167=$B21)*(economics!$D$2:$D$167="whr")*economics!$AH$2:$AH$167*_xlfn.NORM.DIST(AB$3,economics!$AK$2:$AK$167,economics!$AJ$2:$AJ$167,TRUE))+$CR21*_xlfn.NORM.DIST(AB$3,$CU21,0.3*$CU21,TRUE)+$CS21*_xlfn.NORM.DIST(AB$3,$CV21,0.3*$CV21,TRUE),$CW21*_xlfn.NORM.DIST(AB$3,'energy base (MECS)'!$F$11,0.3*'energy base (MECS)'!$F$11,TRUE))</f>
        <v/>
      </c>
      <c r="AC21" s="68">
        <f t="array" ref="AC21">IF($D21,SUMPRODUCT((economics!$AG$2:$AG$167=$B21)*(economics!$D$2:$D$167="whr")*economics!$AH$2:$AH$167*_xlfn.NORM.DIST(AC$3,economics!$AK$2:$AK$167,economics!$AJ$2:$AJ$167,TRUE))+$CR21*_xlfn.NORM.DIST(AC$3,$CU21,0.3*$CU21,TRUE)+$CS21*_xlfn.NORM.DIST(AC$3,$CV21,0.3*$CV21,TRUE),$CW21*_xlfn.NORM.DIST(AC$3,'energy base (MECS)'!$F$11,0.3*'energy base (MECS)'!$F$11,TRUE))</f>
        <v/>
      </c>
      <c r="AD21" s="68">
        <f t="array" ref="AD21">IF($D21,SUMPRODUCT((economics!$AG$2:$AG$167=$B21)*(economics!$D$2:$D$167="whr")*economics!$AH$2:$AH$167*_xlfn.NORM.DIST(AD$3,economics!$AK$2:$AK$167,economics!$AJ$2:$AJ$167,TRUE))+$CR21*_xlfn.NORM.DIST(AD$3,$CU21,0.3*$CU21,TRUE)+$CS21*_xlfn.NORM.DIST(AD$3,$CV21,0.3*$CV21,TRUE),$CW21*_xlfn.NORM.DIST(AD$3,'energy base (MECS)'!$F$11,0.3*'energy base (MECS)'!$F$11,TRUE))</f>
        <v/>
      </c>
      <c r="AE21" s="68">
        <f t="array" ref="AE21">IF($D21,SUMPRODUCT((economics!$AG$2:$AG$167=$B21)*(economics!$D$2:$D$167="whr")*economics!$AH$2:$AH$167*_xlfn.NORM.DIST(AE$3,economics!$AK$2:$AK$167,economics!$AJ$2:$AJ$167,TRUE))+$CR21*_xlfn.NORM.DIST(AE$3,$CU21,0.3*$CU21,TRUE)+$CS21*_xlfn.NORM.DIST(AE$3,$CV21,0.3*$CV21,TRUE),$CW21*_xlfn.NORM.DIST(AE$3,'energy base (MECS)'!$F$11,0.3*'energy base (MECS)'!$F$11,TRUE))</f>
        <v/>
      </c>
      <c r="AF21" s="68">
        <f t="array" ref="AF21">IF($D21,SUMPRODUCT((economics!$AG$2:$AG$167=$B21)*(economics!$D$2:$D$167="whr")*economics!$AH$2:$AH$167*_xlfn.NORM.DIST(AF$3,economics!$AK$2:$AK$167,economics!$AJ$2:$AJ$167,TRUE))+$CR21*_xlfn.NORM.DIST(AF$3,$CU21,0.3*$CU21,TRUE)+$CS21*_xlfn.NORM.DIST(AF$3,$CV21,0.3*$CV21,TRUE),$CW21*_xlfn.NORM.DIST(AF$3,'energy base (MECS)'!$F$11,0.3*'energy base (MECS)'!$F$11,TRUE))</f>
        <v/>
      </c>
      <c r="AG21" s="68">
        <f t="array" ref="AG21">IF($D21,SUMPRODUCT((economics!$AG$2:$AG$167=$B21)*(economics!$D$2:$D$167="whr")*economics!$AH$2:$AH$167*_xlfn.NORM.DIST(AG$3,economics!$AK$2:$AK$167,economics!$AJ$2:$AJ$167,TRUE))+$CR21*_xlfn.NORM.DIST(AG$3,$CU21,0.3*$CU21,TRUE)+$CS21*_xlfn.NORM.DIST(AG$3,$CV21,0.3*$CV21,TRUE),$CW21*_xlfn.NORM.DIST(AG$3,'energy base (MECS)'!$F$11,0.3*'energy base (MECS)'!$F$11,TRUE))</f>
        <v/>
      </c>
      <c r="AH21" s="68">
        <f t="array" ref="AH21">IF($D21,SUMPRODUCT((economics!$AG$2:$AG$167=$B21)*(economics!$D$2:$D$167="whr")*economics!$AH$2:$AH$167*_xlfn.NORM.DIST(AH$3,economics!$AK$2:$AK$167,economics!$AJ$2:$AJ$167,TRUE))+$CR21*_xlfn.NORM.DIST(AH$3,$CU21,0.3*$CU21,TRUE)+$CS21*_xlfn.NORM.DIST(AH$3,$CV21,0.3*$CV21,TRUE),$CW21*_xlfn.NORM.DIST(AH$3,'energy base (MECS)'!$F$11,0.3*'energy base (MECS)'!$F$11,TRUE))</f>
        <v/>
      </c>
      <c r="AI21" s="68">
        <f t="array" ref="AI21">IF($D21,SUMPRODUCT((economics!$AG$2:$AG$167=$B21)*(economics!$D$2:$D$167="whr")*economics!$AH$2:$AH$167*_xlfn.NORM.DIST(AI$3,economics!$AK$2:$AK$167,economics!$AJ$2:$AJ$167,TRUE))+$CR21*_xlfn.NORM.DIST(AI$3,$CU21,0.3*$CU21,TRUE)+$CS21*_xlfn.NORM.DIST(AI$3,$CV21,0.3*$CV21,TRUE),$CW21*_xlfn.NORM.DIST(AI$3,'energy base (MECS)'!$F$11,0.3*'energy base (MECS)'!$F$11,TRUE))</f>
        <v/>
      </c>
      <c r="AJ21" s="68">
        <f t="array" ref="AJ21">IF($D21,SUMPRODUCT((economics!$AG$2:$AG$167=$B21)*(economics!$D$2:$D$167="whr")*economics!$AH$2:$AH$167*_xlfn.NORM.DIST(AJ$3,economics!$AK$2:$AK$167,economics!$AJ$2:$AJ$167,TRUE))+$CR21*_xlfn.NORM.DIST(AJ$3,$CU21,0.3*$CU21,TRUE)+$CS21*_xlfn.NORM.DIST(AJ$3,$CV21,0.3*$CV21,TRUE),$CW21*_xlfn.NORM.DIST(AJ$3,'energy base (MECS)'!$F$11,0.3*'energy base (MECS)'!$F$11,TRUE))</f>
        <v/>
      </c>
      <c r="AK21" s="68">
        <f t="array" ref="AK21">IF($D21,SUMPRODUCT((economics!$AG$2:$AG$167=$B21)*(economics!$D$2:$D$167="whr")*economics!$AH$2:$AH$167*_xlfn.NORM.DIST(AK$3,economics!$AK$2:$AK$167,economics!$AJ$2:$AJ$167,TRUE))+$CR21*_xlfn.NORM.DIST(AK$3,$CU21,0.3*$CU21,TRUE)+$CS21*_xlfn.NORM.DIST(AK$3,$CV21,0.3*$CV21,TRUE),$CW21*_xlfn.NORM.DIST(AK$3,'energy base (MECS)'!$F$11,0.3*'energy base (MECS)'!$F$11,TRUE))</f>
        <v/>
      </c>
      <c r="AL21" s="68">
        <f t="array" ref="AL21">IF($D21,SUMPRODUCT((economics!$AG$2:$AG$167=$B21)*(economics!$D$2:$D$167="whr")*economics!$AH$2:$AH$167*_xlfn.NORM.DIST(AL$3,economics!$AK$2:$AK$167,economics!$AJ$2:$AJ$167,TRUE))+$CR21*_xlfn.NORM.DIST(AL$3,$CU21,0.3*$CU21,TRUE)+$CS21*_xlfn.NORM.DIST(AL$3,$CV21,0.3*$CV21,TRUE),$CW21*_xlfn.NORM.DIST(AL$3,'energy base (MECS)'!$F$11,0.3*'energy base (MECS)'!$F$11,TRUE))</f>
        <v/>
      </c>
      <c r="AM21" s="68">
        <f t="array" ref="AM21">IF($D21,SUMPRODUCT((economics!$AG$2:$AG$167=$B21)*(economics!$D$2:$D$167="whr")*economics!$AH$2:$AH$167*_xlfn.NORM.DIST(AM$3,economics!$AK$2:$AK$167,economics!$AJ$2:$AJ$167,TRUE))+$CR21*_xlfn.NORM.DIST(AM$3,$CU21,0.3*$CU21,TRUE)+$CS21*_xlfn.NORM.DIST(AM$3,$CV21,0.3*$CV21,TRUE),$CW21*_xlfn.NORM.DIST(AM$3,'energy base (MECS)'!$F$11,0.3*'energy base (MECS)'!$F$11,TRUE))</f>
        <v/>
      </c>
      <c r="AN21" s="68">
        <f t="array" ref="AN21">IF($D21,SUMPRODUCT((economics!$AG$2:$AG$167=$B21)*(economics!$D$2:$D$167="whr")*economics!$AH$2:$AH$167*_xlfn.NORM.DIST(AN$3,economics!$AK$2:$AK$167,economics!$AJ$2:$AJ$167,TRUE))+$CR21*_xlfn.NORM.DIST(AN$3,$CU21,0.3*$CU21,TRUE)+$CS21*_xlfn.NORM.DIST(AN$3,$CV21,0.3*$CV21,TRUE),$CW21*_xlfn.NORM.DIST(AN$3,'energy base (MECS)'!$F$11,0.3*'energy base (MECS)'!$F$11,TRUE))</f>
        <v/>
      </c>
      <c r="AO21" s="68">
        <f t="array" ref="AO21">IF($D21,SUMPRODUCT((economics!$AG$2:$AG$167=$B21)*(economics!$D$2:$D$167="whr")*economics!$AH$2:$AH$167*_xlfn.NORM.DIST(AO$3,economics!$AK$2:$AK$167,economics!$AJ$2:$AJ$167,TRUE))+$CR21*_xlfn.NORM.DIST(AO$3,$CU21,0.3*$CU21,TRUE)+$CS21*_xlfn.NORM.DIST(AO$3,$CV21,0.3*$CV21,TRUE),$CW21*_xlfn.NORM.DIST(AO$3,'energy base (MECS)'!$F$11,0.3*'energy base (MECS)'!$F$11,TRUE))</f>
        <v/>
      </c>
      <c r="AP21" s="68">
        <f t="array" ref="AP21">IF($D21,SUMPRODUCT((economics!$AG$2:$AG$167=$B21)*(economics!$D$2:$D$167="whr")*economics!$AH$2:$AH$167*_xlfn.NORM.DIST(AP$3,economics!$AK$2:$AK$167,economics!$AJ$2:$AJ$167,TRUE))+$CR21*_xlfn.NORM.DIST(AP$3,$CU21,0.3*$CU21,TRUE)+$CS21*_xlfn.NORM.DIST(AP$3,$CV21,0.3*$CV21,TRUE),$CW21*_xlfn.NORM.DIST(AP$3,'energy base (MECS)'!$F$11,0.3*'energy base (MECS)'!$F$11,TRUE))</f>
        <v/>
      </c>
      <c r="AQ21" s="68">
        <f t="array" ref="AQ21">IF($D21,SUMPRODUCT((economics!$AG$2:$AG$167=$B21)*(economics!$D$2:$D$167="whr")*economics!$AH$2:$AH$167*_xlfn.NORM.DIST(AQ$3,economics!$AK$2:$AK$167,economics!$AJ$2:$AJ$167,TRUE))+$CR21*_xlfn.NORM.DIST(AQ$3,$CU21,0.3*$CU21,TRUE)+$CS21*_xlfn.NORM.DIST(AQ$3,$CV21,0.3*$CV21,TRUE),$CW21*_xlfn.NORM.DIST(AQ$3,'energy base (MECS)'!$F$11,0.3*'energy base (MECS)'!$F$11,TRUE))</f>
        <v/>
      </c>
      <c r="AR21" s="68">
        <f t="array" ref="AR21">IF($D21,SUMPRODUCT((economics!$AG$2:$AG$167=$B21)*(economics!$D$2:$D$167="whr")*economics!$AH$2:$AH$167*_xlfn.NORM.DIST(AR$3,economics!$AK$2:$AK$167,economics!$AJ$2:$AJ$167,TRUE))+$CR21*_xlfn.NORM.DIST(AR$3,$CU21,0.3*$CU21,TRUE)+$CS21*_xlfn.NORM.DIST(AR$3,$CV21,0.3*$CV21,TRUE),$CW21*_xlfn.NORM.DIST(AR$3,'energy base (MECS)'!$F$11,0.3*'energy base (MECS)'!$F$11,TRUE))</f>
        <v/>
      </c>
      <c r="AS21" s="68">
        <f t="array" ref="AS21">IF($D21,SUMPRODUCT((economics!$AG$2:$AG$167=$B21)*(economics!$D$2:$D$167="whr")*economics!$AH$2:$AH$167*_xlfn.NORM.DIST(AS$3,economics!$AK$2:$AK$167,economics!$AJ$2:$AJ$167,TRUE))+$CR21*_xlfn.NORM.DIST(AS$3,$CU21,0.3*$CU21,TRUE)+$CS21*_xlfn.NORM.DIST(AS$3,$CV21,0.3*$CV21,TRUE),$CW21*_xlfn.NORM.DIST(AS$3,'energy base (MECS)'!$F$11,0.3*'energy base (MECS)'!$F$11,TRUE))</f>
        <v/>
      </c>
      <c r="AT21" s="68">
        <f t="array" ref="AT21">IF($D21,SUMPRODUCT((economics!$AG$2:$AG$167=$B21)*(economics!$D$2:$D$167="whr")*economics!$AH$2:$AH$167*_xlfn.NORM.DIST(AT$3,economics!$AK$2:$AK$167,economics!$AJ$2:$AJ$167,TRUE))+$CR21*_xlfn.NORM.DIST(AT$3,$CU21,0.3*$CU21,TRUE)+$CS21*_xlfn.NORM.DIST(AT$3,$CV21,0.3*$CV21,TRUE),$CW21*_xlfn.NORM.DIST(AT$3,'energy base (MECS)'!$F$11,0.3*'energy base (MECS)'!$F$11,TRUE))</f>
        <v/>
      </c>
      <c r="AU21" s="68">
        <f t="array" ref="AU21">IF($D21,SUMPRODUCT((economics!$AG$2:$AG$167=$B21)*(economics!$D$2:$D$167="whr")*economics!$AH$2:$AH$167*_xlfn.NORM.DIST(AU$3,economics!$AK$2:$AK$167,economics!$AJ$2:$AJ$167,TRUE))+$CR21*_xlfn.NORM.DIST(AU$3,$CU21,0.3*$CU21,TRUE)+$CS21*_xlfn.NORM.DIST(AU$3,$CV21,0.3*$CV21,TRUE),$CW21*_xlfn.NORM.DIST(AU$3,'energy base (MECS)'!$F$11,0.3*'energy base (MECS)'!$F$11,TRUE))</f>
        <v/>
      </c>
      <c r="AV21" s="68">
        <f t="array" ref="AV21">IF($D21,SUMPRODUCT((economics!$AG$2:$AG$167=$B21)*(economics!$D$2:$D$167="whr")*economics!$AH$2:$AH$167*_xlfn.NORM.DIST(AV$3,economics!$AK$2:$AK$167,economics!$AJ$2:$AJ$167,TRUE))+$CR21*_xlfn.NORM.DIST(AV$3,$CU21,0.3*$CU21,TRUE)+$CS21*_xlfn.NORM.DIST(AV$3,$CV21,0.3*$CV21,TRUE),$CW21*_xlfn.NORM.DIST(AV$3,'energy base (MECS)'!$F$11,0.3*'energy base (MECS)'!$F$11,TRUE))</f>
        <v/>
      </c>
      <c r="AW21" s="68">
        <f t="array" ref="AW21">IF($D21,SUMPRODUCT((economics!$AG$2:$AG$167=$B21)*(economics!$D$2:$D$167="whr")*economics!$AH$2:$AH$167*_xlfn.NORM.DIST(AW$3,economics!$AK$2:$AK$167,economics!$AJ$2:$AJ$167,TRUE))+$CR21*_xlfn.NORM.DIST(AW$3,$CU21,0.3*$CU21,TRUE)+$CS21*_xlfn.NORM.DIST(AW$3,$CV21,0.3*$CV21,TRUE),$CW21*_xlfn.NORM.DIST(AW$3,'energy base (MECS)'!$F$11,0.3*'energy base (MECS)'!$F$11,TRUE))</f>
        <v/>
      </c>
      <c r="AX21" s="68">
        <f t="array" ref="AX21">IF($D21,SUMPRODUCT((economics!$AG$2:$AG$167=$B21)*(economics!$D$2:$D$167="whr")*economics!$AH$2:$AH$167*_xlfn.NORM.DIST(AX$3,economics!$AK$2:$AK$167,economics!$AJ$2:$AJ$167,TRUE))+$CR21*_xlfn.NORM.DIST(AX$3,$CU21,0.3*$CU21,TRUE)+$CS21*_xlfn.NORM.DIST(AX$3,$CV21,0.3*$CV21,TRUE),$CW21*_xlfn.NORM.DIST(AX$3,'energy base (MECS)'!$F$11,0.3*'energy base (MECS)'!$F$11,TRUE))</f>
        <v/>
      </c>
      <c r="AY21" s="68">
        <f t="array" ref="AY21">IF($D21,SUMPRODUCT((economics!$AG$2:$AG$167=$B21)*(economics!$D$2:$D$167="whr")*economics!$AH$2:$AH$167*_xlfn.NORM.DIST(AY$3,economics!$AK$2:$AK$167,economics!$AJ$2:$AJ$167,TRUE))+$CR21*_xlfn.NORM.DIST(AY$3,$CU21,0.3*$CU21,TRUE)+$CS21*_xlfn.NORM.DIST(AY$3,$CV21,0.3*$CV21,TRUE),$CW21*_xlfn.NORM.DIST(AY$3,'energy base (MECS)'!$F$11,0.3*'energy base (MECS)'!$F$11,TRUE))</f>
        <v/>
      </c>
      <c r="AZ21" s="68">
        <f t="array" ref="AZ21">IF($D21,SUMPRODUCT((economics!$AG$2:$AG$167=$B21)*(economics!$D$2:$D$167="whr")*economics!$AH$2:$AH$167*_xlfn.NORM.DIST(AZ$3,economics!$AK$2:$AK$167,economics!$AJ$2:$AJ$167,TRUE))+$CR21*_xlfn.NORM.DIST(AZ$3,$CU21,0.3*$CU21,TRUE)+$CS21*_xlfn.NORM.DIST(AZ$3,$CV21,0.3*$CV21,TRUE),$CW21*_xlfn.NORM.DIST(AZ$3,'energy base (MECS)'!$F$11,0.3*'energy base (MECS)'!$F$11,TRUE))</f>
        <v/>
      </c>
      <c r="BA21" s="68">
        <f t="array" ref="BA21">IF($D21,SUMPRODUCT((economics!$AG$2:$AG$167=$B21)*(economics!$D$2:$D$167="whr")*economics!$AH$2:$AH$167*_xlfn.NORM.DIST(BA$3,economics!$AK$2:$AK$167,economics!$AJ$2:$AJ$167,TRUE))+$CR21*_xlfn.NORM.DIST(BA$3,$CU21,0.3*$CU21,TRUE)+$CS21*_xlfn.NORM.DIST(BA$3,$CV21,0.3*$CV21,TRUE),$CW21*_xlfn.NORM.DIST(BA$3,'energy base (MECS)'!$F$11,0.3*'energy base (MECS)'!$F$11,TRUE))</f>
        <v/>
      </c>
      <c r="BB21" s="68">
        <f t="array" ref="BB21">IF($D21,SUMPRODUCT((economics!$AG$2:$AG$167=$B21)*(economics!$D$2:$D$167="whr")*economics!$AH$2:$AH$167*_xlfn.NORM.DIST(BB$3,economics!$AK$2:$AK$167,economics!$AJ$2:$AJ$167,TRUE))+$CR21*_xlfn.NORM.DIST(BB$3,$CU21,0.3*$CU21,TRUE)+$CS21*_xlfn.NORM.DIST(BB$3,$CV21,0.3*$CV21,TRUE),$CW21*_xlfn.NORM.DIST(BB$3,'energy base (MECS)'!$F$11,0.3*'energy base (MECS)'!$F$11,TRUE))</f>
        <v/>
      </c>
      <c r="BC21" s="68">
        <f t="array" ref="BC21">IF($D21,SUMPRODUCT((economics!$AG$2:$AG$167=$B21)*(economics!$D$2:$D$167="whr")*economics!$AH$2:$AH$167*_xlfn.NORM.DIST(BC$3,economics!$AK$2:$AK$167,economics!$AJ$2:$AJ$167,TRUE))+$CR21*_xlfn.NORM.DIST(BC$3,$CU21,0.3*$CU21,TRUE)+$CS21*_xlfn.NORM.DIST(BC$3,$CV21,0.3*$CV21,TRUE),$CW21*_xlfn.NORM.DIST(BC$3,'energy base (MECS)'!$F$11,0.3*'energy base (MECS)'!$F$11,TRUE))</f>
        <v/>
      </c>
      <c r="BD21" s="68">
        <f t="array" ref="BD21">IF($D21,SUMPRODUCT((economics!$AG$2:$AG$167=$B21)*(economics!$D$2:$D$167="whr")*economics!$AH$2:$AH$167*_xlfn.NORM.DIST(BD$3,economics!$AK$2:$AK$167,economics!$AJ$2:$AJ$167,TRUE))+$CR21*_xlfn.NORM.DIST(BD$3,$CU21,0.3*$CU21,TRUE)+$CS21*_xlfn.NORM.DIST(BD$3,$CV21,0.3*$CV21,TRUE),$CW21*_xlfn.NORM.DIST(BD$3,'energy base (MECS)'!$F$11,0.3*'energy base (MECS)'!$F$11,TRUE))</f>
        <v/>
      </c>
      <c r="BE21" s="68">
        <f t="array" ref="BE21">IF($D21,SUMPRODUCT((economics!$AG$2:$AG$167=$B21)*(economics!$D$2:$D$167="whr")*economics!$AH$2:$AH$167*_xlfn.NORM.DIST(BE$3,economics!$AK$2:$AK$167,economics!$AJ$2:$AJ$167,TRUE))+$CR21*_xlfn.NORM.DIST(BE$3,$CU21,0.3*$CU21,TRUE)+$CS21*_xlfn.NORM.DIST(BE$3,$CV21,0.3*$CV21,TRUE),$CW21*_xlfn.NORM.DIST(BE$3,'energy base (MECS)'!$F$11,0.3*'energy base (MECS)'!$F$11,TRUE))</f>
        <v/>
      </c>
      <c r="BF21" s="68">
        <f t="array" ref="BF21">IF($D21,SUMPRODUCT((economics!$AG$2:$AG$167=$B21)*(economics!$D$2:$D$167="whr")*economics!$AH$2:$AH$167*_xlfn.NORM.DIST(BF$3,economics!$AK$2:$AK$167,economics!$AJ$2:$AJ$167,TRUE))+$CR21*_xlfn.NORM.DIST(BF$3,$CU21,0.3*$CU21,TRUE)+$CS21*_xlfn.NORM.DIST(BF$3,$CV21,0.3*$CV21,TRUE),$CW21*_xlfn.NORM.DIST(BF$3,'energy base (MECS)'!$F$11,0.3*'energy base (MECS)'!$F$11,TRUE))</f>
        <v/>
      </c>
      <c r="BG21" s="68">
        <f t="array" ref="BG21">IF($D21,SUMPRODUCT((economics!$AG$2:$AG$167=$B21)*(economics!$D$2:$D$167="whr")*economics!$AH$2:$AH$167*_xlfn.NORM.DIST(BG$3,economics!$AK$2:$AK$167,economics!$AJ$2:$AJ$167,TRUE))+$CR21*_xlfn.NORM.DIST(BG$3,$CU21,0.3*$CU21,TRUE)+$CS21*_xlfn.NORM.DIST(BG$3,$CV21,0.3*$CV21,TRUE),$CW21*_xlfn.NORM.DIST(BG$3,'energy base (MECS)'!$F$11,0.3*'energy base (MECS)'!$F$11,TRUE))</f>
        <v/>
      </c>
      <c r="BH21" s="68">
        <f t="array" ref="BH21">IF($D21,SUMPRODUCT((economics!$AG$2:$AG$167=$B21)*(economics!$D$2:$D$167="whr")*economics!$AH$2:$AH$167*_xlfn.NORM.DIST(BH$3,economics!$AK$2:$AK$167,economics!$AJ$2:$AJ$167,TRUE))+$CR21*_xlfn.NORM.DIST(BH$3,$CU21,0.3*$CU21,TRUE)+$CS21*_xlfn.NORM.DIST(BH$3,$CV21,0.3*$CV21,TRUE),$CW21*_xlfn.NORM.DIST(BH$3,'energy base (MECS)'!$F$11,0.3*'energy base (MECS)'!$F$11,TRUE))</f>
        <v/>
      </c>
      <c r="BI21" s="68">
        <f t="array" ref="BI21">IF($D21,SUMPRODUCT((economics!$AG$2:$AG$167=$B21)*(economics!$D$2:$D$167="whr")*economics!$AH$2:$AH$167*_xlfn.NORM.DIST(BI$3,economics!$AK$2:$AK$167,economics!$AJ$2:$AJ$167,TRUE))+$CR21*_xlfn.NORM.DIST(BI$3,$CU21,0.3*$CU21,TRUE)+$CS21*_xlfn.NORM.DIST(BI$3,$CV21,0.3*$CV21,TRUE),$CW21*_xlfn.NORM.DIST(BI$3,'energy base (MECS)'!$F$11,0.3*'energy base (MECS)'!$F$11,TRUE))</f>
        <v/>
      </c>
      <c r="BJ21" s="68">
        <f t="array" ref="BJ21">IF($D21,SUMPRODUCT((economics!$AG$2:$AG$167=$B21)*(economics!$D$2:$D$167="whr")*economics!$AH$2:$AH$167*_xlfn.NORM.DIST(BJ$3,economics!$AK$2:$AK$167,economics!$AJ$2:$AJ$167,TRUE))+$CR21*_xlfn.NORM.DIST(BJ$3,$CU21,0.3*$CU21,TRUE)+$CS21*_xlfn.NORM.DIST(BJ$3,$CV21,0.3*$CV21,TRUE),$CW21*_xlfn.NORM.DIST(BJ$3,'energy base (MECS)'!$F$11,0.3*'energy base (MECS)'!$F$11,TRUE))</f>
        <v/>
      </c>
      <c r="BK21" s="68">
        <f t="array" ref="BK21">IF($D21,SUMPRODUCT((economics!$AG$2:$AG$167=$B21)*(economics!$D$2:$D$167="whr")*economics!$AH$2:$AH$167*_xlfn.NORM.DIST(BK$3,economics!$AK$2:$AK$167,economics!$AJ$2:$AJ$167,TRUE))+$CR21*_xlfn.NORM.DIST(BK$3,$CU21,0.3*$CU21,TRUE)+$CS21*_xlfn.NORM.DIST(BK$3,$CV21,0.3*$CV21,TRUE),$CW21*_xlfn.NORM.DIST(BK$3,'energy base (MECS)'!$F$11,0.3*'energy base (MECS)'!$F$11,TRUE))</f>
        <v/>
      </c>
      <c r="BL21" s="68">
        <f t="array" ref="BL21">IF($D21,SUMPRODUCT((economics!$AG$2:$AG$167=$B21)*(economics!$D$2:$D$167="whr")*economics!$AH$2:$AH$167*_xlfn.NORM.DIST(BL$3,economics!$AK$2:$AK$167,economics!$AJ$2:$AJ$167,TRUE))+$CR21*_xlfn.NORM.DIST(BL$3,$CU21,0.3*$CU21,TRUE)+$CS21*_xlfn.NORM.DIST(BL$3,$CV21,0.3*$CV21,TRUE),$CW21*_xlfn.NORM.DIST(BL$3,'energy base (MECS)'!$F$11,0.3*'energy base (MECS)'!$F$11,TRUE))</f>
        <v/>
      </c>
      <c r="BM21" s="68">
        <f t="array" ref="BM21">IF($D21,SUMPRODUCT((economics!$AG$2:$AG$167=$B21)*(economics!$D$2:$D$167="whr")*economics!$AH$2:$AH$167*_xlfn.NORM.DIST(BM$3,economics!$AK$2:$AK$167,economics!$AJ$2:$AJ$167,TRUE))+$CR21*_xlfn.NORM.DIST(BM$3,$CU21,0.3*$CU21,TRUE)+$CS21*_xlfn.NORM.DIST(BM$3,$CV21,0.3*$CV21,TRUE),$CW21*_xlfn.NORM.DIST(BM$3,'energy base (MECS)'!$F$11,0.3*'energy base (MECS)'!$F$11,TRUE))</f>
        <v/>
      </c>
      <c r="BN21" s="68">
        <f t="array" ref="BN21">IF($D21,SUMPRODUCT((economics!$AG$2:$AG$167=$B21)*(economics!$D$2:$D$167="whr")*economics!$AH$2:$AH$167*_xlfn.NORM.DIST(BN$3,economics!$AK$2:$AK$167,economics!$AJ$2:$AJ$167,TRUE))+$CR21*_xlfn.NORM.DIST(BN$3,$CU21,0.3*$CU21,TRUE)+$CS21*_xlfn.NORM.DIST(BN$3,$CV21,0.3*$CV21,TRUE),$CW21*_xlfn.NORM.DIST(BN$3,'energy base (MECS)'!$F$11,0.3*'energy base (MECS)'!$F$11,TRUE))</f>
        <v/>
      </c>
      <c r="BO21" s="68">
        <f t="array" ref="BO21">IF($D21,SUMPRODUCT((economics!$AG$2:$AG$167=$B21)*(economics!$D$2:$D$167="whr")*economics!$AH$2:$AH$167*_xlfn.NORM.DIST(BO$3,economics!$AK$2:$AK$167,economics!$AJ$2:$AJ$167,TRUE))+$CR21*_xlfn.NORM.DIST(BO$3,$CU21,0.3*$CU21,TRUE)+$CS21*_xlfn.NORM.DIST(BO$3,$CV21,0.3*$CV21,TRUE),$CW21*_xlfn.NORM.DIST(BO$3,'energy base (MECS)'!$F$11,0.3*'energy base (MECS)'!$F$11,TRUE))</f>
        <v/>
      </c>
      <c r="BP21" s="68">
        <f t="array" ref="BP21">IF($D21,SUMPRODUCT((economics!$AG$2:$AG$167=$B21)*(economics!$D$2:$D$167="whr")*economics!$AH$2:$AH$167*_xlfn.NORM.DIST(BP$3,economics!$AK$2:$AK$167,economics!$AJ$2:$AJ$167,TRUE))+$CR21*_xlfn.NORM.DIST(BP$3,$CU21,0.3*$CU21,TRUE)+$CS21*_xlfn.NORM.DIST(BP$3,$CV21,0.3*$CV21,TRUE),$CW21*_xlfn.NORM.DIST(BP$3,'energy base (MECS)'!$F$11,0.3*'energy base (MECS)'!$F$11,TRUE))</f>
        <v/>
      </c>
      <c r="BQ21" s="68">
        <f t="array" ref="BQ21">IF($D21,SUMPRODUCT((economics!$AG$2:$AG$167=$B21)*(economics!$D$2:$D$167="whr")*economics!$AH$2:$AH$167*_xlfn.NORM.DIST(BQ$3,economics!$AK$2:$AK$167,economics!$AJ$2:$AJ$167,TRUE))+$CR21*_xlfn.NORM.DIST(BQ$3,$CU21,0.3*$CU21,TRUE)+$CS21*_xlfn.NORM.DIST(BQ$3,$CV21,0.3*$CV21,TRUE),$CW21*_xlfn.NORM.DIST(BQ$3,'energy base (MECS)'!$F$11,0.3*'energy base (MECS)'!$F$11,TRUE))</f>
        <v/>
      </c>
      <c r="BR21" s="68">
        <f t="array" ref="BR21">IF($D21,SUMPRODUCT((economics!$AG$2:$AG$167=$B21)*(economics!$D$2:$D$167="whr")*economics!$AH$2:$AH$167*_xlfn.NORM.DIST(BR$3,economics!$AK$2:$AK$167,economics!$AJ$2:$AJ$167,TRUE))+$CR21*_xlfn.NORM.DIST(BR$3,$CU21,0.3*$CU21,TRUE)+$CS21*_xlfn.NORM.DIST(BR$3,$CV21,0.3*$CV21,TRUE),$CW21*_xlfn.NORM.DIST(BR$3,'energy base (MECS)'!$F$11,0.3*'energy base (MECS)'!$F$11,TRUE))</f>
        <v/>
      </c>
      <c r="BS21" s="68">
        <f t="array" ref="BS21">IF($D21,SUMPRODUCT((economics!$AG$2:$AG$167=$B21)*(economics!$D$2:$D$167="whr")*economics!$AH$2:$AH$167*_xlfn.NORM.DIST(BS$3,economics!$AK$2:$AK$167,economics!$AJ$2:$AJ$167,TRUE))+$CR21*_xlfn.NORM.DIST(BS$3,$CU21,0.3*$CU21,TRUE)+$CS21*_xlfn.NORM.DIST(BS$3,$CV21,0.3*$CV21,TRUE),$CW21*_xlfn.NORM.DIST(BS$3,'energy base (MECS)'!$F$11,0.3*'energy base (MECS)'!$F$11,TRUE))</f>
        <v/>
      </c>
      <c r="BT21" s="68">
        <f t="array" ref="BT21">IF($D21,SUMPRODUCT((economics!$AG$2:$AG$167=$B21)*(economics!$D$2:$D$167="whr")*economics!$AH$2:$AH$167*_xlfn.NORM.DIST(BT$3,economics!$AK$2:$AK$167,economics!$AJ$2:$AJ$167,TRUE))+$CR21*_xlfn.NORM.DIST(BT$3,$CU21,0.3*$CU21,TRUE)+$CS21*_xlfn.NORM.DIST(BT$3,$CV21,0.3*$CV21,TRUE),$CW21*_xlfn.NORM.DIST(BT$3,'energy base (MECS)'!$F$11,0.3*'energy base (MECS)'!$F$11,TRUE))</f>
        <v/>
      </c>
      <c r="BU21" s="68">
        <f t="array" ref="BU21">IF($D21,SUMPRODUCT((economics!$AG$2:$AG$167=$B21)*(economics!$D$2:$D$167="whr")*economics!$AH$2:$AH$167*_xlfn.NORM.DIST(BU$3,economics!$AK$2:$AK$167,economics!$AJ$2:$AJ$167,TRUE))+$CR21*_xlfn.NORM.DIST(BU$3,$CU21,0.3*$CU21,TRUE)+$CS21*_xlfn.NORM.DIST(BU$3,$CV21,0.3*$CV21,TRUE),$CW21*_xlfn.NORM.DIST(BU$3,'energy base (MECS)'!$F$11,0.3*'energy base (MECS)'!$F$11,TRUE))</f>
        <v/>
      </c>
      <c r="BV21" s="68">
        <f t="array" ref="BV21">IF($D21,SUMPRODUCT((economics!$AG$2:$AG$167=$B21)*(economics!$D$2:$D$167="whr")*economics!$AH$2:$AH$167*_xlfn.NORM.DIST(BV$3,economics!$AK$2:$AK$167,economics!$AJ$2:$AJ$167,TRUE))+$CR21*_xlfn.NORM.DIST(BV$3,$CU21,0.3*$CU21,TRUE)+$CS21*_xlfn.NORM.DIST(BV$3,$CV21,0.3*$CV21,TRUE),$CW21*_xlfn.NORM.DIST(BV$3,'energy base (MECS)'!$F$11,0.3*'energy base (MECS)'!$F$11,TRUE))</f>
        <v/>
      </c>
      <c r="BW21" s="68">
        <f t="array" ref="BW21">IF($D21,SUMPRODUCT((economics!$AG$2:$AG$167=$B21)*(economics!$D$2:$D$167="whr")*economics!$AH$2:$AH$167*_xlfn.NORM.DIST(BW$3,economics!$AK$2:$AK$167,economics!$AJ$2:$AJ$167,TRUE))+$CR21*_xlfn.NORM.DIST(BW$3,$CU21,0.3*$CU21,TRUE)+$CS21*_xlfn.NORM.DIST(BW$3,$CV21,0.3*$CV21,TRUE),$CW21*_xlfn.NORM.DIST(BW$3,'energy base (MECS)'!$F$11,0.3*'energy base (MECS)'!$F$11,TRUE))</f>
        <v/>
      </c>
      <c r="BX21" s="68">
        <f t="array" ref="BX21">IF($D21,SUMPRODUCT((economics!$AG$2:$AG$167=$B21)*(economics!$D$2:$D$167="whr")*economics!$AH$2:$AH$167*_xlfn.NORM.DIST(BX$3,economics!$AK$2:$AK$167,economics!$AJ$2:$AJ$167,TRUE))+$CR21*_xlfn.NORM.DIST(BX$3,$CU21,0.3*$CU21,TRUE)+$CS21*_xlfn.NORM.DIST(BX$3,$CV21,0.3*$CV21,TRUE),$CW21*_xlfn.NORM.DIST(BX$3,'energy base (MECS)'!$F$11,0.3*'energy base (MECS)'!$F$11,TRUE))</f>
        <v/>
      </c>
      <c r="BY21" s="68">
        <f t="array" ref="BY21">IF($D21,SUMPRODUCT((economics!$AG$2:$AG$167=$B21)*(economics!$D$2:$D$167="whr")*economics!$AH$2:$AH$167*_xlfn.NORM.DIST(BY$3,economics!$AK$2:$AK$167,economics!$AJ$2:$AJ$167,TRUE))+$CR21*_xlfn.NORM.DIST(BY$3,$CU21,0.3*$CU21,TRUE)+$CS21*_xlfn.NORM.DIST(BY$3,$CV21,0.3*$CV21,TRUE),$CW21*_xlfn.NORM.DIST(BY$3,'energy base (MECS)'!$F$11,0.3*'energy base (MECS)'!$F$11,TRUE))</f>
        <v/>
      </c>
      <c r="BZ21" s="68">
        <f t="array" ref="BZ21">IF($D21,SUMPRODUCT((economics!$AG$2:$AG$167=$B21)*(economics!$D$2:$D$167="whr")*economics!$AH$2:$AH$167*_xlfn.NORM.DIST(BZ$3,economics!$AK$2:$AK$167,economics!$AJ$2:$AJ$167,TRUE))+$CR21*_xlfn.NORM.DIST(BZ$3,$CU21,0.3*$CU21,TRUE)+$CS21*_xlfn.NORM.DIST(BZ$3,$CV21,0.3*$CV21,TRUE),$CW21*_xlfn.NORM.DIST(BZ$3,'energy base (MECS)'!$F$11,0.3*'energy base (MECS)'!$F$11,TRUE))</f>
        <v/>
      </c>
      <c r="CA21" s="68">
        <f t="array" ref="CA21">IF($D21,SUMPRODUCT((economics!$AG$2:$AG$167=$B21)*(economics!$D$2:$D$167="whr")*economics!$AH$2:$AH$167*_xlfn.NORM.DIST(CA$3,economics!$AK$2:$AK$167,economics!$AJ$2:$AJ$167,TRUE))+$CR21*_xlfn.NORM.DIST(CA$3,$CU21,0.3*$CU21,TRUE)+$CS21*_xlfn.NORM.DIST(CA$3,$CV21,0.3*$CV21,TRUE),$CW21*_xlfn.NORM.DIST(CA$3,'energy base (MECS)'!$F$11,0.3*'energy base (MECS)'!$F$11,TRUE))</f>
        <v/>
      </c>
      <c r="CB21" s="68">
        <f t="array" ref="CB21">IF($D21,SUMPRODUCT((economics!$AG$2:$AG$167=$B21)*(economics!$D$2:$D$167="whr")*economics!$AH$2:$AH$167*_xlfn.NORM.DIST(CB$3,economics!$AK$2:$AK$167,economics!$AJ$2:$AJ$167,TRUE))+$CR21*_xlfn.NORM.DIST(CB$3,$CU21,0.3*$CU21,TRUE)+$CS21*_xlfn.NORM.DIST(CB$3,$CV21,0.3*$CV21,TRUE),$CW21*_xlfn.NORM.DIST(CB$3,'energy base (MECS)'!$F$11,0.3*'energy base (MECS)'!$F$11,TRUE))</f>
        <v/>
      </c>
      <c r="CC21" s="68">
        <f t="array" ref="CC21">IF($D21,SUMPRODUCT((economics!$AG$2:$AG$167=$B21)*(economics!$D$2:$D$167="whr")*economics!$AH$2:$AH$167*_xlfn.NORM.DIST(CC$3,economics!$AK$2:$AK$167,economics!$AJ$2:$AJ$167,TRUE))+$CR21*_xlfn.NORM.DIST(CC$3,$CU21,0.3*$CU21,TRUE)+$CS21*_xlfn.NORM.DIST(CC$3,$CV21,0.3*$CV21,TRUE),$CW21*_xlfn.NORM.DIST(CC$3,'energy base (MECS)'!$F$11,0.3*'energy base (MECS)'!$F$11,TRUE))</f>
        <v/>
      </c>
      <c r="CD21" s="68">
        <f t="array" ref="CD21">IF($D21,SUMPRODUCT((economics!$AG$2:$AG$167=$B21)*(economics!$D$2:$D$167="whr")*economics!$AH$2:$AH$167*_xlfn.NORM.DIST(CD$3,economics!$AK$2:$AK$167,economics!$AJ$2:$AJ$167,TRUE))+$CR21*_xlfn.NORM.DIST(CD$3,$CU21,0.3*$CU21,TRUE)+$CS21*_xlfn.NORM.DIST(CD$3,$CV21,0.3*$CV21,TRUE),$CW21*_xlfn.NORM.DIST(CD$3,'energy base (MECS)'!$F$11,0.3*'energy base (MECS)'!$F$11,TRUE))</f>
        <v/>
      </c>
      <c r="CE21" s="68">
        <f t="array" ref="CE21">IF($D21,SUMPRODUCT((economics!$AG$2:$AG$167=$B21)*(economics!$D$2:$D$167="whr")*economics!$AH$2:$AH$167*_xlfn.NORM.DIST(CE$3,economics!$AK$2:$AK$167,economics!$AJ$2:$AJ$167,TRUE))+$CR21*_xlfn.NORM.DIST(CE$3,$CU21,0.3*$CU21,TRUE)+$CS21*_xlfn.NORM.DIST(CE$3,$CV21,0.3*$CV21,TRUE),$CW21*_xlfn.NORM.DIST(CE$3,'energy base (MECS)'!$F$11,0.3*'energy base (MECS)'!$F$11,TRUE))</f>
        <v/>
      </c>
      <c r="CF21" s="68">
        <f t="array" ref="CF21">IF($D21,SUMPRODUCT((economics!$AG$2:$AG$167=$B21)*(economics!$D$2:$D$167="whr")*economics!$AH$2:$AH$167*_xlfn.NORM.DIST(CF$3,economics!$AK$2:$AK$167,economics!$AJ$2:$AJ$167,TRUE))+$CR21*_xlfn.NORM.DIST(CF$3,$CU21,0.3*$CU21,TRUE)+$CS21*_xlfn.NORM.DIST(CF$3,$CV21,0.3*$CV21,TRUE),$CW21*_xlfn.NORM.DIST(CF$3,'energy base (MECS)'!$F$11,0.3*'energy base (MECS)'!$F$11,TRUE))</f>
        <v/>
      </c>
      <c r="CG21" s="68">
        <f t="array" ref="CG21">IF($D21,SUMPRODUCT((economics!$AG$2:$AG$167=$B21)*(economics!$D$2:$D$167="whr")*economics!$AH$2:$AH$167*_xlfn.NORM.DIST(CG$3,economics!$AK$2:$AK$167,economics!$AJ$2:$AJ$167,TRUE))+$CR21*_xlfn.NORM.DIST(CG$3,$CU21,0.3*$CU21,TRUE)+$CS21*_xlfn.NORM.DIST(CG$3,$CV21,0.3*$CV21,TRUE),$CW21*_xlfn.NORM.DIST(CG$3,'energy base (MECS)'!$F$11,0.3*'energy base (MECS)'!$F$11,TRUE))</f>
        <v/>
      </c>
      <c r="CH21" s="68">
        <f t="array" ref="CH21">IF($D21,SUMPRODUCT((economics!$AG$2:$AG$167=$B21)*(economics!$D$2:$D$167="whr")*economics!$AH$2:$AH$167*_xlfn.NORM.DIST(CH$3,economics!$AK$2:$AK$167,economics!$AJ$2:$AJ$167,TRUE))+$CR21*_xlfn.NORM.DIST(CH$3,$CU21,0.3*$CU21,TRUE)+$CS21*_xlfn.NORM.DIST(CH$3,$CV21,0.3*$CV21,TRUE),$CW21*_xlfn.NORM.DIST(CH$3,'energy base (MECS)'!$F$11,0.3*'energy base (MECS)'!$F$11,TRUE))</f>
        <v/>
      </c>
      <c r="CJ21">
        <f t="array" ref="CJ21">SUMPRODUCT((economics!$AG$2:$AG$167=$B21)*(economics!$D$2:$D$167="whr")*economics!$AH$2:$AH$167)</f>
        <v/>
      </c>
      <c r="CK21" s="80">
        <f>'indst heat consumption'!D21</f>
        <v/>
      </c>
      <c r="CL21" s="80">
        <f>'indst heat consumption'!E21</f>
        <v/>
      </c>
      <c r="CM21" s="80">
        <f>'indst heat consumption'!F21</f>
        <v/>
      </c>
      <c r="CN21" s="80">
        <f>'indst heat consumption'!G21</f>
        <v/>
      </c>
      <c r="CO21" s="80">
        <f>'indst heat consumption'!H21</f>
        <v/>
      </c>
      <c r="CP21">
        <f>$C21*(CK21*summary!$B$94+CL21*summary!$C$94+CM21*summary!$D$94)</f>
        <v/>
      </c>
      <c r="CQ21">
        <f>$C21*(CN21*summary!$E$94+CO21*summary!$F$94)</f>
        <v/>
      </c>
      <c r="CR21">
        <f>IF(CP21+CQ21&gt;0,CP21*MAX(0,CP21+CQ21-CJ21)/(CP21+CQ21),0)</f>
        <v/>
      </c>
      <c r="CS21">
        <f>IF(CP21+CQ21&gt;0,CQ21*MAX(0,CP21+CQ21-CJ21)/(CP21+CQ21),0)</f>
        <v/>
      </c>
      <c r="CT21">
        <f>IFERROR(_xlfn.XLOOKUP($B21,'BCoISC-WACCbI'!$C$2:$C$26,'BCoISC-WACCbI'!$B$2:$B$26)+economics!$AE$4,0.1)</f>
        <v/>
      </c>
      <c r="CU21">
        <f>(summary!$C$7*(CT21/(1-(1+CT21)^-summary!$D$7))+summary!$C$7*summary!$E$7)/(summary!$F$7*3412/1000000)</f>
        <v/>
      </c>
      <c r="CV21">
        <f>(summary!$C$6*(CT21/(1-(1+CT21)^-summary!$D$6))+summary!$C$6*summary!$E$6)/(summary!$F$6*3412/1000000)</f>
        <v/>
      </c>
      <c r="CW21">
        <f>CR21+CS21</f>
        <v/>
      </c>
    </row>
    <row r="22">
      <c r="A22">
        <f>WHRPbI!A20</f>
        <v/>
      </c>
      <c r="B22" t="n">
        <v>28</v>
      </c>
      <c r="C22" s="68">
        <f>WHRPbI!B20</f>
        <v/>
      </c>
      <c r="D22">
        <f>ISNUMBER(MATCH($B22,'energy base (MECS)'!$K$4:$K$9,0))</f>
        <v/>
      </c>
      <c r="E22" s="68">
        <f t="array" ref="E22">IF($D22,SUMPRODUCT((economics!$AG$2:$AG$167=$B22)*(economics!$D$2:$D$167="whr")*economics!$AH$2:$AH$167*_xlfn.NORM.DIST(E$3,economics!$AK$2:$AK$167,economics!$AJ$2:$AJ$167,TRUE))+$CR22*_xlfn.NORM.DIST(E$3,$CU22,0.3*$CU22,TRUE)+$CS22*_xlfn.NORM.DIST(E$3,$CV22,0.3*$CV22,TRUE),$CW22*_xlfn.NORM.DIST(E$3,'energy base (MECS)'!$F$11,0.3*'energy base (MECS)'!$F$11,TRUE))</f>
        <v/>
      </c>
      <c r="F22" s="68">
        <f t="array" ref="F22">IF($D22,SUMPRODUCT((economics!$AG$2:$AG$167=$B22)*(economics!$D$2:$D$167="whr")*economics!$AH$2:$AH$167*_xlfn.NORM.DIST(F$3,economics!$AK$2:$AK$167,economics!$AJ$2:$AJ$167,TRUE))+$CR22*_xlfn.NORM.DIST(F$3,$CU22,0.3*$CU22,TRUE)+$CS22*_xlfn.NORM.DIST(F$3,$CV22,0.3*$CV22,TRUE),$CW22*_xlfn.NORM.DIST(F$3,'energy base (MECS)'!$F$11,0.3*'energy base (MECS)'!$F$11,TRUE))</f>
        <v/>
      </c>
      <c r="G22" s="68">
        <f t="array" ref="G22">IF($D22,SUMPRODUCT((economics!$AG$2:$AG$167=$B22)*(economics!$D$2:$D$167="whr")*economics!$AH$2:$AH$167*_xlfn.NORM.DIST(G$3,economics!$AK$2:$AK$167,economics!$AJ$2:$AJ$167,TRUE))+$CR22*_xlfn.NORM.DIST(G$3,$CU22,0.3*$CU22,TRUE)+$CS22*_xlfn.NORM.DIST(G$3,$CV22,0.3*$CV22,TRUE),$CW22*_xlfn.NORM.DIST(G$3,'energy base (MECS)'!$F$11,0.3*'energy base (MECS)'!$F$11,TRUE))</f>
        <v/>
      </c>
      <c r="H22" s="68">
        <f t="array" ref="H22">IF($D22,SUMPRODUCT((economics!$AG$2:$AG$167=$B22)*(economics!$D$2:$D$167="whr")*economics!$AH$2:$AH$167*_xlfn.NORM.DIST(H$3,economics!$AK$2:$AK$167,economics!$AJ$2:$AJ$167,TRUE))+$CR22*_xlfn.NORM.DIST(H$3,$CU22,0.3*$CU22,TRUE)+$CS22*_xlfn.NORM.DIST(H$3,$CV22,0.3*$CV22,TRUE),$CW22*_xlfn.NORM.DIST(H$3,'energy base (MECS)'!$F$11,0.3*'energy base (MECS)'!$F$11,TRUE))</f>
        <v/>
      </c>
      <c r="I22" s="68">
        <f t="array" ref="I22">IF($D22,SUMPRODUCT((economics!$AG$2:$AG$167=$B22)*(economics!$D$2:$D$167="whr")*economics!$AH$2:$AH$167*_xlfn.NORM.DIST(I$3,economics!$AK$2:$AK$167,economics!$AJ$2:$AJ$167,TRUE))+$CR22*_xlfn.NORM.DIST(I$3,$CU22,0.3*$CU22,TRUE)+$CS22*_xlfn.NORM.DIST(I$3,$CV22,0.3*$CV22,TRUE),$CW22*_xlfn.NORM.DIST(I$3,'energy base (MECS)'!$F$11,0.3*'energy base (MECS)'!$F$11,TRUE))</f>
        <v/>
      </c>
      <c r="J22" s="68">
        <f t="array" ref="J22">IF($D22,SUMPRODUCT((economics!$AG$2:$AG$167=$B22)*(economics!$D$2:$D$167="whr")*economics!$AH$2:$AH$167*_xlfn.NORM.DIST(J$3,economics!$AK$2:$AK$167,economics!$AJ$2:$AJ$167,TRUE))+$CR22*_xlfn.NORM.DIST(J$3,$CU22,0.3*$CU22,TRUE)+$CS22*_xlfn.NORM.DIST(J$3,$CV22,0.3*$CV22,TRUE),$CW22*_xlfn.NORM.DIST(J$3,'energy base (MECS)'!$F$11,0.3*'energy base (MECS)'!$F$11,TRUE))</f>
        <v/>
      </c>
      <c r="K22" s="68">
        <f t="array" ref="K22">IF($D22,SUMPRODUCT((economics!$AG$2:$AG$167=$B22)*(economics!$D$2:$D$167="whr")*economics!$AH$2:$AH$167*_xlfn.NORM.DIST(K$3,economics!$AK$2:$AK$167,economics!$AJ$2:$AJ$167,TRUE))+$CR22*_xlfn.NORM.DIST(K$3,$CU22,0.3*$CU22,TRUE)+$CS22*_xlfn.NORM.DIST(K$3,$CV22,0.3*$CV22,TRUE),$CW22*_xlfn.NORM.DIST(K$3,'energy base (MECS)'!$F$11,0.3*'energy base (MECS)'!$F$11,TRUE))</f>
        <v/>
      </c>
      <c r="L22" s="68">
        <f t="array" ref="L22">IF($D22,SUMPRODUCT((economics!$AG$2:$AG$167=$B22)*(economics!$D$2:$D$167="whr")*economics!$AH$2:$AH$167*_xlfn.NORM.DIST(L$3,economics!$AK$2:$AK$167,economics!$AJ$2:$AJ$167,TRUE))+$CR22*_xlfn.NORM.DIST(L$3,$CU22,0.3*$CU22,TRUE)+$CS22*_xlfn.NORM.DIST(L$3,$CV22,0.3*$CV22,TRUE),$CW22*_xlfn.NORM.DIST(L$3,'energy base (MECS)'!$F$11,0.3*'energy base (MECS)'!$F$11,TRUE))</f>
        <v/>
      </c>
      <c r="M22" s="68">
        <f t="array" ref="M22">IF($D22,SUMPRODUCT((economics!$AG$2:$AG$167=$B22)*(economics!$D$2:$D$167="whr")*economics!$AH$2:$AH$167*_xlfn.NORM.DIST(M$3,economics!$AK$2:$AK$167,economics!$AJ$2:$AJ$167,TRUE))+$CR22*_xlfn.NORM.DIST(M$3,$CU22,0.3*$CU22,TRUE)+$CS22*_xlfn.NORM.DIST(M$3,$CV22,0.3*$CV22,TRUE),$CW22*_xlfn.NORM.DIST(M$3,'energy base (MECS)'!$F$11,0.3*'energy base (MECS)'!$F$11,TRUE))</f>
        <v/>
      </c>
      <c r="N22" s="68">
        <f t="array" ref="N22">IF($D22,SUMPRODUCT((economics!$AG$2:$AG$167=$B22)*(economics!$D$2:$D$167="whr")*economics!$AH$2:$AH$167*_xlfn.NORM.DIST(N$3,economics!$AK$2:$AK$167,economics!$AJ$2:$AJ$167,TRUE))+$CR22*_xlfn.NORM.DIST(N$3,$CU22,0.3*$CU22,TRUE)+$CS22*_xlfn.NORM.DIST(N$3,$CV22,0.3*$CV22,TRUE),$CW22*_xlfn.NORM.DIST(N$3,'energy base (MECS)'!$F$11,0.3*'energy base (MECS)'!$F$11,TRUE))</f>
        <v/>
      </c>
      <c r="O22" s="68">
        <f t="array" ref="O22">IF($D22,SUMPRODUCT((economics!$AG$2:$AG$167=$B22)*(economics!$D$2:$D$167="whr")*economics!$AH$2:$AH$167*_xlfn.NORM.DIST(O$3,economics!$AK$2:$AK$167,economics!$AJ$2:$AJ$167,TRUE))+$CR22*_xlfn.NORM.DIST(O$3,$CU22,0.3*$CU22,TRUE)+$CS22*_xlfn.NORM.DIST(O$3,$CV22,0.3*$CV22,TRUE),$CW22*_xlfn.NORM.DIST(O$3,'energy base (MECS)'!$F$11,0.3*'energy base (MECS)'!$F$11,TRUE))</f>
        <v/>
      </c>
      <c r="P22" s="68">
        <f t="array" ref="P22">IF($D22,SUMPRODUCT((economics!$AG$2:$AG$167=$B22)*(economics!$D$2:$D$167="whr")*economics!$AH$2:$AH$167*_xlfn.NORM.DIST(P$3,economics!$AK$2:$AK$167,economics!$AJ$2:$AJ$167,TRUE))+$CR22*_xlfn.NORM.DIST(P$3,$CU22,0.3*$CU22,TRUE)+$CS22*_xlfn.NORM.DIST(P$3,$CV22,0.3*$CV22,TRUE),$CW22*_xlfn.NORM.DIST(P$3,'energy base (MECS)'!$F$11,0.3*'energy base (MECS)'!$F$11,TRUE))</f>
        <v/>
      </c>
      <c r="Q22" s="68">
        <f t="array" ref="Q22">IF($D22,SUMPRODUCT((economics!$AG$2:$AG$167=$B22)*(economics!$D$2:$D$167="whr")*economics!$AH$2:$AH$167*_xlfn.NORM.DIST(Q$3,economics!$AK$2:$AK$167,economics!$AJ$2:$AJ$167,TRUE))+$CR22*_xlfn.NORM.DIST(Q$3,$CU22,0.3*$CU22,TRUE)+$CS22*_xlfn.NORM.DIST(Q$3,$CV22,0.3*$CV22,TRUE),$CW22*_xlfn.NORM.DIST(Q$3,'energy base (MECS)'!$F$11,0.3*'energy base (MECS)'!$F$11,TRUE))</f>
        <v/>
      </c>
      <c r="R22" s="68">
        <f t="array" ref="R22">IF($D22,SUMPRODUCT((economics!$AG$2:$AG$167=$B22)*(economics!$D$2:$D$167="whr")*economics!$AH$2:$AH$167*_xlfn.NORM.DIST(R$3,economics!$AK$2:$AK$167,economics!$AJ$2:$AJ$167,TRUE))+$CR22*_xlfn.NORM.DIST(R$3,$CU22,0.3*$CU22,TRUE)+$CS22*_xlfn.NORM.DIST(R$3,$CV22,0.3*$CV22,TRUE),$CW22*_xlfn.NORM.DIST(R$3,'energy base (MECS)'!$F$11,0.3*'energy base (MECS)'!$F$11,TRUE))</f>
        <v/>
      </c>
      <c r="S22" s="68">
        <f t="array" ref="S22">IF($D22,SUMPRODUCT((economics!$AG$2:$AG$167=$B22)*(economics!$D$2:$D$167="whr")*economics!$AH$2:$AH$167*_xlfn.NORM.DIST(S$3,economics!$AK$2:$AK$167,economics!$AJ$2:$AJ$167,TRUE))+$CR22*_xlfn.NORM.DIST(S$3,$CU22,0.3*$CU22,TRUE)+$CS22*_xlfn.NORM.DIST(S$3,$CV22,0.3*$CV22,TRUE),$CW22*_xlfn.NORM.DIST(S$3,'energy base (MECS)'!$F$11,0.3*'energy base (MECS)'!$F$11,TRUE))</f>
        <v/>
      </c>
      <c r="T22" s="68">
        <f t="array" ref="T22">IF($D22,SUMPRODUCT((economics!$AG$2:$AG$167=$B22)*(economics!$D$2:$D$167="whr")*economics!$AH$2:$AH$167*_xlfn.NORM.DIST(T$3,economics!$AK$2:$AK$167,economics!$AJ$2:$AJ$167,TRUE))+$CR22*_xlfn.NORM.DIST(T$3,$CU22,0.3*$CU22,TRUE)+$CS22*_xlfn.NORM.DIST(T$3,$CV22,0.3*$CV22,TRUE),$CW22*_xlfn.NORM.DIST(T$3,'energy base (MECS)'!$F$11,0.3*'energy base (MECS)'!$F$11,TRUE))</f>
        <v/>
      </c>
      <c r="U22" s="68">
        <f t="array" ref="U22">IF($D22,SUMPRODUCT((economics!$AG$2:$AG$167=$B22)*(economics!$D$2:$D$167="whr")*economics!$AH$2:$AH$167*_xlfn.NORM.DIST(U$3,economics!$AK$2:$AK$167,economics!$AJ$2:$AJ$167,TRUE))+$CR22*_xlfn.NORM.DIST(U$3,$CU22,0.3*$CU22,TRUE)+$CS22*_xlfn.NORM.DIST(U$3,$CV22,0.3*$CV22,TRUE),$CW22*_xlfn.NORM.DIST(U$3,'energy base (MECS)'!$F$11,0.3*'energy base (MECS)'!$F$11,TRUE))</f>
        <v/>
      </c>
      <c r="V22" s="68">
        <f t="array" ref="V22">IF($D22,SUMPRODUCT((economics!$AG$2:$AG$167=$B22)*(economics!$D$2:$D$167="whr")*economics!$AH$2:$AH$167*_xlfn.NORM.DIST(V$3,economics!$AK$2:$AK$167,economics!$AJ$2:$AJ$167,TRUE))+$CR22*_xlfn.NORM.DIST(V$3,$CU22,0.3*$CU22,TRUE)+$CS22*_xlfn.NORM.DIST(V$3,$CV22,0.3*$CV22,TRUE),$CW22*_xlfn.NORM.DIST(V$3,'energy base (MECS)'!$F$11,0.3*'energy base (MECS)'!$F$11,TRUE))</f>
        <v/>
      </c>
      <c r="W22" s="68">
        <f t="array" ref="W22">IF($D22,SUMPRODUCT((economics!$AG$2:$AG$167=$B22)*(economics!$D$2:$D$167="whr")*economics!$AH$2:$AH$167*_xlfn.NORM.DIST(W$3,economics!$AK$2:$AK$167,economics!$AJ$2:$AJ$167,TRUE))+$CR22*_xlfn.NORM.DIST(W$3,$CU22,0.3*$CU22,TRUE)+$CS22*_xlfn.NORM.DIST(W$3,$CV22,0.3*$CV22,TRUE),$CW22*_xlfn.NORM.DIST(W$3,'energy base (MECS)'!$F$11,0.3*'energy base (MECS)'!$F$11,TRUE))</f>
        <v/>
      </c>
      <c r="X22" s="68">
        <f t="array" ref="X22">IF($D22,SUMPRODUCT((economics!$AG$2:$AG$167=$B22)*(economics!$D$2:$D$167="whr")*economics!$AH$2:$AH$167*_xlfn.NORM.DIST(X$3,economics!$AK$2:$AK$167,economics!$AJ$2:$AJ$167,TRUE))+$CR22*_xlfn.NORM.DIST(X$3,$CU22,0.3*$CU22,TRUE)+$CS22*_xlfn.NORM.DIST(X$3,$CV22,0.3*$CV22,TRUE),$CW22*_xlfn.NORM.DIST(X$3,'energy base (MECS)'!$F$11,0.3*'energy base (MECS)'!$F$11,TRUE))</f>
        <v/>
      </c>
      <c r="Y22" s="68">
        <f t="array" ref="Y22">IF($D22,SUMPRODUCT((economics!$AG$2:$AG$167=$B22)*(economics!$D$2:$D$167="whr")*economics!$AH$2:$AH$167*_xlfn.NORM.DIST(Y$3,economics!$AK$2:$AK$167,economics!$AJ$2:$AJ$167,TRUE))+$CR22*_xlfn.NORM.DIST(Y$3,$CU22,0.3*$CU22,TRUE)+$CS22*_xlfn.NORM.DIST(Y$3,$CV22,0.3*$CV22,TRUE),$CW22*_xlfn.NORM.DIST(Y$3,'energy base (MECS)'!$F$11,0.3*'energy base (MECS)'!$F$11,TRUE))</f>
        <v/>
      </c>
      <c r="Z22" s="68">
        <f t="array" ref="Z22">IF($D22,SUMPRODUCT((economics!$AG$2:$AG$167=$B22)*(economics!$D$2:$D$167="whr")*economics!$AH$2:$AH$167*_xlfn.NORM.DIST(Z$3,economics!$AK$2:$AK$167,economics!$AJ$2:$AJ$167,TRUE))+$CR22*_xlfn.NORM.DIST(Z$3,$CU22,0.3*$CU22,TRUE)+$CS22*_xlfn.NORM.DIST(Z$3,$CV22,0.3*$CV22,TRUE),$CW22*_xlfn.NORM.DIST(Z$3,'energy base (MECS)'!$F$11,0.3*'energy base (MECS)'!$F$11,TRUE))</f>
        <v/>
      </c>
      <c r="AA22" s="68">
        <f t="array" ref="AA22">IF($D22,SUMPRODUCT((economics!$AG$2:$AG$167=$B22)*(economics!$D$2:$D$167="whr")*economics!$AH$2:$AH$167*_xlfn.NORM.DIST(AA$3,economics!$AK$2:$AK$167,economics!$AJ$2:$AJ$167,TRUE))+$CR22*_xlfn.NORM.DIST(AA$3,$CU22,0.3*$CU22,TRUE)+$CS22*_xlfn.NORM.DIST(AA$3,$CV22,0.3*$CV22,TRUE),$CW22*_xlfn.NORM.DIST(AA$3,'energy base (MECS)'!$F$11,0.3*'energy base (MECS)'!$F$11,TRUE))</f>
        <v/>
      </c>
      <c r="AB22" s="68">
        <f t="array" ref="AB22">IF($D22,SUMPRODUCT((economics!$AG$2:$AG$167=$B22)*(economics!$D$2:$D$167="whr")*economics!$AH$2:$AH$167*_xlfn.NORM.DIST(AB$3,economics!$AK$2:$AK$167,economics!$AJ$2:$AJ$167,TRUE))+$CR22*_xlfn.NORM.DIST(AB$3,$CU22,0.3*$CU22,TRUE)+$CS22*_xlfn.NORM.DIST(AB$3,$CV22,0.3*$CV22,TRUE),$CW22*_xlfn.NORM.DIST(AB$3,'energy base (MECS)'!$F$11,0.3*'energy base (MECS)'!$F$11,TRUE))</f>
        <v/>
      </c>
      <c r="AC22" s="68">
        <f t="array" ref="AC22">IF($D22,SUMPRODUCT((economics!$AG$2:$AG$167=$B22)*(economics!$D$2:$D$167="whr")*economics!$AH$2:$AH$167*_xlfn.NORM.DIST(AC$3,economics!$AK$2:$AK$167,economics!$AJ$2:$AJ$167,TRUE))+$CR22*_xlfn.NORM.DIST(AC$3,$CU22,0.3*$CU22,TRUE)+$CS22*_xlfn.NORM.DIST(AC$3,$CV22,0.3*$CV22,TRUE),$CW22*_xlfn.NORM.DIST(AC$3,'energy base (MECS)'!$F$11,0.3*'energy base (MECS)'!$F$11,TRUE))</f>
        <v/>
      </c>
      <c r="AD22" s="68">
        <f t="array" ref="AD22">IF($D22,SUMPRODUCT((economics!$AG$2:$AG$167=$B22)*(economics!$D$2:$D$167="whr")*economics!$AH$2:$AH$167*_xlfn.NORM.DIST(AD$3,economics!$AK$2:$AK$167,economics!$AJ$2:$AJ$167,TRUE))+$CR22*_xlfn.NORM.DIST(AD$3,$CU22,0.3*$CU22,TRUE)+$CS22*_xlfn.NORM.DIST(AD$3,$CV22,0.3*$CV22,TRUE),$CW22*_xlfn.NORM.DIST(AD$3,'energy base (MECS)'!$F$11,0.3*'energy base (MECS)'!$F$11,TRUE))</f>
        <v/>
      </c>
      <c r="AE22" s="68">
        <f t="array" ref="AE22">IF($D22,SUMPRODUCT((economics!$AG$2:$AG$167=$B22)*(economics!$D$2:$D$167="whr")*economics!$AH$2:$AH$167*_xlfn.NORM.DIST(AE$3,economics!$AK$2:$AK$167,economics!$AJ$2:$AJ$167,TRUE))+$CR22*_xlfn.NORM.DIST(AE$3,$CU22,0.3*$CU22,TRUE)+$CS22*_xlfn.NORM.DIST(AE$3,$CV22,0.3*$CV22,TRUE),$CW22*_xlfn.NORM.DIST(AE$3,'energy base (MECS)'!$F$11,0.3*'energy base (MECS)'!$F$11,TRUE))</f>
        <v/>
      </c>
      <c r="AF22" s="68">
        <f t="array" ref="AF22">IF($D22,SUMPRODUCT((economics!$AG$2:$AG$167=$B22)*(economics!$D$2:$D$167="whr")*economics!$AH$2:$AH$167*_xlfn.NORM.DIST(AF$3,economics!$AK$2:$AK$167,economics!$AJ$2:$AJ$167,TRUE))+$CR22*_xlfn.NORM.DIST(AF$3,$CU22,0.3*$CU22,TRUE)+$CS22*_xlfn.NORM.DIST(AF$3,$CV22,0.3*$CV22,TRUE),$CW22*_xlfn.NORM.DIST(AF$3,'energy base (MECS)'!$F$11,0.3*'energy base (MECS)'!$F$11,TRUE))</f>
        <v/>
      </c>
      <c r="AG22" s="68">
        <f t="array" ref="AG22">IF($D22,SUMPRODUCT((economics!$AG$2:$AG$167=$B22)*(economics!$D$2:$D$167="whr")*economics!$AH$2:$AH$167*_xlfn.NORM.DIST(AG$3,economics!$AK$2:$AK$167,economics!$AJ$2:$AJ$167,TRUE))+$CR22*_xlfn.NORM.DIST(AG$3,$CU22,0.3*$CU22,TRUE)+$CS22*_xlfn.NORM.DIST(AG$3,$CV22,0.3*$CV22,TRUE),$CW22*_xlfn.NORM.DIST(AG$3,'energy base (MECS)'!$F$11,0.3*'energy base (MECS)'!$F$11,TRUE))</f>
        <v/>
      </c>
      <c r="AH22" s="68">
        <f t="array" ref="AH22">IF($D22,SUMPRODUCT((economics!$AG$2:$AG$167=$B22)*(economics!$D$2:$D$167="whr")*economics!$AH$2:$AH$167*_xlfn.NORM.DIST(AH$3,economics!$AK$2:$AK$167,economics!$AJ$2:$AJ$167,TRUE))+$CR22*_xlfn.NORM.DIST(AH$3,$CU22,0.3*$CU22,TRUE)+$CS22*_xlfn.NORM.DIST(AH$3,$CV22,0.3*$CV22,TRUE),$CW22*_xlfn.NORM.DIST(AH$3,'energy base (MECS)'!$F$11,0.3*'energy base (MECS)'!$F$11,TRUE))</f>
        <v/>
      </c>
      <c r="AI22" s="68">
        <f t="array" ref="AI22">IF($D22,SUMPRODUCT((economics!$AG$2:$AG$167=$B22)*(economics!$D$2:$D$167="whr")*economics!$AH$2:$AH$167*_xlfn.NORM.DIST(AI$3,economics!$AK$2:$AK$167,economics!$AJ$2:$AJ$167,TRUE))+$CR22*_xlfn.NORM.DIST(AI$3,$CU22,0.3*$CU22,TRUE)+$CS22*_xlfn.NORM.DIST(AI$3,$CV22,0.3*$CV22,TRUE),$CW22*_xlfn.NORM.DIST(AI$3,'energy base (MECS)'!$F$11,0.3*'energy base (MECS)'!$F$11,TRUE))</f>
        <v/>
      </c>
      <c r="AJ22" s="68">
        <f t="array" ref="AJ22">IF($D22,SUMPRODUCT((economics!$AG$2:$AG$167=$B22)*(economics!$D$2:$D$167="whr")*economics!$AH$2:$AH$167*_xlfn.NORM.DIST(AJ$3,economics!$AK$2:$AK$167,economics!$AJ$2:$AJ$167,TRUE))+$CR22*_xlfn.NORM.DIST(AJ$3,$CU22,0.3*$CU22,TRUE)+$CS22*_xlfn.NORM.DIST(AJ$3,$CV22,0.3*$CV22,TRUE),$CW22*_xlfn.NORM.DIST(AJ$3,'energy base (MECS)'!$F$11,0.3*'energy base (MECS)'!$F$11,TRUE))</f>
        <v/>
      </c>
      <c r="AK22" s="68">
        <f t="array" ref="AK22">IF($D22,SUMPRODUCT((economics!$AG$2:$AG$167=$B22)*(economics!$D$2:$D$167="whr")*economics!$AH$2:$AH$167*_xlfn.NORM.DIST(AK$3,economics!$AK$2:$AK$167,economics!$AJ$2:$AJ$167,TRUE))+$CR22*_xlfn.NORM.DIST(AK$3,$CU22,0.3*$CU22,TRUE)+$CS22*_xlfn.NORM.DIST(AK$3,$CV22,0.3*$CV22,TRUE),$CW22*_xlfn.NORM.DIST(AK$3,'energy base (MECS)'!$F$11,0.3*'energy base (MECS)'!$F$11,TRUE))</f>
        <v/>
      </c>
      <c r="AL22" s="68">
        <f t="array" ref="AL22">IF($D22,SUMPRODUCT((economics!$AG$2:$AG$167=$B22)*(economics!$D$2:$D$167="whr")*economics!$AH$2:$AH$167*_xlfn.NORM.DIST(AL$3,economics!$AK$2:$AK$167,economics!$AJ$2:$AJ$167,TRUE))+$CR22*_xlfn.NORM.DIST(AL$3,$CU22,0.3*$CU22,TRUE)+$CS22*_xlfn.NORM.DIST(AL$3,$CV22,0.3*$CV22,TRUE),$CW22*_xlfn.NORM.DIST(AL$3,'energy base (MECS)'!$F$11,0.3*'energy base (MECS)'!$F$11,TRUE))</f>
        <v/>
      </c>
      <c r="AM22" s="68">
        <f t="array" ref="AM22">IF($D22,SUMPRODUCT((economics!$AG$2:$AG$167=$B22)*(economics!$D$2:$D$167="whr")*economics!$AH$2:$AH$167*_xlfn.NORM.DIST(AM$3,economics!$AK$2:$AK$167,economics!$AJ$2:$AJ$167,TRUE))+$CR22*_xlfn.NORM.DIST(AM$3,$CU22,0.3*$CU22,TRUE)+$CS22*_xlfn.NORM.DIST(AM$3,$CV22,0.3*$CV22,TRUE),$CW22*_xlfn.NORM.DIST(AM$3,'energy base (MECS)'!$F$11,0.3*'energy base (MECS)'!$F$11,TRUE))</f>
        <v/>
      </c>
      <c r="AN22" s="68">
        <f t="array" ref="AN22">IF($D22,SUMPRODUCT((economics!$AG$2:$AG$167=$B22)*(economics!$D$2:$D$167="whr")*economics!$AH$2:$AH$167*_xlfn.NORM.DIST(AN$3,economics!$AK$2:$AK$167,economics!$AJ$2:$AJ$167,TRUE))+$CR22*_xlfn.NORM.DIST(AN$3,$CU22,0.3*$CU22,TRUE)+$CS22*_xlfn.NORM.DIST(AN$3,$CV22,0.3*$CV22,TRUE),$CW22*_xlfn.NORM.DIST(AN$3,'energy base (MECS)'!$F$11,0.3*'energy base (MECS)'!$F$11,TRUE))</f>
        <v/>
      </c>
      <c r="AO22" s="68">
        <f t="array" ref="AO22">IF($D22,SUMPRODUCT((economics!$AG$2:$AG$167=$B22)*(economics!$D$2:$D$167="whr")*economics!$AH$2:$AH$167*_xlfn.NORM.DIST(AO$3,economics!$AK$2:$AK$167,economics!$AJ$2:$AJ$167,TRUE))+$CR22*_xlfn.NORM.DIST(AO$3,$CU22,0.3*$CU22,TRUE)+$CS22*_xlfn.NORM.DIST(AO$3,$CV22,0.3*$CV22,TRUE),$CW22*_xlfn.NORM.DIST(AO$3,'energy base (MECS)'!$F$11,0.3*'energy base (MECS)'!$F$11,TRUE))</f>
        <v/>
      </c>
      <c r="AP22" s="68">
        <f t="array" ref="AP22">IF($D22,SUMPRODUCT((economics!$AG$2:$AG$167=$B22)*(economics!$D$2:$D$167="whr")*economics!$AH$2:$AH$167*_xlfn.NORM.DIST(AP$3,economics!$AK$2:$AK$167,economics!$AJ$2:$AJ$167,TRUE))+$CR22*_xlfn.NORM.DIST(AP$3,$CU22,0.3*$CU22,TRUE)+$CS22*_xlfn.NORM.DIST(AP$3,$CV22,0.3*$CV22,TRUE),$CW22*_xlfn.NORM.DIST(AP$3,'energy base (MECS)'!$F$11,0.3*'energy base (MECS)'!$F$11,TRUE))</f>
        <v/>
      </c>
      <c r="AQ22" s="68">
        <f t="array" ref="AQ22">IF($D22,SUMPRODUCT((economics!$AG$2:$AG$167=$B22)*(economics!$D$2:$D$167="whr")*economics!$AH$2:$AH$167*_xlfn.NORM.DIST(AQ$3,economics!$AK$2:$AK$167,economics!$AJ$2:$AJ$167,TRUE))+$CR22*_xlfn.NORM.DIST(AQ$3,$CU22,0.3*$CU22,TRUE)+$CS22*_xlfn.NORM.DIST(AQ$3,$CV22,0.3*$CV22,TRUE),$CW22*_xlfn.NORM.DIST(AQ$3,'energy base (MECS)'!$F$11,0.3*'energy base (MECS)'!$F$11,TRUE))</f>
        <v/>
      </c>
      <c r="AR22" s="68">
        <f t="array" ref="AR22">IF($D22,SUMPRODUCT((economics!$AG$2:$AG$167=$B22)*(economics!$D$2:$D$167="whr")*economics!$AH$2:$AH$167*_xlfn.NORM.DIST(AR$3,economics!$AK$2:$AK$167,economics!$AJ$2:$AJ$167,TRUE))+$CR22*_xlfn.NORM.DIST(AR$3,$CU22,0.3*$CU22,TRUE)+$CS22*_xlfn.NORM.DIST(AR$3,$CV22,0.3*$CV22,TRUE),$CW22*_xlfn.NORM.DIST(AR$3,'energy base (MECS)'!$F$11,0.3*'energy base (MECS)'!$F$11,TRUE))</f>
        <v/>
      </c>
      <c r="AS22" s="68">
        <f t="array" ref="AS22">IF($D22,SUMPRODUCT((economics!$AG$2:$AG$167=$B22)*(economics!$D$2:$D$167="whr")*economics!$AH$2:$AH$167*_xlfn.NORM.DIST(AS$3,economics!$AK$2:$AK$167,economics!$AJ$2:$AJ$167,TRUE))+$CR22*_xlfn.NORM.DIST(AS$3,$CU22,0.3*$CU22,TRUE)+$CS22*_xlfn.NORM.DIST(AS$3,$CV22,0.3*$CV22,TRUE),$CW22*_xlfn.NORM.DIST(AS$3,'energy base (MECS)'!$F$11,0.3*'energy base (MECS)'!$F$11,TRUE))</f>
        <v/>
      </c>
      <c r="AT22" s="68">
        <f t="array" ref="AT22">IF($D22,SUMPRODUCT((economics!$AG$2:$AG$167=$B22)*(economics!$D$2:$D$167="whr")*economics!$AH$2:$AH$167*_xlfn.NORM.DIST(AT$3,economics!$AK$2:$AK$167,economics!$AJ$2:$AJ$167,TRUE))+$CR22*_xlfn.NORM.DIST(AT$3,$CU22,0.3*$CU22,TRUE)+$CS22*_xlfn.NORM.DIST(AT$3,$CV22,0.3*$CV22,TRUE),$CW22*_xlfn.NORM.DIST(AT$3,'energy base (MECS)'!$F$11,0.3*'energy base (MECS)'!$F$11,TRUE))</f>
        <v/>
      </c>
      <c r="AU22" s="68">
        <f t="array" ref="AU22">IF($D22,SUMPRODUCT((economics!$AG$2:$AG$167=$B22)*(economics!$D$2:$D$167="whr")*economics!$AH$2:$AH$167*_xlfn.NORM.DIST(AU$3,economics!$AK$2:$AK$167,economics!$AJ$2:$AJ$167,TRUE))+$CR22*_xlfn.NORM.DIST(AU$3,$CU22,0.3*$CU22,TRUE)+$CS22*_xlfn.NORM.DIST(AU$3,$CV22,0.3*$CV22,TRUE),$CW22*_xlfn.NORM.DIST(AU$3,'energy base (MECS)'!$F$11,0.3*'energy base (MECS)'!$F$11,TRUE))</f>
        <v/>
      </c>
      <c r="AV22" s="68">
        <f t="array" ref="AV22">IF($D22,SUMPRODUCT((economics!$AG$2:$AG$167=$B22)*(economics!$D$2:$D$167="whr")*economics!$AH$2:$AH$167*_xlfn.NORM.DIST(AV$3,economics!$AK$2:$AK$167,economics!$AJ$2:$AJ$167,TRUE))+$CR22*_xlfn.NORM.DIST(AV$3,$CU22,0.3*$CU22,TRUE)+$CS22*_xlfn.NORM.DIST(AV$3,$CV22,0.3*$CV22,TRUE),$CW22*_xlfn.NORM.DIST(AV$3,'energy base (MECS)'!$F$11,0.3*'energy base (MECS)'!$F$11,TRUE))</f>
        <v/>
      </c>
      <c r="AW22" s="68">
        <f t="array" ref="AW22">IF($D22,SUMPRODUCT((economics!$AG$2:$AG$167=$B22)*(economics!$D$2:$D$167="whr")*economics!$AH$2:$AH$167*_xlfn.NORM.DIST(AW$3,economics!$AK$2:$AK$167,economics!$AJ$2:$AJ$167,TRUE))+$CR22*_xlfn.NORM.DIST(AW$3,$CU22,0.3*$CU22,TRUE)+$CS22*_xlfn.NORM.DIST(AW$3,$CV22,0.3*$CV22,TRUE),$CW22*_xlfn.NORM.DIST(AW$3,'energy base (MECS)'!$F$11,0.3*'energy base (MECS)'!$F$11,TRUE))</f>
        <v/>
      </c>
      <c r="AX22" s="68">
        <f t="array" ref="AX22">IF($D22,SUMPRODUCT((economics!$AG$2:$AG$167=$B22)*(economics!$D$2:$D$167="whr")*economics!$AH$2:$AH$167*_xlfn.NORM.DIST(AX$3,economics!$AK$2:$AK$167,economics!$AJ$2:$AJ$167,TRUE))+$CR22*_xlfn.NORM.DIST(AX$3,$CU22,0.3*$CU22,TRUE)+$CS22*_xlfn.NORM.DIST(AX$3,$CV22,0.3*$CV22,TRUE),$CW22*_xlfn.NORM.DIST(AX$3,'energy base (MECS)'!$F$11,0.3*'energy base (MECS)'!$F$11,TRUE))</f>
        <v/>
      </c>
      <c r="AY22" s="68">
        <f t="array" ref="AY22">IF($D22,SUMPRODUCT((economics!$AG$2:$AG$167=$B22)*(economics!$D$2:$D$167="whr")*economics!$AH$2:$AH$167*_xlfn.NORM.DIST(AY$3,economics!$AK$2:$AK$167,economics!$AJ$2:$AJ$167,TRUE))+$CR22*_xlfn.NORM.DIST(AY$3,$CU22,0.3*$CU22,TRUE)+$CS22*_xlfn.NORM.DIST(AY$3,$CV22,0.3*$CV22,TRUE),$CW22*_xlfn.NORM.DIST(AY$3,'energy base (MECS)'!$F$11,0.3*'energy base (MECS)'!$F$11,TRUE))</f>
        <v/>
      </c>
      <c r="AZ22" s="68">
        <f t="array" ref="AZ22">IF($D22,SUMPRODUCT((economics!$AG$2:$AG$167=$B22)*(economics!$D$2:$D$167="whr")*economics!$AH$2:$AH$167*_xlfn.NORM.DIST(AZ$3,economics!$AK$2:$AK$167,economics!$AJ$2:$AJ$167,TRUE))+$CR22*_xlfn.NORM.DIST(AZ$3,$CU22,0.3*$CU22,TRUE)+$CS22*_xlfn.NORM.DIST(AZ$3,$CV22,0.3*$CV22,TRUE),$CW22*_xlfn.NORM.DIST(AZ$3,'energy base (MECS)'!$F$11,0.3*'energy base (MECS)'!$F$11,TRUE))</f>
        <v/>
      </c>
      <c r="BA22" s="68">
        <f t="array" ref="BA22">IF($D22,SUMPRODUCT((economics!$AG$2:$AG$167=$B22)*(economics!$D$2:$D$167="whr")*economics!$AH$2:$AH$167*_xlfn.NORM.DIST(BA$3,economics!$AK$2:$AK$167,economics!$AJ$2:$AJ$167,TRUE))+$CR22*_xlfn.NORM.DIST(BA$3,$CU22,0.3*$CU22,TRUE)+$CS22*_xlfn.NORM.DIST(BA$3,$CV22,0.3*$CV22,TRUE),$CW22*_xlfn.NORM.DIST(BA$3,'energy base (MECS)'!$F$11,0.3*'energy base (MECS)'!$F$11,TRUE))</f>
        <v/>
      </c>
      <c r="BB22" s="68">
        <f t="array" ref="BB22">IF($D22,SUMPRODUCT((economics!$AG$2:$AG$167=$B22)*(economics!$D$2:$D$167="whr")*economics!$AH$2:$AH$167*_xlfn.NORM.DIST(BB$3,economics!$AK$2:$AK$167,economics!$AJ$2:$AJ$167,TRUE))+$CR22*_xlfn.NORM.DIST(BB$3,$CU22,0.3*$CU22,TRUE)+$CS22*_xlfn.NORM.DIST(BB$3,$CV22,0.3*$CV22,TRUE),$CW22*_xlfn.NORM.DIST(BB$3,'energy base (MECS)'!$F$11,0.3*'energy base (MECS)'!$F$11,TRUE))</f>
        <v/>
      </c>
      <c r="BC22" s="68">
        <f t="array" ref="BC22">IF($D22,SUMPRODUCT((economics!$AG$2:$AG$167=$B22)*(economics!$D$2:$D$167="whr")*economics!$AH$2:$AH$167*_xlfn.NORM.DIST(BC$3,economics!$AK$2:$AK$167,economics!$AJ$2:$AJ$167,TRUE))+$CR22*_xlfn.NORM.DIST(BC$3,$CU22,0.3*$CU22,TRUE)+$CS22*_xlfn.NORM.DIST(BC$3,$CV22,0.3*$CV22,TRUE),$CW22*_xlfn.NORM.DIST(BC$3,'energy base (MECS)'!$F$11,0.3*'energy base (MECS)'!$F$11,TRUE))</f>
        <v/>
      </c>
      <c r="BD22" s="68">
        <f t="array" ref="BD22">IF($D22,SUMPRODUCT((economics!$AG$2:$AG$167=$B22)*(economics!$D$2:$D$167="whr")*economics!$AH$2:$AH$167*_xlfn.NORM.DIST(BD$3,economics!$AK$2:$AK$167,economics!$AJ$2:$AJ$167,TRUE))+$CR22*_xlfn.NORM.DIST(BD$3,$CU22,0.3*$CU22,TRUE)+$CS22*_xlfn.NORM.DIST(BD$3,$CV22,0.3*$CV22,TRUE),$CW22*_xlfn.NORM.DIST(BD$3,'energy base (MECS)'!$F$11,0.3*'energy base (MECS)'!$F$11,TRUE))</f>
        <v/>
      </c>
      <c r="BE22" s="68">
        <f t="array" ref="BE22">IF($D22,SUMPRODUCT((economics!$AG$2:$AG$167=$B22)*(economics!$D$2:$D$167="whr")*economics!$AH$2:$AH$167*_xlfn.NORM.DIST(BE$3,economics!$AK$2:$AK$167,economics!$AJ$2:$AJ$167,TRUE))+$CR22*_xlfn.NORM.DIST(BE$3,$CU22,0.3*$CU22,TRUE)+$CS22*_xlfn.NORM.DIST(BE$3,$CV22,0.3*$CV22,TRUE),$CW22*_xlfn.NORM.DIST(BE$3,'energy base (MECS)'!$F$11,0.3*'energy base (MECS)'!$F$11,TRUE))</f>
        <v/>
      </c>
      <c r="BF22" s="68">
        <f t="array" ref="BF22">IF($D22,SUMPRODUCT((economics!$AG$2:$AG$167=$B22)*(economics!$D$2:$D$167="whr")*economics!$AH$2:$AH$167*_xlfn.NORM.DIST(BF$3,economics!$AK$2:$AK$167,economics!$AJ$2:$AJ$167,TRUE))+$CR22*_xlfn.NORM.DIST(BF$3,$CU22,0.3*$CU22,TRUE)+$CS22*_xlfn.NORM.DIST(BF$3,$CV22,0.3*$CV22,TRUE),$CW22*_xlfn.NORM.DIST(BF$3,'energy base (MECS)'!$F$11,0.3*'energy base (MECS)'!$F$11,TRUE))</f>
        <v/>
      </c>
      <c r="BG22" s="68">
        <f t="array" ref="BG22">IF($D22,SUMPRODUCT((economics!$AG$2:$AG$167=$B22)*(economics!$D$2:$D$167="whr")*economics!$AH$2:$AH$167*_xlfn.NORM.DIST(BG$3,economics!$AK$2:$AK$167,economics!$AJ$2:$AJ$167,TRUE))+$CR22*_xlfn.NORM.DIST(BG$3,$CU22,0.3*$CU22,TRUE)+$CS22*_xlfn.NORM.DIST(BG$3,$CV22,0.3*$CV22,TRUE),$CW22*_xlfn.NORM.DIST(BG$3,'energy base (MECS)'!$F$11,0.3*'energy base (MECS)'!$F$11,TRUE))</f>
        <v/>
      </c>
      <c r="BH22" s="68">
        <f t="array" ref="BH22">IF($D22,SUMPRODUCT((economics!$AG$2:$AG$167=$B22)*(economics!$D$2:$D$167="whr")*economics!$AH$2:$AH$167*_xlfn.NORM.DIST(BH$3,economics!$AK$2:$AK$167,economics!$AJ$2:$AJ$167,TRUE))+$CR22*_xlfn.NORM.DIST(BH$3,$CU22,0.3*$CU22,TRUE)+$CS22*_xlfn.NORM.DIST(BH$3,$CV22,0.3*$CV22,TRUE),$CW22*_xlfn.NORM.DIST(BH$3,'energy base (MECS)'!$F$11,0.3*'energy base (MECS)'!$F$11,TRUE))</f>
        <v/>
      </c>
      <c r="BI22" s="68">
        <f t="array" ref="BI22">IF($D22,SUMPRODUCT((economics!$AG$2:$AG$167=$B22)*(economics!$D$2:$D$167="whr")*economics!$AH$2:$AH$167*_xlfn.NORM.DIST(BI$3,economics!$AK$2:$AK$167,economics!$AJ$2:$AJ$167,TRUE))+$CR22*_xlfn.NORM.DIST(BI$3,$CU22,0.3*$CU22,TRUE)+$CS22*_xlfn.NORM.DIST(BI$3,$CV22,0.3*$CV22,TRUE),$CW22*_xlfn.NORM.DIST(BI$3,'energy base (MECS)'!$F$11,0.3*'energy base (MECS)'!$F$11,TRUE))</f>
        <v/>
      </c>
      <c r="BJ22" s="68">
        <f t="array" ref="BJ22">IF($D22,SUMPRODUCT((economics!$AG$2:$AG$167=$B22)*(economics!$D$2:$D$167="whr")*economics!$AH$2:$AH$167*_xlfn.NORM.DIST(BJ$3,economics!$AK$2:$AK$167,economics!$AJ$2:$AJ$167,TRUE))+$CR22*_xlfn.NORM.DIST(BJ$3,$CU22,0.3*$CU22,TRUE)+$CS22*_xlfn.NORM.DIST(BJ$3,$CV22,0.3*$CV22,TRUE),$CW22*_xlfn.NORM.DIST(BJ$3,'energy base (MECS)'!$F$11,0.3*'energy base (MECS)'!$F$11,TRUE))</f>
        <v/>
      </c>
      <c r="BK22" s="68">
        <f t="array" ref="BK22">IF($D22,SUMPRODUCT((economics!$AG$2:$AG$167=$B22)*(economics!$D$2:$D$167="whr")*economics!$AH$2:$AH$167*_xlfn.NORM.DIST(BK$3,economics!$AK$2:$AK$167,economics!$AJ$2:$AJ$167,TRUE))+$CR22*_xlfn.NORM.DIST(BK$3,$CU22,0.3*$CU22,TRUE)+$CS22*_xlfn.NORM.DIST(BK$3,$CV22,0.3*$CV22,TRUE),$CW22*_xlfn.NORM.DIST(BK$3,'energy base (MECS)'!$F$11,0.3*'energy base (MECS)'!$F$11,TRUE))</f>
        <v/>
      </c>
      <c r="BL22" s="68">
        <f t="array" ref="BL22">IF($D22,SUMPRODUCT((economics!$AG$2:$AG$167=$B22)*(economics!$D$2:$D$167="whr")*economics!$AH$2:$AH$167*_xlfn.NORM.DIST(BL$3,economics!$AK$2:$AK$167,economics!$AJ$2:$AJ$167,TRUE))+$CR22*_xlfn.NORM.DIST(BL$3,$CU22,0.3*$CU22,TRUE)+$CS22*_xlfn.NORM.DIST(BL$3,$CV22,0.3*$CV22,TRUE),$CW22*_xlfn.NORM.DIST(BL$3,'energy base (MECS)'!$F$11,0.3*'energy base (MECS)'!$F$11,TRUE))</f>
        <v/>
      </c>
      <c r="BM22" s="68">
        <f t="array" ref="BM22">IF($D22,SUMPRODUCT((economics!$AG$2:$AG$167=$B22)*(economics!$D$2:$D$167="whr")*economics!$AH$2:$AH$167*_xlfn.NORM.DIST(BM$3,economics!$AK$2:$AK$167,economics!$AJ$2:$AJ$167,TRUE))+$CR22*_xlfn.NORM.DIST(BM$3,$CU22,0.3*$CU22,TRUE)+$CS22*_xlfn.NORM.DIST(BM$3,$CV22,0.3*$CV22,TRUE),$CW22*_xlfn.NORM.DIST(BM$3,'energy base (MECS)'!$F$11,0.3*'energy base (MECS)'!$F$11,TRUE))</f>
        <v/>
      </c>
      <c r="BN22" s="68">
        <f t="array" ref="BN22">IF($D22,SUMPRODUCT((economics!$AG$2:$AG$167=$B22)*(economics!$D$2:$D$167="whr")*economics!$AH$2:$AH$167*_xlfn.NORM.DIST(BN$3,economics!$AK$2:$AK$167,economics!$AJ$2:$AJ$167,TRUE))+$CR22*_xlfn.NORM.DIST(BN$3,$CU22,0.3*$CU22,TRUE)+$CS22*_xlfn.NORM.DIST(BN$3,$CV22,0.3*$CV22,TRUE),$CW22*_xlfn.NORM.DIST(BN$3,'energy base (MECS)'!$F$11,0.3*'energy base (MECS)'!$F$11,TRUE))</f>
        <v/>
      </c>
      <c r="BO22" s="68">
        <f t="array" ref="BO22">IF($D22,SUMPRODUCT((economics!$AG$2:$AG$167=$B22)*(economics!$D$2:$D$167="whr")*economics!$AH$2:$AH$167*_xlfn.NORM.DIST(BO$3,economics!$AK$2:$AK$167,economics!$AJ$2:$AJ$167,TRUE))+$CR22*_xlfn.NORM.DIST(BO$3,$CU22,0.3*$CU22,TRUE)+$CS22*_xlfn.NORM.DIST(BO$3,$CV22,0.3*$CV22,TRUE),$CW22*_xlfn.NORM.DIST(BO$3,'energy base (MECS)'!$F$11,0.3*'energy base (MECS)'!$F$11,TRUE))</f>
        <v/>
      </c>
      <c r="BP22" s="68">
        <f t="array" ref="BP22">IF($D22,SUMPRODUCT((economics!$AG$2:$AG$167=$B22)*(economics!$D$2:$D$167="whr")*economics!$AH$2:$AH$167*_xlfn.NORM.DIST(BP$3,economics!$AK$2:$AK$167,economics!$AJ$2:$AJ$167,TRUE))+$CR22*_xlfn.NORM.DIST(BP$3,$CU22,0.3*$CU22,TRUE)+$CS22*_xlfn.NORM.DIST(BP$3,$CV22,0.3*$CV22,TRUE),$CW22*_xlfn.NORM.DIST(BP$3,'energy base (MECS)'!$F$11,0.3*'energy base (MECS)'!$F$11,TRUE))</f>
        <v/>
      </c>
      <c r="BQ22" s="68">
        <f t="array" ref="BQ22">IF($D22,SUMPRODUCT((economics!$AG$2:$AG$167=$B22)*(economics!$D$2:$D$167="whr")*economics!$AH$2:$AH$167*_xlfn.NORM.DIST(BQ$3,economics!$AK$2:$AK$167,economics!$AJ$2:$AJ$167,TRUE))+$CR22*_xlfn.NORM.DIST(BQ$3,$CU22,0.3*$CU22,TRUE)+$CS22*_xlfn.NORM.DIST(BQ$3,$CV22,0.3*$CV22,TRUE),$CW22*_xlfn.NORM.DIST(BQ$3,'energy base (MECS)'!$F$11,0.3*'energy base (MECS)'!$F$11,TRUE))</f>
        <v/>
      </c>
      <c r="BR22" s="68">
        <f t="array" ref="BR22">IF($D22,SUMPRODUCT((economics!$AG$2:$AG$167=$B22)*(economics!$D$2:$D$167="whr")*economics!$AH$2:$AH$167*_xlfn.NORM.DIST(BR$3,economics!$AK$2:$AK$167,economics!$AJ$2:$AJ$167,TRUE))+$CR22*_xlfn.NORM.DIST(BR$3,$CU22,0.3*$CU22,TRUE)+$CS22*_xlfn.NORM.DIST(BR$3,$CV22,0.3*$CV22,TRUE),$CW22*_xlfn.NORM.DIST(BR$3,'energy base (MECS)'!$F$11,0.3*'energy base (MECS)'!$F$11,TRUE))</f>
        <v/>
      </c>
      <c r="BS22" s="68">
        <f t="array" ref="BS22">IF($D22,SUMPRODUCT((economics!$AG$2:$AG$167=$B22)*(economics!$D$2:$D$167="whr")*economics!$AH$2:$AH$167*_xlfn.NORM.DIST(BS$3,economics!$AK$2:$AK$167,economics!$AJ$2:$AJ$167,TRUE))+$CR22*_xlfn.NORM.DIST(BS$3,$CU22,0.3*$CU22,TRUE)+$CS22*_xlfn.NORM.DIST(BS$3,$CV22,0.3*$CV22,TRUE),$CW22*_xlfn.NORM.DIST(BS$3,'energy base (MECS)'!$F$11,0.3*'energy base (MECS)'!$F$11,TRUE))</f>
        <v/>
      </c>
      <c r="BT22" s="68">
        <f t="array" ref="BT22">IF($D22,SUMPRODUCT((economics!$AG$2:$AG$167=$B22)*(economics!$D$2:$D$167="whr")*economics!$AH$2:$AH$167*_xlfn.NORM.DIST(BT$3,economics!$AK$2:$AK$167,economics!$AJ$2:$AJ$167,TRUE))+$CR22*_xlfn.NORM.DIST(BT$3,$CU22,0.3*$CU22,TRUE)+$CS22*_xlfn.NORM.DIST(BT$3,$CV22,0.3*$CV22,TRUE),$CW22*_xlfn.NORM.DIST(BT$3,'energy base (MECS)'!$F$11,0.3*'energy base (MECS)'!$F$11,TRUE))</f>
        <v/>
      </c>
      <c r="BU22" s="68">
        <f t="array" ref="BU22">IF($D22,SUMPRODUCT((economics!$AG$2:$AG$167=$B22)*(economics!$D$2:$D$167="whr")*economics!$AH$2:$AH$167*_xlfn.NORM.DIST(BU$3,economics!$AK$2:$AK$167,economics!$AJ$2:$AJ$167,TRUE))+$CR22*_xlfn.NORM.DIST(BU$3,$CU22,0.3*$CU22,TRUE)+$CS22*_xlfn.NORM.DIST(BU$3,$CV22,0.3*$CV22,TRUE),$CW22*_xlfn.NORM.DIST(BU$3,'energy base (MECS)'!$F$11,0.3*'energy base (MECS)'!$F$11,TRUE))</f>
        <v/>
      </c>
      <c r="BV22" s="68">
        <f t="array" ref="BV22">IF($D22,SUMPRODUCT((economics!$AG$2:$AG$167=$B22)*(economics!$D$2:$D$167="whr")*economics!$AH$2:$AH$167*_xlfn.NORM.DIST(BV$3,economics!$AK$2:$AK$167,economics!$AJ$2:$AJ$167,TRUE))+$CR22*_xlfn.NORM.DIST(BV$3,$CU22,0.3*$CU22,TRUE)+$CS22*_xlfn.NORM.DIST(BV$3,$CV22,0.3*$CV22,TRUE),$CW22*_xlfn.NORM.DIST(BV$3,'energy base (MECS)'!$F$11,0.3*'energy base (MECS)'!$F$11,TRUE))</f>
        <v/>
      </c>
      <c r="BW22" s="68">
        <f t="array" ref="BW22">IF($D22,SUMPRODUCT((economics!$AG$2:$AG$167=$B22)*(economics!$D$2:$D$167="whr")*economics!$AH$2:$AH$167*_xlfn.NORM.DIST(BW$3,economics!$AK$2:$AK$167,economics!$AJ$2:$AJ$167,TRUE))+$CR22*_xlfn.NORM.DIST(BW$3,$CU22,0.3*$CU22,TRUE)+$CS22*_xlfn.NORM.DIST(BW$3,$CV22,0.3*$CV22,TRUE),$CW22*_xlfn.NORM.DIST(BW$3,'energy base (MECS)'!$F$11,0.3*'energy base (MECS)'!$F$11,TRUE))</f>
        <v/>
      </c>
      <c r="BX22" s="68">
        <f t="array" ref="BX22">IF($D22,SUMPRODUCT((economics!$AG$2:$AG$167=$B22)*(economics!$D$2:$D$167="whr")*economics!$AH$2:$AH$167*_xlfn.NORM.DIST(BX$3,economics!$AK$2:$AK$167,economics!$AJ$2:$AJ$167,TRUE))+$CR22*_xlfn.NORM.DIST(BX$3,$CU22,0.3*$CU22,TRUE)+$CS22*_xlfn.NORM.DIST(BX$3,$CV22,0.3*$CV22,TRUE),$CW22*_xlfn.NORM.DIST(BX$3,'energy base (MECS)'!$F$11,0.3*'energy base (MECS)'!$F$11,TRUE))</f>
        <v/>
      </c>
      <c r="BY22" s="68">
        <f t="array" ref="BY22">IF($D22,SUMPRODUCT((economics!$AG$2:$AG$167=$B22)*(economics!$D$2:$D$167="whr")*economics!$AH$2:$AH$167*_xlfn.NORM.DIST(BY$3,economics!$AK$2:$AK$167,economics!$AJ$2:$AJ$167,TRUE))+$CR22*_xlfn.NORM.DIST(BY$3,$CU22,0.3*$CU22,TRUE)+$CS22*_xlfn.NORM.DIST(BY$3,$CV22,0.3*$CV22,TRUE),$CW22*_xlfn.NORM.DIST(BY$3,'energy base (MECS)'!$F$11,0.3*'energy base (MECS)'!$F$11,TRUE))</f>
        <v/>
      </c>
      <c r="BZ22" s="68">
        <f t="array" ref="BZ22">IF($D22,SUMPRODUCT((economics!$AG$2:$AG$167=$B22)*(economics!$D$2:$D$167="whr")*economics!$AH$2:$AH$167*_xlfn.NORM.DIST(BZ$3,economics!$AK$2:$AK$167,economics!$AJ$2:$AJ$167,TRUE))+$CR22*_xlfn.NORM.DIST(BZ$3,$CU22,0.3*$CU22,TRUE)+$CS22*_xlfn.NORM.DIST(BZ$3,$CV22,0.3*$CV22,TRUE),$CW22*_xlfn.NORM.DIST(BZ$3,'energy base (MECS)'!$F$11,0.3*'energy base (MECS)'!$F$11,TRUE))</f>
        <v/>
      </c>
      <c r="CA22" s="68">
        <f t="array" ref="CA22">IF($D22,SUMPRODUCT((economics!$AG$2:$AG$167=$B22)*(economics!$D$2:$D$167="whr")*economics!$AH$2:$AH$167*_xlfn.NORM.DIST(CA$3,economics!$AK$2:$AK$167,economics!$AJ$2:$AJ$167,TRUE))+$CR22*_xlfn.NORM.DIST(CA$3,$CU22,0.3*$CU22,TRUE)+$CS22*_xlfn.NORM.DIST(CA$3,$CV22,0.3*$CV22,TRUE),$CW22*_xlfn.NORM.DIST(CA$3,'energy base (MECS)'!$F$11,0.3*'energy base (MECS)'!$F$11,TRUE))</f>
        <v/>
      </c>
      <c r="CB22" s="68">
        <f t="array" ref="CB22">IF($D22,SUMPRODUCT((economics!$AG$2:$AG$167=$B22)*(economics!$D$2:$D$167="whr")*economics!$AH$2:$AH$167*_xlfn.NORM.DIST(CB$3,economics!$AK$2:$AK$167,economics!$AJ$2:$AJ$167,TRUE))+$CR22*_xlfn.NORM.DIST(CB$3,$CU22,0.3*$CU22,TRUE)+$CS22*_xlfn.NORM.DIST(CB$3,$CV22,0.3*$CV22,TRUE),$CW22*_xlfn.NORM.DIST(CB$3,'energy base (MECS)'!$F$11,0.3*'energy base (MECS)'!$F$11,TRUE))</f>
        <v/>
      </c>
      <c r="CC22" s="68">
        <f t="array" ref="CC22">IF($D22,SUMPRODUCT((economics!$AG$2:$AG$167=$B22)*(economics!$D$2:$D$167="whr")*economics!$AH$2:$AH$167*_xlfn.NORM.DIST(CC$3,economics!$AK$2:$AK$167,economics!$AJ$2:$AJ$167,TRUE))+$CR22*_xlfn.NORM.DIST(CC$3,$CU22,0.3*$CU22,TRUE)+$CS22*_xlfn.NORM.DIST(CC$3,$CV22,0.3*$CV22,TRUE),$CW22*_xlfn.NORM.DIST(CC$3,'energy base (MECS)'!$F$11,0.3*'energy base (MECS)'!$F$11,TRUE))</f>
        <v/>
      </c>
      <c r="CD22" s="68">
        <f t="array" ref="CD22">IF($D22,SUMPRODUCT((economics!$AG$2:$AG$167=$B22)*(economics!$D$2:$D$167="whr")*economics!$AH$2:$AH$167*_xlfn.NORM.DIST(CD$3,economics!$AK$2:$AK$167,economics!$AJ$2:$AJ$167,TRUE))+$CR22*_xlfn.NORM.DIST(CD$3,$CU22,0.3*$CU22,TRUE)+$CS22*_xlfn.NORM.DIST(CD$3,$CV22,0.3*$CV22,TRUE),$CW22*_xlfn.NORM.DIST(CD$3,'energy base (MECS)'!$F$11,0.3*'energy base (MECS)'!$F$11,TRUE))</f>
        <v/>
      </c>
      <c r="CE22" s="68">
        <f t="array" ref="CE22">IF($D22,SUMPRODUCT((economics!$AG$2:$AG$167=$B22)*(economics!$D$2:$D$167="whr")*economics!$AH$2:$AH$167*_xlfn.NORM.DIST(CE$3,economics!$AK$2:$AK$167,economics!$AJ$2:$AJ$167,TRUE))+$CR22*_xlfn.NORM.DIST(CE$3,$CU22,0.3*$CU22,TRUE)+$CS22*_xlfn.NORM.DIST(CE$3,$CV22,0.3*$CV22,TRUE),$CW22*_xlfn.NORM.DIST(CE$3,'energy base (MECS)'!$F$11,0.3*'energy base (MECS)'!$F$11,TRUE))</f>
        <v/>
      </c>
      <c r="CF22" s="68">
        <f t="array" ref="CF22">IF($D22,SUMPRODUCT((economics!$AG$2:$AG$167=$B22)*(economics!$D$2:$D$167="whr")*economics!$AH$2:$AH$167*_xlfn.NORM.DIST(CF$3,economics!$AK$2:$AK$167,economics!$AJ$2:$AJ$167,TRUE))+$CR22*_xlfn.NORM.DIST(CF$3,$CU22,0.3*$CU22,TRUE)+$CS22*_xlfn.NORM.DIST(CF$3,$CV22,0.3*$CV22,TRUE),$CW22*_xlfn.NORM.DIST(CF$3,'energy base (MECS)'!$F$11,0.3*'energy base (MECS)'!$F$11,TRUE))</f>
        <v/>
      </c>
      <c r="CG22" s="68">
        <f t="array" ref="CG22">IF($D22,SUMPRODUCT((economics!$AG$2:$AG$167=$B22)*(economics!$D$2:$D$167="whr")*economics!$AH$2:$AH$167*_xlfn.NORM.DIST(CG$3,economics!$AK$2:$AK$167,economics!$AJ$2:$AJ$167,TRUE))+$CR22*_xlfn.NORM.DIST(CG$3,$CU22,0.3*$CU22,TRUE)+$CS22*_xlfn.NORM.DIST(CG$3,$CV22,0.3*$CV22,TRUE),$CW22*_xlfn.NORM.DIST(CG$3,'energy base (MECS)'!$F$11,0.3*'energy base (MECS)'!$F$11,TRUE))</f>
        <v/>
      </c>
      <c r="CH22" s="68">
        <f t="array" ref="CH22">IF($D22,SUMPRODUCT((economics!$AG$2:$AG$167=$B22)*(economics!$D$2:$D$167="whr")*economics!$AH$2:$AH$167*_xlfn.NORM.DIST(CH$3,economics!$AK$2:$AK$167,economics!$AJ$2:$AJ$167,TRUE))+$CR22*_xlfn.NORM.DIST(CH$3,$CU22,0.3*$CU22,TRUE)+$CS22*_xlfn.NORM.DIST(CH$3,$CV22,0.3*$CV22,TRUE),$CW22*_xlfn.NORM.DIST(CH$3,'energy base (MECS)'!$F$11,0.3*'energy base (MECS)'!$F$11,TRUE))</f>
        <v/>
      </c>
      <c r="CJ22">
        <f t="array" ref="CJ22">SUMPRODUCT((economics!$AG$2:$AG$167=$B22)*(economics!$D$2:$D$167="whr")*economics!$AH$2:$AH$167)</f>
        <v/>
      </c>
      <c r="CK22" s="80">
        <f>'indst heat consumption'!D22</f>
        <v/>
      </c>
      <c r="CL22" s="80">
        <f>'indst heat consumption'!E22</f>
        <v/>
      </c>
      <c r="CM22" s="80">
        <f>'indst heat consumption'!F22</f>
        <v/>
      </c>
      <c r="CN22" s="80">
        <f>'indst heat consumption'!G22</f>
        <v/>
      </c>
      <c r="CO22" s="80">
        <f>'indst heat consumption'!H22</f>
        <v/>
      </c>
      <c r="CP22">
        <f>$C22*(CK22*summary!$B$94+CL22*summary!$C$94+CM22*summary!$D$94)</f>
        <v/>
      </c>
      <c r="CQ22">
        <f>$C22*(CN22*summary!$E$94+CO22*summary!$F$94)</f>
        <v/>
      </c>
      <c r="CR22">
        <f>IF(CP22+CQ22&gt;0,CP22*MAX(0,CP22+CQ22-CJ22)/(CP22+CQ22),0)</f>
        <v/>
      </c>
      <c r="CS22">
        <f>IF(CP22+CQ22&gt;0,CQ22*MAX(0,CP22+CQ22-CJ22)/(CP22+CQ22),0)</f>
        <v/>
      </c>
      <c r="CT22">
        <f>IFERROR(_xlfn.XLOOKUP($B22,'BCoISC-WACCbI'!$C$2:$C$26,'BCoISC-WACCbI'!$B$2:$B$26)+economics!$AE$4,0.1)</f>
        <v/>
      </c>
      <c r="CU22">
        <f>(summary!$C$7*(CT22/(1-(1+CT22)^-summary!$D$7))+summary!$C$7*summary!$E$7)/(summary!$F$7*3412/1000000)</f>
        <v/>
      </c>
      <c r="CV22">
        <f>(summary!$C$6*(CT22/(1-(1+CT22)^-summary!$D$6))+summary!$C$6*summary!$E$6)/(summary!$F$6*3412/1000000)</f>
        <v/>
      </c>
      <c r="CW22">
        <f>CR22+CS22</f>
        <v/>
      </c>
    </row>
    <row r="23">
      <c r="A23">
        <f>WHRPbI!A21</f>
        <v/>
      </c>
      <c r="B23" t="n">
        <v>29</v>
      </c>
      <c r="C23" s="68">
        <f>WHRPbI!B21</f>
        <v/>
      </c>
      <c r="D23">
        <f>ISNUMBER(MATCH($B23,'energy base (MECS)'!$K$4:$K$9,0))</f>
        <v/>
      </c>
      <c r="E23" s="68">
        <f t="array" ref="E23">IF($D23,SUMPRODUCT((economics!$AG$2:$AG$167=$B23)*(economics!$D$2:$D$167="whr")*economics!$AH$2:$AH$167*_xlfn.NORM.DIST(E$3,economics!$AK$2:$AK$167,economics!$AJ$2:$AJ$167,TRUE))+$CR23*_xlfn.NORM.DIST(E$3,$CU23,0.3*$CU23,TRUE)+$CS23*_xlfn.NORM.DIST(E$3,$CV23,0.3*$CV23,TRUE),$CW23*_xlfn.NORM.DIST(E$3,'energy base (MECS)'!$F$11,0.3*'energy base (MECS)'!$F$11,TRUE))</f>
        <v/>
      </c>
      <c r="F23" s="68">
        <f t="array" ref="F23">IF($D23,SUMPRODUCT((economics!$AG$2:$AG$167=$B23)*(economics!$D$2:$D$167="whr")*economics!$AH$2:$AH$167*_xlfn.NORM.DIST(F$3,economics!$AK$2:$AK$167,economics!$AJ$2:$AJ$167,TRUE))+$CR23*_xlfn.NORM.DIST(F$3,$CU23,0.3*$CU23,TRUE)+$CS23*_xlfn.NORM.DIST(F$3,$CV23,0.3*$CV23,TRUE),$CW23*_xlfn.NORM.DIST(F$3,'energy base (MECS)'!$F$11,0.3*'energy base (MECS)'!$F$11,TRUE))</f>
        <v/>
      </c>
      <c r="G23" s="68">
        <f t="array" ref="G23">IF($D23,SUMPRODUCT((economics!$AG$2:$AG$167=$B23)*(economics!$D$2:$D$167="whr")*economics!$AH$2:$AH$167*_xlfn.NORM.DIST(G$3,economics!$AK$2:$AK$167,economics!$AJ$2:$AJ$167,TRUE))+$CR23*_xlfn.NORM.DIST(G$3,$CU23,0.3*$CU23,TRUE)+$CS23*_xlfn.NORM.DIST(G$3,$CV23,0.3*$CV23,TRUE),$CW23*_xlfn.NORM.DIST(G$3,'energy base (MECS)'!$F$11,0.3*'energy base (MECS)'!$F$11,TRUE))</f>
        <v/>
      </c>
      <c r="H23" s="68">
        <f t="array" ref="H23">IF($D23,SUMPRODUCT((economics!$AG$2:$AG$167=$B23)*(economics!$D$2:$D$167="whr")*economics!$AH$2:$AH$167*_xlfn.NORM.DIST(H$3,economics!$AK$2:$AK$167,economics!$AJ$2:$AJ$167,TRUE))+$CR23*_xlfn.NORM.DIST(H$3,$CU23,0.3*$CU23,TRUE)+$CS23*_xlfn.NORM.DIST(H$3,$CV23,0.3*$CV23,TRUE),$CW23*_xlfn.NORM.DIST(H$3,'energy base (MECS)'!$F$11,0.3*'energy base (MECS)'!$F$11,TRUE))</f>
        <v/>
      </c>
      <c r="I23" s="68">
        <f t="array" ref="I23">IF($D23,SUMPRODUCT((economics!$AG$2:$AG$167=$B23)*(economics!$D$2:$D$167="whr")*economics!$AH$2:$AH$167*_xlfn.NORM.DIST(I$3,economics!$AK$2:$AK$167,economics!$AJ$2:$AJ$167,TRUE))+$CR23*_xlfn.NORM.DIST(I$3,$CU23,0.3*$CU23,TRUE)+$CS23*_xlfn.NORM.DIST(I$3,$CV23,0.3*$CV23,TRUE),$CW23*_xlfn.NORM.DIST(I$3,'energy base (MECS)'!$F$11,0.3*'energy base (MECS)'!$F$11,TRUE))</f>
        <v/>
      </c>
      <c r="J23" s="68">
        <f t="array" ref="J23">IF($D23,SUMPRODUCT((economics!$AG$2:$AG$167=$B23)*(economics!$D$2:$D$167="whr")*economics!$AH$2:$AH$167*_xlfn.NORM.DIST(J$3,economics!$AK$2:$AK$167,economics!$AJ$2:$AJ$167,TRUE))+$CR23*_xlfn.NORM.DIST(J$3,$CU23,0.3*$CU23,TRUE)+$CS23*_xlfn.NORM.DIST(J$3,$CV23,0.3*$CV23,TRUE),$CW23*_xlfn.NORM.DIST(J$3,'energy base (MECS)'!$F$11,0.3*'energy base (MECS)'!$F$11,TRUE))</f>
        <v/>
      </c>
      <c r="K23" s="68">
        <f t="array" ref="K23">IF($D23,SUMPRODUCT((economics!$AG$2:$AG$167=$B23)*(economics!$D$2:$D$167="whr")*economics!$AH$2:$AH$167*_xlfn.NORM.DIST(K$3,economics!$AK$2:$AK$167,economics!$AJ$2:$AJ$167,TRUE))+$CR23*_xlfn.NORM.DIST(K$3,$CU23,0.3*$CU23,TRUE)+$CS23*_xlfn.NORM.DIST(K$3,$CV23,0.3*$CV23,TRUE),$CW23*_xlfn.NORM.DIST(K$3,'energy base (MECS)'!$F$11,0.3*'energy base (MECS)'!$F$11,TRUE))</f>
        <v/>
      </c>
      <c r="L23" s="68">
        <f t="array" ref="L23">IF($D23,SUMPRODUCT((economics!$AG$2:$AG$167=$B23)*(economics!$D$2:$D$167="whr")*economics!$AH$2:$AH$167*_xlfn.NORM.DIST(L$3,economics!$AK$2:$AK$167,economics!$AJ$2:$AJ$167,TRUE))+$CR23*_xlfn.NORM.DIST(L$3,$CU23,0.3*$CU23,TRUE)+$CS23*_xlfn.NORM.DIST(L$3,$CV23,0.3*$CV23,TRUE),$CW23*_xlfn.NORM.DIST(L$3,'energy base (MECS)'!$F$11,0.3*'energy base (MECS)'!$F$11,TRUE))</f>
        <v/>
      </c>
      <c r="M23" s="68">
        <f t="array" ref="M23">IF($D23,SUMPRODUCT((economics!$AG$2:$AG$167=$B23)*(economics!$D$2:$D$167="whr")*economics!$AH$2:$AH$167*_xlfn.NORM.DIST(M$3,economics!$AK$2:$AK$167,economics!$AJ$2:$AJ$167,TRUE))+$CR23*_xlfn.NORM.DIST(M$3,$CU23,0.3*$CU23,TRUE)+$CS23*_xlfn.NORM.DIST(M$3,$CV23,0.3*$CV23,TRUE),$CW23*_xlfn.NORM.DIST(M$3,'energy base (MECS)'!$F$11,0.3*'energy base (MECS)'!$F$11,TRUE))</f>
        <v/>
      </c>
      <c r="N23" s="68">
        <f t="array" ref="N23">IF($D23,SUMPRODUCT((economics!$AG$2:$AG$167=$B23)*(economics!$D$2:$D$167="whr")*economics!$AH$2:$AH$167*_xlfn.NORM.DIST(N$3,economics!$AK$2:$AK$167,economics!$AJ$2:$AJ$167,TRUE))+$CR23*_xlfn.NORM.DIST(N$3,$CU23,0.3*$CU23,TRUE)+$CS23*_xlfn.NORM.DIST(N$3,$CV23,0.3*$CV23,TRUE),$CW23*_xlfn.NORM.DIST(N$3,'energy base (MECS)'!$F$11,0.3*'energy base (MECS)'!$F$11,TRUE))</f>
        <v/>
      </c>
      <c r="O23" s="68">
        <f t="array" ref="O23">IF($D23,SUMPRODUCT((economics!$AG$2:$AG$167=$B23)*(economics!$D$2:$D$167="whr")*economics!$AH$2:$AH$167*_xlfn.NORM.DIST(O$3,economics!$AK$2:$AK$167,economics!$AJ$2:$AJ$167,TRUE))+$CR23*_xlfn.NORM.DIST(O$3,$CU23,0.3*$CU23,TRUE)+$CS23*_xlfn.NORM.DIST(O$3,$CV23,0.3*$CV23,TRUE),$CW23*_xlfn.NORM.DIST(O$3,'energy base (MECS)'!$F$11,0.3*'energy base (MECS)'!$F$11,TRUE))</f>
        <v/>
      </c>
      <c r="P23" s="68">
        <f t="array" ref="P23">IF($D23,SUMPRODUCT((economics!$AG$2:$AG$167=$B23)*(economics!$D$2:$D$167="whr")*economics!$AH$2:$AH$167*_xlfn.NORM.DIST(P$3,economics!$AK$2:$AK$167,economics!$AJ$2:$AJ$167,TRUE))+$CR23*_xlfn.NORM.DIST(P$3,$CU23,0.3*$CU23,TRUE)+$CS23*_xlfn.NORM.DIST(P$3,$CV23,0.3*$CV23,TRUE),$CW23*_xlfn.NORM.DIST(P$3,'energy base (MECS)'!$F$11,0.3*'energy base (MECS)'!$F$11,TRUE))</f>
        <v/>
      </c>
      <c r="Q23" s="68">
        <f t="array" ref="Q23">IF($D23,SUMPRODUCT((economics!$AG$2:$AG$167=$B23)*(economics!$D$2:$D$167="whr")*economics!$AH$2:$AH$167*_xlfn.NORM.DIST(Q$3,economics!$AK$2:$AK$167,economics!$AJ$2:$AJ$167,TRUE))+$CR23*_xlfn.NORM.DIST(Q$3,$CU23,0.3*$CU23,TRUE)+$CS23*_xlfn.NORM.DIST(Q$3,$CV23,0.3*$CV23,TRUE),$CW23*_xlfn.NORM.DIST(Q$3,'energy base (MECS)'!$F$11,0.3*'energy base (MECS)'!$F$11,TRUE))</f>
        <v/>
      </c>
      <c r="R23" s="68">
        <f t="array" ref="R23">IF($D23,SUMPRODUCT((economics!$AG$2:$AG$167=$B23)*(economics!$D$2:$D$167="whr")*economics!$AH$2:$AH$167*_xlfn.NORM.DIST(R$3,economics!$AK$2:$AK$167,economics!$AJ$2:$AJ$167,TRUE))+$CR23*_xlfn.NORM.DIST(R$3,$CU23,0.3*$CU23,TRUE)+$CS23*_xlfn.NORM.DIST(R$3,$CV23,0.3*$CV23,TRUE),$CW23*_xlfn.NORM.DIST(R$3,'energy base (MECS)'!$F$11,0.3*'energy base (MECS)'!$F$11,TRUE))</f>
        <v/>
      </c>
      <c r="S23" s="68">
        <f t="array" ref="S23">IF($D23,SUMPRODUCT((economics!$AG$2:$AG$167=$B23)*(economics!$D$2:$D$167="whr")*economics!$AH$2:$AH$167*_xlfn.NORM.DIST(S$3,economics!$AK$2:$AK$167,economics!$AJ$2:$AJ$167,TRUE))+$CR23*_xlfn.NORM.DIST(S$3,$CU23,0.3*$CU23,TRUE)+$CS23*_xlfn.NORM.DIST(S$3,$CV23,0.3*$CV23,TRUE),$CW23*_xlfn.NORM.DIST(S$3,'energy base (MECS)'!$F$11,0.3*'energy base (MECS)'!$F$11,TRUE))</f>
        <v/>
      </c>
      <c r="T23" s="68">
        <f t="array" ref="T23">IF($D23,SUMPRODUCT((economics!$AG$2:$AG$167=$B23)*(economics!$D$2:$D$167="whr")*economics!$AH$2:$AH$167*_xlfn.NORM.DIST(T$3,economics!$AK$2:$AK$167,economics!$AJ$2:$AJ$167,TRUE))+$CR23*_xlfn.NORM.DIST(T$3,$CU23,0.3*$CU23,TRUE)+$CS23*_xlfn.NORM.DIST(T$3,$CV23,0.3*$CV23,TRUE),$CW23*_xlfn.NORM.DIST(T$3,'energy base (MECS)'!$F$11,0.3*'energy base (MECS)'!$F$11,TRUE))</f>
        <v/>
      </c>
      <c r="U23" s="68">
        <f t="array" ref="U23">IF($D23,SUMPRODUCT((economics!$AG$2:$AG$167=$B23)*(economics!$D$2:$D$167="whr")*economics!$AH$2:$AH$167*_xlfn.NORM.DIST(U$3,economics!$AK$2:$AK$167,economics!$AJ$2:$AJ$167,TRUE))+$CR23*_xlfn.NORM.DIST(U$3,$CU23,0.3*$CU23,TRUE)+$CS23*_xlfn.NORM.DIST(U$3,$CV23,0.3*$CV23,TRUE),$CW23*_xlfn.NORM.DIST(U$3,'energy base (MECS)'!$F$11,0.3*'energy base (MECS)'!$F$11,TRUE))</f>
        <v/>
      </c>
      <c r="V23" s="68">
        <f t="array" ref="V23">IF($D23,SUMPRODUCT((economics!$AG$2:$AG$167=$B23)*(economics!$D$2:$D$167="whr")*economics!$AH$2:$AH$167*_xlfn.NORM.DIST(V$3,economics!$AK$2:$AK$167,economics!$AJ$2:$AJ$167,TRUE))+$CR23*_xlfn.NORM.DIST(V$3,$CU23,0.3*$CU23,TRUE)+$CS23*_xlfn.NORM.DIST(V$3,$CV23,0.3*$CV23,TRUE),$CW23*_xlfn.NORM.DIST(V$3,'energy base (MECS)'!$F$11,0.3*'energy base (MECS)'!$F$11,TRUE))</f>
        <v/>
      </c>
      <c r="W23" s="68">
        <f t="array" ref="W23">IF($D23,SUMPRODUCT((economics!$AG$2:$AG$167=$B23)*(economics!$D$2:$D$167="whr")*economics!$AH$2:$AH$167*_xlfn.NORM.DIST(W$3,economics!$AK$2:$AK$167,economics!$AJ$2:$AJ$167,TRUE))+$CR23*_xlfn.NORM.DIST(W$3,$CU23,0.3*$CU23,TRUE)+$CS23*_xlfn.NORM.DIST(W$3,$CV23,0.3*$CV23,TRUE),$CW23*_xlfn.NORM.DIST(W$3,'energy base (MECS)'!$F$11,0.3*'energy base (MECS)'!$F$11,TRUE))</f>
        <v/>
      </c>
      <c r="X23" s="68">
        <f t="array" ref="X23">IF($D23,SUMPRODUCT((economics!$AG$2:$AG$167=$B23)*(economics!$D$2:$D$167="whr")*economics!$AH$2:$AH$167*_xlfn.NORM.DIST(X$3,economics!$AK$2:$AK$167,economics!$AJ$2:$AJ$167,TRUE))+$CR23*_xlfn.NORM.DIST(X$3,$CU23,0.3*$CU23,TRUE)+$CS23*_xlfn.NORM.DIST(X$3,$CV23,0.3*$CV23,TRUE),$CW23*_xlfn.NORM.DIST(X$3,'energy base (MECS)'!$F$11,0.3*'energy base (MECS)'!$F$11,TRUE))</f>
        <v/>
      </c>
      <c r="Y23" s="68">
        <f t="array" ref="Y23">IF($D23,SUMPRODUCT((economics!$AG$2:$AG$167=$B23)*(economics!$D$2:$D$167="whr")*economics!$AH$2:$AH$167*_xlfn.NORM.DIST(Y$3,economics!$AK$2:$AK$167,economics!$AJ$2:$AJ$167,TRUE))+$CR23*_xlfn.NORM.DIST(Y$3,$CU23,0.3*$CU23,TRUE)+$CS23*_xlfn.NORM.DIST(Y$3,$CV23,0.3*$CV23,TRUE),$CW23*_xlfn.NORM.DIST(Y$3,'energy base (MECS)'!$F$11,0.3*'energy base (MECS)'!$F$11,TRUE))</f>
        <v/>
      </c>
      <c r="Z23" s="68">
        <f t="array" ref="Z23">IF($D23,SUMPRODUCT((economics!$AG$2:$AG$167=$B23)*(economics!$D$2:$D$167="whr")*economics!$AH$2:$AH$167*_xlfn.NORM.DIST(Z$3,economics!$AK$2:$AK$167,economics!$AJ$2:$AJ$167,TRUE))+$CR23*_xlfn.NORM.DIST(Z$3,$CU23,0.3*$CU23,TRUE)+$CS23*_xlfn.NORM.DIST(Z$3,$CV23,0.3*$CV23,TRUE),$CW23*_xlfn.NORM.DIST(Z$3,'energy base (MECS)'!$F$11,0.3*'energy base (MECS)'!$F$11,TRUE))</f>
        <v/>
      </c>
      <c r="AA23" s="68">
        <f t="array" ref="AA23">IF($D23,SUMPRODUCT((economics!$AG$2:$AG$167=$B23)*(economics!$D$2:$D$167="whr")*economics!$AH$2:$AH$167*_xlfn.NORM.DIST(AA$3,economics!$AK$2:$AK$167,economics!$AJ$2:$AJ$167,TRUE))+$CR23*_xlfn.NORM.DIST(AA$3,$CU23,0.3*$CU23,TRUE)+$CS23*_xlfn.NORM.DIST(AA$3,$CV23,0.3*$CV23,TRUE),$CW23*_xlfn.NORM.DIST(AA$3,'energy base (MECS)'!$F$11,0.3*'energy base (MECS)'!$F$11,TRUE))</f>
        <v/>
      </c>
      <c r="AB23" s="68">
        <f t="array" ref="AB23">IF($D23,SUMPRODUCT((economics!$AG$2:$AG$167=$B23)*(economics!$D$2:$D$167="whr")*economics!$AH$2:$AH$167*_xlfn.NORM.DIST(AB$3,economics!$AK$2:$AK$167,economics!$AJ$2:$AJ$167,TRUE))+$CR23*_xlfn.NORM.DIST(AB$3,$CU23,0.3*$CU23,TRUE)+$CS23*_xlfn.NORM.DIST(AB$3,$CV23,0.3*$CV23,TRUE),$CW23*_xlfn.NORM.DIST(AB$3,'energy base (MECS)'!$F$11,0.3*'energy base (MECS)'!$F$11,TRUE))</f>
        <v/>
      </c>
      <c r="AC23" s="68">
        <f t="array" ref="AC23">IF($D23,SUMPRODUCT((economics!$AG$2:$AG$167=$B23)*(economics!$D$2:$D$167="whr")*economics!$AH$2:$AH$167*_xlfn.NORM.DIST(AC$3,economics!$AK$2:$AK$167,economics!$AJ$2:$AJ$167,TRUE))+$CR23*_xlfn.NORM.DIST(AC$3,$CU23,0.3*$CU23,TRUE)+$CS23*_xlfn.NORM.DIST(AC$3,$CV23,0.3*$CV23,TRUE),$CW23*_xlfn.NORM.DIST(AC$3,'energy base (MECS)'!$F$11,0.3*'energy base (MECS)'!$F$11,TRUE))</f>
        <v/>
      </c>
      <c r="AD23" s="68">
        <f t="array" ref="AD23">IF($D23,SUMPRODUCT((economics!$AG$2:$AG$167=$B23)*(economics!$D$2:$D$167="whr")*economics!$AH$2:$AH$167*_xlfn.NORM.DIST(AD$3,economics!$AK$2:$AK$167,economics!$AJ$2:$AJ$167,TRUE))+$CR23*_xlfn.NORM.DIST(AD$3,$CU23,0.3*$CU23,TRUE)+$CS23*_xlfn.NORM.DIST(AD$3,$CV23,0.3*$CV23,TRUE),$CW23*_xlfn.NORM.DIST(AD$3,'energy base (MECS)'!$F$11,0.3*'energy base (MECS)'!$F$11,TRUE))</f>
        <v/>
      </c>
      <c r="AE23" s="68">
        <f t="array" ref="AE23">IF($D23,SUMPRODUCT((economics!$AG$2:$AG$167=$B23)*(economics!$D$2:$D$167="whr")*economics!$AH$2:$AH$167*_xlfn.NORM.DIST(AE$3,economics!$AK$2:$AK$167,economics!$AJ$2:$AJ$167,TRUE))+$CR23*_xlfn.NORM.DIST(AE$3,$CU23,0.3*$CU23,TRUE)+$CS23*_xlfn.NORM.DIST(AE$3,$CV23,0.3*$CV23,TRUE),$CW23*_xlfn.NORM.DIST(AE$3,'energy base (MECS)'!$F$11,0.3*'energy base (MECS)'!$F$11,TRUE))</f>
        <v/>
      </c>
      <c r="AF23" s="68">
        <f t="array" ref="AF23">IF($D23,SUMPRODUCT((economics!$AG$2:$AG$167=$B23)*(economics!$D$2:$D$167="whr")*economics!$AH$2:$AH$167*_xlfn.NORM.DIST(AF$3,economics!$AK$2:$AK$167,economics!$AJ$2:$AJ$167,TRUE))+$CR23*_xlfn.NORM.DIST(AF$3,$CU23,0.3*$CU23,TRUE)+$CS23*_xlfn.NORM.DIST(AF$3,$CV23,0.3*$CV23,TRUE),$CW23*_xlfn.NORM.DIST(AF$3,'energy base (MECS)'!$F$11,0.3*'energy base (MECS)'!$F$11,TRUE))</f>
        <v/>
      </c>
      <c r="AG23" s="68">
        <f t="array" ref="AG23">IF($D23,SUMPRODUCT((economics!$AG$2:$AG$167=$B23)*(economics!$D$2:$D$167="whr")*economics!$AH$2:$AH$167*_xlfn.NORM.DIST(AG$3,economics!$AK$2:$AK$167,economics!$AJ$2:$AJ$167,TRUE))+$CR23*_xlfn.NORM.DIST(AG$3,$CU23,0.3*$CU23,TRUE)+$CS23*_xlfn.NORM.DIST(AG$3,$CV23,0.3*$CV23,TRUE),$CW23*_xlfn.NORM.DIST(AG$3,'energy base (MECS)'!$F$11,0.3*'energy base (MECS)'!$F$11,TRUE))</f>
        <v/>
      </c>
      <c r="AH23" s="68">
        <f t="array" ref="AH23">IF($D23,SUMPRODUCT((economics!$AG$2:$AG$167=$B23)*(economics!$D$2:$D$167="whr")*economics!$AH$2:$AH$167*_xlfn.NORM.DIST(AH$3,economics!$AK$2:$AK$167,economics!$AJ$2:$AJ$167,TRUE))+$CR23*_xlfn.NORM.DIST(AH$3,$CU23,0.3*$CU23,TRUE)+$CS23*_xlfn.NORM.DIST(AH$3,$CV23,0.3*$CV23,TRUE),$CW23*_xlfn.NORM.DIST(AH$3,'energy base (MECS)'!$F$11,0.3*'energy base (MECS)'!$F$11,TRUE))</f>
        <v/>
      </c>
      <c r="AI23" s="68">
        <f t="array" ref="AI23">IF($D23,SUMPRODUCT((economics!$AG$2:$AG$167=$B23)*(economics!$D$2:$D$167="whr")*economics!$AH$2:$AH$167*_xlfn.NORM.DIST(AI$3,economics!$AK$2:$AK$167,economics!$AJ$2:$AJ$167,TRUE))+$CR23*_xlfn.NORM.DIST(AI$3,$CU23,0.3*$CU23,TRUE)+$CS23*_xlfn.NORM.DIST(AI$3,$CV23,0.3*$CV23,TRUE),$CW23*_xlfn.NORM.DIST(AI$3,'energy base (MECS)'!$F$11,0.3*'energy base (MECS)'!$F$11,TRUE))</f>
        <v/>
      </c>
      <c r="AJ23" s="68">
        <f t="array" ref="AJ23">IF($D23,SUMPRODUCT((economics!$AG$2:$AG$167=$B23)*(economics!$D$2:$D$167="whr")*economics!$AH$2:$AH$167*_xlfn.NORM.DIST(AJ$3,economics!$AK$2:$AK$167,economics!$AJ$2:$AJ$167,TRUE))+$CR23*_xlfn.NORM.DIST(AJ$3,$CU23,0.3*$CU23,TRUE)+$CS23*_xlfn.NORM.DIST(AJ$3,$CV23,0.3*$CV23,TRUE),$CW23*_xlfn.NORM.DIST(AJ$3,'energy base (MECS)'!$F$11,0.3*'energy base (MECS)'!$F$11,TRUE))</f>
        <v/>
      </c>
      <c r="AK23" s="68">
        <f t="array" ref="AK23">IF($D23,SUMPRODUCT((economics!$AG$2:$AG$167=$B23)*(economics!$D$2:$D$167="whr")*economics!$AH$2:$AH$167*_xlfn.NORM.DIST(AK$3,economics!$AK$2:$AK$167,economics!$AJ$2:$AJ$167,TRUE))+$CR23*_xlfn.NORM.DIST(AK$3,$CU23,0.3*$CU23,TRUE)+$CS23*_xlfn.NORM.DIST(AK$3,$CV23,0.3*$CV23,TRUE),$CW23*_xlfn.NORM.DIST(AK$3,'energy base (MECS)'!$F$11,0.3*'energy base (MECS)'!$F$11,TRUE))</f>
        <v/>
      </c>
      <c r="AL23" s="68">
        <f t="array" ref="AL23">IF($D23,SUMPRODUCT((economics!$AG$2:$AG$167=$B23)*(economics!$D$2:$D$167="whr")*economics!$AH$2:$AH$167*_xlfn.NORM.DIST(AL$3,economics!$AK$2:$AK$167,economics!$AJ$2:$AJ$167,TRUE))+$CR23*_xlfn.NORM.DIST(AL$3,$CU23,0.3*$CU23,TRUE)+$CS23*_xlfn.NORM.DIST(AL$3,$CV23,0.3*$CV23,TRUE),$CW23*_xlfn.NORM.DIST(AL$3,'energy base (MECS)'!$F$11,0.3*'energy base (MECS)'!$F$11,TRUE))</f>
        <v/>
      </c>
      <c r="AM23" s="68">
        <f t="array" ref="AM23">IF($D23,SUMPRODUCT((economics!$AG$2:$AG$167=$B23)*(economics!$D$2:$D$167="whr")*economics!$AH$2:$AH$167*_xlfn.NORM.DIST(AM$3,economics!$AK$2:$AK$167,economics!$AJ$2:$AJ$167,TRUE))+$CR23*_xlfn.NORM.DIST(AM$3,$CU23,0.3*$CU23,TRUE)+$CS23*_xlfn.NORM.DIST(AM$3,$CV23,0.3*$CV23,TRUE),$CW23*_xlfn.NORM.DIST(AM$3,'energy base (MECS)'!$F$11,0.3*'energy base (MECS)'!$F$11,TRUE))</f>
        <v/>
      </c>
      <c r="AN23" s="68">
        <f t="array" ref="AN23">IF($D23,SUMPRODUCT((economics!$AG$2:$AG$167=$B23)*(economics!$D$2:$D$167="whr")*economics!$AH$2:$AH$167*_xlfn.NORM.DIST(AN$3,economics!$AK$2:$AK$167,economics!$AJ$2:$AJ$167,TRUE))+$CR23*_xlfn.NORM.DIST(AN$3,$CU23,0.3*$CU23,TRUE)+$CS23*_xlfn.NORM.DIST(AN$3,$CV23,0.3*$CV23,TRUE),$CW23*_xlfn.NORM.DIST(AN$3,'energy base (MECS)'!$F$11,0.3*'energy base (MECS)'!$F$11,TRUE))</f>
        <v/>
      </c>
      <c r="AO23" s="68">
        <f t="array" ref="AO23">IF($D23,SUMPRODUCT((economics!$AG$2:$AG$167=$B23)*(economics!$D$2:$D$167="whr")*economics!$AH$2:$AH$167*_xlfn.NORM.DIST(AO$3,economics!$AK$2:$AK$167,economics!$AJ$2:$AJ$167,TRUE))+$CR23*_xlfn.NORM.DIST(AO$3,$CU23,0.3*$CU23,TRUE)+$CS23*_xlfn.NORM.DIST(AO$3,$CV23,0.3*$CV23,TRUE),$CW23*_xlfn.NORM.DIST(AO$3,'energy base (MECS)'!$F$11,0.3*'energy base (MECS)'!$F$11,TRUE))</f>
        <v/>
      </c>
      <c r="AP23" s="68">
        <f t="array" ref="AP23">IF($D23,SUMPRODUCT((economics!$AG$2:$AG$167=$B23)*(economics!$D$2:$D$167="whr")*economics!$AH$2:$AH$167*_xlfn.NORM.DIST(AP$3,economics!$AK$2:$AK$167,economics!$AJ$2:$AJ$167,TRUE))+$CR23*_xlfn.NORM.DIST(AP$3,$CU23,0.3*$CU23,TRUE)+$CS23*_xlfn.NORM.DIST(AP$3,$CV23,0.3*$CV23,TRUE),$CW23*_xlfn.NORM.DIST(AP$3,'energy base (MECS)'!$F$11,0.3*'energy base (MECS)'!$F$11,TRUE))</f>
        <v/>
      </c>
      <c r="AQ23" s="68">
        <f t="array" ref="AQ23">IF($D23,SUMPRODUCT((economics!$AG$2:$AG$167=$B23)*(economics!$D$2:$D$167="whr")*economics!$AH$2:$AH$167*_xlfn.NORM.DIST(AQ$3,economics!$AK$2:$AK$167,economics!$AJ$2:$AJ$167,TRUE))+$CR23*_xlfn.NORM.DIST(AQ$3,$CU23,0.3*$CU23,TRUE)+$CS23*_xlfn.NORM.DIST(AQ$3,$CV23,0.3*$CV23,TRUE),$CW23*_xlfn.NORM.DIST(AQ$3,'energy base (MECS)'!$F$11,0.3*'energy base (MECS)'!$F$11,TRUE))</f>
        <v/>
      </c>
      <c r="AR23" s="68">
        <f t="array" ref="AR23">IF($D23,SUMPRODUCT((economics!$AG$2:$AG$167=$B23)*(economics!$D$2:$D$167="whr")*economics!$AH$2:$AH$167*_xlfn.NORM.DIST(AR$3,economics!$AK$2:$AK$167,economics!$AJ$2:$AJ$167,TRUE))+$CR23*_xlfn.NORM.DIST(AR$3,$CU23,0.3*$CU23,TRUE)+$CS23*_xlfn.NORM.DIST(AR$3,$CV23,0.3*$CV23,TRUE),$CW23*_xlfn.NORM.DIST(AR$3,'energy base (MECS)'!$F$11,0.3*'energy base (MECS)'!$F$11,TRUE))</f>
        <v/>
      </c>
      <c r="AS23" s="68">
        <f t="array" ref="AS23">IF($D23,SUMPRODUCT((economics!$AG$2:$AG$167=$B23)*(economics!$D$2:$D$167="whr")*economics!$AH$2:$AH$167*_xlfn.NORM.DIST(AS$3,economics!$AK$2:$AK$167,economics!$AJ$2:$AJ$167,TRUE))+$CR23*_xlfn.NORM.DIST(AS$3,$CU23,0.3*$CU23,TRUE)+$CS23*_xlfn.NORM.DIST(AS$3,$CV23,0.3*$CV23,TRUE),$CW23*_xlfn.NORM.DIST(AS$3,'energy base (MECS)'!$F$11,0.3*'energy base (MECS)'!$F$11,TRUE))</f>
        <v/>
      </c>
      <c r="AT23" s="68">
        <f t="array" ref="AT23">IF($D23,SUMPRODUCT((economics!$AG$2:$AG$167=$B23)*(economics!$D$2:$D$167="whr")*economics!$AH$2:$AH$167*_xlfn.NORM.DIST(AT$3,economics!$AK$2:$AK$167,economics!$AJ$2:$AJ$167,TRUE))+$CR23*_xlfn.NORM.DIST(AT$3,$CU23,0.3*$CU23,TRUE)+$CS23*_xlfn.NORM.DIST(AT$3,$CV23,0.3*$CV23,TRUE),$CW23*_xlfn.NORM.DIST(AT$3,'energy base (MECS)'!$F$11,0.3*'energy base (MECS)'!$F$11,TRUE))</f>
        <v/>
      </c>
      <c r="AU23" s="68">
        <f t="array" ref="AU23">IF($D23,SUMPRODUCT((economics!$AG$2:$AG$167=$B23)*(economics!$D$2:$D$167="whr")*economics!$AH$2:$AH$167*_xlfn.NORM.DIST(AU$3,economics!$AK$2:$AK$167,economics!$AJ$2:$AJ$167,TRUE))+$CR23*_xlfn.NORM.DIST(AU$3,$CU23,0.3*$CU23,TRUE)+$CS23*_xlfn.NORM.DIST(AU$3,$CV23,0.3*$CV23,TRUE),$CW23*_xlfn.NORM.DIST(AU$3,'energy base (MECS)'!$F$11,0.3*'energy base (MECS)'!$F$11,TRUE))</f>
        <v/>
      </c>
      <c r="AV23" s="68">
        <f t="array" ref="AV23">IF($D23,SUMPRODUCT((economics!$AG$2:$AG$167=$B23)*(economics!$D$2:$D$167="whr")*economics!$AH$2:$AH$167*_xlfn.NORM.DIST(AV$3,economics!$AK$2:$AK$167,economics!$AJ$2:$AJ$167,TRUE))+$CR23*_xlfn.NORM.DIST(AV$3,$CU23,0.3*$CU23,TRUE)+$CS23*_xlfn.NORM.DIST(AV$3,$CV23,0.3*$CV23,TRUE),$CW23*_xlfn.NORM.DIST(AV$3,'energy base (MECS)'!$F$11,0.3*'energy base (MECS)'!$F$11,TRUE))</f>
        <v/>
      </c>
      <c r="AW23" s="68">
        <f t="array" ref="AW23">IF($D23,SUMPRODUCT((economics!$AG$2:$AG$167=$B23)*(economics!$D$2:$D$167="whr")*economics!$AH$2:$AH$167*_xlfn.NORM.DIST(AW$3,economics!$AK$2:$AK$167,economics!$AJ$2:$AJ$167,TRUE))+$CR23*_xlfn.NORM.DIST(AW$3,$CU23,0.3*$CU23,TRUE)+$CS23*_xlfn.NORM.DIST(AW$3,$CV23,0.3*$CV23,TRUE),$CW23*_xlfn.NORM.DIST(AW$3,'energy base (MECS)'!$F$11,0.3*'energy base (MECS)'!$F$11,TRUE))</f>
        <v/>
      </c>
      <c r="AX23" s="68">
        <f t="array" ref="AX23">IF($D23,SUMPRODUCT((economics!$AG$2:$AG$167=$B23)*(economics!$D$2:$D$167="whr")*economics!$AH$2:$AH$167*_xlfn.NORM.DIST(AX$3,economics!$AK$2:$AK$167,economics!$AJ$2:$AJ$167,TRUE))+$CR23*_xlfn.NORM.DIST(AX$3,$CU23,0.3*$CU23,TRUE)+$CS23*_xlfn.NORM.DIST(AX$3,$CV23,0.3*$CV23,TRUE),$CW23*_xlfn.NORM.DIST(AX$3,'energy base (MECS)'!$F$11,0.3*'energy base (MECS)'!$F$11,TRUE))</f>
        <v/>
      </c>
      <c r="AY23" s="68">
        <f t="array" ref="AY23">IF($D23,SUMPRODUCT((economics!$AG$2:$AG$167=$B23)*(economics!$D$2:$D$167="whr")*economics!$AH$2:$AH$167*_xlfn.NORM.DIST(AY$3,economics!$AK$2:$AK$167,economics!$AJ$2:$AJ$167,TRUE))+$CR23*_xlfn.NORM.DIST(AY$3,$CU23,0.3*$CU23,TRUE)+$CS23*_xlfn.NORM.DIST(AY$3,$CV23,0.3*$CV23,TRUE),$CW23*_xlfn.NORM.DIST(AY$3,'energy base (MECS)'!$F$11,0.3*'energy base (MECS)'!$F$11,TRUE))</f>
        <v/>
      </c>
      <c r="AZ23" s="68">
        <f t="array" ref="AZ23">IF($D23,SUMPRODUCT((economics!$AG$2:$AG$167=$B23)*(economics!$D$2:$D$167="whr")*economics!$AH$2:$AH$167*_xlfn.NORM.DIST(AZ$3,economics!$AK$2:$AK$167,economics!$AJ$2:$AJ$167,TRUE))+$CR23*_xlfn.NORM.DIST(AZ$3,$CU23,0.3*$CU23,TRUE)+$CS23*_xlfn.NORM.DIST(AZ$3,$CV23,0.3*$CV23,TRUE),$CW23*_xlfn.NORM.DIST(AZ$3,'energy base (MECS)'!$F$11,0.3*'energy base (MECS)'!$F$11,TRUE))</f>
        <v/>
      </c>
      <c r="BA23" s="68">
        <f t="array" ref="BA23">IF($D23,SUMPRODUCT((economics!$AG$2:$AG$167=$B23)*(economics!$D$2:$D$167="whr")*economics!$AH$2:$AH$167*_xlfn.NORM.DIST(BA$3,economics!$AK$2:$AK$167,economics!$AJ$2:$AJ$167,TRUE))+$CR23*_xlfn.NORM.DIST(BA$3,$CU23,0.3*$CU23,TRUE)+$CS23*_xlfn.NORM.DIST(BA$3,$CV23,0.3*$CV23,TRUE),$CW23*_xlfn.NORM.DIST(BA$3,'energy base (MECS)'!$F$11,0.3*'energy base (MECS)'!$F$11,TRUE))</f>
        <v/>
      </c>
      <c r="BB23" s="68">
        <f t="array" ref="BB23">IF($D23,SUMPRODUCT((economics!$AG$2:$AG$167=$B23)*(economics!$D$2:$D$167="whr")*economics!$AH$2:$AH$167*_xlfn.NORM.DIST(BB$3,economics!$AK$2:$AK$167,economics!$AJ$2:$AJ$167,TRUE))+$CR23*_xlfn.NORM.DIST(BB$3,$CU23,0.3*$CU23,TRUE)+$CS23*_xlfn.NORM.DIST(BB$3,$CV23,0.3*$CV23,TRUE),$CW23*_xlfn.NORM.DIST(BB$3,'energy base (MECS)'!$F$11,0.3*'energy base (MECS)'!$F$11,TRUE))</f>
        <v/>
      </c>
      <c r="BC23" s="68">
        <f t="array" ref="BC23">IF($D23,SUMPRODUCT((economics!$AG$2:$AG$167=$B23)*(economics!$D$2:$D$167="whr")*economics!$AH$2:$AH$167*_xlfn.NORM.DIST(BC$3,economics!$AK$2:$AK$167,economics!$AJ$2:$AJ$167,TRUE))+$CR23*_xlfn.NORM.DIST(BC$3,$CU23,0.3*$CU23,TRUE)+$CS23*_xlfn.NORM.DIST(BC$3,$CV23,0.3*$CV23,TRUE),$CW23*_xlfn.NORM.DIST(BC$3,'energy base (MECS)'!$F$11,0.3*'energy base (MECS)'!$F$11,TRUE))</f>
        <v/>
      </c>
      <c r="BD23" s="68">
        <f t="array" ref="BD23">IF($D23,SUMPRODUCT((economics!$AG$2:$AG$167=$B23)*(economics!$D$2:$D$167="whr")*economics!$AH$2:$AH$167*_xlfn.NORM.DIST(BD$3,economics!$AK$2:$AK$167,economics!$AJ$2:$AJ$167,TRUE))+$CR23*_xlfn.NORM.DIST(BD$3,$CU23,0.3*$CU23,TRUE)+$CS23*_xlfn.NORM.DIST(BD$3,$CV23,0.3*$CV23,TRUE),$CW23*_xlfn.NORM.DIST(BD$3,'energy base (MECS)'!$F$11,0.3*'energy base (MECS)'!$F$11,TRUE))</f>
        <v/>
      </c>
      <c r="BE23" s="68">
        <f t="array" ref="BE23">IF($D23,SUMPRODUCT((economics!$AG$2:$AG$167=$B23)*(economics!$D$2:$D$167="whr")*economics!$AH$2:$AH$167*_xlfn.NORM.DIST(BE$3,economics!$AK$2:$AK$167,economics!$AJ$2:$AJ$167,TRUE))+$CR23*_xlfn.NORM.DIST(BE$3,$CU23,0.3*$CU23,TRUE)+$CS23*_xlfn.NORM.DIST(BE$3,$CV23,0.3*$CV23,TRUE),$CW23*_xlfn.NORM.DIST(BE$3,'energy base (MECS)'!$F$11,0.3*'energy base (MECS)'!$F$11,TRUE))</f>
        <v/>
      </c>
      <c r="BF23" s="68">
        <f t="array" ref="BF23">IF($D23,SUMPRODUCT((economics!$AG$2:$AG$167=$B23)*(economics!$D$2:$D$167="whr")*economics!$AH$2:$AH$167*_xlfn.NORM.DIST(BF$3,economics!$AK$2:$AK$167,economics!$AJ$2:$AJ$167,TRUE))+$CR23*_xlfn.NORM.DIST(BF$3,$CU23,0.3*$CU23,TRUE)+$CS23*_xlfn.NORM.DIST(BF$3,$CV23,0.3*$CV23,TRUE),$CW23*_xlfn.NORM.DIST(BF$3,'energy base (MECS)'!$F$11,0.3*'energy base (MECS)'!$F$11,TRUE))</f>
        <v/>
      </c>
      <c r="BG23" s="68">
        <f t="array" ref="BG23">IF($D23,SUMPRODUCT((economics!$AG$2:$AG$167=$B23)*(economics!$D$2:$D$167="whr")*economics!$AH$2:$AH$167*_xlfn.NORM.DIST(BG$3,economics!$AK$2:$AK$167,economics!$AJ$2:$AJ$167,TRUE))+$CR23*_xlfn.NORM.DIST(BG$3,$CU23,0.3*$CU23,TRUE)+$CS23*_xlfn.NORM.DIST(BG$3,$CV23,0.3*$CV23,TRUE),$CW23*_xlfn.NORM.DIST(BG$3,'energy base (MECS)'!$F$11,0.3*'energy base (MECS)'!$F$11,TRUE))</f>
        <v/>
      </c>
      <c r="BH23" s="68">
        <f t="array" ref="BH23">IF($D23,SUMPRODUCT((economics!$AG$2:$AG$167=$B23)*(economics!$D$2:$D$167="whr")*economics!$AH$2:$AH$167*_xlfn.NORM.DIST(BH$3,economics!$AK$2:$AK$167,economics!$AJ$2:$AJ$167,TRUE))+$CR23*_xlfn.NORM.DIST(BH$3,$CU23,0.3*$CU23,TRUE)+$CS23*_xlfn.NORM.DIST(BH$3,$CV23,0.3*$CV23,TRUE),$CW23*_xlfn.NORM.DIST(BH$3,'energy base (MECS)'!$F$11,0.3*'energy base (MECS)'!$F$11,TRUE))</f>
        <v/>
      </c>
      <c r="BI23" s="68">
        <f t="array" ref="BI23">IF($D23,SUMPRODUCT((economics!$AG$2:$AG$167=$B23)*(economics!$D$2:$D$167="whr")*economics!$AH$2:$AH$167*_xlfn.NORM.DIST(BI$3,economics!$AK$2:$AK$167,economics!$AJ$2:$AJ$167,TRUE))+$CR23*_xlfn.NORM.DIST(BI$3,$CU23,0.3*$CU23,TRUE)+$CS23*_xlfn.NORM.DIST(BI$3,$CV23,0.3*$CV23,TRUE),$CW23*_xlfn.NORM.DIST(BI$3,'energy base (MECS)'!$F$11,0.3*'energy base (MECS)'!$F$11,TRUE))</f>
        <v/>
      </c>
      <c r="BJ23" s="68">
        <f t="array" ref="BJ23">IF($D23,SUMPRODUCT((economics!$AG$2:$AG$167=$B23)*(economics!$D$2:$D$167="whr")*economics!$AH$2:$AH$167*_xlfn.NORM.DIST(BJ$3,economics!$AK$2:$AK$167,economics!$AJ$2:$AJ$167,TRUE))+$CR23*_xlfn.NORM.DIST(BJ$3,$CU23,0.3*$CU23,TRUE)+$CS23*_xlfn.NORM.DIST(BJ$3,$CV23,0.3*$CV23,TRUE),$CW23*_xlfn.NORM.DIST(BJ$3,'energy base (MECS)'!$F$11,0.3*'energy base (MECS)'!$F$11,TRUE))</f>
        <v/>
      </c>
      <c r="BK23" s="68">
        <f t="array" ref="BK23">IF($D23,SUMPRODUCT((economics!$AG$2:$AG$167=$B23)*(economics!$D$2:$D$167="whr")*economics!$AH$2:$AH$167*_xlfn.NORM.DIST(BK$3,economics!$AK$2:$AK$167,economics!$AJ$2:$AJ$167,TRUE))+$CR23*_xlfn.NORM.DIST(BK$3,$CU23,0.3*$CU23,TRUE)+$CS23*_xlfn.NORM.DIST(BK$3,$CV23,0.3*$CV23,TRUE),$CW23*_xlfn.NORM.DIST(BK$3,'energy base (MECS)'!$F$11,0.3*'energy base (MECS)'!$F$11,TRUE))</f>
        <v/>
      </c>
      <c r="BL23" s="68">
        <f t="array" ref="BL23">IF($D23,SUMPRODUCT((economics!$AG$2:$AG$167=$B23)*(economics!$D$2:$D$167="whr")*economics!$AH$2:$AH$167*_xlfn.NORM.DIST(BL$3,economics!$AK$2:$AK$167,economics!$AJ$2:$AJ$167,TRUE))+$CR23*_xlfn.NORM.DIST(BL$3,$CU23,0.3*$CU23,TRUE)+$CS23*_xlfn.NORM.DIST(BL$3,$CV23,0.3*$CV23,TRUE),$CW23*_xlfn.NORM.DIST(BL$3,'energy base (MECS)'!$F$11,0.3*'energy base (MECS)'!$F$11,TRUE))</f>
        <v/>
      </c>
      <c r="BM23" s="68">
        <f t="array" ref="BM23">IF($D23,SUMPRODUCT((economics!$AG$2:$AG$167=$B23)*(economics!$D$2:$D$167="whr")*economics!$AH$2:$AH$167*_xlfn.NORM.DIST(BM$3,economics!$AK$2:$AK$167,economics!$AJ$2:$AJ$167,TRUE))+$CR23*_xlfn.NORM.DIST(BM$3,$CU23,0.3*$CU23,TRUE)+$CS23*_xlfn.NORM.DIST(BM$3,$CV23,0.3*$CV23,TRUE),$CW23*_xlfn.NORM.DIST(BM$3,'energy base (MECS)'!$F$11,0.3*'energy base (MECS)'!$F$11,TRUE))</f>
        <v/>
      </c>
      <c r="BN23" s="68">
        <f t="array" ref="BN23">IF($D23,SUMPRODUCT((economics!$AG$2:$AG$167=$B23)*(economics!$D$2:$D$167="whr")*economics!$AH$2:$AH$167*_xlfn.NORM.DIST(BN$3,economics!$AK$2:$AK$167,economics!$AJ$2:$AJ$167,TRUE))+$CR23*_xlfn.NORM.DIST(BN$3,$CU23,0.3*$CU23,TRUE)+$CS23*_xlfn.NORM.DIST(BN$3,$CV23,0.3*$CV23,TRUE),$CW23*_xlfn.NORM.DIST(BN$3,'energy base (MECS)'!$F$11,0.3*'energy base (MECS)'!$F$11,TRUE))</f>
        <v/>
      </c>
      <c r="BO23" s="68">
        <f t="array" ref="BO23">IF($D23,SUMPRODUCT((economics!$AG$2:$AG$167=$B23)*(economics!$D$2:$D$167="whr")*economics!$AH$2:$AH$167*_xlfn.NORM.DIST(BO$3,economics!$AK$2:$AK$167,economics!$AJ$2:$AJ$167,TRUE))+$CR23*_xlfn.NORM.DIST(BO$3,$CU23,0.3*$CU23,TRUE)+$CS23*_xlfn.NORM.DIST(BO$3,$CV23,0.3*$CV23,TRUE),$CW23*_xlfn.NORM.DIST(BO$3,'energy base (MECS)'!$F$11,0.3*'energy base (MECS)'!$F$11,TRUE))</f>
        <v/>
      </c>
      <c r="BP23" s="68">
        <f t="array" ref="BP23">IF($D23,SUMPRODUCT((economics!$AG$2:$AG$167=$B23)*(economics!$D$2:$D$167="whr")*economics!$AH$2:$AH$167*_xlfn.NORM.DIST(BP$3,economics!$AK$2:$AK$167,economics!$AJ$2:$AJ$167,TRUE))+$CR23*_xlfn.NORM.DIST(BP$3,$CU23,0.3*$CU23,TRUE)+$CS23*_xlfn.NORM.DIST(BP$3,$CV23,0.3*$CV23,TRUE),$CW23*_xlfn.NORM.DIST(BP$3,'energy base (MECS)'!$F$11,0.3*'energy base (MECS)'!$F$11,TRUE))</f>
        <v/>
      </c>
      <c r="BQ23" s="68">
        <f t="array" ref="BQ23">IF($D23,SUMPRODUCT((economics!$AG$2:$AG$167=$B23)*(economics!$D$2:$D$167="whr")*economics!$AH$2:$AH$167*_xlfn.NORM.DIST(BQ$3,economics!$AK$2:$AK$167,economics!$AJ$2:$AJ$167,TRUE))+$CR23*_xlfn.NORM.DIST(BQ$3,$CU23,0.3*$CU23,TRUE)+$CS23*_xlfn.NORM.DIST(BQ$3,$CV23,0.3*$CV23,TRUE),$CW23*_xlfn.NORM.DIST(BQ$3,'energy base (MECS)'!$F$11,0.3*'energy base (MECS)'!$F$11,TRUE))</f>
        <v/>
      </c>
      <c r="BR23" s="68">
        <f t="array" ref="BR23">IF($D23,SUMPRODUCT((economics!$AG$2:$AG$167=$B23)*(economics!$D$2:$D$167="whr")*economics!$AH$2:$AH$167*_xlfn.NORM.DIST(BR$3,economics!$AK$2:$AK$167,economics!$AJ$2:$AJ$167,TRUE))+$CR23*_xlfn.NORM.DIST(BR$3,$CU23,0.3*$CU23,TRUE)+$CS23*_xlfn.NORM.DIST(BR$3,$CV23,0.3*$CV23,TRUE),$CW23*_xlfn.NORM.DIST(BR$3,'energy base (MECS)'!$F$11,0.3*'energy base (MECS)'!$F$11,TRUE))</f>
        <v/>
      </c>
      <c r="BS23" s="68">
        <f t="array" ref="BS23">IF($D23,SUMPRODUCT((economics!$AG$2:$AG$167=$B23)*(economics!$D$2:$D$167="whr")*economics!$AH$2:$AH$167*_xlfn.NORM.DIST(BS$3,economics!$AK$2:$AK$167,economics!$AJ$2:$AJ$167,TRUE))+$CR23*_xlfn.NORM.DIST(BS$3,$CU23,0.3*$CU23,TRUE)+$CS23*_xlfn.NORM.DIST(BS$3,$CV23,0.3*$CV23,TRUE),$CW23*_xlfn.NORM.DIST(BS$3,'energy base (MECS)'!$F$11,0.3*'energy base (MECS)'!$F$11,TRUE))</f>
        <v/>
      </c>
      <c r="BT23" s="68">
        <f t="array" ref="BT23">IF($D23,SUMPRODUCT((economics!$AG$2:$AG$167=$B23)*(economics!$D$2:$D$167="whr")*economics!$AH$2:$AH$167*_xlfn.NORM.DIST(BT$3,economics!$AK$2:$AK$167,economics!$AJ$2:$AJ$167,TRUE))+$CR23*_xlfn.NORM.DIST(BT$3,$CU23,0.3*$CU23,TRUE)+$CS23*_xlfn.NORM.DIST(BT$3,$CV23,0.3*$CV23,TRUE),$CW23*_xlfn.NORM.DIST(BT$3,'energy base (MECS)'!$F$11,0.3*'energy base (MECS)'!$F$11,TRUE))</f>
        <v/>
      </c>
      <c r="BU23" s="68">
        <f t="array" ref="BU23">IF($D23,SUMPRODUCT((economics!$AG$2:$AG$167=$B23)*(economics!$D$2:$D$167="whr")*economics!$AH$2:$AH$167*_xlfn.NORM.DIST(BU$3,economics!$AK$2:$AK$167,economics!$AJ$2:$AJ$167,TRUE))+$CR23*_xlfn.NORM.DIST(BU$3,$CU23,0.3*$CU23,TRUE)+$CS23*_xlfn.NORM.DIST(BU$3,$CV23,0.3*$CV23,TRUE),$CW23*_xlfn.NORM.DIST(BU$3,'energy base (MECS)'!$F$11,0.3*'energy base (MECS)'!$F$11,TRUE))</f>
        <v/>
      </c>
      <c r="BV23" s="68">
        <f t="array" ref="BV23">IF($D23,SUMPRODUCT((economics!$AG$2:$AG$167=$B23)*(economics!$D$2:$D$167="whr")*economics!$AH$2:$AH$167*_xlfn.NORM.DIST(BV$3,economics!$AK$2:$AK$167,economics!$AJ$2:$AJ$167,TRUE))+$CR23*_xlfn.NORM.DIST(BV$3,$CU23,0.3*$CU23,TRUE)+$CS23*_xlfn.NORM.DIST(BV$3,$CV23,0.3*$CV23,TRUE),$CW23*_xlfn.NORM.DIST(BV$3,'energy base (MECS)'!$F$11,0.3*'energy base (MECS)'!$F$11,TRUE))</f>
        <v/>
      </c>
      <c r="BW23" s="68">
        <f t="array" ref="BW23">IF($D23,SUMPRODUCT((economics!$AG$2:$AG$167=$B23)*(economics!$D$2:$D$167="whr")*economics!$AH$2:$AH$167*_xlfn.NORM.DIST(BW$3,economics!$AK$2:$AK$167,economics!$AJ$2:$AJ$167,TRUE))+$CR23*_xlfn.NORM.DIST(BW$3,$CU23,0.3*$CU23,TRUE)+$CS23*_xlfn.NORM.DIST(BW$3,$CV23,0.3*$CV23,TRUE),$CW23*_xlfn.NORM.DIST(BW$3,'energy base (MECS)'!$F$11,0.3*'energy base (MECS)'!$F$11,TRUE))</f>
        <v/>
      </c>
      <c r="BX23" s="68">
        <f t="array" ref="BX23">IF($D23,SUMPRODUCT((economics!$AG$2:$AG$167=$B23)*(economics!$D$2:$D$167="whr")*economics!$AH$2:$AH$167*_xlfn.NORM.DIST(BX$3,economics!$AK$2:$AK$167,economics!$AJ$2:$AJ$167,TRUE))+$CR23*_xlfn.NORM.DIST(BX$3,$CU23,0.3*$CU23,TRUE)+$CS23*_xlfn.NORM.DIST(BX$3,$CV23,0.3*$CV23,TRUE),$CW23*_xlfn.NORM.DIST(BX$3,'energy base (MECS)'!$F$11,0.3*'energy base (MECS)'!$F$11,TRUE))</f>
        <v/>
      </c>
      <c r="BY23" s="68">
        <f t="array" ref="BY23">IF($D23,SUMPRODUCT((economics!$AG$2:$AG$167=$B23)*(economics!$D$2:$D$167="whr")*economics!$AH$2:$AH$167*_xlfn.NORM.DIST(BY$3,economics!$AK$2:$AK$167,economics!$AJ$2:$AJ$167,TRUE))+$CR23*_xlfn.NORM.DIST(BY$3,$CU23,0.3*$CU23,TRUE)+$CS23*_xlfn.NORM.DIST(BY$3,$CV23,0.3*$CV23,TRUE),$CW23*_xlfn.NORM.DIST(BY$3,'energy base (MECS)'!$F$11,0.3*'energy base (MECS)'!$F$11,TRUE))</f>
        <v/>
      </c>
      <c r="BZ23" s="68">
        <f t="array" ref="BZ23">IF($D23,SUMPRODUCT((economics!$AG$2:$AG$167=$B23)*(economics!$D$2:$D$167="whr")*economics!$AH$2:$AH$167*_xlfn.NORM.DIST(BZ$3,economics!$AK$2:$AK$167,economics!$AJ$2:$AJ$167,TRUE))+$CR23*_xlfn.NORM.DIST(BZ$3,$CU23,0.3*$CU23,TRUE)+$CS23*_xlfn.NORM.DIST(BZ$3,$CV23,0.3*$CV23,TRUE),$CW23*_xlfn.NORM.DIST(BZ$3,'energy base (MECS)'!$F$11,0.3*'energy base (MECS)'!$F$11,TRUE))</f>
        <v/>
      </c>
      <c r="CA23" s="68">
        <f t="array" ref="CA23">IF($D23,SUMPRODUCT((economics!$AG$2:$AG$167=$B23)*(economics!$D$2:$D$167="whr")*economics!$AH$2:$AH$167*_xlfn.NORM.DIST(CA$3,economics!$AK$2:$AK$167,economics!$AJ$2:$AJ$167,TRUE))+$CR23*_xlfn.NORM.DIST(CA$3,$CU23,0.3*$CU23,TRUE)+$CS23*_xlfn.NORM.DIST(CA$3,$CV23,0.3*$CV23,TRUE),$CW23*_xlfn.NORM.DIST(CA$3,'energy base (MECS)'!$F$11,0.3*'energy base (MECS)'!$F$11,TRUE))</f>
        <v/>
      </c>
      <c r="CB23" s="68">
        <f t="array" ref="CB23">IF($D23,SUMPRODUCT((economics!$AG$2:$AG$167=$B23)*(economics!$D$2:$D$167="whr")*economics!$AH$2:$AH$167*_xlfn.NORM.DIST(CB$3,economics!$AK$2:$AK$167,economics!$AJ$2:$AJ$167,TRUE))+$CR23*_xlfn.NORM.DIST(CB$3,$CU23,0.3*$CU23,TRUE)+$CS23*_xlfn.NORM.DIST(CB$3,$CV23,0.3*$CV23,TRUE),$CW23*_xlfn.NORM.DIST(CB$3,'energy base (MECS)'!$F$11,0.3*'energy base (MECS)'!$F$11,TRUE))</f>
        <v/>
      </c>
      <c r="CC23" s="68">
        <f t="array" ref="CC23">IF($D23,SUMPRODUCT((economics!$AG$2:$AG$167=$B23)*(economics!$D$2:$D$167="whr")*economics!$AH$2:$AH$167*_xlfn.NORM.DIST(CC$3,economics!$AK$2:$AK$167,economics!$AJ$2:$AJ$167,TRUE))+$CR23*_xlfn.NORM.DIST(CC$3,$CU23,0.3*$CU23,TRUE)+$CS23*_xlfn.NORM.DIST(CC$3,$CV23,0.3*$CV23,TRUE),$CW23*_xlfn.NORM.DIST(CC$3,'energy base (MECS)'!$F$11,0.3*'energy base (MECS)'!$F$11,TRUE))</f>
        <v/>
      </c>
      <c r="CD23" s="68">
        <f t="array" ref="CD23">IF($D23,SUMPRODUCT((economics!$AG$2:$AG$167=$B23)*(economics!$D$2:$D$167="whr")*economics!$AH$2:$AH$167*_xlfn.NORM.DIST(CD$3,economics!$AK$2:$AK$167,economics!$AJ$2:$AJ$167,TRUE))+$CR23*_xlfn.NORM.DIST(CD$3,$CU23,0.3*$CU23,TRUE)+$CS23*_xlfn.NORM.DIST(CD$3,$CV23,0.3*$CV23,TRUE),$CW23*_xlfn.NORM.DIST(CD$3,'energy base (MECS)'!$F$11,0.3*'energy base (MECS)'!$F$11,TRUE))</f>
        <v/>
      </c>
      <c r="CE23" s="68">
        <f t="array" ref="CE23">IF($D23,SUMPRODUCT((economics!$AG$2:$AG$167=$B23)*(economics!$D$2:$D$167="whr")*economics!$AH$2:$AH$167*_xlfn.NORM.DIST(CE$3,economics!$AK$2:$AK$167,economics!$AJ$2:$AJ$167,TRUE))+$CR23*_xlfn.NORM.DIST(CE$3,$CU23,0.3*$CU23,TRUE)+$CS23*_xlfn.NORM.DIST(CE$3,$CV23,0.3*$CV23,TRUE),$CW23*_xlfn.NORM.DIST(CE$3,'energy base (MECS)'!$F$11,0.3*'energy base (MECS)'!$F$11,TRUE))</f>
        <v/>
      </c>
      <c r="CF23" s="68">
        <f t="array" ref="CF23">IF($D23,SUMPRODUCT((economics!$AG$2:$AG$167=$B23)*(economics!$D$2:$D$167="whr")*economics!$AH$2:$AH$167*_xlfn.NORM.DIST(CF$3,economics!$AK$2:$AK$167,economics!$AJ$2:$AJ$167,TRUE))+$CR23*_xlfn.NORM.DIST(CF$3,$CU23,0.3*$CU23,TRUE)+$CS23*_xlfn.NORM.DIST(CF$3,$CV23,0.3*$CV23,TRUE),$CW23*_xlfn.NORM.DIST(CF$3,'energy base (MECS)'!$F$11,0.3*'energy base (MECS)'!$F$11,TRUE))</f>
        <v/>
      </c>
      <c r="CG23" s="68">
        <f t="array" ref="CG23">IF($D23,SUMPRODUCT((economics!$AG$2:$AG$167=$B23)*(economics!$D$2:$D$167="whr")*economics!$AH$2:$AH$167*_xlfn.NORM.DIST(CG$3,economics!$AK$2:$AK$167,economics!$AJ$2:$AJ$167,TRUE))+$CR23*_xlfn.NORM.DIST(CG$3,$CU23,0.3*$CU23,TRUE)+$CS23*_xlfn.NORM.DIST(CG$3,$CV23,0.3*$CV23,TRUE),$CW23*_xlfn.NORM.DIST(CG$3,'energy base (MECS)'!$F$11,0.3*'energy base (MECS)'!$F$11,TRUE))</f>
        <v/>
      </c>
      <c r="CH23" s="68">
        <f t="array" ref="CH23">IF($D23,SUMPRODUCT((economics!$AG$2:$AG$167=$B23)*(economics!$D$2:$D$167="whr")*economics!$AH$2:$AH$167*_xlfn.NORM.DIST(CH$3,economics!$AK$2:$AK$167,economics!$AJ$2:$AJ$167,TRUE))+$CR23*_xlfn.NORM.DIST(CH$3,$CU23,0.3*$CU23,TRUE)+$CS23*_xlfn.NORM.DIST(CH$3,$CV23,0.3*$CV23,TRUE),$CW23*_xlfn.NORM.DIST(CH$3,'energy base (MECS)'!$F$11,0.3*'energy base (MECS)'!$F$11,TRUE))</f>
        <v/>
      </c>
      <c r="CJ23">
        <f t="array" ref="CJ23">SUMPRODUCT((economics!$AG$2:$AG$167=$B23)*(economics!$D$2:$D$167="whr")*economics!$AH$2:$AH$167)</f>
        <v/>
      </c>
      <c r="CK23" s="80">
        <f>'indst heat consumption'!D23</f>
        <v/>
      </c>
      <c r="CL23" s="80">
        <f>'indst heat consumption'!E23</f>
        <v/>
      </c>
      <c r="CM23" s="80">
        <f>'indst heat consumption'!F23</f>
        <v/>
      </c>
      <c r="CN23" s="80">
        <f>'indst heat consumption'!G23</f>
        <v/>
      </c>
      <c r="CO23" s="80">
        <f>'indst heat consumption'!H23</f>
        <v/>
      </c>
      <c r="CP23">
        <f>$C23*(CK23*summary!$B$94+CL23*summary!$C$94+CM23*summary!$D$94)</f>
        <v/>
      </c>
      <c r="CQ23">
        <f>$C23*(CN23*summary!$E$94+CO23*summary!$F$94)</f>
        <v/>
      </c>
      <c r="CR23">
        <f>IF(CP23+CQ23&gt;0,CP23*MAX(0,CP23+CQ23-CJ23)/(CP23+CQ23),0)</f>
        <v/>
      </c>
      <c r="CS23">
        <f>IF(CP23+CQ23&gt;0,CQ23*MAX(0,CP23+CQ23-CJ23)/(CP23+CQ23),0)</f>
        <v/>
      </c>
      <c r="CT23">
        <f>IFERROR(_xlfn.XLOOKUP($B23,'BCoISC-WACCbI'!$C$2:$C$26,'BCoISC-WACCbI'!$B$2:$B$26)+economics!$AE$4,0.1)</f>
        <v/>
      </c>
      <c r="CU23">
        <f>(summary!$C$7*(CT23/(1-(1+CT23)^-summary!$D$7))+summary!$C$7*summary!$E$7)/(summary!$F$7*3412/1000000)</f>
        <v/>
      </c>
      <c r="CV23">
        <f>(summary!$C$6*(CT23/(1-(1+CT23)^-summary!$D$6))+summary!$C$6*summary!$E$6)/(summary!$F$6*3412/1000000)</f>
        <v/>
      </c>
      <c r="CW23">
        <f>CR23+CS23</f>
        <v/>
      </c>
    </row>
    <row r="24">
      <c r="A24">
        <f>WHRPbI!A22</f>
        <v/>
      </c>
      <c r="B24" t="n">
        <v>30</v>
      </c>
      <c r="C24" s="68">
        <f>WHRPbI!B22</f>
        <v/>
      </c>
      <c r="D24">
        <f>ISNUMBER(MATCH($B24,'energy base (MECS)'!$K$4:$K$9,0))</f>
        <v/>
      </c>
      <c r="E24" s="68">
        <f t="array" ref="E24">IF($D24,SUMPRODUCT((economics!$AG$2:$AG$167=$B24)*(economics!$D$2:$D$167="whr")*economics!$AH$2:$AH$167*_xlfn.NORM.DIST(E$3,economics!$AK$2:$AK$167,economics!$AJ$2:$AJ$167,TRUE))+$CR24*_xlfn.NORM.DIST(E$3,$CU24,0.3*$CU24,TRUE)+$CS24*_xlfn.NORM.DIST(E$3,$CV24,0.3*$CV24,TRUE),$CW24*_xlfn.NORM.DIST(E$3,'energy base (MECS)'!$F$11,0.3*'energy base (MECS)'!$F$11,TRUE))</f>
        <v/>
      </c>
      <c r="F24" s="68">
        <f t="array" ref="F24">IF($D24,SUMPRODUCT((economics!$AG$2:$AG$167=$B24)*(economics!$D$2:$D$167="whr")*economics!$AH$2:$AH$167*_xlfn.NORM.DIST(F$3,economics!$AK$2:$AK$167,economics!$AJ$2:$AJ$167,TRUE))+$CR24*_xlfn.NORM.DIST(F$3,$CU24,0.3*$CU24,TRUE)+$CS24*_xlfn.NORM.DIST(F$3,$CV24,0.3*$CV24,TRUE),$CW24*_xlfn.NORM.DIST(F$3,'energy base (MECS)'!$F$11,0.3*'energy base (MECS)'!$F$11,TRUE))</f>
        <v/>
      </c>
      <c r="G24" s="68">
        <f t="array" ref="G24">IF($D24,SUMPRODUCT((economics!$AG$2:$AG$167=$B24)*(economics!$D$2:$D$167="whr")*economics!$AH$2:$AH$167*_xlfn.NORM.DIST(G$3,economics!$AK$2:$AK$167,economics!$AJ$2:$AJ$167,TRUE))+$CR24*_xlfn.NORM.DIST(G$3,$CU24,0.3*$CU24,TRUE)+$CS24*_xlfn.NORM.DIST(G$3,$CV24,0.3*$CV24,TRUE),$CW24*_xlfn.NORM.DIST(G$3,'energy base (MECS)'!$F$11,0.3*'energy base (MECS)'!$F$11,TRUE))</f>
        <v/>
      </c>
      <c r="H24" s="68">
        <f t="array" ref="H24">IF($D24,SUMPRODUCT((economics!$AG$2:$AG$167=$B24)*(economics!$D$2:$D$167="whr")*economics!$AH$2:$AH$167*_xlfn.NORM.DIST(H$3,economics!$AK$2:$AK$167,economics!$AJ$2:$AJ$167,TRUE))+$CR24*_xlfn.NORM.DIST(H$3,$CU24,0.3*$CU24,TRUE)+$CS24*_xlfn.NORM.DIST(H$3,$CV24,0.3*$CV24,TRUE),$CW24*_xlfn.NORM.DIST(H$3,'energy base (MECS)'!$F$11,0.3*'energy base (MECS)'!$F$11,TRUE))</f>
        <v/>
      </c>
      <c r="I24" s="68">
        <f t="array" ref="I24">IF($D24,SUMPRODUCT((economics!$AG$2:$AG$167=$B24)*(economics!$D$2:$D$167="whr")*economics!$AH$2:$AH$167*_xlfn.NORM.DIST(I$3,economics!$AK$2:$AK$167,economics!$AJ$2:$AJ$167,TRUE))+$CR24*_xlfn.NORM.DIST(I$3,$CU24,0.3*$CU24,TRUE)+$CS24*_xlfn.NORM.DIST(I$3,$CV24,0.3*$CV24,TRUE),$CW24*_xlfn.NORM.DIST(I$3,'energy base (MECS)'!$F$11,0.3*'energy base (MECS)'!$F$11,TRUE))</f>
        <v/>
      </c>
      <c r="J24" s="68">
        <f t="array" ref="J24">IF($D24,SUMPRODUCT((economics!$AG$2:$AG$167=$B24)*(economics!$D$2:$D$167="whr")*economics!$AH$2:$AH$167*_xlfn.NORM.DIST(J$3,economics!$AK$2:$AK$167,economics!$AJ$2:$AJ$167,TRUE))+$CR24*_xlfn.NORM.DIST(J$3,$CU24,0.3*$CU24,TRUE)+$CS24*_xlfn.NORM.DIST(J$3,$CV24,0.3*$CV24,TRUE),$CW24*_xlfn.NORM.DIST(J$3,'energy base (MECS)'!$F$11,0.3*'energy base (MECS)'!$F$11,TRUE))</f>
        <v/>
      </c>
      <c r="K24" s="68">
        <f t="array" ref="K24">IF($D24,SUMPRODUCT((economics!$AG$2:$AG$167=$B24)*(economics!$D$2:$D$167="whr")*economics!$AH$2:$AH$167*_xlfn.NORM.DIST(K$3,economics!$AK$2:$AK$167,economics!$AJ$2:$AJ$167,TRUE))+$CR24*_xlfn.NORM.DIST(K$3,$CU24,0.3*$CU24,TRUE)+$CS24*_xlfn.NORM.DIST(K$3,$CV24,0.3*$CV24,TRUE),$CW24*_xlfn.NORM.DIST(K$3,'energy base (MECS)'!$F$11,0.3*'energy base (MECS)'!$F$11,TRUE))</f>
        <v/>
      </c>
      <c r="L24" s="68">
        <f t="array" ref="L24">IF($D24,SUMPRODUCT((economics!$AG$2:$AG$167=$B24)*(economics!$D$2:$D$167="whr")*economics!$AH$2:$AH$167*_xlfn.NORM.DIST(L$3,economics!$AK$2:$AK$167,economics!$AJ$2:$AJ$167,TRUE))+$CR24*_xlfn.NORM.DIST(L$3,$CU24,0.3*$CU24,TRUE)+$CS24*_xlfn.NORM.DIST(L$3,$CV24,0.3*$CV24,TRUE),$CW24*_xlfn.NORM.DIST(L$3,'energy base (MECS)'!$F$11,0.3*'energy base (MECS)'!$F$11,TRUE))</f>
        <v/>
      </c>
      <c r="M24" s="68">
        <f t="array" ref="M24">IF($D24,SUMPRODUCT((economics!$AG$2:$AG$167=$B24)*(economics!$D$2:$D$167="whr")*economics!$AH$2:$AH$167*_xlfn.NORM.DIST(M$3,economics!$AK$2:$AK$167,economics!$AJ$2:$AJ$167,TRUE))+$CR24*_xlfn.NORM.DIST(M$3,$CU24,0.3*$CU24,TRUE)+$CS24*_xlfn.NORM.DIST(M$3,$CV24,0.3*$CV24,TRUE),$CW24*_xlfn.NORM.DIST(M$3,'energy base (MECS)'!$F$11,0.3*'energy base (MECS)'!$F$11,TRUE))</f>
        <v/>
      </c>
      <c r="N24" s="68">
        <f t="array" ref="N24">IF($D24,SUMPRODUCT((economics!$AG$2:$AG$167=$B24)*(economics!$D$2:$D$167="whr")*economics!$AH$2:$AH$167*_xlfn.NORM.DIST(N$3,economics!$AK$2:$AK$167,economics!$AJ$2:$AJ$167,TRUE))+$CR24*_xlfn.NORM.DIST(N$3,$CU24,0.3*$CU24,TRUE)+$CS24*_xlfn.NORM.DIST(N$3,$CV24,0.3*$CV24,TRUE),$CW24*_xlfn.NORM.DIST(N$3,'energy base (MECS)'!$F$11,0.3*'energy base (MECS)'!$F$11,TRUE))</f>
        <v/>
      </c>
      <c r="O24" s="68">
        <f t="array" ref="O24">IF($D24,SUMPRODUCT((economics!$AG$2:$AG$167=$B24)*(economics!$D$2:$D$167="whr")*economics!$AH$2:$AH$167*_xlfn.NORM.DIST(O$3,economics!$AK$2:$AK$167,economics!$AJ$2:$AJ$167,TRUE))+$CR24*_xlfn.NORM.DIST(O$3,$CU24,0.3*$CU24,TRUE)+$CS24*_xlfn.NORM.DIST(O$3,$CV24,0.3*$CV24,TRUE),$CW24*_xlfn.NORM.DIST(O$3,'energy base (MECS)'!$F$11,0.3*'energy base (MECS)'!$F$11,TRUE))</f>
        <v/>
      </c>
      <c r="P24" s="68">
        <f t="array" ref="P24">IF($D24,SUMPRODUCT((economics!$AG$2:$AG$167=$B24)*(economics!$D$2:$D$167="whr")*economics!$AH$2:$AH$167*_xlfn.NORM.DIST(P$3,economics!$AK$2:$AK$167,economics!$AJ$2:$AJ$167,TRUE))+$CR24*_xlfn.NORM.DIST(P$3,$CU24,0.3*$CU24,TRUE)+$CS24*_xlfn.NORM.DIST(P$3,$CV24,0.3*$CV24,TRUE),$CW24*_xlfn.NORM.DIST(P$3,'energy base (MECS)'!$F$11,0.3*'energy base (MECS)'!$F$11,TRUE))</f>
        <v/>
      </c>
      <c r="Q24" s="68">
        <f t="array" ref="Q24">IF($D24,SUMPRODUCT((economics!$AG$2:$AG$167=$B24)*(economics!$D$2:$D$167="whr")*economics!$AH$2:$AH$167*_xlfn.NORM.DIST(Q$3,economics!$AK$2:$AK$167,economics!$AJ$2:$AJ$167,TRUE))+$CR24*_xlfn.NORM.DIST(Q$3,$CU24,0.3*$CU24,TRUE)+$CS24*_xlfn.NORM.DIST(Q$3,$CV24,0.3*$CV24,TRUE),$CW24*_xlfn.NORM.DIST(Q$3,'energy base (MECS)'!$F$11,0.3*'energy base (MECS)'!$F$11,TRUE))</f>
        <v/>
      </c>
      <c r="R24" s="68">
        <f t="array" ref="R24">IF($D24,SUMPRODUCT((economics!$AG$2:$AG$167=$B24)*(economics!$D$2:$D$167="whr")*economics!$AH$2:$AH$167*_xlfn.NORM.DIST(R$3,economics!$AK$2:$AK$167,economics!$AJ$2:$AJ$167,TRUE))+$CR24*_xlfn.NORM.DIST(R$3,$CU24,0.3*$CU24,TRUE)+$CS24*_xlfn.NORM.DIST(R$3,$CV24,0.3*$CV24,TRUE),$CW24*_xlfn.NORM.DIST(R$3,'energy base (MECS)'!$F$11,0.3*'energy base (MECS)'!$F$11,TRUE))</f>
        <v/>
      </c>
      <c r="S24" s="68">
        <f t="array" ref="S24">IF($D24,SUMPRODUCT((economics!$AG$2:$AG$167=$B24)*(economics!$D$2:$D$167="whr")*economics!$AH$2:$AH$167*_xlfn.NORM.DIST(S$3,economics!$AK$2:$AK$167,economics!$AJ$2:$AJ$167,TRUE))+$CR24*_xlfn.NORM.DIST(S$3,$CU24,0.3*$CU24,TRUE)+$CS24*_xlfn.NORM.DIST(S$3,$CV24,0.3*$CV24,TRUE),$CW24*_xlfn.NORM.DIST(S$3,'energy base (MECS)'!$F$11,0.3*'energy base (MECS)'!$F$11,TRUE))</f>
        <v/>
      </c>
      <c r="T24" s="68">
        <f t="array" ref="T24">IF($D24,SUMPRODUCT((economics!$AG$2:$AG$167=$B24)*(economics!$D$2:$D$167="whr")*economics!$AH$2:$AH$167*_xlfn.NORM.DIST(T$3,economics!$AK$2:$AK$167,economics!$AJ$2:$AJ$167,TRUE))+$CR24*_xlfn.NORM.DIST(T$3,$CU24,0.3*$CU24,TRUE)+$CS24*_xlfn.NORM.DIST(T$3,$CV24,0.3*$CV24,TRUE),$CW24*_xlfn.NORM.DIST(T$3,'energy base (MECS)'!$F$11,0.3*'energy base (MECS)'!$F$11,TRUE))</f>
        <v/>
      </c>
      <c r="U24" s="68">
        <f t="array" ref="U24">IF($D24,SUMPRODUCT((economics!$AG$2:$AG$167=$B24)*(economics!$D$2:$D$167="whr")*economics!$AH$2:$AH$167*_xlfn.NORM.DIST(U$3,economics!$AK$2:$AK$167,economics!$AJ$2:$AJ$167,TRUE))+$CR24*_xlfn.NORM.DIST(U$3,$CU24,0.3*$CU24,TRUE)+$CS24*_xlfn.NORM.DIST(U$3,$CV24,0.3*$CV24,TRUE),$CW24*_xlfn.NORM.DIST(U$3,'energy base (MECS)'!$F$11,0.3*'energy base (MECS)'!$F$11,TRUE))</f>
        <v/>
      </c>
      <c r="V24" s="68">
        <f t="array" ref="V24">IF($D24,SUMPRODUCT((economics!$AG$2:$AG$167=$B24)*(economics!$D$2:$D$167="whr")*economics!$AH$2:$AH$167*_xlfn.NORM.DIST(V$3,economics!$AK$2:$AK$167,economics!$AJ$2:$AJ$167,TRUE))+$CR24*_xlfn.NORM.DIST(V$3,$CU24,0.3*$CU24,TRUE)+$CS24*_xlfn.NORM.DIST(V$3,$CV24,0.3*$CV24,TRUE),$CW24*_xlfn.NORM.DIST(V$3,'energy base (MECS)'!$F$11,0.3*'energy base (MECS)'!$F$11,TRUE))</f>
        <v/>
      </c>
      <c r="W24" s="68">
        <f t="array" ref="W24">IF($D24,SUMPRODUCT((economics!$AG$2:$AG$167=$B24)*(economics!$D$2:$D$167="whr")*economics!$AH$2:$AH$167*_xlfn.NORM.DIST(W$3,economics!$AK$2:$AK$167,economics!$AJ$2:$AJ$167,TRUE))+$CR24*_xlfn.NORM.DIST(W$3,$CU24,0.3*$CU24,TRUE)+$CS24*_xlfn.NORM.DIST(W$3,$CV24,0.3*$CV24,TRUE),$CW24*_xlfn.NORM.DIST(W$3,'energy base (MECS)'!$F$11,0.3*'energy base (MECS)'!$F$11,TRUE))</f>
        <v/>
      </c>
      <c r="X24" s="68">
        <f t="array" ref="X24">IF($D24,SUMPRODUCT((economics!$AG$2:$AG$167=$B24)*(economics!$D$2:$D$167="whr")*economics!$AH$2:$AH$167*_xlfn.NORM.DIST(X$3,economics!$AK$2:$AK$167,economics!$AJ$2:$AJ$167,TRUE))+$CR24*_xlfn.NORM.DIST(X$3,$CU24,0.3*$CU24,TRUE)+$CS24*_xlfn.NORM.DIST(X$3,$CV24,0.3*$CV24,TRUE),$CW24*_xlfn.NORM.DIST(X$3,'energy base (MECS)'!$F$11,0.3*'energy base (MECS)'!$F$11,TRUE))</f>
        <v/>
      </c>
      <c r="Y24" s="68">
        <f t="array" ref="Y24">IF($D24,SUMPRODUCT((economics!$AG$2:$AG$167=$B24)*(economics!$D$2:$D$167="whr")*economics!$AH$2:$AH$167*_xlfn.NORM.DIST(Y$3,economics!$AK$2:$AK$167,economics!$AJ$2:$AJ$167,TRUE))+$CR24*_xlfn.NORM.DIST(Y$3,$CU24,0.3*$CU24,TRUE)+$CS24*_xlfn.NORM.DIST(Y$3,$CV24,0.3*$CV24,TRUE),$CW24*_xlfn.NORM.DIST(Y$3,'energy base (MECS)'!$F$11,0.3*'energy base (MECS)'!$F$11,TRUE))</f>
        <v/>
      </c>
      <c r="Z24" s="68">
        <f t="array" ref="Z24">IF($D24,SUMPRODUCT((economics!$AG$2:$AG$167=$B24)*(economics!$D$2:$D$167="whr")*economics!$AH$2:$AH$167*_xlfn.NORM.DIST(Z$3,economics!$AK$2:$AK$167,economics!$AJ$2:$AJ$167,TRUE))+$CR24*_xlfn.NORM.DIST(Z$3,$CU24,0.3*$CU24,TRUE)+$CS24*_xlfn.NORM.DIST(Z$3,$CV24,0.3*$CV24,TRUE),$CW24*_xlfn.NORM.DIST(Z$3,'energy base (MECS)'!$F$11,0.3*'energy base (MECS)'!$F$11,TRUE))</f>
        <v/>
      </c>
      <c r="AA24" s="68">
        <f t="array" ref="AA24">IF($D24,SUMPRODUCT((economics!$AG$2:$AG$167=$B24)*(economics!$D$2:$D$167="whr")*economics!$AH$2:$AH$167*_xlfn.NORM.DIST(AA$3,economics!$AK$2:$AK$167,economics!$AJ$2:$AJ$167,TRUE))+$CR24*_xlfn.NORM.DIST(AA$3,$CU24,0.3*$CU24,TRUE)+$CS24*_xlfn.NORM.DIST(AA$3,$CV24,0.3*$CV24,TRUE),$CW24*_xlfn.NORM.DIST(AA$3,'energy base (MECS)'!$F$11,0.3*'energy base (MECS)'!$F$11,TRUE))</f>
        <v/>
      </c>
      <c r="AB24" s="68">
        <f t="array" ref="AB24">IF($D24,SUMPRODUCT((economics!$AG$2:$AG$167=$B24)*(economics!$D$2:$D$167="whr")*economics!$AH$2:$AH$167*_xlfn.NORM.DIST(AB$3,economics!$AK$2:$AK$167,economics!$AJ$2:$AJ$167,TRUE))+$CR24*_xlfn.NORM.DIST(AB$3,$CU24,0.3*$CU24,TRUE)+$CS24*_xlfn.NORM.DIST(AB$3,$CV24,0.3*$CV24,TRUE),$CW24*_xlfn.NORM.DIST(AB$3,'energy base (MECS)'!$F$11,0.3*'energy base (MECS)'!$F$11,TRUE))</f>
        <v/>
      </c>
      <c r="AC24" s="68">
        <f t="array" ref="AC24">IF($D24,SUMPRODUCT((economics!$AG$2:$AG$167=$B24)*(economics!$D$2:$D$167="whr")*economics!$AH$2:$AH$167*_xlfn.NORM.DIST(AC$3,economics!$AK$2:$AK$167,economics!$AJ$2:$AJ$167,TRUE))+$CR24*_xlfn.NORM.DIST(AC$3,$CU24,0.3*$CU24,TRUE)+$CS24*_xlfn.NORM.DIST(AC$3,$CV24,0.3*$CV24,TRUE),$CW24*_xlfn.NORM.DIST(AC$3,'energy base (MECS)'!$F$11,0.3*'energy base (MECS)'!$F$11,TRUE))</f>
        <v/>
      </c>
      <c r="AD24" s="68">
        <f t="array" ref="AD24">IF($D24,SUMPRODUCT((economics!$AG$2:$AG$167=$B24)*(economics!$D$2:$D$167="whr")*economics!$AH$2:$AH$167*_xlfn.NORM.DIST(AD$3,economics!$AK$2:$AK$167,economics!$AJ$2:$AJ$167,TRUE))+$CR24*_xlfn.NORM.DIST(AD$3,$CU24,0.3*$CU24,TRUE)+$CS24*_xlfn.NORM.DIST(AD$3,$CV24,0.3*$CV24,TRUE),$CW24*_xlfn.NORM.DIST(AD$3,'energy base (MECS)'!$F$11,0.3*'energy base (MECS)'!$F$11,TRUE))</f>
        <v/>
      </c>
      <c r="AE24" s="68">
        <f t="array" ref="AE24">IF($D24,SUMPRODUCT((economics!$AG$2:$AG$167=$B24)*(economics!$D$2:$D$167="whr")*economics!$AH$2:$AH$167*_xlfn.NORM.DIST(AE$3,economics!$AK$2:$AK$167,economics!$AJ$2:$AJ$167,TRUE))+$CR24*_xlfn.NORM.DIST(AE$3,$CU24,0.3*$CU24,TRUE)+$CS24*_xlfn.NORM.DIST(AE$3,$CV24,0.3*$CV24,TRUE),$CW24*_xlfn.NORM.DIST(AE$3,'energy base (MECS)'!$F$11,0.3*'energy base (MECS)'!$F$11,TRUE))</f>
        <v/>
      </c>
      <c r="AF24" s="68">
        <f t="array" ref="AF24">IF($D24,SUMPRODUCT((economics!$AG$2:$AG$167=$B24)*(economics!$D$2:$D$167="whr")*economics!$AH$2:$AH$167*_xlfn.NORM.DIST(AF$3,economics!$AK$2:$AK$167,economics!$AJ$2:$AJ$167,TRUE))+$CR24*_xlfn.NORM.DIST(AF$3,$CU24,0.3*$CU24,TRUE)+$CS24*_xlfn.NORM.DIST(AF$3,$CV24,0.3*$CV24,TRUE),$CW24*_xlfn.NORM.DIST(AF$3,'energy base (MECS)'!$F$11,0.3*'energy base (MECS)'!$F$11,TRUE))</f>
        <v/>
      </c>
      <c r="AG24" s="68">
        <f t="array" ref="AG24">IF($D24,SUMPRODUCT((economics!$AG$2:$AG$167=$B24)*(economics!$D$2:$D$167="whr")*economics!$AH$2:$AH$167*_xlfn.NORM.DIST(AG$3,economics!$AK$2:$AK$167,economics!$AJ$2:$AJ$167,TRUE))+$CR24*_xlfn.NORM.DIST(AG$3,$CU24,0.3*$CU24,TRUE)+$CS24*_xlfn.NORM.DIST(AG$3,$CV24,0.3*$CV24,TRUE),$CW24*_xlfn.NORM.DIST(AG$3,'energy base (MECS)'!$F$11,0.3*'energy base (MECS)'!$F$11,TRUE))</f>
        <v/>
      </c>
      <c r="AH24" s="68">
        <f t="array" ref="AH24">IF($D24,SUMPRODUCT((economics!$AG$2:$AG$167=$B24)*(economics!$D$2:$D$167="whr")*economics!$AH$2:$AH$167*_xlfn.NORM.DIST(AH$3,economics!$AK$2:$AK$167,economics!$AJ$2:$AJ$167,TRUE))+$CR24*_xlfn.NORM.DIST(AH$3,$CU24,0.3*$CU24,TRUE)+$CS24*_xlfn.NORM.DIST(AH$3,$CV24,0.3*$CV24,TRUE),$CW24*_xlfn.NORM.DIST(AH$3,'energy base (MECS)'!$F$11,0.3*'energy base (MECS)'!$F$11,TRUE))</f>
        <v/>
      </c>
      <c r="AI24" s="68">
        <f t="array" ref="AI24">IF($D24,SUMPRODUCT((economics!$AG$2:$AG$167=$B24)*(economics!$D$2:$D$167="whr")*economics!$AH$2:$AH$167*_xlfn.NORM.DIST(AI$3,economics!$AK$2:$AK$167,economics!$AJ$2:$AJ$167,TRUE))+$CR24*_xlfn.NORM.DIST(AI$3,$CU24,0.3*$CU24,TRUE)+$CS24*_xlfn.NORM.DIST(AI$3,$CV24,0.3*$CV24,TRUE),$CW24*_xlfn.NORM.DIST(AI$3,'energy base (MECS)'!$F$11,0.3*'energy base (MECS)'!$F$11,TRUE))</f>
        <v/>
      </c>
      <c r="AJ24" s="68">
        <f t="array" ref="AJ24">IF($D24,SUMPRODUCT((economics!$AG$2:$AG$167=$B24)*(economics!$D$2:$D$167="whr")*economics!$AH$2:$AH$167*_xlfn.NORM.DIST(AJ$3,economics!$AK$2:$AK$167,economics!$AJ$2:$AJ$167,TRUE))+$CR24*_xlfn.NORM.DIST(AJ$3,$CU24,0.3*$CU24,TRUE)+$CS24*_xlfn.NORM.DIST(AJ$3,$CV24,0.3*$CV24,TRUE),$CW24*_xlfn.NORM.DIST(AJ$3,'energy base (MECS)'!$F$11,0.3*'energy base (MECS)'!$F$11,TRUE))</f>
        <v/>
      </c>
      <c r="AK24" s="68">
        <f t="array" ref="AK24">IF($D24,SUMPRODUCT((economics!$AG$2:$AG$167=$B24)*(economics!$D$2:$D$167="whr")*economics!$AH$2:$AH$167*_xlfn.NORM.DIST(AK$3,economics!$AK$2:$AK$167,economics!$AJ$2:$AJ$167,TRUE))+$CR24*_xlfn.NORM.DIST(AK$3,$CU24,0.3*$CU24,TRUE)+$CS24*_xlfn.NORM.DIST(AK$3,$CV24,0.3*$CV24,TRUE),$CW24*_xlfn.NORM.DIST(AK$3,'energy base (MECS)'!$F$11,0.3*'energy base (MECS)'!$F$11,TRUE))</f>
        <v/>
      </c>
      <c r="AL24" s="68">
        <f t="array" ref="AL24">IF($D24,SUMPRODUCT((economics!$AG$2:$AG$167=$B24)*(economics!$D$2:$D$167="whr")*economics!$AH$2:$AH$167*_xlfn.NORM.DIST(AL$3,economics!$AK$2:$AK$167,economics!$AJ$2:$AJ$167,TRUE))+$CR24*_xlfn.NORM.DIST(AL$3,$CU24,0.3*$CU24,TRUE)+$CS24*_xlfn.NORM.DIST(AL$3,$CV24,0.3*$CV24,TRUE),$CW24*_xlfn.NORM.DIST(AL$3,'energy base (MECS)'!$F$11,0.3*'energy base (MECS)'!$F$11,TRUE))</f>
        <v/>
      </c>
      <c r="AM24" s="68">
        <f t="array" ref="AM24">IF($D24,SUMPRODUCT((economics!$AG$2:$AG$167=$B24)*(economics!$D$2:$D$167="whr")*economics!$AH$2:$AH$167*_xlfn.NORM.DIST(AM$3,economics!$AK$2:$AK$167,economics!$AJ$2:$AJ$167,TRUE))+$CR24*_xlfn.NORM.DIST(AM$3,$CU24,0.3*$CU24,TRUE)+$CS24*_xlfn.NORM.DIST(AM$3,$CV24,0.3*$CV24,TRUE),$CW24*_xlfn.NORM.DIST(AM$3,'energy base (MECS)'!$F$11,0.3*'energy base (MECS)'!$F$11,TRUE))</f>
        <v/>
      </c>
      <c r="AN24" s="68">
        <f t="array" ref="AN24">IF($D24,SUMPRODUCT((economics!$AG$2:$AG$167=$B24)*(economics!$D$2:$D$167="whr")*economics!$AH$2:$AH$167*_xlfn.NORM.DIST(AN$3,economics!$AK$2:$AK$167,economics!$AJ$2:$AJ$167,TRUE))+$CR24*_xlfn.NORM.DIST(AN$3,$CU24,0.3*$CU24,TRUE)+$CS24*_xlfn.NORM.DIST(AN$3,$CV24,0.3*$CV24,TRUE),$CW24*_xlfn.NORM.DIST(AN$3,'energy base (MECS)'!$F$11,0.3*'energy base (MECS)'!$F$11,TRUE))</f>
        <v/>
      </c>
      <c r="AO24" s="68">
        <f t="array" ref="AO24">IF($D24,SUMPRODUCT((economics!$AG$2:$AG$167=$B24)*(economics!$D$2:$D$167="whr")*economics!$AH$2:$AH$167*_xlfn.NORM.DIST(AO$3,economics!$AK$2:$AK$167,economics!$AJ$2:$AJ$167,TRUE))+$CR24*_xlfn.NORM.DIST(AO$3,$CU24,0.3*$CU24,TRUE)+$CS24*_xlfn.NORM.DIST(AO$3,$CV24,0.3*$CV24,TRUE),$CW24*_xlfn.NORM.DIST(AO$3,'energy base (MECS)'!$F$11,0.3*'energy base (MECS)'!$F$11,TRUE))</f>
        <v/>
      </c>
      <c r="AP24" s="68">
        <f t="array" ref="AP24">IF($D24,SUMPRODUCT((economics!$AG$2:$AG$167=$B24)*(economics!$D$2:$D$167="whr")*economics!$AH$2:$AH$167*_xlfn.NORM.DIST(AP$3,economics!$AK$2:$AK$167,economics!$AJ$2:$AJ$167,TRUE))+$CR24*_xlfn.NORM.DIST(AP$3,$CU24,0.3*$CU24,TRUE)+$CS24*_xlfn.NORM.DIST(AP$3,$CV24,0.3*$CV24,TRUE),$CW24*_xlfn.NORM.DIST(AP$3,'energy base (MECS)'!$F$11,0.3*'energy base (MECS)'!$F$11,TRUE))</f>
        <v/>
      </c>
      <c r="AQ24" s="68">
        <f t="array" ref="AQ24">IF($D24,SUMPRODUCT((economics!$AG$2:$AG$167=$B24)*(economics!$D$2:$D$167="whr")*economics!$AH$2:$AH$167*_xlfn.NORM.DIST(AQ$3,economics!$AK$2:$AK$167,economics!$AJ$2:$AJ$167,TRUE))+$CR24*_xlfn.NORM.DIST(AQ$3,$CU24,0.3*$CU24,TRUE)+$CS24*_xlfn.NORM.DIST(AQ$3,$CV24,0.3*$CV24,TRUE),$CW24*_xlfn.NORM.DIST(AQ$3,'energy base (MECS)'!$F$11,0.3*'energy base (MECS)'!$F$11,TRUE))</f>
        <v/>
      </c>
      <c r="AR24" s="68">
        <f t="array" ref="AR24">IF($D24,SUMPRODUCT((economics!$AG$2:$AG$167=$B24)*(economics!$D$2:$D$167="whr")*economics!$AH$2:$AH$167*_xlfn.NORM.DIST(AR$3,economics!$AK$2:$AK$167,economics!$AJ$2:$AJ$167,TRUE))+$CR24*_xlfn.NORM.DIST(AR$3,$CU24,0.3*$CU24,TRUE)+$CS24*_xlfn.NORM.DIST(AR$3,$CV24,0.3*$CV24,TRUE),$CW24*_xlfn.NORM.DIST(AR$3,'energy base (MECS)'!$F$11,0.3*'energy base (MECS)'!$F$11,TRUE))</f>
        <v/>
      </c>
      <c r="AS24" s="68">
        <f t="array" ref="AS24">IF($D24,SUMPRODUCT((economics!$AG$2:$AG$167=$B24)*(economics!$D$2:$D$167="whr")*economics!$AH$2:$AH$167*_xlfn.NORM.DIST(AS$3,economics!$AK$2:$AK$167,economics!$AJ$2:$AJ$167,TRUE))+$CR24*_xlfn.NORM.DIST(AS$3,$CU24,0.3*$CU24,TRUE)+$CS24*_xlfn.NORM.DIST(AS$3,$CV24,0.3*$CV24,TRUE),$CW24*_xlfn.NORM.DIST(AS$3,'energy base (MECS)'!$F$11,0.3*'energy base (MECS)'!$F$11,TRUE))</f>
        <v/>
      </c>
      <c r="AT24" s="68">
        <f t="array" ref="AT24">IF($D24,SUMPRODUCT((economics!$AG$2:$AG$167=$B24)*(economics!$D$2:$D$167="whr")*economics!$AH$2:$AH$167*_xlfn.NORM.DIST(AT$3,economics!$AK$2:$AK$167,economics!$AJ$2:$AJ$167,TRUE))+$CR24*_xlfn.NORM.DIST(AT$3,$CU24,0.3*$CU24,TRUE)+$CS24*_xlfn.NORM.DIST(AT$3,$CV24,0.3*$CV24,TRUE),$CW24*_xlfn.NORM.DIST(AT$3,'energy base (MECS)'!$F$11,0.3*'energy base (MECS)'!$F$11,TRUE))</f>
        <v/>
      </c>
      <c r="AU24" s="68">
        <f t="array" ref="AU24">IF($D24,SUMPRODUCT((economics!$AG$2:$AG$167=$B24)*(economics!$D$2:$D$167="whr")*economics!$AH$2:$AH$167*_xlfn.NORM.DIST(AU$3,economics!$AK$2:$AK$167,economics!$AJ$2:$AJ$167,TRUE))+$CR24*_xlfn.NORM.DIST(AU$3,$CU24,0.3*$CU24,TRUE)+$CS24*_xlfn.NORM.DIST(AU$3,$CV24,0.3*$CV24,TRUE),$CW24*_xlfn.NORM.DIST(AU$3,'energy base (MECS)'!$F$11,0.3*'energy base (MECS)'!$F$11,TRUE))</f>
        <v/>
      </c>
      <c r="AV24" s="68">
        <f t="array" ref="AV24">IF($D24,SUMPRODUCT((economics!$AG$2:$AG$167=$B24)*(economics!$D$2:$D$167="whr")*economics!$AH$2:$AH$167*_xlfn.NORM.DIST(AV$3,economics!$AK$2:$AK$167,economics!$AJ$2:$AJ$167,TRUE))+$CR24*_xlfn.NORM.DIST(AV$3,$CU24,0.3*$CU24,TRUE)+$CS24*_xlfn.NORM.DIST(AV$3,$CV24,0.3*$CV24,TRUE),$CW24*_xlfn.NORM.DIST(AV$3,'energy base (MECS)'!$F$11,0.3*'energy base (MECS)'!$F$11,TRUE))</f>
        <v/>
      </c>
      <c r="AW24" s="68">
        <f t="array" ref="AW24">IF($D24,SUMPRODUCT((economics!$AG$2:$AG$167=$B24)*(economics!$D$2:$D$167="whr")*economics!$AH$2:$AH$167*_xlfn.NORM.DIST(AW$3,economics!$AK$2:$AK$167,economics!$AJ$2:$AJ$167,TRUE))+$CR24*_xlfn.NORM.DIST(AW$3,$CU24,0.3*$CU24,TRUE)+$CS24*_xlfn.NORM.DIST(AW$3,$CV24,0.3*$CV24,TRUE),$CW24*_xlfn.NORM.DIST(AW$3,'energy base (MECS)'!$F$11,0.3*'energy base (MECS)'!$F$11,TRUE))</f>
        <v/>
      </c>
      <c r="AX24" s="68">
        <f t="array" ref="AX24">IF($D24,SUMPRODUCT((economics!$AG$2:$AG$167=$B24)*(economics!$D$2:$D$167="whr")*economics!$AH$2:$AH$167*_xlfn.NORM.DIST(AX$3,economics!$AK$2:$AK$167,economics!$AJ$2:$AJ$167,TRUE))+$CR24*_xlfn.NORM.DIST(AX$3,$CU24,0.3*$CU24,TRUE)+$CS24*_xlfn.NORM.DIST(AX$3,$CV24,0.3*$CV24,TRUE),$CW24*_xlfn.NORM.DIST(AX$3,'energy base (MECS)'!$F$11,0.3*'energy base (MECS)'!$F$11,TRUE))</f>
        <v/>
      </c>
      <c r="AY24" s="68">
        <f t="array" ref="AY24">IF($D24,SUMPRODUCT((economics!$AG$2:$AG$167=$B24)*(economics!$D$2:$D$167="whr")*economics!$AH$2:$AH$167*_xlfn.NORM.DIST(AY$3,economics!$AK$2:$AK$167,economics!$AJ$2:$AJ$167,TRUE))+$CR24*_xlfn.NORM.DIST(AY$3,$CU24,0.3*$CU24,TRUE)+$CS24*_xlfn.NORM.DIST(AY$3,$CV24,0.3*$CV24,TRUE),$CW24*_xlfn.NORM.DIST(AY$3,'energy base (MECS)'!$F$11,0.3*'energy base (MECS)'!$F$11,TRUE))</f>
        <v/>
      </c>
      <c r="AZ24" s="68">
        <f t="array" ref="AZ24">IF($D24,SUMPRODUCT((economics!$AG$2:$AG$167=$B24)*(economics!$D$2:$D$167="whr")*economics!$AH$2:$AH$167*_xlfn.NORM.DIST(AZ$3,economics!$AK$2:$AK$167,economics!$AJ$2:$AJ$167,TRUE))+$CR24*_xlfn.NORM.DIST(AZ$3,$CU24,0.3*$CU24,TRUE)+$CS24*_xlfn.NORM.DIST(AZ$3,$CV24,0.3*$CV24,TRUE),$CW24*_xlfn.NORM.DIST(AZ$3,'energy base (MECS)'!$F$11,0.3*'energy base (MECS)'!$F$11,TRUE))</f>
        <v/>
      </c>
      <c r="BA24" s="68">
        <f t="array" ref="BA24">IF($D24,SUMPRODUCT((economics!$AG$2:$AG$167=$B24)*(economics!$D$2:$D$167="whr")*economics!$AH$2:$AH$167*_xlfn.NORM.DIST(BA$3,economics!$AK$2:$AK$167,economics!$AJ$2:$AJ$167,TRUE))+$CR24*_xlfn.NORM.DIST(BA$3,$CU24,0.3*$CU24,TRUE)+$CS24*_xlfn.NORM.DIST(BA$3,$CV24,0.3*$CV24,TRUE),$CW24*_xlfn.NORM.DIST(BA$3,'energy base (MECS)'!$F$11,0.3*'energy base (MECS)'!$F$11,TRUE))</f>
        <v/>
      </c>
      <c r="BB24" s="68">
        <f t="array" ref="BB24">IF($D24,SUMPRODUCT((economics!$AG$2:$AG$167=$B24)*(economics!$D$2:$D$167="whr")*economics!$AH$2:$AH$167*_xlfn.NORM.DIST(BB$3,economics!$AK$2:$AK$167,economics!$AJ$2:$AJ$167,TRUE))+$CR24*_xlfn.NORM.DIST(BB$3,$CU24,0.3*$CU24,TRUE)+$CS24*_xlfn.NORM.DIST(BB$3,$CV24,0.3*$CV24,TRUE),$CW24*_xlfn.NORM.DIST(BB$3,'energy base (MECS)'!$F$11,0.3*'energy base (MECS)'!$F$11,TRUE))</f>
        <v/>
      </c>
      <c r="BC24" s="68">
        <f t="array" ref="BC24">IF($D24,SUMPRODUCT((economics!$AG$2:$AG$167=$B24)*(economics!$D$2:$D$167="whr")*economics!$AH$2:$AH$167*_xlfn.NORM.DIST(BC$3,economics!$AK$2:$AK$167,economics!$AJ$2:$AJ$167,TRUE))+$CR24*_xlfn.NORM.DIST(BC$3,$CU24,0.3*$CU24,TRUE)+$CS24*_xlfn.NORM.DIST(BC$3,$CV24,0.3*$CV24,TRUE),$CW24*_xlfn.NORM.DIST(BC$3,'energy base (MECS)'!$F$11,0.3*'energy base (MECS)'!$F$11,TRUE))</f>
        <v/>
      </c>
      <c r="BD24" s="68">
        <f t="array" ref="BD24">IF($D24,SUMPRODUCT((economics!$AG$2:$AG$167=$B24)*(economics!$D$2:$D$167="whr")*economics!$AH$2:$AH$167*_xlfn.NORM.DIST(BD$3,economics!$AK$2:$AK$167,economics!$AJ$2:$AJ$167,TRUE))+$CR24*_xlfn.NORM.DIST(BD$3,$CU24,0.3*$CU24,TRUE)+$CS24*_xlfn.NORM.DIST(BD$3,$CV24,0.3*$CV24,TRUE),$CW24*_xlfn.NORM.DIST(BD$3,'energy base (MECS)'!$F$11,0.3*'energy base (MECS)'!$F$11,TRUE))</f>
        <v/>
      </c>
      <c r="BE24" s="68">
        <f t="array" ref="BE24">IF($D24,SUMPRODUCT((economics!$AG$2:$AG$167=$B24)*(economics!$D$2:$D$167="whr")*economics!$AH$2:$AH$167*_xlfn.NORM.DIST(BE$3,economics!$AK$2:$AK$167,economics!$AJ$2:$AJ$167,TRUE))+$CR24*_xlfn.NORM.DIST(BE$3,$CU24,0.3*$CU24,TRUE)+$CS24*_xlfn.NORM.DIST(BE$3,$CV24,0.3*$CV24,TRUE),$CW24*_xlfn.NORM.DIST(BE$3,'energy base (MECS)'!$F$11,0.3*'energy base (MECS)'!$F$11,TRUE))</f>
        <v/>
      </c>
      <c r="BF24" s="68">
        <f t="array" ref="BF24">IF($D24,SUMPRODUCT((economics!$AG$2:$AG$167=$B24)*(economics!$D$2:$D$167="whr")*economics!$AH$2:$AH$167*_xlfn.NORM.DIST(BF$3,economics!$AK$2:$AK$167,economics!$AJ$2:$AJ$167,TRUE))+$CR24*_xlfn.NORM.DIST(BF$3,$CU24,0.3*$CU24,TRUE)+$CS24*_xlfn.NORM.DIST(BF$3,$CV24,0.3*$CV24,TRUE),$CW24*_xlfn.NORM.DIST(BF$3,'energy base (MECS)'!$F$11,0.3*'energy base (MECS)'!$F$11,TRUE))</f>
        <v/>
      </c>
      <c r="BG24" s="68">
        <f t="array" ref="BG24">IF($D24,SUMPRODUCT((economics!$AG$2:$AG$167=$B24)*(economics!$D$2:$D$167="whr")*economics!$AH$2:$AH$167*_xlfn.NORM.DIST(BG$3,economics!$AK$2:$AK$167,economics!$AJ$2:$AJ$167,TRUE))+$CR24*_xlfn.NORM.DIST(BG$3,$CU24,0.3*$CU24,TRUE)+$CS24*_xlfn.NORM.DIST(BG$3,$CV24,0.3*$CV24,TRUE),$CW24*_xlfn.NORM.DIST(BG$3,'energy base (MECS)'!$F$11,0.3*'energy base (MECS)'!$F$11,TRUE))</f>
        <v/>
      </c>
      <c r="BH24" s="68">
        <f t="array" ref="BH24">IF($D24,SUMPRODUCT((economics!$AG$2:$AG$167=$B24)*(economics!$D$2:$D$167="whr")*economics!$AH$2:$AH$167*_xlfn.NORM.DIST(BH$3,economics!$AK$2:$AK$167,economics!$AJ$2:$AJ$167,TRUE))+$CR24*_xlfn.NORM.DIST(BH$3,$CU24,0.3*$CU24,TRUE)+$CS24*_xlfn.NORM.DIST(BH$3,$CV24,0.3*$CV24,TRUE),$CW24*_xlfn.NORM.DIST(BH$3,'energy base (MECS)'!$F$11,0.3*'energy base (MECS)'!$F$11,TRUE))</f>
        <v/>
      </c>
      <c r="BI24" s="68">
        <f t="array" ref="BI24">IF($D24,SUMPRODUCT((economics!$AG$2:$AG$167=$B24)*(economics!$D$2:$D$167="whr")*economics!$AH$2:$AH$167*_xlfn.NORM.DIST(BI$3,economics!$AK$2:$AK$167,economics!$AJ$2:$AJ$167,TRUE))+$CR24*_xlfn.NORM.DIST(BI$3,$CU24,0.3*$CU24,TRUE)+$CS24*_xlfn.NORM.DIST(BI$3,$CV24,0.3*$CV24,TRUE),$CW24*_xlfn.NORM.DIST(BI$3,'energy base (MECS)'!$F$11,0.3*'energy base (MECS)'!$F$11,TRUE))</f>
        <v/>
      </c>
      <c r="BJ24" s="68">
        <f t="array" ref="BJ24">IF($D24,SUMPRODUCT((economics!$AG$2:$AG$167=$B24)*(economics!$D$2:$D$167="whr")*economics!$AH$2:$AH$167*_xlfn.NORM.DIST(BJ$3,economics!$AK$2:$AK$167,economics!$AJ$2:$AJ$167,TRUE))+$CR24*_xlfn.NORM.DIST(BJ$3,$CU24,0.3*$CU24,TRUE)+$CS24*_xlfn.NORM.DIST(BJ$3,$CV24,0.3*$CV24,TRUE),$CW24*_xlfn.NORM.DIST(BJ$3,'energy base (MECS)'!$F$11,0.3*'energy base (MECS)'!$F$11,TRUE))</f>
        <v/>
      </c>
      <c r="BK24" s="68">
        <f t="array" ref="BK24">IF($D24,SUMPRODUCT((economics!$AG$2:$AG$167=$B24)*(economics!$D$2:$D$167="whr")*economics!$AH$2:$AH$167*_xlfn.NORM.DIST(BK$3,economics!$AK$2:$AK$167,economics!$AJ$2:$AJ$167,TRUE))+$CR24*_xlfn.NORM.DIST(BK$3,$CU24,0.3*$CU24,TRUE)+$CS24*_xlfn.NORM.DIST(BK$3,$CV24,0.3*$CV24,TRUE),$CW24*_xlfn.NORM.DIST(BK$3,'energy base (MECS)'!$F$11,0.3*'energy base (MECS)'!$F$11,TRUE))</f>
        <v/>
      </c>
      <c r="BL24" s="68">
        <f t="array" ref="BL24">IF($D24,SUMPRODUCT((economics!$AG$2:$AG$167=$B24)*(economics!$D$2:$D$167="whr")*economics!$AH$2:$AH$167*_xlfn.NORM.DIST(BL$3,economics!$AK$2:$AK$167,economics!$AJ$2:$AJ$167,TRUE))+$CR24*_xlfn.NORM.DIST(BL$3,$CU24,0.3*$CU24,TRUE)+$CS24*_xlfn.NORM.DIST(BL$3,$CV24,0.3*$CV24,TRUE),$CW24*_xlfn.NORM.DIST(BL$3,'energy base (MECS)'!$F$11,0.3*'energy base (MECS)'!$F$11,TRUE))</f>
        <v/>
      </c>
      <c r="BM24" s="68">
        <f t="array" ref="BM24">IF($D24,SUMPRODUCT((economics!$AG$2:$AG$167=$B24)*(economics!$D$2:$D$167="whr")*economics!$AH$2:$AH$167*_xlfn.NORM.DIST(BM$3,economics!$AK$2:$AK$167,economics!$AJ$2:$AJ$167,TRUE))+$CR24*_xlfn.NORM.DIST(BM$3,$CU24,0.3*$CU24,TRUE)+$CS24*_xlfn.NORM.DIST(BM$3,$CV24,0.3*$CV24,TRUE),$CW24*_xlfn.NORM.DIST(BM$3,'energy base (MECS)'!$F$11,0.3*'energy base (MECS)'!$F$11,TRUE))</f>
        <v/>
      </c>
      <c r="BN24" s="68">
        <f t="array" ref="BN24">IF($D24,SUMPRODUCT((economics!$AG$2:$AG$167=$B24)*(economics!$D$2:$D$167="whr")*economics!$AH$2:$AH$167*_xlfn.NORM.DIST(BN$3,economics!$AK$2:$AK$167,economics!$AJ$2:$AJ$167,TRUE))+$CR24*_xlfn.NORM.DIST(BN$3,$CU24,0.3*$CU24,TRUE)+$CS24*_xlfn.NORM.DIST(BN$3,$CV24,0.3*$CV24,TRUE),$CW24*_xlfn.NORM.DIST(BN$3,'energy base (MECS)'!$F$11,0.3*'energy base (MECS)'!$F$11,TRUE))</f>
        <v/>
      </c>
      <c r="BO24" s="68">
        <f t="array" ref="BO24">IF($D24,SUMPRODUCT((economics!$AG$2:$AG$167=$B24)*(economics!$D$2:$D$167="whr")*economics!$AH$2:$AH$167*_xlfn.NORM.DIST(BO$3,economics!$AK$2:$AK$167,economics!$AJ$2:$AJ$167,TRUE))+$CR24*_xlfn.NORM.DIST(BO$3,$CU24,0.3*$CU24,TRUE)+$CS24*_xlfn.NORM.DIST(BO$3,$CV24,0.3*$CV24,TRUE),$CW24*_xlfn.NORM.DIST(BO$3,'energy base (MECS)'!$F$11,0.3*'energy base (MECS)'!$F$11,TRUE))</f>
        <v/>
      </c>
      <c r="BP24" s="68">
        <f t="array" ref="BP24">IF($D24,SUMPRODUCT((economics!$AG$2:$AG$167=$B24)*(economics!$D$2:$D$167="whr")*economics!$AH$2:$AH$167*_xlfn.NORM.DIST(BP$3,economics!$AK$2:$AK$167,economics!$AJ$2:$AJ$167,TRUE))+$CR24*_xlfn.NORM.DIST(BP$3,$CU24,0.3*$CU24,TRUE)+$CS24*_xlfn.NORM.DIST(BP$3,$CV24,0.3*$CV24,TRUE),$CW24*_xlfn.NORM.DIST(BP$3,'energy base (MECS)'!$F$11,0.3*'energy base (MECS)'!$F$11,TRUE))</f>
        <v/>
      </c>
      <c r="BQ24" s="68">
        <f t="array" ref="BQ24">IF($D24,SUMPRODUCT((economics!$AG$2:$AG$167=$B24)*(economics!$D$2:$D$167="whr")*economics!$AH$2:$AH$167*_xlfn.NORM.DIST(BQ$3,economics!$AK$2:$AK$167,economics!$AJ$2:$AJ$167,TRUE))+$CR24*_xlfn.NORM.DIST(BQ$3,$CU24,0.3*$CU24,TRUE)+$CS24*_xlfn.NORM.DIST(BQ$3,$CV24,0.3*$CV24,TRUE),$CW24*_xlfn.NORM.DIST(BQ$3,'energy base (MECS)'!$F$11,0.3*'energy base (MECS)'!$F$11,TRUE))</f>
        <v/>
      </c>
      <c r="BR24" s="68">
        <f t="array" ref="BR24">IF($D24,SUMPRODUCT((economics!$AG$2:$AG$167=$B24)*(economics!$D$2:$D$167="whr")*economics!$AH$2:$AH$167*_xlfn.NORM.DIST(BR$3,economics!$AK$2:$AK$167,economics!$AJ$2:$AJ$167,TRUE))+$CR24*_xlfn.NORM.DIST(BR$3,$CU24,0.3*$CU24,TRUE)+$CS24*_xlfn.NORM.DIST(BR$3,$CV24,0.3*$CV24,TRUE),$CW24*_xlfn.NORM.DIST(BR$3,'energy base (MECS)'!$F$11,0.3*'energy base (MECS)'!$F$11,TRUE))</f>
        <v/>
      </c>
      <c r="BS24" s="68">
        <f t="array" ref="BS24">IF($D24,SUMPRODUCT((economics!$AG$2:$AG$167=$B24)*(economics!$D$2:$D$167="whr")*economics!$AH$2:$AH$167*_xlfn.NORM.DIST(BS$3,economics!$AK$2:$AK$167,economics!$AJ$2:$AJ$167,TRUE))+$CR24*_xlfn.NORM.DIST(BS$3,$CU24,0.3*$CU24,TRUE)+$CS24*_xlfn.NORM.DIST(BS$3,$CV24,0.3*$CV24,TRUE),$CW24*_xlfn.NORM.DIST(BS$3,'energy base (MECS)'!$F$11,0.3*'energy base (MECS)'!$F$11,TRUE))</f>
        <v/>
      </c>
      <c r="BT24" s="68">
        <f t="array" ref="BT24">IF($D24,SUMPRODUCT((economics!$AG$2:$AG$167=$B24)*(economics!$D$2:$D$167="whr")*economics!$AH$2:$AH$167*_xlfn.NORM.DIST(BT$3,economics!$AK$2:$AK$167,economics!$AJ$2:$AJ$167,TRUE))+$CR24*_xlfn.NORM.DIST(BT$3,$CU24,0.3*$CU24,TRUE)+$CS24*_xlfn.NORM.DIST(BT$3,$CV24,0.3*$CV24,TRUE),$CW24*_xlfn.NORM.DIST(BT$3,'energy base (MECS)'!$F$11,0.3*'energy base (MECS)'!$F$11,TRUE))</f>
        <v/>
      </c>
      <c r="BU24" s="68">
        <f t="array" ref="BU24">IF($D24,SUMPRODUCT((economics!$AG$2:$AG$167=$B24)*(economics!$D$2:$D$167="whr")*economics!$AH$2:$AH$167*_xlfn.NORM.DIST(BU$3,economics!$AK$2:$AK$167,economics!$AJ$2:$AJ$167,TRUE))+$CR24*_xlfn.NORM.DIST(BU$3,$CU24,0.3*$CU24,TRUE)+$CS24*_xlfn.NORM.DIST(BU$3,$CV24,0.3*$CV24,TRUE),$CW24*_xlfn.NORM.DIST(BU$3,'energy base (MECS)'!$F$11,0.3*'energy base (MECS)'!$F$11,TRUE))</f>
        <v/>
      </c>
      <c r="BV24" s="68">
        <f t="array" ref="BV24">IF($D24,SUMPRODUCT((economics!$AG$2:$AG$167=$B24)*(economics!$D$2:$D$167="whr")*economics!$AH$2:$AH$167*_xlfn.NORM.DIST(BV$3,economics!$AK$2:$AK$167,economics!$AJ$2:$AJ$167,TRUE))+$CR24*_xlfn.NORM.DIST(BV$3,$CU24,0.3*$CU24,TRUE)+$CS24*_xlfn.NORM.DIST(BV$3,$CV24,0.3*$CV24,TRUE),$CW24*_xlfn.NORM.DIST(BV$3,'energy base (MECS)'!$F$11,0.3*'energy base (MECS)'!$F$11,TRUE))</f>
        <v/>
      </c>
      <c r="BW24" s="68">
        <f t="array" ref="BW24">IF($D24,SUMPRODUCT((economics!$AG$2:$AG$167=$B24)*(economics!$D$2:$D$167="whr")*economics!$AH$2:$AH$167*_xlfn.NORM.DIST(BW$3,economics!$AK$2:$AK$167,economics!$AJ$2:$AJ$167,TRUE))+$CR24*_xlfn.NORM.DIST(BW$3,$CU24,0.3*$CU24,TRUE)+$CS24*_xlfn.NORM.DIST(BW$3,$CV24,0.3*$CV24,TRUE),$CW24*_xlfn.NORM.DIST(BW$3,'energy base (MECS)'!$F$11,0.3*'energy base (MECS)'!$F$11,TRUE))</f>
        <v/>
      </c>
      <c r="BX24" s="68">
        <f t="array" ref="BX24">IF($D24,SUMPRODUCT((economics!$AG$2:$AG$167=$B24)*(economics!$D$2:$D$167="whr")*economics!$AH$2:$AH$167*_xlfn.NORM.DIST(BX$3,economics!$AK$2:$AK$167,economics!$AJ$2:$AJ$167,TRUE))+$CR24*_xlfn.NORM.DIST(BX$3,$CU24,0.3*$CU24,TRUE)+$CS24*_xlfn.NORM.DIST(BX$3,$CV24,0.3*$CV24,TRUE),$CW24*_xlfn.NORM.DIST(BX$3,'energy base (MECS)'!$F$11,0.3*'energy base (MECS)'!$F$11,TRUE))</f>
        <v/>
      </c>
      <c r="BY24" s="68">
        <f t="array" ref="BY24">IF($D24,SUMPRODUCT((economics!$AG$2:$AG$167=$B24)*(economics!$D$2:$D$167="whr")*economics!$AH$2:$AH$167*_xlfn.NORM.DIST(BY$3,economics!$AK$2:$AK$167,economics!$AJ$2:$AJ$167,TRUE))+$CR24*_xlfn.NORM.DIST(BY$3,$CU24,0.3*$CU24,TRUE)+$CS24*_xlfn.NORM.DIST(BY$3,$CV24,0.3*$CV24,TRUE),$CW24*_xlfn.NORM.DIST(BY$3,'energy base (MECS)'!$F$11,0.3*'energy base (MECS)'!$F$11,TRUE))</f>
        <v/>
      </c>
      <c r="BZ24" s="68">
        <f t="array" ref="BZ24">IF($D24,SUMPRODUCT((economics!$AG$2:$AG$167=$B24)*(economics!$D$2:$D$167="whr")*economics!$AH$2:$AH$167*_xlfn.NORM.DIST(BZ$3,economics!$AK$2:$AK$167,economics!$AJ$2:$AJ$167,TRUE))+$CR24*_xlfn.NORM.DIST(BZ$3,$CU24,0.3*$CU24,TRUE)+$CS24*_xlfn.NORM.DIST(BZ$3,$CV24,0.3*$CV24,TRUE),$CW24*_xlfn.NORM.DIST(BZ$3,'energy base (MECS)'!$F$11,0.3*'energy base (MECS)'!$F$11,TRUE))</f>
        <v/>
      </c>
      <c r="CA24" s="68">
        <f t="array" ref="CA24">IF($D24,SUMPRODUCT((economics!$AG$2:$AG$167=$B24)*(economics!$D$2:$D$167="whr")*economics!$AH$2:$AH$167*_xlfn.NORM.DIST(CA$3,economics!$AK$2:$AK$167,economics!$AJ$2:$AJ$167,TRUE))+$CR24*_xlfn.NORM.DIST(CA$3,$CU24,0.3*$CU24,TRUE)+$CS24*_xlfn.NORM.DIST(CA$3,$CV24,0.3*$CV24,TRUE),$CW24*_xlfn.NORM.DIST(CA$3,'energy base (MECS)'!$F$11,0.3*'energy base (MECS)'!$F$11,TRUE))</f>
        <v/>
      </c>
      <c r="CB24" s="68">
        <f t="array" ref="CB24">IF($D24,SUMPRODUCT((economics!$AG$2:$AG$167=$B24)*(economics!$D$2:$D$167="whr")*economics!$AH$2:$AH$167*_xlfn.NORM.DIST(CB$3,economics!$AK$2:$AK$167,economics!$AJ$2:$AJ$167,TRUE))+$CR24*_xlfn.NORM.DIST(CB$3,$CU24,0.3*$CU24,TRUE)+$CS24*_xlfn.NORM.DIST(CB$3,$CV24,0.3*$CV24,TRUE),$CW24*_xlfn.NORM.DIST(CB$3,'energy base (MECS)'!$F$11,0.3*'energy base (MECS)'!$F$11,TRUE))</f>
        <v/>
      </c>
      <c r="CC24" s="68">
        <f t="array" ref="CC24">IF($D24,SUMPRODUCT((economics!$AG$2:$AG$167=$B24)*(economics!$D$2:$D$167="whr")*economics!$AH$2:$AH$167*_xlfn.NORM.DIST(CC$3,economics!$AK$2:$AK$167,economics!$AJ$2:$AJ$167,TRUE))+$CR24*_xlfn.NORM.DIST(CC$3,$CU24,0.3*$CU24,TRUE)+$CS24*_xlfn.NORM.DIST(CC$3,$CV24,0.3*$CV24,TRUE),$CW24*_xlfn.NORM.DIST(CC$3,'energy base (MECS)'!$F$11,0.3*'energy base (MECS)'!$F$11,TRUE))</f>
        <v/>
      </c>
      <c r="CD24" s="68">
        <f t="array" ref="CD24">IF($D24,SUMPRODUCT((economics!$AG$2:$AG$167=$B24)*(economics!$D$2:$D$167="whr")*economics!$AH$2:$AH$167*_xlfn.NORM.DIST(CD$3,economics!$AK$2:$AK$167,economics!$AJ$2:$AJ$167,TRUE))+$CR24*_xlfn.NORM.DIST(CD$3,$CU24,0.3*$CU24,TRUE)+$CS24*_xlfn.NORM.DIST(CD$3,$CV24,0.3*$CV24,TRUE),$CW24*_xlfn.NORM.DIST(CD$3,'energy base (MECS)'!$F$11,0.3*'energy base (MECS)'!$F$11,TRUE))</f>
        <v/>
      </c>
      <c r="CE24" s="68">
        <f t="array" ref="CE24">IF($D24,SUMPRODUCT((economics!$AG$2:$AG$167=$B24)*(economics!$D$2:$D$167="whr")*economics!$AH$2:$AH$167*_xlfn.NORM.DIST(CE$3,economics!$AK$2:$AK$167,economics!$AJ$2:$AJ$167,TRUE))+$CR24*_xlfn.NORM.DIST(CE$3,$CU24,0.3*$CU24,TRUE)+$CS24*_xlfn.NORM.DIST(CE$3,$CV24,0.3*$CV24,TRUE),$CW24*_xlfn.NORM.DIST(CE$3,'energy base (MECS)'!$F$11,0.3*'energy base (MECS)'!$F$11,TRUE))</f>
        <v/>
      </c>
      <c r="CF24" s="68">
        <f t="array" ref="CF24">IF($D24,SUMPRODUCT((economics!$AG$2:$AG$167=$B24)*(economics!$D$2:$D$167="whr")*economics!$AH$2:$AH$167*_xlfn.NORM.DIST(CF$3,economics!$AK$2:$AK$167,economics!$AJ$2:$AJ$167,TRUE))+$CR24*_xlfn.NORM.DIST(CF$3,$CU24,0.3*$CU24,TRUE)+$CS24*_xlfn.NORM.DIST(CF$3,$CV24,0.3*$CV24,TRUE),$CW24*_xlfn.NORM.DIST(CF$3,'energy base (MECS)'!$F$11,0.3*'energy base (MECS)'!$F$11,TRUE))</f>
        <v/>
      </c>
      <c r="CG24" s="68">
        <f t="array" ref="CG24">IF($D24,SUMPRODUCT((economics!$AG$2:$AG$167=$B24)*(economics!$D$2:$D$167="whr")*economics!$AH$2:$AH$167*_xlfn.NORM.DIST(CG$3,economics!$AK$2:$AK$167,economics!$AJ$2:$AJ$167,TRUE))+$CR24*_xlfn.NORM.DIST(CG$3,$CU24,0.3*$CU24,TRUE)+$CS24*_xlfn.NORM.DIST(CG$3,$CV24,0.3*$CV24,TRUE),$CW24*_xlfn.NORM.DIST(CG$3,'energy base (MECS)'!$F$11,0.3*'energy base (MECS)'!$F$11,TRUE))</f>
        <v/>
      </c>
      <c r="CH24" s="68">
        <f t="array" ref="CH24">IF($D24,SUMPRODUCT((economics!$AG$2:$AG$167=$B24)*(economics!$D$2:$D$167="whr")*economics!$AH$2:$AH$167*_xlfn.NORM.DIST(CH$3,economics!$AK$2:$AK$167,economics!$AJ$2:$AJ$167,TRUE))+$CR24*_xlfn.NORM.DIST(CH$3,$CU24,0.3*$CU24,TRUE)+$CS24*_xlfn.NORM.DIST(CH$3,$CV24,0.3*$CV24,TRUE),$CW24*_xlfn.NORM.DIST(CH$3,'energy base (MECS)'!$F$11,0.3*'energy base (MECS)'!$F$11,TRUE))</f>
        <v/>
      </c>
      <c r="CJ24">
        <f t="array" ref="CJ24">SUMPRODUCT((economics!$AG$2:$AG$167=$B24)*(economics!$D$2:$D$167="whr")*economics!$AH$2:$AH$167)</f>
        <v/>
      </c>
      <c r="CK24" s="80">
        <f>'indst heat consumption'!D24</f>
        <v/>
      </c>
      <c r="CL24" s="80">
        <f>'indst heat consumption'!E24</f>
        <v/>
      </c>
      <c r="CM24" s="80">
        <f>'indst heat consumption'!F24</f>
        <v/>
      </c>
      <c r="CN24" s="80">
        <f>'indst heat consumption'!G24</f>
        <v/>
      </c>
      <c r="CO24" s="80">
        <f>'indst heat consumption'!H24</f>
        <v/>
      </c>
      <c r="CP24">
        <f>$C24*(CK24*summary!$B$94+CL24*summary!$C$94+CM24*summary!$D$94)</f>
        <v/>
      </c>
      <c r="CQ24">
        <f>$C24*(CN24*summary!$E$94+CO24*summary!$F$94)</f>
        <v/>
      </c>
      <c r="CR24">
        <f>IF(CP24+CQ24&gt;0,CP24*MAX(0,CP24+CQ24-CJ24)/(CP24+CQ24),0)</f>
        <v/>
      </c>
      <c r="CS24">
        <f>IF(CP24+CQ24&gt;0,CQ24*MAX(0,CP24+CQ24-CJ24)/(CP24+CQ24),0)</f>
        <v/>
      </c>
      <c r="CT24">
        <f>IFERROR(_xlfn.XLOOKUP($B24,'BCoISC-WACCbI'!$C$2:$C$26,'BCoISC-WACCbI'!$B$2:$B$26)+economics!$AE$4,0.1)</f>
        <v/>
      </c>
      <c r="CU24">
        <f>(summary!$C$7*(CT24/(1-(1+CT24)^-summary!$D$7))+summary!$C$7*summary!$E$7)/(summary!$F$7*3412/1000000)</f>
        <v/>
      </c>
      <c r="CV24">
        <f>(summary!$C$6*(CT24/(1-(1+CT24)^-summary!$D$6))+summary!$C$6*summary!$E$6)/(summary!$F$6*3412/1000000)</f>
        <v/>
      </c>
      <c r="CW24">
        <f>CR24+CS24</f>
        <v/>
      </c>
    </row>
    <row r="25">
      <c r="A25">
        <f>WHRPbI!A23</f>
        <v/>
      </c>
      <c r="B25" t="inlineStr">
        <is>
          <t>31T33</t>
        </is>
      </c>
      <c r="C25" s="68">
        <f>WHRPbI!B23</f>
        <v/>
      </c>
      <c r="D25">
        <f>ISNUMBER(MATCH($B25,'energy base (MECS)'!$K$4:$K$9,0))</f>
        <v/>
      </c>
      <c r="E25" s="68">
        <f t="array" ref="E25">IF($D25,SUMPRODUCT((economics!$AG$2:$AG$167=$B25)*(economics!$D$2:$D$167="whr")*economics!$AH$2:$AH$167*_xlfn.NORM.DIST(E$3,economics!$AK$2:$AK$167,economics!$AJ$2:$AJ$167,TRUE))+$CR25*_xlfn.NORM.DIST(E$3,$CU25,0.3*$CU25,TRUE)+$CS25*_xlfn.NORM.DIST(E$3,$CV25,0.3*$CV25,TRUE),$CW25*_xlfn.NORM.DIST(E$3,'energy base (MECS)'!$F$11,0.3*'energy base (MECS)'!$F$11,TRUE))</f>
        <v/>
      </c>
      <c r="F25" s="68">
        <f t="array" ref="F25">IF($D25,SUMPRODUCT((economics!$AG$2:$AG$167=$B25)*(economics!$D$2:$D$167="whr")*economics!$AH$2:$AH$167*_xlfn.NORM.DIST(F$3,economics!$AK$2:$AK$167,economics!$AJ$2:$AJ$167,TRUE))+$CR25*_xlfn.NORM.DIST(F$3,$CU25,0.3*$CU25,TRUE)+$CS25*_xlfn.NORM.DIST(F$3,$CV25,0.3*$CV25,TRUE),$CW25*_xlfn.NORM.DIST(F$3,'energy base (MECS)'!$F$11,0.3*'energy base (MECS)'!$F$11,TRUE))</f>
        <v/>
      </c>
      <c r="G25" s="68">
        <f t="array" ref="G25">IF($D25,SUMPRODUCT((economics!$AG$2:$AG$167=$B25)*(economics!$D$2:$D$167="whr")*economics!$AH$2:$AH$167*_xlfn.NORM.DIST(G$3,economics!$AK$2:$AK$167,economics!$AJ$2:$AJ$167,TRUE))+$CR25*_xlfn.NORM.DIST(G$3,$CU25,0.3*$CU25,TRUE)+$CS25*_xlfn.NORM.DIST(G$3,$CV25,0.3*$CV25,TRUE),$CW25*_xlfn.NORM.DIST(G$3,'energy base (MECS)'!$F$11,0.3*'energy base (MECS)'!$F$11,TRUE))</f>
        <v/>
      </c>
      <c r="H25" s="68">
        <f t="array" ref="H25">IF($D25,SUMPRODUCT((economics!$AG$2:$AG$167=$B25)*(economics!$D$2:$D$167="whr")*economics!$AH$2:$AH$167*_xlfn.NORM.DIST(H$3,economics!$AK$2:$AK$167,economics!$AJ$2:$AJ$167,TRUE))+$CR25*_xlfn.NORM.DIST(H$3,$CU25,0.3*$CU25,TRUE)+$CS25*_xlfn.NORM.DIST(H$3,$CV25,0.3*$CV25,TRUE),$CW25*_xlfn.NORM.DIST(H$3,'energy base (MECS)'!$F$11,0.3*'energy base (MECS)'!$F$11,TRUE))</f>
        <v/>
      </c>
      <c r="I25" s="68">
        <f t="array" ref="I25">IF($D25,SUMPRODUCT((economics!$AG$2:$AG$167=$B25)*(economics!$D$2:$D$167="whr")*economics!$AH$2:$AH$167*_xlfn.NORM.DIST(I$3,economics!$AK$2:$AK$167,economics!$AJ$2:$AJ$167,TRUE))+$CR25*_xlfn.NORM.DIST(I$3,$CU25,0.3*$CU25,TRUE)+$CS25*_xlfn.NORM.DIST(I$3,$CV25,0.3*$CV25,TRUE),$CW25*_xlfn.NORM.DIST(I$3,'energy base (MECS)'!$F$11,0.3*'energy base (MECS)'!$F$11,TRUE))</f>
        <v/>
      </c>
      <c r="J25" s="68">
        <f t="array" ref="J25">IF($D25,SUMPRODUCT((economics!$AG$2:$AG$167=$B25)*(economics!$D$2:$D$167="whr")*economics!$AH$2:$AH$167*_xlfn.NORM.DIST(J$3,economics!$AK$2:$AK$167,economics!$AJ$2:$AJ$167,TRUE))+$CR25*_xlfn.NORM.DIST(J$3,$CU25,0.3*$CU25,TRUE)+$CS25*_xlfn.NORM.DIST(J$3,$CV25,0.3*$CV25,TRUE),$CW25*_xlfn.NORM.DIST(J$3,'energy base (MECS)'!$F$11,0.3*'energy base (MECS)'!$F$11,TRUE))</f>
        <v/>
      </c>
      <c r="K25" s="68">
        <f t="array" ref="K25">IF($D25,SUMPRODUCT((economics!$AG$2:$AG$167=$B25)*(economics!$D$2:$D$167="whr")*economics!$AH$2:$AH$167*_xlfn.NORM.DIST(K$3,economics!$AK$2:$AK$167,economics!$AJ$2:$AJ$167,TRUE))+$CR25*_xlfn.NORM.DIST(K$3,$CU25,0.3*$CU25,TRUE)+$CS25*_xlfn.NORM.DIST(K$3,$CV25,0.3*$CV25,TRUE),$CW25*_xlfn.NORM.DIST(K$3,'energy base (MECS)'!$F$11,0.3*'energy base (MECS)'!$F$11,TRUE))</f>
        <v/>
      </c>
      <c r="L25" s="68">
        <f t="array" ref="L25">IF($D25,SUMPRODUCT((economics!$AG$2:$AG$167=$B25)*(economics!$D$2:$D$167="whr")*economics!$AH$2:$AH$167*_xlfn.NORM.DIST(L$3,economics!$AK$2:$AK$167,economics!$AJ$2:$AJ$167,TRUE))+$CR25*_xlfn.NORM.DIST(L$3,$CU25,0.3*$CU25,TRUE)+$CS25*_xlfn.NORM.DIST(L$3,$CV25,0.3*$CV25,TRUE),$CW25*_xlfn.NORM.DIST(L$3,'energy base (MECS)'!$F$11,0.3*'energy base (MECS)'!$F$11,TRUE))</f>
        <v/>
      </c>
      <c r="M25" s="68">
        <f t="array" ref="M25">IF($D25,SUMPRODUCT((economics!$AG$2:$AG$167=$B25)*(economics!$D$2:$D$167="whr")*economics!$AH$2:$AH$167*_xlfn.NORM.DIST(M$3,economics!$AK$2:$AK$167,economics!$AJ$2:$AJ$167,TRUE))+$CR25*_xlfn.NORM.DIST(M$3,$CU25,0.3*$CU25,TRUE)+$CS25*_xlfn.NORM.DIST(M$3,$CV25,0.3*$CV25,TRUE),$CW25*_xlfn.NORM.DIST(M$3,'energy base (MECS)'!$F$11,0.3*'energy base (MECS)'!$F$11,TRUE))</f>
        <v/>
      </c>
      <c r="N25" s="68">
        <f t="array" ref="N25">IF($D25,SUMPRODUCT((economics!$AG$2:$AG$167=$B25)*(economics!$D$2:$D$167="whr")*economics!$AH$2:$AH$167*_xlfn.NORM.DIST(N$3,economics!$AK$2:$AK$167,economics!$AJ$2:$AJ$167,TRUE))+$CR25*_xlfn.NORM.DIST(N$3,$CU25,0.3*$CU25,TRUE)+$CS25*_xlfn.NORM.DIST(N$3,$CV25,0.3*$CV25,TRUE),$CW25*_xlfn.NORM.DIST(N$3,'energy base (MECS)'!$F$11,0.3*'energy base (MECS)'!$F$11,TRUE))</f>
        <v/>
      </c>
      <c r="O25" s="68">
        <f t="array" ref="O25">IF($D25,SUMPRODUCT((economics!$AG$2:$AG$167=$B25)*(economics!$D$2:$D$167="whr")*economics!$AH$2:$AH$167*_xlfn.NORM.DIST(O$3,economics!$AK$2:$AK$167,economics!$AJ$2:$AJ$167,TRUE))+$CR25*_xlfn.NORM.DIST(O$3,$CU25,0.3*$CU25,TRUE)+$CS25*_xlfn.NORM.DIST(O$3,$CV25,0.3*$CV25,TRUE),$CW25*_xlfn.NORM.DIST(O$3,'energy base (MECS)'!$F$11,0.3*'energy base (MECS)'!$F$11,TRUE))</f>
        <v/>
      </c>
      <c r="P25" s="68">
        <f t="array" ref="P25">IF($D25,SUMPRODUCT((economics!$AG$2:$AG$167=$B25)*(economics!$D$2:$D$167="whr")*economics!$AH$2:$AH$167*_xlfn.NORM.DIST(P$3,economics!$AK$2:$AK$167,economics!$AJ$2:$AJ$167,TRUE))+$CR25*_xlfn.NORM.DIST(P$3,$CU25,0.3*$CU25,TRUE)+$CS25*_xlfn.NORM.DIST(P$3,$CV25,0.3*$CV25,TRUE),$CW25*_xlfn.NORM.DIST(P$3,'energy base (MECS)'!$F$11,0.3*'energy base (MECS)'!$F$11,TRUE))</f>
        <v/>
      </c>
      <c r="Q25" s="68">
        <f t="array" ref="Q25">IF($D25,SUMPRODUCT((economics!$AG$2:$AG$167=$B25)*(economics!$D$2:$D$167="whr")*economics!$AH$2:$AH$167*_xlfn.NORM.DIST(Q$3,economics!$AK$2:$AK$167,economics!$AJ$2:$AJ$167,TRUE))+$CR25*_xlfn.NORM.DIST(Q$3,$CU25,0.3*$CU25,TRUE)+$CS25*_xlfn.NORM.DIST(Q$3,$CV25,0.3*$CV25,TRUE),$CW25*_xlfn.NORM.DIST(Q$3,'energy base (MECS)'!$F$11,0.3*'energy base (MECS)'!$F$11,TRUE))</f>
        <v/>
      </c>
      <c r="R25" s="68">
        <f t="array" ref="R25">IF($D25,SUMPRODUCT((economics!$AG$2:$AG$167=$B25)*(economics!$D$2:$D$167="whr")*economics!$AH$2:$AH$167*_xlfn.NORM.DIST(R$3,economics!$AK$2:$AK$167,economics!$AJ$2:$AJ$167,TRUE))+$CR25*_xlfn.NORM.DIST(R$3,$CU25,0.3*$CU25,TRUE)+$CS25*_xlfn.NORM.DIST(R$3,$CV25,0.3*$CV25,TRUE),$CW25*_xlfn.NORM.DIST(R$3,'energy base (MECS)'!$F$11,0.3*'energy base (MECS)'!$F$11,TRUE))</f>
        <v/>
      </c>
      <c r="S25" s="68">
        <f t="array" ref="S25">IF($D25,SUMPRODUCT((economics!$AG$2:$AG$167=$B25)*(economics!$D$2:$D$167="whr")*economics!$AH$2:$AH$167*_xlfn.NORM.DIST(S$3,economics!$AK$2:$AK$167,economics!$AJ$2:$AJ$167,TRUE))+$CR25*_xlfn.NORM.DIST(S$3,$CU25,0.3*$CU25,TRUE)+$CS25*_xlfn.NORM.DIST(S$3,$CV25,0.3*$CV25,TRUE),$CW25*_xlfn.NORM.DIST(S$3,'energy base (MECS)'!$F$11,0.3*'energy base (MECS)'!$F$11,TRUE))</f>
        <v/>
      </c>
      <c r="T25" s="68">
        <f t="array" ref="T25">IF($D25,SUMPRODUCT((economics!$AG$2:$AG$167=$B25)*(economics!$D$2:$D$167="whr")*economics!$AH$2:$AH$167*_xlfn.NORM.DIST(T$3,economics!$AK$2:$AK$167,economics!$AJ$2:$AJ$167,TRUE))+$CR25*_xlfn.NORM.DIST(T$3,$CU25,0.3*$CU25,TRUE)+$CS25*_xlfn.NORM.DIST(T$3,$CV25,0.3*$CV25,TRUE),$CW25*_xlfn.NORM.DIST(T$3,'energy base (MECS)'!$F$11,0.3*'energy base (MECS)'!$F$11,TRUE))</f>
        <v/>
      </c>
      <c r="U25" s="68">
        <f t="array" ref="U25">IF($D25,SUMPRODUCT((economics!$AG$2:$AG$167=$B25)*(economics!$D$2:$D$167="whr")*economics!$AH$2:$AH$167*_xlfn.NORM.DIST(U$3,economics!$AK$2:$AK$167,economics!$AJ$2:$AJ$167,TRUE))+$CR25*_xlfn.NORM.DIST(U$3,$CU25,0.3*$CU25,TRUE)+$CS25*_xlfn.NORM.DIST(U$3,$CV25,0.3*$CV25,TRUE),$CW25*_xlfn.NORM.DIST(U$3,'energy base (MECS)'!$F$11,0.3*'energy base (MECS)'!$F$11,TRUE))</f>
        <v/>
      </c>
      <c r="V25" s="68">
        <f t="array" ref="V25">IF($D25,SUMPRODUCT((economics!$AG$2:$AG$167=$B25)*(economics!$D$2:$D$167="whr")*economics!$AH$2:$AH$167*_xlfn.NORM.DIST(V$3,economics!$AK$2:$AK$167,economics!$AJ$2:$AJ$167,TRUE))+$CR25*_xlfn.NORM.DIST(V$3,$CU25,0.3*$CU25,TRUE)+$CS25*_xlfn.NORM.DIST(V$3,$CV25,0.3*$CV25,TRUE),$CW25*_xlfn.NORM.DIST(V$3,'energy base (MECS)'!$F$11,0.3*'energy base (MECS)'!$F$11,TRUE))</f>
        <v/>
      </c>
      <c r="W25" s="68">
        <f t="array" ref="W25">IF($D25,SUMPRODUCT((economics!$AG$2:$AG$167=$B25)*(economics!$D$2:$D$167="whr")*economics!$AH$2:$AH$167*_xlfn.NORM.DIST(W$3,economics!$AK$2:$AK$167,economics!$AJ$2:$AJ$167,TRUE))+$CR25*_xlfn.NORM.DIST(W$3,$CU25,0.3*$CU25,TRUE)+$CS25*_xlfn.NORM.DIST(W$3,$CV25,0.3*$CV25,TRUE),$CW25*_xlfn.NORM.DIST(W$3,'energy base (MECS)'!$F$11,0.3*'energy base (MECS)'!$F$11,TRUE))</f>
        <v/>
      </c>
      <c r="X25" s="68">
        <f t="array" ref="X25">IF($D25,SUMPRODUCT((economics!$AG$2:$AG$167=$B25)*(economics!$D$2:$D$167="whr")*economics!$AH$2:$AH$167*_xlfn.NORM.DIST(X$3,economics!$AK$2:$AK$167,economics!$AJ$2:$AJ$167,TRUE))+$CR25*_xlfn.NORM.DIST(X$3,$CU25,0.3*$CU25,TRUE)+$CS25*_xlfn.NORM.DIST(X$3,$CV25,0.3*$CV25,TRUE),$CW25*_xlfn.NORM.DIST(X$3,'energy base (MECS)'!$F$11,0.3*'energy base (MECS)'!$F$11,TRUE))</f>
        <v/>
      </c>
      <c r="Y25" s="68">
        <f t="array" ref="Y25">IF($D25,SUMPRODUCT((economics!$AG$2:$AG$167=$B25)*(economics!$D$2:$D$167="whr")*economics!$AH$2:$AH$167*_xlfn.NORM.DIST(Y$3,economics!$AK$2:$AK$167,economics!$AJ$2:$AJ$167,TRUE))+$CR25*_xlfn.NORM.DIST(Y$3,$CU25,0.3*$CU25,TRUE)+$CS25*_xlfn.NORM.DIST(Y$3,$CV25,0.3*$CV25,TRUE),$CW25*_xlfn.NORM.DIST(Y$3,'energy base (MECS)'!$F$11,0.3*'energy base (MECS)'!$F$11,TRUE))</f>
        <v/>
      </c>
      <c r="Z25" s="68">
        <f t="array" ref="Z25">IF($D25,SUMPRODUCT((economics!$AG$2:$AG$167=$B25)*(economics!$D$2:$D$167="whr")*economics!$AH$2:$AH$167*_xlfn.NORM.DIST(Z$3,economics!$AK$2:$AK$167,economics!$AJ$2:$AJ$167,TRUE))+$CR25*_xlfn.NORM.DIST(Z$3,$CU25,0.3*$CU25,TRUE)+$CS25*_xlfn.NORM.DIST(Z$3,$CV25,0.3*$CV25,TRUE),$CW25*_xlfn.NORM.DIST(Z$3,'energy base (MECS)'!$F$11,0.3*'energy base (MECS)'!$F$11,TRUE))</f>
        <v/>
      </c>
      <c r="AA25" s="68">
        <f t="array" ref="AA25">IF($D25,SUMPRODUCT((economics!$AG$2:$AG$167=$B25)*(economics!$D$2:$D$167="whr")*economics!$AH$2:$AH$167*_xlfn.NORM.DIST(AA$3,economics!$AK$2:$AK$167,economics!$AJ$2:$AJ$167,TRUE))+$CR25*_xlfn.NORM.DIST(AA$3,$CU25,0.3*$CU25,TRUE)+$CS25*_xlfn.NORM.DIST(AA$3,$CV25,0.3*$CV25,TRUE),$CW25*_xlfn.NORM.DIST(AA$3,'energy base (MECS)'!$F$11,0.3*'energy base (MECS)'!$F$11,TRUE))</f>
        <v/>
      </c>
      <c r="AB25" s="68">
        <f t="array" ref="AB25">IF($D25,SUMPRODUCT((economics!$AG$2:$AG$167=$B25)*(economics!$D$2:$D$167="whr")*economics!$AH$2:$AH$167*_xlfn.NORM.DIST(AB$3,economics!$AK$2:$AK$167,economics!$AJ$2:$AJ$167,TRUE))+$CR25*_xlfn.NORM.DIST(AB$3,$CU25,0.3*$CU25,TRUE)+$CS25*_xlfn.NORM.DIST(AB$3,$CV25,0.3*$CV25,TRUE),$CW25*_xlfn.NORM.DIST(AB$3,'energy base (MECS)'!$F$11,0.3*'energy base (MECS)'!$F$11,TRUE))</f>
        <v/>
      </c>
      <c r="AC25" s="68">
        <f t="array" ref="AC25">IF($D25,SUMPRODUCT((economics!$AG$2:$AG$167=$B25)*(economics!$D$2:$D$167="whr")*economics!$AH$2:$AH$167*_xlfn.NORM.DIST(AC$3,economics!$AK$2:$AK$167,economics!$AJ$2:$AJ$167,TRUE))+$CR25*_xlfn.NORM.DIST(AC$3,$CU25,0.3*$CU25,TRUE)+$CS25*_xlfn.NORM.DIST(AC$3,$CV25,0.3*$CV25,TRUE),$CW25*_xlfn.NORM.DIST(AC$3,'energy base (MECS)'!$F$11,0.3*'energy base (MECS)'!$F$11,TRUE))</f>
        <v/>
      </c>
      <c r="AD25" s="68">
        <f t="array" ref="AD25">IF($D25,SUMPRODUCT((economics!$AG$2:$AG$167=$B25)*(economics!$D$2:$D$167="whr")*economics!$AH$2:$AH$167*_xlfn.NORM.DIST(AD$3,economics!$AK$2:$AK$167,economics!$AJ$2:$AJ$167,TRUE))+$CR25*_xlfn.NORM.DIST(AD$3,$CU25,0.3*$CU25,TRUE)+$CS25*_xlfn.NORM.DIST(AD$3,$CV25,0.3*$CV25,TRUE),$CW25*_xlfn.NORM.DIST(AD$3,'energy base (MECS)'!$F$11,0.3*'energy base (MECS)'!$F$11,TRUE))</f>
        <v/>
      </c>
      <c r="AE25" s="68">
        <f t="array" ref="AE25">IF($D25,SUMPRODUCT((economics!$AG$2:$AG$167=$B25)*(economics!$D$2:$D$167="whr")*economics!$AH$2:$AH$167*_xlfn.NORM.DIST(AE$3,economics!$AK$2:$AK$167,economics!$AJ$2:$AJ$167,TRUE))+$CR25*_xlfn.NORM.DIST(AE$3,$CU25,0.3*$CU25,TRUE)+$CS25*_xlfn.NORM.DIST(AE$3,$CV25,0.3*$CV25,TRUE),$CW25*_xlfn.NORM.DIST(AE$3,'energy base (MECS)'!$F$11,0.3*'energy base (MECS)'!$F$11,TRUE))</f>
        <v/>
      </c>
      <c r="AF25" s="68">
        <f t="array" ref="AF25">IF($D25,SUMPRODUCT((economics!$AG$2:$AG$167=$B25)*(economics!$D$2:$D$167="whr")*economics!$AH$2:$AH$167*_xlfn.NORM.DIST(AF$3,economics!$AK$2:$AK$167,economics!$AJ$2:$AJ$167,TRUE))+$CR25*_xlfn.NORM.DIST(AF$3,$CU25,0.3*$CU25,TRUE)+$CS25*_xlfn.NORM.DIST(AF$3,$CV25,0.3*$CV25,TRUE),$CW25*_xlfn.NORM.DIST(AF$3,'energy base (MECS)'!$F$11,0.3*'energy base (MECS)'!$F$11,TRUE))</f>
        <v/>
      </c>
      <c r="AG25" s="68">
        <f t="array" ref="AG25">IF($D25,SUMPRODUCT((economics!$AG$2:$AG$167=$B25)*(economics!$D$2:$D$167="whr")*economics!$AH$2:$AH$167*_xlfn.NORM.DIST(AG$3,economics!$AK$2:$AK$167,economics!$AJ$2:$AJ$167,TRUE))+$CR25*_xlfn.NORM.DIST(AG$3,$CU25,0.3*$CU25,TRUE)+$CS25*_xlfn.NORM.DIST(AG$3,$CV25,0.3*$CV25,TRUE),$CW25*_xlfn.NORM.DIST(AG$3,'energy base (MECS)'!$F$11,0.3*'energy base (MECS)'!$F$11,TRUE))</f>
        <v/>
      </c>
      <c r="AH25" s="68">
        <f t="array" ref="AH25">IF($D25,SUMPRODUCT((economics!$AG$2:$AG$167=$B25)*(economics!$D$2:$D$167="whr")*economics!$AH$2:$AH$167*_xlfn.NORM.DIST(AH$3,economics!$AK$2:$AK$167,economics!$AJ$2:$AJ$167,TRUE))+$CR25*_xlfn.NORM.DIST(AH$3,$CU25,0.3*$CU25,TRUE)+$CS25*_xlfn.NORM.DIST(AH$3,$CV25,0.3*$CV25,TRUE),$CW25*_xlfn.NORM.DIST(AH$3,'energy base (MECS)'!$F$11,0.3*'energy base (MECS)'!$F$11,TRUE))</f>
        <v/>
      </c>
      <c r="AI25" s="68">
        <f t="array" ref="AI25">IF($D25,SUMPRODUCT((economics!$AG$2:$AG$167=$B25)*(economics!$D$2:$D$167="whr")*economics!$AH$2:$AH$167*_xlfn.NORM.DIST(AI$3,economics!$AK$2:$AK$167,economics!$AJ$2:$AJ$167,TRUE))+$CR25*_xlfn.NORM.DIST(AI$3,$CU25,0.3*$CU25,TRUE)+$CS25*_xlfn.NORM.DIST(AI$3,$CV25,0.3*$CV25,TRUE),$CW25*_xlfn.NORM.DIST(AI$3,'energy base (MECS)'!$F$11,0.3*'energy base (MECS)'!$F$11,TRUE))</f>
        <v/>
      </c>
      <c r="AJ25" s="68">
        <f t="array" ref="AJ25">IF($D25,SUMPRODUCT((economics!$AG$2:$AG$167=$B25)*(economics!$D$2:$D$167="whr")*economics!$AH$2:$AH$167*_xlfn.NORM.DIST(AJ$3,economics!$AK$2:$AK$167,economics!$AJ$2:$AJ$167,TRUE))+$CR25*_xlfn.NORM.DIST(AJ$3,$CU25,0.3*$CU25,TRUE)+$CS25*_xlfn.NORM.DIST(AJ$3,$CV25,0.3*$CV25,TRUE),$CW25*_xlfn.NORM.DIST(AJ$3,'energy base (MECS)'!$F$11,0.3*'energy base (MECS)'!$F$11,TRUE))</f>
        <v/>
      </c>
      <c r="AK25" s="68">
        <f t="array" ref="AK25">IF($D25,SUMPRODUCT((economics!$AG$2:$AG$167=$B25)*(economics!$D$2:$D$167="whr")*economics!$AH$2:$AH$167*_xlfn.NORM.DIST(AK$3,economics!$AK$2:$AK$167,economics!$AJ$2:$AJ$167,TRUE))+$CR25*_xlfn.NORM.DIST(AK$3,$CU25,0.3*$CU25,TRUE)+$CS25*_xlfn.NORM.DIST(AK$3,$CV25,0.3*$CV25,TRUE),$CW25*_xlfn.NORM.DIST(AK$3,'energy base (MECS)'!$F$11,0.3*'energy base (MECS)'!$F$11,TRUE))</f>
        <v/>
      </c>
      <c r="AL25" s="68">
        <f t="array" ref="AL25">IF($D25,SUMPRODUCT((economics!$AG$2:$AG$167=$B25)*(economics!$D$2:$D$167="whr")*economics!$AH$2:$AH$167*_xlfn.NORM.DIST(AL$3,economics!$AK$2:$AK$167,economics!$AJ$2:$AJ$167,TRUE))+$CR25*_xlfn.NORM.DIST(AL$3,$CU25,0.3*$CU25,TRUE)+$CS25*_xlfn.NORM.DIST(AL$3,$CV25,0.3*$CV25,TRUE),$CW25*_xlfn.NORM.DIST(AL$3,'energy base (MECS)'!$F$11,0.3*'energy base (MECS)'!$F$11,TRUE))</f>
        <v/>
      </c>
      <c r="AM25" s="68">
        <f t="array" ref="AM25">IF($D25,SUMPRODUCT((economics!$AG$2:$AG$167=$B25)*(economics!$D$2:$D$167="whr")*economics!$AH$2:$AH$167*_xlfn.NORM.DIST(AM$3,economics!$AK$2:$AK$167,economics!$AJ$2:$AJ$167,TRUE))+$CR25*_xlfn.NORM.DIST(AM$3,$CU25,0.3*$CU25,TRUE)+$CS25*_xlfn.NORM.DIST(AM$3,$CV25,0.3*$CV25,TRUE),$CW25*_xlfn.NORM.DIST(AM$3,'energy base (MECS)'!$F$11,0.3*'energy base (MECS)'!$F$11,TRUE))</f>
        <v/>
      </c>
      <c r="AN25" s="68">
        <f t="array" ref="AN25">IF($D25,SUMPRODUCT((economics!$AG$2:$AG$167=$B25)*(economics!$D$2:$D$167="whr")*economics!$AH$2:$AH$167*_xlfn.NORM.DIST(AN$3,economics!$AK$2:$AK$167,economics!$AJ$2:$AJ$167,TRUE))+$CR25*_xlfn.NORM.DIST(AN$3,$CU25,0.3*$CU25,TRUE)+$CS25*_xlfn.NORM.DIST(AN$3,$CV25,0.3*$CV25,TRUE),$CW25*_xlfn.NORM.DIST(AN$3,'energy base (MECS)'!$F$11,0.3*'energy base (MECS)'!$F$11,TRUE))</f>
        <v/>
      </c>
      <c r="AO25" s="68">
        <f t="array" ref="AO25">IF($D25,SUMPRODUCT((economics!$AG$2:$AG$167=$B25)*(economics!$D$2:$D$167="whr")*economics!$AH$2:$AH$167*_xlfn.NORM.DIST(AO$3,economics!$AK$2:$AK$167,economics!$AJ$2:$AJ$167,TRUE))+$CR25*_xlfn.NORM.DIST(AO$3,$CU25,0.3*$CU25,TRUE)+$CS25*_xlfn.NORM.DIST(AO$3,$CV25,0.3*$CV25,TRUE),$CW25*_xlfn.NORM.DIST(AO$3,'energy base (MECS)'!$F$11,0.3*'energy base (MECS)'!$F$11,TRUE))</f>
        <v/>
      </c>
      <c r="AP25" s="68">
        <f t="array" ref="AP25">IF($D25,SUMPRODUCT((economics!$AG$2:$AG$167=$B25)*(economics!$D$2:$D$167="whr")*economics!$AH$2:$AH$167*_xlfn.NORM.DIST(AP$3,economics!$AK$2:$AK$167,economics!$AJ$2:$AJ$167,TRUE))+$CR25*_xlfn.NORM.DIST(AP$3,$CU25,0.3*$CU25,TRUE)+$CS25*_xlfn.NORM.DIST(AP$3,$CV25,0.3*$CV25,TRUE),$CW25*_xlfn.NORM.DIST(AP$3,'energy base (MECS)'!$F$11,0.3*'energy base (MECS)'!$F$11,TRUE))</f>
        <v/>
      </c>
      <c r="AQ25" s="68">
        <f t="array" ref="AQ25">IF($D25,SUMPRODUCT((economics!$AG$2:$AG$167=$B25)*(economics!$D$2:$D$167="whr")*economics!$AH$2:$AH$167*_xlfn.NORM.DIST(AQ$3,economics!$AK$2:$AK$167,economics!$AJ$2:$AJ$167,TRUE))+$CR25*_xlfn.NORM.DIST(AQ$3,$CU25,0.3*$CU25,TRUE)+$CS25*_xlfn.NORM.DIST(AQ$3,$CV25,0.3*$CV25,TRUE),$CW25*_xlfn.NORM.DIST(AQ$3,'energy base (MECS)'!$F$11,0.3*'energy base (MECS)'!$F$11,TRUE))</f>
        <v/>
      </c>
      <c r="AR25" s="68">
        <f t="array" ref="AR25">IF($D25,SUMPRODUCT((economics!$AG$2:$AG$167=$B25)*(economics!$D$2:$D$167="whr")*economics!$AH$2:$AH$167*_xlfn.NORM.DIST(AR$3,economics!$AK$2:$AK$167,economics!$AJ$2:$AJ$167,TRUE))+$CR25*_xlfn.NORM.DIST(AR$3,$CU25,0.3*$CU25,TRUE)+$CS25*_xlfn.NORM.DIST(AR$3,$CV25,0.3*$CV25,TRUE),$CW25*_xlfn.NORM.DIST(AR$3,'energy base (MECS)'!$F$11,0.3*'energy base (MECS)'!$F$11,TRUE))</f>
        <v/>
      </c>
      <c r="AS25" s="68">
        <f t="array" ref="AS25">IF($D25,SUMPRODUCT((economics!$AG$2:$AG$167=$B25)*(economics!$D$2:$D$167="whr")*economics!$AH$2:$AH$167*_xlfn.NORM.DIST(AS$3,economics!$AK$2:$AK$167,economics!$AJ$2:$AJ$167,TRUE))+$CR25*_xlfn.NORM.DIST(AS$3,$CU25,0.3*$CU25,TRUE)+$CS25*_xlfn.NORM.DIST(AS$3,$CV25,0.3*$CV25,TRUE),$CW25*_xlfn.NORM.DIST(AS$3,'energy base (MECS)'!$F$11,0.3*'energy base (MECS)'!$F$11,TRUE))</f>
        <v/>
      </c>
      <c r="AT25" s="68">
        <f t="array" ref="AT25">IF($D25,SUMPRODUCT((economics!$AG$2:$AG$167=$B25)*(economics!$D$2:$D$167="whr")*economics!$AH$2:$AH$167*_xlfn.NORM.DIST(AT$3,economics!$AK$2:$AK$167,economics!$AJ$2:$AJ$167,TRUE))+$CR25*_xlfn.NORM.DIST(AT$3,$CU25,0.3*$CU25,TRUE)+$CS25*_xlfn.NORM.DIST(AT$3,$CV25,0.3*$CV25,TRUE),$CW25*_xlfn.NORM.DIST(AT$3,'energy base (MECS)'!$F$11,0.3*'energy base (MECS)'!$F$11,TRUE))</f>
        <v/>
      </c>
      <c r="AU25" s="68">
        <f t="array" ref="AU25">IF($D25,SUMPRODUCT((economics!$AG$2:$AG$167=$B25)*(economics!$D$2:$D$167="whr")*economics!$AH$2:$AH$167*_xlfn.NORM.DIST(AU$3,economics!$AK$2:$AK$167,economics!$AJ$2:$AJ$167,TRUE))+$CR25*_xlfn.NORM.DIST(AU$3,$CU25,0.3*$CU25,TRUE)+$CS25*_xlfn.NORM.DIST(AU$3,$CV25,0.3*$CV25,TRUE),$CW25*_xlfn.NORM.DIST(AU$3,'energy base (MECS)'!$F$11,0.3*'energy base (MECS)'!$F$11,TRUE))</f>
        <v/>
      </c>
      <c r="AV25" s="68">
        <f t="array" ref="AV25">IF($D25,SUMPRODUCT((economics!$AG$2:$AG$167=$B25)*(economics!$D$2:$D$167="whr")*economics!$AH$2:$AH$167*_xlfn.NORM.DIST(AV$3,economics!$AK$2:$AK$167,economics!$AJ$2:$AJ$167,TRUE))+$CR25*_xlfn.NORM.DIST(AV$3,$CU25,0.3*$CU25,TRUE)+$CS25*_xlfn.NORM.DIST(AV$3,$CV25,0.3*$CV25,TRUE),$CW25*_xlfn.NORM.DIST(AV$3,'energy base (MECS)'!$F$11,0.3*'energy base (MECS)'!$F$11,TRUE))</f>
        <v/>
      </c>
      <c r="AW25" s="68">
        <f t="array" ref="AW25">IF($D25,SUMPRODUCT((economics!$AG$2:$AG$167=$B25)*(economics!$D$2:$D$167="whr")*economics!$AH$2:$AH$167*_xlfn.NORM.DIST(AW$3,economics!$AK$2:$AK$167,economics!$AJ$2:$AJ$167,TRUE))+$CR25*_xlfn.NORM.DIST(AW$3,$CU25,0.3*$CU25,TRUE)+$CS25*_xlfn.NORM.DIST(AW$3,$CV25,0.3*$CV25,TRUE),$CW25*_xlfn.NORM.DIST(AW$3,'energy base (MECS)'!$F$11,0.3*'energy base (MECS)'!$F$11,TRUE))</f>
        <v/>
      </c>
      <c r="AX25" s="68">
        <f t="array" ref="AX25">IF($D25,SUMPRODUCT((economics!$AG$2:$AG$167=$B25)*(economics!$D$2:$D$167="whr")*economics!$AH$2:$AH$167*_xlfn.NORM.DIST(AX$3,economics!$AK$2:$AK$167,economics!$AJ$2:$AJ$167,TRUE))+$CR25*_xlfn.NORM.DIST(AX$3,$CU25,0.3*$CU25,TRUE)+$CS25*_xlfn.NORM.DIST(AX$3,$CV25,0.3*$CV25,TRUE),$CW25*_xlfn.NORM.DIST(AX$3,'energy base (MECS)'!$F$11,0.3*'energy base (MECS)'!$F$11,TRUE))</f>
        <v/>
      </c>
      <c r="AY25" s="68">
        <f t="array" ref="AY25">IF($D25,SUMPRODUCT((economics!$AG$2:$AG$167=$B25)*(economics!$D$2:$D$167="whr")*economics!$AH$2:$AH$167*_xlfn.NORM.DIST(AY$3,economics!$AK$2:$AK$167,economics!$AJ$2:$AJ$167,TRUE))+$CR25*_xlfn.NORM.DIST(AY$3,$CU25,0.3*$CU25,TRUE)+$CS25*_xlfn.NORM.DIST(AY$3,$CV25,0.3*$CV25,TRUE),$CW25*_xlfn.NORM.DIST(AY$3,'energy base (MECS)'!$F$11,0.3*'energy base (MECS)'!$F$11,TRUE))</f>
        <v/>
      </c>
      <c r="AZ25" s="68">
        <f t="array" ref="AZ25">IF($D25,SUMPRODUCT((economics!$AG$2:$AG$167=$B25)*(economics!$D$2:$D$167="whr")*economics!$AH$2:$AH$167*_xlfn.NORM.DIST(AZ$3,economics!$AK$2:$AK$167,economics!$AJ$2:$AJ$167,TRUE))+$CR25*_xlfn.NORM.DIST(AZ$3,$CU25,0.3*$CU25,TRUE)+$CS25*_xlfn.NORM.DIST(AZ$3,$CV25,0.3*$CV25,TRUE),$CW25*_xlfn.NORM.DIST(AZ$3,'energy base (MECS)'!$F$11,0.3*'energy base (MECS)'!$F$11,TRUE))</f>
        <v/>
      </c>
      <c r="BA25" s="68">
        <f t="array" ref="BA25">IF($D25,SUMPRODUCT((economics!$AG$2:$AG$167=$B25)*(economics!$D$2:$D$167="whr")*economics!$AH$2:$AH$167*_xlfn.NORM.DIST(BA$3,economics!$AK$2:$AK$167,economics!$AJ$2:$AJ$167,TRUE))+$CR25*_xlfn.NORM.DIST(BA$3,$CU25,0.3*$CU25,TRUE)+$CS25*_xlfn.NORM.DIST(BA$3,$CV25,0.3*$CV25,TRUE),$CW25*_xlfn.NORM.DIST(BA$3,'energy base (MECS)'!$F$11,0.3*'energy base (MECS)'!$F$11,TRUE))</f>
        <v/>
      </c>
      <c r="BB25" s="68">
        <f t="array" ref="BB25">IF($D25,SUMPRODUCT((economics!$AG$2:$AG$167=$B25)*(economics!$D$2:$D$167="whr")*economics!$AH$2:$AH$167*_xlfn.NORM.DIST(BB$3,economics!$AK$2:$AK$167,economics!$AJ$2:$AJ$167,TRUE))+$CR25*_xlfn.NORM.DIST(BB$3,$CU25,0.3*$CU25,TRUE)+$CS25*_xlfn.NORM.DIST(BB$3,$CV25,0.3*$CV25,TRUE),$CW25*_xlfn.NORM.DIST(BB$3,'energy base (MECS)'!$F$11,0.3*'energy base (MECS)'!$F$11,TRUE))</f>
        <v/>
      </c>
      <c r="BC25" s="68">
        <f t="array" ref="BC25">IF($D25,SUMPRODUCT((economics!$AG$2:$AG$167=$B25)*(economics!$D$2:$D$167="whr")*economics!$AH$2:$AH$167*_xlfn.NORM.DIST(BC$3,economics!$AK$2:$AK$167,economics!$AJ$2:$AJ$167,TRUE))+$CR25*_xlfn.NORM.DIST(BC$3,$CU25,0.3*$CU25,TRUE)+$CS25*_xlfn.NORM.DIST(BC$3,$CV25,0.3*$CV25,TRUE),$CW25*_xlfn.NORM.DIST(BC$3,'energy base (MECS)'!$F$11,0.3*'energy base (MECS)'!$F$11,TRUE))</f>
        <v/>
      </c>
      <c r="BD25" s="68">
        <f t="array" ref="BD25">IF($D25,SUMPRODUCT((economics!$AG$2:$AG$167=$B25)*(economics!$D$2:$D$167="whr")*economics!$AH$2:$AH$167*_xlfn.NORM.DIST(BD$3,economics!$AK$2:$AK$167,economics!$AJ$2:$AJ$167,TRUE))+$CR25*_xlfn.NORM.DIST(BD$3,$CU25,0.3*$CU25,TRUE)+$CS25*_xlfn.NORM.DIST(BD$3,$CV25,0.3*$CV25,TRUE),$CW25*_xlfn.NORM.DIST(BD$3,'energy base (MECS)'!$F$11,0.3*'energy base (MECS)'!$F$11,TRUE))</f>
        <v/>
      </c>
      <c r="BE25" s="68">
        <f t="array" ref="BE25">IF($D25,SUMPRODUCT((economics!$AG$2:$AG$167=$B25)*(economics!$D$2:$D$167="whr")*economics!$AH$2:$AH$167*_xlfn.NORM.DIST(BE$3,economics!$AK$2:$AK$167,economics!$AJ$2:$AJ$167,TRUE))+$CR25*_xlfn.NORM.DIST(BE$3,$CU25,0.3*$CU25,TRUE)+$CS25*_xlfn.NORM.DIST(BE$3,$CV25,0.3*$CV25,TRUE),$CW25*_xlfn.NORM.DIST(BE$3,'energy base (MECS)'!$F$11,0.3*'energy base (MECS)'!$F$11,TRUE))</f>
        <v/>
      </c>
      <c r="BF25" s="68">
        <f t="array" ref="BF25">IF($D25,SUMPRODUCT((economics!$AG$2:$AG$167=$B25)*(economics!$D$2:$D$167="whr")*economics!$AH$2:$AH$167*_xlfn.NORM.DIST(BF$3,economics!$AK$2:$AK$167,economics!$AJ$2:$AJ$167,TRUE))+$CR25*_xlfn.NORM.DIST(BF$3,$CU25,0.3*$CU25,TRUE)+$CS25*_xlfn.NORM.DIST(BF$3,$CV25,0.3*$CV25,TRUE),$CW25*_xlfn.NORM.DIST(BF$3,'energy base (MECS)'!$F$11,0.3*'energy base (MECS)'!$F$11,TRUE))</f>
        <v/>
      </c>
      <c r="BG25" s="68">
        <f t="array" ref="BG25">IF($D25,SUMPRODUCT((economics!$AG$2:$AG$167=$B25)*(economics!$D$2:$D$167="whr")*economics!$AH$2:$AH$167*_xlfn.NORM.DIST(BG$3,economics!$AK$2:$AK$167,economics!$AJ$2:$AJ$167,TRUE))+$CR25*_xlfn.NORM.DIST(BG$3,$CU25,0.3*$CU25,TRUE)+$CS25*_xlfn.NORM.DIST(BG$3,$CV25,0.3*$CV25,TRUE),$CW25*_xlfn.NORM.DIST(BG$3,'energy base (MECS)'!$F$11,0.3*'energy base (MECS)'!$F$11,TRUE))</f>
        <v/>
      </c>
      <c r="BH25" s="68">
        <f t="array" ref="BH25">IF($D25,SUMPRODUCT((economics!$AG$2:$AG$167=$B25)*(economics!$D$2:$D$167="whr")*economics!$AH$2:$AH$167*_xlfn.NORM.DIST(BH$3,economics!$AK$2:$AK$167,economics!$AJ$2:$AJ$167,TRUE))+$CR25*_xlfn.NORM.DIST(BH$3,$CU25,0.3*$CU25,TRUE)+$CS25*_xlfn.NORM.DIST(BH$3,$CV25,0.3*$CV25,TRUE),$CW25*_xlfn.NORM.DIST(BH$3,'energy base (MECS)'!$F$11,0.3*'energy base (MECS)'!$F$11,TRUE))</f>
        <v/>
      </c>
      <c r="BI25" s="68">
        <f t="array" ref="BI25">IF($D25,SUMPRODUCT((economics!$AG$2:$AG$167=$B25)*(economics!$D$2:$D$167="whr")*economics!$AH$2:$AH$167*_xlfn.NORM.DIST(BI$3,economics!$AK$2:$AK$167,economics!$AJ$2:$AJ$167,TRUE))+$CR25*_xlfn.NORM.DIST(BI$3,$CU25,0.3*$CU25,TRUE)+$CS25*_xlfn.NORM.DIST(BI$3,$CV25,0.3*$CV25,TRUE),$CW25*_xlfn.NORM.DIST(BI$3,'energy base (MECS)'!$F$11,0.3*'energy base (MECS)'!$F$11,TRUE))</f>
        <v/>
      </c>
      <c r="BJ25" s="68">
        <f t="array" ref="BJ25">IF($D25,SUMPRODUCT((economics!$AG$2:$AG$167=$B25)*(economics!$D$2:$D$167="whr")*economics!$AH$2:$AH$167*_xlfn.NORM.DIST(BJ$3,economics!$AK$2:$AK$167,economics!$AJ$2:$AJ$167,TRUE))+$CR25*_xlfn.NORM.DIST(BJ$3,$CU25,0.3*$CU25,TRUE)+$CS25*_xlfn.NORM.DIST(BJ$3,$CV25,0.3*$CV25,TRUE),$CW25*_xlfn.NORM.DIST(BJ$3,'energy base (MECS)'!$F$11,0.3*'energy base (MECS)'!$F$11,TRUE))</f>
        <v/>
      </c>
      <c r="BK25" s="68">
        <f t="array" ref="BK25">IF($D25,SUMPRODUCT((economics!$AG$2:$AG$167=$B25)*(economics!$D$2:$D$167="whr")*economics!$AH$2:$AH$167*_xlfn.NORM.DIST(BK$3,economics!$AK$2:$AK$167,economics!$AJ$2:$AJ$167,TRUE))+$CR25*_xlfn.NORM.DIST(BK$3,$CU25,0.3*$CU25,TRUE)+$CS25*_xlfn.NORM.DIST(BK$3,$CV25,0.3*$CV25,TRUE),$CW25*_xlfn.NORM.DIST(BK$3,'energy base (MECS)'!$F$11,0.3*'energy base (MECS)'!$F$11,TRUE))</f>
        <v/>
      </c>
      <c r="BL25" s="68">
        <f t="array" ref="BL25">IF($D25,SUMPRODUCT((economics!$AG$2:$AG$167=$B25)*(economics!$D$2:$D$167="whr")*economics!$AH$2:$AH$167*_xlfn.NORM.DIST(BL$3,economics!$AK$2:$AK$167,economics!$AJ$2:$AJ$167,TRUE))+$CR25*_xlfn.NORM.DIST(BL$3,$CU25,0.3*$CU25,TRUE)+$CS25*_xlfn.NORM.DIST(BL$3,$CV25,0.3*$CV25,TRUE),$CW25*_xlfn.NORM.DIST(BL$3,'energy base (MECS)'!$F$11,0.3*'energy base (MECS)'!$F$11,TRUE))</f>
        <v/>
      </c>
      <c r="BM25" s="68">
        <f t="array" ref="BM25">IF($D25,SUMPRODUCT((economics!$AG$2:$AG$167=$B25)*(economics!$D$2:$D$167="whr")*economics!$AH$2:$AH$167*_xlfn.NORM.DIST(BM$3,economics!$AK$2:$AK$167,economics!$AJ$2:$AJ$167,TRUE))+$CR25*_xlfn.NORM.DIST(BM$3,$CU25,0.3*$CU25,TRUE)+$CS25*_xlfn.NORM.DIST(BM$3,$CV25,0.3*$CV25,TRUE),$CW25*_xlfn.NORM.DIST(BM$3,'energy base (MECS)'!$F$11,0.3*'energy base (MECS)'!$F$11,TRUE))</f>
        <v/>
      </c>
      <c r="BN25" s="68">
        <f t="array" ref="BN25">IF($D25,SUMPRODUCT((economics!$AG$2:$AG$167=$B25)*(economics!$D$2:$D$167="whr")*economics!$AH$2:$AH$167*_xlfn.NORM.DIST(BN$3,economics!$AK$2:$AK$167,economics!$AJ$2:$AJ$167,TRUE))+$CR25*_xlfn.NORM.DIST(BN$3,$CU25,0.3*$CU25,TRUE)+$CS25*_xlfn.NORM.DIST(BN$3,$CV25,0.3*$CV25,TRUE),$CW25*_xlfn.NORM.DIST(BN$3,'energy base (MECS)'!$F$11,0.3*'energy base (MECS)'!$F$11,TRUE))</f>
        <v/>
      </c>
      <c r="BO25" s="68">
        <f t="array" ref="BO25">IF($D25,SUMPRODUCT((economics!$AG$2:$AG$167=$B25)*(economics!$D$2:$D$167="whr")*economics!$AH$2:$AH$167*_xlfn.NORM.DIST(BO$3,economics!$AK$2:$AK$167,economics!$AJ$2:$AJ$167,TRUE))+$CR25*_xlfn.NORM.DIST(BO$3,$CU25,0.3*$CU25,TRUE)+$CS25*_xlfn.NORM.DIST(BO$3,$CV25,0.3*$CV25,TRUE),$CW25*_xlfn.NORM.DIST(BO$3,'energy base (MECS)'!$F$11,0.3*'energy base (MECS)'!$F$11,TRUE))</f>
        <v/>
      </c>
      <c r="BP25" s="68">
        <f t="array" ref="BP25">IF($D25,SUMPRODUCT((economics!$AG$2:$AG$167=$B25)*(economics!$D$2:$D$167="whr")*economics!$AH$2:$AH$167*_xlfn.NORM.DIST(BP$3,economics!$AK$2:$AK$167,economics!$AJ$2:$AJ$167,TRUE))+$CR25*_xlfn.NORM.DIST(BP$3,$CU25,0.3*$CU25,TRUE)+$CS25*_xlfn.NORM.DIST(BP$3,$CV25,0.3*$CV25,TRUE),$CW25*_xlfn.NORM.DIST(BP$3,'energy base (MECS)'!$F$11,0.3*'energy base (MECS)'!$F$11,TRUE))</f>
        <v/>
      </c>
      <c r="BQ25" s="68">
        <f t="array" ref="BQ25">IF($D25,SUMPRODUCT((economics!$AG$2:$AG$167=$B25)*(economics!$D$2:$D$167="whr")*economics!$AH$2:$AH$167*_xlfn.NORM.DIST(BQ$3,economics!$AK$2:$AK$167,economics!$AJ$2:$AJ$167,TRUE))+$CR25*_xlfn.NORM.DIST(BQ$3,$CU25,0.3*$CU25,TRUE)+$CS25*_xlfn.NORM.DIST(BQ$3,$CV25,0.3*$CV25,TRUE),$CW25*_xlfn.NORM.DIST(BQ$3,'energy base (MECS)'!$F$11,0.3*'energy base (MECS)'!$F$11,TRUE))</f>
        <v/>
      </c>
      <c r="BR25" s="68">
        <f t="array" ref="BR25">IF($D25,SUMPRODUCT((economics!$AG$2:$AG$167=$B25)*(economics!$D$2:$D$167="whr")*economics!$AH$2:$AH$167*_xlfn.NORM.DIST(BR$3,economics!$AK$2:$AK$167,economics!$AJ$2:$AJ$167,TRUE))+$CR25*_xlfn.NORM.DIST(BR$3,$CU25,0.3*$CU25,TRUE)+$CS25*_xlfn.NORM.DIST(BR$3,$CV25,0.3*$CV25,TRUE),$CW25*_xlfn.NORM.DIST(BR$3,'energy base (MECS)'!$F$11,0.3*'energy base (MECS)'!$F$11,TRUE))</f>
        <v/>
      </c>
      <c r="BS25" s="68">
        <f t="array" ref="BS25">IF($D25,SUMPRODUCT((economics!$AG$2:$AG$167=$B25)*(economics!$D$2:$D$167="whr")*economics!$AH$2:$AH$167*_xlfn.NORM.DIST(BS$3,economics!$AK$2:$AK$167,economics!$AJ$2:$AJ$167,TRUE))+$CR25*_xlfn.NORM.DIST(BS$3,$CU25,0.3*$CU25,TRUE)+$CS25*_xlfn.NORM.DIST(BS$3,$CV25,0.3*$CV25,TRUE),$CW25*_xlfn.NORM.DIST(BS$3,'energy base (MECS)'!$F$11,0.3*'energy base (MECS)'!$F$11,TRUE))</f>
        <v/>
      </c>
      <c r="BT25" s="68">
        <f t="array" ref="BT25">IF($D25,SUMPRODUCT((economics!$AG$2:$AG$167=$B25)*(economics!$D$2:$D$167="whr")*economics!$AH$2:$AH$167*_xlfn.NORM.DIST(BT$3,economics!$AK$2:$AK$167,economics!$AJ$2:$AJ$167,TRUE))+$CR25*_xlfn.NORM.DIST(BT$3,$CU25,0.3*$CU25,TRUE)+$CS25*_xlfn.NORM.DIST(BT$3,$CV25,0.3*$CV25,TRUE),$CW25*_xlfn.NORM.DIST(BT$3,'energy base (MECS)'!$F$11,0.3*'energy base (MECS)'!$F$11,TRUE))</f>
        <v/>
      </c>
      <c r="BU25" s="68">
        <f t="array" ref="BU25">IF($D25,SUMPRODUCT((economics!$AG$2:$AG$167=$B25)*(economics!$D$2:$D$167="whr")*economics!$AH$2:$AH$167*_xlfn.NORM.DIST(BU$3,economics!$AK$2:$AK$167,economics!$AJ$2:$AJ$167,TRUE))+$CR25*_xlfn.NORM.DIST(BU$3,$CU25,0.3*$CU25,TRUE)+$CS25*_xlfn.NORM.DIST(BU$3,$CV25,0.3*$CV25,TRUE),$CW25*_xlfn.NORM.DIST(BU$3,'energy base (MECS)'!$F$11,0.3*'energy base (MECS)'!$F$11,TRUE))</f>
        <v/>
      </c>
      <c r="BV25" s="68">
        <f t="array" ref="BV25">IF($D25,SUMPRODUCT((economics!$AG$2:$AG$167=$B25)*(economics!$D$2:$D$167="whr")*economics!$AH$2:$AH$167*_xlfn.NORM.DIST(BV$3,economics!$AK$2:$AK$167,economics!$AJ$2:$AJ$167,TRUE))+$CR25*_xlfn.NORM.DIST(BV$3,$CU25,0.3*$CU25,TRUE)+$CS25*_xlfn.NORM.DIST(BV$3,$CV25,0.3*$CV25,TRUE),$CW25*_xlfn.NORM.DIST(BV$3,'energy base (MECS)'!$F$11,0.3*'energy base (MECS)'!$F$11,TRUE))</f>
        <v/>
      </c>
      <c r="BW25" s="68">
        <f t="array" ref="BW25">IF($D25,SUMPRODUCT((economics!$AG$2:$AG$167=$B25)*(economics!$D$2:$D$167="whr")*economics!$AH$2:$AH$167*_xlfn.NORM.DIST(BW$3,economics!$AK$2:$AK$167,economics!$AJ$2:$AJ$167,TRUE))+$CR25*_xlfn.NORM.DIST(BW$3,$CU25,0.3*$CU25,TRUE)+$CS25*_xlfn.NORM.DIST(BW$3,$CV25,0.3*$CV25,TRUE),$CW25*_xlfn.NORM.DIST(BW$3,'energy base (MECS)'!$F$11,0.3*'energy base (MECS)'!$F$11,TRUE))</f>
        <v/>
      </c>
      <c r="BX25" s="68">
        <f t="array" ref="BX25">IF($D25,SUMPRODUCT((economics!$AG$2:$AG$167=$B25)*(economics!$D$2:$D$167="whr")*economics!$AH$2:$AH$167*_xlfn.NORM.DIST(BX$3,economics!$AK$2:$AK$167,economics!$AJ$2:$AJ$167,TRUE))+$CR25*_xlfn.NORM.DIST(BX$3,$CU25,0.3*$CU25,TRUE)+$CS25*_xlfn.NORM.DIST(BX$3,$CV25,0.3*$CV25,TRUE),$CW25*_xlfn.NORM.DIST(BX$3,'energy base (MECS)'!$F$11,0.3*'energy base (MECS)'!$F$11,TRUE))</f>
        <v/>
      </c>
      <c r="BY25" s="68">
        <f t="array" ref="BY25">IF($D25,SUMPRODUCT((economics!$AG$2:$AG$167=$B25)*(economics!$D$2:$D$167="whr")*economics!$AH$2:$AH$167*_xlfn.NORM.DIST(BY$3,economics!$AK$2:$AK$167,economics!$AJ$2:$AJ$167,TRUE))+$CR25*_xlfn.NORM.DIST(BY$3,$CU25,0.3*$CU25,TRUE)+$CS25*_xlfn.NORM.DIST(BY$3,$CV25,0.3*$CV25,TRUE),$CW25*_xlfn.NORM.DIST(BY$3,'energy base (MECS)'!$F$11,0.3*'energy base (MECS)'!$F$11,TRUE))</f>
        <v/>
      </c>
      <c r="BZ25" s="68">
        <f t="array" ref="BZ25">IF($D25,SUMPRODUCT((economics!$AG$2:$AG$167=$B25)*(economics!$D$2:$D$167="whr")*economics!$AH$2:$AH$167*_xlfn.NORM.DIST(BZ$3,economics!$AK$2:$AK$167,economics!$AJ$2:$AJ$167,TRUE))+$CR25*_xlfn.NORM.DIST(BZ$3,$CU25,0.3*$CU25,TRUE)+$CS25*_xlfn.NORM.DIST(BZ$3,$CV25,0.3*$CV25,TRUE),$CW25*_xlfn.NORM.DIST(BZ$3,'energy base (MECS)'!$F$11,0.3*'energy base (MECS)'!$F$11,TRUE))</f>
        <v/>
      </c>
      <c r="CA25" s="68">
        <f t="array" ref="CA25">IF($D25,SUMPRODUCT((economics!$AG$2:$AG$167=$B25)*(economics!$D$2:$D$167="whr")*economics!$AH$2:$AH$167*_xlfn.NORM.DIST(CA$3,economics!$AK$2:$AK$167,economics!$AJ$2:$AJ$167,TRUE))+$CR25*_xlfn.NORM.DIST(CA$3,$CU25,0.3*$CU25,TRUE)+$CS25*_xlfn.NORM.DIST(CA$3,$CV25,0.3*$CV25,TRUE),$CW25*_xlfn.NORM.DIST(CA$3,'energy base (MECS)'!$F$11,0.3*'energy base (MECS)'!$F$11,TRUE))</f>
        <v/>
      </c>
      <c r="CB25" s="68">
        <f t="array" ref="CB25">IF($D25,SUMPRODUCT((economics!$AG$2:$AG$167=$B25)*(economics!$D$2:$D$167="whr")*economics!$AH$2:$AH$167*_xlfn.NORM.DIST(CB$3,economics!$AK$2:$AK$167,economics!$AJ$2:$AJ$167,TRUE))+$CR25*_xlfn.NORM.DIST(CB$3,$CU25,0.3*$CU25,TRUE)+$CS25*_xlfn.NORM.DIST(CB$3,$CV25,0.3*$CV25,TRUE),$CW25*_xlfn.NORM.DIST(CB$3,'energy base (MECS)'!$F$11,0.3*'energy base (MECS)'!$F$11,TRUE))</f>
        <v/>
      </c>
      <c r="CC25" s="68">
        <f t="array" ref="CC25">IF($D25,SUMPRODUCT((economics!$AG$2:$AG$167=$B25)*(economics!$D$2:$D$167="whr")*economics!$AH$2:$AH$167*_xlfn.NORM.DIST(CC$3,economics!$AK$2:$AK$167,economics!$AJ$2:$AJ$167,TRUE))+$CR25*_xlfn.NORM.DIST(CC$3,$CU25,0.3*$CU25,TRUE)+$CS25*_xlfn.NORM.DIST(CC$3,$CV25,0.3*$CV25,TRUE),$CW25*_xlfn.NORM.DIST(CC$3,'energy base (MECS)'!$F$11,0.3*'energy base (MECS)'!$F$11,TRUE))</f>
        <v/>
      </c>
      <c r="CD25" s="68">
        <f t="array" ref="CD25">IF($D25,SUMPRODUCT((economics!$AG$2:$AG$167=$B25)*(economics!$D$2:$D$167="whr")*economics!$AH$2:$AH$167*_xlfn.NORM.DIST(CD$3,economics!$AK$2:$AK$167,economics!$AJ$2:$AJ$167,TRUE))+$CR25*_xlfn.NORM.DIST(CD$3,$CU25,0.3*$CU25,TRUE)+$CS25*_xlfn.NORM.DIST(CD$3,$CV25,0.3*$CV25,TRUE),$CW25*_xlfn.NORM.DIST(CD$3,'energy base (MECS)'!$F$11,0.3*'energy base (MECS)'!$F$11,TRUE))</f>
        <v/>
      </c>
      <c r="CE25" s="68">
        <f t="array" ref="CE25">IF($D25,SUMPRODUCT((economics!$AG$2:$AG$167=$B25)*(economics!$D$2:$D$167="whr")*economics!$AH$2:$AH$167*_xlfn.NORM.DIST(CE$3,economics!$AK$2:$AK$167,economics!$AJ$2:$AJ$167,TRUE))+$CR25*_xlfn.NORM.DIST(CE$3,$CU25,0.3*$CU25,TRUE)+$CS25*_xlfn.NORM.DIST(CE$3,$CV25,0.3*$CV25,TRUE),$CW25*_xlfn.NORM.DIST(CE$3,'energy base (MECS)'!$F$11,0.3*'energy base (MECS)'!$F$11,TRUE))</f>
        <v/>
      </c>
      <c r="CF25" s="68">
        <f t="array" ref="CF25">IF($D25,SUMPRODUCT((economics!$AG$2:$AG$167=$B25)*(economics!$D$2:$D$167="whr")*economics!$AH$2:$AH$167*_xlfn.NORM.DIST(CF$3,economics!$AK$2:$AK$167,economics!$AJ$2:$AJ$167,TRUE))+$CR25*_xlfn.NORM.DIST(CF$3,$CU25,0.3*$CU25,TRUE)+$CS25*_xlfn.NORM.DIST(CF$3,$CV25,0.3*$CV25,TRUE),$CW25*_xlfn.NORM.DIST(CF$3,'energy base (MECS)'!$F$11,0.3*'energy base (MECS)'!$F$11,TRUE))</f>
        <v/>
      </c>
      <c r="CG25" s="68">
        <f t="array" ref="CG25">IF($D25,SUMPRODUCT((economics!$AG$2:$AG$167=$B25)*(economics!$D$2:$D$167="whr")*economics!$AH$2:$AH$167*_xlfn.NORM.DIST(CG$3,economics!$AK$2:$AK$167,economics!$AJ$2:$AJ$167,TRUE))+$CR25*_xlfn.NORM.DIST(CG$3,$CU25,0.3*$CU25,TRUE)+$CS25*_xlfn.NORM.DIST(CG$3,$CV25,0.3*$CV25,TRUE),$CW25*_xlfn.NORM.DIST(CG$3,'energy base (MECS)'!$F$11,0.3*'energy base (MECS)'!$F$11,TRUE))</f>
        <v/>
      </c>
      <c r="CH25" s="68">
        <f t="array" ref="CH25">IF($D25,SUMPRODUCT((economics!$AG$2:$AG$167=$B25)*(economics!$D$2:$D$167="whr")*economics!$AH$2:$AH$167*_xlfn.NORM.DIST(CH$3,economics!$AK$2:$AK$167,economics!$AJ$2:$AJ$167,TRUE))+$CR25*_xlfn.NORM.DIST(CH$3,$CU25,0.3*$CU25,TRUE)+$CS25*_xlfn.NORM.DIST(CH$3,$CV25,0.3*$CV25,TRUE),$CW25*_xlfn.NORM.DIST(CH$3,'energy base (MECS)'!$F$11,0.3*'energy base (MECS)'!$F$11,TRUE))</f>
        <v/>
      </c>
      <c r="CJ25">
        <f t="array" ref="CJ25">SUMPRODUCT((economics!$AG$2:$AG$167=$B25)*(economics!$D$2:$D$167="whr")*economics!$AH$2:$AH$167)</f>
        <v/>
      </c>
      <c r="CK25" s="80">
        <f>'indst heat consumption'!D25</f>
        <v/>
      </c>
      <c r="CL25" s="80">
        <f>'indst heat consumption'!E25</f>
        <v/>
      </c>
      <c r="CM25" s="80">
        <f>'indst heat consumption'!F25</f>
        <v/>
      </c>
      <c r="CN25" s="80">
        <f>'indst heat consumption'!G25</f>
        <v/>
      </c>
      <c r="CO25" s="80">
        <f>'indst heat consumption'!H25</f>
        <v/>
      </c>
      <c r="CP25">
        <f>$C25*(CK25*summary!$B$94+CL25*summary!$C$94+CM25*summary!$D$94)</f>
        <v/>
      </c>
      <c r="CQ25">
        <f>$C25*(CN25*summary!$E$94+CO25*summary!$F$94)</f>
        <v/>
      </c>
      <c r="CR25">
        <f>IF(CP25+CQ25&gt;0,CP25*MAX(0,CP25+CQ25-CJ25)/(CP25+CQ25),0)</f>
        <v/>
      </c>
      <c r="CS25">
        <f>IF(CP25+CQ25&gt;0,CQ25*MAX(0,CP25+CQ25-CJ25)/(CP25+CQ25),0)</f>
        <v/>
      </c>
      <c r="CT25">
        <f>IFERROR(_xlfn.XLOOKUP($B25,'BCoISC-WACCbI'!$C$2:$C$26,'BCoISC-WACCbI'!$B$2:$B$26)+economics!$AE$4,0.1)</f>
        <v/>
      </c>
      <c r="CU25">
        <f>(summary!$C$7*(CT25/(1-(1+CT25)^-summary!$D$7))+summary!$C$7*summary!$E$7)/(summary!$F$7*3412/1000000)</f>
        <v/>
      </c>
      <c r="CV25">
        <f>(summary!$C$6*(CT25/(1-(1+CT25)^-summary!$D$6))+summary!$C$6*summary!$E$6)/(summary!$F$6*3412/1000000)</f>
        <v/>
      </c>
      <c r="CW25">
        <f>CR25+CS25</f>
        <v/>
      </c>
    </row>
    <row r="26">
      <c r="A26">
        <f>WHRPbI!A24</f>
        <v/>
      </c>
      <c r="B26" t="inlineStr">
        <is>
          <t>352T353</t>
        </is>
      </c>
      <c r="C26" s="68">
        <f>WHRPbI!B24</f>
        <v/>
      </c>
      <c r="D26">
        <f>ISNUMBER(MATCH($B26,'energy base (MECS)'!$K$4:$K$9,0))</f>
        <v/>
      </c>
      <c r="E26" s="68">
        <f t="array" ref="E26">IF($D26,SUMPRODUCT((economics!$AG$2:$AG$167=$B26)*(economics!$D$2:$D$167="whr")*economics!$AH$2:$AH$167*_xlfn.NORM.DIST(E$3,economics!$AK$2:$AK$167,economics!$AJ$2:$AJ$167,TRUE))+$CR26*_xlfn.NORM.DIST(E$3,$CU26,0.3*$CU26,TRUE)+$CS26*_xlfn.NORM.DIST(E$3,$CV26,0.3*$CV26,TRUE),$CW26*_xlfn.NORM.DIST(E$3,'energy base (MECS)'!$F$11,0.3*'energy base (MECS)'!$F$11,TRUE))</f>
        <v/>
      </c>
      <c r="F26" s="68">
        <f t="array" ref="F26">IF($D26,SUMPRODUCT((economics!$AG$2:$AG$167=$B26)*(economics!$D$2:$D$167="whr")*economics!$AH$2:$AH$167*_xlfn.NORM.DIST(F$3,economics!$AK$2:$AK$167,economics!$AJ$2:$AJ$167,TRUE))+$CR26*_xlfn.NORM.DIST(F$3,$CU26,0.3*$CU26,TRUE)+$CS26*_xlfn.NORM.DIST(F$3,$CV26,0.3*$CV26,TRUE),$CW26*_xlfn.NORM.DIST(F$3,'energy base (MECS)'!$F$11,0.3*'energy base (MECS)'!$F$11,TRUE))</f>
        <v/>
      </c>
      <c r="G26" s="68">
        <f t="array" ref="G26">IF($D26,SUMPRODUCT((economics!$AG$2:$AG$167=$B26)*(economics!$D$2:$D$167="whr")*economics!$AH$2:$AH$167*_xlfn.NORM.DIST(G$3,economics!$AK$2:$AK$167,economics!$AJ$2:$AJ$167,TRUE))+$CR26*_xlfn.NORM.DIST(G$3,$CU26,0.3*$CU26,TRUE)+$CS26*_xlfn.NORM.DIST(G$3,$CV26,0.3*$CV26,TRUE),$CW26*_xlfn.NORM.DIST(G$3,'energy base (MECS)'!$F$11,0.3*'energy base (MECS)'!$F$11,TRUE))</f>
        <v/>
      </c>
      <c r="H26" s="68">
        <f t="array" ref="H26">IF($D26,SUMPRODUCT((economics!$AG$2:$AG$167=$B26)*(economics!$D$2:$D$167="whr")*economics!$AH$2:$AH$167*_xlfn.NORM.DIST(H$3,economics!$AK$2:$AK$167,economics!$AJ$2:$AJ$167,TRUE))+$CR26*_xlfn.NORM.DIST(H$3,$CU26,0.3*$CU26,TRUE)+$CS26*_xlfn.NORM.DIST(H$3,$CV26,0.3*$CV26,TRUE),$CW26*_xlfn.NORM.DIST(H$3,'energy base (MECS)'!$F$11,0.3*'energy base (MECS)'!$F$11,TRUE))</f>
        <v/>
      </c>
      <c r="I26" s="68">
        <f t="array" ref="I26">IF($D26,SUMPRODUCT((economics!$AG$2:$AG$167=$B26)*(economics!$D$2:$D$167="whr")*economics!$AH$2:$AH$167*_xlfn.NORM.DIST(I$3,economics!$AK$2:$AK$167,economics!$AJ$2:$AJ$167,TRUE))+$CR26*_xlfn.NORM.DIST(I$3,$CU26,0.3*$CU26,TRUE)+$CS26*_xlfn.NORM.DIST(I$3,$CV26,0.3*$CV26,TRUE),$CW26*_xlfn.NORM.DIST(I$3,'energy base (MECS)'!$F$11,0.3*'energy base (MECS)'!$F$11,TRUE))</f>
        <v/>
      </c>
      <c r="J26" s="68">
        <f t="array" ref="J26">IF($D26,SUMPRODUCT((economics!$AG$2:$AG$167=$B26)*(economics!$D$2:$D$167="whr")*economics!$AH$2:$AH$167*_xlfn.NORM.DIST(J$3,economics!$AK$2:$AK$167,economics!$AJ$2:$AJ$167,TRUE))+$CR26*_xlfn.NORM.DIST(J$3,$CU26,0.3*$CU26,TRUE)+$CS26*_xlfn.NORM.DIST(J$3,$CV26,0.3*$CV26,TRUE),$CW26*_xlfn.NORM.DIST(J$3,'energy base (MECS)'!$F$11,0.3*'energy base (MECS)'!$F$11,TRUE))</f>
        <v/>
      </c>
      <c r="K26" s="68">
        <f t="array" ref="K26">IF($D26,SUMPRODUCT((economics!$AG$2:$AG$167=$B26)*(economics!$D$2:$D$167="whr")*economics!$AH$2:$AH$167*_xlfn.NORM.DIST(K$3,economics!$AK$2:$AK$167,economics!$AJ$2:$AJ$167,TRUE))+$CR26*_xlfn.NORM.DIST(K$3,$CU26,0.3*$CU26,TRUE)+$CS26*_xlfn.NORM.DIST(K$3,$CV26,0.3*$CV26,TRUE),$CW26*_xlfn.NORM.DIST(K$3,'energy base (MECS)'!$F$11,0.3*'energy base (MECS)'!$F$11,TRUE))</f>
        <v/>
      </c>
      <c r="L26" s="68">
        <f t="array" ref="L26">IF($D26,SUMPRODUCT((economics!$AG$2:$AG$167=$B26)*(economics!$D$2:$D$167="whr")*economics!$AH$2:$AH$167*_xlfn.NORM.DIST(L$3,economics!$AK$2:$AK$167,economics!$AJ$2:$AJ$167,TRUE))+$CR26*_xlfn.NORM.DIST(L$3,$CU26,0.3*$CU26,TRUE)+$CS26*_xlfn.NORM.DIST(L$3,$CV26,0.3*$CV26,TRUE),$CW26*_xlfn.NORM.DIST(L$3,'energy base (MECS)'!$F$11,0.3*'energy base (MECS)'!$F$11,TRUE))</f>
        <v/>
      </c>
      <c r="M26" s="68">
        <f t="array" ref="M26">IF($D26,SUMPRODUCT((economics!$AG$2:$AG$167=$B26)*(economics!$D$2:$D$167="whr")*economics!$AH$2:$AH$167*_xlfn.NORM.DIST(M$3,economics!$AK$2:$AK$167,economics!$AJ$2:$AJ$167,TRUE))+$CR26*_xlfn.NORM.DIST(M$3,$CU26,0.3*$CU26,TRUE)+$CS26*_xlfn.NORM.DIST(M$3,$CV26,0.3*$CV26,TRUE),$CW26*_xlfn.NORM.DIST(M$3,'energy base (MECS)'!$F$11,0.3*'energy base (MECS)'!$F$11,TRUE))</f>
        <v/>
      </c>
      <c r="N26" s="68">
        <f t="array" ref="N26">IF($D26,SUMPRODUCT((economics!$AG$2:$AG$167=$B26)*(economics!$D$2:$D$167="whr")*economics!$AH$2:$AH$167*_xlfn.NORM.DIST(N$3,economics!$AK$2:$AK$167,economics!$AJ$2:$AJ$167,TRUE))+$CR26*_xlfn.NORM.DIST(N$3,$CU26,0.3*$CU26,TRUE)+$CS26*_xlfn.NORM.DIST(N$3,$CV26,0.3*$CV26,TRUE),$CW26*_xlfn.NORM.DIST(N$3,'energy base (MECS)'!$F$11,0.3*'energy base (MECS)'!$F$11,TRUE))</f>
        <v/>
      </c>
      <c r="O26" s="68">
        <f t="array" ref="O26">IF($D26,SUMPRODUCT((economics!$AG$2:$AG$167=$B26)*(economics!$D$2:$D$167="whr")*economics!$AH$2:$AH$167*_xlfn.NORM.DIST(O$3,economics!$AK$2:$AK$167,economics!$AJ$2:$AJ$167,TRUE))+$CR26*_xlfn.NORM.DIST(O$3,$CU26,0.3*$CU26,TRUE)+$CS26*_xlfn.NORM.DIST(O$3,$CV26,0.3*$CV26,TRUE),$CW26*_xlfn.NORM.DIST(O$3,'energy base (MECS)'!$F$11,0.3*'energy base (MECS)'!$F$11,TRUE))</f>
        <v/>
      </c>
      <c r="P26" s="68">
        <f t="array" ref="P26">IF($D26,SUMPRODUCT((economics!$AG$2:$AG$167=$B26)*(economics!$D$2:$D$167="whr")*economics!$AH$2:$AH$167*_xlfn.NORM.DIST(P$3,economics!$AK$2:$AK$167,economics!$AJ$2:$AJ$167,TRUE))+$CR26*_xlfn.NORM.DIST(P$3,$CU26,0.3*$CU26,TRUE)+$CS26*_xlfn.NORM.DIST(P$3,$CV26,0.3*$CV26,TRUE),$CW26*_xlfn.NORM.DIST(P$3,'energy base (MECS)'!$F$11,0.3*'energy base (MECS)'!$F$11,TRUE))</f>
        <v/>
      </c>
      <c r="Q26" s="68">
        <f t="array" ref="Q26">IF($D26,SUMPRODUCT((economics!$AG$2:$AG$167=$B26)*(economics!$D$2:$D$167="whr")*economics!$AH$2:$AH$167*_xlfn.NORM.DIST(Q$3,economics!$AK$2:$AK$167,economics!$AJ$2:$AJ$167,TRUE))+$CR26*_xlfn.NORM.DIST(Q$3,$CU26,0.3*$CU26,TRUE)+$CS26*_xlfn.NORM.DIST(Q$3,$CV26,0.3*$CV26,TRUE),$CW26*_xlfn.NORM.DIST(Q$3,'energy base (MECS)'!$F$11,0.3*'energy base (MECS)'!$F$11,TRUE))</f>
        <v/>
      </c>
      <c r="R26" s="68">
        <f t="array" ref="R26">IF($D26,SUMPRODUCT((economics!$AG$2:$AG$167=$B26)*(economics!$D$2:$D$167="whr")*economics!$AH$2:$AH$167*_xlfn.NORM.DIST(R$3,economics!$AK$2:$AK$167,economics!$AJ$2:$AJ$167,TRUE))+$CR26*_xlfn.NORM.DIST(R$3,$CU26,0.3*$CU26,TRUE)+$CS26*_xlfn.NORM.DIST(R$3,$CV26,0.3*$CV26,TRUE),$CW26*_xlfn.NORM.DIST(R$3,'energy base (MECS)'!$F$11,0.3*'energy base (MECS)'!$F$11,TRUE))</f>
        <v/>
      </c>
      <c r="S26" s="68">
        <f t="array" ref="S26">IF($D26,SUMPRODUCT((economics!$AG$2:$AG$167=$B26)*(economics!$D$2:$D$167="whr")*economics!$AH$2:$AH$167*_xlfn.NORM.DIST(S$3,economics!$AK$2:$AK$167,economics!$AJ$2:$AJ$167,TRUE))+$CR26*_xlfn.NORM.DIST(S$3,$CU26,0.3*$CU26,TRUE)+$CS26*_xlfn.NORM.DIST(S$3,$CV26,0.3*$CV26,TRUE),$CW26*_xlfn.NORM.DIST(S$3,'energy base (MECS)'!$F$11,0.3*'energy base (MECS)'!$F$11,TRUE))</f>
        <v/>
      </c>
      <c r="T26" s="68">
        <f t="array" ref="T26">IF($D26,SUMPRODUCT((economics!$AG$2:$AG$167=$B26)*(economics!$D$2:$D$167="whr")*economics!$AH$2:$AH$167*_xlfn.NORM.DIST(T$3,economics!$AK$2:$AK$167,economics!$AJ$2:$AJ$167,TRUE))+$CR26*_xlfn.NORM.DIST(T$3,$CU26,0.3*$CU26,TRUE)+$CS26*_xlfn.NORM.DIST(T$3,$CV26,0.3*$CV26,TRUE),$CW26*_xlfn.NORM.DIST(T$3,'energy base (MECS)'!$F$11,0.3*'energy base (MECS)'!$F$11,TRUE))</f>
        <v/>
      </c>
      <c r="U26" s="68">
        <f t="array" ref="U26">IF($D26,SUMPRODUCT((economics!$AG$2:$AG$167=$B26)*(economics!$D$2:$D$167="whr")*economics!$AH$2:$AH$167*_xlfn.NORM.DIST(U$3,economics!$AK$2:$AK$167,economics!$AJ$2:$AJ$167,TRUE))+$CR26*_xlfn.NORM.DIST(U$3,$CU26,0.3*$CU26,TRUE)+$CS26*_xlfn.NORM.DIST(U$3,$CV26,0.3*$CV26,TRUE),$CW26*_xlfn.NORM.DIST(U$3,'energy base (MECS)'!$F$11,0.3*'energy base (MECS)'!$F$11,TRUE))</f>
        <v/>
      </c>
      <c r="V26" s="68">
        <f t="array" ref="V26">IF($D26,SUMPRODUCT((economics!$AG$2:$AG$167=$B26)*(economics!$D$2:$D$167="whr")*economics!$AH$2:$AH$167*_xlfn.NORM.DIST(V$3,economics!$AK$2:$AK$167,economics!$AJ$2:$AJ$167,TRUE))+$CR26*_xlfn.NORM.DIST(V$3,$CU26,0.3*$CU26,TRUE)+$CS26*_xlfn.NORM.DIST(V$3,$CV26,0.3*$CV26,TRUE),$CW26*_xlfn.NORM.DIST(V$3,'energy base (MECS)'!$F$11,0.3*'energy base (MECS)'!$F$11,TRUE))</f>
        <v/>
      </c>
      <c r="W26" s="68">
        <f t="array" ref="W26">IF($D26,SUMPRODUCT((economics!$AG$2:$AG$167=$B26)*(economics!$D$2:$D$167="whr")*economics!$AH$2:$AH$167*_xlfn.NORM.DIST(W$3,economics!$AK$2:$AK$167,economics!$AJ$2:$AJ$167,TRUE))+$CR26*_xlfn.NORM.DIST(W$3,$CU26,0.3*$CU26,TRUE)+$CS26*_xlfn.NORM.DIST(W$3,$CV26,0.3*$CV26,TRUE),$CW26*_xlfn.NORM.DIST(W$3,'energy base (MECS)'!$F$11,0.3*'energy base (MECS)'!$F$11,TRUE))</f>
        <v/>
      </c>
      <c r="X26" s="68">
        <f t="array" ref="X26">IF($D26,SUMPRODUCT((economics!$AG$2:$AG$167=$B26)*(economics!$D$2:$D$167="whr")*economics!$AH$2:$AH$167*_xlfn.NORM.DIST(X$3,economics!$AK$2:$AK$167,economics!$AJ$2:$AJ$167,TRUE))+$CR26*_xlfn.NORM.DIST(X$3,$CU26,0.3*$CU26,TRUE)+$CS26*_xlfn.NORM.DIST(X$3,$CV26,0.3*$CV26,TRUE),$CW26*_xlfn.NORM.DIST(X$3,'energy base (MECS)'!$F$11,0.3*'energy base (MECS)'!$F$11,TRUE))</f>
        <v/>
      </c>
      <c r="Y26" s="68">
        <f t="array" ref="Y26">IF($D26,SUMPRODUCT((economics!$AG$2:$AG$167=$B26)*(economics!$D$2:$D$167="whr")*economics!$AH$2:$AH$167*_xlfn.NORM.DIST(Y$3,economics!$AK$2:$AK$167,economics!$AJ$2:$AJ$167,TRUE))+$CR26*_xlfn.NORM.DIST(Y$3,$CU26,0.3*$CU26,TRUE)+$CS26*_xlfn.NORM.DIST(Y$3,$CV26,0.3*$CV26,TRUE),$CW26*_xlfn.NORM.DIST(Y$3,'energy base (MECS)'!$F$11,0.3*'energy base (MECS)'!$F$11,TRUE))</f>
        <v/>
      </c>
      <c r="Z26" s="68">
        <f t="array" ref="Z26">IF($D26,SUMPRODUCT((economics!$AG$2:$AG$167=$B26)*(economics!$D$2:$D$167="whr")*economics!$AH$2:$AH$167*_xlfn.NORM.DIST(Z$3,economics!$AK$2:$AK$167,economics!$AJ$2:$AJ$167,TRUE))+$CR26*_xlfn.NORM.DIST(Z$3,$CU26,0.3*$CU26,TRUE)+$CS26*_xlfn.NORM.DIST(Z$3,$CV26,0.3*$CV26,TRUE),$CW26*_xlfn.NORM.DIST(Z$3,'energy base (MECS)'!$F$11,0.3*'energy base (MECS)'!$F$11,TRUE))</f>
        <v/>
      </c>
      <c r="AA26" s="68">
        <f t="array" ref="AA26">IF($D26,SUMPRODUCT((economics!$AG$2:$AG$167=$B26)*(economics!$D$2:$D$167="whr")*economics!$AH$2:$AH$167*_xlfn.NORM.DIST(AA$3,economics!$AK$2:$AK$167,economics!$AJ$2:$AJ$167,TRUE))+$CR26*_xlfn.NORM.DIST(AA$3,$CU26,0.3*$CU26,TRUE)+$CS26*_xlfn.NORM.DIST(AA$3,$CV26,0.3*$CV26,TRUE),$CW26*_xlfn.NORM.DIST(AA$3,'energy base (MECS)'!$F$11,0.3*'energy base (MECS)'!$F$11,TRUE))</f>
        <v/>
      </c>
      <c r="AB26" s="68">
        <f t="array" ref="AB26">IF($D26,SUMPRODUCT((economics!$AG$2:$AG$167=$B26)*(economics!$D$2:$D$167="whr")*economics!$AH$2:$AH$167*_xlfn.NORM.DIST(AB$3,economics!$AK$2:$AK$167,economics!$AJ$2:$AJ$167,TRUE))+$CR26*_xlfn.NORM.DIST(AB$3,$CU26,0.3*$CU26,TRUE)+$CS26*_xlfn.NORM.DIST(AB$3,$CV26,0.3*$CV26,TRUE),$CW26*_xlfn.NORM.DIST(AB$3,'energy base (MECS)'!$F$11,0.3*'energy base (MECS)'!$F$11,TRUE))</f>
        <v/>
      </c>
      <c r="AC26" s="68">
        <f t="array" ref="AC26">IF($D26,SUMPRODUCT((economics!$AG$2:$AG$167=$B26)*(economics!$D$2:$D$167="whr")*economics!$AH$2:$AH$167*_xlfn.NORM.DIST(AC$3,economics!$AK$2:$AK$167,economics!$AJ$2:$AJ$167,TRUE))+$CR26*_xlfn.NORM.DIST(AC$3,$CU26,0.3*$CU26,TRUE)+$CS26*_xlfn.NORM.DIST(AC$3,$CV26,0.3*$CV26,TRUE),$CW26*_xlfn.NORM.DIST(AC$3,'energy base (MECS)'!$F$11,0.3*'energy base (MECS)'!$F$11,TRUE))</f>
        <v/>
      </c>
      <c r="AD26" s="68">
        <f t="array" ref="AD26">IF($D26,SUMPRODUCT((economics!$AG$2:$AG$167=$B26)*(economics!$D$2:$D$167="whr")*economics!$AH$2:$AH$167*_xlfn.NORM.DIST(AD$3,economics!$AK$2:$AK$167,economics!$AJ$2:$AJ$167,TRUE))+$CR26*_xlfn.NORM.DIST(AD$3,$CU26,0.3*$CU26,TRUE)+$CS26*_xlfn.NORM.DIST(AD$3,$CV26,0.3*$CV26,TRUE),$CW26*_xlfn.NORM.DIST(AD$3,'energy base (MECS)'!$F$11,0.3*'energy base (MECS)'!$F$11,TRUE))</f>
        <v/>
      </c>
      <c r="AE26" s="68">
        <f t="array" ref="AE26">IF($D26,SUMPRODUCT((economics!$AG$2:$AG$167=$B26)*(economics!$D$2:$D$167="whr")*economics!$AH$2:$AH$167*_xlfn.NORM.DIST(AE$3,economics!$AK$2:$AK$167,economics!$AJ$2:$AJ$167,TRUE))+$CR26*_xlfn.NORM.DIST(AE$3,$CU26,0.3*$CU26,TRUE)+$CS26*_xlfn.NORM.DIST(AE$3,$CV26,0.3*$CV26,TRUE),$CW26*_xlfn.NORM.DIST(AE$3,'energy base (MECS)'!$F$11,0.3*'energy base (MECS)'!$F$11,TRUE))</f>
        <v/>
      </c>
      <c r="AF26" s="68">
        <f t="array" ref="AF26">IF($D26,SUMPRODUCT((economics!$AG$2:$AG$167=$B26)*(economics!$D$2:$D$167="whr")*economics!$AH$2:$AH$167*_xlfn.NORM.DIST(AF$3,economics!$AK$2:$AK$167,economics!$AJ$2:$AJ$167,TRUE))+$CR26*_xlfn.NORM.DIST(AF$3,$CU26,0.3*$CU26,TRUE)+$CS26*_xlfn.NORM.DIST(AF$3,$CV26,0.3*$CV26,TRUE),$CW26*_xlfn.NORM.DIST(AF$3,'energy base (MECS)'!$F$11,0.3*'energy base (MECS)'!$F$11,TRUE))</f>
        <v/>
      </c>
      <c r="AG26" s="68">
        <f t="array" ref="AG26">IF($D26,SUMPRODUCT((economics!$AG$2:$AG$167=$B26)*(economics!$D$2:$D$167="whr")*economics!$AH$2:$AH$167*_xlfn.NORM.DIST(AG$3,economics!$AK$2:$AK$167,economics!$AJ$2:$AJ$167,TRUE))+$CR26*_xlfn.NORM.DIST(AG$3,$CU26,0.3*$CU26,TRUE)+$CS26*_xlfn.NORM.DIST(AG$3,$CV26,0.3*$CV26,TRUE),$CW26*_xlfn.NORM.DIST(AG$3,'energy base (MECS)'!$F$11,0.3*'energy base (MECS)'!$F$11,TRUE))</f>
        <v/>
      </c>
      <c r="AH26" s="68">
        <f t="array" ref="AH26">IF($D26,SUMPRODUCT((economics!$AG$2:$AG$167=$B26)*(economics!$D$2:$D$167="whr")*economics!$AH$2:$AH$167*_xlfn.NORM.DIST(AH$3,economics!$AK$2:$AK$167,economics!$AJ$2:$AJ$167,TRUE))+$CR26*_xlfn.NORM.DIST(AH$3,$CU26,0.3*$CU26,TRUE)+$CS26*_xlfn.NORM.DIST(AH$3,$CV26,0.3*$CV26,TRUE),$CW26*_xlfn.NORM.DIST(AH$3,'energy base (MECS)'!$F$11,0.3*'energy base (MECS)'!$F$11,TRUE))</f>
        <v/>
      </c>
      <c r="AI26" s="68">
        <f t="array" ref="AI26">IF($D26,SUMPRODUCT((economics!$AG$2:$AG$167=$B26)*(economics!$D$2:$D$167="whr")*economics!$AH$2:$AH$167*_xlfn.NORM.DIST(AI$3,economics!$AK$2:$AK$167,economics!$AJ$2:$AJ$167,TRUE))+$CR26*_xlfn.NORM.DIST(AI$3,$CU26,0.3*$CU26,TRUE)+$CS26*_xlfn.NORM.DIST(AI$3,$CV26,0.3*$CV26,TRUE),$CW26*_xlfn.NORM.DIST(AI$3,'energy base (MECS)'!$F$11,0.3*'energy base (MECS)'!$F$11,TRUE))</f>
        <v/>
      </c>
      <c r="AJ26" s="68">
        <f t="array" ref="AJ26">IF($D26,SUMPRODUCT((economics!$AG$2:$AG$167=$B26)*(economics!$D$2:$D$167="whr")*economics!$AH$2:$AH$167*_xlfn.NORM.DIST(AJ$3,economics!$AK$2:$AK$167,economics!$AJ$2:$AJ$167,TRUE))+$CR26*_xlfn.NORM.DIST(AJ$3,$CU26,0.3*$CU26,TRUE)+$CS26*_xlfn.NORM.DIST(AJ$3,$CV26,0.3*$CV26,TRUE),$CW26*_xlfn.NORM.DIST(AJ$3,'energy base (MECS)'!$F$11,0.3*'energy base (MECS)'!$F$11,TRUE))</f>
        <v/>
      </c>
      <c r="AK26" s="68">
        <f t="array" ref="AK26">IF($D26,SUMPRODUCT((economics!$AG$2:$AG$167=$B26)*(economics!$D$2:$D$167="whr")*economics!$AH$2:$AH$167*_xlfn.NORM.DIST(AK$3,economics!$AK$2:$AK$167,economics!$AJ$2:$AJ$167,TRUE))+$CR26*_xlfn.NORM.DIST(AK$3,$CU26,0.3*$CU26,TRUE)+$CS26*_xlfn.NORM.DIST(AK$3,$CV26,0.3*$CV26,TRUE),$CW26*_xlfn.NORM.DIST(AK$3,'energy base (MECS)'!$F$11,0.3*'energy base (MECS)'!$F$11,TRUE))</f>
        <v/>
      </c>
      <c r="AL26" s="68">
        <f t="array" ref="AL26">IF($D26,SUMPRODUCT((economics!$AG$2:$AG$167=$B26)*(economics!$D$2:$D$167="whr")*economics!$AH$2:$AH$167*_xlfn.NORM.DIST(AL$3,economics!$AK$2:$AK$167,economics!$AJ$2:$AJ$167,TRUE))+$CR26*_xlfn.NORM.DIST(AL$3,$CU26,0.3*$CU26,TRUE)+$CS26*_xlfn.NORM.DIST(AL$3,$CV26,0.3*$CV26,TRUE),$CW26*_xlfn.NORM.DIST(AL$3,'energy base (MECS)'!$F$11,0.3*'energy base (MECS)'!$F$11,TRUE))</f>
        <v/>
      </c>
      <c r="AM26" s="68">
        <f t="array" ref="AM26">IF($D26,SUMPRODUCT((economics!$AG$2:$AG$167=$B26)*(economics!$D$2:$D$167="whr")*economics!$AH$2:$AH$167*_xlfn.NORM.DIST(AM$3,economics!$AK$2:$AK$167,economics!$AJ$2:$AJ$167,TRUE))+$CR26*_xlfn.NORM.DIST(AM$3,$CU26,0.3*$CU26,TRUE)+$CS26*_xlfn.NORM.DIST(AM$3,$CV26,0.3*$CV26,TRUE),$CW26*_xlfn.NORM.DIST(AM$3,'energy base (MECS)'!$F$11,0.3*'energy base (MECS)'!$F$11,TRUE))</f>
        <v/>
      </c>
      <c r="AN26" s="68">
        <f t="array" ref="AN26">IF($D26,SUMPRODUCT((economics!$AG$2:$AG$167=$B26)*(economics!$D$2:$D$167="whr")*economics!$AH$2:$AH$167*_xlfn.NORM.DIST(AN$3,economics!$AK$2:$AK$167,economics!$AJ$2:$AJ$167,TRUE))+$CR26*_xlfn.NORM.DIST(AN$3,$CU26,0.3*$CU26,TRUE)+$CS26*_xlfn.NORM.DIST(AN$3,$CV26,0.3*$CV26,TRUE),$CW26*_xlfn.NORM.DIST(AN$3,'energy base (MECS)'!$F$11,0.3*'energy base (MECS)'!$F$11,TRUE))</f>
        <v/>
      </c>
      <c r="AO26" s="68">
        <f t="array" ref="AO26">IF($D26,SUMPRODUCT((economics!$AG$2:$AG$167=$B26)*(economics!$D$2:$D$167="whr")*economics!$AH$2:$AH$167*_xlfn.NORM.DIST(AO$3,economics!$AK$2:$AK$167,economics!$AJ$2:$AJ$167,TRUE))+$CR26*_xlfn.NORM.DIST(AO$3,$CU26,0.3*$CU26,TRUE)+$CS26*_xlfn.NORM.DIST(AO$3,$CV26,0.3*$CV26,TRUE),$CW26*_xlfn.NORM.DIST(AO$3,'energy base (MECS)'!$F$11,0.3*'energy base (MECS)'!$F$11,TRUE))</f>
        <v/>
      </c>
      <c r="AP26" s="68">
        <f t="array" ref="AP26">IF($D26,SUMPRODUCT((economics!$AG$2:$AG$167=$B26)*(economics!$D$2:$D$167="whr")*economics!$AH$2:$AH$167*_xlfn.NORM.DIST(AP$3,economics!$AK$2:$AK$167,economics!$AJ$2:$AJ$167,TRUE))+$CR26*_xlfn.NORM.DIST(AP$3,$CU26,0.3*$CU26,TRUE)+$CS26*_xlfn.NORM.DIST(AP$3,$CV26,0.3*$CV26,TRUE),$CW26*_xlfn.NORM.DIST(AP$3,'energy base (MECS)'!$F$11,0.3*'energy base (MECS)'!$F$11,TRUE))</f>
        <v/>
      </c>
      <c r="AQ26" s="68">
        <f t="array" ref="AQ26">IF($D26,SUMPRODUCT((economics!$AG$2:$AG$167=$B26)*(economics!$D$2:$D$167="whr")*economics!$AH$2:$AH$167*_xlfn.NORM.DIST(AQ$3,economics!$AK$2:$AK$167,economics!$AJ$2:$AJ$167,TRUE))+$CR26*_xlfn.NORM.DIST(AQ$3,$CU26,0.3*$CU26,TRUE)+$CS26*_xlfn.NORM.DIST(AQ$3,$CV26,0.3*$CV26,TRUE),$CW26*_xlfn.NORM.DIST(AQ$3,'energy base (MECS)'!$F$11,0.3*'energy base (MECS)'!$F$11,TRUE))</f>
        <v/>
      </c>
      <c r="AR26" s="68">
        <f t="array" ref="AR26">IF($D26,SUMPRODUCT((economics!$AG$2:$AG$167=$B26)*(economics!$D$2:$D$167="whr")*economics!$AH$2:$AH$167*_xlfn.NORM.DIST(AR$3,economics!$AK$2:$AK$167,economics!$AJ$2:$AJ$167,TRUE))+$CR26*_xlfn.NORM.DIST(AR$3,$CU26,0.3*$CU26,TRUE)+$CS26*_xlfn.NORM.DIST(AR$3,$CV26,0.3*$CV26,TRUE),$CW26*_xlfn.NORM.DIST(AR$3,'energy base (MECS)'!$F$11,0.3*'energy base (MECS)'!$F$11,TRUE))</f>
        <v/>
      </c>
      <c r="AS26" s="68">
        <f t="array" ref="AS26">IF($D26,SUMPRODUCT((economics!$AG$2:$AG$167=$B26)*(economics!$D$2:$D$167="whr")*economics!$AH$2:$AH$167*_xlfn.NORM.DIST(AS$3,economics!$AK$2:$AK$167,economics!$AJ$2:$AJ$167,TRUE))+$CR26*_xlfn.NORM.DIST(AS$3,$CU26,0.3*$CU26,TRUE)+$CS26*_xlfn.NORM.DIST(AS$3,$CV26,0.3*$CV26,TRUE),$CW26*_xlfn.NORM.DIST(AS$3,'energy base (MECS)'!$F$11,0.3*'energy base (MECS)'!$F$11,TRUE))</f>
        <v/>
      </c>
      <c r="AT26" s="68">
        <f t="array" ref="AT26">IF($D26,SUMPRODUCT((economics!$AG$2:$AG$167=$B26)*(economics!$D$2:$D$167="whr")*economics!$AH$2:$AH$167*_xlfn.NORM.DIST(AT$3,economics!$AK$2:$AK$167,economics!$AJ$2:$AJ$167,TRUE))+$CR26*_xlfn.NORM.DIST(AT$3,$CU26,0.3*$CU26,TRUE)+$CS26*_xlfn.NORM.DIST(AT$3,$CV26,0.3*$CV26,TRUE),$CW26*_xlfn.NORM.DIST(AT$3,'energy base (MECS)'!$F$11,0.3*'energy base (MECS)'!$F$11,TRUE))</f>
        <v/>
      </c>
      <c r="AU26" s="68">
        <f t="array" ref="AU26">IF($D26,SUMPRODUCT((economics!$AG$2:$AG$167=$B26)*(economics!$D$2:$D$167="whr")*economics!$AH$2:$AH$167*_xlfn.NORM.DIST(AU$3,economics!$AK$2:$AK$167,economics!$AJ$2:$AJ$167,TRUE))+$CR26*_xlfn.NORM.DIST(AU$3,$CU26,0.3*$CU26,TRUE)+$CS26*_xlfn.NORM.DIST(AU$3,$CV26,0.3*$CV26,TRUE),$CW26*_xlfn.NORM.DIST(AU$3,'energy base (MECS)'!$F$11,0.3*'energy base (MECS)'!$F$11,TRUE))</f>
        <v/>
      </c>
      <c r="AV26" s="68">
        <f t="array" ref="AV26">IF($D26,SUMPRODUCT((economics!$AG$2:$AG$167=$B26)*(economics!$D$2:$D$167="whr")*economics!$AH$2:$AH$167*_xlfn.NORM.DIST(AV$3,economics!$AK$2:$AK$167,economics!$AJ$2:$AJ$167,TRUE))+$CR26*_xlfn.NORM.DIST(AV$3,$CU26,0.3*$CU26,TRUE)+$CS26*_xlfn.NORM.DIST(AV$3,$CV26,0.3*$CV26,TRUE),$CW26*_xlfn.NORM.DIST(AV$3,'energy base (MECS)'!$F$11,0.3*'energy base (MECS)'!$F$11,TRUE))</f>
        <v/>
      </c>
      <c r="AW26" s="68">
        <f t="array" ref="AW26">IF($D26,SUMPRODUCT((economics!$AG$2:$AG$167=$B26)*(economics!$D$2:$D$167="whr")*economics!$AH$2:$AH$167*_xlfn.NORM.DIST(AW$3,economics!$AK$2:$AK$167,economics!$AJ$2:$AJ$167,TRUE))+$CR26*_xlfn.NORM.DIST(AW$3,$CU26,0.3*$CU26,TRUE)+$CS26*_xlfn.NORM.DIST(AW$3,$CV26,0.3*$CV26,TRUE),$CW26*_xlfn.NORM.DIST(AW$3,'energy base (MECS)'!$F$11,0.3*'energy base (MECS)'!$F$11,TRUE))</f>
        <v/>
      </c>
      <c r="AX26" s="68">
        <f t="array" ref="AX26">IF($D26,SUMPRODUCT((economics!$AG$2:$AG$167=$B26)*(economics!$D$2:$D$167="whr")*economics!$AH$2:$AH$167*_xlfn.NORM.DIST(AX$3,economics!$AK$2:$AK$167,economics!$AJ$2:$AJ$167,TRUE))+$CR26*_xlfn.NORM.DIST(AX$3,$CU26,0.3*$CU26,TRUE)+$CS26*_xlfn.NORM.DIST(AX$3,$CV26,0.3*$CV26,TRUE),$CW26*_xlfn.NORM.DIST(AX$3,'energy base (MECS)'!$F$11,0.3*'energy base (MECS)'!$F$11,TRUE))</f>
        <v/>
      </c>
      <c r="AY26" s="68">
        <f t="array" ref="AY26">IF($D26,SUMPRODUCT((economics!$AG$2:$AG$167=$B26)*(economics!$D$2:$D$167="whr")*economics!$AH$2:$AH$167*_xlfn.NORM.DIST(AY$3,economics!$AK$2:$AK$167,economics!$AJ$2:$AJ$167,TRUE))+$CR26*_xlfn.NORM.DIST(AY$3,$CU26,0.3*$CU26,TRUE)+$CS26*_xlfn.NORM.DIST(AY$3,$CV26,0.3*$CV26,TRUE),$CW26*_xlfn.NORM.DIST(AY$3,'energy base (MECS)'!$F$11,0.3*'energy base (MECS)'!$F$11,TRUE))</f>
        <v/>
      </c>
      <c r="AZ26" s="68">
        <f t="array" ref="AZ26">IF($D26,SUMPRODUCT((economics!$AG$2:$AG$167=$B26)*(economics!$D$2:$D$167="whr")*economics!$AH$2:$AH$167*_xlfn.NORM.DIST(AZ$3,economics!$AK$2:$AK$167,economics!$AJ$2:$AJ$167,TRUE))+$CR26*_xlfn.NORM.DIST(AZ$3,$CU26,0.3*$CU26,TRUE)+$CS26*_xlfn.NORM.DIST(AZ$3,$CV26,0.3*$CV26,TRUE),$CW26*_xlfn.NORM.DIST(AZ$3,'energy base (MECS)'!$F$11,0.3*'energy base (MECS)'!$F$11,TRUE))</f>
        <v/>
      </c>
      <c r="BA26" s="68">
        <f t="array" ref="BA26">IF($D26,SUMPRODUCT((economics!$AG$2:$AG$167=$B26)*(economics!$D$2:$D$167="whr")*economics!$AH$2:$AH$167*_xlfn.NORM.DIST(BA$3,economics!$AK$2:$AK$167,economics!$AJ$2:$AJ$167,TRUE))+$CR26*_xlfn.NORM.DIST(BA$3,$CU26,0.3*$CU26,TRUE)+$CS26*_xlfn.NORM.DIST(BA$3,$CV26,0.3*$CV26,TRUE),$CW26*_xlfn.NORM.DIST(BA$3,'energy base (MECS)'!$F$11,0.3*'energy base (MECS)'!$F$11,TRUE))</f>
        <v/>
      </c>
      <c r="BB26" s="68">
        <f t="array" ref="BB26">IF($D26,SUMPRODUCT((economics!$AG$2:$AG$167=$B26)*(economics!$D$2:$D$167="whr")*economics!$AH$2:$AH$167*_xlfn.NORM.DIST(BB$3,economics!$AK$2:$AK$167,economics!$AJ$2:$AJ$167,TRUE))+$CR26*_xlfn.NORM.DIST(BB$3,$CU26,0.3*$CU26,TRUE)+$CS26*_xlfn.NORM.DIST(BB$3,$CV26,0.3*$CV26,TRUE),$CW26*_xlfn.NORM.DIST(BB$3,'energy base (MECS)'!$F$11,0.3*'energy base (MECS)'!$F$11,TRUE))</f>
        <v/>
      </c>
      <c r="BC26" s="68">
        <f t="array" ref="BC26">IF($D26,SUMPRODUCT((economics!$AG$2:$AG$167=$B26)*(economics!$D$2:$D$167="whr")*economics!$AH$2:$AH$167*_xlfn.NORM.DIST(BC$3,economics!$AK$2:$AK$167,economics!$AJ$2:$AJ$167,TRUE))+$CR26*_xlfn.NORM.DIST(BC$3,$CU26,0.3*$CU26,TRUE)+$CS26*_xlfn.NORM.DIST(BC$3,$CV26,0.3*$CV26,TRUE),$CW26*_xlfn.NORM.DIST(BC$3,'energy base (MECS)'!$F$11,0.3*'energy base (MECS)'!$F$11,TRUE))</f>
        <v/>
      </c>
      <c r="BD26" s="68">
        <f t="array" ref="BD26">IF($D26,SUMPRODUCT((economics!$AG$2:$AG$167=$B26)*(economics!$D$2:$D$167="whr")*economics!$AH$2:$AH$167*_xlfn.NORM.DIST(BD$3,economics!$AK$2:$AK$167,economics!$AJ$2:$AJ$167,TRUE))+$CR26*_xlfn.NORM.DIST(BD$3,$CU26,0.3*$CU26,TRUE)+$CS26*_xlfn.NORM.DIST(BD$3,$CV26,0.3*$CV26,TRUE),$CW26*_xlfn.NORM.DIST(BD$3,'energy base (MECS)'!$F$11,0.3*'energy base (MECS)'!$F$11,TRUE))</f>
        <v/>
      </c>
      <c r="BE26" s="68">
        <f t="array" ref="BE26">IF($D26,SUMPRODUCT((economics!$AG$2:$AG$167=$B26)*(economics!$D$2:$D$167="whr")*economics!$AH$2:$AH$167*_xlfn.NORM.DIST(BE$3,economics!$AK$2:$AK$167,economics!$AJ$2:$AJ$167,TRUE))+$CR26*_xlfn.NORM.DIST(BE$3,$CU26,0.3*$CU26,TRUE)+$CS26*_xlfn.NORM.DIST(BE$3,$CV26,0.3*$CV26,TRUE),$CW26*_xlfn.NORM.DIST(BE$3,'energy base (MECS)'!$F$11,0.3*'energy base (MECS)'!$F$11,TRUE))</f>
        <v/>
      </c>
      <c r="BF26" s="68">
        <f t="array" ref="BF26">IF($D26,SUMPRODUCT((economics!$AG$2:$AG$167=$B26)*(economics!$D$2:$D$167="whr")*economics!$AH$2:$AH$167*_xlfn.NORM.DIST(BF$3,economics!$AK$2:$AK$167,economics!$AJ$2:$AJ$167,TRUE))+$CR26*_xlfn.NORM.DIST(BF$3,$CU26,0.3*$CU26,TRUE)+$CS26*_xlfn.NORM.DIST(BF$3,$CV26,0.3*$CV26,TRUE),$CW26*_xlfn.NORM.DIST(BF$3,'energy base (MECS)'!$F$11,0.3*'energy base (MECS)'!$F$11,TRUE))</f>
        <v/>
      </c>
      <c r="BG26" s="68">
        <f t="array" ref="BG26">IF($D26,SUMPRODUCT((economics!$AG$2:$AG$167=$B26)*(economics!$D$2:$D$167="whr")*economics!$AH$2:$AH$167*_xlfn.NORM.DIST(BG$3,economics!$AK$2:$AK$167,economics!$AJ$2:$AJ$167,TRUE))+$CR26*_xlfn.NORM.DIST(BG$3,$CU26,0.3*$CU26,TRUE)+$CS26*_xlfn.NORM.DIST(BG$3,$CV26,0.3*$CV26,TRUE),$CW26*_xlfn.NORM.DIST(BG$3,'energy base (MECS)'!$F$11,0.3*'energy base (MECS)'!$F$11,TRUE))</f>
        <v/>
      </c>
      <c r="BH26" s="68">
        <f t="array" ref="BH26">IF($D26,SUMPRODUCT((economics!$AG$2:$AG$167=$B26)*(economics!$D$2:$D$167="whr")*economics!$AH$2:$AH$167*_xlfn.NORM.DIST(BH$3,economics!$AK$2:$AK$167,economics!$AJ$2:$AJ$167,TRUE))+$CR26*_xlfn.NORM.DIST(BH$3,$CU26,0.3*$CU26,TRUE)+$CS26*_xlfn.NORM.DIST(BH$3,$CV26,0.3*$CV26,TRUE),$CW26*_xlfn.NORM.DIST(BH$3,'energy base (MECS)'!$F$11,0.3*'energy base (MECS)'!$F$11,TRUE))</f>
        <v/>
      </c>
      <c r="BI26" s="68">
        <f t="array" ref="BI26">IF($D26,SUMPRODUCT((economics!$AG$2:$AG$167=$B26)*(economics!$D$2:$D$167="whr")*economics!$AH$2:$AH$167*_xlfn.NORM.DIST(BI$3,economics!$AK$2:$AK$167,economics!$AJ$2:$AJ$167,TRUE))+$CR26*_xlfn.NORM.DIST(BI$3,$CU26,0.3*$CU26,TRUE)+$CS26*_xlfn.NORM.DIST(BI$3,$CV26,0.3*$CV26,TRUE),$CW26*_xlfn.NORM.DIST(BI$3,'energy base (MECS)'!$F$11,0.3*'energy base (MECS)'!$F$11,TRUE))</f>
        <v/>
      </c>
      <c r="BJ26" s="68">
        <f t="array" ref="BJ26">IF($D26,SUMPRODUCT((economics!$AG$2:$AG$167=$B26)*(economics!$D$2:$D$167="whr")*economics!$AH$2:$AH$167*_xlfn.NORM.DIST(BJ$3,economics!$AK$2:$AK$167,economics!$AJ$2:$AJ$167,TRUE))+$CR26*_xlfn.NORM.DIST(BJ$3,$CU26,0.3*$CU26,TRUE)+$CS26*_xlfn.NORM.DIST(BJ$3,$CV26,0.3*$CV26,TRUE),$CW26*_xlfn.NORM.DIST(BJ$3,'energy base (MECS)'!$F$11,0.3*'energy base (MECS)'!$F$11,TRUE))</f>
        <v/>
      </c>
      <c r="BK26" s="68">
        <f t="array" ref="BK26">IF($D26,SUMPRODUCT((economics!$AG$2:$AG$167=$B26)*(economics!$D$2:$D$167="whr")*economics!$AH$2:$AH$167*_xlfn.NORM.DIST(BK$3,economics!$AK$2:$AK$167,economics!$AJ$2:$AJ$167,TRUE))+$CR26*_xlfn.NORM.DIST(BK$3,$CU26,0.3*$CU26,TRUE)+$CS26*_xlfn.NORM.DIST(BK$3,$CV26,0.3*$CV26,TRUE),$CW26*_xlfn.NORM.DIST(BK$3,'energy base (MECS)'!$F$11,0.3*'energy base (MECS)'!$F$11,TRUE))</f>
        <v/>
      </c>
      <c r="BL26" s="68">
        <f t="array" ref="BL26">IF($D26,SUMPRODUCT((economics!$AG$2:$AG$167=$B26)*(economics!$D$2:$D$167="whr")*economics!$AH$2:$AH$167*_xlfn.NORM.DIST(BL$3,economics!$AK$2:$AK$167,economics!$AJ$2:$AJ$167,TRUE))+$CR26*_xlfn.NORM.DIST(BL$3,$CU26,0.3*$CU26,TRUE)+$CS26*_xlfn.NORM.DIST(BL$3,$CV26,0.3*$CV26,TRUE),$CW26*_xlfn.NORM.DIST(BL$3,'energy base (MECS)'!$F$11,0.3*'energy base (MECS)'!$F$11,TRUE))</f>
        <v/>
      </c>
      <c r="BM26" s="68">
        <f t="array" ref="BM26">IF($D26,SUMPRODUCT((economics!$AG$2:$AG$167=$B26)*(economics!$D$2:$D$167="whr")*economics!$AH$2:$AH$167*_xlfn.NORM.DIST(BM$3,economics!$AK$2:$AK$167,economics!$AJ$2:$AJ$167,TRUE))+$CR26*_xlfn.NORM.DIST(BM$3,$CU26,0.3*$CU26,TRUE)+$CS26*_xlfn.NORM.DIST(BM$3,$CV26,0.3*$CV26,TRUE),$CW26*_xlfn.NORM.DIST(BM$3,'energy base (MECS)'!$F$11,0.3*'energy base (MECS)'!$F$11,TRUE))</f>
        <v/>
      </c>
      <c r="BN26" s="68">
        <f t="array" ref="BN26">IF($D26,SUMPRODUCT((economics!$AG$2:$AG$167=$B26)*(economics!$D$2:$D$167="whr")*economics!$AH$2:$AH$167*_xlfn.NORM.DIST(BN$3,economics!$AK$2:$AK$167,economics!$AJ$2:$AJ$167,TRUE))+$CR26*_xlfn.NORM.DIST(BN$3,$CU26,0.3*$CU26,TRUE)+$CS26*_xlfn.NORM.DIST(BN$3,$CV26,0.3*$CV26,TRUE),$CW26*_xlfn.NORM.DIST(BN$3,'energy base (MECS)'!$F$11,0.3*'energy base (MECS)'!$F$11,TRUE))</f>
        <v/>
      </c>
      <c r="BO26" s="68">
        <f t="array" ref="BO26">IF($D26,SUMPRODUCT((economics!$AG$2:$AG$167=$B26)*(economics!$D$2:$D$167="whr")*economics!$AH$2:$AH$167*_xlfn.NORM.DIST(BO$3,economics!$AK$2:$AK$167,economics!$AJ$2:$AJ$167,TRUE))+$CR26*_xlfn.NORM.DIST(BO$3,$CU26,0.3*$CU26,TRUE)+$CS26*_xlfn.NORM.DIST(BO$3,$CV26,0.3*$CV26,TRUE),$CW26*_xlfn.NORM.DIST(BO$3,'energy base (MECS)'!$F$11,0.3*'energy base (MECS)'!$F$11,TRUE))</f>
        <v/>
      </c>
      <c r="BP26" s="68">
        <f t="array" ref="BP26">IF($D26,SUMPRODUCT((economics!$AG$2:$AG$167=$B26)*(economics!$D$2:$D$167="whr")*economics!$AH$2:$AH$167*_xlfn.NORM.DIST(BP$3,economics!$AK$2:$AK$167,economics!$AJ$2:$AJ$167,TRUE))+$CR26*_xlfn.NORM.DIST(BP$3,$CU26,0.3*$CU26,TRUE)+$CS26*_xlfn.NORM.DIST(BP$3,$CV26,0.3*$CV26,TRUE),$CW26*_xlfn.NORM.DIST(BP$3,'energy base (MECS)'!$F$11,0.3*'energy base (MECS)'!$F$11,TRUE))</f>
        <v/>
      </c>
      <c r="BQ26" s="68">
        <f t="array" ref="BQ26">IF($D26,SUMPRODUCT((economics!$AG$2:$AG$167=$B26)*(economics!$D$2:$D$167="whr")*economics!$AH$2:$AH$167*_xlfn.NORM.DIST(BQ$3,economics!$AK$2:$AK$167,economics!$AJ$2:$AJ$167,TRUE))+$CR26*_xlfn.NORM.DIST(BQ$3,$CU26,0.3*$CU26,TRUE)+$CS26*_xlfn.NORM.DIST(BQ$3,$CV26,0.3*$CV26,TRUE),$CW26*_xlfn.NORM.DIST(BQ$3,'energy base (MECS)'!$F$11,0.3*'energy base (MECS)'!$F$11,TRUE))</f>
        <v/>
      </c>
      <c r="BR26" s="68">
        <f t="array" ref="BR26">IF($D26,SUMPRODUCT((economics!$AG$2:$AG$167=$B26)*(economics!$D$2:$D$167="whr")*economics!$AH$2:$AH$167*_xlfn.NORM.DIST(BR$3,economics!$AK$2:$AK$167,economics!$AJ$2:$AJ$167,TRUE))+$CR26*_xlfn.NORM.DIST(BR$3,$CU26,0.3*$CU26,TRUE)+$CS26*_xlfn.NORM.DIST(BR$3,$CV26,0.3*$CV26,TRUE),$CW26*_xlfn.NORM.DIST(BR$3,'energy base (MECS)'!$F$11,0.3*'energy base (MECS)'!$F$11,TRUE))</f>
        <v/>
      </c>
      <c r="BS26" s="68">
        <f t="array" ref="BS26">IF($D26,SUMPRODUCT((economics!$AG$2:$AG$167=$B26)*(economics!$D$2:$D$167="whr")*economics!$AH$2:$AH$167*_xlfn.NORM.DIST(BS$3,economics!$AK$2:$AK$167,economics!$AJ$2:$AJ$167,TRUE))+$CR26*_xlfn.NORM.DIST(BS$3,$CU26,0.3*$CU26,TRUE)+$CS26*_xlfn.NORM.DIST(BS$3,$CV26,0.3*$CV26,TRUE),$CW26*_xlfn.NORM.DIST(BS$3,'energy base (MECS)'!$F$11,0.3*'energy base (MECS)'!$F$11,TRUE))</f>
        <v/>
      </c>
      <c r="BT26" s="68">
        <f t="array" ref="BT26">IF($D26,SUMPRODUCT((economics!$AG$2:$AG$167=$B26)*(economics!$D$2:$D$167="whr")*economics!$AH$2:$AH$167*_xlfn.NORM.DIST(BT$3,economics!$AK$2:$AK$167,economics!$AJ$2:$AJ$167,TRUE))+$CR26*_xlfn.NORM.DIST(BT$3,$CU26,0.3*$CU26,TRUE)+$CS26*_xlfn.NORM.DIST(BT$3,$CV26,0.3*$CV26,TRUE),$CW26*_xlfn.NORM.DIST(BT$3,'energy base (MECS)'!$F$11,0.3*'energy base (MECS)'!$F$11,TRUE))</f>
        <v/>
      </c>
      <c r="BU26" s="68">
        <f t="array" ref="BU26">IF($D26,SUMPRODUCT((economics!$AG$2:$AG$167=$B26)*(economics!$D$2:$D$167="whr")*economics!$AH$2:$AH$167*_xlfn.NORM.DIST(BU$3,economics!$AK$2:$AK$167,economics!$AJ$2:$AJ$167,TRUE))+$CR26*_xlfn.NORM.DIST(BU$3,$CU26,0.3*$CU26,TRUE)+$CS26*_xlfn.NORM.DIST(BU$3,$CV26,0.3*$CV26,TRUE),$CW26*_xlfn.NORM.DIST(BU$3,'energy base (MECS)'!$F$11,0.3*'energy base (MECS)'!$F$11,TRUE))</f>
        <v/>
      </c>
      <c r="BV26" s="68">
        <f t="array" ref="BV26">IF($D26,SUMPRODUCT((economics!$AG$2:$AG$167=$B26)*(economics!$D$2:$D$167="whr")*economics!$AH$2:$AH$167*_xlfn.NORM.DIST(BV$3,economics!$AK$2:$AK$167,economics!$AJ$2:$AJ$167,TRUE))+$CR26*_xlfn.NORM.DIST(BV$3,$CU26,0.3*$CU26,TRUE)+$CS26*_xlfn.NORM.DIST(BV$3,$CV26,0.3*$CV26,TRUE),$CW26*_xlfn.NORM.DIST(BV$3,'energy base (MECS)'!$F$11,0.3*'energy base (MECS)'!$F$11,TRUE))</f>
        <v/>
      </c>
      <c r="BW26" s="68">
        <f t="array" ref="BW26">IF($D26,SUMPRODUCT((economics!$AG$2:$AG$167=$B26)*(economics!$D$2:$D$167="whr")*economics!$AH$2:$AH$167*_xlfn.NORM.DIST(BW$3,economics!$AK$2:$AK$167,economics!$AJ$2:$AJ$167,TRUE))+$CR26*_xlfn.NORM.DIST(BW$3,$CU26,0.3*$CU26,TRUE)+$CS26*_xlfn.NORM.DIST(BW$3,$CV26,0.3*$CV26,TRUE),$CW26*_xlfn.NORM.DIST(BW$3,'energy base (MECS)'!$F$11,0.3*'energy base (MECS)'!$F$11,TRUE))</f>
        <v/>
      </c>
      <c r="BX26" s="68">
        <f t="array" ref="BX26">IF($D26,SUMPRODUCT((economics!$AG$2:$AG$167=$B26)*(economics!$D$2:$D$167="whr")*economics!$AH$2:$AH$167*_xlfn.NORM.DIST(BX$3,economics!$AK$2:$AK$167,economics!$AJ$2:$AJ$167,TRUE))+$CR26*_xlfn.NORM.DIST(BX$3,$CU26,0.3*$CU26,TRUE)+$CS26*_xlfn.NORM.DIST(BX$3,$CV26,0.3*$CV26,TRUE),$CW26*_xlfn.NORM.DIST(BX$3,'energy base (MECS)'!$F$11,0.3*'energy base (MECS)'!$F$11,TRUE))</f>
        <v/>
      </c>
      <c r="BY26" s="68">
        <f t="array" ref="BY26">IF($D26,SUMPRODUCT((economics!$AG$2:$AG$167=$B26)*(economics!$D$2:$D$167="whr")*economics!$AH$2:$AH$167*_xlfn.NORM.DIST(BY$3,economics!$AK$2:$AK$167,economics!$AJ$2:$AJ$167,TRUE))+$CR26*_xlfn.NORM.DIST(BY$3,$CU26,0.3*$CU26,TRUE)+$CS26*_xlfn.NORM.DIST(BY$3,$CV26,0.3*$CV26,TRUE),$CW26*_xlfn.NORM.DIST(BY$3,'energy base (MECS)'!$F$11,0.3*'energy base (MECS)'!$F$11,TRUE))</f>
        <v/>
      </c>
      <c r="BZ26" s="68">
        <f t="array" ref="BZ26">IF($D26,SUMPRODUCT((economics!$AG$2:$AG$167=$B26)*(economics!$D$2:$D$167="whr")*economics!$AH$2:$AH$167*_xlfn.NORM.DIST(BZ$3,economics!$AK$2:$AK$167,economics!$AJ$2:$AJ$167,TRUE))+$CR26*_xlfn.NORM.DIST(BZ$3,$CU26,0.3*$CU26,TRUE)+$CS26*_xlfn.NORM.DIST(BZ$3,$CV26,0.3*$CV26,TRUE),$CW26*_xlfn.NORM.DIST(BZ$3,'energy base (MECS)'!$F$11,0.3*'energy base (MECS)'!$F$11,TRUE))</f>
        <v/>
      </c>
      <c r="CA26" s="68">
        <f t="array" ref="CA26">IF($D26,SUMPRODUCT((economics!$AG$2:$AG$167=$B26)*(economics!$D$2:$D$167="whr")*economics!$AH$2:$AH$167*_xlfn.NORM.DIST(CA$3,economics!$AK$2:$AK$167,economics!$AJ$2:$AJ$167,TRUE))+$CR26*_xlfn.NORM.DIST(CA$3,$CU26,0.3*$CU26,TRUE)+$CS26*_xlfn.NORM.DIST(CA$3,$CV26,0.3*$CV26,TRUE),$CW26*_xlfn.NORM.DIST(CA$3,'energy base (MECS)'!$F$11,0.3*'energy base (MECS)'!$F$11,TRUE))</f>
        <v/>
      </c>
      <c r="CB26" s="68">
        <f t="array" ref="CB26">IF($D26,SUMPRODUCT((economics!$AG$2:$AG$167=$B26)*(economics!$D$2:$D$167="whr")*economics!$AH$2:$AH$167*_xlfn.NORM.DIST(CB$3,economics!$AK$2:$AK$167,economics!$AJ$2:$AJ$167,TRUE))+$CR26*_xlfn.NORM.DIST(CB$3,$CU26,0.3*$CU26,TRUE)+$CS26*_xlfn.NORM.DIST(CB$3,$CV26,0.3*$CV26,TRUE),$CW26*_xlfn.NORM.DIST(CB$3,'energy base (MECS)'!$F$11,0.3*'energy base (MECS)'!$F$11,TRUE))</f>
        <v/>
      </c>
      <c r="CC26" s="68">
        <f t="array" ref="CC26">IF($D26,SUMPRODUCT((economics!$AG$2:$AG$167=$B26)*(economics!$D$2:$D$167="whr")*economics!$AH$2:$AH$167*_xlfn.NORM.DIST(CC$3,economics!$AK$2:$AK$167,economics!$AJ$2:$AJ$167,TRUE))+$CR26*_xlfn.NORM.DIST(CC$3,$CU26,0.3*$CU26,TRUE)+$CS26*_xlfn.NORM.DIST(CC$3,$CV26,0.3*$CV26,TRUE),$CW26*_xlfn.NORM.DIST(CC$3,'energy base (MECS)'!$F$11,0.3*'energy base (MECS)'!$F$11,TRUE))</f>
        <v/>
      </c>
      <c r="CD26" s="68">
        <f t="array" ref="CD26">IF($D26,SUMPRODUCT((economics!$AG$2:$AG$167=$B26)*(economics!$D$2:$D$167="whr")*economics!$AH$2:$AH$167*_xlfn.NORM.DIST(CD$3,economics!$AK$2:$AK$167,economics!$AJ$2:$AJ$167,TRUE))+$CR26*_xlfn.NORM.DIST(CD$3,$CU26,0.3*$CU26,TRUE)+$CS26*_xlfn.NORM.DIST(CD$3,$CV26,0.3*$CV26,TRUE),$CW26*_xlfn.NORM.DIST(CD$3,'energy base (MECS)'!$F$11,0.3*'energy base (MECS)'!$F$11,TRUE))</f>
        <v/>
      </c>
      <c r="CE26" s="68">
        <f t="array" ref="CE26">IF($D26,SUMPRODUCT((economics!$AG$2:$AG$167=$B26)*(economics!$D$2:$D$167="whr")*economics!$AH$2:$AH$167*_xlfn.NORM.DIST(CE$3,economics!$AK$2:$AK$167,economics!$AJ$2:$AJ$167,TRUE))+$CR26*_xlfn.NORM.DIST(CE$3,$CU26,0.3*$CU26,TRUE)+$CS26*_xlfn.NORM.DIST(CE$3,$CV26,0.3*$CV26,TRUE),$CW26*_xlfn.NORM.DIST(CE$3,'energy base (MECS)'!$F$11,0.3*'energy base (MECS)'!$F$11,TRUE))</f>
        <v/>
      </c>
      <c r="CF26" s="68">
        <f t="array" ref="CF26">IF($D26,SUMPRODUCT((economics!$AG$2:$AG$167=$B26)*(economics!$D$2:$D$167="whr")*economics!$AH$2:$AH$167*_xlfn.NORM.DIST(CF$3,economics!$AK$2:$AK$167,economics!$AJ$2:$AJ$167,TRUE))+$CR26*_xlfn.NORM.DIST(CF$3,$CU26,0.3*$CU26,TRUE)+$CS26*_xlfn.NORM.DIST(CF$3,$CV26,0.3*$CV26,TRUE),$CW26*_xlfn.NORM.DIST(CF$3,'energy base (MECS)'!$F$11,0.3*'energy base (MECS)'!$F$11,TRUE))</f>
        <v/>
      </c>
      <c r="CG26" s="68">
        <f t="array" ref="CG26">IF($D26,SUMPRODUCT((economics!$AG$2:$AG$167=$B26)*(economics!$D$2:$D$167="whr")*economics!$AH$2:$AH$167*_xlfn.NORM.DIST(CG$3,economics!$AK$2:$AK$167,economics!$AJ$2:$AJ$167,TRUE))+$CR26*_xlfn.NORM.DIST(CG$3,$CU26,0.3*$CU26,TRUE)+$CS26*_xlfn.NORM.DIST(CG$3,$CV26,0.3*$CV26,TRUE),$CW26*_xlfn.NORM.DIST(CG$3,'energy base (MECS)'!$F$11,0.3*'energy base (MECS)'!$F$11,TRUE))</f>
        <v/>
      </c>
      <c r="CH26" s="68">
        <f t="array" ref="CH26">IF($D26,SUMPRODUCT((economics!$AG$2:$AG$167=$B26)*(economics!$D$2:$D$167="whr")*economics!$AH$2:$AH$167*_xlfn.NORM.DIST(CH$3,economics!$AK$2:$AK$167,economics!$AJ$2:$AJ$167,TRUE))+$CR26*_xlfn.NORM.DIST(CH$3,$CU26,0.3*$CU26,TRUE)+$CS26*_xlfn.NORM.DIST(CH$3,$CV26,0.3*$CV26,TRUE),$CW26*_xlfn.NORM.DIST(CH$3,'energy base (MECS)'!$F$11,0.3*'energy base (MECS)'!$F$11,TRUE))</f>
        <v/>
      </c>
      <c r="CJ26">
        <f t="array" ref="CJ26">SUMPRODUCT((economics!$AG$2:$AG$167=$B26)*(economics!$D$2:$D$167="whr")*economics!$AH$2:$AH$167)</f>
        <v/>
      </c>
      <c r="CK26" s="80">
        <f>'indst heat consumption'!D26</f>
        <v/>
      </c>
      <c r="CL26" s="80">
        <f>'indst heat consumption'!E26</f>
        <v/>
      </c>
      <c r="CM26" s="80">
        <f>'indst heat consumption'!F26</f>
        <v/>
      </c>
      <c r="CN26" s="80">
        <f>'indst heat consumption'!G26</f>
        <v/>
      </c>
      <c r="CO26" s="80">
        <f>'indst heat consumption'!H26</f>
        <v/>
      </c>
      <c r="CP26">
        <f>$C26*(CK26*summary!$B$94+CL26*summary!$C$94+CM26*summary!$D$94)</f>
        <v/>
      </c>
      <c r="CQ26">
        <f>$C26*(CN26*summary!$E$94+CO26*summary!$F$94)</f>
        <v/>
      </c>
      <c r="CR26">
        <f>IF(CP26+CQ26&gt;0,CP26*MAX(0,CP26+CQ26-CJ26)/(CP26+CQ26),0)</f>
        <v/>
      </c>
      <c r="CS26">
        <f>IF(CP26+CQ26&gt;0,CQ26*MAX(0,CP26+CQ26-CJ26)/(CP26+CQ26),0)</f>
        <v/>
      </c>
      <c r="CT26">
        <f>IFERROR(_xlfn.XLOOKUP($B26,'BCoISC-WACCbI'!$C$2:$C$26,'BCoISC-WACCbI'!$B$2:$B$26)+economics!$AE$4,0.1)</f>
        <v/>
      </c>
      <c r="CU26">
        <f>(summary!$C$7*(CT26/(1-(1+CT26)^-summary!$D$7))+summary!$C$7*summary!$E$7)/(summary!$F$7*3412/1000000)</f>
        <v/>
      </c>
      <c r="CV26">
        <f>(summary!$C$6*(CT26/(1-(1+CT26)^-summary!$D$6))+summary!$C$6*summary!$E$6)/(summary!$F$6*3412/1000000)</f>
        <v/>
      </c>
      <c r="CW26">
        <f>CR26+CS26</f>
        <v/>
      </c>
    </row>
    <row r="27">
      <c r="A27">
        <f>WHRPbI!A25</f>
        <v/>
      </c>
      <c r="B27" t="inlineStr">
        <is>
          <t>36T39</t>
        </is>
      </c>
      <c r="C27" s="68">
        <f>WHRPbI!B25</f>
        <v/>
      </c>
      <c r="D27">
        <f>ISNUMBER(MATCH($B27,'energy base (MECS)'!$K$4:$K$9,0))</f>
        <v/>
      </c>
      <c r="E27" s="68">
        <f t="array" ref="E27">IF($D27,SUMPRODUCT((economics!$AG$2:$AG$167=$B27)*(economics!$D$2:$D$167="whr")*economics!$AH$2:$AH$167*_xlfn.NORM.DIST(E$3,economics!$AK$2:$AK$167,economics!$AJ$2:$AJ$167,TRUE))+$CR27*_xlfn.NORM.DIST(E$3,$CU27,0.3*$CU27,TRUE)+$CS27*_xlfn.NORM.DIST(E$3,$CV27,0.3*$CV27,TRUE),$CW27*_xlfn.NORM.DIST(E$3,'energy base (MECS)'!$F$11,0.3*'energy base (MECS)'!$F$11,TRUE))</f>
        <v/>
      </c>
      <c r="F27" s="68">
        <f t="array" ref="F27">IF($D27,SUMPRODUCT((economics!$AG$2:$AG$167=$B27)*(economics!$D$2:$D$167="whr")*economics!$AH$2:$AH$167*_xlfn.NORM.DIST(F$3,economics!$AK$2:$AK$167,economics!$AJ$2:$AJ$167,TRUE))+$CR27*_xlfn.NORM.DIST(F$3,$CU27,0.3*$CU27,TRUE)+$CS27*_xlfn.NORM.DIST(F$3,$CV27,0.3*$CV27,TRUE),$CW27*_xlfn.NORM.DIST(F$3,'energy base (MECS)'!$F$11,0.3*'energy base (MECS)'!$F$11,TRUE))</f>
        <v/>
      </c>
      <c r="G27" s="68">
        <f t="array" ref="G27">IF($D27,SUMPRODUCT((economics!$AG$2:$AG$167=$B27)*(economics!$D$2:$D$167="whr")*economics!$AH$2:$AH$167*_xlfn.NORM.DIST(G$3,economics!$AK$2:$AK$167,economics!$AJ$2:$AJ$167,TRUE))+$CR27*_xlfn.NORM.DIST(G$3,$CU27,0.3*$CU27,TRUE)+$CS27*_xlfn.NORM.DIST(G$3,$CV27,0.3*$CV27,TRUE),$CW27*_xlfn.NORM.DIST(G$3,'energy base (MECS)'!$F$11,0.3*'energy base (MECS)'!$F$11,TRUE))</f>
        <v/>
      </c>
      <c r="H27" s="68">
        <f t="array" ref="H27">IF($D27,SUMPRODUCT((economics!$AG$2:$AG$167=$B27)*(economics!$D$2:$D$167="whr")*economics!$AH$2:$AH$167*_xlfn.NORM.DIST(H$3,economics!$AK$2:$AK$167,economics!$AJ$2:$AJ$167,TRUE))+$CR27*_xlfn.NORM.DIST(H$3,$CU27,0.3*$CU27,TRUE)+$CS27*_xlfn.NORM.DIST(H$3,$CV27,0.3*$CV27,TRUE),$CW27*_xlfn.NORM.DIST(H$3,'energy base (MECS)'!$F$11,0.3*'energy base (MECS)'!$F$11,TRUE))</f>
        <v/>
      </c>
      <c r="I27" s="68">
        <f t="array" ref="I27">IF($D27,SUMPRODUCT((economics!$AG$2:$AG$167=$B27)*(economics!$D$2:$D$167="whr")*economics!$AH$2:$AH$167*_xlfn.NORM.DIST(I$3,economics!$AK$2:$AK$167,economics!$AJ$2:$AJ$167,TRUE))+$CR27*_xlfn.NORM.DIST(I$3,$CU27,0.3*$CU27,TRUE)+$CS27*_xlfn.NORM.DIST(I$3,$CV27,0.3*$CV27,TRUE),$CW27*_xlfn.NORM.DIST(I$3,'energy base (MECS)'!$F$11,0.3*'energy base (MECS)'!$F$11,TRUE))</f>
        <v/>
      </c>
      <c r="J27" s="68">
        <f t="array" ref="J27">IF($D27,SUMPRODUCT((economics!$AG$2:$AG$167=$B27)*(economics!$D$2:$D$167="whr")*economics!$AH$2:$AH$167*_xlfn.NORM.DIST(J$3,economics!$AK$2:$AK$167,economics!$AJ$2:$AJ$167,TRUE))+$CR27*_xlfn.NORM.DIST(J$3,$CU27,0.3*$CU27,TRUE)+$CS27*_xlfn.NORM.DIST(J$3,$CV27,0.3*$CV27,TRUE),$CW27*_xlfn.NORM.DIST(J$3,'energy base (MECS)'!$F$11,0.3*'energy base (MECS)'!$F$11,TRUE))</f>
        <v/>
      </c>
      <c r="K27" s="68">
        <f t="array" ref="K27">IF($D27,SUMPRODUCT((economics!$AG$2:$AG$167=$B27)*(economics!$D$2:$D$167="whr")*economics!$AH$2:$AH$167*_xlfn.NORM.DIST(K$3,economics!$AK$2:$AK$167,economics!$AJ$2:$AJ$167,TRUE))+$CR27*_xlfn.NORM.DIST(K$3,$CU27,0.3*$CU27,TRUE)+$CS27*_xlfn.NORM.DIST(K$3,$CV27,0.3*$CV27,TRUE),$CW27*_xlfn.NORM.DIST(K$3,'energy base (MECS)'!$F$11,0.3*'energy base (MECS)'!$F$11,TRUE))</f>
        <v/>
      </c>
      <c r="L27" s="68">
        <f t="array" ref="L27">IF($D27,SUMPRODUCT((economics!$AG$2:$AG$167=$B27)*(economics!$D$2:$D$167="whr")*economics!$AH$2:$AH$167*_xlfn.NORM.DIST(L$3,economics!$AK$2:$AK$167,economics!$AJ$2:$AJ$167,TRUE))+$CR27*_xlfn.NORM.DIST(L$3,$CU27,0.3*$CU27,TRUE)+$CS27*_xlfn.NORM.DIST(L$3,$CV27,0.3*$CV27,TRUE),$CW27*_xlfn.NORM.DIST(L$3,'energy base (MECS)'!$F$11,0.3*'energy base (MECS)'!$F$11,TRUE))</f>
        <v/>
      </c>
      <c r="M27" s="68">
        <f t="array" ref="M27">IF($D27,SUMPRODUCT((economics!$AG$2:$AG$167=$B27)*(economics!$D$2:$D$167="whr")*economics!$AH$2:$AH$167*_xlfn.NORM.DIST(M$3,economics!$AK$2:$AK$167,economics!$AJ$2:$AJ$167,TRUE))+$CR27*_xlfn.NORM.DIST(M$3,$CU27,0.3*$CU27,TRUE)+$CS27*_xlfn.NORM.DIST(M$3,$CV27,0.3*$CV27,TRUE),$CW27*_xlfn.NORM.DIST(M$3,'energy base (MECS)'!$F$11,0.3*'energy base (MECS)'!$F$11,TRUE))</f>
        <v/>
      </c>
      <c r="N27" s="68">
        <f t="array" ref="N27">IF($D27,SUMPRODUCT((economics!$AG$2:$AG$167=$B27)*(economics!$D$2:$D$167="whr")*economics!$AH$2:$AH$167*_xlfn.NORM.DIST(N$3,economics!$AK$2:$AK$167,economics!$AJ$2:$AJ$167,TRUE))+$CR27*_xlfn.NORM.DIST(N$3,$CU27,0.3*$CU27,TRUE)+$CS27*_xlfn.NORM.DIST(N$3,$CV27,0.3*$CV27,TRUE),$CW27*_xlfn.NORM.DIST(N$3,'energy base (MECS)'!$F$11,0.3*'energy base (MECS)'!$F$11,TRUE))</f>
        <v/>
      </c>
      <c r="O27" s="68">
        <f t="array" ref="O27">IF($D27,SUMPRODUCT((economics!$AG$2:$AG$167=$B27)*(economics!$D$2:$D$167="whr")*economics!$AH$2:$AH$167*_xlfn.NORM.DIST(O$3,economics!$AK$2:$AK$167,economics!$AJ$2:$AJ$167,TRUE))+$CR27*_xlfn.NORM.DIST(O$3,$CU27,0.3*$CU27,TRUE)+$CS27*_xlfn.NORM.DIST(O$3,$CV27,0.3*$CV27,TRUE),$CW27*_xlfn.NORM.DIST(O$3,'energy base (MECS)'!$F$11,0.3*'energy base (MECS)'!$F$11,TRUE))</f>
        <v/>
      </c>
      <c r="P27" s="68">
        <f t="array" ref="P27">IF($D27,SUMPRODUCT((economics!$AG$2:$AG$167=$B27)*(economics!$D$2:$D$167="whr")*economics!$AH$2:$AH$167*_xlfn.NORM.DIST(P$3,economics!$AK$2:$AK$167,economics!$AJ$2:$AJ$167,TRUE))+$CR27*_xlfn.NORM.DIST(P$3,$CU27,0.3*$CU27,TRUE)+$CS27*_xlfn.NORM.DIST(P$3,$CV27,0.3*$CV27,TRUE),$CW27*_xlfn.NORM.DIST(P$3,'energy base (MECS)'!$F$11,0.3*'energy base (MECS)'!$F$11,TRUE))</f>
        <v/>
      </c>
      <c r="Q27" s="68">
        <f t="array" ref="Q27">IF($D27,SUMPRODUCT((economics!$AG$2:$AG$167=$B27)*(economics!$D$2:$D$167="whr")*economics!$AH$2:$AH$167*_xlfn.NORM.DIST(Q$3,economics!$AK$2:$AK$167,economics!$AJ$2:$AJ$167,TRUE))+$CR27*_xlfn.NORM.DIST(Q$3,$CU27,0.3*$CU27,TRUE)+$CS27*_xlfn.NORM.DIST(Q$3,$CV27,0.3*$CV27,TRUE),$CW27*_xlfn.NORM.DIST(Q$3,'energy base (MECS)'!$F$11,0.3*'energy base (MECS)'!$F$11,TRUE))</f>
        <v/>
      </c>
      <c r="R27" s="68">
        <f t="array" ref="R27">IF($D27,SUMPRODUCT((economics!$AG$2:$AG$167=$B27)*(economics!$D$2:$D$167="whr")*economics!$AH$2:$AH$167*_xlfn.NORM.DIST(R$3,economics!$AK$2:$AK$167,economics!$AJ$2:$AJ$167,TRUE))+$CR27*_xlfn.NORM.DIST(R$3,$CU27,0.3*$CU27,TRUE)+$CS27*_xlfn.NORM.DIST(R$3,$CV27,0.3*$CV27,TRUE),$CW27*_xlfn.NORM.DIST(R$3,'energy base (MECS)'!$F$11,0.3*'energy base (MECS)'!$F$11,TRUE))</f>
        <v/>
      </c>
      <c r="S27" s="68">
        <f t="array" ref="S27">IF($D27,SUMPRODUCT((economics!$AG$2:$AG$167=$B27)*(economics!$D$2:$D$167="whr")*economics!$AH$2:$AH$167*_xlfn.NORM.DIST(S$3,economics!$AK$2:$AK$167,economics!$AJ$2:$AJ$167,TRUE))+$CR27*_xlfn.NORM.DIST(S$3,$CU27,0.3*$CU27,TRUE)+$CS27*_xlfn.NORM.DIST(S$3,$CV27,0.3*$CV27,TRUE),$CW27*_xlfn.NORM.DIST(S$3,'energy base (MECS)'!$F$11,0.3*'energy base (MECS)'!$F$11,TRUE))</f>
        <v/>
      </c>
      <c r="T27" s="68">
        <f t="array" ref="T27">IF($D27,SUMPRODUCT((economics!$AG$2:$AG$167=$B27)*(economics!$D$2:$D$167="whr")*economics!$AH$2:$AH$167*_xlfn.NORM.DIST(T$3,economics!$AK$2:$AK$167,economics!$AJ$2:$AJ$167,TRUE))+$CR27*_xlfn.NORM.DIST(T$3,$CU27,0.3*$CU27,TRUE)+$CS27*_xlfn.NORM.DIST(T$3,$CV27,0.3*$CV27,TRUE),$CW27*_xlfn.NORM.DIST(T$3,'energy base (MECS)'!$F$11,0.3*'energy base (MECS)'!$F$11,TRUE))</f>
        <v/>
      </c>
      <c r="U27" s="68">
        <f t="array" ref="U27">IF($D27,SUMPRODUCT((economics!$AG$2:$AG$167=$B27)*(economics!$D$2:$D$167="whr")*economics!$AH$2:$AH$167*_xlfn.NORM.DIST(U$3,economics!$AK$2:$AK$167,economics!$AJ$2:$AJ$167,TRUE))+$CR27*_xlfn.NORM.DIST(U$3,$CU27,0.3*$CU27,TRUE)+$CS27*_xlfn.NORM.DIST(U$3,$CV27,0.3*$CV27,TRUE),$CW27*_xlfn.NORM.DIST(U$3,'energy base (MECS)'!$F$11,0.3*'energy base (MECS)'!$F$11,TRUE))</f>
        <v/>
      </c>
      <c r="V27" s="68">
        <f t="array" ref="V27">IF($D27,SUMPRODUCT((economics!$AG$2:$AG$167=$B27)*(economics!$D$2:$D$167="whr")*economics!$AH$2:$AH$167*_xlfn.NORM.DIST(V$3,economics!$AK$2:$AK$167,economics!$AJ$2:$AJ$167,TRUE))+$CR27*_xlfn.NORM.DIST(V$3,$CU27,0.3*$CU27,TRUE)+$CS27*_xlfn.NORM.DIST(V$3,$CV27,0.3*$CV27,TRUE),$CW27*_xlfn.NORM.DIST(V$3,'energy base (MECS)'!$F$11,0.3*'energy base (MECS)'!$F$11,TRUE))</f>
        <v/>
      </c>
      <c r="W27" s="68">
        <f t="array" ref="W27">IF($D27,SUMPRODUCT((economics!$AG$2:$AG$167=$B27)*(economics!$D$2:$D$167="whr")*economics!$AH$2:$AH$167*_xlfn.NORM.DIST(W$3,economics!$AK$2:$AK$167,economics!$AJ$2:$AJ$167,TRUE))+$CR27*_xlfn.NORM.DIST(W$3,$CU27,0.3*$CU27,TRUE)+$CS27*_xlfn.NORM.DIST(W$3,$CV27,0.3*$CV27,TRUE),$CW27*_xlfn.NORM.DIST(W$3,'energy base (MECS)'!$F$11,0.3*'energy base (MECS)'!$F$11,TRUE))</f>
        <v/>
      </c>
      <c r="X27" s="68">
        <f t="array" ref="X27">IF($D27,SUMPRODUCT((economics!$AG$2:$AG$167=$B27)*(economics!$D$2:$D$167="whr")*economics!$AH$2:$AH$167*_xlfn.NORM.DIST(X$3,economics!$AK$2:$AK$167,economics!$AJ$2:$AJ$167,TRUE))+$CR27*_xlfn.NORM.DIST(X$3,$CU27,0.3*$CU27,TRUE)+$CS27*_xlfn.NORM.DIST(X$3,$CV27,0.3*$CV27,TRUE),$CW27*_xlfn.NORM.DIST(X$3,'energy base (MECS)'!$F$11,0.3*'energy base (MECS)'!$F$11,TRUE))</f>
        <v/>
      </c>
      <c r="Y27" s="68">
        <f t="array" ref="Y27">IF($D27,SUMPRODUCT((economics!$AG$2:$AG$167=$B27)*(economics!$D$2:$D$167="whr")*economics!$AH$2:$AH$167*_xlfn.NORM.DIST(Y$3,economics!$AK$2:$AK$167,economics!$AJ$2:$AJ$167,TRUE))+$CR27*_xlfn.NORM.DIST(Y$3,$CU27,0.3*$CU27,TRUE)+$CS27*_xlfn.NORM.DIST(Y$3,$CV27,0.3*$CV27,TRUE),$CW27*_xlfn.NORM.DIST(Y$3,'energy base (MECS)'!$F$11,0.3*'energy base (MECS)'!$F$11,TRUE))</f>
        <v/>
      </c>
      <c r="Z27" s="68">
        <f t="array" ref="Z27">IF($D27,SUMPRODUCT((economics!$AG$2:$AG$167=$B27)*(economics!$D$2:$D$167="whr")*economics!$AH$2:$AH$167*_xlfn.NORM.DIST(Z$3,economics!$AK$2:$AK$167,economics!$AJ$2:$AJ$167,TRUE))+$CR27*_xlfn.NORM.DIST(Z$3,$CU27,0.3*$CU27,TRUE)+$CS27*_xlfn.NORM.DIST(Z$3,$CV27,0.3*$CV27,TRUE),$CW27*_xlfn.NORM.DIST(Z$3,'energy base (MECS)'!$F$11,0.3*'energy base (MECS)'!$F$11,TRUE))</f>
        <v/>
      </c>
      <c r="AA27" s="68">
        <f t="array" ref="AA27">IF($D27,SUMPRODUCT((economics!$AG$2:$AG$167=$B27)*(economics!$D$2:$D$167="whr")*economics!$AH$2:$AH$167*_xlfn.NORM.DIST(AA$3,economics!$AK$2:$AK$167,economics!$AJ$2:$AJ$167,TRUE))+$CR27*_xlfn.NORM.DIST(AA$3,$CU27,0.3*$CU27,TRUE)+$CS27*_xlfn.NORM.DIST(AA$3,$CV27,0.3*$CV27,TRUE),$CW27*_xlfn.NORM.DIST(AA$3,'energy base (MECS)'!$F$11,0.3*'energy base (MECS)'!$F$11,TRUE))</f>
        <v/>
      </c>
      <c r="AB27" s="68">
        <f t="array" ref="AB27">IF($D27,SUMPRODUCT((economics!$AG$2:$AG$167=$B27)*(economics!$D$2:$D$167="whr")*economics!$AH$2:$AH$167*_xlfn.NORM.DIST(AB$3,economics!$AK$2:$AK$167,economics!$AJ$2:$AJ$167,TRUE))+$CR27*_xlfn.NORM.DIST(AB$3,$CU27,0.3*$CU27,TRUE)+$CS27*_xlfn.NORM.DIST(AB$3,$CV27,0.3*$CV27,TRUE),$CW27*_xlfn.NORM.DIST(AB$3,'energy base (MECS)'!$F$11,0.3*'energy base (MECS)'!$F$11,TRUE))</f>
        <v/>
      </c>
      <c r="AC27" s="68">
        <f t="array" ref="AC27">IF($D27,SUMPRODUCT((economics!$AG$2:$AG$167=$B27)*(economics!$D$2:$D$167="whr")*economics!$AH$2:$AH$167*_xlfn.NORM.DIST(AC$3,economics!$AK$2:$AK$167,economics!$AJ$2:$AJ$167,TRUE))+$CR27*_xlfn.NORM.DIST(AC$3,$CU27,0.3*$CU27,TRUE)+$CS27*_xlfn.NORM.DIST(AC$3,$CV27,0.3*$CV27,TRUE),$CW27*_xlfn.NORM.DIST(AC$3,'energy base (MECS)'!$F$11,0.3*'energy base (MECS)'!$F$11,TRUE))</f>
        <v/>
      </c>
      <c r="AD27" s="68">
        <f t="array" ref="AD27">IF($D27,SUMPRODUCT((economics!$AG$2:$AG$167=$B27)*(economics!$D$2:$D$167="whr")*economics!$AH$2:$AH$167*_xlfn.NORM.DIST(AD$3,economics!$AK$2:$AK$167,economics!$AJ$2:$AJ$167,TRUE))+$CR27*_xlfn.NORM.DIST(AD$3,$CU27,0.3*$CU27,TRUE)+$CS27*_xlfn.NORM.DIST(AD$3,$CV27,0.3*$CV27,TRUE),$CW27*_xlfn.NORM.DIST(AD$3,'energy base (MECS)'!$F$11,0.3*'energy base (MECS)'!$F$11,TRUE))</f>
        <v/>
      </c>
      <c r="AE27" s="68">
        <f t="array" ref="AE27">IF($D27,SUMPRODUCT((economics!$AG$2:$AG$167=$B27)*(economics!$D$2:$D$167="whr")*economics!$AH$2:$AH$167*_xlfn.NORM.DIST(AE$3,economics!$AK$2:$AK$167,economics!$AJ$2:$AJ$167,TRUE))+$CR27*_xlfn.NORM.DIST(AE$3,$CU27,0.3*$CU27,TRUE)+$CS27*_xlfn.NORM.DIST(AE$3,$CV27,0.3*$CV27,TRUE),$CW27*_xlfn.NORM.DIST(AE$3,'energy base (MECS)'!$F$11,0.3*'energy base (MECS)'!$F$11,TRUE))</f>
        <v/>
      </c>
      <c r="AF27" s="68">
        <f t="array" ref="AF27">IF($D27,SUMPRODUCT((economics!$AG$2:$AG$167=$B27)*(economics!$D$2:$D$167="whr")*economics!$AH$2:$AH$167*_xlfn.NORM.DIST(AF$3,economics!$AK$2:$AK$167,economics!$AJ$2:$AJ$167,TRUE))+$CR27*_xlfn.NORM.DIST(AF$3,$CU27,0.3*$CU27,TRUE)+$CS27*_xlfn.NORM.DIST(AF$3,$CV27,0.3*$CV27,TRUE),$CW27*_xlfn.NORM.DIST(AF$3,'energy base (MECS)'!$F$11,0.3*'energy base (MECS)'!$F$11,TRUE))</f>
        <v/>
      </c>
      <c r="AG27" s="68">
        <f t="array" ref="AG27">IF($D27,SUMPRODUCT((economics!$AG$2:$AG$167=$B27)*(economics!$D$2:$D$167="whr")*economics!$AH$2:$AH$167*_xlfn.NORM.DIST(AG$3,economics!$AK$2:$AK$167,economics!$AJ$2:$AJ$167,TRUE))+$CR27*_xlfn.NORM.DIST(AG$3,$CU27,0.3*$CU27,TRUE)+$CS27*_xlfn.NORM.DIST(AG$3,$CV27,0.3*$CV27,TRUE),$CW27*_xlfn.NORM.DIST(AG$3,'energy base (MECS)'!$F$11,0.3*'energy base (MECS)'!$F$11,TRUE))</f>
        <v/>
      </c>
      <c r="AH27" s="68">
        <f t="array" ref="AH27">IF($D27,SUMPRODUCT((economics!$AG$2:$AG$167=$B27)*(economics!$D$2:$D$167="whr")*economics!$AH$2:$AH$167*_xlfn.NORM.DIST(AH$3,economics!$AK$2:$AK$167,economics!$AJ$2:$AJ$167,TRUE))+$CR27*_xlfn.NORM.DIST(AH$3,$CU27,0.3*$CU27,TRUE)+$CS27*_xlfn.NORM.DIST(AH$3,$CV27,0.3*$CV27,TRUE),$CW27*_xlfn.NORM.DIST(AH$3,'energy base (MECS)'!$F$11,0.3*'energy base (MECS)'!$F$11,TRUE))</f>
        <v/>
      </c>
      <c r="AI27" s="68">
        <f t="array" ref="AI27">IF($D27,SUMPRODUCT((economics!$AG$2:$AG$167=$B27)*(economics!$D$2:$D$167="whr")*economics!$AH$2:$AH$167*_xlfn.NORM.DIST(AI$3,economics!$AK$2:$AK$167,economics!$AJ$2:$AJ$167,TRUE))+$CR27*_xlfn.NORM.DIST(AI$3,$CU27,0.3*$CU27,TRUE)+$CS27*_xlfn.NORM.DIST(AI$3,$CV27,0.3*$CV27,TRUE),$CW27*_xlfn.NORM.DIST(AI$3,'energy base (MECS)'!$F$11,0.3*'energy base (MECS)'!$F$11,TRUE))</f>
        <v/>
      </c>
      <c r="AJ27" s="68">
        <f t="array" ref="AJ27">IF($D27,SUMPRODUCT((economics!$AG$2:$AG$167=$B27)*(economics!$D$2:$D$167="whr")*economics!$AH$2:$AH$167*_xlfn.NORM.DIST(AJ$3,economics!$AK$2:$AK$167,economics!$AJ$2:$AJ$167,TRUE))+$CR27*_xlfn.NORM.DIST(AJ$3,$CU27,0.3*$CU27,TRUE)+$CS27*_xlfn.NORM.DIST(AJ$3,$CV27,0.3*$CV27,TRUE),$CW27*_xlfn.NORM.DIST(AJ$3,'energy base (MECS)'!$F$11,0.3*'energy base (MECS)'!$F$11,TRUE))</f>
        <v/>
      </c>
      <c r="AK27" s="68">
        <f t="array" ref="AK27">IF($D27,SUMPRODUCT((economics!$AG$2:$AG$167=$B27)*(economics!$D$2:$D$167="whr")*economics!$AH$2:$AH$167*_xlfn.NORM.DIST(AK$3,economics!$AK$2:$AK$167,economics!$AJ$2:$AJ$167,TRUE))+$CR27*_xlfn.NORM.DIST(AK$3,$CU27,0.3*$CU27,TRUE)+$CS27*_xlfn.NORM.DIST(AK$3,$CV27,0.3*$CV27,TRUE),$CW27*_xlfn.NORM.DIST(AK$3,'energy base (MECS)'!$F$11,0.3*'energy base (MECS)'!$F$11,TRUE))</f>
        <v/>
      </c>
      <c r="AL27" s="68">
        <f t="array" ref="AL27">IF($D27,SUMPRODUCT((economics!$AG$2:$AG$167=$B27)*(economics!$D$2:$D$167="whr")*economics!$AH$2:$AH$167*_xlfn.NORM.DIST(AL$3,economics!$AK$2:$AK$167,economics!$AJ$2:$AJ$167,TRUE))+$CR27*_xlfn.NORM.DIST(AL$3,$CU27,0.3*$CU27,TRUE)+$CS27*_xlfn.NORM.DIST(AL$3,$CV27,0.3*$CV27,TRUE),$CW27*_xlfn.NORM.DIST(AL$3,'energy base (MECS)'!$F$11,0.3*'energy base (MECS)'!$F$11,TRUE))</f>
        <v/>
      </c>
      <c r="AM27" s="68">
        <f t="array" ref="AM27">IF($D27,SUMPRODUCT((economics!$AG$2:$AG$167=$B27)*(economics!$D$2:$D$167="whr")*economics!$AH$2:$AH$167*_xlfn.NORM.DIST(AM$3,economics!$AK$2:$AK$167,economics!$AJ$2:$AJ$167,TRUE))+$CR27*_xlfn.NORM.DIST(AM$3,$CU27,0.3*$CU27,TRUE)+$CS27*_xlfn.NORM.DIST(AM$3,$CV27,0.3*$CV27,TRUE),$CW27*_xlfn.NORM.DIST(AM$3,'energy base (MECS)'!$F$11,0.3*'energy base (MECS)'!$F$11,TRUE))</f>
        <v/>
      </c>
      <c r="AN27" s="68">
        <f t="array" ref="AN27">IF($D27,SUMPRODUCT((economics!$AG$2:$AG$167=$B27)*(economics!$D$2:$D$167="whr")*economics!$AH$2:$AH$167*_xlfn.NORM.DIST(AN$3,economics!$AK$2:$AK$167,economics!$AJ$2:$AJ$167,TRUE))+$CR27*_xlfn.NORM.DIST(AN$3,$CU27,0.3*$CU27,TRUE)+$CS27*_xlfn.NORM.DIST(AN$3,$CV27,0.3*$CV27,TRUE),$CW27*_xlfn.NORM.DIST(AN$3,'energy base (MECS)'!$F$11,0.3*'energy base (MECS)'!$F$11,TRUE))</f>
        <v/>
      </c>
      <c r="AO27" s="68">
        <f t="array" ref="AO27">IF($D27,SUMPRODUCT((economics!$AG$2:$AG$167=$B27)*(economics!$D$2:$D$167="whr")*economics!$AH$2:$AH$167*_xlfn.NORM.DIST(AO$3,economics!$AK$2:$AK$167,economics!$AJ$2:$AJ$167,TRUE))+$CR27*_xlfn.NORM.DIST(AO$3,$CU27,0.3*$CU27,TRUE)+$CS27*_xlfn.NORM.DIST(AO$3,$CV27,0.3*$CV27,TRUE),$CW27*_xlfn.NORM.DIST(AO$3,'energy base (MECS)'!$F$11,0.3*'energy base (MECS)'!$F$11,TRUE))</f>
        <v/>
      </c>
      <c r="AP27" s="68">
        <f t="array" ref="AP27">IF($D27,SUMPRODUCT((economics!$AG$2:$AG$167=$B27)*(economics!$D$2:$D$167="whr")*economics!$AH$2:$AH$167*_xlfn.NORM.DIST(AP$3,economics!$AK$2:$AK$167,economics!$AJ$2:$AJ$167,TRUE))+$CR27*_xlfn.NORM.DIST(AP$3,$CU27,0.3*$CU27,TRUE)+$CS27*_xlfn.NORM.DIST(AP$3,$CV27,0.3*$CV27,TRUE),$CW27*_xlfn.NORM.DIST(AP$3,'energy base (MECS)'!$F$11,0.3*'energy base (MECS)'!$F$11,TRUE))</f>
        <v/>
      </c>
      <c r="AQ27" s="68">
        <f t="array" ref="AQ27">IF($D27,SUMPRODUCT((economics!$AG$2:$AG$167=$B27)*(economics!$D$2:$D$167="whr")*economics!$AH$2:$AH$167*_xlfn.NORM.DIST(AQ$3,economics!$AK$2:$AK$167,economics!$AJ$2:$AJ$167,TRUE))+$CR27*_xlfn.NORM.DIST(AQ$3,$CU27,0.3*$CU27,TRUE)+$CS27*_xlfn.NORM.DIST(AQ$3,$CV27,0.3*$CV27,TRUE),$CW27*_xlfn.NORM.DIST(AQ$3,'energy base (MECS)'!$F$11,0.3*'energy base (MECS)'!$F$11,TRUE))</f>
        <v/>
      </c>
      <c r="AR27" s="68">
        <f t="array" ref="AR27">IF($D27,SUMPRODUCT((economics!$AG$2:$AG$167=$B27)*(economics!$D$2:$D$167="whr")*economics!$AH$2:$AH$167*_xlfn.NORM.DIST(AR$3,economics!$AK$2:$AK$167,economics!$AJ$2:$AJ$167,TRUE))+$CR27*_xlfn.NORM.DIST(AR$3,$CU27,0.3*$CU27,TRUE)+$CS27*_xlfn.NORM.DIST(AR$3,$CV27,0.3*$CV27,TRUE),$CW27*_xlfn.NORM.DIST(AR$3,'energy base (MECS)'!$F$11,0.3*'energy base (MECS)'!$F$11,TRUE))</f>
        <v/>
      </c>
      <c r="AS27" s="68">
        <f t="array" ref="AS27">IF($D27,SUMPRODUCT((economics!$AG$2:$AG$167=$B27)*(economics!$D$2:$D$167="whr")*economics!$AH$2:$AH$167*_xlfn.NORM.DIST(AS$3,economics!$AK$2:$AK$167,economics!$AJ$2:$AJ$167,TRUE))+$CR27*_xlfn.NORM.DIST(AS$3,$CU27,0.3*$CU27,TRUE)+$CS27*_xlfn.NORM.DIST(AS$3,$CV27,0.3*$CV27,TRUE),$CW27*_xlfn.NORM.DIST(AS$3,'energy base (MECS)'!$F$11,0.3*'energy base (MECS)'!$F$11,TRUE))</f>
        <v/>
      </c>
      <c r="AT27" s="68">
        <f t="array" ref="AT27">IF($D27,SUMPRODUCT((economics!$AG$2:$AG$167=$B27)*(economics!$D$2:$D$167="whr")*economics!$AH$2:$AH$167*_xlfn.NORM.DIST(AT$3,economics!$AK$2:$AK$167,economics!$AJ$2:$AJ$167,TRUE))+$CR27*_xlfn.NORM.DIST(AT$3,$CU27,0.3*$CU27,TRUE)+$CS27*_xlfn.NORM.DIST(AT$3,$CV27,0.3*$CV27,TRUE),$CW27*_xlfn.NORM.DIST(AT$3,'energy base (MECS)'!$F$11,0.3*'energy base (MECS)'!$F$11,TRUE))</f>
        <v/>
      </c>
      <c r="AU27" s="68">
        <f t="array" ref="AU27">IF($D27,SUMPRODUCT((economics!$AG$2:$AG$167=$B27)*(economics!$D$2:$D$167="whr")*economics!$AH$2:$AH$167*_xlfn.NORM.DIST(AU$3,economics!$AK$2:$AK$167,economics!$AJ$2:$AJ$167,TRUE))+$CR27*_xlfn.NORM.DIST(AU$3,$CU27,0.3*$CU27,TRUE)+$CS27*_xlfn.NORM.DIST(AU$3,$CV27,0.3*$CV27,TRUE),$CW27*_xlfn.NORM.DIST(AU$3,'energy base (MECS)'!$F$11,0.3*'energy base (MECS)'!$F$11,TRUE))</f>
        <v/>
      </c>
      <c r="AV27" s="68">
        <f t="array" ref="AV27">IF($D27,SUMPRODUCT((economics!$AG$2:$AG$167=$B27)*(economics!$D$2:$D$167="whr")*economics!$AH$2:$AH$167*_xlfn.NORM.DIST(AV$3,economics!$AK$2:$AK$167,economics!$AJ$2:$AJ$167,TRUE))+$CR27*_xlfn.NORM.DIST(AV$3,$CU27,0.3*$CU27,TRUE)+$CS27*_xlfn.NORM.DIST(AV$3,$CV27,0.3*$CV27,TRUE),$CW27*_xlfn.NORM.DIST(AV$3,'energy base (MECS)'!$F$11,0.3*'energy base (MECS)'!$F$11,TRUE))</f>
        <v/>
      </c>
      <c r="AW27" s="68">
        <f t="array" ref="AW27">IF($D27,SUMPRODUCT((economics!$AG$2:$AG$167=$B27)*(economics!$D$2:$D$167="whr")*economics!$AH$2:$AH$167*_xlfn.NORM.DIST(AW$3,economics!$AK$2:$AK$167,economics!$AJ$2:$AJ$167,TRUE))+$CR27*_xlfn.NORM.DIST(AW$3,$CU27,0.3*$CU27,TRUE)+$CS27*_xlfn.NORM.DIST(AW$3,$CV27,0.3*$CV27,TRUE),$CW27*_xlfn.NORM.DIST(AW$3,'energy base (MECS)'!$F$11,0.3*'energy base (MECS)'!$F$11,TRUE))</f>
        <v/>
      </c>
      <c r="AX27" s="68">
        <f t="array" ref="AX27">IF($D27,SUMPRODUCT((economics!$AG$2:$AG$167=$B27)*(economics!$D$2:$D$167="whr")*economics!$AH$2:$AH$167*_xlfn.NORM.DIST(AX$3,economics!$AK$2:$AK$167,economics!$AJ$2:$AJ$167,TRUE))+$CR27*_xlfn.NORM.DIST(AX$3,$CU27,0.3*$CU27,TRUE)+$CS27*_xlfn.NORM.DIST(AX$3,$CV27,0.3*$CV27,TRUE),$CW27*_xlfn.NORM.DIST(AX$3,'energy base (MECS)'!$F$11,0.3*'energy base (MECS)'!$F$11,TRUE))</f>
        <v/>
      </c>
      <c r="AY27" s="68">
        <f t="array" ref="AY27">IF($D27,SUMPRODUCT((economics!$AG$2:$AG$167=$B27)*(economics!$D$2:$D$167="whr")*economics!$AH$2:$AH$167*_xlfn.NORM.DIST(AY$3,economics!$AK$2:$AK$167,economics!$AJ$2:$AJ$167,TRUE))+$CR27*_xlfn.NORM.DIST(AY$3,$CU27,0.3*$CU27,TRUE)+$CS27*_xlfn.NORM.DIST(AY$3,$CV27,0.3*$CV27,TRUE),$CW27*_xlfn.NORM.DIST(AY$3,'energy base (MECS)'!$F$11,0.3*'energy base (MECS)'!$F$11,TRUE))</f>
        <v/>
      </c>
      <c r="AZ27" s="68">
        <f t="array" ref="AZ27">IF($D27,SUMPRODUCT((economics!$AG$2:$AG$167=$B27)*(economics!$D$2:$D$167="whr")*economics!$AH$2:$AH$167*_xlfn.NORM.DIST(AZ$3,economics!$AK$2:$AK$167,economics!$AJ$2:$AJ$167,TRUE))+$CR27*_xlfn.NORM.DIST(AZ$3,$CU27,0.3*$CU27,TRUE)+$CS27*_xlfn.NORM.DIST(AZ$3,$CV27,0.3*$CV27,TRUE),$CW27*_xlfn.NORM.DIST(AZ$3,'energy base (MECS)'!$F$11,0.3*'energy base (MECS)'!$F$11,TRUE))</f>
        <v/>
      </c>
      <c r="BA27" s="68">
        <f t="array" ref="BA27">IF($D27,SUMPRODUCT((economics!$AG$2:$AG$167=$B27)*(economics!$D$2:$D$167="whr")*economics!$AH$2:$AH$167*_xlfn.NORM.DIST(BA$3,economics!$AK$2:$AK$167,economics!$AJ$2:$AJ$167,TRUE))+$CR27*_xlfn.NORM.DIST(BA$3,$CU27,0.3*$CU27,TRUE)+$CS27*_xlfn.NORM.DIST(BA$3,$CV27,0.3*$CV27,TRUE),$CW27*_xlfn.NORM.DIST(BA$3,'energy base (MECS)'!$F$11,0.3*'energy base (MECS)'!$F$11,TRUE))</f>
        <v/>
      </c>
      <c r="BB27" s="68">
        <f t="array" ref="BB27">IF($D27,SUMPRODUCT((economics!$AG$2:$AG$167=$B27)*(economics!$D$2:$D$167="whr")*economics!$AH$2:$AH$167*_xlfn.NORM.DIST(BB$3,economics!$AK$2:$AK$167,economics!$AJ$2:$AJ$167,TRUE))+$CR27*_xlfn.NORM.DIST(BB$3,$CU27,0.3*$CU27,TRUE)+$CS27*_xlfn.NORM.DIST(BB$3,$CV27,0.3*$CV27,TRUE),$CW27*_xlfn.NORM.DIST(BB$3,'energy base (MECS)'!$F$11,0.3*'energy base (MECS)'!$F$11,TRUE))</f>
        <v/>
      </c>
      <c r="BC27" s="68">
        <f t="array" ref="BC27">IF($D27,SUMPRODUCT((economics!$AG$2:$AG$167=$B27)*(economics!$D$2:$D$167="whr")*economics!$AH$2:$AH$167*_xlfn.NORM.DIST(BC$3,economics!$AK$2:$AK$167,economics!$AJ$2:$AJ$167,TRUE))+$CR27*_xlfn.NORM.DIST(BC$3,$CU27,0.3*$CU27,TRUE)+$CS27*_xlfn.NORM.DIST(BC$3,$CV27,0.3*$CV27,TRUE),$CW27*_xlfn.NORM.DIST(BC$3,'energy base (MECS)'!$F$11,0.3*'energy base (MECS)'!$F$11,TRUE))</f>
        <v/>
      </c>
      <c r="BD27" s="68">
        <f t="array" ref="BD27">IF($D27,SUMPRODUCT((economics!$AG$2:$AG$167=$B27)*(economics!$D$2:$D$167="whr")*economics!$AH$2:$AH$167*_xlfn.NORM.DIST(BD$3,economics!$AK$2:$AK$167,economics!$AJ$2:$AJ$167,TRUE))+$CR27*_xlfn.NORM.DIST(BD$3,$CU27,0.3*$CU27,TRUE)+$CS27*_xlfn.NORM.DIST(BD$3,$CV27,0.3*$CV27,TRUE),$CW27*_xlfn.NORM.DIST(BD$3,'energy base (MECS)'!$F$11,0.3*'energy base (MECS)'!$F$11,TRUE))</f>
        <v/>
      </c>
      <c r="BE27" s="68">
        <f t="array" ref="BE27">IF($D27,SUMPRODUCT((economics!$AG$2:$AG$167=$B27)*(economics!$D$2:$D$167="whr")*economics!$AH$2:$AH$167*_xlfn.NORM.DIST(BE$3,economics!$AK$2:$AK$167,economics!$AJ$2:$AJ$167,TRUE))+$CR27*_xlfn.NORM.DIST(BE$3,$CU27,0.3*$CU27,TRUE)+$CS27*_xlfn.NORM.DIST(BE$3,$CV27,0.3*$CV27,TRUE),$CW27*_xlfn.NORM.DIST(BE$3,'energy base (MECS)'!$F$11,0.3*'energy base (MECS)'!$F$11,TRUE))</f>
        <v/>
      </c>
      <c r="BF27" s="68">
        <f t="array" ref="BF27">IF($D27,SUMPRODUCT((economics!$AG$2:$AG$167=$B27)*(economics!$D$2:$D$167="whr")*economics!$AH$2:$AH$167*_xlfn.NORM.DIST(BF$3,economics!$AK$2:$AK$167,economics!$AJ$2:$AJ$167,TRUE))+$CR27*_xlfn.NORM.DIST(BF$3,$CU27,0.3*$CU27,TRUE)+$CS27*_xlfn.NORM.DIST(BF$3,$CV27,0.3*$CV27,TRUE),$CW27*_xlfn.NORM.DIST(BF$3,'energy base (MECS)'!$F$11,0.3*'energy base (MECS)'!$F$11,TRUE))</f>
        <v/>
      </c>
      <c r="BG27" s="68">
        <f t="array" ref="BG27">IF($D27,SUMPRODUCT((economics!$AG$2:$AG$167=$B27)*(economics!$D$2:$D$167="whr")*economics!$AH$2:$AH$167*_xlfn.NORM.DIST(BG$3,economics!$AK$2:$AK$167,economics!$AJ$2:$AJ$167,TRUE))+$CR27*_xlfn.NORM.DIST(BG$3,$CU27,0.3*$CU27,TRUE)+$CS27*_xlfn.NORM.DIST(BG$3,$CV27,0.3*$CV27,TRUE),$CW27*_xlfn.NORM.DIST(BG$3,'energy base (MECS)'!$F$11,0.3*'energy base (MECS)'!$F$11,TRUE))</f>
        <v/>
      </c>
      <c r="BH27" s="68">
        <f t="array" ref="BH27">IF($D27,SUMPRODUCT((economics!$AG$2:$AG$167=$B27)*(economics!$D$2:$D$167="whr")*economics!$AH$2:$AH$167*_xlfn.NORM.DIST(BH$3,economics!$AK$2:$AK$167,economics!$AJ$2:$AJ$167,TRUE))+$CR27*_xlfn.NORM.DIST(BH$3,$CU27,0.3*$CU27,TRUE)+$CS27*_xlfn.NORM.DIST(BH$3,$CV27,0.3*$CV27,TRUE),$CW27*_xlfn.NORM.DIST(BH$3,'energy base (MECS)'!$F$11,0.3*'energy base (MECS)'!$F$11,TRUE))</f>
        <v/>
      </c>
      <c r="BI27" s="68">
        <f t="array" ref="BI27">IF($D27,SUMPRODUCT((economics!$AG$2:$AG$167=$B27)*(economics!$D$2:$D$167="whr")*economics!$AH$2:$AH$167*_xlfn.NORM.DIST(BI$3,economics!$AK$2:$AK$167,economics!$AJ$2:$AJ$167,TRUE))+$CR27*_xlfn.NORM.DIST(BI$3,$CU27,0.3*$CU27,TRUE)+$CS27*_xlfn.NORM.DIST(BI$3,$CV27,0.3*$CV27,TRUE),$CW27*_xlfn.NORM.DIST(BI$3,'energy base (MECS)'!$F$11,0.3*'energy base (MECS)'!$F$11,TRUE))</f>
        <v/>
      </c>
      <c r="BJ27" s="68">
        <f t="array" ref="BJ27">IF($D27,SUMPRODUCT((economics!$AG$2:$AG$167=$B27)*(economics!$D$2:$D$167="whr")*economics!$AH$2:$AH$167*_xlfn.NORM.DIST(BJ$3,economics!$AK$2:$AK$167,economics!$AJ$2:$AJ$167,TRUE))+$CR27*_xlfn.NORM.DIST(BJ$3,$CU27,0.3*$CU27,TRUE)+$CS27*_xlfn.NORM.DIST(BJ$3,$CV27,0.3*$CV27,TRUE),$CW27*_xlfn.NORM.DIST(BJ$3,'energy base (MECS)'!$F$11,0.3*'energy base (MECS)'!$F$11,TRUE))</f>
        <v/>
      </c>
      <c r="BK27" s="68">
        <f t="array" ref="BK27">IF($D27,SUMPRODUCT((economics!$AG$2:$AG$167=$B27)*(economics!$D$2:$D$167="whr")*economics!$AH$2:$AH$167*_xlfn.NORM.DIST(BK$3,economics!$AK$2:$AK$167,economics!$AJ$2:$AJ$167,TRUE))+$CR27*_xlfn.NORM.DIST(BK$3,$CU27,0.3*$CU27,TRUE)+$CS27*_xlfn.NORM.DIST(BK$3,$CV27,0.3*$CV27,TRUE),$CW27*_xlfn.NORM.DIST(BK$3,'energy base (MECS)'!$F$11,0.3*'energy base (MECS)'!$F$11,TRUE))</f>
        <v/>
      </c>
      <c r="BL27" s="68">
        <f t="array" ref="BL27">IF($D27,SUMPRODUCT((economics!$AG$2:$AG$167=$B27)*(economics!$D$2:$D$167="whr")*economics!$AH$2:$AH$167*_xlfn.NORM.DIST(BL$3,economics!$AK$2:$AK$167,economics!$AJ$2:$AJ$167,TRUE))+$CR27*_xlfn.NORM.DIST(BL$3,$CU27,0.3*$CU27,TRUE)+$CS27*_xlfn.NORM.DIST(BL$3,$CV27,0.3*$CV27,TRUE),$CW27*_xlfn.NORM.DIST(BL$3,'energy base (MECS)'!$F$11,0.3*'energy base (MECS)'!$F$11,TRUE))</f>
        <v/>
      </c>
      <c r="BM27" s="68">
        <f t="array" ref="BM27">IF($D27,SUMPRODUCT((economics!$AG$2:$AG$167=$B27)*(economics!$D$2:$D$167="whr")*economics!$AH$2:$AH$167*_xlfn.NORM.DIST(BM$3,economics!$AK$2:$AK$167,economics!$AJ$2:$AJ$167,TRUE))+$CR27*_xlfn.NORM.DIST(BM$3,$CU27,0.3*$CU27,TRUE)+$CS27*_xlfn.NORM.DIST(BM$3,$CV27,0.3*$CV27,TRUE),$CW27*_xlfn.NORM.DIST(BM$3,'energy base (MECS)'!$F$11,0.3*'energy base (MECS)'!$F$11,TRUE))</f>
        <v/>
      </c>
      <c r="BN27" s="68">
        <f t="array" ref="BN27">IF($D27,SUMPRODUCT((economics!$AG$2:$AG$167=$B27)*(economics!$D$2:$D$167="whr")*economics!$AH$2:$AH$167*_xlfn.NORM.DIST(BN$3,economics!$AK$2:$AK$167,economics!$AJ$2:$AJ$167,TRUE))+$CR27*_xlfn.NORM.DIST(BN$3,$CU27,0.3*$CU27,TRUE)+$CS27*_xlfn.NORM.DIST(BN$3,$CV27,0.3*$CV27,TRUE),$CW27*_xlfn.NORM.DIST(BN$3,'energy base (MECS)'!$F$11,0.3*'energy base (MECS)'!$F$11,TRUE))</f>
        <v/>
      </c>
      <c r="BO27" s="68">
        <f t="array" ref="BO27">IF($D27,SUMPRODUCT((economics!$AG$2:$AG$167=$B27)*(economics!$D$2:$D$167="whr")*economics!$AH$2:$AH$167*_xlfn.NORM.DIST(BO$3,economics!$AK$2:$AK$167,economics!$AJ$2:$AJ$167,TRUE))+$CR27*_xlfn.NORM.DIST(BO$3,$CU27,0.3*$CU27,TRUE)+$CS27*_xlfn.NORM.DIST(BO$3,$CV27,0.3*$CV27,TRUE),$CW27*_xlfn.NORM.DIST(BO$3,'energy base (MECS)'!$F$11,0.3*'energy base (MECS)'!$F$11,TRUE))</f>
        <v/>
      </c>
      <c r="BP27" s="68">
        <f t="array" ref="BP27">IF($D27,SUMPRODUCT((economics!$AG$2:$AG$167=$B27)*(economics!$D$2:$D$167="whr")*economics!$AH$2:$AH$167*_xlfn.NORM.DIST(BP$3,economics!$AK$2:$AK$167,economics!$AJ$2:$AJ$167,TRUE))+$CR27*_xlfn.NORM.DIST(BP$3,$CU27,0.3*$CU27,TRUE)+$CS27*_xlfn.NORM.DIST(BP$3,$CV27,0.3*$CV27,TRUE),$CW27*_xlfn.NORM.DIST(BP$3,'energy base (MECS)'!$F$11,0.3*'energy base (MECS)'!$F$11,TRUE))</f>
        <v/>
      </c>
      <c r="BQ27" s="68">
        <f t="array" ref="BQ27">IF($D27,SUMPRODUCT((economics!$AG$2:$AG$167=$B27)*(economics!$D$2:$D$167="whr")*economics!$AH$2:$AH$167*_xlfn.NORM.DIST(BQ$3,economics!$AK$2:$AK$167,economics!$AJ$2:$AJ$167,TRUE))+$CR27*_xlfn.NORM.DIST(BQ$3,$CU27,0.3*$CU27,TRUE)+$CS27*_xlfn.NORM.DIST(BQ$3,$CV27,0.3*$CV27,TRUE),$CW27*_xlfn.NORM.DIST(BQ$3,'energy base (MECS)'!$F$11,0.3*'energy base (MECS)'!$F$11,TRUE))</f>
        <v/>
      </c>
      <c r="BR27" s="68">
        <f t="array" ref="BR27">IF($D27,SUMPRODUCT((economics!$AG$2:$AG$167=$B27)*(economics!$D$2:$D$167="whr")*economics!$AH$2:$AH$167*_xlfn.NORM.DIST(BR$3,economics!$AK$2:$AK$167,economics!$AJ$2:$AJ$167,TRUE))+$CR27*_xlfn.NORM.DIST(BR$3,$CU27,0.3*$CU27,TRUE)+$CS27*_xlfn.NORM.DIST(BR$3,$CV27,0.3*$CV27,TRUE),$CW27*_xlfn.NORM.DIST(BR$3,'energy base (MECS)'!$F$11,0.3*'energy base (MECS)'!$F$11,TRUE))</f>
        <v/>
      </c>
      <c r="BS27" s="68">
        <f t="array" ref="BS27">IF($D27,SUMPRODUCT((economics!$AG$2:$AG$167=$B27)*(economics!$D$2:$D$167="whr")*economics!$AH$2:$AH$167*_xlfn.NORM.DIST(BS$3,economics!$AK$2:$AK$167,economics!$AJ$2:$AJ$167,TRUE))+$CR27*_xlfn.NORM.DIST(BS$3,$CU27,0.3*$CU27,TRUE)+$CS27*_xlfn.NORM.DIST(BS$3,$CV27,0.3*$CV27,TRUE),$CW27*_xlfn.NORM.DIST(BS$3,'energy base (MECS)'!$F$11,0.3*'energy base (MECS)'!$F$11,TRUE))</f>
        <v/>
      </c>
      <c r="BT27" s="68">
        <f t="array" ref="BT27">IF($D27,SUMPRODUCT((economics!$AG$2:$AG$167=$B27)*(economics!$D$2:$D$167="whr")*economics!$AH$2:$AH$167*_xlfn.NORM.DIST(BT$3,economics!$AK$2:$AK$167,economics!$AJ$2:$AJ$167,TRUE))+$CR27*_xlfn.NORM.DIST(BT$3,$CU27,0.3*$CU27,TRUE)+$CS27*_xlfn.NORM.DIST(BT$3,$CV27,0.3*$CV27,TRUE),$CW27*_xlfn.NORM.DIST(BT$3,'energy base (MECS)'!$F$11,0.3*'energy base (MECS)'!$F$11,TRUE))</f>
        <v/>
      </c>
      <c r="BU27" s="68">
        <f t="array" ref="BU27">IF($D27,SUMPRODUCT((economics!$AG$2:$AG$167=$B27)*(economics!$D$2:$D$167="whr")*economics!$AH$2:$AH$167*_xlfn.NORM.DIST(BU$3,economics!$AK$2:$AK$167,economics!$AJ$2:$AJ$167,TRUE))+$CR27*_xlfn.NORM.DIST(BU$3,$CU27,0.3*$CU27,TRUE)+$CS27*_xlfn.NORM.DIST(BU$3,$CV27,0.3*$CV27,TRUE),$CW27*_xlfn.NORM.DIST(BU$3,'energy base (MECS)'!$F$11,0.3*'energy base (MECS)'!$F$11,TRUE))</f>
        <v/>
      </c>
      <c r="BV27" s="68">
        <f t="array" ref="BV27">IF($D27,SUMPRODUCT((economics!$AG$2:$AG$167=$B27)*(economics!$D$2:$D$167="whr")*economics!$AH$2:$AH$167*_xlfn.NORM.DIST(BV$3,economics!$AK$2:$AK$167,economics!$AJ$2:$AJ$167,TRUE))+$CR27*_xlfn.NORM.DIST(BV$3,$CU27,0.3*$CU27,TRUE)+$CS27*_xlfn.NORM.DIST(BV$3,$CV27,0.3*$CV27,TRUE),$CW27*_xlfn.NORM.DIST(BV$3,'energy base (MECS)'!$F$11,0.3*'energy base (MECS)'!$F$11,TRUE))</f>
        <v/>
      </c>
      <c r="BW27" s="68">
        <f t="array" ref="BW27">IF($D27,SUMPRODUCT((economics!$AG$2:$AG$167=$B27)*(economics!$D$2:$D$167="whr")*economics!$AH$2:$AH$167*_xlfn.NORM.DIST(BW$3,economics!$AK$2:$AK$167,economics!$AJ$2:$AJ$167,TRUE))+$CR27*_xlfn.NORM.DIST(BW$3,$CU27,0.3*$CU27,TRUE)+$CS27*_xlfn.NORM.DIST(BW$3,$CV27,0.3*$CV27,TRUE),$CW27*_xlfn.NORM.DIST(BW$3,'energy base (MECS)'!$F$11,0.3*'energy base (MECS)'!$F$11,TRUE))</f>
        <v/>
      </c>
      <c r="BX27" s="68">
        <f t="array" ref="BX27">IF($D27,SUMPRODUCT((economics!$AG$2:$AG$167=$B27)*(economics!$D$2:$D$167="whr")*economics!$AH$2:$AH$167*_xlfn.NORM.DIST(BX$3,economics!$AK$2:$AK$167,economics!$AJ$2:$AJ$167,TRUE))+$CR27*_xlfn.NORM.DIST(BX$3,$CU27,0.3*$CU27,TRUE)+$CS27*_xlfn.NORM.DIST(BX$3,$CV27,0.3*$CV27,TRUE),$CW27*_xlfn.NORM.DIST(BX$3,'energy base (MECS)'!$F$11,0.3*'energy base (MECS)'!$F$11,TRUE))</f>
        <v/>
      </c>
      <c r="BY27" s="68">
        <f t="array" ref="BY27">IF($D27,SUMPRODUCT((economics!$AG$2:$AG$167=$B27)*(economics!$D$2:$D$167="whr")*economics!$AH$2:$AH$167*_xlfn.NORM.DIST(BY$3,economics!$AK$2:$AK$167,economics!$AJ$2:$AJ$167,TRUE))+$CR27*_xlfn.NORM.DIST(BY$3,$CU27,0.3*$CU27,TRUE)+$CS27*_xlfn.NORM.DIST(BY$3,$CV27,0.3*$CV27,TRUE),$CW27*_xlfn.NORM.DIST(BY$3,'energy base (MECS)'!$F$11,0.3*'energy base (MECS)'!$F$11,TRUE))</f>
        <v/>
      </c>
      <c r="BZ27" s="68">
        <f t="array" ref="BZ27">IF($D27,SUMPRODUCT((economics!$AG$2:$AG$167=$B27)*(economics!$D$2:$D$167="whr")*economics!$AH$2:$AH$167*_xlfn.NORM.DIST(BZ$3,economics!$AK$2:$AK$167,economics!$AJ$2:$AJ$167,TRUE))+$CR27*_xlfn.NORM.DIST(BZ$3,$CU27,0.3*$CU27,TRUE)+$CS27*_xlfn.NORM.DIST(BZ$3,$CV27,0.3*$CV27,TRUE),$CW27*_xlfn.NORM.DIST(BZ$3,'energy base (MECS)'!$F$11,0.3*'energy base (MECS)'!$F$11,TRUE))</f>
        <v/>
      </c>
      <c r="CA27" s="68">
        <f t="array" ref="CA27">IF($D27,SUMPRODUCT((economics!$AG$2:$AG$167=$B27)*(economics!$D$2:$D$167="whr")*economics!$AH$2:$AH$167*_xlfn.NORM.DIST(CA$3,economics!$AK$2:$AK$167,economics!$AJ$2:$AJ$167,TRUE))+$CR27*_xlfn.NORM.DIST(CA$3,$CU27,0.3*$CU27,TRUE)+$CS27*_xlfn.NORM.DIST(CA$3,$CV27,0.3*$CV27,TRUE),$CW27*_xlfn.NORM.DIST(CA$3,'energy base (MECS)'!$F$11,0.3*'energy base (MECS)'!$F$11,TRUE))</f>
        <v/>
      </c>
      <c r="CB27" s="68">
        <f t="array" ref="CB27">IF($D27,SUMPRODUCT((economics!$AG$2:$AG$167=$B27)*(economics!$D$2:$D$167="whr")*economics!$AH$2:$AH$167*_xlfn.NORM.DIST(CB$3,economics!$AK$2:$AK$167,economics!$AJ$2:$AJ$167,TRUE))+$CR27*_xlfn.NORM.DIST(CB$3,$CU27,0.3*$CU27,TRUE)+$CS27*_xlfn.NORM.DIST(CB$3,$CV27,0.3*$CV27,TRUE),$CW27*_xlfn.NORM.DIST(CB$3,'energy base (MECS)'!$F$11,0.3*'energy base (MECS)'!$F$11,TRUE))</f>
        <v/>
      </c>
      <c r="CC27" s="68">
        <f t="array" ref="CC27">IF($D27,SUMPRODUCT((economics!$AG$2:$AG$167=$B27)*(economics!$D$2:$D$167="whr")*economics!$AH$2:$AH$167*_xlfn.NORM.DIST(CC$3,economics!$AK$2:$AK$167,economics!$AJ$2:$AJ$167,TRUE))+$CR27*_xlfn.NORM.DIST(CC$3,$CU27,0.3*$CU27,TRUE)+$CS27*_xlfn.NORM.DIST(CC$3,$CV27,0.3*$CV27,TRUE),$CW27*_xlfn.NORM.DIST(CC$3,'energy base (MECS)'!$F$11,0.3*'energy base (MECS)'!$F$11,TRUE))</f>
        <v/>
      </c>
      <c r="CD27" s="68">
        <f t="array" ref="CD27">IF($D27,SUMPRODUCT((economics!$AG$2:$AG$167=$B27)*(economics!$D$2:$D$167="whr")*economics!$AH$2:$AH$167*_xlfn.NORM.DIST(CD$3,economics!$AK$2:$AK$167,economics!$AJ$2:$AJ$167,TRUE))+$CR27*_xlfn.NORM.DIST(CD$3,$CU27,0.3*$CU27,TRUE)+$CS27*_xlfn.NORM.DIST(CD$3,$CV27,0.3*$CV27,TRUE),$CW27*_xlfn.NORM.DIST(CD$3,'energy base (MECS)'!$F$11,0.3*'energy base (MECS)'!$F$11,TRUE))</f>
        <v/>
      </c>
      <c r="CE27" s="68">
        <f t="array" ref="CE27">IF($D27,SUMPRODUCT((economics!$AG$2:$AG$167=$B27)*(economics!$D$2:$D$167="whr")*economics!$AH$2:$AH$167*_xlfn.NORM.DIST(CE$3,economics!$AK$2:$AK$167,economics!$AJ$2:$AJ$167,TRUE))+$CR27*_xlfn.NORM.DIST(CE$3,$CU27,0.3*$CU27,TRUE)+$CS27*_xlfn.NORM.DIST(CE$3,$CV27,0.3*$CV27,TRUE),$CW27*_xlfn.NORM.DIST(CE$3,'energy base (MECS)'!$F$11,0.3*'energy base (MECS)'!$F$11,TRUE))</f>
        <v/>
      </c>
      <c r="CF27" s="68">
        <f t="array" ref="CF27">IF($D27,SUMPRODUCT((economics!$AG$2:$AG$167=$B27)*(economics!$D$2:$D$167="whr")*economics!$AH$2:$AH$167*_xlfn.NORM.DIST(CF$3,economics!$AK$2:$AK$167,economics!$AJ$2:$AJ$167,TRUE))+$CR27*_xlfn.NORM.DIST(CF$3,$CU27,0.3*$CU27,TRUE)+$CS27*_xlfn.NORM.DIST(CF$3,$CV27,0.3*$CV27,TRUE),$CW27*_xlfn.NORM.DIST(CF$3,'energy base (MECS)'!$F$11,0.3*'energy base (MECS)'!$F$11,TRUE))</f>
        <v/>
      </c>
      <c r="CG27" s="68">
        <f t="array" ref="CG27">IF($D27,SUMPRODUCT((economics!$AG$2:$AG$167=$B27)*(economics!$D$2:$D$167="whr")*economics!$AH$2:$AH$167*_xlfn.NORM.DIST(CG$3,economics!$AK$2:$AK$167,economics!$AJ$2:$AJ$167,TRUE))+$CR27*_xlfn.NORM.DIST(CG$3,$CU27,0.3*$CU27,TRUE)+$CS27*_xlfn.NORM.DIST(CG$3,$CV27,0.3*$CV27,TRUE),$CW27*_xlfn.NORM.DIST(CG$3,'energy base (MECS)'!$F$11,0.3*'energy base (MECS)'!$F$11,TRUE))</f>
        <v/>
      </c>
      <c r="CH27" s="68">
        <f t="array" ref="CH27">IF($D27,SUMPRODUCT((economics!$AG$2:$AG$167=$B27)*(economics!$D$2:$D$167="whr")*economics!$AH$2:$AH$167*_xlfn.NORM.DIST(CH$3,economics!$AK$2:$AK$167,economics!$AJ$2:$AJ$167,TRUE))+$CR27*_xlfn.NORM.DIST(CH$3,$CU27,0.3*$CU27,TRUE)+$CS27*_xlfn.NORM.DIST(CH$3,$CV27,0.3*$CV27,TRUE),$CW27*_xlfn.NORM.DIST(CH$3,'energy base (MECS)'!$F$11,0.3*'energy base (MECS)'!$F$11,TRUE))</f>
        <v/>
      </c>
      <c r="CJ27">
        <f t="array" ref="CJ27">SUMPRODUCT((economics!$AG$2:$AG$167=$B27)*(economics!$D$2:$D$167="whr")*economics!$AH$2:$AH$167)</f>
        <v/>
      </c>
      <c r="CK27" s="80">
        <f>'indst heat consumption'!D27</f>
        <v/>
      </c>
      <c r="CL27" s="80">
        <f>'indst heat consumption'!E27</f>
        <v/>
      </c>
      <c r="CM27" s="80">
        <f>'indst heat consumption'!F27</f>
        <v/>
      </c>
      <c r="CN27" s="80">
        <f>'indst heat consumption'!G27</f>
        <v/>
      </c>
      <c r="CO27" s="80">
        <f>'indst heat consumption'!H27</f>
        <v/>
      </c>
      <c r="CP27">
        <f>$C27*(CK27*summary!$B$94+CL27*summary!$C$94+CM27*summary!$D$94)</f>
        <v/>
      </c>
      <c r="CQ27">
        <f>$C27*(CN27*summary!$E$94+CO27*summary!$F$94)</f>
        <v/>
      </c>
      <c r="CR27">
        <f>IF(CP27+CQ27&gt;0,CP27*MAX(0,CP27+CQ27-CJ27)/(CP27+CQ27),0)</f>
        <v/>
      </c>
      <c r="CS27">
        <f>IF(CP27+CQ27&gt;0,CQ27*MAX(0,CP27+CQ27-CJ27)/(CP27+CQ27),0)</f>
        <v/>
      </c>
      <c r="CT27">
        <f>IFERROR(_xlfn.XLOOKUP($B27,'BCoISC-WACCbI'!$C$2:$C$26,'BCoISC-WACCbI'!$B$2:$B$26)+economics!$AE$4,0.1)</f>
        <v/>
      </c>
      <c r="CU27">
        <f>(summary!$C$7*(CT27/(1-(1+CT27)^-summary!$D$7))+summary!$C$7*summary!$E$7)/(summary!$F$7*3412/1000000)</f>
        <v/>
      </c>
      <c r="CV27">
        <f>(summary!$C$6*(CT27/(1-(1+CT27)^-summary!$D$6))+summary!$C$6*summary!$E$6)/(summary!$F$6*3412/1000000)</f>
        <v/>
      </c>
      <c r="CW27">
        <f>CR27+CS27</f>
        <v/>
      </c>
    </row>
    <row r="28">
      <c r="A28">
        <f>WHRPbI!A26</f>
        <v/>
      </c>
      <c r="B28" t="inlineStr">
        <is>
          <t>41T43</t>
        </is>
      </c>
      <c r="C28" s="68">
        <f>WHRPbI!B26</f>
        <v/>
      </c>
      <c r="D28">
        <f>ISNUMBER(MATCH($B28,'energy base (MECS)'!$K$4:$K$9,0))</f>
        <v/>
      </c>
      <c r="E28" s="68">
        <f t="array" ref="E28">IF($D28,SUMPRODUCT((economics!$AG$2:$AG$167=$B28)*(economics!$D$2:$D$167="whr")*economics!$AH$2:$AH$167*_xlfn.NORM.DIST(E$3,economics!$AK$2:$AK$167,economics!$AJ$2:$AJ$167,TRUE))+$CR28*_xlfn.NORM.DIST(E$3,$CU28,0.3*$CU28,TRUE)+$CS28*_xlfn.NORM.DIST(E$3,$CV28,0.3*$CV28,TRUE),$CW28*_xlfn.NORM.DIST(E$3,'energy base (MECS)'!$F$11,0.3*'energy base (MECS)'!$F$11,TRUE))</f>
        <v/>
      </c>
      <c r="F28" s="68">
        <f t="array" ref="F28">IF($D28,SUMPRODUCT((economics!$AG$2:$AG$167=$B28)*(economics!$D$2:$D$167="whr")*economics!$AH$2:$AH$167*_xlfn.NORM.DIST(F$3,economics!$AK$2:$AK$167,economics!$AJ$2:$AJ$167,TRUE))+$CR28*_xlfn.NORM.DIST(F$3,$CU28,0.3*$CU28,TRUE)+$CS28*_xlfn.NORM.DIST(F$3,$CV28,0.3*$CV28,TRUE),$CW28*_xlfn.NORM.DIST(F$3,'energy base (MECS)'!$F$11,0.3*'energy base (MECS)'!$F$11,TRUE))</f>
        <v/>
      </c>
      <c r="G28" s="68">
        <f t="array" ref="G28">IF($D28,SUMPRODUCT((economics!$AG$2:$AG$167=$B28)*(economics!$D$2:$D$167="whr")*economics!$AH$2:$AH$167*_xlfn.NORM.DIST(G$3,economics!$AK$2:$AK$167,economics!$AJ$2:$AJ$167,TRUE))+$CR28*_xlfn.NORM.DIST(G$3,$CU28,0.3*$CU28,TRUE)+$CS28*_xlfn.NORM.DIST(G$3,$CV28,0.3*$CV28,TRUE),$CW28*_xlfn.NORM.DIST(G$3,'energy base (MECS)'!$F$11,0.3*'energy base (MECS)'!$F$11,TRUE))</f>
        <v/>
      </c>
      <c r="H28" s="68">
        <f t="array" ref="H28">IF($D28,SUMPRODUCT((economics!$AG$2:$AG$167=$B28)*(economics!$D$2:$D$167="whr")*economics!$AH$2:$AH$167*_xlfn.NORM.DIST(H$3,economics!$AK$2:$AK$167,economics!$AJ$2:$AJ$167,TRUE))+$CR28*_xlfn.NORM.DIST(H$3,$CU28,0.3*$CU28,TRUE)+$CS28*_xlfn.NORM.DIST(H$3,$CV28,0.3*$CV28,TRUE),$CW28*_xlfn.NORM.DIST(H$3,'energy base (MECS)'!$F$11,0.3*'energy base (MECS)'!$F$11,TRUE))</f>
        <v/>
      </c>
      <c r="I28" s="68">
        <f t="array" ref="I28">IF($D28,SUMPRODUCT((economics!$AG$2:$AG$167=$B28)*(economics!$D$2:$D$167="whr")*economics!$AH$2:$AH$167*_xlfn.NORM.DIST(I$3,economics!$AK$2:$AK$167,economics!$AJ$2:$AJ$167,TRUE))+$CR28*_xlfn.NORM.DIST(I$3,$CU28,0.3*$CU28,TRUE)+$CS28*_xlfn.NORM.DIST(I$3,$CV28,0.3*$CV28,TRUE),$CW28*_xlfn.NORM.DIST(I$3,'energy base (MECS)'!$F$11,0.3*'energy base (MECS)'!$F$11,TRUE))</f>
        <v/>
      </c>
      <c r="J28" s="68">
        <f t="array" ref="J28">IF($D28,SUMPRODUCT((economics!$AG$2:$AG$167=$B28)*(economics!$D$2:$D$167="whr")*economics!$AH$2:$AH$167*_xlfn.NORM.DIST(J$3,economics!$AK$2:$AK$167,economics!$AJ$2:$AJ$167,TRUE))+$CR28*_xlfn.NORM.DIST(J$3,$CU28,0.3*$CU28,TRUE)+$CS28*_xlfn.NORM.DIST(J$3,$CV28,0.3*$CV28,TRUE),$CW28*_xlfn.NORM.DIST(J$3,'energy base (MECS)'!$F$11,0.3*'energy base (MECS)'!$F$11,TRUE))</f>
        <v/>
      </c>
      <c r="K28" s="68">
        <f t="array" ref="K28">IF($D28,SUMPRODUCT((economics!$AG$2:$AG$167=$B28)*(economics!$D$2:$D$167="whr")*economics!$AH$2:$AH$167*_xlfn.NORM.DIST(K$3,economics!$AK$2:$AK$167,economics!$AJ$2:$AJ$167,TRUE))+$CR28*_xlfn.NORM.DIST(K$3,$CU28,0.3*$CU28,TRUE)+$CS28*_xlfn.NORM.DIST(K$3,$CV28,0.3*$CV28,TRUE),$CW28*_xlfn.NORM.DIST(K$3,'energy base (MECS)'!$F$11,0.3*'energy base (MECS)'!$F$11,TRUE))</f>
        <v/>
      </c>
      <c r="L28" s="68">
        <f t="array" ref="L28">IF($D28,SUMPRODUCT((economics!$AG$2:$AG$167=$B28)*(economics!$D$2:$D$167="whr")*economics!$AH$2:$AH$167*_xlfn.NORM.DIST(L$3,economics!$AK$2:$AK$167,economics!$AJ$2:$AJ$167,TRUE))+$CR28*_xlfn.NORM.DIST(L$3,$CU28,0.3*$CU28,TRUE)+$CS28*_xlfn.NORM.DIST(L$3,$CV28,0.3*$CV28,TRUE),$CW28*_xlfn.NORM.DIST(L$3,'energy base (MECS)'!$F$11,0.3*'energy base (MECS)'!$F$11,TRUE))</f>
        <v/>
      </c>
      <c r="M28" s="68">
        <f t="array" ref="M28">IF($D28,SUMPRODUCT((economics!$AG$2:$AG$167=$B28)*(economics!$D$2:$D$167="whr")*economics!$AH$2:$AH$167*_xlfn.NORM.DIST(M$3,economics!$AK$2:$AK$167,economics!$AJ$2:$AJ$167,TRUE))+$CR28*_xlfn.NORM.DIST(M$3,$CU28,0.3*$CU28,TRUE)+$CS28*_xlfn.NORM.DIST(M$3,$CV28,0.3*$CV28,TRUE),$CW28*_xlfn.NORM.DIST(M$3,'energy base (MECS)'!$F$11,0.3*'energy base (MECS)'!$F$11,TRUE))</f>
        <v/>
      </c>
      <c r="N28" s="68">
        <f t="array" ref="N28">IF($D28,SUMPRODUCT((economics!$AG$2:$AG$167=$B28)*(economics!$D$2:$D$167="whr")*economics!$AH$2:$AH$167*_xlfn.NORM.DIST(N$3,economics!$AK$2:$AK$167,economics!$AJ$2:$AJ$167,TRUE))+$CR28*_xlfn.NORM.DIST(N$3,$CU28,0.3*$CU28,TRUE)+$CS28*_xlfn.NORM.DIST(N$3,$CV28,0.3*$CV28,TRUE),$CW28*_xlfn.NORM.DIST(N$3,'energy base (MECS)'!$F$11,0.3*'energy base (MECS)'!$F$11,TRUE))</f>
        <v/>
      </c>
      <c r="O28" s="68">
        <f t="array" ref="O28">IF($D28,SUMPRODUCT((economics!$AG$2:$AG$167=$B28)*(economics!$D$2:$D$167="whr")*economics!$AH$2:$AH$167*_xlfn.NORM.DIST(O$3,economics!$AK$2:$AK$167,economics!$AJ$2:$AJ$167,TRUE))+$CR28*_xlfn.NORM.DIST(O$3,$CU28,0.3*$CU28,TRUE)+$CS28*_xlfn.NORM.DIST(O$3,$CV28,0.3*$CV28,TRUE),$CW28*_xlfn.NORM.DIST(O$3,'energy base (MECS)'!$F$11,0.3*'energy base (MECS)'!$F$11,TRUE))</f>
        <v/>
      </c>
      <c r="P28" s="68">
        <f t="array" ref="P28">IF($D28,SUMPRODUCT((economics!$AG$2:$AG$167=$B28)*(economics!$D$2:$D$167="whr")*economics!$AH$2:$AH$167*_xlfn.NORM.DIST(P$3,economics!$AK$2:$AK$167,economics!$AJ$2:$AJ$167,TRUE))+$CR28*_xlfn.NORM.DIST(P$3,$CU28,0.3*$CU28,TRUE)+$CS28*_xlfn.NORM.DIST(P$3,$CV28,0.3*$CV28,TRUE),$CW28*_xlfn.NORM.DIST(P$3,'energy base (MECS)'!$F$11,0.3*'energy base (MECS)'!$F$11,TRUE))</f>
        <v/>
      </c>
      <c r="Q28" s="68">
        <f t="array" ref="Q28">IF($D28,SUMPRODUCT((economics!$AG$2:$AG$167=$B28)*(economics!$D$2:$D$167="whr")*economics!$AH$2:$AH$167*_xlfn.NORM.DIST(Q$3,economics!$AK$2:$AK$167,economics!$AJ$2:$AJ$167,TRUE))+$CR28*_xlfn.NORM.DIST(Q$3,$CU28,0.3*$CU28,TRUE)+$CS28*_xlfn.NORM.DIST(Q$3,$CV28,0.3*$CV28,TRUE),$CW28*_xlfn.NORM.DIST(Q$3,'energy base (MECS)'!$F$11,0.3*'energy base (MECS)'!$F$11,TRUE))</f>
        <v/>
      </c>
      <c r="R28" s="68">
        <f t="array" ref="R28">IF($D28,SUMPRODUCT((economics!$AG$2:$AG$167=$B28)*(economics!$D$2:$D$167="whr")*economics!$AH$2:$AH$167*_xlfn.NORM.DIST(R$3,economics!$AK$2:$AK$167,economics!$AJ$2:$AJ$167,TRUE))+$CR28*_xlfn.NORM.DIST(R$3,$CU28,0.3*$CU28,TRUE)+$CS28*_xlfn.NORM.DIST(R$3,$CV28,0.3*$CV28,TRUE),$CW28*_xlfn.NORM.DIST(R$3,'energy base (MECS)'!$F$11,0.3*'energy base (MECS)'!$F$11,TRUE))</f>
        <v/>
      </c>
      <c r="S28" s="68">
        <f t="array" ref="S28">IF($D28,SUMPRODUCT((economics!$AG$2:$AG$167=$B28)*(economics!$D$2:$D$167="whr")*economics!$AH$2:$AH$167*_xlfn.NORM.DIST(S$3,economics!$AK$2:$AK$167,economics!$AJ$2:$AJ$167,TRUE))+$CR28*_xlfn.NORM.DIST(S$3,$CU28,0.3*$CU28,TRUE)+$CS28*_xlfn.NORM.DIST(S$3,$CV28,0.3*$CV28,TRUE),$CW28*_xlfn.NORM.DIST(S$3,'energy base (MECS)'!$F$11,0.3*'energy base (MECS)'!$F$11,TRUE))</f>
        <v/>
      </c>
      <c r="T28" s="68">
        <f t="array" ref="T28">IF($D28,SUMPRODUCT((economics!$AG$2:$AG$167=$B28)*(economics!$D$2:$D$167="whr")*economics!$AH$2:$AH$167*_xlfn.NORM.DIST(T$3,economics!$AK$2:$AK$167,economics!$AJ$2:$AJ$167,TRUE))+$CR28*_xlfn.NORM.DIST(T$3,$CU28,0.3*$CU28,TRUE)+$CS28*_xlfn.NORM.DIST(T$3,$CV28,0.3*$CV28,TRUE),$CW28*_xlfn.NORM.DIST(T$3,'energy base (MECS)'!$F$11,0.3*'energy base (MECS)'!$F$11,TRUE))</f>
        <v/>
      </c>
      <c r="U28" s="68">
        <f t="array" ref="U28">IF($D28,SUMPRODUCT((economics!$AG$2:$AG$167=$B28)*(economics!$D$2:$D$167="whr")*economics!$AH$2:$AH$167*_xlfn.NORM.DIST(U$3,economics!$AK$2:$AK$167,economics!$AJ$2:$AJ$167,TRUE))+$CR28*_xlfn.NORM.DIST(U$3,$CU28,0.3*$CU28,TRUE)+$CS28*_xlfn.NORM.DIST(U$3,$CV28,0.3*$CV28,TRUE),$CW28*_xlfn.NORM.DIST(U$3,'energy base (MECS)'!$F$11,0.3*'energy base (MECS)'!$F$11,TRUE))</f>
        <v/>
      </c>
      <c r="V28" s="68">
        <f t="array" ref="V28">IF($D28,SUMPRODUCT((economics!$AG$2:$AG$167=$B28)*(economics!$D$2:$D$167="whr")*economics!$AH$2:$AH$167*_xlfn.NORM.DIST(V$3,economics!$AK$2:$AK$167,economics!$AJ$2:$AJ$167,TRUE))+$CR28*_xlfn.NORM.DIST(V$3,$CU28,0.3*$CU28,TRUE)+$CS28*_xlfn.NORM.DIST(V$3,$CV28,0.3*$CV28,TRUE),$CW28*_xlfn.NORM.DIST(V$3,'energy base (MECS)'!$F$11,0.3*'energy base (MECS)'!$F$11,TRUE))</f>
        <v/>
      </c>
      <c r="W28" s="68">
        <f t="array" ref="W28">IF($D28,SUMPRODUCT((economics!$AG$2:$AG$167=$B28)*(economics!$D$2:$D$167="whr")*economics!$AH$2:$AH$167*_xlfn.NORM.DIST(W$3,economics!$AK$2:$AK$167,economics!$AJ$2:$AJ$167,TRUE))+$CR28*_xlfn.NORM.DIST(W$3,$CU28,0.3*$CU28,TRUE)+$CS28*_xlfn.NORM.DIST(W$3,$CV28,0.3*$CV28,TRUE),$CW28*_xlfn.NORM.DIST(W$3,'energy base (MECS)'!$F$11,0.3*'energy base (MECS)'!$F$11,TRUE))</f>
        <v/>
      </c>
      <c r="X28" s="68">
        <f t="array" ref="X28">IF($D28,SUMPRODUCT((economics!$AG$2:$AG$167=$B28)*(economics!$D$2:$D$167="whr")*economics!$AH$2:$AH$167*_xlfn.NORM.DIST(X$3,economics!$AK$2:$AK$167,economics!$AJ$2:$AJ$167,TRUE))+$CR28*_xlfn.NORM.DIST(X$3,$CU28,0.3*$CU28,TRUE)+$CS28*_xlfn.NORM.DIST(X$3,$CV28,0.3*$CV28,TRUE),$CW28*_xlfn.NORM.DIST(X$3,'energy base (MECS)'!$F$11,0.3*'energy base (MECS)'!$F$11,TRUE))</f>
        <v/>
      </c>
      <c r="Y28" s="68">
        <f t="array" ref="Y28">IF($D28,SUMPRODUCT((economics!$AG$2:$AG$167=$B28)*(economics!$D$2:$D$167="whr")*economics!$AH$2:$AH$167*_xlfn.NORM.DIST(Y$3,economics!$AK$2:$AK$167,economics!$AJ$2:$AJ$167,TRUE))+$CR28*_xlfn.NORM.DIST(Y$3,$CU28,0.3*$CU28,TRUE)+$CS28*_xlfn.NORM.DIST(Y$3,$CV28,0.3*$CV28,TRUE),$CW28*_xlfn.NORM.DIST(Y$3,'energy base (MECS)'!$F$11,0.3*'energy base (MECS)'!$F$11,TRUE))</f>
        <v/>
      </c>
      <c r="Z28" s="68">
        <f t="array" ref="Z28">IF($D28,SUMPRODUCT((economics!$AG$2:$AG$167=$B28)*(economics!$D$2:$D$167="whr")*economics!$AH$2:$AH$167*_xlfn.NORM.DIST(Z$3,economics!$AK$2:$AK$167,economics!$AJ$2:$AJ$167,TRUE))+$CR28*_xlfn.NORM.DIST(Z$3,$CU28,0.3*$CU28,TRUE)+$CS28*_xlfn.NORM.DIST(Z$3,$CV28,0.3*$CV28,TRUE),$CW28*_xlfn.NORM.DIST(Z$3,'energy base (MECS)'!$F$11,0.3*'energy base (MECS)'!$F$11,TRUE))</f>
        <v/>
      </c>
      <c r="AA28" s="68">
        <f t="array" ref="AA28">IF($D28,SUMPRODUCT((economics!$AG$2:$AG$167=$B28)*(economics!$D$2:$D$167="whr")*economics!$AH$2:$AH$167*_xlfn.NORM.DIST(AA$3,economics!$AK$2:$AK$167,economics!$AJ$2:$AJ$167,TRUE))+$CR28*_xlfn.NORM.DIST(AA$3,$CU28,0.3*$CU28,TRUE)+$CS28*_xlfn.NORM.DIST(AA$3,$CV28,0.3*$CV28,TRUE),$CW28*_xlfn.NORM.DIST(AA$3,'energy base (MECS)'!$F$11,0.3*'energy base (MECS)'!$F$11,TRUE))</f>
        <v/>
      </c>
      <c r="AB28" s="68">
        <f t="array" ref="AB28">IF($D28,SUMPRODUCT((economics!$AG$2:$AG$167=$B28)*(economics!$D$2:$D$167="whr")*economics!$AH$2:$AH$167*_xlfn.NORM.DIST(AB$3,economics!$AK$2:$AK$167,economics!$AJ$2:$AJ$167,TRUE))+$CR28*_xlfn.NORM.DIST(AB$3,$CU28,0.3*$CU28,TRUE)+$CS28*_xlfn.NORM.DIST(AB$3,$CV28,0.3*$CV28,TRUE),$CW28*_xlfn.NORM.DIST(AB$3,'energy base (MECS)'!$F$11,0.3*'energy base (MECS)'!$F$11,TRUE))</f>
        <v/>
      </c>
      <c r="AC28" s="68">
        <f t="array" ref="AC28">IF($D28,SUMPRODUCT((economics!$AG$2:$AG$167=$B28)*(economics!$D$2:$D$167="whr")*economics!$AH$2:$AH$167*_xlfn.NORM.DIST(AC$3,economics!$AK$2:$AK$167,economics!$AJ$2:$AJ$167,TRUE))+$CR28*_xlfn.NORM.DIST(AC$3,$CU28,0.3*$CU28,TRUE)+$CS28*_xlfn.NORM.DIST(AC$3,$CV28,0.3*$CV28,TRUE),$CW28*_xlfn.NORM.DIST(AC$3,'energy base (MECS)'!$F$11,0.3*'energy base (MECS)'!$F$11,TRUE))</f>
        <v/>
      </c>
      <c r="AD28" s="68">
        <f t="array" ref="AD28">IF($D28,SUMPRODUCT((economics!$AG$2:$AG$167=$B28)*(economics!$D$2:$D$167="whr")*economics!$AH$2:$AH$167*_xlfn.NORM.DIST(AD$3,economics!$AK$2:$AK$167,economics!$AJ$2:$AJ$167,TRUE))+$CR28*_xlfn.NORM.DIST(AD$3,$CU28,0.3*$CU28,TRUE)+$CS28*_xlfn.NORM.DIST(AD$3,$CV28,0.3*$CV28,TRUE),$CW28*_xlfn.NORM.DIST(AD$3,'energy base (MECS)'!$F$11,0.3*'energy base (MECS)'!$F$11,TRUE))</f>
        <v/>
      </c>
      <c r="AE28" s="68">
        <f t="array" ref="AE28">IF($D28,SUMPRODUCT((economics!$AG$2:$AG$167=$B28)*(economics!$D$2:$D$167="whr")*economics!$AH$2:$AH$167*_xlfn.NORM.DIST(AE$3,economics!$AK$2:$AK$167,economics!$AJ$2:$AJ$167,TRUE))+$CR28*_xlfn.NORM.DIST(AE$3,$CU28,0.3*$CU28,TRUE)+$CS28*_xlfn.NORM.DIST(AE$3,$CV28,0.3*$CV28,TRUE),$CW28*_xlfn.NORM.DIST(AE$3,'energy base (MECS)'!$F$11,0.3*'energy base (MECS)'!$F$11,TRUE))</f>
        <v/>
      </c>
      <c r="AF28" s="68">
        <f t="array" ref="AF28">IF($D28,SUMPRODUCT((economics!$AG$2:$AG$167=$B28)*(economics!$D$2:$D$167="whr")*economics!$AH$2:$AH$167*_xlfn.NORM.DIST(AF$3,economics!$AK$2:$AK$167,economics!$AJ$2:$AJ$167,TRUE))+$CR28*_xlfn.NORM.DIST(AF$3,$CU28,0.3*$CU28,TRUE)+$CS28*_xlfn.NORM.DIST(AF$3,$CV28,0.3*$CV28,TRUE),$CW28*_xlfn.NORM.DIST(AF$3,'energy base (MECS)'!$F$11,0.3*'energy base (MECS)'!$F$11,TRUE))</f>
        <v/>
      </c>
      <c r="AG28" s="68">
        <f t="array" ref="AG28">IF($D28,SUMPRODUCT((economics!$AG$2:$AG$167=$B28)*(economics!$D$2:$D$167="whr")*economics!$AH$2:$AH$167*_xlfn.NORM.DIST(AG$3,economics!$AK$2:$AK$167,economics!$AJ$2:$AJ$167,TRUE))+$CR28*_xlfn.NORM.DIST(AG$3,$CU28,0.3*$CU28,TRUE)+$CS28*_xlfn.NORM.DIST(AG$3,$CV28,0.3*$CV28,TRUE),$CW28*_xlfn.NORM.DIST(AG$3,'energy base (MECS)'!$F$11,0.3*'energy base (MECS)'!$F$11,TRUE))</f>
        <v/>
      </c>
      <c r="AH28" s="68">
        <f t="array" ref="AH28">IF($D28,SUMPRODUCT((economics!$AG$2:$AG$167=$B28)*(economics!$D$2:$D$167="whr")*economics!$AH$2:$AH$167*_xlfn.NORM.DIST(AH$3,economics!$AK$2:$AK$167,economics!$AJ$2:$AJ$167,TRUE))+$CR28*_xlfn.NORM.DIST(AH$3,$CU28,0.3*$CU28,TRUE)+$CS28*_xlfn.NORM.DIST(AH$3,$CV28,0.3*$CV28,TRUE),$CW28*_xlfn.NORM.DIST(AH$3,'energy base (MECS)'!$F$11,0.3*'energy base (MECS)'!$F$11,TRUE))</f>
        <v/>
      </c>
      <c r="AI28" s="68">
        <f t="array" ref="AI28">IF($D28,SUMPRODUCT((economics!$AG$2:$AG$167=$B28)*(economics!$D$2:$D$167="whr")*economics!$AH$2:$AH$167*_xlfn.NORM.DIST(AI$3,economics!$AK$2:$AK$167,economics!$AJ$2:$AJ$167,TRUE))+$CR28*_xlfn.NORM.DIST(AI$3,$CU28,0.3*$CU28,TRUE)+$CS28*_xlfn.NORM.DIST(AI$3,$CV28,0.3*$CV28,TRUE),$CW28*_xlfn.NORM.DIST(AI$3,'energy base (MECS)'!$F$11,0.3*'energy base (MECS)'!$F$11,TRUE))</f>
        <v/>
      </c>
      <c r="AJ28" s="68">
        <f t="array" ref="AJ28">IF($D28,SUMPRODUCT((economics!$AG$2:$AG$167=$B28)*(economics!$D$2:$D$167="whr")*economics!$AH$2:$AH$167*_xlfn.NORM.DIST(AJ$3,economics!$AK$2:$AK$167,economics!$AJ$2:$AJ$167,TRUE))+$CR28*_xlfn.NORM.DIST(AJ$3,$CU28,0.3*$CU28,TRUE)+$CS28*_xlfn.NORM.DIST(AJ$3,$CV28,0.3*$CV28,TRUE),$CW28*_xlfn.NORM.DIST(AJ$3,'energy base (MECS)'!$F$11,0.3*'energy base (MECS)'!$F$11,TRUE))</f>
        <v/>
      </c>
      <c r="AK28" s="68">
        <f t="array" ref="AK28">IF($D28,SUMPRODUCT((economics!$AG$2:$AG$167=$B28)*(economics!$D$2:$D$167="whr")*economics!$AH$2:$AH$167*_xlfn.NORM.DIST(AK$3,economics!$AK$2:$AK$167,economics!$AJ$2:$AJ$167,TRUE))+$CR28*_xlfn.NORM.DIST(AK$3,$CU28,0.3*$CU28,TRUE)+$CS28*_xlfn.NORM.DIST(AK$3,$CV28,0.3*$CV28,TRUE),$CW28*_xlfn.NORM.DIST(AK$3,'energy base (MECS)'!$F$11,0.3*'energy base (MECS)'!$F$11,TRUE))</f>
        <v/>
      </c>
      <c r="AL28" s="68">
        <f t="array" ref="AL28">IF($D28,SUMPRODUCT((economics!$AG$2:$AG$167=$B28)*(economics!$D$2:$D$167="whr")*economics!$AH$2:$AH$167*_xlfn.NORM.DIST(AL$3,economics!$AK$2:$AK$167,economics!$AJ$2:$AJ$167,TRUE))+$CR28*_xlfn.NORM.DIST(AL$3,$CU28,0.3*$CU28,TRUE)+$CS28*_xlfn.NORM.DIST(AL$3,$CV28,0.3*$CV28,TRUE),$CW28*_xlfn.NORM.DIST(AL$3,'energy base (MECS)'!$F$11,0.3*'energy base (MECS)'!$F$11,TRUE))</f>
        <v/>
      </c>
      <c r="AM28" s="68">
        <f t="array" ref="AM28">IF($D28,SUMPRODUCT((economics!$AG$2:$AG$167=$B28)*(economics!$D$2:$D$167="whr")*economics!$AH$2:$AH$167*_xlfn.NORM.DIST(AM$3,economics!$AK$2:$AK$167,economics!$AJ$2:$AJ$167,TRUE))+$CR28*_xlfn.NORM.DIST(AM$3,$CU28,0.3*$CU28,TRUE)+$CS28*_xlfn.NORM.DIST(AM$3,$CV28,0.3*$CV28,TRUE),$CW28*_xlfn.NORM.DIST(AM$3,'energy base (MECS)'!$F$11,0.3*'energy base (MECS)'!$F$11,TRUE))</f>
        <v/>
      </c>
      <c r="AN28" s="68">
        <f t="array" ref="AN28">IF($D28,SUMPRODUCT((economics!$AG$2:$AG$167=$B28)*(economics!$D$2:$D$167="whr")*economics!$AH$2:$AH$167*_xlfn.NORM.DIST(AN$3,economics!$AK$2:$AK$167,economics!$AJ$2:$AJ$167,TRUE))+$CR28*_xlfn.NORM.DIST(AN$3,$CU28,0.3*$CU28,TRUE)+$CS28*_xlfn.NORM.DIST(AN$3,$CV28,0.3*$CV28,TRUE),$CW28*_xlfn.NORM.DIST(AN$3,'energy base (MECS)'!$F$11,0.3*'energy base (MECS)'!$F$11,TRUE))</f>
        <v/>
      </c>
      <c r="AO28" s="68">
        <f t="array" ref="AO28">IF($D28,SUMPRODUCT((economics!$AG$2:$AG$167=$B28)*(economics!$D$2:$D$167="whr")*economics!$AH$2:$AH$167*_xlfn.NORM.DIST(AO$3,economics!$AK$2:$AK$167,economics!$AJ$2:$AJ$167,TRUE))+$CR28*_xlfn.NORM.DIST(AO$3,$CU28,0.3*$CU28,TRUE)+$CS28*_xlfn.NORM.DIST(AO$3,$CV28,0.3*$CV28,TRUE),$CW28*_xlfn.NORM.DIST(AO$3,'energy base (MECS)'!$F$11,0.3*'energy base (MECS)'!$F$11,TRUE))</f>
        <v/>
      </c>
      <c r="AP28" s="68">
        <f t="array" ref="AP28">IF($D28,SUMPRODUCT((economics!$AG$2:$AG$167=$B28)*(economics!$D$2:$D$167="whr")*economics!$AH$2:$AH$167*_xlfn.NORM.DIST(AP$3,economics!$AK$2:$AK$167,economics!$AJ$2:$AJ$167,TRUE))+$CR28*_xlfn.NORM.DIST(AP$3,$CU28,0.3*$CU28,TRUE)+$CS28*_xlfn.NORM.DIST(AP$3,$CV28,0.3*$CV28,TRUE),$CW28*_xlfn.NORM.DIST(AP$3,'energy base (MECS)'!$F$11,0.3*'energy base (MECS)'!$F$11,TRUE))</f>
        <v/>
      </c>
      <c r="AQ28" s="68">
        <f t="array" ref="AQ28">IF($D28,SUMPRODUCT((economics!$AG$2:$AG$167=$B28)*(economics!$D$2:$D$167="whr")*economics!$AH$2:$AH$167*_xlfn.NORM.DIST(AQ$3,economics!$AK$2:$AK$167,economics!$AJ$2:$AJ$167,TRUE))+$CR28*_xlfn.NORM.DIST(AQ$3,$CU28,0.3*$CU28,TRUE)+$CS28*_xlfn.NORM.DIST(AQ$3,$CV28,0.3*$CV28,TRUE),$CW28*_xlfn.NORM.DIST(AQ$3,'energy base (MECS)'!$F$11,0.3*'energy base (MECS)'!$F$11,TRUE))</f>
        <v/>
      </c>
      <c r="AR28" s="68">
        <f t="array" ref="AR28">IF($D28,SUMPRODUCT((economics!$AG$2:$AG$167=$B28)*(economics!$D$2:$D$167="whr")*economics!$AH$2:$AH$167*_xlfn.NORM.DIST(AR$3,economics!$AK$2:$AK$167,economics!$AJ$2:$AJ$167,TRUE))+$CR28*_xlfn.NORM.DIST(AR$3,$CU28,0.3*$CU28,TRUE)+$CS28*_xlfn.NORM.DIST(AR$3,$CV28,0.3*$CV28,TRUE),$CW28*_xlfn.NORM.DIST(AR$3,'energy base (MECS)'!$F$11,0.3*'energy base (MECS)'!$F$11,TRUE))</f>
        <v/>
      </c>
      <c r="AS28" s="68">
        <f t="array" ref="AS28">IF($D28,SUMPRODUCT((economics!$AG$2:$AG$167=$B28)*(economics!$D$2:$D$167="whr")*economics!$AH$2:$AH$167*_xlfn.NORM.DIST(AS$3,economics!$AK$2:$AK$167,economics!$AJ$2:$AJ$167,TRUE))+$CR28*_xlfn.NORM.DIST(AS$3,$CU28,0.3*$CU28,TRUE)+$CS28*_xlfn.NORM.DIST(AS$3,$CV28,0.3*$CV28,TRUE),$CW28*_xlfn.NORM.DIST(AS$3,'energy base (MECS)'!$F$11,0.3*'energy base (MECS)'!$F$11,TRUE))</f>
        <v/>
      </c>
      <c r="AT28" s="68">
        <f t="array" ref="AT28">IF($D28,SUMPRODUCT((economics!$AG$2:$AG$167=$B28)*(economics!$D$2:$D$167="whr")*economics!$AH$2:$AH$167*_xlfn.NORM.DIST(AT$3,economics!$AK$2:$AK$167,economics!$AJ$2:$AJ$167,TRUE))+$CR28*_xlfn.NORM.DIST(AT$3,$CU28,0.3*$CU28,TRUE)+$CS28*_xlfn.NORM.DIST(AT$3,$CV28,0.3*$CV28,TRUE),$CW28*_xlfn.NORM.DIST(AT$3,'energy base (MECS)'!$F$11,0.3*'energy base (MECS)'!$F$11,TRUE))</f>
        <v/>
      </c>
      <c r="AU28" s="68">
        <f t="array" ref="AU28">IF($D28,SUMPRODUCT((economics!$AG$2:$AG$167=$B28)*(economics!$D$2:$D$167="whr")*economics!$AH$2:$AH$167*_xlfn.NORM.DIST(AU$3,economics!$AK$2:$AK$167,economics!$AJ$2:$AJ$167,TRUE))+$CR28*_xlfn.NORM.DIST(AU$3,$CU28,0.3*$CU28,TRUE)+$CS28*_xlfn.NORM.DIST(AU$3,$CV28,0.3*$CV28,TRUE),$CW28*_xlfn.NORM.DIST(AU$3,'energy base (MECS)'!$F$11,0.3*'energy base (MECS)'!$F$11,TRUE))</f>
        <v/>
      </c>
      <c r="AV28" s="68">
        <f t="array" ref="AV28">IF($D28,SUMPRODUCT((economics!$AG$2:$AG$167=$B28)*(economics!$D$2:$D$167="whr")*economics!$AH$2:$AH$167*_xlfn.NORM.DIST(AV$3,economics!$AK$2:$AK$167,economics!$AJ$2:$AJ$167,TRUE))+$CR28*_xlfn.NORM.DIST(AV$3,$CU28,0.3*$CU28,TRUE)+$CS28*_xlfn.NORM.DIST(AV$3,$CV28,0.3*$CV28,TRUE),$CW28*_xlfn.NORM.DIST(AV$3,'energy base (MECS)'!$F$11,0.3*'energy base (MECS)'!$F$11,TRUE))</f>
        <v/>
      </c>
      <c r="AW28" s="68">
        <f t="array" ref="AW28">IF($D28,SUMPRODUCT((economics!$AG$2:$AG$167=$B28)*(economics!$D$2:$D$167="whr")*economics!$AH$2:$AH$167*_xlfn.NORM.DIST(AW$3,economics!$AK$2:$AK$167,economics!$AJ$2:$AJ$167,TRUE))+$CR28*_xlfn.NORM.DIST(AW$3,$CU28,0.3*$CU28,TRUE)+$CS28*_xlfn.NORM.DIST(AW$3,$CV28,0.3*$CV28,TRUE),$CW28*_xlfn.NORM.DIST(AW$3,'energy base (MECS)'!$F$11,0.3*'energy base (MECS)'!$F$11,TRUE))</f>
        <v/>
      </c>
      <c r="AX28" s="68">
        <f t="array" ref="AX28">IF($D28,SUMPRODUCT((economics!$AG$2:$AG$167=$B28)*(economics!$D$2:$D$167="whr")*economics!$AH$2:$AH$167*_xlfn.NORM.DIST(AX$3,economics!$AK$2:$AK$167,economics!$AJ$2:$AJ$167,TRUE))+$CR28*_xlfn.NORM.DIST(AX$3,$CU28,0.3*$CU28,TRUE)+$CS28*_xlfn.NORM.DIST(AX$3,$CV28,0.3*$CV28,TRUE),$CW28*_xlfn.NORM.DIST(AX$3,'energy base (MECS)'!$F$11,0.3*'energy base (MECS)'!$F$11,TRUE))</f>
        <v/>
      </c>
      <c r="AY28" s="68">
        <f t="array" ref="AY28">IF($D28,SUMPRODUCT((economics!$AG$2:$AG$167=$B28)*(economics!$D$2:$D$167="whr")*economics!$AH$2:$AH$167*_xlfn.NORM.DIST(AY$3,economics!$AK$2:$AK$167,economics!$AJ$2:$AJ$167,TRUE))+$CR28*_xlfn.NORM.DIST(AY$3,$CU28,0.3*$CU28,TRUE)+$CS28*_xlfn.NORM.DIST(AY$3,$CV28,0.3*$CV28,TRUE),$CW28*_xlfn.NORM.DIST(AY$3,'energy base (MECS)'!$F$11,0.3*'energy base (MECS)'!$F$11,TRUE))</f>
        <v/>
      </c>
      <c r="AZ28" s="68">
        <f t="array" ref="AZ28">IF($D28,SUMPRODUCT((economics!$AG$2:$AG$167=$B28)*(economics!$D$2:$D$167="whr")*economics!$AH$2:$AH$167*_xlfn.NORM.DIST(AZ$3,economics!$AK$2:$AK$167,economics!$AJ$2:$AJ$167,TRUE))+$CR28*_xlfn.NORM.DIST(AZ$3,$CU28,0.3*$CU28,TRUE)+$CS28*_xlfn.NORM.DIST(AZ$3,$CV28,0.3*$CV28,TRUE),$CW28*_xlfn.NORM.DIST(AZ$3,'energy base (MECS)'!$F$11,0.3*'energy base (MECS)'!$F$11,TRUE))</f>
        <v/>
      </c>
      <c r="BA28" s="68">
        <f t="array" ref="BA28">IF($D28,SUMPRODUCT((economics!$AG$2:$AG$167=$B28)*(economics!$D$2:$D$167="whr")*economics!$AH$2:$AH$167*_xlfn.NORM.DIST(BA$3,economics!$AK$2:$AK$167,economics!$AJ$2:$AJ$167,TRUE))+$CR28*_xlfn.NORM.DIST(BA$3,$CU28,0.3*$CU28,TRUE)+$CS28*_xlfn.NORM.DIST(BA$3,$CV28,0.3*$CV28,TRUE),$CW28*_xlfn.NORM.DIST(BA$3,'energy base (MECS)'!$F$11,0.3*'energy base (MECS)'!$F$11,TRUE))</f>
        <v/>
      </c>
      <c r="BB28" s="68">
        <f t="array" ref="BB28">IF($D28,SUMPRODUCT((economics!$AG$2:$AG$167=$B28)*(economics!$D$2:$D$167="whr")*economics!$AH$2:$AH$167*_xlfn.NORM.DIST(BB$3,economics!$AK$2:$AK$167,economics!$AJ$2:$AJ$167,TRUE))+$CR28*_xlfn.NORM.DIST(BB$3,$CU28,0.3*$CU28,TRUE)+$CS28*_xlfn.NORM.DIST(BB$3,$CV28,0.3*$CV28,TRUE),$CW28*_xlfn.NORM.DIST(BB$3,'energy base (MECS)'!$F$11,0.3*'energy base (MECS)'!$F$11,TRUE))</f>
        <v/>
      </c>
      <c r="BC28" s="68">
        <f t="array" ref="BC28">IF($D28,SUMPRODUCT((economics!$AG$2:$AG$167=$B28)*(economics!$D$2:$D$167="whr")*economics!$AH$2:$AH$167*_xlfn.NORM.DIST(BC$3,economics!$AK$2:$AK$167,economics!$AJ$2:$AJ$167,TRUE))+$CR28*_xlfn.NORM.DIST(BC$3,$CU28,0.3*$CU28,TRUE)+$CS28*_xlfn.NORM.DIST(BC$3,$CV28,0.3*$CV28,TRUE),$CW28*_xlfn.NORM.DIST(BC$3,'energy base (MECS)'!$F$11,0.3*'energy base (MECS)'!$F$11,TRUE))</f>
        <v/>
      </c>
      <c r="BD28" s="68">
        <f t="array" ref="BD28">IF($D28,SUMPRODUCT((economics!$AG$2:$AG$167=$B28)*(economics!$D$2:$D$167="whr")*economics!$AH$2:$AH$167*_xlfn.NORM.DIST(BD$3,economics!$AK$2:$AK$167,economics!$AJ$2:$AJ$167,TRUE))+$CR28*_xlfn.NORM.DIST(BD$3,$CU28,0.3*$CU28,TRUE)+$CS28*_xlfn.NORM.DIST(BD$3,$CV28,0.3*$CV28,TRUE),$CW28*_xlfn.NORM.DIST(BD$3,'energy base (MECS)'!$F$11,0.3*'energy base (MECS)'!$F$11,TRUE))</f>
        <v/>
      </c>
      <c r="BE28" s="68">
        <f t="array" ref="BE28">IF($D28,SUMPRODUCT((economics!$AG$2:$AG$167=$B28)*(economics!$D$2:$D$167="whr")*economics!$AH$2:$AH$167*_xlfn.NORM.DIST(BE$3,economics!$AK$2:$AK$167,economics!$AJ$2:$AJ$167,TRUE))+$CR28*_xlfn.NORM.DIST(BE$3,$CU28,0.3*$CU28,TRUE)+$CS28*_xlfn.NORM.DIST(BE$3,$CV28,0.3*$CV28,TRUE),$CW28*_xlfn.NORM.DIST(BE$3,'energy base (MECS)'!$F$11,0.3*'energy base (MECS)'!$F$11,TRUE))</f>
        <v/>
      </c>
      <c r="BF28" s="68">
        <f t="array" ref="BF28">IF($D28,SUMPRODUCT((economics!$AG$2:$AG$167=$B28)*(economics!$D$2:$D$167="whr")*economics!$AH$2:$AH$167*_xlfn.NORM.DIST(BF$3,economics!$AK$2:$AK$167,economics!$AJ$2:$AJ$167,TRUE))+$CR28*_xlfn.NORM.DIST(BF$3,$CU28,0.3*$CU28,TRUE)+$CS28*_xlfn.NORM.DIST(BF$3,$CV28,0.3*$CV28,TRUE),$CW28*_xlfn.NORM.DIST(BF$3,'energy base (MECS)'!$F$11,0.3*'energy base (MECS)'!$F$11,TRUE))</f>
        <v/>
      </c>
      <c r="BG28" s="68">
        <f t="array" ref="BG28">IF($D28,SUMPRODUCT((economics!$AG$2:$AG$167=$B28)*(economics!$D$2:$D$167="whr")*economics!$AH$2:$AH$167*_xlfn.NORM.DIST(BG$3,economics!$AK$2:$AK$167,economics!$AJ$2:$AJ$167,TRUE))+$CR28*_xlfn.NORM.DIST(BG$3,$CU28,0.3*$CU28,TRUE)+$CS28*_xlfn.NORM.DIST(BG$3,$CV28,0.3*$CV28,TRUE),$CW28*_xlfn.NORM.DIST(BG$3,'energy base (MECS)'!$F$11,0.3*'energy base (MECS)'!$F$11,TRUE))</f>
        <v/>
      </c>
      <c r="BH28" s="68">
        <f t="array" ref="BH28">IF($D28,SUMPRODUCT((economics!$AG$2:$AG$167=$B28)*(economics!$D$2:$D$167="whr")*economics!$AH$2:$AH$167*_xlfn.NORM.DIST(BH$3,economics!$AK$2:$AK$167,economics!$AJ$2:$AJ$167,TRUE))+$CR28*_xlfn.NORM.DIST(BH$3,$CU28,0.3*$CU28,TRUE)+$CS28*_xlfn.NORM.DIST(BH$3,$CV28,0.3*$CV28,TRUE),$CW28*_xlfn.NORM.DIST(BH$3,'energy base (MECS)'!$F$11,0.3*'energy base (MECS)'!$F$11,TRUE))</f>
        <v/>
      </c>
      <c r="BI28" s="68">
        <f t="array" ref="BI28">IF($D28,SUMPRODUCT((economics!$AG$2:$AG$167=$B28)*(economics!$D$2:$D$167="whr")*economics!$AH$2:$AH$167*_xlfn.NORM.DIST(BI$3,economics!$AK$2:$AK$167,economics!$AJ$2:$AJ$167,TRUE))+$CR28*_xlfn.NORM.DIST(BI$3,$CU28,0.3*$CU28,TRUE)+$CS28*_xlfn.NORM.DIST(BI$3,$CV28,0.3*$CV28,TRUE),$CW28*_xlfn.NORM.DIST(BI$3,'energy base (MECS)'!$F$11,0.3*'energy base (MECS)'!$F$11,TRUE))</f>
        <v/>
      </c>
      <c r="BJ28" s="68">
        <f t="array" ref="BJ28">IF($D28,SUMPRODUCT((economics!$AG$2:$AG$167=$B28)*(economics!$D$2:$D$167="whr")*economics!$AH$2:$AH$167*_xlfn.NORM.DIST(BJ$3,economics!$AK$2:$AK$167,economics!$AJ$2:$AJ$167,TRUE))+$CR28*_xlfn.NORM.DIST(BJ$3,$CU28,0.3*$CU28,TRUE)+$CS28*_xlfn.NORM.DIST(BJ$3,$CV28,0.3*$CV28,TRUE),$CW28*_xlfn.NORM.DIST(BJ$3,'energy base (MECS)'!$F$11,0.3*'energy base (MECS)'!$F$11,TRUE))</f>
        <v/>
      </c>
      <c r="BK28" s="68">
        <f t="array" ref="BK28">IF($D28,SUMPRODUCT((economics!$AG$2:$AG$167=$B28)*(economics!$D$2:$D$167="whr")*economics!$AH$2:$AH$167*_xlfn.NORM.DIST(BK$3,economics!$AK$2:$AK$167,economics!$AJ$2:$AJ$167,TRUE))+$CR28*_xlfn.NORM.DIST(BK$3,$CU28,0.3*$CU28,TRUE)+$CS28*_xlfn.NORM.DIST(BK$3,$CV28,0.3*$CV28,TRUE),$CW28*_xlfn.NORM.DIST(BK$3,'energy base (MECS)'!$F$11,0.3*'energy base (MECS)'!$F$11,TRUE))</f>
        <v/>
      </c>
      <c r="BL28" s="68">
        <f t="array" ref="BL28">IF($D28,SUMPRODUCT((economics!$AG$2:$AG$167=$B28)*(economics!$D$2:$D$167="whr")*economics!$AH$2:$AH$167*_xlfn.NORM.DIST(BL$3,economics!$AK$2:$AK$167,economics!$AJ$2:$AJ$167,TRUE))+$CR28*_xlfn.NORM.DIST(BL$3,$CU28,0.3*$CU28,TRUE)+$CS28*_xlfn.NORM.DIST(BL$3,$CV28,0.3*$CV28,TRUE),$CW28*_xlfn.NORM.DIST(BL$3,'energy base (MECS)'!$F$11,0.3*'energy base (MECS)'!$F$11,TRUE))</f>
        <v/>
      </c>
      <c r="BM28" s="68">
        <f t="array" ref="BM28">IF($D28,SUMPRODUCT((economics!$AG$2:$AG$167=$B28)*(economics!$D$2:$D$167="whr")*economics!$AH$2:$AH$167*_xlfn.NORM.DIST(BM$3,economics!$AK$2:$AK$167,economics!$AJ$2:$AJ$167,TRUE))+$CR28*_xlfn.NORM.DIST(BM$3,$CU28,0.3*$CU28,TRUE)+$CS28*_xlfn.NORM.DIST(BM$3,$CV28,0.3*$CV28,TRUE),$CW28*_xlfn.NORM.DIST(BM$3,'energy base (MECS)'!$F$11,0.3*'energy base (MECS)'!$F$11,TRUE))</f>
        <v/>
      </c>
      <c r="BN28" s="68">
        <f t="array" ref="BN28">IF($D28,SUMPRODUCT((economics!$AG$2:$AG$167=$B28)*(economics!$D$2:$D$167="whr")*economics!$AH$2:$AH$167*_xlfn.NORM.DIST(BN$3,economics!$AK$2:$AK$167,economics!$AJ$2:$AJ$167,TRUE))+$CR28*_xlfn.NORM.DIST(BN$3,$CU28,0.3*$CU28,TRUE)+$CS28*_xlfn.NORM.DIST(BN$3,$CV28,0.3*$CV28,TRUE),$CW28*_xlfn.NORM.DIST(BN$3,'energy base (MECS)'!$F$11,0.3*'energy base (MECS)'!$F$11,TRUE))</f>
        <v/>
      </c>
      <c r="BO28" s="68">
        <f t="array" ref="BO28">IF($D28,SUMPRODUCT((economics!$AG$2:$AG$167=$B28)*(economics!$D$2:$D$167="whr")*economics!$AH$2:$AH$167*_xlfn.NORM.DIST(BO$3,economics!$AK$2:$AK$167,economics!$AJ$2:$AJ$167,TRUE))+$CR28*_xlfn.NORM.DIST(BO$3,$CU28,0.3*$CU28,TRUE)+$CS28*_xlfn.NORM.DIST(BO$3,$CV28,0.3*$CV28,TRUE),$CW28*_xlfn.NORM.DIST(BO$3,'energy base (MECS)'!$F$11,0.3*'energy base (MECS)'!$F$11,TRUE))</f>
        <v/>
      </c>
      <c r="BP28" s="68">
        <f t="array" ref="BP28">IF($D28,SUMPRODUCT((economics!$AG$2:$AG$167=$B28)*(economics!$D$2:$D$167="whr")*economics!$AH$2:$AH$167*_xlfn.NORM.DIST(BP$3,economics!$AK$2:$AK$167,economics!$AJ$2:$AJ$167,TRUE))+$CR28*_xlfn.NORM.DIST(BP$3,$CU28,0.3*$CU28,TRUE)+$CS28*_xlfn.NORM.DIST(BP$3,$CV28,0.3*$CV28,TRUE),$CW28*_xlfn.NORM.DIST(BP$3,'energy base (MECS)'!$F$11,0.3*'energy base (MECS)'!$F$11,TRUE))</f>
        <v/>
      </c>
      <c r="BQ28" s="68">
        <f t="array" ref="BQ28">IF($D28,SUMPRODUCT((economics!$AG$2:$AG$167=$B28)*(economics!$D$2:$D$167="whr")*economics!$AH$2:$AH$167*_xlfn.NORM.DIST(BQ$3,economics!$AK$2:$AK$167,economics!$AJ$2:$AJ$167,TRUE))+$CR28*_xlfn.NORM.DIST(BQ$3,$CU28,0.3*$CU28,TRUE)+$CS28*_xlfn.NORM.DIST(BQ$3,$CV28,0.3*$CV28,TRUE),$CW28*_xlfn.NORM.DIST(BQ$3,'energy base (MECS)'!$F$11,0.3*'energy base (MECS)'!$F$11,TRUE))</f>
        <v/>
      </c>
      <c r="BR28" s="68">
        <f t="array" ref="BR28">IF($D28,SUMPRODUCT((economics!$AG$2:$AG$167=$B28)*(economics!$D$2:$D$167="whr")*economics!$AH$2:$AH$167*_xlfn.NORM.DIST(BR$3,economics!$AK$2:$AK$167,economics!$AJ$2:$AJ$167,TRUE))+$CR28*_xlfn.NORM.DIST(BR$3,$CU28,0.3*$CU28,TRUE)+$CS28*_xlfn.NORM.DIST(BR$3,$CV28,0.3*$CV28,TRUE),$CW28*_xlfn.NORM.DIST(BR$3,'energy base (MECS)'!$F$11,0.3*'energy base (MECS)'!$F$11,TRUE))</f>
        <v/>
      </c>
      <c r="BS28" s="68">
        <f t="array" ref="BS28">IF($D28,SUMPRODUCT((economics!$AG$2:$AG$167=$B28)*(economics!$D$2:$D$167="whr")*economics!$AH$2:$AH$167*_xlfn.NORM.DIST(BS$3,economics!$AK$2:$AK$167,economics!$AJ$2:$AJ$167,TRUE))+$CR28*_xlfn.NORM.DIST(BS$3,$CU28,0.3*$CU28,TRUE)+$CS28*_xlfn.NORM.DIST(BS$3,$CV28,0.3*$CV28,TRUE),$CW28*_xlfn.NORM.DIST(BS$3,'energy base (MECS)'!$F$11,0.3*'energy base (MECS)'!$F$11,TRUE))</f>
        <v/>
      </c>
      <c r="BT28" s="68">
        <f t="array" ref="BT28">IF($D28,SUMPRODUCT((economics!$AG$2:$AG$167=$B28)*(economics!$D$2:$D$167="whr")*economics!$AH$2:$AH$167*_xlfn.NORM.DIST(BT$3,economics!$AK$2:$AK$167,economics!$AJ$2:$AJ$167,TRUE))+$CR28*_xlfn.NORM.DIST(BT$3,$CU28,0.3*$CU28,TRUE)+$CS28*_xlfn.NORM.DIST(BT$3,$CV28,0.3*$CV28,TRUE),$CW28*_xlfn.NORM.DIST(BT$3,'energy base (MECS)'!$F$11,0.3*'energy base (MECS)'!$F$11,TRUE))</f>
        <v/>
      </c>
      <c r="BU28" s="68">
        <f t="array" ref="BU28">IF($D28,SUMPRODUCT((economics!$AG$2:$AG$167=$B28)*(economics!$D$2:$D$167="whr")*economics!$AH$2:$AH$167*_xlfn.NORM.DIST(BU$3,economics!$AK$2:$AK$167,economics!$AJ$2:$AJ$167,TRUE))+$CR28*_xlfn.NORM.DIST(BU$3,$CU28,0.3*$CU28,TRUE)+$CS28*_xlfn.NORM.DIST(BU$3,$CV28,0.3*$CV28,TRUE),$CW28*_xlfn.NORM.DIST(BU$3,'energy base (MECS)'!$F$11,0.3*'energy base (MECS)'!$F$11,TRUE))</f>
        <v/>
      </c>
      <c r="BV28" s="68">
        <f t="array" ref="BV28">IF($D28,SUMPRODUCT((economics!$AG$2:$AG$167=$B28)*(economics!$D$2:$D$167="whr")*economics!$AH$2:$AH$167*_xlfn.NORM.DIST(BV$3,economics!$AK$2:$AK$167,economics!$AJ$2:$AJ$167,TRUE))+$CR28*_xlfn.NORM.DIST(BV$3,$CU28,0.3*$CU28,TRUE)+$CS28*_xlfn.NORM.DIST(BV$3,$CV28,0.3*$CV28,TRUE),$CW28*_xlfn.NORM.DIST(BV$3,'energy base (MECS)'!$F$11,0.3*'energy base (MECS)'!$F$11,TRUE))</f>
        <v/>
      </c>
      <c r="BW28" s="68">
        <f t="array" ref="BW28">IF($D28,SUMPRODUCT((economics!$AG$2:$AG$167=$B28)*(economics!$D$2:$D$167="whr")*economics!$AH$2:$AH$167*_xlfn.NORM.DIST(BW$3,economics!$AK$2:$AK$167,economics!$AJ$2:$AJ$167,TRUE))+$CR28*_xlfn.NORM.DIST(BW$3,$CU28,0.3*$CU28,TRUE)+$CS28*_xlfn.NORM.DIST(BW$3,$CV28,0.3*$CV28,TRUE),$CW28*_xlfn.NORM.DIST(BW$3,'energy base (MECS)'!$F$11,0.3*'energy base (MECS)'!$F$11,TRUE))</f>
        <v/>
      </c>
      <c r="BX28" s="68">
        <f t="array" ref="BX28">IF($D28,SUMPRODUCT((economics!$AG$2:$AG$167=$B28)*(economics!$D$2:$D$167="whr")*economics!$AH$2:$AH$167*_xlfn.NORM.DIST(BX$3,economics!$AK$2:$AK$167,economics!$AJ$2:$AJ$167,TRUE))+$CR28*_xlfn.NORM.DIST(BX$3,$CU28,0.3*$CU28,TRUE)+$CS28*_xlfn.NORM.DIST(BX$3,$CV28,0.3*$CV28,TRUE),$CW28*_xlfn.NORM.DIST(BX$3,'energy base (MECS)'!$F$11,0.3*'energy base (MECS)'!$F$11,TRUE))</f>
        <v/>
      </c>
      <c r="BY28" s="68">
        <f t="array" ref="BY28">IF($D28,SUMPRODUCT((economics!$AG$2:$AG$167=$B28)*(economics!$D$2:$D$167="whr")*economics!$AH$2:$AH$167*_xlfn.NORM.DIST(BY$3,economics!$AK$2:$AK$167,economics!$AJ$2:$AJ$167,TRUE))+$CR28*_xlfn.NORM.DIST(BY$3,$CU28,0.3*$CU28,TRUE)+$CS28*_xlfn.NORM.DIST(BY$3,$CV28,0.3*$CV28,TRUE),$CW28*_xlfn.NORM.DIST(BY$3,'energy base (MECS)'!$F$11,0.3*'energy base (MECS)'!$F$11,TRUE))</f>
        <v/>
      </c>
      <c r="BZ28" s="68">
        <f t="array" ref="BZ28">IF($D28,SUMPRODUCT((economics!$AG$2:$AG$167=$B28)*(economics!$D$2:$D$167="whr")*economics!$AH$2:$AH$167*_xlfn.NORM.DIST(BZ$3,economics!$AK$2:$AK$167,economics!$AJ$2:$AJ$167,TRUE))+$CR28*_xlfn.NORM.DIST(BZ$3,$CU28,0.3*$CU28,TRUE)+$CS28*_xlfn.NORM.DIST(BZ$3,$CV28,0.3*$CV28,TRUE),$CW28*_xlfn.NORM.DIST(BZ$3,'energy base (MECS)'!$F$11,0.3*'energy base (MECS)'!$F$11,TRUE))</f>
        <v/>
      </c>
      <c r="CA28" s="68">
        <f t="array" ref="CA28">IF($D28,SUMPRODUCT((economics!$AG$2:$AG$167=$B28)*(economics!$D$2:$D$167="whr")*economics!$AH$2:$AH$167*_xlfn.NORM.DIST(CA$3,economics!$AK$2:$AK$167,economics!$AJ$2:$AJ$167,TRUE))+$CR28*_xlfn.NORM.DIST(CA$3,$CU28,0.3*$CU28,TRUE)+$CS28*_xlfn.NORM.DIST(CA$3,$CV28,0.3*$CV28,TRUE),$CW28*_xlfn.NORM.DIST(CA$3,'energy base (MECS)'!$F$11,0.3*'energy base (MECS)'!$F$11,TRUE))</f>
        <v/>
      </c>
      <c r="CB28" s="68">
        <f t="array" ref="CB28">IF($D28,SUMPRODUCT((economics!$AG$2:$AG$167=$B28)*(economics!$D$2:$D$167="whr")*economics!$AH$2:$AH$167*_xlfn.NORM.DIST(CB$3,economics!$AK$2:$AK$167,economics!$AJ$2:$AJ$167,TRUE))+$CR28*_xlfn.NORM.DIST(CB$3,$CU28,0.3*$CU28,TRUE)+$CS28*_xlfn.NORM.DIST(CB$3,$CV28,0.3*$CV28,TRUE),$CW28*_xlfn.NORM.DIST(CB$3,'energy base (MECS)'!$F$11,0.3*'energy base (MECS)'!$F$11,TRUE))</f>
        <v/>
      </c>
      <c r="CC28" s="68">
        <f t="array" ref="CC28">IF($D28,SUMPRODUCT((economics!$AG$2:$AG$167=$B28)*(economics!$D$2:$D$167="whr")*economics!$AH$2:$AH$167*_xlfn.NORM.DIST(CC$3,economics!$AK$2:$AK$167,economics!$AJ$2:$AJ$167,TRUE))+$CR28*_xlfn.NORM.DIST(CC$3,$CU28,0.3*$CU28,TRUE)+$CS28*_xlfn.NORM.DIST(CC$3,$CV28,0.3*$CV28,TRUE),$CW28*_xlfn.NORM.DIST(CC$3,'energy base (MECS)'!$F$11,0.3*'energy base (MECS)'!$F$11,TRUE))</f>
        <v/>
      </c>
      <c r="CD28" s="68">
        <f t="array" ref="CD28">IF($D28,SUMPRODUCT((economics!$AG$2:$AG$167=$B28)*(economics!$D$2:$D$167="whr")*economics!$AH$2:$AH$167*_xlfn.NORM.DIST(CD$3,economics!$AK$2:$AK$167,economics!$AJ$2:$AJ$167,TRUE))+$CR28*_xlfn.NORM.DIST(CD$3,$CU28,0.3*$CU28,TRUE)+$CS28*_xlfn.NORM.DIST(CD$3,$CV28,0.3*$CV28,TRUE),$CW28*_xlfn.NORM.DIST(CD$3,'energy base (MECS)'!$F$11,0.3*'energy base (MECS)'!$F$11,TRUE))</f>
        <v/>
      </c>
      <c r="CE28" s="68">
        <f t="array" ref="CE28">IF($D28,SUMPRODUCT((economics!$AG$2:$AG$167=$B28)*(economics!$D$2:$D$167="whr")*economics!$AH$2:$AH$167*_xlfn.NORM.DIST(CE$3,economics!$AK$2:$AK$167,economics!$AJ$2:$AJ$167,TRUE))+$CR28*_xlfn.NORM.DIST(CE$3,$CU28,0.3*$CU28,TRUE)+$CS28*_xlfn.NORM.DIST(CE$3,$CV28,0.3*$CV28,TRUE),$CW28*_xlfn.NORM.DIST(CE$3,'energy base (MECS)'!$F$11,0.3*'energy base (MECS)'!$F$11,TRUE))</f>
        <v/>
      </c>
      <c r="CF28" s="68">
        <f t="array" ref="CF28">IF($D28,SUMPRODUCT((economics!$AG$2:$AG$167=$B28)*(economics!$D$2:$D$167="whr")*economics!$AH$2:$AH$167*_xlfn.NORM.DIST(CF$3,economics!$AK$2:$AK$167,economics!$AJ$2:$AJ$167,TRUE))+$CR28*_xlfn.NORM.DIST(CF$3,$CU28,0.3*$CU28,TRUE)+$CS28*_xlfn.NORM.DIST(CF$3,$CV28,0.3*$CV28,TRUE),$CW28*_xlfn.NORM.DIST(CF$3,'energy base (MECS)'!$F$11,0.3*'energy base (MECS)'!$F$11,TRUE))</f>
        <v/>
      </c>
      <c r="CG28" s="68">
        <f t="array" ref="CG28">IF($D28,SUMPRODUCT((economics!$AG$2:$AG$167=$B28)*(economics!$D$2:$D$167="whr")*economics!$AH$2:$AH$167*_xlfn.NORM.DIST(CG$3,economics!$AK$2:$AK$167,economics!$AJ$2:$AJ$167,TRUE))+$CR28*_xlfn.NORM.DIST(CG$3,$CU28,0.3*$CU28,TRUE)+$CS28*_xlfn.NORM.DIST(CG$3,$CV28,0.3*$CV28,TRUE),$CW28*_xlfn.NORM.DIST(CG$3,'energy base (MECS)'!$F$11,0.3*'energy base (MECS)'!$F$11,TRUE))</f>
        <v/>
      </c>
      <c r="CH28" s="68">
        <f t="array" ref="CH28">IF($D28,SUMPRODUCT((economics!$AG$2:$AG$167=$B28)*(economics!$D$2:$D$167="whr")*economics!$AH$2:$AH$167*_xlfn.NORM.DIST(CH$3,economics!$AK$2:$AK$167,economics!$AJ$2:$AJ$167,TRUE))+$CR28*_xlfn.NORM.DIST(CH$3,$CU28,0.3*$CU28,TRUE)+$CS28*_xlfn.NORM.DIST(CH$3,$CV28,0.3*$CV28,TRUE),$CW28*_xlfn.NORM.DIST(CH$3,'energy base (MECS)'!$F$11,0.3*'energy base (MECS)'!$F$11,TRUE))</f>
        <v/>
      </c>
      <c r="CJ28">
        <f t="array" ref="CJ28">SUMPRODUCT((economics!$AG$2:$AG$167=$B28)*(economics!$D$2:$D$167="whr")*economics!$AH$2:$AH$167)</f>
        <v/>
      </c>
      <c r="CK28" s="80">
        <f>'indst heat consumption'!D28</f>
        <v/>
      </c>
      <c r="CL28" s="80">
        <f>'indst heat consumption'!E28</f>
        <v/>
      </c>
      <c r="CM28" s="80">
        <f>'indst heat consumption'!F28</f>
        <v/>
      </c>
      <c r="CN28" s="80">
        <f>'indst heat consumption'!G28</f>
        <v/>
      </c>
      <c r="CO28" s="80">
        <f>'indst heat consumption'!H28</f>
        <v/>
      </c>
      <c r="CP28">
        <f>$C28*(CK28*summary!$B$94+CL28*summary!$C$94+CM28*summary!$D$94)</f>
        <v/>
      </c>
      <c r="CQ28">
        <f>$C28*(CN28*summary!$E$94+CO28*summary!$F$94)</f>
        <v/>
      </c>
      <c r="CR28">
        <f>IF(CP28+CQ28&gt;0,CP28*MAX(0,CP28+CQ28-CJ28)/(CP28+CQ28),0)</f>
        <v/>
      </c>
      <c r="CS28">
        <f>IF(CP28+CQ28&gt;0,CQ28*MAX(0,CP28+CQ28-CJ28)/(CP28+CQ28),0)</f>
        <v/>
      </c>
      <c r="CT28">
        <f>IFERROR(_xlfn.XLOOKUP($B28,'BCoISC-WACCbI'!$C$2:$C$26,'BCoISC-WACCbI'!$B$2:$B$26)+economics!$AE$4,0.1)</f>
        <v/>
      </c>
      <c r="CU28">
        <f>(summary!$C$7*(CT28/(1-(1+CT28)^-summary!$D$7))+summary!$C$7*summary!$E$7)/(summary!$F$7*3412/1000000)</f>
        <v/>
      </c>
      <c r="CV28">
        <f>(summary!$C$6*(CT28/(1-(1+CT28)^-summary!$D$6))+summary!$C$6*summary!$E$6)/(summary!$F$6*3412/1000000)</f>
        <v/>
      </c>
      <c r="CW28">
        <f>CR28+CS28</f>
        <v/>
      </c>
    </row>
    <row r="30">
      <c r="A30" t="inlineStr">
        <is>
          <t>bin lower edges (helper)</t>
        </is>
      </c>
      <c r="E30" t="n">
        <v>-9999</v>
      </c>
      <c r="F30" t="n">
        <v>0</v>
      </c>
      <c r="G30" t="n">
        <v>0.25</v>
      </c>
      <c r="H30" t="n">
        <v>0.5</v>
      </c>
      <c r="I30" t="n">
        <v>0.75</v>
      </c>
      <c r="J30" t="n">
        <v>1</v>
      </c>
      <c r="K30" t="n">
        <v>1.25</v>
      </c>
      <c r="L30" t="n">
        <v>1.5</v>
      </c>
      <c r="M30" t="n">
        <v>1.75</v>
      </c>
      <c r="N30" t="n">
        <v>2</v>
      </c>
      <c r="O30" t="n">
        <v>2.25</v>
      </c>
      <c r="P30" t="n">
        <v>2.5</v>
      </c>
      <c r="Q30" t="n">
        <v>2.75</v>
      </c>
      <c r="R30" t="n">
        <v>3</v>
      </c>
      <c r="S30" t="n">
        <v>3.25</v>
      </c>
      <c r="T30" t="n">
        <v>3.5</v>
      </c>
      <c r="U30" t="n">
        <v>3.75</v>
      </c>
      <c r="V30" t="n">
        <v>4</v>
      </c>
      <c r="W30" t="n">
        <v>4.25</v>
      </c>
      <c r="X30" t="n">
        <v>4.5</v>
      </c>
      <c r="Y30" t="n">
        <v>4.75</v>
      </c>
      <c r="Z30" t="n">
        <v>5</v>
      </c>
      <c r="AA30" t="n">
        <v>5.25</v>
      </c>
      <c r="AB30" t="n">
        <v>5.5</v>
      </c>
      <c r="AC30" t="n">
        <v>5.75</v>
      </c>
      <c r="AD30" t="n">
        <v>6</v>
      </c>
      <c r="AE30" t="n">
        <v>6.25</v>
      </c>
      <c r="AF30" t="n">
        <v>6.5</v>
      </c>
      <c r="AG30" t="n">
        <v>6.75</v>
      </c>
      <c r="AH30" t="n">
        <v>7</v>
      </c>
      <c r="AI30" t="n">
        <v>7.25</v>
      </c>
      <c r="AJ30" t="n">
        <v>7.5</v>
      </c>
      <c r="AK30" t="n">
        <v>7.75</v>
      </c>
      <c r="AL30" t="n">
        <v>8</v>
      </c>
      <c r="AM30" t="n">
        <v>8.25</v>
      </c>
      <c r="AN30" t="n">
        <v>8.5</v>
      </c>
      <c r="AO30" t="n">
        <v>8.75</v>
      </c>
      <c r="AP30" t="n">
        <v>9</v>
      </c>
      <c r="AQ30" t="n">
        <v>9.25</v>
      </c>
      <c r="AR30" t="n">
        <v>9.5</v>
      </c>
      <c r="AS30" t="n">
        <v>9.75</v>
      </c>
      <c r="AT30" t="n">
        <v>10</v>
      </c>
      <c r="AU30" t="n">
        <v>10.25</v>
      </c>
      <c r="AV30" t="n">
        <v>10.5</v>
      </c>
      <c r="AW30" t="n">
        <v>10.75</v>
      </c>
      <c r="AX30" t="n">
        <v>11</v>
      </c>
      <c r="AY30" t="n">
        <v>11.25</v>
      </c>
      <c r="AZ30" t="n">
        <v>11.5</v>
      </c>
      <c r="BA30" t="n">
        <v>11.75</v>
      </c>
      <c r="BB30" t="n">
        <v>12</v>
      </c>
      <c r="BC30" t="n">
        <v>12.25</v>
      </c>
      <c r="BD30" t="n">
        <v>12.5</v>
      </c>
      <c r="BE30" t="n">
        <v>12.75</v>
      </c>
      <c r="BF30" t="n">
        <v>13</v>
      </c>
      <c r="BG30" t="n">
        <v>13.25</v>
      </c>
      <c r="BH30" t="n">
        <v>13.5</v>
      </c>
      <c r="BI30" t="n">
        <v>13.75</v>
      </c>
      <c r="BJ30" t="n">
        <v>14</v>
      </c>
      <c r="BK30" t="n">
        <v>14.25</v>
      </c>
      <c r="BL30" t="n">
        <v>14.5</v>
      </c>
      <c r="BM30" t="n">
        <v>14.75</v>
      </c>
      <c r="BN30" t="n">
        <v>15</v>
      </c>
      <c r="BO30" t="n">
        <v>15.25</v>
      </c>
      <c r="BP30" t="n">
        <v>15.5</v>
      </c>
      <c r="BQ30" t="n">
        <v>15.75</v>
      </c>
      <c r="BR30" t="n">
        <v>16</v>
      </c>
      <c r="BS30" t="n">
        <v>16.25</v>
      </c>
      <c r="BT30" t="n">
        <v>16.5</v>
      </c>
      <c r="BU30" t="n">
        <v>16.75</v>
      </c>
      <c r="BV30" t="n">
        <v>17</v>
      </c>
      <c r="BW30" t="n">
        <v>17.25</v>
      </c>
      <c r="BX30" t="n">
        <v>17.5</v>
      </c>
      <c r="BY30" t="n">
        <v>17.75</v>
      </c>
      <c r="BZ30" t="n">
        <v>18</v>
      </c>
      <c r="CA30" t="n">
        <v>18.25</v>
      </c>
      <c r="CB30" t="n">
        <v>18.5</v>
      </c>
      <c r="CC30" t="n">
        <v>18.75</v>
      </c>
      <c r="CD30" t="n">
        <v>19</v>
      </c>
      <c r="CE30" t="n">
        <v>19.25</v>
      </c>
      <c r="CF30" t="n">
        <v>19.5</v>
      </c>
      <c r="CG30" t="n">
        <v>19.75</v>
      </c>
      <c r="CH30" t="n">
        <v>20</v>
      </c>
    </row>
    <row r="31">
      <c r="A31" s="1" t="inlineStr">
        <is>
          <t>Per-bin capital intensity (2012$ per MMBtu/yr of savings capacity) — savings-weighted</t>
        </is>
      </c>
    </row>
    <row r="33">
      <c r="A33">
        <f>A4</f>
        <v/>
      </c>
      <c r="B33">
        <f>B4</f>
        <v/>
      </c>
      <c r="E33">
        <f t="array" ref="E33">IF($D4,IFERROR((SUMPRODUCT((economics!$AG$2:$AG$167=$B33)*(economics!$D$2:$D$167="whr")*economics!$AH$2:$AH$167*(_xlfn.NORM.DIST(E$3,economics!$AK$2:$AK$167,economics!$AJ$2:$AJ$167,TRUE)-_xlfn.NORM.DIST(E$30,economics!$AK$2:$AK$167,economics!$AJ$2:$AJ$167,TRUE))*economics!$AM$2:$AM$167)+$CR4*(_xlfn.NORM.DIST(E$3,$CU4,0.3*$CU4,TRUE)-_xlfn.NORM.DIST(E$30,$CU4,0.3*$CU4,TRUE))*summary!$C$7/28.8/0.947817+$CS4*(_xlfn.NORM.DIST(E$3,$CV4,0.3*$CV4,TRUE)-_xlfn.NORM.DIST(E$30,$CV4,0.3*$CV4,TRUE))*summary!$C$6/28.8/0.947817)/(SUMPRODUCT((economics!$AG$2:$AG$167=$B33)*(economics!$D$2:$D$167="whr")*economics!$AH$2:$AH$167*(_xlfn.NORM.DIST(E$3,economics!$AK$2:$AK$167,economics!$AJ$2:$AJ$167,TRUE)-_xlfn.NORM.DIST(E$30,economics!$AK$2:$AK$167,economics!$AJ$2:$AJ$167,TRUE)))+$CR4*(_xlfn.NORM.DIST(E$3,$CU4,0.3*$CU4,TRUE)-_xlfn.NORM.DIST(E$30,$CU4,0.3*$CU4,TRUE))+$CS4*(_xlfn.NORM.DIST(E$3,$CV4,0.3*$CV4,TRUE)-_xlfn.NORM.DIST(E$30,$CV4,0.3*$CV4,TRUE))),""),IF($C4&gt;0,summary!$C$10/28.8/0.947817,""))</f>
        <v/>
      </c>
      <c r="F33">
        <f t="array" ref="F33">IF($D4,IFERROR((SUMPRODUCT((economics!$AG$2:$AG$167=$B33)*(economics!$D$2:$D$167="whr")*economics!$AH$2:$AH$167*(_xlfn.NORM.DIST(F$3,economics!$AK$2:$AK$167,economics!$AJ$2:$AJ$167,TRUE)-_xlfn.NORM.DIST(F$30,economics!$AK$2:$AK$167,economics!$AJ$2:$AJ$167,TRUE))*economics!$AM$2:$AM$167)+$CR4*(_xlfn.NORM.DIST(F$3,$CU4,0.3*$CU4,TRUE)-_xlfn.NORM.DIST(F$30,$CU4,0.3*$CU4,TRUE))*summary!$C$7/28.8/0.947817+$CS4*(_xlfn.NORM.DIST(F$3,$CV4,0.3*$CV4,TRUE)-_xlfn.NORM.DIST(F$30,$CV4,0.3*$CV4,TRUE))*summary!$C$6/28.8/0.947817)/(SUMPRODUCT((economics!$AG$2:$AG$167=$B33)*(economics!$D$2:$D$167="whr")*economics!$AH$2:$AH$167*(_xlfn.NORM.DIST(F$3,economics!$AK$2:$AK$167,economics!$AJ$2:$AJ$167,TRUE)-_xlfn.NORM.DIST(F$30,economics!$AK$2:$AK$167,economics!$AJ$2:$AJ$167,TRUE)))+$CR4*(_xlfn.NORM.DIST(F$3,$CU4,0.3*$CU4,TRUE)-_xlfn.NORM.DIST(F$30,$CU4,0.3*$CU4,TRUE))+$CS4*(_xlfn.NORM.DIST(F$3,$CV4,0.3*$CV4,TRUE)-_xlfn.NORM.DIST(F$30,$CV4,0.3*$CV4,TRUE))),""),IF($C4&gt;0,summary!$C$10/28.8/0.947817,""))</f>
        <v/>
      </c>
      <c r="G33">
        <f t="array" ref="G33">IF($D4,IFERROR((SUMPRODUCT((economics!$AG$2:$AG$167=$B33)*(economics!$D$2:$D$167="whr")*economics!$AH$2:$AH$167*(_xlfn.NORM.DIST(G$3,economics!$AK$2:$AK$167,economics!$AJ$2:$AJ$167,TRUE)-_xlfn.NORM.DIST(G$30,economics!$AK$2:$AK$167,economics!$AJ$2:$AJ$167,TRUE))*economics!$AM$2:$AM$167)+$CR4*(_xlfn.NORM.DIST(G$3,$CU4,0.3*$CU4,TRUE)-_xlfn.NORM.DIST(G$30,$CU4,0.3*$CU4,TRUE))*summary!$C$7/28.8/0.947817+$CS4*(_xlfn.NORM.DIST(G$3,$CV4,0.3*$CV4,TRUE)-_xlfn.NORM.DIST(G$30,$CV4,0.3*$CV4,TRUE))*summary!$C$6/28.8/0.947817)/(SUMPRODUCT((economics!$AG$2:$AG$167=$B33)*(economics!$D$2:$D$167="whr")*economics!$AH$2:$AH$167*(_xlfn.NORM.DIST(G$3,economics!$AK$2:$AK$167,economics!$AJ$2:$AJ$167,TRUE)-_xlfn.NORM.DIST(G$30,economics!$AK$2:$AK$167,economics!$AJ$2:$AJ$167,TRUE)))+$CR4*(_xlfn.NORM.DIST(G$3,$CU4,0.3*$CU4,TRUE)-_xlfn.NORM.DIST(G$30,$CU4,0.3*$CU4,TRUE))+$CS4*(_xlfn.NORM.DIST(G$3,$CV4,0.3*$CV4,TRUE)-_xlfn.NORM.DIST(G$30,$CV4,0.3*$CV4,TRUE))),""),IF($C4&gt;0,summary!$C$10/28.8/0.947817,""))</f>
        <v/>
      </c>
      <c r="H33">
        <f t="array" ref="H33">IF($D4,IFERROR((SUMPRODUCT((economics!$AG$2:$AG$167=$B33)*(economics!$D$2:$D$167="whr")*economics!$AH$2:$AH$167*(_xlfn.NORM.DIST(H$3,economics!$AK$2:$AK$167,economics!$AJ$2:$AJ$167,TRUE)-_xlfn.NORM.DIST(H$30,economics!$AK$2:$AK$167,economics!$AJ$2:$AJ$167,TRUE))*economics!$AM$2:$AM$167)+$CR4*(_xlfn.NORM.DIST(H$3,$CU4,0.3*$CU4,TRUE)-_xlfn.NORM.DIST(H$30,$CU4,0.3*$CU4,TRUE))*summary!$C$7/28.8/0.947817+$CS4*(_xlfn.NORM.DIST(H$3,$CV4,0.3*$CV4,TRUE)-_xlfn.NORM.DIST(H$30,$CV4,0.3*$CV4,TRUE))*summary!$C$6/28.8/0.947817)/(SUMPRODUCT((economics!$AG$2:$AG$167=$B33)*(economics!$D$2:$D$167="whr")*economics!$AH$2:$AH$167*(_xlfn.NORM.DIST(H$3,economics!$AK$2:$AK$167,economics!$AJ$2:$AJ$167,TRUE)-_xlfn.NORM.DIST(H$30,economics!$AK$2:$AK$167,economics!$AJ$2:$AJ$167,TRUE)))+$CR4*(_xlfn.NORM.DIST(H$3,$CU4,0.3*$CU4,TRUE)-_xlfn.NORM.DIST(H$30,$CU4,0.3*$CU4,TRUE))+$CS4*(_xlfn.NORM.DIST(H$3,$CV4,0.3*$CV4,TRUE)-_xlfn.NORM.DIST(H$30,$CV4,0.3*$CV4,TRUE))),""),IF($C4&gt;0,summary!$C$10/28.8/0.947817,""))</f>
        <v/>
      </c>
      <c r="I33">
        <f t="array" ref="I33">IF($D4,IFERROR((SUMPRODUCT((economics!$AG$2:$AG$167=$B33)*(economics!$D$2:$D$167="whr")*economics!$AH$2:$AH$167*(_xlfn.NORM.DIST(I$3,economics!$AK$2:$AK$167,economics!$AJ$2:$AJ$167,TRUE)-_xlfn.NORM.DIST(I$30,economics!$AK$2:$AK$167,economics!$AJ$2:$AJ$167,TRUE))*economics!$AM$2:$AM$167)+$CR4*(_xlfn.NORM.DIST(I$3,$CU4,0.3*$CU4,TRUE)-_xlfn.NORM.DIST(I$30,$CU4,0.3*$CU4,TRUE))*summary!$C$7/28.8/0.947817+$CS4*(_xlfn.NORM.DIST(I$3,$CV4,0.3*$CV4,TRUE)-_xlfn.NORM.DIST(I$30,$CV4,0.3*$CV4,TRUE))*summary!$C$6/28.8/0.947817)/(SUMPRODUCT((economics!$AG$2:$AG$167=$B33)*(economics!$D$2:$D$167="whr")*economics!$AH$2:$AH$167*(_xlfn.NORM.DIST(I$3,economics!$AK$2:$AK$167,economics!$AJ$2:$AJ$167,TRUE)-_xlfn.NORM.DIST(I$30,economics!$AK$2:$AK$167,economics!$AJ$2:$AJ$167,TRUE)))+$CR4*(_xlfn.NORM.DIST(I$3,$CU4,0.3*$CU4,TRUE)-_xlfn.NORM.DIST(I$30,$CU4,0.3*$CU4,TRUE))+$CS4*(_xlfn.NORM.DIST(I$3,$CV4,0.3*$CV4,TRUE)-_xlfn.NORM.DIST(I$30,$CV4,0.3*$CV4,TRUE))),""),IF($C4&gt;0,summary!$C$10/28.8/0.947817,""))</f>
        <v/>
      </c>
      <c r="J33">
        <f t="array" ref="J33">IF($D4,IFERROR((SUMPRODUCT((economics!$AG$2:$AG$167=$B33)*(economics!$D$2:$D$167="whr")*economics!$AH$2:$AH$167*(_xlfn.NORM.DIST(J$3,economics!$AK$2:$AK$167,economics!$AJ$2:$AJ$167,TRUE)-_xlfn.NORM.DIST(J$30,economics!$AK$2:$AK$167,economics!$AJ$2:$AJ$167,TRUE))*economics!$AM$2:$AM$167)+$CR4*(_xlfn.NORM.DIST(J$3,$CU4,0.3*$CU4,TRUE)-_xlfn.NORM.DIST(J$30,$CU4,0.3*$CU4,TRUE))*summary!$C$7/28.8/0.947817+$CS4*(_xlfn.NORM.DIST(J$3,$CV4,0.3*$CV4,TRUE)-_xlfn.NORM.DIST(J$30,$CV4,0.3*$CV4,TRUE))*summary!$C$6/28.8/0.947817)/(SUMPRODUCT((economics!$AG$2:$AG$167=$B33)*(economics!$D$2:$D$167="whr")*economics!$AH$2:$AH$167*(_xlfn.NORM.DIST(J$3,economics!$AK$2:$AK$167,economics!$AJ$2:$AJ$167,TRUE)-_xlfn.NORM.DIST(J$30,economics!$AK$2:$AK$167,economics!$AJ$2:$AJ$167,TRUE)))+$CR4*(_xlfn.NORM.DIST(J$3,$CU4,0.3*$CU4,TRUE)-_xlfn.NORM.DIST(J$30,$CU4,0.3*$CU4,TRUE))+$CS4*(_xlfn.NORM.DIST(J$3,$CV4,0.3*$CV4,TRUE)-_xlfn.NORM.DIST(J$30,$CV4,0.3*$CV4,TRUE))),""),IF($C4&gt;0,summary!$C$10/28.8/0.947817,""))</f>
        <v/>
      </c>
      <c r="K33">
        <f t="array" ref="K33">IF($D4,IFERROR((SUMPRODUCT((economics!$AG$2:$AG$167=$B33)*(economics!$D$2:$D$167="whr")*economics!$AH$2:$AH$167*(_xlfn.NORM.DIST(K$3,economics!$AK$2:$AK$167,economics!$AJ$2:$AJ$167,TRUE)-_xlfn.NORM.DIST(K$30,economics!$AK$2:$AK$167,economics!$AJ$2:$AJ$167,TRUE))*economics!$AM$2:$AM$167)+$CR4*(_xlfn.NORM.DIST(K$3,$CU4,0.3*$CU4,TRUE)-_xlfn.NORM.DIST(K$30,$CU4,0.3*$CU4,TRUE))*summary!$C$7/28.8/0.947817+$CS4*(_xlfn.NORM.DIST(K$3,$CV4,0.3*$CV4,TRUE)-_xlfn.NORM.DIST(K$30,$CV4,0.3*$CV4,TRUE))*summary!$C$6/28.8/0.947817)/(SUMPRODUCT((economics!$AG$2:$AG$167=$B33)*(economics!$D$2:$D$167="whr")*economics!$AH$2:$AH$167*(_xlfn.NORM.DIST(K$3,economics!$AK$2:$AK$167,economics!$AJ$2:$AJ$167,TRUE)-_xlfn.NORM.DIST(K$30,economics!$AK$2:$AK$167,economics!$AJ$2:$AJ$167,TRUE)))+$CR4*(_xlfn.NORM.DIST(K$3,$CU4,0.3*$CU4,TRUE)-_xlfn.NORM.DIST(K$30,$CU4,0.3*$CU4,TRUE))+$CS4*(_xlfn.NORM.DIST(K$3,$CV4,0.3*$CV4,TRUE)-_xlfn.NORM.DIST(K$30,$CV4,0.3*$CV4,TRUE))),""),IF($C4&gt;0,summary!$C$10/28.8/0.947817,""))</f>
        <v/>
      </c>
      <c r="L33">
        <f t="array" ref="L33">IF($D4,IFERROR((SUMPRODUCT((economics!$AG$2:$AG$167=$B33)*(economics!$D$2:$D$167="whr")*economics!$AH$2:$AH$167*(_xlfn.NORM.DIST(L$3,economics!$AK$2:$AK$167,economics!$AJ$2:$AJ$167,TRUE)-_xlfn.NORM.DIST(L$30,economics!$AK$2:$AK$167,economics!$AJ$2:$AJ$167,TRUE))*economics!$AM$2:$AM$167)+$CR4*(_xlfn.NORM.DIST(L$3,$CU4,0.3*$CU4,TRUE)-_xlfn.NORM.DIST(L$30,$CU4,0.3*$CU4,TRUE))*summary!$C$7/28.8/0.947817+$CS4*(_xlfn.NORM.DIST(L$3,$CV4,0.3*$CV4,TRUE)-_xlfn.NORM.DIST(L$30,$CV4,0.3*$CV4,TRUE))*summary!$C$6/28.8/0.947817)/(SUMPRODUCT((economics!$AG$2:$AG$167=$B33)*(economics!$D$2:$D$167="whr")*economics!$AH$2:$AH$167*(_xlfn.NORM.DIST(L$3,economics!$AK$2:$AK$167,economics!$AJ$2:$AJ$167,TRUE)-_xlfn.NORM.DIST(L$30,economics!$AK$2:$AK$167,economics!$AJ$2:$AJ$167,TRUE)))+$CR4*(_xlfn.NORM.DIST(L$3,$CU4,0.3*$CU4,TRUE)-_xlfn.NORM.DIST(L$30,$CU4,0.3*$CU4,TRUE))+$CS4*(_xlfn.NORM.DIST(L$3,$CV4,0.3*$CV4,TRUE)-_xlfn.NORM.DIST(L$30,$CV4,0.3*$CV4,TRUE))),""),IF($C4&gt;0,summary!$C$10/28.8/0.947817,""))</f>
        <v/>
      </c>
      <c r="M33">
        <f t="array" ref="M33">IF($D4,IFERROR((SUMPRODUCT((economics!$AG$2:$AG$167=$B33)*(economics!$D$2:$D$167="whr")*economics!$AH$2:$AH$167*(_xlfn.NORM.DIST(M$3,economics!$AK$2:$AK$167,economics!$AJ$2:$AJ$167,TRUE)-_xlfn.NORM.DIST(M$30,economics!$AK$2:$AK$167,economics!$AJ$2:$AJ$167,TRUE))*economics!$AM$2:$AM$167)+$CR4*(_xlfn.NORM.DIST(M$3,$CU4,0.3*$CU4,TRUE)-_xlfn.NORM.DIST(M$30,$CU4,0.3*$CU4,TRUE))*summary!$C$7/28.8/0.947817+$CS4*(_xlfn.NORM.DIST(M$3,$CV4,0.3*$CV4,TRUE)-_xlfn.NORM.DIST(M$30,$CV4,0.3*$CV4,TRUE))*summary!$C$6/28.8/0.947817)/(SUMPRODUCT((economics!$AG$2:$AG$167=$B33)*(economics!$D$2:$D$167="whr")*economics!$AH$2:$AH$167*(_xlfn.NORM.DIST(M$3,economics!$AK$2:$AK$167,economics!$AJ$2:$AJ$167,TRUE)-_xlfn.NORM.DIST(M$30,economics!$AK$2:$AK$167,economics!$AJ$2:$AJ$167,TRUE)))+$CR4*(_xlfn.NORM.DIST(M$3,$CU4,0.3*$CU4,TRUE)-_xlfn.NORM.DIST(M$30,$CU4,0.3*$CU4,TRUE))+$CS4*(_xlfn.NORM.DIST(M$3,$CV4,0.3*$CV4,TRUE)-_xlfn.NORM.DIST(M$30,$CV4,0.3*$CV4,TRUE))),""),IF($C4&gt;0,summary!$C$10/28.8/0.947817,""))</f>
        <v/>
      </c>
      <c r="N33">
        <f t="array" ref="N33">IF($D4,IFERROR((SUMPRODUCT((economics!$AG$2:$AG$167=$B33)*(economics!$D$2:$D$167="whr")*economics!$AH$2:$AH$167*(_xlfn.NORM.DIST(N$3,economics!$AK$2:$AK$167,economics!$AJ$2:$AJ$167,TRUE)-_xlfn.NORM.DIST(N$30,economics!$AK$2:$AK$167,economics!$AJ$2:$AJ$167,TRUE))*economics!$AM$2:$AM$167)+$CR4*(_xlfn.NORM.DIST(N$3,$CU4,0.3*$CU4,TRUE)-_xlfn.NORM.DIST(N$30,$CU4,0.3*$CU4,TRUE))*summary!$C$7/28.8/0.947817+$CS4*(_xlfn.NORM.DIST(N$3,$CV4,0.3*$CV4,TRUE)-_xlfn.NORM.DIST(N$30,$CV4,0.3*$CV4,TRUE))*summary!$C$6/28.8/0.947817)/(SUMPRODUCT((economics!$AG$2:$AG$167=$B33)*(economics!$D$2:$D$167="whr")*economics!$AH$2:$AH$167*(_xlfn.NORM.DIST(N$3,economics!$AK$2:$AK$167,economics!$AJ$2:$AJ$167,TRUE)-_xlfn.NORM.DIST(N$30,economics!$AK$2:$AK$167,economics!$AJ$2:$AJ$167,TRUE)))+$CR4*(_xlfn.NORM.DIST(N$3,$CU4,0.3*$CU4,TRUE)-_xlfn.NORM.DIST(N$30,$CU4,0.3*$CU4,TRUE))+$CS4*(_xlfn.NORM.DIST(N$3,$CV4,0.3*$CV4,TRUE)-_xlfn.NORM.DIST(N$30,$CV4,0.3*$CV4,TRUE))),""),IF($C4&gt;0,summary!$C$10/28.8/0.947817,""))</f>
        <v/>
      </c>
      <c r="O33">
        <f t="array" ref="O33">IF($D4,IFERROR((SUMPRODUCT((economics!$AG$2:$AG$167=$B33)*(economics!$D$2:$D$167="whr")*economics!$AH$2:$AH$167*(_xlfn.NORM.DIST(O$3,economics!$AK$2:$AK$167,economics!$AJ$2:$AJ$167,TRUE)-_xlfn.NORM.DIST(O$30,economics!$AK$2:$AK$167,economics!$AJ$2:$AJ$167,TRUE))*economics!$AM$2:$AM$167)+$CR4*(_xlfn.NORM.DIST(O$3,$CU4,0.3*$CU4,TRUE)-_xlfn.NORM.DIST(O$30,$CU4,0.3*$CU4,TRUE))*summary!$C$7/28.8/0.947817+$CS4*(_xlfn.NORM.DIST(O$3,$CV4,0.3*$CV4,TRUE)-_xlfn.NORM.DIST(O$30,$CV4,0.3*$CV4,TRUE))*summary!$C$6/28.8/0.947817)/(SUMPRODUCT((economics!$AG$2:$AG$167=$B33)*(economics!$D$2:$D$167="whr")*economics!$AH$2:$AH$167*(_xlfn.NORM.DIST(O$3,economics!$AK$2:$AK$167,economics!$AJ$2:$AJ$167,TRUE)-_xlfn.NORM.DIST(O$30,economics!$AK$2:$AK$167,economics!$AJ$2:$AJ$167,TRUE)))+$CR4*(_xlfn.NORM.DIST(O$3,$CU4,0.3*$CU4,TRUE)-_xlfn.NORM.DIST(O$30,$CU4,0.3*$CU4,TRUE))+$CS4*(_xlfn.NORM.DIST(O$3,$CV4,0.3*$CV4,TRUE)-_xlfn.NORM.DIST(O$30,$CV4,0.3*$CV4,TRUE))),""),IF($C4&gt;0,summary!$C$10/28.8/0.947817,""))</f>
        <v/>
      </c>
      <c r="P33">
        <f t="array" ref="P33">IF($D4,IFERROR((SUMPRODUCT((economics!$AG$2:$AG$167=$B33)*(economics!$D$2:$D$167="whr")*economics!$AH$2:$AH$167*(_xlfn.NORM.DIST(P$3,economics!$AK$2:$AK$167,economics!$AJ$2:$AJ$167,TRUE)-_xlfn.NORM.DIST(P$30,economics!$AK$2:$AK$167,economics!$AJ$2:$AJ$167,TRUE))*economics!$AM$2:$AM$167)+$CR4*(_xlfn.NORM.DIST(P$3,$CU4,0.3*$CU4,TRUE)-_xlfn.NORM.DIST(P$30,$CU4,0.3*$CU4,TRUE))*summary!$C$7/28.8/0.947817+$CS4*(_xlfn.NORM.DIST(P$3,$CV4,0.3*$CV4,TRUE)-_xlfn.NORM.DIST(P$30,$CV4,0.3*$CV4,TRUE))*summary!$C$6/28.8/0.947817)/(SUMPRODUCT((economics!$AG$2:$AG$167=$B33)*(economics!$D$2:$D$167="whr")*economics!$AH$2:$AH$167*(_xlfn.NORM.DIST(P$3,economics!$AK$2:$AK$167,economics!$AJ$2:$AJ$167,TRUE)-_xlfn.NORM.DIST(P$30,economics!$AK$2:$AK$167,economics!$AJ$2:$AJ$167,TRUE)))+$CR4*(_xlfn.NORM.DIST(P$3,$CU4,0.3*$CU4,TRUE)-_xlfn.NORM.DIST(P$30,$CU4,0.3*$CU4,TRUE))+$CS4*(_xlfn.NORM.DIST(P$3,$CV4,0.3*$CV4,TRUE)-_xlfn.NORM.DIST(P$30,$CV4,0.3*$CV4,TRUE))),""),IF($C4&gt;0,summary!$C$10/28.8/0.947817,""))</f>
        <v/>
      </c>
      <c r="Q33">
        <f t="array" ref="Q33">IF($D4,IFERROR((SUMPRODUCT((economics!$AG$2:$AG$167=$B33)*(economics!$D$2:$D$167="whr")*economics!$AH$2:$AH$167*(_xlfn.NORM.DIST(Q$3,economics!$AK$2:$AK$167,economics!$AJ$2:$AJ$167,TRUE)-_xlfn.NORM.DIST(Q$30,economics!$AK$2:$AK$167,economics!$AJ$2:$AJ$167,TRUE))*economics!$AM$2:$AM$167)+$CR4*(_xlfn.NORM.DIST(Q$3,$CU4,0.3*$CU4,TRUE)-_xlfn.NORM.DIST(Q$30,$CU4,0.3*$CU4,TRUE))*summary!$C$7/28.8/0.947817+$CS4*(_xlfn.NORM.DIST(Q$3,$CV4,0.3*$CV4,TRUE)-_xlfn.NORM.DIST(Q$30,$CV4,0.3*$CV4,TRUE))*summary!$C$6/28.8/0.947817)/(SUMPRODUCT((economics!$AG$2:$AG$167=$B33)*(economics!$D$2:$D$167="whr")*economics!$AH$2:$AH$167*(_xlfn.NORM.DIST(Q$3,economics!$AK$2:$AK$167,economics!$AJ$2:$AJ$167,TRUE)-_xlfn.NORM.DIST(Q$30,economics!$AK$2:$AK$167,economics!$AJ$2:$AJ$167,TRUE)))+$CR4*(_xlfn.NORM.DIST(Q$3,$CU4,0.3*$CU4,TRUE)-_xlfn.NORM.DIST(Q$30,$CU4,0.3*$CU4,TRUE))+$CS4*(_xlfn.NORM.DIST(Q$3,$CV4,0.3*$CV4,TRUE)-_xlfn.NORM.DIST(Q$30,$CV4,0.3*$CV4,TRUE))),""),IF($C4&gt;0,summary!$C$10/28.8/0.947817,""))</f>
        <v/>
      </c>
      <c r="R33">
        <f t="array" ref="R33">IF($D4,IFERROR((SUMPRODUCT((economics!$AG$2:$AG$167=$B33)*(economics!$D$2:$D$167="whr")*economics!$AH$2:$AH$167*(_xlfn.NORM.DIST(R$3,economics!$AK$2:$AK$167,economics!$AJ$2:$AJ$167,TRUE)-_xlfn.NORM.DIST(R$30,economics!$AK$2:$AK$167,economics!$AJ$2:$AJ$167,TRUE))*economics!$AM$2:$AM$167)+$CR4*(_xlfn.NORM.DIST(R$3,$CU4,0.3*$CU4,TRUE)-_xlfn.NORM.DIST(R$30,$CU4,0.3*$CU4,TRUE))*summary!$C$7/28.8/0.947817+$CS4*(_xlfn.NORM.DIST(R$3,$CV4,0.3*$CV4,TRUE)-_xlfn.NORM.DIST(R$30,$CV4,0.3*$CV4,TRUE))*summary!$C$6/28.8/0.947817)/(SUMPRODUCT((economics!$AG$2:$AG$167=$B33)*(economics!$D$2:$D$167="whr")*economics!$AH$2:$AH$167*(_xlfn.NORM.DIST(R$3,economics!$AK$2:$AK$167,economics!$AJ$2:$AJ$167,TRUE)-_xlfn.NORM.DIST(R$30,economics!$AK$2:$AK$167,economics!$AJ$2:$AJ$167,TRUE)))+$CR4*(_xlfn.NORM.DIST(R$3,$CU4,0.3*$CU4,TRUE)-_xlfn.NORM.DIST(R$30,$CU4,0.3*$CU4,TRUE))+$CS4*(_xlfn.NORM.DIST(R$3,$CV4,0.3*$CV4,TRUE)-_xlfn.NORM.DIST(R$30,$CV4,0.3*$CV4,TRUE))),""),IF($C4&gt;0,summary!$C$10/28.8/0.947817,""))</f>
        <v/>
      </c>
      <c r="S33">
        <f t="array" ref="S33">IF($D4,IFERROR((SUMPRODUCT((economics!$AG$2:$AG$167=$B33)*(economics!$D$2:$D$167="whr")*economics!$AH$2:$AH$167*(_xlfn.NORM.DIST(S$3,economics!$AK$2:$AK$167,economics!$AJ$2:$AJ$167,TRUE)-_xlfn.NORM.DIST(S$30,economics!$AK$2:$AK$167,economics!$AJ$2:$AJ$167,TRUE))*economics!$AM$2:$AM$167)+$CR4*(_xlfn.NORM.DIST(S$3,$CU4,0.3*$CU4,TRUE)-_xlfn.NORM.DIST(S$30,$CU4,0.3*$CU4,TRUE))*summary!$C$7/28.8/0.947817+$CS4*(_xlfn.NORM.DIST(S$3,$CV4,0.3*$CV4,TRUE)-_xlfn.NORM.DIST(S$30,$CV4,0.3*$CV4,TRUE))*summary!$C$6/28.8/0.947817)/(SUMPRODUCT((economics!$AG$2:$AG$167=$B33)*(economics!$D$2:$D$167="whr")*economics!$AH$2:$AH$167*(_xlfn.NORM.DIST(S$3,economics!$AK$2:$AK$167,economics!$AJ$2:$AJ$167,TRUE)-_xlfn.NORM.DIST(S$30,economics!$AK$2:$AK$167,economics!$AJ$2:$AJ$167,TRUE)))+$CR4*(_xlfn.NORM.DIST(S$3,$CU4,0.3*$CU4,TRUE)-_xlfn.NORM.DIST(S$30,$CU4,0.3*$CU4,TRUE))+$CS4*(_xlfn.NORM.DIST(S$3,$CV4,0.3*$CV4,TRUE)-_xlfn.NORM.DIST(S$30,$CV4,0.3*$CV4,TRUE))),""),IF($C4&gt;0,summary!$C$10/28.8/0.947817,""))</f>
        <v/>
      </c>
      <c r="T33">
        <f t="array" ref="T33">IF($D4,IFERROR((SUMPRODUCT((economics!$AG$2:$AG$167=$B33)*(economics!$D$2:$D$167="whr")*economics!$AH$2:$AH$167*(_xlfn.NORM.DIST(T$3,economics!$AK$2:$AK$167,economics!$AJ$2:$AJ$167,TRUE)-_xlfn.NORM.DIST(T$30,economics!$AK$2:$AK$167,economics!$AJ$2:$AJ$167,TRUE))*economics!$AM$2:$AM$167)+$CR4*(_xlfn.NORM.DIST(T$3,$CU4,0.3*$CU4,TRUE)-_xlfn.NORM.DIST(T$30,$CU4,0.3*$CU4,TRUE))*summary!$C$7/28.8/0.947817+$CS4*(_xlfn.NORM.DIST(T$3,$CV4,0.3*$CV4,TRUE)-_xlfn.NORM.DIST(T$30,$CV4,0.3*$CV4,TRUE))*summary!$C$6/28.8/0.947817)/(SUMPRODUCT((economics!$AG$2:$AG$167=$B33)*(economics!$D$2:$D$167="whr")*economics!$AH$2:$AH$167*(_xlfn.NORM.DIST(T$3,economics!$AK$2:$AK$167,economics!$AJ$2:$AJ$167,TRUE)-_xlfn.NORM.DIST(T$30,economics!$AK$2:$AK$167,economics!$AJ$2:$AJ$167,TRUE)))+$CR4*(_xlfn.NORM.DIST(T$3,$CU4,0.3*$CU4,TRUE)-_xlfn.NORM.DIST(T$30,$CU4,0.3*$CU4,TRUE))+$CS4*(_xlfn.NORM.DIST(T$3,$CV4,0.3*$CV4,TRUE)-_xlfn.NORM.DIST(T$30,$CV4,0.3*$CV4,TRUE))),""),IF($C4&gt;0,summary!$C$10/28.8/0.947817,""))</f>
        <v/>
      </c>
      <c r="U33">
        <f t="array" ref="U33">IF($D4,IFERROR((SUMPRODUCT((economics!$AG$2:$AG$167=$B33)*(economics!$D$2:$D$167="whr")*economics!$AH$2:$AH$167*(_xlfn.NORM.DIST(U$3,economics!$AK$2:$AK$167,economics!$AJ$2:$AJ$167,TRUE)-_xlfn.NORM.DIST(U$30,economics!$AK$2:$AK$167,economics!$AJ$2:$AJ$167,TRUE))*economics!$AM$2:$AM$167)+$CR4*(_xlfn.NORM.DIST(U$3,$CU4,0.3*$CU4,TRUE)-_xlfn.NORM.DIST(U$30,$CU4,0.3*$CU4,TRUE))*summary!$C$7/28.8/0.947817+$CS4*(_xlfn.NORM.DIST(U$3,$CV4,0.3*$CV4,TRUE)-_xlfn.NORM.DIST(U$30,$CV4,0.3*$CV4,TRUE))*summary!$C$6/28.8/0.947817)/(SUMPRODUCT((economics!$AG$2:$AG$167=$B33)*(economics!$D$2:$D$167="whr")*economics!$AH$2:$AH$167*(_xlfn.NORM.DIST(U$3,economics!$AK$2:$AK$167,economics!$AJ$2:$AJ$167,TRUE)-_xlfn.NORM.DIST(U$30,economics!$AK$2:$AK$167,economics!$AJ$2:$AJ$167,TRUE)))+$CR4*(_xlfn.NORM.DIST(U$3,$CU4,0.3*$CU4,TRUE)-_xlfn.NORM.DIST(U$30,$CU4,0.3*$CU4,TRUE))+$CS4*(_xlfn.NORM.DIST(U$3,$CV4,0.3*$CV4,TRUE)-_xlfn.NORM.DIST(U$30,$CV4,0.3*$CV4,TRUE))),""),IF($C4&gt;0,summary!$C$10/28.8/0.947817,""))</f>
        <v/>
      </c>
      <c r="V33">
        <f t="array" ref="V33">IF($D4,IFERROR((SUMPRODUCT((economics!$AG$2:$AG$167=$B33)*(economics!$D$2:$D$167="whr")*economics!$AH$2:$AH$167*(_xlfn.NORM.DIST(V$3,economics!$AK$2:$AK$167,economics!$AJ$2:$AJ$167,TRUE)-_xlfn.NORM.DIST(V$30,economics!$AK$2:$AK$167,economics!$AJ$2:$AJ$167,TRUE))*economics!$AM$2:$AM$167)+$CR4*(_xlfn.NORM.DIST(V$3,$CU4,0.3*$CU4,TRUE)-_xlfn.NORM.DIST(V$30,$CU4,0.3*$CU4,TRUE))*summary!$C$7/28.8/0.947817+$CS4*(_xlfn.NORM.DIST(V$3,$CV4,0.3*$CV4,TRUE)-_xlfn.NORM.DIST(V$30,$CV4,0.3*$CV4,TRUE))*summary!$C$6/28.8/0.947817)/(SUMPRODUCT((economics!$AG$2:$AG$167=$B33)*(economics!$D$2:$D$167="whr")*economics!$AH$2:$AH$167*(_xlfn.NORM.DIST(V$3,economics!$AK$2:$AK$167,economics!$AJ$2:$AJ$167,TRUE)-_xlfn.NORM.DIST(V$30,economics!$AK$2:$AK$167,economics!$AJ$2:$AJ$167,TRUE)))+$CR4*(_xlfn.NORM.DIST(V$3,$CU4,0.3*$CU4,TRUE)-_xlfn.NORM.DIST(V$30,$CU4,0.3*$CU4,TRUE))+$CS4*(_xlfn.NORM.DIST(V$3,$CV4,0.3*$CV4,TRUE)-_xlfn.NORM.DIST(V$30,$CV4,0.3*$CV4,TRUE))),""),IF($C4&gt;0,summary!$C$10/28.8/0.947817,""))</f>
        <v/>
      </c>
      <c r="W33">
        <f t="array" ref="W33">IF($D4,IFERROR((SUMPRODUCT((economics!$AG$2:$AG$167=$B33)*(economics!$D$2:$D$167="whr")*economics!$AH$2:$AH$167*(_xlfn.NORM.DIST(W$3,economics!$AK$2:$AK$167,economics!$AJ$2:$AJ$167,TRUE)-_xlfn.NORM.DIST(W$30,economics!$AK$2:$AK$167,economics!$AJ$2:$AJ$167,TRUE))*economics!$AM$2:$AM$167)+$CR4*(_xlfn.NORM.DIST(W$3,$CU4,0.3*$CU4,TRUE)-_xlfn.NORM.DIST(W$30,$CU4,0.3*$CU4,TRUE))*summary!$C$7/28.8/0.947817+$CS4*(_xlfn.NORM.DIST(W$3,$CV4,0.3*$CV4,TRUE)-_xlfn.NORM.DIST(W$30,$CV4,0.3*$CV4,TRUE))*summary!$C$6/28.8/0.947817)/(SUMPRODUCT((economics!$AG$2:$AG$167=$B33)*(economics!$D$2:$D$167="whr")*economics!$AH$2:$AH$167*(_xlfn.NORM.DIST(W$3,economics!$AK$2:$AK$167,economics!$AJ$2:$AJ$167,TRUE)-_xlfn.NORM.DIST(W$30,economics!$AK$2:$AK$167,economics!$AJ$2:$AJ$167,TRUE)))+$CR4*(_xlfn.NORM.DIST(W$3,$CU4,0.3*$CU4,TRUE)-_xlfn.NORM.DIST(W$30,$CU4,0.3*$CU4,TRUE))+$CS4*(_xlfn.NORM.DIST(W$3,$CV4,0.3*$CV4,TRUE)-_xlfn.NORM.DIST(W$30,$CV4,0.3*$CV4,TRUE))),""),IF($C4&gt;0,summary!$C$10/28.8/0.947817,""))</f>
        <v/>
      </c>
      <c r="X33">
        <f t="array" ref="X33">IF($D4,IFERROR((SUMPRODUCT((economics!$AG$2:$AG$167=$B33)*(economics!$D$2:$D$167="whr")*economics!$AH$2:$AH$167*(_xlfn.NORM.DIST(X$3,economics!$AK$2:$AK$167,economics!$AJ$2:$AJ$167,TRUE)-_xlfn.NORM.DIST(X$30,economics!$AK$2:$AK$167,economics!$AJ$2:$AJ$167,TRUE))*economics!$AM$2:$AM$167)+$CR4*(_xlfn.NORM.DIST(X$3,$CU4,0.3*$CU4,TRUE)-_xlfn.NORM.DIST(X$30,$CU4,0.3*$CU4,TRUE))*summary!$C$7/28.8/0.947817+$CS4*(_xlfn.NORM.DIST(X$3,$CV4,0.3*$CV4,TRUE)-_xlfn.NORM.DIST(X$30,$CV4,0.3*$CV4,TRUE))*summary!$C$6/28.8/0.947817)/(SUMPRODUCT((economics!$AG$2:$AG$167=$B33)*(economics!$D$2:$D$167="whr")*economics!$AH$2:$AH$167*(_xlfn.NORM.DIST(X$3,economics!$AK$2:$AK$167,economics!$AJ$2:$AJ$167,TRUE)-_xlfn.NORM.DIST(X$30,economics!$AK$2:$AK$167,economics!$AJ$2:$AJ$167,TRUE)))+$CR4*(_xlfn.NORM.DIST(X$3,$CU4,0.3*$CU4,TRUE)-_xlfn.NORM.DIST(X$30,$CU4,0.3*$CU4,TRUE))+$CS4*(_xlfn.NORM.DIST(X$3,$CV4,0.3*$CV4,TRUE)-_xlfn.NORM.DIST(X$30,$CV4,0.3*$CV4,TRUE))),""),IF($C4&gt;0,summary!$C$10/28.8/0.947817,""))</f>
        <v/>
      </c>
      <c r="Y33">
        <f t="array" ref="Y33">IF($D4,IFERROR((SUMPRODUCT((economics!$AG$2:$AG$167=$B33)*(economics!$D$2:$D$167="whr")*economics!$AH$2:$AH$167*(_xlfn.NORM.DIST(Y$3,economics!$AK$2:$AK$167,economics!$AJ$2:$AJ$167,TRUE)-_xlfn.NORM.DIST(Y$30,economics!$AK$2:$AK$167,economics!$AJ$2:$AJ$167,TRUE))*economics!$AM$2:$AM$167)+$CR4*(_xlfn.NORM.DIST(Y$3,$CU4,0.3*$CU4,TRUE)-_xlfn.NORM.DIST(Y$30,$CU4,0.3*$CU4,TRUE))*summary!$C$7/28.8/0.947817+$CS4*(_xlfn.NORM.DIST(Y$3,$CV4,0.3*$CV4,TRUE)-_xlfn.NORM.DIST(Y$30,$CV4,0.3*$CV4,TRUE))*summary!$C$6/28.8/0.947817)/(SUMPRODUCT((economics!$AG$2:$AG$167=$B33)*(economics!$D$2:$D$167="whr")*economics!$AH$2:$AH$167*(_xlfn.NORM.DIST(Y$3,economics!$AK$2:$AK$167,economics!$AJ$2:$AJ$167,TRUE)-_xlfn.NORM.DIST(Y$30,economics!$AK$2:$AK$167,economics!$AJ$2:$AJ$167,TRUE)))+$CR4*(_xlfn.NORM.DIST(Y$3,$CU4,0.3*$CU4,TRUE)-_xlfn.NORM.DIST(Y$30,$CU4,0.3*$CU4,TRUE))+$CS4*(_xlfn.NORM.DIST(Y$3,$CV4,0.3*$CV4,TRUE)-_xlfn.NORM.DIST(Y$30,$CV4,0.3*$CV4,TRUE))),""),IF($C4&gt;0,summary!$C$10/28.8/0.947817,""))</f>
        <v/>
      </c>
      <c r="Z33">
        <f t="array" ref="Z33">IF($D4,IFERROR((SUMPRODUCT((economics!$AG$2:$AG$167=$B33)*(economics!$D$2:$D$167="whr")*economics!$AH$2:$AH$167*(_xlfn.NORM.DIST(Z$3,economics!$AK$2:$AK$167,economics!$AJ$2:$AJ$167,TRUE)-_xlfn.NORM.DIST(Z$30,economics!$AK$2:$AK$167,economics!$AJ$2:$AJ$167,TRUE))*economics!$AM$2:$AM$167)+$CR4*(_xlfn.NORM.DIST(Z$3,$CU4,0.3*$CU4,TRUE)-_xlfn.NORM.DIST(Z$30,$CU4,0.3*$CU4,TRUE))*summary!$C$7/28.8/0.947817+$CS4*(_xlfn.NORM.DIST(Z$3,$CV4,0.3*$CV4,TRUE)-_xlfn.NORM.DIST(Z$30,$CV4,0.3*$CV4,TRUE))*summary!$C$6/28.8/0.947817)/(SUMPRODUCT((economics!$AG$2:$AG$167=$B33)*(economics!$D$2:$D$167="whr")*economics!$AH$2:$AH$167*(_xlfn.NORM.DIST(Z$3,economics!$AK$2:$AK$167,economics!$AJ$2:$AJ$167,TRUE)-_xlfn.NORM.DIST(Z$30,economics!$AK$2:$AK$167,economics!$AJ$2:$AJ$167,TRUE)))+$CR4*(_xlfn.NORM.DIST(Z$3,$CU4,0.3*$CU4,TRUE)-_xlfn.NORM.DIST(Z$30,$CU4,0.3*$CU4,TRUE))+$CS4*(_xlfn.NORM.DIST(Z$3,$CV4,0.3*$CV4,TRUE)-_xlfn.NORM.DIST(Z$30,$CV4,0.3*$CV4,TRUE))),""),IF($C4&gt;0,summary!$C$10/28.8/0.947817,""))</f>
        <v/>
      </c>
      <c r="AA33">
        <f t="array" ref="AA33">IF($D4,IFERROR((SUMPRODUCT((economics!$AG$2:$AG$167=$B33)*(economics!$D$2:$D$167="whr")*economics!$AH$2:$AH$167*(_xlfn.NORM.DIST(AA$3,economics!$AK$2:$AK$167,economics!$AJ$2:$AJ$167,TRUE)-_xlfn.NORM.DIST(AA$30,economics!$AK$2:$AK$167,economics!$AJ$2:$AJ$167,TRUE))*economics!$AM$2:$AM$167)+$CR4*(_xlfn.NORM.DIST(AA$3,$CU4,0.3*$CU4,TRUE)-_xlfn.NORM.DIST(AA$30,$CU4,0.3*$CU4,TRUE))*summary!$C$7/28.8/0.947817+$CS4*(_xlfn.NORM.DIST(AA$3,$CV4,0.3*$CV4,TRUE)-_xlfn.NORM.DIST(AA$30,$CV4,0.3*$CV4,TRUE))*summary!$C$6/28.8/0.947817)/(SUMPRODUCT((economics!$AG$2:$AG$167=$B33)*(economics!$D$2:$D$167="whr")*economics!$AH$2:$AH$167*(_xlfn.NORM.DIST(AA$3,economics!$AK$2:$AK$167,economics!$AJ$2:$AJ$167,TRUE)-_xlfn.NORM.DIST(AA$30,economics!$AK$2:$AK$167,economics!$AJ$2:$AJ$167,TRUE)))+$CR4*(_xlfn.NORM.DIST(AA$3,$CU4,0.3*$CU4,TRUE)-_xlfn.NORM.DIST(AA$30,$CU4,0.3*$CU4,TRUE))+$CS4*(_xlfn.NORM.DIST(AA$3,$CV4,0.3*$CV4,TRUE)-_xlfn.NORM.DIST(AA$30,$CV4,0.3*$CV4,TRUE))),""),IF($C4&gt;0,summary!$C$10/28.8/0.947817,""))</f>
        <v/>
      </c>
      <c r="AB33">
        <f t="array" ref="AB33">IF($D4,IFERROR((SUMPRODUCT((economics!$AG$2:$AG$167=$B33)*(economics!$D$2:$D$167="whr")*economics!$AH$2:$AH$167*(_xlfn.NORM.DIST(AB$3,economics!$AK$2:$AK$167,economics!$AJ$2:$AJ$167,TRUE)-_xlfn.NORM.DIST(AB$30,economics!$AK$2:$AK$167,economics!$AJ$2:$AJ$167,TRUE))*economics!$AM$2:$AM$167)+$CR4*(_xlfn.NORM.DIST(AB$3,$CU4,0.3*$CU4,TRUE)-_xlfn.NORM.DIST(AB$30,$CU4,0.3*$CU4,TRUE))*summary!$C$7/28.8/0.947817+$CS4*(_xlfn.NORM.DIST(AB$3,$CV4,0.3*$CV4,TRUE)-_xlfn.NORM.DIST(AB$30,$CV4,0.3*$CV4,TRUE))*summary!$C$6/28.8/0.947817)/(SUMPRODUCT((economics!$AG$2:$AG$167=$B33)*(economics!$D$2:$D$167="whr")*economics!$AH$2:$AH$167*(_xlfn.NORM.DIST(AB$3,economics!$AK$2:$AK$167,economics!$AJ$2:$AJ$167,TRUE)-_xlfn.NORM.DIST(AB$30,economics!$AK$2:$AK$167,economics!$AJ$2:$AJ$167,TRUE)))+$CR4*(_xlfn.NORM.DIST(AB$3,$CU4,0.3*$CU4,TRUE)-_xlfn.NORM.DIST(AB$30,$CU4,0.3*$CU4,TRUE))+$CS4*(_xlfn.NORM.DIST(AB$3,$CV4,0.3*$CV4,TRUE)-_xlfn.NORM.DIST(AB$30,$CV4,0.3*$CV4,TRUE))),""),IF($C4&gt;0,summary!$C$10/28.8/0.947817,""))</f>
        <v/>
      </c>
      <c r="AC33">
        <f t="array" ref="AC33">IF($D4,IFERROR((SUMPRODUCT((economics!$AG$2:$AG$167=$B33)*(economics!$D$2:$D$167="whr")*economics!$AH$2:$AH$167*(_xlfn.NORM.DIST(AC$3,economics!$AK$2:$AK$167,economics!$AJ$2:$AJ$167,TRUE)-_xlfn.NORM.DIST(AC$30,economics!$AK$2:$AK$167,economics!$AJ$2:$AJ$167,TRUE))*economics!$AM$2:$AM$167)+$CR4*(_xlfn.NORM.DIST(AC$3,$CU4,0.3*$CU4,TRUE)-_xlfn.NORM.DIST(AC$30,$CU4,0.3*$CU4,TRUE))*summary!$C$7/28.8/0.947817+$CS4*(_xlfn.NORM.DIST(AC$3,$CV4,0.3*$CV4,TRUE)-_xlfn.NORM.DIST(AC$30,$CV4,0.3*$CV4,TRUE))*summary!$C$6/28.8/0.947817)/(SUMPRODUCT((economics!$AG$2:$AG$167=$B33)*(economics!$D$2:$D$167="whr")*economics!$AH$2:$AH$167*(_xlfn.NORM.DIST(AC$3,economics!$AK$2:$AK$167,economics!$AJ$2:$AJ$167,TRUE)-_xlfn.NORM.DIST(AC$30,economics!$AK$2:$AK$167,economics!$AJ$2:$AJ$167,TRUE)))+$CR4*(_xlfn.NORM.DIST(AC$3,$CU4,0.3*$CU4,TRUE)-_xlfn.NORM.DIST(AC$30,$CU4,0.3*$CU4,TRUE))+$CS4*(_xlfn.NORM.DIST(AC$3,$CV4,0.3*$CV4,TRUE)-_xlfn.NORM.DIST(AC$30,$CV4,0.3*$CV4,TRUE))),""),IF($C4&gt;0,summary!$C$10/28.8/0.947817,""))</f>
        <v/>
      </c>
      <c r="AD33">
        <f t="array" ref="AD33">IF($D4,IFERROR((SUMPRODUCT((economics!$AG$2:$AG$167=$B33)*(economics!$D$2:$D$167="whr")*economics!$AH$2:$AH$167*(_xlfn.NORM.DIST(AD$3,economics!$AK$2:$AK$167,economics!$AJ$2:$AJ$167,TRUE)-_xlfn.NORM.DIST(AD$30,economics!$AK$2:$AK$167,economics!$AJ$2:$AJ$167,TRUE))*economics!$AM$2:$AM$167)+$CR4*(_xlfn.NORM.DIST(AD$3,$CU4,0.3*$CU4,TRUE)-_xlfn.NORM.DIST(AD$30,$CU4,0.3*$CU4,TRUE))*summary!$C$7/28.8/0.947817+$CS4*(_xlfn.NORM.DIST(AD$3,$CV4,0.3*$CV4,TRUE)-_xlfn.NORM.DIST(AD$30,$CV4,0.3*$CV4,TRUE))*summary!$C$6/28.8/0.947817)/(SUMPRODUCT((economics!$AG$2:$AG$167=$B33)*(economics!$D$2:$D$167="whr")*economics!$AH$2:$AH$167*(_xlfn.NORM.DIST(AD$3,economics!$AK$2:$AK$167,economics!$AJ$2:$AJ$167,TRUE)-_xlfn.NORM.DIST(AD$30,economics!$AK$2:$AK$167,economics!$AJ$2:$AJ$167,TRUE)))+$CR4*(_xlfn.NORM.DIST(AD$3,$CU4,0.3*$CU4,TRUE)-_xlfn.NORM.DIST(AD$30,$CU4,0.3*$CU4,TRUE))+$CS4*(_xlfn.NORM.DIST(AD$3,$CV4,0.3*$CV4,TRUE)-_xlfn.NORM.DIST(AD$30,$CV4,0.3*$CV4,TRUE))),""),IF($C4&gt;0,summary!$C$10/28.8/0.947817,""))</f>
        <v/>
      </c>
      <c r="AE33">
        <f t="array" ref="AE33">IF($D4,IFERROR((SUMPRODUCT((economics!$AG$2:$AG$167=$B33)*(economics!$D$2:$D$167="whr")*economics!$AH$2:$AH$167*(_xlfn.NORM.DIST(AE$3,economics!$AK$2:$AK$167,economics!$AJ$2:$AJ$167,TRUE)-_xlfn.NORM.DIST(AE$30,economics!$AK$2:$AK$167,economics!$AJ$2:$AJ$167,TRUE))*economics!$AM$2:$AM$167)+$CR4*(_xlfn.NORM.DIST(AE$3,$CU4,0.3*$CU4,TRUE)-_xlfn.NORM.DIST(AE$30,$CU4,0.3*$CU4,TRUE))*summary!$C$7/28.8/0.947817+$CS4*(_xlfn.NORM.DIST(AE$3,$CV4,0.3*$CV4,TRUE)-_xlfn.NORM.DIST(AE$30,$CV4,0.3*$CV4,TRUE))*summary!$C$6/28.8/0.947817)/(SUMPRODUCT((economics!$AG$2:$AG$167=$B33)*(economics!$D$2:$D$167="whr")*economics!$AH$2:$AH$167*(_xlfn.NORM.DIST(AE$3,economics!$AK$2:$AK$167,economics!$AJ$2:$AJ$167,TRUE)-_xlfn.NORM.DIST(AE$30,economics!$AK$2:$AK$167,economics!$AJ$2:$AJ$167,TRUE)))+$CR4*(_xlfn.NORM.DIST(AE$3,$CU4,0.3*$CU4,TRUE)-_xlfn.NORM.DIST(AE$30,$CU4,0.3*$CU4,TRUE))+$CS4*(_xlfn.NORM.DIST(AE$3,$CV4,0.3*$CV4,TRUE)-_xlfn.NORM.DIST(AE$30,$CV4,0.3*$CV4,TRUE))),""),IF($C4&gt;0,summary!$C$10/28.8/0.947817,""))</f>
        <v/>
      </c>
      <c r="AF33">
        <f t="array" ref="AF33">IF($D4,IFERROR((SUMPRODUCT((economics!$AG$2:$AG$167=$B33)*(economics!$D$2:$D$167="whr")*economics!$AH$2:$AH$167*(_xlfn.NORM.DIST(AF$3,economics!$AK$2:$AK$167,economics!$AJ$2:$AJ$167,TRUE)-_xlfn.NORM.DIST(AF$30,economics!$AK$2:$AK$167,economics!$AJ$2:$AJ$167,TRUE))*economics!$AM$2:$AM$167)+$CR4*(_xlfn.NORM.DIST(AF$3,$CU4,0.3*$CU4,TRUE)-_xlfn.NORM.DIST(AF$30,$CU4,0.3*$CU4,TRUE))*summary!$C$7/28.8/0.947817+$CS4*(_xlfn.NORM.DIST(AF$3,$CV4,0.3*$CV4,TRUE)-_xlfn.NORM.DIST(AF$30,$CV4,0.3*$CV4,TRUE))*summary!$C$6/28.8/0.947817)/(SUMPRODUCT((economics!$AG$2:$AG$167=$B33)*(economics!$D$2:$D$167="whr")*economics!$AH$2:$AH$167*(_xlfn.NORM.DIST(AF$3,economics!$AK$2:$AK$167,economics!$AJ$2:$AJ$167,TRUE)-_xlfn.NORM.DIST(AF$30,economics!$AK$2:$AK$167,economics!$AJ$2:$AJ$167,TRUE)))+$CR4*(_xlfn.NORM.DIST(AF$3,$CU4,0.3*$CU4,TRUE)-_xlfn.NORM.DIST(AF$30,$CU4,0.3*$CU4,TRUE))+$CS4*(_xlfn.NORM.DIST(AF$3,$CV4,0.3*$CV4,TRUE)-_xlfn.NORM.DIST(AF$30,$CV4,0.3*$CV4,TRUE))),""),IF($C4&gt;0,summary!$C$10/28.8/0.947817,""))</f>
        <v/>
      </c>
      <c r="AG33">
        <f t="array" ref="AG33">IF($D4,IFERROR((SUMPRODUCT((economics!$AG$2:$AG$167=$B33)*(economics!$D$2:$D$167="whr")*economics!$AH$2:$AH$167*(_xlfn.NORM.DIST(AG$3,economics!$AK$2:$AK$167,economics!$AJ$2:$AJ$167,TRUE)-_xlfn.NORM.DIST(AG$30,economics!$AK$2:$AK$167,economics!$AJ$2:$AJ$167,TRUE))*economics!$AM$2:$AM$167)+$CR4*(_xlfn.NORM.DIST(AG$3,$CU4,0.3*$CU4,TRUE)-_xlfn.NORM.DIST(AG$30,$CU4,0.3*$CU4,TRUE))*summary!$C$7/28.8/0.947817+$CS4*(_xlfn.NORM.DIST(AG$3,$CV4,0.3*$CV4,TRUE)-_xlfn.NORM.DIST(AG$30,$CV4,0.3*$CV4,TRUE))*summary!$C$6/28.8/0.947817)/(SUMPRODUCT((economics!$AG$2:$AG$167=$B33)*(economics!$D$2:$D$167="whr")*economics!$AH$2:$AH$167*(_xlfn.NORM.DIST(AG$3,economics!$AK$2:$AK$167,economics!$AJ$2:$AJ$167,TRUE)-_xlfn.NORM.DIST(AG$30,economics!$AK$2:$AK$167,economics!$AJ$2:$AJ$167,TRUE)))+$CR4*(_xlfn.NORM.DIST(AG$3,$CU4,0.3*$CU4,TRUE)-_xlfn.NORM.DIST(AG$30,$CU4,0.3*$CU4,TRUE))+$CS4*(_xlfn.NORM.DIST(AG$3,$CV4,0.3*$CV4,TRUE)-_xlfn.NORM.DIST(AG$30,$CV4,0.3*$CV4,TRUE))),""),IF($C4&gt;0,summary!$C$10/28.8/0.947817,""))</f>
        <v/>
      </c>
      <c r="AH33">
        <f t="array" ref="AH33">IF($D4,IFERROR((SUMPRODUCT((economics!$AG$2:$AG$167=$B33)*(economics!$D$2:$D$167="whr")*economics!$AH$2:$AH$167*(_xlfn.NORM.DIST(AH$3,economics!$AK$2:$AK$167,economics!$AJ$2:$AJ$167,TRUE)-_xlfn.NORM.DIST(AH$30,economics!$AK$2:$AK$167,economics!$AJ$2:$AJ$167,TRUE))*economics!$AM$2:$AM$167)+$CR4*(_xlfn.NORM.DIST(AH$3,$CU4,0.3*$CU4,TRUE)-_xlfn.NORM.DIST(AH$30,$CU4,0.3*$CU4,TRUE))*summary!$C$7/28.8/0.947817+$CS4*(_xlfn.NORM.DIST(AH$3,$CV4,0.3*$CV4,TRUE)-_xlfn.NORM.DIST(AH$30,$CV4,0.3*$CV4,TRUE))*summary!$C$6/28.8/0.947817)/(SUMPRODUCT((economics!$AG$2:$AG$167=$B33)*(economics!$D$2:$D$167="whr")*economics!$AH$2:$AH$167*(_xlfn.NORM.DIST(AH$3,economics!$AK$2:$AK$167,economics!$AJ$2:$AJ$167,TRUE)-_xlfn.NORM.DIST(AH$30,economics!$AK$2:$AK$167,economics!$AJ$2:$AJ$167,TRUE)))+$CR4*(_xlfn.NORM.DIST(AH$3,$CU4,0.3*$CU4,TRUE)-_xlfn.NORM.DIST(AH$30,$CU4,0.3*$CU4,TRUE))+$CS4*(_xlfn.NORM.DIST(AH$3,$CV4,0.3*$CV4,TRUE)-_xlfn.NORM.DIST(AH$30,$CV4,0.3*$CV4,TRUE))),""),IF($C4&gt;0,summary!$C$10/28.8/0.947817,""))</f>
        <v/>
      </c>
      <c r="AI33">
        <f t="array" ref="AI33">IF($D4,IFERROR((SUMPRODUCT((economics!$AG$2:$AG$167=$B33)*(economics!$D$2:$D$167="whr")*economics!$AH$2:$AH$167*(_xlfn.NORM.DIST(AI$3,economics!$AK$2:$AK$167,economics!$AJ$2:$AJ$167,TRUE)-_xlfn.NORM.DIST(AI$30,economics!$AK$2:$AK$167,economics!$AJ$2:$AJ$167,TRUE))*economics!$AM$2:$AM$167)+$CR4*(_xlfn.NORM.DIST(AI$3,$CU4,0.3*$CU4,TRUE)-_xlfn.NORM.DIST(AI$30,$CU4,0.3*$CU4,TRUE))*summary!$C$7/28.8/0.947817+$CS4*(_xlfn.NORM.DIST(AI$3,$CV4,0.3*$CV4,TRUE)-_xlfn.NORM.DIST(AI$30,$CV4,0.3*$CV4,TRUE))*summary!$C$6/28.8/0.947817)/(SUMPRODUCT((economics!$AG$2:$AG$167=$B33)*(economics!$D$2:$D$167="whr")*economics!$AH$2:$AH$167*(_xlfn.NORM.DIST(AI$3,economics!$AK$2:$AK$167,economics!$AJ$2:$AJ$167,TRUE)-_xlfn.NORM.DIST(AI$30,economics!$AK$2:$AK$167,economics!$AJ$2:$AJ$167,TRUE)))+$CR4*(_xlfn.NORM.DIST(AI$3,$CU4,0.3*$CU4,TRUE)-_xlfn.NORM.DIST(AI$30,$CU4,0.3*$CU4,TRUE))+$CS4*(_xlfn.NORM.DIST(AI$3,$CV4,0.3*$CV4,TRUE)-_xlfn.NORM.DIST(AI$30,$CV4,0.3*$CV4,TRUE))),""),IF($C4&gt;0,summary!$C$10/28.8/0.947817,""))</f>
        <v/>
      </c>
      <c r="AJ33">
        <f t="array" ref="AJ33">IF($D4,IFERROR((SUMPRODUCT((economics!$AG$2:$AG$167=$B33)*(economics!$D$2:$D$167="whr")*economics!$AH$2:$AH$167*(_xlfn.NORM.DIST(AJ$3,economics!$AK$2:$AK$167,economics!$AJ$2:$AJ$167,TRUE)-_xlfn.NORM.DIST(AJ$30,economics!$AK$2:$AK$167,economics!$AJ$2:$AJ$167,TRUE))*economics!$AM$2:$AM$167)+$CR4*(_xlfn.NORM.DIST(AJ$3,$CU4,0.3*$CU4,TRUE)-_xlfn.NORM.DIST(AJ$30,$CU4,0.3*$CU4,TRUE))*summary!$C$7/28.8/0.947817+$CS4*(_xlfn.NORM.DIST(AJ$3,$CV4,0.3*$CV4,TRUE)-_xlfn.NORM.DIST(AJ$30,$CV4,0.3*$CV4,TRUE))*summary!$C$6/28.8/0.947817)/(SUMPRODUCT((economics!$AG$2:$AG$167=$B33)*(economics!$D$2:$D$167="whr")*economics!$AH$2:$AH$167*(_xlfn.NORM.DIST(AJ$3,economics!$AK$2:$AK$167,economics!$AJ$2:$AJ$167,TRUE)-_xlfn.NORM.DIST(AJ$30,economics!$AK$2:$AK$167,economics!$AJ$2:$AJ$167,TRUE)))+$CR4*(_xlfn.NORM.DIST(AJ$3,$CU4,0.3*$CU4,TRUE)-_xlfn.NORM.DIST(AJ$30,$CU4,0.3*$CU4,TRUE))+$CS4*(_xlfn.NORM.DIST(AJ$3,$CV4,0.3*$CV4,TRUE)-_xlfn.NORM.DIST(AJ$30,$CV4,0.3*$CV4,TRUE))),""),IF($C4&gt;0,summary!$C$10/28.8/0.947817,""))</f>
        <v/>
      </c>
      <c r="AK33">
        <f t="array" ref="AK33">IF($D4,IFERROR((SUMPRODUCT((economics!$AG$2:$AG$167=$B33)*(economics!$D$2:$D$167="whr")*economics!$AH$2:$AH$167*(_xlfn.NORM.DIST(AK$3,economics!$AK$2:$AK$167,economics!$AJ$2:$AJ$167,TRUE)-_xlfn.NORM.DIST(AK$30,economics!$AK$2:$AK$167,economics!$AJ$2:$AJ$167,TRUE))*economics!$AM$2:$AM$167)+$CR4*(_xlfn.NORM.DIST(AK$3,$CU4,0.3*$CU4,TRUE)-_xlfn.NORM.DIST(AK$30,$CU4,0.3*$CU4,TRUE))*summary!$C$7/28.8/0.947817+$CS4*(_xlfn.NORM.DIST(AK$3,$CV4,0.3*$CV4,TRUE)-_xlfn.NORM.DIST(AK$30,$CV4,0.3*$CV4,TRUE))*summary!$C$6/28.8/0.947817)/(SUMPRODUCT((economics!$AG$2:$AG$167=$B33)*(economics!$D$2:$D$167="whr")*economics!$AH$2:$AH$167*(_xlfn.NORM.DIST(AK$3,economics!$AK$2:$AK$167,economics!$AJ$2:$AJ$167,TRUE)-_xlfn.NORM.DIST(AK$30,economics!$AK$2:$AK$167,economics!$AJ$2:$AJ$167,TRUE)))+$CR4*(_xlfn.NORM.DIST(AK$3,$CU4,0.3*$CU4,TRUE)-_xlfn.NORM.DIST(AK$30,$CU4,0.3*$CU4,TRUE))+$CS4*(_xlfn.NORM.DIST(AK$3,$CV4,0.3*$CV4,TRUE)-_xlfn.NORM.DIST(AK$30,$CV4,0.3*$CV4,TRUE))),""),IF($C4&gt;0,summary!$C$10/28.8/0.947817,""))</f>
        <v/>
      </c>
      <c r="AL33">
        <f t="array" ref="AL33">IF($D4,IFERROR((SUMPRODUCT((economics!$AG$2:$AG$167=$B33)*(economics!$D$2:$D$167="whr")*economics!$AH$2:$AH$167*(_xlfn.NORM.DIST(AL$3,economics!$AK$2:$AK$167,economics!$AJ$2:$AJ$167,TRUE)-_xlfn.NORM.DIST(AL$30,economics!$AK$2:$AK$167,economics!$AJ$2:$AJ$167,TRUE))*economics!$AM$2:$AM$167)+$CR4*(_xlfn.NORM.DIST(AL$3,$CU4,0.3*$CU4,TRUE)-_xlfn.NORM.DIST(AL$30,$CU4,0.3*$CU4,TRUE))*summary!$C$7/28.8/0.947817+$CS4*(_xlfn.NORM.DIST(AL$3,$CV4,0.3*$CV4,TRUE)-_xlfn.NORM.DIST(AL$30,$CV4,0.3*$CV4,TRUE))*summary!$C$6/28.8/0.947817)/(SUMPRODUCT((economics!$AG$2:$AG$167=$B33)*(economics!$D$2:$D$167="whr")*economics!$AH$2:$AH$167*(_xlfn.NORM.DIST(AL$3,economics!$AK$2:$AK$167,economics!$AJ$2:$AJ$167,TRUE)-_xlfn.NORM.DIST(AL$30,economics!$AK$2:$AK$167,economics!$AJ$2:$AJ$167,TRUE)))+$CR4*(_xlfn.NORM.DIST(AL$3,$CU4,0.3*$CU4,TRUE)-_xlfn.NORM.DIST(AL$30,$CU4,0.3*$CU4,TRUE))+$CS4*(_xlfn.NORM.DIST(AL$3,$CV4,0.3*$CV4,TRUE)-_xlfn.NORM.DIST(AL$30,$CV4,0.3*$CV4,TRUE))),""),IF($C4&gt;0,summary!$C$10/28.8/0.947817,""))</f>
        <v/>
      </c>
      <c r="AM33">
        <f t="array" ref="AM33">IF($D4,IFERROR((SUMPRODUCT((economics!$AG$2:$AG$167=$B33)*(economics!$D$2:$D$167="whr")*economics!$AH$2:$AH$167*(_xlfn.NORM.DIST(AM$3,economics!$AK$2:$AK$167,economics!$AJ$2:$AJ$167,TRUE)-_xlfn.NORM.DIST(AM$30,economics!$AK$2:$AK$167,economics!$AJ$2:$AJ$167,TRUE))*economics!$AM$2:$AM$167)+$CR4*(_xlfn.NORM.DIST(AM$3,$CU4,0.3*$CU4,TRUE)-_xlfn.NORM.DIST(AM$30,$CU4,0.3*$CU4,TRUE))*summary!$C$7/28.8/0.947817+$CS4*(_xlfn.NORM.DIST(AM$3,$CV4,0.3*$CV4,TRUE)-_xlfn.NORM.DIST(AM$30,$CV4,0.3*$CV4,TRUE))*summary!$C$6/28.8/0.947817)/(SUMPRODUCT((economics!$AG$2:$AG$167=$B33)*(economics!$D$2:$D$167="whr")*economics!$AH$2:$AH$167*(_xlfn.NORM.DIST(AM$3,economics!$AK$2:$AK$167,economics!$AJ$2:$AJ$167,TRUE)-_xlfn.NORM.DIST(AM$30,economics!$AK$2:$AK$167,economics!$AJ$2:$AJ$167,TRUE)))+$CR4*(_xlfn.NORM.DIST(AM$3,$CU4,0.3*$CU4,TRUE)-_xlfn.NORM.DIST(AM$30,$CU4,0.3*$CU4,TRUE))+$CS4*(_xlfn.NORM.DIST(AM$3,$CV4,0.3*$CV4,TRUE)-_xlfn.NORM.DIST(AM$30,$CV4,0.3*$CV4,TRUE))),""),IF($C4&gt;0,summary!$C$10/28.8/0.947817,""))</f>
        <v/>
      </c>
      <c r="AN33">
        <f t="array" ref="AN33">IF($D4,IFERROR((SUMPRODUCT((economics!$AG$2:$AG$167=$B33)*(economics!$D$2:$D$167="whr")*economics!$AH$2:$AH$167*(_xlfn.NORM.DIST(AN$3,economics!$AK$2:$AK$167,economics!$AJ$2:$AJ$167,TRUE)-_xlfn.NORM.DIST(AN$30,economics!$AK$2:$AK$167,economics!$AJ$2:$AJ$167,TRUE))*economics!$AM$2:$AM$167)+$CR4*(_xlfn.NORM.DIST(AN$3,$CU4,0.3*$CU4,TRUE)-_xlfn.NORM.DIST(AN$30,$CU4,0.3*$CU4,TRUE))*summary!$C$7/28.8/0.947817+$CS4*(_xlfn.NORM.DIST(AN$3,$CV4,0.3*$CV4,TRUE)-_xlfn.NORM.DIST(AN$30,$CV4,0.3*$CV4,TRUE))*summary!$C$6/28.8/0.947817)/(SUMPRODUCT((economics!$AG$2:$AG$167=$B33)*(economics!$D$2:$D$167="whr")*economics!$AH$2:$AH$167*(_xlfn.NORM.DIST(AN$3,economics!$AK$2:$AK$167,economics!$AJ$2:$AJ$167,TRUE)-_xlfn.NORM.DIST(AN$30,economics!$AK$2:$AK$167,economics!$AJ$2:$AJ$167,TRUE)))+$CR4*(_xlfn.NORM.DIST(AN$3,$CU4,0.3*$CU4,TRUE)-_xlfn.NORM.DIST(AN$30,$CU4,0.3*$CU4,TRUE))+$CS4*(_xlfn.NORM.DIST(AN$3,$CV4,0.3*$CV4,TRUE)-_xlfn.NORM.DIST(AN$30,$CV4,0.3*$CV4,TRUE))),""),IF($C4&gt;0,summary!$C$10/28.8/0.947817,""))</f>
        <v/>
      </c>
      <c r="AO33">
        <f t="array" ref="AO33">IF($D4,IFERROR((SUMPRODUCT((economics!$AG$2:$AG$167=$B33)*(economics!$D$2:$D$167="whr")*economics!$AH$2:$AH$167*(_xlfn.NORM.DIST(AO$3,economics!$AK$2:$AK$167,economics!$AJ$2:$AJ$167,TRUE)-_xlfn.NORM.DIST(AO$30,economics!$AK$2:$AK$167,economics!$AJ$2:$AJ$167,TRUE))*economics!$AM$2:$AM$167)+$CR4*(_xlfn.NORM.DIST(AO$3,$CU4,0.3*$CU4,TRUE)-_xlfn.NORM.DIST(AO$30,$CU4,0.3*$CU4,TRUE))*summary!$C$7/28.8/0.947817+$CS4*(_xlfn.NORM.DIST(AO$3,$CV4,0.3*$CV4,TRUE)-_xlfn.NORM.DIST(AO$30,$CV4,0.3*$CV4,TRUE))*summary!$C$6/28.8/0.947817)/(SUMPRODUCT((economics!$AG$2:$AG$167=$B33)*(economics!$D$2:$D$167="whr")*economics!$AH$2:$AH$167*(_xlfn.NORM.DIST(AO$3,economics!$AK$2:$AK$167,economics!$AJ$2:$AJ$167,TRUE)-_xlfn.NORM.DIST(AO$30,economics!$AK$2:$AK$167,economics!$AJ$2:$AJ$167,TRUE)))+$CR4*(_xlfn.NORM.DIST(AO$3,$CU4,0.3*$CU4,TRUE)-_xlfn.NORM.DIST(AO$30,$CU4,0.3*$CU4,TRUE))+$CS4*(_xlfn.NORM.DIST(AO$3,$CV4,0.3*$CV4,TRUE)-_xlfn.NORM.DIST(AO$30,$CV4,0.3*$CV4,TRUE))),""),IF($C4&gt;0,summary!$C$10/28.8/0.947817,""))</f>
        <v/>
      </c>
      <c r="AP33">
        <f t="array" ref="AP33">IF($D4,IFERROR((SUMPRODUCT((economics!$AG$2:$AG$167=$B33)*(economics!$D$2:$D$167="whr")*economics!$AH$2:$AH$167*(_xlfn.NORM.DIST(AP$3,economics!$AK$2:$AK$167,economics!$AJ$2:$AJ$167,TRUE)-_xlfn.NORM.DIST(AP$30,economics!$AK$2:$AK$167,economics!$AJ$2:$AJ$167,TRUE))*economics!$AM$2:$AM$167)+$CR4*(_xlfn.NORM.DIST(AP$3,$CU4,0.3*$CU4,TRUE)-_xlfn.NORM.DIST(AP$30,$CU4,0.3*$CU4,TRUE))*summary!$C$7/28.8/0.947817+$CS4*(_xlfn.NORM.DIST(AP$3,$CV4,0.3*$CV4,TRUE)-_xlfn.NORM.DIST(AP$30,$CV4,0.3*$CV4,TRUE))*summary!$C$6/28.8/0.947817)/(SUMPRODUCT((economics!$AG$2:$AG$167=$B33)*(economics!$D$2:$D$167="whr")*economics!$AH$2:$AH$167*(_xlfn.NORM.DIST(AP$3,economics!$AK$2:$AK$167,economics!$AJ$2:$AJ$167,TRUE)-_xlfn.NORM.DIST(AP$30,economics!$AK$2:$AK$167,economics!$AJ$2:$AJ$167,TRUE)))+$CR4*(_xlfn.NORM.DIST(AP$3,$CU4,0.3*$CU4,TRUE)-_xlfn.NORM.DIST(AP$30,$CU4,0.3*$CU4,TRUE))+$CS4*(_xlfn.NORM.DIST(AP$3,$CV4,0.3*$CV4,TRUE)-_xlfn.NORM.DIST(AP$30,$CV4,0.3*$CV4,TRUE))),""),IF($C4&gt;0,summary!$C$10/28.8/0.947817,""))</f>
        <v/>
      </c>
      <c r="AQ33">
        <f t="array" ref="AQ33">IF($D4,IFERROR((SUMPRODUCT((economics!$AG$2:$AG$167=$B33)*(economics!$D$2:$D$167="whr")*economics!$AH$2:$AH$167*(_xlfn.NORM.DIST(AQ$3,economics!$AK$2:$AK$167,economics!$AJ$2:$AJ$167,TRUE)-_xlfn.NORM.DIST(AQ$30,economics!$AK$2:$AK$167,economics!$AJ$2:$AJ$167,TRUE))*economics!$AM$2:$AM$167)+$CR4*(_xlfn.NORM.DIST(AQ$3,$CU4,0.3*$CU4,TRUE)-_xlfn.NORM.DIST(AQ$30,$CU4,0.3*$CU4,TRUE))*summary!$C$7/28.8/0.947817+$CS4*(_xlfn.NORM.DIST(AQ$3,$CV4,0.3*$CV4,TRUE)-_xlfn.NORM.DIST(AQ$30,$CV4,0.3*$CV4,TRUE))*summary!$C$6/28.8/0.947817)/(SUMPRODUCT((economics!$AG$2:$AG$167=$B33)*(economics!$D$2:$D$167="whr")*economics!$AH$2:$AH$167*(_xlfn.NORM.DIST(AQ$3,economics!$AK$2:$AK$167,economics!$AJ$2:$AJ$167,TRUE)-_xlfn.NORM.DIST(AQ$30,economics!$AK$2:$AK$167,economics!$AJ$2:$AJ$167,TRUE)))+$CR4*(_xlfn.NORM.DIST(AQ$3,$CU4,0.3*$CU4,TRUE)-_xlfn.NORM.DIST(AQ$30,$CU4,0.3*$CU4,TRUE))+$CS4*(_xlfn.NORM.DIST(AQ$3,$CV4,0.3*$CV4,TRUE)-_xlfn.NORM.DIST(AQ$30,$CV4,0.3*$CV4,TRUE))),""),IF($C4&gt;0,summary!$C$10/28.8/0.947817,""))</f>
        <v/>
      </c>
      <c r="AR33">
        <f t="array" ref="AR33">IF($D4,IFERROR((SUMPRODUCT((economics!$AG$2:$AG$167=$B33)*(economics!$D$2:$D$167="whr")*economics!$AH$2:$AH$167*(_xlfn.NORM.DIST(AR$3,economics!$AK$2:$AK$167,economics!$AJ$2:$AJ$167,TRUE)-_xlfn.NORM.DIST(AR$30,economics!$AK$2:$AK$167,economics!$AJ$2:$AJ$167,TRUE))*economics!$AM$2:$AM$167)+$CR4*(_xlfn.NORM.DIST(AR$3,$CU4,0.3*$CU4,TRUE)-_xlfn.NORM.DIST(AR$30,$CU4,0.3*$CU4,TRUE))*summary!$C$7/28.8/0.947817+$CS4*(_xlfn.NORM.DIST(AR$3,$CV4,0.3*$CV4,TRUE)-_xlfn.NORM.DIST(AR$30,$CV4,0.3*$CV4,TRUE))*summary!$C$6/28.8/0.947817)/(SUMPRODUCT((economics!$AG$2:$AG$167=$B33)*(economics!$D$2:$D$167="whr")*economics!$AH$2:$AH$167*(_xlfn.NORM.DIST(AR$3,economics!$AK$2:$AK$167,economics!$AJ$2:$AJ$167,TRUE)-_xlfn.NORM.DIST(AR$30,economics!$AK$2:$AK$167,economics!$AJ$2:$AJ$167,TRUE)))+$CR4*(_xlfn.NORM.DIST(AR$3,$CU4,0.3*$CU4,TRUE)-_xlfn.NORM.DIST(AR$30,$CU4,0.3*$CU4,TRUE))+$CS4*(_xlfn.NORM.DIST(AR$3,$CV4,0.3*$CV4,TRUE)-_xlfn.NORM.DIST(AR$30,$CV4,0.3*$CV4,TRUE))),""),IF($C4&gt;0,summary!$C$10/28.8/0.947817,""))</f>
        <v/>
      </c>
      <c r="AS33">
        <f t="array" ref="AS33">IF($D4,IFERROR((SUMPRODUCT((economics!$AG$2:$AG$167=$B33)*(economics!$D$2:$D$167="whr")*economics!$AH$2:$AH$167*(_xlfn.NORM.DIST(AS$3,economics!$AK$2:$AK$167,economics!$AJ$2:$AJ$167,TRUE)-_xlfn.NORM.DIST(AS$30,economics!$AK$2:$AK$167,economics!$AJ$2:$AJ$167,TRUE))*economics!$AM$2:$AM$167)+$CR4*(_xlfn.NORM.DIST(AS$3,$CU4,0.3*$CU4,TRUE)-_xlfn.NORM.DIST(AS$30,$CU4,0.3*$CU4,TRUE))*summary!$C$7/28.8/0.947817+$CS4*(_xlfn.NORM.DIST(AS$3,$CV4,0.3*$CV4,TRUE)-_xlfn.NORM.DIST(AS$30,$CV4,0.3*$CV4,TRUE))*summary!$C$6/28.8/0.947817)/(SUMPRODUCT((economics!$AG$2:$AG$167=$B33)*(economics!$D$2:$D$167="whr")*economics!$AH$2:$AH$167*(_xlfn.NORM.DIST(AS$3,economics!$AK$2:$AK$167,economics!$AJ$2:$AJ$167,TRUE)-_xlfn.NORM.DIST(AS$30,economics!$AK$2:$AK$167,economics!$AJ$2:$AJ$167,TRUE)))+$CR4*(_xlfn.NORM.DIST(AS$3,$CU4,0.3*$CU4,TRUE)-_xlfn.NORM.DIST(AS$30,$CU4,0.3*$CU4,TRUE))+$CS4*(_xlfn.NORM.DIST(AS$3,$CV4,0.3*$CV4,TRUE)-_xlfn.NORM.DIST(AS$30,$CV4,0.3*$CV4,TRUE))),""),IF($C4&gt;0,summary!$C$10/28.8/0.947817,""))</f>
        <v/>
      </c>
      <c r="AT33">
        <f t="array" ref="AT33">IF($D4,IFERROR((SUMPRODUCT((economics!$AG$2:$AG$167=$B33)*(economics!$D$2:$D$167="whr")*economics!$AH$2:$AH$167*(_xlfn.NORM.DIST(AT$3,economics!$AK$2:$AK$167,economics!$AJ$2:$AJ$167,TRUE)-_xlfn.NORM.DIST(AT$30,economics!$AK$2:$AK$167,economics!$AJ$2:$AJ$167,TRUE))*economics!$AM$2:$AM$167)+$CR4*(_xlfn.NORM.DIST(AT$3,$CU4,0.3*$CU4,TRUE)-_xlfn.NORM.DIST(AT$30,$CU4,0.3*$CU4,TRUE))*summary!$C$7/28.8/0.947817+$CS4*(_xlfn.NORM.DIST(AT$3,$CV4,0.3*$CV4,TRUE)-_xlfn.NORM.DIST(AT$30,$CV4,0.3*$CV4,TRUE))*summary!$C$6/28.8/0.947817)/(SUMPRODUCT((economics!$AG$2:$AG$167=$B33)*(economics!$D$2:$D$167="whr")*economics!$AH$2:$AH$167*(_xlfn.NORM.DIST(AT$3,economics!$AK$2:$AK$167,economics!$AJ$2:$AJ$167,TRUE)-_xlfn.NORM.DIST(AT$30,economics!$AK$2:$AK$167,economics!$AJ$2:$AJ$167,TRUE)))+$CR4*(_xlfn.NORM.DIST(AT$3,$CU4,0.3*$CU4,TRUE)-_xlfn.NORM.DIST(AT$30,$CU4,0.3*$CU4,TRUE))+$CS4*(_xlfn.NORM.DIST(AT$3,$CV4,0.3*$CV4,TRUE)-_xlfn.NORM.DIST(AT$30,$CV4,0.3*$CV4,TRUE))),""),IF($C4&gt;0,summary!$C$10/28.8/0.947817,""))</f>
        <v/>
      </c>
      <c r="AU33">
        <f t="array" ref="AU33">IF($D4,IFERROR((SUMPRODUCT((economics!$AG$2:$AG$167=$B33)*(economics!$D$2:$D$167="whr")*economics!$AH$2:$AH$167*(_xlfn.NORM.DIST(AU$3,economics!$AK$2:$AK$167,economics!$AJ$2:$AJ$167,TRUE)-_xlfn.NORM.DIST(AU$30,economics!$AK$2:$AK$167,economics!$AJ$2:$AJ$167,TRUE))*economics!$AM$2:$AM$167)+$CR4*(_xlfn.NORM.DIST(AU$3,$CU4,0.3*$CU4,TRUE)-_xlfn.NORM.DIST(AU$30,$CU4,0.3*$CU4,TRUE))*summary!$C$7/28.8/0.947817+$CS4*(_xlfn.NORM.DIST(AU$3,$CV4,0.3*$CV4,TRUE)-_xlfn.NORM.DIST(AU$30,$CV4,0.3*$CV4,TRUE))*summary!$C$6/28.8/0.947817)/(SUMPRODUCT((economics!$AG$2:$AG$167=$B33)*(economics!$D$2:$D$167="whr")*economics!$AH$2:$AH$167*(_xlfn.NORM.DIST(AU$3,economics!$AK$2:$AK$167,economics!$AJ$2:$AJ$167,TRUE)-_xlfn.NORM.DIST(AU$30,economics!$AK$2:$AK$167,economics!$AJ$2:$AJ$167,TRUE)))+$CR4*(_xlfn.NORM.DIST(AU$3,$CU4,0.3*$CU4,TRUE)-_xlfn.NORM.DIST(AU$30,$CU4,0.3*$CU4,TRUE))+$CS4*(_xlfn.NORM.DIST(AU$3,$CV4,0.3*$CV4,TRUE)-_xlfn.NORM.DIST(AU$30,$CV4,0.3*$CV4,TRUE))),""),IF($C4&gt;0,summary!$C$10/28.8/0.947817,""))</f>
        <v/>
      </c>
      <c r="AV33">
        <f t="array" ref="AV33">IF($D4,IFERROR((SUMPRODUCT((economics!$AG$2:$AG$167=$B33)*(economics!$D$2:$D$167="whr")*economics!$AH$2:$AH$167*(_xlfn.NORM.DIST(AV$3,economics!$AK$2:$AK$167,economics!$AJ$2:$AJ$167,TRUE)-_xlfn.NORM.DIST(AV$30,economics!$AK$2:$AK$167,economics!$AJ$2:$AJ$167,TRUE))*economics!$AM$2:$AM$167)+$CR4*(_xlfn.NORM.DIST(AV$3,$CU4,0.3*$CU4,TRUE)-_xlfn.NORM.DIST(AV$30,$CU4,0.3*$CU4,TRUE))*summary!$C$7/28.8/0.947817+$CS4*(_xlfn.NORM.DIST(AV$3,$CV4,0.3*$CV4,TRUE)-_xlfn.NORM.DIST(AV$30,$CV4,0.3*$CV4,TRUE))*summary!$C$6/28.8/0.947817)/(SUMPRODUCT((economics!$AG$2:$AG$167=$B33)*(economics!$D$2:$D$167="whr")*economics!$AH$2:$AH$167*(_xlfn.NORM.DIST(AV$3,economics!$AK$2:$AK$167,economics!$AJ$2:$AJ$167,TRUE)-_xlfn.NORM.DIST(AV$30,economics!$AK$2:$AK$167,economics!$AJ$2:$AJ$167,TRUE)))+$CR4*(_xlfn.NORM.DIST(AV$3,$CU4,0.3*$CU4,TRUE)-_xlfn.NORM.DIST(AV$30,$CU4,0.3*$CU4,TRUE))+$CS4*(_xlfn.NORM.DIST(AV$3,$CV4,0.3*$CV4,TRUE)-_xlfn.NORM.DIST(AV$30,$CV4,0.3*$CV4,TRUE))),""),IF($C4&gt;0,summary!$C$10/28.8/0.947817,""))</f>
        <v/>
      </c>
      <c r="AW33">
        <f t="array" ref="AW33">IF($D4,IFERROR((SUMPRODUCT((economics!$AG$2:$AG$167=$B33)*(economics!$D$2:$D$167="whr")*economics!$AH$2:$AH$167*(_xlfn.NORM.DIST(AW$3,economics!$AK$2:$AK$167,economics!$AJ$2:$AJ$167,TRUE)-_xlfn.NORM.DIST(AW$30,economics!$AK$2:$AK$167,economics!$AJ$2:$AJ$167,TRUE))*economics!$AM$2:$AM$167)+$CR4*(_xlfn.NORM.DIST(AW$3,$CU4,0.3*$CU4,TRUE)-_xlfn.NORM.DIST(AW$30,$CU4,0.3*$CU4,TRUE))*summary!$C$7/28.8/0.947817+$CS4*(_xlfn.NORM.DIST(AW$3,$CV4,0.3*$CV4,TRUE)-_xlfn.NORM.DIST(AW$30,$CV4,0.3*$CV4,TRUE))*summary!$C$6/28.8/0.947817)/(SUMPRODUCT((economics!$AG$2:$AG$167=$B33)*(economics!$D$2:$D$167="whr")*economics!$AH$2:$AH$167*(_xlfn.NORM.DIST(AW$3,economics!$AK$2:$AK$167,economics!$AJ$2:$AJ$167,TRUE)-_xlfn.NORM.DIST(AW$30,economics!$AK$2:$AK$167,economics!$AJ$2:$AJ$167,TRUE)))+$CR4*(_xlfn.NORM.DIST(AW$3,$CU4,0.3*$CU4,TRUE)-_xlfn.NORM.DIST(AW$30,$CU4,0.3*$CU4,TRUE))+$CS4*(_xlfn.NORM.DIST(AW$3,$CV4,0.3*$CV4,TRUE)-_xlfn.NORM.DIST(AW$30,$CV4,0.3*$CV4,TRUE))),""),IF($C4&gt;0,summary!$C$10/28.8/0.947817,""))</f>
        <v/>
      </c>
      <c r="AX33">
        <f t="array" ref="AX33">IF($D4,IFERROR((SUMPRODUCT((economics!$AG$2:$AG$167=$B33)*(economics!$D$2:$D$167="whr")*economics!$AH$2:$AH$167*(_xlfn.NORM.DIST(AX$3,economics!$AK$2:$AK$167,economics!$AJ$2:$AJ$167,TRUE)-_xlfn.NORM.DIST(AX$30,economics!$AK$2:$AK$167,economics!$AJ$2:$AJ$167,TRUE))*economics!$AM$2:$AM$167)+$CR4*(_xlfn.NORM.DIST(AX$3,$CU4,0.3*$CU4,TRUE)-_xlfn.NORM.DIST(AX$30,$CU4,0.3*$CU4,TRUE))*summary!$C$7/28.8/0.947817+$CS4*(_xlfn.NORM.DIST(AX$3,$CV4,0.3*$CV4,TRUE)-_xlfn.NORM.DIST(AX$30,$CV4,0.3*$CV4,TRUE))*summary!$C$6/28.8/0.947817)/(SUMPRODUCT((economics!$AG$2:$AG$167=$B33)*(economics!$D$2:$D$167="whr")*economics!$AH$2:$AH$167*(_xlfn.NORM.DIST(AX$3,economics!$AK$2:$AK$167,economics!$AJ$2:$AJ$167,TRUE)-_xlfn.NORM.DIST(AX$30,economics!$AK$2:$AK$167,economics!$AJ$2:$AJ$167,TRUE)))+$CR4*(_xlfn.NORM.DIST(AX$3,$CU4,0.3*$CU4,TRUE)-_xlfn.NORM.DIST(AX$30,$CU4,0.3*$CU4,TRUE))+$CS4*(_xlfn.NORM.DIST(AX$3,$CV4,0.3*$CV4,TRUE)-_xlfn.NORM.DIST(AX$30,$CV4,0.3*$CV4,TRUE))),""),IF($C4&gt;0,summary!$C$10/28.8/0.947817,""))</f>
        <v/>
      </c>
      <c r="AY33">
        <f t="array" ref="AY33">IF($D4,IFERROR((SUMPRODUCT((economics!$AG$2:$AG$167=$B33)*(economics!$D$2:$D$167="whr")*economics!$AH$2:$AH$167*(_xlfn.NORM.DIST(AY$3,economics!$AK$2:$AK$167,economics!$AJ$2:$AJ$167,TRUE)-_xlfn.NORM.DIST(AY$30,economics!$AK$2:$AK$167,economics!$AJ$2:$AJ$167,TRUE))*economics!$AM$2:$AM$167)+$CR4*(_xlfn.NORM.DIST(AY$3,$CU4,0.3*$CU4,TRUE)-_xlfn.NORM.DIST(AY$30,$CU4,0.3*$CU4,TRUE))*summary!$C$7/28.8/0.947817+$CS4*(_xlfn.NORM.DIST(AY$3,$CV4,0.3*$CV4,TRUE)-_xlfn.NORM.DIST(AY$30,$CV4,0.3*$CV4,TRUE))*summary!$C$6/28.8/0.947817)/(SUMPRODUCT((economics!$AG$2:$AG$167=$B33)*(economics!$D$2:$D$167="whr")*economics!$AH$2:$AH$167*(_xlfn.NORM.DIST(AY$3,economics!$AK$2:$AK$167,economics!$AJ$2:$AJ$167,TRUE)-_xlfn.NORM.DIST(AY$30,economics!$AK$2:$AK$167,economics!$AJ$2:$AJ$167,TRUE)))+$CR4*(_xlfn.NORM.DIST(AY$3,$CU4,0.3*$CU4,TRUE)-_xlfn.NORM.DIST(AY$30,$CU4,0.3*$CU4,TRUE))+$CS4*(_xlfn.NORM.DIST(AY$3,$CV4,0.3*$CV4,TRUE)-_xlfn.NORM.DIST(AY$30,$CV4,0.3*$CV4,TRUE))),""),IF($C4&gt;0,summary!$C$10/28.8/0.947817,""))</f>
        <v/>
      </c>
      <c r="AZ33">
        <f t="array" ref="AZ33">IF($D4,IFERROR((SUMPRODUCT((economics!$AG$2:$AG$167=$B33)*(economics!$D$2:$D$167="whr")*economics!$AH$2:$AH$167*(_xlfn.NORM.DIST(AZ$3,economics!$AK$2:$AK$167,economics!$AJ$2:$AJ$167,TRUE)-_xlfn.NORM.DIST(AZ$30,economics!$AK$2:$AK$167,economics!$AJ$2:$AJ$167,TRUE))*economics!$AM$2:$AM$167)+$CR4*(_xlfn.NORM.DIST(AZ$3,$CU4,0.3*$CU4,TRUE)-_xlfn.NORM.DIST(AZ$30,$CU4,0.3*$CU4,TRUE))*summary!$C$7/28.8/0.947817+$CS4*(_xlfn.NORM.DIST(AZ$3,$CV4,0.3*$CV4,TRUE)-_xlfn.NORM.DIST(AZ$30,$CV4,0.3*$CV4,TRUE))*summary!$C$6/28.8/0.947817)/(SUMPRODUCT((economics!$AG$2:$AG$167=$B33)*(economics!$D$2:$D$167="whr")*economics!$AH$2:$AH$167*(_xlfn.NORM.DIST(AZ$3,economics!$AK$2:$AK$167,economics!$AJ$2:$AJ$167,TRUE)-_xlfn.NORM.DIST(AZ$30,economics!$AK$2:$AK$167,economics!$AJ$2:$AJ$167,TRUE)))+$CR4*(_xlfn.NORM.DIST(AZ$3,$CU4,0.3*$CU4,TRUE)-_xlfn.NORM.DIST(AZ$30,$CU4,0.3*$CU4,TRUE))+$CS4*(_xlfn.NORM.DIST(AZ$3,$CV4,0.3*$CV4,TRUE)-_xlfn.NORM.DIST(AZ$30,$CV4,0.3*$CV4,TRUE))),""),IF($C4&gt;0,summary!$C$10/28.8/0.947817,""))</f>
        <v/>
      </c>
      <c r="BA33">
        <f t="array" ref="BA33">IF($D4,IFERROR((SUMPRODUCT((economics!$AG$2:$AG$167=$B33)*(economics!$D$2:$D$167="whr")*economics!$AH$2:$AH$167*(_xlfn.NORM.DIST(BA$3,economics!$AK$2:$AK$167,economics!$AJ$2:$AJ$167,TRUE)-_xlfn.NORM.DIST(BA$30,economics!$AK$2:$AK$167,economics!$AJ$2:$AJ$167,TRUE))*economics!$AM$2:$AM$167)+$CR4*(_xlfn.NORM.DIST(BA$3,$CU4,0.3*$CU4,TRUE)-_xlfn.NORM.DIST(BA$30,$CU4,0.3*$CU4,TRUE))*summary!$C$7/28.8/0.947817+$CS4*(_xlfn.NORM.DIST(BA$3,$CV4,0.3*$CV4,TRUE)-_xlfn.NORM.DIST(BA$30,$CV4,0.3*$CV4,TRUE))*summary!$C$6/28.8/0.947817)/(SUMPRODUCT((economics!$AG$2:$AG$167=$B33)*(economics!$D$2:$D$167="whr")*economics!$AH$2:$AH$167*(_xlfn.NORM.DIST(BA$3,economics!$AK$2:$AK$167,economics!$AJ$2:$AJ$167,TRUE)-_xlfn.NORM.DIST(BA$30,economics!$AK$2:$AK$167,economics!$AJ$2:$AJ$167,TRUE)))+$CR4*(_xlfn.NORM.DIST(BA$3,$CU4,0.3*$CU4,TRUE)-_xlfn.NORM.DIST(BA$30,$CU4,0.3*$CU4,TRUE))+$CS4*(_xlfn.NORM.DIST(BA$3,$CV4,0.3*$CV4,TRUE)-_xlfn.NORM.DIST(BA$30,$CV4,0.3*$CV4,TRUE))),""),IF($C4&gt;0,summary!$C$10/28.8/0.947817,""))</f>
        <v/>
      </c>
      <c r="BB33">
        <f t="array" ref="BB33">IF($D4,IFERROR((SUMPRODUCT((economics!$AG$2:$AG$167=$B33)*(economics!$D$2:$D$167="whr")*economics!$AH$2:$AH$167*(_xlfn.NORM.DIST(BB$3,economics!$AK$2:$AK$167,economics!$AJ$2:$AJ$167,TRUE)-_xlfn.NORM.DIST(BB$30,economics!$AK$2:$AK$167,economics!$AJ$2:$AJ$167,TRUE))*economics!$AM$2:$AM$167)+$CR4*(_xlfn.NORM.DIST(BB$3,$CU4,0.3*$CU4,TRUE)-_xlfn.NORM.DIST(BB$30,$CU4,0.3*$CU4,TRUE))*summary!$C$7/28.8/0.947817+$CS4*(_xlfn.NORM.DIST(BB$3,$CV4,0.3*$CV4,TRUE)-_xlfn.NORM.DIST(BB$30,$CV4,0.3*$CV4,TRUE))*summary!$C$6/28.8/0.947817)/(SUMPRODUCT((economics!$AG$2:$AG$167=$B33)*(economics!$D$2:$D$167="whr")*economics!$AH$2:$AH$167*(_xlfn.NORM.DIST(BB$3,economics!$AK$2:$AK$167,economics!$AJ$2:$AJ$167,TRUE)-_xlfn.NORM.DIST(BB$30,economics!$AK$2:$AK$167,economics!$AJ$2:$AJ$167,TRUE)))+$CR4*(_xlfn.NORM.DIST(BB$3,$CU4,0.3*$CU4,TRUE)-_xlfn.NORM.DIST(BB$30,$CU4,0.3*$CU4,TRUE))+$CS4*(_xlfn.NORM.DIST(BB$3,$CV4,0.3*$CV4,TRUE)-_xlfn.NORM.DIST(BB$30,$CV4,0.3*$CV4,TRUE))),""),IF($C4&gt;0,summary!$C$10/28.8/0.947817,""))</f>
        <v/>
      </c>
      <c r="BC33">
        <f t="array" ref="BC33">IF($D4,IFERROR((SUMPRODUCT((economics!$AG$2:$AG$167=$B33)*(economics!$D$2:$D$167="whr")*economics!$AH$2:$AH$167*(_xlfn.NORM.DIST(BC$3,economics!$AK$2:$AK$167,economics!$AJ$2:$AJ$167,TRUE)-_xlfn.NORM.DIST(BC$30,economics!$AK$2:$AK$167,economics!$AJ$2:$AJ$167,TRUE))*economics!$AM$2:$AM$167)+$CR4*(_xlfn.NORM.DIST(BC$3,$CU4,0.3*$CU4,TRUE)-_xlfn.NORM.DIST(BC$30,$CU4,0.3*$CU4,TRUE))*summary!$C$7/28.8/0.947817+$CS4*(_xlfn.NORM.DIST(BC$3,$CV4,0.3*$CV4,TRUE)-_xlfn.NORM.DIST(BC$30,$CV4,0.3*$CV4,TRUE))*summary!$C$6/28.8/0.947817)/(SUMPRODUCT((economics!$AG$2:$AG$167=$B33)*(economics!$D$2:$D$167="whr")*economics!$AH$2:$AH$167*(_xlfn.NORM.DIST(BC$3,economics!$AK$2:$AK$167,economics!$AJ$2:$AJ$167,TRUE)-_xlfn.NORM.DIST(BC$30,economics!$AK$2:$AK$167,economics!$AJ$2:$AJ$167,TRUE)))+$CR4*(_xlfn.NORM.DIST(BC$3,$CU4,0.3*$CU4,TRUE)-_xlfn.NORM.DIST(BC$30,$CU4,0.3*$CU4,TRUE))+$CS4*(_xlfn.NORM.DIST(BC$3,$CV4,0.3*$CV4,TRUE)-_xlfn.NORM.DIST(BC$30,$CV4,0.3*$CV4,TRUE))),""),IF($C4&gt;0,summary!$C$10/28.8/0.947817,""))</f>
        <v/>
      </c>
      <c r="BD33">
        <f t="array" ref="BD33">IF($D4,IFERROR((SUMPRODUCT((economics!$AG$2:$AG$167=$B33)*(economics!$D$2:$D$167="whr")*economics!$AH$2:$AH$167*(_xlfn.NORM.DIST(BD$3,economics!$AK$2:$AK$167,economics!$AJ$2:$AJ$167,TRUE)-_xlfn.NORM.DIST(BD$30,economics!$AK$2:$AK$167,economics!$AJ$2:$AJ$167,TRUE))*economics!$AM$2:$AM$167)+$CR4*(_xlfn.NORM.DIST(BD$3,$CU4,0.3*$CU4,TRUE)-_xlfn.NORM.DIST(BD$30,$CU4,0.3*$CU4,TRUE))*summary!$C$7/28.8/0.947817+$CS4*(_xlfn.NORM.DIST(BD$3,$CV4,0.3*$CV4,TRUE)-_xlfn.NORM.DIST(BD$30,$CV4,0.3*$CV4,TRUE))*summary!$C$6/28.8/0.947817)/(SUMPRODUCT((economics!$AG$2:$AG$167=$B33)*(economics!$D$2:$D$167="whr")*economics!$AH$2:$AH$167*(_xlfn.NORM.DIST(BD$3,economics!$AK$2:$AK$167,economics!$AJ$2:$AJ$167,TRUE)-_xlfn.NORM.DIST(BD$30,economics!$AK$2:$AK$167,economics!$AJ$2:$AJ$167,TRUE)))+$CR4*(_xlfn.NORM.DIST(BD$3,$CU4,0.3*$CU4,TRUE)-_xlfn.NORM.DIST(BD$30,$CU4,0.3*$CU4,TRUE))+$CS4*(_xlfn.NORM.DIST(BD$3,$CV4,0.3*$CV4,TRUE)-_xlfn.NORM.DIST(BD$30,$CV4,0.3*$CV4,TRUE))),""),IF($C4&gt;0,summary!$C$10/28.8/0.947817,""))</f>
        <v/>
      </c>
      <c r="BE33">
        <f t="array" ref="BE33">IF($D4,IFERROR((SUMPRODUCT((economics!$AG$2:$AG$167=$B33)*(economics!$D$2:$D$167="whr")*economics!$AH$2:$AH$167*(_xlfn.NORM.DIST(BE$3,economics!$AK$2:$AK$167,economics!$AJ$2:$AJ$167,TRUE)-_xlfn.NORM.DIST(BE$30,economics!$AK$2:$AK$167,economics!$AJ$2:$AJ$167,TRUE))*economics!$AM$2:$AM$167)+$CR4*(_xlfn.NORM.DIST(BE$3,$CU4,0.3*$CU4,TRUE)-_xlfn.NORM.DIST(BE$30,$CU4,0.3*$CU4,TRUE))*summary!$C$7/28.8/0.947817+$CS4*(_xlfn.NORM.DIST(BE$3,$CV4,0.3*$CV4,TRUE)-_xlfn.NORM.DIST(BE$30,$CV4,0.3*$CV4,TRUE))*summary!$C$6/28.8/0.947817)/(SUMPRODUCT((economics!$AG$2:$AG$167=$B33)*(economics!$D$2:$D$167="whr")*economics!$AH$2:$AH$167*(_xlfn.NORM.DIST(BE$3,economics!$AK$2:$AK$167,economics!$AJ$2:$AJ$167,TRUE)-_xlfn.NORM.DIST(BE$30,economics!$AK$2:$AK$167,economics!$AJ$2:$AJ$167,TRUE)))+$CR4*(_xlfn.NORM.DIST(BE$3,$CU4,0.3*$CU4,TRUE)-_xlfn.NORM.DIST(BE$30,$CU4,0.3*$CU4,TRUE))+$CS4*(_xlfn.NORM.DIST(BE$3,$CV4,0.3*$CV4,TRUE)-_xlfn.NORM.DIST(BE$30,$CV4,0.3*$CV4,TRUE))),""),IF($C4&gt;0,summary!$C$10/28.8/0.947817,""))</f>
        <v/>
      </c>
      <c r="BF33">
        <f t="array" ref="BF33">IF($D4,IFERROR((SUMPRODUCT((economics!$AG$2:$AG$167=$B33)*(economics!$D$2:$D$167="whr")*economics!$AH$2:$AH$167*(_xlfn.NORM.DIST(BF$3,economics!$AK$2:$AK$167,economics!$AJ$2:$AJ$167,TRUE)-_xlfn.NORM.DIST(BF$30,economics!$AK$2:$AK$167,economics!$AJ$2:$AJ$167,TRUE))*economics!$AM$2:$AM$167)+$CR4*(_xlfn.NORM.DIST(BF$3,$CU4,0.3*$CU4,TRUE)-_xlfn.NORM.DIST(BF$30,$CU4,0.3*$CU4,TRUE))*summary!$C$7/28.8/0.947817+$CS4*(_xlfn.NORM.DIST(BF$3,$CV4,0.3*$CV4,TRUE)-_xlfn.NORM.DIST(BF$30,$CV4,0.3*$CV4,TRUE))*summary!$C$6/28.8/0.947817)/(SUMPRODUCT((economics!$AG$2:$AG$167=$B33)*(economics!$D$2:$D$167="whr")*economics!$AH$2:$AH$167*(_xlfn.NORM.DIST(BF$3,economics!$AK$2:$AK$167,economics!$AJ$2:$AJ$167,TRUE)-_xlfn.NORM.DIST(BF$30,economics!$AK$2:$AK$167,economics!$AJ$2:$AJ$167,TRUE)))+$CR4*(_xlfn.NORM.DIST(BF$3,$CU4,0.3*$CU4,TRUE)-_xlfn.NORM.DIST(BF$30,$CU4,0.3*$CU4,TRUE))+$CS4*(_xlfn.NORM.DIST(BF$3,$CV4,0.3*$CV4,TRUE)-_xlfn.NORM.DIST(BF$30,$CV4,0.3*$CV4,TRUE))),""),IF($C4&gt;0,summary!$C$10/28.8/0.947817,""))</f>
        <v/>
      </c>
      <c r="BG33">
        <f t="array" ref="BG33">IF($D4,IFERROR((SUMPRODUCT((economics!$AG$2:$AG$167=$B33)*(economics!$D$2:$D$167="whr")*economics!$AH$2:$AH$167*(_xlfn.NORM.DIST(BG$3,economics!$AK$2:$AK$167,economics!$AJ$2:$AJ$167,TRUE)-_xlfn.NORM.DIST(BG$30,economics!$AK$2:$AK$167,economics!$AJ$2:$AJ$167,TRUE))*economics!$AM$2:$AM$167)+$CR4*(_xlfn.NORM.DIST(BG$3,$CU4,0.3*$CU4,TRUE)-_xlfn.NORM.DIST(BG$30,$CU4,0.3*$CU4,TRUE))*summary!$C$7/28.8/0.947817+$CS4*(_xlfn.NORM.DIST(BG$3,$CV4,0.3*$CV4,TRUE)-_xlfn.NORM.DIST(BG$30,$CV4,0.3*$CV4,TRUE))*summary!$C$6/28.8/0.947817)/(SUMPRODUCT((economics!$AG$2:$AG$167=$B33)*(economics!$D$2:$D$167="whr")*economics!$AH$2:$AH$167*(_xlfn.NORM.DIST(BG$3,economics!$AK$2:$AK$167,economics!$AJ$2:$AJ$167,TRUE)-_xlfn.NORM.DIST(BG$30,economics!$AK$2:$AK$167,economics!$AJ$2:$AJ$167,TRUE)))+$CR4*(_xlfn.NORM.DIST(BG$3,$CU4,0.3*$CU4,TRUE)-_xlfn.NORM.DIST(BG$30,$CU4,0.3*$CU4,TRUE))+$CS4*(_xlfn.NORM.DIST(BG$3,$CV4,0.3*$CV4,TRUE)-_xlfn.NORM.DIST(BG$30,$CV4,0.3*$CV4,TRUE))),""),IF($C4&gt;0,summary!$C$10/28.8/0.947817,""))</f>
        <v/>
      </c>
      <c r="BH33">
        <f t="array" ref="BH33">IF($D4,IFERROR((SUMPRODUCT((economics!$AG$2:$AG$167=$B33)*(economics!$D$2:$D$167="whr")*economics!$AH$2:$AH$167*(_xlfn.NORM.DIST(BH$3,economics!$AK$2:$AK$167,economics!$AJ$2:$AJ$167,TRUE)-_xlfn.NORM.DIST(BH$30,economics!$AK$2:$AK$167,economics!$AJ$2:$AJ$167,TRUE))*economics!$AM$2:$AM$167)+$CR4*(_xlfn.NORM.DIST(BH$3,$CU4,0.3*$CU4,TRUE)-_xlfn.NORM.DIST(BH$30,$CU4,0.3*$CU4,TRUE))*summary!$C$7/28.8/0.947817+$CS4*(_xlfn.NORM.DIST(BH$3,$CV4,0.3*$CV4,TRUE)-_xlfn.NORM.DIST(BH$30,$CV4,0.3*$CV4,TRUE))*summary!$C$6/28.8/0.947817)/(SUMPRODUCT((economics!$AG$2:$AG$167=$B33)*(economics!$D$2:$D$167="whr")*economics!$AH$2:$AH$167*(_xlfn.NORM.DIST(BH$3,economics!$AK$2:$AK$167,economics!$AJ$2:$AJ$167,TRUE)-_xlfn.NORM.DIST(BH$30,economics!$AK$2:$AK$167,economics!$AJ$2:$AJ$167,TRUE)))+$CR4*(_xlfn.NORM.DIST(BH$3,$CU4,0.3*$CU4,TRUE)-_xlfn.NORM.DIST(BH$30,$CU4,0.3*$CU4,TRUE))+$CS4*(_xlfn.NORM.DIST(BH$3,$CV4,0.3*$CV4,TRUE)-_xlfn.NORM.DIST(BH$30,$CV4,0.3*$CV4,TRUE))),""),IF($C4&gt;0,summary!$C$10/28.8/0.947817,""))</f>
        <v/>
      </c>
      <c r="BI33">
        <f t="array" ref="BI33">IF($D4,IFERROR((SUMPRODUCT((economics!$AG$2:$AG$167=$B33)*(economics!$D$2:$D$167="whr")*economics!$AH$2:$AH$167*(_xlfn.NORM.DIST(BI$3,economics!$AK$2:$AK$167,economics!$AJ$2:$AJ$167,TRUE)-_xlfn.NORM.DIST(BI$30,economics!$AK$2:$AK$167,economics!$AJ$2:$AJ$167,TRUE))*economics!$AM$2:$AM$167)+$CR4*(_xlfn.NORM.DIST(BI$3,$CU4,0.3*$CU4,TRUE)-_xlfn.NORM.DIST(BI$30,$CU4,0.3*$CU4,TRUE))*summary!$C$7/28.8/0.947817+$CS4*(_xlfn.NORM.DIST(BI$3,$CV4,0.3*$CV4,TRUE)-_xlfn.NORM.DIST(BI$30,$CV4,0.3*$CV4,TRUE))*summary!$C$6/28.8/0.947817)/(SUMPRODUCT((economics!$AG$2:$AG$167=$B33)*(economics!$D$2:$D$167="whr")*economics!$AH$2:$AH$167*(_xlfn.NORM.DIST(BI$3,economics!$AK$2:$AK$167,economics!$AJ$2:$AJ$167,TRUE)-_xlfn.NORM.DIST(BI$30,economics!$AK$2:$AK$167,economics!$AJ$2:$AJ$167,TRUE)))+$CR4*(_xlfn.NORM.DIST(BI$3,$CU4,0.3*$CU4,TRUE)-_xlfn.NORM.DIST(BI$30,$CU4,0.3*$CU4,TRUE))+$CS4*(_xlfn.NORM.DIST(BI$3,$CV4,0.3*$CV4,TRUE)-_xlfn.NORM.DIST(BI$30,$CV4,0.3*$CV4,TRUE))),""),IF($C4&gt;0,summary!$C$10/28.8/0.947817,""))</f>
        <v/>
      </c>
      <c r="BJ33">
        <f t="array" ref="BJ33">IF($D4,IFERROR((SUMPRODUCT((economics!$AG$2:$AG$167=$B33)*(economics!$D$2:$D$167="whr")*economics!$AH$2:$AH$167*(_xlfn.NORM.DIST(BJ$3,economics!$AK$2:$AK$167,economics!$AJ$2:$AJ$167,TRUE)-_xlfn.NORM.DIST(BJ$30,economics!$AK$2:$AK$167,economics!$AJ$2:$AJ$167,TRUE))*economics!$AM$2:$AM$167)+$CR4*(_xlfn.NORM.DIST(BJ$3,$CU4,0.3*$CU4,TRUE)-_xlfn.NORM.DIST(BJ$30,$CU4,0.3*$CU4,TRUE))*summary!$C$7/28.8/0.947817+$CS4*(_xlfn.NORM.DIST(BJ$3,$CV4,0.3*$CV4,TRUE)-_xlfn.NORM.DIST(BJ$30,$CV4,0.3*$CV4,TRUE))*summary!$C$6/28.8/0.947817)/(SUMPRODUCT((economics!$AG$2:$AG$167=$B33)*(economics!$D$2:$D$167="whr")*economics!$AH$2:$AH$167*(_xlfn.NORM.DIST(BJ$3,economics!$AK$2:$AK$167,economics!$AJ$2:$AJ$167,TRUE)-_xlfn.NORM.DIST(BJ$30,economics!$AK$2:$AK$167,economics!$AJ$2:$AJ$167,TRUE)))+$CR4*(_xlfn.NORM.DIST(BJ$3,$CU4,0.3*$CU4,TRUE)-_xlfn.NORM.DIST(BJ$30,$CU4,0.3*$CU4,TRUE))+$CS4*(_xlfn.NORM.DIST(BJ$3,$CV4,0.3*$CV4,TRUE)-_xlfn.NORM.DIST(BJ$30,$CV4,0.3*$CV4,TRUE))),""),IF($C4&gt;0,summary!$C$10/28.8/0.947817,""))</f>
        <v/>
      </c>
      <c r="BK33">
        <f t="array" ref="BK33">IF($D4,IFERROR((SUMPRODUCT((economics!$AG$2:$AG$167=$B33)*(economics!$D$2:$D$167="whr")*economics!$AH$2:$AH$167*(_xlfn.NORM.DIST(BK$3,economics!$AK$2:$AK$167,economics!$AJ$2:$AJ$167,TRUE)-_xlfn.NORM.DIST(BK$30,economics!$AK$2:$AK$167,economics!$AJ$2:$AJ$167,TRUE))*economics!$AM$2:$AM$167)+$CR4*(_xlfn.NORM.DIST(BK$3,$CU4,0.3*$CU4,TRUE)-_xlfn.NORM.DIST(BK$30,$CU4,0.3*$CU4,TRUE))*summary!$C$7/28.8/0.947817+$CS4*(_xlfn.NORM.DIST(BK$3,$CV4,0.3*$CV4,TRUE)-_xlfn.NORM.DIST(BK$30,$CV4,0.3*$CV4,TRUE))*summary!$C$6/28.8/0.947817)/(SUMPRODUCT((economics!$AG$2:$AG$167=$B33)*(economics!$D$2:$D$167="whr")*economics!$AH$2:$AH$167*(_xlfn.NORM.DIST(BK$3,economics!$AK$2:$AK$167,economics!$AJ$2:$AJ$167,TRUE)-_xlfn.NORM.DIST(BK$30,economics!$AK$2:$AK$167,economics!$AJ$2:$AJ$167,TRUE)))+$CR4*(_xlfn.NORM.DIST(BK$3,$CU4,0.3*$CU4,TRUE)-_xlfn.NORM.DIST(BK$30,$CU4,0.3*$CU4,TRUE))+$CS4*(_xlfn.NORM.DIST(BK$3,$CV4,0.3*$CV4,TRUE)-_xlfn.NORM.DIST(BK$30,$CV4,0.3*$CV4,TRUE))),""),IF($C4&gt;0,summary!$C$10/28.8/0.947817,""))</f>
        <v/>
      </c>
      <c r="BL33">
        <f t="array" ref="BL33">IF($D4,IFERROR((SUMPRODUCT((economics!$AG$2:$AG$167=$B33)*(economics!$D$2:$D$167="whr")*economics!$AH$2:$AH$167*(_xlfn.NORM.DIST(BL$3,economics!$AK$2:$AK$167,economics!$AJ$2:$AJ$167,TRUE)-_xlfn.NORM.DIST(BL$30,economics!$AK$2:$AK$167,economics!$AJ$2:$AJ$167,TRUE))*economics!$AM$2:$AM$167)+$CR4*(_xlfn.NORM.DIST(BL$3,$CU4,0.3*$CU4,TRUE)-_xlfn.NORM.DIST(BL$30,$CU4,0.3*$CU4,TRUE))*summary!$C$7/28.8/0.947817+$CS4*(_xlfn.NORM.DIST(BL$3,$CV4,0.3*$CV4,TRUE)-_xlfn.NORM.DIST(BL$30,$CV4,0.3*$CV4,TRUE))*summary!$C$6/28.8/0.947817)/(SUMPRODUCT((economics!$AG$2:$AG$167=$B33)*(economics!$D$2:$D$167="whr")*economics!$AH$2:$AH$167*(_xlfn.NORM.DIST(BL$3,economics!$AK$2:$AK$167,economics!$AJ$2:$AJ$167,TRUE)-_xlfn.NORM.DIST(BL$30,economics!$AK$2:$AK$167,economics!$AJ$2:$AJ$167,TRUE)))+$CR4*(_xlfn.NORM.DIST(BL$3,$CU4,0.3*$CU4,TRUE)-_xlfn.NORM.DIST(BL$30,$CU4,0.3*$CU4,TRUE))+$CS4*(_xlfn.NORM.DIST(BL$3,$CV4,0.3*$CV4,TRUE)-_xlfn.NORM.DIST(BL$30,$CV4,0.3*$CV4,TRUE))),""),IF($C4&gt;0,summary!$C$10/28.8/0.947817,""))</f>
        <v/>
      </c>
      <c r="BM33">
        <f t="array" ref="BM33">IF($D4,IFERROR((SUMPRODUCT((economics!$AG$2:$AG$167=$B33)*(economics!$D$2:$D$167="whr")*economics!$AH$2:$AH$167*(_xlfn.NORM.DIST(BM$3,economics!$AK$2:$AK$167,economics!$AJ$2:$AJ$167,TRUE)-_xlfn.NORM.DIST(BM$30,economics!$AK$2:$AK$167,economics!$AJ$2:$AJ$167,TRUE))*economics!$AM$2:$AM$167)+$CR4*(_xlfn.NORM.DIST(BM$3,$CU4,0.3*$CU4,TRUE)-_xlfn.NORM.DIST(BM$30,$CU4,0.3*$CU4,TRUE))*summary!$C$7/28.8/0.947817+$CS4*(_xlfn.NORM.DIST(BM$3,$CV4,0.3*$CV4,TRUE)-_xlfn.NORM.DIST(BM$30,$CV4,0.3*$CV4,TRUE))*summary!$C$6/28.8/0.947817)/(SUMPRODUCT((economics!$AG$2:$AG$167=$B33)*(economics!$D$2:$D$167="whr")*economics!$AH$2:$AH$167*(_xlfn.NORM.DIST(BM$3,economics!$AK$2:$AK$167,economics!$AJ$2:$AJ$167,TRUE)-_xlfn.NORM.DIST(BM$30,economics!$AK$2:$AK$167,economics!$AJ$2:$AJ$167,TRUE)))+$CR4*(_xlfn.NORM.DIST(BM$3,$CU4,0.3*$CU4,TRUE)-_xlfn.NORM.DIST(BM$30,$CU4,0.3*$CU4,TRUE))+$CS4*(_xlfn.NORM.DIST(BM$3,$CV4,0.3*$CV4,TRUE)-_xlfn.NORM.DIST(BM$30,$CV4,0.3*$CV4,TRUE))),""),IF($C4&gt;0,summary!$C$10/28.8/0.947817,""))</f>
        <v/>
      </c>
      <c r="BN33">
        <f t="array" ref="BN33">IF($D4,IFERROR((SUMPRODUCT((economics!$AG$2:$AG$167=$B33)*(economics!$D$2:$D$167="whr")*economics!$AH$2:$AH$167*(_xlfn.NORM.DIST(BN$3,economics!$AK$2:$AK$167,economics!$AJ$2:$AJ$167,TRUE)-_xlfn.NORM.DIST(BN$30,economics!$AK$2:$AK$167,economics!$AJ$2:$AJ$167,TRUE))*economics!$AM$2:$AM$167)+$CR4*(_xlfn.NORM.DIST(BN$3,$CU4,0.3*$CU4,TRUE)-_xlfn.NORM.DIST(BN$30,$CU4,0.3*$CU4,TRUE))*summary!$C$7/28.8/0.947817+$CS4*(_xlfn.NORM.DIST(BN$3,$CV4,0.3*$CV4,TRUE)-_xlfn.NORM.DIST(BN$30,$CV4,0.3*$CV4,TRUE))*summary!$C$6/28.8/0.947817)/(SUMPRODUCT((economics!$AG$2:$AG$167=$B33)*(economics!$D$2:$D$167="whr")*economics!$AH$2:$AH$167*(_xlfn.NORM.DIST(BN$3,economics!$AK$2:$AK$167,economics!$AJ$2:$AJ$167,TRUE)-_xlfn.NORM.DIST(BN$30,economics!$AK$2:$AK$167,economics!$AJ$2:$AJ$167,TRUE)))+$CR4*(_xlfn.NORM.DIST(BN$3,$CU4,0.3*$CU4,TRUE)-_xlfn.NORM.DIST(BN$30,$CU4,0.3*$CU4,TRUE))+$CS4*(_xlfn.NORM.DIST(BN$3,$CV4,0.3*$CV4,TRUE)-_xlfn.NORM.DIST(BN$30,$CV4,0.3*$CV4,TRUE))),""),IF($C4&gt;0,summary!$C$10/28.8/0.947817,""))</f>
        <v/>
      </c>
      <c r="BO33">
        <f t="array" ref="BO33">IF($D4,IFERROR((SUMPRODUCT((economics!$AG$2:$AG$167=$B33)*(economics!$D$2:$D$167="whr")*economics!$AH$2:$AH$167*(_xlfn.NORM.DIST(BO$3,economics!$AK$2:$AK$167,economics!$AJ$2:$AJ$167,TRUE)-_xlfn.NORM.DIST(BO$30,economics!$AK$2:$AK$167,economics!$AJ$2:$AJ$167,TRUE))*economics!$AM$2:$AM$167)+$CR4*(_xlfn.NORM.DIST(BO$3,$CU4,0.3*$CU4,TRUE)-_xlfn.NORM.DIST(BO$30,$CU4,0.3*$CU4,TRUE))*summary!$C$7/28.8/0.947817+$CS4*(_xlfn.NORM.DIST(BO$3,$CV4,0.3*$CV4,TRUE)-_xlfn.NORM.DIST(BO$30,$CV4,0.3*$CV4,TRUE))*summary!$C$6/28.8/0.947817)/(SUMPRODUCT((economics!$AG$2:$AG$167=$B33)*(economics!$D$2:$D$167="whr")*economics!$AH$2:$AH$167*(_xlfn.NORM.DIST(BO$3,economics!$AK$2:$AK$167,economics!$AJ$2:$AJ$167,TRUE)-_xlfn.NORM.DIST(BO$30,economics!$AK$2:$AK$167,economics!$AJ$2:$AJ$167,TRUE)))+$CR4*(_xlfn.NORM.DIST(BO$3,$CU4,0.3*$CU4,TRUE)-_xlfn.NORM.DIST(BO$30,$CU4,0.3*$CU4,TRUE))+$CS4*(_xlfn.NORM.DIST(BO$3,$CV4,0.3*$CV4,TRUE)-_xlfn.NORM.DIST(BO$30,$CV4,0.3*$CV4,TRUE))),""),IF($C4&gt;0,summary!$C$10/28.8/0.947817,""))</f>
        <v/>
      </c>
      <c r="BP33">
        <f t="array" ref="BP33">IF($D4,IFERROR((SUMPRODUCT((economics!$AG$2:$AG$167=$B33)*(economics!$D$2:$D$167="whr")*economics!$AH$2:$AH$167*(_xlfn.NORM.DIST(BP$3,economics!$AK$2:$AK$167,economics!$AJ$2:$AJ$167,TRUE)-_xlfn.NORM.DIST(BP$30,economics!$AK$2:$AK$167,economics!$AJ$2:$AJ$167,TRUE))*economics!$AM$2:$AM$167)+$CR4*(_xlfn.NORM.DIST(BP$3,$CU4,0.3*$CU4,TRUE)-_xlfn.NORM.DIST(BP$30,$CU4,0.3*$CU4,TRUE))*summary!$C$7/28.8/0.947817+$CS4*(_xlfn.NORM.DIST(BP$3,$CV4,0.3*$CV4,TRUE)-_xlfn.NORM.DIST(BP$30,$CV4,0.3*$CV4,TRUE))*summary!$C$6/28.8/0.947817)/(SUMPRODUCT((economics!$AG$2:$AG$167=$B33)*(economics!$D$2:$D$167="whr")*economics!$AH$2:$AH$167*(_xlfn.NORM.DIST(BP$3,economics!$AK$2:$AK$167,economics!$AJ$2:$AJ$167,TRUE)-_xlfn.NORM.DIST(BP$30,economics!$AK$2:$AK$167,economics!$AJ$2:$AJ$167,TRUE)))+$CR4*(_xlfn.NORM.DIST(BP$3,$CU4,0.3*$CU4,TRUE)-_xlfn.NORM.DIST(BP$30,$CU4,0.3*$CU4,TRUE))+$CS4*(_xlfn.NORM.DIST(BP$3,$CV4,0.3*$CV4,TRUE)-_xlfn.NORM.DIST(BP$30,$CV4,0.3*$CV4,TRUE))),""),IF($C4&gt;0,summary!$C$10/28.8/0.947817,""))</f>
        <v/>
      </c>
      <c r="BQ33">
        <f t="array" ref="BQ33">IF($D4,IFERROR((SUMPRODUCT((economics!$AG$2:$AG$167=$B33)*(economics!$D$2:$D$167="whr")*economics!$AH$2:$AH$167*(_xlfn.NORM.DIST(BQ$3,economics!$AK$2:$AK$167,economics!$AJ$2:$AJ$167,TRUE)-_xlfn.NORM.DIST(BQ$30,economics!$AK$2:$AK$167,economics!$AJ$2:$AJ$167,TRUE))*economics!$AM$2:$AM$167)+$CR4*(_xlfn.NORM.DIST(BQ$3,$CU4,0.3*$CU4,TRUE)-_xlfn.NORM.DIST(BQ$30,$CU4,0.3*$CU4,TRUE))*summary!$C$7/28.8/0.947817+$CS4*(_xlfn.NORM.DIST(BQ$3,$CV4,0.3*$CV4,TRUE)-_xlfn.NORM.DIST(BQ$30,$CV4,0.3*$CV4,TRUE))*summary!$C$6/28.8/0.947817)/(SUMPRODUCT((economics!$AG$2:$AG$167=$B33)*(economics!$D$2:$D$167="whr")*economics!$AH$2:$AH$167*(_xlfn.NORM.DIST(BQ$3,economics!$AK$2:$AK$167,economics!$AJ$2:$AJ$167,TRUE)-_xlfn.NORM.DIST(BQ$30,economics!$AK$2:$AK$167,economics!$AJ$2:$AJ$167,TRUE)))+$CR4*(_xlfn.NORM.DIST(BQ$3,$CU4,0.3*$CU4,TRUE)-_xlfn.NORM.DIST(BQ$30,$CU4,0.3*$CU4,TRUE))+$CS4*(_xlfn.NORM.DIST(BQ$3,$CV4,0.3*$CV4,TRUE)-_xlfn.NORM.DIST(BQ$30,$CV4,0.3*$CV4,TRUE))),""),IF($C4&gt;0,summary!$C$10/28.8/0.947817,""))</f>
        <v/>
      </c>
      <c r="BR33">
        <f t="array" ref="BR33">IF($D4,IFERROR((SUMPRODUCT((economics!$AG$2:$AG$167=$B33)*(economics!$D$2:$D$167="whr")*economics!$AH$2:$AH$167*(_xlfn.NORM.DIST(BR$3,economics!$AK$2:$AK$167,economics!$AJ$2:$AJ$167,TRUE)-_xlfn.NORM.DIST(BR$30,economics!$AK$2:$AK$167,economics!$AJ$2:$AJ$167,TRUE))*economics!$AM$2:$AM$167)+$CR4*(_xlfn.NORM.DIST(BR$3,$CU4,0.3*$CU4,TRUE)-_xlfn.NORM.DIST(BR$30,$CU4,0.3*$CU4,TRUE))*summary!$C$7/28.8/0.947817+$CS4*(_xlfn.NORM.DIST(BR$3,$CV4,0.3*$CV4,TRUE)-_xlfn.NORM.DIST(BR$30,$CV4,0.3*$CV4,TRUE))*summary!$C$6/28.8/0.947817)/(SUMPRODUCT((economics!$AG$2:$AG$167=$B33)*(economics!$D$2:$D$167="whr")*economics!$AH$2:$AH$167*(_xlfn.NORM.DIST(BR$3,economics!$AK$2:$AK$167,economics!$AJ$2:$AJ$167,TRUE)-_xlfn.NORM.DIST(BR$30,economics!$AK$2:$AK$167,economics!$AJ$2:$AJ$167,TRUE)))+$CR4*(_xlfn.NORM.DIST(BR$3,$CU4,0.3*$CU4,TRUE)-_xlfn.NORM.DIST(BR$30,$CU4,0.3*$CU4,TRUE))+$CS4*(_xlfn.NORM.DIST(BR$3,$CV4,0.3*$CV4,TRUE)-_xlfn.NORM.DIST(BR$30,$CV4,0.3*$CV4,TRUE))),""),IF($C4&gt;0,summary!$C$10/28.8/0.947817,""))</f>
        <v/>
      </c>
      <c r="BS33">
        <f t="array" ref="BS33">IF($D4,IFERROR((SUMPRODUCT((economics!$AG$2:$AG$167=$B33)*(economics!$D$2:$D$167="whr")*economics!$AH$2:$AH$167*(_xlfn.NORM.DIST(BS$3,economics!$AK$2:$AK$167,economics!$AJ$2:$AJ$167,TRUE)-_xlfn.NORM.DIST(BS$30,economics!$AK$2:$AK$167,economics!$AJ$2:$AJ$167,TRUE))*economics!$AM$2:$AM$167)+$CR4*(_xlfn.NORM.DIST(BS$3,$CU4,0.3*$CU4,TRUE)-_xlfn.NORM.DIST(BS$30,$CU4,0.3*$CU4,TRUE))*summary!$C$7/28.8/0.947817+$CS4*(_xlfn.NORM.DIST(BS$3,$CV4,0.3*$CV4,TRUE)-_xlfn.NORM.DIST(BS$30,$CV4,0.3*$CV4,TRUE))*summary!$C$6/28.8/0.947817)/(SUMPRODUCT((economics!$AG$2:$AG$167=$B33)*(economics!$D$2:$D$167="whr")*economics!$AH$2:$AH$167*(_xlfn.NORM.DIST(BS$3,economics!$AK$2:$AK$167,economics!$AJ$2:$AJ$167,TRUE)-_xlfn.NORM.DIST(BS$30,economics!$AK$2:$AK$167,economics!$AJ$2:$AJ$167,TRUE)))+$CR4*(_xlfn.NORM.DIST(BS$3,$CU4,0.3*$CU4,TRUE)-_xlfn.NORM.DIST(BS$30,$CU4,0.3*$CU4,TRUE))+$CS4*(_xlfn.NORM.DIST(BS$3,$CV4,0.3*$CV4,TRUE)-_xlfn.NORM.DIST(BS$30,$CV4,0.3*$CV4,TRUE))),""),IF($C4&gt;0,summary!$C$10/28.8/0.947817,""))</f>
        <v/>
      </c>
      <c r="BT33">
        <f t="array" ref="BT33">IF($D4,IFERROR((SUMPRODUCT((economics!$AG$2:$AG$167=$B33)*(economics!$D$2:$D$167="whr")*economics!$AH$2:$AH$167*(_xlfn.NORM.DIST(BT$3,economics!$AK$2:$AK$167,economics!$AJ$2:$AJ$167,TRUE)-_xlfn.NORM.DIST(BT$30,economics!$AK$2:$AK$167,economics!$AJ$2:$AJ$167,TRUE))*economics!$AM$2:$AM$167)+$CR4*(_xlfn.NORM.DIST(BT$3,$CU4,0.3*$CU4,TRUE)-_xlfn.NORM.DIST(BT$30,$CU4,0.3*$CU4,TRUE))*summary!$C$7/28.8/0.947817+$CS4*(_xlfn.NORM.DIST(BT$3,$CV4,0.3*$CV4,TRUE)-_xlfn.NORM.DIST(BT$30,$CV4,0.3*$CV4,TRUE))*summary!$C$6/28.8/0.947817)/(SUMPRODUCT((economics!$AG$2:$AG$167=$B33)*(economics!$D$2:$D$167="whr")*economics!$AH$2:$AH$167*(_xlfn.NORM.DIST(BT$3,economics!$AK$2:$AK$167,economics!$AJ$2:$AJ$167,TRUE)-_xlfn.NORM.DIST(BT$30,economics!$AK$2:$AK$167,economics!$AJ$2:$AJ$167,TRUE)))+$CR4*(_xlfn.NORM.DIST(BT$3,$CU4,0.3*$CU4,TRUE)-_xlfn.NORM.DIST(BT$30,$CU4,0.3*$CU4,TRUE))+$CS4*(_xlfn.NORM.DIST(BT$3,$CV4,0.3*$CV4,TRUE)-_xlfn.NORM.DIST(BT$30,$CV4,0.3*$CV4,TRUE))),""),IF($C4&gt;0,summary!$C$10/28.8/0.947817,""))</f>
        <v/>
      </c>
      <c r="BU33">
        <f t="array" ref="BU33">IF($D4,IFERROR((SUMPRODUCT((economics!$AG$2:$AG$167=$B33)*(economics!$D$2:$D$167="whr")*economics!$AH$2:$AH$167*(_xlfn.NORM.DIST(BU$3,economics!$AK$2:$AK$167,economics!$AJ$2:$AJ$167,TRUE)-_xlfn.NORM.DIST(BU$30,economics!$AK$2:$AK$167,economics!$AJ$2:$AJ$167,TRUE))*economics!$AM$2:$AM$167)+$CR4*(_xlfn.NORM.DIST(BU$3,$CU4,0.3*$CU4,TRUE)-_xlfn.NORM.DIST(BU$30,$CU4,0.3*$CU4,TRUE))*summary!$C$7/28.8/0.947817+$CS4*(_xlfn.NORM.DIST(BU$3,$CV4,0.3*$CV4,TRUE)-_xlfn.NORM.DIST(BU$30,$CV4,0.3*$CV4,TRUE))*summary!$C$6/28.8/0.947817)/(SUMPRODUCT((economics!$AG$2:$AG$167=$B33)*(economics!$D$2:$D$167="whr")*economics!$AH$2:$AH$167*(_xlfn.NORM.DIST(BU$3,economics!$AK$2:$AK$167,economics!$AJ$2:$AJ$167,TRUE)-_xlfn.NORM.DIST(BU$30,economics!$AK$2:$AK$167,economics!$AJ$2:$AJ$167,TRUE)))+$CR4*(_xlfn.NORM.DIST(BU$3,$CU4,0.3*$CU4,TRUE)-_xlfn.NORM.DIST(BU$30,$CU4,0.3*$CU4,TRUE))+$CS4*(_xlfn.NORM.DIST(BU$3,$CV4,0.3*$CV4,TRUE)-_xlfn.NORM.DIST(BU$30,$CV4,0.3*$CV4,TRUE))),""),IF($C4&gt;0,summary!$C$10/28.8/0.947817,""))</f>
        <v/>
      </c>
      <c r="BV33">
        <f t="array" ref="BV33">IF($D4,IFERROR((SUMPRODUCT((economics!$AG$2:$AG$167=$B33)*(economics!$D$2:$D$167="whr")*economics!$AH$2:$AH$167*(_xlfn.NORM.DIST(BV$3,economics!$AK$2:$AK$167,economics!$AJ$2:$AJ$167,TRUE)-_xlfn.NORM.DIST(BV$30,economics!$AK$2:$AK$167,economics!$AJ$2:$AJ$167,TRUE))*economics!$AM$2:$AM$167)+$CR4*(_xlfn.NORM.DIST(BV$3,$CU4,0.3*$CU4,TRUE)-_xlfn.NORM.DIST(BV$30,$CU4,0.3*$CU4,TRUE))*summary!$C$7/28.8/0.947817+$CS4*(_xlfn.NORM.DIST(BV$3,$CV4,0.3*$CV4,TRUE)-_xlfn.NORM.DIST(BV$30,$CV4,0.3*$CV4,TRUE))*summary!$C$6/28.8/0.947817)/(SUMPRODUCT((economics!$AG$2:$AG$167=$B33)*(economics!$D$2:$D$167="whr")*economics!$AH$2:$AH$167*(_xlfn.NORM.DIST(BV$3,economics!$AK$2:$AK$167,economics!$AJ$2:$AJ$167,TRUE)-_xlfn.NORM.DIST(BV$30,economics!$AK$2:$AK$167,economics!$AJ$2:$AJ$167,TRUE)))+$CR4*(_xlfn.NORM.DIST(BV$3,$CU4,0.3*$CU4,TRUE)-_xlfn.NORM.DIST(BV$30,$CU4,0.3*$CU4,TRUE))+$CS4*(_xlfn.NORM.DIST(BV$3,$CV4,0.3*$CV4,TRUE)-_xlfn.NORM.DIST(BV$30,$CV4,0.3*$CV4,TRUE))),""),IF($C4&gt;0,summary!$C$10/28.8/0.947817,""))</f>
        <v/>
      </c>
      <c r="BW33">
        <f t="array" ref="BW33">IF($D4,IFERROR((SUMPRODUCT((economics!$AG$2:$AG$167=$B33)*(economics!$D$2:$D$167="whr")*economics!$AH$2:$AH$167*(_xlfn.NORM.DIST(BW$3,economics!$AK$2:$AK$167,economics!$AJ$2:$AJ$167,TRUE)-_xlfn.NORM.DIST(BW$30,economics!$AK$2:$AK$167,economics!$AJ$2:$AJ$167,TRUE))*economics!$AM$2:$AM$167)+$CR4*(_xlfn.NORM.DIST(BW$3,$CU4,0.3*$CU4,TRUE)-_xlfn.NORM.DIST(BW$30,$CU4,0.3*$CU4,TRUE))*summary!$C$7/28.8/0.947817+$CS4*(_xlfn.NORM.DIST(BW$3,$CV4,0.3*$CV4,TRUE)-_xlfn.NORM.DIST(BW$30,$CV4,0.3*$CV4,TRUE))*summary!$C$6/28.8/0.947817)/(SUMPRODUCT((economics!$AG$2:$AG$167=$B33)*(economics!$D$2:$D$167="whr")*economics!$AH$2:$AH$167*(_xlfn.NORM.DIST(BW$3,economics!$AK$2:$AK$167,economics!$AJ$2:$AJ$167,TRUE)-_xlfn.NORM.DIST(BW$30,economics!$AK$2:$AK$167,economics!$AJ$2:$AJ$167,TRUE)))+$CR4*(_xlfn.NORM.DIST(BW$3,$CU4,0.3*$CU4,TRUE)-_xlfn.NORM.DIST(BW$30,$CU4,0.3*$CU4,TRUE))+$CS4*(_xlfn.NORM.DIST(BW$3,$CV4,0.3*$CV4,TRUE)-_xlfn.NORM.DIST(BW$30,$CV4,0.3*$CV4,TRUE))),""),IF($C4&gt;0,summary!$C$10/28.8/0.947817,""))</f>
        <v/>
      </c>
      <c r="BX33">
        <f t="array" ref="BX33">IF($D4,IFERROR((SUMPRODUCT((economics!$AG$2:$AG$167=$B33)*(economics!$D$2:$D$167="whr")*economics!$AH$2:$AH$167*(_xlfn.NORM.DIST(BX$3,economics!$AK$2:$AK$167,economics!$AJ$2:$AJ$167,TRUE)-_xlfn.NORM.DIST(BX$30,economics!$AK$2:$AK$167,economics!$AJ$2:$AJ$167,TRUE))*economics!$AM$2:$AM$167)+$CR4*(_xlfn.NORM.DIST(BX$3,$CU4,0.3*$CU4,TRUE)-_xlfn.NORM.DIST(BX$30,$CU4,0.3*$CU4,TRUE))*summary!$C$7/28.8/0.947817+$CS4*(_xlfn.NORM.DIST(BX$3,$CV4,0.3*$CV4,TRUE)-_xlfn.NORM.DIST(BX$30,$CV4,0.3*$CV4,TRUE))*summary!$C$6/28.8/0.947817)/(SUMPRODUCT((economics!$AG$2:$AG$167=$B33)*(economics!$D$2:$D$167="whr")*economics!$AH$2:$AH$167*(_xlfn.NORM.DIST(BX$3,economics!$AK$2:$AK$167,economics!$AJ$2:$AJ$167,TRUE)-_xlfn.NORM.DIST(BX$30,economics!$AK$2:$AK$167,economics!$AJ$2:$AJ$167,TRUE)))+$CR4*(_xlfn.NORM.DIST(BX$3,$CU4,0.3*$CU4,TRUE)-_xlfn.NORM.DIST(BX$30,$CU4,0.3*$CU4,TRUE))+$CS4*(_xlfn.NORM.DIST(BX$3,$CV4,0.3*$CV4,TRUE)-_xlfn.NORM.DIST(BX$30,$CV4,0.3*$CV4,TRUE))),""),IF($C4&gt;0,summary!$C$10/28.8/0.947817,""))</f>
        <v/>
      </c>
      <c r="BY33">
        <f t="array" ref="BY33">IF($D4,IFERROR((SUMPRODUCT((economics!$AG$2:$AG$167=$B33)*(economics!$D$2:$D$167="whr")*economics!$AH$2:$AH$167*(_xlfn.NORM.DIST(BY$3,economics!$AK$2:$AK$167,economics!$AJ$2:$AJ$167,TRUE)-_xlfn.NORM.DIST(BY$30,economics!$AK$2:$AK$167,economics!$AJ$2:$AJ$167,TRUE))*economics!$AM$2:$AM$167)+$CR4*(_xlfn.NORM.DIST(BY$3,$CU4,0.3*$CU4,TRUE)-_xlfn.NORM.DIST(BY$30,$CU4,0.3*$CU4,TRUE))*summary!$C$7/28.8/0.947817+$CS4*(_xlfn.NORM.DIST(BY$3,$CV4,0.3*$CV4,TRUE)-_xlfn.NORM.DIST(BY$30,$CV4,0.3*$CV4,TRUE))*summary!$C$6/28.8/0.947817)/(SUMPRODUCT((economics!$AG$2:$AG$167=$B33)*(economics!$D$2:$D$167="whr")*economics!$AH$2:$AH$167*(_xlfn.NORM.DIST(BY$3,economics!$AK$2:$AK$167,economics!$AJ$2:$AJ$167,TRUE)-_xlfn.NORM.DIST(BY$30,economics!$AK$2:$AK$167,economics!$AJ$2:$AJ$167,TRUE)))+$CR4*(_xlfn.NORM.DIST(BY$3,$CU4,0.3*$CU4,TRUE)-_xlfn.NORM.DIST(BY$30,$CU4,0.3*$CU4,TRUE))+$CS4*(_xlfn.NORM.DIST(BY$3,$CV4,0.3*$CV4,TRUE)-_xlfn.NORM.DIST(BY$30,$CV4,0.3*$CV4,TRUE))),""),IF($C4&gt;0,summary!$C$10/28.8/0.947817,""))</f>
        <v/>
      </c>
      <c r="BZ33">
        <f t="array" ref="BZ33">IF($D4,IFERROR((SUMPRODUCT((economics!$AG$2:$AG$167=$B33)*(economics!$D$2:$D$167="whr")*economics!$AH$2:$AH$167*(_xlfn.NORM.DIST(BZ$3,economics!$AK$2:$AK$167,economics!$AJ$2:$AJ$167,TRUE)-_xlfn.NORM.DIST(BZ$30,economics!$AK$2:$AK$167,economics!$AJ$2:$AJ$167,TRUE))*economics!$AM$2:$AM$167)+$CR4*(_xlfn.NORM.DIST(BZ$3,$CU4,0.3*$CU4,TRUE)-_xlfn.NORM.DIST(BZ$30,$CU4,0.3*$CU4,TRUE))*summary!$C$7/28.8/0.947817+$CS4*(_xlfn.NORM.DIST(BZ$3,$CV4,0.3*$CV4,TRUE)-_xlfn.NORM.DIST(BZ$30,$CV4,0.3*$CV4,TRUE))*summary!$C$6/28.8/0.947817)/(SUMPRODUCT((economics!$AG$2:$AG$167=$B33)*(economics!$D$2:$D$167="whr")*economics!$AH$2:$AH$167*(_xlfn.NORM.DIST(BZ$3,economics!$AK$2:$AK$167,economics!$AJ$2:$AJ$167,TRUE)-_xlfn.NORM.DIST(BZ$30,economics!$AK$2:$AK$167,economics!$AJ$2:$AJ$167,TRUE)))+$CR4*(_xlfn.NORM.DIST(BZ$3,$CU4,0.3*$CU4,TRUE)-_xlfn.NORM.DIST(BZ$30,$CU4,0.3*$CU4,TRUE))+$CS4*(_xlfn.NORM.DIST(BZ$3,$CV4,0.3*$CV4,TRUE)-_xlfn.NORM.DIST(BZ$30,$CV4,0.3*$CV4,TRUE))),""),IF($C4&gt;0,summary!$C$10/28.8/0.947817,""))</f>
        <v/>
      </c>
      <c r="CA33">
        <f t="array" ref="CA33">IF($D4,IFERROR((SUMPRODUCT((economics!$AG$2:$AG$167=$B33)*(economics!$D$2:$D$167="whr")*economics!$AH$2:$AH$167*(_xlfn.NORM.DIST(CA$3,economics!$AK$2:$AK$167,economics!$AJ$2:$AJ$167,TRUE)-_xlfn.NORM.DIST(CA$30,economics!$AK$2:$AK$167,economics!$AJ$2:$AJ$167,TRUE))*economics!$AM$2:$AM$167)+$CR4*(_xlfn.NORM.DIST(CA$3,$CU4,0.3*$CU4,TRUE)-_xlfn.NORM.DIST(CA$30,$CU4,0.3*$CU4,TRUE))*summary!$C$7/28.8/0.947817+$CS4*(_xlfn.NORM.DIST(CA$3,$CV4,0.3*$CV4,TRUE)-_xlfn.NORM.DIST(CA$30,$CV4,0.3*$CV4,TRUE))*summary!$C$6/28.8/0.947817)/(SUMPRODUCT((economics!$AG$2:$AG$167=$B33)*(economics!$D$2:$D$167="whr")*economics!$AH$2:$AH$167*(_xlfn.NORM.DIST(CA$3,economics!$AK$2:$AK$167,economics!$AJ$2:$AJ$167,TRUE)-_xlfn.NORM.DIST(CA$30,economics!$AK$2:$AK$167,economics!$AJ$2:$AJ$167,TRUE)))+$CR4*(_xlfn.NORM.DIST(CA$3,$CU4,0.3*$CU4,TRUE)-_xlfn.NORM.DIST(CA$30,$CU4,0.3*$CU4,TRUE))+$CS4*(_xlfn.NORM.DIST(CA$3,$CV4,0.3*$CV4,TRUE)-_xlfn.NORM.DIST(CA$30,$CV4,0.3*$CV4,TRUE))),""),IF($C4&gt;0,summary!$C$10/28.8/0.947817,""))</f>
        <v/>
      </c>
      <c r="CB33">
        <f t="array" ref="CB33">IF($D4,IFERROR((SUMPRODUCT((economics!$AG$2:$AG$167=$B33)*(economics!$D$2:$D$167="whr")*economics!$AH$2:$AH$167*(_xlfn.NORM.DIST(CB$3,economics!$AK$2:$AK$167,economics!$AJ$2:$AJ$167,TRUE)-_xlfn.NORM.DIST(CB$30,economics!$AK$2:$AK$167,economics!$AJ$2:$AJ$167,TRUE))*economics!$AM$2:$AM$167)+$CR4*(_xlfn.NORM.DIST(CB$3,$CU4,0.3*$CU4,TRUE)-_xlfn.NORM.DIST(CB$30,$CU4,0.3*$CU4,TRUE))*summary!$C$7/28.8/0.947817+$CS4*(_xlfn.NORM.DIST(CB$3,$CV4,0.3*$CV4,TRUE)-_xlfn.NORM.DIST(CB$30,$CV4,0.3*$CV4,TRUE))*summary!$C$6/28.8/0.947817)/(SUMPRODUCT((economics!$AG$2:$AG$167=$B33)*(economics!$D$2:$D$167="whr")*economics!$AH$2:$AH$167*(_xlfn.NORM.DIST(CB$3,economics!$AK$2:$AK$167,economics!$AJ$2:$AJ$167,TRUE)-_xlfn.NORM.DIST(CB$30,economics!$AK$2:$AK$167,economics!$AJ$2:$AJ$167,TRUE)))+$CR4*(_xlfn.NORM.DIST(CB$3,$CU4,0.3*$CU4,TRUE)-_xlfn.NORM.DIST(CB$30,$CU4,0.3*$CU4,TRUE))+$CS4*(_xlfn.NORM.DIST(CB$3,$CV4,0.3*$CV4,TRUE)-_xlfn.NORM.DIST(CB$30,$CV4,0.3*$CV4,TRUE))),""),IF($C4&gt;0,summary!$C$10/28.8/0.947817,""))</f>
        <v/>
      </c>
      <c r="CC33">
        <f t="array" ref="CC33">IF($D4,IFERROR((SUMPRODUCT((economics!$AG$2:$AG$167=$B33)*(economics!$D$2:$D$167="whr")*economics!$AH$2:$AH$167*(_xlfn.NORM.DIST(CC$3,economics!$AK$2:$AK$167,economics!$AJ$2:$AJ$167,TRUE)-_xlfn.NORM.DIST(CC$30,economics!$AK$2:$AK$167,economics!$AJ$2:$AJ$167,TRUE))*economics!$AM$2:$AM$167)+$CR4*(_xlfn.NORM.DIST(CC$3,$CU4,0.3*$CU4,TRUE)-_xlfn.NORM.DIST(CC$30,$CU4,0.3*$CU4,TRUE))*summary!$C$7/28.8/0.947817+$CS4*(_xlfn.NORM.DIST(CC$3,$CV4,0.3*$CV4,TRUE)-_xlfn.NORM.DIST(CC$30,$CV4,0.3*$CV4,TRUE))*summary!$C$6/28.8/0.947817)/(SUMPRODUCT((economics!$AG$2:$AG$167=$B33)*(economics!$D$2:$D$167="whr")*economics!$AH$2:$AH$167*(_xlfn.NORM.DIST(CC$3,economics!$AK$2:$AK$167,economics!$AJ$2:$AJ$167,TRUE)-_xlfn.NORM.DIST(CC$30,economics!$AK$2:$AK$167,economics!$AJ$2:$AJ$167,TRUE)))+$CR4*(_xlfn.NORM.DIST(CC$3,$CU4,0.3*$CU4,TRUE)-_xlfn.NORM.DIST(CC$30,$CU4,0.3*$CU4,TRUE))+$CS4*(_xlfn.NORM.DIST(CC$3,$CV4,0.3*$CV4,TRUE)-_xlfn.NORM.DIST(CC$30,$CV4,0.3*$CV4,TRUE))),""),IF($C4&gt;0,summary!$C$10/28.8/0.947817,""))</f>
        <v/>
      </c>
      <c r="CD33">
        <f t="array" ref="CD33">IF($D4,IFERROR((SUMPRODUCT((economics!$AG$2:$AG$167=$B33)*(economics!$D$2:$D$167="whr")*economics!$AH$2:$AH$167*(_xlfn.NORM.DIST(CD$3,economics!$AK$2:$AK$167,economics!$AJ$2:$AJ$167,TRUE)-_xlfn.NORM.DIST(CD$30,economics!$AK$2:$AK$167,economics!$AJ$2:$AJ$167,TRUE))*economics!$AM$2:$AM$167)+$CR4*(_xlfn.NORM.DIST(CD$3,$CU4,0.3*$CU4,TRUE)-_xlfn.NORM.DIST(CD$30,$CU4,0.3*$CU4,TRUE))*summary!$C$7/28.8/0.947817+$CS4*(_xlfn.NORM.DIST(CD$3,$CV4,0.3*$CV4,TRUE)-_xlfn.NORM.DIST(CD$30,$CV4,0.3*$CV4,TRUE))*summary!$C$6/28.8/0.947817)/(SUMPRODUCT((economics!$AG$2:$AG$167=$B33)*(economics!$D$2:$D$167="whr")*economics!$AH$2:$AH$167*(_xlfn.NORM.DIST(CD$3,economics!$AK$2:$AK$167,economics!$AJ$2:$AJ$167,TRUE)-_xlfn.NORM.DIST(CD$30,economics!$AK$2:$AK$167,economics!$AJ$2:$AJ$167,TRUE)))+$CR4*(_xlfn.NORM.DIST(CD$3,$CU4,0.3*$CU4,TRUE)-_xlfn.NORM.DIST(CD$30,$CU4,0.3*$CU4,TRUE))+$CS4*(_xlfn.NORM.DIST(CD$3,$CV4,0.3*$CV4,TRUE)-_xlfn.NORM.DIST(CD$30,$CV4,0.3*$CV4,TRUE))),""),IF($C4&gt;0,summary!$C$10/28.8/0.947817,""))</f>
        <v/>
      </c>
      <c r="CE33">
        <f t="array" ref="CE33">IF($D4,IFERROR((SUMPRODUCT((economics!$AG$2:$AG$167=$B33)*(economics!$D$2:$D$167="whr")*economics!$AH$2:$AH$167*(_xlfn.NORM.DIST(CE$3,economics!$AK$2:$AK$167,economics!$AJ$2:$AJ$167,TRUE)-_xlfn.NORM.DIST(CE$30,economics!$AK$2:$AK$167,economics!$AJ$2:$AJ$167,TRUE))*economics!$AM$2:$AM$167)+$CR4*(_xlfn.NORM.DIST(CE$3,$CU4,0.3*$CU4,TRUE)-_xlfn.NORM.DIST(CE$30,$CU4,0.3*$CU4,TRUE))*summary!$C$7/28.8/0.947817+$CS4*(_xlfn.NORM.DIST(CE$3,$CV4,0.3*$CV4,TRUE)-_xlfn.NORM.DIST(CE$30,$CV4,0.3*$CV4,TRUE))*summary!$C$6/28.8/0.947817)/(SUMPRODUCT((economics!$AG$2:$AG$167=$B33)*(economics!$D$2:$D$167="whr")*economics!$AH$2:$AH$167*(_xlfn.NORM.DIST(CE$3,economics!$AK$2:$AK$167,economics!$AJ$2:$AJ$167,TRUE)-_xlfn.NORM.DIST(CE$30,economics!$AK$2:$AK$167,economics!$AJ$2:$AJ$167,TRUE)))+$CR4*(_xlfn.NORM.DIST(CE$3,$CU4,0.3*$CU4,TRUE)-_xlfn.NORM.DIST(CE$30,$CU4,0.3*$CU4,TRUE))+$CS4*(_xlfn.NORM.DIST(CE$3,$CV4,0.3*$CV4,TRUE)-_xlfn.NORM.DIST(CE$30,$CV4,0.3*$CV4,TRUE))),""),IF($C4&gt;0,summary!$C$10/28.8/0.947817,""))</f>
        <v/>
      </c>
      <c r="CF33">
        <f t="array" ref="CF33">IF($D4,IFERROR((SUMPRODUCT((economics!$AG$2:$AG$167=$B33)*(economics!$D$2:$D$167="whr")*economics!$AH$2:$AH$167*(_xlfn.NORM.DIST(CF$3,economics!$AK$2:$AK$167,economics!$AJ$2:$AJ$167,TRUE)-_xlfn.NORM.DIST(CF$30,economics!$AK$2:$AK$167,economics!$AJ$2:$AJ$167,TRUE))*economics!$AM$2:$AM$167)+$CR4*(_xlfn.NORM.DIST(CF$3,$CU4,0.3*$CU4,TRUE)-_xlfn.NORM.DIST(CF$30,$CU4,0.3*$CU4,TRUE))*summary!$C$7/28.8/0.947817+$CS4*(_xlfn.NORM.DIST(CF$3,$CV4,0.3*$CV4,TRUE)-_xlfn.NORM.DIST(CF$30,$CV4,0.3*$CV4,TRUE))*summary!$C$6/28.8/0.947817)/(SUMPRODUCT((economics!$AG$2:$AG$167=$B33)*(economics!$D$2:$D$167="whr")*economics!$AH$2:$AH$167*(_xlfn.NORM.DIST(CF$3,economics!$AK$2:$AK$167,economics!$AJ$2:$AJ$167,TRUE)-_xlfn.NORM.DIST(CF$30,economics!$AK$2:$AK$167,economics!$AJ$2:$AJ$167,TRUE)))+$CR4*(_xlfn.NORM.DIST(CF$3,$CU4,0.3*$CU4,TRUE)-_xlfn.NORM.DIST(CF$30,$CU4,0.3*$CU4,TRUE))+$CS4*(_xlfn.NORM.DIST(CF$3,$CV4,0.3*$CV4,TRUE)-_xlfn.NORM.DIST(CF$30,$CV4,0.3*$CV4,TRUE))),""),IF($C4&gt;0,summary!$C$10/28.8/0.947817,""))</f>
        <v/>
      </c>
      <c r="CG33">
        <f t="array" ref="CG33">IF($D4,IFERROR((SUMPRODUCT((economics!$AG$2:$AG$167=$B33)*(economics!$D$2:$D$167="whr")*economics!$AH$2:$AH$167*(_xlfn.NORM.DIST(CG$3,economics!$AK$2:$AK$167,economics!$AJ$2:$AJ$167,TRUE)-_xlfn.NORM.DIST(CG$30,economics!$AK$2:$AK$167,economics!$AJ$2:$AJ$167,TRUE))*economics!$AM$2:$AM$167)+$CR4*(_xlfn.NORM.DIST(CG$3,$CU4,0.3*$CU4,TRUE)-_xlfn.NORM.DIST(CG$30,$CU4,0.3*$CU4,TRUE))*summary!$C$7/28.8/0.947817+$CS4*(_xlfn.NORM.DIST(CG$3,$CV4,0.3*$CV4,TRUE)-_xlfn.NORM.DIST(CG$30,$CV4,0.3*$CV4,TRUE))*summary!$C$6/28.8/0.947817)/(SUMPRODUCT((economics!$AG$2:$AG$167=$B33)*(economics!$D$2:$D$167="whr")*economics!$AH$2:$AH$167*(_xlfn.NORM.DIST(CG$3,economics!$AK$2:$AK$167,economics!$AJ$2:$AJ$167,TRUE)-_xlfn.NORM.DIST(CG$30,economics!$AK$2:$AK$167,economics!$AJ$2:$AJ$167,TRUE)))+$CR4*(_xlfn.NORM.DIST(CG$3,$CU4,0.3*$CU4,TRUE)-_xlfn.NORM.DIST(CG$30,$CU4,0.3*$CU4,TRUE))+$CS4*(_xlfn.NORM.DIST(CG$3,$CV4,0.3*$CV4,TRUE)-_xlfn.NORM.DIST(CG$30,$CV4,0.3*$CV4,TRUE))),""),IF($C4&gt;0,summary!$C$10/28.8/0.947817,""))</f>
        <v/>
      </c>
      <c r="CH33">
        <f t="array" ref="CH33">IF($D4,IFERROR((SUMPRODUCT((economics!$AG$2:$AG$167=$B33)*(economics!$D$2:$D$167="whr")*economics!$AH$2:$AH$167*(_xlfn.NORM.DIST(CH$3,economics!$AK$2:$AK$167,economics!$AJ$2:$AJ$167,TRUE)-_xlfn.NORM.DIST(CH$30,economics!$AK$2:$AK$167,economics!$AJ$2:$AJ$167,TRUE))*economics!$AM$2:$AM$167)+$CR4*(_xlfn.NORM.DIST(CH$3,$CU4,0.3*$CU4,TRUE)-_xlfn.NORM.DIST(CH$30,$CU4,0.3*$CU4,TRUE))*summary!$C$7/28.8/0.947817+$CS4*(_xlfn.NORM.DIST(CH$3,$CV4,0.3*$CV4,TRUE)-_xlfn.NORM.DIST(CH$30,$CV4,0.3*$CV4,TRUE))*summary!$C$6/28.8/0.947817)/(SUMPRODUCT((economics!$AG$2:$AG$167=$B33)*(economics!$D$2:$D$167="whr")*economics!$AH$2:$AH$167*(_xlfn.NORM.DIST(CH$3,economics!$AK$2:$AK$167,economics!$AJ$2:$AJ$167,TRUE)-_xlfn.NORM.DIST(CH$30,economics!$AK$2:$AK$167,economics!$AJ$2:$AJ$167,TRUE)))+$CR4*(_xlfn.NORM.DIST(CH$3,$CU4,0.3*$CU4,TRUE)-_xlfn.NORM.DIST(CH$30,$CU4,0.3*$CU4,TRUE))+$CS4*(_xlfn.NORM.DIST(CH$3,$CV4,0.3*$CV4,TRUE)-_xlfn.NORM.DIST(CH$30,$CV4,0.3*$CV4,TRUE))),""),IF($C4&gt;0,summary!$C$10/28.8/0.947817,""))</f>
        <v/>
      </c>
    </row>
    <row r="34">
      <c r="A34">
        <f>A5</f>
        <v/>
      </c>
      <c r="B34">
        <f>B5</f>
        <v/>
      </c>
      <c r="E34">
        <f t="array" ref="E34">IF($D5,IFERROR((SUMPRODUCT((economics!$AG$2:$AG$167=$B34)*(economics!$D$2:$D$167="whr")*economics!$AH$2:$AH$167*(_xlfn.NORM.DIST(E$3,economics!$AK$2:$AK$167,economics!$AJ$2:$AJ$167,TRUE)-_xlfn.NORM.DIST(E$30,economics!$AK$2:$AK$167,economics!$AJ$2:$AJ$167,TRUE))*economics!$AM$2:$AM$167)+$CR5*(_xlfn.NORM.DIST(E$3,$CU5,0.3*$CU5,TRUE)-_xlfn.NORM.DIST(E$30,$CU5,0.3*$CU5,TRUE))*summary!$C$7/28.8/0.947817+$CS5*(_xlfn.NORM.DIST(E$3,$CV5,0.3*$CV5,TRUE)-_xlfn.NORM.DIST(E$30,$CV5,0.3*$CV5,TRUE))*summary!$C$6/28.8/0.947817)/(SUMPRODUCT((economics!$AG$2:$AG$167=$B34)*(economics!$D$2:$D$167="whr")*economics!$AH$2:$AH$167*(_xlfn.NORM.DIST(E$3,economics!$AK$2:$AK$167,economics!$AJ$2:$AJ$167,TRUE)-_xlfn.NORM.DIST(E$30,economics!$AK$2:$AK$167,economics!$AJ$2:$AJ$167,TRUE)))+$CR5*(_xlfn.NORM.DIST(E$3,$CU5,0.3*$CU5,TRUE)-_xlfn.NORM.DIST(E$30,$CU5,0.3*$CU5,TRUE))+$CS5*(_xlfn.NORM.DIST(E$3,$CV5,0.3*$CV5,TRUE)-_xlfn.NORM.DIST(E$30,$CV5,0.3*$CV5,TRUE))),""),IF($C5&gt;0,summary!$C$10/28.8/0.947817,""))</f>
        <v/>
      </c>
      <c r="F34">
        <f t="array" ref="F34">IF($D5,IFERROR((SUMPRODUCT((economics!$AG$2:$AG$167=$B34)*(economics!$D$2:$D$167="whr")*economics!$AH$2:$AH$167*(_xlfn.NORM.DIST(F$3,economics!$AK$2:$AK$167,economics!$AJ$2:$AJ$167,TRUE)-_xlfn.NORM.DIST(F$30,economics!$AK$2:$AK$167,economics!$AJ$2:$AJ$167,TRUE))*economics!$AM$2:$AM$167)+$CR5*(_xlfn.NORM.DIST(F$3,$CU5,0.3*$CU5,TRUE)-_xlfn.NORM.DIST(F$30,$CU5,0.3*$CU5,TRUE))*summary!$C$7/28.8/0.947817+$CS5*(_xlfn.NORM.DIST(F$3,$CV5,0.3*$CV5,TRUE)-_xlfn.NORM.DIST(F$30,$CV5,0.3*$CV5,TRUE))*summary!$C$6/28.8/0.947817)/(SUMPRODUCT((economics!$AG$2:$AG$167=$B34)*(economics!$D$2:$D$167="whr")*economics!$AH$2:$AH$167*(_xlfn.NORM.DIST(F$3,economics!$AK$2:$AK$167,economics!$AJ$2:$AJ$167,TRUE)-_xlfn.NORM.DIST(F$30,economics!$AK$2:$AK$167,economics!$AJ$2:$AJ$167,TRUE)))+$CR5*(_xlfn.NORM.DIST(F$3,$CU5,0.3*$CU5,TRUE)-_xlfn.NORM.DIST(F$30,$CU5,0.3*$CU5,TRUE))+$CS5*(_xlfn.NORM.DIST(F$3,$CV5,0.3*$CV5,TRUE)-_xlfn.NORM.DIST(F$30,$CV5,0.3*$CV5,TRUE))),""),IF($C5&gt;0,summary!$C$10/28.8/0.947817,""))</f>
        <v/>
      </c>
      <c r="G34">
        <f t="array" ref="G34">IF($D5,IFERROR((SUMPRODUCT((economics!$AG$2:$AG$167=$B34)*(economics!$D$2:$D$167="whr")*economics!$AH$2:$AH$167*(_xlfn.NORM.DIST(G$3,economics!$AK$2:$AK$167,economics!$AJ$2:$AJ$167,TRUE)-_xlfn.NORM.DIST(G$30,economics!$AK$2:$AK$167,economics!$AJ$2:$AJ$167,TRUE))*economics!$AM$2:$AM$167)+$CR5*(_xlfn.NORM.DIST(G$3,$CU5,0.3*$CU5,TRUE)-_xlfn.NORM.DIST(G$30,$CU5,0.3*$CU5,TRUE))*summary!$C$7/28.8/0.947817+$CS5*(_xlfn.NORM.DIST(G$3,$CV5,0.3*$CV5,TRUE)-_xlfn.NORM.DIST(G$30,$CV5,0.3*$CV5,TRUE))*summary!$C$6/28.8/0.947817)/(SUMPRODUCT((economics!$AG$2:$AG$167=$B34)*(economics!$D$2:$D$167="whr")*economics!$AH$2:$AH$167*(_xlfn.NORM.DIST(G$3,economics!$AK$2:$AK$167,economics!$AJ$2:$AJ$167,TRUE)-_xlfn.NORM.DIST(G$30,economics!$AK$2:$AK$167,economics!$AJ$2:$AJ$167,TRUE)))+$CR5*(_xlfn.NORM.DIST(G$3,$CU5,0.3*$CU5,TRUE)-_xlfn.NORM.DIST(G$30,$CU5,0.3*$CU5,TRUE))+$CS5*(_xlfn.NORM.DIST(G$3,$CV5,0.3*$CV5,TRUE)-_xlfn.NORM.DIST(G$30,$CV5,0.3*$CV5,TRUE))),""),IF($C5&gt;0,summary!$C$10/28.8/0.947817,""))</f>
        <v/>
      </c>
      <c r="H34">
        <f t="array" ref="H34">IF($D5,IFERROR((SUMPRODUCT((economics!$AG$2:$AG$167=$B34)*(economics!$D$2:$D$167="whr")*economics!$AH$2:$AH$167*(_xlfn.NORM.DIST(H$3,economics!$AK$2:$AK$167,economics!$AJ$2:$AJ$167,TRUE)-_xlfn.NORM.DIST(H$30,economics!$AK$2:$AK$167,economics!$AJ$2:$AJ$167,TRUE))*economics!$AM$2:$AM$167)+$CR5*(_xlfn.NORM.DIST(H$3,$CU5,0.3*$CU5,TRUE)-_xlfn.NORM.DIST(H$30,$CU5,0.3*$CU5,TRUE))*summary!$C$7/28.8/0.947817+$CS5*(_xlfn.NORM.DIST(H$3,$CV5,0.3*$CV5,TRUE)-_xlfn.NORM.DIST(H$30,$CV5,0.3*$CV5,TRUE))*summary!$C$6/28.8/0.947817)/(SUMPRODUCT((economics!$AG$2:$AG$167=$B34)*(economics!$D$2:$D$167="whr")*economics!$AH$2:$AH$167*(_xlfn.NORM.DIST(H$3,economics!$AK$2:$AK$167,economics!$AJ$2:$AJ$167,TRUE)-_xlfn.NORM.DIST(H$30,economics!$AK$2:$AK$167,economics!$AJ$2:$AJ$167,TRUE)))+$CR5*(_xlfn.NORM.DIST(H$3,$CU5,0.3*$CU5,TRUE)-_xlfn.NORM.DIST(H$30,$CU5,0.3*$CU5,TRUE))+$CS5*(_xlfn.NORM.DIST(H$3,$CV5,0.3*$CV5,TRUE)-_xlfn.NORM.DIST(H$30,$CV5,0.3*$CV5,TRUE))),""),IF($C5&gt;0,summary!$C$10/28.8/0.947817,""))</f>
        <v/>
      </c>
      <c r="I34">
        <f t="array" ref="I34">IF($D5,IFERROR((SUMPRODUCT((economics!$AG$2:$AG$167=$B34)*(economics!$D$2:$D$167="whr")*economics!$AH$2:$AH$167*(_xlfn.NORM.DIST(I$3,economics!$AK$2:$AK$167,economics!$AJ$2:$AJ$167,TRUE)-_xlfn.NORM.DIST(I$30,economics!$AK$2:$AK$167,economics!$AJ$2:$AJ$167,TRUE))*economics!$AM$2:$AM$167)+$CR5*(_xlfn.NORM.DIST(I$3,$CU5,0.3*$CU5,TRUE)-_xlfn.NORM.DIST(I$30,$CU5,0.3*$CU5,TRUE))*summary!$C$7/28.8/0.947817+$CS5*(_xlfn.NORM.DIST(I$3,$CV5,0.3*$CV5,TRUE)-_xlfn.NORM.DIST(I$30,$CV5,0.3*$CV5,TRUE))*summary!$C$6/28.8/0.947817)/(SUMPRODUCT((economics!$AG$2:$AG$167=$B34)*(economics!$D$2:$D$167="whr")*economics!$AH$2:$AH$167*(_xlfn.NORM.DIST(I$3,economics!$AK$2:$AK$167,economics!$AJ$2:$AJ$167,TRUE)-_xlfn.NORM.DIST(I$30,economics!$AK$2:$AK$167,economics!$AJ$2:$AJ$167,TRUE)))+$CR5*(_xlfn.NORM.DIST(I$3,$CU5,0.3*$CU5,TRUE)-_xlfn.NORM.DIST(I$30,$CU5,0.3*$CU5,TRUE))+$CS5*(_xlfn.NORM.DIST(I$3,$CV5,0.3*$CV5,TRUE)-_xlfn.NORM.DIST(I$30,$CV5,0.3*$CV5,TRUE))),""),IF($C5&gt;0,summary!$C$10/28.8/0.947817,""))</f>
        <v/>
      </c>
      <c r="J34">
        <f t="array" ref="J34">IF($D5,IFERROR((SUMPRODUCT((economics!$AG$2:$AG$167=$B34)*(economics!$D$2:$D$167="whr")*economics!$AH$2:$AH$167*(_xlfn.NORM.DIST(J$3,economics!$AK$2:$AK$167,economics!$AJ$2:$AJ$167,TRUE)-_xlfn.NORM.DIST(J$30,economics!$AK$2:$AK$167,economics!$AJ$2:$AJ$167,TRUE))*economics!$AM$2:$AM$167)+$CR5*(_xlfn.NORM.DIST(J$3,$CU5,0.3*$CU5,TRUE)-_xlfn.NORM.DIST(J$30,$CU5,0.3*$CU5,TRUE))*summary!$C$7/28.8/0.947817+$CS5*(_xlfn.NORM.DIST(J$3,$CV5,0.3*$CV5,TRUE)-_xlfn.NORM.DIST(J$30,$CV5,0.3*$CV5,TRUE))*summary!$C$6/28.8/0.947817)/(SUMPRODUCT((economics!$AG$2:$AG$167=$B34)*(economics!$D$2:$D$167="whr")*economics!$AH$2:$AH$167*(_xlfn.NORM.DIST(J$3,economics!$AK$2:$AK$167,economics!$AJ$2:$AJ$167,TRUE)-_xlfn.NORM.DIST(J$30,economics!$AK$2:$AK$167,economics!$AJ$2:$AJ$167,TRUE)))+$CR5*(_xlfn.NORM.DIST(J$3,$CU5,0.3*$CU5,TRUE)-_xlfn.NORM.DIST(J$30,$CU5,0.3*$CU5,TRUE))+$CS5*(_xlfn.NORM.DIST(J$3,$CV5,0.3*$CV5,TRUE)-_xlfn.NORM.DIST(J$30,$CV5,0.3*$CV5,TRUE))),""),IF($C5&gt;0,summary!$C$10/28.8/0.947817,""))</f>
        <v/>
      </c>
      <c r="K34">
        <f t="array" ref="K34">IF($D5,IFERROR((SUMPRODUCT((economics!$AG$2:$AG$167=$B34)*(economics!$D$2:$D$167="whr")*economics!$AH$2:$AH$167*(_xlfn.NORM.DIST(K$3,economics!$AK$2:$AK$167,economics!$AJ$2:$AJ$167,TRUE)-_xlfn.NORM.DIST(K$30,economics!$AK$2:$AK$167,economics!$AJ$2:$AJ$167,TRUE))*economics!$AM$2:$AM$167)+$CR5*(_xlfn.NORM.DIST(K$3,$CU5,0.3*$CU5,TRUE)-_xlfn.NORM.DIST(K$30,$CU5,0.3*$CU5,TRUE))*summary!$C$7/28.8/0.947817+$CS5*(_xlfn.NORM.DIST(K$3,$CV5,0.3*$CV5,TRUE)-_xlfn.NORM.DIST(K$30,$CV5,0.3*$CV5,TRUE))*summary!$C$6/28.8/0.947817)/(SUMPRODUCT((economics!$AG$2:$AG$167=$B34)*(economics!$D$2:$D$167="whr")*economics!$AH$2:$AH$167*(_xlfn.NORM.DIST(K$3,economics!$AK$2:$AK$167,economics!$AJ$2:$AJ$167,TRUE)-_xlfn.NORM.DIST(K$30,economics!$AK$2:$AK$167,economics!$AJ$2:$AJ$167,TRUE)))+$CR5*(_xlfn.NORM.DIST(K$3,$CU5,0.3*$CU5,TRUE)-_xlfn.NORM.DIST(K$30,$CU5,0.3*$CU5,TRUE))+$CS5*(_xlfn.NORM.DIST(K$3,$CV5,0.3*$CV5,TRUE)-_xlfn.NORM.DIST(K$30,$CV5,0.3*$CV5,TRUE))),""),IF($C5&gt;0,summary!$C$10/28.8/0.947817,""))</f>
        <v/>
      </c>
      <c r="L34">
        <f t="array" ref="L34">IF($D5,IFERROR((SUMPRODUCT((economics!$AG$2:$AG$167=$B34)*(economics!$D$2:$D$167="whr")*economics!$AH$2:$AH$167*(_xlfn.NORM.DIST(L$3,economics!$AK$2:$AK$167,economics!$AJ$2:$AJ$167,TRUE)-_xlfn.NORM.DIST(L$30,economics!$AK$2:$AK$167,economics!$AJ$2:$AJ$167,TRUE))*economics!$AM$2:$AM$167)+$CR5*(_xlfn.NORM.DIST(L$3,$CU5,0.3*$CU5,TRUE)-_xlfn.NORM.DIST(L$30,$CU5,0.3*$CU5,TRUE))*summary!$C$7/28.8/0.947817+$CS5*(_xlfn.NORM.DIST(L$3,$CV5,0.3*$CV5,TRUE)-_xlfn.NORM.DIST(L$30,$CV5,0.3*$CV5,TRUE))*summary!$C$6/28.8/0.947817)/(SUMPRODUCT((economics!$AG$2:$AG$167=$B34)*(economics!$D$2:$D$167="whr")*economics!$AH$2:$AH$167*(_xlfn.NORM.DIST(L$3,economics!$AK$2:$AK$167,economics!$AJ$2:$AJ$167,TRUE)-_xlfn.NORM.DIST(L$30,economics!$AK$2:$AK$167,economics!$AJ$2:$AJ$167,TRUE)))+$CR5*(_xlfn.NORM.DIST(L$3,$CU5,0.3*$CU5,TRUE)-_xlfn.NORM.DIST(L$30,$CU5,0.3*$CU5,TRUE))+$CS5*(_xlfn.NORM.DIST(L$3,$CV5,0.3*$CV5,TRUE)-_xlfn.NORM.DIST(L$30,$CV5,0.3*$CV5,TRUE))),""),IF($C5&gt;0,summary!$C$10/28.8/0.947817,""))</f>
        <v/>
      </c>
      <c r="M34">
        <f t="array" ref="M34">IF($D5,IFERROR((SUMPRODUCT((economics!$AG$2:$AG$167=$B34)*(economics!$D$2:$D$167="whr")*economics!$AH$2:$AH$167*(_xlfn.NORM.DIST(M$3,economics!$AK$2:$AK$167,economics!$AJ$2:$AJ$167,TRUE)-_xlfn.NORM.DIST(M$30,economics!$AK$2:$AK$167,economics!$AJ$2:$AJ$167,TRUE))*economics!$AM$2:$AM$167)+$CR5*(_xlfn.NORM.DIST(M$3,$CU5,0.3*$CU5,TRUE)-_xlfn.NORM.DIST(M$30,$CU5,0.3*$CU5,TRUE))*summary!$C$7/28.8/0.947817+$CS5*(_xlfn.NORM.DIST(M$3,$CV5,0.3*$CV5,TRUE)-_xlfn.NORM.DIST(M$30,$CV5,0.3*$CV5,TRUE))*summary!$C$6/28.8/0.947817)/(SUMPRODUCT((economics!$AG$2:$AG$167=$B34)*(economics!$D$2:$D$167="whr")*economics!$AH$2:$AH$167*(_xlfn.NORM.DIST(M$3,economics!$AK$2:$AK$167,economics!$AJ$2:$AJ$167,TRUE)-_xlfn.NORM.DIST(M$30,economics!$AK$2:$AK$167,economics!$AJ$2:$AJ$167,TRUE)))+$CR5*(_xlfn.NORM.DIST(M$3,$CU5,0.3*$CU5,TRUE)-_xlfn.NORM.DIST(M$30,$CU5,0.3*$CU5,TRUE))+$CS5*(_xlfn.NORM.DIST(M$3,$CV5,0.3*$CV5,TRUE)-_xlfn.NORM.DIST(M$30,$CV5,0.3*$CV5,TRUE))),""),IF($C5&gt;0,summary!$C$10/28.8/0.947817,""))</f>
        <v/>
      </c>
      <c r="N34">
        <f t="array" ref="N34">IF($D5,IFERROR((SUMPRODUCT((economics!$AG$2:$AG$167=$B34)*(economics!$D$2:$D$167="whr")*economics!$AH$2:$AH$167*(_xlfn.NORM.DIST(N$3,economics!$AK$2:$AK$167,economics!$AJ$2:$AJ$167,TRUE)-_xlfn.NORM.DIST(N$30,economics!$AK$2:$AK$167,economics!$AJ$2:$AJ$167,TRUE))*economics!$AM$2:$AM$167)+$CR5*(_xlfn.NORM.DIST(N$3,$CU5,0.3*$CU5,TRUE)-_xlfn.NORM.DIST(N$30,$CU5,0.3*$CU5,TRUE))*summary!$C$7/28.8/0.947817+$CS5*(_xlfn.NORM.DIST(N$3,$CV5,0.3*$CV5,TRUE)-_xlfn.NORM.DIST(N$30,$CV5,0.3*$CV5,TRUE))*summary!$C$6/28.8/0.947817)/(SUMPRODUCT((economics!$AG$2:$AG$167=$B34)*(economics!$D$2:$D$167="whr")*economics!$AH$2:$AH$167*(_xlfn.NORM.DIST(N$3,economics!$AK$2:$AK$167,economics!$AJ$2:$AJ$167,TRUE)-_xlfn.NORM.DIST(N$30,economics!$AK$2:$AK$167,economics!$AJ$2:$AJ$167,TRUE)))+$CR5*(_xlfn.NORM.DIST(N$3,$CU5,0.3*$CU5,TRUE)-_xlfn.NORM.DIST(N$30,$CU5,0.3*$CU5,TRUE))+$CS5*(_xlfn.NORM.DIST(N$3,$CV5,0.3*$CV5,TRUE)-_xlfn.NORM.DIST(N$30,$CV5,0.3*$CV5,TRUE))),""),IF($C5&gt;0,summary!$C$10/28.8/0.947817,""))</f>
        <v/>
      </c>
      <c r="O34">
        <f t="array" ref="O34">IF($D5,IFERROR((SUMPRODUCT((economics!$AG$2:$AG$167=$B34)*(economics!$D$2:$D$167="whr")*economics!$AH$2:$AH$167*(_xlfn.NORM.DIST(O$3,economics!$AK$2:$AK$167,economics!$AJ$2:$AJ$167,TRUE)-_xlfn.NORM.DIST(O$30,economics!$AK$2:$AK$167,economics!$AJ$2:$AJ$167,TRUE))*economics!$AM$2:$AM$167)+$CR5*(_xlfn.NORM.DIST(O$3,$CU5,0.3*$CU5,TRUE)-_xlfn.NORM.DIST(O$30,$CU5,0.3*$CU5,TRUE))*summary!$C$7/28.8/0.947817+$CS5*(_xlfn.NORM.DIST(O$3,$CV5,0.3*$CV5,TRUE)-_xlfn.NORM.DIST(O$30,$CV5,0.3*$CV5,TRUE))*summary!$C$6/28.8/0.947817)/(SUMPRODUCT((economics!$AG$2:$AG$167=$B34)*(economics!$D$2:$D$167="whr")*economics!$AH$2:$AH$167*(_xlfn.NORM.DIST(O$3,economics!$AK$2:$AK$167,economics!$AJ$2:$AJ$167,TRUE)-_xlfn.NORM.DIST(O$30,economics!$AK$2:$AK$167,economics!$AJ$2:$AJ$167,TRUE)))+$CR5*(_xlfn.NORM.DIST(O$3,$CU5,0.3*$CU5,TRUE)-_xlfn.NORM.DIST(O$30,$CU5,0.3*$CU5,TRUE))+$CS5*(_xlfn.NORM.DIST(O$3,$CV5,0.3*$CV5,TRUE)-_xlfn.NORM.DIST(O$30,$CV5,0.3*$CV5,TRUE))),""),IF($C5&gt;0,summary!$C$10/28.8/0.947817,""))</f>
        <v/>
      </c>
      <c r="P34">
        <f t="array" ref="P34">IF($D5,IFERROR((SUMPRODUCT((economics!$AG$2:$AG$167=$B34)*(economics!$D$2:$D$167="whr")*economics!$AH$2:$AH$167*(_xlfn.NORM.DIST(P$3,economics!$AK$2:$AK$167,economics!$AJ$2:$AJ$167,TRUE)-_xlfn.NORM.DIST(P$30,economics!$AK$2:$AK$167,economics!$AJ$2:$AJ$167,TRUE))*economics!$AM$2:$AM$167)+$CR5*(_xlfn.NORM.DIST(P$3,$CU5,0.3*$CU5,TRUE)-_xlfn.NORM.DIST(P$30,$CU5,0.3*$CU5,TRUE))*summary!$C$7/28.8/0.947817+$CS5*(_xlfn.NORM.DIST(P$3,$CV5,0.3*$CV5,TRUE)-_xlfn.NORM.DIST(P$30,$CV5,0.3*$CV5,TRUE))*summary!$C$6/28.8/0.947817)/(SUMPRODUCT((economics!$AG$2:$AG$167=$B34)*(economics!$D$2:$D$167="whr")*economics!$AH$2:$AH$167*(_xlfn.NORM.DIST(P$3,economics!$AK$2:$AK$167,economics!$AJ$2:$AJ$167,TRUE)-_xlfn.NORM.DIST(P$30,economics!$AK$2:$AK$167,economics!$AJ$2:$AJ$167,TRUE)))+$CR5*(_xlfn.NORM.DIST(P$3,$CU5,0.3*$CU5,TRUE)-_xlfn.NORM.DIST(P$30,$CU5,0.3*$CU5,TRUE))+$CS5*(_xlfn.NORM.DIST(P$3,$CV5,0.3*$CV5,TRUE)-_xlfn.NORM.DIST(P$30,$CV5,0.3*$CV5,TRUE))),""),IF($C5&gt;0,summary!$C$10/28.8/0.947817,""))</f>
        <v/>
      </c>
      <c r="Q34">
        <f t="array" ref="Q34">IF($D5,IFERROR((SUMPRODUCT((economics!$AG$2:$AG$167=$B34)*(economics!$D$2:$D$167="whr")*economics!$AH$2:$AH$167*(_xlfn.NORM.DIST(Q$3,economics!$AK$2:$AK$167,economics!$AJ$2:$AJ$167,TRUE)-_xlfn.NORM.DIST(Q$30,economics!$AK$2:$AK$167,economics!$AJ$2:$AJ$167,TRUE))*economics!$AM$2:$AM$167)+$CR5*(_xlfn.NORM.DIST(Q$3,$CU5,0.3*$CU5,TRUE)-_xlfn.NORM.DIST(Q$30,$CU5,0.3*$CU5,TRUE))*summary!$C$7/28.8/0.947817+$CS5*(_xlfn.NORM.DIST(Q$3,$CV5,0.3*$CV5,TRUE)-_xlfn.NORM.DIST(Q$30,$CV5,0.3*$CV5,TRUE))*summary!$C$6/28.8/0.947817)/(SUMPRODUCT((economics!$AG$2:$AG$167=$B34)*(economics!$D$2:$D$167="whr")*economics!$AH$2:$AH$167*(_xlfn.NORM.DIST(Q$3,economics!$AK$2:$AK$167,economics!$AJ$2:$AJ$167,TRUE)-_xlfn.NORM.DIST(Q$30,economics!$AK$2:$AK$167,economics!$AJ$2:$AJ$167,TRUE)))+$CR5*(_xlfn.NORM.DIST(Q$3,$CU5,0.3*$CU5,TRUE)-_xlfn.NORM.DIST(Q$30,$CU5,0.3*$CU5,TRUE))+$CS5*(_xlfn.NORM.DIST(Q$3,$CV5,0.3*$CV5,TRUE)-_xlfn.NORM.DIST(Q$30,$CV5,0.3*$CV5,TRUE))),""),IF($C5&gt;0,summary!$C$10/28.8/0.947817,""))</f>
        <v/>
      </c>
      <c r="R34">
        <f t="array" ref="R34">IF($D5,IFERROR((SUMPRODUCT((economics!$AG$2:$AG$167=$B34)*(economics!$D$2:$D$167="whr")*economics!$AH$2:$AH$167*(_xlfn.NORM.DIST(R$3,economics!$AK$2:$AK$167,economics!$AJ$2:$AJ$167,TRUE)-_xlfn.NORM.DIST(R$30,economics!$AK$2:$AK$167,economics!$AJ$2:$AJ$167,TRUE))*economics!$AM$2:$AM$167)+$CR5*(_xlfn.NORM.DIST(R$3,$CU5,0.3*$CU5,TRUE)-_xlfn.NORM.DIST(R$30,$CU5,0.3*$CU5,TRUE))*summary!$C$7/28.8/0.947817+$CS5*(_xlfn.NORM.DIST(R$3,$CV5,0.3*$CV5,TRUE)-_xlfn.NORM.DIST(R$30,$CV5,0.3*$CV5,TRUE))*summary!$C$6/28.8/0.947817)/(SUMPRODUCT((economics!$AG$2:$AG$167=$B34)*(economics!$D$2:$D$167="whr")*economics!$AH$2:$AH$167*(_xlfn.NORM.DIST(R$3,economics!$AK$2:$AK$167,economics!$AJ$2:$AJ$167,TRUE)-_xlfn.NORM.DIST(R$30,economics!$AK$2:$AK$167,economics!$AJ$2:$AJ$167,TRUE)))+$CR5*(_xlfn.NORM.DIST(R$3,$CU5,0.3*$CU5,TRUE)-_xlfn.NORM.DIST(R$30,$CU5,0.3*$CU5,TRUE))+$CS5*(_xlfn.NORM.DIST(R$3,$CV5,0.3*$CV5,TRUE)-_xlfn.NORM.DIST(R$30,$CV5,0.3*$CV5,TRUE))),""),IF($C5&gt;0,summary!$C$10/28.8/0.947817,""))</f>
        <v/>
      </c>
      <c r="S34">
        <f t="array" ref="S34">IF($D5,IFERROR((SUMPRODUCT((economics!$AG$2:$AG$167=$B34)*(economics!$D$2:$D$167="whr")*economics!$AH$2:$AH$167*(_xlfn.NORM.DIST(S$3,economics!$AK$2:$AK$167,economics!$AJ$2:$AJ$167,TRUE)-_xlfn.NORM.DIST(S$30,economics!$AK$2:$AK$167,economics!$AJ$2:$AJ$167,TRUE))*economics!$AM$2:$AM$167)+$CR5*(_xlfn.NORM.DIST(S$3,$CU5,0.3*$CU5,TRUE)-_xlfn.NORM.DIST(S$30,$CU5,0.3*$CU5,TRUE))*summary!$C$7/28.8/0.947817+$CS5*(_xlfn.NORM.DIST(S$3,$CV5,0.3*$CV5,TRUE)-_xlfn.NORM.DIST(S$30,$CV5,0.3*$CV5,TRUE))*summary!$C$6/28.8/0.947817)/(SUMPRODUCT((economics!$AG$2:$AG$167=$B34)*(economics!$D$2:$D$167="whr")*economics!$AH$2:$AH$167*(_xlfn.NORM.DIST(S$3,economics!$AK$2:$AK$167,economics!$AJ$2:$AJ$167,TRUE)-_xlfn.NORM.DIST(S$30,economics!$AK$2:$AK$167,economics!$AJ$2:$AJ$167,TRUE)))+$CR5*(_xlfn.NORM.DIST(S$3,$CU5,0.3*$CU5,TRUE)-_xlfn.NORM.DIST(S$30,$CU5,0.3*$CU5,TRUE))+$CS5*(_xlfn.NORM.DIST(S$3,$CV5,0.3*$CV5,TRUE)-_xlfn.NORM.DIST(S$30,$CV5,0.3*$CV5,TRUE))),""),IF($C5&gt;0,summary!$C$10/28.8/0.947817,""))</f>
        <v/>
      </c>
      <c r="T34">
        <f t="array" ref="T34">IF($D5,IFERROR((SUMPRODUCT((economics!$AG$2:$AG$167=$B34)*(economics!$D$2:$D$167="whr")*economics!$AH$2:$AH$167*(_xlfn.NORM.DIST(T$3,economics!$AK$2:$AK$167,economics!$AJ$2:$AJ$167,TRUE)-_xlfn.NORM.DIST(T$30,economics!$AK$2:$AK$167,economics!$AJ$2:$AJ$167,TRUE))*economics!$AM$2:$AM$167)+$CR5*(_xlfn.NORM.DIST(T$3,$CU5,0.3*$CU5,TRUE)-_xlfn.NORM.DIST(T$30,$CU5,0.3*$CU5,TRUE))*summary!$C$7/28.8/0.947817+$CS5*(_xlfn.NORM.DIST(T$3,$CV5,0.3*$CV5,TRUE)-_xlfn.NORM.DIST(T$30,$CV5,0.3*$CV5,TRUE))*summary!$C$6/28.8/0.947817)/(SUMPRODUCT((economics!$AG$2:$AG$167=$B34)*(economics!$D$2:$D$167="whr")*economics!$AH$2:$AH$167*(_xlfn.NORM.DIST(T$3,economics!$AK$2:$AK$167,economics!$AJ$2:$AJ$167,TRUE)-_xlfn.NORM.DIST(T$30,economics!$AK$2:$AK$167,economics!$AJ$2:$AJ$167,TRUE)))+$CR5*(_xlfn.NORM.DIST(T$3,$CU5,0.3*$CU5,TRUE)-_xlfn.NORM.DIST(T$30,$CU5,0.3*$CU5,TRUE))+$CS5*(_xlfn.NORM.DIST(T$3,$CV5,0.3*$CV5,TRUE)-_xlfn.NORM.DIST(T$30,$CV5,0.3*$CV5,TRUE))),""),IF($C5&gt;0,summary!$C$10/28.8/0.947817,""))</f>
        <v/>
      </c>
      <c r="U34">
        <f t="array" ref="U34">IF($D5,IFERROR((SUMPRODUCT((economics!$AG$2:$AG$167=$B34)*(economics!$D$2:$D$167="whr")*economics!$AH$2:$AH$167*(_xlfn.NORM.DIST(U$3,economics!$AK$2:$AK$167,economics!$AJ$2:$AJ$167,TRUE)-_xlfn.NORM.DIST(U$30,economics!$AK$2:$AK$167,economics!$AJ$2:$AJ$167,TRUE))*economics!$AM$2:$AM$167)+$CR5*(_xlfn.NORM.DIST(U$3,$CU5,0.3*$CU5,TRUE)-_xlfn.NORM.DIST(U$30,$CU5,0.3*$CU5,TRUE))*summary!$C$7/28.8/0.947817+$CS5*(_xlfn.NORM.DIST(U$3,$CV5,0.3*$CV5,TRUE)-_xlfn.NORM.DIST(U$30,$CV5,0.3*$CV5,TRUE))*summary!$C$6/28.8/0.947817)/(SUMPRODUCT((economics!$AG$2:$AG$167=$B34)*(economics!$D$2:$D$167="whr")*economics!$AH$2:$AH$167*(_xlfn.NORM.DIST(U$3,economics!$AK$2:$AK$167,economics!$AJ$2:$AJ$167,TRUE)-_xlfn.NORM.DIST(U$30,economics!$AK$2:$AK$167,economics!$AJ$2:$AJ$167,TRUE)))+$CR5*(_xlfn.NORM.DIST(U$3,$CU5,0.3*$CU5,TRUE)-_xlfn.NORM.DIST(U$30,$CU5,0.3*$CU5,TRUE))+$CS5*(_xlfn.NORM.DIST(U$3,$CV5,0.3*$CV5,TRUE)-_xlfn.NORM.DIST(U$30,$CV5,0.3*$CV5,TRUE))),""),IF($C5&gt;0,summary!$C$10/28.8/0.947817,""))</f>
        <v/>
      </c>
      <c r="V34">
        <f t="array" ref="V34">IF($D5,IFERROR((SUMPRODUCT((economics!$AG$2:$AG$167=$B34)*(economics!$D$2:$D$167="whr")*economics!$AH$2:$AH$167*(_xlfn.NORM.DIST(V$3,economics!$AK$2:$AK$167,economics!$AJ$2:$AJ$167,TRUE)-_xlfn.NORM.DIST(V$30,economics!$AK$2:$AK$167,economics!$AJ$2:$AJ$167,TRUE))*economics!$AM$2:$AM$167)+$CR5*(_xlfn.NORM.DIST(V$3,$CU5,0.3*$CU5,TRUE)-_xlfn.NORM.DIST(V$30,$CU5,0.3*$CU5,TRUE))*summary!$C$7/28.8/0.947817+$CS5*(_xlfn.NORM.DIST(V$3,$CV5,0.3*$CV5,TRUE)-_xlfn.NORM.DIST(V$30,$CV5,0.3*$CV5,TRUE))*summary!$C$6/28.8/0.947817)/(SUMPRODUCT((economics!$AG$2:$AG$167=$B34)*(economics!$D$2:$D$167="whr")*economics!$AH$2:$AH$167*(_xlfn.NORM.DIST(V$3,economics!$AK$2:$AK$167,economics!$AJ$2:$AJ$167,TRUE)-_xlfn.NORM.DIST(V$30,economics!$AK$2:$AK$167,economics!$AJ$2:$AJ$167,TRUE)))+$CR5*(_xlfn.NORM.DIST(V$3,$CU5,0.3*$CU5,TRUE)-_xlfn.NORM.DIST(V$30,$CU5,0.3*$CU5,TRUE))+$CS5*(_xlfn.NORM.DIST(V$3,$CV5,0.3*$CV5,TRUE)-_xlfn.NORM.DIST(V$30,$CV5,0.3*$CV5,TRUE))),""),IF($C5&gt;0,summary!$C$10/28.8/0.947817,""))</f>
        <v/>
      </c>
      <c r="W34">
        <f t="array" ref="W34">IF($D5,IFERROR((SUMPRODUCT((economics!$AG$2:$AG$167=$B34)*(economics!$D$2:$D$167="whr")*economics!$AH$2:$AH$167*(_xlfn.NORM.DIST(W$3,economics!$AK$2:$AK$167,economics!$AJ$2:$AJ$167,TRUE)-_xlfn.NORM.DIST(W$30,economics!$AK$2:$AK$167,economics!$AJ$2:$AJ$167,TRUE))*economics!$AM$2:$AM$167)+$CR5*(_xlfn.NORM.DIST(W$3,$CU5,0.3*$CU5,TRUE)-_xlfn.NORM.DIST(W$30,$CU5,0.3*$CU5,TRUE))*summary!$C$7/28.8/0.947817+$CS5*(_xlfn.NORM.DIST(W$3,$CV5,0.3*$CV5,TRUE)-_xlfn.NORM.DIST(W$30,$CV5,0.3*$CV5,TRUE))*summary!$C$6/28.8/0.947817)/(SUMPRODUCT((economics!$AG$2:$AG$167=$B34)*(economics!$D$2:$D$167="whr")*economics!$AH$2:$AH$167*(_xlfn.NORM.DIST(W$3,economics!$AK$2:$AK$167,economics!$AJ$2:$AJ$167,TRUE)-_xlfn.NORM.DIST(W$30,economics!$AK$2:$AK$167,economics!$AJ$2:$AJ$167,TRUE)))+$CR5*(_xlfn.NORM.DIST(W$3,$CU5,0.3*$CU5,TRUE)-_xlfn.NORM.DIST(W$30,$CU5,0.3*$CU5,TRUE))+$CS5*(_xlfn.NORM.DIST(W$3,$CV5,0.3*$CV5,TRUE)-_xlfn.NORM.DIST(W$30,$CV5,0.3*$CV5,TRUE))),""),IF($C5&gt;0,summary!$C$10/28.8/0.947817,""))</f>
        <v/>
      </c>
      <c r="X34">
        <f t="array" ref="X34">IF($D5,IFERROR((SUMPRODUCT((economics!$AG$2:$AG$167=$B34)*(economics!$D$2:$D$167="whr")*economics!$AH$2:$AH$167*(_xlfn.NORM.DIST(X$3,economics!$AK$2:$AK$167,economics!$AJ$2:$AJ$167,TRUE)-_xlfn.NORM.DIST(X$30,economics!$AK$2:$AK$167,economics!$AJ$2:$AJ$167,TRUE))*economics!$AM$2:$AM$167)+$CR5*(_xlfn.NORM.DIST(X$3,$CU5,0.3*$CU5,TRUE)-_xlfn.NORM.DIST(X$30,$CU5,0.3*$CU5,TRUE))*summary!$C$7/28.8/0.947817+$CS5*(_xlfn.NORM.DIST(X$3,$CV5,0.3*$CV5,TRUE)-_xlfn.NORM.DIST(X$30,$CV5,0.3*$CV5,TRUE))*summary!$C$6/28.8/0.947817)/(SUMPRODUCT((economics!$AG$2:$AG$167=$B34)*(economics!$D$2:$D$167="whr")*economics!$AH$2:$AH$167*(_xlfn.NORM.DIST(X$3,economics!$AK$2:$AK$167,economics!$AJ$2:$AJ$167,TRUE)-_xlfn.NORM.DIST(X$30,economics!$AK$2:$AK$167,economics!$AJ$2:$AJ$167,TRUE)))+$CR5*(_xlfn.NORM.DIST(X$3,$CU5,0.3*$CU5,TRUE)-_xlfn.NORM.DIST(X$30,$CU5,0.3*$CU5,TRUE))+$CS5*(_xlfn.NORM.DIST(X$3,$CV5,0.3*$CV5,TRUE)-_xlfn.NORM.DIST(X$30,$CV5,0.3*$CV5,TRUE))),""),IF($C5&gt;0,summary!$C$10/28.8/0.947817,""))</f>
        <v/>
      </c>
      <c r="Y34">
        <f t="array" ref="Y34">IF($D5,IFERROR((SUMPRODUCT((economics!$AG$2:$AG$167=$B34)*(economics!$D$2:$D$167="whr")*economics!$AH$2:$AH$167*(_xlfn.NORM.DIST(Y$3,economics!$AK$2:$AK$167,economics!$AJ$2:$AJ$167,TRUE)-_xlfn.NORM.DIST(Y$30,economics!$AK$2:$AK$167,economics!$AJ$2:$AJ$167,TRUE))*economics!$AM$2:$AM$167)+$CR5*(_xlfn.NORM.DIST(Y$3,$CU5,0.3*$CU5,TRUE)-_xlfn.NORM.DIST(Y$30,$CU5,0.3*$CU5,TRUE))*summary!$C$7/28.8/0.947817+$CS5*(_xlfn.NORM.DIST(Y$3,$CV5,0.3*$CV5,TRUE)-_xlfn.NORM.DIST(Y$30,$CV5,0.3*$CV5,TRUE))*summary!$C$6/28.8/0.947817)/(SUMPRODUCT((economics!$AG$2:$AG$167=$B34)*(economics!$D$2:$D$167="whr")*economics!$AH$2:$AH$167*(_xlfn.NORM.DIST(Y$3,economics!$AK$2:$AK$167,economics!$AJ$2:$AJ$167,TRUE)-_xlfn.NORM.DIST(Y$30,economics!$AK$2:$AK$167,economics!$AJ$2:$AJ$167,TRUE)))+$CR5*(_xlfn.NORM.DIST(Y$3,$CU5,0.3*$CU5,TRUE)-_xlfn.NORM.DIST(Y$30,$CU5,0.3*$CU5,TRUE))+$CS5*(_xlfn.NORM.DIST(Y$3,$CV5,0.3*$CV5,TRUE)-_xlfn.NORM.DIST(Y$30,$CV5,0.3*$CV5,TRUE))),""),IF($C5&gt;0,summary!$C$10/28.8/0.947817,""))</f>
        <v/>
      </c>
      <c r="Z34">
        <f t="array" ref="Z34">IF($D5,IFERROR((SUMPRODUCT((economics!$AG$2:$AG$167=$B34)*(economics!$D$2:$D$167="whr")*economics!$AH$2:$AH$167*(_xlfn.NORM.DIST(Z$3,economics!$AK$2:$AK$167,economics!$AJ$2:$AJ$167,TRUE)-_xlfn.NORM.DIST(Z$30,economics!$AK$2:$AK$167,economics!$AJ$2:$AJ$167,TRUE))*economics!$AM$2:$AM$167)+$CR5*(_xlfn.NORM.DIST(Z$3,$CU5,0.3*$CU5,TRUE)-_xlfn.NORM.DIST(Z$30,$CU5,0.3*$CU5,TRUE))*summary!$C$7/28.8/0.947817+$CS5*(_xlfn.NORM.DIST(Z$3,$CV5,0.3*$CV5,TRUE)-_xlfn.NORM.DIST(Z$30,$CV5,0.3*$CV5,TRUE))*summary!$C$6/28.8/0.947817)/(SUMPRODUCT((economics!$AG$2:$AG$167=$B34)*(economics!$D$2:$D$167="whr")*economics!$AH$2:$AH$167*(_xlfn.NORM.DIST(Z$3,economics!$AK$2:$AK$167,economics!$AJ$2:$AJ$167,TRUE)-_xlfn.NORM.DIST(Z$30,economics!$AK$2:$AK$167,economics!$AJ$2:$AJ$167,TRUE)))+$CR5*(_xlfn.NORM.DIST(Z$3,$CU5,0.3*$CU5,TRUE)-_xlfn.NORM.DIST(Z$30,$CU5,0.3*$CU5,TRUE))+$CS5*(_xlfn.NORM.DIST(Z$3,$CV5,0.3*$CV5,TRUE)-_xlfn.NORM.DIST(Z$30,$CV5,0.3*$CV5,TRUE))),""),IF($C5&gt;0,summary!$C$10/28.8/0.947817,""))</f>
        <v/>
      </c>
      <c r="AA34">
        <f t="array" ref="AA34">IF($D5,IFERROR((SUMPRODUCT((economics!$AG$2:$AG$167=$B34)*(economics!$D$2:$D$167="whr")*economics!$AH$2:$AH$167*(_xlfn.NORM.DIST(AA$3,economics!$AK$2:$AK$167,economics!$AJ$2:$AJ$167,TRUE)-_xlfn.NORM.DIST(AA$30,economics!$AK$2:$AK$167,economics!$AJ$2:$AJ$167,TRUE))*economics!$AM$2:$AM$167)+$CR5*(_xlfn.NORM.DIST(AA$3,$CU5,0.3*$CU5,TRUE)-_xlfn.NORM.DIST(AA$30,$CU5,0.3*$CU5,TRUE))*summary!$C$7/28.8/0.947817+$CS5*(_xlfn.NORM.DIST(AA$3,$CV5,0.3*$CV5,TRUE)-_xlfn.NORM.DIST(AA$30,$CV5,0.3*$CV5,TRUE))*summary!$C$6/28.8/0.947817)/(SUMPRODUCT((economics!$AG$2:$AG$167=$B34)*(economics!$D$2:$D$167="whr")*economics!$AH$2:$AH$167*(_xlfn.NORM.DIST(AA$3,economics!$AK$2:$AK$167,economics!$AJ$2:$AJ$167,TRUE)-_xlfn.NORM.DIST(AA$30,economics!$AK$2:$AK$167,economics!$AJ$2:$AJ$167,TRUE)))+$CR5*(_xlfn.NORM.DIST(AA$3,$CU5,0.3*$CU5,TRUE)-_xlfn.NORM.DIST(AA$30,$CU5,0.3*$CU5,TRUE))+$CS5*(_xlfn.NORM.DIST(AA$3,$CV5,0.3*$CV5,TRUE)-_xlfn.NORM.DIST(AA$30,$CV5,0.3*$CV5,TRUE))),""),IF($C5&gt;0,summary!$C$10/28.8/0.947817,""))</f>
        <v/>
      </c>
      <c r="AB34">
        <f t="array" ref="AB34">IF($D5,IFERROR((SUMPRODUCT((economics!$AG$2:$AG$167=$B34)*(economics!$D$2:$D$167="whr")*economics!$AH$2:$AH$167*(_xlfn.NORM.DIST(AB$3,economics!$AK$2:$AK$167,economics!$AJ$2:$AJ$167,TRUE)-_xlfn.NORM.DIST(AB$30,economics!$AK$2:$AK$167,economics!$AJ$2:$AJ$167,TRUE))*economics!$AM$2:$AM$167)+$CR5*(_xlfn.NORM.DIST(AB$3,$CU5,0.3*$CU5,TRUE)-_xlfn.NORM.DIST(AB$30,$CU5,0.3*$CU5,TRUE))*summary!$C$7/28.8/0.947817+$CS5*(_xlfn.NORM.DIST(AB$3,$CV5,0.3*$CV5,TRUE)-_xlfn.NORM.DIST(AB$30,$CV5,0.3*$CV5,TRUE))*summary!$C$6/28.8/0.947817)/(SUMPRODUCT((economics!$AG$2:$AG$167=$B34)*(economics!$D$2:$D$167="whr")*economics!$AH$2:$AH$167*(_xlfn.NORM.DIST(AB$3,economics!$AK$2:$AK$167,economics!$AJ$2:$AJ$167,TRUE)-_xlfn.NORM.DIST(AB$30,economics!$AK$2:$AK$167,economics!$AJ$2:$AJ$167,TRUE)))+$CR5*(_xlfn.NORM.DIST(AB$3,$CU5,0.3*$CU5,TRUE)-_xlfn.NORM.DIST(AB$30,$CU5,0.3*$CU5,TRUE))+$CS5*(_xlfn.NORM.DIST(AB$3,$CV5,0.3*$CV5,TRUE)-_xlfn.NORM.DIST(AB$30,$CV5,0.3*$CV5,TRUE))),""),IF($C5&gt;0,summary!$C$10/28.8/0.947817,""))</f>
        <v/>
      </c>
      <c r="AC34">
        <f t="array" ref="AC34">IF($D5,IFERROR((SUMPRODUCT((economics!$AG$2:$AG$167=$B34)*(economics!$D$2:$D$167="whr")*economics!$AH$2:$AH$167*(_xlfn.NORM.DIST(AC$3,economics!$AK$2:$AK$167,economics!$AJ$2:$AJ$167,TRUE)-_xlfn.NORM.DIST(AC$30,economics!$AK$2:$AK$167,economics!$AJ$2:$AJ$167,TRUE))*economics!$AM$2:$AM$167)+$CR5*(_xlfn.NORM.DIST(AC$3,$CU5,0.3*$CU5,TRUE)-_xlfn.NORM.DIST(AC$30,$CU5,0.3*$CU5,TRUE))*summary!$C$7/28.8/0.947817+$CS5*(_xlfn.NORM.DIST(AC$3,$CV5,0.3*$CV5,TRUE)-_xlfn.NORM.DIST(AC$30,$CV5,0.3*$CV5,TRUE))*summary!$C$6/28.8/0.947817)/(SUMPRODUCT((economics!$AG$2:$AG$167=$B34)*(economics!$D$2:$D$167="whr")*economics!$AH$2:$AH$167*(_xlfn.NORM.DIST(AC$3,economics!$AK$2:$AK$167,economics!$AJ$2:$AJ$167,TRUE)-_xlfn.NORM.DIST(AC$30,economics!$AK$2:$AK$167,economics!$AJ$2:$AJ$167,TRUE)))+$CR5*(_xlfn.NORM.DIST(AC$3,$CU5,0.3*$CU5,TRUE)-_xlfn.NORM.DIST(AC$30,$CU5,0.3*$CU5,TRUE))+$CS5*(_xlfn.NORM.DIST(AC$3,$CV5,0.3*$CV5,TRUE)-_xlfn.NORM.DIST(AC$30,$CV5,0.3*$CV5,TRUE))),""),IF($C5&gt;0,summary!$C$10/28.8/0.947817,""))</f>
        <v/>
      </c>
      <c r="AD34">
        <f t="array" ref="AD34">IF($D5,IFERROR((SUMPRODUCT((economics!$AG$2:$AG$167=$B34)*(economics!$D$2:$D$167="whr")*economics!$AH$2:$AH$167*(_xlfn.NORM.DIST(AD$3,economics!$AK$2:$AK$167,economics!$AJ$2:$AJ$167,TRUE)-_xlfn.NORM.DIST(AD$30,economics!$AK$2:$AK$167,economics!$AJ$2:$AJ$167,TRUE))*economics!$AM$2:$AM$167)+$CR5*(_xlfn.NORM.DIST(AD$3,$CU5,0.3*$CU5,TRUE)-_xlfn.NORM.DIST(AD$30,$CU5,0.3*$CU5,TRUE))*summary!$C$7/28.8/0.947817+$CS5*(_xlfn.NORM.DIST(AD$3,$CV5,0.3*$CV5,TRUE)-_xlfn.NORM.DIST(AD$30,$CV5,0.3*$CV5,TRUE))*summary!$C$6/28.8/0.947817)/(SUMPRODUCT((economics!$AG$2:$AG$167=$B34)*(economics!$D$2:$D$167="whr")*economics!$AH$2:$AH$167*(_xlfn.NORM.DIST(AD$3,economics!$AK$2:$AK$167,economics!$AJ$2:$AJ$167,TRUE)-_xlfn.NORM.DIST(AD$30,economics!$AK$2:$AK$167,economics!$AJ$2:$AJ$167,TRUE)))+$CR5*(_xlfn.NORM.DIST(AD$3,$CU5,0.3*$CU5,TRUE)-_xlfn.NORM.DIST(AD$30,$CU5,0.3*$CU5,TRUE))+$CS5*(_xlfn.NORM.DIST(AD$3,$CV5,0.3*$CV5,TRUE)-_xlfn.NORM.DIST(AD$30,$CV5,0.3*$CV5,TRUE))),""),IF($C5&gt;0,summary!$C$10/28.8/0.947817,""))</f>
        <v/>
      </c>
      <c r="AE34">
        <f t="array" ref="AE34">IF($D5,IFERROR((SUMPRODUCT((economics!$AG$2:$AG$167=$B34)*(economics!$D$2:$D$167="whr")*economics!$AH$2:$AH$167*(_xlfn.NORM.DIST(AE$3,economics!$AK$2:$AK$167,economics!$AJ$2:$AJ$167,TRUE)-_xlfn.NORM.DIST(AE$30,economics!$AK$2:$AK$167,economics!$AJ$2:$AJ$167,TRUE))*economics!$AM$2:$AM$167)+$CR5*(_xlfn.NORM.DIST(AE$3,$CU5,0.3*$CU5,TRUE)-_xlfn.NORM.DIST(AE$30,$CU5,0.3*$CU5,TRUE))*summary!$C$7/28.8/0.947817+$CS5*(_xlfn.NORM.DIST(AE$3,$CV5,0.3*$CV5,TRUE)-_xlfn.NORM.DIST(AE$30,$CV5,0.3*$CV5,TRUE))*summary!$C$6/28.8/0.947817)/(SUMPRODUCT((economics!$AG$2:$AG$167=$B34)*(economics!$D$2:$D$167="whr")*economics!$AH$2:$AH$167*(_xlfn.NORM.DIST(AE$3,economics!$AK$2:$AK$167,economics!$AJ$2:$AJ$167,TRUE)-_xlfn.NORM.DIST(AE$30,economics!$AK$2:$AK$167,economics!$AJ$2:$AJ$167,TRUE)))+$CR5*(_xlfn.NORM.DIST(AE$3,$CU5,0.3*$CU5,TRUE)-_xlfn.NORM.DIST(AE$30,$CU5,0.3*$CU5,TRUE))+$CS5*(_xlfn.NORM.DIST(AE$3,$CV5,0.3*$CV5,TRUE)-_xlfn.NORM.DIST(AE$30,$CV5,0.3*$CV5,TRUE))),""),IF($C5&gt;0,summary!$C$10/28.8/0.947817,""))</f>
        <v/>
      </c>
      <c r="AF34">
        <f t="array" ref="AF34">IF($D5,IFERROR((SUMPRODUCT((economics!$AG$2:$AG$167=$B34)*(economics!$D$2:$D$167="whr")*economics!$AH$2:$AH$167*(_xlfn.NORM.DIST(AF$3,economics!$AK$2:$AK$167,economics!$AJ$2:$AJ$167,TRUE)-_xlfn.NORM.DIST(AF$30,economics!$AK$2:$AK$167,economics!$AJ$2:$AJ$167,TRUE))*economics!$AM$2:$AM$167)+$CR5*(_xlfn.NORM.DIST(AF$3,$CU5,0.3*$CU5,TRUE)-_xlfn.NORM.DIST(AF$30,$CU5,0.3*$CU5,TRUE))*summary!$C$7/28.8/0.947817+$CS5*(_xlfn.NORM.DIST(AF$3,$CV5,0.3*$CV5,TRUE)-_xlfn.NORM.DIST(AF$30,$CV5,0.3*$CV5,TRUE))*summary!$C$6/28.8/0.947817)/(SUMPRODUCT((economics!$AG$2:$AG$167=$B34)*(economics!$D$2:$D$167="whr")*economics!$AH$2:$AH$167*(_xlfn.NORM.DIST(AF$3,economics!$AK$2:$AK$167,economics!$AJ$2:$AJ$167,TRUE)-_xlfn.NORM.DIST(AF$30,economics!$AK$2:$AK$167,economics!$AJ$2:$AJ$167,TRUE)))+$CR5*(_xlfn.NORM.DIST(AF$3,$CU5,0.3*$CU5,TRUE)-_xlfn.NORM.DIST(AF$30,$CU5,0.3*$CU5,TRUE))+$CS5*(_xlfn.NORM.DIST(AF$3,$CV5,0.3*$CV5,TRUE)-_xlfn.NORM.DIST(AF$30,$CV5,0.3*$CV5,TRUE))),""),IF($C5&gt;0,summary!$C$10/28.8/0.947817,""))</f>
        <v/>
      </c>
      <c r="AG34">
        <f t="array" ref="AG34">IF($D5,IFERROR((SUMPRODUCT((economics!$AG$2:$AG$167=$B34)*(economics!$D$2:$D$167="whr")*economics!$AH$2:$AH$167*(_xlfn.NORM.DIST(AG$3,economics!$AK$2:$AK$167,economics!$AJ$2:$AJ$167,TRUE)-_xlfn.NORM.DIST(AG$30,economics!$AK$2:$AK$167,economics!$AJ$2:$AJ$167,TRUE))*economics!$AM$2:$AM$167)+$CR5*(_xlfn.NORM.DIST(AG$3,$CU5,0.3*$CU5,TRUE)-_xlfn.NORM.DIST(AG$30,$CU5,0.3*$CU5,TRUE))*summary!$C$7/28.8/0.947817+$CS5*(_xlfn.NORM.DIST(AG$3,$CV5,0.3*$CV5,TRUE)-_xlfn.NORM.DIST(AG$30,$CV5,0.3*$CV5,TRUE))*summary!$C$6/28.8/0.947817)/(SUMPRODUCT((economics!$AG$2:$AG$167=$B34)*(economics!$D$2:$D$167="whr")*economics!$AH$2:$AH$167*(_xlfn.NORM.DIST(AG$3,economics!$AK$2:$AK$167,economics!$AJ$2:$AJ$167,TRUE)-_xlfn.NORM.DIST(AG$30,economics!$AK$2:$AK$167,economics!$AJ$2:$AJ$167,TRUE)))+$CR5*(_xlfn.NORM.DIST(AG$3,$CU5,0.3*$CU5,TRUE)-_xlfn.NORM.DIST(AG$30,$CU5,0.3*$CU5,TRUE))+$CS5*(_xlfn.NORM.DIST(AG$3,$CV5,0.3*$CV5,TRUE)-_xlfn.NORM.DIST(AG$30,$CV5,0.3*$CV5,TRUE))),""),IF($C5&gt;0,summary!$C$10/28.8/0.947817,""))</f>
        <v/>
      </c>
      <c r="AH34">
        <f t="array" ref="AH34">IF($D5,IFERROR((SUMPRODUCT((economics!$AG$2:$AG$167=$B34)*(economics!$D$2:$D$167="whr")*economics!$AH$2:$AH$167*(_xlfn.NORM.DIST(AH$3,economics!$AK$2:$AK$167,economics!$AJ$2:$AJ$167,TRUE)-_xlfn.NORM.DIST(AH$30,economics!$AK$2:$AK$167,economics!$AJ$2:$AJ$167,TRUE))*economics!$AM$2:$AM$167)+$CR5*(_xlfn.NORM.DIST(AH$3,$CU5,0.3*$CU5,TRUE)-_xlfn.NORM.DIST(AH$30,$CU5,0.3*$CU5,TRUE))*summary!$C$7/28.8/0.947817+$CS5*(_xlfn.NORM.DIST(AH$3,$CV5,0.3*$CV5,TRUE)-_xlfn.NORM.DIST(AH$30,$CV5,0.3*$CV5,TRUE))*summary!$C$6/28.8/0.947817)/(SUMPRODUCT((economics!$AG$2:$AG$167=$B34)*(economics!$D$2:$D$167="whr")*economics!$AH$2:$AH$167*(_xlfn.NORM.DIST(AH$3,economics!$AK$2:$AK$167,economics!$AJ$2:$AJ$167,TRUE)-_xlfn.NORM.DIST(AH$30,economics!$AK$2:$AK$167,economics!$AJ$2:$AJ$167,TRUE)))+$CR5*(_xlfn.NORM.DIST(AH$3,$CU5,0.3*$CU5,TRUE)-_xlfn.NORM.DIST(AH$30,$CU5,0.3*$CU5,TRUE))+$CS5*(_xlfn.NORM.DIST(AH$3,$CV5,0.3*$CV5,TRUE)-_xlfn.NORM.DIST(AH$30,$CV5,0.3*$CV5,TRUE))),""),IF($C5&gt;0,summary!$C$10/28.8/0.947817,""))</f>
        <v/>
      </c>
      <c r="AI34">
        <f t="array" ref="AI34">IF($D5,IFERROR((SUMPRODUCT((economics!$AG$2:$AG$167=$B34)*(economics!$D$2:$D$167="whr")*economics!$AH$2:$AH$167*(_xlfn.NORM.DIST(AI$3,economics!$AK$2:$AK$167,economics!$AJ$2:$AJ$167,TRUE)-_xlfn.NORM.DIST(AI$30,economics!$AK$2:$AK$167,economics!$AJ$2:$AJ$167,TRUE))*economics!$AM$2:$AM$167)+$CR5*(_xlfn.NORM.DIST(AI$3,$CU5,0.3*$CU5,TRUE)-_xlfn.NORM.DIST(AI$30,$CU5,0.3*$CU5,TRUE))*summary!$C$7/28.8/0.947817+$CS5*(_xlfn.NORM.DIST(AI$3,$CV5,0.3*$CV5,TRUE)-_xlfn.NORM.DIST(AI$30,$CV5,0.3*$CV5,TRUE))*summary!$C$6/28.8/0.947817)/(SUMPRODUCT((economics!$AG$2:$AG$167=$B34)*(economics!$D$2:$D$167="whr")*economics!$AH$2:$AH$167*(_xlfn.NORM.DIST(AI$3,economics!$AK$2:$AK$167,economics!$AJ$2:$AJ$167,TRUE)-_xlfn.NORM.DIST(AI$30,economics!$AK$2:$AK$167,economics!$AJ$2:$AJ$167,TRUE)))+$CR5*(_xlfn.NORM.DIST(AI$3,$CU5,0.3*$CU5,TRUE)-_xlfn.NORM.DIST(AI$30,$CU5,0.3*$CU5,TRUE))+$CS5*(_xlfn.NORM.DIST(AI$3,$CV5,0.3*$CV5,TRUE)-_xlfn.NORM.DIST(AI$30,$CV5,0.3*$CV5,TRUE))),""),IF($C5&gt;0,summary!$C$10/28.8/0.947817,""))</f>
        <v/>
      </c>
      <c r="AJ34">
        <f t="array" ref="AJ34">IF($D5,IFERROR((SUMPRODUCT((economics!$AG$2:$AG$167=$B34)*(economics!$D$2:$D$167="whr")*economics!$AH$2:$AH$167*(_xlfn.NORM.DIST(AJ$3,economics!$AK$2:$AK$167,economics!$AJ$2:$AJ$167,TRUE)-_xlfn.NORM.DIST(AJ$30,economics!$AK$2:$AK$167,economics!$AJ$2:$AJ$167,TRUE))*economics!$AM$2:$AM$167)+$CR5*(_xlfn.NORM.DIST(AJ$3,$CU5,0.3*$CU5,TRUE)-_xlfn.NORM.DIST(AJ$30,$CU5,0.3*$CU5,TRUE))*summary!$C$7/28.8/0.947817+$CS5*(_xlfn.NORM.DIST(AJ$3,$CV5,0.3*$CV5,TRUE)-_xlfn.NORM.DIST(AJ$30,$CV5,0.3*$CV5,TRUE))*summary!$C$6/28.8/0.947817)/(SUMPRODUCT((economics!$AG$2:$AG$167=$B34)*(economics!$D$2:$D$167="whr")*economics!$AH$2:$AH$167*(_xlfn.NORM.DIST(AJ$3,economics!$AK$2:$AK$167,economics!$AJ$2:$AJ$167,TRUE)-_xlfn.NORM.DIST(AJ$30,economics!$AK$2:$AK$167,economics!$AJ$2:$AJ$167,TRUE)))+$CR5*(_xlfn.NORM.DIST(AJ$3,$CU5,0.3*$CU5,TRUE)-_xlfn.NORM.DIST(AJ$30,$CU5,0.3*$CU5,TRUE))+$CS5*(_xlfn.NORM.DIST(AJ$3,$CV5,0.3*$CV5,TRUE)-_xlfn.NORM.DIST(AJ$30,$CV5,0.3*$CV5,TRUE))),""),IF($C5&gt;0,summary!$C$10/28.8/0.947817,""))</f>
        <v/>
      </c>
      <c r="AK34">
        <f t="array" ref="AK34">IF($D5,IFERROR((SUMPRODUCT((economics!$AG$2:$AG$167=$B34)*(economics!$D$2:$D$167="whr")*economics!$AH$2:$AH$167*(_xlfn.NORM.DIST(AK$3,economics!$AK$2:$AK$167,economics!$AJ$2:$AJ$167,TRUE)-_xlfn.NORM.DIST(AK$30,economics!$AK$2:$AK$167,economics!$AJ$2:$AJ$167,TRUE))*economics!$AM$2:$AM$167)+$CR5*(_xlfn.NORM.DIST(AK$3,$CU5,0.3*$CU5,TRUE)-_xlfn.NORM.DIST(AK$30,$CU5,0.3*$CU5,TRUE))*summary!$C$7/28.8/0.947817+$CS5*(_xlfn.NORM.DIST(AK$3,$CV5,0.3*$CV5,TRUE)-_xlfn.NORM.DIST(AK$30,$CV5,0.3*$CV5,TRUE))*summary!$C$6/28.8/0.947817)/(SUMPRODUCT((economics!$AG$2:$AG$167=$B34)*(economics!$D$2:$D$167="whr")*economics!$AH$2:$AH$167*(_xlfn.NORM.DIST(AK$3,economics!$AK$2:$AK$167,economics!$AJ$2:$AJ$167,TRUE)-_xlfn.NORM.DIST(AK$30,economics!$AK$2:$AK$167,economics!$AJ$2:$AJ$167,TRUE)))+$CR5*(_xlfn.NORM.DIST(AK$3,$CU5,0.3*$CU5,TRUE)-_xlfn.NORM.DIST(AK$30,$CU5,0.3*$CU5,TRUE))+$CS5*(_xlfn.NORM.DIST(AK$3,$CV5,0.3*$CV5,TRUE)-_xlfn.NORM.DIST(AK$30,$CV5,0.3*$CV5,TRUE))),""),IF($C5&gt;0,summary!$C$10/28.8/0.947817,""))</f>
        <v/>
      </c>
      <c r="AL34">
        <f t="array" ref="AL34">IF($D5,IFERROR((SUMPRODUCT((economics!$AG$2:$AG$167=$B34)*(economics!$D$2:$D$167="whr")*economics!$AH$2:$AH$167*(_xlfn.NORM.DIST(AL$3,economics!$AK$2:$AK$167,economics!$AJ$2:$AJ$167,TRUE)-_xlfn.NORM.DIST(AL$30,economics!$AK$2:$AK$167,economics!$AJ$2:$AJ$167,TRUE))*economics!$AM$2:$AM$167)+$CR5*(_xlfn.NORM.DIST(AL$3,$CU5,0.3*$CU5,TRUE)-_xlfn.NORM.DIST(AL$30,$CU5,0.3*$CU5,TRUE))*summary!$C$7/28.8/0.947817+$CS5*(_xlfn.NORM.DIST(AL$3,$CV5,0.3*$CV5,TRUE)-_xlfn.NORM.DIST(AL$30,$CV5,0.3*$CV5,TRUE))*summary!$C$6/28.8/0.947817)/(SUMPRODUCT((economics!$AG$2:$AG$167=$B34)*(economics!$D$2:$D$167="whr")*economics!$AH$2:$AH$167*(_xlfn.NORM.DIST(AL$3,economics!$AK$2:$AK$167,economics!$AJ$2:$AJ$167,TRUE)-_xlfn.NORM.DIST(AL$30,economics!$AK$2:$AK$167,economics!$AJ$2:$AJ$167,TRUE)))+$CR5*(_xlfn.NORM.DIST(AL$3,$CU5,0.3*$CU5,TRUE)-_xlfn.NORM.DIST(AL$30,$CU5,0.3*$CU5,TRUE))+$CS5*(_xlfn.NORM.DIST(AL$3,$CV5,0.3*$CV5,TRUE)-_xlfn.NORM.DIST(AL$30,$CV5,0.3*$CV5,TRUE))),""),IF($C5&gt;0,summary!$C$10/28.8/0.947817,""))</f>
        <v/>
      </c>
      <c r="AM34">
        <f t="array" ref="AM34">IF($D5,IFERROR((SUMPRODUCT((economics!$AG$2:$AG$167=$B34)*(economics!$D$2:$D$167="whr")*economics!$AH$2:$AH$167*(_xlfn.NORM.DIST(AM$3,economics!$AK$2:$AK$167,economics!$AJ$2:$AJ$167,TRUE)-_xlfn.NORM.DIST(AM$30,economics!$AK$2:$AK$167,economics!$AJ$2:$AJ$167,TRUE))*economics!$AM$2:$AM$167)+$CR5*(_xlfn.NORM.DIST(AM$3,$CU5,0.3*$CU5,TRUE)-_xlfn.NORM.DIST(AM$30,$CU5,0.3*$CU5,TRUE))*summary!$C$7/28.8/0.947817+$CS5*(_xlfn.NORM.DIST(AM$3,$CV5,0.3*$CV5,TRUE)-_xlfn.NORM.DIST(AM$30,$CV5,0.3*$CV5,TRUE))*summary!$C$6/28.8/0.947817)/(SUMPRODUCT((economics!$AG$2:$AG$167=$B34)*(economics!$D$2:$D$167="whr")*economics!$AH$2:$AH$167*(_xlfn.NORM.DIST(AM$3,economics!$AK$2:$AK$167,economics!$AJ$2:$AJ$167,TRUE)-_xlfn.NORM.DIST(AM$30,economics!$AK$2:$AK$167,economics!$AJ$2:$AJ$167,TRUE)))+$CR5*(_xlfn.NORM.DIST(AM$3,$CU5,0.3*$CU5,TRUE)-_xlfn.NORM.DIST(AM$30,$CU5,0.3*$CU5,TRUE))+$CS5*(_xlfn.NORM.DIST(AM$3,$CV5,0.3*$CV5,TRUE)-_xlfn.NORM.DIST(AM$30,$CV5,0.3*$CV5,TRUE))),""),IF($C5&gt;0,summary!$C$10/28.8/0.947817,""))</f>
        <v/>
      </c>
      <c r="AN34">
        <f t="array" ref="AN34">IF($D5,IFERROR((SUMPRODUCT((economics!$AG$2:$AG$167=$B34)*(economics!$D$2:$D$167="whr")*economics!$AH$2:$AH$167*(_xlfn.NORM.DIST(AN$3,economics!$AK$2:$AK$167,economics!$AJ$2:$AJ$167,TRUE)-_xlfn.NORM.DIST(AN$30,economics!$AK$2:$AK$167,economics!$AJ$2:$AJ$167,TRUE))*economics!$AM$2:$AM$167)+$CR5*(_xlfn.NORM.DIST(AN$3,$CU5,0.3*$CU5,TRUE)-_xlfn.NORM.DIST(AN$30,$CU5,0.3*$CU5,TRUE))*summary!$C$7/28.8/0.947817+$CS5*(_xlfn.NORM.DIST(AN$3,$CV5,0.3*$CV5,TRUE)-_xlfn.NORM.DIST(AN$30,$CV5,0.3*$CV5,TRUE))*summary!$C$6/28.8/0.947817)/(SUMPRODUCT((economics!$AG$2:$AG$167=$B34)*(economics!$D$2:$D$167="whr")*economics!$AH$2:$AH$167*(_xlfn.NORM.DIST(AN$3,economics!$AK$2:$AK$167,economics!$AJ$2:$AJ$167,TRUE)-_xlfn.NORM.DIST(AN$30,economics!$AK$2:$AK$167,economics!$AJ$2:$AJ$167,TRUE)))+$CR5*(_xlfn.NORM.DIST(AN$3,$CU5,0.3*$CU5,TRUE)-_xlfn.NORM.DIST(AN$30,$CU5,0.3*$CU5,TRUE))+$CS5*(_xlfn.NORM.DIST(AN$3,$CV5,0.3*$CV5,TRUE)-_xlfn.NORM.DIST(AN$30,$CV5,0.3*$CV5,TRUE))),""),IF($C5&gt;0,summary!$C$10/28.8/0.947817,""))</f>
        <v/>
      </c>
      <c r="AO34">
        <f t="array" ref="AO34">IF($D5,IFERROR((SUMPRODUCT((economics!$AG$2:$AG$167=$B34)*(economics!$D$2:$D$167="whr")*economics!$AH$2:$AH$167*(_xlfn.NORM.DIST(AO$3,economics!$AK$2:$AK$167,economics!$AJ$2:$AJ$167,TRUE)-_xlfn.NORM.DIST(AO$30,economics!$AK$2:$AK$167,economics!$AJ$2:$AJ$167,TRUE))*economics!$AM$2:$AM$167)+$CR5*(_xlfn.NORM.DIST(AO$3,$CU5,0.3*$CU5,TRUE)-_xlfn.NORM.DIST(AO$30,$CU5,0.3*$CU5,TRUE))*summary!$C$7/28.8/0.947817+$CS5*(_xlfn.NORM.DIST(AO$3,$CV5,0.3*$CV5,TRUE)-_xlfn.NORM.DIST(AO$30,$CV5,0.3*$CV5,TRUE))*summary!$C$6/28.8/0.947817)/(SUMPRODUCT((economics!$AG$2:$AG$167=$B34)*(economics!$D$2:$D$167="whr")*economics!$AH$2:$AH$167*(_xlfn.NORM.DIST(AO$3,economics!$AK$2:$AK$167,economics!$AJ$2:$AJ$167,TRUE)-_xlfn.NORM.DIST(AO$30,economics!$AK$2:$AK$167,economics!$AJ$2:$AJ$167,TRUE)))+$CR5*(_xlfn.NORM.DIST(AO$3,$CU5,0.3*$CU5,TRUE)-_xlfn.NORM.DIST(AO$30,$CU5,0.3*$CU5,TRUE))+$CS5*(_xlfn.NORM.DIST(AO$3,$CV5,0.3*$CV5,TRUE)-_xlfn.NORM.DIST(AO$30,$CV5,0.3*$CV5,TRUE))),""),IF($C5&gt;0,summary!$C$10/28.8/0.947817,""))</f>
        <v/>
      </c>
      <c r="AP34">
        <f t="array" ref="AP34">IF($D5,IFERROR((SUMPRODUCT((economics!$AG$2:$AG$167=$B34)*(economics!$D$2:$D$167="whr")*economics!$AH$2:$AH$167*(_xlfn.NORM.DIST(AP$3,economics!$AK$2:$AK$167,economics!$AJ$2:$AJ$167,TRUE)-_xlfn.NORM.DIST(AP$30,economics!$AK$2:$AK$167,economics!$AJ$2:$AJ$167,TRUE))*economics!$AM$2:$AM$167)+$CR5*(_xlfn.NORM.DIST(AP$3,$CU5,0.3*$CU5,TRUE)-_xlfn.NORM.DIST(AP$30,$CU5,0.3*$CU5,TRUE))*summary!$C$7/28.8/0.947817+$CS5*(_xlfn.NORM.DIST(AP$3,$CV5,0.3*$CV5,TRUE)-_xlfn.NORM.DIST(AP$30,$CV5,0.3*$CV5,TRUE))*summary!$C$6/28.8/0.947817)/(SUMPRODUCT((economics!$AG$2:$AG$167=$B34)*(economics!$D$2:$D$167="whr")*economics!$AH$2:$AH$167*(_xlfn.NORM.DIST(AP$3,economics!$AK$2:$AK$167,economics!$AJ$2:$AJ$167,TRUE)-_xlfn.NORM.DIST(AP$30,economics!$AK$2:$AK$167,economics!$AJ$2:$AJ$167,TRUE)))+$CR5*(_xlfn.NORM.DIST(AP$3,$CU5,0.3*$CU5,TRUE)-_xlfn.NORM.DIST(AP$30,$CU5,0.3*$CU5,TRUE))+$CS5*(_xlfn.NORM.DIST(AP$3,$CV5,0.3*$CV5,TRUE)-_xlfn.NORM.DIST(AP$30,$CV5,0.3*$CV5,TRUE))),""),IF($C5&gt;0,summary!$C$10/28.8/0.947817,""))</f>
        <v/>
      </c>
      <c r="AQ34">
        <f t="array" ref="AQ34">IF($D5,IFERROR((SUMPRODUCT((economics!$AG$2:$AG$167=$B34)*(economics!$D$2:$D$167="whr")*economics!$AH$2:$AH$167*(_xlfn.NORM.DIST(AQ$3,economics!$AK$2:$AK$167,economics!$AJ$2:$AJ$167,TRUE)-_xlfn.NORM.DIST(AQ$30,economics!$AK$2:$AK$167,economics!$AJ$2:$AJ$167,TRUE))*economics!$AM$2:$AM$167)+$CR5*(_xlfn.NORM.DIST(AQ$3,$CU5,0.3*$CU5,TRUE)-_xlfn.NORM.DIST(AQ$30,$CU5,0.3*$CU5,TRUE))*summary!$C$7/28.8/0.947817+$CS5*(_xlfn.NORM.DIST(AQ$3,$CV5,0.3*$CV5,TRUE)-_xlfn.NORM.DIST(AQ$30,$CV5,0.3*$CV5,TRUE))*summary!$C$6/28.8/0.947817)/(SUMPRODUCT((economics!$AG$2:$AG$167=$B34)*(economics!$D$2:$D$167="whr")*economics!$AH$2:$AH$167*(_xlfn.NORM.DIST(AQ$3,economics!$AK$2:$AK$167,economics!$AJ$2:$AJ$167,TRUE)-_xlfn.NORM.DIST(AQ$30,economics!$AK$2:$AK$167,economics!$AJ$2:$AJ$167,TRUE)))+$CR5*(_xlfn.NORM.DIST(AQ$3,$CU5,0.3*$CU5,TRUE)-_xlfn.NORM.DIST(AQ$30,$CU5,0.3*$CU5,TRUE))+$CS5*(_xlfn.NORM.DIST(AQ$3,$CV5,0.3*$CV5,TRUE)-_xlfn.NORM.DIST(AQ$30,$CV5,0.3*$CV5,TRUE))),""),IF($C5&gt;0,summary!$C$10/28.8/0.947817,""))</f>
        <v/>
      </c>
      <c r="AR34">
        <f t="array" ref="AR34">IF($D5,IFERROR((SUMPRODUCT((economics!$AG$2:$AG$167=$B34)*(economics!$D$2:$D$167="whr")*economics!$AH$2:$AH$167*(_xlfn.NORM.DIST(AR$3,economics!$AK$2:$AK$167,economics!$AJ$2:$AJ$167,TRUE)-_xlfn.NORM.DIST(AR$30,economics!$AK$2:$AK$167,economics!$AJ$2:$AJ$167,TRUE))*economics!$AM$2:$AM$167)+$CR5*(_xlfn.NORM.DIST(AR$3,$CU5,0.3*$CU5,TRUE)-_xlfn.NORM.DIST(AR$30,$CU5,0.3*$CU5,TRUE))*summary!$C$7/28.8/0.947817+$CS5*(_xlfn.NORM.DIST(AR$3,$CV5,0.3*$CV5,TRUE)-_xlfn.NORM.DIST(AR$30,$CV5,0.3*$CV5,TRUE))*summary!$C$6/28.8/0.947817)/(SUMPRODUCT((economics!$AG$2:$AG$167=$B34)*(economics!$D$2:$D$167="whr")*economics!$AH$2:$AH$167*(_xlfn.NORM.DIST(AR$3,economics!$AK$2:$AK$167,economics!$AJ$2:$AJ$167,TRUE)-_xlfn.NORM.DIST(AR$30,economics!$AK$2:$AK$167,economics!$AJ$2:$AJ$167,TRUE)))+$CR5*(_xlfn.NORM.DIST(AR$3,$CU5,0.3*$CU5,TRUE)-_xlfn.NORM.DIST(AR$30,$CU5,0.3*$CU5,TRUE))+$CS5*(_xlfn.NORM.DIST(AR$3,$CV5,0.3*$CV5,TRUE)-_xlfn.NORM.DIST(AR$30,$CV5,0.3*$CV5,TRUE))),""),IF($C5&gt;0,summary!$C$10/28.8/0.947817,""))</f>
        <v/>
      </c>
      <c r="AS34">
        <f t="array" ref="AS34">IF($D5,IFERROR((SUMPRODUCT((economics!$AG$2:$AG$167=$B34)*(economics!$D$2:$D$167="whr")*economics!$AH$2:$AH$167*(_xlfn.NORM.DIST(AS$3,economics!$AK$2:$AK$167,economics!$AJ$2:$AJ$167,TRUE)-_xlfn.NORM.DIST(AS$30,economics!$AK$2:$AK$167,economics!$AJ$2:$AJ$167,TRUE))*economics!$AM$2:$AM$167)+$CR5*(_xlfn.NORM.DIST(AS$3,$CU5,0.3*$CU5,TRUE)-_xlfn.NORM.DIST(AS$30,$CU5,0.3*$CU5,TRUE))*summary!$C$7/28.8/0.947817+$CS5*(_xlfn.NORM.DIST(AS$3,$CV5,0.3*$CV5,TRUE)-_xlfn.NORM.DIST(AS$30,$CV5,0.3*$CV5,TRUE))*summary!$C$6/28.8/0.947817)/(SUMPRODUCT((economics!$AG$2:$AG$167=$B34)*(economics!$D$2:$D$167="whr")*economics!$AH$2:$AH$167*(_xlfn.NORM.DIST(AS$3,economics!$AK$2:$AK$167,economics!$AJ$2:$AJ$167,TRUE)-_xlfn.NORM.DIST(AS$30,economics!$AK$2:$AK$167,economics!$AJ$2:$AJ$167,TRUE)))+$CR5*(_xlfn.NORM.DIST(AS$3,$CU5,0.3*$CU5,TRUE)-_xlfn.NORM.DIST(AS$30,$CU5,0.3*$CU5,TRUE))+$CS5*(_xlfn.NORM.DIST(AS$3,$CV5,0.3*$CV5,TRUE)-_xlfn.NORM.DIST(AS$30,$CV5,0.3*$CV5,TRUE))),""),IF($C5&gt;0,summary!$C$10/28.8/0.947817,""))</f>
        <v/>
      </c>
      <c r="AT34">
        <f t="array" ref="AT34">IF($D5,IFERROR((SUMPRODUCT((economics!$AG$2:$AG$167=$B34)*(economics!$D$2:$D$167="whr")*economics!$AH$2:$AH$167*(_xlfn.NORM.DIST(AT$3,economics!$AK$2:$AK$167,economics!$AJ$2:$AJ$167,TRUE)-_xlfn.NORM.DIST(AT$30,economics!$AK$2:$AK$167,economics!$AJ$2:$AJ$167,TRUE))*economics!$AM$2:$AM$167)+$CR5*(_xlfn.NORM.DIST(AT$3,$CU5,0.3*$CU5,TRUE)-_xlfn.NORM.DIST(AT$30,$CU5,0.3*$CU5,TRUE))*summary!$C$7/28.8/0.947817+$CS5*(_xlfn.NORM.DIST(AT$3,$CV5,0.3*$CV5,TRUE)-_xlfn.NORM.DIST(AT$30,$CV5,0.3*$CV5,TRUE))*summary!$C$6/28.8/0.947817)/(SUMPRODUCT((economics!$AG$2:$AG$167=$B34)*(economics!$D$2:$D$167="whr")*economics!$AH$2:$AH$167*(_xlfn.NORM.DIST(AT$3,economics!$AK$2:$AK$167,economics!$AJ$2:$AJ$167,TRUE)-_xlfn.NORM.DIST(AT$30,economics!$AK$2:$AK$167,economics!$AJ$2:$AJ$167,TRUE)))+$CR5*(_xlfn.NORM.DIST(AT$3,$CU5,0.3*$CU5,TRUE)-_xlfn.NORM.DIST(AT$30,$CU5,0.3*$CU5,TRUE))+$CS5*(_xlfn.NORM.DIST(AT$3,$CV5,0.3*$CV5,TRUE)-_xlfn.NORM.DIST(AT$30,$CV5,0.3*$CV5,TRUE))),""),IF($C5&gt;0,summary!$C$10/28.8/0.947817,""))</f>
        <v/>
      </c>
      <c r="AU34">
        <f t="array" ref="AU34">IF($D5,IFERROR((SUMPRODUCT((economics!$AG$2:$AG$167=$B34)*(economics!$D$2:$D$167="whr")*economics!$AH$2:$AH$167*(_xlfn.NORM.DIST(AU$3,economics!$AK$2:$AK$167,economics!$AJ$2:$AJ$167,TRUE)-_xlfn.NORM.DIST(AU$30,economics!$AK$2:$AK$167,economics!$AJ$2:$AJ$167,TRUE))*economics!$AM$2:$AM$167)+$CR5*(_xlfn.NORM.DIST(AU$3,$CU5,0.3*$CU5,TRUE)-_xlfn.NORM.DIST(AU$30,$CU5,0.3*$CU5,TRUE))*summary!$C$7/28.8/0.947817+$CS5*(_xlfn.NORM.DIST(AU$3,$CV5,0.3*$CV5,TRUE)-_xlfn.NORM.DIST(AU$30,$CV5,0.3*$CV5,TRUE))*summary!$C$6/28.8/0.947817)/(SUMPRODUCT((economics!$AG$2:$AG$167=$B34)*(economics!$D$2:$D$167="whr")*economics!$AH$2:$AH$167*(_xlfn.NORM.DIST(AU$3,economics!$AK$2:$AK$167,economics!$AJ$2:$AJ$167,TRUE)-_xlfn.NORM.DIST(AU$30,economics!$AK$2:$AK$167,economics!$AJ$2:$AJ$167,TRUE)))+$CR5*(_xlfn.NORM.DIST(AU$3,$CU5,0.3*$CU5,TRUE)-_xlfn.NORM.DIST(AU$30,$CU5,0.3*$CU5,TRUE))+$CS5*(_xlfn.NORM.DIST(AU$3,$CV5,0.3*$CV5,TRUE)-_xlfn.NORM.DIST(AU$30,$CV5,0.3*$CV5,TRUE))),""),IF($C5&gt;0,summary!$C$10/28.8/0.947817,""))</f>
        <v/>
      </c>
      <c r="AV34">
        <f t="array" ref="AV34">IF($D5,IFERROR((SUMPRODUCT((economics!$AG$2:$AG$167=$B34)*(economics!$D$2:$D$167="whr")*economics!$AH$2:$AH$167*(_xlfn.NORM.DIST(AV$3,economics!$AK$2:$AK$167,economics!$AJ$2:$AJ$167,TRUE)-_xlfn.NORM.DIST(AV$30,economics!$AK$2:$AK$167,economics!$AJ$2:$AJ$167,TRUE))*economics!$AM$2:$AM$167)+$CR5*(_xlfn.NORM.DIST(AV$3,$CU5,0.3*$CU5,TRUE)-_xlfn.NORM.DIST(AV$30,$CU5,0.3*$CU5,TRUE))*summary!$C$7/28.8/0.947817+$CS5*(_xlfn.NORM.DIST(AV$3,$CV5,0.3*$CV5,TRUE)-_xlfn.NORM.DIST(AV$30,$CV5,0.3*$CV5,TRUE))*summary!$C$6/28.8/0.947817)/(SUMPRODUCT((economics!$AG$2:$AG$167=$B34)*(economics!$D$2:$D$167="whr")*economics!$AH$2:$AH$167*(_xlfn.NORM.DIST(AV$3,economics!$AK$2:$AK$167,economics!$AJ$2:$AJ$167,TRUE)-_xlfn.NORM.DIST(AV$30,economics!$AK$2:$AK$167,economics!$AJ$2:$AJ$167,TRUE)))+$CR5*(_xlfn.NORM.DIST(AV$3,$CU5,0.3*$CU5,TRUE)-_xlfn.NORM.DIST(AV$30,$CU5,0.3*$CU5,TRUE))+$CS5*(_xlfn.NORM.DIST(AV$3,$CV5,0.3*$CV5,TRUE)-_xlfn.NORM.DIST(AV$30,$CV5,0.3*$CV5,TRUE))),""),IF($C5&gt;0,summary!$C$10/28.8/0.947817,""))</f>
        <v/>
      </c>
      <c r="AW34">
        <f t="array" ref="AW34">IF($D5,IFERROR((SUMPRODUCT((economics!$AG$2:$AG$167=$B34)*(economics!$D$2:$D$167="whr")*economics!$AH$2:$AH$167*(_xlfn.NORM.DIST(AW$3,economics!$AK$2:$AK$167,economics!$AJ$2:$AJ$167,TRUE)-_xlfn.NORM.DIST(AW$30,economics!$AK$2:$AK$167,economics!$AJ$2:$AJ$167,TRUE))*economics!$AM$2:$AM$167)+$CR5*(_xlfn.NORM.DIST(AW$3,$CU5,0.3*$CU5,TRUE)-_xlfn.NORM.DIST(AW$30,$CU5,0.3*$CU5,TRUE))*summary!$C$7/28.8/0.947817+$CS5*(_xlfn.NORM.DIST(AW$3,$CV5,0.3*$CV5,TRUE)-_xlfn.NORM.DIST(AW$30,$CV5,0.3*$CV5,TRUE))*summary!$C$6/28.8/0.947817)/(SUMPRODUCT((economics!$AG$2:$AG$167=$B34)*(economics!$D$2:$D$167="whr")*economics!$AH$2:$AH$167*(_xlfn.NORM.DIST(AW$3,economics!$AK$2:$AK$167,economics!$AJ$2:$AJ$167,TRUE)-_xlfn.NORM.DIST(AW$30,economics!$AK$2:$AK$167,economics!$AJ$2:$AJ$167,TRUE)))+$CR5*(_xlfn.NORM.DIST(AW$3,$CU5,0.3*$CU5,TRUE)-_xlfn.NORM.DIST(AW$30,$CU5,0.3*$CU5,TRUE))+$CS5*(_xlfn.NORM.DIST(AW$3,$CV5,0.3*$CV5,TRUE)-_xlfn.NORM.DIST(AW$30,$CV5,0.3*$CV5,TRUE))),""),IF($C5&gt;0,summary!$C$10/28.8/0.947817,""))</f>
        <v/>
      </c>
      <c r="AX34">
        <f t="array" ref="AX34">IF($D5,IFERROR((SUMPRODUCT((economics!$AG$2:$AG$167=$B34)*(economics!$D$2:$D$167="whr")*economics!$AH$2:$AH$167*(_xlfn.NORM.DIST(AX$3,economics!$AK$2:$AK$167,economics!$AJ$2:$AJ$167,TRUE)-_xlfn.NORM.DIST(AX$30,economics!$AK$2:$AK$167,economics!$AJ$2:$AJ$167,TRUE))*economics!$AM$2:$AM$167)+$CR5*(_xlfn.NORM.DIST(AX$3,$CU5,0.3*$CU5,TRUE)-_xlfn.NORM.DIST(AX$30,$CU5,0.3*$CU5,TRUE))*summary!$C$7/28.8/0.947817+$CS5*(_xlfn.NORM.DIST(AX$3,$CV5,0.3*$CV5,TRUE)-_xlfn.NORM.DIST(AX$30,$CV5,0.3*$CV5,TRUE))*summary!$C$6/28.8/0.947817)/(SUMPRODUCT((economics!$AG$2:$AG$167=$B34)*(economics!$D$2:$D$167="whr")*economics!$AH$2:$AH$167*(_xlfn.NORM.DIST(AX$3,economics!$AK$2:$AK$167,economics!$AJ$2:$AJ$167,TRUE)-_xlfn.NORM.DIST(AX$30,economics!$AK$2:$AK$167,economics!$AJ$2:$AJ$167,TRUE)))+$CR5*(_xlfn.NORM.DIST(AX$3,$CU5,0.3*$CU5,TRUE)-_xlfn.NORM.DIST(AX$30,$CU5,0.3*$CU5,TRUE))+$CS5*(_xlfn.NORM.DIST(AX$3,$CV5,0.3*$CV5,TRUE)-_xlfn.NORM.DIST(AX$30,$CV5,0.3*$CV5,TRUE))),""),IF($C5&gt;0,summary!$C$10/28.8/0.947817,""))</f>
        <v/>
      </c>
      <c r="AY34">
        <f t="array" ref="AY34">IF($D5,IFERROR((SUMPRODUCT((economics!$AG$2:$AG$167=$B34)*(economics!$D$2:$D$167="whr")*economics!$AH$2:$AH$167*(_xlfn.NORM.DIST(AY$3,economics!$AK$2:$AK$167,economics!$AJ$2:$AJ$167,TRUE)-_xlfn.NORM.DIST(AY$30,economics!$AK$2:$AK$167,economics!$AJ$2:$AJ$167,TRUE))*economics!$AM$2:$AM$167)+$CR5*(_xlfn.NORM.DIST(AY$3,$CU5,0.3*$CU5,TRUE)-_xlfn.NORM.DIST(AY$30,$CU5,0.3*$CU5,TRUE))*summary!$C$7/28.8/0.947817+$CS5*(_xlfn.NORM.DIST(AY$3,$CV5,0.3*$CV5,TRUE)-_xlfn.NORM.DIST(AY$30,$CV5,0.3*$CV5,TRUE))*summary!$C$6/28.8/0.947817)/(SUMPRODUCT((economics!$AG$2:$AG$167=$B34)*(economics!$D$2:$D$167="whr")*economics!$AH$2:$AH$167*(_xlfn.NORM.DIST(AY$3,economics!$AK$2:$AK$167,economics!$AJ$2:$AJ$167,TRUE)-_xlfn.NORM.DIST(AY$30,economics!$AK$2:$AK$167,economics!$AJ$2:$AJ$167,TRUE)))+$CR5*(_xlfn.NORM.DIST(AY$3,$CU5,0.3*$CU5,TRUE)-_xlfn.NORM.DIST(AY$30,$CU5,0.3*$CU5,TRUE))+$CS5*(_xlfn.NORM.DIST(AY$3,$CV5,0.3*$CV5,TRUE)-_xlfn.NORM.DIST(AY$30,$CV5,0.3*$CV5,TRUE))),""),IF($C5&gt;0,summary!$C$10/28.8/0.947817,""))</f>
        <v/>
      </c>
      <c r="AZ34">
        <f t="array" ref="AZ34">IF($D5,IFERROR((SUMPRODUCT((economics!$AG$2:$AG$167=$B34)*(economics!$D$2:$D$167="whr")*economics!$AH$2:$AH$167*(_xlfn.NORM.DIST(AZ$3,economics!$AK$2:$AK$167,economics!$AJ$2:$AJ$167,TRUE)-_xlfn.NORM.DIST(AZ$30,economics!$AK$2:$AK$167,economics!$AJ$2:$AJ$167,TRUE))*economics!$AM$2:$AM$167)+$CR5*(_xlfn.NORM.DIST(AZ$3,$CU5,0.3*$CU5,TRUE)-_xlfn.NORM.DIST(AZ$30,$CU5,0.3*$CU5,TRUE))*summary!$C$7/28.8/0.947817+$CS5*(_xlfn.NORM.DIST(AZ$3,$CV5,0.3*$CV5,TRUE)-_xlfn.NORM.DIST(AZ$30,$CV5,0.3*$CV5,TRUE))*summary!$C$6/28.8/0.947817)/(SUMPRODUCT((economics!$AG$2:$AG$167=$B34)*(economics!$D$2:$D$167="whr")*economics!$AH$2:$AH$167*(_xlfn.NORM.DIST(AZ$3,economics!$AK$2:$AK$167,economics!$AJ$2:$AJ$167,TRUE)-_xlfn.NORM.DIST(AZ$30,economics!$AK$2:$AK$167,economics!$AJ$2:$AJ$167,TRUE)))+$CR5*(_xlfn.NORM.DIST(AZ$3,$CU5,0.3*$CU5,TRUE)-_xlfn.NORM.DIST(AZ$30,$CU5,0.3*$CU5,TRUE))+$CS5*(_xlfn.NORM.DIST(AZ$3,$CV5,0.3*$CV5,TRUE)-_xlfn.NORM.DIST(AZ$30,$CV5,0.3*$CV5,TRUE))),""),IF($C5&gt;0,summary!$C$10/28.8/0.947817,""))</f>
        <v/>
      </c>
      <c r="BA34">
        <f t="array" ref="BA34">IF($D5,IFERROR((SUMPRODUCT((economics!$AG$2:$AG$167=$B34)*(economics!$D$2:$D$167="whr")*economics!$AH$2:$AH$167*(_xlfn.NORM.DIST(BA$3,economics!$AK$2:$AK$167,economics!$AJ$2:$AJ$167,TRUE)-_xlfn.NORM.DIST(BA$30,economics!$AK$2:$AK$167,economics!$AJ$2:$AJ$167,TRUE))*economics!$AM$2:$AM$167)+$CR5*(_xlfn.NORM.DIST(BA$3,$CU5,0.3*$CU5,TRUE)-_xlfn.NORM.DIST(BA$30,$CU5,0.3*$CU5,TRUE))*summary!$C$7/28.8/0.947817+$CS5*(_xlfn.NORM.DIST(BA$3,$CV5,0.3*$CV5,TRUE)-_xlfn.NORM.DIST(BA$30,$CV5,0.3*$CV5,TRUE))*summary!$C$6/28.8/0.947817)/(SUMPRODUCT((economics!$AG$2:$AG$167=$B34)*(economics!$D$2:$D$167="whr")*economics!$AH$2:$AH$167*(_xlfn.NORM.DIST(BA$3,economics!$AK$2:$AK$167,economics!$AJ$2:$AJ$167,TRUE)-_xlfn.NORM.DIST(BA$30,economics!$AK$2:$AK$167,economics!$AJ$2:$AJ$167,TRUE)))+$CR5*(_xlfn.NORM.DIST(BA$3,$CU5,0.3*$CU5,TRUE)-_xlfn.NORM.DIST(BA$30,$CU5,0.3*$CU5,TRUE))+$CS5*(_xlfn.NORM.DIST(BA$3,$CV5,0.3*$CV5,TRUE)-_xlfn.NORM.DIST(BA$30,$CV5,0.3*$CV5,TRUE))),""),IF($C5&gt;0,summary!$C$10/28.8/0.947817,""))</f>
        <v/>
      </c>
      <c r="BB34">
        <f t="array" ref="BB34">IF($D5,IFERROR((SUMPRODUCT((economics!$AG$2:$AG$167=$B34)*(economics!$D$2:$D$167="whr")*economics!$AH$2:$AH$167*(_xlfn.NORM.DIST(BB$3,economics!$AK$2:$AK$167,economics!$AJ$2:$AJ$167,TRUE)-_xlfn.NORM.DIST(BB$30,economics!$AK$2:$AK$167,economics!$AJ$2:$AJ$167,TRUE))*economics!$AM$2:$AM$167)+$CR5*(_xlfn.NORM.DIST(BB$3,$CU5,0.3*$CU5,TRUE)-_xlfn.NORM.DIST(BB$30,$CU5,0.3*$CU5,TRUE))*summary!$C$7/28.8/0.947817+$CS5*(_xlfn.NORM.DIST(BB$3,$CV5,0.3*$CV5,TRUE)-_xlfn.NORM.DIST(BB$30,$CV5,0.3*$CV5,TRUE))*summary!$C$6/28.8/0.947817)/(SUMPRODUCT((economics!$AG$2:$AG$167=$B34)*(economics!$D$2:$D$167="whr")*economics!$AH$2:$AH$167*(_xlfn.NORM.DIST(BB$3,economics!$AK$2:$AK$167,economics!$AJ$2:$AJ$167,TRUE)-_xlfn.NORM.DIST(BB$30,economics!$AK$2:$AK$167,economics!$AJ$2:$AJ$167,TRUE)))+$CR5*(_xlfn.NORM.DIST(BB$3,$CU5,0.3*$CU5,TRUE)-_xlfn.NORM.DIST(BB$30,$CU5,0.3*$CU5,TRUE))+$CS5*(_xlfn.NORM.DIST(BB$3,$CV5,0.3*$CV5,TRUE)-_xlfn.NORM.DIST(BB$30,$CV5,0.3*$CV5,TRUE))),""),IF($C5&gt;0,summary!$C$10/28.8/0.947817,""))</f>
        <v/>
      </c>
      <c r="BC34">
        <f t="array" ref="BC34">IF($D5,IFERROR((SUMPRODUCT((economics!$AG$2:$AG$167=$B34)*(economics!$D$2:$D$167="whr")*economics!$AH$2:$AH$167*(_xlfn.NORM.DIST(BC$3,economics!$AK$2:$AK$167,economics!$AJ$2:$AJ$167,TRUE)-_xlfn.NORM.DIST(BC$30,economics!$AK$2:$AK$167,economics!$AJ$2:$AJ$167,TRUE))*economics!$AM$2:$AM$167)+$CR5*(_xlfn.NORM.DIST(BC$3,$CU5,0.3*$CU5,TRUE)-_xlfn.NORM.DIST(BC$30,$CU5,0.3*$CU5,TRUE))*summary!$C$7/28.8/0.947817+$CS5*(_xlfn.NORM.DIST(BC$3,$CV5,0.3*$CV5,TRUE)-_xlfn.NORM.DIST(BC$30,$CV5,0.3*$CV5,TRUE))*summary!$C$6/28.8/0.947817)/(SUMPRODUCT((economics!$AG$2:$AG$167=$B34)*(economics!$D$2:$D$167="whr")*economics!$AH$2:$AH$167*(_xlfn.NORM.DIST(BC$3,economics!$AK$2:$AK$167,economics!$AJ$2:$AJ$167,TRUE)-_xlfn.NORM.DIST(BC$30,economics!$AK$2:$AK$167,economics!$AJ$2:$AJ$167,TRUE)))+$CR5*(_xlfn.NORM.DIST(BC$3,$CU5,0.3*$CU5,TRUE)-_xlfn.NORM.DIST(BC$30,$CU5,0.3*$CU5,TRUE))+$CS5*(_xlfn.NORM.DIST(BC$3,$CV5,0.3*$CV5,TRUE)-_xlfn.NORM.DIST(BC$30,$CV5,0.3*$CV5,TRUE))),""),IF($C5&gt;0,summary!$C$10/28.8/0.947817,""))</f>
        <v/>
      </c>
      <c r="BD34">
        <f t="array" ref="BD34">IF($D5,IFERROR((SUMPRODUCT((economics!$AG$2:$AG$167=$B34)*(economics!$D$2:$D$167="whr")*economics!$AH$2:$AH$167*(_xlfn.NORM.DIST(BD$3,economics!$AK$2:$AK$167,economics!$AJ$2:$AJ$167,TRUE)-_xlfn.NORM.DIST(BD$30,economics!$AK$2:$AK$167,economics!$AJ$2:$AJ$167,TRUE))*economics!$AM$2:$AM$167)+$CR5*(_xlfn.NORM.DIST(BD$3,$CU5,0.3*$CU5,TRUE)-_xlfn.NORM.DIST(BD$30,$CU5,0.3*$CU5,TRUE))*summary!$C$7/28.8/0.947817+$CS5*(_xlfn.NORM.DIST(BD$3,$CV5,0.3*$CV5,TRUE)-_xlfn.NORM.DIST(BD$30,$CV5,0.3*$CV5,TRUE))*summary!$C$6/28.8/0.947817)/(SUMPRODUCT((economics!$AG$2:$AG$167=$B34)*(economics!$D$2:$D$167="whr")*economics!$AH$2:$AH$167*(_xlfn.NORM.DIST(BD$3,economics!$AK$2:$AK$167,economics!$AJ$2:$AJ$167,TRUE)-_xlfn.NORM.DIST(BD$30,economics!$AK$2:$AK$167,economics!$AJ$2:$AJ$167,TRUE)))+$CR5*(_xlfn.NORM.DIST(BD$3,$CU5,0.3*$CU5,TRUE)-_xlfn.NORM.DIST(BD$30,$CU5,0.3*$CU5,TRUE))+$CS5*(_xlfn.NORM.DIST(BD$3,$CV5,0.3*$CV5,TRUE)-_xlfn.NORM.DIST(BD$30,$CV5,0.3*$CV5,TRUE))),""),IF($C5&gt;0,summary!$C$10/28.8/0.947817,""))</f>
        <v/>
      </c>
      <c r="BE34">
        <f t="array" ref="BE34">IF($D5,IFERROR((SUMPRODUCT((economics!$AG$2:$AG$167=$B34)*(economics!$D$2:$D$167="whr")*economics!$AH$2:$AH$167*(_xlfn.NORM.DIST(BE$3,economics!$AK$2:$AK$167,economics!$AJ$2:$AJ$167,TRUE)-_xlfn.NORM.DIST(BE$30,economics!$AK$2:$AK$167,economics!$AJ$2:$AJ$167,TRUE))*economics!$AM$2:$AM$167)+$CR5*(_xlfn.NORM.DIST(BE$3,$CU5,0.3*$CU5,TRUE)-_xlfn.NORM.DIST(BE$30,$CU5,0.3*$CU5,TRUE))*summary!$C$7/28.8/0.947817+$CS5*(_xlfn.NORM.DIST(BE$3,$CV5,0.3*$CV5,TRUE)-_xlfn.NORM.DIST(BE$30,$CV5,0.3*$CV5,TRUE))*summary!$C$6/28.8/0.947817)/(SUMPRODUCT((economics!$AG$2:$AG$167=$B34)*(economics!$D$2:$D$167="whr")*economics!$AH$2:$AH$167*(_xlfn.NORM.DIST(BE$3,economics!$AK$2:$AK$167,economics!$AJ$2:$AJ$167,TRUE)-_xlfn.NORM.DIST(BE$30,economics!$AK$2:$AK$167,economics!$AJ$2:$AJ$167,TRUE)))+$CR5*(_xlfn.NORM.DIST(BE$3,$CU5,0.3*$CU5,TRUE)-_xlfn.NORM.DIST(BE$30,$CU5,0.3*$CU5,TRUE))+$CS5*(_xlfn.NORM.DIST(BE$3,$CV5,0.3*$CV5,TRUE)-_xlfn.NORM.DIST(BE$30,$CV5,0.3*$CV5,TRUE))),""),IF($C5&gt;0,summary!$C$10/28.8/0.947817,""))</f>
        <v/>
      </c>
      <c r="BF34">
        <f t="array" ref="BF34">IF($D5,IFERROR((SUMPRODUCT((economics!$AG$2:$AG$167=$B34)*(economics!$D$2:$D$167="whr")*economics!$AH$2:$AH$167*(_xlfn.NORM.DIST(BF$3,economics!$AK$2:$AK$167,economics!$AJ$2:$AJ$167,TRUE)-_xlfn.NORM.DIST(BF$30,economics!$AK$2:$AK$167,economics!$AJ$2:$AJ$167,TRUE))*economics!$AM$2:$AM$167)+$CR5*(_xlfn.NORM.DIST(BF$3,$CU5,0.3*$CU5,TRUE)-_xlfn.NORM.DIST(BF$30,$CU5,0.3*$CU5,TRUE))*summary!$C$7/28.8/0.947817+$CS5*(_xlfn.NORM.DIST(BF$3,$CV5,0.3*$CV5,TRUE)-_xlfn.NORM.DIST(BF$30,$CV5,0.3*$CV5,TRUE))*summary!$C$6/28.8/0.947817)/(SUMPRODUCT((economics!$AG$2:$AG$167=$B34)*(economics!$D$2:$D$167="whr")*economics!$AH$2:$AH$167*(_xlfn.NORM.DIST(BF$3,economics!$AK$2:$AK$167,economics!$AJ$2:$AJ$167,TRUE)-_xlfn.NORM.DIST(BF$30,economics!$AK$2:$AK$167,economics!$AJ$2:$AJ$167,TRUE)))+$CR5*(_xlfn.NORM.DIST(BF$3,$CU5,0.3*$CU5,TRUE)-_xlfn.NORM.DIST(BF$30,$CU5,0.3*$CU5,TRUE))+$CS5*(_xlfn.NORM.DIST(BF$3,$CV5,0.3*$CV5,TRUE)-_xlfn.NORM.DIST(BF$30,$CV5,0.3*$CV5,TRUE))),""),IF($C5&gt;0,summary!$C$10/28.8/0.947817,""))</f>
        <v/>
      </c>
      <c r="BG34">
        <f t="array" ref="BG34">IF($D5,IFERROR((SUMPRODUCT((economics!$AG$2:$AG$167=$B34)*(economics!$D$2:$D$167="whr")*economics!$AH$2:$AH$167*(_xlfn.NORM.DIST(BG$3,economics!$AK$2:$AK$167,economics!$AJ$2:$AJ$167,TRUE)-_xlfn.NORM.DIST(BG$30,economics!$AK$2:$AK$167,economics!$AJ$2:$AJ$167,TRUE))*economics!$AM$2:$AM$167)+$CR5*(_xlfn.NORM.DIST(BG$3,$CU5,0.3*$CU5,TRUE)-_xlfn.NORM.DIST(BG$30,$CU5,0.3*$CU5,TRUE))*summary!$C$7/28.8/0.947817+$CS5*(_xlfn.NORM.DIST(BG$3,$CV5,0.3*$CV5,TRUE)-_xlfn.NORM.DIST(BG$30,$CV5,0.3*$CV5,TRUE))*summary!$C$6/28.8/0.947817)/(SUMPRODUCT((economics!$AG$2:$AG$167=$B34)*(economics!$D$2:$D$167="whr")*economics!$AH$2:$AH$167*(_xlfn.NORM.DIST(BG$3,economics!$AK$2:$AK$167,economics!$AJ$2:$AJ$167,TRUE)-_xlfn.NORM.DIST(BG$30,economics!$AK$2:$AK$167,economics!$AJ$2:$AJ$167,TRUE)))+$CR5*(_xlfn.NORM.DIST(BG$3,$CU5,0.3*$CU5,TRUE)-_xlfn.NORM.DIST(BG$30,$CU5,0.3*$CU5,TRUE))+$CS5*(_xlfn.NORM.DIST(BG$3,$CV5,0.3*$CV5,TRUE)-_xlfn.NORM.DIST(BG$30,$CV5,0.3*$CV5,TRUE))),""),IF($C5&gt;0,summary!$C$10/28.8/0.947817,""))</f>
        <v/>
      </c>
      <c r="BH34">
        <f t="array" ref="BH34">IF($D5,IFERROR((SUMPRODUCT((economics!$AG$2:$AG$167=$B34)*(economics!$D$2:$D$167="whr")*economics!$AH$2:$AH$167*(_xlfn.NORM.DIST(BH$3,economics!$AK$2:$AK$167,economics!$AJ$2:$AJ$167,TRUE)-_xlfn.NORM.DIST(BH$30,economics!$AK$2:$AK$167,economics!$AJ$2:$AJ$167,TRUE))*economics!$AM$2:$AM$167)+$CR5*(_xlfn.NORM.DIST(BH$3,$CU5,0.3*$CU5,TRUE)-_xlfn.NORM.DIST(BH$30,$CU5,0.3*$CU5,TRUE))*summary!$C$7/28.8/0.947817+$CS5*(_xlfn.NORM.DIST(BH$3,$CV5,0.3*$CV5,TRUE)-_xlfn.NORM.DIST(BH$30,$CV5,0.3*$CV5,TRUE))*summary!$C$6/28.8/0.947817)/(SUMPRODUCT((economics!$AG$2:$AG$167=$B34)*(economics!$D$2:$D$167="whr")*economics!$AH$2:$AH$167*(_xlfn.NORM.DIST(BH$3,economics!$AK$2:$AK$167,economics!$AJ$2:$AJ$167,TRUE)-_xlfn.NORM.DIST(BH$30,economics!$AK$2:$AK$167,economics!$AJ$2:$AJ$167,TRUE)))+$CR5*(_xlfn.NORM.DIST(BH$3,$CU5,0.3*$CU5,TRUE)-_xlfn.NORM.DIST(BH$30,$CU5,0.3*$CU5,TRUE))+$CS5*(_xlfn.NORM.DIST(BH$3,$CV5,0.3*$CV5,TRUE)-_xlfn.NORM.DIST(BH$30,$CV5,0.3*$CV5,TRUE))),""),IF($C5&gt;0,summary!$C$10/28.8/0.947817,""))</f>
        <v/>
      </c>
      <c r="BI34">
        <f t="array" ref="BI34">IF($D5,IFERROR((SUMPRODUCT((economics!$AG$2:$AG$167=$B34)*(economics!$D$2:$D$167="whr")*economics!$AH$2:$AH$167*(_xlfn.NORM.DIST(BI$3,economics!$AK$2:$AK$167,economics!$AJ$2:$AJ$167,TRUE)-_xlfn.NORM.DIST(BI$30,economics!$AK$2:$AK$167,economics!$AJ$2:$AJ$167,TRUE))*economics!$AM$2:$AM$167)+$CR5*(_xlfn.NORM.DIST(BI$3,$CU5,0.3*$CU5,TRUE)-_xlfn.NORM.DIST(BI$30,$CU5,0.3*$CU5,TRUE))*summary!$C$7/28.8/0.947817+$CS5*(_xlfn.NORM.DIST(BI$3,$CV5,0.3*$CV5,TRUE)-_xlfn.NORM.DIST(BI$30,$CV5,0.3*$CV5,TRUE))*summary!$C$6/28.8/0.947817)/(SUMPRODUCT((economics!$AG$2:$AG$167=$B34)*(economics!$D$2:$D$167="whr")*economics!$AH$2:$AH$167*(_xlfn.NORM.DIST(BI$3,economics!$AK$2:$AK$167,economics!$AJ$2:$AJ$167,TRUE)-_xlfn.NORM.DIST(BI$30,economics!$AK$2:$AK$167,economics!$AJ$2:$AJ$167,TRUE)))+$CR5*(_xlfn.NORM.DIST(BI$3,$CU5,0.3*$CU5,TRUE)-_xlfn.NORM.DIST(BI$30,$CU5,0.3*$CU5,TRUE))+$CS5*(_xlfn.NORM.DIST(BI$3,$CV5,0.3*$CV5,TRUE)-_xlfn.NORM.DIST(BI$30,$CV5,0.3*$CV5,TRUE))),""),IF($C5&gt;0,summary!$C$10/28.8/0.947817,""))</f>
        <v/>
      </c>
      <c r="BJ34">
        <f t="array" ref="BJ34">IF($D5,IFERROR((SUMPRODUCT((economics!$AG$2:$AG$167=$B34)*(economics!$D$2:$D$167="whr")*economics!$AH$2:$AH$167*(_xlfn.NORM.DIST(BJ$3,economics!$AK$2:$AK$167,economics!$AJ$2:$AJ$167,TRUE)-_xlfn.NORM.DIST(BJ$30,economics!$AK$2:$AK$167,economics!$AJ$2:$AJ$167,TRUE))*economics!$AM$2:$AM$167)+$CR5*(_xlfn.NORM.DIST(BJ$3,$CU5,0.3*$CU5,TRUE)-_xlfn.NORM.DIST(BJ$30,$CU5,0.3*$CU5,TRUE))*summary!$C$7/28.8/0.947817+$CS5*(_xlfn.NORM.DIST(BJ$3,$CV5,0.3*$CV5,TRUE)-_xlfn.NORM.DIST(BJ$30,$CV5,0.3*$CV5,TRUE))*summary!$C$6/28.8/0.947817)/(SUMPRODUCT((economics!$AG$2:$AG$167=$B34)*(economics!$D$2:$D$167="whr")*economics!$AH$2:$AH$167*(_xlfn.NORM.DIST(BJ$3,economics!$AK$2:$AK$167,economics!$AJ$2:$AJ$167,TRUE)-_xlfn.NORM.DIST(BJ$30,economics!$AK$2:$AK$167,economics!$AJ$2:$AJ$167,TRUE)))+$CR5*(_xlfn.NORM.DIST(BJ$3,$CU5,0.3*$CU5,TRUE)-_xlfn.NORM.DIST(BJ$30,$CU5,0.3*$CU5,TRUE))+$CS5*(_xlfn.NORM.DIST(BJ$3,$CV5,0.3*$CV5,TRUE)-_xlfn.NORM.DIST(BJ$30,$CV5,0.3*$CV5,TRUE))),""),IF($C5&gt;0,summary!$C$10/28.8/0.947817,""))</f>
        <v/>
      </c>
      <c r="BK34">
        <f t="array" ref="BK34">IF($D5,IFERROR((SUMPRODUCT((economics!$AG$2:$AG$167=$B34)*(economics!$D$2:$D$167="whr")*economics!$AH$2:$AH$167*(_xlfn.NORM.DIST(BK$3,economics!$AK$2:$AK$167,economics!$AJ$2:$AJ$167,TRUE)-_xlfn.NORM.DIST(BK$30,economics!$AK$2:$AK$167,economics!$AJ$2:$AJ$167,TRUE))*economics!$AM$2:$AM$167)+$CR5*(_xlfn.NORM.DIST(BK$3,$CU5,0.3*$CU5,TRUE)-_xlfn.NORM.DIST(BK$30,$CU5,0.3*$CU5,TRUE))*summary!$C$7/28.8/0.947817+$CS5*(_xlfn.NORM.DIST(BK$3,$CV5,0.3*$CV5,TRUE)-_xlfn.NORM.DIST(BK$30,$CV5,0.3*$CV5,TRUE))*summary!$C$6/28.8/0.947817)/(SUMPRODUCT((economics!$AG$2:$AG$167=$B34)*(economics!$D$2:$D$167="whr")*economics!$AH$2:$AH$167*(_xlfn.NORM.DIST(BK$3,economics!$AK$2:$AK$167,economics!$AJ$2:$AJ$167,TRUE)-_xlfn.NORM.DIST(BK$30,economics!$AK$2:$AK$167,economics!$AJ$2:$AJ$167,TRUE)))+$CR5*(_xlfn.NORM.DIST(BK$3,$CU5,0.3*$CU5,TRUE)-_xlfn.NORM.DIST(BK$30,$CU5,0.3*$CU5,TRUE))+$CS5*(_xlfn.NORM.DIST(BK$3,$CV5,0.3*$CV5,TRUE)-_xlfn.NORM.DIST(BK$30,$CV5,0.3*$CV5,TRUE))),""),IF($C5&gt;0,summary!$C$10/28.8/0.947817,""))</f>
        <v/>
      </c>
      <c r="BL34">
        <f t="array" ref="BL34">IF($D5,IFERROR((SUMPRODUCT((economics!$AG$2:$AG$167=$B34)*(economics!$D$2:$D$167="whr")*economics!$AH$2:$AH$167*(_xlfn.NORM.DIST(BL$3,economics!$AK$2:$AK$167,economics!$AJ$2:$AJ$167,TRUE)-_xlfn.NORM.DIST(BL$30,economics!$AK$2:$AK$167,economics!$AJ$2:$AJ$167,TRUE))*economics!$AM$2:$AM$167)+$CR5*(_xlfn.NORM.DIST(BL$3,$CU5,0.3*$CU5,TRUE)-_xlfn.NORM.DIST(BL$30,$CU5,0.3*$CU5,TRUE))*summary!$C$7/28.8/0.947817+$CS5*(_xlfn.NORM.DIST(BL$3,$CV5,0.3*$CV5,TRUE)-_xlfn.NORM.DIST(BL$30,$CV5,0.3*$CV5,TRUE))*summary!$C$6/28.8/0.947817)/(SUMPRODUCT((economics!$AG$2:$AG$167=$B34)*(economics!$D$2:$D$167="whr")*economics!$AH$2:$AH$167*(_xlfn.NORM.DIST(BL$3,economics!$AK$2:$AK$167,economics!$AJ$2:$AJ$167,TRUE)-_xlfn.NORM.DIST(BL$30,economics!$AK$2:$AK$167,economics!$AJ$2:$AJ$167,TRUE)))+$CR5*(_xlfn.NORM.DIST(BL$3,$CU5,0.3*$CU5,TRUE)-_xlfn.NORM.DIST(BL$30,$CU5,0.3*$CU5,TRUE))+$CS5*(_xlfn.NORM.DIST(BL$3,$CV5,0.3*$CV5,TRUE)-_xlfn.NORM.DIST(BL$30,$CV5,0.3*$CV5,TRUE))),""),IF($C5&gt;0,summary!$C$10/28.8/0.947817,""))</f>
        <v/>
      </c>
      <c r="BM34">
        <f t="array" ref="BM34">IF($D5,IFERROR((SUMPRODUCT((economics!$AG$2:$AG$167=$B34)*(economics!$D$2:$D$167="whr")*economics!$AH$2:$AH$167*(_xlfn.NORM.DIST(BM$3,economics!$AK$2:$AK$167,economics!$AJ$2:$AJ$167,TRUE)-_xlfn.NORM.DIST(BM$30,economics!$AK$2:$AK$167,economics!$AJ$2:$AJ$167,TRUE))*economics!$AM$2:$AM$167)+$CR5*(_xlfn.NORM.DIST(BM$3,$CU5,0.3*$CU5,TRUE)-_xlfn.NORM.DIST(BM$30,$CU5,0.3*$CU5,TRUE))*summary!$C$7/28.8/0.947817+$CS5*(_xlfn.NORM.DIST(BM$3,$CV5,0.3*$CV5,TRUE)-_xlfn.NORM.DIST(BM$30,$CV5,0.3*$CV5,TRUE))*summary!$C$6/28.8/0.947817)/(SUMPRODUCT((economics!$AG$2:$AG$167=$B34)*(economics!$D$2:$D$167="whr")*economics!$AH$2:$AH$167*(_xlfn.NORM.DIST(BM$3,economics!$AK$2:$AK$167,economics!$AJ$2:$AJ$167,TRUE)-_xlfn.NORM.DIST(BM$30,economics!$AK$2:$AK$167,economics!$AJ$2:$AJ$167,TRUE)))+$CR5*(_xlfn.NORM.DIST(BM$3,$CU5,0.3*$CU5,TRUE)-_xlfn.NORM.DIST(BM$30,$CU5,0.3*$CU5,TRUE))+$CS5*(_xlfn.NORM.DIST(BM$3,$CV5,0.3*$CV5,TRUE)-_xlfn.NORM.DIST(BM$30,$CV5,0.3*$CV5,TRUE))),""),IF($C5&gt;0,summary!$C$10/28.8/0.947817,""))</f>
        <v/>
      </c>
      <c r="BN34">
        <f t="array" ref="BN34">IF($D5,IFERROR((SUMPRODUCT((economics!$AG$2:$AG$167=$B34)*(economics!$D$2:$D$167="whr")*economics!$AH$2:$AH$167*(_xlfn.NORM.DIST(BN$3,economics!$AK$2:$AK$167,economics!$AJ$2:$AJ$167,TRUE)-_xlfn.NORM.DIST(BN$30,economics!$AK$2:$AK$167,economics!$AJ$2:$AJ$167,TRUE))*economics!$AM$2:$AM$167)+$CR5*(_xlfn.NORM.DIST(BN$3,$CU5,0.3*$CU5,TRUE)-_xlfn.NORM.DIST(BN$30,$CU5,0.3*$CU5,TRUE))*summary!$C$7/28.8/0.947817+$CS5*(_xlfn.NORM.DIST(BN$3,$CV5,0.3*$CV5,TRUE)-_xlfn.NORM.DIST(BN$30,$CV5,0.3*$CV5,TRUE))*summary!$C$6/28.8/0.947817)/(SUMPRODUCT((economics!$AG$2:$AG$167=$B34)*(economics!$D$2:$D$167="whr")*economics!$AH$2:$AH$167*(_xlfn.NORM.DIST(BN$3,economics!$AK$2:$AK$167,economics!$AJ$2:$AJ$167,TRUE)-_xlfn.NORM.DIST(BN$30,economics!$AK$2:$AK$167,economics!$AJ$2:$AJ$167,TRUE)))+$CR5*(_xlfn.NORM.DIST(BN$3,$CU5,0.3*$CU5,TRUE)-_xlfn.NORM.DIST(BN$30,$CU5,0.3*$CU5,TRUE))+$CS5*(_xlfn.NORM.DIST(BN$3,$CV5,0.3*$CV5,TRUE)-_xlfn.NORM.DIST(BN$30,$CV5,0.3*$CV5,TRUE))),""),IF($C5&gt;0,summary!$C$10/28.8/0.947817,""))</f>
        <v/>
      </c>
      <c r="BO34">
        <f t="array" ref="BO34">IF($D5,IFERROR((SUMPRODUCT((economics!$AG$2:$AG$167=$B34)*(economics!$D$2:$D$167="whr")*economics!$AH$2:$AH$167*(_xlfn.NORM.DIST(BO$3,economics!$AK$2:$AK$167,economics!$AJ$2:$AJ$167,TRUE)-_xlfn.NORM.DIST(BO$30,economics!$AK$2:$AK$167,economics!$AJ$2:$AJ$167,TRUE))*economics!$AM$2:$AM$167)+$CR5*(_xlfn.NORM.DIST(BO$3,$CU5,0.3*$CU5,TRUE)-_xlfn.NORM.DIST(BO$30,$CU5,0.3*$CU5,TRUE))*summary!$C$7/28.8/0.947817+$CS5*(_xlfn.NORM.DIST(BO$3,$CV5,0.3*$CV5,TRUE)-_xlfn.NORM.DIST(BO$30,$CV5,0.3*$CV5,TRUE))*summary!$C$6/28.8/0.947817)/(SUMPRODUCT((economics!$AG$2:$AG$167=$B34)*(economics!$D$2:$D$167="whr")*economics!$AH$2:$AH$167*(_xlfn.NORM.DIST(BO$3,economics!$AK$2:$AK$167,economics!$AJ$2:$AJ$167,TRUE)-_xlfn.NORM.DIST(BO$30,economics!$AK$2:$AK$167,economics!$AJ$2:$AJ$167,TRUE)))+$CR5*(_xlfn.NORM.DIST(BO$3,$CU5,0.3*$CU5,TRUE)-_xlfn.NORM.DIST(BO$30,$CU5,0.3*$CU5,TRUE))+$CS5*(_xlfn.NORM.DIST(BO$3,$CV5,0.3*$CV5,TRUE)-_xlfn.NORM.DIST(BO$30,$CV5,0.3*$CV5,TRUE))),""),IF($C5&gt;0,summary!$C$10/28.8/0.947817,""))</f>
        <v/>
      </c>
      <c r="BP34">
        <f t="array" ref="BP34">IF($D5,IFERROR((SUMPRODUCT((economics!$AG$2:$AG$167=$B34)*(economics!$D$2:$D$167="whr")*economics!$AH$2:$AH$167*(_xlfn.NORM.DIST(BP$3,economics!$AK$2:$AK$167,economics!$AJ$2:$AJ$167,TRUE)-_xlfn.NORM.DIST(BP$30,economics!$AK$2:$AK$167,economics!$AJ$2:$AJ$167,TRUE))*economics!$AM$2:$AM$167)+$CR5*(_xlfn.NORM.DIST(BP$3,$CU5,0.3*$CU5,TRUE)-_xlfn.NORM.DIST(BP$30,$CU5,0.3*$CU5,TRUE))*summary!$C$7/28.8/0.947817+$CS5*(_xlfn.NORM.DIST(BP$3,$CV5,0.3*$CV5,TRUE)-_xlfn.NORM.DIST(BP$30,$CV5,0.3*$CV5,TRUE))*summary!$C$6/28.8/0.947817)/(SUMPRODUCT((economics!$AG$2:$AG$167=$B34)*(economics!$D$2:$D$167="whr")*economics!$AH$2:$AH$167*(_xlfn.NORM.DIST(BP$3,economics!$AK$2:$AK$167,economics!$AJ$2:$AJ$167,TRUE)-_xlfn.NORM.DIST(BP$30,economics!$AK$2:$AK$167,economics!$AJ$2:$AJ$167,TRUE)))+$CR5*(_xlfn.NORM.DIST(BP$3,$CU5,0.3*$CU5,TRUE)-_xlfn.NORM.DIST(BP$30,$CU5,0.3*$CU5,TRUE))+$CS5*(_xlfn.NORM.DIST(BP$3,$CV5,0.3*$CV5,TRUE)-_xlfn.NORM.DIST(BP$30,$CV5,0.3*$CV5,TRUE))),""),IF($C5&gt;0,summary!$C$10/28.8/0.947817,""))</f>
        <v/>
      </c>
      <c r="BQ34">
        <f t="array" ref="BQ34">IF($D5,IFERROR((SUMPRODUCT((economics!$AG$2:$AG$167=$B34)*(economics!$D$2:$D$167="whr")*economics!$AH$2:$AH$167*(_xlfn.NORM.DIST(BQ$3,economics!$AK$2:$AK$167,economics!$AJ$2:$AJ$167,TRUE)-_xlfn.NORM.DIST(BQ$30,economics!$AK$2:$AK$167,economics!$AJ$2:$AJ$167,TRUE))*economics!$AM$2:$AM$167)+$CR5*(_xlfn.NORM.DIST(BQ$3,$CU5,0.3*$CU5,TRUE)-_xlfn.NORM.DIST(BQ$30,$CU5,0.3*$CU5,TRUE))*summary!$C$7/28.8/0.947817+$CS5*(_xlfn.NORM.DIST(BQ$3,$CV5,0.3*$CV5,TRUE)-_xlfn.NORM.DIST(BQ$30,$CV5,0.3*$CV5,TRUE))*summary!$C$6/28.8/0.947817)/(SUMPRODUCT((economics!$AG$2:$AG$167=$B34)*(economics!$D$2:$D$167="whr")*economics!$AH$2:$AH$167*(_xlfn.NORM.DIST(BQ$3,economics!$AK$2:$AK$167,economics!$AJ$2:$AJ$167,TRUE)-_xlfn.NORM.DIST(BQ$30,economics!$AK$2:$AK$167,economics!$AJ$2:$AJ$167,TRUE)))+$CR5*(_xlfn.NORM.DIST(BQ$3,$CU5,0.3*$CU5,TRUE)-_xlfn.NORM.DIST(BQ$30,$CU5,0.3*$CU5,TRUE))+$CS5*(_xlfn.NORM.DIST(BQ$3,$CV5,0.3*$CV5,TRUE)-_xlfn.NORM.DIST(BQ$30,$CV5,0.3*$CV5,TRUE))),""),IF($C5&gt;0,summary!$C$10/28.8/0.947817,""))</f>
        <v/>
      </c>
      <c r="BR34">
        <f t="array" ref="BR34">IF($D5,IFERROR((SUMPRODUCT((economics!$AG$2:$AG$167=$B34)*(economics!$D$2:$D$167="whr")*economics!$AH$2:$AH$167*(_xlfn.NORM.DIST(BR$3,economics!$AK$2:$AK$167,economics!$AJ$2:$AJ$167,TRUE)-_xlfn.NORM.DIST(BR$30,economics!$AK$2:$AK$167,economics!$AJ$2:$AJ$167,TRUE))*economics!$AM$2:$AM$167)+$CR5*(_xlfn.NORM.DIST(BR$3,$CU5,0.3*$CU5,TRUE)-_xlfn.NORM.DIST(BR$30,$CU5,0.3*$CU5,TRUE))*summary!$C$7/28.8/0.947817+$CS5*(_xlfn.NORM.DIST(BR$3,$CV5,0.3*$CV5,TRUE)-_xlfn.NORM.DIST(BR$30,$CV5,0.3*$CV5,TRUE))*summary!$C$6/28.8/0.947817)/(SUMPRODUCT((economics!$AG$2:$AG$167=$B34)*(economics!$D$2:$D$167="whr")*economics!$AH$2:$AH$167*(_xlfn.NORM.DIST(BR$3,economics!$AK$2:$AK$167,economics!$AJ$2:$AJ$167,TRUE)-_xlfn.NORM.DIST(BR$30,economics!$AK$2:$AK$167,economics!$AJ$2:$AJ$167,TRUE)))+$CR5*(_xlfn.NORM.DIST(BR$3,$CU5,0.3*$CU5,TRUE)-_xlfn.NORM.DIST(BR$30,$CU5,0.3*$CU5,TRUE))+$CS5*(_xlfn.NORM.DIST(BR$3,$CV5,0.3*$CV5,TRUE)-_xlfn.NORM.DIST(BR$30,$CV5,0.3*$CV5,TRUE))),""),IF($C5&gt;0,summary!$C$10/28.8/0.947817,""))</f>
        <v/>
      </c>
      <c r="BS34">
        <f t="array" ref="BS34">IF($D5,IFERROR((SUMPRODUCT((economics!$AG$2:$AG$167=$B34)*(economics!$D$2:$D$167="whr")*economics!$AH$2:$AH$167*(_xlfn.NORM.DIST(BS$3,economics!$AK$2:$AK$167,economics!$AJ$2:$AJ$167,TRUE)-_xlfn.NORM.DIST(BS$30,economics!$AK$2:$AK$167,economics!$AJ$2:$AJ$167,TRUE))*economics!$AM$2:$AM$167)+$CR5*(_xlfn.NORM.DIST(BS$3,$CU5,0.3*$CU5,TRUE)-_xlfn.NORM.DIST(BS$30,$CU5,0.3*$CU5,TRUE))*summary!$C$7/28.8/0.947817+$CS5*(_xlfn.NORM.DIST(BS$3,$CV5,0.3*$CV5,TRUE)-_xlfn.NORM.DIST(BS$30,$CV5,0.3*$CV5,TRUE))*summary!$C$6/28.8/0.947817)/(SUMPRODUCT((economics!$AG$2:$AG$167=$B34)*(economics!$D$2:$D$167="whr")*economics!$AH$2:$AH$167*(_xlfn.NORM.DIST(BS$3,economics!$AK$2:$AK$167,economics!$AJ$2:$AJ$167,TRUE)-_xlfn.NORM.DIST(BS$30,economics!$AK$2:$AK$167,economics!$AJ$2:$AJ$167,TRUE)))+$CR5*(_xlfn.NORM.DIST(BS$3,$CU5,0.3*$CU5,TRUE)-_xlfn.NORM.DIST(BS$30,$CU5,0.3*$CU5,TRUE))+$CS5*(_xlfn.NORM.DIST(BS$3,$CV5,0.3*$CV5,TRUE)-_xlfn.NORM.DIST(BS$30,$CV5,0.3*$CV5,TRUE))),""),IF($C5&gt;0,summary!$C$10/28.8/0.947817,""))</f>
        <v/>
      </c>
      <c r="BT34">
        <f t="array" ref="BT34">IF($D5,IFERROR((SUMPRODUCT((economics!$AG$2:$AG$167=$B34)*(economics!$D$2:$D$167="whr")*economics!$AH$2:$AH$167*(_xlfn.NORM.DIST(BT$3,economics!$AK$2:$AK$167,economics!$AJ$2:$AJ$167,TRUE)-_xlfn.NORM.DIST(BT$30,economics!$AK$2:$AK$167,economics!$AJ$2:$AJ$167,TRUE))*economics!$AM$2:$AM$167)+$CR5*(_xlfn.NORM.DIST(BT$3,$CU5,0.3*$CU5,TRUE)-_xlfn.NORM.DIST(BT$30,$CU5,0.3*$CU5,TRUE))*summary!$C$7/28.8/0.947817+$CS5*(_xlfn.NORM.DIST(BT$3,$CV5,0.3*$CV5,TRUE)-_xlfn.NORM.DIST(BT$30,$CV5,0.3*$CV5,TRUE))*summary!$C$6/28.8/0.947817)/(SUMPRODUCT((economics!$AG$2:$AG$167=$B34)*(economics!$D$2:$D$167="whr")*economics!$AH$2:$AH$167*(_xlfn.NORM.DIST(BT$3,economics!$AK$2:$AK$167,economics!$AJ$2:$AJ$167,TRUE)-_xlfn.NORM.DIST(BT$30,economics!$AK$2:$AK$167,economics!$AJ$2:$AJ$167,TRUE)))+$CR5*(_xlfn.NORM.DIST(BT$3,$CU5,0.3*$CU5,TRUE)-_xlfn.NORM.DIST(BT$30,$CU5,0.3*$CU5,TRUE))+$CS5*(_xlfn.NORM.DIST(BT$3,$CV5,0.3*$CV5,TRUE)-_xlfn.NORM.DIST(BT$30,$CV5,0.3*$CV5,TRUE))),""),IF($C5&gt;0,summary!$C$10/28.8/0.947817,""))</f>
        <v/>
      </c>
      <c r="BU34">
        <f t="array" ref="BU34">IF($D5,IFERROR((SUMPRODUCT((economics!$AG$2:$AG$167=$B34)*(economics!$D$2:$D$167="whr")*economics!$AH$2:$AH$167*(_xlfn.NORM.DIST(BU$3,economics!$AK$2:$AK$167,economics!$AJ$2:$AJ$167,TRUE)-_xlfn.NORM.DIST(BU$30,economics!$AK$2:$AK$167,economics!$AJ$2:$AJ$167,TRUE))*economics!$AM$2:$AM$167)+$CR5*(_xlfn.NORM.DIST(BU$3,$CU5,0.3*$CU5,TRUE)-_xlfn.NORM.DIST(BU$30,$CU5,0.3*$CU5,TRUE))*summary!$C$7/28.8/0.947817+$CS5*(_xlfn.NORM.DIST(BU$3,$CV5,0.3*$CV5,TRUE)-_xlfn.NORM.DIST(BU$30,$CV5,0.3*$CV5,TRUE))*summary!$C$6/28.8/0.947817)/(SUMPRODUCT((economics!$AG$2:$AG$167=$B34)*(economics!$D$2:$D$167="whr")*economics!$AH$2:$AH$167*(_xlfn.NORM.DIST(BU$3,economics!$AK$2:$AK$167,economics!$AJ$2:$AJ$167,TRUE)-_xlfn.NORM.DIST(BU$30,economics!$AK$2:$AK$167,economics!$AJ$2:$AJ$167,TRUE)))+$CR5*(_xlfn.NORM.DIST(BU$3,$CU5,0.3*$CU5,TRUE)-_xlfn.NORM.DIST(BU$30,$CU5,0.3*$CU5,TRUE))+$CS5*(_xlfn.NORM.DIST(BU$3,$CV5,0.3*$CV5,TRUE)-_xlfn.NORM.DIST(BU$30,$CV5,0.3*$CV5,TRUE))),""),IF($C5&gt;0,summary!$C$10/28.8/0.947817,""))</f>
        <v/>
      </c>
      <c r="BV34">
        <f t="array" ref="BV34">IF($D5,IFERROR((SUMPRODUCT((economics!$AG$2:$AG$167=$B34)*(economics!$D$2:$D$167="whr")*economics!$AH$2:$AH$167*(_xlfn.NORM.DIST(BV$3,economics!$AK$2:$AK$167,economics!$AJ$2:$AJ$167,TRUE)-_xlfn.NORM.DIST(BV$30,economics!$AK$2:$AK$167,economics!$AJ$2:$AJ$167,TRUE))*economics!$AM$2:$AM$167)+$CR5*(_xlfn.NORM.DIST(BV$3,$CU5,0.3*$CU5,TRUE)-_xlfn.NORM.DIST(BV$30,$CU5,0.3*$CU5,TRUE))*summary!$C$7/28.8/0.947817+$CS5*(_xlfn.NORM.DIST(BV$3,$CV5,0.3*$CV5,TRUE)-_xlfn.NORM.DIST(BV$30,$CV5,0.3*$CV5,TRUE))*summary!$C$6/28.8/0.947817)/(SUMPRODUCT((economics!$AG$2:$AG$167=$B34)*(economics!$D$2:$D$167="whr")*economics!$AH$2:$AH$167*(_xlfn.NORM.DIST(BV$3,economics!$AK$2:$AK$167,economics!$AJ$2:$AJ$167,TRUE)-_xlfn.NORM.DIST(BV$30,economics!$AK$2:$AK$167,economics!$AJ$2:$AJ$167,TRUE)))+$CR5*(_xlfn.NORM.DIST(BV$3,$CU5,0.3*$CU5,TRUE)-_xlfn.NORM.DIST(BV$30,$CU5,0.3*$CU5,TRUE))+$CS5*(_xlfn.NORM.DIST(BV$3,$CV5,0.3*$CV5,TRUE)-_xlfn.NORM.DIST(BV$30,$CV5,0.3*$CV5,TRUE))),""),IF($C5&gt;0,summary!$C$10/28.8/0.947817,""))</f>
        <v/>
      </c>
      <c r="BW34">
        <f t="array" ref="BW34">IF($D5,IFERROR((SUMPRODUCT((economics!$AG$2:$AG$167=$B34)*(economics!$D$2:$D$167="whr")*economics!$AH$2:$AH$167*(_xlfn.NORM.DIST(BW$3,economics!$AK$2:$AK$167,economics!$AJ$2:$AJ$167,TRUE)-_xlfn.NORM.DIST(BW$30,economics!$AK$2:$AK$167,economics!$AJ$2:$AJ$167,TRUE))*economics!$AM$2:$AM$167)+$CR5*(_xlfn.NORM.DIST(BW$3,$CU5,0.3*$CU5,TRUE)-_xlfn.NORM.DIST(BW$30,$CU5,0.3*$CU5,TRUE))*summary!$C$7/28.8/0.947817+$CS5*(_xlfn.NORM.DIST(BW$3,$CV5,0.3*$CV5,TRUE)-_xlfn.NORM.DIST(BW$30,$CV5,0.3*$CV5,TRUE))*summary!$C$6/28.8/0.947817)/(SUMPRODUCT((economics!$AG$2:$AG$167=$B34)*(economics!$D$2:$D$167="whr")*economics!$AH$2:$AH$167*(_xlfn.NORM.DIST(BW$3,economics!$AK$2:$AK$167,economics!$AJ$2:$AJ$167,TRUE)-_xlfn.NORM.DIST(BW$30,economics!$AK$2:$AK$167,economics!$AJ$2:$AJ$167,TRUE)))+$CR5*(_xlfn.NORM.DIST(BW$3,$CU5,0.3*$CU5,TRUE)-_xlfn.NORM.DIST(BW$30,$CU5,0.3*$CU5,TRUE))+$CS5*(_xlfn.NORM.DIST(BW$3,$CV5,0.3*$CV5,TRUE)-_xlfn.NORM.DIST(BW$30,$CV5,0.3*$CV5,TRUE))),""),IF($C5&gt;0,summary!$C$10/28.8/0.947817,""))</f>
        <v/>
      </c>
      <c r="BX34">
        <f t="array" ref="BX34">IF($D5,IFERROR((SUMPRODUCT((economics!$AG$2:$AG$167=$B34)*(economics!$D$2:$D$167="whr")*economics!$AH$2:$AH$167*(_xlfn.NORM.DIST(BX$3,economics!$AK$2:$AK$167,economics!$AJ$2:$AJ$167,TRUE)-_xlfn.NORM.DIST(BX$30,economics!$AK$2:$AK$167,economics!$AJ$2:$AJ$167,TRUE))*economics!$AM$2:$AM$167)+$CR5*(_xlfn.NORM.DIST(BX$3,$CU5,0.3*$CU5,TRUE)-_xlfn.NORM.DIST(BX$30,$CU5,0.3*$CU5,TRUE))*summary!$C$7/28.8/0.947817+$CS5*(_xlfn.NORM.DIST(BX$3,$CV5,0.3*$CV5,TRUE)-_xlfn.NORM.DIST(BX$30,$CV5,0.3*$CV5,TRUE))*summary!$C$6/28.8/0.947817)/(SUMPRODUCT((economics!$AG$2:$AG$167=$B34)*(economics!$D$2:$D$167="whr")*economics!$AH$2:$AH$167*(_xlfn.NORM.DIST(BX$3,economics!$AK$2:$AK$167,economics!$AJ$2:$AJ$167,TRUE)-_xlfn.NORM.DIST(BX$30,economics!$AK$2:$AK$167,economics!$AJ$2:$AJ$167,TRUE)))+$CR5*(_xlfn.NORM.DIST(BX$3,$CU5,0.3*$CU5,TRUE)-_xlfn.NORM.DIST(BX$30,$CU5,0.3*$CU5,TRUE))+$CS5*(_xlfn.NORM.DIST(BX$3,$CV5,0.3*$CV5,TRUE)-_xlfn.NORM.DIST(BX$30,$CV5,0.3*$CV5,TRUE))),""),IF($C5&gt;0,summary!$C$10/28.8/0.947817,""))</f>
        <v/>
      </c>
      <c r="BY34">
        <f t="array" ref="BY34">IF($D5,IFERROR((SUMPRODUCT((economics!$AG$2:$AG$167=$B34)*(economics!$D$2:$D$167="whr")*economics!$AH$2:$AH$167*(_xlfn.NORM.DIST(BY$3,economics!$AK$2:$AK$167,economics!$AJ$2:$AJ$167,TRUE)-_xlfn.NORM.DIST(BY$30,economics!$AK$2:$AK$167,economics!$AJ$2:$AJ$167,TRUE))*economics!$AM$2:$AM$167)+$CR5*(_xlfn.NORM.DIST(BY$3,$CU5,0.3*$CU5,TRUE)-_xlfn.NORM.DIST(BY$30,$CU5,0.3*$CU5,TRUE))*summary!$C$7/28.8/0.947817+$CS5*(_xlfn.NORM.DIST(BY$3,$CV5,0.3*$CV5,TRUE)-_xlfn.NORM.DIST(BY$30,$CV5,0.3*$CV5,TRUE))*summary!$C$6/28.8/0.947817)/(SUMPRODUCT((economics!$AG$2:$AG$167=$B34)*(economics!$D$2:$D$167="whr")*economics!$AH$2:$AH$167*(_xlfn.NORM.DIST(BY$3,economics!$AK$2:$AK$167,economics!$AJ$2:$AJ$167,TRUE)-_xlfn.NORM.DIST(BY$30,economics!$AK$2:$AK$167,economics!$AJ$2:$AJ$167,TRUE)))+$CR5*(_xlfn.NORM.DIST(BY$3,$CU5,0.3*$CU5,TRUE)-_xlfn.NORM.DIST(BY$30,$CU5,0.3*$CU5,TRUE))+$CS5*(_xlfn.NORM.DIST(BY$3,$CV5,0.3*$CV5,TRUE)-_xlfn.NORM.DIST(BY$30,$CV5,0.3*$CV5,TRUE))),""),IF($C5&gt;0,summary!$C$10/28.8/0.947817,""))</f>
        <v/>
      </c>
      <c r="BZ34">
        <f t="array" ref="BZ34">IF($D5,IFERROR((SUMPRODUCT((economics!$AG$2:$AG$167=$B34)*(economics!$D$2:$D$167="whr")*economics!$AH$2:$AH$167*(_xlfn.NORM.DIST(BZ$3,economics!$AK$2:$AK$167,economics!$AJ$2:$AJ$167,TRUE)-_xlfn.NORM.DIST(BZ$30,economics!$AK$2:$AK$167,economics!$AJ$2:$AJ$167,TRUE))*economics!$AM$2:$AM$167)+$CR5*(_xlfn.NORM.DIST(BZ$3,$CU5,0.3*$CU5,TRUE)-_xlfn.NORM.DIST(BZ$30,$CU5,0.3*$CU5,TRUE))*summary!$C$7/28.8/0.947817+$CS5*(_xlfn.NORM.DIST(BZ$3,$CV5,0.3*$CV5,TRUE)-_xlfn.NORM.DIST(BZ$30,$CV5,0.3*$CV5,TRUE))*summary!$C$6/28.8/0.947817)/(SUMPRODUCT((economics!$AG$2:$AG$167=$B34)*(economics!$D$2:$D$167="whr")*economics!$AH$2:$AH$167*(_xlfn.NORM.DIST(BZ$3,economics!$AK$2:$AK$167,economics!$AJ$2:$AJ$167,TRUE)-_xlfn.NORM.DIST(BZ$30,economics!$AK$2:$AK$167,economics!$AJ$2:$AJ$167,TRUE)))+$CR5*(_xlfn.NORM.DIST(BZ$3,$CU5,0.3*$CU5,TRUE)-_xlfn.NORM.DIST(BZ$30,$CU5,0.3*$CU5,TRUE))+$CS5*(_xlfn.NORM.DIST(BZ$3,$CV5,0.3*$CV5,TRUE)-_xlfn.NORM.DIST(BZ$30,$CV5,0.3*$CV5,TRUE))),""),IF($C5&gt;0,summary!$C$10/28.8/0.947817,""))</f>
        <v/>
      </c>
      <c r="CA34">
        <f t="array" ref="CA34">IF($D5,IFERROR((SUMPRODUCT((economics!$AG$2:$AG$167=$B34)*(economics!$D$2:$D$167="whr")*economics!$AH$2:$AH$167*(_xlfn.NORM.DIST(CA$3,economics!$AK$2:$AK$167,economics!$AJ$2:$AJ$167,TRUE)-_xlfn.NORM.DIST(CA$30,economics!$AK$2:$AK$167,economics!$AJ$2:$AJ$167,TRUE))*economics!$AM$2:$AM$167)+$CR5*(_xlfn.NORM.DIST(CA$3,$CU5,0.3*$CU5,TRUE)-_xlfn.NORM.DIST(CA$30,$CU5,0.3*$CU5,TRUE))*summary!$C$7/28.8/0.947817+$CS5*(_xlfn.NORM.DIST(CA$3,$CV5,0.3*$CV5,TRUE)-_xlfn.NORM.DIST(CA$30,$CV5,0.3*$CV5,TRUE))*summary!$C$6/28.8/0.947817)/(SUMPRODUCT((economics!$AG$2:$AG$167=$B34)*(economics!$D$2:$D$167="whr")*economics!$AH$2:$AH$167*(_xlfn.NORM.DIST(CA$3,economics!$AK$2:$AK$167,economics!$AJ$2:$AJ$167,TRUE)-_xlfn.NORM.DIST(CA$30,economics!$AK$2:$AK$167,economics!$AJ$2:$AJ$167,TRUE)))+$CR5*(_xlfn.NORM.DIST(CA$3,$CU5,0.3*$CU5,TRUE)-_xlfn.NORM.DIST(CA$30,$CU5,0.3*$CU5,TRUE))+$CS5*(_xlfn.NORM.DIST(CA$3,$CV5,0.3*$CV5,TRUE)-_xlfn.NORM.DIST(CA$30,$CV5,0.3*$CV5,TRUE))),""),IF($C5&gt;0,summary!$C$10/28.8/0.947817,""))</f>
        <v/>
      </c>
      <c r="CB34">
        <f t="array" ref="CB34">IF($D5,IFERROR((SUMPRODUCT((economics!$AG$2:$AG$167=$B34)*(economics!$D$2:$D$167="whr")*economics!$AH$2:$AH$167*(_xlfn.NORM.DIST(CB$3,economics!$AK$2:$AK$167,economics!$AJ$2:$AJ$167,TRUE)-_xlfn.NORM.DIST(CB$30,economics!$AK$2:$AK$167,economics!$AJ$2:$AJ$167,TRUE))*economics!$AM$2:$AM$167)+$CR5*(_xlfn.NORM.DIST(CB$3,$CU5,0.3*$CU5,TRUE)-_xlfn.NORM.DIST(CB$30,$CU5,0.3*$CU5,TRUE))*summary!$C$7/28.8/0.947817+$CS5*(_xlfn.NORM.DIST(CB$3,$CV5,0.3*$CV5,TRUE)-_xlfn.NORM.DIST(CB$30,$CV5,0.3*$CV5,TRUE))*summary!$C$6/28.8/0.947817)/(SUMPRODUCT((economics!$AG$2:$AG$167=$B34)*(economics!$D$2:$D$167="whr")*economics!$AH$2:$AH$167*(_xlfn.NORM.DIST(CB$3,economics!$AK$2:$AK$167,economics!$AJ$2:$AJ$167,TRUE)-_xlfn.NORM.DIST(CB$30,economics!$AK$2:$AK$167,economics!$AJ$2:$AJ$167,TRUE)))+$CR5*(_xlfn.NORM.DIST(CB$3,$CU5,0.3*$CU5,TRUE)-_xlfn.NORM.DIST(CB$30,$CU5,0.3*$CU5,TRUE))+$CS5*(_xlfn.NORM.DIST(CB$3,$CV5,0.3*$CV5,TRUE)-_xlfn.NORM.DIST(CB$30,$CV5,0.3*$CV5,TRUE))),""),IF($C5&gt;0,summary!$C$10/28.8/0.947817,""))</f>
        <v/>
      </c>
      <c r="CC34">
        <f t="array" ref="CC34">IF($D5,IFERROR((SUMPRODUCT((economics!$AG$2:$AG$167=$B34)*(economics!$D$2:$D$167="whr")*economics!$AH$2:$AH$167*(_xlfn.NORM.DIST(CC$3,economics!$AK$2:$AK$167,economics!$AJ$2:$AJ$167,TRUE)-_xlfn.NORM.DIST(CC$30,economics!$AK$2:$AK$167,economics!$AJ$2:$AJ$167,TRUE))*economics!$AM$2:$AM$167)+$CR5*(_xlfn.NORM.DIST(CC$3,$CU5,0.3*$CU5,TRUE)-_xlfn.NORM.DIST(CC$30,$CU5,0.3*$CU5,TRUE))*summary!$C$7/28.8/0.947817+$CS5*(_xlfn.NORM.DIST(CC$3,$CV5,0.3*$CV5,TRUE)-_xlfn.NORM.DIST(CC$30,$CV5,0.3*$CV5,TRUE))*summary!$C$6/28.8/0.947817)/(SUMPRODUCT((economics!$AG$2:$AG$167=$B34)*(economics!$D$2:$D$167="whr")*economics!$AH$2:$AH$167*(_xlfn.NORM.DIST(CC$3,economics!$AK$2:$AK$167,economics!$AJ$2:$AJ$167,TRUE)-_xlfn.NORM.DIST(CC$30,economics!$AK$2:$AK$167,economics!$AJ$2:$AJ$167,TRUE)))+$CR5*(_xlfn.NORM.DIST(CC$3,$CU5,0.3*$CU5,TRUE)-_xlfn.NORM.DIST(CC$30,$CU5,0.3*$CU5,TRUE))+$CS5*(_xlfn.NORM.DIST(CC$3,$CV5,0.3*$CV5,TRUE)-_xlfn.NORM.DIST(CC$30,$CV5,0.3*$CV5,TRUE))),""),IF($C5&gt;0,summary!$C$10/28.8/0.947817,""))</f>
        <v/>
      </c>
      <c r="CD34">
        <f t="array" ref="CD34">IF($D5,IFERROR((SUMPRODUCT((economics!$AG$2:$AG$167=$B34)*(economics!$D$2:$D$167="whr")*economics!$AH$2:$AH$167*(_xlfn.NORM.DIST(CD$3,economics!$AK$2:$AK$167,economics!$AJ$2:$AJ$167,TRUE)-_xlfn.NORM.DIST(CD$30,economics!$AK$2:$AK$167,economics!$AJ$2:$AJ$167,TRUE))*economics!$AM$2:$AM$167)+$CR5*(_xlfn.NORM.DIST(CD$3,$CU5,0.3*$CU5,TRUE)-_xlfn.NORM.DIST(CD$30,$CU5,0.3*$CU5,TRUE))*summary!$C$7/28.8/0.947817+$CS5*(_xlfn.NORM.DIST(CD$3,$CV5,0.3*$CV5,TRUE)-_xlfn.NORM.DIST(CD$30,$CV5,0.3*$CV5,TRUE))*summary!$C$6/28.8/0.947817)/(SUMPRODUCT((economics!$AG$2:$AG$167=$B34)*(economics!$D$2:$D$167="whr")*economics!$AH$2:$AH$167*(_xlfn.NORM.DIST(CD$3,economics!$AK$2:$AK$167,economics!$AJ$2:$AJ$167,TRUE)-_xlfn.NORM.DIST(CD$30,economics!$AK$2:$AK$167,economics!$AJ$2:$AJ$167,TRUE)))+$CR5*(_xlfn.NORM.DIST(CD$3,$CU5,0.3*$CU5,TRUE)-_xlfn.NORM.DIST(CD$30,$CU5,0.3*$CU5,TRUE))+$CS5*(_xlfn.NORM.DIST(CD$3,$CV5,0.3*$CV5,TRUE)-_xlfn.NORM.DIST(CD$30,$CV5,0.3*$CV5,TRUE))),""),IF($C5&gt;0,summary!$C$10/28.8/0.947817,""))</f>
        <v/>
      </c>
      <c r="CE34">
        <f t="array" ref="CE34">IF($D5,IFERROR((SUMPRODUCT((economics!$AG$2:$AG$167=$B34)*(economics!$D$2:$D$167="whr")*economics!$AH$2:$AH$167*(_xlfn.NORM.DIST(CE$3,economics!$AK$2:$AK$167,economics!$AJ$2:$AJ$167,TRUE)-_xlfn.NORM.DIST(CE$30,economics!$AK$2:$AK$167,economics!$AJ$2:$AJ$167,TRUE))*economics!$AM$2:$AM$167)+$CR5*(_xlfn.NORM.DIST(CE$3,$CU5,0.3*$CU5,TRUE)-_xlfn.NORM.DIST(CE$30,$CU5,0.3*$CU5,TRUE))*summary!$C$7/28.8/0.947817+$CS5*(_xlfn.NORM.DIST(CE$3,$CV5,0.3*$CV5,TRUE)-_xlfn.NORM.DIST(CE$30,$CV5,0.3*$CV5,TRUE))*summary!$C$6/28.8/0.947817)/(SUMPRODUCT((economics!$AG$2:$AG$167=$B34)*(economics!$D$2:$D$167="whr")*economics!$AH$2:$AH$167*(_xlfn.NORM.DIST(CE$3,economics!$AK$2:$AK$167,economics!$AJ$2:$AJ$167,TRUE)-_xlfn.NORM.DIST(CE$30,economics!$AK$2:$AK$167,economics!$AJ$2:$AJ$167,TRUE)))+$CR5*(_xlfn.NORM.DIST(CE$3,$CU5,0.3*$CU5,TRUE)-_xlfn.NORM.DIST(CE$30,$CU5,0.3*$CU5,TRUE))+$CS5*(_xlfn.NORM.DIST(CE$3,$CV5,0.3*$CV5,TRUE)-_xlfn.NORM.DIST(CE$30,$CV5,0.3*$CV5,TRUE))),""),IF($C5&gt;0,summary!$C$10/28.8/0.947817,""))</f>
        <v/>
      </c>
      <c r="CF34">
        <f t="array" ref="CF34">IF($D5,IFERROR((SUMPRODUCT((economics!$AG$2:$AG$167=$B34)*(economics!$D$2:$D$167="whr")*economics!$AH$2:$AH$167*(_xlfn.NORM.DIST(CF$3,economics!$AK$2:$AK$167,economics!$AJ$2:$AJ$167,TRUE)-_xlfn.NORM.DIST(CF$30,economics!$AK$2:$AK$167,economics!$AJ$2:$AJ$167,TRUE))*economics!$AM$2:$AM$167)+$CR5*(_xlfn.NORM.DIST(CF$3,$CU5,0.3*$CU5,TRUE)-_xlfn.NORM.DIST(CF$30,$CU5,0.3*$CU5,TRUE))*summary!$C$7/28.8/0.947817+$CS5*(_xlfn.NORM.DIST(CF$3,$CV5,0.3*$CV5,TRUE)-_xlfn.NORM.DIST(CF$30,$CV5,0.3*$CV5,TRUE))*summary!$C$6/28.8/0.947817)/(SUMPRODUCT((economics!$AG$2:$AG$167=$B34)*(economics!$D$2:$D$167="whr")*economics!$AH$2:$AH$167*(_xlfn.NORM.DIST(CF$3,economics!$AK$2:$AK$167,economics!$AJ$2:$AJ$167,TRUE)-_xlfn.NORM.DIST(CF$30,economics!$AK$2:$AK$167,economics!$AJ$2:$AJ$167,TRUE)))+$CR5*(_xlfn.NORM.DIST(CF$3,$CU5,0.3*$CU5,TRUE)-_xlfn.NORM.DIST(CF$30,$CU5,0.3*$CU5,TRUE))+$CS5*(_xlfn.NORM.DIST(CF$3,$CV5,0.3*$CV5,TRUE)-_xlfn.NORM.DIST(CF$30,$CV5,0.3*$CV5,TRUE))),""),IF($C5&gt;0,summary!$C$10/28.8/0.947817,""))</f>
        <v/>
      </c>
      <c r="CG34">
        <f t="array" ref="CG34">IF($D5,IFERROR((SUMPRODUCT((economics!$AG$2:$AG$167=$B34)*(economics!$D$2:$D$167="whr")*economics!$AH$2:$AH$167*(_xlfn.NORM.DIST(CG$3,economics!$AK$2:$AK$167,economics!$AJ$2:$AJ$167,TRUE)-_xlfn.NORM.DIST(CG$30,economics!$AK$2:$AK$167,economics!$AJ$2:$AJ$167,TRUE))*economics!$AM$2:$AM$167)+$CR5*(_xlfn.NORM.DIST(CG$3,$CU5,0.3*$CU5,TRUE)-_xlfn.NORM.DIST(CG$30,$CU5,0.3*$CU5,TRUE))*summary!$C$7/28.8/0.947817+$CS5*(_xlfn.NORM.DIST(CG$3,$CV5,0.3*$CV5,TRUE)-_xlfn.NORM.DIST(CG$30,$CV5,0.3*$CV5,TRUE))*summary!$C$6/28.8/0.947817)/(SUMPRODUCT((economics!$AG$2:$AG$167=$B34)*(economics!$D$2:$D$167="whr")*economics!$AH$2:$AH$167*(_xlfn.NORM.DIST(CG$3,economics!$AK$2:$AK$167,economics!$AJ$2:$AJ$167,TRUE)-_xlfn.NORM.DIST(CG$30,economics!$AK$2:$AK$167,economics!$AJ$2:$AJ$167,TRUE)))+$CR5*(_xlfn.NORM.DIST(CG$3,$CU5,0.3*$CU5,TRUE)-_xlfn.NORM.DIST(CG$30,$CU5,0.3*$CU5,TRUE))+$CS5*(_xlfn.NORM.DIST(CG$3,$CV5,0.3*$CV5,TRUE)-_xlfn.NORM.DIST(CG$30,$CV5,0.3*$CV5,TRUE))),""),IF($C5&gt;0,summary!$C$10/28.8/0.947817,""))</f>
        <v/>
      </c>
      <c r="CH34">
        <f t="array" ref="CH34">IF($D5,IFERROR((SUMPRODUCT((economics!$AG$2:$AG$167=$B34)*(economics!$D$2:$D$167="whr")*economics!$AH$2:$AH$167*(_xlfn.NORM.DIST(CH$3,economics!$AK$2:$AK$167,economics!$AJ$2:$AJ$167,TRUE)-_xlfn.NORM.DIST(CH$30,economics!$AK$2:$AK$167,economics!$AJ$2:$AJ$167,TRUE))*economics!$AM$2:$AM$167)+$CR5*(_xlfn.NORM.DIST(CH$3,$CU5,0.3*$CU5,TRUE)-_xlfn.NORM.DIST(CH$30,$CU5,0.3*$CU5,TRUE))*summary!$C$7/28.8/0.947817+$CS5*(_xlfn.NORM.DIST(CH$3,$CV5,0.3*$CV5,TRUE)-_xlfn.NORM.DIST(CH$30,$CV5,0.3*$CV5,TRUE))*summary!$C$6/28.8/0.947817)/(SUMPRODUCT((economics!$AG$2:$AG$167=$B34)*(economics!$D$2:$D$167="whr")*economics!$AH$2:$AH$167*(_xlfn.NORM.DIST(CH$3,economics!$AK$2:$AK$167,economics!$AJ$2:$AJ$167,TRUE)-_xlfn.NORM.DIST(CH$30,economics!$AK$2:$AK$167,economics!$AJ$2:$AJ$167,TRUE)))+$CR5*(_xlfn.NORM.DIST(CH$3,$CU5,0.3*$CU5,TRUE)-_xlfn.NORM.DIST(CH$30,$CU5,0.3*$CU5,TRUE))+$CS5*(_xlfn.NORM.DIST(CH$3,$CV5,0.3*$CV5,TRUE)-_xlfn.NORM.DIST(CH$30,$CV5,0.3*$CV5,TRUE))),""),IF($C5&gt;0,summary!$C$10/28.8/0.947817,""))</f>
        <v/>
      </c>
    </row>
    <row r="35">
      <c r="A35">
        <f>A6</f>
        <v/>
      </c>
      <c r="B35">
        <f>B6</f>
        <v/>
      </c>
      <c r="E35">
        <f t="array" ref="E35">IF($D6,IFERROR((SUMPRODUCT((economics!$AG$2:$AG$167=$B35)*(economics!$D$2:$D$167="whr")*economics!$AH$2:$AH$167*(_xlfn.NORM.DIST(E$3,economics!$AK$2:$AK$167,economics!$AJ$2:$AJ$167,TRUE)-_xlfn.NORM.DIST(E$30,economics!$AK$2:$AK$167,economics!$AJ$2:$AJ$167,TRUE))*economics!$AM$2:$AM$167)+$CR6*(_xlfn.NORM.DIST(E$3,$CU6,0.3*$CU6,TRUE)-_xlfn.NORM.DIST(E$30,$CU6,0.3*$CU6,TRUE))*summary!$C$7/28.8/0.947817+$CS6*(_xlfn.NORM.DIST(E$3,$CV6,0.3*$CV6,TRUE)-_xlfn.NORM.DIST(E$30,$CV6,0.3*$CV6,TRUE))*summary!$C$6/28.8/0.947817)/(SUMPRODUCT((economics!$AG$2:$AG$167=$B35)*(economics!$D$2:$D$167="whr")*economics!$AH$2:$AH$167*(_xlfn.NORM.DIST(E$3,economics!$AK$2:$AK$167,economics!$AJ$2:$AJ$167,TRUE)-_xlfn.NORM.DIST(E$30,economics!$AK$2:$AK$167,economics!$AJ$2:$AJ$167,TRUE)))+$CR6*(_xlfn.NORM.DIST(E$3,$CU6,0.3*$CU6,TRUE)-_xlfn.NORM.DIST(E$30,$CU6,0.3*$CU6,TRUE))+$CS6*(_xlfn.NORM.DIST(E$3,$CV6,0.3*$CV6,TRUE)-_xlfn.NORM.DIST(E$30,$CV6,0.3*$CV6,TRUE))),""),IF($C6&gt;0,summary!$C$10/28.8/0.947817,""))</f>
        <v/>
      </c>
      <c r="F35">
        <f t="array" ref="F35">IF($D6,IFERROR((SUMPRODUCT((economics!$AG$2:$AG$167=$B35)*(economics!$D$2:$D$167="whr")*economics!$AH$2:$AH$167*(_xlfn.NORM.DIST(F$3,economics!$AK$2:$AK$167,economics!$AJ$2:$AJ$167,TRUE)-_xlfn.NORM.DIST(F$30,economics!$AK$2:$AK$167,economics!$AJ$2:$AJ$167,TRUE))*economics!$AM$2:$AM$167)+$CR6*(_xlfn.NORM.DIST(F$3,$CU6,0.3*$CU6,TRUE)-_xlfn.NORM.DIST(F$30,$CU6,0.3*$CU6,TRUE))*summary!$C$7/28.8/0.947817+$CS6*(_xlfn.NORM.DIST(F$3,$CV6,0.3*$CV6,TRUE)-_xlfn.NORM.DIST(F$30,$CV6,0.3*$CV6,TRUE))*summary!$C$6/28.8/0.947817)/(SUMPRODUCT((economics!$AG$2:$AG$167=$B35)*(economics!$D$2:$D$167="whr")*economics!$AH$2:$AH$167*(_xlfn.NORM.DIST(F$3,economics!$AK$2:$AK$167,economics!$AJ$2:$AJ$167,TRUE)-_xlfn.NORM.DIST(F$30,economics!$AK$2:$AK$167,economics!$AJ$2:$AJ$167,TRUE)))+$CR6*(_xlfn.NORM.DIST(F$3,$CU6,0.3*$CU6,TRUE)-_xlfn.NORM.DIST(F$30,$CU6,0.3*$CU6,TRUE))+$CS6*(_xlfn.NORM.DIST(F$3,$CV6,0.3*$CV6,TRUE)-_xlfn.NORM.DIST(F$30,$CV6,0.3*$CV6,TRUE))),""),IF($C6&gt;0,summary!$C$10/28.8/0.947817,""))</f>
        <v/>
      </c>
      <c r="G35">
        <f t="array" ref="G35">IF($D6,IFERROR((SUMPRODUCT((economics!$AG$2:$AG$167=$B35)*(economics!$D$2:$D$167="whr")*economics!$AH$2:$AH$167*(_xlfn.NORM.DIST(G$3,economics!$AK$2:$AK$167,economics!$AJ$2:$AJ$167,TRUE)-_xlfn.NORM.DIST(G$30,economics!$AK$2:$AK$167,economics!$AJ$2:$AJ$167,TRUE))*economics!$AM$2:$AM$167)+$CR6*(_xlfn.NORM.DIST(G$3,$CU6,0.3*$CU6,TRUE)-_xlfn.NORM.DIST(G$30,$CU6,0.3*$CU6,TRUE))*summary!$C$7/28.8/0.947817+$CS6*(_xlfn.NORM.DIST(G$3,$CV6,0.3*$CV6,TRUE)-_xlfn.NORM.DIST(G$30,$CV6,0.3*$CV6,TRUE))*summary!$C$6/28.8/0.947817)/(SUMPRODUCT((economics!$AG$2:$AG$167=$B35)*(economics!$D$2:$D$167="whr")*economics!$AH$2:$AH$167*(_xlfn.NORM.DIST(G$3,economics!$AK$2:$AK$167,economics!$AJ$2:$AJ$167,TRUE)-_xlfn.NORM.DIST(G$30,economics!$AK$2:$AK$167,economics!$AJ$2:$AJ$167,TRUE)))+$CR6*(_xlfn.NORM.DIST(G$3,$CU6,0.3*$CU6,TRUE)-_xlfn.NORM.DIST(G$30,$CU6,0.3*$CU6,TRUE))+$CS6*(_xlfn.NORM.DIST(G$3,$CV6,0.3*$CV6,TRUE)-_xlfn.NORM.DIST(G$30,$CV6,0.3*$CV6,TRUE))),""),IF($C6&gt;0,summary!$C$10/28.8/0.947817,""))</f>
        <v/>
      </c>
      <c r="H35">
        <f t="array" ref="H35">IF($D6,IFERROR((SUMPRODUCT((economics!$AG$2:$AG$167=$B35)*(economics!$D$2:$D$167="whr")*economics!$AH$2:$AH$167*(_xlfn.NORM.DIST(H$3,economics!$AK$2:$AK$167,economics!$AJ$2:$AJ$167,TRUE)-_xlfn.NORM.DIST(H$30,economics!$AK$2:$AK$167,economics!$AJ$2:$AJ$167,TRUE))*economics!$AM$2:$AM$167)+$CR6*(_xlfn.NORM.DIST(H$3,$CU6,0.3*$CU6,TRUE)-_xlfn.NORM.DIST(H$30,$CU6,0.3*$CU6,TRUE))*summary!$C$7/28.8/0.947817+$CS6*(_xlfn.NORM.DIST(H$3,$CV6,0.3*$CV6,TRUE)-_xlfn.NORM.DIST(H$30,$CV6,0.3*$CV6,TRUE))*summary!$C$6/28.8/0.947817)/(SUMPRODUCT((economics!$AG$2:$AG$167=$B35)*(economics!$D$2:$D$167="whr")*economics!$AH$2:$AH$167*(_xlfn.NORM.DIST(H$3,economics!$AK$2:$AK$167,economics!$AJ$2:$AJ$167,TRUE)-_xlfn.NORM.DIST(H$30,economics!$AK$2:$AK$167,economics!$AJ$2:$AJ$167,TRUE)))+$CR6*(_xlfn.NORM.DIST(H$3,$CU6,0.3*$CU6,TRUE)-_xlfn.NORM.DIST(H$30,$CU6,0.3*$CU6,TRUE))+$CS6*(_xlfn.NORM.DIST(H$3,$CV6,0.3*$CV6,TRUE)-_xlfn.NORM.DIST(H$30,$CV6,0.3*$CV6,TRUE))),""),IF($C6&gt;0,summary!$C$10/28.8/0.947817,""))</f>
        <v/>
      </c>
      <c r="I35">
        <f t="array" ref="I35">IF($D6,IFERROR((SUMPRODUCT((economics!$AG$2:$AG$167=$B35)*(economics!$D$2:$D$167="whr")*economics!$AH$2:$AH$167*(_xlfn.NORM.DIST(I$3,economics!$AK$2:$AK$167,economics!$AJ$2:$AJ$167,TRUE)-_xlfn.NORM.DIST(I$30,economics!$AK$2:$AK$167,economics!$AJ$2:$AJ$167,TRUE))*economics!$AM$2:$AM$167)+$CR6*(_xlfn.NORM.DIST(I$3,$CU6,0.3*$CU6,TRUE)-_xlfn.NORM.DIST(I$30,$CU6,0.3*$CU6,TRUE))*summary!$C$7/28.8/0.947817+$CS6*(_xlfn.NORM.DIST(I$3,$CV6,0.3*$CV6,TRUE)-_xlfn.NORM.DIST(I$30,$CV6,0.3*$CV6,TRUE))*summary!$C$6/28.8/0.947817)/(SUMPRODUCT((economics!$AG$2:$AG$167=$B35)*(economics!$D$2:$D$167="whr")*economics!$AH$2:$AH$167*(_xlfn.NORM.DIST(I$3,economics!$AK$2:$AK$167,economics!$AJ$2:$AJ$167,TRUE)-_xlfn.NORM.DIST(I$30,economics!$AK$2:$AK$167,economics!$AJ$2:$AJ$167,TRUE)))+$CR6*(_xlfn.NORM.DIST(I$3,$CU6,0.3*$CU6,TRUE)-_xlfn.NORM.DIST(I$30,$CU6,0.3*$CU6,TRUE))+$CS6*(_xlfn.NORM.DIST(I$3,$CV6,0.3*$CV6,TRUE)-_xlfn.NORM.DIST(I$30,$CV6,0.3*$CV6,TRUE))),""),IF($C6&gt;0,summary!$C$10/28.8/0.947817,""))</f>
        <v/>
      </c>
      <c r="J35">
        <f t="array" ref="J35">IF($D6,IFERROR((SUMPRODUCT((economics!$AG$2:$AG$167=$B35)*(economics!$D$2:$D$167="whr")*economics!$AH$2:$AH$167*(_xlfn.NORM.DIST(J$3,economics!$AK$2:$AK$167,economics!$AJ$2:$AJ$167,TRUE)-_xlfn.NORM.DIST(J$30,economics!$AK$2:$AK$167,economics!$AJ$2:$AJ$167,TRUE))*economics!$AM$2:$AM$167)+$CR6*(_xlfn.NORM.DIST(J$3,$CU6,0.3*$CU6,TRUE)-_xlfn.NORM.DIST(J$30,$CU6,0.3*$CU6,TRUE))*summary!$C$7/28.8/0.947817+$CS6*(_xlfn.NORM.DIST(J$3,$CV6,0.3*$CV6,TRUE)-_xlfn.NORM.DIST(J$30,$CV6,0.3*$CV6,TRUE))*summary!$C$6/28.8/0.947817)/(SUMPRODUCT((economics!$AG$2:$AG$167=$B35)*(economics!$D$2:$D$167="whr")*economics!$AH$2:$AH$167*(_xlfn.NORM.DIST(J$3,economics!$AK$2:$AK$167,economics!$AJ$2:$AJ$167,TRUE)-_xlfn.NORM.DIST(J$30,economics!$AK$2:$AK$167,economics!$AJ$2:$AJ$167,TRUE)))+$CR6*(_xlfn.NORM.DIST(J$3,$CU6,0.3*$CU6,TRUE)-_xlfn.NORM.DIST(J$30,$CU6,0.3*$CU6,TRUE))+$CS6*(_xlfn.NORM.DIST(J$3,$CV6,0.3*$CV6,TRUE)-_xlfn.NORM.DIST(J$30,$CV6,0.3*$CV6,TRUE))),""),IF($C6&gt;0,summary!$C$10/28.8/0.947817,""))</f>
        <v/>
      </c>
      <c r="K35">
        <f t="array" ref="K35">IF($D6,IFERROR((SUMPRODUCT((economics!$AG$2:$AG$167=$B35)*(economics!$D$2:$D$167="whr")*economics!$AH$2:$AH$167*(_xlfn.NORM.DIST(K$3,economics!$AK$2:$AK$167,economics!$AJ$2:$AJ$167,TRUE)-_xlfn.NORM.DIST(K$30,economics!$AK$2:$AK$167,economics!$AJ$2:$AJ$167,TRUE))*economics!$AM$2:$AM$167)+$CR6*(_xlfn.NORM.DIST(K$3,$CU6,0.3*$CU6,TRUE)-_xlfn.NORM.DIST(K$30,$CU6,0.3*$CU6,TRUE))*summary!$C$7/28.8/0.947817+$CS6*(_xlfn.NORM.DIST(K$3,$CV6,0.3*$CV6,TRUE)-_xlfn.NORM.DIST(K$30,$CV6,0.3*$CV6,TRUE))*summary!$C$6/28.8/0.947817)/(SUMPRODUCT((economics!$AG$2:$AG$167=$B35)*(economics!$D$2:$D$167="whr")*economics!$AH$2:$AH$167*(_xlfn.NORM.DIST(K$3,economics!$AK$2:$AK$167,economics!$AJ$2:$AJ$167,TRUE)-_xlfn.NORM.DIST(K$30,economics!$AK$2:$AK$167,economics!$AJ$2:$AJ$167,TRUE)))+$CR6*(_xlfn.NORM.DIST(K$3,$CU6,0.3*$CU6,TRUE)-_xlfn.NORM.DIST(K$30,$CU6,0.3*$CU6,TRUE))+$CS6*(_xlfn.NORM.DIST(K$3,$CV6,0.3*$CV6,TRUE)-_xlfn.NORM.DIST(K$30,$CV6,0.3*$CV6,TRUE))),""),IF($C6&gt;0,summary!$C$10/28.8/0.947817,""))</f>
        <v/>
      </c>
      <c r="L35">
        <f t="array" ref="L35">IF($D6,IFERROR((SUMPRODUCT((economics!$AG$2:$AG$167=$B35)*(economics!$D$2:$D$167="whr")*economics!$AH$2:$AH$167*(_xlfn.NORM.DIST(L$3,economics!$AK$2:$AK$167,economics!$AJ$2:$AJ$167,TRUE)-_xlfn.NORM.DIST(L$30,economics!$AK$2:$AK$167,economics!$AJ$2:$AJ$167,TRUE))*economics!$AM$2:$AM$167)+$CR6*(_xlfn.NORM.DIST(L$3,$CU6,0.3*$CU6,TRUE)-_xlfn.NORM.DIST(L$30,$CU6,0.3*$CU6,TRUE))*summary!$C$7/28.8/0.947817+$CS6*(_xlfn.NORM.DIST(L$3,$CV6,0.3*$CV6,TRUE)-_xlfn.NORM.DIST(L$30,$CV6,0.3*$CV6,TRUE))*summary!$C$6/28.8/0.947817)/(SUMPRODUCT((economics!$AG$2:$AG$167=$B35)*(economics!$D$2:$D$167="whr")*economics!$AH$2:$AH$167*(_xlfn.NORM.DIST(L$3,economics!$AK$2:$AK$167,economics!$AJ$2:$AJ$167,TRUE)-_xlfn.NORM.DIST(L$30,economics!$AK$2:$AK$167,economics!$AJ$2:$AJ$167,TRUE)))+$CR6*(_xlfn.NORM.DIST(L$3,$CU6,0.3*$CU6,TRUE)-_xlfn.NORM.DIST(L$30,$CU6,0.3*$CU6,TRUE))+$CS6*(_xlfn.NORM.DIST(L$3,$CV6,0.3*$CV6,TRUE)-_xlfn.NORM.DIST(L$30,$CV6,0.3*$CV6,TRUE))),""),IF($C6&gt;0,summary!$C$10/28.8/0.947817,""))</f>
        <v/>
      </c>
      <c r="M35">
        <f t="array" ref="M35">IF($D6,IFERROR((SUMPRODUCT((economics!$AG$2:$AG$167=$B35)*(economics!$D$2:$D$167="whr")*economics!$AH$2:$AH$167*(_xlfn.NORM.DIST(M$3,economics!$AK$2:$AK$167,economics!$AJ$2:$AJ$167,TRUE)-_xlfn.NORM.DIST(M$30,economics!$AK$2:$AK$167,economics!$AJ$2:$AJ$167,TRUE))*economics!$AM$2:$AM$167)+$CR6*(_xlfn.NORM.DIST(M$3,$CU6,0.3*$CU6,TRUE)-_xlfn.NORM.DIST(M$30,$CU6,0.3*$CU6,TRUE))*summary!$C$7/28.8/0.947817+$CS6*(_xlfn.NORM.DIST(M$3,$CV6,0.3*$CV6,TRUE)-_xlfn.NORM.DIST(M$30,$CV6,0.3*$CV6,TRUE))*summary!$C$6/28.8/0.947817)/(SUMPRODUCT((economics!$AG$2:$AG$167=$B35)*(economics!$D$2:$D$167="whr")*economics!$AH$2:$AH$167*(_xlfn.NORM.DIST(M$3,economics!$AK$2:$AK$167,economics!$AJ$2:$AJ$167,TRUE)-_xlfn.NORM.DIST(M$30,economics!$AK$2:$AK$167,economics!$AJ$2:$AJ$167,TRUE)))+$CR6*(_xlfn.NORM.DIST(M$3,$CU6,0.3*$CU6,TRUE)-_xlfn.NORM.DIST(M$30,$CU6,0.3*$CU6,TRUE))+$CS6*(_xlfn.NORM.DIST(M$3,$CV6,0.3*$CV6,TRUE)-_xlfn.NORM.DIST(M$30,$CV6,0.3*$CV6,TRUE))),""),IF($C6&gt;0,summary!$C$10/28.8/0.947817,""))</f>
        <v/>
      </c>
      <c r="N35">
        <f t="array" ref="N35">IF($D6,IFERROR((SUMPRODUCT((economics!$AG$2:$AG$167=$B35)*(economics!$D$2:$D$167="whr")*economics!$AH$2:$AH$167*(_xlfn.NORM.DIST(N$3,economics!$AK$2:$AK$167,economics!$AJ$2:$AJ$167,TRUE)-_xlfn.NORM.DIST(N$30,economics!$AK$2:$AK$167,economics!$AJ$2:$AJ$167,TRUE))*economics!$AM$2:$AM$167)+$CR6*(_xlfn.NORM.DIST(N$3,$CU6,0.3*$CU6,TRUE)-_xlfn.NORM.DIST(N$30,$CU6,0.3*$CU6,TRUE))*summary!$C$7/28.8/0.947817+$CS6*(_xlfn.NORM.DIST(N$3,$CV6,0.3*$CV6,TRUE)-_xlfn.NORM.DIST(N$30,$CV6,0.3*$CV6,TRUE))*summary!$C$6/28.8/0.947817)/(SUMPRODUCT((economics!$AG$2:$AG$167=$B35)*(economics!$D$2:$D$167="whr")*economics!$AH$2:$AH$167*(_xlfn.NORM.DIST(N$3,economics!$AK$2:$AK$167,economics!$AJ$2:$AJ$167,TRUE)-_xlfn.NORM.DIST(N$30,economics!$AK$2:$AK$167,economics!$AJ$2:$AJ$167,TRUE)))+$CR6*(_xlfn.NORM.DIST(N$3,$CU6,0.3*$CU6,TRUE)-_xlfn.NORM.DIST(N$30,$CU6,0.3*$CU6,TRUE))+$CS6*(_xlfn.NORM.DIST(N$3,$CV6,0.3*$CV6,TRUE)-_xlfn.NORM.DIST(N$30,$CV6,0.3*$CV6,TRUE))),""),IF($C6&gt;0,summary!$C$10/28.8/0.947817,""))</f>
        <v/>
      </c>
      <c r="O35">
        <f t="array" ref="O35">IF($D6,IFERROR((SUMPRODUCT((economics!$AG$2:$AG$167=$B35)*(economics!$D$2:$D$167="whr")*economics!$AH$2:$AH$167*(_xlfn.NORM.DIST(O$3,economics!$AK$2:$AK$167,economics!$AJ$2:$AJ$167,TRUE)-_xlfn.NORM.DIST(O$30,economics!$AK$2:$AK$167,economics!$AJ$2:$AJ$167,TRUE))*economics!$AM$2:$AM$167)+$CR6*(_xlfn.NORM.DIST(O$3,$CU6,0.3*$CU6,TRUE)-_xlfn.NORM.DIST(O$30,$CU6,0.3*$CU6,TRUE))*summary!$C$7/28.8/0.947817+$CS6*(_xlfn.NORM.DIST(O$3,$CV6,0.3*$CV6,TRUE)-_xlfn.NORM.DIST(O$30,$CV6,0.3*$CV6,TRUE))*summary!$C$6/28.8/0.947817)/(SUMPRODUCT((economics!$AG$2:$AG$167=$B35)*(economics!$D$2:$D$167="whr")*economics!$AH$2:$AH$167*(_xlfn.NORM.DIST(O$3,economics!$AK$2:$AK$167,economics!$AJ$2:$AJ$167,TRUE)-_xlfn.NORM.DIST(O$30,economics!$AK$2:$AK$167,economics!$AJ$2:$AJ$167,TRUE)))+$CR6*(_xlfn.NORM.DIST(O$3,$CU6,0.3*$CU6,TRUE)-_xlfn.NORM.DIST(O$30,$CU6,0.3*$CU6,TRUE))+$CS6*(_xlfn.NORM.DIST(O$3,$CV6,0.3*$CV6,TRUE)-_xlfn.NORM.DIST(O$30,$CV6,0.3*$CV6,TRUE))),""),IF($C6&gt;0,summary!$C$10/28.8/0.947817,""))</f>
        <v/>
      </c>
      <c r="P35">
        <f t="array" ref="P35">IF($D6,IFERROR((SUMPRODUCT((economics!$AG$2:$AG$167=$B35)*(economics!$D$2:$D$167="whr")*economics!$AH$2:$AH$167*(_xlfn.NORM.DIST(P$3,economics!$AK$2:$AK$167,economics!$AJ$2:$AJ$167,TRUE)-_xlfn.NORM.DIST(P$30,economics!$AK$2:$AK$167,economics!$AJ$2:$AJ$167,TRUE))*economics!$AM$2:$AM$167)+$CR6*(_xlfn.NORM.DIST(P$3,$CU6,0.3*$CU6,TRUE)-_xlfn.NORM.DIST(P$30,$CU6,0.3*$CU6,TRUE))*summary!$C$7/28.8/0.947817+$CS6*(_xlfn.NORM.DIST(P$3,$CV6,0.3*$CV6,TRUE)-_xlfn.NORM.DIST(P$30,$CV6,0.3*$CV6,TRUE))*summary!$C$6/28.8/0.947817)/(SUMPRODUCT((economics!$AG$2:$AG$167=$B35)*(economics!$D$2:$D$167="whr")*economics!$AH$2:$AH$167*(_xlfn.NORM.DIST(P$3,economics!$AK$2:$AK$167,economics!$AJ$2:$AJ$167,TRUE)-_xlfn.NORM.DIST(P$30,economics!$AK$2:$AK$167,economics!$AJ$2:$AJ$167,TRUE)))+$CR6*(_xlfn.NORM.DIST(P$3,$CU6,0.3*$CU6,TRUE)-_xlfn.NORM.DIST(P$30,$CU6,0.3*$CU6,TRUE))+$CS6*(_xlfn.NORM.DIST(P$3,$CV6,0.3*$CV6,TRUE)-_xlfn.NORM.DIST(P$30,$CV6,0.3*$CV6,TRUE))),""),IF($C6&gt;0,summary!$C$10/28.8/0.947817,""))</f>
        <v/>
      </c>
      <c r="Q35">
        <f t="array" ref="Q35">IF($D6,IFERROR((SUMPRODUCT((economics!$AG$2:$AG$167=$B35)*(economics!$D$2:$D$167="whr")*economics!$AH$2:$AH$167*(_xlfn.NORM.DIST(Q$3,economics!$AK$2:$AK$167,economics!$AJ$2:$AJ$167,TRUE)-_xlfn.NORM.DIST(Q$30,economics!$AK$2:$AK$167,economics!$AJ$2:$AJ$167,TRUE))*economics!$AM$2:$AM$167)+$CR6*(_xlfn.NORM.DIST(Q$3,$CU6,0.3*$CU6,TRUE)-_xlfn.NORM.DIST(Q$30,$CU6,0.3*$CU6,TRUE))*summary!$C$7/28.8/0.947817+$CS6*(_xlfn.NORM.DIST(Q$3,$CV6,0.3*$CV6,TRUE)-_xlfn.NORM.DIST(Q$30,$CV6,0.3*$CV6,TRUE))*summary!$C$6/28.8/0.947817)/(SUMPRODUCT((economics!$AG$2:$AG$167=$B35)*(economics!$D$2:$D$167="whr")*economics!$AH$2:$AH$167*(_xlfn.NORM.DIST(Q$3,economics!$AK$2:$AK$167,economics!$AJ$2:$AJ$167,TRUE)-_xlfn.NORM.DIST(Q$30,economics!$AK$2:$AK$167,economics!$AJ$2:$AJ$167,TRUE)))+$CR6*(_xlfn.NORM.DIST(Q$3,$CU6,0.3*$CU6,TRUE)-_xlfn.NORM.DIST(Q$30,$CU6,0.3*$CU6,TRUE))+$CS6*(_xlfn.NORM.DIST(Q$3,$CV6,0.3*$CV6,TRUE)-_xlfn.NORM.DIST(Q$30,$CV6,0.3*$CV6,TRUE))),""),IF($C6&gt;0,summary!$C$10/28.8/0.947817,""))</f>
        <v/>
      </c>
      <c r="R35">
        <f t="array" ref="R35">IF($D6,IFERROR((SUMPRODUCT((economics!$AG$2:$AG$167=$B35)*(economics!$D$2:$D$167="whr")*economics!$AH$2:$AH$167*(_xlfn.NORM.DIST(R$3,economics!$AK$2:$AK$167,economics!$AJ$2:$AJ$167,TRUE)-_xlfn.NORM.DIST(R$30,economics!$AK$2:$AK$167,economics!$AJ$2:$AJ$167,TRUE))*economics!$AM$2:$AM$167)+$CR6*(_xlfn.NORM.DIST(R$3,$CU6,0.3*$CU6,TRUE)-_xlfn.NORM.DIST(R$30,$CU6,0.3*$CU6,TRUE))*summary!$C$7/28.8/0.947817+$CS6*(_xlfn.NORM.DIST(R$3,$CV6,0.3*$CV6,TRUE)-_xlfn.NORM.DIST(R$30,$CV6,0.3*$CV6,TRUE))*summary!$C$6/28.8/0.947817)/(SUMPRODUCT((economics!$AG$2:$AG$167=$B35)*(economics!$D$2:$D$167="whr")*economics!$AH$2:$AH$167*(_xlfn.NORM.DIST(R$3,economics!$AK$2:$AK$167,economics!$AJ$2:$AJ$167,TRUE)-_xlfn.NORM.DIST(R$30,economics!$AK$2:$AK$167,economics!$AJ$2:$AJ$167,TRUE)))+$CR6*(_xlfn.NORM.DIST(R$3,$CU6,0.3*$CU6,TRUE)-_xlfn.NORM.DIST(R$30,$CU6,0.3*$CU6,TRUE))+$CS6*(_xlfn.NORM.DIST(R$3,$CV6,0.3*$CV6,TRUE)-_xlfn.NORM.DIST(R$30,$CV6,0.3*$CV6,TRUE))),""),IF($C6&gt;0,summary!$C$10/28.8/0.947817,""))</f>
        <v/>
      </c>
      <c r="S35">
        <f t="array" ref="S35">IF($D6,IFERROR((SUMPRODUCT((economics!$AG$2:$AG$167=$B35)*(economics!$D$2:$D$167="whr")*economics!$AH$2:$AH$167*(_xlfn.NORM.DIST(S$3,economics!$AK$2:$AK$167,economics!$AJ$2:$AJ$167,TRUE)-_xlfn.NORM.DIST(S$30,economics!$AK$2:$AK$167,economics!$AJ$2:$AJ$167,TRUE))*economics!$AM$2:$AM$167)+$CR6*(_xlfn.NORM.DIST(S$3,$CU6,0.3*$CU6,TRUE)-_xlfn.NORM.DIST(S$30,$CU6,0.3*$CU6,TRUE))*summary!$C$7/28.8/0.947817+$CS6*(_xlfn.NORM.DIST(S$3,$CV6,0.3*$CV6,TRUE)-_xlfn.NORM.DIST(S$30,$CV6,0.3*$CV6,TRUE))*summary!$C$6/28.8/0.947817)/(SUMPRODUCT((economics!$AG$2:$AG$167=$B35)*(economics!$D$2:$D$167="whr")*economics!$AH$2:$AH$167*(_xlfn.NORM.DIST(S$3,economics!$AK$2:$AK$167,economics!$AJ$2:$AJ$167,TRUE)-_xlfn.NORM.DIST(S$30,economics!$AK$2:$AK$167,economics!$AJ$2:$AJ$167,TRUE)))+$CR6*(_xlfn.NORM.DIST(S$3,$CU6,0.3*$CU6,TRUE)-_xlfn.NORM.DIST(S$30,$CU6,0.3*$CU6,TRUE))+$CS6*(_xlfn.NORM.DIST(S$3,$CV6,0.3*$CV6,TRUE)-_xlfn.NORM.DIST(S$30,$CV6,0.3*$CV6,TRUE))),""),IF($C6&gt;0,summary!$C$10/28.8/0.947817,""))</f>
        <v/>
      </c>
      <c r="T35">
        <f t="array" ref="T35">IF($D6,IFERROR((SUMPRODUCT((economics!$AG$2:$AG$167=$B35)*(economics!$D$2:$D$167="whr")*economics!$AH$2:$AH$167*(_xlfn.NORM.DIST(T$3,economics!$AK$2:$AK$167,economics!$AJ$2:$AJ$167,TRUE)-_xlfn.NORM.DIST(T$30,economics!$AK$2:$AK$167,economics!$AJ$2:$AJ$167,TRUE))*economics!$AM$2:$AM$167)+$CR6*(_xlfn.NORM.DIST(T$3,$CU6,0.3*$CU6,TRUE)-_xlfn.NORM.DIST(T$30,$CU6,0.3*$CU6,TRUE))*summary!$C$7/28.8/0.947817+$CS6*(_xlfn.NORM.DIST(T$3,$CV6,0.3*$CV6,TRUE)-_xlfn.NORM.DIST(T$30,$CV6,0.3*$CV6,TRUE))*summary!$C$6/28.8/0.947817)/(SUMPRODUCT((economics!$AG$2:$AG$167=$B35)*(economics!$D$2:$D$167="whr")*economics!$AH$2:$AH$167*(_xlfn.NORM.DIST(T$3,economics!$AK$2:$AK$167,economics!$AJ$2:$AJ$167,TRUE)-_xlfn.NORM.DIST(T$30,economics!$AK$2:$AK$167,economics!$AJ$2:$AJ$167,TRUE)))+$CR6*(_xlfn.NORM.DIST(T$3,$CU6,0.3*$CU6,TRUE)-_xlfn.NORM.DIST(T$30,$CU6,0.3*$CU6,TRUE))+$CS6*(_xlfn.NORM.DIST(T$3,$CV6,0.3*$CV6,TRUE)-_xlfn.NORM.DIST(T$30,$CV6,0.3*$CV6,TRUE))),""),IF($C6&gt;0,summary!$C$10/28.8/0.947817,""))</f>
        <v/>
      </c>
      <c r="U35">
        <f t="array" ref="U35">IF($D6,IFERROR((SUMPRODUCT((economics!$AG$2:$AG$167=$B35)*(economics!$D$2:$D$167="whr")*economics!$AH$2:$AH$167*(_xlfn.NORM.DIST(U$3,economics!$AK$2:$AK$167,economics!$AJ$2:$AJ$167,TRUE)-_xlfn.NORM.DIST(U$30,economics!$AK$2:$AK$167,economics!$AJ$2:$AJ$167,TRUE))*economics!$AM$2:$AM$167)+$CR6*(_xlfn.NORM.DIST(U$3,$CU6,0.3*$CU6,TRUE)-_xlfn.NORM.DIST(U$30,$CU6,0.3*$CU6,TRUE))*summary!$C$7/28.8/0.947817+$CS6*(_xlfn.NORM.DIST(U$3,$CV6,0.3*$CV6,TRUE)-_xlfn.NORM.DIST(U$30,$CV6,0.3*$CV6,TRUE))*summary!$C$6/28.8/0.947817)/(SUMPRODUCT((economics!$AG$2:$AG$167=$B35)*(economics!$D$2:$D$167="whr")*economics!$AH$2:$AH$167*(_xlfn.NORM.DIST(U$3,economics!$AK$2:$AK$167,economics!$AJ$2:$AJ$167,TRUE)-_xlfn.NORM.DIST(U$30,economics!$AK$2:$AK$167,economics!$AJ$2:$AJ$167,TRUE)))+$CR6*(_xlfn.NORM.DIST(U$3,$CU6,0.3*$CU6,TRUE)-_xlfn.NORM.DIST(U$30,$CU6,0.3*$CU6,TRUE))+$CS6*(_xlfn.NORM.DIST(U$3,$CV6,0.3*$CV6,TRUE)-_xlfn.NORM.DIST(U$30,$CV6,0.3*$CV6,TRUE))),""),IF($C6&gt;0,summary!$C$10/28.8/0.947817,""))</f>
        <v/>
      </c>
      <c r="V35">
        <f t="array" ref="V35">IF($D6,IFERROR((SUMPRODUCT((economics!$AG$2:$AG$167=$B35)*(economics!$D$2:$D$167="whr")*economics!$AH$2:$AH$167*(_xlfn.NORM.DIST(V$3,economics!$AK$2:$AK$167,economics!$AJ$2:$AJ$167,TRUE)-_xlfn.NORM.DIST(V$30,economics!$AK$2:$AK$167,economics!$AJ$2:$AJ$167,TRUE))*economics!$AM$2:$AM$167)+$CR6*(_xlfn.NORM.DIST(V$3,$CU6,0.3*$CU6,TRUE)-_xlfn.NORM.DIST(V$30,$CU6,0.3*$CU6,TRUE))*summary!$C$7/28.8/0.947817+$CS6*(_xlfn.NORM.DIST(V$3,$CV6,0.3*$CV6,TRUE)-_xlfn.NORM.DIST(V$30,$CV6,0.3*$CV6,TRUE))*summary!$C$6/28.8/0.947817)/(SUMPRODUCT((economics!$AG$2:$AG$167=$B35)*(economics!$D$2:$D$167="whr")*economics!$AH$2:$AH$167*(_xlfn.NORM.DIST(V$3,economics!$AK$2:$AK$167,economics!$AJ$2:$AJ$167,TRUE)-_xlfn.NORM.DIST(V$30,economics!$AK$2:$AK$167,economics!$AJ$2:$AJ$167,TRUE)))+$CR6*(_xlfn.NORM.DIST(V$3,$CU6,0.3*$CU6,TRUE)-_xlfn.NORM.DIST(V$30,$CU6,0.3*$CU6,TRUE))+$CS6*(_xlfn.NORM.DIST(V$3,$CV6,0.3*$CV6,TRUE)-_xlfn.NORM.DIST(V$30,$CV6,0.3*$CV6,TRUE))),""),IF($C6&gt;0,summary!$C$10/28.8/0.947817,""))</f>
        <v/>
      </c>
      <c r="W35">
        <f t="array" ref="W35">IF($D6,IFERROR((SUMPRODUCT((economics!$AG$2:$AG$167=$B35)*(economics!$D$2:$D$167="whr")*economics!$AH$2:$AH$167*(_xlfn.NORM.DIST(W$3,economics!$AK$2:$AK$167,economics!$AJ$2:$AJ$167,TRUE)-_xlfn.NORM.DIST(W$30,economics!$AK$2:$AK$167,economics!$AJ$2:$AJ$167,TRUE))*economics!$AM$2:$AM$167)+$CR6*(_xlfn.NORM.DIST(W$3,$CU6,0.3*$CU6,TRUE)-_xlfn.NORM.DIST(W$30,$CU6,0.3*$CU6,TRUE))*summary!$C$7/28.8/0.947817+$CS6*(_xlfn.NORM.DIST(W$3,$CV6,0.3*$CV6,TRUE)-_xlfn.NORM.DIST(W$30,$CV6,0.3*$CV6,TRUE))*summary!$C$6/28.8/0.947817)/(SUMPRODUCT((economics!$AG$2:$AG$167=$B35)*(economics!$D$2:$D$167="whr")*economics!$AH$2:$AH$167*(_xlfn.NORM.DIST(W$3,economics!$AK$2:$AK$167,economics!$AJ$2:$AJ$167,TRUE)-_xlfn.NORM.DIST(W$30,economics!$AK$2:$AK$167,economics!$AJ$2:$AJ$167,TRUE)))+$CR6*(_xlfn.NORM.DIST(W$3,$CU6,0.3*$CU6,TRUE)-_xlfn.NORM.DIST(W$30,$CU6,0.3*$CU6,TRUE))+$CS6*(_xlfn.NORM.DIST(W$3,$CV6,0.3*$CV6,TRUE)-_xlfn.NORM.DIST(W$30,$CV6,0.3*$CV6,TRUE))),""),IF($C6&gt;0,summary!$C$10/28.8/0.947817,""))</f>
        <v/>
      </c>
      <c r="X35">
        <f t="array" ref="X35">IF($D6,IFERROR((SUMPRODUCT((economics!$AG$2:$AG$167=$B35)*(economics!$D$2:$D$167="whr")*economics!$AH$2:$AH$167*(_xlfn.NORM.DIST(X$3,economics!$AK$2:$AK$167,economics!$AJ$2:$AJ$167,TRUE)-_xlfn.NORM.DIST(X$30,economics!$AK$2:$AK$167,economics!$AJ$2:$AJ$167,TRUE))*economics!$AM$2:$AM$167)+$CR6*(_xlfn.NORM.DIST(X$3,$CU6,0.3*$CU6,TRUE)-_xlfn.NORM.DIST(X$30,$CU6,0.3*$CU6,TRUE))*summary!$C$7/28.8/0.947817+$CS6*(_xlfn.NORM.DIST(X$3,$CV6,0.3*$CV6,TRUE)-_xlfn.NORM.DIST(X$30,$CV6,0.3*$CV6,TRUE))*summary!$C$6/28.8/0.947817)/(SUMPRODUCT((economics!$AG$2:$AG$167=$B35)*(economics!$D$2:$D$167="whr")*economics!$AH$2:$AH$167*(_xlfn.NORM.DIST(X$3,economics!$AK$2:$AK$167,economics!$AJ$2:$AJ$167,TRUE)-_xlfn.NORM.DIST(X$30,economics!$AK$2:$AK$167,economics!$AJ$2:$AJ$167,TRUE)))+$CR6*(_xlfn.NORM.DIST(X$3,$CU6,0.3*$CU6,TRUE)-_xlfn.NORM.DIST(X$30,$CU6,0.3*$CU6,TRUE))+$CS6*(_xlfn.NORM.DIST(X$3,$CV6,0.3*$CV6,TRUE)-_xlfn.NORM.DIST(X$30,$CV6,0.3*$CV6,TRUE))),""),IF($C6&gt;0,summary!$C$10/28.8/0.947817,""))</f>
        <v/>
      </c>
      <c r="Y35">
        <f t="array" ref="Y35">IF($D6,IFERROR((SUMPRODUCT((economics!$AG$2:$AG$167=$B35)*(economics!$D$2:$D$167="whr")*economics!$AH$2:$AH$167*(_xlfn.NORM.DIST(Y$3,economics!$AK$2:$AK$167,economics!$AJ$2:$AJ$167,TRUE)-_xlfn.NORM.DIST(Y$30,economics!$AK$2:$AK$167,economics!$AJ$2:$AJ$167,TRUE))*economics!$AM$2:$AM$167)+$CR6*(_xlfn.NORM.DIST(Y$3,$CU6,0.3*$CU6,TRUE)-_xlfn.NORM.DIST(Y$30,$CU6,0.3*$CU6,TRUE))*summary!$C$7/28.8/0.947817+$CS6*(_xlfn.NORM.DIST(Y$3,$CV6,0.3*$CV6,TRUE)-_xlfn.NORM.DIST(Y$30,$CV6,0.3*$CV6,TRUE))*summary!$C$6/28.8/0.947817)/(SUMPRODUCT((economics!$AG$2:$AG$167=$B35)*(economics!$D$2:$D$167="whr")*economics!$AH$2:$AH$167*(_xlfn.NORM.DIST(Y$3,economics!$AK$2:$AK$167,economics!$AJ$2:$AJ$167,TRUE)-_xlfn.NORM.DIST(Y$30,economics!$AK$2:$AK$167,economics!$AJ$2:$AJ$167,TRUE)))+$CR6*(_xlfn.NORM.DIST(Y$3,$CU6,0.3*$CU6,TRUE)-_xlfn.NORM.DIST(Y$30,$CU6,0.3*$CU6,TRUE))+$CS6*(_xlfn.NORM.DIST(Y$3,$CV6,0.3*$CV6,TRUE)-_xlfn.NORM.DIST(Y$30,$CV6,0.3*$CV6,TRUE))),""),IF($C6&gt;0,summary!$C$10/28.8/0.947817,""))</f>
        <v/>
      </c>
      <c r="Z35">
        <f t="array" ref="Z35">IF($D6,IFERROR((SUMPRODUCT((economics!$AG$2:$AG$167=$B35)*(economics!$D$2:$D$167="whr")*economics!$AH$2:$AH$167*(_xlfn.NORM.DIST(Z$3,economics!$AK$2:$AK$167,economics!$AJ$2:$AJ$167,TRUE)-_xlfn.NORM.DIST(Z$30,economics!$AK$2:$AK$167,economics!$AJ$2:$AJ$167,TRUE))*economics!$AM$2:$AM$167)+$CR6*(_xlfn.NORM.DIST(Z$3,$CU6,0.3*$CU6,TRUE)-_xlfn.NORM.DIST(Z$30,$CU6,0.3*$CU6,TRUE))*summary!$C$7/28.8/0.947817+$CS6*(_xlfn.NORM.DIST(Z$3,$CV6,0.3*$CV6,TRUE)-_xlfn.NORM.DIST(Z$30,$CV6,0.3*$CV6,TRUE))*summary!$C$6/28.8/0.947817)/(SUMPRODUCT((economics!$AG$2:$AG$167=$B35)*(economics!$D$2:$D$167="whr")*economics!$AH$2:$AH$167*(_xlfn.NORM.DIST(Z$3,economics!$AK$2:$AK$167,economics!$AJ$2:$AJ$167,TRUE)-_xlfn.NORM.DIST(Z$30,economics!$AK$2:$AK$167,economics!$AJ$2:$AJ$167,TRUE)))+$CR6*(_xlfn.NORM.DIST(Z$3,$CU6,0.3*$CU6,TRUE)-_xlfn.NORM.DIST(Z$30,$CU6,0.3*$CU6,TRUE))+$CS6*(_xlfn.NORM.DIST(Z$3,$CV6,0.3*$CV6,TRUE)-_xlfn.NORM.DIST(Z$30,$CV6,0.3*$CV6,TRUE))),""),IF($C6&gt;0,summary!$C$10/28.8/0.947817,""))</f>
        <v/>
      </c>
      <c r="AA35">
        <f t="array" ref="AA35">IF($D6,IFERROR((SUMPRODUCT((economics!$AG$2:$AG$167=$B35)*(economics!$D$2:$D$167="whr")*economics!$AH$2:$AH$167*(_xlfn.NORM.DIST(AA$3,economics!$AK$2:$AK$167,economics!$AJ$2:$AJ$167,TRUE)-_xlfn.NORM.DIST(AA$30,economics!$AK$2:$AK$167,economics!$AJ$2:$AJ$167,TRUE))*economics!$AM$2:$AM$167)+$CR6*(_xlfn.NORM.DIST(AA$3,$CU6,0.3*$CU6,TRUE)-_xlfn.NORM.DIST(AA$30,$CU6,0.3*$CU6,TRUE))*summary!$C$7/28.8/0.947817+$CS6*(_xlfn.NORM.DIST(AA$3,$CV6,0.3*$CV6,TRUE)-_xlfn.NORM.DIST(AA$30,$CV6,0.3*$CV6,TRUE))*summary!$C$6/28.8/0.947817)/(SUMPRODUCT((economics!$AG$2:$AG$167=$B35)*(economics!$D$2:$D$167="whr")*economics!$AH$2:$AH$167*(_xlfn.NORM.DIST(AA$3,economics!$AK$2:$AK$167,economics!$AJ$2:$AJ$167,TRUE)-_xlfn.NORM.DIST(AA$30,economics!$AK$2:$AK$167,economics!$AJ$2:$AJ$167,TRUE)))+$CR6*(_xlfn.NORM.DIST(AA$3,$CU6,0.3*$CU6,TRUE)-_xlfn.NORM.DIST(AA$30,$CU6,0.3*$CU6,TRUE))+$CS6*(_xlfn.NORM.DIST(AA$3,$CV6,0.3*$CV6,TRUE)-_xlfn.NORM.DIST(AA$30,$CV6,0.3*$CV6,TRUE))),""),IF($C6&gt;0,summary!$C$10/28.8/0.947817,""))</f>
        <v/>
      </c>
      <c r="AB35">
        <f t="array" ref="AB35">IF($D6,IFERROR((SUMPRODUCT((economics!$AG$2:$AG$167=$B35)*(economics!$D$2:$D$167="whr")*economics!$AH$2:$AH$167*(_xlfn.NORM.DIST(AB$3,economics!$AK$2:$AK$167,economics!$AJ$2:$AJ$167,TRUE)-_xlfn.NORM.DIST(AB$30,economics!$AK$2:$AK$167,economics!$AJ$2:$AJ$167,TRUE))*economics!$AM$2:$AM$167)+$CR6*(_xlfn.NORM.DIST(AB$3,$CU6,0.3*$CU6,TRUE)-_xlfn.NORM.DIST(AB$30,$CU6,0.3*$CU6,TRUE))*summary!$C$7/28.8/0.947817+$CS6*(_xlfn.NORM.DIST(AB$3,$CV6,0.3*$CV6,TRUE)-_xlfn.NORM.DIST(AB$30,$CV6,0.3*$CV6,TRUE))*summary!$C$6/28.8/0.947817)/(SUMPRODUCT((economics!$AG$2:$AG$167=$B35)*(economics!$D$2:$D$167="whr")*economics!$AH$2:$AH$167*(_xlfn.NORM.DIST(AB$3,economics!$AK$2:$AK$167,economics!$AJ$2:$AJ$167,TRUE)-_xlfn.NORM.DIST(AB$30,economics!$AK$2:$AK$167,economics!$AJ$2:$AJ$167,TRUE)))+$CR6*(_xlfn.NORM.DIST(AB$3,$CU6,0.3*$CU6,TRUE)-_xlfn.NORM.DIST(AB$30,$CU6,0.3*$CU6,TRUE))+$CS6*(_xlfn.NORM.DIST(AB$3,$CV6,0.3*$CV6,TRUE)-_xlfn.NORM.DIST(AB$30,$CV6,0.3*$CV6,TRUE))),""),IF($C6&gt;0,summary!$C$10/28.8/0.947817,""))</f>
        <v/>
      </c>
      <c r="AC35">
        <f t="array" ref="AC35">IF($D6,IFERROR((SUMPRODUCT((economics!$AG$2:$AG$167=$B35)*(economics!$D$2:$D$167="whr")*economics!$AH$2:$AH$167*(_xlfn.NORM.DIST(AC$3,economics!$AK$2:$AK$167,economics!$AJ$2:$AJ$167,TRUE)-_xlfn.NORM.DIST(AC$30,economics!$AK$2:$AK$167,economics!$AJ$2:$AJ$167,TRUE))*economics!$AM$2:$AM$167)+$CR6*(_xlfn.NORM.DIST(AC$3,$CU6,0.3*$CU6,TRUE)-_xlfn.NORM.DIST(AC$30,$CU6,0.3*$CU6,TRUE))*summary!$C$7/28.8/0.947817+$CS6*(_xlfn.NORM.DIST(AC$3,$CV6,0.3*$CV6,TRUE)-_xlfn.NORM.DIST(AC$30,$CV6,0.3*$CV6,TRUE))*summary!$C$6/28.8/0.947817)/(SUMPRODUCT((economics!$AG$2:$AG$167=$B35)*(economics!$D$2:$D$167="whr")*economics!$AH$2:$AH$167*(_xlfn.NORM.DIST(AC$3,economics!$AK$2:$AK$167,economics!$AJ$2:$AJ$167,TRUE)-_xlfn.NORM.DIST(AC$30,economics!$AK$2:$AK$167,economics!$AJ$2:$AJ$167,TRUE)))+$CR6*(_xlfn.NORM.DIST(AC$3,$CU6,0.3*$CU6,TRUE)-_xlfn.NORM.DIST(AC$30,$CU6,0.3*$CU6,TRUE))+$CS6*(_xlfn.NORM.DIST(AC$3,$CV6,0.3*$CV6,TRUE)-_xlfn.NORM.DIST(AC$30,$CV6,0.3*$CV6,TRUE))),""),IF($C6&gt;0,summary!$C$10/28.8/0.947817,""))</f>
        <v/>
      </c>
      <c r="AD35">
        <f t="array" ref="AD35">IF($D6,IFERROR((SUMPRODUCT((economics!$AG$2:$AG$167=$B35)*(economics!$D$2:$D$167="whr")*economics!$AH$2:$AH$167*(_xlfn.NORM.DIST(AD$3,economics!$AK$2:$AK$167,economics!$AJ$2:$AJ$167,TRUE)-_xlfn.NORM.DIST(AD$30,economics!$AK$2:$AK$167,economics!$AJ$2:$AJ$167,TRUE))*economics!$AM$2:$AM$167)+$CR6*(_xlfn.NORM.DIST(AD$3,$CU6,0.3*$CU6,TRUE)-_xlfn.NORM.DIST(AD$30,$CU6,0.3*$CU6,TRUE))*summary!$C$7/28.8/0.947817+$CS6*(_xlfn.NORM.DIST(AD$3,$CV6,0.3*$CV6,TRUE)-_xlfn.NORM.DIST(AD$30,$CV6,0.3*$CV6,TRUE))*summary!$C$6/28.8/0.947817)/(SUMPRODUCT((economics!$AG$2:$AG$167=$B35)*(economics!$D$2:$D$167="whr")*economics!$AH$2:$AH$167*(_xlfn.NORM.DIST(AD$3,economics!$AK$2:$AK$167,economics!$AJ$2:$AJ$167,TRUE)-_xlfn.NORM.DIST(AD$30,economics!$AK$2:$AK$167,economics!$AJ$2:$AJ$167,TRUE)))+$CR6*(_xlfn.NORM.DIST(AD$3,$CU6,0.3*$CU6,TRUE)-_xlfn.NORM.DIST(AD$30,$CU6,0.3*$CU6,TRUE))+$CS6*(_xlfn.NORM.DIST(AD$3,$CV6,0.3*$CV6,TRUE)-_xlfn.NORM.DIST(AD$30,$CV6,0.3*$CV6,TRUE))),""),IF($C6&gt;0,summary!$C$10/28.8/0.947817,""))</f>
        <v/>
      </c>
      <c r="AE35">
        <f t="array" ref="AE35">IF($D6,IFERROR((SUMPRODUCT((economics!$AG$2:$AG$167=$B35)*(economics!$D$2:$D$167="whr")*economics!$AH$2:$AH$167*(_xlfn.NORM.DIST(AE$3,economics!$AK$2:$AK$167,economics!$AJ$2:$AJ$167,TRUE)-_xlfn.NORM.DIST(AE$30,economics!$AK$2:$AK$167,economics!$AJ$2:$AJ$167,TRUE))*economics!$AM$2:$AM$167)+$CR6*(_xlfn.NORM.DIST(AE$3,$CU6,0.3*$CU6,TRUE)-_xlfn.NORM.DIST(AE$30,$CU6,0.3*$CU6,TRUE))*summary!$C$7/28.8/0.947817+$CS6*(_xlfn.NORM.DIST(AE$3,$CV6,0.3*$CV6,TRUE)-_xlfn.NORM.DIST(AE$30,$CV6,0.3*$CV6,TRUE))*summary!$C$6/28.8/0.947817)/(SUMPRODUCT((economics!$AG$2:$AG$167=$B35)*(economics!$D$2:$D$167="whr")*economics!$AH$2:$AH$167*(_xlfn.NORM.DIST(AE$3,economics!$AK$2:$AK$167,economics!$AJ$2:$AJ$167,TRUE)-_xlfn.NORM.DIST(AE$30,economics!$AK$2:$AK$167,economics!$AJ$2:$AJ$167,TRUE)))+$CR6*(_xlfn.NORM.DIST(AE$3,$CU6,0.3*$CU6,TRUE)-_xlfn.NORM.DIST(AE$30,$CU6,0.3*$CU6,TRUE))+$CS6*(_xlfn.NORM.DIST(AE$3,$CV6,0.3*$CV6,TRUE)-_xlfn.NORM.DIST(AE$30,$CV6,0.3*$CV6,TRUE))),""),IF($C6&gt;0,summary!$C$10/28.8/0.947817,""))</f>
        <v/>
      </c>
      <c r="AF35">
        <f t="array" ref="AF35">IF($D6,IFERROR((SUMPRODUCT((economics!$AG$2:$AG$167=$B35)*(economics!$D$2:$D$167="whr")*economics!$AH$2:$AH$167*(_xlfn.NORM.DIST(AF$3,economics!$AK$2:$AK$167,economics!$AJ$2:$AJ$167,TRUE)-_xlfn.NORM.DIST(AF$30,economics!$AK$2:$AK$167,economics!$AJ$2:$AJ$167,TRUE))*economics!$AM$2:$AM$167)+$CR6*(_xlfn.NORM.DIST(AF$3,$CU6,0.3*$CU6,TRUE)-_xlfn.NORM.DIST(AF$30,$CU6,0.3*$CU6,TRUE))*summary!$C$7/28.8/0.947817+$CS6*(_xlfn.NORM.DIST(AF$3,$CV6,0.3*$CV6,TRUE)-_xlfn.NORM.DIST(AF$30,$CV6,0.3*$CV6,TRUE))*summary!$C$6/28.8/0.947817)/(SUMPRODUCT((economics!$AG$2:$AG$167=$B35)*(economics!$D$2:$D$167="whr")*economics!$AH$2:$AH$167*(_xlfn.NORM.DIST(AF$3,economics!$AK$2:$AK$167,economics!$AJ$2:$AJ$167,TRUE)-_xlfn.NORM.DIST(AF$30,economics!$AK$2:$AK$167,economics!$AJ$2:$AJ$167,TRUE)))+$CR6*(_xlfn.NORM.DIST(AF$3,$CU6,0.3*$CU6,TRUE)-_xlfn.NORM.DIST(AF$30,$CU6,0.3*$CU6,TRUE))+$CS6*(_xlfn.NORM.DIST(AF$3,$CV6,0.3*$CV6,TRUE)-_xlfn.NORM.DIST(AF$30,$CV6,0.3*$CV6,TRUE))),""),IF($C6&gt;0,summary!$C$10/28.8/0.947817,""))</f>
        <v/>
      </c>
      <c r="AG35">
        <f t="array" ref="AG35">IF($D6,IFERROR((SUMPRODUCT((economics!$AG$2:$AG$167=$B35)*(economics!$D$2:$D$167="whr")*economics!$AH$2:$AH$167*(_xlfn.NORM.DIST(AG$3,economics!$AK$2:$AK$167,economics!$AJ$2:$AJ$167,TRUE)-_xlfn.NORM.DIST(AG$30,economics!$AK$2:$AK$167,economics!$AJ$2:$AJ$167,TRUE))*economics!$AM$2:$AM$167)+$CR6*(_xlfn.NORM.DIST(AG$3,$CU6,0.3*$CU6,TRUE)-_xlfn.NORM.DIST(AG$30,$CU6,0.3*$CU6,TRUE))*summary!$C$7/28.8/0.947817+$CS6*(_xlfn.NORM.DIST(AG$3,$CV6,0.3*$CV6,TRUE)-_xlfn.NORM.DIST(AG$30,$CV6,0.3*$CV6,TRUE))*summary!$C$6/28.8/0.947817)/(SUMPRODUCT((economics!$AG$2:$AG$167=$B35)*(economics!$D$2:$D$167="whr")*economics!$AH$2:$AH$167*(_xlfn.NORM.DIST(AG$3,economics!$AK$2:$AK$167,economics!$AJ$2:$AJ$167,TRUE)-_xlfn.NORM.DIST(AG$30,economics!$AK$2:$AK$167,economics!$AJ$2:$AJ$167,TRUE)))+$CR6*(_xlfn.NORM.DIST(AG$3,$CU6,0.3*$CU6,TRUE)-_xlfn.NORM.DIST(AG$30,$CU6,0.3*$CU6,TRUE))+$CS6*(_xlfn.NORM.DIST(AG$3,$CV6,0.3*$CV6,TRUE)-_xlfn.NORM.DIST(AG$30,$CV6,0.3*$CV6,TRUE))),""),IF($C6&gt;0,summary!$C$10/28.8/0.947817,""))</f>
        <v/>
      </c>
      <c r="AH35">
        <f t="array" ref="AH35">IF($D6,IFERROR((SUMPRODUCT((economics!$AG$2:$AG$167=$B35)*(economics!$D$2:$D$167="whr")*economics!$AH$2:$AH$167*(_xlfn.NORM.DIST(AH$3,economics!$AK$2:$AK$167,economics!$AJ$2:$AJ$167,TRUE)-_xlfn.NORM.DIST(AH$30,economics!$AK$2:$AK$167,economics!$AJ$2:$AJ$167,TRUE))*economics!$AM$2:$AM$167)+$CR6*(_xlfn.NORM.DIST(AH$3,$CU6,0.3*$CU6,TRUE)-_xlfn.NORM.DIST(AH$30,$CU6,0.3*$CU6,TRUE))*summary!$C$7/28.8/0.947817+$CS6*(_xlfn.NORM.DIST(AH$3,$CV6,0.3*$CV6,TRUE)-_xlfn.NORM.DIST(AH$30,$CV6,0.3*$CV6,TRUE))*summary!$C$6/28.8/0.947817)/(SUMPRODUCT((economics!$AG$2:$AG$167=$B35)*(economics!$D$2:$D$167="whr")*economics!$AH$2:$AH$167*(_xlfn.NORM.DIST(AH$3,economics!$AK$2:$AK$167,economics!$AJ$2:$AJ$167,TRUE)-_xlfn.NORM.DIST(AH$30,economics!$AK$2:$AK$167,economics!$AJ$2:$AJ$167,TRUE)))+$CR6*(_xlfn.NORM.DIST(AH$3,$CU6,0.3*$CU6,TRUE)-_xlfn.NORM.DIST(AH$30,$CU6,0.3*$CU6,TRUE))+$CS6*(_xlfn.NORM.DIST(AH$3,$CV6,0.3*$CV6,TRUE)-_xlfn.NORM.DIST(AH$30,$CV6,0.3*$CV6,TRUE))),""),IF($C6&gt;0,summary!$C$10/28.8/0.947817,""))</f>
        <v/>
      </c>
      <c r="AI35">
        <f t="array" ref="AI35">IF($D6,IFERROR((SUMPRODUCT((economics!$AG$2:$AG$167=$B35)*(economics!$D$2:$D$167="whr")*economics!$AH$2:$AH$167*(_xlfn.NORM.DIST(AI$3,economics!$AK$2:$AK$167,economics!$AJ$2:$AJ$167,TRUE)-_xlfn.NORM.DIST(AI$30,economics!$AK$2:$AK$167,economics!$AJ$2:$AJ$167,TRUE))*economics!$AM$2:$AM$167)+$CR6*(_xlfn.NORM.DIST(AI$3,$CU6,0.3*$CU6,TRUE)-_xlfn.NORM.DIST(AI$30,$CU6,0.3*$CU6,TRUE))*summary!$C$7/28.8/0.947817+$CS6*(_xlfn.NORM.DIST(AI$3,$CV6,0.3*$CV6,TRUE)-_xlfn.NORM.DIST(AI$30,$CV6,0.3*$CV6,TRUE))*summary!$C$6/28.8/0.947817)/(SUMPRODUCT((economics!$AG$2:$AG$167=$B35)*(economics!$D$2:$D$167="whr")*economics!$AH$2:$AH$167*(_xlfn.NORM.DIST(AI$3,economics!$AK$2:$AK$167,economics!$AJ$2:$AJ$167,TRUE)-_xlfn.NORM.DIST(AI$30,economics!$AK$2:$AK$167,economics!$AJ$2:$AJ$167,TRUE)))+$CR6*(_xlfn.NORM.DIST(AI$3,$CU6,0.3*$CU6,TRUE)-_xlfn.NORM.DIST(AI$30,$CU6,0.3*$CU6,TRUE))+$CS6*(_xlfn.NORM.DIST(AI$3,$CV6,0.3*$CV6,TRUE)-_xlfn.NORM.DIST(AI$30,$CV6,0.3*$CV6,TRUE))),""),IF($C6&gt;0,summary!$C$10/28.8/0.947817,""))</f>
        <v/>
      </c>
      <c r="AJ35">
        <f t="array" ref="AJ35">IF($D6,IFERROR((SUMPRODUCT((economics!$AG$2:$AG$167=$B35)*(economics!$D$2:$D$167="whr")*economics!$AH$2:$AH$167*(_xlfn.NORM.DIST(AJ$3,economics!$AK$2:$AK$167,economics!$AJ$2:$AJ$167,TRUE)-_xlfn.NORM.DIST(AJ$30,economics!$AK$2:$AK$167,economics!$AJ$2:$AJ$167,TRUE))*economics!$AM$2:$AM$167)+$CR6*(_xlfn.NORM.DIST(AJ$3,$CU6,0.3*$CU6,TRUE)-_xlfn.NORM.DIST(AJ$30,$CU6,0.3*$CU6,TRUE))*summary!$C$7/28.8/0.947817+$CS6*(_xlfn.NORM.DIST(AJ$3,$CV6,0.3*$CV6,TRUE)-_xlfn.NORM.DIST(AJ$30,$CV6,0.3*$CV6,TRUE))*summary!$C$6/28.8/0.947817)/(SUMPRODUCT((economics!$AG$2:$AG$167=$B35)*(economics!$D$2:$D$167="whr")*economics!$AH$2:$AH$167*(_xlfn.NORM.DIST(AJ$3,economics!$AK$2:$AK$167,economics!$AJ$2:$AJ$167,TRUE)-_xlfn.NORM.DIST(AJ$30,economics!$AK$2:$AK$167,economics!$AJ$2:$AJ$167,TRUE)))+$CR6*(_xlfn.NORM.DIST(AJ$3,$CU6,0.3*$CU6,TRUE)-_xlfn.NORM.DIST(AJ$30,$CU6,0.3*$CU6,TRUE))+$CS6*(_xlfn.NORM.DIST(AJ$3,$CV6,0.3*$CV6,TRUE)-_xlfn.NORM.DIST(AJ$30,$CV6,0.3*$CV6,TRUE))),""),IF($C6&gt;0,summary!$C$10/28.8/0.947817,""))</f>
        <v/>
      </c>
      <c r="AK35">
        <f t="array" ref="AK35">IF($D6,IFERROR((SUMPRODUCT((economics!$AG$2:$AG$167=$B35)*(economics!$D$2:$D$167="whr")*economics!$AH$2:$AH$167*(_xlfn.NORM.DIST(AK$3,economics!$AK$2:$AK$167,economics!$AJ$2:$AJ$167,TRUE)-_xlfn.NORM.DIST(AK$30,economics!$AK$2:$AK$167,economics!$AJ$2:$AJ$167,TRUE))*economics!$AM$2:$AM$167)+$CR6*(_xlfn.NORM.DIST(AK$3,$CU6,0.3*$CU6,TRUE)-_xlfn.NORM.DIST(AK$30,$CU6,0.3*$CU6,TRUE))*summary!$C$7/28.8/0.947817+$CS6*(_xlfn.NORM.DIST(AK$3,$CV6,0.3*$CV6,TRUE)-_xlfn.NORM.DIST(AK$30,$CV6,0.3*$CV6,TRUE))*summary!$C$6/28.8/0.947817)/(SUMPRODUCT((economics!$AG$2:$AG$167=$B35)*(economics!$D$2:$D$167="whr")*economics!$AH$2:$AH$167*(_xlfn.NORM.DIST(AK$3,economics!$AK$2:$AK$167,economics!$AJ$2:$AJ$167,TRUE)-_xlfn.NORM.DIST(AK$30,economics!$AK$2:$AK$167,economics!$AJ$2:$AJ$167,TRUE)))+$CR6*(_xlfn.NORM.DIST(AK$3,$CU6,0.3*$CU6,TRUE)-_xlfn.NORM.DIST(AK$30,$CU6,0.3*$CU6,TRUE))+$CS6*(_xlfn.NORM.DIST(AK$3,$CV6,0.3*$CV6,TRUE)-_xlfn.NORM.DIST(AK$30,$CV6,0.3*$CV6,TRUE))),""),IF($C6&gt;0,summary!$C$10/28.8/0.947817,""))</f>
        <v/>
      </c>
      <c r="AL35">
        <f t="array" ref="AL35">IF($D6,IFERROR((SUMPRODUCT((economics!$AG$2:$AG$167=$B35)*(economics!$D$2:$D$167="whr")*economics!$AH$2:$AH$167*(_xlfn.NORM.DIST(AL$3,economics!$AK$2:$AK$167,economics!$AJ$2:$AJ$167,TRUE)-_xlfn.NORM.DIST(AL$30,economics!$AK$2:$AK$167,economics!$AJ$2:$AJ$167,TRUE))*economics!$AM$2:$AM$167)+$CR6*(_xlfn.NORM.DIST(AL$3,$CU6,0.3*$CU6,TRUE)-_xlfn.NORM.DIST(AL$30,$CU6,0.3*$CU6,TRUE))*summary!$C$7/28.8/0.947817+$CS6*(_xlfn.NORM.DIST(AL$3,$CV6,0.3*$CV6,TRUE)-_xlfn.NORM.DIST(AL$30,$CV6,0.3*$CV6,TRUE))*summary!$C$6/28.8/0.947817)/(SUMPRODUCT((economics!$AG$2:$AG$167=$B35)*(economics!$D$2:$D$167="whr")*economics!$AH$2:$AH$167*(_xlfn.NORM.DIST(AL$3,economics!$AK$2:$AK$167,economics!$AJ$2:$AJ$167,TRUE)-_xlfn.NORM.DIST(AL$30,economics!$AK$2:$AK$167,economics!$AJ$2:$AJ$167,TRUE)))+$CR6*(_xlfn.NORM.DIST(AL$3,$CU6,0.3*$CU6,TRUE)-_xlfn.NORM.DIST(AL$30,$CU6,0.3*$CU6,TRUE))+$CS6*(_xlfn.NORM.DIST(AL$3,$CV6,0.3*$CV6,TRUE)-_xlfn.NORM.DIST(AL$30,$CV6,0.3*$CV6,TRUE))),""),IF($C6&gt;0,summary!$C$10/28.8/0.947817,""))</f>
        <v/>
      </c>
      <c r="AM35">
        <f t="array" ref="AM35">IF($D6,IFERROR((SUMPRODUCT((economics!$AG$2:$AG$167=$B35)*(economics!$D$2:$D$167="whr")*economics!$AH$2:$AH$167*(_xlfn.NORM.DIST(AM$3,economics!$AK$2:$AK$167,economics!$AJ$2:$AJ$167,TRUE)-_xlfn.NORM.DIST(AM$30,economics!$AK$2:$AK$167,economics!$AJ$2:$AJ$167,TRUE))*economics!$AM$2:$AM$167)+$CR6*(_xlfn.NORM.DIST(AM$3,$CU6,0.3*$CU6,TRUE)-_xlfn.NORM.DIST(AM$30,$CU6,0.3*$CU6,TRUE))*summary!$C$7/28.8/0.947817+$CS6*(_xlfn.NORM.DIST(AM$3,$CV6,0.3*$CV6,TRUE)-_xlfn.NORM.DIST(AM$30,$CV6,0.3*$CV6,TRUE))*summary!$C$6/28.8/0.947817)/(SUMPRODUCT((economics!$AG$2:$AG$167=$B35)*(economics!$D$2:$D$167="whr")*economics!$AH$2:$AH$167*(_xlfn.NORM.DIST(AM$3,economics!$AK$2:$AK$167,economics!$AJ$2:$AJ$167,TRUE)-_xlfn.NORM.DIST(AM$30,economics!$AK$2:$AK$167,economics!$AJ$2:$AJ$167,TRUE)))+$CR6*(_xlfn.NORM.DIST(AM$3,$CU6,0.3*$CU6,TRUE)-_xlfn.NORM.DIST(AM$30,$CU6,0.3*$CU6,TRUE))+$CS6*(_xlfn.NORM.DIST(AM$3,$CV6,0.3*$CV6,TRUE)-_xlfn.NORM.DIST(AM$30,$CV6,0.3*$CV6,TRUE))),""),IF($C6&gt;0,summary!$C$10/28.8/0.947817,""))</f>
        <v/>
      </c>
      <c r="AN35">
        <f t="array" ref="AN35">IF($D6,IFERROR((SUMPRODUCT((economics!$AG$2:$AG$167=$B35)*(economics!$D$2:$D$167="whr")*economics!$AH$2:$AH$167*(_xlfn.NORM.DIST(AN$3,economics!$AK$2:$AK$167,economics!$AJ$2:$AJ$167,TRUE)-_xlfn.NORM.DIST(AN$30,economics!$AK$2:$AK$167,economics!$AJ$2:$AJ$167,TRUE))*economics!$AM$2:$AM$167)+$CR6*(_xlfn.NORM.DIST(AN$3,$CU6,0.3*$CU6,TRUE)-_xlfn.NORM.DIST(AN$30,$CU6,0.3*$CU6,TRUE))*summary!$C$7/28.8/0.947817+$CS6*(_xlfn.NORM.DIST(AN$3,$CV6,0.3*$CV6,TRUE)-_xlfn.NORM.DIST(AN$30,$CV6,0.3*$CV6,TRUE))*summary!$C$6/28.8/0.947817)/(SUMPRODUCT((economics!$AG$2:$AG$167=$B35)*(economics!$D$2:$D$167="whr")*economics!$AH$2:$AH$167*(_xlfn.NORM.DIST(AN$3,economics!$AK$2:$AK$167,economics!$AJ$2:$AJ$167,TRUE)-_xlfn.NORM.DIST(AN$30,economics!$AK$2:$AK$167,economics!$AJ$2:$AJ$167,TRUE)))+$CR6*(_xlfn.NORM.DIST(AN$3,$CU6,0.3*$CU6,TRUE)-_xlfn.NORM.DIST(AN$30,$CU6,0.3*$CU6,TRUE))+$CS6*(_xlfn.NORM.DIST(AN$3,$CV6,0.3*$CV6,TRUE)-_xlfn.NORM.DIST(AN$30,$CV6,0.3*$CV6,TRUE))),""),IF($C6&gt;0,summary!$C$10/28.8/0.947817,""))</f>
        <v/>
      </c>
      <c r="AO35">
        <f t="array" ref="AO35">IF($D6,IFERROR((SUMPRODUCT((economics!$AG$2:$AG$167=$B35)*(economics!$D$2:$D$167="whr")*economics!$AH$2:$AH$167*(_xlfn.NORM.DIST(AO$3,economics!$AK$2:$AK$167,economics!$AJ$2:$AJ$167,TRUE)-_xlfn.NORM.DIST(AO$30,economics!$AK$2:$AK$167,economics!$AJ$2:$AJ$167,TRUE))*economics!$AM$2:$AM$167)+$CR6*(_xlfn.NORM.DIST(AO$3,$CU6,0.3*$CU6,TRUE)-_xlfn.NORM.DIST(AO$30,$CU6,0.3*$CU6,TRUE))*summary!$C$7/28.8/0.947817+$CS6*(_xlfn.NORM.DIST(AO$3,$CV6,0.3*$CV6,TRUE)-_xlfn.NORM.DIST(AO$30,$CV6,0.3*$CV6,TRUE))*summary!$C$6/28.8/0.947817)/(SUMPRODUCT((economics!$AG$2:$AG$167=$B35)*(economics!$D$2:$D$167="whr")*economics!$AH$2:$AH$167*(_xlfn.NORM.DIST(AO$3,economics!$AK$2:$AK$167,economics!$AJ$2:$AJ$167,TRUE)-_xlfn.NORM.DIST(AO$30,economics!$AK$2:$AK$167,economics!$AJ$2:$AJ$167,TRUE)))+$CR6*(_xlfn.NORM.DIST(AO$3,$CU6,0.3*$CU6,TRUE)-_xlfn.NORM.DIST(AO$30,$CU6,0.3*$CU6,TRUE))+$CS6*(_xlfn.NORM.DIST(AO$3,$CV6,0.3*$CV6,TRUE)-_xlfn.NORM.DIST(AO$30,$CV6,0.3*$CV6,TRUE))),""),IF($C6&gt;0,summary!$C$10/28.8/0.947817,""))</f>
        <v/>
      </c>
      <c r="AP35">
        <f t="array" ref="AP35">IF($D6,IFERROR((SUMPRODUCT((economics!$AG$2:$AG$167=$B35)*(economics!$D$2:$D$167="whr")*economics!$AH$2:$AH$167*(_xlfn.NORM.DIST(AP$3,economics!$AK$2:$AK$167,economics!$AJ$2:$AJ$167,TRUE)-_xlfn.NORM.DIST(AP$30,economics!$AK$2:$AK$167,economics!$AJ$2:$AJ$167,TRUE))*economics!$AM$2:$AM$167)+$CR6*(_xlfn.NORM.DIST(AP$3,$CU6,0.3*$CU6,TRUE)-_xlfn.NORM.DIST(AP$30,$CU6,0.3*$CU6,TRUE))*summary!$C$7/28.8/0.947817+$CS6*(_xlfn.NORM.DIST(AP$3,$CV6,0.3*$CV6,TRUE)-_xlfn.NORM.DIST(AP$30,$CV6,0.3*$CV6,TRUE))*summary!$C$6/28.8/0.947817)/(SUMPRODUCT((economics!$AG$2:$AG$167=$B35)*(economics!$D$2:$D$167="whr")*economics!$AH$2:$AH$167*(_xlfn.NORM.DIST(AP$3,economics!$AK$2:$AK$167,economics!$AJ$2:$AJ$167,TRUE)-_xlfn.NORM.DIST(AP$30,economics!$AK$2:$AK$167,economics!$AJ$2:$AJ$167,TRUE)))+$CR6*(_xlfn.NORM.DIST(AP$3,$CU6,0.3*$CU6,TRUE)-_xlfn.NORM.DIST(AP$30,$CU6,0.3*$CU6,TRUE))+$CS6*(_xlfn.NORM.DIST(AP$3,$CV6,0.3*$CV6,TRUE)-_xlfn.NORM.DIST(AP$30,$CV6,0.3*$CV6,TRUE))),""),IF($C6&gt;0,summary!$C$10/28.8/0.947817,""))</f>
        <v/>
      </c>
      <c r="AQ35">
        <f t="array" ref="AQ35">IF($D6,IFERROR((SUMPRODUCT((economics!$AG$2:$AG$167=$B35)*(economics!$D$2:$D$167="whr")*economics!$AH$2:$AH$167*(_xlfn.NORM.DIST(AQ$3,economics!$AK$2:$AK$167,economics!$AJ$2:$AJ$167,TRUE)-_xlfn.NORM.DIST(AQ$30,economics!$AK$2:$AK$167,economics!$AJ$2:$AJ$167,TRUE))*economics!$AM$2:$AM$167)+$CR6*(_xlfn.NORM.DIST(AQ$3,$CU6,0.3*$CU6,TRUE)-_xlfn.NORM.DIST(AQ$30,$CU6,0.3*$CU6,TRUE))*summary!$C$7/28.8/0.947817+$CS6*(_xlfn.NORM.DIST(AQ$3,$CV6,0.3*$CV6,TRUE)-_xlfn.NORM.DIST(AQ$30,$CV6,0.3*$CV6,TRUE))*summary!$C$6/28.8/0.947817)/(SUMPRODUCT((economics!$AG$2:$AG$167=$B35)*(economics!$D$2:$D$167="whr")*economics!$AH$2:$AH$167*(_xlfn.NORM.DIST(AQ$3,economics!$AK$2:$AK$167,economics!$AJ$2:$AJ$167,TRUE)-_xlfn.NORM.DIST(AQ$30,economics!$AK$2:$AK$167,economics!$AJ$2:$AJ$167,TRUE)))+$CR6*(_xlfn.NORM.DIST(AQ$3,$CU6,0.3*$CU6,TRUE)-_xlfn.NORM.DIST(AQ$30,$CU6,0.3*$CU6,TRUE))+$CS6*(_xlfn.NORM.DIST(AQ$3,$CV6,0.3*$CV6,TRUE)-_xlfn.NORM.DIST(AQ$30,$CV6,0.3*$CV6,TRUE))),""),IF($C6&gt;0,summary!$C$10/28.8/0.947817,""))</f>
        <v/>
      </c>
      <c r="AR35">
        <f t="array" ref="AR35">IF($D6,IFERROR((SUMPRODUCT((economics!$AG$2:$AG$167=$B35)*(economics!$D$2:$D$167="whr")*economics!$AH$2:$AH$167*(_xlfn.NORM.DIST(AR$3,economics!$AK$2:$AK$167,economics!$AJ$2:$AJ$167,TRUE)-_xlfn.NORM.DIST(AR$30,economics!$AK$2:$AK$167,economics!$AJ$2:$AJ$167,TRUE))*economics!$AM$2:$AM$167)+$CR6*(_xlfn.NORM.DIST(AR$3,$CU6,0.3*$CU6,TRUE)-_xlfn.NORM.DIST(AR$30,$CU6,0.3*$CU6,TRUE))*summary!$C$7/28.8/0.947817+$CS6*(_xlfn.NORM.DIST(AR$3,$CV6,0.3*$CV6,TRUE)-_xlfn.NORM.DIST(AR$30,$CV6,0.3*$CV6,TRUE))*summary!$C$6/28.8/0.947817)/(SUMPRODUCT((economics!$AG$2:$AG$167=$B35)*(economics!$D$2:$D$167="whr")*economics!$AH$2:$AH$167*(_xlfn.NORM.DIST(AR$3,economics!$AK$2:$AK$167,economics!$AJ$2:$AJ$167,TRUE)-_xlfn.NORM.DIST(AR$30,economics!$AK$2:$AK$167,economics!$AJ$2:$AJ$167,TRUE)))+$CR6*(_xlfn.NORM.DIST(AR$3,$CU6,0.3*$CU6,TRUE)-_xlfn.NORM.DIST(AR$30,$CU6,0.3*$CU6,TRUE))+$CS6*(_xlfn.NORM.DIST(AR$3,$CV6,0.3*$CV6,TRUE)-_xlfn.NORM.DIST(AR$30,$CV6,0.3*$CV6,TRUE))),""),IF($C6&gt;0,summary!$C$10/28.8/0.947817,""))</f>
        <v/>
      </c>
      <c r="AS35">
        <f t="array" ref="AS35">IF($D6,IFERROR((SUMPRODUCT((economics!$AG$2:$AG$167=$B35)*(economics!$D$2:$D$167="whr")*economics!$AH$2:$AH$167*(_xlfn.NORM.DIST(AS$3,economics!$AK$2:$AK$167,economics!$AJ$2:$AJ$167,TRUE)-_xlfn.NORM.DIST(AS$30,economics!$AK$2:$AK$167,economics!$AJ$2:$AJ$167,TRUE))*economics!$AM$2:$AM$167)+$CR6*(_xlfn.NORM.DIST(AS$3,$CU6,0.3*$CU6,TRUE)-_xlfn.NORM.DIST(AS$30,$CU6,0.3*$CU6,TRUE))*summary!$C$7/28.8/0.947817+$CS6*(_xlfn.NORM.DIST(AS$3,$CV6,0.3*$CV6,TRUE)-_xlfn.NORM.DIST(AS$30,$CV6,0.3*$CV6,TRUE))*summary!$C$6/28.8/0.947817)/(SUMPRODUCT((economics!$AG$2:$AG$167=$B35)*(economics!$D$2:$D$167="whr")*economics!$AH$2:$AH$167*(_xlfn.NORM.DIST(AS$3,economics!$AK$2:$AK$167,economics!$AJ$2:$AJ$167,TRUE)-_xlfn.NORM.DIST(AS$30,economics!$AK$2:$AK$167,economics!$AJ$2:$AJ$167,TRUE)))+$CR6*(_xlfn.NORM.DIST(AS$3,$CU6,0.3*$CU6,TRUE)-_xlfn.NORM.DIST(AS$30,$CU6,0.3*$CU6,TRUE))+$CS6*(_xlfn.NORM.DIST(AS$3,$CV6,0.3*$CV6,TRUE)-_xlfn.NORM.DIST(AS$30,$CV6,0.3*$CV6,TRUE))),""),IF($C6&gt;0,summary!$C$10/28.8/0.947817,""))</f>
        <v/>
      </c>
      <c r="AT35">
        <f t="array" ref="AT35">IF($D6,IFERROR((SUMPRODUCT((economics!$AG$2:$AG$167=$B35)*(economics!$D$2:$D$167="whr")*economics!$AH$2:$AH$167*(_xlfn.NORM.DIST(AT$3,economics!$AK$2:$AK$167,economics!$AJ$2:$AJ$167,TRUE)-_xlfn.NORM.DIST(AT$30,economics!$AK$2:$AK$167,economics!$AJ$2:$AJ$167,TRUE))*economics!$AM$2:$AM$167)+$CR6*(_xlfn.NORM.DIST(AT$3,$CU6,0.3*$CU6,TRUE)-_xlfn.NORM.DIST(AT$30,$CU6,0.3*$CU6,TRUE))*summary!$C$7/28.8/0.947817+$CS6*(_xlfn.NORM.DIST(AT$3,$CV6,0.3*$CV6,TRUE)-_xlfn.NORM.DIST(AT$30,$CV6,0.3*$CV6,TRUE))*summary!$C$6/28.8/0.947817)/(SUMPRODUCT((economics!$AG$2:$AG$167=$B35)*(economics!$D$2:$D$167="whr")*economics!$AH$2:$AH$167*(_xlfn.NORM.DIST(AT$3,economics!$AK$2:$AK$167,economics!$AJ$2:$AJ$167,TRUE)-_xlfn.NORM.DIST(AT$30,economics!$AK$2:$AK$167,economics!$AJ$2:$AJ$167,TRUE)))+$CR6*(_xlfn.NORM.DIST(AT$3,$CU6,0.3*$CU6,TRUE)-_xlfn.NORM.DIST(AT$30,$CU6,0.3*$CU6,TRUE))+$CS6*(_xlfn.NORM.DIST(AT$3,$CV6,0.3*$CV6,TRUE)-_xlfn.NORM.DIST(AT$30,$CV6,0.3*$CV6,TRUE))),""),IF($C6&gt;0,summary!$C$10/28.8/0.947817,""))</f>
        <v/>
      </c>
      <c r="AU35">
        <f t="array" ref="AU35">IF($D6,IFERROR((SUMPRODUCT((economics!$AG$2:$AG$167=$B35)*(economics!$D$2:$D$167="whr")*economics!$AH$2:$AH$167*(_xlfn.NORM.DIST(AU$3,economics!$AK$2:$AK$167,economics!$AJ$2:$AJ$167,TRUE)-_xlfn.NORM.DIST(AU$30,economics!$AK$2:$AK$167,economics!$AJ$2:$AJ$167,TRUE))*economics!$AM$2:$AM$167)+$CR6*(_xlfn.NORM.DIST(AU$3,$CU6,0.3*$CU6,TRUE)-_xlfn.NORM.DIST(AU$30,$CU6,0.3*$CU6,TRUE))*summary!$C$7/28.8/0.947817+$CS6*(_xlfn.NORM.DIST(AU$3,$CV6,0.3*$CV6,TRUE)-_xlfn.NORM.DIST(AU$30,$CV6,0.3*$CV6,TRUE))*summary!$C$6/28.8/0.947817)/(SUMPRODUCT((economics!$AG$2:$AG$167=$B35)*(economics!$D$2:$D$167="whr")*economics!$AH$2:$AH$167*(_xlfn.NORM.DIST(AU$3,economics!$AK$2:$AK$167,economics!$AJ$2:$AJ$167,TRUE)-_xlfn.NORM.DIST(AU$30,economics!$AK$2:$AK$167,economics!$AJ$2:$AJ$167,TRUE)))+$CR6*(_xlfn.NORM.DIST(AU$3,$CU6,0.3*$CU6,TRUE)-_xlfn.NORM.DIST(AU$30,$CU6,0.3*$CU6,TRUE))+$CS6*(_xlfn.NORM.DIST(AU$3,$CV6,0.3*$CV6,TRUE)-_xlfn.NORM.DIST(AU$30,$CV6,0.3*$CV6,TRUE))),""),IF($C6&gt;0,summary!$C$10/28.8/0.947817,""))</f>
        <v/>
      </c>
      <c r="AV35">
        <f t="array" ref="AV35">IF($D6,IFERROR((SUMPRODUCT((economics!$AG$2:$AG$167=$B35)*(economics!$D$2:$D$167="whr")*economics!$AH$2:$AH$167*(_xlfn.NORM.DIST(AV$3,economics!$AK$2:$AK$167,economics!$AJ$2:$AJ$167,TRUE)-_xlfn.NORM.DIST(AV$30,economics!$AK$2:$AK$167,economics!$AJ$2:$AJ$167,TRUE))*economics!$AM$2:$AM$167)+$CR6*(_xlfn.NORM.DIST(AV$3,$CU6,0.3*$CU6,TRUE)-_xlfn.NORM.DIST(AV$30,$CU6,0.3*$CU6,TRUE))*summary!$C$7/28.8/0.947817+$CS6*(_xlfn.NORM.DIST(AV$3,$CV6,0.3*$CV6,TRUE)-_xlfn.NORM.DIST(AV$30,$CV6,0.3*$CV6,TRUE))*summary!$C$6/28.8/0.947817)/(SUMPRODUCT((economics!$AG$2:$AG$167=$B35)*(economics!$D$2:$D$167="whr")*economics!$AH$2:$AH$167*(_xlfn.NORM.DIST(AV$3,economics!$AK$2:$AK$167,economics!$AJ$2:$AJ$167,TRUE)-_xlfn.NORM.DIST(AV$30,economics!$AK$2:$AK$167,economics!$AJ$2:$AJ$167,TRUE)))+$CR6*(_xlfn.NORM.DIST(AV$3,$CU6,0.3*$CU6,TRUE)-_xlfn.NORM.DIST(AV$30,$CU6,0.3*$CU6,TRUE))+$CS6*(_xlfn.NORM.DIST(AV$3,$CV6,0.3*$CV6,TRUE)-_xlfn.NORM.DIST(AV$30,$CV6,0.3*$CV6,TRUE))),""),IF($C6&gt;0,summary!$C$10/28.8/0.947817,""))</f>
        <v/>
      </c>
      <c r="AW35">
        <f t="array" ref="AW35">IF($D6,IFERROR((SUMPRODUCT((economics!$AG$2:$AG$167=$B35)*(economics!$D$2:$D$167="whr")*economics!$AH$2:$AH$167*(_xlfn.NORM.DIST(AW$3,economics!$AK$2:$AK$167,economics!$AJ$2:$AJ$167,TRUE)-_xlfn.NORM.DIST(AW$30,economics!$AK$2:$AK$167,economics!$AJ$2:$AJ$167,TRUE))*economics!$AM$2:$AM$167)+$CR6*(_xlfn.NORM.DIST(AW$3,$CU6,0.3*$CU6,TRUE)-_xlfn.NORM.DIST(AW$30,$CU6,0.3*$CU6,TRUE))*summary!$C$7/28.8/0.947817+$CS6*(_xlfn.NORM.DIST(AW$3,$CV6,0.3*$CV6,TRUE)-_xlfn.NORM.DIST(AW$30,$CV6,0.3*$CV6,TRUE))*summary!$C$6/28.8/0.947817)/(SUMPRODUCT((economics!$AG$2:$AG$167=$B35)*(economics!$D$2:$D$167="whr")*economics!$AH$2:$AH$167*(_xlfn.NORM.DIST(AW$3,economics!$AK$2:$AK$167,economics!$AJ$2:$AJ$167,TRUE)-_xlfn.NORM.DIST(AW$30,economics!$AK$2:$AK$167,economics!$AJ$2:$AJ$167,TRUE)))+$CR6*(_xlfn.NORM.DIST(AW$3,$CU6,0.3*$CU6,TRUE)-_xlfn.NORM.DIST(AW$30,$CU6,0.3*$CU6,TRUE))+$CS6*(_xlfn.NORM.DIST(AW$3,$CV6,0.3*$CV6,TRUE)-_xlfn.NORM.DIST(AW$30,$CV6,0.3*$CV6,TRUE))),""),IF($C6&gt;0,summary!$C$10/28.8/0.947817,""))</f>
        <v/>
      </c>
      <c r="AX35">
        <f t="array" ref="AX35">IF($D6,IFERROR((SUMPRODUCT((economics!$AG$2:$AG$167=$B35)*(economics!$D$2:$D$167="whr")*economics!$AH$2:$AH$167*(_xlfn.NORM.DIST(AX$3,economics!$AK$2:$AK$167,economics!$AJ$2:$AJ$167,TRUE)-_xlfn.NORM.DIST(AX$30,economics!$AK$2:$AK$167,economics!$AJ$2:$AJ$167,TRUE))*economics!$AM$2:$AM$167)+$CR6*(_xlfn.NORM.DIST(AX$3,$CU6,0.3*$CU6,TRUE)-_xlfn.NORM.DIST(AX$30,$CU6,0.3*$CU6,TRUE))*summary!$C$7/28.8/0.947817+$CS6*(_xlfn.NORM.DIST(AX$3,$CV6,0.3*$CV6,TRUE)-_xlfn.NORM.DIST(AX$30,$CV6,0.3*$CV6,TRUE))*summary!$C$6/28.8/0.947817)/(SUMPRODUCT((economics!$AG$2:$AG$167=$B35)*(economics!$D$2:$D$167="whr")*economics!$AH$2:$AH$167*(_xlfn.NORM.DIST(AX$3,economics!$AK$2:$AK$167,economics!$AJ$2:$AJ$167,TRUE)-_xlfn.NORM.DIST(AX$30,economics!$AK$2:$AK$167,economics!$AJ$2:$AJ$167,TRUE)))+$CR6*(_xlfn.NORM.DIST(AX$3,$CU6,0.3*$CU6,TRUE)-_xlfn.NORM.DIST(AX$30,$CU6,0.3*$CU6,TRUE))+$CS6*(_xlfn.NORM.DIST(AX$3,$CV6,0.3*$CV6,TRUE)-_xlfn.NORM.DIST(AX$30,$CV6,0.3*$CV6,TRUE))),""),IF($C6&gt;0,summary!$C$10/28.8/0.947817,""))</f>
        <v/>
      </c>
      <c r="AY35">
        <f t="array" ref="AY35">IF($D6,IFERROR((SUMPRODUCT((economics!$AG$2:$AG$167=$B35)*(economics!$D$2:$D$167="whr")*economics!$AH$2:$AH$167*(_xlfn.NORM.DIST(AY$3,economics!$AK$2:$AK$167,economics!$AJ$2:$AJ$167,TRUE)-_xlfn.NORM.DIST(AY$30,economics!$AK$2:$AK$167,economics!$AJ$2:$AJ$167,TRUE))*economics!$AM$2:$AM$167)+$CR6*(_xlfn.NORM.DIST(AY$3,$CU6,0.3*$CU6,TRUE)-_xlfn.NORM.DIST(AY$30,$CU6,0.3*$CU6,TRUE))*summary!$C$7/28.8/0.947817+$CS6*(_xlfn.NORM.DIST(AY$3,$CV6,0.3*$CV6,TRUE)-_xlfn.NORM.DIST(AY$30,$CV6,0.3*$CV6,TRUE))*summary!$C$6/28.8/0.947817)/(SUMPRODUCT((economics!$AG$2:$AG$167=$B35)*(economics!$D$2:$D$167="whr")*economics!$AH$2:$AH$167*(_xlfn.NORM.DIST(AY$3,economics!$AK$2:$AK$167,economics!$AJ$2:$AJ$167,TRUE)-_xlfn.NORM.DIST(AY$30,economics!$AK$2:$AK$167,economics!$AJ$2:$AJ$167,TRUE)))+$CR6*(_xlfn.NORM.DIST(AY$3,$CU6,0.3*$CU6,TRUE)-_xlfn.NORM.DIST(AY$30,$CU6,0.3*$CU6,TRUE))+$CS6*(_xlfn.NORM.DIST(AY$3,$CV6,0.3*$CV6,TRUE)-_xlfn.NORM.DIST(AY$30,$CV6,0.3*$CV6,TRUE))),""),IF($C6&gt;0,summary!$C$10/28.8/0.947817,""))</f>
        <v/>
      </c>
      <c r="AZ35">
        <f t="array" ref="AZ35">IF($D6,IFERROR((SUMPRODUCT((economics!$AG$2:$AG$167=$B35)*(economics!$D$2:$D$167="whr")*economics!$AH$2:$AH$167*(_xlfn.NORM.DIST(AZ$3,economics!$AK$2:$AK$167,economics!$AJ$2:$AJ$167,TRUE)-_xlfn.NORM.DIST(AZ$30,economics!$AK$2:$AK$167,economics!$AJ$2:$AJ$167,TRUE))*economics!$AM$2:$AM$167)+$CR6*(_xlfn.NORM.DIST(AZ$3,$CU6,0.3*$CU6,TRUE)-_xlfn.NORM.DIST(AZ$30,$CU6,0.3*$CU6,TRUE))*summary!$C$7/28.8/0.947817+$CS6*(_xlfn.NORM.DIST(AZ$3,$CV6,0.3*$CV6,TRUE)-_xlfn.NORM.DIST(AZ$30,$CV6,0.3*$CV6,TRUE))*summary!$C$6/28.8/0.947817)/(SUMPRODUCT((economics!$AG$2:$AG$167=$B35)*(economics!$D$2:$D$167="whr")*economics!$AH$2:$AH$167*(_xlfn.NORM.DIST(AZ$3,economics!$AK$2:$AK$167,economics!$AJ$2:$AJ$167,TRUE)-_xlfn.NORM.DIST(AZ$30,economics!$AK$2:$AK$167,economics!$AJ$2:$AJ$167,TRUE)))+$CR6*(_xlfn.NORM.DIST(AZ$3,$CU6,0.3*$CU6,TRUE)-_xlfn.NORM.DIST(AZ$30,$CU6,0.3*$CU6,TRUE))+$CS6*(_xlfn.NORM.DIST(AZ$3,$CV6,0.3*$CV6,TRUE)-_xlfn.NORM.DIST(AZ$30,$CV6,0.3*$CV6,TRUE))),""),IF($C6&gt;0,summary!$C$10/28.8/0.947817,""))</f>
        <v/>
      </c>
      <c r="BA35">
        <f t="array" ref="BA35">IF($D6,IFERROR((SUMPRODUCT((economics!$AG$2:$AG$167=$B35)*(economics!$D$2:$D$167="whr")*economics!$AH$2:$AH$167*(_xlfn.NORM.DIST(BA$3,economics!$AK$2:$AK$167,economics!$AJ$2:$AJ$167,TRUE)-_xlfn.NORM.DIST(BA$30,economics!$AK$2:$AK$167,economics!$AJ$2:$AJ$167,TRUE))*economics!$AM$2:$AM$167)+$CR6*(_xlfn.NORM.DIST(BA$3,$CU6,0.3*$CU6,TRUE)-_xlfn.NORM.DIST(BA$30,$CU6,0.3*$CU6,TRUE))*summary!$C$7/28.8/0.947817+$CS6*(_xlfn.NORM.DIST(BA$3,$CV6,0.3*$CV6,TRUE)-_xlfn.NORM.DIST(BA$30,$CV6,0.3*$CV6,TRUE))*summary!$C$6/28.8/0.947817)/(SUMPRODUCT((economics!$AG$2:$AG$167=$B35)*(economics!$D$2:$D$167="whr")*economics!$AH$2:$AH$167*(_xlfn.NORM.DIST(BA$3,economics!$AK$2:$AK$167,economics!$AJ$2:$AJ$167,TRUE)-_xlfn.NORM.DIST(BA$30,economics!$AK$2:$AK$167,economics!$AJ$2:$AJ$167,TRUE)))+$CR6*(_xlfn.NORM.DIST(BA$3,$CU6,0.3*$CU6,TRUE)-_xlfn.NORM.DIST(BA$30,$CU6,0.3*$CU6,TRUE))+$CS6*(_xlfn.NORM.DIST(BA$3,$CV6,0.3*$CV6,TRUE)-_xlfn.NORM.DIST(BA$30,$CV6,0.3*$CV6,TRUE))),""),IF($C6&gt;0,summary!$C$10/28.8/0.947817,""))</f>
        <v/>
      </c>
      <c r="BB35">
        <f t="array" ref="BB35">IF($D6,IFERROR((SUMPRODUCT((economics!$AG$2:$AG$167=$B35)*(economics!$D$2:$D$167="whr")*economics!$AH$2:$AH$167*(_xlfn.NORM.DIST(BB$3,economics!$AK$2:$AK$167,economics!$AJ$2:$AJ$167,TRUE)-_xlfn.NORM.DIST(BB$30,economics!$AK$2:$AK$167,economics!$AJ$2:$AJ$167,TRUE))*economics!$AM$2:$AM$167)+$CR6*(_xlfn.NORM.DIST(BB$3,$CU6,0.3*$CU6,TRUE)-_xlfn.NORM.DIST(BB$30,$CU6,0.3*$CU6,TRUE))*summary!$C$7/28.8/0.947817+$CS6*(_xlfn.NORM.DIST(BB$3,$CV6,0.3*$CV6,TRUE)-_xlfn.NORM.DIST(BB$30,$CV6,0.3*$CV6,TRUE))*summary!$C$6/28.8/0.947817)/(SUMPRODUCT((economics!$AG$2:$AG$167=$B35)*(economics!$D$2:$D$167="whr")*economics!$AH$2:$AH$167*(_xlfn.NORM.DIST(BB$3,economics!$AK$2:$AK$167,economics!$AJ$2:$AJ$167,TRUE)-_xlfn.NORM.DIST(BB$30,economics!$AK$2:$AK$167,economics!$AJ$2:$AJ$167,TRUE)))+$CR6*(_xlfn.NORM.DIST(BB$3,$CU6,0.3*$CU6,TRUE)-_xlfn.NORM.DIST(BB$30,$CU6,0.3*$CU6,TRUE))+$CS6*(_xlfn.NORM.DIST(BB$3,$CV6,0.3*$CV6,TRUE)-_xlfn.NORM.DIST(BB$30,$CV6,0.3*$CV6,TRUE))),""),IF($C6&gt;0,summary!$C$10/28.8/0.947817,""))</f>
        <v/>
      </c>
      <c r="BC35">
        <f t="array" ref="BC35">IF($D6,IFERROR((SUMPRODUCT((economics!$AG$2:$AG$167=$B35)*(economics!$D$2:$D$167="whr")*economics!$AH$2:$AH$167*(_xlfn.NORM.DIST(BC$3,economics!$AK$2:$AK$167,economics!$AJ$2:$AJ$167,TRUE)-_xlfn.NORM.DIST(BC$30,economics!$AK$2:$AK$167,economics!$AJ$2:$AJ$167,TRUE))*economics!$AM$2:$AM$167)+$CR6*(_xlfn.NORM.DIST(BC$3,$CU6,0.3*$CU6,TRUE)-_xlfn.NORM.DIST(BC$30,$CU6,0.3*$CU6,TRUE))*summary!$C$7/28.8/0.947817+$CS6*(_xlfn.NORM.DIST(BC$3,$CV6,0.3*$CV6,TRUE)-_xlfn.NORM.DIST(BC$30,$CV6,0.3*$CV6,TRUE))*summary!$C$6/28.8/0.947817)/(SUMPRODUCT((economics!$AG$2:$AG$167=$B35)*(economics!$D$2:$D$167="whr")*economics!$AH$2:$AH$167*(_xlfn.NORM.DIST(BC$3,economics!$AK$2:$AK$167,economics!$AJ$2:$AJ$167,TRUE)-_xlfn.NORM.DIST(BC$30,economics!$AK$2:$AK$167,economics!$AJ$2:$AJ$167,TRUE)))+$CR6*(_xlfn.NORM.DIST(BC$3,$CU6,0.3*$CU6,TRUE)-_xlfn.NORM.DIST(BC$30,$CU6,0.3*$CU6,TRUE))+$CS6*(_xlfn.NORM.DIST(BC$3,$CV6,0.3*$CV6,TRUE)-_xlfn.NORM.DIST(BC$30,$CV6,0.3*$CV6,TRUE))),""),IF($C6&gt;0,summary!$C$10/28.8/0.947817,""))</f>
        <v/>
      </c>
      <c r="BD35">
        <f t="array" ref="BD35">IF($D6,IFERROR((SUMPRODUCT((economics!$AG$2:$AG$167=$B35)*(economics!$D$2:$D$167="whr")*economics!$AH$2:$AH$167*(_xlfn.NORM.DIST(BD$3,economics!$AK$2:$AK$167,economics!$AJ$2:$AJ$167,TRUE)-_xlfn.NORM.DIST(BD$30,economics!$AK$2:$AK$167,economics!$AJ$2:$AJ$167,TRUE))*economics!$AM$2:$AM$167)+$CR6*(_xlfn.NORM.DIST(BD$3,$CU6,0.3*$CU6,TRUE)-_xlfn.NORM.DIST(BD$30,$CU6,0.3*$CU6,TRUE))*summary!$C$7/28.8/0.947817+$CS6*(_xlfn.NORM.DIST(BD$3,$CV6,0.3*$CV6,TRUE)-_xlfn.NORM.DIST(BD$30,$CV6,0.3*$CV6,TRUE))*summary!$C$6/28.8/0.947817)/(SUMPRODUCT((economics!$AG$2:$AG$167=$B35)*(economics!$D$2:$D$167="whr")*economics!$AH$2:$AH$167*(_xlfn.NORM.DIST(BD$3,economics!$AK$2:$AK$167,economics!$AJ$2:$AJ$167,TRUE)-_xlfn.NORM.DIST(BD$30,economics!$AK$2:$AK$167,economics!$AJ$2:$AJ$167,TRUE)))+$CR6*(_xlfn.NORM.DIST(BD$3,$CU6,0.3*$CU6,TRUE)-_xlfn.NORM.DIST(BD$30,$CU6,0.3*$CU6,TRUE))+$CS6*(_xlfn.NORM.DIST(BD$3,$CV6,0.3*$CV6,TRUE)-_xlfn.NORM.DIST(BD$30,$CV6,0.3*$CV6,TRUE))),""),IF($C6&gt;0,summary!$C$10/28.8/0.947817,""))</f>
        <v/>
      </c>
      <c r="BE35">
        <f t="array" ref="BE35">IF($D6,IFERROR((SUMPRODUCT((economics!$AG$2:$AG$167=$B35)*(economics!$D$2:$D$167="whr")*economics!$AH$2:$AH$167*(_xlfn.NORM.DIST(BE$3,economics!$AK$2:$AK$167,economics!$AJ$2:$AJ$167,TRUE)-_xlfn.NORM.DIST(BE$30,economics!$AK$2:$AK$167,economics!$AJ$2:$AJ$167,TRUE))*economics!$AM$2:$AM$167)+$CR6*(_xlfn.NORM.DIST(BE$3,$CU6,0.3*$CU6,TRUE)-_xlfn.NORM.DIST(BE$30,$CU6,0.3*$CU6,TRUE))*summary!$C$7/28.8/0.947817+$CS6*(_xlfn.NORM.DIST(BE$3,$CV6,0.3*$CV6,TRUE)-_xlfn.NORM.DIST(BE$30,$CV6,0.3*$CV6,TRUE))*summary!$C$6/28.8/0.947817)/(SUMPRODUCT((economics!$AG$2:$AG$167=$B35)*(economics!$D$2:$D$167="whr")*economics!$AH$2:$AH$167*(_xlfn.NORM.DIST(BE$3,economics!$AK$2:$AK$167,economics!$AJ$2:$AJ$167,TRUE)-_xlfn.NORM.DIST(BE$30,economics!$AK$2:$AK$167,economics!$AJ$2:$AJ$167,TRUE)))+$CR6*(_xlfn.NORM.DIST(BE$3,$CU6,0.3*$CU6,TRUE)-_xlfn.NORM.DIST(BE$30,$CU6,0.3*$CU6,TRUE))+$CS6*(_xlfn.NORM.DIST(BE$3,$CV6,0.3*$CV6,TRUE)-_xlfn.NORM.DIST(BE$30,$CV6,0.3*$CV6,TRUE))),""),IF($C6&gt;0,summary!$C$10/28.8/0.947817,""))</f>
        <v/>
      </c>
      <c r="BF35">
        <f t="array" ref="BF35">IF($D6,IFERROR((SUMPRODUCT((economics!$AG$2:$AG$167=$B35)*(economics!$D$2:$D$167="whr")*economics!$AH$2:$AH$167*(_xlfn.NORM.DIST(BF$3,economics!$AK$2:$AK$167,economics!$AJ$2:$AJ$167,TRUE)-_xlfn.NORM.DIST(BF$30,economics!$AK$2:$AK$167,economics!$AJ$2:$AJ$167,TRUE))*economics!$AM$2:$AM$167)+$CR6*(_xlfn.NORM.DIST(BF$3,$CU6,0.3*$CU6,TRUE)-_xlfn.NORM.DIST(BF$30,$CU6,0.3*$CU6,TRUE))*summary!$C$7/28.8/0.947817+$CS6*(_xlfn.NORM.DIST(BF$3,$CV6,0.3*$CV6,TRUE)-_xlfn.NORM.DIST(BF$30,$CV6,0.3*$CV6,TRUE))*summary!$C$6/28.8/0.947817)/(SUMPRODUCT((economics!$AG$2:$AG$167=$B35)*(economics!$D$2:$D$167="whr")*economics!$AH$2:$AH$167*(_xlfn.NORM.DIST(BF$3,economics!$AK$2:$AK$167,economics!$AJ$2:$AJ$167,TRUE)-_xlfn.NORM.DIST(BF$30,economics!$AK$2:$AK$167,economics!$AJ$2:$AJ$167,TRUE)))+$CR6*(_xlfn.NORM.DIST(BF$3,$CU6,0.3*$CU6,TRUE)-_xlfn.NORM.DIST(BF$30,$CU6,0.3*$CU6,TRUE))+$CS6*(_xlfn.NORM.DIST(BF$3,$CV6,0.3*$CV6,TRUE)-_xlfn.NORM.DIST(BF$30,$CV6,0.3*$CV6,TRUE))),""),IF($C6&gt;0,summary!$C$10/28.8/0.947817,""))</f>
        <v/>
      </c>
      <c r="BG35">
        <f t="array" ref="BG35">IF($D6,IFERROR((SUMPRODUCT((economics!$AG$2:$AG$167=$B35)*(economics!$D$2:$D$167="whr")*economics!$AH$2:$AH$167*(_xlfn.NORM.DIST(BG$3,economics!$AK$2:$AK$167,economics!$AJ$2:$AJ$167,TRUE)-_xlfn.NORM.DIST(BG$30,economics!$AK$2:$AK$167,economics!$AJ$2:$AJ$167,TRUE))*economics!$AM$2:$AM$167)+$CR6*(_xlfn.NORM.DIST(BG$3,$CU6,0.3*$CU6,TRUE)-_xlfn.NORM.DIST(BG$30,$CU6,0.3*$CU6,TRUE))*summary!$C$7/28.8/0.947817+$CS6*(_xlfn.NORM.DIST(BG$3,$CV6,0.3*$CV6,TRUE)-_xlfn.NORM.DIST(BG$30,$CV6,0.3*$CV6,TRUE))*summary!$C$6/28.8/0.947817)/(SUMPRODUCT((economics!$AG$2:$AG$167=$B35)*(economics!$D$2:$D$167="whr")*economics!$AH$2:$AH$167*(_xlfn.NORM.DIST(BG$3,economics!$AK$2:$AK$167,economics!$AJ$2:$AJ$167,TRUE)-_xlfn.NORM.DIST(BG$30,economics!$AK$2:$AK$167,economics!$AJ$2:$AJ$167,TRUE)))+$CR6*(_xlfn.NORM.DIST(BG$3,$CU6,0.3*$CU6,TRUE)-_xlfn.NORM.DIST(BG$30,$CU6,0.3*$CU6,TRUE))+$CS6*(_xlfn.NORM.DIST(BG$3,$CV6,0.3*$CV6,TRUE)-_xlfn.NORM.DIST(BG$30,$CV6,0.3*$CV6,TRUE))),""),IF($C6&gt;0,summary!$C$10/28.8/0.947817,""))</f>
        <v/>
      </c>
      <c r="BH35">
        <f t="array" ref="BH35">IF($D6,IFERROR((SUMPRODUCT((economics!$AG$2:$AG$167=$B35)*(economics!$D$2:$D$167="whr")*economics!$AH$2:$AH$167*(_xlfn.NORM.DIST(BH$3,economics!$AK$2:$AK$167,economics!$AJ$2:$AJ$167,TRUE)-_xlfn.NORM.DIST(BH$30,economics!$AK$2:$AK$167,economics!$AJ$2:$AJ$167,TRUE))*economics!$AM$2:$AM$167)+$CR6*(_xlfn.NORM.DIST(BH$3,$CU6,0.3*$CU6,TRUE)-_xlfn.NORM.DIST(BH$30,$CU6,0.3*$CU6,TRUE))*summary!$C$7/28.8/0.947817+$CS6*(_xlfn.NORM.DIST(BH$3,$CV6,0.3*$CV6,TRUE)-_xlfn.NORM.DIST(BH$30,$CV6,0.3*$CV6,TRUE))*summary!$C$6/28.8/0.947817)/(SUMPRODUCT((economics!$AG$2:$AG$167=$B35)*(economics!$D$2:$D$167="whr")*economics!$AH$2:$AH$167*(_xlfn.NORM.DIST(BH$3,economics!$AK$2:$AK$167,economics!$AJ$2:$AJ$167,TRUE)-_xlfn.NORM.DIST(BH$30,economics!$AK$2:$AK$167,economics!$AJ$2:$AJ$167,TRUE)))+$CR6*(_xlfn.NORM.DIST(BH$3,$CU6,0.3*$CU6,TRUE)-_xlfn.NORM.DIST(BH$30,$CU6,0.3*$CU6,TRUE))+$CS6*(_xlfn.NORM.DIST(BH$3,$CV6,0.3*$CV6,TRUE)-_xlfn.NORM.DIST(BH$30,$CV6,0.3*$CV6,TRUE))),""),IF($C6&gt;0,summary!$C$10/28.8/0.947817,""))</f>
        <v/>
      </c>
      <c r="BI35">
        <f t="array" ref="BI35">IF($D6,IFERROR((SUMPRODUCT((economics!$AG$2:$AG$167=$B35)*(economics!$D$2:$D$167="whr")*economics!$AH$2:$AH$167*(_xlfn.NORM.DIST(BI$3,economics!$AK$2:$AK$167,economics!$AJ$2:$AJ$167,TRUE)-_xlfn.NORM.DIST(BI$30,economics!$AK$2:$AK$167,economics!$AJ$2:$AJ$167,TRUE))*economics!$AM$2:$AM$167)+$CR6*(_xlfn.NORM.DIST(BI$3,$CU6,0.3*$CU6,TRUE)-_xlfn.NORM.DIST(BI$30,$CU6,0.3*$CU6,TRUE))*summary!$C$7/28.8/0.947817+$CS6*(_xlfn.NORM.DIST(BI$3,$CV6,0.3*$CV6,TRUE)-_xlfn.NORM.DIST(BI$30,$CV6,0.3*$CV6,TRUE))*summary!$C$6/28.8/0.947817)/(SUMPRODUCT((economics!$AG$2:$AG$167=$B35)*(economics!$D$2:$D$167="whr")*economics!$AH$2:$AH$167*(_xlfn.NORM.DIST(BI$3,economics!$AK$2:$AK$167,economics!$AJ$2:$AJ$167,TRUE)-_xlfn.NORM.DIST(BI$30,economics!$AK$2:$AK$167,economics!$AJ$2:$AJ$167,TRUE)))+$CR6*(_xlfn.NORM.DIST(BI$3,$CU6,0.3*$CU6,TRUE)-_xlfn.NORM.DIST(BI$30,$CU6,0.3*$CU6,TRUE))+$CS6*(_xlfn.NORM.DIST(BI$3,$CV6,0.3*$CV6,TRUE)-_xlfn.NORM.DIST(BI$30,$CV6,0.3*$CV6,TRUE))),""),IF($C6&gt;0,summary!$C$10/28.8/0.947817,""))</f>
        <v/>
      </c>
      <c r="BJ35">
        <f t="array" ref="BJ35">IF($D6,IFERROR((SUMPRODUCT((economics!$AG$2:$AG$167=$B35)*(economics!$D$2:$D$167="whr")*economics!$AH$2:$AH$167*(_xlfn.NORM.DIST(BJ$3,economics!$AK$2:$AK$167,economics!$AJ$2:$AJ$167,TRUE)-_xlfn.NORM.DIST(BJ$30,economics!$AK$2:$AK$167,economics!$AJ$2:$AJ$167,TRUE))*economics!$AM$2:$AM$167)+$CR6*(_xlfn.NORM.DIST(BJ$3,$CU6,0.3*$CU6,TRUE)-_xlfn.NORM.DIST(BJ$30,$CU6,0.3*$CU6,TRUE))*summary!$C$7/28.8/0.947817+$CS6*(_xlfn.NORM.DIST(BJ$3,$CV6,0.3*$CV6,TRUE)-_xlfn.NORM.DIST(BJ$30,$CV6,0.3*$CV6,TRUE))*summary!$C$6/28.8/0.947817)/(SUMPRODUCT((economics!$AG$2:$AG$167=$B35)*(economics!$D$2:$D$167="whr")*economics!$AH$2:$AH$167*(_xlfn.NORM.DIST(BJ$3,economics!$AK$2:$AK$167,economics!$AJ$2:$AJ$167,TRUE)-_xlfn.NORM.DIST(BJ$30,economics!$AK$2:$AK$167,economics!$AJ$2:$AJ$167,TRUE)))+$CR6*(_xlfn.NORM.DIST(BJ$3,$CU6,0.3*$CU6,TRUE)-_xlfn.NORM.DIST(BJ$30,$CU6,0.3*$CU6,TRUE))+$CS6*(_xlfn.NORM.DIST(BJ$3,$CV6,0.3*$CV6,TRUE)-_xlfn.NORM.DIST(BJ$30,$CV6,0.3*$CV6,TRUE))),""),IF($C6&gt;0,summary!$C$10/28.8/0.947817,""))</f>
        <v/>
      </c>
      <c r="BK35">
        <f t="array" ref="BK35">IF($D6,IFERROR((SUMPRODUCT((economics!$AG$2:$AG$167=$B35)*(economics!$D$2:$D$167="whr")*economics!$AH$2:$AH$167*(_xlfn.NORM.DIST(BK$3,economics!$AK$2:$AK$167,economics!$AJ$2:$AJ$167,TRUE)-_xlfn.NORM.DIST(BK$30,economics!$AK$2:$AK$167,economics!$AJ$2:$AJ$167,TRUE))*economics!$AM$2:$AM$167)+$CR6*(_xlfn.NORM.DIST(BK$3,$CU6,0.3*$CU6,TRUE)-_xlfn.NORM.DIST(BK$30,$CU6,0.3*$CU6,TRUE))*summary!$C$7/28.8/0.947817+$CS6*(_xlfn.NORM.DIST(BK$3,$CV6,0.3*$CV6,TRUE)-_xlfn.NORM.DIST(BK$30,$CV6,0.3*$CV6,TRUE))*summary!$C$6/28.8/0.947817)/(SUMPRODUCT((economics!$AG$2:$AG$167=$B35)*(economics!$D$2:$D$167="whr")*economics!$AH$2:$AH$167*(_xlfn.NORM.DIST(BK$3,economics!$AK$2:$AK$167,economics!$AJ$2:$AJ$167,TRUE)-_xlfn.NORM.DIST(BK$30,economics!$AK$2:$AK$167,economics!$AJ$2:$AJ$167,TRUE)))+$CR6*(_xlfn.NORM.DIST(BK$3,$CU6,0.3*$CU6,TRUE)-_xlfn.NORM.DIST(BK$30,$CU6,0.3*$CU6,TRUE))+$CS6*(_xlfn.NORM.DIST(BK$3,$CV6,0.3*$CV6,TRUE)-_xlfn.NORM.DIST(BK$30,$CV6,0.3*$CV6,TRUE))),""),IF($C6&gt;0,summary!$C$10/28.8/0.947817,""))</f>
        <v/>
      </c>
      <c r="BL35">
        <f t="array" ref="BL35">IF($D6,IFERROR((SUMPRODUCT((economics!$AG$2:$AG$167=$B35)*(economics!$D$2:$D$167="whr")*economics!$AH$2:$AH$167*(_xlfn.NORM.DIST(BL$3,economics!$AK$2:$AK$167,economics!$AJ$2:$AJ$167,TRUE)-_xlfn.NORM.DIST(BL$30,economics!$AK$2:$AK$167,economics!$AJ$2:$AJ$167,TRUE))*economics!$AM$2:$AM$167)+$CR6*(_xlfn.NORM.DIST(BL$3,$CU6,0.3*$CU6,TRUE)-_xlfn.NORM.DIST(BL$30,$CU6,0.3*$CU6,TRUE))*summary!$C$7/28.8/0.947817+$CS6*(_xlfn.NORM.DIST(BL$3,$CV6,0.3*$CV6,TRUE)-_xlfn.NORM.DIST(BL$30,$CV6,0.3*$CV6,TRUE))*summary!$C$6/28.8/0.947817)/(SUMPRODUCT((economics!$AG$2:$AG$167=$B35)*(economics!$D$2:$D$167="whr")*economics!$AH$2:$AH$167*(_xlfn.NORM.DIST(BL$3,economics!$AK$2:$AK$167,economics!$AJ$2:$AJ$167,TRUE)-_xlfn.NORM.DIST(BL$30,economics!$AK$2:$AK$167,economics!$AJ$2:$AJ$167,TRUE)))+$CR6*(_xlfn.NORM.DIST(BL$3,$CU6,0.3*$CU6,TRUE)-_xlfn.NORM.DIST(BL$30,$CU6,0.3*$CU6,TRUE))+$CS6*(_xlfn.NORM.DIST(BL$3,$CV6,0.3*$CV6,TRUE)-_xlfn.NORM.DIST(BL$30,$CV6,0.3*$CV6,TRUE))),""),IF($C6&gt;0,summary!$C$10/28.8/0.947817,""))</f>
        <v/>
      </c>
      <c r="BM35">
        <f t="array" ref="BM35">IF($D6,IFERROR((SUMPRODUCT((economics!$AG$2:$AG$167=$B35)*(economics!$D$2:$D$167="whr")*economics!$AH$2:$AH$167*(_xlfn.NORM.DIST(BM$3,economics!$AK$2:$AK$167,economics!$AJ$2:$AJ$167,TRUE)-_xlfn.NORM.DIST(BM$30,economics!$AK$2:$AK$167,economics!$AJ$2:$AJ$167,TRUE))*economics!$AM$2:$AM$167)+$CR6*(_xlfn.NORM.DIST(BM$3,$CU6,0.3*$CU6,TRUE)-_xlfn.NORM.DIST(BM$30,$CU6,0.3*$CU6,TRUE))*summary!$C$7/28.8/0.947817+$CS6*(_xlfn.NORM.DIST(BM$3,$CV6,0.3*$CV6,TRUE)-_xlfn.NORM.DIST(BM$30,$CV6,0.3*$CV6,TRUE))*summary!$C$6/28.8/0.947817)/(SUMPRODUCT((economics!$AG$2:$AG$167=$B35)*(economics!$D$2:$D$167="whr")*economics!$AH$2:$AH$167*(_xlfn.NORM.DIST(BM$3,economics!$AK$2:$AK$167,economics!$AJ$2:$AJ$167,TRUE)-_xlfn.NORM.DIST(BM$30,economics!$AK$2:$AK$167,economics!$AJ$2:$AJ$167,TRUE)))+$CR6*(_xlfn.NORM.DIST(BM$3,$CU6,0.3*$CU6,TRUE)-_xlfn.NORM.DIST(BM$30,$CU6,0.3*$CU6,TRUE))+$CS6*(_xlfn.NORM.DIST(BM$3,$CV6,0.3*$CV6,TRUE)-_xlfn.NORM.DIST(BM$30,$CV6,0.3*$CV6,TRUE))),""),IF($C6&gt;0,summary!$C$10/28.8/0.947817,""))</f>
        <v/>
      </c>
      <c r="BN35">
        <f t="array" ref="BN35">IF($D6,IFERROR((SUMPRODUCT((economics!$AG$2:$AG$167=$B35)*(economics!$D$2:$D$167="whr")*economics!$AH$2:$AH$167*(_xlfn.NORM.DIST(BN$3,economics!$AK$2:$AK$167,economics!$AJ$2:$AJ$167,TRUE)-_xlfn.NORM.DIST(BN$30,economics!$AK$2:$AK$167,economics!$AJ$2:$AJ$167,TRUE))*economics!$AM$2:$AM$167)+$CR6*(_xlfn.NORM.DIST(BN$3,$CU6,0.3*$CU6,TRUE)-_xlfn.NORM.DIST(BN$30,$CU6,0.3*$CU6,TRUE))*summary!$C$7/28.8/0.947817+$CS6*(_xlfn.NORM.DIST(BN$3,$CV6,0.3*$CV6,TRUE)-_xlfn.NORM.DIST(BN$30,$CV6,0.3*$CV6,TRUE))*summary!$C$6/28.8/0.947817)/(SUMPRODUCT((economics!$AG$2:$AG$167=$B35)*(economics!$D$2:$D$167="whr")*economics!$AH$2:$AH$167*(_xlfn.NORM.DIST(BN$3,economics!$AK$2:$AK$167,economics!$AJ$2:$AJ$167,TRUE)-_xlfn.NORM.DIST(BN$30,economics!$AK$2:$AK$167,economics!$AJ$2:$AJ$167,TRUE)))+$CR6*(_xlfn.NORM.DIST(BN$3,$CU6,0.3*$CU6,TRUE)-_xlfn.NORM.DIST(BN$30,$CU6,0.3*$CU6,TRUE))+$CS6*(_xlfn.NORM.DIST(BN$3,$CV6,0.3*$CV6,TRUE)-_xlfn.NORM.DIST(BN$30,$CV6,0.3*$CV6,TRUE))),""),IF($C6&gt;0,summary!$C$10/28.8/0.947817,""))</f>
        <v/>
      </c>
      <c r="BO35">
        <f t="array" ref="BO35">IF($D6,IFERROR((SUMPRODUCT((economics!$AG$2:$AG$167=$B35)*(economics!$D$2:$D$167="whr")*economics!$AH$2:$AH$167*(_xlfn.NORM.DIST(BO$3,economics!$AK$2:$AK$167,economics!$AJ$2:$AJ$167,TRUE)-_xlfn.NORM.DIST(BO$30,economics!$AK$2:$AK$167,economics!$AJ$2:$AJ$167,TRUE))*economics!$AM$2:$AM$167)+$CR6*(_xlfn.NORM.DIST(BO$3,$CU6,0.3*$CU6,TRUE)-_xlfn.NORM.DIST(BO$30,$CU6,0.3*$CU6,TRUE))*summary!$C$7/28.8/0.947817+$CS6*(_xlfn.NORM.DIST(BO$3,$CV6,0.3*$CV6,TRUE)-_xlfn.NORM.DIST(BO$30,$CV6,0.3*$CV6,TRUE))*summary!$C$6/28.8/0.947817)/(SUMPRODUCT((economics!$AG$2:$AG$167=$B35)*(economics!$D$2:$D$167="whr")*economics!$AH$2:$AH$167*(_xlfn.NORM.DIST(BO$3,economics!$AK$2:$AK$167,economics!$AJ$2:$AJ$167,TRUE)-_xlfn.NORM.DIST(BO$30,economics!$AK$2:$AK$167,economics!$AJ$2:$AJ$167,TRUE)))+$CR6*(_xlfn.NORM.DIST(BO$3,$CU6,0.3*$CU6,TRUE)-_xlfn.NORM.DIST(BO$30,$CU6,0.3*$CU6,TRUE))+$CS6*(_xlfn.NORM.DIST(BO$3,$CV6,0.3*$CV6,TRUE)-_xlfn.NORM.DIST(BO$30,$CV6,0.3*$CV6,TRUE))),""),IF($C6&gt;0,summary!$C$10/28.8/0.947817,""))</f>
        <v/>
      </c>
      <c r="BP35">
        <f t="array" ref="BP35">IF($D6,IFERROR((SUMPRODUCT((economics!$AG$2:$AG$167=$B35)*(economics!$D$2:$D$167="whr")*economics!$AH$2:$AH$167*(_xlfn.NORM.DIST(BP$3,economics!$AK$2:$AK$167,economics!$AJ$2:$AJ$167,TRUE)-_xlfn.NORM.DIST(BP$30,economics!$AK$2:$AK$167,economics!$AJ$2:$AJ$167,TRUE))*economics!$AM$2:$AM$167)+$CR6*(_xlfn.NORM.DIST(BP$3,$CU6,0.3*$CU6,TRUE)-_xlfn.NORM.DIST(BP$30,$CU6,0.3*$CU6,TRUE))*summary!$C$7/28.8/0.947817+$CS6*(_xlfn.NORM.DIST(BP$3,$CV6,0.3*$CV6,TRUE)-_xlfn.NORM.DIST(BP$30,$CV6,0.3*$CV6,TRUE))*summary!$C$6/28.8/0.947817)/(SUMPRODUCT((economics!$AG$2:$AG$167=$B35)*(economics!$D$2:$D$167="whr")*economics!$AH$2:$AH$167*(_xlfn.NORM.DIST(BP$3,economics!$AK$2:$AK$167,economics!$AJ$2:$AJ$167,TRUE)-_xlfn.NORM.DIST(BP$30,economics!$AK$2:$AK$167,economics!$AJ$2:$AJ$167,TRUE)))+$CR6*(_xlfn.NORM.DIST(BP$3,$CU6,0.3*$CU6,TRUE)-_xlfn.NORM.DIST(BP$30,$CU6,0.3*$CU6,TRUE))+$CS6*(_xlfn.NORM.DIST(BP$3,$CV6,0.3*$CV6,TRUE)-_xlfn.NORM.DIST(BP$30,$CV6,0.3*$CV6,TRUE))),""),IF($C6&gt;0,summary!$C$10/28.8/0.947817,""))</f>
        <v/>
      </c>
      <c r="BQ35">
        <f t="array" ref="BQ35">IF($D6,IFERROR((SUMPRODUCT((economics!$AG$2:$AG$167=$B35)*(economics!$D$2:$D$167="whr")*economics!$AH$2:$AH$167*(_xlfn.NORM.DIST(BQ$3,economics!$AK$2:$AK$167,economics!$AJ$2:$AJ$167,TRUE)-_xlfn.NORM.DIST(BQ$30,economics!$AK$2:$AK$167,economics!$AJ$2:$AJ$167,TRUE))*economics!$AM$2:$AM$167)+$CR6*(_xlfn.NORM.DIST(BQ$3,$CU6,0.3*$CU6,TRUE)-_xlfn.NORM.DIST(BQ$30,$CU6,0.3*$CU6,TRUE))*summary!$C$7/28.8/0.947817+$CS6*(_xlfn.NORM.DIST(BQ$3,$CV6,0.3*$CV6,TRUE)-_xlfn.NORM.DIST(BQ$30,$CV6,0.3*$CV6,TRUE))*summary!$C$6/28.8/0.947817)/(SUMPRODUCT((economics!$AG$2:$AG$167=$B35)*(economics!$D$2:$D$167="whr")*economics!$AH$2:$AH$167*(_xlfn.NORM.DIST(BQ$3,economics!$AK$2:$AK$167,economics!$AJ$2:$AJ$167,TRUE)-_xlfn.NORM.DIST(BQ$30,economics!$AK$2:$AK$167,economics!$AJ$2:$AJ$167,TRUE)))+$CR6*(_xlfn.NORM.DIST(BQ$3,$CU6,0.3*$CU6,TRUE)-_xlfn.NORM.DIST(BQ$30,$CU6,0.3*$CU6,TRUE))+$CS6*(_xlfn.NORM.DIST(BQ$3,$CV6,0.3*$CV6,TRUE)-_xlfn.NORM.DIST(BQ$30,$CV6,0.3*$CV6,TRUE))),""),IF($C6&gt;0,summary!$C$10/28.8/0.947817,""))</f>
        <v/>
      </c>
      <c r="BR35">
        <f t="array" ref="BR35">IF($D6,IFERROR((SUMPRODUCT((economics!$AG$2:$AG$167=$B35)*(economics!$D$2:$D$167="whr")*economics!$AH$2:$AH$167*(_xlfn.NORM.DIST(BR$3,economics!$AK$2:$AK$167,economics!$AJ$2:$AJ$167,TRUE)-_xlfn.NORM.DIST(BR$30,economics!$AK$2:$AK$167,economics!$AJ$2:$AJ$167,TRUE))*economics!$AM$2:$AM$167)+$CR6*(_xlfn.NORM.DIST(BR$3,$CU6,0.3*$CU6,TRUE)-_xlfn.NORM.DIST(BR$30,$CU6,0.3*$CU6,TRUE))*summary!$C$7/28.8/0.947817+$CS6*(_xlfn.NORM.DIST(BR$3,$CV6,0.3*$CV6,TRUE)-_xlfn.NORM.DIST(BR$30,$CV6,0.3*$CV6,TRUE))*summary!$C$6/28.8/0.947817)/(SUMPRODUCT((economics!$AG$2:$AG$167=$B35)*(economics!$D$2:$D$167="whr")*economics!$AH$2:$AH$167*(_xlfn.NORM.DIST(BR$3,economics!$AK$2:$AK$167,economics!$AJ$2:$AJ$167,TRUE)-_xlfn.NORM.DIST(BR$30,economics!$AK$2:$AK$167,economics!$AJ$2:$AJ$167,TRUE)))+$CR6*(_xlfn.NORM.DIST(BR$3,$CU6,0.3*$CU6,TRUE)-_xlfn.NORM.DIST(BR$30,$CU6,0.3*$CU6,TRUE))+$CS6*(_xlfn.NORM.DIST(BR$3,$CV6,0.3*$CV6,TRUE)-_xlfn.NORM.DIST(BR$30,$CV6,0.3*$CV6,TRUE))),""),IF($C6&gt;0,summary!$C$10/28.8/0.947817,""))</f>
        <v/>
      </c>
      <c r="BS35">
        <f t="array" ref="BS35">IF($D6,IFERROR((SUMPRODUCT((economics!$AG$2:$AG$167=$B35)*(economics!$D$2:$D$167="whr")*economics!$AH$2:$AH$167*(_xlfn.NORM.DIST(BS$3,economics!$AK$2:$AK$167,economics!$AJ$2:$AJ$167,TRUE)-_xlfn.NORM.DIST(BS$30,economics!$AK$2:$AK$167,economics!$AJ$2:$AJ$167,TRUE))*economics!$AM$2:$AM$167)+$CR6*(_xlfn.NORM.DIST(BS$3,$CU6,0.3*$CU6,TRUE)-_xlfn.NORM.DIST(BS$30,$CU6,0.3*$CU6,TRUE))*summary!$C$7/28.8/0.947817+$CS6*(_xlfn.NORM.DIST(BS$3,$CV6,0.3*$CV6,TRUE)-_xlfn.NORM.DIST(BS$30,$CV6,0.3*$CV6,TRUE))*summary!$C$6/28.8/0.947817)/(SUMPRODUCT((economics!$AG$2:$AG$167=$B35)*(economics!$D$2:$D$167="whr")*economics!$AH$2:$AH$167*(_xlfn.NORM.DIST(BS$3,economics!$AK$2:$AK$167,economics!$AJ$2:$AJ$167,TRUE)-_xlfn.NORM.DIST(BS$30,economics!$AK$2:$AK$167,economics!$AJ$2:$AJ$167,TRUE)))+$CR6*(_xlfn.NORM.DIST(BS$3,$CU6,0.3*$CU6,TRUE)-_xlfn.NORM.DIST(BS$30,$CU6,0.3*$CU6,TRUE))+$CS6*(_xlfn.NORM.DIST(BS$3,$CV6,0.3*$CV6,TRUE)-_xlfn.NORM.DIST(BS$30,$CV6,0.3*$CV6,TRUE))),""),IF($C6&gt;0,summary!$C$10/28.8/0.947817,""))</f>
        <v/>
      </c>
      <c r="BT35">
        <f t="array" ref="BT35">IF($D6,IFERROR((SUMPRODUCT((economics!$AG$2:$AG$167=$B35)*(economics!$D$2:$D$167="whr")*economics!$AH$2:$AH$167*(_xlfn.NORM.DIST(BT$3,economics!$AK$2:$AK$167,economics!$AJ$2:$AJ$167,TRUE)-_xlfn.NORM.DIST(BT$30,economics!$AK$2:$AK$167,economics!$AJ$2:$AJ$167,TRUE))*economics!$AM$2:$AM$167)+$CR6*(_xlfn.NORM.DIST(BT$3,$CU6,0.3*$CU6,TRUE)-_xlfn.NORM.DIST(BT$30,$CU6,0.3*$CU6,TRUE))*summary!$C$7/28.8/0.947817+$CS6*(_xlfn.NORM.DIST(BT$3,$CV6,0.3*$CV6,TRUE)-_xlfn.NORM.DIST(BT$30,$CV6,0.3*$CV6,TRUE))*summary!$C$6/28.8/0.947817)/(SUMPRODUCT((economics!$AG$2:$AG$167=$B35)*(economics!$D$2:$D$167="whr")*economics!$AH$2:$AH$167*(_xlfn.NORM.DIST(BT$3,economics!$AK$2:$AK$167,economics!$AJ$2:$AJ$167,TRUE)-_xlfn.NORM.DIST(BT$30,economics!$AK$2:$AK$167,economics!$AJ$2:$AJ$167,TRUE)))+$CR6*(_xlfn.NORM.DIST(BT$3,$CU6,0.3*$CU6,TRUE)-_xlfn.NORM.DIST(BT$30,$CU6,0.3*$CU6,TRUE))+$CS6*(_xlfn.NORM.DIST(BT$3,$CV6,0.3*$CV6,TRUE)-_xlfn.NORM.DIST(BT$30,$CV6,0.3*$CV6,TRUE))),""),IF($C6&gt;0,summary!$C$10/28.8/0.947817,""))</f>
        <v/>
      </c>
      <c r="BU35">
        <f t="array" ref="BU35">IF($D6,IFERROR((SUMPRODUCT((economics!$AG$2:$AG$167=$B35)*(economics!$D$2:$D$167="whr")*economics!$AH$2:$AH$167*(_xlfn.NORM.DIST(BU$3,economics!$AK$2:$AK$167,economics!$AJ$2:$AJ$167,TRUE)-_xlfn.NORM.DIST(BU$30,economics!$AK$2:$AK$167,economics!$AJ$2:$AJ$167,TRUE))*economics!$AM$2:$AM$167)+$CR6*(_xlfn.NORM.DIST(BU$3,$CU6,0.3*$CU6,TRUE)-_xlfn.NORM.DIST(BU$30,$CU6,0.3*$CU6,TRUE))*summary!$C$7/28.8/0.947817+$CS6*(_xlfn.NORM.DIST(BU$3,$CV6,0.3*$CV6,TRUE)-_xlfn.NORM.DIST(BU$30,$CV6,0.3*$CV6,TRUE))*summary!$C$6/28.8/0.947817)/(SUMPRODUCT((economics!$AG$2:$AG$167=$B35)*(economics!$D$2:$D$167="whr")*economics!$AH$2:$AH$167*(_xlfn.NORM.DIST(BU$3,economics!$AK$2:$AK$167,economics!$AJ$2:$AJ$167,TRUE)-_xlfn.NORM.DIST(BU$30,economics!$AK$2:$AK$167,economics!$AJ$2:$AJ$167,TRUE)))+$CR6*(_xlfn.NORM.DIST(BU$3,$CU6,0.3*$CU6,TRUE)-_xlfn.NORM.DIST(BU$30,$CU6,0.3*$CU6,TRUE))+$CS6*(_xlfn.NORM.DIST(BU$3,$CV6,0.3*$CV6,TRUE)-_xlfn.NORM.DIST(BU$30,$CV6,0.3*$CV6,TRUE))),""),IF($C6&gt;0,summary!$C$10/28.8/0.947817,""))</f>
        <v/>
      </c>
      <c r="BV35">
        <f t="array" ref="BV35">IF($D6,IFERROR((SUMPRODUCT((economics!$AG$2:$AG$167=$B35)*(economics!$D$2:$D$167="whr")*economics!$AH$2:$AH$167*(_xlfn.NORM.DIST(BV$3,economics!$AK$2:$AK$167,economics!$AJ$2:$AJ$167,TRUE)-_xlfn.NORM.DIST(BV$30,economics!$AK$2:$AK$167,economics!$AJ$2:$AJ$167,TRUE))*economics!$AM$2:$AM$167)+$CR6*(_xlfn.NORM.DIST(BV$3,$CU6,0.3*$CU6,TRUE)-_xlfn.NORM.DIST(BV$30,$CU6,0.3*$CU6,TRUE))*summary!$C$7/28.8/0.947817+$CS6*(_xlfn.NORM.DIST(BV$3,$CV6,0.3*$CV6,TRUE)-_xlfn.NORM.DIST(BV$30,$CV6,0.3*$CV6,TRUE))*summary!$C$6/28.8/0.947817)/(SUMPRODUCT((economics!$AG$2:$AG$167=$B35)*(economics!$D$2:$D$167="whr")*economics!$AH$2:$AH$167*(_xlfn.NORM.DIST(BV$3,economics!$AK$2:$AK$167,economics!$AJ$2:$AJ$167,TRUE)-_xlfn.NORM.DIST(BV$30,economics!$AK$2:$AK$167,economics!$AJ$2:$AJ$167,TRUE)))+$CR6*(_xlfn.NORM.DIST(BV$3,$CU6,0.3*$CU6,TRUE)-_xlfn.NORM.DIST(BV$30,$CU6,0.3*$CU6,TRUE))+$CS6*(_xlfn.NORM.DIST(BV$3,$CV6,0.3*$CV6,TRUE)-_xlfn.NORM.DIST(BV$30,$CV6,0.3*$CV6,TRUE))),""),IF($C6&gt;0,summary!$C$10/28.8/0.947817,""))</f>
        <v/>
      </c>
      <c r="BW35">
        <f t="array" ref="BW35">IF($D6,IFERROR((SUMPRODUCT((economics!$AG$2:$AG$167=$B35)*(economics!$D$2:$D$167="whr")*economics!$AH$2:$AH$167*(_xlfn.NORM.DIST(BW$3,economics!$AK$2:$AK$167,economics!$AJ$2:$AJ$167,TRUE)-_xlfn.NORM.DIST(BW$30,economics!$AK$2:$AK$167,economics!$AJ$2:$AJ$167,TRUE))*economics!$AM$2:$AM$167)+$CR6*(_xlfn.NORM.DIST(BW$3,$CU6,0.3*$CU6,TRUE)-_xlfn.NORM.DIST(BW$30,$CU6,0.3*$CU6,TRUE))*summary!$C$7/28.8/0.947817+$CS6*(_xlfn.NORM.DIST(BW$3,$CV6,0.3*$CV6,TRUE)-_xlfn.NORM.DIST(BW$30,$CV6,0.3*$CV6,TRUE))*summary!$C$6/28.8/0.947817)/(SUMPRODUCT((economics!$AG$2:$AG$167=$B35)*(economics!$D$2:$D$167="whr")*economics!$AH$2:$AH$167*(_xlfn.NORM.DIST(BW$3,economics!$AK$2:$AK$167,economics!$AJ$2:$AJ$167,TRUE)-_xlfn.NORM.DIST(BW$30,economics!$AK$2:$AK$167,economics!$AJ$2:$AJ$167,TRUE)))+$CR6*(_xlfn.NORM.DIST(BW$3,$CU6,0.3*$CU6,TRUE)-_xlfn.NORM.DIST(BW$30,$CU6,0.3*$CU6,TRUE))+$CS6*(_xlfn.NORM.DIST(BW$3,$CV6,0.3*$CV6,TRUE)-_xlfn.NORM.DIST(BW$30,$CV6,0.3*$CV6,TRUE))),""),IF($C6&gt;0,summary!$C$10/28.8/0.947817,""))</f>
        <v/>
      </c>
      <c r="BX35">
        <f t="array" ref="BX35">IF($D6,IFERROR((SUMPRODUCT((economics!$AG$2:$AG$167=$B35)*(economics!$D$2:$D$167="whr")*economics!$AH$2:$AH$167*(_xlfn.NORM.DIST(BX$3,economics!$AK$2:$AK$167,economics!$AJ$2:$AJ$167,TRUE)-_xlfn.NORM.DIST(BX$30,economics!$AK$2:$AK$167,economics!$AJ$2:$AJ$167,TRUE))*economics!$AM$2:$AM$167)+$CR6*(_xlfn.NORM.DIST(BX$3,$CU6,0.3*$CU6,TRUE)-_xlfn.NORM.DIST(BX$30,$CU6,0.3*$CU6,TRUE))*summary!$C$7/28.8/0.947817+$CS6*(_xlfn.NORM.DIST(BX$3,$CV6,0.3*$CV6,TRUE)-_xlfn.NORM.DIST(BX$30,$CV6,0.3*$CV6,TRUE))*summary!$C$6/28.8/0.947817)/(SUMPRODUCT((economics!$AG$2:$AG$167=$B35)*(economics!$D$2:$D$167="whr")*economics!$AH$2:$AH$167*(_xlfn.NORM.DIST(BX$3,economics!$AK$2:$AK$167,economics!$AJ$2:$AJ$167,TRUE)-_xlfn.NORM.DIST(BX$30,economics!$AK$2:$AK$167,economics!$AJ$2:$AJ$167,TRUE)))+$CR6*(_xlfn.NORM.DIST(BX$3,$CU6,0.3*$CU6,TRUE)-_xlfn.NORM.DIST(BX$30,$CU6,0.3*$CU6,TRUE))+$CS6*(_xlfn.NORM.DIST(BX$3,$CV6,0.3*$CV6,TRUE)-_xlfn.NORM.DIST(BX$30,$CV6,0.3*$CV6,TRUE))),""),IF($C6&gt;0,summary!$C$10/28.8/0.947817,""))</f>
        <v/>
      </c>
      <c r="BY35">
        <f t="array" ref="BY35">IF($D6,IFERROR((SUMPRODUCT((economics!$AG$2:$AG$167=$B35)*(economics!$D$2:$D$167="whr")*economics!$AH$2:$AH$167*(_xlfn.NORM.DIST(BY$3,economics!$AK$2:$AK$167,economics!$AJ$2:$AJ$167,TRUE)-_xlfn.NORM.DIST(BY$30,economics!$AK$2:$AK$167,economics!$AJ$2:$AJ$167,TRUE))*economics!$AM$2:$AM$167)+$CR6*(_xlfn.NORM.DIST(BY$3,$CU6,0.3*$CU6,TRUE)-_xlfn.NORM.DIST(BY$30,$CU6,0.3*$CU6,TRUE))*summary!$C$7/28.8/0.947817+$CS6*(_xlfn.NORM.DIST(BY$3,$CV6,0.3*$CV6,TRUE)-_xlfn.NORM.DIST(BY$30,$CV6,0.3*$CV6,TRUE))*summary!$C$6/28.8/0.947817)/(SUMPRODUCT((economics!$AG$2:$AG$167=$B35)*(economics!$D$2:$D$167="whr")*economics!$AH$2:$AH$167*(_xlfn.NORM.DIST(BY$3,economics!$AK$2:$AK$167,economics!$AJ$2:$AJ$167,TRUE)-_xlfn.NORM.DIST(BY$30,economics!$AK$2:$AK$167,economics!$AJ$2:$AJ$167,TRUE)))+$CR6*(_xlfn.NORM.DIST(BY$3,$CU6,0.3*$CU6,TRUE)-_xlfn.NORM.DIST(BY$30,$CU6,0.3*$CU6,TRUE))+$CS6*(_xlfn.NORM.DIST(BY$3,$CV6,0.3*$CV6,TRUE)-_xlfn.NORM.DIST(BY$30,$CV6,0.3*$CV6,TRUE))),""),IF($C6&gt;0,summary!$C$10/28.8/0.947817,""))</f>
        <v/>
      </c>
      <c r="BZ35">
        <f t="array" ref="BZ35">IF($D6,IFERROR((SUMPRODUCT((economics!$AG$2:$AG$167=$B35)*(economics!$D$2:$D$167="whr")*economics!$AH$2:$AH$167*(_xlfn.NORM.DIST(BZ$3,economics!$AK$2:$AK$167,economics!$AJ$2:$AJ$167,TRUE)-_xlfn.NORM.DIST(BZ$30,economics!$AK$2:$AK$167,economics!$AJ$2:$AJ$167,TRUE))*economics!$AM$2:$AM$167)+$CR6*(_xlfn.NORM.DIST(BZ$3,$CU6,0.3*$CU6,TRUE)-_xlfn.NORM.DIST(BZ$30,$CU6,0.3*$CU6,TRUE))*summary!$C$7/28.8/0.947817+$CS6*(_xlfn.NORM.DIST(BZ$3,$CV6,0.3*$CV6,TRUE)-_xlfn.NORM.DIST(BZ$30,$CV6,0.3*$CV6,TRUE))*summary!$C$6/28.8/0.947817)/(SUMPRODUCT((economics!$AG$2:$AG$167=$B35)*(economics!$D$2:$D$167="whr")*economics!$AH$2:$AH$167*(_xlfn.NORM.DIST(BZ$3,economics!$AK$2:$AK$167,economics!$AJ$2:$AJ$167,TRUE)-_xlfn.NORM.DIST(BZ$30,economics!$AK$2:$AK$167,economics!$AJ$2:$AJ$167,TRUE)))+$CR6*(_xlfn.NORM.DIST(BZ$3,$CU6,0.3*$CU6,TRUE)-_xlfn.NORM.DIST(BZ$30,$CU6,0.3*$CU6,TRUE))+$CS6*(_xlfn.NORM.DIST(BZ$3,$CV6,0.3*$CV6,TRUE)-_xlfn.NORM.DIST(BZ$30,$CV6,0.3*$CV6,TRUE))),""),IF($C6&gt;0,summary!$C$10/28.8/0.947817,""))</f>
        <v/>
      </c>
      <c r="CA35">
        <f t="array" ref="CA35">IF($D6,IFERROR((SUMPRODUCT((economics!$AG$2:$AG$167=$B35)*(economics!$D$2:$D$167="whr")*economics!$AH$2:$AH$167*(_xlfn.NORM.DIST(CA$3,economics!$AK$2:$AK$167,economics!$AJ$2:$AJ$167,TRUE)-_xlfn.NORM.DIST(CA$30,economics!$AK$2:$AK$167,economics!$AJ$2:$AJ$167,TRUE))*economics!$AM$2:$AM$167)+$CR6*(_xlfn.NORM.DIST(CA$3,$CU6,0.3*$CU6,TRUE)-_xlfn.NORM.DIST(CA$30,$CU6,0.3*$CU6,TRUE))*summary!$C$7/28.8/0.947817+$CS6*(_xlfn.NORM.DIST(CA$3,$CV6,0.3*$CV6,TRUE)-_xlfn.NORM.DIST(CA$30,$CV6,0.3*$CV6,TRUE))*summary!$C$6/28.8/0.947817)/(SUMPRODUCT((economics!$AG$2:$AG$167=$B35)*(economics!$D$2:$D$167="whr")*economics!$AH$2:$AH$167*(_xlfn.NORM.DIST(CA$3,economics!$AK$2:$AK$167,economics!$AJ$2:$AJ$167,TRUE)-_xlfn.NORM.DIST(CA$30,economics!$AK$2:$AK$167,economics!$AJ$2:$AJ$167,TRUE)))+$CR6*(_xlfn.NORM.DIST(CA$3,$CU6,0.3*$CU6,TRUE)-_xlfn.NORM.DIST(CA$30,$CU6,0.3*$CU6,TRUE))+$CS6*(_xlfn.NORM.DIST(CA$3,$CV6,0.3*$CV6,TRUE)-_xlfn.NORM.DIST(CA$30,$CV6,0.3*$CV6,TRUE))),""),IF($C6&gt;0,summary!$C$10/28.8/0.947817,""))</f>
        <v/>
      </c>
      <c r="CB35">
        <f t="array" ref="CB35">IF($D6,IFERROR((SUMPRODUCT((economics!$AG$2:$AG$167=$B35)*(economics!$D$2:$D$167="whr")*economics!$AH$2:$AH$167*(_xlfn.NORM.DIST(CB$3,economics!$AK$2:$AK$167,economics!$AJ$2:$AJ$167,TRUE)-_xlfn.NORM.DIST(CB$30,economics!$AK$2:$AK$167,economics!$AJ$2:$AJ$167,TRUE))*economics!$AM$2:$AM$167)+$CR6*(_xlfn.NORM.DIST(CB$3,$CU6,0.3*$CU6,TRUE)-_xlfn.NORM.DIST(CB$30,$CU6,0.3*$CU6,TRUE))*summary!$C$7/28.8/0.947817+$CS6*(_xlfn.NORM.DIST(CB$3,$CV6,0.3*$CV6,TRUE)-_xlfn.NORM.DIST(CB$30,$CV6,0.3*$CV6,TRUE))*summary!$C$6/28.8/0.947817)/(SUMPRODUCT((economics!$AG$2:$AG$167=$B35)*(economics!$D$2:$D$167="whr")*economics!$AH$2:$AH$167*(_xlfn.NORM.DIST(CB$3,economics!$AK$2:$AK$167,economics!$AJ$2:$AJ$167,TRUE)-_xlfn.NORM.DIST(CB$30,economics!$AK$2:$AK$167,economics!$AJ$2:$AJ$167,TRUE)))+$CR6*(_xlfn.NORM.DIST(CB$3,$CU6,0.3*$CU6,TRUE)-_xlfn.NORM.DIST(CB$30,$CU6,0.3*$CU6,TRUE))+$CS6*(_xlfn.NORM.DIST(CB$3,$CV6,0.3*$CV6,TRUE)-_xlfn.NORM.DIST(CB$30,$CV6,0.3*$CV6,TRUE))),""),IF($C6&gt;0,summary!$C$10/28.8/0.947817,""))</f>
        <v/>
      </c>
      <c r="CC35">
        <f t="array" ref="CC35">IF($D6,IFERROR((SUMPRODUCT((economics!$AG$2:$AG$167=$B35)*(economics!$D$2:$D$167="whr")*economics!$AH$2:$AH$167*(_xlfn.NORM.DIST(CC$3,economics!$AK$2:$AK$167,economics!$AJ$2:$AJ$167,TRUE)-_xlfn.NORM.DIST(CC$30,economics!$AK$2:$AK$167,economics!$AJ$2:$AJ$167,TRUE))*economics!$AM$2:$AM$167)+$CR6*(_xlfn.NORM.DIST(CC$3,$CU6,0.3*$CU6,TRUE)-_xlfn.NORM.DIST(CC$30,$CU6,0.3*$CU6,TRUE))*summary!$C$7/28.8/0.947817+$CS6*(_xlfn.NORM.DIST(CC$3,$CV6,0.3*$CV6,TRUE)-_xlfn.NORM.DIST(CC$30,$CV6,0.3*$CV6,TRUE))*summary!$C$6/28.8/0.947817)/(SUMPRODUCT((economics!$AG$2:$AG$167=$B35)*(economics!$D$2:$D$167="whr")*economics!$AH$2:$AH$167*(_xlfn.NORM.DIST(CC$3,economics!$AK$2:$AK$167,economics!$AJ$2:$AJ$167,TRUE)-_xlfn.NORM.DIST(CC$30,economics!$AK$2:$AK$167,economics!$AJ$2:$AJ$167,TRUE)))+$CR6*(_xlfn.NORM.DIST(CC$3,$CU6,0.3*$CU6,TRUE)-_xlfn.NORM.DIST(CC$30,$CU6,0.3*$CU6,TRUE))+$CS6*(_xlfn.NORM.DIST(CC$3,$CV6,0.3*$CV6,TRUE)-_xlfn.NORM.DIST(CC$30,$CV6,0.3*$CV6,TRUE))),""),IF($C6&gt;0,summary!$C$10/28.8/0.947817,""))</f>
        <v/>
      </c>
      <c r="CD35">
        <f t="array" ref="CD35">IF($D6,IFERROR((SUMPRODUCT((economics!$AG$2:$AG$167=$B35)*(economics!$D$2:$D$167="whr")*economics!$AH$2:$AH$167*(_xlfn.NORM.DIST(CD$3,economics!$AK$2:$AK$167,economics!$AJ$2:$AJ$167,TRUE)-_xlfn.NORM.DIST(CD$30,economics!$AK$2:$AK$167,economics!$AJ$2:$AJ$167,TRUE))*economics!$AM$2:$AM$167)+$CR6*(_xlfn.NORM.DIST(CD$3,$CU6,0.3*$CU6,TRUE)-_xlfn.NORM.DIST(CD$30,$CU6,0.3*$CU6,TRUE))*summary!$C$7/28.8/0.947817+$CS6*(_xlfn.NORM.DIST(CD$3,$CV6,0.3*$CV6,TRUE)-_xlfn.NORM.DIST(CD$30,$CV6,0.3*$CV6,TRUE))*summary!$C$6/28.8/0.947817)/(SUMPRODUCT((economics!$AG$2:$AG$167=$B35)*(economics!$D$2:$D$167="whr")*economics!$AH$2:$AH$167*(_xlfn.NORM.DIST(CD$3,economics!$AK$2:$AK$167,economics!$AJ$2:$AJ$167,TRUE)-_xlfn.NORM.DIST(CD$30,economics!$AK$2:$AK$167,economics!$AJ$2:$AJ$167,TRUE)))+$CR6*(_xlfn.NORM.DIST(CD$3,$CU6,0.3*$CU6,TRUE)-_xlfn.NORM.DIST(CD$30,$CU6,0.3*$CU6,TRUE))+$CS6*(_xlfn.NORM.DIST(CD$3,$CV6,0.3*$CV6,TRUE)-_xlfn.NORM.DIST(CD$30,$CV6,0.3*$CV6,TRUE))),""),IF($C6&gt;0,summary!$C$10/28.8/0.947817,""))</f>
        <v/>
      </c>
      <c r="CE35">
        <f t="array" ref="CE35">IF($D6,IFERROR((SUMPRODUCT((economics!$AG$2:$AG$167=$B35)*(economics!$D$2:$D$167="whr")*economics!$AH$2:$AH$167*(_xlfn.NORM.DIST(CE$3,economics!$AK$2:$AK$167,economics!$AJ$2:$AJ$167,TRUE)-_xlfn.NORM.DIST(CE$30,economics!$AK$2:$AK$167,economics!$AJ$2:$AJ$167,TRUE))*economics!$AM$2:$AM$167)+$CR6*(_xlfn.NORM.DIST(CE$3,$CU6,0.3*$CU6,TRUE)-_xlfn.NORM.DIST(CE$30,$CU6,0.3*$CU6,TRUE))*summary!$C$7/28.8/0.947817+$CS6*(_xlfn.NORM.DIST(CE$3,$CV6,0.3*$CV6,TRUE)-_xlfn.NORM.DIST(CE$30,$CV6,0.3*$CV6,TRUE))*summary!$C$6/28.8/0.947817)/(SUMPRODUCT((economics!$AG$2:$AG$167=$B35)*(economics!$D$2:$D$167="whr")*economics!$AH$2:$AH$167*(_xlfn.NORM.DIST(CE$3,economics!$AK$2:$AK$167,economics!$AJ$2:$AJ$167,TRUE)-_xlfn.NORM.DIST(CE$30,economics!$AK$2:$AK$167,economics!$AJ$2:$AJ$167,TRUE)))+$CR6*(_xlfn.NORM.DIST(CE$3,$CU6,0.3*$CU6,TRUE)-_xlfn.NORM.DIST(CE$30,$CU6,0.3*$CU6,TRUE))+$CS6*(_xlfn.NORM.DIST(CE$3,$CV6,0.3*$CV6,TRUE)-_xlfn.NORM.DIST(CE$30,$CV6,0.3*$CV6,TRUE))),""),IF($C6&gt;0,summary!$C$10/28.8/0.947817,""))</f>
        <v/>
      </c>
      <c r="CF35">
        <f t="array" ref="CF35">IF($D6,IFERROR((SUMPRODUCT((economics!$AG$2:$AG$167=$B35)*(economics!$D$2:$D$167="whr")*economics!$AH$2:$AH$167*(_xlfn.NORM.DIST(CF$3,economics!$AK$2:$AK$167,economics!$AJ$2:$AJ$167,TRUE)-_xlfn.NORM.DIST(CF$30,economics!$AK$2:$AK$167,economics!$AJ$2:$AJ$167,TRUE))*economics!$AM$2:$AM$167)+$CR6*(_xlfn.NORM.DIST(CF$3,$CU6,0.3*$CU6,TRUE)-_xlfn.NORM.DIST(CF$30,$CU6,0.3*$CU6,TRUE))*summary!$C$7/28.8/0.947817+$CS6*(_xlfn.NORM.DIST(CF$3,$CV6,0.3*$CV6,TRUE)-_xlfn.NORM.DIST(CF$30,$CV6,0.3*$CV6,TRUE))*summary!$C$6/28.8/0.947817)/(SUMPRODUCT((economics!$AG$2:$AG$167=$B35)*(economics!$D$2:$D$167="whr")*economics!$AH$2:$AH$167*(_xlfn.NORM.DIST(CF$3,economics!$AK$2:$AK$167,economics!$AJ$2:$AJ$167,TRUE)-_xlfn.NORM.DIST(CF$30,economics!$AK$2:$AK$167,economics!$AJ$2:$AJ$167,TRUE)))+$CR6*(_xlfn.NORM.DIST(CF$3,$CU6,0.3*$CU6,TRUE)-_xlfn.NORM.DIST(CF$30,$CU6,0.3*$CU6,TRUE))+$CS6*(_xlfn.NORM.DIST(CF$3,$CV6,0.3*$CV6,TRUE)-_xlfn.NORM.DIST(CF$30,$CV6,0.3*$CV6,TRUE))),""),IF($C6&gt;0,summary!$C$10/28.8/0.947817,""))</f>
        <v/>
      </c>
      <c r="CG35">
        <f t="array" ref="CG35">IF($D6,IFERROR((SUMPRODUCT((economics!$AG$2:$AG$167=$B35)*(economics!$D$2:$D$167="whr")*economics!$AH$2:$AH$167*(_xlfn.NORM.DIST(CG$3,economics!$AK$2:$AK$167,economics!$AJ$2:$AJ$167,TRUE)-_xlfn.NORM.DIST(CG$30,economics!$AK$2:$AK$167,economics!$AJ$2:$AJ$167,TRUE))*economics!$AM$2:$AM$167)+$CR6*(_xlfn.NORM.DIST(CG$3,$CU6,0.3*$CU6,TRUE)-_xlfn.NORM.DIST(CG$30,$CU6,0.3*$CU6,TRUE))*summary!$C$7/28.8/0.947817+$CS6*(_xlfn.NORM.DIST(CG$3,$CV6,0.3*$CV6,TRUE)-_xlfn.NORM.DIST(CG$30,$CV6,0.3*$CV6,TRUE))*summary!$C$6/28.8/0.947817)/(SUMPRODUCT((economics!$AG$2:$AG$167=$B35)*(economics!$D$2:$D$167="whr")*economics!$AH$2:$AH$167*(_xlfn.NORM.DIST(CG$3,economics!$AK$2:$AK$167,economics!$AJ$2:$AJ$167,TRUE)-_xlfn.NORM.DIST(CG$30,economics!$AK$2:$AK$167,economics!$AJ$2:$AJ$167,TRUE)))+$CR6*(_xlfn.NORM.DIST(CG$3,$CU6,0.3*$CU6,TRUE)-_xlfn.NORM.DIST(CG$30,$CU6,0.3*$CU6,TRUE))+$CS6*(_xlfn.NORM.DIST(CG$3,$CV6,0.3*$CV6,TRUE)-_xlfn.NORM.DIST(CG$30,$CV6,0.3*$CV6,TRUE))),""),IF($C6&gt;0,summary!$C$10/28.8/0.947817,""))</f>
        <v/>
      </c>
      <c r="CH35">
        <f t="array" ref="CH35">IF($D6,IFERROR((SUMPRODUCT((economics!$AG$2:$AG$167=$B35)*(economics!$D$2:$D$167="whr")*economics!$AH$2:$AH$167*(_xlfn.NORM.DIST(CH$3,economics!$AK$2:$AK$167,economics!$AJ$2:$AJ$167,TRUE)-_xlfn.NORM.DIST(CH$30,economics!$AK$2:$AK$167,economics!$AJ$2:$AJ$167,TRUE))*economics!$AM$2:$AM$167)+$CR6*(_xlfn.NORM.DIST(CH$3,$CU6,0.3*$CU6,TRUE)-_xlfn.NORM.DIST(CH$30,$CU6,0.3*$CU6,TRUE))*summary!$C$7/28.8/0.947817+$CS6*(_xlfn.NORM.DIST(CH$3,$CV6,0.3*$CV6,TRUE)-_xlfn.NORM.DIST(CH$30,$CV6,0.3*$CV6,TRUE))*summary!$C$6/28.8/0.947817)/(SUMPRODUCT((economics!$AG$2:$AG$167=$B35)*(economics!$D$2:$D$167="whr")*economics!$AH$2:$AH$167*(_xlfn.NORM.DIST(CH$3,economics!$AK$2:$AK$167,economics!$AJ$2:$AJ$167,TRUE)-_xlfn.NORM.DIST(CH$30,economics!$AK$2:$AK$167,economics!$AJ$2:$AJ$167,TRUE)))+$CR6*(_xlfn.NORM.DIST(CH$3,$CU6,0.3*$CU6,TRUE)-_xlfn.NORM.DIST(CH$30,$CU6,0.3*$CU6,TRUE))+$CS6*(_xlfn.NORM.DIST(CH$3,$CV6,0.3*$CV6,TRUE)-_xlfn.NORM.DIST(CH$30,$CV6,0.3*$CV6,TRUE))),""),IF($C6&gt;0,summary!$C$10/28.8/0.947817,""))</f>
        <v/>
      </c>
    </row>
    <row r="36">
      <c r="A36">
        <f>A7</f>
        <v/>
      </c>
      <c r="B36">
        <f>B7</f>
        <v/>
      </c>
      <c r="E36">
        <f t="array" ref="E36">IF($D7,IFERROR((SUMPRODUCT((economics!$AG$2:$AG$167=$B36)*(economics!$D$2:$D$167="whr")*economics!$AH$2:$AH$167*(_xlfn.NORM.DIST(E$3,economics!$AK$2:$AK$167,economics!$AJ$2:$AJ$167,TRUE)-_xlfn.NORM.DIST(E$30,economics!$AK$2:$AK$167,economics!$AJ$2:$AJ$167,TRUE))*economics!$AM$2:$AM$167)+$CR7*(_xlfn.NORM.DIST(E$3,$CU7,0.3*$CU7,TRUE)-_xlfn.NORM.DIST(E$30,$CU7,0.3*$CU7,TRUE))*summary!$C$7/28.8/0.947817+$CS7*(_xlfn.NORM.DIST(E$3,$CV7,0.3*$CV7,TRUE)-_xlfn.NORM.DIST(E$30,$CV7,0.3*$CV7,TRUE))*summary!$C$6/28.8/0.947817)/(SUMPRODUCT((economics!$AG$2:$AG$167=$B36)*(economics!$D$2:$D$167="whr")*economics!$AH$2:$AH$167*(_xlfn.NORM.DIST(E$3,economics!$AK$2:$AK$167,economics!$AJ$2:$AJ$167,TRUE)-_xlfn.NORM.DIST(E$30,economics!$AK$2:$AK$167,economics!$AJ$2:$AJ$167,TRUE)))+$CR7*(_xlfn.NORM.DIST(E$3,$CU7,0.3*$CU7,TRUE)-_xlfn.NORM.DIST(E$30,$CU7,0.3*$CU7,TRUE))+$CS7*(_xlfn.NORM.DIST(E$3,$CV7,0.3*$CV7,TRUE)-_xlfn.NORM.DIST(E$30,$CV7,0.3*$CV7,TRUE))),""),IF($C7&gt;0,summary!$C$10/28.8/0.947817,""))</f>
        <v/>
      </c>
      <c r="F36">
        <f t="array" ref="F36">IF($D7,IFERROR((SUMPRODUCT((economics!$AG$2:$AG$167=$B36)*(economics!$D$2:$D$167="whr")*economics!$AH$2:$AH$167*(_xlfn.NORM.DIST(F$3,economics!$AK$2:$AK$167,economics!$AJ$2:$AJ$167,TRUE)-_xlfn.NORM.DIST(F$30,economics!$AK$2:$AK$167,economics!$AJ$2:$AJ$167,TRUE))*economics!$AM$2:$AM$167)+$CR7*(_xlfn.NORM.DIST(F$3,$CU7,0.3*$CU7,TRUE)-_xlfn.NORM.DIST(F$30,$CU7,0.3*$CU7,TRUE))*summary!$C$7/28.8/0.947817+$CS7*(_xlfn.NORM.DIST(F$3,$CV7,0.3*$CV7,TRUE)-_xlfn.NORM.DIST(F$30,$CV7,0.3*$CV7,TRUE))*summary!$C$6/28.8/0.947817)/(SUMPRODUCT((economics!$AG$2:$AG$167=$B36)*(economics!$D$2:$D$167="whr")*economics!$AH$2:$AH$167*(_xlfn.NORM.DIST(F$3,economics!$AK$2:$AK$167,economics!$AJ$2:$AJ$167,TRUE)-_xlfn.NORM.DIST(F$30,economics!$AK$2:$AK$167,economics!$AJ$2:$AJ$167,TRUE)))+$CR7*(_xlfn.NORM.DIST(F$3,$CU7,0.3*$CU7,TRUE)-_xlfn.NORM.DIST(F$30,$CU7,0.3*$CU7,TRUE))+$CS7*(_xlfn.NORM.DIST(F$3,$CV7,0.3*$CV7,TRUE)-_xlfn.NORM.DIST(F$30,$CV7,0.3*$CV7,TRUE))),""),IF($C7&gt;0,summary!$C$10/28.8/0.947817,""))</f>
        <v/>
      </c>
      <c r="G36">
        <f t="array" ref="G36">IF($D7,IFERROR((SUMPRODUCT((economics!$AG$2:$AG$167=$B36)*(economics!$D$2:$D$167="whr")*economics!$AH$2:$AH$167*(_xlfn.NORM.DIST(G$3,economics!$AK$2:$AK$167,economics!$AJ$2:$AJ$167,TRUE)-_xlfn.NORM.DIST(G$30,economics!$AK$2:$AK$167,economics!$AJ$2:$AJ$167,TRUE))*economics!$AM$2:$AM$167)+$CR7*(_xlfn.NORM.DIST(G$3,$CU7,0.3*$CU7,TRUE)-_xlfn.NORM.DIST(G$30,$CU7,0.3*$CU7,TRUE))*summary!$C$7/28.8/0.947817+$CS7*(_xlfn.NORM.DIST(G$3,$CV7,0.3*$CV7,TRUE)-_xlfn.NORM.DIST(G$30,$CV7,0.3*$CV7,TRUE))*summary!$C$6/28.8/0.947817)/(SUMPRODUCT((economics!$AG$2:$AG$167=$B36)*(economics!$D$2:$D$167="whr")*economics!$AH$2:$AH$167*(_xlfn.NORM.DIST(G$3,economics!$AK$2:$AK$167,economics!$AJ$2:$AJ$167,TRUE)-_xlfn.NORM.DIST(G$30,economics!$AK$2:$AK$167,economics!$AJ$2:$AJ$167,TRUE)))+$CR7*(_xlfn.NORM.DIST(G$3,$CU7,0.3*$CU7,TRUE)-_xlfn.NORM.DIST(G$30,$CU7,0.3*$CU7,TRUE))+$CS7*(_xlfn.NORM.DIST(G$3,$CV7,0.3*$CV7,TRUE)-_xlfn.NORM.DIST(G$30,$CV7,0.3*$CV7,TRUE))),""),IF($C7&gt;0,summary!$C$10/28.8/0.947817,""))</f>
        <v/>
      </c>
      <c r="H36">
        <f t="array" ref="H36">IF($D7,IFERROR((SUMPRODUCT((economics!$AG$2:$AG$167=$B36)*(economics!$D$2:$D$167="whr")*economics!$AH$2:$AH$167*(_xlfn.NORM.DIST(H$3,economics!$AK$2:$AK$167,economics!$AJ$2:$AJ$167,TRUE)-_xlfn.NORM.DIST(H$30,economics!$AK$2:$AK$167,economics!$AJ$2:$AJ$167,TRUE))*economics!$AM$2:$AM$167)+$CR7*(_xlfn.NORM.DIST(H$3,$CU7,0.3*$CU7,TRUE)-_xlfn.NORM.DIST(H$30,$CU7,0.3*$CU7,TRUE))*summary!$C$7/28.8/0.947817+$CS7*(_xlfn.NORM.DIST(H$3,$CV7,0.3*$CV7,TRUE)-_xlfn.NORM.DIST(H$30,$CV7,0.3*$CV7,TRUE))*summary!$C$6/28.8/0.947817)/(SUMPRODUCT((economics!$AG$2:$AG$167=$B36)*(economics!$D$2:$D$167="whr")*economics!$AH$2:$AH$167*(_xlfn.NORM.DIST(H$3,economics!$AK$2:$AK$167,economics!$AJ$2:$AJ$167,TRUE)-_xlfn.NORM.DIST(H$30,economics!$AK$2:$AK$167,economics!$AJ$2:$AJ$167,TRUE)))+$CR7*(_xlfn.NORM.DIST(H$3,$CU7,0.3*$CU7,TRUE)-_xlfn.NORM.DIST(H$30,$CU7,0.3*$CU7,TRUE))+$CS7*(_xlfn.NORM.DIST(H$3,$CV7,0.3*$CV7,TRUE)-_xlfn.NORM.DIST(H$30,$CV7,0.3*$CV7,TRUE))),""),IF($C7&gt;0,summary!$C$10/28.8/0.947817,""))</f>
        <v/>
      </c>
      <c r="I36">
        <f t="array" ref="I36">IF($D7,IFERROR((SUMPRODUCT((economics!$AG$2:$AG$167=$B36)*(economics!$D$2:$D$167="whr")*economics!$AH$2:$AH$167*(_xlfn.NORM.DIST(I$3,economics!$AK$2:$AK$167,economics!$AJ$2:$AJ$167,TRUE)-_xlfn.NORM.DIST(I$30,economics!$AK$2:$AK$167,economics!$AJ$2:$AJ$167,TRUE))*economics!$AM$2:$AM$167)+$CR7*(_xlfn.NORM.DIST(I$3,$CU7,0.3*$CU7,TRUE)-_xlfn.NORM.DIST(I$30,$CU7,0.3*$CU7,TRUE))*summary!$C$7/28.8/0.947817+$CS7*(_xlfn.NORM.DIST(I$3,$CV7,0.3*$CV7,TRUE)-_xlfn.NORM.DIST(I$30,$CV7,0.3*$CV7,TRUE))*summary!$C$6/28.8/0.947817)/(SUMPRODUCT((economics!$AG$2:$AG$167=$B36)*(economics!$D$2:$D$167="whr")*economics!$AH$2:$AH$167*(_xlfn.NORM.DIST(I$3,economics!$AK$2:$AK$167,economics!$AJ$2:$AJ$167,TRUE)-_xlfn.NORM.DIST(I$30,economics!$AK$2:$AK$167,economics!$AJ$2:$AJ$167,TRUE)))+$CR7*(_xlfn.NORM.DIST(I$3,$CU7,0.3*$CU7,TRUE)-_xlfn.NORM.DIST(I$30,$CU7,0.3*$CU7,TRUE))+$CS7*(_xlfn.NORM.DIST(I$3,$CV7,0.3*$CV7,TRUE)-_xlfn.NORM.DIST(I$30,$CV7,0.3*$CV7,TRUE))),""),IF($C7&gt;0,summary!$C$10/28.8/0.947817,""))</f>
        <v/>
      </c>
      <c r="J36">
        <f t="array" ref="J36">IF($D7,IFERROR((SUMPRODUCT((economics!$AG$2:$AG$167=$B36)*(economics!$D$2:$D$167="whr")*economics!$AH$2:$AH$167*(_xlfn.NORM.DIST(J$3,economics!$AK$2:$AK$167,economics!$AJ$2:$AJ$167,TRUE)-_xlfn.NORM.DIST(J$30,economics!$AK$2:$AK$167,economics!$AJ$2:$AJ$167,TRUE))*economics!$AM$2:$AM$167)+$CR7*(_xlfn.NORM.DIST(J$3,$CU7,0.3*$CU7,TRUE)-_xlfn.NORM.DIST(J$30,$CU7,0.3*$CU7,TRUE))*summary!$C$7/28.8/0.947817+$CS7*(_xlfn.NORM.DIST(J$3,$CV7,0.3*$CV7,TRUE)-_xlfn.NORM.DIST(J$30,$CV7,0.3*$CV7,TRUE))*summary!$C$6/28.8/0.947817)/(SUMPRODUCT((economics!$AG$2:$AG$167=$B36)*(economics!$D$2:$D$167="whr")*economics!$AH$2:$AH$167*(_xlfn.NORM.DIST(J$3,economics!$AK$2:$AK$167,economics!$AJ$2:$AJ$167,TRUE)-_xlfn.NORM.DIST(J$30,economics!$AK$2:$AK$167,economics!$AJ$2:$AJ$167,TRUE)))+$CR7*(_xlfn.NORM.DIST(J$3,$CU7,0.3*$CU7,TRUE)-_xlfn.NORM.DIST(J$30,$CU7,0.3*$CU7,TRUE))+$CS7*(_xlfn.NORM.DIST(J$3,$CV7,0.3*$CV7,TRUE)-_xlfn.NORM.DIST(J$30,$CV7,0.3*$CV7,TRUE))),""),IF($C7&gt;0,summary!$C$10/28.8/0.947817,""))</f>
        <v/>
      </c>
      <c r="K36">
        <f t="array" ref="K36">IF($D7,IFERROR((SUMPRODUCT((economics!$AG$2:$AG$167=$B36)*(economics!$D$2:$D$167="whr")*economics!$AH$2:$AH$167*(_xlfn.NORM.DIST(K$3,economics!$AK$2:$AK$167,economics!$AJ$2:$AJ$167,TRUE)-_xlfn.NORM.DIST(K$30,economics!$AK$2:$AK$167,economics!$AJ$2:$AJ$167,TRUE))*economics!$AM$2:$AM$167)+$CR7*(_xlfn.NORM.DIST(K$3,$CU7,0.3*$CU7,TRUE)-_xlfn.NORM.DIST(K$30,$CU7,0.3*$CU7,TRUE))*summary!$C$7/28.8/0.947817+$CS7*(_xlfn.NORM.DIST(K$3,$CV7,0.3*$CV7,TRUE)-_xlfn.NORM.DIST(K$30,$CV7,0.3*$CV7,TRUE))*summary!$C$6/28.8/0.947817)/(SUMPRODUCT((economics!$AG$2:$AG$167=$B36)*(economics!$D$2:$D$167="whr")*economics!$AH$2:$AH$167*(_xlfn.NORM.DIST(K$3,economics!$AK$2:$AK$167,economics!$AJ$2:$AJ$167,TRUE)-_xlfn.NORM.DIST(K$30,economics!$AK$2:$AK$167,economics!$AJ$2:$AJ$167,TRUE)))+$CR7*(_xlfn.NORM.DIST(K$3,$CU7,0.3*$CU7,TRUE)-_xlfn.NORM.DIST(K$30,$CU7,0.3*$CU7,TRUE))+$CS7*(_xlfn.NORM.DIST(K$3,$CV7,0.3*$CV7,TRUE)-_xlfn.NORM.DIST(K$30,$CV7,0.3*$CV7,TRUE))),""),IF($C7&gt;0,summary!$C$10/28.8/0.947817,""))</f>
        <v/>
      </c>
      <c r="L36">
        <f t="array" ref="L36">IF($D7,IFERROR((SUMPRODUCT((economics!$AG$2:$AG$167=$B36)*(economics!$D$2:$D$167="whr")*economics!$AH$2:$AH$167*(_xlfn.NORM.DIST(L$3,economics!$AK$2:$AK$167,economics!$AJ$2:$AJ$167,TRUE)-_xlfn.NORM.DIST(L$30,economics!$AK$2:$AK$167,economics!$AJ$2:$AJ$167,TRUE))*economics!$AM$2:$AM$167)+$CR7*(_xlfn.NORM.DIST(L$3,$CU7,0.3*$CU7,TRUE)-_xlfn.NORM.DIST(L$30,$CU7,0.3*$CU7,TRUE))*summary!$C$7/28.8/0.947817+$CS7*(_xlfn.NORM.DIST(L$3,$CV7,0.3*$CV7,TRUE)-_xlfn.NORM.DIST(L$30,$CV7,0.3*$CV7,TRUE))*summary!$C$6/28.8/0.947817)/(SUMPRODUCT((economics!$AG$2:$AG$167=$B36)*(economics!$D$2:$D$167="whr")*economics!$AH$2:$AH$167*(_xlfn.NORM.DIST(L$3,economics!$AK$2:$AK$167,economics!$AJ$2:$AJ$167,TRUE)-_xlfn.NORM.DIST(L$30,economics!$AK$2:$AK$167,economics!$AJ$2:$AJ$167,TRUE)))+$CR7*(_xlfn.NORM.DIST(L$3,$CU7,0.3*$CU7,TRUE)-_xlfn.NORM.DIST(L$30,$CU7,0.3*$CU7,TRUE))+$CS7*(_xlfn.NORM.DIST(L$3,$CV7,0.3*$CV7,TRUE)-_xlfn.NORM.DIST(L$30,$CV7,0.3*$CV7,TRUE))),""),IF($C7&gt;0,summary!$C$10/28.8/0.947817,""))</f>
        <v/>
      </c>
      <c r="M36">
        <f t="array" ref="M36">IF($D7,IFERROR((SUMPRODUCT((economics!$AG$2:$AG$167=$B36)*(economics!$D$2:$D$167="whr")*economics!$AH$2:$AH$167*(_xlfn.NORM.DIST(M$3,economics!$AK$2:$AK$167,economics!$AJ$2:$AJ$167,TRUE)-_xlfn.NORM.DIST(M$30,economics!$AK$2:$AK$167,economics!$AJ$2:$AJ$167,TRUE))*economics!$AM$2:$AM$167)+$CR7*(_xlfn.NORM.DIST(M$3,$CU7,0.3*$CU7,TRUE)-_xlfn.NORM.DIST(M$30,$CU7,0.3*$CU7,TRUE))*summary!$C$7/28.8/0.947817+$CS7*(_xlfn.NORM.DIST(M$3,$CV7,0.3*$CV7,TRUE)-_xlfn.NORM.DIST(M$30,$CV7,0.3*$CV7,TRUE))*summary!$C$6/28.8/0.947817)/(SUMPRODUCT((economics!$AG$2:$AG$167=$B36)*(economics!$D$2:$D$167="whr")*economics!$AH$2:$AH$167*(_xlfn.NORM.DIST(M$3,economics!$AK$2:$AK$167,economics!$AJ$2:$AJ$167,TRUE)-_xlfn.NORM.DIST(M$30,economics!$AK$2:$AK$167,economics!$AJ$2:$AJ$167,TRUE)))+$CR7*(_xlfn.NORM.DIST(M$3,$CU7,0.3*$CU7,TRUE)-_xlfn.NORM.DIST(M$30,$CU7,0.3*$CU7,TRUE))+$CS7*(_xlfn.NORM.DIST(M$3,$CV7,0.3*$CV7,TRUE)-_xlfn.NORM.DIST(M$30,$CV7,0.3*$CV7,TRUE))),""),IF($C7&gt;0,summary!$C$10/28.8/0.947817,""))</f>
        <v/>
      </c>
      <c r="N36">
        <f t="array" ref="N36">IF($D7,IFERROR((SUMPRODUCT((economics!$AG$2:$AG$167=$B36)*(economics!$D$2:$D$167="whr")*economics!$AH$2:$AH$167*(_xlfn.NORM.DIST(N$3,economics!$AK$2:$AK$167,economics!$AJ$2:$AJ$167,TRUE)-_xlfn.NORM.DIST(N$30,economics!$AK$2:$AK$167,economics!$AJ$2:$AJ$167,TRUE))*economics!$AM$2:$AM$167)+$CR7*(_xlfn.NORM.DIST(N$3,$CU7,0.3*$CU7,TRUE)-_xlfn.NORM.DIST(N$30,$CU7,0.3*$CU7,TRUE))*summary!$C$7/28.8/0.947817+$CS7*(_xlfn.NORM.DIST(N$3,$CV7,0.3*$CV7,TRUE)-_xlfn.NORM.DIST(N$30,$CV7,0.3*$CV7,TRUE))*summary!$C$6/28.8/0.947817)/(SUMPRODUCT((economics!$AG$2:$AG$167=$B36)*(economics!$D$2:$D$167="whr")*economics!$AH$2:$AH$167*(_xlfn.NORM.DIST(N$3,economics!$AK$2:$AK$167,economics!$AJ$2:$AJ$167,TRUE)-_xlfn.NORM.DIST(N$30,economics!$AK$2:$AK$167,economics!$AJ$2:$AJ$167,TRUE)))+$CR7*(_xlfn.NORM.DIST(N$3,$CU7,0.3*$CU7,TRUE)-_xlfn.NORM.DIST(N$30,$CU7,0.3*$CU7,TRUE))+$CS7*(_xlfn.NORM.DIST(N$3,$CV7,0.3*$CV7,TRUE)-_xlfn.NORM.DIST(N$30,$CV7,0.3*$CV7,TRUE))),""),IF($C7&gt;0,summary!$C$10/28.8/0.947817,""))</f>
        <v/>
      </c>
      <c r="O36">
        <f t="array" ref="O36">IF($D7,IFERROR((SUMPRODUCT((economics!$AG$2:$AG$167=$B36)*(economics!$D$2:$D$167="whr")*economics!$AH$2:$AH$167*(_xlfn.NORM.DIST(O$3,economics!$AK$2:$AK$167,economics!$AJ$2:$AJ$167,TRUE)-_xlfn.NORM.DIST(O$30,economics!$AK$2:$AK$167,economics!$AJ$2:$AJ$167,TRUE))*economics!$AM$2:$AM$167)+$CR7*(_xlfn.NORM.DIST(O$3,$CU7,0.3*$CU7,TRUE)-_xlfn.NORM.DIST(O$30,$CU7,0.3*$CU7,TRUE))*summary!$C$7/28.8/0.947817+$CS7*(_xlfn.NORM.DIST(O$3,$CV7,0.3*$CV7,TRUE)-_xlfn.NORM.DIST(O$30,$CV7,0.3*$CV7,TRUE))*summary!$C$6/28.8/0.947817)/(SUMPRODUCT((economics!$AG$2:$AG$167=$B36)*(economics!$D$2:$D$167="whr")*economics!$AH$2:$AH$167*(_xlfn.NORM.DIST(O$3,economics!$AK$2:$AK$167,economics!$AJ$2:$AJ$167,TRUE)-_xlfn.NORM.DIST(O$30,economics!$AK$2:$AK$167,economics!$AJ$2:$AJ$167,TRUE)))+$CR7*(_xlfn.NORM.DIST(O$3,$CU7,0.3*$CU7,TRUE)-_xlfn.NORM.DIST(O$30,$CU7,0.3*$CU7,TRUE))+$CS7*(_xlfn.NORM.DIST(O$3,$CV7,0.3*$CV7,TRUE)-_xlfn.NORM.DIST(O$30,$CV7,0.3*$CV7,TRUE))),""),IF($C7&gt;0,summary!$C$10/28.8/0.947817,""))</f>
        <v/>
      </c>
      <c r="P36">
        <f t="array" ref="P36">IF($D7,IFERROR((SUMPRODUCT((economics!$AG$2:$AG$167=$B36)*(economics!$D$2:$D$167="whr")*economics!$AH$2:$AH$167*(_xlfn.NORM.DIST(P$3,economics!$AK$2:$AK$167,economics!$AJ$2:$AJ$167,TRUE)-_xlfn.NORM.DIST(P$30,economics!$AK$2:$AK$167,economics!$AJ$2:$AJ$167,TRUE))*economics!$AM$2:$AM$167)+$CR7*(_xlfn.NORM.DIST(P$3,$CU7,0.3*$CU7,TRUE)-_xlfn.NORM.DIST(P$30,$CU7,0.3*$CU7,TRUE))*summary!$C$7/28.8/0.947817+$CS7*(_xlfn.NORM.DIST(P$3,$CV7,0.3*$CV7,TRUE)-_xlfn.NORM.DIST(P$30,$CV7,0.3*$CV7,TRUE))*summary!$C$6/28.8/0.947817)/(SUMPRODUCT((economics!$AG$2:$AG$167=$B36)*(economics!$D$2:$D$167="whr")*economics!$AH$2:$AH$167*(_xlfn.NORM.DIST(P$3,economics!$AK$2:$AK$167,economics!$AJ$2:$AJ$167,TRUE)-_xlfn.NORM.DIST(P$30,economics!$AK$2:$AK$167,economics!$AJ$2:$AJ$167,TRUE)))+$CR7*(_xlfn.NORM.DIST(P$3,$CU7,0.3*$CU7,TRUE)-_xlfn.NORM.DIST(P$30,$CU7,0.3*$CU7,TRUE))+$CS7*(_xlfn.NORM.DIST(P$3,$CV7,0.3*$CV7,TRUE)-_xlfn.NORM.DIST(P$30,$CV7,0.3*$CV7,TRUE))),""),IF($C7&gt;0,summary!$C$10/28.8/0.947817,""))</f>
        <v/>
      </c>
      <c r="Q36">
        <f t="array" ref="Q36">IF($D7,IFERROR((SUMPRODUCT((economics!$AG$2:$AG$167=$B36)*(economics!$D$2:$D$167="whr")*economics!$AH$2:$AH$167*(_xlfn.NORM.DIST(Q$3,economics!$AK$2:$AK$167,economics!$AJ$2:$AJ$167,TRUE)-_xlfn.NORM.DIST(Q$30,economics!$AK$2:$AK$167,economics!$AJ$2:$AJ$167,TRUE))*economics!$AM$2:$AM$167)+$CR7*(_xlfn.NORM.DIST(Q$3,$CU7,0.3*$CU7,TRUE)-_xlfn.NORM.DIST(Q$30,$CU7,0.3*$CU7,TRUE))*summary!$C$7/28.8/0.947817+$CS7*(_xlfn.NORM.DIST(Q$3,$CV7,0.3*$CV7,TRUE)-_xlfn.NORM.DIST(Q$30,$CV7,0.3*$CV7,TRUE))*summary!$C$6/28.8/0.947817)/(SUMPRODUCT((economics!$AG$2:$AG$167=$B36)*(economics!$D$2:$D$167="whr")*economics!$AH$2:$AH$167*(_xlfn.NORM.DIST(Q$3,economics!$AK$2:$AK$167,economics!$AJ$2:$AJ$167,TRUE)-_xlfn.NORM.DIST(Q$30,economics!$AK$2:$AK$167,economics!$AJ$2:$AJ$167,TRUE)))+$CR7*(_xlfn.NORM.DIST(Q$3,$CU7,0.3*$CU7,TRUE)-_xlfn.NORM.DIST(Q$30,$CU7,0.3*$CU7,TRUE))+$CS7*(_xlfn.NORM.DIST(Q$3,$CV7,0.3*$CV7,TRUE)-_xlfn.NORM.DIST(Q$30,$CV7,0.3*$CV7,TRUE))),""),IF($C7&gt;0,summary!$C$10/28.8/0.947817,""))</f>
        <v/>
      </c>
      <c r="R36">
        <f t="array" ref="R36">IF($D7,IFERROR((SUMPRODUCT((economics!$AG$2:$AG$167=$B36)*(economics!$D$2:$D$167="whr")*economics!$AH$2:$AH$167*(_xlfn.NORM.DIST(R$3,economics!$AK$2:$AK$167,economics!$AJ$2:$AJ$167,TRUE)-_xlfn.NORM.DIST(R$30,economics!$AK$2:$AK$167,economics!$AJ$2:$AJ$167,TRUE))*economics!$AM$2:$AM$167)+$CR7*(_xlfn.NORM.DIST(R$3,$CU7,0.3*$CU7,TRUE)-_xlfn.NORM.DIST(R$30,$CU7,0.3*$CU7,TRUE))*summary!$C$7/28.8/0.947817+$CS7*(_xlfn.NORM.DIST(R$3,$CV7,0.3*$CV7,TRUE)-_xlfn.NORM.DIST(R$30,$CV7,0.3*$CV7,TRUE))*summary!$C$6/28.8/0.947817)/(SUMPRODUCT((economics!$AG$2:$AG$167=$B36)*(economics!$D$2:$D$167="whr")*economics!$AH$2:$AH$167*(_xlfn.NORM.DIST(R$3,economics!$AK$2:$AK$167,economics!$AJ$2:$AJ$167,TRUE)-_xlfn.NORM.DIST(R$30,economics!$AK$2:$AK$167,economics!$AJ$2:$AJ$167,TRUE)))+$CR7*(_xlfn.NORM.DIST(R$3,$CU7,0.3*$CU7,TRUE)-_xlfn.NORM.DIST(R$30,$CU7,0.3*$CU7,TRUE))+$CS7*(_xlfn.NORM.DIST(R$3,$CV7,0.3*$CV7,TRUE)-_xlfn.NORM.DIST(R$30,$CV7,0.3*$CV7,TRUE))),""),IF($C7&gt;0,summary!$C$10/28.8/0.947817,""))</f>
        <v/>
      </c>
      <c r="S36">
        <f t="array" ref="S36">IF($D7,IFERROR((SUMPRODUCT((economics!$AG$2:$AG$167=$B36)*(economics!$D$2:$D$167="whr")*economics!$AH$2:$AH$167*(_xlfn.NORM.DIST(S$3,economics!$AK$2:$AK$167,economics!$AJ$2:$AJ$167,TRUE)-_xlfn.NORM.DIST(S$30,economics!$AK$2:$AK$167,economics!$AJ$2:$AJ$167,TRUE))*economics!$AM$2:$AM$167)+$CR7*(_xlfn.NORM.DIST(S$3,$CU7,0.3*$CU7,TRUE)-_xlfn.NORM.DIST(S$30,$CU7,0.3*$CU7,TRUE))*summary!$C$7/28.8/0.947817+$CS7*(_xlfn.NORM.DIST(S$3,$CV7,0.3*$CV7,TRUE)-_xlfn.NORM.DIST(S$30,$CV7,0.3*$CV7,TRUE))*summary!$C$6/28.8/0.947817)/(SUMPRODUCT((economics!$AG$2:$AG$167=$B36)*(economics!$D$2:$D$167="whr")*economics!$AH$2:$AH$167*(_xlfn.NORM.DIST(S$3,economics!$AK$2:$AK$167,economics!$AJ$2:$AJ$167,TRUE)-_xlfn.NORM.DIST(S$30,economics!$AK$2:$AK$167,economics!$AJ$2:$AJ$167,TRUE)))+$CR7*(_xlfn.NORM.DIST(S$3,$CU7,0.3*$CU7,TRUE)-_xlfn.NORM.DIST(S$30,$CU7,0.3*$CU7,TRUE))+$CS7*(_xlfn.NORM.DIST(S$3,$CV7,0.3*$CV7,TRUE)-_xlfn.NORM.DIST(S$30,$CV7,0.3*$CV7,TRUE))),""),IF($C7&gt;0,summary!$C$10/28.8/0.947817,""))</f>
        <v/>
      </c>
      <c r="T36">
        <f t="array" ref="T36">IF($D7,IFERROR((SUMPRODUCT((economics!$AG$2:$AG$167=$B36)*(economics!$D$2:$D$167="whr")*economics!$AH$2:$AH$167*(_xlfn.NORM.DIST(T$3,economics!$AK$2:$AK$167,economics!$AJ$2:$AJ$167,TRUE)-_xlfn.NORM.DIST(T$30,economics!$AK$2:$AK$167,economics!$AJ$2:$AJ$167,TRUE))*economics!$AM$2:$AM$167)+$CR7*(_xlfn.NORM.DIST(T$3,$CU7,0.3*$CU7,TRUE)-_xlfn.NORM.DIST(T$30,$CU7,0.3*$CU7,TRUE))*summary!$C$7/28.8/0.947817+$CS7*(_xlfn.NORM.DIST(T$3,$CV7,0.3*$CV7,TRUE)-_xlfn.NORM.DIST(T$30,$CV7,0.3*$CV7,TRUE))*summary!$C$6/28.8/0.947817)/(SUMPRODUCT((economics!$AG$2:$AG$167=$B36)*(economics!$D$2:$D$167="whr")*economics!$AH$2:$AH$167*(_xlfn.NORM.DIST(T$3,economics!$AK$2:$AK$167,economics!$AJ$2:$AJ$167,TRUE)-_xlfn.NORM.DIST(T$30,economics!$AK$2:$AK$167,economics!$AJ$2:$AJ$167,TRUE)))+$CR7*(_xlfn.NORM.DIST(T$3,$CU7,0.3*$CU7,TRUE)-_xlfn.NORM.DIST(T$30,$CU7,0.3*$CU7,TRUE))+$CS7*(_xlfn.NORM.DIST(T$3,$CV7,0.3*$CV7,TRUE)-_xlfn.NORM.DIST(T$30,$CV7,0.3*$CV7,TRUE))),""),IF($C7&gt;0,summary!$C$10/28.8/0.947817,""))</f>
        <v/>
      </c>
      <c r="U36">
        <f t="array" ref="U36">IF($D7,IFERROR((SUMPRODUCT((economics!$AG$2:$AG$167=$B36)*(economics!$D$2:$D$167="whr")*economics!$AH$2:$AH$167*(_xlfn.NORM.DIST(U$3,economics!$AK$2:$AK$167,economics!$AJ$2:$AJ$167,TRUE)-_xlfn.NORM.DIST(U$30,economics!$AK$2:$AK$167,economics!$AJ$2:$AJ$167,TRUE))*economics!$AM$2:$AM$167)+$CR7*(_xlfn.NORM.DIST(U$3,$CU7,0.3*$CU7,TRUE)-_xlfn.NORM.DIST(U$30,$CU7,0.3*$CU7,TRUE))*summary!$C$7/28.8/0.947817+$CS7*(_xlfn.NORM.DIST(U$3,$CV7,0.3*$CV7,TRUE)-_xlfn.NORM.DIST(U$30,$CV7,0.3*$CV7,TRUE))*summary!$C$6/28.8/0.947817)/(SUMPRODUCT((economics!$AG$2:$AG$167=$B36)*(economics!$D$2:$D$167="whr")*economics!$AH$2:$AH$167*(_xlfn.NORM.DIST(U$3,economics!$AK$2:$AK$167,economics!$AJ$2:$AJ$167,TRUE)-_xlfn.NORM.DIST(U$30,economics!$AK$2:$AK$167,economics!$AJ$2:$AJ$167,TRUE)))+$CR7*(_xlfn.NORM.DIST(U$3,$CU7,0.3*$CU7,TRUE)-_xlfn.NORM.DIST(U$30,$CU7,0.3*$CU7,TRUE))+$CS7*(_xlfn.NORM.DIST(U$3,$CV7,0.3*$CV7,TRUE)-_xlfn.NORM.DIST(U$30,$CV7,0.3*$CV7,TRUE))),""),IF($C7&gt;0,summary!$C$10/28.8/0.947817,""))</f>
        <v/>
      </c>
      <c r="V36">
        <f t="array" ref="V36">IF($D7,IFERROR((SUMPRODUCT((economics!$AG$2:$AG$167=$B36)*(economics!$D$2:$D$167="whr")*economics!$AH$2:$AH$167*(_xlfn.NORM.DIST(V$3,economics!$AK$2:$AK$167,economics!$AJ$2:$AJ$167,TRUE)-_xlfn.NORM.DIST(V$30,economics!$AK$2:$AK$167,economics!$AJ$2:$AJ$167,TRUE))*economics!$AM$2:$AM$167)+$CR7*(_xlfn.NORM.DIST(V$3,$CU7,0.3*$CU7,TRUE)-_xlfn.NORM.DIST(V$30,$CU7,0.3*$CU7,TRUE))*summary!$C$7/28.8/0.947817+$CS7*(_xlfn.NORM.DIST(V$3,$CV7,0.3*$CV7,TRUE)-_xlfn.NORM.DIST(V$30,$CV7,0.3*$CV7,TRUE))*summary!$C$6/28.8/0.947817)/(SUMPRODUCT((economics!$AG$2:$AG$167=$B36)*(economics!$D$2:$D$167="whr")*economics!$AH$2:$AH$167*(_xlfn.NORM.DIST(V$3,economics!$AK$2:$AK$167,economics!$AJ$2:$AJ$167,TRUE)-_xlfn.NORM.DIST(V$30,economics!$AK$2:$AK$167,economics!$AJ$2:$AJ$167,TRUE)))+$CR7*(_xlfn.NORM.DIST(V$3,$CU7,0.3*$CU7,TRUE)-_xlfn.NORM.DIST(V$30,$CU7,0.3*$CU7,TRUE))+$CS7*(_xlfn.NORM.DIST(V$3,$CV7,0.3*$CV7,TRUE)-_xlfn.NORM.DIST(V$30,$CV7,0.3*$CV7,TRUE))),""),IF($C7&gt;0,summary!$C$10/28.8/0.947817,""))</f>
        <v/>
      </c>
      <c r="W36">
        <f t="array" ref="W36">IF($D7,IFERROR((SUMPRODUCT((economics!$AG$2:$AG$167=$B36)*(economics!$D$2:$D$167="whr")*economics!$AH$2:$AH$167*(_xlfn.NORM.DIST(W$3,economics!$AK$2:$AK$167,economics!$AJ$2:$AJ$167,TRUE)-_xlfn.NORM.DIST(W$30,economics!$AK$2:$AK$167,economics!$AJ$2:$AJ$167,TRUE))*economics!$AM$2:$AM$167)+$CR7*(_xlfn.NORM.DIST(W$3,$CU7,0.3*$CU7,TRUE)-_xlfn.NORM.DIST(W$30,$CU7,0.3*$CU7,TRUE))*summary!$C$7/28.8/0.947817+$CS7*(_xlfn.NORM.DIST(W$3,$CV7,0.3*$CV7,TRUE)-_xlfn.NORM.DIST(W$30,$CV7,0.3*$CV7,TRUE))*summary!$C$6/28.8/0.947817)/(SUMPRODUCT((economics!$AG$2:$AG$167=$B36)*(economics!$D$2:$D$167="whr")*economics!$AH$2:$AH$167*(_xlfn.NORM.DIST(W$3,economics!$AK$2:$AK$167,economics!$AJ$2:$AJ$167,TRUE)-_xlfn.NORM.DIST(W$30,economics!$AK$2:$AK$167,economics!$AJ$2:$AJ$167,TRUE)))+$CR7*(_xlfn.NORM.DIST(W$3,$CU7,0.3*$CU7,TRUE)-_xlfn.NORM.DIST(W$30,$CU7,0.3*$CU7,TRUE))+$CS7*(_xlfn.NORM.DIST(W$3,$CV7,0.3*$CV7,TRUE)-_xlfn.NORM.DIST(W$30,$CV7,0.3*$CV7,TRUE))),""),IF($C7&gt;0,summary!$C$10/28.8/0.947817,""))</f>
        <v/>
      </c>
      <c r="X36">
        <f t="array" ref="X36">IF($D7,IFERROR((SUMPRODUCT((economics!$AG$2:$AG$167=$B36)*(economics!$D$2:$D$167="whr")*economics!$AH$2:$AH$167*(_xlfn.NORM.DIST(X$3,economics!$AK$2:$AK$167,economics!$AJ$2:$AJ$167,TRUE)-_xlfn.NORM.DIST(X$30,economics!$AK$2:$AK$167,economics!$AJ$2:$AJ$167,TRUE))*economics!$AM$2:$AM$167)+$CR7*(_xlfn.NORM.DIST(X$3,$CU7,0.3*$CU7,TRUE)-_xlfn.NORM.DIST(X$30,$CU7,0.3*$CU7,TRUE))*summary!$C$7/28.8/0.947817+$CS7*(_xlfn.NORM.DIST(X$3,$CV7,0.3*$CV7,TRUE)-_xlfn.NORM.DIST(X$30,$CV7,0.3*$CV7,TRUE))*summary!$C$6/28.8/0.947817)/(SUMPRODUCT((economics!$AG$2:$AG$167=$B36)*(economics!$D$2:$D$167="whr")*economics!$AH$2:$AH$167*(_xlfn.NORM.DIST(X$3,economics!$AK$2:$AK$167,economics!$AJ$2:$AJ$167,TRUE)-_xlfn.NORM.DIST(X$30,economics!$AK$2:$AK$167,economics!$AJ$2:$AJ$167,TRUE)))+$CR7*(_xlfn.NORM.DIST(X$3,$CU7,0.3*$CU7,TRUE)-_xlfn.NORM.DIST(X$30,$CU7,0.3*$CU7,TRUE))+$CS7*(_xlfn.NORM.DIST(X$3,$CV7,0.3*$CV7,TRUE)-_xlfn.NORM.DIST(X$30,$CV7,0.3*$CV7,TRUE))),""),IF($C7&gt;0,summary!$C$10/28.8/0.947817,""))</f>
        <v/>
      </c>
      <c r="Y36">
        <f t="array" ref="Y36">IF($D7,IFERROR((SUMPRODUCT((economics!$AG$2:$AG$167=$B36)*(economics!$D$2:$D$167="whr")*economics!$AH$2:$AH$167*(_xlfn.NORM.DIST(Y$3,economics!$AK$2:$AK$167,economics!$AJ$2:$AJ$167,TRUE)-_xlfn.NORM.DIST(Y$30,economics!$AK$2:$AK$167,economics!$AJ$2:$AJ$167,TRUE))*economics!$AM$2:$AM$167)+$CR7*(_xlfn.NORM.DIST(Y$3,$CU7,0.3*$CU7,TRUE)-_xlfn.NORM.DIST(Y$30,$CU7,0.3*$CU7,TRUE))*summary!$C$7/28.8/0.947817+$CS7*(_xlfn.NORM.DIST(Y$3,$CV7,0.3*$CV7,TRUE)-_xlfn.NORM.DIST(Y$30,$CV7,0.3*$CV7,TRUE))*summary!$C$6/28.8/0.947817)/(SUMPRODUCT((economics!$AG$2:$AG$167=$B36)*(economics!$D$2:$D$167="whr")*economics!$AH$2:$AH$167*(_xlfn.NORM.DIST(Y$3,economics!$AK$2:$AK$167,economics!$AJ$2:$AJ$167,TRUE)-_xlfn.NORM.DIST(Y$30,economics!$AK$2:$AK$167,economics!$AJ$2:$AJ$167,TRUE)))+$CR7*(_xlfn.NORM.DIST(Y$3,$CU7,0.3*$CU7,TRUE)-_xlfn.NORM.DIST(Y$30,$CU7,0.3*$CU7,TRUE))+$CS7*(_xlfn.NORM.DIST(Y$3,$CV7,0.3*$CV7,TRUE)-_xlfn.NORM.DIST(Y$30,$CV7,0.3*$CV7,TRUE))),""),IF($C7&gt;0,summary!$C$10/28.8/0.947817,""))</f>
        <v/>
      </c>
      <c r="Z36">
        <f t="array" ref="Z36">IF($D7,IFERROR((SUMPRODUCT((economics!$AG$2:$AG$167=$B36)*(economics!$D$2:$D$167="whr")*economics!$AH$2:$AH$167*(_xlfn.NORM.DIST(Z$3,economics!$AK$2:$AK$167,economics!$AJ$2:$AJ$167,TRUE)-_xlfn.NORM.DIST(Z$30,economics!$AK$2:$AK$167,economics!$AJ$2:$AJ$167,TRUE))*economics!$AM$2:$AM$167)+$CR7*(_xlfn.NORM.DIST(Z$3,$CU7,0.3*$CU7,TRUE)-_xlfn.NORM.DIST(Z$30,$CU7,0.3*$CU7,TRUE))*summary!$C$7/28.8/0.947817+$CS7*(_xlfn.NORM.DIST(Z$3,$CV7,0.3*$CV7,TRUE)-_xlfn.NORM.DIST(Z$30,$CV7,0.3*$CV7,TRUE))*summary!$C$6/28.8/0.947817)/(SUMPRODUCT((economics!$AG$2:$AG$167=$B36)*(economics!$D$2:$D$167="whr")*economics!$AH$2:$AH$167*(_xlfn.NORM.DIST(Z$3,economics!$AK$2:$AK$167,economics!$AJ$2:$AJ$167,TRUE)-_xlfn.NORM.DIST(Z$30,economics!$AK$2:$AK$167,economics!$AJ$2:$AJ$167,TRUE)))+$CR7*(_xlfn.NORM.DIST(Z$3,$CU7,0.3*$CU7,TRUE)-_xlfn.NORM.DIST(Z$30,$CU7,0.3*$CU7,TRUE))+$CS7*(_xlfn.NORM.DIST(Z$3,$CV7,0.3*$CV7,TRUE)-_xlfn.NORM.DIST(Z$30,$CV7,0.3*$CV7,TRUE))),""),IF($C7&gt;0,summary!$C$10/28.8/0.947817,""))</f>
        <v/>
      </c>
      <c r="AA36">
        <f t="array" ref="AA36">IF($D7,IFERROR((SUMPRODUCT((economics!$AG$2:$AG$167=$B36)*(economics!$D$2:$D$167="whr")*economics!$AH$2:$AH$167*(_xlfn.NORM.DIST(AA$3,economics!$AK$2:$AK$167,economics!$AJ$2:$AJ$167,TRUE)-_xlfn.NORM.DIST(AA$30,economics!$AK$2:$AK$167,economics!$AJ$2:$AJ$167,TRUE))*economics!$AM$2:$AM$167)+$CR7*(_xlfn.NORM.DIST(AA$3,$CU7,0.3*$CU7,TRUE)-_xlfn.NORM.DIST(AA$30,$CU7,0.3*$CU7,TRUE))*summary!$C$7/28.8/0.947817+$CS7*(_xlfn.NORM.DIST(AA$3,$CV7,0.3*$CV7,TRUE)-_xlfn.NORM.DIST(AA$30,$CV7,0.3*$CV7,TRUE))*summary!$C$6/28.8/0.947817)/(SUMPRODUCT((economics!$AG$2:$AG$167=$B36)*(economics!$D$2:$D$167="whr")*economics!$AH$2:$AH$167*(_xlfn.NORM.DIST(AA$3,economics!$AK$2:$AK$167,economics!$AJ$2:$AJ$167,TRUE)-_xlfn.NORM.DIST(AA$30,economics!$AK$2:$AK$167,economics!$AJ$2:$AJ$167,TRUE)))+$CR7*(_xlfn.NORM.DIST(AA$3,$CU7,0.3*$CU7,TRUE)-_xlfn.NORM.DIST(AA$30,$CU7,0.3*$CU7,TRUE))+$CS7*(_xlfn.NORM.DIST(AA$3,$CV7,0.3*$CV7,TRUE)-_xlfn.NORM.DIST(AA$30,$CV7,0.3*$CV7,TRUE))),""),IF($C7&gt;0,summary!$C$10/28.8/0.947817,""))</f>
        <v/>
      </c>
      <c r="AB36">
        <f t="array" ref="AB36">IF($D7,IFERROR((SUMPRODUCT((economics!$AG$2:$AG$167=$B36)*(economics!$D$2:$D$167="whr")*economics!$AH$2:$AH$167*(_xlfn.NORM.DIST(AB$3,economics!$AK$2:$AK$167,economics!$AJ$2:$AJ$167,TRUE)-_xlfn.NORM.DIST(AB$30,economics!$AK$2:$AK$167,economics!$AJ$2:$AJ$167,TRUE))*economics!$AM$2:$AM$167)+$CR7*(_xlfn.NORM.DIST(AB$3,$CU7,0.3*$CU7,TRUE)-_xlfn.NORM.DIST(AB$30,$CU7,0.3*$CU7,TRUE))*summary!$C$7/28.8/0.947817+$CS7*(_xlfn.NORM.DIST(AB$3,$CV7,0.3*$CV7,TRUE)-_xlfn.NORM.DIST(AB$30,$CV7,0.3*$CV7,TRUE))*summary!$C$6/28.8/0.947817)/(SUMPRODUCT((economics!$AG$2:$AG$167=$B36)*(economics!$D$2:$D$167="whr")*economics!$AH$2:$AH$167*(_xlfn.NORM.DIST(AB$3,economics!$AK$2:$AK$167,economics!$AJ$2:$AJ$167,TRUE)-_xlfn.NORM.DIST(AB$30,economics!$AK$2:$AK$167,economics!$AJ$2:$AJ$167,TRUE)))+$CR7*(_xlfn.NORM.DIST(AB$3,$CU7,0.3*$CU7,TRUE)-_xlfn.NORM.DIST(AB$30,$CU7,0.3*$CU7,TRUE))+$CS7*(_xlfn.NORM.DIST(AB$3,$CV7,0.3*$CV7,TRUE)-_xlfn.NORM.DIST(AB$30,$CV7,0.3*$CV7,TRUE))),""),IF($C7&gt;0,summary!$C$10/28.8/0.947817,""))</f>
        <v/>
      </c>
      <c r="AC36">
        <f t="array" ref="AC36">IF($D7,IFERROR((SUMPRODUCT((economics!$AG$2:$AG$167=$B36)*(economics!$D$2:$D$167="whr")*economics!$AH$2:$AH$167*(_xlfn.NORM.DIST(AC$3,economics!$AK$2:$AK$167,economics!$AJ$2:$AJ$167,TRUE)-_xlfn.NORM.DIST(AC$30,economics!$AK$2:$AK$167,economics!$AJ$2:$AJ$167,TRUE))*economics!$AM$2:$AM$167)+$CR7*(_xlfn.NORM.DIST(AC$3,$CU7,0.3*$CU7,TRUE)-_xlfn.NORM.DIST(AC$30,$CU7,0.3*$CU7,TRUE))*summary!$C$7/28.8/0.947817+$CS7*(_xlfn.NORM.DIST(AC$3,$CV7,0.3*$CV7,TRUE)-_xlfn.NORM.DIST(AC$30,$CV7,0.3*$CV7,TRUE))*summary!$C$6/28.8/0.947817)/(SUMPRODUCT((economics!$AG$2:$AG$167=$B36)*(economics!$D$2:$D$167="whr")*economics!$AH$2:$AH$167*(_xlfn.NORM.DIST(AC$3,economics!$AK$2:$AK$167,economics!$AJ$2:$AJ$167,TRUE)-_xlfn.NORM.DIST(AC$30,economics!$AK$2:$AK$167,economics!$AJ$2:$AJ$167,TRUE)))+$CR7*(_xlfn.NORM.DIST(AC$3,$CU7,0.3*$CU7,TRUE)-_xlfn.NORM.DIST(AC$30,$CU7,0.3*$CU7,TRUE))+$CS7*(_xlfn.NORM.DIST(AC$3,$CV7,0.3*$CV7,TRUE)-_xlfn.NORM.DIST(AC$30,$CV7,0.3*$CV7,TRUE))),""),IF($C7&gt;0,summary!$C$10/28.8/0.947817,""))</f>
        <v/>
      </c>
      <c r="AD36">
        <f t="array" ref="AD36">IF($D7,IFERROR((SUMPRODUCT((economics!$AG$2:$AG$167=$B36)*(economics!$D$2:$D$167="whr")*economics!$AH$2:$AH$167*(_xlfn.NORM.DIST(AD$3,economics!$AK$2:$AK$167,economics!$AJ$2:$AJ$167,TRUE)-_xlfn.NORM.DIST(AD$30,economics!$AK$2:$AK$167,economics!$AJ$2:$AJ$167,TRUE))*economics!$AM$2:$AM$167)+$CR7*(_xlfn.NORM.DIST(AD$3,$CU7,0.3*$CU7,TRUE)-_xlfn.NORM.DIST(AD$30,$CU7,0.3*$CU7,TRUE))*summary!$C$7/28.8/0.947817+$CS7*(_xlfn.NORM.DIST(AD$3,$CV7,0.3*$CV7,TRUE)-_xlfn.NORM.DIST(AD$30,$CV7,0.3*$CV7,TRUE))*summary!$C$6/28.8/0.947817)/(SUMPRODUCT((economics!$AG$2:$AG$167=$B36)*(economics!$D$2:$D$167="whr")*economics!$AH$2:$AH$167*(_xlfn.NORM.DIST(AD$3,economics!$AK$2:$AK$167,economics!$AJ$2:$AJ$167,TRUE)-_xlfn.NORM.DIST(AD$30,economics!$AK$2:$AK$167,economics!$AJ$2:$AJ$167,TRUE)))+$CR7*(_xlfn.NORM.DIST(AD$3,$CU7,0.3*$CU7,TRUE)-_xlfn.NORM.DIST(AD$30,$CU7,0.3*$CU7,TRUE))+$CS7*(_xlfn.NORM.DIST(AD$3,$CV7,0.3*$CV7,TRUE)-_xlfn.NORM.DIST(AD$30,$CV7,0.3*$CV7,TRUE))),""),IF($C7&gt;0,summary!$C$10/28.8/0.947817,""))</f>
        <v/>
      </c>
      <c r="AE36">
        <f t="array" ref="AE36">IF($D7,IFERROR((SUMPRODUCT((economics!$AG$2:$AG$167=$B36)*(economics!$D$2:$D$167="whr")*economics!$AH$2:$AH$167*(_xlfn.NORM.DIST(AE$3,economics!$AK$2:$AK$167,economics!$AJ$2:$AJ$167,TRUE)-_xlfn.NORM.DIST(AE$30,economics!$AK$2:$AK$167,economics!$AJ$2:$AJ$167,TRUE))*economics!$AM$2:$AM$167)+$CR7*(_xlfn.NORM.DIST(AE$3,$CU7,0.3*$CU7,TRUE)-_xlfn.NORM.DIST(AE$30,$CU7,0.3*$CU7,TRUE))*summary!$C$7/28.8/0.947817+$CS7*(_xlfn.NORM.DIST(AE$3,$CV7,0.3*$CV7,TRUE)-_xlfn.NORM.DIST(AE$30,$CV7,0.3*$CV7,TRUE))*summary!$C$6/28.8/0.947817)/(SUMPRODUCT((economics!$AG$2:$AG$167=$B36)*(economics!$D$2:$D$167="whr")*economics!$AH$2:$AH$167*(_xlfn.NORM.DIST(AE$3,economics!$AK$2:$AK$167,economics!$AJ$2:$AJ$167,TRUE)-_xlfn.NORM.DIST(AE$30,economics!$AK$2:$AK$167,economics!$AJ$2:$AJ$167,TRUE)))+$CR7*(_xlfn.NORM.DIST(AE$3,$CU7,0.3*$CU7,TRUE)-_xlfn.NORM.DIST(AE$30,$CU7,0.3*$CU7,TRUE))+$CS7*(_xlfn.NORM.DIST(AE$3,$CV7,0.3*$CV7,TRUE)-_xlfn.NORM.DIST(AE$30,$CV7,0.3*$CV7,TRUE))),""),IF($C7&gt;0,summary!$C$10/28.8/0.947817,""))</f>
        <v/>
      </c>
      <c r="AF36">
        <f t="array" ref="AF36">IF($D7,IFERROR((SUMPRODUCT((economics!$AG$2:$AG$167=$B36)*(economics!$D$2:$D$167="whr")*economics!$AH$2:$AH$167*(_xlfn.NORM.DIST(AF$3,economics!$AK$2:$AK$167,economics!$AJ$2:$AJ$167,TRUE)-_xlfn.NORM.DIST(AF$30,economics!$AK$2:$AK$167,economics!$AJ$2:$AJ$167,TRUE))*economics!$AM$2:$AM$167)+$CR7*(_xlfn.NORM.DIST(AF$3,$CU7,0.3*$CU7,TRUE)-_xlfn.NORM.DIST(AF$30,$CU7,0.3*$CU7,TRUE))*summary!$C$7/28.8/0.947817+$CS7*(_xlfn.NORM.DIST(AF$3,$CV7,0.3*$CV7,TRUE)-_xlfn.NORM.DIST(AF$30,$CV7,0.3*$CV7,TRUE))*summary!$C$6/28.8/0.947817)/(SUMPRODUCT((economics!$AG$2:$AG$167=$B36)*(economics!$D$2:$D$167="whr")*economics!$AH$2:$AH$167*(_xlfn.NORM.DIST(AF$3,economics!$AK$2:$AK$167,economics!$AJ$2:$AJ$167,TRUE)-_xlfn.NORM.DIST(AF$30,economics!$AK$2:$AK$167,economics!$AJ$2:$AJ$167,TRUE)))+$CR7*(_xlfn.NORM.DIST(AF$3,$CU7,0.3*$CU7,TRUE)-_xlfn.NORM.DIST(AF$30,$CU7,0.3*$CU7,TRUE))+$CS7*(_xlfn.NORM.DIST(AF$3,$CV7,0.3*$CV7,TRUE)-_xlfn.NORM.DIST(AF$30,$CV7,0.3*$CV7,TRUE))),""),IF($C7&gt;0,summary!$C$10/28.8/0.947817,""))</f>
        <v/>
      </c>
      <c r="AG36">
        <f t="array" ref="AG36">IF($D7,IFERROR((SUMPRODUCT((economics!$AG$2:$AG$167=$B36)*(economics!$D$2:$D$167="whr")*economics!$AH$2:$AH$167*(_xlfn.NORM.DIST(AG$3,economics!$AK$2:$AK$167,economics!$AJ$2:$AJ$167,TRUE)-_xlfn.NORM.DIST(AG$30,economics!$AK$2:$AK$167,economics!$AJ$2:$AJ$167,TRUE))*economics!$AM$2:$AM$167)+$CR7*(_xlfn.NORM.DIST(AG$3,$CU7,0.3*$CU7,TRUE)-_xlfn.NORM.DIST(AG$30,$CU7,0.3*$CU7,TRUE))*summary!$C$7/28.8/0.947817+$CS7*(_xlfn.NORM.DIST(AG$3,$CV7,0.3*$CV7,TRUE)-_xlfn.NORM.DIST(AG$30,$CV7,0.3*$CV7,TRUE))*summary!$C$6/28.8/0.947817)/(SUMPRODUCT((economics!$AG$2:$AG$167=$B36)*(economics!$D$2:$D$167="whr")*economics!$AH$2:$AH$167*(_xlfn.NORM.DIST(AG$3,economics!$AK$2:$AK$167,economics!$AJ$2:$AJ$167,TRUE)-_xlfn.NORM.DIST(AG$30,economics!$AK$2:$AK$167,economics!$AJ$2:$AJ$167,TRUE)))+$CR7*(_xlfn.NORM.DIST(AG$3,$CU7,0.3*$CU7,TRUE)-_xlfn.NORM.DIST(AG$30,$CU7,0.3*$CU7,TRUE))+$CS7*(_xlfn.NORM.DIST(AG$3,$CV7,0.3*$CV7,TRUE)-_xlfn.NORM.DIST(AG$30,$CV7,0.3*$CV7,TRUE))),""),IF($C7&gt;0,summary!$C$10/28.8/0.947817,""))</f>
        <v/>
      </c>
      <c r="AH36">
        <f t="array" ref="AH36">IF($D7,IFERROR((SUMPRODUCT((economics!$AG$2:$AG$167=$B36)*(economics!$D$2:$D$167="whr")*economics!$AH$2:$AH$167*(_xlfn.NORM.DIST(AH$3,economics!$AK$2:$AK$167,economics!$AJ$2:$AJ$167,TRUE)-_xlfn.NORM.DIST(AH$30,economics!$AK$2:$AK$167,economics!$AJ$2:$AJ$167,TRUE))*economics!$AM$2:$AM$167)+$CR7*(_xlfn.NORM.DIST(AH$3,$CU7,0.3*$CU7,TRUE)-_xlfn.NORM.DIST(AH$30,$CU7,0.3*$CU7,TRUE))*summary!$C$7/28.8/0.947817+$CS7*(_xlfn.NORM.DIST(AH$3,$CV7,0.3*$CV7,TRUE)-_xlfn.NORM.DIST(AH$30,$CV7,0.3*$CV7,TRUE))*summary!$C$6/28.8/0.947817)/(SUMPRODUCT((economics!$AG$2:$AG$167=$B36)*(economics!$D$2:$D$167="whr")*economics!$AH$2:$AH$167*(_xlfn.NORM.DIST(AH$3,economics!$AK$2:$AK$167,economics!$AJ$2:$AJ$167,TRUE)-_xlfn.NORM.DIST(AH$30,economics!$AK$2:$AK$167,economics!$AJ$2:$AJ$167,TRUE)))+$CR7*(_xlfn.NORM.DIST(AH$3,$CU7,0.3*$CU7,TRUE)-_xlfn.NORM.DIST(AH$30,$CU7,0.3*$CU7,TRUE))+$CS7*(_xlfn.NORM.DIST(AH$3,$CV7,0.3*$CV7,TRUE)-_xlfn.NORM.DIST(AH$30,$CV7,0.3*$CV7,TRUE))),""),IF($C7&gt;0,summary!$C$10/28.8/0.947817,""))</f>
        <v/>
      </c>
      <c r="AI36">
        <f t="array" ref="AI36">IF($D7,IFERROR((SUMPRODUCT((economics!$AG$2:$AG$167=$B36)*(economics!$D$2:$D$167="whr")*economics!$AH$2:$AH$167*(_xlfn.NORM.DIST(AI$3,economics!$AK$2:$AK$167,economics!$AJ$2:$AJ$167,TRUE)-_xlfn.NORM.DIST(AI$30,economics!$AK$2:$AK$167,economics!$AJ$2:$AJ$167,TRUE))*economics!$AM$2:$AM$167)+$CR7*(_xlfn.NORM.DIST(AI$3,$CU7,0.3*$CU7,TRUE)-_xlfn.NORM.DIST(AI$30,$CU7,0.3*$CU7,TRUE))*summary!$C$7/28.8/0.947817+$CS7*(_xlfn.NORM.DIST(AI$3,$CV7,0.3*$CV7,TRUE)-_xlfn.NORM.DIST(AI$30,$CV7,0.3*$CV7,TRUE))*summary!$C$6/28.8/0.947817)/(SUMPRODUCT((economics!$AG$2:$AG$167=$B36)*(economics!$D$2:$D$167="whr")*economics!$AH$2:$AH$167*(_xlfn.NORM.DIST(AI$3,economics!$AK$2:$AK$167,economics!$AJ$2:$AJ$167,TRUE)-_xlfn.NORM.DIST(AI$30,economics!$AK$2:$AK$167,economics!$AJ$2:$AJ$167,TRUE)))+$CR7*(_xlfn.NORM.DIST(AI$3,$CU7,0.3*$CU7,TRUE)-_xlfn.NORM.DIST(AI$30,$CU7,0.3*$CU7,TRUE))+$CS7*(_xlfn.NORM.DIST(AI$3,$CV7,0.3*$CV7,TRUE)-_xlfn.NORM.DIST(AI$30,$CV7,0.3*$CV7,TRUE))),""),IF($C7&gt;0,summary!$C$10/28.8/0.947817,""))</f>
        <v/>
      </c>
      <c r="AJ36">
        <f t="array" ref="AJ36">IF($D7,IFERROR((SUMPRODUCT((economics!$AG$2:$AG$167=$B36)*(economics!$D$2:$D$167="whr")*economics!$AH$2:$AH$167*(_xlfn.NORM.DIST(AJ$3,economics!$AK$2:$AK$167,economics!$AJ$2:$AJ$167,TRUE)-_xlfn.NORM.DIST(AJ$30,economics!$AK$2:$AK$167,economics!$AJ$2:$AJ$167,TRUE))*economics!$AM$2:$AM$167)+$CR7*(_xlfn.NORM.DIST(AJ$3,$CU7,0.3*$CU7,TRUE)-_xlfn.NORM.DIST(AJ$30,$CU7,0.3*$CU7,TRUE))*summary!$C$7/28.8/0.947817+$CS7*(_xlfn.NORM.DIST(AJ$3,$CV7,0.3*$CV7,TRUE)-_xlfn.NORM.DIST(AJ$30,$CV7,0.3*$CV7,TRUE))*summary!$C$6/28.8/0.947817)/(SUMPRODUCT((economics!$AG$2:$AG$167=$B36)*(economics!$D$2:$D$167="whr")*economics!$AH$2:$AH$167*(_xlfn.NORM.DIST(AJ$3,economics!$AK$2:$AK$167,economics!$AJ$2:$AJ$167,TRUE)-_xlfn.NORM.DIST(AJ$30,economics!$AK$2:$AK$167,economics!$AJ$2:$AJ$167,TRUE)))+$CR7*(_xlfn.NORM.DIST(AJ$3,$CU7,0.3*$CU7,TRUE)-_xlfn.NORM.DIST(AJ$30,$CU7,0.3*$CU7,TRUE))+$CS7*(_xlfn.NORM.DIST(AJ$3,$CV7,0.3*$CV7,TRUE)-_xlfn.NORM.DIST(AJ$30,$CV7,0.3*$CV7,TRUE))),""),IF($C7&gt;0,summary!$C$10/28.8/0.947817,""))</f>
        <v/>
      </c>
      <c r="AK36">
        <f t="array" ref="AK36">IF($D7,IFERROR((SUMPRODUCT((economics!$AG$2:$AG$167=$B36)*(economics!$D$2:$D$167="whr")*economics!$AH$2:$AH$167*(_xlfn.NORM.DIST(AK$3,economics!$AK$2:$AK$167,economics!$AJ$2:$AJ$167,TRUE)-_xlfn.NORM.DIST(AK$30,economics!$AK$2:$AK$167,economics!$AJ$2:$AJ$167,TRUE))*economics!$AM$2:$AM$167)+$CR7*(_xlfn.NORM.DIST(AK$3,$CU7,0.3*$CU7,TRUE)-_xlfn.NORM.DIST(AK$30,$CU7,0.3*$CU7,TRUE))*summary!$C$7/28.8/0.947817+$CS7*(_xlfn.NORM.DIST(AK$3,$CV7,0.3*$CV7,TRUE)-_xlfn.NORM.DIST(AK$30,$CV7,0.3*$CV7,TRUE))*summary!$C$6/28.8/0.947817)/(SUMPRODUCT((economics!$AG$2:$AG$167=$B36)*(economics!$D$2:$D$167="whr")*economics!$AH$2:$AH$167*(_xlfn.NORM.DIST(AK$3,economics!$AK$2:$AK$167,economics!$AJ$2:$AJ$167,TRUE)-_xlfn.NORM.DIST(AK$30,economics!$AK$2:$AK$167,economics!$AJ$2:$AJ$167,TRUE)))+$CR7*(_xlfn.NORM.DIST(AK$3,$CU7,0.3*$CU7,TRUE)-_xlfn.NORM.DIST(AK$30,$CU7,0.3*$CU7,TRUE))+$CS7*(_xlfn.NORM.DIST(AK$3,$CV7,0.3*$CV7,TRUE)-_xlfn.NORM.DIST(AK$30,$CV7,0.3*$CV7,TRUE))),""),IF($C7&gt;0,summary!$C$10/28.8/0.947817,""))</f>
        <v/>
      </c>
      <c r="AL36">
        <f t="array" ref="AL36">IF($D7,IFERROR((SUMPRODUCT((economics!$AG$2:$AG$167=$B36)*(economics!$D$2:$D$167="whr")*economics!$AH$2:$AH$167*(_xlfn.NORM.DIST(AL$3,economics!$AK$2:$AK$167,economics!$AJ$2:$AJ$167,TRUE)-_xlfn.NORM.DIST(AL$30,economics!$AK$2:$AK$167,economics!$AJ$2:$AJ$167,TRUE))*economics!$AM$2:$AM$167)+$CR7*(_xlfn.NORM.DIST(AL$3,$CU7,0.3*$CU7,TRUE)-_xlfn.NORM.DIST(AL$30,$CU7,0.3*$CU7,TRUE))*summary!$C$7/28.8/0.947817+$CS7*(_xlfn.NORM.DIST(AL$3,$CV7,0.3*$CV7,TRUE)-_xlfn.NORM.DIST(AL$30,$CV7,0.3*$CV7,TRUE))*summary!$C$6/28.8/0.947817)/(SUMPRODUCT((economics!$AG$2:$AG$167=$B36)*(economics!$D$2:$D$167="whr")*economics!$AH$2:$AH$167*(_xlfn.NORM.DIST(AL$3,economics!$AK$2:$AK$167,economics!$AJ$2:$AJ$167,TRUE)-_xlfn.NORM.DIST(AL$30,economics!$AK$2:$AK$167,economics!$AJ$2:$AJ$167,TRUE)))+$CR7*(_xlfn.NORM.DIST(AL$3,$CU7,0.3*$CU7,TRUE)-_xlfn.NORM.DIST(AL$30,$CU7,0.3*$CU7,TRUE))+$CS7*(_xlfn.NORM.DIST(AL$3,$CV7,0.3*$CV7,TRUE)-_xlfn.NORM.DIST(AL$30,$CV7,0.3*$CV7,TRUE))),""),IF($C7&gt;0,summary!$C$10/28.8/0.947817,""))</f>
        <v/>
      </c>
      <c r="AM36">
        <f t="array" ref="AM36">IF($D7,IFERROR((SUMPRODUCT((economics!$AG$2:$AG$167=$B36)*(economics!$D$2:$D$167="whr")*economics!$AH$2:$AH$167*(_xlfn.NORM.DIST(AM$3,economics!$AK$2:$AK$167,economics!$AJ$2:$AJ$167,TRUE)-_xlfn.NORM.DIST(AM$30,economics!$AK$2:$AK$167,economics!$AJ$2:$AJ$167,TRUE))*economics!$AM$2:$AM$167)+$CR7*(_xlfn.NORM.DIST(AM$3,$CU7,0.3*$CU7,TRUE)-_xlfn.NORM.DIST(AM$30,$CU7,0.3*$CU7,TRUE))*summary!$C$7/28.8/0.947817+$CS7*(_xlfn.NORM.DIST(AM$3,$CV7,0.3*$CV7,TRUE)-_xlfn.NORM.DIST(AM$30,$CV7,0.3*$CV7,TRUE))*summary!$C$6/28.8/0.947817)/(SUMPRODUCT((economics!$AG$2:$AG$167=$B36)*(economics!$D$2:$D$167="whr")*economics!$AH$2:$AH$167*(_xlfn.NORM.DIST(AM$3,economics!$AK$2:$AK$167,economics!$AJ$2:$AJ$167,TRUE)-_xlfn.NORM.DIST(AM$30,economics!$AK$2:$AK$167,economics!$AJ$2:$AJ$167,TRUE)))+$CR7*(_xlfn.NORM.DIST(AM$3,$CU7,0.3*$CU7,TRUE)-_xlfn.NORM.DIST(AM$30,$CU7,0.3*$CU7,TRUE))+$CS7*(_xlfn.NORM.DIST(AM$3,$CV7,0.3*$CV7,TRUE)-_xlfn.NORM.DIST(AM$30,$CV7,0.3*$CV7,TRUE))),""),IF($C7&gt;0,summary!$C$10/28.8/0.947817,""))</f>
        <v/>
      </c>
      <c r="AN36">
        <f t="array" ref="AN36">IF($D7,IFERROR((SUMPRODUCT((economics!$AG$2:$AG$167=$B36)*(economics!$D$2:$D$167="whr")*economics!$AH$2:$AH$167*(_xlfn.NORM.DIST(AN$3,economics!$AK$2:$AK$167,economics!$AJ$2:$AJ$167,TRUE)-_xlfn.NORM.DIST(AN$30,economics!$AK$2:$AK$167,economics!$AJ$2:$AJ$167,TRUE))*economics!$AM$2:$AM$167)+$CR7*(_xlfn.NORM.DIST(AN$3,$CU7,0.3*$CU7,TRUE)-_xlfn.NORM.DIST(AN$30,$CU7,0.3*$CU7,TRUE))*summary!$C$7/28.8/0.947817+$CS7*(_xlfn.NORM.DIST(AN$3,$CV7,0.3*$CV7,TRUE)-_xlfn.NORM.DIST(AN$30,$CV7,0.3*$CV7,TRUE))*summary!$C$6/28.8/0.947817)/(SUMPRODUCT((economics!$AG$2:$AG$167=$B36)*(economics!$D$2:$D$167="whr")*economics!$AH$2:$AH$167*(_xlfn.NORM.DIST(AN$3,economics!$AK$2:$AK$167,economics!$AJ$2:$AJ$167,TRUE)-_xlfn.NORM.DIST(AN$30,economics!$AK$2:$AK$167,economics!$AJ$2:$AJ$167,TRUE)))+$CR7*(_xlfn.NORM.DIST(AN$3,$CU7,0.3*$CU7,TRUE)-_xlfn.NORM.DIST(AN$30,$CU7,0.3*$CU7,TRUE))+$CS7*(_xlfn.NORM.DIST(AN$3,$CV7,0.3*$CV7,TRUE)-_xlfn.NORM.DIST(AN$30,$CV7,0.3*$CV7,TRUE))),""),IF($C7&gt;0,summary!$C$10/28.8/0.947817,""))</f>
        <v/>
      </c>
      <c r="AO36">
        <f t="array" ref="AO36">IF($D7,IFERROR((SUMPRODUCT((economics!$AG$2:$AG$167=$B36)*(economics!$D$2:$D$167="whr")*economics!$AH$2:$AH$167*(_xlfn.NORM.DIST(AO$3,economics!$AK$2:$AK$167,economics!$AJ$2:$AJ$167,TRUE)-_xlfn.NORM.DIST(AO$30,economics!$AK$2:$AK$167,economics!$AJ$2:$AJ$167,TRUE))*economics!$AM$2:$AM$167)+$CR7*(_xlfn.NORM.DIST(AO$3,$CU7,0.3*$CU7,TRUE)-_xlfn.NORM.DIST(AO$30,$CU7,0.3*$CU7,TRUE))*summary!$C$7/28.8/0.947817+$CS7*(_xlfn.NORM.DIST(AO$3,$CV7,0.3*$CV7,TRUE)-_xlfn.NORM.DIST(AO$30,$CV7,0.3*$CV7,TRUE))*summary!$C$6/28.8/0.947817)/(SUMPRODUCT((economics!$AG$2:$AG$167=$B36)*(economics!$D$2:$D$167="whr")*economics!$AH$2:$AH$167*(_xlfn.NORM.DIST(AO$3,economics!$AK$2:$AK$167,economics!$AJ$2:$AJ$167,TRUE)-_xlfn.NORM.DIST(AO$30,economics!$AK$2:$AK$167,economics!$AJ$2:$AJ$167,TRUE)))+$CR7*(_xlfn.NORM.DIST(AO$3,$CU7,0.3*$CU7,TRUE)-_xlfn.NORM.DIST(AO$30,$CU7,0.3*$CU7,TRUE))+$CS7*(_xlfn.NORM.DIST(AO$3,$CV7,0.3*$CV7,TRUE)-_xlfn.NORM.DIST(AO$30,$CV7,0.3*$CV7,TRUE))),""),IF($C7&gt;0,summary!$C$10/28.8/0.947817,""))</f>
        <v/>
      </c>
      <c r="AP36">
        <f t="array" ref="AP36">IF($D7,IFERROR((SUMPRODUCT((economics!$AG$2:$AG$167=$B36)*(economics!$D$2:$D$167="whr")*economics!$AH$2:$AH$167*(_xlfn.NORM.DIST(AP$3,economics!$AK$2:$AK$167,economics!$AJ$2:$AJ$167,TRUE)-_xlfn.NORM.DIST(AP$30,economics!$AK$2:$AK$167,economics!$AJ$2:$AJ$167,TRUE))*economics!$AM$2:$AM$167)+$CR7*(_xlfn.NORM.DIST(AP$3,$CU7,0.3*$CU7,TRUE)-_xlfn.NORM.DIST(AP$30,$CU7,0.3*$CU7,TRUE))*summary!$C$7/28.8/0.947817+$CS7*(_xlfn.NORM.DIST(AP$3,$CV7,0.3*$CV7,TRUE)-_xlfn.NORM.DIST(AP$30,$CV7,0.3*$CV7,TRUE))*summary!$C$6/28.8/0.947817)/(SUMPRODUCT((economics!$AG$2:$AG$167=$B36)*(economics!$D$2:$D$167="whr")*economics!$AH$2:$AH$167*(_xlfn.NORM.DIST(AP$3,economics!$AK$2:$AK$167,economics!$AJ$2:$AJ$167,TRUE)-_xlfn.NORM.DIST(AP$30,economics!$AK$2:$AK$167,economics!$AJ$2:$AJ$167,TRUE)))+$CR7*(_xlfn.NORM.DIST(AP$3,$CU7,0.3*$CU7,TRUE)-_xlfn.NORM.DIST(AP$30,$CU7,0.3*$CU7,TRUE))+$CS7*(_xlfn.NORM.DIST(AP$3,$CV7,0.3*$CV7,TRUE)-_xlfn.NORM.DIST(AP$30,$CV7,0.3*$CV7,TRUE))),""),IF($C7&gt;0,summary!$C$10/28.8/0.947817,""))</f>
        <v/>
      </c>
      <c r="AQ36">
        <f t="array" ref="AQ36">IF($D7,IFERROR((SUMPRODUCT((economics!$AG$2:$AG$167=$B36)*(economics!$D$2:$D$167="whr")*economics!$AH$2:$AH$167*(_xlfn.NORM.DIST(AQ$3,economics!$AK$2:$AK$167,economics!$AJ$2:$AJ$167,TRUE)-_xlfn.NORM.DIST(AQ$30,economics!$AK$2:$AK$167,economics!$AJ$2:$AJ$167,TRUE))*economics!$AM$2:$AM$167)+$CR7*(_xlfn.NORM.DIST(AQ$3,$CU7,0.3*$CU7,TRUE)-_xlfn.NORM.DIST(AQ$30,$CU7,0.3*$CU7,TRUE))*summary!$C$7/28.8/0.947817+$CS7*(_xlfn.NORM.DIST(AQ$3,$CV7,0.3*$CV7,TRUE)-_xlfn.NORM.DIST(AQ$30,$CV7,0.3*$CV7,TRUE))*summary!$C$6/28.8/0.947817)/(SUMPRODUCT((economics!$AG$2:$AG$167=$B36)*(economics!$D$2:$D$167="whr")*economics!$AH$2:$AH$167*(_xlfn.NORM.DIST(AQ$3,economics!$AK$2:$AK$167,economics!$AJ$2:$AJ$167,TRUE)-_xlfn.NORM.DIST(AQ$30,economics!$AK$2:$AK$167,economics!$AJ$2:$AJ$167,TRUE)))+$CR7*(_xlfn.NORM.DIST(AQ$3,$CU7,0.3*$CU7,TRUE)-_xlfn.NORM.DIST(AQ$30,$CU7,0.3*$CU7,TRUE))+$CS7*(_xlfn.NORM.DIST(AQ$3,$CV7,0.3*$CV7,TRUE)-_xlfn.NORM.DIST(AQ$30,$CV7,0.3*$CV7,TRUE))),""),IF($C7&gt;0,summary!$C$10/28.8/0.947817,""))</f>
        <v/>
      </c>
      <c r="AR36">
        <f t="array" ref="AR36">IF($D7,IFERROR((SUMPRODUCT((economics!$AG$2:$AG$167=$B36)*(economics!$D$2:$D$167="whr")*economics!$AH$2:$AH$167*(_xlfn.NORM.DIST(AR$3,economics!$AK$2:$AK$167,economics!$AJ$2:$AJ$167,TRUE)-_xlfn.NORM.DIST(AR$30,economics!$AK$2:$AK$167,economics!$AJ$2:$AJ$167,TRUE))*economics!$AM$2:$AM$167)+$CR7*(_xlfn.NORM.DIST(AR$3,$CU7,0.3*$CU7,TRUE)-_xlfn.NORM.DIST(AR$30,$CU7,0.3*$CU7,TRUE))*summary!$C$7/28.8/0.947817+$CS7*(_xlfn.NORM.DIST(AR$3,$CV7,0.3*$CV7,TRUE)-_xlfn.NORM.DIST(AR$30,$CV7,0.3*$CV7,TRUE))*summary!$C$6/28.8/0.947817)/(SUMPRODUCT((economics!$AG$2:$AG$167=$B36)*(economics!$D$2:$D$167="whr")*economics!$AH$2:$AH$167*(_xlfn.NORM.DIST(AR$3,economics!$AK$2:$AK$167,economics!$AJ$2:$AJ$167,TRUE)-_xlfn.NORM.DIST(AR$30,economics!$AK$2:$AK$167,economics!$AJ$2:$AJ$167,TRUE)))+$CR7*(_xlfn.NORM.DIST(AR$3,$CU7,0.3*$CU7,TRUE)-_xlfn.NORM.DIST(AR$30,$CU7,0.3*$CU7,TRUE))+$CS7*(_xlfn.NORM.DIST(AR$3,$CV7,0.3*$CV7,TRUE)-_xlfn.NORM.DIST(AR$30,$CV7,0.3*$CV7,TRUE))),""),IF($C7&gt;0,summary!$C$10/28.8/0.947817,""))</f>
        <v/>
      </c>
      <c r="AS36">
        <f t="array" ref="AS36">IF($D7,IFERROR((SUMPRODUCT((economics!$AG$2:$AG$167=$B36)*(economics!$D$2:$D$167="whr")*economics!$AH$2:$AH$167*(_xlfn.NORM.DIST(AS$3,economics!$AK$2:$AK$167,economics!$AJ$2:$AJ$167,TRUE)-_xlfn.NORM.DIST(AS$30,economics!$AK$2:$AK$167,economics!$AJ$2:$AJ$167,TRUE))*economics!$AM$2:$AM$167)+$CR7*(_xlfn.NORM.DIST(AS$3,$CU7,0.3*$CU7,TRUE)-_xlfn.NORM.DIST(AS$30,$CU7,0.3*$CU7,TRUE))*summary!$C$7/28.8/0.947817+$CS7*(_xlfn.NORM.DIST(AS$3,$CV7,0.3*$CV7,TRUE)-_xlfn.NORM.DIST(AS$30,$CV7,0.3*$CV7,TRUE))*summary!$C$6/28.8/0.947817)/(SUMPRODUCT((economics!$AG$2:$AG$167=$B36)*(economics!$D$2:$D$167="whr")*economics!$AH$2:$AH$167*(_xlfn.NORM.DIST(AS$3,economics!$AK$2:$AK$167,economics!$AJ$2:$AJ$167,TRUE)-_xlfn.NORM.DIST(AS$30,economics!$AK$2:$AK$167,economics!$AJ$2:$AJ$167,TRUE)))+$CR7*(_xlfn.NORM.DIST(AS$3,$CU7,0.3*$CU7,TRUE)-_xlfn.NORM.DIST(AS$30,$CU7,0.3*$CU7,TRUE))+$CS7*(_xlfn.NORM.DIST(AS$3,$CV7,0.3*$CV7,TRUE)-_xlfn.NORM.DIST(AS$30,$CV7,0.3*$CV7,TRUE))),""),IF($C7&gt;0,summary!$C$10/28.8/0.947817,""))</f>
        <v/>
      </c>
      <c r="AT36">
        <f t="array" ref="AT36">IF($D7,IFERROR((SUMPRODUCT((economics!$AG$2:$AG$167=$B36)*(economics!$D$2:$D$167="whr")*economics!$AH$2:$AH$167*(_xlfn.NORM.DIST(AT$3,economics!$AK$2:$AK$167,economics!$AJ$2:$AJ$167,TRUE)-_xlfn.NORM.DIST(AT$30,economics!$AK$2:$AK$167,economics!$AJ$2:$AJ$167,TRUE))*economics!$AM$2:$AM$167)+$CR7*(_xlfn.NORM.DIST(AT$3,$CU7,0.3*$CU7,TRUE)-_xlfn.NORM.DIST(AT$30,$CU7,0.3*$CU7,TRUE))*summary!$C$7/28.8/0.947817+$CS7*(_xlfn.NORM.DIST(AT$3,$CV7,0.3*$CV7,TRUE)-_xlfn.NORM.DIST(AT$30,$CV7,0.3*$CV7,TRUE))*summary!$C$6/28.8/0.947817)/(SUMPRODUCT((economics!$AG$2:$AG$167=$B36)*(economics!$D$2:$D$167="whr")*economics!$AH$2:$AH$167*(_xlfn.NORM.DIST(AT$3,economics!$AK$2:$AK$167,economics!$AJ$2:$AJ$167,TRUE)-_xlfn.NORM.DIST(AT$30,economics!$AK$2:$AK$167,economics!$AJ$2:$AJ$167,TRUE)))+$CR7*(_xlfn.NORM.DIST(AT$3,$CU7,0.3*$CU7,TRUE)-_xlfn.NORM.DIST(AT$30,$CU7,0.3*$CU7,TRUE))+$CS7*(_xlfn.NORM.DIST(AT$3,$CV7,0.3*$CV7,TRUE)-_xlfn.NORM.DIST(AT$30,$CV7,0.3*$CV7,TRUE))),""),IF($C7&gt;0,summary!$C$10/28.8/0.947817,""))</f>
        <v/>
      </c>
      <c r="AU36">
        <f t="array" ref="AU36">IF($D7,IFERROR((SUMPRODUCT((economics!$AG$2:$AG$167=$B36)*(economics!$D$2:$D$167="whr")*economics!$AH$2:$AH$167*(_xlfn.NORM.DIST(AU$3,economics!$AK$2:$AK$167,economics!$AJ$2:$AJ$167,TRUE)-_xlfn.NORM.DIST(AU$30,economics!$AK$2:$AK$167,economics!$AJ$2:$AJ$167,TRUE))*economics!$AM$2:$AM$167)+$CR7*(_xlfn.NORM.DIST(AU$3,$CU7,0.3*$CU7,TRUE)-_xlfn.NORM.DIST(AU$30,$CU7,0.3*$CU7,TRUE))*summary!$C$7/28.8/0.947817+$CS7*(_xlfn.NORM.DIST(AU$3,$CV7,0.3*$CV7,TRUE)-_xlfn.NORM.DIST(AU$30,$CV7,0.3*$CV7,TRUE))*summary!$C$6/28.8/0.947817)/(SUMPRODUCT((economics!$AG$2:$AG$167=$B36)*(economics!$D$2:$D$167="whr")*economics!$AH$2:$AH$167*(_xlfn.NORM.DIST(AU$3,economics!$AK$2:$AK$167,economics!$AJ$2:$AJ$167,TRUE)-_xlfn.NORM.DIST(AU$30,economics!$AK$2:$AK$167,economics!$AJ$2:$AJ$167,TRUE)))+$CR7*(_xlfn.NORM.DIST(AU$3,$CU7,0.3*$CU7,TRUE)-_xlfn.NORM.DIST(AU$30,$CU7,0.3*$CU7,TRUE))+$CS7*(_xlfn.NORM.DIST(AU$3,$CV7,0.3*$CV7,TRUE)-_xlfn.NORM.DIST(AU$30,$CV7,0.3*$CV7,TRUE))),""),IF($C7&gt;0,summary!$C$10/28.8/0.947817,""))</f>
        <v/>
      </c>
      <c r="AV36">
        <f t="array" ref="AV36">IF($D7,IFERROR((SUMPRODUCT((economics!$AG$2:$AG$167=$B36)*(economics!$D$2:$D$167="whr")*economics!$AH$2:$AH$167*(_xlfn.NORM.DIST(AV$3,economics!$AK$2:$AK$167,economics!$AJ$2:$AJ$167,TRUE)-_xlfn.NORM.DIST(AV$30,economics!$AK$2:$AK$167,economics!$AJ$2:$AJ$167,TRUE))*economics!$AM$2:$AM$167)+$CR7*(_xlfn.NORM.DIST(AV$3,$CU7,0.3*$CU7,TRUE)-_xlfn.NORM.DIST(AV$30,$CU7,0.3*$CU7,TRUE))*summary!$C$7/28.8/0.947817+$CS7*(_xlfn.NORM.DIST(AV$3,$CV7,0.3*$CV7,TRUE)-_xlfn.NORM.DIST(AV$30,$CV7,0.3*$CV7,TRUE))*summary!$C$6/28.8/0.947817)/(SUMPRODUCT((economics!$AG$2:$AG$167=$B36)*(economics!$D$2:$D$167="whr")*economics!$AH$2:$AH$167*(_xlfn.NORM.DIST(AV$3,economics!$AK$2:$AK$167,economics!$AJ$2:$AJ$167,TRUE)-_xlfn.NORM.DIST(AV$30,economics!$AK$2:$AK$167,economics!$AJ$2:$AJ$167,TRUE)))+$CR7*(_xlfn.NORM.DIST(AV$3,$CU7,0.3*$CU7,TRUE)-_xlfn.NORM.DIST(AV$30,$CU7,0.3*$CU7,TRUE))+$CS7*(_xlfn.NORM.DIST(AV$3,$CV7,0.3*$CV7,TRUE)-_xlfn.NORM.DIST(AV$30,$CV7,0.3*$CV7,TRUE))),""),IF($C7&gt;0,summary!$C$10/28.8/0.947817,""))</f>
        <v/>
      </c>
      <c r="AW36">
        <f t="array" ref="AW36">IF($D7,IFERROR((SUMPRODUCT((economics!$AG$2:$AG$167=$B36)*(economics!$D$2:$D$167="whr")*economics!$AH$2:$AH$167*(_xlfn.NORM.DIST(AW$3,economics!$AK$2:$AK$167,economics!$AJ$2:$AJ$167,TRUE)-_xlfn.NORM.DIST(AW$30,economics!$AK$2:$AK$167,economics!$AJ$2:$AJ$167,TRUE))*economics!$AM$2:$AM$167)+$CR7*(_xlfn.NORM.DIST(AW$3,$CU7,0.3*$CU7,TRUE)-_xlfn.NORM.DIST(AW$30,$CU7,0.3*$CU7,TRUE))*summary!$C$7/28.8/0.947817+$CS7*(_xlfn.NORM.DIST(AW$3,$CV7,0.3*$CV7,TRUE)-_xlfn.NORM.DIST(AW$30,$CV7,0.3*$CV7,TRUE))*summary!$C$6/28.8/0.947817)/(SUMPRODUCT((economics!$AG$2:$AG$167=$B36)*(economics!$D$2:$D$167="whr")*economics!$AH$2:$AH$167*(_xlfn.NORM.DIST(AW$3,economics!$AK$2:$AK$167,economics!$AJ$2:$AJ$167,TRUE)-_xlfn.NORM.DIST(AW$30,economics!$AK$2:$AK$167,economics!$AJ$2:$AJ$167,TRUE)))+$CR7*(_xlfn.NORM.DIST(AW$3,$CU7,0.3*$CU7,TRUE)-_xlfn.NORM.DIST(AW$30,$CU7,0.3*$CU7,TRUE))+$CS7*(_xlfn.NORM.DIST(AW$3,$CV7,0.3*$CV7,TRUE)-_xlfn.NORM.DIST(AW$30,$CV7,0.3*$CV7,TRUE))),""),IF($C7&gt;0,summary!$C$10/28.8/0.947817,""))</f>
        <v/>
      </c>
      <c r="AX36">
        <f t="array" ref="AX36">IF($D7,IFERROR((SUMPRODUCT((economics!$AG$2:$AG$167=$B36)*(economics!$D$2:$D$167="whr")*economics!$AH$2:$AH$167*(_xlfn.NORM.DIST(AX$3,economics!$AK$2:$AK$167,economics!$AJ$2:$AJ$167,TRUE)-_xlfn.NORM.DIST(AX$30,economics!$AK$2:$AK$167,economics!$AJ$2:$AJ$167,TRUE))*economics!$AM$2:$AM$167)+$CR7*(_xlfn.NORM.DIST(AX$3,$CU7,0.3*$CU7,TRUE)-_xlfn.NORM.DIST(AX$30,$CU7,0.3*$CU7,TRUE))*summary!$C$7/28.8/0.947817+$CS7*(_xlfn.NORM.DIST(AX$3,$CV7,0.3*$CV7,TRUE)-_xlfn.NORM.DIST(AX$30,$CV7,0.3*$CV7,TRUE))*summary!$C$6/28.8/0.947817)/(SUMPRODUCT((economics!$AG$2:$AG$167=$B36)*(economics!$D$2:$D$167="whr")*economics!$AH$2:$AH$167*(_xlfn.NORM.DIST(AX$3,economics!$AK$2:$AK$167,economics!$AJ$2:$AJ$167,TRUE)-_xlfn.NORM.DIST(AX$30,economics!$AK$2:$AK$167,economics!$AJ$2:$AJ$167,TRUE)))+$CR7*(_xlfn.NORM.DIST(AX$3,$CU7,0.3*$CU7,TRUE)-_xlfn.NORM.DIST(AX$30,$CU7,0.3*$CU7,TRUE))+$CS7*(_xlfn.NORM.DIST(AX$3,$CV7,0.3*$CV7,TRUE)-_xlfn.NORM.DIST(AX$30,$CV7,0.3*$CV7,TRUE))),""),IF($C7&gt;0,summary!$C$10/28.8/0.947817,""))</f>
        <v/>
      </c>
      <c r="AY36">
        <f t="array" ref="AY36">IF($D7,IFERROR((SUMPRODUCT((economics!$AG$2:$AG$167=$B36)*(economics!$D$2:$D$167="whr")*economics!$AH$2:$AH$167*(_xlfn.NORM.DIST(AY$3,economics!$AK$2:$AK$167,economics!$AJ$2:$AJ$167,TRUE)-_xlfn.NORM.DIST(AY$30,economics!$AK$2:$AK$167,economics!$AJ$2:$AJ$167,TRUE))*economics!$AM$2:$AM$167)+$CR7*(_xlfn.NORM.DIST(AY$3,$CU7,0.3*$CU7,TRUE)-_xlfn.NORM.DIST(AY$30,$CU7,0.3*$CU7,TRUE))*summary!$C$7/28.8/0.947817+$CS7*(_xlfn.NORM.DIST(AY$3,$CV7,0.3*$CV7,TRUE)-_xlfn.NORM.DIST(AY$30,$CV7,0.3*$CV7,TRUE))*summary!$C$6/28.8/0.947817)/(SUMPRODUCT((economics!$AG$2:$AG$167=$B36)*(economics!$D$2:$D$167="whr")*economics!$AH$2:$AH$167*(_xlfn.NORM.DIST(AY$3,economics!$AK$2:$AK$167,economics!$AJ$2:$AJ$167,TRUE)-_xlfn.NORM.DIST(AY$30,economics!$AK$2:$AK$167,economics!$AJ$2:$AJ$167,TRUE)))+$CR7*(_xlfn.NORM.DIST(AY$3,$CU7,0.3*$CU7,TRUE)-_xlfn.NORM.DIST(AY$30,$CU7,0.3*$CU7,TRUE))+$CS7*(_xlfn.NORM.DIST(AY$3,$CV7,0.3*$CV7,TRUE)-_xlfn.NORM.DIST(AY$30,$CV7,0.3*$CV7,TRUE))),""),IF($C7&gt;0,summary!$C$10/28.8/0.947817,""))</f>
        <v/>
      </c>
      <c r="AZ36">
        <f t="array" ref="AZ36">IF($D7,IFERROR((SUMPRODUCT((economics!$AG$2:$AG$167=$B36)*(economics!$D$2:$D$167="whr")*economics!$AH$2:$AH$167*(_xlfn.NORM.DIST(AZ$3,economics!$AK$2:$AK$167,economics!$AJ$2:$AJ$167,TRUE)-_xlfn.NORM.DIST(AZ$30,economics!$AK$2:$AK$167,economics!$AJ$2:$AJ$167,TRUE))*economics!$AM$2:$AM$167)+$CR7*(_xlfn.NORM.DIST(AZ$3,$CU7,0.3*$CU7,TRUE)-_xlfn.NORM.DIST(AZ$30,$CU7,0.3*$CU7,TRUE))*summary!$C$7/28.8/0.947817+$CS7*(_xlfn.NORM.DIST(AZ$3,$CV7,0.3*$CV7,TRUE)-_xlfn.NORM.DIST(AZ$30,$CV7,0.3*$CV7,TRUE))*summary!$C$6/28.8/0.947817)/(SUMPRODUCT((economics!$AG$2:$AG$167=$B36)*(economics!$D$2:$D$167="whr")*economics!$AH$2:$AH$167*(_xlfn.NORM.DIST(AZ$3,economics!$AK$2:$AK$167,economics!$AJ$2:$AJ$167,TRUE)-_xlfn.NORM.DIST(AZ$30,economics!$AK$2:$AK$167,economics!$AJ$2:$AJ$167,TRUE)))+$CR7*(_xlfn.NORM.DIST(AZ$3,$CU7,0.3*$CU7,TRUE)-_xlfn.NORM.DIST(AZ$30,$CU7,0.3*$CU7,TRUE))+$CS7*(_xlfn.NORM.DIST(AZ$3,$CV7,0.3*$CV7,TRUE)-_xlfn.NORM.DIST(AZ$30,$CV7,0.3*$CV7,TRUE))),""),IF($C7&gt;0,summary!$C$10/28.8/0.947817,""))</f>
        <v/>
      </c>
      <c r="BA36">
        <f t="array" ref="BA36">IF($D7,IFERROR((SUMPRODUCT((economics!$AG$2:$AG$167=$B36)*(economics!$D$2:$D$167="whr")*economics!$AH$2:$AH$167*(_xlfn.NORM.DIST(BA$3,economics!$AK$2:$AK$167,economics!$AJ$2:$AJ$167,TRUE)-_xlfn.NORM.DIST(BA$30,economics!$AK$2:$AK$167,economics!$AJ$2:$AJ$167,TRUE))*economics!$AM$2:$AM$167)+$CR7*(_xlfn.NORM.DIST(BA$3,$CU7,0.3*$CU7,TRUE)-_xlfn.NORM.DIST(BA$30,$CU7,0.3*$CU7,TRUE))*summary!$C$7/28.8/0.947817+$CS7*(_xlfn.NORM.DIST(BA$3,$CV7,0.3*$CV7,TRUE)-_xlfn.NORM.DIST(BA$30,$CV7,0.3*$CV7,TRUE))*summary!$C$6/28.8/0.947817)/(SUMPRODUCT((economics!$AG$2:$AG$167=$B36)*(economics!$D$2:$D$167="whr")*economics!$AH$2:$AH$167*(_xlfn.NORM.DIST(BA$3,economics!$AK$2:$AK$167,economics!$AJ$2:$AJ$167,TRUE)-_xlfn.NORM.DIST(BA$30,economics!$AK$2:$AK$167,economics!$AJ$2:$AJ$167,TRUE)))+$CR7*(_xlfn.NORM.DIST(BA$3,$CU7,0.3*$CU7,TRUE)-_xlfn.NORM.DIST(BA$30,$CU7,0.3*$CU7,TRUE))+$CS7*(_xlfn.NORM.DIST(BA$3,$CV7,0.3*$CV7,TRUE)-_xlfn.NORM.DIST(BA$30,$CV7,0.3*$CV7,TRUE))),""),IF($C7&gt;0,summary!$C$10/28.8/0.947817,""))</f>
        <v/>
      </c>
      <c r="BB36">
        <f t="array" ref="BB36">IF($D7,IFERROR((SUMPRODUCT((economics!$AG$2:$AG$167=$B36)*(economics!$D$2:$D$167="whr")*economics!$AH$2:$AH$167*(_xlfn.NORM.DIST(BB$3,economics!$AK$2:$AK$167,economics!$AJ$2:$AJ$167,TRUE)-_xlfn.NORM.DIST(BB$30,economics!$AK$2:$AK$167,economics!$AJ$2:$AJ$167,TRUE))*economics!$AM$2:$AM$167)+$CR7*(_xlfn.NORM.DIST(BB$3,$CU7,0.3*$CU7,TRUE)-_xlfn.NORM.DIST(BB$30,$CU7,0.3*$CU7,TRUE))*summary!$C$7/28.8/0.947817+$CS7*(_xlfn.NORM.DIST(BB$3,$CV7,0.3*$CV7,TRUE)-_xlfn.NORM.DIST(BB$30,$CV7,0.3*$CV7,TRUE))*summary!$C$6/28.8/0.947817)/(SUMPRODUCT((economics!$AG$2:$AG$167=$B36)*(economics!$D$2:$D$167="whr")*economics!$AH$2:$AH$167*(_xlfn.NORM.DIST(BB$3,economics!$AK$2:$AK$167,economics!$AJ$2:$AJ$167,TRUE)-_xlfn.NORM.DIST(BB$30,economics!$AK$2:$AK$167,economics!$AJ$2:$AJ$167,TRUE)))+$CR7*(_xlfn.NORM.DIST(BB$3,$CU7,0.3*$CU7,TRUE)-_xlfn.NORM.DIST(BB$30,$CU7,0.3*$CU7,TRUE))+$CS7*(_xlfn.NORM.DIST(BB$3,$CV7,0.3*$CV7,TRUE)-_xlfn.NORM.DIST(BB$30,$CV7,0.3*$CV7,TRUE))),""),IF($C7&gt;0,summary!$C$10/28.8/0.947817,""))</f>
        <v/>
      </c>
      <c r="BC36">
        <f t="array" ref="BC36">IF($D7,IFERROR((SUMPRODUCT((economics!$AG$2:$AG$167=$B36)*(economics!$D$2:$D$167="whr")*economics!$AH$2:$AH$167*(_xlfn.NORM.DIST(BC$3,economics!$AK$2:$AK$167,economics!$AJ$2:$AJ$167,TRUE)-_xlfn.NORM.DIST(BC$30,economics!$AK$2:$AK$167,economics!$AJ$2:$AJ$167,TRUE))*economics!$AM$2:$AM$167)+$CR7*(_xlfn.NORM.DIST(BC$3,$CU7,0.3*$CU7,TRUE)-_xlfn.NORM.DIST(BC$30,$CU7,0.3*$CU7,TRUE))*summary!$C$7/28.8/0.947817+$CS7*(_xlfn.NORM.DIST(BC$3,$CV7,0.3*$CV7,TRUE)-_xlfn.NORM.DIST(BC$30,$CV7,0.3*$CV7,TRUE))*summary!$C$6/28.8/0.947817)/(SUMPRODUCT((economics!$AG$2:$AG$167=$B36)*(economics!$D$2:$D$167="whr")*economics!$AH$2:$AH$167*(_xlfn.NORM.DIST(BC$3,economics!$AK$2:$AK$167,economics!$AJ$2:$AJ$167,TRUE)-_xlfn.NORM.DIST(BC$30,economics!$AK$2:$AK$167,economics!$AJ$2:$AJ$167,TRUE)))+$CR7*(_xlfn.NORM.DIST(BC$3,$CU7,0.3*$CU7,TRUE)-_xlfn.NORM.DIST(BC$30,$CU7,0.3*$CU7,TRUE))+$CS7*(_xlfn.NORM.DIST(BC$3,$CV7,0.3*$CV7,TRUE)-_xlfn.NORM.DIST(BC$30,$CV7,0.3*$CV7,TRUE))),""),IF($C7&gt;0,summary!$C$10/28.8/0.947817,""))</f>
        <v/>
      </c>
      <c r="BD36">
        <f t="array" ref="BD36">IF($D7,IFERROR((SUMPRODUCT((economics!$AG$2:$AG$167=$B36)*(economics!$D$2:$D$167="whr")*economics!$AH$2:$AH$167*(_xlfn.NORM.DIST(BD$3,economics!$AK$2:$AK$167,economics!$AJ$2:$AJ$167,TRUE)-_xlfn.NORM.DIST(BD$30,economics!$AK$2:$AK$167,economics!$AJ$2:$AJ$167,TRUE))*economics!$AM$2:$AM$167)+$CR7*(_xlfn.NORM.DIST(BD$3,$CU7,0.3*$CU7,TRUE)-_xlfn.NORM.DIST(BD$30,$CU7,0.3*$CU7,TRUE))*summary!$C$7/28.8/0.947817+$CS7*(_xlfn.NORM.DIST(BD$3,$CV7,0.3*$CV7,TRUE)-_xlfn.NORM.DIST(BD$30,$CV7,0.3*$CV7,TRUE))*summary!$C$6/28.8/0.947817)/(SUMPRODUCT((economics!$AG$2:$AG$167=$B36)*(economics!$D$2:$D$167="whr")*economics!$AH$2:$AH$167*(_xlfn.NORM.DIST(BD$3,economics!$AK$2:$AK$167,economics!$AJ$2:$AJ$167,TRUE)-_xlfn.NORM.DIST(BD$30,economics!$AK$2:$AK$167,economics!$AJ$2:$AJ$167,TRUE)))+$CR7*(_xlfn.NORM.DIST(BD$3,$CU7,0.3*$CU7,TRUE)-_xlfn.NORM.DIST(BD$30,$CU7,0.3*$CU7,TRUE))+$CS7*(_xlfn.NORM.DIST(BD$3,$CV7,0.3*$CV7,TRUE)-_xlfn.NORM.DIST(BD$30,$CV7,0.3*$CV7,TRUE))),""),IF($C7&gt;0,summary!$C$10/28.8/0.947817,""))</f>
        <v/>
      </c>
      <c r="BE36">
        <f t="array" ref="BE36">IF($D7,IFERROR((SUMPRODUCT((economics!$AG$2:$AG$167=$B36)*(economics!$D$2:$D$167="whr")*economics!$AH$2:$AH$167*(_xlfn.NORM.DIST(BE$3,economics!$AK$2:$AK$167,economics!$AJ$2:$AJ$167,TRUE)-_xlfn.NORM.DIST(BE$30,economics!$AK$2:$AK$167,economics!$AJ$2:$AJ$167,TRUE))*economics!$AM$2:$AM$167)+$CR7*(_xlfn.NORM.DIST(BE$3,$CU7,0.3*$CU7,TRUE)-_xlfn.NORM.DIST(BE$30,$CU7,0.3*$CU7,TRUE))*summary!$C$7/28.8/0.947817+$CS7*(_xlfn.NORM.DIST(BE$3,$CV7,0.3*$CV7,TRUE)-_xlfn.NORM.DIST(BE$30,$CV7,0.3*$CV7,TRUE))*summary!$C$6/28.8/0.947817)/(SUMPRODUCT((economics!$AG$2:$AG$167=$B36)*(economics!$D$2:$D$167="whr")*economics!$AH$2:$AH$167*(_xlfn.NORM.DIST(BE$3,economics!$AK$2:$AK$167,economics!$AJ$2:$AJ$167,TRUE)-_xlfn.NORM.DIST(BE$30,economics!$AK$2:$AK$167,economics!$AJ$2:$AJ$167,TRUE)))+$CR7*(_xlfn.NORM.DIST(BE$3,$CU7,0.3*$CU7,TRUE)-_xlfn.NORM.DIST(BE$30,$CU7,0.3*$CU7,TRUE))+$CS7*(_xlfn.NORM.DIST(BE$3,$CV7,0.3*$CV7,TRUE)-_xlfn.NORM.DIST(BE$30,$CV7,0.3*$CV7,TRUE))),""),IF($C7&gt;0,summary!$C$10/28.8/0.947817,""))</f>
        <v/>
      </c>
      <c r="BF36">
        <f t="array" ref="BF36">IF($D7,IFERROR((SUMPRODUCT((economics!$AG$2:$AG$167=$B36)*(economics!$D$2:$D$167="whr")*economics!$AH$2:$AH$167*(_xlfn.NORM.DIST(BF$3,economics!$AK$2:$AK$167,economics!$AJ$2:$AJ$167,TRUE)-_xlfn.NORM.DIST(BF$30,economics!$AK$2:$AK$167,economics!$AJ$2:$AJ$167,TRUE))*economics!$AM$2:$AM$167)+$CR7*(_xlfn.NORM.DIST(BF$3,$CU7,0.3*$CU7,TRUE)-_xlfn.NORM.DIST(BF$30,$CU7,0.3*$CU7,TRUE))*summary!$C$7/28.8/0.947817+$CS7*(_xlfn.NORM.DIST(BF$3,$CV7,0.3*$CV7,TRUE)-_xlfn.NORM.DIST(BF$30,$CV7,0.3*$CV7,TRUE))*summary!$C$6/28.8/0.947817)/(SUMPRODUCT((economics!$AG$2:$AG$167=$B36)*(economics!$D$2:$D$167="whr")*economics!$AH$2:$AH$167*(_xlfn.NORM.DIST(BF$3,economics!$AK$2:$AK$167,economics!$AJ$2:$AJ$167,TRUE)-_xlfn.NORM.DIST(BF$30,economics!$AK$2:$AK$167,economics!$AJ$2:$AJ$167,TRUE)))+$CR7*(_xlfn.NORM.DIST(BF$3,$CU7,0.3*$CU7,TRUE)-_xlfn.NORM.DIST(BF$30,$CU7,0.3*$CU7,TRUE))+$CS7*(_xlfn.NORM.DIST(BF$3,$CV7,0.3*$CV7,TRUE)-_xlfn.NORM.DIST(BF$30,$CV7,0.3*$CV7,TRUE))),""),IF($C7&gt;0,summary!$C$10/28.8/0.947817,""))</f>
        <v/>
      </c>
      <c r="BG36">
        <f t="array" ref="BG36">IF($D7,IFERROR((SUMPRODUCT((economics!$AG$2:$AG$167=$B36)*(economics!$D$2:$D$167="whr")*economics!$AH$2:$AH$167*(_xlfn.NORM.DIST(BG$3,economics!$AK$2:$AK$167,economics!$AJ$2:$AJ$167,TRUE)-_xlfn.NORM.DIST(BG$30,economics!$AK$2:$AK$167,economics!$AJ$2:$AJ$167,TRUE))*economics!$AM$2:$AM$167)+$CR7*(_xlfn.NORM.DIST(BG$3,$CU7,0.3*$CU7,TRUE)-_xlfn.NORM.DIST(BG$30,$CU7,0.3*$CU7,TRUE))*summary!$C$7/28.8/0.947817+$CS7*(_xlfn.NORM.DIST(BG$3,$CV7,0.3*$CV7,TRUE)-_xlfn.NORM.DIST(BG$30,$CV7,0.3*$CV7,TRUE))*summary!$C$6/28.8/0.947817)/(SUMPRODUCT((economics!$AG$2:$AG$167=$B36)*(economics!$D$2:$D$167="whr")*economics!$AH$2:$AH$167*(_xlfn.NORM.DIST(BG$3,economics!$AK$2:$AK$167,economics!$AJ$2:$AJ$167,TRUE)-_xlfn.NORM.DIST(BG$30,economics!$AK$2:$AK$167,economics!$AJ$2:$AJ$167,TRUE)))+$CR7*(_xlfn.NORM.DIST(BG$3,$CU7,0.3*$CU7,TRUE)-_xlfn.NORM.DIST(BG$30,$CU7,0.3*$CU7,TRUE))+$CS7*(_xlfn.NORM.DIST(BG$3,$CV7,0.3*$CV7,TRUE)-_xlfn.NORM.DIST(BG$30,$CV7,0.3*$CV7,TRUE))),""),IF($C7&gt;0,summary!$C$10/28.8/0.947817,""))</f>
        <v/>
      </c>
      <c r="BH36">
        <f t="array" ref="BH36">IF($D7,IFERROR((SUMPRODUCT((economics!$AG$2:$AG$167=$B36)*(economics!$D$2:$D$167="whr")*economics!$AH$2:$AH$167*(_xlfn.NORM.DIST(BH$3,economics!$AK$2:$AK$167,economics!$AJ$2:$AJ$167,TRUE)-_xlfn.NORM.DIST(BH$30,economics!$AK$2:$AK$167,economics!$AJ$2:$AJ$167,TRUE))*economics!$AM$2:$AM$167)+$CR7*(_xlfn.NORM.DIST(BH$3,$CU7,0.3*$CU7,TRUE)-_xlfn.NORM.DIST(BH$30,$CU7,0.3*$CU7,TRUE))*summary!$C$7/28.8/0.947817+$CS7*(_xlfn.NORM.DIST(BH$3,$CV7,0.3*$CV7,TRUE)-_xlfn.NORM.DIST(BH$30,$CV7,0.3*$CV7,TRUE))*summary!$C$6/28.8/0.947817)/(SUMPRODUCT((economics!$AG$2:$AG$167=$B36)*(economics!$D$2:$D$167="whr")*economics!$AH$2:$AH$167*(_xlfn.NORM.DIST(BH$3,economics!$AK$2:$AK$167,economics!$AJ$2:$AJ$167,TRUE)-_xlfn.NORM.DIST(BH$30,economics!$AK$2:$AK$167,economics!$AJ$2:$AJ$167,TRUE)))+$CR7*(_xlfn.NORM.DIST(BH$3,$CU7,0.3*$CU7,TRUE)-_xlfn.NORM.DIST(BH$30,$CU7,0.3*$CU7,TRUE))+$CS7*(_xlfn.NORM.DIST(BH$3,$CV7,0.3*$CV7,TRUE)-_xlfn.NORM.DIST(BH$30,$CV7,0.3*$CV7,TRUE))),""),IF($C7&gt;0,summary!$C$10/28.8/0.947817,""))</f>
        <v/>
      </c>
      <c r="BI36">
        <f t="array" ref="BI36">IF($D7,IFERROR((SUMPRODUCT((economics!$AG$2:$AG$167=$B36)*(economics!$D$2:$D$167="whr")*economics!$AH$2:$AH$167*(_xlfn.NORM.DIST(BI$3,economics!$AK$2:$AK$167,economics!$AJ$2:$AJ$167,TRUE)-_xlfn.NORM.DIST(BI$30,economics!$AK$2:$AK$167,economics!$AJ$2:$AJ$167,TRUE))*economics!$AM$2:$AM$167)+$CR7*(_xlfn.NORM.DIST(BI$3,$CU7,0.3*$CU7,TRUE)-_xlfn.NORM.DIST(BI$30,$CU7,0.3*$CU7,TRUE))*summary!$C$7/28.8/0.947817+$CS7*(_xlfn.NORM.DIST(BI$3,$CV7,0.3*$CV7,TRUE)-_xlfn.NORM.DIST(BI$30,$CV7,0.3*$CV7,TRUE))*summary!$C$6/28.8/0.947817)/(SUMPRODUCT((economics!$AG$2:$AG$167=$B36)*(economics!$D$2:$D$167="whr")*economics!$AH$2:$AH$167*(_xlfn.NORM.DIST(BI$3,economics!$AK$2:$AK$167,economics!$AJ$2:$AJ$167,TRUE)-_xlfn.NORM.DIST(BI$30,economics!$AK$2:$AK$167,economics!$AJ$2:$AJ$167,TRUE)))+$CR7*(_xlfn.NORM.DIST(BI$3,$CU7,0.3*$CU7,TRUE)-_xlfn.NORM.DIST(BI$30,$CU7,0.3*$CU7,TRUE))+$CS7*(_xlfn.NORM.DIST(BI$3,$CV7,0.3*$CV7,TRUE)-_xlfn.NORM.DIST(BI$30,$CV7,0.3*$CV7,TRUE))),""),IF($C7&gt;0,summary!$C$10/28.8/0.947817,""))</f>
        <v/>
      </c>
      <c r="BJ36">
        <f t="array" ref="BJ36">IF($D7,IFERROR((SUMPRODUCT((economics!$AG$2:$AG$167=$B36)*(economics!$D$2:$D$167="whr")*economics!$AH$2:$AH$167*(_xlfn.NORM.DIST(BJ$3,economics!$AK$2:$AK$167,economics!$AJ$2:$AJ$167,TRUE)-_xlfn.NORM.DIST(BJ$30,economics!$AK$2:$AK$167,economics!$AJ$2:$AJ$167,TRUE))*economics!$AM$2:$AM$167)+$CR7*(_xlfn.NORM.DIST(BJ$3,$CU7,0.3*$CU7,TRUE)-_xlfn.NORM.DIST(BJ$30,$CU7,0.3*$CU7,TRUE))*summary!$C$7/28.8/0.947817+$CS7*(_xlfn.NORM.DIST(BJ$3,$CV7,0.3*$CV7,TRUE)-_xlfn.NORM.DIST(BJ$30,$CV7,0.3*$CV7,TRUE))*summary!$C$6/28.8/0.947817)/(SUMPRODUCT((economics!$AG$2:$AG$167=$B36)*(economics!$D$2:$D$167="whr")*economics!$AH$2:$AH$167*(_xlfn.NORM.DIST(BJ$3,economics!$AK$2:$AK$167,economics!$AJ$2:$AJ$167,TRUE)-_xlfn.NORM.DIST(BJ$30,economics!$AK$2:$AK$167,economics!$AJ$2:$AJ$167,TRUE)))+$CR7*(_xlfn.NORM.DIST(BJ$3,$CU7,0.3*$CU7,TRUE)-_xlfn.NORM.DIST(BJ$30,$CU7,0.3*$CU7,TRUE))+$CS7*(_xlfn.NORM.DIST(BJ$3,$CV7,0.3*$CV7,TRUE)-_xlfn.NORM.DIST(BJ$30,$CV7,0.3*$CV7,TRUE))),""),IF($C7&gt;0,summary!$C$10/28.8/0.947817,""))</f>
        <v/>
      </c>
      <c r="BK36">
        <f t="array" ref="BK36">IF($D7,IFERROR((SUMPRODUCT((economics!$AG$2:$AG$167=$B36)*(economics!$D$2:$D$167="whr")*economics!$AH$2:$AH$167*(_xlfn.NORM.DIST(BK$3,economics!$AK$2:$AK$167,economics!$AJ$2:$AJ$167,TRUE)-_xlfn.NORM.DIST(BK$30,economics!$AK$2:$AK$167,economics!$AJ$2:$AJ$167,TRUE))*economics!$AM$2:$AM$167)+$CR7*(_xlfn.NORM.DIST(BK$3,$CU7,0.3*$CU7,TRUE)-_xlfn.NORM.DIST(BK$30,$CU7,0.3*$CU7,TRUE))*summary!$C$7/28.8/0.947817+$CS7*(_xlfn.NORM.DIST(BK$3,$CV7,0.3*$CV7,TRUE)-_xlfn.NORM.DIST(BK$30,$CV7,0.3*$CV7,TRUE))*summary!$C$6/28.8/0.947817)/(SUMPRODUCT((economics!$AG$2:$AG$167=$B36)*(economics!$D$2:$D$167="whr")*economics!$AH$2:$AH$167*(_xlfn.NORM.DIST(BK$3,economics!$AK$2:$AK$167,economics!$AJ$2:$AJ$167,TRUE)-_xlfn.NORM.DIST(BK$30,economics!$AK$2:$AK$167,economics!$AJ$2:$AJ$167,TRUE)))+$CR7*(_xlfn.NORM.DIST(BK$3,$CU7,0.3*$CU7,TRUE)-_xlfn.NORM.DIST(BK$30,$CU7,0.3*$CU7,TRUE))+$CS7*(_xlfn.NORM.DIST(BK$3,$CV7,0.3*$CV7,TRUE)-_xlfn.NORM.DIST(BK$30,$CV7,0.3*$CV7,TRUE))),""),IF($C7&gt;0,summary!$C$10/28.8/0.947817,""))</f>
        <v/>
      </c>
      <c r="BL36">
        <f t="array" ref="BL36">IF($D7,IFERROR((SUMPRODUCT((economics!$AG$2:$AG$167=$B36)*(economics!$D$2:$D$167="whr")*economics!$AH$2:$AH$167*(_xlfn.NORM.DIST(BL$3,economics!$AK$2:$AK$167,economics!$AJ$2:$AJ$167,TRUE)-_xlfn.NORM.DIST(BL$30,economics!$AK$2:$AK$167,economics!$AJ$2:$AJ$167,TRUE))*economics!$AM$2:$AM$167)+$CR7*(_xlfn.NORM.DIST(BL$3,$CU7,0.3*$CU7,TRUE)-_xlfn.NORM.DIST(BL$30,$CU7,0.3*$CU7,TRUE))*summary!$C$7/28.8/0.947817+$CS7*(_xlfn.NORM.DIST(BL$3,$CV7,0.3*$CV7,TRUE)-_xlfn.NORM.DIST(BL$30,$CV7,0.3*$CV7,TRUE))*summary!$C$6/28.8/0.947817)/(SUMPRODUCT((economics!$AG$2:$AG$167=$B36)*(economics!$D$2:$D$167="whr")*economics!$AH$2:$AH$167*(_xlfn.NORM.DIST(BL$3,economics!$AK$2:$AK$167,economics!$AJ$2:$AJ$167,TRUE)-_xlfn.NORM.DIST(BL$30,economics!$AK$2:$AK$167,economics!$AJ$2:$AJ$167,TRUE)))+$CR7*(_xlfn.NORM.DIST(BL$3,$CU7,0.3*$CU7,TRUE)-_xlfn.NORM.DIST(BL$30,$CU7,0.3*$CU7,TRUE))+$CS7*(_xlfn.NORM.DIST(BL$3,$CV7,0.3*$CV7,TRUE)-_xlfn.NORM.DIST(BL$30,$CV7,0.3*$CV7,TRUE))),""),IF($C7&gt;0,summary!$C$10/28.8/0.947817,""))</f>
        <v/>
      </c>
      <c r="BM36">
        <f t="array" ref="BM36">IF($D7,IFERROR((SUMPRODUCT((economics!$AG$2:$AG$167=$B36)*(economics!$D$2:$D$167="whr")*economics!$AH$2:$AH$167*(_xlfn.NORM.DIST(BM$3,economics!$AK$2:$AK$167,economics!$AJ$2:$AJ$167,TRUE)-_xlfn.NORM.DIST(BM$30,economics!$AK$2:$AK$167,economics!$AJ$2:$AJ$167,TRUE))*economics!$AM$2:$AM$167)+$CR7*(_xlfn.NORM.DIST(BM$3,$CU7,0.3*$CU7,TRUE)-_xlfn.NORM.DIST(BM$30,$CU7,0.3*$CU7,TRUE))*summary!$C$7/28.8/0.947817+$CS7*(_xlfn.NORM.DIST(BM$3,$CV7,0.3*$CV7,TRUE)-_xlfn.NORM.DIST(BM$30,$CV7,0.3*$CV7,TRUE))*summary!$C$6/28.8/0.947817)/(SUMPRODUCT((economics!$AG$2:$AG$167=$B36)*(economics!$D$2:$D$167="whr")*economics!$AH$2:$AH$167*(_xlfn.NORM.DIST(BM$3,economics!$AK$2:$AK$167,economics!$AJ$2:$AJ$167,TRUE)-_xlfn.NORM.DIST(BM$30,economics!$AK$2:$AK$167,economics!$AJ$2:$AJ$167,TRUE)))+$CR7*(_xlfn.NORM.DIST(BM$3,$CU7,0.3*$CU7,TRUE)-_xlfn.NORM.DIST(BM$30,$CU7,0.3*$CU7,TRUE))+$CS7*(_xlfn.NORM.DIST(BM$3,$CV7,0.3*$CV7,TRUE)-_xlfn.NORM.DIST(BM$30,$CV7,0.3*$CV7,TRUE))),""),IF($C7&gt;0,summary!$C$10/28.8/0.947817,""))</f>
        <v/>
      </c>
      <c r="BN36">
        <f t="array" ref="BN36">IF($D7,IFERROR((SUMPRODUCT((economics!$AG$2:$AG$167=$B36)*(economics!$D$2:$D$167="whr")*economics!$AH$2:$AH$167*(_xlfn.NORM.DIST(BN$3,economics!$AK$2:$AK$167,economics!$AJ$2:$AJ$167,TRUE)-_xlfn.NORM.DIST(BN$30,economics!$AK$2:$AK$167,economics!$AJ$2:$AJ$167,TRUE))*economics!$AM$2:$AM$167)+$CR7*(_xlfn.NORM.DIST(BN$3,$CU7,0.3*$CU7,TRUE)-_xlfn.NORM.DIST(BN$30,$CU7,0.3*$CU7,TRUE))*summary!$C$7/28.8/0.947817+$CS7*(_xlfn.NORM.DIST(BN$3,$CV7,0.3*$CV7,TRUE)-_xlfn.NORM.DIST(BN$30,$CV7,0.3*$CV7,TRUE))*summary!$C$6/28.8/0.947817)/(SUMPRODUCT((economics!$AG$2:$AG$167=$B36)*(economics!$D$2:$D$167="whr")*economics!$AH$2:$AH$167*(_xlfn.NORM.DIST(BN$3,economics!$AK$2:$AK$167,economics!$AJ$2:$AJ$167,TRUE)-_xlfn.NORM.DIST(BN$30,economics!$AK$2:$AK$167,economics!$AJ$2:$AJ$167,TRUE)))+$CR7*(_xlfn.NORM.DIST(BN$3,$CU7,0.3*$CU7,TRUE)-_xlfn.NORM.DIST(BN$30,$CU7,0.3*$CU7,TRUE))+$CS7*(_xlfn.NORM.DIST(BN$3,$CV7,0.3*$CV7,TRUE)-_xlfn.NORM.DIST(BN$30,$CV7,0.3*$CV7,TRUE))),""),IF($C7&gt;0,summary!$C$10/28.8/0.947817,""))</f>
        <v/>
      </c>
      <c r="BO36">
        <f t="array" ref="BO36">IF($D7,IFERROR((SUMPRODUCT((economics!$AG$2:$AG$167=$B36)*(economics!$D$2:$D$167="whr")*economics!$AH$2:$AH$167*(_xlfn.NORM.DIST(BO$3,economics!$AK$2:$AK$167,economics!$AJ$2:$AJ$167,TRUE)-_xlfn.NORM.DIST(BO$30,economics!$AK$2:$AK$167,economics!$AJ$2:$AJ$167,TRUE))*economics!$AM$2:$AM$167)+$CR7*(_xlfn.NORM.DIST(BO$3,$CU7,0.3*$CU7,TRUE)-_xlfn.NORM.DIST(BO$30,$CU7,0.3*$CU7,TRUE))*summary!$C$7/28.8/0.947817+$CS7*(_xlfn.NORM.DIST(BO$3,$CV7,0.3*$CV7,TRUE)-_xlfn.NORM.DIST(BO$30,$CV7,0.3*$CV7,TRUE))*summary!$C$6/28.8/0.947817)/(SUMPRODUCT((economics!$AG$2:$AG$167=$B36)*(economics!$D$2:$D$167="whr")*economics!$AH$2:$AH$167*(_xlfn.NORM.DIST(BO$3,economics!$AK$2:$AK$167,economics!$AJ$2:$AJ$167,TRUE)-_xlfn.NORM.DIST(BO$30,economics!$AK$2:$AK$167,economics!$AJ$2:$AJ$167,TRUE)))+$CR7*(_xlfn.NORM.DIST(BO$3,$CU7,0.3*$CU7,TRUE)-_xlfn.NORM.DIST(BO$30,$CU7,0.3*$CU7,TRUE))+$CS7*(_xlfn.NORM.DIST(BO$3,$CV7,0.3*$CV7,TRUE)-_xlfn.NORM.DIST(BO$30,$CV7,0.3*$CV7,TRUE))),""),IF($C7&gt;0,summary!$C$10/28.8/0.947817,""))</f>
        <v/>
      </c>
      <c r="BP36">
        <f t="array" ref="BP36">IF($D7,IFERROR((SUMPRODUCT((economics!$AG$2:$AG$167=$B36)*(economics!$D$2:$D$167="whr")*economics!$AH$2:$AH$167*(_xlfn.NORM.DIST(BP$3,economics!$AK$2:$AK$167,economics!$AJ$2:$AJ$167,TRUE)-_xlfn.NORM.DIST(BP$30,economics!$AK$2:$AK$167,economics!$AJ$2:$AJ$167,TRUE))*economics!$AM$2:$AM$167)+$CR7*(_xlfn.NORM.DIST(BP$3,$CU7,0.3*$CU7,TRUE)-_xlfn.NORM.DIST(BP$30,$CU7,0.3*$CU7,TRUE))*summary!$C$7/28.8/0.947817+$CS7*(_xlfn.NORM.DIST(BP$3,$CV7,0.3*$CV7,TRUE)-_xlfn.NORM.DIST(BP$30,$CV7,0.3*$CV7,TRUE))*summary!$C$6/28.8/0.947817)/(SUMPRODUCT((economics!$AG$2:$AG$167=$B36)*(economics!$D$2:$D$167="whr")*economics!$AH$2:$AH$167*(_xlfn.NORM.DIST(BP$3,economics!$AK$2:$AK$167,economics!$AJ$2:$AJ$167,TRUE)-_xlfn.NORM.DIST(BP$30,economics!$AK$2:$AK$167,economics!$AJ$2:$AJ$167,TRUE)))+$CR7*(_xlfn.NORM.DIST(BP$3,$CU7,0.3*$CU7,TRUE)-_xlfn.NORM.DIST(BP$30,$CU7,0.3*$CU7,TRUE))+$CS7*(_xlfn.NORM.DIST(BP$3,$CV7,0.3*$CV7,TRUE)-_xlfn.NORM.DIST(BP$30,$CV7,0.3*$CV7,TRUE))),""),IF($C7&gt;0,summary!$C$10/28.8/0.947817,""))</f>
        <v/>
      </c>
      <c r="BQ36">
        <f t="array" ref="BQ36">IF($D7,IFERROR((SUMPRODUCT((economics!$AG$2:$AG$167=$B36)*(economics!$D$2:$D$167="whr")*economics!$AH$2:$AH$167*(_xlfn.NORM.DIST(BQ$3,economics!$AK$2:$AK$167,economics!$AJ$2:$AJ$167,TRUE)-_xlfn.NORM.DIST(BQ$30,economics!$AK$2:$AK$167,economics!$AJ$2:$AJ$167,TRUE))*economics!$AM$2:$AM$167)+$CR7*(_xlfn.NORM.DIST(BQ$3,$CU7,0.3*$CU7,TRUE)-_xlfn.NORM.DIST(BQ$30,$CU7,0.3*$CU7,TRUE))*summary!$C$7/28.8/0.947817+$CS7*(_xlfn.NORM.DIST(BQ$3,$CV7,0.3*$CV7,TRUE)-_xlfn.NORM.DIST(BQ$30,$CV7,0.3*$CV7,TRUE))*summary!$C$6/28.8/0.947817)/(SUMPRODUCT((economics!$AG$2:$AG$167=$B36)*(economics!$D$2:$D$167="whr")*economics!$AH$2:$AH$167*(_xlfn.NORM.DIST(BQ$3,economics!$AK$2:$AK$167,economics!$AJ$2:$AJ$167,TRUE)-_xlfn.NORM.DIST(BQ$30,economics!$AK$2:$AK$167,economics!$AJ$2:$AJ$167,TRUE)))+$CR7*(_xlfn.NORM.DIST(BQ$3,$CU7,0.3*$CU7,TRUE)-_xlfn.NORM.DIST(BQ$30,$CU7,0.3*$CU7,TRUE))+$CS7*(_xlfn.NORM.DIST(BQ$3,$CV7,0.3*$CV7,TRUE)-_xlfn.NORM.DIST(BQ$30,$CV7,0.3*$CV7,TRUE))),""),IF($C7&gt;0,summary!$C$10/28.8/0.947817,""))</f>
        <v/>
      </c>
      <c r="BR36">
        <f t="array" ref="BR36">IF($D7,IFERROR((SUMPRODUCT((economics!$AG$2:$AG$167=$B36)*(economics!$D$2:$D$167="whr")*economics!$AH$2:$AH$167*(_xlfn.NORM.DIST(BR$3,economics!$AK$2:$AK$167,economics!$AJ$2:$AJ$167,TRUE)-_xlfn.NORM.DIST(BR$30,economics!$AK$2:$AK$167,economics!$AJ$2:$AJ$167,TRUE))*economics!$AM$2:$AM$167)+$CR7*(_xlfn.NORM.DIST(BR$3,$CU7,0.3*$CU7,TRUE)-_xlfn.NORM.DIST(BR$30,$CU7,0.3*$CU7,TRUE))*summary!$C$7/28.8/0.947817+$CS7*(_xlfn.NORM.DIST(BR$3,$CV7,0.3*$CV7,TRUE)-_xlfn.NORM.DIST(BR$30,$CV7,0.3*$CV7,TRUE))*summary!$C$6/28.8/0.947817)/(SUMPRODUCT((economics!$AG$2:$AG$167=$B36)*(economics!$D$2:$D$167="whr")*economics!$AH$2:$AH$167*(_xlfn.NORM.DIST(BR$3,economics!$AK$2:$AK$167,economics!$AJ$2:$AJ$167,TRUE)-_xlfn.NORM.DIST(BR$30,economics!$AK$2:$AK$167,economics!$AJ$2:$AJ$167,TRUE)))+$CR7*(_xlfn.NORM.DIST(BR$3,$CU7,0.3*$CU7,TRUE)-_xlfn.NORM.DIST(BR$30,$CU7,0.3*$CU7,TRUE))+$CS7*(_xlfn.NORM.DIST(BR$3,$CV7,0.3*$CV7,TRUE)-_xlfn.NORM.DIST(BR$30,$CV7,0.3*$CV7,TRUE))),""),IF($C7&gt;0,summary!$C$10/28.8/0.947817,""))</f>
        <v/>
      </c>
      <c r="BS36">
        <f t="array" ref="BS36">IF($D7,IFERROR((SUMPRODUCT((economics!$AG$2:$AG$167=$B36)*(economics!$D$2:$D$167="whr")*economics!$AH$2:$AH$167*(_xlfn.NORM.DIST(BS$3,economics!$AK$2:$AK$167,economics!$AJ$2:$AJ$167,TRUE)-_xlfn.NORM.DIST(BS$30,economics!$AK$2:$AK$167,economics!$AJ$2:$AJ$167,TRUE))*economics!$AM$2:$AM$167)+$CR7*(_xlfn.NORM.DIST(BS$3,$CU7,0.3*$CU7,TRUE)-_xlfn.NORM.DIST(BS$30,$CU7,0.3*$CU7,TRUE))*summary!$C$7/28.8/0.947817+$CS7*(_xlfn.NORM.DIST(BS$3,$CV7,0.3*$CV7,TRUE)-_xlfn.NORM.DIST(BS$30,$CV7,0.3*$CV7,TRUE))*summary!$C$6/28.8/0.947817)/(SUMPRODUCT((economics!$AG$2:$AG$167=$B36)*(economics!$D$2:$D$167="whr")*economics!$AH$2:$AH$167*(_xlfn.NORM.DIST(BS$3,economics!$AK$2:$AK$167,economics!$AJ$2:$AJ$167,TRUE)-_xlfn.NORM.DIST(BS$30,economics!$AK$2:$AK$167,economics!$AJ$2:$AJ$167,TRUE)))+$CR7*(_xlfn.NORM.DIST(BS$3,$CU7,0.3*$CU7,TRUE)-_xlfn.NORM.DIST(BS$30,$CU7,0.3*$CU7,TRUE))+$CS7*(_xlfn.NORM.DIST(BS$3,$CV7,0.3*$CV7,TRUE)-_xlfn.NORM.DIST(BS$30,$CV7,0.3*$CV7,TRUE))),""),IF($C7&gt;0,summary!$C$10/28.8/0.947817,""))</f>
        <v/>
      </c>
      <c r="BT36">
        <f t="array" ref="BT36">IF($D7,IFERROR((SUMPRODUCT((economics!$AG$2:$AG$167=$B36)*(economics!$D$2:$D$167="whr")*economics!$AH$2:$AH$167*(_xlfn.NORM.DIST(BT$3,economics!$AK$2:$AK$167,economics!$AJ$2:$AJ$167,TRUE)-_xlfn.NORM.DIST(BT$30,economics!$AK$2:$AK$167,economics!$AJ$2:$AJ$167,TRUE))*economics!$AM$2:$AM$167)+$CR7*(_xlfn.NORM.DIST(BT$3,$CU7,0.3*$CU7,TRUE)-_xlfn.NORM.DIST(BT$30,$CU7,0.3*$CU7,TRUE))*summary!$C$7/28.8/0.947817+$CS7*(_xlfn.NORM.DIST(BT$3,$CV7,0.3*$CV7,TRUE)-_xlfn.NORM.DIST(BT$30,$CV7,0.3*$CV7,TRUE))*summary!$C$6/28.8/0.947817)/(SUMPRODUCT((economics!$AG$2:$AG$167=$B36)*(economics!$D$2:$D$167="whr")*economics!$AH$2:$AH$167*(_xlfn.NORM.DIST(BT$3,economics!$AK$2:$AK$167,economics!$AJ$2:$AJ$167,TRUE)-_xlfn.NORM.DIST(BT$30,economics!$AK$2:$AK$167,economics!$AJ$2:$AJ$167,TRUE)))+$CR7*(_xlfn.NORM.DIST(BT$3,$CU7,0.3*$CU7,TRUE)-_xlfn.NORM.DIST(BT$30,$CU7,0.3*$CU7,TRUE))+$CS7*(_xlfn.NORM.DIST(BT$3,$CV7,0.3*$CV7,TRUE)-_xlfn.NORM.DIST(BT$30,$CV7,0.3*$CV7,TRUE))),""),IF($C7&gt;0,summary!$C$10/28.8/0.947817,""))</f>
        <v/>
      </c>
      <c r="BU36">
        <f t="array" ref="BU36">IF($D7,IFERROR((SUMPRODUCT((economics!$AG$2:$AG$167=$B36)*(economics!$D$2:$D$167="whr")*economics!$AH$2:$AH$167*(_xlfn.NORM.DIST(BU$3,economics!$AK$2:$AK$167,economics!$AJ$2:$AJ$167,TRUE)-_xlfn.NORM.DIST(BU$30,economics!$AK$2:$AK$167,economics!$AJ$2:$AJ$167,TRUE))*economics!$AM$2:$AM$167)+$CR7*(_xlfn.NORM.DIST(BU$3,$CU7,0.3*$CU7,TRUE)-_xlfn.NORM.DIST(BU$30,$CU7,0.3*$CU7,TRUE))*summary!$C$7/28.8/0.947817+$CS7*(_xlfn.NORM.DIST(BU$3,$CV7,0.3*$CV7,TRUE)-_xlfn.NORM.DIST(BU$30,$CV7,0.3*$CV7,TRUE))*summary!$C$6/28.8/0.947817)/(SUMPRODUCT((economics!$AG$2:$AG$167=$B36)*(economics!$D$2:$D$167="whr")*economics!$AH$2:$AH$167*(_xlfn.NORM.DIST(BU$3,economics!$AK$2:$AK$167,economics!$AJ$2:$AJ$167,TRUE)-_xlfn.NORM.DIST(BU$30,economics!$AK$2:$AK$167,economics!$AJ$2:$AJ$167,TRUE)))+$CR7*(_xlfn.NORM.DIST(BU$3,$CU7,0.3*$CU7,TRUE)-_xlfn.NORM.DIST(BU$30,$CU7,0.3*$CU7,TRUE))+$CS7*(_xlfn.NORM.DIST(BU$3,$CV7,0.3*$CV7,TRUE)-_xlfn.NORM.DIST(BU$30,$CV7,0.3*$CV7,TRUE))),""),IF($C7&gt;0,summary!$C$10/28.8/0.947817,""))</f>
        <v/>
      </c>
      <c r="BV36">
        <f t="array" ref="BV36">IF($D7,IFERROR((SUMPRODUCT((economics!$AG$2:$AG$167=$B36)*(economics!$D$2:$D$167="whr")*economics!$AH$2:$AH$167*(_xlfn.NORM.DIST(BV$3,economics!$AK$2:$AK$167,economics!$AJ$2:$AJ$167,TRUE)-_xlfn.NORM.DIST(BV$30,economics!$AK$2:$AK$167,economics!$AJ$2:$AJ$167,TRUE))*economics!$AM$2:$AM$167)+$CR7*(_xlfn.NORM.DIST(BV$3,$CU7,0.3*$CU7,TRUE)-_xlfn.NORM.DIST(BV$30,$CU7,0.3*$CU7,TRUE))*summary!$C$7/28.8/0.947817+$CS7*(_xlfn.NORM.DIST(BV$3,$CV7,0.3*$CV7,TRUE)-_xlfn.NORM.DIST(BV$30,$CV7,0.3*$CV7,TRUE))*summary!$C$6/28.8/0.947817)/(SUMPRODUCT((economics!$AG$2:$AG$167=$B36)*(economics!$D$2:$D$167="whr")*economics!$AH$2:$AH$167*(_xlfn.NORM.DIST(BV$3,economics!$AK$2:$AK$167,economics!$AJ$2:$AJ$167,TRUE)-_xlfn.NORM.DIST(BV$30,economics!$AK$2:$AK$167,economics!$AJ$2:$AJ$167,TRUE)))+$CR7*(_xlfn.NORM.DIST(BV$3,$CU7,0.3*$CU7,TRUE)-_xlfn.NORM.DIST(BV$30,$CU7,0.3*$CU7,TRUE))+$CS7*(_xlfn.NORM.DIST(BV$3,$CV7,0.3*$CV7,TRUE)-_xlfn.NORM.DIST(BV$30,$CV7,0.3*$CV7,TRUE))),""),IF($C7&gt;0,summary!$C$10/28.8/0.947817,""))</f>
        <v/>
      </c>
      <c r="BW36">
        <f t="array" ref="BW36">IF($D7,IFERROR((SUMPRODUCT((economics!$AG$2:$AG$167=$B36)*(economics!$D$2:$D$167="whr")*economics!$AH$2:$AH$167*(_xlfn.NORM.DIST(BW$3,economics!$AK$2:$AK$167,economics!$AJ$2:$AJ$167,TRUE)-_xlfn.NORM.DIST(BW$30,economics!$AK$2:$AK$167,economics!$AJ$2:$AJ$167,TRUE))*economics!$AM$2:$AM$167)+$CR7*(_xlfn.NORM.DIST(BW$3,$CU7,0.3*$CU7,TRUE)-_xlfn.NORM.DIST(BW$30,$CU7,0.3*$CU7,TRUE))*summary!$C$7/28.8/0.947817+$CS7*(_xlfn.NORM.DIST(BW$3,$CV7,0.3*$CV7,TRUE)-_xlfn.NORM.DIST(BW$30,$CV7,0.3*$CV7,TRUE))*summary!$C$6/28.8/0.947817)/(SUMPRODUCT((economics!$AG$2:$AG$167=$B36)*(economics!$D$2:$D$167="whr")*economics!$AH$2:$AH$167*(_xlfn.NORM.DIST(BW$3,economics!$AK$2:$AK$167,economics!$AJ$2:$AJ$167,TRUE)-_xlfn.NORM.DIST(BW$30,economics!$AK$2:$AK$167,economics!$AJ$2:$AJ$167,TRUE)))+$CR7*(_xlfn.NORM.DIST(BW$3,$CU7,0.3*$CU7,TRUE)-_xlfn.NORM.DIST(BW$30,$CU7,0.3*$CU7,TRUE))+$CS7*(_xlfn.NORM.DIST(BW$3,$CV7,0.3*$CV7,TRUE)-_xlfn.NORM.DIST(BW$30,$CV7,0.3*$CV7,TRUE))),""),IF($C7&gt;0,summary!$C$10/28.8/0.947817,""))</f>
        <v/>
      </c>
      <c r="BX36">
        <f t="array" ref="BX36">IF($D7,IFERROR((SUMPRODUCT((economics!$AG$2:$AG$167=$B36)*(economics!$D$2:$D$167="whr")*economics!$AH$2:$AH$167*(_xlfn.NORM.DIST(BX$3,economics!$AK$2:$AK$167,economics!$AJ$2:$AJ$167,TRUE)-_xlfn.NORM.DIST(BX$30,economics!$AK$2:$AK$167,economics!$AJ$2:$AJ$167,TRUE))*economics!$AM$2:$AM$167)+$CR7*(_xlfn.NORM.DIST(BX$3,$CU7,0.3*$CU7,TRUE)-_xlfn.NORM.DIST(BX$30,$CU7,0.3*$CU7,TRUE))*summary!$C$7/28.8/0.947817+$CS7*(_xlfn.NORM.DIST(BX$3,$CV7,0.3*$CV7,TRUE)-_xlfn.NORM.DIST(BX$30,$CV7,0.3*$CV7,TRUE))*summary!$C$6/28.8/0.947817)/(SUMPRODUCT((economics!$AG$2:$AG$167=$B36)*(economics!$D$2:$D$167="whr")*economics!$AH$2:$AH$167*(_xlfn.NORM.DIST(BX$3,economics!$AK$2:$AK$167,economics!$AJ$2:$AJ$167,TRUE)-_xlfn.NORM.DIST(BX$30,economics!$AK$2:$AK$167,economics!$AJ$2:$AJ$167,TRUE)))+$CR7*(_xlfn.NORM.DIST(BX$3,$CU7,0.3*$CU7,TRUE)-_xlfn.NORM.DIST(BX$30,$CU7,0.3*$CU7,TRUE))+$CS7*(_xlfn.NORM.DIST(BX$3,$CV7,0.3*$CV7,TRUE)-_xlfn.NORM.DIST(BX$30,$CV7,0.3*$CV7,TRUE))),""),IF($C7&gt;0,summary!$C$10/28.8/0.947817,""))</f>
        <v/>
      </c>
      <c r="BY36">
        <f t="array" ref="BY36">IF($D7,IFERROR((SUMPRODUCT((economics!$AG$2:$AG$167=$B36)*(economics!$D$2:$D$167="whr")*economics!$AH$2:$AH$167*(_xlfn.NORM.DIST(BY$3,economics!$AK$2:$AK$167,economics!$AJ$2:$AJ$167,TRUE)-_xlfn.NORM.DIST(BY$30,economics!$AK$2:$AK$167,economics!$AJ$2:$AJ$167,TRUE))*economics!$AM$2:$AM$167)+$CR7*(_xlfn.NORM.DIST(BY$3,$CU7,0.3*$CU7,TRUE)-_xlfn.NORM.DIST(BY$30,$CU7,0.3*$CU7,TRUE))*summary!$C$7/28.8/0.947817+$CS7*(_xlfn.NORM.DIST(BY$3,$CV7,0.3*$CV7,TRUE)-_xlfn.NORM.DIST(BY$30,$CV7,0.3*$CV7,TRUE))*summary!$C$6/28.8/0.947817)/(SUMPRODUCT((economics!$AG$2:$AG$167=$B36)*(economics!$D$2:$D$167="whr")*economics!$AH$2:$AH$167*(_xlfn.NORM.DIST(BY$3,economics!$AK$2:$AK$167,economics!$AJ$2:$AJ$167,TRUE)-_xlfn.NORM.DIST(BY$30,economics!$AK$2:$AK$167,economics!$AJ$2:$AJ$167,TRUE)))+$CR7*(_xlfn.NORM.DIST(BY$3,$CU7,0.3*$CU7,TRUE)-_xlfn.NORM.DIST(BY$30,$CU7,0.3*$CU7,TRUE))+$CS7*(_xlfn.NORM.DIST(BY$3,$CV7,0.3*$CV7,TRUE)-_xlfn.NORM.DIST(BY$30,$CV7,0.3*$CV7,TRUE))),""),IF($C7&gt;0,summary!$C$10/28.8/0.947817,""))</f>
        <v/>
      </c>
      <c r="BZ36">
        <f t="array" ref="BZ36">IF($D7,IFERROR((SUMPRODUCT((economics!$AG$2:$AG$167=$B36)*(economics!$D$2:$D$167="whr")*economics!$AH$2:$AH$167*(_xlfn.NORM.DIST(BZ$3,economics!$AK$2:$AK$167,economics!$AJ$2:$AJ$167,TRUE)-_xlfn.NORM.DIST(BZ$30,economics!$AK$2:$AK$167,economics!$AJ$2:$AJ$167,TRUE))*economics!$AM$2:$AM$167)+$CR7*(_xlfn.NORM.DIST(BZ$3,$CU7,0.3*$CU7,TRUE)-_xlfn.NORM.DIST(BZ$30,$CU7,0.3*$CU7,TRUE))*summary!$C$7/28.8/0.947817+$CS7*(_xlfn.NORM.DIST(BZ$3,$CV7,0.3*$CV7,TRUE)-_xlfn.NORM.DIST(BZ$30,$CV7,0.3*$CV7,TRUE))*summary!$C$6/28.8/0.947817)/(SUMPRODUCT((economics!$AG$2:$AG$167=$B36)*(economics!$D$2:$D$167="whr")*economics!$AH$2:$AH$167*(_xlfn.NORM.DIST(BZ$3,economics!$AK$2:$AK$167,economics!$AJ$2:$AJ$167,TRUE)-_xlfn.NORM.DIST(BZ$30,economics!$AK$2:$AK$167,economics!$AJ$2:$AJ$167,TRUE)))+$CR7*(_xlfn.NORM.DIST(BZ$3,$CU7,0.3*$CU7,TRUE)-_xlfn.NORM.DIST(BZ$30,$CU7,0.3*$CU7,TRUE))+$CS7*(_xlfn.NORM.DIST(BZ$3,$CV7,0.3*$CV7,TRUE)-_xlfn.NORM.DIST(BZ$30,$CV7,0.3*$CV7,TRUE))),""),IF($C7&gt;0,summary!$C$10/28.8/0.947817,""))</f>
        <v/>
      </c>
      <c r="CA36">
        <f t="array" ref="CA36">IF($D7,IFERROR((SUMPRODUCT((economics!$AG$2:$AG$167=$B36)*(economics!$D$2:$D$167="whr")*economics!$AH$2:$AH$167*(_xlfn.NORM.DIST(CA$3,economics!$AK$2:$AK$167,economics!$AJ$2:$AJ$167,TRUE)-_xlfn.NORM.DIST(CA$30,economics!$AK$2:$AK$167,economics!$AJ$2:$AJ$167,TRUE))*economics!$AM$2:$AM$167)+$CR7*(_xlfn.NORM.DIST(CA$3,$CU7,0.3*$CU7,TRUE)-_xlfn.NORM.DIST(CA$30,$CU7,0.3*$CU7,TRUE))*summary!$C$7/28.8/0.947817+$CS7*(_xlfn.NORM.DIST(CA$3,$CV7,0.3*$CV7,TRUE)-_xlfn.NORM.DIST(CA$30,$CV7,0.3*$CV7,TRUE))*summary!$C$6/28.8/0.947817)/(SUMPRODUCT((economics!$AG$2:$AG$167=$B36)*(economics!$D$2:$D$167="whr")*economics!$AH$2:$AH$167*(_xlfn.NORM.DIST(CA$3,economics!$AK$2:$AK$167,economics!$AJ$2:$AJ$167,TRUE)-_xlfn.NORM.DIST(CA$30,economics!$AK$2:$AK$167,economics!$AJ$2:$AJ$167,TRUE)))+$CR7*(_xlfn.NORM.DIST(CA$3,$CU7,0.3*$CU7,TRUE)-_xlfn.NORM.DIST(CA$30,$CU7,0.3*$CU7,TRUE))+$CS7*(_xlfn.NORM.DIST(CA$3,$CV7,0.3*$CV7,TRUE)-_xlfn.NORM.DIST(CA$30,$CV7,0.3*$CV7,TRUE))),""),IF($C7&gt;0,summary!$C$10/28.8/0.947817,""))</f>
        <v/>
      </c>
      <c r="CB36">
        <f t="array" ref="CB36">IF($D7,IFERROR((SUMPRODUCT((economics!$AG$2:$AG$167=$B36)*(economics!$D$2:$D$167="whr")*economics!$AH$2:$AH$167*(_xlfn.NORM.DIST(CB$3,economics!$AK$2:$AK$167,economics!$AJ$2:$AJ$167,TRUE)-_xlfn.NORM.DIST(CB$30,economics!$AK$2:$AK$167,economics!$AJ$2:$AJ$167,TRUE))*economics!$AM$2:$AM$167)+$CR7*(_xlfn.NORM.DIST(CB$3,$CU7,0.3*$CU7,TRUE)-_xlfn.NORM.DIST(CB$30,$CU7,0.3*$CU7,TRUE))*summary!$C$7/28.8/0.947817+$CS7*(_xlfn.NORM.DIST(CB$3,$CV7,0.3*$CV7,TRUE)-_xlfn.NORM.DIST(CB$30,$CV7,0.3*$CV7,TRUE))*summary!$C$6/28.8/0.947817)/(SUMPRODUCT((economics!$AG$2:$AG$167=$B36)*(economics!$D$2:$D$167="whr")*economics!$AH$2:$AH$167*(_xlfn.NORM.DIST(CB$3,economics!$AK$2:$AK$167,economics!$AJ$2:$AJ$167,TRUE)-_xlfn.NORM.DIST(CB$30,economics!$AK$2:$AK$167,economics!$AJ$2:$AJ$167,TRUE)))+$CR7*(_xlfn.NORM.DIST(CB$3,$CU7,0.3*$CU7,TRUE)-_xlfn.NORM.DIST(CB$30,$CU7,0.3*$CU7,TRUE))+$CS7*(_xlfn.NORM.DIST(CB$3,$CV7,0.3*$CV7,TRUE)-_xlfn.NORM.DIST(CB$30,$CV7,0.3*$CV7,TRUE))),""),IF($C7&gt;0,summary!$C$10/28.8/0.947817,""))</f>
        <v/>
      </c>
      <c r="CC36">
        <f t="array" ref="CC36">IF($D7,IFERROR((SUMPRODUCT((economics!$AG$2:$AG$167=$B36)*(economics!$D$2:$D$167="whr")*economics!$AH$2:$AH$167*(_xlfn.NORM.DIST(CC$3,economics!$AK$2:$AK$167,economics!$AJ$2:$AJ$167,TRUE)-_xlfn.NORM.DIST(CC$30,economics!$AK$2:$AK$167,economics!$AJ$2:$AJ$167,TRUE))*economics!$AM$2:$AM$167)+$CR7*(_xlfn.NORM.DIST(CC$3,$CU7,0.3*$CU7,TRUE)-_xlfn.NORM.DIST(CC$30,$CU7,0.3*$CU7,TRUE))*summary!$C$7/28.8/0.947817+$CS7*(_xlfn.NORM.DIST(CC$3,$CV7,0.3*$CV7,TRUE)-_xlfn.NORM.DIST(CC$30,$CV7,0.3*$CV7,TRUE))*summary!$C$6/28.8/0.947817)/(SUMPRODUCT((economics!$AG$2:$AG$167=$B36)*(economics!$D$2:$D$167="whr")*economics!$AH$2:$AH$167*(_xlfn.NORM.DIST(CC$3,economics!$AK$2:$AK$167,economics!$AJ$2:$AJ$167,TRUE)-_xlfn.NORM.DIST(CC$30,economics!$AK$2:$AK$167,economics!$AJ$2:$AJ$167,TRUE)))+$CR7*(_xlfn.NORM.DIST(CC$3,$CU7,0.3*$CU7,TRUE)-_xlfn.NORM.DIST(CC$30,$CU7,0.3*$CU7,TRUE))+$CS7*(_xlfn.NORM.DIST(CC$3,$CV7,0.3*$CV7,TRUE)-_xlfn.NORM.DIST(CC$30,$CV7,0.3*$CV7,TRUE))),""),IF($C7&gt;0,summary!$C$10/28.8/0.947817,""))</f>
        <v/>
      </c>
      <c r="CD36">
        <f t="array" ref="CD36">IF($D7,IFERROR((SUMPRODUCT((economics!$AG$2:$AG$167=$B36)*(economics!$D$2:$D$167="whr")*economics!$AH$2:$AH$167*(_xlfn.NORM.DIST(CD$3,economics!$AK$2:$AK$167,economics!$AJ$2:$AJ$167,TRUE)-_xlfn.NORM.DIST(CD$30,economics!$AK$2:$AK$167,economics!$AJ$2:$AJ$167,TRUE))*economics!$AM$2:$AM$167)+$CR7*(_xlfn.NORM.DIST(CD$3,$CU7,0.3*$CU7,TRUE)-_xlfn.NORM.DIST(CD$30,$CU7,0.3*$CU7,TRUE))*summary!$C$7/28.8/0.947817+$CS7*(_xlfn.NORM.DIST(CD$3,$CV7,0.3*$CV7,TRUE)-_xlfn.NORM.DIST(CD$30,$CV7,0.3*$CV7,TRUE))*summary!$C$6/28.8/0.947817)/(SUMPRODUCT((economics!$AG$2:$AG$167=$B36)*(economics!$D$2:$D$167="whr")*economics!$AH$2:$AH$167*(_xlfn.NORM.DIST(CD$3,economics!$AK$2:$AK$167,economics!$AJ$2:$AJ$167,TRUE)-_xlfn.NORM.DIST(CD$30,economics!$AK$2:$AK$167,economics!$AJ$2:$AJ$167,TRUE)))+$CR7*(_xlfn.NORM.DIST(CD$3,$CU7,0.3*$CU7,TRUE)-_xlfn.NORM.DIST(CD$30,$CU7,0.3*$CU7,TRUE))+$CS7*(_xlfn.NORM.DIST(CD$3,$CV7,0.3*$CV7,TRUE)-_xlfn.NORM.DIST(CD$30,$CV7,0.3*$CV7,TRUE))),""),IF($C7&gt;0,summary!$C$10/28.8/0.947817,""))</f>
        <v/>
      </c>
      <c r="CE36">
        <f t="array" ref="CE36">IF($D7,IFERROR((SUMPRODUCT((economics!$AG$2:$AG$167=$B36)*(economics!$D$2:$D$167="whr")*economics!$AH$2:$AH$167*(_xlfn.NORM.DIST(CE$3,economics!$AK$2:$AK$167,economics!$AJ$2:$AJ$167,TRUE)-_xlfn.NORM.DIST(CE$30,economics!$AK$2:$AK$167,economics!$AJ$2:$AJ$167,TRUE))*economics!$AM$2:$AM$167)+$CR7*(_xlfn.NORM.DIST(CE$3,$CU7,0.3*$CU7,TRUE)-_xlfn.NORM.DIST(CE$30,$CU7,0.3*$CU7,TRUE))*summary!$C$7/28.8/0.947817+$CS7*(_xlfn.NORM.DIST(CE$3,$CV7,0.3*$CV7,TRUE)-_xlfn.NORM.DIST(CE$30,$CV7,0.3*$CV7,TRUE))*summary!$C$6/28.8/0.947817)/(SUMPRODUCT((economics!$AG$2:$AG$167=$B36)*(economics!$D$2:$D$167="whr")*economics!$AH$2:$AH$167*(_xlfn.NORM.DIST(CE$3,economics!$AK$2:$AK$167,economics!$AJ$2:$AJ$167,TRUE)-_xlfn.NORM.DIST(CE$30,economics!$AK$2:$AK$167,economics!$AJ$2:$AJ$167,TRUE)))+$CR7*(_xlfn.NORM.DIST(CE$3,$CU7,0.3*$CU7,TRUE)-_xlfn.NORM.DIST(CE$30,$CU7,0.3*$CU7,TRUE))+$CS7*(_xlfn.NORM.DIST(CE$3,$CV7,0.3*$CV7,TRUE)-_xlfn.NORM.DIST(CE$30,$CV7,0.3*$CV7,TRUE))),""),IF($C7&gt;0,summary!$C$10/28.8/0.947817,""))</f>
        <v/>
      </c>
      <c r="CF36">
        <f t="array" ref="CF36">IF($D7,IFERROR((SUMPRODUCT((economics!$AG$2:$AG$167=$B36)*(economics!$D$2:$D$167="whr")*economics!$AH$2:$AH$167*(_xlfn.NORM.DIST(CF$3,economics!$AK$2:$AK$167,economics!$AJ$2:$AJ$167,TRUE)-_xlfn.NORM.DIST(CF$30,economics!$AK$2:$AK$167,economics!$AJ$2:$AJ$167,TRUE))*economics!$AM$2:$AM$167)+$CR7*(_xlfn.NORM.DIST(CF$3,$CU7,0.3*$CU7,TRUE)-_xlfn.NORM.DIST(CF$30,$CU7,0.3*$CU7,TRUE))*summary!$C$7/28.8/0.947817+$CS7*(_xlfn.NORM.DIST(CF$3,$CV7,0.3*$CV7,TRUE)-_xlfn.NORM.DIST(CF$30,$CV7,0.3*$CV7,TRUE))*summary!$C$6/28.8/0.947817)/(SUMPRODUCT((economics!$AG$2:$AG$167=$B36)*(economics!$D$2:$D$167="whr")*economics!$AH$2:$AH$167*(_xlfn.NORM.DIST(CF$3,economics!$AK$2:$AK$167,economics!$AJ$2:$AJ$167,TRUE)-_xlfn.NORM.DIST(CF$30,economics!$AK$2:$AK$167,economics!$AJ$2:$AJ$167,TRUE)))+$CR7*(_xlfn.NORM.DIST(CF$3,$CU7,0.3*$CU7,TRUE)-_xlfn.NORM.DIST(CF$30,$CU7,0.3*$CU7,TRUE))+$CS7*(_xlfn.NORM.DIST(CF$3,$CV7,0.3*$CV7,TRUE)-_xlfn.NORM.DIST(CF$30,$CV7,0.3*$CV7,TRUE))),""),IF($C7&gt;0,summary!$C$10/28.8/0.947817,""))</f>
        <v/>
      </c>
      <c r="CG36">
        <f t="array" ref="CG36">IF($D7,IFERROR((SUMPRODUCT((economics!$AG$2:$AG$167=$B36)*(economics!$D$2:$D$167="whr")*economics!$AH$2:$AH$167*(_xlfn.NORM.DIST(CG$3,economics!$AK$2:$AK$167,economics!$AJ$2:$AJ$167,TRUE)-_xlfn.NORM.DIST(CG$30,economics!$AK$2:$AK$167,economics!$AJ$2:$AJ$167,TRUE))*economics!$AM$2:$AM$167)+$CR7*(_xlfn.NORM.DIST(CG$3,$CU7,0.3*$CU7,TRUE)-_xlfn.NORM.DIST(CG$30,$CU7,0.3*$CU7,TRUE))*summary!$C$7/28.8/0.947817+$CS7*(_xlfn.NORM.DIST(CG$3,$CV7,0.3*$CV7,TRUE)-_xlfn.NORM.DIST(CG$30,$CV7,0.3*$CV7,TRUE))*summary!$C$6/28.8/0.947817)/(SUMPRODUCT((economics!$AG$2:$AG$167=$B36)*(economics!$D$2:$D$167="whr")*economics!$AH$2:$AH$167*(_xlfn.NORM.DIST(CG$3,economics!$AK$2:$AK$167,economics!$AJ$2:$AJ$167,TRUE)-_xlfn.NORM.DIST(CG$30,economics!$AK$2:$AK$167,economics!$AJ$2:$AJ$167,TRUE)))+$CR7*(_xlfn.NORM.DIST(CG$3,$CU7,0.3*$CU7,TRUE)-_xlfn.NORM.DIST(CG$30,$CU7,0.3*$CU7,TRUE))+$CS7*(_xlfn.NORM.DIST(CG$3,$CV7,0.3*$CV7,TRUE)-_xlfn.NORM.DIST(CG$30,$CV7,0.3*$CV7,TRUE))),""),IF($C7&gt;0,summary!$C$10/28.8/0.947817,""))</f>
        <v/>
      </c>
      <c r="CH36">
        <f t="array" ref="CH36">IF($D7,IFERROR((SUMPRODUCT((economics!$AG$2:$AG$167=$B36)*(economics!$D$2:$D$167="whr")*economics!$AH$2:$AH$167*(_xlfn.NORM.DIST(CH$3,economics!$AK$2:$AK$167,economics!$AJ$2:$AJ$167,TRUE)-_xlfn.NORM.DIST(CH$30,economics!$AK$2:$AK$167,economics!$AJ$2:$AJ$167,TRUE))*economics!$AM$2:$AM$167)+$CR7*(_xlfn.NORM.DIST(CH$3,$CU7,0.3*$CU7,TRUE)-_xlfn.NORM.DIST(CH$30,$CU7,0.3*$CU7,TRUE))*summary!$C$7/28.8/0.947817+$CS7*(_xlfn.NORM.DIST(CH$3,$CV7,0.3*$CV7,TRUE)-_xlfn.NORM.DIST(CH$30,$CV7,0.3*$CV7,TRUE))*summary!$C$6/28.8/0.947817)/(SUMPRODUCT((economics!$AG$2:$AG$167=$B36)*(economics!$D$2:$D$167="whr")*economics!$AH$2:$AH$167*(_xlfn.NORM.DIST(CH$3,economics!$AK$2:$AK$167,economics!$AJ$2:$AJ$167,TRUE)-_xlfn.NORM.DIST(CH$30,economics!$AK$2:$AK$167,economics!$AJ$2:$AJ$167,TRUE)))+$CR7*(_xlfn.NORM.DIST(CH$3,$CU7,0.3*$CU7,TRUE)-_xlfn.NORM.DIST(CH$30,$CU7,0.3*$CU7,TRUE))+$CS7*(_xlfn.NORM.DIST(CH$3,$CV7,0.3*$CV7,TRUE)-_xlfn.NORM.DIST(CH$30,$CV7,0.3*$CV7,TRUE))),""),IF($C7&gt;0,summary!$C$10/28.8/0.947817,""))</f>
        <v/>
      </c>
    </row>
    <row r="37">
      <c r="A37">
        <f>A8</f>
        <v/>
      </c>
      <c r="B37">
        <f>B8</f>
        <v/>
      </c>
      <c r="E37">
        <f t="array" ref="E37">IF($D8,IFERROR((SUMPRODUCT((economics!$AG$2:$AG$167=$B37)*(economics!$D$2:$D$167="whr")*economics!$AH$2:$AH$167*(_xlfn.NORM.DIST(E$3,economics!$AK$2:$AK$167,economics!$AJ$2:$AJ$167,TRUE)-_xlfn.NORM.DIST(E$30,economics!$AK$2:$AK$167,economics!$AJ$2:$AJ$167,TRUE))*economics!$AM$2:$AM$167)+$CR8*(_xlfn.NORM.DIST(E$3,$CU8,0.3*$CU8,TRUE)-_xlfn.NORM.DIST(E$30,$CU8,0.3*$CU8,TRUE))*summary!$C$7/28.8/0.947817+$CS8*(_xlfn.NORM.DIST(E$3,$CV8,0.3*$CV8,TRUE)-_xlfn.NORM.DIST(E$30,$CV8,0.3*$CV8,TRUE))*summary!$C$6/28.8/0.947817)/(SUMPRODUCT((economics!$AG$2:$AG$167=$B37)*(economics!$D$2:$D$167="whr")*economics!$AH$2:$AH$167*(_xlfn.NORM.DIST(E$3,economics!$AK$2:$AK$167,economics!$AJ$2:$AJ$167,TRUE)-_xlfn.NORM.DIST(E$30,economics!$AK$2:$AK$167,economics!$AJ$2:$AJ$167,TRUE)))+$CR8*(_xlfn.NORM.DIST(E$3,$CU8,0.3*$CU8,TRUE)-_xlfn.NORM.DIST(E$30,$CU8,0.3*$CU8,TRUE))+$CS8*(_xlfn.NORM.DIST(E$3,$CV8,0.3*$CV8,TRUE)-_xlfn.NORM.DIST(E$30,$CV8,0.3*$CV8,TRUE))),""),IF($C8&gt;0,summary!$C$10/28.8/0.947817,""))</f>
        <v/>
      </c>
      <c r="F37">
        <f t="array" ref="F37">IF($D8,IFERROR((SUMPRODUCT((economics!$AG$2:$AG$167=$B37)*(economics!$D$2:$D$167="whr")*economics!$AH$2:$AH$167*(_xlfn.NORM.DIST(F$3,economics!$AK$2:$AK$167,economics!$AJ$2:$AJ$167,TRUE)-_xlfn.NORM.DIST(F$30,economics!$AK$2:$AK$167,economics!$AJ$2:$AJ$167,TRUE))*economics!$AM$2:$AM$167)+$CR8*(_xlfn.NORM.DIST(F$3,$CU8,0.3*$CU8,TRUE)-_xlfn.NORM.DIST(F$30,$CU8,0.3*$CU8,TRUE))*summary!$C$7/28.8/0.947817+$CS8*(_xlfn.NORM.DIST(F$3,$CV8,0.3*$CV8,TRUE)-_xlfn.NORM.DIST(F$30,$CV8,0.3*$CV8,TRUE))*summary!$C$6/28.8/0.947817)/(SUMPRODUCT((economics!$AG$2:$AG$167=$B37)*(economics!$D$2:$D$167="whr")*economics!$AH$2:$AH$167*(_xlfn.NORM.DIST(F$3,economics!$AK$2:$AK$167,economics!$AJ$2:$AJ$167,TRUE)-_xlfn.NORM.DIST(F$30,economics!$AK$2:$AK$167,economics!$AJ$2:$AJ$167,TRUE)))+$CR8*(_xlfn.NORM.DIST(F$3,$CU8,0.3*$CU8,TRUE)-_xlfn.NORM.DIST(F$30,$CU8,0.3*$CU8,TRUE))+$CS8*(_xlfn.NORM.DIST(F$3,$CV8,0.3*$CV8,TRUE)-_xlfn.NORM.DIST(F$30,$CV8,0.3*$CV8,TRUE))),""),IF($C8&gt;0,summary!$C$10/28.8/0.947817,""))</f>
        <v/>
      </c>
      <c r="G37">
        <f t="array" ref="G37">IF($D8,IFERROR((SUMPRODUCT((economics!$AG$2:$AG$167=$B37)*(economics!$D$2:$D$167="whr")*economics!$AH$2:$AH$167*(_xlfn.NORM.DIST(G$3,economics!$AK$2:$AK$167,economics!$AJ$2:$AJ$167,TRUE)-_xlfn.NORM.DIST(G$30,economics!$AK$2:$AK$167,economics!$AJ$2:$AJ$167,TRUE))*economics!$AM$2:$AM$167)+$CR8*(_xlfn.NORM.DIST(G$3,$CU8,0.3*$CU8,TRUE)-_xlfn.NORM.DIST(G$30,$CU8,0.3*$CU8,TRUE))*summary!$C$7/28.8/0.947817+$CS8*(_xlfn.NORM.DIST(G$3,$CV8,0.3*$CV8,TRUE)-_xlfn.NORM.DIST(G$30,$CV8,0.3*$CV8,TRUE))*summary!$C$6/28.8/0.947817)/(SUMPRODUCT((economics!$AG$2:$AG$167=$B37)*(economics!$D$2:$D$167="whr")*economics!$AH$2:$AH$167*(_xlfn.NORM.DIST(G$3,economics!$AK$2:$AK$167,economics!$AJ$2:$AJ$167,TRUE)-_xlfn.NORM.DIST(G$30,economics!$AK$2:$AK$167,economics!$AJ$2:$AJ$167,TRUE)))+$CR8*(_xlfn.NORM.DIST(G$3,$CU8,0.3*$CU8,TRUE)-_xlfn.NORM.DIST(G$30,$CU8,0.3*$CU8,TRUE))+$CS8*(_xlfn.NORM.DIST(G$3,$CV8,0.3*$CV8,TRUE)-_xlfn.NORM.DIST(G$30,$CV8,0.3*$CV8,TRUE))),""),IF($C8&gt;0,summary!$C$10/28.8/0.947817,""))</f>
        <v/>
      </c>
      <c r="H37">
        <f t="array" ref="H37">IF($D8,IFERROR((SUMPRODUCT((economics!$AG$2:$AG$167=$B37)*(economics!$D$2:$D$167="whr")*economics!$AH$2:$AH$167*(_xlfn.NORM.DIST(H$3,economics!$AK$2:$AK$167,economics!$AJ$2:$AJ$167,TRUE)-_xlfn.NORM.DIST(H$30,economics!$AK$2:$AK$167,economics!$AJ$2:$AJ$167,TRUE))*economics!$AM$2:$AM$167)+$CR8*(_xlfn.NORM.DIST(H$3,$CU8,0.3*$CU8,TRUE)-_xlfn.NORM.DIST(H$30,$CU8,0.3*$CU8,TRUE))*summary!$C$7/28.8/0.947817+$CS8*(_xlfn.NORM.DIST(H$3,$CV8,0.3*$CV8,TRUE)-_xlfn.NORM.DIST(H$30,$CV8,0.3*$CV8,TRUE))*summary!$C$6/28.8/0.947817)/(SUMPRODUCT((economics!$AG$2:$AG$167=$B37)*(economics!$D$2:$D$167="whr")*economics!$AH$2:$AH$167*(_xlfn.NORM.DIST(H$3,economics!$AK$2:$AK$167,economics!$AJ$2:$AJ$167,TRUE)-_xlfn.NORM.DIST(H$30,economics!$AK$2:$AK$167,economics!$AJ$2:$AJ$167,TRUE)))+$CR8*(_xlfn.NORM.DIST(H$3,$CU8,0.3*$CU8,TRUE)-_xlfn.NORM.DIST(H$30,$CU8,0.3*$CU8,TRUE))+$CS8*(_xlfn.NORM.DIST(H$3,$CV8,0.3*$CV8,TRUE)-_xlfn.NORM.DIST(H$30,$CV8,0.3*$CV8,TRUE))),""),IF($C8&gt;0,summary!$C$10/28.8/0.947817,""))</f>
        <v/>
      </c>
      <c r="I37">
        <f t="array" ref="I37">IF($D8,IFERROR((SUMPRODUCT((economics!$AG$2:$AG$167=$B37)*(economics!$D$2:$D$167="whr")*economics!$AH$2:$AH$167*(_xlfn.NORM.DIST(I$3,economics!$AK$2:$AK$167,economics!$AJ$2:$AJ$167,TRUE)-_xlfn.NORM.DIST(I$30,economics!$AK$2:$AK$167,economics!$AJ$2:$AJ$167,TRUE))*economics!$AM$2:$AM$167)+$CR8*(_xlfn.NORM.DIST(I$3,$CU8,0.3*$CU8,TRUE)-_xlfn.NORM.DIST(I$30,$CU8,0.3*$CU8,TRUE))*summary!$C$7/28.8/0.947817+$CS8*(_xlfn.NORM.DIST(I$3,$CV8,0.3*$CV8,TRUE)-_xlfn.NORM.DIST(I$30,$CV8,0.3*$CV8,TRUE))*summary!$C$6/28.8/0.947817)/(SUMPRODUCT((economics!$AG$2:$AG$167=$B37)*(economics!$D$2:$D$167="whr")*economics!$AH$2:$AH$167*(_xlfn.NORM.DIST(I$3,economics!$AK$2:$AK$167,economics!$AJ$2:$AJ$167,TRUE)-_xlfn.NORM.DIST(I$30,economics!$AK$2:$AK$167,economics!$AJ$2:$AJ$167,TRUE)))+$CR8*(_xlfn.NORM.DIST(I$3,$CU8,0.3*$CU8,TRUE)-_xlfn.NORM.DIST(I$30,$CU8,0.3*$CU8,TRUE))+$CS8*(_xlfn.NORM.DIST(I$3,$CV8,0.3*$CV8,TRUE)-_xlfn.NORM.DIST(I$30,$CV8,0.3*$CV8,TRUE))),""),IF($C8&gt;0,summary!$C$10/28.8/0.947817,""))</f>
        <v/>
      </c>
      <c r="J37">
        <f t="array" ref="J37">IF($D8,IFERROR((SUMPRODUCT((economics!$AG$2:$AG$167=$B37)*(economics!$D$2:$D$167="whr")*economics!$AH$2:$AH$167*(_xlfn.NORM.DIST(J$3,economics!$AK$2:$AK$167,economics!$AJ$2:$AJ$167,TRUE)-_xlfn.NORM.DIST(J$30,economics!$AK$2:$AK$167,economics!$AJ$2:$AJ$167,TRUE))*economics!$AM$2:$AM$167)+$CR8*(_xlfn.NORM.DIST(J$3,$CU8,0.3*$CU8,TRUE)-_xlfn.NORM.DIST(J$30,$CU8,0.3*$CU8,TRUE))*summary!$C$7/28.8/0.947817+$CS8*(_xlfn.NORM.DIST(J$3,$CV8,0.3*$CV8,TRUE)-_xlfn.NORM.DIST(J$30,$CV8,0.3*$CV8,TRUE))*summary!$C$6/28.8/0.947817)/(SUMPRODUCT((economics!$AG$2:$AG$167=$B37)*(economics!$D$2:$D$167="whr")*economics!$AH$2:$AH$167*(_xlfn.NORM.DIST(J$3,economics!$AK$2:$AK$167,economics!$AJ$2:$AJ$167,TRUE)-_xlfn.NORM.DIST(J$30,economics!$AK$2:$AK$167,economics!$AJ$2:$AJ$167,TRUE)))+$CR8*(_xlfn.NORM.DIST(J$3,$CU8,0.3*$CU8,TRUE)-_xlfn.NORM.DIST(J$30,$CU8,0.3*$CU8,TRUE))+$CS8*(_xlfn.NORM.DIST(J$3,$CV8,0.3*$CV8,TRUE)-_xlfn.NORM.DIST(J$30,$CV8,0.3*$CV8,TRUE))),""),IF($C8&gt;0,summary!$C$10/28.8/0.947817,""))</f>
        <v/>
      </c>
      <c r="K37">
        <f t="array" ref="K37">IF($D8,IFERROR((SUMPRODUCT((economics!$AG$2:$AG$167=$B37)*(economics!$D$2:$D$167="whr")*economics!$AH$2:$AH$167*(_xlfn.NORM.DIST(K$3,economics!$AK$2:$AK$167,economics!$AJ$2:$AJ$167,TRUE)-_xlfn.NORM.DIST(K$30,economics!$AK$2:$AK$167,economics!$AJ$2:$AJ$167,TRUE))*economics!$AM$2:$AM$167)+$CR8*(_xlfn.NORM.DIST(K$3,$CU8,0.3*$CU8,TRUE)-_xlfn.NORM.DIST(K$30,$CU8,0.3*$CU8,TRUE))*summary!$C$7/28.8/0.947817+$CS8*(_xlfn.NORM.DIST(K$3,$CV8,0.3*$CV8,TRUE)-_xlfn.NORM.DIST(K$30,$CV8,0.3*$CV8,TRUE))*summary!$C$6/28.8/0.947817)/(SUMPRODUCT((economics!$AG$2:$AG$167=$B37)*(economics!$D$2:$D$167="whr")*economics!$AH$2:$AH$167*(_xlfn.NORM.DIST(K$3,economics!$AK$2:$AK$167,economics!$AJ$2:$AJ$167,TRUE)-_xlfn.NORM.DIST(K$30,economics!$AK$2:$AK$167,economics!$AJ$2:$AJ$167,TRUE)))+$CR8*(_xlfn.NORM.DIST(K$3,$CU8,0.3*$CU8,TRUE)-_xlfn.NORM.DIST(K$30,$CU8,0.3*$CU8,TRUE))+$CS8*(_xlfn.NORM.DIST(K$3,$CV8,0.3*$CV8,TRUE)-_xlfn.NORM.DIST(K$30,$CV8,0.3*$CV8,TRUE))),""),IF($C8&gt;0,summary!$C$10/28.8/0.947817,""))</f>
        <v/>
      </c>
      <c r="L37">
        <f t="array" ref="L37">IF($D8,IFERROR((SUMPRODUCT((economics!$AG$2:$AG$167=$B37)*(economics!$D$2:$D$167="whr")*economics!$AH$2:$AH$167*(_xlfn.NORM.DIST(L$3,economics!$AK$2:$AK$167,economics!$AJ$2:$AJ$167,TRUE)-_xlfn.NORM.DIST(L$30,economics!$AK$2:$AK$167,economics!$AJ$2:$AJ$167,TRUE))*economics!$AM$2:$AM$167)+$CR8*(_xlfn.NORM.DIST(L$3,$CU8,0.3*$CU8,TRUE)-_xlfn.NORM.DIST(L$30,$CU8,0.3*$CU8,TRUE))*summary!$C$7/28.8/0.947817+$CS8*(_xlfn.NORM.DIST(L$3,$CV8,0.3*$CV8,TRUE)-_xlfn.NORM.DIST(L$30,$CV8,0.3*$CV8,TRUE))*summary!$C$6/28.8/0.947817)/(SUMPRODUCT((economics!$AG$2:$AG$167=$B37)*(economics!$D$2:$D$167="whr")*economics!$AH$2:$AH$167*(_xlfn.NORM.DIST(L$3,economics!$AK$2:$AK$167,economics!$AJ$2:$AJ$167,TRUE)-_xlfn.NORM.DIST(L$30,economics!$AK$2:$AK$167,economics!$AJ$2:$AJ$167,TRUE)))+$CR8*(_xlfn.NORM.DIST(L$3,$CU8,0.3*$CU8,TRUE)-_xlfn.NORM.DIST(L$30,$CU8,0.3*$CU8,TRUE))+$CS8*(_xlfn.NORM.DIST(L$3,$CV8,0.3*$CV8,TRUE)-_xlfn.NORM.DIST(L$30,$CV8,0.3*$CV8,TRUE))),""),IF($C8&gt;0,summary!$C$10/28.8/0.947817,""))</f>
        <v/>
      </c>
      <c r="M37">
        <f t="array" ref="M37">IF($D8,IFERROR((SUMPRODUCT((economics!$AG$2:$AG$167=$B37)*(economics!$D$2:$D$167="whr")*economics!$AH$2:$AH$167*(_xlfn.NORM.DIST(M$3,economics!$AK$2:$AK$167,economics!$AJ$2:$AJ$167,TRUE)-_xlfn.NORM.DIST(M$30,economics!$AK$2:$AK$167,economics!$AJ$2:$AJ$167,TRUE))*economics!$AM$2:$AM$167)+$CR8*(_xlfn.NORM.DIST(M$3,$CU8,0.3*$CU8,TRUE)-_xlfn.NORM.DIST(M$30,$CU8,0.3*$CU8,TRUE))*summary!$C$7/28.8/0.947817+$CS8*(_xlfn.NORM.DIST(M$3,$CV8,0.3*$CV8,TRUE)-_xlfn.NORM.DIST(M$30,$CV8,0.3*$CV8,TRUE))*summary!$C$6/28.8/0.947817)/(SUMPRODUCT((economics!$AG$2:$AG$167=$B37)*(economics!$D$2:$D$167="whr")*economics!$AH$2:$AH$167*(_xlfn.NORM.DIST(M$3,economics!$AK$2:$AK$167,economics!$AJ$2:$AJ$167,TRUE)-_xlfn.NORM.DIST(M$30,economics!$AK$2:$AK$167,economics!$AJ$2:$AJ$167,TRUE)))+$CR8*(_xlfn.NORM.DIST(M$3,$CU8,0.3*$CU8,TRUE)-_xlfn.NORM.DIST(M$30,$CU8,0.3*$CU8,TRUE))+$CS8*(_xlfn.NORM.DIST(M$3,$CV8,0.3*$CV8,TRUE)-_xlfn.NORM.DIST(M$30,$CV8,0.3*$CV8,TRUE))),""),IF($C8&gt;0,summary!$C$10/28.8/0.947817,""))</f>
        <v/>
      </c>
      <c r="N37">
        <f t="array" ref="N37">IF($D8,IFERROR((SUMPRODUCT((economics!$AG$2:$AG$167=$B37)*(economics!$D$2:$D$167="whr")*economics!$AH$2:$AH$167*(_xlfn.NORM.DIST(N$3,economics!$AK$2:$AK$167,economics!$AJ$2:$AJ$167,TRUE)-_xlfn.NORM.DIST(N$30,economics!$AK$2:$AK$167,economics!$AJ$2:$AJ$167,TRUE))*economics!$AM$2:$AM$167)+$CR8*(_xlfn.NORM.DIST(N$3,$CU8,0.3*$CU8,TRUE)-_xlfn.NORM.DIST(N$30,$CU8,0.3*$CU8,TRUE))*summary!$C$7/28.8/0.947817+$CS8*(_xlfn.NORM.DIST(N$3,$CV8,0.3*$CV8,TRUE)-_xlfn.NORM.DIST(N$30,$CV8,0.3*$CV8,TRUE))*summary!$C$6/28.8/0.947817)/(SUMPRODUCT((economics!$AG$2:$AG$167=$B37)*(economics!$D$2:$D$167="whr")*economics!$AH$2:$AH$167*(_xlfn.NORM.DIST(N$3,economics!$AK$2:$AK$167,economics!$AJ$2:$AJ$167,TRUE)-_xlfn.NORM.DIST(N$30,economics!$AK$2:$AK$167,economics!$AJ$2:$AJ$167,TRUE)))+$CR8*(_xlfn.NORM.DIST(N$3,$CU8,0.3*$CU8,TRUE)-_xlfn.NORM.DIST(N$30,$CU8,0.3*$CU8,TRUE))+$CS8*(_xlfn.NORM.DIST(N$3,$CV8,0.3*$CV8,TRUE)-_xlfn.NORM.DIST(N$30,$CV8,0.3*$CV8,TRUE))),""),IF($C8&gt;0,summary!$C$10/28.8/0.947817,""))</f>
        <v/>
      </c>
      <c r="O37">
        <f t="array" ref="O37">IF($D8,IFERROR((SUMPRODUCT((economics!$AG$2:$AG$167=$B37)*(economics!$D$2:$D$167="whr")*economics!$AH$2:$AH$167*(_xlfn.NORM.DIST(O$3,economics!$AK$2:$AK$167,economics!$AJ$2:$AJ$167,TRUE)-_xlfn.NORM.DIST(O$30,economics!$AK$2:$AK$167,economics!$AJ$2:$AJ$167,TRUE))*economics!$AM$2:$AM$167)+$CR8*(_xlfn.NORM.DIST(O$3,$CU8,0.3*$CU8,TRUE)-_xlfn.NORM.DIST(O$30,$CU8,0.3*$CU8,TRUE))*summary!$C$7/28.8/0.947817+$CS8*(_xlfn.NORM.DIST(O$3,$CV8,0.3*$CV8,TRUE)-_xlfn.NORM.DIST(O$30,$CV8,0.3*$CV8,TRUE))*summary!$C$6/28.8/0.947817)/(SUMPRODUCT((economics!$AG$2:$AG$167=$B37)*(economics!$D$2:$D$167="whr")*economics!$AH$2:$AH$167*(_xlfn.NORM.DIST(O$3,economics!$AK$2:$AK$167,economics!$AJ$2:$AJ$167,TRUE)-_xlfn.NORM.DIST(O$30,economics!$AK$2:$AK$167,economics!$AJ$2:$AJ$167,TRUE)))+$CR8*(_xlfn.NORM.DIST(O$3,$CU8,0.3*$CU8,TRUE)-_xlfn.NORM.DIST(O$30,$CU8,0.3*$CU8,TRUE))+$CS8*(_xlfn.NORM.DIST(O$3,$CV8,0.3*$CV8,TRUE)-_xlfn.NORM.DIST(O$30,$CV8,0.3*$CV8,TRUE))),""),IF($C8&gt;0,summary!$C$10/28.8/0.947817,""))</f>
        <v/>
      </c>
      <c r="P37">
        <f t="array" ref="P37">IF($D8,IFERROR((SUMPRODUCT((economics!$AG$2:$AG$167=$B37)*(economics!$D$2:$D$167="whr")*economics!$AH$2:$AH$167*(_xlfn.NORM.DIST(P$3,economics!$AK$2:$AK$167,economics!$AJ$2:$AJ$167,TRUE)-_xlfn.NORM.DIST(P$30,economics!$AK$2:$AK$167,economics!$AJ$2:$AJ$167,TRUE))*economics!$AM$2:$AM$167)+$CR8*(_xlfn.NORM.DIST(P$3,$CU8,0.3*$CU8,TRUE)-_xlfn.NORM.DIST(P$30,$CU8,0.3*$CU8,TRUE))*summary!$C$7/28.8/0.947817+$CS8*(_xlfn.NORM.DIST(P$3,$CV8,0.3*$CV8,TRUE)-_xlfn.NORM.DIST(P$30,$CV8,0.3*$CV8,TRUE))*summary!$C$6/28.8/0.947817)/(SUMPRODUCT((economics!$AG$2:$AG$167=$B37)*(economics!$D$2:$D$167="whr")*economics!$AH$2:$AH$167*(_xlfn.NORM.DIST(P$3,economics!$AK$2:$AK$167,economics!$AJ$2:$AJ$167,TRUE)-_xlfn.NORM.DIST(P$30,economics!$AK$2:$AK$167,economics!$AJ$2:$AJ$167,TRUE)))+$CR8*(_xlfn.NORM.DIST(P$3,$CU8,0.3*$CU8,TRUE)-_xlfn.NORM.DIST(P$30,$CU8,0.3*$CU8,TRUE))+$CS8*(_xlfn.NORM.DIST(P$3,$CV8,0.3*$CV8,TRUE)-_xlfn.NORM.DIST(P$30,$CV8,0.3*$CV8,TRUE))),""),IF($C8&gt;0,summary!$C$10/28.8/0.947817,""))</f>
        <v/>
      </c>
      <c r="Q37">
        <f t="array" ref="Q37">IF($D8,IFERROR((SUMPRODUCT((economics!$AG$2:$AG$167=$B37)*(economics!$D$2:$D$167="whr")*economics!$AH$2:$AH$167*(_xlfn.NORM.DIST(Q$3,economics!$AK$2:$AK$167,economics!$AJ$2:$AJ$167,TRUE)-_xlfn.NORM.DIST(Q$30,economics!$AK$2:$AK$167,economics!$AJ$2:$AJ$167,TRUE))*economics!$AM$2:$AM$167)+$CR8*(_xlfn.NORM.DIST(Q$3,$CU8,0.3*$CU8,TRUE)-_xlfn.NORM.DIST(Q$30,$CU8,0.3*$CU8,TRUE))*summary!$C$7/28.8/0.947817+$CS8*(_xlfn.NORM.DIST(Q$3,$CV8,0.3*$CV8,TRUE)-_xlfn.NORM.DIST(Q$30,$CV8,0.3*$CV8,TRUE))*summary!$C$6/28.8/0.947817)/(SUMPRODUCT((economics!$AG$2:$AG$167=$B37)*(economics!$D$2:$D$167="whr")*economics!$AH$2:$AH$167*(_xlfn.NORM.DIST(Q$3,economics!$AK$2:$AK$167,economics!$AJ$2:$AJ$167,TRUE)-_xlfn.NORM.DIST(Q$30,economics!$AK$2:$AK$167,economics!$AJ$2:$AJ$167,TRUE)))+$CR8*(_xlfn.NORM.DIST(Q$3,$CU8,0.3*$CU8,TRUE)-_xlfn.NORM.DIST(Q$30,$CU8,0.3*$CU8,TRUE))+$CS8*(_xlfn.NORM.DIST(Q$3,$CV8,0.3*$CV8,TRUE)-_xlfn.NORM.DIST(Q$30,$CV8,0.3*$CV8,TRUE))),""),IF($C8&gt;0,summary!$C$10/28.8/0.947817,""))</f>
        <v/>
      </c>
      <c r="R37">
        <f t="array" ref="R37">IF($D8,IFERROR((SUMPRODUCT((economics!$AG$2:$AG$167=$B37)*(economics!$D$2:$D$167="whr")*economics!$AH$2:$AH$167*(_xlfn.NORM.DIST(R$3,economics!$AK$2:$AK$167,economics!$AJ$2:$AJ$167,TRUE)-_xlfn.NORM.DIST(R$30,economics!$AK$2:$AK$167,economics!$AJ$2:$AJ$167,TRUE))*economics!$AM$2:$AM$167)+$CR8*(_xlfn.NORM.DIST(R$3,$CU8,0.3*$CU8,TRUE)-_xlfn.NORM.DIST(R$30,$CU8,0.3*$CU8,TRUE))*summary!$C$7/28.8/0.947817+$CS8*(_xlfn.NORM.DIST(R$3,$CV8,0.3*$CV8,TRUE)-_xlfn.NORM.DIST(R$30,$CV8,0.3*$CV8,TRUE))*summary!$C$6/28.8/0.947817)/(SUMPRODUCT((economics!$AG$2:$AG$167=$B37)*(economics!$D$2:$D$167="whr")*economics!$AH$2:$AH$167*(_xlfn.NORM.DIST(R$3,economics!$AK$2:$AK$167,economics!$AJ$2:$AJ$167,TRUE)-_xlfn.NORM.DIST(R$30,economics!$AK$2:$AK$167,economics!$AJ$2:$AJ$167,TRUE)))+$CR8*(_xlfn.NORM.DIST(R$3,$CU8,0.3*$CU8,TRUE)-_xlfn.NORM.DIST(R$30,$CU8,0.3*$CU8,TRUE))+$CS8*(_xlfn.NORM.DIST(R$3,$CV8,0.3*$CV8,TRUE)-_xlfn.NORM.DIST(R$30,$CV8,0.3*$CV8,TRUE))),""),IF($C8&gt;0,summary!$C$10/28.8/0.947817,""))</f>
        <v/>
      </c>
      <c r="S37">
        <f t="array" ref="S37">IF($D8,IFERROR((SUMPRODUCT((economics!$AG$2:$AG$167=$B37)*(economics!$D$2:$D$167="whr")*economics!$AH$2:$AH$167*(_xlfn.NORM.DIST(S$3,economics!$AK$2:$AK$167,economics!$AJ$2:$AJ$167,TRUE)-_xlfn.NORM.DIST(S$30,economics!$AK$2:$AK$167,economics!$AJ$2:$AJ$167,TRUE))*economics!$AM$2:$AM$167)+$CR8*(_xlfn.NORM.DIST(S$3,$CU8,0.3*$CU8,TRUE)-_xlfn.NORM.DIST(S$30,$CU8,0.3*$CU8,TRUE))*summary!$C$7/28.8/0.947817+$CS8*(_xlfn.NORM.DIST(S$3,$CV8,0.3*$CV8,TRUE)-_xlfn.NORM.DIST(S$30,$CV8,0.3*$CV8,TRUE))*summary!$C$6/28.8/0.947817)/(SUMPRODUCT((economics!$AG$2:$AG$167=$B37)*(economics!$D$2:$D$167="whr")*economics!$AH$2:$AH$167*(_xlfn.NORM.DIST(S$3,economics!$AK$2:$AK$167,economics!$AJ$2:$AJ$167,TRUE)-_xlfn.NORM.DIST(S$30,economics!$AK$2:$AK$167,economics!$AJ$2:$AJ$167,TRUE)))+$CR8*(_xlfn.NORM.DIST(S$3,$CU8,0.3*$CU8,TRUE)-_xlfn.NORM.DIST(S$30,$CU8,0.3*$CU8,TRUE))+$CS8*(_xlfn.NORM.DIST(S$3,$CV8,0.3*$CV8,TRUE)-_xlfn.NORM.DIST(S$30,$CV8,0.3*$CV8,TRUE))),""),IF($C8&gt;0,summary!$C$10/28.8/0.947817,""))</f>
        <v/>
      </c>
      <c r="T37">
        <f t="array" ref="T37">IF($D8,IFERROR((SUMPRODUCT((economics!$AG$2:$AG$167=$B37)*(economics!$D$2:$D$167="whr")*economics!$AH$2:$AH$167*(_xlfn.NORM.DIST(T$3,economics!$AK$2:$AK$167,economics!$AJ$2:$AJ$167,TRUE)-_xlfn.NORM.DIST(T$30,economics!$AK$2:$AK$167,economics!$AJ$2:$AJ$167,TRUE))*economics!$AM$2:$AM$167)+$CR8*(_xlfn.NORM.DIST(T$3,$CU8,0.3*$CU8,TRUE)-_xlfn.NORM.DIST(T$30,$CU8,0.3*$CU8,TRUE))*summary!$C$7/28.8/0.947817+$CS8*(_xlfn.NORM.DIST(T$3,$CV8,0.3*$CV8,TRUE)-_xlfn.NORM.DIST(T$30,$CV8,0.3*$CV8,TRUE))*summary!$C$6/28.8/0.947817)/(SUMPRODUCT((economics!$AG$2:$AG$167=$B37)*(economics!$D$2:$D$167="whr")*economics!$AH$2:$AH$167*(_xlfn.NORM.DIST(T$3,economics!$AK$2:$AK$167,economics!$AJ$2:$AJ$167,TRUE)-_xlfn.NORM.DIST(T$30,economics!$AK$2:$AK$167,economics!$AJ$2:$AJ$167,TRUE)))+$CR8*(_xlfn.NORM.DIST(T$3,$CU8,0.3*$CU8,TRUE)-_xlfn.NORM.DIST(T$30,$CU8,0.3*$CU8,TRUE))+$CS8*(_xlfn.NORM.DIST(T$3,$CV8,0.3*$CV8,TRUE)-_xlfn.NORM.DIST(T$30,$CV8,0.3*$CV8,TRUE))),""),IF($C8&gt;0,summary!$C$10/28.8/0.947817,""))</f>
        <v/>
      </c>
      <c r="U37">
        <f t="array" ref="U37">IF($D8,IFERROR((SUMPRODUCT((economics!$AG$2:$AG$167=$B37)*(economics!$D$2:$D$167="whr")*economics!$AH$2:$AH$167*(_xlfn.NORM.DIST(U$3,economics!$AK$2:$AK$167,economics!$AJ$2:$AJ$167,TRUE)-_xlfn.NORM.DIST(U$30,economics!$AK$2:$AK$167,economics!$AJ$2:$AJ$167,TRUE))*economics!$AM$2:$AM$167)+$CR8*(_xlfn.NORM.DIST(U$3,$CU8,0.3*$CU8,TRUE)-_xlfn.NORM.DIST(U$30,$CU8,0.3*$CU8,TRUE))*summary!$C$7/28.8/0.947817+$CS8*(_xlfn.NORM.DIST(U$3,$CV8,0.3*$CV8,TRUE)-_xlfn.NORM.DIST(U$30,$CV8,0.3*$CV8,TRUE))*summary!$C$6/28.8/0.947817)/(SUMPRODUCT((economics!$AG$2:$AG$167=$B37)*(economics!$D$2:$D$167="whr")*economics!$AH$2:$AH$167*(_xlfn.NORM.DIST(U$3,economics!$AK$2:$AK$167,economics!$AJ$2:$AJ$167,TRUE)-_xlfn.NORM.DIST(U$30,economics!$AK$2:$AK$167,economics!$AJ$2:$AJ$167,TRUE)))+$CR8*(_xlfn.NORM.DIST(U$3,$CU8,0.3*$CU8,TRUE)-_xlfn.NORM.DIST(U$30,$CU8,0.3*$CU8,TRUE))+$CS8*(_xlfn.NORM.DIST(U$3,$CV8,0.3*$CV8,TRUE)-_xlfn.NORM.DIST(U$30,$CV8,0.3*$CV8,TRUE))),""),IF($C8&gt;0,summary!$C$10/28.8/0.947817,""))</f>
        <v/>
      </c>
      <c r="V37">
        <f t="array" ref="V37">IF($D8,IFERROR((SUMPRODUCT((economics!$AG$2:$AG$167=$B37)*(economics!$D$2:$D$167="whr")*economics!$AH$2:$AH$167*(_xlfn.NORM.DIST(V$3,economics!$AK$2:$AK$167,economics!$AJ$2:$AJ$167,TRUE)-_xlfn.NORM.DIST(V$30,economics!$AK$2:$AK$167,economics!$AJ$2:$AJ$167,TRUE))*economics!$AM$2:$AM$167)+$CR8*(_xlfn.NORM.DIST(V$3,$CU8,0.3*$CU8,TRUE)-_xlfn.NORM.DIST(V$30,$CU8,0.3*$CU8,TRUE))*summary!$C$7/28.8/0.947817+$CS8*(_xlfn.NORM.DIST(V$3,$CV8,0.3*$CV8,TRUE)-_xlfn.NORM.DIST(V$30,$CV8,0.3*$CV8,TRUE))*summary!$C$6/28.8/0.947817)/(SUMPRODUCT((economics!$AG$2:$AG$167=$B37)*(economics!$D$2:$D$167="whr")*economics!$AH$2:$AH$167*(_xlfn.NORM.DIST(V$3,economics!$AK$2:$AK$167,economics!$AJ$2:$AJ$167,TRUE)-_xlfn.NORM.DIST(V$30,economics!$AK$2:$AK$167,economics!$AJ$2:$AJ$167,TRUE)))+$CR8*(_xlfn.NORM.DIST(V$3,$CU8,0.3*$CU8,TRUE)-_xlfn.NORM.DIST(V$30,$CU8,0.3*$CU8,TRUE))+$CS8*(_xlfn.NORM.DIST(V$3,$CV8,0.3*$CV8,TRUE)-_xlfn.NORM.DIST(V$30,$CV8,0.3*$CV8,TRUE))),""),IF($C8&gt;0,summary!$C$10/28.8/0.947817,""))</f>
        <v/>
      </c>
      <c r="W37">
        <f t="array" ref="W37">IF($D8,IFERROR((SUMPRODUCT((economics!$AG$2:$AG$167=$B37)*(economics!$D$2:$D$167="whr")*economics!$AH$2:$AH$167*(_xlfn.NORM.DIST(W$3,economics!$AK$2:$AK$167,economics!$AJ$2:$AJ$167,TRUE)-_xlfn.NORM.DIST(W$30,economics!$AK$2:$AK$167,economics!$AJ$2:$AJ$167,TRUE))*economics!$AM$2:$AM$167)+$CR8*(_xlfn.NORM.DIST(W$3,$CU8,0.3*$CU8,TRUE)-_xlfn.NORM.DIST(W$30,$CU8,0.3*$CU8,TRUE))*summary!$C$7/28.8/0.947817+$CS8*(_xlfn.NORM.DIST(W$3,$CV8,0.3*$CV8,TRUE)-_xlfn.NORM.DIST(W$30,$CV8,0.3*$CV8,TRUE))*summary!$C$6/28.8/0.947817)/(SUMPRODUCT((economics!$AG$2:$AG$167=$B37)*(economics!$D$2:$D$167="whr")*economics!$AH$2:$AH$167*(_xlfn.NORM.DIST(W$3,economics!$AK$2:$AK$167,economics!$AJ$2:$AJ$167,TRUE)-_xlfn.NORM.DIST(W$30,economics!$AK$2:$AK$167,economics!$AJ$2:$AJ$167,TRUE)))+$CR8*(_xlfn.NORM.DIST(W$3,$CU8,0.3*$CU8,TRUE)-_xlfn.NORM.DIST(W$30,$CU8,0.3*$CU8,TRUE))+$CS8*(_xlfn.NORM.DIST(W$3,$CV8,0.3*$CV8,TRUE)-_xlfn.NORM.DIST(W$30,$CV8,0.3*$CV8,TRUE))),""),IF($C8&gt;0,summary!$C$10/28.8/0.947817,""))</f>
        <v/>
      </c>
      <c r="X37">
        <f t="array" ref="X37">IF($D8,IFERROR((SUMPRODUCT((economics!$AG$2:$AG$167=$B37)*(economics!$D$2:$D$167="whr")*economics!$AH$2:$AH$167*(_xlfn.NORM.DIST(X$3,economics!$AK$2:$AK$167,economics!$AJ$2:$AJ$167,TRUE)-_xlfn.NORM.DIST(X$30,economics!$AK$2:$AK$167,economics!$AJ$2:$AJ$167,TRUE))*economics!$AM$2:$AM$167)+$CR8*(_xlfn.NORM.DIST(X$3,$CU8,0.3*$CU8,TRUE)-_xlfn.NORM.DIST(X$30,$CU8,0.3*$CU8,TRUE))*summary!$C$7/28.8/0.947817+$CS8*(_xlfn.NORM.DIST(X$3,$CV8,0.3*$CV8,TRUE)-_xlfn.NORM.DIST(X$30,$CV8,0.3*$CV8,TRUE))*summary!$C$6/28.8/0.947817)/(SUMPRODUCT((economics!$AG$2:$AG$167=$B37)*(economics!$D$2:$D$167="whr")*economics!$AH$2:$AH$167*(_xlfn.NORM.DIST(X$3,economics!$AK$2:$AK$167,economics!$AJ$2:$AJ$167,TRUE)-_xlfn.NORM.DIST(X$30,economics!$AK$2:$AK$167,economics!$AJ$2:$AJ$167,TRUE)))+$CR8*(_xlfn.NORM.DIST(X$3,$CU8,0.3*$CU8,TRUE)-_xlfn.NORM.DIST(X$30,$CU8,0.3*$CU8,TRUE))+$CS8*(_xlfn.NORM.DIST(X$3,$CV8,0.3*$CV8,TRUE)-_xlfn.NORM.DIST(X$30,$CV8,0.3*$CV8,TRUE))),""),IF($C8&gt;0,summary!$C$10/28.8/0.947817,""))</f>
        <v/>
      </c>
      <c r="Y37">
        <f t="array" ref="Y37">IF($D8,IFERROR((SUMPRODUCT((economics!$AG$2:$AG$167=$B37)*(economics!$D$2:$D$167="whr")*economics!$AH$2:$AH$167*(_xlfn.NORM.DIST(Y$3,economics!$AK$2:$AK$167,economics!$AJ$2:$AJ$167,TRUE)-_xlfn.NORM.DIST(Y$30,economics!$AK$2:$AK$167,economics!$AJ$2:$AJ$167,TRUE))*economics!$AM$2:$AM$167)+$CR8*(_xlfn.NORM.DIST(Y$3,$CU8,0.3*$CU8,TRUE)-_xlfn.NORM.DIST(Y$30,$CU8,0.3*$CU8,TRUE))*summary!$C$7/28.8/0.947817+$CS8*(_xlfn.NORM.DIST(Y$3,$CV8,0.3*$CV8,TRUE)-_xlfn.NORM.DIST(Y$30,$CV8,0.3*$CV8,TRUE))*summary!$C$6/28.8/0.947817)/(SUMPRODUCT((economics!$AG$2:$AG$167=$B37)*(economics!$D$2:$D$167="whr")*economics!$AH$2:$AH$167*(_xlfn.NORM.DIST(Y$3,economics!$AK$2:$AK$167,economics!$AJ$2:$AJ$167,TRUE)-_xlfn.NORM.DIST(Y$30,economics!$AK$2:$AK$167,economics!$AJ$2:$AJ$167,TRUE)))+$CR8*(_xlfn.NORM.DIST(Y$3,$CU8,0.3*$CU8,TRUE)-_xlfn.NORM.DIST(Y$30,$CU8,0.3*$CU8,TRUE))+$CS8*(_xlfn.NORM.DIST(Y$3,$CV8,0.3*$CV8,TRUE)-_xlfn.NORM.DIST(Y$30,$CV8,0.3*$CV8,TRUE))),""),IF($C8&gt;0,summary!$C$10/28.8/0.947817,""))</f>
        <v/>
      </c>
      <c r="Z37">
        <f t="array" ref="Z37">IF($D8,IFERROR((SUMPRODUCT((economics!$AG$2:$AG$167=$B37)*(economics!$D$2:$D$167="whr")*economics!$AH$2:$AH$167*(_xlfn.NORM.DIST(Z$3,economics!$AK$2:$AK$167,economics!$AJ$2:$AJ$167,TRUE)-_xlfn.NORM.DIST(Z$30,economics!$AK$2:$AK$167,economics!$AJ$2:$AJ$167,TRUE))*economics!$AM$2:$AM$167)+$CR8*(_xlfn.NORM.DIST(Z$3,$CU8,0.3*$CU8,TRUE)-_xlfn.NORM.DIST(Z$30,$CU8,0.3*$CU8,TRUE))*summary!$C$7/28.8/0.947817+$CS8*(_xlfn.NORM.DIST(Z$3,$CV8,0.3*$CV8,TRUE)-_xlfn.NORM.DIST(Z$30,$CV8,0.3*$CV8,TRUE))*summary!$C$6/28.8/0.947817)/(SUMPRODUCT((economics!$AG$2:$AG$167=$B37)*(economics!$D$2:$D$167="whr")*economics!$AH$2:$AH$167*(_xlfn.NORM.DIST(Z$3,economics!$AK$2:$AK$167,economics!$AJ$2:$AJ$167,TRUE)-_xlfn.NORM.DIST(Z$30,economics!$AK$2:$AK$167,economics!$AJ$2:$AJ$167,TRUE)))+$CR8*(_xlfn.NORM.DIST(Z$3,$CU8,0.3*$CU8,TRUE)-_xlfn.NORM.DIST(Z$30,$CU8,0.3*$CU8,TRUE))+$CS8*(_xlfn.NORM.DIST(Z$3,$CV8,0.3*$CV8,TRUE)-_xlfn.NORM.DIST(Z$30,$CV8,0.3*$CV8,TRUE))),""),IF($C8&gt;0,summary!$C$10/28.8/0.947817,""))</f>
        <v/>
      </c>
      <c r="AA37">
        <f t="array" ref="AA37">IF($D8,IFERROR((SUMPRODUCT((economics!$AG$2:$AG$167=$B37)*(economics!$D$2:$D$167="whr")*economics!$AH$2:$AH$167*(_xlfn.NORM.DIST(AA$3,economics!$AK$2:$AK$167,economics!$AJ$2:$AJ$167,TRUE)-_xlfn.NORM.DIST(AA$30,economics!$AK$2:$AK$167,economics!$AJ$2:$AJ$167,TRUE))*economics!$AM$2:$AM$167)+$CR8*(_xlfn.NORM.DIST(AA$3,$CU8,0.3*$CU8,TRUE)-_xlfn.NORM.DIST(AA$30,$CU8,0.3*$CU8,TRUE))*summary!$C$7/28.8/0.947817+$CS8*(_xlfn.NORM.DIST(AA$3,$CV8,0.3*$CV8,TRUE)-_xlfn.NORM.DIST(AA$30,$CV8,0.3*$CV8,TRUE))*summary!$C$6/28.8/0.947817)/(SUMPRODUCT((economics!$AG$2:$AG$167=$B37)*(economics!$D$2:$D$167="whr")*economics!$AH$2:$AH$167*(_xlfn.NORM.DIST(AA$3,economics!$AK$2:$AK$167,economics!$AJ$2:$AJ$167,TRUE)-_xlfn.NORM.DIST(AA$30,economics!$AK$2:$AK$167,economics!$AJ$2:$AJ$167,TRUE)))+$CR8*(_xlfn.NORM.DIST(AA$3,$CU8,0.3*$CU8,TRUE)-_xlfn.NORM.DIST(AA$30,$CU8,0.3*$CU8,TRUE))+$CS8*(_xlfn.NORM.DIST(AA$3,$CV8,0.3*$CV8,TRUE)-_xlfn.NORM.DIST(AA$30,$CV8,0.3*$CV8,TRUE))),""),IF($C8&gt;0,summary!$C$10/28.8/0.947817,""))</f>
        <v/>
      </c>
      <c r="AB37">
        <f t="array" ref="AB37">IF($D8,IFERROR((SUMPRODUCT((economics!$AG$2:$AG$167=$B37)*(economics!$D$2:$D$167="whr")*economics!$AH$2:$AH$167*(_xlfn.NORM.DIST(AB$3,economics!$AK$2:$AK$167,economics!$AJ$2:$AJ$167,TRUE)-_xlfn.NORM.DIST(AB$30,economics!$AK$2:$AK$167,economics!$AJ$2:$AJ$167,TRUE))*economics!$AM$2:$AM$167)+$CR8*(_xlfn.NORM.DIST(AB$3,$CU8,0.3*$CU8,TRUE)-_xlfn.NORM.DIST(AB$30,$CU8,0.3*$CU8,TRUE))*summary!$C$7/28.8/0.947817+$CS8*(_xlfn.NORM.DIST(AB$3,$CV8,0.3*$CV8,TRUE)-_xlfn.NORM.DIST(AB$30,$CV8,0.3*$CV8,TRUE))*summary!$C$6/28.8/0.947817)/(SUMPRODUCT((economics!$AG$2:$AG$167=$B37)*(economics!$D$2:$D$167="whr")*economics!$AH$2:$AH$167*(_xlfn.NORM.DIST(AB$3,economics!$AK$2:$AK$167,economics!$AJ$2:$AJ$167,TRUE)-_xlfn.NORM.DIST(AB$30,economics!$AK$2:$AK$167,economics!$AJ$2:$AJ$167,TRUE)))+$CR8*(_xlfn.NORM.DIST(AB$3,$CU8,0.3*$CU8,TRUE)-_xlfn.NORM.DIST(AB$30,$CU8,0.3*$CU8,TRUE))+$CS8*(_xlfn.NORM.DIST(AB$3,$CV8,0.3*$CV8,TRUE)-_xlfn.NORM.DIST(AB$30,$CV8,0.3*$CV8,TRUE))),""),IF($C8&gt;0,summary!$C$10/28.8/0.947817,""))</f>
        <v/>
      </c>
      <c r="AC37">
        <f t="array" ref="AC37">IF($D8,IFERROR((SUMPRODUCT((economics!$AG$2:$AG$167=$B37)*(economics!$D$2:$D$167="whr")*economics!$AH$2:$AH$167*(_xlfn.NORM.DIST(AC$3,economics!$AK$2:$AK$167,economics!$AJ$2:$AJ$167,TRUE)-_xlfn.NORM.DIST(AC$30,economics!$AK$2:$AK$167,economics!$AJ$2:$AJ$167,TRUE))*economics!$AM$2:$AM$167)+$CR8*(_xlfn.NORM.DIST(AC$3,$CU8,0.3*$CU8,TRUE)-_xlfn.NORM.DIST(AC$30,$CU8,0.3*$CU8,TRUE))*summary!$C$7/28.8/0.947817+$CS8*(_xlfn.NORM.DIST(AC$3,$CV8,0.3*$CV8,TRUE)-_xlfn.NORM.DIST(AC$30,$CV8,0.3*$CV8,TRUE))*summary!$C$6/28.8/0.947817)/(SUMPRODUCT((economics!$AG$2:$AG$167=$B37)*(economics!$D$2:$D$167="whr")*economics!$AH$2:$AH$167*(_xlfn.NORM.DIST(AC$3,economics!$AK$2:$AK$167,economics!$AJ$2:$AJ$167,TRUE)-_xlfn.NORM.DIST(AC$30,economics!$AK$2:$AK$167,economics!$AJ$2:$AJ$167,TRUE)))+$CR8*(_xlfn.NORM.DIST(AC$3,$CU8,0.3*$CU8,TRUE)-_xlfn.NORM.DIST(AC$30,$CU8,0.3*$CU8,TRUE))+$CS8*(_xlfn.NORM.DIST(AC$3,$CV8,0.3*$CV8,TRUE)-_xlfn.NORM.DIST(AC$30,$CV8,0.3*$CV8,TRUE))),""),IF($C8&gt;0,summary!$C$10/28.8/0.947817,""))</f>
        <v/>
      </c>
      <c r="AD37">
        <f t="array" ref="AD37">IF($D8,IFERROR((SUMPRODUCT((economics!$AG$2:$AG$167=$B37)*(economics!$D$2:$D$167="whr")*economics!$AH$2:$AH$167*(_xlfn.NORM.DIST(AD$3,economics!$AK$2:$AK$167,economics!$AJ$2:$AJ$167,TRUE)-_xlfn.NORM.DIST(AD$30,economics!$AK$2:$AK$167,economics!$AJ$2:$AJ$167,TRUE))*economics!$AM$2:$AM$167)+$CR8*(_xlfn.NORM.DIST(AD$3,$CU8,0.3*$CU8,TRUE)-_xlfn.NORM.DIST(AD$30,$CU8,0.3*$CU8,TRUE))*summary!$C$7/28.8/0.947817+$CS8*(_xlfn.NORM.DIST(AD$3,$CV8,0.3*$CV8,TRUE)-_xlfn.NORM.DIST(AD$30,$CV8,0.3*$CV8,TRUE))*summary!$C$6/28.8/0.947817)/(SUMPRODUCT((economics!$AG$2:$AG$167=$B37)*(economics!$D$2:$D$167="whr")*economics!$AH$2:$AH$167*(_xlfn.NORM.DIST(AD$3,economics!$AK$2:$AK$167,economics!$AJ$2:$AJ$167,TRUE)-_xlfn.NORM.DIST(AD$30,economics!$AK$2:$AK$167,economics!$AJ$2:$AJ$167,TRUE)))+$CR8*(_xlfn.NORM.DIST(AD$3,$CU8,0.3*$CU8,TRUE)-_xlfn.NORM.DIST(AD$30,$CU8,0.3*$CU8,TRUE))+$CS8*(_xlfn.NORM.DIST(AD$3,$CV8,0.3*$CV8,TRUE)-_xlfn.NORM.DIST(AD$30,$CV8,0.3*$CV8,TRUE))),""),IF($C8&gt;0,summary!$C$10/28.8/0.947817,""))</f>
        <v/>
      </c>
      <c r="AE37">
        <f t="array" ref="AE37">IF($D8,IFERROR((SUMPRODUCT((economics!$AG$2:$AG$167=$B37)*(economics!$D$2:$D$167="whr")*economics!$AH$2:$AH$167*(_xlfn.NORM.DIST(AE$3,economics!$AK$2:$AK$167,economics!$AJ$2:$AJ$167,TRUE)-_xlfn.NORM.DIST(AE$30,economics!$AK$2:$AK$167,economics!$AJ$2:$AJ$167,TRUE))*economics!$AM$2:$AM$167)+$CR8*(_xlfn.NORM.DIST(AE$3,$CU8,0.3*$CU8,TRUE)-_xlfn.NORM.DIST(AE$30,$CU8,0.3*$CU8,TRUE))*summary!$C$7/28.8/0.947817+$CS8*(_xlfn.NORM.DIST(AE$3,$CV8,0.3*$CV8,TRUE)-_xlfn.NORM.DIST(AE$30,$CV8,0.3*$CV8,TRUE))*summary!$C$6/28.8/0.947817)/(SUMPRODUCT((economics!$AG$2:$AG$167=$B37)*(economics!$D$2:$D$167="whr")*economics!$AH$2:$AH$167*(_xlfn.NORM.DIST(AE$3,economics!$AK$2:$AK$167,economics!$AJ$2:$AJ$167,TRUE)-_xlfn.NORM.DIST(AE$30,economics!$AK$2:$AK$167,economics!$AJ$2:$AJ$167,TRUE)))+$CR8*(_xlfn.NORM.DIST(AE$3,$CU8,0.3*$CU8,TRUE)-_xlfn.NORM.DIST(AE$30,$CU8,0.3*$CU8,TRUE))+$CS8*(_xlfn.NORM.DIST(AE$3,$CV8,0.3*$CV8,TRUE)-_xlfn.NORM.DIST(AE$30,$CV8,0.3*$CV8,TRUE))),""),IF($C8&gt;0,summary!$C$10/28.8/0.947817,""))</f>
        <v/>
      </c>
      <c r="AF37">
        <f t="array" ref="AF37">IF($D8,IFERROR((SUMPRODUCT((economics!$AG$2:$AG$167=$B37)*(economics!$D$2:$D$167="whr")*economics!$AH$2:$AH$167*(_xlfn.NORM.DIST(AF$3,economics!$AK$2:$AK$167,economics!$AJ$2:$AJ$167,TRUE)-_xlfn.NORM.DIST(AF$30,economics!$AK$2:$AK$167,economics!$AJ$2:$AJ$167,TRUE))*economics!$AM$2:$AM$167)+$CR8*(_xlfn.NORM.DIST(AF$3,$CU8,0.3*$CU8,TRUE)-_xlfn.NORM.DIST(AF$30,$CU8,0.3*$CU8,TRUE))*summary!$C$7/28.8/0.947817+$CS8*(_xlfn.NORM.DIST(AF$3,$CV8,0.3*$CV8,TRUE)-_xlfn.NORM.DIST(AF$30,$CV8,0.3*$CV8,TRUE))*summary!$C$6/28.8/0.947817)/(SUMPRODUCT((economics!$AG$2:$AG$167=$B37)*(economics!$D$2:$D$167="whr")*economics!$AH$2:$AH$167*(_xlfn.NORM.DIST(AF$3,economics!$AK$2:$AK$167,economics!$AJ$2:$AJ$167,TRUE)-_xlfn.NORM.DIST(AF$30,economics!$AK$2:$AK$167,economics!$AJ$2:$AJ$167,TRUE)))+$CR8*(_xlfn.NORM.DIST(AF$3,$CU8,0.3*$CU8,TRUE)-_xlfn.NORM.DIST(AF$30,$CU8,0.3*$CU8,TRUE))+$CS8*(_xlfn.NORM.DIST(AF$3,$CV8,0.3*$CV8,TRUE)-_xlfn.NORM.DIST(AF$30,$CV8,0.3*$CV8,TRUE))),""),IF($C8&gt;0,summary!$C$10/28.8/0.947817,""))</f>
        <v/>
      </c>
      <c r="AG37">
        <f t="array" ref="AG37">IF($D8,IFERROR((SUMPRODUCT((economics!$AG$2:$AG$167=$B37)*(economics!$D$2:$D$167="whr")*economics!$AH$2:$AH$167*(_xlfn.NORM.DIST(AG$3,economics!$AK$2:$AK$167,economics!$AJ$2:$AJ$167,TRUE)-_xlfn.NORM.DIST(AG$30,economics!$AK$2:$AK$167,economics!$AJ$2:$AJ$167,TRUE))*economics!$AM$2:$AM$167)+$CR8*(_xlfn.NORM.DIST(AG$3,$CU8,0.3*$CU8,TRUE)-_xlfn.NORM.DIST(AG$30,$CU8,0.3*$CU8,TRUE))*summary!$C$7/28.8/0.947817+$CS8*(_xlfn.NORM.DIST(AG$3,$CV8,0.3*$CV8,TRUE)-_xlfn.NORM.DIST(AG$30,$CV8,0.3*$CV8,TRUE))*summary!$C$6/28.8/0.947817)/(SUMPRODUCT((economics!$AG$2:$AG$167=$B37)*(economics!$D$2:$D$167="whr")*economics!$AH$2:$AH$167*(_xlfn.NORM.DIST(AG$3,economics!$AK$2:$AK$167,economics!$AJ$2:$AJ$167,TRUE)-_xlfn.NORM.DIST(AG$30,economics!$AK$2:$AK$167,economics!$AJ$2:$AJ$167,TRUE)))+$CR8*(_xlfn.NORM.DIST(AG$3,$CU8,0.3*$CU8,TRUE)-_xlfn.NORM.DIST(AG$30,$CU8,0.3*$CU8,TRUE))+$CS8*(_xlfn.NORM.DIST(AG$3,$CV8,0.3*$CV8,TRUE)-_xlfn.NORM.DIST(AG$30,$CV8,0.3*$CV8,TRUE))),""),IF($C8&gt;0,summary!$C$10/28.8/0.947817,""))</f>
        <v/>
      </c>
      <c r="AH37">
        <f t="array" ref="AH37">IF($D8,IFERROR((SUMPRODUCT((economics!$AG$2:$AG$167=$B37)*(economics!$D$2:$D$167="whr")*economics!$AH$2:$AH$167*(_xlfn.NORM.DIST(AH$3,economics!$AK$2:$AK$167,economics!$AJ$2:$AJ$167,TRUE)-_xlfn.NORM.DIST(AH$30,economics!$AK$2:$AK$167,economics!$AJ$2:$AJ$167,TRUE))*economics!$AM$2:$AM$167)+$CR8*(_xlfn.NORM.DIST(AH$3,$CU8,0.3*$CU8,TRUE)-_xlfn.NORM.DIST(AH$30,$CU8,0.3*$CU8,TRUE))*summary!$C$7/28.8/0.947817+$CS8*(_xlfn.NORM.DIST(AH$3,$CV8,0.3*$CV8,TRUE)-_xlfn.NORM.DIST(AH$30,$CV8,0.3*$CV8,TRUE))*summary!$C$6/28.8/0.947817)/(SUMPRODUCT((economics!$AG$2:$AG$167=$B37)*(economics!$D$2:$D$167="whr")*economics!$AH$2:$AH$167*(_xlfn.NORM.DIST(AH$3,economics!$AK$2:$AK$167,economics!$AJ$2:$AJ$167,TRUE)-_xlfn.NORM.DIST(AH$30,economics!$AK$2:$AK$167,economics!$AJ$2:$AJ$167,TRUE)))+$CR8*(_xlfn.NORM.DIST(AH$3,$CU8,0.3*$CU8,TRUE)-_xlfn.NORM.DIST(AH$30,$CU8,0.3*$CU8,TRUE))+$CS8*(_xlfn.NORM.DIST(AH$3,$CV8,0.3*$CV8,TRUE)-_xlfn.NORM.DIST(AH$30,$CV8,0.3*$CV8,TRUE))),""),IF($C8&gt;0,summary!$C$10/28.8/0.947817,""))</f>
        <v/>
      </c>
      <c r="AI37">
        <f t="array" ref="AI37">IF($D8,IFERROR((SUMPRODUCT((economics!$AG$2:$AG$167=$B37)*(economics!$D$2:$D$167="whr")*economics!$AH$2:$AH$167*(_xlfn.NORM.DIST(AI$3,economics!$AK$2:$AK$167,economics!$AJ$2:$AJ$167,TRUE)-_xlfn.NORM.DIST(AI$30,economics!$AK$2:$AK$167,economics!$AJ$2:$AJ$167,TRUE))*economics!$AM$2:$AM$167)+$CR8*(_xlfn.NORM.DIST(AI$3,$CU8,0.3*$CU8,TRUE)-_xlfn.NORM.DIST(AI$30,$CU8,0.3*$CU8,TRUE))*summary!$C$7/28.8/0.947817+$CS8*(_xlfn.NORM.DIST(AI$3,$CV8,0.3*$CV8,TRUE)-_xlfn.NORM.DIST(AI$30,$CV8,0.3*$CV8,TRUE))*summary!$C$6/28.8/0.947817)/(SUMPRODUCT((economics!$AG$2:$AG$167=$B37)*(economics!$D$2:$D$167="whr")*economics!$AH$2:$AH$167*(_xlfn.NORM.DIST(AI$3,economics!$AK$2:$AK$167,economics!$AJ$2:$AJ$167,TRUE)-_xlfn.NORM.DIST(AI$30,economics!$AK$2:$AK$167,economics!$AJ$2:$AJ$167,TRUE)))+$CR8*(_xlfn.NORM.DIST(AI$3,$CU8,0.3*$CU8,TRUE)-_xlfn.NORM.DIST(AI$30,$CU8,0.3*$CU8,TRUE))+$CS8*(_xlfn.NORM.DIST(AI$3,$CV8,0.3*$CV8,TRUE)-_xlfn.NORM.DIST(AI$30,$CV8,0.3*$CV8,TRUE))),""),IF($C8&gt;0,summary!$C$10/28.8/0.947817,""))</f>
        <v/>
      </c>
      <c r="AJ37">
        <f t="array" ref="AJ37">IF($D8,IFERROR((SUMPRODUCT((economics!$AG$2:$AG$167=$B37)*(economics!$D$2:$D$167="whr")*economics!$AH$2:$AH$167*(_xlfn.NORM.DIST(AJ$3,economics!$AK$2:$AK$167,economics!$AJ$2:$AJ$167,TRUE)-_xlfn.NORM.DIST(AJ$30,economics!$AK$2:$AK$167,economics!$AJ$2:$AJ$167,TRUE))*economics!$AM$2:$AM$167)+$CR8*(_xlfn.NORM.DIST(AJ$3,$CU8,0.3*$CU8,TRUE)-_xlfn.NORM.DIST(AJ$30,$CU8,0.3*$CU8,TRUE))*summary!$C$7/28.8/0.947817+$CS8*(_xlfn.NORM.DIST(AJ$3,$CV8,0.3*$CV8,TRUE)-_xlfn.NORM.DIST(AJ$30,$CV8,0.3*$CV8,TRUE))*summary!$C$6/28.8/0.947817)/(SUMPRODUCT((economics!$AG$2:$AG$167=$B37)*(economics!$D$2:$D$167="whr")*economics!$AH$2:$AH$167*(_xlfn.NORM.DIST(AJ$3,economics!$AK$2:$AK$167,economics!$AJ$2:$AJ$167,TRUE)-_xlfn.NORM.DIST(AJ$30,economics!$AK$2:$AK$167,economics!$AJ$2:$AJ$167,TRUE)))+$CR8*(_xlfn.NORM.DIST(AJ$3,$CU8,0.3*$CU8,TRUE)-_xlfn.NORM.DIST(AJ$30,$CU8,0.3*$CU8,TRUE))+$CS8*(_xlfn.NORM.DIST(AJ$3,$CV8,0.3*$CV8,TRUE)-_xlfn.NORM.DIST(AJ$30,$CV8,0.3*$CV8,TRUE))),""),IF($C8&gt;0,summary!$C$10/28.8/0.947817,""))</f>
        <v/>
      </c>
      <c r="AK37">
        <f t="array" ref="AK37">IF($D8,IFERROR((SUMPRODUCT((economics!$AG$2:$AG$167=$B37)*(economics!$D$2:$D$167="whr")*economics!$AH$2:$AH$167*(_xlfn.NORM.DIST(AK$3,economics!$AK$2:$AK$167,economics!$AJ$2:$AJ$167,TRUE)-_xlfn.NORM.DIST(AK$30,economics!$AK$2:$AK$167,economics!$AJ$2:$AJ$167,TRUE))*economics!$AM$2:$AM$167)+$CR8*(_xlfn.NORM.DIST(AK$3,$CU8,0.3*$CU8,TRUE)-_xlfn.NORM.DIST(AK$30,$CU8,0.3*$CU8,TRUE))*summary!$C$7/28.8/0.947817+$CS8*(_xlfn.NORM.DIST(AK$3,$CV8,0.3*$CV8,TRUE)-_xlfn.NORM.DIST(AK$30,$CV8,0.3*$CV8,TRUE))*summary!$C$6/28.8/0.947817)/(SUMPRODUCT((economics!$AG$2:$AG$167=$B37)*(economics!$D$2:$D$167="whr")*economics!$AH$2:$AH$167*(_xlfn.NORM.DIST(AK$3,economics!$AK$2:$AK$167,economics!$AJ$2:$AJ$167,TRUE)-_xlfn.NORM.DIST(AK$30,economics!$AK$2:$AK$167,economics!$AJ$2:$AJ$167,TRUE)))+$CR8*(_xlfn.NORM.DIST(AK$3,$CU8,0.3*$CU8,TRUE)-_xlfn.NORM.DIST(AK$30,$CU8,0.3*$CU8,TRUE))+$CS8*(_xlfn.NORM.DIST(AK$3,$CV8,0.3*$CV8,TRUE)-_xlfn.NORM.DIST(AK$30,$CV8,0.3*$CV8,TRUE))),""),IF($C8&gt;0,summary!$C$10/28.8/0.947817,""))</f>
        <v/>
      </c>
      <c r="AL37">
        <f t="array" ref="AL37">IF($D8,IFERROR((SUMPRODUCT((economics!$AG$2:$AG$167=$B37)*(economics!$D$2:$D$167="whr")*economics!$AH$2:$AH$167*(_xlfn.NORM.DIST(AL$3,economics!$AK$2:$AK$167,economics!$AJ$2:$AJ$167,TRUE)-_xlfn.NORM.DIST(AL$30,economics!$AK$2:$AK$167,economics!$AJ$2:$AJ$167,TRUE))*economics!$AM$2:$AM$167)+$CR8*(_xlfn.NORM.DIST(AL$3,$CU8,0.3*$CU8,TRUE)-_xlfn.NORM.DIST(AL$30,$CU8,0.3*$CU8,TRUE))*summary!$C$7/28.8/0.947817+$CS8*(_xlfn.NORM.DIST(AL$3,$CV8,0.3*$CV8,TRUE)-_xlfn.NORM.DIST(AL$30,$CV8,0.3*$CV8,TRUE))*summary!$C$6/28.8/0.947817)/(SUMPRODUCT((economics!$AG$2:$AG$167=$B37)*(economics!$D$2:$D$167="whr")*economics!$AH$2:$AH$167*(_xlfn.NORM.DIST(AL$3,economics!$AK$2:$AK$167,economics!$AJ$2:$AJ$167,TRUE)-_xlfn.NORM.DIST(AL$30,economics!$AK$2:$AK$167,economics!$AJ$2:$AJ$167,TRUE)))+$CR8*(_xlfn.NORM.DIST(AL$3,$CU8,0.3*$CU8,TRUE)-_xlfn.NORM.DIST(AL$30,$CU8,0.3*$CU8,TRUE))+$CS8*(_xlfn.NORM.DIST(AL$3,$CV8,0.3*$CV8,TRUE)-_xlfn.NORM.DIST(AL$30,$CV8,0.3*$CV8,TRUE))),""),IF($C8&gt;0,summary!$C$10/28.8/0.947817,""))</f>
        <v/>
      </c>
      <c r="AM37">
        <f t="array" ref="AM37">IF($D8,IFERROR((SUMPRODUCT((economics!$AG$2:$AG$167=$B37)*(economics!$D$2:$D$167="whr")*economics!$AH$2:$AH$167*(_xlfn.NORM.DIST(AM$3,economics!$AK$2:$AK$167,economics!$AJ$2:$AJ$167,TRUE)-_xlfn.NORM.DIST(AM$30,economics!$AK$2:$AK$167,economics!$AJ$2:$AJ$167,TRUE))*economics!$AM$2:$AM$167)+$CR8*(_xlfn.NORM.DIST(AM$3,$CU8,0.3*$CU8,TRUE)-_xlfn.NORM.DIST(AM$30,$CU8,0.3*$CU8,TRUE))*summary!$C$7/28.8/0.947817+$CS8*(_xlfn.NORM.DIST(AM$3,$CV8,0.3*$CV8,TRUE)-_xlfn.NORM.DIST(AM$30,$CV8,0.3*$CV8,TRUE))*summary!$C$6/28.8/0.947817)/(SUMPRODUCT((economics!$AG$2:$AG$167=$B37)*(economics!$D$2:$D$167="whr")*economics!$AH$2:$AH$167*(_xlfn.NORM.DIST(AM$3,economics!$AK$2:$AK$167,economics!$AJ$2:$AJ$167,TRUE)-_xlfn.NORM.DIST(AM$30,economics!$AK$2:$AK$167,economics!$AJ$2:$AJ$167,TRUE)))+$CR8*(_xlfn.NORM.DIST(AM$3,$CU8,0.3*$CU8,TRUE)-_xlfn.NORM.DIST(AM$30,$CU8,0.3*$CU8,TRUE))+$CS8*(_xlfn.NORM.DIST(AM$3,$CV8,0.3*$CV8,TRUE)-_xlfn.NORM.DIST(AM$30,$CV8,0.3*$CV8,TRUE))),""),IF($C8&gt;0,summary!$C$10/28.8/0.947817,""))</f>
        <v/>
      </c>
      <c r="AN37">
        <f t="array" ref="AN37">IF($D8,IFERROR((SUMPRODUCT((economics!$AG$2:$AG$167=$B37)*(economics!$D$2:$D$167="whr")*economics!$AH$2:$AH$167*(_xlfn.NORM.DIST(AN$3,economics!$AK$2:$AK$167,economics!$AJ$2:$AJ$167,TRUE)-_xlfn.NORM.DIST(AN$30,economics!$AK$2:$AK$167,economics!$AJ$2:$AJ$167,TRUE))*economics!$AM$2:$AM$167)+$CR8*(_xlfn.NORM.DIST(AN$3,$CU8,0.3*$CU8,TRUE)-_xlfn.NORM.DIST(AN$30,$CU8,0.3*$CU8,TRUE))*summary!$C$7/28.8/0.947817+$CS8*(_xlfn.NORM.DIST(AN$3,$CV8,0.3*$CV8,TRUE)-_xlfn.NORM.DIST(AN$30,$CV8,0.3*$CV8,TRUE))*summary!$C$6/28.8/0.947817)/(SUMPRODUCT((economics!$AG$2:$AG$167=$B37)*(economics!$D$2:$D$167="whr")*economics!$AH$2:$AH$167*(_xlfn.NORM.DIST(AN$3,economics!$AK$2:$AK$167,economics!$AJ$2:$AJ$167,TRUE)-_xlfn.NORM.DIST(AN$30,economics!$AK$2:$AK$167,economics!$AJ$2:$AJ$167,TRUE)))+$CR8*(_xlfn.NORM.DIST(AN$3,$CU8,0.3*$CU8,TRUE)-_xlfn.NORM.DIST(AN$30,$CU8,0.3*$CU8,TRUE))+$CS8*(_xlfn.NORM.DIST(AN$3,$CV8,0.3*$CV8,TRUE)-_xlfn.NORM.DIST(AN$30,$CV8,0.3*$CV8,TRUE))),""),IF($C8&gt;0,summary!$C$10/28.8/0.947817,""))</f>
        <v/>
      </c>
      <c r="AO37">
        <f t="array" ref="AO37">IF($D8,IFERROR((SUMPRODUCT((economics!$AG$2:$AG$167=$B37)*(economics!$D$2:$D$167="whr")*economics!$AH$2:$AH$167*(_xlfn.NORM.DIST(AO$3,economics!$AK$2:$AK$167,economics!$AJ$2:$AJ$167,TRUE)-_xlfn.NORM.DIST(AO$30,economics!$AK$2:$AK$167,economics!$AJ$2:$AJ$167,TRUE))*economics!$AM$2:$AM$167)+$CR8*(_xlfn.NORM.DIST(AO$3,$CU8,0.3*$CU8,TRUE)-_xlfn.NORM.DIST(AO$30,$CU8,0.3*$CU8,TRUE))*summary!$C$7/28.8/0.947817+$CS8*(_xlfn.NORM.DIST(AO$3,$CV8,0.3*$CV8,TRUE)-_xlfn.NORM.DIST(AO$30,$CV8,0.3*$CV8,TRUE))*summary!$C$6/28.8/0.947817)/(SUMPRODUCT((economics!$AG$2:$AG$167=$B37)*(economics!$D$2:$D$167="whr")*economics!$AH$2:$AH$167*(_xlfn.NORM.DIST(AO$3,economics!$AK$2:$AK$167,economics!$AJ$2:$AJ$167,TRUE)-_xlfn.NORM.DIST(AO$30,economics!$AK$2:$AK$167,economics!$AJ$2:$AJ$167,TRUE)))+$CR8*(_xlfn.NORM.DIST(AO$3,$CU8,0.3*$CU8,TRUE)-_xlfn.NORM.DIST(AO$30,$CU8,0.3*$CU8,TRUE))+$CS8*(_xlfn.NORM.DIST(AO$3,$CV8,0.3*$CV8,TRUE)-_xlfn.NORM.DIST(AO$30,$CV8,0.3*$CV8,TRUE))),""),IF($C8&gt;0,summary!$C$10/28.8/0.947817,""))</f>
        <v/>
      </c>
      <c r="AP37">
        <f t="array" ref="AP37">IF($D8,IFERROR((SUMPRODUCT((economics!$AG$2:$AG$167=$B37)*(economics!$D$2:$D$167="whr")*economics!$AH$2:$AH$167*(_xlfn.NORM.DIST(AP$3,economics!$AK$2:$AK$167,economics!$AJ$2:$AJ$167,TRUE)-_xlfn.NORM.DIST(AP$30,economics!$AK$2:$AK$167,economics!$AJ$2:$AJ$167,TRUE))*economics!$AM$2:$AM$167)+$CR8*(_xlfn.NORM.DIST(AP$3,$CU8,0.3*$CU8,TRUE)-_xlfn.NORM.DIST(AP$30,$CU8,0.3*$CU8,TRUE))*summary!$C$7/28.8/0.947817+$CS8*(_xlfn.NORM.DIST(AP$3,$CV8,0.3*$CV8,TRUE)-_xlfn.NORM.DIST(AP$30,$CV8,0.3*$CV8,TRUE))*summary!$C$6/28.8/0.947817)/(SUMPRODUCT((economics!$AG$2:$AG$167=$B37)*(economics!$D$2:$D$167="whr")*economics!$AH$2:$AH$167*(_xlfn.NORM.DIST(AP$3,economics!$AK$2:$AK$167,economics!$AJ$2:$AJ$167,TRUE)-_xlfn.NORM.DIST(AP$30,economics!$AK$2:$AK$167,economics!$AJ$2:$AJ$167,TRUE)))+$CR8*(_xlfn.NORM.DIST(AP$3,$CU8,0.3*$CU8,TRUE)-_xlfn.NORM.DIST(AP$30,$CU8,0.3*$CU8,TRUE))+$CS8*(_xlfn.NORM.DIST(AP$3,$CV8,0.3*$CV8,TRUE)-_xlfn.NORM.DIST(AP$30,$CV8,0.3*$CV8,TRUE))),""),IF($C8&gt;0,summary!$C$10/28.8/0.947817,""))</f>
        <v/>
      </c>
      <c r="AQ37">
        <f t="array" ref="AQ37">IF($D8,IFERROR((SUMPRODUCT((economics!$AG$2:$AG$167=$B37)*(economics!$D$2:$D$167="whr")*economics!$AH$2:$AH$167*(_xlfn.NORM.DIST(AQ$3,economics!$AK$2:$AK$167,economics!$AJ$2:$AJ$167,TRUE)-_xlfn.NORM.DIST(AQ$30,economics!$AK$2:$AK$167,economics!$AJ$2:$AJ$167,TRUE))*economics!$AM$2:$AM$167)+$CR8*(_xlfn.NORM.DIST(AQ$3,$CU8,0.3*$CU8,TRUE)-_xlfn.NORM.DIST(AQ$30,$CU8,0.3*$CU8,TRUE))*summary!$C$7/28.8/0.947817+$CS8*(_xlfn.NORM.DIST(AQ$3,$CV8,0.3*$CV8,TRUE)-_xlfn.NORM.DIST(AQ$30,$CV8,0.3*$CV8,TRUE))*summary!$C$6/28.8/0.947817)/(SUMPRODUCT((economics!$AG$2:$AG$167=$B37)*(economics!$D$2:$D$167="whr")*economics!$AH$2:$AH$167*(_xlfn.NORM.DIST(AQ$3,economics!$AK$2:$AK$167,economics!$AJ$2:$AJ$167,TRUE)-_xlfn.NORM.DIST(AQ$30,economics!$AK$2:$AK$167,economics!$AJ$2:$AJ$167,TRUE)))+$CR8*(_xlfn.NORM.DIST(AQ$3,$CU8,0.3*$CU8,TRUE)-_xlfn.NORM.DIST(AQ$30,$CU8,0.3*$CU8,TRUE))+$CS8*(_xlfn.NORM.DIST(AQ$3,$CV8,0.3*$CV8,TRUE)-_xlfn.NORM.DIST(AQ$30,$CV8,0.3*$CV8,TRUE))),""),IF($C8&gt;0,summary!$C$10/28.8/0.947817,""))</f>
        <v/>
      </c>
      <c r="AR37">
        <f t="array" ref="AR37">IF($D8,IFERROR((SUMPRODUCT((economics!$AG$2:$AG$167=$B37)*(economics!$D$2:$D$167="whr")*economics!$AH$2:$AH$167*(_xlfn.NORM.DIST(AR$3,economics!$AK$2:$AK$167,economics!$AJ$2:$AJ$167,TRUE)-_xlfn.NORM.DIST(AR$30,economics!$AK$2:$AK$167,economics!$AJ$2:$AJ$167,TRUE))*economics!$AM$2:$AM$167)+$CR8*(_xlfn.NORM.DIST(AR$3,$CU8,0.3*$CU8,TRUE)-_xlfn.NORM.DIST(AR$30,$CU8,0.3*$CU8,TRUE))*summary!$C$7/28.8/0.947817+$CS8*(_xlfn.NORM.DIST(AR$3,$CV8,0.3*$CV8,TRUE)-_xlfn.NORM.DIST(AR$30,$CV8,0.3*$CV8,TRUE))*summary!$C$6/28.8/0.947817)/(SUMPRODUCT((economics!$AG$2:$AG$167=$B37)*(economics!$D$2:$D$167="whr")*economics!$AH$2:$AH$167*(_xlfn.NORM.DIST(AR$3,economics!$AK$2:$AK$167,economics!$AJ$2:$AJ$167,TRUE)-_xlfn.NORM.DIST(AR$30,economics!$AK$2:$AK$167,economics!$AJ$2:$AJ$167,TRUE)))+$CR8*(_xlfn.NORM.DIST(AR$3,$CU8,0.3*$CU8,TRUE)-_xlfn.NORM.DIST(AR$30,$CU8,0.3*$CU8,TRUE))+$CS8*(_xlfn.NORM.DIST(AR$3,$CV8,0.3*$CV8,TRUE)-_xlfn.NORM.DIST(AR$30,$CV8,0.3*$CV8,TRUE))),""),IF($C8&gt;0,summary!$C$10/28.8/0.947817,""))</f>
        <v/>
      </c>
      <c r="AS37">
        <f t="array" ref="AS37">IF($D8,IFERROR((SUMPRODUCT((economics!$AG$2:$AG$167=$B37)*(economics!$D$2:$D$167="whr")*economics!$AH$2:$AH$167*(_xlfn.NORM.DIST(AS$3,economics!$AK$2:$AK$167,economics!$AJ$2:$AJ$167,TRUE)-_xlfn.NORM.DIST(AS$30,economics!$AK$2:$AK$167,economics!$AJ$2:$AJ$167,TRUE))*economics!$AM$2:$AM$167)+$CR8*(_xlfn.NORM.DIST(AS$3,$CU8,0.3*$CU8,TRUE)-_xlfn.NORM.DIST(AS$30,$CU8,0.3*$CU8,TRUE))*summary!$C$7/28.8/0.947817+$CS8*(_xlfn.NORM.DIST(AS$3,$CV8,0.3*$CV8,TRUE)-_xlfn.NORM.DIST(AS$30,$CV8,0.3*$CV8,TRUE))*summary!$C$6/28.8/0.947817)/(SUMPRODUCT((economics!$AG$2:$AG$167=$B37)*(economics!$D$2:$D$167="whr")*economics!$AH$2:$AH$167*(_xlfn.NORM.DIST(AS$3,economics!$AK$2:$AK$167,economics!$AJ$2:$AJ$167,TRUE)-_xlfn.NORM.DIST(AS$30,economics!$AK$2:$AK$167,economics!$AJ$2:$AJ$167,TRUE)))+$CR8*(_xlfn.NORM.DIST(AS$3,$CU8,0.3*$CU8,TRUE)-_xlfn.NORM.DIST(AS$30,$CU8,0.3*$CU8,TRUE))+$CS8*(_xlfn.NORM.DIST(AS$3,$CV8,0.3*$CV8,TRUE)-_xlfn.NORM.DIST(AS$30,$CV8,0.3*$CV8,TRUE))),""),IF($C8&gt;0,summary!$C$10/28.8/0.947817,""))</f>
        <v/>
      </c>
      <c r="AT37">
        <f t="array" ref="AT37">IF($D8,IFERROR((SUMPRODUCT((economics!$AG$2:$AG$167=$B37)*(economics!$D$2:$D$167="whr")*economics!$AH$2:$AH$167*(_xlfn.NORM.DIST(AT$3,economics!$AK$2:$AK$167,economics!$AJ$2:$AJ$167,TRUE)-_xlfn.NORM.DIST(AT$30,economics!$AK$2:$AK$167,economics!$AJ$2:$AJ$167,TRUE))*economics!$AM$2:$AM$167)+$CR8*(_xlfn.NORM.DIST(AT$3,$CU8,0.3*$CU8,TRUE)-_xlfn.NORM.DIST(AT$30,$CU8,0.3*$CU8,TRUE))*summary!$C$7/28.8/0.947817+$CS8*(_xlfn.NORM.DIST(AT$3,$CV8,0.3*$CV8,TRUE)-_xlfn.NORM.DIST(AT$30,$CV8,0.3*$CV8,TRUE))*summary!$C$6/28.8/0.947817)/(SUMPRODUCT((economics!$AG$2:$AG$167=$B37)*(economics!$D$2:$D$167="whr")*economics!$AH$2:$AH$167*(_xlfn.NORM.DIST(AT$3,economics!$AK$2:$AK$167,economics!$AJ$2:$AJ$167,TRUE)-_xlfn.NORM.DIST(AT$30,economics!$AK$2:$AK$167,economics!$AJ$2:$AJ$167,TRUE)))+$CR8*(_xlfn.NORM.DIST(AT$3,$CU8,0.3*$CU8,TRUE)-_xlfn.NORM.DIST(AT$30,$CU8,0.3*$CU8,TRUE))+$CS8*(_xlfn.NORM.DIST(AT$3,$CV8,0.3*$CV8,TRUE)-_xlfn.NORM.DIST(AT$30,$CV8,0.3*$CV8,TRUE))),""),IF($C8&gt;0,summary!$C$10/28.8/0.947817,""))</f>
        <v/>
      </c>
      <c r="AU37">
        <f t="array" ref="AU37">IF($D8,IFERROR((SUMPRODUCT((economics!$AG$2:$AG$167=$B37)*(economics!$D$2:$D$167="whr")*economics!$AH$2:$AH$167*(_xlfn.NORM.DIST(AU$3,economics!$AK$2:$AK$167,economics!$AJ$2:$AJ$167,TRUE)-_xlfn.NORM.DIST(AU$30,economics!$AK$2:$AK$167,economics!$AJ$2:$AJ$167,TRUE))*economics!$AM$2:$AM$167)+$CR8*(_xlfn.NORM.DIST(AU$3,$CU8,0.3*$CU8,TRUE)-_xlfn.NORM.DIST(AU$30,$CU8,0.3*$CU8,TRUE))*summary!$C$7/28.8/0.947817+$CS8*(_xlfn.NORM.DIST(AU$3,$CV8,0.3*$CV8,TRUE)-_xlfn.NORM.DIST(AU$30,$CV8,0.3*$CV8,TRUE))*summary!$C$6/28.8/0.947817)/(SUMPRODUCT((economics!$AG$2:$AG$167=$B37)*(economics!$D$2:$D$167="whr")*economics!$AH$2:$AH$167*(_xlfn.NORM.DIST(AU$3,economics!$AK$2:$AK$167,economics!$AJ$2:$AJ$167,TRUE)-_xlfn.NORM.DIST(AU$30,economics!$AK$2:$AK$167,economics!$AJ$2:$AJ$167,TRUE)))+$CR8*(_xlfn.NORM.DIST(AU$3,$CU8,0.3*$CU8,TRUE)-_xlfn.NORM.DIST(AU$30,$CU8,0.3*$CU8,TRUE))+$CS8*(_xlfn.NORM.DIST(AU$3,$CV8,0.3*$CV8,TRUE)-_xlfn.NORM.DIST(AU$30,$CV8,0.3*$CV8,TRUE))),""),IF($C8&gt;0,summary!$C$10/28.8/0.947817,""))</f>
        <v/>
      </c>
      <c r="AV37">
        <f t="array" ref="AV37">IF($D8,IFERROR((SUMPRODUCT((economics!$AG$2:$AG$167=$B37)*(economics!$D$2:$D$167="whr")*economics!$AH$2:$AH$167*(_xlfn.NORM.DIST(AV$3,economics!$AK$2:$AK$167,economics!$AJ$2:$AJ$167,TRUE)-_xlfn.NORM.DIST(AV$30,economics!$AK$2:$AK$167,economics!$AJ$2:$AJ$167,TRUE))*economics!$AM$2:$AM$167)+$CR8*(_xlfn.NORM.DIST(AV$3,$CU8,0.3*$CU8,TRUE)-_xlfn.NORM.DIST(AV$30,$CU8,0.3*$CU8,TRUE))*summary!$C$7/28.8/0.947817+$CS8*(_xlfn.NORM.DIST(AV$3,$CV8,0.3*$CV8,TRUE)-_xlfn.NORM.DIST(AV$30,$CV8,0.3*$CV8,TRUE))*summary!$C$6/28.8/0.947817)/(SUMPRODUCT((economics!$AG$2:$AG$167=$B37)*(economics!$D$2:$D$167="whr")*economics!$AH$2:$AH$167*(_xlfn.NORM.DIST(AV$3,economics!$AK$2:$AK$167,economics!$AJ$2:$AJ$167,TRUE)-_xlfn.NORM.DIST(AV$30,economics!$AK$2:$AK$167,economics!$AJ$2:$AJ$167,TRUE)))+$CR8*(_xlfn.NORM.DIST(AV$3,$CU8,0.3*$CU8,TRUE)-_xlfn.NORM.DIST(AV$30,$CU8,0.3*$CU8,TRUE))+$CS8*(_xlfn.NORM.DIST(AV$3,$CV8,0.3*$CV8,TRUE)-_xlfn.NORM.DIST(AV$30,$CV8,0.3*$CV8,TRUE))),""),IF($C8&gt;0,summary!$C$10/28.8/0.947817,""))</f>
        <v/>
      </c>
      <c r="AW37">
        <f t="array" ref="AW37">IF($D8,IFERROR((SUMPRODUCT((economics!$AG$2:$AG$167=$B37)*(economics!$D$2:$D$167="whr")*economics!$AH$2:$AH$167*(_xlfn.NORM.DIST(AW$3,economics!$AK$2:$AK$167,economics!$AJ$2:$AJ$167,TRUE)-_xlfn.NORM.DIST(AW$30,economics!$AK$2:$AK$167,economics!$AJ$2:$AJ$167,TRUE))*economics!$AM$2:$AM$167)+$CR8*(_xlfn.NORM.DIST(AW$3,$CU8,0.3*$CU8,TRUE)-_xlfn.NORM.DIST(AW$30,$CU8,0.3*$CU8,TRUE))*summary!$C$7/28.8/0.947817+$CS8*(_xlfn.NORM.DIST(AW$3,$CV8,0.3*$CV8,TRUE)-_xlfn.NORM.DIST(AW$30,$CV8,0.3*$CV8,TRUE))*summary!$C$6/28.8/0.947817)/(SUMPRODUCT((economics!$AG$2:$AG$167=$B37)*(economics!$D$2:$D$167="whr")*economics!$AH$2:$AH$167*(_xlfn.NORM.DIST(AW$3,economics!$AK$2:$AK$167,economics!$AJ$2:$AJ$167,TRUE)-_xlfn.NORM.DIST(AW$30,economics!$AK$2:$AK$167,economics!$AJ$2:$AJ$167,TRUE)))+$CR8*(_xlfn.NORM.DIST(AW$3,$CU8,0.3*$CU8,TRUE)-_xlfn.NORM.DIST(AW$30,$CU8,0.3*$CU8,TRUE))+$CS8*(_xlfn.NORM.DIST(AW$3,$CV8,0.3*$CV8,TRUE)-_xlfn.NORM.DIST(AW$30,$CV8,0.3*$CV8,TRUE))),""),IF($C8&gt;0,summary!$C$10/28.8/0.947817,""))</f>
        <v/>
      </c>
      <c r="AX37">
        <f t="array" ref="AX37">IF($D8,IFERROR((SUMPRODUCT((economics!$AG$2:$AG$167=$B37)*(economics!$D$2:$D$167="whr")*economics!$AH$2:$AH$167*(_xlfn.NORM.DIST(AX$3,economics!$AK$2:$AK$167,economics!$AJ$2:$AJ$167,TRUE)-_xlfn.NORM.DIST(AX$30,economics!$AK$2:$AK$167,economics!$AJ$2:$AJ$167,TRUE))*economics!$AM$2:$AM$167)+$CR8*(_xlfn.NORM.DIST(AX$3,$CU8,0.3*$CU8,TRUE)-_xlfn.NORM.DIST(AX$30,$CU8,0.3*$CU8,TRUE))*summary!$C$7/28.8/0.947817+$CS8*(_xlfn.NORM.DIST(AX$3,$CV8,0.3*$CV8,TRUE)-_xlfn.NORM.DIST(AX$30,$CV8,0.3*$CV8,TRUE))*summary!$C$6/28.8/0.947817)/(SUMPRODUCT((economics!$AG$2:$AG$167=$B37)*(economics!$D$2:$D$167="whr")*economics!$AH$2:$AH$167*(_xlfn.NORM.DIST(AX$3,economics!$AK$2:$AK$167,economics!$AJ$2:$AJ$167,TRUE)-_xlfn.NORM.DIST(AX$30,economics!$AK$2:$AK$167,economics!$AJ$2:$AJ$167,TRUE)))+$CR8*(_xlfn.NORM.DIST(AX$3,$CU8,0.3*$CU8,TRUE)-_xlfn.NORM.DIST(AX$30,$CU8,0.3*$CU8,TRUE))+$CS8*(_xlfn.NORM.DIST(AX$3,$CV8,0.3*$CV8,TRUE)-_xlfn.NORM.DIST(AX$30,$CV8,0.3*$CV8,TRUE))),""),IF($C8&gt;0,summary!$C$10/28.8/0.947817,""))</f>
        <v/>
      </c>
      <c r="AY37">
        <f t="array" ref="AY37">IF($D8,IFERROR((SUMPRODUCT((economics!$AG$2:$AG$167=$B37)*(economics!$D$2:$D$167="whr")*economics!$AH$2:$AH$167*(_xlfn.NORM.DIST(AY$3,economics!$AK$2:$AK$167,economics!$AJ$2:$AJ$167,TRUE)-_xlfn.NORM.DIST(AY$30,economics!$AK$2:$AK$167,economics!$AJ$2:$AJ$167,TRUE))*economics!$AM$2:$AM$167)+$CR8*(_xlfn.NORM.DIST(AY$3,$CU8,0.3*$CU8,TRUE)-_xlfn.NORM.DIST(AY$30,$CU8,0.3*$CU8,TRUE))*summary!$C$7/28.8/0.947817+$CS8*(_xlfn.NORM.DIST(AY$3,$CV8,0.3*$CV8,TRUE)-_xlfn.NORM.DIST(AY$30,$CV8,0.3*$CV8,TRUE))*summary!$C$6/28.8/0.947817)/(SUMPRODUCT((economics!$AG$2:$AG$167=$B37)*(economics!$D$2:$D$167="whr")*economics!$AH$2:$AH$167*(_xlfn.NORM.DIST(AY$3,economics!$AK$2:$AK$167,economics!$AJ$2:$AJ$167,TRUE)-_xlfn.NORM.DIST(AY$30,economics!$AK$2:$AK$167,economics!$AJ$2:$AJ$167,TRUE)))+$CR8*(_xlfn.NORM.DIST(AY$3,$CU8,0.3*$CU8,TRUE)-_xlfn.NORM.DIST(AY$30,$CU8,0.3*$CU8,TRUE))+$CS8*(_xlfn.NORM.DIST(AY$3,$CV8,0.3*$CV8,TRUE)-_xlfn.NORM.DIST(AY$30,$CV8,0.3*$CV8,TRUE))),""),IF($C8&gt;0,summary!$C$10/28.8/0.947817,""))</f>
        <v/>
      </c>
      <c r="AZ37">
        <f t="array" ref="AZ37">IF($D8,IFERROR((SUMPRODUCT((economics!$AG$2:$AG$167=$B37)*(economics!$D$2:$D$167="whr")*economics!$AH$2:$AH$167*(_xlfn.NORM.DIST(AZ$3,economics!$AK$2:$AK$167,economics!$AJ$2:$AJ$167,TRUE)-_xlfn.NORM.DIST(AZ$30,economics!$AK$2:$AK$167,economics!$AJ$2:$AJ$167,TRUE))*economics!$AM$2:$AM$167)+$CR8*(_xlfn.NORM.DIST(AZ$3,$CU8,0.3*$CU8,TRUE)-_xlfn.NORM.DIST(AZ$30,$CU8,0.3*$CU8,TRUE))*summary!$C$7/28.8/0.947817+$CS8*(_xlfn.NORM.DIST(AZ$3,$CV8,0.3*$CV8,TRUE)-_xlfn.NORM.DIST(AZ$30,$CV8,0.3*$CV8,TRUE))*summary!$C$6/28.8/0.947817)/(SUMPRODUCT((economics!$AG$2:$AG$167=$B37)*(economics!$D$2:$D$167="whr")*economics!$AH$2:$AH$167*(_xlfn.NORM.DIST(AZ$3,economics!$AK$2:$AK$167,economics!$AJ$2:$AJ$167,TRUE)-_xlfn.NORM.DIST(AZ$30,economics!$AK$2:$AK$167,economics!$AJ$2:$AJ$167,TRUE)))+$CR8*(_xlfn.NORM.DIST(AZ$3,$CU8,0.3*$CU8,TRUE)-_xlfn.NORM.DIST(AZ$30,$CU8,0.3*$CU8,TRUE))+$CS8*(_xlfn.NORM.DIST(AZ$3,$CV8,0.3*$CV8,TRUE)-_xlfn.NORM.DIST(AZ$30,$CV8,0.3*$CV8,TRUE))),""),IF($C8&gt;0,summary!$C$10/28.8/0.947817,""))</f>
        <v/>
      </c>
      <c r="BA37">
        <f t="array" ref="BA37">IF($D8,IFERROR((SUMPRODUCT((economics!$AG$2:$AG$167=$B37)*(economics!$D$2:$D$167="whr")*economics!$AH$2:$AH$167*(_xlfn.NORM.DIST(BA$3,economics!$AK$2:$AK$167,economics!$AJ$2:$AJ$167,TRUE)-_xlfn.NORM.DIST(BA$30,economics!$AK$2:$AK$167,economics!$AJ$2:$AJ$167,TRUE))*economics!$AM$2:$AM$167)+$CR8*(_xlfn.NORM.DIST(BA$3,$CU8,0.3*$CU8,TRUE)-_xlfn.NORM.DIST(BA$30,$CU8,0.3*$CU8,TRUE))*summary!$C$7/28.8/0.947817+$CS8*(_xlfn.NORM.DIST(BA$3,$CV8,0.3*$CV8,TRUE)-_xlfn.NORM.DIST(BA$30,$CV8,0.3*$CV8,TRUE))*summary!$C$6/28.8/0.947817)/(SUMPRODUCT((economics!$AG$2:$AG$167=$B37)*(economics!$D$2:$D$167="whr")*economics!$AH$2:$AH$167*(_xlfn.NORM.DIST(BA$3,economics!$AK$2:$AK$167,economics!$AJ$2:$AJ$167,TRUE)-_xlfn.NORM.DIST(BA$30,economics!$AK$2:$AK$167,economics!$AJ$2:$AJ$167,TRUE)))+$CR8*(_xlfn.NORM.DIST(BA$3,$CU8,0.3*$CU8,TRUE)-_xlfn.NORM.DIST(BA$30,$CU8,0.3*$CU8,TRUE))+$CS8*(_xlfn.NORM.DIST(BA$3,$CV8,0.3*$CV8,TRUE)-_xlfn.NORM.DIST(BA$30,$CV8,0.3*$CV8,TRUE))),""),IF($C8&gt;0,summary!$C$10/28.8/0.947817,""))</f>
        <v/>
      </c>
      <c r="BB37">
        <f t="array" ref="BB37">IF($D8,IFERROR((SUMPRODUCT((economics!$AG$2:$AG$167=$B37)*(economics!$D$2:$D$167="whr")*economics!$AH$2:$AH$167*(_xlfn.NORM.DIST(BB$3,economics!$AK$2:$AK$167,economics!$AJ$2:$AJ$167,TRUE)-_xlfn.NORM.DIST(BB$30,economics!$AK$2:$AK$167,economics!$AJ$2:$AJ$167,TRUE))*economics!$AM$2:$AM$167)+$CR8*(_xlfn.NORM.DIST(BB$3,$CU8,0.3*$CU8,TRUE)-_xlfn.NORM.DIST(BB$30,$CU8,0.3*$CU8,TRUE))*summary!$C$7/28.8/0.947817+$CS8*(_xlfn.NORM.DIST(BB$3,$CV8,0.3*$CV8,TRUE)-_xlfn.NORM.DIST(BB$30,$CV8,0.3*$CV8,TRUE))*summary!$C$6/28.8/0.947817)/(SUMPRODUCT((economics!$AG$2:$AG$167=$B37)*(economics!$D$2:$D$167="whr")*economics!$AH$2:$AH$167*(_xlfn.NORM.DIST(BB$3,economics!$AK$2:$AK$167,economics!$AJ$2:$AJ$167,TRUE)-_xlfn.NORM.DIST(BB$30,economics!$AK$2:$AK$167,economics!$AJ$2:$AJ$167,TRUE)))+$CR8*(_xlfn.NORM.DIST(BB$3,$CU8,0.3*$CU8,TRUE)-_xlfn.NORM.DIST(BB$30,$CU8,0.3*$CU8,TRUE))+$CS8*(_xlfn.NORM.DIST(BB$3,$CV8,0.3*$CV8,TRUE)-_xlfn.NORM.DIST(BB$30,$CV8,0.3*$CV8,TRUE))),""),IF($C8&gt;0,summary!$C$10/28.8/0.947817,""))</f>
        <v/>
      </c>
      <c r="BC37">
        <f t="array" ref="BC37">IF($D8,IFERROR((SUMPRODUCT((economics!$AG$2:$AG$167=$B37)*(economics!$D$2:$D$167="whr")*economics!$AH$2:$AH$167*(_xlfn.NORM.DIST(BC$3,economics!$AK$2:$AK$167,economics!$AJ$2:$AJ$167,TRUE)-_xlfn.NORM.DIST(BC$30,economics!$AK$2:$AK$167,economics!$AJ$2:$AJ$167,TRUE))*economics!$AM$2:$AM$167)+$CR8*(_xlfn.NORM.DIST(BC$3,$CU8,0.3*$CU8,TRUE)-_xlfn.NORM.DIST(BC$30,$CU8,0.3*$CU8,TRUE))*summary!$C$7/28.8/0.947817+$CS8*(_xlfn.NORM.DIST(BC$3,$CV8,0.3*$CV8,TRUE)-_xlfn.NORM.DIST(BC$30,$CV8,0.3*$CV8,TRUE))*summary!$C$6/28.8/0.947817)/(SUMPRODUCT((economics!$AG$2:$AG$167=$B37)*(economics!$D$2:$D$167="whr")*economics!$AH$2:$AH$167*(_xlfn.NORM.DIST(BC$3,economics!$AK$2:$AK$167,economics!$AJ$2:$AJ$167,TRUE)-_xlfn.NORM.DIST(BC$30,economics!$AK$2:$AK$167,economics!$AJ$2:$AJ$167,TRUE)))+$CR8*(_xlfn.NORM.DIST(BC$3,$CU8,0.3*$CU8,TRUE)-_xlfn.NORM.DIST(BC$30,$CU8,0.3*$CU8,TRUE))+$CS8*(_xlfn.NORM.DIST(BC$3,$CV8,0.3*$CV8,TRUE)-_xlfn.NORM.DIST(BC$30,$CV8,0.3*$CV8,TRUE))),""),IF($C8&gt;0,summary!$C$10/28.8/0.947817,""))</f>
        <v/>
      </c>
      <c r="BD37">
        <f t="array" ref="BD37">IF($D8,IFERROR((SUMPRODUCT((economics!$AG$2:$AG$167=$B37)*(economics!$D$2:$D$167="whr")*economics!$AH$2:$AH$167*(_xlfn.NORM.DIST(BD$3,economics!$AK$2:$AK$167,economics!$AJ$2:$AJ$167,TRUE)-_xlfn.NORM.DIST(BD$30,economics!$AK$2:$AK$167,economics!$AJ$2:$AJ$167,TRUE))*economics!$AM$2:$AM$167)+$CR8*(_xlfn.NORM.DIST(BD$3,$CU8,0.3*$CU8,TRUE)-_xlfn.NORM.DIST(BD$30,$CU8,0.3*$CU8,TRUE))*summary!$C$7/28.8/0.947817+$CS8*(_xlfn.NORM.DIST(BD$3,$CV8,0.3*$CV8,TRUE)-_xlfn.NORM.DIST(BD$30,$CV8,0.3*$CV8,TRUE))*summary!$C$6/28.8/0.947817)/(SUMPRODUCT((economics!$AG$2:$AG$167=$B37)*(economics!$D$2:$D$167="whr")*economics!$AH$2:$AH$167*(_xlfn.NORM.DIST(BD$3,economics!$AK$2:$AK$167,economics!$AJ$2:$AJ$167,TRUE)-_xlfn.NORM.DIST(BD$30,economics!$AK$2:$AK$167,economics!$AJ$2:$AJ$167,TRUE)))+$CR8*(_xlfn.NORM.DIST(BD$3,$CU8,0.3*$CU8,TRUE)-_xlfn.NORM.DIST(BD$30,$CU8,0.3*$CU8,TRUE))+$CS8*(_xlfn.NORM.DIST(BD$3,$CV8,0.3*$CV8,TRUE)-_xlfn.NORM.DIST(BD$30,$CV8,0.3*$CV8,TRUE))),""),IF($C8&gt;0,summary!$C$10/28.8/0.947817,""))</f>
        <v/>
      </c>
      <c r="BE37">
        <f t="array" ref="BE37">IF($D8,IFERROR((SUMPRODUCT((economics!$AG$2:$AG$167=$B37)*(economics!$D$2:$D$167="whr")*economics!$AH$2:$AH$167*(_xlfn.NORM.DIST(BE$3,economics!$AK$2:$AK$167,economics!$AJ$2:$AJ$167,TRUE)-_xlfn.NORM.DIST(BE$30,economics!$AK$2:$AK$167,economics!$AJ$2:$AJ$167,TRUE))*economics!$AM$2:$AM$167)+$CR8*(_xlfn.NORM.DIST(BE$3,$CU8,0.3*$CU8,TRUE)-_xlfn.NORM.DIST(BE$30,$CU8,0.3*$CU8,TRUE))*summary!$C$7/28.8/0.947817+$CS8*(_xlfn.NORM.DIST(BE$3,$CV8,0.3*$CV8,TRUE)-_xlfn.NORM.DIST(BE$30,$CV8,0.3*$CV8,TRUE))*summary!$C$6/28.8/0.947817)/(SUMPRODUCT((economics!$AG$2:$AG$167=$B37)*(economics!$D$2:$D$167="whr")*economics!$AH$2:$AH$167*(_xlfn.NORM.DIST(BE$3,economics!$AK$2:$AK$167,economics!$AJ$2:$AJ$167,TRUE)-_xlfn.NORM.DIST(BE$30,economics!$AK$2:$AK$167,economics!$AJ$2:$AJ$167,TRUE)))+$CR8*(_xlfn.NORM.DIST(BE$3,$CU8,0.3*$CU8,TRUE)-_xlfn.NORM.DIST(BE$30,$CU8,0.3*$CU8,TRUE))+$CS8*(_xlfn.NORM.DIST(BE$3,$CV8,0.3*$CV8,TRUE)-_xlfn.NORM.DIST(BE$30,$CV8,0.3*$CV8,TRUE))),""),IF($C8&gt;0,summary!$C$10/28.8/0.947817,""))</f>
        <v/>
      </c>
      <c r="BF37">
        <f t="array" ref="BF37">IF($D8,IFERROR((SUMPRODUCT((economics!$AG$2:$AG$167=$B37)*(economics!$D$2:$D$167="whr")*economics!$AH$2:$AH$167*(_xlfn.NORM.DIST(BF$3,economics!$AK$2:$AK$167,economics!$AJ$2:$AJ$167,TRUE)-_xlfn.NORM.DIST(BF$30,economics!$AK$2:$AK$167,economics!$AJ$2:$AJ$167,TRUE))*economics!$AM$2:$AM$167)+$CR8*(_xlfn.NORM.DIST(BF$3,$CU8,0.3*$CU8,TRUE)-_xlfn.NORM.DIST(BF$30,$CU8,0.3*$CU8,TRUE))*summary!$C$7/28.8/0.947817+$CS8*(_xlfn.NORM.DIST(BF$3,$CV8,0.3*$CV8,TRUE)-_xlfn.NORM.DIST(BF$30,$CV8,0.3*$CV8,TRUE))*summary!$C$6/28.8/0.947817)/(SUMPRODUCT((economics!$AG$2:$AG$167=$B37)*(economics!$D$2:$D$167="whr")*economics!$AH$2:$AH$167*(_xlfn.NORM.DIST(BF$3,economics!$AK$2:$AK$167,economics!$AJ$2:$AJ$167,TRUE)-_xlfn.NORM.DIST(BF$30,economics!$AK$2:$AK$167,economics!$AJ$2:$AJ$167,TRUE)))+$CR8*(_xlfn.NORM.DIST(BF$3,$CU8,0.3*$CU8,TRUE)-_xlfn.NORM.DIST(BF$30,$CU8,0.3*$CU8,TRUE))+$CS8*(_xlfn.NORM.DIST(BF$3,$CV8,0.3*$CV8,TRUE)-_xlfn.NORM.DIST(BF$30,$CV8,0.3*$CV8,TRUE))),""),IF($C8&gt;0,summary!$C$10/28.8/0.947817,""))</f>
        <v/>
      </c>
      <c r="BG37">
        <f t="array" ref="BG37">IF($D8,IFERROR((SUMPRODUCT((economics!$AG$2:$AG$167=$B37)*(economics!$D$2:$D$167="whr")*economics!$AH$2:$AH$167*(_xlfn.NORM.DIST(BG$3,economics!$AK$2:$AK$167,economics!$AJ$2:$AJ$167,TRUE)-_xlfn.NORM.DIST(BG$30,economics!$AK$2:$AK$167,economics!$AJ$2:$AJ$167,TRUE))*economics!$AM$2:$AM$167)+$CR8*(_xlfn.NORM.DIST(BG$3,$CU8,0.3*$CU8,TRUE)-_xlfn.NORM.DIST(BG$30,$CU8,0.3*$CU8,TRUE))*summary!$C$7/28.8/0.947817+$CS8*(_xlfn.NORM.DIST(BG$3,$CV8,0.3*$CV8,TRUE)-_xlfn.NORM.DIST(BG$30,$CV8,0.3*$CV8,TRUE))*summary!$C$6/28.8/0.947817)/(SUMPRODUCT((economics!$AG$2:$AG$167=$B37)*(economics!$D$2:$D$167="whr")*economics!$AH$2:$AH$167*(_xlfn.NORM.DIST(BG$3,economics!$AK$2:$AK$167,economics!$AJ$2:$AJ$167,TRUE)-_xlfn.NORM.DIST(BG$30,economics!$AK$2:$AK$167,economics!$AJ$2:$AJ$167,TRUE)))+$CR8*(_xlfn.NORM.DIST(BG$3,$CU8,0.3*$CU8,TRUE)-_xlfn.NORM.DIST(BG$30,$CU8,0.3*$CU8,TRUE))+$CS8*(_xlfn.NORM.DIST(BG$3,$CV8,0.3*$CV8,TRUE)-_xlfn.NORM.DIST(BG$30,$CV8,0.3*$CV8,TRUE))),""),IF($C8&gt;0,summary!$C$10/28.8/0.947817,""))</f>
        <v/>
      </c>
      <c r="BH37">
        <f t="array" ref="BH37">IF($D8,IFERROR((SUMPRODUCT((economics!$AG$2:$AG$167=$B37)*(economics!$D$2:$D$167="whr")*economics!$AH$2:$AH$167*(_xlfn.NORM.DIST(BH$3,economics!$AK$2:$AK$167,economics!$AJ$2:$AJ$167,TRUE)-_xlfn.NORM.DIST(BH$30,economics!$AK$2:$AK$167,economics!$AJ$2:$AJ$167,TRUE))*economics!$AM$2:$AM$167)+$CR8*(_xlfn.NORM.DIST(BH$3,$CU8,0.3*$CU8,TRUE)-_xlfn.NORM.DIST(BH$30,$CU8,0.3*$CU8,TRUE))*summary!$C$7/28.8/0.947817+$CS8*(_xlfn.NORM.DIST(BH$3,$CV8,0.3*$CV8,TRUE)-_xlfn.NORM.DIST(BH$30,$CV8,0.3*$CV8,TRUE))*summary!$C$6/28.8/0.947817)/(SUMPRODUCT((economics!$AG$2:$AG$167=$B37)*(economics!$D$2:$D$167="whr")*economics!$AH$2:$AH$167*(_xlfn.NORM.DIST(BH$3,economics!$AK$2:$AK$167,economics!$AJ$2:$AJ$167,TRUE)-_xlfn.NORM.DIST(BH$30,economics!$AK$2:$AK$167,economics!$AJ$2:$AJ$167,TRUE)))+$CR8*(_xlfn.NORM.DIST(BH$3,$CU8,0.3*$CU8,TRUE)-_xlfn.NORM.DIST(BH$30,$CU8,0.3*$CU8,TRUE))+$CS8*(_xlfn.NORM.DIST(BH$3,$CV8,0.3*$CV8,TRUE)-_xlfn.NORM.DIST(BH$30,$CV8,0.3*$CV8,TRUE))),""),IF($C8&gt;0,summary!$C$10/28.8/0.947817,""))</f>
        <v/>
      </c>
      <c r="BI37">
        <f t="array" ref="BI37">IF($D8,IFERROR((SUMPRODUCT((economics!$AG$2:$AG$167=$B37)*(economics!$D$2:$D$167="whr")*economics!$AH$2:$AH$167*(_xlfn.NORM.DIST(BI$3,economics!$AK$2:$AK$167,economics!$AJ$2:$AJ$167,TRUE)-_xlfn.NORM.DIST(BI$30,economics!$AK$2:$AK$167,economics!$AJ$2:$AJ$167,TRUE))*economics!$AM$2:$AM$167)+$CR8*(_xlfn.NORM.DIST(BI$3,$CU8,0.3*$CU8,TRUE)-_xlfn.NORM.DIST(BI$30,$CU8,0.3*$CU8,TRUE))*summary!$C$7/28.8/0.947817+$CS8*(_xlfn.NORM.DIST(BI$3,$CV8,0.3*$CV8,TRUE)-_xlfn.NORM.DIST(BI$30,$CV8,0.3*$CV8,TRUE))*summary!$C$6/28.8/0.947817)/(SUMPRODUCT((economics!$AG$2:$AG$167=$B37)*(economics!$D$2:$D$167="whr")*economics!$AH$2:$AH$167*(_xlfn.NORM.DIST(BI$3,economics!$AK$2:$AK$167,economics!$AJ$2:$AJ$167,TRUE)-_xlfn.NORM.DIST(BI$30,economics!$AK$2:$AK$167,economics!$AJ$2:$AJ$167,TRUE)))+$CR8*(_xlfn.NORM.DIST(BI$3,$CU8,0.3*$CU8,TRUE)-_xlfn.NORM.DIST(BI$30,$CU8,0.3*$CU8,TRUE))+$CS8*(_xlfn.NORM.DIST(BI$3,$CV8,0.3*$CV8,TRUE)-_xlfn.NORM.DIST(BI$30,$CV8,0.3*$CV8,TRUE))),""),IF($C8&gt;0,summary!$C$10/28.8/0.947817,""))</f>
        <v/>
      </c>
      <c r="BJ37">
        <f t="array" ref="BJ37">IF($D8,IFERROR((SUMPRODUCT((economics!$AG$2:$AG$167=$B37)*(economics!$D$2:$D$167="whr")*economics!$AH$2:$AH$167*(_xlfn.NORM.DIST(BJ$3,economics!$AK$2:$AK$167,economics!$AJ$2:$AJ$167,TRUE)-_xlfn.NORM.DIST(BJ$30,economics!$AK$2:$AK$167,economics!$AJ$2:$AJ$167,TRUE))*economics!$AM$2:$AM$167)+$CR8*(_xlfn.NORM.DIST(BJ$3,$CU8,0.3*$CU8,TRUE)-_xlfn.NORM.DIST(BJ$30,$CU8,0.3*$CU8,TRUE))*summary!$C$7/28.8/0.947817+$CS8*(_xlfn.NORM.DIST(BJ$3,$CV8,0.3*$CV8,TRUE)-_xlfn.NORM.DIST(BJ$30,$CV8,0.3*$CV8,TRUE))*summary!$C$6/28.8/0.947817)/(SUMPRODUCT((economics!$AG$2:$AG$167=$B37)*(economics!$D$2:$D$167="whr")*economics!$AH$2:$AH$167*(_xlfn.NORM.DIST(BJ$3,economics!$AK$2:$AK$167,economics!$AJ$2:$AJ$167,TRUE)-_xlfn.NORM.DIST(BJ$30,economics!$AK$2:$AK$167,economics!$AJ$2:$AJ$167,TRUE)))+$CR8*(_xlfn.NORM.DIST(BJ$3,$CU8,0.3*$CU8,TRUE)-_xlfn.NORM.DIST(BJ$30,$CU8,0.3*$CU8,TRUE))+$CS8*(_xlfn.NORM.DIST(BJ$3,$CV8,0.3*$CV8,TRUE)-_xlfn.NORM.DIST(BJ$30,$CV8,0.3*$CV8,TRUE))),""),IF($C8&gt;0,summary!$C$10/28.8/0.947817,""))</f>
        <v/>
      </c>
      <c r="BK37">
        <f t="array" ref="BK37">IF($D8,IFERROR((SUMPRODUCT((economics!$AG$2:$AG$167=$B37)*(economics!$D$2:$D$167="whr")*economics!$AH$2:$AH$167*(_xlfn.NORM.DIST(BK$3,economics!$AK$2:$AK$167,economics!$AJ$2:$AJ$167,TRUE)-_xlfn.NORM.DIST(BK$30,economics!$AK$2:$AK$167,economics!$AJ$2:$AJ$167,TRUE))*economics!$AM$2:$AM$167)+$CR8*(_xlfn.NORM.DIST(BK$3,$CU8,0.3*$CU8,TRUE)-_xlfn.NORM.DIST(BK$30,$CU8,0.3*$CU8,TRUE))*summary!$C$7/28.8/0.947817+$CS8*(_xlfn.NORM.DIST(BK$3,$CV8,0.3*$CV8,TRUE)-_xlfn.NORM.DIST(BK$30,$CV8,0.3*$CV8,TRUE))*summary!$C$6/28.8/0.947817)/(SUMPRODUCT((economics!$AG$2:$AG$167=$B37)*(economics!$D$2:$D$167="whr")*economics!$AH$2:$AH$167*(_xlfn.NORM.DIST(BK$3,economics!$AK$2:$AK$167,economics!$AJ$2:$AJ$167,TRUE)-_xlfn.NORM.DIST(BK$30,economics!$AK$2:$AK$167,economics!$AJ$2:$AJ$167,TRUE)))+$CR8*(_xlfn.NORM.DIST(BK$3,$CU8,0.3*$CU8,TRUE)-_xlfn.NORM.DIST(BK$30,$CU8,0.3*$CU8,TRUE))+$CS8*(_xlfn.NORM.DIST(BK$3,$CV8,0.3*$CV8,TRUE)-_xlfn.NORM.DIST(BK$30,$CV8,0.3*$CV8,TRUE))),""),IF($C8&gt;0,summary!$C$10/28.8/0.947817,""))</f>
        <v/>
      </c>
      <c r="BL37">
        <f t="array" ref="BL37">IF($D8,IFERROR((SUMPRODUCT((economics!$AG$2:$AG$167=$B37)*(economics!$D$2:$D$167="whr")*economics!$AH$2:$AH$167*(_xlfn.NORM.DIST(BL$3,economics!$AK$2:$AK$167,economics!$AJ$2:$AJ$167,TRUE)-_xlfn.NORM.DIST(BL$30,economics!$AK$2:$AK$167,economics!$AJ$2:$AJ$167,TRUE))*economics!$AM$2:$AM$167)+$CR8*(_xlfn.NORM.DIST(BL$3,$CU8,0.3*$CU8,TRUE)-_xlfn.NORM.DIST(BL$30,$CU8,0.3*$CU8,TRUE))*summary!$C$7/28.8/0.947817+$CS8*(_xlfn.NORM.DIST(BL$3,$CV8,0.3*$CV8,TRUE)-_xlfn.NORM.DIST(BL$30,$CV8,0.3*$CV8,TRUE))*summary!$C$6/28.8/0.947817)/(SUMPRODUCT((economics!$AG$2:$AG$167=$B37)*(economics!$D$2:$D$167="whr")*economics!$AH$2:$AH$167*(_xlfn.NORM.DIST(BL$3,economics!$AK$2:$AK$167,economics!$AJ$2:$AJ$167,TRUE)-_xlfn.NORM.DIST(BL$30,economics!$AK$2:$AK$167,economics!$AJ$2:$AJ$167,TRUE)))+$CR8*(_xlfn.NORM.DIST(BL$3,$CU8,0.3*$CU8,TRUE)-_xlfn.NORM.DIST(BL$30,$CU8,0.3*$CU8,TRUE))+$CS8*(_xlfn.NORM.DIST(BL$3,$CV8,0.3*$CV8,TRUE)-_xlfn.NORM.DIST(BL$30,$CV8,0.3*$CV8,TRUE))),""),IF($C8&gt;0,summary!$C$10/28.8/0.947817,""))</f>
        <v/>
      </c>
      <c r="BM37">
        <f t="array" ref="BM37">IF($D8,IFERROR((SUMPRODUCT((economics!$AG$2:$AG$167=$B37)*(economics!$D$2:$D$167="whr")*economics!$AH$2:$AH$167*(_xlfn.NORM.DIST(BM$3,economics!$AK$2:$AK$167,economics!$AJ$2:$AJ$167,TRUE)-_xlfn.NORM.DIST(BM$30,economics!$AK$2:$AK$167,economics!$AJ$2:$AJ$167,TRUE))*economics!$AM$2:$AM$167)+$CR8*(_xlfn.NORM.DIST(BM$3,$CU8,0.3*$CU8,TRUE)-_xlfn.NORM.DIST(BM$30,$CU8,0.3*$CU8,TRUE))*summary!$C$7/28.8/0.947817+$CS8*(_xlfn.NORM.DIST(BM$3,$CV8,0.3*$CV8,TRUE)-_xlfn.NORM.DIST(BM$30,$CV8,0.3*$CV8,TRUE))*summary!$C$6/28.8/0.947817)/(SUMPRODUCT((economics!$AG$2:$AG$167=$B37)*(economics!$D$2:$D$167="whr")*economics!$AH$2:$AH$167*(_xlfn.NORM.DIST(BM$3,economics!$AK$2:$AK$167,economics!$AJ$2:$AJ$167,TRUE)-_xlfn.NORM.DIST(BM$30,economics!$AK$2:$AK$167,economics!$AJ$2:$AJ$167,TRUE)))+$CR8*(_xlfn.NORM.DIST(BM$3,$CU8,0.3*$CU8,TRUE)-_xlfn.NORM.DIST(BM$30,$CU8,0.3*$CU8,TRUE))+$CS8*(_xlfn.NORM.DIST(BM$3,$CV8,0.3*$CV8,TRUE)-_xlfn.NORM.DIST(BM$30,$CV8,0.3*$CV8,TRUE))),""),IF($C8&gt;0,summary!$C$10/28.8/0.947817,""))</f>
        <v/>
      </c>
      <c r="BN37">
        <f t="array" ref="BN37">IF($D8,IFERROR((SUMPRODUCT((economics!$AG$2:$AG$167=$B37)*(economics!$D$2:$D$167="whr")*economics!$AH$2:$AH$167*(_xlfn.NORM.DIST(BN$3,economics!$AK$2:$AK$167,economics!$AJ$2:$AJ$167,TRUE)-_xlfn.NORM.DIST(BN$30,economics!$AK$2:$AK$167,economics!$AJ$2:$AJ$167,TRUE))*economics!$AM$2:$AM$167)+$CR8*(_xlfn.NORM.DIST(BN$3,$CU8,0.3*$CU8,TRUE)-_xlfn.NORM.DIST(BN$30,$CU8,0.3*$CU8,TRUE))*summary!$C$7/28.8/0.947817+$CS8*(_xlfn.NORM.DIST(BN$3,$CV8,0.3*$CV8,TRUE)-_xlfn.NORM.DIST(BN$30,$CV8,0.3*$CV8,TRUE))*summary!$C$6/28.8/0.947817)/(SUMPRODUCT((economics!$AG$2:$AG$167=$B37)*(economics!$D$2:$D$167="whr")*economics!$AH$2:$AH$167*(_xlfn.NORM.DIST(BN$3,economics!$AK$2:$AK$167,economics!$AJ$2:$AJ$167,TRUE)-_xlfn.NORM.DIST(BN$30,economics!$AK$2:$AK$167,economics!$AJ$2:$AJ$167,TRUE)))+$CR8*(_xlfn.NORM.DIST(BN$3,$CU8,0.3*$CU8,TRUE)-_xlfn.NORM.DIST(BN$30,$CU8,0.3*$CU8,TRUE))+$CS8*(_xlfn.NORM.DIST(BN$3,$CV8,0.3*$CV8,TRUE)-_xlfn.NORM.DIST(BN$30,$CV8,0.3*$CV8,TRUE))),""),IF($C8&gt;0,summary!$C$10/28.8/0.947817,""))</f>
        <v/>
      </c>
      <c r="BO37">
        <f t="array" ref="BO37">IF($D8,IFERROR((SUMPRODUCT((economics!$AG$2:$AG$167=$B37)*(economics!$D$2:$D$167="whr")*economics!$AH$2:$AH$167*(_xlfn.NORM.DIST(BO$3,economics!$AK$2:$AK$167,economics!$AJ$2:$AJ$167,TRUE)-_xlfn.NORM.DIST(BO$30,economics!$AK$2:$AK$167,economics!$AJ$2:$AJ$167,TRUE))*economics!$AM$2:$AM$167)+$CR8*(_xlfn.NORM.DIST(BO$3,$CU8,0.3*$CU8,TRUE)-_xlfn.NORM.DIST(BO$30,$CU8,0.3*$CU8,TRUE))*summary!$C$7/28.8/0.947817+$CS8*(_xlfn.NORM.DIST(BO$3,$CV8,0.3*$CV8,TRUE)-_xlfn.NORM.DIST(BO$30,$CV8,0.3*$CV8,TRUE))*summary!$C$6/28.8/0.947817)/(SUMPRODUCT((economics!$AG$2:$AG$167=$B37)*(economics!$D$2:$D$167="whr")*economics!$AH$2:$AH$167*(_xlfn.NORM.DIST(BO$3,economics!$AK$2:$AK$167,economics!$AJ$2:$AJ$167,TRUE)-_xlfn.NORM.DIST(BO$30,economics!$AK$2:$AK$167,economics!$AJ$2:$AJ$167,TRUE)))+$CR8*(_xlfn.NORM.DIST(BO$3,$CU8,0.3*$CU8,TRUE)-_xlfn.NORM.DIST(BO$30,$CU8,0.3*$CU8,TRUE))+$CS8*(_xlfn.NORM.DIST(BO$3,$CV8,0.3*$CV8,TRUE)-_xlfn.NORM.DIST(BO$30,$CV8,0.3*$CV8,TRUE))),""),IF($C8&gt;0,summary!$C$10/28.8/0.947817,""))</f>
        <v/>
      </c>
      <c r="BP37">
        <f t="array" ref="BP37">IF($D8,IFERROR((SUMPRODUCT((economics!$AG$2:$AG$167=$B37)*(economics!$D$2:$D$167="whr")*economics!$AH$2:$AH$167*(_xlfn.NORM.DIST(BP$3,economics!$AK$2:$AK$167,economics!$AJ$2:$AJ$167,TRUE)-_xlfn.NORM.DIST(BP$30,economics!$AK$2:$AK$167,economics!$AJ$2:$AJ$167,TRUE))*economics!$AM$2:$AM$167)+$CR8*(_xlfn.NORM.DIST(BP$3,$CU8,0.3*$CU8,TRUE)-_xlfn.NORM.DIST(BP$30,$CU8,0.3*$CU8,TRUE))*summary!$C$7/28.8/0.947817+$CS8*(_xlfn.NORM.DIST(BP$3,$CV8,0.3*$CV8,TRUE)-_xlfn.NORM.DIST(BP$30,$CV8,0.3*$CV8,TRUE))*summary!$C$6/28.8/0.947817)/(SUMPRODUCT((economics!$AG$2:$AG$167=$B37)*(economics!$D$2:$D$167="whr")*economics!$AH$2:$AH$167*(_xlfn.NORM.DIST(BP$3,economics!$AK$2:$AK$167,economics!$AJ$2:$AJ$167,TRUE)-_xlfn.NORM.DIST(BP$30,economics!$AK$2:$AK$167,economics!$AJ$2:$AJ$167,TRUE)))+$CR8*(_xlfn.NORM.DIST(BP$3,$CU8,0.3*$CU8,TRUE)-_xlfn.NORM.DIST(BP$30,$CU8,0.3*$CU8,TRUE))+$CS8*(_xlfn.NORM.DIST(BP$3,$CV8,0.3*$CV8,TRUE)-_xlfn.NORM.DIST(BP$30,$CV8,0.3*$CV8,TRUE))),""),IF($C8&gt;0,summary!$C$10/28.8/0.947817,""))</f>
        <v/>
      </c>
      <c r="BQ37">
        <f t="array" ref="BQ37">IF($D8,IFERROR((SUMPRODUCT((economics!$AG$2:$AG$167=$B37)*(economics!$D$2:$D$167="whr")*economics!$AH$2:$AH$167*(_xlfn.NORM.DIST(BQ$3,economics!$AK$2:$AK$167,economics!$AJ$2:$AJ$167,TRUE)-_xlfn.NORM.DIST(BQ$30,economics!$AK$2:$AK$167,economics!$AJ$2:$AJ$167,TRUE))*economics!$AM$2:$AM$167)+$CR8*(_xlfn.NORM.DIST(BQ$3,$CU8,0.3*$CU8,TRUE)-_xlfn.NORM.DIST(BQ$30,$CU8,0.3*$CU8,TRUE))*summary!$C$7/28.8/0.947817+$CS8*(_xlfn.NORM.DIST(BQ$3,$CV8,0.3*$CV8,TRUE)-_xlfn.NORM.DIST(BQ$30,$CV8,0.3*$CV8,TRUE))*summary!$C$6/28.8/0.947817)/(SUMPRODUCT((economics!$AG$2:$AG$167=$B37)*(economics!$D$2:$D$167="whr")*economics!$AH$2:$AH$167*(_xlfn.NORM.DIST(BQ$3,economics!$AK$2:$AK$167,economics!$AJ$2:$AJ$167,TRUE)-_xlfn.NORM.DIST(BQ$30,economics!$AK$2:$AK$167,economics!$AJ$2:$AJ$167,TRUE)))+$CR8*(_xlfn.NORM.DIST(BQ$3,$CU8,0.3*$CU8,TRUE)-_xlfn.NORM.DIST(BQ$30,$CU8,0.3*$CU8,TRUE))+$CS8*(_xlfn.NORM.DIST(BQ$3,$CV8,0.3*$CV8,TRUE)-_xlfn.NORM.DIST(BQ$30,$CV8,0.3*$CV8,TRUE))),""),IF($C8&gt;0,summary!$C$10/28.8/0.947817,""))</f>
        <v/>
      </c>
      <c r="BR37">
        <f t="array" ref="BR37">IF($D8,IFERROR((SUMPRODUCT((economics!$AG$2:$AG$167=$B37)*(economics!$D$2:$D$167="whr")*economics!$AH$2:$AH$167*(_xlfn.NORM.DIST(BR$3,economics!$AK$2:$AK$167,economics!$AJ$2:$AJ$167,TRUE)-_xlfn.NORM.DIST(BR$30,economics!$AK$2:$AK$167,economics!$AJ$2:$AJ$167,TRUE))*economics!$AM$2:$AM$167)+$CR8*(_xlfn.NORM.DIST(BR$3,$CU8,0.3*$CU8,TRUE)-_xlfn.NORM.DIST(BR$30,$CU8,0.3*$CU8,TRUE))*summary!$C$7/28.8/0.947817+$CS8*(_xlfn.NORM.DIST(BR$3,$CV8,0.3*$CV8,TRUE)-_xlfn.NORM.DIST(BR$30,$CV8,0.3*$CV8,TRUE))*summary!$C$6/28.8/0.947817)/(SUMPRODUCT((economics!$AG$2:$AG$167=$B37)*(economics!$D$2:$D$167="whr")*economics!$AH$2:$AH$167*(_xlfn.NORM.DIST(BR$3,economics!$AK$2:$AK$167,economics!$AJ$2:$AJ$167,TRUE)-_xlfn.NORM.DIST(BR$30,economics!$AK$2:$AK$167,economics!$AJ$2:$AJ$167,TRUE)))+$CR8*(_xlfn.NORM.DIST(BR$3,$CU8,0.3*$CU8,TRUE)-_xlfn.NORM.DIST(BR$30,$CU8,0.3*$CU8,TRUE))+$CS8*(_xlfn.NORM.DIST(BR$3,$CV8,0.3*$CV8,TRUE)-_xlfn.NORM.DIST(BR$30,$CV8,0.3*$CV8,TRUE))),""),IF($C8&gt;0,summary!$C$10/28.8/0.947817,""))</f>
        <v/>
      </c>
      <c r="BS37">
        <f t="array" ref="BS37">IF($D8,IFERROR((SUMPRODUCT((economics!$AG$2:$AG$167=$B37)*(economics!$D$2:$D$167="whr")*economics!$AH$2:$AH$167*(_xlfn.NORM.DIST(BS$3,economics!$AK$2:$AK$167,economics!$AJ$2:$AJ$167,TRUE)-_xlfn.NORM.DIST(BS$30,economics!$AK$2:$AK$167,economics!$AJ$2:$AJ$167,TRUE))*economics!$AM$2:$AM$167)+$CR8*(_xlfn.NORM.DIST(BS$3,$CU8,0.3*$CU8,TRUE)-_xlfn.NORM.DIST(BS$30,$CU8,0.3*$CU8,TRUE))*summary!$C$7/28.8/0.947817+$CS8*(_xlfn.NORM.DIST(BS$3,$CV8,0.3*$CV8,TRUE)-_xlfn.NORM.DIST(BS$30,$CV8,0.3*$CV8,TRUE))*summary!$C$6/28.8/0.947817)/(SUMPRODUCT((economics!$AG$2:$AG$167=$B37)*(economics!$D$2:$D$167="whr")*economics!$AH$2:$AH$167*(_xlfn.NORM.DIST(BS$3,economics!$AK$2:$AK$167,economics!$AJ$2:$AJ$167,TRUE)-_xlfn.NORM.DIST(BS$30,economics!$AK$2:$AK$167,economics!$AJ$2:$AJ$167,TRUE)))+$CR8*(_xlfn.NORM.DIST(BS$3,$CU8,0.3*$CU8,TRUE)-_xlfn.NORM.DIST(BS$30,$CU8,0.3*$CU8,TRUE))+$CS8*(_xlfn.NORM.DIST(BS$3,$CV8,0.3*$CV8,TRUE)-_xlfn.NORM.DIST(BS$30,$CV8,0.3*$CV8,TRUE))),""),IF($C8&gt;0,summary!$C$10/28.8/0.947817,""))</f>
        <v/>
      </c>
      <c r="BT37">
        <f t="array" ref="BT37">IF($D8,IFERROR((SUMPRODUCT((economics!$AG$2:$AG$167=$B37)*(economics!$D$2:$D$167="whr")*economics!$AH$2:$AH$167*(_xlfn.NORM.DIST(BT$3,economics!$AK$2:$AK$167,economics!$AJ$2:$AJ$167,TRUE)-_xlfn.NORM.DIST(BT$30,economics!$AK$2:$AK$167,economics!$AJ$2:$AJ$167,TRUE))*economics!$AM$2:$AM$167)+$CR8*(_xlfn.NORM.DIST(BT$3,$CU8,0.3*$CU8,TRUE)-_xlfn.NORM.DIST(BT$30,$CU8,0.3*$CU8,TRUE))*summary!$C$7/28.8/0.947817+$CS8*(_xlfn.NORM.DIST(BT$3,$CV8,0.3*$CV8,TRUE)-_xlfn.NORM.DIST(BT$30,$CV8,0.3*$CV8,TRUE))*summary!$C$6/28.8/0.947817)/(SUMPRODUCT((economics!$AG$2:$AG$167=$B37)*(economics!$D$2:$D$167="whr")*economics!$AH$2:$AH$167*(_xlfn.NORM.DIST(BT$3,economics!$AK$2:$AK$167,economics!$AJ$2:$AJ$167,TRUE)-_xlfn.NORM.DIST(BT$30,economics!$AK$2:$AK$167,economics!$AJ$2:$AJ$167,TRUE)))+$CR8*(_xlfn.NORM.DIST(BT$3,$CU8,0.3*$CU8,TRUE)-_xlfn.NORM.DIST(BT$30,$CU8,0.3*$CU8,TRUE))+$CS8*(_xlfn.NORM.DIST(BT$3,$CV8,0.3*$CV8,TRUE)-_xlfn.NORM.DIST(BT$30,$CV8,0.3*$CV8,TRUE))),""),IF($C8&gt;0,summary!$C$10/28.8/0.947817,""))</f>
        <v/>
      </c>
      <c r="BU37">
        <f t="array" ref="BU37">IF($D8,IFERROR((SUMPRODUCT((economics!$AG$2:$AG$167=$B37)*(economics!$D$2:$D$167="whr")*economics!$AH$2:$AH$167*(_xlfn.NORM.DIST(BU$3,economics!$AK$2:$AK$167,economics!$AJ$2:$AJ$167,TRUE)-_xlfn.NORM.DIST(BU$30,economics!$AK$2:$AK$167,economics!$AJ$2:$AJ$167,TRUE))*economics!$AM$2:$AM$167)+$CR8*(_xlfn.NORM.DIST(BU$3,$CU8,0.3*$CU8,TRUE)-_xlfn.NORM.DIST(BU$30,$CU8,0.3*$CU8,TRUE))*summary!$C$7/28.8/0.947817+$CS8*(_xlfn.NORM.DIST(BU$3,$CV8,0.3*$CV8,TRUE)-_xlfn.NORM.DIST(BU$30,$CV8,0.3*$CV8,TRUE))*summary!$C$6/28.8/0.947817)/(SUMPRODUCT((economics!$AG$2:$AG$167=$B37)*(economics!$D$2:$D$167="whr")*economics!$AH$2:$AH$167*(_xlfn.NORM.DIST(BU$3,economics!$AK$2:$AK$167,economics!$AJ$2:$AJ$167,TRUE)-_xlfn.NORM.DIST(BU$30,economics!$AK$2:$AK$167,economics!$AJ$2:$AJ$167,TRUE)))+$CR8*(_xlfn.NORM.DIST(BU$3,$CU8,0.3*$CU8,TRUE)-_xlfn.NORM.DIST(BU$30,$CU8,0.3*$CU8,TRUE))+$CS8*(_xlfn.NORM.DIST(BU$3,$CV8,0.3*$CV8,TRUE)-_xlfn.NORM.DIST(BU$30,$CV8,0.3*$CV8,TRUE))),""),IF($C8&gt;0,summary!$C$10/28.8/0.947817,""))</f>
        <v/>
      </c>
      <c r="BV37">
        <f t="array" ref="BV37">IF($D8,IFERROR((SUMPRODUCT((economics!$AG$2:$AG$167=$B37)*(economics!$D$2:$D$167="whr")*economics!$AH$2:$AH$167*(_xlfn.NORM.DIST(BV$3,economics!$AK$2:$AK$167,economics!$AJ$2:$AJ$167,TRUE)-_xlfn.NORM.DIST(BV$30,economics!$AK$2:$AK$167,economics!$AJ$2:$AJ$167,TRUE))*economics!$AM$2:$AM$167)+$CR8*(_xlfn.NORM.DIST(BV$3,$CU8,0.3*$CU8,TRUE)-_xlfn.NORM.DIST(BV$30,$CU8,0.3*$CU8,TRUE))*summary!$C$7/28.8/0.947817+$CS8*(_xlfn.NORM.DIST(BV$3,$CV8,0.3*$CV8,TRUE)-_xlfn.NORM.DIST(BV$30,$CV8,0.3*$CV8,TRUE))*summary!$C$6/28.8/0.947817)/(SUMPRODUCT((economics!$AG$2:$AG$167=$B37)*(economics!$D$2:$D$167="whr")*economics!$AH$2:$AH$167*(_xlfn.NORM.DIST(BV$3,economics!$AK$2:$AK$167,economics!$AJ$2:$AJ$167,TRUE)-_xlfn.NORM.DIST(BV$30,economics!$AK$2:$AK$167,economics!$AJ$2:$AJ$167,TRUE)))+$CR8*(_xlfn.NORM.DIST(BV$3,$CU8,0.3*$CU8,TRUE)-_xlfn.NORM.DIST(BV$30,$CU8,0.3*$CU8,TRUE))+$CS8*(_xlfn.NORM.DIST(BV$3,$CV8,0.3*$CV8,TRUE)-_xlfn.NORM.DIST(BV$30,$CV8,0.3*$CV8,TRUE))),""),IF($C8&gt;0,summary!$C$10/28.8/0.947817,""))</f>
        <v/>
      </c>
      <c r="BW37">
        <f t="array" ref="BW37">IF($D8,IFERROR((SUMPRODUCT((economics!$AG$2:$AG$167=$B37)*(economics!$D$2:$D$167="whr")*economics!$AH$2:$AH$167*(_xlfn.NORM.DIST(BW$3,economics!$AK$2:$AK$167,economics!$AJ$2:$AJ$167,TRUE)-_xlfn.NORM.DIST(BW$30,economics!$AK$2:$AK$167,economics!$AJ$2:$AJ$167,TRUE))*economics!$AM$2:$AM$167)+$CR8*(_xlfn.NORM.DIST(BW$3,$CU8,0.3*$CU8,TRUE)-_xlfn.NORM.DIST(BW$30,$CU8,0.3*$CU8,TRUE))*summary!$C$7/28.8/0.947817+$CS8*(_xlfn.NORM.DIST(BW$3,$CV8,0.3*$CV8,TRUE)-_xlfn.NORM.DIST(BW$30,$CV8,0.3*$CV8,TRUE))*summary!$C$6/28.8/0.947817)/(SUMPRODUCT((economics!$AG$2:$AG$167=$B37)*(economics!$D$2:$D$167="whr")*economics!$AH$2:$AH$167*(_xlfn.NORM.DIST(BW$3,economics!$AK$2:$AK$167,economics!$AJ$2:$AJ$167,TRUE)-_xlfn.NORM.DIST(BW$30,economics!$AK$2:$AK$167,economics!$AJ$2:$AJ$167,TRUE)))+$CR8*(_xlfn.NORM.DIST(BW$3,$CU8,0.3*$CU8,TRUE)-_xlfn.NORM.DIST(BW$30,$CU8,0.3*$CU8,TRUE))+$CS8*(_xlfn.NORM.DIST(BW$3,$CV8,0.3*$CV8,TRUE)-_xlfn.NORM.DIST(BW$30,$CV8,0.3*$CV8,TRUE))),""),IF($C8&gt;0,summary!$C$10/28.8/0.947817,""))</f>
        <v/>
      </c>
      <c r="BX37">
        <f t="array" ref="BX37">IF($D8,IFERROR((SUMPRODUCT((economics!$AG$2:$AG$167=$B37)*(economics!$D$2:$D$167="whr")*economics!$AH$2:$AH$167*(_xlfn.NORM.DIST(BX$3,economics!$AK$2:$AK$167,economics!$AJ$2:$AJ$167,TRUE)-_xlfn.NORM.DIST(BX$30,economics!$AK$2:$AK$167,economics!$AJ$2:$AJ$167,TRUE))*economics!$AM$2:$AM$167)+$CR8*(_xlfn.NORM.DIST(BX$3,$CU8,0.3*$CU8,TRUE)-_xlfn.NORM.DIST(BX$30,$CU8,0.3*$CU8,TRUE))*summary!$C$7/28.8/0.947817+$CS8*(_xlfn.NORM.DIST(BX$3,$CV8,0.3*$CV8,TRUE)-_xlfn.NORM.DIST(BX$30,$CV8,0.3*$CV8,TRUE))*summary!$C$6/28.8/0.947817)/(SUMPRODUCT((economics!$AG$2:$AG$167=$B37)*(economics!$D$2:$D$167="whr")*economics!$AH$2:$AH$167*(_xlfn.NORM.DIST(BX$3,economics!$AK$2:$AK$167,economics!$AJ$2:$AJ$167,TRUE)-_xlfn.NORM.DIST(BX$30,economics!$AK$2:$AK$167,economics!$AJ$2:$AJ$167,TRUE)))+$CR8*(_xlfn.NORM.DIST(BX$3,$CU8,0.3*$CU8,TRUE)-_xlfn.NORM.DIST(BX$30,$CU8,0.3*$CU8,TRUE))+$CS8*(_xlfn.NORM.DIST(BX$3,$CV8,0.3*$CV8,TRUE)-_xlfn.NORM.DIST(BX$30,$CV8,0.3*$CV8,TRUE))),""),IF($C8&gt;0,summary!$C$10/28.8/0.947817,""))</f>
        <v/>
      </c>
      <c r="BY37">
        <f t="array" ref="BY37">IF($D8,IFERROR((SUMPRODUCT((economics!$AG$2:$AG$167=$B37)*(economics!$D$2:$D$167="whr")*economics!$AH$2:$AH$167*(_xlfn.NORM.DIST(BY$3,economics!$AK$2:$AK$167,economics!$AJ$2:$AJ$167,TRUE)-_xlfn.NORM.DIST(BY$30,economics!$AK$2:$AK$167,economics!$AJ$2:$AJ$167,TRUE))*economics!$AM$2:$AM$167)+$CR8*(_xlfn.NORM.DIST(BY$3,$CU8,0.3*$CU8,TRUE)-_xlfn.NORM.DIST(BY$30,$CU8,0.3*$CU8,TRUE))*summary!$C$7/28.8/0.947817+$CS8*(_xlfn.NORM.DIST(BY$3,$CV8,0.3*$CV8,TRUE)-_xlfn.NORM.DIST(BY$30,$CV8,0.3*$CV8,TRUE))*summary!$C$6/28.8/0.947817)/(SUMPRODUCT((economics!$AG$2:$AG$167=$B37)*(economics!$D$2:$D$167="whr")*economics!$AH$2:$AH$167*(_xlfn.NORM.DIST(BY$3,economics!$AK$2:$AK$167,economics!$AJ$2:$AJ$167,TRUE)-_xlfn.NORM.DIST(BY$30,economics!$AK$2:$AK$167,economics!$AJ$2:$AJ$167,TRUE)))+$CR8*(_xlfn.NORM.DIST(BY$3,$CU8,0.3*$CU8,TRUE)-_xlfn.NORM.DIST(BY$30,$CU8,0.3*$CU8,TRUE))+$CS8*(_xlfn.NORM.DIST(BY$3,$CV8,0.3*$CV8,TRUE)-_xlfn.NORM.DIST(BY$30,$CV8,0.3*$CV8,TRUE))),""),IF($C8&gt;0,summary!$C$10/28.8/0.947817,""))</f>
        <v/>
      </c>
      <c r="BZ37">
        <f t="array" ref="BZ37">IF($D8,IFERROR((SUMPRODUCT((economics!$AG$2:$AG$167=$B37)*(economics!$D$2:$D$167="whr")*economics!$AH$2:$AH$167*(_xlfn.NORM.DIST(BZ$3,economics!$AK$2:$AK$167,economics!$AJ$2:$AJ$167,TRUE)-_xlfn.NORM.DIST(BZ$30,economics!$AK$2:$AK$167,economics!$AJ$2:$AJ$167,TRUE))*economics!$AM$2:$AM$167)+$CR8*(_xlfn.NORM.DIST(BZ$3,$CU8,0.3*$CU8,TRUE)-_xlfn.NORM.DIST(BZ$30,$CU8,0.3*$CU8,TRUE))*summary!$C$7/28.8/0.947817+$CS8*(_xlfn.NORM.DIST(BZ$3,$CV8,0.3*$CV8,TRUE)-_xlfn.NORM.DIST(BZ$30,$CV8,0.3*$CV8,TRUE))*summary!$C$6/28.8/0.947817)/(SUMPRODUCT((economics!$AG$2:$AG$167=$B37)*(economics!$D$2:$D$167="whr")*economics!$AH$2:$AH$167*(_xlfn.NORM.DIST(BZ$3,economics!$AK$2:$AK$167,economics!$AJ$2:$AJ$167,TRUE)-_xlfn.NORM.DIST(BZ$30,economics!$AK$2:$AK$167,economics!$AJ$2:$AJ$167,TRUE)))+$CR8*(_xlfn.NORM.DIST(BZ$3,$CU8,0.3*$CU8,TRUE)-_xlfn.NORM.DIST(BZ$30,$CU8,0.3*$CU8,TRUE))+$CS8*(_xlfn.NORM.DIST(BZ$3,$CV8,0.3*$CV8,TRUE)-_xlfn.NORM.DIST(BZ$30,$CV8,0.3*$CV8,TRUE))),""),IF($C8&gt;0,summary!$C$10/28.8/0.947817,""))</f>
        <v/>
      </c>
      <c r="CA37">
        <f t="array" ref="CA37">IF($D8,IFERROR((SUMPRODUCT((economics!$AG$2:$AG$167=$B37)*(economics!$D$2:$D$167="whr")*economics!$AH$2:$AH$167*(_xlfn.NORM.DIST(CA$3,economics!$AK$2:$AK$167,economics!$AJ$2:$AJ$167,TRUE)-_xlfn.NORM.DIST(CA$30,economics!$AK$2:$AK$167,economics!$AJ$2:$AJ$167,TRUE))*economics!$AM$2:$AM$167)+$CR8*(_xlfn.NORM.DIST(CA$3,$CU8,0.3*$CU8,TRUE)-_xlfn.NORM.DIST(CA$30,$CU8,0.3*$CU8,TRUE))*summary!$C$7/28.8/0.947817+$CS8*(_xlfn.NORM.DIST(CA$3,$CV8,0.3*$CV8,TRUE)-_xlfn.NORM.DIST(CA$30,$CV8,0.3*$CV8,TRUE))*summary!$C$6/28.8/0.947817)/(SUMPRODUCT((economics!$AG$2:$AG$167=$B37)*(economics!$D$2:$D$167="whr")*economics!$AH$2:$AH$167*(_xlfn.NORM.DIST(CA$3,economics!$AK$2:$AK$167,economics!$AJ$2:$AJ$167,TRUE)-_xlfn.NORM.DIST(CA$30,economics!$AK$2:$AK$167,economics!$AJ$2:$AJ$167,TRUE)))+$CR8*(_xlfn.NORM.DIST(CA$3,$CU8,0.3*$CU8,TRUE)-_xlfn.NORM.DIST(CA$30,$CU8,0.3*$CU8,TRUE))+$CS8*(_xlfn.NORM.DIST(CA$3,$CV8,0.3*$CV8,TRUE)-_xlfn.NORM.DIST(CA$30,$CV8,0.3*$CV8,TRUE))),""),IF($C8&gt;0,summary!$C$10/28.8/0.947817,""))</f>
        <v/>
      </c>
      <c r="CB37">
        <f t="array" ref="CB37">IF($D8,IFERROR((SUMPRODUCT((economics!$AG$2:$AG$167=$B37)*(economics!$D$2:$D$167="whr")*economics!$AH$2:$AH$167*(_xlfn.NORM.DIST(CB$3,economics!$AK$2:$AK$167,economics!$AJ$2:$AJ$167,TRUE)-_xlfn.NORM.DIST(CB$30,economics!$AK$2:$AK$167,economics!$AJ$2:$AJ$167,TRUE))*economics!$AM$2:$AM$167)+$CR8*(_xlfn.NORM.DIST(CB$3,$CU8,0.3*$CU8,TRUE)-_xlfn.NORM.DIST(CB$30,$CU8,0.3*$CU8,TRUE))*summary!$C$7/28.8/0.947817+$CS8*(_xlfn.NORM.DIST(CB$3,$CV8,0.3*$CV8,TRUE)-_xlfn.NORM.DIST(CB$30,$CV8,0.3*$CV8,TRUE))*summary!$C$6/28.8/0.947817)/(SUMPRODUCT((economics!$AG$2:$AG$167=$B37)*(economics!$D$2:$D$167="whr")*economics!$AH$2:$AH$167*(_xlfn.NORM.DIST(CB$3,economics!$AK$2:$AK$167,economics!$AJ$2:$AJ$167,TRUE)-_xlfn.NORM.DIST(CB$30,economics!$AK$2:$AK$167,economics!$AJ$2:$AJ$167,TRUE)))+$CR8*(_xlfn.NORM.DIST(CB$3,$CU8,0.3*$CU8,TRUE)-_xlfn.NORM.DIST(CB$30,$CU8,0.3*$CU8,TRUE))+$CS8*(_xlfn.NORM.DIST(CB$3,$CV8,0.3*$CV8,TRUE)-_xlfn.NORM.DIST(CB$30,$CV8,0.3*$CV8,TRUE))),""),IF($C8&gt;0,summary!$C$10/28.8/0.947817,""))</f>
        <v/>
      </c>
      <c r="CC37">
        <f t="array" ref="CC37">IF($D8,IFERROR((SUMPRODUCT((economics!$AG$2:$AG$167=$B37)*(economics!$D$2:$D$167="whr")*economics!$AH$2:$AH$167*(_xlfn.NORM.DIST(CC$3,economics!$AK$2:$AK$167,economics!$AJ$2:$AJ$167,TRUE)-_xlfn.NORM.DIST(CC$30,economics!$AK$2:$AK$167,economics!$AJ$2:$AJ$167,TRUE))*economics!$AM$2:$AM$167)+$CR8*(_xlfn.NORM.DIST(CC$3,$CU8,0.3*$CU8,TRUE)-_xlfn.NORM.DIST(CC$30,$CU8,0.3*$CU8,TRUE))*summary!$C$7/28.8/0.947817+$CS8*(_xlfn.NORM.DIST(CC$3,$CV8,0.3*$CV8,TRUE)-_xlfn.NORM.DIST(CC$30,$CV8,0.3*$CV8,TRUE))*summary!$C$6/28.8/0.947817)/(SUMPRODUCT((economics!$AG$2:$AG$167=$B37)*(economics!$D$2:$D$167="whr")*economics!$AH$2:$AH$167*(_xlfn.NORM.DIST(CC$3,economics!$AK$2:$AK$167,economics!$AJ$2:$AJ$167,TRUE)-_xlfn.NORM.DIST(CC$30,economics!$AK$2:$AK$167,economics!$AJ$2:$AJ$167,TRUE)))+$CR8*(_xlfn.NORM.DIST(CC$3,$CU8,0.3*$CU8,TRUE)-_xlfn.NORM.DIST(CC$30,$CU8,0.3*$CU8,TRUE))+$CS8*(_xlfn.NORM.DIST(CC$3,$CV8,0.3*$CV8,TRUE)-_xlfn.NORM.DIST(CC$30,$CV8,0.3*$CV8,TRUE))),""),IF($C8&gt;0,summary!$C$10/28.8/0.947817,""))</f>
        <v/>
      </c>
      <c r="CD37">
        <f t="array" ref="CD37">IF($D8,IFERROR((SUMPRODUCT((economics!$AG$2:$AG$167=$B37)*(economics!$D$2:$D$167="whr")*economics!$AH$2:$AH$167*(_xlfn.NORM.DIST(CD$3,economics!$AK$2:$AK$167,economics!$AJ$2:$AJ$167,TRUE)-_xlfn.NORM.DIST(CD$30,economics!$AK$2:$AK$167,economics!$AJ$2:$AJ$167,TRUE))*economics!$AM$2:$AM$167)+$CR8*(_xlfn.NORM.DIST(CD$3,$CU8,0.3*$CU8,TRUE)-_xlfn.NORM.DIST(CD$30,$CU8,0.3*$CU8,TRUE))*summary!$C$7/28.8/0.947817+$CS8*(_xlfn.NORM.DIST(CD$3,$CV8,0.3*$CV8,TRUE)-_xlfn.NORM.DIST(CD$30,$CV8,0.3*$CV8,TRUE))*summary!$C$6/28.8/0.947817)/(SUMPRODUCT((economics!$AG$2:$AG$167=$B37)*(economics!$D$2:$D$167="whr")*economics!$AH$2:$AH$167*(_xlfn.NORM.DIST(CD$3,economics!$AK$2:$AK$167,economics!$AJ$2:$AJ$167,TRUE)-_xlfn.NORM.DIST(CD$30,economics!$AK$2:$AK$167,economics!$AJ$2:$AJ$167,TRUE)))+$CR8*(_xlfn.NORM.DIST(CD$3,$CU8,0.3*$CU8,TRUE)-_xlfn.NORM.DIST(CD$30,$CU8,0.3*$CU8,TRUE))+$CS8*(_xlfn.NORM.DIST(CD$3,$CV8,0.3*$CV8,TRUE)-_xlfn.NORM.DIST(CD$30,$CV8,0.3*$CV8,TRUE))),""),IF($C8&gt;0,summary!$C$10/28.8/0.947817,""))</f>
        <v/>
      </c>
      <c r="CE37">
        <f t="array" ref="CE37">IF($D8,IFERROR((SUMPRODUCT((economics!$AG$2:$AG$167=$B37)*(economics!$D$2:$D$167="whr")*economics!$AH$2:$AH$167*(_xlfn.NORM.DIST(CE$3,economics!$AK$2:$AK$167,economics!$AJ$2:$AJ$167,TRUE)-_xlfn.NORM.DIST(CE$30,economics!$AK$2:$AK$167,economics!$AJ$2:$AJ$167,TRUE))*economics!$AM$2:$AM$167)+$CR8*(_xlfn.NORM.DIST(CE$3,$CU8,0.3*$CU8,TRUE)-_xlfn.NORM.DIST(CE$30,$CU8,0.3*$CU8,TRUE))*summary!$C$7/28.8/0.947817+$CS8*(_xlfn.NORM.DIST(CE$3,$CV8,0.3*$CV8,TRUE)-_xlfn.NORM.DIST(CE$30,$CV8,0.3*$CV8,TRUE))*summary!$C$6/28.8/0.947817)/(SUMPRODUCT((economics!$AG$2:$AG$167=$B37)*(economics!$D$2:$D$167="whr")*economics!$AH$2:$AH$167*(_xlfn.NORM.DIST(CE$3,economics!$AK$2:$AK$167,economics!$AJ$2:$AJ$167,TRUE)-_xlfn.NORM.DIST(CE$30,economics!$AK$2:$AK$167,economics!$AJ$2:$AJ$167,TRUE)))+$CR8*(_xlfn.NORM.DIST(CE$3,$CU8,0.3*$CU8,TRUE)-_xlfn.NORM.DIST(CE$30,$CU8,0.3*$CU8,TRUE))+$CS8*(_xlfn.NORM.DIST(CE$3,$CV8,0.3*$CV8,TRUE)-_xlfn.NORM.DIST(CE$30,$CV8,0.3*$CV8,TRUE))),""),IF($C8&gt;0,summary!$C$10/28.8/0.947817,""))</f>
        <v/>
      </c>
      <c r="CF37">
        <f t="array" ref="CF37">IF($D8,IFERROR((SUMPRODUCT((economics!$AG$2:$AG$167=$B37)*(economics!$D$2:$D$167="whr")*economics!$AH$2:$AH$167*(_xlfn.NORM.DIST(CF$3,economics!$AK$2:$AK$167,economics!$AJ$2:$AJ$167,TRUE)-_xlfn.NORM.DIST(CF$30,economics!$AK$2:$AK$167,economics!$AJ$2:$AJ$167,TRUE))*economics!$AM$2:$AM$167)+$CR8*(_xlfn.NORM.DIST(CF$3,$CU8,0.3*$CU8,TRUE)-_xlfn.NORM.DIST(CF$30,$CU8,0.3*$CU8,TRUE))*summary!$C$7/28.8/0.947817+$CS8*(_xlfn.NORM.DIST(CF$3,$CV8,0.3*$CV8,TRUE)-_xlfn.NORM.DIST(CF$30,$CV8,0.3*$CV8,TRUE))*summary!$C$6/28.8/0.947817)/(SUMPRODUCT((economics!$AG$2:$AG$167=$B37)*(economics!$D$2:$D$167="whr")*economics!$AH$2:$AH$167*(_xlfn.NORM.DIST(CF$3,economics!$AK$2:$AK$167,economics!$AJ$2:$AJ$167,TRUE)-_xlfn.NORM.DIST(CF$30,economics!$AK$2:$AK$167,economics!$AJ$2:$AJ$167,TRUE)))+$CR8*(_xlfn.NORM.DIST(CF$3,$CU8,0.3*$CU8,TRUE)-_xlfn.NORM.DIST(CF$30,$CU8,0.3*$CU8,TRUE))+$CS8*(_xlfn.NORM.DIST(CF$3,$CV8,0.3*$CV8,TRUE)-_xlfn.NORM.DIST(CF$30,$CV8,0.3*$CV8,TRUE))),""),IF($C8&gt;0,summary!$C$10/28.8/0.947817,""))</f>
        <v/>
      </c>
      <c r="CG37">
        <f t="array" ref="CG37">IF($D8,IFERROR((SUMPRODUCT((economics!$AG$2:$AG$167=$B37)*(economics!$D$2:$D$167="whr")*economics!$AH$2:$AH$167*(_xlfn.NORM.DIST(CG$3,economics!$AK$2:$AK$167,economics!$AJ$2:$AJ$167,TRUE)-_xlfn.NORM.DIST(CG$30,economics!$AK$2:$AK$167,economics!$AJ$2:$AJ$167,TRUE))*economics!$AM$2:$AM$167)+$CR8*(_xlfn.NORM.DIST(CG$3,$CU8,0.3*$CU8,TRUE)-_xlfn.NORM.DIST(CG$30,$CU8,0.3*$CU8,TRUE))*summary!$C$7/28.8/0.947817+$CS8*(_xlfn.NORM.DIST(CG$3,$CV8,0.3*$CV8,TRUE)-_xlfn.NORM.DIST(CG$30,$CV8,0.3*$CV8,TRUE))*summary!$C$6/28.8/0.947817)/(SUMPRODUCT((economics!$AG$2:$AG$167=$B37)*(economics!$D$2:$D$167="whr")*economics!$AH$2:$AH$167*(_xlfn.NORM.DIST(CG$3,economics!$AK$2:$AK$167,economics!$AJ$2:$AJ$167,TRUE)-_xlfn.NORM.DIST(CG$30,economics!$AK$2:$AK$167,economics!$AJ$2:$AJ$167,TRUE)))+$CR8*(_xlfn.NORM.DIST(CG$3,$CU8,0.3*$CU8,TRUE)-_xlfn.NORM.DIST(CG$30,$CU8,0.3*$CU8,TRUE))+$CS8*(_xlfn.NORM.DIST(CG$3,$CV8,0.3*$CV8,TRUE)-_xlfn.NORM.DIST(CG$30,$CV8,0.3*$CV8,TRUE))),""),IF($C8&gt;0,summary!$C$10/28.8/0.947817,""))</f>
        <v/>
      </c>
      <c r="CH37">
        <f t="array" ref="CH37">IF($D8,IFERROR((SUMPRODUCT((economics!$AG$2:$AG$167=$B37)*(economics!$D$2:$D$167="whr")*economics!$AH$2:$AH$167*(_xlfn.NORM.DIST(CH$3,economics!$AK$2:$AK$167,economics!$AJ$2:$AJ$167,TRUE)-_xlfn.NORM.DIST(CH$30,economics!$AK$2:$AK$167,economics!$AJ$2:$AJ$167,TRUE))*economics!$AM$2:$AM$167)+$CR8*(_xlfn.NORM.DIST(CH$3,$CU8,0.3*$CU8,TRUE)-_xlfn.NORM.DIST(CH$30,$CU8,0.3*$CU8,TRUE))*summary!$C$7/28.8/0.947817+$CS8*(_xlfn.NORM.DIST(CH$3,$CV8,0.3*$CV8,TRUE)-_xlfn.NORM.DIST(CH$30,$CV8,0.3*$CV8,TRUE))*summary!$C$6/28.8/0.947817)/(SUMPRODUCT((economics!$AG$2:$AG$167=$B37)*(economics!$D$2:$D$167="whr")*economics!$AH$2:$AH$167*(_xlfn.NORM.DIST(CH$3,economics!$AK$2:$AK$167,economics!$AJ$2:$AJ$167,TRUE)-_xlfn.NORM.DIST(CH$30,economics!$AK$2:$AK$167,economics!$AJ$2:$AJ$167,TRUE)))+$CR8*(_xlfn.NORM.DIST(CH$3,$CU8,0.3*$CU8,TRUE)-_xlfn.NORM.DIST(CH$30,$CU8,0.3*$CU8,TRUE))+$CS8*(_xlfn.NORM.DIST(CH$3,$CV8,0.3*$CV8,TRUE)-_xlfn.NORM.DIST(CH$30,$CV8,0.3*$CV8,TRUE))),""),IF($C8&gt;0,summary!$C$10/28.8/0.947817,""))</f>
        <v/>
      </c>
    </row>
    <row r="38">
      <c r="A38">
        <f>A9</f>
        <v/>
      </c>
      <c r="B38">
        <f>B9</f>
        <v/>
      </c>
      <c r="E38">
        <f t="array" ref="E38">IF($D9,IFERROR((SUMPRODUCT((economics!$AG$2:$AG$167=$B38)*(economics!$D$2:$D$167="whr")*economics!$AH$2:$AH$167*(_xlfn.NORM.DIST(E$3,economics!$AK$2:$AK$167,economics!$AJ$2:$AJ$167,TRUE)-_xlfn.NORM.DIST(E$30,economics!$AK$2:$AK$167,economics!$AJ$2:$AJ$167,TRUE))*economics!$AM$2:$AM$167)+$CR9*(_xlfn.NORM.DIST(E$3,$CU9,0.3*$CU9,TRUE)-_xlfn.NORM.DIST(E$30,$CU9,0.3*$CU9,TRUE))*summary!$C$7/28.8/0.947817+$CS9*(_xlfn.NORM.DIST(E$3,$CV9,0.3*$CV9,TRUE)-_xlfn.NORM.DIST(E$30,$CV9,0.3*$CV9,TRUE))*summary!$C$6/28.8/0.947817)/(SUMPRODUCT((economics!$AG$2:$AG$167=$B38)*(economics!$D$2:$D$167="whr")*economics!$AH$2:$AH$167*(_xlfn.NORM.DIST(E$3,economics!$AK$2:$AK$167,economics!$AJ$2:$AJ$167,TRUE)-_xlfn.NORM.DIST(E$30,economics!$AK$2:$AK$167,economics!$AJ$2:$AJ$167,TRUE)))+$CR9*(_xlfn.NORM.DIST(E$3,$CU9,0.3*$CU9,TRUE)-_xlfn.NORM.DIST(E$30,$CU9,0.3*$CU9,TRUE))+$CS9*(_xlfn.NORM.DIST(E$3,$CV9,0.3*$CV9,TRUE)-_xlfn.NORM.DIST(E$30,$CV9,0.3*$CV9,TRUE))),""),IF($C9&gt;0,summary!$C$10/28.8/0.947817,""))</f>
        <v/>
      </c>
      <c r="F38">
        <f t="array" ref="F38">IF($D9,IFERROR((SUMPRODUCT((economics!$AG$2:$AG$167=$B38)*(economics!$D$2:$D$167="whr")*economics!$AH$2:$AH$167*(_xlfn.NORM.DIST(F$3,economics!$AK$2:$AK$167,economics!$AJ$2:$AJ$167,TRUE)-_xlfn.NORM.DIST(F$30,economics!$AK$2:$AK$167,economics!$AJ$2:$AJ$167,TRUE))*economics!$AM$2:$AM$167)+$CR9*(_xlfn.NORM.DIST(F$3,$CU9,0.3*$CU9,TRUE)-_xlfn.NORM.DIST(F$30,$CU9,0.3*$CU9,TRUE))*summary!$C$7/28.8/0.947817+$CS9*(_xlfn.NORM.DIST(F$3,$CV9,0.3*$CV9,TRUE)-_xlfn.NORM.DIST(F$30,$CV9,0.3*$CV9,TRUE))*summary!$C$6/28.8/0.947817)/(SUMPRODUCT((economics!$AG$2:$AG$167=$B38)*(economics!$D$2:$D$167="whr")*economics!$AH$2:$AH$167*(_xlfn.NORM.DIST(F$3,economics!$AK$2:$AK$167,economics!$AJ$2:$AJ$167,TRUE)-_xlfn.NORM.DIST(F$30,economics!$AK$2:$AK$167,economics!$AJ$2:$AJ$167,TRUE)))+$CR9*(_xlfn.NORM.DIST(F$3,$CU9,0.3*$CU9,TRUE)-_xlfn.NORM.DIST(F$30,$CU9,0.3*$CU9,TRUE))+$CS9*(_xlfn.NORM.DIST(F$3,$CV9,0.3*$CV9,TRUE)-_xlfn.NORM.DIST(F$30,$CV9,0.3*$CV9,TRUE))),""),IF($C9&gt;0,summary!$C$10/28.8/0.947817,""))</f>
        <v/>
      </c>
      <c r="G38">
        <f t="array" ref="G38">IF($D9,IFERROR((SUMPRODUCT((economics!$AG$2:$AG$167=$B38)*(economics!$D$2:$D$167="whr")*economics!$AH$2:$AH$167*(_xlfn.NORM.DIST(G$3,economics!$AK$2:$AK$167,economics!$AJ$2:$AJ$167,TRUE)-_xlfn.NORM.DIST(G$30,economics!$AK$2:$AK$167,economics!$AJ$2:$AJ$167,TRUE))*economics!$AM$2:$AM$167)+$CR9*(_xlfn.NORM.DIST(G$3,$CU9,0.3*$CU9,TRUE)-_xlfn.NORM.DIST(G$30,$CU9,0.3*$CU9,TRUE))*summary!$C$7/28.8/0.947817+$CS9*(_xlfn.NORM.DIST(G$3,$CV9,0.3*$CV9,TRUE)-_xlfn.NORM.DIST(G$30,$CV9,0.3*$CV9,TRUE))*summary!$C$6/28.8/0.947817)/(SUMPRODUCT((economics!$AG$2:$AG$167=$B38)*(economics!$D$2:$D$167="whr")*economics!$AH$2:$AH$167*(_xlfn.NORM.DIST(G$3,economics!$AK$2:$AK$167,economics!$AJ$2:$AJ$167,TRUE)-_xlfn.NORM.DIST(G$30,economics!$AK$2:$AK$167,economics!$AJ$2:$AJ$167,TRUE)))+$CR9*(_xlfn.NORM.DIST(G$3,$CU9,0.3*$CU9,TRUE)-_xlfn.NORM.DIST(G$30,$CU9,0.3*$CU9,TRUE))+$CS9*(_xlfn.NORM.DIST(G$3,$CV9,0.3*$CV9,TRUE)-_xlfn.NORM.DIST(G$30,$CV9,0.3*$CV9,TRUE))),""),IF($C9&gt;0,summary!$C$10/28.8/0.947817,""))</f>
        <v/>
      </c>
      <c r="H38">
        <f t="array" ref="H38">IF($D9,IFERROR((SUMPRODUCT((economics!$AG$2:$AG$167=$B38)*(economics!$D$2:$D$167="whr")*economics!$AH$2:$AH$167*(_xlfn.NORM.DIST(H$3,economics!$AK$2:$AK$167,economics!$AJ$2:$AJ$167,TRUE)-_xlfn.NORM.DIST(H$30,economics!$AK$2:$AK$167,economics!$AJ$2:$AJ$167,TRUE))*economics!$AM$2:$AM$167)+$CR9*(_xlfn.NORM.DIST(H$3,$CU9,0.3*$CU9,TRUE)-_xlfn.NORM.DIST(H$30,$CU9,0.3*$CU9,TRUE))*summary!$C$7/28.8/0.947817+$CS9*(_xlfn.NORM.DIST(H$3,$CV9,0.3*$CV9,TRUE)-_xlfn.NORM.DIST(H$30,$CV9,0.3*$CV9,TRUE))*summary!$C$6/28.8/0.947817)/(SUMPRODUCT((economics!$AG$2:$AG$167=$B38)*(economics!$D$2:$D$167="whr")*economics!$AH$2:$AH$167*(_xlfn.NORM.DIST(H$3,economics!$AK$2:$AK$167,economics!$AJ$2:$AJ$167,TRUE)-_xlfn.NORM.DIST(H$30,economics!$AK$2:$AK$167,economics!$AJ$2:$AJ$167,TRUE)))+$CR9*(_xlfn.NORM.DIST(H$3,$CU9,0.3*$CU9,TRUE)-_xlfn.NORM.DIST(H$30,$CU9,0.3*$CU9,TRUE))+$CS9*(_xlfn.NORM.DIST(H$3,$CV9,0.3*$CV9,TRUE)-_xlfn.NORM.DIST(H$30,$CV9,0.3*$CV9,TRUE))),""),IF($C9&gt;0,summary!$C$10/28.8/0.947817,""))</f>
        <v/>
      </c>
      <c r="I38">
        <f t="array" ref="I38">IF($D9,IFERROR((SUMPRODUCT((economics!$AG$2:$AG$167=$B38)*(economics!$D$2:$D$167="whr")*economics!$AH$2:$AH$167*(_xlfn.NORM.DIST(I$3,economics!$AK$2:$AK$167,economics!$AJ$2:$AJ$167,TRUE)-_xlfn.NORM.DIST(I$30,economics!$AK$2:$AK$167,economics!$AJ$2:$AJ$167,TRUE))*economics!$AM$2:$AM$167)+$CR9*(_xlfn.NORM.DIST(I$3,$CU9,0.3*$CU9,TRUE)-_xlfn.NORM.DIST(I$30,$CU9,0.3*$CU9,TRUE))*summary!$C$7/28.8/0.947817+$CS9*(_xlfn.NORM.DIST(I$3,$CV9,0.3*$CV9,TRUE)-_xlfn.NORM.DIST(I$30,$CV9,0.3*$CV9,TRUE))*summary!$C$6/28.8/0.947817)/(SUMPRODUCT((economics!$AG$2:$AG$167=$B38)*(economics!$D$2:$D$167="whr")*economics!$AH$2:$AH$167*(_xlfn.NORM.DIST(I$3,economics!$AK$2:$AK$167,economics!$AJ$2:$AJ$167,TRUE)-_xlfn.NORM.DIST(I$30,economics!$AK$2:$AK$167,economics!$AJ$2:$AJ$167,TRUE)))+$CR9*(_xlfn.NORM.DIST(I$3,$CU9,0.3*$CU9,TRUE)-_xlfn.NORM.DIST(I$30,$CU9,0.3*$CU9,TRUE))+$CS9*(_xlfn.NORM.DIST(I$3,$CV9,0.3*$CV9,TRUE)-_xlfn.NORM.DIST(I$30,$CV9,0.3*$CV9,TRUE))),""),IF($C9&gt;0,summary!$C$10/28.8/0.947817,""))</f>
        <v/>
      </c>
      <c r="J38">
        <f t="array" ref="J38">IF($D9,IFERROR((SUMPRODUCT((economics!$AG$2:$AG$167=$B38)*(economics!$D$2:$D$167="whr")*economics!$AH$2:$AH$167*(_xlfn.NORM.DIST(J$3,economics!$AK$2:$AK$167,economics!$AJ$2:$AJ$167,TRUE)-_xlfn.NORM.DIST(J$30,economics!$AK$2:$AK$167,economics!$AJ$2:$AJ$167,TRUE))*economics!$AM$2:$AM$167)+$CR9*(_xlfn.NORM.DIST(J$3,$CU9,0.3*$CU9,TRUE)-_xlfn.NORM.DIST(J$30,$CU9,0.3*$CU9,TRUE))*summary!$C$7/28.8/0.947817+$CS9*(_xlfn.NORM.DIST(J$3,$CV9,0.3*$CV9,TRUE)-_xlfn.NORM.DIST(J$30,$CV9,0.3*$CV9,TRUE))*summary!$C$6/28.8/0.947817)/(SUMPRODUCT((economics!$AG$2:$AG$167=$B38)*(economics!$D$2:$D$167="whr")*economics!$AH$2:$AH$167*(_xlfn.NORM.DIST(J$3,economics!$AK$2:$AK$167,economics!$AJ$2:$AJ$167,TRUE)-_xlfn.NORM.DIST(J$30,economics!$AK$2:$AK$167,economics!$AJ$2:$AJ$167,TRUE)))+$CR9*(_xlfn.NORM.DIST(J$3,$CU9,0.3*$CU9,TRUE)-_xlfn.NORM.DIST(J$30,$CU9,0.3*$CU9,TRUE))+$CS9*(_xlfn.NORM.DIST(J$3,$CV9,0.3*$CV9,TRUE)-_xlfn.NORM.DIST(J$30,$CV9,0.3*$CV9,TRUE))),""),IF($C9&gt;0,summary!$C$10/28.8/0.947817,""))</f>
        <v/>
      </c>
      <c r="K38">
        <f t="array" ref="K38">IF($D9,IFERROR((SUMPRODUCT((economics!$AG$2:$AG$167=$B38)*(economics!$D$2:$D$167="whr")*economics!$AH$2:$AH$167*(_xlfn.NORM.DIST(K$3,economics!$AK$2:$AK$167,economics!$AJ$2:$AJ$167,TRUE)-_xlfn.NORM.DIST(K$30,economics!$AK$2:$AK$167,economics!$AJ$2:$AJ$167,TRUE))*economics!$AM$2:$AM$167)+$CR9*(_xlfn.NORM.DIST(K$3,$CU9,0.3*$CU9,TRUE)-_xlfn.NORM.DIST(K$30,$CU9,0.3*$CU9,TRUE))*summary!$C$7/28.8/0.947817+$CS9*(_xlfn.NORM.DIST(K$3,$CV9,0.3*$CV9,TRUE)-_xlfn.NORM.DIST(K$30,$CV9,0.3*$CV9,TRUE))*summary!$C$6/28.8/0.947817)/(SUMPRODUCT((economics!$AG$2:$AG$167=$B38)*(economics!$D$2:$D$167="whr")*economics!$AH$2:$AH$167*(_xlfn.NORM.DIST(K$3,economics!$AK$2:$AK$167,economics!$AJ$2:$AJ$167,TRUE)-_xlfn.NORM.DIST(K$30,economics!$AK$2:$AK$167,economics!$AJ$2:$AJ$167,TRUE)))+$CR9*(_xlfn.NORM.DIST(K$3,$CU9,0.3*$CU9,TRUE)-_xlfn.NORM.DIST(K$30,$CU9,0.3*$CU9,TRUE))+$CS9*(_xlfn.NORM.DIST(K$3,$CV9,0.3*$CV9,TRUE)-_xlfn.NORM.DIST(K$30,$CV9,0.3*$CV9,TRUE))),""),IF($C9&gt;0,summary!$C$10/28.8/0.947817,""))</f>
        <v/>
      </c>
      <c r="L38">
        <f t="array" ref="L38">IF($D9,IFERROR((SUMPRODUCT((economics!$AG$2:$AG$167=$B38)*(economics!$D$2:$D$167="whr")*economics!$AH$2:$AH$167*(_xlfn.NORM.DIST(L$3,economics!$AK$2:$AK$167,economics!$AJ$2:$AJ$167,TRUE)-_xlfn.NORM.DIST(L$30,economics!$AK$2:$AK$167,economics!$AJ$2:$AJ$167,TRUE))*economics!$AM$2:$AM$167)+$CR9*(_xlfn.NORM.DIST(L$3,$CU9,0.3*$CU9,TRUE)-_xlfn.NORM.DIST(L$30,$CU9,0.3*$CU9,TRUE))*summary!$C$7/28.8/0.947817+$CS9*(_xlfn.NORM.DIST(L$3,$CV9,0.3*$CV9,TRUE)-_xlfn.NORM.DIST(L$30,$CV9,0.3*$CV9,TRUE))*summary!$C$6/28.8/0.947817)/(SUMPRODUCT((economics!$AG$2:$AG$167=$B38)*(economics!$D$2:$D$167="whr")*economics!$AH$2:$AH$167*(_xlfn.NORM.DIST(L$3,economics!$AK$2:$AK$167,economics!$AJ$2:$AJ$167,TRUE)-_xlfn.NORM.DIST(L$30,economics!$AK$2:$AK$167,economics!$AJ$2:$AJ$167,TRUE)))+$CR9*(_xlfn.NORM.DIST(L$3,$CU9,0.3*$CU9,TRUE)-_xlfn.NORM.DIST(L$30,$CU9,0.3*$CU9,TRUE))+$CS9*(_xlfn.NORM.DIST(L$3,$CV9,0.3*$CV9,TRUE)-_xlfn.NORM.DIST(L$30,$CV9,0.3*$CV9,TRUE))),""),IF($C9&gt;0,summary!$C$10/28.8/0.947817,""))</f>
        <v/>
      </c>
      <c r="M38">
        <f t="array" ref="M38">IF($D9,IFERROR((SUMPRODUCT((economics!$AG$2:$AG$167=$B38)*(economics!$D$2:$D$167="whr")*economics!$AH$2:$AH$167*(_xlfn.NORM.DIST(M$3,economics!$AK$2:$AK$167,economics!$AJ$2:$AJ$167,TRUE)-_xlfn.NORM.DIST(M$30,economics!$AK$2:$AK$167,economics!$AJ$2:$AJ$167,TRUE))*economics!$AM$2:$AM$167)+$CR9*(_xlfn.NORM.DIST(M$3,$CU9,0.3*$CU9,TRUE)-_xlfn.NORM.DIST(M$30,$CU9,0.3*$CU9,TRUE))*summary!$C$7/28.8/0.947817+$CS9*(_xlfn.NORM.DIST(M$3,$CV9,0.3*$CV9,TRUE)-_xlfn.NORM.DIST(M$30,$CV9,0.3*$CV9,TRUE))*summary!$C$6/28.8/0.947817)/(SUMPRODUCT((economics!$AG$2:$AG$167=$B38)*(economics!$D$2:$D$167="whr")*economics!$AH$2:$AH$167*(_xlfn.NORM.DIST(M$3,economics!$AK$2:$AK$167,economics!$AJ$2:$AJ$167,TRUE)-_xlfn.NORM.DIST(M$30,economics!$AK$2:$AK$167,economics!$AJ$2:$AJ$167,TRUE)))+$CR9*(_xlfn.NORM.DIST(M$3,$CU9,0.3*$CU9,TRUE)-_xlfn.NORM.DIST(M$30,$CU9,0.3*$CU9,TRUE))+$CS9*(_xlfn.NORM.DIST(M$3,$CV9,0.3*$CV9,TRUE)-_xlfn.NORM.DIST(M$30,$CV9,0.3*$CV9,TRUE))),""),IF($C9&gt;0,summary!$C$10/28.8/0.947817,""))</f>
        <v/>
      </c>
      <c r="N38">
        <f t="array" ref="N38">IF($D9,IFERROR((SUMPRODUCT((economics!$AG$2:$AG$167=$B38)*(economics!$D$2:$D$167="whr")*economics!$AH$2:$AH$167*(_xlfn.NORM.DIST(N$3,economics!$AK$2:$AK$167,economics!$AJ$2:$AJ$167,TRUE)-_xlfn.NORM.DIST(N$30,economics!$AK$2:$AK$167,economics!$AJ$2:$AJ$167,TRUE))*economics!$AM$2:$AM$167)+$CR9*(_xlfn.NORM.DIST(N$3,$CU9,0.3*$CU9,TRUE)-_xlfn.NORM.DIST(N$30,$CU9,0.3*$CU9,TRUE))*summary!$C$7/28.8/0.947817+$CS9*(_xlfn.NORM.DIST(N$3,$CV9,0.3*$CV9,TRUE)-_xlfn.NORM.DIST(N$30,$CV9,0.3*$CV9,TRUE))*summary!$C$6/28.8/0.947817)/(SUMPRODUCT((economics!$AG$2:$AG$167=$B38)*(economics!$D$2:$D$167="whr")*economics!$AH$2:$AH$167*(_xlfn.NORM.DIST(N$3,economics!$AK$2:$AK$167,economics!$AJ$2:$AJ$167,TRUE)-_xlfn.NORM.DIST(N$30,economics!$AK$2:$AK$167,economics!$AJ$2:$AJ$167,TRUE)))+$CR9*(_xlfn.NORM.DIST(N$3,$CU9,0.3*$CU9,TRUE)-_xlfn.NORM.DIST(N$30,$CU9,0.3*$CU9,TRUE))+$CS9*(_xlfn.NORM.DIST(N$3,$CV9,0.3*$CV9,TRUE)-_xlfn.NORM.DIST(N$30,$CV9,0.3*$CV9,TRUE))),""),IF($C9&gt;0,summary!$C$10/28.8/0.947817,""))</f>
        <v/>
      </c>
      <c r="O38">
        <f t="array" ref="O38">IF($D9,IFERROR((SUMPRODUCT((economics!$AG$2:$AG$167=$B38)*(economics!$D$2:$D$167="whr")*economics!$AH$2:$AH$167*(_xlfn.NORM.DIST(O$3,economics!$AK$2:$AK$167,economics!$AJ$2:$AJ$167,TRUE)-_xlfn.NORM.DIST(O$30,economics!$AK$2:$AK$167,economics!$AJ$2:$AJ$167,TRUE))*economics!$AM$2:$AM$167)+$CR9*(_xlfn.NORM.DIST(O$3,$CU9,0.3*$CU9,TRUE)-_xlfn.NORM.DIST(O$30,$CU9,0.3*$CU9,TRUE))*summary!$C$7/28.8/0.947817+$CS9*(_xlfn.NORM.DIST(O$3,$CV9,0.3*$CV9,TRUE)-_xlfn.NORM.DIST(O$30,$CV9,0.3*$CV9,TRUE))*summary!$C$6/28.8/0.947817)/(SUMPRODUCT((economics!$AG$2:$AG$167=$B38)*(economics!$D$2:$D$167="whr")*economics!$AH$2:$AH$167*(_xlfn.NORM.DIST(O$3,economics!$AK$2:$AK$167,economics!$AJ$2:$AJ$167,TRUE)-_xlfn.NORM.DIST(O$30,economics!$AK$2:$AK$167,economics!$AJ$2:$AJ$167,TRUE)))+$CR9*(_xlfn.NORM.DIST(O$3,$CU9,0.3*$CU9,TRUE)-_xlfn.NORM.DIST(O$30,$CU9,0.3*$CU9,TRUE))+$CS9*(_xlfn.NORM.DIST(O$3,$CV9,0.3*$CV9,TRUE)-_xlfn.NORM.DIST(O$30,$CV9,0.3*$CV9,TRUE))),""),IF($C9&gt;0,summary!$C$10/28.8/0.947817,""))</f>
        <v/>
      </c>
      <c r="P38">
        <f t="array" ref="P38">IF($D9,IFERROR((SUMPRODUCT((economics!$AG$2:$AG$167=$B38)*(economics!$D$2:$D$167="whr")*economics!$AH$2:$AH$167*(_xlfn.NORM.DIST(P$3,economics!$AK$2:$AK$167,economics!$AJ$2:$AJ$167,TRUE)-_xlfn.NORM.DIST(P$30,economics!$AK$2:$AK$167,economics!$AJ$2:$AJ$167,TRUE))*economics!$AM$2:$AM$167)+$CR9*(_xlfn.NORM.DIST(P$3,$CU9,0.3*$CU9,TRUE)-_xlfn.NORM.DIST(P$30,$CU9,0.3*$CU9,TRUE))*summary!$C$7/28.8/0.947817+$CS9*(_xlfn.NORM.DIST(P$3,$CV9,0.3*$CV9,TRUE)-_xlfn.NORM.DIST(P$30,$CV9,0.3*$CV9,TRUE))*summary!$C$6/28.8/0.947817)/(SUMPRODUCT((economics!$AG$2:$AG$167=$B38)*(economics!$D$2:$D$167="whr")*economics!$AH$2:$AH$167*(_xlfn.NORM.DIST(P$3,economics!$AK$2:$AK$167,economics!$AJ$2:$AJ$167,TRUE)-_xlfn.NORM.DIST(P$30,economics!$AK$2:$AK$167,economics!$AJ$2:$AJ$167,TRUE)))+$CR9*(_xlfn.NORM.DIST(P$3,$CU9,0.3*$CU9,TRUE)-_xlfn.NORM.DIST(P$30,$CU9,0.3*$CU9,TRUE))+$CS9*(_xlfn.NORM.DIST(P$3,$CV9,0.3*$CV9,TRUE)-_xlfn.NORM.DIST(P$30,$CV9,0.3*$CV9,TRUE))),""),IF($C9&gt;0,summary!$C$10/28.8/0.947817,""))</f>
        <v/>
      </c>
      <c r="Q38">
        <f t="array" ref="Q38">IF($D9,IFERROR((SUMPRODUCT((economics!$AG$2:$AG$167=$B38)*(economics!$D$2:$D$167="whr")*economics!$AH$2:$AH$167*(_xlfn.NORM.DIST(Q$3,economics!$AK$2:$AK$167,economics!$AJ$2:$AJ$167,TRUE)-_xlfn.NORM.DIST(Q$30,economics!$AK$2:$AK$167,economics!$AJ$2:$AJ$167,TRUE))*economics!$AM$2:$AM$167)+$CR9*(_xlfn.NORM.DIST(Q$3,$CU9,0.3*$CU9,TRUE)-_xlfn.NORM.DIST(Q$30,$CU9,0.3*$CU9,TRUE))*summary!$C$7/28.8/0.947817+$CS9*(_xlfn.NORM.DIST(Q$3,$CV9,0.3*$CV9,TRUE)-_xlfn.NORM.DIST(Q$30,$CV9,0.3*$CV9,TRUE))*summary!$C$6/28.8/0.947817)/(SUMPRODUCT((economics!$AG$2:$AG$167=$B38)*(economics!$D$2:$D$167="whr")*economics!$AH$2:$AH$167*(_xlfn.NORM.DIST(Q$3,economics!$AK$2:$AK$167,economics!$AJ$2:$AJ$167,TRUE)-_xlfn.NORM.DIST(Q$30,economics!$AK$2:$AK$167,economics!$AJ$2:$AJ$167,TRUE)))+$CR9*(_xlfn.NORM.DIST(Q$3,$CU9,0.3*$CU9,TRUE)-_xlfn.NORM.DIST(Q$30,$CU9,0.3*$CU9,TRUE))+$CS9*(_xlfn.NORM.DIST(Q$3,$CV9,0.3*$CV9,TRUE)-_xlfn.NORM.DIST(Q$30,$CV9,0.3*$CV9,TRUE))),""),IF($C9&gt;0,summary!$C$10/28.8/0.947817,""))</f>
        <v/>
      </c>
      <c r="R38">
        <f t="array" ref="R38">IF($D9,IFERROR((SUMPRODUCT((economics!$AG$2:$AG$167=$B38)*(economics!$D$2:$D$167="whr")*economics!$AH$2:$AH$167*(_xlfn.NORM.DIST(R$3,economics!$AK$2:$AK$167,economics!$AJ$2:$AJ$167,TRUE)-_xlfn.NORM.DIST(R$30,economics!$AK$2:$AK$167,economics!$AJ$2:$AJ$167,TRUE))*economics!$AM$2:$AM$167)+$CR9*(_xlfn.NORM.DIST(R$3,$CU9,0.3*$CU9,TRUE)-_xlfn.NORM.DIST(R$30,$CU9,0.3*$CU9,TRUE))*summary!$C$7/28.8/0.947817+$CS9*(_xlfn.NORM.DIST(R$3,$CV9,0.3*$CV9,TRUE)-_xlfn.NORM.DIST(R$30,$CV9,0.3*$CV9,TRUE))*summary!$C$6/28.8/0.947817)/(SUMPRODUCT((economics!$AG$2:$AG$167=$B38)*(economics!$D$2:$D$167="whr")*economics!$AH$2:$AH$167*(_xlfn.NORM.DIST(R$3,economics!$AK$2:$AK$167,economics!$AJ$2:$AJ$167,TRUE)-_xlfn.NORM.DIST(R$30,economics!$AK$2:$AK$167,economics!$AJ$2:$AJ$167,TRUE)))+$CR9*(_xlfn.NORM.DIST(R$3,$CU9,0.3*$CU9,TRUE)-_xlfn.NORM.DIST(R$30,$CU9,0.3*$CU9,TRUE))+$CS9*(_xlfn.NORM.DIST(R$3,$CV9,0.3*$CV9,TRUE)-_xlfn.NORM.DIST(R$30,$CV9,0.3*$CV9,TRUE))),""),IF($C9&gt;0,summary!$C$10/28.8/0.947817,""))</f>
        <v/>
      </c>
      <c r="S38">
        <f t="array" ref="S38">IF($D9,IFERROR((SUMPRODUCT((economics!$AG$2:$AG$167=$B38)*(economics!$D$2:$D$167="whr")*economics!$AH$2:$AH$167*(_xlfn.NORM.DIST(S$3,economics!$AK$2:$AK$167,economics!$AJ$2:$AJ$167,TRUE)-_xlfn.NORM.DIST(S$30,economics!$AK$2:$AK$167,economics!$AJ$2:$AJ$167,TRUE))*economics!$AM$2:$AM$167)+$CR9*(_xlfn.NORM.DIST(S$3,$CU9,0.3*$CU9,TRUE)-_xlfn.NORM.DIST(S$30,$CU9,0.3*$CU9,TRUE))*summary!$C$7/28.8/0.947817+$CS9*(_xlfn.NORM.DIST(S$3,$CV9,0.3*$CV9,TRUE)-_xlfn.NORM.DIST(S$30,$CV9,0.3*$CV9,TRUE))*summary!$C$6/28.8/0.947817)/(SUMPRODUCT((economics!$AG$2:$AG$167=$B38)*(economics!$D$2:$D$167="whr")*economics!$AH$2:$AH$167*(_xlfn.NORM.DIST(S$3,economics!$AK$2:$AK$167,economics!$AJ$2:$AJ$167,TRUE)-_xlfn.NORM.DIST(S$30,economics!$AK$2:$AK$167,economics!$AJ$2:$AJ$167,TRUE)))+$CR9*(_xlfn.NORM.DIST(S$3,$CU9,0.3*$CU9,TRUE)-_xlfn.NORM.DIST(S$30,$CU9,0.3*$CU9,TRUE))+$CS9*(_xlfn.NORM.DIST(S$3,$CV9,0.3*$CV9,TRUE)-_xlfn.NORM.DIST(S$30,$CV9,0.3*$CV9,TRUE))),""),IF($C9&gt;0,summary!$C$10/28.8/0.947817,""))</f>
        <v/>
      </c>
      <c r="T38">
        <f t="array" ref="T38">IF($D9,IFERROR((SUMPRODUCT((economics!$AG$2:$AG$167=$B38)*(economics!$D$2:$D$167="whr")*economics!$AH$2:$AH$167*(_xlfn.NORM.DIST(T$3,economics!$AK$2:$AK$167,economics!$AJ$2:$AJ$167,TRUE)-_xlfn.NORM.DIST(T$30,economics!$AK$2:$AK$167,economics!$AJ$2:$AJ$167,TRUE))*economics!$AM$2:$AM$167)+$CR9*(_xlfn.NORM.DIST(T$3,$CU9,0.3*$CU9,TRUE)-_xlfn.NORM.DIST(T$30,$CU9,0.3*$CU9,TRUE))*summary!$C$7/28.8/0.947817+$CS9*(_xlfn.NORM.DIST(T$3,$CV9,0.3*$CV9,TRUE)-_xlfn.NORM.DIST(T$30,$CV9,0.3*$CV9,TRUE))*summary!$C$6/28.8/0.947817)/(SUMPRODUCT((economics!$AG$2:$AG$167=$B38)*(economics!$D$2:$D$167="whr")*economics!$AH$2:$AH$167*(_xlfn.NORM.DIST(T$3,economics!$AK$2:$AK$167,economics!$AJ$2:$AJ$167,TRUE)-_xlfn.NORM.DIST(T$30,economics!$AK$2:$AK$167,economics!$AJ$2:$AJ$167,TRUE)))+$CR9*(_xlfn.NORM.DIST(T$3,$CU9,0.3*$CU9,TRUE)-_xlfn.NORM.DIST(T$30,$CU9,0.3*$CU9,TRUE))+$CS9*(_xlfn.NORM.DIST(T$3,$CV9,0.3*$CV9,TRUE)-_xlfn.NORM.DIST(T$30,$CV9,0.3*$CV9,TRUE))),""),IF($C9&gt;0,summary!$C$10/28.8/0.947817,""))</f>
        <v/>
      </c>
      <c r="U38">
        <f t="array" ref="U38">IF($D9,IFERROR((SUMPRODUCT((economics!$AG$2:$AG$167=$B38)*(economics!$D$2:$D$167="whr")*economics!$AH$2:$AH$167*(_xlfn.NORM.DIST(U$3,economics!$AK$2:$AK$167,economics!$AJ$2:$AJ$167,TRUE)-_xlfn.NORM.DIST(U$30,economics!$AK$2:$AK$167,economics!$AJ$2:$AJ$167,TRUE))*economics!$AM$2:$AM$167)+$CR9*(_xlfn.NORM.DIST(U$3,$CU9,0.3*$CU9,TRUE)-_xlfn.NORM.DIST(U$30,$CU9,0.3*$CU9,TRUE))*summary!$C$7/28.8/0.947817+$CS9*(_xlfn.NORM.DIST(U$3,$CV9,0.3*$CV9,TRUE)-_xlfn.NORM.DIST(U$30,$CV9,0.3*$CV9,TRUE))*summary!$C$6/28.8/0.947817)/(SUMPRODUCT((economics!$AG$2:$AG$167=$B38)*(economics!$D$2:$D$167="whr")*economics!$AH$2:$AH$167*(_xlfn.NORM.DIST(U$3,economics!$AK$2:$AK$167,economics!$AJ$2:$AJ$167,TRUE)-_xlfn.NORM.DIST(U$30,economics!$AK$2:$AK$167,economics!$AJ$2:$AJ$167,TRUE)))+$CR9*(_xlfn.NORM.DIST(U$3,$CU9,0.3*$CU9,TRUE)-_xlfn.NORM.DIST(U$30,$CU9,0.3*$CU9,TRUE))+$CS9*(_xlfn.NORM.DIST(U$3,$CV9,0.3*$CV9,TRUE)-_xlfn.NORM.DIST(U$30,$CV9,0.3*$CV9,TRUE))),""),IF($C9&gt;0,summary!$C$10/28.8/0.947817,""))</f>
        <v/>
      </c>
      <c r="V38">
        <f t="array" ref="V38">IF($D9,IFERROR((SUMPRODUCT((economics!$AG$2:$AG$167=$B38)*(economics!$D$2:$D$167="whr")*economics!$AH$2:$AH$167*(_xlfn.NORM.DIST(V$3,economics!$AK$2:$AK$167,economics!$AJ$2:$AJ$167,TRUE)-_xlfn.NORM.DIST(V$30,economics!$AK$2:$AK$167,economics!$AJ$2:$AJ$167,TRUE))*economics!$AM$2:$AM$167)+$CR9*(_xlfn.NORM.DIST(V$3,$CU9,0.3*$CU9,TRUE)-_xlfn.NORM.DIST(V$30,$CU9,0.3*$CU9,TRUE))*summary!$C$7/28.8/0.947817+$CS9*(_xlfn.NORM.DIST(V$3,$CV9,0.3*$CV9,TRUE)-_xlfn.NORM.DIST(V$30,$CV9,0.3*$CV9,TRUE))*summary!$C$6/28.8/0.947817)/(SUMPRODUCT((economics!$AG$2:$AG$167=$B38)*(economics!$D$2:$D$167="whr")*economics!$AH$2:$AH$167*(_xlfn.NORM.DIST(V$3,economics!$AK$2:$AK$167,economics!$AJ$2:$AJ$167,TRUE)-_xlfn.NORM.DIST(V$30,economics!$AK$2:$AK$167,economics!$AJ$2:$AJ$167,TRUE)))+$CR9*(_xlfn.NORM.DIST(V$3,$CU9,0.3*$CU9,TRUE)-_xlfn.NORM.DIST(V$30,$CU9,0.3*$CU9,TRUE))+$CS9*(_xlfn.NORM.DIST(V$3,$CV9,0.3*$CV9,TRUE)-_xlfn.NORM.DIST(V$30,$CV9,0.3*$CV9,TRUE))),""),IF($C9&gt;0,summary!$C$10/28.8/0.947817,""))</f>
        <v/>
      </c>
      <c r="W38">
        <f t="array" ref="W38">IF($D9,IFERROR((SUMPRODUCT((economics!$AG$2:$AG$167=$B38)*(economics!$D$2:$D$167="whr")*economics!$AH$2:$AH$167*(_xlfn.NORM.DIST(W$3,economics!$AK$2:$AK$167,economics!$AJ$2:$AJ$167,TRUE)-_xlfn.NORM.DIST(W$30,economics!$AK$2:$AK$167,economics!$AJ$2:$AJ$167,TRUE))*economics!$AM$2:$AM$167)+$CR9*(_xlfn.NORM.DIST(W$3,$CU9,0.3*$CU9,TRUE)-_xlfn.NORM.DIST(W$30,$CU9,0.3*$CU9,TRUE))*summary!$C$7/28.8/0.947817+$CS9*(_xlfn.NORM.DIST(W$3,$CV9,0.3*$CV9,TRUE)-_xlfn.NORM.DIST(W$30,$CV9,0.3*$CV9,TRUE))*summary!$C$6/28.8/0.947817)/(SUMPRODUCT((economics!$AG$2:$AG$167=$B38)*(economics!$D$2:$D$167="whr")*economics!$AH$2:$AH$167*(_xlfn.NORM.DIST(W$3,economics!$AK$2:$AK$167,economics!$AJ$2:$AJ$167,TRUE)-_xlfn.NORM.DIST(W$30,economics!$AK$2:$AK$167,economics!$AJ$2:$AJ$167,TRUE)))+$CR9*(_xlfn.NORM.DIST(W$3,$CU9,0.3*$CU9,TRUE)-_xlfn.NORM.DIST(W$30,$CU9,0.3*$CU9,TRUE))+$CS9*(_xlfn.NORM.DIST(W$3,$CV9,0.3*$CV9,TRUE)-_xlfn.NORM.DIST(W$30,$CV9,0.3*$CV9,TRUE))),""),IF($C9&gt;0,summary!$C$10/28.8/0.947817,""))</f>
        <v/>
      </c>
      <c r="X38">
        <f t="array" ref="X38">IF($D9,IFERROR((SUMPRODUCT((economics!$AG$2:$AG$167=$B38)*(economics!$D$2:$D$167="whr")*economics!$AH$2:$AH$167*(_xlfn.NORM.DIST(X$3,economics!$AK$2:$AK$167,economics!$AJ$2:$AJ$167,TRUE)-_xlfn.NORM.DIST(X$30,economics!$AK$2:$AK$167,economics!$AJ$2:$AJ$167,TRUE))*economics!$AM$2:$AM$167)+$CR9*(_xlfn.NORM.DIST(X$3,$CU9,0.3*$CU9,TRUE)-_xlfn.NORM.DIST(X$30,$CU9,0.3*$CU9,TRUE))*summary!$C$7/28.8/0.947817+$CS9*(_xlfn.NORM.DIST(X$3,$CV9,0.3*$CV9,TRUE)-_xlfn.NORM.DIST(X$30,$CV9,0.3*$CV9,TRUE))*summary!$C$6/28.8/0.947817)/(SUMPRODUCT((economics!$AG$2:$AG$167=$B38)*(economics!$D$2:$D$167="whr")*economics!$AH$2:$AH$167*(_xlfn.NORM.DIST(X$3,economics!$AK$2:$AK$167,economics!$AJ$2:$AJ$167,TRUE)-_xlfn.NORM.DIST(X$30,economics!$AK$2:$AK$167,economics!$AJ$2:$AJ$167,TRUE)))+$CR9*(_xlfn.NORM.DIST(X$3,$CU9,0.3*$CU9,TRUE)-_xlfn.NORM.DIST(X$30,$CU9,0.3*$CU9,TRUE))+$CS9*(_xlfn.NORM.DIST(X$3,$CV9,0.3*$CV9,TRUE)-_xlfn.NORM.DIST(X$30,$CV9,0.3*$CV9,TRUE))),""),IF($C9&gt;0,summary!$C$10/28.8/0.947817,""))</f>
        <v/>
      </c>
      <c r="Y38">
        <f t="array" ref="Y38">IF($D9,IFERROR((SUMPRODUCT((economics!$AG$2:$AG$167=$B38)*(economics!$D$2:$D$167="whr")*economics!$AH$2:$AH$167*(_xlfn.NORM.DIST(Y$3,economics!$AK$2:$AK$167,economics!$AJ$2:$AJ$167,TRUE)-_xlfn.NORM.DIST(Y$30,economics!$AK$2:$AK$167,economics!$AJ$2:$AJ$167,TRUE))*economics!$AM$2:$AM$167)+$CR9*(_xlfn.NORM.DIST(Y$3,$CU9,0.3*$CU9,TRUE)-_xlfn.NORM.DIST(Y$30,$CU9,0.3*$CU9,TRUE))*summary!$C$7/28.8/0.947817+$CS9*(_xlfn.NORM.DIST(Y$3,$CV9,0.3*$CV9,TRUE)-_xlfn.NORM.DIST(Y$30,$CV9,0.3*$CV9,TRUE))*summary!$C$6/28.8/0.947817)/(SUMPRODUCT((economics!$AG$2:$AG$167=$B38)*(economics!$D$2:$D$167="whr")*economics!$AH$2:$AH$167*(_xlfn.NORM.DIST(Y$3,economics!$AK$2:$AK$167,economics!$AJ$2:$AJ$167,TRUE)-_xlfn.NORM.DIST(Y$30,economics!$AK$2:$AK$167,economics!$AJ$2:$AJ$167,TRUE)))+$CR9*(_xlfn.NORM.DIST(Y$3,$CU9,0.3*$CU9,TRUE)-_xlfn.NORM.DIST(Y$30,$CU9,0.3*$CU9,TRUE))+$CS9*(_xlfn.NORM.DIST(Y$3,$CV9,0.3*$CV9,TRUE)-_xlfn.NORM.DIST(Y$30,$CV9,0.3*$CV9,TRUE))),""),IF($C9&gt;0,summary!$C$10/28.8/0.947817,""))</f>
        <v/>
      </c>
      <c r="Z38">
        <f t="array" ref="Z38">IF($D9,IFERROR((SUMPRODUCT((economics!$AG$2:$AG$167=$B38)*(economics!$D$2:$D$167="whr")*economics!$AH$2:$AH$167*(_xlfn.NORM.DIST(Z$3,economics!$AK$2:$AK$167,economics!$AJ$2:$AJ$167,TRUE)-_xlfn.NORM.DIST(Z$30,economics!$AK$2:$AK$167,economics!$AJ$2:$AJ$167,TRUE))*economics!$AM$2:$AM$167)+$CR9*(_xlfn.NORM.DIST(Z$3,$CU9,0.3*$CU9,TRUE)-_xlfn.NORM.DIST(Z$30,$CU9,0.3*$CU9,TRUE))*summary!$C$7/28.8/0.947817+$CS9*(_xlfn.NORM.DIST(Z$3,$CV9,0.3*$CV9,TRUE)-_xlfn.NORM.DIST(Z$30,$CV9,0.3*$CV9,TRUE))*summary!$C$6/28.8/0.947817)/(SUMPRODUCT((economics!$AG$2:$AG$167=$B38)*(economics!$D$2:$D$167="whr")*economics!$AH$2:$AH$167*(_xlfn.NORM.DIST(Z$3,economics!$AK$2:$AK$167,economics!$AJ$2:$AJ$167,TRUE)-_xlfn.NORM.DIST(Z$30,economics!$AK$2:$AK$167,economics!$AJ$2:$AJ$167,TRUE)))+$CR9*(_xlfn.NORM.DIST(Z$3,$CU9,0.3*$CU9,TRUE)-_xlfn.NORM.DIST(Z$30,$CU9,0.3*$CU9,TRUE))+$CS9*(_xlfn.NORM.DIST(Z$3,$CV9,0.3*$CV9,TRUE)-_xlfn.NORM.DIST(Z$30,$CV9,0.3*$CV9,TRUE))),""),IF($C9&gt;0,summary!$C$10/28.8/0.947817,""))</f>
        <v/>
      </c>
      <c r="AA38">
        <f t="array" ref="AA38">IF($D9,IFERROR((SUMPRODUCT((economics!$AG$2:$AG$167=$B38)*(economics!$D$2:$D$167="whr")*economics!$AH$2:$AH$167*(_xlfn.NORM.DIST(AA$3,economics!$AK$2:$AK$167,economics!$AJ$2:$AJ$167,TRUE)-_xlfn.NORM.DIST(AA$30,economics!$AK$2:$AK$167,economics!$AJ$2:$AJ$167,TRUE))*economics!$AM$2:$AM$167)+$CR9*(_xlfn.NORM.DIST(AA$3,$CU9,0.3*$CU9,TRUE)-_xlfn.NORM.DIST(AA$30,$CU9,0.3*$CU9,TRUE))*summary!$C$7/28.8/0.947817+$CS9*(_xlfn.NORM.DIST(AA$3,$CV9,0.3*$CV9,TRUE)-_xlfn.NORM.DIST(AA$30,$CV9,0.3*$CV9,TRUE))*summary!$C$6/28.8/0.947817)/(SUMPRODUCT((economics!$AG$2:$AG$167=$B38)*(economics!$D$2:$D$167="whr")*economics!$AH$2:$AH$167*(_xlfn.NORM.DIST(AA$3,economics!$AK$2:$AK$167,economics!$AJ$2:$AJ$167,TRUE)-_xlfn.NORM.DIST(AA$30,economics!$AK$2:$AK$167,economics!$AJ$2:$AJ$167,TRUE)))+$CR9*(_xlfn.NORM.DIST(AA$3,$CU9,0.3*$CU9,TRUE)-_xlfn.NORM.DIST(AA$30,$CU9,0.3*$CU9,TRUE))+$CS9*(_xlfn.NORM.DIST(AA$3,$CV9,0.3*$CV9,TRUE)-_xlfn.NORM.DIST(AA$30,$CV9,0.3*$CV9,TRUE))),""),IF($C9&gt;0,summary!$C$10/28.8/0.947817,""))</f>
        <v/>
      </c>
      <c r="AB38">
        <f t="array" ref="AB38">IF($D9,IFERROR((SUMPRODUCT((economics!$AG$2:$AG$167=$B38)*(economics!$D$2:$D$167="whr")*economics!$AH$2:$AH$167*(_xlfn.NORM.DIST(AB$3,economics!$AK$2:$AK$167,economics!$AJ$2:$AJ$167,TRUE)-_xlfn.NORM.DIST(AB$30,economics!$AK$2:$AK$167,economics!$AJ$2:$AJ$167,TRUE))*economics!$AM$2:$AM$167)+$CR9*(_xlfn.NORM.DIST(AB$3,$CU9,0.3*$CU9,TRUE)-_xlfn.NORM.DIST(AB$30,$CU9,0.3*$CU9,TRUE))*summary!$C$7/28.8/0.947817+$CS9*(_xlfn.NORM.DIST(AB$3,$CV9,0.3*$CV9,TRUE)-_xlfn.NORM.DIST(AB$30,$CV9,0.3*$CV9,TRUE))*summary!$C$6/28.8/0.947817)/(SUMPRODUCT((economics!$AG$2:$AG$167=$B38)*(economics!$D$2:$D$167="whr")*economics!$AH$2:$AH$167*(_xlfn.NORM.DIST(AB$3,economics!$AK$2:$AK$167,economics!$AJ$2:$AJ$167,TRUE)-_xlfn.NORM.DIST(AB$30,economics!$AK$2:$AK$167,economics!$AJ$2:$AJ$167,TRUE)))+$CR9*(_xlfn.NORM.DIST(AB$3,$CU9,0.3*$CU9,TRUE)-_xlfn.NORM.DIST(AB$30,$CU9,0.3*$CU9,TRUE))+$CS9*(_xlfn.NORM.DIST(AB$3,$CV9,0.3*$CV9,TRUE)-_xlfn.NORM.DIST(AB$30,$CV9,0.3*$CV9,TRUE))),""),IF($C9&gt;0,summary!$C$10/28.8/0.947817,""))</f>
        <v/>
      </c>
      <c r="AC38">
        <f t="array" ref="AC38">IF($D9,IFERROR((SUMPRODUCT((economics!$AG$2:$AG$167=$B38)*(economics!$D$2:$D$167="whr")*economics!$AH$2:$AH$167*(_xlfn.NORM.DIST(AC$3,economics!$AK$2:$AK$167,economics!$AJ$2:$AJ$167,TRUE)-_xlfn.NORM.DIST(AC$30,economics!$AK$2:$AK$167,economics!$AJ$2:$AJ$167,TRUE))*economics!$AM$2:$AM$167)+$CR9*(_xlfn.NORM.DIST(AC$3,$CU9,0.3*$CU9,TRUE)-_xlfn.NORM.DIST(AC$30,$CU9,0.3*$CU9,TRUE))*summary!$C$7/28.8/0.947817+$CS9*(_xlfn.NORM.DIST(AC$3,$CV9,0.3*$CV9,TRUE)-_xlfn.NORM.DIST(AC$30,$CV9,0.3*$CV9,TRUE))*summary!$C$6/28.8/0.947817)/(SUMPRODUCT((economics!$AG$2:$AG$167=$B38)*(economics!$D$2:$D$167="whr")*economics!$AH$2:$AH$167*(_xlfn.NORM.DIST(AC$3,economics!$AK$2:$AK$167,economics!$AJ$2:$AJ$167,TRUE)-_xlfn.NORM.DIST(AC$30,economics!$AK$2:$AK$167,economics!$AJ$2:$AJ$167,TRUE)))+$CR9*(_xlfn.NORM.DIST(AC$3,$CU9,0.3*$CU9,TRUE)-_xlfn.NORM.DIST(AC$30,$CU9,0.3*$CU9,TRUE))+$CS9*(_xlfn.NORM.DIST(AC$3,$CV9,0.3*$CV9,TRUE)-_xlfn.NORM.DIST(AC$30,$CV9,0.3*$CV9,TRUE))),""),IF($C9&gt;0,summary!$C$10/28.8/0.947817,""))</f>
        <v/>
      </c>
      <c r="AD38">
        <f t="array" ref="AD38">IF($D9,IFERROR((SUMPRODUCT((economics!$AG$2:$AG$167=$B38)*(economics!$D$2:$D$167="whr")*economics!$AH$2:$AH$167*(_xlfn.NORM.DIST(AD$3,economics!$AK$2:$AK$167,economics!$AJ$2:$AJ$167,TRUE)-_xlfn.NORM.DIST(AD$30,economics!$AK$2:$AK$167,economics!$AJ$2:$AJ$167,TRUE))*economics!$AM$2:$AM$167)+$CR9*(_xlfn.NORM.DIST(AD$3,$CU9,0.3*$CU9,TRUE)-_xlfn.NORM.DIST(AD$30,$CU9,0.3*$CU9,TRUE))*summary!$C$7/28.8/0.947817+$CS9*(_xlfn.NORM.DIST(AD$3,$CV9,0.3*$CV9,TRUE)-_xlfn.NORM.DIST(AD$30,$CV9,0.3*$CV9,TRUE))*summary!$C$6/28.8/0.947817)/(SUMPRODUCT((economics!$AG$2:$AG$167=$B38)*(economics!$D$2:$D$167="whr")*economics!$AH$2:$AH$167*(_xlfn.NORM.DIST(AD$3,economics!$AK$2:$AK$167,economics!$AJ$2:$AJ$167,TRUE)-_xlfn.NORM.DIST(AD$30,economics!$AK$2:$AK$167,economics!$AJ$2:$AJ$167,TRUE)))+$CR9*(_xlfn.NORM.DIST(AD$3,$CU9,0.3*$CU9,TRUE)-_xlfn.NORM.DIST(AD$30,$CU9,0.3*$CU9,TRUE))+$CS9*(_xlfn.NORM.DIST(AD$3,$CV9,0.3*$CV9,TRUE)-_xlfn.NORM.DIST(AD$30,$CV9,0.3*$CV9,TRUE))),""),IF($C9&gt;0,summary!$C$10/28.8/0.947817,""))</f>
        <v/>
      </c>
      <c r="AE38">
        <f t="array" ref="AE38">IF($D9,IFERROR((SUMPRODUCT((economics!$AG$2:$AG$167=$B38)*(economics!$D$2:$D$167="whr")*economics!$AH$2:$AH$167*(_xlfn.NORM.DIST(AE$3,economics!$AK$2:$AK$167,economics!$AJ$2:$AJ$167,TRUE)-_xlfn.NORM.DIST(AE$30,economics!$AK$2:$AK$167,economics!$AJ$2:$AJ$167,TRUE))*economics!$AM$2:$AM$167)+$CR9*(_xlfn.NORM.DIST(AE$3,$CU9,0.3*$CU9,TRUE)-_xlfn.NORM.DIST(AE$30,$CU9,0.3*$CU9,TRUE))*summary!$C$7/28.8/0.947817+$CS9*(_xlfn.NORM.DIST(AE$3,$CV9,0.3*$CV9,TRUE)-_xlfn.NORM.DIST(AE$30,$CV9,0.3*$CV9,TRUE))*summary!$C$6/28.8/0.947817)/(SUMPRODUCT((economics!$AG$2:$AG$167=$B38)*(economics!$D$2:$D$167="whr")*economics!$AH$2:$AH$167*(_xlfn.NORM.DIST(AE$3,economics!$AK$2:$AK$167,economics!$AJ$2:$AJ$167,TRUE)-_xlfn.NORM.DIST(AE$30,economics!$AK$2:$AK$167,economics!$AJ$2:$AJ$167,TRUE)))+$CR9*(_xlfn.NORM.DIST(AE$3,$CU9,0.3*$CU9,TRUE)-_xlfn.NORM.DIST(AE$30,$CU9,0.3*$CU9,TRUE))+$CS9*(_xlfn.NORM.DIST(AE$3,$CV9,0.3*$CV9,TRUE)-_xlfn.NORM.DIST(AE$30,$CV9,0.3*$CV9,TRUE))),""),IF($C9&gt;0,summary!$C$10/28.8/0.947817,""))</f>
        <v/>
      </c>
      <c r="AF38">
        <f t="array" ref="AF38">IF($D9,IFERROR((SUMPRODUCT((economics!$AG$2:$AG$167=$B38)*(economics!$D$2:$D$167="whr")*economics!$AH$2:$AH$167*(_xlfn.NORM.DIST(AF$3,economics!$AK$2:$AK$167,economics!$AJ$2:$AJ$167,TRUE)-_xlfn.NORM.DIST(AF$30,economics!$AK$2:$AK$167,economics!$AJ$2:$AJ$167,TRUE))*economics!$AM$2:$AM$167)+$CR9*(_xlfn.NORM.DIST(AF$3,$CU9,0.3*$CU9,TRUE)-_xlfn.NORM.DIST(AF$30,$CU9,0.3*$CU9,TRUE))*summary!$C$7/28.8/0.947817+$CS9*(_xlfn.NORM.DIST(AF$3,$CV9,0.3*$CV9,TRUE)-_xlfn.NORM.DIST(AF$30,$CV9,0.3*$CV9,TRUE))*summary!$C$6/28.8/0.947817)/(SUMPRODUCT((economics!$AG$2:$AG$167=$B38)*(economics!$D$2:$D$167="whr")*economics!$AH$2:$AH$167*(_xlfn.NORM.DIST(AF$3,economics!$AK$2:$AK$167,economics!$AJ$2:$AJ$167,TRUE)-_xlfn.NORM.DIST(AF$30,economics!$AK$2:$AK$167,economics!$AJ$2:$AJ$167,TRUE)))+$CR9*(_xlfn.NORM.DIST(AF$3,$CU9,0.3*$CU9,TRUE)-_xlfn.NORM.DIST(AF$30,$CU9,0.3*$CU9,TRUE))+$CS9*(_xlfn.NORM.DIST(AF$3,$CV9,0.3*$CV9,TRUE)-_xlfn.NORM.DIST(AF$30,$CV9,0.3*$CV9,TRUE))),""),IF($C9&gt;0,summary!$C$10/28.8/0.947817,""))</f>
        <v/>
      </c>
      <c r="AG38">
        <f t="array" ref="AG38">IF($D9,IFERROR((SUMPRODUCT((economics!$AG$2:$AG$167=$B38)*(economics!$D$2:$D$167="whr")*economics!$AH$2:$AH$167*(_xlfn.NORM.DIST(AG$3,economics!$AK$2:$AK$167,economics!$AJ$2:$AJ$167,TRUE)-_xlfn.NORM.DIST(AG$30,economics!$AK$2:$AK$167,economics!$AJ$2:$AJ$167,TRUE))*economics!$AM$2:$AM$167)+$CR9*(_xlfn.NORM.DIST(AG$3,$CU9,0.3*$CU9,TRUE)-_xlfn.NORM.DIST(AG$30,$CU9,0.3*$CU9,TRUE))*summary!$C$7/28.8/0.947817+$CS9*(_xlfn.NORM.DIST(AG$3,$CV9,0.3*$CV9,TRUE)-_xlfn.NORM.DIST(AG$30,$CV9,0.3*$CV9,TRUE))*summary!$C$6/28.8/0.947817)/(SUMPRODUCT((economics!$AG$2:$AG$167=$B38)*(economics!$D$2:$D$167="whr")*economics!$AH$2:$AH$167*(_xlfn.NORM.DIST(AG$3,economics!$AK$2:$AK$167,economics!$AJ$2:$AJ$167,TRUE)-_xlfn.NORM.DIST(AG$30,economics!$AK$2:$AK$167,economics!$AJ$2:$AJ$167,TRUE)))+$CR9*(_xlfn.NORM.DIST(AG$3,$CU9,0.3*$CU9,TRUE)-_xlfn.NORM.DIST(AG$30,$CU9,0.3*$CU9,TRUE))+$CS9*(_xlfn.NORM.DIST(AG$3,$CV9,0.3*$CV9,TRUE)-_xlfn.NORM.DIST(AG$30,$CV9,0.3*$CV9,TRUE))),""),IF($C9&gt;0,summary!$C$10/28.8/0.947817,""))</f>
        <v/>
      </c>
      <c r="AH38">
        <f t="array" ref="AH38">IF($D9,IFERROR((SUMPRODUCT((economics!$AG$2:$AG$167=$B38)*(economics!$D$2:$D$167="whr")*economics!$AH$2:$AH$167*(_xlfn.NORM.DIST(AH$3,economics!$AK$2:$AK$167,economics!$AJ$2:$AJ$167,TRUE)-_xlfn.NORM.DIST(AH$30,economics!$AK$2:$AK$167,economics!$AJ$2:$AJ$167,TRUE))*economics!$AM$2:$AM$167)+$CR9*(_xlfn.NORM.DIST(AH$3,$CU9,0.3*$CU9,TRUE)-_xlfn.NORM.DIST(AH$30,$CU9,0.3*$CU9,TRUE))*summary!$C$7/28.8/0.947817+$CS9*(_xlfn.NORM.DIST(AH$3,$CV9,0.3*$CV9,TRUE)-_xlfn.NORM.DIST(AH$30,$CV9,0.3*$CV9,TRUE))*summary!$C$6/28.8/0.947817)/(SUMPRODUCT((economics!$AG$2:$AG$167=$B38)*(economics!$D$2:$D$167="whr")*economics!$AH$2:$AH$167*(_xlfn.NORM.DIST(AH$3,economics!$AK$2:$AK$167,economics!$AJ$2:$AJ$167,TRUE)-_xlfn.NORM.DIST(AH$30,economics!$AK$2:$AK$167,economics!$AJ$2:$AJ$167,TRUE)))+$CR9*(_xlfn.NORM.DIST(AH$3,$CU9,0.3*$CU9,TRUE)-_xlfn.NORM.DIST(AH$30,$CU9,0.3*$CU9,TRUE))+$CS9*(_xlfn.NORM.DIST(AH$3,$CV9,0.3*$CV9,TRUE)-_xlfn.NORM.DIST(AH$30,$CV9,0.3*$CV9,TRUE))),""),IF($C9&gt;0,summary!$C$10/28.8/0.947817,""))</f>
        <v/>
      </c>
      <c r="AI38">
        <f t="array" ref="AI38">IF($D9,IFERROR((SUMPRODUCT((economics!$AG$2:$AG$167=$B38)*(economics!$D$2:$D$167="whr")*economics!$AH$2:$AH$167*(_xlfn.NORM.DIST(AI$3,economics!$AK$2:$AK$167,economics!$AJ$2:$AJ$167,TRUE)-_xlfn.NORM.DIST(AI$30,economics!$AK$2:$AK$167,economics!$AJ$2:$AJ$167,TRUE))*economics!$AM$2:$AM$167)+$CR9*(_xlfn.NORM.DIST(AI$3,$CU9,0.3*$CU9,TRUE)-_xlfn.NORM.DIST(AI$30,$CU9,0.3*$CU9,TRUE))*summary!$C$7/28.8/0.947817+$CS9*(_xlfn.NORM.DIST(AI$3,$CV9,0.3*$CV9,TRUE)-_xlfn.NORM.DIST(AI$30,$CV9,0.3*$CV9,TRUE))*summary!$C$6/28.8/0.947817)/(SUMPRODUCT((economics!$AG$2:$AG$167=$B38)*(economics!$D$2:$D$167="whr")*economics!$AH$2:$AH$167*(_xlfn.NORM.DIST(AI$3,economics!$AK$2:$AK$167,economics!$AJ$2:$AJ$167,TRUE)-_xlfn.NORM.DIST(AI$30,economics!$AK$2:$AK$167,economics!$AJ$2:$AJ$167,TRUE)))+$CR9*(_xlfn.NORM.DIST(AI$3,$CU9,0.3*$CU9,TRUE)-_xlfn.NORM.DIST(AI$30,$CU9,0.3*$CU9,TRUE))+$CS9*(_xlfn.NORM.DIST(AI$3,$CV9,0.3*$CV9,TRUE)-_xlfn.NORM.DIST(AI$30,$CV9,0.3*$CV9,TRUE))),""),IF($C9&gt;0,summary!$C$10/28.8/0.947817,""))</f>
        <v/>
      </c>
      <c r="AJ38">
        <f t="array" ref="AJ38">IF($D9,IFERROR((SUMPRODUCT((economics!$AG$2:$AG$167=$B38)*(economics!$D$2:$D$167="whr")*economics!$AH$2:$AH$167*(_xlfn.NORM.DIST(AJ$3,economics!$AK$2:$AK$167,economics!$AJ$2:$AJ$167,TRUE)-_xlfn.NORM.DIST(AJ$30,economics!$AK$2:$AK$167,economics!$AJ$2:$AJ$167,TRUE))*economics!$AM$2:$AM$167)+$CR9*(_xlfn.NORM.DIST(AJ$3,$CU9,0.3*$CU9,TRUE)-_xlfn.NORM.DIST(AJ$30,$CU9,0.3*$CU9,TRUE))*summary!$C$7/28.8/0.947817+$CS9*(_xlfn.NORM.DIST(AJ$3,$CV9,0.3*$CV9,TRUE)-_xlfn.NORM.DIST(AJ$30,$CV9,0.3*$CV9,TRUE))*summary!$C$6/28.8/0.947817)/(SUMPRODUCT((economics!$AG$2:$AG$167=$B38)*(economics!$D$2:$D$167="whr")*economics!$AH$2:$AH$167*(_xlfn.NORM.DIST(AJ$3,economics!$AK$2:$AK$167,economics!$AJ$2:$AJ$167,TRUE)-_xlfn.NORM.DIST(AJ$30,economics!$AK$2:$AK$167,economics!$AJ$2:$AJ$167,TRUE)))+$CR9*(_xlfn.NORM.DIST(AJ$3,$CU9,0.3*$CU9,TRUE)-_xlfn.NORM.DIST(AJ$30,$CU9,0.3*$CU9,TRUE))+$CS9*(_xlfn.NORM.DIST(AJ$3,$CV9,0.3*$CV9,TRUE)-_xlfn.NORM.DIST(AJ$30,$CV9,0.3*$CV9,TRUE))),""),IF($C9&gt;0,summary!$C$10/28.8/0.947817,""))</f>
        <v/>
      </c>
      <c r="AK38">
        <f t="array" ref="AK38">IF($D9,IFERROR((SUMPRODUCT((economics!$AG$2:$AG$167=$B38)*(economics!$D$2:$D$167="whr")*economics!$AH$2:$AH$167*(_xlfn.NORM.DIST(AK$3,economics!$AK$2:$AK$167,economics!$AJ$2:$AJ$167,TRUE)-_xlfn.NORM.DIST(AK$30,economics!$AK$2:$AK$167,economics!$AJ$2:$AJ$167,TRUE))*economics!$AM$2:$AM$167)+$CR9*(_xlfn.NORM.DIST(AK$3,$CU9,0.3*$CU9,TRUE)-_xlfn.NORM.DIST(AK$30,$CU9,0.3*$CU9,TRUE))*summary!$C$7/28.8/0.947817+$CS9*(_xlfn.NORM.DIST(AK$3,$CV9,0.3*$CV9,TRUE)-_xlfn.NORM.DIST(AK$30,$CV9,0.3*$CV9,TRUE))*summary!$C$6/28.8/0.947817)/(SUMPRODUCT((economics!$AG$2:$AG$167=$B38)*(economics!$D$2:$D$167="whr")*economics!$AH$2:$AH$167*(_xlfn.NORM.DIST(AK$3,economics!$AK$2:$AK$167,economics!$AJ$2:$AJ$167,TRUE)-_xlfn.NORM.DIST(AK$30,economics!$AK$2:$AK$167,economics!$AJ$2:$AJ$167,TRUE)))+$CR9*(_xlfn.NORM.DIST(AK$3,$CU9,0.3*$CU9,TRUE)-_xlfn.NORM.DIST(AK$30,$CU9,0.3*$CU9,TRUE))+$CS9*(_xlfn.NORM.DIST(AK$3,$CV9,0.3*$CV9,TRUE)-_xlfn.NORM.DIST(AK$30,$CV9,0.3*$CV9,TRUE))),""),IF($C9&gt;0,summary!$C$10/28.8/0.947817,""))</f>
        <v/>
      </c>
      <c r="AL38">
        <f t="array" ref="AL38">IF($D9,IFERROR((SUMPRODUCT((economics!$AG$2:$AG$167=$B38)*(economics!$D$2:$D$167="whr")*economics!$AH$2:$AH$167*(_xlfn.NORM.DIST(AL$3,economics!$AK$2:$AK$167,economics!$AJ$2:$AJ$167,TRUE)-_xlfn.NORM.DIST(AL$30,economics!$AK$2:$AK$167,economics!$AJ$2:$AJ$167,TRUE))*economics!$AM$2:$AM$167)+$CR9*(_xlfn.NORM.DIST(AL$3,$CU9,0.3*$CU9,TRUE)-_xlfn.NORM.DIST(AL$30,$CU9,0.3*$CU9,TRUE))*summary!$C$7/28.8/0.947817+$CS9*(_xlfn.NORM.DIST(AL$3,$CV9,0.3*$CV9,TRUE)-_xlfn.NORM.DIST(AL$30,$CV9,0.3*$CV9,TRUE))*summary!$C$6/28.8/0.947817)/(SUMPRODUCT((economics!$AG$2:$AG$167=$B38)*(economics!$D$2:$D$167="whr")*economics!$AH$2:$AH$167*(_xlfn.NORM.DIST(AL$3,economics!$AK$2:$AK$167,economics!$AJ$2:$AJ$167,TRUE)-_xlfn.NORM.DIST(AL$30,economics!$AK$2:$AK$167,economics!$AJ$2:$AJ$167,TRUE)))+$CR9*(_xlfn.NORM.DIST(AL$3,$CU9,0.3*$CU9,TRUE)-_xlfn.NORM.DIST(AL$30,$CU9,0.3*$CU9,TRUE))+$CS9*(_xlfn.NORM.DIST(AL$3,$CV9,0.3*$CV9,TRUE)-_xlfn.NORM.DIST(AL$30,$CV9,0.3*$CV9,TRUE))),""),IF($C9&gt;0,summary!$C$10/28.8/0.947817,""))</f>
        <v/>
      </c>
      <c r="AM38">
        <f t="array" ref="AM38">IF($D9,IFERROR((SUMPRODUCT((economics!$AG$2:$AG$167=$B38)*(economics!$D$2:$D$167="whr")*economics!$AH$2:$AH$167*(_xlfn.NORM.DIST(AM$3,economics!$AK$2:$AK$167,economics!$AJ$2:$AJ$167,TRUE)-_xlfn.NORM.DIST(AM$30,economics!$AK$2:$AK$167,economics!$AJ$2:$AJ$167,TRUE))*economics!$AM$2:$AM$167)+$CR9*(_xlfn.NORM.DIST(AM$3,$CU9,0.3*$CU9,TRUE)-_xlfn.NORM.DIST(AM$30,$CU9,0.3*$CU9,TRUE))*summary!$C$7/28.8/0.947817+$CS9*(_xlfn.NORM.DIST(AM$3,$CV9,0.3*$CV9,TRUE)-_xlfn.NORM.DIST(AM$30,$CV9,0.3*$CV9,TRUE))*summary!$C$6/28.8/0.947817)/(SUMPRODUCT((economics!$AG$2:$AG$167=$B38)*(economics!$D$2:$D$167="whr")*economics!$AH$2:$AH$167*(_xlfn.NORM.DIST(AM$3,economics!$AK$2:$AK$167,economics!$AJ$2:$AJ$167,TRUE)-_xlfn.NORM.DIST(AM$30,economics!$AK$2:$AK$167,economics!$AJ$2:$AJ$167,TRUE)))+$CR9*(_xlfn.NORM.DIST(AM$3,$CU9,0.3*$CU9,TRUE)-_xlfn.NORM.DIST(AM$30,$CU9,0.3*$CU9,TRUE))+$CS9*(_xlfn.NORM.DIST(AM$3,$CV9,0.3*$CV9,TRUE)-_xlfn.NORM.DIST(AM$30,$CV9,0.3*$CV9,TRUE))),""),IF($C9&gt;0,summary!$C$10/28.8/0.947817,""))</f>
        <v/>
      </c>
      <c r="AN38">
        <f t="array" ref="AN38">IF($D9,IFERROR((SUMPRODUCT((economics!$AG$2:$AG$167=$B38)*(economics!$D$2:$D$167="whr")*economics!$AH$2:$AH$167*(_xlfn.NORM.DIST(AN$3,economics!$AK$2:$AK$167,economics!$AJ$2:$AJ$167,TRUE)-_xlfn.NORM.DIST(AN$30,economics!$AK$2:$AK$167,economics!$AJ$2:$AJ$167,TRUE))*economics!$AM$2:$AM$167)+$CR9*(_xlfn.NORM.DIST(AN$3,$CU9,0.3*$CU9,TRUE)-_xlfn.NORM.DIST(AN$30,$CU9,0.3*$CU9,TRUE))*summary!$C$7/28.8/0.947817+$CS9*(_xlfn.NORM.DIST(AN$3,$CV9,0.3*$CV9,TRUE)-_xlfn.NORM.DIST(AN$30,$CV9,0.3*$CV9,TRUE))*summary!$C$6/28.8/0.947817)/(SUMPRODUCT((economics!$AG$2:$AG$167=$B38)*(economics!$D$2:$D$167="whr")*economics!$AH$2:$AH$167*(_xlfn.NORM.DIST(AN$3,economics!$AK$2:$AK$167,economics!$AJ$2:$AJ$167,TRUE)-_xlfn.NORM.DIST(AN$30,economics!$AK$2:$AK$167,economics!$AJ$2:$AJ$167,TRUE)))+$CR9*(_xlfn.NORM.DIST(AN$3,$CU9,0.3*$CU9,TRUE)-_xlfn.NORM.DIST(AN$30,$CU9,0.3*$CU9,TRUE))+$CS9*(_xlfn.NORM.DIST(AN$3,$CV9,0.3*$CV9,TRUE)-_xlfn.NORM.DIST(AN$30,$CV9,0.3*$CV9,TRUE))),""),IF($C9&gt;0,summary!$C$10/28.8/0.947817,""))</f>
        <v/>
      </c>
      <c r="AO38">
        <f t="array" ref="AO38">IF($D9,IFERROR((SUMPRODUCT((economics!$AG$2:$AG$167=$B38)*(economics!$D$2:$D$167="whr")*economics!$AH$2:$AH$167*(_xlfn.NORM.DIST(AO$3,economics!$AK$2:$AK$167,economics!$AJ$2:$AJ$167,TRUE)-_xlfn.NORM.DIST(AO$30,economics!$AK$2:$AK$167,economics!$AJ$2:$AJ$167,TRUE))*economics!$AM$2:$AM$167)+$CR9*(_xlfn.NORM.DIST(AO$3,$CU9,0.3*$CU9,TRUE)-_xlfn.NORM.DIST(AO$30,$CU9,0.3*$CU9,TRUE))*summary!$C$7/28.8/0.947817+$CS9*(_xlfn.NORM.DIST(AO$3,$CV9,0.3*$CV9,TRUE)-_xlfn.NORM.DIST(AO$30,$CV9,0.3*$CV9,TRUE))*summary!$C$6/28.8/0.947817)/(SUMPRODUCT((economics!$AG$2:$AG$167=$B38)*(economics!$D$2:$D$167="whr")*economics!$AH$2:$AH$167*(_xlfn.NORM.DIST(AO$3,economics!$AK$2:$AK$167,economics!$AJ$2:$AJ$167,TRUE)-_xlfn.NORM.DIST(AO$30,economics!$AK$2:$AK$167,economics!$AJ$2:$AJ$167,TRUE)))+$CR9*(_xlfn.NORM.DIST(AO$3,$CU9,0.3*$CU9,TRUE)-_xlfn.NORM.DIST(AO$30,$CU9,0.3*$CU9,TRUE))+$CS9*(_xlfn.NORM.DIST(AO$3,$CV9,0.3*$CV9,TRUE)-_xlfn.NORM.DIST(AO$30,$CV9,0.3*$CV9,TRUE))),""),IF($C9&gt;0,summary!$C$10/28.8/0.947817,""))</f>
        <v/>
      </c>
      <c r="AP38">
        <f t="array" ref="AP38">IF($D9,IFERROR((SUMPRODUCT((economics!$AG$2:$AG$167=$B38)*(economics!$D$2:$D$167="whr")*economics!$AH$2:$AH$167*(_xlfn.NORM.DIST(AP$3,economics!$AK$2:$AK$167,economics!$AJ$2:$AJ$167,TRUE)-_xlfn.NORM.DIST(AP$30,economics!$AK$2:$AK$167,economics!$AJ$2:$AJ$167,TRUE))*economics!$AM$2:$AM$167)+$CR9*(_xlfn.NORM.DIST(AP$3,$CU9,0.3*$CU9,TRUE)-_xlfn.NORM.DIST(AP$30,$CU9,0.3*$CU9,TRUE))*summary!$C$7/28.8/0.947817+$CS9*(_xlfn.NORM.DIST(AP$3,$CV9,0.3*$CV9,TRUE)-_xlfn.NORM.DIST(AP$30,$CV9,0.3*$CV9,TRUE))*summary!$C$6/28.8/0.947817)/(SUMPRODUCT((economics!$AG$2:$AG$167=$B38)*(economics!$D$2:$D$167="whr")*economics!$AH$2:$AH$167*(_xlfn.NORM.DIST(AP$3,economics!$AK$2:$AK$167,economics!$AJ$2:$AJ$167,TRUE)-_xlfn.NORM.DIST(AP$30,economics!$AK$2:$AK$167,economics!$AJ$2:$AJ$167,TRUE)))+$CR9*(_xlfn.NORM.DIST(AP$3,$CU9,0.3*$CU9,TRUE)-_xlfn.NORM.DIST(AP$30,$CU9,0.3*$CU9,TRUE))+$CS9*(_xlfn.NORM.DIST(AP$3,$CV9,0.3*$CV9,TRUE)-_xlfn.NORM.DIST(AP$30,$CV9,0.3*$CV9,TRUE))),""),IF($C9&gt;0,summary!$C$10/28.8/0.947817,""))</f>
        <v/>
      </c>
      <c r="AQ38">
        <f t="array" ref="AQ38">IF($D9,IFERROR((SUMPRODUCT((economics!$AG$2:$AG$167=$B38)*(economics!$D$2:$D$167="whr")*economics!$AH$2:$AH$167*(_xlfn.NORM.DIST(AQ$3,economics!$AK$2:$AK$167,economics!$AJ$2:$AJ$167,TRUE)-_xlfn.NORM.DIST(AQ$30,economics!$AK$2:$AK$167,economics!$AJ$2:$AJ$167,TRUE))*economics!$AM$2:$AM$167)+$CR9*(_xlfn.NORM.DIST(AQ$3,$CU9,0.3*$CU9,TRUE)-_xlfn.NORM.DIST(AQ$30,$CU9,0.3*$CU9,TRUE))*summary!$C$7/28.8/0.947817+$CS9*(_xlfn.NORM.DIST(AQ$3,$CV9,0.3*$CV9,TRUE)-_xlfn.NORM.DIST(AQ$30,$CV9,0.3*$CV9,TRUE))*summary!$C$6/28.8/0.947817)/(SUMPRODUCT((economics!$AG$2:$AG$167=$B38)*(economics!$D$2:$D$167="whr")*economics!$AH$2:$AH$167*(_xlfn.NORM.DIST(AQ$3,economics!$AK$2:$AK$167,economics!$AJ$2:$AJ$167,TRUE)-_xlfn.NORM.DIST(AQ$30,economics!$AK$2:$AK$167,economics!$AJ$2:$AJ$167,TRUE)))+$CR9*(_xlfn.NORM.DIST(AQ$3,$CU9,0.3*$CU9,TRUE)-_xlfn.NORM.DIST(AQ$30,$CU9,0.3*$CU9,TRUE))+$CS9*(_xlfn.NORM.DIST(AQ$3,$CV9,0.3*$CV9,TRUE)-_xlfn.NORM.DIST(AQ$30,$CV9,0.3*$CV9,TRUE))),""),IF($C9&gt;0,summary!$C$10/28.8/0.947817,""))</f>
        <v/>
      </c>
      <c r="AR38">
        <f t="array" ref="AR38">IF($D9,IFERROR((SUMPRODUCT((economics!$AG$2:$AG$167=$B38)*(economics!$D$2:$D$167="whr")*economics!$AH$2:$AH$167*(_xlfn.NORM.DIST(AR$3,economics!$AK$2:$AK$167,economics!$AJ$2:$AJ$167,TRUE)-_xlfn.NORM.DIST(AR$30,economics!$AK$2:$AK$167,economics!$AJ$2:$AJ$167,TRUE))*economics!$AM$2:$AM$167)+$CR9*(_xlfn.NORM.DIST(AR$3,$CU9,0.3*$CU9,TRUE)-_xlfn.NORM.DIST(AR$30,$CU9,0.3*$CU9,TRUE))*summary!$C$7/28.8/0.947817+$CS9*(_xlfn.NORM.DIST(AR$3,$CV9,0.3*$CV9,TRUE)-_xlfn.NORM.DIST(AR$30,$CV9,0.3*$CV9,TRUE))*summary!$C$6/28.8/0.947817)/(SUMPRODUCT((economics!$AG$2:$AG$167=$B38)*(economics!$D$2:$D$167="whr")*economics!$AH$2:$AH$167*(_xlfn.NORM.DIST(AR$3,economics!$AK$2:$AK$167,economics!$AJ$2:$AJ$167,TRUE)-_xlfn.NORM.DIST(AR$30,economics!$AK$2:$AK$167,economics!$AJ$2:$AJ$167,TRUE)))+$CR9*(_xlfn.NORM.DIST(AR$3,$CU9,0.3*$CU9,TRUE)-_xlfn.NORM.DIST(AR$30,$CU9,0.3*$CU9,TRUE))+$CS9*(_xlfn.NORM.DIST(AR$3,$CV9,0.3*$CV9,TRUE)-_xlfn.NORM.DIST(AR$30,$CV9,0.3*$CV9,TRUE))),""),IF($C9&gt;0,summary!$C$10/28.8/0.947817,""))</f>
        <v/>
      </c>
      <c r="AS38">
        <f t="array" ref="AS38">IF($D9,IFERROR((SUMPRODUCT((economics!$AG$2:$AG$167=$B38)*(economics!$D$2:$D$167="whr")*economics!$AH$2:$AH$167*(_xlfn.NORM.DIST(AS$3,economics!$AK$2:$AK$167,economics!$AJ$2:$AJ$167,TRUE)-_xlfn.NORM.DIST(AS$30,economics!$AK$2:$AK$167,economics!$AJ$2:$AJ$167,TRUE))*economics!$AM$2:$AM$167)+$CR9*(_xlfn.NORM.DIST(AS$3,$CU9,0.3*$CU9,TRUE)-_xlfn.NORM.DIST(AS$30,$CU9,0.3*$CU9,TRUE))*summary!$C$7/28.8/0.947817+$CS9*(_xlfn.NORM.DIST(AS$3,$CV9,0.3*$CV9,TRUE)-_xlfn.NORM.DIST(AS$30,$CV9,0.3*$CV9,TRUE))*summary!$C$6/28.8/0.947817)/(SUMPRODUCT((economics!$AG$2:$AG$167=$B38)*(economics!$D$2:$D$167="whr")*economics!$AH$2:$AH$167*(_xlfn.NORM.DIST(AS$3,economics!$AK$2:$AK$167,economics!$AJ$2:$AJ$167,TRUE)-_xlfn.NORM.DIST(AS$30,economics!$AK$2:$AK$167,economics!$AJ$2:$AJ$167,TRUE)))+$CR9*(_xlfn.NORM.DIST(AS$3,$CU9,0.3*$CU9,TRUE)-_xlfn.NORM.DIST(AS$30,$CU9,0.3*$CU9,TRUE))+$CS9*(_xlfn.NORM.DIST(AS$3,$CV9,0.3*$CV9,TRUE)-_xlfn.NORM.DIST(AS$30,$CV9,0.3*$CV9,TRUE))),""),IF($C9&gt;0,summary!$C$10/28.8/0.947817,""))</f>
        <v/>
      </c>
      <c r="AT38">
        <f t="array" ref="AT38">IF($D9,IFERROR((SUMPRODUCT((economics!$AG$2:$AG$167=$B38)*(economics!$D$2:$D$167="whr")*economics!$AH$2:$AH$167*(_xlfn.NORM.DIST(AT$3,economics!$AK$2:$AK$167,economics!$AJ$2:$AJ$167,TRUE)-_xlfn.NORM.DIST(AT$30,economics!$AK$2:$AK$167,economics!$AJ$2:$AJ$167,TRUE))*economics!$AM$2:$AM$167)+$CR9*(_xlfn.NORM.DIST(AT$3,$CU9,0.3*$CU9,TRUE)-_xlfn.NORM.DIST(AT$30,$CU9,0.3*$CU9,TRUE))*summary!$C$7/28.8/0.947817+$CS9*(_xlfn.NORM.DIST(AT$3,$CV9,0.3*$CV9,TRUE)-_xlfn.NORM.DIST(AT$30,$CV9,0.3*$CV9,TRUE))*summary!$C$6/28.8/0.947817)/(SUMPRODUCT((economics!$AG$2:$AG$167=$B38)*(economics!$D$2:$D$167="whr")*economics!$AH$2:$AH$167*(_xlfn.NORM.DIST(AT$3,economics!$AK$2:$AK$167,economics!$AJ$2:$AJ$167,TRUE)-_xlfn.NORM.DIST(AT$30,economics!$AK$2:$AK$167,economics!$AJ$2:$AJ$167,TRUE)))+$CR9*(_xlfn.NORM.DIST(AT$3,$CU9,0.3*$CU9,TRUE)-_xlfn.NORM.DIST(AT$30,$CU9,0.3*$CU9,TRUE))+$CS9*(_xlfn.NORM.DIST(AT$3,$CV9,0.3*$CV9,TRUE)-_xlfn.NORM.DIST(AT$30,$CV9,0.3*$CV9,TRUE))),""),IF($C9&gt;0,summary!$C$10/28.8/0.947817,""))</f>
        <v/>
      </c>
      <c r="AU38">
        <f t="array" ref="AU38">IF($D9,IFERROR((SUMPRODUCT((economics!$AG$2:$AG$167=$B38)*(economics!$D$2:$D$167="whr")*economics!$AH$2:$AH$167*(_xlfn.NORM.DIST(AU$3,economics!$AK$2:$AK$167,economics!$AJ$2:$AJ$167,TRUE)-_xlfn.NORM.DIST(AU$30,economics!$AK$2:$AK$167,economics!$AJ$2:$AJ$167,TRUE))*economics!$AM$2:$AM$167)+$CR9*(_xlfn.NORM.DIST(AU$3,$CU9,0.3*$CU9,TRUE)-_xlfn.NORM.DIST(AU$30,$CU9,0.3*$CU9,TRUE))*summary!$C$7/28.8/0.947817+$CS9*(_xlfn.NORM.DIST(AU$3,$CV9,0.3*$CV9,TRUE)-_xlfn.NORM.DIST(AU$30,$CV9,0.3*$CV9,TRUE))*summary!$C$6/28.8/0.947817)/(SUMPRODUCT((economics!$AG$2:$AG$167=$B38)*(economics!$D$2:$D$167="whr")*economics!$AH$2:$AH$167*(_xlfn.NORM.DIST(AU$3,economics!$AK$2:$AK$167,economics!$AJ$2:$AJ$167,TRUE)-_xlfn.NORM.DIST(AU$30,economics!$AK$2:$AK$167,economics!$AJ$2:$AJ$167,TRUE)))+$CR9*(_xlfn.NORM.DIST(AU$3,$CU9,0.3*$CU9,TRUE)-_xlfn.NORM.DIST(AU$30,$CU9,0.3*$CU9,TRUE))+$CS9*(_xlfn.NORM.DIST(AU$3,$CV9,0.3*$CV9,TRUE)-_xlfn.NORM.DIST(AU$30,$CV9,0.3*$CV9,TRUE))),""),IF($C9&gt;0,summary!$C$10/28.8/0.947817,""))</f>
        <v/>
      </c>
      <c r="AV38">
        <f t="array" ref="AV38">IF($D9,IFERROR((SUMPRODUCT((economics!$AG$2:$AG$167=$B38)*(economics!$D$2:$D$167="whr")*economics!$AH$2:$AH$167*(_xlfn.NORM.DIST(AV$3,economics!$AK$2:$AK$167,economics!$AJ$2:$AJ$167,TRUE)-_xlfn.NORM.DIST(AV$30,economics!$AK$2:$AK$167,economics!$AJ$2:$AJ$167,TRUE))*economics!$AM$2:$AM$167)+$CR9*(_xlfn.NORM.DIST(AV$3,$CU9,0.3*$CU9,TRUE)-_xlfn.NORM.DIST(AV$30,$CU9,0.3*$CU9,TRUE))*summary!$C$7/28.8/0.947817+$CS9*(_xlfn.NORM.DIST(AV$3,$CV9,0.3*$CV9,TRUE)-_xlfn.NORM.DIST(AV$30,$CV9,0.3*$CV9,TRUE))*summary!$C$6/28.8/0.947817)/(SUMPRODUCT((economics!$AG$2:$AG$167=$B38)*(economics!$D$2:$D$167="whr")*economics!$AH$2:$AH$167*(_xlfn.NORM.DIST(AV$3,economics!$AK$2:$AK$167,economics!$AJ$2:$AJ$167,TRUE)-_xlfn.NORM.DIST(AV$30,economics!$AK$2:$AK$167,economics!$AJ$2:$AJ$167,TRUE)))+$CR9*(_xlfn.NORM.DIST(AV$3,$CU9,0.3*$CU9,TRUE)-_xlfn.NORM.DIST(AV$30,$CU9,0.3*$CU9,TRUE))+$CS9*(_xlfn.NORM.DIST(AV$3,$CV9,0.3*$CV9,TRUE)-_xlfn.NORM.DIST(AV$30,$CV9,0.3*$CV9,TRUE))),""),IF($C9&gt;0,summary!$C$10/28.8/0.947817,""))</f>
        <v/>
      </c>
      <c r="AW38">
        <f t="array" ref="AW38">IF($D9,IFERROR((SUMPRODUCT((economics!$AG$2:$AG$167=$B38)*(economics!$D$2:$D$167="whr")*economics!$AH$2:$AH$167*(_xlfn.NORM.DIST(AW$3,economics!$AK$2:$AK$167,economics!$AJ$2:$AJ$167,TRUE)-_xlfn.NORM.DIST(AW$30,economics!$AK$2:$AK$167,economics!$AJ$2:$AJ$167,TRUE))*economics!$AM$2:$AM$167)+$CR9*(_xlfn.NORM.DIST(AW$3,$CU9,0.3*$CU9,TRUE)-_xlfn.NORM.DIST(AW$30,$CU9,0.3*$CU9,TRUE))*summary!$C$7/28.8/0.947817+$CS9*(_xlfn.NORM.DIST(AW$3,$CV9,0.3*$CV9,TRUE)-_xlfn.NORM.DIST(AW$30,$CV9,0.3*$CV9,TRUE))*summary!$C$6/28.8/0.947817)/(SUMPRODUCT((economics!$AG$2:$AG$167=$B38)*(economics!$D$2:$D$167="whr")*economics!$AH$2:$AH$167*(_xlfn.NORM.DIST(AW$3,economics!$AK$2:$AK$167,economics!$AJ$2:$AJ$167,TRUE)-_xlfn.NORM.DIST(AW$30,economics!$AK$2:$AK$167,economics!$AJ$2:$AJ$167,TRUE)))+$CR9*(_xlfn.NORM.DIST(AW$3,$CU9,0.3*$CU9,TRUE)-_xlfn.NORM.DIST(AW$30,$CU9,0.3*$CU9,TRUE))+$CS9*(_xlfn.NORM.DIST(AW$3,$CV9,0.3*$CV9,TRUE)-_xlfn.NORM.DIST(AW$30,$CV9,0.3*$CV9,TRUE))),""),IF($C9&gt;0,summary!$C$10/28.8/0.947817,""))</f>
        <v/>
      </c>
      <c r="AX38">
        <f t="array" ref="AX38">IF($D9,IFERROR((SUMPRODUCT((economics!$AG$2:$AG$167=$B38)*(economics!$D$2:$D$167="whr")*economics!$AH$2:$AH$167*(_xlfn.NORM.DIST(AX$3,economics!$AK$2:$AK$167,economics!$AJ$2:$AJ$167,TRUE)-_xlfn.NORM.DIST(AX$30,economics!$AK$2:$AK$167,economics!$AJ$2:$AJ$167,TRUE))*economics!$AM$2:$AM$167)+$CR9*(_xlfn.NORM.DIST(AX$3,$CU9,0.3*$CU9,TRUE)-_xlfn.NORM.DIST(AX$30,$CU9,0.3*$CU9,TRUE))*summary!$C$7/28.8/0.947817+$CS9*(_xlfn.NORM.DIST(AX$3,$CV9,0.3*$CV9,TRUE)-_xlfn.NORM.DIST(AX$30,$CV9,0.3*$CV9,TRUE))*summary!$C$6/28.8/0.947817)/(SUMPRODUCT((economics!$AG$2:$AG$167=$B38)*(economics!$D$2:$D$167="whr")*economics!$AH$2:$AH$167*(_xlfn.NORM.DIST(AX$3,economics!$AK$2:$AK$167,economics!$AJ$2:$AJ$167,TRUE)-_xlfn.NORM.DIST(AX$30,economics!$AK$2:$AK$167,economics!$AJ$2:$AJ$167,TRUE)))+$CR9*(_xlfn.NORM.DIST(AX$3,$CU9,0.3*$CU9,TRUE)-_xlfn.NORM.DIST(AX$30,$CU9,0.3*$CU9,TRUE))+$CS9*(_xlfn.NORM.DIST(AX$3,$CV9,0.3*$CV9,TRUE)-_xlfn.NORM.DIST(AX$30,$CV9,0.3*$CV9,TRUE))),""),IF($C9&gt;0,summary!$C$10/28.8/0.947817,""))</f>
        <v/>
      </c>
      <c r="AY38">
        <f t="array" ref="AY38">IF($D9,IFERROR((SUMPRODUCT((economics!$AG$2:$AG$167=$B38)*(economics!$D$2:$D$167="whr")*economics!$AH$2:$AH$167*(_xlfn.NORM.DIST(AY$3,economics!$AK$2:$AK$167,economics!$AJ$2:$AJ$167,TRUE)-_xlfn.NORM.DIST(AY$30,economics!$AK$2:$AK$167,economics!$AJ$2:$AJ$167,TRUE))*economics!$AM$2:$AM$167)+$CR9*(_xlfn.NORM.DIST(AY$3,$CU9,0.3*$CU9,TRUE)-_xlfn.NORM.DIST(AY$30,$CU9,0.3*$CU9,TRUE))*summary!$C$7/28.8/0.947817+$CS9*(_xlfn.NORM.DIST(AY$3,$CV9,0.3*$CV9,TRUE)-_xlfn.NORM.DIST(AY$30,$CV9,0.3*$CV9,TRUE))*summary!$C$6/28.8/0.947817)/(SUMPRODUCT((economics!$AG$2:$AG$167=$B38)*(economics!$D$2:$D$167="whr")*economics!$AH$2:$AH$167*(_xlfn.NORM.DIST(AY$3,economics!$AK$2:$AK$167,economics!$AJ$2:$AJ$167,TRUE)-_xlfn.NORM.DIST(AY$30,economics!$AK$2:$AK$167,economics!$AJ$2:$AJ$167,TRUE)))+$CR9*(_xlfn.NORM.DIST(AY$3,$CU9,0.3*$CU9,TRUE)-_xlfn.NORM.DIST(AY$30,$CU9,0.3*$CU9,TRUE))+$CS9*(_xlfn.NORM.DIST(AY$3,$CV9,0.3*$CV9,TRUE)-_xlfn.NORM.DIST(AY$30,$CV9,0.3*$CV9,TRUE))),""),IF($C9&gt;0,summary!$C$10/28.8/0.947817,""))</f>
        <v/>
      </c>
      <c r="AZ38">
        <f t="array" ref="AZ38">IF($D9,IFERROR((SUMPRODUCT((economics!$AG$2:$AG$167=$B38)*(economics!$D$2:$D$167="whr")*economics!$AH$2:$AH$167*(_xlfn.NORM.DIST(AZ$3,economics!$AK$2:$AK$167,economics!$AJ$2:$AJ$167,TRUE)-_xlfn.NORM.DIST(AZ$30,economics!$AK$2:$AK$167,economics!$AJ$2:$AJ$167,TRUE))*economics!$AM$2:$AM$167)+$CR9*(_xlfn.NORM.DIST(AZ$3,$CU9,0.3*$CU9,TRUE)-_xlfn.NORM.DIST(AZ$30,$CU9,0.3*$CU9,TRUE))*summary!$C$7/28.8/0.947817+$CS9*(_xlfn.NORM.DIST(AZ$3,$CV9,0.3*$CV9,TRUE)-_xlfn.NORM.DIST(AZ$30,$CV9,0.3*$CV9,TRUE))*summary!$C$6/28.8/0.947817)/(SUMPRODUCT((economics!$AG$2:$AG$167=$B38)*(economics!$D$2:$D$167="whr")*economics!$AH$2:$AH$167*(_xlfn.NORM.DIST(AZ$3,economics!$AK$2:$AK$167,economics!$AJ$2:$AJ$167,TRUE)-_xlfn.NORM.DIST(AZ$30,economics!$AK$2:$AK$167,economics!$AJ$2:$AJ$167,TRUE)))+$CR9*(_xlfn.NORM.DIST(AZ$3,$CU9,0.3*$CU9,TRUE)-_xlfn.NORM.DIST(AZ$30,$CU9,0.3*$CU9,TRUE))+$CS9*(_xlfn.NORM.DIST(AZ$3,$CV9,0.3*$CV9,TRUE)-_xlfn.NORM.DIST(AZ$30,$CV9,0.3*$CV9,TRUE))),""),IF($C9&gt;0,summary!$C$10/28.8/0.947817,""))</f>
        <v/>
      </c>
      <c r="BA38">
        <f t="array" ref="BA38">IF($D9,IFERROR((SUMPRODUCT((economics!$AG$2:$AG$167=$B38)*(economics!$D$2:$D$167="whr")*economics!$AH$2:$AH$167*(_xlfn.NORM.DIST(BA$3,economics!$AK$2:$AK$167,economics!$AJ$2:$AJ$167,TRUE)-_xlfn.NORM.DIST(BA$30,economics!$AK$2:$AK$167,economics!$AJ$2:$AJ$167,TRUE))*economics!$AM$2:$AM$167)+$CR9*(_xlfn.NORM.DIST(BA$3,$CU9,0.3*$CU9,TRUE)-_xlfn.NORM.DIST(BA$30,$CU9,0.3*$CU9,TRUE))*summary!$C$7/28.8/0.947817+$CS9*(_xlfn.NORM.DIST(BA$3,$CV9,0.3*$CV9,TRUE)-_xlfn.NORM.DIST(BA$30,$CV9,0.3*$CV9,TRUE))*summary!$C$6/28.8/0.947817)/(SUMPRODUCT((economics!$AG$2:$AG$167=$B38)*(economics!$D$2:$D$167="whr")*economics!$AH$2:$AH$167*(_xlfn.NORM.DIST(BA$3,economics!$AK$2:$AK$167,economics!$AJ$2:$AJ$167,TRUE)-_xlfn.NORM.DIST(BA$30,economics!$AK$2:$AK$167,economics!$AJ$2:$AJ$167,TRUE)))+$CR9*(_xlfn.NORM.DIST(BA$3,$CU9,0.3*$CU9,TRUE)-_xlfn.NORM.DIST(BA$30,$CU9,0.3*$CU9,TRUE))+$CS9*(_xlfn.NORM.DIST(BA$3,$CV9,0.3*$CV9,TRUE)-_xlfn.NORM.DIST(BA$30,$CV9,0.3*$CV9,TRUE))),""),IF($C9&gt;0,summary!$C$10/28.8/0.947817,""))</f>
        <v/>
      </c>
      <c r="BB38">
        <f t="array" ref="BB38">IF($D9,IFERROR((SUMPRODUCT((economics!$AG$2:$AG$167=$B38)*(economics!$D$2:$D$167="whr")*economics!$AH$2:$AH$167*(_xlfn.NORM.DIST(BB$3,economics!$AK$2:$AK$167,economics!$AJ$2:$AJ$167,TRUE)-_xlfn.NORM.DIST(BB$30,economics!$AK$2:$AK$167,economics!$AJ$2:$AJ$167,TRUE))*economics!$AM$2:$AM$167)+$CR9*(_xlfn.NORM.DIST(BB$3,$CU9,0.3*$CU9,TRUE)-_xlfn.NORM.DIST(BB$30,$CU9,0.3*$CU9,TRUE))*summary!$C$7/28.8/0.947817+$CS9*(_xlfn.NORM.DIST(BB$3,$CV9,0.3*$CV9,TRUE)-_xlfn.NORM.DIST(BB$30,$CV9,0.3*$CV9,TRUE))*summary!$C$6/28.8/0.947817)/(SUMPRODUCT((economics!$AG$2:$AG$167=$B38)*(economics!$D$2:$D$167="whr")*economics!$AH$2:$AH$167*(_xlfn.NORM.DIST(BB$3,economics!$AK$2:$AK$167,economics!$AJ$2:$AJ$167,TRUE)-_xlfn.NORM.DIST(BB$30,economics!$AK$2:$AK$167,economics!$AJ$2:$AJ$167,TRUE)))+$CR9*(_xlfn.NORM.DIST(BB$3,$CU9,0.3*$CU9,TRUE)-_xlfn.NORM.DIST(BB$30,$CU9,0.3*$CU9,TRUE))+$CS9*(_xlfn.NORM.DIST(BB$3,$CV9,0.3*$CV9,TRUE)-_xlfn.NORM.DIST(BB$30,$CV9,0.3*$CV9,TRUE))),""),IF($C9&gt;0,summary!$C$10/28.8/0.947817,""))</f>
        <v/>
      </c>
      <c r="BC38">
        <f t="array" ref="BC38">IF($D9,IFERROR((SUMPRODUCT((economics!$AG$2:$AG$167=$B38)*(economics!$D$2:$D$167="whr")*economics!$AH$2:$AH$167*(_xlfn.NORM.DIST(BC$3,economics!$AK$2:$AK$167,economics!$AJ$2:$AJ$167,TRUE)-_xlfn.NORM.DIST(BC$30,economics!$AK$2:$AK$167,economics!$AJ$2:$AJ$167,TRUE))*economics!$AM$2:$AM$167)+$CR9*(_xlfn.NORM.DIST(BC$3,$CU9,0.3*$CU9,TRUE)-_xlfn.NORM.DIST(BC$30,$CU9,0.3*$CU9,TRUE))*summary!$C$7/28.8/0.947817+$CS9*(_xlfn.NORM.DIST(BC$3,$CV9,0.3*$CV9,TRUE)-_xlfn.NORM.DIST(BC$30,$CV9,0.3*$CV9,TRUE))*summary!$C$6/28.8/0.947817)/(SUMPRODUCT((economics!$AG$2:$AG$167=$B38)*(economics!$D$2:$D$167="whr")*economics!$AH$2:$AH$167*(_xlfn.NORM.DIST(BC$3,economics!$AK$2:$AK$167,economics!$AJ$2:$AJ$167,TRUE)-_xlfn.NORM.DIST(BC$30,economics!$AK$2:$AK$167,economics!$AJ$2:$AJ$167,TRUE)))+$CR9*(_xlfn.NORM.DIST(BC$3,$CU9,0.3*$CU9,TRUE)-_xlfn.NORM.DIST(BC$30,$CU9,0.3*$CU9,TRUE))+$CS9*(_xlfn.NORM.DIST(BC$3,$CV9,0.3*$CV9,TRUE)-_xlfn.NORM.DIST(BC$30,$CV9,0.3*$CV9,TRUE))),""),IF($C9&gt;0,summary!$C$10/28.8/0.947817,""))</f>
        <v/>
      </c>
      <c r="BD38">
        <f t="array" ref="BD38">IF($D9,IFERROR((SUMPRODUCT((economics!$AG$2:$AG$167=$B38)*(economics!$D$2:$D$167="whr")*economics!$AH$2:$AH$167*(_xlfn.NORM.DIST(BD$3,economics!$AK$2:$AK$167,economics!$AJ$2:$AJ$167,TRUE)-_xlfn.NORM.DIST(BD$30,economics!$AK$2:$AK$167,economics!$AJ$2:$AJ$167,TRUE))*economics!$AM$2:$AM$167)+$CR9*(_xlfn.NORM.DIST(BD$3,$CU9,0.3*$CU9,TRUE)-_xlfn.NORM.DIST(BD$30,$CU9,0.3*$CU9,TRUE))*summary!$C$7/28.8/0.947817+$CS9*(_xlfn.NORM.DIST(BD$3,$CV9,0.3*$CV9,TRUE)-_xlfn.NORM.DIST(BD$30,$CV9,0.3*$CV9,TRUE))*summary!$C$6/28.8/0.947817)/(SUMPRODUCT((economics!$AG$2:$AG$167=$B38)*(economics!$D$2:$D$167="whr")*economics!$AH$2:$AH$167*(_xlfn.NORM.DIST(BD$3,economics!$AK$2:$AK$167,economics!$AJ$2:$AJ$167,TRUE)-_xlfn.NORM.DIST(BD$30,economics!$AK$2:$AK$167,economics!$AJ$2:$AJ$167,TRUE)))+$CR9*(_xlfn.NORM.DIST(BD$3,$CU9,0.3*$CU9,TRUE)-_xlfn.NORM.DIST(BD$30,$CU9,0.3*$CU9,TRUE))+$CS9*(_xlfn.NORM.DIST(BD$3,$CV9,0.3*$CV9,TRUE)-_xlfn.NORM.DIST(BD$30,$CV9,0.3*$CV9,TRUE))),""),IF($C9&gt;0,summary!$C$10/28.8/0.947817,""))</f>
        <v/>
      </c>
      <c r="BE38">
        <f t="array" ref="BE38">IF($D9,IFERROR((SUMPRODUCT((economics!$AG$2:$AG$167=$B38)*(economics!$D$2:$D$167="whr")*economics!$AH$2:$AH$167*(_xlfn.NORM.DIST(BE$3,economics!$AK$2:$AK$167,economics!$AJ$2:$AJ$167,TRUE)-_xlfn.NORM.DIST(BE$30,economics!$AK$2:$AK$167,economics!$AJ$2:$AJ$167,TRUE))*economics!$AM$2:$AM$167)+$CR9*(_xlfn.NORM.DIST(BE$3,$CU9,0.3*$CU9,TRUE)-_xlfn.NORM.DIST(BE$30,$CU9,0.3*$CU9,TRUE))*summary!$C$7/28.8/0.947817+$CS9*(_xlfn.NORM.DIST(BE$3,$CV9,0.3*$CV9,TRUE)-_xlfn.NORM.DIST(BE$30,$CV9,0.3*$CV9,TRUE))*summary!$C$6/28.8/0.947817)/(SUMPRODUCT((economics!$AG$2:$AG$167=$B38)*(economics!$D$2:$D$167="whr")*economics!$AH$2:$AH$167*(_xlfn.NORM.DIST(BE$3,economics!$AK$2:$AK$167,economics!$AJ$2:$AJ$167,TRUE)-_xlfn.NORM.DIST(BE$30,economics!$AK$2:$AK$167,economics!$AJ$2:$AJ$167,TRUE)))+$CR9*(_xlfn.NORM.DIST(BE$3,$CU9,0.3*$CU9,TRUE)-_xlfn.NORM.DIST(BE$30,$CU9,0.3*$CU9,TRUE))+$CS9*(_xlfn.NORM.DIST(BE$3,$CV9,0.3*$CV9,TRUE)-_xlfn.NORM.DIST(BE$30,$CV9,0.3*$CV9,TRUE))),""),IF($C9&gt;0,summary!$C$10/28.8/0.947817,""))</f>
        <v/>
      </c>
      <c r="BF38">
        <f t="array" ref="BF38">IF($D9,IFERROR((SUMPRODUCT((economics!$AG$2:$AG$167=$B38)*(economics!$D$2:$D$167="whr")*economics!$AH$2:$AH$167*(_xlfn.NORM.DIST(BF$3,economics!$AK$2:$AK$167,economics!$AJ$2:$AJ$167,TRUE)-_xlfn.NORM.DIST(BF$30,economics!$AK$2:$AK$167,economics!$AJ$2:$AJ$167,TRUE))*economics!$AM$2:$AM$167)+$CR9*(_xlfn.NORM.DIST(BF$3,$CU9,0.3*$CU9,TRUE)-_xlfn.NORM.DIST(BF$30,$CU9,0.3*$CU9,TRUE))*summary!$C$7/28.8/0.947817+$CS9*(_xlfn.NORM.DIST(BF$3,$CV9,0.3*$CV9,TRUE)-_xlfn.NORM.DIST(BF$30,$CV9,0.3*$CV9,TRUE))*summary!$C$6/28.8/0.947817)/(SUMPRODUCT((economics!$AG$2:$AG$167=$B38)*(economics!$D$2:$D$167="whr")*economics!$AH$2:$AH$167*(_xlfn.NORM.DIST(BF$3,economics!$AK$2:$AK$167,economics!$AJ$2:$AJ$167,TRUE)-_xlfn.NORM.DIST(BF$30,economics!$AK$2:$AK$167,economics!$AJ$2:$AJ$167,TRUE)))+$CR9*(_xlfn.NORM.DIST(BF$3,$CU9,0.3*$CU9,TRUE)-_xlfn.NORM.DIST(BF$30,$CU9,0.3*$CU9,TRUE))+$CS9*(_xlfn.NORM.DIST(BF$3,$CV9,0.3*$CV9,TRUE)-_xlfn.NORM.DIST(BF$30,$CV9,0.3*$CV9,TRUE))),""),IF($C9&gt;0,summary!$C$10/28.8/0.947817,""))</f>
        <v/>
      </c>
      <c r="BG38">
        <f t="array" ref="BG38">IF($D9,IFERROR((SUMPRODUCT((economics!$AG$2:$AG$167=$B38)*(economics!$D$2:$D$167="whr")*economics!$AH$2:$AH$167*(_xlfn.NORM.DIST(BG$3,economics!$AK$2:$AK$167,economics!$AJ$2:$AJ$167,TRUE)-_xlfn.NORM.DIST(BG$30,economics!$AK$2:$AK$167,economics!$AJ$2:$AJ$167,TRUE))*economics!$AM$2:$AM$167)+$CR9*(_xlfn.NORM.DIST(BG$3,$CU9,0.3*$CU9,TRUE)-_xlfn.NORM.DIST(BG$30,$CU9,0.3*$CU9,TRUE))*summary!$C$7/28.8/0.947817+$CS9*(_xlfn.NORM.DIST(BG$3,$CV9,0.3*$CV9,TRUE)-_xlfn.NORM.DIST(BG$30,$CV9,0.3*$CV9,TRUE))*summary!$C$6/28.8/0.947817)/(SUMPRODUCT((economics!$AG$2:$AG$167=$B38)*(economics!$D$2:$D$167="whr")*economics!$AH$2:$AH$167*(_xlfn.NORM.DIST(BG$3,economics!$AK$2:$AK$167,economics!$AJ$2:$AJ$167,TRUE)-_xlfn.NORM.DIST(BG$30,economics!$AK$2:$AK$167,economics!$AJ$2:$AJ$167,TRUE)))+$CR9*(_xlfn.NORM.DIST(BG$3,$CU9,0.3*$CU9,TRUE)-_xlfn.NORM.DIST(BG$30,$CU9,0.3*$CU9,TRUE))+$CS9*(_xlfn.NORM.DIST(BG$3,$CV9,0.3*$CV9,TRUE)-_xlfn.NORM.DIST(BG$30,$CV9,0.3*$CV9,TRUE))),""),IF($C9&gt;0,summary!$C$10/28.8/0.947817,""))</f>
        <v/>
      </c>
      <c r="BH38">
        <f t="array" ref="BH38">IF($D9,IFERROR((SUMPRODUCT((economics!$AG$2:$AG$167=$B38)*(economics!$D$2:$D$167="whr")*economics!$AH$2:$AH$167*(_xlfn.NORM.DIST(BH$3,economics!$AK$2:$AK$167,economics!$AJ$2:$AJ$167,TRUE)-_xlfn.NORM.DIST(BH$30,economics!$AK$2:$AK$167,economics!$AJ$2:$AJ$167,TRUE))*economics!$AM$2:$AM$167)+$CR9*(_xlfn.NORM.DIST(BH$3,$CU9,0.3*$CU9,TRUE)-_xlfn.NORM.DIST(BH$30,$CU9,0.3*$CU9,TRUE))*summary!$C$7/28.8/0.947817+$CS9*(_xlfn.NORM.DIST(BH$3,$CV9,0.3*$CV9,TRUE)-_xlfn.NORM.DIST(BH$30,$CV9,0.3*$CV9,TRUE))*summary!$C$6/28.8/0.947817)/(SUMPRODUCT((economics!$AG$2:$AG$167=$B38)*(economics!$D$2:$D$167="whr")*economics!$AH$2:$AH$167*(_xlfn.NORM.DIST(BH$3,economics!$AK$2:$AK$167,economics!$AJ$2:$AJ$167,TRUE)-_xlfn.NORM.DIST(BH$30,economics!$AK$2:$AK$167,economics!$AJ$2:$AJ$167,TRUE)))+$CR9*(_xlfn.NORM.DIST(BH$3,$CU9,0.3*$CU9,TRUE)-_xlfn.NORM.DIST(BH$30,$CU9,0.3*$CU9,TRUE))+$CS9*(_xlfn.NORM.DIST(BH$3,$CV9,0.3*$CV9,TRUE)-_xlfn.NORM.DIST(BH$30,$CV9,0.3*$CV9,TRUE))),""),IF($C9&gt;0,summary!$C$10/28.8/0.947817,""))</f>
        <v/>
      </c>
      <c r="BI38">
        <f t="array" ref="BI38">IF($D9,IFERROR((SUMPRODUCT((economics!$AG$2:$AG$167=$B38)*(economics!$D$2:$D$167="whr")*economics!$AH$2:$AH$167*(_xlfn.NORM.DIST(BI$3,economics!$AK$2:$AK$167,economics!$AJ$2:$AJ$167,TRUE)-_xlfn.NORM.DIST(BI$30,economics!$AK$2:$AK$167,economics!$AJ$2:$AJ$167,TRUE))*economics!$AM$2:$AM$167)+$CR9*(_xlfn.NORM.DIST(BI$3,$CU9,0.3*$CU9,TRUE)-_xlfn.NORM.DIST(BI$30,$CU9,0.3*$CU9,TRUE))*summary!$C$7/28.8/0.947817+$CS9*(_xlfn.NORM.DIST(BI$3,$CV9,0.3*$CV9,TRUE)-_xlfn.NORM.DIST(BI$30,$CV9,0.3*$CV9,TRUE))*summary!$C$6/28.8/0.947817)/(SUMPRODUCT((economics!$AG$2:$AG$167=$B38)*(economics!$D$2:$D$167="whr")*economics!$AH$2:$AH$167*(_xlfn.NORM.DIST(BI$3,economics!$AK$2:$AK$167,economics!$AJ$2:$AJ$167,TRUE)-_xlfn.NORM.DIST(BI$30,economics!$AK$2:$AK$167,economics!$AJ$2:$AJ$167,TRUE)))+$CR9*(_xlfn.NORM.DIST(BI$3,$CU9,0.3*$CU9,TRUE)-_xlfn.NORM.DIST(BI$30,$CU9,0.3*$CU9,TRUE))+$CS9*(_xlfn.NORM.DIST(BI$3,$CV9,0.3*$CV9,TRUE)-_xlfn.NORM.DIST(BI$30,$CV9,0.3*$CV9,TRUE))),""),IF($C9&gt;0,summary!$C$10/28.8/0.947817,""))</f>
        <v/>
      </c>
      <c r="BJ38">
        <f t="array" ref="BJ38">IF($D9,IFERROR((SUMPRODUCT((economics!$AG$2:$AG$167=$B38)*(economics!$D$2:$D$167="whr")*economics!$AH$2:$AH$167*(_xlfn.NORM.DIST(BJ$3,economics!$AK$2:$AK$167,economics!$AJ$2:$AJ$167,TRUE)-_xlfn.NORM.DIST(BJ$30,economics!$AK$2:$AK$167,economics!$AJ$2:$AJ$167,TRUE))*economics!$AM$2:$AM$167)+$CR9*(_xlfn.NORM.DIST(BJ$3,$CU9,0.3*$CU9,TRUE)-_xlfn.NORM.DIST(BJ$30,$CU9,0.3*$CU9,TRUE))*summary!$C$7/28.8/0.947817+$CS9*(_xlfn.NORM.DIST(BJ$3,$CV9,0.3*$CV9,TRUE)-_xlfn.NORM.DIST(BJ$30,$CV9,0.3*$CV9,TRUE))*summary!$C$6/28.8/0.947817)/(SUMPRODUCT((economics!$AG$2:$AG$167=$B38)*(economics!$D$2:$D$167="whr")*economics!$AH$2:$AH$167*(_xlfn.NORM.DIST(BJ$3,economics!$AK$2:$AK$167,economics!$AJ$2:$AJ$167,TRUE)-_xlfn.NORM.DIST(BJ$30,economics!$AK$2:$AK$167,economics!$AJ$2:$AJ$167,TRUE)))+$CR9*(_xlfn.NORM.DIST(BJ$3,$CU9,0.3*$CU9,TRUE)-_xlfn.NORM.DIST(BJ$30,$CU9,0.3*$CU9,TRUE))+$CS9*(_xlfn.NORM.DIST(BJ$3,$CV9,0.3*$CV9,TRUE)-_xlfn.NORM.DIST(BJ$30,$CV9,0.3*$CV9,TRUE))),""),IF($C9&gt;0,summary!$C$10/28.8/0.947817,""))</f>
        <v/>
      </c>
      <c r="BK38">
        <f t="array" ref="BK38">IF($D9,IFERROR((SUMPRODUCT((economics!$AG$2:$AG$167=$B38)*(economics!$D$2:$D$167="whr")*economics!$AH$2:$AH$167*(_xlfn.NORM.DIST(BK$3,economics!$AK$2:$AK$167,economics!$AJ$2:$AJ$167,TRUE)-_xlfn.NORM.DIST(BK$30,economics!$AK$2:$AK$167,economics!$AJ$2:$AJ$167,TRUE))*economics!$AM$2:$AM$167)+$CR9*(_xlfn.NORM.DIST(BK$3,$CU9,0.3*$CU9,TRUE)-_xlfn.NORM.DIST(BK$30,$CU9,0.3*$CU9,TRUE))*summary!$C$7/28.8/0.947817+$CS9*(_xlfn.NORM.DIST(BK$3,$CV9,0.3*$CV9,TRUE)-_xlfn.NORM.DIST(BK$30,$CV9,0.3*$CV9,TRUE))*summary!$C$6/28.8/0.947817)/(SUMPRODUCT((economics!$AG$2:$AG$167=$B38)*(economics!$D$2:$D$167="whr")*economics!$AH$2:$AH$167*(_xlfn.NORM.DIST(BK$3,economics!$AK$2:$AK$167,economics!$AJ$2:$AJ$167,TRUE)-_xlfn.NORM.DIST(BK$30,economics!$AK$2:$AK$167,economics!$AJ$2:$AJ$167,TRUE)))+$CR9*(_xlfn.NORM.DIST(BK$3,$CU9,0.3*$CU9,TRUE)-_xlfn.NORM.DIST(BK$30,$CU9,0.3*$CU9,TRUE))+$CS9*(_xlfn.NORM.DIST(BK$3,$CV9,0.3*$CV9,TRUE)-_xlfn.NORM.DIST(BK$30,$CV9,0.3*$CV9,TRUE))),""),IF($C9&gt;0,summary!$C$10/28.8/0.947817,""))</f>
        <v/>
      </c>
      <c r="BL38">
        <f t="array" ref="BL38">IF($D9,IFERROR((SUMPRODUCT((economics!$AG$2:$AG$167=$B38)*(economics!$D$2:$D$167="whr")*economics!$AH$2:$AH$167*(_xlfn.NORM.DIST(BL$3,economics!$AK$2:$AK$167,economics!$AJ$2:$AJ$167,TRUE)-_xlfn.NORM.DIST(BL$30,economics!$AK$2:$AK$167,economics!$AJ$2:$AJ$167,TRUE))*economics!$AM$2:$AM$167)+$CR9*(_xlfn.NORM.DIST(BL$3,$CU9,0.3*$CU9,TRUE)-_xlfn.NORM.DIST(BL$30,$CU9,0.3*$CU9,TRUE))*summary!$C$7/28.8/0.947817+$CS9*(_xlfn.NORM.DIST(BL$3,$CV9,0.3*$CV9,TRUE)-_xlfn.NORM.DIST(BL$30,$CV9,0.3*$CV9,TRUE))*summary!$C$6/28.8/0.947817)/(SUMPRODUCT((economics!$AG$2:$AG$167=$B38)*(economics!$D$2:$D$167="whr")*economics!$AH$2:$AH$167*(_xlfn.NORM.DIST(BL$3,economics!$AK$2:$AK$167,economics!$AJ$2:$AJ$167,TRUE)-_xlfn.NORM.DIST(BL$30,economics!$AK$2:$AK$167,economics!$AJ$2:$AJ$167,TRUE)))+$CR9*(_xlfn.NORM.DIST(BL$3,$CU9,0.3*$CU9,TRUE)-_xlfn.NORM.DIST(BL$30,$CU9,0.3*$CU9,TRUE))+$CS9*(_xlfn.NORM.DIST(BL$3,$CV9,0.3*$CV9,TRUE)-_xlfn.NORM.DIST(BL$30,$CV9,0.3*$CV9,TRUE))),""),IF($C9&gt;0,summary!$C$10/28.8/0.947817,""))</f>
        <v/>
      </c>
      <c r="BM38">
        <f t="array" ref="BM38">IF($D9,IFERROR((SUMPRODUCT((economics!$AG$2:$AG$167=$B38)*(economics!$D$2:$D$167="whr")*economics!$AH$2:$AH$167*(_xlfn.NORM.DIST(BM$3,economics!$AK$2:$AK$167,economics!$AJ$2:$AJ$167,TRUE)-_xlfn.NORM.DIST(BM$30,economics!$AK$2:$AK$167,economics!$AJ$2:$AJ$167,TRUE))*economics!$AM$2:$AM$167)+$CR9*(_xlfn.NORM.DIST(BM$3,$CU9,0.3*$CU9,TRUE)-_xlfn.NORM.DIST(BM$30,$CU9,0.3*$CU9,TRUE))*summary!$C$7/28.8/0.947817+$CS9*(_xlfn.NORM.DIST(BM$3,$CV9,0.3*$CV9,TRUE)-_xlfn.NORM.DIST(BM$30,$CV9,0.3*$CV9,TRUE))*summary!$C$6/28.8/0.947817)/(SUMPRODUCT((economics!$AG$2:$AG$167=$B38)*(economics!$D$2:$D$167="whr")*economics!$AH$2:$AH$167*(_xlfn.NORM.DIST(BM$3,economics!$AK$2:$AK$167,economics!$AJ$2:$AJ$167,TRUE)-_xlfn.NORM.DIST(BM$30,economics!$AK$2:$AK$167,economics!$AJ$2:$AJ$167,TRUE)))+$CR9*(_xlfn.NORM.DIST(BM$3,$CU9,0.3*$CU9,TRUE)-_xlfn.NORM.DIST(BM$30,$CU9,0.3*$CU9,TRUE))+$CS9*(_xlfn.NORM.DIST(BM$3,$CV9,0.3*$CV9,TRUE)-_xlfn.NORM.DIST(BM$30,$CV9,0.3*$CV9,TRUE))),""),IF($C9&gt;0,summary!$C$10/28.8/0.947817,""))</f>
        <v/>
      </c>
      <c r="BN38">
        <f t="array" ref="BN38">IF($D9,IFERROR((SUMPRODUCT((economics!$AG$2:$AG$167=$B38)*(economics!$D$2:$D$167="whr")*economics!$AH$2:$AH$167*(_xlfn.NORM.DIST(BN$3,economics!$AK$2:$AK$167,economics!$AJ$2:$AJ$167,TRUE)-_xlfn.NORM.DIST(BN$30,economics!$AK$2:$AK$167,economics!$AJ$2:$AJ$167,TRUE))*economics!$AM$2:$AM$167)+$CR9*(_xlfn.NORM.DIST(BN$3,$CU9,0.3*$CU9,TRUE)-_xlfn.NORM.DIST(BN$30,$CU9,0.3*$CU9,TRUE))*summary!$C$7/28.8/0.947817+$CS9*(_xlfn.NORM.DIST(BN$3,$CV9,0.3*$CV9,TRUE)-_xlfn.NORM.DIST(BN$30,$CV9,0.3*$CV9,TRUE))*summary!$C$6/28.8/0.947817)/(SUMPRODUCT((economics!$AG$2:$AG$167=$B38)*(economics!$D$2:$D$167="whr")*economics!$AH$2:$AH$167*(_xlfn.NORM.DIST(BN$3,economics!$AK$2:$AK$167,economics!$AJ$2:$AJ$167,TRUE)-_xlfn.NORM.DIST(BN$30,economics!$AK$2:$AK$167,economics!$AJ$2:$AJ$167,TRUE)))+$CR9*(_xlfn.NORM.DIST(BN$3,$CU9,0.3*$CU9,TRUE)-_xlfn.NORM.DIST(BN$30,$CU9,0.3*$CU9,TRUE))+$CS9*(_xlfn.NORM.DIST(BN$3,$CV9,0.3*$CV9,TRUE)-_xlfn.NORM.DIST(BN$30,$CV9,0.3*$CV9,TRUE))),""),IF($C9&gt;0,summary!$C$10/28.8/0.947817,""))</f>
        <v/>
      </c>
      <c r="BO38">
        <f t="array" ref="BO38">IF($D9,IFERROR((SUMPRODUCT((economics!$AG$2:$AG$167=$B38)*(economics!$D$2:$D$167="whr")*economics!$AH$2:$AH$167*(_xlfn.NORM.DIST(BO$3,economics!$AK$2:$AK$167,economics!$AJ$2:$AJ$167,TRUE)-_xlfn.NORM.DIST(BO$30,economics!$AK$2:$AK$167,economics!$AJ$2:$AJ$167,TRUE))*economics!$AM$2:$AM$167)+$CR9*(_xlfn.NORM.DIST(BO$3,$CU9,0.3*$CU9,TRUE)-_xlfn.NORM.DIST(BO$30,$CU9,0.3*$CU9,TRUE))*summary!$C$7/28.8/0.947817+$CS9*(_xlfn.NORM.DIST(BO$3,$CV9,0.3*$CV9,TRUE)-_xlfn.NORM.DIST(BO$30,$CV9,0.3*$CV9,TRUE))*summary!$C$6/28.8/0.947817)/(SUMPRODUCT((economics!$AG$2:$AG$167=$B38)*(economics!$D$2:$D$167="whr")*economics!$AH$2:$AH$167*(_xlfn.NORM.DIST(BO$3,economics!$AK$2:$AK$167,economics!$AJ$2:$AJ$167,TRUE)-_xlfn.NORM.DIST(BO$30,economics!$AK$2:$AK$167,economics!$AJ$2:$AJ$167,TRUE)))+$CR9*(_xlfn.NORM.DIST(BO$3,$CU9,0.3*$CU9,TRUE)-_xlfn.NORM.DIST(BO$30,$CU9,0.3*$CU9,TRUE))+$CS9*(_xlfn.NORM.DIST(BO$3,$CV9,0.3*$CV9,TRUE)-_xlfn.NORM.DIST(BO$30,$CV9,0.3*$CV9,TRUE))),""),IF($C9&gt;0,summary!$C$10/28.8/0.947817,""))</f>
        <v/>
      </c>
      <c r="BP38">
        <f t="array" ref="BP38">IF($D9,IFERROR((SUMPRODUCT((economics!$AG$2:$AG$167=$B38)*(economics!$D$2:$D$167="whr")*economics!$AH$2:$AH$167*(_xlfn.NORM.DIST(BP$3,economics!$AK$2:$AK$167,economics!$AJ$2:$AJ$167,TRUE)-_xlfn.NORM.DIST(BP$30,economics!$AK$2:$AK$167,economics!$AJ$2:$AJ$167,TRUE))*economics!$AM$2:$AM$167)+$CR9*(_xlfn.NORM.DIST(BP$3,$CU9,0.3*$CU9,TRUE)-_xlfn.NORM.DIST(BP$30,$CU9,0.3*$CU9,TRUE))*summary!$C$7/28.8/0.947817+$CS9*(_xlfn.NORM.DIST(BP$3,$CV9,0.3*$CV9,TRUE)-_xlfn.NORM.DIST(BP$30,$CV9,0.3*$CV9,TRUE))*summary!$C$6/28.8/0.947817)/(SUMPRODUCT((economics!$AG$2:$AG$167=$B38)*(economics!$D$2:$D$167="whr")*economics!$AH$2:$AH$167*(_xlfn.NORM.DIST(BP$3,economics!$AK$2:$AK$167,economics!$AJ$2:$AJ$167,TRUE)-_xlfn.NORM.DIST(BP$30,economics!$AK$2:$AK$167,economics!$AJ$2:$AJ$167,TRUE)))+$CR9*(_xlfn.NORM.DIST(BP$3,$CU9,0.3*$CU9,TRUE)-_xlfn.NORM.DIST(BP$30,$CU9,0.3*$CU9,TRUE))+$CS9*(_xlfn.NORM.DIST(BP$3,$CV9,0.3*$CV9,TRUE)-_xlfn.NORM.DIST(BP$30,$CV9,0.3*$CV9,TRUE))),""),IF($C9&gt;0,summary!$C$10/28.8/0.947817,""))</f>
        <v/>
      </c>
      <c r="BQ38">
        <f t="array" ref="BQ38">IF($D9,IFERROR((SUMPRODUCT((economics!$AG$2:$AG$167=$B38)*(economics!$D$2:$D$167="whr")*economics!$AH$2:$AH$167*(_xlfn.NORM.DIST(BQ$3,economics!$AK$2:$AK$167,economics!$AJ$2:$AJ$167,TRUE)-_xlfn.NORM.DIST(BQ$30,economics!$AK$2:$AK$167,economics!$AJ$2:$AJ$167,TRUE))*economics!$AM$2:$AM$167)+$CR9*(_xlfn.NORM.DIST(BQ$3,$CU9,0.3*$CU9,TRUE)-_xlfn.NORM.DIST(BQ$30,$CU9,0.3*$CU9,TRUE))*summary!$C$7/28.8/0.947817+$CS9*(_xlfn.NORM.DIST(BQ$3,$CV9,0.3*$CV9,TRUE)-_xlfn.NORM.DIST(BQ$30,$CV9,0.3*$CV9,TRUE))*summary!$C$6/28.8/0.947817)/(SUMPRODUCT((economics!$AG$2:$AG$167=$B38)*(economics!$D$2:$D$167="whr")*economics!$AH$2:$AH$167*(_xlfn.NORM.DIST(BQ$3,economics!$AK$2:$AK$167,economics!$AJ$2:$AJ$167,TRUE)-_xlfn.NORM.DIST(BQ$30,economics!$AK$2:$AK$167,economics!$AJ$2:$AJ$167,TRUE)))+$CR9*(_xlfn.NORM.DIST(BQ$3,$CU9,0.3*$CU9,TRUE)-_xlfn.NORM.DIST(BQ$30,$CU9,0.3*$CU9,TRUE))+$CS9*(_xlfn.NORM.DIST(BQ$3,$CV9,0.3*$CV9,TRUE)-_xlfn.NORM.DIST(BQ$30,$CV9,0.3*$CV9,TRUE))),""),IF($C9&gt;0,summary!$C$10/28.8/0.947817,""))</f>
        <v/>
      </c>
      <c r="BR38">
        <f t="array" ref="BR38">IF($D9,IFERROR((SUMPRODUCT((economics!$AG$2:$AG$167=$B38)*(economics!$D$2:$D$167="whr")*economics!$AH$2:$AH$167*(_xlfn.NORM.DIST(BR$3,economics!$AK$2:$AK$167,economics!$AJ$2:$AJ$167,TRUE)-_xlfn.NORM.DIST(BR$30,economics!$AK$2:$AK$167,economics!$AJ$2:$AJ$167,TRUE))*economics!$AM$2:$AM$167)+$CR9*(_xlfn.NORM.DIST(BR$3,$CU9,0.3*$CU9,TRUE)-_xlfn.NORM.DIST(BR$30,$CU9,0.3*$CU9,TRUE))*summary!$C$7/28.8/0.947817+$CS9*(_xlfn.NORM.DIST(BR$3,$CV9,0.3*$CV9,TRUE)-_xlfn.NORM.DIST(BR$30,$CV9,0.3*$CV9,TRUE))*summary!$C$6/28.8/0.947817)/(SUMPRODUCT((economics!$AG$2:$AG$167=$B38)*(economics!$D$2:$D$167="whr")*economics!$AH$2:$AH$167*(_xlfn.NORM.DIST(BR$3,economics!$AK$2:$AK$167,economics!$AJ$2:$AJ$167,TRUE)-_xlfn.NORM.DIST(BR$30,economics!$AK$2:$AK$167,economics!$AJ$2:$AJ$167,TRUE)))+$CR9*(_xlfn.NORM.DIST(BR$3,$CU9,0.3*$CU9,TRUE)-_xlfn.NORM.DIST(BR$30,$CU9,0.3*$CU9,TRUE))+$CS9*(_xlfn.NORM.DIST(BR$3,$CV9,0.3*$CV9,TRUE)-_xlfn.NORM.DIST(BR$30,$CV9,0.3*$CV9,TRUE))),""),IF($C9&gt;0,summary!$C$10/28.8/0.947817,""))</f>
        <v/>
      </c>
      <c r="BS38">
        <f t="array" ref="BS38">IF($D9,IFERROR((SUMPRODUCT((economics!$AG$2:$AG$167=$B38)*(economics!$D$2:$D$167="whr")*economics!$AH$2:$AH$167*(_xlfn.NORM.DIST(BS$3,economics!$AK$2:$AK$167,economics!$AJ$2:$AJ$167,TRUE)-_xlfn.NORM.DIST(BS$30,economics!$AK$2:$AK$167,economics!$AJ$2:$AJ$167,TRUE))*economics!$AM$2:$AM$167)+$CR9*(_xlfn.NORM.DIST(BS$3,$CU9,0.3*$CU9,TRUE)-_xlfn.NORM.DIST(BS$30,$CU9,0.3*$CU9,TRUE))*summary!$C$7/28.8/0.947817+$CS9*(_xlfn.NORM.DIST(BS$3,$CV9,0.3*$CV9,TRUE)-_xlfn.NORM.DIST(BS$30,$CV9,0.3*$CV9,TRUE))*summary!$C$6/28.8/0.947817)/(SUMPRODUCT((economics!$AG$2:$AG$167=$B38)*(economics!$D$2:$D$167="whr")*economics!$AH$2:$AH$167*(_xlfn.NORM.DIST(BS$3,economics!$AK$2:$AK$167,economics!$AJ$2:$AJ$167,TRUE)-_xlfn.NORM.DIST(BS$30,economics!$AK$2:$AK$167,economics!$AJ$2:$AJ$167,TRUE)))+$CR9*(_xlfn.NORM.DIST(BS$3,$CU9,0.3*$CU9,TRUE)-_xlfn.NORM.DIST(BS$30,$CU9,0.3*$CU9,TRUE))+$CS9*(_xlfn.NORM.DIST(BS$3,$CV9,0.3*$CV9,TRUE)-_xlfn.NORM.DIST(BS$30,$CV9,0.3*$CV9,TRUE))),""),IF($C9&gt;0,summary!$C$10/28.8/0.947817,""))</f>
        <v/>
      </c>
      <c r="BT38">
        <f t="array" ref="BT38">IF($D9,IFERROR((SUMPRODUCT((economics!$AG$2:$AG$167=$B38)*(economics!$D$2:$D$167="whr")*economics!$AH$2:$AH$167*(_xlfn.NORM.DIST(BT$3,economics!$AK$2:$AK$167,economics!$AJ$2:$AJ$167,TRUE)-_xlfn.NORM.DIST(BT$30,economics!$AK$2:$AK$167,economics!$AJ$2:$AJ$167,TRUE))*economics!$AM$2:$AM$167)+$CR9*(_xlfn.NORM.DIST(BT$3,$CU9,0.3*$CU9,TRUE)-_xlfn.NORM.DIST(BT$30,$CU9,0.3*$CU9,TRUE))*summary!$C$7/28.8/0.947817+$CS9*(_xlfn.NORM.DIST(BT$3,$CV9,0.3*$CV9,TRUE)-_xlfn.NORM.DIST(BT$30,$CV9,0.3*$CV9,TRUE))*summary!$C$6/28.8/0.947817)/(SUMPRODUCT((economics!$AG$2:$AG$167=$B38)*(economics!$D$2:$D$167="whr")*economics!$AH$2:$AH$167*(_xlfn.NORM.DIST(BT$3,economics!$AK$2:$AK$167,economics!$AJ$2:$AJ$167,TRUE)-_xlfn.NORM.DIST(BT$30,economics!$AK$2:$AK$167,economics!$AJ$2:$AJ$167,TRUE)))+$CR9*(_xlfn.NORM.DIST(BT$3,$CU9,0.3*$CU9,TRUE)-_xlfn.NORM.DIST(BT$30,$CU9,0.3*$CU9,TRUE))+$CS9*(_xlfn.NORM.DIST(BT$3,$CV9,0.3*$CV9,TRUE)-_xlfn.NORM.DIST(BT$30,$CV9,0.3*$CV9,TRUE))),""),IF($C9&gt;0,summary!$C$10/28.8/0.947817,""))</f>
        <v/>
      </c>
      <c r="BU38">
        <f t="array" ref="BU38">IF($D9,IFERROR((SUMPRODUCT((economics!$AG$2:$AG$167=$B38)*(economics!$D$2:$D$167="whr")*economics!$AH$2:$AH$167*(_xlfn.NORM.DIST(BU$3,economics!$AK$2:$AK$167,economics!$AJ$2:$AJ$167,TRUE)-_xlfn.NORM.DIST(BU$30,economics!$AK$2:$AK$167,economics!$AJ$2:$AJ$167,TRUE))*economics!$AM$2:$AM$167)+$CR9*(_xlfn.NORM.DIST(BU$3,$CU9,0.3*$CU9,TRUE)-_xlfn.NORM.DIST(BU$30,$CU9,0.3*$CU9,TRUE))*summary!$C$7/28.8/0.947817+$CS9*(_xlfn.NORM.DIST(BU$3,$CV9,0.3*$CV9,TRUE)-_xlfn.NORM.DIST(BU$30,$CV9,0.3*$CV9,TRUE))*summary!$C$6/28.8/0.947817)/(SUMPRODUCT((economics!$AG$2:$AG$167=$B38)*(economics!$D$2:$D$167="whr")*economics!$AH$2:$AH$167*(_xlfn.NORM.DIST(BU$3,economics!$AK$2:$AK$167,economics!$AJ$2:$AJ$167,TRUE)-_xlfn.NORM.DIST(BU$30,economics!$AK$2:$AK$167,economics!$AJ$2:$AJ$167,TRUE)))+$CR9*(_xlfn.NORM.DIST(BU$3,$CU9,0.3*$CU9,TRUE)-_xlfn.NORM.DIST(BU$30,$CU9,0.3*$CU9,TRUE))+$CS9*(_xlfn.NORM.DIST(BU$3,$CV9,0.3*$CV9,TRUE)-_xlfn.NORM.DIST(BU$30,$CV9,0.3*$CV9,TRUE))),""),IF($C9&gt;0,summary!$C$10/28.8/0.947817,""))</f>
        <v/>
      </c>
      <c r="BV38">
        <f t="array" ref="BV38">IF($D9,IFERROR((SUMPRODUCT((economics!$AG$2:$AG$167=$B38)*(economics!$D$2:$D$167="whr")*economics!$AH$2:$AH$167*(_xlfn.NORM.DIST(BV$3,economics!$AK$2:$AK$167,economics!$AJ$2:$AJ$167,TRUE)-_xlfn.NORM.DIST(BV$30,economics!$AK$2:$AK$167,economics!$AJ$2:$AJ$167,TRUE))*economics!$AM$2:$AM$167)+$CR9*(_xlfn.NORM.DIST(BV$3,$CU9,0.3*$CU9,TRUE)-_xlfn.NORM.DIST(BV$30,$CU9,0.3*$CU9,TRUE))*summary!$C$7/28.8/0.947817+$CS9*(_xlfn.NORM.DIST(BV$3,$CV9,0.3*$CV9,TRUE)-_xlfn.NORM.DIST(BV$30,$CV9,0.3*$CV9,TRUE))*summary!$C$6/28.8/0.947817)/(SUMPRODUCT((economics!$AG$2:$AG$167=$B38)*(economics!$D$2:$D$167="whr")*economics!$AH$2:$AH$167*(_xlfn.NORM.DIST(BV$3,economics!$AK$2:$AK$167,economics!$AJ$2:$AJ$167,TRUE)-_xlfn.NORM.DIST(BV$30,economics!$AK$2:$AK$167,economics!$AJ$2:$AJ$167,TRUE)))+$CR9*(_xlfn.NORM.DIST(BV$3,$CU9,0.3*$CU9,TRUE)-_xlfn.NORM.DIST(BV$30,$CU9,0.3*$CU9,TRUE))+$CS9*(_xlfn.NORM.DIST(BV$3,$CV9,0.3*$CV9,TRUE)-_xlfn.NORM.DIST(BV$30,$CV9,0.3*$CV9,TRUE))),""),IF($C9&gt;0,summary!$C$10/28.8/0.947817,""))</f>
        <v/>
      </c>
      <c r="BW38">
        <f t="array" ref="BW38">IF($D9,IFERROR((SUMPRODUCT((economics!$AG$2:$AG$167=$B38)*(economics!$D$2:$D$167="whr")*economics!$AH$2:$AH$167*(_xlfn.NORM.DIST(BW$3,economics!$AK$2:$AK$167,economics!$AJ$2:$AJ$167,TRUE)-_xlfn.NORM.DIST(BW$30,economics!$AK$2:$AK$167,economics!$AJ$2:$AJ$167,TRUE))*economics!$AM$2:$AM$167)+$CR9*(_xlfn.NORM.DIST(BW$3,$CU9,0.3*$CU9,TRUE)-_xlfn.NORM.DIST(BW$30,$CU9,0.3*$CU9,TRUE))*summary!$C$7/28.8/0.947817+$CS9*(_xlfn.NORM.DIST(BW$3,$CV9,0.3*$CV9,TRUE)-_xlfn.NORM.DIST(BW$30,$CV9,0.3*$CV9,TRUE))*summary!$C$6/28.8/0.947817)/(SUMPRODUCT((economics!$AG$2:$AG$167=$B38)*(economics!$D$2:$D$167="whr")*economics!$AH$2:$AH$167*(_xlfn.NORM.DIST(BW$3,economics!$AK$2:$AK$167,economics!$AJ$2:$AJ$167,TRUE)-_xlfn.NORM.DIST(BW$30,economics!$AK$2:$AK$167,economics!$AJ$2:$AJ$167,TRUE)))+$CR9*(_xlfn.NORM.DIST(BW$3,$CU9,0.3*$CU9,TRUE)-_xlfn.NORM.DIST(BW$30,$CU9,0.3*$CU9,TRUE))+$CS9*(_xlfn.NORM.DIST(BW$3,$CV9,0.3*$CV9,TRUE)-_xlfn.NORM.DIST(BW$30,$CV9,0.3*$CV9,TRUE))),""),IF($C9&gt;0,summary!$C$10/28.8/0.947817,""))</f>
        <v/>
      </c>
      <c r="BX38">
        <f t="array" ref="BX38">IF($D9,IFERROR((SUMPRODUCT((economics!$AG$2:$AG$167=$B38)*(economics!$D$2:$D$167="whr")*economics!$AH$2:$AH$167*(_xlfn.NORM.DIST(BX$3,economics!$AK$2:$AK$167,economics!$AJ$2:$AJ$167,TRUE)-_xlfn.NORM.DIST(BX$30,economics!$AK$2:$AK$167,economics!$AJ$2:$AJ$167,TRUE))*economics!$AM$2:$AM$167)+$CR9*(_xlfn.NORM.DIST(BX$3,$CU9,0.3*$CU9,TRUE)-_xlfn.NORM.DIST(BX$30,$CU9,0.3*$CU9,TRUE))*summary!$C$7/28.8/0.947817+$CS9*(_xlfn.NORM.DIST(BX$3,$CV9,0.3*$CV9,TRUE)-_xlfn.NORM.DIST(BX$30,$CV9,0.3*$CV9,TRUE))*summary!$C$6/28.8/0.947817)/(SUMPRODUCT((economics!$AG$2:$AG$167=$B38)*(economics!$D$2:$D$167="whr")*economics!$AH$2:$AH$167*(_xlfn.NORM.DIST(BX$3,economics!$AK$2:$AK$167,economics!$AJ$2:$AJ$167,TRUE)-_xlfn.NORM.DIST(BX$30,economics!$AK$2:$AK$167,economics!$AJ$2:$AJ$167,TRUE)))+$CR9*(_xlfn.NORM.DIST(BX$3,$CU9,0.3*$CU9,TRUE)-_xlfn.NORM.DIST(BX$30,$CU9,0.3*$CU9,TRUE))+$CS9*(_xlfn.NORM.DIST(BX$3,$CV9,0.3*$CV9,TRUE)-_xlfn.NORM.DIST(BX$30,$CV9,0.3*$CV9,TRUE))),""),IF($C9&gt;0,summary!$C$10/28.8/0.947817,""))</f>
        <v/>
      </c>
      <c r="BY38">
        <f t="array" ref="BY38">IF($D9,IFERROR((SUMPRODUCT((economics!$AG$2:$AG$167=$B38)*(economics!$D$2:$D$167="whr")*economics!$AH$2:$AH$167*(_xlfn.NORM.DIST(BY$3,economics!$AK$2:$AK$167,economics!$AJ$2:$AJ$167,TRUE)-_xlfn.NORM.DIST(BY$30,economics!$AK$2:$AK$167,economics!$AJ$2:$AJ$167,TRUE))*economics!$AM$2:$AM$167)+$CR9*(_xlfn.NORM.DIST(BY$3,$CU9,0.3*$CU9,TRUE)-_xlfn.NORM.DIST(BY$30,$CU9,0.3*$CU9,TRUE))*summary!$C$7/28.8/0.947817+$CS9*(_xlfn.NORM.DIST(BY$3,$CV9,0.3*$CV9,TRUE)-_xlfn.NORM.DIST(BY$30,$CV9,0.3*$CV9,TRUE))*summary!$C$6/28.8/0.947817)/(SUMPRODUCT((economics!$AG$2:$AG$167=$B38)*(economics!$D$2:$D$167="whr")*economics!$AH$2:$AH$167*(_xlfn.NORM.DIST(BY$3,economics!$AK$2:$AK$167,economics!$AJ$2:$AJ$167,TRUE)-_xlfn.NORM.DIST(BY$30,economics!$AK$2:$AK$167,economics!$AJ$2:$AJ$167,TRUE)))+$CR9*(_xlfn.NORM.DIST(BY$3,$CU9,0.3*$CU9,TRUE)-_xlfn.NORM.DIST(BY$30,$CU9,0.3*$CU9,TRUE))+$CS9*(_xlfn.NORM.DIST(BY$3,$CV9,0.3*$CV9,TRUE)-_xlfn.NORM.DIST(BY$30,$CV9,0.3*$CV9,TRUE))),""),IF($C9&gt;0,summary!$C$10/28.8/0.947817,""))</f>
        <v/>
      </c>
      <c r="BZ38">
        <f t="array" ref="BZ38">IF($D9,IFERROR((SUMPRODUCT((economics!$AG$2:$AG$167=$B38)*(economics!$D$2:$D$167="whr")*economics!$AH$2:$AH$167*(_xlfn.NORM.DIST(BZ$3,economics!$AK$2:$AK$167,economics!$AJ$2:$AJ$167,TRUE)-_xlfn.NORM.DIST(BZ$30,economics!$AK$2:$AK$167,economics!$AJ$2:$AJ$167,TRUE))*economics!$AM$2:$AM$167)+$CR9*(_xlfn.NORM.DIST(BZ$3,$CU9,0.3*$CU9,TRUE)-_xlfn.NORM.DIST(BZ$30,$CU9,0.3*$CU9,TRUE))*summary!$C$7/28.8/0.947817+$CS9*(_xlfn.NORM.DIST(BZ$3,$CV9,0.3*$CV9,TRUE)-_xlfn.NORM.DIST(BZ$30,$CV9,0.3*$CV9,TRUE))*summary!$C$6/28.8/0.947817)/(SUMPRODUCT((economics!$AG$2:$AG$167=$B38)*(economics!$D$2:$D$167="whr")*economics!$AH$2:$AH$167*(_xlfn.NORM.DIST(BZ$3,economics!$AK$2:$AK$167,economics!$AJ$2:$AJ$167,TRUE)-_xlfn.NORM.DIST(BZ$30,economics!$AK$2:$AK$167,economics!$AJ$2:$AJ$167,TRUE)))+$CR9*(_xlfn.NORM.DIST(BZ$3,$CU9,0.3*$CU9,TRUE)-_xlfn.NORM.DIST(BZ$30,$CU9,0.3*$CU9,TRUE))+$CS9*(_xlfn.NORM.DIST(BZ$3,$CV9,0.3*$CV9,TRUE)-_xlfn.NORM.DIST(BZ$30,$CV9,0.3*$CV9,TRUE))),""),IF($C9&gt;0,summary!$C$10/28.8/0.947817,""))</f>
        <v/>
      </c>
      <c r="CA38">
        <f t="array" ref="CA38">IF($D9,IFERROR((SUMPRODUCT((economics!$AG$2:$AG$167=$B38)*(economics!$D$2:$D$167="whr")*economics!$AH$2:$AH$167*(_xlfn.NORM.DIST(CA$3,economics!$AK$2:$AK$167,economics!$AJ$2:$AJ$167,TRUE)-_xlfn.NORM.DIST(CA$30,economics!$AK$2:$AK$167,economics!$AJ$2:$AJ$167,TRUE))*economics!$AM$2:$AM$167)+$CR9*(_xlfn.NORM.DIST(CA$3,$CU9,0.3*$CU9,TRUE)-_xlfn.NORM.DIST(CA$30,$CU9,0.3*$CU9,TRUE))*summary!$C$7/28.8/0.947817+$CS9*(_xlfn.NORM.DIST(CA$3,$CV9,0.3*$CV9,TRUE)-_xlfn.NORM.DIST(CA$30,$CV9,0.3*$CV9,TRUE))*summary!$C$6/28.8/0.947817)/(SUMPRODUCT((economics!$AG$2:$AG$167=$B38)*(economics!$D$2:$D$167="whr")*economics!$AH$2:$AH$167*(_xlfn.NORM.DIST(CA$3,economics!$AK$2:$AK$167,economics!$AJ$2:$AJ$167,TRUE)-_xlfn.NORM.DIST(CA$30,economics!$AK$2:$AK$167,economics!$AJ$2:$AJ$167,TRUE)))+$CR9*(_xlfn.NORM.DIST(CA$3,$CU9,0.3*$CU9,TRUE)-_xlfn.NORM.DIST(CA$30,$CU9,0.3*$CU9,TRUE))+$CS9*(_xlfn.NORM.DIST(CA$3,$CV9,0.3*$CV9,TRUE)-_xlfn.NORM.DIST(CA$30,$CV9,0.3*$CV9,TRUE))),""),IF($C9&gt;0,summary!$C$10/28.8/0.947817,""))</f>
        <v/>
      </c>
      <c r="CB38">
        <f t="array" ref="CB38">IF($D9,IFERROR((SUMPRODUCT((economics!$AG$2:$AG$167=$B38)*(economics!$D$2:$D$167="whr")*economics!$AH$2:$AH$167*(_xlfn.NORM.DIST(CB$3,economics!$AK$2:$AK$167,economics!$AJ$2:$AJ$167,TRUE)-_xlfn.NORM.DIST(CB$30,economics!$AK$2:$AK$167,economics!$AJ$2:$AJ$167,TRUE))*economics!$AM$2:$AM$167)+$CR9*(_xlfn.NORM.DIST(CB$3,$CU9,0.3*$CU9,TRUE)-_xlfn.NORM.DIST(CB$30,$CU9,0.3*$CU9,TRUE))*summary!$C$7/28.8/0.947817+$CS9*(_xlfn.NORM.DIST(CB$3,$CV9,0.3*$CV9,TRUE)-_xlfn.NORM.DIST(CB$30,$CV9,0.3*$CV9,TRUE))*summary!$C$6/28.8/0.947817)/(SUMPRODUCT((economics!$AG$2:$AG$167=$B38)*(economics!$D$2:$D$167="whr")*economics!$AH$2:$AH$167*(_xlfn.NORM.DIST(CB$3,economics!$AK$2:$AK$167,economics!$AJ$2:$AJ$167,TRUE)-_xlfn.NORM.DIST(CB$30,economics!$AK$2:$AK$167,economics!$AJ$2:$AJ$167,TRUE)))+$CR9*(_xlfn.NORM.DIST(CB$3,$CU9,0.3*$CU9,TRUE)-_xlfn.NORM.DIST(CB$30,$CU9,0.3*$CU9,TRUE))+$CS9*(_xlfn.NORM.DIST(CB$3,$CV9,0.3*$CV9,TRUE)-_xlfn.NORM.DIST(CB$30,$CV9,0.3*$CV9,TRUE))),""),IF($C9&gt;0,summary!$C$10/28.8/0.947817,""))</f>
        <v/>
      </c>
      <c r="CC38">
        <f t="array" ref="CC38">IF($D9,IFERROR((SUMPRODUCT((economics!$AG$2:$AG$167=$B38)*(economics!$D$2:$D$167="whr")*economics!$AH$2:$AH$167*(_xlfn.NORM.DIST(CC$3,economics!$AK$2:$AK$167,economics!$AJ$2:$AJ$167,TRUE)-_xlfn.NORM.DIST(CC$30,economics!$AK$2:$AK$167,economics!$AJ$2:$AJ$167,TRUE))*economics!$AM$2:$AM$167)+$CR9*(_xlfn.NORM.DIST(CC$3,$CU9,0.3*$CU9,TRUE)-_xlfn.NORM.DIST(CC$30,$CU9,0.3*$CU9,TRUE))*summary!$C$7/28.8/0.947817+$CS9*(_xlfn.NORM.DIST(CC$3,$CV9,0.3*$CV9,TRUE)-_xlfn.NORM.DIST(CC$30,$CV9,0.3*$CV9,TRUE))*summary!$C$6/28.8/0.947817)/(SUMPRODUCT((economics!$AG$2:$AG$167=$B38)*(economics!$D$2:$D$167="whr")*economics!$AH$2:$AH$167*(_xlfn.NORM.DIST(CC$3,economics!$AK$2:$AK$167,economics!$AJ$2:$AJ$167,TRUE)-_xlfn.NORM.DIST(CC$30,economics!$AK$2:$AK$167,economics!$AJ$2:$AJ$167,TRUE)))+$CR9*(_xlfn.NORM.DIST(CC$3,$CU9,0.3*$CU9,TRUE)-_xlfn.NORM.DIST(CC$30,$CU9,0.3*$CU9,TRUE))+$CS9*(_xlfn.NORM.DIST(CC$3,$CV9,0.3*$CV9,TRUE)-_xlfn.NORM.DIST(CC$30,$CV9,0.3*$CV9,TRUE))),""),IF($C9&gt;0,summary!$C$10/28.8/0.947817,""))</f>
        <v/>
      </c>
      <c r="CD38">
        <f t="array" ref="CD38">IF($D9,IFERROR((SUMPRODUCT((economics!$AG$2:$AG$167=$B38)*(economics!$D$2:$D$167="whr")*economics!$AH$2:$AH$167*(_xlfn.NORM.DIST(CD$3,economics!$AK$2:$AK$167,economics!$AJ$2:$AJ$167,TRUE)-_xlfn.NORM.DIST(CD$30,economics!$AK$2:$AK$167,economics!$AJ$2:$AJ$167,TRUE))*economics!$AM$2:$AM$167)+$CR9*(_xlfn.NORM.DIST(CD$3,$CU9,0.3*$CU9,TRUE)-_xlfn.NORM.DIST(CD$30,$CU9,0.3*$CU9,TRUE))*summary!$C$7/28.8/0.947817+$CS9*(_xlfn.NORM.DIST(CD$3,$CV9,0.3*$CV9,TRUE)-_xlfn.NORM.DIST(CD$30,$CV9,0.3*$CV9,TRUE))*summary!$C$6/28.8/0.947817)/(SUMPRODUCT((economics!$AG$2:$AG$167=$B38)*(economics!$D$2:$D$167="whr")*economics!$AH$2:$AH$167*(_xlfn.NORM.DIST(CD$3,economics!$AK$2:$AK$167,economics!$AJ$2:$AJ$167,TRUE)-_xlfn.NORM.DIST(CD$30,economics!$AK$2:$AK$167,economics!$AJ$2:$AJ$167,TRUE)))+$CR9*(_xlfn.NORM.DIST(CD$3,$CU9,0.3*$CU9,TRUE)-_xlfn.NORM.DIST(CD$30,$CU9,0.3*$CU9,TRUE))+$CS9*(_xlfn.NORM.DIST(CD$3,$CV9,0.3*$CV9,TRUE)-_xlfn.NORM.DIST(CD$30,$CV9,0.3*$CV9,TRUE))),""),IF($C9&gt;0,summary!$C$10/28.8/0.947817,""))</f>
        <v/>
      </c>
      <c r="CE38">
        <f t="array" ref="CE38">IF($D9,IFERROR((SUMPRODUCT((economics!$AG$2:$AG$167=$B38)*(economics!$D$2:$D$167="whr")*economics!$AH$2:$AH$167*(_xlfn.NORM.DIST(CE$3,economics!$AK$2:$AK$167,economics!$AJ$2:$AJ$167,TRUE)-_xlfn.NORM.DIST(CE$30,economics!$AK$2:$AK$167,economics!$AJ$2:$AJ$167,TRUE))*economics!$AM$2:$AM$167)+$CR9*(_xlfn.NORM.DIST(CE$3,$CU9,0.3*$CU9,TRUE)-_xlfn.NORM.DIST(CE$30,$CU9,0.3*$CU9,TRUE))*summary!$C$7/28.8/0.947817+$CS9*(_xlfn.NORM.DIST(CE$3,$CV9,0.3*$CV9,TRUE)-_xlfn.NORM.DIST(CE$30,$CV9,0.3*$CV9,TRUE))*summary!$C$6/28.8/0.947817)/(SUMPRODUCT((economics!$AG$2:$AG$167=$B38)*(economics!$D$2:$D$167="whr")*economics!$AH$2:$AH$167*(_xlfn.NORM.DIST(CE$3,economics!$AK$2:$AK$167,economics!$AJ$2:$AJ$167,TRUE)-_xlfn.NORM.DIST(CE$30,economics!$AK$2:$AK$167,economics!$AJ$2:$AJ$167,TRUE)))+$CR9*(_xlfn.NORM.DIST(CE$3,$CU9,0.3*$CU9,TRUE)-_xlfn.NORM.DIST(CE$30,$CU9,0.3*$CU9,TRUE))+$CS9*(_xlfn.NORM.DIST(CE$3,$CV9,0.3*$CV9,TRUE)-_xlfn.NORM.DIST(CE$30,$CV9,0.3*$CV9,TRUE))),""),IF($C9&gt;0,summary!$C$10/28.8/0.947817,""))</f>
        <v/>
      </c>
      <c r="CF38">
        <f t="array" ref="CF38">IF($D9,IFERROR((SUMPRODUCT((economics!$AG$2:$AG$167=$B38)*(economics!$D$2:$D$167="whr")*economics!$AH$2:$AH$167*(_xlfn.NORM.DIST(CF$3,economics!$AK$2:$AK$167,economics!$AJ$2:$AJ$167,TRUE)-_xlfn.NORM.DIST(CF$30,economics!$AK$2:$AK$167,economics!$AJ$2:$AJ$167,TRUE))*economics!$AM$2:$AM$167)+$CR9*(_xlfn.NORM.DIST(CF$3,$CU9,0.3*$CU9,TRUE)-_xlfn.NORM.DIST(CF$30,$CU9,0.3*$CU9,TRUE))*summary!$C$7/28.8/0.947817+$CS9*(_xlfn.NORM.DIST(CF$3,$CV9,0.3*$CV9,TRUE)-_xlfn.NORM.DIST(CF$30,$CV9,0.3*$CV9,TRUE))*summary!$C$6/28.8/0.947817)/(SUMPRODUCT((economics!$AG$2:$AG$167=$B38)*(economics!$D$2:$D$167="whr")*economics!$AH$2:$AH$167*(_xlfn.NORM.DIST(CF$3,economics!$AK$2:$AK$167,economics!$AJ$2:$AJ$167,TRUE)-_xlfn.NORM.DIST(CF$30,economics!$AK$2:$AK$167,economics!$AJ$2:$AJ$167,TRUE)))+$CR9*(_xlfn.NORM.DIST(CF$3,$CU9,0.3*$CU9,TRUE)-_xlfn.NORM.DIST(CF$30,$CU9,0.3*$CU9,TRUE))+$CS9*(_xlfn.NORM.DIST(CF$3,$CV9,0.3*$CV9,TRUE)-_xlfn.NORM.DIST(CF$30,$CV9,0.3*$CV9,TRUE))),""),IF($C9&gt;0,summary!$C$10/28.8/0.947817,""))</f>
        <v/>
      </c>
      <c r="CG38">
        <f t="array" ref="CG38">IF($D9,IFERROR((SUMPRODUCT((economics!$AG$2:$AG$167=$B38)*(economics!$D$2:$D$167="whr")*economics!$AH$2:$AH$167*(_xlfn.NORM.DIST(CG$3,economics!$AK$2:$AK$167,economics!$AJ$2:$AJ$167,TRUE)-_xlfn.NORM.DIST(CG$30,economics!$AK$2:$AK$167,economics!$AJ$2:$AJ$167,TRUE))*economics!$AM$2:$AM$167)+$CR9*(_xlfn.NORM.DIST(CG$3,$CU9,0.3*$CU9,TRUE)-_xlfn.NORM.DIST(CG$30,$CU9,0.3*$CU9,TRUE))*summary!$C$7/28.8/0.947817+$CS9*(_xlfn.NORM.DIST(CG$3,$CV9,0.3*$CV9,TRUE)-_xlfn.NORM.DIST(CG$30,$CV9,0.3*$CV9,TRUE))*summary!$C$6/28.8/0.947817)/(SUMPRODUCT((economics!$AG$2:$AG$167=$B38)*(economics!$D$2:$D$167="whr")*economics!$AH$2:$AH$167*(_xlfn.NORM.DIST(CG$3,economics!$AK$2:$AK$167,economics!$AJ$2:$AJ$167,TRUE)-_xlfn.NORM.DIST(CG$30,economics!$AK$2:$AK$167,economics!$AJ$2:$AJ$167,TRUE)))+$CR9*(_xlfn.NORM.DIST(CG$3,$CU9,0.3*$CU9,TRUE)-_xlfn.NORM.DIST(CG$30,$CU9,0.3*$CU9,TRUE))+$CS9*(_xlfn.NORM.DIST(CG$3,$CV9,0.3*$CV9,TRUE)-_xlfn.NORM.DIST(CG$30,$CV9,0.3*$CV9,TRUE))),""),IF($C9&gt;0,summary!$C$10/28.8/0.947817,""))</f>
        <v/>
      </c>
      <c r="CH38">
        <f t="array" ref="CH38">IF($D9,IFERROR((SUMPRODUCT((economics!$AG$2:$AG$167=$B38)*(economics!$D$2:$D$167="whr")*economics!$AH$2:$AH$167*(_xlfn.NORM.DIST(CH$3,economics!$AK$2:$AK$167,economics!$AJ$2:$AJ$167,TRUE)-_xlfn.NORM.DIST(CH$30,economics!$AK$2:$AK$167,economics!$AJ$2:$AJ$167,TRUE))*economics!$AM$2:$AM$167)+$CR9*(_xlfn.NORM.DIST(CH$3,$CU9,0.3*$CU9,TRUE)-_xlfn.NORM.DIST(CH$30,$CU9,0.3*$CU9,TRUE))*summary!$C$7/28.8/0.947817+$CS9*(_xlfn.NORM.DIST(CH$3,$CV9,0.3*$CV9,TRUE)-_xlfn.NORM.DIST(CH$30,$CV9,0.3*$CV9,TRUE))*summary!$C$6/28.8/0.947817)/(SUMPRODUCT((economics!$AG$2:$AG$167=$B38)*(economics!$D$2:$D$167="whr")*economics!$AH$2:$AH$167*(_xlfn.NORM.DIST(CH$3,economics!$AK$2:$AK$167,economics!$AJ$2:$AJ$167,TRUE)-_xlfn.NORM.DIST(CH$30,economics!$AK$2:$AK$167,economics!$AJ$2:$AJ$167,TRUE)))+$CR9*(_xlfn.NORM.DIST(CH$3,$CU9,0.3*$CU9,TRUE)-_xlfn.NORM.DIST(CH$30,$CU9,0.3*$CU9,TRUE))+$CS9*(_xlfn.NORM.DIST(CH$3,$CV9,0.3*$CV9,TRUE)-_xlfn.NORM.DIST(CH$30,$CV9,0.3*$CV9,TRUE))),""),IF($C9&gt;0,summary!$C$10/28.8/0.947817,""))</f>
        <v/>
      </c>
    </row>
    <row r="39">
      <c r="A39">
        <f>A10</f>
        <v/>
      </c>
      <c r="B39">
        <f>B10</f>
        <v/>
      </c>
      <c r="E39">
        <f t="array" ref="E39">IF($D10,IFERROR((SUMPRODUCT((economics!$AG$2:$AG$167=$B39)*(economics!$D$2:$D$167="whr")*economics!$AH$2:$AH$167*(_xlfn.NORM.DIST(E$3,economics!$AK$2:$AK$167,economics!$AJ$2:$AJ$167,TRUE)-_xlfn.NORM.DIST(E$30,economics!$AK$2:$AK$167,economics!$AJ$2:$AJ$167,TRUE))*economics!$AM$2:$AM$167)+$CR10*(_xlfn.NORM.DIST(E$3,$CU10,0.3*$CU10,TRUE)-_xlfn.NORM.DIST(E$30,$CU10,0.3*$CU10,TRUE))*summary!$C$7/28.8/0.947817+$CS10*(_xlfn.NORM.DIST(E$3,$CV10,0.3*$CV10,TRUE)-_xlfn.NORM.DIST(E$30,$CV10,0.3*$CV10,TRUE))*summary!$C$6/28.8/0.947817)/(SUMPRODUCT((economics!$AG$2:$AG$167=$B39)*(economics!$D$2:$D$167="whr")*economics!$AH$2:$AH$167*(_xlfn.NORM.DIST(E$3,economics!$AK$2:$AK$167,economics!$AJ$2:$AJ$167,TRUE)-_xlfn.NORM.DIST(E$30,economics!$AK$2:$AK$167,economics!$AJ$2:$AJ$167,TRUE)))+$CR10*(_xlfn.NORM.DIST(E$3,$CU10,0.3*$CU10,TRUE)-_xlfn.NORM.DIST(E$30,$CU10,0.3*$CU10,TRUE))+$CS10*(_xlfn.NORM.DIST(E$3,$CV10,0.3*$CV10,TRUE)-_xlfn.NORM.DIST(E$30,$CV10,0.3*$CV10,TRUE))),""),IF($C10&gt;0,summary!$C$10/28.8/0.947817,""))</f>
        <v/>
      </c>
      <c r="F39">
        <f t="array" ref="F39">IF($D10,IFERROR((SUMPRODUCT((economics!$AG$2:$AG$167=$B39)*(economics!$D$2:$D$167="whr")*economics!$AH$2:$AH$167*(_xlfn.NORM.DIST(F$3,economics!$AK$2:$AK$167,economics!$AJ$2:$AJ$167,TRUE)-_xlfn.NORM.DIST(F$30,economics!$AK$2:$AK$167,economics!$AJ$2:$AJ$167,TRUE))*economics!$AM$2:$AM$167)+$CR10*(_xlfn.NORM.DIST(F$3,$CU10,0.3*$CU10,TRUE)-_xlfn.NORM.DIST(F$30,$CU10,0.3*$CU10,TRUE))*summary!$C$7/28.8/0.947817+$CS10*(_xlfn.NORM.DIST(F$3,$CV10,0.3*$CV10,TRUE)-_xlfn.NORM.DIST(F$30,$CV10,0.3*$CV10,TRUE))*summary!$C$6/28.8/0.947817)/(SUMPRODUCT((economics!$AG$2:$AG$167=$B39)*(economics!$D$2:$D$167="whr")*economics!$AH$2:$AH$167*(_xlfn.NORM.DIST(F$3,economics!$AK$2:$AK$167,economics!$AJ$2:$AJ$167,TRUE)-_xlfn.NORM.DIST(F$30,economics!$AK$2:$AK$167,economics!$AJ$2:$AJ$167,TRUE)))+$CR10*(_xlfn.NORM.DIST(F$3,$CU10,0.3*$CU10,TRUE)-_xlfn.NORM.DIST(F$30,$CU10,0.3*$CU10,TRUE))+$CS10*(_xlfn.NORM.DIST(F$3,$CV10,0.3*$CV10,TRUE)-_xlfn.NORM.DIST(F$30,$CV10,0.3*$CV10,TRUE))),""),IF($C10&gt;0,summary!$C$10/28.8/0.947817,""))</f>
        <v/>
      </c>
      <c r="G39">
        <f t="array" ref="G39">IF($D10,IFERROR((SUMPRODUCT((economics!$AG$2:$AG$167=$B39)*(economics!$D$2:$D$167="whr")*economics!$AH$2:$AH$167*(_xlfn.NORM.DIST(G$3,economics!$AK$2:$AK$167,economics!$AJ$2:$AJ$167,TRUE)-_xlfn.NORM.DIST(G$30,economics!$AK$2:$AK$167,economics!$AJ$2:$AJ$167,TRUE))*economics!$AM$2:$AM$167)+$CR10*(_xlfn.NORM.DIST(G$3,$CU10,0.3*$CU10,TRUE)-_xlfn.NORM.DIST(G$30,$CU10,0.3*$CU10,TRUE))*summary!$C$7/28.8/0.947817+$CS10*(_xlfn.NORM.DIST(G$3,$CV10,0.3*$CV10,TRUE)-_xlfn.NORM.DIST(G$30,$CV10,0.3*$CV10,TRUE))*summary!$C$6/28.8/0.947817)/(SUMPRODUCT((economics!$AG$2:$AG$167=$B39)*(economics!$D$2:$D$167="whr")*economics!$AH$2:$AH$167*(_xlfn.NORM.DIST(G$3,economics!$AK$2:$AK$167,economics!$AJ$2:$AJ$167,TRUE)-_xlfn.NORM.DIST(G$30,economics!$AK$2:$AK$167,economics!$AJ$2:$AJ$167,TRUE)))+$CR10*(_xlfn.NORM.DIST(G$3,$CU10,0.3*$CU10,TRUE)-_xlfn.NORM.DIST(G$30,$CU10,0.3*$CU10,TRUE))+$CS10*(_xlfn.NORM.DIST(G$3,$CV10,0.3*$CV10,TRUE)-_xlfn.NORM.DIST(G$30,$CV10,0.3*$CV10,TRUE))),""),IF($C10&gt;0,summary!$C$10/28.8/0.947817,""))</f>
        <v/>
      </c>
      <c r="H39">
        <f t="array" ref="H39">IF($D10,IFERROR((SUMPRODUCT((economics!$AG$2:$AG$167=$B39)*(economics!$D$2:$D$167="whr")*economics!$AH$2:$AH$167*(_xlfn.NORM.DIST(H$3,economics!$AK$2:$AK$167,economics!$AJ$2:$AJ$167,TRUE)-_xlfn.NORM.DIST(H$30,economics!$AK$2:$AK$167,economics!$AJ$2:$AJ$167,TRUE))*economics!$AM$2:$AM$167)+$CR10*(_xlfn.NORM.DIST(H$3,$CU10,0.3*$CU10,TRUE)-_xlfn.NORM.DIST(H$30,$CU10,0.3*$CU10,TRUE))*summary!$C$7/28.8/0.947817+$CS10*(_xlfn.NORM.DIST(H$3,$CV10,0.3*$CV10,TRUE)-_xlfn.NORM.DIST(H$30,$CV10,0.3*$CV10,TRUE))*summary!$C$6/28.8/0.947817)/(SUMPRODUCT((economics!$AG$2:$AG$167=$B39)*(economics!$D$2:$D$167="whr")*economics!$AH$2:$AH$167*(_xlfn.NORM.DIST(H$3,economics!$AK$2:$AK$167,economics!$AJ$2:$AJ$167,TRUE)-_xlfn.NORM.DIST(H$30,economics!$AK$2:$AK$167,economics!$AJ$2:$AJ$167,TRUE)))+$CR10*(_xlfn.NORM.DIST(H$3,$CU10,0.3*$CU10,TRUE)-_xlfn.NORM.DIST(H$30,$CU10,0.3*$CU10,TRUE))+$CS10*(_xlfn.NORM.DIST(H$3,$CV10,0.3*$CV10,TRUE)-_xlfn.NORM.DIST(H$30,$CV10,0.3*$CV10,TRUE))),""),IF($C10&gt;0,summary!$C$10/28.8/0.947817,""))</f>
        <v/>
      </c>
      <c r="I39">
        <f t="array" ref="I39">IF($D10,IFERROR((SUMPRODUCT((economics!$AG$2:$AG$167=$B39)*(economics!$D$2:$D$167="whr")*economics!$AH$2:$AH$167*(_xlfn.NORM.DIST(I$3,economics!$AK$2:$AK$167,economics!$AJ$2:$AJ$167,TRUE)-_xlfn.NORM.DIST(I$30,economics!$AK$2:$AK$167,economics!$AJ$2:$AJ$167,TRUE))*economics!$AM$2:$AM$167)+$CR10*(_xlfn.NORM.DIST(I$3,$CU10,0.3*$CU10,TRUE)-_xlfn.NORM.DIST(I$30,$CU10,0.3*$CU10,TRUE))*summary!$C$7/28.8/0.947817+$CS10*(_xlfn.NORM.DIST(I$3,$CV10,0.3*$CV10,TRUE)-_xlfn.NORM.DIST(I$30,$CV10,0.3*$CV10,TRUE))*summary!$C$6/28.8/0.947817)/(SUMPRODUCT((economics!$AG$2:$AG$167=$B39)*(economics!$D$2:$D$167="whr")*economics!$AH$2:$AH$167*(_xlfn.NORM.DIST(I$3,economics!$AK$2:$AK$167,economics!$AJ$2:$AJ$167,TRUE)-_xlfn.NORM.DIST(I$30,economics!$AK$2:$AK$167,economics!$AJ$2:$AJ$167,TRUE)))+$CR10*(_xlfn.NORM.DIST(I$3,$CU10,0.3*$CU10,TRUE)-_xlfn.NORM.DIST(I$30,$CU10,0.3*$CU10,TRUE))+$CS10*(_xlfn.NORM.DIST(I$3,$CV10,0.3*$CV10,TRUE)-_xlfn.NORM.DIST(I$30,$CV10,0.3*$CV10,TRUE))),""),IF($C10&gt;0,summary!$C$10/28.8/0.947817,""))</f>
        <v/>
      </c>
      <c r="J39">
        <f t="array" ref="J39">IF($D10,IFERROR((SUMPRODUCT((economics!$AG$2:$AG$167=$B39)*(economics!$D$2:$D$167="whr")*economics!$AH$2:$AH$167*(_xlfn.NORM.DIST(J$3,economics!$AK$2:$AK$167,economics!$AJ$2:$AJ$167,TRUE)-_xlfn.NORM.DIST(J$30,economics!$AK$2:$AK$167,economics!$AJ$2:$AJ$167,TRUE))*economics!$AM$2:$AM$167)+$CR10*(_xlfn.NORM.DIST(J$3,$CU10,0.3*$CU10,TRUE)-_xlfn.NORM.DIST(J$30,$CU10,0.3*$CU10,TRUE))*summary!$C$7/28.8/0.947817+$CS10*(_xlfn.NORM.DIST(J$3,$CV10,0.3*$CV10,TRUE)-_xlfn.NORM.DIST(J$30,$CV10,0.3*$CV10,TRUE))*summary!$C$6/28.8/0.947817)/(SUMPRODUCT((economics!$AG$2:$AG$167=$B39)*(economics!$D$2:$D$167="whr")*economics!$AH$2:$AH$167*(_xlfn.NORM.DIST(J$3,economics!$AK$2:$AK$167,economics!$AJ$2:$AJ$167,TRUE)-_xlfn.NORM.DIST(J$30,economics!$AK$2:$AK$167,economics!$AJ$2:$AJ$167,TRUE)))+$CR10*(_xlfn.NORM.DIST(J$3,$CU10,0.3*$CU10,TRUE)-_xlfn.NORM.DIST(J$30,$CU10,0.3*$CU10,TRUE))+$CS10*(_xlfn.NORM.DIST(J$3,$CV10,0.3*$CV10,TRUE)-_xlfn.NORM.DIST(J$30,$CV10,0.3*$CV10,TRUE))),""),IF($C10&gt;0,summary!$C$10/28.8/0.947817,""))</f>
        <v/>
      </c>
      <c r="K39">
        <f t="array" ref="K39">IF($D10,IFERROR((SUMPRODUCT((economics!$AG$2:$AG$167=$B39)*(economics!$D$2:$D$167="whr")*economics!$AH$2:$AH$167*(_xlfn.NORM.DIST(K$3,economics!$AK$2:$AK$167,economics!$AJ$2:$AJ$167,TRUE)-_xlfn.NORM.DIST(K$30,economics!$AK$2:$AK$167,economics!$AJ$2:$AJ$167,TRUE))*economics!$AM$2:$AM$167)+$CR10*(_xlfn.NORM.DIST(K$3,$CU10,0.3*$CU10,TRUE)-_xlfn.NORM.DIST(K$30,$CU10,0.3*$CU10,TRUE))*summary!$C$7/28.8/0.947817+$CS10*(_xlfn.NORM.DIST(K$3,$CV10,0.3*$CV10,TRUE)-_xlfn.NORM.DIST(K$30,$CV10,0.3*$CV10,TRUE))*summary!$C$6/28.8/0.947817)/(SUMPRODUCT((economics!$AG$2:$AG$167=$B39)*(economics!$D$2:$D$167="whr")*economics!$AH$2:$AH$167*(_xlfn.NORM.DIST(K$3,economics!$AK$2:$AK$167,economics!$AJ$2:$AJ$167,TRUE)-_xlfn.NORM.DIST(K$30,economics!$AK$2:$AK$167,economics!$AJ$2:$AJ$167,TRUE)))+$CR10*(_xlfn.NORM.DIST(K$3,$CU10,0.3*$CU10,TRUE)-_xlfn.NORM.DIST(K$30,$CU10,0.3*$CU10,TRUE))+$CS10*(_xlfn.NORM.DIST(K$3,$CV10,0.3*$CV10,TRUE)-_xlfn.NORM.DIST(K$30,$CV10,0.3*$CV10,TRUE))),""),IF($C10&gt;0,summary!$C$10/28.8/0.947817,""))</f>
        <v/>
      </c>
      <c r="L39">
        <f t="array" ref="L39">IF($D10,IFERROR((SUMPRODUCT((economics!$AG$2:$AG$167=$B39)*(economics!$D$2:$D$167="whr")*economics!$AH$2:$AH$167*(_xlfn.NORM.DIST(L$3,economics!$AK$2:$AK$167,economics!$AJ$2:$AJ$167,TRUE)-_xlfn.NORM.DIST(L$30,economics!$AK$2:$AK$167,economics!$AJ$2:$AJ$167,TRUE))*economics!$AM$2:$AM$167)+$CR10*(_xlfn.NORM.DIST(L$3,$CU10,0.3*$CU10,TRUE)-_xlfn.NORM.DIST(L$30,$CU10,0.3*$CU10,TRUE))*summary!$C$7/28.8/0.947817+$CS10*(_xlfn.NORM.DIST(L$3,$CV10,0.3*$CV10,TRUE)-_xlfn.NORM.DIST(L$30,$CV10,0.3*$CV10,TRUE))*summary!$C$6/28.8/0.947817)/(SUMPRODUCT((economics!$AG$2:$AG$167=$B39)*(economics!$D$2:$D$167="whr")*economics!$AH$2:$AH$167*(_xlfn.NORM.DIST(L$3,economics!$AK$2:$AK$167,economics!$AJ$2:$AJ$167,TRUE)-_xlfn.NORM.DIST(L$30,economics!$AK$2:$AK$167,economics!$AJ$2:$AJ$167,TRUE)))+$CR10*(_xlfn.NORM.DIST(L$3,$CU10,0.3*$CU10,TRUE)-_xlfn.NORM.DIST(L$30,$CU10,0.3*$CU10,TRUE))+$CS10*(_xlfn.NORM.DIST(L$3,$CV10,0.3*$CV10,TRUE)-_xlfn.NORM.DIST(L$30,$CV10,0.3*$CV10,TRUE))),""),IF($C10&gt;0,summary!$C$10/28.8/0.947817,""))</f>
        <v/>
      </c>
      <c r="M39">
        <f t="array" ref="M39">IF($D10,IFERROR((SUMPRODUCT((economics!$AG$2:$AG$167=$B39)*(economics!$D$2:$D$167="whr")*economics!$AH$2:$AH$167*(_xlfn.NORM.DIST(M$3,economics!$AK$2:$AK$167,economics!$AJ$2:$AJ$167,TRUE)-_xlfn.NORM.DIST(M$30,economics!$AK$2:$AK$167,economics!$AJ$2:$AJ$167,TRUE))*economics!$AM$2:$AM$167)+$CR10*(_xlfn.NORM.DIST(M$3,$CU10,0.3*$CU10,TRUE)-_xlfn.NORM.DIST(M$30,$CU10,0.3*$CU10,TRUE))*summary!$C$7/28.8/0.947817+$CS10*(_xlfn.NORM.DIST(M$3,$CV10,0.3*$CV10,TRUE)-_xlfn.NORM.DIST(M$30,$CV10,0.3*$CV10,TRUE))*summary!$C$6/28.8/0.947817)/(SUMPRODUCT((economics!$AG$2:$AG$167=$B39)*(economics!$D$2:$D$167="whr")*economics!$AH$2:$AH$167*(_xlfn.NORM.DIST(M$3,economics!$AK$2:$AK$167,economics!$AJ$2:$AJ$167,TRUE)-_xlfn.NORM.DIST(M$30,economics!$AK$2:$AK$167,economics!$AJ$2:$AJ$167,TRUE)))+$CR10*(_xlfn.NORM.DIST(M$3,$CU10,0.3*$CU10,TRUE)-_xlfn.NORM.DIST(M$30,$CU10,0.3*$CU10,TRUE))+$CS10*(_xlfn.NORM.DIST(M$3,$CV10,0.3*$CV10,TRUE)-_xlfn.NORM.DIST(M$30,$CV10,0.3*$CV10,TRUE))),""),IF($C10&gt;0,summary!$C$10/28.8/0.947817,""))</f>
        <v/>
      </c>
      <c r="N39">
        <f t="array" ref="N39">IF($D10,IFERROR((SUMPRODUCT((economics!$AG$2:$AG$167=$B39)*(economics!$D$2:$D$167="whr")*economics!$AH$2:$AH$167*(_xlfn.NORM.DIST(N$3,economics!$AK$2:$AK$167,economics!$AJ$2:$AJ$167,TRUE)-_xlfn.NORM.DIST(N$30,economics!$AK$2:$AK$167,economics!$AJ$2:$AJ$167,TRUE))*economics!$AM$2:$AM$167)+$CR10*(_xlfn.NORM.DIST(N$3,$CU10,0.3*$CU10,TRUE)-_xlfn.NORM.DIST(N$30,$CU10,0.3*$CU10,TRUE))*summary!$C$7/28.8/0.947817+$CS10*(_xlfn.NORM.DIST(N$3,$CV10,0.3*$CV10,TRUE)-_xlfn.NORM.DIST(N$30,$CV10,0.3*$CV10,TRUE))*summary!$C$6/28.8/0.947817)/(SUMPRODUCT((economics!$AG$2:$AG$167=$B39)*(economics!$D$2:$D$167="whr")*economics!$AH$2:$AH$167*(_xlfn.NORM.DIST(N$3,economics!$AK$2:$AK$167,economics!$AJ$2:$AJ$167,TRUE)-_xlfn.NORM.DIST(N$30,economics!$AK$2:$AK$167,economics!$AJ$2:$AJ$167,TRUE)))+$CR10*(_xlfn.NORM.DIST(N$3,$CU10,0.3*$CU10,TRUE)-_xlfn.NORM.DIST(N$30,$CU10,0.3*$CU10,TRUE))+$CS10*(_xlfn.NORM.DIST(N$3,$CV10,0.3*$CV10,TRUE)-_xlfn.NORM.DIST(N$30,$CV10,0.3*$CV10,TRUE))),""),IF($C10&gt;0,summary!$C$10/28.8/0.947817,""))</f>
        <v/>
      </c>
      <c r="O39">
        <f t="array" ref="O39">IF($D10,IFERROR((SUMPRODUCT((economics!$AG$2:$AG$167=$B39)*(economics!$D$2:$D$167="whr")*economics!$AH$2:$AH$167*(_xlfn.NORM.DIST(O$3,economics!$AK$2:$AK$167,economics!$AJ$2:$AJ$167,TRUE)-_xlfn.NORM.DIST(O$30,economics!$AK$2:$AK$167,economics!$AJ$2:$AJ$167,TRUE))*economics!$AM$2:$AM$167)+$CR10*(_xlfn.NORM.DIST(O$3,$CU10,0.3*$CU10,TRUE)-_xlfn.NORM.DIST(O$30,$CU10,0.3*$CU10,TRUE))*summary!$C$7/28.8/0.947817+$CS10*(_xlfn.NORM.DIST(O$3,$CV10,0.3*$CV10,TRUE)-_xlfn.NORM.DIST(O$30,$CV10,0.3*$CV10,TRUE))*summary!$C$6/28.8/0.947817)/(SUMPRODUCT((economics!$AG$2:$AG$167=$B39)*(economics!$D$2:$D$167="whr")*economics!$AH$2:$AH$167*(_xlfn.NORM.DIST(O$3,economics!$AK$2:$AK$167,economics!$AJ$2:$AJ$167,TRUE)-_xlfn.NORM.DIST(O$30,economics!$AK$2:$AK$167,economics!$AJ$2:$AJ$167,TRUE)))+$CR10*(_xlfn.NORM.DIST(O$3,$CU10,0.3*$CU10,TRUE)-_xlfn.NORM.DIST(O$30,$CU10,0.3*$CU10,TRUE))+$CS10*(_xlfn.NORM.DIST(O$3,$CV10,0.3*$CV10,TRUE)-_xlfn.NORM.DIST(O$30,$CV10,0.3*$CV10,TRUE))),""),IF($C10&gt;0,summary!$C$10/28.8/0.947817,""))</f>
        <v/>
      </c>
      <c r="P39">
        <f t="array" ref="P39">IF($D10,IFERROR((SUMPRODUCT((economics!$AG$2:$AG$167=$B39)*(economics!$D$2:$D$167="whr")*economics!$AH$2:$AH$167*(_xlfn.NORM.DIST(P$3,economics!$AK$2:$AK$167,economics!$AJ$2:$AJ$167,TRUE)-_xlfn.NORM.DIST(P$30,economics!$AK$2:$AK$167,economics!$AJ$2:$AJ$167,TRUE))*economics!$AM$2:$AM$167)+$CR10*(_xlfn.NORM.DIST(P$3,$CU10,0.3*$CU10,TRUE)-_xlfn.NORM.DIST(P$30,$CU10,0.3*$CU10,TRUE))*summary!$C$7/28.8/0.947817+$CS10*(_xlfn.NORM.DIST(P$3,$CV10,0.3*$CV10,TRUE)-_xlfn.NORM.DIST(P$30,$CV10,0.3*$CV10,TRUE))*summary!$C$6/28.8/0.947817)/(SUMPRODUCT((economics!$AG$2:$AG$167=$B39)*(economics!$D$2:$D$167="whr")*economics!$AH$2:$AH$167*(_xlfn.NORM.DIST(P$3,economics!$AK$2:$AK$167,economics!$AJ$2:$AJ$167,TRUE)-_xlfn.NORM.DIST(P$30,economics!$AK$2:$AK$167,economics!$AJ$2:$AJ$167,TRUE)))+$CR10*(_xlfn.NORM.DIST(P$3,$CU10,0.3*$CU10,TRUE)-_xlfn.NORM.DIST(P$30,$CU10,0.3*$CU10,TRUE))+$CS10*(_xlfn.NORM.DIST(P$3,$CV10,0.3*$CV10,TRUE)-_xlfn.NORM.DIST(P$30,$CV10,0.3*$CV10,TRUE))),""),IF($C10&gt;0,summary!$C$10/28.8/0.947817,""))</f>
        <v/>
      </c>
      <c r="Q39">
        <f t="array" ref="Q39">IF($D10,IFERROR((SUMPRODUCT((economics!$AG$2:$AG$167=$B39)*(economics!$D$2:$D$167="whr")*economics!$AH$2:$AH$167*(_xlfn.NORM.DIST(Q$3,economics!$AK$2:$AK$167,economics!$AJ$2:$AJ$167,TRUE)-_xlfn.NORM.DIST(Q$30,economics!$AK$2:$AK$167,economics!$AJ$2:$AJ$167,TRUE))*economics!$AM$2:$AM$167)+$CR10*(_xlfn.NORM.DIST(Q$3,$CU10,0.3*$CU10,TRUE)-_xlfn.NORM.DIST(Q$30,$CU10,0.3*$CU10,TRUE))*summary!$C$7/28.8/0.947817+$CS10*(_xlfn.NORM.DIST(Q$3,$CV10,0.3*$CV10,TRUE)-_xlfn.NORM.DIST(Q$30,$CV10,0.3*$CV10,TRUE))*summary!$C$6/28.8/0.947817)/(SUMPRODUCT((economics!$AG$2:$AG$167=$B39)*(economics!$D$2:$D$167="whr")*economics!$AH$2:$AH$167*(_xlfn.NORM.DIST(Q$3,economics!$AK$2:$AK$167,economics!$AJ$2:$AJ$167,TRUE)-_xlfn.NORM.DIST(Q$30,economics!$AK$2:$AK$167,economics!$AJ$2:$AJ$167,TRUE)))+$CR10*(_xlfn.NORM.DIST(Q$3,$CU10,0.3*$CU10,TRUE)-_xlfn.NORM.DIST(Q$30,$CU10,0.3*$CU10,TRUE))+$CS10*(_xlfn.NORM.DIST(Q$3,$CV10,0.3*$CV10,TRUE)-_xlfn.NORM.DIST(Q$30,$CV10,0.3*$CV10,TRUE))),""),IF($C10&gt;0,summary!$C$10/28.8/0.947817,""))</f>
        <v/>
      </c>
      <c r="R39">
        <f t="array" ref="R39">IF($D10,IFERROR((SUMPRODUCT((economics!$AG$2:$AG$167=$B39)*(economics!$D$2:$D$167="whr")*economics!$AH$2:$AH$167*(_xlfn.NORM.DIST(R$3,economics!$AK$2:$AK$167,economics!$AJ$2:$AJ$167,TRUE)-_xlfn.NORM.DIST(R$30,economics!$AK$2:$AK$167,economics!$AJ$2:$AJ$167,TRUE))*economics!$AM$2:$AM$167)+$CR10*(_xlfn.NORM.DIST(R$3,$CU10,0.3*$CU10,TRUE)-_xlfn.NORM.DIST(R$30,$CU10,0.3*$CU10,TRUE))*summary!$C$7/28.8/0.947817+$CS10*(_xlfn.NORM.DIST(R$3,$CV10,0.3*$CV10,TRUE)-_xlfn.NORM.DIST(R$30,$CV10,0.3*$CV10,TRUE))*summary!$C$6/28.8/0.947817)/(SUMPRODUCT((economics!$AG$2:$AG$167=$B39)*(economics!$D$2:$D$167="whr")*economics!$AH$2:$AH$167*(_xlfn.NORM.DIST(R$3,economics!$AK$2:$AK$167,economics!$AJ$2:$AJ$167,TRUE)-_xlfn.NORM.DIST(R$30,economics!$AK$2:$AK$167,economics!$AJ$2:$AJ$167,TRUE)))+$CR10*(_xlfn.NORM.DIST(R$3,$CU10,0.3*$CU10,TRUE)-_xlfn.NORM.DIST(R$30,$CU10,0.3*$CU10,TRUE))+$CS10*(_xlfn.NORM.DIST(R$3,$CV10,0.3*$CV10,TRUE)-_xlfn.NORM.DIST(R$30,$CV10,0.3*$CV10,TRUE))),""),IF($C10&gt;0,summary!$C$10/28.8/0.947817,""))</f>
        <v/>
      </c>
      <c r="S39">
        <f t="array" ref="S39">IF($D10,IFERROR((SUMPRODUCT((economics!$AG$2:$AG$167=$B39)*(economics!$D$2:$D$167="whr")*economics!$AH$2:$AH$167*(_xlfn.NORM.DIST(S$3,economics!$AK$2:$AK$167,economics!$AJ$2:$AJ$167,TRUE)-_xlfn.NORM.DIST(S$30,economics!$AK$2:$AK$167,economics!$AJ$2:$AJ$167,TRUE))*economics!$AM$2:$AM$167)+$CR10*(_xlfn.NORM.DIST(S$3,$CU10,0.3*$CU10,TRUE)-_xlfn.NORM.DIST(S$30,$CU10,0.3*$CU10,TRUE))*summary!$C$7/28.8/0.947817+$CS10*(_xlfn.NORM.DIST(S$3,$CV10,0.3*$CV10,TRUE)-_xlfn.NORM.DIST(S$30,$CV10,0.3*$CV10,TRUE))*summary!$C$6/28.8/0.947817)/(SUMPRODUCT((economics!$AG$2:$AG$167=$B39)*(economics!$D$2:$D$167="whr")*economics!$AH$2:$AH$167*(_xlfn.NORM.DIST(S$3,economics!$AK$2:$AK$167,economics!$AJ$2:$AJ$167,TRUE)-_xlfn.NORM.DIST(S$30,economics!$AK$2:$AK$167,economics!$AJ$2:$AJ$167,TRUE)))+$CR10*(_xlfn.NORM.DIST(S$3,$CU10,0.3*$CU10,TRUE)-_xlfn.NORM.DIST(S$30,$CU10,0.3*$CU10,TRUE))+$CS10*(_xlfn.NORM.DIST(S$3,$CV10,0.3*$CV10,TRUE)-_xlfn.NORM.DIST(S$30,$CV10,0.3*$CV10,TRUE))),""),IF($C10&gt;0,summary!$C$10/28.8/0.947817,""))</f>
        <v/>
      </c>
      <c r="T39">
        <f t="array" ref="T39">IF($D10,IFERROR((SUMPRODUCT((economics!$AG$2:$AG$167=$B39)*(economics!$D$2:$D$167="whr")*economics!$AH$2:$AH$167*(_xlfn.NORM.DIST(T$3,economics!$AK$2:$AK$167,economics!$AJ$2:$AJ$167,TRUE)-_xlfn.NORM.DIST(T$30,economics!$AK$2:$AK$167,economics!$AJ$2:$AJ$167,TRUE))*economics!$AM$2:$AM$167)+$CR10*(_xlfn.NORM.DIST(T$3,$CU10,0.3*$CU10,TRUE)-_xlfn.NORM.DIST(T$30,$CU10,0.3*$CU10,TRUE))*summary!$C$7/28.8/0.947817+$CS10*(_xlfn.NORM.DIST(T$3,$CV10,0.3*$CV10,TRUE)-_xlfn.NORM.DIST(T$30,$CV10,0.3*$CV10,TRUE))*summary!$C$6/28.8/0.947817)/(SUMPRODUCT((economics!$AG$2:$AG$167=$B39)*(economics!$D$2:$D$167="whr")*economics!$AH$2:$AH$167*(_xlfn.NORM.DIST(T$3,economics!$AK$2:$AK$167,economics!$AJ$2:$AJ$167,TRUE)-_xlfn.NORM.DIST(T$30,economics!$AK$2:$AK$167,economics!$AJ$2:$AJ$167,TRUE)))+$CR10*(_xlfn.NORM.DIST(T$3,$CU10,0.3*$CU10,TRUE)-_xlfn.NORM.DIST(T$30,$CU10,0.3*$CU10,TRUE))+$CS10*(_xlfn.NORM.DIST(T$3,$CV10,0.3*$CV10,TRUE)-_xlfn.NORM.DIST(T$30,$CV10,0.3*$CV10,TRUE))),""),IF($C10&gt;0,summary!$C$10/28.8/0.947817,""))</f>
        <v/>
      </c>
      <c r="U39">
        <f t="array" ref="U39">IF($D10,IFERROR((SUMPRODUCT((economics!$AG$2:$AG$167=$B39)*(economics!$D$2:$D$167="whr")*economics!$AH$2:$AH$167*(_xlfn.NORM.DIST(U$3,economics!$AK$2:$AK$167,economics!$AJ$2:$AJ$167,TRUE)-_xlfn.NORM.DIST(U$30,economics!$AK$2:$AK$167,economics!$AJ$2:$AJ$167,TRUE))*economics!$AM$2:$AM$167)+$CR10*(_xlfn.NORM.DIST(U$3,$CU10,0.3*$CU10,TRUE)-_xlfn.NORM.DIST(U$30,$CU10,0.3*$CU10,TRUE))*summary!$C$7/28.8/0.947817+$CS10*(_xlfn.NORM.DIST(U$3,$CV10,0.3*$CV10,TRUE)-_xlfn.NORM.DIST(U$30,$CV10,0.3*$CV10,TRUE))*summary!$C$6/28.8/0.947817)/(SUMPRODUCT((economics!$AG$2:$AG$167=$B39)*(economics!$D$2:$D$167="whr")*economics!$AH$2:$AH$167*(_xlfn.NORM.DIST(U$3,economics!$AK$2:$AK$167,economics!$AJ$2:$AJ$167,TRUE)-_xlfn.NORM.DIST(U$30,economics!$AK$2:$AK$167,economics!$AJ$2:$AJ$167,TRUE)))+$CR10*(_xlfn.NORM.DIST(U$3,$CU10,0.3*$CU10,TRUE)-_xlfn.NORM.DIST(U$30,$CU10,0.3*$CU10,TRUE))+$CS10*(_xlfn.NORM.DIST(U$3,$CV10,0.3*$CV10,TRUE)-_xlfn.NORM.DIST(U$30,$CV10,0.3*$CV10,TRUE))),""),IF($C10&gt;0,summary!$C$10/28.8/0.947817,""))</f>
        <v/>
      </c>
      <c r="V39">
        <f t="array" ref="V39">IF($D10,IFERROR((SUMPRODUCT((economics!$AG$2:$AG$167=$B39)*(economics!$D$2:$D$167="whr")*economics!$AH$2:$AH$167*(_xlfn.NORM.DIST(V$3,economics!$AK$2:$AK$167,economics!$AJ$2:$AJ$167,TRUE)-_xlfn.NORM.DIST(V$30,economics!$AK$2:$AK$167,economics!$AJ$2:$AJ$167,TRUE))*economics!$AM$2:$AM$167)+$CR10*(_xlfn.NORM.DIST(V$3,$CU10,0.3*$CU10,TRUE)-_xlfn.NORM.DIST(V$30,$CU10,0.3*$CU10,TRUE))*summary!$C$7/28.8/0.947817+$CS10*(_xlfn.NORM.DIST(V$3,$CV10,0.3*$CV10,TRUE)-_xlfn.NORM.DIST(V$30,$CV10,0.3*$CV10,TRUE))*summary!$C$6/28.8/0.947817)/(SUMPRODUCT((economics!$AG$2:$AG$167=$B39)*(economics!$D$2:$D$167="whr")*economics!$AH$2:$AH$167*(_xlfn.NORM.DIST(V$3,economics!$AK$2:$AK$167,economics!$AJ$2:$AJ$167,TRUE)-_xlfn.NORM.DIST(V$30,economics!$AK$2:$AK$167,economics!$AJ$2:$AJ$167,TRUE)))+$CR10*(_xlfn.NORM.DIST(V$3,$CU10,0.3*$CU10,TRUE)-_xlfn.NORM.DIST(V$30,$CU10,0.3*$CU10,TRUE))+$CS10*(_xlfn.NORM.DIST(V$3,$CV10,0.3*$CV10,TRUE)-_xlfn.NORM.DIST(V$30,$CV10,0.3*$CV10,TRUE))),""),IF($C10&gt;0,summary!$C$10/28.8/0.947817,""))</f>
        <v/>
      </c>
      <c r="W39">
        <f t="array" ref="W39">IF($D10,IFERROR((SUMPRODUCT((economics!$AG$2:$AG$167=$B39)*(economics!$D$2:$D$167="whr")*economics!$AH$2:$AH$167*(_xlfn.NORM.DIST(W$3,economics!$AK$2:$AK$167,economics!$AJ$2:$AJ$167,TRUE)-_xlfn.NORM.DIST(W$30,economics!$AK$2:$AK$167,economics!$AJ$2:$AJ$167,TRUE))*economics!$AM$2:$AM$167)+$CR10*(_xlfn.NORM.DIST(W$3,$CU10,0.3*$CU10,TRUE)-_xlfn.NORM.DIST(W$30,$CU10,0.3*$CU10,TRUE))*summary!$C$7/28.8/0.947817+$CS10*(_xlfn.NORM.DIST(W$3,$CV10,0.3*$CV10,TRUE)-_xlfn.NORM.DIST(W$30,$CV10,0.3*$CV10,TRUE))*summary!$C$6/28.8/0.947817)/(SUMPRODUCT((economics!$AG$2:$AG$167=$B39)*(economics!$D$2:$D$167="whr")*economics!$AH$2:$AH$167*(_xlfn.NORM.DIST(W$3,economics!$AK$2:$AK$167,economics!$AJ$2:$AJ$167,TRUE)-_xlfn.NORM.DIST(W$30,economics!$AK$2:$AK$167,economics!$AJ$2:$AJ$167,TRUE)))+$CR10*(_xlfn.NORM.DIST(W$3,$CU10,0.3*$CU10,TRUE)-_xlfn.NORM.DIST(W$30,$CU10,0.3*$CU10,TRUE))+$CS10*(_xlfn.NORM.DIST(W$3,$CV10,0.3*$CV10,TRUE)-_xlfn.NORM.DIST(W$30,$CV10,0.3*$CV10,TRUE))),""),IF($C10&gt;0,summary!$C$10/28.8/0.947817,""))</f>
        <v/>
      </c>
      <c r="X39">
        <f t="array" ref="X39">IF($D10,IFERROR((SUMPRODUCT((economics!$AG$2:$AG$167=$B39)*(economics!$D$2:$D$167="whr")*economics!$AH$2:$AH$167*(_xlfn.NORM.DIST(X$3,economics!$AK$2:$AK$167,economics!$AJ$2:$AJ$167,TRUE)-_xlfn.NORM.DIST(X$30,economics!$AK$2:$AK$167,economics!$AJ$2:$AJ$167,TRUE))*economics!$AM$2:$AM$167)+$CR10*(_xlfn.NORM.DIST(X$3,$CU10,0.3*$CU10,TRUE)-_xlfn.NORM.DIST(X$30,$CU10,0.3*$CU10,TRUE))*summary!$C$7/28.8/0.947817+$CS10*(_xlfn.NORM.DIST(X$3,$CV10,0.3*$CV10,TRUE)-_xlfn.NORM.DIST(X$30,$CV10,0.3*$CV10,TRUE))*summary!$C$6/28.8/0.947817)/(SUMPRODUCT((economics!$AG$2:$AG$167=$B39)*(economics!$D$2:$D$167="whr")*economics!$AH$2:$AH$167*(_xlfn.NORM.DIST(X$3,economics!$AK$2:$AK$167,economics!$AJ$2:$AJ$167,TRUE)-_xlfn.NORM.DIST(X$30,economics!$AK$2:$AK$167,economics!$AJ$2:$AJ$167,TRUE)))+$CR10*(_xlfn.NORM.DIST(X$3,$CU10,0.3*$CU10,TRUE)-_xlfn.NORM.DIST(X$30,$CU10,0.3*$CU10,TRUE))+$CS10*(_xlfn.NORM.DIST(X$3,$CV10,0.3*$CV10,TRUE)-_xlfn.NORM.DIST(X$30,$CV10,0.3*$CV10,TRUE))),""),IF($C10&gt;0,summary!$C$10/28.8/0.947817,""))</f>
        <v/>
      </c>
      <c r="Y39">
        <f t="array" ref="Y39">IF($D10,IFERROR((SUMPRODUCT((economics!$AG$2:$AG$167=$B39)*(economics!$D$2:$D$167="whr")*economics!$AH$2:$AH$167*(_xlfn.NORM.DIST(Y$3,economics!$AK$2:$AK$167,economics!$AJ$2:$AJ$167,TRUE)-_xlfn.NORM.DIST(Y$30,economics!$AK$2:$AK$167,economics!$AJ$2:$AJ$167,TRUE))*economics!$AM$2:$AM$167)+$CR10*(_xlfn.NORM.DIST(Y$3,$CU10,0.3*$CU10,TRUE)-_xlfn.NORM.DIST(Y$30,$CU10,0.3*$CU10,TRUE))*summary!$C$7/28.8/0.947817+$CS10*(_xlfn.NORM.DIST(Y$3,$CV10,0.3*$CV10,TRUE)-_xlfn.NORM.DIST(Y$30,$CV10,0.3*$CV10,TRUE))*summary!$C$6/28.8/0.947817)/(SUMPRODUCT((economics!$AG$2:$AG$167=$B39)*(economics!$D$2:$D$167="whr")*economics!$AH$2:$AH$167*(_xlfn.NORM.DIST(Y$3,economics!$AK$2:$AK$167,economics!$AJ$2:$AJ$167,TRUE)-_xlfn.NORM.DIST(Y$30,economics!$AK$2:$AK$167,economics!$AJ$2:$AJ$167,TRUE)))+$CR10*(_xlfn.NORM.DIST(Y$3,$CU10,0.3*$CU10,TRUE)-_xlfn.NORM.DIST(Y$30,$CU10,0.3*$CU10,TRUE))+$CS10*(_xlfn.NORM.DIST(Y$3,$CV10,0.3*$CV10,TRUE)-_xlfn.NORM.DIST(Y$30,$CV10,0.3*$CV10,TRUE))),""),IF($C10&gt;0,summary!$C$10/28.8/0.947817,""))</f>
        <v/>
      </c>
      <c r="Z39">
        <f t="array" ref="Z39">IF($D10,IFERROR((SUMPRODUCT((economics!$AG$2:$AG$167=$B39)*(economics!$D$2:$D$167="whr")*economics!$AH$2:$AH$167*(_xlfn.NORM.DIST(Z$3,economics!$AK$2:$AK$167,economics!$AJ$2:$AJ$167,TRUE)-_xlfn.NORM.DIST(Z$30,economics!$AK$2:$AK$167,economics!$AJ$2:$AJ$167,TRUE))*economics!$AM$2:$AM$167)+$CR10*(_xlfn.NORM.DIST(Z$3,$CU10,0.3*$CU10,TRUE)-_xlfn.NORM.DIST(Z$30,$CU10,0.3*$CU10,TRUE))*summary!$C$7/28.8/0.947817+$CS10*(_xlfn.NORM.DIST(Z$3,$CV10,0.3*$CV10,TRUE)-_xlfn.NORM.DIST(Z$30,$CV10,0.3*$CV10,TRUE))*summary!$C$6/28.8/0.947817)/(SUMPRODUCT((economics!$AG$2:$AG$167=$B39)*(economics!$D$2:$D$167="whr")*economics!$AH$2:$AH$167*(_xlfn.NORM.DIST(Z$3,economics!$AK$2:$AK$167,economics!$AJ$2:$AJ$167,TRUE)-_xlfn.NORM.DIST(Z$30,economics!$AK$2:$AK$167,economics!$AJ$2:$AJ$167,TRUE)))+$CR10*(_xlfn.NORM.DIST(Z$3,$CU10,0.3*$CU10,TRUE)-_xlfn.NORM.DIST(Z$30,$CU10,0.3*$CU10,TRUE))+$CS10*(_xlfn.NORM.DIST(Z$3,$CV10,0.3*$CV10,TRUE)-_xlfn.NORM.DIST(Z$30,$CV10,0.3*$CV10,TRUE))),""),IF($C10&gt;0,summary!$C$10/28.8/0.947817,""))</f>
        <v/>
      </c>
      <c r="AA39">
        <f t="array" ref="AA39">IF($D10,IFERROR((SUMPRODUCT((economics!$AG$2:$AG$167=$B39)*(economics!$D$2:$D$167="whr")*economics!$AH$2:$AH$167*(_xlfn.NORM.DIST(AA$3,economics!$AK$2:$AK$167,economics!$AJ$2:$AJ$167,TRUE)-_xlfn.NORM.DIST(AA$30,economics!$AK$2:$AK$167,economics!$AJ$2:$AJ$167,TRUE))*economics!$AM$2:$AM$167)+$CR10*(_xlfn.NORM.DIST(AA$3,$CU10,0.3*$CU10,TRUE)-_xlfn.NORM.DIST(AA$30,$CU10,0.3*$CU10,TRUE))*summary!$C$7/28.8/0.947817+$CS10*(_xlfn.NORM.DIST(AA$3,$CV10,0.3*$CV10,TRUE)-_xlfn.NORM.DIST(AA$30,$CV10,0.3*$CV10,TRUE))*summary!$C$6/28.8/0.947817)/(SUMPRODUCT((economics!$AG$2:$AG$167=$B39)*(economics!$D$2:$D$167="whr")*economics!$AH$2:$AH$167*(_xlfn.NORM.DIST(AA$3,economics!$AK$2:$AK$167,economics!$AJ$2:$AJ$167,TRUE)-_xlfn.NORM.DIST(AA$30,economics!$AK$2:$AK$167,economics!$AJ$2:$AJ$167,TRUE)))+$CR10*(_xlfn.NORM.DIST(AA$3,$CU10,0.3*$CU10,TRUE)-_xlfn.NORM.DIST(AA$30,$CU10,0.3*$CU10,TRUE))+$CS10*(_xlfn.NORM.DIST(AA$3,$CV10,0.3*$CV10,TRUE)-_xlfn.NORM.DIST(AA$30,$CV10,0.3*$CV10,TRUE))),""),IF($C10&gt;0,summary!$C$10/28.8/0.947817,""))</f>
        <v/>
      </c>
      <c r="AB39">
        <f t="array" ref="AB39">IF($D10,IFERROR((SUMPRODUCT((economics!$AG$2:$AG$167=$B39)*(economics!$D$2:$D$167="whr")*economics!$AH$2:$AH$167*(_xlfn.NORM.DIST(AB$3,economics!$AK$2:$AK$167,economics!$AJ$2:$AJ$167,TRUE)-_xlfn.NORM.DIST(AB$30,economics!$AK$2:$AK$167,economics!$AJ$2:$AJ$167,TRUE))*economics!$AM$2:$AM$167)+$CR10*(_xlfn.NORM.DIST(AB$3,$CU10,0.3*$CU10,TRUE)-_xlfn.NORM.DIST(AB$30,$CU10,0.3*$CU10,TRUE))*summary!$C$7/28.8/0.947817+$CS10*(_xlfn.NORM.DIST(AB$3,$CV10,0.3*$CV10,TRUE)-_xlfn.NORM.DIST(AB$30,$CV10,0.3*$CV10,TRUE))*summary!$C$6/28.8/0.947817)/(SUMPRODUCT((economics!$AG$2:$AG$167=$B39)*(economics!$D$2:$D$167="whr")*economics!$AH$2:$AH$167*(_xlfn.NORM.DIST(AB$3,economics!$AK$2:$AK$167,economics!$AJ$2:$AJ$167,TRUE)-_xlfn.NORM.DIST(AB$30,economics!$AK$2:$AK$167,economics!$AJ$2:$AJ$167,TRUE)))+$CR10*(_xlfn.NORM.DIST(AB$3,$CU10,0.3*$CU10,TRUE)-_xlfn.NORM.DIST(AB$30,$CU10,0.3*$CU10,TRUE))+$CS10*(_xlfn.NORM.DIST(AB$3,$CV10,0.3*$CV10,TRUE)-_xlfn.NORM.DIST(AB$30,$CV10,0.3*$CV10,TRUE))),""),IF($C10&gt;0,summary!$C$10/28.8/0.947817,""))</f>
        <v/>
      </c>
      <c r="AC39">
        <f t="array" ref="AC39">IF($D10,IFERROR((SUMPRODUCT((economics!$AG$2:$AG$167=$B39)*(economics!$D$2:$D$167="whr")*economics!$AH$2:$AH$167*(_xlfn.NORM.DIST(AC$3,economics!$AK$2:$AK$167,economics!$AJ$2:$AJ$167,TRUE)-_xlfn.NORM.DIST(AC$30,economics!$AK$2:$AK$167,economics!$AJ$2:$AJ$167,TRUE))*economics!$AM$2:$AM$167)+$CR10*(_xlfn.NORM.DIST(AC$3,$CU10,0.3*$CU10,TRUE)-_xlfn.NORM.DIST(AC$30,$CU10,0.3*$CU10,TRUE))*summary!$C$7/28.8/0.947817+$CS10*(_xlfn.NORM.DIST(AC$3,$CV10,0.3*$CV10,TRUE)-_xlfn.NORM.DIST(AC$30,$CV10,0.3*$CV10,TRUE))*summary!$C$6/28.8/0.947817)/(SUMPRODUCT((economics!$AG$2:$AG$167=$B39)*(economics!$D$2:$D$167="whr")*economics!$AH$2:$AH$167*(_xlfn.NORM.DIST(AC$3,economics!$AK$2:$AK$167,economics!$AJ$2:$AJ$167,TRUE)-_xlfn.NORM.DIST(AC$30,economics!$AK$2:$AK$167,economics!$AJ$2:$AJ$167,TRUE)))+$CR10*(_xlfn.NORM.DIST(AC$3,$CU10,0.3*$CU10,TRUE)-_xlfn.NORM.DIST(AC$30,$CU10,0.3*$CU10,TRUE))+$CS10*(_xlfn.NORM.DIST(AC$3,$CV10,0.3*$CV10,TRUE)-_xlfn.NORM.DIST(AC$30,$CV10,0.3*$CV10,TRUE))),""),IF($C10&gt;0,summary!$C$10/28.8/0.947817,""))</f>
        <v/>
      </c>
      <c r="AD39">
        <f t="array" ref="AD39">IF($D10,IFERROR((SUMPRODUCT((economics!$AG$2:$AG$167=$B39)*(economics!$D$2:$D$167="whr")*economics!$AH$2:$AH$167*(_xlfn.NORM.DIST(AD$3,economics!$AK$2:$AK$167,economics!$AJ$2:$AJ$167,TRUE)-_xlfn.NORM.DIST(AD$30,economics!$AK$2:$AK$167,economics!$AJ$2:$AJ$167,TRUE))*economics!$AM$2:$AM$167)+$CR10*(_xlfn.NORM.DIST(AD$3,$CU10,0.3*$CU10,TRUE)-_xlfn.NORM.DIST(AD$30,$CU10,0.3*$CU10,TRUE))*summary!$C$7/28.8/0.947817+$CS10*(_xlfn.NORM.DIST(AD$3,$CV10,0.3*$CV10,TRUE)-_xlfn.NORM.DIST(AD$30,$CV10,0.3*$CV10,TRUE))*summary!$C$6/28.8/0.947817)/(SUMPRODUCT((economics!$AG$2:$AG$167=$B39)*(economics!$D$2:$D$167="whr")*economics!$AH$2:$AH$167*(_xlfn.NORM.DIST(AD$3,economics!$AK$2:$AK$167,economics!$AJ$2:$AJ$167,TRUE)-_xlfn.NORM.DIST(AD$30,economics!$AK$2:$AK$167,economics!$AJ$2:$AJ$167,TRUE)))+$CR10*(_xlfn.NORM.DIST(AD$3,$CU10,0.3*$CU10,TRUE)-_xlfn.NORM.DIST(AD$30,$CU10,0.3*$CU10,TRUE))+$CS10*(_xlfn.NORM.DIST(AD$3,$CV10,0.3*$CV10,TRUE)-_xlfn.NORM.DIST(AD$30,$CV10,0.3*$CV10,TRUE))),""),IF($C10&gt;0,summary!$C$10/28.8/0.947817,""))</f>
        <v/>
      </c>
      <c r="AE39">
        <f t="array" ref="AE39">IF($D10,IFERROR((SUMPRODUCT((economics!$AG$2:$AG$167=$B39)*(economics!$D$2:$D$167="whr")*economics!$AH$2:$AH$167*(_xlfn.NORM.DIST(AE$3,economics!$AK$2:$AK$167,economics!$AJ$2:$AJ$167,TRUE)-_xlfn.NORM.DIST(AE$30,economics!$AK$2:$AK$167,economics!$AJ$2:$AJ$167,TRUE))*economics!$AM$2:$AM$167)+$CR10*(_xlfn.NORM.DIST(AE$3,$CU10,0.3*$CU10,TRUE)-_xlfn.NORM.DIST(AE$30,$CU10,0.3*$CU10,TRUE))*summary!$C$7/28.8/0.947817+$CS10*(_xlfn.NORM.DIST(AE$3,$CV10,0.3*$CV10,TRUE)-_xlfn.NORM.DIST(AE$30,$CV10,0.3*$CV10,TRUE))*summary!$C$6/28.8/0.947817)/(SUMPRODUCT((economics!$AG$2:$AG$167=$B39)*(economics!$D$2:$D$167="whr")*economics!$AH$2:$AH$167*(_xlfn.NORM.DIST(AE$3,economics!$AK$2:$AK$167,economics!$AJ$2:$AJ$167,TRUE)-_xlfn.NORM.DIST(AE$30,economics!$AK$2:$AK$167,economics!$AJ$2:$AJ$167,TRUE)))+$CR10*(_xlfn.NORM.DIST(AE$3,$CU10,0.3*$CU10,TRUE)-_xlfn.NORM.DIST(AE$30,$CU10,0.3*$CU10,TRUE))+$CS10*(_xlfn.NORM.DIST(AE$3,$CV10,0.3*$CV10,TRUE)-_xlfn.NORM.DIST(AE$30,$CV10,0.3*$CV10,TRUE))),""),IF($C10&gt;0,summary!$C$10/28.8/0.947817,""))</f>
        <v/>
      </c>
      <c r="AF39">
        <f t="array" ref="AF39">IF($D10,IFERROR((SUMPRODUCT((economics!$AG$2:$AG$167=$B39)*(economics!$D$2:$D$167="whr")*economics!$AH$2:$AH$167*(_xlfn.NORM.DIST(AF$3,economics!$AK$2:$AK$167,economics!$AJ$2:$AJ$167,TRUE)-_xlfn.NORM.DIST(AF$30,economics!$AK$2:$AK$167,economics!$AJ$2:$AJ$167,TRUE))*economics!$AM$2:$AM$167)+$CR10*(_xlfn.NORM.DIST(AF$3,$CU10,0.3*$CU10,TRUE)-_xlfn.NORM.DIST(AF$30,$CU10,0.3*$CU10,TRUE))*summary!$C$7/28.8/0.947817+$CS10*(_xlfn.NORM.DIST(AF$3,$CV10,0.3*$CV10,TRUE)-_xlfn.NORM.DIST(AF$30,$CV10,0.3*$CV10,TRUE))*summary!$C$6/28.8/0.947817)/(SUMPRODUCT((economics!$AG$2:$AG$167=$B39)*(economics!$D$2:$D$167="whr")*economics!$AH$2:$AH$167*(_xlfn.NORM.DIST(AF$3,economics!$AK$2:$AK$167,economics!$AJ$2:$AJ$167,TRUE)-_xlfn.NORM.DIST(AF$30,economics!$AK$2:$AK$167,economics!$AJ$2:$AJ$167,TRUE)))+$CR10*(_xlfn.NORM.DIST(AF$3,$CU10,0.3*$CU10,TRUE)-_xlfn.NORM.DIST(AF$30,$CU10,0.3*$CU10,TRUE))+$CS10*(_xlfn.NORM.DIST(AF$3,$CV10,0.3*$CV10,TRUE)-_xlfn.NORM.DIST(AF$30,$CV10,0.3*$CV10,TRUE))),""),IF($C10&gt;0,summary!$C$10/28.8/0.947817,""))</f>
        <v/>
      </c>
      <c r="AG39">
        <f t="array" ref="AG39">IF($D10,IFERROR((SUMPRODUCT((economics!$AG$2:$AG$167=$B39)*(economics!$D$2:$D$167="whr")*economics!$AH$2:$AH$167*(_xlfn.NORM.DIST(AG$3,economics!$AK$2:$AK$167,economics!$AJ$2:$AJ$167,TRUE)-_xlfn.NORM.DIST(AG$30,economics!$AK$2:$AK$167,economics!$AJ$2:$AJ$167,TRUE))*economics!$AM$2:$AM$167)+$CR10*(_xlfn.NORM.DIST(AG$3,$CU10,0.3*$CU10,TRUE)-_xlfn.NORM.DIST(AG$30,$CU10,0.3*$CU10,TRUE))*summary!$C$7/28.8/0.947817+$CS10*(_xlfn.NORM.DIST(AG$3,$CV10,0.3*$CV10,TRUE)-_xlfn.NORM.DIST(AG$30,$CV10,0.3*$CV10,TRUE))*summary!$C$6/28.8/0.947817)/(SUMPRODUCT((economics!$AG$2:$AG$167=$B39)*(economics!$D$2:$D$167="whr")*economics!$AH$2:$AH$167*(_xlfn.NORM.DIST(AG$3,economics!$AK$2:$AK$167,economics!$AJ$2:$AJ$167,TRUE)-_xlfn.NORM.DIST(AG$30,economics!$AK$2:$AK$167,economics!$AJ$2:$AJ$167,TRUE)))+$CR10*(_xlfn.NORM.DIST(AG$3,$CU10,0.3*$CU10,TRUE)-_xlfn.NORM.DIST(AG$30,$CU10,0.3*$CU10,TRUE))+$CS10*(_xlfn.NORM.DIST(AG$3,$CV10,0.3*$CV10,TRUE)-_xlfn.NORM.DIST(AG$30,$CV10,0.3*$CV10,TRUE))),""),IF($C10&gt;0,summary!$C$10/28.8/0.947817,""))</f>
        <v/>
      </c>
      <c r="AH39">
        <f t="array" ref="AH39">IF($D10,IFERROR((SUMPRODUCT((economics!$AG$2:$AG$167=$B39)*(economics!$D$2:$D$167="whr")*economics!$AH$2:$AH$167*(_xlfn.NORM.DIST(AH$3,economics!$AK$2:$AK$167,economics!$AJ$2:$AJ$167,TRUE)-_xlfn.NORM.DIST(AH$30,economics!$AK$2:$AK$167,economics!$AJ$2:$AJ$167,TRUE))*economics!$AM$2:$AM$167)+$CR10*(_xlfn.NORM.DIST(AH$3,$CU10,0.3*$CU10,TRUE)-_xlfn.NORM.DIST(AH$30,$CU10,0.3*$CU10,TRUE))*summary!$C$7/28.8/0.947817+$CS10*(_xlfn.NORM.DIST(AH$3,$CV10,0.3*$CV10,TRUE)-_xlfn.NORM.DIST(AH$30,$CV10,0.3*$CV10,TRUE))*summary!$C$6/28.8/0.947817)/(SUMPRODUCT((economics!$AG$2:$AG$167=$B39)*(economics!$D$2:$D$167="whr")*economics!$AH$2:$AH$167*(_xlfn.NORM.DIST(AH$3,economics!$AK$2:$AK$167,economics!$AJ$2:$AJ$167,TRUE)-_xlfn.NORM.DIST(AH$30,economics!$AK$2:$AK$167,economics!$AJ$2:$AJ$167,TRUE)))+$CR10*(_xlfn.NORM.DIST(AH$3,$CU10,0.3*$CU10,TRUE)-_xlfn.NORM.DIST(AH$30,$CU10,0.3*$CU10,TRUE))+$CS10*(_xlfn.NORM.DIST(AH$3,$CV10,0.3*$CV10,TRUE)-_xlfn.NORM.DIST(AH$30,$CV10,0.3*$CV10,TRUE))),""),IF($C10&gt;0,summary!$C$10/28.8/0.947817,""))</f>
        <v/>
      </c>
      <c r="AI39">
        <f t="array" ref="AI39">IF($D10,IFERROR((SUMPRODUCT((economics!$AG$2:$AG$167=$B39)*(economics!$D$2:$D$167="whr")*economics!$AH$2:$AH$167*(_xlfn.NORM.DIST(AI$3,economics!$AK$2:$AK$167,economics!$AJ$2:$AJ$167,TRUE)-_xlfn.NORM.DIST(AI$30,economics!$AK$2:$AK$167,economics!$AJ$2:$AJ$167,TRUE))*economics!$AM$2:$AM$167)+$CR10*(_xlfn.NORM.DIST(AI$3,$CU10,0.3*$CU10,TRUE)-_xlfn.NORM.DIST(AI$30,$CU10,0.3*$CU10,TRUE))*summary!$C$7/28.8/0.947817+$CS10*(_xlfn.NORM.DIST(AI$3,$CV10,0.3*$CV10,TRUE)-_xlfn.NORM.DIST(AI$30,$CV10,0.3*$CV10,TRUE))*summary!$C$6/28.8/0.947817)/(SUMPRODUCT((economics!$AG$2:$AG$167=$B39)*(economics!$D$2:$D$167="whr")*economics!$AH$2:$AH$167*(_xlfn.NORM.DIST(AI$3,economics!$AK$2:$AK$167,economics!$AJ$2:$AJ$167,TRUE)-_xlfn.NORM.DIST(AI$30,economics!$AK$2:$AK$167,economics!$AJ$2:$AJ$167,TRUE)))+$CR10*(_xlfn.NORM.DIST(AI$3,$CU10,0.3*$CU10,TRUE)-_xlfn.NORM.DIST(AI$30,$CU10,0.3*$CU10,TRUE))+$CS10*(_xlfn.NORM.DIST(AI$3,$CV10,0.3*$CV10,TRUE)-_xlfn.NORM.DIST(AI$30,$CV10,0.3*$CV10,TRUE))),""),IF($C10&gt;0,summary!$C$10/28.8/0.947817,""))</f>
        <v/>
      </c>
      <c r="AJ39">
        <f t="array" ref="AJ39">IF($D10,IFERROR((SUMPRODUCT((economics!$AG$2:$AG$167=$B39)*(economics!$D$2:$D$167="whr")*economics!$AH$2:$AH$167*(_xlfn.NORM.DIST(AJ$3,economics!$AK$2:$AK$167,economics!$AJ$2:$AJ$167,TRUE)-_xlfn.NORM.DIST(AJ$30,economics!$AK$2:$AK$167,economics!$AJ$2:$AJ$167,TRUE))*economics!$AM$2:$AM$167)+$CR10*(_xlfn.NORM.DIST(AJ$3,$CU10,0.3*$CU10,TRUE)-_xlfn.NORM.DIST(AJ$30,$CU10,0.3*$CU10,TRUE))*summary!$C$7/28.8/0.947817+$CS10*(_xlfn.NORM.DIST(AJ$3,$CV10,0.3*$CV10,TRUE)-_xlfn.NORM.DIST(AJ$30,$CV10,0.3*$CV10,TRUE))*summary!$C$6/28.8/0.947817)/(SUMPRODUCT((economics!$AG$2:$AG$167=$B39)*(economics!$D$2:$D$167="whr")*economics!$AH$2:$AH$167*(_xlfn.NORM.DIST(AJ$3,economics!$AK$2:$AK$167,economics!$AJ$2:$AJ$167,TRUE)-_xlfn.NORM.DIST(AJ$30,economics!$AK$2:$AK$167,economics!$AJ$2:$AJ$167,TRUE)))+$CR10*(_xlfn.NORM.DIST(AJ$3,$CU10,0.3*$CU10,TRUE)-_xlfn.NORM.DIST(AJ$30,$CU10,0.3*$CU10,TRUE))+$CS10*(_xlfn.NORM.DIST(AJ$3,$CV10,0.3*$CV10,TRUE)-_xlfn.NORM.DIST(AJ$30,$CV10,0.3*$CV10,TRUE))),""),IF($C10&gt;0,summary!$C$10/28.8/0.947817,""))</f>
        <v/>
      </c>
      <c r="AK39">
        <f t="array" ref="AK39">IF($D10,IFERROR((SUMPRODUCT((economics!$AG$2:$AG$167=$B39)*(economics!$D$2:$D$167="whr")*economics!$AH$2:$AH$167*(_xlfn.NORM.DIST(AK$3,economics!$AK$2:$AK$167,economics!$AJ$2:$AJ$167,TRUE)-_xlfn.NORM.DIST(AK$30,economics!$AK$2:$AK$167,economics!$AJ$2:$AJ$167,TRUE))*economics!$AM$2:$AM$167)+$CR10*(_xlfn.NORM.DIST(AK$3,$CU10,0.3*$CU10,TRUE)-_xlfn.NORM.DIST(AK$30,$CU10,0.3*$CU10,TRUE))*summary!$C$7/28.8/0.947817+$CS10*(_xlfn.NORM.DIST(AK$3,$CV10,0.3*$CV10,TRUE)-_xlfn.NORM.DIST(AK$30,$CV10,0.3*$CV10,TRUE))*summary!$C$6/28.8/0.947817)/(SUMPRODUCT((economics!$AG$2:$AG$167=$B39)*(economics!$D$2:$D$167="whr")*economics!$AH$2:$AH$167*(_xlfn.NORM.DIST(AK$3,economics!$AK$2:$AK$167,economics!$AJ$2:$AJ$167,TRUE)-_xlfn.NORM.DIST(AK$30,economics!$AK$2:$AK$167,economics!$AJ$2:$AJ$167,TRUE)))+$CR10*(_xlfn.NORM.DIST(AK$3,$CU10,0.3*$CU10,TRUE)-_xlfn.NORM.DIST(AK$30,$CU10,0.3*$CU10,TRUE))+$CS10*(_xlfn.NORM.DIST(AK$3,$CV10,0.3*$CV10,TRUE)-_xlfn.NORM.DIST(AK$30,$CV10,0.3*$CV10,TRUE))),""),IF($C10&gt;0,summary!$C$10/28.8/0.947817,""))</f>
        <v/>
      </c>
      <c r="AL39">
        <f t="array" ref="AL39">IF($D10,IFERROR((SUMPRODUCT((economics!$AG$2:$AG$167=$B39)*(economics!$D$2:$D$167="whr")*economics!$AH$2:$AH$167*(_xlfn.NORM.DIST(AL$3,economics!$AK$2:$AK$167,economics!$AJ$2:$AJ$167,TRUE)-_xlfn.NORM.DIST(AL$30,economics!$AK$2:$AK$167,economics!$AJ$2:$AJ$167,TRUE))*economics!$AM$2:$AM$167)+$CR10*(_xlfn.NORM.DIST(AL$3,$CU10,0.3*$CU10,TRUE)-_xlfn.NORM.DIST(AL$30,$CU10,0.3*$CU10,TRUE))*summary!$C$7/28.8/0.947817+$CS10*(_xlfn.NORM.DIST(AL$3,$CV10,0.3*$CV10,TRUE)-_xlfn.NORM.DIST(AL$30,$CV10,0.3*$CV10,TRUE))*summary!$C$6/28.8/0.947817)/(SUMPRODUCT((economics!$AG$2:$AG$167=$B39)*(economics!$D$2:$D$167="whr")*economics!$AH$2:$AH$167*(_xlfn.NORM.DIST(AL$3,economics!$AK$2:$AK$167,economics!$AJ$2:$AJ$167,TRUE)-_xlfn.NORM.DIST(AL$30,economics!$AK$2:$AK$167,economics!$AJ$2:$AJ$167,TRUE)))+$CR10*(_xlfn.NORM.DIST(AL$3,$CU10,0.3*$CU10,TRUE)-_xlfn.NORM.DIST(AL$30,$CU10,0.3*$CU10,TRUE))+$CS10*(_xlfn.NORM.DIST(AL$3,$CV10,0.3*$CV10,TRUE)-_xlfn.NORM.DIST(AL$30,$CV10,0.3*$CV10,TRUE))),""),IF($C10&gt;0,summary!$C$10/28.8/0.947817,""))</f>
        <v/>
      </c>
      <c r="AM39">
        <f t="array" ref="AM39">IF($D10,IFERROR((SUMPRODUCT((economics!$AG$2:$AG$167=$B39)*(economics!$D$2:$D$167="whr")*economics!$AH$2:$AH$167*(_xlfn.NORM.DIST(AM$3,economics!$AK$2:$AK$167,economics!$AJ$2:$AJ$167,TRUE)-_xlfn.NORM.DIST(AM$30,economics!$AK$2:$AK$167,economics!$AJ$2:$AJ$167,TRUE))*economics!$AM$2:$AM$167)+$CR10*(_xlfn.NORM.DIST(AM$3,$CU10,0.3*$CU10,TRUE)-_xlfn.NORM.DIST(AM$30,$CU10,0.3*$CU10,TRUE))*summary!$C$7/28.8/0.947817+$CS10*(_xlfn.NORM.DIST(AM$3,$CV10,0.3*$CV10,TRUE)-_xlfn.NORM.DIST(AM$30,$CV10,0.3*$CV10,TRUE))*summary!$C$6/28.8/0.947817)/(SUMPRODUCT((economics!$AG$2:$AG$167=$B39)*(economics!$D$2:$D$167="whr")*economics!$AH$2:$AH$167*(_xlfn.NORM.DIST(AM$3,economics!$AK$2:$AK$167,economics!$AJ$2:$AJ$167,TRUE)-_xlfn.NORM.DIST(AM$30,economics!$AK$2:$AK$167,economics!$AJ$2:$AJ$167,TRUE)))+$CR10*(_xlfn.NORM.DIST(AM$3,$CU10,0.3*$CU10,TRUE)-_xlfn.NORM.DIST(AM$30,$CU10,0.3*$CU10,TRUE))+$CS10*(_xlfn.NORM.DIST(AM$3,$CV10,0.3*$CV10,TRUE)-_xlfn.NORM.DIST(AM$30,$CV10,0.3*$CV10,TRUE))),""),IF($C10&gt;0,summary!$C$10/28.8/0.947817,""))</f>
        <v/>
      </c>
      <c r="AN39">
        <f t="array" ref="AN39">IF($D10,IFERROR((SUMPRODUCT((economics!$AG$2:$AG$167=$B39)*(economics!$D$2:$D$167="whr")*economics!$AH$2:$AH$167*(_xlfn.NORM.DIST(AN$3,economics!$AK$2:$AK$167,economics!$AJ$2:$AJ$167,TRUE)-_xlfn.NORM.DIST(AN$30,economics!$AK$2:$AK$167,economics!$AJ$2:$AJ$167,TRUE))*economics!$AM$2:$AM$167)+$CR10*(_xlfn.NORM.DIST(AN$3,$CU10,0.3*$CU10,TRUE)-_xlfn.NORM.DIST(AN$30,$CU10,0.3*$CU10,TRUE))*summary!$C$7/28.8/0.947817+$CS10*(_xlfn.NORM.DIST(AN$3,$CV10,0.3*$CV10,TRUE)-_xlfn.NORM.DIST(AN$30,$CV10,0.3*$CV10,TRUE))*summary!$C$6/28.8/0.947817)/(SUMPRODUCT((economics!$AG$2:$AG$167=$B39)*(economics!$D$2:$D$167="whr")*economics!$AH$2:$AH$167*(_xlfn.NORM.DIST(AN$3,economics!$AK$2:$AK$167,economics!$AJ$2:$AJ$167,TRUE)-_xlfn.NORM.DIST(AN$30,economics!$AK$2:$AK$167,economics!$AJ$2:$AJ$167,TRUE)))+$CR10*(_xlfn.NORM.DIST(AN$3,$CU10,0.3*$CU10,TRUE)-_xlfn.NORM.DIST(AN$30,$CU10,0.3*$CU10,TRUE))+$CS10*(_xlfn.NORM.DIST(AN$3,$CV10,0.3*$CV10,TRUE)-_xlfn.NORM.DIST(AN$30,$CV10,0.3*$CV10,TRUE))),""),IF($C10&gt;0,summary!$C$10/28.8/0.947817,""))</f>
        <v/>
      </c>
      <c r="AO39">
        <f t="array" ref="AO39">IF($D10,IFERROR((SUMPRODUCT((economics!$AG$2:$AG$167=$B39)*(economics!$D$2:$D$167="whr")*economics!$AH$2:$AH$167*(_xlfn.NORM.DIST(AO$3,economics!$AK$2:$AK$167,economics!$AJ$2:$AJ$167,TRUE)-_xlfn.NORM.DIST(AO$30,economics!$AK$2:$AK$167,economics!$AJ$2:$AJ$167,TRUE))*economics!$AM$2:$AM$167)+$CR10*(_xlfn.NORM.DIST(AO$3,$CU10,0.3*$CU10,TRUE)-_xlfn.NORM.DIST(AO$30,$CU10,0.3*$CU10,TRUE))*summary!$C$7/28.8/0.947817+$CS10*(_xlfn.NORM.DIST(AO$3,$CV10,0.3*$CV10,TRUE)-_xlfn.NORM.DIST(AO$30,$CV10,0.3*$CV10,TRUE))*summary!$C$6/28.8/0.947817)/(SUMPRODUCT((economics!$AG$2:$AG$167=$B39)*(economics!$D$2:$D$167="whr")*economics!$AH$2:$AH$167*(_xlfn.NORM.DIST(AO$3,economics!$AK$2:$AK$167,economics!$AJ$2:$AJ$167,TRUE)-_xlfn.NORM.DIST(AO$30,economics!$AK$2:$AK$167,economics!$AJ$2:$AJ$167,TRUE)))+$CR10*(_xlfn.NORM.DIST(AO$3,$CU10,0.3*$CU10,TRUE)-_xlfn.NORM.DIST(AO$30,$CU10,0.3*$CU10,TRUE))+$CS10*(_xlfn.NORM.DIST(AO$3,$CV10,0.3*$CV10,TRUE)-_xlfn.NORM.DIST(AO$30,$CV10,0.3*$CV10,TRUE))),""),IF($C10&gt;0,summary!$C$10/28.8/0.947817,""))</f>
        <v/>
      </c>
      <c r="AP39">
        <f t="array" ref="AP39">IF($D10,IFERROR((SUMPRODUCT((economics!$AG$2:$AG$167=$B39)*(economics!$D$2:$D$167="whr")*economics!$AH$2:$AH$167*(_xlfn.NORM.DIST(AP$3,economics!$AK$2:$AK$167,economics!$AJ$2:$AJ$167,TRUE)-_xlfn.NORM.DIST(AP$30,economics!$AK$2:$AK$167,economics!$AJ$2:$AJ$167,TRUE))*economics!$AM$2:$AM$167)+$CR10*(_xlfn.NORM.DIST(AP$3,$CU10,0.3*$CU10,TRUE)-_xlfn.NORM.DIST(AP$30,$CU10,0.3*$CU10,TRUE))*summary!$C$7/28.8/0.947817+$CS10*(_xlfn.NORM.DIST(AP$3,$CV10,0.3*$CV10,TRUE)-_xlfn.NORM.DIST(AP$30,$CV10,0.3*$CV10,TRUE))*summary!$C$6/28.8/0.947817)/(SUMPRODUCT((economics!$AG$2:$AG$167=$B39)*(economics!$D$2:$D$167="whr")*economics!$AH$2:$AH$167*(_xlfn.NORM.DIST(AP$3,economics!$AK$2:$AK$167,economics!$AJ$2:$AJ$167,TRUE)-_xlfn.NORM.DIST(AP$30,economics!$AK$2:$AK$167,economics!$AJ$2:$AJ$167,TRUE)))+$CR10*(_xlfn.NORM.DIST(AP$3,$CU10,0.3*$CU10,TRUE)-_xlfn.NORM.DIST(AP$30,$CU10,0.3*$CU10,TRUE))+$CS10*(_xlfn.NORM.DIST(AP$3,$CV10,0.3*$CV10,TRUE)-_xlfn.NORM.DIST(AP$30,$CV10,0.3*$CV10,TRUE))),""),IF($C10&gt;0,summary!$C$10/28.8/0.947817,""))</f>
        <v/>
      </c>
      <c r="AQ39">
        <f t="array" ref="AQ39">IF($D10,IFERROR((SUMPRODUCT((economics!$AG$2:$AG$167=$B39)*(economics!$D$2:$D$167="whr")*economics!$AH$2:$AH$167*(_xlfn.NORM.DIST(AQ$3,economics!$AK$2:$AK$167,economics!$AJ$2:$AJ$167,TRUE)-_xlfn.NORM.DIST(AQ$30,economics!$AK$2:$AK$167,economics!$AJ$2:$AJ$167,TRUE))*economics!$AM$2:$AM$167)+$CR10*(_xlfn.NORM.DIST(AQ$3,$CU10,0.3*$CU10,TRUE)-_xlfn.NORM.DIST(AQ$30,$CU10,0.3*$CU10,TRUE))*summary!$C$7/28.8/0.947817+$CS10*(_xlfn.NORM.DIST(AQ$3,$CV10,0.3*$CV10,TRUE)-_xlfn.NORM.DIST(AQ$30,$CV10,0.3*$CV10,TRUE))*summary!$C$6/28.8/0.947817)/(SUMPRODUCT((economics!$AG$2:$AG$167=$B39)*(economics!$D$2:$D$167="whr")*economics!$AH$2:$AH$167*(_xlfn.NORM.DIST(AQ$3,economics!$AK$2:$AK$167,economics!$AJ$2:$AJ$167,TRUE)-_xlfn.NORM.DIST(AQ$30,economics!$AK$2:$AK$167,economics!$AJ$2:$AJ$167,TRUE)))+$CR10*(_xlfn.NORM.DIST(AQ$3,$CU10,0.3*$CU10,TRUE)-_xlfn.NORM.DIST(AQ$30,$CU10,0.3*$CU10,TRUE))+$CS10*(_xlfn.NORM.DIST(AQ$3,$CV10,0.3*$CV10,TRUE)-_xlfn.NORM.DIST(AQ$30,$CV10,0.3*$CV10,TRUE))),""),IF($C10&gt;0,summary!$C$10/28.8/0.947817,""))</f>
        <v/>
      </c>
      <c r="AR39">
        <f t="array" ref="AR39">IF($D10,IFERROR((SUMPRODUCT((economics!$AG$2:$AG$167=$B39)*(economics!$D$2:$D$167="whr")*economics!$AH$2:$AH$167*(_xlfn.NORM.DIST(AR$3,economics!$AK$2:$AK$167,economics!$AJ$2:$AJ$167,TRUE)-_xlfn.NORM.DIST(AR$30,economics!$AK$2:$AK$167,economics!$AJ$2:$AJ$167,TRUE))*economics!$AM$2:$AM$167)+$CR10*(_xlfn.NORM.DIST(AR$3,$CU10,0.3*$CU10,TRUE)-_xlfn.NORM.DIST(AR$30,$CU10,0.3*$CU10,TRUE))*summary!$C$7/28.8/0.947817+$CS10*(_xlfn.NORM.DIST(AR$3,$CV10,0.3*$CV10,TRUE)-_xlfn.NORM.DIST(AR$30,$CV10,0.3*$CV10,TRUE))*summary!$C$6/28.8/0.947817)/(SUMPRODUCT((economics!$AG$2:$AG$167=$B39)*(economics!$D$2:$D$167="whr")*economics!$AH$2:$AH$167*(_xlfn.NORM.DIST(AR$3,economics!$AK$2:$AK$167,economics!$AJ$2:$AJ$167,TRUE)-_xlfn.NORM.DIST(AR$30,economics!$AK$2:$AK$167,economics!$AJ$2:$AJ$167,TRUE)))+$CR10*(_xlfn.NORM.DIST(AR$3,$CU10,0.3*$CU10,TRUE)-_xlfn.NORM.DIST(AR$30,$CU10,0.3*$CU10,TRUE))+$CS10*(_xlfn.NORM.DIST(AR$3,$CV10,0.3*$CV10,TRUE)-_xlfn.NORM.DIST(AR$30,$CV10,0.3*$CV10,TRUE))),""),IF($C10&gt;0,summary!$C$10/28.8/0.947817,""))</f>
        <v/>
      </c>
      <c r="AS39">
        <f t="array" ref="AS39">IF($D10,IFERROR((SUMPRODUCT((economics!$AG$2:$AG$167=$B39)*(economics!$D$2:$D$167="whr")*economics!$AH$2:$AH$167*(_xlfn.NORM.DIST(AS$3,economics!$AK$2:$AK$167,economics!$AJ$2:$AJ$167,TRUE)-_xlfn.NORM.DIST(AS$30,economics!$AK$2:$AK$167,economics!$AJ$2:$AJ$167,TRUE))*economics!$AM$2:$AM$167)+$CR10*(_xlfn.NORM.DIST(AS$3,$CU10,0.3*$CU10,TRUE)-_xlfn.NORM.DIST(AS$30,$CU10,0.3*$CU10,TRUE))*summary!$C$7/28.8/0.947817+$CS10*(_xlfn.NORM.DIST(AS$3,$CV10,0.3*$CV10,TRUE)-_xlfn.NORM.DIST(AS$30,$CV10,0.3*$CV10,TRUE))*summary!$C$6/28.8/0.947817)/(SUMPRODUCT((economics!$AG$2:$AG$167=$B39)*(economics!$D$2:$D$167="whr")*economics!$AH$2:$AH$167*(_xlfn.NORM.DIST(AS$3,economics!$AK$2:$AK$167,economics!$AJ$2:$AJ$167,TRUE)-_xlfn.NORM.DIST(AS$30,economics!$AK$2:$AK$167,economics!$AJ$2:$AJ$167,TRUE)))+$CR10*(_xlfn.NORM.DIST(AS$3,$CU10,0.3*$CU10,TRUE)-_xlfn.NORM.DIST(AS$30,$CU10,0.3*$CU10,TRUE))+$CS10*(_xlfn.NORM.DIST(AS$3,$CV10,0.3*$CV10,TRUE)-_xlfn.NORM.DIST(AS$30,$CV10,0.3*$CV10,TRUE))),""),IF($C10&gt;0,summary!$C$10/28.8/0.947817,""))</f>
        <v/>
      </c>
      <c r="AT39">
        <f t="array" ref="AT39">IF($D10,IFERROR((SUMPRODUCT((economics!$AG$2:$AG$167=$B39)*(economics!$D$2:$D$167="whr")*economics!$AH$2:$AH$167*(_xlfn.NORM.DIST(AT$3,economics!$AK$2:$AK$167,economics!$AJ$2:$AJ$167,TRUE)-_xlfn.NORM.DIST(AT$30,economics!$AK$2:$AK$167,economics!$AJ$2:$AJ$167,TRUE))*economics!$AM$2:$AM$167)+$CR10*(_xlfn.NORM.DIST(AT$3,$CU10,0.3*$CU10,TRUE)-_xlfn.NORM.DIST(AT$30,$CU10,0.3*$CU10,TRUE))*summary!$C$7/28.8/0.947817+$CS10*(_xlfn.NORM.DIST(AT$3,$CV10,0.3*$CV10,TRUE)-_xlfn.NORM.DIST(AT$30,$CV10,0.3*$CV10,TRUE))*summary!$C$6/28.8/0.947817)/(SUMPRODUCT((economics!$AG$2:$AG$167=$B39)*(economics!$D$2:$D$167="whr")*economics!$AH$2:$AH$167*(_xlfn.NORM.DIST(AT$3,economics!$AK$2:$AK$167,economics!$AJ$2:$AJ$167,TRUE)-_xlfn.NORM.DIST(AT$30,economics!$AK$2:$AK$167,economics!$AJ$2:$AJ$167,TRUE)))+$CR10*(_xlfn.NORM.DIST(AT$3,$CU10,0.3*$CU10,TRUE)-_xlfn.NORM.DIST(AT$30,$CU10,0.3*$CU10,TRUE))+$CS10*(_xlfn.NORM.DIST(AT$3,$CV10,0.3*$CV10,TRUE)-_xlfn.NORM.DIST(AT$30,$CV10,0.3*$CV10,TRUE))),""),IF($C10&gt;0,summary!$C$10/28.8/0.947817,""))</f>
        <v/>
      </c>
      <c r="AU39">
        <f t="array" ref="AU39">IF($D10,IFERROR((SUMPRODUCT((economics!$AG$2:$AG$167=$B39)*(economics!$D$2:$D$167="whr")*economics!$AH$2:$AH$167*(_xlfn.NORM.DIST(AU$3,economics!$AK$2:$AK$167,economics!$AJ$2:$AJ$167,TRUE)-_xlfn.NORM.DIST(AU$30,economics!$AK$2:$AK$167,economics!$AJ$2:$AJ$167,TRUE))*economics!$AM$2:$AM$167)+$CR10*(_xlfn.NORM.DIST(AU$3,$CU10,0.3*$CU10,TRUE)-_xlfn.NORM.DIST(AU$30,$CU10,0.3*$CU10,TRUE))*summary!$C$7/28.8/0.947817+$CS10*(_xlfn.NORM.DIST(AU$3,$CV10,0.3*$CV10,TRUE)-_xlfn.NORM.DIST(AU$30,$CV10,0.3*$CV10,TRUE))*summary!$C$6/28.8/0.947817)/(SUMPRODUCT((economics!$AG$2:$AG$167=$B39)*(economics!$D$2:$D$167="whr")*economics!$AH$2:$AH$167*(_xlfn.NORM.DIST(AU$3,economics!$AK$2:$AK$167,economics!$AJ$2:$AJ$167,TRUE)-_xlfn.NORM.DIST(AU$30,economics!$AK$2:$AK$167,economics!$AJ$2:$AJ$167,TRUE)))+$CR10*(_xlfn.NORM.DIST(AU$3,$CU10,0.3*$CU10,TRUE)-_xlfn.NORM.DIST(AU$30,$CU10,0.3*$CU10,TRUE))+$CS10*(_xlfn.NORM.DIST(AU$3,$CV10,0.3*$CV10,TRUE)-_xlfn.NORM.DIST(AU$30,$CV10,0.3*$CV10,TRUE))),""),IF($C10&gt;0,summary!$C$10/28.8/0.947817,""))</f>
        <v/>
      </c>
      <c r="AV39">
        <f t="array" ref="AV39">IF($D10,IFERROR((SUMPRODUCT((economics!$AG$2:$AG$167=$B39)*(economics!$D$2:$D$167="whr")*economics!$AH$2:$AH$167*(_xlfn.NORM.DIST(AV$3,economics!$AK$2:$AK$167,economics!$AJ$2:$AJ$167,TRUE)-_xlfn.NORM.DIST(AV$30,economics!$AK$2:$AK$167,economics!$AJ$2:$AJ$167,TRUE))*economics!$AM$2:$AM$167)+$CR10*(_xlfn.NORM.DIST(AV$3,$CU10,0.3*$CU10,TRUE)-_xlfn.NORM.DIST(AV$30,$CU10,0.3*$CU10,TRUE))*summary!$C$7/28.8/0.947817+$CS10*(_xlfn.NORM.DIST(AV$3,$CV10,0.3*$CV10,TRUE)-_xlfn.NORM.DIST(AV$30,$CV10,0.3*$CV10,TRUE))*summary!$C$6/28.8/0.947817)/(SUMPRODUCT((economics!$AG$2:$AG$167=$B39)*(economics!$D$2:$D$167="whr")*economics!$AH$2:$AH$167*(_xlfn.NORM.DIST(AV$3,economics!$AK$2:$AK$167,economics!$AJ$2:$AJ$167,TRUE)-_xlfn.NORM.DIST(AV$30,economics!$AK$2:$AK$167,economics!$AJ$2:$AJ$167,TRUE)))+$CR10*(_xlfn.NORM.DIST(AV$3,$CU10,0.3*$CU10,TRUE)-_xlfn.NORM.DIST(AV$30,$CU10,0.3*$CU10,TRUE))+$CS10*(_xlfn.NORM.DIST(AV$3,$CV10,0.3*$CV10,TRUE)-_xlfn.NORM.DIST(AV$30,$CV10,0.3*$CV10,TRUE))),""),IF($C10&gt;0,summary!$C$10/28.8/0.947817,""))</f>
        <v/>
      </c>
      <c r="AW39">
        <f t="array" ref="AW39">IF($D10,IFERROR((SUMPRODUCT((economics!$AG$2:$AG$167=$B39)*(economics!$D$2:$D$167="whr")*economics!$AH$2:$AH$167*(_xlfn.NORM.DIST(AW$3,economics!$AK$2:$AK$167,economics!$AJ$2:$AJ$167,TRUE)-_xlfn.NORM.DIST(AW$30,economics!$AK$2:$AK$167,economics!$AJ$2:$AJ$167,TRUE))*economics!$AM$2:$AM$167)+$CR10*(_xlfn.NORM.DIST(AW$3,$CU10,0.3*$CU10,TRUE)-_xlfn.NORM.DIST(AW$30,$CU10,0.3*$CU10,TRUE))*summary!$C$7/28.8/0.947817+$CS10*(_xlfn.NORM.DIST(AW$3,$CV10,0.3*$CV10,TRUE)-_xlfn.NORM.DIST(AW$30,$CV10,0.3*$CV10,TRUE))*summary!$C$6/28.8/0.947817)/(SUMPRODUCT((economics!$AG$2:$AG$167=$B39)*(economics!$D$2:$D$167="whr")*economics!$AH$2:$AH$167*(_xlfn.NORM.DIST(AW$3,economics!$AK$2:$AK$167,economics!$AJ$2:$AJ$167,TRUE)-_xlfn.NORM.DIST(AW$30,economics!$AK$2:$AK$167,economics!$AJ$2:$AJ$167,TRUE)))+$CR10*(_xlfn.NORM.DIST(AW$3,$CU10,0.3*$CU10,TRUE)-_xlfn.NORM.DIST(AW$30,$CU10,0.3*$CU10,TRUE))+$CS10*(_xlfn.NORM.DIST(AW$3,$CV10,0.3*$CV10,TRUE)-_xlfn.NORM.DIST(AW$30,$CV10,0.3*$CV10,TRUE))),""),IF($C10&gt;0,summary!$C$10/28.8/0.947817,""))</f>
        <v/>
      </c>
      <c r="AX39">
        <f t="array" ref="AX39">IF($D10,IFERROR((SUMPRODUCT((economics!$AG$2:$AG$167=$B39)*(economics!$D$2:$D$167="whr")*economics!$AH$2:$AH$167*(_xlfn.NORM.DIST(AX$3,economics!$AK$2:$AK$167,economics!$AJ$2:$AJ$167,TRUE)-_xlfn.NORM.DIST(AX$30,economics!$AK$2:$AK$167,economics!$AJ$2:$AJ$167,TRUE))*economics!$AM$2:$AM$167)+$CR10*(_xlfn.NORM.DIST(AX$3,$CU10,0.3*$CU10,TRUE)-_xlfn.NORM.DIST(AX$30,$CU10,0.3*$CU10,TRUE))*summary!$C$7/28.8/0.947817+$CS10*(_xlfn.NORM.DIST(AX$3,$CV10,0.3*$CV10,TRUE)-_xlfn.NORM.DIST(AX$30,$CV10,0.3*$CV10,TRUE))*summary!$C$6/28.8/0.947817)/(SUMPRODUCT((economics!$AG$2:$AG$167=$B39)*(economics!$D$2:$D$167="whr")*economics!$AH$2:$AH$167*(_xlfn.NORM.DIST(AX$3,economics!$AK$2:$AK$167,economics!$AJ$2:$AJ$167,TRUE)-_xlfn.NORM.DIST(AX$30,economics!$AK$2:$AK$167,economics!$AJ$2:$AJ$167,TRUE)))+$CR10*(_xlfn.NORM.DIST(AX$3,$CU10,0.3*$CU10,TRUE)-_xlfn.NORM.DIST(AX$30,$CU10,0.3*$CU10,TRUE))+$CS10*(_xlfn.NORM.DIST(AX$3,$CV10,0.3*$CV10,TRUE)-_xlfn.NORM.DIST(AX$30,$CV10,0.3*$CV10,TRUE))),""),IF($C10&gt;0,summary!$C$10/28.8/0.947817,""))</f>
        <v/>
      </c>
      <c r="AY39">
        <f t="array" ref="AY39">IF($D10,IFERROR((SUMPRODUCT((economics!$AG$2:$AG$167=$B39)*(economics!$D$2:$D$167="whr")*economics!$AH$2:$AH$167*(_xlfn.NORM.DIST(AY$3,economics!$AK$2:$AK$167,economics!$AJ$2:$AJ$167,TRUE)-_xlfn.NORM.DIST(AY$30,economics!$AK$2:$AK$167,economics!$AJ$2:$AJ$167,TRUE))*economics!$AM$2:$AM$167)+$CR10*(_xlfn.NORM.DIST(AY$3,$CU10,0.3*$CU10,TRUE)-_xlfn.NORM.DIST(AY$30,$CU10,0.3*$CU10,TRUE))*summary!$C$7/28.8/0.947817+$CS10*(_xlfn.NORM.DIST(AY$3,$CV10,0.3*$CV10,TRUE)-_xlfn.NORM.DIST(AY$30,$CV10,0.3*$CV10,TRUE))*summary!$C$6/28.8/0.947817)/(SUMPRODUCT((economics!$AG$2:$AG$167=$B39)*(economics!$D$2:$D$167="whr")*economics!$AH$2:$AH$167*(_xlfn.NORM.DIST(AY$3,economics!$AK$2:$AK$167,economics!$AJ$2:$AJ$167,TRUE)-_xlfn.NORM.DIST(AY$30,economics!$AK$2:$AK$167,economics!$AJ$2:$AJ$167,TRUE)))+$CR10*(_xlfn.NORM.DIST(AY$3,$CU10,0.3*$CU10,TRUE)-_xlfn.NORM.DIST(AY$30,$CU10,0.3*$CU10,TRUE))+$CS10*(_xlfn.NORM.DIST(AY$3,$CV10,0.3*$CV10,TRUE)-_xlfn.NORM.DIST(AY$30,$CV10,0.3*$CV10,TRUE))),""),IF($C10&gt;0,summary!$C$10/28.8/0.947817,""))</f>
        <v/>
      </c>
      <c r="AZ39">
        <f t="array" ref="AZ39">IF($D10,IFERROR((SUMPRODUCT((economics!$AG$2:$AG$167=$B39)*(economics!$D$2:$D$167="whr")*economics!$AH$2:$AH$167*(_xlfn.NORM.DIST(AZ$3,economics!$AK$2:$AK$167,economics!$AJ$2:$AJ$167,TRUE)-_xlfn.NORM.DIST(AZ$30,economics!$AK$2:$AK$167,economics!$AJ$2:$AJ$167,TRUE))*economics!$AM$2:$AM$167)+$CR10*(_xlfn.NORM.DIST(AZ$3,$CU10,0.3*$CU10,TRUE)-_xlfn.NORM.DIST(AZ$30,$CU10,0.3*$CU10,TRUE))*summary!$C$7/28.8/0.947817+$CS10*(_xlfn.NORM.DIST(AZ$3,$CV10,0.3*$CV10,TRUE)-_xlfn.NORM.DIST(AZ$30,$CV10,0.3*$CV10,TRUE))*summary!$C$6/28.8/0.947817)/(SUMPRODUCT((economics!$AG$2:$AG$167=$B39)*(economics!$D$2:$D$167="whr")*economics!$AH$2:$AH$167*(_xlfn.NORM.DIST(AZ$3,economics!$AK$2:$AK$167,economics!$AJ$2:$AJ$167,TRUE)-_xlfn.NORM.DIST(AZ$30,economics!$AK$2:$AK$167,economics!$AJ$2:$AJ$167,TRUE)))+$CR10*(_xlfn.NORM.DIST(AZ$3,$CU10,0.3*$CU10,TRUE)-_xlfn.NORM.DIST(AZ$30,$CU10,0.3*$CU10,TRUE))+$CS10*(_xlfn.NORM.DIST(AZ$3,$CV10,0.3*$CV10,TRUE)-_xlfn.NORM.DIST(AZ$30,$CV10,0.3*$CV10,TRUE))),""),IF($C10&gt;0,summary!$C$10/28.8/0.947817,""))</f>
        <v/>
      </c>
      <c r="BA39">
        <f t="array" ref="BA39">IF($D10,IFERROR((SUMPRODUCT((economics!$AG$2:$AG$167=$B39)*(economics!$D$2:$D$167="whr")*economics!$AH$2:$AH$167*(_xlfn.NORM.DIST(BA$3,economics!$AK$2:$AK$167,economics!$AJ$2:$AJ$167,TRUE)-_xlfn.NORM.DIST(BA$30,economics!$AK$2:$AK$167,economics!$AJ$2:$AJ$167,TRUE))*economics!$AM$2:$AM$167)+$CR10*(_xlfn.NORM.DIST(BA$3,$CU10,0.3*$CU10,TRUE)-_xlfn.NORM.DIST(BA$30,$CU10,0.3*$CU10,TRUE))*summary!$C$7/28.8/0.947817+$CS10*(_xlfn.NORM.DIST(BA$3,$CV10,0.3*$CV10,TRUE)-_xlfn.NORM.DIST(BA$30,$CV10,0.3*$CV10,TRUE))*summary!$C$6/28.8/0.947817)/(SUMPRODUCT((economics!$AG$2:$AG$167=$B39)*(economics!$D$2:$D$167="whr")*economics!$AH$2:$AH$167*(_xlfn.NORM.DIST(BA$3,economics!$AK$2:$AK$167,economics!$AJ$2:$AJ$167,TRUE)-_xlfn.NORM.DIST(BA$30,economics!$AK$2:$AK$167,economics!$AJ$2:$AJ$167,TRUE)))+$CR10*(_xlfn.NORM.DIST(BA$3,$CU10,0.3*$CU10,TRUE)-_xlfn.NORM.DIST(BA$30,$CU10,0.3*$CU10,TRUE))+$CS10*(_xlfn.NORM.DIST(BA$3,$CV10,0.3*$CV10,TRUE)-_xlfn.NORM.DIST(BA$30,$CV10,0.3*$CV10,TRUE))),""),IF($C10&gt;0,summary!$C$10/28.8/0.947817,""))</f>
        <v/>
      </c>
      <c r="BB39">
        <f t="array" ref="BB39">IF($D10,IFERROR((SUMPRODUCT((economics!$AG$2:$AG$167=$B39)*(economics!$D$2:$D$167="whr")*economics!$AH$2:$AH$167*(_xlfn.NORM.DIST(BB$3,economics!$AK$2:$AK$167,economics!$AJ$2:$AJ$167,TRUE)-_xlfn.NORM.DIST(BB$30,economics!$AK$2:$AK$167,economics!$AJ$2:$AJ$167,TRUE))*economics!$AM$2:$AM$167)+$CR10*(_xlfn.NORM.DIST(BB$3,$CU10,0.3*$CU10,TRUE)-_xlfn.NORM.DIST(BB$30,$CU10,0.3*$CU10,TRUE))*summary!$C$7/28.8/0.947817+$CS10*(_xlfn.NORM.DIST(BB$3,$CV10,0.3*$CV10,TRUE)-_xlfn.NORM.DIST(BB$30,$CV10,0.3*$CV10,TRUE))*summary!$C$6/28.8/0.947817)/(SUMPRODUCT((economics!$AG$2:$AG$167=$B39)*(economics!$D$2:$D$167="whr")*economics!$AH$2:$AH$167*(_xlfn.NORM.DIST(BB$3,economics!$AK$2:$AK$167,economics!$AJ$2:$AJ$167,TRUE)-_xlfn.NORM.DIST(BB$30,economics!$AK$2:$AK$167,economics!$AJ$2:$AJ$167,TRUE)))+$CR10*(_xlfn.NORM.DIST(BB$3,$CU10,0.3*$CU10,TRUE)-_xlfn.NORM.DIST(BB$30,$CU10,0.3*$CU10,TRUE))+$CS10*(_xlfn.NORM.DIST(BB$3,$CV10,0.3*$CV10,TRUE)-_xlfn.NORM.DIST(BB$30,$CV10,0.3*$CV10,TRUE))),""),IF($C10&gt;0,summary!$C$10/28.8/0.947817,""))</f>
        <v/>
      </c>
      <c r="BC39">
        <f t="array" ref="BC39">IF($D10,IFERROR((SUMPRODUCT((economics!$AG$2:$AG$167=$B39)*(economics!$D$2:$D$167="whr")*economics!$AH$2:$AH$167*(_xlfn.NORM.DIST(BC$3,economics!$AK$2:$AK$167,economics!$AJ$2:$AJ$167,TRUE)-_xlfn.NORM.DIST(BC$30,economics!$AK$2:$AK$167,economics!$AJ$2:$AJ$167,TRUE))*economics!$AM$2:$AM$167)+$CR10*(_xlfn.NORM.DIST(BC$3,$CU10,0.3*$CU10,TRUE)-_xlfn.NORM.DIST(BC$30,$CU10,0.3*$CU10,TRUE))*summary!$C$7/28.8/0.947817+$CS10*(_xlfn.NORM.DIST(BC$3,$CV10,0.3*$CV10,TRUE)-_xlfn.NORM.DIST(BC$30,$CV10,0.3*$CV10,TRUE))*summary!$C$6/28.8/0.947817)/(SUMPRODUCT((economics!$AG$2:$AG$167=$B39)*(economics!$D$2:$D$167="whr")*economics!$AH$2:$AH$167*(_xlfn.NORM.DIST(BC$3,economics!$AK$2:$AK$167,economics!$AJ$2:$AJ$167,TRUE)-_xlfn.NORM.DIST(BC$30,economics!$AK$2:$AK$167,economics!$AJ$2:$AJ$167,TRUE)))+$CR10*(_xlfn.NORM.DIST(BC$3,$CU10,0.3*$CU10,TRUE)-_xlfn.NORM.DIST(BC$30,$CU10,0.3*$CU10,TRUE))+$CS10*(_xlfn.NORM.DIST(BC$3,$CV10,0.3*$CV10,TRUE)-_xlfn.NORM.DIST(BC$30,$CV10,0.3*$CV10,TRUE))),""),IF($C10&gt;0,summary!$C$10/28.8/0.947817,""))</f>
        <v/>
      </c>
      <c r="BD39">
        <f t="array" ref="BD39">IF($D10,IFERROR((SUMPRODUCT((economics!$AG$2:$AG$167=$B39)*(economics!$D$2:$D$167="whr")*economics!$AH$2:$AH$167*(_xlfn.NORM.DIST(BD$3,economics!$AK$2:$AK$167,economics!$AJ$2:$AJ$167,TRUE)-_xlfn.NORM.DIST(BD$30,economics!$AK$2:$AK$167,economics!$AJ$2:$AJ$167,TRUE))*economics!$AM$2:$AM$167)+$CR10*(_xlfn.NORM.DIST(BD$3,$CU10,0.3*$CU10,TRUE)-_xlfn.NORM.DIST(BD$30,$CU10,0.3*$CU10,TRUE))*summary!$C$7/28.8/0.947817+$CS10*(_xlfn.NORM.DIST(BD$3,$CV10,0.3*$CV10,TRUE)-_xlfn.NORM.DIST(BD$30,$CV10,0.3*$CV10,TRUE))*summary!$C$6/28.8/0.947817)/(SUMPRODUCT((economics!$AG$2:$AG$167=$B39)*(economics!$D$2:$D$167="whr")*economics!$AH$2:$AH$167*(_xlfn.NORM.DIST(BD$3,economics!$AK$2:$AK$167,economics!$AJ$2:$AJ$167,TRUE)-_xlfn.NORM.DIST(BD$30,economics!$AK$2:$AK$167,economics!$AJ$2:$AJ$167,TRUE)))+$CR10*(_xlfn.NORM.DIST(BD$3,$CU10,0.3*$CU10,TRUE)-_xlfn.NORM.DIST(BD$30,$CU10,0.3*$CU10,TRUE))+$CS10*(_xlfn.NORM.DIST(BD$3,$CV10,0.3*$CV10,TRUE)-_xlfn.NORM.DIST(BD$30,$CV10,0.3*$CV10,TRUE))),""),IF($C10&gt;0,summary!$C$10/28.8/0.947817,""))</f>
        <v/>
      </c>
      <c r="BE39">
        <f t="array" ref="BE39">IF($D10,IFERROR((SUMPRODUCT((economics!$AG$2:$AG$167=$B39)*(economics!$D$2:$D$167="whr")*economics!$AH$2:$AH$167*(_xlfn.NORM.DIST(BE$3,economics!$AK$2:$AK$167,economics!$AJ$2:$AJ$167,TRUE)-_xlfn.NORM.DIST(BE$30,economics!$AK$2:$AK$167,economics!$AJ$2:$AJ$167,TRUE))*economics!$AM$2:$AM$167)+$CR10*(_xlfn.NORM.DIST(BE$3,$CU10,0.3*$CU10,TRUE)-_xlfn.NORM.DIST(BE$30,$CU10,0.3*$CU10,TRUE))*summary!$C$7/28.8/0.947817+$CS10*(_xlfn.NORM.DIST(BE$3,$CV10,0.3*$CV10,TRUE)-_xlfn.NORM.DIST(BE$30,$CV10,0.3*$CV10,TRUE))*summary!$C$6/28.8/0.947817)/(SUMPRODUCT((economics!$AG$2:$AG$167=$B39)*(economics!$D$2:$D$167="whr")*economics!$AH$2:$AH$167*(_xlfn.NORM.DIST(BE$3,economics!$AK$2:$AK$167,economics!$AJ$2:$AJ$167,TRUE)-_xlfn.NORM.DIST(BE$30,economics!$AK$2:$AK$167,economics!$AJ$2:$AJ$167,TRUE)))+$CR10*(_xlfn.NORM.DIST(BE$3,$CU10,0.3*$CU10,TRUE)-_xlfn.NORM.DIST(BE$30,$CU10,0.3*$CU10,TRUE))+$CS10*(_xlfn.NORM.DIST(BE$3,$CV10,0.3*$CV10,TRUE)-_xlfn.NORM.DIST(BE$30,$CV10,0.3*$CV10,TRUE))),""),IF($C10&gt;0,summary!$C$10/28.8/0.947817,""))</f>
        <v/>
      </c>
      <c r="BF39">
        <f t="array" ref="BF39">IF($D10,IFERROR((SUMPRODUCT((economics!$AG$2:$AG$167=$B39)*(economics!$D$2:$D$167="whr")*economics!$AH$2:$AH$167*(_xlfn.NORM.DIST(BF$3,economics!$AK$2:$AK$167,economics!$AJ$2:$AJ$167,TRUE)-_xlfn.NORM.DIST(BF$30,economics!$AK$2:$AK$167,economics!$AJ$2:$AJ$167,TRUE))*economics!$AM$2:$AM$167)+$CR10*(_xlfn.NORM.DIST(BF$3,$CU10,0.3*$CU10,TRUE)-_xlfn.NORM.DIST(BF$30,$CU10,0.3*$CU10,TRUE))*summary!$C$7/28.8/0.947817+$CS10*(_xlfn.NORM.DIST(BF$3,$CV10,0.3*$CV10,TRUE)-_xlfn.NORM.DIST(BF$30,$CV10,0.3*$CV10,TRUE))*summary!$C$6/28.8/0.947817)/(SUMPRODUCT((economics!$AG$2:$AG$167=$B39)*(economics!$D$2:$D$167="whr")*economics!$AH$2:$AH$167*(_xlfn.NORM.DIST(BF$3,economics!$AK$2:$AK$167,economics!$AJ$2:$AJ$167,TRUE)-_xlfn.NORM.DIST(BF$30,economics!$AK$2:$AK$167,economics!$AJ$2:$AJ$167,TRUE)))+$CR10*(_xlfn.NORM.DIST(BF$3,$CU10,0.3*$CU10,TRUE)-_xlfn.NORM.DIST(BF$30,$CU10,0.3*$CU10,TRUE))+$CS10*(_xlfn.NORM.DIST(BF$3,$CV10,0.3*$CV10,TRUE)-_xlfn.NORM.DIST(BF$30,$CV10,0.3*$CV10,TRUE))),""),IF($C10&gt;0,summary!$C$10/28.8/0.947817,""))</f>
        <v/>
      </c>
      <c r="BG39">
        <f t="array" ref="BG39">IF($D10,IFERROR((SUMPRODUCT((economics!$AG$2:$AG$167=$B39)*(economics!$D$2:$D$167="whr")*economics!$AH$2:$AH$167*(_xlfn.NORM.DIST(BG$3,economics!$AK$2:$AK$167,economics!$AJ$2:$AJ$167,TRUE)-_xlfn.NORM.DIST(BG$30,economics!$AK$2:$AK$167,economics!$AJ$2:$AJ$167,TRUE))*economics!$AM$2:$AM$167)+$CR10*(_xlfn.NORM.DIST(BG$3,$CU10,0.3*$CU10,TRUE)-_xlfn.NORM.DIST(BG$30,$CU10,0.3*$CU10,TRUE))*summary!$C$7/28.8/0.947817+$CS10*(_xlfn.NORM.DIST(BG$3,$CV10,0.3*$CV10,TRUE)-_xlfn.NORM.DIST(BG$30,$CV10,0.3*$CV10,TRUE))*summary!$C$6/28.8/0.947817)/(SUMPRODUCT((economics!$AG$2:$AG$167=$B39)*(economics!$D$2:$D$167="whr")*economics!$AH$2:$AH$167*(_xlfn.NORM.DIST(BG$3,economics!$AK$2:$AK$167,economics!$AJ$2:$AJ$167,TRUE)-_xlfn.NORM.DIST(BG$30,economics!$AK$2:$AK$167,economics!$AJ$2:$AJ$167,TRUE)))+$CR10*(_xlfn.NORM.DIST(BG$3,$CU10,0.3*$CU10,TRUE)-_xlfn.NORM.DIST(BG$30,$CU10,0.3*$CU10,TRUE))+$CS10*(_xlfn.NORM.DIST(BG$3,$CV10,0.3*$CV10,TRUE)-_xlfn.NORM.DIST(BG$30,$CV10,0.3*$CV10,TRUE))),""),IF($C10&gt;0,summary!$C$10/28.8/0.947817,""))</f>
        <v/>
      </c>
      <c r="BH39">
        <f t="array" ref="BH39">IF($D10,IFERROR((SUMPRODUCT((economics!$AG$2:$AG$167=$B39)*(economics!$D$2:$D$167="whr")*economics!$AH$2:$AH$167*(_xlfn.NORM.DIST(BH$3,economics!$AK$2:$AK$167,economics!$AJ$2:$AJ$167,TRUE)-_xlfn.NORM.DIST(BH$30,economics!$AK$2:$AK$167,economics!$AJ$2:$AJ$167,TRUE))*economics!$AM$2:$AM$167)+$CR10*(_xlfn.NORM.DIST(BH$3,$CU10,0.3*$CU10,TRUE)-_xlfn.NORM.DIST(BH$30,$CU10,0.3*$CU10,TRUE))*summary!$C$7/28.8/0.947817+$CS10*(_xlfn.NORM.DIST(BH$3,$CV10,0.3*$CV10,TRUE)-_xlfn.NORM.DIST(BH$30,$CV10,0.3*$CV10,TRUE))*summary!$C$6/28.8/0.947817)/(SUMPRODUCT((economics!$AG$2:$AG$167=$B39)*(economics!$D$2:$D$167="whr")*economics!$AH$2:$AH$167*(_xlfn.NORM.DIST(BH$3,economics!$AK$2:$AK$167,economics!$AJ$2:$AJ$167,TRUE)-_xlfn.NORM.DIST(BH$30,economics!$AK$2:$AK$167,economics!$AJ$2:$AJ$167,TRUE)))+$CR10*(_xlfn.NORM.DIST(BH$3,$CU10,0.3*$CU10,TRUE)-_xlfn.NORM.DIST(BH$30,$CU10,0.3*$CU10,TRUE))+$CS10*(_xlfn.NORM.DIST(BH$3,$CV10,0.3*$CV10,TRUE)-_xlfn.NORM.DIST(BH$30,$CV10,0.3*$CV10,TRUE))),""),IF($C10&gt;0,summary!$C$10/28.8/0.947817,""))</f>
        <v/>
      </c>
      <c r="BI39">
        <f t="array" ref="BI39">IF($D10,IFERROR((SUMPRODUCT((economics!$AG$2:$AG$167=$B39)*(economics!$D$2:$D$167="whr")*economics!$AH$2:$AH$167*(_xlfn.NORM.DIST(BI$3,economics!$AK$2:$AK$167,economics!$AJ$2:$AJ$167,TRUE)-_xlfn.NORM.DIST(BI$30,economics!$AK$2:$AK$167,economics!$AJ$2:$AJ$167,TRUE))*economics!$AM$2:$AM$167)+$CR10*(_xlfn.NORM.DIST(BI$3,$CU10,0.3*$CU10,TRUE)-_xlfn.NORM.DIST(BI$30,$CU10,0.3*$CU10,TRUE))*summary!$C$7/28.8/0.947817+$CS10*(_xlfn.NORM.DIST(BI$3,$CV10,0.3*$CV10,TRUE)-_xlfn.NORM.DIST(BI$30,$CV10,0.3*$CV10,TRUE))*summary!$C$6/28.8/0.947817)/(SUMPRODUCT((economics!$AG$2:$AG$167=$B39)*(economics!$D$2:$D$167="whr")*economics!$AH$2:$AH$167*(_xlfn.NORM.DIST(BI$3,economics!$AK$2:$AK$167,economics!$AJ$2:$AJ$167,TRUE)-_xlfn.NORM.DIST(BI$30,economics!$AK$2:$AK$167,economics!$AJ$2:$AJ$167,TRUE)))+$CR10*(_xlfn.NORM.DIST(BI$3,$CU10,0.3*$CU10,TRUE)-_xlfn.NORM.DIST(BI$30,$CU10,0.3*$CU10,TRUE))+$CS10*(_xlfn.NORM.DIST(BI$3,$CV10,0.3*$CV10,TRUE)-_xlfn.NORM.DIST(BI$30,$CV10,0.3*$CV10,TRUE))),""),IF($C10&gt;0,summary!$C$10/28.8/0.947817,""))</f>
        <v/>
      </c>
      <c r="BJ39">
        <f t="array" ref="BJ39">IF($D10,IFERROR((SUMPRODUCT((economics!$AG$2:$AG$167=$B39)*(economics!$D$2:$D$167="whr")*economics!$AH$2:$AH$167*(_xlfn.NORM.DIST(BJ$3,economics!$AK$2:$AK$167,economics!$AJ$2:$AJ$167,TRUE)-_xlfn.NORM.DIST(BJ$30,economics!$AK$2:$AK$167,economics!$AJ$2:$AJ$167,TRUE))*economics!$AM$2:$AM$167)+$CR10*(_xlfn.NORM.DIST(BJ$3,$CU10,0.3*$CU10,TRUE)-_xlfn.NORM.DIST(BJ$30,$CU10,0.3*$CU10,TRUE))*summary!$C$7/28.8/0.947817+$CS10*(_xlfn.NORM.DIST(BJ$3,$CV10,0.3*$CV10,TRUE)-_xlfn.NORM.DIST(BJ$30,$CV10,0.3*$CV10,TRUE))*summary!$C$6/28.8/0.947817)/(SUMPRODUCT((economics!$AG$2:$AG$167=$B39)*(economics!$D$2:$D$167="whr")*economics!$AH$2:$AH$167*(_xlfn.NORM.DIST(BJ$3,economics!$AK$2:$AK$167,economics!$AJ$2:$AJ$167,TRUE)-_xlfn.NORM.DIST(BJ$30,economics!$AK$2:$AK$167,economics!$AJ$2:$AJ$167,TRUE)))+$CR10*(_xlfn.NORM.DIST(BJ$3,$CU10,0.3*$CU10,TRUE)-_xlfn.NORM.DIST(BJ$30,$CU10,0.3*$CU10,TRUE))+$CS10*(_xlfn.NORM.DIST(BJ$3,$CV10,0.3*$CV10,TRUE)-_xlfn.NORM.DIST(BJ$30,$CV10,0.3*$CV10,TRUE))),""),IF($C10&gt;0,summary!$C$10/28.8/0.947817,""))</f>
        <v/>
      </c>
      <c r="BK39">
        <f t="array" ref="BK39">IF($D10,IFERROR((SUMPRODUCT((economics!$AG$2:$AG$167=$B39)*(economics!$D$2:$D$167="whr")*economics!$AH$2:$AH$167*(_xlfn.NORM.DIST(BK$3,economics!$AK$2:$AK$167,economics!$AJ$2:$AJ$167,TRUE)-_xlfn.NORM.DIST(BK$30,economics!$AK$2:$AK$167,economics!$AJ$2:$AJ$167,TRUE))*economics!$AM$2:$AM$167)+$CR10*(_xlfn.NORM.DIST(BK$3,$CU10,0.3*$CU10,TRUE)-_xlfn.NORM.DIST(BK$30,$CU10,0.3*$CU10,TRUE))*summary!$C$7/28.8/0.947817+$CS10*(_xlfn.NORM.DIST(BK$3,$CV10,0.3*$CV10,TRUE)-_xlfn.NORM.DIST(BK$30,$CV10,0.3*$CV10,TRUE))*summary!$C$6/28.8/0.947817)/(SUMPRODUCT((economics!$AG$2:$AG$167=$B39)*(economics!$D$2:$D$167="whr")*economics!$AH$2:$AH$167*(_xlfn.NORM.DIST(BK$3,economics!$AK$2:$AK$167,economics!$AJ$2:$AJ$167,TRUE)-_xlfn.NORM.DIST(BK$30,economics!$AK$2:$AK$167,economics!$AJ$2:$AJ$167,TRUE)))+$CR10*(_xlfn.NORM.DIST(BK$3,$CU10,0.3*$CU10,TRUE)-_xlfn.NORM.DIST(BK$30,$CU10,0.3*$CU10,TRUE))+$CS10*(_xlfn.NORM.DIST(BK$3,$CV10,0.3*$CV10,TRUE)-_xlfn.NORM.DIST(BK$30,$CV10,0.3*$CV10,TRUE))),""),IF($C10&gt;0,summary!$C$10/28.8/0.947817,""))</f>
        <v/>
      </c>
      <c r="BL39">
        <f t="array" ref="BL39">IF($D10,IFERROR((SUMPRODUCT((economics!$AG$2:$AG$167=$B39)*(economics!$D$2:$D$167="whr")*economics!$AH$2:$AH$167*(_xlfn.NORM.DIST(BL$3,economics!$AK$2:$AK$167,economics!$AJ$2:$AJ$167,TRUE)-_xlfn.NORM.DIST(BL$30,economics!$AK$2:$AK$167,economics!$AJ$2:$AJ$167,TRUE))*economics!$AM$2:$AM$167)+$CR10*(_xlfn.NORM.DIST(BL$3,$CU10,0.3*$CU10,TRUE)-_xlfn.NORM.DIST(BL$30,$CU10,0.3*$CU10,TRUE))*summary!$C$7/28.8/0.947817+$CS10*(_xlfn.NORM.DIST(BL$3,$CV10,0.3*$CV10,TRUE)-_xlfn.NORM.DIST(BL$30,$CV10,0.3*$CV10,TRUE))*summary!$C$6/28.8/0.947817)/(SUMPRODUCT((economics!$AG$2:$AG$167=$B39)*(economics!$D$2:$D$167="whr")*economics!$AH$2:$AH$167*(_xlfn.NORM.DIST(BL$3,economics!$AK$2:$AK$167,economics!$AJ$2:$AJ$167,TRUE)-_xlfn.NORM.DIST(BL$30,economics!$AK$2:$AK$167,economics!$AJ$2:$AJ$167,TRUE)))+$CR10*(_xlfn.NORM.DIST(BL$3,$CU10,0.3*$CU10,TRUE)-_xlfn.NORM.DIST(BL$30,$CU10,0.3*$CU10,TRUE))+$CS10*(_xlfn.NORM.DIST(BL$3,$CV10,0.3*$CV10,TRUE)-_xlfn.NORM.DIST(BL$30,$CV10,0.3*$CV10,TRUE))),""),IF($C10&gt;0,summary!$C$10/28.8/0.947817,""))</f>
        <v/>
      </c>
      <c r="BM39">
        <f t="array" ref="BM39">IF($D10,IFERROR((SUMPRODUCT((economics!$AG$2:$AG$167=$B39)*(economics!$D$2:$D$167="whr")*economics!$AH$2:$AH$167*(_xlfn.NORM.DIST(BM$3,economics!$AK$2:$AK$167,economics!$AJ$2:$AJ$167,TRUE)-_xlfn.NORM.DIST(BM$30,economics!$AK$2:$AK$167,economics!$AJ$2:$AJ$167,TRUE))*economics!$AM$2:$AM$167)+$CR10*(_xlfn.NORM.DIST(BM$3,$CU10,0.3*$CU10,TRUE)-_xlfn.NORM.DIST(BM$30,$CU10,0.3*$CU10,TRUE))*summary!$C$7/28.8/0.947817+$CS10*(_xlfn.NORM.DIST(BM$3,$CV10,0.3*$CV10,TRUE)-_xlfn.NORM.DIST(BM$30,$CV10,0.3*$CV10,TRUE))*summary!$C$6/28.8/0.947817)/(SUMPRODUCT((economics!$AG$2:$AG$167=$B39)*(economics!$D$2:$D$167="whr")*economics!$AH$2:$AH$167*(_xlfn.NORM.DIST(BM$3,economics!$AK$2:$AK$167,economics!$AJ$2:$AJ$167,TRUE)-_xlfn.NORM.DIST(BM$30,economics!$AK$2:$AK$167,economics!$AJ$2:$AJ$167,TRUE)))+$CR10*(_xlfn.NORM.DIST(BM$3,$CU10,0.3*$CU10,TRUE)-_xlfn.NORM.DIST(BM$30,$CU10,0.3*$CU10,TRUE))+$CS10*(_xlfn.NORM.DIST(BM$3,$CV10,0.3*$CV10,TRUE)-_xlfn.NORM.DIST(BM$30,$CV10,0.3*$CV10,TRUE))),""),IF($C10&gt;0,summary!$C$10/28.8/0.947817,""))</f>
        <v/>
      </c>
      <c r="BN39">
        <f t="array" ref="BN39">IF($D10,IFERROR((SUMPRODUCT((economics!$AG$2:$AG$167=$B39)*(economics!$D$2:$D$167="whr")*economics!$AH$2:$AH$167*(_xlfn.NORM.DIST(BN$3,economics!$AK$2:$AK$167,economics!$AJ$2:$AJ$167,TRUE)-_xlfn.NORM.DIST(BN$30,economics!$AK$2:$AK$167,economics!$AJ$2:$AJ$167,TRUE))*economics!$AM$2:$AM$167)+$CR10*(_xlfn.NORM.DIST(BN$3,$CU10,0.3*$CU10,TRUE)-_xlfn.NORM.DIST(BN$30,$CU10,0.3*$CU10,TRUE))*summary!$C$7/28.8/0.947817+$CS10*(_xlfn.NORM.DIST(BN$3,$CV10,0.3*$CV10,TRUE)-_xlfn.NORM.DIST(BN$30,$CV10,0.3*$CV10,TRUE))*summary!$C$6/28.8/0.947817)/(SUMPRODUCT((economics!$AG$2:$AG$167=$B39)*(economics!$D$2:$D$167="whr")*economics!$AH$2:$AH$167*(_xlfn.NORM.DIST(BN$3,economics!$AK$2:$AK$167,economics!$AJ$2:$AJ$167,TRUE)-_xlfn.NORM.DIST(BN$30,economics!$AK$2:$AK$167,economics!$AJ$2:$AJ$167,TRUE)))+$CR10*(_xlfn.NORM.DIST(BN$3,$CU10,0.3*$CU10,TRUE)-_xlfn.NORM.DIST(BN$30,$CU10,0.3*$CU10,TRUE))+$CS10*(_xlfn.NORM.DIST(BN$3,$CV10,0.3*$CV10,TRUE)-_xlfn.NORM.DIST(BN$30,$CV10,0.3*$CV10,TRUE))),""),IF($C10&gt;0,summary!$C$10/28.8/0.947817,""))</f>
        <v/>
      </c>
      <c r="BO39">
        <f t="array" ref="BO39">IF($D10,IFERROR((SUMPRODUCT((economics!$AG$2:$AG$167=$B39)*(economics!$D$2:$D$167="whr")*economics!$AH$2:$AH$167*(_xlfn.NORM.DIST(BO$3,economics!$AK$2:$AK$167,economics!$AJ$2:$AJ$167,TRUE)-_xlfn.NORM.DIST(BO$30,economics!$AK$2:$AK$167,economics!$AJ$2:$AJ$167,TRUE))*economics!$AM$2:$AM$167)+$CR10*(_xlfn.NORM.DIST(BO$3,$CU10,0.3*$CU10,TRUE)-_xlfn.NORM.DIST(BO$30,$CU10,0.3*$CU10,TRUE))*summary!$C$7/28.8/0.947817+$CS10*(_xlfn.NORM.DIST(BO$3,$CV10,0.3*$CV10,TRUE)-_xlfn.NORM.DIST(BO$30,$CV10,0.3*$CV10,TRUE))*summary!$C$6/28.8/0.947817)/(SUMPRODUCT((economics!$AG$2:$AG$167=$B39)*(economics!$D$2:$D$167="whr")*economics!$AH$2:$AH$167*(_xlfn.NORM.DIST(BO$3,economics!$AK$2:$AK$167,economics!$AJ$2:$AJ$167,TRUE)-_xlfn.NORM.DIST(BO$30,economics!$AK$2:$AK$167,economics!$AJ$2:$AJ$167,TRUE)))+$CR10*(_xlfn.NORM.DIST(BO$3,$CU10,0.3*$CU10,TRUE)-_xlfn.NORM.DIST(BO$30,$CU10,0.3*$CU10,TRUE))+$CS10*(_xlfn.NORM.DIST(BO$3,$CV10,0.3*$CV10,TRUE)-_xlfn.NORM.DIST(BO$30,$CV10,0.3*$CV10,TRUE))),""),IF($C10&gt;0,summary!$C$10/28.8/0.947817,""))</f>
        <v/>
      </c>
      <c r="BP39">
        <f t="array" ref="BP39">IF($D10,IFERROR((SUMPRODUCT((economics!$AG$2:$AG$167=$B39)*(economics!$D$2:$D$167="whr")*economics!$AH$2:$AH$167*(_xlfn.NORM.DIST(BP$3,economics!$AK$2:$AK$167,economics!$AJ$2:$AJ$167,TRUE)-_xlfn.NORM.DIST(BP$30,economics!$AK$2:$AK$167,economics!$AJ$2:$AJ$167,TRUE))*economics!$AM$2:$AM$167)+$CR10*(_xlfn.NORM.DIST(BP$3,$CU10,0.3*$CU10,TRUE)-_xlfn.NORM.DIST(BP$30,$CU10,0.3*$CU10,TRUE))*summary!$C$7/28.8/0.947817+$CS10*(_xlfn.NORM.DIST(BP$3,$CV10,0.3*$CV10,TRUE)-_xlfn.NORM.DIST(BP$30,$CV10,0.3*$CV10,TRUE))*summary!$C$6/28.8/0.947817)/(SUMPRODUCT((economics!$AG$2:$AG$167=$B39)*(economics!$D$2:$D$167="whr")*economics!$AH$2:$AH$167*(_xlfn.NORM.DIST(BP$3,economics!$AK$2:$AK$167,economics!$AJ$2:$AJ$167,TRUE)-_xlfn.NORM.DIST(BP$30,economics!$AK$2:$AK$167,economics!$AJ$2:$AJ$167,TRUE)))+$CR10*(_xlfn.NORM.DIST(BP$3,$CU10,0.3*$CU10,TRUE)-_xlfn.NORM.DIST(BP$30,$CU10,0.3*$CU10,TRUE))+$CS10*(_xlfn.NORM.DIST(BP$3,$CV10,0.3*$CV10,TRUE)-_xlfn.NORM.DIST(BP$30,$CV10,0.3*$CV10,TRUE))),""),IF($C10&gt;0,summary!$C$10/28.8/0.947817,""))</f>
        <v/>
      </c>
      <c r="BQ39">
        <f t="array" ref="BQ39">IF($D10,IFERROR((SUMPRODUCT((economics!$AG$2:$AG$167=$B39)*(economics!$D$2:$D$167="whr")*economics!$AH$2:$AH$167*(_xlfn.NORM.DIST(BQ$3,economics!$AK$2:$AK$167,economics!$AJ$2:$AJ$167,TRUE)-_xlfn.NORM.DIST(BQ$30,economics!$AK$2:$AK$167,economics!$AJ$2:$AJ$167,TRUE))*economics!$AM$2:$AM$167)+$CR10*(_xlfn.NORM.DIST(BQ$3,$CU10,0.3*$CU10,TRUE)-_xlfn.NORM.DIST(BQ$30,$CU10,0.3*$CU10,TRUE))*summary!$C$7/28.8/0.947817+$CS10*(_xlfn.NORM.DIST(BQ$3,$CV10,0.3*$CV10,TRUE)-_xlfn.NORM.DIST(BQ$30,$CV10,0.3*$CV10,TRUE))*summary!$C$6/28.8/0.947817)/(SUMPRODUCT((economics!$AG$2:$AG$167=$B39)*(economics!$D$2:$D$167="whr")*economics!$AH$2:$AH$167*(_xlfn.NORM.DIST(BQ$3,economics!$AK$2:$AK$167,economics!$AJ$2:$AJ$167,TRUE)-_xlfn.NORM.DIST(BQ$30,economics!$AK$2:$AK$167,economics!$AJ$2:$AJ$167,TRUE)))+$CR10*(_xlfn.NORM.DIST(BQ$3,$CU10,0.3*$CU10,TRUE)-_xlfn.NORM.DIST(BQ$30,$CU10,0.3*$CU10,TRUE))+$CS10*(_xlfn.NORM.DIST(BQ$3,$CV10,0.3*$CV10,TRUE)-_xlfn.NORM.DIST(BQ$30,$CV10,0.3*$CV10,TRUE))),""),IF($C10&gt;0,summary!$C$10/28.8/0.947817,""))</f>
        <v/>
      </c>
      <c r="BR39">
        <f t="array" ref="BR39">IF($D10,IFERROR((SUMPRODUCT((economics!$AG$2:$AG$167=$B39)*(economics!$D$2:$D$167="whr")*economics!$AH$2:$AH$167*(_xlfn.NORM.DIST(BR$3,economics!$AK$2:$AK$167,economics!$AJ$2:$AJ$167,TRUE)-_xlfn.NORM.DIST(BR$30,economics!$AK$2:$AK$167,economics!$AJ$2:$AJ$167,TRUE))*economics!$AM$2:$AM$167)+$CR10*(_xlfn.NORM.DIST(BR$3,$CU10,0.3*$CU10,TRUE)-_xlfn.NORM.DIST(BR$30,$CU10,0.3*$CU10,TRUE))*summary!$C$7/28.8/0.947817+$CS10*(_xlfn.NORM.DIST(BR$3,$CV10,0.3*$CV10,TRUE)-_xlfn.NORM.DIST(BR$30,$CV10,0.3*$CV10,TRUE))*summary!$C$6/28.8/0.947817)/(SUMPRODUCT((economics!$AG$2:$AG$167=$B39)*(economics!$D$2:$D$167="whr")*economics!$AH$2:$AH$167*(_xlfn.NORM.DIST(BR$3,economics!$AK$2:$AK$167,economics!$AJ$2:$AJ$167,TRUE)-_xlfn.NORM.DIST(BR$30,economics!$AK$2:$AK$167,economics!$AJ$2:$AJ$167,TRUE)))+$CR10*(_xlfn.NORM.DIST(BR$3,$CU10,0.3*$CU10,TRUE)-_xlfn.NORM.DIST(BR$30,$CU10,0.3*$CU10,TRUE))+$CS10*(_xlfn.NORM.DIST(BR$3,$CV10,0.3*$CV10,TRUE)-_xlfn.NORM.DIST(BR$30,$CV10,0.3*$CV10,TRUE))),""),IF($C10&gt;0,summary!$C$10/28.8/0.947817,""))</f>
        <v/>
      </c>
      <c r="BS39">
        <f t="array" ref="BS39">IF($D10,IFERROR((SUMPRODUCT((economics!$AG$2:$AG$167=$B39)*(economics!$D$2:$D$167="whr")*economics!$AH$2:$AH$167*(_xlfn.NORM.DIST(BS$3,economics!$AK$2:$AK$167,economics!$AJ$2:$AJ$167,TRUE)-_xlfn.NORM.DIST(BS$30,economics!$AK$2:$AK$167,economics!$AJ$2:$AJ$167,TRUE))*economics!$AM$2:$AM$167)+$CR10*(_xlfn.NORM.DIST(BS$3,$CU10,0.3*$CU10,TRUE)-_xlfn.NORM.DIST(BS$30,$CU10,0.3*$CU10,TRUE))*summary!$C$7/28.8/0.947817+$CS10*(_xlfn.NORM.DIST(BS$3,$CV10,0.3*$CV10,TRUE)-_xlfn.NORM.DIST(BS$30,$CV10,0.3*$CV10,TRUE))*summary!$C$6/28.8/0.947817)/(SUMPRODUCT((economics!$AG$2:$AG$167=$B39)*(economics!$D$2:$D$167="whr")*economics!$AH$2:$AH$167*(_xlfn.NORM.DIST(BS$3,economics!$AK$2:$AK$167,economics!$AJ$2:$AJ$167,TRUE)-_xlfn.NORM.DIST(BS$30,economics!$AK$2:$AK$167,economics!$AJ$2:$AJ$167,TRUE)))+$CR10*(_xlfn.NORM.DIST(BS$3,$CU10,0.3*$CU10,TRUE)-_xlfn.NORM.DIST(BS$30,$CU10,0.3*$CU10,TRUE))+$CS10*(_xlfn.NORM.DIST(BS$3,$CV10,0.3*$CV10,TRUE)-_xlfn.NORM.DIST(BS$30,$CV10,0.3*$CV10,TRUE))),""),IF($C10&gt;0,summary!$C$10/28.8/0.947817,""))</f>
        <v/>
      </c>
      <c r="BT39">
        <f t="array" ref="BT39">IF($D10,IFERROR((SUMPRODUCT((economics!$AG$2:$AG$167=$B39)*(economics!$D$2:$D$167="whr")*economics!$AH$2:$AH$167*(_xlfn.NORM.DIST(BT$3,economics!$AK$2:$AK$167,economics!$AJ$2:$AJ$167,TRUE)-_xlfn.NORM.DIST(BT$30,economics!$AK$2:$AK$167,economics!$AJ$2:$AJ$167,TRUE))*economics!$AM$2:$AM$167)+$CR10*(_xlfn.NORM.DIST(BT$3,$CU10,0.3*$CU10,TRUE)-_xlfn.NORM.DIST(BT$30,$CU10,0.3*$CU10,TRUE))*summary!$C$7/28.8/0.947817+$CS10*(_xlfn.NORM.DIST(BT$3,$CV10,0.3*$CV10,TRUE)-_xlfn.NORM.DIST(BT$30,$CV10,0.3*$CV10,TRUE))*summary!$C$6/28.8/0.947817)/(SUMPRODUCT((economics!$AG$2:$AG$167=$B39)*(economics!$D$2:$D$167="whr")*economics!$AH$2:$AH$167*(_xlfn.NORM.DIST(BT$3,economics!$AK$2:$AK$167,economics!$AJ$2:$AJ$167,TRUE)-_xlfn.NORM.DIST(BT$30,economics!$AK$2:$AK$167,economics!$AJ$2:$AJ$167,TRUE)))+$CR10*(_xlfn.NORM.DIST(BT$3,$CU10,0.3*$CU10,TRUE)-_xlfn.NORM.DIST(BT$30,$CU10,0.3*$CU10,TRUE))+$CS10*(_xlfn.NORM.DIST(BT$3,$CV10,0.3*$CV10,TRUE)-_xlfn.NORM.DIST(BT$30,$CV10,0.3*$CV10,TRUE))),""),IF($C10&gt;0,summary!$C$10/28.8/0.947817,""))</f>
        <v/>
      </c>
      <c r="BU39">
        <f t="array" ref="BU39">IF($D10,IFERROR((SUMPRODUCT((economics!$AG$2:$AG$167=$B39)*(economics!$D$2:$D$167="whr")*economics!$AH$2:$AH$167*(_xlfn.NORM.DIST(BU$3,economics!$AK$2:$AK$167,economics!$AJ$2:$AJ$167,TRUE)-_xlfn.NORM.DIST(BU$30,economics!$AK$2:$AK$167,economics!$AJ$2:$AJ$167,TRUE))*economics!$AM$2:$AM$167)+$CR10*(_xlfn.NORM.DIST(BU$3,$CU10,0.3*$CU10,TRUE)-_xlfn.NORM.DIST(BU$30,$CU10,0.3*$CU10,TRUE))*summary!$C$7/28.8/0.947817+$CS10*(_xlfn.NORM.DIST(BU$3,$CV10,0.3*$CV10,TRUE)-_xlfn.NORM.DIST(BU$30,$CV10,0.3*$CV10,TRUE))*summary!$C$6/28.8/0.947817)/(SUMPRODUCT((economics!$AG$2:$AG$167=$B39)*(economics!$D$2:$D$167="whr")*economics!$AH$2:$AH$167*(_xlfn.NORM.DIST(BU$3,economics!$AK$2:$AK$167,economics!$AJ$2:$AJ$167,TRUE)-_xlfn.NORM.DIST(BU$30,economics!$AK$2:$AK$167,economics!$AJ$2:$AJ$167,TRUE)))+$CR10*(_xlfn.NORM.DIST(BU$3,$CU10,0.3*$CU10,TRUE)-_xlfn.NORM.DIST(BU$30,$CU10,0.3*$CU10,TRUE))+$CS10*(_xlfn.NORM.DIST(BU$3,$CV10,0.3*$CV10,TRUE)-_xlfn.NORM.DIST(BU$30,$CV10,0.3*$CV10,TRUE))),""),IF($C10&gt;0,summary!$C$10/28.8/0.947817,""))</f>
        <v/>
      </c>
      <c r="BV39">
        <f t="array" ref="BV39">IF($D10,IFERROR((SUMPRODUCT((economics!$AG$2:$AG$167=$B39)*(economics!$D$2:$D$167="whr")*economics!$AH$2:$AH$167*(_xlfn.NORM.DIST(BV$3,economics!$AK$2:$AK$167,economics!$AJ$2:$AJ$167,TRUE)-_xlfn.NORM.DIST(BV$30,economics!$AK$2:$AK$167,economics!$AJ$2:$AJ$167,TRUE))*economics!$AM$2:$AM$167)+$CR10*(_xlfn.NORM.DIST(BV$3,$CU10,0.3*$CU10,TRUE)-_xlfn.NORM.DIST(BV$30,$CU10,0.3*$CU10,TRUE))*summary!$C$7/28.8/0.947817+$CS10*(_xlfn.NORM.DIST(BV$3,$CV10,0.3*$CV10,TRUE)-_xlfn.NORM.DIST(BV$30,$CV10,0.3*$CV10,TRUE))*summary!$C$6/28.8/0.947817)/(SUMPRODUCT((economics!$AG$2:$AG$167=$B39)*(economics!$D$2:$D$167="whr")*economics!$AH$2:$AH$167*(_xlfn.NORM.DIST(BV$3,economics!$AK$2:$AK$167,economics!$AJ$2:$AJ$167,TRUE)-_xlfn.NORM.DIST(BV$30,economics!$AK$2:$AK$167,economics!$AJ$2:$AJ$167,TRUE)))+$CR10*(_xlfn.NORM.DIST(BV$3,$CU10,0.3*$CU10,TRUE)-_xlfn.NORM.DIST(BV$30,$CU10,0.3*$CU10,TRUE))+$CS10*(_xlfn.NORM.DIST(BV$3,$CV10,0.3*$CV10,TRUE)-_xlfn.NORM.DIST(BV$30,$CV10,0.3*$CV10,TRUE))),""),IF($C10&gt;0,summary!$C$10/28.8/0.947817,""))</f>
        <v/>
      </c>
      <c r="BW39">
        <f t="array" ref="BW39">IF($D10,IFERROR((SUMPRODUCT((economics!$AG$2:$AG$167=$B39)*(economics!$D$2:$D$167="whr")*economics!$AH$2:$AH$167*(_xlfn.NORM.DIST(BW$3,economics!$AK$2:$AK$167,economics!$AJ$2:$AJ$167,TRUE)-_xlfn.NORM.DIST(BW$30,economics!$AK$2:$AK$167,economics!$AJ$2:$AJ$167,TRUE))*economics!$AM$2:$AM$167)+$CR10*(_xlfn.NORM.DIST(BW$3,$CU10,0.3*$CU10,TRUE)-_xlfn.NORM.DIST(BW$30,$CU10,0.3*$CU10,TRUE))*summary!$C$7/28.8/0.947817+$CS10*(_xlfn.NORM.DIST(BW$3,$CV10,0.3*$CV10,TRUE)-_xlfn.NORM.DIST(BW$30,$CV10,0.3*$CV10,TRUE))*summary!$C$6/28.8/0.947817)/(SUMPRODUCT((economics!$AG$2:$AG$167=$B39)*(economics!$D$2:$D$167="whr")*economics!$AH$2:$AH$167*(_xlfn.NORM.DIST(BW$3,economics!$AK$2:$AK$167,economics!$AJ$2:$AJ$167,TRUE)-_xlfn.NORM.DIST(BW$30,economics!$AK$2:$AK$167,economics!$AJ$2:$AJ$167,TRUE)))+$CR10*(_xlfn.NORM.DIST(BW$3,$CU10,0.3*$CU10,TRUE)-_xlfn.NORM.DIST(BW$30,$CU10,0.3*$CU10,TRUE))+$CS10*(_xlfn.NORM.DIST(BW$3,$CV10,0.3*$CV10,TRUE)-_xlfn.NORM.DIST(BW$30,$CV10,0.3*$CV10,TRUE))),""),IF($C10&gt;0,summary!$C$10/28.8/0.947817,""))</f>
        <v/>
      </c>
      <c r="BX39">
        <f t="array" ref="BX39">IF($D10,IFERROR((SUMPRODUCT((economics!$AG$2:$AG$167=$B39)*(economics!$D$2:$D$167="whr")*economics!$AH$2:$AH$167*(_xlfn.NORM.DIST(BX$3,economics!$AK$2:$AK$167,economics!$AJ$2:$AJ$167,TRUE)-_xlfn.NORM.DIST(BX$30,economics!$AK$2:$AK$167,economics!$AJ$2:$AJ$167,TRUE))*economics!$AM$2:$AM$167)+$CR10*(_xlfn.NORM.DIST(BX$3,$CU10,0.3*$CU10,TRUE)-_xlfn.NORM.DIST(BX$30,$CU10,0.3*$CU10,TRUE))*summary!$C$7/28.8/0.947817+$CS10*(_xlfn.NORM.DIST(BX$3,$CV10,0.3*$CV10,TRUE)-_xlfn.NORM.DIST(BX$30,$CV10,0.3*$CV10,TRUE))*summary!$C$6/28.8/0.947817)/(SUMPRODUCT((economics!$AG$2:$AG$167=$B39)*(economics!$D$2:$D$167="whr")*economics!$AH$2:$AH$167*(_xlfn.NORM.DIST(BX$3,economics!$AK$2:$AK$167,economics!$AJ$2:$AJ$167,TRUE)-_xlfn.NORM.DIST(BX$30,economics!$AK$2:$AK$167,economics!$AJ$2:$AJ$167,TRUE)))+$CR10*(_xlfn.NORM.DIST(BX$3,$CU10,0.3*$CU10,TRUE)-_xlfn.NORM.DIST(BX$30,$CU10,0.3*$CU10,TRUE))+$CS10*(_xlfn.NORM.DIST(BX$3,$CV10,0.3*$CV10,TRUE)-_xlfn.NORM.DIST(BX$30,$CV10,0.3*$CV10,TRUE))),""),IF($C10&gt;0,summary!$C$10/28.8/0.947817,""))</f>
        <v/>
      </c>
      <c r="BY39">
        <f t="array" ref="BY39">IF($D10,IFERROR((SUMPRODUCT((economics!$AG$2:$AG$167=$B39)*(economics!$D$2:$D$167="whr")*economics!$AH$2:$AH$167*(_xlfn.NORM.DIST(BY$3,economics!$AK$2:$AK$167,economics!$AJ$2:$AJ$167,TRUE)-_xlfn.NORM.DIST(BY$30,economics!$AK$2:$AK$167,economics!$AJ$2:$AJ$167,TRUE))*economics!$AM$2:$AM$167)+$CR10*(_xlfn.NORM.DIST(BY$3,$CU10,0.3*$CU10,TRUE)-_xlfn.NORM.DIST(BY$30,$CU10,0.3*$CU10,TRUE))*summary!$C$7/28.8/0.947817+$CS10*(_xlfn.NORM.DIST(BY$3,$CV10,0.3*$CV10,TRUE)-_xlfn.NORM.DIST(BY$30,$CV10,0.3*$CV10,TRUE))*summary!$C$6/28.8/0.947817)/(SUMPRODUCT((economics!$AG$2:$AG$167=$B39)*(economics!$D$2:$D$167="whr")*economics!$AH$2:$AH$167*(_xlfn.NORM.DIST(BY$3,economics!$AK$2:$AK$167,economics!$AJ$2:$AJ$167,TRUE)-_xlfn.NORM.DIST(BY$30,economics!$AK$2:$AK$167,economics!$AJ$2:$AJ$167,TRUE)))+$CR10*(_xlfn.NORM.DIST(BY$3,$CU10,0.3*$CU10,TRUE)-_xlfn.NORM.DIST(BY$30,$CU10,0.3*$CU10,TRUE))+$CS10*(_xlfn.NORM.DIST(BY$3,$CV10,0.3*$CV10,TRUE)-_xlfn.NORM.DIST(BY$30,$CV10,0.3*$CV10,TRUE))),""),IF($C10&gt;0,summary!$C$10/28.8/0.947817,""))</f>
        <v/>
      </c>
      <c r="BZ39">
        <f t="array" ref="BZ39">IF($D10,IFERROR((SUMPRODUCT((economics!$AG$2:$AG$167=$B39)*(economics!$D$2:$D$167="whr")*economics!$AH$2:$AH$167*(_xlfn.NORM.DIST(BZ$3,economics!$AK$2:$AK$167,economics!$AJ$2:$AJ$167,TRUE)-_xlfn.NORM.DIST(BZ$30,economics!$AK$2:$AK$167,economics!$AJ$2:$AJ$167,TRUE))*economics!$AM$2:$AM$167)+$CR10*(_xlfn.NORM.DIST(BZ$3,$CU10,0.3*$CU10,TRUE)-_xlfn.NORM.DIST(BZ$30,$CU10,0.3*$CU10,TRUE))*summary!$C$7/28.8/0.947817+$CS10*(_xlfn.NORM.DIST(BZ$3,$CV10,0.3*$CV10,TRUE)-_xlfn.NORM.DIST(BZ$30,$CV10,0.3*$CV10,TRUE))*summary!$C$6/28.8/0.947817)/(SUMPRODUCT((economics!$AG$2:$AG$167=$B39)*(economics!$D$2:$D$167="whr")*economics!$AH$2:$AH$167*(_xlfn.NORM.DIST(BZ$3,economics!$AK$2:$AK$167,economics!$AJ$2:$AJ$167,TRUE)-_xlfn.NORM.DIST(BZ$30,economics!$AK$2:$AK$167,economics!$AJ$2:$AJ$167,TRUE)))+$CR10*(_xlfn.NORM.DIST(BZ$3,$CU10,0.3*$CU10,TRUE)-_xlfn.NORM.DIST(BZ$30,$CU10,0.3*$CU10,TRUE))+$CS10*(_xlfn.NORM.DIST(BZ$3,$CV10,0.3*$CV10,TRUE)-_xlfn.NORM.DIST(BZ$30,$CV10,0.3*$CV10,TRUE))),""),IF($C10&gt;0,summary!$C$10/28.8/0.947817,""))</f>
        <v/>
      </c>
      <c r="CA39">
        <f t="array" ref="CA39">IF($D10,IFERROR((SUMPRODUCT((economics!$AG$2:$AG$167=$B39)*(economics!$D$2:$D$167="whr")*economics!$AH$2:$AH$167*(_xlfn.NORM.DIST(CA$3,economics!$AK$2:$AK$167,economics!$AJ$2:$AJ$167,TRUE)-_xlfn.NORM.DIST(CA$30,economics!$AK$2:$AK$167,economics!$AJ$2:$AJ$167,TRUE))*economics!$AM$2:$AM$167)+$CR10*(_xlfn.NORM.DIST(CA$3,$CU10,0.3*$CU10,TRUE)-_xlfn.NORM.DIST(CA$30,$CU10,0.3*$CU10,TRUE))*summary!$C$7/28.8/0.947817+$CS10*(_xlfn.NORM.DIST(CA$3,$CV10,0.3*$CV10,TRUE)-_xlfn.NORM.DIST(CA$30,$CV10,0.3*$CV10,TRUE))*summary!$C$6/28.8/0.947817)/(SUMPRODUCT((economics!$AG$2:$AG$167=$B39)*(economics!$D$2:$D$167="whr")*economics!$AH$2:$AH$167*(_xlfn.NORM.DIST(CA$3,economics!$AK$2:$AK$167,economics!$AJ$2:$AJ$167,TRUE)-_xlfn.NORM.DIST(CA$30,economics!$AK$2:$AK$167,economics!$AJ$2:$AJ$167,TRUE)))+$CR10*(_xlfn.NORM.DIST(CA$3,$CU10,0.3*$CU10,TRUE)-_xlfn.NORM.DIST(CA$30,$CU10,0.3*$CU10,TRUE))+$CS10*(_xlfn.NORM.DIST(CA$3,$CV10,0.3*$CV10,TRUE)-_xlfn.NORM.DIST(CA$30,$CV10,0.3*$CV10,TRUE))),""),IF($C10&gt;0,summary!$C$10/28.8/0.947817,""))</f>
        <v/>
      </c>
      <c r="CB39">
        <f t="array" ref="CB39">IF($D10,IFERROR((SUMPRODUCT((economics!$AG$2:$AG$167=$B39)*(economics!$D$2:$D$167="whr")*economics!$AH$2:$AH$167*(_xlfn.NORM.DIST(CB$3,economics!$AK$2:$AK$167,economics!$AJ$2:$AJ$167,TRUE)-_xlfn.NORM.DIST(CB$30,economics!$AK$2:$AK$167,economics!$AJ$2:$AJ$167,TRUE))*economics!$AM$2:$AM$167)+$CR10*(_xlfn.NORM.DIST(CB$3,$CU10,0.3*$CU10,TRUE)-_xlfn.NORM.DIST(CB$30,$CU10,0.3*$CU10,TRUE))*summary!$C$7/28.8/0.947817+$CS10*(_xlfn.NORM.DIST(CB$3,$CV10,0.3*$CV10,TRUE)-_xlfn.NORM.DIST(CB$30,$CV10,0.3*$CV10,TRUE))*summary!$C$6/28.8/0.947817)/(SUMPRODUCT((economics!$AG$2:$AG$167=$B39)*(economics!$D$2:$D$167="whr")*economics!$AH$2:$AH$167*(_xlfn.NORM.DIST(CB$3,economics!$AK$2:$AK$167,economics!$AJ$2:$AJ$167,TRUE)-_xlfn.NORM.DIST(CB$30,economics!$AK$2:$AK$167,economics!$AJ$2:$AJ$167,TRUE)))+$CR10*(_xlfn.NORM.DIST(CB$3,$CU10,0.3*$CU10,TRUE)-_xlfn.NORM.DIST(CB$30,$CU10,0.3*$CU10,TRUE))+$CS10*(_xlfn.NORM.DIST(CB$3,$CV10,0.3*$CV10,TRUE)-_xlfn.NORM.DIST(CB$30,$CV10,0.3*$CV10,TRUE))),""),IF($C10&gt;0,summary!$C$10/28.8/0.947817,""))</f>
        <v/>
      </c>
      <c r="CC39">
        <f t="array" ref="CC39">IF($D10,IFERROR((SUMPRODUCT((economics!$AG$2:$AG$167=$B39)*(economics!$D$2:$D$167="whr")*economics!$AH$2:$AH$167*(_xlfn.NORM.DIST(CC$3,economics!$AK$2:$AK$167,economics!$AJ$2:$AJ$167,TRUE)-_xlfn.NORM.DIST(CC$30,economics!$AK$2:$AK$167,economics!$AJ$2:$AJ$167,TRUE))*economics!$AM$2:$AM$167)+$CR10*(_xlfn.NORM.DIST(CC$3,$CU10,0.3*$CU10,TRUE)-_xlfn.NORM.DIST(CC$30,$CU10,0.3*$CU10,TRUE))*summary!$C$7/28.8/0.947817+$CS10*(_xlfn.NORM.DIST(CC$3,$CV10,0.3*$CV10,TRUE)-_xlfn.NORM.DIST(CC$30,$CV10,0.3*$CV10,TRUE))*summary!$C$6/28.8/0.947817)/(SUMPRODUCT((economics!$AG$2:$AG$167=$B39)*(economics!$D$2:$D$167="whr")*economics!$AH$2:$AH$167*(_xlfn.NORM.DIST(CC$3,economics!$AK$2:$AK$167,economics!$AJ$2:$AJ$167,TRUE)-_xlfn.NORM.DIST(CC$30,economics!$AK$2:$AK$167,economics!$AJ$2:$AJ$167,TRUE)))+$CR10*(_xlfn.NORM.DIST(CC$3,$CU10,0.3*$CU10,TRUE)-_xlfn.NORM.DIST(CC$30,$CU10,0.3*$CU10,TRUE))+$CS10*(_xlfn.NORM.DIST(CC$3,$CV10,0.3*$CV10,TRUE)-_xlfn.NORM.DIST(CC$30,$CV10,0.3*$CV10,TRUE))),""),IF($C10&gt;0,summary!$C$10/28.8/0.947817,""))</f>
        <v/>
      </c>
      <c r="CD39">
        <f t="array" ref="CD39">IF($D10,IFERROR((SUMPRODUCT((economics!$AG$2:$AG$167=$B39)*(economics!$D$2:$D$167="whr")*economics!$AH$2:$AH$167*(_xlfn.NORM.DIST(CD$3,economics!$AK$2:$AK$167,economics!$AJ$2:$AJ$167,TRUE)-_xlfn.NORM.DIST(CD$30,economics!$AK$2:$AK$167,economics!$AJ$2:$AJ$167,TRUE))*economics!$AM$2:$AM$167)+$CR10*(_xlfn.NORM.DIST(CD$3,$CU10,0.3*$CU10,TRUE)-_xlfn.NORM.DIST(CD$30,$CU10,0.3*$CU10,TRUE))*summary!$C$7/28.8/0.947817+$CS10*(_xlfn.NORM.DIST(CD$3,$CV10,0.3*$CV10,TRUE)-_xlfn.NORM.DIST(CD$30,$CV10,0.3*$CV10,TRUE))*summary!$C$6/28.8/0.947817)/(SUMPRODUCT((economics!$AG$2:$AG$167=$B39)*(economics!$D$2:$D$167="whr")*economics!$AH$2:$AH$167*(_xlfn.NORM.DIST(CD$3,economics!$AK$2:$AK$167,economics!$AJ$2:$AJ$167,TRUE)-_xlfn.NORM.DIST(CD$30,economics!$AK$2:$AK$167,economics!$AJ$2:$AJ$167,TRUE)))+$CR10*(_xlfn.NORM.DIST(CD$3,$CU10,0.3*$CU10,TRUE)-_xlfn.NORM.DIST(CD$30,$CU10,0.3*$CU10,TRUE))+$CS10*(_xlfn.NORM.DIST(CD$3,$CV10,0.3*$CV10,TRUE)-_xlfn.NORM.DIST(CD$30,$CV10,0.3*$CV10,TRUE))),""),IF($C10&gt;0,summary!$C$10/28.8/0.947817,""))</f>
        <v/>
      </c>
      <c r="CE39">
        <f t="array" ref="CE39">IF($D10,IFERROR((SUMPRODUCT((economics!$AG$2:$AG$167=$B39)*(economics!$D$2:$D$167="whr")*economics!$AH$2:$AH$167*(_xlfn.NORM.DIST(CE$3,economics!$AK$2:$AK$167,economics!$AJ$2:$AJ$167,TRUE)-_xlfn.NORM.DIST(CE$30,economics!$AK$2:$AK$167,economics!$AJ$2:$AJ$167,TRUE))*economics!$AM$2:$AM$167)+$CR10*(_xlfn.NORM.DIST(CE$3,$CU10,0.3*$CU10,TRUE)-_xlfn.NORM.DIST(CE$30,$CU10,0.3*$CU10,TRUE))*summary!$C$7/28.8/0.947817+$CS10*(_xlfn.NORM.DIST(CE$3,$CV10,0.3*$CV10,TRUE)-_xlfn.NORM.DIST(CE$30,$CV10,0.3*$CV10,TRUE))*summary!$C$6/28.8/0.947817)/(SUMPRODUCT((economics!$AG$2:$AG$167=$B39)*(economics!$D$2:$D$167="whr")*economics!$AH$2:$AH$167*(_xlfn.NORM.DIST(CE$3,economics!$AK$2:$AK$167,economics!$AJ$2:$AJ$167,TRUE)-_xlfn.NORM.DIST(CE$30,economics!$AK$2:$AK$167,economics!$AJ$2:$AJ$167,TRUE)))+$CR10*(_xlfn.NORM.DIST(CE$3,$CU10,0.3*$CU10,TRUE)-_xlfn.NORM.DIST(CE$30,$CU10,0.3*$CU10,TRUE))+$CS10*(_xlfn.NORM.DIST(CE$3,$CV10,0.3*$CV10,TRUE)-_xlfn.NORM.DIST(CE$30,$CV10,0.3*$CV10,TRUE))),""),IF($C10&gt;0,summary!$C$10/28.8/0.947817,""))</f>
        <v/>
      </c>
      <c r="CF39">
        <f t="array" ref="CF39">IF($D10,IFERROR((SUMPRODUCT((economics!$AG$2:$AG$167=$B39)*(economics!$D$2:$D$167="whr")*economics!$AH$2:$AH$167*(_xlfn.NORM.DIST(CF$3,economics!$AK$2:$AK$167,economics!$AJ$2:$AJ$167,TRUE)-_xlfn.NORM.DIST(CF$30,economics!$AK$2:$AK$167,economics!$AJ$2:$AJ$167,TRUE))*economics!$AM$2:$AM$167)+$CR10*(_xlfn.NORM.DIST(CF$3,$CU10,0.3*$CU10,TRUE)-_xlfn.NORM.DIST(CF$30,$CU10,0.3*$CU10,TRUE))*summary!$C$7/28.8/0.947817+$CS10*(_xlfn.NORM.DIST(CF$3,$CV10,0.3*$CV10,TRUE)-_xlfn.NORM.DIST(CF$30,$CV10,0.3*$CV10,TRUE))*summary!$C$6/28.8/0.947817)/(SUMPRODUCT((economics!$AG$2:$AG$167=$B39)*(economics!$D$2:$D$167="whr")*economics!$AH$2:$AH$167*(_xlfn.NORM.DIST(CF$3,economics!$AK$2:$AK$167,economics!$AJ$2:$AJ$167,TRUE)-_xlfn.NORM.DIST(CF$30,economics!$AK$2:$AK$167,economics!$AJ$2:$AJ$167,TRUE)))+$CR10*(_xlfn.NORM.DIST(CF$3,$CU10,0.3*$CU10,TRUE)-_xlfn.NORM.DIST(CF$30,$CU10,0.3*$CU10,TRUE))+$CS10*(_xlfn.NORM.DIST(CF$3,$CV10,0.3*$CV10,TRUE)-_xlfn.NORM.DIST(CF$30,$CV10,0.3*$CV10,TRUE))),""),IF($C10&gt;0,summary!$C$10/28.8/0.947817,""))</f>
        <v/>
      </c>
      <c r="CG39">
        <f t="array" ref="CG39">IF($D10,IFERROR((SUMPRODUCT((economics!$AG$2:$AG$167=$B39)*(economics!$D$2:$D$167="whr")*economics!$AH$2:$AH$167*(_xlfn.NORM.DIST(CG$3,economics!$AK$2:$AK$167,economics!$AJ$2:$AJ$167,TRUE)-_xlfn.NORM.DIST(CG$30,economics!$AK$2:$AK$167,economics!$AJ$2:$AJ$167,TRUE))*economics!$AM$2:$AM$167)+$CR10*(_xlfn.NORM.DIST(CG$3,$CU10,0.3*$CU10,TRUE)-_xlfn.NORM.DIST(CG$30,$CU10,0.3*$CU10,TRUE))*summary!$C$7/28.8/0.947817+$CS10*(_xlfn.NORM.DIST(CG$3,$CV10,0.3*$CV10,TRUE)-_xlfn.NORM.DIST(CG$30,$CV10,0.3*$CV10,TRUE))*summary!$C$6/28.8/0.947817)/(SUMPRODUCT((economics!$AG$2:$AG$167=$B39)*(economics!$D$2:$D$167="whr")*economics!$AH$2:$AH$167*(_xlfn.NORM.DIST(CG$3,economics!$AK$2:$AK$167,economics!$AJ$2:$AJ$167,TRUE)-_xlfn.NORM.DIST(CG$30,economics!$AK$2:$AK$167,economics!$AJ$2:$AJ$167,TRUE)))+$CR10*(_xlfn.NORM.DIST(CG$3,$CU10,0.3*$CU10,TRUE)-_xlfn.NORM.DIST(CG$30,$CU10,0.3*$CU10,TRUE))+$CS10*(_xlfn.NORM.DIST(CG$3,$CV10,0.3*$CV10,TRUE)-_xlfn.NORM.DIST(CG$30,$CV10,0.3*$CV10,TRUE))),""),IF($C10&gt;0,summary!$C$10/28.8/0.947817,""))</f>
        <v/>
      </c>
      <c r="CH39">
        <f t="array" ref="CH39">IF($D10,IFERROR((SUMPRODUCT((economics!$AG$2:$AG$167=$B39)*(economics!$D$2:$D$167="whr")*economics!$AH$2:$AH$167*(_xlfn.NORM.DIST(CH$3,economics!$AK$2:$AK$167,economics!$AJ$2:$AJ$167,TRUE)-_xlfn.NORM.DIST(CH$30,economics!$AK$2:$AK$167,economics!$AJ$2:$AJ$167,TRUE))*economics!$AM$2:$AM$167)+$CR10*(_xlfn.NORM.DIST(CH$3,$CU10,0.3*$CU10,TRUE)-_xlfn.NORM.DIST(CH$30,$CU10,0.3*$CU10,TRUE))*summary!$C$7/28.8/0.947817+$CS10*(_xlfn.NORM.DIST(CH$3,$CV10,0.3*$CV10,TRUE)-_xlfn.NORM.DIST(CH$30,$CV10,0.3*$CV10,TRUE))*summary!$C$6/28.8/0.947817)/(SUMPRODUCT((economics!$AG$2:$AG$167=$B39)*(economics!$D$2:$D$167="whr")*economics!$AH$2:$AH$167*(_xlfn.NORM.DIST(CH$3,economics!$AK$2:$AK$167,economics!$AJ$2:$AJ$167,TRUE)-_xlfn.NORM.DIST(CH$30,economics!$AK$2:$AK$167,economics!$AJ$2:$AJ$167,TRUE)))+$CR10*(_xlfn.NORM.DIST(CH$3,$CU10,0.3*$CU10,TRUE)-_xlfn.NORM.DIST(CH$30,$CU10,0.3*$CU10,TRUE))+$CS10*(_xlfn.NORM.DIST(CH$3,$CV10,0.3*$CV10,TRUE)-_xlfn.NORM.DIST(CH$30,$CV10,0.3*$CV10,TRUE))),""),IF($C10&gt;0,summary!$C$10/28.8/0.947817,""))</f>
        <v/>
      </c>
    </row>
    <row r="40">
      <c r="A40">
        <f>A11</f>
        <v/>
      </c>
      <c r="B40">
        <f>B11</f>
        <v/>
      </c>
      <c r="E40">
        <f t="array" ref="E40">IF($D11,IFERROR((SUMPRODUCT((economics!$AG$2:$AG$167=$B40)*(economics!$D$2:$D$167="whr")*economics!$AH$2:$AH$167*(_xlfn.NORM.DIST(E$3,economics!$AK$2:$AK$167,economics!$AJ$2:$AJ$167,TRUE)-_xlfn.NORM.DIST(E$30,economics!$AK$2:$AK$167,economics!$AJ$2:$AJ$167,TRUE))*economics!$AM$2:$AM$167)+$CR11*(_xlfn.NORM.DIST(E$3,$CU11,0.3*$CU11,TRUE)-_xlfn.NORM.DIST(E$30,$CU11,0.3*$CU11,TRUE))*summary!$C$7/28.8/0.947817+$CS11*(_xlfn.NORM.DIST(E$3,$CV11,0.3*$CV11,TRUE)-_xlfn.NORM.DIST(E$30,$CV11,0.3*$CV11,TRUE))*summary!$C$6/28.8/0.947817)/(SUMPRODUCT((economics!$AG$2:$AG$167=$B40)*(economics!$D$2:$D$167="whr")*economics!$AH$2:$AH$167*(_xlfn.NORM.DIST(E$3,economics!$AK$2:$AK$167,economics!$AJ$2:$AJ$167,TRUE)-_xlfn.NORM.DIST(E$30,economics!$AK$2:$AK$167,economics!$AJ$2:$AJ$167,TRUE)))+$CR11*(_xlfn.NORM.DIST(E$3,$CU11,0.3*$CU11,TRUE)-_xlfn.NORM.DIST(E$30,$CU11,0.3*$CU11,TRUE))+$CS11*(_xlfn.NORM.DIST(E$3,$CV11,0.3*$CV11,TRUE)-_xlfn.NORM.DIST(E$30,$CV11,0.3*$CV11,TRUE))),""),IF($C11&gt;0,summary!$C$10/28.8/0.947817,""))</f>
        <v/>
      </c>
      <c r="F40">
        <f t="array" ref="F40">IF($D11,IFERROR((SUMPRODUCT((economics!$AG$2:$AG$167=$B40)*(economics!$D$2:$D$167="whr")*economics!$AH$2:$AH$167*(_xlfn.NORM.DIST(F$3,economics!$AK$2:$AK$167,economics!$AJ$2:$AJ$167,TRUE)-_xlfn.NORM.DIST(F$30,economics!$AK$2:$AK$167,economics!$AJ$2:$AJ$167,TRUE))*economics!$AM$2:$AM$167)+$CR11*(_xlfn.NORM.DIST(F$3,$CU11,0.3*$CU11,TRUE)-_xlfn.NORM.DIST(F$30,$CU11,0.3*$CU11,TRUE))*summary!$C$7/28.8/0.947817+$CS11*(_xlfn.NORM.DIST(F$3,$CV11,0.3*$CV11,TRUE)-_xlfn.NORM.DIST(F$30,$CV11,0.3*$CV11,TRUE))*summary!$C$6/28.8/0.947817)/(SUMPRODUCT((economics!$AG$2:$AG$167=$B40)*(economics!$D$2:$D$167="whr")*economics!$AH$2:$AH$167*(_xlfn.NORM.DIST(F$3,economics!$AK$2:$AK$167,economics!$AJ$2:$AJ$167,TRUE)-_xlfn.NORM.DIST(F$30,economics!$AK$2:$AK$167,economics!$AJ$2:$AJ$167,TRUE)))+$CR11*(_xlfn.NORM.DIST(F$3,$CU11,0.3*$CU11,TRUE)-_xlfn.NORM.DIST(F$30,$CU11,0.3*$CU11,TRUE))+$CS11*(_xlfn.NORM.DIST(F$3,$CV11,0.3*$CV11,TRUE)-_xlfn.NORM.DIST(F$30,$CV11,0.3*$CV11,TRUE))),""),IF($C11&gt;0,summary!$C$10/28.8/0.947817,""))</f>
        <v/>
      </c>
      <c r="G40">
        <f t="array" ref="G40">IF($D11,IFERROR((SUMPRODUCT((economics!$AG$2:$AG$167=$B40)*(economics!$D$2:$D$167="whr")*economics!$AH$2:$AH$167*(_xlfn.NORM.DIST(G$3,economics!$AK$2:$AK$167,economics!$AJ$2:$AJ$167,TRUE)-_xlfn.NORM.DIST(G$30,economics!$AK$2:$AK$167,economics!$AJ$2:$AJ$167,TRUE))*economics!$AM$2:$AM$167)+$CR11*(_xlfn.NORM.DIST(G$3,$CU11,0.3*$CU11,TRUE)-_xlfn.NORM.DIST(G$30,$CU11,0.3*$CU11,TRUE))*summary!$C$7/28.8/0.947817+$CS11*(_xlfn.NORM.DIST(G$3,$CV11,0.3*$CV11,TRUE)-_xlfn.NORM.DIST(G$30,$CV11,0.3*$CV11,TRUE))*summary!$C$6/28.8/0.947817)/(SUMPRODUCT((economics!$AG$2:$AG$167=$B40)*(economics!$D$2:$D$167="whr")*economics!$AH$2:$AH$167*(_xlfn.NORM.DIST(G$3,economics!$AK$2:$AK$167,economics!$AJ$2:$AJ$167,TRUE)-_xlfn.NORM.DIST(G$30,economics!$AK$2:$AK$167,economics!$AJ$2:$AJ$167,TRUE)))+$CR11*(_xlfn.NORM.DIST(G$3,$CU11,0.3*$CU11,TRUE)-_xlfn.NORM.DIST(G$30,$CU11,0.3*$CU11,TRUE))+$CS11*(_xlfn.NORM.DIST(G$3,$CV11,0.3*$CV11,TRUE)-_xlfn.NORM.DIST(G$30,$CV11,0.3*$CV11,TRUE))),""),IF($C11&gt;0,summary!$C$10/28.8/0.947817,""))</f>
        <v/>
      </c>
      <c r="H40">
        <f t="array" ref="H40">IF($D11,IFERROR((SUMPRODUCT((economics!$AG$2:$AG$167=$B40)*(economics!$D$2:$D$167="whr")*economics!$AH$2:$AH$167*(_xlfn.NORM.DIST(H$3,economics!$AK$2:$AK$167,economics!$AJ$2:$AJ$167,TRUE)-_xlfn.NORM.DIST(H$30,economics!$AK$2:$AK$167,economics!$AJ$2:$AJ$167,TRUE))*economics!$AM$2:$AM$167)+$CR11*(_xlfn.NORM.DIST(H$3,$CU11,0.3*$CU11,TRUE)-_xlfn.NORM.DIST(H$30,$CU11,0.3*$CU11,TRUE))*summary!$C$7/28.8/0.947817+$CS11*(_xlfn.NORM.DIST(H$3,$CV11,0.3*$CV11,TRUE)-_xlfn.NORM.DIST(H$30,$CV11,0.3*$CV11,TRUE))*summary!$C$6/28.8/0.947817)/(SUMPRODUCT((economics!$AG$2:$AG$167=$B40)*(economics!$D$2:$D$167="whr")*economics!$AH$2:$AH$167*(_xlfn.NORM.DIST(H$3,economics!$AK$2:$AK$167,economics!$AJ$2:$AJ$167,TRUE)-_xlfn.NORM.DIST(H$30,economics!$AK$2:$AK$167,economics!$AJ$2:$AJ$167,TRUE)))+$CR11*(_xlfn.NORM.DIST(H$3,$CU11,0.3*$CU11,TRUE)-_xlfn.NORM.DIST(H$30,$CU11,0.3*$CU11,TRUE))+$CS11*(_xlfn.NORM.DIST(H$3,$CV11,0.3*$CV11,TRUE)-_xlfn.NORM.DIST(H$30,$CV11,0.3*$CV11,TRUE))),""),IF($C11&gt;0,summary!$C$10/28.8/0.947817,""))</f>
        <v/>
      </c>
      <c r="I40">
        <f t="array" ref="I40">IF($D11,IFERROR((SUMPRODUCT((economics!$AG$2:$AG$167=$B40)*(economics!$D$2:$D$167="whr")*economics!$AH$2:$AH$167*(_xlfn.NORM.DIST(I$3,economics!$AK$2:$AK$167,economics!$AJ$2:$AJ$167,TRUE)-_xlfn.NORM.DIST(I$30,economics!$AK$2:$AK$167,economics!$AJ$2:$AJ$167,TRUE))*economics!$AM$2:$AM$167)+$CR11*(_xlfn.NORM.DIST(I$3,$CU11,0.3*$CU11,TRUE)-_xlfn.NORM.DIST(I$30,$CU11,0.3*$CU11,TRUE))*summary!$C$7/28.8/0.947817+$CS11*(_xlfn.NORM.DIST(I$3,$CV11,0.3*$CV11,TRUE)-_xlfn.NORM.DIST(I$30,$CV11,0.3*$CV11,TRUE))*summary!$C$6/28.8/0.947817)/(SUMPRODUCT((economics!$AG$2:$AG$167=$B40)*(economics!$D$2:$D$167="whr")*economics!$AH$2:$AH$167*(_xlfn.NORM.DIST(I$3,economics!$AK$2:$AK$167,economics!$AJ$2:$AJ$167,TRUE)-_xlfn.NORM.DIST(I$30,economics!$AK$2:$AK$167,economics!$AJ$2:$AJ$167,TRUE)))+$CR11*(_xlfn.NORM.DIST(I$3,$CU11,0.3*$CU11,TRUE)-_xlfn.NORM.DIST(I$30,$CU11,0.3*$CU11,TRUE))+$CS11*(_xlfn.NORM.DIST(I$3,$CV11,0.3*$CV11,TRUE)-_xlfn.NORM.DIST(I$30,$CV11,0.3*$CV11,TRUE))),""),IF($C11&gt;0,summary!$C$10/28.8/0.947817,""))</f>
        <v/>
      </c>
      <c r="J40">
        <f t="array" ref="J40">IF($D11,IFERROR((SUMPRODUCT((economics!$AG$2:$AG$167=$B40)*(economics!$D$2:$D$167="whr")*economics!$AH$2:$AH$167*(_xlfn.NORM.DIST(J$3,economics!$AK$2:$AK$167,economics!$AJ$2:$AJ$167,TRUE)-_xlfn.NORM.DIST(J$30,economics!$AK$2:$AK$167,economics!$AJ$2:$AJ$167,TRUE))*economics!$AM$2:$AM$167)+$CR11*(_xlfn.NORM.DIST(J$3,$CU11,0.3*$CU11,TRUE)-_xlfn.NORM.DIST(J$30,$CU11,0.3*$CU11,TRUE))*summary!$C$7/28.8/0.947817+$CS11*(_xlfn.NORM.DIST(J$3,$CV11,0.3*$CV11,TRUE)-_xlfn.NORM.DIST(J$30,$CV11,0.3*$CV11,TRUE))*summary!$C$6/28.8/0.947817)/(SUMPRODUCT((economics!$AG$2:$AG$167=$B40)*(economics!$D$2:$D$167="whr")*economics!$AH$2:$AH$167*(_xlfn.NORM.DIST(J$3,economics!$AK$2:$AK$167,economics!$AJ$2:$AJ$167,TRUE)-_xlfn.NORM.DIST(J$30,economics!$AK$2:$AK$167,economics!$AJ$2:$AJ$167,TRUE)))+$CR11*(_xlfn.NORM.DIST(J$3,$CU11,0.3*$CU11,TRUE)-_xlfn.NORM.DIST(J$30,$CU11,0.3*$CU11,TRUE))+$CS11*(_xlfn.NORM.DIST(J$3,$CV11,0.3*$CV11,TRUE)-_xlfn.NORM.DIST(J$30,$CV11,0.3*$CV11,TRUE))),""),IF($C11&gt;0,summary!$C$10/28.8/0.947817,""))</f>
        <v/>
      </c>
      <c r="K40">
        <f t="array" ref="K40">IF($D11,IFERROR((SUMPRODUCT((economics!$AG$2:$AG$167=$B40)*(economics!$D$2:$D$167="whr")*economics!$AH$2:$AH$167*(_xlfn.NORM.DIST(K$3,economics!$AK$2:$AK$167,economics!$AJ$2:$AJ$167,TRUE)-_xlfn.NORM.DIST(K$30,economics!$AK$2:$AK$167,economics!$AJ$2:$AJ$167,TRUE))*economics!$AM$2:$AM$167)+$CR11*(_xlfn.NORM.DIST(K$3,$CU11,0.3*$CU11,TRUE)-_xlfn.NORM.DIST(K$30,$CU11,0.3*$CU11,TRUE))*summary!$C$7/28.8/0.947817+$CS11*(_xlfn.NORM.DIST(K$3,$CV11,0.3*$CV11,TRUE)-_xlfn.NORM.DIST(K$30,$CV11,0.3*$CV11,TRUE))*summary!$C$6/28.8/0.947817)/(SUMPRODUCT((economics!$AG$2:$AG$167=$B40)*(economics!$D$2:$D$167="whr")*economics!$AH$2:$AH$167*(_xlfn.NORM.DIST(K$3,economics!$AK$2:$AK$167,economics!$AJ$2:$AJ$167,TRUE)-_xlfn.NORM.DIST(K$30,economics!$AK$2:$AK$167,economics!$AJ$2:$AJ$167,TRUE)))+$CR11*(_xlfn.NORM.DIST(K$3,$CU11,0.3*$CU11,TRUE)-_xlfn.NORM.DIST(K$30,$CU11,0.3*$CU11,TRUE))+$CS11*(_xlfn.NORM.DIST(K$3,$CV11,0.3*$CV11,TRUE)-_xlfn.NORM.DIST(K$30,$CV11,0.3*$CV11,TRUE))),""),IF($C11&gt;0,summary!$C$10/28.8/0.947817,""))</f>
        <v/>
      </c>
      <c r="L40">
        <f t="array" ref="L40">IF($D11,IFERROR((SUMPRODUCT((economics!$AG$2:$AG$167=$B40)*(economics!$D$2:$D$167="whr")*economics!$AH$2:$AH$167*(_xlfn.NORM.DIST(L$3,economics!$AK$2:$AK$167,economics!$AJ$2:$AJ$167,TRUE)-_xlfn.NORM.DIST(L$30,economics!$AK$2:$AK$167,economics!$AJ$2:$AJ$167,TRUE))*economics!$AM$2:$AM$167)+$CR11*(_xlfn.NORM.DIST(L$3,$CU11,0.3*$CU11,TRUE)-_xlfn.NORM.DIST(L$30,$CU11,0.3*$CU11,TRUE))*summary!$C$7/28.8/0.947817+$CS11*(_xlfn.NORM.DIST(L$3,$CV11,0.3*$CV11,TRUE)-_xlfn.NORM.DIST(L$30,$CV11,0.3*$CV11,TRUE))*summary!$C$6/28.8/0.947817)/(SUMPRODUCT((economics!$AG$2:$AG$167=$B40)*(economics!$D$2:$D$167="whr")*economics!$AH$2:$AH$167*(_xlfn.NORM.DIST(L$3,economics!$AK$2:$AK$167,economics!$AJ$2:$AJ$167,TRUE)-_xlfn.NORM.DIST(L$30,economics!$AK$2:$AK$167,economics!$AJ$2:$AJ$167,TRUE)))+$CR11*(_xlfn.NORM.DIST(L$3,$CU11,0.3*$CU11,TRUE)-_xlfn.NORM.DIST(L$30,$CU11,0.3*$CU11,TRUE))+$CS11*(_xlfn.NORM.DIST(L$3,$CV11,0.3*$CV11,TRUE)-_xlfn.NORM.DIST(L$30,$CV11,0.3*$CV11,TRUE))),""),IF($C11&gt;0,summary!$C$10/28.8/0.947817,""))</f>
        <v/>
      </c>
      <c r="M40">
        <f t="array" ref="M40">IF($D11,IFERROR((SUMPRODUCT((economics!$AG$2:$AG$167=$B40)*(economics!$D$2:$D$167="whr")*economics!$AH$2:$AH$167*(_xlfn.NORM.DIST(M$3,economics!$AK$2:$AK$167,economics!$AJ$2:$AJ$167,TRUE)-_xlfn.NORM.DIST(M$30,economics!$AK$2:$AK$167,economics!$AJ$2:$AJ$167,TRUE))*economics!$AM$2:$AM$167)+$CR11*(_xlfn.NORM.DIST(M$3,$CU11,0.3*$CU11,TRUE)-_xlfn.NORM.DIST(M$30,$CU11,0.3*$CU11,TRUE))*summary!$C$7/28.8/0.947817+$CS11*(_xlfn.NORM.DIST(M$3,$CV11,0.3*$CV11,TRUE)-_xlfn.NORM.DIST(M$30,$CV11,0.3*$CV11,TRUE))*summary!$C$6/28.8/0.947817)/(SUMPRODUCT((economics!$AG$2:$AG$167=$B40)*(economics!$D$2:$D$167="whr")*economics!$AH$2:$AH$167*(_xlfn.NORM.DIST(M$3,economics!$AK$2:$AK$167,economics!$AJ$2:$AJ$167,TRUE)-_xlfn.NORM.DIST(M$30,economics!$AK$2:$AK$167,economics!$AJ$2:$AJ$167,TRUE)))+$CR11*(_xlfn.NORM.DIST(M$3,$CU11,0.3*$CU11,TRUE)-_xlfn.NORM.DIST(M$30,$CU11,0.3*$CU11,TRUE))+$CS11*(_xlfn.NORM.DIST(M$3,$CV11,0.3*$CV11,TRUE)-_xlfn.NORM.DIST(M$30,$CV11,0.3*$CV11,TRUE))),""),IF($C11&gt;0,summary!$C$10/28.8/0.947817,""))</f>
        <v/>
      </c>
      <c r="N40">
        <f t="array" ref="N40">IF($D11,IFERROR((SUMPRODUCT((economics!$AG$2:$AG$167=$B40)*(economics!$D$2:$D$167="whr")*economics!$AH$2:$AH$167*(_xlfn.NORM.DIST(N$3,economics!$AK$2:$AK$167,economics!$AJ$2:$AJ$167,TRUE)-_xlfn.NORM.DIST(N$30,economics!$AK$2:$AK$167,economics!$AJ$2:$AJ$167,TRUE))*economics!$AM$2:$AM$167)+$CR11*(_xlfn.NORM.DIST(N$3,$CU11,0.3*$CU11,TRUE)-_xlfn.NORM.DIST(N$30,$CU11,0.3*$CU11,TRUE))*summary!$C$7/28.8/0.947817+$CS11*(_xlfn.NORM.DIST(N$3,$CV11,0.3*$CV11,TRUE)-_xlfn.NORM.DIST(N$30,$CV11,0.3*$CV11,TRUE))*summary!$C$6/28.8/0.947817)/(SUMPRODUCT((economics!$AG$2:$AG$167=$B40)*(economics!$D$2:$D$167="whr")*economics!$AH$2:$AH$167*(_xlfn.NORM.DIST(N$3,economics!$AK$2:$AK$167,economics!$AJ$2:$AJ$167,TRUE)-_xlfn.NORM.DIST(N$30,economics!$AK$2:$AK$167,economics!$AJ$2:$AJ$167,TRUE)))+$CR11*(_xlfn.NORM.DIST(N$3,$CU11,0.3*$CU11,TRUE)-_xlfn.NORM.DIST(N$30,$CU11,0.3*$CU11,TRUE))+$CS11*(_xlfn.NORM.DIST(N$3,$CV11,0.3*$CV11,TRUE)-_xlfn.NORM.DIST(N$30,$CV11,0.3*$CV11,TRUE))),""),IF($C11&gt;0,summary!$C$10/28.8/0.947817,""))</f>
        <v/>
      </c>
      <c r="O40">
        <f t="array" ref="O40">IF($D11,IFERROR((SUMPRODUCT((economics!$AG$2:$AG$167=$B40)*(economics!$D$2:$D$167="whr")*economics!$AH$2:$AH$167*(_xlfn.NORM.DIST(O$3,economics!$AK$2:$AK$167,economics!$AJ$2:$AJ$167,TRUE)-_xlfn.NORM.DIST(O$30,economics!$AK$2:$AK$167,economics!$AJ$2:$AJ$167,TRUE))*economics!$AM$2:$AM$167)+$CR11*(_xlfn.NORM.DIST(O$3,$CU11,0.3*$CU11,TRUE)-_xlfn.NORM.DIST(O$30,$CU11,0.3*$CU11,TRUE))*summary!$C$7/28.8/0.947817+$CS11*(_xlfn.NORM.DIST(O$3,$CV11,0.3*$CV11,TRUE)-_xlfn.NORM.DIST(O$30,$CV11,0.3*$CV11,TRUE))*summary!$C$6/28.8/0.947817)/(SUMPRODUCT((economics!$AG$2:$AG$167=$B40)*(economics!$D$2:$D$167="whr")*economics!$AH$2:$AH$167*(_xlfn.NORM.DIST(O$3,economics!$AK$2:$AK$167,economics!$AJ$2:$AJ$167,TRUE)-_xlfn.NORM.DIST(O$30,economics!$AK$2:$AK$167,economics!$AJ$2:$AJ$167,TRUE)))+$CR11*(_xlfn.NORM.DIST(O$3,$CU11,0.3*$CU11,TRUE)-_xlfn.NORM.DIST(O$30,$CU11,0.3*$CU11,TRUE))+$CS11*(_xlfn.NORM.DIST(O$3,$CV11,0.3*$CV11,TRUE)-_xlfn.NORM.DIST(O$30,$CV11,0.3*$CV11,TRUE))),""),IF($C11&gt;0,summary!$C$10/28.8/0.947817,""))</f>
        <v/>
      </c>
      <c r="P40">
        <f t="array" ref="P40">IF($D11,IFERROR((SUMPRODUCT((economics!$AG$2:$AG$167=$B40)*(economics!$D$2:$D$167="whr")*economics!$AH$2:$AH$167*(_xlfn.NORM.DIST(P$3,economics!$AK$2:$AK$167,economics!$AJ$2:$AJ$167,TRUE)-_xlfn.NORM.DIST(P$30,economics!$AK$2:$AK$167,economics!$AJ$2:$AJ$167,TRUE))*economics!$AM$2:$AM$167)+$CR11*(_xlfn.NORM.DIST(P$3,$CU11,0.3*$CU11,TRUE)-_xlfn.NORM.DIST(P$30,$CU11,0.3*$CU11,TRUE))*summary!$C$7/28.8/0.947817+$CS11*(_xlfn.NORM.DIST(P$3,$CV11,0.3*$CV11,TRUE)-_xlfn.NORM.DIST(P$30,$CV11,0.3*$CV11,TRUE))*summary!$C$6/28.8/0.947817)/(SUMPRODUCT((economics!$AG$2:$AG$167=$B40)*(economics!$D$2:$D$167="whr")*economics!$AH$2:$AH$167*(_xlfn.NORM.DIST(P$3,economics!$AK$2:$AK$167,economics!$AJ$2:$AJ$167,TRUE)-_xlfn.NORM.DIST(P$30,economics!$AK$2:$AK$167,economics!$AJ$2:$AJ$167,TRUE)))+$CR11*(_xlfn.NORM.DIST(P$3,$CU11,0.3*$CU11,TRUE)-_xlfn.NORM.DIST(P$30,$CU11,0.3*$CU11,TRUE))+$CS11*(_xlfn.NORM.DIST(P$3,$CV11,0.3*$CV11,TRUE)-_xlfn.NORM.DIST(P$30,$CV11,0.3*$CV11,TRUE))),""),IF($C11&gt;0,summary!$C$10/28.8/0.947817,""))</f>
        <v/>
      </c>
      <c r="Q40">
        <f t="array" ref="Q40">IF($D11,IFERROR((SUMPRODUCT((economics!$AG$2:$AG$167=$B40)*(economics!$D$2:$D$167="whr")*economics!$AH$2:$AH$167*(_xlfn.NORM.DIST(Q$3,economics!$AK$2:$AK$167,economics!$AJ$2:$AJ$167,TRUE)-_xlfn.NORM.DIST(Q$30,economics!$AK$2:$AK$167,economics!$AJ$2:$AJ$167,TRUE))*economics!$AM$2:$AM$167)+$CR11*(_xlfn.NORM.DIST(Q$3,$CU11,0.3*$CU11,TRUE)-_xlfn.NORM.DIST(Q$30,$CU11,0.3*$CU11,TRUE))*summary!$C$7/28.8/0.947817+$CS11*(_xlfn.NORM.DIST(Q$3,$CV11,0.3*$CV11,TRUE)-_xlfn.NORM.DIST(Q$30,$CV11,0.3*$CV11,TRUE))*summary!$C$6/28.8/0.947817)/(SUMPRODUCT((economics!$AG$2:$AG$167=$B40)*(economics!$D$2:$D$167="whr")*economics!$AH$2:$AH$167*(_xlfn.NORM.DIST(Q$3,economics!$AK$2:$AK$167,economics!$AJ$2:$AJ$167,TRUE)-_xlfn.NORM.DIST(Q$30,economics!$AK$2:$AK$167,economics!$AJ$2:$AJ$167,TRUE)))+$CR11*(_xlfn.NORM.DIST(Q$3,$CU11,0.3*$CU11,TRUE)-_xlfn.NORM.DIST(Q$30,$CU11,0.3*$CU11,TRUE))+$CS11*(_xlfn.NORM.DIST(Q$3,$CV11,0.3*$CV11,TRUE)-_xlfn.NORM.DIST(Q$30,$CV11,0.3*$CV11,TRUE))),""),IF($C11&gt;0,summary!$C$10/28.8/0.947817,""))</f>
        <v/>
      </c>
      <c r="R40">
        <f t="array" ref="R40">IF($D11,IFERROR((SUMPRODUCT((economics!$AG$2:$AG$167=$B40)*(economics!$D$2:$D$167="whr")*economics!$AH$2:$AH$167*(_xlfn.NORM.DIST(R$3,economics!$AK$2:$AK$167,economics!$AJ$2:$AJ$167,TRUE)-_xlfn.NORM.DIST(R$30,economics!$AK$2:$AK$167,economics!$AJ$2:$AJ$167,TRUE))*economics!$AM$2:$AM$167)+$CR11*(_xlfn.NORM.DIST(R$3,$CU11,0.3*$CU11,TRUE)-_xlfn.NORM.DIST(R$30,$CU11,0.3*$CU11,TRUE))*summary!$C$7/28.8/0.947817+$CS11*(_xlfn.NORM.DIST(R$3,$CV11,0.3*$CV11,TRUE)-_xlfn.NORM.DIST(R$30,$CV11,0.3*$CV11,TRUE))*summary!$C$6/28.8/0.947817)/(SUMPRODUCT((economics!$AG$2:$AG$167=$B40)*(economics!$D$2:$D$167="whr")*economics!$AH$2:$AH$167*(_xlfn.NORM.DIST(R$3,economics!$AK$2:$AK$167,economics!$AJ$2:$AJ$167,TRUE)-_xlfn.NORM.DIST(R$30,economics!$AK$2:$AK$167,economics!$AJ$2:$AJ$167,TRUE)))+$CR11*(_xlfn.NORM.DIST(R$3,$CU11,0.3*$CU11,TRUE)-_xlfn.NORM.DIST(R$30,$CU11,0.3*$CU11,TRUE))+$CS11*(_xlfn.NORM.DIST(R$3,$CV11,0.3*$CV11,TRUE)-_xlfn.NORM.DIST(R$30,$CV11,0.3*$CV11,TRUE))),""),IF($C11&gt;0,summary!$C$10/28.8/0.947817,""))</f>
        <v/>
      </c>
      <c r="S40">
        <f t="array" ref="S40">IF($D11,IFERROR((SUMPRODUCT((economics!$AG$2:$AG$167=$B40)*(economics!$D$2:$D$167="whr")*economics!$AH$2:$AH$167*(_xlfn.NORM.DIST(S$3,economics!$AK$2:$AK$167,economics!$AJ$2:$AJ$167,TRUE)-_xlfn.NORM.DIST(S$30,economics!$AK$2:$AK$167,economics!$AJ$2:$AJ$167,TRUE))*economics!$AM$2:$AM$167)+$CR11*(_xlfn.NORM.DIST(S$3,$CU11,0.3*$CU11,TRUE)-_xlfn.NORM.DIST(S$30,$CU11,0.3*$CU11,TRUE))*summary!$C$7/28.8/0.947817+$CS11*(_xlfn.NORM.DIST(S$3,$CV11,0.3*$CV11,TRUE)-_xlfn.NORM.DIST(S$30,$CV11,0.3*$CV11,TRUE))*summary!$C$6/28.8/0.947817)/(SUMPRODUCT((economics!$AG$2:$AG$167=$B40)*(economics!$D$2:$D$167="whr")*economics!$AH$2:$AH$167*(_xlfn.NORM.DIST(S$3,economics!$AK$2:$AK$167,economics!$AJ$2:$AJ$167,TRUE)-_xlfn.NORM.DIST(S$30,economics!$AK$2:$AK$167,economics!$AJ$2:$AJ$167,TRUE)))+$CR11*(_xlfn.NORM.DIST(S$3,$CU11,0.3*$CU11,TRUE)-_xlfn.NORM.DIST(S$30,$CU11,0.3*$CU11,TRUE))+$CS11*(_xlfn.NORM.DIST(S$3,$CV11,0.3*$CV11,TRUE)-_xlfn.NORM.DIST(S$30,$CV11,0.3*$CV11,TRUE))),""),IF($C11&gt;0,summary!$C$10/28.8/0.947817,""))</f>
        <v/>
      </c>
      <c r="T40">
        <f t="array" ref="T40">IF($D11,IFERROR((SUMPRODUCT((economics!$AG$2:$AG$167=$B40)*(economics!$D$2:$D$167="whr")*economics!$AH$2:$AH$167*(_xlfn.NORM.DIST(T$3,economics!$AK$2:$AK$167,economics!$AJ$2:$AJ$167,TRUE)-_xlfn.NORM.DIST(T$30,economics!$AK$2:$AK$167,economics!$AJ$2:$AJ$167,TRUE))*economics!$AM$2:$AM$167)+$CR11*(_xlfn.NORM.DIST(T$3,$CU11,0.3*$CU11,TRUE)-_xlfn.NORM.DIST(T$30,$CU11,0.3*$CU11,TRUE))*summary!$C$7/28.8/0.947817+$CS11*(_xlfn.NORM.DIST(T$3,$CV11,0.3*$CV11,TRUE)-_xlfn.NORM.DIST(T$30,$CV11,0.3*$CV11,TRUE))*summary!$C$6/28.8/0.947817)/(SUMPRODUCT((economics!$AG$2:$AG$167=$B40)*(economics!$D$2:$D$167="whr")*economics!$AH$2:$AH$167*(_xlfn.NORM.DIST(T$3,economics!$AK$2:$AK$167,economics!$AJ$2:$AJ$167,TRUE)-_xlfn.NORM.DIST(T$30,economics!$AK$2:$AK$167,economics!$AJ$2:$AJ$167,TRUE)))+$CR11*(_xlfn.NORM.DIST(T$3,$CU11,0.3*$CU11,TRUE)-_xlfn.NORM.DIST(T$30,$CU11,0.3*$CU11,TRUE))+$CS11*(_xlfn.NORM.DIST(T$3,$CV11,0.3*$CV11,TRUE)-_xlfn.NORM.DIST(T$30,$CV11,0.3*$CV11,TRUE))),""),IF($C11&gt;0,summary!$C$10/28.8/0.947817,""))</f>
        <v/>
      </c>
      <c r="U40">
        <f t="array" ref="U40">IF($D11,IFERROR((SUMPRODUCT((economics!$AG$2:$AG$167=$B40)*(economics!$D$2:$D$167="whr")*economics!$AH$2:$AH$167*(_xlfn.NORM.DIST(U$3,economics!$AK$2:$AK$167,economics!$AJ$2:$AJ$167,TRUE)-_xlfn.NORM.DIST(U$30,economics!$AK$2:$AK$167,economics!$AJ$2:$AJ$167,TRUE))*economics!$AM$2:$AM$167)+$CR11*(_xlfn.NORM.DIST(U$3,$CU11,0.3*$CU11,TRUE)-_xlfn.NORM.DIST(U$30,$CU11,0.3*$CU11,TRUE))*summary!$C$7/28.8/0.947817+$CS11*(_xlfn.NORM.DIST(U$3,$CV11,0.3*$CV11,TRUE)-_xlfn.NORM.DIST(U$30,$CV11,0.3*$CV11,TRUE))*summary!$C$6/28.8/0.947817)/(SUMPRODUCT((economics!$AG$2:$AG$167=$B40)*(economics!$D$2:$D$167="whr")*economics!$AH$2:$AH$167*(_xlfn.NORM.DIST(U$3,economics!$AK$2:$AK$167,economics!$AJ$2:$AJ$167,TRUE)-_xlfn.NORM.DIST(U$30,economics!$AK$2:$AK$167,economics!$AJ$2:$AJ$167,TRUE)))+$CR11*(_xlfn.NORM.DIST(U$3,$CU11,0.3*$CU11,TRUE)-_xlfn.NORM.DIST(U$30,$CU11,0.3*$CU11,TRUE))+$CS11*(_xlfn.NORM.DIST(U$3,$CV11,0.3*$CV11,TRUE)-_xlfn.NORM.DIST(U$30,$CV11,0.3*$CV11,TRUE))),""),IF($C11&gt;0,summary!$C$10/28.8/0.947817,""))</f>
        <v/>
      </c>
      <c r="V40">
        <f t="array" ref="V40">IF($D11,IFERROR((SUMPRODUCT((economics!$AG$2:$AG$167=$B40)*(economics!$D$2:$D$167="whr")*economics!$AH$2:$AH$167*(_xlfn.NORM.DIST(V$3,economics!$AK$2:$AK$167,economics!$AJ$2:$AJ$167,TRUE)-_xlfn.NORM.DIST(V$30,economics!$AK$2:$AK$167,economics!$AJ$2:$AJ$167,TRUE))*economics!$AM$2:$AM$167)+$CR11*(_xlfn.NORM.DIST(V$3,$CU11,0.3*$CU11,TRUE)-_xlfn.NORM.DIST(V$30,$CU11,0.3*$CU11,TRUE))*summary!$C$7/28.8/0.947817+$CS11*(_xlfn.NORM.DIST(V$3,$CV11,0.3*$CV11,TRUE)-_xlfn.NORM.DIST(V$30,$CV11,0.3*$CV11,TRUE))*summary!$C$6/28.8/0.947817)/(SUMPRODUCT((economics!$AG$2:$AG$167=$B40)*(economics!$D$2:$D$167="whr")*economics!$AH$2:$AH$167*(_xlfn.NORM.DIST(V$3,economics!$AK$2:$AK$167,economics!$AJ$2:$AJ$167,TRUE)-_xlfn.NORM.DIST(V$30,economics!$AK$2:$AK$167,economics!$AJ$2:$AJ$167,TRUE)))+$CR11*(_xlfn.NORM.DIST(V$3,$CU11,0.3*$CU11,TRUE)-_xlfn.NORM.DIST(V$30,$CU11,0.3*$CU11,TRUE))+$CS11*(_xlfn.NORM.DIST(V$3,$CV11,0.3*$CV11,TRUE)-_xlfn.NORM.DIST(V$30,$CV11,0.3*$CV11,TRUE))),""),IF($C11&gt;0,summary!$C$10/28.8/0.947817,""))</f>
        <v/>
      </c>
      <c r="W40">
        <f t="array" ref="W40">IF($D11,IFERROR((SUMPRODUCT((economics!$AG$2:$AG$167=$B40)*(economics!$D$2:$D$167="whr")*economics!$AH$2:$AH$167*(_xlfn.NORM.DIST(W$3,economics!$AK$2:$AK$167,economics!$AJ$2:$AJ$167,TRUE)-_xlfn.NORM.DIST(W$30,economics!$AK$2:$AK$167,economics!$AJ$2:$AJ$167,TRUE))*economics!$AM$2:$AM$167)+$CR11*(_xlfn.NORM.DIST(W$3,$CU11,0.3*$CU11,TRUE)-_xlfn.NORM.DIST(W$30,$CU11,0.3*$CU11,TRUE))*summary!$C$7/28.8/0.947817+$CS11*(_xlfn.NORM.DIST(W$3,$CV11,0.3*$CV11,TRUE)-_xlfn.NORM.DIST(W$30,$CV11,0.3*$CV11,TRUE))*summary!$C$6/28.8/0.947817)/(SUMPRODUCT((economics!$AG$2:$AG$167=$B40)*(economics!$D$2:$D$167="whr")*economics!$AH$2:$AH$167*(_xlfn.NORM.DIST(W$3,economics!$AK$2:$AK$167,economics!$AJ$2:$AJ$167,TRUE)-_xlfn.NORM.DIST(W$30,economics!$AK$2:$AK$167,economics!$AJ$2:$AJ$167,TRUE)))+$CR11*(_xlfn.NORM.DIST(W$3,$CU11,0.3*$CU11,TRUE)-_xlfn.NORM.DIST(W$30,$CU11,0.3*$CU11,TRUE))+$CS11*(_xlfn.NORM.DIST(W$3,$CV11,0.3*$CV11,TRUE)-_xlfn.NORM.DIST(W$30,$CV11,0.3*$CV11,TRUE))),""),IF($C11&gt;0,summary!$C$10/28.8/0.947817,""))</f>
        <v/>
      </c>
      <c r="X40">
        <f t="array" ref="X40">IF($D11,IFERROR((SUMPRODUCT((economics!$AG$2:$AG$167=$B40)*(economics!$D$2:$D$167="whr")*economics!$AH$2:$AH$167*(_xlfn.NORM.DIST(X$3,economics!$AK$2:$AK$167,economics!$AJ$2:$AJ$167,TRUE)-_xlfn.NORM.DIST(X$30,economics!$AK$2:$AK$167,economics!$AJ$2:$AJ$167,TRUE))*economics!$AM$2:$AM$167)+$CR11*(_xlfn.NORM.DIST(X$3,$CU11,0.3*$CU11,TRUE)-_xlfn.NORM.DIST(X$30,$CU11,0.3*$CU11,TRUE))*summary!$C$7/28.8/0.947817+$CS11*(_xlfn.NORM.DIST(X$3,$CV11,0.3*$CV11,TRUE)-_xlfn.NORM.DIST(X$30,$CV11,0.3*$CV11,TRUE))*summary!$C$6/28.8/0.947817)/(SUMPRODUCT((economics!$AG$2:$AG$167=$B40)*(economics!$D$2:$D$167="whr")*economics!$AH$2:$AH$167*(_xlfn.NORM.DIST(X$3,economics!$AK$2:$AK$167,economics!$AJ$2:$AJ$167,TRUE)-_xlfn.NORM.DIST(X$30,economics!$AK$2:$AK$167,economics!$AJ$2:$AJ$167,TRUE)))+$CR11*(_xlfn.NORM.DIST(X$3,$CU11,0.3*$CU11,TRUE)-_xlfn.NORM.DIST(X$30,$CU11,0.3*$CU11,TRUE))+$CS11*(_xlfn.NORM.DIST(X$3,$CV11,0.3*$CV11,TRUE)-_xlfn.NORM.DIST(X$30,$CV11,0.3*$CV11,TRUE))),""),IF($C11&gt;0,summary!$C$10/28.8/0.947817,""))</f>
        <v/>
      </c>
      <c r="Y40">
        <f t="array" ref="Y40">IF($D11,IFERROR((SUMPRODUCT((economics!$AG$2:$AG$167=$B40)*(economics!$D$2:$D$167="whr")*economics!$AH$2:$AH$167*(_xlfn.NORM.DIST(Y$3,economics!$AK$2:$AK$167,economics!$AJ$2:$AJ$167,TRUE)-_xlfn.NORM.DIST(Y$30,economics!$AK$2:$AK$167,economics!$AJ$2:$AJ$167,TRUE))*economics!$AM$2:$AM$167)+$CR11*(_xlfn.NORM.DIST(Y$3,$CU11,0.3*$CU11,TRUE)-_xlfn.NORM.DIST(Y$30,$CU11,0.3*$CU11,TRUE))*summary!$C$7/28.8/0.947817+$CS11*(_xlfn.NORM.DIST(Y$3,$CV11,0.3*$CV11,TRUE)-_xlfn.NORM.DIST(Y$30,$CV11,0.3*$CV11,TRUE))*summary!$C$6/28.8/0.947817)/(SUMPRODUCT((economics!$AG$2:$AG$167=$B40)*(economics!$D$2:$D$167="whr")*economics!$AH$2:$AH$167*(_xlfn.NORM.DIST(Y$3,economics!$AK$2:$AK$167,economics!$AJ$2:$AJ$167,TRUE)-_xlfn.NORM.DIST(Y$30,economics!$AK$2:$AK$167,economics!$AJ$2:$AJ$167,TRUE)))+$CR11*(_xlfn.NORM.DIST(Y$3,$CU11,0.3*$CU11,TRUE)-_xlfn.NORM.DIST(Y$30,$CU11,0.3*$CU11,TRUE))+$CS11*(_xlfn.NORM.DIST(Y$3,$CV11,0.3*$CV11,TRUE)-_xlfn.NORM.DIST(Y$30,$CV11,0.3*$CV11,TRUE))),""),IF($C11&gt;0,summary!$C$10/28.8/0.947817,""))</f>
        <v/>
      </c>
      <c r="Z40">
        <f t="array" ref="Z40">IF($D11,IFERROR((SUMPRODUCT((economics!$AG$2:$AG$167=$B40)*(economics!$D$2:$D$167="whr")*economics!$AH$2:$AH$167*(_xlfn.NORM.DIST(Z$3,economics!$AK$2:$AK$167,economics!$AJ$2:$AJ$167,TRUE)-_xlfn.NORM.DIST(Z$30,economics!$AK$2:$AK$167,economics!$AJ$2:$AJ$167,TRUE))*economics!$AM$2:$AM$167)+$CR11*(_xlfn.NORM.DIST(Z$3,$CU11,0.3*$CU11,TRUE)-_xlfn.NORM.DIST(Z$30,$CU11,0.3*$CU11,TRUE))*summary!$C$7/28.8/0.947817+$CS11*(_xlfn.NORM.DIST(Z$3,$CV11,0.3*$CV11,TRUE)-_xlfn.NORM.DIST(Z$30,$CV11,0.3*$CV11,TRUE))*summary!$C$6/28.8/0.947817)/(SUMPRODUCT((economics!$AG$2:$AG$167=$B40)*(economics!$D$2:$D$167="whr")*economics!$AH$2:$AH$167*(_xlfn.NORM.DIST(Z$3,economics!$AK$2:$AK$167,economics!$AJ$2:$AJ$167,TRUE)-_xlfn.NORM.DIST(Z$30,economics!$AK$2:$AK$167,economics!$AJ$2:$AJ$167,TRUE)))+$CR11*(_xlfn.NORM.DIST(Z$3,$CU11,0.3*$CU11,TRUE)-_xlfn.NORM.DIST(Z$30,$CU11,0.3*$CU11,TRUE))+$CS11*(_xlfn.NORM.DIST(Z$3,$CV11,0.3*$CV11,TRUE)-_xlfn.NORM.DIST(Z$30,$CV11,0.3*$CV11,TRUE))),""),IF($C11&gt;0,summary!$C$10/28.8/0.947817,""))</f>
        <v/>
      </c>
      <c r="AA40">
        <f t="array" ref="AA40">IF($D11,IFERROR((SUMPRODUCT((economics!$AG$2:$AG$167=$B40)*(economics!$D$2:$D$167="whr")*economics!$AH$2:$AH$167*(_xlfn.NORM.DIST(AA$3,economics!$AK$2:$AK$167,economics!$AJ$2:$AJ$167,TRUE)-_xlfn.NORM.DIST(AA$30,economics!$AK$2:$AK$167,economics!$AJ$2:$AJ$167,TRUE))*economics!$AM$2:$AM$167)+$CR11*(_xlfn.NORM.DIST(AA$3,$CU11,0.3*$CU11,TRUE)-_xlfn.NORM.DIST(AA$30,$CU11,0.3*$CU11,TRUE))*summary!$C$7/28.8/0.947817+$CS11*(_xlfn.NORM.DIST(AA$3,$CV11,0.3*$CV11,TRUE)-_xlfn.NORM.DIST(AA$30,$CV11,0.3*$CV11,TRUE))*summary!$C$6/28.8/0.947817)/(SUMPRODUCT((economics!$AG$2:$AG$167=$B40)*(economics!$D$2:$D$167="whr")*economics!$AH$2:$AH$167*(_xlfn.NORM.DIST(AA$3,economics!$AK$2:$AK$167,economics!$AJ$2:$AJ$167,TRUE)-_xlfn.NORM.DIST(AA$30,economics!$AK$2:$AK$167,economics!$AJ$2:$AJ$167,TRUE)))+$CR11*(_xlfn.NORM.DIST(AA$3,$CU11,0.3*$CU11,TRUE)-_xlfn.NORM.DIST(AA$30,$CU11,0.3*$CU11,TRUE))+$CS11*(_xlfn.NORM.DIST(AA$3,$CV11,0.3*$CV11,TRUE)-_xlfn.NORM.DIST(AA$30,$CV11,0.3*$CV11,TRUE))),""),IF($C11&gt;0,summary!$C$10/28.8/0.947817,""))</f>
        <v/>
      </c>
      <c r="AB40">
        <f t="array" ref="AB40">IF($D11,IFERROR((SUMPRODUCT((economics!$AG$2:$AG$167=$B40)*(economics!$D$2:$D$167="whr")*economics!$AH$2:$AH$167*(_xlfn.NORM.DIST(AB$3,economics!$AK$2:$AK$167,economics!$AJ$2:$AJ$167,TRUE)-_xlfn.NORM.DIST(AB$30,economics!$AK$2:$AK$167,economics!$AJ$2:$AJ$167,TRUE))*economics!$AM$2:$AM$167)+$CR11*(_xlfn.NORM.DIST(AB$3,$CU11,0.3*$CU11,TRUE)-_xlfn.NORM.DIST(AB$30,$CU11,0.3*$CU11,TRUE))*summary!$C$7/28.8/0.947817+$CS11*(_xlfn.NORM.DIST(AB$3,$CV11,0.3*$CV11,TRUE)-_xlfn.NORM.DIST(AB$30,$CV11,0.3*$CV11,TRUE))*summary!$C$6/28.8/0.947817)/(SUMPRODUCT((economics!$AG$2:$AG$167=$B40)*(economics!$D$2:$D$167="whr")*economics!$AH$2:$AH$167*(_xlfn.NORM.DIST(AB$3,economics!$AK$2:$AK$167,economics!$AJ$2:$AJ$167,TRUE)-_xlfn.NORM.DIST(AB$30,economics!$AK$2:$AK$167,economics!$AJ$2:$AJ$167,TRUE)))+$CR11*(_xlfn.NORM.DIST(AB$3,$CU11,0.3*$CU11,TRUE)-_xlfn.NORM.DIST(AB$30,$CU11,0.3*$CU11,TRUE))+$CS11*(_xlfn.NORM.DIST(AB$3,$CV11,0.3*$CV11,TRUE)-_xlfn.NORM.DIST(AB$30,$CV11,0.3*$CV11,TRUE))),""),IF($C11&gt;0,summary!$C$10/28.8/0.947817,""))</f>
        <v/>
      </c>
      <c r="AC40">
        <f t="array" ref="AC40">IF($D11,IFERROR((SUMPRODUCT((economics!$AG$2:$AG$167=$B40)*(economics!$D$2:$D$167="whr")*economics!$AH$2:$AH$167*(_xlfn.NORM.DIST(AC$3,economics!$AK$2:$AK$167,economics!$AJ$2:$AJ$167,TRUE)-_xlfn.NORM.DIST(AC$30,economics!$AK$2:$AK$167,economics!$AJ$2:$AJ$167,TRUE))*economics!$AM$2:$AM$167)+$CR11*(_xlfn.NORM.DIST(AC$3,$CU11,0.3*$CU11,TRUE)-_xlfn.NORM.DIST(AC$30,$CU11,0.3*$CU11,TRUE))*summary!$C$7/28.8/0.947817+$CS11*(_xlfn.NORM.DIST(AC$3,$CV11,0.3*$CV11,TRUE)-_xlfn.NORM.DIST(AC$30,$CV11,0.3*$CV11,TRUE))*summary!$C$6/28.8/0.947817)/(SUMPRODUCT((economics!$AG$2:$AG$167=$B40)*(economics!$D$2:$D$167="whr")*economics!$AH$2:$AH$167*(_xlfn.NORM.DIST(AC$3,economics!$AK$2:$AK$167,economics!$AJ$2:$AJ$167,TRUE)-_xlfn.NORM.DIST(AC$30,economics!$AK$2:$AK$167,economics!$AJ$2:$AJ$167,TRUE)))+$CR11*(_xlfn.NORM.DIST(AC$3,$CU11,0.3*$CU11,TRUE)-_xlfn.NORM.DIST(AC$30,$CU11,0.3*$CU11,TRUE))+$CS11*(_xlfn.NORM.DIST(AC$3,$CV11,0.3*$CV11,TRUE)-_xlfn.NORM.DIST(AC$30,$CV11,0.3*$CV11,TRUE))),""),IF($C11&gt;0,summary!$C$10/28.8/0.947817,""))</f>
        <v/>
      </c>
      <c r="AD40">
        <f t="array" ref="AD40">IF($D11,IFERROR((SUMPRODUCT((economics!$AG$2:$AG$167=$B40)*(economics!$D$2:$D$167="whr")*economics!$AH$2:$AH$167*(_xlfn.NORM.DIST(AD$3,economics!$AK$2:$AK$167,economics!$AJ$2:$AJ$167,TRUE)-_xlfn.NORM.DIST(AD$30,economics!$AK$2:$AK$167,economics!$AJ$2:$AJ$167,TRUE))*economics!$AM$2:$AM$167)+$CR11*(_xlfn.NORM.DIST(AD$3,$CU11,0.3*$CU11,TRUE)-_xlfn.NORM.DIST(AD$30,$CU11,0.3*$CU11,TRUE))*summary!$C$7/28.8/0.947817+$CS11*(_xlfn.NORM.DIST(AD$3,$CV11,0.3*$CV11,TRUE)-_xlfn.NORM.DIST(AD$30,$CV11,0.3*$CV11,TRUE))*summary!$C$6/28.8/0.947817)/(SUMPRODUCT((economics!$AG$2:$AG$167=$B40)*(economics!$D$2:$D$167="whr")*economics!$AH$2:$AH$167*(_xlfn.NORM.DIST(AD$3,economics!$AK$2:$AK$167,economics!$AJ$2:$AJ$167,TRUE)-_xlfn.NORM.DIST(AD$30,economics!$AK$2:$AK$167,economics!$AJ$2:$AJ$167,TRUE)))+$CR11*(_xlfn.NORM.DIST(AD$3,$CU11,0.3*$CU11,TRUE)-_xlfn.NORM.DIST(AD$30,$CU11,0.3*$CU11,TRUE))+$CS11*(_xlfn.NORM.DIST(AD$3,$CV11,0.3*$CV11,TRUE)-_xlfn.NORM.DIST(AD$30,$CV11,0.3*$CV11,TRUE))),""),IF($C11&gt;0,summary!$C$10/28.8/0.947817,""))</f>
        <v/>
      </c>
      <c r="AE40">
        <f t="array" ref="AE40">IF($D11,IFERROR((SUMPRODUCT((economics!$AG$2:$AG$167=$B40)*(economics!$D$2:$D$167="whr")*economics!$AH$2:$AH$167*(_xlfn.NORM.DIST(AE$3,economics!$AK$2:$AK$167,economics!$AJ$2:$AJ$167,TRUE)-_xlfn.NORM.DIST(AE$30,economics!$AK$2:$AK$167,economics!$AJ$2:$AJ$167,TRUE))*economics!$AM$2:$AM$167)+$CR11*(_xlfn.NORM.DIST(AE$3,$CU11,0.3*$CU11,TRUE)-_xlfn.NORM.DIST(AE$30,$CU11,0.3*$CU11,TRUE))*summary!$C$7/28.8/0.947817+$CS11*(_xlfn.NORM.DIST(AE$3,$CV11,0.3*$CV11,TRUE)-_xlfn.NORM.DIST(AE$30,$CV11,0.3*$CV11,TRUE))*summary!$C$6/28.8/0.947817)/(SUMPRODUCT((economics!$AG$2:$AG$167=$B40)*(economics!$D$2:$D$167="whr")*economics!$AH$2:$AH$167*(_xlfn.NORM.DIST(AE$3,economics!$AK$2:$AK$167,economics!$AJ$2:$AJ$167,TRUE)-_xlfn.NORM.DIST(AE$30,economics!$AK$2:$AK$167,economics!$AJ$2:$AJ$167,TRUE)))+$CR11*(_xlfn.NORM.DIST(AE$3,$CU11,0.3*$CU11,TRUE)-_xlfn.NORM.DIST(AE$30,$CU11,0.3*$CU11,TRUE))+$CS11*(_xlfn.NORM.DIST(AE$3,$CV11,0.3*$CV11,TRUE)-_xlfn.NORM.DIST(AE$30,$CV11,0.3*$CV11,TRUE))),""),IF($C11&gt;0,summary!$C$10/28.8/0.947817,""))</f>
        <v/>
      </c>
      <c r="AF40">
        <f t="array" ref="AF40">IF($D11,IFERROR((SUMPRODUCT((economics!$AG$2:$AG$167=$B40)*(economics!$D$2:$D$167="whr")*economics!$AH$2:$AH$167*(_xlfn.NORM.DIST(AF$3,economics!$AK$2:$AK$167,economics!$AJ$2:$AJ$167,TRUE)-_xlfn.NORM.DIST(AF$30,economics!$AK$2:$AK$167,economics!$AJ$2:$AJ$167,TRUE))*economics!$AM$2:$AM$167)+$CR11*(_xlfn.NORM.DIST(AF$3,$CU11,0.3*$CU11,TRUE)-_xlfn.NORM.DIST(AF$30,$CU11,0.3*$CU11,TRUE))*summary!$C$7/28.8/0.947817+$CS11*(_xlfn.NORM.DIST(AF$3,$CV11,0.3*$CV11,TRUE)-_xlfn.NORM.DIST(AF$30,$CV11,0.3*$CV11,TRUE))*summary!$C$6/28.8/0.947817)/(SUMPRODUCT((economics!$AG$2:$AG$167=$B40)*(economics!$D$2:$D$167="whr")*economics!$AH$2:$AH$167*(_xlfn.NORM.DIST(AF$3,economics!$AK$2:$AK$167,economics!$AJ$2:$AJ$167,TRUE)-_xlfn.NORM.DIST(AF$30,economics!$AK$2:$AK$167,economics!$AJ$2:$AJ$167,TRUE)))+$CR11*(_xlfn.NORM.DIST(AF$3,$CU11,0.3*$CU11,TRUE)-_xlfn.NORM.DIST(AF$30,$CU11,0.3*$CU11,TRUE))+$CS11*(_xlfn.NORM.DIST(AF$3,$CV11,0.3*$CV11,TRUE)-_xlfn.NORM.DIST(AF$30,$CV11,0.3*$CV11,TRUE))),""),IF($C11&gt;0,summary!$C$10/28.8/0.947817,""))</f>
        <v/>
      </c>
      <c r="AG40">
        <f t="array" ref="AG40">IF($D11,IFERROR((SUMPRODUCT((economics!$AG$2:$AG$167=$B40)*(economics!$D$2:$D$167="whr")*economics!$AH$2:$AH$167*(_xlfn.NORM.DIST(AG$3,economics!$AK$2:$AK$167,economics!$AJ$2:$AJ$167,TRUE)-_xlfn.NORM.DIST(AG$30,economics!$AK$2:$AK$167,economics!$AJ$2:$AJ$167,TRUE))*economics!$AM$2:$AM$167)+$CR11*(_xlfn.NORM.DIST(AG$3,$CU11,0.3*$CU11,TRUE)-_xlfn.NORM.DIST(AG$30,$CU11,0.3*$CU11,TRUE))*summary!$C$7/28.8/0.947817+$CS11*(_xlfn.NORM.DIST(AG$3,$CV11,0.3*$CV11,TRUE)-_xlfn.NORM.DIST(AG$30,$CV11,0.3*$CV11,TRUE))*summary!$C$6/28.8/0.947817)/(SUMPRODUCT((economics!$AG$2:$AG$167=$B40)*(economics!$D$2:$D$167="whr")*economics!$AH$2:$AH$167*(_xlfn.NORM.DIST(AG$3,economics!$AK$2:$AK$167,economics!$AJ$2:$AJ$167,TRUE)-_xlfn.NORM.DIST(AG$30,economics!$AK$2:$AK$167,economics!$AJ$2:$AJ$167,TRUE)))+$CR11*(_xlfn.NORM.DIST(AG$3,$CU11,0.3*$CU11,TRUE)-_xlfn.NORM.DIST(AG$30,$CU11,0.3*$CU11,TRUE))+$CS11*(_xlfn.NORM.DIST(AG$3,$CV11,0.3*$CV11,TRUE)-_xlfn.NORM.DIST(AG$30,$CV11,0.3*$CV11,TRUE))),""),IF($C11&gt;0,summary!$C$10/28.8/0.947817,""))</f>
        <v/>
      </c>
      <c r="AH40">
        <f t="array" ref="AH40">IF($D11,IFERROR((SUMPRODUCT((economics!$AG$2:$AG$167=$B40)*(economics!$D$2:$D$167="whr")*economics!$AH$2:$AH$167*(_xlfn.NORM.DIST(AH$3,economics!$AK$2:$AK$167,economics!$AJ$2:$AJ$167,TRUE)-_xlfn.NORM.DIST(AH$30,economics!$AK$2:$AK$167,economics!$AJ$2:$AJ$167,TRUE))*economics!$AM$2:$AM$167)+$CR11*(_xlfn.NORM.DIST(AH$3,$CU11,0.3*$CU11,TRUE)-_xlfn.NORM.DIST(AH$30,$CU11,0.3*$CU11,TRUE))*summary!$C$7/28.8/0.947817+$CS11*(_xlfn.NORM.DIST(AH$3,$CV11,0.3*$CV11,TRUE)-_xlfn.NORM.DIST(AH$30,$CV11,0.3*$CV11,TRUE))*summary!$C$6/28.8/0.947817)/(SUMPRODUCT((economics!$AG$2:$AG$167=$B40)*(economics!$D$2:$D$167="whr")*economics!$AH$2:$AH$167*(_xlfn.NORM.DIST(AH$3,economics!$AK$2:$AK$167,economics!$AJ$2:$AJ$167,TRUE)-_xlfn.NORM.DIST(AH$30,economics!$AK$2:$AK$167,economics!$AJ$2:$AJ$167,TRUE)))+$CR11*(_xlfn.NORM.DIST(AH$3,$CU11,0.3*$CU11,TRUE)-_xlfn.NORM.DIST(AH$30,$CU11,0.3*$CU11,TRUE))+$CS11*(_xlfn.NORM.DIST(AH$3,$CV11,0.3*$CV11,TRUE)-_xlfn.NORM.DIST(AH$30,$CV11,0.3*$CV11,TRUE))),""),IF($C11&gt;0,summary!$C$10/28.8/0.947817,""))</f>
        <v/>
      </c>
      <c r="AI40">
        <f t="array" ref="AI40">IF($D11,IFERROR((SUMPRODUCT((economics!$AG$2:$AG$167=$B40)*(economics!$D$2:$D$167="whr")*economics!$AH$2:$AH$167*(_xlfn.NORM.DIST(AI$3,economics!$AK$2:$AK$167,economics!$AJ$2:$AJ$167,TRUE)-_xlfn.NORM.DIST(AI$30,economics!$AK$2:$AK$167,economics!$AJ$2:$AJ$167,TRUE))*economics!$AM$2:$AM$167)+$CR11*(_xlfn.NORM.DIST(AI$3,$CU11,0.3*$CU11,TRUE)-_xlfn.NORM.DIST(AI$30,$CU11,0.3*$CU11,TRUE))*summary!$C$7/28.8/0.947817+$CS11*(_xlfn.NORM.DIST(AI$3,$CV11,0.3*$CV11,TRUE)-_xlfn.NORM.DIST(AI$30,$CV11,0.3*$CV11,TRUE))*summary!$C$6/28.8/0.947817)/(SUMPRODUCT((economics!$AG$2:$AG$167=$B40)*(economics!$D$2:$D$167="whr")*economics!$AH$2:$AH$167*(_xlfn.NORM.DIST(AI$3,economics!$AK$2:$AK$167,economics!$AJ$2:$AJ$167,TRUE)-_xlfn.NORM.DIST(AI$30,economics!$AK$2:$AK$167,economics!$AJ$2:$AJ$167,TRUE)))+$CR11*(_xlfn.NORM.DIST(AI$3,$CU11,0.3*$CU11,TRUE)-_xlfn.NORM.DIST(AI$30,$CU11,0.3*$CU11,TRUE))+$CS11*(_xlfn.NORM.DIST(AI$3,$CV11,0.3*$CV11,TRUE)-_xlfn.NORM.DIST(AI$30,$CV11,0.3*$CV11,TRUE))),""),IF($C11&gt;0,summary!$C$10/28.8/0.947817,""))</f>
        <v/>
      </c>
      <c r="AJ40">
        <f t="array" ref="AJ40">IF($D11,IFERROR((SUMPRODUCT((economics!$AG$2:$AG$167=$B40)*(economics!$D$2:$D$167="whr")*economics!$AH$2:$AH$167*(_xlfn.NORM.DIST(AJ$3,economics!$AK$2:$AK$167,economics!$AJ$2:$AJ$167,TRUE)-_xlfn.NORM.DIST(AJ$30,economics!$AK$2:$AK$167,economics!$AJ$2:$AJ$167,TRUE))*economics!$AM$2:$AM$167)+$CR11*(_xlfn.NORM.DIST(AJ$3,$CU11,0.3*$CU11,TRUE)-_xlfn.NORM.DIST(AJ$30,$CU11,0.3*$CU11,TRUE))*summary!$C$7/28.8/0.947817+$CS11*(_xlfn.NORM.DIST(AJ$3,$CV11,0.3*$CV11,TRUE)-_xlfn.NORM.DIST(AJ$30,$CV11,0.3*$CV11,TRUE))*summary!$C$6/28.8/0.947817)/(SUMPRODUCT((economics!$AG$2:$AG$167=$B40)*(economics!$D$2:$D$167="whr")*economics!$AH$2:$AH$167*(_xlfn.NORM.DIST(AJ$3,economics!$AK$2:$AK$167,economics!$AJ$2:$AJ$167,TRUE)-_xlfn.NORM.DIST(AJ$30,economics!$AK$2:$AK$167,economics!$AJ$2:$AJ$167,TRUE)))+$CR11*(_xlfn.NORM.DIST(AJ$3,$CU11,0.3*$CU11,TRUE)-_xlfn.NORM.DIST(AJ$30,$CU11,0.3*$CU11,TRUE))+$CS11*(_xlfn.NORM.DIST(AJ$3,$CV11,0.3*$CV11,TRUE)-_xlfn.NORM.DIST(AJ$30,$CV11,0.3*$CV11,TRUE))),""),IF($C11&gt;0,summary!$C$10/28.8/0.947817,""))</f>
        <v/>
      </c>
      <c r="AK40">
        <f t="array" ref="AK40">IF($D11,IFERROR((SUMPRODUCT((economics!$AG$2:$AG$167=$B40)*(economics!$D$2:$D$167="whr")*economics!$AH$2:$AH$167*(_xlfn.NORM.DIST(AK$3,economics!$AK$2:$AK$167,economics!$AJ$2:$AJ$167,TRUE)-_xlfn.NORM.DIST(AK$30,economics!$AK$2:$AK$167,economics!$AJ$2:$AJ$167,TRUE))*economics!$AM$2:$AM$167)+$CR11*(_xlfn.NORM.DIST(AK$3,$CU11,0.3*$CU11,TRUE)-_xlfn.NORM.DIST(AK$30,$CU11,0.3*$CU11,TRUE))*summary!$C$7/28.8/0.947817+$CS11*(_xlfn.NORM.DIST(AK$3,$CV11,0.3*$CV11,TRUE)-_xlfn.NORM.DIST(AK$30,$CV11,0.3*$CV11,TRUE))*summary!$C$6/28.8/0.947817)/(SUMPRODUCT((economics!$AG$2:$AG$167=$B40)*(economics!$D$2:$D$167="whr")*economics!$AH$2:$AH$167*(_xlfn.NORM.DIST(AK$3,economics!$AK$2:$AK$167,economics!$AJ$2:$AJ$167,TRUE)-_xlfn.NORM.DIST(AK$30,economics!$AK$2:$AK$167,economics!$AJ$2:$AJ$167,TRUE)))+$CR11*(_xlfn.NORM.DIST(AK$3,$CU11,0.3*$CU11,TRUE)-_xlfn.NORM.DIST(AK$30,$CU11,0.3*$CU11,TRUE))+$CS11*(_xlfn.NORM.DIST(AK$3,$CV11,0.3*$CV11,TRUE)-_xlfn.NORM.DIST(AK$30,$CV11,0.3*$CV11,TRUE))),""),IF($C11&gt;0,summary!$C$10/28.8/0.947817,""))</f>
        <v/>
      </c>
      <c r="AL40">
        <f t="array" ref="AL40">IF($D11,IFERROR((SUMPRODUCT((economics!$AG$2:$AG$167=$B40)*(economics!$D$2:$D$167="whr")*economics!$AH$2:$AH$167*(_xlfn.NORM.DIST(AL$3,economics!$AK$2:$AK$167,economics!$AJ$2:$AJ$167,TRUE)-_xlfn.NORM.DIST(AL$30,economics!$AK$2:$AK$167,economics!$AJ$2:$AJ$167,TRUE))*economics!$AM$2:$AM$167)+$CR11*(_xlfn.NORM.DIST(AL$3,$CU11,0.3*$CU11,TRUE)-_xlfn.NORM.DIST(AL$30,$CU11,0.3*$CU11,TRUE))*summary!$C$7/28.8/0.947817+$CS11*(_xlfn.NORM.DIST(AL$3,$CV11,0.3*$CV11,TRUE)-_xlfn.NORM.DIST(AL$30,$CV11,0.3*$CV11,TRUE))*summary!$C$6/28.8/0.947817)/(SUMPRODUCT((economics!$AG$2:$AG$167=$B40)*(economics!$D$2:$D$167="whr")*economics!$AH$2:$AH$167*(_xlfn.NORM.DIST(AL$3,economics!$AK$2:$AK$167,economics!$AJ$2:$AJ$167,TRUE)-_xlfn.NORM.DIST(AL$30,economics!$AK$2:$AK$167,economics!$AJ$2:$AJ$167,TRUE)))+$CR11*(_xlfn.NORM.DIST(AL$3,$CU11,0.3*$CU11,TRUE)-_xlfn.NORM.DIST(AL$30,$CU11,0.3*$CU11,TRUE))+$CS11*(_xlfn.NORM.DIST(AL$3,$CV11,0.3*$CV11,TRUE)-_xlfn.NORM.DIST(AL$30,$CV11,0.3*$CV11,TRUE))),""),IF($C11&gt;0,summary!$C$10/28.8/0.947817,""))</f>
        <v/>
      </c>
      <c r="AM40">
        <f t="array" ref="AM40">IF($D11,IFERROR((SUMPRODUCT((economics!$AG$2:$AG$167=$B40)*(economics!$D$2:$D$167="whr")*economics!$AH$2:$AH$167*(_xlfn.NORM.DIST(AM$3,economics!$AK$2:$AK$167,economics!$AJ$2:$AJ$167,TRUE)-_xlfn.NORM.DIST(AM$30,economics!$AK$2:$AK$167,economics!$AJ$2:$AJ$167,TRUE))*economics!$AM$2:$AM$167)+$CR11*(_xlfn.NORM.DIST(AM$3,$CU11,0.3*$CU11,TRUE)-_xlfn.NORM.DIST(AM$30,$CU11,0.3*$CU11,TRUE))*summary!$C$7/28.8/0.947817+$CS11*(_xlfn.NORM.DIST(AM$3,$CV11,0.3*$CV11,TRUE)-_xlfn.NORM.DIST(AM$30,$CV11,0.3*$CV11,TRUE))*summary!$C$6/28.8/0.947817)/(SUMPRODUCT((economics!$AG$2:$AG$167=$B40)*(economics!$D$2:$D$167="whr")*economics!$AH$2:$AH$167*(_xlfn.NORM.DIST(AM$3,economics!$AK$2:$AK$167,economics!$AJ$2:$AJ$167,TRUE)-_xlfn.NORM.DIST(AM$30,economics!$AK$2:$AK$167,economics!$AJ$2:$AJ$167,TRUE)))+$CR11*(_xlfn.NORM.DIST(AM$3,$CU11,0.3*$CU11,TRUE)-_xlfn.NORM.DIST(AM$30,$CU11,0.3*$CU11,TRUE))+$CS11*(_xlfn.NORM.DIST(AM$3,$CV11,0.3*$CV11,TRUE)-_xlfn.NORM.DIST(AM$30,$CV11,0.3*$CV11,TRUE))),""),IF($C11&gt;0,summary!$C$10/28.8/0.947817,""))</f>
        <v/>
      </c>
      <c r="AN40">
        <f t="array" ref="AN40">IF($D11,IFERROR((SUMPRODUCT((economics!$AG$2:$AG$167=$B40)*(economics!$D$2:$D$167="whr")*economics!$AH$2:$AH$167*(_xlfn.NORM.DIST(AN$3,economics!$AK$2:$AK$167,economics!$AJ$2:$AJ$167,TRUE)-_xlfn.NORM.DIST(AN$30,economics!$AK$2:$AK$167,economics!$AJ$2:$AJ$167,TRUE))*economics!$AM$2:$AM$167)+$CR11*(_xlfn.NORM.DIST(AN$3,$CU11,0.3*$CU11,TRUE)-_xlfn.NORM.DIST(AN$30,$CU11,0.3*$CU11,TRUE))*summary!$C$7/28.8/0.947817+$CS11*(_xlfn.NORM.DIST(AN$3,$CV11,0.3*$CV11,TRUE)-_xlfn.NORM.DIST(AN$30,$CV11,0.3*$CV11,TRUE))*summary!$C$6/28.8/0.947817)/(SUMPRODUCT((economics!$AG$2:$AG$167=$B40)*(economics!$D$2:$D$167="whr")*economics!$AH$2:$AH$167*(_xlfn.NORM.DIST(AN$3,economics!$AK$2:$AK$167,economics!$AJ$2:$AJ$167,TRUE)-_xlfn.NORM.DIST(AN$30,economics!$AK$2:$AK$167,economics!$AJ$2:$AJ$167,TRUE)))+$CR11*(_xlfn.NORM.DIST(AN$3,$CU11,0.3*$CU11,TRUE)-_xlfn.NORM.DIST(AN$30,$CU11,0.3*$CU11,TRUE))+$CS11*(_xlfn.NORM.DIST(AN$3,$CV11,0.3*$CV11,TRUE)-_xlfn.NORM.DIST(AN$30,$CV11,0.3*$CV11,TRUE))),""),IF($C11&gt;0,summary!$C$10/28.8/0.947817,""))</f>
        <v/>
      </c>
      <c r="AO40">
        <f t="array" ref="AO40">IF($D11,IFERROR((SUMPRODUCT((economics!$AG$2:$AG$167=$B40)*(economics!$D$2:$D$167="whr")*economics!$AH$2:$AH$167*(_xlfn.NORM.DIST(AO$3,economics!$AK$2:$AK$167,economics!$AJ$2:$AJ$167,TRUE)-_xlfn.NORM.DIST(AO$30,economics!$AK$2:$AK$167,economics!$AJ$2:$AJ$167,TRUE))*economics!$AM$2:$AM$167)+$CR11*(_xlfn.NORM.DIST(AO$3,$CU11,0.3*$CU11,TRUE)-_xlfn.NORM.DIST(AO$30,$CU11,0.3*$CU11,TRUE))*summary!$C$7/28.8/0.947817+$CS11*(_xlfn.NORM.DIST(AO$3,$CV11,0.3*$CV11,TRUE)-_xlfn.NORM.DIST(AO$30,$CV11,0.3*$CV11,TRUE))*summary!$C$6/28.8/0.947817)/(SUMPRODUCT((economics!$AG$2:$AG$167=$B40)*(economics!$D$2:$D$167="whr")*economics!$AH$2:$AH$167*(_xlfn.NORM.DIST(AO$3,economics!$AK$2:$AK$167,economics!$AJ$2:$AJ$167,TRUE)-_xlfn.NORM.DIST(AO$30,economics!$AK$2:$AK$167,economics!$AJ$2:$AJ$167,TRUE)))+$CR11*(_xlfn.NORM.DIST(AO$3,$CU11,0.3*$CU11,TRUE)-_xlfn.NORM.DIST(AO$30,$CU11,0.3*$CU11,TRUE))+$CS11*(_xlfn.NORM.DIST(AO$3,$CV11,0.3*$CV11,TRUE)-_xlfn.NORM.DIST(AO$30,$CV11,0.3*$CV11,TRUE))),""),IF($C11&gt;0,summary!$C$10/28.8/0.947817,""))</f>
        <v/>
      </c>
      <c r="AP40">
        <f t="array" ref="AP40">IF($D11,IFERROR((SUMPRODUCT((economics!$AG$2:$AG$167=$B40)*(economics!$D$2:$D$167="whr")*economics!$AH$2:$AH$167*(_xlfn.NORM.DIST(AP$3,economics!$AK$2:$AK$167,economics!$AJ$2:$AJ$167,TRUE)-_xlfn.NORM.DIST(AP$30,economics!$AK$2:$AK$167,economics!$AJ$2:$AJ$167,TRUE))*economics!$AM$2:$AM$167)+$CR11*(_xlfn.NORM.DIST(AP$3,$CU11,0.3*$CU11,TRUE)-_xlfn.NORM.DIST(AP$30,$CU11,0.3*$CU11,TRUE))*summary!$C$7/28.8/0.947817+$CS11*(_xlfn.NORM.DIST(AP$3,$CV11,0.3*$CV11,TRUE)-_xlfn.NORM.DIST(AP$30,$CV11,0.3*$CV11,TRUE))*summary!$C$6/28.8/0.947817)/(SUMPRODUCT((economics!$AG$2:$AG$167=$B40)*(economics!$D$2:$D$167="whr")*economics!$AH$2:$AH$167*(_xlfn.NORM.DIST(AP$3,economics!$AK$2:$AK$167,economics!$AJ$2:$AJ$167,TRUE)-_xlfn.NORM.DIST(AP$30,economics!$AK$2:$AK$167,economics!$AJ$2:$AJ$167,TRUE)))+$CR11*(_xlfn.NORM.DIST(AP$3,$CU11,0.3*$CU11,TRUE)-_xlfn.NORM.DIST(AP$30,$CU11,0.3*$CU11,TRUE))+$CS11*(_xlfn.NORM.DIST(AP$3,$CV11,0.3*$CV11,TRUE)-_xlfn.NORM.DIST(AP$30,$CV11,0.3*$CV11,TRUE))),""),IF($C11&gt;0,summary!$C$10/28.8/0.947817,""))</f>
        <v/>
      </c>
      <c r="AQ40">
        <f t="array" ref="AQ40">IF($D11,IFERROR((SUMPRODUCT((economics!$AG$2:$AG$167=$B40)*(economics!$D$2:$D$167="whr")*economics!$AH$2:$AH$167*(_xlfn.NORM.DIST(AQ$3,economics!$AK$2:$AK$167,economics!$AJ$2:$AJ$167,TRUE)-_xlfn.NORM.DIST(AQ$30,economics!$AK$2:$AK$167,economics!$AJ$2:$AJ$167,TRUE))*economics!$AM$2:$AM$167)+$CR11*(_xlfn.NORM.DIST(AQ$3,$CU11,0.3*$CU11,TRUE)-_xlfn.NORM.DIST(AQ$30,$CU11,0.3*$CU11,TRUE))*summary!$C$7/28.8/0.947817+$CS11*(_xlfn.NORM.DIST(AQ$3,$CV11,0.3*$CV11,TRUE)-_xlfn.NORM.DIST(AQ$30,$CV11,0.3*$CV11,TRUE))*summary!$C$6/28.8/0.947817)/(SUMPRODUCT((economics!$AG$2:$AG$167=$B40)*(economics!$D$2:$D$167="whr")*economics!$AH$2:$AH$167*(_xlfn.NORM.DIST(AQ$3,economics!$AK$2:$AK$167,economics!$AJ$2:$AJ$167,TRUE)-_xlfn.NORM.DIST(AQ$30,economics!$AK$2:$AK$167,economics!$AJ$2:$AJ$167,TRUE)))+$CR11*(_xlfn.NORM.DIST(AQ$3,$CU11,0.3*$CU11,TRUE)-_xlfn.NORM.DIST(AQ$30,$CU11,0.3*$CU11,TRUE))+$CS11*(_xlfn.NORM.DIST(AQ$3,$CV11,0.3*$CV11,TRUE)-_xlfn.NORM.DIST(AQ$30,$CV11,0.3*$CV11,TRUE))),""),IF($C11&gt;0,summary!$C$10/28.8/0.947817,""))</f>
        <v/>
      </c>
      <c r="AR40">
        <f t="array" ref="AR40">IF($D11,IFERROR((SUMPRODUCT((economics!$AG$2:$AG$167=$B40)*(economics!$D$2:$D$167="whr")*economics!$AH$2:$AH$167*(_xlfn.NORM.DIST(AR$3,economics!$AK$2:$AK$167,economics!$AJ$2:$AJ$167,TRUE)-_xlfn.NORM.DIST(AR$30,economics!$AK$2:$AK$167,economics!$AJ$2:$AJ$167,TRUE))*economics!$AM$2:$AM$167)+$CR11*(_xlfn.NORM.DIST(AR$3,$CU11,0.3*$CU11,TRUE)-_xlfn.NORM.DIST(AR$30,$CU11,0.3*$CU11,TRUE))*summary!$C$7/28.8/0.947817+$CS11*(_xlfn.NORM.DIST(AR$3,$CV11,0.3*$CV11,TRUE)-_xlfn.NORM.DIST(AR$30,$CV11,0.3*$CV11,TRUE))*summary!$C$6/28.8/0.947817)/(SUMPRODUCT((economics!$AG$2:$AG$167=$B40)*(economics!$D$2:$D$167="whr")*economics!$AH$2:$AH$167*(_xlfn.NORM.DIST(AR$3,economics!$AK$2:$AK$167,economics!$AJ$2:$AJ$167,TRUE)-_xlfn.NORM.DIST(AR$30,economics!$AK$2:$AK$167,economics!$AJ$2:$AJ$167,TRUE)))+$CR11*(_xlfn.NORM.DIST(AR$3,$CU11,0.3*$CU11,TRUE)-_xlfn.NORM.DIST(AR$30,$CU11,0.3*$CU11,TRUE))+$CS11*(_xlfn.NORM.DIST(AR$3,$CV11,0.3*$CV11,TRUE)-_xlfn.NORM.DIST(AR$30,$CV11,0.3*$CV11,TRUE))),""),IF($C11&gt;0,summary!$C$10/28.8/0.947817,""))</f>
        <v/>
      </c>
      <c r="AS40">
        <f t="array" ref="AS40">IF($D11,IFERROR((SUMPRODUCT((economics!$AG$2:$AG$167=$B40)*(economics!$D$2:$D$167="whr")*economics!$AH$2:$AH$167*(_xlfn.NORM.DIST(AS$3,economics!$AK$2:$AK$167,economics!$AJ$2:$AJ$167,TRUE)-_xlfn.NORM.DIST(AS$30,economics!$AK$2:$AK$167,economics!$AJ$2:$AJ$167,TRUE))*economics!$AM$2:$AM$167)+$CR11*(_xlfn.NORM.DIST(AS$3,$CU11,0.3*$CU11,TRUE)-_xlfn.NORM.DIST(AS$30,$CU11,0.3*$CU11,TRUE))*summary!$C$7/28.8/0.947817+$CS11*(_xlfn.NORM.DIST(AS$3,$CV11,0.3*$CV11,TRUE)-_xlfn.NORM.DIST(AS$30,$CV11,0.3*$CV11,TRUE))*summary!$C$6/28.8/0.947817)/(SUMPRODUCT((economics!$AG$2:$AG$167=$B40)*(economics!$D$2:$D$167="whr")*economics!$AH$2:$AH$167*(_xlfn.NORM.DIST(AS$3,economics!$AK$2:$AK$167,economics!$AJ$2:$AJ$167,TRUE)-_xlfn.NORM.DIST(AS$30,economics!$AK$2:$AK$167,economics!$AJ$2:$AJ$167,TRUE)))+$CR11*(_xlfn.NORM.DIST(AS$3,$CU11,0.3*$CU11,TRUE)-_xlfn.NORM.DIST(AS$30,$CU11,0.3*$CU11,TRUE))+$CS11*(_xlfn.NORM.DIST(AS$3,$CV11,0.3*$CV11,TRUE)-_xlfn.NORM.DIST(AS$30,$CV11,0.3*$CV11,TRUE))),""),IF($C11&gt;0,summary!$C$10/28.8/0.947817,""))</f>
        <v/>
      </c>
      <c r="AT40">
        <f t="array" ref="AT40">IF($D11,IFERROR((SUMPRODUCT((economics!$AG$2:$AG$167=$B40)*(economics!$D$2:$D$167="whr")*economics!$AH$2:$AH$167*(_xlfn.NORM.DIST(AT$3,economics!$AK$2:$AK$167,economics!$AJ$2:$AJ$167,TRUE)-_xlfn.NORM.DIST(AT$30,economics!$AK$2:$AK$167,economics!$AJ$2:$AJ$167,TRUE))*economics!$AM$2:$AM$167)+$CR11*(_xlfn.NORM.DIST(AT$3,$CU11,0.3*$CU11,TRUE)-_xlfn.NORM.DIST(AT$30,$CU11,0.3*$CU11,TRUE))*summary!$C$7/28.8/0.947817+$CS11*(_xlfn.NORM.DIST(AT$3,$CV11,0.3*$CV11,TRUE)-_xlfn.NORM.DIST(AT$30,$CV11,0.3*$CV11,TRUE))*summary!$C$6/28.8/0.947817)/(SUMPRODUCT((economics!$AG$2:$AG$167=$B40)*(economics!$D$2:$D$167="whr")*economics!$AH$2:$AH$167*(_xlfn.NORM.DIST(AT$3,economics!$AK$2:$AK$167,economics!$AJ$2:$AJ$167,TRUE)-_xlfn.NORM.DIST(AT$30,economics!$AK$2:$AK$167,economics!$AJ$2:$AJ$167,TRUE)))+$CR11*(_xlfn.NORM.DIST(AT$3,$CU11,0.3*$CU11,TRUE)-_xlfn.NORM.DIST(AT$30,$CU11,0.3*$CU11,TRUE))+$CS11*(_xlfn.NORM.DIST(AT$3,$CV11,0.3*$CV11,TRUE)-_xlfn.NORM.DIST(AT$30,$CV11,0.3*$CV11,TRUE))),""),IF($C11&gt;0,summary!$C$10/28.8/0.947817,""))</f>
        <v/>
      </c>
      <c r="AU40">
        <f t="array" ref="AU40">IF($D11,IFERROR((SUMPRODUCT((economics!$AG$2:$AG$167=$B40)*(economics!$D$2:$D$167="whr")*economics!$AH$2:$AH$167*(_xlfn.NORM.DIST(AU$3,economics!$AK$2:$AK$167,economics!$AJ$2:$AJ$167,TRUE)-_xlfn.NORM.DIST(AU$30,economics!$AK$2:$AK$167,economics!$AJ$2:$AJ$167,TRUE))*economics!$AM$2:$AM$167)+$CR11*(_xlfn.NORM.DIST(AU$3,$CU11,0.3*$CU11,TRUE)-_xlfn.NORM.DIST(AU$30,$CU11,0.3*$CU11,TRUE))*summary!$C$7/28.8/0.947817+$CS11*(_xlfn.NORM.DIST(AU$3,$CV11,0.3*$CV11,TRUE)-_xlfn.NORM.DIST(AU$30,$CV11,0.3*$CV11,TRUE))*summary!$C$6/28.8/0.947817)/(SUMPRODUCT((economics!$AG$2:$AG$167=$B40)*(economics!$D$2:$D$167="whr")*economics!$AH$2:$AH$167*(_xlfn.NORM.DIST(AU$3,economics!$AK$2:$AK$167,economics!$AJ$2:$AJ$167,TRUE)-_xlfn.NORM.DIST(AU$30,economics!$AK$2:$AK$167,economics!$AJ$2:$AJ$167,TRUE)))+$CR11*(_xlfn.NORM.DIST(AU$3,$CU11,0.3*$CU11,TRUE)-_xlfn.NORM.DIST(AU$30,$CU11,0.3*$CU11,TRUE))+$CS11*(_xlfn.NORM.DIST(AU$3,$CV11,0.3*$CV11,TRUE)-_xlfn.NORM.DIST(AU$30,$CV11,0.3*$CV11,TRUE))),""),IF($C11&gt;0,summary!$C$10/28.8/0.947817,""))</f>
        <v/>
      </c>
      <c r="AV40">
        <f t="array" ref="AV40">IF($D11,IFERROR((SUMPRODUCT((economics!$AG$2:$AG$167=$B40)*(economics!$D$2:$D$167="whr")*economics!$AH$2:$AH$167*(_xlfn.NORM.DIST(AV$3,economics!$AK$2:$AK$167,economics!$AJ$2:$AJ$167,TRUE)-_xlfn.NORM.DIST(AV$30,economics!$AK$2:$AK$167,economics!$AJ$2:$AJ$167,TRUE))*economics!$AM$2:$AM$167)+$CR11*(_xlfn.NORM.DIST(AV$3,$CU11,0.3*$CU11,TRUE)-_xlfn.NORM.DIST(AV$30,$CU11,0.3*$CU11,TRUE))*summary!$C$7/28.8/0.947817+$CS11*(_xlfn.NORM.DIST(AV$3,$CV11,0.3*$CV11,TRUE)-_xlfn.NORM.DIST(AV$30,$CV11,0.3*$CV11,TRUE))*summary!$C$6/28.8/0.947817)/(SUMPRODUCT((economics!$AG$2:$AG$167=$B40)*(economics!$D$2:$D$167="whr")*economics!$AH$2:$AH$167*(_xlfn.NORM.DIST(AV$3,economics!$AK$2:$AK$167,economics!$AJ$2:$AJ$167,TRUE)-_xlfn.NORM.DIST(AV$30,economics!$AK$2:$AK$167,economics!$AJ$2:$AJ$167,TRUE)))+$CR11*(_xlfn.NORM.DIST(AV$3,$CU11,0.3*$CU11,TRUE)-_xlfn.NORM.DIST(AV$30,$CU11,0.3*$CU11,TRUE))+$CS11*(_xlfn.NORM.DIST(AV$3,$CV11,0.3*$CV11,TRUE)-_xlfn.NORM.DIST(AV$30,$CV11,0.3*$CV11,TRUE))),""),IF($C11&gt;0,summary!$C$10/28.8/0.947817,""))</f>
        <v/>
      </c>
      <c r="AW40">
        <f t="array" ref="AW40">IF($D11,IFERROR((SUMPRODUCT((economics!$AG$2:$AG$167=$B40)*(economics!$D$2:$D$167="whr")*economics!$AH$2:$AH$167*(_xlfn.NORM.DIST(AW$3,economics!$AK$2:$AK$167,economics!$AJ$2:$AJ$167,TRUE)-_xlfn.NORM.DIST(AW$30,economics!$AK$2:$AK$167,economics!$AJ$2:$AJ$167,TRUE))*economics!$AM$2:$AM$167)+$CR11*(_xlfn.NORM.DIST(AW$3,$CU11,0.3*$CU11,TRUE)-_xlfn.NORM.DIST(AW$30,$CU11,0.3*$CU11,TRUE))*summary!$C$7/28.8/0.947817+$CS11*(_xlfn.NORM.DIST(AW$3,$CV11,0.3*$CV11,TRUE)-_xlfn.NORM.DIST(AW$30,$CV11,0.3*$CV11,TRUE))*summary!$C$6/28.8/0.947817)/(SUMPRODUCT((economics!$AG$2:$AG$167=$B40)*(economics!$D$2:$D$167="whr")*economics!$AH$2:$AH$167*(_xlfn.NORM.DIST(AW$3,economics!$AK$2:$AK$167,economics!$AJ$2:$AJ$167,TRUE)-_xlfn.NORM.DIST(AW$30,economics!$AK$2:$AK$167,economics!$AJ$2:$AJ$167,TRUE)))+$CR11*(_xlfn.NORM.DIST(AW$3,$CU11,0.3*$CU11,TRUE)-_xlfn.NORM.DIST(AW$30,$CU11,0.3*$CU11,TRUE))+$CS11*(_xlfn.NORM.DIST(AW$3,$CV11,0.3*$CV11,TRUE)-_xlfn.NORM.DIST(AW$30,$CV11,0.3*$CV11,TRUE))),""),IF($C11&gt;0,summary!$C$10/28.8/0.947817,""))</f>
        <v/>
      </c>
      <c r="AX40">
        <f t="array" ref="AX40">IF($D11,IFERROR((SUMPRODUCT((economics!$AG$2:$AG$167=$B40)*(economics!$D$2:$D$167="whr")*economics!$AH$2:$AH$167*(_xlfn.NORM.DIST(AX$3,economics!$AK$2:$AK$167,economics!$AJ$2:$AJ$167,TRUE)-_xlfn.NORM.DIST(AX$30,economics!$AK$2:$AK$167,economics!$AJ$2:$AJ$167,TRUE))*economics!$AM$2:$AM$167)+$CR11*(_xlfn.NORM.DIST(AX$3,$CU11,0.3*$CU11,TRUE)-_xlfn.NORM.DIST(AX$30,$CU11,0.3*$CU11,TRUE))*summary!$C$7/28.8/0.947817+$CS11*(_xlfn.NORM.DIST(AX$3,$CV11,0.3*$CV11,TRUE)-_xlfn.NORM.DIST(AX$30,$CV11,0.3*$CV11,TRUE))*summary!$C$6/28.8/0.947817)/(SUMPRODUCT((economics!$AG$2:$AG$167=$B40)*(economics!$D$2:$D$167="whr")*economics!$AH$2:$AH$167*(_xlfn.NORM.DIST(AX$3,economics!$AK$2:$AK$167,economics!$AJ$2:$AJ$167,TRUE)-_xlfn.NORM.DIST(AX$30,economics!$AK$2:$AK$167,economics!$AJ$2:$AJ$167,TRUE)))+$CR11*(_xlfn.NORM.DIST(AX$3,$CU11,0.3*$CU11,TRUE)-_xlfn.NORM.DIST(AX$30,$CU11,0.3*$CU11,TRUE))+$CS11*(_xlfn.NORM.DIST(AX$3,$CV11,0.3*$CV11,TRUE)-_xlfn.NORM.DIST(AX$30,$CV11,0.3*$CV11,TRUE))),""),IF($C11&gt;0,summary!$C$10/28.8/0.947817,""))</f>
        <v/>
      </c>
      <c r="AY40">
        <f t="array" ref="AY40">IF($D11,IFERROR((SUMPRODUCT((economics!$AG$2:$AG$167=$B40)*(economics!$D$2:$D$167="whr")*economics!$AH$2:$AH$167*(_xlfn.NORM.DIST(AY$3,economics!$AK$2:$AK$167,economics!$AJ$2:$AJ$167,TRUE)-_xlfn.NORM.DIST(AY$30,economics!$AK$2:$AK$167,economics!$AJ$2:$AJ$167,TRUE))*economics!$AM$2:$AM$167)+$CR11*(_xlfn.NORM.DIST(AY$3,$CU11,0.3*$CU11,TRUE)-_xlfn.NORM.DIST(AY$30,$CU11,0.3*$CU11,TRUE))*summary!$C$7/28.8/0.947817+$CS11*(_xlfn.NORM.DIST(AY$3,$CV11,0.3*$CV11,TRUE)-_xlfn.NORM.DIST(AY$30,$CV11,0.3*$CV11,TRUE))*summary!$C$6/28.8/0.947817)/(SUMPRODUCT((economics!$AG$2:$AG$167=$B40)*(economics!$D$2:$D$167="whr")*economics!$AH$2:$AH$167*(_xlfn.NORM.DIST(AY$3,economics!$AK$2:$AK$167,economics!$AJ$2:$AJ$167,TRUE)-_xlfn.NORM.DIST(AY$30,economics!$AK$2:$AK$167,economics!$AJ$2:$AJ$167,TRUE)))+$CR11*(_xlfn.NORM.DIST(AY$3,$CU11,0.3*$CU11,TRUE)-_xlfn.NORM.DIST(AY$30,$CU11,0.3*$CU11,TRUE))+$CS11*(_xlfn.NORM.DIST(AY$3,$CV11,0.3*$CV11,TRUE)-_xlfn.NORM.DIST(AY$30,$CV11,0.3*$CV11,TRUE))),""),IF($C11&gt;0,summary!$C$10/28.8/0.947817,""))</f>
        <v/>
      </c>
      <c r="AZ40">
        <f t="array" ref="AZ40">IF($D11,IFERROR((SUMPRODUCT((economics!$AG$2:$AG$167=$B40)*(economics!$D$2:$D$167="whr")*economics!$AH$2:$AH$167*(_xlfn.NORM.DIST(AZ$3,economics!$AK$2:$AK$167,economics!$AJ$2:$AJ$167,TRUE)-_xlfn.NORM.DIST(AZ$30,economics!$AK$2:$AK$167,economics!$AJ$2:$AJ$167,TRUE))*economics!$AM$2:$AM$167)+$CR11*(_xlfn.NORM.DIST(AZ$3,$CU11,0.3*$CU11,TRUE)-_xlfn.NORM.DIST(AZ$30,$CU11,0.3*$CU11,TRUE))*summary!$C$7/28.8/0.947817+$CS11*(_xlfn.NORM.DIST(AZ$3,$CV11,0.3*$CV11,TRUE)-_xlfn.NORM.DIST(AZ$30,$CV11,0.3*$CV11,TRUE))*summary!$C$6/28.8/0.947817)/(SUMPRODUCT((economics!$AG$2:$AG$167=$B40)*(economics!$D$2:$D$167="whr")*economics!$AH$2:$AH$167*(_xlfn.NORM.DIST(AZ$3,economics!$AK$2:$AK$167,economics!$AJ$2:$AJ$167,TRUE)-_xlfn.NORM.DIST(AZ$30,economics!$AK$2:$AK$167,economics!$AJ$2:$AJ$167,TRUE)))+$CR11*(_xlfn.NORM.DIST(AZ$3,$CU11,0.3*$CU11,TRUE)-_xlfn.NORM.DIST(AZ$30,$CU11,0.3*$CU11,TRUE))+$CS11*(_xlfn.NORM.DIST(AZ$3,$CV11,0.3*$CV11,TRUE)-_xlfn.NORM.DIST(AZ$30,$CV11,0.3*$CV11,TRUE))),""),IF($C11&gt;0,summary!$C$10/28.8/0.947817,""))</f>
        <v/>
      </c>
      <c r="BA40">
        <f t="array" ref="BA40">IF($D11,IFERROR((SUMPRODUCT((economics!$AG$2:$AG$167=$B40)*(economics!$D$2:$D$167="whr")*economics!$AH$2:$AH$167*(_xlfn.NORM.DIST(BA$3,economics!$AK$2:$AK$167,economics!$AJ$2:$AJ$167,TRUE)-_xlfn.NORM.DIST(BA$30,economics!$AK$2:$AK$167,economics!$AJ$2:$AJ$167,TRUE))*economics!$AM$2:$AM$167)+$CR11*(_xlfn.NORM.DIST(BA$3,$CU11,0.3*$CU11,TRUE)-_xlfn.NORM.DIST(BA$30,$CU11,0.3*$CU11,TRUE))*summary!$C$7/28.8/0.947817+$CS11*(_xlfn.NORM.DIST(BA$3,$CV11,0.3*$CV11,TRUE)-_xlfn.NORM.DIST(BA$30,$CV11,0.3*$CV11,TRUE))*summary!$C$6/28.8/0.947817)/(SUMPRODUCT((economics!$AG$2:$AG$167=$B40)*(economics!$D$2:$D$167="whr")*economics!$AH$2:$AH$167*(_xlfn.NORM.DIST(BA$3,economics!$AK$2:$AK$167,economics!$AJ$2:$AJ$167,TRUE)-_xlfn.NORM.DIST(BA$30,economics!$AK$2:$AK$167,economics!$AJ$2:$AJ$167,TRUE)))+$CR11*(_xlfn.NORM.DIST(BA$3,$CU11,0.3*$CU11,TRUE)-_xlfn.NORM.DIST(BA$30,$CU11,0.3*$CU11,TRUE))+$CS11*(_xlfn.NORM.DIST(BA$3,$CV11,0.3*$CV11,TRUE)-_xlfn.NORM.DIST(BA$30,$CV11,0.3*$CV11,TRUE))),""),IF($C11&gt;0,summary!$C$10/28.8/0.947817,""))</f>
        <v/>
      </c>
      <c r="BB40">
        <f t="array" ref="BB40">IF($D11,IFERROR((SUMPRODUCT((economics!$AG$2:$AG$167=$B40)*(economics!$D$2:$D$167="whr")*economics!$AH$2:$AH$167*(_xlfn.NORM.DIST(BB$3,economics!$AK$2:$AK$167,economics!$AJ$2:$AJ$167,TRUE)-_xlfn.NORM.DIST(BB$30,economics!$AK$2:$AK$167,economics!$AJ$2:$AJ$167,TRUE))*economics!$AM$2:$AM$167)+$CR11*(_xlfn.NORM.DIST(BB$3,$CU11,0.3*$CU11,TRUE)-_xlfn.NORM.DIST(BB$30,$CU11,0.3*$CU11,TRUE))*summary!$C$7/28.8/0.947817+$CS11*(_xlfn.NORM.DIST(BB$3,$CV11,0.3*$CV11,TRUE)-_xlfn.NORM.DIST(BB$30,$CV11,0.3*$CV11,TRUE))*summary!$C$6/28.8/0.947817)/(SUMPRODUCT((economics!$AG$2:$AG$167=$B40)*(economics!$D$2:$D$167="whr")*economics!$AH$2:$AH$167*(_xlfn.NORM.DIST(BB$3,economics!$AK$2:$AK$167,economics!$AJ$2:$AJ$167,TRUE)-_xlfn.NORM.DIST(BB$30,economics!$AK$2:$AK$167,economics!$AJ$2:$AJ$167,TRUE)))+$CR11*(_xlfn.NORM.DIST(BB$3,$CU11,0.3*$CU11,TRUE)-_xlfn.NORM.DIST(BB$30,$CU11,0.3*$CU11,TRUE))+$CS11*(_xlfn.NORM.DIST(BB$3,$CV11,0.3*$CV11,TRUE)-_xlfn.NORM.DIST(BB$30,$CV11,0.3*$CV11,TRUE))),""),IF($C11&gt;0,summary!$C$10/28.8/0.947817,""))</f>
        <v/>
      </c>
      <c r="BC40">
        <f t="array" ref="BC40">IF($D11,IFERROR((SUMPRODUCT((economics!$AG$2:$AG$167=$B40)*(economics!$D$2:$D$167="whr")*economics!$AH$2:$AH$167*(_xlfn.NORM.DIST(BC$3,economics!$AK$2:$AK$167,economics!$AJ$2:$AJ$167,TRUE)-_xlfn.NORM.DIST(BC$30,economics!$AK$2:$AK$167,economics!$AJ$2:$AJ$167,TRUE))*economics!$AM$2:$AM$167)+$CR11*(_xlfn.NORM.DIST(BC$3,$CU11,0.3*$CU11,TRUE)-_xlfn.NORM.DIST(BC$30,$CU11,0.3*$CU11,TRUE))*summary!$C$7/28.8/0.947817+$CS11*(_xlfn.NORM.DIST(BC$3,$CV11,0.3*$CV11,TRUE)-_xlfn.NORM.DIST(BC$30,$CV11,0.3*$CV11,TRUE))*summary!$C$6/28.8/0.947817)/(SUMPRODUCT((economics!$AG$2:$AG$167=$B40)*(economics!$D$2:$D$167="whr")*economics!$AH$2:$AH$167*(_xlfn.NORM.DIST(BC$3,economics!$AK$2:$AK$167,economics!$AJ$2:$AJ$167,TRUE)-_xlfn.NORM.DIST(BC$30,economics!$AK$2:$AK$167,economics!$AJ$2:$AJ$167,TRUE)))+$CR11*(_xlfn.NORM.DIST(BC$3,$CU11,0.3*$CU11,TRUE)-_xlfn.NORM.DIST(BC$30,$CU11,0.3*$CU11,TRUE))+$CS11*(_xlfn.NORM.DIST(BC$3,$CV11,0.3*$CV11,TRUE)-_xlfn.NORM.DIST(BC$30,$CV11,0.3*$CV11,TRUE))),""),IF($C11&gt;0,summary!$C$10/28.8/0.947817,""))</f>
        <v/>
      </c>
      <c r="BD40">
        <f t="array" ref="BD40">IF($D11,IFERROR((SUMPRODUCT((economics!$AG$2:$AG$167=$B40)*(economics!$D$2:$D$167="whr")*economics!$AH$2:$AH$167*(_xlfn.NORM.DIST(BD$3,economics!$AK$2:$AK$167,economics!$AJ$2:$AJ$167,TRUE)-_xlfn.NORM.DIST(BD$30,economics!$AK$2:$AK$167,economics!$AJ$2:$AJ$167,TRUE))*economics!$AM$2:$AM$167)+$CR11*(_xlfn.NORM.DIST(BD$3,$CU11,0.3*$CU11,TRUE)-_xlfn.NORM.DIST(BD$30,$CU11,0.3*$CU11,TRUE))*summary!$C$7/28.8/0.947817+$CS11*(_xlfn.NORM.DIST(BD$3,$CV11,0.3*$CV11,TRUE)-_xlfn.NORM.DIST(BD$30,$CV11,0.3*$CV11,TRUE))*summary!$C$6/28.8/0.947817)/(SUMPRODUCT((economics!$AG$2:$AG$167=$B40)*(economics!$D$2:$D$167="whr")*economics!$AH$2:$AH$167*(_xlfn.NORM.DIST(BD$3,economics!$AK$2:$AK$167,economics!$AJ$2:$AJ$167,TRUE)-_xlfn.NORM.DIST(BD$30,economics!$AK$2:$AK$167,economics!$AJ$2:$AJ$167,TRUE)))+$CR11*(_xlfn.NORM.DIST(BD$3,$CU11,0.3*$CU11,TRUE)-_xlfn.NORM.DIST(BD$30,$CU11,0.3*$CU11,TRUE))+$CS11*(_xlfn.NORM.DIST(BD$3,$CV11,0.3*$CV11,TRUE)-_xlfn.NORM.DIST(BD$30,$CV11,0.3*$CV11,TRUE))),""),IF($C11&gt;0,summary!$C$10/28.8/0.947817,""))</f>
        <v/>
      </c>
      <c r="BE40">
        <f t="array" ref="BE40">IF($D11,IFERROR((SUMPRODUCT((economics!$AG$2:$AG$167=$B40)*(economics!$D$2:$D$167="whr")*economics!$AH$2:$AH$167*(_xlfn.NORM.DIST(BE$3,economics!$AK$2:$AK$167,economics!$AJ$2:$AJ$167,TRUE)-_xlfn.NORM.DIST(BE$30,economics!$AK$2:$AK$167,economics!$AJ$2:$AJ$167,TRUE))*economics!$AM$2:$AM$167)+$CR11*(_xlfn.NORM.DIST(BE$3,$CU11,0.3*$CU11,TRUE)-_xlfn.NORM.DIST(BE$30,$CU11,0.3*$CU11,TRUE))*summary!$C$7/28.8/0.947817+$CS11*(_xlfn.NORM.DIST(BE$3,$CV11,0.3*$CV11,TRUE)-_xlfn.NORM.DIST(BE$30,$CV11,0.3*$CV11,TRUE))*summary!$C$6/28.8/0.947817)/(SUMPRODUCT((economics!$AG$2:$AG$167=$B40)*(economics!$D$2:$D$167="whr")*economics!$AH$2:$AH$167*(_xlfn.NORM.DIST(BE$3,economics!$AK$2:$AK$167,economics!$AJ$2:$AJ$167,TRUE)-_xlfn.NORM.DIST(BE$30,economics!$AK$2:$AK$167,economics!$AJ$2:$AJ$167,TRUE)))+$CR11*(_xlfn.NORM.DIST(BE$3,$CU11,0.3*$CU11,TRUE)-_xlfn.NORM.DIST(BE$30,$CU11,0.3*$CU11,TRUE))+$CS11*(_xlfn.NORM.DIST(BE$3,$CV11,0.3*$CV11,TRUE)-_xlfn.NORM.DIST(BE$30,$CV11,0.3*$CV11,TRUE))),""),IF($C11&gt;0,summary!$C$10/28.8/0.947817,""))</f>
        <v/>
      </c>
      <c r="BF40">
        <f t="array" ref="BF40">IF($D11,IFERROR((SUMPRODUCT((economics!$AG$2:$AG$167=$B40)*(economics!$D$2:$D$167="whr")*economics!$AH$2:$AH$167*(_xlfn.NORM.DIST(BF$3,economics!$AK$2:$AK$167,economics!$AJ$2:$AJ$167,TRUE)-_xlfn.NORM.DIST(BF$30,economics!$AK$2:$AK$167,economics!$AJ$2:$AJ$167,TRUE))*economics!$AM$2:$AM$167)+$CR11*(_xlfn.NORM.DIST(BF$3,$CU11,0.3*$CU11,TRUE)-_xlfn.NORM.DIST(BF$30,$CU11,0.3*$CU11,TRUE))*summary!$C$7/28.8/0.947817+$CS11*(_xlfn.NORM.DIST(BF$3,$CV11,0.3*$CV11,TRUE)-_xlfn.NORM.DIST(BF$30,$CV11,0.3*$CV11,TRUE))*summary!$C$6/28.8/0.947817)/(SUMPRODUCT((economics!$AG$2:$AG$167=$B40)*(economics!$D$2:$D$167="whr")*economics!$AH$2:$AH$167*(_xlfn.NORM.DIST(BF$3,economics!$AK$2:$AK$167,economics!$AJ$2:$AJ$167,TRUE)-_xlfn.NORM.DIST(BF$30,economics!$AK$2:$AK$167,economics!$AJ$2:$AJ$167,TRUE)))+$CR11*(_xlfn.NORM.DIST(BF$3,$CU11,0.3*$CU11,TRUE)-_xlfn.NORM.DIST(BF$30,$CU11,0.3*$CU11,TRUE))+$CS11*(_xlfn.NORM.DIST(BF$3,$CV11,0.3*$CV11,TRUE)-_xlfn.NORM.DIST(BF$30,$CV11,0.3*$CV11,TRUE))),""),IF($C11&gt;0,summary!$C$10/28.8/0.947817,""))</f>
        <v/>
      </c>
      <c r="BG40">
        <f t="array" ref="BG40">IF($D11,IFERROR((SUMPRODUCT((economics!$AG$2:$AG$167=$B40)*(economics!$D$2:$D$167="whr")*economics!$AH$2:$AH$167*(_xlfn.NORM.DIST(BG$3,economics!$AK$2:$AK$167,economics!$AJ$2:$AJ$167,TRUE)-_xlfn.NORM.DIST(BG$30,economics!$AK$2:$AK$167,economics!$AJ$2:$AJ$167,TRUE))*economics!$AM$2:$AM$167)+$CR11*(_xlfn.NORM.DIST(BG$3,$CU11,0.3*$CU11,TRUE)-_xlfn.NORM.DIST(BG$30,$CU11,0.3*$CU11,TRUE))*summary!$C$7/28.8/0.947817+$CS11*(_xlfn.NORM.DIST(BG$3,$CV11,0.3*$CV11,TRUE)-_xlfn.NORM.DIST(BG$30,$CV11,0.3*$CV11,TRUE))*summary!$C$6/28.8/0.947817)/(SUMPRODUCT((economics!$AG$2:$AG$167=$B40)*(economics!$D$2:$D$167="whr")*economics!$AH$2:$AH$167*(_xlfn.NORM.DIST(BG$3,economics!$AK$2:$AK$167,economics!$AJ$2:$AJ$167,TRUE)-_xlfn.NORM.DIST(BG$30,economics!$AK$2:$AK$167,economics!$AJ$2:$AJ$167,TRUE)))+$CR11*(_xlfn.NORM.DIST(BG$3,$CU11,0.3*$CU11,TRUE)-_xlfn.NORM.DIST(BG$30,$CU11,0.3*$CU11,TRUE))+$CS11*(_xlfn.NORM.DIST(BG$3,$CV11,0.3*$CV11,TRUE)-_xlfn.NORM.DIST(BG$30,$CV11,0.3*$CV11,TRUE))),""),IF($C11&gt;0,summary!$C$10/28.8/0.947817,""))</f>
        <v/>
      </c>
      <c r="BH40">
        <f t="array" ref="BH40">IF($D11,IFERROR((SUMPRODUCT((economics!$AG$2:$AG$167=$B40)*(economics!$D$2:$D$167="whr")*economics!$AH$2:$AH$167*(_xlfn.NORM.DIST(BH$3,economics!$AK$2:$AK$167,economics!$AJ$2:$AJ$167,TRUE)-_xlfn.NORM.DIST(BH$30,economics!$AK$2:$AK$167,economics!$AJ$2:$AJ$167,TRUE))*economics!$AM$2:$AM$167)+$CR11*(_xlfn.NORM.DIST(BH$3,$CU11,0.3*$CU11,TRUE)-_xlfn.NORM.DIST(BH$30,$CU11,0.3*$CU11,TRUE))*summary!$C$7/28.8/0.947817+$CS11*(_xlfn.NORM.DIST(BH$3,$CV11,0.3*$CV11,TRUE)-_xlfn.NORM.DIST(BH$30,$CV11,0.3*$CV11,TRUE))*summary!$C$6/28.8/0.947817)/(SUMPRODUCT((economics!$AG$2:$AG$167=$B40)*(economics!$D$2:$D$167="whr")*economics!$AH$2:$AH$167*(_xlfn.NORM.DIST(BH$3,economics!$AK$2:$AK$167,economics!$AJ$2:$AJ$167,TRUE)-_xlfn.NORM.DIST(BH$30,economics!$AK$2:$AK$167,economics!$AJ$2:$AJ$167,TRUE)))+$CR11*(_xlfn.NORM.DIST(BH$3,$CU11,0.3*$CU11,TRUE)-_xlfn.NORM.DIST(BH$30,$CU11,0.3*$CU11,TRUE))+$CS11*(_xlfn.NORM.DIST(BH$3,$CV11,0.3*$CV11,TRUE)-_xlfn.NORM.DIST(BH$30,$CV11,0.3*$CV11,TRUE))),""),IF($C11&gt;0,summary!$C$10/28.8/0.947817,""))</f>
        <v/>
      </c>
      <c r="BI40">
        <f t="array" ref="BI40">IF($D11,IFERROR((SUMPRODUCT((economics!$AG$2:$AG$167=$B40)*(economics!$D$2:$D$167="whr")*economics!$AH$2:$AH$167*(_xlfn.NORM.DIST(BI$3,economics!$AK$2:$AK$167,economics!$AJ$2:$AJ$167,TRUE)-_xlfn.NORM.DIST(BI$30,economics!$AK$2:$AK$167,economics!$AJ$2:$AJ$167,TRUE))*economics!$AM$2:$AM$167)+$CR11*(_xlfn.NORM.DIST(BI$3,$CU11,0.3*$CU11,TRUE)-_xlfn.NORM.DIST(BI$30,$CU11,0.3*$CU11,TRUE))*summary!$C$7/28.8/0.947817+$CS11*(_xlfn.NORM.DIST(BI$3,$CV11,0.3*$CV11,TRUE)-_xlfn.NORM.DIST(BI$30,$CV11,0.3*$CV11,TRUE))*summary!$C$6/28.8/0.947817)/(SUMPRODUCT((economics!$AG$2:$AG$167=$B40)*(economics!$D$2:$D$167="whr")*economics!$AH$2:$AH$167*(_xlfn.NORM.DIST(BI$3,economics!$AK$2:$AK$167,economics!$AJ$2:$AJ$167,TRUE)-_xlfn.NORM.DIST(BI$30,economics!$AK$2:$AK$167,economics!$AJ$2:$AJ$167,TRUE)))+$CR11*(_xlfn.NORM.DIST(BI$3,$CU11,0.3*$CU11,TRUE)-_xlfn.NORM.DIST(BI$30,$CU11,0.3*$CU11,TRUE))+$CS11*(_xlfn.NORM.DIST(BI$3,$CV11,0.3*$CV11,TRUE)-_xlfn.NORM.DIST(BI$30,$CV11,0.3*$CV11,TRUE))),""),IF($C11&gt;0,summary!$C$10/28.8/0.947817,""))</f>
        <v/>
      </c>
      <c r="BJ40">
        <f t="array" ref="BJ40">IF($D11,IFERROR((SUMPRODUCT((economics!$AG$2:$AG$167=$B40)*(economics!$D$2:$D$167="whr")*economics!$AH$2:$AH$167*(_xlfn.NORM.DIST(BJ$3,economics!$AK$2:$AK$167,economics!$AJ$2:$AJ$167,TRUE)-_xlfn.NORM.DIST(BJ$30,economics!$AK$2:$AK$167,economics!$AJ$2:$AJ$167,TRUE))*economics!$AM$2:$AM$167)+$CR11*(_xlfn.NORM.DIST(BJ$3,$CU11,0.3*$CU11,TRUE)-_xlfn.NORM.DIST(BJ$30,$CU11,0.3*$CU11,TRUE))*summary!$C$7/28.8/0.947817+$CS11*(_xlfn.NORM.DIST(BJ$3,$CV11,0.3*$CV11,TRUE)-_xlfn.NORM.DIST(BJ$30,$CV11,0.3*$CV11,TRUE))*summary!$C$6/28.8/0.947817)/(SUMPRODUCT((economics!$AG$2:$AG$167=$B40)*(economics!$D$2:$D$167="whr")*economics!$AH$2:$AH$167*(_xlfn.NORM.DIST(BJ$3,economics!$AK$2:$AK$167,economics!$AJ$2:$AJ$167,TRUE)-_xlfn.NORM.DIST(BJ$30,economics!$AK$2:$AK$167,economics!$AJ$2:$AJ$167,TRUE)))+$CR11*(_xlfn.NORM.DIST(BJ$3,$CU11,0.3*$CU11,TRUE)-_xlfn.NORM.DIST(BJ$30,$CU11,0.3*$CU11,TRUE))+$CS11*(_xlfn.NORM.DIST(BJ$3,$CV11,0.3*$CV11,TRUE)-_xlfn.NORM.DIST(BJ$30,$CV11,0.3*$CV11,TRUE))),""),IF($C11&gt;0,summary!$C$10/28.8/0.947817,""))</f>
        <v/>
      </c>
      <c r="BK40">
        <f t="array" ref="BK40">IF($D11,IFERROR((SUMPRODUCT((economics!$AG$2:$AG$167=$B40)*(economics!$D$2:$D$167="whr")*economics!$AH$2:$AH$167*(_xlfn.NORM.DIST(BK$3,economics!$AK$2:$AK$167,economics!$AJ$2:$AJ$167,TRUE)-_xlfn.NORM.DIST(BK$30,economics!$AK$2:$AK$167,economics!$AJ$2:$AJ$167,TRUE))*economics!$AM$2:$AM$167)+$CR11*(_xlfn.NORM.DIST(BK$3,$CU11,0.3*$CU11,TRUE)-_xlfn.NORM.DIST(BK$30,$CU11,0.3*$CU11,TRUE))*summary!$C$7/28.8/0.947817+$CS11*(_xlfn.NORM.DIST(BK$3,$CV11,0.3*$CV11,TRUE)-_xlfn.NORM.DIST(BK$30,$CV11,0.3*$CV11,TRUE))*summary!$C$6/28.8/0.947817)/(SUMPRODUCT((economics!$AG$2:$AG$167=$B40)*(economics!$D$2:$D$167="whr")*economics!$AH$2:$AH$167*(_xlfn.NORM.DIST(BK$3,economics!$AK$2:$AK$167,economics!$AJ$2:$AJ$167,TRUE)-_xlfn.NORM.DIST(BK$30,economics!$AK$2:$AK$167,economics!$AJ$2:$AJ$167,TRUE)))+$CR11*(_xlfn.NORM.DIST(BK$3,$CU11,0.3*$CU11,TRUE)-_xlfn.NORM.DIST(BK$30,$CU11,0.3*$CU11,TRUE))+$CS11*(_xlfn.NORM.DIST(BK$3,$CV11,0.3*$CV11,TRUE)-_xlfn.NORM.DIST(BK$30,$CV11,0.3*$CV11,TRUE))),""),IF($C11&gt;0,summary!$C$10/28.8/0.947817,""))</f>
        <v/>
      </c>
      <c r="BL40">
        <f t="array" ref="BL40">IF($D11,IFERROR((SUMPRODUCT((economics!$AG$2:$AG$167=$B40)*(economics!$D$2:$D$167="whr")*economics!$AH$2:$AH$167*(_xlfn.NORM.DIST(BL$3,economics!$AK$2:$AK$167,economics!$AJ$2:$AJ$167,TRUE)-_xlfn.NORM.DIST(BL$30,economics!$AK$2:$AK$167,economics!$AJ$2:$AJ$167,TRUE))*economics!$AM$2:$AM$167)+$CR11*(_xlfn.NORM.DIST(BL$3,$CU11,0.3*$CU11,TRUE)-_xlfn.NORM.DIST(BL$30,$CU11,0.3*$CU11,TRUE))*summary!$C$7/28.8/0.947817+$CS11*(_xlfn.NORM.DIST(BL$3,$CV11,0.3*$CV11,TRUE)-_xlfn.NORM.DIST(BL$30,$CV11,0.3*$CV11,TRUE))*summary!$C$6/28.8/0.947817)/(SUMPRODUCT((economics!$AG$2:$AG$167=$B40)*(economics!$D$2:$D$167="whr")*economics!$AH$2:$AH$167*(_xlfn.NORM.DIST(BL$3,economics!$AK$2:$AK$167,economics!$AJ$2:$AJ$167,TRUE)-_xlfn.NORM.DIST(BL$30,economics!$AK$2:$AK$167,economics!$AJ$2:$AJ$167,TRUE)))+$CR11*(_xlfn.NORM.DIST(BL$3,$CU11,0.3*$CU11,TRUE)-_xlfn.NORM.DIST(BL$30,$CU11,0.3*$CU11,TRUE))+$CS11*(_xlfn.NORM.DIST(BL$3,$CV11,0.3*$CV11,TRUE)-_xlfn.NORM.DIST(BL$30,$CV11,0.3*$CV11,TRUE))),""),IF($C11&gt;0,summary!$C$10/28.8/0.947817,""))</f>
        <v/>
      </c>
      <c r="BM40">
        <f t="array" ref="BM40">IF($D11,IFERROR((SUMPRODUCT((economics!$AG$2:$AG$167=$B40)*(economics!$D$2:$D$167="whr")*economics!$AH$2:$AH$167*(_xlfn.NORM.DIST(BM$3,economics!$AK$2:$AK$167,economics!$AJ$2:$AJ$167,TRUE)-_xlfn.NORM.DIST(BM$30,economics!$AK$2:$AK$167,economics!$AJ$2:$AJ$167,TRUE))*economics!$AM$2:$AM$167)+$CR11*(_xlfn.NORM.DIST(BM$3,$CU11,0.3*$CU11,TRUE)-_xlfn.NORM.DIST(BM$30,$CU11,0.3*$CU11,TRUE))*summary!$C$7/28.8/0.947817+$CS11*(_xlfn.NORM.DIST(BM$3,$CV11,0.3*$CV11,TRUE)-_xlfn.NORM.DIST(BM$30,$CV11,0.3*$CV11,TRUE))*summary!$C$6/28.8/0.947817)/(SUMPRODUCT((economics!$AG$2:$AG$167=$B40)*(economics!$D$2:$D$167="whr")*economics!$AH$2:$AH$167*(_xlfn.NORM.DIST(BM$3,economics!$AK$2:$AK$167,economics!$AJ$2:$AJ$167,TRUE)-_xlfn.NORM.DIST(BM$30,economics!$AK$2:$AK$167,economics!$AJ$2:$AJ$167,TRUE)))+$CR11*(_xlfn.NORM.DIST(BM$3,$CU11,0.3*$CU11,TRUE)-_xlfn.NORM.DIST(BM$30,$CU11,0.3*$CU11,TRUE))+$CS11*(_xlfn.NORM.DIST(BM$3,$CV11,0.3*$CV11,TRUE)-_xlfn.NORM.DIST(BM$30,$CV11,0.3*$CV11,TRUE))),""),IF($C11&gt;0,summary!$C$10/28.8/0.947817,""))</f>
        <v/>
      </c>
      <c r="BN40">
        <f t="array" ref="BN40">IF($D11,IFERROR((SUMPRODUCT((economics!$AG$2:$AG$167=$B40)*(economics!$D$2:$D$167="whr")*economics!$AH$2:$AH$167*(_xlfn.NORM.DIST(BN$3,economics!$AK$2:$AK$167,economics!$AJ$2:$AJ$167,TRUE)-_xlfn.NORM.DIST(BN$30,economics!$AK$2:$AK$167,economics!$AJ$2:$AJ$167,TRUE))*economics!$AM$2:$AM$167)+$CR11*(_xlfn.NORM.DIST(BN$3,$CU11,0.3*$CU11,TRUE)-_xlfn.NORM.DIST(BN$30,$CU11,0.3*$CU11,TRUE))*summary!$C$7/28.8/0.947817+$CS11*(_xlfn.NORM.DIST(BN$3,$CV11,0.3*$CV11,TRUE)-_xlfn.NORM.DIST(BN$30,$CV11,0.3*$CV11,TRUE))*summary!$C$6/28.8/0.947817)/(SUMPRODUCT((economics!$AG$2:$AG$167=$B40)*(economics!$D$2:$D$167="whr")*economics!$AH$2:$AH$167*(_xlfn.NORM.DIST(BN$3,economics!$AK$2:$AK$167,economics!$AJ$2:$AJ$167,TRUE)-_xlfn.NORM.DIST(BN$30,economics!$AK$2:$AK$167,economics!$AJ$2:$AJ$167,TRUE)))+$CR11*(_xlfn.NORM.DIST(BN$3,$CU11,0.3*$CU11,TRUE)-_xlfn.NORM.DIST(BN$30,$CU11,0.3*$CU11,TRUE))+$CS11*(_xlfn.NORM.DIST(BN$3,$CV11,0.3*$CV11,TRUE)-_xlfn.NORM.DIST(BN$30,$CV11,0.3*$CV11,TRUE))),""),IF($C11&gt;0,summary!$C$10/28.8/0.947817,""))</f>
        <v/>
      </c>
      <c r="BO40">
        <f t="array" ref="BO40">IF($D11,IFERROR((SUMPRODUCT((economics!$AG$2:$AG$167=$B40)*(economics!$D$2:$D$167="whr")*economics!$AH$2:$AH$167*(_xlfn.NORM.DIST(BO$3,economics!$AK$2:$AK$167,economics!$AJ$2:$AJ$167,TRUE)-_xlfn.NORM.DIST(BO$30,economics!$AK$2:$AK$167,economics!$AJ$2:$AJ$167,TRUE))*economics!$AM$2:$AM$167)+$CR11*(_xlfn.NORM.DIST(BO$3,$CU11,0.3*$CU11,TRUE)-_xlfn.NORM.DIST(BO$30,$CU11,0.3*$CU11,TRUE))*summary!$C$7/28.8/0.947817+$CS11*(_xlfn.NORM.DIST(BO$3,$CV11,0.3*$CV11,TRUE)-_xlfn.NORM.DIST(BO$30,$CV11,0.3*$CV11,TRUE))*summary!$C$6/28.8/0.947817)/(SUMPRODUCT((economics!$AG$2:$AG$167=$B40)*(economics!$D$2:$D$167="whr")*economics!$AH$2:$AH$167*(_xlfn.NORM.DIST(BO$3,economics!$AK$2:$AK$167,economics!$AJ$2:$AJ$167,TRUE)-_xlfn.NORM.DIST(BO$30,economics!$AK$2:$AK$167,economics!$AJ$2:$AJ$167,TRUE)))+$CR11*(_xlfn.NORM.DIST(BO$3,$CU11,0.3*$CU11,TRUE)-_xlfn.NORM.DIST(BO$30,$CU11,0.3*$CU11,TRUE))+$CS11*(_xlfn.NORM.DIST(BO$3,$CV11,0.3*$CV11,TRUE)-_xlfn.NORM.DIST(BO$30,$CV11,0.3*$CV11,TRUE))),""),IF($C11&gt;0,summary!$C$10/28.8/0.947817,""))</f>
        <v/>
      </c>
      <c r="BP40">
        <f t="array" ref="BP40">IF($D11,IFERROR((SUMPRODUCT((economics!$AG$2:$AG$167=$B40)*(economics!$D$2:$D$167="whr")*economics!$AH$2:$AH$167*(_xlfn.NORM.DIST(BP$3,economics!$AK$2:$AK$167,economics!$AJ$2:$AJ$167,TRUE)-_xlfn.NORM.DIST(BP$30,economics!$AK$2:$AK$167,economics!$AJ$2:$AJ$167,TRUE))*economics!$AM$2:$AM$167)+$CR11*(_xlfn.NORM.DIST(BP$3,$CU11,0.3*$CU11,TRUE)-_xlfn.NORM.DIST(BP$30,$CU11,0.3*$CU11,TRUE))*summary!$C$7/28.8/0.947817+$CS11*(_xlfn.NORM.DIST(BP$3,$CV11,0.3*$CV11,TRUE)-_xlfn.NORM.DIST(BP$30,$CV11,0.3*$CV11,TRUE))*summary!$C$6/28.8/0.947817)/(SUMPRODUCT((economics!$AG$2:$AG$167=$B40)*(economics!$D$2:$D$167="whr")*economics!$AH$2:$AH$167*(_xlfn.NORM.DIST(BP$3,economics!$AK$2:$AK$167,economics!$AJ$2:$AJ$167,TRUE)-_xlfn.NORM.DIST(BP$30,economics!$AK$2:$AK$167,economics!$AJ$2:$AJ$167,TRUE)))+$CR11*(_xlfn.NORM.DIST(BP$3,$CU11,0.3*$CU11,TRUE)-_xlfn.NORM.DIST(BP$30,$CU11,0.3*$CU11,TRUE))+$CS11*(_xlfn.NORM.DIST(BP$3,$CV11,0.3*$CV11,TRUE)-_xlfn.NORM.DIST(BP$30,$CV11,0.3*$CV11,TRUE))),""),IF($C11&gt;0,summary!$C$10/28.8/0.947817,""))</f>
        <v/>
      </c>
      <c r="BQ40">
        <f t="array" ref="BQ40">IF($D11,IFERROR((SUMPRODUCT((economics!$AG$2:$AG$167=$B40)*(economics!$D$2:$D$167="whr")*economics!$AH$2:$AH$167*(_xlfn.NORM.DIST(BQ$3,economics!$AK$2:$AK$167,economics!$AJ$2:$AJ$167,TRUE)-_xlfn.NORM.DIST(BQ$30,economics!$AK$2:$AK$167,economics!$AJ$2:$AJ$167,TRUE))*economics!$AM$2:$AM$167)+$CR11*(_xlfn.NORM.DIST(BQ$3,$CU11,0.3*$CU11,TRUE)-_xlfn.NORM.DIST(BQ$30,$CU11,0.3*$CU11,TRUE))*summary!$C$7/28.8/0.947817+$CS11*(_xlfn.NORM.DIST(BQ$3,$CV11,0.3*$CV11,TRUE)-_xlfn.NORM.DIST(BQ$30,$CV11,0.3*$CV11,TRUE))*summary!$C$6/28.8/0.947817)/(SUMPRODUCT((economics!$AG$2:$AG$167=$B40)*(economics!$D$2:$D$167="whr")*economics!$AH$2:$AH$167*(_xlfn.NORM.DIST(BQ$3,economics!$AK$2:$AK$167,economics!$AJ$2:$AJ$167,TRUE)-_xlfn.NORM.DIST(BQ$30,economics!$AK$2:$AK$167,economics!$AJ$2:$AJ$167,TRUE)))+$CR11*(_xlfn.NORM.DIST(BQ$3,$CU11,0.3*$CU11,TRUE)-_xlfn.NORM.DIST(BQ$30,$CU11,0.3*$CU11,TRUE))+$CS11*(_xlfn.NORM.DIST(BQ$3,$CV11,0.3*$CV11,TRUE)-_xlfn.NORM.DIST(BQ$30,$CV11,0.3*$CV11,TRUE))),""),IF($C11&gt;0,summary!$C$10/28.8/0.947817,""))</f>
        <v/>
      </c>
      <c r="BR40">
        <f t="array" ref="BR40">IF($D11,IFERROR((SUMPRODUCT((economics!$AG$2:$AG$167=$B40)*(economics!$D$2:$D$167="whr")*economics!$AH$2:$AH$167*(_xlfn.NORM.DIST(BR$3,economics!$AK$2:$AK$167,economics!$AJ$2:$AJ$167,TRUE)-_xlfn.NORM.DIST(BR$30,economics!$AK$2:$AK$167,economics!$AJ$2:$AJ$167,TRUE))*economics!$AM$2:$AM$167)+$CR11*(_xlfn.NORM.DIST(BR$3,$CU11,0.3*$CU11,TRUE)-_xlfn.NORM.DIST(BR$30,$CU11,0.3*$CU11,TRUE))*summary!$C$7/28.8/0.947817+$CS11*(_xlfn.NORM.DIST(BR$3,$CV11,0.3*$CV11,TRUE)-_xlfn.NORM.DIST(BR$30,$CV11,0.3*$CV11,TRUE))*summary!$C$6/28.8/0.947817)/(SUMPRODUCT((economics!$AG$2:$AG$167=$B40)*(economics!$D$2:$D$167="whr")*economics!$AH$2:$AH$167*(_xlfn.NORM.DIST(BR$3,economics!$AK$2:$AK$167,economics!$AJ$2:$AJ$167,TRUE)-_xlfn.NORM.DIST(BR$30,economics!$AK$2:$AK$167,economics!$AJ$2:$AJ$167,TRUE)))+$CR11*(_xlfn.NORM.DIST(BR$3,$CU11,0.3*$CU11,TRUE)-_xlfn.NORM.DIST(BR$30,$CU11,0.3*$CU11,TRUE))+$CS11*(_xlfn.NORM.DIST(BR$3,$CV11,0.3*$CV11,TRUE)-_xlfn.NORM.DIST(BR$30,$CV11,0.3*$CV11,TRUE))),""),IF($C11&gt;0,summary!$C$10/28.8/0.947817,""))</f>
        <v/>
      </c>
      <c r="BS40">
        <f t="array" ref="BS40">IF($D11,IFERROR((SUMPRODUCT((economics!$AG$2:$AG$167=$B40)*(economics!$D$2:$D$167="whr")*economics!$AH$2:$AH$167*(_xlfn.NORM.DIST(BS$3,economics!$AK$2:$AK$167,economics!$AJ$2:$AJ$167,TRUE)-_xlfn.NORM.DIST(BS$30,economics!$AK$2:$AK$167,economics!$AJ$2:$AJ$167,TRUE))*economics!$AM$2:$AM$167)+$CR11*(_xlfn.NORM.DIST(BS$3,$CU11,0.3*$CU11,TRUE)-_xlfn.NORM.DIST(BS$30,$CU11,0.3*$CU11,TRUE))*summary!$C$7/28.8/0.947817+$CS11*(_xlfn.NORM.DIST(BS$3,$CV11,0.3*$CV11,TRUE)-_xlfn.NORM.DIST(BS$30,$CV11,0.3*$CV11,TRUE))*summary!$C$6/28.8/0.947817)/(SUMPRODUCT((economics!$AG$2:$AG$167=$B40)*(economics!$D$2:$D$167="whr")*economics!$AH$2:$AH$167*(_xlfn.NORM.DIST(BS$3,economics!$AK$2:$AK$167,economics!$AJ$2:$AJ$167,TRUE)-_xlfn.NORM.DIST(BS$30,economics!$AK$2:$AK$167,economics!$AJ$2:$AJ$167,TRUE)))+$CR11*(_xlfn.NORM.DIST(BS$3,$CU11,0.3*$CU11,TRUE)-_xlfn.NORM.DIST(BS$30,$CU11,0.3*$CU11,TRUE))+$CS11*(_xlfn.NORM.DIST(BS$3,$CV11,0.3*$CV11,TRUE)-_xlfn.NORM.DIST(BS$30,$CV11,0.3*$CV11,TRUE))),""),IF($C11&gt;0,summary!$C$10/28.8/0.947817,""))</f>
        <v/>
      </c>
      <c r="BT40">
        <f t="array" ref="BT40">IF($D11,IFERROR((SUMPRODUCT((economics!$AG$2:$AG$167=$B40)*(economics!$D$2:$D$167="whr")*economics!$AH$2:$AH$167*(_xlfn.NORM.DIST(BT$3,economics!$AK$2:$AK$167,economics!$AJ$2:$AJ$167,TRUE)-_xlfn.NORM.DIST(BT$30,economics!$AK$2:$AK$167,economics!$AJ$2:$AJ$167,TRUE))*economics!$AM$2:$AM$167)+$CR11*(_xlfn.NORM.DIST(BT$3,$CU11,0.3*$CU11,TRUE)-_xlfn.NORM.DIST(BT$30,$CU11,0.3*$CU11,TRUE))*summary!$C$7/28.8/0.947817+$CS11*(_xlfn.NORM.DIST(BT$3,$CV11,0.3*$CV11,TRUE)-_xlfn.NORM.DIST(BT$30,$CV11,0.3*$CV11,TRUE))*summary!$C$6/28.8/0.947817)/(SUMPRODUCT((economics!$AG$2:$AG$167=$B40)*(economics!$D$2:$D$167="whr")*economics!$AH$2:$AH$167*(_xlfn.NORM.DIST(BT$3,economics!$AK$2:$AK$167,economics!$AJ$2:$AJ$167,TRUE)-_xlfn.NORM.DIST(BT$30,economics!$AK$2:$AK$167,economics!$AJ$2:$AJ$167,TRUE)))+$CR11*(_xlfn.NORM.DIST(BT$3,$CU11,0.3*$CU11,TRUE)-_xlfn.NORM.DIST(BT$30,$CU11,0.3*$CU11,TRUE))+$CS11*(_xlfn.NORM.DIST(BT$3,$CV11,0.3*$CV11,TRUE)-_xlfn.NORM.DIST(BT$30,$CV11,0.3*$CV11,TRUE))),""),IF($C11&gt;0,summary!$C$10/28.8/0.947817,""))</f>
        <v/>
      </c>
      <c r="BU40">
        <f t="array" ref="BU40">IF($D11,IFERROR((SUMPRODUCT((economics!$AG$2:$AG$167=$B40)*(economics!$D$2:$D$167="whr")*economics!$AH$2:$AH$167*(_xlfn.NORM.DIST(BU$3,economics!$AK$2:$AK$167,economics!$AJ$2:$AJ$167,TRUE)-_xlfn.NORM.DIST(BU$30,economics!$AK$2:$AK$167,economics!$AJ$2:$AJ$167,TRUE))*economics!$AM$2:$AM$167)+$CR11*(_xlfn.NORM.DIST(BU$3,$CU11,0.3*$CU11,TRUE)-_xlfn.NORM.DIST(BU$30,$CU11,0.3*$CU11,TRUE))*summary!$C$7/28.8/0.947817+$CS11*(_xlfn.NORM.DIST(BU$3,$CV11,0.3*$CV11,TRUE)-_xlfn.NORM.DIST(BU$30,$CV11,0.3*$CV11,TRUE))*summary!$C$6/28.8/0.947817)/(SUMPRODUCT((economics!$AG$2:$AG$167=$B40)*(economics!$D$2:$D$167="whr")*economics!$AH$2:$AH$167*(_xlfn.NORM.DIST(BU$3,economics!$AK$2:$AK$167,economics!$AJ$2:$AJ$167,TRUE)-_xlfn.NORM.DIST(BU$30,economics!$AK$2:$AK$167,economics!$AJ$2:$AJ$167,TRUE)))+$CR11*(_xlfn.NORM.DIST(BU$3,$CU11,0.3*$CU11,TRUE)-_xlfn.NORM.DIST(BU$30,$CU11,0.3*$CU11,TRUE))+$CS11*(_xlfn.NORM.DIST(BU$3,$CV11,0.3*$CV11,TRUE)-_xlfn.NORM.DIST(BU$30,$CV11,0.3*$CV11,TRUE))),""),IF($C11&gt;0,summary!$C$10/28.8/0.947817,""))</f>
        <v/>
      </c>
      <c r="BV40">
        <f t="array" ref="BV40">IF($D11,IFERROR((SUMPRODUCT((economics!$AG$2:$AG$167=$B40)*(economics!$D$2:$D$167="whr")*economics!$AH$2:$AH$167*(_xlfn.NORM.DIST(BV$3,economics!$AK$2:$AK$167,economics!$AJ$2:$AJ$167,TRUE)-_xlfn.NORM.DIST(BV$30,economics!$AK$2:$AK$167,economics!$AJ$2:$AJ$167,TRUE))*economics!$AM$2:$AM$167)+$CR11*(_xlfn.NORM.DIST(BV$3,$CU11,0.3*$CU11,TRUE)-_xlfn.NORM.DIST(BV$30,$CU11,0.3*$CU11,TRUE))*summary!$C$7/28.8/0.947817+$CS11*(_xlfn.NORM.DIST(BV$3,$CV11,0.3*$CV11,TRUE)-_xlfn.NORM.DIST(BV$30,$CV11,0.3*$CV11,TRUE))*summary!$C$6/28.8/0.947817)/(SUMPRODUCT((economics!$AG$2:$AG$167=$B40)*(economics!$D$2:$D$167="whr")*economics!$AH$2:$AH$167*(_xlfn.NORM.DIST(BV$3,economics!$AK$2:$AK$167,economics!$AJ$2:$AJ$167,TRUE)-_xlfn.NORM.DIST(BV$30,economics!$AK$2:$AK$167,economics!$AJ$2:$AJ$167,TRUE)))+$CR11*(_xlfn.NORM.DIST(BV$3,$CU11,0.3*$CU11,TRUE)-_xlfn.NORM.DIST(BV$30,$CU11,0.3*$CU11,TRUE))+$CS11*(_xlfn.NORM.DIST(BV$3,$CV11,0.3*$CV11,TRUE)-_xlfn.NORM.DIST(BV$30,$CV11,0.3*$CV11,TRUE))),""),IF($C11&gt;0,summary!$C$10/28.8/0.947817,""))</f>
        <v/>
      </c>
      <c r="BW40">
        <f t="array" ref="BW40">IF($D11,IFERROR((SUMPRODUCT((economics!$AG$2:$AG$167=$B40)*(economics!$D$2:$D$167="whr")*economics!$AH$2:$AH$167*(_xlfn.NORM.DIST(BW$3,economics!$AK$2:$AK$167,economics!$AJ$2:$AJ$167,TRUE)-_xlfn.NORM.DIST(BW$30,economics!$AK$2:$AK$167,economics!$AJ$2:$AJ$167,TRUE))*economics!$AM$2:$AM$167)+$CR11*(_xlfn.NORM.DIST(BW$3,$CU11,0.3*$CU11,TRUE)-_xlfn.NORM.DIST(BW$30,$CU11,0.3*$CU11,TRUE))*summary!$C$7/28.8/0.947817+$CS11*(_xlfn.NORM.DIST(BW$3,$CV11,0.3*$CV11,TRUE)-_xlfn.NORM.DIST(BW$30,$CV11,0.3*$CV11,TRUE))*summary!$C$6/28.8/0.947817)/(SUMPRODUCT((economics!$AG$2:$AG$167=$B40)*(economics!$D$2:$D$167="whr")*economics!$AH$2:$AH$167*(_xlfn.NORM.DIST(BW$3,economics!$AK$2:$AK$167,economics!$AJ$2:$AJ$167,TRUE)-_xlfn.NORM.DIST(BW$30,economics!$AK$2:$AK$167,economics!$AJ$2:$AJ$167,TRUE)))+$CR11*(_xlfn.NORM.DIST(BW$3,$CU11,0.3*$CU11,TRUE)-_xlfn.NORM.DIST(BW$30,$CU11,0.3*$CU11,TRUE))+$CS11*(_xlfn.NORM.DIST(BW$3,$CV11,0.3*$CV11,TRUE)-_xlfn.NORM.DIST(BW$30,$CV11,0.3*$CV11,TRUE))),""),IF($C11&gt;0,summary!$C$10/28.8/0.947817,""))</f>
        <v/>
      </c>
      <c r="BX40">
        <f t="array" ref="BX40">IF($D11,IFERROR((SUMPRODUCT((economics!$AG$2:$AG$167=$B40)*(economics!$D$2:$D$167="whr")*economics!$AH$2:$AH$167*(_xlfn.NORM.DIST(BX$3,economics!$AK$2:$AK$167,economics!$AJ$2:$AJ$167,TRUE)-_xlfn.NORM.DIST(BX$30,economics!$AK$2:$AK$167,economics!$AJ$2:$AJ$167,TRUE))*economics!$AM$2:$AM$167)+$CR11*(_xlfn.NORM.DIST(BX$3,$CU11,0.3*$CU11,TRUE)-_xlfn.NORM.DIST(BX$30,$CU11,0.3*$CU11,TRUE))*summary!$C$7/28.8/0.947817+$CS11*(_xlfn.NORM.DIST(BX$3,$CV11,0.3*$CV11,TRUE)-_xlfn.NORM.DIST(BX$30,$CV11,0.3*$CV11,TRUE))*summary!$C$6/28.8/0.947817)/(SUMPRODUCT((economics!$AG$2:$AG$167=$B40)*(economics!$D$2:$D$167="whr")*economics!$AH$2:$AH$167*(_xlfn.NORM.DIST(BX$3,economics!$AK$2:$AK$167,economics!$AJ$2:$AJ$167,TRUE)-_xlfn.NORM.DIST(BX$30,economics!$AK$2:$AK$167,economics!$AJ$2:$AJ$167,TRUE)))+$CR11*(_xlfn.NORM.DIST(BX$3,$CU11,0.3*$CU11,TRUE)-_xlfn.NORM.DIST(BX$30,$CU11,0.3*$CU11,TRUE))+$CS11*(_xlfn.NORM.DIST(BX$3,$CV11,0.3*$CV11,TRUE)-_xlfn.NORM.DIST(BX$30,$CV11,0.3*$CV11,TRUE))),""),IF($C11&gt;0,summary!$C$10/28.8/0.947817,""))</f>
        <v/>
      </c>
      <c r="BY40">
        <f t="array" ref="BY40">IF($D11,IFERROR((SUMPRODUCT((economics!$AG$2:$AG$167=$B40)*(economics!$D$2:$D$167="whr")*economics!$AH$2:$AH$167*(_xlfn.NORM.DIST(BY$3,economics!$AK$2:$AK$167,economics!$AJ$2:$AJ$167,TRUE)-_xlfn.NORM.DIST(BY$30,economics!$AK$2:$AK$167,economics!$AJ$2:$AJ$167,TRUE))*economics!$AM$2:$AM$167)+$CR11*(_xlfn.NORM.DIST(BY$3,$CU11,0.3*$CU11,TRUE)-_xlfn.NORM.DIST(BY$30,$CU11,0.3*$CU11,TRUE))*summary!$C$7/28.8/0.947817+$CS11*(_xlfn.NORM.DIST(BY$3,$CV11,0.3*$CV11,TRUE)-_xlfn.NORM.DIST(BY$30,$CV11,0.3*$CV11,TRUE))*summary!$C$6/28.8/0.947817)/(SUMPRODUCT((economics!$AG$2:$AG$167=$B40)*(economics!$D$2:$D$167="whr")*economics!$AH$2:$AH$167*(_xlfn.NORM.DIST(BY$3,economics!$AK$2:$AK$167,economics!$AJ$2:$AJ$167,TRUE)-_xlfn.NORM.DIST(BY$30,economics!$AK$2:$AK$167,economics!$AJ$2:$AJ$167,TRUE)))+$CR11*(_xlfn.NORM.DIST(BY$3,$CU11,0.3*$CU11,TRUE)-_xlfn.NORM.DIST(BY$30,$CU11,0.3*$CU11,TRUE))+$CS11*(_xlfn.NORM.DIST(BY$3,$CV11,0.3*$CV11,TRUE)-_xlfn.NORM.DIST(BY$30,$CV11,0.3*$CV11,TRUE))),""),IF($C11&gt;0,summary!$C$10/28.8/0.947817,""))</f>
        <v/>
      </c>
      <c r="BZ40">
        <f t="array" ref="BZ40">IF($D11,IFERROR((SUMPRODUCT((economics!$AG$2:$AG$167=$B40)*(economics!$D$2:$D$167="whr")*economics!$AH$2:$AH$167*(_xlfn.NORM.DIST(BZ$3,economics!$AK$2:$AK$167,economics!$AJ$2:$AJ$167,TRUE)-_xlfn.NORM.DIST(BZ$30,economics!$AK$2:$AK$167,economics!$AJ$2:$AJ$167,TRUE))*economics!$AM$2:$AM$167)+$CR11*(_xlfn.NORM.DIST(BZ$3,$CU11,0.3*$CU11,TRUE)-_xlfn.NORM.DIST(BZ$30,$CU11,0.3*$CU11,TRUE))*summary!$C$7/28.8/0.947817+$CS11*(_xlfn.NORM.DIST(BZ$3,$CV11,0.3*$CV11,TRUE)-_xlfn.NORM.DIST(BZ$30,$CV11,0.3*$CV11,TRUE))*summary!$C$6/28.8/0.947817)/(SUMPRODUCT((economics!$AG$2:$AG$167=$B40)*(economics!$D$2:$D$167="whr")*economics!$AH$2:$AH$167*(_xlfn.NORM.DIST(BZ$3,economics!$AK$2:$AK$167,economics!$AJ$2:$AJ$167,TRUE)-_xlfn.NORM.DIST(BZ$30,economics!$AK$2:$AK$167,economics!$AJ$2:$AJ$167,TRUE)))+$CR11*(_xlfn.NORM.DIST(BZ$3,$CU11,0.3*$CU11,TRUE)-_xlfn.NORM.DIST(BZ$30,$CU11,0.3*$CU11,TRUE))+$CS11*(_xlfn.NORM.DIST(BZ$3,$CV11,0.3*$CV11,TRUE)-_xlfn.NORM.DIST(BZ$30,$CV11,0.3*$CV11,TRUE))),""),IF($C11&gt;0,summary!$C$10/28.8/0.947817,""))</f>
        <v/>
      </c>
      <c r="CA40">
        <f t="array" ref="CA40">IF($D11,IFERROR((SUMPRODUCT((economics!$AG$2:$AG$167=$B40)*(economics!$D$2:$D$167="whr")*economics!$AH$2:$AH$167*(_xlfn.NORM.DIST(CA$3,economics!$AK$2:$AK$167,economics!$AJ$2:$AJ$167,TRUE)-_xlfn.NORM.DIST(CA$30,economics!$AK$2:$AK$167,economics!$AJ$2:$AJ$167,TRUE))*economics!$AM$2:$AM$167)+$CR11*(_xlfn.NORM.DIST(CA$3,$CU11,0.3*$CU11,TRUE)-_xlfn.NORM.DIST(CA$30,$CU11,0.3*$CU11,TRUE))*summary!$C$7/28.8/0.947817+$CS11*(_xlfn.NORM.DIST(CA$3,$CV11,0.3*$CV11,TRUE)-_xlfn.NORM.DIST(CA$30,$CV11,0.3*$CV11,TRUE))*summary!$C$6/28.8/0.947817)/(SUMPRODUCT((economics!$AG$2:$AG$167=$B40)*(economics!$D$2:$D$167="whr")*economics!$AH$2:$AH$167*(_xlfn.NORM.DIST(CA$3,economics!$AK$2:$AK$167,economics!$AJ$2:$AJ$167,TRUE)-_xlfn.NORM.DIST(CA$30,economics!$AK$2:$AK$167,economics!$AJ$2:$AJ$167,TRUE)))+$CR11*(_xlfn.NORM.DIST(CA$3,$CU11,0.3*$CU11,TRUE)-_xlfn.NORM.DIST(CA$30,$CU11,0.3*$CU11,TRUE))+$CS11*(_xlfn.NORM.DIST(CA$3,$CV11,0.3*$CV11,TRUE)-_xlfn.NORM.DIST(CA$30,$CV11,0.3*$CV11,TRUE))),""),IF($C11&gt;0,summary!$C$10/28.8/0.947817,""))</f>
        <v/>
      </c>
      <c r="CB40">
        <f t="array" ref="CB40">IF($D11,IFERROR((SUMPRODUCT((economics!$AG$2:$AG$167=$B40)*(economics!$D$2:$D$167="whr")*economics!$AH$2:$AH$167*(_xlfn.NORM.DIST(CB$3,economics!$AK$2:$AK$167,economics!$AJ$2:$AJ$167,TRUE)-_xlfn.NORM.DIST(CB$30,economics!$AK$2:$AK$167,economics!$AJ$2:$AJ$167,TRUE))*economics!$AM$2:$AM$167)+$CR11*(_xlfn.NORM.DIST(CB$3,$CU11,0.3*$CU11,TRUE)-_xlfn.NORM.DIST(CB$30,$CU11,0.3*$CU11,TRUE))*summary!$C$7/28.8/0.947817+$CS11*(_xlfn.NORM.DIST(CB$3,$CV11,0.3*$CV11,TRUE)-_xlfn.NORM.DIST(CB$30,$CV11,0.3*$CV11,TRUE))*summary!$C$6/28.8/0.947817)/(SUMPRODUCT((economics!$AG$2:$AG$167=$B40)*(economics!$D$2:$D$167="whr")*economics!$AH$2:$AH$167*(_xlfn.NORM.DIST(CB$3,economics!$AK$2:$AK$167,economics!$AJ$2:$AJ$167,TRUE)-_xlfn.NORM.DIST(CB$30,economics!$AK$2:$AK$167,economics!$AJ$2:$AJ$167,TRUE)))+$CR11*(_xlfn.NORM.DIST(CB$3,$CU11,0.3*$CU11,TRUE)-_xlfn.NORM.DIST(CB$30,$CU11,0.3*$CU11,TRUE))+$CS11*(_xlfn.NORM.DIST(CB$3,$CV11,0.3*$CV11,TRUE)-_xlfn.NORM.DIST(CB$30,$CV11,0.3*$CV11,TRUE))),""),IF($C11&gt;0,summary!$C$10/28.8/0.947817,""))</f>
        <v/>
      </c>
      <c r="CC40">
        <f t="array" ref="CC40">IF($D11,IFERROR((SUMPRODUCT((economics!$AG$2:$AG$167=$B40)*(economics!$D$2:$D$167="whr")*economics!$AH$2:$AH$167*(_xlfn.NORM.DIST(CC$3,economics!$AK$2:$AK$167,economics!$AJ$2:$AJ$167,TRUE)-_xlfn.NORM.DIST(CC$30,economics!$AK$2:$AK$167,economics!$AJ$2:$AJ$167,TRUE))*economics!$AM$2:$AM$167)+$CR11*(_xlfn.NORM.DIST(CC$3,$CU11,0.3*$CU11,TRUE)-_xlfn.NORM.DIST(CC$30,$CU11,0.3*$CU11,TRUE))*summary!$C$7/28.8/0.947817+$CS11*(_xlfn.NORM.DIST(CC$3,$CV11,0.3*$CV11,TRUE)-_xlfn.NORM.DIST(CC$30,$CV11,0.3*$CV11,TRUE))*summary!$C$6/28.8/0.947817)/(SUMPRODUCT((economics!$AG$2:$AG$167=$B40)*(economics!$D$2:$D$167="whr")*economics!$AH$2:$AH$167*(_xlfn.NORM.DIST(CC$3,economics!$AK$2:$AK$167,economics!$AJ$2:$AJ$167,TRUE)-_xlfn.NORM.DIST(CC$30,economics!$AK$2:$AK$167,economics!$AJ$2:$AJ$167,TRUE)))+$CR11*(_xlfn.NORM.DIST(CC$3,$CU11,0.3*$CU11,TRUE)-_xlfn.NORM.DIST(CC$30,$CU11,0.3*$CU11,TRUE))+$CS11*(_xlfn.NORM.DIST(CC$3,$CV11,0.3*$CV11,TRUE)-_xlfn.NORM.DIST(CC$30,$CV11,0.3*$CV11,TRUE))),""),IF($C11&gt;0,summary!$C$10/28.8/0.947817,""))</f>
        <v/>
      </c>
      <c r="CD40">
        <f t="array" ref="CD40">IF($D11,IFERROR((SUMPRODUCT((economics!$AG$2:$AG$167=$B40)*(economics!$D$2:$D$167="whr")*economics!$AH$2:$AH$167*(_xlfn.NORM.DIST(CD$3,economics!$AK$2:$AK$167,economics!$AJ$2:$AJ$167,TRUE)-_xlfn.NORM.DIST(CD$30,economics!$AK$2:$AK$167,economics!$AJ$2:$AJ$167,TRUE))*economics!$AM$2:$AM$167)+$CR11*(_xlfn.NORM.DIST(CD$3,$CU11,0.3*$CU11,TRUE)-_xlfn.NORM.DIST(CD$30,$CU11,0.3*$CU11,TRUE))*summary!$C$7/28.8/0.947817+$CS11*(_xlfn.NORM.DIST(CD$3,$CV11,0.3*$CV11,TRUE)-_xlfn.NORM.DIST(CD$30,$CV11,0.3*$CV11,TRUE))*summary!$C$6/28.8/0.947817)/(SUMPRODUCT((economics!$AG$2:$AG$167=$B40)*(economics!$D$2:$D$167="whr")*economics!$AH$2:$AH$167*(_xlfn.NORM.DIST(CD$3,economics!$AK$2:$AK$167,economics!$AJ$2:$AJ$167,TRUE)-_xlfn.NORM.DIST(CD$30,economics!$AK$2:$AK$167,economics!$AJ$2:$AJ$167,TRUE)))+$CR11*(_xlfn.NORM.DIST(CD$3,$CU11,0.3*$CU11,TRUE)-_xlfn.NORM.DIST(CD$30,$CU11,0.3*$CU11,TRUE))+$CS11*(_xlfn.NORM.DIST(CD$3,$CV11,0.3*$CV11,TRUE)-_xlfn.NORM.DIST(CD$30,$CV11,0.3*$CV11,TRUE))),""),IF($C11&gt;0,summary!$C$10/28.8/0.947817,""))</f>
        <v/>
      </c>
      <c r="CE40">
        <f t="array" ref="CE40">IF($D11,IFERROR((SUMPRODUCT((economics!$AG$2:$AG$167=$B40)*(economics!$D$2:$D$167="whr")*economics!$AH$2:$AH$167*(_xlfn.NORM.DIST(CE$3,economics!$AK$2:$AK$167,economics!$AJ$2:$AJ$167,TRUE)-_xlfn.NORM.DIST(CE$30,economics!$AK$2:$AK$167,economics!$AJ$2:$AJ$167,TRUE))*economics!$AM$2:$AM$167)+$CR11*(_xlfn.NORM.DIST(CE$3,$CU11,0.3*$CU11,TRUE)-_xlfn.NORM.DIST(CE$30,$CU11,0.3*$CU11,TRUE))*summary!$C$7/28.8/0.947817+$CS11*(_xlfn.NORM.DIST(CE$3,$CV11,0.3*$CV11,TRUE)-_xlfn.NORM.DIST(CE$30,$CV11,0.3*$CV11,TRUE))*summary!$C$6/28.8/0.947817)/(SUMPRODUCT((economics!$AG$2:$AG$167=$B40)*(economics!$D$2:$D$167="whr")*economics!$AH$2:$AH$167*(_xlfn.NORM.DIST(CE$3,economics!$AK$2:$AK$167,economics!$AJ$2:$AJ$167,TRUE)-_xlfn.NORM.DIST(CE$30,economics!$AK$2:$AK$167,economics!$AJ$2:$AJ$167,TRUE)))+$CR11*(_xlfn.NORM.DIST(CE$3,$CU11,0.3*$CU11,TRUE)-_xlfn.NORM.DIST(CE$30,$CU11,0.3*$CU11,TRUE))+$CS11*(_xlfn.NORM.DIST(CE$3,$CV11,0.3*$CV11,TRUE)-_xlfn.NORM.DIST(CE$30,$CV11,0.3*$CV11,TRUE))),""),IF($C11&gt;0,summary!$C$10/28.8/0.947817,""))</f>
        <v/>
      </c>
      <c r="CF40">
        <f t="array" ref="CF40">IF($D11,IFERROR((SUMPRODUCT((economics!$AG$2:$AG$167=$B40)*(economics!$D$2:$D$167="whr")*economics!$AH$2:$AH$167*(_xlfn.NORM.DIST(CF$3,economics!$AK$2:$AK$167,economics!$AJ$2:$AJ$167,TRUE)-_xlfn.NORM.DIST(CF$30,economics!$AK$2:$AK$167,economics!$AJ$2:$AJ$167,TRUE))*economics!$AM$2:$AM$167)+$CR11*(_xlfn.NORM.DIST(CF$3,$CU11,0.3*$CU11,TRUE)-_xlfn.NORM.DIST(CF$30,$CU11,0.3*$CU11,TRUE))*summary!$C$7/28.8/0.947817+$CS11*(_xlfn.NORM.DIST(CF$3,$CV11,0.3*$CV11,TRUE)-_xlfn.NORM.DIST(CF$30,$CV11,0.3*$CV11,TRUE))*summary!$C$6/28.8/0.947817)/(SUMPRODUCT((economics!$AG$2:$AG$167=$B40)*(economics!$D$2:$D$167="whr")*economics!$AH$2:$AH$167*(_xlfn.NORM.DIST(CF$3,economics!$AK$2:$AK$167,economics!$AJ$2:$AJ$167,TRUE)-_xlfn.NORM.DIST(CF$30,economics!$AK$2:$AK$167,economics!$AJ$2:$AJ$167,TRUE)))+$CR11*(_xlfn.NORM.DIST(CF$3,$CU11,0.3*$CU11,TRUE)-_xlfn.NORM.DIST(CF$30,$CU11,0.3*$CU11,TRUE))+$CS11*(_xlfn.NORM.DIST(CF$3,$CV11,0.3*$CV11,TRUE)-_xlfn.NORM.DIST(CF$30,$CV11,0.3*$CV11,TRUE))),""),IF($C11&gt;0,summary!$C$10/28.8/0.947817,""))</f>
        <v/>
      </c>
      <c r="CG40">
        <f t="array" ref="CG40">IF($D11,IFERROR((SUMPRODUCT((economics!$AG$2:$AG$167=$B40)*(economics!$D$2:$D$167="whr")*economics!$AH$2:$AH$167*(_xlfn.NORM.DIST(CG$3,economics!$AK$2:$AK$167,economics!$AJ$2:$AJ$167,TRUE)-_xlfn.NORM.DIST(CG$30,economics!$AK$2:$AK$167,economics!$AJ$2:$AJ$167,TRUE))*economics!$AM$2:$AM$167)+$CR11*(_xlfn.NORM.DIST(CG$3,$CU11,0.3*$CU11,TRUE)-_xlfn.NORM.DIST(CG$30,$CU11,0.3*$CU11,TRUE))*summary!$C$7/28.8/0.947817+$CS11*(_xlfn.NORM.DIST(CG$3,$CV11,0.3*$CV11,TRUE)-_xlfn.NORM.DIST(CG$30,$CV11,0.3*$CV11,TRUE))*summary!$C$6/28.8/0.947817)/(SUMPRODUCT((economics!$AG$2:$AG$167=$B40)*(economics!$D$2:$D$167="whr")*economics!$AH$2:$AH$167*(_xlfn.NORM.DIST(CG$3,economics!$AK$2:$AK$167,economics!$AJ$2:$AJ$167,TRUE)-_xlfn.NORM.DIST(CG$30,economics!$AK$2:$AK$167,economics!$AJ$2:$AJ$167,TRUE)))+$CR11*(_xlfn.NORM.DIST(CG$3,$CU11,0.3*$CU11,TRUE)-_xlfn.NORM.DIST(CG$30,$CU11,0.3*$CU11,TRUE))+$CS11*(_xlfn.NORM.DIST(CG$3,$CV11,0.3*$CV11,TRUE)-_xlfn.NORM.DIST(CG$30,$CV11,0.3*$CV11,TRUE))),""),IF($C11&gt;0,summary!$C$10/28.8/0.947817,""))</f>
        <v/>
      </c>
      <c r="CH40">
        <f t="array" ref="CH40">IF($D11,IFERROR((SUMPRODUCT((economics!$AG$2:$AG$167=$B40)*(economics!$D$2:$D$167="whr")*economics!$AH$2:$AH$167*(_xlfn.NORM.DIST(CH$3,economics!$AK$2:$AK$167,economics!$AJ$2:$AJ$167,TRUE)-_xlfn.NORM.DIST(CH$30,economics!$AK$2:$AK$167,economics!$AJ$2:$AJ$167,TRUE))*economics!$AM$2:$AM$167)+$CR11*(_xlfn.NORM.DIST(CH$3,$CU11,0.3*$CU11,TRUE)-_xlfn.NORM.DIST(CH$30,$CU11,0.3*$CU11,TRUE))*summary!$C$7/28.8/0.947817+$CS11*(_xlfn.NORM.DIST(CH$3,$CV11,0.3*$CV11,TRUE)-_xlfn.NORM.DIST(CH$30,$CV11,0.3*$CV11,TRUE))*summary!$C$6/28.8/0.947817)/(SUMPRODUCT((economics!$AG$2:$AG$167=$B40)*(economics!$D$2:$D$167="whr")*economics!$AH$2:$AH$167*(_xlfn.NORM.DIST(CH$3,economics!$AK$2:$AK$167,economics!$AJ$2:$AJ$167,TRUE)-_xlfn.NORM.DIST(CH$30,economics!$AK$2:$AK$167,economics!$AJ$2:$AJ$167,TRUE)))+$CR11*(_xlfn.NORM.DIST(CH$3,$CU11,0.3*$CU11,TRUE)-_xlfn.NORM.DIST(CH$30,$CU11,0.3*$CU11,TRUE))+$CS11*(_xlfn.NORM.DIST(CH$3,$CV11,0.3*$CV11,TRUE)-_xlfn.NORM.DIST(CH$30,$CV11,0.3*$CV11,TRUE))),""),IF($C11&gt;0,summary!$C$10/28.8/0.947817,""))</f>
        <v/>
      </c>
    </row>
    <row r="41">
      <c r="A41">
        <f>A12</f>
        <v/>
      </c>
      <c r="B41">
        <f>B12</f>
        <v/>
      </c>
      <c r="E41">
        <f t="array" ref="E41">IF($D12,IFERROR((SUMPRODUCT((economics!$AG$2:$AG$167=$B41)*(economics!$D$2:$D$167="whr")*economics!$AH$2:$AH$167*(_xlfn.NORM.DIST(E$3,economics!$AK$2:$AK$167,economics!$AJ$2:$AJ$167,TRUE)-_xlfn.NORM.DIST(E$30,economics!$AK$2:$AK$167,economics!$AJ$2:$AJ$167,TRUE))*economics!$AM$2:$AM$167)+$CR12*(_xlfn.NORM.DIST(E$3,$CU12,0.3*$CU12,TRUE)-_xlfn.NORM.DIST(E$30,$CU12,0.3*$CU12,TRUE))*summary!$C$7/28.8/0.947817+$CS12*(_xlfn.NORM.DIST(E$3,$CV12,0.3*$CV12,TRUE)-_xlfn.NORM.DIST(E$30,$CV12,0.3*$CV12,TRUE))*summary!$C$6/28.8/0.947817)/(SUMPRODUCT((economics!$AG$2:$AG$167=$B41)*(economics!$D$2:$D$167="whr")*economics!$AH$2:$AH$167*(_xlfn.NORM.DIST(E$3,economics!$AK$2:$AK$167,economics!$AJ$2:$AJ$167,TRUE)-_xlfn.NORM.DIST(E$30,economics!$AK$2:$AK$167,economics!$AJ$2:$AJ$167,TRUE)))+$CR12*(_xlfn.NORM.DIST(E$3,$CU12,0.3*$CU12,TRUE)-_xlfn.NORM.DIST(E$30,$CU12,0.3*$CU12,TRUE))+$CS12*(_xlfn.NORM.DIST(E$3,$CV12,0.3*$CV12,TRUE)-_xlfn.NORM.DIST(E$30,$CV12,0.3*$CV12,TRUE))),""),IF($C12&gt;0,summary!$C$10/28.8/0.947817,""))</f>
        <v/>
      </c>
      <c r="F41">
        <f t="array" ref="F41">IF($D12,IFERROR((SUMPRODUCT((economics!$AG$2:$AG$167=$B41)*(economics!$D$2:$D$167="whr")*economics!$AH$2:$AH$167*(_xlfn.NORM.DIST(F$3,economics!$AK$2:$AK$167,economics!$AJ$2:$AJ$167,TRUE)-_xlfn.NORM.DIST(F$30,economics!$AK$2:$AK$167,economics!$AJ$2:$AJ$167,TRUE))*economics!$AM$2:$AM$167)+$CR12*(_xlfn.NORM.DIST(F$3,$CU12,0.3*$CU12,TRUE)-_xlfn.NORM.DIST(F$30,$CU12,0.3*$CU12,TRUE))*summary!$C$7/28.8/0.947817+$CS12*(_xlfn.NORM.DIST(F$3,$CV12,0.3*$CV12,TRUE)-_xlfn.NORM.DIST(F$30,$CV12,0.3*$CV12,TRUE))*summary!$C$6/28.8/0.947817)/(SUMPRODUCT((economics!$AG$2:$AG$167=$B41)*(economics!$D$2:$D$167="whr")*economics!$AH$2:$AH$167*(_xlfn.NORM.DIST(F$3,economics!$AK$2:$AK$167,economics!$AJ$2:$AJ$167,TRUE)-_xlfn.NORM.DIST(F$30,economics!$AK$2:$AK$167,economics!$AJ$2:$AJ$167,TRUE)))+$CR12*(_xlfn.NORM.DIST(F$3,$CU12,0.3*$CU12,TRUE)-_xlfn.NORM.DIST(F$30,$CU12,0.3*$CU12,TRUE))+$CS12*(_xlfn.NORM.DIST(F$3,$CV12,0.3*$CV12,TRUE)-_xlfn.NORM.DIST(F$30,$CV12,0.3*$CV12,TRUE))),""),IF($C12&gt;0,summary!$C$10/28.8/0.947817,""))</f>
        <v/>
      </c>
      <c r="G41">
        <f t="array" ref="G41">IF($D12,IFERROR((SUMPRODUCT((economics!$AG$2:$AG$167=$B41)*(economics!$D$2:$D$167="whr")*economics!$AH$2:$AH$167*(_xlfn.NORM.DIST(G$3,economics!$AK$2:$AK$167,economics!$AJ$2:$AJ$167,TRUE)-_xlfn.NORM.DIST(G$30,economics!$AK$2:$AK$167,economics!$AJ$2:$AJ$167,TRUE))*economics!$AM$2:$AM$167)+$CR12*(_xlfn.NORM.DIST(G$3,$CU12,0.3*$CU12,TRUE)-_xlfn.NORM.DIST(G$30,$CU12,0.3*$CU12,TRUE))*summary!$C$7/28.8/0.947817+$CS12*(_xlfn.NORM.DIST(G$3,$CV12,0.3*$CV12,TRUE)-_xlfn.NORM.DIST(G$30,$CV12,0.3*$CV12,TRUE))*summary!$C$6/28.8/0.947817)/(SUMPRODUCT((economics!$AG$2:$AG$167=$B41)*(economics!$D$2:$D$167="whr")*economics!$AH$2:$AH$167*(_xlfn.NORM.DIST(G$3,economics!$AK$2:$AK$167,economics!$AJ$2:$AJ$167,TRUE)-_xlfn.NORM.DIST(G$30,economics!$AK$2:$AK$167,economics!$AJ$2:$AJ$167,TRUE)))+$CR12*(_xlfn.NORM.DIST(G$3,$CU12,0.3*$CU12,TRUE)-_xlfn.NORM.DIST(G$30,$CU12,0.3*$CU12,TRUE))+$CS12*(_xlfn.NORM.DIST(G$3,$CV12,0.3*$CV12,TRUE)-_xlfn.NORM.DIST(G$30,$CV12,0.3*$CV12,TRUE))),""),IF($C12&gt;0,summary!$C$10/28.8/0.947817,""))</f>
        <v/>
      </c>
      <c r="H41">
        <f t="array" ref="H41">IF($D12,IFERROR((SUMPRODUCT((economics!$AG$2:$AG$167=$B41)*(economics!$D$2:$D$167="whr")*economics!$AH$2:$AH$167*(_xlfn.NORM.DIST(H$3,economics!$AK$2:$AK$167,economics!$AJ$2:$AJ$167,TRUE)-_xlfn.NORM.DIST(H$30,economics!$AK$2:$AK$167,economics!$AJ$2:$AJ$167,TRUE))*economics!$AM$2:$AM$167)+$CR12*(_xlfn.NORM.DIST(H$3,$CU12,0.3*$CU12,TRUE)-_xlfn.NORM.DIST(H$30,$CU12,0.3*$CU12,TRUE))*summary!$C$7/28.8/0.947817+$CS12*(_xlfn.NORM.DIST(H$3,$CV12,0.3*$CV12,TRUE)-_xlfn.NORM.DIST(H$30,$CV12,0.3*$CV12,TRUE))*summary!$C$6/28.8/0.947817)/(SUMPRODUCT((economics!$AG$2:$AG$167=$B41)*(economics!$D$2:$D$167="whr")*economics!$AH$2:$AH$167*(_xlfn.NORM.DIST(H$3,economics!$AK$2:$AK$167,economics!$AJ$2:$AJ$167,TRUE)-_xlfn.NORM.DIST(H$30,economics!$AK$2:$AK$167,economics!$AJ$2:$AJ$167,TRUE)))+$CR12*(_xlfn.NORM.DIST(H$3,$CU12,0.3*$CU12,TRUE)-_xlfn.NORM.DIST(H$30,$CU12,0.3*$CU12,TRUE))+$CS12*(_xlfn.NORM.DIST(H$3,$CV12,0.3*$CV12,TRUE)-_xlfn.NORM.DIST(H$30,$CV12,0.3*$CV12,TRUE))),""),IF($C12&gt;0,summary!$C$10/28.8/0.947817,""))</f>
        <v/>
      </c>
      <c r="I41">
        <f t="array" ref="I41">IF($D12,IFERROR((SUMPRODUCT((economics!$AG$2:$AG$167=$B41)*(economics!$D$2:$D$167="whr")*economics!$AH$2:$AH$167*(_xlfn.NORM.DIST(I$3,economics!$AK$2:$AK$167,economics!$AJ$2:$AJ$167,TRUE)-_xlfn.NORM.DIST(I$30,economics!$AK$2:$AK$167,economics!$AJ$2:$AJ$167,TRUE))*economics!$AM$2:$AM$167)+$CR12*(_xlfn.NORM.DIST(I$3,$CU12,0.3*$CU12,TRUE)-_xlfn.NORM.DIST(I$30,$CU12,0.3*$CU12,TRUE))*summary!$C$7/28.8/0.947817+$CS12*(_xlfn.NORM.DIST(I$3,$CV12,0.3*$CV12,TRUE)-_xlfn.NORM.DIST(I$30,$CV12,0.3*$CV12,TRUE))*summary!$C$6/28.8/0.947817)/(SUMPRODUCT((economics!$AG$2:$AG$167=$B41)*(economics!$D$2:$D$167="whr")*economics!$AH$2:$AH$167*(_xlfn.NORM.DIST(I$3,economics!$AK$2:$AK$167,economics!$AJ$2:$AJ$167,TRUE)-_xlfn.NORM.DIST(I$30,economics!$AK$2:$AK$167,economics!$AJ$2:$AJ$167,TRUE)))+$CR12*(_xlfn.NORM.DIST(I$3,$CU12,0.3*$CU12,TRUE)-_xlfn.NORM.DIST(I$30,$CU12,0.3*$CU12,TRUE))+$CS12*(_xlfn.NORM.DIST(I$3,$CV12,0.3*$CV12,TRUE)-_xlfn.NORM.DIST(I$30,$CV12,0.3*$CV12,TRUE))),""),IF($C12&gt;0,summary!$C$10/28.8/0.947817,""))</f>
        <v/>
      </c>
      <c r="J41">
        <f t="array" ref="J41">IF($D12,IFERROR((SUMPRODUCT((economics!$AG$2:$AG$167=$B41)*(economics!$D$2:$D$167="whr")*economics!$AH$2:$AH$167*(_xlfn.NORM.DIST(J$3,economics!$AK$2:$AK$167,economics!$AJ$2:$AJ$167,TRUE)-_xlfn.NORM.DIST(J$30,economics!$AK$2:$AK$167,economics!$AJ$2:$AJ$167,TRUE))*economics!$AM$2:$AM$167)+$CR12*(_xlfn.NORM.DIST(J$3,$CU12,0.3*$CU12,TRUE)-_xlfn.NORM.DIST(J$30,$CU12,0.3*$CU12,TRUE))*summary!$C$7/28.8/0.947817+$CS12*(_xlfn.NORM.DIST(J$3,$CV12,0.3*$CV12,TRUE)-_xlfn.NORM.DIST(J$30,$CV12,0.3*$CV12,TRUE))*summary!$C$6/28.8/0.947817)/(SUMPRODUCT((economics!$AG$2:$AG$167=$B41)*(economics!$D$2:$D$167="whr")*economics!$AH$2:$AH$167*(_xlfn.NORM.DIST(J$3,economics!$AK$2:$AK$167,economics!$AJ$2:$AJ$167,TRUE)-_xlfn.NORM.DIST(J$30,economics!$AK$2:$AK$167,economics!$AJ$2:$AJ$167,TRUE)))+$CR12*(_xlfn.NORM.DIST(J$3,$CU12,0.3*$CU12,TRUE)-_xlfn.NORM.DIST(J$30,$CU12,0.3*$CU12,TRUE))+$CS12*(_xlfn.NORM.DIST(J$3,$CV12,0.3*$CV12,TRUE)-_xlfn.NORM.DIST(J$30,$CV12,0.3*$CV12,TRUE))),""),IF($C12&gt;0,summary!$C$10/28.8/0.947817,""))</f>
        <v/>
      </c>
      <c r="K41">
        <f t="array" ref="K41">IF($D12,IFERROR((SUMPRODUCT((economics!$AG$2:$AG$167=$B41)*(economics!$D$2:$D$167="whr")*economics!$AH$2:$AH$167*(_xlfn.NORM.DIST(K$3,economics!$AK$2:$AK$167,economics!$AJ$2:$AJ$167,TRUE)-_xlfn.NORM.DIST(K$30,economics!$AK$2:$AK$167,economics!$AJ$2:$AJ$167,TRUE))*economics!$AM$2:$AM$167)+$CR12*(_xlfn.NORM.DIST(K$3,$CU12,0.3*$CU12,TRUE)-_xlfn.NORM.DIST(K$30,$CU12,0.3*$CU12,TRUE))*summary!$C$7/28.8/0.947817+$CS12*(_xlfn.NORM.DIST(K$3,$CV12,0.3*$CV12,TRUE)-_xlfn.NORM.DIST(K$30,$CV12,0.3*$CV12,TRUE))*summary!$C$6/28.8/0.947817)/(SUMPRODUCT((economics!$AG$2:$AG$167=$B41)*(economics!$D$2:$D$167="whr")*economics!$AH$2:$AH$167*(_xlfn.NORM.DIST(K$3,economics!$AK$2:$AK$167,economics!$AJ$2:$AJ$167,TRUE)-_xlfn.NORM.DIST(K$30,economics!$AK$2:$AK$167,economics!$AJ$2:$AJ$167,TRUE)))+$CR12*(_xlfn.NORM.DIST(K$3,$CU12,0.3*$CU12,TRUE)-_xlfn.NORM.DIST(K$30,$CU12,0.3*$CU12,TRUE))+$CS12*(_xlfn.NORM.DIST(K$3,$CV12,0.3*$CV12,TRUE)-_xlfn.NORM.DIST(K$30,$CV12,0.3*$CV12,TRUE))),""),IF($C12&gt;0,summary!$C$10/28.8/0.947817,""))</f>
        <v/>
      </c>
      <c r="L41">
        <f t="array" ref="L41">IF($D12,IFERROR((SUMPRODUCT((economics!$AG$2:$AG$167=$B41)*(economics!$D$2:$D$167="whr")*economics!$AH$2:$AH$167*(_xlfn.NORM.DIST(L$3,economics!$AK$2:$AK$167,economics!$AJ$2:$AJ$167,TRUE)-_xlfn.NORM.DIST(L$30,economics!$AK$2:$AK$167,economics!$AJ$2:$AJ$167,TRUE))*economics!$AM$2:$AM$167)+$CR12*(_xlfn.NORM.DIST(L$3,$CU12,0.3*$CU12,TRUE)-_xlfn.NORM.DIST(L$30,$CU12,0.3*$CU12,TRUE))*summary!$C$7/28.8/0.947817+$CS12*(_xlfn.NORM.DIST(L$3,$CV12,0.3*$CV12,TRUE)-_xlfn.NORM.DIST(L$30,$CV12,0.3*$CV12,TRUE))*summary!$C$6/28.8/0.947817)/(SUMPRODUCT((economics!$AG$2:$AG$167=$B41)*(economics!$D$2:$D$167="whr")*economics!$AH$2:$AH$167*(_xlfn.NORM.DIST(L$3,economics!$AK$2:$AK$167,economics!$AJ$2:$AJ$167,TRUE)-_xlfn.NORM.DIST(L$30,economics!$AK$2:$AK$167,economics!$AJ$2:$AJ$167,TRUE)))+$CR12*(_xlfn.NORM.DIST(L$3,$CU12,0.3*$CU12,TRUE)-_xlfn.NORM.DIST(L$30,$CU12,0.3*$CU12,TRUE))+$CS12*(_xlfn.NORM.DIST(L$3,$CV12,0.3*$CV12,TRUE)-_xlfn.NORM.DIST(L$30,$CV12,0.3*$CV12,TRUE))),""),IF($C12&gt;0,summary!$C$10/28.8/0.947817,""))</f>
        <v/>
      </c>
      <c r="M41">
        <f t="array" ref="M41">IF($D12,IFERROR((SUMPRODUCT((economics!$AG$2:$AG$167=$B41)*(economics!$D$2:$D$167="whr")*economics!$AH$2:$AH$167*(_xlfn.NORM.DIST(M$3,economics!$AK$2:$AK$167,economics!$AJ$2:$AJ$167,TRUE)-_xlfn.NORM.DIST(M$30,economics!$AK$2:$AK$167,economics!$AJ$2:$AJ$167,TRUE))*economics!$AM$2:$AM$167)+$CR12*(_xlfn.NORM.DIST(M$3,$CU12,0.3*$CU12,TRUE)-_xlfn.NORM.DIST(M$30,$CU12,0.3*$CU12,TRUE))*summary!$C$7/28.8/0.947817+$CS12*(_xlfn.NORM.DIST(M$3,$CV12,0.3*$CV12,TRUE)-_xlfn.NORM.DIST(M$30,$CV12,0.3*$CV12,TRUE))*summary!$C$6/28.8/0.947817)/(SUMPRODUCT((economics!$AG$2:$AG$167=$B41)*(economics!$D$2:$D$167="whr")*economics!$AH$2:$AH$167*(_xlfn.NORM.DIST(M$3,economics!$AK$2:$AK$167,economics!$AJ$2:$AJ$167,TRUE)-_xlfn.NORM.DIST(M$30,economics!$AK$2:$AK$167,economics!$AJ$2:$AJ$167,TRUE)))+$CR12*(_xlfn.NORM.DIST(M$3,$CU12,0.3*$CU12,TRUE)-_xlfn.NORM.DIST(M$30,$CU12,0.3*$CU12,TRUE))+$CS12*(_xlfn.NORM.DIST(M$3,$CV12,0.3*$CV12,TRUE)-_xlfn.NORM.DIST(M$30,$CV12,0.3*$CV12,TRUE))),""),IF($C12&gt;0,summary!$C$10/28.8/0.947817,""))</f>
        <v/>
      </c>
      <c r="N41">
        <f t="array" ref="N41">IF($D12,IFERROR((SUMPRODUCT((economics!$AG$2:$AG$167=$B41)*(economics!$D$2:$D$167="whr")*economics!$AH$2:$AH$167*(_xlfn.NORM.DIST(N$3,economics!$AK$2:$AK$167,economics!$AJ$2:$AJ$167,TRUE)-_xlfn.NORM.DIST(N$30,economics!$AK$2:$AK$167,economics!$AJ$2:$AJ$167,TRUE))*economics!$AM$2:$AM$167)+$CR12*(_xlfn.NORM.DIST(N$3,$CU12,0.3*$CU12,TRUE)-_xlfn.NORM.DIST(N$30,$CU12,0.3*$CU12,TRUE))*summary!$C$7/28.8/0.947817+$CS12*(_xlfn.NORM.DIST(N$3,$CV12,0.3*$CV12,TRUE)-_xlfn.NORM.DIST(N$30,$CV12,0.3*$CV12,TRUE))*summary!$C$6/28.8/0.947817)/(SUMPRODUCT((economics!$AG$2:$AG$167=$B41)*(economics!$D$2:$D$167="whr")*economics!$AH$2:$AH$167*(_xlfn.NORM.DIST(N$3,economics!$AK$2:$AK$167,economics!$AJ$2:$AJ$167,TRUE)-_xlfn.NORM.DIST(N$30,economics!$AK$2:$AK$167,economics!$AJ$2:$AJ$167,TRUE)))+$CR12*(_xlfn.NORM.DIST(N$3,$CU12,0.3*$CU12,TRUE)-_xlfn.NORM.DIST(N$30,$CU12,0.3*$CU12,TRUE))+$CS12*(_xlfn.NORM.DIST(N$3,$CV12,0.3*$CV12,TRUE)-_xlfn.NORM.DIST(N$30,$CV12,0.3*$CV12,TRUE))),""),IF($C12&gt;0,summary!$C$10/28.8/0.947817,""))</f>
        <v/>
      </c>
      <c r="O41">
        <f t="array" ref="O41">IF($D12,IFERROR((SUMPRODUCT((economics!$AG$2:$AG$167=$B41)*(economics!$D$2:$D$167="whr")*economics!$AH$2:$AH$167*(_xlfn.NORM.DIST(O$3,economics!$AK$2:$AK$167,economics!$AJ$2:$AJ$167,TRUE)-_xlfn.NORM.DIST(O$30,economics!$AK$2:$AK$167,economics!$AJ$2:$AJ$167,TRUE))*economics!$AM$2:$AM$167)+$CR12*(_xlfn.NORM.DIST(O$3,$CU12,0.3*$CU12,TRUE)-_xlfn.NORM.DIST(O$30,$CU12,0.3*$CU12,TRUE))*summary!$C$7/28.8/0.947817+$CS12*(_xlfn.NORM.DIST(O$3,$CV12,0.3*$CV12,TRUE)-_xlfn.NORM.DIST(O$30,$CV12,0.3*$CV12,TRUE))*summary!$C$6/28.8/0.947817)/(SUMPRODUCT((economics!$AG$2:$AG$167=$B41)*(economics!$D$2:$D$167="whr")*economics!$AH$2:$AH$167*(_xlfn.NORM.DIST(O$3,economics!$AK$2:$AK$167,economics!$AJ$2:$AJ$167,TRUE)-_xlfn.NORM.DIST(O$30,economics!$AK$2:$AK$167,economics!$AJ$2:$AJ$167,TRUE)))+$CR12*(_xlfn.NORM.DIST(O$3,$CU12,0.3*$CU12,TRUE)-_xlfn.NORM.DIST(O$30,$CU12,0.3*$CU12,TRUE))+$CS12*(_xlfn.NORM.DIST(O$3,$CV12,0.3*$CV12,TRUE)-_xlfn.NORM.DIST(O$30,$CV12,0.3*$CV12,TRUE))),""),IF($C12&gt;0,summary!$C$10/28.8/0.947817,""))</f>
        <v/>
      </c>
      <c r="P41">
        <f t="array" ref="P41">IF($D12,IFERROR((SUMPRODUCT((economics!$AG$2:$AG$167=$B41)*(economics!$D$2:$D$167="whr")*economics!$AH$2:$AH$167*(_xlfn.NORM.DIST(P$3,economics!$AK$2:$AK$167,economics!$AJ$2:$AJ$167,TRUE)-_xlfn.NORM.DIST(P$30,economics!$AK$2:$AK$167,economics!$AJ$2:$AJ$167,TRUE))*economics!$AM$2:$AM$167)+$CR12*(_xlfn.NORM.DIST(P$3,$CU12,0.3*$CU12,TRUE)-_xlfn.NORM.DIST(P$30,$CU12,0.3*$CU12,TRUE))*summary!$C$7/28.8/0.947817+$CS12*(_xlfn.NORM.DIST(P$3,$CV12,0.3*$CV12,TRUE)-_xlfn.NORM.DIST(P$30,$CV12,0.3*$CV12,TRUE))*summary!$C$6/28.8/0.947817)/(SUMPRODUCT((economics!$AG$2:$AG$167=$B41)*(economics!$D$2:$D$167="whr")*economics!$AH$2:$AH$167*(_xlfn.NORM.DIST(P$3,economics!$AK$2:$AK$167,economics!$AJ$2:$AJ$167,TRUE)-_xlfn.NORM.DIST(P$30,economics!$AK$2:$AK$167,economics!$AJ$2:$AJ$167,TRUE)))+$CR12*(_xlfn.NORM.DIST(P$3,$CU12,0.3*$CU12,TRUE)-_xlfn.NORM.DIST(P$30,$CU12,0.3*$CU12,TRUE))+$CS12*(_xlfn.NORM.DIST(P$3,$CV12,0.3*$CV12,TRUE)-_xlfn.NORM.DIST(P$30,$CV12,0.3*$CV12,TRUE))),""),IF($C12&gt;0,summary!$C$10/28.8/0.947817,""))</f>
        <v/>
      </c>
      <c r="Q41">
        <f t="array" ref="Q41">IF($D12,IFERROR((SUMPRODUCT((economics!$AG$2:$AG$167=$B41)*(economics!$D$2:$D$167="whr")*economics!$AH$2:$AH$167*(_xlfn.NORM.DIST(Q$3,economics!$AK$2:$AK$167,economics!$AJ$2:$AJ$167,TRUE)-_xlfn.NORM.DIST(Q$30,economics!$AK$2:$AK$167,economics!$AJ$2:$AJ$167,TRUE))*economics!$AM$2:$AM$167)+$CR12*(_xlfn.NORM.DIST(Q$3,$CU12,0.3*$CU12,TRUE)-_xlfn.NORM.DIST(Q$30,$CU12,0.3*$CU12,TRUE))*summary!$C$7/28.8/0.947817+$CS12*(_xlfn.NORM.DIST(Q$3,$CV12,0.3*$CV12,TRUE)-_xlfn.NORM.DIST(Q$30,$CV12,0.3*$CV12,TRUE))*summary!$C$6/28.8/0.947817)/(SUMPRODUCT((economics!$AG$2:$AG$167=$B41)*(economics!$D$2:$D$167="whr")*economics!$AH$2:$AH$167*(_xlfn.NORM.DIST(Q$3,economics!$AK$2:$AK$167,economics!$AJ$2:$AJ$167,TRUE)-_xlfn.NORM.DIST(Q$30,economics!$AK$2:$AK$167,economics!$AJ$2:$AJ$167,TRUE)))+$CR12*(_xlfn.NORM.DIST(Q$3,$CU12,0.3*$CU12,TRUE)-_xlfn.NORM.DIST(Q$30,$CU12,0.3*$CU12,TRUE))+$CS12*(_xlfn.NORM.DIST(Q$3,$CV12,0.3*$CV12,TRUE)-_xlfn.NORM.DIST(Q$30,$CV12,0.3*$CV12,TRUE))),""),IF($C12&gt;0,summary!$C$10/28.8/0.947817,""))</f>
        <v/>
      </c>
      <c r="R41">
        <f t="array" ref="R41">IF($D12,IFERROR((SUMPRODUCT((economics!$AG$2:$AG$167=$B41)*(economics!$D$2:$D$167="whr")*economics!$AH$2:$AH$167*(_xlfn.NORM.DIST(R$3,economics!$AK$2:$AK$167,economics!$AJ$2:$AJ$167,TRUE)-_xlfn.NORM.DIST(R$30,economics!$AK$2:$AK$167,economics!$AJ$2:$AJ$167,TRUE))*economics!$AM$2:$AM$167)+$CR12*(_xlfn.NORM.DIST(R$3,$CU12,0.3*$CU12,TRUE)-_xlfn.NORM.DIST(R$30,$CU12,0.3*$CU12,TRUE))*summary!$C$7/28.8/0.947817+$CS12*(_xlfn.NORM.DIST(R$3,$CV12,0.3*$CV12,TRUE)-_xlfn.NORM.DIST(R$30,$CV12,0.3*$CV12,TRUE))*summary!$C$6/28.8/0.947817)/(SUMPRODUCT((economics!$AG$2:$AG$167=$B41)*(economics!$D$2:$D$167="whr")*economics!$AH$2:$AH$167*(_xlfn.NORM.DIST(R$3,economics!$AK$2:$AK$167,economics!$AJ$2:$AJ$167,TRUE)-_xlfn.NORM.DIST(R$30,economics!$AK$2:$AK$167,economics!$AJ$2:$AJ$167,TRUE)))+$CR12*(_xlfn.NORM.DIST(R$3,$CU12,0.3*$CU12,TRUE)-_xlfn.NORM.DIST(R$30,$CU12,0.3*$CU12,TRUE))+$CS12*(_xlfn.NORM.DIST(R$3,$CV12,0.3*$CV12,TRUE)-_xlfn.NORM.DIST(R$30,$CV12,0.3*$CV12,TRUE))),""),IF($C12&gt;0,summary!$C$10/28.8/0.947817,""))</f>
        <v/>
      </c>
      <c r="S41">
        <f t="array" ref="S41">IF($D12,IFERROR((SUMPRODUCT((economics!$AG$2:$AG$167=$B41)*(economics!$D$2:$D$167="whr")*economics!$AH$2:$AH$167*(_xlfn.NORM.DIST(S$3,economics!$AK$2:$AK$167,economics!$AJ$2:$AJ$167,TRUE)-_xlfn.NORM.DIST(S$30,economics!$AK$2:$AK$167,economics!$AJ$2:$AJ$167,TRUE))*economics!$AM$2:$AM$167)+$CR12*(_xlfn.NORM.DIST(S$3,$CU12,0.3*$CU12,TRUE)-_xlfn.NORM.DIST(S$30,$CU12,0.3*$CU12,TRUE))*summary!$C$7/28.8/0.947817+$CS12*(_xlfn.NORM.DIST(S$3,$CV12,0.3*$CV12,TRUE)-_xlfn.NORM.DIST(S$30,$CV12,0.3*$CV12,TRUE))*summary!$C$6/28.8/0.947817)/(SUMPRODUCT((economics!$AG$2:$AG$167=$B41)*(economics!$D$2:$D$167="whr")*economics!$AH$2:$AH$167*(_xlfn.NORM.DIST(S$3,economics!$AK$2:$AK$167,economics!$AJ$2:$AJ$167,TRUE)-_xlfn.NORM.DIST(S$30,economics!$AK$2:$AK$167,economics!$AJ$2:$AJ$167,TRUE)))+$CR12*(_xlfn.NORM.DIST(S$3,$CU12,0.3*$CU12,TRUE)-_xlfn.NORM.DIST(S$30,$CU12,0.3*$CU12,TRUE))+$CS12*(_xlfn.NORM.DIST(S$3,$CV12,0.3*$CV12,TRUE)-_xlfn.NORM.DIST(S$30,$CV12,0.3*$CV12,TRUE))),""),IF($C12&gt;0,summary!$C$10/28.8/0.947817,""))</f>
        <v/>
      </c>
      <c r="T41">
        <f t="array" ref="T41">IF($D12,IFERROR((SUMPRODUCT((economics!$AG$2:$AG$167=$B41)*(economics!$D$2:$D$167="whr")*economics!$AH$2:$AH$167*(_xlfn.NORM.DIST(T$3,economics!$AK$2:$AK$167,economics!$AJ$2:$AJ$167,TRUE)-_xlfn.NORM.DIST(T$30,economics!$AK$2:$AK$167,economics!$AJ$2:$AJ$167,TRUE))*economics!$AM$2:$AM$167)+$CR12*(_xlfn.NORM.DIST(T$3,$CU12,0.3*$CU12,TRUE)-_xlfn.NORM.DIST(T$30,$CU12,0.3*$CU12,TRUE))*summary!$C$7/28.8/0.947817+$CS12*(_xlfn.NORM.DIST(T$3,$CV12,0.3*$CV12,TRUE)-_xlfn.NORM.DIST(T$30,$CV12,0.3*$CV12,TRUE))*summary!$C$6/28.8/0.947817)/(SUMPRODUCT((economics!$AG$2:$AG$167=$B41)*(economics!$D$2:$D$167="whr")*economics!$AH$2:$AH$167*(_xlfn.NORM.DIST(T$3,economics!$AK$2:$AK$167,economics!$AJ$2:$AJ$167,TRUE)-_xlfn.NORM.DIST(T$30,economics!$AK$2:$AK$167,economics!$AJ$2:$AJ$167,TRUE)))+$CR12*(_xlfn.NORM.DIST(T$3,$CU12,0.3*$CU12,TRUE)-_xlfn.NORM.DIST(T$30,$CU12,0.3*$CU12,TRUE))+$CS12*(_xlfn.NORM.DIST(T$3,$CV12,0.3*$CV12,TRUE)-_xlfn.NORM.DIST(T$30,$CV12,0.3*$CV12,TRUE))),""),IF($C12&gt;0,summary!$C$10/28.8/0.947817,""))</f>
        <v/>
      </c>
      <c r="U41">
        <f t="array" ref="U41">IF($D12,IFERROR((SUMPRODUCT((economics!$AG$2:$AG$167=$B41)*(economics!$D$2:$D$167="whr")*economics!$AH$2:$AH$167*(_xlfn.NORM.DIST(U$3,economics!$AK$2:$AK$167,economics!$AJ$2:$AJ$167,TRUE)-_xlfn.NORM.DIST(U$30,economics!$AK$2:$AK$167,economics!$AJ$2:$AJ$167,TRUE))*economics!$AM$2:$AM$167)+$CR12*(_xlfn.NORM.DIST(U$3,$CU12,0.3*$CU12,TRUE)-_xlfn.NORM.DIST(U$30,$CU12,0.3*$CU12,TRUE))*summary!$C$7/28.8/0.947817+$CS12*(_xlfn.NORM.DIST(U$3,$CV12,0.3*$CV12,TRUE)-_xlfn.NORM.DIST(U$30,$CV12,0.3*$CV12,TRUE))*summary!$C$6/28.8/0.947817)/(SUMPRODUCT((economics!$AG$2:$AG$167=$B41)*(economics!$D$2:$D$167="whr")*economics!$AH$2:$AH$167*(_xlfn.NORM.DIST(U$3,economics!$AK$2:$AK$167,economics!$AJ$2:$AJ$167,TRUE)-_xlfn.NORM.DIST(U$30,economics!$AK$2:$AK$167,economics!$AJ$2:$AJ$167,TRUE)))+$CR12*(_xlfn.NORM.DIST(U$3,$CU12,0.3*$CU12,TRUE)-_xlfn.NORM.DIST(U$30,$CU12,0.3*$CU12,TRUE))+$CS12*(_xlfn.NORM.DIST(U$3,$CV12,0.3*$CV12,TRUE)-_xlfn.NORM.DIST(U$30,$CV12,0.3*$CV12,TRUE))),""),IF($C12&gt;0,summary!$C$10/28.8/0.947817,""))</f>
        <v/>
      </c>
      <c r="V41">
        <f t="array" ref="V41">IF($D12,IFERROR((SUMPRODUCT((economics!$AG$2:$AG$167=$B41)*(economics!$D$2:$D$167="whr")*economics!$AH$2:$AH$167*(_xlfn.NORM.DIST(V$3,economics!$AK$2:$AK$167,economics!$AJ$2:$AJ$167,TRUE)-_xlfn.NORM.DIST(V$30,economics!$AK$2:$AK$167,economics!$AJ$2:$AJ$167,TRUE))*economics!$AM$2:$AM$167)+$CR12*(_xlfn.NORM.DIST(V$3,$CU12,0.3*$CU12,TRUE)-_xlfn.NORM.DIST(V$30,$CU12,0.3*$CU12,TRUE))*summary!$C$7/28.8/0.947817+$CS12*(_xlfn.NORM.DIST(V$3,$CV12,0.3*$CV12,TRUE)-_xlfn.NORM.DIST(V$30,$CV12,0.3*$CV12,TRUE))*summary!$C$6/28.8/0.947817)/(SUMPRODUCT((economics!$AG$2:$AG$167=$B41)*(economics!$D$2:$D$167="whr")*economics!$AH$2:$AH$167*(_xlfn.NORM.DIST(V$3,economics!$AK$2:$AK$167,economics!$AJ$2:$AJ$167,TRUE)-_xlfn.NORM.DIST(V$30,economics!$AK$2:$AK$167,economics!$AJ$2:$AJ$167,TRUE)))+$CR12*(_xlfn.NORM.DIST(V$3,$CU12,0.3*$CU12,TRUE)-_xlfn.NORM.DIST(V$30,$CU12,0.3*$CU12,TRUE))+$CS12*(_xlfn.NORM.DIST(V$3,$CV12,0.3*$CV12,TRUE)-_xlfn.NORM.DIST(V$30,$CV12,0.3*$CV12,TRUE))),""),IF($C12&gt;0,summary!$C$10/28.8/0.947817,""))</f>
        <v/>
      </c>
      <c r="W41">
        <f t="array" ref="W41">IF($D12,IFERROR((SUMPRODUCT((economics!$AG$2:$AG$167=$B41)*(economics!$D$2:$D$167="whr")*economics!$AH$2:$AH$167*(_xlfn.NORM.DIST(W$3,economics!$AK$2:$AK$167,economics!$AJ$2:$AJ$167,TRUE)-_xlfn.NORM.DIST(W$30,economics!$AK$2:$AK$167,economics!$AJ$2:$AJ$167,TRUE))*economics!$AM$2:$AM$167)+$CR12*(_xlfn.NORM.DIST(W$3,$CU12,0.3*$CU12,TRUE)-_xlfn.NORM.DIST(W$30,$CU12,0.3*$CU12,TRUE))*summary!$C$7/28.8/0.947817+$CS12*(_xlfn.NORM.DIST(W$3,$CV12,0.3*$CV12,TRUE)-_xlfn.NORM.DIST(W$30,$CV12,0.3*$CV12,TRUE))*summary!$C$6/28.8/0.947817)/(SUMPRODUCT((economics!$AG$2:$AG$167=$B41)*(economics!$D$2:$D$167="whr")*economics!$AH$2:$AH$167*(_xlfn.NORM.DIST(W$3,economics!$AK$2:$AK$167,economics!$AJ$2:$AJ$167,TRUE)-_xlfn.NORM.DIST(W$30,economics!$AK$2:$AK$167,economics!$AJ$2:$AJ$167,TRUE)))+$CR12*(_xlfn.NORM.DIST(W$3,$CU12,0.3*$CU12,TRUE)-_xlfn.NORM.DIST(W$30,$CU12,0.3*$CU12,TRUE))+$CS12*(_xlfn.NORM.DIST(W$3,$CV12,0.3*$CV12,TRUE)-_xlfn.NORM.DIST(W$30,$CV12,0.3*$CV12,TRUE))),""),IF($C12&gt;0,summary!$C$10/28.8/0.947817,""))</f>
        <v/>
      </c>
      <c r="X41">
        <f t="array" ref="X41">IF($D12,IFERROR((SUMPRODUCT((economics!$AG$2:$AG$167=$B41)*(economics!$D$2:$D$167="whr")*economics!$AH$2:$AH$167*(_xlfn.NORM.DIST(X$3,economics!$AK$2:$AK$167,economics!$AJ$2:$AJ$167,TRUE)-_xlfn.NORM.DIST(X$30,economics!$AK$2:$AK$167,economics!$AJ$2:$AJ$167,TRUE))*economics!$AM$2:$AM$167)+$CR12*(_xlfn.NORM.DIST(X$3,$CU12,0.3*$CU12,TRUE)-_xlfn.NORM.DIST(X$30,$CU12,0.3*$CU12,TRUE))*summary!$C$7/28.8/0.947817+$CS12*(_xlfn.NORM.DIST(X$3,$CV12,0.3*$CV12,TRUE)-_xlfn.NORM.DIST(X$30,$CV12,0.3*$CV12,TRUE))*summary!$C$6/28.8/0.947817)/(SUMPRODUCT((economics!$AG$2:$AG$167=$B41)*(economics!$D$2:$D$167="whr")*economics!$AH$2:$AH$167*(_xlfn.NORM.DIST(X$3,economics!$AK$2:$AK$167,economics!$AJ$2:$AJ$167,TRUE)-_xlfn.NORM.DIST(X$30,economics!$AK$2:$AK$167,economics!$AJ$2:$AJ$167,TRUE)))+$CR12*(_xlfn.NORM.DIST(X$3,$CU12,0.3*$CU12,TRUE)-_xlfn.NORM.DIST(X$30,$CU12,0.3*$CU12,TRUE))+$CS12*(_xlfn.NORM.DIST(X$3,$CV12,0.3*$CV12,TRUE)-_xlfn.NORM.DIST(X$30,$CV12,0.3*$CV12,TRUE))),""),IF($C12&gt;0,summary!$C$10/28.8/0.947817,""))</f>
        <v/>
      </c>
      <c r="Y41">
        <f t="array" ref="Y41">IF($D12,IFERROR((SUMPRODUCT((economics!$AG$2:$AG$167=$B41)*(economics!$D$2:$D$167="whr")*economics!$AH$2:$AH$167*(_xlfn.NORM.DIST(Y$3,economics!$AK$2:$AK$167,economics!$AJ$2:$AJ$167,TRUE)-_xlfn.NORM.DIST(Y$30,economics!$AK$2:$AK$167,economics!$AJ$2:$AJ$167,TRUE))*economics!$AM$2:$AM$167)+$CR12*(_xlfn.NORM.DIST(Y$3,$CU12,0.3*$CU12,TRUE)-_xlfn.NORM.DIST(Y$30,$CU12,0.3*$CU12,TRUE))*summary!$C$7/28.8/0.947817+$CS12*(_xlfn.NORM.DIST(Y$3,$CV12,0.3*$CV12,TRUE)-_xlfn.NORM.DIST(Y$30,$CV12,0.3*$CV12,TRUE))*summary!$C$6/28.8/0.947817)/(SUMPRODUCT((economics!$AG$2:$AG$167=$B41)*(economics!$D$2:$D$167="whr")*economics!$AH$2:$AH$167*(_xlfn.NORM.DIST(Y$3,economics!$AK$2:$AK$167,economics!$AJ$2:$AJ$167,TRUE)-_xlfn.NORM.DIST(Y$30,economics!$AK$2:$AK$167,economics!$AJ$2:$AJ$167,TRUE)))+$CR12*(_xlfn.NORM.DIST(Y$3,$CU12,0.3*$CU12,TRUE)-_xlfn.NORM.DIST(Y$30,$CU12,0.3*$CU12,TRUE))+$CS12*(_xlfn.NORM.DIST(Y$3,$CV12,0.3*$CV12,TRUE)-_xlfn.NORM.DIST(Y$30,$CV12,0.3*$CV12,TRUE))),""),IF($C12&gt;0,summary!$C$10/28.8/0.947817,""))</f>
        <v/>
      </c>
      <c r="Z41">
        <f t="array" ref="Z41">IF($D12,IFERROR((SUMPRODUCT((economics!$AG$2:$AG$167=$B41)*(economics!$D$2:$D$167="whr")*economics!$AH$2:$AH$167*(_xlfn.NORM.DIST(Z$3,economics!$AK$2:$AK$167,economics!$AJ$2:$AJ$167,TRUE)-_xlfn.NORM.DIST(Z$30,economics!$AK$2:$AK$167,economics!$AJ$2:$AJ$167,TRUE))*economics!$AM$2:$AM$167)+$CR12*(_xlfn.NORM.DIST(Z$3,$CU12,0.3*$CU12,TRUE)-_xlfn.NORM.DIST(Z$30,$CU12,0.3*$CU12,TRUE))*summary!$C$7/28.8/0.947817+$CS12*(_xlfn.NORM.DIST(Z$3,$CV12,0.3*$CV12,TRUE)-_xlfn.NORM.DIST(Z$30,$CV12,0.3*$CV12,TRUE))*summary!$C$6/28.8/0.947817)/(SUMPRODUCT((economics!$AG$2:$AG$167=$B41)*(economics!$D$2:$D$167="whr")*economics!$AH$2:$AH$167*(_xlfn.NORM.DIST(Z$3,economics!$AK$2:$AK$167,economics!$AJ$2:$AJ$167,TRUE)-_xlfn.NORM.DIST(Z$30,economics!$AK$2:$AK$167,economics!$AJ$2:$AJ$167,TRUE)))+$CR12*(_xlfn.NORM.DIST(Z$3,$CU12,0.3*$CU12,TRUE)-_xlfn.NORM.DIST(Z$30,$CU12,0.3*$CU12,TRUE))+$CS12*(_xlfn.NORM.DIST(Z$3,$CV12,0.3*$CV12,TRUE)-_xlfn.NORM.DIST(Z$30,$CV12,0.3*$CV12,TRUE))),""),IF($C12&gt;0,summary!$C$10/28.8/0.947817,""))</f>
        <v/>
      </c>
      <c r="AA41">
        <f t="array" ref="AA41">IF($D12,IFERROR((SUMPRODUCT((economics!$AG$2:$AG$167=$B41)*(economics!$D$2:$D$167="whr")*economics!$AH$2:$AH$167*(_xlfn.NORM.DIST(AA$3,economics!$AK$2:$AK$167,economics!$AJ$2:$AJ$167,TRUE)-_xlfn.NORM.DIST(AA$30,economics!$AK$2:$AK$167,economics!$AJ$2:$AJ$167,TRUE))*economics!$AM$2:$AM$167)+$CR12*(_xlfn.NORM.DIST(AA$3,$CU12,0.3*$CU12,TRUE)-_xlfn.NORM.DIST(AA$30,$CU12,0.3*$CU12,TRUE))*summary!$C$7/28.8/0.947817+$CS12*(_xlfn.NORM.DIST(AA$3,$CV12,0.3*$CV12,TRUE)-_xlfn.NORM.DIST(AA$30,$CV12,0.3*$CV12,TRUE))*summary!$C$6/28.8/0.947817)/(SUMPRODUCT((economics!$AG$2:$AG$167=$B41)*(economics!$D$2:$D$167="whr")*economics!$AH$2:$AH$167*(_xlfn.NORM.DIST(AA$3,economics!$AK$2:$AK$167,economics!$AJ$2:$AJ$167,TRUE)-_xlfn.NORM.DIST(AA$30,economics!$AK$2:$AK$167,economics!$AJ$2:$AJ$167,TRUE)))+$CR12*(_xlfn.NORM.DIST(AA$3,$CU12,0.3*$CU12,TRUE)-_xlfn.NORM.DIST(AA$30,$CU12,0.3*$CU12,TRUE))+$CS12*(_xlfn.NORM.DIST(AA$3,$CV12,0.3*$CV12,TRUE)-_xlfn.NORM.DIST(AA$30,$CV12,0.3*$CV12,TRUE))),""),IF($C12&gt;0,summary!$C$10/28.8/0.947817,""))</f>
        <v/>
      </c>
      <c r="AB41">
        <f t="array" ref="AB41">IF($D12,IFERROR((SUMPRODUCT((economics!$AG$2:$AG$167=$B41)*(economics!$D$2:$D$167="whr")*economics!$AH$2:$AH$167*(_xlfn.NORM.DIST(AB$3,economics!$AK$2:$AK$167,economics!$AJ$2:$AJ$167,TRUE)-_xlfn.NORM.DIST(AB$30,economics!$AK$2:$AK$167,economics!$AJ$2:$AJ$167,TRUE))*economics!$AM$2:$AM$167)+$CR12*(_xlfn.NORM.DIST(AB$3,$CU12,0.3*$CU12,TRUE)-_xlfn.NORM.DIST(AB$30,$CU12,0.3*$CU12,TRUE))*summary!$C$7/28.8/0.947817+$CS12*(_xlfn.NORM.DIST(AB$3,$CV12,0.3*$CV12,TRUE)-_xlfn.NORM.DIST(AB$30,$CV12,0.3*$CV12,TRUE))*summary!$C$6/28.8/0.947817)/(SUMPRODUCT((economics!$AG$2:$AG$167=$B41)*(economics!$D$2:$D$167="whr")*economics!$AH$2:$AH$167*(_xlfn.NORM.DIST(AB$3,economics!$AK$2:$AK$167,economics!$AJ$2:$AJ$167,TRUE)-_xlfn.NORM.DIST(AB$30,economics!$AK$2:$AK$167,economics!$AJ$2:$AJ$167,TRUE)))+$CR12*(_xlfn.NORM.DIST(AB$3,$CU12,0.3*$CU12,TRUE)-_xlfn.NORM.DIST(AB$30,$CU12,0.3*$CU12,TRUE))+$CS12*(_xlfn.NORM.DIST(AB$3,$CV12,0.3*$CV12,TRUE)-_xlfn.NORM.DIST(AB$30,$CV12,0.3*$CV12,TRUE))),""),IF($C12&gt;0,summary!$C$10/28.8/0.947817,""))</f>
        <v/>
      </c>
      <c r="AC41">
        <f t="array" ref="AC41">IF($D12,IFERROR((SUMPRODUCT((economics!$AG$2:$AG$167=$B41)*(economics!$D$2:$D$167="whr")*economics!$AH$2:$AH$167*(_xlfn.NORM.DIST(AC$3,economics!$AK$2:$AK$167,economics!$AJ$2:$AJ$167,TRUE)-_xlfn.NORM.DIST(AC$30,economics!$AK$2:$AK$167,economics!$AJ$2:$AJ$167,TRUE))*economics!$AM$2:$AM$167)+$CR12*(_xlfn.NORM.DIST(AC$3,$CU12,0.3*$CU12,TRUE)-_xlfn.NORM.DIST(AC$30,$CU12,0.3*$CU12,TRUE))*summary!$C$7/28.8/0.947817+$CS12*(_xlfn.NORM.DIST(AC$3,$CV12,0.3*$CV12,TRUE)-_xlfn.NORM.DIST(AC$30,$CV12,0.3*$CV12,TRUE))*summary!$C$6/28.8/0.947817)/(SUMPRODUCT((economics!$AG$2:$AG$167=$B41)*(economics!$D$2:$D$167="whr")*economics!$AH$2:$AH$167*(_xlfn.NORM.DIST(AC$3,economics!$AK$2:$AK$167,economics!$AJ$2:$AJ$167,TRUE)-_xlfn.NORM.DIST(AC$30,economics!$AK$2:$AK$167,economics!$AJ$2:$AJ$167,TRUE)))+$CR12*(_xlfn.NORM.DIST(AC$3,$CU12,0.3*$CU12,TRUE)-_xlfn.NORM.DIST(AC$30,$CU12,0.3*$CU12,TRUE))+$CS12*(_xlfn.NORM.DIST(AC$3,$CV12,0.3*$CV12,TRUE)-_xlfn.NORM.DIST(AC$30,$CV12,0.3*$CV12,TRUE))),""),IF($C12&gt;0,summary!$C$10/28.8/0.947817,""))</f>
        <v/>
      </c>
      <c r="AD41">
        <f t="array" ref="AD41">IF($D12,IFERROR((SUMPRODUCT((economics!$AG$2:$AG$167=$B41)*(economics!$D$2:$D$167="whr")*economics!$AH$2:$AH$167*(_xlfn.NORM.DIST(AD$3,economics!$AK$2:$AK$167,economics!$AJ$2:$AJ$167,TRUE)-_xlfn.NORM.DIST(AD$30,economics!$AK$2:$AK$167,economics!$AJ$2:$AJ$167,TRUE))*economics!$AM$2:$AM$167)+$CR12*(_xlfn.NORM.DIST(AD$3,$CU12,0.3*$CU12,TRUE)-_xlfn.NORM.DIST(AD$30,$CU12,0.3*$CU12,TRUE))*summary!$C$7/28.8/0.947817+$CS12*(_xlfn.NORM.DIST(AD$3,$CV12,0.3*$CV12,TRUE)-_xlfn.NORM.DIST(AD$30,$CV12,0.3*$CV12,TRUE))*summary!$C$6/28.8/0.947817)/(SUMPRODUCT((economics!$AG$2:$AG$167=$B41)*(economics!$D$2:$D$167="whr")*economics!$AH$2:$AH$167*(_xlfn.NORM.DIST(AD$3,economics!$AK$2:$AK$167,economics!$AJ$2:$AJ$167,TRUE)-_xlfn.NORM.DIST(AD$30,economics!$AK$2:$AK$167,economics!$AJ$2:$AJ$167,TRUE)))+$CR12*(_xlfn.NORM.DIST(AD$3,$CU12,0.3*$CU12,TRUE)-_xlfn.NORM.DIST(AD$30,$CU12,0.3*$CU12,TRUE))+$CS12*(_xlfn.NORM.DIST(AD$3,$CV12,0.3*$CV12,TRUE)-_xlfn.NORM.DIST(AD$30,$CV12,0.3*$CV12,TRUE))),""),IF($C12&gt;0,summary!$C$10/28.8/0.947817,""))</f>
        <v/>
      </c>
      <c r="AE41">
        <f t="array" ref="AE41">IF($D12,IFERROR((SUMPRODUCT((economics!$AG$2:$AG$167=$B41)*(economics!$D$2:$D$167="whr")*economics!$AH$2:$AH$167*(_xlfn.NORM.DIST(AE$3,economics!$AK$2:$AK$167,economics!$AJ$2:$AJ$167,TRUE)-_xlfn.NORM.DIST(AE$30,economics!$AK$2:$AK$167,economics!$AJ$2:$AJ$167,TRUE))*economics!$AM$2:$AM$167)+$CR12*(_xlfn.NORM.DIST(AE$3,$CU12,0.3*$CU12,TRUE)-_xlfn.NORM.DIST(AE$30,$CU12,0.3*$CU12,TRUE))*summary!$C$7/28.8/0.947817+$CS12*(_xlfn.NORM.DIST(AE$3,$CV12,0.3*$CV12,TRUE)-_xlfn.NORM.DIST(AE$30,$CV12,0.3*$CV12,TRUE))*summary!$C$6/28.8/0.947817)/(SUMPRODUCT((economics!$AG$2:$AG$167=$B41)*(economics!$D$2:$D$167="whr")*economics!$AH$2:$AH$167*(_xlfn.NORM.DIST(AE$3,economics!$AK$2:$AK$167,economics!$AJ$2:$AJ$167,TRUE)-_xlfn.NORM.DIST(AE$30,economics!$AK$2:$AK$167,economics!$AJ$2:$AJ$167,TRUE)))+$CR12*(_xlfn.NORM.DIST(AE$3,$CU12,0.3*$CU12,TRUE)-_xlfn.NORM.DIST(AE$30,$CU12,0.3*$CU12,TRUE))+$CS12*(_xlfn.NORM.DIST(AE$3,$CV12,0.3*$CV12,TRUE)-_xlfn.NORM.DIST(AE$30,$CV12,0.3*$CV12,TRUE))),""),IF($C12&gt;0,summary!$C$10/28.8/0.947817,""))</f>
        <v/>
      </c>
      <c r="AF41">
        <f t="array" ref="AF41">IF($D12,IFERROR((SUMPRODUCT((economics!$AG$2:$AG$167=$B41)*(economics!$D$2:$D$167="whr")*economics!$AH$2:$AH$167*(_xlfn.NORM.DIST(AF$3,economics!$AK$2:$AK$167,economics!$AJ$2:$AJ$167,TRUE)-_xlfn.NORM.DIST(AF$30,economics!$AK$2:$AK$167,economics!$AJ$2:$AJ$167,TRUE))*economics!$AM$2:$AM$167)+$CR12*(_xlfn.NORM.DIST(AF$3,$CU12,0.3*$CU12,TRUE)-_xlfn.NORM.DIST(AF$30,$CU12,0.3*$CU12,TRUE))*summary!$C$7/28.8/0.947817+$CS12*(_xlfn.NORM.DIST(AF$3,$CV12,0.3*$CV12,TRUE)-_xlfn.NORM.DIST(AF$30,$CV12,0.3*$CV12,TRUE))*summary!$C$6/28.8/0.947817)/(SUMPRODUCT((economics!$AG$2:$AG$167=$B41)*(economics!$D$2:$D$167="whr")*economics!$AH$2:$AH$167*(_xlfn.NORM.DIST(AF$3,economics!$AK$2:$AK$167,economics!$AJ$2:$AJ$167,TRUE)-_xlfn.NORM.DIST(AF$30,economics!$AK$2:$AK$167,economics!$AJ$2:$AJ$167,TRUE)))+$CR12*(_xlfn.NORM.DIST(AF$3,$CU12,0.3*$CU12,TRUE)-_xlfn.NORM.DIST(AF$30,$CU12,0.3*$CU12,TRUE))+$CS12*(_xlfn.NORM.DIST(AF$3,$CV12,0.3*$CV12,TRUE)-_xlfn.NORM.DIST(AF$30,$CV12,0.3*$CV12,TRUE))),""),IF($C12&gt;0,summary!$C$10/28.8/0.947817,""))</f>
        <v/>
      </c>
      <c r="AG41">
        <f t="array" ref="AG41">IF($D12,IFERROR((SUMPRODUCT((economics!$AG$2:$AG$167=$B41)*(economics!$D$2:$D$167="whr")*economics!$AH$2:$AH$167*(_xlfn.NORM.DIST(AG$3,economics!$AK$2:$AK$167,economics!$AJ$2:$AJ$167,TRUE)-_xlfn.NORM.DIST(AG$30,economics!$AK$2:$AK$167,economics!$AJ$2:$AJ$167,TRUE))*economics!$AM$2:$AM$167)+$CR12*(_xlfn.NORM.DIST(AG$3,$CU12,0.3*$CU12,TRUE)-_xlfn.NORM.DIST(AG$30,$CU12,0.3*$CU12,TRUE))*summary!$C$7/28.8/0.947817+$CS12*(_xlfn.NORM.DIST(AG$3,$CV12,0.3*$CV12,TRUE)-_xlfn.NORM.DIST(AG$30,$CV12,0.3*$CV12,TRUE))*summary!$C$6/28.8/0.947817)/(SUMPRODUCT((economics!$AG$2:$AG$167=$B41)*(economics!$D$2:$D$167="whr")*economics!$AH$2:$AH$167*(_xlfn.NORM.DIST(AG$3,economics!$AK$2:$AK$167,economics!$AJ$2:$AJ$167,TRUE)-_xlfn.NORM.DIST(AG$30,economics!$AK$2:$AK$167,economics!$AJ$2:$AJ$167,TRUE)))+$CR12*(_xlfn.NORM.DIST(AG$3,$CU12,0.3*$CU12,TRUE)-_xlfn.NORM.DIST(AG$30,$CU12,0.3*$CU12,TRUE))+$CS12*(_xlfn.NORM.DIST(AG$3,$CV12,0.3*$CV12,TRUE)-_xlfn.NORM.DIST(AG$30,$CV12,0.3*$CV12,TRUE))),""),IF($C12&gt;0,summary!$C$10/28.8/0.947817,""))</f>
        <v/>
      </c>
      <c r="AH41">
        <f t="array" ref="AH41">IF($D12,IFERROR((SUMPRODUCT((economics!$AG$2:$AG$167=$B41)*(economics!$D$2:$D$167="whr")*economics!$AH$2:$AH$167*(_xlfn.NORM.DIST(AH$3,economics!$AK$2:$AK$167,economics!$AJ$2:$AJ$167,TRUE)-_xlfn.NORM.DIST(AH$30,economics!$AK$2:$AK$167,economics!$AJ$2:$AJ$167,TRUE))*economics!$AM$2:$AM$167)+$CR12*(_xlfn.NORM.DIST(AH$3,$CU12,0.3*$CU12,TRUE)-_xlfn.NORM.DIST(AH$30,$CU12,0.3*$CU12,TRUE))*summary!$C$7/28.8/0.947817+$CS12*(_xlfn.NORM.DIST(AH$3,$CV12,0.3*$CV12,TRUE)-_xlfn.NORM.DIST(AH$30,$CV12,0.3*$CV12,TRUE))*summary!$C$6/28.8/0.947817)/(SUMPRODUCT((economics!$AG$2:$AG$167=$B41)*(economics!$D$2:$D$167="whr")*economics!$AH$2:$AH$167*(_xlfn.NORM.DIST(AH$3,economics!$AK$2:$AK$167,economics!$AJ$2:$AJ$167,TRUE)-_xlfn.NORM.DIST(AH$30,economics!$AK$2:$AK$167,economics!$AJ$2:$AJ$167,TRUE)))+$CR12*(_xlfn.NORM.DIST(AH$3,$CU12,0.3*$CU12,TRUE)-_xlfn.NORM.DIST(AH$30,$CU12,0.3*$CU12,TRUE))+$CS12*(_xlfn.NORM.DIST(AH$3,$CV12,0.3*$CV12,TRUE)-_xlfn.NORM.DIST(AH$30,$CV12,0.3*$CV12,TRUE))),""),IF($C12&gt;0,summary!$C$10/28.8/0.947817,""))</f>
        <v/>
      </c>
      <c r="AI41">
        <f t="array" ref="AI41">IF($D12,IFERROR((SUMPRODUCT((economics!$AG$2:$AG$167=$B41)*(economics!$D$2:$D$167="whr")*economics!$AH$2:$AH$167*(_xlfn.NORM.DIST(AI$3,economics!$AK$2:$AK$167,economics!$AJ$2:$AJ$167,TRUE)-_xlfn.NORM.DIST(AI$30,economics!$AK$2:$AK$167,economics!$AJ$2:$AJ$167,TRUE))*economics!$AM$2:$AM$167)+$CR12*(_xlfn.NORM.DIST(AI$3,$CU12,0.3*$CU12,TRUE)-_xlfn.NORM.DIST(AI$30,$CU12,0.3*$CU12,TRUE))*summary!$C$7/28.8/0.947817+$CS12*(_xlfn.NORM.DIST(AI$3,$CV12,0.3*$CV12,TRUE)-_xlfn.NORM.DIST(AI$30,$CV12,0.3*$CV12,TRUE))*summary!$C$6/28.8/0.947817)/(SUMPRODUCT((economics!$AG$2:$AG$167=$B41)*(economics!$D$2:$D$167="whr")*economics!$AH$2:$AH$167*(_xlfn.NORM.DIST(AI$3,economics!$AK$2:$AK$167,economics!$AJ$2:$AJ$167,TRUE)-_xlfn.NORM.DIST(AI$30,economics!$AK$2:$AK$167,economics!$AJ$2:$AJ$167,TRUE)))+$CR12*(_xlfn.NORM.DIST(AI$3,$CU12,0.3*$CU12,TRUE)-_xlfn.NORM.DIST(AI$30,$CU12,0.3*$CU12,TRUE))+$CS12*(_xlfn.NORM.DIST(AI$3,$CV12,0.3*$CV12,TRUE)-_xlfn.NORM.DIST(AI$30,$CV12,0.3*$CV12,TRUE))),""),IF($C12&gt;0,summary!$C$10/28.8/0.947817,""))</f>
        <v/>
      </c>
      <c r="AJ41">
        <f t="array" ref="AJ41">IF($D12,IFERROR((SUMPRODUCT((economics!$AG$2:$AG$167=$B41)*(economics!$D$2:$D$167="whr")*economics!$AH$2:$AH$167*(_xlfn.NORM.DIST(AJ$3,economics!$AK$2:$AK$167,economics!$AJ$2:$AJ$167,TRUE)-_xlfn.NORM.DIST(AJ$30,economics!$AK$2:$AK$167,economics!$AJ$2:$AJ$167,TRUE))*economics!$AM$2:$AM$167)+$CR12*(_xlfn.NORM.DIST(AJ$3,$CU12,0.3*$CU12,TRUE)-_xlfn.NORM.DIST(AJ$30,$CU12,0.3*$CU12,TRUE))*summary!$C$7/28.8/0.947817+$CS12*(_xlfn.NORM.DIST(AJ$3,$CV12,0.3*$CV12,TRUE)-_xlfn.NORM.DIST(AJ$30,$CV12,0.3*$CV12,TRUE))*summary!$C$6/28.8/0.947817)/(SUMPRODUCT((economics!$AG$2:$AG$167=$B41)*(economics!$D$2:$D$167="whr")*economics!$AH$2:$AH$167*(_xlfn.NORM.DIST(AJ$3,economics!$AK$2:$AK$167,economics!$AJ$2:$AJ$167,TRUE)-_xlfn.NORM.DIST(AJ$30,economics!$AK$2:$AK$167,economics!$AJ$2:$AJ$167,TRUE)))+$CR12*(_xlfn.NORM.DIST(AJ$3,$CU12,0.3*$CU12,TRUE)-_xlfn.NORM.DIST(AJ$30,$CU12,0.3*$CU12,TRUE))+$CS12*(_xlfn.NORM.DIST(AJ$3,$CV12,0.3*$CV12,TRUE)-_xlfn.NORM.DIST(AJ$30,$CV12,0.3*$CV12,TRUE))),""),IF($C12&gt;0,summary!$C$10/28.8/0.947817,""))</f>
        <v/>
      </c>
      <c r="AK41">
        <f t="array" ref="AK41">IF($D12,IFERROR((SUMPRODUCT((economics!$AG$2:$AG$167=$B41)*(economics!$D$2:$D$167="whr")*economics!$AH$2:$AH$167*(_xlfn.NORM.DIST(AK$3,economics!$AK$2:$AK$167,economics!$AJ$2:$AJ$167,TRUE)-_xlfn.NORM.DIST(AK$30,economics!$AK$2:$AK$167,economics!$AJ$2:$AJ$167,TRUE))*economics!$AM$2:$AM$167)+$CR12*(_xlfn.NORM.DIST(AK$3,$CU12,0.3*$CU12,TRUE)-_xlfn.NORM.DIST(AK$30,$CU12,0.3*$CU12,TRUE))*summary!$C$7/28.8/0.947817+$CS12*(_xlfn.NORM.DIST(AK$3,$CV12,0.3*$CV12,TRUE)-_xlfn.NORM.DIST(AK$30,$CV12,0.3*$CV12,TRUE))*summary!$C$6/28.8/0.947817)/(SUMPRODUCT((economics!$AG$2:$AG$167=$B41)*(economics!$D$2:$D$167="whr")*economics!$AH$2:$AH$167*(_xlfn.NORM.DIST(AK$3,economics!$AK$2:$AK$167,economics!$AJ$2:$AJ$167,TRUE)-_xlfn.NORM.DIST(AK$30,economics!$AK$2:$AK$167,economics!$AJ$2:$AJ$167,TRUE)))+$CR12*(_xlfn.NORM.DIST(AK$3,$CU12,0.3*$CU12,TRUE)-_xlfn.NORM.DIST(AK$30,$CU12,0.3*$CU12,TRUE))+$CS12*(_xlfn.NORM.DIST(AK$3,$CV12,0.3*$CV12,TRUE)-_xlfn.NORM.DIST(AK$30,$CV12,0.3*$CV12,TRUE))),""),IF($C12&gt;0,summary!$C$10/28.8/0.947817,""))</f>
        <v/>
      </c>
      <c r="AL41">
        <f t="array" ref="AL41">IF($D12,IFERROR((SUMPRODUCT((economics!$AG$2:$AG$167=$B41)*(economics!$D$2:$D$167="whr")*economics!$AH$2:$AH$167*(_xlfn.NORM.DIST(AL$3,economics!$AK$2:$AK$167,economics!$AJ$2:$AJ$167,TRUE)-_xlfn.NORM.DIST(AL$30,economics!$AK$2:$AK$167,economics!$AJ$2:$AJ$167,TRUE))*economics!$AM$2:$AM$167)+$CR12*(_xlfn.NORM.DIST(AL$3,$CU12,0.3*$CU12,TRUE)-_xlfn.NORM.DIST(AL$30,$CU12,0.3*$CU12,TRUE))*summary!$C$7/28.8/0.947817+$CS12*(_xlfn.NORM.DIST(AL$3,$CV12,0.3*$CV12,TRUE)-_xlfn.NORM.DIST(AL$30,$CV12,0.3*$CV12,TRUE))*summary!$C$6/28.8/0.947817)/(SUMPRODUCT((economics!$AG$2:$AG$167=$B41)*(economics!$D$2:$D$167="whr")*economics!$AH$2:$AH$167*(_xlfn.NORM.DIST(AL$3,economics!$AK$2:$AK$167,economics!$AJ$2:$AJ$167,TRUE)-_xlfn.NORM.DIST(AL$30,economics!$AK$2:$AK$167,economics!$AJ$2:$AJ$167,TRUE)))+$CR12*(_xlfn.NORM.DIST(AL$3,$CU12,0.3*$CU12,TRUE)-_xlfn.NORM.DIST(AL$30,$CU12,0.3*$CU12,TRUE))+$CS12*(_xlfn.NORM.DIST(AL$3,$CV12,0.3*$CV12,TRUE)-_xlfn.NORM.DIST(AL$30,$CV12,0.3*$CV12,TRUE))),""),IF($C12&gt;0,summary!$C$10/28.8/0.947817,""))</f>
        <v/>
      </c>
      <c r="AM41">
        <f t="array" ref="AM41">IF($D12,IFERROR((SUMPRODUCT((economics!$AG$2:$AG$167=$B41)*(economics!$D$2:$D$167="whr")*economics!$AH$2:$AH$167*(_xlfn.NORM.DIST(AM$3,economics!$AK$2:$AK$167,economics!$AJ$2:$AJ$167,TRUE)-_xlfn.NORM.DIST(AM$30,economics!$AK$2:$AK$167,economics!$AJ$2:$AJ$167,TRUE))*economics!$AM$2:$AM$167)+$CR12*(_xlfn.NORM.DIST(AM$3,$CU12,0.3*$CU12,TRUE)-_xlfn.NORM.DIST(AM$30,$CU12,0.3*$CU12,TRUE))*summary!$C$7/28.8/0.947817+$CS12*(_xlfn.NORM.DIST(AM$3,$CV12,0.3*$CV12,TRUE)-_xlfn.NORM.DIST(AM$30,$CV12,0.3*$CV12,TRUE))*summary!$C$6/28.8/0.947817)/(SUMPRODUCT((economics!$AG$2:$AG$167=$B41)*(economics!$D$2:$D$167="whr")*economics!$AH$2:$AH$167*(_xlfn.NORM.DIST(AM$3,economics!$AK$2:$AK$167,economics!$AJ$2:$AJ$167,TRUE)-_xlfn.NORM.DIST(AM$30,economics!$AK$2:$AK$167,economics!$AJ$2:$AJ$167,TRUE)))+$CR12*(_xlfn.NORM.DIST(AM$3,$CU12,0.3*$CU12,TRUE)-_xlfn.NORM.DIST(AM$30,$CU12,0.3*$CU12,TRUE))+$CS12*(_xlfn.NORM.DIST(AM$3,$CV12,0.3*$CV12,TRUE)-_xlfn.NORM.DIST(AM$30,$CV12,0.3*$CV12,TRUE))),""),IF($C12&gt;0,summary!$C$10/28.8/0.947817,""))</f>
        <v/>
      </c>
      <c r="AN41">
        <f t="array" ref="AN41">IF($D12,IFERROR((SUMPRODUCT((economics!$AG$2:$AG$167=$B41)*(economics!$D$2:$D$167="whr")*economics!$AH$2:$AH$167*(_xlfn.NORM.DIST(AN$3,economics!$AK$2:$AK$167,economics!$AJ$2:$AJ$167,TRUE)-_xlfn.NORM.DIST(AN$30,economics!$AK$2:$AK$167,economics!$AJ$2:$AJ$167,TRUE))*economics!$AM$2:$AM$167)+$CR12*(_xlfn.NORM.DIST(AN$3,$CU12,0.3*$CU12,TRUE)-_xlfn.NORM.DIST(AN$30,$CU12,0.3*$CU12,TRUE))*summary!$C$7/28.8/0.947817+$CS12*(_xlfn.NORM.DIST(AN$3,$CV12,0.3*$CV12,TRUE)-_xlfn.NORM.DIST(AN$30,$CV12,0.3*$CV12,TRUE))*summary!$C$6/28.8/0.947817)/(SUMPRODUCT((economics!$AG$2:$AG$167=$B41)*(economics!$D$2:$D$167="whr")*economics!$AH$2:$AH$167*(_xlfn.NORM.DIST(AN$3,economics!$AK$2:$AK$167,economics!$AJ$2:$AJ$167,TRUE)-_xlfn.NORM.DIST(AN$30,economics!$AK$2:$AK$167,economics!$AJ$2:$AJ$167,TRUE)))+$CR12*(_xlfn.NORM.DIST(AN$3,$CU12,0.3*$CU12,TRUE)-_xlfn.NORM.DIST(AN$30,$CU12,0.3*$CU12,TRUE))+$CS12*(_xlfn.NORM.DIST(AN$3,$CV12,0.3*$CV12,TRUE)-_xlfn.NORM.DIST(AN$30,$CV12,0.3*$CV12,TRUE))),""),IF($C12&gt;0,summary!$C$10/28.8/0.947817,""))</f>
        <v/>
      </c>
      <c r="AO41">
        <f t="array" ref="AO41">IF($D12,IFERROR((SUMPRODUCT((economics!$AG$2:$AG$167=$B41)*(economics!$D$2:$D$167="whr")*economics!$AH$2:$AH$167*(_xlfn.NORM.DIST(AO$3,economics!$AK$2:$AK$167,economics!$AJ$2:$AJ$167,TRUE)-_xlfn.NORM.DIST(AO$30,economics!$AK$2:$AK$167,economics!$AJ$2:$AJ$167,TRUE))*economics!$AM$2:$AM$167)+$CR12*(_xlfn.NORM.DIST(AO$3,$CU12,0.3*$CU12,TRUE)-_xlfn.NORM.DIST(AO$30,$CU12,0.3*$CU12,TRUE))*summary!$C$7/28.8/0.947817+$CS12*(_xlfn.NORM.DIST(AO$3,$CV12,0.3*$CV12,TRUE)-_xlfn.NORM.DIST(AO$30,$CV12,0.3*$CV12,TRUE))*summary!$C$6/28.8/0.947817)/(SUMPRODUCT((economics!$AG$2:$AG$167=$B41)*(economics!$D$2:$D$167="whr")*economics!$AH$2:$AH$167*(_xlfn.NORM.DIST(AO$3,economics!$AK$2:$AK$167,economics!$AJ$2:$AJ$167,TRUE)-_xlfn.NORM.DIST(AO$30,economics!$AK$2:$AK$167,economics!$AJ$2:$AJ$167,TRUE)))+$CR12*(_xlfn.NORM.DIST(AO$3,$CU12,0.3*$CU12,TRUE)-_xlfn.NORM.DIST(AO$30,$CU12,0.3*$CU12,TRUE))+$CS12*(_xlfn.NORM.DIST(AO$3,$CV12,0.3*$CV12,TRUE)-_xlfn.NORM.DIST(AO$30,$CV12,0.3*$CV12,TRUE))),""),IF($C12&gt;0,summary!$C$10/28.8/0.947817,""))</f>
        <v/>
      </c>
      <c r="AP41">
        <f t="array" ref="AP41">IF($D12,IFERROR((SUMPRODUCT((economics!$AG$2:$AG$167=$B41)*(economics!$D$2:$D$167="whr")*economics!$AH$2:$AH$167*(_xlfn.NORM.DIST(AP$3,economics!$AK$2:$AK$167,economics!$AJ$2:$AJ$167,TRUE)-_xlfn.NORM.DIST(AP$30,economics!$AK$2:$AK$167,economics!$AJ$2:$AJ$167,TRUE))*economics!$AM$2:$AM$167)+$CR12*(_xlfn.NORM.DIST(AP$3,$CU12,0.3*$CU12,TRUE)-_xlfn.NORM.DIST(AP$30,$CU12,0.3*$CU12,TRUE))*summary!$C$7/28.8/0.947817+$CS12*(_xlfn.NORM.DIST(AP$3,$CV12,0.3*$CV12,TRUE)-_xlfn.NORM.DIST(AP$30,$CV12,0.3*$CV12,TRUE))*summary!$C$6/28.8/0.947817)/(SUMPRODUCT((economics!$AG$2:$AG$167=$B41)*(economics!$D$2:$D$167="whr")*economics!$AH$2:$AH$167*(_xlfn.NORM.DIST(AP$3,economics!$AK$2:$AK$167,economics!$AJ$2:$AJ$167,TRUE)-_xlfn.NORM.DIST(AP$30,economics!$AK$2:$AK$167,economics!$AJ$2:$AJ$167,TRUE)))+$CR12*(_xlfn.NORM.DIST(AP$3,$CU12,0.3*$CU12,TRUE)-_xlfn.NORM.DIST(AP$30,$CU12,0.3*$CU12,TRUE))+$CS12*(_xlfn.NORM.DIST(AP$3,$CV12,0.3*$CV12,TRUE)-_xlfn.NORM.DIST(AP$30,$CV12,0.3*$CV12,TRUE))),""),IF($C12&gt;0,summary!$C$10/28.8/0.947817,""))</f>
        <v/>
      </c>
      <c r="AQ41">
        <f t="array" ref="AQ41">IF($D12,IFERROR((SUMPRODUCT((economics!$AG$2:$AG$167=$B41)*(economics!$D$2:$D$167="whr")*economics!$AH$2:$AH$167*(_xlfn.NORM.DIST(AQ$3,economics!$AK$2:$AK$167,economics!$AJ$2:$AJ$167,TRUE)-_xlfn.NORM.DIST(AQ$30,economics!$AK$2:$AK$167,economics!$AJ$2:$AJ$167,TRUE))*economics!$AM$2:$AM$167)+$CR12*(_xlfn.NORM.DIST(AQ$3,$CU12,0.3*$CU12,TRUE)-_xlfn.NORM.DIST(AQ$30,$CU12,0.3*$CU12,TRUE))*summary!$C$7/28.8/0.947817+$CS12*(_xlfn.NORM.DIST(AQ$3,$CV12,0.3*$CV12,TRUE)-_xlfn.NORM.DIST(AQ$30,$CV12,0.3*$CV12,TRUE))*summary!$C$6/28.8/0.947817)/(SUMPRODUCT((economics!$AG$2:$AG$167=$B41)*(economics!$D$2:$D$167="whr")*economics!$AH$2:$AH$167*(_xlfn.NORM.DIST(AQ$3,economics!$AK$2:$AK$167,economics!$AJ$2:$AJ$167,TRUE)-_xlfn.NORM.DIST(AQ$30,economics!$AK$2:$AK$167,economics!$AJ$2:$AJ$167,TRUE)))+$CR12*(_xlfn.NORM.DIST(AQ$3,$CU12,0.3*$CU12,TRUE)-_xlfn.NORM.DIST(AQ$30,$CU12,0.3*$CU12,TRUE))+$CS12*(_xlfn.NORM.DIST(AQ$3,$CV12,0.3*$CV12,TRUE)-_xlfn.NORM.DIST(AQ$30,$CV12,0.3*$CV12,TRUE))),""),IF($C12&gt;0,summary!$C$10/28.8/0.947817,""))</f>
        <v/>
      </c>
      <c r="AR41">
        <f t="array" ref="AR41">IF($D12,IFERROR((SUMPRODUCT((economics!$AG$2:$AG$167=$B41)*(economics!$D$2:$D$167="whr")*economics!$AH$2:$AH$167*(_xlfn.NORM.DIST(AR$3,economics!$AK$2:$AK$167,economics!$AJ$2:$AJ$167,TRUE)-_xlfn.NORM.DIST(AR$30,economics!$AK$2:$AK$167,economics!$AJ$2:$AJ$167,TRUE))*economics!$AM$2:$AM$167)+$CR12*(_xlfn.NORM.DIST(AR$3,$CU12,0.3*$CU12,TRUE)-_xlfn.NORM.DIST(AR$30,$CU12,0.3*$CU12,TRUE))*summary!$C$7/28.8/0.947817+$CS12*(_xlfn.NORM.DIST(AR$3,$CV12,0.3*$CV12,TRUE)-_xlfn.NORM.DIST(AR$30,$CV12,0.3*$CV12,TRUE))*summary!$C$6/28.8/0.947817)/(SUMPRODUCT((economics!$AG$2:$AG$167=$B41)*(economics!$D$2:$D$167="whr")*economics!$AH$2:$AH$167*(_xlfn.NORM.DIST(AR$3,economics!$AK$2:$AK$167,economics!$AJ$2:$AJ$167,TRUE)-_xlfn.NORM.DIST(AR$30,economics!$AK$2:$AK$167,economics!$AJ$2:$AJ$167,TRUE)))+$CR12*(_xlfn.NORM.DIST(AR$3,$CU12,0.3*$CU12,TRUE)-_xlfn.NORM.DIST(AR$30,$CU12,0.3*$CU12,TRUE))+$CS12*(_xlfn.NORM.DIST(AR$3,$CV12,0.3*$CV12,TRUE)-_xlfn.NORM.DIST(AR$30,$CV12,0.3*$CV12,TRUE))),""),IF($C12&gt;0,summary!$C$10/28.8/0.947817,""))</f>
        <v/>
      </c>
      <c r="AS41">
        <f t="array" ref="AS41">IF($D12,IFERROR((SUMPRODUCT((economics!$AG$2:$AG$167=$B41)*(economics!$D$2:$D$167="whr")*economics!$AH$2:$AH$167*(_xlfn.NORM.DIST(AS$3,economics!$AK$2:$AK$167,economics!$AJ$2:$AJ$167,TRUE)-_xlfn.NORM.DIST(AS$30,economics!$AK$2:$AK$167,economics!$AJ$2:$AJ$167,TRUE))*economics!$AM$2:$AM$167)+$CR12*(_xlfn.NORM.DIST(AS$3,$CU12,0.3*$CU12,TRUE)-_xlfn.NORM.DIST(AS$30,$CU12,0.3*$CU12,TRUE))*summary!$C$7/28.8/0.947817+$CS12*(_xlfn.NORM.DIST(AS$3,$CV12,0.3*$CV12,TRUE)-_xlfn.NORM.DIST(AS$30,$CV12,0.3*$CV12,TRUE))*summary!$C$6/28.8/0.947817)/(SUMPRODUCT((economics!$AG$2:$AG$167=$B41)*(economics!$D$2:$D$167="whr")*economics!$AH$2:$AH$167*(_xlfn.NORM.DIST(AS$3,economics!$AK$2:$AK$167,economics!$AJ$2:$AJ$167,TRUE)-_xlfn.NORM.DIST(AS$30,economics!$AK$2:$AK$167,economics!$AJ$2:$AJ$167,TRUE)))+$CR12*(_xlfn.NORM.DIST(AS$3,$CU12,0.3*$CU12,TRUE)-_xlfn.NORM.DIST(AS$30,$CU12,0.3*$CU12,TRUE))+$CS12*(_xlfn.NORM.DIST(AS$3,$CV12,0.3*$CV12,TRUE)-_xlfn.NORM.DIST(AS$30,$CV12,0.3*$CV12,TRUE))),""),IF($C12&gt;0,summary!$C$10/28.8/0.947817,""))</f>
        <v/>
      </c>
      <c r="AT41">
        <f t="array" ref="AT41">IF($D12,IFERROR((SUMPRODUCT((economics!$AG$2:$AG$167=$B41)*(economics!$D$2:$D$167="whr")*economics!$AH$2:$AH$167*(_xlfn.NORM.DIST(AT$3,economics!$AK$2:$AK$167,economics!$AJ$2:$AJ$167,TRUE)-_xlfn.NORM.DIST(AT$30,economics!$AK$2:$AK$167,economics!$AJ$2:$AJ$167,TRUE))*economics!$AM$2:$AM$167)+$CR12*(_xlfn.NORM.DIST(AT$3,$CU12,0.3*$CU12,TRUE)-_xlfn.NORM.DIST(AT$30,$CU12,0.3*$CU12,TRUE))*summary!$C$7/28.8/0.947817+$CS12*(_xlfn.NORM.DIST(AT$3,$CV12,0.3*$CV12,TRUE)-_xlfn.NORM.DIST(AT$30,$CV12,0.3*$CV12,TRUE))*summary!$C$6/28.8/0.947817)/(SUMPRODUCT((economics!$AG$2:$AG$167=$B41)*(economics!$D$2:$D$167="whr")*economics!$AH$2:$AH$167*(_xlfn.NORM.DIST(AT$3,economics!$AK$2:$AK$167,economics!$AJ$2:$AJ$167,TRUE)-_xlfn.NORM.DIST(AT$30,economics!$AK$2:$AK$167,economics!$AJ$2:$AJ$167,TRUE)))+$CR12*(_xlfn.NORM.DIST(AT$3,$CU12,0.3*$CU12,TRUE)-_xlfn.NORM.DIST(AT$30,$CU12,0.3*$CU12,TRUE))+$CS12*(_xlfn.NORM.DIST(AT$3,$CV12,0.3*$CV12,TRUE)-_xlfn.NORM.DIST(AT$30,$CV12,0.3*$CV12,TRUE))),""),IF($C12&gt;0,summary!$C$10/28.8/0.947817,""))</f>
        <v/>
      </c>
      <c r="AU41">
        <f t="array" ref="AU41">IF($D12,IFERROR((SUMPRODUCT((economics!$AG$2:$AG$167=$B41)*(economics!$D$2:$D$167="whr")*economics!$AH$2:$AH$167*(_xlfn.NORM.DIST(AU$3,economics!$AK$2:$AK$167,economics!$AJ$2:$AJ$167,TRUE)-_xlfn.NORM.DIST(AU$30,economics!$AK$2:$AK$167,economics!$AJ$2:$AJ$167,TRUE))*economics!$AM$2:$AM$167)+$CR12*(_xlfn.NORM.DIST(AU$3,$CU12,0.3*$CU12,TRUE)-_xlfn.NORM.DIST(AU$30,$CU12,0.3*$CU12,TRUE))*summary!$C$7/28.8/0.947817+$CS12*(_xlfn.NORM.DIST(AU$3,$CV12,0.3*$CV12,TRUE)-_xlfn.NORM.DIST(AU$30,$CV12,0.3*$CV12,TRUE))*summary!$C$6/28.8/0.947817)/(SUMPRODUCT((economics!$AG$2:$AG$167=$B41)*(economics!$D$2:$D$167="whr")*economics!$AH$2:$AH$167*(_xlfn.NORM.DIST(AU$3,economics!$AK$2:$AK$167,economics!$AJ$2:$AJ$167,TRUE)-_xlfn.NORM.DIST(AU$30,economics!$AK$2:$AK$167,economics!$AJ$2:$AJ$167,TRUE)))+$CR12*(_xlfn.NORM.DIST(AU$3,$CU12,0.3*$CU12,TRUE)-_xlfn.NORM.DIST(AU$30,$CU12,0.3*$CU12,TRUE))+$CS12*(_xlfn.NORM.DIST(AU$3,$CV12,0.3*$CV12,TRUE)-_xlfn.NORM.DIST(AU$30,$CV12,0.3*$CV12,TRUE))),""),IF($C12&gt;0,summary!$C$10/28.8/0.947817,""))</f>
        <v/>
      </c>
      <c r="AV41">
        <f t="array" ref="AV41">IF($D12,IFERROR((SUMPRODUCT((economics!$AG$2:$AG$167=$B41)*(economics!$D$2:$D$167="whr")*economics!$AH$2:$AH$167*(_xlfn.NORM.DIST(AV$3,economics!$AK$2:$AK$167,economics!$AJ$2:$AJ$167,TRUE)-_xlfn.NORM.DIST(AV$30,economics!$AK$2:$AK$167,economics!$AJ$2:$AJ$167,TRUE))*economics!$AM$2:$AM$167)+$CR12*(_xlfn.NORM.DIST(AV$3,$CU12,0.3*$CU12,TRUE)-_xlfn.NORM.DIST(AV$30,$CU12,0.3*$CU12,TRUE))*summary!$C$7/28.8/0.947817+$CS12*(_xlfn.NORM.DIST(AV$3,$CV12,0.3*$CV12,TRUE)-_xlfn.NORM.DIST(AV$30,$CV12,0.3*$CV12,TRUE))*summary!$C$6/28.8/0.947817)/(SUMPRODUCT((economics!$AG$2:$AG$167=$B41)*(economics!$D$2:$D$167="whr")*economics!$AH$2:$AH$167*(_xlfn.NORM.DIST(AV$3,economics!$AK$2:$AK$167,economics!$AJ$2:$AJ$167,TRUE)-_xlfn.NORM.DIST(AV$30,economics!$AK$2:$AK$167,economics!$AJ$2:$AJ$167,TRUE)))+$CR12*(_xlfn.NORM.DIST(AV$3,$CU12,0.3*$CU12,TRUE)-_xlfn.NORM.DIST(AV$30,$CU12,0.3*$CU12,TRUE))+$CS12*(_xlfn.NORM.DIST(AV$3,$CV12,0.3*$CV12,TRUE)-_xlfn.NORM.DIST(AV$30,$CV12,0.3*$CV12,TRUE))),""),IF($C12&gt;0,summary!$C$10/28.8/0.947817,""))</f>
        <v/>
      </c>
      <c r="AW41">
        <f t="array" ref="AW41">IF($D12,IFERROR((SUMPRODUCT((economics!$AG$2:$AG$167=$B41)*(economics!$D$2:$D$167="whr")*economics!$AH$2:$AH$167*(_xlfn.NORM.DIST(AW$3,economics!$AK$2:$AK$167,economics!$AJ$2:$AJ$167,TRUE)-_xlfn.NORM.DIST(AW$30,economics!$AK$2:$AK$167,economics!$AJ$2:$AJ$167,TRUE))*economics!$AM$2:$AM$167)+$CR12*(_xlfn.NORM.DIST(AW$3,$CU12,0.3*$CU12,TRUE)-_xlfn.NORM.DIST(AW$30,$CU12,0.3*$CU12,TRUE))*summary!$C$7/28.8/0.947817+$CS12*(_xlfn.NORM.DIST(AW$3,$CV12,0.3*$CV12,TRUE)-_xlfn.NORM.DIST(AW$30,$CV12,0.3*$CV12,TRUE))*summary!$C$6/28.8/0.947817)/(SUMPRODUCT((economics!$AG$2:$AG$167=$B41)*(economics!$D$2:$D$167="whr")*economics!$AH$2:$AH$167*(_xlfn.NORM.DIST(AW$3,economics!$AK$2:$AK$167,economics!$AJ$2:$AJ$167,TRUE)-_xlfn.NORM.DIST(AW$30,economics!$AK$2:$AK$167,economics!$AJ$2:$AJ$167,TRUE)))+$CR12*(_xlfn.NORM.DIST(AW$3,$CU12,0.3*$CU12,TRUE)-_xlfn.NORM.DIST(AW$30,$CU12,0.3*$CU12,TRUE))+$CS12*(_xlfn.NORM.DIST(AW$3,$CV12,0.3*$CV12,TRUE)-_xlfn.NORM.DIST(AW$30,$CV12,0.3*$CV12,TRUE))),""),IF($C12&gt;0,summary!$C$10/28.8/0.947817,""))</f>
        <v/>
      </c>
      <c r="AX41">
        <f t="array" ref="AX41">IF($D12,IFERROR((SUMPRODUCT((economics!$AG$2:$AG$167=$B41)*(economics!$D$2:$D$167="whr")*economics!$AH$2:$AH$167*(_xlfn.NORM.DIST(AX$3,economics!$AK$2:$AK$167,economics!$AJ$2:$AJ$167,TRUE)-_xlfn.NORM.DIST(AX$30,economics!$AK$2:$AK$167,economics!$AJ$2:$AJ$167,TRUE))*economics!$AM$2:$AM$167)+$CR12*(_xlfn.NORM.DIST(AX$3,$CU12,0.3*$CU12,TRUE)-_xlfn.NORM.DIST(AX$30,$CU12,0.3*$CU12,TRUE))*summary!$C$7/28.8/0.947817+$CS12*(_xlfn.NORM.DIST(AX$3,$CV12,0.3*$CV12,TRUE)-_xlfn.NORM.DIST(AX$30,$CV12,0.3*$CV12,TRUE))*summary!$C$6/28.8/0.947817)/(SUMPRODUCT((economics!$AG$2:$AG$167=$B41)*(economics!$D$2:$D$167="whr")*economics!$AH$2:$AH$167*(_xlfn.NORM.DIST(AX$3,economics!$AK$2:$AK$167,economics!$AJ$2:$AJ$167,TRUE)-_xlfn.NORM.DIST(AX$30,economics!$AK$2:$AK$167,economics!$AJ$2:$AJ$167,TRUE)))+$CR12*(_xlfn.NORM.DIST(AX$3,$CU12,0.3*$CU12,TRUE)-_xlfn.NORM.DIST(AX$30,$CU12,0.3*$CU12,TRUE))+$CS12*(_xlfn.NORM.DIST(AX$3,$CV12,0.3*$CV12,TRUE)-_xlfn.NORM.DIST(AX$30,$CV12,0.3*$CV12,TRUE))),""),IF($C12&gt;0,summary!$C$10/28.8/0.947817,""))</f>
        <v/>
      </c>
      <c r="AY41">
        <f t="array" ref="AY41">IF($D12,IFERROR((SUMPRODUCT((economics!$AG$2:$AG$167=$B41)*(economics!$D$2:$D$167="whr")*economics!$AH$2:$AH$167*(_xlfn.NORM.DIST(AY$3,economics!$AK$2:$AK$167,economics!$AJ$2:$AJ$167,TRUE)-_xlfn.NORM.DIST(AY$30,economics!$AK$2:$AK$167,economics!$AJ$2:$AJ$167,TRUE))*economics!$AM$2:$AM$167)+$CR12*(_xlfn.NORM.DIST(AY$3,$CU12,0.3*$CU12,TRUE)-_xlfn.NORM.DIST(AY$30,$CU12,0.3*$CU12,TRUE))*summary!$C$7/28.8/0.947817+$CS12*(_xlfn.NORM.DIST(AY$3,$CV12,0.3*$CV12,TRUE)-_xlfn.NORM.DIST(AY$30,$CV12,0.3*$CV12,TRUE))*summary!$C$6/28.8/0.947817)/(SUMPRODUCT((economics!$AG$2:$AG$167=$B41)*(economics!$D$2:$D$167="whr")*economics!$AH$2:$AH$167*(_xlfn.NORM.DIST(AY$3,economics!$AK$2:$AK$167,economics!$AJ$2:$AJ$167,TRUE)-_xlfn.NORM.DIST(AY$30,economics!$AK$2:$AK$167,economics!$AJ$2:$AJ$167,TRUE)))+$CR12*(_xlfn.NORM.DIST(AY$3,$CU12,0.3*$CU12,TRUE)-_xlfn.NORM.DIST(AY$30,$CU12,0.3*$CU12,TRUE))+$CS12*(_xlfn.NORM.DIST(AY$3,$CV12,0.3*$CV12,TRUE)-_xlfn.NORM.DIST(AY$30,$CV12,0.3*$CV12,TRUE))),""),IF($C12&gt;0,summary!$C$10/28.8/0.947817,""))</f>
        <v/>
      </c>
      <c r="AZ41">
        <f t="array" ref="AZ41">IF($D12,IFERROR((SUMPRODUCT((economics!$AG$2:$AG$167=$B41)*(economics!$D$2:$D$167="whr")*economics!$AH$2:$AH$167*(_xlfn.NORM.DIST(AZ$3,economics!$AK$2:$AK$167,economics!$AJ$2:$AJ$167,TRUE)-_xlfn.NORM.DIST(AZ$30,economics!$AK$2:$AK$167,economics!$AJ$2:$AJ$167,TRUE))*economics!$AM$2:$AM$167)+$CR12*(_xlfn.NORM.DIST(AZ$3,$CU12,0.3*$CU12,TRUE)-_xlfn.NORM.DIST(AZ$30,$CU12,0.3*$CU12,TRUE))*summary!$C$7/28.8/0.947817+$CS12*(_xlfn.NORM.DIST(AZ$3,$CV12,0.3*$CV12,TRUE)-_xlfn.NORM.DIST(AZ$30,$CV12,0.3*$CV12,TRUE))*summary!$C$6/28.8/0.947817)/(SUMPRODUCT((economics!$AG$2:$AG$167=$B41)*(economics!$D$2:$D$167="whr")*economics!$AH$2:$AH$167*(_xlfn.NORM.DIST(AZ$3,economics!$AK$2:$AK$167,economics!$AJ$2:$AJ$167,TRUE)-_xlfn.NORM.DIST(AZ$30,economics!$AK$2:$AK$167,economics!$AJ$2:$AJ$167,TRUE)))+$CR12*(_xlfn.NORM.DIST(AZ$3,$CU12,0.3*$CU12,TRUE)-_xlfn.NORM.DIST(AZ$30,$CU12,0.3*$CU12,TRUE))+$CS12*(_xlfn.NORM.DIST(AZ$3,$CV12,0.3*$CV12,TRUE)-_xlfn.NORM.DIST(AZ$30,$CV12,0.3*$CV12,TRUE))),""),IF($C12&gt;0,summary!$C$10/28.8/0.947817,""))</f>
        <v/>
      </c>
      <c r="BA41">
        <f t="array" ref="BA41">IF($D12,IFERROR((SUMPRODUCT((economics!$AG$2:$AG$167=$B41)*(economics!$D$2:$D$167="whr")*economics!$AH$2:$AH$167*(_xlfn.NORM.DIST(BA$3,economics!$AK$2:$AK$167,economics!$AJ$2:$AJ$167,TRUE)-_xlfn.NORM.DIST(BA$30,economics!$AK$2:$AK$167,economics!$AJ$2:$AJ$167,TRUE))*economics!$AM$2:$AM$167)+$CR12*(_xlfn.NORM.DIST(BA$3,$CU12,0.3*$CU12,TRUE)-_xlfn.NORM.DIST(BA$30,$CU12,0.3*$CU12,TRUE))*summary!$C$7/28.8/0.947817+$CS12*(_xlfn.NORM.DIST(BA$3,$CV12,0.3*$CV12,TRUE)-_xlfn.NORM.DIST(BA$30,$CV12,0.3*$CV12,TRUE))*summary!$C$6/28.8/0.947817)/(SUMPRODUCT((economics!$AG$2:$AG$167=$B41)*(economics!$D$2:$D$167="whr")*economics!$AH$2:$AH$167*(_xlfn.NORM.DIST(BA$3,economics!$AK$2:$AK$167,economics!$AJ$2:$AJ$167,TRUE)-_xlfn.NORM.DIST(BA$30,economics!$AK$2:$AK$167,economics!$AJ$2:$AJ$167,TRUE)))+$CR12*(_xlfn.NORM.DIST(BA$3,$CU12,0.3*$CU12,TRUE)-_xlfn.NORM.DIST(BA$30,$CU12,0.3*$CU12,TRUE))+$CS12*(_xlfn.NORM.DIST(BA$3,$CV12,0.3*$CV12,TRUE)-_xlfn.NORM.DIST(BA$30,$CV12,0.3*$CV12,TRUE))),""),IF($C12&gt;0,summary!$C$10/28.8/0.947817,""))</f>
        <v/>
      </c>
      <c r="BB41">
        <f t="array" ref="BB41">IF($D12,IFERROR((SUMPRODUCT((economics!$AG$2:$AG$167=$B41)*(economics!$D$2:$D$167="whr")*economics!$AH$2:$AH$167*(_xlfn.NORM.DIST(BB$3,economics!$AK$2:$AK$167,economics!$AJ$2:$AJ$167,TRUE)-_xlfn.NORM.DIST(BB$30,economics!$AK$2:$AK$167,economics!$AJ$2:$AJ$167,TRUE))*economics!$AM$2:$AM$167)+$CR12*(_xlfn.NORM.DIST(BB$3,$CU12,0.3*$CU12,TRUE)-_xlfn.NORM.DIST(BB$30,$CU12,0.3*$CU12,TRUE))*summary!$C$7/28.8/0.947817+$CS12*(_xlfn.NORM.DIST(BB$3,$CV12,0.3*$CV12,TRUE)-_xlfn.NORM.DIST(BB$30,$CV12,0.3*$CV12,TRUE))*summary!$C$6/28.8/0.947817)/(SUMPRODUCT((economics!$AG$2:$AG$167=$B41)*(economics!$D$2:$D$167="whr")*economics!$AH$2:$AH$167*(_xlfn.NORM.DIST(BB$3,economics!$AK$2:$AK$167,economics!$AJ$2:$AJ$167,TRUE)-_xlfn.NORM.DIST(BB$30,economics!$AK$2:$AK$167,economics!$AJ$2:$AJ$167,TRUE)))+$CR12*(_xlfn.NORM.DIST(BB$3,$CU12,0.3*$CU12,TRUE)-_xlfn.NORM.DIST(BB$30,$CU12,0.3*$CU12,TRUE))+$CS12*(_xlfn.NORM.DIST(BB$3,$CV12,0.3*$CV12,TRUE)-_xlfn.NORM.DIST(BB$30,$CV12,0.3*$CV12,TRUE))),""),IF($C12&gt;0,summary!$C$10/28.8/0.947817,""))</f>
        <v/>
      </c>
      <c r="BC41">
        <f t="array" ref="BC41">IF($D12,IFERROR((SUMPRODUCT((economics!$AG$2:$AG$167=$B41)*(economics!$D$2:$D$167="whr")*economics!$AH$2:$AH$167*(_xlfn.NORM.DIST(BC$3,economics!$AK$2:$AK$167,economics!$AJ$2:$AJ$167,TRUE)-_xlfn.NORM.DIST(BC$30,economics!$AK$2:$AK$167,economics!$AJ$2:$AJ$167,TRUE))*economics!$AM$2:$AM$167)+$CR12*(_xlfn.NORM.DIST(BC$3,$CU12,0.3*$CU12,TRUE)-_xlfn.NORM.DIST(BC$30,$CU12,0.3*$CU12,TRUE))*summary!$C$7/28.8/0.947817+$CS12*(_xlfn.NORM.DIST(BC$3,$CV12,0.3*$CV12,TRUE)-_xlfn.NORM.DIST(BC$30,$CV12,0.3*$CV12,TRUE))*summary!$C$6/28.8/0.947817)/(SUMPRODUCT((economics!$AG$2:$AG$167=$B41)*(economics!$D$2:$D$167="whr")*economics!$AH$2:$AH$167*(_xlfn.NORM.DIST(BC$3,economics!$AK$2:$AK$167,economics!$AJ$2:$AJ$167,TRUE)-_xlfn.NORM.DIST(BC$30,economics!$AK$2:$AK$167,economics!$AJ$2:$AJ$167,TRUE)))+$CR12*(_xlfn.NORM.DIST(BC$3,$CU12,0.3*$CU12,TRUE)-_xlfn.NORM.DIST(BC$30,$CU12,0.3*$CU12,TRUE))+$CS12*(_xlfn.NORM.DIST(BC$3,$CV12,0.3*$CV12,TRUE)-_xlfn.NORM.DIST(BC$30,$CV12,0.3*$CV12,TRUE))),""),IF($C12&gt;0,summary!$C$10/28.8/0.947817,""))</f>
        <v/>
      </c>
      <c r="BD41">
        <f t="array" ref="BD41">IF($D12,IFERROR((SUMPRODUCT((economics!$AG$2:$AG$167=$B41)*(economics!$D$2:$D$167="whr")*economics!$AH$2:$AH$167*(_xlfn.NORM.DIST(BD$3,economics!$AK$2:$AK$167,economics!$AJ$2:$AJ$167,TRUE)-_xlfn.NORM.DIST(BD$30,economics!$AK$2:$AK$167,economics!$AJ$2:$AJ$167,TRUE))*economics!$AM$2:$AM$167)+$CR12*(_xlfn.NORM.DIST(BD$3,$CU12,0.3*$CU12,TRUE)-_xlfn.NORM.DIST(BD$30,$CU12,0.3*$CU12,TRUE))*summary!$C$7/28.8/0.947817+$CS12*(_xlfn.NORM.DIST(BD$3,$CV12,0.3*$CV12,TRUE)-_xlfn.NORM.DIST(BD$30,$CV12,0.3*$CV12,TRUE))*summary!$C$6/28.8/0.947817)/(SUMPRODUCT((economics!$AG$2:$AG$167=$B41)*(economics!$D$2:$D$167="whr")*economics!$AH$2:$AH$167*(_xlfn.NORM.DIST(BD$3,economics!$AK$2:$AK$167,economics!$AJ$2:$AJ$167,TRUE)-_xlfn.NORM.DIST(BD$30,economics!$AK$2:$AK$167,economics!$AJ$2:$AJ$167,TRUE)))+$CR12*(_xlfn.NORM.DIST(BD$3,$CU12,0.3*$CU12,TRUE)-_xlfn.NORM.DIST(BD$30,$CU12,0.3*$CU12,TRUE))+$CS12*(_xlfn.NORM.DIST(BD$3,$CV12,0.3*$CV12,TRUE)-_xlfn.NORM.DIST(BD$30,$CV12,0.3*$CV12,TRUE))),""),IF($C12&gt;0,summary!$C$10/28.8/0.947817,""))</f>
        <v/>
      </c>
      <c r="BE41">
        <f t="array" ref="BE41">IF($D12,IFERROR((SUMPRODUCT((economics!$AG$2:$AG$167=$B41)*(economics!$D$2:$D$167="whr")*economics!$AH$2:$AH$167*(_xlfn.NORM.DIST(BE$3,economics!$AK$2:$AK$167,economics!$AJ$2:$AJ$167,TRUE)-_xlfn.NORM.DIST(BE$30,economics!$AK$2:$AK$167,economics!$AJ$2:$AJ$167,TRUE))*economics!$AM$2:$AM$167)+$CR12*(_xlfn.NORM.DIST(BE$3,$CU12,0.3*$CU12,TRUE)-_xlfn.NORM.DIST(BE$30,$CU12,0.3*$CU12,TRUE))*summary!$C$7/28.8/0.947817+$CS12*(_xlfn.NORM.DIST(BE$3,$CV12,0.3*$CV12,TRUE)-_xlfn.NORM.DIST(BE$30,$CV12,0.3*$CV12,TRUE))*summary!$C$6/28.8/0.947817)/(SUMPRODUCT((economics!$AG$2:$AG$167=$B41)*(economics!$D$2:$D$167="whr")*economics!$AH$2:$AH$167*(_xlfn.NORM.DIST(BE$3,economics!$AK$2:$AK$167,economics!$AJ$2:$AJ$167,TRUE)-_xlfn.NORM.DIST(BE$30,economics!$AK$2:$AK$167,economics!$AJ$2:$AJ$167,TRUE)))+$CR12*(_xlfn.NORM.DIST(BE$3,$CU12,0.3*$CU12,TRUE)-_xlfn.NORM.DIST(BE$30,$CU12,0.3*$CU12,TRUE))+$CS12*(_xlfn.NORM.DIST(BE$3,$CV12,0.3*$CV12,TRUE)-_xlfn.NORM.DIST(BE$30,$CV12,0.3*$CV12,TRUE))),""),IF($C12&gt;0,summary!$C$10/28.8/0.947817,""))</f>
        <v/>
      </c>
      <c r="BF41">
        <f t="array" ref="BF41">IF($D12,IFERROR((SUMPRODUCT((economics!$AG$2:$AG$167=$B41)*(economics!$D$2:$D$167="whr")*economics!$AH$2:$AH$167*(_xlfn.NORM.DIST(BF$3,economics!$AK$2:$AK$167,economics!$AJ$2:$AJ$167,TRUE)-_xlfn.NORM.DIST(BF$30,economics!$AK$2:$AK$167,economics!$AJ$2:$AJ$167,TRUE))*economics!$AM$2:$AM$167)+$CR12*(_xlfn.NORM.DIST(BF$3,$CU12,0.3*$CU12,TRUE)-_xlfn.NORM.DIST(BF$30,$CU12,0.3*$CU12,TRUE))*summary!$C$7/28.8/0.947817+$CS12*(_xlfn.NORM.DIST(BF$3,$CV12,0.3*$CV12,TRUE)-_xlfn.NORM.DIST(BF$30,$CV12,0.3*$CV12,TRUE))*summary!$C$6/28.8/0.947817)/(SUMPRODUCT((economics!$AG$2:$AG$167=$B41)*(economics!$D$2:$D$167="whr")*economics!$AH$2:$AH$167*(_xlfn.NORM.DIST(BF$3,economics!$AK$2:$AK$167,economics!$AJ$2:$AJ$167,TRUE)-_xlfn.NORM.DIST(BF$30,economics!$AK$2:$AK$167,economics!$AJ$2:$AJ$167,TRUE)))+$CR12*(_xlfn.NORM.DIST(BF$3,$CU12,0.3*$CU12,TRUE)-_xlfn.NORM.DIST(BF$30,$CU12,0.3*$CU12,TRUE))+$CS12*(_xlfn.NORM.DIST(BF$3,$CV12,0.3*$CV12,TRUE)-_xlfn.NORM.DIST(BF$30,$CV12,0.3*$CV12,TRUE))),""),IF($C12&gt;0,summary!$C$10/28.8/0.947817,""))</f>
        <v/>
      </c>
      <c r="BG41">
        <f t="array" ref="BG41">IF($D12,IFERROR((SUMPRODUCT((economics!$AG$2:$AG$167=$B41)*(economics!$D$2:$D$167="whr")*economics!$AH$2:$AH$167*(_xlfn.NORM.DIST(BG$3,economics!$AK$2:$AK$167,economics!$AJ$2:$AJ$167,TRUE)-_xlfn.NORM.DIST(BG$30,economics!$AK$2:$AK$167,economics!$AJ$2:$AJ$167,TRUE))*economics!$AM$2:$AM$167)+$CR12*(_xlfn.NORM.DIST(BG$3,$CU12,0.3*$CU12,TRUE)-_xlfn.NORM.DIST(BG$30,$CU12,0.3*$CU12,TRUE))*summary!$C$7/28.8/0.947817+$CS12*(_xlfn.NORM.DIST(BG$3,$CV12,0.3*$CV12,TRUE)-_xlfn.NORM.DIST(BG$30,$CV12,0.3*$CV12,TRUE))*summary!$C$6/28.8/0.947817)/(SUMPRODUCT((economics!$AG$2:$AG$167=$B41)*(economics!$D$2:$D$167="whr")*economics!$AH$2:$AH$167*(_xlfn.NORM.DIST(BG$3,economics!$AK$2:$AK$167,economics!$AJ$2:$AJ$167,TRUE)-_xlfn.NORM.DIST(BG$30,economics!$AK$2:$AK$167,economics!$AJ$2:$AJ$167,TRUE)))+$CR12*(_xlfn.NORM.DIST(BG$3,$CU12,0.3*$CU12,TRUE)-_xlfn.NORM.DIST(BG$30,$CU12,0.3*$CU12,TRUE))+$CS12*(_xlfn.NORM.DIST(BG$3,$CV12,0.3*$CV12,TRUE)-_xlfn.NORM.DIST(BG$30,$CV12,0.3*$CV12,TRUE))),""),IF($C12&gt;0,summary!$C$10/28.8/0.947817,""))</f>
        <v/>
      </c>
      <c r="BH41">
        <f t="array" ref="BH41">IF($D12,IFERROR((SUMPRODUCT((economics!$AG$2:$AG$167=$B41)*(economics!$D$2:$D$167="whr")*economics!$AH$2:$AH$167*(_xlfn.NORM.DIST(BH$3,economics!$AK$2:$AK$167,economics!$AJ$2:$AJ$167,TRUE)-_xlfn.NORM.DIST(BH$30,economics!$AK$2:$AK$167,economics!$AJ$2:$AJ$167,TRUE))*economics!$AM$2:$AM$167)+$CR12*(_xlfn.NORM.DIST(BH$3,$CU12,0.3*$CU12,TRUE)-_xlfn.NORM.DIST(BH$30,$CU12,0.3*$CU12,TRUE))*summary!$C$7/28.8/0.947817+$CS12*(_xlfn.NORM.DIST(BH$3,$CV12,0.3*$CV12,TRUE)-_xlfn.NORM.DIST(BH$30,$CV12,0.3*$CV12,TRUE))*summary!$C$6/28.8/0.947817)/(SUMPRODUCT((economics!$AG$2:$AG$167=$B41)*(economics!$D$2:$D$167="whr")*economics!$AH$2:$AH$167*(_xlfn.NORM.DIST(BH$3,economics!$AK$2:$AK$167,economics!$AJ$2:$AJ$167,TRUE)-_xlfn.NORM.DIST(BH$30,economics!$AK$2:$AK$167,economics!$AJ$2:$AJ$167,TRUE)))+$CR12*(_xlfn.NORM.DIST(BH$3,$CU12,0.3*$CU12,TRUE)-_xlfn.NORM.DIST(BH$30,$CU12,0.3*$CU12,TRUE))+$CS12*(_xlfn.NORM.DIST(BH$3,$CV12,0.3*$CV12,TRUE)-_xlfn.NORM.DIST(BH$30,$CV12,0.3*$CV12,TRUE))),""),IF($C12&gt;0,summary!$C$10/28.8/0.947817,""))</f>
        <v/>
      </c>
      <c r="BI41">
        <f t="array" ref="BI41">IF($D12,IFERROR((SUMPRODUCT((economics!$AG$2:$AG$167=$B41)*(economics!$D$2:$D$167="whr")*economics!$AH$2:$AH$167*(_xlfn.NORM.DIST(BI$3,economics!$AK$2:$AK$167,economics!$AJ$2:$AJ$167,TRUE)-_xlfn.NORM.DIST(BI$30,economics!$AK$2:$AK$167,economics!$AJ$2:$AJ$167,TRUE))*economics!$AM$2:$AM$167)+$CR12*(_xlfn.NORM.DIST(BI$3,$CU12,0.3*$CU12,TRUE)-_xlfn.NORM.DIST(BI$30,$CU12,0.3*$CU12,TRUE))*summary!$C$7/28.8/0.947817+$CS12*(_xlfn.NORM.DIST(BI$3,$CV12,0.3*$CV12,TRUE)-_xlfn.NORM.DIST(BI$30,$CV12,0.3*$CV12,TRUE))*summary!$C$6/28.8/0.947817)/(SUMPRODUCT((economics!$AG$2:$AG$167=$B41)*(economics!$D$2:$D$167="whr")*economics!$AH$2:$AH$167*(_xlfn.NORM.DIST(BI$3,economics!$AK$2:$AK$167,economics!$AJ$2:$AJ$167,TRUE)-_xlfn.NORM.DIST(BI$30,economics!$AK$2:$AK$167,economics!$AJ$2:$AJ$167,TRUE)))+$CR12*(_xlfn.NORM.DIST(BI$3,$CU12,0.3*$CU12,TRUE)-_xlfn.NORM.DIST(BI$30,$CU12,0.3*$CU12,TRUE))+$CS12*(_xlfn.NORM.DIST(BI$3,$CV12,0.3*$CV12,TRUE)-_xlfn.NORM.DIST(BI$30,$CV12,0.3*$CV12,TRUE))),""),IF($C12&gt;0,summary!$C$10/28.8/0.947817,""))</f>
        <v/>
      </c>
      <c r="BJ41">
        <f t="array" ref="BJ41">IF($D12,IFERROR((SUMPRODUCT((economics!$AG$2:$AG$167=$B41)*(economics!$D$2:$D$167="whr")*economics!$AH$2:$AH$167*(_xlfn.NORM.DIST(BJ$3,economics!$AK$2:$AK$167,economics!$AJ$2:$AJ$167,TRUE)-_xlfn.NORM.DIST(BJ$30,economics!$AK$2:$AK$167,economics!$AJ$2:$AJ$167,TRUE))*economics!$AM$2:$AM$167)+$CR12*(_xlfn.NORM.DIST(BJ$3,$CU12,0.3*$CU12,TRUE)-_xlfn.NORM.DIST(BJ$30,$CU12,0.3*$CU12,TRUE))*summary!$C$7/28.8/0.947817+$CS12*(_xlfn.NORM.DIST(BJ$3,$CV12,0.3*$CV12,TRUE)-_xlfn.NORM.DIST(BJ$30,$CV12,0.3*$CV12,TRUE))*summary!$C$6/28.8/0.947817)/(SUMPRODUCT((economics!$AG$2:$AG$167=$B41)*(economics!$D$2:$D$167="whr")*economics!$AH$2:$AH$167*(_xlfn.NORM.DIST(BJ$3,economics!$AK$2:$AK$167,economics!$AJ$2:$AJ$167,TRUE)-_xlfn.NORM.DIST(BJ$30,economics!$AK$2:$AK$167,economics!$AJ$2:$AJ$167,TRUE)))+$CR12*(_xlfn.NORM.DIST(BJ$3,$CU12,0.3*$CU12,TRUE)-_xlfn.NORM.DIST(BJ$30,$CU12,0.3*$CU12,TRUE))+$CS12*(_xlfn.NORM.DIST(BJ$3,$CV12,0.3*$CV12,TRUE)-_xlfn.NORM.DIST(BJ$30,$CV12,0.3*$CV12,TRUE))),""),IF($C12&gt;0,summary!$C$10/28.8/0.947817,""))</f>
        <v/>
      </c>
      <c r="BK41">
        <f t="array" ref="BK41">IF($D12,IFERROR((SUMPRODUCT((economics!$AG$2:$AG$167=$B41)*(economics!$D$2:$D$167="whr")*economics!$AH$2:$AH$167*(_xlfn.NORM.DIST(BK$3,economics!$AK$2:$AK$167,economics!$AJ$2:$AJ$167,TRUE)-_xlfn.NORM.DIST(BK$30,economics!$AK$2:$AK$167,economics!$AJ$2:$AJ$167,TRUE))*economics!$AM$2:$AM$167)+$CR12*(_xlfn.NORM.DIST(BK$3,$CU12,0.3*$CU12,TRUE)-_xlfn.NORM.DIST(BK$30,$CU12,0.3*$CU12,TRUE))*summary!$C$7/28.8/0.947817+$CS12*(_xlfn.NORM.DIST(BK$3,$CV12,0.3*$CV12,TRUE)-_xlfn.NORM.DIST(BK$30,$CV12,0.3*$CV12,TRUE))*summary!$C$6/28.8/0.947817)/(SUMPRODUCT((economics!$AG$2:$AG$167=$B41)*(economics!$D$2:$D$167="whr")*economics!$AH$2:$AH$167*(_xlfn.NORM.DIST(BK$3,economics!$AK$2:$AK$167,economics!$AJ$2:$AJ$167,TRUE)-_xlfn.NORM.DIST(BK$30,economics!$AK$2:$AK$167,economics!$AJ$2:$AJ$167,TRUE)))+$CR12*(_xlfn.NORM.DIST(BK$3,$CU12,0.3*$CU12,TRUE)-_xlfn.NORM.DIST(BK$30,$CU12,0.3*$CU12,TRUE))+$CS12*(_xlfn.NORM.DIST(BK$3,$CV12,0.3*$CV12,TRUE)-_xlfn.NORM.DIST(BK$30,$CV12,0.3*$CV12,TRUE))),""),IF($C12&gt;0,summary!$C$10/28.8/0.947817,""))</f>
        <v/>
      </c>
      <c r="BL41">
        <f t="array" ref="BL41">IF($D12,IFERROR((SUMPRODUCT((economics!$AG$2:$AG$167=$B41)*(economics!$D$2:$D$167="whr")*economics!$AH$2:$AH$167*(_xlfn.NORM.DIST(BL$3,economics!$AK$2:$AK$167,economics!$AJ$2:$AJ$167,TRUE)-_xlfn.NORM.DIST(BL$30,economics!$AK$2:$AK$167,economics!$AJ$2:$AJ$167,TRUE))*economics!$AM$2:$AM$167)+$CR12*(_xlfn.NORM.DIST(BL$3,$CU12,0.3*$CU12,TRUE)-_xlfn.NORM.DIST(BL$30,$CU12,0.3*$CU12,TRUE))*summary!$C$7/28.8/0.947817+$CS12*(_xlfn.NORM.DIST(BL$3,$CV12,0.3*$CV12,TRUE)-_xlfn.NORM.DIST(BL$30,$CV12,0.3*$CV12,TRUE))*summary!$C$6/28.8/0.947817)/(SUMPRODUCT((economics!$AG$2:$AG$167=$B41)*(economics!$D$2:$D$167="whr")*economics!$AH$2:$AH$167*(_xlfn.NORM.DIST(BL$3,economics!$AK$2:$AK$167,economics!$AJ$2:$AJ$167,TRUE)-_xlfn.NORM.DIST(BL$30,economics!$AK$2:$AK$167,economics!$AJ$2:$AJ$167,TRUE)))+$CR12*(_xlfn.NORM.DIST(BL$3,$CU12,0.3*$CU12,TRUE)-_xlfn.NORM.DIST(BL$30,$CU12,0.3*$CU12,TRUE))+$CS12*(_xlfn.NORM.DIST(BL$3,$CV12,0.3*$CV12,TRUE)-_xlfn.NORM.DIST(BL$30,$CV12,0.3*$CV12,TRUE))),""),IF($C12&gt;0,summary!$C$10/28.8/0.947817,""))</f>
        <v/>
      </c>
      <c r="BM41">
        <f t="array" ref="BM41">IF($D12,IFERROR((SUMPRODUCT((economics!$AG$2:$AG$167=$B41)*(economics!$D$2:$D$167="whr")*economics!$AH$2:$AH$167*(_xlfn.NORM.DIST(BM$3,economics!$AK$2:$AK$167,economics!$AJ$2:$AJ$167,TRUE)-_xlfn.NORM.DIST(BM$30,economics!$AK$2:$AK$167,economics!$AJ$2:$AJ$167,TRUE))*economics!$AM$2:$AM$167)+$CR12*(_xlfn.NORM.DIST(BM$3,$CU12,0.3*$CU12,TRUE)-_xlfn.NORM.DIST(BM$30,$CU12,0.3*$CU12,TRUE))*summary!$C$7/28.8/0.947817+$CS12*(_xlfn.NORM.DIST(BM$3,$CV12,0.3*$CV12,TRUE)-_xlfn.NORM.DIST(BM$30,$CV12,0.3*$CV12,TRUE))*summary!$C$6/28.8/0.947817)/(SUMPRODUCT((economics!$AG$2:$AG$167=$B41)*(economics!$D$2:$D$167="whr")*economics!$AH$2:$AH$167*(_xlfn.NORM.DIST(BM$3,economics!$AK$2:$AK$167,economics!$AJ$2:$AJ$167,TRUE)-_xlfn.NORM.DIST(BM$30,economics!$AK$2:$AK$167,economics!$AJ$2:$AJ$167,TRUE)))+$CR12*(_xlfn.NORM.DIST(BM$3,$CU12,0.3*$CU12,TRUE)-_xlfn.NORM.DIST(BM$30,$CU12,0.3*$CU12,TRUE))+$CS12*(_xlfn.NORM.DIST(BM$3,$CV12,0.3*$CV12,TRUE)-_xlfn.NORM.DIST(BM$30,$CV12,0.3*$CV12,TRUE))),""),IF($C12&gt;0,summary!$C$10/28.8/0.947817,""))</f>
        <v/>
      </c>
      <c r="BN41">
        <f t="array" ref="BN41">IF($D12,IFERROR((SUMPRODUCT((economics!$AG$2:$AG$167=$B41)*(economics!$D$2:$D$167="whr")*economics!$AH$2:$AH$167*(_xlfn.NORM.DIST(BN$3,economics!$AK$2:$AK$167,economics!$AJ$2:$AJ$167,TRUE)-_xlfn.NORM.DIST(BN$30,economics!$AK$2:$AK$167,economics!$AJ$2:$AJ$167,TRUE))*economics!$AM$2:$AM$167)+$CR12*(_xlfn.NORM.DIST(BN$3,$CU12,0.3*$CU12,TRUE)-_xlfn.NORM.DIST(BN$30,$CU12,0.3*$CU12,TRUE))*summary!$C$7/28.8/0.947817+$CS12*(_xlfn.NORM.DIST(BN$3,$CV12,0.3*$CV12,TRUE)-_xlfn.NORM.DIST(BN$30,$CV12,0.3*$CV12,TRUE))*summary!$C$6/28.8/0.947817)/(SUMPRODUCT((economics!$AG$2:$AG$167=$B41)*(economics!$D$2:$D$167="whr")*economics!$AH$2:$AH$167*(_xlfn.NORM.DIST(BN$3,economics!$AK$2:$AK$167,economics!$AJ$2:$AJ$167,TRUE)-_xlfn.NORM.DIST(BN$30,economics!$AK$2:$AK$167,economics!$AJ$2:$AJ$167,TRUE)))+$CR12*(_xlfn.NORM.DIST(BN$3,$CU12,0.3*$CU12,TRUE)-_xlfn.NORM.DIST(BN$30,$CU12,0.3*$CU12,TRUE))+$CS12*(_xlfn.NORM.DIST(BN$3,$CV12,0.3*$CV12,TRUE)-_xlfn.NORM.DIST(BN$30,$CV12,0.3*$CV12,TRUE))),""),IF($C12&gt;0,summary!$C$10/28.8/0.947817,""))</f>
        <v/>
      </c>
      <c r="BO41">
        <f t="array" ref="BO41">IF($D12,IFERROR((SUMPRODUCT((economics!$AG$2:$AG$167=$B41)*(economics!$D$2:$D$167="whr")*economics!$AH$2:$AH$167*(_xlfn.NORM.DIST(BO$3,economics!$AK$2:$AK$167,economics!$AJ$2:$AJ$167,TRUE)-_xlfn.NORM.DIST(BO$30,economics!$AK$2:$AK$167,economics!$AJ$2:$AJ$167,TRUE))*economics!$AM$2:$AM$167)+$CR12*(_xlfn.NORM.DIST(BO$3,$CU12,0.3*$CU12,TRUE)-_xlfn.NORM.DIST(BO$30,$CU12,0.3*$CU12,TRUE))*summary!$C$7/28.8/0.947817+$CS12*(_xlfn.NORM.DIST(BO$3,$CV12,0.3*$CV12,TRUE)-_xlfn.NORM.DIST(BO$30,$CV12,0.3*$CV12,TRUE))*summary!$C$6/28.8/0.947817)/(SUMPRODUCT((economics!$AG$2:$AG$167=$B41)*(economics!$D$2:$D$167="whr")*economics!$AH$2:$AH$167*(_xlfn.NORM.DIST(BO$3,economics!$AK$2:$AK$167,economics!$AJ$2:$AJ$167,TRUE)-_xlfn.NORM.DIST(BO$30,economics!$AK$2:$AK$167,economics!$AJ$2:$AJ$167,TRUE)))+$CR12*(_xlfn.NORM.DIST(BO$3,$CU12,0.3*$CU12,TRUE)-_xlfn.NORM.DIST(BO$30,$CU12,0.3*$CU12,TRUE))+$CS12*(_xlfn.NORM.DIST(BO$3,$CV12,0.3*$CV12,TRUE)-_xlfn.NORM.DIST(BO$30,$CV12,0.3*$CV12,TRUE))),""),IF($C12&gt;0,summary!$C$10/28.8/0.947817,""))</f>
        <v/>
      </c>
      <c r="BP41">
        <f t="array" ref="BP41">IF($D12,IFERROR((SUMPRODUCT((economics!$AG$2:$AG$167=$B41)*(economics!$D$2:$D$167="whr")*economics!$AH$2:$AH$167*(_xlfn.NORM.DIST(BP$3,economics!$AK$2:$AK$167,economics!$AJ$2:$AJ$167,TRUE)-_xlfn.NORM.DIST(BP$30,economics!$AK$2:$AK$167,economics!$AJ$2:$AJ$167,TRUE))*economics!$AM$2:$AM$167)+$CR12*(_xlfn.NORM.DIST(BP$3,$CU12,0.3*$CU12,TRUE)-_xlfn.NORM.DIST(BP$30,$CU12,0.3*$CU12,TRUE))*summary!$C$7/28.8/0.947817+$CS12*(_xlfn.NORM.DIST(BP$3,$CV12,0.3*$CV12,TRUE)-_xlfn.NORM.DIST(BP$30,$CV12,0.3*$CV12,TRUE))*summary!$C$6/28.8/0.947817)/(SUMPRODUCT((economics!$AG$2:$AG$167=$B41)*(economics!$D$2:$D$167="whr")*economics!$AH$2:$AH$167*(_xlfn.NORM.DIST(BP$3,economics!$AK$2:$AK$167,economics!$AJ$2:$AJ$167,TRUE)-_xlfn.NORM.DIST(BP$30,economics!$AK$2:$AK$167,economics!$AJ$2:$AJ$167,TRUE)))+$CR12*(_xlfn.NORM.DIST(BP$3,$CU12,0.3*$CU12,TRUE)-_xlfn.NORM.DIST(BP$30,$CU12,0.3*$CU12,TRUE))+$CS12*(_xlfn.NORM.DIST(BP$3,$CV12,0.3*$CV12,TRUE)-_xlfn.NORM.DIST(BP$30,$CV12,0.3*$CV12,TRUE))),""),IF($C12&gt;0,summary!$C$10/28.8/0.947817,""))</f>
        <v/>
      </c>
      <c r="BQ41">
        <f t="array" ref="BQ41">IF($D12,IFERROR((SUMPRODUCT((economics!$AG$2:$AG$167=$B41)*(economics!$D$2:$D$167="whr")*economics!$AH$2:$AH$167*(_xlfn.NORM.DIST(BQ$3,economics!$AK$2:$AK$167,economics!$AJ$2:$AJ$167,TRUE)-_xlfn.NORM.DIST(BQ$30,economics!$AK$2:$AK$167,economics!$AJ$2:$AJ$167,TRUE))*economics!$AM$2:$AM$167)+$CR12*(_xlfn.NORM.DIST(BQ$3,$CU12,0.3*$CU12,TRUE)-_xlfn.NORM.DIST(BQ$30,$CU12,0.3*$CU12,TRUE))*summary!$C$7/28.8/0.947817+$CS12*(_xlfn.NORM.DIST(BQ$3,$CV12,0.3*$CV12,TRUE)-_xlfn.NORM.DIST(BQ$30,$CV12,0.3*$CV12,TRUE))*summary!$C$6/28.8/0.947817)/(SUMPRODUCT((economics!$AG$2:$AG$167=$B41)*(economics!$D$2:$D$167="whr")*economics!$AH$2:$AH$167*(_xlfn.NORM.DIST(BQ$3,economics!$AK$2:$AK$167,economics!$AJ$2:$AJ$167,TRUE)-_xlfn.NORM.DIST(BQ$30,economics!$AK$2:$AK$167,economics!$AJ$2:$AJ$167,TRUE)))+$CR12*(_xlfn.NORM.DIST(BQ$3,$CU12,0.3*$CU12,TRUE)-_xlfn.NORM.DIST(BQ$30,$CU12,0.3*$CU12,TRUE))+$CS12*(_xlfn.NORM.DIST(BQ$3,$CV12,0.3*$CV12,TRUE)-_xlfn.NORM.DIST(BQ$30,$CV12,0.3*$CV12,TRUE))),""),IF($C12&gt;0,summary!$C$10/28.8/0.947817,""))</f>
        <v/>
      </c>
      <c r="BR41">
        <f t="array" ref="BR41">IF($D12,IFERROR((SUMPRODUCT((economics!$AG$2:$AG$167=$B41)*(economics!$D$2:$D$167="whr")*economics!$AH$2:$AH$167*(_xlfn.NORM.DIST(BR$3,economics!$AK$2:$AK$167,economics!$AJ$2:$AJ$167,TRUE)-_xlfn.NORM.DIST(BR$30,economics!$AK$2:$AK$167,economics!$AJ$2:$AJ$167,TRUE))*economics!$AM$2:$AM$167)+$CR12*(_xlfn.NORM.DIST(BR$3,$CU12,0.3*$CU12,TRUE)-_xlfn.NORM.DIST(BR$30,$CU12,0.3*$CU12,TRUE))*summary!$C$7/28.8/0.947817+$CS12*(_xlfn.NORM.DIST(BR$3,$CV12,0.3*$CV12,TRUE)-_xlfn.NORM.DIST(BR$30,$CV12,0.3*$CV12,TRUE))*summary!$C$6/28.8/0.947817)/(SUMPRODUCT((economics!$AG$2:$AG$167=$B41)*(economics!$D$2:$D$167="whr")*economics!$AH$2:$AH$167*(_xlfn.NORM.DIST(BR$3,economics!$AK$2:$AK$167,economics!$AJ$2:$AJ$167,TRUE)-_xlfn.NORM.DIST(BR$30,economics!$AK$2:$AK$167,economics!$AJ$2:$AJ$167,TRUE)))+$CR12*(_xlfn.NORM.DIST(BR$3,$CU12,0.3*$CU12,TRUE)-_xlfn.NORM.DIST(BR$30,$CU12,0.3*$CU12,TRUE))+$CS12*(_xlfn.NORM.DIST(BR$3,$CV12,0.3*$CV12,TRUE)-_xlfn.NORM.DIST(BR$30,$CV12,0.3*$CV12,TRUE))),""),IF($C12&gt;0,summary!$C$10/28.8/0.947817,""))</f>
        <v/>
      </c>
      <c r="BS41">
        <f t="array" ref="BS41">IF($D12,IFERROR((SUMPRODUCT((economics!$AG$2:$AG$167=$B41)*(economics!$D$2:$D$167="whr")*economics!$AH$2:$AH$167*(_xlfn.NORM.DIST(BS$3,economics!$AK$2:$AK$167,economics!$AJ$2:$AJ$167,TRUE)-_xlfn.NORM.DIST(BS$30,economics!$AK$2:$AK$167,economics!$AJ$2:$AJ$167,TRUE))*economics!$AM$2:$AM$167)+$CR12*(_xlfn.NORM.DIST(BS$3,$CU12,0.3*$CU12,TRUE)-_xlfn.NORM.DIST(BS$30,$CU12,0.3*$CU12,TRUE))*summary!$C$7/28.8/0.947817+$CS12*(_xlfn.NORM.DIST(BS$3,$CV12,0.3*$CV12,TRUE)-_xlfn.NORM.DIST(BS$30,$CV12,0.3*$CV12,TRUE))*summary!$C$6/28.8/0.947817)/(SUMPRODUCT((economics!$AG$2:$AG$167=$B41)*(economics!$D$2:$D$167="whr")*economics!$AH$2:$AH$167*(_xlfn.NORM.DIST(BS$3,economics!$AK$2:$AK$167,economics!$AJ$2:$AJ$167,TRUE)-_xlfn.NORM.DIST(BS$30,economics!$AK$2:$AK$167,economics!$AJ$2:$AJ$167,TRUE)))+$CR12*(_xlfn.NORM.DIST(BS$3,$CU12,0.3*$CU12,TRUE)-_xlfn.NORM.DIST(BS$30,$CU12,0.3*$CU12,TRUE))+$CS12*(_xlfn.NORM.DIST(BS$3,$CV12,0.3*$CV12,TRUE)-_xlfn.NORM.DIST(BS$30,$CV12,0.3*$CV12,TRUE))),""),IF($C12&gt;0,summary!$C$10/28.8/0.947817,""))</f>
        <v/>
      </c>
      <c r="BT41">
        <f t="array" ref="BT41">IF($D12,IFERROR((SUMPRODUCT((economics!$AG$2:$AG$167=$B41)*(economics!$D$2:$D$167="whr")*economics!$AH$2:$AH$167*(_xlfn.NORM.DIST(BT$3,economics!$AK$2:$AK$167,economics!$AJ$2:$AJ$167,TRUE)-_xlfn.NORM.DIST(BT$30,economics!$AK$2:$AK$167,economics!$AJ$2:$AJ$167,TRUE))*economics!$AM$2:$AM$167)+$CR12*(_xlfn.NORM.DIST(BT$3,$CU12,0.3*$CU12,TRUE)-_xlfn.NORM.DIST(BT$30,$CU12,0.3*$CU12,TRUE))*summary!$C$7/28.8/0.947817+$CS12*(_xlfn.NORM.DIST(BT$3,$CV12,0.3*$CV12,TRUE)-_xlfn.NORM.DIST(BT$30,$CV12,0.3*$CV12,TRUE))*summary!$C$6/28.8/0.947817)/(SUMPRODUCT((economics!$AG$2:$AG$167=$B41)*(economics!$D$2:$D$167="whr")*economics!$AH$2:$AH$167*(_xlfn.NORM.DIST(BT$3,economics!$AK$2:$AK$167,economics!$AJ$2:$AJ$167,TRUE)-_xlfn.NORM.DIST(BT$30,economics!$AK$2:$AK$167,economics!$AJ$2:$AJ$167,TRUE)))+$CR12*(_xlfn.NORM.DIST(BT$3,$CU12,0.3*$CU12,TRUE)-_xlfn.NORM.DIST(BT$30,$CU12,0.3*$CU12,TRUE))+$CS12*(_xlfn.NORM.DIST(BT$3,$CV12,0.3*$CV12,TRUE)-_xlfn.NORM.DIST(BT$30,$CV12,0.3*$CV12,TRUE))),""),IF($C12&gt;0,summary!$C$10/28.8/0.947817,""))</f>
        <v/>
      </c>
      <c r="BU41">
        <f t="array" ref="BU41">IF($D12,IFERROR((SUMPRODUCT((economics!$AG$2:$AG$167=$B41)*(economics!$D$2:$D$167="whr")*economics!$AH$2:$AH$167*(_xlfn.NORM.DIST(BU$3,economics!$AK$2:$AK$167,economics!$AJ$2:$AJ$167,TRUE)-_xlfn.NORM.DIST(BU$30,economics!$AK$2:$AK$167,economics!$AJ$2:$AJ$167,TRUE))*economics!$AM$2:$AM$167)+$CR12*(_xlfn.NORM.DIST(BU$3,$CU12,0.3*$CU12,TRUE)-_xlfn.NORM.DIST(BU$30,$CU12,0.3*$CU12,TRUE))*summary!$C$7/28.8/0.947817+$CS12*(_xlfn.NORM.DIST(BU$3,$CV12,0.3*$CV12,TRUE)-_xlfn.NORM.DIST(BU$30,$CV12,0.3*$CV12,TRUE))*summary!$C$6/28.8/0.947817)/(SUMPRODUCT((economics!$AG$2:$AG$167=$B41)*(economics!$D$2:$D$167="whr")*economics!$AH$2:$AH$167*(_xlfn.NORM.DIST(BU$3,economics!$AK$2:$AK$167,economics!$AJ$2:$AJ$167,TRUE)-_xlfn.NORM.DIST(BU$30,economics!$AK$2:$AK$167,economics!$AJ$2:$AJ$167,TRUE)))+$CR12*(_xlfn.NORM.DIST(BU$3,$CU12,0.3*$CU12,TRUE)-_xlfn.NORM.DIST(BU$30,$CU12,0.3*$CU12,TRUE))+$CS12*(_xlfn.NORM.DIST(BU$3,$CV12,0.3*$CV12,TRUE)-_xlfn.NORM.DIST(BU$30,$CV12,0.3*$CV12,TRUE))),""),IF($C12&gt;0,summary!$C$10/28.8/0.947817,""))</f>
        <v/>
      </c>
      <c r="BV41">
        <f t="array" ref="BV41">IF($D12,IFERROR((SUMPRODUCT((economics!$AG$2:$AG$167=$B41)*(economics!$D$2:$D$167="whr")*economics!$AH$2:$AH$167*(_xlfn.NORM.DIST(BV$3,economics!$AK$2:$AK$167,economics!$AJ$2:$AJ$167,TRUE)-_xlfn.NORM.DIST(BV$30,economics!$AK$2:$AK$167,economics!$AJ$2:$AJ$167,TRUE))*economics!$AM$2:$AM$167)+$CR12*(_xlfn.NORM.DIST(BV$3,$CU12,0.3*$CU12,TRUE)-_xlfn.NORM.DIST(BV$30,$CU12,0.3*$CU12,TRUE))*summary!$C$7/28.8/0.947817+$CS12*(_xlfn.NORM.DIST(BV$3,$CV12,0.3*$CV12,TRUE)-_xlfn.NORM.DIST(BV$30,$CV12,0.3*$CV12,TRUE))*summary!$C$6/28.8/0.947817)/(SUMPRODUCT((economics!$AG$2:$AG$167=$B41)*(economics!$D$2:$D$167="whr")*economics!$AH$2:$AH$167*(_xlfn.NORM.DIST(BV$3,economics!$AK$2:$AK$167,economics!$AJ$2:$AJ$167,TRUE)-_xlfn.NORM.DIST(BV$30,economics!$AK$2:$AK$167,economics!$AJ$2:$AJ$167,TRUE)))+$CR12*(_xlfn.NORM.DIST(BV$3,$CU12,0.3*$CU12,TRUE)-_xlfn.NORM.DIST(BV$30,$CU12,0.3*$CU12,TRUE))+$CS12*(_xlfn.NORM.DIST(BV$3,$CV12,0.3*$CV12,TRUE)-_xlfn.NORM.DIST(BV$30,$CV12,0.3*$CV12,TRUE))),""),IF($C12&gt;0,summary!$C$10/28.8/0.947817,""))</f>
        <v/>
      </c>
      <c r="BW41">
        <f t="array" ref="BW41">IF($D12,IFERROR((SUMPRODUCT((economics!$AG$2:$AG$167=$B41)*(economics!$D$2:$D$167="whr")*economics!$AH$2:$AH$167*(_xlfn.NORM.DIST(BW$3,economics!$AK$2:$AK$167,economics!$AJ$2:$AJ$167,TRUE)-_xlfn.NORM.DIST(BW$30,economics!$AK$2:$AK$167,economics!$AJ$2:$AJ$167,TRUE))*economics!$AM$2:$AM$167)+$CR12*(_xlfn.NORM.DIST(BW$3,$CU12,0.3*$CU12,TRUE)-_xlfn.NORM.DIST(BW$30,$CU12,0.3*$CU12,TRUE))*summary!$C$7/28.8/0.947817+$CS12*(_xlfn.NORM.DIST(BW$3,$CV12,0.3*$CV12,TRUE)-_xlfn.NORM.DIST(BW$30,$CV12,0.3*$CV12,TRUE))*summary!$C$6/28.8/0.947817)/(SUMPRODUCT((economics!$AG$2:$AG$167=$B41)*(economics!$D$2:$D$167="whr")*economics!$AH$2:$AH$167*(_xlfn.NORM.DIST(BW$3,economics!$AK$2:$AK$167,economics!$AJ$2:$AJ$167,TRUE)-_xlfn.NORM.DIST(BW$30,economics!$AK$2:$AK$167,economics!$AJ$2:$AJ$167,TRUE)))+$CR12*(_xlfn.NORM.DIST(BW$3,$CU12,0.3*$CU12,TRUE)-_xlfn.NORM.DIST(BW$30,$CU12,0.3*$CU12,TRUE))+$CS12*(_xlfn.NORM.DIST(BW$3,$CV12,0.3*$CV12,TRUE)-_xlfn.NORM.DIST(BW$30,$CV12,0.3*$CV12,TRUE))),""),IF($C12&gt;0,summary!$C$10/28.8/0.947817,""))</f>
        <v/>
      </c>
      <c r="BX41">
        <f t="array" ref="BX41">IF($D12,IFERROR((SUMPRODUCT((economics!$AG$2:$AG$167=$B41)*(economics!$D$2:$D$167="whr")*economics!$AH$2:$AH$167*(_xlfn.NORM.DIST(BX$3,economics!$AK$2:$AK$167,economics!$AJ$2:$AJ$167,TRUE)-_xlfn.NORM.DIST(BX$30,economics!$AK$2:$AK$167,economics!$AJ$2:$AJ$167,TRUE))*economics!$AM$2:$AM$167)+$CR12*(_xlfn.NORM.DIST(BX$3,$CU12,0.3*$CU12,TRUE)-_xlfn.NORM.DIST(BX$30,$CU12,0.3*$CU12,TRUE))*summary!$C$7/28.8/0.947817+$CS12*(_xlfn.NORM.DIST(BX$3,$CV12,0.3*$CV12,TRUE)-_xlfn.NORM.DIST(BX$30,$CV12,0.3*$CV12,TRUE))*summary!$C$6/28.8/0.947817)/(SUMPRODUCT((economics!$AG$2:$AG$167=$B41)*(economics!$D$2:$D$167="whr")*economics!$AH$2:$AH$167*(_xlfn.NORM.DIST(BX$3,economics!$AK$2:$AK$167,economics!$AJ$2:$AJ$167,TRUE)-_xlfn.NORM.DIST(BX$30,economics!$AK$2:$AK$167,economics!$AJ$2:$AJ$167,TRUE)))+$CR12*(_xlfn.NORM.DIST(BX$3,$CU12,0.3*$CU12,TRUE)-_xlfn.NORM.DIST(BX$30,$CU12,0.3*$CU12,TRUE))+$CS12*(_xlfn.NORM.DIST(BX$3,$CV12,0.3*$CV12,TRUE)-_xlfn.NORM.DIST(BX$30,$CV12,0.3*$CV12,TRUE))),""),IF($C12&gt;0,summary!$C$10/28.8/0.947817,""))</f>
        <v/>
      </c>
      <c r="BY41">
        <f t="array" ref="BY41">IF($D12,IFERROR((SUMPRODUCT((economics!$AG$2:$AG$167=$B41)*(economics!$D$2:$D$167="whr")*economics!$AH$2:$AH$167*(_xlfn.NORM.DIST(BY$3,economics!$AK$2:$AK$167,economics!$AJ$2:$AJ$167,TRUE)-_xlfn.NORM.DIST(BY$30,economics!$AK$2:$AK$167,economics!$AJ$2:$AJ$167,TRUE))*economics!$AM$2:$AM$167)+$CR12*(_xlfn.NORM.DIST(BY$3,$CU12,0.3*$CU12,TRUE)-_xlfn.NORM.DIST(BY$30,$CU12,0.3*$CU12,TRUE))*summary!$C$7/28.8/0.947817+$CS12*(_xlfn.NORM.DIST(BY$3,$CV12,0.3*$CV12,TRUE)-_xlfn.NORM.DIST(BY$30,$CV12,0.3*$CV12,TRUE))*summary!$C$6/28.8/0.947817)/(SUMPRODUCT((economics!$AG$2:$AG$167=$B41)*(economics!$D$2:$D$167="whr")*economics!$AH$2:$AH$167*(_xlfn.NORM.DIST(BY$3,economics!$AK$2:$AK$167,economics!$AJ$2:$AJ$167,TRUE)-_xlfn.NORM.DIST(BY$30,economics!$AK$2:$AK$167,economics!$AJ$2:$AJ$167,TRUE)))+$CR12*(_xlfn.NORM.DIST(BY$3,$CU12,0.3*$CU12,TRUE)-_xlfn.NORM.DIST(BY$30,$CU12,0.3*$CU12,TRUE))+$CS12*(_xlfn.NORM.DIST(BY$3,$CV12,0.3*$CV12,TRUE)-_xlfn.NORM.DIST(BY$30,$CV12,0.3*$CV12,TRUE))),""),IF($C12&gt;0,summary!$C$10/28.8/0.947817,""))</f>
        <v/>
      </c>
      <c r="BZ41">
        <f t="array" ref="BZ41">IF($D12,IFERROR((SUMPRODUCT((economics!$AG$2:$AG$167=$B41)*(economics!$D$2:$D$167="whr")*economics!$AH$2:$AH$167*(_xlfn.NORM.DIST(BZ$3,economics!$AK$2:$AK$167,economics!$AJ$2:$AJ$167,TRUE)-_xlfn.NORM.DIST(BZ$30,economics!$AK$2:$AK$167,economics!$AJ$2:$AJ$167,TRUE))*economics!$AM$2:$AM$167)+$CR12*(_xlfn.NORM.DIST(BZ$3,$CU12,0.3*$CU12,TRUE)-_xlfn.NORM.DIST(BZ$30,$CU12,0.3*$CU12,TRUE))*summary!$C$7/28.8/0.947817+$CS12*(_xlfn.NORM.DIST(BZ$3,$CV12,0.3*$CV12,TRUE)-_xlfn.NORM.DIST(BZ$30,$CV12,0.3*$CV12,TRUE))*summary!$C$6/28.8/0.947817)/(SUMPRODUCT((economics!$AG$2:$AG$167=$B41)*(economics!$D$2:$D$167="whr")*economics!$AH$2:$AH$167*(_xlfn.NORM.DIST(BZ$3,economics!$AK$2:$AK$167,economics!$AJ$2:$AJ$167,TRUE)-_xlfn.NORM.DIST(BZ$30,economics!$AK$2:$AK$167,economics!$AJ$2:$AJ$167,TRUE)))+$CR12*(_xlfn.NORM.DIST(BZ$3,$CU12,0.3*$CU12,TRUE)-_xlfn.NORM.DIST(BZ$30,$CU12,0.3*$CU12,TRUE))+$CS12*(_xlfn.NORM.DIST(BZ$3,$CV12,0.3*$CV12,TRUE)-_xlfn.NORM.DIST(BZ$30,$CV12,0.3*$CV12,TRUE))),""),IF($C12&gt;0,summary!$C$10/28.8/0.947817,""))</f>
        <v/>
      </c>
      <c r="CA41">
        <f t="array" ref="CA41">IF($D12,IFERROR((SUMPRODUCT((economics!$AG$2:$AG$167=$B41)*(economics!$D$2:$D$167="whr")*economics!$AH$2:$AH$167*(_xlfn.NORM.DIST(CA$3,economics!$AK$2:$AK$167,economics!$AJ$2:$AJ$167,TRUE)-_xlfn.NORM.DIST(CA$30,economics!$AK$2:$AK$167,economics!$AJ$2:$AJ$167,TRUE))*economics!$AM$2:$AM$167)+$CR12*(_xlfn.NORM.DIST(CA$3,$CU12,0.3*$CU12,TRUE)-_xlfn.NORM.DIST(CA$30,$CU12,0.3*$CU12,TRUE))*summary!$C$7/28.8/0.947817+$CS12*(_xlfn.NORM.DIST(CA$3,$CV12,0.3*$CV12,TRUE)-_xlfn.NORM.DIST(CA$30,$CV12,0.3*$CV12,TRUE))*summary!$C$6/28.8/0.947817)/(SUMPRODUCT((economics!$AG$2:$AG$167=$B41)*(economics!$D$2:$D$167="whr")*economics!$AH$2:$AH$167*(_xlfn.NORM.DIST(CA$3,economics!$AK$2:$AK$167,economics!$AJ$2:$AJ$167,TRUE)-_xlfn.NORM.DIST(CA$30,economics!$AK$2:$AK$167,economics!$AJ$2:$AJ$167,TRUE)))+$CR12*(_xlfn.NORM.DIST(CA$3,$CU12,0.3*$CU12,TRUE)-_xlfn.NORM.DIST(CA$30,$CU12,0.3*$CU12,TRUE))+$CS12*(_xlfn.NORM.DIST(CA$3,$CV12,0.3*$CV12,TRUE)-_xlfn.NORM.DIST(CA$30,$CV12,0.3*$CV12,TRUE))),""),IF($C12&gt;0,summary!$C$10/28.8/0.947817,""))</f>
        <v/>
      </c>
      <c r="CB41">
        <f t="array" ref="CB41">IF($D12,IFERROR((SUMPRODUCT((economics!$AG$2:$AG$167=$B41)*(economics!$D$2:$D$167="whr")*economics!$AH$2:$AH$167*(_xlfn.NORM.DIST(CB$3,economics!$AK$2:$AK$167,economics!$AJ$2:$AJ$167,TRUE)-_xlfn.NORM.DIST(CB$30,economics!$AK$2:$AK$167,economics!$AJ$2:$AJ$167,TRUE))*economics!$AM$2:$AM$167)+$CR12*(_xlfn.NORM.DIST(CB$3,$CU12,0.3*$CU12,TRUE)-_xlfn.NORM.DIST(CB$30,$CU12,0.3*$CU12,TRUE))*summary!$C$7/28.8/0.947817+$CS12*(_xlfn.NORM.DIST(CB$3,$CV12,0.3*$CV12,TRUE)-_xlfn.NORM.DIST(CB$30,$CV12,0.3*$CV12,TRUE))*summary!$C$6/28.8/0.947817)/(SUMPRODUCT((economics!$AG$2:$AG$167=$B41)*(economics!$D$2:$D$167="whr")*economics!$AH$2:$AH$167*(_xlfn.NORM.DIST(CB$3,economics!$AK$2:$AK$167,economics!$AJ$2:$AJ$167,TRUE)-_xlfn.NORM.DIST(CB$30,economics!$AK$2:$AK$167,economics!$AJ$2:$AJ$167,TRUE)))+$CR12*(_xlfn.NORM.DIST(CB$3,$CU12,0.3*$CU12,TRUE)-_xlfn.NORM.DIST(CB$30,$CU12,0.3*$CU12,TRUE))+$CS12*(_xlfn.NORM.DIST(CB$3,$CV12,0.3*$CV12,TRUE)-_xlfn.NORM.DIST(CB$30,$CV12,0.3*$CV12,TRUE))),""),IF($C12&gt;0,summary!$C$10/28.8/0.947817,""))</f>
        <v/>
      </c>
      <c r="CC41">
        <f t="array" ref="CC41">IF($D12,IFERROR((SUMPRODUCT((economics!$AG$2:$AG$167=$B41)*(economics!$D$2:$D$167="whr")*economics!$AH$2:$AH$167*(_xlfn.NORM.DIST(CC$3,economics!$AK$2:$AK$167,economics!$AJ$2:$AJ$167,TRUE)-_xlfn.NORM.DIST(CC$30,economics!$AK$2:$AK$167,economics!$AJ$2:$AJ$167,TRUE))*economics!$AM$2:$AM$167)+$CR12*(_xlfn.NORM.DIST(CC$3,$CU12,0.3*$CU12,TRUE)-_xlfn.NORM.DIST(CC$30,$CU12,0.3*$CU12,TRUE))*summary!$C$7/28.8/0.947817+$CS12*(_xlfn.NORM.DIST(CC$3,$CV12,0.3*$CV12,TRUE)-_xlfn.NORM.DIST(CC$30,$CV12,0.3*$CV12,TRUE))*summary!$C$6/28.8/0.947817)/(SUMPRODUCT((economics!$AG$2:$AG$167=$B41)*(economics!$D$2:$D$167="whr")*economics!$AH$2:$AH$167*(_xlfn.NORM.DIST(CC$3,economics!$AK$2:$AK$167,economics!$AJ$2:$AJ$167,TRUE)-_xlfn.NORM.DIST(CC$30,economics!$AK$2:$AK$167,economics!$AJ$2:$AJ$167,TRUE)))+$CR12*(_xlfn.NORM.DIST(CC$3,$CU12,0.3*$CU12,TRUE)-_xlfn.NORM.DIST(CC$30,$CU12,0.3*$CU12,TRUE))+$CS12*(_xlfn.NORM.DIST(CC$3,$CV12,0.3*$CV12,TRUE)-_xlfn.NORM.DIST(CC$30,$CV12,0.3*$CV12,TRUE))),""),IF($C12&gt;0,summary!$C$10/28.8/0.947817,""))</f>
        <v/>
      </c>
      <c r="CD41">
        <f t="array" ref="CD41">IF($D12,IFERROR((SUMPRODUCT((economics!$AG$2:$AG$167=$B41)*(economics!$D$2:$D$167="whr")*economics!$AH$2:$AH$167*(_xlfn.NORM.DIST(CD$3,economics!$AK$2:$AK$167,economics!$AJ$2:$AJ$167,TRUE)-_xlfn.NORM.DIST(CD$30,economics!$AK$2:$AK$167,economics!$AJ$2:$AJ$167,TRUE))*economics!$AM$2:$AM$167)+$CR12*(_xlfn.NORM.DIST(CD$3,$CU12,0.3*$CU12,TRUE)-_xlfn.NORM.DIST(CD$30,$CU12,0.3*$CU12,TRUE))*summary!$C$7/28.8/0.947817+$CS12*(_xlfn.NORM.DIST(CD$3,$CV12,0.3*$CV12,TRUE)-_xlfn.NORM.DIST(CD$30,$CV12,0.3*$CV12,TRUE))*summary!$C$6/28.8/0.947817)/(SUMPRODUCT((economics!$AG$2:$AG$167=$B41)*(economics!$D$2:$D$167="whr")*economics!$AH$2:$AH$167*(_xlfn.NORM.DIST(CD$3,economics!$AK$2:$AK$167,economics!$AJ$2:$AJ$167,TRUE)-_xlfn.NORM.DIST(CD$30,economics!$AK$2:$AK$167,economics!$AJ$2:$AJ$167,TRUE)))+$CR12*(_xlfn.NORM.DIST(CD$3,$CU12,0.3*$CU12,TRUE)-_xlfn.NORM.DIST(CD$30,$CU12,0.3*$CU12,TRUE))+$CS12*(_xlfn.NORM.DIST(CD$3,$CV12,0.3*$CV12,TRUE)-_xlfn.NORM.DIST(CD$30,$CV12,0.3*$CV12,TRUE))),""),IF($C12&gt;0,summary!$C$10/28.8/0.947817,""))</f>
        <v/>
      </c>
      <c r="CE41">
        <f t="array" ref="CE41">IF($D12,IFERROR((SUMPRODUCT((economics!$AG$2:$AG$167=$B41)*(economics!$D$2:$D$167="whr")*economics!$AH$2:$AH$167*(_xlfn.NORM.DIST(CE$3,economics!$AK$2:$AK$167,economics!$AJ$2:$AJ$167,TRUE)-_xlfn.NORM.DIST(CE$30,economics!$AK$2:$AK$167,economics!$AJ$2:$AJ$167,TRUE))*economics!$AM$2:$AM$167)+$CR12*(_xlfn.NORM.DIST(CE$3,$CU12,0.3*$CU12,TRUE)-_xlfn.NORM.DIST(CE$30,$CU12,0.3*$CU12,TRUE))*summary!$C$7/28.8/0.947817+$CS12*(_xlfn.NORM.DIST(CE$3,$CV12,0.3*$CV12,TRUE)-_xlfn.NORM.DIST(CE$30,$CV12,0.3*$CV12,TRUE))*summary!$C$6/28.8/0.947817)/(SUMPRODUCT((economics!$AG$2:$AG$167=$B41)*(economics!$D$2:$D$167="whr")*economics!$AH$2:$AH$167*(_xlfn.NORM.DIST(CE$3,economics!$AK$2:$AK$167,economics!$AJ$2:$AJ$167,TRUE)-_xlfn.NORM.DIST(CE$30,economics!$AK$2:$AK$167,economics!$AJ$2:$AJ$167,TRUE)))+$CR12*(_xlfn.NORM.DIST(CE$3,$CU12,0.3*$CU12,TRUE)-_xlfn.NORM.DIST(CE$30,$CU12,0.3*$CU12,TRUE))+$CS12*(_xlfn.NORM.DIST(CE$3,$CV12,0.3*$CV12,TRUE)-_xlfn.NORM.DIST(CE$30,$CV12,0.3*$CV12,TRUE))),""),IF($C12&gt;0,summary!$C$10/28.8/0.947817,""))</f>
        <v/>
      </c>
      <c r="CF41">
        <f t="array" ref="CF41">IF($D12,IFERROR((SUMPRODUCT((economics!$AG$2:$AG$167=$B41)*(economics!$D$2:$D$167="whr")*economics!$AH$2:$AH$167*(_xlfn.NORM.DIST(CF$3,economics!$AK$2:$AK$167,economics!$AJ$2:$AJ$167,TRUE)-_xlfn.NORM.DIST(CF$30,economics!$AK$2:$AK$167,economics!$AJ$2:$AJ$167,TRUE))*economics!$AM$2:$AM$167)+$CR12*(_xlfn.NORM.DIST(CF$3,$CU12,0.3*$CU12,TRUE)-_xlfn.NORM.DIST(CF$30,$CU12,0.3*$CU12,TRUE))*summary!$C$7/28.8/0.947817+$CS12*(_xlfn.NORM.DIST(CF$3,$CV12,0.3*$CV12,TRUE)-_xlfn.NORM.DIST(CF$30,$CV12,0.3*$CV12,TRUE))*summary!$C$6/28.8/0.947817)/(SUMPRODUCT((economics!$AG$2:$AG$167=$B41)*(economics!$D$2:$D$167="whr")*economics!$AH$2:$AH$167*(_xlfn.NORM.DIST(CF$3,economics!$AK$2:$AK$167,economics!$AJ$2:$AJ$167,TRUE)-_xlfn.NORM.DIST(CF$30,economics!$AK$2:$AK$167,economics!$AJ$2:$AJ$167,TRUE)))+$CR12*(_xlfn.NORM.DIST(CF$3,$CU12,0.3*$CU12,TRUE)-_xlfn.NORM.DIST(CF$30,$CU12,0.3*$CU12,TRUE))+$CS12*(_xlfn.NORM.DIST(CF$3,$CV12,0.3*$CV12,TRUE)-_xlfn.NORM.DIST(CF$30,$CV12,0.3*$CV12,TRUE))),""),IF($C12&gt;0,summary!$C$10/28.8/0.947817,""))</f>
        <v/>
      </c>
      <c r="CG41">
        <f t="array" ref="CG41">IF($D12,IFERROR((SUMPRODUCT((economics!$AG$2:$AG$167=$B41)*(economics!$D$2:$D$167="whr")*economics!$AH$2:$AH$167*(_xlfn.NORM.DIST(CG$3,economics!$AK$2:$AK$167,economics!$AJ$2:$AJ$167,TRUE)-_xlfn.NORM.DIST(CG$30,economics!$AK$2:$AK$167,economics!$AJ$2:$AJ$167,TRUE))*economics!$AM$2:$AM$167)+$CR12*(_xlfn.NORM.DIST(CG$3,$CU12,0.3*$CU12,TRUE)-_xlfn.NORM.DIST(CG$30,$CU12,0.3*$CU12,TRUE))*summary!$C$7/28.8/0.947817+$CS12*(_xlfn.NORM.DIST(CG$3,$CV12,0.3*$CV12,TRUE)-_xlfn.NORM.DIST(CG$30,$CV12,0.3*$CV12,TRUE))*summary!$C$6/28.8/0.947817)/(SUMPRODUCT((economics!$AG$2:$AG$167=$B41)*(economics!$D$2:$D$167="whr")*economics!$AH$2:$AH$167*(_xlfn.NORM.DIST(CG$3,economics!$AK$2:$AK$167,economics!$AJ$2:$AJ$167,TRUE)-_xlfn.NORM.DIST(CG$30,economics!$AK$2:$AK$167,economics!$AJ$2:$AJ$167,TRUE)))+$CR12*(_xlfn.NORM.DIST(CG$3,$CU12,0.3*$CU12,TRUE)-_xlfn.NORM.DIST(CG$30,$CU12,0.3*$CU12,TRUE))+$CS12*(_xlfn.NORM.DIST(CG$3,$CV12,0.3*$CV12,TRUE)-_xlfn.NORM.DIST(CG$30,$CV12,0.3*$CV12,TRUE))),""),IF($C12&gt;0,summary!$C$10/28.8/0.947817,""))</f>
        <v/>
      </c>
      <c r="CH41">
        <f t="array" ref="CH41">IF($D12,IFERROR((SUMPRODUCT((economics!$AG$2:$AG$167=$B41)*(economics!$D$2:$D$167="whr")*economics!$AH$2:$AH$167*(_xlfn.NORM.DIST(CH$3,economics!$AK$2:$AK$167,economics!$AJ$2:$AJ$167,TRUE)-_xlfn.NORM.DIST(CH$30,economics!$AK$2:$AK$167,economics!$AJ$2:$AJ$167,TRUE))*economics!$AM$2:$AM$167)+$CR12*(_xlfn.NORM.DIST(CH$3,$CU12,0.3*$CU12,TRUE)-_xlfn.NORM.DIST(CH$30,$CU12,0.3*$CU12,TRUE))*summary!$C$7/28.8/0.947817+$CS12*(_xlfn.NORM.DIST(CH$3,$CV12,0.3*$CV12,TRUE)-_xlfn.NORM.DIST(CH$30,$CV12,0.3*$CV12,TRUE))*summary!$C$6/28.8/0.947817)/(SUMPRODUCT((economics!$AG$2:$AG$167=$B41)*(economics!$D$2:$D$167="whr")*economics!$AH$2:$AH$167*(_xlfn.NORM.DIST(CH$3,economics!$AK$2:$AK$167,economics!$AJ$2:$AJ$167,TRUE)-_xlfn.NORM.DIST(CH$30,economics!$AK$2:$AK$167,economics!$AJ$2:$AJ$167,TRUE)))+$CR12*(_xlfn.NORM.DIST(CH$3,$CU12,0.3*$CU12,TRUE)-_xlfn.NORM.DIST(CH$30,$CU12,0.3*$CU12,TRUE))+$CS12*(_xlfn.NORM.DIST(CH$3,$CV12,0.3*$CV12,TRUE)-_xlfn.NORM.DIST(CH$30,$CV12,0.3*$CV12,TRUE))),""),IF($C12&gt;0,summary!$C$10/28.8/0.947817,""))</f>
        <v/>
      </c>
    </row>
    <row r="42">
      <c r="A42">
        <f>A13</f>
        <v/>
      </c>
      <c r="B42">
        <f>B13</f>
        <v/>
      </c>
      <c r="E42">
        <f t="array" ref="E42">IF($D13,IFERROR((SUMPRODUCT((economics!$AG$2:$AG$167=$B42)*(economics!$D$2:$D$167="whr")*economics!$AH$2:$AH$167*(_xlfn.NORM.DIST(E$3,economics!$AK$2:$AK$167,economics!$AJ$2:$AJ$167,TRUE)-_xlfn.NORM.DIST(E$30,economics!$AK$2:$AK$167,economics!$AJ$2:$AJ$167,TRUE))*economics!$AM$2:$AM$167)+$CR13*(_xlfn.NORM.DIST(E$3,$CU13,0.3*$CU13,TRUE)-_xlfn.NORM.DIST(E$30,$CU13,0.3*$CU13,TRUE))*summary!$C$7/28.8/0.947817+$CS13*(_xlfn.NORM.DIST(E$3,$CV13,0.3*$CV13,TRUE)-_xlfn.NORM.DIST(E$30,$CV13,0.3*$CV13,TRUE))*summary!$C$6/28.8/0.947817)/(SUMPRODUCT((economics!$AG$2:$AG$167=$B42)*(economics!$D$2:$D$167="whr")*economics!$AH$2:$AH$167*(_xlfn.NORM.DIST(E$3,economics!$AK$2:$AK$167,economics!$AJ$2:$AJ$167,TRUE)-_xlfn.NORM.DIST(E$30,economics!$AK$2:$AK$167,economics!$AJ$2:$AJ$167,TRUE)))+$CR13*(_xlfn.NORM.DIST(E$3,$CU13,0.3*$CU13,TRUE)-_xlfn.NORM.DIST(E$30,$CU13,0.3*$CU13,TRUE))+$CS13*(_xlfn.NORM.DIST(E$3,$CV13,0.3*$CV13,TRUE)-_xlfn.NORM.DIST(E$30,$CV13,0.3*$CV13,TRUE))),""),IF($C13&gt;0,summary!$C$10/28.8/0.947817,""))</f>
        <v/>
      </c>
      <c r="F42">
        <f t="array" ref="F42">IF($D13,IFERROR((SUMPRODUCT((economics!$AG$2:$AG$167=$B42)*(economics!$D$2:$D$167="whr")*economics!$AH$2:$AH$167*(_xlfn.NORM.DIST(F$3,economics!$AK$2:$AK$167,economics!$AJ$2:$AJ$167,TRUE)-_xlfn.NORM.DIST(F$30,economics!$AK$2:$AK$167,economics!$AJ$2:$AJ$167,TRUE))*economics!$AM$2:$AM$167)+$CR13*(_xlfn.NORM.DIST(F$3,$CU13,0.3*$CU13,TRUE)-_xlfn.NORM.DIST(F$30,$CU13,0.3*$CU13,TRUE))*summary!$C$7/28.8/0.947817+$CS13*(_xlfn.NORM.DIST(F$3,$CV13,0.3*$CV13,TRUE)-_xlfn.NORM.DIST(F$30,$CV13,0.3*$CV13,TRUE))*summary!$C$6/28.8/0.947817)/(SUMPRODUCT((economics!$AG$2:$AG$167=$B42)*(economics!$D$2:$D$167="whr")*economics!$AH$2:$AH$167*(_xlfn.NORM.DIST(F$3,economics!$AK$2:$AK$167,economics!$AJ$2:$AJ$167,TRUE)-_xlfn.NORM.DIST(F$30,economics!$AK$2:$AK$167,economics!$AJ$2:$AJ$167,TRUE)))+$CR13*(_xlfn.NORM.DIST(F$3,$CU13,0.3*$CU13,TRUE)-_xlfn.NORM.DIST(F$30,$CU13,0.3*$CU13,TRUE))+$CS13*(_xlfn.NORM.DIST(F$3,$CV13,0.3*$CV13,TRUE)-_xlfn.NORM.DIST(F$30,$CV13,0.3*$CV13,TRUE))),""),IF($C13&gt;0,summary!$C$10/28.8/0.947817,""))</f>
        <v/>
      </c>
      <c r="G42">
        <f t="array" ref="G42">IF($D13,IFERROR((SUMPRODUCT((economics!$AG$2:$AG$167=$B42)*(economics!$D$2:$D$167="whr")*economics!$AH$2:$AH$167*(_xlfn.NORM.DIST(G$3,economics!$AK$2:$AK$167,economics!$AJ$2:$AJ$167,TRUE)-_xlfn.NORM.DIST(G$30,economics!$AK$2:$AK$167,economics!$AJ$2:$AJ$167,TRUE))*economics!$AM$2:$AM$167)+$CR13*(_xlfn.NORM.DIST(G$3,$CU13,0.3*$CU13,TRUE)-_xlfn.NORM.DIST(G$30,$CU13,0.3*$CU13,TRUE))*summary!$C$7/28.8/0.947817+$CS13*(_xlfn.NORM.DIST(G$3,$CV13,0.3*$CV13,TRUE)-_xlfn.NORM.DIST(G$30,$CV13,0.3*$CV13,TRUE))*summary!$C$6/28.8/0.947817)/(SUMPRODUCT((economics!$AG$2:$AG$167=$B42)*(economics!$D$2:$D$167="whr")*economics!$AH$2:$AH$167*(_xlfn.NORM.DIST(G$3,economics!$AK$2:$AK$167,economics!$AJ$2:$AJ$167,TRUE)-_xlfn.NORM.DIST(G$30,economics!$AK$2:$AK$167,economics!$AJ$2:$AJ$167,TRUE)))+$CR13*(_xlfn.NORM.DIST(G$3,$CU13,0.3*$CU13,TRUE)-_xlfn.NORM.DIST(G$30,$CU13,0.3*$CU13,TRUE))+$CS13*(_xlfn.NORM.DIST(G$3,$CV13,0.3*$CV13,TRUE)-_xlfn.NORM.DIST(G$30,$CV13,0.3*$CV13,TRUE))),""),IF($C13&gt;0,summary!$C$10/28.8/0.947817,""))</f>
        <v/>
      </c>
      <c r="H42">
        <f t="array" ref="H42">IF($D13,IFERROR((SUMPRODUCT((economics!$AG$2:$AG$167=$B42)*(economics!$D$2:$D$167="whr")*economics!$AH$2:$AH$167*(_xlfn.NORM.DIST(H$3,economics!$AK$2:$AK$167,economics!$AJ$2:$AJ$167,TRUE)-_xlfn.NORM.DIST(H$30,economics!$AK$2:$AK$167,economics!$AJ$2:$AJ$167,TRUE))*economics!$AM$2:$AM$167)+$CR13*(_xlfn.NORM.DIST(H$3,$CU13,0.3*$CU13,TRUE)-_xlfn.NORM.DIST(H$30,$CU13,0.3*$CU13,TRUE))*summary!$C$7/28.8/0.947817+$CS13*(_xlfn.NORM.DIST(H$3,$CV13,0.3*$CV13,TRUE)-_xlfn.NORM.DIST(H$30,$CV13,0.3*$CV13,TRUE))*summary!$C$6/28.8/0.947817)/(SUMPRODUCT((economics!$AG$2:$AG$167=$B42)*(economics!$D$2:$D$167="whr")*economics!$AH$2:$AH$167*(_xlfn.NORM.DIST(H$3,economics!$AK$2:$AK$167,economics!$AJ$2:$AJ$167,TRUE)-_xlfn.NORM.DIST(H$30,economics!$AK$2:$AK$167,economics!$AJ$2:$AJ$167,TRUE)))+$CR13*(_xlfn.NORM.DIST(H$3,$CU13,0.3*$CU13,TRUE)-_xlfn.NORM.DIST(H$30,$CU13,0.3*$CU13,TRUE))+$CS13*(_xlfn.NORM.DIST(H$3,$CV13,0.3*$CV13,TRUE)-_xlfn.NORM.DIST(H$30,$CV13,0.3*$CV13,TRUE))),""),IF($C13&gt;0,summary!$C$10/28.8/0.947817,""))</f>
        <v/>
      </c>
      <c r="I42">
        <f t="array" ref="I42">IF($D13,IFERROR((SUMPRODUCT((economics!$AG$2:$AG$167=$B42)*(economics!$D$2:$D$167="whr")*economics!$AH$2:$AH$167*(_xlfn.NORM.DIST(I$3,economics!$AK$2:$AK$167,economics!$AJ$2:$AJ$167,TRUE)-_xlfn.NORM.DIST(I$30,economics!$AK$2:$AK$167,economics!$AJ$2:$AJ$167,TRUE))*economics!$AM$2:$AM$167)+$CR13*(_xlfn.NORM.DIST(I$3,$CU13,0.3*$CU13,TRUE)-_xlfn.NORM.DIST(I$30,$CU13,0.3*$CU13,TRUE))*summary!$C$7/28.8/0.947817+$CS13*(_xlfn.NORM.DIST(I$3,$CV13,0.3*$CV13,TRUE)-_xlfn.NORM.DIST(I$30,$CV13,0.3*$CV13,TRUE))*summary!$C$6/28.8/0.947817)/(SUMPRODUCT((economics!$AG$2:$AG$167=$B42)*(economics!$D$2:$D$167="whr")*economics!$AH$2:$AH$167*(_xlfn.NORM.DIST(I$3,economics!$AK$2:$AK$167,economics!$AJ$2:$AJ$167,TRUE)-_xlfn.NORM.DIST(I$30,economics!$AK$2:$AK$167,economics!$AJ$2:$AJ$167,TRUE)))+$CR13*(_xlfn.NORM.DIST(I$3,$CU13,0.3*$CU13,TRUE)-_xlfn.NORM.DIST(I$30,$CU13,0.3*$CU13,TRUE))+$CS13*(_xlfn.NORM.DIST(I$3,$CV13,0.3*$CV13,TRUE)-_xlfn.NORM.DIST(I$30,$CV13,0.3*$CV13,TRUE))),""),IF($C13&gt;0,summary!$C$10/28.8/0.947817,""))</f>
        <v/>
      </c>
      <c r="J42">
        <f t="array" ref="J42">IF($D13,IFERROR((SUMPRODUCT((economics!$AG$2:$AG$167=$B42)*(economics!$D$2:$D$167="whr")*economics!$AH$2:$AH$167*(_xlfn.NORM.DIST(J$3,economics!$AK$2:$AK$167,economics!$AJ$2:$AJ$167,TRUE)-_xlfn.NORM.DIST(J$30,economics!$AK$2:$AK$167,economics!$AJ$2:$AJ$167,TRUE))*economics!$AM$2:$AM$167)+$CR13*(_xlfn.NORM.DIST(J$3,$CU13,0.3*$CU13,TRUE)-_xlfn.NORM.DIST(J$30,$CU13,0.3*$CU13,TRUE))*summary!$C$7/28.8/0.947817+$CS13*(_xlfn.NORM.DIST(J$3,$CV13,0.3*$CV13,TRUE)-_xlfn.NORM.DIST(J$30,$CV13,0.3*$CV13,TRUE))*summary!$C$6/28.8/0.947817)/(SUMPRODUCT((economics!$AG$2:$AG$167=$B42)*(economics!$D$2:$D$167="whr")*economics!$AH$2:$AH$167*(_xlfn.NORM.DIST(J$3,economics!$AK$2:$AK$167,economics!$AJ$2:$AJ$167,TRUE)-_xlfn.NORM.DIST(J$30,economics!$AK$2:$AK$167,economics!$AJ$2:$AJ$167,TRUE)))+$CR13*(_xlfn.NORM.DIST(J$3,$CU13,0.3*$CU13,TRUE)-_xlfn.NORM.DIST(J$30,$CU13,0.3*$CU13,TRUE))+$CS13*(_xlfn.NORM.DIST(J$3,$CV13,0.3*$CV13,TRUE)-_xlfn.NORM.DIST(J$30,$CV13,0.3*$CV13,TRUE))),""),IF($C13&gt;0,summary!$C$10/28.8/0.947817,""))</f>
        <v/>
      </c>
      <c r="K42">
        <f t="array" ref="K42">IF($D13,IFERROR((SUMPRODUCT((economics!$AG$2:$AG$167=$B42)*(economics!$D$2:$D$167="whr")*economics!$AH$2:$AH$167*(_xlfn.NORM.DIST(K$3,economics!$AK$2:$AK$167,economics!$AJ$2:$AJ$167,TRUE)-_xlfn.NORM.DIST(K$30,economics!$AK$2:$AK$167,economics!$AJ$2:$AJ$167,TRUE))*economics!$AM$2:$AM$167)+$CR13*(_xlfn.NORM.DIST(K$3,$CU13,0.3*$CU13,TRUE)-_xlfn.NORM.DIST(K$30,$CU13,0.3*$CU13,TRUE))*summary!$C$7/28.8/0.947817+$CS13*(_xlfn.NORM.DIST(K$3,$CV13,0.3*$CV13,TRUE)-_xlfn.NORM.DIST(K$30,$CV13,0.3*$CV13,TRUE))*summary!$C$6/28.8/0.947817)/(SUMPRODUCT((economics!$AG$2:$AG$167=$B42)*(economics!$D$2:$D$167="whr")*economics!$AH$2:$AH$167*(_xlfn.NORM.DIST(K$3,economics!$AK$2:$AK$167,economics!$AJ$2:$AJ$167,TRUE)-_xlfn.NORM.DIST(K$30,economics!$AK$2:$AK$167,economics!$AJ$2:$AJ$167,TRUE)))+$CR13*(_xlfn.NORM.DIST(K$3,$CU13,0.3*$CU13,TRUE)-_xlfn.NORM.DIST(K$30,$CU13,0.3*$CU13,TRUE))+$CS13*(_xlfn.NORM.DIST(K$3,$CV13,0.3*$CV13,TRUE)-_xlfn.NORM.DIST(K$30,$CV13,0.3*$CV13,TRUE))),""),IF($C13&gt;0,summary!$C$10/28.8/0.947817,""))</f>
        <v/>
      </c>
      <c r="L42">
        <f t="array" ref="L42">IF($D13,IFERROR((SUMPRODUCT((economics!$AG$2:$AG$167=$B42)*(economics!$D$2:$D$167="whr")*economics!$AH$2:$AH$167*(_xlfn.NORM.DIST(L$3,economics!$AK$2:$AK$167,economics!$AJ$2:$AJ$167,TRUE)-_xlfn.NORM.DIST(L$30,economics!$AK$2:$AK$167,economics!$AJ$2:$AJ$167,TRUE))*economics!$AM$2:$AM$167)+$CR13*(_xlfn.NORM.DIST(L$3,$CU13,0.3*$CU13,TRUE)-_xlfn.NORM.DIST(L$30,$CU13,0.3*$CU13,TRUE))*summary!$C$7/28.8/0.947817+$CS13*(_xlfn.NORM.DIST(L$3,$CV13,0.3*$CV13,TRUE)-_xlfn.NORM.DIST(L$30,$CV13,0.3*$CV13,TRUE))*summary!$C$6/28.8/0.947817)/(SUMPRODUCT((economics!$AG$2:$AG$167=$B42)*(economics!$D$2:$D$167="whr")*economics!$AH$2:$AH$167*(_xlfn.NORM.DIST(L$3,economics!$AK$2:$AK$167,economics!$AJ$2:$AJ$167,TRUE)-_xlfn.NORM.DIST(L$30,economics!$AK$2:$AK$167,economics!$AJ$2:$AJ$167,TRUE)))+$CR13*(_xlfn.NORM.DIST(L$3,$CU13,0.3*$CU13,TRUE)-_xlfn.NORM.DIST(L$30,$CU13,0.3*$CU13,TRUE))+$CS13*(_xlfn.NORM.DIST(L$3,$CV13,0.3*$CV13,TRUE)-_xlfn.NORM.DIST(L$30,$CV13,0.3*$CV13,TRUE))),""),IF($C13&gt;0,summary!$C$10/28.8/0.947817,""))</f>
        <v/>
      </c>
      <c r="M42">
        <f t="array" ref="M42">IF($D13,IFERROR((SUMPRODUCT((economics!$AG$2:$AG$167=$B42)*(economics!$D$2:$D$167="whr")*economics!$AH$2:$AH$167*(_xlfn.NORM.DIST(M$3,economics!$AK$2:$AK$167,economics!$AJ$2:$AJ$167,TRUE)-_xlfn.NORM.DIST(M$30,economics!$AK$2:$AK$167,economics!$AJ$2:$AJ$167,TRUE))*economics!$AM$2:$AM$167)+$CR13*(_xlfn.NORM.DIST(M$3,$CU13,0.3*$CU13,TRUE)-_xlfn.NORM.DIST(M$30,$CU13,0.3*$CU13,TRUE))*summary!$C$7/28.8/0.947817+$CS13*(_xlfn.NORM.DIST(M$3,$CV13,0.3*$CV13,TRUE)-_xlfn.NORM.DIST(M$30,$CV13,0.3*$CV13,TRUE))*summary!$C$6/28.8/0.947817)/(SUMPRODUCT((economics!$AG$2:$AG$167=$B42)*(economics!$D$2:$D$167="whr")*economics!$AH$2:$AH$167*(_xlfn.NORM.DIST(M$3,economics!$AK$2:$AK$167,economics!$AJ$2:$AJ$167,TRUE)-_xlfn.NORM.DIST(M$30,economics!$AK$2:$AK$167,economics!$AJ$2:$AJ$167,TRUE)))+$CR13*(_xlfn.NORM.DIST(M$3,$CU13,0.3*$CU13,TRUE)-_xlfn.NORM.DIST(M$30,$CU13,0.3*$CU13,TRUE))+$CS13*(_xlfn.NORM.DIST(M$3,$CV13,0.3*$CV13,TRUE)-_xlfn.NORM.DIST(M$30,$CV13,0.3*$CV13,TRUE))),""),IF($C13&gt;0,summary!$C$10/28.8/0.947817,""))</f>
        <v/>
      </c>
      <c r="N42">
        <f t="array" ref="N42">IF($D13,IFERROR((SUMPRODUCT((economics!$AG$2:$AG$167=$B42)*(economics!$D$2:$D$167="whr")*economics!$AH$2:$AH$167*(_xlfn.NORM.DIST(N$3,economics!$AK$2:$AK$167,economics!$AJ$2:$AJ$167,TRUE)-_xlfn.NORM.DIST(N$30,economics!$AK$2:$AK$167,economics!$AJ$2:$AJ$167,TRUE))*economics!$AM$2:$AM$167)+$CR13*(_xlfn.NORM.DIST(N$3,$CU13,0.3*$CU13,TRUE)-_xlfn.NORM.DIST(N$30,$CU13,0.3*$CU13,TRUE))*summary!$C$7/28.8/0.947817+$CS13*(_xlfn.NORM.DIST(N$3,$CV13,0.3*$CV13,TRUE)-_xlfn.NORM.DIST(N$30,$CV13,0.3*$CV13,TRUE))*summary!$C$6/28.8/0.947817)/(SUMPRODUCT((economics!$AG$2:$AG$167=$B42)*(economics!$D$2:$D$167="whr")*economics!$AH$2:$AH$167*(_xlfn.NORM.DIST(N$3,economics!$AK$2:$AK$167,economics!$AJ$2:$AJ$167,TRUE)-_xlfn.NORM.DIST(N$30,economics!$AK$2:$AK$167,economics!$AJ$2:$AJ$167,TRUE)))+$CR13*(_xlfn.NORM.DIST(N$3,$CU13,0.3*$CU13,TRUE)-_xlfn.NORM.DIST(N$30,$CU13,0.3*$CU13,TRUE))+$CS13*(_xlfn.NORM.DIST(N$3,$CV13,0.3*$CV13,TRUE)-_xlfn.NORM.DIST(N$30,$CV13,0.3*$CV13,TRUE))),""),IF($C13&gt;0,summary!$C$10/28.8/0.947817,""))</f>
        <v/>
      </c>
      <c r="O42">
        <f t="array" ref="O42">IF($D13,IFERROR((SUMPRODUCT((economics!$AG$2:$AG$167=$B42)*(economics!$D$2:$D$167="whr")*economics!$AH$2:$AH$167*(_xlfn.NORM.DIST(O$3,economics!$AK$2:$AK$167,economics!$AJ$2:$AJ$167,TRUE)-_xlfn.NORM.DIST(O$30,economics!$AK$2:$AK$167,economics!$AJ$2:$AJ$167,TRUE))*economics!$AM$2:$AM$167)+$CR13*(_xlfn.NORM.DIST(O$3,$CU13,0.3*$CU13,TRUE)-_xlfn.NORM.DIST(O$30,$CU13,0.3*$CU13,TRUE))*summary!$C$7/28.8/0.947817+$CS13*(_xlfn.NORM.DIST(O$3,$CV13,0.3*$CV13,TRUE)-_xlfn.NORM.DIST(O$30,$CV13,0.3*$CV13,TRUE))*summary!$C$6/28.8/0.947817)/(SUMPRODUCT((economics!$AG$2:$AG$167=$B42)*(economics!$D$2:$D$167="whr")*economics!$AH$2:$AH$167*(_xlfn.NORM.DIST(O$3,economics!$AK$2:$AK$167,economics!$AJ$2:$AJ$167,TRUE)-_xlfn.NORM.DIST(O$30,economics!$AK$2:$AK$167,economics!$AJ$2:$AJ$167,TRUE)))+$CR13*(_xlfn.NORM.DIST(O$3,$CU13,0.3*$CU13,TRUE)-_xlfn.NORM.DIST(O$30,$CU13,0.3*$CU13,TRUE))+$CS13*(_xlfn.NORM.DIST(O$3,$CV13,0.3*$CV13,TRUE)-_xlfn.NORM.DIST(O$30,$CV13,0.3*$CV13,TRUE))),""),IF($C13&gt;0,summary!$C$10/28.8/0.947817,""))</f>
        <v/>
      </c>
      <c r="P42">
        <f t="array" ref="P42">IF($D13,IFERROR((SUMPRODUCT((economics!$AG$2:$AG$167=$B42)*(economics!$D$2:$D$167="whr")*economics!$AH$2:$AH$167*(_xlfn.NORM.DIST(P$3,economics!$AK$2:$AK$167,economics!$AJ$2:$AJ$167,TRUE)-_xlfn.NORM.DIST(P$30,economics!$AK$2:$AK$167,economics!$AJ$2:$AJ$167,TRUE))*economics!$AM$2:$AM$167)+$CR13*(_xlfn.NORM.DIST(P$3,$CU13,0.3*$CU13,TRUE)-_xlfn.NORM.DIST(P$30,$CU13,0.3*$CU13,TRUE))*summary!$C$7/28.8/0.947817+$CS13*(_xlfn.NORM.DIST(P$3,$CV13,0.3*$CV13,TRUE)-_xlfn.NORM.DIST(P$30,$CV13,0.3*$CV13,TRUE))*summary!$C$6/28.8/0.947817)/(SUMPRODUCT((economics!$AG$2:$AG$167=$B42)*(economics!$D$2:$D$167="whr")*economics!$AH$2:$AH$167*(_xlfn.NORM.DIST(P$3,economics!$AK$2:$AK$167,economics!$AJ$2:$AJ$167,TRUE)-_xlfn.NORM.DIST(P$30,economics!$AK$2:$AK$167,economics!$AJ$2:$AJ$167,TRUE)))+$CR13*(_xlfn.NORM.DIST(P$3,$CU13,0.3*$CU13,TRUE)-_xlfn.NORM.DIST(P$30,$CU13,0.3*$CU13,TRUE))+$CS13*(_xlfn.NORM.DIST(P$3,$CV13,0.3*$CV13,TRUE)-_xlfn.NORM.DIST(P$30,$CV13,0.3*$CV13,TRUE))),""),IF($C13&gt;0,summary!$C$10/28.8/0.947817,""))</f>
        <v/>
      </c>
      <c r="Q42">
        <f t="array" ref="Q42">IF($D13,IFERROR((SUMPRODUCT((economics!$AG$2:$AG$167=$B42)*(economics!$D$2:$D$167="whr")*economics!$AH$2:$AH$167*(_xlfn.NORM.DIST(Q$3,economics!$AK$2:$AK$167,economics!$AJ$2:$AJ$167,TRUE)-_xlfn.NORM.DIST(Q$30,economics!$AK$2:$AK$167,economics!$AJ$2:$AJ$167,TRUE))*economics!$AM$2:$AM$167)+$CR13*(_xlfn.NORM.DIST(Q$3,$CU13,0.3*$CU13,TRUE)-_xlfn.NORM.DIST(Q$30,$CU13,0.3*$CU13,TRUE))*summary!$C$7/28.8/0.947817+$CS13*(_xlfn.NORM.DIST(Q$3,$CV13,0.3*$CV13,TRUE)-_xlfn.NORM.DIST(Q$30,$CV13,0.3*$CV13,TRUE))*summary!$C$6/28.8/0.947817)/(SUMPRODUCT((economics!$AG$2:$AG$167=$B42)*(economics!$D$2:$D$167="whr")*economics!$AH$2:$AH$167*(_xlfn.NORM.DIST(Q$3,economics!$AK$2:$AK$167,economics!$AJ$2:$AJ$167,TRUE)-_xlfn.NORM.DIST(Q$30,economics!$AK$2:$AK$167,economics!$AJ$2:$AJ$167,TRUE)))+$CR13*(_xlfn.NORM.DIST(Q$3,$CU13,0.3*$CU13,TRUE)-_xlfn.NORM.DIST(Q$30,$CU13,0.3*$CU13,TRUE))+$CS13*(_xlfn.NORM.DIST(Q$3,$CV13,0.3*$CV13,TRUE)-_xlfn.NORM.DIST(Q$30,$CV13,0.3*$CV13,TRUE))),""),IF($C13&gt;0,summary!$C$10/28.8/0.947817,""))</f>
        <v/>
      </c>
      <c r="R42">
        <f t="array" ref="R42">IF($D13,IFERROR((SUMPRODUCT((economics!$AG$2:$AG$167=$B42)*(economics!$D$2:$D$167="whr")*economics!$AH$2:$AH$167*(_xlfn.NORM.DIST(R$3,economics!$AK$2:$AK$167,economics!$AJ$2:$AJ$167,TRUE)-_xlfn.NORM.DIST(R$30,economics!$AK$2:$AK$167,economics!$AJ$2:$AJ$167,TRUE))*economics!$AM$2:$AM$167)+$CR13*(_xlfn.NORM.DIST(R$3,$CU13,0.3*$CU13,TRUE)-_xlfn.NORM.DIST(R$30,$CU13,0.3*$CU13,TRUE))*summary!$C$7/28.8/0.947817+$CS13*(_xlfn.NORM.DIST(R$3,$CV13,0.3*$CV13,TRUE)-_xlfn.NORM.DIST(R$30,$CV13,0.3*$CV13,TRUE))*summary!$C$6/28.8/0.947817)/(SUMPRODUCT((economics!$AG$2:$AG$167=$B42)*(economics!$D$2:$D$167="whr")*economics!$AH$2:$AH$167*(_xlfn.NORM.DIST(R$3,economics!$AK$2:$AK$167,economics!$AJ$2:$AJ$167,TRUE)-_xlfn.NORM.DIST(R$30,economics!$AK$2:$AK$167,economics!$AJ$2:$AJ$167,TRUE)))+$CR13*(_xlfn.NORM.DIST(R$3,$CU13,0.3*$CU13,TRUE)-_xlfn.NORM.DIST(R$30,$CU13,0.3*$CU13,TRUE))+$CS13*(_xlfn.NORM.DIST(R$3,$CV13,0.3*$CV13,TRUE)-_xlfn.NORM.DIST(R$30,$CV13,0.3*$CV13,TRUE))),""),IF($C13&gt;0,summary!$C$10/28.8/0.947817,""))</f>
        <v/>
      </c>
      <c r="S42">
        <f t="array" ref="S42">IF($D13,IFERROR((SUMPRODUCT((economics!$AG$2:$AG$167=$B42)*(economics!$D$2:$D$167="whr")*economics!$AH$2:$AH$167*(_xlfn.NORM.DIST(S$3,economics!$AK$2:$AK$167,economics!$AJ$2:$AJ$167,TRUE)-_xlfn.NORM.DIST(S$30,economics!$AK$2:$AK$167,economics!$AJ$2:$AJ$167,TRUE))*economics!$AM$2:$AM$167)+$CR13*(_xlfn.NORM.DIST(S$3,$CU13,0.3*$CU13,TRUE)-_xlfn.NORM.DIST(S$30,$CU13,0.3*$CU13,TRUE))*summary!$C$7/28.8/0.947817+$CS13*(_xlfn.NORM.DIST(S$3,$CV13,0.3*$CV13,TRUE)-_xlfn.NORM.DIST(S$30,$CV13,0.3*$CV13,TRUE))*summary!$C$6/28.8/0.947817)/(SUMPRODUCT((economics!$AG$2:$AG$167=$B42)*(economics!$D$2:$D$167="whr")*economics!$AH$2:$AH$167*(_xlfn.NORM.DIST(S$3,economics!$AK$2:$AK$167,economics!$AJ$2:$AJ$167,TRUE)-_xlfn.NORM.DIST(S$30,economics!$AK$2:$AK$167,economics!$AJ$2:$AJ$167,TRUE)))+$CR13*(_xlfn.NORM.DIST(S$3,$CU13,0.3*$CU13,TRUE)-_xlfn.NORM.DIST(S$30,$CU13,0.3*$CU13,TRUE))+$CS13*(_xlfn.NORM.DIST(S$3,$CV13,0.3*$CV13,TRUE)-_xlfn.NORM.DIST(S$30,$CV13,0.3*$CV13,TRUE))),""),IF($C13&gt;0,summary!$C$10/28.8/0.947817,""))</f>
        <v/>
      </c>
      <c r="T42">
        <f t="array" ref="T42">IF($D13,IFERROR((SUMPRODUCT((economics!$AG$2:$AG$167=$B42)*(economics!$D$2:$D$167="whr")*economics!$AH$2:$AH$167*(_xlfn.NORM.DIST(T$3,economics!$AK$2:$AK$167,economics!$AJ$2:$AJ$167,TRUE)-_xlfn.NORM.DIST(T$30,economics!$AK$2:$AK$167,economics!$AJ$2:$AJ$167,TRUE))*economics!$AM$2:$AM$167)+$CR13*(_xlfn.NORM.DIST(T$3,$CU13,0.3*$CU13,TRUE)-_xlfn.NORM.DIST(T$30,$CU13,0.3*$CU13,TRUE))*summary!$C$7/28.8/0.947817+$CS13*(_xlfn.NORM.DIST(T$3,$CV13,0.3*$CV13,TRUE)-_xlfn.NORM.DIST(T$30,$CV13,0.3*$CV13,TRUE))*summary!$C$6/28.8/0.947817)/(SUMPRODUCT((economics!$AG$2:$AG$167=$B42)*(economics!$D$2:$D$167="whr")*economics!$AH$2:$AH$167*(_xlfn.NORM.DIST(T$3,economics!$AK$2:$AK$167,economics!$AJ$2:$AJ$167,TRUE)-_xlfn.NORM.DIST(T$30,economics!$AK$2:$AK$167,economics!$AJ$2:$AJ$167,TRUE)))+$CR13*(_xlfn.NORM.DIST(T$3,$CU13,0.3*$CU13,TRUE)-_xlfn.NORM.DIST(T$30,$CU13,0.3*$CU13,TRUE))+$CS13*(_xlfn.NORM.DIST(T$3,$CV13,0.3*$CV13,TRUE)-_xlfn.NORM.DIST(T$30,$CV13,0.3*$CV13,TRUE))),""),IF($C13&gt;0,summary!$C$10/28.8/0.947817,""))</f>
        <v/>
      </c>
      <c r="U42">
        <f t="array" ref="U42">IF($D13,IFERROR((SUMPRODUCT((economics!$AG$2:$AG$167=$B42)*(economics!$D$2:$D$167="whr")*economics!$AH$2:$AH$167*(_xlfn.NORM.DIST(U$3,economics!$AK$2:$AK$167,economics!$AJ$2:$AJ$167,TRUE)-_xlfn.NORM.DIST(U$30,economics!$AK$2:$AK$167,economics!$AJ$2:$AJ$167,TRUE))*economics!$AM$2:$AM$167)+$CR13*(_xlfn.NORM.DIST(U$3,$CU13,0.3*$CU13,TRUE)-_xlfn.NORM.DIST(U$30,$CU13,0.3*$CU13,TRUE))*summary!$C$7/28.8/0.947817+$CS13*(_xlfn.NORM.DIST(U$3,$CV13,0.3*$CV13,TRUE)-_xlfn.NORM.DIST(U$30,$CV13,0.3*$CV13,TRUE))*summary!$C$6/28.8/0.947817)/(SUMPRODUCT((economics!$AG$2:$AG$167=$B42)*(economics!$D$2:$D$167="whr")*economics!$AH$2:$AH$167*(_xlfn.NORM.DIST(U$3,economics!$AK$2:$AK$167,economics!$AJ$2:$AJ$167,TRUE)-_xlfn.NORM.DIST(U$30,economics!$AK$2:$AK$167,economics!$AJ$2:$AJ$167,TRUE)))+$CR13*(_xlfn.NORM.DIST(U$3,$CU13,0.3*$CU13,TRUE)-_xlfn.NORM.DIST(U$30,$CU13,0.3*$CU13,TRUE))+$CS13*(_xlfn.NORM.DIST(U$3,$CV13,0.3*$CV13,TRUE)-_xlfn.NORM.DIST(U$30,$CV13,0.3*$CV13,TRUE))),""),IF($C13&gt;0,summary!$C$10/28.8/0.947817,""))</f>
        <v/>
      </c>
      <c r="V42">
        <f t="array" ref="V42">IF($D13,IFERROR((SUMPRODUCT((economics!$AG$2:$AG$167=$B42)*(economics!$D$2:$D$167="whr")*economics!$AH$2:$AH$167*(_xlfn.NORM.DIST(V$3,economics!$AK$2:$AK$167,economics!$AJ$2:$AJ$167,TRUE)-_xlfn.NORM.DIST(V$30,economics!$AK$2:$AK$167,economics!$AJ$2:$AJ$167,TRUE))*economics!$AM$2:$AM$167)+$CR13*(_xlfn.NORM.DIST(V$3,$CU13,0.3*$CU13,TRUE)-_xlfn.NORM.DIST(V$30,$CU13,0.3*$CU13,TRUE))*summary!$C$7/28.8/0.947817+$CS13*(_xlfn.NORM.DIST(V$3,$CV13,0.3*$CV13,TRUE)-_xlfn.NORM.DIST(V$30,$CV13,0.3*$CV13,TRUE))*summary!$C$6/28.8/0.947817)/(SUMPRODUCT((economics!$AG$2:$AG$167=$B42)*(economics!$D$2:$D$167="whr")*economics!$AH$2:$AH$167*(_xlfn.NORM.DIST(V$3,economics!$AK$2:$AK$167,economics!$AJ$2:$AJ$167,TRUE)-_xlfn.NORM.DIST(V$30,economics!$AK$2:$AK$167,economics!$AJ$2:$AJ$167,TRUE)))+$CR13*(_xlfn.NORM.DIST(V$3,$CU13,0.3*$CU13,TRUE)-_xlfn.NORM.DIST(V$30,$CU13,0.3*$CU13,TRUE))+$CS13*(_xlfn.NORM.DIST(V$3,$CV13,0.3*$CV13,TRUE)-_xlfn.NORM.DIST(V$30,$CV13,0.3*$CV13,TRUE))),""),IF($C13&gt;0,summary!$C$10/28.8/0.947817,""))</f>
        <v/>
      </c>
      <c r="W42">
        <f t="array" ref="W42">IF($D13,IFERROR((SUMPRODUCT((economics!$AG$2:$AG$167=$B42)*(economics!$D$2:$D$167="whr")*economics!$AH$2:$AH$167*(_xlfn.NORM.DIST(W$3,economics!$AK$2:$AK$167,economics!$AJ$2:$AJ$167,TRUE)-_xlfn.NORM.DIST(W$30,economics!$AK$2:$AK$167,economics!$AJ$2:$AJ$167,TRUE))*economics!$AM$2:$AM$167)+$CR13*(_xlfn.NORM.DIST(W$3,$CU13,0.3*$CU13,TRUE)-_xlfn.NORM.DIST(W$30,$CU13,0.3*$CU13,TRUE))*summary!$C$7/28.8/0.947817+$CS13*(_xlfn.NORM.DIST(W$3,$CV13,0.3*$CV13,TRUE)-_xlfn.NORM.DIST(W$30,$CV13,0.3*$CV13,TRUE))*summary!$C$6/28.8/0.947817)/(SUMPRODUCT((economics!$AG$2:$AG$167=$B42)*(economics!$D$2:$D$167="whr")*economics!$AH$2:$AH$167*(_xlfn.NORM.DIST(W$3,economics!$AK$2:$AK$167,economics!$AJ$2:$AJ$167,TRUE)-_xlfn.NORM.DIST(W$30,economics!$AK$2:$AK$167,economics!$AJ$2:$AJ$167,TRUE)))+$CR13*(_xlfn.NORM.DIST(W$3,$CU13,0.3*$CU13,TRUE)-_xlfn.NORM.DIST(W$30,$CU13,0.3*$CU13,TRUE))+$CS13*(_xlfn.NORM.DIST(W$3,$CV13,0.3*$CV13,TRUE)-_xlfn.NORM.DIST(W$30,$CV13,0.3*$CV13,TRUE))),""),IF($C13&gt;0,summary!$C$10/28.8/0.947817,""))</f>
        <v/>
      </c>
      <c r="X42">
        <f t="array" ref="X42">IF($D13,IFERROR((SUMPRODUCT((economics!$AG$2:$AG$167=$B42)*(economics!$D$2:$D$167="whr")*economics!$AH$2:$AH$167*(_xlfn.NORM.DIST(X$3,economics!$AK$2:$AK$167,economics!$AJ$2:$AJ$167,TRUE)-_xlfn.NORM.DIST(X$30,economics!$AK$2:$AK$167,economics!$AJ$2:$AJ$167,TRUE))*economics!$AM$2:$AM$167)+$CR13*(_xlfn.NORM.DIST(X$3,$CU13,0.3*$CU13,TRUE)-_xlfn.NORM.DIST(X$30,$CU13,0.3*$CU13,TRUE))*summary!$C$7/28.8/0.947817+$CS13*(_xlfn.NORM.DIST(X$3,$CV13,0.3*$CV13,TRUE)-_xlfn.NORM.DIST(X$30,$CV13,0.3*$CV13,TRUE))*summary!$C$6/28.8/0.947817)/(SUMPRODUCT((economics!$AG$2:$AG$167=$B42)*(economics!$D$2:$D$167="whr")*economics!$AH$2:$AH$167*(_xlfn.NORM.DIST(X$3,economics!$AK$2:$AK$167,economics!$AJ$2:$AJ$167,TRUE)-_xlfn.NORM.DIST(X$30,economics!$AK$2:$AK$167,economics!$AJ$2:$AJ$167,TRUE)))+$CR13*(_xlfn.NORM.DIST(X$3,$CU13,0.3*$CU13,TRUE)-_xlfn.NORM.DIST(X$30,$CU13,0.3*$CU13,TRUE))+$CS13*(_xlfn.NORM.DIST(X$3,$CV13,0.3*$CV13,TRUE)-_xlfn.NORM.DIST(X$30,$CV13,0.3*$CV13,TRUE))),""),IF($C13&gt;0,summary!$C$10/28.8/0.947817,""))</f>
        <v/>
      </c>
      <c r="Y42">
        <f t="array" ref="Y42">IF($D13,IFERROR((SUMPRODUCT((economics!$AG$2:$AG$167=$B42)*(economics!$D$2:$D$167="whr")*economics!$AH$2:$AH$167*(_xlfn.NORM.DIST(Y$3,economics!$AK$2:$AK$167,economics!$AJ$2:$AJ$167,TRUE)-_xlfn.NORM.DIST(Y$30,economics!$AK$2:$AK$167,economics!$AJ$2:$AJ$167,TRUE))*economics!$AM$2:$AM$167)+$CR13*(_xlfn.NORM.DIST(Y$3,$CU13,0.3*$CU13,TRUE)-_xlfn.NORM.DIST(Y$30,$CU13,0.3*$CU13,TRUE))*summary!$C$7/28.8/0.947817+$CS13*(_xlfn.NORM.DIST(Y$3,$CV13,0.3*$CV13,TRUE)-_xlfn.NORM.DIST(Y$30,$CV13,0.3*$CV13,TRUE))*summary!$C$6/28.8/0.947817)/(SUMPRODUCT((economics!$AG$2:$AG$167=$B42)*(economics!$D$2:$D$167="whr")*economics!$AH$2:$AH$167*(_xlfn.NORM.DIST(Y$3,economics!$AK$2:$AK$167,economics!$AJ$2:$AJ$167,TRUE)-_xlfn.NORM.DIST(Y$30,economics!$AK$2:$AK$167,economics!$AJ$2:$AJ$167,TRUE)))+$CR13*(_xlfn.NORM.DIST(Y$3,$CU13,0.3*$CU13,TRUE)-_xlfn.NORM.DIST(Y$30,$CU13,0.3*$CU13,TRUE))+$CS13*(_xlfn.NORM.DIST(Y$3,$CV13,0.3*$CV13,TRUE)-_xlfn.NORM.DIST(Y$30,$CV13,0.3*$CV13,TRUE))),""),IF($C13&gt;0,summary!$C$10/28.8/0.947817,""))</f>
        <v/>
      </c>
      <c r="Z42">
        <f t="array" ref="Z42">IF($D13,IFERROR((SUMPRODUCT((economics!$AG$2:$AG$167=$B42)*(economics!$D$2:$D$167="whr")*economics!$AH$2:$AH$167*(_xlfn.NORM.DIST(Z$3,economics!$AK$2:$AK$167,economics!$AJ$2:$AJ$167,TRUE)-_xlfn.NORM.DIST(Z$30,economics!$AK$2:$AK$167,economics!$AJ$2:$AJ$167,TRUE))*economics!$AM$2:$AM$167)+$CR13*(_xlfn.NORM.DIST(Z$3,$CU13,0.3*$CU13,TRUE)-_xlfn.NORM.DIST(Z$30,$CU13,0.3*$CU13,TRUE))*summary!$C$7/28.8/0.947817+$CS13*(_xlfn.NORM.DIST(Z$3,$CV13,0.3*$CV13,TRUE)-_xlfn.NORM.DIST(Z$30,$CV13,0.3*$CV13,TRUE))*summary!$C$6/28.8/0.947817)/(SUMPRODUCT((economics!$AG$2:$AG$167=$B42)*(economics!$D$2:$D$167="whr")*economics!$AH$2:$AH$167*(_xlfn.NORM.DIST(Z$3,economics!$AK$2:$AK$167,economics!$AJ$2:$AJ$167,TRUE)-_xlfn.NORM.DIST(Z$30,economics!$AK$2:$AK$167,economics!$AJ$2:$AJ$167,TRUE)))+$CR13*(_xlfn.NORM.DIST(Z$3,$CU13,0.3*$CU13,TRUE)-_xlfn.NORM.DIST(Z$30,$CU13,0.3*$CU13,TRUE))+$CS13*(_xlfn.NORM.DIST(Z$3,$CV13,0.3*$CV13,TRUE)-_xlfn.NORM.DIST(Z$30,$CV13,0.3*$CV13,TRUE))),""),IF($C13&gt;0,summary!$C$10/28.8/0.947817,""))</f>
        <v/>
      </c>
      <c r="AA42">
        <f t="array" ref="AA42">IF($D13,IFERROR((SUMPRODUCT((economics!$AG$2:$AG$167=$B42)*(economics!$D$2:$D$167="whr")*economics!$AH$2:$AH$167*(_xlfn.NORM.DIST(AA$3,economics!$AK$2:$AK$167,economics!$AJ$2:$AJ$167,TRUE)-_xlfn.NORM.DIST(AA$30,economics!$AK$2:$AK$167,economics!$AJ$2:$AJ$167,TRUE))*economics!$AM$2:$AM$167)+$CR13*(_xlfn.NORM.DIST(AA$3,$CU13,0.3*$CU13,TRUE)-_xlfn.NORM.DIST(AA$30,$CU13,0.3*$CU13,TRUE))*summary!$C$7/28.8/0.947817+$CS13*(_xlfn.NORM.DIST(AA$3,$CV13,0.3*$CV13,TRUE)-_xlfn.NORM.DIST(AA$30,$CV13,0.3*$CV13,TRUE))*summary!$C$6/28.8/0.947817)/(SUMPRODUCT((economics!$AG$2:$AG$167=$B42)*(economics!$D$2:$D$167="whr")*economics!$AH$2:$AH$167*(_xlfn.NORM.DIST(AA$3,economics!$AK$2:$AK$167,economics!$AJ$2:$AJ$167,TRUE)-_xlfn.NORM.DIST(AA$30,economics!$AK$2:$AK$167,economics!$AJ$2:$AJ$167,TRUE)))+$CR13*(_xlfn.NORM.DIST(AA$3,$CU13,0.3*$CU13,TRUE)-_xlfn.NORM.DIST(AA$30,$CU13,0.3*$CU13,TRUE))+$CS13*(_xlfn.NORM.DIST(AA$3,$CV13,0.3*$CV13,TRUE)-_xlfn.NORM.DIST(AA$30,$CV13,0.3*$CV13,TRUE))),""),IF($C13&gt;0,summary!$C$10/28.8/0.947817,""))</f>
        <v/>
      </c>
      <c r="AB42">
        <f t="array" ref="AB42">IF($D13,IFERROR((SUMPRODUCT((economics!$AG$2:$AG$167=$B42)*(economics!$D$2:$D$167="whr")*economics!$AH$2:$AH$167*(_xlfn.NORM.DIST(AB$3,economics!$AK$2:$AK$167,economics!$AJ$2:$AJ$167,TRUE)-_xlfn.NORM.DIST(AB$30,economics!$AK$2:$AK$167,economics!$AJ$2:$AJ$167,TRUE))*economics!$AM$2:$AM$167)+$CR13*(_xlfn.NORM.DIST(AB$3,$CU13,0.3*$CU13,TRUE)-_xlfn.NORM.DIST(AB$30,$CU13,0.3*$CU13,TRUE))*summary!$C$7/28.8/0.947817+$CS13*(_xlfn.NORM.DIST(AB$3,$CV13,0.3*$CV13,TRUE)-_xlfn.NORM.DIST(AB$30,$CV13,0.3*$CV13,TRUE))*summary!$C$6/28.8/0.947817)/(SUMPRODUCT((economics!$AG$2:$AG$167=$B42)*(economics!$D$2:$D$167="whr")*economics!$AH$2:$AH$167*(_xlfn.NORM.DIST(AB$3,economics!$AK$2:$AK$167,economics!$AJ$2:$AJ$167,TRUE)-_xlfn.NORM.DIST(AB$30,economics!$AK$2:$AK$167,economics!$AJ$2:$AJ$167,TRUE)))+$CR13*(_xlfn.NORM.DIST(AB$3,$CU13,0.3*$CU13,TRUE)-_xlfn.NORM.DIST(AB$30,$CU13,0.3*$CU13,TRUE))+$CS13*(_xlfn.NORM.DIST(AB$3,$CV13,0.3*$CV13,TRUE)-_xlfn.NORM.DIST(AB$30,$CV13,0.3*$CV13,TRUE))),""),IF($C13&gt;0,summary!$C$10/28.8/0.947817,""))</f>
        <v/>
      </c>
      <c r="AC42">
        <f t="array" ref="AC42">IF($D13,IFERROR((SUMPRODUCT((economics!$AG$2:$AG$167=$B42)*(economics!$D$2:$D$167="whr")*economics!$AH$2:$AH$167*(_xlfn.NORM.DIST(AC$3,economics!$AK$2:$AK$167,economics!$AJ$2:$AJ$167,TRUE)-_xlfn.NORM.DIST(AC$30,economics!$AK$2:$AK$167,economics!$AJ$2:$AJ$167,TRUE))*economics!$AM$2:$AM$167)+$CR13*(_xlfn.NORM.DIST(AC$3,$CU13,0.3*$CU13,TRUE)-_xlfn.NORM.DIST(AC$30,$CU13,0.3*$CU13,TRUE))*summary!$C$7/28.8/0.947817+$CS13*(_xlfn.NORM.DIST(AC$3,$CV13,0.3*$CV13,TRUE)-_xlfn.NORM.DIST(AC$30,$CV13,0.3*$CV13,TRUE))*summary!$C$6/28.8/0.947817)/(SUMPRODUCT((economics!$AG$2:$AG$167=$B42)*(economics!$D$2:$D$167="whr")*economics!$AH$2:$AH$167*(_xlfn.NORM.DIST(AC$3,economics!$AK$2:$AK$167,economics!$AJ$2:$AJ$167,TRUE)-_xlfn.NORM.DIST(AC$30,economics!$AK$2:$AK$167,economics!$AJ$2:$AJ$167,TRUE)))+$CR13*(_xlfn.NORM.DIST(AC$3,$CU13,0.3*$CU13,TRUE)-_xlfn.NORM.DIST(AC$30,$CU13,0.3*$CU13,TRUE))+$CS13*(_xlfn.NORM.DIST(AC$3,$CV13,0.3*$CV13,TRUE)-_xlfn.NORM.DIST(AC$30,$CV13,0.3*$CV13,TRUE))),""),IF($C13&gt;0,summary!$C$10/28.8/0.947817,""))</f>
        <v/>
      </c>
      <c r="AD42">
        <f t="array" ref="AD42">IF($D13,IFERROR((SUMPRODUCT((economics!$AG$2:$AG$167=$B42)*(economics!$D$2:$D$167="whr")*economics!$AH$2:$AH$167*(_xlfn.NORM.DIST(AD$3,economics!$AK$2:$AK$167,economics!$AJ$2:$AJ$167,TRUE)-_xlfn.NORM.DIST(AD$30,economics!$AK$2:$AK$167,economics!$AJ$2:$AJ$167,TRUE))*economics!$AM$2:$AM$167)+$CR13*(_xlfn.NORM.DIST(AD$3,$CU13,0.3*$CU13,TRUE)-_xlfn.NORM.DIST(AD$30,$CU13,0.3*$CU13,TRUE))*summary!$C$7/28.8/0.947817+$CS13*(_xlfn.NORM.DIST(AD$3,$CV13,0.3*$CV13,TRUE)-_xlfn.NORM.DIST(AD$30,$CV13,0.3*$CV13,TRUE))*summary!$C$6/28.8/0.947817)/(SUMPRODUCT((economics!$AG$2:$AG$167=$B42)*(economics!$D$2:$D$167="whr")*economics!$AH$2:$AH$167*(_xlfn.NORM.DIST(AD$3,economics!$AK$2:$AK$167,economics!$AJ$2:$AJ$167,TRUE)-_xlfn.NORM.DIST(AD$30,economics!$AK$2:$AK$167,economics!$AJ$2:$AJ$167,TRUE)))+$CR13*(_xlfn.NORM.DIST(AD$3,$CU13,0.3*$CU13,TRUE)-_xlfn.NORM.DIST(AD$30,$CU13,0.3*$CU13,TRUE))+$CS13*(_xlfn.NORM.DIST(AD$3,$CV13,0.3*$CV13,TRUE)-_xlfn.NORM.DIST(AD$30,$CV13,0.3*$CV13,TRUE))),""),IF($C13&gt;0,summary!$C$10/28.8/0.947817,""))</f>
        <v/>
      </c>
      <c r="AE42">
        <f t="array" ref="AE42">IF($D13,IFERROR((SUMPRODUCT((economics!$AG$2:$AG$167=$B42)*(economics!$D$2:$D$167="whr")*economics!$AH$2:$AH$167*(_xlfn.NORM.DIST(AE$3,economics!$AK$2:$AK$167,economics!$AJ$2:$AJ$167,TRUE)-_xlfn.NORM.DIST(AE$30,economics!$AK$2:$AK$167,economics!$AJ$2:$AJ$167,TRUE))*economics!$AM$2:$AM$167)+$CR13*(_xlfn.NORM.DIST(AE$3,$CU13,0.3*$CU13,TRUE)-_xlfn.NORM.DIST(AE$30,$CU13,0.3*$CU13,TRUE))*summary!$C$7/28.8/0.947817+$CS13*(_xlfn.NORM.DIST(AE$3,$CV13,0.3*$CV13,TRUE)-_xlfn.NORM.DIST(AE$30,$CV13,0.3*$CV13,TRUE))*summary!$C$6/28.8/0.947817)/(SUMPRODUCT((economics!$AG$2:$AG$167=$B42)*(economics!$D$2:$D$167="whr")*economics!$AH$2:$AH$167*(_xlfn.NORM.DIST(AE$3,economics!$AK$2:$AK$167,economics!$AJ$2:$AJ$167,TRUE)-_xlfn.NORM.DIST(AE$30,economics!$AK$2:$AK$167,economics!$AJ$2:$AJ$167,TRUE)))+$CR13*(_xlfn.NORM.DIST(AE$3,$CU13,0.3*$CU13,TRUE)-_xlfn.NORM.DIST(AE$30,$CU13,0.3*$CU13,TRUE))+$CS13*(_xlfn.NORM.DIST(AE$3,$CV13,0.3*$CV13,TRUE)-_xlfn.NORM.DIST(AE$30,$CV13,0.3*$CV13,TRUE))),""),IF($C13&gt;0,summary!$C$10/28.8/0.947817,""))</f>
        <v/>
      </c>
      <c r="AF42">
        <f t="array" ref="AF42">IF($D13,IFERROR((SUMPRODUCT((economics!$AG$2:$AG$167=$B42)*(economics!$D$2:$D$167="whr")*economics!$AH$2:$AH$167*(_xlfn.NORM.DIST(AF$3,economics!$AK$2:$AK$167,economics!$AJ$2:$AJ$167,TRUE)-_xlfn.NORM.DIST(AF$30,economics!$AK$2:$AK$167,economics!$AJ$2:$AJ$167,TRUE))*economics!$AM$2:$AM$167)+$CR13*(_xlfn.NORM.DIST(AF$3,$CU13,0.3*$CU13,TRUE)-_xlfn.NORM.DIST(AF$30,$CU13,0.3*$CU13,TRUE))*summary!$C$7/28.8/0.947817+$CS13*(_xlfn.NORM.DIST(AF$3,$CV13,0.3*$CV13,TRUE)-_xlfn.NORM.DIST(AF$30,$CV13,0.3*$CV13,TRUE))*summary!$C$6/28.8/0.947817)/(SUMPRODUCT((economics!$AG$2:$AG$167=$B42)*(economics!$D$2:$D$167="whr")*economics!$AH$2:$AH$167*(_xlfn.NORM.DIST(AF$3,economics!$AK$2:$AK$167,economics!$AJ$2:$AJ$167,TRUE)-_xlfn.NORM.DIST(AF$30,economics!$AK$2:$AK$167,economics!$AJ$2:$AJ$167,TRUE)))+$CR13*(_xlfn.NORM.DIST(AF$3,$CU13,0.3*$CU13,TRUE)-_xlfn.NORM.DIST(AF$30,$CU13,0.3*$CU13,TRUE))+$CS13*(_xlfn.NORM.DIST(AF$3,$CV13,0.3*$CV13,TRUE)-_xlfn.NORM.DIST(AF$30,$CV13,0.3*$CV13,TRUE))),""),IF($C13&gt;0,summary!$C$10/28.8/0.947817,""))</f>
        <v/>
      </c>
      <c r="AG42">
        <f t="array" ref="AG42">IF($D13,IFERROR((SUMPRODUCT((economics!$AG$2:$AG$167=$B42)*(economics!$D$2:$D$167="whr")*economics!$AH$2:$AH$167*(_xlfn.NORM.DIST(AG$3,economics!$AK$2:$AK$167,economics!$AJ$2:$AJ$167,TRUE)-_xlfn.NORM.DIST(AG$30,economics!$AK$2:$AK$167,economics!$AJ$2:$AJ$167,TRUE))*economics!$AM$2:$AM$167)+$CR13*(_xlfn.NORM.DIST(AG$3,$CU13,0.3*$CU13,TRUE)-_xlfn.NORM.DIST(AG$30,$CU13,0.3*$CU13,TRUE))*summary!$C$7/28.8/0.947817+$CS13*(_xlfn.NORM.DIST(AG$3,$CV13,0.3*$CV13,TRUE)-_xlfn.NORM.DIST(AG$30,$CV13,0.3*$CV13,TRUE))*summary!$C$6/28.8/0.947817)/(SUMPRODUCT((economics!$AG$2:$AG$167=$B42)*(economics!$D$2:$D$167="whr")*economics!$AH$2:$AH$167*(_xlfn.NORM.DIST(AG$3,economics!$AK$2:$AK$167,economics!$AJ$2:$AJ$167,TRUE)-_xlfn.NORM.DIST(AG$30,economics!$AK$2:$AK$167,economics!$AJ$2:$AJ$167,TRUE)))+$CR13*(_xlfn.NORM.DIST(AG$3,$CU13,0.3*$CU13,TRUE)-_xlfn.NORM.DIST(AG$30,$CU13,0.3*$CU13,TRUE))+$CS13*(_xlfn.NORM.DIST(AG$3,$CV13,0.3*$CV13,TRUE)-_xlfn.NORM.DIST(AG$30,$CV13,0.3*$CV13,TRUE))),""),IF($C13&gt;0,summary!$C$10/28.8/0.947817,""))</f>
        <v/>
      </c>
      <c r="AH42">
        <f t="array" ref="AH42">IF($D13,IFERROR((SUMPRODUCT((economics!$AG$2:$AG$167=$B42)*(economics!$D$2:$D$167="whr")*economics!$AH$2:$AH$167*(_xlfn.NORM.DIST(AH$3,economics!$AK$2:$AK$167,economics!$AJ$2:$AJ$167,TRUE)-_xlfn.NORM.DIST(AH$30,economics!$AK$2:$AK$167,economics!$AJ$2:$AJ$167,TRUE))*economics!$AM$2:$AM$167)+$CR13*(_xlfn.NORM.DIST(AH$3,$CU13,0.3*$CU13,TRUE)-_xlfn.NORM.DIST(AH$30,$CU13,0.3*$CU13,TRUE))*summary!$C$7/28.8/0.947817+$CS13*(_xlfn.NORM.DIST(AH$3,$CV13,0.3*$CV13,TRUE)-_xlfn.NORM.DIST(AH$30,$CV13,0.3*$CV13,TRUE))*summary!$C$6/28.8/0.947817)/(SUMPRODUCT((economics!$AG$2:$AG$167=$B42)*(economics!$D$2:$D$167="whr")*economics!$AH$2:$AH$167*(_xlfn.NORM.DIST(AH$3,economics!$AK$2:$AK$167,economics!$AJ$2:$AJ$167,TRUE)-_xlfn.NORM.DIST(AH$30,economics!$AK$2:$AK$167,economics!$AJ$2:$AJ$167,TRUE)))+$CR13*(_xlfn.NORM.DIST(AH$3,$CU13,0.3*$CU13,TRUE)-_xlfn.NORM.DIST(AH$30,$CU13,0.3*$CU13,TRUE))+$CS13*(_xlfn.NORM.DIST(AH$3,$CV13,0.3*$CV13,TRUE)-_xlfn.NORM.DIST(AH$30,$CV13,0.3*$CV13,TRUE))),""),IF($C13&gt;0,summary!$C$10/28.8/0.947817,""))</f>
        <v/>
      </c>
      <c r="AI42">
        <f t="array" ref="AI42">IF($D13,IFERROR((SUMPRODUCT((economics!$AG$2:$AG$167=$B42)*(economics!$D$2:$D$167="whr")*economics!$AH$2:$AH$167*(_xlfn.NORM.DIST(AI$3,economics!$AK$2:$AK$167,economics!$AJ$2:$AJ$167,TRUE)-_xlfn.NORM.DIST(AI$30,economics!$AK$2:$AK$167,economics!$AJ$2:$AJ$167,TRUE))*economics!$AM$2:$AM$167)+$CR13*(_xlfn.NORM.DIST(AI$3,$CU13,0.3*$CU13,TRUE)-_xlfn.NORM.DIST(AI$30,$CU13,0.3*$CU13,TRUE))*summary!$C$7/28.8/0.947817+$CS13*(_xlfn.NORM.DIST(AI$3,$CV13,0.3*$CV13,TRUE)-_xlfn.NORM.DIST(AI$30,$CV13,0.3*$CV13,TRUE))*summary!$C$6/28.8/0.947817)/(SUMPRODUCT((economics!$AG$2:$AG$167=$B42)*(economics!$D$2:$D$167="whr")*economics!$AH$2:$AH$167*(_xlfn.NORM.DIST(AI$3,economics!$AK$2:$AK$167,economics!$AJ$2:$AJ$167,TRUE)-_xlfn.NORM.DIST(AI$30,economics!$AK$2:$AK$167,economics!$AJ$2:$AJ$167,TRUE)))+$CR13*(_xlfn.NORM.DIST(AI$3,$CU13,0.3*$CU13,TRUE)-_xlfn.NORM.DIST(AI$30,$CU13,0.3*$CU13,TRUE))+$CS13*(_xlfn.NORM.DIST(AI$3,$CV13,0.3*$CV13,TRUE)-_xlfn.NORM.DIST(AI$30,$CV13,0.3*$CV13,TRUE))),""),IF($C13&gt;0,summary!$C$10/28.8/0.947817,""))</f>
        <v/>
      </c>
      <c r="AJ42">
        <f t="array" ref="AJ42">IF($D13,IFERROR((SUMPRODUCT((economics!$AG$2:$AG$167=$B42)*(economics!$D$2:$D$167="whr")*economics!$AH$2:$AH$167*(_xlfn.NORM.DIST(AJ$3,economics!$AK$2:$AK$167,economics!$AJ$2:$AJ$167,TRUE)-_xlfn.NORM.DIST(AJ$30,economics!$AK$2:$AK$167,economics!$AJ$2:$AJ$167,TRUE))*economics!$AM$2:$AM$167)+$CR13*(_xlfn.NORM.DIST(AJ$3,$CU13,0.3*$CU13,TRUE)-_xlfn.NORM.DIST(AJ$30,$CU13,0.3*$CU13,TRUE))*summary!$C$7/28.8/0.947817+$CS13*(_xlfn.NORM.DIST(AJ$3,$CV13,0.3*$CV13,TRUE)-_xlfn.NORM.DIST(AJ$30,$CV13,0.3*$CV13,TRUE))*summary!$C$6/28.8/0.947817)/(SUMPRODUCT((economics!$AG$2:$AG$167=$B42)*(economics!$D$2:$D$167="whr")*economics!$AH$2:$AH$167*(_xlfn.NORM.DIST(AJ$3,economics!$AK$2:$AK$167,economics!$AJ$2:$AJ$167,TRUE)-_xlfn.NORM.DIST(AJ$30,economics!$AK$2:$AK$167,economics!$AJ$2:$AJ$167,TRUE)))+$CR13*(_xlfn.NORM.DIST(AJ$3,$CU13,0.3*$CU13,TRUE)-_xlfn.NORM.DIST(AJ$30,$CU13,0.3*$CU13,TRUE))+$CS13*(_xlfn.NORM.DIST(AJ$3,$CV13,0.3*$CV13,TRUE)-_xlfn.NORM.DIST(AJ$30,$CV13,0.3*$CV13,TRUE))),""),IF($C13&gt;0,summary!$C$10/28.8/0.947817,""))</f>
        <v/>
      </c>
      <c r="AK42">
        <f t="array" ref="AK42">IF($D13,IFERROR((SUMPRODUCT((economics!$AG$2:$AG$167=$B42)*(economics!$D$2:$D$167="whr")*economics!$AH$2:$AH$167*(_xlfn.NORM.DIST(AK$3,economics!$AK$2:$AK$167,economics!$AJ$2:$AJ$167,TRUE)-_xlfn.NORM.DIST(AK$30,economics!$AK$2:$AK$167,economics!$AJ$2:$AJ$167,TRUE))*economics!$AM$2:$AM$167)+$CR13*(_xlfn.NORM.DIST(AK$3,$CU13,0.3*$CU13,TRUE)-_xlfn.NORM.DIST(AK$30,$CU13,0.3*$CU13,TRUE))*summary!$C$7/28.8/0.947817+$CS13*(_xlfn.NORM.DIST(AK$3,$CV13,0.3*$CV13,TRUE)-_xlfn.NORM.DIST(AK$30,$CV13,0.3*$CV13,TRUE))*summary!$C$6/28.8/0.947817)/(SUMPRODUCT((economics!$AG$2:$AG$167=$B42)*(economics!$D$2:$D$167="whr")*economics!$AH$2:$AH$167*(_xlfn.NORM.DIST(AK$3,economics!$AK$2:$AK$167,economics!$AJ$2:$AJ$167,TRUE)-_xlfn.NORM.DIST(AK$30,economics!$AK$2:$AK$167,economics!$AJ$2:$AJ$167,TRUE)))+$CR13*(_xlfn.NORM.DIST(AK$3,$CU13,0.3*$CU13,TRUE)-_xlfn.NORM.DIST(AK$30,$CU13,0.3*$CU13,TRUE))+$CS13*(_xlfn.NORM.DIST(AK$3,$CV13,0.3*$CV13,TRUE)-_xlfn.NORM.DIST(AK$30,$CV13,0.3*$CV13,TRUE))),""),IF($C13&gt;0,summary!$C$10/28.8/0.947817,""))</f>
        <v/>
      </c>
      <c r="AL42">
        <f t="array" ref="AL42">IF($D13,IFERROR((SUMPRODUCT((economics!$AG$2:$AG$167=$B42)*(economics!$D$2:$D$167="whr")*economics!$AH$2:$AH$167*(_xlfn.NORM.DIST(AL$3,economics!$AK$2:$AK$167,economics!$AJ$2:$AJ$167,TRUE)-_xlfn.NORM.DIST(AL$30,economics!$AK$2:$AK$167,economics!$AJ$2:$AJ$167,TRUE))*economics!$AM$2:$AM$167)+$CR13*(_xlfn.NORM.DIST(AL$3,$CU13,0.3*$CU13,TRUE)-_xlfn.NORM.DIST(AL$30,$CU13,0.3*$CU13,TRUE))*summary!$C$7/28.8/0.947817+$CS13*(_xlfn.NORM.DIST(AL$3,$CV13,0.3*$CV13,TRUE)-_xlfn.NORM.DIST(AL$30,$CV13,0.3*$CV13,TRUE))*summary!$C$6/28.8/0.947817)/(SUMPRODUCT((economics!$AG$2:$AG$167=$B42)*(economics!$D$2:$D$167="whr")*economics!$AH$2:$AH$167*(_xlfn.NORM.DIST(AL$3,economics!$AK$2:$AK$167,economics!$AJ$2:$AJ$167,TRUE)-_xlfn.NORM.DIST(AL$30,economics!$AK$2:$AK$167,economics!$AJ$2:$AJ$167,TRUE)))+$CR13*(_xlfn.NORM.DIST(AL$3,$CU13,0.3*$CU13,TRUE)-_xlfn.NORM.DIST(AL$30,$CU13,0.3*$CU13,TRUE))+$CS13*(_xlfn.NORM.DIST(AL$3,$CV13,0.3*$CV13,TRUE)-_xlfn.NORM.DIST(AL$30,$CV13,0.3*$CV13,TRUE))),""),IF($C13&gt;0,summary!$C$10/28.8/0.947817,""))</f>
        <v/>
      </c>
      <c r="AM42">
        <f t="array" ref="AM42">IF($D13,IFERROR((SUMPRODUCT((economics!$AG$2:$AG$167=$B42)*(economics!$D$2:$D$167="whr")*economics!$AH$2:$AH$167*(_xlfn.NORM.DIST(AM$3,economics!$AK$2:$AK$167,economics!$AJ$2:$AJ$167,TRUE)-_xlfn.NORM.DIST(AM$30,economics!$AK$2:$AK$167,economics!$AJ$2:$AJ$167,TRUE))*economics!$AM$2:$AM$167)+$CR13*(_xlfn.NORM.DIST(AM$3,$CU13,0.3*$CU13,TRUE)-_xlfn.NORM.DIST(AM$30,$CU13,0.3*$CU13,TRUE))*summary!$C$7/28.8/0.947817+$CS13*(_xlfn.NORM.DIST(AM$3,$CV13,0.3*$CV13,TRUE)-_xlfn.NORM.DIST(AM$30,$CV13,0.3*$CV13,TRUE))*summary!$C$6/28.8/0.947817)/(SUMPRODUCT((economics!$AG$2:$AG$167=$B42)*(economics!$D$2:$D$167="whr")*economics!$AH$2:$AH$167*(_xlfn.NORM.DIST(AM$3,economics!$AK$2:$AK$167,economics!$AJ$2:$AJ$167,TRUE)-_xlfn.NORM.DIST(AM$30,economics!$AK$2:$AK$167,economics!$AJ$2:$AJ$167,TRUE)))+$CR13*(_xlfn.NORM.DIST(AM$3,$CU13,0.3*$CU13,TRUE)-_xlfn.NORM.DIST(AM$30,$CU13,0.3*$CU13,TRUE))+$CS13*(_xlfn.NORM.DIST(AM$3,$CV13,0.3*$CV13,TRUE)-_xlfn.NORM.DIST(AM$30,$CV13,0.3*$CV13,TRUE))),""),IF($C13&gt;0,summary!$C$10/28.8/0.947817,""))</f>
        <v/>
      </c>
      <c r="AN42">
        <f t="array" ref="AN42">IF($D13,IFERROR((SUMPRODUCT((economics!$AG$2:$AG$167=$B42)*(economics!$D$2:$D$167="whr")*economics!$AH$2:$AH$167*(_xlfn.NORM.DIST(AN$3,economics!$AK$2:$AK$167,economics!$AJ$2:$AJ$167,TRUE)-_xlfn.NORM.DIST(AN$30,economics!$AK$2:$AK$167,economics!$AJ$2:$AJ$167,TRUE))*economics!$AM$2:$AM$167)+$CR13*(_xlfn.NORM.DIST(AN$3,$CU13,0.3*$CU13,TRUE)-_xlfn.NORM.DIST(AN$30,$CU13,0.3*$CU13,TRUE))*summary!$C$7/28.8/0.947817+$CS13*(_xlfn.NORM.DIST(AN$3,$CV13,0.3*$CV13,TRUE)-_xlfn.NORM.DIST(AN$30,$CV13,0.3*$CV13,TRUE))*summary!$C$6/28.8/0.947817)/(SUMPRODUCT((economics!$AG$2:$AG$167=$B42)*(economics!$D$2:$D$167="whr")*economics!$AH$2:$AH$167*(_xlfn.NORM.DIST(AN$3,economics!$AK$2:$AK$167,economics!$AJ$2:$AJ$167,TRUE)-_xlfn.NORM.DIST(AN$30,economics!$AK$2:$AK$167,economics!$AJ$2:$AJ$167,TRUE)))+$CR13*(_xlfn.NORM.DIST(AN$3,$CU13,0.3*$CU13,TRUE)-_xlfn.NORM.DIST(AN$30,$CU13,0.3*$CU13,TRUE))+$CS13*(_xlfn.NORM.DIST(AN$3,$CV13,0.3*$CV13,TRUE)-_xlfn.NORM.DIST(AN$30,$CV13,0.3*$CV13,TRUE))),""),IF($C13&gt;0,summary!$C$10/28.8/0.947817,""))</f>
        <v/>
      </c>
      <c r="AO42">
        <f t="array" ref="AO42">IF($D13,IFERROR((SUMPRODUCT((economics!$AG$2:$AG$167=$B42)*(economics!$D$2:$D$167="whr")*economics!$AH$2:$AH$167*(_xlfn.NORM.DIST(AO$3,economics!$AK$2:$AK$167,economics!$AJ$2:$AJ$167,TRUE)-_xlfn.NORM.DIST(AO$30,economics!$AK$2:$AK$167,economics!$AJ$2:$AJ$167,TRUE))*economics!$AM$2:$AM$167)+$CR13*(_xlfn.NORM.DIST(AO$3,$CU13,0.3*$CU13,TRUE)-_xlfn.NORM.DIST(AO$30,$CU13,0.3*$CU13,TRUE))*summary!$C$7/28.8/0.947817+$CS13*(_xlfn.NORM.DIST(AO$3,$CV13,0.3*$CV13,TRUE)-_xlfn.NORM.DIST(AO$30,$CV13,0.3*$CV13,TRUE))*summary!$C$6/28.8/0.947817)/(SUMPRODUCT((economics!$AG$2:$AG$167=$B42)*(economics!$D$2:$D$167="whr")*economics!$AH$2:$AH$167*(_xlfn.NORM.DIST(AO$3,economics!$AK$2:$AK$167,economics!$AJ$2:$AJ$167,TRUE)-_xlfn.NORM.DIST(AO$30,economics!$AK$2:$AK$167,economics!$AJ$2:$AJ$167,TRUE)))+$CR13*(_xlfn.NORM.DIST(AO$3,$CU13,0.3*$CU13,TRUE)-_xlfn.NORM.DIST(AO$30,$CU13,0.3*$CU13,TRUE))+$CS13*(_xlfn.NORM.DIST(AO$3,$CV13,0.3*$CV13,TRUE)-_xlfn.NORM.DIST(AO$30,$CV13,0.3*$CV13,TRUE))),""),IF($C13&gt;0,summary!$C$10/28.8/0.947817,""))</f>
        <v/>
      </c>
      <c r="AP42">
        <f t="array" ref="AP42">IF($D13,IFERROR((SUMPRODUCT((economics!$AG$2:$AG$167=$B42)*(economics!$D$2:$D$167="whr")*economics!$AH$2:$AH$167*(_xlfn.NORM.DIST(AP$3,economics!$AK$2:$AK$167,economics!$AJ$2:$AJ$167,TRUE)-_xlfn.NORM.DIST(AP$30,economics!$AK$2:$AK$167,economics!$AJ$2:$AJ$167,TRUE))*economics!$AM$2:$AM$167)+$CR13*(_xlfn.NORM.DIST(AP$3,$CU13,0.3*$CU13,TRUE)-_xlfn.NORM.DIST(AP$30,$CU13,0.3*$CU13,TRUE))*summary!$C$7/28.8/0.947817+$CS13*(_xlfn.NORM.DIST(AP$3,$CV13,0.3*$CV13,TRUE)-_xlfn.NORM.DIST(AP$30,$CV13,0.3*$CV13,TRUE))*summary!$C$6/28.8/0.947817)/(SUMPRODUCT((economics!$AG$2:$AG$167=$B42)*(economics!$D$2:$D$167="whr")*economics!$AH$2:$AH$167*(_xlfn.NORM.DIST(AP$3,economics!$AK$2:$AK$167,economics!$AJ$2:$AJ$167,TRUE)-_xlfn.NORM.DIST(AP$30,economics!$AK$2:$AK$167,economics!$AJ$2:$AJ$167,TRUE)))+$CR13*(_xlfn.NORM.DIST(AP$3,$CU13,0.3*$CU13,TRUE)-_xlfn.NORM.DIST(AP$30,$CU13,0.3*$CU13,TRUE))+$CS13*(_xlfn.NORM.DIST(AP$3,$CV13,0.3*$CV13,TRUE)-_xlfn.NORM.DIST(AP$30,$CV13,0.3*$CV13,TRUE))),""),IF($C13&gt;0,summary!$C$10/28.8/0.947817,""))</f>
        <v/>
      </c>
      <c r="AQ42">
        <f t="array" ref="AQ42">IF($D13,IFERROR((SUMPRODUCT((economics!$AG$2:$AG$167=$B42)*(economics!$D$2:$D$167="whr")*economics!$AH$2:$AH$167*(_xlfn.NORM.DIST(AQ$3,economics!$AK$2:$AK$167,economics!$AJ$2:$AJ$167,TRUE)-_xlfn.NORM.DIST(AQ$30,economics!$AK$2:$AK$167,economics!$AJ$2:$AJ$167,TRUE))*economics!$AM$2:$AM$167)+$CR13*(_xlfn.NORM.DIST(AQ$3,$CU13,0.3*$CU13,TRUE)-_xlfn.NORM.DIST(AQ$30,$CU13,0.3*$CU13,TRUE))*summary!$C$7/28.8/0.947817+$CS13*(_xlfn.NORM.DIST(AQ$3,$CV13,0.3*$CV13,TRUE)-_xlfn.NORM.DIST(AQ$30,$CV13,0.3*$CV13,TRUE))*summary!$C$6/28.8/0.947817)/(SUMPRODUCT((economics!$AG$2:$AG$167=$B42)*(economics!$D$2:$D$167="whr")*economics!$AH$2:$AH$167*(_xlfn.NORM.DIST(AQ$3,economics!$AK$2:$AK$167,economics!$AJ$2:$AJ$167,TRUE)-_xlfn.NORM.DIST(AQ$30,economics!$AK$2:$AK$167,economics!$AJ$2:$AJ$167,TRUE)))+$CR13*(_xlfn.NORM.DIST(AQ$3,$CU13,0.3*$CU13,TRUE)-_xlfn.NORM.DIST(AQ$30,$CU13,0.3*$CU13,TRUE))+$CS13*(_xlfn.NORM.DIST(AQ$3,$CV13,0.3*$CV13,TRUE)-_xlfn.NORM.DIST(AQ$30,$CV13,0.3*$CV13,TRUE))),""),IF($C13&gt;0,summary!$C$10/28.8/0.947817,""))</f>
        <v/>
      </c>
      <c r="AR42">
        <f t="array" ref="AR42">IF($D13,IFERROR((SUMPRODUCT((economics!$AG$2:$AG$167=$B42)*(economics!$D$2:$D$167="whr")*economics!$AH$2:$AH$167*(_xlfn.NORM.DIST(AR$3,economics!$AK$2:$AK$167,economics!$AJ$2:$AJ$167,TRUE)-_xlfn.NORM.DIST(AR$30,economics!$AK$2:$AK$167,economics!$AJ$2:$AJ$167,TRUE))*economics!$AM$2:$AM$167)+$CR13*(_xlfn.NORM.DIST(AR$3,$CU13,0.3*$CU13,TRUE)-_xlfn.NORM.DIST(AR$30,$CU13,0.3*$CU13,TRUE))*summary!$C$7/28.8/0.947817+$CS13*(_xlfn.NORM.DIST(AR$3,$CV13,0.3*$CV13,TRUE)-_xlfn.NORM.DIST(AR$30,$CV13,0.3*$CV13,TRUE))*summary!$C$6/28.8/0.947817)/(SUMPRODUCT((economics!$AG$2:$AG$167=$B42)*(economics!$D$2:$D$167="whr")*economics!$AH$2:$AH$167*(_xlfn.NORM.DIST(AR$3,economics!$AK$2:$AK$167,economics!$AJ$2:$AJ$167,TRUE)-_xlfn.NORM.DIST(AR$30,economics!$AK$2:$AK$167,economics!$AJ$2:$AJ$167,TRUE)))+$CR13*(_xlfn.NORM.DIST(AR$3,$CU13,0.3*$CU13,TRUE)-_xlfn.NORM.DIST(AR$30,$CU13,0.3*$CU13,TRUE))+$CS13*(_xlfn.NORM.DIST(AR$3,$CV13,0.3*$CV13,TRUE)-_xlfn.NORM.DIST(AR$30,$CV13,0.3*$CV13,TRUE))),""),IF($C13&gt;0,summary!$C$10/28.8/0.947817,""))</f>
        <v/>
      </c>
      <c r="AS42">
        <f t="array" ref="AS42">IF($D13,IFERROR((SUMPRODUCT((economics!$AG$2:$AG$167=$B42)*(economics!$D$2:$D$167="whr")*economics!$AH$2:$AH$167*(_xlfn.NORM.DIST(AS$3,economics!$AK$2:$AK$167,economics!$AJ$2:$AJ$167,TRUE)-_xlfn.NORM.DIST(AS$30,economics!$AK$2:$AK$167,economics!$AJ$2:$AJ$167,TRUE))*economics!$AM$2:$AM$167)+$CR13*(_xlfn.NORM.DIST(AS$3,$CU13,0.3*$CU13,TRUE)-_xlfn.NORM.DIST(AS$30,$CU13,0.3*$CU13,TRUE))*summary!$C$7/28.8/0.947817+$CS13*(_xlfn.NORM.DIST(AS$3,$CV13,0.3*$CV13,TRUE)-_xlfn.NORM.DIST(AS$30,$CV13,0.3*$CV13,TRUE))*summary!$C$6/28.8/0.947817)/(SUMPRODUCT((economics!$AG$2:$AG$167=$B42)*(economics!$D$2:$D$167="whr")*economics!$AH$2:$AH$167*(_xlfn.NORM.DIST(AS$3,economics!$AK$2:$AK$167,economics!$AJ$2:$AJ$167,TRUE)-_xlfn.NORM.DIST(AS$30,economics!$AK$2:$AK$167,economics!$AJ$2:$AJ$167,TRUE)))+$CR13*(_xlfn.NORM.DIST(AS$3,$CU13,0.3*$CU13,TRUE)-_xlfn.NORM.DIST(AS$30,$CU13,0.3*$CU13,TRUE))+$CS13*(_xlfn.NORM.DIST(AS$3,$CV13,0.3*$CV13,TRUE)-_xlfn.NORM.DIST(AS$30,$CV13,0.3*$CV13,TRUE))),""),IF($C13&gt;0,summary!$C$10/28.8/0.947817,""))</f>
        <v/>
      </c>
      <c r="AT42">
        <f t="array" ref="AT42">IF($D13,IFERROR((SUMPRODUCT((economics!$AG$2:$AG$167=$B42)*(economics!$D$2:$D$167="whr")*economics!$AH$2:$AH$167*(_xlfn.NORM.DIST(AT$3,economics!$AK$2:$AK$167,economics!$AJ$2:$AJ$167,TRUE)-_xlfn.NORM.DIST(AT$30,economics!$AK$2:$AK$167,economics!$AJ$2:$AJ$167,TRUE))*economics!$AM$2:$AM$167)+$CR13*(_xlfn.NORM.DIST(AT$3,$CU13,0.3*$CU13,TRUE)-_xlfn.NORM.DIST(AT$30,$CU13,0.3*$CU13,TRUE))*summary!$C$7/28.8/0.947817+$CS13*(_xlfn.NORM.DIST(AT$3,$CV13,0.3*$CV13,TRUE)-_xlfn.NORM.DIST(AT$30,$CV13,0.3*$CV13,TRUE))*summary!$C$6/28.8/0.947817)/(SUMPRODUCT((economics!$AG$2:$AG$167=$B42)*(economics!$D$2:$D$167="whr")*economics!$AH$2:$AH$167*(_xlfn.NORM.DIST(AT$3,economics!$AK$2:$AK$167,economics!$AJ$2:$AJ$167,TRUE)-_xlfn.NORM.DIST(AT$30,economics!$AK$2:$AK$167,economics!$AJ$2:$AJ$167,TRUE)))+$CR13*(_xlfn.NORM.DIST(AT$3,$CU13,0.3*$CU13,TRUE)-_xlfn.NORM.DIST(AT$30,$CU13,0.3*$CU13,TRUE))+$CS13*(_xlfn.NORM.DIST(AT$3,$CV13,0.3*$CV13,TRUE)-_xlfn.NORM.DIST(AT$30,$CV13,0.3*$CV13,TRUE))),""),IF($C13&gt;0,summary!$C$10/28.8/0.947817,""))</f>
        <v/>
      </c>
      <c r="AU42">
        <f t="array" ref="AU42">IF($D13,IFERROR((SUMPRODUCT((economics!$AG$2:$AG$167=$B42)*(economics!$D$2:$D$167="whr")*economics!$AH$2:$AH$167*(_xlfn.NORM.DIST(AU$3,economics!$AK$2:$AK$167,economics!$AJ$2:$AJ$167,TRUE)-_xlfn.NORM.DIST(AU$30,economics!$AK$2:$AK$167,economics!$AJ$2:$AJ$167,TRUE))*economics!$AM$2:$AM$167)+$CR13*(_xlfn.NORM.DIST(AU$3,$CU13,0.3*$CU13,TRUE)-_xlfn.NORM.DIST(AU$30,$CU13,0.3*$CU13,TRUE))*summary!$C$7/28.8/0.947817+$CS13*(_xlfn.NORM.DIST(AU$3,$CV13,0.3*$CV13,TRUE)-_xlfn.NORM.DIST(AU$30,$CV13,0.3*$CV13,TRUE))*summary!$C$6/28.8/0.947817)/(SUMPRODUCT((economics!$AG$2:$AG$167=$B42)*(economics!$D$2:$D$167="whr")*economics!$AH$2:$AH$167*(_xlfn.NORM.DIST(AU$3,economics!$AK$2:$AK$167,economics!$AJ$2:$AJ$167,TRUE)-_xlfn.NORM.DIST(AU$30,economics!$AK$2:$AK$167,economics!$AJ$2:$AJ$167,TRUE)))+$CR13*(_xlfn.NORM.DIST(AU$3,$CU13,0.3*$CU13,TRUE)-_xlfn.NORM.DIST(AU$30,$CU13,0.3*$CU13,TRUE))+$CS13*(_xlfn.NORM.DIST(AU$3,$CV13,0.3*$CV13,TRUE)-_xlfn.NORM.DIST(AU$30,$CV13,0.3*$CV13,TRUE))),""),IF($C13&gt;0,summary!$C$10/28.8/0.947817,""))</f>
        <v/>
      </c>
      <c r="AV42">
        <f t="array" ref="AV42">IF($D13,IFERROR((SUMPRODUCT((economics!$AG$2:$AG$167=$B42)*(economics!$D$2:$D$167="whr")*economics!$AH$2:$AH$167*(_xlfn.NORM.DIST(AV$3,economics!$AK$2:$AK$167,economics!$AJ$2:$AJ$167,TRUE)-_xlfn.NORM.DIST(AV$30,economics!$AK$2:$AK$167,economics!$AJ$2:$AJ$167,TRUE))*economics!$AM$2:$AM$167)+$CR13*(_xlfn.NORM.DIST(AV$3,$CU13,0.3*$CU13,TRUE)-_xlfn.NORM.DIST(AV$30,$CU13,0.3*$CU13,TRUE))*summary!$C$7/28.8/0.947817+$CS13*(_xlfn.NORM.DIST(AV$3,$CV13,0.3*$CV13,TRUE)-_xlfn.NORM.DIST(AV$30,$CV13,0.3*$CV13,TRUE))*summary!$C$6/28.8/0.947817)/(SUMPRODUCT((economics!$AG$2:$AG$167=$B42)*(economics!$D$2:$D$167="whr")*economics!$AH$2:$AH$167*(_xlfn.NORM.DIST(AV$3,economics!$AK$2:$AK$167,economics!$AJ$2:$AJ$167,TRUE)-_xlfn.NORM.DIST(AV$30,economics!$AK$2:$AK$167,economics!$AJ$2:$AJ$167,TRUE)))+$CR13*(_xlfn.NORM.DIST(AV$3,$CU13,0.3*$CU13,TRUE)-_xlfn.NORM.DIST(AV$30,$CU13,0.3*$CU13,TRUE))+$CS13*(_xlfn.NORM.DIST(AV$3,$CV13,0.3*$CV13,TRUE)-_xlfn.NORM.DIST(AV$30,$CV13,0.3*$CV13,TRUE))),""),IF($C13&gt;0,summary!$C$10/28.8/0.947817,""))</f>
        <v/>
      </c>
      <c r="AW42">
        <f t="array" ref="AW42">IF($D13,IFERROR((SUMPRODUCT((economics!$AG$2:$AG$167=$B42)*(economics!$D$2:$D$167="whr")*economics!$AH$2:$AH$167*(_xlfn.NORM.DIST(AW$3,economics!$AK$2:$AK$167,economics!$AJ$2:$AJ$167,TRUE)-_xlfn.NORM.DIST(AW$30,economics!$AK$2:$AK$167,economics!$AJ$2:$AJ$167,TRUE))*economics!$AM$2:$AM$167)+$CR13*(_xlfn.NORM.DIST(AW$3,$CU13,0.3*$CU13,TRUE)-_xlfn.NORM.DIST(AW$30,$CU13,0.3*$CU13,TRUE))*summary!$C$7/28.8/0.947817+$CS13*(_xlfn.NORM.DIST(AW$3,$CV13,0.3*$CV13,TRUE)-_xlfn.NORM.DIST(AW$30,$CV13,0.3*$CV13,TRUE))*summary!$C$6/28.8/0.947817)/(SUMPRODUCT((economics!$AG$2:$AG$167=$B42)*(economics!$D$2:$D$167="whr")*economics!$AH$2:$AH$167*(_xlfn.NORM.DIST(AW$3,economics!$AK$2:$AK$167,economics!$AJ$2:$AJ$167,TRUE)-_xlfn.NORM.DIST(AW$30,economics!$AK$2:$AK$167,economics!$AJ$2:$AJ$167,TRUE)))+$CR13*(_xlfn.NORM.DIST(AW$3,$CU13,0.3*$CU13,TRUE)-_xlfn.NORM.DIST(AW$30,$CU13,0.3*$CU13,TRUE))+$CS13*(_xlfn.NORM.DIST(AW$3,$CV13,0.3*$CV13,TRUE)-_xlfn.NORM.DIST(AW$30,$CV13,0.3*$CV13,TRUE))),""),IF($C13&gt;0,summary!$C$10/28.8/0.947817,""))</f>
        <v/>
      </c>
      <c r="AX42">
        <f t="array" ref="AX42">IF($D13,IFERROR((SUMPRODUCT((economics!$AG$2:$AG$167=$B42)*(economics!$D$2:$D$167="whr")*economics!$AH$2:$AH$167*(_xlfn.NORM.DIST(AX$3,economics!$AK$2:$AK$167,economics!$AJ$2:$AJ$167,TRUE)-_xlfn.NORM.DIST(AX$30,economics!$AK$2:$AK$167,economics!$AJ$2:$AJ$167,TRUE))*economics!$AM$2:$AM$167)+$CR13*(_xlfn.NORM.DIST(AX$3,$CU13,0.3*$CU13,TRUE)-_xlfn.NORM.DIST(AX$30,$CU13,0.3*$CU13,TRUE))*summary!$C$7/28.8/0.947817+$CS13*(_xlfn.NORM.DIST(AX$3,$CV13,0.3*$CV13,TRUE)-_xlfn.NORM.DIST(AX$30,$CV13,0.3*$CV13,TRUE))*summary!$C$6/28.8/0.947817)/(SUMPRODUCT((economics!$AG$2:$AG$167=$B42)*(economics!$D$2:$D$167="whr")*economics!$AH$2:$AH$167*(_xlfn.NORM.DIST(AX$3,economics!$AK$2:$AK$167,economics!$AJ$2:$AJ$167,TRUE)-_xlfn.NORM.DIST(AX$30,economics!$AK$2:$AK$167,economics!$AJ$2:$AJ$167,TRUE)))+$CR13*(_xlfn.NORM.DIST(AX$3,$CU13,0.3*$CU13,TRUE)-_xlfn.NORM.DIST(AX$30,$CU13,0.3*$CU13,TRUE))+$CS13*(_xlfn.NORM.DIST(AX$3,$CV13,0.3*$CV13,TRUE)-_xlfn.NORM.DIST(AX$30,$CV13,0.3*$CV13,TRUE))),""),IF($C13&gt;0,summary!$C$10/28.8/0.947817,""))</f>
        <v/>
      </c>
      <c r="AY42">
        <f t="array" ref="AY42">IF($D13,IFERROR((SUMPRODUCT((economics!$AG$2:$AG$167=$B42)*(economics!$D$2:$D$167="whr")*economics!$AH$2:$AH$167*(_xlfn.NORM.DIST(AY$3,economics!$AK$2:$AK$167,economics!$AJ$2:$AJ$167,TRUE)-_xlfn.NORM.DIST(AY$30,economics!$AK$2:$AK$167,economics!$AJ$2:$AJ$167,TRUE))*economics!$AM$2:$AM$167)+$CR13*(_xlfn.NORM.DIST(AY$3,$CU13,0.3*$CU13,TRUE)-_xlfn.NORM.DIST(AY$30,$CU13,0.3*$CU13,TRUE))*summary!$C$7/28.8/0.947817+$CS13*(_xlfn.NORM.DIST(AY$3,$CV13,0.3*$CV13,TRUE)-_xlfn.NORM.DIST(AY$30,$CV13,0.3*$CV13,TRUE))*summary!$C$6/28.8/0.947817)/(SUMPRODUCT((economics!$AG$2:$AG$167=$B42)*(economics!$D$2:$D$167="whr")*economics!$AH$2:$AH$167*(_xlfn.NORM.DIST(AY$3,economics!$AK$2:$AK$167,economics!$AJ$2:$AJ$167,TRUE)-_xlfn.NORM.DIST(AY$30,economics!$AK$2:$AK$167,economics!$AJ$2:$AJ$167,TRUE)))+$CR13*(_xlfn.NORM.DIST(AY$3,$CU13,0.3*$CU13,TRUE)-_xlfn.NORM.DIST(AY$30,$CU13,0.3*$CU13,TRUE))+$CS13*(_xlfn.NORM.DIST(AY$3,$CV13,0.3*$CV13,TRUE)-_xlfn.NORM.DIST(AY$30,$CV13,0.3*$CV13,TRUE))),""),IF($C13&gt;0,summary!$C$10/28.8/0.947817,""))</f>
        <v/>
      </c>
      <c r="AZ42">
        <f t="array" ref="AZ42">IF($D13,IFERROR((SUMPRODUCT((economics!$AG$2:$AG$167=$B42)*(economics!$D$2:$D$167="whr")*economics!$AH$2:$AH$167*(_xlfn.NORM.DIST(AZ$3,economics!$AK$2:$AK$167,economics!$AJ$2:$AJ$167,TRUE)-_xlfn.NORM.DIST(AZ$30,economics!$AK$2:$AK$167,economics!$AJ$2:$AJ$167,TRUE))*economics!$AM$2:$AM$167)+$CR13*(_xlfn.NORM.DIST(AZ$3,$CU13,0.3*$CU13,TRUE)-_xlfn.NORM.DIST(AZ$30,$CU13,0.3*$CU13,TRUE))*summary!$C$7/28.8/0.947817+$CS13*(_xlfn.NORM.DIST(AZ$3,$CV13,0.3*$CV13,TRUE)-_xlfn.NORM.DIST(AZ$30,$CV13,0.3*$CV13,TRUE))*summary!$C$6/28.8/0.947817)/(SUMPRODUCT((economics!$AG$2:$AG$167=$B42)*(economics!$D$2:$D$167="whr")*economics!$AH$2:$AH$167*(_xlfn.NORM.DIST(AZ$3,economics!$AK$2:$AK$167,economics!$AJ$2:$AJ$167,TRUE)-_xlfn.NORM.DIST(AZ$30,economics!$AK$2:$AK$167,economics!$AJ$2:$AJ$167,TRUE)))+$CR13*(_xlfn.NORM.DIST(AZ$3,$CU13,0.3*$CU13,TRUE)-_xlfn.NORM.DIST(AZ$30,$CU13,0.3*$CU13,TRUE))+$CS13*(_xlfn.NORM.DIST(AZ$3,$CV13,0.3*$CV13,TRUE)-_xlfn.NORM.DIST(AZ$30,$CV13,0.3*$CV13,TRUE))),""),IF($C13&gt;0,summary!$C$10/28.8/0.947817,""))</f>
        <v/>
      </c>
      <c r="BA42">
        <f t="array" ref="BA42">IF($D13,IFERROR((SUMPRODUCT((economics!$AG$2:$AG$167=$B42)*(economics!$D$2:$D$167="whr")*economics!$AH$2:$AH$167*(_xlfn.NORM.DIST(BA$3,economics!$AK$2:$AK$167,economics!$AJ$2:$AJ$167,TRUE)-_xlfn.NORM.DIST(BA$30,economics!$AK$2:$AK$167,economics!$AJ$2:$AJ$167,TRUE))*economics!$AM$2:$AM$167)+$CR13*(_xlfn.NORM.DIST(BA$3,$CU13,0.3*$CU13,TRUE)-_xlfn.NORM.DIST(BA$30,$CU13,0.3*$CU13,TRUE))*summary!$C$7/28.8/0.947817+$CS13*(_xlfn.NORM.DIST(BA$3,$CV13,0.3*$CV13,TRUE)-_xlfn.NORM.DIST(BA$30,$CV13,0.3*$CV13,TRUE))*summary!$C$6/28.8/0.947817)/(SUMPRODUCT((economics!$AG$2:$AG$167=$B42)*(economics!$D$2:$D$167="whr")*economics!$AH$2:$AH$167*(_xlfn.NORM.DIST(BA$3,economics!$AK$2:$AK$167,economics!$AJ$2:$AJ$167,TRUE)-_xlfn.NORM.DIST(BA$30,economics!$AK$2:$AK$167,economics!$AJ$2:$AJ$167,TRUE)))+$CR13*(_xlfn.NORM.DIST(BA$3,$CU13,0.3*$CU13,TRUE)-_xlfn.NORM.DIST(BA$30,$CU13,0.3*$CU13,TRUE))+$CS13*(_xlfn.NORM.DIST(BA$3,$CV13,0.3*$CV13,TRUE)-_xlfn.NORM.DIST(BA$30,$CV13,0.3*$CV13,TRUE))),""),IF($C13&gt;0,summary!$C$10/28.8/0.947817,""))</f>
        <v/>
      </c>
      <c r="BB42">
        <f t="array" ref="BB42">IF($D13,IFERROR((SUMPRODUCT((economics!$AG$2:$AG$167=$B42)*(economics!$D$2:$D$167="whr")*economics!$AH$2:$AH$167*(_xlfn.NORM.DIST(BB$3,economics!$AK$2:$AK$167,economics!$AJ$2:$AJ$167,TRUE)-_xlfn.NORM.DIST(BB$30,economics!$AK$2:$AK$167,economics!$AJ$2:$AJ$167,TRUE))*economics!$AM$2:$AM$167)+$CR13*(_xlfn.NORM.DIST(BB$3,$CU13,0.3*$CU13,TRUE)-_xlfn.NORM.DIST(BB$30,$CU13,0.3*$CU13,TRUE))*summary!$C$7/28.8/0.947817+$CS13*(_xlfn.NORM.DIST(BB$3,$CV13,0.3*$CV13,TRUE)-_xlfn.NORM.DIST(BB$30,$CV13,0.3*$CV13,TRUE))*summary!$C$6/28.8/0.947817)/(SUMPRODUCT((economics!$AG$2:$AG$167=$B42)*(economics!$D$2:$D$167="whr")*economics!$AH$2:$AH$167*(_xlfn.NORM.DIST(BB$3,economics!$AK$2:$AK$167,economics!$AJ$2:$AJ$167,TRUE)-_xlfn.NORM.DIST(BB$30,economics!$AK$2:$AK$167,economics!$AJ$2:$AJ$167,TRUE)))+$CR13*(_xlfn.NORM.DIST(BB$3,$CU13,0.3*$CU13,TRUE)-_xlfn.NORM.DIST(BB$30,$CU13,0.3*$CU13,TRUE))+$CS13*(_xlfn.NORM.DIST(BB$3,$CV13,0.3*$CV13,TRUE)-_xlfn.NORM.DIST(BB$30,$CV13,0.3*$CV13,TRUE))),""),IF($C13&gt;0,summary!$C$10/28.8/0.947817,""))</f>
        <v/>
      </c>
      <c r="BC42">
        <f t="array" ref="BC42">IF($D13,IFERROR((SUMPRODUCT((economics!$AG$2:$AG$167=$B42)*(economics!$D$2:$D$167="whr")*economics!$AH$2:$AH$167*(_xlfn.NORM.DIST(BC$3,economics!$AK$2:$AK$167,economics!$AJ$2:$AJ$167,TRUE)-_xlfn.NORM.DIST(BC$30,economics!$AK$2:$AK$167,economics!$AJ$2:$AJ$167,TRUE))*economics!$AM$2:$AM$167)+$CR13*(_xlfn.NORM.DIST(BC$3,$CU13,0.3*$CU13,TRUE)-_xlfn.NORM.DIST(BC$30,$CU13,0.3*$CU13,TRUE))*summary!$C$7/28.8/0.947817+$CS13*(_xlfn.NORM.DIST(BC$3,$CV13,0.3*$CV13,TRUE)-_xlfn.NORM.DIST(BC$30,$CV13,0.3*$CV13,TRUE))*summary!$C$6/28.8/0.947817)/(SUMPRODUCT((economics!$AG$2:$AG$167=$B42)*(economics!$D$2:$D$167="whr")*economics!$AH$2:$AH$167*(_xlfn.NORM.DIST(BC$3,economics!$AK$2:$AK$167,economics!$AJ$2:$AJ$167,TRUE)-_xlfn.NORM.DIST(BC$30,economics!$AK$2:$AK$167,economics!$AJ$2:$AJ$167,TRUE)))+$CR13*(_xlfn.NORM.DIST(BC$3,$CU13,0.3*$CU13,TRUE)-_xlfn.NORM.DIST(BC$30,$CU13,0.3*$CU13,TRUE))+$CS13*(_xlfn.NORM.DIST(BC$3,$CV13,0.3*$CV13,TRUE)-_xlfn.NORM.DIST(BC$30,$CV13,0.3*$CV13,TRUE))),""),IF($C13&gt;0,summary!$C$10/28.8/0.947817,""))</f>
        <v/>
      </c>
      <c r="BD42">
        <f t="array" ref="BD42">IF($D13,IFERROR((SUMPRODUCT((economics!$AG$2:$AG$167=$B42)*(economics!$D$2:$D$167="whr")*economics!$AH$2:$AH$167*(_xlfn.NORM.DIST(BD$3,economics!$AK$2:$AK$167,economics!$AJ$2:$AJ$167,TRUE)-_xlfn.NORM.DIST(BD$30,economics!$AK$2:$AK$167,economics!$AJ$2:$AJ$167,TRUE))*economics!$AM$2:$AM$167)+$CR13*(_xlfn.NORM.DIST(BD$3,$CU13,0.3*$CU13,TRUE)-_xlfn.NORM.DIST(BD$30,$CU13,0.3*$CU13,TRUE))*summary!$C$7/28.8/0.947817+$CS13*(_xlfn.NORM.DIST(BD$3,$CV13,0.3*$CV13,TRUE)-_xlfn.NORM.DIST(BD$30,$CV13,0.3*$CV13,TRUE))*summary!$C$6/28.8/0.947817)/(SUMPRODUCT((economics!$AG$2:$AG$167=$B42)*(economics!$D$2:$D$167="whr")*economics!$AH$2:$AH$167*(_xlfn.NORM.DIST(BD$3,economics!$AK$2:$AK$167,economics!$AJ$2:$AJ$167,TRUE)-_xlfn.NORM.DIST(BD$30,economics!$AK$2:$AK$167,economics!$AJ$2:$AJ$167,TRUE)))+$CR13*(_xlfn.NORM.DIST(BD$3,$CU13,0.3*$CU13,TRUE)-_xlfn.NORM.DIST(BD$30,$CU13,0.3*$CU13,TRUE))+$CS13*(_xlfn.NORM.DIST(BD$3,$CV13,0.3*$CV13,TRUE)-_xlfn.NORM.DIST(BD$30,$CV13,0.3*$CV13,TRUE))),""),IF($C13&gt;0,summary!$C$10/28.8/0.947817,""))</f>
        <v/>
      </c>
      <c r="BE42">
        <f t="array" ref="BE42">IF($D13,IFERROR((SUMPRODUCT((economics!$AG$2:$AG$167=$B42)*(economics!$D$2:$D$167="whr")*economics!$AH$2:$AH$167*(_xlfn.NORM.DIST(BE$3,economics!$AK$2:$AK$167,economics!$AJ$2:$AJ$167,TRUE)-_xlfn.NORM.DIST(BE$30,economics!$AK$2:$AK$167,economics!$AJ$2:$AJ$167,TRUE))*economics!$AM$2:$AM$167)+$CR13*(_xlfn.NORM.DIST(BE$3,$CU13,0.3*$CU13,TRUE)-_xlfn.NORM.DIST(BE$30,$CU13,0.3*$CU13,TRUE))*summary!$C$7/28.8/0.947817+$CS13*(_xlfn.NORM.DIST(BE$3,$CV13,0.3*$CV13,TRUE)-_xlfn.NORM.DIST(BE$30,$CV13,0.3*$CV13,TRUE))*summary!$C$6/28.8/0.947817)/(SUMPRODUCT((economics!$AG$2:$AG$167=$B42)*(economics!$D$2:$D$167="whr")*economics!$AH$2:$AH$167*(_xlfn.NORM.DIST(BE$3,economics!$AK$2:$AK$167,economics!$AJ$2:$AJ$167,TRUE)-_xlfn.NORM.DIST(BE$30,economics!$AK$2:$AK$167,economics!$AJ$2:$AJ$167,TRUE)))+$CR13*(_xlfn.NORM.DIST(BE$3,$CU13,0.3*$CU13,TRUE)-_xlfn.NORM.DIST(BE$30,$CU13,0.3*$CU13,TRUE))+$CS13*(_xlfn.NORM.DIST(BE$3,$CV13,0.3*$CV13,TRUE)-_xlfn.NORM.DIST(BE$30,$CV13,0.3*$CV13,TRUE))),""),IF($C13&gt;0,summary!$C$10/28.8/0.947817,""))</f>
        <v/>
      </c>
      <c r="BF42">
        <f t="array" ref="BF42">IF($D13,IFERROR((SUMPRODUCT((economics!$AG$2:$AG$167=$B42)*(economics!$D$2:$D$167="whr")*economics!$AH$2:$AH$167*(_xlfn.NORM.DIST(BF$3,economics!$AK$2:$AK$167,economics!$AJ$2:$AJ$167,TRUE)-_xlfn.NORM.DIST(BF$30,economics!$AK$2:$AK$167,economics!$AJ$2:$AJ$167,TRUE))*economics!$AM$2:$AM$167)+$CR13*(_xlfn.NORM.DIST(BF$3,$CU13,0.3*$CU13,TRUE)-_xlfn.NORM.DIST(BF$30,$CU13,0.3*$CU13,TRUE))*summary!$C$7/28.8/0.947817+$CS13*(_xlfn.NORM.DIST(BF$3,$CV13,0.3*$CV13,TRUE)-_xlfn.NORM.DIST(BF$30,$CV13,0.3*$CV13,TRUE))*summary!$C$6/28.8/0.947817)/(SUMPRODUCT((economics!$AG$2:$AG$167=$B42)*(economics!$D$2:$D$167="whr")*economics!$AH$2:$AH$167*(_xlfn.NORM.DIST(BF$3,economics!$AK$2:$AK$167,economics!$AJ$2:$AJ$167,TRUE)-_xlfn.NORM.DIST(BF$30,economics!$AK$2:$AK$167,economics!$AJ$2:$AJ$167,TRUE)))+$CR13*(_xlfn.NORM.DIST(BF$3,$CU13,0.3*$CU13,TRUE)-_xlfn.NORM.DIST(BF$30,$CU13,0.3*$CU13,TRUE))+$CS13*(_xlfn.NORM.DIST(BF$3,$CV13,0.3*$CV13,TRUE)-_xlfn.NORM.DIST(BF$30,$CV13,0.3*$CV13,TRUE))),""),IF($C13&gt;0,summary!$C$10/28.8/0.947817,""))</f>
        <v/>
      </c>
      <c r="BG42">
        <f t="array" ref="BG42">IF($D13,IFERROR((SUMPRODUCT((economics!$AG$2:$AG$167=$B42)*(economics!$D$2:$D$167="whr")*economics!$AH$2:$AH$167*(_xlfn.NORM.DIST(BG$3,economics!$AK$2:$AK$167,economics!$AJ$2:$AJ$167,TRUE)-_xlfn.NORM.DIST(BG$30,economics!$AK$2:$AK$167,economics!$AJ$2:$AJ$167,TRUE))*economics!$AM$2:$AM$167)+$CR13*(_xlfn.NORM.DIST(BG$3,$CU13,0.3*$CU13,TRUE)-_xlfn.NORM.DIST(BG$30,$CU13,0.3*$CU13,TRUE))*summary!$C$7/28.8/0.947817+$CS13*(_xlfn.NORM.DIST(BG$3,$CV13,0.3*$CV13,TRUE)-_xlfn.NORM.DIST(BG$30,$CV13,0.3*$CV13,TRUE))*summary!$C$6/28.8/0.947817)/(SUMPRODUCT((economics!$AG$2:$AG$167=$B42)*(economics!$D$2:$D$167="whr")*economics!$AH$2:$AH$167*(_xlfn.NORM.DIST(BG$3,economics!$AK$2:$AK$167,economics!$AJ$2:$AJ$167,TRUE)-_xlfn.NORM.DIST(BG$30,economics!$AK$2:$AK$167,economics!$AJ$2:$AJ$167,TRUE)))+$CR13*(_xlfn.NORM.DIST(BG$3,$CU13,0.3*$CU13,TRUE)-_xlfn.NORM.DIST(BG$30,$CU13,0.3*$CU13,TRUE))+$CS13*(_xlfn.NORM.DIST(BG$3,$CV13,0.3*$CV13,TRUE)-_xlfn.NORM.DIST(BG$30,$CV13,0.3*$CV13,TRUE))),""),IF($C13&gt;0,summary!$C$10/28.8/0.947817,""))</f>
        <v/>
      </c>
      <c r="BH42">
        <f t="array" ref="BH42">IF($D13,IFERROR((SUMPRODUCT((economics!$AG$2:$AG$167=$B42)*(economics!$D$2:$D$167="whr")*economics!$AH$2:$AH$167*(_xlfn.NORM.DIST(BH$3,economics!$AK$2:$AK$167,economics!$AJ$2:$AJ$167,TRUE)-_xlfn.NORM.DIST(BH$30,economics!$AK$2:$AK$167,economics!$AJ$2:$AJ$167,TRUE))*economics!$AM$2:$AM$167)+$CR13*(_xlfn.NORM.DIST(BH$3,$CU13,0.3*$CU13,TRUE)-_xlfn.NORM.DIST(BH$30,$CU13,0.3*$CU13,TRUE))*summary!$C$7/28.8/0.947817+$CS13*(_xlfn.NORM.DIST(BH$3,$CV13,0.3*$CV13,TRUE)-_xlfn.NORM.DIST(BH$30,$CV13,0.3*$CV13,TRUE))*summary!$C$6/28.8/0.947817)/(SUMPRODUCT((economics!$AG$2:$AG$167=$B42)*(economics!$D$2:$D$167="whr")*economics!$AH$2:$AH$167*(_xlfn.NORM.DIST(BH$3,economics!$AK$2:$AK$167,economics!$AJ$2:$AJ$167,TRUE)-_xlfn.NORM.DIST(BH$30,economics!$AK$2:$AK$167,economics!$AJ$2:$AJ$167,TRUE)))+$CR13*(_xlfn.NORM.DIST(BH$3,$CU13,0.3*$CU13,TRUE)-_xlfn.NORM.DIST(BH$30,$CU13,0.3*$CU13,TRUE))+$CS13*(_xlfn.NORM.DIST(BH$3,$CV13,0.3*$CV13,TRUE)-_xlfn.NORM.DIST(BH$30,$CV13,0.3*$CV13,TRUE))),""),IF($C13&gt;0,summary!$C$10/28.8/0.947817,""))</f>
        <v/>
      </c>
      <c r="BI42">
        <f t="array" ref="BI42">IF($D13,IFERROR((SUMPRODUCT((economics!$AG$2:$AG$167=$B42)*(economics!$D$2:$D$167="whr")*economics!$AH$2:$AH$167*(_xlfn.NORM.DIST(BI$3,economics!$AK$2:$AK$167,economics!$AJ$2:$AJ$167,TRUE)-_xlfn.NORM.DIST(BI$30,economics!$AK$2:$AK$167,economics!$AJ$2:$AJ$167,TRUE))*economics!$AM$2:$AM$167)+$CR13*(_xlfn.NORM.DIST(BI$3,$CU13,0.3*$CU13,TRUE)-_xlfn.NORM.DIST(BI$30,$CU13,0.3*$CU13,TRUE))*summary!$C$7/28.8/0.947817+$CS13*(_xlfn.NORM.DIST(BI$3,$CV13,0.3*$CV13,TRUE)-_xlfn.NORM.DIST(BI$30,$CV13,0.3*$CV13,TRUE))*summary!$C$6/28.8/0.947817)/(SUMPRODUCT((economics!$AG$2:$AG$167=$B42)*(economics!$D$2:$D$167="whr")*economics!$AH$2:$AH$167*(_xlfn.NORM.DIST(BI$3,economics!$AK$2:$AK$167,economics!$AJ$2:$AJ$167,TRUE)-_xlfn.NORM.DIST(BI$30,economics!$AK$2:$AK$167,economics!$AJ$2:$AJ$167,TRUE)))+$CR13*(_xlfn.NORM.DIST(BI$3,$CU13,0.3*$CU13,TRUE)-_xlfn.NORM.DIST(BI$30,$CU13,0.3*$CU13,TRUE))+$CS13*(_xlfn.NORM.DIST(BI$3,$CV13,0.3*$CV13,TRUE)-_xlfn.NORM.DIST(BI$30,$CV13,0.3*$CV13,TRUE))),""),IF($C13&gt;0,summary!$C$10/28.8/0.947817,""))</f>
        <v/>
      </c>
      <c r="BJ42">
        <f t="array" ref="BJ42">IF($D13,IFERROR((SUMPRODUCT((economics!$AG$2:$AG$167=$B42)*(economics!$D$2:$D$167="whr")*economics!$AH$2:$AH$167*(_xlfn.NORM.DIST(BJ$3,economics!$AK$2:$AK$167,economics!$AJ$2:$AJ$167,TRUE)-_xlfn.NORM.DIST(BJ$30,economics!$AK$2:$AK$167,economics!$AJ$2:$AJ$167,TRUE))*economics!$AM$2:$AM$167)+$CR13*(_xlfn.NORM.DIST(BJ$3,$CU13,0.3*$CU13,TRUE)-_xlfn.NORM.DIST(BJ$30,$CU13,0.3*$CU13,TRUE))*summary!$C$7/28.8/0.947817+$CS13*(_xlfn.NORM.DIST(BJ$3,$CV13,0.3*$CV13,TRUE)-_xlfn.NORM.DIST(BJ$30,$CV13,0.3*$CV13,TRUE))*summary!$C$6/28.8/0.947817)/(SUMPRODUCT((economics!$AG$2:$AG$167=$B42)*(economics!$D$2:$D$167="whr")*economics!$AH$2:$AH$167*(_xlfn.NORM.DIST(BJ$3,economics!$AK$2:$AK$167,economics!$AJ$2:$AJ$167,TRUE)-_xlfn.NORM.DIST(BJ$30,economics!$AK$2:$AK$167,economics!$AJ$2:$AJ$167,TRUE)))+$CR13*(_xlfn.NORM.DIST(BJ$3,$CU13,0.3*$CU13,TRUE)-_xlfn.NORM.DIST(BJ$30,$CU13,0.3*$CU13,TRUE))+$CS13*(_xlfn.NORM.DIST(BJ$3,$CV13,0.3*$CV13,TRUE)-_xlfn.NORM.DIST(BJ$30,$CV13,0.3*$CV13,TRUE))),""),IF($C13&gt;0,summary!$C$10/28.8/0.947817,""))</f>
        <v/>
      </c>
      <c r="BK42">
        <f t="array" ref="BK42">IF($D13,IFERROR((SUMPRODUCT((economics!$AG$2:$AG$167=$B42)*(economics!$D$2:$D$167="whr")*economics!$AH$2:$AH$167*(_xlfn.NORM.DIST(BK$3,economics!$AK$2:$AK$167,economics!$AJ$2:$AJ$167,TRUE)-_xlfn.NORM.DIST(BK$30,economics!$AK$2:$AK$167,economics!$AJ$2:$AJ$167,TRUE))*economics!$AM$2:$AM$167)+$CR13*(_xlfn.NORM.DIST(BK$3,$CU13,0.3*$CU13,TRUE)-_xlfn.NORM.DIST(BK$30,$CU13,0.3*$CU13,TRUE))*summary!$C$7/28.8/0.947817+$CS13*(_xlfn.NORM.DIST(BK$3,$CV13,0.3*$CV13,TRUE)-_xlfn.NORM.DIST(BK$30,$CV13,0.3*$CV13,TRUE))*summary!$C$6/28.8/0.947817)/(SUMPRODUCT((economics!$AG$2:$AG$167=$B42)*(economics!$D$2:$D$167="whr")*economics!$AH$2:$AH$167*(_xlfn.NORM.DIST(BK$3,economics!$AK$2:$AK$167,economics!$AJ$2:$AJ$167,TRUE)-_xlfn.NORM.DIST(BK$30,economics!$AK$2:$AK$167,economics!$AJ$2:$AJ$167,TRUE)))+$CR13*(_xlfn.NORM.DIST(BK$3,$CU13,0.3*$CU13,TRUE)-_xlfn.NORM.DIST(BK$30,$CU13,0.3*$CU13,TRUE))+$CS13*(_xlfn.NORM.DIST(BK$3,$CV13,0.3*$CV13,TRUE)-_xlfn.NORM.DIST(BK$30,$CV13,0.3*$CV13,TRUE))),""),IF($C13&gt;0,summary!$C$10/28.8/0.947817,""))</f>
        <v/>
      </c>
      <c r="BL42">
        <f t="array" ref="BL42">IF($D13,IFERROR((SUMPRODUCT((economics!$AG$2:$AG$167=$B42)*(economics!$D$2:$D$167="whr")*economics!$AH$2:$AH$167*(_xlfn.NORM.DIST(BL$3,economics!$AK$2:$AK$167,economics!$AJ$2:$AJ$167,TRUE)-_xlfn.NORM.DIST(BL$30,economics!$AK$2:$AK$167,economics!$AJ$2:$AJ$167,TRUE))*economics!$AM$2:$AM$167)+$CR13*(_xlfn.NORM.DIST(BL$3,$CU13,0.3*$CU13,TRUE)-_xlfn.NORM.DIST(BL$30,$CU13,0.3*$CU13,TRUE))*summary!$C$7/28.8/0.947817+$CS13*(_xlfn.NORM.DIST(BL$3,$CV13,0.3*$CV13,TRUE)-_xlfn.NORM.DIST(BL$30,$CV13,0.3*$CV13,TRUE))*summary!$C$6/28.8/0.947817)/(SUMPRODUCT((economics!$AG$2:$AG$167=$B42)*(economics!$D$2:$D$167="whr")*economics!$AH$2:$AH$167*(_xlfn.NORM.DIST(BL$3,economics!$AK$2:$AK$167,economics!$AJ$2:$AJ$167,TRUE)-_xlfn.NORM.DIST(BL$30,economics!$AK$2:$AK$167,economics!$AJ$2:$AJ$167,TRUE)))+$CR13*(_xlfn.NORM.DIST(BL$3,$CU13,0.3*$CU13,TRUE)-_xlfn.NORM.DIST(BL$30,$CU13,0.3*$CU13,TRUE))+$CS13*(_xlfn.NORM.DIST(BL$3,$CV13,0.3*$CV13,TRUE)-_xlfn.NORM.DIST(BL$30,$CV13,0.3*$CV13,TRUE))),""),IF($C13&gt;0,summary!$C$10/28.8/0.947817,""))</f>
        <v/>
      </c>
      <c r="BM42">
        <f t="array" ref="BM42">IF($D13,IFERROR((SUMPRODUCT((economics!$AG$2:$AG$167=$B42)*(economics!$D$2:$D$167="whr")*economics!$AH$2:$AH$167*(_xlfn.NORM.DIST(BM$3,economics!$AK$2:$AK$167,economics!$AJ$2:$AJ$167,TRUE)-_xlfn.NORM.DIST(BM$30,economics!$AK$2:$AK$167,economics!$AJ$2:$AJ$167,TRUE))*economics!$AM$2:$AM$167)+$CR13*(_xlfn.NORM.DIST(BM$3,$CU13,0.3*$CU13,TRUE)-_xlfn.NORM.DIST(BM$30,$CU13,0.3*$CU13,TRUE))*summary!$C$7/28.8/0.947817+$CS13*(_xlfn.NORM.DIST(BM$3,$CV13,0.3*$CV13,TRUE)-_xlfn.NORM.DIST(BM$30,$CV13,0.3*$CV13,TRUE))*summary!$C$6/28.8/0.947817)/(SUMPRODUCT((economics!$AG$2:$AG$167=$B42)*(economics!$D$2:$D$167="whr")*economics!$AH$2:$AH$167*(_xlfn.NORM.DIST(BM$3,economics!$AK$2:$AK$167,economics!$AJ$2:$AJ$167,TRUE)-_xlfn.NORM.DIST(BM$30,economics!$AK$2:$AK$167,economics!$AJ$2:$AJ$167,TRUE)))+$CR13*(_xlfn.NORM.DIST(BM$3,$CU13,0.3*$CU13,TRUE)-_xlfn.NORM.DIST(BM$30,$CU13,0.3*$CU13,TRUE))+$CS13*(_xlfn.NORM.DIST(BM$3,$CV13,0.3*$CV13,TRUE)-_xlfn.NORM.DIST(BM$30,$CV13,0.3*$CV13,TRUE))),""),IF($C13&gt;0,summary!$C$10/28.8/0.947817,""))</f>
        <v/>
      </c>
      <c r="BN42">
        <f t="array" ref="BN42">IF($D13,IFERROR((SUMPRODUCT((economics!$AG$2:$AG$167=$B42)*(economics!$D$2:$D$167="whr")*economics!$AH$2:$AH$167*(_xlfn.NORM.DIST(BN$3,economics!$AK$2:$AK$167,economics!$AJ$2:$AJ$167,TRUE)-_xlfn.NORM.DIST(BN$30,economics!$AK$2:$AK$167,economics!$AJ$2:$AJ$167,TRUE))*economics!$AM$2:$AM$167)+$CR13*(_xlfn.NORM.DIST(BN$3,$CU13,0.3*$CU13,TRUE)-_xlfn.NORM.DIST(BN$30,$CU13,0.3*$CU13,TRUE))*summary!$C$7/28.8/0.947817+$CS13*(_xlfn.NORM.DIST(BN$3,$CV13,0.3*$CV13,TRUE)-_xlfn.NORM.DIST(BN$30,$CV13,0.3*$CV13,TRUE))*summary!$C$6/28.8/0.947817)/(SUMPRODUCT((economics!$AG$2:$AG$167=$B42)*(economics!$D$2:$D$167="whr")*economics!$AH$2:$AH$167*(_xlfn.NORM.DIST(BN$3,economics!$AK$2:$AK$167,economics!$AJ$2:$AJ$167,TRUE)-_xlfn.NORM.DIST(BN$30,economics!$AK$2:$AK$167,economics!$AJ$2:$AJ$167,TRUE)))+$CR13*(_xlfn.NORM.DIST(BN$3,$CU13,0.3*$CU13,TRUE)-_xlfn.NORM.DIST(BN$30,$CU13,0.3*$CU13,TRUE))+$CS13*(_xlfn.NORM.DIST(BN$3,$CV13,0.3*$CV13,TRUE)-_xlfn.NORM.DIST(BN$30,$CV13,0.3*$CV13,TRUE))),""),IF($C13&gt;0,summary!$C$10/28.8/0.947817,""))</f>
        <v/>
      </c>
      <c r="BO42">
        <f t="array" ref="BO42">IF($D13,IFERROR((SUMPRODUCT((economics!$AG$2:$AG$167=$B42)*(economics!$D$2:$D$167="whr")*economics!$AH$2:$AH$167*(_xlfn.NORM.DIST(BO$3,economics!$AK$2:$AK$167,economics!$AJ$2:$AJ$167,TRUE)-_xlfn.NORM.DIST(BO$30,economics!$AK$2:$AK$167,economics!$AJ$2:$AJ$167,TRUE))*economics!$AM$2:$AM$167)+$CR13*(_xlfn.NORM.DIST(BO$3,$CU13,0.3*$CU13,TRUE)-_xlfn.NORM.DIST(BO$30,$CU13,0.3*$CU13,TRUE))*summary!$C$7/28.8/0.947817+$CS13*(_xlfn.NORM.DIST(BO$3,$CV13,0.3*$CV13,TRUE)-_xlfn.NORM.DIST(BO$30,$CV13,0.3*$CV13,TRUE))*summary!$C$6/28.8/0.947817)/(SUMPRODUCT((economics!$AG$2:$AG$167=$B42)*(economics!$D$2:$D$167="whr")*economics!$AH$2:$AH$167*(_xlfn.NORM.DIST(BO$3,economics!$AK$2:$AK$167,economics!$AJ$2:$AJ$167,TRUE)-_xlfn.NORM.DIST(BO$30,economics!$AK$2:$AK$167,economics!$AJ$2:$AJ$167,TRUE)))+$CR13*(_xlfn.NORM.DIST(BO$3,$CU13,0.3*$CU13,TRUE)-_xlfn.NORM.DIST(BO$30,$CU13,0.3*$CU13,TRUE))+$CS13*(_xlfn.NORM.DIST(BO$3,$CV13,0.3*$CV13,TRUE)-_xlfn.NORM.DIST(BO$30,$CV13,0.3*$CV13,TRUE))),""),IF($C13&gt;0,summary!$C$10/28.8/0.947817,""))</f>
        <v/>
      </c>
      <c r="BP42">
        <f t="array" ref="BP42">IF($D13,IFERROR((SUMPRODUCT((economics!$AG$2:$AG$167=$B42)*(economics!$D$2:$D$167="whr")*economics!$AH$2:$AH$167*(_xlfn.NORM.DIST(BP$3,economics!$AK$2:$AK$167,economics!$AJ$2:$AJ$167,TRUE)-_xlfn.NORM.DIST(BP$30,economics!$AK$2:$AK$167,economics!$AJ$2:$AJ$167,TRUE))*economics!$AM$2:$AM$167)+$CR13*(_xlfn.NORM.DIST(BP$3,$CU13,0.3*$CU13,TRUE)-_xlfn.NORM.DIST(BP$30,$CU13,0.3*$CU13,TRUE))*summary!$C$7/28.8/0.947817+$CS13*(_xlfn.NORM.DIST(BP$3,$CV13,0.3*$CV13,TRUE)-_xlfn.NORM.DIST(BP$30,$CV13,0.3*$CV13,TRUE))*summary!$C$6/28.8/0.947817)/(SUMPRODUCT((economics!$AG$2:$AG$167=$B42)*(economics!$D$2:$D$167="whr")*economics!$AH$2:$AH$167*(_xlfn.NORM.DIST(BP$3,economics!$AK$2:$AK$167,economics!$AJ$2:$AJ$167,TRUE)-_xlfn.NORM.DIST(BP$30,economics!$AK$2:$AK$167,economics!$AJ$2:$AJ$167,TRUE)))+$CR13*(_xlfn.NORM.DIST(BP$3,$CU13,0.3*$CU13,TRUE)-_xlfn.NORM.DIST(BP$30,$CU13,0.3*$CU13,TRUE))+$CS13*(_xlfn.NORM.DIST(BP$3,$CV13,0.3*$CV13,TRUE)-_xlfn.NORM.DIST(BP$30,$CV13,0.3*$CV13,TRUE))),""),IF($C13&gt;0,summary!$C$10/28.8/0.947817,""))</f>
        <v/>
      </c>
      <c r="BQ42">
        <f t="array" ref="BQ42">IF($D13,IFERROR((SUMPRODUCT((economics!$AG$2:$AG$167=$B42)*(economics!$D$2:$D$167="whr")*economics!$AH$2:$AH$167*(_xlfn.NORM.DIST(BQ$3,economics!$AK$2:$AK$167,economics!$AJ$2:$AJ$167,TRUE)-_xlfn.NORM.DIST(BQ$30,economics!$AK$2:$AK$167,economics!$AJ$2:$AJ$167,TRUE))*economics!$AM$2:$AM$167)+$CR13*(_xlfn.NORM.DIST(BQ$3,$CU13,0.3*$CU13,TRUE)-_xlfn.NORM.DIST(BQ$30,$CU13,0.3*$CU13,TRUE))*summary!$C$7/28.8/0.947817+$CS13*(_xlfn.NORM.DIST(BQ$3,$CV13,0.3*$CV13,TRUE)-_xlfn.NORM.DIST(BQ$30,$CV13,0.3*$CV13,TRUE))*summary!$C$6/28.8/0.947817)/(SUMPRODUCT((economics!$AG$2:$AG$167=$B42)*(economics!$D$2:$D$167="whr")*economics!$AH$2:$AH$167*(_xlfn.NORM.DIST(BQ$3,economics!$AK$2:$AK$167,economics!$AJ$2:$AJ$167,TRUE)-_xlfn.NORM.DIST(BQ$30,economics!$AK$2:$AK$167,economics!$AJ$2:$AJ$167,TRUE)))+$CR13*(_xlfn.NORM.DIST(BQ$3,$CU13,0.3*$CU13,TRUE)-_xlfn.NORM.DIST(BQ$30,$CU13,0.3*$CU13,TRUE))+$CS13*(_xlfn.NORM.DIST(BQ$3,$CV13,0.3*$CV13,TRUE)-_xlfn.NORM.DIST(BQ$30,$CV13,0.3*$CV13,TRUE))),""),IF($C13&gt;0,summary!$C$10/28.8/0.947817,""))</f>
        <v/>
      </c>
      <c r="BR42">
        <f t="array" ref="BR42">IF($D13,IFERROR((SUMPRODUCT((economics!$AG$2:$AG$167=$B42)*(economics!$D$2:$D$167="whr")*economics!$AH$2:$AH$167*(_xlfn.NORM.DIST(BR$3,economics!$AK$2:$AK$167,economics!$AJ$2:$AJ$167,TRUE)-_xlfn.NORM.DIST(BR$30,economics!$AK$2:$AK$167,economics!$AJ$2:$AJ$167,TRUE))*economics!$AM$2:$AM$167)+$CR13*(_xlfn.NORM.DIST(BR$3,$CU13,0.3*$CU13,TRUE)-_xlfn.NORM.DIST(BR$30,$CU13,0.3*$CU13,TRUE))*summary!$C$7/28.8/0.947817+$CS13*(_xlfn.NORM.DIST(BR$3,$CV13,0.3*$CV13,TRUE)-_xlfn.NORM.DIST(BR$30,$CV13,0.3*$CV13,TRUE))*summary!$C$6/28.8/0.947817)/(SUMPRODUCT((economics!$AG$2:$AG$167=$B42)*(economics!$D$2:$D$167="whr")*economics!$AH$2:$AH$167*(_xlfn.NORM.DIST(BR$3,economics!$AK$2:$AK$167,economics!$AJ$2:$AJ$167,TRUE)-_xlfn.NORM.DIST(BR$30,economics!$AK$2:$AK$167,economics!$AJ$2:$AJ$167,TRUE)))+$CR13*(_xlfn.NORM.DIST(BR$3,$CU13,0.3*$CU13,TRUE)-_xlfn.NORM.DIST(BR$30,$CU13,0.3*$CU13,TRUE))+$CS13*(_xlfn.NORM.DIST(BR$3,$CV13,0.3*$CV13,TRUE)-_xlfn.NORM.DIST(BR$30,$CV13,0.3*$CV13,TRUE))),""),IF($C13&gt;0,summary!$C$10/28.8/0.947817,""))</f>
        <v/>
      </c>
      <c r="BS42">
        <f t="array" ref="BS42">IF($D13,IFERROR((SUMPRODUCT((economics!$AG$2:$AG$167=$B42)*(economics!$D$2:$D$167="whr")*economics!$AH$2:$AH$167*(_xlfn.NORM.DIST(BS$3,economics!$AK$2:$AK$167,economics!$AJ$2:$AJ$167,TRUE)-_xlfn.NORM.DIST(BS$30,economics!$AK$2:$AK$167,economics!$AJ$2:$AJ$167,TRUE))*economics!$AM$2:$AM$167)+$CR13*(_xlfn.NORM.DIST(BS$3,$CU13,0.3*$CU13,TRUE)-_xlfn.NORM.DIST(BS$30,$CU13,0.3*$CU13,TRUE))*summary!$C$7/28.8/0.947817+$CS13*(_xlfn.NORM.DIST(BS$3,$CV13,0.3*$CV13,TRUE)-_xlfn.NORM.DIST(BS$30,$CV13,0.3*$CV13,TRUE))*summary!$C$6/28.8/0.947817)/(SUMPRODUCT((economics!$AG$2:$AG$167=$B42)*(economics!$D$2:$D$167="whr")*economics!$AH$2:$AH$167*(_xlfn.NORM.DIST(BS$3,economics!$AK$2:$AK$167,economics!$AJ$2:$AJ$167,TRUE)-_xlfn.NORM.DIST(BS$30,economics!$AK$2:$AK$167,economics!$AJ$2:$AJ$167,TRUE)))+$CR13*(_xlfn.NORM.DIST(BS$3,$CU13,0.3*$CU13,TRUE)-_xlfn.NORM.DIST(BS$30,$CU13,0.3*$CU13,TRUE))+$CS13*(_xlfn.NORM.DIST(BS$3,$CV13,0.3*$CV13,TRUE)-_xlfn.NORM.DIST(BS$30,$CV13,0.3*$CV13,TRUE))),""),IF($C13&gt;0,summary!$C$10/28.8/0.947817,""))</f>
        <v/>
      </c>
      <c r="BT42">
        <f t="array" ref="BT42">IF($D13,IFERROR((SUMPRODUCT((economics!$AG$2:$AG$167=$B42)*(economics!$D$2:$D$167="whr")*economics!$AH$2:$AH$167*(_xlfn.NORM.DIST(BT$3,economics!$AK$2:$AK$167,economics!$AJ$2:$AJ$167,TRUE)-_xlfn.NORM.DIST(BT$30,economics!$AK$2:$AK$167,economics!$AJ$2:$AJ$167,TRUE))*economics!$AM$2:$AM$167)+$CR13*(_xlfn.NORM.DIST(BT$3,$CU13,0.3*$CU13,TRUE)-_xlfn.NORM.DIST(BT$30,$CU13,0.3*$CU13,TRUE))*summary!$C$7/28.8/0.947817+$CS13*(_xlfn.NORM.DIST(BT$3,$CV13,0.3*$CV13,TRUE)-_xlfn.NORM.DIST(BT$30,$CV13,0.3*$CV13,TRUE))*summary!$C$6/28.8/0.947817)/(SUMPRODUCT((economics!$AG$2:$AG$167=$B42)*(economics!$D$2:$D$167="whr")*economics!$AH$2:$AH$167*(_xlfn.NORM.DIST(BT$3,economics!$AK$2:$AK$167,economics!$AJ$2:$AJ$167,TRUE)-_xlfn.NORM.DIST(BT$30,economics!$AK$2:$AK$167,economics!$AJ$2:$AJ$167,TRUE)))+$CR13*(_xlfn.NORM.DIST(BT$3,$CU13,0.3*$CU13,TRUE)-_xlfn.NORM.DIST(BT$30,$CU13,0.3*$CU13,TRUE))+$CS13*(_xlfn.NORM.DIST(BT$3,$CV13,0.3*$CV13,TRUE)-_xlfn.NORM.DIST(BT$30,$CV13,0.3*$CV13,TRUE))),""),IF($C13&gt;0,summary!$C$10/28.8/0.947817,""))</f>
        <v/>
      </c>
      <c r="BU42">
        <f t="array" ref="BU42">IF($D13,IFERROR((SUMPRODUCT((economics!$AG$2:$AG$167=$B42)*(economics!$D$2:$D$167="whr")*economics!$AH$2:$AH$167*(_xlfn.NORM.DIST(BU$3,economics!$AK$2:$AK$167,economics!$AJ$2:$AJ$167,TRUE)-_xlfn.NORM.DIST(BU$30,economics!$AK$2:$AK$167,economics!$AJ$2:$AJ$167,TRUE))*economics!$AM$2:$AM$167)+$CR13*(_xlfn.NORM.DIST(BU$3,$CU13,0.3*$CU13,TRUE)-_xlfn.NORM.DIST(BU$30,$CU13,0.3*$CU13,TRUE))*summary!$C$7/28.8/0.947817+$CS13*(_xlfn.NORM.DIST(BU$3,$CV13,0.3*$CV13,TRUE)-_xlfn.NORM.DIST(BU$30,$CV13,0.3*$CV13,TRUE))*summary!$C$6/28.8/0.947817)/(SUMPRODUCT((economics!$AG$2:$AG$167=$B42)*(economics!$D$2:$D$167="whr")*economics!$AH$2:$AH$167*(_xlfn.NORM.DIST(BU$3,economics!$AK$2:$AK$167,economics!$AJ$2:$AJ$167,TRUE)-_xlfn.NORM.DIST(BU$30,economics!$AK$2:$AK$167,economics!$AJ$2:$AJ$167,TRUE)))+$CR13*(_xlfn.NORM.DIST(BU$3,$CU13,0.3*$CU13,TRUE)-_xlfn.NORM.DIST(BU$30,$CU13,0.3*$CU13,TRUE))+$CS13*(_xlfn.NORM.DIST(BU$3,$CV13,0.3*$CV13,TRUE)-_xlfn.NORM.DIST(BU$30,$CV13,0.3*$CV13,TRUE))),""),IF($C13&gt;0,summary!$C$10/28.8/0.947817,""))</f>
        <v/>
      </c>
      <c r="BV42">
        <f t="array" ref="BV42">IF($D13,IFERROR((SUMPRODUCT((economics!$AG$2:$AG$167=$B42)*(economics!$D$2:$D$167="whr")*economics!$AH$2:$AH$167*(_xlfn.NORM.DIST(BV$3,economics!$AK$2:$AK$167,economics!$AJ$2:$AJ$167,TRUE)-_xlfn.NORM.DIST(BV$30,economics!$AK$2:$AK$167,economics!$AJ$2:$AJ$167,TRUE))*economics!$AM$2:$AM$167)+$CR13*(_xlfn.NORM.DIST(BV$3,$CU13,0.3*$CU13,TRUE)-_xlfn.NORM.DIST(BV$30,$CU13,0.3*$CU13,TRUE))*summary!$C$7/28.8/0.947817+$CS13*(_xlfn.NORM.DIST(BV$3,$CV13,0.3*$CV13,TRUE)-_xlfn.NORM.DIST(BV$30,$CV13,0.3*$CV13,TRUE))*summary!$C$6/28.8/0.947817)/(SUMPRODUCT((economics!$AG$2:$AG$167=$B42)*(economics!$D$2:$D$167="whr")*economics!$AH$2:$AH$167*(_xlfn.NORM.DIST(BV$3,economics!$AK$2:$AK$167,economics!$AJ$2:$AJ$167,TRUE)-_xlfn.NORM.DIST(BV$30,economics!$AK$2:$AK$167,economics!$AJ$2:$AJ$167,TRUE)))+$CR13*(_xlfn.NORM.DIST(BV$3,$CU13,0.3*$CU13,TRUE)-_xlfn.NORM.DIST(BV$30,$CU13,0.3*$CU13,TRUE))+$CS13*(_xlfn.NORM.DIST(BV$3,$CV13,0.3*$CV13,TRUE)-_xlfn.NORM.DIST(BV$30,$CV13,0.3*$CV13,TRUE))),""),IF($C13&gt;0,summary!$C$10/28.8/0.947817,""))</f>
        <v/>
      </c>
      <c r="BW42">
        <f t="array" ref="BW42">IF($D13,IFERROR((SUMPRODUCT((economics!$AG$2:$AG$167=$B42)*(economics!$D$2:$D$167="whr")*economics!$AH$2:$AH$167*(_xlfn.NORM.DIST(BW$3,economics!$AK$2:$AK$167,economics!$AJ$2:$AJ$167,TRUE)-_xlfn.NORM.DIST(BW$30,economics!$AK$2:$AK$167,economics!$AJ$2:$AJ$167,TRUE))*economics!$AM$2:$AM$167)+$CR13*(_xlfn.NORM.DIST(BW$3,$CU13,0.3*$CU13,TRUE)-_xlfn.NORM.DIST(BW$30,$CU13,0.3*$CU13,TRUE))*summary!$C$7/28.8/0.947817+$CS13*(_xlfn.NORM.DIST(BW$3,$CV13,0.3*$CV13,TRUE)-_xlfn.NORM.DIST(BW$30,$CV13,0.3*$CV13,TRUE))*summary!$C$6/28.8/0.947817)/(SUMPRODUCT((economics!$AG$2:$AG$167=$B42)*(economics!$D$2:$D$167="whr")*economics!$AH$2:$AH$167*(_xlfn.NORM.DIST(BW$3,economics!$AK$2:$AK$167,economics!$AJ$2:$AJ$167,TRUE)-_xlfn.NORM.DIST(BW$30,economics!$AK$2:$AK$167,economics!$AJ$2:$AJ$167,TRUE)))+$CR13*(_xlfn.NORM.DIST(BW$3,$CU13,0.3*$CU13,TRUE)-_xlfn.NORM.DIST(BW$30,$CU13,0.3*$CU13,TRUE))+$CS13*(_xlfn.NORM.DIST(BW$3,$CV13,0.3*$CV13,TRUE)-_xlfn.NORM.DIST(BW$30,$CV13,0.3*$CV13,TRUE))),""),IF($C13&gt;0,summary!$C$10/28.8/0.947817,""))</f>
        <v/>
      </c>
      <c r="BX42">
        <f t="array" ref="BX42">IF($D13,IFERROR((SUMPRODUCT((economics!$AG$2:$AG$167=$B42)*(economics!$D$2:$D$167="whr")*economics!$AH$2:$AH$167*(_xlfn.NORM.DIST(BX$3,economics!$AK$2:$AK$167,economics!$AJ$2:$AJ$167,TRUE)-_xlfn.NORM.DIST(BX$30,economics!$AK$2:$AK$167,economics!$AJ$2:$AJ$167,TRUE))*economics!$AM$2:$AM$167)+$CR13*(_xlfn.NORM.DIST(BX$3,$CU13,0.3*$CU13,TRUE)-_xlfn.NORM.DIST(BX$30,$CU13,0.3*$CU13,TRUE))*summary!$C$7/28.8/0.947817+$CS13*(_xlfn.NORM.DIST(BX$3,$CV13,0.3*$CV13,TRUE)-_xlfn.NORM.DIST(BX$30,$CV13,0.3*$CV13,TRUE))*summary!$C$6/28.8/0.947817)/(SUMPRODUCT((economics!$AG$2:$AG$167=$B42)*(economics!$D$2:$D$167="whr")*economics!$AH$2:$AH$167*(_xlfn.NORM.DIST(BX$3,economics!$AK$2:$AK$167,economics!$AJ$2:$AJ$167,TRUE)-_xlfn.NORM.DIST(BX$30,economics!$AK$2:$AK$167,economics!$AJ$2:$AJ$167,TRUE)))+$CR13*(_xlfn.NORM.DIST(BX$3,$CU13,0.3*$CU13,TRUE)-_xlfn.NORM.DIST(BX$30,$CU13,0.3*$CU13,TRUE))+$CS13*(_xlfn.NORM.DIST(BX$3,$CV13,0.3*$CV13,TRUE)-_xlfn.NORM.DIST(BX$30,$CV13,0.3*$CV13,TRUE))),""),IF($C13&gt;0,summary!$C$10/28.8/0.947817,""))</f>
        <v/>
      </c>
      <c r="BY42">
        <f t="array" ref="BY42">IF($D13,IFERROR((SUMPRODUCT((economics!$AG$2:$AG$167=$B42)*(economics!$D$2:$D$167="whr")*economics!$AH$2:$AH$167*(_xlfn.NORM.DIST(BY$3,economics!$AK$2:$AK$167,economics!$AJ$2:$AJ$167,TRUE)-_xlfn.NORM.DIST(BY$30,economics!$AK$2:$AK$167,economics!$AJ$2:$AJ$167,TRUE))*economics!$AM$2:$AM$167)+$CR13*(_xlfn.NORM.DIST(BY$3,$CU13,0.3*$CU13,TRUE)-_xlfn.NORM.DIST(BY$30,$CU13,0.3*$CU13,TRUE))*summary!$C$7/28.8/0.947817+$CS13*(_xlfn.NORM.DIST(BY$3,$CV13,0.3*$CV13,TRUE)-_xlfn.NORM.DIST(BY$30,$CV13,0.3*$CV13,TRUE))*summary!$C$6/28.8/0.947817)/(SUMPRODUCT((economics!$AG$2:$AG$167=$B42)*(economics!$D$2:$D$167="whr")*economics!$AH$2:$AH$167*(_xlfn.NORM.DIST(BY$3,economics!$AK$2:$AK$167,economics!$AJ$2:$AJ$167,TRUE)-_xlfn.NORM.DIST(BY$30,economics!$AK$2:$AK$167,economics!$AJ$2:$AJ$167,TRUE)))+$CR13*(_xlfn.NORM.DIST(BY$3,$CU13,0.3*$CU13,TRUE)-_xlfn.NORM.DIST(BY$30,$CU13,0.3*$CU13,TRUE))+$CS13*(_xlfn.NORM.DIST(BY$3,$CV13,0.3*$CV13,TRUE)-_xlfn.NORM.DIST(BY$30,$CV13,0.3*$CV13,TRUE))),""),IF($C13&gt;0,summary!$C$10/28.8/0.947817,""))</f>
        <v/>
      </c>
      <c r="BZ42">
        <f t="array" ref="BZ42">IF($D13,IFERROR((SUMPRODUCT((economics!$AG$2:$AG$167=$B42)*(economics!$D$2:$D$167="whr")*economics!$AH$2:$AH$167*(_xlfn.NORM.DIST(BZ$3,economics!$AK$2:$AK$167,economics!$AJ$2:$AJ$167,TRUE)-_xlfn.NORM.DIST(BZ$30,economics!$AK$2:$AK$167,economics!$AJ$2:$AJ$167,TRUE))*economics!$AM$2:$AM$167)+$CR13*(_xlfn.NORM.DIST(BZ$3,$CU13,0.3*$CU13,TRUE)-_xlfn.NORM.DIST(BZ$30,$CU13,0.3*$CU13,TRUE))*summary!$C$7/28.8/0.947817+$CS13*(_xlfn.NORM.DIST(BZ$3,$CV13,0.3*$CV13,TRUE)-_xlfn.NORM.DIST(BZ$30,$CV13,0.3*$CV13,TRUE))*summary!$C$6/28.8/0.947817)/(SUMPRODUCT((economics!$AG$2:$AG$167=$B42)*(economics!$D$2:$D$167="whr")*economics!$AH$2:$AH$167*(_xlfn.NORM.DIST(BZ$3,economics!$AK$2:$AK$167,economics!$AJ$2:$AJ$167,TRUE)-_xlfn.NORM.DIST(BZ$30,economics!$AK$2:$AK$167,economics!$AJ$2:$AJ$167,TRUE)))+$CR13*(_xlfn.NORM.DIST(BZ$3,$CU13,0.3*$CU13,TRUE)-_xlfn.NORM.DIST(BZ$30,$CU13,0.3*$CU13,TRUE))+$CS13*(_xlfn.NORM.DIST(BZ$3,$CV13,0.3*$CV13,TRUE)-_xlfn.NORM.DIST(BZ$30,$CV13,0.3*$CV13,TRUE))),""),IF($C13&gt;0,summary!$C$10/28.8/0.947817,""))</f>
        <v/>
      </c>
      <c r="CA42">
        <f t="array" ref="CA42">IF($D13,IFERROR((SUMPRODUCT((economics!$AG$2:$AG$167=$B42)*(economics!$D$2:$D$167="whr")*economics!$AH$2:$AH$167*(_xlfn.NORM.DIST(CA$3,economics!$AK$2:$AK$167,economics!$AJ$2:$AJ$167,TRUE)-_xlfn.NORM.DIST(CA$30,economics!$AK$2:$AK$167,economics!$AJ$2:$AJ$167,TRUE))*economics!$AM$2:$AM$167)+$CR13*(_xlfn.NORM.DIST(CA$3,$CU13,0.3*$CU13,TRUE)-_xlfn.NORM.DIST(CA$30,$CU13,0.3*$CU13,TRUE))*summary!$C$7/28.8/0.947817+$CS13*(_xlfn.NORM.DIST(CA$3,$CV13,0.3*$CV13,TRUE)-_xlfn.NORM.DIST(CA$30,$CV13,0.3*$CV13,TRUE))*summary!$C$6/28.8/0.947817)/(SUMPRODUCT((economics!$AG$2:$AG$167=$B42)*(economics!$D$2:$D$167="whr")*economics!$AH$2:$AH$167*(_xlfn.NORM.DIST(CA$3,economics!$AK$2:$AK$167,economics!$AJ$2:$AJ$167,TRUE)-_xlfn.NORM.DIST(CA$30,economics!$AK$2:$AK$167,economics!$AJ$2:$AJ$167,TRUE)))+$CR13*(_xlfn.NORM.DIST(CA$3,$CU13,0.3*$CU13,TRUE)-_xlfn.NORM.DIST(CA$30,$CU13,0.3*$CU13,TRUE))+$CS13*(_xlfn.NORM.DIST(CA$3,$CV13,0.3*$CV13,TRUE)-_xlfn.NORM.DIST(CA$30,$CV13,0.3*$CV13,TRUE))),""),IF($C13&gt;0,summary!$C$10/28.8/0.947817,""))</f>
        <v/>
      </c>
      <c r="CB42">
        <f t="array" ref="CB42">IF($D13,IFERROR((SUMPRODUCT((economics!$AG$2:$AG$167=$B42)*(economics!$D$2:$D$167="whr")*economics!$AH$2:$AH$167*(_xlfn.NORM.DIST(CB$3,economics!$AK$2:$AK$167,economics!$AJ$2:$AJ$167,TRUE)-_xlfn.NORM.DIST(CB$30,economics!$AK$2:$AK$167,economics!$AJ$2:$AJ$167,TRUE))*economics!$AM$2:$AM$167)+$CR13*(_xlfn.NORM.DIST(CB$3,$CU13,0.3*$CU13,TRUE)-_xlfn.NORM.DIST(CB$30,$CU13,0.3*$CU13,TRUE))*summary!$C$7/28.8/0.947817+$CS13*(_xlfn.NORM.DIST(CB$3,$CV13,0.3*$CV13,TRUE)-_xlfn.NORM.DIST(CB$30,$CV13,0.3*$CV13,TRUE))*summary!$C$6/28.8/0.947817)/(SUMPRODUCT((economics!$AG$2:$AG$167=$B42)*(economics!$D$2:$D$167="whr")*economics!$AH$2:$AH$167*(_xlfn.NORM.DIST(CB$3,economics!$AK$2:$AK$167,economics!$AJ$2:$AJ$167,TRUE)-_xlfn.NORM.DIST(CB$30,economics!$AK$2:$AK$167,economics!$AJ$2:$AJ$167,TRUE)))+$CR13*(_xlfn.NORM.DIST(CB$3,$CU13,0.3*$CU13,TRUE)-_xlfn.NORM.DIST(CB$30,$CU13,0.3*$CU13,TRUE))+$CS13*(_xlfn.NORM.DIST(CB$3,$CV13,0.3*$CV13,TRUE)-_xlfn.NORM.DIST(CB$30,$CV13,0.3*$CV13,TRUE))),""),IF($C13&gt;0,summary!$C$10/28.8/0.947817,""))</f>
        <v/>
      </c>
      <c r="CC42">
        <f t="array" ref="CC42">IF($D13,IFERROR((SUMPRODUCT((economics!$AG$2:$AG$167=$B42)*(economics!$D$2:$D$167="whr")*economics!$AH$2:$AH$167*(_xlfn.NORM.DIST(CC$3,economics!$AK$2:$AK$167,economics!$AJ$2:$AJ$167,TRUE)-_xlfn.NORM.DIST(CC$30,economics!$AK$2:$AK$167,economics!$AJ$2:$AJ$167,TRUE))*economics!$AM$2:$AM$167)+$CR13*(_xlfn.NORM.DIST(CC$3,$CU13,0.3*$CU13,TRUE)-_xlfn.NORM.DIST(CC$30,$CU13,0.3*$CU13,TRUE))*summary!$C$7/28.8/0.947817+$CS13*(_xlfn.NORM.DIST(CC$3,$CV13,0.3*$CV13,TRUE)-_xlfn.NORM.DIST(CC$30,$CV13,0.3*$CV13,TRUE))*summary!$C$6/28.8/0.947817)/(SUMPRODUCT((economics!$AG$2:$AG$167=$B42)*(economics!$D$2:$D$167="whr")*economics!$AH$2:$AH$167*(_xlfn.NORM.DIST(CC$3,economics!$AK$2:$AK$167,economics!$AJ$2:$AJ$167,TRUE)-_xlfn.NORM.DIST(CC$30,economics!$AK$2:$AK$167,economics!$AJ$2:$AJ$167,TRUE)))+$CR13*(_xlfn.NORM.DIST(CC$3,$CU13,0.3*$CU13,TRUE)-_xlfn.NORM.DIST(CC$30,$CU13,0.3*$CU13,TRUE))+$CS13*(_xlfn.NORM.DIST(CC$3,$CV13,0.3*$CV13,TRUE)-_xlfn.NORM.DIST(CC$30,$CV13,0.3*$CV13,TRUE))),""),IF($C13&gt;0,summary!$C$10/28.8/0.947817,""))</f>
        <v/>
      </c>
      <c r="CD42">
        <f t="array" ref="CD42">IF($D13,IFERROR((SUMPRODUCT((economics!$AG$2:$AG$167=$B42)*(economics!$D$2:$D$167="whr")*economics!$AH$2:$AH$167*(_xlfn.NORM.DIST(CD$3,economics!$AK$2:$AK$167,economics!$AJ$2:$AJ$167,TRUE)-_xlfn.NORM.DIST(CD$30,economics!$AK$2:$AK$167,economics!$AJ$2:$AJ$167,TRUE))*economics!$AM$2:$AM$167)+$CR13*(_xlfn.NORM.DIST(CD$3,$CU13,0.3*$CU13,TRUE)-_xlfn.NORM.DIST(CD$30,$CU13,0.3*$CU13,TRUE))*summary!$C$7/28.8/0.947817+$CS13*(_xlfn.NORM.DIST(CD$3,$CV13,0.3*$CV13,TRUE)-_xlfn.NORM.DIST(CD$30,$CV13,0.3*$CV13,TRUE))*summary!$C$6/28.8/0.947817)/(SUMPRODUCT((economics!$AG$2:$AG$167=$B42)*(economics!$D$2:$D$167="whr")*economics!$AH$2:$AH$167*(_xlfn.NORM.DIST(CD$3,economics!$AK$2:$AK$167,economics!$AJ$2:$AJ$167,TRUE)-_xlfn.NORM.DIST(CD$30,economics!$AK$2:$AK$167,economics!$AJ$2:$AJ$167,TRUE)))+$CR13*(_xlfn.NORM.DIST(CD$3,$CU13,0.3*$CU13,TRUE)-_xlfn.NORM.DIST(CD$30,$CU13,0.3*$CU13,TRUE))+$CS13*(_xlfn.NORM.DIST(CD$3,$CV13,0.3*$CV13,TRUE)-_xlfn.NORM.DIST(CD$30,$CV13,0.3*$CV13,TRUE))),""),IF($C13&gt;0,summary!$C$10/28.8/0.947817,""))</f>
        <v/>
      </c>
      <c r="CE42">
        <f t="array" ref="CE42">IF($D13,IFERROR((SUMPRODUCT((economics!$AG$2:$AG$167=$B42)*(economics!$D$2:$D$167="whr")*economics!$AH$2:$AH$167*(_xlfn.NORM.DIST(CE$3,economics!$AK$2:$AK$167,economics!$AJ$2:$AJ$167,TRUE)-_xlfn.NORM.DIST(CE$30,economics!$AK$2:$AK$167,economics!$AJ$2:$AJ$167,TRUE))*economics!$AM$2:$AM$167)+$CR13*(_xlfn.NORM.DIST(CE$3,$CU13,0.3*$CU13,TRUE)-_xlfn.NORM.DIST(CE$30,$CU13,0.3*$CU13,TRUE))*summary!$C$7/28.8/0.947817+$CS13*(_xlfn.NORM.DIST(CE$3,$CV13,0.3*$CV13,TRUE)-_xlfn.NORM.DIST(CE$30,$CV13,0.3*$CV13,TRUE))*summary!$C$6/28.8/0.947817)/(SUMPRODUCT((economics!$AG$2:$AG$167=$B42)*(economics!$D$2:$D$167="whr")*economics!$AH$2:$AH$167*(_xlfn.NORM.DIST(CE$3,economics!$AK$2:$AK$167,economics!$AJ$2:$AJ$167,TRUE)-_xlfn.NORM.DIST(CE$30,economics!$AK$2:$AK$167,economics!$AJ$2:$AJ$167,TRUE)))+$CR13*(_xlfn.NORM.DIST(CE$3,$CU13,0.3*$CU13,TRUE)-_xlfn.NORM.DIST(CE$30,$CU13,0.3*$CU13,TRUE))+$CS13*(_xlfn.NORM.DIST(CE$3,$CV13,0.3*$CV13,TRUE)-_xlfn.NORM.DIST(CE$30,$CV13,0.3*$CV13,TRUE))),""),IF($C13&gt;0,summary!$C$10/28.8/0.947817,""))</f>
        <v/>
      </c>
      <c r="CF42">
        <f t="array" ref="CF42">IF($D13,IFERROR((SUMPRODUCT((economics!$AG$2:$AG$167=$B42)*(economics!$D$2:$D$167="whr")*economics!$AH$2:$AH$167*(_xlfn.NORM.DIST(CF$3,economics!$AK$2:$AK$167,economics!$AJ$2:$AJ$167,TRUE)-_xlfn.NORM.DIST(CF$30,economics!$AK$2:$AK$167,economics!$AJ$2:$AJ$167,TRUE))*economics!$AM$2:$AM$167)+$CR13*(_xlfn.NORM.DIST(CF$3,$CU13,0.3*$CU13,TRUE)-_xlfn.NORM.DIST(CF$30,$CU13,0.3*$CU13,TRUE))*summary!$C$7/28.8/0.947817+$CS13*(_xlfn.NORM.DIST(CF$3,$CV13,0.3*$CV13,TRUE)-_xlfn.NORM.DIST(CF$30,$CV13,0.3*$CV13,TRUE))*summary!$C$6/28.8/0.947817)/(SUMPRODUCT((economics!$AG$2:$AG$167=$B42)*(economics!$D$2:$D$167="whr")*economics!$AH$2:$AH$167*(_xlfn.NORM.DIST(CF$3,economics!$AK$2:$AK$167,economics!$AJ$2:$AJ$167,TRUE)-_xlfn.NORM.DIST(CF$30,economics!$AK$2:$AK$167,economics!$AJ$2:$AJ$167,TRUE)))+$CR13*(_xlfn.NORM.DIST(CF$3,$CU13,0.3*$CU13,TRUE)-_xlfn.NORM.DIST(CF$30,$CU13,0.3*$CU13,TRUE))+$CS13*(_xlfn.NORM.DIST(CF$3,$CV13,0.3*$CV13,TRUE)-_xlfn.NORM.DIST(CF$30,$CV13,0.3*$CV13,TRUE))),""),IF($C13&gt;0,summary!$C$10/28.8/0.947817,""))</f>
        <v/>
      </c>
      <c r="CG42">
        <f t="array" ref="CG42">IF($D13,IFERROR((SUMPRODUCT((economics!$AG$2:$AG$167=$B42)*(economics!$D$2:$D$167="whr")*economics!$AH$2:$AH$167*(_xlfn.NORM.DIST(CG$3,economics!$AK$2:$AK$167,economics!$AJ$2:$AJ$167,TRUE)-_xlfn.NORM.DIST(CG$30,economics!$AK$2:$AK$167,economics!$AJ$2:$AJ$167,TRUE))*economics!$AM$2:$AM$167)+$CR13*(_xlfn.NORM.DIST(CG$3,$CU13,0.3*$CU13,TRUE)-_xlfn.NORM.DIST(CG$30,$CU13,0.3*$CU13,TRUE))*summary!$C$7/28.8/0.947817+$CS13*(_xlfn.NORM.DIST(CG$3,$CV13,0.3*$CV13,TRUE)-_xlfn.NORM.DIST(CG$30,$CV13,0.3*$CV13,TRUE))*summary!$C$6/28.8/0.947817)/(SUMPRODUCT((economics!$AG$2:$AG$167=$B42)*(economics!$D$2:$D$167="whr")*economics!$AH$2:$AH$167*(_xlfn.NORM.DIST(CG$3,economics!$AK$2:$AK$167,economics!$AJ$2:$AJ$167,TRUE)-_xlfn.NORM.DIST(CG$30,economics!$AK$2:$AK$167,economics!$AJ$2:$AJ$167,TRUE)))+$CR13*(_xlfn.NORM.DIST(CG$3,$CU13,0.3*$CU13,TRUE)-_xlfn.NORM.DIST(CG$30,$CU13,0.3*$CU13,TRUE))+$CS13*(_xlfn.NORM.DIST(CG$3,$CV13,0.3*$CV13,TRUE)-_xlfn.NORM.DIST(CG$30,$CV13,0.3*$CV13,TRUE))),""),IF($C13&gt;0,summary!$C$10/28.8/0.947817,""))</f>
        <v/>
      </c>
      <c r="CH42">
        <f t="array" ref="CH42">IF($D13,IFERROR((SUMPRODUCT((economics!$AG$2:$AG$167=$B42)*(economics!$D$2:$D$167="whr")*economics!$AH$2:$AH$167*(_xlfn.NORM.DIST(CH$3,economics!$AK$2:$AK$167,economics!$AJ$2:$AJ$167,TRUE)-_xlfn.NORM.DIST(CH$30,economics!$AK$2:$AK$167,economics!$AJ$2:$AJ$167,TRUE))*economics!$AM$2:$AM$167)+$CR13*(_xlfn.NORM.DIST(CH$3,$CU13,0.3*$CU13,TRUE)-_xlfn.NORM.DIST(CH$30,$CU13,0.3*$CU13,TRUE))*summary!$C$7/28.8/0.947817+$CS13*(_xlfn.NORM.DIST(CH$3,$CV13,0.3*$CV13,TRUE)-_xlfn.NORM.DIST(CH$30,$CV13,0.3*$CV13,TRUE))*summary!$C$6/28.8/0.947817)/(SUMPRODUCT((economics!$AG$2:$AG$167=$B42)*(economics!$D$2:$D$167="whr")*economics!$AH$2:$AH$167*(_xlfn.NORM.DIST(CH$3,economics!$AK$2:$AK$167,economics!$AJ$2:$AJ$167,TRUE)-_xlfn.NORM.DIST(CH$30,economics!$AK$2:$AK$167,economics!$AJ$2:$AJ$167,TRUE)))+$CR13*(_xlfn.NORM.DIST(CH$3,$CU13,0.3*$CU13,TRUE)-_xlfn.NORM.DIST(CH$30,$CU13,0.3*$CU13,TRUE))+$CS13*(_xlfn.NORM.DIST(CH$3,$CV13,0.3*$CV13,TRUE)-_xlfn.NORM.DIST(CH$30,$CV13,0.3*$CV13,TRUE))),""),IF($C13&gt;0,summary!$C$10/28.8/0.947817,""))</f>
        <v/>
      </c>
    </row>
    <row r="43">
      <c r="A43">
        <f>A14</f>
        <v/>
      </c>
      <c r="B43">
        <f>B14</f>
        <v/>
      </c>
      <c r="E43">
        <f t="array" ref="E43">IF($D14,IFERROR((SUMPRODUCT((economics!$AG$2:$AG$167=$B43)*(economics!$D$2:$D$167="whr")*economics!$AH$2:$AH$167*(_xlfn.NORM.DIST(E$3,economics!$AK$2:$AK$167,economics!$AJ$2:$AJ$167,TRUE)-_xlfn.NORM.DIST(E$30,economics!$AK$2:$AK$167,economics!$AJ$2:$AJ$167,TRUE))*economics!$AM$2:$AM$167)+$CR14*(_xlfn.NORM.DIST(E$3,$CU14,0.3*$CU14,TRUE)-_xlfn.NORM.DIST(E$30,$CU14,0.3*$CU14,TRUE))*summary!$C$7/28.8/0.947817+$CS14*(_xlfn.NORM.DIST(E$3,$CV14,0.3*$CV14,TRUE)-_xlfn.NORM.DIST(E$30,$CV14,0.3*$CV14,TRUE))*summary!$C$6/28.8/0.947817)/(SUMPRODUCT((economics!$AG$2:$AG$167=$B43)*(economics!$D$2:$D$167="whr")*economics!$AH$2:$AH$167*(_xlfn.NORM.DIST(E$3,economics!$AK$2:$AK$167,economics!$AJ$2:$AJ$167,TRUE)-_xlfn.NORM.DIST(E$30,economics!$AK$2:$AK$167,economics!$AJ$2:$AJ$167,TRUE)))+$CR14*(_xlfn.NORM.DIST(E$3,$CU14,0.3*$CU14,TRUE)-_xlfn.NORM.DIST(E$30,$CU14,0.3*$CU14,TRUE))+$CS14*(_xlfn.NORM.DIST(E$3,$CV14,0.3*$CV14,TRUE)-_xlfn.NORM.DIST(E$30,$CV14,0.3*$CV14,TRUE))),""),IF($C14&gt;0,summary!$C$10/28.8/0.947817,""))</f>
        <v/>
      </c>
      <c r="F43">
        <f t="array" ref="F43">IF($D14,IFERROR((SUMPRODUCT((economics!$AG$2:$AG$167=$B43)*(economics!$D$2:$D$167="whr")*economics!$AH$2:$AH$167*(_xlfn.NORM.DIST(F$3,economics!$AK$2:$AK$167,economics!$AJ$2:$AJ$167,TRUE)-_xlfn.NORM.DIST(F$30,economics!$AK$2:$AK$167,economics!$AJ$2:$AJ$167,TRUE))*economics!$AM$2:$AM$167)+$CR14*(_xlfn.NORM.DIST(F$3,$CU14,0.3*$CU14,TRUE)-_xlfn.NORM.DIST(F$30,$CU14,0.3*$CU14,TRUE))*summary!$C$7/28.8/0.947817+$CS14*(_xlfn.NORM.DIST(F$3,$CV14,0.3*$CV14,TRUE)-_xlfn.NORM.DIST(F$30,$CV14,0.3*$CV14,TRUE))*summary!$C$6/28.8/0.947817)/(SUMPRODUCT((economics!$AG$2:$AG$167=$B43)*(economics!$D$2:$D$167="whr")*economics!$AH$2:$AH$167*(_xlfn.NORM.DIST(F$3,economics!$AK$2:$AK$167,economics!$AJ$2:$AJ$167,TRUE)-_xlfn.NORM.DIST(F$30,economics!$AK$2:$AK$167,economics!$AJ$2:$AJ$167,TRUE)))+$CR14*(_xlfn.NORM.DIST(F$3,$CU14,0.3*$CU14,TRUE)-_xlfn.NORM.DIST(F$30,$CU14,0.3*$CU14,TRUE))+$CS14*(_xlfn.NORM.DIST(F$3,$CV14,0.3*$CV14,TRUE)-_xlfn.NORM.DIST(F$30,$CV14,0.3*$CV14,TRUE))),""),IF($C14&gt;0,summary!$C$10/28.8/0.947817,""))</f>
        <v/>
      </c>
      <c r="G43">
        <f t="array" ref="G43">IF($D14,IFERROR((SUMPRODUCT((economics!$AG$2:$AG$167=$B43)*(economics!$D$2:$D$167="whr")*economics!$AH$2:$AH$167*(_xlfn.NORM.DIST(G$3,economics!$AK$2:$AK$167,economics!$AJ$2:$AJ$167,TRUE)-_xlfn.NORM.DIST(G$30,economics!$AK$2:$AK$167,economics!$AJ$2:$AJ$167,TRUE))*economics!$AM$2:$AM$167)+$CR14*(_xlfn.NORM.DIST(G$3,$CU14,0.3*$CU14,TRUE)-_xlfn.NORM.DIST(G$30,$CU14,0.3*$CU14,TRUE))*summary!$C$7/28.8/0.947817+$CS14*(_xlfn.NORM.DIST(G$3,$CV14,0.3*$CV14,TRUE)-_xlfn.NORM.DIST(G$30,$CV14,0.3*$CV14,TRUE))*summary!$C$6/28.8/0.947817)/(SUMPRODUCT((economics!$AG$2:$AG$167=$B43)*(economics!$D$2:$D$167="whr")*economics!$AH$2:$AH$167*(_xlfn.NORM.DIST(G$3,economics!$AK$2:$AK$167,economics!$AJ$2:$AJ$167,TRUE)-_xlfn.NORM.DIST(G$30,economics!$AK$2:$AK$167,economics!$AJ$2:$AJ$167,TRUE)))+$CR14*(_xlfn.NORM.DIST(G$3,$CU14,0.3*$CU14,TRUE)-_xlfn.NORM.DIST(G$30,$CU14,0.3*$CU14,TRUE))+$CS14*(_xlfn.NORM.DIST(G$3,$CV14,0.3*$CV14,TRUE)-_xlfn.NORM.DIST(G$30,$CV14,0.3*$CV14,TRUE))),""),IF($C14&gt;0,summary!$C$10/28.8/0.947817,""))</f>
        <v/>
      </c>
      <c r="H43">
        <f t="array" ref="H43">IF($D14,IFERROR((SUMPRODUCT((economics!$AG$2:$AG$167=$B43)*(economics!$D$2:$D$167="whr")*economics!$AH$2:$AH$167*(_xlfn.NORM.DIST(H$3,economics!$AK$2:$AK$167,economics!$AJ$2:$AJ$167,TRUE)-_xlfn.NORM.DIST(H$30,economics!$AK$2:$AK$167,economics!$AJ$2:$AJ$167,TRUE))*economics!$AM$2:$AM$167)+$CR14*(_xlfn.NORM.DIST(H$3,$CU14,0.3*$CU14,TRUE)-_xlfn.NORM.DIST(H$30,$CU14,0.3*$CU14,TRUE))*summary!$C$7/28.8/0.947817+$CS14*(_xlfn.NORM.DIST(H$3,$CV14,0.3*$CV14,TRUE)-_xlfn.NORM.DIST(H$30,$CV14,0.3*$CV14,TRUE))*summary!$C$6/28.8/0.947817)/(SUMPRODUCT((economics!$AG$2:$AG$167=$B43)*(economics!$D$2:$D$167="whr")*economics!$AH$2:$AH$167*(_xlfn.NORM.DIST(H$3,economics!$AK$2:$AK$167,economics!$AJ$2:$AJ$167,TRUE)-_xlfn.NORM.DIST(H$30,economics!$AK$2:$AK$167,economics!$AJ$2:$AJ$167,TRUE)))+$CR14*(_xlfn.NORM.DIST(H$3,$CU14,0.3*$CU14,TRUE)-_xlfn.NORM.DIST(H$30,$CU14,0.3*$CU14,TRUE))+$CS14*(_xlfn.NORM.DIST(H$3,$CV14,0.3*$CV14,TRUE)-_xlfn.NORM.DIST(H$30,$CV14,0.3*$CV14,TRUE))),""),IF($C14&gt;0,summary!$C$10/28.8/0.947817,""))</f>
        <v/>
      </c>
      <c r="I43">
        <f t="array" ref="I43">IF($D14,IFERROR((SUMPRODUCT((economics!$AG$2:$AG$167=$B43)*(economics!$D$2:$D$167="whr")*economics!$AH$2:$AH$167*(_xlfn.NORM.DIST(I$3,economics!$AK$2:$AK$167,economics!$AJ$2:$AJ$167,TRUE)-_xlfn.NORM.DIST(I$30,economics!$AK$2:$AK$167,economics!$AJ$2:$AJ$167,TRUE))*economics!$AM$2:$AM$167)+$CR14*(_xlfn.NORM.DIST(I$3,$CU14,0.3*$CU14,TRUE)-_xlfn.NORM.DIST(I$30,$CU14,0.3*$CU14,TRUE))*summary!$C$7/28.8/0.947817+$CS14*(_xlfn.NORM.DIST(I$3,$CV14,0.3*$CV14,TRUE)-_xlfn.NORM.DIST(I$30,$CV14,0.3*$CV14,TRUE))*summary!$C$6/28.8/0.947817)/(SUMPRODUCT((economics!$AG$2:$AG$167=$B43)*(economics!$D$2:$D$167="whr")*economics!$AH$2:$AH$167*(_xlfn.NORM.DIST(I$3,economics!$AK$2:$AK$167,economics!$AJ$2:$AJ$167,TRUE)-_xlfn.NORM.DIST(I$30,economics!$AK$2:$AK$167,economics!$AJ$2:$AJ$167,TRUE)))+$CR14*(_xlfn.NORM.DIST(I$3,$CU14,0.3*$CU14,TRUE)-_xlfn.NORM.DIST(I$30,$CU14,0.3*$CU14,TRUE))+$CS14*(_xlfn.NORM.DIST(I$3,$CV14,0.3*$CV14,TRUE)-_xlfn.NORM.DIST(I$30,$CV14,0.3*$CV14,TRUE))),""),IF($C14&gt;0,summary!$C$10/28.8/0.947817,""))</f>
        <v/>
      </c>
      <c r="J43">
        <f t="array" ref="J43">IF($D14,IFERROR((SUMPRODUCT((economics!$AG$2:$AG$167=$B43)*(economics!$D$2:$D$167="whr")*economics!$AH$2:$AH$167*(_xlfn.NORM.DIST(J$3,economics!$AK$2:$AK$167,economics!$AJ$2:$AJ$167,TRUE)-_xlfn.NORM.DIST(J$30,economics!$AK$2:$AK$167,economics!$AJ$2:$AJ$167,TRUE))*economics!$AM$2:$AM$167)+$CR14*(_xlfn.NORM.DIST(J$3,$CU14,0.3*$CU14,TRUE)-_xlfn.NORM.DIST(J$30,$CU14,0.3*$CU14,TRUE))*summary!$C$7/28.8/0.947817+$CS14*(_xlfn.NORM.DIST(J$3,$CV14,0.3*$CV14,TRUE)-_xlfn.NORM.DIST(J$30,$CV14,0.3*$CV14,TRUE))*summary!$C$6/28.8/0.947817)/(SUMPRODUCT((economics!$AG$2:$AG$167=$B43)*(economics!$D$2:$D$167="whr")*economics!$AH$2:$AH$167*(_xlfn.NORM.DIST(J$3,economics!$AK$2:$AK$167,economics!$AJ$2:$AJ$167,TRUE)-_xlfn.NORM.DIST(J$30,economics!$AK$2:$AK$167,economics!$AJ$2:$AJ$167,TRUE)))+$CR14*(_xlfn.NORM.DIST(J$3,$CU14,0.3*$CU14,TRUE)-_xlfn.NORM.DIST(J$30,$CU14,0.3*$CU14,TRUE))+$CS14*(_xlfn.NORM.DIST(J$3,$CV14,0.3*$CV14,TRUE)-_xlfn.NORM.DIST(J$30,$CV14,0.3*$CV14,TRUE))),""),IF($C14&gt;0,summary!$C$10/28.8/0.947817,""))</f>
        <v/>
      </c>
      <c r="K43">
        <f t="array" ref="K43">IF($D14,IFERROR((SUMPRODUCT((economics!$AG$2:$AG$167=$B43)*(economics!$D$2:$D$167="whr")*economics!$AH$2:$AH$167*(_xlfn.NORM.DIST(K$3,economics!$AK$2:$AK$167,economics!$AJ$2:$AJ$167,TRUE)-_xlfn.NORM.DIST(K$30,economics!$AK$2:$AK$167,economics!$AJ$2:$AJ$167,TRUE))*economics!$AM$2:$AM$167)+$CR14*(_xlfn.NORM.DIST(K$3,$CU14,0.3*$CU14,TRUE)-_xlfn.NORM.DIST(K$30,$CU14,0.3*$CU14,TRUE))*summary!$C$7/28.8/0.947817+$CS14*(_xlfn.NORM.DIST(K$3,$CV14,0.3*$CV14,TRUE)-_xlfn.NORM.DIST(K$30,$CV14,0.3*$CV14,TRUE))*summary!$C$6/28.8/0.947817)/(SUMPRODUCT((economics!$AG$2:$AG$167=$B43)*(economics!$D$2:$D$167="whr")*economics!$AH$2:$AH$167*(_xlfn.NORM.DIST(K$3,economics!$AK$2:$AK$167,economics!$AJ$2:$AJ$167,TRUE)-_xlfn.NORM.DIST(K$30,economics!$AK$2:$AK$167,economics!$AJ$2:$AJ$167,TRUE)))+$CR14*(_xlfn.NORM.DIST(K$3,$CU14,0.3*$CU14,TRUE)-_xlfn.NORM.DIST(K$30,$CU14,0.3*$CU14,TRUE))+$CS14*(_xlfn.NORM.DIST(K$3,$CV14,0.3*$CV14,TRUE)-_xlfn.NORM.DIST(K$30,$CV14,0.3*$CV14,TRUE))),""),IF($C14&gt;0,summary!$C$10/28.8/0.947817,""))</f>
        <v/>
      </c>
      <c r="L43">
        <f t="array" ref="L43">IF($D14,IFERROR((SUMPRODUCT((economics!$AG$2:$AG$167=$B43)*(economics!$D$2:$D$167="whr")*economics!$AH$2:$AH$167*(_xlfn.NORM.DIST(L$3,economics!$AK$2:$AK$167,economics!$AJ$2:$AJ$167,TRUE)-_xlfn.NORM.DIST(L$30,economics!$AK$2:$AK$167,economics!$AJ$2:$AJ$167,TRUE))*economics!$AM$2:$AM$167)+$CR14*(_xlfn.NORM.DIST(L$3,$CU14,0.3*$CU14,TRUE)-_xlfn.NORM.DIST(L$30,$CU14,0.3*$CU14,TRUE))*summary!$C$7/28.8/0.947817+$CS14*(_xlfn.NORM.DIST(L$3,$CV14,0.3*$CV14,TRUE)-_xlfn.NORM.DIST(L$30,$CV14,0.3*$CV14,TRUE))*summary!$C$6/28.8/0.947817)/(SUMPRODUCT((economics!$AG$2:$AG$167=$B43)*(economics!$D$2:$D$167="whr")*economics!$AH$2:$AH$167*(_xlfn.NORM.DIST(L$3,economics!$AK$2:$AK$167,economics!$AJ$2:$AJ$167,TRUE)-_xlfn.NORM.DIST(L$30,economics!$AK$2:$AK$167,economics!$AJ$2:$AJ$167,TRUE)))+$CR14*(_xlfn.NORM.DIST(L$3,$CU14,0.3*$CU14,TRUE)-_xlfn.NORM.DIST(L$30,$CU14,0.3*$CU14,TRUE))+$CS14*(_xlfn.NORM.DIST(L$3,$CV14,0.3*$CV14,TRUE)-_xlfn.NORM.DIST(L$30,$CV14,0.3*$CV14,TRUE))),""),IF($C14&gt;0,summary!$C$10/28.8/0.947817,""))</f>
        <v/>
      </c>
      <c r="M43">
        <f t="array" ref="M43">IF($D14,IFERROR((SUMPRODUCT((economics!$AG$2:$AG$167=$B43)*(economics!$D$2:$D$167="whr")*economics!$AH$2:$AH$167*(_xlfn.NORM.DIST(M$3,economics!$AK$2:$AK$167,economics!$AJ$2:$AJ$167,TRUE)-_xlfn.NORM.DIST(M$30,economics!$AK$2:$AK$167,economics!$AJ$2:$AJ$167,TRUE))*economics!$AM$2:$AM$167)+$CR14*(_xlfn.NORM.DIST(M$3,$CU14,0.3*$CU14,TRUE)-_xlfn.NORM.DIST(M$30,$CU14,0.3*$CU14,TRUE))*summary!$C$7/28.8/0.947817+$CS14*(_xlfn.NORM.DIST(M$3,$CV14,0.3*$CV14,TRUE)-_xlfn.NORM.DIST(M$30,$CV14,0.3*$CV14,TRUE))*summary!$C$6/28.8/0.947817)/(SUMPRODUCT((economics!$AG$2:$AG$167=$B43)*(economics!$D$2:$D$167="whr")*economics!$AH$2:$AH$167*(_xlfn.NORM.DIST(M$3,economics!$AK$2:$AK$167,economics!$AJ$2:$AJ$167,TRUE)-_xlfn.NORM.DIST(M$30,economics!$AK$2:$AK$167,economics!$AJ$2:$AJ$167,TRUE)))+$CR14*(_xlfn.NORM.DIST(M$3,$CU14,0.3*$CU14,TRUE)-_xlfn.NORM.DIST(M$30,$CU14,0.3*$CU14,TRUE))+$CS14*(_xlfn.NORM.DIST(M$3,$CV14,0.3*$CV14,TRUE)-_xlfn.NORM.DIST(M$30,$CV14,0.3*$CV14,TRUE))),""),IF($C14&gt;0,summary!$C$10/28.8/0.947817,""))</f>
        <v/>
      </c>
      <c r="N43">
        <f t="array" ref="N43">IF($D14,IFERROR((SUMPRODUCT((economics!$AG$2:$AG$167=$B43)*(economics!$D$2:$D$167="whr")*economics!$AH$2:$AH$167*(_xlfn.NORM.DIST(N$3,economics!$AK$2:$AK$167,economics!$AJ$2:$AJ$167,TRUE)-_xlfn.NORM.DIST(N$30,economics!$AK$2:$AK$167,economics!$AJ$2:$AJ$167,TRUE))*economics!$AM$2:$AM$167)+$CR14*(_xlfn.NORM.DIST(N$3,$CU14,0.3*$CU14,TRUE)-_xlfn.NORM.DIST(N$30,$CU14,0.3*$CU14,TRUE))*summary!$C$7/28.8/0.947817+$CS14*(_xlfn.NORM.DIST(N$3,$CV14,0.3*$CV14,TRUE)-_xlfn.NORM.DIST(N$30,$CV14,0.3*$CV14,TRUE))*summary!$C$6/28.8/0.947817)/(SUMPRODUCT((economics!$AG$2:$AG$167=$B43)*(economics!$D$2:$D$167="whr")*economics!$AH$2:$AH$167*(_xlfn.NORM.DIST(N$3,economics!$AK$2:$AK$167,economics!$AJ$2:$AJ$167,TRUE)-_xlfn.NORM.DIST(N$30,economics!$AK$2:$AK$167,economics!$AJ$2:$AJ$167,TRUE)))+$CR14*(_xlfn.NORM.DIST(N$3,$CU14,0.3*$CU14,TRUE)-_xlfn.NORM.DIST(N$30,$CU14,0.3*$CU14,TRUE))+$CS14*(_xlfn.NORM.DIST(N$3,$CV14,0.3*$CV14,TRUE)-_xlfn.NORM.DIST(N$30,$CV14,0.3*$CV14,TRUE))),""),IF($C14&gt;0,summary!$C$10/28.8/0.947817,""))</f>
        <v/>
      </c>
      <c r="O43">
        <f t="array" ref="O43">IF($D14,IFERROR((SUMPRODUCT((economics!$AG$2:$AG$167=$B43)*(economics!$D$2:$D$167="whr")*economics!$AH$2:$AH$167*(_xlfn.NORM.DIST(O$3,economics!$AK$2:$AK$167,economics!$AJ$2:$AJ$167,TRUE)-_xlfn.NORM.DIST(O$30,economics!$AK$2:$AK$167,economics!$AJ$2:$AJ$167,TRUE))*economics!$AM$2:$AM$167)+$CR14*(_xlfn.NORM.DIST(O$3,$CU14,0.3*$CU14,TRUE)-_xlfn.NORM.DIST(O$30,$CU14,0.3*$CU14,TRUE))*summary!$C$7/28.8/0.947817+$CS14*(_xlfn.NORM.DIST(O$3,$CV14,0.3*$CV14,TRUE)-_xlfn.NORM.DIST(O$30,$CV14,0.3*$CV14,TRUE))*summary!$C$6/28.8/0.947817)/(SUMPRODUCT((economics!$AG$2:$AG$167=$B43)*(economics!$D$2:$D$167="whr")*economics!$AH$2:$AH$167*(_xlfn.NORM.DIST(O$3,economics!$AK$2:$AK$167,economics!$AJ$2:$AJ$167,TRUE)-_xlfn.NORM.DIST(O$30,economics!$AK$2:$AK$167,economics!$AJ$2:$AJ$167,TRUE)))+$CR14*(_xlfn.NORM.DIST(O$3,$CU14,0.3*$CU14,TRUE)-_xlfn.NORM.DIST(O$30,$CU14,0.3*$CU14,TRUE))+$CS14*(_xlfn.NORM.DIST(O$3,$CV14,0.3*$CV14,TRUE)-_xlfn.NORM.DIST(O$30,$CV14,0.3*$CV14,TRUE))),""),IF($C14&gt;0,summary!$C$10/28.8/0.947817,""))</f>
        <v/>
      </c>
      <c r="P43">
        <f t="array" ref="P43">IF($D14,IFERROR((SUMPRODUCT((economics!$AG$2:$AG$167=$B43)*(economics!$D$2:$D$167="whr")*economics!$AH$2:$AH$167*(_xlfn.NORM.DIST(P$3,economics!$AK$2:$AK$167,economics!$AJ$2:$AJ$167,TRUE)-_xlfn.NORM.DIST(P$30,economics!$AK$2:$AK$167,economics!$AJ$2:$AJ$167,TRUE))*economics!$AM$2:$AM$167)+$CR14*(_xlfn.NORM.DIST(P$3,$CU14,0.3*$CU14,TRUE)-_xlfn.NORM.DIST(P$30,$CU14,0.3*$CU14,TRUE))*summary!$C$7/28.8/0.947817+$CS14*(_xlfn.NORM.DIST(P$3,$CV14,0.3*$CV14,TRUE)-_xlfn.NORM.DIST(P$30,$CV14,0.3*$CV14,TRUE))*summary!$C$6/28.8/0.947817)/(SUMPRODUCT((economics!$AG$2:$AG$167=$B43)*(economics!$D$2:$D$167="whr")*economics!$AH$2:$AH$167*(_xlfn.NORM.DIST(P$3,economics!$AK$2:$AK$167,economics!$AJ$2:$AJ$167,TRUE)-_xlfn.NORM.DIST(P$30,economics!$AK$2:$AK$167,economics!$AJ$2:$AJ$167,TRUE)))+$CR14*(_xlfn.NORM.DIST(P$3,$CU14,0.3*$CU14,TRUE)-_xlfn.NORM.DIST(P$30,$CU14,0.3*$CU14,TRUE))+$CS14*(_xlfn.NORM.DIST(P$3,$CV14,0.3*$CV14,TRUE)-_xlfn.NORM.DIST(P$30,$CV14,0.3*$CV14,TRUE))),""),IF($C14&gt;0,summary!$C$10/28.8/0.947817,""))</f>
        <v/>
      </c>
      <c r="Q43">
        <f t="array" ref="Q43">IF($D14,IFERROR((SUMPRODUCT((economics!$AG$2:$AG$167=$B43)*(economics!$D$2:$D$167="whr")*economics!$AH$2:$AH$167*(_xlfn.NORM.DIST(Q$3,economics!$AK$2:$AK$167,economics!$AJ$2:$AJ$167,TRUE)-_xlfn.NORM.DIST(Q$30,economics!$AK$2:$AK$167,economics!$AJ$2:$AJ$167,TRUE))*economics!$AM$2:$AM$167)+$CR14*(_xlfn.NORM.DIST(Q$3,$CU14,0.3*$CU14,TRUE)-_xlfn.NORM.DIST(Q$30,$CU14,0.3*$CU14,TRUE))*summary!$C$7/28.8/0.947817+$CS14*(_xlfn.NORM.DIST(Q$3,$CV14,0.3*$CV14,TRUE)-_xlfn.NORM.DIST(Q$30,$CV14,0.3*$CV14,TRUE))*summary!$C$6/28.8/0.947817)/(SUMPRODUCT((economics!$AG$2:$AG$167=$B43)*(economics!$D$2:$D$167="whr")*economics!$AH$2:$AH$167*(_xlfn.NORM.DIST(Q$3,economics!$AK$2:$AK$167,economics!$AJ$2:$AJ$167,TRUE)-_xlfn.NORM.DIST(Q$30,economics!$AK$2:$AK$167,economics!$AJ$2:$AJ$167,TRUE)))+$CR14*(_xlfn.NORM.DIST(Q$3,$CU14,0.3*$CU14,TRUE)-_xlfn.NORM.DIST(Q$30,$CU14,0.3*$CU14,TRUE))+$CS14*(_xlfn.NORM.DIST(Q$3,$CV14,0.3*$CV14,TRUE)-_xlfn.NORM.DIST(Q$30,$CV14,0.3*$CV14,TRUE))),""),IF($C14&gt;0,summary!$C$10/28.8/0.947817,""))</f>
        <v/>
      </c>
      <c r="R43">
        <f t="array" ref="R43">IF($D14,IFERROR((SUMPRODUCT((economics!$AG$2:$AG$167=$B43)*(economics!$D$2:$D$167="whr")*economics!$AH$2:$AH$167*(_xlfn.NORM.DIST(R$3,economics!$AK$2:$AK$167,economics!$AJ$2:$AJ$167,TRUE)-_xlfn.NORM.DIST(R$30,economics!$AK$2:$AK$167,economics!$AJ$2:$AJ$167,TRUE))*economics!$AM$2:$AM$167)+$CR14*(_xlfn.NORM.DIST(R$3,$CU14,0.3*$CU14,TRUE)-_xlfn.NORM.DIST(R$30,$CU14,0.3*$CU14,TRUE))*summary!$C$7/28.8/0.947817+$CS14*(_xlfn.NORM.DIST(R$3,$CV14,0.3*$CV14,TRUE)-_xlfn.NORM.DIST(R$30,$CV14,0.3*$CV14,TRUE))*summary!$C$6/28.8/0.947817)/(SUMPRODUCT((economics!$AG$2:$AG$167=$B43)*(economics!$D$2:$D$167="whr")*economics!$AH$2:$AH$167*(_xlfn.NORM.DIST(R$3,economics!$AK$2:$AK$167,economics!$AJ$2:$AJ$167,TRUE)-_xlfn.NORM.DIST(R$30,economics!$AK$2:$AK$167,economics!$AJ$2:$AJ$167,TRUE)))+$CR14*(_xlfn.NORM.DIST(R$3,$CU14,0.3*$CU14,TRUE)-_xlfn.NORM.DIST(R$30,$CU14,0.3*$CU14,TRUE))+$CS14*(_xlfn.NORM.DIST(R$3,$CV14,0.3*$CV14,TRUE)-_xlfn.NORM.DIST(R$30,$CV14,0.3*$CV14,TRUE))),""),IF($C14&gt;0,summary!$C$10/28.8/0.947817,""))</f>
        <v/>
      </c>
      <c r="S43">
        <f t="array" ref="S43">IF($D14,IFERROR((SUMPRODUCT((economics!$AG$2:$AG$167=$B43)*(economics!$D$2:$D$167="whr")*economics!$AH$2:$AH$167*(_xlfn.NORM.DIST(S$3,economics!$AK$2:$AK$167,economics!$AJ$2:$AJ$167,TRUE)-_xlfn.NORM.DIST(S$30,economics!$AK$2:$AK$167,economics!$AJ$2:$AJ$167,TRUE))*economics!$AM$2:$AM$167)+$CR14*(_xlfn.NORM.DIST(S$3,$CU14,0.3*$CU14,TRUE)-_xlfn.NORM.DIST(S$30,$CU14,0.3*$CU14,TRUE))*summary!$C$7/28.8/0.947817+$CS14*(_xlfn.NORM.DIST(S$3,$CV14,0.3*$CV14,TRUE)-_xlfn.NORM.DIST(S$30,$CV14,0.3*$CV14,TRUE))*summary!$C$6/28.8/0.947817)/(SUMPRODUCT((economics!$AG$2:$AG$167=$B43)*(economics!$D$2:$D$167="whr")*economics!$AH$2:$AH$167*(_xlfn.NORM.DIST(S$3,economics!$AK$2:$AK$167,economics!$AJ$2:$AJ$167,TRUE)-_xlfn.NORM.DIST(S$30,economics!$AK$2:$AK$167,economics!$AJ$2:$AJ$167,TRUE)))+$CR14*(_xlfn.NORM.DIST(S$3,$CU14,0.3*$CU14,TRUE)-_xlfn.NORM.DIST(S$30,$CU14,0.3*$CU14,TRUE))+$CS14*(_xlfn.NORM.DIST(S$3,$CV14,0.3*$CV14,TRUE)-_xlfn.NORM.DIST(S$30,$CV14,0.3*$CV14,TRUE))),""),IF($C14&gt;0,summary!$C$10/28.8/0.947817,""))</f>
        <v/>
      </c>
      <c r="T43">
        <f t="array" ref="T43">IF($D14,IFERROR((SUMPRODUCT((economics!$AG$2:$AG$167=$B43)*(economics!$D$2:$D$167="whr")*economics!$AH$2:$AH$167*(_xlfn.NORM.DIST(T$3,economics!$AK$2:$AK$167,economics!$AJ$2:$AJ$167,TRUE)-_xlfn.NORM.DIST(T$30,economics!$AK$2:$AK$167,economics!$AJ$2:$AJ$167,TRUE))*economics!$AM$2:$AM$167)+$CR14*(_xlfn.NORM.DIST(T$3,$CU14,0.3*$CU14,TRUE)-_xlfn.NORM.DIST(T$30,$CU14,0.3*$CU14,TRUE))*summary!$C$7/28.8/0.947817+$CS14*(_xlfn.NORM.DIST(T$3,$CV14,0.3*$CV14,TRUE)-_xlfn.NORM.DIST(T$30,$CV14,0.3*$CV14,TRUE))*summary!$C$6/28.8/0.947817)/(SUMPRODUCT((economics!$AG$2:$AG$167=$B43)*(economics!$D$2:$D$167="whr")*economics!$AH$2:$AH$167*(_xlfn.NORM.DIST(T$3,economics!$AK$2:$AK$167,economics!$AJ$2:$AJ$167,TRUE)-_xlfn.NORM.DIST(T$30,economics!$AK$2:$AK$167,economics!$AJ$2:$AJ$167,TRUE)))+$CR14*(_xlfn.NORM.DIST(T$3,$CU14,0.3*$CU14,TRUE)-_xlfn.NORM.DIST(T$30,$CU14,0.3*$CU14,TRUE))+$CS14*(_xlfn.NORM.DIST(T$3,$CV14,0.3*$CV14,TRUE)-_xlfn.NORM.DIST(T$30,$CV14,0.3*$CV14,TRUE))),""),IF($C14&gt;0,summary!$C$10/28.8/0.947817,""))</f>
        <v/>
      </c>
      <c r="U43">
        <f t="array" ref="U43">IF($D14,IFERROR((SUMPRODUCT((economics!$AG$2:$AG$167=$B43)*(economics!$D$2:$D$167="whr")*economics!$AH$2:$AH$167*(_xlfn.NORM.DIST(U$3,economics!$AK$2:$AK$167,economics!$AJ$2:$AJ$167,TRUE)-_xlfn.NORM.DIST(U$30,economics!$AK$2:$AK$167,economics!$AJ$2:$AJ$167,TRUE))*economics!$AM$2:$AM$167)+$CR14*(_xlfn.NORM.DIST(U$3,$CU14,0.3*$CU14,TRUE)-_xlfn.NORM.DIST(U$30,$CU14,0.3*$CU14,TRUE))*summary!$C$7/28.8/0.947817+$CS14*(_xlfn.NORM.DIST(U$3,$CV14,0.3*$CV14,TRUE)-_xlfn.NORM.DIST(U$30,$CV14,0.3*$CV14,TRUE))*summary!$C$6/28.8/0.947817)/(SUMPRODUCT((economics!$AG$2:$AG$167=$B43)*(economics!$D$2:$D$167="whr")*economics!$AH$2:$AH$167*(_xlfn.NORM.DIST(U$3,economics!$AK$2:$AK$167,economics!$AJ$2:$AJ$167,TRUE)-_xlfn.NORM.DIST(U$30,economics!$AK$2:$AK$167,economics!$AJ$2:$AJ$167,TRUE)))+$CR14*(_xlfn.NORM.DIST(U$3,$CU14,0.3*$CU14,TRUE)-_xlfn.NORM.DIST(U$30,$CU14,0.3*$CU14,TRUE))+$CS14*(_xlfn.NORM.DIST(U$3,$CV14,0.3*$CV14,TRUE)-_xlfn.NORM.DIST(U$30,$CV14,0.3*$CV14,TRUE))),""),IF($C14&gt;0,summary!$C$10/28.8/0.947817,""))</f>
        <v/>
      </c>
      <c r="V43">
        <f t="array" ref="V43">IF($D14,IFERROR((SUMPRODUCT((economics!$AG$2:$AG$167=$B43)*(economics!$D$2:$D$167="whr")*economics!$AH$2:$AH$167*(_xlfn.NORM.DIST(V$3,economics!$AK$2:$AK$167,economics!$AJ$2:$AJ$167,TRUE)-_xlfn.NORM.DIST(V$30,economics!$AK$2:$AK$167,economics!$AJ$2:$AJ$167,TRUE))*economics!$AM$2:$AM$167)+$CR14*(_xlfn.NORM.DIST(V$3,$CU14,0.3*$CU14,TRUE)-_xlfn.NORM.DIST(V$30,$CU14,0.3*$CU14,TRUE))*summary!$C$7/28.8/0.947817+$CS14*(_xlfn.NORM.DIST(V$3,$CV14,0.3*$CV14,TRUE)-_xlfn.NORM.DIST(V$30,$CV14,0.3*$CV14,TRUE))*summary!$C$6/28.8/0.947817)/(SUMPRODUCT((economics!$AG$2:$AG$167=$B43)*(economics!$D$2:$D$167="whr")*economics!$AH$2:$AH$167*(_xlfn.NORM.DIST(V$3,economics!$AK$2:$AK$167,economics!$AJ$2:$AJ$167,TRUE)-_xlfn.NORM.DIST(V$30,economics!$AK$2:$AK$167,economics!$AJ$2:$AJ$167,TRUE)))+$CR14*(_xlfn.NORM.DIST(V$3,$CU14,0.3*$CU14,TRUE)-_xlfn.NORM.DIST(V$30,$CU14,0.3*$CU14,TRUE))+$CS14*(_xlfn.NORM.DIST(V$3,$CV14,0.3*$CV14,TRUE)-_xlfn.NORM.DIST(V$30,$CV14,0.3*$CV14,TRUE))),""),IF($C14&gt;0,summary!$C$10/28.8/0.947817,""))</f>
        <v/>
      </c>
      <c r="W43">
        <f t="array" ref="W43">IF($D14,IFERROR((SUMPRODUCT((economics!$AG$2:$AG$167=$B43)*(economics!$D$2:$D$167="whr")*economics!$AH$2:$AH$167*(_xlfn.NORM.DIST(W$3,economics!$AK$2:$AK$167,economics!$AJ$2:$AJ$167,TRUE)-_xlfn.NORM.DIST(W$30,economics!$AK$2:$AK$167,economics!$AJ$2:$AJ$167,TRUE))*economics!$AM$2:$AM$167)+$CR14*(_xlfn.NORM.DIST(W$3,$CU14,0.3*$CU14,TRUE)-_xlfn.NORM.DIST(W$30,$CU14,0.3*$CU14,TRUE))*summary!$C$7/28.8/0.947817+$CS14*(_xlfn.NORM.DIST(W$3,$CV14,0.3*$CV14,TRUE)-_xlfn.NORM.DIST(W$30,$CV14,0.3*$CV14,TRUE))*summary!$C$6/28.8/0.947817)/(SUMPRODUCT((economics!$AG$2:$AG$167=$B43)*(economics!$D$2:$D$167="whr")*economics!$AH$2:$AH$167*(_xlfn.NORM.DIST(W$3,economics!$AK$2:$AK$167,economics!$AJ$2:$AJ$167,TRUE)-_xlfn.NORM.DIST(W$30,economics!$AK$2:$AK$167,economics!$AJ$2:$AJ$167,TRUE)))+$CR14*(_xlfn.NORM.DIST(W$3,$CU14,0.3*$CU14,TRUE)-_xlfn.NORM.DIST(W$30,$CU14,0.3*$CU14,TRUE))+$CS14*(_xlfn.NORM.DIST(W$3,$CV14,0.3*$CV14,TRUE)-_xlfn.NORM.DIST(W$30,$CV14,0.3*$CV14,TRUE))),""),IF($C14&gt;0,summary!$C$10/28.8/0.947817,""))</f>
        <v/>
      </c>
      <c r="X43">
        <f t="array" ref="X43">IF($D14,IFERROR((SUMPRODUCT((economics!$AG$2:$AG$167=$B43)*(economics!$D$2:$D$167="whr")*economics!$AH$2:$AH$167*(_xlfn.NORM.DIST(X$3,economics!$AK$2:$AK$167,economics!$AJ$2:$AJ$167,TRUE)-_xlfn.NORM.DIST(X$30,economics!$AK$2:$AK$167,economics!$AJ$2:$AJ$167,TRUE))*economics!$AM$2:$AM$167)+$CR14*(_xlfn.NORM.DIST(X$3,$CU14,0.3*$CU14,TRUE)-_xlfn.NORM.DIST(X$30,$CU14,0.3*$CU14,TRUE))*summary!$C$7/28.8/0.947817+$CS14*(_xlfn.NORM.DIST(X$3,$CV14,0.3*$CV14,TRUE)-_xlfn.NORM.DIST(X$30,$CV14,0.3*$CV14,TRUE))*summary!$C$6/28.8/0.947817)/(SUMPRODUCT((economics!$AG$2:$AG$167=$B43)*(economics!$D$2:$D$167="whr")*economics!$AH$2:$AH$167*(_xlfn.NORM.DIST(X$3,economics!$AK$2:$AK$167,economics!$AJ$2:$AJ$167,TRUE)-_xlfn.NORM.DIST(X$30,economics!$AK$2:$AK$167,economics!$AJ$2:$AJ$167,TRUE)))+$CR14*(_xlfn.NORM.DIST(X$3,$CU14,0.3*$CU14,TRUE)-_xlfn.NORM.DIST(X$30,$CU14,0.3*$CU14,TRUE))+$CS14*(_xlfn.NORM.DIST(X$3,$CV14,0.3*$CV14,TRUE)-_xlfn.NORM.DIST(X$30,$CV14,0.3*$CV14,TRUE))),""),IF($C14&gt;0,summary!$C$10/28.8/0.947817,""))</f>
        <v/>
      </c>
      <c r="Y43">
        <f t="array" ref="Y43">IF($D14,IFERROR((SUMPRODUCT((economics!$AG$2:$AG$167=$B43)*(economics!$D$2:$D$167="whr")*economics!$AH$2:$AH$167*(_xlfn.NORM.DIST(Y$3,economics!$AK$2:$AK$167,economics!$AJ$2:$AJ$167,TRUE)-_xlfn.NORM.DIST(Y$30,economics!$AK$2:$AK$167,economics!$AJ$2:$AJ$167,TRUE))*economics!$AM$2:$AM$167)+$CR14*(_xlfn.NORM.DIST(Y$3,$CU14,0.3*$CU14,TRUE)-_xlfn.NORM.DIST(Y$30,$CU14,0.3*$CU14,TRUE))*summary!$C$7/28.8/0.947817+$CS14*(_xlfn.NORM.DIST(Y$3,$CV14,0.3*$CV14,TRUE)-_xlfn.NORM.DIST(Y$30,$CV14,0.3*$CV14,TRUE))*summary!$C$6/28.8/0.947817)/(SUMPRODUCT((economics!$AG$2:$AG$167=$B43)*(economics!$D$2:$D$167="whr")*economics!$AH$2:$AH$167*(_xlfn.NORM.DIST(Y$3,economics!$AK$2:$AK$167,economics!$AJ$2:$AJ$167,TRUE)-_xlfn.NORM.DIST(Y$30,economics!$AK$2:$AK$167,economics!$AJ$2:$AJ$167,TRUE)))+$CR14*(_xlfn.NORM.DIST(Y$3,$CU14,0.3*$CU14,TRUE)-_xlfn.NORM.DIST(Y$30,$CU14,0.3*$CU14,TRUE))+$CS14*(_xlfn.NORM.DIST(Y$3,$CV14,0.3*$CV14,TRUE)-_xlfn.NORM.DIST(Y$30,$CV14,0.3*$CV14,TRUE))),""),IF($C14&gt;0,summary!$C$10/28.8/0.947817,""))</f>
        <v/>
      </c>
      <c r="Z43">
        <f t="array" ref="Z43">IF($D14,IFERROR((SUMPRODUCT((economics!$AG$2:$AG$167=$B43)*(economics!$D$2:$D$167="whr")*economics!$AH$2:$AH$167*(_xlfn.NORM.DIST(Z$3,economics!$AK$2:$AK$167,economics!$AJ$2:$AJ$167,TRUE)-_xlfn.NORM.DIST(Z$30,economics!$AK$2:$AK$167,economics!$AJ$2:$AJ$167,TRUE))*economics!$AM$2:$AM$167)+$CR14*(_xlfn.NORM.DIST(Z$3,$CU14,0.3*$CU14,TRUE)-_xlfn.NORM.DIST(Z$30,$CU14,0.3*$CU14,TRUE))*summary!$C$7/28.8/0.947817+$CS14*(_xlfn.NORM.DIST(Z$3,$CV14,0.3*$CV14,TRUE)-_xlfn.NORM.DIST(Z$30,$CV14,0.3*$CV14,TRUE))*summary!$C$6/28.8/0.947817)/(SUMPRODUCT((economics!$AG$2:$AG$167=$B43)*(economics!$D$2:$D$167="whr")*economics!$AH$2:$AH$167*(_xlfn.NORM.DIST(Z$3,economics!$AK$2:$AK$167,economics!$AJ$2:$AJ$167,TRUE)-_xlfn.NORM.DIST(Z$30,economics!$AK$2:$AK$167,economics!$AJ$2:$AJ$167,TRUE)))+$CR14*(_xlfn.NORM.DIST(Z$3,$CU14,0.3*$CU14,TRUE)-_xlfn.NORM.DIST(Z$30,$CU14,0.3*$CU14,TRUE))+$CS14*(_xlfn.NORM.DIST(Z$3,$CV14,0.3*$CV14,TRUE)-_xlfn.NORM.DIST(Z$30,$CV14,0.3*$CV14,TRUE))),""),IF($C14&gt;0,summary!$C$10/28.8/0.947817,""))</f>
        <v/>
      </c>
      <c r="AA43">
        <f t="array" ref="AA43">IF($D14,IFERROR((SUMPRODUCT((economics!$AG$2:$AG$167=$B43)*(economics!$D$2:$D$167="whr")*economics!$AH$2:$AH$167*(_xlfn.NORM.DIST(AA$3,economics!$AK$2:$AK$167,economics!$AJ$2:$AJ$167,TRUE)-_xlfn.NORM.DIST(AA$30,economics!$AK$2:$AK$167,economics!$AJ$2:$AJ$167,TRUE))*economics!$AM$2:$AM$167)+$CR14*(_xlfn.NORM.DIST(AA$3,$CU14,0.3*$CU14,TRUE)-_xlfn.NORM.DIST(AA$30,$CU14,0.3*$CU14,TRUE))*summary!$C$7/28.8/0.947817+$CS14*(_xlfn.NORM.DIST(AA$3,$CV14,0.3*$CV14,TRUE)-_xlfn.NORM.DIST(AA$30,$CV14,0.3*$CV14,TRUE))*summary!$C$6/28.8/0.947817)/(SUMPRODUCT((economics!$AG$2:$AG$167=$B43)*(economics!$D$2:$D$167="whr")*economics!$AH$2:$AH$167*(_xlfn.NORM.DIST(AA$3,economics!$AK$2:$AK$167,economics!$AJ$2:$AJ$167,TRUE)-_xlfn.NORM.DIST(AA$30,economics!$AK$2:$AK$167,economics!$AJ$2:$AJ$167,TRUE)))+$CR14*(_xlfn.NORM.DIST(AA$3,$CU14,0.3*$CU14,TRUE)-_xlfn.NORM.DIST(AA$30,$CU14,0.3*$CU14,TRUE))+$CS14*(_xlfn.NORM.DIST(AA$3,$CV14,0.3*$CV14,TRUE)-_xlfn.NORM.DIST(AA$30,$CV14,0.3*$CV14,TRUE))),""),IF($C14&gt;0,summary!$C$10/28.8/0.947817,""))</f>
        <v/>
      </c>
      <c r="AB43">
        <f t="array" ref="AB43">IF($D14,IFERROR((SUMPRODUCT((economics!$AG$2:$AG$167=$B43)*(economics!$D$2:$D$167="whr")*economics!$AH$2:$AH$167*(_xlfn.NORM.DIST(AB$3,economics!$AK$2:$AK$167,economics!$AJ$2:$AJ$167,TRUE)-_xlfn.NORM.DIST(AB$30,economics!$AK$2:$AK$167,economics!$AJ$2:$AJ$167,TRUE))*economics!$AM$2:$AM$167)+$CR14*(_xlfn.NORM.DIST(AB$3,$CU14,0.3*$CU14,TRUE)-_xlfn.NORM.DIST(AB$30,$CU14,0.3*$CU14,TRUE))*summary!$C$7/28.8/0.947817+$CS14*(_xlfn.NORM.DIST(AB$3,$CV14,0.3*$CV14,TRUE)-_xlfn.NORM.DIST(AB$30,$CV14,0.3*$CV14,TRUE))*summary!$C$6/28.8/0.947817)/(SUMPRODUCT((economics!$AG$2:$AG$167=$B43)*(economics!$D$2:$D$167="whr")*economics!$AH$2:$AH$167*(_xlfn.NORM.DIST(AB$3,economics!$AK$2:$AK$167,economics!$AJ$2:$AJ$167,TRUE)-_xlfn.NORM.DIST(AB$30,economics!$AK$2:$AK$167,economics!$AJ$2:$AJ$167,TRUE)))+$CR14*(_xlfn.NORM.DIST(AB$3,$CU14,0.3*$CU14,TRUE)-_xlfn.NORM.DIST(AB$30,$CU14,0.3*$CU14,TRUE))+$CS14*(_xlfn.NORM.DIST(AB$3,$CV14,0.3*$CV14,TRUE)-_xlfn.NORM.DIST(AB$30,$CV14,0.3*$CV14,TRUE))),""),IF($C14&gt;0,summary!$C$10/28.8/0.947817,""))</f>
        <v/>
      </c>
      <c r="AC43">
        <f t="array" ref="AC43">IF($D14,IFERROR((SUMPRODUCT((economics!$AG$2:$AG$167=$B43)*(economics!$D$2:$D$167="whr")*economics!$AH$2:$AH$167*(_xlfn.NORM.DIST(AC$3,economics!$AK$2:$AK$167,economics!$AJ$2:$AJ$167,TRUE)-_xlfn.NORM.DIST(AC$30,economics!$AK$2:$AK$167,economics!$AJ$2:$AJ$167,TRUE))*economics!$AM$2:$AM$167)+$CR14*(_xlfn.NORM.DIST(AC$3,$CU14,0.3*$CU14,TRUE)-_xlfn.NORM.DIST(AC$30,$CU14,0.3*$CU14,TRUE))*summary!$C$7/28.8/0.947817+$CS14*(_xlfn.NORM.DIST(AC$3,$CV14,0.3*$CV14,TRUE)-_xlfn.NORM.DIST(AC$30,$CV14,0.3*$CV14,TRUE))*summary!$C$6/28.8/0.947817)/(SUMPRODUCT((economics!$AG$2:$AG$167=$B43)*(economics!$D$2:$D$167="whr")*economics!$AH$2:$AH$167*(_xlfn.NORM.DIST(AC$3,economics!$AK$2:$AK$167,economics!$AJ$2:$AJ$167,TRUE)-_xlfn.NORM.DIST(AC$30,economics!$AK$2:$AK$167,economics!$AJ$2:$AJ$167,TRUE)))+$CR14*(_xlfn.NORM.DIST(AC$3,$CU14,0.3*$CU14,TRUE)-_xlfn.NORM.DIST(AC$30,$CU14,0.3*$CU14,TRUE))+$CS14*(_xlfn.NORM.DIST(AC$3,$CV14,0.3*$CV14,TRUE)-_xlfn.NORM.DIST(AC$30,$CV14,0.3*$CV14,TRUE))),""),IF($C14&gt;0,summary!$C$10/28.8/0.947817,""))</f>
        <v/>
      </c>
      <c r="AD43">
        <f t="array" ref="AD43">IF($D14,IFERROR((SUMPRODUCT((economics!$AG$2:$AG$167=$B43)*(economics!$D$2:$D$167="whr")*economics!$AH$2:$AH$167*(_xlfn.NORM.DIST(AD$3,economics!$AK$2:$AK$167,economics!$AJ$2:$AJ$167,TRUE)-_xlfn.NORM.DIST(AD$30,economics!$AK$2:$AK$167,economics!$AJ$2:$AJ$167,TRUE))*economics!$AM$2:$AM$167)+$CR14*(_xlfn.NORM.DIST(AD$3,$CU14,0.3*$CU14,TRUE)-_xlfn.NORM.DIST(AD$30,$CU14,0.3*$CU14,TRUE))*summary!$C$7/28.8/0.947817+$CS14*(_xlfn.NORM.DIST(AD$3,$CV14,0.3*$CV14,TRUE)-_xlfn.NORM.DIST(AD$30,$CV14,0.3*$CV14,TRUE))*summary!$C$6/28.8/0.947817)/(SUMPRODUCT((economics!$AG$2:$AG$167=$B43)*(economics!$D$2:$D$167="whr")*economics!$AH$2:$AH$167*(_xlfn.NORM.DIST(AD$3,economics!$AK$2:$AK$167,economics!$AJ$2:$AJ$167,TRUE)-_xlfn.NORM.DIST(AD$30,economics!$AK$2:$AK$167,economics!$AJ$2:$AJ$167,TRUE)))+$CR14*(_xlfn.NORM.DIST(AD$3,$CU14,0.3*$CU14,TRUE)-_xlfn.NORM.DIST(AD$30,$CU14,0.3*$CU14,TRUE))+$CS14*(_xlfn.NORM.DIST(AD$3,$CV14,0.3*$CV14,TRUE)-_xlfn.NORM.DIST(AD$30,$CV14,0.3*$CV14,TRUE))),""),IF($C14&gt;0,summary!$C$10/28.8/0.947817,""))</f>
        <v/>
      </c>
      <c r="AE43">
        <f t="array" ref="AE43">IF($D14,IFERROR((SUMPRODUCT((economics!$AG$2:$AG$167=$B43)*(economics!$D$2:$D$167="whr")*economics!$AH$2:$AH$167*(_xlfn.NORM.DIST(AE$3,economics!$AK$2:$AK$167,economics!$AJ$2:$AJ$167,TRUE)-_xlfn.NORM.DIST(AE$30,economics!$AK$2:$AK$167,economics!$AJ$2:$AJ$167,TRUE))*economics!$AM$2:$AM$167)+$CR14*(_xlfn.NORM.DIST(AE$3,$CU14,0.3*$CU14,TRUE)-_xlfn.NORM.DIST(AE$30,$CU14,0.3*$CU14,TRUE))*summary!$C$7/28.8/0.947817+$CS14*(_xlfn.NORM.DIST(AE$3,$CV14,0.3*$CV14,TRUE)-_xlfn.NORM.DIST(AE$30,$CV14,0.3*$CV14,TRUE))*summary!$C$6/28.8/0.947817)/(SUMPRODUCT((economics!$AG$2:$AG$167=$B43)*(economics!$D$2:$D$167="whr")*economics!$AH$2:$AH$167*(_xlfn.NORM.DIST(AE$3,economics!$AK$2:$AK$167,economics!$AJ$2:$AJ$167,TRUE)-_xlfn.NORM.DIST(AE$30,economics!$AK$2:$AK$167,economics!$AJ$2:$AJ$167,TRUE)))+$CR14*(_xlfn.NORM.DIST(AE$3,$CU14,0.3*$CU14,TRUE)-_xlfn.NORM.DIST(AE$30,$CU14,0.3*$CU14,TRUE))+$CS14*(_xlfn.NORM.DIST(AE$3,$CV14,0.3*$CV14,TRUE)-_xlfn.NORM.DIST(AE$30,$CV14,0.3*$CV14,TRUE))),""),IF($C14&gt;0,summary!$C$10/28.8/0.947817,""))</f>
        <v/>
      </c>
      <c r="AF43">
        <f t="array" ref="AF43">IF($D14,IFERROR((SUMPRODUCT((economics!$AG$2:$AG$167=$B43)*(economics!$D$2:$D$167="whr")*economics!$AH$2:$AH$167*(_xlfn.NORM.DIST(AF$3,economics!$AK$2:$AK$167,economics!$AJ$2:$AJ$167,TRUE)-_xlfn.NORM.DIST(AF$30,economics!$AK$2:$AK$167,economics!$AJ$2:$AJ$167,TRUE))*economics!$AM$2:$AM$167)+$CR14*(_xlfn.NORM.DIST(AF$3,$CU14,0.3*$CU14,TRUE)-_xlfn.NORM.DIST(AF$30,$CU14,0.3*$CU14,TRUE))*summary!$C$7/28.8/0.947817+$CS14*(_xlfn.NORM.DIST(AF$3,$CV14,0.3*$CV14,TRUE)-_xlfn.NORM.DIST(AF$30,$CV14,0.3*$CV14,TRUE))*summary!$C$6/28.8/0.947817)/(SUMPRODUCT((economics!$AG$2:$AG$167=$B43)*(economics!$D$2:$D$167="whr")*economics!$AH$2:$AH$167*(_xlfn.NORM.DIST(AF$3,economics!$AK$2:$AK$167,economics!$AJ$2:$AJ$167,TRUE)-_xlfn.NORM.DIST(AF$30,economics!$AK$2:$AK$167,economics!$AJ$2:$AJ$167,TRUE)))+$CR14*(_xlfn.NORM.DIST(AF$3,$CU14,0.3*$CU14,TRUE)-_xlfn.NORM.DIST(AF$30,$CU14,0.3*$CU14,TRUE))+$CS14*(_xlfn.NORM.DIST(AF$3,$CV14,0.3*$CV14,TRUE)-_xlfn.NORM.DIST(AF$30,$CV14,0.3*$CV14,TRUE))),""),IF($C14&gt;0,summary!$C$10/28.8/0.947817,""))</f>
        <v/>
      </c>
      <c r="AG43">
        <f t="array" ref="AG43">IF($D14,IFERROR((SUMPRODUCT((economics!$AG$2:$AG$167=$B43)*(economics!$D$2:$D$167="whr")*economics!$AH$2:$AH$167*(_xlfn.NORM.DIST(AG$3,economics!$AK$2:$AK$167,economics!$AJ$2:$AJ$167,TRUE)-_xlfn.NORM.DIST(AG$30,economics!$AK$2:$AK$167,economics!$AJ$2:$AJ$167,TRUE))*economics!$AM$2:$AM$167)+$CR14*(_xlfn.NORM.DIST(AG$3,$CU14,0.3*$CU14,TRUE)-_xlfn.NORM.DIST(AG$30,$CU14,0.3*$CU14,TRUE))*summary!$C$7/28.8/0.947817+$CS14*(_xlfn.NORM.DIST(AG$3,$CV14,0.3*$CV14,TRUE)-_xlfn.NORM.DIST(AG$30,$CV14,0.3*$CV14,TRUE))*summary!$C$6/28.8/0.947817)/(SUMPRODUCT((economics!$AG$2:$AG$167=$B43)*(economics!$D$2:$D$167="whr")*economics!$AH$2:$AH$167*(_xlfn.NORM.DIST(AG$3,economics!$AK$2:$AK$167,economics!$AJ$2:$AJ$167,TRUE)-_xlfn.NORM.DIST(AG$30,economics!$AK$2:$AK$167,economics!$AJ$2:$AJ$167,TRUE)))+$CR14*(_xlfn.NORM.DIST(AG$3,$CU14,0.3*$CU14,TRUE)-_xlfn.NORM.DIST(AG$30,$CU14,0.3*$CU14,TRUE))+$CS14*(_xlfn.NORM.DIST(AG$3,$CV14,0.3*$CV14,TRUE)-_xlfn.NORM.DIST(AG$30,$CV14,0.3*$CV14,TRUE))),""),IF($C14&gt;0,summary!$C$10/28.8/0.947817,""))</f>
        <v/>
      </c>
      <c r="AH43">
        <f t="array" ref="AH43">IF($D14,IFERROR((SUMPRODUCT((economics!$AG$2:$AG$167=$B43)*(economics!$D$2:$D$167="whr")*economics!$AH$2:$AH$167*(_xlfn.NORM.DIST(AH$3,economics!$AK$2:$AK$167,economics!$AJ$2:$AJ$167,TRUE)-_xlfn.NORM.DIST(AH$30,economics!$AK$2:$AK$167,economics!$AJ$2:$AJ$167,TRUE))*economics!$AM$2:$AM$167)+$CR14*(_xlfn.NORM.DIST(AH$3,$CU14,0.3*$CU14,TRUE)-_xlfn.NORM.DIST(AH$30,$CU14,0.3*$CU14,TRUE))*summary!$C$7/28.8/0.947817+$CS14*(_xlfn.NORM.DIST(AH$3,$CV14,0.3*$CV14,TRUE)-_xlfn.NORM.DIST(AH$30,$CV14,0.3*$CV14,TRUE))*summary!$C$6/28.8/0.947817)/(SUMPRODUCT((economics!$AG$2:$AG$167=$B43)*(economics!$D$2:$D$167="whr")*economics!$AH$2:$AH$167*(_xlfn.NORM.DIST(AH$3,economics!$AK$2:$AK$167,economics!$AJ$2:$AJ$167,TRUE)-_xlfn.NORM.DIST(AH$30,economics!$AK$2:$AK$167,economics!$AJ$2:$AJ$167,TRUE)))+$CR14*(_xlfn.NORM.DIST(AH$3,$CU14,0.3*$CU14,TRUE)-_xlfn.NORM.DIST(AH$30,$CU14,0.3*$CU14,TRUE))+$CS14*(_xlfn.NORM.DIST(AH$3,$CV14,0.3*$CV14,TRUE)-_xlfn.NORM.DIST(AH$30,$CV14,0.3*$CV14,TRUE))),""),IF($C14&gt;0,summary!$C$10/28.8/0.947817,""))</f>
        <v/>
      </c>
      <c r="AI43">
        <f t="array" ref="AI43">IF($D14,IFERROR((SUMPRODUCT((economics!$AG$2:$AG$167=$B43)*(economics!$D$2:$D$167="whr")*economics!$AH$2:$AH$167*(_xlfn.NORM.DIST(AI$3,economics!$AK$2:$AK$167,economics!$AJ$2:$AJ$167,TRUE)-_xlfn.NORM.DIST(AI$30,economics!$AK$2:$AK$167,economics!$AJ$2:$AJ$167,TRUE))*economics!$AM$2:$AM$167)+$CR14*(_xlfn.NORM.DIST(AI$3,$CU14,0.3*$CU14,TRUE)-_xlfn.NORM.DIST(AI$30,$CU14,0.3*$CU14,TRUE))*summary!$C$7/28.8/0.947817+$CS14*(_xlfn.NORM.DIST(AI$3,$CV14,0.3*$CV14,TRUE)-_xlfn.NORM.DIST(AI$30,$CV14,0.3*$CV14,TRUE))*summary!$C$6/28.8/0.947817)/(SUMPRODUCT((economics!$AG$2:$AG$167=$B43)*(economics!$D$2:$D$167="whr")*economics!$AH$2:$AH$167*(_xlfn.NORM.DIST(AI$3,economics!$AK$2:$AK$167,economics!$AJ$2:$AJ$167,TRUE)-_xlfn.NORM.DIST(AI$30,economics!$AK$2:$AK$167,economics!$AJ$2:$AJ$167,TRUE)))+$CR14*(_xlfn.NORM.DIST(AI$3,$CU14,0.3*$CU14,TRUE)-_xlfn.NORM.DIST(AI$30,$CU14,0.3*$CU14,TRUE))+$CS14*(_xlfn.NORM.DIST(AI$3,$CV14,0.3*$CV14,TRUE)-_xlfn.NORM.DIST(AI$30,$CV14,0.3*$CV14,TRUE))),""),IF($C14&gt;0,summary!$C$10/28.8/0.947817,""))</f>
        <v/>
      </c>
      <c r="AJ43">
        <f t="array" ref="AJ43">IF($D14,IFERROR((SUMPRODUCT((economics!$AG$2:$AG$167=$B43)*(economics!$D$2:$D$167="whr")*economics!$AH$2:$AH$167*(_xlfn.NORM.DIST(AJ$3,economics!$AK$2:$AK$167,economics!$AJ$2:$AJ$167,TRUE)-_xlfn.NORM.DIST(AJ$30,economics!$AK$2:$AK$167,economics!$AJ$2:$AJ$167,TRUE))*economics!$AM$2:$AM$167)+$CR14*(_xlfn.NORM.DIST(AJ$3,$CU14,0.3*$CU14,TRUE)-_xlfn.NORM.DIST(AJ$30,$CU14,0.3*$CU14,TRUE))*summary!$C$7/28.8/0.947817+$CS14*(_xlfn.NORM.DIST(AJ$3,$CV14,0.3*$CV14,TRUE)-_xlfn.NORM.DIST(AJ$30,$CV14,0.3*$CV14,TRUE))*summary!$C$6/28.8/0.947817)/(SUMPRODUCT((economics!$AG$2:$AG$167=$B43)*(economics!$D$2:$D$167="whr")*economics!$AH$2:$AH$167*(_xlfn.NORM.DIST(AJ$3,economics!$AK$2:$AK$167,economics!$AJ$2:$AJ$167,TRUE)-_xlfn.NORM.DIST(AJ$30,economics!$AK$2:$AK$167,economics!$AJ$2:$AJ$167,TRUE)))+$CR14*(_xlfn.NORM.DIST(AJ$3,$CU14,0.3*$CU14,TRUE)-_xlfn.NORM.DIST(AJ$30,$CU14,0.3*$CU14,TRUE))+$CS14*(_xlfn.NORM.DIST(AJ$3,$CV14,0.3*$CV14,TRUE)-_xlfn.NORM.DIST(AJ$30,$CV14,0.3*$CV14,TRUE))),""),IF($C14&gt;0,summary!$C$10/28.8/0.947817,""))</f>
        <v/>
      </c>
      <c r="AK43">
        <f t="array" ref="AK43">IF($D14,IFERROR((SUMPRODUCT((economics!$AG$2:$AG$167=$B43)*(economics!$D$2:$D$167="whr")*economics!$AH$2:$AH$167*(_xlfn.NORM.DIST(AK$3,economics!$AK$2:$AK$167,economics!$AJ$2:$AJ$167,TRUE)-_xlfn.NORM.DIST(AK$30,economics!$AK$2:$AK$167,economics!$AJ$2:$AJ$167,TRUE))*economics!$AM$2:$AM$167)+$CR14*(_xlfn.NORM.DIST(AK$3,$CU14,0.3*$CU14,TRUE)-_xlfn.NORM.DIST(AK$30,$CU14,0.3*$CU14,TRUE))*summary!$C$7/28.8/0.947817+$CS14*(_xlfn.NORM.DIST(AK$3,$CV14,0.3*$CV14,TRUE)-_xlfn.NORM.DIST(AK$30,$CV14,0.3*$CV14,TRUE))*summary!$C$6/28.8/0.947817)/(SUMPRODUCT((economics!$AG$2:$AG$167=$B43)*(economics!$D$2:$D$167="whr")*economics!$AH$2:$AH$167*(_xlfn.NORM.DIST(AK$3,economics!$AK$2:$AK$167,economics!$AJ$2:$AJ$167,TRUE)-_xlfn.NORM.DIST(AK$30,economics!$AK$2:$AK$167,economics!$AJ$2:$AJ$167,TRUE)))+$CR14*(_xlfn.NORM.DIST(AK$3,$CU14,0.3*$CU14,TRUE)-_xlfn.NORM.DIST(AK$30,$CU14,0.3*$CU14,TRUE))+$CS14*(_xlfn.NORM.DIST(AK$3,$CV14,0.3*$CV14,TRUE)-_xlfn.NORM.DIST(AK$30,$CV14,0.3*$CV14,TRUE))),""),IF($C14&gt;0,summary!$C$10/28.8/0.947817,""))</f>
        <v/>
      </c>
      <c r="AL43">
        <f t="array" ref="AL43">IF($D14,IFERROR((SUMPRODUCT((economics!$AG$2:$AG$167=$B43)*(economics!$D$2:$D$167="whr")*economics!$AH$2:$AH$167*(_xlfn.NORM.DIST(AL$3,economics!$AK$2:$AK$167,economics!$AJ$2:$AJ$167,TRUE)-_xlfn.NORM.DIST(AL$30,economics!$AK$2:$AK$167,economics!$AJ$2:$AJ$167,TRUE))*economics!$AM$2:$AM$167)+$CR14*(_xlfn.NORM.DIST(AL$3,$CU14,0.3*$CU14,TRUE)-_xlfn.NORM.DIST(AL$30,$CU14,0.3*$CU14,TRUE))*summary!$C$7/28.8/0.947817+$CS14*(_xlfn.NORM.DIST(AL$3,$CV14,0.3*$CV14,TRUE)-_xlfn.NORM.DIST(AL$30,$CV14,0.3*$CV14,TRUE))*summary!$C$6/28.8/0.947817)/(SUMPRODUCT((economics!$AG$2:$AG$167=$B43)*(economics!$D$2:$D$167="whr")*economics!$AH$2:$AH$167*(_xlfn.NORM.DIST(AL$3,economics!$AK$2:$AK$167,economics!$AJ$2:$AJ$167,TRUE)-_xlfn.NORM.DIST(AL$30,economics!$AK$2:$AK$167,economics!$AJ$2:$AJ$167,TRUE)))+$CR14*(_xlfn.NORM.DIST(AL$3,$CU14,0.3*$CU14,TRUE)-_xlfn.NORM.DIST(AL$30,$CU14,0.3*$CU14,TRUE))+$CS14*(_xlfn.NORM.DIST(AL$3,$CV14,0.3*$CV14,TRUE)-_xlfn.NORM.DIST(AL$30,$CV14,0.3*$CV14,TRUE))),""),IF($C14&gt;0,summary!$C$10/28.8/0.947817,""))</f>
        <v/>
      </c>
      <c r="AM43">
        <f t="array" ref="AM43">IF($D14,IFERROR((SUMPRODUCT((economics!$AG$2:$AG$167=$B43)*(economics!$D$2:$D$167="whr")*economics!$AH$2:$AH$167*(_xlfn.NORM.DIST(AM$3,economics!$AK$2:$AK$167,economics!$AJ$2:$AJ$167,TRUE)-_xlfn.NORM.DIST(AM$30,economics!$AK$2:$AK$167,economics!$AJ$2:$AJ$167,TRUE))*economics!$AM$2:$AM$167)+$CR14*(_xlfn.NORM.DIST(AM$3,$CU14,0.3*$CU14,TRUE)-_xlfn.NORM.DIST(AM$30,$CU14,0.3*$CU14,TRUE))*summary!$C$7/28.8/0.947817+$CS14*(_xlfn.NORM.DIST(AM$3,$CV14,0.3*$CV14,TRUE)-_xlfn.NORM.DIST(AM$30,$CV14,0.3*$CV14,TRUE))*summary!$C$6/28.8/0.947817)/(SUMPRODUCT((economics!$AG$2:$AG$167=$B43)*(economics!$D$2:$D$167="whr")*economics!$AH$2:$AH$167*(_xlfn.NORM.DIST(AM$3,economics!$AK$2:$AK$167,economics!$AJ$2:$AJ$167,TRUE)-_xlfn.NORM.DIST(AM$30,economics!$AK$2:$AK$167,economics!$AJ$2:$AJ$167,TRUE)))+$CR14*(_xlfn.NORM.DIST(AM$3,$CU14,0.3*$CU14,TRUE)-_xlfn.NORM.DIST(AM$30,$CU14,0.3*$CU14,TRUE))+$CS14*(_xlfn.NORM.DIST(AM$3,$CV14,0.3*$CV14,TRUE)-_xlfn.NORM.DIST(AM$30,$CV14,0.3*$CV14,TRUE))),""),IF($C14&gt;0,summary!$C$10/28.8/0.947817,""))</f>
        <v/>
      </c>
      <c r="AN43">
        <f t="array" ref="AN43">IF($D14,IFERROR((SUMPRODUCT((economics!$AG$2:$AG$167=$B43)*(economics!$D$2:$D$167="whr")*economics!$AH$2:$AH$167*(_xlfn.NORM.DIST(AN$3,economics!$AK$2:$AK$167,economics!$AJ$2:$AJ$167,TRUE)-_xlfn.NORM.DIST(AN$30,economics!$AK$2:$AK$167,economics!$AJ$2:$AJ$167,TRUE))*economics!$AM$2:$AM$167)+$CR14*(_xlfn.NORM.DIST(AN$3,$CU14,0.3*$CU14,TRUE)-_xlfn.NORM.DIST(AN$30,$CU14,0.3*$CU14,TRUE))*summary!$C$7/28.8/0.947817+$CS14*(_xlfn.NORM.DIST(AN$3,$CV14,0.3*$CV14,TRUE)-_xlfn.NORM.DIST(AN$30,$CV14,0.3*$CV14,TRUE))*summary!$C$6/28.8/0.947817)/(SUMPRODUCT((economics!$AG$2:$AG$167=$B43)*(economics!$D$2:$D$167="whr")*economics!$AH$2:$AH$167*(_xlfn.NORM.DIST(AN$3,economics!$AK$2:$AK$167,economics!$AJ$2:$AJ$167,TRUE)-_xlfn.NORM.DIST(AN$30,economics!$AK$2:$AK$167,economics!$AJ$2:$AJ$167,TRUE)))+$CR14*(_xlfn.NORM.DIST(AN$3,$CU14,0.3*$CU14,TRUE)-_xlfn.NORM.DIST(AN$30,$CU14,0.3*$CU14,TRUE))+$CS14*(_xlfn.NORM.DIST(AN$3,$CV14,0.3*$CV14,TRUE)-_xlfn.NORM.DIST(AN$30,$CV14,0.3*$CV14,TRUE))),""),IF($C14&gt;0,summary!$C$10/28.8/0.947817,""))</f>
        <v/>
      </c>
      <c r="AO43">
        <f t="array" ref="AO43">IF($D14,IFERROR((SUMPRODUCT((economics!$AG$2:$AG$167=$B43)*(economics!$D$2:$D$167="whr")*economics!$AH$2:$AH$167*(_xlfn.NORM.DIST(AO$3,economics!$AK$2:$AK$167,economics!$AJ$2:$AJ$167,TRUE)-_xlfn.NORM.DIST(AO$30,economics!$AK$2:$AK$167,economics!$AJ$2:$AJ$167,TRUE))*economics!$AM$2:$AM$167)+$CR14*(_xlfn.NORM.DIST(AO$3,$CU14,0.3*$CU14,TRUE)-_xlfn.NORM.DIST(AO$30,$CU14,0.3*$CU14,TRUE))*summary!$C$7/28.8/0.947817+$CS14*(_xlfn.NORM.DIST(AO$3,$CV14,0.3*$CV14,TRUE)-_xlfn.NORM.DIST(AO$30,$CV14,0.3*$CV14,TRUE))*summary!$C$6/28.8/0.947817)/(SUMPRODUCT((economics!$AG$2:$AG$167=$B43)*(economics!$D$2:$D$167="whr")*economics!$AH$2:$AH$167*(_xlfn.NORM.DIST(AO$3,economics!$AK$2:$AK$167,economics!$AJ$2:$AJ$167,TRUE)-_xlfn.NORM.DIST(AO$30,economics!$AK$2:$AK$167,economics!$AJ$2:$AJ$167,TRUE)))+$CR14*(_xlfn.NORM.DIST(AO$3,$CU14,0.3*$CU14,TRUE)-_xlfn.NORM.DIST(AO$30,$CU14,0.3*$CU14,TRUE))+$CS14*(_xlfn.NORM.DIST(AO$3,$CV14,0.3*$CV14,TRUE)-_xlfn.NORM.DIST(AO$30,$CV14,0.3*$CV14,TRUE))),""),IF($C14&gt;0,summary!$C$10/28.8/0.947817,""))</f>
        <v/>
      </c>
      <c r="AP43">
        <f t="array" ref="AP43">IF($D14,IFERROR((SUMPRODUCT((economics!$AG$2:$AG$167=$B43)*(economics!$D$2:$D$167="whr")*economics!$AH$2:$AH$167*(_xlfn.NORM.DIST(AP$3,economics!$AK$2:$AK$167,economics!$AJ$2:$AJ$167,TRUE)-_xlfn.NORM.DIST(AP$30,economics!$AK$2:$AK$167,economics!$AJ$2:$AJ$167,TRUE))*economics!$AM$2:$AM$167)+$CR14*(_xlfn.NORM.DIST(AP$3,$CU14,0.3*$CU14,TRUE)-_xlfn.NORM.DIST(AP$30,$CU14,0.3*$CU14,TRUE))*summary!$C$7/28.8/0.947817+$CS14*(_xlfn.NORM.DIST(AP$3,$CV14,0.3*$CV14,TRUE)-_xlfn.NORM.DIST(AP$30,$CV14,0.3*$CV14,TRUE))*summary!$C$6/28.8/0.947817)/(SUMPRODUCT((economics!$AG$2:$AG$167=$B43)*(economics!$D$2:$D$167="whr")*economics!$AH$2:$AH$167*(_xlfn.NORM.DIST(AP$3,economics!$AK$2:$AK$167,economics!$AJ$2:$AJ$167,TRUE)-_xlfn.NORM.DIST(AP$30,economics!$AK$2:$AK$167,economics!$AJ$2:$AJ$167,TRUE)))+$CR14*(_xlfn.NORM.DIST(AP$3,$CU14,0.3*$CU14,TRUE)-_xlfn.NORM.DIST(AP$30,$CU14,0.3*$CU14,TRUE))+$CS14*(_xlfn.NORM.DIST(AP$3,$CV14,0.3*$CV14,TRUE)-_xlfn.NORM.DIST(AP$30,$CV14,0.3*$CV14,TRUE))),""),IF($C14&gt;0,summary!$C$10/28.8/0.947817,""))</f>
        <v/>
      </c>
      <c r="AQ43">
        <f t="array" ref="AQ43">IF($D14,IFERROR((SUMPRODUCT((economics!$AG$2:$AG$167=$B43)*(economics!$D$2:$D$167="whr")*economics!$AH$2:$AH$167*(_xlfn.NORM.DIST(AQ$3,economics!$AK$2:$AK$167,economics!$AJ$2:$AJ$167,TRUE)-_xlfn.NORM.DIST(AQ$30,economics!$AK$2:$AK$167,economics!$AJ$2:$AJ$167,TRUE))*economics!$AM$2:$AM$167)+$CR14*(_xlfn.NORM.DIST(AQ$3,$CU14,0.3*$CU14,TRUE)-_xlfn.NORM.DIST(AQ$30,$CU14,0.3*$CU14,TRUE))*summary!$C$7/28.8/0.947817+$CS14*(_xlfn.NORM.DIST(AQ$3,$CV14,0.3*$CV14,TRUE)-_xlfn.NORM.DIST(AQ$30,$CV14,0.3*$CV14,TRUE))*summary!$C$6/28.8/0.947817)/(SUMPRODUCT((economics!$AG$2:$AG$167=$B43)*(economics!$D$2:$D$167="whr")*economics!$AH$2:$AH$167*(_xlfn.NORM.DIST(AQ$3,economics!$AK$2:$AK$167,economics!$AJ$2:$AJ$167,TRUE)-_xlfn.NORM.DIST(AQ$30,economics!$AK$2:$AK$167,economics!$AJ$2:$AJ$167,TRUE)))+$CR14*(_xlfn.NORM.DIST(AQ$3,$CU14,0.3*$CU14,TRUE)-_xlfn.NORM.DIST(AQ$30,$CU14,0.3*$CU14,TRUE))+$CS14*(_xlfn.NORM.DIST(AQ$3,$CV14,0.3*$CV14,TRUE)-_xlfn.NORM.DIST(AQ$30,$CV14,0.3*$CV14,TRUE))),""),IF($C14&gt;0,summary!$C$10/28.8/0.947817,""))</f>
        <v/>
      </c>
      <c r="AR43">
        <f t="array" ref="AR43">IF($D14,IFERROR((SUMPRODUCT((economics!$AG$2:$AG$167=$B43)*(economics!$D$2:$D$167="whr")*economics!$AH$2:$AH$167*(_xlfn.NORM.DIST(AR$3,economics!$AK$2:$AK$167,economics!$AJ$2:$AJ$167,TRUE)-_xlfn.NORM.DIST(AR$30,economics!$AK$2:$AK$167,economics!$AJ$2:$AJ$167,TRUE))*economics!$AM$2:$AM$167)+$CR14*(_xlfn.NORM.DIST(AR$3,$CU14,0.3*$CU14,TRUE)-_xlfn.NORM.DIST(AR$30,$CU14,0.3*$CU14,TRUE))*summary!$C$7/28.8/0.947817+$CS14*(_xlfn.NORM.DIST(AR$3,$CV14,0.3*$CV14,TRUE)-_xlfn.NORM.DIST(AR$30,$CV14,0.3*$CV14,TRUE))*summary!$C$6/28.8/0.947817)/(SUMPRODUCT((economics!$AG$2:$AG$167=$B43)*(economics!$D$2:$D$167="whr")*economics!$AH$2:$AH$167*(_xlfn.NORM.DIST(AR$3,economics!$AK$2:$AK$167,economics!$AJ$2:$AJ$167,TRUE)-_xlfn.NORM.DIST(AR$30,economics!$AK$2:$AK$167,economics!$AJ$2:$AJ$167,TRUE)))+$CR14*(_xlfn.NORM.DIST(AR$3,$CU14,0.3*$CU14,TRUE)-_xlfn.NORM.DIST(AR$30,$CU14,0.3*$CU14,TRUE))+$CS14*(_xlfn.NORM.DIST(AR$3,$CV14,0.3*$CV14,TRUE)-_xlfn.NORM.DIST(AR$30,$CV14,0.3*$CV14,TRUE))),""),IF($C14&gt;0,summary!$C$10/28.8/0.947817,""))</f>
        <v/>
      </c>
      <c r="AS43">
        <f t="array" ref="AS43">IF($D14,IFERROR((SUMPRODUCT((economics!$AG$2:$AG$167=$B43)*(economics!$D$2:$D$167="whr")*economics!$AH$2:$AH$167*(_xlfn.NORM.DIST(AS$3,economics!$AK$2:$AK$167,economics!$AJ$2:$AJ$167,TRUE)-_xlfn.NORM.DIST(AS$30,economics!$AK$2:$AK$167,economics!$AJ$2:$AJ$167,TRUE))*economics!$AM$2:$AM$167)+$CR14*(_xlfn.NORM.DIST(AS$3,$CU14,0.3*$CU14,TRUE)-_xlfn.NORM.DIST(AS$30,$CU14,0.3*$CU14,TRUE))*summary!$C$7/28.8/0.947817+$CS14*(_xlfn.NORM.DIST(AS$3,$CV14,0.3*$CV14,TRUE)-_xlfn.NORM.DIST(AS$30,$CV14,0.3*$CV14,TRUE))*summary!$C$6/28.8/0.947817)/(SUMPRODUCT((economics!$AG$2:$AG$167=$B43)*(economics!$D$2:$D$167="whr")*economics!$AH$2:$AH$167*(_xlfn.NORM.DIST(AS$3,economics!$AK$2:$AK$167,economics!$AJ$2:$AJ$167,TRUE)-_xlfn.NORM.DIST(AS$30,economics!$AK$2:$AK$167,economics!$AJ$2:$AJ$167,TRUE)))+$CR14*(_xlfn.NORM.DIST(AS$3,$CU14,0.3*$CU14,TRUE)-_xlfn.NORM.DIST(AS$30,$CU14,0.3*$CU14,TRUE))+$CS14*(_xlfn.NORM.DIST(AS$3,$CV14,0.3*$CV14,TRUE)-_xlfn.NORM.DIST(AS$30,$CV14,0.3*$CV14,TRUE))),""),IF($C14&gt;0,summary!$C$10/28.8/0.947817,""))</f>
        <v/>
      </c>
      <c r="AT43">
        <f t="array" ref="AT43">IF($D14,IFERROR((SUMPRODUCT((economics!$AG$2:$AG$167=$B43)*(economics!$D$2:$D$167="whr")*economics!$AH$2:$AH$167*(_xlfn.NORM.DIST(AT$3,economics!$AK$2:$AK$167,economics!$AJ$2:$AJ$167,TRUE)-_xlfn.NORM.DIST(AT$30,economics!$AK$2:$AK$167,economics!$AJ$2:$AJ$167,TRUE))*economics!$AM$2:$AM$167)+$CR14*(_xlfn.NORM.DIST(AT$3,$CU14,0.3*$CU14,TRUE)-_xlfn.NORM.DIST(AT$30,$CU14,0.3*$CU14,TRUE))*summary!$C$7/28.8/0.947817+$CS14*(_xlfn.NORM.DIST(AT$3,$CV14,0.3*$CV14,TRUE)-_xlfn.NORM.DIST(AT$30,$CV14,0.3*$CV14,TRUE))*summary!$C$6/28.8/0.947817)/(SUMPRODUCT((economics!$AG$2:$AG$167=$B43)*(economics!$D$2:$D$167="whr")*economics!$AH$2:$AH$167*(_xlfn.NORM.DIST(AT$3,economics!$AK$2:$AK$167,economics!$AJ$2:$AJ$167,TRUE)-_xlfn.NORM.DIST(AT$30,economics!$AK$2:$AK$167,economics!$AJ$2:$AJ$167,TRUE)))+$CR14*(_xlfn.NORM.DIST(AT$3,$CU14,0.3*$CU14,TRUE)-_xlfn.NORM.DIST(AT$30,$CU14,0.3*$CU14,TRUE))+$CS14*(_xlfn.NORM.DIST(AT$3,$CV14,0.3*$CV14,TRUE)-_xlfn.NORM.DIST(AT$30,$CV14,0.3*$CV14,TRUE))),""),IF($C14&gt;0,summary!$C$10/28.8/0.947817,""))</f>
        <v/>
      </c>
      <c r="AU43">
        <f t="array" ref="AU43">IF($D14,IFERROR((SUMPRODUCT((economics!$AG$2:$AG$167=$B43)*(economics!$D$2:$D$167="whr")*economics!$AH$2:$AH$167*(_xlfn.NORM.DIST(AU$3,economics!$AK$2:$AK$167,economics!$AJ$2:$AJ$167,TRUE)-_xlfn.NORM.DIST(AU$30,economics!$AK$2:$AK$167,economics!$AJ$2:$AJ$167,TRUE))*economics!$AM$2:$AM$167)+$CR14*(_xlfn.NORM.DIST(AU$3,$CU14,0.3*$CU14,TRUE)-_xlfn.NORM.DIST(AU$30,$CU14,0.3*$CU14,TRUE))*summary!$C$7/28.8/0.947817+$CS14*(_xlfn.NORM.DIST(AU$3,$CV14,0.3*$CV14,TRUE)-_xlfn.NORM.DIST(AU$30,$CV14,0.3*$CV14,TRUE))*summary!$C$6/28.8/0.947817)/(SUMPRODUCT((economics!$AG$2:$AG$167=$B43)*(economics!$D$2:$D$167="whr")*economics!$AH$2:$AH$167*(_xlfn.NORM.DIST(AU$3,economics!$AK$2:$AK$167,economics!$AJ$2:$AJ$167,TRUE)-_xlfn.NORM.DIST(AU$30,economics!$AK$2:$AK$167,economics!$AJ$2:$AJ$167,TRUE)))+$CR14*(_xlfn.NORM.DIST(AU$3,$CU14,0.3*$CU14,TRUE)-_xlfn.NORM.DIST(AU$30,$CU14,0.3*$CU14,TRUE))+$CS14*(_xlfn.NORM.DIST(AU$3,$CV14,0.3*$CV14,TRUE)-_xlfn.NORM.DIST(AU$30,$CV14,0.3*$CV14,TRUE))),""),IF($C14&gt;0,summary!$C$10/28.8/0.947817,""))</f>
        <v/>
      </c>
      <c r="AV43">
        <f t="array" ref="AV43">IF($D14,IFERROR((SUMPRODUCT((economics!$AG$2:$AG$167=$B43)*(economics!$D$2:$D$167="whr")*economics!$AH$2:$AH$167*(_xlfn.NORM.DIST(AV$3,economics!$AK$2:$AK$167,economics!$AJ$2:$AJ$167,TRUE)-_xlfn.NORM.DIST(AV$30,economics!$AK$2:$AK$167,economics!$AJ$2:$AJ$167,TRUE))*economics!$AM$2:$AM$167)+$CR14*(_xlfn.NORM.DIST(AV$3,$CU14,0.3*$CU14,TRUE)-_xlfn.NORM.DIST(AV$30,$CU14,0.3*$CU14,TRUE))*summary!$C$7/28.8/0.947817+$CS14*(_xlfn.NORM.DIST(AV$3,$CV14,0.3*$CV14,TRUE)-_xlfn.NORM.DIST(AV$30,$CV14,0.3*$CV14,TRUE))*summary!$C$6/28.8/0.947817)/(SUMPRODUCT((economics!$AG$2:$AG$167=$B43)*(economics!$D$2:$D$167="whr")*economics!$AH$2:$AH$167*(_xlfn.NORM.DIST(AV$3,economics!$AK$2:$AK$167,economics!$AJ$2:$AJ$167,TRUE)-_xlfn.NORM.DIST(AV$30,economics!$AK$2:$AK$167,economics!$AJ$2:$AJ$167,TRUE)))+$CR14*(_xlfn.NORM.DIST(AV$3,$CU14,0.3*$CU14,TRUE)-_xlfn.NORM.DIST(AV$30,$CU14,0.3*$CU14,TRUE))+$CS14*(_xlfn.NORM.DIST(AV$3,$CV14,0.3*$CV14,TRUE)-_xlfn.NORM.DIST(AV$30,$CV14,0.3*$CV14,TRUE))),""),IF($C14&gt;0,summary!$C$10/28.8/0.947817,""))</f>
        <v/>
      </c>
      <c r="AW43">
        <f t="array" ref="AW43">IF($D14,IFERROR((SUMPRODUCT((economics!$AG$2:$AG$167=$B43)*(economics!$D$2:$D$167="whr")*economics!$AH$2:$AH$167*(_xlfn.NORM.DIST(AW$3,economics!$AK$2:$AK$167,economics!$AJ$2:$AJ$167,TRUE)-_xlfn.NORM.DIST(AW$30,economics!$AK$2:$AK$167,economics!$AJ$2:$AJ$167,TRUE))*economics!$AM$2:$AM$167)+$CR14*(_xlfn.NORM.DIST(AW$3,$CU14,0.3*$CU14,TRUE)-_xlfn.NORM.DIST(AW$30,$CU14,0.3*$CU14,TRUE))*summary!$C$7/28.8/0.947817+$CS14*(_xlfn.NORM.DIST(AW$3,$CV14,0.3*$CV14,TRUE)-_xlfn.NORM.DIST(AW$30,$CV14,0.3*$CV14,TRUE))*summary!$C$6/28.8/0.947817)/(SUMPRODUCT((economics!$AG$2:$AG$167=$B43)*(economics!$D$2:$D$167="whr")*economics!$AH$2:$AH$167*(_xlfn.NORM.DIST(AW$3,economics!$AK$2:$AK$167,economics!$AJ$2:$AJ$167,TRUE)-_xlfn.NORM.DIST(AW$30,economics!$AK$2:$AK$167,economics!$AJ$2:$AJ$167,TRUE)))+$CR14*(_xlfn.NORM.DIST(AW$3,$CU14,0.3*$CU14,TRUE)-_xlfn.NORM.DIST(AW$30,$CU14,0.3*$CU14,TRUE))+$CS14*(_xlfn.NORM.DIST(AW$3,$CV14,0.3*$CV14,TRUE)-_xlfn.NORM.DIST(AW$30,$CV14,0.3*$CV14,TRUE))),""),IF($C14&gt;0,summary!$C$10/28.8/0.947817,""))</f>
        <v/>
      </c>
      <c r="AX43">
        <f t="array" ref="AX43">IF($D14,IFERROR((SUMPRODUCT((economics!$AG$2:$AG$167=$B43)*(economics!$D$2:$D$167="whr")*economics!$AH$2:$AH$167*(_xlfn.NORM.DIST(AX$3,economics!$AK$2:$AK$167,economics!$AJ$2:$AJ$167,TRUE)-_xlfn.NORM.DIST(AX$30,economics!$AK$2:$AK$167,economics!$AJ$2:$AJ$167,TRUE))*economics!$AM$2:$AM$167)+$CR14*(_xlfn.NORM.DIST(AX$3,$CU14,0.3*$CU14,TRUE)-_xlfn.NORM.DIST(AX$30,$CU14,0.3*$CU14,TRUE))*summary!$C$7/28.8/0.947817+$CS14*(_xlfn.NORM.DIST(AX$3,$CV14,0.3*$CV14,TRUE)-_xlfn.NORM.DIST(AX$30,$CV14,0.3*$CV14,TRUE))*summary!$C$6/28.8/0.947817)/(SUMPRODUCT((economics!$AG$2:$AG$167=$B43)*(economics!$D$2:$D$167="whr")*economics!$AH$2:$AH$167*(_xlfn.NORM.DIST(AX$3,economics!$AK$2:$AK$167,economics!$AJ$2:$AJ$167,TRUE)-_xlfn.NORM.DIST(AX$30,economics!$AK$2:$AK$167,economics!$AJ$2:$AJ$167,TRUE)))+$CR14*(_xlfn.NORM.DIST(AX$3,$CU14,0.3*$CU14,TRUE)-_xlfn.NORM.DIST(AX$30,$CU14,0.3*$CU14,TRUE))+$CS14*(_xlfn.NORM.DIST(AX$3,$CV14,0.3*$CV14,TRUE)-_xlfn.NORM.DIST(AX$30,$CV14,0.3*$CV14,TRUE))),""),IF($C14&gt;0,summary!$C$10/28.8/0.947817,""))</f>
        <v/>
      </c>
      <c r="AY43">
        <f t="array" ref="AY43">IF($D14,IFERROR((SUMPRODUCT((economics!$AG$2:$AG$167=$B43)*(economics!$D$2:$D$167="whr")*economics!$AH$2:$AH$167*(_xlfn.NORM.DIST(AY$3,economics!$AK$2:$AK$167,economics!$AJ$2:$AJ$167,TRUE)-_xlfn.NORM.DIST(AY$30,economics!$AK$2:$AK$167,economics!$AJ$2:$AJ$167,TRUE))*economics!$AM$2:$AM$167)+$CR14*(_xlfn.NORM.DIST(AY$3,$CU14,0.3*$CU14,TRUE)-_xlfn.NORM.DIST(AY$30,$CU14,0.3*$CU14,TRUE))*summary!$C$7/28.8/0.947817+$CS14*(_xlfn.NORM.DIST(AY$3,$CV14,0.3*$CV14,TRUE)-_xlfn.NORM.DIST(AY$30,$CV14,0.3*$CV14,TRUE))*summary!$C$6/28.8/0.947817)/(SUMPRODUCT((economics!$AG$2:$AG$167=$B43)*(economics!$D$2:$D$167="whr")*economics!$AH$2:$AH$167*(_xlfn.NORM.DIST(AY$3,economics!$AK$2:$AK$167,economics!$AJ$2:$AJ$167,TRUE)-_xlfn.NORM.DIST(AY$30,economics!$AK$2:$AK$167,economics!$AJ$2:$AJ$167,TRUE)))+$CR14*(_xlfn.NORM.DIST(AY$3,$CU14,0.3*$CU14,TRUE)-_xlfn.NORM.DIST(AY$30,$CU14,0.3*$CU14,TRUE))+$CS14*(_xlfn.NORM.DIST(AY$3,$CV14,0.3*$CV14,TRUE)-_xlfn.NORM.DIST(AY$30,$CV14,0.3*$CV14,TRUE))),""),IF($C14&gt;0,summary!$C$10/28.8/0.947817,""))</f>
        <v/>
      </c>
      <c r="AZ43">
        <f t="array" ref="AZ43">IF($D14,IFERROR((SUMPRODUCT((economics!$AG$2:$AG$167=$B43)*(economics!$D$2:$D$167="whr")*economics!$AH$2:$AH$167*(_xlfn.NORM.DIST(AZ$3,economics!$AK$2:$AK$167,economics!$AJ$2:$AJ$167,TRUE)-_xlfn.NORM.DIST(AZ$30,economics!$AK$2:$AK$167,economics!$AJ$2:$AJ$167,TRUE))*economics!$AM$2:$AM$167)+$CR14*(_xlfn.NORM.DIST(AZ$3,$CU14,0.3*$CU14,TRUE)-_xlfn.NORM.DIST(AZ$30,$CU14,0.3*$CU14,TRUE))*summary!$C$7/28.8/0.947817+$CS14*(_xlfn.NORM.DIST(AZ$3,$CV14,0.3*$CV14,TRUE)-_xlfn.NORM.DIST(AZ$30,$CV14,0.3*$CV14,TRUE))*summary!$C$6/28.8/0.947817)/(SUMPRODUCT((economics!$AG$2:$AG$167=$B43)*(economics!$D$2:$D$167="whr")*economics!$AH$2:$AH$167*(_xlfn.NORM.DIST(AZ$3,economics!$AK$2:$AK$167,economics!$AJ$2:$AJ$167,TRUE)-_xlfn.NORM.DIST(AZ$30,economics!$AK$2:$AK$167,economics!$AJ$2:$AJ$167,TRUE)))+$CR14*(_xlfn.NORM.DIST(AZ$3,$CU14,0.3*$CU14,TRUE)-_xlfn.NORM.DIST(AZ$30,$CU14,0.3*$CU14,TRUE))+$CS14*(_xlfn.NORM.DIST(AZ$3,$CV14,0.3*$CV14,TRUE)-_xlfn.NORM.DIST(AZ$30,$CV14,0.3*$CV14,TRUE))),""),IF($C14&gt;0,summary!$C$10/28.8/0.947817,""))</f>
        <v/>
      </c>
      <c r="BA43">
        <f t="array" ref="BA43">IF($D14,IFERROR((SUMPRODUCT((economics!$AG$2:$AG$167=$B43)*(economics!$D$2:$D$167="whr")*economics!$AH$2:$AH$167*(_xlfn.NORM.DIST(BA$3,economics!$AK$2:$AK$167,economics!$AJ$2:$AJ$167,TRUE)-_xlfn.NORM.DIST(BA$30,economics!$AK$2:$AK$167,economics!$AJ$2:$AJ$167,TRUE))*economics!$AM$2:$AM$167)+$CR14*(_xlfn.NORM.DIST(BA$3,$CU14,0.3*$CU14,TRUE)-_xlfn.NORM.DIST(BA$30,$CU14,0.3*$CU14,TRUE))*summary!$C$7/28.8/0.947817+$CS14*(_xlfn.NORM.DIST(BA$3,$CV14,0.3*$CV14,TRUE)-_xlfn.NORM.DIST(BA$30,$CV14,0.3*$CV14,TRUE))*summary!$C$6/28.8/0.947817)/(SUMPRODUCT((economics!$AG$2:$AG$167=$B43)*(economics!$D$2:$D$167="whr")*economics!$AH$2:$AH$167*(_xlfn.NORM.DIST(BA$3,economics!$AK$2:$AK$167,economics!$AJ$2:$AJ$167,TRUE)-_xlfn.NORM.DIST(BA$30,economics!$AK$2:$AK$167,economics!$AJ$2:$AJ$167,TRUE)))+$CR14*(_xlfn.NORM.DIST(BA$3,$CU14,0.3*$CU14,TRUE)-_xlfn.NORM.DIST(BA$30,$CU14,0.3*$CU14,TRUE))+$CS14*(_xlfn.NORM.DIST(BA$3,$CV14,0.3*$CV14,TRUE)-_xlfn.NORM.DIST(BA$30,$CV14,0.3*$CV14,TRUE))),""),IF($C14&gt;0,summary!$C$10/28.8/0.947817,""))</f>
        <v/>
      </c>
      <c r="BB43">
        <f t="array" ref="BB43">IF($D14,IFERROR((SUMPRODUCT((economics!$AG$2:$AG$167=$B43)*(economics!$D$2:$D$167="whr")*economics!$AH$2:$AH$167*(_xlfn.NORM.DIST(BB$3,economics!$AK$2:$AK$167,economics!$AJ$2:$AJ$167,TRUE)-_xlfn.NORM.DIST(BB$30,economics!$AK$2:$AK$167,economics!$AJ$2:$AJ$167,TRUE))*economics!$AM$2:$AM$167)+$CR14*(_xlfn.NORM.DIST(BB$3,$CU14,0.3*$CU14,TRUE)-_xlfn.NORM.DIST(BB$30,$CU14,0.3*$CU14,TRUE))*summary!$C$7/28.8/0.947817+$CS14*(_xlfn.NORM.DIST(BB$3,$CV14,0.3*$CV14,TRUE)-_xlfn.NORM.DIST(BB$30,$CV14,0.3*$CV14,TRUE))*summary!$C$6/28.8/0.947817)/(SUMPRODUCT((economics!$AG$2:$AG$167=$B43)*(economics!$D$2:$D$167="whr")*economics!$AH$2:$AH$167*(_xlfn.NORM.DIST(BB$3,economics!$AK$2:$AK$167,economics!$AJ$2:$AJ$167,TRUE)-_xlfn.NORM.DIST(BB$30,economics!$AK$2:$AK$167,economics!$AJ$2:$AJ$167,TRUE)))+$CR14*(_xlfn.NORM.DIST(BB$3,$CU14,0.3*$CU14,TRUE)-_xlfn.NORM.DIST(BB$30,$CU14,0.3*$CU14,TRUE))+$CS14*(_xlfn.NORM.DIST(BB$3,$CV14,0.3*$CV14,TRUE)-_xlfn.NORM.DIST(BB$30,$CV14,0.3*$CV14,TRUE))),""),IF($C14&gt;0,summary!$C$10/28.8/0.947817,""))</f>
        <v/>
      </c>
      <c r="BC43">
        <f t="array" ref="BC43">IF($D14,IFERROR((SUMPRODUCT((economics!$AG$2:$AG$167=$B43)*(economics!$D$2:$D$167="whr")*economics!$AH$2:$AH$167*(_xlfn.NORM.DIST(BC$3,economics!$AK$2:$AK$167,economics!$AJ$2:$AJ$167,TRUE)-_xlfn.NORM.DIST(BC$30,economics!$AK$2:$AK$167,economics!$AJ$2:$AJ$167,TRUE))*economics!$AM$2:$AM$167)+$CR14*(_xlfn.NORM.DIST(BC$3,$CU14,0.3*$CU14,TRUE)-_xlfn.NORM.DIST(BC$30,$CU14,0.3*$CU14,TRUE))*summary!$C$7/28.8/0.947817+$CS14*(_xlfn.NORM.DIST(BC$3,$CV14,0.3*$CV14,TRUE)-_xlfn.NORM.DIST(BC$30,$CV14,0.3*$CV14,TRUE))*summary!$C$6/28.8/0.947817)/(SUMPRODUCT((economics!$AG$2:$AG$167=$B43)*(economics!$D$2:$D$167="whr")*economics!$AH$2:$AH$167*(_xlfn.NORM.DIST(BC$3,economics!$AK$2:$AK$167,economics!$AJ$2:$AJ$167,TRUE)-_xlfn.NORM.DIST(BC$30,economics!$AK$2:$AK$167,economics!$AJ$2:$AJ$167,TRUE)))+$CR14*(_xlfn.NORM.DIST(BC$3,$CU14,0.3*$CU14,TRUE)-_xlfn.NORM.DIST(BC$30,$CU14,0.3*$CU14,TRUE))+$CS14*(_xlfn.NORM.DIST(BC$3,$CV14,0.3*$CV14,TRUE)-_xlfn.NORM.DIST(BC$30,$CV14,0.3*$CV14,TRUE))),""),IF($C14&gt;0,summary!$C$10/28.8/0.947817,""))</f>
        <v/>
      </c>
      <c r="BD43">
        <f t="array" ref="BD43">IF($D14,IFERROR((SUMPRODUCT((economics!$AG$2:$AG$167=$B43)*(economics!$D$2:$D$167="whr")*economics!$AH$2:$AH$167*(_xlfn.NORM.DIST(BD$3,economics!$AK$2:$AK$167,economics!$AJ$2:$AJ$167,TRUE)-_xlfn.NORM.DIST(BD$30,economics!$AK$2:$AK$167,economics!$AJ$2:$AJ$167,TRUE))*economics!$AM$2:$AM$167)+$CR14*(_xlfn.NORM.DIST(BD$3,$CU14,0.3*$CU14,TRUE)-_xlfn.NORM.DIST(BD$30,$CU14,0.3*$CU14,TRUE))*summary!$C$7/28.8/0.947817+$CS14*(_xlfn.NORM.DIST(BD$3,$CV14,0.3*$CV14,TRUE)-_xlfn.NORM.DIST(BD$30,$CV14,0.3*$CV14,TRUE))*summary!$C$6/28.8/0.947817)/(SUMPRODUCT((economics!$AG$2:$AG$167=$B43)*(economics!$D$2:$D$167="whr")*economics!$AH$2:$AH$167*(_xlfn.NORM.DIST(BD$3,economics!$AK$2:$AK$167,economics!$AJ$2:$AJ$167,TRUE)-_xlfn.NORM.DIST(BD$30,economics!$AK$2:$AK$167,economics!$AJ$2:$AJ$167,TRUE)))+$CR14*(_xlfn.NORM.DIST(BD$3,$CU14,0.3*$CU14,TRUE)-_xlfn.NORM.DIST(BD$30,$CU14,0.3*$CU14,TRUE))+$CS14*(_xlfn.NORM.DIST(BD$3,$CV14,0.3*$CV14,TRUE)-_xlfn.NORM.DIST(BD$30,$CV14,0.3*$CV14,TRUE))),""),IF($C14&gt;0,summary!$C$10/28.8/0.947817,""))</f>
        <v/>
      </c>
      <c r="BE43">
        <f t="array" ref="BE43">IF($D14,IFERROR((SUMPRODUCT((economics!$AG$2:$AG$167=$B43)*(economics!$D$2:$D$167="whr")*economics!$AH$2:$AH$167*(_xlfn.NORM.DIST(BE$3,economics!$AK$2:$AK$167,economics!$AJ$2:$AJ$167,TRUE)-_xlfn.NORM.DIST(BE$30,economics!$AK$2:$AK$167,economics!$AJ$2:$AJ$167,TRUE))*economics!$AM$2:$AM$167)+$CR14*(_xlfn.NORM.DIST(BE$3,$CU14,0.3*$CU14,TRUE)-_xlfn.NORM.DIST(BE$30,$CU14,0.3*$CU14,TRUE))*summary!$C$7/28.8/0.947817+$CS14*(_xlfn.NORM.DIST(BE$3,$CV14,0.3*$CV14,TRUE)-_xlfn.NORM.DIST(BE$30,$CV14,0.3*$CV14,TRUE))*summary!$C$6/28.8/0.947817)/(SUMPRODUCT((economics!$AG$2:$AG$167=$B43)*(economics!$D$2:$D$167="whr")*economics!$AH$2:$AH$167*(_xlfn.NORM.DIST(BE$3,economics!$AK$2:$AK$167,economics!$AJ$2:$AJ$167,TRUE)-_xlfn.NORM.DIST(BE$30,economics!$AK$2:$AK$167,economics!$AJ$2:$AJ$167,TRUE)))+$CR14*(_xlfn.NORM.DIST(BE$3,$CU14,0.3*$CU14,TRUE)-_xlfn.NORM.DIST(BE$30,$CU14,0.3*$CU14,TRUE))+$CS14*(_xlfn.NORM.DIST(BE$3,$CV14,0.3*$CV14,TRUE)-_xlfn.NORM.DIST(BE$30,$CV14,0.3*$CV14,TRUE))),""),IF($C14&gt;0,summary!$C$10/28.8/0.947817,""))</f>
        <v/>
      </c>
      <c r="BF43">
        <f t="array" ref="BF43">IF($D14,IFERROR((SUMPRODUCT((economics!$AG$2:$AG$167=$B43)*(economics!$D$2:$D$167="whr")*economics!$AH$2:$AH$167*(_xlfn.NORM.DIST(BF$3,economics!$AK$2:$AK$167,economics!$AJ$2:$AJ$167,TRUE)-_xlfn.NORM.DIST(BF$30,economics!$AK$2:$AK$167,economics!$AJ$2:$AJ$167,TRUE))*economics!$AM$2:$AM$167)+$CR14*(_xlfn.NORM.DIST(BF$3,$CU14,0.3*$CU14,TRUE)-_xlfn.NORM.DIST(BF$30,$CU14,0.3*$CU14,TRUE))*summary!$C$7/28.8/0.947817+$CS14*(_xlfn.NORM.DIST(BF$3,$CV14,0.3*$CV14,TRUE)-_xlfn.NORM.DIST(BF$30,$CV14,0.3*$CV14,TRUE))*summary!$C$6/28.8/0.947817)/(SUMPRODUCT((economics!$AG$2:$AG$167=$B43)*(economics!$D$2:$D$167="whr")*economics!$AH$2:$AH$167*(_xlfn.NORM.DIST(BF$3,economics!$AK$2:$AK$167,economics!$AJ$2:$AJ$167,TRUE)-_xlfn.NORM.DIST(BF$30,economics!$AK$2:$AK$167,economics!$AJ$2:$AJ$167,TRUE)))+$CR14*(_xlfn.NORM.DIST(BF$3,$CU14,0.3*$CU14,TRUE)-_xlfn.NORM.DIST(BF$30,$CU14,0.3*$CU14,TRUE))+$CS14*(_xlfn.NORM.DIST(BF$3,$CV14,0.3*$CV14,TRUE)-_xlfn.NORM.DIST(BF$30,$CV14,0.3*$CV14,TRUE))),""),IF($C14&gt;0,summary!$C$10/28.8/0.947817,""))</f>
        <v/>
      </c>
      <c r="BG43">
        <f t="array" ref="BG43">IF($D14,IFERROR((SUMPRODUCT((economics!$AG$2:$AG$167=$B43)*(economics!$D$2:$D$167="whr")*economics!$AH$2:$AH$167*(_xlfn.NORM.DIST(BG$3,economics!$AK$2:$AK$167,economics!$AJ$2:$AJ$167,TRUE)-_xlfn.NORM.DIST(BG$30,economics!$AK$2:$AK$167,economics!$AJ$2:$AJ$167,TRUE))*economics!$AM$2:$AM$167)+$CR14*(_xlfn.NORM.DIST(BG$3,$CU14,0.3*$CU14,TRUE)-_xlfn.NORM.DIST(BG$30,$CU14,0.3*$CU14,TRUE))*summary!$C$7/28.8/0.947817+$CS14*(_xlfn.NORM.DIST(BG$3,$CV14,0.3*$CV14,TRUE)-_xlfn.NORM.DIST(BG$30,$CV14,0.3*$CV14,TRUE))*summary!$C$6/28.8/0.947817)/(SUMPRODUCT((economics!$AG$2:$AG$167=$B43)*(economics!$D$2:$D$167="whr")*economics!$AH$2:$AH$167*(_xlfn.NORM.DIST(BG$3,economics!$AK$2:$AK$167,economics!$AJ$2:$AJ$167,TRUE)-_xlfn.NORM.DIST(BG$30,economics!$AK$2:$AK$167,economics!$AJ$2:$AJ$167,TRUE)))+$CR14*(_xlfn.NORM.DIST(BG$3,$CU14,0.3*$CU14,TRUE)-_xlfn.NORM.DIST(BG$30,$CU14,0.3*$CU14,TRUE))+$CS14*(_xlfn.NORM.DIST(BG$3,$CV14,0.3*$CV14,TRUE)-_xlfn.NORM.DIST(BG$30,$CV14,0.3*$CV14,TRUE))),""),IF($C14&gt;0,summary!$C$10/28.8/0.947817,""))</f>
        <v/>
      </c>
      <c r="BH43">
        <f t="array" ref="BH43">IF($D14,IFERROR((SUMPRODUCT((economics!$AG$2:$AG$167=$B43)*(economics!$D$2:$D$167="whr")*economics!$AH$2:$AH$167*(_xlfn.NORM.DIST(BH$3,economics!$AK$2:$AK$167,economics!$AJ$2:$AJ$167,TRUE)-_xlfn.NORM.DIST(BH$30,economics!$AK$2:$AK$167,economics!$AJ$2:$AJ$167,TRUE))*economics!$AM$2:$AM$167)+$CR14*(_xlfn.NORM.DIST(BH$3,$CU14,0.3*$CU14,TRUE)-_xlfn.NORM.DIST(BH$30,$CU14,0.3*$CU14,TRUE))*summary!$C$7/28.8/0.947817+$CS14*(_xlfn.NORM.DIST(BH$3,$CV14,0.3*$CV14,TRUE)-_xlfn.NORM.DIST(BH$30,$CV14,0.3*$CV14,TRUE))*summary!$C$6/28.8/0.947817)/(SUMPRODUCT((economics!$AG$2:$AG$167=$B43)*(economics!$D$2:$D$167="whr")*economics!$AH$2:$AH$167*(_xlfn.NORM.DIST(BH$3,economics!$AK$2:$AK$167,economics!$AJ$2:$AJ$167,TRUE)-_xlfn.NORM.DIST(BH$30,economics!$AK$2:$AK$167,economics!$AJ$2:$AJ$167,TRUE)))+$CR14*(_xlfn.NORM.DIST(BH$3,$CU14,0.3*$CU14,TRUE)-_xlfn.NORM.DIST(BH$30,$CU14,0.3*$CU14,TRUE))+$CS14*(_xlfn.NORM.DIST(BH$3,$CV14,0.3*$CV14,TRUE)-_xlfn.NORM.DIST(BH$30,$CV14,0.3*$CV14,TRUE))),""),IF($C14&gt;0,summary!$C$10/28.8/0.947817,""))</f>
        <v/>
      </c>
      <c r="BI43">
        <f t="array" ref="BI43">IF($D14,IFERROR((SUMPRODUCT((economics!$AG$2:$AG$167=$B43)*(economics!$D$2:$D$167="whr")*economics!$AH$2:$AH$167*(_xlfn.NORM.DIST(BI$3,economics!$AK$2:$AK$167,economics!$AJ$2:$AJ$167,TRUE)-_xlfn.NORM.DIST(BI$30,economics!$AK$2:$AK$167,economics!$AJ$2:$AJ$167,TRUE))*economics!$AM$2:$AM$167)+$CR14*(_xlfn.NORM.DIST(BI$3,$CU14,0.3*$CU14,TRUE)-_xlfn.NORM.DIST(BI$30,$CU14,0.3*$CU14,TRUE))*summary!$C$7/28.8/0.947817+$CS14*(_xlfn.NORM.DIST(BI$3,$CV14,0.3*$CV14,TRUE)-_xlfn.NORM.DIST(BI$30,$CV14,0.3*$CV14,TRUE))*summary!$C$6/28.8/0.947817)/(SUMPRODUCT((economics!$AG$2:$AG$167=$B43)*(economics!$D$2:$D$167="whr")*economics!$AH$2:$AH$167*(_xlfn.NORM.DIST(BI$3,economics!$AK$2:$AK$167,economics!$AJ$2:$AJ$167,TRUE)-_xlfn.NORM.DIST(BI$30,economics!$AK$2:$AK$167,economics!$AJ$2:$AJ$167,TRUE)))+$CR14*(_xlfn.NORM.DIST(BI$3,$CU14,0.3*$CU14,TRUE)-_xlfn.NORM.DIST(BI$30,$CU14,0.3*$CU14,TRUE))+$CS14*(_xlfn.NORM.DIST(BI$3,$CV14,0.3*$CV14,TRUE)-_xlfn.NORM.DIST(BI$30,$CV14,0.3*$CV14,TRUE))),""),IF($C14&gt;0,summary!$C$10/28.8/0.947817,""))</f>
        <v/>
      </c>
      <c r="BJ43">
        <f t="array" ref="BJ43">IF($D14,IFERROR((SUMPRODUCT((economics!$AG$2:$AG$167=$B43)*(economics!$D$2:$D$167="whr")*economics!$AH$2:$AH$167*(_xlfn.NORM.DIST(BJ$3,economics!$AK$2:$AK$167,economics!$AJ$2:$AJ$167,TRUE)-_xlfn.NORM.DIST(BJ$30,economics!$AK$2:$AK$167,economics!$AJ$2:$AJ$167,TRUE))*economics!$AM$2:$AM$167)+$CR14*(_xlfn.NORM.DIST(BJ$3,$CU14,0.3*$CU14,TRUE)-_xlfn.NORM.DIST(BJ$30,$CU14,0.3*$CU14,TRUE))*summary!$C$7/28.8/0.947817+$CS14*(_xlfn.NORM.DIST(BJ$3,$CV14,0.3*$CV14,TRUE)-_xlfn.NORM.DIST(BJ$30,$CV14,0.3*$CV14,TRUE))*summary!$C$6/28.8/0.947817)/(SUMPRODUCT((economics!$AG$2:$AG$167=$B43)*(economics!$D$2:$D$167="whr")*economics!$AH$2:$AH$167*(_xlfn.NORM.DIST(BJ$3,economics!$AK$2:$AK$167,economics!$AJ$2:$AJ$167,TRUE)-_xlfn.NORM.DIST(BJ$30,economics!$AK$2:$AK$167,economics!$AJ$2:$AJ$167,TRUE)))+$CR14*(_xlfn.NORM.DIST(BJ$3,$CU14,0.3*$CU14,TRUE)-_xlfn.NORM.DIST(BJ$30,$CU14,0.3*$CU14,TRUE))+$CS14*(_xlfn.NORM.DIST(BJ$3,$CV14,0.3*$CV14,TRUE)-_xlfn.NORM.DIST(BJ$30,$CV14,0.3*$CV14,TRUE))),""),IF($C14&gt;0,summary!$C$10/28.8/0.947817,""))</f>
        <v/>
      </c>
      <c r="BK43">
        <f t="array" ref="BK43">IF($D14,IFERROR((SUMPRODUCT((economics!$AG$2:$AG$167=$B43)*(economics!$D$2:$D$167="whr")*economics!$AH$2:$AH$167*(_xlfn.NORM.DIST(BK$3,economics!$AK$2:$AK$167,economics!$AJ$2:$AJ$167,TRUE)-_xlfn.NORM.DIST(BK$30,economics!$AK$2:$AK$167,economics!$AJ$2:$AJ$167,TRUE))*economics!$AM$2:$AM$167)+$CR14*(_xlfn.NORM.DIST(BK$3,$CU14,0.3*$CU14,TRUE)-_xlfn.NORM.DIST(BK$30,$CU14,0.3*$CU14,TRUE))*summary!$C$7/28.8/0.947817+$CS14*(_xlfn.NORM.DIST(BK$3,$CV14,0.3*$CV14,TRUE)-_xlfn.NORM.DIST(BK$30,$CV14,0.3*$CV14,TRUE))*summary!$C$6/28.8/0.947817)/(SUMPRODUCT((economics!$AG$2:$AG$167=$B43)*(economics!$D$2:$D$167="whr")*economics!$AH$2:$AH$167*(_xlfn.NORM.DIST(BK$3,economics!$AK$2:$AK$167,economics!$AJ$2:$AJ$167,TRUE)-_xlfn.NORM.DIST(BK$30,economics!$AK$2:$AK$167,economics!$AJ$2:$AJ$167,TRUE)))+$CR14*(_xlfn.NORM.DIST(BK$3,$CU14,0.3*$CU14,TRUE)-_xlfn.NORM.DIST(BK$30,$CU14,0.3*$CU14,TRUE))+$CS14*(_xlfn.NORM.DIST(BK$3,$CV14,0.3*$CV14,TRUE)-_xlfn.NORM.DIST(BK$30,$CV14,0.3*$CV14,TRUE))),""),IF($C14&gt;0,summary!$C$10/28.8/0.947817,""))</f>
        <v/>
      </c>
      <c r="BL43">
        <f t="array" ref="BL43">IF($D14,IFERROR((SUMPRODUCT((economics!$AG$2:$AG$167=$B43)*(economics!$D$2:$D$167="whr")*economics!$AH$2:$AH$167*(_xlfn.NORM.DIST(BL$3,economics!$AK$2:$AK$167,economics!$AJ$2:$AJ$167,TRUE)-_xlfn.NORM.DIST(BL$30,economics!$AK$2:$AK$167,economics!$AJ$2:$AJ$167,TRUE))*economics!$AM$2:$AM$167)+$CR14*(_xlfn.NORM.DIST(BL$3,$CU14,0.3*$CU14,TRUE)-_xlfn.NORM.DIST(BL$30,$CU14,0.3*$CU14,TRUE))*summary!$C$7/28.8/0.947817+$CS14*(_xlfn.NORM.DIST(BL$3,$CV14,0.3*$CV14,TRUE)-_xlfn.NORM.DIST(BL$30,$CV14,0.3*$CV14,TRUE))*summary!$C$6/28.8/0.947817)/(SUMPRODUCT((economics!$AG$2:$AG$167=$B43)*(economics!$D$2:$D$167="whr")*economics!$AH$2:$AH$167*(_xlfn.NORM.DIST(BL$3,economics!$AK$2:$AK$167,economics!$AJ$2:$AJ$167,TRUE)-_xlfn.NORM.DIST(BL$30,economics!$AK$2:$AK$167,economics!$AJ$2:$AJ$167,TRUE)))+$CR14*(_xlfn.NORM.DIST(BL$3,$CU14,0.3*$CU14,TRUE)-_xlfn.NORM.DIST(BL$30,$CU14,0.3*$CU14,TRUE))+$CS14*(_xlfn.NORM.DIST(BL$3,$CV14,0.3*$CV14,TRUE)-_xlfn.NORM.DIST(BL$30,$CV14,0.3*$CV14,TRUE))),""),IF($C14&gt;0,summary!$C$10/28.8/0.947817,""))</f>
        <v/>
      </c>
      <c r="BM43">
        <f t="array" ref="BM43">IF($D14,IFERROR((SUMPRODUCT((economics!$AG$2:$AG$167=$B43)*(economics!$D$2:$D$167="whr")*economics!$AH$2:$AH$167*(_xlfn.NORM.DIST(BM$3,economics!$AK$2:$AK$167,economics!$AJ$2:$AJ$167,TRUE)-_xlfn.NORM.DIST(BM$30,economics!$AK$2:$AK$167,economics!$AJ$2:$AJ$167,TRUE))*economics!$AM$2:$AM$167)+$CR14*(_xlfn.NORM.DIST(BM$3,$CU14,0.3*$CU14,TRUE)-_xlfn.NORM.DIST(BM$30,$CU14,0.3*$CU14,TRUE))*summary!$C$7/28.8/0.947817+$CS14*(_xlfn.NORM.DIST(BM$3,$CV14,0.3*$CV14,TRUE)-_xlfn.NORM.DIST(BM$30,$CV14,0.3*$CV14,TRUE))*summary!$C$6/28.8/0.947817)/(SUMPRODUCT((economics!$AG$2:$AG$167=$B43)*(economics!$D$2:$D$167="whr")*economics!$AH$2:$AH$167*(_xlfn.NORM.DIST(BM$3,economics!$AK$2:$AK$167,economics!$AJ$2:$AJ$167,TRUE)-_xlfn.NORM.DIST(BM$30,economics!$AK$2:$AK$167,economics!$AJ$2:$AJ$167,TRUE)))+$CR14*(_xlfn.NORM.DIST(BM$3,$CU14,0.3*$CU14,TRUE)-_xlfn.NORM.DIST(BM$30,$CU14,0.3*$CU14,TRUE))+$CS14*(_xlfn.NORM.DIST(BM$3,$CV14,0.3*$CV14,TRUE)-_xlfn.NORM.DIST(BM$30,$CV14,0.3*$CV14,TRUE))),""),IF($C14&gt;0,summary!$C$10/28.8/0.947817,""))</f>
        <v/>
      </c>
      <c r="BN43">
        <f t="array" ref="BN43">IF($D14,IFERROR((SUMPRODUCT((economics!$AG$2:$AG$167=$B43)*(economics!$D$2:$D$167="whr")*economics!$AH$2:$AH$167*(_xlfn.NORM.DIST(BN$3,economics!$AK$2:$AK$167,economics!$AJ$2:$AJ$167,TRUE)-_xlfn.NORM.DIST(BN$30,economics!$AK$2:$AK$167,economics!$AJ$2:$AJ$167,TRUE))*economics!$AM$2:$AM$167)+$CR14*(_xlfn.NORM.DIST(BN$3,$CU14,0.3*$CU14,TRUE)-_xlfn.NORM.DIST(BN$30,$CU14,0.3*$CU14,TRUE))*summary!$C$7/28.8/0.947817+$CS14*(_xlfn.NORM.DIST(BN$3,$CV14,0.3*$CV14,TRUE)-_xlfn.NORM.DIST(BN$30,$CV14,0.3*$CV14,TRUE))*summary!$C$6/28.8/0.947817)/(SUMPRODUCT((economics!$AG$2:$AG$167=$B43)*(economics!$D$2:$D$167="whr")*economics!$AH$2:$AH$167*(_xlfn.NORM.DIST(BN$3,economics!$AK$2:$AK$167,economics!$AJ$2:$AJ$167,TRUE)-_xlfn.NORM.DIST(BN$30,economics!$AK$2:$AK$167,economics!$AJ$2:$AJ$167,TRUE)))+$CR14*(_xlfn.NORM.DIST(BN$3,$CU14,0.3*$CU14,TRUE)-_xlfn.NORM.DIST(BN$30,$CU14,0.3*$CU14,TRUE))+$CS14*(_xlfn.NORM.DIST(BN$3,$CV14,0.3*$CV14,TRUE)-_xlfn.NORM.DIST(BN$30,$CV14,0.3*$CV14,TRUE))),""),IF($C14&gt;0,summary!$C$10/28.8/0.947817,""))</f>
        <v/>
      </c>
      <c r="BO43">
        <f t="array" ref="BO43">IF($D14,IFERROR((SUMPRODUCT((economics!$AG$2:$AG$167=$B43)*(economics!$D$2:$D$167="whr")*economics!$AH$2:$AH$167*(_xlfn.NORM.DIST(BO$3,economics!$AK$2:$AK$167,economics!$AJ$2:$AJ$167,TRUE)-_xlfn.NORM.DIST(BO$30,economics!$AK$2:$AK$167,economics!$AJ$2:$AJ$167,TRUE))*economics!$AM$2:$AM$167)+$CR14*(_xlfn.NORM.DIST(BO$3,$CU14,0.3*$CU14,TRUE)-_xlfn.NORM.DIST(BO$30,$CU14,0.3*$CU14,TRUE))*summary!$C$7/28.8/0.947817+$CS14*(_xlfn.NORM.DIST(BO$3,$CV14,0.3*$CV14,TRUE)-_xlfn.NORM.DIST(BO$30,$CV14,0.3*$CV14,TRUE))*summary!$C$6/28.8/0.947817)/(SUMPRODUCT((economics!$AG$2:$AG$167=$B43)*(economics!$D$2:$D$167="whr")*economics!$AH$2:$AH$167*(_xlfn.NORM.DIST(BO$3,economics!$AK$2:$AK$167,economics!$AJ$2:$AJ$167,TRUE)-_xlfn.NORM.DIST(BO$30,economics!$AK$2:$AK$167,economics!$AJ$2:$AJ$167,TRUE)))+$CR14*(_xlfn.NORM.DIST(BO$3,$CU14,0.3*$CU14,TRUE)-_xlfn.NORM.DIST(BO$30,$CU14,0.3*$CU14,TRUE))+$CS14*(_xlfn.NORM.DIST(BO$3,$CV14,0.3*$CV14,TRUE)-_xlfn.NORM.DIST(BO$30,$CV14,0.3*$CV14,TRUE))),""),IF($C14&gt;0,summary!$C$10/28.8/0.947817,""))</f>
        <v/>
      </c>
      <c r="BP43">
        <f t="array" ref="BP43">IF($D14,IFERROR((SUMPRODUCT((economics!$AG$2:$AG$167=$B43)*(economics!$D$2:$D$167="whr")*economics!$AH$2:$AH$167*(_xlfn.NORM.DIST(BP$3,economics!$AK$2:$AK$167,economics!$AJ$2:$AJ$167,TRUE)-_xlfn.NORM.DIST(BP$30,economics!$AK$2:$AK$167,economics!$AJ$2:$AJ$167,TRUE))*economics!$AM$2:$AM$167)+$CR14*(_xlfn.NORM.DIST(BP$3,$CU14,0.3*$CU14,TRUE)-_xlfn.NORM.DIST(BP$30,$CU14,0.3*$CU14,TRUE))*summary!$C$7/28.8/0.947817+$CS14*(_xlfn.NORM.DIST(BP$3,$CV14,0.3*$CV14,TRUE)-_xlfn.NORM.DIST(BP$30,$CV14,0.3*$CV14,TRUE))*summary!$C$6/28.8/0.947817)/(SUMPRODUCT((economics!$AG$2:$AG$167=$B43)*(economics!$D$2:$D$167="whr")*economics!$AH$2:$AH$167*(_xlfn.NORM.DIST(BP$3,economics!$AK$2:$AK$167,economics!$AJ$2:$AJ$167,TRUE)-_xlfn.NORM.DIST(BP$30,economics!$AK$2:$AK$167,economics!$AJ$2:$AJ$167,TRUE)))+$CR14*(_xlfn.NORM.DIST(BP$3,$CU14,0.3*$CU14,TRUE)-_xlfn.NORM.DIST(BP$30,$CU14,0.3*$CU14,TRUE))+$CS14*(_xlfn.NORM.DIST(BP$3,$CV14,0.3*$CV14,TRUE)-_xlfn.NORM.DIST(BP$30,$CV14,0.3*$CV14,TRUE))),""),IF($C14&gt;0,summary!$C$10/28.8/0.947817,""))</f>
        <v/>
      </c>
      <c r="BQ43">
        <f t="array" ref="BQ43">IF($D14,IFERROR((SUMPRODUCT((economics!$AG$2:$AG$167=$B43)*(economics!$D$2:$D$167="whr")*economics!$AH$2:$AH$167*(_xlfn.NORM.DIST(BQ$3,economics!$AK$2:$AK$167,economics!$AJ$2:$AJ$167,TRUE)-_xlfn.NORM.DIST(BQ$30,economics!$AK$2:$AK$167,economics!$AJ$2:$AJ$167,TRUE))*economics!$AM$2:$AM$167)+$CR14*(_xlfn.NORM.DIST(BQ$3,$CU14,0.3*$CU14,TRUE)-_xlfn.NORM.DIST(BQ$30,$CU14,0.3*$CU14,TRUE))*summary!$C$7/28.8/0.947817+$CS14*(_xlfn.NORM.DIST(BQ$3,$CV14,0.3*$CV14,TRUE)-_xlfn.NORM.DIST(BQ$30,$CV14,0.3*$CV14,TRUE))*summary!$C$6/28.8/0.947817)/(SUMPRODUCT((economics!$AG$2:$AG$167=$B43)*(economics!$D$2:$D$167="whr")*economics!$AH$2:$AH$167*(_xlfn.NORM.DIST(BQ$3,economics!$AK$2:$AK$167,economics!$AJ$2:$AJ$167,TRUE)-_xlfn.NORM.DIST(BQ$30,economics!$AK$2:$AK$167,economics!$AJ$2:$AJ$167,TRUE)))+$CR14*(_xlfn.NORM.DIST(BQ$3,$CU14,0.3*$CU14,TRUE)-_xlfn.NORM.DIST(BQ$30,$CU14,0.3*$CU14,TRUE))+$CS14*(_xlfn.NORM.DIST(BQ$3,$CV14,0.3*$CV14,TRUE)-_xlfn.NORM.DIST(BQ$30,$CV14,0.3*$CV14,TRUE))),""),IF($C14&gt;0,summary!$C$10/28.8/0.947817,""))</f>
        <v/>
      </c>
      <c r="BR43">
        <f t="array" ref="BR43">IF($D14,IFERROR((SUMPRODUCT((economics!$AG$2:$AG$167=$B43)*(economics!$D$2:$D$167="whr")*economics!$AH$2:$AH$167*(_xlfn.NORM.DIST(BR$3,economics!$AK$2:$AK$167,economics!$AJ$2:$AJ$167,TRUE)-_xlfn.NORM.DIST(BR$30,economics!$AK$2:$AK$167,economics!$AJ$2:$AJ$167,TRUE))*economics!$AM$2:$AM$167)+$CR14*(_xlfn.NORM.DIST(BR$3,$CU14,0.3*$CU14,TRUE)-_xlfn.NORM.DIST(BR$30,$CU14,0.3*$CU14,TRUE))*summary!$C$7/28.8/0.947817+$CS14*(_xlfn.NORM.DIST(BR$3,$CV14,0.3*$CV14,TRUE)-_xlfn.NORM.DIST(BR$30,$CV14,0.3*$CV14,TRUE))*summary!$C$6/28.8/0.947817)/(SUMPRODUCT((economics!$AG$2:$AG$167=$B43)*(economics!$D$2:$D$167="whr")*economics!$AH$2:$AH$167*(_xlfn.NORM.DIST(BR$3,economics!$AK$2:$AK$167,economics!$AJ$2:$AJ$167,TRUE)-_xlfn.NORM.DIST(BR$30,economics!$AK$2:$AK$167,economics!$AJ$2:$AJ$167,TRUE)))+$CR14*(_xlfn.NORM.DIST(BR$3,$CU14,0.3*$CU14,TRUE)-_xlfn.NORM.DIST(BR$30,$CU14,0.3*$CU14,TRUE))+$CS14*(_xlfn.NORM.DIST(BR$3,$CV14,0.3*$CV14,TRUE)-_xlfn.NORM.DIST(BR$30,$CV14,0.3*$CV14,TRUE))),""),IF($C14&gt;0,summary!$C$10/28.8/0.947817,""))</f>
        <v/>
      </c>
      <c r="BS43">
        <f t="array" ref="BS43">IF($D14,IFERROR((SUMPRODUCT((economics!$AG$2:$AG$167=$B43)*(economics!$D$2:$D$167="whr")*economics!$AH$2:$AH$167*(_xlfn.NORM.DIST(BS$3,economics!$AK$2:$AK$167,economics!$AJ$2:$AJ$167,TRUE)-_xlfn.NORM.DIST(BS$30,economics!$AK$2:$AK$167,economics!$AJ$2:$AJ$167,TRUE))*economics!$AM$2:$AM$167)+$CR14*(_xlfn.NORM.DIST(BS$3,$CU14,0.3*$CU14,TRUE)-_xlfn.NORM.DIST(BS$30,$CU14,0.3*$CU14,TRUE))*summary!$C$7/28.8/0.947817+$CS14*(_xlfn.NORM.DIST(BS$3,$CV14,0.3*$CV14,TRUE)-_xlfn.NORM.DIST(BS$30,$CV14,0.3*$CV14,TRUE))*summary!$C$6/28.8/0.947817)/(SUMPRODUCT((economics!$AG$2:$AG$167=$B43)*(economics!$D$2:$D$167="whr")*economics!$AH$2:$AH$167*(_xlfn.NORM.DIST(BS$3,economics!$AK$2:$AK$167,economics!$AJ$2:$AJ$167,TRUE)-_xlfn.NORM.DIST(BS$30,economics!$AK$2:$AK$167,economics!$AJ$2:$AJ$167,TRUE)))+$CR14*(_xlfn.NORM.DIST(BS$3,$CU14,0.3*$CU14,TRUE)-_xlfn.NORM.DIST(BS$30,$CU14,0.3*$CU14,TRUE))+$CS14*(_xlfn.NORM.DIST(BS$3,$CV14,0.3*$CV14,TRUE)-_xlfn.NORM.DIST(BS$30,$CV14,0.3*$CV14,TRUE))),""),IF($C14&gt;0,summary!$C$10/28.8/0.947817,""))</f>
        <v/>
      </c>
      <c r="BT43">
        <f t="array" ref="BT43">IF($D14,IFERROR((SUMPRODUCT((economics!$AG$2:$AG$167=$B43)*(economics!$D$2:$D$167="whr")*economics!$AH$2:$AH$167*(_xlfn.NORM.DIST(BT$3,economics!$AK$2:$AK$167,economics!$AJ$2:$AJ$167,TRUE)-_xlfn.NORM.DIST(BT$30,economics!$AK$2:$AK$167,economics!$AJ$2:$AJ$167,TRUE))*economics!$AM$2:$AM$167)+$CR14*(_xlfn.NORM.DIST(BT$3,$CU14,0.3*$CU14,TRUE)-_xlfn.NORM.DIST(BT$30,$CU14,0.3*$CU14,TRUE))*summary!$C$7/28.8/0.947817+$CS14*(_xlfn.NORM.DIST(BT$3,$CV14,0.3*$CV14,TRUE)-_xlfn.NORM.DIST(BT$30,$CV14,0.3*$CV14,TRUE))*summary!$C$6/28.8/0.947817)/(SUMPRODUCT((economics!$AG$2:$AG$167=$B43)*(economics!$D$2:$D$167="whr")*economics!$AH$2:$AH$167*(_xlfn.NORM.DIST(BT$3,economics!$AK$2:$AK$167,economics!$AJ$2:$AJ$167,TRUE)-_xlfn.NORM.DIST(BT$30,economics!$AK$2:$AK$167,economics!$AJ$2:$AJ$167,TRUE)))+$CR14*(_xlfn.NORM.DIST(BT$3,$CU14,0.3*$CU14,TRUE)-_xlfn.NORM.DIST(BT$30,$CU14,0.3*$CU14,TRUE))+$CS14*(_xlfn.NORM.DIST(BT$3,$CV14,0.3*$CV14,TRUE)-_xlfn.NORM.DIST(BT$30,$CV14,0.3*$CV14,TRUE))),""),IF($C14&gt;0,summary!$C$10/28.8/0.947817,""))</f>
        <v/>
      </c>
      <c r="BU43">
        <f t="array" ref="BU43">IF($D14,IFERROR((SUMPRODUCT((economics!$AG$2:$AG$167=$B43)*(economics!$D$2:$D$167="whr")*economics!$AH$2:$AH$167*(_xlfn.NORM.DIST(BU$3,economics!$AK$2:$AK$167,economics!$AJ$2:$AJ$167,TRUE)-_xlfn.NORM.DIST(BU$30,economics!$AK$2:$AK$167,economics!$AJ$2:$AJ$167,TRUE))*economics!$AM$2:$AM$167)+$CR14*(_xlfn.NORM.DIST(BU$3,$CU14,0.3*$CU14,TRUE)-_xlfn.NORM.DIST(BU$30,$CU14,0.3*$CU14,TRUE))*summary!$C$7/28.8/0.947817+$CS14*(_xlfn.NORM.DIST(BU$3,$CV14,0.3*$CV14,TRUE)-_xlfn.NORM.DIST(BU$30,$CV14,0.3*$CV14,TRUE))*summary!$C$6/28.8/0.947817)/(SUMPRODUCT((economics!$AG$2:$AG$167=$B43)*(economics!$D$2:$D$167="whr")*economics!$AH$2:$AH$167*(_xlfn.NORM.DIST(BU$3,economics!$AK$2:$AK$167,economics!$AJ$2:$AJ$167,TRUE)-_xlfn.NORM.DIST(BU$30,economics!$AK$2:$AK$167,economics!$AJ$2:$AJ$167,TRUE)))+$CR14*(_xlfn.NORM.DIST(BU$3,$CU14,0.3*$CU14,TRUE)-_xlfn.NORM.DIST(BU$30,$CU14,0.3*$CU14,TRUE))+$CS14*(_xlfn.NORM.DIST(BU$3,$CV14,0.3*$CV14,TRUE)-_xlfn.NORM.DIST(BU$30,$CV14,0.3*$CV14,TRUE))),""),IF($C14&gt;0,summary!$C$10/28.8/0.947817,""))</f>
        <v/>
      </c>
      <c r="BV43">
        <f t="array" ref="BV43">IF($D14,IFERROR((SUMPRODUCT((economics!$AG$2:$AG$167=$B43)*(economics!$D$2:$D$167="whr")*economics!$AH$2:$AH$167*(_xlfn.NORM.DIST(BV$3,economics!$AK$2:$AK$167,economics!$AJ$2:$AJ$167,TRUE)-_xlfn.NORM.DIST(BV$30,economics!$AK$2:$AK$167,economics!$AJ$2:$AJ$167,TRUE))*economics!$AM$2:$AM$167)+$CR14*(_xlfn.NORM.DIST(BV$3,$CU14,0.3*$CU14,TRUE)-_xlfn.NORM.DIST(BV$30,$CU14,0.3*$CU14,TRUE))*summary!$C$7/28.8/0.947817+$CS14*(_xlfn.NORM.DIST(BV$3,$CV14,0.3*$CV14,TRUE)-_xlfn.NORM.DIST(BV$30,$CV14,0.3*$CV14,TRUE))*summary!$C$6/28.8/0.947817)/(SUMPRODUCT((economics!$AG$2:$AG$167=$B43)*(economics!$D$2:$D$167="whr")*economics!$AH$2:$AH$167*(_xlfn.NORM.DIST(BV$3,economics!$AK$2:$AK$167,economics!$AJ$2:$AJ$167,TRUE)-_xlfn.NORM.DIST(BV$30,economics!$AK$2:$AK$167,economics!$AJ$2:$AJ$167,TRUE)))+$CR14*(_xlfn.NORM.DIST(BV$3,$CU14,0.3*$CU14,TRUE)-_xlfn.NORM.DIST(BV$30,$CU14,0.3*$CU14,TRUE))+$CS14*(_xlfn.NORM.DIST(BV$3,$CV14,0.3*$CV14,TRUE)-_xlfn.NORM.DIST(BV$30,$CV14,0.3*$CV14,TRUE))),""),IF($C14&gt;0,summary!$C$10/28.8/0.947817,""))</f>
        <v/>
      </c>
      <c r="BW43">
        <f t="array" ref="BW43">IF($D14,IFERROR((SUMPRODUCT((economics!$AG$2:$AG$167=$B43)*(economics!$D$2:$D$167="whr")*economics!$AH$2:$AH$167*(_xlfn.NORM.DIST(BW$3,economics!$AK$2:$AK$167,economics!$AJ$2:$AJ$167,TRUE)-_xlfn.NORM.DIST(BW$30,economics!$AK$2:$AK$167,economics!$AJ$2:$AJ$167,TRUE))*economics!$AM$2:$AM$167)+$CR14*(_xlfn.NORM.DIST(BW$3,$CU14,0.3*$CU14,TRUE)-_xlfn.NORM.DIST(BW$30,$CU14,0.3*$CU14,TRUE))*summary!$C$7/28.8/0.947817+$CS14*(_xlfn.NORM.DIST(BW$3,$CV14,0.3*$CV14,TRUE)-_xlfn.NORM.DIST(BW$30,$CV14,0.3*$CV14,TRUE))*summary!$C$6/28.8/0.947817)/(SUMPRODUCT((economics!$AG$2:$AG$167=$B43)*(economics!$D$2:$D$167="whr")*economics!$AH$2:$AH$167*(_xlfn.NORM.DIST(BW$3,economics!$AK$2:$AK$167,economics!$AJ$2:$AJ$167,TRUE)-_xlfn.NORM.DIST(BW$30,economics!$AK$2:$AK$167,economics!$AJ$2:$AJ$167,TRUE)))+$CR14*(_xlfn.NORM.DIST(BW$3,$CU14,0.3*$CU14,TRUE)-_xlfn.NORM.DIST(BW$30,$CU14,0.3*$CU14,TRUE))+$CS14*(_xlfn.NORM.DIST(BW$3,$CV14,0.3*$CV14,TRUE)-_xlfn.NORM.DIST(BW$30,$CV14,0.3*$CV14,TRUE))),""),IF($C14&gt;0,summary!$C$10/28.8/0.947817,""))</f>
        <v/>
      </c>
      <c r="BX43">
        <f t="array" ref="BX43">IF($D14,IFERROR((SUMPRODUCT((economics!$AG$2:$AG$167=$B43)*(economics!$D$2:$D$167="whr")*economics!$AH$2:$AH$167*(_xlfn.NORM.DIST(BX$3,economics!$AK$2:$AK$167,economics!$AJ$2:$AJ$167,TRUE)-_xlfn.NORM.DIST(BX$30,economics!$AK$2:$AK$167,economics!$AJ$2:$AJ$167,TRUE))*economics!$AM$2:$AM$167)+$CR14*(_xlfn.NORM.DIST(BX$3,$CU14,0.3*$CU14,TRUE)-_xlfn.NORM.DIST(BX$30,$CU14,0.3*$CU14,TRUE))*summary!$C$7/28.8/0.947817+$CS14*(_xlfn.NORM.DIST(BX$3,$CV14,0.3*$CV14,TRUE)-_xlfn.NORM.DIST(BX$30,$CV14,0.3*$CV14,TRUE))*summary!$C$6/28.8/0.947817)/(SUMPRODUCT((economics!$AG$2:$AG$167=$B43)*(economics!$D$2:$D$167="whr")*economics!$AH$2:$AH$167*(_xlfn.NORM.DIST(BX$3,economics!$AK$2:$AK$167,economics!$AJ$2:$AJ$167,TRUE)-_xlfn.NORM.DIST(BX$30,economics!$AK$2:$AK$167,economics!$AJ$2:$AJ$167,TRUE)))+$CR14*(_xlfn.NORM.DIST(BX$3,$CU14,0.3*$CU14,TRUE)-_xlfn.NORM.DIST(BX$30,$CU14,0.3*$CU14,TRUE))+$CS14*(_xlfn.NORM.DIST(BX$3,$CV14,0.3*$CV14,TRUE)-_xlfn.NORM.DIST(BX$30,$CV14,0.3*$CV14,TRUE))),""),IF($C14&gt;0,summary!$C$10/28.8/0.947817,""))</f>
        <v/>
      </c>
      <c r="BY43">
        <f t="array" ref="BY43">IF($D14,IFERROR((SUMPRODUCT((economics!$AG$2:$AG$167=$B43)*(economics!$D$2:$D$167="whr")*economics!$AH$2:$AH$167*(_xlfn.NORM.DIST(BY$3,economics!$AK$2:$AK$167,economics!$AJ$2:$AJ$167,TRUE)-_xlfn.NORM.DIST(BY$30,economics!$AK$2:$AK$167,economics!$AJ$2:$AJ$167,TRUE))*economics!$AM$2:$AM$167)+$CR14*(_xlfn.NORM.DIST(BY$3,$CU14,0.3*$CU14,TRUE)-_xlfn.NORM.DIST(BY$30,$CU14,0.3*$CU14,TRUE))*summary!$C$7/28.8/0.947817+$CS14*(_xlfn.NORM.DIST(BY$3,$CV14,0.3*$CV14,TRUE)-_xlfn.NORM.DIST(BY$30,$CV14,0.3*$CV14,TRUE))*summary!$C$6/28.8/0.947817)/(SUMPRODUCT((economics!$AG$2:$AG$167=$B43)*(economics!$D$2:$D$167="whr")*economics!$AH$2:$AH$167*(_xlfn.NORM.DIST(BY$3,economics!$AK$2:$AK$167,economics!$AJ$2:$AJ$167,TRUE)-_xlfn.NORM.DIST(BY$30,economics!$AK$2:$AK$167,economics!$AJ$2:$AJ$167,TRUE)))+$CR14*(_xlfn.NORM.DIST(BY$3,$CU14,0.3*$CU14,TRUE)-_xlfn.NORM.DIST(BY$30,$CU14,0.3*$CU14,TRUE))+$CS14*(_xlfn.NORM.DIST(BY$3,$CV14,0.3*$CV14,TRUE)-_xlfn.NORM.DIST(BY$30,$CV14,0.3*$CV14,TRUE))),""),IF($C14&gt;0,summary!$C$10/28.8/0.947817,""))</f>
        <v/>
      </c>
      <c r="BZ43">
        <f t="array" ref="BZ43">IF($D14,IFERROR((SUMPRODUCT((economics!$AG$2:$AG$167=$B43)*(economics!$D$2:$D$167="whr")*economics!$AH$2:$AH$167*(_xlfn.NORM.DIST(BZ$3,economics!$AK$2:$AK$167,economics!$AJ$2:$AJ$167,TRUE)-_xlfn.NORM.DIST(BZ$30,economics!$AK$2:$AK$167,economics!$AJ$2:$AJ$167,TRUE))*economics!$AM$2:$AM$167)+$CR14*(_xlfn.NORM.DIST(BZ$3,$CU14,0.3*$CU14,TRUE)-_xlfn.NORM.DIST(BZ$30,$CU14,0.3*$CU14,TRUE))*summary!$C$7/28.8/0.947817+$CS14*(_xlfn.NORM.DIST(BZ$3,$CV14,0.3*$CV14,TRUE)-_xlfn.NORM.DIST(BZ$30,$CV14,0.3*$CV14,TRUE))*summary!$C$6/28.8/0.947817)/(SUMPRODUCT((economics!$AG$2:$AG$167=$B43)*(economics!$D$2:$D$167="whr")*economics!$AH$2:$AH$167*(_xlfn.NORM.DIST(BZ$3,economics!$AK$2:$AK$167,economics!$AJ$2:$AJ$167,TRUE)-_xlfn.NORM.DIST(BZ$30,economics!$AK$2:$AK$167,economics!$AJ$2:$AJ$167,TRUE)))+$CR14*(_xlfn.NORM.DIST(BZ$3,$CU14,0.3*$CU14,TRUE)-_xlfn.NORM.DIST(BZ$30,$CU14,0.3*$CU14,TRUE))+$CS14*(_xlfn.NORM.DIST(BZ$3,$CV14,0.3*$CV14,TRUE)-_xlfn.NORM.DIST(BZ$30,$CV14,0.3*$CV14,TRUE))),""),IF($C14&gt;0,summary!$C$10/28.8/0.947817,""))</f>
        <v/>
      </c>
      <c r="CA43">
        <f t="array" ref="CA43">IF($D14,IFERROR((SUMPRODUCT((economics!$AG$2:$AG$167=$B43)*(economics!$D$2:$D$167="whr")*economics!$AH$2:$AH$167*(_xlfn.NORM.DIST(CA$3,economics!$AK$2:$AK$167,economics!$AJ$2:$AJ$167,TRUE)-_xlfn.NORM.DIST(CA$30,economics!$AK$2:$AK$167,economics!$AJ$2:$AJ$167,TRUE))*economics!$AM$2:$AM$167)+$CR14*(_xlfn.NORM.DIST(CA$3,$CU14,0.3*$CU14,TRUE)-_xlfn.NORM.DIST(CA$30,$CU14,0.3*$CU14,TRUE))*summary!$C$7/28.8/0.947817+$CS14*(_xlfn.NORM.DIST(CA$3,$CV14,0.3*$CV14,TRUE)-_xlfn.NORM.DIST(CA$30,$CV14,0.3*$CV14,TRUE))*summary!$C$6/28.8/0.947817)/(SUMPRODUCT((economics!$AG$2:$AG$167=$B43)*(economics!$D$2:$D$167="whr")*economics!$AH$2:$AH$167*(_xlfn.NORM.DIST(CA$3,economics!$AK$2:$AK$167,economics!$AJ$2:$AJ$167,TRUE)-_xlfn.NORM.DIST(CA$30,economics!$AK$2:$AK$167,economics!$AJ$2:$AJ$167,TRUE)))+$CR14*(_xlfn.NORM.DIST(CA$3,$CU14,0.3*$CU14,TRUE)-_xlfn.NORM.DIST(CA$30,$CU14,0.3*$CU14,TRUE))+$CS14*(_xlfn.NORM.DIST(CA$3,$CV14,0.3*$CV14,TRUE)-_xlfn.NORM.DIST(CA$30,$CV14,0.3*$CV14,TRUE))),""),IF($C14&gt;0,summary!$C$10/28.8/0.947817,""))</f>
        <v/>
      </c>
      <c r="CB43">
        <f t="array" ref="CB43">IF($D14,IFERROR((SUMPRODUCT((economics!$AG$2:$AG$167=$B43)*(economics!$D$2:$D$167="whr")*economics!$AH$2:$AH$167*(_xlfn.NORM.DIST(CB$3,economics!$AK$2:$AK$167,economics!$AJ$2:$AJ$167,TRUE)-_xlfn.NORM.DIST(CB$30,economics!$AK$2:$AK$167,economics!$AJ$2:$AJ$167,TRUE))*economics!$AM$2:$AM$167)+$CR14*(_xlfn.NORM.DIST(CB$3,$CU14,0.3*$CU14,TRUE)-_xlfn.NORM.DIST(CB$30,$CU14,0.3*$CU14,TRUE))*summary!$C$7/28.8/0.947817+$CS14*(_xlfn.NORM.DIST(CB$3,$CV14,0.3*$CV14,TRUE)-_xlfn.NORM.DIST(CB$30,$CV14,0.3*$CV14,TRUE))*summary!$C$6/28.8/0.947817)/(SUMPRODUCT((economics!$AG$2:$AG$167=$B43)*(economics!$D$2:$D$167="whr")*economics!$AH$2:$AH$167*(_xlfn.NORM.DIST(CB$3,economics!$AK$2:$AK$167,economics!$AJ$2:$AJ$167,TRUE)-_xlfn.NORM.DIST(CB$30,economics!$AK$2:$AK$167,economics!$AJ$2:$AJ$167,TRUE)))+$CR14*(_xlfn.NORM.DIST(CB$3,$CU14,0.3*$CU14,TRUE)-_xlfn.NORM.DIST(CB$30,$CU14,0.3*$CU14,TRUE))+$CS14*(_xlfn.NORM.DIST(CB$3,$CV14,0.3*$CV14,TRUE)-_xlfn.NORM.DIST(CB$30,$CV14,0.3*$CV14,TRUE))),""),IF($C14&gt;0,summary!$C$10/28.8/0.947817,""))</f>
        <v/>
      </c>
      <c r="CC43">
        <f t="array" ref="CC43">IF($D14,IFERROR((SUMPRODUCT((economics!$AG$2:$AG$167=$B43)*(economics!$D$2:$D$167="whr")*economics!$AH$2:$AH$167*(_xlfn.NORM.DIST(CC$3,economics!$AK$2:$AK$167,economics!$AJ$2:$AJ$167,TRUE)-_xlfn.NORM.DIST(CC$30,economics!$AK$2:$AK$167,economics!$AJ$2:$AJ$167,TRUE))*economics!$AM$2:$AM$167)+$CR14*(_xlfn.NORM.DIST(CC$3,$CU14,0.3*$CU14,TRUE)-_xlfn.NORM.DIST(CC$30,$CU14,0.3*$CU14,TRUE))*summary!$C$7/28.8/0.947817+$CS14*(_xlfn.NORM.DIST(CC$3,$CV14,0.3*$CV14,TRUE)-_xlfn.NORM.DIST(CC$30,$CV14,0.3*$CV14,TRUE))*summary!$C$6/28.8/0.947817)/(SUMPRODUCT((economics!$AG$2:$AG$167=$B43)*(economics!$D$2:$D$167="whr")*economics!$AH$2:$AH$167*(_xlfn.NORM.DIST(CC$3,economics!$AK$2:$AK$167,economics!$AJ$2:$AJ$167,TRUE)-_xlfn.NORM.DIST(CC$30,economics!$AK$2:$AK$167,economics!$AJ$2:$AJ$167,TRUE)))+$CR14*(_xlfn.NORM.DIST(CC$3,$CU14,0.3*$CU14,TRUE)-_xlfn.NORM.DIST(CC$30,$CU14,0.3*$CU14,TRUE))+$CS14*(_xlfn.NORM.DIST(CC$3,$CV14,0.3*$CV14,TRUE)-_xlfn.NORM.DIST(CC$30,$CV14,0.3*$CV14,TRUE))),""),IF($C14&gt;0,summary!$C$10/28.8/0.947817,""))</f>
        <v/>
      </c>
      <c r="CD43">
        <f t="array" ref="CD43">IF($D14,IFERROR((SUMPRODUCT((economics!$AG$2:$AG$167=$B43)*(economics!$D$2:$D$167="whr")*economics!$AH$2:$AH$167*(_xlfn.NORM.DIST(CD$3,economics!$AK$2:$AK$167,economics!$AJ$2:$AJ$167,TRUE)-_xlfn.NORM.DIST(CD$30,economics!$AK$2:$AK$167,economics!$AJ$2:$AJ$167,TRUE))*economics!$AM$2:$AM$167)+$CR14*(_xlfn.NORM.DIST(CD$3,$CU14,0.3*$CU14,TRUE)-_xlfn.NORM.DIST(CD$30,$CU14,0.3*$CU14,TRUE))*summary!$C$7/28.8/0.947817+$CS14*(_xlfn.NORM.DIST(CD$3,$CV14,0.3*$CV14,TRUE)-_xlfn.NORM.DIST(CD$30,$CV14,0.3*$CV14,TRUE))*summary!$C$6/28.8/0.947817)/(SUMPRODUCT((economics!$AG$2:$AG$167=$B43)*(economics!$D$2:$D$167="whr")*economics!$AH$2:$AH$167*(_xlfn.NORM.DIST(CD$3,economics!$AK$2:$AK$167,economics!$AJ$2:$AJ$167,TRUE)-_xlfn.NORM.DIST(CD$30,economics!$AK$2:$AK$167,economics!$AJ$2:$AJ$167,TRUE)))+$CR14*(_xlfn.NORM.DIST(CD$3,$CU14,0.3*$CU14,TRUE)-_xlfn.NORM.DIST(CD$30,$CU14,0.3*$CU14,TRUE))+$CS14*(_xlfn.NORM.DIST(CD$3,$CV14,0.3*$CV14,TRUE)-_xlfn.NORM.DIST(CD$30,$CV14,0.3*$CV14,TRUE))),""),IF($C14&gt;0,summary!$C$10/28.8/0.947817,""))</f>
        <v/>
      </c>
      <c r="CE43">
        <f t="array" ref="CE43">IF($D14,IFERROR((SUMPRODUCT((economics!$AG$2:$AG$167=$B43)*(economics!$D$2:$D$167="whr")*economics!$AH$2:$AH$167*(_xlfn.NORM.DIST(CE$3,economics!$AK$2:$AK$167,economics!$AJ$2:$AJ$167,TRUE)-_xlfn.NORM.DIST(CE$30,economics!$AK$2:$AK$167,economics!$AJ$2:$AJ$167,TRUE))*economics!$AM$2:$AM$167)+$CR14*(_xlfn.NORM.DIST(CE$3,$CU14,0.3*$CU14,TRUE)-_xlfn.NORM.DIST(CE$30,$CU14,0.3*$CU14,TRUE))*summary!$C$7/28.8/0.947817+$CS14*(_xlfn.NORM.DIST(CE$3,$CV14,0.3*$CV14,TRUE)-_xlfn.NORM.DIST(CE$30,$CV14,0.3*$CV14,TRUE))*summary!$C$6/28.8/0.947817)/(SUMPRODUCT((economics!$AG$2:$AG$167=$B43)*(economics!$D$2:$D$167="whr")*economics!$AH$2:$AH$167*(_xlfn.NORM.DIST(CE$3,economics!$AK$2:$AK$167,economics!$AJ$2:$AJ$167,TRUE)-_xlfn.NORM.DIST(CE$30,economics!$AK$2:$AK$167,economics!$AJ$2:$AJ$167,TRUE)))+$CR14*(_xlfn.NORM.DIST(CE$3,$CU14,0.3*$CU14,TRUE)-_xlfn.NORM.DIST(CE$30,$CU14,0.3*$CU14,TRUE))+$CS14*(_xlfn.NORM.DIST(CE$3,$CV14,0.3*$CV14,TRUE)-_xlfn.NORM.DIST(CE$30,$CV14,0.3*$CV14,TRUE))),""),IF($C14&gt;0,summary!$C$10/28.8/0.947817,""))</f>
        <v/>
      </c>
      <c r="CF43">
        <f t="array" ref="CF43">IF($D14,IFERROR((SUMPRODUCT((economics!$AG$2:$AG$167=$B43)*(economics!$D$2:$D$167="whr")*economics!$AH$2:$AH$167*(_xlfn.NORM.DIST(CF$3,economics!$AK$2:$AK$167,economics!$AJ$2:$AJ$167,TRUE)-_xlfn.NORM.DIST(CF$30,economics!$AK$2:$AK$167,economics!$AJ$2:$AJ$167,TRUE))*economics!$AM$2:$AM$167)+$CR14*(_xlfn.NORM.DIST(CF$3,$CU14,0.3*$CU14,TRUE)-_xlfn.NORM.DIST(CF$30,$CU14,0.3*$CU14,TRUE))*summary!$C$7/28.8/0.947817+$CS14*(_xlfn.NORM.DIST(CF$3,$CV14,0.3*$CV14,TRUE)-_xlfn.NORM.DIST(CF$30,$CV14,0.3*$CV14,TRUE))*summary!$C$6/28.8/0.947817)/(SUMPRODUCT((economics!$AG$2:$AG$167=$B43)*(economics!$D$2:$D$167="whr")*economics!$AH$2:$AH$167*(_xlfn.NORM.DIST(CF$3,economics!$AK$2:$AK$167,economics!$AJ$2:$AJ$167,TRUE)-_xlfn.NORM.DIST(CF$30,economics!$AK$2:$AK$167,economics!$AJ$2:$AJ$167,TRUE)))+$CR14*(_xlfn.NORM.DIST(CF$3,$CU14,0.3*$CU14,TRUE)-_xlfn.NORM.DIST(CF$30,$CU14,0.3*$CU14,TRUE))+$CS14*(_xlfn.NORM.DIST(CF$3,$CV14,0.3*$CV14,TRUE)-_xlfn.NORM.DIST(CF$30,$CV14,0.3*$CV14,TRUE))),""),IF($C14&gt;0,summary!$C$10/28.8/0.947817,""))</f>
        <v/>
      </c>
      <c r="CG43">
        <f t="array" ref="CG43">IF($D14,IFERROR((SUMPRODUCT((economics!$AG$2:$AG$167=$B43)*(economics!$D$2:$D$167="whr")*economics!$AH$2:$AH$167*(_xlfn.NORM.DIST(CG$3,economics!$AK$2:$AK$167,economics!$AJ$2:$AJ$167,TRUE)-_xlfn.NORM.DIST(CG$30,economics!$AK$2:$AK$167,economics!$AJ$2:$AJ$167,TRUE))*economics!$AM$2:$AM$167)+$CR14*(_xlfn.NORM.DIST(CG$3,$CU14,0.3*$CU14,TRUE)-_xlfn.NORM.DIST(CG$30,$CU14,0.3*$CU14,TRUE))*summary!$C$7/28.8/0.947817+$CS14*(_xlfn.NORM.DIST(CG$3,$CV14,0.3*$CV14,TRUE)-_xlfn.NORM.DIST(CG$30,$CV14,0.3*$CV14,TRUE))*summary!$C$6/28.8/0.947817)/(SUMPRODUCT((economics!$AG$2:$AG$167=$B43)*(economics!$D$2:$D$167="whr")*economics!$AH$2:$AH$167*(_xlfn.NORM.DIST(CG$3,economics!$AK$2:$AK$167,economics!$AJ$2:$AJ$167,TRUE)-_xlfn.NORM.DIST(CG$30,economics!$AK$2:$AK$167,economics!$AJ$2:$AJ$167,TRUE)))+$CR14*(_xlfn.NORM.DIST(CG$3,$CU14,0.3*$CU14,TRUE)-_xlfn.NORM.DIST(CG$30,$CU14,0.3*$CU14,TRUE))+$CS14*(_xlfn.NORM.DIST(CG$3,$CV14,0.3*$CV14,TRUE)-_xlfn.NORM.DIST(CG$30,$CV14,0.3*$CV14,TRUE))),""),IF($C14&gt;0,summary!$C$10/28.8/0.947817,""))</f>
        <v/>
      </c>
      <c r="CH43">
        <f t="array" ref="CH43">IF($D14,IFERROR((SUMPRODUCT((economics!$AG$2:$AG$167=$B43)*(economics!$D$2:$D$167="whr")*economics!$AH$2:$AH$167*(_xlfn.NORM.DIST(CH$3,economics!$AK$2:$AK$167,economics!$AJ$2:$AJ$167,TRUE)-_xlfn.NORM.DIST(CH$30,economics!$AK$2:$AK$167,economics!$AJ$2:$AJ$167,TRUE))*economics!$AM$2:$AM$167)+$CR14*(_xlfn.NORM.DIST(CH$3,$CU14,0.3*$CU14,TRUE)-_xlfn.NORM.DIST(CH$30,$CU14,0.3*$CU14,TRUE))*summary!$C$7/28.8/0.947817+$CS14*(_xlfn.NORM.DIST(CH$3,$CV14,0.3*$CV14,TRUE)-_xlfn.NORM.DIST(CH$30,$CV14,0.3*$CV14,TRUE))*summary!$C$6/28.8/0.947817)/(SUMPRODUCT((economics!$AG$2:$AG$167=$B43)*(economics!$D$2:$D$167="whr")*economics!$AH$2:$AH$167*(_xlfn.NORM.DIST(CH$3,economics!$AK$2:$AK$167,economics!$AJ$2:$AJ$167,TRUE)-_xlfn.NORM.DIST(CH$30,economics!$AK$2:$AK$167,economics!$AJ$2:$AJ$167,TRUE)))+$CR14*(_xlfn.NORM.DIST(CH$3,$CU14,0.3*$CU14,TRUE)-_xlfn.NORM.DIST(CH$30,$CU14,0.3*$CU14,TRUE))+$CS14*(_xlfn.NORM.DIST(CH$3,$CV14,0.3*$CV14,TRUE)-_xlfn.NORM.DIST(CH$30,$CV14,0.3*$CV14,TRUE))),""),IF($C14&gt;0,summary!$C$10/28.8/0.947817,""))</f>
        <v/>
      </c>
    </row>
    <row r="44">
      <c r="A44">
        <f>A15</f>
        <v/>
      </c>
      <c r="B44">
        <f>B15</f>
        <v/>
      </c>
      <c r="E44">
        <f t="array" ref="E44">IF($D15,IFERROR((SUMPRODUCT((economics!$AG$2:$AG$167=$B44)*(economics!$D$2:$D$167="whr")*economics!$AH$2:$AH$167*(_xlfn.NORM.DIST(E$3,economics!$AK$2:$AK$167,economics!$AJ$2:$AJ$167,TRUE)-_xlfn.NORM.DIST(E$30,economics!$AK$2:$AK$167,economics!$AJ$2:$AJ$167,TRUE))*economics!$AM$2:$AM$167)+$CR15*(_xlfn.NORM.DIST(E$3,$CU15,0.3*$CU15,TRUE)-_xlfn.NORM.DIST(E$30,$CU15,0.3*$CU15,TRUE))*summary!$C$7/28.8/0.947817+$CS15*(_xlfn.NORM.DIST(E$3,$CV15,0.3*$CV15,TRUE)-_xlfn.NORM.DIST(E$30,$CV15,0.3*$CV15,TRUE))*summary!$C$6/28.8/0.947817)/(SUMPRODUCT((economics!$AG$2:$AG$167=$B44)*(economics!$D$2:$D$167="whr")*economics!$AH$2:$AH$167*(_xlfn.NORM.DIST(E$3,economics!$AK$2:$AK$167,economics!$AJ$2:$AJ$167,TRUE)-_xlfn.NORM.DIST(E$30,economics!$AK$2:$AK$167,economics!$AJ$2:$AJ$167,TRUE)))+$CR15*(_xlfn.NORM.DIST(E$3,$CU15,0.3*$CU15,TRUE)-_xlfn.NORM.DIST(E$30,$CU15,0.3*$CU15,TRUE))+$CS15*(_xlfn.NORM.DIST(E$3,$CV15,0.3*$CV15,TRUE)-_xlfn.NORM.DIST(E$30,$CV15,0.3*$CV15,TRUE))),""),IF($C15&gt;0,summary!$C$10/28.8/0.947817,""))</f>
        <v/>
      </c>
      <c r="F44">
        <f t="array" ref="F44">IF($D15,IFERROR((SUMPRODUCT((economics!$AG$2:$AG$167=$B44)*(economics!$D$2:$D$167="whr")*economics!$AH$2:$AH$167*(_xlfn.NORM.DIST(F$3,economics!$AK$2:$AK$167,economics!$AJ$2:$AJ$167,TRUE)-_xlfn.NORM.DIST(F$30,economics!$AK$2:$AK$167,economics!$AJ$2:$AJ$167,TRUE))*economics!$AM$2:$AM$167)+$CR15*(_xlfn.NORM.DIST(F$3,$CU15,0.3*$CU15,TRUE)-_xlfn.NORM.DIST(F$30,$CU15,0.3*$CU15,TRUE))*summary!$C$7/28.8/0.947817+$CS15*(_xlfn.NORM.DIST(F$3,$CV15,0.3*$CV15,TRUE)-_xlfn.NORM.DIST(F$30,$CV15,0.3*$CV15,TRUE))*summary!$C$6/28.8/0.947817)/(SUMPRODUCT((economics!$AG$2:$AG$167=$B44)*(economics!$D$2:$D$167="whr")*economics!$AH$2:$AH$167*(_xlfn.NORM.DIST(F$3,economics!$AK$2:$AK$167,economics!$AJ$2:$AJ$167,TRUE)-_xlfn.NORM.DIST(F$30,economics!$AK$2:$AK$167,economics!$AJ$2:$AJ$167,TRUE)))+$CR15*(_xlfn.NORM.DIST(F$3,$CU15,0.3*$CU15,TRUE)-_xlfn.NORM.DIST(F$30,$CU15,0.3*$CU15,TRUE))+$CS15*(_xlfn.NORM.DIST(F$3,$CV15,0.3*$CV15,TRUE)-_xlfn.NORM.DIST(F$30,$CV15,0.3*$CV15,TRUE))),""),IF($C15&gt;0,summary!$C$10/28.8/0.947817,""))</f>
        <v/>
      </c>
      <c r="G44">
        <f t="array" ref="G44">IF($D15,IFERROR((SUMPRODUCT((economics!$AG$2:$AG$167=$B44)*(economics!$D$2:$D$167="whr")*economics!$AH$2:$AH$167*(_xlfn.NORM.DIST(G$3,economics!$AK$2:$AK$167,economics!$AJ$2:$AJ$167,TRUE)-_xlfn.NORM.DIST(G$30,economics!$AK$2:$AK$167,economics!$AJ$2:$AJ$167,TRUE))*economics!$AM$2:$AM$167)+$CR15*(_xlfn.NORM.DIST(G$3,$CU15,0.3*$CU15,TRUE)-_xlfn.NORM.DIST(G$30,$CU15,0.3*$CU15,TRUE))*summary!$C$7/28.8/0.947817+$CS15*(_xlfn.NORM.DIST(G$3,$CV15,0.3*$CV15,TRUE)-_xlfn.NORM.DIST(G$30,$CV15,0.3*$CV15,TRUE))*summary!$C$6/28.8/0.947817)/(SUMPRODUCT((economics!$AG$2:$AG$167=$B44)*(economics!$D$2:$D$167="whr")*economics!$AH$2:$AH$167*(_xlfn.NORM.DIST(G$3,economics!$AK$2:$AK$167,economics!$AJ$2:$AJ$167,TRUE)-_xlfn.NORM.DIST(G$30,economics!$AK$2:$AK$167,economics!$AJ$2:$AJ$167,TRUE)))+$CR15*(_xlfn.NORM.DIST(G$3,$CU15,0.3*$CU15,TRUE)-_xlfn.NORM.DIST(G$30,$CU15,0.3*$CU15,TRUE))+$CS15*(_xlfn.NORM.DIST(G$3,$CV15,0.3*$CV15,TRUE)-_xlfn.NORM.DIST(G$30,$CV15,0.3*$CV15,TRUE))),""),IF($C15&gt;0,summary!$C$10/28.8/0.947817,""))</f>
        <v/>
      </c>
      <c r="H44">
        <f t="array" ref="H44">IF($D15,IFERROR((SUMPRODUCT((economics!$AG$2:$AG$167=$B44)*(economics!$D$2:$D$167="whr")*economics!$AH$2:$AH$167*(_xlfn.NORM.DIST(H$3,economics!$AK$2:$AK$167,economics!$AJ$2:$AJ$167,TRUE)-_xlfn.NORM.DIST(H$30,economics!$AK$2:$AK$167,economics!$AJ$2:$AJ$167,TRUE))*economics!$AM$2:$AM$167)+$CR15*(_xlfn.NORM.DIST(H$3,$CU15,0.3*$CU15,TRUE)-_xlfn.NORM.DIST(H$30,$CU15,0.3*$CU15,TRUE))*summary!$C$7/28.8/0.947817+$CS15*(_xlfn.NORM.DIST(H$3,$CV15,0.3*$CV15,TRUE)-_xlfn.NORM.DIST(H$30,$CV15,0.3*$CV15,TRUE))*summary!$C$6/28.8/0.947817)/(SUMPRODUCT((economics!$AG$2:$AG$167=$B44)*(economics!$D$2:$D$167="whr")*economics!$AH$2:$AH$167*(_xlfn.NORM.DIST(H$3,economics!$AK$2:$AK$167,economics!$AJ$2:$AJ$167,TRUE)-_xlfn.NORM.DIST(H$30,economics!$AK$2:$AK$167,economics!$AJ$2:$AJ$167,TRUE)))+$CR15*(_xlfn.NORM.DIST(H$3,$CU15,0.3*$CU15,TRUE)-_xlfn.NORM.DIST(H$30,$CU15,0.3*$CU15,TRUE))+$CS15*(_xlfn.NORM.DIST(H$3,$CV15,0.3*$CV15,TRUE)-_xlfn.NORM.DIST(H$30,$CV15,0.3*$CV15,TRUE))),""),IF($C15&gt;0,summary!$C$10/28.8/0.947817,""))</f>
        <v/>
      </c>
      <c r="I44">
        <f t="array" ref="I44">IF($D15,IFERROR((SUMPRODUCT((economics!$AG$2:$AG$167=$B44)*(economics!$D$2:$D$167="whr")*economics!$AH$2:$AH$167*(_xlfn.NORM.DIST(I$3,economics!$AK$2:$AK$167,economics!$AJ$2:$AJ$167,TRUE)-_xlfn.NORM.DIST(I$30,economics!$AK$2:$AK$167,economics!$AJ$2:$AJ$167,TRUE))*economics!$AM$2:$AM$167)+$CR15*(_xlfn.NORM.DIST(I$3,$CU15,0.3*$CU15,TRUE)-_xlfn.NORM.DIST(I$30,$CU15,0.3*$CU15,TRUE))*summary!$C$7/28.8/0.947817+$CS15*(_xlfn.NORM.DIST(I$3,$CV15,0.3*$CV15,TRUE)-_xlfn.NORM.DIST(I$30,$CV15,0.3*$CV15,TRUE))*summary!$C$6/28.8/0.947817)/(SUMPRODUCT((economics!$AG$2:$AG$167=$B44)*(economics!$D$2:$D$167="whr")*economics!$AH$2:$AH$167*(_xlfn.NORM.DIST(I$3,economics!$AK$2:$AK$167,economics!$AJ$2:$AJ$167,TRUE)-_xlfn.NORM.DIST(I$30,economics!$AK$2:$AK$167,economics!$AJ$2:$AJ$167,TRUE)))+$CR15*(_xlfn.NORM.DIST(I$3,$CU15,0.3*$CU15,TRUE)-_xlfn.NORM.DIST(I$30,$CU15,0.3*$CU15,TRUE))+$CS15*(_xlfn.NORM.DIST(I$3,$CV15,0.3*$CV15,TRUE)-_xlfn.NORM.DIST(I$30,$CV15,0.3*$CV15,TRUE))),""),IF($C15&gt;0,summary!$C$10/28.8/0.947817,""))</f>
        <v/>
      </c>
      <c r="J44">
        <f t="array" ref="J44">IF($D15,IFERROR((SUMPRODUCT((economics!$AG$2:$AG$167=$B44)*(economics!$D$2:$D$167="whr")*economics!$AH$2:$AH$167*(_xlfn.NORM.DIST(J$3,economics!$AK$2:$AK$167,economics!$AJ$2:$AJ$167,TRUE)-_xlfn.NORM.DIST(J$30,economics!$AK$2:$AK$167,economics!$AJ$2:$AJ$167,TRUE))*economics!$AM$2:$AM$167)+$CR15*(_xlfn.NORM.DIST(J$3,$CU15,0.3*$CU15,TRUE)-_xlfn.NORM.DIST(J$30,$CU15,0.3*$CU15,TRUE))*summary!$C$7/28.8/0.947817+$CS15*(_xlfn.NORM.DIST(J$3,$CV15,0.3*$CV15,TRUE)-_xlfn.NORM.DIST(J$30,$CV15,0.3*$CV15,TRUE))*summary!$C$6/28.8/0.947817)/(SUMPRODUCT((economics!$AG$2:$AG$167=$B44)*(economics!$D$2:$D$167="whr")*economics!$AH$2:$AH$167*(_xlfn.NORM.DIST(J$3,economics!$AK$2:$AK$167,economics!$AJ$2:$AJ$167,TRUE)-_xlfn.NORM.DIST(J$30,economics!$AK$2:$AK$167,economics!$AJ$2:$AJ$167,TRUE)))+$CR15*(_xlfn.NORM.DIST(J$3,$CU15,0.3*$CU15,TRUE)-_xlfn.NORM.DIST(J$30,$CU15,0.3*$CU15,TRUE))+$CS15*(_xlfn.NORM.DIST(J$3,$CV15,0.3*$CV15,TRUE)-_xlfn.NORM.DIST(J$30,$CV15,0.3*$CV15,TRUE))),""),IF($C15&gt;0,summary!$C$10/28.8/0.947817,""))</f>
        <v/>
      </c>
      <c r="K44">
        <f t="array" ref="K44">IF($D15,IFERROR((SUMPRODUCT((economics!$AG$2:$AG$167=$B44)*(economics!$D$2:$D$167="whr")*economics!$AH$2:$AH$167*(_xlfn.NORM.DIST(K$3,economics!$AK$2:$AK$167,economics!$AJ$2:$AJ$167,TRUE)-_xlfn.NORM.DIST(K$30,economics!$AK$2:$AK$167,economics!$AJ$2:$AJ$167,TRUE))*economics!$AM$2:$AM$167)+$CR15*(_xlfn.NORM.DIST(K$3,$CU15,0.3*$CU15,TRUE)-_xlfn.NORM.DIST(K$30,$CU15,0.3*$CU15,TRUE))*summary!$C$7/28.8/0.947817+$CS15*(_xlfn.NORM.DIST(K$3,$CV15,0.3*$CV15,TRUE)-_xlfn.NORM.DIST(K$30,$CV15,0.3*$CV15,TRUE))*summary!$C$6/28.8/0.947817)/(SUMPRODUCT((economics!$AG$2:$AG$167=$B44)*(economics!$D$2:$D$167="whr")*economics!$AH$2:$AH$167*(_xlfn.NORM.DIST(K$3,economics!$AK$2:$AK$167,economics!$AJ$2:$AJ$167,TRUE)-_xlfn.NORM.DIST(K$30,economics!$AK$2:$AK$167,economics!$AJ$2:$AJ$167,TRUE)))+$CR15*(_xlfn.NORM.DIST(K$3,$CU15,0.3*$CU15,TRUE)-_xlfn.NORM.DIST(K$30,$CU15,0.3*$CU15,TRUE))+$CS15*(_xlfn.NORM.DIST(K$3,$CV15,0.3*$CV15,TRUE)-_xlfn.NORM.DIST(K$30,$CV15,0.3*$CV15,TRUE))),""),IF($C15&gt;0,summary!$C$10/28.8/0.947817,""))</f>
        <v/>
      </c>
      <c r="L44">
        <f t="array" ref="L44">IF($D15,IFERROR((SUMPRODUCT((economics!$AG$2:$AG$167=$B44)*(economics!$D$2:$D$167="whr")*economics!$AH$2:$AH$167*(_xlfn.NORM.DIST(L$3,economics!$AK$2:$AK$167,economics!$AJ$2:$AJ$167,TRUE)-_xlfn.NORM.DIST(L$30,economics!$AK$2:$AK$167,economics!$AJ$2:$AJ$167,TRUE))*economics!$AM$2:$AM$167)+$CR15*(_xlfn.NORM.DIST(L$3,$CU15,0.3*$CU15,TRUE)-_xlfn.NORM.DIST(L$30,$CU15,0.3*$CU15,TRUE))*summary!$C$7/28.8/0.947817+$CS15*(_xlfn.NORM.DIST(L$3,$CV15,0.3*$CV15,TRUE)-_xlfn.NORM.DIST(L$30,$CV15,0.3*$CV15,TRUE))*summary!$C$6/28.8/0.947817)/(SUMPRODUCT((economics!$AG$2:$AG$167=$B44)*(economics!$D$2:$D$167="whr")*economics!$AH$2:$AH$167*(_xlfn.NORM.DIST(L$3,economics!$AK$2:$AK$167,economics!$AJ$2:$AJ$167,TRUE)-_xlfn.NORM.DIST(L$30,economics!$AK$2:$AK$167,economics!$AJ$2:$AJ$167,TRUE)))+$CR15*(_xlfn.NORM.DIST(L$3,$CU15,0.3*$CU15,TRUE)-_xlfn.NORM.DIST(L$30,$CU15,0.3*$CU15,TRUE))+$CS15*(_xlfn.NORM.DIST(L$3,$CV15,0.3*$CV15,TRUE)-_xlfn.NORM.DIST(L$30,$CV15,0.3*$CV15,TRUE))),""),IF($C15&gt;0,summary!$C$10/28.8/0.947817,""))</f>
        <v/>
      </c>
      <c r="M44">
        <f t="array" ref="M44">IF($D15,IFERROR((SUMPRODUCT((economics!$AG$2:$AG$167=$B44)*(economics!$D$2:$D$167="whr")*economics!$AH$2:$AH$167*(_xlfn.NORM.DIST(M$3,economics!$AK$2:$AK$167,economics!$AJ$2:$AJ$167,TRUE)-_xlfn.NORM.DIST(M$30,economics!$AK$2:$AK$167,economics!$AJ$2:$AJ$167,TRUE))*economics!$AM$2:$AM$167)+$CR15*(_xlfn.NORM.DIST(M$3,$CU15,0.3*$CU15,TRUE)-_xlfn.NORM.DIST(M$30,$CU15,0.3*$CU15,TRUE))*summary!$C$7/28.8/0.947817+$CS15*(_xlfn.NORM.DIST(M$3,$CV15,0.3*$CV15,TRUE)-_xlfn.NORM.DIST(M$30,$CV15,0.3*$CV15,TRUE))*summary!$C$6/28.8/0.947817)/(SUMPRODUCT((economics!$AG$2:$AG$167=$B44)*(economics!$D$2:$D$167="whr")*economics!$AH$2:$AH$167*(_xlfn.NORM.DIST(M$3,economics!$AK$2:$AK$167,economics!$AJ$2:$AJ$167,TRUE)-_xlfn.NORM.DIST(M$30,economics!$AK$2:$AK$167,economics!$AJ$2:$AJ$167,TRUE)))+$CR15*(_xlfn.NORM.DIST(M$3,$CU15,0.3*$CU15,TRUE)-_xlfn.NORM.DIST(M$30,$CU15,0.3*$CU15,TRUE))+$CS15*(_xlfn.NORM.DIST(M$3,$CV15,0.3*$CV15,TRUE)-_xlfn.NORM.DIST(M$30,$CV15,0.3*$CV15,TRUE))),""),IF($C15&gt;0,summary!$C$10/28.8/0.947817,""))</f>
        <v/>
      </c>
      <c r="N44">
        <f t="array" ref="N44">IF($D15,IFERROR((SUMPRODUCT((economics!$AG$2:$AG$167=$B44)*(economics!$D$2:$D$167="whr")*economics!$AH$2:$AH$167*(_xlfn.NORM.DIST(N$3,economics!$AK$2:$AK$167,economics!$AJ$2:$AJ$167,TRUE)-_xlfn.NORM.DIST(N$30,economics!$AK$2:$AK$167,economics!$AJ$2:$AJ$167,TRUE))*economics!$AM$2:$AM$167)+$CR15*(_xlfn.NORM.DIST(N$3,$CU15,0.3*$CU15,TRUE)-_xlfn.NORM.DIST(N$30,$CU15,0.3*$CU15,TRUE))*summary!$C$7/28.8/0.947817+$CS15*(_xlfn.NORM.DIST(N$3,$CV15,0.3*$CV15,TRUE)-_xlfn.NORM.DIST(N$30,$CV15,0.3*$CV15,TRUE))*summary!$C$6/28.8/0.947817)/(SUMPRODUCT((economics!$AG$2:$AG$167=$B44)*(economics!$D$2:$D$167="whr")*economics!$AH$2:$AH$167*(_xlfn.NORM.DIST(N$3,economics!$AK$2:$AK$167,economics!$AJ$2:$AJ$167,TRUE)-_xlfn.NORM.DIST(N$30,economics!$AK$2:$AK$167,economics!$AJ$2:$AJ$167,TRUE)))+$CR15*(_xlfn.NORM.DIST(N$3,$CU15,0.3*$CU15,TRUE)-_xlfn.NORM.DIST(N$30,$CU15,0.3*$CU15,TRUE))+$CS15*(_xlfn.NORM.DIST(N$3,$CV15,0.3*$CV15,TRUE)-_xlfn.NORM.DIST(N$30,$CV15,0.3*$CV15,TRUE))),""),IF($C15&gt;0,summary!$C$10/28.8/0.947817,""))</f>
        <v/>
      </c>
      <c r="O44">
        <f t="array" ref="O44">IF($D15,IFERROR((SUMPRODUCT((economics!$AG$2:$AG$167=$B44)*(economics!$D$2:$D$167="whr")*economics!$AH$2:$AH$167*(_xlfn.NORM.DIST(O$3,economics!$AK$2:$AK$167,economics!$AJ$2:$AJ$167,TRUE)-_xlfn.NORM.DIST(O$30,economics!$AK$2:$AK$167,economics!$AJ$2:$AJ$167,TRUE))*economics!$AM$2:$AM$167)+$CR15*(_xlfn.NORM.DIST(O$3,$CU15,0.3*$CU15,TRUE)-_xlfn.NORM.DIST(O$30,$CU15,0.3*$CU15,TRUE))*summary!$C$7/28.8/0.947817+$CS15*(_xlfn.NORM.DIST(O$3,$CV15,0.3*$CV15,TRUE)-_xlfn.NORM.DIST(O$30,$CV15,0.3*$CV15,TRUE))*summary!$C$6/28.8/0.947817)/(SUMPRODUCT((economics!$AG$2:$AG$167=$B44)*(economics!$D$2:$D$167="whr")*economics!$AH$2:$AH$167*(_xlfn.NORM.DIST(O$3,economics!$AK$2:$AK$167,economics!$AJ$2:$AJ$167,TRUE)-_xlfn.NORM.DIST(O$30,economics!$AK$2:$AK$167,economics!$AJ$2:$AJ$167,TRUE)))+$CR15*(_xlfn.NORM.DIST(O$3,$CU15,0.3*$CU15,TRUE)-_xlfn.NORM.DIST(O$30,$CU15,0.3*$CU15,TRUE))+$CS15*(_xlfn.NORM.DIST(O$3,$CV15,0.3*$CV15,TRUE)-_xlfn.NORM.DIST(O$30,$CV15,0.3*$CV15,TRUE))),""),IF($C15&gt;0,summary!$C$10/28.8/0.947817,""))</f>
        <v/>
      </c>
      <c r="P44">
        <f t="array" ref="P44">IF($D15,IFERROR((SUMPRODUCT((economics!$AG$2:$AG$167=$B44)*(economics!$D$2:$D$167="whr")*economics!$AH$2:$AH$167*(_xlfn.NORM.DIST(P$3,economics!$AK$2:$AK$167,economics!$AJ$2:$AJ$167,TRUE)-_xlfn.NORM.DIST(P$30,economics!$AK$2:$AK$167,economics!$AJ$2:$AJ$167,TRUE))*economics!$AM$2:$AM$167)+$CR15*(_xlfn.NORM.DIST(P$3,$CU15,0.3*$CU15,TRUE)-_xlfn.NORM.DIST(P$30,$CU15,0.3*$CU15,TRUE))*summary!$C$7/28.8/0.947817+$CS15*(_xlfn.NORM.DIST(P$3,$CV15,0.3*$CV15,TRUE)-_xlfn.NORM.DIST(P$30,$CV15,0.3*$CV15,TRUE))*summary!$C$6/28.8/0.947817)/(SUMPRODUCT((economics!$AG$2:$AG$167=$B44)*(economics!$D$2:$D$167="whr")*economics!$AH$2:$AH$167*(_xlfn.NORM.DIST(P$3,economics!$AK$2:$AK$167,economics!$AJ$2:$AJ$167,TRUE)-_xlfn.NORM.DIST(P$30,economics!$AK$2:$AK$167,economics!$AJ$2:$AJ$167,TRUE)))+$CR15*(_xlfn.NORM.DIST(P$3,$CU15,0.3*$CU15,TRUE)-_xlfn.NORM.DIST(P$30,$CU15,0.3*$CU15,TRUE))+$CS15*(_xlfn.NORM.DIST(P$3,$CV15,0.3*$CV15,TRUE)-_xlfn.NORM.DIST(P$30,$CV15,0.3*$CV15,TRUE))),""),IF($C15&gt;0,summary!$C$10/28.8/0.947817,""))</f>
        <v/>
      </c>
      <c r="Q44">
        <f t="array" ref="Q44">IF($D15,IFERROR((SUMPRODUCT((economics!$AG$2:$AG$167=$B44)*(economics!$D$2:$D$167="whr")*economics!$AH$2:$AH$167*(_xlfn.NORM.DIST(Q$3,economics!$AK$2:$AK$167,economics!$AJ$2:$AJ$167,TRUE)-_xlfn.NORM.DIST(Q$30,economics!$AK$2:$AK$167,economics!$AJ$2:$AJ$167,TRUE))*economics!$AM$2:$AM$167)+$CR15*(_xlfn.NORM.DIST(Q$3,$CU15,0.3*$CU15,TRUE)-_xlfn.NORM.DIST(Q$30,$CU15,0.3*$CU15,TRUE))*summary!$C$7/28.8/0.947817+$CS15*(_xlfn.NORM.DIST(Q$3,$CV15,0.3*$CV15,TRUE)-_xlfn.NORM.DIST(Q$30,$CV15,0.3*$CV15,TRUE))*summary!$C$6/28.8/0.947817)/(SUMPRODUCT((economics!$AG$2:$AG$167=$B44)*(economics!$D$2:$D$167="whr")*economics!$AH$2:$AH$167*(_xlfn.NORM.DIST(Q$3,economics!$AK$2:$AK$167,economics!$AJ$2:$AJ$167,TRUE)-_xlfn.NORM.DIST(Q$30,economics!$AK$2:$AK$167,economics!$AJ$2:$AJ$167,TRUE)))+$CR15*(_xlfn.NORM.DIST(Q$3,$CU15,0.3*$CU15,TRUE)-_xlfn.NORM.DIST(Q$30,$CU15,0.3*$CU15,TRUE))+$CS15*(_xlfn.NORM.DIST(Q$3,$CV15,0.3*$CV15,TRUE)-_xlfn.NORM.DIST(Q$30,$CV15,0.3*$CV15,TRUE))),""),IF($C15&gt;0,summary!$C$10/28.8/0.947817,""))</f>
        <v/>
      </c>
      <c r="R44">
        <f t="array" ref="R44">IF($D15,IFERROR((SUMPRODUCT((economics!$AG$2:$AG$167=$B44)*(economics!$D$2:$D$167="whr")*economics!$AH$2:$AH$167*(_xlfn.NORM.DIST(R$3,economics!$AK$2:$AK$167,economics!$AJ$2:$AJ$167,TRUE)-_xlfn.NORM.DIST(R$30,economics!$AK$2:$AK$167,economics!$AJ$2:$AJ$167,TRUE))*economics!$AM$2:$AM$167)+$CR15*(_xlfn.NORM.DIST(R$3,$CU15,0.3*$CU15,TRUE)-_xlfn.NORM.DIST(R$30,$CU15,0.3*$CU15,TRUE))*summary!$C$7/28.8/0.947817+$CS15*(_xlfn.NORM.DIST(R$3,$CV15,0.3*$CV15,TRUE)-_xlfn.NORM.DIST(R$30,$CV15,0.3*$CV15,TRUE))*summary!$C$6/28.8/0.947817)/(SUMPRODUCT((economics!$AG$2:$AG$167=$B44)*(economics!$D$2:$D$167="whr")*economics!$AH$2:$AH$167*(_xlfn.NORM.DIST(R$3,economics!$AK$2:$AK$167,economics!$AJ$2:$AJ$167,TRUE)-_xlfn.NORM.DIST(R$30,economics!$AK$2:$AK$167,economics!$AJ$2:$AJ$167,TRUE)))+$CR15*(_xlfn.NORM.DIST(R$3,$CU15,0.3*$CU15,TRUE)-_xlfn.NORM.DIST(R$30,$CU15,0.3*$CU15,TRUE))+$CS15*(_xlfn.NORM.DIST(R$3,$CV15,0.3*$CV15,TRUE)-_xlfn.NORM.DIST(R$30,$CV15,0.3*$CV15,TRUE))),""),IF($C15&gt;0,summary!$C$10/28.8/0.947817,""))</f>
        <v/>
      </c>
      <c r="S44">
        <f t="array" ref="S44">IF($D15,IFERROR((SUMPRODUCT((economics!$AG$2:$AG$167=$B44)*(economics!$D$2:$D$167="whr")*economics!$AH$2:$AH$167*(_xlfn.NORM.DIST(S$3,economics!$AK$2:$AK$167,economics!$AJ$2:$AJ$167,TRUE)-_xlfn.NORM.DIST(S$30,economics!$AK$2:$AK$167,economics!$AJ$2:$AJ$167,TRUE))*economics!$AM$2:$AM$167)+$CR15*(_xlfn.NORM.DIST(S$3,$CU15,0.3*$CU15,TRUE)-_xlfn.NORM.DIST(S$30,$CU15,0.3*$CU15,TRUE))*summary!$C$7/28.8/0.947817+$CS15*(_xlfn.NORM.DIST(S$3,$CV15,0.3*$CV15,TRUE)-_xlfn.NORM.DIST(S$30,$CV15,0.3*$CV15,TRUE))*summary!$C$6/28.8/0.947817)/(SUMPRODUCT((economics!$AG$2:$AG$167=$B44)*(economics!$D$2:$D$167="whr")*economics!$AH$2:$AH$167*(_xlfn.NORM.DIST(S$3,economics!$AK$2:$AK$167,economics!$AJ$2:$AJ$167,TRUE)-_xlfn.NORM.DIST(S$30,economics!$AK$2:$AK$167,economics!$AJ$2:$AJ$167,TRUE)))+$CR15*(_xlfn.NORM.DIST(S$3,$CU15,0.3*$CU15,TRUE)-_xlfn.NORM.DIST(S$30,$CU15,0.3*$CU15,TRUE))+$CS15*(_xlfn.NORM.DIST(S$3,$CV15,0.3*$CV15,TRUE)-_xlfn.NORM.DIST(S$30,$CV15,0.3*$CV15,TRUE))),""),IF($C15&gt;0,summary!$C$10/28.8/0.947817,""))</f>
        <v/>
      </c>
      <c r="T44">
        <f t="array" ref="T44">IF($D15,IFERROR((SUMPRODUCT((economics!$AG$2:$AG$167=$B44)*(economics!$D$2:$D$167="whr")*economics!$AH$2:$AH$167*(_xlfn.NORM.DIST(T$3,economics!$AK$2:$AK$167,economics!$AJ$2:$AJ$167,TRUE)-_xlfn.NORM.DIST(T$30,economics!$AK$2:$AK$167,economics!$AJ$2:$AJ$167,TRUE))*economics!$AM$2:$AM$167)+$CR15*(_xlfn.NORM.DIST(T$3,$CU15,0.3*$CU15,TRUE)-_xlfn.NORM.DIST(T$30,$CU15,0.3*$CU15,TRUE))*summary!$C$7/28.8/0.947817+$CS15*(_xlfn.NORM.DIST(T$3,$CV15,0.3*$CV15,TRUE)-_xlfn.NORM.DIST(T$30,$CV15,0.3*$CV15,TRUE))*summary!$C$6/28.8/0.947817)/(SUMPRODUCT((economics!$AG$2:$AG$167=$B44)*(economics!$D$2:$D$167="whr")*economics!$AH$2:$AH$167*(_xlfn.NORM.DIST(T$3,economics!$AK$2:$AK$167,economics!$AJ$2:$AJ$167,TRUE)-_xlfn.NORM.DIST(T$30,economics!$AK$2:$AK$167,economics!$AJ$2:$AJ$167,TRUE)))+$CR15*(_xlfn.NORM.DIST(T$3,$CU15,0.3*$CU15,TRUE)-_xlfn.NORM.DIST(T$30,$CU15,0.3*$CU15,TRUE))+$CS15*(_xlfn.NORM.DIST(T$3,$CV15,0.3*$CV15,TRUE)-_xlfn.NORM.DIST(T$30,$CV15,0.3*$CV15,TRUE))),""),IF($C15&gt;0,summary!$C$10/28.8/0.947817,""))</f>
        <v/>
      </c>
      <c r="U44">
        <f t="array" ref="U44">IF($D15,IFERROR((SUMPRODUCT((economics!$AG$2:$AG$167=$B44)*(economics!$D$2:$D$167="whr")*economics!$AH$2:$AH$167*(_xlfn.NORM.DIST(U$3,economics!$AK$2:$AK$167,economics!$AJ$2:$AJ$167,TRUE)-_xlfn.NORM.DIST(U$30,economics!$AK$2:$AK$167,economics!$AJ$2:$AJ$167,TRUE))*economics!$AM$2:$AM$167)+$CR15*(_xlfn.NORM.DIST(U$3,$CU15,0.3*$CU15,TRUE)-_xlfn.NORM.DIST(U$30,$CU15,0.3*$CU15,TRUE))*summary!$C$7/28.8/0.947817+$CS15*(_xlfn.NORM.DIST(U$3,$CV15,0.3*$CV15,TRUE)-_xlfn.NORM.DIST(U$30,$CV15,0.3*$CV15,TRUE))*summary!$C$6/28.8/0.947817)/(SUMPRODUCT((economics!$AG$2:$AG$167=$B44)*(economics!$D$2:$D$167="whr")*economics!$AH$2:$AH$167*(_xlfn.NORM.DIST(U$3,economics!$AK$2:$AK$167,economics!$AJ$2:$AJ$167,TRUE)-_xlfn.NORM.DIST(U$30,economics!$AK$2:$AK$167,economics!$AJ$2:$AJ$167,TRUE)))+$CR15*(_xlfn.NORM.DIST(U$3,$CU15,0.3*$CU15,TRUE)-_xlfn.NORM.DIST(U$30,$CU15,0.3*$CU15,TRUE))+$CS15*(_xlfn.NORM.DIST(U$3,$CV15,0.3*$CV15,TRUE)-_xlfn.NORM.DIST(U$30,$CV15,0.3*$CV15,TRUE))),""),IF($C15&gt;0,summary!$C$10/28.8/0.947817,""))</f>
        <v/>
      </c>
      <c r="V44">
        <f t="array" ref="V44">IF($D15,IFERROR((SUMPRODUCT((economics!$AG$2:$AG$167=$B44)*(economics!$D$2:$D$167="whr")*economics!$AH$2:$AH$167*(_xlfn.NORM.DIST(V$3,economics!$AK$2:$AK$167,economics!$AJ$2:$AJ$167,TRUE)-_xlfn.NORM.DIST(V$30,economics!$AK$2:$AK$167,economics!$AJ$2:$AJ$167,TRUE))*economics!$AM$2:$AM$167)+$CR15*(_xlfn.NORM.DIST(V$3,$CU15,0.3*$CU15,TRUE)-_xlfn.NORM.DIST(V$30,$CU15,0.3*$CU15,TRUE))*summary!$C$7/28.8/0.947817+$CS15*(_xlfn.NORM.DIST(V$3,$CV15,0.3*$CV15,TRUE)-_xlfn.NORM.DIST(V$30,$CV15,0.3*$CV15,TRUE))*summary!$C$6/28.8/0.947817)/(SUMPRODUCT((economics!$AG$2:$AG$167=$B44)*(economics!$D$2:$D$167="whr")*economics!$AH$2:$AH$167*(_xlfn.NORM.DIST(V$3,economics!$AK$2:$AK$167,economics!$AJ$2:$AJ$167,TRUE)-_xlfn.NORM.DIST(V$30,economics!$AK$2:$AK$167,economics!$AJ$2:$AJ$167,TRUE)))+$CR15*(_xlfn.NORM.DIST(V$3,$CU15,0.3*$CU15,TRUE)-_xlfn.NORM.DIST(V$30,$CU15,0.3*$CU15,TRUE))+$CS15*(_xlfn.NORM.DIST(V$3,$CV15,0.3*$CV15,TRUE)-_xlfn.NORM.DIST(V$30,$CV15,0.3*$CV15,TRUE))),""),IF($C15&gt;0,summary!$C$10/28.8/0.947817,""))</f>
        <v/>
      </c>
      <c r="W44">
        <f t="array" ref="W44">IF($D15,IFERROR((SUMPRODUCT((economics!$AG$2:$AG$167=$B44)*(economics!$D$2:$D$167="whr")*economics!$AH$2:$AH$167*(_xlfn.NORM.DIST(W$3,economics!$AK$2:$AK$167,economics!$AJ$2:$AJ$167,TRUE)-_xlfn.NORM.DIST(W$30,economics!$AK$2:$AK$167,economics!$AJ$2:$AJ$167,TRUE))*economics!$AM$2:$AM$167)+$CR15*(_xlfn.NORM.DIST(W$3,$CU15,0.3*$CU15,TRUE)-_xlfn.NORM.DIST(W$30,$CU15,0.3*$CU15,TRUE))*summary!$C$7/28.8/0.947817+$CS15*(_xlfn.NORM.DIST(W$3,$CV15,0.3*$CV15,TRUE)-_xlfn.NORM.DIST(W$30,$CV15,0.3*$CV15,TRUE))*summary!$C$6/28.8/0.947817)/(SUMPRODUCT((economics!$AG$2:$AG$167=$B44)*(economics!$D$2:$D$167="whr")*economics!$AH$2:$AH$167*(_xlfn.NORM.DIST(W$3,economics!$AK$2:$AK$167,economics!$AJ$2:$AJ$167,TRUE)-_xlfn.NORM.DIST(W$30,economics!$AK$2:$AK$167,economics!$AJ$2:$AJ$167,TRUE)))+$CR15*(_xlfn.NORM.DIST(W$3,$CU15,0.3*$CU15,TRUE)-_xlfn.NORM.DIST(W$30,$CU15,0.3*$CU15,TRUE))+$CS15*(_xlfn.NORM.DIST(W$3,$CV15,0.3*$CV15,TRUE)-_xlfn.NORM.DIST(W$30,$CV15,0.3*$CV15,TRUE))),""),IF($C15&gt;0,summary!$C$10/28.8/0.947817,""))</f>
        <v/>
      </c>
      <c r="X44">
        <f t="array" ref="X44">IF($D15,IFERROR((SUMPRODUCT((economics!$AG$2:$AG$167=$B44)*(economics!$D$2:$D$167="whr")*economics!$AH$2:$AH$167*(_xlfn.NORM.DIST(X$3,economics!$AK$2:$AK$167,economics!$AJ$2:$AJ$167,TRUE)-_xlfn.NORM.DIST(X$30,economics!$AK$2:$AK$167,economics!$AJ$2:$AJ$167,TRUE))*economics!$AM$2:$AM$167)+$CR15*(_xlfn.NORM.DIST(X$3,$CU15,0.3*$CU15,TRUE)-_xlfn.NORM.DIST(X$30,$CU15,0.3*$CU15,TRUE))*summary!$C$7/28.8/0.947817+$CS15*(_xlfn.NORM.DIST(X$3,$CV15,0.3*$CV15,TRUE)-_xlfn.NORM.DIST(X$30,$CV15,0.3*$CV15,TRUE))*summary!$C$6/28.8/0.947817)/(SUMPRODUCT((economics!$AG$2:$AG$167=$B44)*(economics!$D$2:$D$167="whr")*economics!$AH$2:$AH$167*(_xlfn.NORM.DIST(X$3,economics!$AK$2:$AK$167,economics!$AJ$2:$AJ$167,TRUE)-_xlfn.NORM.DIST(X$30,economics!$AK$2:$AK$167,economics!$AJ$2:$AJ$167,TRUE)))+$CR15*(_xlfn.NORM.DIST(X$3,$CU15,0.3*$CU15,TRUE)-_xlfn.NORM.DIST(X$30,$CU15,0.3*$CU15,TRUE))+$CS15*(_xlfn.NORM.DIST(X$3,$CV15,0.3*$CV15,TRUE)-_xlfn.NORM.DIST(X$30,$CV15,0.3*$CV15,TRUE))),""),IF($C15&gt;0,summary!$C$10/28.8/0.947817,""))</f>
        <v/>
      </c>
      <c r="Y44">
        <f t="array" ref="Y44">IF($D15,IFERROR((SUMPRODUCT((economics!$AG$2:$AG$167=$B44)*(economics!$D$2:$D$167="whr")*economics!$AH$2:$AH$167*(_xlfn.NORM.DIST(Y$3,economics!$AK$2:$AK$167,economics!$AJ$2:$AJ$167,TRUE)-_xlfn.NORM.DIST(Y$30,economics!$AK$2:$AK$167,economics!$AJ$2:$AJ$167,TRUE))*economics!$AM$2:$AM$167)+$CR15*(_xlfn.NORM.DIST(Y$3,$CU15,0.3*$CU15,TRUE)-_xlfn.NORM.DIST(Y$30,$CU15,0.3*$CU15,TRUE))*summary!$C$7/28.8/0.947817+$CS15*(_xlfn.NORM.DIST(Y$3,$CV15,0.3*$CV15,TRUE)-_xlfn.NORM.DIST(Y$30,$CV15,0.3*$CV15,TRUE))*summary!$C$6/28.8/0.947817)/(SUMPRODUCT((economics!$AG$2:$AG$167=$B44)*(economics!$D$2:$D$167="whr")*economics!$AH$2:$AH$167*(_xlfn.NORM.DIST(Y$3,economics!$AK$2:$AK$167,economics!$AJ$2:$AJ$167,TRUE)-_xlfn.NORM.DIST(Y$30,economics!$AK$2:$AK$167,economics!$AJ$2:$AJ$167,TRUE)))+$CR15*(_xlfn.NORM.DIST(Y$3,$CU15,0.3*$CU15,TRUE)-_xlfn.NORM.DIST(Y$30,$CU15,0.3*$CU15,TRUE))+$CS15*(_xlfn.NORM.DIST(Y$3,$CV15,0.3*$CV15,TRUE)-_xlfn.NORM.DIST(Y$30,$CV15,0.3*$CV15,TRUE))),""),IF($C15&gt;0,summary!$C$10/28.8/0.947817,""))</f>
        <v/>
      </c>
      <c r="Z44">
        <f t="array" ref="Z44">IF($D15,IFERROR((SUMPRODUCT((economics!$AG$2:$AG$167=$B44)*(economics!$D$2:$D$167="whr")*economics!$AH$2:$AH$167*(_xlfn.NORM.DIST(Z$3,economics!$AK$2:$AK$167,economics!$AJ$2:$AJ$167,TRUE)-_xlfn.NORM.DIST(Z$30,economics!$AK$2:$AK$167,economics!$AJ$2:$AJ$167,TRUE))*economics!$AM$2:$AM$167)+$CR15*(_xlfn.NORM.DIST(Z$3,$CU15,0.3*$CU15,TRUE)-_xlfn.NORM.DIST(Z$30,$CU15,0.3*$CU15,TRUE))*summary!$C$7/28.8/0.947817+$CS15*(_xlfn.NORM.DIST(Z$3,$CV15,0.3*$CV15,TRUE)-_xlfn.NORM.DIST(Z$30,$CV15,0.3*$CV15,TRUE))*summary!$C$6/28.8/0.947817)/(SUMPRODUCT((economics!$AG$2:$AG$167=$B44)*(economics!$D$2:$D$167="whr")*economics!$AH$2:$AH$167*(_xlfn.NORM.DIST(Z$3,economics!$AK$2:$AK$167,economics!$AJ$2:$AJ$167,TRUE)-_xlfn.NORM.DIST(Z$30,economics!$AK$2:$AK$167,economics!$AJ$2:$AJ$167,TRUE)))+$CR15*(_xlfn.NORM.DIST(Z$3,$CU15,0.3*$CU15,TRUE)-_xlfn.NORM.DIST(Z$30,$CU15,0.3*$CU15,TRUE))+$CS15*(_xlfn.NORM.DIST(Z$3,$CV15,0.3*$CV15,TRUE)-_xlfn.NORM.DIST(Z$30,$CV15,0.3*$CV15,TRUE))),""),IF($C15&gt;0,summary!$C$10/28.8/0.947817,""))</f>
        <v/>
      </c>
      <c r="AA44">
        <f t="array" ref="AA44">IF($D15,IFERROR((SUMPRODUCT((economics!$AG$2:$AG$167=$B44)*(economics!$D$2:$D$167="whr")*economics!$AH$2:$AH$167*(_xlfn.NORM.DIST(AA$3,economics!$AK$2:$AK$167,economics!$AJ$2:$AJ$167,TRUE)-_xlfn.NORM.DIST(AA$30,economics!$AK$2:$AK$167,economics!$AJ$2:$AJ$167,TRUE))*economics!$AM$2:$AM$167)+$CR15*(_xlfn.NORM.DIST(AA$3,$CU15,0.3*$CU15,TRUE)-_xlfn.NORM.DIST(AA$30,$CU15,0.3*$CU15,TRUE))*summary!$C$7/28.8/0.947817+$CS15*(_xlfn.NORM.DIST(AA$3,$CV15,0.3*$CV15,TRUE)-_xlfn.NORM.DIST(AA$30,$CV15,0.3*$CV15,TRUE))*summary!$C$6/28.8/0.947817)/(SUMPRODUCT((economics!$AG$2:$AG$167=$B44)*(economics!$D$2:$D$167="whr")*economics!$AH$2:$AH$167*(_xlfn.NORM.DIST(AA$3,economics!$AK$2:$AK$167,economics!$AJ$2:$AJ$167,TRUE)-_xlfn.NORM.DIST(AA$30,economics!$AK$2:$AK$167,economics!$AJ$2:$AJ$167,TRUE)))+$CR15*(_xlfn.NORM.DIST(AA$3,$CU15,0.3*$CU15,TRUE)-_xlfn.NORM.DIST(AA$30,$CU15,0.3*$CU15,TRUE))+$CS15*(_xlfn.NORM.DIST(AA$3,$CV15,0.3*$CV15,TRUE)-_xlfn.NORM.DIST(AA$30,$CV15,0.3*$CV15,TRUE))),""),IF($C15&gt;0,summary!$C$10/28.8/0.947817,""))</f>
        <v/>
      </c>
      <c r="AB44">
        <f t="array" ref="AB44">IF($D15,IFERROR((SUMPRODUCT((economics!$AG$2:$AG$167=$B44)*(economics!$D$2:$D$167="whr")*economics!$AH$2:$AH$167*(_xlfn.NORM.DIST(AB$3,economics!$AK$2:$AK$167,economics!$AJ$2:$AJ$167,TRUE)-_xlfn.NORM.DIST(AB$30,economics!$AK$2:$AK$167,economics!$AJ$2:$AJ$167,TRUE))*economics!$AM$2:$AM$167)+$CR15*(_xlfn.NORM.DIST(AB$3,$CU15,0.3*$CU15,TRUE)-_xlfn.NORM.DIST(AB$30,$CU15,0.3*$CU15,TRUE))*summary!$C$7/28.8/0.947817+$CS15*(_xlfn.NORM.DIST(AB$3,$CV15,0.3*$CV15,TRUE)-_xlfn.NORM.DIST(AB$30,$CV15,0.3*$CV15,TRUE))*summary!$C$6/28.8/0.947817)/(SUMPRODUCT((economics!$AG$2:$AG$167=$B44)*(economics!$D$2:$D$167="whr")*economics!$AH$2:$AH$167*(_xlfn.NORM.DIST(AB$3,economics!$AK$2:$AK$167,economics!$AJ$2:$AJ$167,TRUE)-_xlfn.NORM.DIST(AB$30,economics!$AK$2:$AK$167,economics!$AJ$2:$AJ$167,TRUE)))+$CR15*(_xlfn.NORM.DIST(AB$3,$CU15,0.3*$CU15,TRUE)-_xlfn.NORM.DIST(AB$30,$CU15,0.3*$CU15,TRUE))+$CS15*(_xlfn.NORM.DIST(AB$3,$CV15,0.3*$CV15,TRUE)-_xlfn.NORM.DIST(AB$30,$CV15,0.3*$CV15,TRUE))),""),IF($C15&gt;0,summary!$C$10/28.8/0.947817,""))</f>
        <v/>
      </c>
      <c r="AC44">
        <f t="array" ref="AC44">IF($D15,IFERROR((SUMPRODUCT((economics!$AG$2:$AG$167=$B44)*(economics!$D$2:$D$167="whr")*economics!$AH$2:$AH$167*(_xlfn.NORM.DIST(AC$3,economics!$AK$2:$AK$167,economics!$AJ$2:$AJ$167,TRUE)-_xlfn.NORM.DIST(AC$30,economics!$AK$2:$AK$167,economics!$AJ$2:$AJ$167,TRUE))*economics!$AM$2:$AM$167)+$CR15*(_xlfn.NORM.DIST(AC$3,$CU15,0.3*$CU15,TRUE)-_xlfn.NORM.DIST(AC$30,$CU15,0.3*$CU15,TRUE))*summary!$C$7/28.8/0.947817+$CS15*(_xlfn.NORM.DIST(AC$3,$CV15,0.3*$CV15,TRUE)-_xlfn.NORM.DIST(AC$30,$CV15,0.3*$CV15,TRUE))*summary!$C$6/28.8/0.947817)/(SUMPRODUCT((economics!$AG$2:$AG$167=$B44)*(economics!$D$2:$D$167="whr")*economics!$AH$2:$AH$167*(_xlfn.NORM.DIST(AC$3,economics!$AK$2:$AK$167,economics!$AJ$2:$AJ$167,TRUE)-_xlfn.NORM.DIST(AC$30,economics!$AK$2:$AK$167,economics!$AJ$2:$AJ$167,TRUE)))+$CR15*(_xlfn.NORM.DIST(AC$3,$CU15,0.3*$CU15,TRUE)-_xlfn.NORM.DIST(AC$30,$CU15,0.3*$CU15,TRUE))+$CS15*(_xlfn.NORM.DIST(AC$3,$CV15,0.3*$CV15,TRUE)-_xlfn.NORM.DIST(AC$30,$CV15,0.3*$CV15,TRUE))),""),IF($C15&gt;0,summary!$C$10/28.8/0.947817,""))</f>
        <v/>
      </c>
      <c r="AD44">
        <f t="array" ref="AD44">IF($D15,IFERROR((SUMPRODUCT((economics!$AG$2:$AG$167=$B44)*(economics!$D$2:$D$167="whr")*economics!$AH$2:$AH$167*(_xlfn.NORM.DIST(AD$3,economics!$AK$2:$AK$167,economics!$AJ$2:$AJ$167,TRUE)-_xlfn.NORM.DIST(AD$30,economics!$AK$2:$AK$167,economics!$AJ$2:$AJ$167,TRUE))*economics!$AM$2:$AM$167)+$CR15*(_xlfn.NORM.DIST(AD$3,$CU15,0.3*$CU15,TRUE)-_xlfn.NORM.DIST(AD$30,$CU15,0.3*$CU15,TRUE))*summary!$C$7/28.8/0.947817+$CS15*(_xlfn.NORM.DIST(AD$3,$CV15,0.3*$CV15,TRUE)-_xlfn.NORM.DIST(AD$30,$CV15,0.3*$CV15,TRUE))*summary!$C$6/28.8/0.947817)/(SUMPRODUCT((economics!$AG$2:$AG$167=$B44)*(economics!$D$2:$D$167="whr")*economics!$AH$2:$AH$167*(_xlfn.NORM.DIST(AD$3,economics!$AK$2:$AK$167,economics!$AJ$2:$AJ$167,TRUE)-_xlfn.NORM.DIST(AD$30,economics!$AK$2:$AK$167,economics!$AJ$2:$AJ$167,TRUE)))+$CR15*(_xlfn.NORM.DIST(AD$3,$CU15,0.3*$CU15,TRUE)-_xlfn.NORM.DIST(AD$30,$CU15,0.3*$CU15,TRUE))+$CS15*(_xlfn.NORM.DIST(AD$3,$CV15,0.3*$CV15,TRUE)-_xlfn.NORM.DIST(AD$30,$CV15,0.3*$CV15,TRUE))),""),IF($C15&gt;0,summary!$C$10/28.8/0.947817,""))</f>
        <v/>
      </c>
      <c r="AE44">
        <f t="array" ref="AE44">IF($D15,IFERROR((SUMPRODUCT((economics!$AG$2:$AG$167=$B44)*(economics!$D$2:$D$167="whr")*economics!$AH$2:$AH$167*(_xlfn.NORM.DIST(AE$3,economics!$AK$2:$AK$167,economics!$AJ$2:$AJ$167,TRUE)-_xlfn.NORM.DIST(AE$30,economics!$AK$2:$AK$167,economics!$AJ$2:$AJ$167,TRUE))*economics!$AM$2:$AM$167)+$CR15*(_xlfn.NORM.DIST(AE$3,$CU15,0.3*$CU15,TRUE)-_xlfn.NORM.DIST(AE$30,$CU15,0.3*$CU15,TRUE))*summary!$C$7/28.8/0.947817+$CS15*(_xlfn.NORM.DIST(AE$3,$CV15,0.3*$CV15,TRUE)-_xlfn.NORM.DIST(AE$30,$CV15,0.3*$CV15,TRUE))*summary!$C$6/28.8/0.947817)/(SUMPRODUCT((economics!$AG$2:$AG$167=$B44)*(economics!$D$2:$D$167="whr")*economics!$AH$2:$AH$167*(_xlfn.NORM.DIST(AE$3,economics!$AK$2:$AK$167,economics!$AJ$2:$AJ$167,TRUE)-_xlfn.NORM.DIST(AE$30,economics!$AK$2:$AK$167,economics!$AJ$2:$AJ$167,TRUE)))+$CR15*(_xlfn.NORM.DIST(AE$3,$CU15,0.3*$CU15,TRUE)-_xlfn.NORM.DIST(AE$30,$CU15,0.3*$CU15,TRUE))+$CS15*(_xlfn.NORM.DIST(AE$3,$CV15,0.3*$CV15,TRUE)-_xlfn.NORM.DIST(AE$30,$CV15,0.3*$CV15,TRUE))),""),IF($C15&gt;0,summary!$C$10/28.8/0.947817,""))</f>
        <v/>
      </c>
      <c r="AF44">
        <f t="array" ref="AF44">IF($D15,IFERROR((SUMPRODUCT((economics!$AG$2:$AG$167=$B44)*(economics!$D$2:$D$167="whr")*economics!$AH$2:$AH$167*(_xlfn.NORM.DIST(AF$3,economics!$AK$2:$AK$167,economics!$AJ$2:$AJ$167,TRUE)-_xlfn.NORM.DIST(AF$30,economics!$AK$2:$AK$167,economics!$AJ$2:$AJ$167,TRUE))*economics!$AM$2:$AM$167)+$CR15*(_xlfn.NORM.DIST(AF$3,$CU15,0.3*$CU15,TRUE)-_xlfn.NORM.DIST(AF$30,$CU15,0.3*$CU15,TRUE))*summary!$C$7/28.8/0.947817+$CS15*(_xlfn.NORM.DIST(AF$3,$CV15,0.3*$CV15,TRUE)-_xlfn.NORM.DIST(AF$30,$CV15,0.3*$CV15,TRUE))*summary!$C$6/28.8/0.947817)/(SUMPRODUCT((economics!$AG$2:$AG$167=$B44)*(economics!$D$2:$D$167="whr")*economics!$AH$2:$AH$167*(_xlfn.NORM.DIST(AF$3,economics!$AK$2:$AK$167,economics!$AJ$2:$AJ$167,TRUE)-_xlfn.NORM.DIST(AF$30,economics!$AK$2:$AK$167,economics!$AJ$2:$AJ$167,TRUE)))+$CR15*(_xlfn.NORM.DIST(AF$3,$CU15,0.3*$CU15,TRUE)-_xlfn.NORM.DIST(AF$30,$CU15,0.3*$CU15,TRUE))+$CS15*(_xlfn.NORM.DIST(AF$3,$CV15,0.3*$CV15,TRUE)-_xlfn.NORM.DIST(AF$30,$CV15,0.3*$CV15,TRUE))),""),IF($C15&gt;0,summary!$C$10/28.8/0.947817,""))</f>
        <v/>
      </c>
      <c r="AG44">
        <f t="array" ref="AG44">IF($D15,IFERROR((SUMPRODUCT((economics!$AG$2:$AG$167=$B44)*(economics!$D$2:$D$167="whr")*economics!$AH$2:$AH$167*(_xlfn.NORM.DIST(AG$3,economics!$AK$2:$AK$167,economics!$AJ$2:$AJ$167,TRUE)-_xlfn.NORM.DIST(AG$30,economics!$AK$2:$AK$167,economics!$AJ$2:$AJ$167,TRUE))*economics!$AM$2:$AM$167)+$CR15*(_xlfn.NORM.DIST(AG$3,$CU15,0.3*$CU15,TRUE)-_xlfn.NORM.DIST(AG$30,$CU15,0.3*$CU15,TRUE))*summary!$C$7/28.8/0.947817+$CS15*(_xlfn.NORM.DIST(AG$3,$CV15,0.3*$CV15,TRUE)-_xlfn.NORM.DIST(AG$30,$CV15,0.3*$CV15,TRUE))*summary!$C$6/28.8/0.947817)/(SUMPRODUCT((economics!$AG$2:$AG$167=$B44)*(economics!$D$2:$D$167="whr")*economics!$AH$2:$AH$167*(_xlfn.NORM.DIST(AG$3,economics!$AK$2:$AK$167,economics!$AJ$2:$AJ$167,TRUE)-_xlfn.NORM.DIST(AG$30,economics!$AK$2:$AK$167,economics!$AJ$2:$AJ$167,TRUE)))+$CR15*(_xlfn.NORM.DIST(AG$3,$CU15,0.3*$CU15,TRUE)-_xlfn.NORM.DIST(AG$30,$CU15,0.3*$CU15,TRUE))+$CS15*(_xlfn.NORM.DIST(AG$3,$CV15,0.3*$CV15,TRUE)-_xlfn.NORM.DIST(AG$30,$CV15,0.3*$CV15,TRUE))),""),IF($C15&gt;0,summary!$C$10/28.8/0.947817,""))</f>
        <v/>
      </c>
      <c r="AH44">
        <f t="array" ref="AH44">IF($D15,IFERROR((SUMPRODUCT((economics!$AG$2:$AG$167=$B44)*(economics!$D$2:$D$167="whr")*economics!$AH$2:$AH$167*(_xlfn.NORM.DIST(AH$3,economics!$AK$2:$AK$167,economics!$AJ$2:$AJ$167,TRUE)-_xlfn.NORM.DIST(AH$30,economics!$AK$2:$AK$167,economics!$AJ$2:$AJ$167,TRUE))*economics!$AM$2:$AM$167)+$CR15*(_xlfn.NORM.DIST(AH$3,$CU15,0.3*$CU15,TRUE)-_xlfn.NORM.DIST(AH$30,$CU15,0.3*$CU15,TRUE))*summary!$C$7/28.8/0.947817+$CS15*(_xlfn.NORM.DIST(AH$3,$CV15,0.3*$CV15,TRUE)-_xlfn.NORM.DIST(AH$30,$CV15,0.3*$CV15,TRUE))*summary!$C$6/28.8/0.947817)/(SUMPRODUCT((economics!$AG$2:$AG$167=$B44)*(economics!$D$2:$D$167="whr")*economics!$AH$2:$AH$167*(_xlfn.NORM.DIST(AH$3,economics!$AK$2:$AK$167,economics!$AJ$2:$AJ$167,TRUE)-_xlfn.NORM.DIST(AH$30,economics!$AK$2:$AK$167,economics!$AJ$2:$AJ$167,TRUE)))+$CR15*(_xlfn.NORM.DIST(AH$3,$CU15,0.3*$CU15,TRUE)-_xlfn.NORM.DIST(AH$30,$CU15,0.3*$CU15,TRUE))+$CS15*(_xlfn.NORM.DIST(AH$3,$CV15,0.3*$CV15,TRUE)-_xlfn.NORM.DIST(AH$30,$CV15,0.3*$CV15,TRUE))),""),IF($C15&gt;0,summary!$C$10/28.8/0.947817,""))</f>
        <v/>
      </c>
      <c r="AI44">
        <f t="array" ref="AI44">IF($D15,IFERROR((SUMPRODUCT((economics!$AG$2:$AG$167=$B44)*(economics!$D$2:$D$167="whr")*economics!$AH$2:$AH$167*(_xlfn.NORM.DIST(AI$3,economics!$AK$2:$AK$167,economics!$AJ$2:$AJ$167,TRUE)-_xlfn.NORM.DIST(AI$30,economics!$AK$2:$AK$167,economics!$AJ$2:$AJ$167,TRUE))*economics!$AM$2:$AM$167)+$CR15*(_xlfn.NORM.DIST(AI$3,$CU15,0.3*$CU15,TRUE)-_xlfn.NORM.DIST(AI$30,$CU15,0.3*$CU15,TRUE))*summary!$C$7/28.8/0.947817+$CS15*(_xlfn.NORM.DIST(AI$3,$CV15,0.3*$CV15,TRUE)-_xlfn.NORM.DIST(AI$30,$CV15,0.3*$CV15,TRUE))*summary!$C$6/28.8/0.947817)/(SUMPRODUCT((economics!$AG$2:$AG$167=$B44)*(economics!$D$2:$D$167="whr")*economics!$AH$2:$AH$167*(_xlfn.NORM.DIST(AI$3,economics!$AK$2:$AK$167,economics!$AJ$2:$AJ$167,TRUE)-_xlfn.NORM.DIST(AI$30,economics!$AK$2:$AK$167,economics!$AJ$2:$AJ$167,TRUE)))+$CR15*(_xlfn.NORM.DIST(AI$3,$CU15,0.3*$CU15,TRUE)-_xlfn.NORM.DIST(AI$30,$CU15,0.3*$CU15,TRUE))+$CS15*(_xlfn.NORM.DIST(AI$3,$CV15,0.3*$CV15,TRUE)-_xlfn.NORM.DIST(AI$30,$CV15,0.3*$CV15,TRUE))),""),IF($C15&gt;0,summary!$C$10/28.8/0.947817,""))</f>
        <v/>
      </c>
      <c r="AJ44">
        <f t="array" ref="AJ44">IF($D15,IFERROR((SUMPRODUCT((economics!$AG$2:$AG$167=$B44)*(economics!$D$2:$D$167="whr")*economics!$AH$2:$AH$167*(_xlfn.NORM.DIST(AJ$3,economics!$AK$2:$AK$167,economics!$AJ$2:$AJ$167,TRUE)-_xlfn.NORM.DIST(AJ$30,economics!$AK$2:$AK$167,economics!$AJ$2:$AJ$167,TRUE))*economics!$AM$2:$AM$167)+$CR15*(_xlfn.NORM.DIST(AJ$3,$CU15,0.3*$CU15,TRUE)-_xlfn.NORM.DIST(AJ$30,$CU15,0.3*$CU15,TRUE))*summary!$C$7/28.8/0.947817+$CS15*(_xlfn.NORM.DIST(AJ$3,$CV15,0.3*$CV15,TRUE)-_xlfn.NORM.DIST(AJ$30,$CV15,0.3*$CV15,TRUE))*summary!$C$6/28.8/0.947817)/(SUMPRODUCT((economics!$AG$2:$AG$167=$B44)*(economics!$D$2:$D$167="whr")*economics!$AH$2:$AH$167*(_xlfn.NORM.DIST(AJ$3,economics!$AK$2:$AK$167,economics!$AJ$2:$AJ$167,TRUE)-_xlfn.NORM.DIST(AJ$30,economics!$AK$2:$AK$167,economics!$AJ$2:$AJ$167,TRUE)))+$CR15*(_xlfn.NORM.DIST(AJ$3,$CU15,0.3*$CU15,TRUE)-_xlfn.NORM.DIST(AJ$30,$CU15,0.3*$CU15,TRUE))+$CS15*(_xlfn.NORM.DIST(AJ$3,$CV15,0.3*$CV15,TRUE)-_xlfn.NORM.DIST(AJ$30,$CV15,0.3*$CV15,TRUE))),""),IF($C15&gt;0,summary!$C$10/28.8/0.947817,""))</f>
        <v/>
      </c>
      <c r="AK44">
        <f t="array" ref="AK44">IF($D15,IFERROR((SUMPRODUCT((economics!$AG$2:$AG$167=$B44)*(economics!$D$2:$D$167="whr")*economics!$AH$2:$AH$167*(_xlfn.NORM.DIST(AK$3,economics!$AK$2:$AK$167,economics!$AJ$2:$AJ$167,TRUE)-_xlfn.NORM.DIST(AK$30,economics!$AK$2:$AK$167,economics!$AJ$2:$AJ$167,TRUE))*economics!$AM$2:$AM$167)+$CR15*(_xlfn.NORM.DIST(AK$3,$CU15,0.3*$CU15,TRUE)-_xlfn.NORM.DIST(AK$30,$CU15,0.3*$CU15,TRUE))*summary!$C$7/28.8/0.947817+$CS15*(_xlfn.NORM.DIST(AK$3,$CV15,0.3*$CV15,TRUE)-_xlfn.NORM.DIST(AK$30,$CV15,0.3*$CV15,TRUE))*summary!$C$6/28.8/0.947817)/(SUMPRODUCT((economics!$AG$2:$AG$167=$B44)*(economics!$D$2:$D$167="whr")*economics!$AH$2:$AH$167*(_xlfn.NORM.DIST(AK$3,economics!$AK$2:$AK$167,economics!$AJ$2:$AJ$167,TRUE)-_xlfn.NORM.DIST(AK$30,economics!$AK$2:$AK$167,economics!$AJ$2:$AJ$167,TRUE)))+$CR15*(_xlfn.NORM.DIST(AK$3,$CU15,0.3*$CU15,TRUE)-_xlfn.NORM.DIST(AK$30,$CU15,0.3*$CU15,TRUE))+$CS15*(_xlfn.NORM.DIST(AK$3,$CV15,0.3*$CV15,TRUE)-_xlfn.NORM.DIST(AK$30,$CV15,0.3*$CV15,TRUE))),""),IF($C15&gt;0,summary!$C$10/28.8/0.947817,""))</f>
        <v/>
      </c>
      <c r="AL44">
        <f t="array" ref="AL44">IF($D15,IFERROR((SUMPRODUCT((economics!$AG$2:$AG$167=$B44)*(economics!$D$2:$D$167="whr")*economics!$AH$2:$AH$167*(_xlfn.NORM.DIST(AL$3,economics!$AK$2:$AK$167,economics!$AJ$2:$AJ$167,TRUE)-_xlfn.NORM.DIST(AL$30,economics!$AK$2:$AK$167,economics!$AJ$2:$AJ$167,TRUE))*economics!$AM$2:$AM$167)+$CR15*(_xlfn.NORM.DIST(AL$3,$CU15,0.3*$CU15,TRUE)-_xlfn.NORM.DIST(AL$30,$CU15,0.3*$CU15,TRUE))*summary!$C$7/28.8/0.947817+$CS15*(_xlfn.NORM.DIST(AL$3,$CV15,0.3*$CV15,TRUE)-_xlfn.NORM.DIST(AL$30,$CV15,0.3*$CV15,TRUE))*summary!$C$6/28.8/0.947817)/(SUMPRODUCT((economics!$AG$2:$AG$167=$B44)*(economics!$D$2:$D$167="whr")*economics!$AH$2:$AH$167*(_xlfn.NORM.DIST(AL$3,economics!$AK$2:$AK$167,economics!$AJ$2:$AJ$167,TRUE)-_xlfn.NORM.DIST(AL$30,economics!$AK$2:$AK$167,economics!$AJ$2:$AJ$167,TRUE)))+$CR15*(_xlfn.NORM.DIST(AL$3,$CU15,0.3*$CU15,TRUE)-_xlfn.NORM.DIST(AL$30,$CU15,0.3*$CU15,TRUE))+$CS15*(_xlfn.NORM.DIST(AL$3,$CV15,0.3*$CV15,TRUE)-_xlfn.NORM.DIST(AL$30,$CV15,0.3*$CV15,TRUE))),""),IF($C15&gt;0,summary!$C$10/28.8/0.947817,""))</f>
        <v/>
      </c>
      <c r="AM44">
        <f t="array" ref="AM44">IF($D15,IFERROR((SUMPRODUCT((economics!$AG$2:$AG$167=$B44)*(economics!$D$2:$D$167="whr")*economics!$AH$2:$AH$167*(_xlfn.NORM.DIST(AM$3,economics!$AK$2:$AK$167,economics!$AJ$2:$AJ$167,TRUE)-_xlfn.NORM.DIST(AM$30,economics!$AK$2:$AK$167,economics!$AJ$2:$AJ$167,TRUE))*economics!$AM$2:$AM$167)+$CR15*(_xlfn.NORM.DIST(AM$3,$CU15,0.3*$CU15,TRUE)-_xlfn.NORM.DIST(AM$30,$CU15,0.3*$CU15,TRUE))*summary!$C$7/28.8/0.947817+$CS15*(_xlfn.NORM.DIST(AM$3,$CV15,0.3*$CV15,TRUE)-_xlfn.NORM.DIST(AM$30,$CV15,0.3*$CV15,TRUE))*summary!$C$6/28.8/0.947817)/(SUMPRODUCT((economics!$AG$2:$AG$167=$B44)*(economics!$D$2:$D$167="whr")*economics!$AH$2:$AH$167*(_xlfn.NORM.DIST(AM$3,economics!$AK$2:$AK$167,economics!$AJ$2:$AJ$167,TRUE)-_xlfn.NORM.DIST(AM$30,economics!$AK$2:$AK$167,economics!$AJ$2:$AJ$167,TRUE)))+$CR15*(_xlfn.NORM.DIST(AM$3,$CU15,0.3*$CU15,TRUE)-_xlfn.NORM.DIST(AM$30,$CU15,0.3*$CU15,TRUE))+$CS15*(_xlfn.NORM.DIST(AM$3,$CV15,0.3*$CV15,TRUE)-_xlfn.NORM.DIST(AM$30,$CV15,0.3*$CV15,TRUE))),""),IF($C15&gt;0,summary!$C$10/28.8/0.947817,""))</f>
        <v/>
      </c>
      <c r="AN44">
        <f t="array" ref="AN44">IF($D15,IFERROR((SUMPRODUCT((economics!$AG$2:$AG$167=$B44)*(economics!$D$2:$D$167="whr")*economics!$AH$2:$AH$167*(_xlfn.NORM.DIST(AN$3,economics!$AK$2:$AK$167,economics!$AJ$2:$AJ$167,TRUE)-_xlfn.NORM.DIST(AN$30,economics!$AK$2:$AK$167,economics!$AJ$2:$AJ$167,TRUE))*economics!$AM$2:$AM$167)+$CR15*(_xlfn.NORM.DIST(AN$3,$CU15,0.3*$CU15,TRUE)-_xlfn.NORM.DIST(AN$30,$CU15,0.3*$CU15,TRUE))*summary!$C$7/28.8/0.947817+$CS15*(_xlfn.NORM.DIST(AN$3,$CV15,0.3*$CV15,TRUE)-_xlfn.NORM.DIST(AN$30,$CV15,0.3*$CV15,TRUE))*summary!$C$6/28.8/0.947817)/(SUMPRODUCT((economics!$AG$2:$AG$167=$B44)*(economics!$D$2:$D$167="whr")*economics!$AH$2:$AH$167*(_xlfn.NORM.DIST(AN$3,economics!$AK$2:$AK$167,economics!$AJ$2:$AJ$167,TRUE)-_xlfn.NORM.DIST(AN$30,economics!$AK$2:$AK$167,economics!$AJ$2:$AJ$167,TRUE)))+$CR15*(_xlfn.NORM.DIST(AN$3,$CU15,0.3*$CU15,TRUE)-_xlfn.NORM.DIST(AN$30,$CU15,0.3*$CU15,TRUE))+$CS15*(_xlfn.NORM.DIST(AN$3,$CV15,0.3*$CV15,TRUE)-_xlfn.NORM.DIST(AN$30,$CV15,0.3*$CV15,TRUE))),""),IF($C15&gt;0,summary!$C$10/28.8/0.947817,""))</f>
        <v/>
      </c>
      <c r="AO44">
        <f t="array" ref="AO44">IF($D15,IFERROR((SUMPRODUCT((economics!$AG$2:$AG$167=$B44)*(economics!$D$2:$D$167="whr")*economics!$AH$2:$AH$167*(_xlfn.NORM.DIST(AO$3,economics!$AK$2:$AK$167,economics!$AJ$2:$AJ$167,TRUE)-_xlfn.NORM.DIST(AO$30,economics!$AK$2:$AK$167,economics!$AJ$2:$AJ$167,TRUE))*economics!$AM$2:$AM$167)+$CR15*(_xlfn.NORM.DIST(AO$3,$CU15,0.3*$CU15,TRUE)-_xlfn.NORM.DIST(AO$30,$CU15,0.3*$CU15,TRUE))*summary!$C$7/28.8/0.947817+$CS15*(_xlfn.NORM.DIST(AO$3,$CV15,0.3*$CV15,TRUE)-_xlfn.NORM.DIST(AO$30,$CV15,0.3*$CV15,TRUE))*summary!$C$6/28.8/0.947817)/(SUMPRODUCT((economics!$AG$2:$AG$167=$B44)*(economics!$D$2:$D$167="whr")*economics!$AH$2:$AH$167*(_xlfn.NORM.DIST(AO$3,economics!$AK$2:$AK$167,economics!$AJ$2:$AJ$167,TRUE)-_xlfn.NORM.DIST(AO$30,economics!$AK$2:$AK$167,economics!$AJ$2:$AJ$167,TRUE)))+$CR15*(_xlfn.NORM.DIST(AO$3,$CU15,0.3*$CU15,TRUE)-_xlfn.NORM.DIST(AO$30,$CU15,0.3*$CU15,TRUE))+$CS15*(_xlfn.NORM.DIST(AO$3,$CV15,0.3*$CV15,TRUE)-_xlfn.NORM.DIST(AO$30,$CV15,0.3*$CV15,TRUE))),""),IF($C15&gt;0,summary!$C$10/28.8/0.947817,""))</f>
        <v/>
      </c>
      <c r="AP44">
        <f t="array" ref="AP44">IF($D15,IFERROR((SUMPRODUCT((economics!$AG$2:$AG$167=$B44)*(economics!$D$2:$D$167="whr")*economics!$AH$2:$AH$167*(_xlfn.NORM.DIST(AP$3,economics!$AK$2:$AK$167,economics!$AJ$2:$AJ$167,TRUE)-_xlfn.NORM.DIST(AP$30,economics!$AK$2:$AK$167,economics!$AJ$2:$AJ$167,TRUE))*economics!$AM$2:$AM$167)+$CR15*(_xlfn.NORM.DIST(AP$3,$CU15,0.3*$CU15,TRUE)-_xlfn.NORM.DIST(AP$30,$CU15,0.3*$CU15,TRUE))*summary!$C$7/28.8/0.947817+$CS15*(_xlfn.NORM.DIST(AP$3,$CV15,0.3*$CV15,TRUE)-_xlfn.NORM.DIST(AP$30,$CV15,0.3*$CV15,TRUE))*summary!$C$6/28.8/0.947817)/(SUMPRODUCT((economics!$AG$2:$AG$167=$B44)*(economics!$D$2:$D$167="whr")*economics!$AH$2:$AH$167*(_xlfn.NORM.DIST(AP$3,economics!$AK$2:$AK$167,economics!$AJ$2:$AJ$167,TRUE)-_xlfn.NORM.DIST(AP$30,economics!$AK$2:$AK$167,economics!$AJ$2:$AJ$167,TRUE)))+$CR15*(_xlfn.NORM.DIST(AP$3,$CU15,0.3*$CU15,TRUE)-_xlfn.NORM.DIST(AP$30,$CU15,0.3*$CU15,TRUE))+$CS15*(_xlfn.NORM.DIST(AP$3,$CV15,0.3*$CV15,TRUE)-_xlfn.NORM.DIST(AP$30,$CV15,0.3*$CV15,TRUE))),""),IF($C15&gt;0,summary!$C$10/28.8/0.947817,""))</f>
        <v/>
      </c>
      <c r="AQ44">
        <f t="array" ref="AQ44">IF($D15,IFERROR((SUMPRODUCT((economics!$AG$2:$AG$167=$B44)*(economics!$D$2:$D$167="whr")*economics!$AH$2:$AH$167*(_xlfn.NORM.DIST(AQ$3,economics!$AK$2:$AK$167,economics!$AJ$2:$AJ$167,TRUE)-_xlfn.NORM.DIST(AQ$30,economics!$AK$2:$AK$167,economics!$AJ$2:$AJ$167,TRUE))*economics!$AM$2:$AM$167)+$CR15*(_xlfn.NORM.DIST(AQ$3,$CU15,0.3*$CU15,TRUE)-_xlfn.NORM.DIST(AQ$30,$CU15,0.3*$CU15,TRUE))*summary!$C$7/28.8/0.947817+$CS15*(_xlfn.NORM.DIST(AQ$3,$CV15,0.3*$CV15,TRUE)-_xlfn.NORM.DIST(AQ$30,$CV15,0.3*$CV15,TRUE))*summary!$C$6/28.8/0.947817)/(SUMPRODUCT((economics!$AG$2:$AG$167=$B44)*(economics!$D$2:$D$167="whr")*economics!$AH$2:$AH$167*(_xlfn.NORM.DIST(AQ$3,economics!$AK$2:$AK$167,economics!$AJ$2:$AJ$167,TRUE)-_xlfn.NORM.DIST(AQ$30,economics!$AK$2:$AK$167,economics!$AJ$2:$AJ$167,TRUE)))+$CR15*(_xlfn.NORM.DIST(AQ$3,$CU15,0.3*$CU15,TRUE)-_xlfn.NORM.DIST(AQ$30,$CU15,0.3*$CU15,TRUE))+$CS15*(_xlfn.NORM.DIST(AQ$3,$CV15,0.3*$CV15,TRUE)-_xlfn.NORM.DIST(AQ$30,$CV15,0.3*$CV15,TRUE))),""),IF($C15&gt;0,summary!$C$10/28.8/0.947817,""))</f>
        <v/>
      </c>
      <c r="AR44">
        <f t="array" ref="AR44">IF($D15,IFERROR((SUMPRODUCT((economics!$AG$2:$AG$167=$B44)*(economics!$D$2:$D$167="whr")*economics!$AH$2:$AH$167*(_xlfn.NORM.DIST(AR$3,economics!$AK$2:$AK$167,economics!$AJ$2:$AJ$167,TRUE)-_xlfn.NORM.DIST(AR$30,economics!$AK$2:$AK$167,economics!$AJ$2:$AJ$167,TRUE))*economics!$AM$2:$AM$167)+$CR15*(_xlfn.NORM.DIST(AR$3,$CU15,0.3*$CU15,TRUE)-_xlfn.NORM.DIST(AR$30,$CU15,0.3*$CU15,TRUE))*summary!$C$7/28.8/0.947817+$CS15*(_xlfn.NORM.DIST(AR$3,$CV15,0.3*$CV15,TRUE)-_xlfn.NORM.DIST(AR$30,$CV15,0.3*$CV15,TRUE))*summary!$C$6/28.8/0.947817)/(SUMPRODUCT((economics!$AG$2:$AG$167=$B44)*(economics!$D$2:$D$167="whr")*economics!$AH$2:$AH$167*(_xlfn.NORM.DIST(AR$3,economics!$AK$2:$AK$167,economics!$AJ$2:$AJ$167,TRUE)-_xlfn.NORM.DIST(AR$30,economics!$AK$2:$AK$167,economics!$AJ$2:$AJ$167,TRUE)))+$CR15*(_xlfn.NORM.DIST(AR$3,$CU15,0.3*$CU15,TRUE)-_xlfn.NORM.DIST(AR$30,$CU15,0.3*$CU15,TRUE))+$CS15*(_xlfn.NORM.DIST(AR$3,$CV15,0.3*$CV15,TRUE)-_xlfn.NORM.DIST(AR$30,$CV15,0.3*$CV15,TRUE))),""),IF($C15&gt;0,summary!$C$10/28.8/0.947817,""))</f>
        <v/>
      </c>
      <c r="AS44">
        <f t="array" ref="AS44">IF($D15,IFERROR((SUMPRODUCT((economics!$AG$2:$AG$167=$B44)*(economics!$D$2:$D$167="whr")*economics!$AH$2:$AH$167*(_xlfn.NORM.DIST(AS$3,economics!$AK$2:$AK$167,economics!$AJ$2:$AJ$167,TRUE)-_xlfn.NORM.DIST(AS$30,economics!$AK$2:$AK$167,economics!$AJ$2:$AJ$167,TRUE))*economics!$AM$2:$AM$167)+$CR15*(_xlfn.NORM.DIST(AS$3,$CU15,0.3*$CU15,TRUE)-_xlfn.NORM.DIST(AS$30,$CU15,0.3*$CU15,TRUE))*summary!$C$7/28.8/0.947817+$CS15*(_xlfn.NORM.DIST(AS$3,$CV15,0.3*$CV15,TRUE)-_xlfn.NORM.DIST(AS$30,$CV15,0.3*$CV15,TRUE))*summary!$C$6/28.8/0.947817)/(SUMPRODUCT((economics!$AG$2:$AG$167=$B44)*(economics!$D$2:$D$167="whr")*economics!$AH$2:$AH$167*(_xlfn.NORM.DIST(AS$3,economics!$AK$2:$AK$167,economics!$AJ$2:$AJ$167,TRUE)-_xlfn.NORM.DIST(AS$30,economics!$AK$2:$AK$167,economics!$AJ$2:$AJ$167,TRUE)))+$CR15*(_xlfn.NORM.DIST(AS$3,$CU15,0.3*$CU15,TRUE)-_xlfn.NORM.DIST(AS$30,$CU15,0.3*$CU15,TRUE))+$CS15*(_xlfn.NORM.DIST(AS$3,$CV15,0.3*$CV15,TRUE)-_xlfn.NORM.DIST(AS$30,$CV15,0.3*$CV15,TRUE))),""),IF($C15&gt;0,summary!$C$10/28.8/0.947817,""))</f>
        <v/>
      </c>
      <c r="AT44">
        <f t="array" ref="AT44">IF($D15,IFERROR((SUMPRODUCT((economics!$AG$2:$AG$167=$B44)*(economics!$D$2:$D$167="whr")*economics!$AH$2:$AH$167*(_xlfn.NORM.DIST(AT$3,economics!$AK$2:$AK$167,economics!$AJ$2:$AJ$167,TRUE)-_xlfn.NORM.DIST(AT$30,economics!$AK$2:$AK$167,economics!$AJ$2:$AJ$167,TRUE))*economics!$AM$2:$AM$167)+$CR15*(_xlfn.NORM.DIST(AT$3,$CU15,0.3*$CU15,TRUE)-_xlfn.NORM.DIST(AT$30,$CU15,0.3*$CU15,TRUE))*summary!$C$7/28.8/0.947817+$CS15*(_xlfn.NORM.DIST(AT$3,$CV15,0.3*$CV15,TRUE)-_xlfn.NORM.DIST(AT$30,$CV15,0.3*$CV15,TRUE))*summary!$C$6/28.8/0.947817)/(SUMPRODUCT((economics!$AG$2:$AG$167=$B44)*(economics!$D$2:$D$167="whr")*economics!$AH$2:$AH$167*(_xlfn.NORM.DIST(AT$3,economics!$AK$2:$AK$167,economics!$AJ$2:$AJ$167,TRUE)-_xlfn.NORM.DIST(AT$30,economics!$AK$2:$AK$167,economics!$AJ$2:$AJ$167,TRUE)))+$CR15*(_xlfn.NORM.DIST(AT$3,$CU15,0.3*$CU15,TRUE)-_xlfn.NORM.DIST(AT$30,$CU15,0.3*$CU15,TRUE))+$CS15*(_xlfn.NORM.DIST(AT$3,$CV15,0.3*$CV15,TRUE)-_xlfn.NORM.DIST(AT$30,$CV15,0.3*$CV15,TRUE))),""),IF($C15&gt;0,summary!$C$10/28.8/0.947817,""))</f>
        <v/>
      </c>
      <c r="AU44">
        <f t="array" ref="AU44">IF($D15,IFERROR((SUMPRODUCT((economics!$AG$2:$AG$167=$B44)*(economics!$D$2:$D$167="whr")*economics!$AH$2:$AH$167*(_xlfn.NORM.DIST(AU$3,economics!$AK$2:$AK$167,economics!$AJ$2:$AJ$167,TRUE)-_xlfn.NORM.DIST(AU$30,economics!$AK$2:$AK$167,economics!$AJ$2:$AJ$167,TRUE))*economics!$AM$2:$AM$167)+$CR15*(_xlfn.NORM.DIST(AU$3,$CU15,0.3*$CU15,TRUE)-_xlfn.NORM.DIST(AU$30,$CU15,0.3*$CU15,TRUE))*summary!$C$7/28.8/0.947817+$CS15*(_xlfn.NORM.DIST(AU$3,$CV15,0.3*$CV15,TRUE)-_xlfn.NORM.DIST(AU$30,$CV15,0.3*$CV15,TRUE))*summary!$C$6/28.8/0.947817)/(SUMPRODUCT((economics!$AG$2:$AG$167=$B44)*(economics!$D$2:$D$167="whr")*economics!$AH$2:$AH$167*(_xlfn.NORM.DIST(AU$3,economics!$AK$2:$AK$167,economics!$AJ$2:$AJ$167,TRUE)-_xlfn.NORM.DIST(AU$30,economics!$AK$2:$AK$167,economics!$AJ$2:$AJ$167,TRUE)))+$CR15*(_xlfn.NORM.DIST(AU$3,$CU15,0.3*$CU15,TRUE)-_xlfn.NORM.DIST(AU$30,$CU15,0.3*$CU15,TRUE))+$CS15*(_xlfn.NORM.DIST(AU$3,$CV15,0.3*$CV15,TRUE)-_xlfn.NORM.DIST(AU$30,$CV15,0.3*$CV15,TRUE))),""),IF($C15&gt;0,summary!$C$10/28.8/0.947817,""))</f>
        <v/>
      </c>
      <c r="AV44">
        <f t="array" ref="AV44">IF($D15,IFERROR((SUMPRODUCT((economics!$AG$2:$AG$167=$B44)*(economics!$D$2:$D$167="whr")*economics!$AH$2:$AH$167*(_xlfn.NORM.DIST(AV$3,economics!$AK$2:$AK$167,economics!$AJ$2:$AJ$167,TRUE)-_xlfn.NORM.DIST(AV$30,economics!$AK$2:$AK$167,economics!$AJ$2:$AJ$167,TRUE))*economics!$AM$2:$AM$167)+$CR15*(_xlfn.NORM.DIST(AV$3,$CU15,0.3*$CU15,TRUE)-_xlfn.NORM.DIST(AV$30,$CU15,0.3*$CU15,TRUE))*summary!$C$7/28.8/0.947817+$CS15*(_xlfn.NORM.DIST(AV$3,$CV15,0.3*$CV15,TRUE)-_xlfn.NORM.DIST(AV$30,$CV15,0.3*$CV15,TRUE))*summary!$C$6/28.8/0.947817)/(SUMPRODUCT((economics!$AG$2:$AG$167=$B44)*(economics!$D$2:$D$167="whr")*economics!$AH$2:$AH$167*(_xlfn.NORM.DIST(AV$3,economics!$AK$2:$AK$167,economics!$AJ$2:$AJ$167,TRUE)-_xlfn.NORM.DIST(AV$30,economics!$AK$2:$AK$167,economics!$AJ$2:$AJ$167,TRUE)))+$CR15*(_xlfn.NORM.DIST(AV$3,$CU15,0.3*$CU15,TRUE)-_xlfn.NORM.DIST(AV$30,$CU15,0.3*$CU15,TRUE))+$CS15*(_xlfn.NORM.DIST(AV$3,$CV15,0.3*$CV15,TRUE)-_xlfn.NORM.DIST(AV$30,$CV15,0.3*$CV15,TRUE))),""),IF($C15&gt;0,summary!$C$10/28.8/0.947817,""))</f>
        <v/>
      </c>
      <c r="AW44">
        <f t="array" ref="AW44">IF($D15,IFERROR((SUMPRODUCT((economics!$AG$2:$AG$167=$B44)*(economics!$D$2:$D$167="whr")*economics!$AH$2:$AH$167*(_xlfn.NORM.DIST(AW$3,economics!$AK$2:$AK$167,economics!$AJ$2:$AJ$167,TRUE)-_xlfn.NORM.DIST(AW$30,economics!$AK$2:$AK$167,economics!$AJ$2:$AJ$167,TRUE))*economics!$AM$2:$AM$167)+$CR15*(_xlfn.NORM.DIST(AW$3,$CU15,0.3*$CU15,TRUE)-_xlfn.NORM.DIST(AW$30,$CU15,0.3*$CU15,TRUE))*summary!$C$7/28.8/0.947817+$CS15*(_xlfn.NORM.DIST(AW$3,$CV15,0.3*$CV15,TRUE)-_xlfn.NORM.DIST(AW$30,$CV15,0.3*$CV15,TRUE))*summary!$C$6/28.8/0.947817)/(SUMPRODUCT((economics!$AG$2:$AG$167=$B44)*(economics!$D$2:$D$167="whr")*economics!$AH$2:$AH$167*(_xlfn.NORM.DIST(AW$3,economics!$AK$2:$AK$167,economics!$AJ$2:$AJ$167,TRUE)-_xlfn.NORM.DIST(AW$30,economics!$AK$2:$AK$167,economics!$AJ$2:$AJ$167,TRUE)))+$CR15*(_xlfn.NORM.DIST(AW$3,$CU15,0.3*$CU15,TRUE)-_xlfn.NORM.DIST(AW$30,$CU15,0.3*$CU15,TRUE))+$CS15*(_xlfn.NORM.DIST(AW$3,$CV15,0.3*$CV15,TRUE)-_xlfn.NORM.DIST(AW$30,$CV15,0.3*$CV15,TRUE))),""),IF($C15&gt;0,summary!$C$10/28.8/0.947817,""))</f>
        <v/>
      </c>
      <c r="AX44">
        <f t="array" ref="AX44">IF($D15,IFERROR((SUMPRODUCT((economics!$AG$2:$AG$167=$B44)*(economics!$D$2:$D$167="whr")*economics!$AH$2:$AH$167*(_xlfn.NORM.DIST(AX$3,economics!$AK$2:$AK$167,economics!$AJ$2:$AJ$167,TRUE)-_xlfn.NORM.DIST(AX$30,economics!$AK$2:$AK$167,economics!$AJ$2:$AJ$167,TRUE))*economics!$AM$2:$AM$167)+$CR15*(_xlfn.NORM.DIST(AX$3,$CU15,0.3*$CU15,TRUE)-_xlfn.NORM.DIST(AX$30,$CU15,0.3*$CU15,TRUE))*summary!$C$7/28.8/0.947817+$CS15*(_xlfn.NORM.DIST(AX$3,$CV15,0.3*$CV15,TRUE)-_xlfn.NORM.DIST(AX$30,$CV15,0.3*$CV15,TRUE))*summary!$C$6/28.8/0.947817)/(SUMPRODUCT((economics!$AG$2:$AG$167=$B44)*(economics!$D$2:$D$167="whr")*economics!$AH$2:$AH$167*(_xlfn.NORM.DIST(AX$3,economics!$AK$2:$AK$167,economics!$AJ$2:$AJ$167,TRUE)-_xlfn.NORM.DIST(AX$30,economics!$AK$2:$AK$167,economics!$AJ$2:$AJ$167,TRUE)))+$CR15*(_xlfn.NORM.DIST(AX$3,$CU15,0.3*$CU15,TRUE)-_xlfn.NORM.DIST(AX$30,$CU15,0.3*$CU15,TRUE))+$CS15*(_xlfn.NORM.DIST(AX$3,$CV15,0.3*$CV15,TRUE)-_xlfn.NORM.DIST(AX$30,$CV15,0.3*$CV15,TRUE))),""),IF($C15&gt;0,summary!$C$10/28.8/0.947817,""))</f>
        <v/>
      </c>
      <c r="AY44">
        <f t="array" ref="AY44">IF($D15,IFERROR((SUMPRODUCT((economics!$AG$2:$AG$167=$B44)*(economics!$D$2:$D$167="whr")*economics!$AH$2:$AH$167*(_xlfn.NORM.DIST(AY$3,economics!$AK$2:$AK$167,economics!$AJ$2:$AJ$167,TRUE)-_xlfn.NORM.DIST(AY$30,economics!$AK$2:$AK$167,economics!$AJ$2:$AJ$167,TRUE))*economics!$AM$2:$AM$167)+$CR15*(_xlfn.NORM.DIST(AY$3,$CU15,0.3*$CU15,TRUE)-_xlfn.NORM.DIST(AY$30,$CU15,0.3*$CU15,TRUE))*summary!$C$7/28.8/0.947817+$CS15*(_xlfn.NORM.DIST(AY$3,$CV15,0.3*$CV15,TRUE)-_xlfn.NORM.DIST(AY$30,$CV15,0.3*$CV15,TRUE))*summary!$C$6/28.8/0.947817)/(SUMPRODUCT((economics!$AG$2:$AG$167=$B44)*(economics!$D$2:$D$167="whr")*economics!$AH$2:$AH$167*(_xlfn.NORM.DIST(AY$3,economics!$AK$2:$AK$167,economics!$AJ$2:$AJ$167,TRUE)-_xlfn.NORM.DIST(AY$30,economics!$AK$2:$AK$167,economics!$AJ$2:$AJ$167,TRUE)))+$CR15*(_xlfn.NORM.DIST(AY$3,$CU15,0.3*$CU15,TRUE)-_xlfn.NORM.DIST(AY$30,$CU15,0.3*$CU15,TRUE))+$CS15*(_xlfn.NORM.DIST(AY$3,$CV15,0.3*$CV15,TRUE)-_xlfn.NORM.DIST(AY$30,$CV15,0.3*$CV15,TRUE))),""),IF($C15&gt;0,summary!$C$10/28.8/0.947817,""))</f>
        <v/>
      </c>
      <c r="AZ44">
        <f t="array" ref="AZ44">IF($D15,IFERROR((SUMPRODUCT((economics!$AG$2:$AG$167=$B44)*(economics!$D$2:$D$167="whr")*economics!$AH$2:$AH$167*(_xlfn.NORM.DIST(AZ$3,economics!$AK$2:$AK$167,economics!$AJ$2:$AJ$167,TRUE)-_xlfn.NORM.DIST(AZ$30,economics!$AK$2:$AK$167,economics!$AJ$2:$AJ$167,TRUE))*economics!$AM$2:$AM$167)+$CR15*(_xlfn.NORM.DIST(AZ$3,$CU15,0.3*$CU15,TRUE)-_xlfn.NORM.DIST(AZ$30,$CU15,0.3*$CU15,TRUE))*summary!$C$7/28.8/0.947817+$CS15*(_xlfn.NORM.DIST(AZ$3,$CV15,0.3*$CV15,TRUE)-_xlfn.NORM.DIST(AZ$30,$CV15,0.3*$CV15,TRUE))*summary!$C$6/28.8/0.947817)/(SUMPRODUCT((economics!$AG$2:$AG$167=$B44)*(economics!$D$2:$D$167="whr")*economics!$AH$2:$AH$167*(_xlfn.NORM.DIST(AZ$3,economics!$AK$2:$AK$167,economics!$AJ$2:$AJ$167,TRUE)-_xlfn.NORM.DIST(AZ$30,economics!$AK$2:$AK$167,economics!$AJ$2:$AJ$167,TRUE)))+$CR15*(_xlfn.NORM.DIST(AZ$3,$CU15,0.3*$CU15,TRUE)-_xlfn.NORM.DIST(AZ$30,$CU15,0.3*$CU15,TRUE))+$CS15*(_xlfn.NORM.DIST(AZ$3,$CV15,0.3*$CV15,TRUE)-_xlfn.NORM.DIST(AZ$30,$CV15,0.3*$CV15,TRUE))),""),IF($C15&gt;0,summary!$C$10/28.8/0.947817,""))</f>
        <v/>
      </c>
      <c r="BA44">
        <f t="array" ref="BA44">IF($D15,IFERROR((SUMPRODUCT((economics!$AG$2:$AG$167=$B44)*(economics!$D$2:$D$167="whr")*economics!$AH$2:$AH$167*(_xlfn.NORM.DIST(BA$3,economics!$AK$2:$AK$167,economics!$AJ$2:$AJ$167,TRUE)-_xlfn.NORM.DIST(BA$30,economics!$AK$2:$AK$167,economics!$AJ$2:$AJ$167,TRUE))*economics!$AM$2:$AM$167)+$CR15*(_xlfn.NORM.DIST(BA$3,$CU15,0.3*$CU15,TRUE)-_xlfn.NORM.DIST(BA$30,$CU15,0.3*$CU15,TRUE))*summary!$C$7/28.8/0.947817+$CS15*(_xlfn.NORM.DIST(BA$3,$CV15,0.3*$CV15,TRUE)-_xlfn.NORM.DIST(BA$30,$CV15,0.3*$CV15,TRUE))*summary!$C$6/28.8/0.947817)/(SUMPRODUCT((economics!$AG$2:$AG$167=$B44)*(economics!$D$2:$D$167="whr")*economics!$AH$2:$AH$167*(_xlfn.NORM.DIST(BA$3,economics!$AK$2:$AK$167,economics!$AJ$2:$AJ$167,TRUE)-_xlfn.NORM.DIST(BA$30,economics!$AK$2:$AK$167,economics!$AJ$2:$AJ$167,TRUE)))+$CR15*(_xlfn.NORM.DIST(BA$3,$CU15,0.3*$CU15,TRUE)-_xlfn.NORM.DIST(BA$30,$CU15,0.3*$CU15,TRUE))+$CS15*(_xlfn.NORM.DIST(BA$3,$CV15,0.3*$CV15,TRUE)-_xlfn.NORM.DIST(BA$30,$CV15,0.3*$CV15,TRUE))),""),IF($C15&gt;0,summary!$C$10/28.8/0.947817,""))</f>
        <v/>
      </c>
      <c r="BB44">
        <f t="array" ref="BB44">IF($D15,IFERROR((SUMPRODUCT((economics!$AG$2:$AG$167=$B44)*(economics!$D$2:$D$167="whr")*economics!$AH$2:$AH$167*(_xlfn.NORM.DIST(BB$3,economics!$AK$2:$AK$167,economics!$AJ$2:$AJ$167,TRUE)-_xlfn.NORM.DIST(BB$30,economics!$AK$2:$AK$167,economics!$AJ$2:$AJ$167,TRUE))*economics!$AM$2:$AM$167)+$CR15*(_xlfn.NORM.DIST(BB$3,$CU15,0.3*$CU15,TRUE)-_xlfn.NORM.DIST(BB$30,$CU15,0.3*$CU15,TRUE))*summary!$C$7/28.8/0.947817+$CS15*(_xlfn.NORM.DIST(BB$3,$CV15,0.3*$CV15,TRUE)-_xlfn.NORM.DIST(BB$30,$CV15,0.3*$CV15,TRUE))*summary!$C$6/28.8/0.947817)/(SUMPRODUCT((economics!$AG$2:$AG$167=$B44)*(economics!$D$2:$D$167="whr")*economics!$AH$2:$AH$167*(_xlfn.NORM.DIST(BB$3,economics!$AK$2:$AK$167,economics!$AJ$2:$AJ$167,TRUE)-_xlfn.NORM.DIST(BB$30,economics!$AK$2:$AK$167,economics!$AJ$2:$AJ$167,TRUE)))+$CR15*(_xlfn.NORM.DIST(BB$3,$CU15,0.3*$CU15,TRUE)-_xlfn.NORM.DIST(BB$30,$CU15,0.3*$CU15,TRUE))+$CS15*(_xlfn.NORM.DIST(BB$3,$CV15,0.3*$CV15,TRUE)-_xlfn.NORM.DIST(BB$30,$CV15,0.3*$CV15,TRUE))),""),IF($C15&gt;0,summary!$C$10/28.8/0.947817,""))</f>
        <v/>
      </c>
      <c r="BC44">
        <f t="array" ref="BC44">IF($D15,IFERROR((SUMPRODUCT((economics!$AG$2:$AG$167=$B44)*(economics!$D$2:$D$167="whr")*economics!$AH$2:$AH$167*(_xlfn.NORM.DIST(BC$3,economics!$AK$2:$AK$167,economics!$AJ$2:$AJ$167,TRUE)-_xlfn.NORM.DIST(BC$30,economics!$AK$2:$AK$167,economics!$AJ$2:$AJ$167,TRUE))*economics!$AM$2:$AM$167)+$CR15*(_xlfn.NORM.DIST(BC$3,$CU15,0.3*$CU15,TRUE)-_xlfn.NORM.DIST(BC$30,$CU15,0.3*$CU15,TRUE))*summary!$C$7/28.8/0.947817+$CS15*(_xlfn.NORM.DIST(BC$3,$CV15,0.3*$CV15,TRUE)-_xlfn.NORM.DIST(BC$30,$CV15,0.3*$CV15,TRUE))*summary!$C$6/28.8/0.947817)/(SUMPRODUCT((economics!$AG$2:$AG$167=$B44)*(economics!$D$2:$D$167="whr")*economics!$AH$2:$AH$167*(_xlfn.NORM.DIST(BC$3,economics!$AK$2:$AK$167,economics!$AJ$2:$AJ$167,TRUE)-_xlfn.NORM.DIST(BC$30,economics!$AK$2:$AK$167,economics!$AJ$2:$AJ$167,TRUE)))+$CR15*(_xlfn.NORM.DIST(BC$3,$CU15,0.3*$CU15,TRUE)-_xlfn.NORM.DIST(BC$30,$CU15,0.3*$CU15,TRUE))+$CS15*(_xlfn.NORM.DIST(BC$3,$CV15,0.3*$CV15,TRUE)-_xlfn.NORM.DIST(BC$30,$CV15,0.3*$CV15,TRUE))),""),IF($C15&gt;0,summary!$C$10/28.8/0.947817,""))</f>
        <v/>
      </c>
      <c r="BD44">
        <f t="array" ref="BD44">IF($D15,IFERROR((SUMPRODUCT((economics!$AG$2:$AG$167=$B44)*(economics!$D$2:$D$167="whr")*economics!$AH$2:$AH$167*(_xlfn.NORM.DIST(BD$3,economics!$AK$2:$AK$167,economics!$AJ$2:$AJ$167,TRUE)-_xlfn.NORM.DIST(BD$30,economics!$AK$2:$AK$167,economics!$AJ$2:$AJ$167,TRUE))*economics!$AM$2:$AM$167)+$CR15*(_xlfn.NORM.DIST(BD$3,$CU15,0.3*$CU15,TRUE)-_xlfn.NORM.DIST(BD$30,$CU15,0.3*$CU15,TRUE))*summary!$C$7/28.8/0.947817+$CS15*(_xlfn.NORM.DIST(BD$3,$CV15,0.3*$CV15,TRUE)-_xlfn.NORM.DIST(BD$30,$CV15,0.3*$CV15,TRUE))*summary!$C$6/28.8/0.947817)/(SUMPRODUCT((economics!$AG$2:$AG$167=$B44)*(economics!$D$2:$D$167="whr")*economics!$AH$2:$AH$167*(_xlfn.NORM.DIST(BD$3,economics!$AK$2:$AK$167,economics!$AJ$2:$AJ$167,TRUE)-_xlfn.NORM.DIST(BD$30,economics!$AK$2:$AK$167,economics!$AJ$2:$AJ$167,TRUE)))+$CR15*(_xlfn.NORM.DIST(BD$3,$CU15,0.3*$CU15,TRUE)-_xlfn.NORM.DIST(BD$30,$CU15,0.3*$CU15,TRUE))+$CS15*(_xlfn.NORM.DIST(BD$3,$CV15,0.3*$CV15,TRUE)-_xlfn.NORM.DIST(BD$30,$CV15,0.3*$CV15,TRUE))),""),IF($C15&gt;0,summary!$C$10/28.8/0.947817,""))</f>
        <v/>
      </c>
      <c r="BE44">
        <f t="array" ref="BE44">IF($D15,IFERROR((SUMPRODUCT((economics!$AG$2:$AG$167=$B44)*(economics!$D$2:$D$167="whr")*economics!$AH$2:$AH$167*(_xlfn.NORM.DIST(BE$3,economics!$AK$2:$AK$167,economics!$AJ$2:$AJ$167,TRUE)-_xlfn.NORM.DIST(BE$30,economics!$AK$2:$AK$167,economics!$AJ$2:$AJ$167,TRUE))*economics!$AM$2:$AM$167)+$CR15*(_xlfn.NORM.DIST(BE$3,$CU15,0.3*$CU15,TRUE)-_xlfn.NORM.DIST(BE$30,$CU15,0.3*$CU15,TRUE))*summary!$C$7/28.8/0.947817+$CS15*(_xlfn.NORM.DIST(BE$3,$CV15,0.3*$CV15,TRUE)-_xlfn.NORM.DIST(BE$30,$CV15,0.3*$CV15,TRUE))*summary!$C$6/28.8/0.947817)/(SUMPRODUCT((economics!$AG$2:$AG$167=$B44)*(economics!$D$2:$D$167="whr")*economics!$AH$2:$AH$167*(_xlfn.NORM.DIST(BE$3,economics!$AK$2:$AK$167,economics!$AJ$2:$AJ$167,TRUE)-_xlfn.NORM.DIST(BE$30,economics!$AK$2:$AK$167,economics!$AJ$2:$AJ$167,TRUE)))+$CR15*(_xlfn.NORM.DIST(BE$3,$CU15,0.3*$CU15,TRUE)-_xlfn.NORM.DIST(BE$30,$CU15,0.3*$CU15,TRUE))+$CS15*(_xlfn.NORM.DIST(BE$3,$CV15,0.3*$CV15,TRUE)-_xlfn.NORM.DIST(BE$30,$CV15,0.3*$CV15,TRUE))),""),IF($C15&gt;0,summary!$C$10/28.8/0.947817,""))</f>
        <v/>
      </c>
      <c r="BF44">
        <f t="array" ref="BF44">IF($D15,IFERROR((SUMPRODUCT((economics!$AG$2:$AG$167=$B44)*(economics!$D$2:$D$167="whr")*economics!$AH$2:$AH$167*(_xlfn.NORM.DIST(BF$3,economics!$AK$2:$AK$167,economics!$AJ$2:$AJ$167,TRUE)-_xlfn.NORM.DIST(BF$30,economics!$AK$2:$AK$167,economics!$AJ$2:$AJ$167,TRUE))*economics!$AM$2:$AM$167)+$CR15*(_xlfn.NORM.DIST(BF$3,$CU15,0.3*$CU15,TRUE)-_xlfn.NORM.DIST(BF$30,$CU15,0.3*$CU15,TRUE))*summary!$C$7/28.8/0.947817+$CS15*(_xlfn.NORM.DIST(BF$3,$CV15,0.3*$CV15,TRUE)-_xlfn.NORM.DIST(BF$30,$CV15,0.3*$CV15,TRUE))*summary!$C$6/28.8/0.947817)/(SUMPRODUCT((economics!$AG$2:$AG$167=$B44)*(economics!$D$2:$D$167="whr")*economics!$AH$2:$AH$167*(_xlfn.NORM.DIST(BF$3,economics!$AK$2:$AK$167,economics!$AJ$2:$AJ$167,TRUE)-_xlfn.NORM.DIST(BF$30,economics!$AK$2:$AK$167,economics!$AJ$2:$AJ$167,TRUE)))+$CR15*(_xlfn.NORM.DIST(BF$3,$CU15,0.3*$CU15,TRUE)-_xlfn.NORM.DIST(BF$30,$CU15,0.3*$CU15,TRUE))+$CS15*(_xlfn.NORM.DIST(BF$3,$CV15,0.3*$CV15,TRUE)-_xlfn.NORM.DIST(BF$30,$CV15,0.3*$CV15,TRUE))),""),IF($C15&gt;0,summary!$C$10/28.8/0.947817,""))</f>
        <v/>
      </c>
      <c r="BG44">
        <f t="array" ref="BG44">IF($D15,IFERROR((SUMPRODUCT((economics!$AG$2:$AG$167=$B44)*(economics!$D$2:$D$167="whr")*economics!$AH$2:$AH$167*(_xlfn.NORM.DIST(BG$3,economics!$AK$2:$AK$167,economics!$AJ$2:$AJ$167,TRUE)-_xlfn.NORM.DIST(BG$30,economics!$AK$2:$AK$167,economics!$AJ$2:$AJ$167,TRUE))*economics!$AM$2:$AM$167)+$CR15*(_xlfn.NORM.DIST(BG$3,$CU15,0.3*$CU15,TRUE)-_xlfn.NORM.DIST(BG$30,$CU15,0.3*$CU15,TRUE))*summary!$C$7/28.8/0.947817+$CS15*(_xlfn.NORM.DIST(BG$3,$CV15,0.3*$CV15,TRUE)-_xlfn.NORM.DIST(BG$30,$CV15,0.3*$CV15,TRUE))*summary!$C$6/28.8/0.947817)/(SUMPRODUCT((economics!$AG$2:$AG$167=$B44)*(economics!$D$2:$D$167="whr")*economics!$AH$2:$AH$167*(_xlfn.NORM.DIST(BG$3,economics!$AK$2:$AK$167,economics!$AJ$2:$AJ$167,TRUE)-_xlfn.NORM.DIST(BG$30,economics!$AK$2:$AK$167,economics!$AJ$2:$AJ$167,TRUE)))+$CR15*(_xlfn.NORM.DIST(BG$3,$CU15,0.3*$CU15,TRUE)-_xlfn.NORM.DIST(BG$30,$CU15,0.3*$CU15,TRUE))+$CS15*(_xlfn.NORM.DIST(BG$3,$CV15,0.3*$CV15,TRUE)-_xlfn.NORM.DIST(BG$30,$CV15,0.3*$CV15,TRUE))),""),IF($C15&gt;0,summary!$C$10/28.8/0.947817,""))</f>
        <v/>
      </c>
      <c r="BH44">
        <f t="array" ref="BH44">IF($D15,IFERROR((SUMPRODUCT((economics!$AG$2:$AG$167=$B44)*(economics!$D$2:$D$167="whr")*economics!$AH$2:$AH$167*(_xlfn.NORM.DIST(BH$3,economics!$AK$2:$AK$167,economics!$AJ$2:$AJ$167,TRUE)-_xlfn.NORM.DIST(BH$30,economics!$AK$2:$AK$167,economics!$AJ$2:$AJ$167,TRUE))*economics!$AM$2:$AM$167)+$CR15*(_xlfn.NORM.DIST(BH$3,$CU15,0.3*$CU15,TRUE)-_xlfn.NORM.DIST(BH$30,$CU15,0.3*$CU15,TRUE))*summary!$C$7/28.8/0.947817+$CS15*(_xlfn.NORM.DIST(BH$3,$CV15,0.3*$CV15,TRUE)-_xlfn.NORM.DIST(BH$30,$CV15,0.3*$CV15,TRUE))*summary!$C$6/28.8/0.947817)/(SUMPRODUCT((economics!$AG$2:$AG$167=$B44)*(economics!$D$2:$D$167="whr")*economics!$AH$2:$AH$167*(_xlfn.NORM.DIST(BH$3,economics!$AK$2:$AK$167,economics!$AJ$2:$AJ$167,TRUE)-_xlfn.NORM.DIST(BH$30,economics!$AK$2:$AK$167,economics!$AJ$2:$AJ$167,TRUE)))+$CR15*(_xlfn.NORM.DIST(BH$3,$CU15,0.3*$CU15,TRUE)-_xlfn.NORM.DIST(BH$30,$CU15,0.3*$CU15,TRUE))+$CS15*(_xlfn.NORM.DIST(BH$3,$CV15,0.3*$CV15,TRUE)-_xlfn.NORM.DIST(BH$30,$CV15,0.3*$CV15,TRUE))),""),IF($C15&gt;0,summary!$C$10/28.8/0.947817,""))</f>
        <v/>
      </c>
      <c r="BI44">
        <f t="array" ref="BI44">IF($D15,IFERROR((SUMPRODUCT((economics!$AG$2:$AG$167=$B44)*(economics!$D$2:$D$167="whr")*economics!$AH$2:$AH$167*(_xlfn.NORM.DIST(BI$3,economics!$AK$2:$AK$167,economics!$AJ$2:$AJ$167,TRUE)-_xlfn.NORM.DIST(BI$30,economics!$AK$2:$AK$167,economics!$AJ$2:$AJ$167,TRUE))*economics!$AM$2:$AM$167)+$CR15*(_xlfn.NORM.DIST(BI$3,$CU15,0.3*$CU15,TRUE)-_xlfn.NORM.DIST(BI$30,$CU15,0.3*$CU15,TRUE))*summary!$C$7/28.8/0.947817+$CS15*(_xlfn.NORM.DIST(BI$3,$CV15,0.3*$CV15,TRUE)-_xlfn.NORM.DIST(BI$30,$CV15,0.3*$CV15,TRUE))*summary!$C$6/28.8/0.947817)/(SUMPRODUCT((economics!$AG$2:$AG$167=$B44)*(economics!$D$2:$D$167="whr")*economics!$AH$2:$AH$167*(_xlfn.NORM.DIST(BI$3,economics!$AK$2:$AK$167,economics!$AJ$2:$AJ$167,TRUE)-_xlfn.NORM.DIST(BI$30,economics!$AK$2:$AK$167,economics!$AJ$2:$AJ$167,TRUE)))+$CR15*(_xlfn.NORM.DIST(BI$3,$CU15,0.3*$CU15,TRUE)-_xlfn.NORM.DIST(BI$30,$CU15,0.3*$CU15,TRUE))+$CS15*(_xlfn.NORM.DIST(BI$3,$CV15,0.3*$CV15,TRUE)-_xlfn.NORM.DIST(BI$30,$CV15,0.3*$CV15,TRUE))),""),IF($C15&gt;0,summary!$C$10/28.8/0.947817,""))</f>
        <v/>
      </c>
      <c r="BJ44">
        <f t="array" ref="BJ44">IF($D15,IFERROR((SUMPRODUCT((economics!$AG$2:$AG$167=$B44)*(economics!$D$2:$D$167="whr")*economics!$AH$2:$AH$167*(_xlfn.NORM.DIST(BJ$3,economics!$AK$2:$AK$167,economics!$AJ$2:$AJ$167,TRUE)-_xlfn.NORM.DIST(BJ$30,economics!$AK$2:$AK$167,economics!$AJ$2:$AJ$167,TRUE))*economics!$AM$2:$AM$167)+$CR15*(_xlfn.NORM.DIST(BJ$3,$CU15,0.3*$CU15,TRUE)-_xlfn.NORM.DIST(BJ$30,$CU15,0.3*$CU15,TRUE))*summary!$C$7/28.8/0.947817+$CS15*(_xlfn.NORM.DIST(BJ$3,$CV15,0.3*$CV15,TRUE)-_xlfn.NORM.DIST(BJ$30,$CV15,0.3*$CV15,TRUE))*summary!$C$6/28.8/0.947817)/(SUMPRODUCT((economics!$AG$2:$AG$167=$B44)*(economics!$D$2:$D$167="whr")*economics!$AH$2:$AH$167*(_xlfn.NORM.DIST(BJ$3,economics!$AK$2:$AK$167,economics!$AJ$2:$AJ$167,TRUE)-_xlfn.NORM.DIST(BJ$30,economics!$AK$2:$AK$167,economics!$AJ$2:$AJ$167,TRUE)))+$CR15*(_xlfn.NORM.DIST(BJ$3,$CU15,0.3*$CU15,TRUE)-_xlfn.NORM.DIST(BJ$30,$CU15,0.3*$CU15,TRUE))+$CS15*(_xlfn.NORM.DIST(BJ$3,$CV15,0.3*$CV15,TRUE)-_xlfn.NORM.DIST(BJ$30,$CV15,0.3*$CV15,TRUE))),""),IF($C15&gt;0,summary!$C$10/28.8/0.947817,""))</f>
        <v/>
      </c>
      <c r="BK44">
        <f t="array" ref="BK44">IF($D15,IFERROR((SUMPRODUCT((economics!$AG$2:$AG$167=$B44)*(economics!$D$2:$D$167="whr")*economics!$AH$2:$AH$167*(_xlfn.NORM.DIST(BK$3,economics!$AK$2:$AK$167,economics!$AJ$2:$AJ$167,TRUE)-_xlfn.NORM.DIST(BK$30,economics!$AK$2:$AK$167,economics!$AJ$2:$AJ$167,TRUE))*economics!$AM$2:$AM$167)+$CR15*(_xlfn.NORM.DIST(BK$3,$CU15,0.3*$CU15,TRUE)-_xlfn.NORM.DIST(BK$30,$CU15,0.3*$CU15,TRUE))*summary!$C$7/28.8/0.947817+$CS15*(_xlfn.NORM.DIST(BK$3,$CV15,0.3*$CV15,TRUE)-_xlfn.NORM.DIST(BK$30,$CV15,0.3*$CV15,TRUE))*summary!$C$6/28.8/0.947817)/(SUMPRODUCT((economics!$AG$2:$AG$167=$B44)*(economics!$D$2:$D$167="whr")*economics!$AH$2:$AH$167*(_xlfn.NORM.DIST(BK$3,economics!$AK$2:$AK$167,economics!$AJ$2:$AJ$167,TRUE)-_xlfn.NORM.DIST(BK$30,economics!$AK$2:$AK$167,economics!$AJ$2:$AJ$167,TRUE)))+$CR15*(_xlfn.NORM.DIST(BK$3,$CU15,0.3*$CU15,TRUE)-_xlfn.NORM.DIST(BK$30,$CU15,0.3*$CU15,TRUE))+$CS15*(_xlfn.NORM.DIST(BK$3,$CV15,0.3*$CV15,TRUE)-_xlfn.NORM.DIST(BK$30,$CV15,0.3*$CV15,TRUE))),""),IF($C15&gt;0,summary!$C$10/28.8/0.947817,""))</f>
        <v/>
      </c>
      <c r="BL44">
        <f t="array" ref="BL44">IF($D15,IFERROR((SUMPRODUCT((economics!$AG$2:$AG$167=$B44)*(economics!$D$2:$D$167="whr")*economics!$AH$2:$AH$167*(_xlfn.NORM.DIST(BL$3,economics!$AK$2:$AK$167,economics!$AJ$2:$AJ$167,TRUE)-_xlfn.NORM.DIST(BL$30,economics!$AK$2:$AK$167,economics!$AJ$2:$AJ$167,TRUE))*economics!$AM$2:$AM$167)+$CR15*(_xlfn.NORM.DIST(BL$3,$CU15,0.3*$CU15,TRUE)-_xlfn.NORM.DIST(BL$30,$CU15,0.3*$CU15,TRUE))*summary!$C$7/28.8/0.947817+$CS15*(_xlfn.NORM.DIST(BL$3,$CV15,0.3*$CV15,TRUE)-_xlfn.NORM.DIST(BL$30,$CV15,0.3*$CV15,TRUE))*summary!$C$6/28.8/0.947817)/(SUMPRODUCT((economics!$AG$2:$AG$167=$B44)*(economics!$D$2:$D$167="whr")*economics!$AH$2:$AH$167*(_xlfn.NORM.DIST(BL$3,economics!$AK$2:$AK$167,economics!$AJ$2:$AJ$167,TRUE)-_xlfn.NORM.DIST(BL$30,economics!$AK$2:$AK$167,economics!$AJ$2:$AJ$167,TRUE)))+$CR15*(_xlfn.NORM.DIST(BL$3,$CU15,0.3*$CU15,TRUE)-_xlfn.NORM.DIST(BL$30,$CU15,0.3*$CU15,TRUE))+$CS15*(_xlfn.NORM.DIST(BL$3,$CV15,0.3*$CV15,TRUE)-_xlfn.NORM.DIST(BL$30,$CV15,0.3*$CV15,TRUE))),""),IF($C15&gt;0,summary!$C$10/28.8/0.947817,""))</f>
        <v/>
      </c>
      <c r="BM44">
        <f t="array" ref="BM44">IF($D15,IFERROR((SUMPRODUCT((economics!$AG$2:$AG$167=$B44)*(economics!$D$2:$D$167="whr")*economics!$AH$2:$AH$167*(_xlfn.NORM.DIST(BM$3,economics!$AK$2:$AK$167,economics!$AJ$2:$AJ$167,TRUE)-_xlfn.NORM.DIST(BM$30,economics!$AK$2:$AK$167,economics!$AJ$2:$AJ$167,TRUE))*economics!$AM$2:$AM$167)+$CR15*(_xlfn.NORM.DIST(BM$3,$CU15,0.3*$CU15,TRUE)-_xlfn.NORM.DIST(BM$30,$CU15,0.3*$CU15,TRUE))*summary!$C$7/28.8/0.947817+$CS15*(_xlfn.NORM.DIST(BM$3,$CV15,0.3*$CV15,TRUE)-_xlfn.NORM.DIST(BM$30,$CV15,0.3*$CV15,TRUE))*summary!$C$6/28.8/0.947817)/(SUMPRODUCT((economics!$AG$2:$AG$167=$B44)*(economics!$D$2:$D$167="whr")*economics!$AH$2:$AH$167*(_xlfn.NORM.DIST(BM$3,economics!$AK$2:$AK$167,economics!$AJ$2:$AJ$167,TRUE)-_xlfn.NORM.DIST(BM$30,economics!$AK$2:$AK$167,economics!$AJ$2:$AJ$167,TRUE)))+$CR15*(_xlfn.NORM.DIST(BM$3,$CU15,0.3*$CU15,TRUE)-_xlfn.NORM.DIST(BM$30,$CU15,0.3*$CU15,TRUE))+$CS15*(_xlfn.NORM.DIST(BM$3,$CV15,0.3*$CV15,TRUE)-_xlfn.NORM.DIST(BM$30,$CV15,0.3*$CV15,TRUE))),""),IF($C15&gt;0,summary!$C$10/28.8/0.947817,""))</f>
        <v/>
      </c>
      <c r="BN44">
        <f t="array" ref="BN44">IF($D15,IFERROR((SUMPRODUCT((economics!$AG$2:$AG$167=$B44)*(economics!$D$2:$D$167="whr")*economics!$AH$2:$AH$167*(_xlfn.NORM.DIST(BN$3,economics!$AK$2:$AK$167,economics!$AJ$2:$AJ$167,TRUE)-_xlfn.NORM.DIST(BN$30,economics!$AK$2:$AK$167,economics!$AJ$2:$AJ$167,TRUE))*economics!$AM$2:$AM$167)+$CR15*(_xlfn.NORM.DIST(BN$3,$CU15,0.3*$CU15,TRUE)-_xlfn.NORM.DIST(BN$30,$CU15,0.3*$CU15,TRUE))*summary!$C$7/28.8/0.947817+$CS15*(_xlfn.NORM.DIST(BN$3,$CV15,0.3*$CV15,TRUE)-_xlfn.NORM.DIST(BN$30,$CV15,0.3*$CV15,TRUE))*summary!$C$6/28.8/0.947817)/(SUMPRODUCT((economics!$AG$2:$AG$167=$B44)*(economics!$D$2:$D$167="whr")*economics!$AH$2:$AH$167*(_xlfn.NORM.DIST(BN$3,economics!$AK$2:$AK$167,economics!$AJ$2:$AJ$167,TRUE)-_xlfn.NORM.DIST(BN$30,economics!$AK$2:$AK$167,economics!$AJ$2:$AJ$167,TRUE)))+$CR15*(_xlfn.NORM.DIST(BN$3,$CU15,0.3*$CU15,TRUE)-_xlfn.NORM.DIST(BN$30,$CU15,0.3*$CU15,TRUE))+$CS15*(_xlfn.NORM.DIST(BN$3,$CV15,0.3*$CV15,TRUE)-_xlfn.NORM.DIST(BN$30,$CV15,0.3*$CV15,TRUE))),""),IF($C15&gt;0,summary!$C$10/28.8/0.947817,""))</f>
        <v/>
      </c>
      <c r="BO44">
        <f t="array" ref="BO44">IF($D15,IFERROR((SUMPRODUCT((economics!$AG$2:$AG$167=$B44)*(economics!$D$2:$D$167="whr")*economics!$AH$2:$AH$167*(_xlfn.NORM.DIST(BO$3,economics!$AK$2:$AK$167,economics!$AJ$2:$AJ$167,TRUE)-_xlfn.NORM.DIST(BO$30,economics!$AK$2:$AK$167,economics!$AJ$2:$AJ$167,TRUE))*economics!$AM$2:$AM$167)+$CR15*(_xlfn.NORM.DIST(BO$3,$CU15,0.3*$CU15,TRUE)-_xlfn.NORM.DIST(BO$30,$CU15,0.3*$CU15,TRUE))*summary!$C$7/28.8/0.947817+$CS15*(_xlfn.NORM.DIST(BO$3,$CV15,0.3*$CV15,TRUE)-_xlfn.NORM.DIST(BO$30,$CV15,0.3*$CV15,TRUE))*summary!$C$6/28.8/0.947817)/(SUMPRODUCT((economics!$AG$2:$AG$167=$B44)*(economics!$D$2:$D$167="whr")*economics!$AH$2:$AH$167*(_xlfn.NORM.DIST(BO$3,economics!$AK$2:$AK$167,economics!$AJ$2:$AJ$167,TRUE)-_xlfn.NORM.DIST(BO$30,economics!$AK$2:$AK$167,economics!$AJ$2:$AJ$167,TRUE)))+$CR15*(_xlfn.NORM.DIST(BO$3,$CU15,0.3*$CU15,TRUE)-_xlfn.NORM.DIST(BO$30,$CU15,0.3*$CU15,TRUE))+$CS15*(_xlfn.NORM.DIST(BO$3,$CV15,0.3*$CV15,TRUE)-_xlfn.NORM.DIST(BO$30,$CV15,0.3*$CV15,TRUE))),""),IF($C15&gt;0,summary!$C$10/28.8/0.947817,""))</f>
        <v/>
      </c>
      <c r="BP44">
        <f t="array" ref="BP44">IF($D15,IFERROR((SUMPRODUCT((economics!$AG$2:$AG$167=$B44)*(economics!$D$2:$D$167="whr")*economics!$AH$2:$AH$167*(_xlfn.NORM.DIST(BP$3,economics!$AK$2:$AK$167,economics!$AJ$2:$AJ$167,TRUE)-_xlfn.NORM.DIST(BP$30,economics!$AK$2:$AK$167,economics!$AJ$2:$AJ$167,TRUE))*economics!$AM$2:$AM$167)+$CR15*(_xlfn.NORM.DIST(BP$3,$CU15,0.3*$CU15,TRUE)-_xlfn.NORM.DIST(BP$30,$CU15,0.3*$CU15,TRUE))*summary!$C$7/28.8/0.947817+$CS15*(_xlfn.NORM.DIST(BP$3,$CV15,0.3*$CV15,TRUE)-_xlfn.NORM.DIST(BP$30,$CV15,0.3*$CV15,TRUE))*summary!$C$6/28.8/0.947817)/(SUMPRODUCT((economics!$AG$2:$AG$167=$B44)*(economics!$D$2:$D$167="whr")*economics!$AH$2:$AH$167*(_xlfn.NORM.DIST(BP$3,economics!$AK$2:$AK$167,economics!$AJ$2:$AJ$167,TRUE)-_xlfn.NORM.DIST(BP$30,economics!$AK$2:$AK$167,economics!$AJ$2:$AJ$167,TRUE)))+$CR15*(_xlfn.NORM.DIST(BP$3,$CU15,0.3*$CU15,TRUE)-_xlfn.NORM.DIST(BP$30,$CU15,0.3*$CU15,TRUE))+$CS15*(_xlfn.NORM.DIST(BP$3,$CV15,0.3*$CV15,TRUE)-_xlfn.NORM.DIST(BP$30,$CV15,0.3*$CV15,TRUE))),""),IF($C15&gt;0,summary!$C$10/28.8/0.947817,""))</f>
        <v/>
      </c>
      <c r="BQ44">
        <f t="array" ref="BQ44">IF($D15,IFERROR((SUMPRODUCT((economics!$AG$2:$AG$167=$B44)*(economics!$D$2:$D$167="whr")*economics!$AH$2:$AH$167*(_xlfn.NORM.DIST(BQ$3,economics!$AK$2:$AK$167,economics!$AJ$2:$AJ$167,TRUE)-_xlfn.NORM.DIST(BQ$30,economics!$AK$2:$AK$167,economics!$AJ$2:$AJ$167,TRUE))*economics!$AM$2:$AM$167)+$CR15*(_xlfn.NORM.DIST(BQ$3,$CU15,0.3*$CU15,TRUE)-_xlfn.NORM.DIST(BQ$30,$CU15,0.3*$CU15,TRUE))*summary!$C$7/28.8/0.947817+$CS15*(_xlfn.NORM.DIST(BQ$3,$CV15,0.3*$CV15,TRUE)-_xlfn.NORM.DIST(BQ$30,$CV15,0.3*$CV15,TRUE))*summary!$C$6/28.8/0.947817)/(SUMPRODUCT((economics!$AG$2:$AG$167=$B44)*(economics!$D$2:$D$167="whr")*economics!$AH$2:$AH$167*(_xlfn.NORM.DIST(BQ$3,economics!$AK$2:$AK$167,economics!$AJ$2:$AJ$167,TRUE)-_xlfn.NORM.DIST(BQ$30,economics!$AK$2:$AK$167,economics!$AJ$2:$AJ$167,TRUE)))+$CR15*(_xlfn.NORM.DIST(BQ$3,$CU15,0.3*$CU15,TRUE)-_xlfn.NORM.DIST(BQ$30,$CU15,0.3*$CU15,TRUE))+$CS15*(_xlfn.NORM.DIST(BQ$3,$CV15,0.3*$CV15,TRUE)-_xlfn.NORM.DIST(BQ$30,$CV15,0.3*$CV15,TRUE))),""),IF($C15&gt;0,summary!$C$10/28.8/0.947817,""))</f>
        <v/>
      </c>
      <c r="BR44">
        <f t="array" ref="BR44">IF($D15,IFERROR((SUMPRODUCT((economics!$AG$2:$AG$167=$B44)*(economics!$D$2:$D$167="whr")*economics!$AH$2:$AH$167*(_xlfn.NORM.DIST(BR$3,economics!$AK$2:$AK$167,economics!$AJ$2:$AJ$167,TRUE)-_xlfn.NORM.DIST(BR$30,economics!$AK$2:$AK$167,economics!$AJ$2:$AJ$167,TRUE))*economics!$AM$2:$AM$167)+$CR15*(_xlfn.NORM.DIST(BR$3,$CU15,0.3*$CU15,TRUE)-_xlfn.NORM.DIST(BR$30,$CU15,0.3*$CU15,TRUE))*summary!$C$7/28.8/0.947817+$CS15*(_xlfn.NORM.DIST(BR$3,$CV15,0.3*$CV15,TRUE)-_xlfn.NORM.DIST(BR$30,$CV15,0.3*$CV15,TRUE))*summary!$C$6/28.8/0.947817)/(SUMPRODUCT((economics!$AG$2:$AG$167=$B44)*(economics!$D$2:$D$167="whr")*economics!$AH$2:$AH$167*(_xlfn.NORM.DIST(BR$3,economics!$AK$2:$AK$167,economics!$AJ$2:$AJ$167,TRUE)-_xlfn.NORM.DIST(BR$30,economics!$AK$2:$AK$167,economics!$AJ$2:$AJ$167,TRUE)))+$CR15*(_xlfn.NORM.DIST(BR$3,$CU15,0.3*$CU15,TRUE)-_xlfn.NORM.DIST(BR$30,$CU15,0.3*$CU15,TRUE))+$CS15*(_xlfn.NORM.DIST(BR$3,$CV15,0.3*$CV15,TRUE)-_xlfn.NORM.DIST(BR$30,$CV15,0.3*$CV15,TRUE))),""),IF($C15&gt;0,summary!$C$10/28.8/0.947817,""))</f>
        <v/>
      </c>
      <c r="BS44">
        <f t="array" ref="BS44">IF($D15,IFERROR((SUMPRODUCT((economics!$AG$2:$AG$167=$B44)*(economics!$D$2:$D$167="whr")*economics!$AH$2:$AH$167*(_xlfn.NORM.DIST(BS$3,economics!$AK$2:$AK$167,economics!$AJ$2:$AJ$167,TRUE)-_xlfn.NORM.DIST(BS$30,economics!$AK$2:$AK$167,economics!$AJ$2:$AJ$167,TRUE))*economics!$AM$2:$AM$167)+$CR15*(_xlfn.NORM.DIST(BS$3,$CU15,0.3*$CU15,TRUE)-_xlfn.NORM.DIST(BS$30,$CU15,0.3*$CU15,TRUE))*summary!$C$7/28.8/0.947817+$CS15*(_xlfn.NORM.DIST(BS$3,$CV15,0.3*$CV15,TRUE)-_xlfn.NORM.DIST(BS$30,$CV15,0.3*$CV15,TRUE))*summary!$C$6/28.8/0.947817)/(SUMPRODUCT((economics!$AG$2:$AG$167=$B44)*(economics!$D$2:$D$167="whr")*economics!$AH$2:$AH$167*(_xlfn.NORM.DIST(BS$3,economics!$AK$2:$AK$167,economics!$AJ$2:$AJ$167,TRUE)-_xlfn.NORM.DIST(BS$30,economics!$AK$2:$AK$167,economics!$AJ$2:$AJ$167,TRUE)))+$CR15*(_xlfn.NORM.DIST(BS$3,$CU15,0.3*$CU15,TRUE)-_xlfn.NORM.DIST(BS$30,$CU15,0.3*$CU15,TRUE))+$CS15*(_xlfn.NORM.DIST(BS$3,$CV15,0.3*$CV15,TRUE)-_xlfn.NORM.DIST(BS$30,$CV15,0.3*$CV15,TRUE))),""),IF($C15&gt;0,summary!$C$10/28.8/0.947817,""))</f>
        <v/>
      </c>
      <c r="BT44">
        <f t="array" ref="BT44">IF($D15,IFERROR((SUMPRODUCT((economics!$AG$2:$AG$167=$B44)*(economics!$D$2:$D$167="whr")*economics!$AH$2:$AH$167*(_xlfn.NORM.DIST(BT$3,economics!$AK$2:$AK$167,economics!$AJ$2:$AJ$167,TRUE)-_xlfn.NORM.DIST(BT$30,economics!$AK$2:$AK$167,economics!$AJ$2:$AJ$167,TRUE))*economics!$AM$2:$AM$167)+$CR15*(_xlfn.NORM.DIST(BT$3,$CU15,0.3*$CU15,TRUE)-_xlfn.NORM.DIST(BT$30,$CU15,0.3*$CU15,TRUE))*summary!$C$7/28.8/0.947817+$CS15*(_xlfn.NORM.DIST(BT$3,$CV15,0.3*$CV15,TRUE)-_xlfn.NORM.DIST(BT$30,$CV15,0.3*$CV15,TRUE))*summary!$C$6/28.8/0.947817)/(SUMPRODUCT((economics!$AG$2:$AG$167=$B44)*(economics!$D$2:$D$167="whr")*economics!$AH$2:$AH$167*(_xlfn.NORM.DIST(BT$3,economics!$AK$2:$AK$167,economics!$AJ$2:$AJ$167,TRUE)-_xlfn.NORM.DIST(BT$30,economics!$AK$2:$AK$167,economics!$AJ$2:$AJ$167,TRUE)))+$CR15*(_xlfn.NORM.DIST(BT$3,$CU15,0.3*$CU15,TRUE)-_xlfn.NORM.DIST(BT$30,$CU15,0.3*$CU15,TRUE))+$CS15*(_xlfn.NORM.DIST(BT$3,$CV15,0.3*$CV15,TRUE)-_xlfn.NORM.DIST(BT$30,$CV15,0.3*$CV15,TRUE))),""),IF($C15&gt;0,summary!$C$10/28.8/0.947817,""))</f>
        <v/>
      </c>
      <c r="BU44">
        <f t="array" ref="BU44">IF($D15,IFERROR((SUMPRODUCT((economics!$AG$2:$AG$167=$B44)*(economics!$D$2:$D$167="whr")*economics!$AH$2:$AH$167*(_xlfn.NORM.DIST(BU$3,economics!$AK$2:$AK$167,economics!$AJ$2:$AJ$167,TRUE)-_xlfn.NORM.DIST(BU$30,economics!$AK$2:$AK$167,economics!$AJ$2:$AJ$167,TRUE))*economics!$AM$2:$AM$167)+$CR15*(_xlfn.NORM.DIST(BU$3,$CU15,0.3*$CU15,TRUE)-_xlfn.NORM.DIST(BU$30,$CU15,0.3*$CU15,TRUE))*summary!$C$7/28.8/0.947817+$CS15*(_xlfn.NORM.DIST(BU$3,$CV15,0.3*$CV15,TRUE)-_xlfn.NORM.DIST(BU$30,$CV15,0.3*$CV15,TRUE))*summary!$C$6/28.8/0.947817)/(SUMPRODUCT((economics!$AG$2:$AG$167=$B44)*(economics!$D$2:$D$167="whr")*economics!$AH$2:$AH$167*(_xlfn.NORM.DIST(BU$3,economics!$AK$2:$AK$167,economics!$AJ$2:$AJ$167,TRUE)-_xlfn.NORM.DIST(BU$30,economics!$AK$2:$AK$167,economics!$AJ$2:$AJ$167,TRUE)))+$CR15*(_xlfn.NORM.DIST(BU$3,$CU15,0.3*$CU15,TRUE)-_xlfn.NORM.DIST(BU$30,$CU15,0.3*$CU15,TRUE))+$CS15*(_xlfn.NORM.DIST(BU$3,$CV15,0.3*$CV15,TRUE)-_xlfn.NORM.DIST(BU$30,$CV15,0.3*$CV15,TRUE))),""),IF($C15&gt;0,summary!$C$10/28.8/0.947817,""))</f>
        <v/>
      </c>
      <c r="BV44">
        <f t="array" ref="BV44">IF($D15,IFERROR((SUMPRODUCT((economics!$AG$2:$AG$167=$B44)*(economics!$D$2:$D$167="whr")*economics!$AH$2:$AH$167*(_xlfn.NORM.DIST(BV$3,economics!$AK$2:$AK$167,economics!$AJ$2:$AJ$167,TRUE)-_xlfn.NORM.DIST(BV$30,economics!$AK$2:$AK$167,economics!$AJ$2:$AJ$167,TRUE))*economics!$AM$2:$AM$167)+$CR15*(_xlfn.NORM.DIST(BV$3,$CU15,0.3*$CU15,TRUE)-_xlfn.NORM.DIST(BV$30,$CU15,0.3*$CU15,TRUE))*summary!$C$7/28.8/0.947817+$CS15*(_xlfn.NORM.DIST(BV$3,$CV15,0.3*$CV15,TRUE)-_xlfn.NORM.DIST(BV$30,$CV15,0.3*$CV15,TRUE))*summary!$C$6/28.8/0.947817)/(SUMPRODUCT((economics!$AG$2:$AG$167=$B44)*(economics!$D$2:$D$167="whr")*economics!$AH$2:$AH$167*(_xlfn.NORM.DIST(BV$3,economics!$AK$2:$AK$167,economics!$AJ$2:$AJ$167,TRUE)-_xlfn.NORM.DIST(BV$30,economics!$AK$2:$AK$167,economics!$AJ$2:$AJ$167,TRUE)))+$CR15*(_xlfn.NORM.DIST(BV$3,$CU15,0.3*$CU15,TRUE)-_xlfn.NORM.DIST(BV$30,$CU15,0.3*$CU15,TRUE))+$CS15*(_xlfn.NORM.DIST(BV$3,$CV15,0.3*$CV15,TRUE)-_xlfn.NORM.DIST(BV$30,$CV15,0.3*$CV15,TRUE))),""),IF($C15&gt;0,summary!$C$10/28.8/0.947817,""))</f>
        <v/>
      </c>
      <c r="BW44">
        <f t="array" ref="BW44">IF($D15,IFERROR((SUMPRODUCT((economics!$AG$2:$AG$167=$B44)*(economics!$D$2:$D$167="whr")*economics!$AH$2:$AH$167*(_xlfn.NORM.DIST(BW$3,economics!$AK$2:$AK$167,economics!$AJ$2:$AJ$167,TRUE)-_xlfn.NORM.DIST(BW$30,economics!$AK$2:$AK$167,economics!$AJ$2:$AJ$167,TRUE))*economics!$AM$2:$AM$167)+$CR15*(_xlfn.NORM.DIST(BW$3,$CU15,0.3*$CU15,TRUE)-_xlfn.NORM.DIST(BW$30,$CU15,0.3*$CU15,TRUE))*summary!$C$7/28.8/0.947817+$CS15*(_xlfn.NORM.DIST(BW$3,$CV15,0.3*$CV15,TRUE)-_xlfn.NORM.DIST(BW$30,$CV15,0.3*$CV15,TRUE))*summary!$C$6/28.8/0.947817)/(SUMPRODUCT((economics!$AG$2:$AG$167=$B44)*(economics!$D$2:$D$167="whr")*economics!$AH$2:$AH$167*(_xlfn.NORM.DIST(BW$3,economics!$AK$2:$AK$167,economics!$AJ$2:$AJ$167,TRUE)-_xlfn.NORM.DIST(BW$30,economics!$AK$2:$AK$167,economics!$AJ$2:$AJ$167,TRUE)))+$CR15*(_xlfn.NORM.DIST(BW$3,$CU15,0.3*$CU15,TRUE)-_xlfn.NORM.DIST(BW$30,$CU15,0.3*$CU15,TRUE))+$CS15*(_xlfn.NORM.DIST(BW$3,$CV15,0.3*$CV15,TRUE)-_xlfn.NORM.DIST(BW$30,$CV15,0.3*$CV15,TRUE))),""),IF($C15&gt;0,summary!$C$10/28.8/0.947817,""))</f>
        <v/>
      </c>
      <c r="BX44">
        <f t="array" ref="BX44">IF($D15,IFERROR((SUMPRODUCT((economics!$AG$2:$AG$167=$B44)*(economics!$D$2:$D$167="whr")*economics!$AH$2:$AH$167*(_xlfn.NORM.DIST(BX$3,economics!$AK$2:$AK$167,economics!$AJ$2:$AJ$167,TRUE)-_xlfn.NORM.DIST(BX$30,economics!$AK$2:$AK$167,economics!$AJ$2:$AJ$167,TRUE))*economics!$AM$2:$AM$167)+$CR15*(_xlfn.NORM.DIST(BX$3,$CU15,0.3*$CU15,TRUE)-_xlfn.NORM.DIST(BX$30,$CU15,0.3*$CU15,TRUE))*summary!$C$7/28.8/0.947817+$CS15*(_xlfn.NORM.DIST(BX$3,$CV15,0.3*$CV15,TRUE)-_xlfn.NORM.DIST(BX$30,$CV15,0.3*$CV15,TRUE))*summary!$C$6/28.8/0.947817)/(SUMPRODUCT((economics!$AG$2:$AG$167=$B44)*(economics!$D$2:$D$167="whr")*economics!$AH$2:$AH$167*(_xlfn.NORM.DIST(BX$3,economics!$AK$2:$AK$167,economics!$AJ$2:$AJ$167,TRUE)-_xlfn.NORM.DIST(BX$30,economics!$AK$2:$AK$167,economics!$AJ$2:$AJ$167,TRUE)))+$CR15*(_xlfn.NORM.DIST(BX$3,$CU15,0.3*$CU15,TRUE)-_xlfn.NORM.DIST(BX$30,$CU15,0.3*$CU15,TRUE))+$CS15*(_xlfn.NORM.DIST(BX$3,$CV15,0.3*$CV15,TRUE)-_xlfn.NORM.DIST(BX$30,$CV15,0.3*$CV15,TRUE))),""),IF($C15&gt;0,summary!$C$10/28.8/0.947817,""))</f>
        <v/>
      </c>
      <c r="BY44">
        <f t="array" ref="BY44">IF($D15,IFERROR((SUMPRODUCT((economics!$AG$2:$AG$167=$B44)*(economics!$D$2:$D$167="whr")*economics!$AH$2:$AH$167*(_xlfn.NORM.DIST(BY$3,economics!$AK$2:$AK$167,economics!$AJ$2:$AJ$167,TRUE)-_xlfn.NORM.DIST(BY$30,economics!$AK$2:$AK$167,economics!$AJ$2:$AJ$167,TRUE))*economics!$AM$2:$AM$167)+$CR15*(_xlfn.NORM.DIST(BY$3,$CU15,0.3*$CU15,TRUE)-_xlfn.NORM.DIST(BY$30,$CU15,0.3*$CU15,TRUE))*summary!$C$7/28.8/0.947817+$CS15*(_xlfn.NORM.DIST(BY$3,$CV15,0.3*$CV15,TRUE)-_xlfn.NORM.DIST(BY$30,$CV15,0.3*$CV15,TRUE))*summary!$C$6/28.8/0.947817)/(SUMPRODUCT((economics!$AG$2:$AG$167=$B44)*(economics!$D$2:$D$167="whr")*economics!$AH$2:$AH$167*(_xlfn.NORM.DIST(BY$3,economics!$AK$2:$AK$167,economics!$AJ$2:$AJ$167,TRUE)-_xlfn.NORM.DIST(BY$30,economics!$AK$2:$AK$167,economics!$AJ$2:$AJ$167,TRUE)))+$CR15*(_xlfn.NORM.DIST(BY$3,$CU15,0.3*$CU15,TRUE)-_xlfn.NORM.DIST(BY$30,$CU15,0.3*$CU15,TRUE))+$CS15*(_xlfn.NORM.DIST(BY$3,$CV15,0.3*$CV15,TRUE)-_xlfn.NORM.DIST(BY$30,$CV15,0.3*$CV15,TRUE))),""),IF($C15&gt;0,summary!$C$10/28.8/0.947817,""))</f>
        <v/>
      </c>
      <c r="BZ44">
        <f t="array" ref="BZ44">IF($D15,IFERROR((SUMPRODUCT((economics!$AG$2:$AG$167=$B44)*(economics!$D$2:$D$167="whr")*economics!$AH$2:$AH$167*(_xlfn.NORM.DIST(BZ$3,economics!$AK$2:$AK$167,economics!$AJ$2:$AJ$167,TRUE)-_xlfn.NORM.DIST(BZ$30,economics!$AK$2:$AK$167,economics!$AJ$2:$AJ$167,TRUE))*economics!$AM$2:$AM$167)+$CR15*(_xlfn.NORM.DIST(BZ$3,$CU15,0.3*$CU15,TRUE)-_xlfn.NORM.DIST(BZ$30,$CU15,0.3*$CU15,TRUE))*summary!$C$7/28.8/0.947817+$CS15*(_xlfn.NORM.DIST(BZ$3,$CV15,0.3*$CV15,TRUE)-_xlfn.NORM.DIST(BZ$30,$CV15,0.3*$CV15,TRUE))*summary!$C$6/28.8/0.947817)/(SUMPRODUCT((economics!$AG$2:$AG$167=$B44)*(economics!$D$2:$D$167="whr")*economics!$AH$2:$AH$167*(_xlfn.NORM.DIST(BZ$3,economics!$AK$2:$AK$167,economics!$AJ$2:$AJ$167,TRUE)-_xlfn.NORM.DIST(BZ$30,economics!$AK$2:$AK$167,economics!$AJ$2:$AJ$167,TRUE)))+$CR15*(_xlfn.NORM.DIST(BZ$3,$CU15,0.3*$CU15,TRUE)-_xlfn.NORM.DIST(BZ$30,$CU15,0.3*$CU15,TRUE))+$CS15*(_xlfn.NORM.DIST(BZ$3,$CV15,0.3*$CV15,TRUE)-_xlfn.NORM.DIST(BZ$30,$CV15,0.3*$CV15,TRUE))),""),IF($C15&gt;0,summary!$C$10/28.8/0.947817,""))</f>
        <v/>
      </c>
      <c r="CA44">
        <f t="array" ref="CA44">IF($D15,IFERROR((SUMPRODUCT((economics!$AG$2:$AG$167=$B44)*(economics!$D$2:$D$167="whr")*economics!$AH$2:$AH$167*(_xlfn.NORM.DIST(CA$3,economics!$AK$2:$AK$167,economics!$AJ$2:$AJ$167,TRUE)-_xlfn.NORM.DIST(CA$30,economics!$AK$2:$AK$167,economics!$AJ$2:$AJ$167,TRUE))*economics!$AM$2:$AM$167)+$CR15*(_xlfn.NORM.DIST(CA$3,$CU15,0.3*$CU15,TRUE)-_xlfn.NORM.DIST(CA$30,$CU15,0.3*$CU15,TRUE))*summary!$C$7/28.8/0.947817+$CS15*(_xlfn.NORM.DIST(CA$3,$CV15,0.3*$CV15,TRUE)-_xlfn.NORM.DIST(CA$30,$CV15,0.3*$CV15,TRUE))*summary!$C$6/28.8/0.947817)/(SUMPRODUCT((economics!$AG$2:$AG$167=$B44)*(economics!$D$2:$D$167="whr")*economics!$AH$2:$AH$167*(_xlfn.NORM.DIST(CA$3,economics!$AK$2:$AK$167,economics!$AJ$2:$AJ$167,TRUE)-_xlfn.NORM.DIST(CA$30,economics!$AK$2:$AK$167,economics!$AJ$2:$AJ$167,TRUE)))+$CR15*(_xlfn.NORM.DIST(CA$3,$CU15,0.3*$CU15,TRUE)-_xlfn.NORM.DIST(CA$30,$CU15,0.3*$CU15,TRUE))+$CS15*(_xlfn.NORM.DIST(CA$3,$CV15,0.3*$CV15,TRUE)-_xlfn.NORM.DIST(CA$30,$CV15,0.3*$CV15,TRUE))),""),IF($C15&gt;0,summary!$C$10/28.8/0.947817,""))</f>
        <v/>
      </c>
      <c r="CB44">
        <f t="array" ref="CB44">IF($D15,IFERROR((SUMPRODUCT((economics!$AG$2:$AG$167=$B44)*(economics!$D$2:$D$167="whr")*economics!$AH$2:$AH$167*(_xlfn.NORM.DIST(CB$3,economics!$AK$2:$AK$167,economics!$AJ$2:$AJ$167,TRUE)-_xlfn.NORM.DIST(CB$30,economics!$AK$2:$AK$167,economics!$AJ$2:$AJ$167,TRUE))*economics!$AM$2:$AM$167)+$CR15*(_xlfn.NORM.DIST(CB$3,$CU15,0.3*$CU15,TRUE)-_xlfn.NORM.DIST(CB$30,$CU15,0.3*$CU15,TRUE))*summary!$C$7/28.8/0.947817+$CS15*(_xlfn.NORM.DIST(CB$3,$CV15,0.3*$CV15,TRUE)-_xlfn.NORM.DIST(CB$30,$CV15,0.3*$CV15,TRUE))*summary!$C$6/28.8/0.947817)/(SUMPRODUCT((economics!$AG$2:$AG$167=$B44)*(economics!$D$2:$D$167="whr")*economics!$AH$2:$AH$167*(_xlfn.NORM.DIST(CB$3,economics!$AK$2:$AK$167,economics!$AJ$2:$AJ$167,TRUE)-_xlfn.NORM.DIST(CB$30,economics!$AK$2:$AK$167,economics!$AJ$2:$AJ$167,TRUE)))+$CR15*(_xlfn.NORM.DIST(CB$3,$CU15,0.3*$CU15,TRUE)-_xlfn.NORM.DIST(CB$30,$CU15,0.3*$CU15,TRUE))+$CS15*(_xlfn.NORM.DIST(CB$3,$CV15,0.3*$CV15,TRUE)-_xlfn.NORM.DIST(CB$30,$CV15,0.3*$CV15,TRUE))),""),IF($C15&gt;0,summary!$C$10/28.8/0.947817,""))</f>
        <v/>
      </c>
      <c r="CC44">
        <f t="array" ref="CC44">IF($D15,IFERROR((SUMPRODUCT((economics!$AG$2:$AG$167=$B44)*(economics!$D$2:$D$167="whr")*economics!$AH$2:$AH$167*(_xlfn.NORM.DIST(CC$3,economics!$AK$2:$AK$167,economics!$AJ$2:$AJ$167,TRUE)-_xlfn.NORM.DIST(CC$30,economics!$AK$2:$AK$167,economics!$AJ$2:$AJ$167,TRUE))*economics!$AM$2:$AM$167)+$CR15*(_xlfn.NORM.DIST(CC$3,$CU15,0.3*$CU15,TRUE)-_xlfn.NORM.DIST(CC$30,$CU15,0.3*$CU15,TRUE))*summary!$C$7/28.8/0.947817+$CS15*(_xlfn.NORM.DIST(CC$3,$CV15,0.3*$CV15,TRUE)-_xlfn.NORM.DIST(CC$30,$CV15,0.3*$CV15,TRUE))*summary!$C$6/28.8/0.947817)/(SUMPRODUCT((economics!$AG$2:$AG$167=$B44)*(economics!$D$2:$D$167="whr")*economics!$AH$2:$AH$167*(_xlfn.NORM.DIST(CC$3,economics!$AK$2:$AK$167,economics!$AJ$2:$AJ$167,TRUE)-_xlfn.NORM.DIST(CC$30,economics!$AK$2:$AK$167,economics!$AJ$2:$AJ$167,TRUE)))+$CR15*(_xlfn.NORM.DIST(CC$3,$CU15,0.3*$CU15,TRUE)-_xlfn.NORM.DIST(CC$30,$CU15,0.3*$CU15,TRUE))+$CS15*(_xlfn.NORM.DIST(CC$3,$CV15,0.3*$CV15,TRUE)-_xlfn.NORM.DIST(CC$30,$CV15,0.3*$CV15,TRUE))),""),IF($C15&gt;0,summary!$C$10/28.8/0.947817,""))</f>
        <v/>
      </c>
      <c r="CD44">
        <f t="array" ref="CD44">IF($D15,IFERROR((SUMPRODUCT((economics!$AG$2:$AG$167=$B44)*(economics!$D$2:$D$167="whr")*economics!$AH$2:$AH$167*(_xlfn.NORM.DIST(CD$3,economics!$AK$2:$AK$167,economics!$AJ$2:$AJ$167,TRUE)-_xlfn.NORM.DIST(CD$30,economics!$AK$2:$AK$167,economics!$AJ$2:$AJ$167,TRUE))*economics!$AM$2:$AM$167)+$CR15*(_xlfn.NORM.DIST(CD$3,$CU15,0.3*$CU15,TRUE)-_xlfn.NORM.DIST(CD$30,$CU15,0.3*$CU15,TRUE))*summary!$C$7/28.8/0.947817+$CS15*(_xlfn.NORM.DIST(CD$3,$CV15,0.3*$CV15,TRUE)-_xlfn.NORM.DIST(CD$30,$CV15,0.3*$CV15,TRUE))*summary!$C$6/28.8/0.947817)/(SUMPRODUCT((economics!$AG$2:$AG$167=$B44)*(economics!$D$2:$D$167="whr")*economics!$AH$2:$AH$167*(_xlfn.NORM.DIST(CD$3,economics!$AK$2:$AK$167,economics!$AJ$2:$AJ$167,TRUE)-_xlfn.NORM.DIST(CD$30,economics!$AK$2:$AK$167,economics!$AJ$2:$AJ$167,TRUE)))+$CR15*(_xlfn.NORM.DIST(CD$3,$CU15,0.3*$CU15,TRUE)-_xlfn.NORM.DIST(CD$30,$CU15,0.3*$CU15,TRUE))+$CS15*(_xlfn.NORM.DIST(CD$3,$CV15,0.3*$CV15,TRUE)-_xlfn.NORM.DIST(CD$30,$CV15,0.3*$CV15,TRUE))),""),IF($C15&gt;0,summary!$C$10/28.8/0.947817,""))</f>
        <v/>
      </c>
      <c r="CE44">
        <f t="array" ref="CE44">IF($D15,IFERROR((SUMPRODUCT((economics!$AG$2:$AG$167=$B44)*(economics!$D$2:$D$167="whr")*economics!$AH$2:$AH$167*(_xlfn.NORM.DIST(CE$3,economics!$AK$2:$AK$167,economics!$AJ$2:$AJ$167,TRUE)-_xlfn.NORM.DIST(CE$30,economics!$AK$2:$AK$167,economics!$AJ$2:$AJ$167,TRUE))*economics!$AM$2:$AM$167)+$CR15*(_xlfn.NORM.DIST(CE$3,$CU15,0.3*$CU15,TRUE)-_xlfn.NORM.DIST(CE$30,$CU15,0.3*$CU15,TRUE))*summary!$C$7/28.8/0.947817+$CS15*(_xlfn.NORM.DIST(CE$3,$CV15,0.3*$CV15,TRUE)-_xlfn.NORM.DIST(CE$30,$CV15,0.3*$CV15,TRUE))*summary!$C$6/28.8/0.947817)/(SUMPRODUCT((economics!$AG$2:$AG$167=$B44)*(economics!$D$2:$D$167="whr")*economics!$AH$2:$AH$167*(_xlfn.NORM.DIST(CE$3,economics!$AK$2:$AK$167,economics!$AJ$2:$AJ$167,TRUE)-_xlfn.NORM.DIST(CE$30,economics!$AK$2:$AK$167,economics!$AJ$2:$AJ$167,TRUE)))+$CR15*(_xlfn.NORM.DIST(CE$3,$CU15,0.3*$CU15,TRUE)-_xlfn.NORM.DIST(CE$30,$CU15,0.3*$CU15,TRUE))+$CS15*(_xlfn.NORM.DIST(CE$3,$CV15,0.3*$CV15,TRUE)-_xlfn.NORM.DIST(CE$30,$CV15,0.3*$CV15,TRUE))),""),IF($C15&gt;0,summary!$C$10/28.8/0.947817,""))</f>
        <v/>
      </c>
      <c r="CF44">
        <f t="array" ref="CF44">IF($D15,IFERROR((SUMPRODUCT((economics!$AG$2:$AG$167=$B44)*(economics!$D$2:$D$167="whr")*economics!$AH$2:$AH$167*(_xlfn.NORM.DIST(CF$3,economics!$AK$2:$AK$167,economics!$AJ$2:$AJ$167,TRUE)-_xlfn.NORM.DIST(CF$30,economics!$AK$2:$AK$167,economics!$AJ$2:$AJ$167,TRUE))*economics!$AM$2:$AM$167)+$CR15*(_xlfn.NORM.DIST(CF$3,$CU15,0.3*$CU15,TRUE)-_xlfn.NORM.DIST(CF$30,$CU15,0.3*$CU15,TRUE))*summary!$C$7/28.8/0.947817+$CS15*(_xlfn.NORM.DIST(CF$3,$CV15,0.3*$CV15,TRUE)-_xlfn.NORM.DIST(CF$30,$CV15,0.3*$CV15,TRUE))*summary!$C$6/28.8/0.947817)/(SUMPRODUCT((economics!$AG$2:$AG$167=$B44)*(economics!$D$2:$D$167="whr")*economics!$AH$2:$AH$167*(_xlfn.NORM.DIST(CF$3,economics!$AK$2:$AK$167,economics!$AJ$2:$AJ$167,TRUE)-_xlfn.NORM.DIST(CF$30,economics!$AK$2:$AK$167,economics!$AJ$2:$AJ$167,TRUE)))+$CR15*(_xlfn.NORM.DIST(CF$3,$CU15,0.3*$CU15,TRUE)-_xlfn.NORM.DIST(CF$30,$CU15,0.3*$CU15,TRUE))+$CS15*(_xlfn.NORM.DIST(CF$3,$CV15,0.3*$CV15,TRUE)-_xlfn.NORM.DIST(CF$30,$CV15,0.3*$CV15,TRUE))),""),IF($C15&gt;0,summary!$C$10/28.8/0.947817,""))</f>
        <v/>
      </c>
      <c r="CG44">
        <f t="array" ref="CG44">IF($D15,IFERROR((SUMPRODUCT((economics!$AG$2:$AG$167=$B44)*(economics!$D$2:$D$167="whr")*economics!$AH$2:$AH$167*(_xlfn.NORM.DIST(CG$3,economics!$AK$2:$AK$167,economics!$AJ$2:$AJ$167,TRUE)-_xlfn.NORM.DIST(CG$30,economics!$AK$2:$AK$167,economics!$AJ$2:$AJ$167,TRUE))*economics!$AM$2:$AM$167)+$CR15*(_xlfn.NORM.DIST(CG$3,$CU15,0.3*$CU15,TRUE)-_xlfn.NORM.DIST(CG$30,$CU15,0.3*$CU15,TRUE))*summary!$C$7/28.8/0.947817+$CS15*(_xlfn.NORM.DIST(CG$3,$CV15,0.3*$CV15,TRUE)-_xlfn.NORM.DIST(CG$30,$CV15,0.3*$CV15,TRUE))*summary!$C$6/28.8/0.947817)/(SUMPRODUCT((economics!$AG$2:$AG$167=$B44)*(economics!$D$2:$D$167="whr")*economics!$AH$2:$AH$167*(_xlfn.NORM.DIST(CG$3,economics!$AK$2:$AK$167,economics!$AJ$2:$AJ$167,TRUE)-_xlfn.NORM.DIST(CG$30,economics!$AK$2:$AK$167,economics!$AJ$2:$AJ$167,TRUE)))+$CR15*(_xlfn.NORM.DIST(CG$3,$CU15,0.3*$CU15,TRUE)-_xlfn.NORM.DIST(CG$30,$CU15,0.3*$CU15,TRUE))+$CS15*(_xlfn.NORM.DIST(CG$3,$CV15,0.3*$CV15,TRUE)-_xlfn.NORM.DIST(CG$30,$CV15,0.3*$CV15,TRUE))),""),IF($C15&gt;0,summary!$C$10/28.8/0.947817,""))</f>
        <v/>
      </c>
      <c r="CH44">
        <f t="array" ref="CH44">IF($D15,IFERROR((SUMPRODUCT((economics!$AG$2:$AG$167=$B44)*(economics!$D$2:$D$167="whr")*economics!$AH$2:$AH$167*(_xlfn.NORM.DIST(CH$3,economics!$AK$2:$AK$167,economics!$AJ$2:$AJ$167,TRUE)-_xlfn.NORM.DIST(CH$30,economics!$AK$2:$AK$167,economics!$AJ$2:$AJ$167,TRUE))*economics!$AM$2:$AM$167)+$CR15*(_xlfn.NORM.DIST(CH$3,$CU15,0.3*$CU15,TRUE)-_xlfn.NORM.DIST(CH$30,$CU15,0.3*$CU15,TRUE))*summary!$C$7/28.8/0.947817+$CS15*(_xlfn.NORM.DIST(CH$3,$CV15,0.3*$CV15,TRUE)-_xlfn.NORM.DIST(CH$30,$CV15,0.3*$CV15,TRUE))*summary!$C$6/28.8/0.947817)/(SUMPRODUCT((economics!$AG$2:$AG$167=$B44)*(economics!$D$2:$D$167="whr")*economics!$AH$2:$AH$167*(_xlfn.NORM.DIST(CH$3,economics!$AK$2:$AK$167,economics!$AJ$2:$AJ$167,TRUE)-_xlfn.NORM.DIST(CH$30,economics!$AK$2:$AK$167,economics!$AJ$2:$AJ$167,TRUE)))+$CR15*(_xlfn.NORM.DIST(CH$3,$CU15,0.3*$CU15,TRUE)-_xlfn.NORM.DIST(CH$30,$CU15,0.3*$CU15,TRUE))+$CS15*(_xlfn.NORM.DIST(CH$3,$CV15,0.3*$CV15,TRUE)-_xlfn.NORM.DIST(CH$30,$CV15,0.3*$CV15,TRUE))),""),IF($C15&gt;0,summary!$C$10/28.8/0.947817,""))</f>
        <v/>
      </c>
    </row>
    <row r="45">
      <c r="A45">
        <f>A16</f>
        <v/>
      </c>
      <c r="B45">
        <f>B16</f>
        <v/>
      </c>
      <c r="E45">
        <f t="array" ref="E45">IF($D16,IFERROR((SUMPRODUCT((economics!$AG$2:$AG$167=$B45)*(economics!$D$2:$D$167="whr")*economics!$AH$2:$AH$167*(_xlfn.NORM.DIST(E$3,economics!$AK$2:$AK$167,economics!$AJ$2:$AJ$167,TRUE)-_xlfn.NORM.DIST(E$30,economics!$AK$2:$AK$167,economics!$AJ$2:$AJ$167,TRUE))*economics!$AM$2:$AM$167)+$CR16*(_xlfn.NORM.DIST(E$3,$CU16,0.3*$CU16,TRUE)-_xlfn.NORM.DIST(E$30,$CU16,0.3*$CU16,TRUE))*summary!$C$7/28.8/0.947817+$CS16*(_xlfn.NORM.DIST(E$3,$CV16,0.3*$CV16,TRUE)-_xlfn.NORM.DIST(E$30,$CV16,0.3*$CV16,TRUE))*summary!$C$6/28.8/0.947817)/(SUMPRODUCT((economics!$AG$2:$AG$167=$B45)*(economics!$D$2:$D$167="whr")*economics!$AH$2:$AH$167*(_xlfn.NORM.DIST(E$3,economics!$AK$2:$AK$167,economics!$AJ$2:$AJ$167,TRUE)-_xlfn.NORM.DIST(E$30,economics!$AK$2:$AK$167,economics!$AJ$2:$AJ$167,TRUE)))+$CR16*(_xlfn.NORM.DIST(E$3,$CU16,0.3*$CU16,TRUE)-_xlfn.NORM.DIST(E$30,$CU16,0.3*$CU16,TRUE))+$CS16*(_xlfn.NORM.DIST(E$3,$CV16,0.3*$CV16,TRUE)-_xlfn.NORM.DIST(E$30,$CV16,0.3*$CV16,TRUE))),""),IF($C16&gt;0,summary!$C$10/28.8/0.947817,""))</f>
        <v/>
      </c>
      <c r="F45">
        <f t="array" ref="F45">IF($D16,IFERROR((SUMPRODUCT((economics!$AG$2:$AG$167=$B45)*(economics!$D$2:$D$167="whr")*economics!$AH$2:$AH$167*(_xlfn.NORM.DIST(F$3,economics!$AK$2:$AK$167,economics!$AJ$2:$AJ$167,TRUE)-_xlfn.NORM.DIST(F$30,economics!$AK$2:$AK$167,economics!$AJ$2:$AJ$167,TRUE))*economics!$AM$2:$AM$167)+$CR16*(_xlfn.NORM.DIST(F$3,$CU16,0.3*$CU16,TRUE)-_xlfn.NORM.DIST(F$30,$CU16,0.3*$CU16,TRUE))*summary!$C$7/28.8/0.947817+$CS16*(_xlfn.NORM.DIST(F$3,$CV16,0.3*$CV16,TRUE)-_xlfn.NORM.DIST(F$30,$CV16,0.3*$CV16,TRUE))*summary!$C$6/28.8/0.947817)/(SUMPRODUCT((economics!$AG$2:$AG$167=$B45)*(economics!$D$2:$D$167="whr")*economics!$AH$2:$AH$167*(_xlfn.NORM.DIST(F$3,economics!$AK$2:$AK$167,economics!$AJ$2:$AJ$167,TRUE)-_xlfn.NORM.DIST(F$30,economics!$AK$2:$AK$167,economics!$AJ$2:$AJ$167,TRUE)))+$CR16*(_xlfn.NORM.DIST(F$3,$CU16,0.3*$CU16,TRUE)-_xlfn.NORM.DIST(F$30,$CU16,0.3*$CU16,TRUE))+$CS16*(_xlfn.NORM.DIST(F$3,$CV16,0.3*$CV16,TRUE)-_xlfn.NORM.DIST(F$30,$CV16,0.3*$CV16,TRUE))),""),IF($C16&gt;0,summary!$C$10/28.8/0.947817,""))</f>
        <v/>
      </c>
      <c r="G45">
        <f t="array" ref="G45">IF($D16,IFERROR((SUMPRODUCT((economics!$AG$2:$AG$167=$B45)*(economics!$D$2:$D$167="whr")*economics!$AH$2:$AH$167*(_xlfn.NORM.DIST(G$3,economics!$AK$2:$AK$167,economics!$AJ$2:$AJ$167,TRUE)-_xlfn.NORM.DIST(G$30,economics!$AK$2:$AK$167,economics!$AJ$2:$AJ$167,TRUE))*economics!$AM$2:$AM$167)+$CR16*(_xlfn.NORM.DIST(G$3,$CU16,0.3*$CU16,TRUE)-_xlfn.NORM.DIST(G$30,$CU16,0.3*$CU16,TRUE))*summary!$C$7/28.8/0.947817+$CS16*(_xlfn.NORM.DIST(G$3,$CV16,0.3*$CV16,TRUE)-_xlfn.NORM.DIST(G$30,$CV16,0.3*$CV16,TRUE))*summary!$C$6/28.8/0.947817)/(SUMPRODUCT((economics!$AG$2:$AG$167=$B45)*(economics!$D$2:$D$167="whr")*economics!$AH$2:$AH$167*(_xlfn.NORM.DIST(G$3,economics!$AK$2:$AK$167,economics!$AJ$2:$AJ$167,TRUE)-_xlfn.NORM.DIST(G$30,economics!$AK$2:$AK$167,economics!$AJ$2:$AJ$167,TRUE)))+$CR16*(_xlfn.NORM.DIST(G$3,$CU16,0.3*$CU16,TRUE)-_xlfn.NORM.DIST(G$30,$CU16,0.3*$CU16,TRUE))+$CS16*(_xlfn.NORM.DIST(G$3,$CV16,0.3*$CV16,TRUE)-_xlfn.NORM.DIST(G$30,$CV16,0.3*$CV16,TRUE))),""),IF($C16&gt;0,summary!$C$10/28.8/0.947817,""))</f>
        <v/>
      </c>
      <c r="H45">
        <f t="array" ref="H45">IF($D16,IFERROR((SUMPRODUCT((economics!$AG$2:$AG$167=$B45)*(economics!$D$2:$D$167="whr")*economics!$AH$2:$AH$167*(_xlfn.NORM.DIST(H$3,economics!$AK$2:$AK$167,economics!$AJ$2:$AJ$167,TRUE)-_xlfn.NORM.DIST(H$30,economics!$AK$2:$AK$167,economics!$AJ$2:$AJ$167,TRUE))*economics!$AM$2:$AM$167)+$CR16*(_xlfn.NORM.DIST(H$3,$CU16,0.3*$CU16,TRUE)-_xlfn.NORM.DIST(H$30,$CU16,0.3*$CU16,TRUE))*summary!$C$7/28.8/0.947817+$CS16*(_xlfn.NORM.DIST(H$3,$CV16,0.3*$CV16,TRUE)-_xlfn.NORM.DIST(H$30,$CV16,0.3*$CV16,TRUE))*summary!$C$6/28.8/0.947817)/(SUMPRODUCT((economics!$AG$2:$AG$167=$B45)*(economics!$D$2:$D$167="whr")*economics!$AH$2:$AH$167*(_xlfn.NORM.DIST(H$3,economics!$AK$2:$AK$167,economics!$AJ$2:$AJ$167,TRUE)-_xlfn.NORM.DIST(H$30,economics!$AK$2:$AK$167,economics!$AJ$2:$AJ$167,TRUE)))+$CR16*(_xlfn.NORM.DIST(H$3,$CU16,0.3*$CU16,TRUE)-_xlfn.NORM.DIST(H$30,$CU16,0.3*$CU16,TRUE))+$CS16*(_xlfn.NORM.DIST(H$3,$CV16,0.3*$CV16,TRUE)-_xlfn.NORM.DIST(H$30,$CV16,0.3*$CV16,TRUE))),""),IF($C16&gt;0,summary!$C$10/28.8/0.947817,""))</f>
        <v/>
      </c>
      <c r="I45">
        <f t="array" ref="I45">IF($D16,IFERROR((SUMPRODUCT((economics!$AG$2:$AG$167=$B45)*(economics!$D$2:$D$167="whr")*economics!$AH$2:$AH$167*(_xlfn.NORM.DIST(I$3,economics!$AK$2:$AK$167,economics!$AJ$2:$AJ$167,TRUE)-_xlfn.NORM.DIST(I$30,economics!$AK$2:$AK$167,economics!$AJ$2:$AJ$167,TRUE))*economics!$AM$2:$AM$167)+$CR16*(_xlfn.NORM.DIST(I$3,$CU16,0.3*$CU16,TRUE)-_xlfn.NORM.DIST(I$30,$CU16,0.3*$CU16,TRUE))*summary!$C$7/28.8/0.947817+$CS16*(_xlfn.NORM.DIST(I$3,$CV16,0.3*$CV16,TRUE)-_xlfn.NORM.DIST(I$30,$CV16,0.3*$CV16,TRUE))*summary!$C$6/28.8/0.947817)/(SUMPRODUCT((economics!$AG$2:$AG$167=$B45)*(economics!$D$2:$D$167="whr")*economics!$AH$2:$AH$167*(_xlfn.NORM.DIST(I$3,economics!$AK$2:$AK$167,economics!$AJ$2:$AJ$167,TRUE)-_xlfn.NORM.DIST(I$30,economics!$AK$2:$AK$167,economics!$AJ$2:$AJ$167,TRUE)))+$CR16*(_xlfn.NORM.DIST(I$3,$CU16,0.3*$CU16,TRUE)-_xlfn.NORM.DIST(I$30,$CU16,0.3*$CU16,TRUE))+$CS16*(_xlfn.NORM.DIST(I$3,$CV16,0.3*$CV16,TRUE)-_xlfn.NORM.DIST(I$30,$CV16,0.3*$CV16,TRUE))),""),IF($C16&gt;0,summary!$C$10/28.8/0.947817,""))</f>
        <v/>
      </c>
      <c r="J45">
        <f t="array" ref="J45">IF($D16,IFERROR((SUMPRODUCT((economics!$AG$2:$AG$167=$B45)*(economics!$D$2:$D$167="whr")*economics!$AH$2:$AH$167*(_xlfn.NORM.DIST(J$3,economics!$AK$2:$AK$167,economics!$AJ$2:$AJ$167,TRUE)-_xlfn.NORM.DIST(J$30,economics!$AK$2:$AK$167,economics!$AJ$2:$AJ$167,TRUE))*economics!$AM$2:$AM$167)+$CR16*(_xlfn.NORM.DIST(J$3,$CU16,0.3*$CU16,TRUE)-_xlfn.NORM.DIST(J$30,$CU16,0.3*$CU16,TRUE))*summary!$C$7/28.8/0.947817+$CS16*(_xlfn.NORM.DIST(J$3,$CV16,0.3*$CV16,TRUE)-_xlfn.NORM.DIST(J$30,$CV16,0.3*$CV16,TRUE))*summary!$C$6/28.8/0.947817)/(SUMPRODUCT((economics!$AG$2:$AG$167=$B45)*(economics!$D$2:$D$167="whr")*economics!$AH$2:$AH$167*(_xlfn.NORM.DIST(J$3,economics!$AK$2:$AK$167,economics!$AJ$2:$AJ$167,TRUE)-_xlfn.NORM.DIST(J$30,economics!$AK$2:$AK$167,economics!$AJ$2:$AJ$167,TRUE)))+$CR16*(_xlfn.NORM.DIST(J$3,$CU16,0.3*$CU16,TRUE)-_xlfn.NORM.DIST(J$30,$CU16,0.3*$CU16,TRUE))+$CS16*(_xlfn.NORM.DIST(J$3,$CV16,0.3*$CV16,TRUE)-_xlfn.NORM.DIST(J$30,$CV16,0.3*$CV16,TRUE))),""),IF($C16&gt;0,summary!$C$10/28.8/0.947817,""))</f>
        <v/>
      </c>
      <c r="K45">
        <f t="array" ref="K45">IF($D16,IFERROR((SUMPRODUCT((economics!$AG$2:$AG$167=$B45)*(economics!$D$2:$D$167="whr")*economics!$AH$2:$AH$167*(_xlfn.NORM.DIST(K$3,economics!$AK$2:$AK$167,economics!$AJ$2:$AJ$167,TRUE)-_xlfn.NORM.DIST(K$30,economics!$AK$2:$AK$167,economics!$AJ$2:$AJ$167,TRUE))*economics!$AM$2:$AM$167)+$CR16*(_xlfn.NORM.DIST(K$3,$CU16,0.3*$CU16,TRUE)-_xlfn.NORM.DIST(K$30,$CU16,0.3*$CU16,TRUE))*summary!$C$7/28.8/0.947817+$CS16*(_xlfn.NORM.DIST(K$3,$CV16,0.3*$CV16,TRUE)-_xlfn.NORM.DIST(K$30,$CV16,0.3*$CV16,TRUE))*summary!$C$6/28.8/0.947817)/(SUMPRODUCT((economics!$AG$2:$AG$167=$B45)*(economics!$D$2:$D$167="whr")*economics!$AH$2:$AH$167*(_xlfn.NORM.DIST(K$3,economics!$AK$2:$AK$167,economics!$AJ$2:$AJ$167,TRUE)-_xlfn.NORM.DIST(K$30,economics!$AK$2:$AK$167,economics!$AJ$2:$AJ$167,TRUE)))+$CR16*(_xlfn.NORM.DIST(K$3,$CU16,0.3*$CU16,TRUE)-_xlfn.NORM.DIST(K$30,$CU16,0.3*$CU16,TRUE))+$CS16*(_xlfn.NORM.DIST(K$3,$CV16,0.3*$CV16,TRUE)-_xlfn.NORM.DIST(K$30,$CV16,0.3*$CV16,TRUE))),""),IF($C16&gt;0,summary!$C$10/28.8/0.947817,""))</f>
        <v/>
      </c>
      <c r="L45">
        <f t="array" ref="L45">IF($D16,IFERROR((SUMPRODUCT((economics!$AG$2:$AG$167=$B45)*(economics!$D$2:$D$167="whr")*economics!$AH$2:$AH$167*(_xlfn.NORM.DIST(L$3,economics!$AK$2:$AK$167,economics!$AJ$2:$AJ$167,TRUE)-_xlfn.NORM.DIST(L$30,economics!$AK$2:$AK$167,economics!$AJ$2:$AJ$167,TRUE))*economics!$AM$2:$AM$167)+$CR16*(_xlfn.NORM.DIST(L$3,$CU16,0.3*$CU16,TRUE)-_xlfn.NORM.DIST(L$30,$CU16,0.3*$CU16,TRUE))*summary!$C$7/28.8/0.947817+$CS16*(_xlfn.NORM.DIST(L$3,$CV16,0.3*$CV16,TRUE)-_xlfn.NORM.DIST(L$30,$CV16,0.3*$CV16,TRUE))*summary!$C$6/28.8/0.947817)/(SUMPRODUCT((economics!$AG$2:$AG$167=$B45)*(economics!$D$2:$D$167="whr")*economics!$AH$2:$AH$167*(_xlfn.NORM.DIST(L$3,economics!$AK$2:$AK$167,economics!$AJ$2:$AJ$167,TRUE)-_xlfn.NORM.DIST(L$30,economics!$AK$2:$AK$167,economics!$AJ$2:$AJ$167,TRUE)))+$CR16*(_xlfn.NORM.DIST(L$3,$CU16,0.3*$CU16,TRUE)-_xlfn.NORM.DIST(L$30,$CU16,0.3*$CU16,TRUE))+$CS16*(_xlfn.NORM.DIST(L$3,$CV16,0.3*$CV16,TRUE)-_xlfn.NORM.DIST(L$30,$CV16,0.3*$CV16,TRUE))),""),IF($C16&gt;0,summary!$C$10/28.8/0.947817,""))</f>
        <v/>
      </c>
      <c r="M45">
        <f t="array" ref="M45">IF($D16,IFERROR((SUMPRODUCT((economics!$AG$2:$AG$167=$B45)*(economics!$D$2:$D$167="whr")*economics!$AH$2:$AH$167*(_xlfn.NORM.DIST(M$3,economics!$AK$2:$AK$167,economics!$AJ$2:$AJ$167,TRUE)-_xlfn.NORM.DIST(M$30,economics!$AK$2:$AK$167,economics!$AJ$2:$AJ$167,TRUE))*economics!$AM$2:$AM$167)+$CR16*(_xlfn.NORM.DIST(M$3,$CU16,0.3*$CU16,TRUE)-_xlfn.NORM.DIST(M$30,$CU16,0.3*$CU16,TRUE))*summary!$C$7/28.8/0.947817+$CS16*(_xlfn.NORM.DIST(M$3,$CV16,0.3*$CV16,TRUE)-_xlfn.NORM.DIST(M$30,$CV16,0.3*$CV16,TRUE))*summary!$C$6/28.8/0.947817)/(SUMPRODUCT((economics!$AG$2:$AG$167=$B45)*(economics!$D$2:$D$167="whr")*economics!$AH$2:$AH$167*(_xlfn.NORM.DIST(M$3,economics!$AK$2:$AK$167,economics!$AJ$2:$AJ$167,TRUE)-_xlfn.NORM.DIST(M$30,economics!$AK$2:$AK$167,economics!$AJ$2:$AJ$167,TRUE)))+$CR16*(_xlfn.NORM.DIST(M$3,$CU16,0.3*$CU16,TRUE)-_xlfn.NORM.DIST(M$30,$CU16,0.3*$CU16,TRUE))+$CS16*(_xlfn.NORM.DIST(M$3,$CV16,0.3*$CV16,TRUE)-_xlfn.NORM.DIST(M$30,$CV16,0.3*$CV16,TRUE))),""),IF($C16&gt;0,summary!$C$10/28.8/0.947817,""))</f>
        <v/>
      </c>
      <c r="N45">
        <f t="array" ref="N45">IF($D16,IFERROR((SUMPRODUCT((economics!$AG$2:$AG$167=$B45)*(economics!$D$2:$D$167="whr")*economics!$AH$2:$AH$167*(_xlfn.NORM.DIST(N$3,economics!$AK$2:$AK$167,economics!$AJ$2:$AJ$167,TRUE)-_xlfn.NORM.DIST(N$30,economics!$AK$2:$AK$167,economics!$AJ$2:$AJ$167,TRUE))*economics!$AM$2:$AM$167)+$CR16*(_xlfn.NORM.DIST(N$3,$CU16,0.3*$CU16,TRUE)-_xlfn.NORM.DIST(N$30,$CU16,0.3*$CU16,TRUE))*summary!$C$7/28.8/0.947817+$CS16*(_xlfn.NORM.DIST(N$3,$CV16,0.3*$CV16,TRUE)-_xlfn.NORM.DIST(N$30,$CV16,0.3*$CV16,TRUE))*summary!$C$6/28.8/0.947817)/(SUMPRODUCT((economics!$AG$2:$AG$167=$B45)*(economics!$D$2:$D$167="whr")*economics!$AH$2:$AH$167*(_xlfn.NORM.DIST(N$3,economics!$AK$2:$AK$167,economics!$AJ$2:$AJ$167,TRUE)-_xlfn.NORM.DIST(N$30,economics!$AK$2:$AK$167,economics!$AJ$2:$AJ$167,TRUE)))+$CR16*(_xlfn.NORM.DIST(N$3,$CU16,0.3*$CU16,TRUE)-_xlfn.NORM.DIST(N$30,$CU16,0.3*$CU16,TRUE))+$CS16*(_xlfn.NORM.DIST(N$3,$CV16,0.3*$CV16,TRUE)-_xlfn.NORM.DIST(N$30,$CV16,0.3*$CV16,TRUE))),""),IF($C16&gt;0,summary!$C$10/28.8/0.947817,""))</f>
        <v/>
      </c>
      <c r="O45">
        <f t="array" ref="O45">IF($D16,IFERROR((SUMPRODUCT((economics!$AG$2:$AG$167=$B45)*(economics!$D$2:$D$167="whr")*economics!$AH$2:$AH$167*(_xlfn.NORM.DIST(O$3,economics!$AK$2:$AK$167,economics!$AJ$2:$AJ$167,TRUE)-_xlfn.NORM.DIST(O$30,economics!$AK$2:$AK$167,economics!$AJ$2:$AJ$167,TRUE))*economics!$AM$2:$AM$167)+$CR16*(_xlfn.NORM.DIST(O$3,$CU16,0.3*$CU16,TRUE)-_xlfn.NORM.DIST(O$30,$CU16,0.3*$CU16,TRUE))*summary!$C$7/28.8/0.947817+$CS16*(_xlfn.NORM.DIST(O$3,$CV16,0.3*$CV16,TRUE)-_xlfn.NORM.DIST(O$30,$CV16,0.3*$CV16,TRUE))*summary!$C$6/28.8/0.947817)/(SUMPRODUCT((economics!$AG$2:$AG$167=$B45)*(economics!$D$2:$D$167="whr")*economics!$AH$2:$AH$167*(_xlfn.NORM.DIST(O$3,economics!$AK$2:$AK$167,economics!$AJ$2:$AJ$167,TRUE)-_xlfn.NORM.DIST(O$30,economics!$AK$2:$AK$167,economics!$AJ$2:$AJ$167,TRUE)))+$CR16*(_xlfn.NORM.DIST(O$3,$CU16,0.3*$CU16,TRUE)-_xlfn.NORM.DIST(O$30,$CU16,0.3*$CU16,TRUE))+$CS16*(_xlfn.NORM.DIST(O$3,$CV16,0.3*$CV16,TRUE)-_xlfn.NORM.DIST(O$30,$CV16,0.3*$CV16,TRUE))),""),IF($C16&gt;0,summary!$C$10/28.8/0.947817,""))</f>
        <v/>
      </c>
      <c r="P45">
        <f t="array" ref="P45">IF($D16,IFERROR((SUMPRODUCT((economics!$AG$2:$AG$167=$B45)*(economics!$D$2:$D$167="whr")*economics!$AH$2:$AH$167*(_xlfn.NORM.DIST(P$3,economics!$AK$2:$AK$167,economics!$AJ$2:$AJ$167,TRUE)-_xlfn.NORM.DIST(P$30,economics!$AK$2:$AK$167,economics!$AJ$2:$AJ$167,TRUE))*economics!$AM$2:$AM$167)+$CR16*(_xlfn.NORM.DIST(P$3,$CU16,0.3*$CU16,TRUE)-_xlfn.NORM.DIST(P$30,$CU16,0.3*$CU16,TRUE))*summary!$C$7/28.8/0.947817+$CS16*(_xlfn.NORM.DIST(P$3,$CV16,0.3*$CV16,TRUE)-_xlfn.NORM.DIST(P$30,$CV16,0.3*$CV16,TRUE))*summary!$C$6/28.8/0.947817)/(SUMPRODUCT((economics!$AG$2:$AG$167=$B45)*(economics!$D$2:$D$167="whr")*economics!$AH$2:$AH$167*(_xlfn.NORM.DIST(P$3,economics!$AK$2:$AK$167,economics!$AJ$2:$AJ$167,TRUE)-_xlfn.NORM.DIST(P$30,economics!$AK$2:$AK$167,economics!$AJ$2:$AJ$167,TRUE)))+$CR16*(_xlfn.NORM.DIST(P$3,$CU16,0.3*$CU16,TRUE)-_xlfn.NORM.DIST(P$30,$CU16,0.3*$CU16,TRUE))+$CS16*(_xlfn.NORM.DIST(P$3,$CV16,0.3*$CV16,TRUE)-_xlfn.NORM.DIST(P$30,$CV16,0.3*$CV16,TRUE))),""),IF($C16&gt;0,summary!$C$10/28.8/0.947817,""))</f>
        <v/>
      </c>
      <c r="Q45">
        <f t="array" ref="Q45">IF($D16,IFERROR((SUMPRODUCT((economics!$AG$2:$AG$167=$B45)*(economics!$D$2:$D$167="whr")*economics!$AH$2:$AH$167*(_xlfn.NORM.DIST(Q$3,economics!$AK$2:$AK$167,economics!$AJ$2:$AJ$167,TRUE)-_xlfn.NORM.DIST(Q$30,economics!$AK$2:$AK$167,economics!$AJ$2:$AJ$167,TRUE))*economics!$AM$2:$AM$167)+$CR16*(_xlfn.NORM.DIST(Q$3,$CU16,0.3*$CU16,TRUE)-_xlfn.NORM.DIST(Q$30,$CU16,0.3*$CU16,TRUE))*summary!$C$7/28.8/0.947817+$CS16*(_xlfn.NORM.DIST(Q$3,$CV16,0.3*$CV16,TRUE)-_xlfn.NORM.DIST(Q$30,$CV16,0.3*$CV16,TRUE))*summary!$C$6/28.8/0.947817)/(SUMPRODUCT((economics!$AG$2:$AG$167=$B45)*(economics!$D$2:$D$167="whr")*economics!$AH$2:$AH$167*(_xlfn.NORM.DIST(Q$3,economics!$AK$2:$AK$167,economics!$AJ$2:$AJ$167,TRUE)-_xlfn.NORM.DIST(Q$30,economics!$AK$2:$AK$167,economics!$AJ$2:$AJ$167,TRUE)))+$CR16*(_xlfn.NORM.DIST(Q$3,$CU16,0.3*$CU16,TRUE)-_xlfn.NORM.DIST(Q$30,$CU16,0.3*$CU16,TRUE))+$CS16*(_xlfn.NORM.DIST(Q$3,$CV16,0.3*$CV16,TRUE)-_xlfn.NORM.DIST(Q$30,$CV16,0.3*$CV16,TRUE))),""),IF($C16&gt;0,summary!$C$10/28.8/0.947817,""))</f>
        <v/>
      </c>
      <c r="R45">
        <f t="array" ref="R45">IF($D16,IFERROR((SUMPRODUCT((economics!$AG$2:$AG$167=$B45)*(economics!$D$2:$D$167="whr")*economics!$AH$2:$AH$167*(_xlfn.NORM.DIST(R$3,economics!$AK$2:$AK$167,economics!$AJ$2:$AJ$167,TRUE)-_xlfn.NORM.DIST(R$30,economics!$AK$2:$AK$167,economics!$AJ$2:$AJ$167,TRUE))*economics!$AM$2:$AM$167)+$CR16*(_xlfn.NORM.DIST(R$3,$CU16,0.3*$CU16,TRUE)-_xlfn.NORM.DIST(R$30,$CU16,0.3*$CU16,TRUE))*summary!$C$7/28.8/0.947817+$CS16*(_xlfn.NORM.DIST(R$3,$CV16,0.3*$CV16,TRUE)-_xlfn.NORM.DIST(R$30,$CV16,0.3*$CV16,TRUE))*summary!$C$6/28.8/0.947817)/(SUMPRODUCT((economics!$AG$2:$AG$167=$B45)*(economics!$D$2:$D$167="whr")*economics!$AH$2:$AH$167*(_xlfn.NORM.DIST(R$3,economics!$AK$2:$AK$167,economics!$AJ$2:$AJ$167,TRUE)-_xlfn.NORM.DIST(R$30,economics!$AK$2:$AK$167,economics!$AJ$2:$AJ$167,TRUE)))+$CR16*(_xlfn.NORM.DIST(R$3,$CU16,0.3*$CU16,TRUE)-_xlfn.NORM.DIST(R$30,$CU16,0.3*$CU16,TRUE))+$CS16*(_xlfn.NORM.DIST(R$3,$CV16,0.3*$CV16,TRUE)-_xlfn.NORM.DIST(R$30,$CV16,0.3*$CV16,TRUE))),""),IF($C16&gt;0,summary!$C$10/28.8/0.947817,""))</f>
        <v/>
      </c>
      <c r="S45">
        <f t="array" ref="S45">IF($D16,IFERROR((SUMPRODUCT((economics!$AG$2:$AG$167=$B45)*(economics!$D$2:$D$167="whr")*economics!$AH$2:$AH$167*(_xlfn.NORM.DIST(S$3,economics!$AK$2:$AK$167,economics!$AJ$2:$AJ$167,TRUE)-_xlfn.NORM.DIST(S$30,economics!$AK$2:$AK$167,economics!$AJ$2:$AJ$167,TRUE))*economics!$AM$2:$AM$167)+$CR16*(_xlfn.NORM.DIST(S$3,$CU16,0.3*$CU16,TRUE)-_xlfn.NORM.DIST(S$30,$CU16,0.3*$CU16,TRUE))*summary!$C$7/28.8/0.947817+$CS16*(_xlfn.NORM.DIST(S$3,$CV16,0.3*$CV16,TRUE)-_xlfn.NORM.DIST(S$30,$CV16,0.3*$CV16,TRUE))*summary!$C$6/28.8/0.947817)/(SUMPRODUCT((economics!$AG$2:$AG$167=$B45)*(economics!$D$2:$D$167="whr")*economics!$AH$2:$AH$167*(_xlfn.NORM.DIST(S$3,economics!$AK$2:$AK$167,economics!$AJ$2:$AJ$167,TRUE)-_xlfn.NORM.DIST(S$30,economics!$AK$2:$AK$167,economics!$AJ$2:$AJ$167,TRUE)))+$CR16*(_xlfn.NORM.DIST(S$3,$CU16,0.3*$CU16,TRUE)-_xlfn.NORM.DIST(S$30,$CU16,0.3*$CU16,TRUE))+$CS16*(_xlfn.NORM.DIST(S$3,$CV16,0.3*$CV16,TRUE)-_xlfn.NORM.DIST(S$30,$CV16,0.3*$CV16,TRUE))),""),IF($C16&gt;0,summary!$C$10/28.8/0.947817,""))</f>
        <v/>
      </c>
      <c r="T45">
        <f t="array" ref="T45">IF($D16,IFERROR((SUMPRODUCT((economics!$AG$2:$AG$167=$B45)*(economics!$D$2:$D$167="whr")*economics!$AH$2:$AH$167*(_xlfn.NORM.DIST(T$3,economics!$AK$2:$AK$167,economics!$AJ$2:$AJ$167,TRUE)-_xlfn.NORM.DIST(T$30,economics!$AK$2:$AK$167,economics!$AJ$2:$AJ$167,TRUE))*economics!$AM$2:$AM$167)+$CR16*(_xlfn.NORM.DIST(T$3,$CU16,0.3*$CU16,TRUE)-_xlfn.NORM.DIST(T$30,$CU16,0.3*$CU16,TRUE))*summary!$C$7/28.8/0.947817+$CS16*(_xlfn.NORM.DIST(T$3,$CV16,0.3*$CV16,TRUE)-_xlfn.NORM.DIST(T$30,$CV16,0.3*$CV16,TRUE))*summary!$C$6/28.8/0.947817)/(SUMPRODUCT((economics!$AG$2:$AG$167=$B45)*(economics!$D$2:$D$167="whr")*economics!$AH$2:$AH$167*(_xlfn.NORM.DIST(T$3,economics!$AK$2:$AK$167,economics!$AJ$2:$AJ$167,TRUE)-_xlfn.NORM.DIST(T$30,economics!$AK$2:$AK$167,economics!$AJ$2:$AJ$167,TRUE)))+$CR16*(_xlfn.NORM.DIST(T$3,$CU16,0.3*$CU16,TRUE)-_xlfn.NORM.DIST(T$30,$CU16,0.3*$CU16,TRUE))+$CS16*(_xlfn.NORM.DIST(T$3,$CV16,0.3*$CV16,TRUE)-_xlfn.NORM.DIST(T$30,$CV16,0.3*$CV16,TRUE))),""),IF($C16&gt;0,summary!$C$10/28.8/0.947817,""))</f>
        <v/>
      </c>
      <c r="U45">
        <f t="array" ref="U45">IF($D16,IFERROR((SUMPRODUCT((economics!$AG$2:$AG$167=$B45)*(economics!$D$2:$D$167="whr")*economics!$AH$2:$AH$167*(_xlfn.NORM.DIST(U$3,economics!$AK$2:$AK$167,economics!$AJ$2:$AJ$167,TRUE)-_xlfn.NORM.DIST(U$30,economics!$AK$2:$AK$167,economics!$AJ$2:$AJ$167,TRUE))*economics!$AM$2:$AM$167)+$CR16*(_xlfn.NORM.DIST(U$3,$CU16,0.3*$CU16,TRUE)-_xlfn.NORM.DIST(U$30,$CU16,0.3*$CU16,TRUE))*summary!$C$7/28.8/0.947817+$CS16*(_xlfn.NORM.DIST(U$3,$CV16,0.3*$CV16,TRUE)-_xlfn.NORM.DIST(U$30,$CV16,0.3*$CV16,TRUE))*summary!$C$6/28.8/0.947817)/(SUMPRODUCT((economics!$AG$2:$AG$167=$B45)*(economics!$D$2:$D$167="whr")*economics!$AH$2:$AH$167*(_xlfn.NORM.DIST(U$3,economics!$AK$2:$AK$167,economics!$AJ$2:$AJ$167,TRUE)-_xlfn.NORM.DIST(U$30,economics!$AK$2:$AK$167,economics!$AJ$2:$AJ$167,TRUE)))+$CR16*(_xlfn.NORM.DIST(U$3,$CU16,0.3*$CU16,TRUE)-_xlfn.NORM.DIST(U$30,$CU16,0.3*$CU16,TRUE))+$CS16*(_xlfn.NORM.DIST(U$3,$CV16,0.3*$CV16,TRUE)-_xlfn.NORM.DIST(U$30,$CV16,0.3*$CV16,TRUE))),""),IF($C16&gt;0,summary!$C$10/28.8/0.947817,""))</f>
        <v/>
      </c>
      <c r="V45">
        <f t="array" ref="V45">IF($D16,IFERROR((SUMPRODUCT((economics!$AG$2:$AG$167=$B45)*(economics!$D$2:$D$167="whr")*economics!$AH$2:$AH$167*(_xlfn.NORM.DIST(V$3,economics!$AK$2:$AK$167,economics!$AJ$2:$AJ$167,TRUE)-_xlfn.NORM.DIST(V$30,economics!$AK$2:$AK$167,economics!$AJ$2:$AJ$167,TRUE))*economics!$AM$2:$AM$167)+$CR16*(_xlfn.NORM.DIST(V$3,$CU16,0.3*$CU16,TRUE)-_xlfn.NORM.DIST(V$30,$CU16,0.3*$CU16,TRUE))*summary!$C$7/28.8/0.947817+$CS16*(_xlfn.NORM.DIST(V$3,$CV16,0.3*$CV16,TRUE)-_xlfn.NORM.DIST(V$30,$CV16,0.3*$CV16,TRUE))*summary!$C$6/28.8/0.947817)/(SUMPRODUCT((economics!$AG$2:$AG$167=$B45)*(economics!$D$2:$D$167="whr")*economics!$AH$2:$AH$167*(_xlfn.NORM.DIST(V$3,economics!$AK$2:$AK$167,economics!$AJ$2:$AJ$167,TRUE)-_xlfn.NORM.DIST(V$30,economics!$AK$2:$AK$167,economics!$AJ$2:$AJ$167,TRUE)))+$CR16*(_xlfn.NORM.DIST(V$3,$CU16,0.3*$CU16,TRUE)-_xlfn.NORM.DIST(V$30,$CU16,0.3*$CU16,TRUE))+$CS16*(_xlfn.NORM.DIST(V$3,$CV16,0.3*$CV16,TRUE)-_xlfn.NORM.DIST(V$30,$CV16,0.3*$CV16,TRUE))),""),IF($C16&gt;0,summary!$C$10/28.8/0.947817,""))</f>
        <v/>
      </c>
      <c r="W45">
        <f t="array" ref="W45">IF($D16,IFERROR((SUMPRODUCT((economics!$AG$2:$AG$167=$B45)*(economics!$D$2:$D$167="whr")*economics!$AH$2:$AH$167*(_xlfn.NORM.DIST(W$3,economics!$AK$2:$AK$167,economics!$AJ$2:$AJ$167,TRUE)-_xlfn.NORM.DIST(W$30,economics!$AK$2:$AK$167,economics!$AJ$2:$AJ$167,TRUE))*economics!$AM$2:$AM$167)+$CR16*(_xlfn.NORM.DIST(W$3,$CU16,0.3*$CU16,TRUE)-_xlfn.NORM.DIST(W$30,$CU16,0.3*$CU16,TRUE))*summary!$C$7/28.8/0.947817+$CS16*(_xlfn.NORM.DIST(W$3,$CV16,0.3*$CV16,TRUE)-_xlfn.NORM.DIST(W$30,$CV16,0.3*$CV16,TRUE))*summary!$C$6/28.8/0.947817)/(SUMPRODUCT((economics!$AG$2:$AG$167=$B45)*(economics!$D$2:$D$167="whr")*economics!$AH$2:$AH$167*(_xlfn.NORM.DIST(W$3,economics!$AK$2:$AK$167,economics!$AJ$2:$AJ$167,TRUE)-_xlfn.NORM.DIST(W$30,economics!$AK$2:$AK$167,economics!$AJ$2:$AJ$167,TRUE)))+$CR16*(_xlfn.NORM.DIST(W$3,$CU16,0.3*$CU16,TRUE)-_xlfn.NORM.DIST(W$30,$CU16,0.3*$CU16,TRUE))+$CS16*(_xlfn.NORM.DIST(W$3,$CV16,0.3*$CV16,TRUE)-_xlfn.NORM.DIST(W$30,$CV16,0.3*$CV16,TRUE))),""),IF($C16&gt;0,summary!$C$10/28.8/0.947817,""))</f>
        <v/>
      </c>
      <c r="X45">
        <f t="array" ref="X45">IF($D16,IFERROR((SUMPRODUCT((economics!$AG$2:$AG$167=$B45)*(economics!$D$2:$D$167="whr")*economics!$AH$2:$AH$167*(_xlfn.NORM.DIST(X$3,economics!$AK$2:$AK$167,economics!$AJ$2:$AJ$167,TRUE)-_xlfn.NORM.DIST(X$30,economics!$AK$2:$AK$167,economics!$AJ$2:$AJ$167,TRUE))*economics!$AM$2:$AM$167)+$CR16*(_xlfn.NORM.DIST(X$3,$CU16,0.3*$CU16,TRUE)-_xlfn.NORM.DIST(X$30,$CU16,0.3*$CU16,TRUE))*summary!$C$7/28.8/0.947817+$CS16*(_xlfn.NORM.DIST(X$3,$CV16,0.3*$CV16,TRUE)-_xlfn.NORM.DIST(X$30,$CV16,0.3*$CV16,TRUE))*summary!$C$6/28.8/0.947817)/(SUMPRODUCT((economics!$AG$2:$AG$167=$B45)*(economics!$D$2:$D$167="whr")*economics!$AH$2:$AH$167*(_xlfn.NORM.DIST(X$3,economics!$AK$2:$AK$167,economics!$AJ$2:$AJ$167,TRUE)-_xlfn.NORM.DIST(X$30,economics!$AK$2:$AK$167,economics!$AJ$2:$AJ$167,TRUE)))+$CR16*(_xlfn.NORM.DIST(X$3,$CU16,0.3*$CU16,TRUE)-_xlfn.NORM.DIST(X$30,$CU16,0.3*$CU16,TRUE))+$CS16*(_xlfn.NORM.DIST(X$3,$CV16,0.3*$CV16,TRUE)-_xlfn.NORM.DIST(X$30,$CV16,0.3*$CV16,TRUE))),""),IF($C16&gt;0,summary!$C$10/28.8/0.947817,""))</f>
        <v/>
      </c>
      <c r="Y45">
        <f t="array" ref="Y45">IF($D16,IFERROR((SUMPRODUCT((economics!$AG$2:$AG$167=$B45)*(economics!$D$2:$D$167="whr")*economics!$AH$2:$AH$167*(_xlfn.NORM.DIST(Y$3,economics!$AK$2:$AK$167,economics!$AJ$2:$AJ$167,TRUE)-_xlfn.NORM.DIST(Y$30,economics!$AK$2:$AK$167,economics!$AJ$2:$AJ$167,TRUE))*economics!$AM$2:$AM$167)+$CR16*(_xlfn.NORM.DIST(Y$3,$CU16,0.3*$CU16,TRUE)-_xlfn.NORM.DIST(Y$30,$CU16,0.3*$CU16,TRUE))*summary!$C$7/28.8/0.947817+$CS16*(_xlfn.NORM.DIST(Y$3,$CV16,0.3*$CV16,TRUE)-_xlfn.NORM.DIST(Y$30,$CV16,0.3*$CV16,TRUE))*summary!$C$6/28.8/0.947817)/(SUMPRODUCT((economics!$AG$2:$AG$167=$B45)*(economics!$D$2:$D$167="whr")*economics!$AH$2:$AH$167*(_xlfn.NORM.DIST(Y$3,economics!$AK$2:$AK$167,economics!$AJ$2:$AJ$167,TRUE)-_xlfn.NORM.DIST(Y$30,economics!$AK$2:$AK$167,economics!$AJ$2:$AJ$167,TRUE)))+$CR16*(_xlfn.NORM.DIST(Y$3,$CU16,0.3*$CU16,TRUE)-_xlfn.NORM.DIST(Y$30,$CU16,0.3*$CU16,TRUE))+$CS16*(_xlfn.NORM.DIST(Y$3,$CV16,0.3*$CV16,TRUE)-_xlfn.NORM.DIST(Y$30,$CV16,0.3*$CV16,TRUE))),""),IF($C16&gt;0,summary!$C$10/28.8/0.947817,""))</f>
        <v/>
      </c>
      <c r="Z45">
        <f t="array" ref="Z45">IF($D16,IFERROR((SUMPRODUCT((economics!$AG$2:$AG$167=$B45)*(economics!$D$2:$D$167="whr")*economics!$AH$2:$AH$167*(_xlfn.NORM.DIST(Z$3,economics!$AK$2:$AK$167,economics!$AJ$2:$AJ$167,TRUE)-_xlfn.NORM.DIST(Z$30,economics!$AK$2:$AK$167,economics!$AJ$2:$AJ$167,TRUE))*economics!$AM$2:$AM$167)+$CR16*(_xlfn.NORM.DIST(Z$3,$CU16,0.3*$CU16,TRUE)-_xlfn.NORM.DIST(Z$30,$CU16,0.3*$CU16,TRUE))*summary!$C$7/28.8/0.947817+$CS16*(_xlfn.NORM.DIST(Z$3,$CV16,0.3*$CV16,TRUE)-_xlfn.NORM.DIST(Z$30,$CV16,0.3*$CV16,TRUE))*summary!$C$6/28.8/0.947817)/(SUMPRODUCT((economics!$AG$2:$AG$167=$B45)*(economics!$D$2:$D$167="whr")*economics!$AH$2:$AH$167*(_xlfn.NORM.DIST(Z$3,economics!$AK$2:$AK$167,economics!$AJ$2:$AJ$167,TRUE)-_xlfn.NORM.DIST(Z$30,economics!$AK$2:$AK$167,economics!$AJ$2:$AJ$167,TRUE)))+$CR16*(_xlfn.NORM.DIST(Z$3,$CU16,0.3*$CU16,TRUE)-_xlfn.NORM.DIST(Z$30,$CU16,0.3*$CU16,TRUE))+$CS16*(_xlfn.NORM.DIST(Z$3,$CV16,0.3*$CV16,TRUE)-_xlfn.NORM.DIST(Z$30,$CV16,0.3*$CV16,TRUE))),""),IF($C16&gt;0,summary!$C$10/28.8/0.947817,""))</f>
        <v/>
      </c>
      <c r="AA45">
        <f t="array" ref="AA45">IF($D16,IFERROR((SUMPRODUCT((economics!$AG$2:$AG$167=$B45)*(economics!$D$2:$D$167="whr")*economics!$AH$2:$AH$167*(_xlfn.NORM.DIST(AA$3,economics!$AK$2:$AK$167,economics!$AJ$2:$AJ$167,TRUE)-_xlfn.NORM.DIST(AA$30,economics!$AK$2:$AK$167,economics!$AJ$2:$AJ$167,TRUE))*economics!$AM$2:$AM$167)+$CR16*(_xlfn.NORM.DIST(AA$3,$CU16,0.3*$CU16,TRUE)-_xlfn.NORM.DIST(AA$30,$CU16,0.3*$CU16,TRUE))*summary!$C$7/28.8/0.947817+$CS16*(_xlfn.NORM.DIST(AA$3,$CV16,0.3*$CV16,TRUE)-_xlfn.NORM.DIST(AA$30,$CV16,0.3*$CV16,TRUE))*summary!$C$6/28.8/0.947817)/(SUMPRODUCT((economics!$AG$2:$AG$167=$B45)*(economics!$D$2:$D$167="whr")*economics!$AH$2:$AH$167*(_xlfn.NORM.DIST(AA$3,economics!$AK$2:$AK$167,economics!$AJ$2:$AJ$167,TRUE)-_xlfn.NORM.DIST(AA$30,economics!$AK$2:$AK$167,economics!$AJ$2:$AJ$167,TRUE)))+$CR16*(_xlfn.NORM.DIST(AA$3,$CU16,0.3*$CU16,TRUE)-_xlfn.NORM.DIST(AA$30,$CU16,0.3*$CU16,TRUE))+$CS16*(_xlfn.NORM.DIST(AA$3,$CV16,0.3*$CV16,TRUE)-_xlfn.NORM.DIST(AA$30,$CV16,0.3*$CV16,TRUE))),""),IF($C16&gt;0,summary!$C$10/28.8/0.947817,""))</f>
        <v/>
      </c>
      <c r="AB45">
        <f t="array" ref="AB45">IF($D16,IFERROR((SUMPRODUCT((economics!$AG$2:$AG$167=$B45)*(economics!$D$2:$D$167="whr")*economics!$AH$2:$AH$167*(_xlfn.NORM.DIST(AB$3,economics!$AK$2:$AK$167,economics!$AJ$2:$AJ$167,TRUE)-_xlfn.NORM.DIST(AB$30,economics!$AK$2:$AK$167,economics!$AJ$2:$AJ$167,TRUE))*economics!$AM$2:$AM$167)+$CR16*(_xlfn.NORM.DIST(AB$3,$CU16,0.3*$CU16,TRUE)-_xlfn.NORM.DIST(AB$30,$CU16,0.3*$CU16,TRUE))*summary!$C$7/28.8/0.947817+$CS16*(_xlfn.NORM.DIST(AB$3,$CV16,0.3*$CV16,TRUE)-_xlfn.NORM.DIST(AB$30,$CV16,0.3*$CV16,TRUE))*summary!$C$6/28.8/0.947817)/(SUMPRODUCT((economics!$AG$2:$AG$167=$B45)*(economics!$D$2:$D$167="whr")*economics!$AH$2:$AH$167*(_xlfn.NORM.DIST(AB$3,economics!$AK$2:$AK$167,economics!$AJ$2:$AJ$167,TRUE)-_xlfn.NORM.DIST(AB$30,economics!$AK$2:$AK$167,economics!$AJ$2:$AJ$167,TRUE)))+$CR16*(_xlfn.NORM.DIST(AB$3,$CU16,0.3*$CU16,TRUE)-_xlfn.NORM.DIST(AB$30,$CU16,0.3*$CU16,TRUE))+$CS16*(_xlfn.NORM.DIST(AB$3,$CV16,0.3*$CV16,TRUE)-_xlfn.NORM.DIST(AB$30,$CV16,0.3*$CV16,TRUE))),""),IF($C16&gt;0,summary!$C$10/28.8/0.947817,""))</f>
        <v/>
      </c>
      <c r="AC45">
        <f t="array" ref="AC45">IF($D16,IFERROR((SUMPRODUCT((economics!$AG$2:$AG$167=$B45)*(economics!$D$2:$D$167="whr")*economics!$AH$2:$AH$167*(_xlfn.NORM.DIST(AC$3,economics!$AK$2:$AK$167,economics!$AJ$2:$AJ$167,TRUE)-_xlfn.NORM.DIST(AC$30,economics!$AK$2:$AK$167,economics!$AJ$2:$AJ$167,TRUE))*economics!$AM$2:$AM$167)+$CR16*(_xlfn.NORM.DIST(AC$3,$CU16,0.3*$CU16,TRUE)-_xlfn.NORM.DIST(AC$30,$CU16,0.3*$CU16,TRUE))*summary!$C$7/28.8/0.947817+$CS16*(_xlfn.NORM.DIST(AC$3,$CV16,0.3*$CV16,TRUE)-_xlfn.NORM.DIST(AC$30,$CV16,0.3*$CV16,TRUE))*summary!$C$6/28.8/0.947817)/(SUMPRODUCT((economics!$AG$2:$AG$167=$B45)*(economics!$D$2:$D$167="whr")*economics!$AH$2:$AH$167*(_xlfn.NORM.DIST(AC$3,economics!$AK$2:$AK$167,economics!$AJ$2:$AJ$167,TRUE)-_xlfn.NORM.DIST(AC$30,economics!$AK$2:$AK$167,economics!$AJ$2:$AJ$167,TRUE)))+$CR16*(_xlfn.NORM.DIST(AC$3,$CU16,0.3*$CU16,TRUE)-_xlfn.NORM.DIST(AC$30,$CU16,0.3*$CU16,TRUE))+$CS16*(_xlfn.NORM.DIST(AC$3,$CV16,0.3*$CV16,TRUE)-_xlfn.NORM.DIST(AC$30,$CV16,0.3*$CV16,TRUE))),""),IF($C16&gt;0,summary!$C$10/28.8/0.947817,""))</f>
        <v/>
      </c>
      <c r="AD45">
        <f t="array" ref="AD45">IF($D16,IFERROR((SUMPRODUCT((economics!$AG$2:$AG$167=$B45)*(economics!$D$2:$D$167="whr")*economics!$AH$2:$AH$167*(_xlfn.NORM.DIST(AD$3,economics!$AK$2:$AK$167,economics!$AJ$2:$AJ$167,TRUE)-_xlfn.NORM.DIST(AD$30,economics!$AK$2:$AK$167,economics!$AJ$2:$AJ$167,TRUE))*economics!$AM$2:$AM$167)+$CR16*(_xlfn.NORM.DIST(AD$3,$CU16,0.3*$CU16,TRUE)-_xlfn.NORM.DIST(AD$30,$CU16,0.3*$CU16,TRUE))*summary!$C$7/28.8/0.947817+$CS16*(_xlfn.NORM.DIST(AD$3,$CV16,0.3*$CV16,TRUE)-_xlfn.NORM.DIST(AD$30,$CV16,0.3*$CV16,TRUE))*summary!$C$6/28.8/0.947817)/(SUMPRODUCT((economics!$AG$2:$AG$167=$B45)*(economics!$D$2:$D$167="whr")*economics!$AH$2:$AH$167*(_xlfn.NORM.DIST(AD$3,economics!$AK$2:$AK$167,economics!$AJ$2:$AJ$167,TRUE)-_xlfn.NORM.DIST(AD$30,economics!$AK$2:$AK$167,economics!$AJ$2:$AJ$167,TRUE)))+$CR16*(_xlfn.NORM.DIST(AD$3,$CU16,0.3*$CU16,TRUE)-_xlfn.NORM.DIST(AD$30,$CU16,0.3*$CU16,TRUE))+$CS16*(_xlfn.NORM.DIST(AD$3,$CV16,0.3*$CV16,TRUE)-_xlfn.NORM.DIST(AD$30,$CV16,0.3*$CV16,TRUE))),""),IF($C16&gt;0,summary!$C$10/28.8/0.947817,""))</f>
        <v/>
      </c>
      <c r="AE45">
        <f t="array" ref="AE45">IF($D16,IFERROR((SUMPRODUCT((economics!$AG$2:$AG$167=$B45)*(economics!$D$2:$D$167="whr")*economics!$AH$2:$AH$167*(_xlfn.NORM.DIST(AE$3,economics!$AK$2:$AK$167,economics!$AJ$2:$AJ$167,TRUE)-_xlfn.NORM.DIST(AE$30,economics!$AK$2:$AK$167,economics!$AJ$2:$AJ$167,TRUE))*economics!$AM$2:$AM$167)+$CR16*(_xlfn.NORM.DIST(AE$3,$CU16,0.3*$CU16,TRUE)-_xlfn.NORM.DIST(AE$30,$CU16,0.3*$CU16,TRUE))*summary!$C$7/28.8/0.947817+$CS16*(_xlfn.NORM.DIST(AE$3,$CV16,0.3*$CV16,TRUE)-_xlfn.NORM.DIST(AE$30,$CV16,0.3*$CV16,TRUE))*summary!$C$6/28.8/0.947817)/(SUMPRODUCT((economics!$AG$2:$AG$167=$B45)*(economics!$D$2:$D$167="whr")*economics!$AH$2:$AH$167*(_xlfn.NORM.DIST(AE$3,economics!$AK$2:$AK$167,economics!$AJ$2:$AJ$167,TRUE)-_xlfn.NORM.DIST(AE$30,economics!$AK$2:$AK$167,economics!$AJ$2:$AJ$167,TRUE)))+$CR16*(_xlfn.NORM.DIST(AE$3,$CU16,0.3*$CU16,TRUE)-_xlfn.NORM.DIST(AE$30,$CU16,0.3*$CU16,TRUE))+$CS16*(_xlfn.NORM.DIST(AE$3,$CV16,0.3*$CV16,TRUE)-_xlfn.NORM.DIST(AE$30,$CV16,0.3*$CV16,TRUE))),""),IF($C16&gt;0,summary!$C$10/28.8/0.947817,""))</f>
        <v/>
      </c>
      <c r="AF45">
        <f t="array" ref="AF45">IF($D16,IFERROR((SUMPRODUCT((economics!$AG$2:$AG$167=$B45)*(economics!$D$2:$D$167="whr")*economics!$AH$2:$AH$167*(_xlfn.NORM.DIST(AF$3,economics!$AK$2:$AK$167,economics!$AJ$2:$AJ$167,TRUE)-_xlfn.NORM.DIST(AF$30,economics!$AK$2:$AK$167,economics!$AJ$2:$AJ$167,TRUE))*economics!$AM$2:$AM$167)+$CR16*(_xlfn.NORM.DIST(AF$3,$CU16,0.3*$CU16,TRUE)-_xlfn.NORM.DIST(AF$30,$CU16,0.3*$CU16,TRUE))*summary!$C$7/28.8/0.947817+$CS16*(_xlfn.NORM.DIST(AF$3,$CV16,0.3*$CV16,TRUE)-_xlfn.NORM.DIST(AF$30,$CV16,0.3*$CV16,TRUE))*summary!$C$6/28.8/0.947817)/(SUMPRODUCT((economics!$AG$2:$AG$167=$B45)*(economics!$D$2:$D$167="whr")*economics!$AH$2:$AH$167*(_xlfn.NORM.DIST(AF$3,economics!$AK$2:$AK$167,economics!$AJ$2:$AJ$167,TRUE)-_xlfn.NORM.DIST(AF$30,economics!$AK$2:$AK$167,economics!$AJ$2:$AJ$167,TRUE)))+$CR16*(_xlfn.NORM.DIST(AF$3,$CU16,0.3*$CU16,TRUE)-_xlfn.NORM.DIST(AF$30,$CU16,0.3*$CU16,TRUE))+$CS16*(_xlfn.NORM.DIST(AF$3,$CV16,0.3*$CV16,TRUE)-_xlfn.NORM.DIST(AF$30,$CV16,0.3*$CV16,TRUE))),""),IF($C16&gt;0,summary!$C$10/28.8/0.947817,""))</f>
        <v/>
      </c>
      <c r="AG45">
        <f t="array" ref="AG45">IF($D16,IFERROR((SUMPRODUCT((economics!$AG$2:$AG$167=$B45)*(economics!$D$2:$D$167="whr")*economics!$AH$2:$AH$167*(_xlfn.NORM.DIST(AG$3,economics!$AK$2:$AK$167,economics!$AJ$2:$AJ$167,TRUE)-_xlfn.NORM.DIST(AG$30,economics!$AK$2:$AK$167,economics!$AJ$2:$AJ$167,TRUE))*economics!$AM$2:$AM$167)+$CR16*(_xlfn.NORM.DIST(AG$3,$CU16,0.3*$CU16,TRUE)-_xlfn.NORM.DIST(AG$30,$CU16,0.3*$CU16,TRUE))*summary!$C$7/28.8/0.947817+$CS16*(_xlfn.NORM.DIST(AG$3,$CV16,0.3*$CV16,TRUE)-_xlfn.NORM.DIST(AG$30,$CV16,0.3*$CV16,TRUE))*summary!$C$6/28.8/0.947817)/(SUMPRODUCT((economics!$AG$2:$AG$167=$B45)*(economics!$D$2:$D$167="whr")*economics!$AH$2:$AH$167*(_xlfn.NORM.DIST(AG$3,economics!$AK$2:$AK$167,economics!$AJ$2:$AJ$167,TRUE)-_xlfn.NORM.DIST(AG$30,economics!$AK$2:$AK$167,economics!$AJ$2:$AJ$167,TRUE)))+$CR16*(_xlfn.NORM.DIST(AG$3,$CU16,0.3*$CU16,TRUE)-_xlfn.NORM.DIST(AG$30,$CU16,0.3*$CU16,TRUE))+$CS16*(_xlfn.NORM.DIST(AG$3,$CV16,0.3*$CV16,TRUE)-_xlfn.NORM.DIST(AG$30,$CV16,0.3*$CV16,TRUE))),""),IF($C16&gt;0,summary!$C$10/28.8/0.947817,""))</f>
        <v/>
      </c>
      <c r="AH45">
        <f t="array" ref="AH45">IF($D16,IFERROR((SUMPRODUCT((economics!$AG$2:$AG$167=$B45)*(economics!$D$2:$D$167="whr")*economics!$AH$2:$AH$167*(_xlfn.NORM.DIST(AH$3,economics!$AK$2:$AK$167,economics!$AJ$2:$AJ$167,TRUE)-_xlfn.NORM.DIST(AH$30,economics!$AK$2:$AK$167,economics!$AJ$2:$AJ$167,TRUE))*economics!$AM$2:$AM$167)+$CR16*(_xlfn.NORM.DIST(AH$3,$CU16,0.3*$CU16,TRUE)-_xlfn.NORM.DIST(AH$30,$CU16,0.3*$CU16,TRUE))*summary!$C$7/28.8/0.947817+$CS16*(_xlfn.NORM.DIST(AH$3,$CV16,0.3*$CV16,TRUE)-_xlfn.NORM.DIST(AH$30,$CV16,0.3*$CV16,TRUE))*summary!$C$6/28.8/0.947817)/(SUMPRODUCT((economics!$AG$2:$AG$167=$B45)*(economics!$D$2:$D$167="whr")*economics!$AH$2:$AH$167*(_xlfn.NORM.DIST(AH$3,economics!$AK$2:$AK$167,economics!$AJ$2:$AJ$167,TRUE)-_xlfn.NORM.DIST(AH$30,economics!$AK$2:$AK$167,economics!$AJ$2:$AJ$167,TRUE)))+$CR16*(_xlfn.NORM.DIST(AH$3,$CU16,0.3*$CU16,TRUE)-_xlfn.NORM.DIST(AH$30,$CU16,0.3*$CU16,TRUE))+$CS16*(_xlfn.NORM.DIST(AH$3,$CV16,0.3*$CV16,TRUE)-_xlfn.NORM.DIST(AH$30,$CV16,0.3*$CV16,TRUE))),""),IF($C16&gt;0,summary!$C$10/28.8/0.947817,""))</f>
        <v/>
      </c>
      <c r="AI45">
        <f t="array" ref="AI45">IF($D16,IFERROR((SUMPRODUCT((economics!$AG$2:$AG$167=$B45)*(economics!$D$2:$D$167="whr")*economics!$AH$2:$AH$167*(_xlfn.NORM.DIST(AI$3,economics!$AK$2:$AK$167,economics!$AJ$2:$AJ$167,TRUE)-_xlfn.NORM.DIST(AI$30,economics!$AK$2:$AK$167,economics!$AJ$2:$AJ$167,TRUE))*economics!$AM$2:$AM$167)+$CR16*(_xlfn.NORM.DIST(AI$3,$CU16,0.3*$CU16,TRUE)-_xlfn.NORM.DIST(AI$30,$CU16,0.3*$CU16,TRUE))*summary!$C$7/28.8/0.947817+$CS16*(_xlfn.NORM.DIST(AI$3,$CV16,0.3*$CV16,TRUE)-_xlfn.NORM.DIST(AI$30,$CV16,0.3*$CV16,TRUE))*summary!$C$6/28.8/0.947817)/(SUMPRODUCT((economics!$AG$2:$AG$167=$B45)*(economics!$D$2:$D$167="whr")*economics!$AH$2:$AH$167*(_xlfn.NORM.DIST(AI$3,economics!$AK$2:$AK$167,economics!$AJ$2:$AJ$167,TRUE)-_xlfn.NORM.DIST(AI$30,economics!$AK$2:$AK$167,economics!$AJ$2:$AJ$167,TRUE)))+$CR16*(_xlfn.NORM.DIST(AI$3,$CU16,0.3*$CU16,TRUE)-_xlfn.NORM.DIST(AI$30,$CU16,0.3*$CU16,TRUE))+$CS16*(_xlfn.NORM.DIST(AI$3,$CV16,0.3*$CV16,TRUE)-_xlfn.NORM.DIST(AI$30,$CV16,0.3*$CV16,TRUE))),""),IF($C16&gt;0,summary!$C$10/28.8/0.947817,""))</f>
        <v/>
      </c>
      <c r="AJ45">
        <f t="array" ref="AJ45">IF($D16,IFERROR((SUMPRODUCT((economics!$AG$2:$AG$167=$B45)*(economics!$D$2:$D$167="whr")*economics!$AH$2:$AH$167*(_xlfn.NORM.DIST(AJ$3,economics!$AK$2:$AK$167,economics!$AJ$2:$AJ$167,TRUE)-_xlfn.NORM.DIST(AJ$30,economics!$AK$2:$AK$167,economics!$AJ$2:$AJ$167,TRUE))*economics!$AM$2:$AM$167)+$CR16*(_xlfn.NORM.DIST(AJ$3,$CU16,0.3*$CU16,TRUE)-_xlfn.NORM.DIST(AJ$30,$CU16,0.3*$CU16,TRUE))*summary!$C$7/28.8/0.947817+$CS16*(_xlfn.NORM.DIST(AJ$3,$CV16,0.3*$CV16,TRUE)-_xlfn.NORM.DIST(AJ$30,$CV16,0.3*$CV16,TRUE))*summary!$C$6/28.8/0.947817)/(SUMPRODUCT((economics!$AG$2:$AG$167=$B45)*(economics!$D$2:$D$167="whr")*economics!$AH$2:$AH$167*(_xlfn.NORM.DIST(AJ$3,economics!$AK$2:$AK$167,economics!$AJ$2:$AJ$167,TRUE)-_xlfn.NORM.DIST(AJ$30,economics!$AK$2:$AK$167,economics!$AJ$2:$AJ$167,TRUE)))+$CR16*(_xlfn.NORM.DIST(AJ$3,$CU16,0.3*$CU16,TRUE)-_xlfn.NORM.DIST(AJ$30,$CU16,0.3*$CU16,TRUE))+$CS16*(_xlfn.NORM.DIST(AJ$3,$CV16,0.3*$CV16,TRUE)-_xlfn.NORM.DIST(AJ$30,$CV16,0.3*$CV16,TRUE))),""),IF($C16&gt;0,summary!$C$10/28.8/0.947817,""))</f>
        <v/>
      </c>
      <c r="AK45">
        <f t="array" ref="AK45">IF($D16,IFERROR((SUMPRODUCT((economics!$AG$2:$AG$167=$B45)*(economics!$D$2:$D$167="whr")*economics!$AH$2:$AH$167*(_xlfn.NORM.DIST(AK$3,economics!$AK$2:$AK$167,economics!$AJ$2:$AJ$167,TRUE)-_xlfn.NORM.DIST(AK$30,economics!$AK$2:$AK$167,economics!$AJ$2:$AJ$167,TRUE))*economics!$AM$2:$AM$167)+$CR16*(_xlfn.NORM.DIST(AK$3,$CU16,0.3*$CU16,TRUE)-_xlfn.NORM.DIST(AK$30,$CU16,0.3*$CU16,TRUE))*summary!$C$7/28.8/0.947817+$CS16*(_xlfn.NORM.DIST(AK$3,$CV16,0.3*$CV16,TRUE)-_xlfn.NORM.DIST(AK$30,$CV16,0.3*$CV16,TRUE))*summary!$C$6/28.8/0.947817)/(SUMPRODUCT((economics!$AG$2:$AG$167=$B45)*(economics!$D$2:$D$167="whr")*economics!$AH$2:$AH$167*(_xlfn.NORM.DIST(AK$3,economics!$AK$2:$AK$167,economics!$AJ$2:$AJ$167,TRUE)-_xlfn.NORM.DIST(AK$30,economics!$AK$2:$AK$167,economics!$AJ$2:$AJ$167,TRUE)))+$CR16*(_xlfn.NORM.DIST(AK$3,$CU16,0.3*$CU16,TRUE)-_xlfn.NORM.DIST(AK$30,$CU16,0.3*$CU16,TRUE))+$CS16*(_xlfn.NORM.DIST(AK$3,$CV16,0.3*$CV16,TRUE)-_xlfn.NORM.DIST(AK$30,$CV16,0.3*$CV16,TRUE))),""),IF($C16&gt;0,summary!$C$10/28.8/0.947817,""))</f>
        <v/>
      </c>
      <c r="AL45">
        <f t="array" ref="AL45">IF($D16,IFERROR((SUMPRODUCT((economics!$AG$2:$AG$167=$B45)*(economics!$D$2:$D$167="whr")*economics!$AH$2:$AH$167*(_xlfn.NORM.DIST(AL$3,economics!$AK$2:$AK$167,economics!$AJ$2:$AJ$167,TRUE)-_xlfn.NORM.DIST(AL$30,economics!$AK$2:$AK$167,economics!$AJ$2:$AJ$167,TRUE))*economics!$AM$2:$AM$167)+$CR16*(_xlfn.NORM.DIST(AL$3,$CU16,0.3*$CU16,TRUE)-_xlfn.NORM.DIST(AL$30,$CU16,0.3*$CU16,TRUE))*summary!$C$7/28.8/0.947817+$CS16*(_xlfn.NORM.DIST(AL$3,$CV16,0.3*$CV16,TRUE)-_xlfn.NORM.DIST(AL$30,$CV16,0.3*$CV16,TRUE))*summary!$C$6/28.8/0.947817)/(SUMPRODUCT((economics!$AG$2:$AG$167=$B45)*(economics!$D$2:$D$167="whr")*economics!$AH$2:$AH$167*(_xlfn.NORM.DIST(AL$3,economics!$AK$2:$AK$167,economics!$AJ$2:$AJ$167,TRUE)-_xlfn.NORM.DIST(AL$30,economics!$AK$2:$AK$167,economics!$AJ$2:$AJ$167,TRUE)))+$CR16*(_xlfn.NORM.DIST(AL$3,$CU16,0.3*$CU16,TRUE)-_xlfn.NORM.DIST(AL$30,$CU16,0.3*$CU16,TRUE))+$CS16*(_xlfn.NORM.DIST(AL$3,$CV16,0.3*$CV16,TRUE)-_xlfn.NORM.DIST(AL$30,$CV16,0.3*$CV16,TRUE))),""),IF($C16&gt;0,summary!$C$10/28.8/0.947817,""))</f>
        <v/>
      </c>
      <c r="AM45">
        <f t="array" ref="AM45">IF($D16,IFERROR((SUMPRODUCT((economics!$AG$2:$AG$167=$B45)*(economics!$D$2:$D$167="whr")*economics!$AH$2:$AH$167*(_xlfn.NORM.DIST(AM$3,economics!$AK$2:$AK$167,economics!$AJ$2:$AJ$167,TRUE)-_xlfn.NORM.DIST(AM$30,economics!$AK$2:$AK$167,economics!$AJ$2:$AJ$167,TRUE))*economics!$AM$2:$AM$167)+$CR16*(_xlfn.NORM.DIST(AM$3,$CU16,0.3*$CU16,TRUE)-_xlfn.NORM.DIST(AM$30,$CU16,0.3*$CU16,TRUE))*summary!$C$7/28.8/0.947817+$CS16*(_xlfn.NORM.DIST(AM$3,$CV16,0.3*$CV16,TRUE)-_xlfn.NORM.DIST(AM$30,$CV16,0.3*$CV16,TRUE))*summary!$C$6/28.8/0.947817)/(SUMPRODUCT((economics!$AG$2:$AG$167=$B45)*(economics!$D$2:$D$167="whr")*economics!$AH$2:$AH$167*(_xlfn.NORM.DIST(AM$3,economics!$AK$2:$AK$167,economics!$AJ$2:$AJ$167,TRUE)-_xlfn.NORM.DIST(AM$30,economics!$AK$2:$AK$167,economics!$AJ$2:$AJ$167,TRUE)))+$CR16*(_xlfn.NORM.DIST(AM$3,$CU16,0.3*$CU16,TRUE)-_xlfn.NORM.DIST(AM$30,$CU16,0.3*$CU16,TRUE))+$CS16*(_xlfn.NORM.DIST(AM$3,$CV16,0.3*$CV16,TRUE)-_xlfn.NORM.DIST(AM$30,$CV16,0.3*$CV16,TRUE))),""),IF($C16&gt;0,summary!$C$10/28.8/0.947817,""))</f>
        <v/>
      </c>
      <c r="AN45">
        <f t="array" ref="AN45">IF($D16,IFERROR((SUMPRODUCT((economics!$AG$2:$AG$167=$B45)*(economics!$D$2:$D$167="whr")*economics!$AH$2:$AH$167*(_xlfn.NORM.DIST(AN$3,economics!$AK$2:$AK$167,economics!$AJ$2:$AJ$167,TRUE)-_xlfn.NORM.DIST(AN$30,economics!$AK$2:$AK$167,economics!$AJ$2:$AJ$167,TRUE))*economics!$AM$2:$AM$167)+$CR16*(_xlfn.NORM.DIST(AN$3,$CU16,0.3*$CU16,TRUE)-_xlfn.NORM.DIST(AN$30,$CU16,0.3*$CU16,TRUE))*summary!$C$7/28.8/0.947817+$CS16*(_xlfn.NORM.DIST(AN$3,$CV16,0.3*$CV16,TRUE)-_xlfn.NORM.DIST(AN$30,$CV16,0.3*$CV16,TRUE))*summary!$C$6/28.8/0.947817)/(SUMPRODUCT((economics!$AG$2:$AG$167=$B45)*(economics!$D$2:$D$167="whr")*economics!$AH$2:$AH$167*(_xlfn.NORM.DIST(AN$3,economics!$AK$2:$AK$167,economics!$AJ$2:$AJ$167,TRUE)-_xlfn.NORM.DIST(AN$30,economics!$AK$2:$AK$167,economics!$AJ$2:$AJ$167,TRUE)))+$CR16*(_xlfn.NORM.DIST(AN$3,$CU16,0.3*$CU16,TRUE)-_xlfn.NORM.DIST(AN$30,$CU16,0.3*$CU16,TRUE))+$CS16*(_xlfn.NORM.DIST(AN$3,$CV16,0.3*$CV16,TRUE)-_xlfn.NORM.DIST(AN$30,$CV16,0.3*$CV16,TRUE))),""),IF($C16&gt;0,summary!$C$10/28.8/0.947817,""))</f>
        <v/>
      </c>
      <c r="AO45">
        <f t="array" ref="AO45">IF($D16,IFERROR((SUMPRODUCT((economics!$AG$2:$AG$167=$B45)*(economics!$D$2:$D$167="whr")*economics!$AH$2:$AH$167*(_xlfn.NORM.DIST(AO$3,economics!$AK$2:$AK$167,economics!$AJ$2:$AJ$167,TRUE)-_xlfn.NORM.DIST(AO$30,economics!$AK$2:$AK$167,economics!$AJ$2:$AJ$167,TRUE))*economics!$AM$2:$AM$167)+$CR16*(_xlfn.NORM.DIST(AO$3,$CU16,0.3*$CU16,TRUE)-_xlfn.NORM.DIST(AO$30,$CU16,0.3*$CU16,TRUE))*summary!$C$7/28.8/0.947817+$CS16*(_xlfn.NORM.DIST(AO$3,$CV16,0.3*$CV16,TRUE)-_xlfn.NORM.DIST(AO$30,$CV16,0.3*$CV16,TRUE))*summary!$C$6/28.8/0.947817)/(SUMPRODUCT((economics!$AG$2:$AG$167=$B45)*(economics!$D$2:$D$167="whr")*economics!$AH$2:$AH$167*(_xlfn.NORM.DIST(AO$3,economics!$AK$2:$AK$167,economics!$AJ$2:$AJ$167,TRUE)-_xlfn.NORM.DIST(AO$30,economics!$AK$2:$AK$167,economics!$AJ$2:$AJ$167,TRUE)))+$CR16*(_xlfn.NORM.DIST(AO$3,$CU16,0.3*$CU16,TRUE)-_xlfn.NORM.DIST(AO$30,$CU16,0.3*$CU16,TRUE))+$CS16*(_xlfn.NORM.DIST(AO$3,$CV16,0.3*$CV16,TRUE)-_xlfn.NORM.DIST(AO$30,$CV16,0.3*$CV16,TRUE))),""),IF($C16&gt;0,summary!$C$10/28.8/0.947817,""))</f>
        <v/>
      </c>
      <c r="AP45">
        <f t="array" ref="AP45">IF($D16,IFERROR((SUMPRODUCT((economics!$AG$2:$AG$167=$B45)*(economics!$D$2:$D$167="whr")*economics!$AH$2:$AH$167*(_xlfn.NORM.DIST(AP$3,economics!$AK$2:$AK$167,economics!$AJ$2:$AJ$167,TRUE)-_xlfn.NORM.DIST(AP$30,economics!$AK$2:$AK$167,economics!$AJ$2:$AJ$167,TRUE))*economics!$AM$2:$AM$167)+$CR16*(_xlfn.NORM.DIST(AP$3,$CU16,0.3*$CU16,TRUE)-_xlfn.NORM.DIST(AP$30,$CU16,0.3*$CU16,TRUE))*summary!$C$7/28.8/0.947817+$CS16*(_xlfn.NORM.DIST(AP$3,$CV16,0.3*$CV16,TRUE)-_xlfn.NORM.DIST(AP$30,$CV16,0.3*$CV16,TRUE))*summary!$C$6/28.8/0.947817)/(SUMPRODUCT((economics!$AG$2:$AG$167=$B45)*(economics!$D$2:$D$167="whr")*economics!$AH$2:$AH$167*(_xlfn.NORM.DIST(AP$3,economics!$AK$2:$AK$167,economics!$AJ$2:$AJ$167,TRUE)-_xlfn.NORM.DIST(AP$30,economics!$AK$2:$AK$167,economics!$AJ$2:$AJ$167,TRUE)))+$CR16*(_xlfn.NORM.DIST(AP$3,$CU16,0.3*$CU16,TRUE)-_xlfn.NORM.DIST(AP$30,$CU16,0.3*$CU16,TRUE))+$CS16*(_xlfn.NORM.DIST(AP$3,$CV16,0.3*$CV16,TRUE)-_xlfn.NORM.DIST(AP$30,$CV16,0.3*$CV16,TRUE))),""),IF($C16&gt;0,summary!$C$10/28.8/0.947817,""))</f>
        <v/>
      </c>
      <c r="AQ45">
        <f t="array" ref="AQ45">IF($D16,IFERROR((SUMPRODUCT((economics!$AG$2:$AG$167=$B45)*(economics!$D$2:$D$167="whr")*economics!$AH$2:$AH$167*(_xlfn.NORM.DIST(AQ$3,economics!$AK$2:$AK$167,economics!$AJ$2:$AJ$167,TRUE)-_xlfn.NORM.DIST(AQ$30,economics!$AK$2:$AK$167,economics!$AJ$2:$AJ$167,TRUE))*economics!$AM$2:$AM$167)+$CR16*(_xlfn.NORM.DIST(AQ$3,$CU16,0.3*$CU16,TRUE)-_xlfn.NORM.DIST(AQ$30,$CU16,0.3*$CU16,TRUE))*summary!$C$7/28.8/0.947817+$CS16*(_xlfn.NORM.DIST(AQ$3,$CV16,0.3*$CV16,TRUE)-_xlfn.NORM.DIST(AQ$30,$CV16,0.3*$CV16,TRUE))*summary!$C$6/28.8/0.947817)/(SUMPRODUCT((economics!$AG$2:$AG$167=$B45)*(economics!$D$2:$D$167="whr")*economics!$AH$2:$AH$167*(_xlfn.NORM.DIST(AQ$3,economics!$AK$2:$AK$167,economics!$AJ$2:$AJ$167,TRUE)-_xlfn.NORM.DIST(AQ$30,economics!$AK$2:$AK$167,economics!$AJ$2:$AJ$167,TRUE)))+$CR16*(_xlfn.NORM.DIST(AQ$3,$CU16,0.3*$CU16,TRUE)-_xlfn.NORM.DIST(AQ$30,$CU16,0.3*$CU16,TRUE))+$CS16*(_xlfn.NORM.DIST(AQ$3,$CV16,0.3*$CV16,TRUE)-_xlfn.NORM.DIST(AQ$30,$CV16,0.3*$CV16,TRUE))),""),IF($C16&gt;0,summary!$C$10/28.8/0.947817,""))</f>
        <v/>
      </c>
      <c r="AR45">
        <f t="array" ref="AR45">IF($D16,IFERROR((SUMPRODUCT((economics!$AG$2:$AG$167=$B45)*(economics!$D$2:$D$167="whr")*economics!$AH$2:$AH$167*(_xlfn.NORM.DIST(AR$3,economics!$AK$2:$AK$167,economics!$AJ$2:$AJ$167,TRUE)-_xlfn.NORM.DIST(AR$30,economics!$AK$2:$AK$167,economics!$AJ$2:$AJ$167,TRUE))*economics!$AM$2:$AM$167)+$CR16*(_xlfn.NORM.DIST(AR$3,$CU16,0.3*$CU16,TRUE)-_xlfn.NORM.DIST(AR$30,$CU16,0.3*$CU16,TRUE))*summary!$C$7/28.8/0.947817+$CS16*(_xlfn.NORM.DIST(AR$3,$CV16,0.3*$CV16,TRUE)-_xlfn.NORM.DIST(AR$30,$CV16,0.3*$CV16,TRUE))*summary!$C$6/28.8/0.947817)/(SUMPRODUCT((economics!$AG$2:$AG$167=$B45)*(economics!$D$2:$D$167="whr")*economics!$AH$2:$AH$167*(_xlfn.NORM.DIST(AR$3,economics!$AK$2:$AK$167,economics!$AJ$2:$AJ$167,TRUE)-_xlfn.NORM.DIST(AR$30,economics!$AK$2:$AK$167,economics!$AJ$2:$AJ$167,TRUE)))+$CR16*(_xlfn.NORM.DIST(AR$3,$CU16,0.3*$CU16,TRUE)-_xlfn.NORM.DIST(AR$30,$CU16,0.3*$CU16,TRUE))+$CS16*(_xlfn.NORM.DIST(AR$3,$CV16,0.3*$CV16,TRUE)-_xlfn.NORM.DIST(AR$30,$CV16,0.3*$CV16,TRUE))),""),IF($C16&gt;0,summary!$C$10/28.8/0.947817,""))</f>
        <v/>
      </c>
      <c r="AS45">
        <f t="array" ref="AS45">IF($D16,IFERROR((SUMPRODUCT((economics!$AG$2:$AG$167=$B45)*(economics!$D$2:$D$167="whr")*economics!$AH$2:$AH$167*(_xlfn.NORM.DIST(AS$3,economics!$AK$2:$AK$167,economics!$AJ$2:$AJ$167,TRUE)-_xlfn.NORM.DIST(AS$30,economics!$AK$2:$AK$167,economics!$AJ$2:$AJ$167,TRUE))*economics!$AM$2:$AM$167)+$CR16*(_xlfn.NORM.DIST(AS$3,$CU16,0.3*$CU16,TRUE)-_xlfn.NORM.DIST(AS$30,$CU16,0.3*$CU16,TRUE))*summary!$C$7/28.8/0.947817+$CS16*(_xlfn.NORM.DIST(AS$3,$CV16,0.3*$CV16,TRUE)-_xlfn.NORM.DIST(AS$30,$CV16,0.3*$CV16,TRUE))*summary!$C$6/28.8/0.947817)/(SUMPRODUCT((economics!$AG$2:$AG$167=$B45)*(economics!$D$2:$D$167="whr")*economics!$AH$2:$AH$167*(_xlfn.NORM.DIST(AS$3,economics!$AK$2:$AK$167,economics!$AJ$2:$AJ$167,TRUE)-_xlfn.NORM.DIST(AS$30,economics!$AK$2:$AK$167,economics!$AJ$2:$AJ$167,TRUE)))+$CR16*(_xlfn.NORM.DIST(AS$3,$CU16,0.3*$CU16,TRUE)-_xlfn.NORM.DIST(AS$30,$CU16,0.3*$CU16,TRUE))+$CS16*(_xlfn.NORM.DIST(AS$3,$CV16,0.3*$CV16,TRUE)-_xlfn.NORM.DIST(AS$30,$CV16,0.3*$CV16,TRUE))),""),IF($C16&gt;0,summary!$C$10/28.8/0.947817,""))</f>
        <v/>
      </c>
      <c r="AT45">
        <f t="array" ref="AT45">IF($D16,IFERROR((SUMPRODUCT((economics!$AG$2:$AG$167=$B45)*(economics!$D$2:$D$167="whr")*economics!$AH$2:$AH$167*(_xlfn.NORM.DIST(AT$3,economics!$AK$2:$AK$167,economics!$AJ$2:$AJ$167,TRUE)-_xlfn.NORM.DIST(AT$30,economics!$AK$2:$AK$167,economics!$AJ$2:$AJ$167,TRUE))*economics!$AM$2:$AM$167)+$CR16*(_xlfn.NORM.DIST(AT$3,$CU16,0.3*$CU16,TRUE)-_xlfn.NORM.DIST(AT$30,$CU16,0.3*$CU16,TRUE))*summary!$C$7/28.8/0.947817+$CS16*(_xlfn.NORM.DIST(AT$3,$CV16,0.3*$CV16,TRUE)-_xlfn.NORM.DIST(AT$30,$CV16,0.3*$CV16,TRUE))*summary!$C$6/28.8/0.947817)/(SUMPRODUCT((economics!$AG$2:$AG$167=$B45)*(economics!$D$2:$D$167="whr")*economics!$AH$2:$AH$167*(_xlfn.NORM.DIST(AT$3,economics!$AK$2:$AK$167,economics!$AJ$2:$AJ$167,TRUE)-_xlfn.NORM.DIST(AT$30,economics!$AK$2:$AK$167,economics!$AJ$2:$AJ$167,TRUE)))+$CR16*(_xlfn.NORM.DIST(AT$3,$CU16,0.3*$CU16,TRUE)-_xlfn.NORM.DIST(AT$30,$CU16,0.3*$CU16,TRUE))+$CS16*(_xlfn.NORM.DIST(AT$3,$CV16,0.3*$CV16,TRUE)-_xlfn.NORM.DIST(AT$30,$CV16,0.3*$CV16,TRUE))),""),IF($C16&gt;0,summary!$C$10/28.8/0.947817,""))</f>
        <v/>
      </c>
      <c r="AU45">
        <f t="array" ref="AU45">IF($D16,IFERROR((SUMPRODUCT((economics!$AG$2:$AG$167=$B45)*(economics!$D$2:$D$167="whr")*economics!$AH$2:$AH$167*(_xlfn.NORM.DIST(AU$3,economics!$AK$2:$AK$167,economics!$AJ$2:$AJ$167,TRUE)-_xlfn.NORM.DIST(AU$30,economics!$AK$2:$AK$167,economics!$AJ$2:$AJ$167,TRUE))*economics!$AM$2:$AM$167)+$CR16*(_xlfn.NORM.DIST(AU$3,$CU16,0.3*$CU16,TRUE)-_xlfn.NORM.DIST(AU$30,$CU16,0.3*$CU16,TRUE))*summary!$C$7/28.8/0.947817+$CS16*(_xlfn.NORM.DIST(AU$3,$CV16,0.3*$CV16,TRUE)-_xlfn.NORM.DIST(AU$30,$CV16,0.3*$CV16,TRUE))*summary!$C$6/28.8/0.947817)/(SUMPRODUCT((economics!$AG$2:$AG$167=$B45)*(economics!$D$2:$D$167="whr")*economics!$AH$2:$AH$167*(_xlfn.NORM.DIST(AU$3,economics!$AK$2:$AK$167,economics!$AJ$2:$AJ$167,TRUE)-_xlfn.NORM.DIST(AU$30,economics!$AK$2:$AK$167,economics!$AJ$2:$AJ$167,TRUE)))+$CR16*(_xlfn.NORM.DIST(AU$3,$CU16,0.3*$CU16,TRUE)-_xlfn.NORM.DIST(AU$30,$CU16,0.3*$CU16,TRUE))+$CS16*(_xlfn.NORM.DIST(AU$3,$CV16,0.3*$CV16,TRUE)-_xlfn.NORM.DIST(AU$30,$CV16,0.3*$CV16,TRUE))),""),IF($C16&gt;0,summary!$C$10/28.8/0.947817,""))</f>
        <v/>
      </c>
      <c r="AV45">
        <f t="array" ref="AV45">IF($D16,IFERROR((SUMPRODUCT((economics!$AG$2:$AG$167=$B45)*(economics!$D$2:$D$167="whr")*economics!$AH$2:$AH$167*(_xlfn.NORM.DIST(AV$3,economics!$AK$2:$AK$167,economics!$AJ$2:$AJ$167,TRUE)-_xlfn.NORM.DIST(AV$30,economics!$AK$2:$AK$167,economics!$AJ$2:$AJ$167,TRUE))*economics!$AM$2:$AM$167)+$CR16*(_xlfn.NORM.DIST(AV$3,$CU16,0.3*$CU16,TRUE)-_xlfn.NORM.DIST(AV$30,$CU16,0.3*$CU16,TRUE))*summary!$C$7/28.8/0.947817+$CS16*(_xlfn.NORM.DIST(AV$3,$CV16,0.3*$CV16,TRUE)-_xlfn.NORM.DIST(AV$30,$CV16,0.3*$CV16,TRUE))*summary!$C$6/28.8/0.947817)/(SUMPRODUCT((economics!$AG$2:$AG$167=$B45)*(economics!$D$2:$D$167="whr")*economics!$AH$2:$AH$167*(_xlfn.NORM.DIST(AV$3,economics!$AK$2:$AK$167,economics!$AJ$2:$AJ$167,TRUE)-_xlfn.NORM.DIST(AV$30,economics!$AK$2:$AK$167,economics!$AJ$2:$AJ$167,TRUE)))+$CR16*(_xlfn.NORM.DIST(AV$3,$CU16,0.3*$CU16,TRUE)-_xlfn.NORM.DIST(AV$30,$CU16,0.3*$CU16,TRUE))+$CS16*(_xlfn.NORM.DIST(AV$3,$CV16,0.3*$CV16,TRUE)-_xlfn.NORM.DIST(AV$30,$CV16,0.3*$CV16,TRUE))),""),IF($C16&gt;0,summary!$C$10/28.8/0.947817,""))</f>
        <v/>
      </c>
      <c r="AW45">
        <f t="array" ref="AW45">IF($D16,IFERROR((SUMPRODUCT((economics!$AG$2:$AG$167=$B45)*(economics!$D$2:$D$167="whr")*economics!$AH$2:$AH$167*(_xlfn.NORM.DIST(AW$3,economics!$AK$2:$AK$167,economics!$AJ$2:$AJ$167,TRUE)-_xlfn.NORM.DIST(AW$30,economics!$AK$2:$AK$167,economics!$AJ$2:$AJ$167,TRUE))*economics!$AM$2:$AM$167)+$CR16*(_xlfn.NORM.DIST(AW$3,$CU16,0.3*$CU16,TRUE)-_xlfn.NORM.DIST(AW$30,$CU16,0.3*$CU16,TRUE))*summary!$C$7/28.8/0.947817+$CS16*(_xlfn.NORM.DIST(AW$3,$CV16,0.3*$CV16,TRUE)-_xlfn.NORM.DIST(AW$30,$CV16,0.3*$CV16,TRUE))*summary!$C$6/28.8/0.947817)/(SUMPRODUCT((economics!$AG$2:$AG$167=$B45)*(economics!$D$2:$D$167="whr")*economics!$AH$2:$AH$167*(_xlfn.NORM.DIST(AW$3,economics!$AK$2:$AK$167,economics!$AJ$2:$AJ$167,TRUE)-_xlfn.NORM.DIST(AW$30,economics!$AK$2:$AK$167,economics!$AJ$2:$AJ$167,TRUE)))+$CR16*(_xlfn.NORM.DIST(AW$3,$CU16,0.3*$CU16,TRUE)-_xlfn.NORM.DIST(AW$30,$CU16,0.3*$CU16,TRUE))+$CS16*(_xlfn.NORM.DIST(AW$3,$CV16,0.3*$CV16,TRUE)-_xlfn.NORM.DIST(AW$30,$CV16,0.3*$CV16,TRUE))),""),IF($C16&gt;0,summary!$C$10/28.8/0.947817,""))</f>
        <v/>
      </c>
      <c r="AX45">
        <f t="array" ref="AX45">IF($D16,IFERROR((SUMPRODUCT((economics!$AG$2:$AG$167=$B45)*(economics!$D$2:$D$167="whr")*economics!$AH$2:$AH$167*(_xlfn.NORM.DIST(AX$3,economics!$AK$2:$AK$167,economics!$AJ$2:$AJ$167,TRUE)-_xlfn.NORM.DIST(AX$30,economics!$AK$2:$AK$167,economics!$AJ$2:$AJ$167,TRUE))*economics!$AM$2:$AM$167)+$CR16*(_xlfn.NORM.DIST(AX$3,$CU16,0.3*$CU16,TRUE)-_xlfn.NORM.DIST(AX$30,$CU16,0.3*$CU16,TRUE))*summary!$C$7/28.8/0.947817+$CS16*(_xlfn.NORM.DIST(AX$3,$CV16,0.3*$CV16,TRUE)-_xlfn.NORM.DIST(AX$30,$CV16,0.3*$CV16,TRUE))*summary!$C$6/28.8/0.947817)/(SUMPRODUCT((economics!$AG$2:$AG$167=$B45)*(economics!$D$2:$D$167="whr")*economics!$AH$2:$AH$167*(_xlfn.NORM.DIST(AX$3,economics!$AK$2:$AK$167,economics!$AJ$2:$AJ$167,TRUE)-_xlfn.NORM.DIST(AX$30,economics!$AK$2:$AK$167,economics!$AJ$2:$AJ$167,TRUE)))+$CR16*(_xlfn.NORM.DIST(AX$3,$CU16,0.3*$CU16,TRUE)-_xlfn.NORM.DIST(AX$30,$CU16,0.3*$CU16,TRUE))+$CS16*(_xlfn.NORM.DIST(AX$3,$CV16,0.3*$CV16,TRUE)-_xlfn.NORM.DIST(AX$30,$CV16,0.3*$CV16,TRUE))),""),IF($C16&gt;0,summary!$C$10/28.8/0.947817,""))</f>
        <v/>
      </c>
      <c r="AY45">
        <f t="array" ref="AY45">IF($D16,IFERROR((SUMPRODUCT((economics!$AG$2:$AG$167=$B45)*(economics!$D$2:$D$167="whr")*economics!$AH$2:$AH$167*(_xlfn.NORM.DIST(AY$3,economics!$AK$2:$AK$167,economics!$AJ$2:$AJ$167,TRUE)-_xlfn.NORM.DIST(AY$30,economics!$AK$2:$AK$167,economics!$AJ$2:$AJ$167,TRUE))*economics!$AM$2:$AM$167)+$CR16*(_xlfn.NORM.DIST(AY$3,$CU16,0.3*$CU16,TRUE)-_xlfn.NORM.DIST(AY$30,$CU16,0.3*$CU16,TRUE))*summary!$C$7/28.8/0.947817+$CS16*(_xlfn.NORM.DIST(AY$3,$CV16,0.3*$CV16,TRUE)-_xlfn.NORM.DIST(AY$30,$CV16,0.3*$CV16,TRUE))*summary!$C$6/28.8/0.947817)/(SUMPRODUCT((economics!$AG$2:$AG$167=$B45)*(economics!$D$2:$D$167="whr")*economics!$AH$2:$AH$167*(_xlfn.NORM.DIST(AY$3,economics!$AK$2:$AK$167,economics!$AJ$2:$AJ$167,TRUE)-_xlfn.NORM.DIST(AY$30,economics!$AK$2:$AK$167,economics!$AJ$2:$AJ$167,TRUE)))+$CR16*(_xlfn.NORM.DIST(AY$3,$CU16,0.3*$CU16,TRUE)-_xlfn.NORM.DIST(AY$30,$CU16,0.3*$CU16,TRUE))+$CS16*(_xlfn.NORM.DIST(AY$3,$CV16,0.3*$CV16,TRUE)-_xlfn.NORM.DIST(AY$30,$CV16,0.3*$CV16,TRUE))),""),IF($C16&gt;0,summary!$C$10/28.8/0.947817,""))</f>
        <v/>
      </c>
      <c r="AZ45">
        <f t="array" ref="AZ45">IF($D16,IFERROR((SUMPRODUCT((economics!$AG$2:$AG$167=$B45)*(economics!$D$2:$D$167="whr")*economics!$AH$2:$AH$167*(_xlfn.NORM.DIST(AZ$3,economics!$AK$2:$AK$167,economics!$AJ$2:$AJ$167,TRUE)-_xlfn.NORM.DIST(AZ$30,economics!$AK$2:$AK$167,economics!$AJ$2:$AJ$167,TRUE))*economics!$AM$2:$AM$167)+$CR16*(_xlfn.NORM.DIST(AZ$3,$CU16,0.3*$CU16,TRUE)-_xlfn.NORM.DIST(AZ$30,$CU16,0.3*$CU16,TRUE))*summary!$C$7/28.8/0.947817+$CS16*(_xlfn.NORM.DIST(AZ$3,$CV16,0.3*$CV16,TRUE)-_xlfn.NORM.DIST(AZ$30,$CV16,0.3*$CV16,TRUE))*summary!$C$6/28.8/0.947817)/(SUMPRODUCT((economics!$AG$2:$AG$167=$B45)*(economics!$D$2:$D$167="whr")*economics!$AH$2:$AH$167*(_xlfn.NORM.DIST(AZ$3,economics!$AK$2:$AK$167,economics!$AJ$2:$AJ$167,TRUE)-_xlfn.NORM.DIST(AZ$30,economics!$AK$2:$AK$167,economics!$AJ$2:$AJ$167,TRUE)))+$CR16*(_xlfn.NORM.DIST(AZ$3,$CU16,0.3*$CU16,TRUE)-_xlfn.NORM.DIST(AZ$30,$CU16,0.3*$CU16,TRUE))+$CS16*(_xlfn.NORM.DIST(AZ$3,$CV16,0.3*$CV16,TRUE)-_xlfn.NORM.DIST(AZ$30,$CV16,0.3*$CV16,TRUE))),""),IF($C16&gt;0,summary!$C$10/28.8/0.947817,""))</f>
        <v/>
      </c>
      <c r="BA45">
        <f t="array" ref="BA45">IF($D16,IFERROR((SUMPRODUCT((economics!$AG$2:$AG$167=$B45)*(economics!$D$2:$D$167="whr")*economics!$AH$2:$AH$167*(_xlfn.NORM.DIST(BA$3,economics!$AK$2:$AK$167,economics!$AJ$2:$AJ$167,TRUE)-_xlfn.NORM.DIST(BA$30,economics!$AK$2:$AK$167,economics!$AJ$2:$AJ$167,TRUE))*economics!$AM$2:$AM$167)+$CR16*(_xlfn.NORM.DIST(BA$3,$CU16,0.3*$CU16,TRUE)-_xlfn.NORM.DIST(BA$30,$CU16,0.3*$CU16,TRUE))*summary!$C$7/28.8/0.947817+$CS16*(_xlfn.NORM.DIST(BA$3,$CV16,0.3*$CV16,TRUE)-_xlfn.NORM.DIST(BA$30,$CV16,0.3*$CV16,TRUE))*summary!$C$6/28.8/0.947817)/(SUMPRODUCT((economics!$AG$2:$AG$167=$B45)*(economics!$D$2:$D$167="whr")*economics!$AH$2:$AH$167*(_xlfn.NORM.DIST(BA$3,economics!$AK$2:$AK$167,economics!$AJ$2:$AJ$167,TRUE)-_xlfn.NORM.DIST(BA$30,economics!$AK$2:$AK$167,economics!$AJ$2:$AJ$167,TRUE)))+$CR16*(_xlfn.NORM.DIST(BA$3,$CU16,0.3*$CU16,TRUE)-_xlfn.NORM.DIST(BA$30,$CU16,0.3*$CU16,TRUE))+$CS16*(_xlfn.NORM.DIST(BA$3,$CV16,0.3*$CV16,TRUE)-_xlfn.NORM.DIST(BA$30,$CV16,0.3*$CV16,TRUE))),""),IF($C16&gt;0,summary!$C$10/28.8/0.947817,""))</f>
        <v/>
      </c>
      <c r="BB45">
        <f t="array" ref="BB45">IF($D16,IFERROR((SUMPRODUCT((economics!$AG$2:$AG$167=$B45)*(economics!$D$2:$D$167="whr")*economics!$AH$2:$AH$167*(_xlfn.NORM.DIST(BB$3,economics!$AK$2:$AK$167,economics!$AJ$2:$AJ$167,TRUE)-_xlfn.NORM.DIST(BB$30,economics!$AK$2:$AK$167,economics!$AJ$2:$AJ$167,TRUE))*economics!$AM$2:$AM$167)+$CR16*(_xlfn.NORM.DIST(BB$3,$CU16,0.3*$CU16,TRUE)-_xlfn.NORM.DIST(BB$30,$CU16,0.3*$CU16,TRUE))*summary!$C$7/28.8/0.947817+$CS16*(_xlfn.NORM.DIST(BB$3,$CV16,0.3*$CV16,TRUE)-_xlfn.NORM.DIST(BB$30,$CV16,0.3*$CV16,TRUE))*summary!$C$6/28.8/0.947817)/(SUMPRODUCT((economics!$AG$2:$AG$167=$B45)*(economics!$D$2:$D$167="whr")*economics!$AH$2:$AH$167*(_xlfn.NORM.DIST(BB$3,economics!$AK$2:$AK$167,economics!$AJ$2:$AJ$167,TRUE)-_xlfn.NORM.DIST(BB$30,economics!$AK$2:$AK$167,economics!$AJ$2:$AJ$167,TRUE)))+$CR16*(_xlfn.NORM.DIST(BB$3,$CU16,0.3*$CU16,TRUE)-_xlfn.NORM.DIST(BB$30,$CU16,0.3*$CU16,TRUE))+$CS16*(_xlfn.NORM.DIST(BB$3,$CV16,0.3*$CV16,TRUE)-_xlfn.NORM.DIST(BB$30,$CV16,0.3*$CV16,TRUE))),""),IF($C16&gt;0,summary!$C$10/28.8/0.947817,""))</f>
        <v/>
      </c>
      <c r="BC45">
        <f t="array" ref="BC45">IF($D16,IFERROR((SUMPRODUCT((economics!$AG$2:$AG$167=$B45)*(economics!$D$2:$D$167="whr")*economics!$AH$2:$AH$167*(_xlfn.NORM.DIST(BC$3,economics!$AK$2:$AK$167,economics!$AJ$2:$AJ$167,TRUE)-_xlfn.NORM.DIST(BC$30,economics!$AK$2:$AK$167,economics!$AJ$2:$AJ$167,TRUE))*economics!$AM$2:$AM$167)+$CR16*(_xlfn.NORM.DIST(BC$3,$CU16,0.3*$CU16,TRUE)-_xlfn.NORM.DIST(BC$30,$CU16,0.3*$CU16,TRUE))*summary!$C$7/28.8/0.947817+$CS16*(_xlfn.NORM.DIST(BC$3,$CV16,0.3*$CV16,TRUE)-_xlfn.NORM.DIST(BC$30,$CV16,0.3*$CV16,TRUE))*summary!$C$6/28.8/0.947817)/(SUMPRODUCT((economics!$AG$2:$AG$167=$B45)*(economics!$D$2:$D$167="whr")*economics!$AH$2:$AH$167*(_xlfn.NORM.DIST(BC$3,economics!$AK$2:$AK$167,economics!$AJ$2:$AJ$167,TRUE)-_xlfn.NORM.DIST(BC$30,economics!$AK$2:$AK$167,economics!$AJ$2:$AJ$167,TRUE)))+$CR16*(_xlfn.NORM.DIST(BC$3,$CU16,0.3*$CU16,TRUE)-_xlfn.NORM.DIST(BC$30,$CU16,0.3*$CU16,TRUE))+$CS16*(_xlfn.NORM.DIST(BC$3,$CV16,0.3*$CV16,TRUE)-_xlfn.NORM.DIST(BC$30,$CV16,0.3*$CV16,TRUE))),""),IF($C16&gt;0,summary!$C$10/28.8/0.947817,""))</f>
        <v/>
      </c>
      <c r="BD45">
        <f t="array" ref="BD45">IF($D16,IFERROR((SUMPRODUCT((economics!$AG$2:$AG$167=$B45)*(economics!$D$2:$D$167="whr")*economics!$AH$2:$AH$167*(_xlfn.NORM.DIST(BD$3,economics!$AK$2:$AK$167,economics!$AJ$2:$AJ$167,TRUE)-_xlfn.NORM.DIST(BD$30,economics!$AK$2:$AK$167,economics!$AJ$2:$AJ$167,TRUE))*economics!$AM$2:$AM$167)+$CR16*(_xlfn.NORM.DIST(BD$3,$CU16,0.3*$CU16,TRUE)-_xlfn.NORM.DIST(BD$30,$CU16,0.3*$CU16,TRUE))*summary!$C$7/28.8/0.947817+$CS16*(_xlfn.NORM.DIST(BD$3,$CV16,0.3*$CV16,TRUE)-_xlfn.NORM.DIST(BD$30,$CV16,0.3*$CV16,TRUE))*summary!$C$6/28.8/0.947817)/(SUMPRODUCT((economics!$AG$2:$AG$167=$B45)*(economics!$D$2:$D$167="whr")*economics!$AH$2:$AH$167*(_xlfn.NORM.DIST(BD$3,economics!$AK$2:$AK$167,economics!$AJ$2:$AJ$167,TRUE)-_xlfn.NORM.DIST(BD$30,economics!$AK$2:$AK$167,economics!$AJ$2:$AJ$167,TRUE)))+$CR16*(_xlfn.NORM.DIST(BD$3,$CU16,0.3*$CU16,TRUE)-_xlfn.NORM.DIST(BD$30,$CU16,0.3*$CU16,TRUE))+$CS16*(_xlfn.NORM.DIST(BD$3,$CV16,0.3*$CV16,TRUE)-_xlfn.NORM.DIST(BD$30,$CV16,0.3*$CV16,TRUE))),""),IF($C16&gt;0,summary!$C$10/28.8/0.947817,""))</f>
        <v/>
      </c>
      <c r="BE45">
        <f t="array" ref="BE45">IF($D16,IFERROR((SUMPRODUCT((economics!$AG$2:$AG$167=$B45)*(economics!$D$2:$D$167="whr")*economics!$AH$2:$AH$167*(_xlfn.NORM.DIST(BE$3,economics!$AK$2:$AK$167,economics!$AJ$2:$AJ$167,TRUE)-_xlfn.NORM.DIST(BE$30,economics!$AK$2:$AK$167,economics!$AJ$2:$AJ$167,TRUE))*economics!$AM$2:$AM$167)+$CR16*(_xlfn.NORM.DIST(BE$3,$CU16,0.3*$CU16,TRUE)-_xlfn.NORM.DIST(BE$30,$CU16,0.3*$CU16,TRUE))*summary!$C$7/28.8/0.947817+$CS16*(_xlfn.NORM.DIST(BE$3,$CV16,0.3*$CV16,TRUE)-_xlfn.NORM.DIST(BE$30,$CV16,0.3*$CV16,TRUE))*summary!$C$6/28.8/0.947817)/(SUMPRODUCT((economics!$AG$2:$AG$167=$B45)*(economics!$D$2:$D$167="whr")*economics!$AH$2:$AH$167*(_xlfn.NORM.DIST(BE$3,economics!$AK$2:$AK$167,economics!$AJ$2:$AJ$167,TRUE)-_xlfn.NORM.DIST(BE$30,economics!$AK$2:$AK$167,economics!$AJ$2:$AJ$167,TRUE)))+$CR16*(_xlfn.NORM.DIST(BE$3,$CU16,0.3*$CU16,TRUE)-_xlfn.NORM.DIST(BE$30,$CU16,0.3*$CU16,TRUE))+$CS16*(_xlfn.NORM.DIST(BE$3,$CV16,0.3*$CV16,TRUE)-_xlfn.NORM.DIST(BE$30,$CV16,0.3*$CV16,TRUE))),""),IF($C16&gt;0,summary!$C$10/28.8/0.947817,""))</f>
        <v/>
      </c>
      <c r="BF45">
        <f t="array" ref="BF45">IF($D16,IFERROR((SUMPRODUCT((economics!$AG$2:$AG$167=$B45)*(economics!$D$2:$D$167="whr")*economics!$AH$2:$AH$167*(_xlfn.NORM.DIST(BF$3,economics!$AK$2:$AK$167,economics!$AJ$2:$AJ$167,TRUE)-_xlfn.NORM.DIST(BF$30,economics!$AK$2:$AK$167,economics!$AJ$2:$AJ$167,TRUE))*economics!$AM$2:$AM$167)+$CR16*(_xlfn.NORM.DIST(BF$3,$CU16,0.3*$CU16,TRUE)-_xlfn.NORM.DIST(BF$30,$CU16,0.3*$CU16,TRUE))*summary!$C$7/28.8/0.947817+$CS16*(_xlfn.NORM.DIST(BF$3,$CV16,0.3*$CV16,TRUE)-_xlfn.NORM.DIST(BF$30,$CV16,0.3*$CV16,TRUE))*summary!$C$6/28.8/0.947817)/(SUMPRODUCT((economics!$AG$2:$AG$167=$B45)*(economics!$D$2:$D$167="whr")*economics!$AH$2:$AH$167*(_xlfn.NORM.DIST(BF$3,economics!$AK$2:$AK$167,economics!$AJ$2:$AJ$167,TRUE)-_xlfn.NORM.DIST(BF$30,economics!$AK$2:$AK$167,economics!$AJ$2:$AJ$167,TRUE)))+$CR16*(_xlfn.NORM.DIST(BF$3,$CU16,0.3*$CU16,TRUE)-_xlfn.NORM.DIST(BF$30,$CU16,0.3*$CU16,TRUE))+$CS16*(_xlfn.NORM.DIST(BF$3,$CV16,0.3*$CV16,TRUE)-_xlfn.NORM.DIST(BF$30,$CV16,0.3*$CV16,TRUE))),""),IF($C16&gt;0,summary!$C$10/28.8/0.947817,""))</f>
        <v/>
      </c>
      <c r="BG45">
        <f t="array" ref="BG45">IF($D16,IFERROR((SUMPRODUCT((economics!$AG$2:$AG$167=$B45)*(economics!$D$2:$D$167="whr")*economics!$AH$2:$AH$167*(_xlfn.NORM.DIST(BG$3,economics!$AK$2:$AK$167,economics!$AJ$2:$AJ$167,TRUE)-_xlfn.NORM.DIST(BG$30,economics!$AK$2:$AK$167,economics!$AJ$2:$AJ$167,TRUE))*economics!$AM$2:$AM$167)+$CR16*(_xlfn.NORM.DIST(BG$3,$CU16,0.3*$CU16,TRUE)-_xlfn.NORM.DIST(BG$30,$CU16,0.3*$CU16,TRUE))*summary!$C$7/28.8/0.947817+$CS16*(_xlfn.NORM.DIST(BG$3,$CV16,0.3*$CV16,TRUE)-_xlfn.NORM.DIST(BG$30,$CV16,0.3*$CV16,TRUE))*summary!$C$6/28.8/0.947817)/(SUMPRODUCT((economics!$AG$2:$AG$167=$B45)*(economics!$D$2:$D$167="whr")*economics!$AH$2:$AH$167*(_xlfn.NORM.DIST(BG$3,economics!$AK$2:$AK$167,economics!$AJ$2:$AJ$167,TRUE)-_xlfn.NORM.DIST(BG$30,economics!$AK$2:$AK$167,economics!$AJ$2:$AJ$167,TRUE)))+$CR16*(_xlfn.NORM.DIST(BG$3,$CU16,0.3*$CU16,TRUE)-_xlfn.NORM.DIST(BG$30,$CU16,0.3*$CU16,TRUE))+$CS16*(_xlfn.NORM.DIST(BG$3,$CV16,0.3*$CV16,TRUE)-_xlfn.NORM.DIST(BG$30,$CV16,0.3*$CV16,TRUE))),""),IF($C16&gt;0,summary!$C$10/28.8/0.947817,""))</f>
        <v/>
      </c>
      <c r="BH45">
        <f t="array" ref="BH45">IF($D16,IFERROR((SUMPRODUCT((economics!$AG$2:$AG$167=$B45)*(economics!$D$2:$D$167="whr")*economics!$AH$2:$AH$167*(_xlfn.NORM.DIST(BH$3,economics!$AK$2:$AK$167,economics!$AJ$2:$AJ$167,TRUE)-_xlfn.NORM.DIST(BH$30,economics!$AK$2:$AK$167,economics!$AJ$2:$AJ$167,TRUE))*economics!$AM$2:$AM$167)+$CR16*(_xlfn.NORM.DIST(BH$3,$CU16,0.3*$CU16,TRUE)-_xlfn.NORM.DIST(BH$30,$CU16,0.3*$CU16,TRUE))*summary!$C$7/28.8/0.947817+$CS16*(_xlfn.NORM.DIST(BH$3,$CV16,0.3*$CV16,TRUE)-_xlfn.NORM.DIST(BH$30,$CV16,0.3*$CV16,TRUE))*summary!$C$6/28.8/0.947817)/(SUMPRODUCT((economics!$AG$2:$AG$167=$B45)*(economics!$D$2:$D$167="whr")*economics!$AH$2:$AH$167*(_xlfn.NORM.DIST(BH$3,economics!$AK$2:$AK$167,economics!$AJ$2:$AJ$167,TRUE)-_xlfn.NORM.DIST(BH$30,economics!$AK$2:$AK$167,economics!$AJ$2:$AJ$167,TRUE)))+$CR16*(_xlfn.NORM.DIST(BH$3,$CU16,0.3*$CU16,TRUE)-_xlfn.NORM.DIST(BH$30,$CU16,0.3*$CU16,TRUE))+$CS16*(_xlfn.NORM.DIST(BH$3,$CV16,0.3*$CV16,TRUE)-_xlfn.NORM.DIST(BH$30,$CV16,0.3*$CV16,TRUE))),""),IF($C16&gt;0,summary!$C$10/28.8/0.947817,""))</f>
        <v/>
      </c>
      <c r="BI45">
        <f t="array" ref="BI45">IF($D16,IFERROR((SUMPRODUCT((economics!$AG$2:$AG$167=$B45)*(economics!$D$2:$D$167="whr")*economics!$AH$2:$AH$167*(_xlfn.NORM.DIST(BI$3,economics!$AK$2:$AK$167,economics!$AJ$2:$AJ$167,TRUE)-_xlfn.NORM.DIST(BI$30,economics!$AK$2:$AK$167,economics!$AJ$2:$AJ$167,TRUE))*economics!$AM$2:$AM$167)+$CR16*(_xlfn.NORM.DIST(BI$3,$CU16,0.3*$CU16,TRUE)-_xlfn.NORM.DIST(BI$30,$CU16,0.3*$CU16,TRUE))*summary!$C$7/28.8/0.947817+$CS16*(_xlfn.NORM.DIST(BI$3,$CV16,0.3*$CV16,TRUE)-_xlfn.NORM.DIST(BI$30,$CV16,0.3*$CV16,TRUE))*summary!$C$6/28.8/0.947817)/(SUMPRODUCT((economics!$AG$2:$AG$167=$B45)*(economics!$D$2:$D$167="whr")*economics!$AH$2:$AH$167*(_xlfn.NORM.DIST(BI$3,economics!$AK$2:$AK$167,economics!$AJ$2:$AJ$167,TRUE)-_xlfn.NORM.DIST(BI$30,economics!$AK$2:$AK$167,economics!$AJ$2:$AJ$167,TRUE)))+$CR16*(_xlfn.NORM.DIST(BI$3,$CU16,0.3*$CU16,TRUE)-_xlfn.NORM.DIST(BI$30,$CU16,0.3*$CU16,TRUE))+$CS16*(_xlfn.NORM.DIST(BI$3,$CV16,0.3*$CV16,TRUE)-_xlfn.NORM.DIST(BI$30,$CV16,0.3*$CV16,TRUE))),""),IF($C16&gt;0,summary!$C$10/28.8/0.947817,""))</f>
        <v/>
      </c>
      <c r="BJ45">
        <f t="array" ref="BJ45">IF($D16,IFERROR((SUMPRODUCT((economics!$AG$2:$AG$167=$B45)*(economics!$D$2:$D$167="whr")*economics!$AH$2:$AH$167*(_xlfn.NORM.DIST(BJ$3,economics!$AK$2:$AK$167,economics!$AJ$2:$AJ$167,TRUE)-_xlfn.NORM.DIST(BJ$30,economics!$AK$2:$AK$167,economics!$AJ$2:$AJ$167,TRUE))*economics!$AM$2:$AM$167)+$CR16*(_xlfn.NORM.DIST(BJ$3,$CU16,0.3*$CU16,TRUE)-_xlfn.NORM.DIST(BJ$30,$CU16,0.3*$CU16,TRUE))*summary!$C$7/28.8/0.947817+$CS16*(_xlfn.NORM.DIST(BJ$3,$CV16,0.3*$CV16,TRUE)-_xlfn.NORM.DIST(BJ$30,$CV16,0.3*$CV16,TRUE))*summary!$C$6/28.8/0.947817)/(SUMPRODUCT((economics!$AG$2:$AG$167=$B45)*(economics!$D$2:$D$167="whr")*economics!$AH$2:$AH$167*(_xlfn.NORM.DIST(BJ$3,economics!$AK$2:$AK$167,economics!$AJ$2:$AJ$167,TRUE)-_xlfn.NORM.DIST(BJ$30,economics!$AK$2:$AK$167,economics!$AJ$2:$AJ$167,TRUE)))+$CR16*(_xlfn.NORM.DIST(BJ$3,$CU16,0.3*$CU16,TRUE)-_xlfn.NORM.DIST(BJ$30,$CU16,0.3*$CU16,TRUE))+$CS16*(_xlfn.NORM.DIST(BJ$3,$CV16,0.3*$CV16,TRUE)-_xlfn.NORM.DIST(BJ$30,$CV16,0.3*$CV16,TRUE))),""),IF($C16&gt;0,summary!$C$10/28.8/0.947817,""))</f>
        <v/>
      </c>
      <c r="BK45">
        <f t="array" ref="BK45">IF($D16,IFERROR((SUMPRODUCT((economics!$AG$2:$AG$167=$B45)*(economics!$D$2:$D$167="whr")*economics!$AH$2:$AH$167*(_xlfn.NORM.DIST(BK$3,economics!$AK$2:$AK$167,economics!$AJ$2:$AJ$167,TRUE)-_xlfn.NORM.DIST(BK$30,economics!$AK$2:$AK$167,economics!$AJ$2:$AJ$167,TRUE))*economics!$AM$2:$AM$167)+$CR16*(_xlfn.NORM.DIST(BK$3,$CU16,0.3*$CU16,TRUE)-_xlfn.NORM.DIST(BK$30,$CU16,0.3*$CU16,TRUE))*summary!$C$7/28.8/0.947817+$CS16*(_xlfn.NORM.DIST(BK$3,$CV16,0.3*$CV16,TRUE)-_xlfn.NORM.DIST(BK$30,$CV16,0.3*$CV16,TRUE))*summary!$C$6/28.8/0.947817)/(SUMPRODUCT((economics!$AG$2:$AG$167=$B45)*(economics!$D$2:$D$167="whr")*economics!$AH$2:$AH$167*(_xlfn.NORM.DIST(BK$3,economics!$AK$2:$AK$167,economics!$AJ$2:$AJ$167,TRUE)-_xlfn.NORM.DIST(BK$30,economics!$AK$2:$AK$167,economics!$AJ$2:$AJ$167,TRUE)))+$CR16*(_xlfn.NORM.DIST(BK$3,$CU16,0.3*$CU16,TRUE)-_xlfn.NORM.DIST(BK$30,$CU16,0.3*$CU16,TRUE))+$CS16*(_xlfn.NORM.DIST(BK$3,$CV16,0.3*$CV16,TRUE)-_xlfn.NORM.DIST(BK$30,$CV16,0.3*$CV16,TRUE))),""),IF($C16&gt;0,summary!$C$10/28.8/0.947817,""))</f>
        <v/>
      </c>
      <c r="BL45">
        <f t="array" ref="BL45">IF($D16,IFERROR((SUMPRODUCT((economics!$AG$2:$AG$167=$B45)*(economics!$D$2:$D$167="whr")*economics!$AH$2:$AH$167*(_xlfn.NORM.DIST(BL$3,economics!$AK$2:$AK$167,economics!$AJ$2:$AJ$167,TRUE)-_xlfn.NORM.DIST(BL$30,economics!$AK$2:$AK$167,economics!$AJ$2:$AJ$167,TRUE))*economics!$AM$2:$AM$167)+$CR16*(_xlfn.NORM.DIST(BL$3,$CU16,0.3*$CU16,TRUE)-_xlfn.NORM.DIST(BL$30,$CU16,0.3*$CU16,TRUE))*summary!$C$7/28.8/0.947817+$CS16*(_xlfn.NORM.DIST(BL$3,$CV16,0.3*$CV16,TRUE)-_xlfn.NORM.DIST(BL$30,$CV16,0.3*$CV16,TRUE))*summary!$C$6/28.8/0.947817)/(SUMPRODUCT((economics!$AG$2:$AG$167=$B45)*(economics!$D$2:$D$167="whr")*economics!$AH$2:$AH$167*(_xlfn.NORM.DIST(BL$3,economics!$AK$2:$AK$167,economics!$AJ$2:$AJ$167,TRUE)-_xlfn.NORM.DIST(BL$30,economics!$AK$2:$AK$167,economics!$AJ$2:$AJ$167,TRUE)))+$CR16*(_xlfn.NORM.DIST(BL$3,$CU16,0.3*$CU16,TRUE)-_xlfn.NORM.DIST(BL$30,$CU16,0.3*$CU16,TRUE))+$CS16*(_xlfn.NORM.DIST(BL$3,$CV16,0.3*$CV16,TRUE)-_xlfn.NORM.DIST(BL$30,$CV16,0.3*$CV16,TRUE))),""),IF($C16&gt;0,summary!$C$10/28.8/0.947817,""))</f>
        <v/>
      </c>
      <c r="BM45">
        <f t="array" ref="BM45">IF($D16,IFERROR((SUMPRODUCT((economics!$AG$2:$AG$167=$B45)*(economics!$D$2:$D$167="whr")*economics!$AH$2:$AH$167*(_xlfn.NORM.DIST(BM$3,economics!$AK$2:$AK$167,economics!$AJ$2:$AJ$167,TRUE)-_xlfn.NORM.DIST(BM$30,economics!$AK$2:$AK$167,economics!$AJ$2:$AJ$167,TRUE))*economics!$AM$2:$AM$167)+$CR16*(_xlfn.NORM.DIST(BM$3,$CU16,0.3*$CU16,TRUE)-_xlfn.NORM.DIST(BM$30,$CU16,0.3*$CU16,TRUE))*summary!$C$7/28.8/0.947817+$CS16*(_xlfn.NORM.DIST(BM$3,$CV16,0.3*$CV16,TRUE)-_xlfn.NORM.DIST(BM$30,$CV16,0.3*$CV16,TRUE))*summary!$C$6/28.8/0.947817)/(SUMPRODUCT((economics!$AG$2:$AG$167=$B45)*(economics!$D$2:$D$167="whr")*economics!$AH$2:$AH$167*(_xlfn.NORM.DIST(BM$3,economics!$AK$2:$AK$167,economics!$AJ$2:$AJ$167,TRUE)-_xlfn.NORM.DIST(BM$30,economics!$AK$2:$AK$167,economics!$AJ$2:$AJ$167,TRUE)))+$CR16*(_xlfn.NORM.DIST(BM$3,$CU16,0.3*$CU16,TRUE)-_xlfn.NORM.DIST(BM$30,$CU16,0.3*$CU16,TRUE))+$CS16*(_xlfn.NORM.DIST(BM$3,$CV16,0.3*$CV16,TRUE)-_xlfn.NORM.DIST(BM$30,$CV16,0.3*$CV16,TRUE))),""),IF($C16&gt;0,summary!$C$10/28.8/0.947817,""))</f>
        <v/>
      </c>
      <c r="BN45">
        <f t="array" ref="BN45">IF($D16,IFERROR((SUMPRODUCT((economics!$AG$2:$AG$167=$B45)*(economics!$D$2:$D$167="whr")*economics!$AH$2:$AH$167*(_xlfn.NORM.DIST(BN$3,economics!$AK$2:$AK$167,economics!$AJ$2:$AJ$167,TRUE)-_xlfn.NORM.DIST(BN$30,economics!$AK$2:$AK$167,economics!$AJ$2:$AJ$167,TRUE))*economics!$AM$2:$AM$167)+$CR16*(_xlfn.NORM.DIST(BN$3,$CU16,0.3*$CU16,TRUE)-_xlfn.NORM.DIST(BN$30,$CU16,0.3*$CU16,TRUE))*summary!$C$7/28.8/0.947817+$CS16*(_xlfn.NORM.DIST(BN$3,$CV16,0.3*$CV16,TRUE)-_xlfn.NORM.DIST(BN$30,$CV16,0.3*$CV16,TRUE))*summary!$C$6/28.8/0.947817)/(SUMPRODUCT((economics!$AG$2:$AG$167=$B45)*(economics!$D$2:$D$167="whr")*economics!$AH$2:$AH$167*(_xlfn.NORM.DIST(BN$3,economics!$AK$2:$AK$167,economics!$AJ$2:$AJ$167,TRUE)-_xlfn.NORM.DIST(BN$30,economics!$AK$2:$AK$167,economics!$AJ$2:$AJ$167,TRUE)))+$CR16*(_xlfn.NORM.DIST(BN$3,$CU16,0.3*$CU16,TRUE)-_xlfn.NORM.DIST(BN$30,$CU16,0.3*$CU16,TRUE))+$CS16*(_xlfn.NORM.DIST(BN$3,$CV16,0.3*$CV16,TRUE)-_xlfn.NORM.DIST(BN$30,$CV16,0.3*$CV16,TRUE))),""),IF($C16&gt;0,summary!$C$10/28.8/0.947817,""))</f>
        <v/>
      </c>
      <c r="BO45">
        <f t="array" ref="BO45">IF($D16,IFERROR((SUMPRODUCT((economics!$AG$2:$AG$167=$B45)*(economics!$D$2:$D$167="whr")*economics!$AH$2:$AH$167*(_xlfn.NORM.DIST(BO$3,economics!$AK$2:$AK$167,economics!$AJ$2:$AJ$167,TRUE)-_xlfn.NORM.DIST(BO$30,economics!$AK$2:$AK$167,economics!$AJ$2:$AJ$167,TRUE))*economics!$AM$2:$AM$167)+$CR16*(_xlfn.NORM.DIST(BO$3,$CU16,0.3*$CU16,TRUE)-_xlfn.NORM.DIST(BO$30,$CU16,0.3*$CU16,TRUE))*summary!$C$7/28.8/0.947817+$CS16*(_xlfn.NORM.DIST(BO$3,$CV16,0.3*$CV16,TRUE)-_xlfn.NORM.DIST(BO$30,$CV16,0.3*$CV16,TRUE))*summary!$C$6/28.8/0.947817)/(SUMPRODUCT((economics!$AG$2:$AG$167=$B45)*(economics!$D$2:$D$167="whr")*economics!$AH$2:$AH$167*(_xlfn.NORM.DIST(BO$3,economics!$AK$2:$AK$167,economics!$AJ$2:$AJ$167,TRUE)-_xlfn.NORM.DIST(BO$30,economics!$AK$2:$AK$167,economics!$AJ$2:$AJ$167,TRUE)))+$CR16*(_xlfn.NORM.DIST(BO$3,$CU16,0.3*$CU16,TRUE)-_xlfn.NORM.DIST(BO$30,$CU16,0.3*$CU16,TRUE))+$CS16*(_xlfn.NORM.DIST(BO$3,$CV16,0.3*$CV16,TRUE)-_xlfn.NORM.DIST(BO$30,$CV16,0.3*$CV16,TRUE))),""),IF($C16&gt;0,summary!$C$10/28.8/0.947817,""))</f>
        <v/>
      </c>
      <c r="BP45">
        <f t="array" ref="BP45">IF($D16,IFERROR((SUMPRODUCT((economics!$AG$2:$AG$167=$B45)*(economics!$D$2:$D$167="whr")*economics!$AH$2:$AH$167*(_xlfn.NORM.DIST(BP$3,economics!$AK$2:$AK$167,economics!$AJ$2:$AJ$167,TRUE)-_xlfn.NORM.DIST(BP$30,economics!$AK$2:$AK$167,economics!$AJ$2:$AJ$167,TRUE))*economics!$AM$2:$AM$167)+$CR16*(_xlfn.NORM.DIST(BP$3,$CU16,0.3*$CU16,TRUE)-_xlfn.NORM.DIST(BP$30,$CU16,0.3*$CU16,TRUE))*summary!$C$7/28.8/0.947817+$CS16*(_xlfn.NORM.DIST(BP$3,$CV16,0.3*$CV16,TRUE)-_xlfn.NORM.DIST(BP$30,$CV16,0.3*$CV16,TRUE))*summary!$C$6/28.8/0.947817)/(SUMPRODUCT((economics!$AG$2:$AG$167=$B45)*(economics!$D$2:$D$167="whr")*economics!$AH$2:$AH$167*(_xlfn.NORM.DIST(BP$3,economics!$AK$2:$AK$167,economics!$AJ$2:$AJ$167,TRUE)-_xlfn.NORM.DIST(BP$30,economics!$AK$2:$AK$167,economics!$AJ$2:$AJ$167,TRUE)))+$CR16*(_xlfn.NORM.DIST(BP$3,$CU16,0.3*$CU16,TRUE)-_xlfn.NORM.DIST(BP$30,$CU16,0.3*$CU16,TRUE))+$CS16*(_xlfn.NORM.DIST(BP$3,$CV16,0.3*$CV16,TRUE)-_xlfn.NORM.DIST(BP$30,$CV16,0.3*$CV16,TRUE))),""),IF($C16&gt;0,summary!$C$10/28.8/0.947817,""))</f>
        <v/>
      </c>
      <c r="BQ45">
        <f t="array" ref="BQ45">IF($D16,IFERROR((SUMPRODUCT((economics!$AG$2:$AG$167=$B45)*(economics!$D$2:$D$167="whr")*economics!$AH$2:$AH$167*(_xlfn.NORM.DIST(BQ$3,economics!$AK$2:$AK$167,economics!$AJ$2:$AJ$167,TRUE)-_xlfn.NORM.DIST(BQ$30,economics!$AK$2:$AK$167,economics!$AJ$2:$AJ$167,TRUE))*economics!$AM$2:$AM$167)+$CR16*(_xlfn.NORM.DIST(BQ$3,$CU16,0.3*$CU16,TRUE)-_xlfn.NORM.DIST(BQ$30,$CU16,0.3*$CU16,TRUE))*summary!$C$7/28.8/0.947817+$CS16*(_xlfn.NORM.DIST(BQ$3,$CV16,0.3*$CV16,TRUE)-_xlfn.NORM.DIST(BQ$30,$CV16,0.3*$CV16,TRUE))*summary!$C$6/28.8/0.947817)/(SUMPRODUCT((economics!$AG$2:$AG$167=$B45)*(economics!$D$2:$D$167="whr")*economics!$AH$2:$AH$167*(_xlfn.NORM.DIST(BQ$3,economics!$AK$2:$AK$167,economics!$AJ$2:$AJ$167,TRUE)-_xlfn.NORM.DIST(BQ$30,economics!$AK$2:$AK$167,economics!$AJ$2:$AJ$167,TRUE)))+$CR16*(_xlfn.NORM.DIST(BQ$3,$CU16,0.3*$CU16,TRUE)-_xlfn.NORM.DIST(BQ$30,$CU16,0.3*$CU16,TRUE))+$CS16*(_xlfn.NORM.DIST(BQ$3,$CV16,0.3*$CV16,TRUE)-_xlfn.NORM.DIST(BQ$30,$CV16,0.3*$CV16,TRUE))),""),IF($C16&gt;0,summary!$C$10/28.8/0.947817,""))</f>
        <v/>
      </c>
      <c r="BR45">
        <f t="array" ref="BR45">IF($D16,IFERROR((SUMPRODUCT((economics!$AG$2:$AG$167=$B45)*(economics!$D$2:$D$167="whr")*economics!$AH$2:$AH$167*(_xlfn.NORM.DIST(BR$3,economics!$AK$2:$AK$167,economics!$AJ$2:$AJ$167,TRUE)-_xlfn.NORM.DIST(BR$30,economics!$AK$2:$AK$167,economics!$AJ$2:$AJ$167,TRUE))*economics!$AM$2:$AM$167)+$CR16*(_xlfn.NORM.DIST(BR$3,$CU16,0.3*$CU16,TRUE)-_xlfn.NORM.DIST(BR$30,$CU16,0.3*$CU16,TRUE))*summary!$C$7/28.8/0.947817+$CS16*(_xlfn.NORM.DIST(BR$3,$CV16,0.3*$CV16,TRUE)-_xlfn.NORM.DIST(BR$30,$CV16,0.3*$CV16,TRUE))*summary!$C$6/28.8/0.947817)/(SUMPRODUCT((economics!$AG$2:$AG$167=$B45)*(economics!$D$2:$D$167="whr")*economics!$AH$2:$AH$167*(_xlfn.NORM.DIST(BR$3,economics!$AK$2:$AK$167,economics!$AJ$2:$AJ$167,TRUE)-_xlfn.NORM.DIST(BR$30,economics!$AK$2:$AK$167,economics!$AJ$2:$AJ$167,TRUE)))+$CR16*(_xlfn.NORM.DIST(BR$3,$CU16,0.3*$CU16,TRUE)-_xlfn.NORM.DIST(BR$30,$CU16,0.3*$CU16,TRUE))+$CS16*(_xlfn.NORM.DIST(BR$3,$CV16,0.3*$CV16,TRUE)-_xlfn.NORM.DIST(BR$30,$CV16,0.3*$CV16,TRUE))),""),IF($C16&gt;0,summary!$C$10/28.8/0.947817,""))</f>
        <v/>
      </c>
      <c r="BS45">
        <f t="array" ref="BS45">IF($D16,IFERROR((SUMPRODUCT((economics!$AG$2:$AG$167=$B45)*(economics!$D$2:$D$167="whr")*economics!$AH$2:$AH$167*(_xlfn.NORM.DIST(BS$3,economics!$AK$2:$AK$167,economics!$AJ$2:$AJ$167,TRUE)-_xlfn.NORM.DIST(BS$30,economics!$AK$2:$AK$167,economics!$AJ$2:$AJ$167,TRUE))*economics!$AM$2:$AM$167)+$CR16*(_xlfn.NORM.DIST(BS$3,$CU16,0.3*$CU16,TRUE)-_xlfn.NORM.DIST(BS$30,$CU16,0.3*$CU16,TRUE))*summary!$C$7/28.8/0.947817+$CS16*(_xlfn.NORM.DIST(BS$3,$CV16,0.3*$CV16,TRUE)-_xlfn.NORM.DIST(BS$30,$CV16,0.3*$CV16,TRUE))*summary!$C$6/28.8/0.947817)/(SUMPRODUCT((economics!$AG$2:$AG$167=$B45)*(economics!$D$2:$D$167="whr")*economics!$AH$2:$AH$167*(_xlfn.NORM.DIST(BS$3,economics!$AK$2:$AK$167,economics!$AJ$2:$AJ$167,TRUE)-_xlfn.NORM.DIST(BS$30,economics!$AK$2:$AK$167,economics!$AJ$2:$AJ$167,TRUE)))+$CR16*(_xlfn.NORM.DIST(BS$3,$CU16,0.3*$CU16,TRUE)-_xlfn.NORM.DIST(BS$30,$CU16,0.3*$CU16,TRUE))+$CS16*(_xlfn.NORM.DIST(BS$3,$CV16,0.3*$CV16,TRUE)-_xlfn.NORM.DIST(BS$30,$CV16,0.3*$CV16,TRUE))),""),IF($C16&gt;0,summary!$C$10/28.8/0.947817,""))</f>
        <v/>
      </c>
      <c r="BT45">
        <f t="array" ref="BT45">IF($D16,IFERROR((SUMPRODUCT((economics!$AG$2:$AG$167=$B45)*(economics!$D$2:$D$167="whr")*economics!$AH$2:$AH$167*(_xlfn.NORM.DIST(BT$3,economics!$AK$2:$AK$167,economics!$AJ$2:$AJ$167,TRUE)-_xlfn.NORM.DIST(BT$30,economics!$AK$2:$AK$167,economics!$AJ$2:$AJ$167,TRUE))*economics!$AM$2:$AM$167)+$CR16*(_xlfn.NORM.DIST(BT$3,$CU16,0.3*$CU16,TRUE)-_xlfn.NORM.DIST(BT$30,$CU16,0.3*$CU16,TRUE))*summary!$C$7/28.8/0.947817+$CS16*(_xlfn.NORM.DIST(BT$3,$CV16,0.3*$CV16,TRUE)-_xlfn.NORM.DIST(BT$30,$CV16,0.3*$CV16,TRUE))*summary!$C$6/28.8/0.947817)/(SUMPRODUCT((economics!$AG$2:$AG$167=$B45)*(economics!$D$2:$D$167="whr")*economics!$AH$2:$AH$167*(_xlfn.NORM.DIST(BT$3,economics!$AK$2:$AK$167,economics!$AJ$2:$AJ$167,TRUE)-_xlfn.NORM.DIST(BT$30,economics!$AK$2:$AK$167,economics!$AJ$2:$AJ$167,TRUE)))+$CR16*(_xlfn.NORM.DIST(BT$3,$CU16,0.3*$CU16,TRUE)-_xlfn.NORM.DIST(BT$30,$CU16,0.3*$CU16,TRUE))+$CS16*(_xlfn.NORM.DIST(BT$3,$CV16,0.3*$CV16,TRUE)-_xlfn.NORM.DIST(BT$30,$CV16,0.3*$CV16,TRUE))),""),IF($C16&gt;0,summary!$C$10/28.8/0.947817,""))</f>
        <v/>
      </c>
      <c r="BU45">
        <f t="array" ref="BU45">IF($D16,IFERROR((SUMPRODUCT((economics!$AG$2:$AG$167=$B45)*(economics!$D$2:$D$167="whr")*economics!$AH$2:$AH$167*(_xlfn.NORM.DIST(BU$3,economics!$AK$2:$AK$167,economics!$AJ$2:$AJ$167,TRUE)-_xlfn.NORM.DIST(BU$30,economics!$AK$2:$AK$167,economics!$AJ$2:$AJ$167,TRUE))*economics!$AM$2:$AM$167)+$CR16*(_xlfn.NORM.DIST(BU$3,$CU16,0.3*$CU16,TRUE)-_xlfn.NORM.DIST(BU$30,$CU16,0.3*$CU16,TRUE))*summary!$C$7/28.8/0.947817+$CS16*(_xlfn.NORM.DIST(BU$3,$CV16,0.3*$CV16,TRUE)-_xlfn.NORM.DIST(BU$30,$CV16,0.3*$CV16,TRUE))*summary!$C$6/28.8/0.947817)/(SUMPRODUCT((economics!$AG$2:$AG$167=$B45)*(economics!$D$2:$D$167="whr")*economics!$AH$2:$AH$167*(_xlfn.NORM.DIST(BU$3,economics!$AK$2:$AK$167,economics!$AJ$2:$AJ$167,TRUE)-_xlfn.NORM.DIST(BU$30,economics!$AK$2:$AK$167,economics!$AJ$2:$AJ$167,TRUE)))+$CR16*(_xlfn.NORM.DIST(BU$3,$CU16,0.3*$CU16,TRUE)-_xlfn.NORM.DIST(BU$30,$CU16,0.3*$CU16,TRUE))+$CS16*(_xlfn.NORM.DIST(BU$3,$CV16,0.3*$CV16,TRUE)-_xlfn.NORM.DIST(BU$30,$CV16,0.3*$CV16,TRUE))),""),IF($C16&gt;0,summary!$C$10/28.8/0.947817,""))</f>
        <v/>
      </c>
      <c r="BV45">
        <f t="array" ref="BV45">IF($D16,IFERROR((SUMPRODUCT((economics!$AG$2:$AG$167=$B45)*(economics!$D$2:$D$167="whr")*economics!$AH$2:$AH$167*(_xlfn.NORM.DIST(BV$3,economics!$AK$2:$AK$167,economics!$AJ$2:$AJ$167,TRUE)-_xlfn.NORM.DIST(BV$30,economics!$AK$2:$AK$167,economics!$AJ$2:$AJ$167,TRUE))*economics!$AM$2:$AM$167)+$CR16*(_xlfn.NORM.DIST(BV$3,$CU16,0.3*$CU16,TRUE)-_xlfn.NORM.DIST(BV$30,$CU16,0.3*$CU16,TRUE))*summary!$C$7/28.8/0.947817+$CS16*(_xlfn.NORM.DIST(BV$3,$CV16,0.3*$CV16,TRUE)-_xlfn.NORM.DIST(BV$30,$CV16,0.3*$CV16,TRUE))*summary!$C$6/28.8/0.947817)/(SUMPRODUCT((economics!$AG$2:$AG$167=$B45)*(economics!$D$2:$D$167="whr")*economics!$AH$2:$AH$167*(_xlfn.NORM.DIST(BV$3,economics!$AK$2:$AK$167,economics!$AJ$2:$AJ$167,TRUE)-_xlfn.NORM.DIST(BV$30,economics!$AK$2:$AK$167,economics!$AJ$2:$AJ$167,TRUE)))+$CR16*(_xlfn.NORM.DIST(BV$3,$CU16,0.3*$CU16,TRUE)-_xlfn.NORM.DIST(BV$30,$CU16,0.3*$CU16,TRUE))+$CS16*(_xlfn.NORM.DIST(BV$3,$CV16,0.3*$CV16,TRUE)-_xlfn.NORM.DIST(BV$30,$CV16,0.3*$CV16,TRUE))),""),IF($C16&gt;0,summary!$C$10/28.8/0.947817,""))</f>
        <v/>
      </c>
      <c r="BW45">
        <f t="array" ref="BW45">IF($D16,IFERROR((SUMPRODUCT((economics!$AG$2:$AG$167=$B45)*(economics!$D$2:$D$167="whr")*economics!$AH$2:$AH$167*(_xlfn.NORM.DIST(BW$3,economics!$AK$2:$AK$167,economics!$AJ$2:$AJ$167,TRUE)-_xlfn.NORM.DIST(BW$30,economics!$AK$2:$AK$167,economics!$AJ$2:$AJ$167,TRUE))*economics!$AM$2:$AM$167)+$CR16*(_xlfn.NORM.DIST(BW$3,$CU16,0.3*$CU16,TRUE)-_xlfn.NORM.DIST(BW$30,$CU16,0.3*$CU16,TRUE))*summary!$C$7/28.8/0.947817+$CS16*(_xlfn.NORM.DIST(BW$3,$CV16,0.3*$CV16,TRUE)-_xlfn.NORM.DIST(BW$30,$CV16,0.3*$CV16,TRUE))*summary!$C$6/28.8/0.947817)/(SUMPRODUCT((economics!$AG$2:$AG$167=$B45)*(economics!$D$2:$D$167="whr")*economics!$AH$2:$AH$167*(_xlfn.NORM.DIST(BW$3,economics!$AK$2:$AK$167,economics!$AJ$2:$AJ$167,TRUE)-_xlfn.NORM.DIST(BW$30,economics!$AK$2:$AK$167,economics!$AJ$2:$AJ$167,TRUE)))+$CR16*(_xlfn.NORM.DIST(BW$3,$CU16,0.3*$CU16,TRUE)-_xlfn.NORM.DIST(BW$30,$CU16,0.3*$CU16,TRUE))+$CS16*(_xlfn.NORM.DIST(BW$3,$CV16,0.3*$CV16,TRUE)-_xlfn.NORM.DIST(BW$30,$CV16,0.3*$CV16,TRUE))),""),IF($C16&gt;0,summary!$C$10/28.8/0.947817,""))</f>
        <v/>
      </c>
      <c r="BX45">
        <f t="array" ref="BX45">IF($D16,IFERROR((SUMPRODUCT((economics!$AG$2:$AG$167=$B45)*(economics!$D$2:$D$167="whr")*economics!$AH$2:$AH$167*(_xlfn.NORM.DIST(BX$3,economics!$AK$2:$AK$167,economics!$AJ$2:$AJ$167,TRUE)-_xlfn.NORM.DIST(BX$30,economics!$AK$2:$AK$167,economics!$AJ$2:$AJ$167,TRUE))*economics!$AM$2:$AM$167)+$CR16*(_xlfn.NORM.DIST(BX$3,$CU16,0.3*$CU16,TRUE)-_xlfn.NORM.DIST(BX$30,$CU16,0.3*$CU16,TRUE))*summary!$C$7/28.8/0.947817+$CS16*(_xlfn.NORM.DIST(BX$3,$CV16,0.3*$CV16,TRUE)-_xlfn.NORM.DIST(BX$30,$CV16,0.3*$CV16,TRUE))*summary!$C$6/28.8/0.947817)/(SUMPRODUCT((economics!$AG$2:$AG$167=$B45)*(economics!$D$2:$D$167="whr")*economics!$AH$2:$AH$167*(_xlfn.NORM.DIST(BX$3,economics!$AK$2:$AK$167,economics!$AJ$2:$AJ$167,TRUE)-_xlfn.NORM.DIST(BX$30,economics!$AK$2:$AK$167,economics!$AJ$2:$AJ$167,TRUE)))+$CR16*(_xlfn.NORM.DIST(BX$3,$CU16,0.3*$CU16,TRUE)-_xlfn.NORM.DIST(BX$30,$CU16,0.3*$CU16,TRUE))+$CS16*(_xlfn.NORM.DIST(BX$3,$CV16,0.3*$CV16,TRUE)-_xlfn.NORM.DIST(BX$30,$CV16,0.3*$CV16,TRUE))),""),IF($C16&gt;0,summary!$C$10/28.8/0.947817,""))</f>
        <v/>
      </c>
      <c r="BY45">
        <f t="array" ref="BY45">IF($D16,IFERROR((SUMPRODUCT((economics!$AG$2:$AG$167=$B45)*(economics!$D$2:$D$167="whr")*economics!$AH$2:$AH$167*(_xlfn.NORM.DIST(BY$3,economics!$AK$2:$AK$167,economics!$AJ$2:$AJ$167,TRUE)-_xlfn.NORM.DIST(BY$30,economics!$AK$2:$AK$167,economics!$AJ$2:$AJ$167,TRUE))*economics!$AM$2:$AM$167)+$CR16*(_xlfn.NORM.DIST(BY$3,$CU16,0.3*$CU16,TRUE)-_xlfn.NORM.DIST(BY$30,$CU16,0.3*$CU16,TRUE))*summary!$C$7/28.8/0.947817+$CS16*(_xlfn.NORM.DIST(BY$3,$CV16,0.3*$CV16,TRUE)-_xlfn.NORM.DIST(BY$30,$CV16,0.3*$CV16,TRUE))*summary!$C$6/28.8/0.947817)/(SUMPRODUCT((economics!$AG$2:$AG$167=$B45)*(economics!$D$2:$D$167="whr")*economics!$AH$2:$AH$167*(_xlfn.NORM.DIST(BY$3,economics!$AK$2:$AK$167,economics!$AJ$2:$AJ$167,TRUE)-_xlfn.NORM.DIST(BY$30,economics!$AK$2:$AK$167,economics!$AJ$2:$AJ$167,TRUE)))+$CR16*(_xlfn.NORM.DIST(BY$3,$CU16,0.3*$CU16,TRUE)-_xlfn.NORM.DIST(BY$30,$CU16,0.3*$CU16,TRUE))+$CS16*(_xlfn.NORM.DIST(BY$3,$CV16,0.3*$CV16,TRUE)-_xlfn.NORM.DIST(BY$30,$CV16,0.3*$CV16,TRUE))),""),IF($C16&gt;0,summary!$C$10/28.8/0.947817,""))</f>
        <v/>
      </c>
      <c r="BZ45">
        <f t="array" ref="BZ45">IF($D16,IFERROR((SUMPRODUCT((economics!$AG$2:$AG$167=$B45)*(economics!$D$2:$D$167="whr")*economics!$AH$2:$AH$167*(_xlfn.NORM.DIST(BZ$3,economics!$AK$2:$AK$167,economics!$AJ$2:$AJ$167,TRUE)-_xlfn.NORM.DIST(BZ$30,economics!$AK$2:$AK$167,economics!$AJ$2:$AJ$167,TRUE))*economics!$AM$2:$AM$167)+$CR16*(_xlfn.NORM.DIST(BZ$3,$CU16,0.3*$CU16,TRUE)-_xlfn.NORM.DIST(BZ$30,$CU16,0.3*$CU16,TRUE))*summary!$C$7/28.8/0.947817+$CS16*(_xlfn.NORM.DIST(BZ$3,$CV16,0.3*$CV16,TRUE)-_xlfn.NORM.DIST(BZ$30,$CV16,0.3*$CV16,TRUE))*summary!$C$6/28.8/0.947817)/(SUMPRODUCT((economics!$AG$2:$AG$167=$B45)*(economics!$D$2:$D$167="whr")*economics!$AH$2:$AH$167*(_xlfn.NORM.DIST(BZ$3,economics!$AK$2:$AK$167,economics!$AJ$2:$AJ$167,TRUE)-_xlfn.NORM.DIST(BZ$30,economics!$AK$2:$AK$167,economics!$AJ$2:$AJ$167,TRUE)))+$CR16*(_xlfn.NORM.DIST(BZ$3,$CU16,0.3*$CU16,TRUE)-_xlfn.NORM.DIST(BZ$30,$CU16,0.3*$CU16,TRUE))+$CS16*(_xlfn.NORM.DIST(BZ$3,$CV16,0.3*$CV16,TRUE)-_xlfn.NORM.DIST(BZ$30,$CV16,0.3*$CV16,TRUE))),""),IF($C16&gt;0,summary!$C$10/28.8/0.947817,""))</f>
        <v/>
      </c>
      <c r="CA45">
        <f t="array" ref="CA45">IF($D16,IFERROR((SUMPRODUCT((economics!$AG$2:$AG$167=$B45)*(economics!$D$2:$D$167="whr")*economics!$AH$2:$AH$167*(_xlfn.NORM.DIST(CA$3,economics!$AK$2:$AK$167,economics!$AJ$2:$AJ$167,TRUE)-_xlfn.NORM.DIST(CA$30,economics!$AK$2:$AK$167,economics!$AJ$2:$AJ$167,TRUE))*economics!$AM$2:$AM$167)+$CR16*(_xlfn.NORM.DIST(CA$3,$CU16,0.3*$CU16,TRUE)-_xlfn.NORM.DIST(CA$30,$CU16,0.3*$CU16,TRUE))*summary!$C$7/28.8/0.947817+$CS16*(_xlfn.NORM.DIST(CA$3,$CV16,0.3*$CV16,TRUE)-_xlfn.NORM.DIST(CA$30,$CV16,0.3*$CV16,TRUE))*summary!$C$6/28.8/0.947817)/(SUMPRODUCT((economics!$AG$2:$AG$167=$B45)*(economics!$D$2:$D$167="whr")*economics!$AH$2:$AH$167*(_xlfn.NORM.DIST(CA$3,economics!$AK$2:$AK$167,economics!$AJ$2:$AJ$167,TRUE)-_xlfn.NORM.DIST(CA$30,economics!$AK$2:$AK$167,economics!$AJ$2:$AJ$167,TRUE)))+$CR16*(_xlfn.NORM.DIST(CA$3,$CU16,0.3*$CU16,TRUE)-_xlfn.NORM.DIST(CA$30,$CU16,0.3*$CU16,TRUE))+$CS16*(_xlfn.NORM.DIST(CA$3,$CV16,0.3*$CV16,TRUE)-_xlfn.NORM.DIST(CA$30,$CV16,0.3*$CV16,TRUE))),""),IF($C16&gt;0,summary!$C$10/28.8/0.947817,""))</f>
        <v/>
      </c>
      <c r="CB45">
        <f t="array" ref="CB45">IF($D16,IFERROR((SUMPRODUCT((economics!$AG$2:$AG$167=$B45)*(economics!$D$2:$D$167="whr")*economics!$AH$2:$AH$167*(_xlfn.NORM.DIST(CB$3,economics!$AK$2:$AK$167,economics!$AJ$2:$AJ$167,TRUE)-_xlfn.NORM.DIST(CB$30,economics!$AK$2:$AK$167,economics!$AJ$2:$AJ$167,TRUE))*economics!$AM$2:$AM$167)+$CR16*(_xlfn.NORM.DIST(CB$3,$CU16,0.3*$CU16,TRUE)-_xlfn.NORM.DIST(CB$30,$CU16,0.3*$CU16,TRUE))*summary!$C$7/28.8/0.947817+$CS16*(_xlfn.NORM.DIST(CB$3,$CV16,0.3*$CV16,TRUE)-_xlfn.NORM.DIST(CB$30,$CV16,0.3*$CV16,TRUE))*summary!$C$6/28.8/0.947817)/(SUMPRODUCT((economics!$AG$2:$AG$167=$B45)*(economics!$D$2:$D$167="whr")*economics!$AH$2:$AH$167*(_xlfn.NORM.DIST(CB$3,economics!$AK$2:$AK$167,economics!$AJ$2:$AJ$167,TRUE)-_xlfn.NORM.DIST(CB$30,economics!$AK$2:$AK$167,economics!$AJ$2:$AJ$167,TRUE)))+$CR16*(_xlfn.NORM.DIST(CB$3,$CU16,0.3*$CU16,TRUE)-_xlfn.NORM.DIST(CB$30,$CU16,0.3*$CU16,TRUE))+$CS16*(_xlfn.NORM.DIST(CB$3,$CV16,0.3*$CV16,TRUE)-_xlfn.NORM.DIST(CB$30,$CV16,0.3*$CV16,TRUE))),""),IF($C16&gt;0,summary!$C$10/28.8/0.947817,""))</f>
        <v/>
      </c>
      <c r="CC45">
        <f t="array" ref="CC45">IF($D16,IFERROR((SUMPRODUCT((economics!$AG$2:$AG$167=$B45)*(economics!$D$2:$D$167="whr")*economics!$AH$2:$AH$167*(_xlfn.NORM.DIST(CC$3,economics!$AK$2:$AK$167,economics!$AJ$2:$AJ$167,TRUE)-_xlfn.NORM.DIST(CC$30,economics!$AK$2:$AK$167,economics!$AJ$2:$AJ$167,TRUE))*economics!$AM$2:$AM$167)+$CR16*(_xlfn.NORM.DIST(CC$3,$CU16,0.3*$CU16,TRUE)-_xlfn.NORM.DIST(CC$30,$CU16,0.3*$CU16,TRUE))*summary!$C$7/28.8/0.947817+$CS16*(_xlfn.NORM.DIST(CC$3,$CV16,0.3*$CV16,TRUE)-_xlfn.NORM.DIST(CC$30,$CV16,0.3*$CV16,TRUE))*summary!$C$6/28.8/0.947817)/(SUMPRODUCT((economics!$AG$2:$AG$167=$B45)*(economics!$D$2:$D$167="whr")*economics!$AH$2:$AH$167*(_xlfn.NORM.DIST(CC$3,economics!$AK$2:$AK$167,economics!$AJ$2:$AJ$167,TRUE)-_xlfn.NORM.DIST(CC$30,economics!$AK$2:$AK$167,economics!$AJ$2:$AJ$167,TRUE)))+$CR16*(_xlfn.NORM.DIST(CC$3,$CU16,0.3*$CU16,TRUE)-_xlfn.NORM.DIST(CC$30,$CU16,0.3*$CU16,TRUE))+$CS16*(_xlfn.NORM.DIST(CC$3,$CV16,0.3*$CV16,TRUE)-_xlfn.NORM.DIST(CC$30,$CV16,0.3*$CV16,TRUE))),""),IF($C16&gt;0,summary!$C$10/28.8/0.947817,""))</f>
        <v/>
      </c>
      <c r="CD45">
        <f t="array" ref="CD45">IF($D16,IFERROR((SUMPRODUCT((economics!$AG$2:$AG$167=$B45)*(economics!$D$2:$D$167="whr")*economics!$AH$2:$AH$167*(_xlfn.NORM.DIST(CD$3,economics!$AK$2:$AK$167,economics!$AJ$2:$AJ$167,TRUE)-_xlfn.NORM.DIST(CD$30,economics!$AK$2:$AK$167,economics!$AJ$2:$AJ$167,TRUE))*economics!$AM$2:$AM$167)+$CR16*(_xlfn.NORM.DIST(CD$3,$CU16,0.3*$CU16,TRUE)-_xlfn.NORM.DIST(CD$30,$CU16,0.3*$CU16,TRUE))*summary!$C$7/28.8/0.947817+$CS16*(_xlfn.NORM.DIST(CD$3,$CV16,0.3*$CV16,TRUE)-_xlfn.NORM.DIST(CD$30,$CV16,0.3*$CV16,TRUE))*summary!$C$6/28.8/0.947817)/(SUMPRODUCT((economics!$AG$2:$AG$167=$B45)*(economics!$D$2:$D$167="whr")*economics!$AH$2:$AH$167*(_xlfn.NORM.DIST(CD$3,economics!$AK$2:$AK$167,economics!$AJ$2:$AJ$167,TRUE)-_xlfn.NORM.DIST(CD$30,economics!$AK$2:$AK$167,economics!$AJ$2:$AJ$167,TRUE)))+$CR16*(_xlfn.NORM.DIST(CD$3,$CU16,0.3*$CU16,TRUE)-_xlfn.NORM.DIST(CD$30,$CU16,0.3*$CU16,TRUE))+$CS16*(_xlfn.NORM.DIST(CD$3,$CV16,0.3*$CV16,TRUE)-_xlfn.NORM.DIST(CD$30,$CV16,0.3*$CV16,TRUE))),""),IF($C16&gt;0,summary!$C$10/28.8/0.947817,""))</f>
        <v/>
      </c>
      <c r="CE45">
        <f t="array" ref="CE45">IF($D16,IFERROR((SUMPRODUCT((economics!$AG$2:$AG$167=$B45)*(economics!$D$2:$D$167="whr")*economics!$AH$2:$AH$167*(_xlfn.NORM.DIST(CE$3,economics!$AK$2:$AK$167,economics!$AJ$2:$AJ$167,TRUE)-_xlfn.NORM.DIST(CE$30,economics!$AK$2:$AK$167,economics!$AJ$2:$AJ$167,TRUE))*economics!$AM$2:$AM$167)+$CR16*(_xlfn.NORM.DIST(CE$3,$CU16,0.3*$CU16,TRUE)-_xlfn.NORM.DIST(CE$30,$CU16,0.3*$CU16,TRUE))*summary!$C$7/28.8/0.947817+$CS16*(_xlfn.NORM.DIST(CE$3,$CV16,0.3*$CV16,TRUE)-_xlfn.NORM.DIST(CE$30,$CV16,0.3*$CV16,TRUE))*summary!$C$6/28.8/0.947817)/(SUMPRODUCT((economics!$AG$2:$AG$167=$B45)*(economics!$D$2:$D$167="whr")*economics!$AH$2:$AH$167*(_xlfn.NORM.DIST(CE$3,economics!$AK$2:$AK$167,economics!$AJ$2:$AJ$167,TRUE)-_xlfn.NORM.DIST(CE$30,economics!$AK$2:$AK$167,economics!$AJ$2:$AJ$167,TRUE)))+$CR16*(_xlfn.NORM.DIST(CE$3,$CU16,0.3*$CU16,TRUE)-_xlfn.NORM.DIST(CE$30,$CU16,0.3*$CU16,TRUE))+$CS16*(_xlfn.NORM.DIST(CE$3,$CV16,0.3*$CV16,TRUE)-_xlfn.NORM.DIST(CE$30,$CV16,0.3*$CV16,TRUE))),""),IF($C16&gt;0,summary!$C$10/28.8/0.947817,""))</f>
        <v/>
      </c>
      <c r="CF45">
        <f t="array" ref="CF45">IF($D16,IFERROR((SUMPRODUCT((economics!$AG$2:$AG$167=$B45)*(economics!$D$2:$D$167="whr")*economics!$AH$2:$AH$167*(_xlfn.NORM.DIST(CF$3,economics!$AK$2:$AK$167,economics!$AJ$2:$AJ$167,TRUE)-_xlfn.NORM.DIST(CF$30,economics!$AK$2:$AK$167,economics!$AJ$2:$AJ$167,TRUE))*economics!$AM$2:$AM$167)+$CR16*(_xlfn.NORM.DIST(CF$3,$CU16,0.3*$CU16,TRUE)-_xlfn.NORM.DIST(CF$30,$CU16,0.3*$CU16,TRUE))*summary!$C$7/28.8/0.947817+$CS16*(_xlfn.NORM.DIST(CF$3,$CV16,0.3*$CV16,TRUE)-_xlfn.NORM.DIST(CF$30,$CV16,0.3*$CV16,TRUE))*summary!$C$6/28.8/0.947817)/(SUMPRODUCT((economics!$AG$2:$AG$167=$B45)*(economics!$D$2:$D$167="whr")*economics!$AH$2:$AH$167*(_xlfn.NORM.DIST(CF$3,economics!$AK$2:$AK$167,economics!$AJ$2:$AJ$167,TRUE)-_xlfn.NORM.DIST(CF$30,economics!$AK$2:$AK$167,economics!$AJ$2:$AJ$167,TRUE)))+$CR16*(_xlfn.NORM.DIST(CF$3,$CU16,0.3*$CU16,TRUE)-_xlfn.NORM.DIST(CF$30,$CU16,0.3*$CU16,TRUE))+$CS16*(_xlfn.NORM.DIST(CF$3,$CV16,0.3*$CV16,TRUE)-_xlfn.NORM.DIST(CF$30,$CV16,0.3*$CV16,TRUE))),""),IF($C16&gt;0,summary!$C$10/28.8/0.947817,""))</f>
        <v/>
      </c>
      <c r="CG45">
        <f t="array" ref="CG45">IF($D16,IFERROR((SUMPRODUCT((economics!$AG$2:$AG$167=$B45)*(economics!$D$2:$D$167="whr")*economics!$AH$2:$AH$167*(_xlfn.NORM.DIST(CG$3,economics!$AK$2:$AK$167,economics!$AJ$2:$AJ$167,TRUE)-_xlfn.NORM.DIST(CG$30,economics!$AK$2:$AK$167,economics!$AJ$2:$AJ$167,TRUE))*economics!$AM$2:$AM$167)+$CR16*(_xlfn.NORM.DIST(CG$3,$CU16,0.3*$CU16,TRUE)-_xlfn.NORM.DIST(CG$30,$CU16,0.3*$CU16,TRUE))*summary!$C$7/28.8/0.947817+$CS16*(_xlfn.NORM.DIST(CG$3,$CV16,0.3*$CV16,TRUE)-_xlfn.NORM.DIST(CG$30,$CV16,0.3*$CV16,TRUE))*summary!$C$6/28.8/0.947817)/(SUMPRODUCT((economics!$AG$2:$AG$167=$B45)*(economics!$D$2:$D$167="whr")*economics!$AH$2:$AH$167*(_xlfn.NORM.DIST(CG$3,economics!$AK$2:$AK$167,economics!$AJ$2:$AJ$167,TRUE)-_xlfn.NORM.DIST(CG$30,economics!$AK$2:$AK$167,economics!$AJ$2:$AJ$167,TRUE)))+$CR16*(_xlfn.NORM.DIST(CG$3,$CU16,0.3*$CU16,TRUE)-_xlfn.NORM.DIST(CG$30,$CU16,0.3*$CU16,TRUE))+$CS16*(_xlfn.NORM.DIST(CG$3,$CV16,0.3*$CV16,TRUE)-_xlfn.NORM.DIST(CG$30,$CV16,0.3*$CV16,TRUE))),""),IF($C16&gt;0,summary!$C$10/28.8/0.947817,""))</f>
        <v/>
      </c>
      <c r="CH45">
        <f t="array" ref="CH45">IF($D16,IFERROR((SUMPRODUCT((economics!$AG$2:$AG$167=$B45)*(economics!$D$2:$D$167="whr")*economics!$AH$2:$AH$167*(_xlfn.NORM.DIST(CH$3,economics!$AK$2:$AK$167,economics!$AJ$2:$AJ$167,TRUE)-_xlfn.NORM.DIST(CH$30,economics!$AK$2:$AK$167,economics!$AJ$2:$AJ$167,TRUE))*economics!$AM$2:$AM$167)+$CR16*(_xlfn.NORM.DIST(CH$3,$CU16,0.3*$CU16,TRUE)-_xlfn.NORM.DIST(CH$30,$CU16,0.3*$CU16,TRUE))*summary!$C$7/28.8/0.947817+$CS16*(_xlfn.NORM.DIST(CH$3,$CV16,0.3*$CV16,TRUE)-_xlfn.NORM.DIST(CH$30,$CV16,0.3*$CV16,TRUE))*summary!$C$6/28.8/0.947817)/(SUMPRODUCT((economics!$AG$2:$AG$167=$B45)*(economics!$D$2:$D$167="whr")*economics!$AH$2:$AH$167*(_xlfn.NORM.DIST(CH$3,economics!$AK$2:$AK$167,economics!$AJ$2:$AJ$167,TRUE)-_xlfn.NORM.DIST(CH$30,economics!$AK$2:$AK$167,economics!$AJ$2:$AJ$167,TRUE)))+$CR16*(_xlfn.NORM.DIST(CH$3,$CU16,0.3*$CU16,TRUE)-_xlfn.NORM.DIST(CH$30,$CU16,0.3*$CU16,TRUE))+$CS16*(_xlfn.NORM.DIST(CH$3,$CV16,0.3*$CV16,TRUE)-_xlfn.NORM.DIST(CH$30,$CV16,0.3*$CV16,TRUE))),""),IF($C16&gt;0,summary!$C$10/28.8/0.947817,""))</f>
        <v/>
      </c>
    </row>
    <row r="46">
      <c r="A46">
        <f>A17</f>
        <v/>
      </c>
      <c r="B46">
        <f>B17</f>
        <v/>
      </c>
      <c r="E46">
        <f t="array" ref="E46">IF($D17,IFERROR((SUMPRODUCT((economics!$AG$2:$AG$167=$B46)*(economics!$D$2:$D$167="whr")*economics!$AH$2:$AH$167*(_xlfn.NORM.DIST(E$3,economics!$AK$2:$AK$167,economics!$AJ$2:$AJ$167,TRUE)-_xlfn.NORM.DIST(E$30,economics!$AK$2:$AK$167,economics!$AJ$2:$AJ$167,TRUE))*economics!$AM$2:$AM$167)+$CR17*(_xlfn.NORM.DIST(E$3,$CU17,0.3*$CU17,TRUE)-_xlfn.NORM.DIST(E$30,$CU17,0.3*$CU17,TRUE))*summary!$C$7/28.8/0.947817+$CS17*(_xlfn.NORM.DIST(E$3,$CV17,0.3*$CV17,TRUE)-_xlfn.NORM.DIST(E$30,$CV17,0.3*$CV17,TRUE))*summary!$C$6/28.8/0.947817)/(SUMPRODUCT((economics!$AG$2:$AG$167=$B46)*(economics!$D$2:$D$167="whr")*economics!$AH$2:$AH$167*(_xlfn.NORM.DIST(E$3,economics!$AK$2:$AK$167,economics!$AJ$2:$AJ$167,TRUE)-_xlfn.NORM.DIST(E$30,economics!$AK$2:$AK$167,economics!$AJ$2:$AJ$167,TRUE)))+$CR17*(_xlfn.NORM.DIST(E$3,$CU17,0.3*$CU17,TRUE)-_xlfn.NORM.DIST(E$30,$CU17,0.3*$CU17,TRUE))+$CS17*(_xlfn.NORM.DIST(E$3,$CV17,0.3*$CV17,TRUE)-_xlfn.NORM.DIST(E$30,$CV17,0.3*$CV17,TRUE))),""),IF($C17&gt;0,summary!$C$10/28.8/0.947817,""))</f>
        <v/>
      </c>
      <c r="F46">
        <f t="array" ref="F46">IF($D17,IFERROR((SUMPRODUCT((economics!$AG$2:$AG$167=$B46)*(economics!$D$2:$D$167="whr")*economics!$AH$2:$AH$167*(_xlfn.NORM.DIST(F$3,economics!$AK$2:$AK$167,economics!$AJ$2:$AJ$167,TRUE)-_xlfn.NORM.DIST(F$30,economics!$AK$2:$AK$167,economics!$AJ$2:$AJ$167,TRUE))*economics!$AM$2:$AM$167)+$CR17*(_xlfn.NORM.DIST(F$3,$CU17,0.3*$CU17,TRUE)-_xlfn.NORM.DIST(F$30,$CU17,0.3*$CU17,TRUE))*summary!$C$7/28.8/0.947817+$CS17*(_xlfn.NORM.DIST(F$3,$CV17,0.3*$CV17,TRUE)-_xlfn.NORM.DIST(F$30,$CV17,0.3*$CV17,TRUE))*summary!$C$6/28.8/0.947817)/(SUMPRODUCT((economics!$AG$2:$AG$167=$B46)*(economics!$D$2:$D$167="whr")*economics!$AH$2:$AH$167*(_xlfn.NORM.DIST(F$3,economics!$AK$2:$AK$167,economics!$AJ$2:$AJ$167,TRUE)-_xlfn.NORM.DIST(F$30,economics!$AK$2:$AK$167,economics!$AJ$2:$AJ$167,TRUE)))+$CR17*(_xlfn.NORM.DIST(F$3,$CU17,0.3*$CU17,TRUE)-_xlfn.NORM.DIST(F$30,$CU17,0.3*$CU17,TRUE))+$CS17*(_xlfn.NORM.DIST(F$3,$CV17,0.3*$CV17,TRUE)-_xlfn.NORM.DIST(F$30,$CV17,0.3*$CV17,TRUE))),""),IF($C17&gt;0,summary!$C$10/28.8/0.947817,""))</f>
        <v/>
      </c>
      <c r="G46">
        <f t="array" ref="G46">IF($D17,IFERROR((SUMPRODUCT((economics!$AG$2:$AG$167=$B46)*(economics!$D$2:$D$167="whr")*economics!$AH$2:$AH$167*(_xlfn.NORM.DIST(G$3,economics!$AK$2:$AK$167,economics!$AJ$2:$AJ$167,TRUE)-_xlfn.NORM.DIST(G$30,economics!$AK$2:$AK$167,economics!$AJ$2:$AJ$167,TRUE))*economics!$AM$2:$AM$167)+$CR17*(_xlfn.NORM.DIST(G$3,$CU17,0.3*$CU17,TRUE)-_xlfn.NORM.DIST(G$30,$CU17,0.3*$CU17,TRUE))*summary!$C$7/28.8/0.947817+$CS17*(_xlfn.NORM.DIST(G$3,$CV17,0.3*$CV17,TRUE)-_xlfn.NORM.DIST(G$30,$CV17,0.3*$CV17,TRUE))*summary!$C$6/28.8/0.947817)/(SUMPRODUCT((economics!$AG$2:$AG$167=$B46)*(economics!$D$2:$D$167="whr")*economics!$AH$2:$AH$167*(_xlfn.NORM.DIST(G$3,economics!$AK$2:$AK$167,economics!$AJ$2:$AJ$167,TRUE)-_xlfn.NORM.DIST(G$30,economics!$AK$2:$AK$167,economics!$AJ$2:$AJ$167,TRUE)))+$CR17*(_xlfn.NORM.DIST(G$3,$CU17,0.3*$CU17,TRUE)-_xlfn.NORM.DIST(G$30,$CU17,0.3*$CU17,TRUE))+$CS17*(_xlfn.NORM.DIST(G$3,$CV17,0.3*$CV17,TRUE)-_xlfn.NORM.DIST(G$30,$CV17,0.3*$CV17,TRUE))),""),IF($C17&gt;0,summary!$C$10/28.8/0.947817,""))</f>
        <v/>
      </c>
      <c r="H46">
        <f t="array" ref="H46">IF($D17,IFERROR((SUMPRODUCT((economics!$AG$2:$AG$167=$B46)*(economics!$D$2:$D$167="whr")*economics!$AH$2:$AH$167*(_xlfn.NORM.DIST(H$3,economics!$AK$2:$AK$167,economics!$AJ$2:$AJ$167,TRUE)-_xlfn.NORM.DIST(H$30,economics!$AK$2:$AK$167,economics!$AJ$2:$AJ$167,TRUE))*economics!$AM$2:$AM$167)+$CR17*(_xlfn.NORM.DIST(H$3,$CU17,0.3*$CU17,TRUE)-_xlfn.NORM.DIST(H$30,$CU17,0.3*$CU17,TRUE))*summary!$C$7/28.8/0.947817+$CS17*(_xlfn.NORM.DIST(H$3,$CV17,0.3*$CV17,TRUE)-_xlfn.NORM.DIST(H$30,$CV17,0.3*$CV17,TRUE))*summary!$C$6/28.8/0.947817)/(SUMPRODUCT((economics!$AG$2:$AG$167=$B46)*(economics!$D$2:$D$167="whr")*economics!$AH$2:$AH$167*(_xlfn.NORM.DIST(H$3,economics!$AK$2:$AK$167,economics!$AJ$2:$AJ$167,TRUE)-_xlfn.NORM.DIST(H$30,economics!$AK$2:$AK$167,economics!$AJ$2:$AJ$167,TRUE)))+$CR17*(_xlfn.NORM.DIST(H$3,$CU17,0.3*$CU17,TRUE)-_xlfn.NORM.DIST(H$30,$CU17,0.3*$CU17,TRUE))+$CS17*(_xlfn.NORM.DIST(H$3,$CV17,0.3*$CV17,TRUE)-_xlfn.NORM.DIST(H$30,$CV17,0.3*$CV17,TRUE))),""),IF($C17&gt;0,summary!$C$10/28.8/0.947817,""))</f>
        <v/>
      </c>
      <c r="I46">
        <f t="array" ref="I46">IF($D17,IFERROR((SUMPRODUCT((economics!$AG$2:$AG$167=$B46)*(economics!$D$2:$D$167="whr")*economics!$AH$2:$AH$167*(_xlfn.NORM.DIST(I$3,economics!$AK$2:$AK$167,economics!$AJ$2:$AJ$167,TRUE)-_xlfn.NORM.DIST(I$30,economics!$AK$2:$AK$167,economics!$AJ$2:$AJ$167,TRUE))*economics!$AM$2:$AM$167)+$CR17*(_xlfn.NORM.DIST(I$3,$CU17,0.3*$CU17,TRUE)-_xlfn.NORM.DIST(I$30,$CU17,0.3*$CU17,TRUE))*summary!$C$7/28.8/0.947817+$CS17*(_xlfn.NORM.DIST(I$3,$CV17,0.3*$CV17,TRUE)-_xlfn.NORM.DIST(I$30,$CV17,0.3*$CV17,TRUE))*summary!$C$6/28.8/0.947817)/(SUMPRODUCT((economics!$AG$2:$AG$167=$B46)*(economics!$D$2:$D$167="whr")*economics!$AH$2:$AH$167*(_xlfn.NORM.DIST(I$3,economics!$AK$2:$AK$167,economics!$AJ$2:$AJ$167,TRUE)-_xlfn.NORM.DIST(I$30,economics!$AK$2:$AK$167,economics!$AJ$2:$AJ$167,TRUE)))+$CR17*(_xlfn.NORM.DIST(I$3,$CU17,0.3*$CU17,TRUE)-_xlfn.NORM.DIST(I$30,$CU17,0.3*$CU17,TRUE))+$CS17*(_xlfn.NORM.DIST(I$3,$CV17,0.3*$CV17,TRUE)-_xlfn.NORM.DIST(I$30,$CV17,0.3*$CV17,TRUE))),""),IF($C17&gt;0,summary!$C$10/28.8/0.947817,""))</f>
        <v/>
      </c>
      <c r="J46">
        <f t="array" ref="J46">IF($D17,IFERROR((SUMPRODUCT((economics!$AG$2:$AG$167=$B46)*(economics!$D$2:$D$167="whr")*economics!$AH$2:$AH$167*(_xlfn.NORM.DIST(J$3,economics!$AK$2:$AK$167,economics!$AJ$2:$AJ$167,TRUE)-_xlfn.NORM.DIST(J$30,economics!$AK$2:$AK$167,economics!$AJ$2:$AJ$167,TRUE))*economics!$AM$2:$AM$167)+$CR17*(_xlfn.NORM.DIST(J$3,$CU17,0.3*$CU17,TRUE)-_xlfn.NORM.DIST(J$30,$CU17,0.3*$CU17,TRUE))*summary!$C$7/28.8/0.947817+$CS17*(_xlfn.NORM.DIST(J$3,$CV17,0.3*$CV17,TRUE)-_xlfn.NORM.DIST(J$30,$CV17,0.3*$CV17,TRUE))*summary!$C$6/28.8/0.947817)/(SUMPRODUCT((economics!$AG$2:$AG$167=$B46)*(economics!$D$2:$D$167="whr")*economics!$AH$2:$AH$167*(_xlfn.NORM.DIST(J$3,economics!$AK$2:$AK$167,economics!$AJ$2:$AJ$167,TRUE)-_xlfn.NORM.DIST(J$30,economics!$AK$2:$AK$167,economics!$AJ$2:$AJ$167,TRUE)))+$CR17*(_xlfn.NORM.DIST(J$3,$CU17,0.3*$CU17,TRUE)-_xlfn.NORM.DIST(J$30,$CU17,0.3*$CU17,TRUE))+$CS17*(_xlfn.NORM.DIST(J$3,$CV17,0.3*$CV17,TRUE)-_xlfn.NORM.DIST(J$30,$CV17,0.3*$CV17,TRUE))),""),IF($C17&gt;0,summary!$C$10/28.8/0.947817,""))</f>
        <v/>
      </c>
      <c r="K46">
        <f t="array" ref="K46">IF($D17,IFERROR((SUMPRODUCT((economics!$AG$2:$AG$167=$B46)*(economics!$D$2:$D$167="whr")*economics!$AH$2:$AH$167*(_xlfn.NORM.DIST(K$3,economics!$AK$2:$AK$167,economics!$AJ$2:$AJ$167,TRUE)-_xlfn.NORM.DIST(K$30,economics!$AK$2:$AK$167,economics!$AJ$2:$AJ$167,TRUE))*economics!$AM$2:$AM$167)+$CR17*(_xlfn.NORM.DIST(K$3,$CU17,0.3*$CU17,TRUE)-_xlfn.NORM.DIST(K$30,$CU17,0.3*$CU17,TRUE))*summary!$C$7/28.8/0.947817+$CS17*(_xlfn.NORM.DIST(K$3,$CV17,0.3*$CV17,TRUE)-_xlfn.NORM.DIST(K$30,$CV17,0.3*$CV17,TRUE))*summary!$C$6/28.8/0.947817)/(SUMPRODUCT((economics!$AG$2:$AG$167=$B46)*(economics!$D$2:$D$167="whr")*economics!$AH$2:$AH$167*(_xlfn.NORM.DIST(K$3,economics!$AK$2:$AK$167,economics!$AJ$2:$AJ$167,TRUE)-_xlfn.NORM.DIST(K$30,economics!$AK$2:$AK$167,economics!$AJ$2:$AJ$167,TRUE)))+$CR17*(_xlfn.NORM.DIST(K$3,$CU17,0.3*$CU17,TRUE)-_xlfn.NORM.DIST(K$30,$CU17,0.3*$CU17,TRUE))+$CS17*(_xlfn.NORM.DIST(K$3,$CV17,0.3*$CV17,TRUE)-_xlfn.NORM.DIST(K$30,$CV17,0.3*$CV17,TRUE))),""),IF($C17&gt;0,summary!$C$10/28.8/0.947817,""))</f>
        <v/>
      </c>
      <c r="L46">
        <f t="array" ref="L46">IF($D17,IFERROR((SUMPRODUCT((economics!$AG$2:$AG$167=$B46)*(economics!$D$2:$D$167="whr")*economics!$AH$2:$AH$167*(_xlfn.NORM.DIST(L$3,economics!$AK$2:$AK$167,economics!$AJ$2:$AJ$167,TRUE)-_xlfn.NORM.DIST(L$30,economics!$AK$2:$AK$167,economics!$AJ$2:$AJ$167,TRUE))*economics!$AM$2:$AM$167)+$CR17*(_xlfn.NORM.DIST(L$3,$CU17,0.3*$CU17,TRUE)-_xlfn.NORM.DIST(L$30,$CU17,0.3*$CU17,TRUE))*summary!$C$7/28.8/0.947817+$CS17*(_xlfn.NORM.DIST(L$3,$CV17,0.3*$CV17,TRUE)-_xlfn.NORM.DIST(L$30,$CV17,0.3*$CV17,TRUE))*summary!$C$6/28.8/0.947817)/(SUMPRODUCT((economics!$AG$2:$AG$167=$B46)*(economics!$D$2:$D$167="whr")*economics!$AH$2:$AH$167*(_xlfn.NORM.DIST(L$3,economics!$AK$2:$AK$167,economics!$AJ$2:$AJ$167,TRUE)-_xlfn.NORM.DIST(L$30,economics!$AK$2:$AK$167,economics!$AJ$2:$AJ$167,TRUE)))+$CR17*(_xlfn.NORM.DIST(L$3,$CU17,0.3*$CU17,TRUE)-_xlfn.NORM.DIST(L$30,$CU17,0.3*$CU17,TRUE))+$CS17*(_xlfn.NORM.DIST(L$3,$CV17,0.3*$CV17,TRUE)-_xlfn.NORM.DIST(L$30,$CV17,0.3*$CV17,TRUE))),""),IF($C17&gt;0,summary!$C$10/28.8/0.947817,""))</f>
        <v/>
      </c>
      <c r="M46">
        <f t="array" ref="M46">IF($D17,IFERROR((SUMPRODUCT((economics!$AG$2:$AG$167=$B46)*(economics!$D$2:$D$167="whr")*economics!$AH$2:$AH$167*(_xlfn.NORM.DIST(M$3,economics!$AK$2:$AK$167,economics!$AJ$2:$AJ$167,TRUE)-_xlfn.NORM.DIST(M$30,economics!$AK$2:$AK$167,economics!$AJ$2:$AJ$167,TRUE))*economics!$AM$2:$AM$167)+$CR17*(_xlfn.NORM.DIST(M$3,$CU17,0.3*$CU17,TRUE)-_xlfn.NORM.DIST(M$30,$CU17,0.3*$CU17,TRUE))*summary!$C$7/28.8/0.947817+$CS17*(_xlfn.NORM.DIST(M$3,$CV17,0.3*$CV17,TRUE)-_xlfn.NORM.DIST(M$30,$CV17,0.3*$CV17,TRUE))*summary!$C$6/28.8/0.947817)/(SUMPRODUCT((economics!$AG$2:$AG$167=$B46)*(economics!$D$2:$D$167="whr")*economics!$AH$2:$AH$167*(_xlfn.NORM.DIST(M$3,economics!$AK$2:$AK$167,economics!$AJ$2:$AJ$167,TRUE)-_xlfn.NORM.DIST(M$30,economics!$AK$2:$AK$167,economics!$AJ$2:$AJ$167,TRUE)))+$CR17*(_xlfn.NORM.DIST(M$3,$CU17,0.3*$CU17,TRUE)-_xlfn.NORM.DIST(M$30,$CU17,0.3*$CU17,TRUE))+$CS17*(_xlfn.NORM.DIST(M$3,$CV17,0.3*$CV17,TRUE)-_xlfn.NORM.DIST(M$30,$CV17,0.3*$CV17,TRUE))),""),IF($C17&gt;0,summary!$C$10/28.8/0.947817,""))</f>
        <v/>
      </c>
      <c r="N46">
        <f t="array" ref="N46">IF($D17,IFERROR((SUMPRODUCT((economics!$AG$2:$AG$167=$B46)*(economics!$D$2:$D$167="whr")*economics!$AH$2:$AH$167*(_xlfn.NORM.DIST(N$3,economics!$AK$2:$AK$167,economics!$AJ$2:$AJ$167,TRUE)-_xlfn.NORM.DIST(N$30,economics!$AK$2:$AK$167,economics!$AJ$2:$AJ$167,TRUE))*economics!$AM$2:$AM$167)+$CR17*(_xlfn.NORM.DIST(N$3,$CU17,0.3*$CU17,TRUE)-_xlfn.NORM.DIST(N$30,$CU17,0.3*$CU17,TRUE))*summary!$C$7/28.8/0.947817+$CS17*(_xlfn.NORM.DIST(N$3,$CV17,0.3*$CV17,TRUE)-_xlfn.NORM.DIST(N$30,$CV17,0.3*$CV17,TRUE))*summary!$C$6/28.8/0.947817)/(SUMPRODUCT((economics!$AG$2:$AG$167=$B46)*(economics!$D$2:$D$167="whr")*economics!$AH$2:$AH$167*(_xlfn.NORM.DIST(N$3,economics!$AK$2:$AK$167,economics!$AJ$2:$AJ$167,TRUE)-_xlfn.NORM.DIST(N$30,economics!$AK$2:$AK$167,economics!$AJ$2:$AJ$167,TRUE)))+$CR17*(_xlfn.NORM.DIST(N$3,$CU17,0.3*$CU17,TRUE)-_xlfn.NORM.DIST(N$30,$CU17,0.3*$CU17,TRUE))+$CS17*(_xlfn.NORM.DIST(N$3,$CV17,0.3*$CV17,TRUE)-_xlfn.NORM.DIST(N$30,$CV17,0.3*$CV17,TRUE))),""),IF($C17&gt;0,summary!$C$10/28.8/0.947817,""))</f>
        <v/>
      </c>
      <c r="O46">
        <f t="array" ref="O46">IF($D17,IFERROR((SUMPRODUCT((economics!$AG$2:$AG$167=$B46)*(economics!$D$2:$D$167="whr")*economics!$AH$2:$AH$167*(_xlfn.NORM.DIST(O$3,economics!$AK$2:$AK$167,economics!$AJ$2:$AJ$167,TRUE)-_xlfn.NORM.DIST(O$30,economics!$AK$2:$AK$167,economics!$AJ$2:$AJ$167,TRUE))*economics!$AM$2:$AM$167)+$CR17*(_xlfn.NORM.DIST(O$3,$CU17,0.3*$CU17,TRUE)-_xlfn.NORM.DIST(O$30,$CU17,0.3*$CU17,TRUE))*summary!$C$7/28.8/0.947817+$CS17*(_xlfn.NORM.DIST(O$3,$CV17,0.3*$CV17,TRUE)-_xlfn.NORM.DIST(O$30,$CV17,0.3*$CV17,TRUE))*summary!$C$6/28.8/0.947817)/(SUMPRODUCT((economics!$AG$2:$AG$167=$B46)*(economics!$D$2:$D$167="whr")*economics!$AH$2:$AH$167*(_xlfn.NORM.DIST(O$3,economics!$AK$2:$AK$167,economics!$AJ$2:$AJ$167,TRUE)-_xlfn.NORM.DIST(O$30,economics!$AK$2:$AK$167,economics!$AJ$2:$AJ$167,TRUE)))+$CR17*(_xlfn.NORM.DIST(O$3,$CU17,0.3*$CU17,TRUE)-_xlfn.NORM.DIST(O$30,$CU17,0.3*$CU17,TRUE))+$CS17*(_xlfn.NORM.DIST(O$3,$CV17,0.3*$CV17,TRUE)-_xlfn.NORM.DIST(O$30,$CV17,0.3*$CV17,TRUE))),""),IF($C17&gt;0,summary!$C$10/28.8/0.947817,""))</f>
        <v/>
      </c>
      <c r="P46">
        <f t="array" ref="P46">IF($D17,IFERROR((SUMPRODUCT((economics!$AG$2:$AG$167=$B46)*(economics!$D$2:$D$167="whr")*economics!$AH$2:$AH$167*(_xlfn.NORM.DIST(P$3,economics!$AK$2:$AK$167,economics!$AJ$2:$AJ$167,TRUE)-_xlfn.NORM.DIST(P$30,economics!$AK$2:$AK$167,economics!$AJ$2:$AJ$167,TRUE))*economics!$AM$2:$AM$167)+$CR17*(_xlfn.NORM.DIST(P$3,$CU17,0.3*$CU17,TRUE)-_xlfn.NORM.DIST(P$30,$CU17,0.3*$CU17,TRUE))*summary!$C$7/28.8/0.947817+$CS17*(_xlfn.NORM.DIST(P$3,$CV17,0.3*$CV17,TRUE)-_xlfn.NORM.DIST(P$30,$CV17,0.3*$CV17,TRUE))*summary!$C$6/28.8/0.947817)/(SUMPRODUCT((economics!$AG$2:$AG$167=$B46)*(economics!$D$2:$D$167="whr")*economics!$AH$2:$AH$167*(_xlfn.NORM.DIST(P$3,economics!$AK$2:$AK$167,economics!$AJ$2:$AJ$167,TRUE)-_xlfn.NORM.DIST(P$30,economics!$AK$2:$AK$167,economics!$AJ$2:$AJ$167,TRUE)))+$CR17*(_xlfn.NORM.DIST(P$3,$CU17,0.3*$CU17,TRUE)-_xlfn.NORM.DIST(P$30,$CU17,0.3*$CU17,TRUE))+$CS17*(_xlfn.NORM.DIST(P$3,$CV17,0.3*$CV17,TRUE)-_xlfn.NORM.DIST(P$30,$CV17,0.3*$CV17,TRUE))),""),IF($C17&gt;0,summary!$C$10/28.8/0.947817,""))</f>
        <v/>
      </c>
      <c r="Q46">
        <f t="array" ref="Q46">IF($D17,IFERROR((SUMPRODUCT((economics!$AG$2:$AG$167=$B46)*(economics!$D$2:$D$167="whr")*economics!$AH$2:$AH$167*(_xlfn.NORM.DIST(Q$3,economics!$AK$2:$AK$167,economics!$AJ$2:$AJ$167,TRUE)-_xlfn.NORM.DIST(Q$30,economics!$AK$2:$AK$167,economics!$AJ$2:$AJ$167,TRUE))*economics!$AM$2:$AM$167)+$CR17*(_xlfn.NORM.DIST(Q$3,$CU17,0.3*$CU17,TRUE)-_xlfn.NORM.DIST(Q$30,$CU17,0.3*$CU17,TRUE))*summary!$C$7/28.8/0.947817+$CS17*(_xlfn.NORM.DIST(Q$3,$CV17,0.3*$CV17,TRUE)-_xlfn.NORM.DIST(Q$30,$CV17,0.3*$CV17,TRUE))*summary!$C$6/28.8/0.947817)/(SUMPRODUCT((economics!$AG$2:$AG$167=$B46)*(economics!$D$2:$D$167="whr")*economics!$AH$2:$AH$167*(_xlfn.NORM.DIST(Q$3,economics!$AK$2:$AK$167,economics!$AJ$2:$AJ$167,TRUE)-_xlfn.NORM.DIST(Q$30,economics!$AK$2:$AK$167,economics!$AJ$2:$AJ$167,TRUE)))+$CR17*(_xlfn.NORM.DIST(Q$3,$CU17,0.3*$CU17,TRUE)-_xlfn.NORM.DIST(Q$30,$CU17,0.3*$CU17,TRUE))+$CS17*(_xlfn.NORM.DIST(Q$3,$CV17,0.3*$CV17,TRUE)-_xlfn.NORM.DIST(Q$30,$CV17,0.3*$CV17,TRUE))),""),IF($C17&gt;0,summary!$C$10/28.8/0.947817,""))</f>
        <v/>
      </c>
      <c r="R46">
        <f t="array" ref="R46">IF($D17,IFERROR((SUMPRODUCT((economics!$AG$2:$AG$167=$B46)*(economics!$D$2:$D$167="whr")*economics!$AH$2:$AH$167*(_xlfn.NORM.DIST(R$3,economics!$AK$2:$AK$167,economics!$AJ$2:$AJ$167,TRUE)-_xlfn.NORM.DIST(R$30,economics!$AK$2:$AK$167,economics!$AJ$2:$AJ$167,TRUE))*economics!$AM$2:$AM$167)+$CR17*(_xlfn.NORM.DIST(R$3,$CU17,0.3*$CU17,TRUE)-_xlfn.NORM.DIST(R$30,$CU17,0.3*$CU17,TRUE))*summary!$C$7/28.8/0.947817+$CS17*(_xlfn.NORM.DIST(R$3,$CV17,0.3*$CV17,TRUE)-_xlfn.NORM.DIST(R$30,$CV17,0.3*$CV17,TRUE))*summary!$C$6/28.8/0.947817)/(SUMPRODUCT((economics!$AG$2:$AG$167=$B46)*(economics!$D$2:$D$167="whr")*economics!$AH$2:$AH$167*(_xlfn.NORM.DIST(R$3,economics!$AK$2:$AK$167,economics!$AJ$2:$AJ$167,TRUE)-_xlfn.NORM.DIST(R$30,economics!$AK$2:$AK$167,economics!$AJ$2:$AJ$167,TRUE)))+$CR17*(_xlfn.NORM.DIST(R$3,$CU17,0.3*$CU17,TRUE)-_xlfn.NORM.DIST(R$30,$CU17,0.3*$CU17,TRUE))+$CS17*(_xlfn.NORM.DIST(R$3,$CV17,0.3*$CV17,TRUE)-_xlfn.NORM.DIST(R$30,$CV17,0.3*$CV17,TRUE))),""),IF($C17&gt;0,summary!$C$10/28.8/0.947817,""))</f>
        <v/>
      </c>
      <c r="S46">
        <f t="array" ref="S46">IF($D17,IFERROR((SUMPRODUCT((economics!$AG$2:$AG$167=$B46)*(economics!$D$2:$D$167="whr")*economics!$AH$2:$AH$167*(_xlfn.NORM.DIST(S$3,economics!$AK$2:$AK$167,economics!$AJ$2:$AJ$167,TRUE)-_xlfn.NORM.DIST(S$30,economics!$AK$2:$AK$167,economics!$AJ$2:$AJ$167,TRUE))*economics!$AM$2:$AM$167)+$CR17*(_xlfn.NORM.DIST(S$3,$CU17,0.3*$CU17,TRUE)-_xlfn.NORM.DIST(S$30,$CU17,0.3*$CU17,TRUE))*summary!$C$7/28.8/0.947817+$CS17*(_xlfn.NORM.DIST(S$3,$CV17,0.3*$CV17,TRUE)-_xlfn.NORM.DIST(S$30,$CV17,0.3*$CV17,TRUE))*summary!$C$6/28.8/0.947817)/(SUMPRODUCT((economics!$AG$2:$AG$167=$B46)*(economics!$D$2:$D$167="whr")*economics!$AH$2:$AH$167*(_xlfn.NORM.DIST(S$3,economics!$AK$2:$AK$167,economics!$AJ$2:$AJ$167,TRUE)-_xlfn.NORM.DIST(S$30,economics!$AK$2:$AK$167,economics!$AJ$2:$AJ$167,TRUE)))+$CR17*(_xlfn.NORM.DIST(S$3,$CU17,0.3*$CU17,TRUE)-_xlfn.NORM.DIST(S$30,$CU17,0.3*$CU17,TRUE))+$CS17*(_xlfn.NORM.DIST(S$3,$CV17,0.3*$CV17,TRUE)-_xlfn.NORM.DIST(S$30,$CV17,0.3*$CV17,TRUE))),""),IF($C17&gt;0,summary!$C$10/28.8/0.947817,""))</f>
        <v/>
      </c>
      <c r="T46">
        <f t="array" ref="T46">IF($D17,IFERROR((SUMPRODUCT((economics!$AG$2:$AG$167=$B46)*(economics!$D$2:$D$167="whr")*economics!$AH$2:$AH$167*(_xlfn.NORM.DIST(T$3,economics!$AK$2:$AK$167,economics!$AJ$2:$AJ$167,TRUE)-_xlfn.NORM.DIST(T$30,economics!$AK$2:$AK$167,economics!$AJ$2:$AJ$167,TRUE))*economics!$AM$2:$AM$167)+$CR17*(_xlfn.NORM.DIST(T$3,$CU17,0.3*$CU17,TRUE)-_xlfn.NORM.DIST(T$30,$CU17,0.3*$CU17,TRUE))*summary!$C$7/28.8/0.947817+$CS17*(_xlfn.NORM.DIST(T$3,$CV17,0.3*$CV17,TRUE)-_xlfn.NORM.DIST(T$30,$CV17,0.3*$CV17,TRUE))*summary!$C$6/28.8/0.947817)/(SUMPRODUCT((economics!$AG$2:$AG$167=$B46)*(economics!$D$2:$D$167="whr")*economics!$AH$2:$AH$167*(_xlfn.NORM.DIST(T$3,economics!$AK$2:$AK$167,economics!$AJ$2:$AJ$167,TRUE)-_xlfn.NORM.DIST(T$30,economics!$AK$2:$AK$167,economics!$AJ$2:$AJ$167,TRUE)))+$CR17*(_xlfn.NORM.DIST(T$3,$CU17,0.3*$CU17,TRUE)-_xlfn.NORM.DIST(T$30,$CU17,0.3*$CU17,TRUE))+$CS17*(_xlfn.NORM.DIST(T$3,$CV17,0.3*$CV17,TRUE)-_xlfn.NORM.DIST(T$30,$CV17,0.3*$CV17,TRUE))),""),IF($C17&gt;0,summary!$C$10/28.8/0.947817,""))</f>
        <v/>
      </c>
      <c r="U46">
        <f t="array" ref="U46">IF($D17,IFERROR((SUMPRODUCT((economics!$AG$2:$AG$167=$B46)*(economics!$D$2:$D$167="whr")*economics!$AH$2:$AH$167*(_xlfn.NORM.DIST(U$3,economics!$AK$2:$AK$167,economics!$AJ$2:$AJ$167,TRUE)-_xlfn.NORM.DIST(U$30,economics!$AK$2:$AK$167,economics!$AJ$2:$AJ$167,TRUE))*economics!$AM$2:$AM$167)+$CR17*(_xlfn.NORM.DIST(U$3,$CU17,0.3*$CU17,TRUE)-_xlfn.NORM.DIST(U$30,$CU17,0.3*$CU17,TRUE))*summary!$C$7/28.8/0.947817+$CS17*(_xlfn.NORM.DIST(U$3,$CV17,0.3*$CV17,TRUE)-_xlfn.NORM.DIST(U$30,$CV17,0.3*$CV17,TRUE))*summary!$C$6/28.8/0.947817)/(SUMPRODUCT((economics!$AG$2:$AG$167=$B46)*(economics!$D$2:$D$167="whr")*economics!$AH$2:$AH$167*(_xlfn.NORM.DIST(U$3,economics!$AK$2:$AK$167,economics!$AJ$2:$AJ$167,TRUE)-_xlfn.NORM.DIST(U$30,economics!$AK$2:$AK$167,economics!$AJ$2:$AJ$167,TRUE)))+$CR17*(_xlfn.NORM.DIST(U$3,$CU17,0.3*$CU17,TRUE)-_xlfn.NORM.DIST(U$30,$CU17,0.3*$CU17,TRUE))+$CS17*(_xlfn.NORM.DIST(U$3,$CV17,0.3*$CV17,TRUE)-_xlfn.NORM.DIST(U$30,$CV17,0.3*$CV17,TRUE))),""),IF($C17&gt;0,summary!$C$10/28.8/0.947817,""))</f>
        <v/>
      </c>
      <c r="V46">
        <f t="array" ref="V46">IF($D17,IFERROR((SUMPRODUCT((economics!$AG$2:$AG$167=$B46)*(economics!$D$2:$D$167="whr")*economics!$AH$2:$AH$167*(_xlfn.NORM.DIST(V$3,economics!$AK$2:$AK$167,economics!$AJ$2:$AJ$167,TRUE)-_xlfn.NORM.DIST(V$30,economics!$AK$2:$AK$167,economics!$AJ$2:$AJ$167,TRUE))*economics!$AM$2:$AM$167)+$CR17*(_xlfn.NORM.DIST(V$3,$CU17,0.3*$CU17,TRUE)-_xlfn.NORM.DIST(V$30,$CU17,0.3*$CU17,TRUE))*summary!$C$7/28.8/0.947817+$CS17*(_xlfn.NORM.DIST(V$3,$CV17,0.3*$CV17,TRUE)-_xlfn.NORM.DIST(V$30,$CV17,0.3*$CV17,TRUE))*summary!$C$6/28.8/0.947817)/(SUMPRODUCT((economics!$AG$2:$AG$167=$B46)*(economics!$D$2:$D$167="whr")*economics!$AH$2:$AH$167*(_xlfn.NORM.DIST(V$3,economics!$AK$2:$AK$167,economics!$AJ$2:$AJ$167,TRUE)-_xlfn.NORM.DIST(V$30,economics!$AK$2:$AK$167,economics!$AJ$2:$AJ$167,TRUE)))+$CR17*(_xlfn.NORM.DIST(V$3,$CU17,0.3*$CU17,TRUE)-_xlfn.NORM.DIST(V$30,$CU17,0.3*$CU17,TRUE))+$CS17*(_xlfn.NORM.DIST(V$3,$CV17,0.3*$CV17,TRUE)-_xlfn.NORM.DIST(V$30,$CV17,0.3*$CV17,TRUE))),""),IF($C17&gt;0,summary!$C$10/28.8/0.947817,""))</f>
        <v/>
      </c>
      <c r="W46">
        <f t="array" ref="W46">IF($D17,IFERROR((SUMPRODUCT((economics!$AG$2:$AG$167=$B46)*(economics!$D$2:$D$167="whr")*economics!$AH$2:$AH$167*(_xlfn.NORM.DIST(W$3,economics!$AK$2:$AK$167,economics!$AJ$2:$AJ$167,TRUE)-_xlfn.NORM.DIST(W$30,economics!$AK$2:$AK$167,economics!$AJ$2:$AJ$167,TRUE))*economics!$AM$2:$AM$167)+$CR17*(_xlfn.NORM.DIST(W$3,$CU17,0.3*$CU17,TRUE)-_xlfn.NORM.DIST(W$30,$CU17,0.3*$CU17,TRUE))*summary!$C$7/28.8/0.947817+$CS17*(_xlfn.NORM.DIST(W$3,$CV17,0.3*$CV17,TRUE)-_xlfn.NORM.DIST(W$30,$CV17,0.3*$CV17,TRUE))*summary!$C$6/28.8/0.947817)/(SUMPRODUCT((economics!$AG$2:$AG$167=$B46)*(economics!$D$2:$D$167="whr")*economics!$AH$2:$AH$167*(_xlfn.NORM.DIST(W$3,economics!$AK$2:$AK$167,economics!$AJ$2:$AJ$167,TRUE)-_xlfn.NORM.DIST(W$30,economics!$AK$2:$AK$167,economics!$AJ$2:$AJ$167,TRUE)))+$CR17*(_xlfn.NORM.DIST(W$3,$CU17,0.3*$CU17,TRUE)-_xlfn.NORM.DIST(W$30,$CU17,0.3*$CU17,TRUE))+$CS17*(_xlfn.NORM.DIST(W$3,$CV17,0.3*$CV17,TRUE)-_xlfn.NORM.DIST(W$30,$CV17,0.3*$CV17,TRUE))),""),IF($C17&gt;0,summary!$C$10/28.8/0.947817,""))</f>
        <v/>
      </c>
      <c r="X46">
        <f t="array" ref="X46">IF($D17,IFERROR((SUMPRODUCT((economics!$AG$2:$AG$167=$B46)*(economics!$D$2:$D$167="whr")*economics!$AH$2:$AH$167*(_xlfn.NORM.DIST(X$3,economics!$AK$2:$AK$167,economics!$AJ$2:$AJ$167,TRUE)-_xlfn.NORM.DIST(X$30,economics!$AK$2:$AK$167,economics!$AJ$2:$AJ$167,TRUE))*economics!$AM$2:$AM$167)+$CR17*(_xlfn.NORM.DIST(X$3,$CU17,0.3*$CU17,TRUE)-_xlfn.NORM.DIST(X$30,$CU17,0.3*$CU17,TRUE))*summary!$C$7/28.8/0.947817+$CS17*(_xlfn.NORM.DIST(X$3,$CV17,0.3*$CV17,TRUE)-_xlfn.NORM.DIST(X$30,$CV17,0.3*$CV17,TRUE))*summary!$C$6/28.8/0.947817)/(SUMPRODUCT((economics!$AG$2:$AG$167=$B46)*(economics!$D$2:$D$167="whr")*economics!$AH$2:$AH$167*(_xlfn.NORM.DIST(X$3,economics!$AK$2:$AK$167,economics!$AJ$2:$AJ$167,TRUE)-_xlfn.NORM.DIST(X$30,economics!$AK$2:$AK$167,economics!$AJ$2:$AJ$167,TRUE)))+$CR17*(_xlfn.NORM.DIST(X$3,$CU17,0.3*$CU17,TRUE)-_xlfn.NORM.DIST(X$30,$CU17,0.3*$CU17,TRUE))+$CS17*(_xlfn.NORM.DIST(X$3,$CV17,0.3*$CV17,TRUE)-_xlfn.NORM.DIST(X$30,$CV17,0.3*$CV17,TRUE))),""),IF($C17&gt;0,summary!$C$10/28.8/0.947817,""))</f>
        <v/>
      </c>
      <c r="Y46">
        <f t="array" ref="Y46">IF($D17,IFERROR((SUMPRODUCT((economics!$AG$2:$AG$167=$B46)*(economics!$D$2:$D$167="whr")*economics!$AH$2:$AH$167*(_xlfn.NORM.DIST(Y$3,economics!$AK$2:$AK$167,economics!$AJ$2:$AJ$167,TRUE)-_xlfn.NORM.DIST(Y$30,economics!$AK$2:$AK$167,economics!$AJ$2:$AJ$167,TRUE))*economics!$AM$2:$AM$167)+$CR17*(_xlfn.NORM.DIST(Y$3,$CU17,0.3*$CU17,TRUE)-_xlfn.NORM.DIST(Y$30,$CU17,0.3*$CU17,TRUE))*summary!$C$7/28.8/0.947817+$CS17*(_xlfn.NORM.DIST(Y$3,$CV17,0.3*$CV17,TRUE)-_xlfn.NORM.DIST(Y$30,$CV17,0.3*$CV17,TRUE))*summary!$C$6/28.8/0.947817)/(SUMPRODUCT((economics!$AG$2:$AG$167=$B46)*(economics!$D$2:$D$167="whr")*economics!$AH$2:$AH$167*(_xlfn.NORM.DIST(Y$3,economics!$AK$2:$AK$167,economics!$AJ$2:$AJ$167,TRUE)-_xlfn.NORM.DIST(Y$30,economics!$AK$2:$AK$167,economics!$AJ$2:$AJ$167,TRUE)))+$CR17*(_xlfn.NORM.DIST(Y$3,$CU17,0.3*$CU17,TRUE)-_xlfn.NORM.DIST(Y$30,$CU17,0.3*$CU17,TRUE))+$CS17*(_xlfn.NORM.DIST(Y$3,$CV17,0.3*$CV17,TRUE)-_xlfn.NORM.DIST(Y$30,$CV17,0.3*$CV17,TRUE))),""),IF($C17&gt;0,summary!$C$10/28.8/0.947817,""))</f>
        <v/>
      </c>
      <c r="Z46">
        <f t="array" ref="Z46">IF($D17,IFERROR((SUMPRODUCT((economics!$AG$2:$AG$167=$B46)*(economics!$D$2:$D$167="whr")*economics!$AH$2:$AH$167*(_xlfn.NORM.DIST(Z$3,economics!$AK$2:$AK$167,economics!$AJ$2:$AJ$167,TRUE)-_xlfn.NORM.DIST(Z$30,economics!$AK$2:$AK$167,economics!$AJ$2:$AJ$167,TRUE))*economics!$AM$2:$AM$167)+$CR17*(_xlfn.NORM.DIST(Z$3,$CU17,0.3*$CU17,TRUE)-_xlfn.NORM.DIST(Z$30,$CU17,0.3*$CU17,TRUE))*summary!$C$7/28.8/0.947817+$CS17*(_xlfn.NORM.DIST(Z$3,$CV17,0.3*$CV17,TRUE)-_xlfn.NORM.DIST(Z$30,$CV17,0.3*$CV17,TRUE))*summary!$C$6/28.8/0.947817)/(SUMPRODUCT((economics!$AG$2:$AG$167=$B46)*(economics!$D$2:$D$167="whr")*economics!$AH$2:$AH$167*(_xlfn.NORM.DIST(Z$3,economics!$AK$2:$AK$167,economics!$AJ$2:$AJ$167,TRUE)-_xlfn.NORM.DIST(Z$30,economics!$AK$2:$AK$167,economics!$AJ$2:$AJ$167,TRUE)))+$CR17*(_xlfn.NORM.DIST(Z$3,$CU17,0.3*$CU17,TRUE)-_xlfn.NORM.DIST(Z$30,$CU17,0.3*$CU17,TRUE))+$CS17*(_xlfn.NORM.DIST(Z$3,$CV17,0.3*$CV17,TRUE)-_xlfn.NORM.DIST(Z$30,$CV17,0.3*$CV17,TRUE))),""),IF($C17&gt;0,summary!$C$10/28.8/0.947817,""))</f>
        <v/>
      </c>
      <c r="AA46">
        <f t="array" ref="AA46">IF($D17,IFERROR((SUMPRODUCT((economics!$AG$2:$AG$167=$B46)*(economics!$D$2:$D$167="whr")*economics!$AH$2:$AH$167*(_xlfn.NORM.DIST(AA$3,economics!$AK$2:$AK$167,economics!$AJ$2:$AJ$167,TRUE)-_xlfn.NORM.DIST(AA$30,economics!$AK$2:$AK$167,economics!$AJ$2:$AJ$167,TRUE))*economics!$AM$2:$AM$167)+$CR17*(_xlfn.NORM.DIST(AA$3,$CU17,0.3*$CU17,TRUE)-_xlfn.NORM.DIST(AA$30,$CU17,0.3*$CU17,TRUE))*summary!$C$7/28.8/0.947817+$CS17*(_xlfn.NORM.DIST(AA$3,$CV17,0.3*$CV17,TRUE)-_xlfn.NORM.DIST(AA$30,$CV17,0.3*$CV17,TRUE))*summary!$C$6/28.8/0.947817)/(SUMPRODUCT((economics!$AG$2:$AG$167=$B46)*(economics!$D$2:$D$167="whr")*economics!$AH$2:$AH$167*(_xlfn.NORM.DIST(AA$3,economics!$AK$2:$AK$167,economics!$AJ$2:$AJ$167,TRUE)-_xlfn.NORM.DIST(AA$30,economics!$AK$2:$AK$167,economics!$AJ$2:$AJ$167,TRUE)))+$CR17*(_xlfn.NORM.DIST(AA$3,$CU17,0.3*$CU17,TRUE)-_xlfn.NORM.DIST(AA$30,$CU17,0.3*$CU17,TRUE))+$CS17*(_xlfn.NORM.DIST(AA$3,$CV17,0.3*$CV17,TRUE)-_xlfn.NORM.DIST(AA$30,$CV17,0.3*$CV17,TRUE))),""),IF($C17&gt;0,summary!$C$10/28.8/0.947817,""))</f>
        <v/>
      </c>
      <c r="AB46">
        <f t="array" ref="AB46">IF($D17,IFERROR((SUMPRODUCT((economics!$AG$2:$AG$167=$B46)*(economics!$D$2:$D$167="whr")*economics!$AH$2:$AH$167*(_xlfn.NORM.DIST(AB$3,economics!$AK$2:$AK$167,economics!$AJ$2:$AJ$167,TRUE)-_xlfn.NORM.DIST(AB$30,economics!$AK$2:$AK$167,economics!$AJ$2:$AJ$167,TRUE))*economics!$AM$2:$AM$167)+$CR17*(_xlfn.NORM.DIST(AB$3,$CU17,0.3*$CU17,TRUE)-_xlfn.NORM.DIST(AB$30,$CU17,0.3*$CU17,TRUE))*summary!$C$7/28.8/0.947817+$CS17*(_xlfn.NORM.DIST(AB$3,$CV17,0.3*$CV17,TRUE)-_xlfn.NORM.DIST(AB$30,$CV17,0.3*$CV17,TRUE))*summary!$C$6/28.8/0.947817)/(SUMPRODUCT((economics!$AG$2:$AG$167=$B46)*(economics!$D$2:$D$167="whr")*economics!$AH$2:$AH$167*(_xlfn.NORM.DIST(AB$3,economics!$AK$2:$AK$167,economics!$AJ$2:$AJ$167,TRUE)-_xlfn.NORM.DIST(AB$30,economics!$AK$2:$AK$167,economics!$AJ$2:$AJ$167,TRUE)))+$CR17*(_xlfn.NORM.DIST(AB$3,$CU17,0.3*$CU17,TRUE)-_xlfn.NORM.DIST(AB$30,$CU17,0.3*$CU17,TRUE))+$CS17*(_xlfn.NORM.DIST(AB$3,$CV17,0.3*$CV17,TRUE)-_xlfn.NORM.DIST(AB$30,$CV17,0.3*$CV17,TRUE))),""),IF($C17&gt;0,summary!$C$10/28.8/0.947817,""))</f>
        <v/>
      </c>
      <c r="AC46">
        <f t="array" ref="AC46">IF($D17,IFERROR((SUMPRODUCT((economics!$AG$2:$AG$167=$B46)*(economics!$D$2:$D$167="whr")*economics!$AH$2:$AH$167*(_xlfn.NORM.DIST(AC$3,economics!$AK$2:$AK$167,economics!$AJ$2:$AJ$167,TRUE)-_xlfn.NORM.DIST(AC$30,economics!$AK$2:$AK$167,economics!$AJ$2:$AJ$167,TRUE))*economics!$AM$2:$AM$167)+$CR17*(_xlfn.NORM.DIST(AC$3,$CU17,0.3*$CU17,TRUE)-_xlfn.NORM.DIST(AC$30,$CU17,0.3*$CU17,TRUE))*summary!$C$7/28.8/0.947817+$CS17*(_xlfn.NORM.DIST(AC$3,$CV17,0.3*$CV17,TRUE)-_xlfn.NORM.DIST(AC$30,$CV17,0.3*$CV17,TRUE))*summary!$C$6/28.8/0.947817)/(SUMPRODUCT((economics!$AG$2:$AG$167=$B46)*(economics!$D$2:$D$167="whr")*economics!$AH$2:$AH$167*(_xlfn.NORM.DIST(AC$3,economics!$AK$2:$AK$167,economics!$AJ$2:$AJ$167,TRUE)-_xlfn.NORM.DIST(AC$30,economics!$AK$2:$AK$167,economics!$AJ$2:$AJ$167,TRUE)))+$CR17*(_xlfn.NORM.DIST(AC$3,$CU17,0.3*$CU17,TRUE)-_xlfn.NORM.DIST(AC$30,$CU17,0.3*$CU17,TRUE))+$CS17*(_xlfn.NORM.DIST(AC$3,$CV17,0.3*$CV17,TRUE)-_xlfn.NORM.DIST(AC$30,$CV17,0.3*$CV17,TRUE))),""),IF($C17&gt;0,summary!$C$10/28.8/0.947817,""))</f>
        <v/>
      </c>
      <c r="AD46">
        <f t="array" ref="AD46">IF($D17,IFERROR((SUMPRODUCT((economics!$AG$2:$AG$167=$B46)*(economics!$D$2:$D$167="whr")*economics!$AH$2:$AH$167*(_xlfn.NORM.DIST(AD$3,economics!$AK$2:$AK$167,economics!$AJ$2:$AJ$167,TRUE)-_xlfn.NORM.DIST(AD$30,economics!$AK$2:$AK$167,economics!$AJ$2:$AJ$167,TRUE))*economics!$AM$2:$AM$167)+$CR17*(_xlfn.NORM.DIST(AD$3,$CU17,0.3*$CU17,TRUE)-_xlfn.NORM.DIST(AD$30,$CU17,0.3*$CU17,TRUE))*summary!$C$7/28.8/0.947817+$CS17*(_xlfn.NORM.DIST(AD$3,$CV17,0.3*$CV17,TRUE)-_xlfn.NORM.DIST(AD$30,$CV17,0.3*$CV17,TRUE))*summary!$C$6/28.8/0.947817)/(SUMPRODUCT((economics!$AG$2:$AG$167=$B46)*(economics!$D$2:$D$167="whr")*economics!$AH$2:$AH$167*(_xlfn.NORM.DIST(AD$3,economics!$AK$2:$AK$167,economics!$AJ$2:$AJ$167,TRUE)-_xlfn.NORM.DIST(AD$30,economics!$AK$2:$AK$167,economics!$AJ$2:$AJ$167,TRUE)))+$CR17*(_xlfn.NORM.DIST(AD$3,$CU17,0.3*$CU17,TRUE)-_xlfn.NORM.DIST(AD$30,$CU17,0.3*$CU17,TRUE))+$CS17*(_xlfn.NORM.DIST(AD$3,$CV17,0.3*$CV17,TRUE)-_xlfn.NORM.DIST(AD$30,$CV17,0.3*$CV17,TRUE))),""),IF($C17&gt;0,summary!$C$10/28.8/0.947817,""))</f>
        <v/>
      </c>
      <c r="AE46">
        <f t="array" ref="AE46">IF($D17,IFERROR((SUMPRODUCT((economics!$AG$2:$AG$167=$B46)*(economics!$D$2:$D$167="whr")*economics!$AH$2:$AH$167*(_xlfn.NORM.DIST(AE$3,economics!$AK$2:$AK$167,economics!$AJ$2:$AJ$167,TRUE)-_xlfn.NORM.DIST(AE$30,economics!$AK$2:$AK$167,economics!$AJ$2:$AJ$167,TRUE))*economics!$AM$2:$AM$167)+$CR17*(_xlfn.NORM.DIST(AE$3,$CU17,0.3*$CU17,TRUE)-_xlfn.NORM.DIST(AE$30,$CU17,0.3*$CU17,TRUE))*summary!$C$7/28.8/0.947817+$CS17*(_xlfn.NORM.DIST(AE$3,$CV17,0.3*$CV17,TRUE)-_xlfn.NORM.DIST(AE$30,$CV17,0.3*$CV17,TRUE))*summary!$C$6/28.8/0.947817)/(SUMPRODUCT((economics!$AG$2:$AG$167=$B46)*(economics!$D$2:$D$167="whr")*economics!$AH$2:$AH$167*(_xlfn.NORM.DIST(AE$3,economics!$AK$2:$AK$167,economics!$AJ$2:$AJ$167,TRUE)-_xlfn.NORM.DIST(AE$30,economics!$AK$2:$AK$167,economics!$AJ$2:$AJ$167,TRUE)))+$CR17*(_xlfn.NORM.DIST(AE$3,$CU17,0.3*$CU17,TRUE)-_xlfn.NORM.DIST(AE$30,$CU17,0.3*$CU17,TRUE))+$CS17*(_xlfn.NORM.DIST(AE$3,$CV17,0.3*$CV17,TRUE)-_xlfn.NORM.DIST(AE$30,$CV17,0.3*$CV17,TRUE))),""),IF($C17&gt;0,summary!$C$10/28.8/0.947817,""))</f>
        <v/>
      </c>
      <c r="AF46">
        <f t="array" ref="AF46">IF($D17,IFERROR((SUMPRODUCT((economics!$AG$2:$AG$167=$B46)*(economics!$D$2:$D$167="whr")*economics!$AH$2:$AH$167*(_xlfn.NORM.DIST(AF$3,economics!$AK$2:$AK$167,economics!$AJ$2:$AJ$167,TRUE)-_xlfn.NORM.DIST(AF$30,economics!$AK$2:$AK$167,economics!$AJ$2:$AJ$167,TRUE))*economics!$AM$2:$AM$167)+$CR17*(_xlfn.NORM.DIST(AF$3,$CU17,0.3*$CU17,TRUE)-_xlfn.NORM.DIST(AF$30,$CU17,0.3*$CU17,TRUE))*summary!$C$7/28.8/0.947817+$CS17*(_xlfn.NORM.DIST(AF$3,$CV17,0.3*$CV17,TRUE)-_xlfn.NORM.DIST(AF$30,$CV17,0.3*$CV17,TRUE))*summary!$C$6/28.8/0.947817)/(SUMPRODUCT((economics!$AG$2:$AG$167=$B46)*(economics!$D$2:$D$167="whr")*economics!$AH$2:$AH$167*(_xlfn.NORM.DIST(AF$3,economics!$AK$2:$AK$167,economics!$AJ$2:$AJ$167,TRUE)-_xlfn.NORM.DIST(AF$30,economics!$AK$2:$AK$167,economics!$AJ$2:$AJ$167,TRUE)))+$CR17*(_xlfn.NORM.DIST(AF$3,$CU17,0.3*$CU17,TRUE)-_xlfn.NORM.DIST(AF$30,$CU17,0.3*$CU17,TRUE))+$CS17*(_xlfn.NORM.DIST(AF$3,$CV17,0.3*$CV17,TRUE)-_xlfn.NORM.DIST(AF$30,$CV17,0.3*$CV17,TRUE))),""),IF($C17&gt;0,summary!$C$10/28.8/0.947817,""))</f>
        <v/>
      </c>
      <c r="AG46">
        <f t="array" ref="AG46">IF($D17,IFERROR((SUMPRODUCT((economics!$AG$2:$AG$167=$B46)*(economics!$D$2:$D$167="whr")*economics!$AH$2:$AH$167*(_xlfn.NORM.DIST(AG$3,economics!$AK$2:$AK$167,economics!$AJ$2:$AJ$167,TRUE)-_xlfn.NORM.DIST(AG$30,economics!$AK$2:$AK$167,economics!$AJ$2:$AJ$167,TRUE))*economics!$AM$2:$AM$167)+$CR17*(_xlfn.NORM.DIST(AG$3,$CU17,0.3*$CU17,TRUE)-_xlfn.NORM.DIST(AG$30,$CU17,0.3*$CU17,TRUE))*summary!$C$7/28.8/0.947817+$CS17*(_xlfn.NORM.DIST(AG$3,$CV17,0.3*$CV17,TRUE)-_xlfn.NORM.DIST(AG$30,$CV17,0.3*$CV17,TRUE))*summary!$C$6/28.8/0.947817)/(SUMPRODUCT((economics!$AG$2:$AG$167=$B46)*(economics!$D$2:$D$167="whr")*economics!$AH$2:$AH$167*(_xlfn.NORM.DIST(AG$3,economics!$AK$2:$AK$167,economics!$AJ$2:$AJ$167,TRUE)-_xlfn.NORM.DIST(AG$30,economics!$AK$2:$AK$167,economics!$AJ$2:$AJ$167,TRUE)))+$CR17*(_xlfn.NORM.DIST(AG$3,$CU17,0.3*$CU17,TRUE)-_xlfn.NORM.DIST(AG$30,$CU17,0.3*$CU17,TRUE))+$CS17*(_xlfn.NORM.DIST(AG$3,$CV17,0.3*$CV17,TRUE)-_xlfn.NORM.DIST(AG$30,$CV17,0.3*$CV17,TRUE))),""),IF($C17&gt;0,summary!$C$10/28.8/0.947817,""))</f>
        <v/>
      </c>
      <c r="AH46">
        <f t="array" ref="AH46">IF($D17,IFERROR((SUMPRODUCT((economics!$AG$2:$AG$167=$B46)*(economics!$D$2:$D$167="whr")*economics!$AH$2:$AH$167*(_xlfn.NORM.DIST(AH$3,economics!$AK$2:$AK$167,economics!$AJ$2:$AJ$167,TRUE)-_xlfn.NORM.DIST(AH$30,economics!$AK$2:$AK$167,economics!$AJ$2:$AJ$167,TRUE))*economics!$AM$2:$AM$167)+$CR17*(_xlfn.NORM.DIST(AH$3,$CU17,0.3*$CU17,TRUE)-_xlfn.NORM.DIST(AH$30,$CU17,0.3*$CU17,TRUE))*summary!$C$7/28.8/0.947817+$CS17*(_xlfn.NORM.DIST(AH$3,$CV17,0.3*$CV17,TRUE)-_xlfn.NORM.DIST(AH$30,$CV17,0.3*$CV17,TRUE))*summary!$C$6/28.8/0.947817)/(SUMPRODUCT((economics!$AG$2:$AG$167=$B46)*(economics!$D$2:$D$167="whr")*economics!$AH$2:$AH$167*(_xlfn.NORM.DIST(AH$3,economics!$AK$2:$AK$167,economics!$AJ$2:$AJ$167,TRUE)-_xlfn.NORM.DIST(AH$30,economics!$AK$2:$AK$167,economics!$AJ$2:$AJ$167,TRUE)))+$CR17*(_xlfn.NORM.DIST(AH$3,$CU17,0.3*$CU17,TRUE)-_xlfn.NORM.DIST(AH$30,$CU17,0.3*$CU17,TRUE))+$CS17*(_xlfn.NORM.DIST(AH$3,$CV17,0.3*$CV17,TRUE)-_xlfn.NORM.DIST(AH$30,$CV17,0.3*$CV17,TRUE))),""),IF($C17&gt;0,summary!$C$10/28.8/0.947817,""))</f>
        <v/>
      </c>
      <c r="AI46">
        <f t="array" ref="AI46">IF($D17,IFERROR((SUMPRODUCT((economics!$AG$2:$AG$167=$B46)*(economics!$D$2:$D$167="whr")*economics!$AH$2:$AH$167*(_xlfn.NORM.DIST(AI$3,economics!$AK$2:$AK$167,economics!$AJ$2:$AJ$167,TRUE)-_xlfn.NORM.DIST(AI$30,economics!$AK$2:$AK$167,economics!$AJ$2:$AJ$167,TRUE))*economics!$AM$2:$AM$167)+$CR17*(_xlfn.NORM.DIST(AI$3,$CU17,0.3*$CU17,TRUE)-_xlfn.NORM.DIST(AI$30,$CU17,0.3*$CU17,TRUE))*summary!$C$7/28.8/0.947817+$CS17*(_xlfn.NORM.DIST(AI$3,$CV17,0.3*$CV17,TRUE)-_xlfn.NORM.DIST(AI$30,$CV17,0.3*$CV17,TRUE))*summary!$C$6/28.8/0.947817)/(SUMPRODUCT((economics!$AG$2:$AG$167=$B46)*(economics!$D$2:$D$167="whr")*economics!$AH$2:$AH$167*(_xlfn.NORM.DIST(AI$3,economics!$AK$2:$AK$167,economics!$AJ$2:$AJ$167,TRUE)-_xlfn.NORM.DIST(AI$30,economics!$AK$2:$AK$167,economics!$AJ$2:$AJ$167,TRUE)))+$CR17*(_xlfn.NORM.DIST(AI$3,$CU17,0.3*$CU17,TRUE)-_xlfn.NORM.DIST(AI$30,$CU17,0.3*$CU17,TRUE))+$CS17*(_xlfn.NORM.DIST(AI$3,$CV17,0.3*$CV17,TRUE)-_xlfn.NORM.DIST(AI$30,$CV17,0.3*$CV17,TRUE))),""),IF($C17&gt;0,summary!$C$10/28.8/0.947817,""))</f>
        <v/>
      </c>
      <c r="AJ46">
        <f t="array" ref="AJ46">IF($D17,IFERROR((SUMPRODUCT((economics!$AG$2:$AG$167=$B46)*(economics!$D$2:$D$167="whr")*economics!$AH$2:$AH$167*(_xlfn.NORM.DIST(AJ$3,economics!$AK$2:$AK$167,economics!$AJ$2:$AJ$167,TRUE)-_xlfn.NORM.DIST(AJ$30,economics!$AK$2:$AK$167,economics!$AJ$2:$AJ$167,TRUE))*economics!$AM$2:$AM$167)+$CR17*(_xlfn.NORM.DIST(AJ$3,$CU17,0.3*$CU17,TRUE)-_xlfn.NORM.DIST(AJ$30,$CU17,0.3*$CU17,TRUE))*summary!$C$7/28.8/0.947817+$CS17*(_xlfn.NORM.DIST(AJ$3,$CV17,0.3*$CV17,TRUE)-_xlfn.NORM.DIST(AJ$30,$CV17,0.3*$CV17,TRUE))*summary!$C$6/28.8/0.947817)/(SUMPRODUCT((economics!$AG$2:$AG$167=$B46)*(economics!$D$2:$D$167="whr")*economics!$AH$2:$AH$167*(_xlfn.NORM.DIST(AJ$3,economics!$AK$2:$AK$167,economics!$AJ$2:$AJ$167,TRUE)-_xlfn.NORM.DIST(AJ$30,economics!$AK$2:$AK$167,economics!$AJ$2:$AJ$167,TRUE)))+$CR17*(_xlfn.NORM.DIST(AJ$3,$CU17,0.3*$CU17,TRUE)-_xlfn.NORM.DIST(AJ$30,$CU17,0.3*$CU17,TRUE))+$CS17*(_xlfn.NORM.DIST(AJ$3,$CV17,0.3*$CV17,TRUE)-_xlfn.NORM.DIST(AJ$30,$CV17,0.3*$CV17,TRUE))),""),IF($C17&gt;0,summary!$C$10/28.8/0.947817,""))</f>
        <v/>
      </c>
      <c r="AK46">
        <f t="array" ref="AK46">IF($D17,IFERROR((SUMPRODUCT((economics!$AG$2:$AG$167=$B46)*(economics!$D$2:$D$167="whr")*economics!$AH$2:$AH$167*(_xlfn.NORM.DIST(AK$3,economics!$AK$2:$AK$167,economics!$AJ$2:$AJ$167,TRUE)-_xlfn.NORM.DIST(AK$30,economics!$AK$2:$AK$167,economics!$AJ$2:$AJ$167,TRUE))*economics!$AM$2:$AM$167)+$CR17*(_xlfn.NORM.DIST(AK$3,$CU17,0.3*$CU17,TRUE)-_xlfn.NORM.DIST(AK$30,$CU17,0.3*$CU17,TRUE))*summary!$C$7/28.8/0.947817+$CS17*(_xlfn.NORM.DIST(AK$3,$CV17,0.3*$CV17,TRUE)-_xlfn.NORM.DIST(AK$30,$CV17,0.3*$CV17,TRUE))*summary!$C$6/28.8/0.947817)/(SUMPRODUCT((economics!$AG$2:$AG$167=$B46)*(economics!$D$2:$D$167="whr")*economics!$AH$2:$AH$167*(_xlfn.NORM.DIST(AK$3,economics!$AK$2:$AK$167,economics!$AJ$2:$AJ$167,TRUE)-_xlfn.NORM.DIST(AK$30,economics!$AK$2:$AK$167,economics!$AJ$2:$AJ$167,TRUE)))+$CR17*(_xlfn.NORM.DIST(AK$3,$CU17,0.3*$CU17,TRUE)-_xlfn.NORM.DIST(AK$30,$CU17,0.3*$CU17,TRUE))+$CS17*(_xlfn.NORM.DIST(AK$3,$CV17,0.3*$CV17,TRUE)-_xlfn.NORM.DIST(AK$30,$CV17,0.3*$CV17,TRUE))),""),IF($C17&gt;0,summary!$C$10/28.8/0.947817,""))</f>
        <v/>
      </c>
      <c r="AL46">
        <f t="array" ref="AL46">IF($D17,IFERROR((SUMPRODUCT((economics!$AG$2:$AG$167=$B46)*(economics!$D$2:$D$167="whr")*economics!$AH$2:$AH$167*(_xlfn.NORM.DIST(AL$3,economics!$AK$2:$AK$167,economics!$AJ$2:$AJ$167,TRUE)-_xlfn.NORM.DIST(AL$30,economics!$AK$2:$AK$167,economics!$AJ$2:$AJ$167,TRUE))*economics!$AM$2:$AM$167)+$CR17*(_xlfn.NORM.DIST(AL$3,$CU17,0.3*$CU17,TRUE)-_xlfn.NORM.DIST(AL$30,$CU17,0.3*$CU17,TRUE))*summary!$C$7/28.8/0.947817+$CS17*(_xlfn.NORM.DIST(AL$3,$CV17,0.3*$CV17,TRUE)-_xlfn.NORM.DIST(AL$30,$CV17,0.3*$CV17,TRUE))*summary!$C$6/28.8/0.947817)/(SUMPRODUCT((economics!$AG$2:$AG$167=$B46)*(economics!$D$2:$D$167="whr")*economics!$AH$2:$AH$167*(_xlfn.NORM.DIST(AL$3,economics!$AK$2:$AK$167,economics!$AJ$2:$AJ$167,TRUE)-_xlfn.NORM.DIST(AL$30,economics!$AK$2:$AK$167,economics!$AJ$2:$AJ$167,TRUE)))+$CR17*(_xlfn.NORM.DIST(AL$3,$CU17,0.3*$CU17,TRUE)-_xlfn.NORM.DIST(AL$30,$CU17,0.3*$CU17,TRUE))+$CS17*(_xlfn.NORM.DIST(AL$3,$CV17,0.3*$CV17,TRUE)-_xlfn.NORM.DIST(AL$30,$CV17,0.3*$CV17,TRUE))),""),IF($C17&gt;0,summary!$C$10/28.8/0.947817,""))</f>
        <v/>
      </c>
      <c r="AM46">
        <f t="array" ref="AM46">IF($D17,IFERROR((SUMPRODUCT((economics!$AG$2:$AG$167=$B46)*(economics!$D$2:$D$167="whr")*economics!$AH$2:$AH$167*(_xlfn.NORM.DIST(AM$3,economics!$AK$2:$AK$167,economics!$AJ$2:$AJ$167,TRUE)-_xlfn.NORM.DIST(AM$30,economics!$AK$2:$AK$167,economics!$AJ$2:$AJ$167,TRUE))*economics!$AM$2:$AM$167)+$CR17*(_xlfn.NORM.DIST(AM$3,$CU17,0.3*$CU17,TRUE)-_xlfn.NORM.DIST(AM$30,$CU17,0.3*$CU17,TRUE))*summary!$C$7/28.8/0.947817+$CS17*(_xlfn.NORM.DIST(AM$3,$CV17,0.3*$CV17,TRUE)-_xlfn.NORM.DIST(AM$30,$CV17,0.3*$CV17,TRUE))*summary!$C$6/28.8/0.947817)/(SUMPRODUCT((economics!$AG$2:$AG$167=$B46)*(economics!$D$2:$D$167="whr")*economics!$AH$2:$AH$167*(_xlfn.NORM.DIST(AM$3,economics!$AK$2:$AK$167,economics!$AJ$2:$AJ$167,TRUE)-_xlfn.NORM.DIST(AM$30,economics!$AK$2:$AK$167,economics!$AJ$2:$AJ$167,TRUE)))+$CR17*(_xlfn.NORM.DIST(AM$3,$CU17,0.3*$CU17,TRUE)-_xlfn.NORM.DIST(AM$30,$CU17,0.3*$CU17,TRUE))+$CS17*(_xlfn.NORM.DIST(AM$3,$CV17,0.3*$CV17,TRUE)-_xlfn.NORM.DIST(AM$30,$CV17,0.3*$CV17,TRUE))),""),IF($C17&gt;0,summary!$C$10/28.8/0.947817,""))</f>
        <v/>
      </c>
      <c r="AN46">
        <f t="array" ref="AN46">IF($D17,IFERROR((SUMPRODUCT((economics!$AG$2:$AG$167=$B46)*(economics!$D$2:$D$167="whr")*economics!$AH$2:$AH$167*(_xlfn.NORM.DIST(AN$3,economics!$AK$2:$AK$167,economics!$AJ$2:$AJ$167,TRUE)-_xlfn.NORM.DIST(AN$30,economics!$AK$2:$AK$167,economics!$AJ$2:$AJ$167,TRUE))*economics!$AM$2:$AM$167)+$CR17*(_xlfn.NORM.DIST(AN$3,$CU17,0.3*$CU17,TRUE)-_xlfn.NORM.DIST(AN$30,$CU17,0.3*$CU17,TRUE))*summary!$C$7/28.8/0.947817+$CS17*(_xlfn.NORM.DIST(AN$3,$CV17,0.3*$CV17,TRUE)-_xlfn.NORM.DIST(AN$30,$CV17,0.3*$CV17,TRUE))*summary!$C$6/28.8/0.947817)/(SUMPRODUCT((economics!$AG$2:$AG$167=$B46)*(economics!$D$2:$D$167="whr")*economics!$AH$2:$AH$167*(_xlfn.NORM.DIST(AN$3,economics!$AK$2:$AK$167,economics!$AJ$2:$AJ$167,TRUE)-_xlfn.NORM.DIST(AN$30,economics!$AK$2:$AK$167,economics!$AJ$2:$AJ$167,TRUE)))+$CR17*(_xlfn.NORM.DIST(AN$3,$CU17,0.3*$CU17,TRUE)-_xlfn.NORM.DIST(AN$30,$CU17,0.3*$CU17,TRUE))+$CS17*(_xlfn.NORM.DIST(AN$3,$CV17,0.3*$CV17,TRUE)-_xlfn.NORM.DIST(AN$30,$CV17,0.3*$CV17,TRUE))),""),IF($C17&gt;0,summary!$C$10/28.8/0.947817,""))</f>
        <v/>
      </c>
      <c r="AO46">
        <f t="array" ref="AO46">IF($D17,IFERROR((SUMPRODUCT((economics!$AG$2:$AG$167=$B46)*(economics!$D$2:$D$167="whr")*economics!$AH$2:$AH$167*(_xlfn.NORM.DIST(AO$3,economics!$AK$2:$AK$167,economics!$AJ$2:$AJ$167,TRUE)-_xlfn.NORM.DIST(AO$30,economics!$AK$2:$AK$167,economics!$AJ$2:$AJ$167,TRUE))*economics!$AM$2:$AM$167)+$CR17*(_xlfn.NORM.DIST(AO$3,$CU17,0.3*$CU17,TRUE)-_xlfn.NORM.DIST(AO$30,$CU17,0.3*$CU17,TRUE))*summary!$C$7/28.8/0.947817+$CS17*(_xlfn.NORM.DIST(AO$3,$CV17,0.3*$CV17,TRUE)-_xlfn.NORM.DIST(AO$30,$CV17,0.3*$CV17,TRUE))*summary!$C$6/28.8/0.947817)/(SUMPRODUCT((economics!$AG$2:$AG$167=$B46)*(economics!$D$2:$D$167="whr")*economics!$AH$2:$AH$167*(_xlfn.NORM.DIST(AO$3,economics!$AK$2:$AK$167,economics!$AJ$2:$AJ$167,TRUE)-_xlfn.NORM.DIST(AO$30,economics!$AK$2:$AK$167,economics!$AJ$2:$AJ$167,TRUE)))+$CR17*(_xlfn.NORM.DIST(AO$3,$CU17,0.3*$CU17,TRUE)-_xlfn.NORM.DIST(AO$30,$CU17,0.3*$CU17,TRUE))+$CS17*(_xlfn.NORM.DIST(AO$3,$CV17,0.3*$CV17,TRUE)-_xlfn.NORM.DIST(AO$30,$CV17,0.3*$CV17,TRUE))),""),IF($C17&gt;0,summary!$C$10/28.8/0.947817,""))</f>
        <v/>
      </c>
      <c r="AP46">
        <f t="array" ref="AP46">IF($D17,IFERROR((SUMPRODUCT((economics!$AG$2:$AG$167=$B46)*(economics!$D$2:$D$167="whr")*economics!$AH$2:$AH$167*(_xlfn.NORM.DIST(AP$3,economics!$AK$2:$AK$167,economics!$AJ$2:$AJ$167,TRUE)-_xlfn.NORM.DIST(AP$30,economics!$AK$2:$AK$167,economics!$AJ$2:$AJ$167,TRUE))*economics!$AM$2:$AM$167)+$CR17*(_xlfn.NORM.DIST(AP$3,$CU17,0.3*$CU17,TRUE)-_xlfn.NORM.DIST(AP$30,$CU17,0.3*$CU17,TRUE))*summary!$C$7/28.8/0.947817+$CS17*(_xlfn.NORM.DIST(AP$3,$CV17,0.3*$CV17,TRUE)-_xlfn.NORM.DIST(AP$30,$CV17,0.3*$CV17,TRUE))*summary!$C$6/28.8/0.947817)/(SUMPRODUCT((economics!$AG$2:$AG$167=$B46)*(economics!$D$2:$D$167="whr")*economics!$AH$2:$AH$167*(_xlfn.NORM.DIST(AP$3,economics!$AK$2:$AK$167,economics!$AJ$2:$AJ$167,TRUE)-_xlfn.NORM.DIST(AP$30,economics!$AK$2:$AK$167,economics!$AJ$2:$AJ$167,TRUE)))+$CR17*(_xlfn.NORM.DIST(AP$3,$CU17,0.3*$CU17,TRUE)-_xlfn.NORM.DIST(AP$30,$CU17,0.3*$CU17,TRUE))+$CS17*(_xlfn.NORM.DIST(AP$3,$CV17,0.3*$CV17,TRUE)-_xlfn.NORM.DIST(AP$30,$CV17,0.3*$CV17,TRUE))),""),IF($C17&gt;0,summary!$C$10/28.8/0.947817,""))</f>
        <v/>
      </c>
      <c r="AQ46">
        <f t="array" ref="AQ46">IF($D17,IFERROR((SUMPRODUCT((economics!$AG$2:$AG$167=$B46)*(economics!$D$2:$D$167="whr")*economics!$AH$2:$AH$167*(_xlfn.NORM.DIST(AQ$3,economics!$AK$2:$AK$167,economics!$AJ$2:$AJ$167,TRUE)-_xlfn.NORM.DIST(AQ$30,economics!$AK$2:$AK$167,economics!$AJ$2:$AJ$167,TRUE))*economics!$AM$2:$AM$167)+$CR17*(_xlfn.NORM.DIST(AQ$3,$CU17,0.3*$CU17,TRUE)-_xlfn.NORM.DIST(AQ$30,$CU17,0.3*$CU17,TRUE))*summary!$C$7/28.8/0.947817+$CS17*(_xlfn.NORM.DIST(AQ$3,$CV17,0.3*$CV17,TRUE)-_xlfn.NORM.DIST(AQ$30,$CV17,0.3*$CV17,TRUE))*summary!$C$6/28.8/0.947817)/(SUMPRODUCT((economics!$AG$2:$AG$167=$B46)*(economics!$D$2:$D$167="whr")*economics!$AH$2:$AH$167*(_xlfn.NORM.DIST(AQ$3,economics!$AK$2:$AK$167,economics!$AJ$2:$AJ$167,TRUE)-_xlfn.NORM.DIST(AQ$30,economics!$AK$2:$AK$167,economics!$AJ$2:$AJ$167,TRUE)))+$CR17*(_xlfn.NORM.DIST(AQ$3,$CU17,0.3*$CU17,TRUE)-_xlfn.NORM.DIST(AQ$30,$CU17,0.3*$CU17,TRUE))+$CS17*(_xlfn.NORM.DIST(AQ$3,$CV17,0.3*$CV17,TRUE)-_xlfn.NORM.DIST(AQ$30,$CV17,0.3*$CV17,TRUE))),""),IF($C17&gt;0,summary!$C$10/28.8/0.947817,""))</f>
        <v/>
      </c>
      <c r="AR46">
        <f t="array" ref="AR46">IF($D17,IFERROR((SUMPRODUCT((economics!$AG$2:$AG$167=$B46)*(economics!$D$2:$D$167="whr")*economics!$AH$2:$AH$167*(_xlfn.NORM.DIST(AR$3,economics!$AK$2:$AK$167,economics!$AJ$2:$AJ$167,TRUE)-_xlfn.NORM.DIST(AR$30,economics!$AK$2:$AK$167,economics!$AJ$2:$AJ$167,TRUE))*economics!$AM$2:$AM$167)+$CR17*(_xlfn.NORM.DIST(AR$3,$CU17,0.3*$CU17,TRUE)-_xlfn.NORM.DIST(AR$30,$CU17,0.3*$CU17,TRUE))*summary!$C$7/28.8/0.947817+$CS17*(_xlfn.NORM.DIST(AR$3,$CV17,0.3*$CV17,TRUE)-_xlfn.NORM.DIST(AR$30,$CV17,0.3*$CV17,TRUE))*summary!$C$6/28.8/0.947817)/(SUMPRODUCT((economics!$AG$2:$AG$167=$B46)*(economics!$D$2:$D$167="whr")*economics!$AH$2:$AH$167*(_xlfn.NORM.DIST(AR$3,economics!$AK$2:$AK$167,economics!$AJ$2:$AJ$167,TRUE)-_xlfn.NORM.DIST(AR$30,economics!$AK$2:$AK$167,economics!$AJ$2:$AJ$167,TRUE)))+$CR17*(_xlfn.NORM.DIST(AR$3,$CU17,0.3*$CU17,TRUE)-_xlfn.NORM.DIST(AR$30,$CU17,0.3*$CU17,TRUE))+$CS17*(_xlfn.NORM.DIST(AR$3,$CV17,0.3*$CV17,TRUE)-_xlfn.NORM.DIST(AR$30,$CV17,0.3*$CV17,TRUE))),""),IF($C17&gt;0,summary!$C$10/28.8/0.947817,""))</f>
        <v/>
      </c>
      <c r="AS46">
        <f t="array" ref="AS46">IF($D17,IFERROR((SUMPRODUCT((economics!$AG$2:$AG$167=$B46)*(economics!$D$2:$D$167="whr")*economics!$AH$2:$AH$167*(_xlfn.NORM.DIST(AS$3,economics!$AK$2:$AK$167,economics!$AJ$2:$AJ$167,TRUE)-_xlfn.NORM.DIST(AS$30,economics!$AK$2:$AK$167,economics!$AJ$2:$AJ$167,TRUE))*economics!$AM$2:$AM$167)+$CR17*(_xlfn.NORM.DIST(AS$3,$CU17,0.3*$CU17,TRUE)-_xlfn.NORM.DIST(AS$30,$CU17,0.3*$CU17,TRUE))*summary!$C$7/28.8/0.947817+$CS17*(_xlfn.NORM.DIST(AS$3,$CV17,0.3*$CV17,TRUE)-_xlfn.NORM.DIST(AS$30,$CV17,0.3*$CV17,TRUE))*summary!$C$6/28.8/0.947817)/(SUMPRODUCT((economics!$AG$2:$AG$167=$B46)*(economics!$D$2:$D$167="whr")*economics!$AH$2:$AH$167*(_xlfn.NORM.DIST(AS$3,economics!$AK$2:$AK$167,economics!$AJ$2:$AJ$167,TRUE)-_xlfn.NORM.DIST(AS$30,economics!$AK$2:$AK$167,economics!$AJ$2:$AJ$167,TRUE)))+$CR17*(_xlfn.NORM.DIST(AS$3,$CU17,0.3*$CU17,TRUE)-_xlfn.NORM.DIST(AS$30,$CU17,0.3*$CU17,TRUE))+$CS17*(_xlfn.NORM.DIST(AS$3,$CV17,0.3*$CV17,TRUE)-_xlfn.NORM.DIST(AS$30,$CV17,0.3*$CV17,TRUE))),""),IF($C17&gt;0,summary!$C$10/28.8/0.947817,""))</f>
        <v/>
      </c>
      <c r="AT46">
        <f t="array" ref="AT46">IF($D17,IFERROR((SUMPRODUCT((economics!$AG$2:$AG$167=$B46)*(economics!$D$2:$D$167="whr")*economics!$AH$2:$AH$167*(_xlfn.NORM.DIST(AT$3,economics!$AK$2:$AK$167,economics!$AJ$2:$AJ$167,TRUE)-_xlfn.NORM.DIST(AT$30,economics!$AK$2:$AK$167,economics!$AJ$2:$AJ$167,TRUE))*economics!$AM$2:$AM$167)+$CR17*(_xlfn.NORM.DIST(AT$3,$CU17,0.3*$CU17,TRUE)-_xlfn.NORM.DIST(AT$30,$CU17,0.3*$CU17,TRUE))*summary!$C$7/28.8/0.947817+$CS17*(_xlfn.NORM.DIST(AT$3,$CV17,0.3*$CV17,TRUE)-_xlfn.NORM.DIST(AT$30,$CV17,0.3*$CV17,TRUE))*summary!$C$6/28.8/0.947817)/(SUMPRODUCT((economics!$AG$2:$AG$167=$B46)*(economics!$D$2:$D$167="whr")*economics!$AH$2:$AH$167*(_xlfn.NORM.DIST(AT$3,economics!$AK$2:$AK$167,economics!$AJ$2:$AJ$167,TRUE)-_xlfn.NORM.DIST(AT$30,economics!$AK$2:$AK$167,economics!$AJ$2:$AJ$167,TRUE)))+$CR17*(_xlfn.NORM.DIST(AT$3,$CU17,0.3*$CU17,TRUE)-_xlfn.NORM.DIST(AT$30,$CU17,0.3*$CU17,TRUE))+$CS17*(_xlfn.NORM.DIST(AT$3,$CV17,0.3*$CV17,TRUE)-_xlfn.NORM.DIST(AT$30,$CV17,0.3*$CV17,TRUE))),""),IF($C17&gt;0,summary!$C$10/28.8/0.947817,""))</f>
        <v/>
      </c>
      <c r="AU46">
        <f t="array" ref="AU46">IF($D17,IFERROR((SUMPRODUCT((economics!$AG$2:$AG$167=$B46)*(economics!$D$2:$D$167="whr")*economics!$AH$2:$AH$167*(_xlfn.NORM.DIST(AU$3,economics!$AK$2:$AK$167,economics!$AJ$2:$AJ$167,TRUE)-_xlfn.NORM.DIST(AU$30,economics!$AK$2:$AK$167,economics!$AJ$2:$AJ$167,TRUE))*economics!$AM$2:$AM$167)+$CR17*(_xlfn.NORM.DIST(AU$3,$CU17,0.3*$CU17,TRUE)-_xlfn.NORM.DIST(AU$30,$CU17,0.3*$CU17,TRUE))*summary!$C$7/28.8/0.947817+$CS17*(_xlfn.NORM.DIST(AU$3,$CV17,0.3*$CV17,TRUE)-_xlfn.NORM.DIST(AU$30,$CV17,0.3*$CV17,TRUE))*summary!$C$6/28.8/0.947817)/(SUMPRODUCT((economics!$AG$2:$AG$167=$B46)*(economics!$D$2:$D$167="whr")*economics!$AH$2:$AH$167*(_xlfn.NORM.DIST(AU$3,economics!$AK$2:$AK$167,economics!$AJ$2:$AJ$167,TRUE)-_xlfn.NORM.DIST(AU$30,economics!$AK$2:$AK$167,economics!$AJ$2:$AJ$167,TRUE)))+$CR17*(_xlfn.NORM.DIST(AU$3,$CU17,0.3*$CU17,TRUE)-_xlfn.NORM.DIST(AU$30,$CU17,0.3*$CU17,TRUE))+$CS17*(_xlfn.NORM.DIST(AU$3,$CV17,0.3*$CV17,TRUE)-_xlfn.NORM.DIST(AU$30,$CV17,0.3*$CV17,TRUE))),""),IF($C17&gt;0,summary!$C$10/28.8/0.947817,""))</f>
        <v/>
      </c>
      <c r="AV46">
        <f t="array" ref="AV46">IF($D17,IFERROR((SUMPRODUCT((economics!$AG$2:$AG$167=$B46)*(economics!$D$2:$D$167="whr")*economics!$AH$2:$AH$167*(_xlfn.NORM.DIST(AV$3,economics!$AK$2:$AK$167,economics!$AJ$2:$AJ$167,TRUE)-_xlfn.NORM.DIST(AV$30,economics!$AK$2:$AK$167,economics!$AJ$2:$AJ$167,TRUE))*economics!$AM$2:$AM$167)+$CR17*(_xlfn.NORM.DIST(AV$3,$CU17,0.3*$CU17,TRUE)-_xlfn.NORM.DIST(AV$30,$CU17,0.3*$CU17,TRUE))*summary!$C$7/28.8/0.947817+$CS17*(_xlfn.NORM.DIST(AV$3,$CV17,0.3*$CV17,TRUE)-_xlfn.NORM.DIST(AV$30,$CV17,0.3*$CV17,TRUE))*summary!$C$6/28.8/0.947817)/(SUMPRODUCT((economics!$AG$2:$AG$167=$B46)*(economics!$D$2:$D$167="whr")*economics!$AH$2:$AH$167*(_xlfn.NORM.DIST(AV$3,economics!$AK$2:$AK$167,economics!$AJ$2:$AJ$167,TRUE)-_xlfn.NORM.DIST(AV$30,economics!$AK$2:$AK$167,economics!$AJ$2:$AJ$167,TRUE)))+$CR17*(_xlfn.NORM.DIST(AV$3,$CU17,0.3*$CU17,TRUE)-_xlfn.NORM.DIST(AV$30,$CU17,0.3*$CU17,TRUE))+$CS17*(_xlfn.NORM.DIST(AV$3,$CV17,0.3*$CV17,TRUE)-_xlfn.NORM.DIST(AV$30,$CV17,0.3*$CV17,TRUE))),""),IF($C17&gt;0,summary!$C$10/28.8/0.947817,""))</f>
        <v/>
      </c>
      <c r="AW46">
        <f t="array" ref="AW46">IF($D17,IFERROR((SUMPRODUCT((economics!$AG$2:$AG$167=$B46)*(economics!$D$2:$D$167="whr")*economics!$AH$2:$AH$167*(_xlfn.NORM.DIST(AW$3,economics!$AK$2:$AK$167,economics!$AJ$2:$AJ$167,TRUE)-_xlfn.NORM.DIST(AW$30,economics!$AK$2:$AK$167,economics!$AJ$2:$AJ$167,TRUE))*economics!$AM$2:$AM$167)+$CR17*(_xlfn.NORM.DIST(AW$3,$CU17,0.3*$CU17,TRUE)-_xlfn.NORM.DIST(AW$30,$CU17,0.3*$CU17,TRUE))*summary!$C$7/28.8/0.947817+$CS17*(_xlfn.NORM.DIST(AW$3,$CV17,0.3*$CV17,TRUE)-_xlfn.NORM.DIST(AW$30,$CV17,0.3*$CV17,TRUE))*summary!$C$6/28.8/0.947817)/(SUMPRODUCT((economics!$AG$2:$AG$167=$B46)*(economics!$D$2:$D$167="whr")*economics!$AH$2:$AH$167*(_xlfn.NORM.DIST(AW$3,economics!$AK$2:$AK$167,economics!$AJ$2:$AJ$167,TRUE)-_xlfn.NORM.DIST(AW$30,economics!$AK$2:$AK$167,economics!$AJ$2:$AJ$167,TRUE)))+$CR17*(_xlfn.NORM.DIST(AW$3,$CU17,0.3*$CU17,TRUE)-_xlfn.NORM.DIST(AW$30,$CU17,0.3*$CU17,TRUE))+$CS17*(_xlfn.NORM.DIST(AW$3,$CV17,0.3*$CV17,TRUE)-_xlfn.NORM.DIST(AW$30,$CV17,0.3*$CV17,TRUE))),""),IF($C17&gt;0,summary!$C$10/28.8/0.947817,""))</f>
        <v/>
      </c>
      <c r="AX46">
        <f t="array" ref="AX46">IF($D17,IFERROR((SUMPRODUCT((economics!$AG$2:$AG$167=$B46)*(economics!$D$2:$D$167="whr")*economics!$AH$2:$AH$167*(_xlfn.NORM.DIST(AX$3,economics!$AK$2:$AK$167,economics!$AJ$2:$AJ$167,TRUE)-_xlfn.NORM.DIST(AX$30,economics!$AK$2:$AK$167,economics!$AJ$2:$AJ$167,TRUE))*economics!$AM$2:$AM$167)+$CR17*(_xlfn.NORM.DIST(AX$3,$CU17,0.3*$CU17,TRUE)-_xlfn.NORM.DIST(AX$30,$CU17,0.3*$CU17,TRUE))*summary!$C$7/28.8/0.947817+$CS17*(_xlfn.NORM.DIST(AX$3,$CV17,0.3*$CV17,TRUE)-_xlfn.NORM.DIST(AX$30,$CV17,0.3*$CV17,TRUE))*summary!$C$6/28.8/0.947817)/(SUMPRODUCT((economics!$AG$2:$AG$167=$B46)*(economics!$D$2:$D$167="whr")*economics!$AH$2:$AH$167*(_xlfn.NORM.DIST(AX$3,economics!$AK$2:$AK$167,economics!$AJ$2:$AJ$167,TRUE)-_xlfn.NORM.DIST(AX$30,economics!$AK$2:$AK$167,economics!$AJ$2:$AJ$167,TRUE)))+$CR17*(_xlfn.NORM.DIST(AX$3,$CU17,0.3*$CU17,TRUE)-_xlfn.NORM.DIST(AX$30,$CU17,0.3*$CU17,TRUE))+$CS17*(_xlfn.NORM.DIST(AX$3,$CV17,0.3*$CV17,TRUE)-_xlfn.NORM.DIST(AX$30,$CV17,0.3*$CV17,TRUE))),""),IF($C17&gt;0,summary!$C$10/28.8/0.947817,""))</f>
        <v/>
      </c>
      <c r="AY46">
        <f t="array" ref="AY46">IF($D17,IFERROR((SUMPRODUCT((economics!$AG$2:$AG$167=$B46)*(economics!$D$2:$D$167="whr")*economics!$AH$2:$AH$167*(_xlfn.NORM.DIST(AY$3,economics!$AK$2:$AK$167,economics!$AJ$2:$AJ$167,TRUE)-_xlfn.NORM.DIST(AY$30,economics!$AK$2:$AK$167,economics!$AJ$2:$AJ$167,TRUE))*economics!$AM$2:$AM$167)+$CR17*(_xlfn.NORM.DIST(AY$3,$CU17,0.3*$CU17,TRUE)-_xlfn.NORM.DIST(AY$30,$CU17,0.3*$CU17,TRUE))*summary!$C$7/28.8/0.947817+$CS17*(_xlfn.NORM.DIST(AY$3,$CV17,0.3*$CV17,TRUE)-_xlfn.NORM.DIST(AY$30,$CV17,0.3*$CV17,TRUE))*summary!$C$6/28.8/0.947817)/(SUMPRODUCT((economics!$AG$2:$AG$167=$B46)*(economics!$D$2:$D$167="whr")*economics!$AH$2:$AH$167*(_xlfn.NORM.DIST(AY$3,economics!$AK$2:$AK$167,economics!$AJ$2:$AJ$167,TRUE)-_xlfn.NORM.DIST(AY$30,economics!$AK$2:$AK$167,economics!$AJ$2:$AJ$167,TRUE)))+$CR17*(_xlfn.NORM.DIST(AY$3,$CU17,0.3*$CU17,TRUE)-_xlfn.NORM.DIST(AY$30,$CU17,0.3*$CU17,TRUE))+$CS17*(_xlfn.NORM.DIST(AY$3,$CV17,0.3*$CV17,TRUE)-_xlfn.NORM.DIST(AY$30,$CV17,0.3*$CV17,TRUE))),""),IF($C17&gt;0,summary!$C$10/28.8/0.947817,""))</f>
        <v/>
      </c>
      <c r="AZ46">
        <f t="array" ref="AZ46">IF($D17,IFERROR((SUMPRODUCT((economics!$AG$2:$AG$167=$B46)*(economics!$D$2:$D$167="whr")*economics!$AH$2:$AH$167*(_xlfn.NORM.DIST(AZ$3,economics!$AK$2:$AK$167,economics!$AJ$2:$AJ$167,TRUE)-_xlfn.NORM.DIST(AZ$30,economics!$AK$2:$AK$167,economics!$AJ$2:$AJ$167,TRUE))*economics!$AM$2:$AM$167)+$CR17*(_xlfn.NORM.DIST(AZ$3,$CU17,0.3*$CU17,TRUE)-_xlfn.NORM.DIST(AZ$30,$CU17,0.3*$CU17,TRUE))*summary!$C$7/28.8/0.947817+$CS17*(_xlfn.NORM.DIST(AZ$3,$CV17,0.3*$CV17,TRUE)-_xlfn.NORM.DIST(AZ$30,$CV17,0.3*$CV17,TRUE))*summary!$C$6/28.8/0.947817)/(SUMPRODUCT((economics!$AG$2:$AG$167=$B46)*(economics!$D$2:$D$167="whr")*economics!$AH$2:$AH$167*(_xlfn.NORM.DIST(AZ$3,economics!$AK$2:$AK$167,economics!$AJ$2:$AJ$167,TRUE)-_xlfn.NORM.DIST(AZ$30,economics!$AK$2:$AK$167,economics!$AJ$2:$AJ$167,TRUE)))+$CR17*(_xlfn.NORM.DIST(AZ$3,$CU17,0.3*$CU17,TRUE)-_xlfn.NORM.DIST(AZ$30,$CU17,0.3*$CU17,TRUE))+$CS17*(_xlfn.NORM.DIST(AZ$3,$CV17,0.3*$CV17,TRUE)-_xlfn.NORM.DIST(AZ$30,$CV17,0.3*$CV17,TRUE))),""),IF($C17&gt;0,summary!$C$10/28.8/0.947817,""))</f>
        <v/>
      </c>
      <c r="BA46">
        <f t="array" ref="BA46">IF($D17,IFERROR((SUMPRODUCT((economics!$AG$2:$AG$167=$B46)*(economics!$D$2:$D$167="whr")*economics!$AH$2:$AH$167*(_xlfn.NORM.DIST(BA$3,economics!$AK$2:$AK$167,economics!$AJ$2:$AJ$167,TRUE)-_xlfn.NORM.DIST(BA$30,economics!$AK$2:$AK$167,economics!$AJ$2:$AJ$167,TRUE))*economics!$AM$2:$AM$167)+$CR17*(_xlfn.NORM.DIST(BA$3,$CU17,0.3*$CU17,TRUE)-_xlfn.NORM.DIST(BA$30,$CU17,0.3*$CU17,TRUE))*summary!$C$7/28.8/0.947817+$CS17*(_xlfn.NORM.DIST(BA$3,$CV17,0.3*$CV17,TRUE)-_xlfn.NORM.DIST(BA$30,$CV17,0.3*$CV17,TRUE))*summary!$C$6/28.8/0.947817)/(SUMPRODUCT((economics!$AG$2:$AG$167=$B46)*(economics!$D$2:$D$167="whr")*economics!$AH$2:$AH$167*(_xlfn.NORM.DIST(BA$3,economics!$AK$2:$AK$167,economics!$AJ$2:$AJ$167,TRUE)-_xlfn.NORM.DIST(BA$30,economics!$AK$2:$AK$167,economics!$AJ$2:$AJ$167,TRUE)))+$CR17*(_xlfn.NORM.DIST(BA$3,$CU17,0.3*$CU17,TRUE)-_xlfn.NORM.DIST(BA$30,$CU17,0.3*$CU17,TRUE))+$CS17*(_xlfn.NORM.DIST(BA$3,$CV17,0.3*$CV17,TRUE)-_xlfn.NORM.DIST(BA$30,$CV17,0.3*$CV17,TRUE))),""),IF($C17&gt;0,summary!$C$10/28.8/0.947817,""))</f>
        <v/>
      </c>
      <c r="BB46">
        <f t="array" ref="BB46">IF($D17,IFERROR((SUMPRODUCT((economics!$AG$2:$AG$167=$B46)*(economics!$D$2:$D$167="whr")*economics!$AH$2:$AH$167*(_xlfn.NORM.DIST(BB$3,economics!$AK$2:$AK$167,economics!$AJ$2:$AJ$167,TRUE)-_xlfn.NORM.DIST(BB$30,economics!$AK$2:$AK$167,economics!$AJ$2:$AJ$167,TRUE))*economics!$AM$2:$AM$167)+$CR17*(_xlfn.NORM.DIST(BB$3,$CU17,0.3*$CU17,TRUE)-_xlfn.NORM.DIST(BB$30,$CU17,0.3*$CU17,TRUE))*summary!$C$7/28.8/0.947817+$CS17*(_xlfn.NORM.DIST(BB$3,$CV17,0.3*$CV17,TRUE)-_xlfn.NORM.DIST(BB$30,$CV17,0.3*$CV17,TRUE))*summary!$C$6/28.8/0.947817)/(SUMPRODUCT((economics!$AG$2:$AG$167=$B46)*(economics!$D$2:$D$167="whr")*economics!$AH$2:$AH$167*(_xlfn.NORM.DIST(BB$3,economics!$AK$2:$AK$167,economics!$AJ$2:$AJ$167,TRUE)-_xlfn.NORM.DIST(BB$30,economics!$AK$2:$AK$167,economics!$AJ$2:$AJ$167,TRUE)))+$CR17*(_xlfn.NORM.DIST(BB$3,$CU17,0.3*$CU17,TRUE)-_xlfn.NORM.DIST(BB$30,$CU17,0.3*$CU17,TRUE))+$CS17*(_xlfn.NORM.DIST(BB$3,$CV17,0.3*$CV17,TRUE)-_xlfn.NORM.DIST(BB$30,$CV17,0.3*$CV17,TRUE))),""),IF($C17&gt;0,summary!$C$10/28.8/0.947817,""))</f>
        <v/>
      </c>
      <c r="BC46">
        <f t="array" ref="BC46">IF($D17,IFERROR((SUMPRODUCT((economics!$AG$2:$AG$167=$B46)*(economics!$D$2:$D$167="whr")*economics!$AH$2:$AH$167*(_xlfn.NORM.DIST(BC$3,economics!$AK$2:$AK$167,economics!$AJ$2:$AJ$167,TRUE)-_xlfn.NORM.DIST(BC$30,economics!$AK$2:$AK$167,economics!$AJ$2:$AJ$167,TRUE))*economics!$AM$2:$AM$167)+$CR17*(_xlfn.NORM.DIST(BC$3,$CU17,0.3*$CU17,TRUE)-_xlfn.NORM.DIST(BC$30,$CU17,0.3*$CU17,TRUE))*summary!$C$7/28.8/0.947817+$CS17*(_xlfn.NORM.DIST(BC$3,$CV17,0.3*$CV17,TRUE)-_xlfn.NORM.DIST(BC$30,$CV17,0.3*$CV17,TRUE))*summary!$C$6/28.8/0.947817)/(SUMPRODUCT((economics!$AG$2:$AG$167=$B46)*(economics!$D$2:$D$167="whr")*economics!$AH$2:$AH$167*(_xlfn.NORM.DIST(BC$3,economics!$AK$2:$AK$167,economics!$AJ$2:$AJ$167,TRUE)-_xlfn.NORM.DIST(BC$30,economics!$AK$2:$AK$167,economics!$AJ$2:$AJ$167,TRUE)))+$CR17*(_xlfn.NORM.DIST(BC$3,$CU17,0.3*$CU17,TRUE)-_xlfn.NORM.DIST(BC$30,$CU17,0.3*$CU17,TRUE))+$CS17*(_xlfn.NORM.DIST(BC$3,$CV17,0.3*$CV17,TRUE)-_xlfn.NORM.DIST(BC$30,$CV17,0.3*$CV17,TRUE))),""),IF($C17&gt;0,summary!$C$10/28.8/0.947817,""))</f>
        <v/>
      </c>
      <c r="BD46">
        <f t="array" ref="BD46">IF($D17,IFERROR((SUMPRODUCT((economics!$AG$2:$AG$167=$B46)*(economics!$D$2:$D$167="whr")*economics!$AH$2:$AH$167*(_xlfn.NORM.DIST(BD$3,economics!$AK$2:$AK$167,economics!$AJ$2:$AJ$167,TRUE)-_xlfn.NORM.DIST(BD$30,economics!$AK$2:$AK$167,economics!$AJ$2:$AJ$167,TRUE))*economics!$AM$2:$AM$167)+$CR17*(_xlfn.NORM.DIST(BD$3,$CU17,0.3*$CU17,TRUE)-_xlfn.NORM.DIST(BD$30,$CU17,0.3*$CU17,TRUE))*summary!$C$7/28.8/0.947817+$CS17*(_xlfn.NORM.DIST(BD$3,$CV17,0.3*$CV17,TRUE)-_xlfn.NORM.DIST(BD$30,$CV17,0.3*$CV17,TRUE))*summary!$C$6/28.8/0.947817)/(SUMPRODUCT((economics!$AG$2:$AG$167=$B46)*(economics!$D$2:$D$167="whr")*economics!$AH$2:$AH$167*(_xlfn.NORM.DIST(BD$3,economics!$AK$2:$AK$167,economics!$AJ$2:$AJ$167,TRUE)-_xlfn.NORM.DIST(BD$30,economics!$AK$2:$AK$167,economics!$AJ$2:$AJ$167,TRUE)))+$CR17*(_xlfn.NORM.DIST(BD$3,$CU17,0.3*$CU17,TRUE)-_xlfn.NORM.DIST(BD$30,$CU17,0.3*$CU17,TRUE))+$CS17*(_xlfn.NORM.DIST(BD$3,$CV17,0.3*$CV17,TRUE)-_xlfn.NORM.DIST(BD$30,$CV17,0.3*$CV17,TRUE))),""),IF($C17&gt;0,summary!$C$10/28.8/0.947817,""))</f>
        <v/>
      </c>
      <c r="BE46">
        <f t="array" ref="BE46">IF($D17,IFERROR((SUMPRODUCT((economics!$AG$2:$AG$167=$B46)*(economics!$D$2:$D$167="whr")*economics!$AH$2:$AH$167*(_xlfn.NORM.DIST(BE$3,economics!$AK$2:$AK$167,economics!$AJ$2:$AJ$167,TRUE)-_xlfn.NORM.DIST(BE$30,economics!$AK$2:$AK$167,economics!$AJ$2:$AJ$167,TRUE))*economics!$AM$2:$AM$167)+$CR17*(_xlfn.NORM.DIST(BE$3,$CU17,0.3*$CU17,TRUE)-_xlfn.NORM.DIST(BE$30,$CU17,0.3*$CU17,TRUE))*summary!$C$7/28.8/0.947817+$CS17*(_xlfn.NORM.DIST(BE$3,$CV17,0.3*$CV17,TRUE)-_xlfn.NORM.DIST(BE$30,$CV17,0.3*$CV17,TRUE))*summary!$C$6/28.8/0.947817)/(SUMPRODUCT((economics!$AG$2:$AG$167=$B46)*(economics!$D$2:$D$167="whr")*economics!$AH$2:$AH$167*(_xlfn.NORM.DIST(BE$3,economics!$AK$2:$AK$167,economics!$AJ$2:$AJ$167,TRUE)-_xlfn.NORM.DIST(BE$30,economics!$AK$2:$AK$167,economics!$AJ$2:$AJ$167,TRUE)))+$CR17*(_xlfn.NORM.DIST(BE$3,$CU17,0.3*$CU17,TRUE)-_xlfn.NORM.DIST(BE$30,$CU17,0.3*$CU17,TRUE))+$CS17*(_xlfn.NORM.DIST(BE$3,$CV17,0.3*$CV17,TRUE)-_xlfn.NORM.DIST(BE$30,$CV17,0.3*$CV17,TRUE))),""),IF($C17&gt;0,summary!$C$10/28.8/0.947817,""))</f>
        <v/>
      </c>
      <c r="BF46">
        <f t="array" ref="BF46">IF($D17,IFERROR((SUMPRODUCT((economics!$AG$2:$AG$167=$B46)*(economics!$D$2:$D$167="whr")*economics!$AH$2:$AH$167*(_xlfn.NORM.DIST(BF$3,economics!$AK$2:$AK$167,economics!$AJ$2:$AJ$167,TRUE)-_xlfn.NORM.DIST(BF$30,economics!$AK$2:$AK$167,economics!$AJ$2:$AJ$167,TRUE))*economics!$AM$2:$AM$167)+$CR17*(_xlfn.NORM.DIST(BF$3,$CU17,0.3*$CU17,TRUE)-_xlfn.NORM.DIST(BF$30,$CU17,0.3*$CU17,TRUE))*summary!$C$7/28.8/0.947817+$CS17*(_xlfn.NORM.DIST(BF$3,$CV17,0.3*$CV17,TRUE)-_xlfn.NORM.DIST(BF$30,$CV17,0.3*$CV17,TRUE))*summary!$C$6/28.8/0.947817)/(SUMPRODUCT((economics!$AG$2:$AG$167=$B46)*(economics!$D$2:$D$167="whr")*economics!$AH$2:$AH$167*(_xlfn.NORM.DIST(BF$3,economics!$AK$2:$AK$167,economics!$AJ$2:$AJ$167,TRUE)-_xlfn.NORM.DIST(BF$30,economics!$AK$2:$AK$167,economics!$AJ$2:$AJ$167,TRUE)))+$CR17*(_xlfn.NORM.DIST(BF$3,$CU17,0.3*$CU17,TRUE)-_xlfn.NORM.DIST(BF$30,$CU17,0.3*$CU17,TRUE))+$CS17*(_xlfn.NORM.DIST(BF$3,$CV17,0.3*$CV17,TRUE)-_xlfn.NORM.DIST(BF$30,$CV17,0.3*$CV17,TRUE))),""),IF($C17&gt;0,summary!$C$10/28.8/0.947817,""))</f>
        <v/>
      </c>
      <c r="BG46">
        <f t="array" ref="BG46">IF($D17,IFERROR((SUMPRODUCT((economics!$AG$2:$AG$167=$B46)*(economics!$D$2:$D$167="whr")*economics!$AH$2:$AH$167*(_xlfn.NORM.DIST(BG$3,economics!$AK$2:$AK$167,economics!$AJ$2:$AJ$167,TRUE)-_xlfn.NORM.DIST(BG$30,economics!$AK$2:$AK$167,economics!$AJ$2:$AJ$167,TRUE))*economics!$AM$2:$AM$167)+$CR17*(_xlfn.NORM.DIST(BG$3,$CU17,0.3*$CU17,TRUE)-_xlfn.NORM.DIST(BG$30,$CU17,0.3*$CU17,TRUE))*summary!$C$7/28.8/0.947817+$CS17*(_xlfn.NORM.DIST(BG$3,$CV17,0.3*$CV17,TRUE)-_xlfn.NORM.DIST(BG$30,$CV17,0.3*$CV17,TRUE))*summary!$C$6/28.8/0.947817)/(SUMPRODUCT((economics!$AG$2:$AG$167=$B46)*(economics!$D$2:$D$167="whr")*economics!$AH$2:$AH$167*(_xlfn.NORM.DIST(BG$3,economics!$AK$2:$AK$167,economics!$AJ$2:$AJ$167,TRUE)-_xlfn.NORM.DIST(BG$30,economics!$AK$2:$AK$167,economics!$AJ$2:$AJ$167,TRUE)))+$CR17*(_xlfn.NORM.DIST(BG$3,$CU17,0.3*$CU17,TRUE)-_xlfn.NORM.DIST(BG$30,$CU17,0.3*$CU17,TRUE))+$CS17*(_xlfn.NORM.DIST(BG$3,$CV17,0.3*$CV17,TRUE)-_xlfn.NORM.DIST(BG$30,$CV17,0.3*$CV17,TRUE))),""),IF($C17&gt;0,summary!$C$10/28.8/0.947817,""))</f>
        <v/>
      </c>
      <c r="BH46">
        <f t="array" ref="BH46">IF($D17,IFERROR((SUMPRODUCT((economics!$AG$2:$AG$167=$B46)*(economics!$D$2:$D$167="whr")*economics!$AH$2:$AH$167*(_xlfn.NORM.DIST(BH$3,economics!$AK$2:$AK$167,economics!$AJ$2:$AJ$167,TRUE)-_xlfn.NORM.DIST(BH$30,economics!$AK$2:$AK$167,economics!$AJ$2:$AJ$167,TRUE))*economics!$AM$2:$AM$167)+$CR17*(_xlfn.NORM.DIST(BH$3,$CU17,0.3*$CU17,TRUE)-_xlfn.NORM.DIST(BH$30,$CU17,0.3*$CU17,TRUE))*summary!$C$7/28.8/0.947817+$CS17*(_xlfn.NORM.DIST(BH$3,$CV17,0.3*$CV17,TRUE)-_xlfn.NORM.DIST(BH$30,$CV17,0.3*$CV17,TRUE))*summary!$C$6/28.8/0.947817)/(SUMPRODUCT((economics!$AG$2:$AG$167=$B46)*(economics!$D$2:$D$167="whr")*economics!$AH$2:$AH$167*(_xlfn.NORM.DIST(BH$3,economics!$AK$2:$AK$167,economics!$AJ$2:$AJ$167,TRUE)-_xlfn.NORM.DIST(BH$30,economics!$AK$2:$AK$167,economics!$AJ$2:$AJ$167,TRUE)))+$CR17*(_xlfn.NORM.DIST(BH$3,$CU17,0.3*$CU17,TRUE)-_xlfn.NORM.DIST(BH$30,$CU17,0.3*$CU17,TRUE))+$CS17*(_xlfn.NORM.DIST(BH$3,$CV17,0.3*$CV17,TRUE)-_xlfn.NORM.DIST(BH$30,$CV17,0.3*$CV17,TRUE))),""),IF($C17&gt;0,summary!$C$10/28.8/0.947817,""))</f>
        <v/>
      </c>
      <c r="BI46">
        <f t="array" ref="BI46">IF($D17,IFERROR((SUMPRODUCT((economics!$AG$2:$AG$167=$B46)*(economics!$D$2:$D$167="whr")*economics!$AH$2:$AH$167*(_xlfn.NORM.DIST(BI$3,economics!$AK$2:$AK$167,economics!$AJ$2:$AJ$167,TRUE)-_xlfn.NORM.DIST(BI$30,economics!$AK$2:$AK$167,economics!$AJ$2:$AJ$167,TRUE))*economics!$AM$2:$AM$167)+$CR17*(_xlfn.NORM.DIST(BI$3,$CU17,0.3*$CU17,TRUE)-_xlfn.NORM.DIST(BI$30,$CU17,0.3*$CU17,TRUE))*summary!$C$7/28.8/0.947817+$CS17*(_xlfn.NORM.DIST(BI$3,$CV17,0.3*$CV17,TRUE)-_xlfn.NORM.DIST(BI$30,$CV17,0.3*$CV17,TRUE))*summary!$C$6/28.8/0.947817)/(SUMPRODUCT((economics!$AG$2:$AG$167=$B46)*(economics!$D$2:$D$167="whr")*economics!$AH$2:$AH$167*(_xlfn.NORM.DIST(BI$3,economics!$AK$2:$AK$167,economics!$AJ$2:$AJ$167,TRUE)-_xlfn.NORM.DIST(BI$30,economics!$AK$2:$AK$167,economics!$AJ$2:$AJ$167,TRUE)))+$CR17*(_xlfn.NORM.DIST(BI$3,$CU17,0.3*$CU17,TRUE)-_xlfn.NORM.DIST(BI$30,$CU17,0.3*$CU17,TRUE))+$CS17*(_xlfn.NORM.DIST(BI$3,$CV17,0.3*$CV17,TRUE)-_xlfn.NORM.DIST(BI$30,$CV17,0.3*$CV17,TRUE))),""),IF($C17&gt;0,summary!$C$10/28.8/0.947817,""))</f>
        <v/>
      </c>
      <c r="BJ46">
        <f t="array" ref="BJ46">IF($D17,IFERROR((SUMPRODUCT((economics!$AG$2:$AG$167=$B46)*(economics!$D$2:$D$167="whr")*economics!$AH$2:$AH$167*(_xlfn.NORM.DIST(BJ$3,economics!$AK$2:$AK$167,economics!$AJ$2:$AJ$167,TRUE)-_xlfn.NORM.DIST(BJ$30,economics!$AK$2:$AK$167,economics!$AJ$2:$AJ$167,TRUE))*economics!$AM$2:$AM$167)+$CR17*(_xlfn.NORM.DIST(BJ$3,$CU17,0.3*$CU17,TRUE)-_xlfn.NORM.DIST(BJ$30,$CU17,0.3*$CU17,TRUE))*summary!$C$7/28.8/0.947817+$CS17*(_xlfn.NORM.DIST(BJ$3,$CV17,0.3*$CV17,TRUE)-_xlfn.NORM.DIST(BJ$30,$CV17,0.3*$CV17,TRUE))*summary!$C$6/28.8/0.947817)/(SUMPRODUCT((economics!$AG$2:$AG$167=$B46)*(economics!$D$2:$D$167="whr")*economics!$AH$2:$AH$167*(_xlfn.NORM.DIST(BJ$3,economics!$AK$2:$AK$167,economics!$AJ$2:$AJ$167,TRUE)-_xlfn.NORM.DIST(BJ$30,economics!$AK$2:$AK$167,economics!$AJ$2:$AJ$167,TRUE)))+$CR17*(_xlfn.NORM.DIST(BJ$3,$CU17,0.3*$CU17,TRUE)-_xlfn.NORM.DIST(BJ$30,$CU17,0.3*$CU17,TRUE))+$CS17*(_xlfn.NORM.DIST(BJ$3,$CV17,0.3*$CV17,TRUE)-_xlfn.NORM.DIST(BJ$30,$CV17,0.3*$CV17,TRUE))),""),IF($C17&gt;0,summary!$C$10/28.8/0.947817,""))</f>
        <v/>
      </c>
      <c r="BK46">
        <f t="array" ref="BK46">IF($D17,IFERROR((SUMPRODUCT((economics!$AG$2:$AG$167=$B46)*(economics!$D$2:$D$167="whr")*economics!$AH$2:$AH$167*(_xlfn.NORM.DIST(BK$3,economics!$AK$2:$AK$167,economics!$AJ$2:$AJ$167,TRUE)-_xlfn.NORM.DIST(BK$30,economics!$AK$2:$AK$167,economics!$AJ$2:$AJ$167,TRUE))*economics!$AM$2:$AM$167)+$CR17*(_xlfn.NORM.DIST(BK$3,$CU17,0.3*$CU17,TRUE)-_xlfn.NORM.DIST(BK$30,$CU17,0.3*$CU17,TRUE))*summary!$C$7/28.8/0.947817+$CS17*(_xlfn.NORM.DIST(BK$3,$CV17,0.3*$CV17,TRUE)-_xlfn.NORM.DIST(BK$30,$CV17,0.3*$CV17,TRUE))*summary!$C$6/28.8/0.947817)/(SUMPRODUCT((economics!$AG$2:$AG$167=$B46)*(economics!$D$2:$D$167="whr")*economics!$AH$2:$AH$167*(_xlfn.NORM.DIST(BK$3,economics!$AK$2:$AK$167,economics!$AJ$2:$AJ$167,TRUE)-_xlfn.NORM.DIST(BK$30,economics!$AK$2:$AK$167,economics!$AJ$2:$AJ$167,TRUE)))+$CR17*(_xlfn.NORM.DIST(BK$3,$CU17,0.3*$CU17,TRUE)-_xlfn.NORM.DIST(BK$30,$CU17,0.3*$CU17,TRUE))+$CS17*(_xlfn.NORM.DIST(BK$3,$CV17,0.3*$CV17,TRUE)-_xlfn.NORM.DIST(BK$30,$CV17,0.3*$CV17,TRUE))),""),IF($C17&gt;0,summary!$C$10/28.8/0.947817,""))</f>
        <v/>
      </c>
      <c r="BL46">
        <f t="array" ref="BL46">IF($D17,IFERROR((SUMPRODUCT((economics!$AG$2:$AG$167=$B46)*(economics!$D$2:$D$167="whr")*economics!$AH$2:$AH$167*(_xlfn.NORM.DIST(BL$3,economics!$AK$2:$AK$167,economics!$AJ$2:$AJ$167,TRUE)-_xlfn.NORM.DIST(BL$30,economics!$AK$2:$AK$167,economics!$AJ$2:$AJ$167,TRUE))*economics!$AM$2:$AM$167)+$CR17*(_xlfn.NORM.DIST(BL$3,$CU17,0.3*$CU17,TRUE)-_xlfn.NORM.DIST(BL$30,$CU17,0.3*$CU17,TRUE))*summary!$C$7/28.8/0.947817+$CS17*(_xlfn.NORM.DIST(BL$3,$CV17,0.3*$CV17,TRUE)-_xlfn.NORM.DIST(BL$30,$CV17,0.3*$CV17,TRUE))*summary!$C$6/28.8/0.947817)/(SUMPRODUCT((economics!$AG$2:$AG$167=$B46)*(economics!$D$2:$D$167="whr")*economics!$AH$2:$AH$167*(_xlfn.NORM.DIST(BL$3,economics!$AK$2:$AK$167,economics!$AJ$2:$AJ$167,TRUE)-_xlfn.NORM.DIST(BL$30,economics!$AK$2:$AK$167,economics!$AJ$2:$AJ$167,TRUE)))+$CR17*(_xlfn.NORM.DIST(BL$3,$CU17,0.3*$CU17,TRUE)-_xlfn.NORM.DIST(BL$30,$CU17,0.3*$CU17,TRUE))+$CS17*(_xlfn.NORM.DIST(BL$3,$CV17,0.3*$CV17,TRUE)-_xlfn.NORM.DIST(BL$30,$CV17,0.3*$CV17,TRUE))),""),IF($C17&gt;0,summary!$C$10/28.8/0.947817,""))</f>
        <v/>
      </c>
      <c r="BM46">
        <f t="array" ref="BM46">IF($D17,IFERROR((SUMPRODUCT((economics!$AG$2:$AG$167=$B46)*(economics!$D$2:$D$167="whr")*economics!$AH$2:$AH$167*(_xlfn.NORM.DIST(BM$3,economics!$AK$2:$AK$167,economics!$AJ$2:$AJ$167,TRUE)-_xlfn.NORM.DIST(BM$30,economics!$AK$2:$AK$167,economics!$AJ$2:$AJ$167,TRUE))*economics!$AM$2:$AM$167)+$CR17*(_xlfn.NORM.DIST(BM$3,$CU17,0.3*$CU17,TRUE)-_xlfn.NORM.DIST(BM$30,$CU17,0.3*$CU17,TRUE))*summary!$C$7/28.8/0.947817+$CS17*(_xlfn.NORM.DIST(BM$3,$CV17,0.3*$CV17,TRUE)-_xlfn.NORM.DIST(BM$30,$CV17,0.3*$CV17,TRUE))*summary!$C$6/28.8/0.947817)/(SUMPRODUCT((economics!$AG$2:$AG$167=$B46)*(economics!$D$2:$D$167="whr")*economics!$AH$2:$AH$167*(_xlfn.NORM.DIST(BM$3,economics!$AK$2:$AK$167,economics!$AJ$2:$AJ$167,TRUE)-_xlfn.NORM.DIST(BM$30,economics!$AK$2:$AK$167,economics!$AJ$2:$AJ$167,TRUE)))+$CR17*(_xlfn.NORM.DIST(BM$3,$CU17,0.3*$CU17,TRUE)-_xlfn.NORM.DIST(BM$30,$CU17,0.3*$CU17,TRUE))+$CS17*(_xlfn.NORM.DIST(BM$3,$CV17,0.3*$CV17,TRUE)-_xlfn.NORM.DIST(BM$30,$CV17,0.3*$CV17,TRUE))),""),IF($C17&gt;0,summary!$C$10/28.8/0.947817,""))</f>
        <v/>
      </c>
      <c r="BN46">
        <f t="array" ref="BN46">IF($D17,IFERROR((SUMPRODUCT((economics!$AG$2:$AG$167=$B46)*(economics!$D$2:$D$167="whr")*economics!$AH$2:$AH$167*(_xlfn.NORM.DIST(BN$3,economics!$AK$2:$AK$167,economics!$AJ$2:$AJ$167,TRUE)-_xlfn.NORM.DIST(BN$30,economics!$AK$2:$AK$167,economics!$AJ$2:$AJ$167,TRUE))*economics!$AM$2:$AM$167)+$CR17*(_xlfn.NORM.DIST(BN$3,$CU17,0.3*$CU17,TRUE)-_xlfn.NORM.DIST(BN$30,$CU17,0.3*$CU17,TRUE))*summary!$C$7/28.8/0.947817+$CS17*(_xlfn.NORM.DIST(BN$3,$CV17,0.3*$CV17,TRUE)-_xlfn.NORM.DIST(BN$30,$CV17,0.3*$CV17,TRUE))*summary!$C$6/28.8/0.947817)/(SUMPRODUCT((economics!$AG$2:$AG$167=$B46)*(economics!$D$2:$D$167="whr")*economics!$AH$2:$AH$167*(_xlfn.NORM.DIST(BN$3,economics!$AK$2:$AK$167,economics!$AJ$2:$AJ$167,TRUE)-_xlfn.NORM.DIST(BN$30,economics!$AK$2:$AK$167,economics!$AJ$2:$AJ$167,TRUE)))+$CR17*(_xlfn.NORM.DIST(BN$3,$CU17,0.3*$CU17,TRUE)-_xlfn.NORM.DIST(BN$30,$CU17,0.3*$CU17,TRUE))+$CS17*(_xlfn.NORM.DIST(BN$3,$CV17,0.3*$CV17,TRUE)-_xlfn.NORM.DIST(BN$30,$CV17,0.3*$CV17,TRUE))),""),IF($C17&gt;0,summary!$C$10/28.8/0.947817,""))</f>
        <v/>
      </c>
      <c r="BO46">
        <f t="array" ref="BO46">IF($D17,IFERROR((SUMPRODUCT((economics!$AG$2:$AG$167=$B46)*(economics!$D$2:$D$167="whr")*economics!$AH$2:$AH$167*(_xlfn.NORM.DIST(BO$3,economics!$AK$2:$AK$167,economics!$AJ$2:$AJ$167,TRUE)-_xlfn.NORM.DIST(BO$30,economics!$AK$2:$AK$167,economics!$AJ$2:$AJ$167,TRUE))*economics!$AM$2:$AM$167)+$CR17*(_xlfn.NORM.DIST(BO$3,$CU17,0.3*$CU17,TRUE)-_xlfn.NORM.DIST(BO$30,$CU17,0.3*$CU17,TRUE))*summary!$C$7/28.8/0.947817+$CS17*(_xlfn.NORM.DIST(BO$3,$CV17,0.3*$CV17,TRUE)-_xlfn.NORM.DIST(BO$30,$CV17,0.3*$CV17,TRUE))*summary!$C$6/28.8/0.947817)/(SUMPRODUCT((economics!$AG$2:$AG$167=$B46)*(economics!$D$2:$D$167="whr")*economics!$AH$2:$AH$167*(_xlfn.NORM.DIST(BO$3,economics!$AK$2:$AK$167,economics!$AJ$2:$AJ$167,TRUE)-_xlfn.NORM.DIST(BO$30,economics!$AK$2:$AK$167,economics!$AJ$2:$AJ$167,TRUE)))+$CR17*(_xlfn.NORM.DIST(BO$3,$CU17,0.3*$CU17,TRUE)-_xlfn.NORM.DIST(BO$30,$CU17,0.3*$CU17,TRUE))+$CS17*(_xlfn.NORM.DIST(BO$3,$CV17,0.3*$CV17,TRUE)-_xlfn.NORM.DIST(BO$30,$CV17,0.3*$CV17,TRUE))),""),IF($C17&gt;0,summary!$C$10/28.8/0.947817,""))</f>
        <v/>
      </c>
      <c r="BP46">
        <f t="array" ref="BP46">IF($D17,IFERROR((SUMPRODUCT((economics!$AG$2:$AG$167=$B46)*(economics!$D$2:$D$167="whr")*economics!$AH$2:$AH$167*(_xlfn.NORM.DIST(BP$3,economics!$AK$2:$AK$167,economics!$AJ$2:$AJ$167,TRUE)-_xlfn.NORM.DIST(BP$30,economics!$AK$2:$AK$167,economics!$AJ$2:$AJ$167,TRUE))*economics!$AM$2:$AM$167)+$CR17*(_xlfn.NORM.DIST(BP$3,$CU17,0.3*$CU17,TRUE)-_xlfn.NORM.DIST(BP$30,$CU17,0.3*$CU17,TRUE))*summary!$C$7/28.8/0.947817+$CS17*(_xlfn.NORM.DIST(BP$3,$CV17,0.3*$CV17,TRUE)-_xlfn.NORM.DIST(BP$30,$CV17,0.3*$CV17,TRUE))*summary!$C$6/28.8/0.947817)/(SUMPRODUCT((economics!$AG$2:$AG$167=$B46)*(economics!$D$2:$D$167="whr")*economics!$AH$2:$AH$167*(_xlfn.NORM.DIST(BP$3,economics!$AK$2:$AK$167,economics!$AJ$2:$AJ$167,TRUE)-_xlfn.NORM.DIST(BP$30,economics!$AK$2:$AK$167,economics!$AJ$2:$AJ$167,TRUE)))+$CR17*(_xlfn.NORM.DIST(BP$3,$CU17,0.3*$CU17,TRUE)-_xlfn.NORM.DIST(BP$30,$CU17,0.3*$CU17,TRUE))+$CS17*(_xlfn.NORM.DIST(BP$3,$CV17,0.3*$CV17,TRUE)-_xlfn.NORM.DIST(BP$30,$CV17,0.3*$CV17,TRUE))),""),IF($C17&gt;0,summary!$C$10/28.8/0.947817,""))</f>
        <v/>
      </c>
      <c r="BQ46">
        <f t="array" ref="BQ46">IF($D17,IFERROR((SUMPRODUCT((economics!$AG$2:$AG$167=$B46)*(economics!$D$2:$D$167="whr")*economics!$AH$2:$AH$167*(_xlfn.NORM.DIST(BQ$3,economics!$AK$2:$AK$167,economics!$AJ$2:$AJ$167,TRUE)-_xlfn.NORM.DIST(BQ$30,economics!$AK$2:$AK$167,economics!$AJ$2:$AJ$167,TRUE))*economics!$AM$2:$AM$167)+$CR17*(_xlfn.NORM.DIST(BQ$3,$CU17,0.3*$CU17,TRUE)-_xlfn.NORM.DIST(BQ$30,$CU17,0.3*$CU17,TRUE))*summary!$C$7/28.8/0.947817+$CS17*(_xlfn.NORM.DIST(BQ$3,$CV17,0.3*$CV17,TRUE)-_xlfn.NORM.DIST(BQ$30,$CV17,0.3*$CV17,TRUE))*summary!$C$6/28.8/0.947817)/(SUMPRODUCT((economics!$AG$2:$AG$167=$B46)*(economics!$D$2:$D$167="whr")*economics!$AH$2:$AH$167*(_xlfn.NORM.DIST(BQ$3,economics!$AK$2:$AK$167,economics!$AJ$2:$AJ$167,TRUE)-_xlfn.NORM.DIST(BQ$30,economics!$AK$2:$AK$167,economics!$AJ$2:$AJ$167,TRUE)))+$CR17*(_xlfn.NORM.DIST(BQ$3,$CU17,0.3*$CU17,TRUE)-_xlfn.NORM.DIST(BQ$30,$CU17,0.3*$CU17,TRUE))+$CS17*(_xlfn.NORM.DIST(BQ$3,$CV17,0.3*$CV17,TRUE)-_xlfn.NORM.DIST(BQ$30,$CV17,0.3*$CV17,TRUE))),""),IF($C17&gt;0,summary!$C$10/28.8/0.947817,""))</f>
        <v/>
      </c>
      <c r="BR46">
        <f t="array" ref="BR46">IF($D17,IFERROR((SUMPRODUCT((economics!$AG$2:$AG$167=$B46)*(economics!$D$2:$D$167="whr")*economics!$AH$2:$AH$167*(_xlfn.NORM.DIST(BR$3,economics!$AK$2:$AK$167,economics!$AJ$2:$AJ$167,TRUE)-_xlfn.NORM.DIST(BR$30,economics!$AK$2:$AK$167,economics!$AJ$2:$AJ$167,TRUE))*economics!$AM$2:$AM$167)+$CR17*(_xlfn.NORM.DIST(BR$3,$CU17,0.3*$CU17,TRUE)-_xlfn.NORM.DIST(BR$30,$CU17,0.3*$CU17,TRUE))*summary!$C$7/28.8/0.947817+$CS17*(_xlfn.NORM.DIST(BR$3,$CV17,0.3*$CV17,TRUE)-_xlfn.NORM.DIST(BR$30,$CV17,0.3*$CV17,TRUE))*summary!$C$6/28.8/0.947817)/(SUMPRODUCT((economics!$AG$2:$AG$167=$B46)*(economics!$D$2:$D$167="whr")*economics!$AH$2:$AH$167*(_xlfn.NORM.DIST(BR$3,economics!$AK$2:$AK$167,economics!$AJ$2:$AJ$167,TRUE)-_xlfn.NORM.DIST(BR$30,economics!$AK$2:$AK$167,economics!$AJ$2:$AJ$167,TRUE)))+$CR17*(_xlfn.NORM.DIST(BR$3,$CU17,0.3*$CU17,TRUE)-_xlfn.NORM.DIST(BR$30,$CU17,0.3*$CU17,TRUE))+$CS17*(_xlfn.NORM.DIST(BR$3,$CV17,0.3*$CV17,TRUE)-_xlfn.NORM.DIST(BR$30,$CV17,0.3*$CV17,TRUE))),""),IF($C17&gt;0,summary!$C$10/28.8/0.947817,""))</f>
        <v/>
      </c>
      <c r="BS46">
        <f t="array" ref="BS46">IF($D17,IFERROR((SUMPRODUCT((economics!$AG$2:$AG$167=$B46)*(economics!$D$2:$D$167="whr")*economics!$AH$2:$AH$167*(_xlfn.NORM.DIST(BS$3,economics!$AK$2:$AK$167,economics!$AJ$2:$AJ$167,TRUE)-_xlfn.NORM.DIST(BS$30,economics!$AK$2:$AK$167,economics!$AJ$2:$AJ$167,TRUE))*economics!$AM$2:$AM$167)+$CR17*(_xlfn.NORM.DIST(BS$3,$CU17,0.3*$CU17,TRUE)-_xlfn.NORM.DIST(BS$30,$CU17,0.3*$CU17,TRUE))*summary!$C$7/28.8/0.947817+$CS17*(_xlfn.NORM.DIST(BS$3,$CV17,0.3*$CV17,TRUE)-_xlfn.NORM.DIST(BS$30,$CV17,0.3*$CV17,TRUE))*summary!$C$6/28.8/0.947817)/(SUMPRODUCT((economics!$AG$2:$AG$167=$B46)*(economics!$D$2:$D$167="whr")*economics!$AH$2:$AH$167*(_xlfn.NORM.DIST(BS$3,economics!$AK$2:$AK$167,economics!$AJ$2:$AJ$167,TRUE)-_xlfn.NORM.DIST(BS$30,economics!$AK$2:$AK$167,economics!$AJ$2:$AJ$167,TRUE)))+$CR17*(_xlfn.NORM.DIST(BS$3,$CU17,0.3*$CU17,TRUE)-_xlfn.NORM.DIST(BS$30,$CU17,0.3*$CU17,TRUE))+$CS17*(_xlfn.NORM.DIST(BS$3,$CV17,0.3*$CV17,TRUE)-_xlfn.NORM.DIST(BS$30,$CV17,0.3*$CV17,TRUE))),""),IF($C17&gt;0,summary!$C$10/28.8/0.947817,""))</f>
        <v/>
      </c>
      <c r="BT46">
        <f t="array" ref="BT46">IF($D17,IFERROR((SUMPRODUCT((economics!$AG$2:$AG$167=$B46)*(economics!$D$2:$D$167="whr")*economics!$AH$2:$AH$167*(_xlfn.NORM.DIST(BT$3,economics!$AK$2:$AK$167,economics!$AJ$2:$AJ$167,TRUE)-_xlfn.NORM.DIST(BT$30,economics!$AK$2:$AK$167,economics!$AJ$2:$AJ$167,TRUE))*economics!$AM$2:$AM$167)+$CR17*(_xlfn.NORM.DIST(BT$3,$CU17,0.3*$CU17,TRUE)-_xlfn.NORM.DIST(BT$30,$CU17,0.3*$CU17,TRUE))*summary!$C$7/28.8/0.947817+$CS17*(_xlfn.NORM.DIST(BT$3,$CV17,0.3*$CV17,TRUE)-_xlfn.NORM.DIST(BT$30,$CV17,0.3*$CV17,TRUE))*summary!$C$6/28.8/0.947817)/(SUMPRODUCT((economics!$AG$2:$AG$167=$B46)*(economics!$D$2:$D$167="whr")*economics!$AH$2:$AH$167*(_xlfn.NORM.DIST(BT$3,economics!$AK$2:$AK$167,economics!$AJ$2:$AJ$167,TRUE)-_xlfn.NORM.DIST(BT$30,economics!$AK$2:$AK$167,economics!$AJ$2:$AJ$167,TRUE)))+$CR17*(_xlfn.NORM.DIST(BT$3,$CU17,0.3*$CU17,TRUE)-_xlfn.NORM.DIST(BT$30,$CU17,0.3*$CU17,TRUE))+$CS17*(_xlfn.NORM.DIST(BT$3,$CV17,0.3*$CV17,TRUE)-_xlfn.NORM.DIST(BT$30,$CV17,0.3*$CV17,TRUE))),""),IF($C17&gt;0,summary!$C$10/28.8/0.947817,""))</f>
        <v/>
      </c>
      <c r="BU46">
        <f t="array" ref="BU46">IF($D17,IFERROR((SUMPRODUCT((economics!$AG$2:$AG$167=$B46)*(economics!$D$2:$D$167="whr")*economics!$AH$2:$AH$167*(_xlfn.NORM.DIST(BU$3,economics!$AK$2:$AK$167,economics!$AJ$2:$AJ$167,TRUE)-_xlfn.NORM.DIST(BU$30,economics!$AK$2:$AK$167,economics!$AJ$2:$AJ$167,TRUE))*economics!$AM$2:$AM$167)+$CR17*(_xlfn.NORM.DIST(BU$3,$CU17,0.3*$CU17,TRUE)-_xlfn.NORM.DIST(BU$30,$CU17,0.3*$CU17,TRUE))*summary!$C$7/28.8/0.947817+$CS17*(_xlfn.NORM.DIST(BU$3,$CV17,0.3*$CV17,TRUE)-_xlfn.NORM.DIST(BU$30,$CV17,0.3*$CV17,TRUE))*summary!$C$6/28.8/0.947817)/(SUMPRODUCT((economics!$AG$2:$AG$167=$B46)*(economics!$D$2:$D$167="whr")*economics!$AH$2:$AH$167*(_xlfn.NORM.DIST(BU$3,economics!$AK$2:$AK$167,economics!$AJ$2:$AJ$167,TRUE)-_xlfn.NORM.DIST(BU$30,economics!$AK$2:$AK$167,economics!$AJ$2:$AJ$167,TRUE)))+$CR17*(_xlfn.NORM.DIST(BU$3,$CU17,0.3*$CU17,TRUE)-_xlfn.NORM.DIST(BU$30,$CU17,0.3*$CU17,TRUE))+$CS17*(_xlfn.NORM.DIST(BU$3,$CV17,0.3*$CV17,TRUE)-_xlfn.NORM.DIST(BU$30,$CV17,0.3*$CV17,TRUE))),""),IF($C17&gt;0,summary!$C$10/28.8/0.947817,""))</f>
        <v/>
      </c>
      <c r="BV46">
        <f t="array" ref="BV46">IF($D17,IFERROR((SUMPRODUCT((economics!$AG$2:$AG$167=$B46)*(economics!$D$2:$D$167="whr")*economics!$AH$2:$AH$167*(_xlfn.NORM.DIST(BV$3,economics!$AK$2:$AK$167,economics!$AJ$2:$AJ$167,TRUE)-_xlfn.NORM.DIST(BV$30,economics!$AK$2:$AK$167,economics!$AJ$2:$AJ$167,TRUE))*economics!$AM$2:$AM$167)+$CR17*(_xlfn.NORM.DIST(BV$3,$CU17,0.3*$CU17,TRUE)-_xlfn.NORM.DIST(BV$30,$CU17,0.3*$CU17,TRUE))*summary!$C$7/28.8/0.947817+$CS17*(_xlfn.NORM.DIST(BV$3,$CV17,0.3*$CV17,TRUE)-_xlfn.NORM.DIST(BV$30,$CV17,0.3*$CV17,TRUE))*summary!$C$6/28.8/0.947817)/(SUMPRODUCT((economics!$AG$2:$AG$167=$B46)*(economics!$D$2:$D$167="whr")*economics!$AH$2:$AH$167*(_xlfn.NORM.DIST(BV$3,economics!$AK$2:$AK$167,economics!$AJ$2:$AJ$167,TRUE)-_xlfn.NORM.DIST(BV$30,economics!$AK$2:$AK$167,economics!$AJ$2:$AJ$167,TRUE)))+$CR17*(_xlfn.NORM.DIST(BV$3,$CU17,0.3*$CU17,TRUE)-_xlfn.NORM.DIST(BV$30,$CU17,0.3*$CU17,TRUE))+$CS17*(_xlfn.NORM.DIST(BV$3,$CV17,0.3*$CV17,TRUE)-_xlfn.NORM.DIST(BV$30,$CV17,0.3*$CV17,TRUE))),""),IF($C17&gt;0,summary!$C$10/28.8/0.947817,""))</f>
        <v/>
      </c>
      <c r="BW46">
        <f t="array" ref="BW46">IF($D17,IFERROR((SUMPRODUCT((economics!$AG$2:$AG$167=$B46)*(economics!$D$2:$D$167="whr")*economics!$AH$2:$AH$167*(_xlfn.NORM.DIST(BW$3,economics!$AK$2:$AK$167,economics!$AJ$2:$AJ$167,TRUE)-_xlfn.NORM.DIST(BW$30,economics!$AK$2:$AK$167,economics!$AJ$2:$AJ$167,TRUE))*economics!$AM$2:$AM$167)+$CR17*(_xlfn.NORM.DIST(BW$3,$CU17,0.3*$CU17,TRUE)-_xlfn.NORM.DIST(BW$30,$CU17,0.3*$CU17,TRUE))*summary!$C$7/28.8/0.947817+$CS17*(_xlfn.NORM.DIST(BW$3,$CV17,0.3*$CV17,TRUE)-_xlfn.NORM.DIST(BW$30,$CV17,0.3*$CV17,TRUE))*summary!$C$6/28.8/0.947817)/(SUMPRODUCT((economics!$AG$2:$AG$167=$B46)*(economics!$D$2:$D$167="whr")*economics!$AH$2:$AH$167*(_xlfn.NORM.DIST(BW$3,economics!$AK$2:$AK$167,economics!$AJ$2:$AJ$167,TRUE)-_xlfn.NORM.DIST(BW$30,economics!$AK$2:$AK$167,economics!$AJ$2:$AJ$167,TRUE)))+$CR17*(_xlfn.NORM.DIST(BW$3,$CU17,0.3*$CU17,TRUE)-_xlfn.NORM.DIST(BW$30,$CU17,0.3*$CU17,TRUE))+$CS17*(_xlfn.NORM.DIST(BW$3,$CV17,0.3*$CV17,TRUE)-_xlfn.NORM.DIST(BW$30,$CV17,0.3*$CV17,TRUE))),""),IF($C17&gt;0,summary!$C$10/28.8/0.947817,""))</f>
        <v/>
      </c>
      <c r="BX46">
        <f t="array" ref="BX46">IF($D17,IFERROR((SUMPRODUCT((economics!$AG$2:$AG$167=$B46)*(economics!$D$2:$D$167="whr")*economics!$AH$2:$AH$167*(_xlfn.NORM.DIST(BX$3,economics!$AK$2:$AK$167,economics!$AJ$2:$AJ$167,TRUE)-_xlfn.NORM.DIST(BX$30,economics!$AK$2:$AK$167,economics!$AJ$2:$AJ$167,TRUE))*economics!$AM$2:$AM$167)+$CR17*(_xlfn.NORM.DIST(BX$3,$CU17,0.3*$CU17,TRUE)-_xlfn.NORM.DIST(BX$30,$CU17,0.3*$CU17,TRUE))*summary!$C$7/28.8/0.947817+$CS17*(_xlfn.NORM.DIST(BX$3,$CV17,0.3*$CV17,TRUE)-_xlfn.NORM.DIST(BX$30,$CV17,0.3*$CV17,TRUE))*summary!$C$6/28.8/0.947817)/(SUMPRODUCT((economics!$AG$2:$AG$167=$B46)*(economics!$D$2:$D$167="whr")*economics!$AH$2:$AH$167*(_xlfn.NORM.DIST(BX$3,economics!$AK$2:$AK$167,economics!$AJ$2:$AJ$167,TRUE)-_xlfn.NORM.DIST(BX$30,economics!$AK$2:$AK$167,economics!$AJ$2:$AJ$167,TRUE)))+$CR17*(_xlfn.NORM.DIST(BX$3,$CU17,0.3*$CU17,TRUE)-_xlfn.NORM.DIST(BX$30,$CU17,0.3*$CU17,TRUE))+$CS17*(_xlfn.NORM.DIST(BX$3,$CV17,0.3*$CV17,TRUE)-_xlfn.NORM.DIST(BX$30,$CV17,0.3*$CV17,TRUE))),""),IF($C17&gt;0,summary!$C$10/28.8/0.947817,""))</f>
        <v/>
      </c>
      <c r="BY46">
        <f t="array" ref="BY46">IF($D17,IFERROR((SUMPRODUCT((economics!$AG$2:$AG$167=$B46)*(economics!$D$2:$D$167="whr")*economics!$AH$2:$AH$167*(_xlfn.NORM.DIST(BY$3,economics!$AK$2:$AK$167,economics!$AJ$2:$AJ$167,TRUE)-_xlfn.NORM.DIST(BY$30,economics!$AK$2:$AK$167,economics!$AJ$2:$AJ$167,TRUE))*economics!$AM$2:$AM$167)+$CR17*(_xlfn.NORM.DIST(BY$3,$CU17,0.3*$CU17,TRUE)-_xlfn.NORM.DIST(BY$30,$CU17,0.3*$CU17,TRUE))*summary!$C$7/28.8/0.947817+$CS17*(_xlfn.NORM.DIST(BY$3,$CV17,0.3*$CV17,TRUE)-_xlfn.NORM.DIST(BY$30,$CV17,0.3*$CV17,TRUE))*summary!$C$6/28.8/0.947817)/(SUMPRODUCT((economics!$AG$2:$AG$167=$B46)*(economics!$D$2:$D$167="whr")*economics!$AH$2:$AH$167*(_xlfn.NORM.DIST(BY$3,economics!$AK$2:$AK$167,economics!$AJ$2:$AJ$167,TRUE)-_xlfn.NORM.DIST(BY$30,economics!$AK$2:$AK$167,economics!$AJ$2:$AJ$167,TRUE)))+$CR17*(_xlfn.NORM.DIST(BY$3,$CU17,0.3*$CU17,TRUE)-_xlfn.NORM.DIST(BY$30,$CU17,0.3*$CU17,TRUE))+$CS17*(_xlfn.NORM.DIST(BY$3,$CV17,0.3*$CV17,TRUE)-_xlfn.NORM.DIST(BY$30,$CV17,0.3*$CV17,TRUE))),""),IF($C17&gt;0,summary!$C$10/28.8/0.947817,""))</f>
        <v/>
      </c>
      <c r="BZ46">
        <f t="array" ref="BZ46">IF($D17,IFERROR((SUMPRODUCT((economics!$AG$2:$AG$167=$B46)*(economics!$D$2:$D$167="whr")*economics!$AH$2:$AH$167*(_xlfn.NORM.DIST(BZ$3,economics!$AK$2:$AK$167,economics!$AJ$2:$AJ$167,TRUE)-_xlfn.NORM.DIST(BZ$30,economics!$AK$2:$AK$167,economics!$AJ$2:$AJ$167,TRUE))*economics!$AM$2:$AM$167)+$CR17*(_xlfn.NORM.DIST(BZ$3,$CU17,0.3*$CU17,TRUE)-_xlfn.NORM.DIST(BZ$30,$CU17,0.3*$CU17,TRUE))*summary!$C$7/28.8/0.947817+$CS17*(_xlfn.NORM.DIST(BZ$3,$CV17,0.3*$CV17,TRUE)-_xlfn.NORM.DIST(BZ$30,$CV17,0.3*$CV17,TRUE))*summary!$C$6/28.8/0.947817)/(SUMPRODUCT((economics!$AG$2:$AG$167=$B46)*(economics!$D$2:$D$167="whr")*economics!$AH$2:$AH$167*(_xlfn.NORM.DIST(BZ$3,economics!$AK$2:$AK$167,economics!$AJ$2:$AJ$167,TRUE)-_xlfn.NORM.DIST(BZ$30,economics!$AK$2:$AK$167,economics!$AJ$2:$AJ$167,TRUE)))+$CR17*(_xlfn.NORM.DIST(BZ$3,$CU17,0.3*$CU17,TRUE)-_xlfn.NORM.DIST(BZ$30,$CU17,0.3*$CU17,TRUE))+$CS17*(_xlfn.NORM.DIST(BZ$3,$CV17,0.3*$CV17,TRUE)-_xlfn.NORM.DIST(BZ$30,$CV17,0.3*$CV17,TRUE))),""),IF($C17&gt;0,summary!$C$10/28.8/0.947817,""))</f>
        <v/>
      </c>
      <c r="CA46">
        <f t="array" ref="CA46">IF($D17,IFERROR((SUMPRODUCT((economics!$AG$2:$AG$167=$B46)*(economics!$D$2:$D$167="whr")*economics!$AH$2:$AH$167*(_xlfn.NORM.DIST(CA$3,economics!$AK$2:$AK$167,economics!$AJ$2:$AJ$167,TRUE)-_xlfn.NORM.DIST(CA$30,economics!$AK$2:$AK$167,economics!$AJ$2:$AJ$167,TRUE))*economics!$AM$2:$AM$167)+$CR17*(_xlfn.NORM.DIST(CA$3,$CU17,0.3*$CU17,TRUE)-_xlfn.NORM.DIST(CA$30,$CU17,0.3*$CU17,TRUE))*summary!$C$7/28.8/0.947817+$CS17*(_xlfn.NORM.DIST(CA$3,$CV17,0.3*$CV17,TRUE)-_xlfn.NORM.DIST(CA$30,$CV17,0.3*$CV17,TRUE))*summary!$C$6/28.8/0.947817)/(SUMPRODUCT((economics!$AG$2:$AG$167=$B46)*(economics!$D$2:$D$167="whr")*economics!$AH$2:$AH$167*(_xlfn.NORM.DIST(CA$3,economics!$AK$2:$AK$167,economics!$AJ$2:$AJ$167,TRUE)-_xlfn.NORM.DIST(CA$30,economics!$AK$2:$AK$167,economics!$AJ$2:$AJ$167,TRUE)))+$CR17*(_xlfn.NORM.DIST(CA$3,$CU17,0.3*$CU17,TRUE)-_xlfn.NORM.DIST(CA$30,$CU17,0.3*$CU17,TRUE))+$CS17*(_xlfn.NORM.DIST(CA$3,$CV17,0.3*$CV17,TRUE)-_xlfn.NORM.DIST(CA$30,$CV17,0.3*$CV17,TRUE))),""),IF($C17&gt;0,summary!$C$10/28.8/0.947817,""))</f>
        <v/>
      </c>
      <c r="CB46">
        <f t="array" ref="CB46">IF($D17,IFERROR((SUMPRODUCT((economics!$AG$2:$AG$167=$B46)*(economics!$D$2:$D$167="whr")*economics!$AH$2:$AH$167*(_xlfn.NORM.DIST(CB$3,economics!$AK$2:$AK$167,economics!$AJ$2:$AJ$167,TRUE)-_xlfn.NORM.DIST(CB$30,economics!$AK$2:$AK$167,economics!$AJ$2:$AJ$167,TRUE))*economics!$AM$2:$AM$167)+$CR17*(_xlfn.NORM.DIST(CB$3,$CU17,0.3*$CU17,TRUE)-_xlfn.NORM.DIST(CB$30,$CU17,0.3*$CU17,TRUE))*summary!$C$7/28.8/0.947817+$CS17*(_xlfn.NORM.DIST(CB$3,$CV17,0.3*$CV17,TRUE)-_xlfn.NORM.DIST(CB$30,$CV17,0.3*$CV17,TRUE))*summary!$C$6/28.8/0.947817)/(SUMPRODUCT((economics!$AG$2:$AG$167=$B46)*(economics!$D$2:$D$167="whr")*economics!$AH$2:$AH$167*(_xlfn.NORM.DIST(CB$3,economics!$AK$2:$AK$167,economics!$AJ$2:$AJ$167,TRUE)-_xlfn.NORM.DIST(CB$30,economics!$AK$2:$AK$167,economics!$AJ$2:$AJ$167,TRUE)))+$CR17*(_xlfn.NORM.DIST(CB$3,$CU17,0.3*$CU17,TRUE)-_xlfn.NORM.DIST(CB$30,$CU17,0.3*$CU17,TRUE))+$CS17*(_xlfn.NORM.DIST(CB$3,$CV17,0.3*$CV17,TRUE)-_xlfn.NORM.DIST(CB$30,$CV17,0.3*$CV17,TRUE))),""),IF($C17&gt;0,summary!$C$10/28.8/0.947817,""))</f>
        <v/>
      </c>
      <c r="CC46">
        <f t="array" ref="CC46">IF($D17,IFERROR((SUMPRODUCT((economics!$AG$2:$AG$167=$B46)*(economics!$D$2:$D$167="whr")*economics!$AH$2:$AH$167*(_xlfn.NORM.DIST(CC$3,economics!$AK$2:$AK$167,economics!$AJ$2:$AJ$167,TRUE)-_xlfn.NORM.DIST(CC$30,economics!$AK$2:$AK$167,economics!$AJ$2:$AJ$167,TRUE))*economics!$AM$2:$AM$167)+$CR17*(_xlfn.NORM.DIST(CC$3,$CU17,0.3*$CU17,TRUE)-_xlfn.NORM.DIST(CC$30,$CU17,0.3*$CU17,TRUE))*summary!$C$7/28.8/0.947817+$CS17*(_xlfn.NORM.DIST(CC$3,$CV17,0.3*$CV17,TRUE)-_xlfn.NORM.DIST(CC$30,$CV17,0.3*$CV17,TRUE))*summary!$C$6/28.8/0.947817)/(SUMPRODUCT((economics!$AG$2:$AG$167=$B46)*(economics!$D$2:$D$167="whr")*economics!$AH$2:$AH$167*(_xlfn.NORM.DIST(CC$3,economics!$AK$2:$AK$167,economics!$AJ$2:$AJ$167,TRUE)-_xlfn.NORM.DIST(CC$30,economics!$AK$2:$AK$167,economics!$AJ$2:$AJ$167,TRUE)))+$CR17*(_xlfn.NORM.DIST(CC$3,$CU17,0.3*$CU17,TRUE)-_xlfn.NORM.DIST(CC$30,$CU17,0.3*$CU17,TRUE))+$CS17*(_xlfn.NORM.DIST(CC$3,$CV17,0.3*$CV17,TRUE)-_xlfn.NORM.DIST(CC$30,$CV17,0.3*$CV17,TRUE))),""),IF($C17&gt;0,summary!$C$10/28.8/0.947817,""))</f>
        <v/>
      </c>
      <c r="CD46">
        <f t="array" ref="CD46">IF($D17,IFERROR((SUMPRODUCT((economics!$AG$2:$AG$167=$B46)*(economics!$D$2:$D$167="whr")*economics!$AH$2:$AH$167*(_xlfn.NORM.DIST(CD$3,economics!$AK$2:$AK$167,economics!$AJ$2:$AJ$167,TRUE)-_xlfn.NORM.DIST(CD$30,economics!$AK$2:$AK$167,economics!$AJ$2:$AJ$167,TRUE))*economics!$AM$2:$AM$167)+$CR17*(_xlfn.NORM.DIST(CD$3,$CU17,0.3*$CU17,TRUE)-_xlfn.NORM.DIST(CD$30,$CU17,0.3*$CU17,TRUE))*summary!$C$7/28.8/0.947817+$CS17*(_xlfn.NORM.DIST(CD$3,$CV17,0.3*$CV17,TRUE)-_xlfn.NORM.DIST(CD$30,$CV17,0.3*$CV17,TRUE))*summary!$C$6/28.8/0.947817)/(SUMPRODUCT((economics!$AG$2:$AG$167=$B46)*(economics!$D$2:$D$167="whr")*economics!$AH$2:$AH$167*(_xlfn.NORM.DIST(CD$3,economics!$AK$2:$AK$167,economics!$AJ$2:$AJ$167,TRUE)-_xlfn.NORM.DIST(CD$30,economics!$AK$2:$AK$167,economics!$AJ$2:$AJ$167,TRUE)))+$CR17*(_xlfn.NORM.DIST(CD$3,$CU17,0.3*$CU17,TRUE)-_xlfn.NORM.DIST(CD$30,$CU17,0.3*$CU17,TRUE))+$CS17*(_xlfn.NORM.DIST(CD$3,$CV17,0.3*$CV17,TRUE)-_xlfn.NORM.DIST(CD$30,$CV17,0.3*$CV17,TRUE))),""),IF($C17&gt;0,summary!$C$10/28.8/0.947817,""))</f>
        <v/>
      </c>
      <c r="CE46">
        <f t="array" ref="CE46">IF($D17,IFERROR((SUMPRODUCT((economics!$AG$2:$AG$167=$B46)*(economics!$D$2:$D$167="whr")*economics!$AH$2:$AH$167*(_xlfn.NORM.DIST(CE$3,economics!$AK$2:$AK$167,economics!$AJ$2:$AJ$167,TRUE)-_xlfn.NORM.DIST(CE$30,economics!$AK$2:$AK$167,economics!$AJ$2:$AJ$167,TRUE))*economics!$AM$2:$AM$167)+$CR17*(_xlfn.NORM.DIST(CE$3,$CU17,0.3*$CU17,TRUE)-_xlfn.NORM.DIST(CE$30,$CU17,0.3*$CU17,TRUE))*summary!$C$7/28.8/0.947817+$CS17*(_xlfn.NORM.DIST(CE$3,$CV17,0.3*$CV17,TRUE)-_xlfn.NORM.DIST(CE$30,$CV17,0.3*$CV17,TRUE))*summary!$C$6/28.8/0.947817)/(SUMPRODUCT((economics!$AG$2:$AG$167=$B46)*(economics!$D$2:$D$167="whr")*economics!$AH$2:$AH$167*(_xlfn.NORM.DIST(CE$3,economics!$AK$2:$AK$167,economics!$AJ$2:$AJ$167,TRUE)-_xlfn.NORM.DIST(CE$30,economics!$AK$2:$AK$167,economics!$AJ$2:$AJ$167,TRUE)))+$CR17*(_xlfn.NORM.DIST(CE$3,$CU17,0.3*$CU17,TRUE)-_xlfn.NORM.DIST(CE$30,$CU17,0.3*$CU17,TRUE))+$CS17*(_xlfn.NORM.DIST(CE$3,$CV17,0.3*$CV17,TRUE)-_xlfn.NORM.DIST(CE$30,$CV17,0.3*$CV17,TRUE))),""),IF($C17&gt;0,summary!$C$10/28.8/0.947817,""))</f>
        <v/>
      </c>
      <c r="CF46">
        <f t="array" ref="CF46">IF($D17,IFERROR((SUMPRODUCT((economics!$AG$2:$AG$167=$B46)*(economics!$D$2:$D$167="whr")*economics!$AH$2:$AH$167*(_xlfn.NORM.DIST(CF$3,economics!$AK$2:$AK$167,economics!$AJ$2:$AJ$167,TRUE)-_xlfn.NORM.DIST(CF$30,economics!$AK$2:$AK$167,economics!$AJ$2:$AJ$167,TRUE))*economics!$AM$2:$AM$167)+$CR17*(_xlfn.NORM.DIST(CF$3,$CU17,0.3*$CU17,TRUE)-_xlfn.NORM.DIST(CF$30,$CU17,0.3*$CU17,TRUE))*summary!$C$7/28.8/0.947817+$CS17*(_xlfn.NORM.DIST(CF$3,$CV17,0.3*$CV17,TRUE)-_xlfn.NORM.DIST(CF$30,$CV17,0.3*$CV17,TRUE))*summary!$C$6/28.8/0.947817)/(SUMPRODUCT((economics!$AG$2:$AG$167=$B46)*(economics!$D$2:$D$167="whr")*economics!$AH$2:$AH$167*(_xlfn.NORM.DIST(CF$3,economics!$AK$2:$AK$167,economics!$AJ$2:$AJ$167,TRUE)-_xlfn.NORM.DIST(CF$30,economics!$AK$2:$AK$167,economics!$AJ$2:$AJ$167,TRUE)))+$CR17*(_xlfn.NORM.DIST(CF$3,$CU17,0.3*$CU17,TRUE)-_xlfn.NORM.DIST(CF$30,$CU17,0.3*$CU17,TRUE))+$CS17*(_xlfn.NORM.DIST(CF$3,$CV17,0.3*$CV17,TRUE)-_xlfn.NORM.DIST(CF$30,$CV17,0.3*$CV17,TRUE))),""),IF($C17&gt;0,summary!$C$10/28.8/0.947817,""))</f>
        <v/>
      </c>
      <c r="CG46">
        <f t="array" ref="CG46">IF($D17,IFERROR((SUMPRODUCT((economics!$AG$2:$AG$167=$B46)*(economics!$D$2:$D$167="whr")*economics!$AH$2:$AH$167*(_xlfn.NORM.DIST(CG$3,economics!$AK$2:$AK$167,economics!$AJ$2:$AJ$167,TRUE)-_xlfn.NORM.DIST(CG$30,economics!$AK$2:$AK$167,economics!$AJ$2:$AJ$167,TRUE))*economics!$AM$2:$AM$167)+$CR17*(_xlfn.NORM.DIST(CG$3,$CU17,0.3*$CU17,TRUE)-_xlfn.NORM.DIST(CG$30,$CU17,0.3*$CU17,TRUE))*summary!$C$7/28.8/0.947817+$CS17*(_xlfn.NORM.DIST(CG$3,$CV17,0.3*$CV17,TRUE)-_xlfn.NORM.DIST(CG$30,$CV17,0.3*$CV17,TRUE))*summary!$C$6/28.8/0.947817)/(SUMPRODUCT((economics!$AG$2:$AG$167=$B46)*(economics!$D$2:$D$167="whr")*economics!$AH$2:$AH$167*(_xlfn.NORM.DIST(CG$3,economics!$AK$2:$AK$167,economics!$AJ$2:$AJ$167,TRUE)-_xlfn.NORM.DIST(CG$30,economics!$AK$2:$AK$167,economics!$AJ$2:$AJ$167,TRUE)))+$CR17*(_xlfn.NORM.DIST(CG$3,$CU17,0.3*$CU17,TRUE)-_xlfn.NORM.DIST(CG$30,$CU17,0.3*$CU17,TRUE))+$CS17*(_xlfn.NORM.DIST(CG$3,$CV17,0.3*$CV17,TRUE)-_xlfn.NORM.DIST(CG$30,$CV17,0.3*$CV17,TRUE))),""),IF($C17&gt;0,summary!$C$10/28.8/0.947817,""))</f>
        <v/>
      </c>
      <c r="CH46">
        <f t="array" ref="CH46">IF($D17,IFERROR((SUMPRODUCT((economics!$AG$2:$AG$167=$B46)*(economics!$D$2:$D$167="whr")*economics!$AH$2:$AH$167*(_xlfn.NORM.DIST(CH$3,economics!$AK$2:$AK$167,economics!$AJ$2:$AJ$167,TRUE)-_xlfn.NORM.DIST(CH$30,economics!$AK$2:$AK$167,economics!$AJ$2:$AJ$167,TRUE))*economics!$AM$2:$AM$167)+$CR17*(_xlfn.NORM.DIST(CH$3,$CU17,0.3*$CU17,TRUE)-_xlfn.NORM.DIST(CH$30,$CU17,0.3*$CU17,TRUE))*summary!$C$7/28.8/0.947817+$CS17*(_xlfn.NORM.DIST(CH$3,$CV17,0.3*$CV17,TRUE)-_xlfn.NORM.DIST(CH$30,$CV17,0.3*$CV17,TRUE))*summary!$C$6/28.8/0.947817)/(SUMPRODUCT((economics!$AG$2:$AG$167=$B46)*(economics!$D$2:$D$167="whr")*economics!$AH$2:$AH$167*(_xlfn.NORM.DIST(CH$3,economics!$AK$2:$AK$167,economics!$AJ$2:$AJ$167,TRUE)-_xlfn.NORM.DIST(CH$30,economics!$AK$2:$AK$167,economics!$AJ$2:$AJ$167,TRUE)))+$CR17*(_xlfn.NORM.DIST(CH$3,$CU17,0.3*$CU17,TRUE)-_xlfn.NORM.DIST(CH$30,$CU17,0.3*$CU17,TRUE))+$CS17*(_xlfn.NORM.DIST(CH$3,$CV17,0.3*$CV17,TRUE)-_xlfn.NORM.DIST(CH$30,$CV17,0.3*$CV17,TRUE))),""),IF($C17&gt;0,summary!$C$10/28.8/0.947817,""))</f>
        <v/>
      </c>
    </row>
    <row r="47">
      <c r="A47">
        <f>A18</f>
        <v/>
      </c>
      <c r="B47">
        <f>B18</f>
        <v/>
      </c>
      <c r="E47">
        <f t="array" ref="E47">IF($D18,IFERROR((SUMPRODUCT((economics!$AG$2:$AG$167=$B47)*(economics!$D$2:$D$167="whr")*economics!$AH$2:$AH$167*(_xlfn.NORM.DIST(E$3,economics!$AK$2:$AK$167,economics!$AJ$2:$AJ$167,TRUE)-_xlfn.NORM.DIST(E$30,economics!$AK$2:$AK$167,economics!$AJ$2:$AJ$167,TRUE))*economics!$AM$2:$AM$167)+$CR18*(_xlfn.NORM.DIST(E$3,$CU18,0.3*$CU18,TRUE)-_xlfn.NORM.DIST(E$30,$CU18,0.3*$CU18,TRUE))*summary!$C$7/28.8/0.947817+$CS18*(_xlfn.NORM.DIST(E$3,$CV18,0.3*$CV18,TRUE)-_xlfn.NORM.DIST(E$30,$CV18,0.3*$CV18,TRUE))*summary!$C$6/28.8/0.947817)/(SUMPRODUCT((economics!$AG$2:$AG$167=$B47)*(economics!$D$2:$D$167="whr")*economics!$AH$2:$AH$167*(_xlfn.NORM.DIST(E$3,economics!$AK$2:$AK$167,economics!$AJ$2:$AJ$167,TRUE)-_xlfn.NORM.DIST(E$30,economics!$AK$2:$AK$167,economics!$AJ$2:$AJ$167,TRUE)))+$CR18*(_xlfn.NORM.DIST(E$3,$CU18,0.3*$CU18,TRUE)-_xlfn.NORM.DIST(E$30,$CU18,0.3*$CU18,TRUE))+$CS18*(_xlfn.NORM.DIST(E$3,$CV18,0.3*$CV18,TRUE)-_xlfn.NORM.DIST(E$30,$CV18,0.3*$CV18,TRUE))),""),IF($C18&gt;0,summary!$C$10/28.8/0.947817,""))</f>
        <v/>
      </c>
      <c r="F47">
        <f t="array" ref="F47">IF($D18,IFERROR((SUMPRODUCT((economics!$AG$2:$AG$167=$B47)*(economics!$D$2:$D$167="whr")*economics!$AH$2:$AH$167*(_xlfn.NORM.DIST(F$3,economics!$AK$2:$AK$167,economics!$AJ$2:$AJ$167,TRUE)-_xlfn.NORM.DIST(F$30,economics!$AK$2:$AK$167,economics!$AJ$2:$AJ$167,TRUE))*economics!$AM$2:$AM$167)+$CR18*(_xlfn.NORM.DIST(F$3,$CU18,0.3*$CU18,TRUE)-_xlfn.NORM.DIST(F$30,$CU18,0.3*$CU18,TRUE))*summary!$C$7/28.8/0.947817+$CS18*(_xlfn.NORM.DIST(F$3,$CV18,0.3*$CV18,TRUE)-_xlfn.NORM.DIST(F$30,$CV18,0.3*$CV18,TRUE))*summary!$C$6/28.8/0.947817)/(SUMPRODUCT((economics!$AG$2:$AG$167=$B47)*(economics!$D$2:$D$167="whr")*economics!$AH$2:$AH$167*(_xlfn.NORM.DIST(F$3,economics!$AK$2:$AK$167,economics!$AJ$2:$AJ$167,TRUE)-_xlfn.NORM.DIST(F$30,economics!$AK$2:$AK$167,economics!$AJ$2:$AJ$167,TRUE)))+$CR18*(_xlfn.NORM.DIST(F$3,$CU18,0.3*$CU18,TRUE)-_xlfn.NORM.DIST(F$30,$CU18,0.3*$CU18,TRUE))+$CS18*(_xlfn.NORM.DIST(F$3,$CV18,0.3*$CV18,TRUE)-_xlfn.NORM.DIST(F$30,$CV18,0.3*$CV18,TRUE))),""),IF($C18&gt;0,summary!$C$10/28.8/0.947817,""))</f>
        <v/>
      </c>
      <c r="G47">
        <f t="array" ref="G47">IF($D18,IFERROR((SUMPRODUCT((economics!$AG$2:$AG$167=$B47)*(economics!$D$2:$D$167="whr")*economics!$AH$2:$AH$167*(_xlfn.NORM.DIST(G$3,economics!$AK$2:$AK$167,economics!$AJ$2:$AJ$167,TRUE)-_xlfn.NORM.DIST(G$30,economics!$AK$2:$AK$167,economics!$AJ$2:$AJ$167,TRUE))*economics!$AM$2:$AM$167)+$CR18*(_xlfn.NORM.DIST(G$3,$CU18,0.3*$CU18,TRUE)-_xlfn.NORM.DIST(G$30,$CU18,0.3*$CU18,TRUE))*summary!$C$7/28.8/0.947817+$CS18*(_xlfn.NORM.DIST(G$3,$CV18,0.3*$CV18,TRUE)-_xlfn.NORM.DIST(G$30,$CV18,0.3*$CV18,TRUE))*summary!$C$6/28.8/0.947817)/(SUMPRODUCT((economics!$AG$2:$AG$167=$B47)*(economics!$D$2:$D$167="whr")*economics!$AH$2:$AH$167*(_xlfn.NORM.DIST(G$3,economics!$AK$2:$AK$167,economics!$AJ$2:$AJ$167,TRUE)-_xlfn.NORM.DIST(G$30,economics!$AK$2:$AK$167,economics!$AJ$2:$AJ$167,TRUE)))+$CR18*(_xlfn.NORM.DIST(G$3,$CU18,0.3*$CU18,TRUE)-_xlfn.NORM.DIST(G$30,$CU18,0.3*$CU18,TRUE))+$CS18*(_xlfn.NORM.DIST(G$3,$CV18,0.3*$CV18,TRUE)-_xlfn.NORM.DIST(G$30,$CV18,0.3*$CV18,TRUE))),""),IF($C18&gt;0,summary!$C$10/28.8/0.947817,""))</f>
        <v/>
      </c>
      <c r="H47">
        <f t="array" ref="H47">IF($D18,IFERROR((SUMPRODUCT((economics!$AG$2:$AG$167=$B47)*(economics!$D$2:$D$167="whr")*economics!$AH$2:$AH$167*(_xlfn.NORM.DIST(H$3,economics!$AK$2:$AK$167,economics!$AJ$2:$AJ$167,TRUE)-_xlfn.NORM.DIST(H$30,economics!$AK$2:$AK$167,economics!$AJ$2:$AJ$167,TRUE))*economics!$AM$2:$AM$167)+$CR18*(_xlfn.NORM.DIST(H$3,$CU18,0.3*$CU18,TRUE)-_xlfn.NORM.DIST(H$30,$CU18,0.3*$CU18,TRUE))*summary!$C$7/28.8/0.947817+$CS18*(_xlfn.NORM.DIST(H$3,$CV18,0.3*$CV18,TRUE)-_xlfn.NORM.DIST(H$30,$CV18,0.3*$CV18,TRUE))*summary!$C$6/28.8/0.947817)/(SUMPRODUCT((economics!$AG$2:$AG$167=$B47)*(economics!$D$2:$D$167="whr")*economics!$AH$2:$AH$167*(_xlfn.NORM.DIST(H$3,economics!$AK$2:$AK$167,economics!$AJ$2:$AJ$167,TRUE)-_xlfn.NORM.DIST(H$30,economics!$AK$2:$AK$167,economics!$AJ$2:$AJ$167,TRUE)))+$CR18*(_xlfn.NORM.DIST(H$3,$CU18,0.3*$CU18,TRUE)-_xlfn.NORM.DIST(H$30,$CU18,0.3*$CU18,TRUE))+$CS18*(_xlfn.NORM.DIST(H$3,$CV18,0.3*$CV18,TRUE)-_xlfn.NORM.DIST(H$30,$CV18,0.3*$CV18,TRUE))),""),IF($C18&gt;0,summary!$C$10/28.8/0.947817,""))</f>
        <v/>
      </c>
      <c r="I47">
        <f t="array" ref="I47">IF($D18,IFERROR((SUMPRODUCT((economics!$AG$2:$AG$167=$B47)*(economics!$D$2:$D$167="whr")*economics!$AH$2:$AH$167*(_xlfn.NORM.DIST(I$3,economics!$AK$2:$AK$167,economics!$AJ$2:$AJ$167,TRUE)-_xlfn.NORM.DIST(I$30,economics!$AK$2:$AK$167,economics!$AJ$2:$AJ$167,TRUE))*economics!$AM$2:$AM$167)+$CR18*(_xlfn.NORM.DIST(I$3,$CU18,0.3*$CU18,TRUE)-_xlfn.NORM.DIST(I$30,$CU18,0.3*$CU18,TRUE))*summary!$C$7/28.8/0.947817+$CS18*(_xlfn.NORM.DIST(I$3,$CV18,0.3*$CV18,TRUE)-_xlfn.NORM.DIST(I$30,$CV18,0.3*$CV18,TRUE))*summary!$C$6/28.8/0.947817)/(SUMPRODUCT((economics!$AG$2:$AG$167=$B47)*(economics!$D$2:$D$167="whr")*economics!$AH$2:$AH$167*(_xlfn.NORM.DIST(I$3,economics!$AK$2:$AK$167,economics!$AJ$2:$AJ$167,TRUE)-_xlfn.NORM.DIST(I$30,economics!$AK$2:$AK$167,economics!$AJ$2:$AJ$167,TRUE)))+$CR18*(_xlfn.NORM.DIST(I$3,$CU18,0.3*$CU18,TRUE)-_xlfn.NORM.DIST(I$30,$CU18,0.3*$CU18,TRUE))+$CS18*(_xlfn.NORM.DIST(I$3,$CV18,0.3*$CV18,TRUE)-_xlfn.NORM.DIST(I$30,$CV18,0.3*$CV18,TRUE))),""),IF($C18&gt;0,summary!$C$10/28.8/0.947817,""))</f>
        <v/>
      </c>
      <c r="J47">
        <f t="array" ref="J47">IF($D18,IFERROR((SUMPRODUCT((economics!$AG$2:$AG$167=$B47)*(economics!$D$2:$D$167="whr")*economics!$AH$2:$AH$167*(_xlfn.NORM.DIST(J$3,economics!$AK$2:$AK$167,economics!$AJ$2:$AJ$167,TRUE)-_xlfn.NORM.DIST(J$30,economics!$AK$2:$AK$167,economics!$AJ$2:$AJ$167,TRUE))*economics!$AM$2:$AM$167)+$CR18*(_xlfn.NORM.DIST(J$3,$CU18,0.3*$CU18,TRUE)-_xlfn.NORM.DIST(J$30,$CU18,0.3*$CU18,TRUE))*summary!$C$7/28.8/0.947817+$CS18*(_xlfn.NORM.DIST(J$3,$CV18,0.3*$CV18,TRUE)-_xlfn.NORM.DIST(J$30,$CV18,0.3*$CV18,TRUE))*summary!$C$6/28.8/0.947817)/(SUMPRODUCT((economics!$AG$2:$AG$167=$B47)*(economics!$D$2:$D$167="whr")*economics!$AH$2:$AH$167*(_xlfn.NORM.DIST(J$3,economics!$AK$2:$AK$167,economics!$AJ$2:$AJ$167,TRUE)-_xlfn.NORM.DIST(J$30,economics!$AK$2:$AK$167,economics!$AJ$2:$AJ$167,TRUE)))+$CR18*(_xlfn.NORM.DIST(J$3,$CU18,0.3*$CU18,TRUE)-_xlfn.NORM.DIST(J$30,$CU18,0.3*$CU18,TRUE))+$CS18*(_xlfn.NORM.DIST(J$3,$CV18,0.3*$CV18,TRUE)-_xlfn.NORM.DIST(J$30,$CV18,0.3*$CV18,TRUE))),""),IF($C18&gt;0,summary!$C$10/28.8/0.947817,""))</f>
        <v/>
      </c>
      <c r="K47">
        <f t="array" ref="K47">IF($D18,IFERROR((SUMPRODUCT((economics!$AG$2:$AG$167=$B47)*(economics!$D$2:$D$167="whr")*economics!$AH$2:$AH$167*(_xlfn.NORM.DIST(K$3,economics!$AK$2:$AK$167,economics!$AJ$2:$AJ$167,TRUE)-_xlfn.NORM.DIST(K$30,economics!$AK$2:$AK$167,economics!$AJ$2:$AJ$167,TRUE))*economics!$AM$2:$AM$167)+$CR18*(_xlfn.NORM.DIST(K$3,$CU18,0.3*$CU18,TRUE)-_xlfn.NORM.DIST(K$30,$CU18,0.3*$CU18,TRUE))*summary!$C$7/28.8/0.947817+$CS18*(_xlfn.NORM.DIST(K$3,$CV18,0.3*$CV18,TRUE)-_xlfn.NORM.DIST(K$30,$CV18,0.3*$CV18,TRUE))*summary!$C$6/28.8/0.947817)/(SUMPRODUCT((economics!$AG$2:$AG$167=$B47)*(economics!$D$2:$D$167="whr")*economics!$AH$2:$AH$167*(_xlfn.NORM.DIST(K$3,economics!$AK$2:$AK$167,economics!$AJ$2:$AJ$167,TRUE)-_xlfn.NORM.DIST(K$30,economics!$AK$2:$AK$167,economics!$AJ$2:$AJ$167,TRUE)))+$CR18*(_xlfn.NORM.DIST(K$3,$CU18,0.3*$CU18,TRUE)-_xlfn.NORM.DIST(K$30,$CU18,0.3*$CU18,TRUE))+$CS18*(_xlfn.NORM.DIST(K$3,$CV18,0.3*$CV18,TRUE)-_xlfn.NORM.DIST(K$30,$CV18,0.3*$CV18,TRUE))),""),IF($C18&gt;0,summary!$C$10/28.8/0.947817,""))</f>
        <v/>
      </c>
      <c r="L47">
        <f t="array" ref="L47">IF($D18,IFERROR((SUMPRODUCT((economics!$AG$2:$AG$167=$B47)*(economics!$D$2:$D$167="whr")*economics!$AH$2:$AH$167*(_xlfn.NORM.DIST(L$3,economics!$AK$2:$AK$167,economics!$AJ$2:$AJ$167,TRUE)-_xlfn.NORM.DIST(L$30,economics!$AK$2:$AK$167,economics!$AJ$2:$AJ$167,TRUE))*economics!$AM$2:$AM$167)+$CR18*(_xlfn.NORM.DIST(L$3,$CU18,0.3*$CU18,TRUE)-_xlfn.NORM.DIST(L$30,$CU18,0.3*$CU18,TRUE))*summary!$C$7/28.8/0.947817+$CS18*(_xlfn.NORM.DIST(L$3,$CV18,0.3*$CV18,TRUE)-_xlfn.NORM.DIST(L$30,$CV18,0.3*$CV18,TRUE))*summary!$C$6/28.8/0.947817)/(SUMPRODUCT((economics!$AG$2:$AG$167=$B47)*(economics!$D$2:$D$167="whr")*economics!$AH$2:$AH$167*(_xlfn.NORM.DIST(L$3,economics!$AK$2:$AK$167,economics!$AJ$2:$AJ$167,TRUE)-_xlfn.NORM.DIST(L$30,economics!$AK$2:$AK$167,economics!$AJ$2:$AJ$167,TRUE)))+$CR18*(_xlfn.NORM.DIST(L$3,$CU18,0.3*$CU18,TRUE)-_xlfn.NORM.DIST(L$30,$CU18,0.3*$CU18,TRUE))+$CS18*(_xlfn.NORM.DIST(L$3,$CV18,0.3*$CV18,TRUE)-_xlfn.NORM.DIST(L$30,$CV18,0.3*$CV18,TRUE))),""),IF($C18&gt;0,summary!$C$10/28.8/0.947817,""))</f>
        <v/>
      </c>
      <c r="M47">
        <f t="array" ref="M47">IF($D18,IFERROR((SUMPRODUCT((economics!$AG$2:$AG$167=$B47)*(economics!$D$2:$D$167="whr")*economics!$AH$2:$AH$167*(_xlfn.NORM.DIST(M$3,economics!$AK$2:$AK$167,economics!$AJ$2:$AJ$167,TRUE)-_xlfn.NORM.DIST(M$30,economics!$AK$2:$AK$167,economics!$AJ$2:$AJ$167,TRUE))*economics!$AM$2:$AM$167)+$CR18*(_xlfn.NORM.DIST(M$3,$CU18,0.3*$CU18,TRUE)-_xlfn.NORM.DIST(M$30,$CU18,0.3*$CU18,TRUE))*summary!$C$7/28.8/0.947817+$CS18*(_xlfn.NORM.DIST(M$3,$CV18,0.3*$CV18,TRUE)-_xlfn.NORM.DIST(M$30,$CV18,0.3*$CV18,TRUE))*summary!$C$6/28.8/0.947817)/(SUMPRODUCT((economics!$AG$2:$AG$167=$B47)*(economics!$D$2:$D$167="whr")*economics!$AH$2:$AH$167*(_xlfn.NORM.DIST(M$3,economics!$AK$2:$AK$167,economics!$AJ$2:$AJ$167,TRUE)-_xlfn.NORM.DIST(M$30,economics!$AK$2:$AK$167,economics!$AJ$2:$AJ$167,TRUE)))+$CR18*(_xlfn.NORM.DIST(M$3,$CU18,0.3*$CU18,TRUE)-_xlfn.NORM.DIST(M$30,$CU18,0.3*$CU18,TRUE))+$CS18*(_xlfn.NORM.DIST(M$3,$CV18,0.3*$CV18,TRUE)-_xlfn.NORM.DIST(M$30,$CV18,0.3*$CV18,TRUE))),""),IF($C18&gt;0,summary!$C$10/28.8/0.947817,""))</f>
        <v/>
      </c>
      <c r="N47">
        <f t="array" ref="N47">IF($D18,IFERROR((SUMPRODUCT((economics!$AG$2:$AG$167=$B47)*(economics!$D$2:$D$167="whr")*economics!$AH$2:$AH$167*(_xlfn.NORM.DIST(N$3,economics!$AK$2:$AK$167,economics!$AJ$2:$AJ$167,TRUE)-_xlfn.NORM.DIST(N$30,economics!$AK$2:$AK$167,economics!$AJ$2:$AJ$167,TRUE))*economics!$AM$2:$AM$167)+$CR18*(_xlfn.NORM.DIST(N$3,$CU18,0.3*$CU18,TRUE)-_xlfn.NORM.DIST(N$30,$CU18,0.3*$CU18,TRUE))*summary!$C$7/28.8/0.947817+$CS18*(_xlfn.NORM.DIST(N$3,$CV18,0.3*$CV18,TRUE)-_xlfn.NORM.DIST(N$30,$CV18,0.3*$CV18,TRUE))*summary!$C$6/28.8/0.947817)/(SUMPRODUCT((economics!$AG$2:$AG$167=$B47)*(economics!$D$2:$D$167="whr")*economics!$AH$2:$AH$167*(_xlfn.NORM.DIST(N$3,economics!$AK$2:$AK$167,economics!$AJ$2:$AJ$167,TRUE)-_xlfn.NORM.DIST(N$30,economics!$AK$2:$AK$167,economics!$AJ$2:$AJ$167,TRUE)))+$CR18*(_xlfn.NORM.DIST(N$3,$CU18,0.3*$CU18,TRUE)-_xlfn.NORM.DIST(N$30,$CU18,0.3*$CU18,TRUE))+$CS18*(_xlfn.NORM.DIST(N$3,$CV18,0.3*$CV18,TRUE)-_xlfn.NORM.DIST(N$30,$CV18,0.3*$CV18,TRUE))),""),IF($C18&gt;0,summary!$C$10/28.8/0.947817,""))</f>
        <v/>
      </c>
      <c r="O47">
        <f t="array" ref="O47">IF($D18,IFERROR((SUMPRODUCT((economics!$AG$2:$AG$167=$B47)*(economics!$D$2:$D$167="whr")*economics!$AH$2:$AH$167*(_xlfn.NORM.DIST(O$3,economics!$AK$2:$AK$167,economics!$AJ$2:$AJ$167,TRUE)-_xlfn.NORM.DIST(O$30,economics!$AK$2:$AK$167,economics!$AJ$2:$AJ$167,TRUE))*economics!$AM$2:$AM$167)+$CR18*(_xlfn.NORM.DIST(O$3,$CU18,0.3*$CU18,TRUE)-_xlfn.NORM.DIST(O$30,$CU18,0.3*$CU18,TRUE))*summary!$C$7/28.8/0.947817+$CS18*(_xlfn.NORM.DIST(O$3,$CV18,0.3*$CV18,TRUE)-_xlfn.NORM.DIST(O$30,$CV18,0.3*$CV18,TRUE))*summary!$C$6/28.8/0.947817)/(SUMPRODUCT((economics!$AG$2:$AG$167=$B47)*(economics!$D$2:$D$167="whr")*economics!$AH$2:$AH$167*(_xlfn.NORM.DIST(O$3,economics!$AK$2:$AK$167,economics!$AJ$2:$AJ$167,TRUE)-_xlfn.NORM.DIST(O$30,economics!$AK$2:$AK$167,economics!$AJ$2:$AJ$167,TRUE)))+$CR18*(_xlfn.NORM.DIST(O$3,$CU18,0.3*$CU18,TRUE)-_xlfn.NORM.DIST(O$30,$CU18,0.3*$CU18,TRUE))+$CS18*(_xlfn.NORM.DIST(O$3,$CV18,0.3*$CV18,TRUE)-_xlfn.NORM.DIST(O$30,$CV18,0.3*$CV18,TRUE))),""),IF($C18&gt;0,summary!$C$10/28.8/0.947817,""))</f>
        <v/>
      </c>
      <c r="P47">
        <f t="array" ref="P47">IF($D18,IFERROR((SUMPRODUCT((economics!$AG$2:$AG$167=$B47)*(economics!$D$2:$D$167="whr")*economics!$AH$2:$AH$167*(_xlfn.NORM.DIST(P$3,economics!$AK$2:$AK$167,economics!$AJ$2:$AJ$167,TRUE)-_xlfn.NORM.DIST(P$30,economics!$AK$2:$AK$167,economics!$AJ$2:$AJ$167,TRUE))*economics!$AM$2:$AM$167)+$CR18*(_xlfn.NORM.DIST(P$3,$CU18,0.3*$CU18,TRUE)-_xlfn.NORM.DIST(P$30,$CU18,0.3*$CU18,TRUE))*summary!$C$7/28.8/0.947817+$CS18*(_xlfn.NORM.DIST(P$3,$CV18,0.3*$CV18,TRUE)-_xlfn.NORM.DIST(P$30,$CV18,0.3*$CV18,TRUE))*summary!$C$6/28.8/0.947817)/(SUMPRODUCT((economics!$AG$2:$AG$167=$B47)*(economics!$D$2:$D$167="whr")*economics!$AH$2:$AH$167*(_xlfn.NORM.DIST(P$3,economics!$AK$2:$AK$167,economics!$AJ$2:$AJ$167,TRUE)-_xlfn.NORM.DIST(P$30,economics!$AK$2:$AK$167,economics!$AJ$2:$AJ$167,TRUE)))+$CR18*(_xlfn.NORM.DIST(P$3,$CU18,0.3*$CU18,TRUE)-_xlfn.NORM.DIST(P$30,$CU18,0.3*$CU18,TRUE))+$CS18*(_xlfn.NORM.DIST(P$3,$CV18,0.3*$CV18,TRUE)-_xlfn.NORM.DIST(P$30,$CV18,0.3*$CV18,TRUE))),""),IF($C18&gt;0,summary!$C$10/28.8/0.947817,""))</f>
        <v/>
      </c>
      <c r="Q47">
        <f t="array" ref="Q47">IF($D18,IFERROR((SUMPRODUCT((economics!$AG$2:$AG$167=$B47)*(economics!$D$2:$D$167="whr")*economics!$AH$2:$AH$167*(_xlfn.NORM.DIST(Q$3,economics!$AK$2:$AK$167,economics!$AJ$2:$AJ$167,TRUE)-_xlfn.NORM.DIST(Q$30,economics!$AK$2:$AK$167,economics!$AJ$2:$AJ$167,TRUE))*economics!$AM$2:$AM$167)+$CR18*(_xlfn.NORM.DIST(Q$3,$CU18,0.3*$CU18,TRUE)-_xlfn.NORM.DIST(Q$30,$CU18,0.3*$CU18,TRUE))*summary!$C$7/28.8/0.947817+$CS18*(_xlfn.NORM.DIST(Q$3,$CV18,0.3*$CV18,TRUE)-_xlfn.NORM.DIST(Q$30,$CV18,0.3*$CV18,TRUE))*summary!$C$6/28.8/0.947817)/(SUMPRODUCT((economics!$AG$2:$AG$167=$B47)*(economics!$D$2:$D$167="whr")*economics!$AH$2:$AH$167*(_xlfn.NORM.DIST(Q$3,economics!$AK$2:$AK$167,economics!$AJ$2:$AJ$167,TRUE)-_xlfn.NORM.DIST(Q$30,economics!$AK$2:$AK$167,economics!$AJ$2:$AJ$167,TRUE)))+$CR18*(_xlfn.NORM.DIST(Q$3,$CU18,0.3*$CU18,TRUE)-_xlfn.NORM.DIST(Q$30,$CU18,0.3*$CU18,TRUE))+$CS18*(_xlfn.NORM.DIST(Q$3,$CV18,0.3*$CV18,TRUE)-_xlfn.NORM.DIST(Q$30,$CV18,0.3*$CV18,TRUE))),""),IF($C18&gt;0,summary!$C$10/28.8/0.947817,""))</f>
        <v/>
      </c>
      <c r="R47">
        <f t="array" ref="R47">IF($D18,IFERROR((SUMPRODUCT((economics!$AG$2:$AG$167=$B47)*(economics!$D$2:$D$167="whr")*economics!$AH$2:$AH$167*(_xlfn.NORM.DIST(R$3,economics!$AK$2:$AK$167,economics!$AJ$2:$AJ$167,TRUE)-_xlfn.NORM.DIST(R$30,economics!$AK$2:$AK$167,economics!$AJ$2:$AJ$167,TRUE))*economics!$AM$2:$AM$167)+$CR18*(_xlfn.NORM.DIST(R$3,$CU18,0.3*$CU18,TRUE)-_xlfn.NORM.DIST(R$30,$CU18,0.3*$CU18,TRUE))*summary!$C$7/28.8/0.947817+$CS18*(_xlfn.NORM.DIST(R$3,$CV18,0.3*$CV18,TRUE)-_xlfn.NORM.DIST(R$30,$CV18,0.3*$CV18,TRUE))*summary!$C$6/28.8/0.947817)/(SUMPRODUCT((economics!$AG$2:$AG$167=$B47)*(economics!$D$2:$D$167="whr")*economics!$AH$2:$AH$167*(_xlfn.NORM.DIST(R$3,economics!$AK$2:$AK$167,economics!$AJ$2:$AJ$167,TRUE)-_xlfn.NORM.DIST(R$30,economics!$AK$2:$AK$167,economics!$AJ$2:$AJ$167,TRUE)))+$CR18*(_xlfn.NORM.DIST(R$3,$CU18,0.3*$CU18,TRUE)-_xlfn.NORM.DIST(R$30,$CU18,0.3*$CU18,TRUE))+$CS18*(_xlfn.NORM.DIST(R$3,$CV18,0.3*$CV18,TRUE)-_xlfn.NORM.DIST(R$30,$CV18,0.3*$CV18,TRUE))),""),IF($C18&gt;0,summary!$C$10/28.8/0.947817,""))</f>
        <v/>
      </c>
      <c r="S47">
        <f t="array" ref="S47">IF($D18,IFERROR((SUMPRODUCT((economics!$AG$2:$AG$167=$B47)*(economics!$D$2:$D$167="whr")*economics!$AH$2:$AH$167*(_xlfn.NORM.DIST(S$3,economics!$AK$2:$AK$167,economics!$AJ$2:$AJ$167,TRUE)-_xlfn.NORM.DIST(S$30,economics!$AK$2:$AK$167,economics!$AJ$2:$AJ$167,TRUE))*economics!$AM$2:$AM$167)+$CR18*(_xlfn.NORM.DIST(S$3,$CU18,0.3*$CU18,TRUE)-_xlfn.NORM.DIST(S$30,$CU18,0.3*$CU18,TRUE))*summary!$C$7/28.8/0.947817+$CS18*(_xlfn.NORM.DIST(S$3,$CV18,0.3*$CV18,TRUE)-_xlfn.NORM.DIST(S$30,$CV18,0.3*$CV18,TRUE))*summary!$C$6/28.8/0.947817)/(SUMPRODUCT((economics!$AG$2:$AG$167=$B47)*(economics!$D$2:$D$167="whr")*economics!$AH$2:$AH$167*(_xlfn.NORM.DIST(S$3,economics!$AK$2:$AK$167,economics!$AJ$2:$AJ$167,TRUE)-_xlfn.NORM.DIST(S$30,economics!$AK$2:$AK$167,economics!$AJ$2:$AJ$167,TRUE)))+$CR18*(_xlfn.NORM.DIST(S$3,$CU18,0.3*$CU18,TRUE)-_xlfn.NORM.DIST(S$30,$CU18,0.3*$CU18,TRUE))+$CS18*(_xlfn.NORM.DIST(S$3,$CV18,0.3*$CV18,TRUE)-_xlfn.NORM.DIST(S$30,$CV18,0.3*$CV18,TRUE))),""),IF($C18&gt;0,summary!$C$10/28.8/0.947817,""))</f>
        <v/>
      </c>
      <c r="T47">
        <f t="array" ref="T47">IF($D18,IFERROR((SUMPRODUCT((economics!$AG$2:$AG$167=$B47)*(economics!$D$2:$D$167="whr")*economics!$AH$2:$AH$167*(_xlfn.NORM.DIST(T$3,economics!$AK$2:$AK$167,economics!$AJ$2:$AJ$167,TRUE)-_xlfn.NORM.DIST(T$30,economics!$AK$2:$AK$167,economics!$AJ$2:$AJ$167,TRUE))*economics!$AM$2:$AM$167)+$CR18*(_xlfn.NORM.DIST(T$3,$CU18,0.3*$CU18,TRUE)-_xlfn.NORM.DIST(T$30,$CU18,0.3*$CU18,TRUE))*summary!$C$7/28.8/0.947817+$CS18*(_xlfn.NORM.DIST(T$3,$CV18,0.3*$CV18,TRUE)-_xlfn.NORM.DIST(T$30,$CV18,0.3*$CV18,TRUE))*summary!$C$6/28.8/0.947817)/(SUMPRODUCT((economics!$AG$2:$AG$167=$B47)*(economics!$D$2:$D$167="whr")*economics!$AH$2:$AH$167*(_xlfn.NORM.DIST(T$3,economics!$AK$2:$AK$167,economics!$AJ$2:$AJ$167,TRUE)-_xlfn.NORM.DIST(T$30,economics!$AK$2:$AK$167,economics!$AJ$2:$AJ$167,TRUE)))+$CR18*(_xlfn.NORM.DIST(T$3,$CU18,0.3*$CU18,TRUE)-_xlfn.NORM.DIST(T$30,$CU18,0.3*$CU18,TRUE))+$CS18*(_xlfn.NORM.DIST(T$3,$CV18,0.3*$CV18,TRUE)-_xlfn.NORM.DIST(T$30,$CV18,0.3*$CV18,TRUE))),""),IF($C18&gt;0,summary!$C$10/28.8/0.947817,""))</f>
        <v/>
      </c>
      <c r="U47">
        <f t="array" ref="U47">IF($D18,IFERROR((SUMPRODUCT((economics!$AG$2:$AG$167=$B47)*(economics!$D$2:$D$167="whr")*economics!$AH$2:$AH$167*(_xlfn.NORM.DIST(U$3,economics!$AK$2:$AK$167,economics!$AJ$2:$AJ$167,TRUE)-_xlfn.NORM.DIST(U$30,economics!$AK$2:$AK$167,economics!$AJ$2:$AJ$167,TRUE))*economics!$AM$2:$AM$167)+$CR18*(_xlfn.NORM.DIST(U$3,$CU18,0.3*$CU18,TRUE)-_xlfn.NORM.DIST(U$30,$CU18,0.3*$CU18,TRUE))*summary!$C$7/28.8/0.947817+$CS18*(_xlfn.NORM.DIST(U$3,$CV18,0.3*$CV18,TRUE)-_xlfn.NORM.DIST(U$30,$CV18,0.3*$CV18,TRUE))*summary!$C$6/28.8/0.947817)/(SUMPRODUCT((economics!$AG$2:$AG$167=$B47)*(economics!$D$2:$D$167="whr")*economics!$AH$2:$AH$167*(_xlfn.NORM.DIST(U$3,economics!$AK$2:$AK$167,economics!$AJ$2:$AJ$167,TRUE)-_xlfn.NORM.DIST(U$30,economics!$AK$2:$AK$167,economics!$AJ$2:$AJ$167,TRUE)))+$CR18*(_xlfn.NORM.DIST(U$3,$CU18,0.3*$CU18,TRUE)-_xlfn.NORM.DIST(U$30,$CU18,0.3*$CU18,TRUE))+$CS18*(_xlfn.NORM.DIST(U$3,$CV18,0.3*$CV18,TRUE)-_xlfn.NORM.DIST(U$30,$CV18,0.3*$CV18,TRUE))),""),IF($C18&gt;0,summary!$C$10/28.8/0.947817,""))</f>
        <v/>
      </c>
      <c r="V47">
        <f t="array" ref="V47">IF($D18,IFERROR((SUMPRODUCT((economics!$AG$2:$AG$167=$B47)*(economics!$D$2:$D$167="whr")*economics!$AH$2:$AH$167*(_xlfn.NORM.DIST(V$3,economics!$AK$2:$AK$167,economics!$AJ$2:$AJ$167,TRUE)-_xlfn.NORM.DIST(V$30,economics!$AK$2:$AK$167,economics!$AJ$2:$AJ$167,TRUE))*economics!$AM$2:$AM$167)+$CR18*(_xlfn.NORM.DIST(V$3,$CU18,0.3*$CU18,TRUE)-_xlfn.NORM.DIST(V$30,$CU18,0.3*$CU18,TRUE))*summary!$C$7/28.8/0.947817+$CS18*(_xlfn.NORM.DIST(V$3,$CV18,0.3*$CV18,TRUE)-_xlfn.NORM.DIST(V$30,$CV18,0.3*$CV18,TRUE))*summary!$C$6/28.8/0.947817)/(SUMPRODUCT((economics!$AG$2:$AG$167=$B47)*(economics!$D$2:$D$167="whr")*economics!$AH$2:$AH$167*(_xlfn.NORM.DIST(V$3,economics!$AK$2:$AK$167,economics!$AJ$2:$AJ$167,TRUE)-_xlfn.NORM.DIST(V$30,economics!$AK$2:$AK$167,economics!$AJ$2:$AJ$167,TRUE)))+$CR18*(_xlfn.NORM.DIST(V$3,$CU18,0.3*$CU18,TRUE)-_xlfn.NORM.DIST(V$30,$CU18,0.3*$CU18,TRUE))+$CS18*(_xlfn.NORM.DIST(V$3,$CV18,0.3*$CV18,TRUE)-_xlfn.NORM.DIST(V$30,$CV18,0.3*$CV18,TRUE))),""),IF($C18&gt;0,summary!$C$10/28.8/0.947817,""))</f>
        <v/>
      </c>
      <c r="W47">
        <f t="array" ref="W47">IF($D18,IFERROR((SUMPRODUCT((economics!$AG$2:$AG$167=$B47)*(economics!$D$2:$D$167="whr")*economics!$AH$2:$AH$167*(_xlfn.NORM.DIST(W$3,economics!$AK$2:$AK$167,economics!$AJ$2:$AJ$167,TRUE)-_xlfn.NORM.DIST(W$30,economics!$AK$2:$AK$167,economics!$AJ$2:$AJ$167,TRUE))*economics!$AM$2:$AM$167)+$CR18*(_xlfn.NORM.DIST(W$3,$CU18,0.3*$CU18,TRUE)-_xlfn.NORM.DIST(W$30,$CU18,0.3*$CU18,TRUE))*summary!$C$7/28.8/0.947817+$CS18*(_xlfn.NORM.DIST(W$3,$CV18,0.3*$CV18,TRUE)-_xlfn.NORM.DIST(W$30,$CV18,0.3*$CV18,TRUE))*summary!$C$6/28.8/0.947817)/(SUMPRODUCT((economics!$AG$2:$AG$167=$B47)*(economics!$D$2:$D$167="whr")*economics!$AH$2:$AH$167*(_xlfn.NORM.DIST(W$3,economics!$AK$2:$AK$167,economics!$AJ$2:$AJ$167,TRUE)-_xlfn.NORM.DIST(W$30,economics!$AK$2:$AK$167,economics!$AJ$2:$AJ$167,TRUE)))+$CR18*(_xlfn.NORM.DIST(W$3,$CU18,0.3*$CU18,TRUE)-_xlfn.NORM.DIST(W$30,$CU18,0.3*$CU18,TRUE))+$CS18*(_xlfn.NORM.DIST(W$3,$CV18,0.3*$CV18,TRUE)-_xlfn.NORM.DIST(W$30,$CV18,0.3*$CV18,TRUE))),""),IF($C18&gt;0,summary!$C$10/28.8/0.947817,""))</f>
        <v/>
      </c>
      <c r="X47">
        <f t="array" ref="X47">IF($D18,IFERROR((SUMPRODUCT((economics!$AG$2:$AG$167=$B47)*(economics!$D$2:$D$167="whr")*economics!$AH$2:$AH$167*(_xlfn.NORM.DIST(X$3,economics!$AK$2:$AK$167,economics!$AJ$2:$AJ$167,TRUE)-_xlfn.NORM.DIST(X$30,economics!$AK$2:$AK$167,economics!$AJ$2:$AJ$167,TRUE))*economics!$AM$2:$AM$167)+$CR18*(_xlfn.NORM.DIST(X$3,$CU18,0.3*$CU18,TRUE)-_xlfn.NORM.DIST(X$30,$CU18,0.3*$CU18,TRUE))*summary!$C$7/28.8/0.947817+$CS18*(_xlfn.NORM.DIST(X$3,$CV18,0.3*$CV18,TRUE)-_xlfn.NORM.DIST(X$30,$CV18,0.3*$CV18,TRUE))*summary!$C$6/28.8/0.947817)/(SUMPRODUCT((economics!$AG$2:$AG$167=$B47)*(economics!$D$2:$D$167="whr")*economics!$AH$2:$AH$167*(_xlfn.NORM.DIST(X$3,economics!$AK$2:$AK$167,economics!$AJ$2:$AJ$167,TRUE)-_xlfn.NORM.DIST(X$30,economics!$AK$2:$AK$167,economics!$AJ$2:$AJ$167,TRUE)))+$CR18*(_xlfn.NORM.DIST(X$3,$CU18,0.3*$CU18,TRUE)-_xlfn.NORM.DIST(X$30,$CU18,0.3*$CU18,TRUE))+$CS18*(_xlfn.NORM.DIST(X$3,$CV18,0.3*$CV18,TRUE)-_xlfn.NORM.DIST(X$30,$CV18,0.3*$CV18,TRUE))),""),IF($C18&gt;0,summary!$C$10/28.8/0.947817,""))</f>
        <v/>
      </c>
      <c r="Y47">
        <f t="array" ref="Y47">IF($D18,IFERROR((SUMPRODUCT((economics!$AG$2:$AG$167=$B47)*(economics!$D$2:$D$167="whr")*economics!$AH$2:$AH$167*(_xlfn.NORM.DIST(Y$3,economics!$AK$2:$AK$167,economics!$AJ$2:$AJ$167,TRUE)-_xlfn.NORM.DIST(Y$30,economics!$AK$2:$AK$167,economics!$AJ$2:$AJ$167,TRUE))*economics!$AM$2:$AM$167)+$CR18*(_xlfn.NORM.DIST(Y$3,$CU18,0.3*$CU18,TRUE)-_xlfn.NORM.DIST(Y$30,$CU18,0.3*$CU18,TRUE))*summary!$C$7/28.8/0.947817+$CS18*(_xlfn.NORM.DIST(Y$3,$CV18,0.3*$CV18,TRUE)-_xlfn.NORM.DIST(Y$30,$CV18,0.3*$CV18,TRUE))*summary!$C$6/28.8/0.947817)/(SUMPRODUCT((economics!$AG$2:$AG$167=$B47)*(economics!$D$2:$D$167="whr")*economics!$AH$2:$AH$167*(_xlfn.NORM.DIST(Y$3,economics!$AK$2:$AK$167,economics!$AJ$2:$AJ$167,TRUE)-_xlfn.NORM.DIST(Y$30,economics!$AK$2:$AK$167,economics!$AJ$2:$AJ$167,TRUE)))+$CR18*(_xlfn.NORM.DIST(Y$3,$CU18,0.3*$CU18,TRUE)-_xlfn.NORM.DIST(Y$30,$CU18,0.3*$CU18,TRUE))+$CS18*(_xlfn.NORM.DIST(Y$3,$CV18,0.3*$CV18,TRUE)-_xlfn.NORM.DIST(Y$30,$CV18,0.3*$CV18,TRUE))),""),IF($C18&gt;0,summary!$C$10/28.8/0.947817,""))</f>
        <v/>
      </c>
      <c r="Z47">
        <f t="array" ref="Z47">IF($D18,IFERROR((SUMPRODUCT((economics!$AG$2:$AG$167=$B47)*(economics!$D$2:$D$167="whr")*economics!$AH$2:$AH$167*(_xlfn.NORM.DIST(Z$3,economics!$AK$2:$AK$167,economics!$AJ$2:$AJ$167,TRUE)-_xlfn.NORM.DIST(Z$30,economics!$AK$2:$AK$167,economics!$AJ$2:$AJ$167,TRUE))*economics!$AM$2:$AM$167)+$CR18*(_xlfn.NORM.DIST(Z$3,$CU18,0.3*$CU18,TRUE)-_xlfn.NORM.DIST(Z$30,$CU18,0.3*$CU18,TRUE))*summary!$C$7/28.8/0.947817+$CS18*(_xlfn.NORM.DIST(Z$3,$CV18,0.3*$CV18,TRUE)-_xlfn.NORM.DIST(Z$30,$CV18,0.3*$CV18,TRUE))*summary!$C$6/28.8/0.947817)/(SUMPRODUCT((economics!$AG$2:$AG$167=$B47)*(economics!$D$2:$D$167="whr")*economics!$AH$2:$AH$167*(_xlfn.NORM.DIST(Z$3,economics!$AK$2:$AK$167,economics!$AJ$2:$AJ$167,TRUE)-_xlfn.NORM.DIST(Z$30,economics!$AK$2:$AK$167,economics!$AJ$2:$AJ$167,TRUE)))+$CR18*(_xlfn.NORM.DIST(Z$3,$CU18,0.3*$CU18,TRUE)-_xlfn.NORM.DIST(Z$30,$CU18,0.3*$CU18,TRUE))+$CS18*(_xlfn.NORM.DIST(Z$3,$CV18,0.3*$CV18,TRUE)-_xlfn.NORM.DIST(Z$30,$CV18,0.3*$CV18,TRUE))),""),IF($C18&gt;0,summary!$C$10/28.8/0.947817,""))</f>
        <v/>
      </c>
      <c r="AA47">
        <f t="array" ref="AA47">IF($D18,IFERROR((SUMPRODUCT((economics!$AG$2:$AG$167=$B47)*(economics!$D$2:$D$167="whr")*economics!$AH$2:$AH$167*(_xlfn.NORM.DIST(AA$3,economics!$AK$2:$AK$167,economics!$AJ$2:$AJ$167,TRUE)-_xlfn.NORM.DIST(AA$30,economics!$AK$2:$AK$167,economics!$AJ$2:$AJ$167,TRUE))*economics!$AM$2:$AM$167)+$CR18*(_xlfn.NORM.DIST(AA$3,$CU18,0.3*$CU18,TRUE)-_xlfn.NORM.DIST(AA$30,$CU18,0.3*$CU18,TRUE))*summary!$C$7/28.8/0.947817+$CS18*(_xlfn.NORM.DIST(AA$3,$CV18,0.3*$CV18,TRUE)-_xlfn.NORM.DIST(AA$30,$CV18,0.3*$CV18,TRUE))*summary!$C$6/28.8/0.947817)/(SUMPRODUCT((economics!$AG$2:$AG$167=$B47)*(economics!$D$2:$D$167="whr")*economics!$AH$2:$AH$167*(_xlfn.NORM.DIST(AA$3,economics!$AK$2:$AK$167,economics!$AJ$2:$AJ$167,TRUE)-_xlfn.NORM.DIST(AA$30,economics!$AK$2:$AK$167,economics!$AJ$2:$AJ$167,TRUE)))+$CR18*(_xlfn.NORM.DIST(AA$3,$CU18,0.3*$CU18,TRUE)-_xlfn.NORM.DIST(AA$30,$CU18,0.3*$CU18,TRUE))+$CS18*(_xlfn.NORM.DIST(AA$3,$CV18,0.3*$CV18,TRUE)-_xlfn.NORM.DIST(AA$30,$CV18,0.3*$CV18,TRUE))),""),IF($C18&gt;0,summary!$C$10/28.8/0.947817,""))</f>
        <v/>
      </c>
      <c r="AB47">
        <f t="array" ref="AB47">IF($D18,IFERROR((SUMPRODUCT((economics!$AG$2:$AG$167=$B47)*(economics!$D$2:$D$167="whr")*economics!$AH$2:$AH$167*(_xlfn.NORM.DIST(AB$3,economics!$AK$2:$AK$167,economics!$AJ$2:$AJ$167,TRUE)-_xlfn.NORM.DIST(AB$30,economics!$AK$2:$AK$167,economics!$AJ$2:$AJ$167,TRUE))*economics!$AM$2:$AM$167)+$CR18*(_xlfn.NORM.DIST(AB$3,$CU18,0.3*$CU18,TRUE)-_xlfn.NORM.DIST(AB$30,$CU18,0.3*$CU18,TRUE))*summary!$C$7/28.8/0.947817+$CS18*(_xlfn.NORM.DIST(AB$3,$CV18,0.3*$CV18,TRUE)-_xlfn.NORM.DIST(AB$30,$CV18,0.3*$CV18,TRUE))*summary!$C$6/28.8/0.947817)/(SUMPRODUCT((economics!$AG$2:$AG$167=$B47)*(economics!$D$2:$D$167="whr")*economics!$AH$2:$AH$167*(_xlfn.NORM.DIST(AB$3,economics!$AK$2:$AK$167,economics!$AJ$2:$AJ$167,TRUE)-_xlfn.NORM.DIST(AB$30,economics!$AK$2:$AK$167,economics!$AJ$2:$AJ$167,TRUE)))+$CR18*(_xlfn.NORM.DIST(AB$3,$CU18,0.3*$CU18,TRUE)-_xlfn.NORM.DIST(AB$30,$CU18,0.3*$CU18,TRUE))+$CS18*(_xlfn.NORM.DIST(AB$3,$CV18,0.3*$CV18,TRUE)-_xlfn.NORM.DIST(AB$30,$CV18,0.3*$CV18,TRUE))),""),IF($C18&gt;0,summary!$C$10/28.8/0.947817,""))</f>
        <v/>
      </c>
      <c r="AC47">
        <f t="array" ref="AC47">IF($D18,IFERROR((SUMPRODUCT((economics!$AG$2:$AG$167=$B47)*(economics!$D$2:$D$167="whr")*economics!$AH$2:$AH$167*(_xlfn.NORM.DIST(AC$3,economics!$AK$2:$AK$167,economics!$AJ$2:$AJ$167,TRUE)-_xlfn.NORM.DIST(AC$30,economics!$AK$2:$AK$167,economics!$AJ$2:$AJ$167,TRUE))*economics!$AM$2:$AM$167)+$CR18*(_xlfn.NORM.DIST(AC$3,$CU18,0.3*$CU18,TRUE)-_xlfn.NORM.DIST(AC$30,$CU18,0.3*$CU18,TRUE))*summary!$C$7/28.8/0.947817+$CS18*(_xlfn.NORM.DIST(AC$3,$CV18,0.3*$CV18,TRUE)-_xlfn.NORM.DIST(AC$30,$CV18,0.3*$CV18,TRUE))*summary!$C$6/28.8/0.947817)/(SUMPRODUCT((economics!$AG$2:$AG$167=$B47)*(economics!$D$2:$D$167="whr")*economics!$AH$2:$AH$167*(_xlfn.NORM.DIST(AC$3,economics!$AK$2:$AK$167,economics!$AJ$2:$AJ$167,TRUE)-_xlfn.NORM.DIST(AC$30,economics!$AK$2:$AK$167,economics!$AJ$2:$AJ$167,TRUE)))+$CR18*(_xlfn.NORM.DIST(AC$3,$CU18,0.3*$CU18,TRUE)-_xlfn.NORM.DIST(AC$30,$CU18,0.3*$CU18,TRUE))+$CS18*(_xlfn.NORM.DIST(AC$3,$CV18,0.3*$CV18,TRUE)-_xlfn.NORM.DIST(AC$30,$CV18,0.3*$CV18,TRUE))),""),IF($C18&gt;0,summary!$C$10/28.8/0.947817,""))</f>
        <v/>
      </c>
      <c r="AD47">
        <f t="array" ref="AD47">IF($D18,IFERROR((SUMPRODUCT((economics!$AG$2:$AG$167=$B47)*(economics!$D$2:$D$167="whr")*economics!$AH$2:$AH$167*(_xlfn.NORM.DIST(AD$3,economics!$AK$2:$AK$167,economics!$AJ$2:$AJ$167,TRUE)-_xlfn.NORM.DIST(AD$30,economics!$AK$2:$AK$167,economics!$AJ$2:$AJ$167,TRUE))*economics!$AM$2:$AM$167)+$CR18*(_xlfn.NORM.DIST(AD$3,$CU18,0.3*$CU18,TRUE)-_xlfn.NORM.DIST(AD$30,$CU18,0.3*$CU18,TRUE))*summary!$C$7/28.8/0.947817+$CS18*(_xlfn.NORM.DIST(AD$3,$CV18,0.3*$CV18,TRUE)-_xlfn.NORM.DIST(AD$30,$CV18,0.3*$CV18,TRUE))*summary!$C$6/28.8/0.947817)/(SUMPRODUCT((economics!$AG$2:$AG$167=$B47)*(economics!$D$2:$D$167="whr")*economics!$AH$2:$AH$167*(_xlfn.NORM.DIST(AD$3,economics!$AK$2:$AK$167,economics!$AJ$2:$AJ$167,TRUE)-_xlfn.NORM.DIST(AD$30,economics!$AK$2:$AK$167,economics!$AJ$2:$AJ$167,TRUE)))+$CR18*(_xlfn.NORM.DIST(AD$3,$CU18,0.3*$CU18,TRUE)-_xlfn.NORM.DIST(AD$30,$CU18,0.3*$CU18,TRUE))+$CS18*(_xlfn.NORM.DIST(AD$3,$CV18,0.3*$CV18,TRUE)-_xlfn.NORM.DIST(AD$30,$CV18,0.3*$CV18,TRUE))),""),IF($C18&gt;0,summary!$C$10/28.8/0.947817,""))</f>
        <v/>
      </c>
      <c r="AE47">
        <f t="array" ref="AE47">IF($D18,IFERROR((SUMPRODUCT((economics!$AG$2:$AG$167=$B47)*(economics!$D$2:$D$167="whr")*economics!$AH$2:$AH$167*(_xlfn.NORM.DIST(AE$3,economics!$AK$2:$AK$167,economics!$AJ$2:$AJ$167,TRUE)-_xlfn.NORM.DIST(AE$30,economics!$AK$2:$AK$167,economics!$AJ$2:$AJ$167,TRUE))*economics!$AM$2:$AM$167)+$CR18*(_xlfn.NORM.DIST(AE$3,$CU18,0.3*$CU18,TRUE)-_xlfn.NORM.DIST(AE$30,$CU18,0.3*$CU18,TRUE))*summary!$C$7/28.8/0.947817+$CS18*(_xlfn.NORM.DIST(AE$3,$CV18,0.3*$CV18,TRUE)-_xlfn.NORM.DIST(AE$30,$CV18,0.3*$CV18,TRUE))*summary!$C$6/28.8/0.947817)/(SUMPRODUCT((economics!$AG$2:$AG$167=$B47)*(economics!$D$2:$D$167="whr")*economics!$AH$2:$AH$167*(_xlfn.NORM.DIST(AE$3,economics!$AK$2:$AK$167,economics!$AJ$2:$AJ$167,TRUE)-_xlfn.NORM.DIST(AE$30,economics!$AK$2:$AK$167,economics!$AJ$2:$AJ$167,TRUE)))+$CR18*(_xlfn.NORM.DIST(AE$3,$CU18,0.3*$CU18,TRUE)-_xlfn.NORM.DIST(AE$30,$CU18,0.3*$CU18,TRUE))+$CS18*(_xlfn.NORM.DIST(AE$3,$CV18,0.3*$CV18,TRUE)-_xlfn.NORM.DIST(AE$30,$CV18,0.3*$CV18,TRUE))),""),IF($C18&gt;0,summary!$C$10/28.8/0.947817,""))</f>
        <v/>
      </c>
      <c r="AF47">
        <f t="array" ref="AF47">IF($D18,IFERROR((SUMPRODUCT((economics!$AG$2:$AG$167=$B47)*(economics!$D$2:$D$167="whr")*economics!$AH$2:$AH$167*(_xlfn.NORM.DIST(AF$3,economics!$AK$2:$AK$167,economics!$AJ$2:$AJ$167,TRUE)-_xlfn.NORM.DIST(AF$30,economics!$AK$2:$AK$167,economics!$AJ$2:$AJ$167,TRUE))*economics!$AM$2:$AM$167)+$CR18*(_xlfn.NORM.DIST(AF$3,$CU18,0.3*$CU18,TRUE)-_xlfn.NORM.DIST(AF$30,$CU18,0.3*$CU18,TRUE))*summary!$C$7/28.8/0.947817+$CS18*(_xlfn.NORM.DIST(AF$3,$CV18,0.3*$CV18,TRUE)-_xlfn.NORM.DIST(AF$30,$CV18,0.3*$CV18,TRUE))*summary!$C$6/28.8/0.947817)/(SUMPRODUCT((economics!$AG$2:$AG$167=$B47)*(economics!$D$2:$D$167="whr")*economics!$AH$2:$AH$167*(_xlfn.NORM.DIST(AF$3,economics!$AK$2:$AK$167,economics!$AJ$2:$AJ$167,TRUE)-_xlfn.NORM.DIST(AF$30,economics!$AK$2:$AK$167,economics!$AJ$2:$AJ$167,TRUE)))+$CR18*(_xlfn.NORM.DIST(AF$3,$CU18,0.3*$CU18,TRUE)-_xlfn.NORM.DIST(AF$30,$CU18,0.3*$CU18,TRUE))+$CS18*(_xlfn.NORM.DIST(AF$3,$CV18,0.3*$CV18,TRUE)-_xlfn.NORM.DIST(AF$30,$CV18,0.3*$CV18,TRUE))),""),IF($C18&gt;0,summary!$C$10/28.8/0.947817,""))</f>
        <v/>
      </c>
      <c r="AG47">
        <f t="array" ref="AG47">IF($D18,IFERROR((SUMPRODUCT((economics!$AG$2:$AG$167=$B47)*(economics!$D$2:$D$167="whr")*economics!$AH$2:$AH$167*(_xlfn.NORM.DIST(AG$3,economics!$AK$2:$AK$167,economics!$AJ$2:$AJ$167,TRUE)-_xlfn.NORM.DIST(AG$30,economics!$AK$2:$AK$167,economics!$AJ$2:$AJ$167,TRUE))*economics!$AM$2:$AM$167)+$CR18*(_xlfn.NORM.DIST(AG$3,$CU18,0.3*$CU18,TRUE)-_xlfn.NORM.DIST(AG$30,$CU18,0.3*$CU18,TRUE))*summary!$C$7/28.8/0.947817+$CS18*(_xlfn.NORM.DIST(AG$3,$CV18,0.3*$CV18,TRUE)-_xlfn.NORM.DIST(AG$30,$CV18,0.3*$CV18,TRUE))*summary!$C$6/28.8/0.947817)/(SUMPRODUCT((economics!$AG$2:$AG$167=$B47)*(economics!$D$2:$D$167="whr")*economics!$AH$2:$AH$167*(_xlfn.NORM.DIST(AG$3,economics!$AK$2:$AK$167,economics!$AJ$2:$AJ$167,TRUE)-_xlfn.NORM.DIST(AG$30,economics!$AK$2:$AK$167,economics!$AJ$2:$AJ$167,TRUE)))+$CR18*(_xlfn.NORM.DIST(AG$3,$CU18,0.3*$CU18,TRUE)-_xlfn.NORM.DIST(AG$30,$CU18,0.3*$CU18,TRUE))+$CS18*(_xlfn.NORM.DIST(AG$3,$CV18,0.3*$CV18,TRUE)-_xlfn.NORM.DIST(AG$30,$CV18,0.3*$CV18,TRUE))),""),IF($C18&gt;0,summary!$C$10/28.8/0.947817,""))</f>
        <v/>
      </c>
      <c r="AH47">
        <f t="array" ref="AH47">IF($D18,IFERROR((SUMPRODUCT((economics!$AG$2:$AG$167=$B47)*(economics!$D$2:$D$167="whr")*economics!$AH$2:$AH$167*(_xlfn.NORM.DIST(AH$3,economics!$AK$2:$AK$167,economics!$AJ$2:$AJ$167,TRUE)-_xlfn.NORM.DIST(AH$30,economics!$AK$2:$AK$167,economics!$AJ$2:$AJ$167,TRUE))*economics!$AM$2:$AM$167)+$CR18*(_xlfn.NORM.DIST(AH$3,$CU18,0.3*$CU18,TRUE)-_xlfn.NORM.DIST(AH$30,$CU18,0.3*$CU18,TRUE))*summary!$C$7/28.8/0.947817+$CS18*(_xlfn.NORM.DIST(AH$3,$CV18,0.3*$CV18,TRUE)-_xlfn.NORM.DIST(AH$30,$CV18,0.3*$CV18,TRUE))*summary!$C$6/28.8/0.947817)/(SUMPRODUCT((economics!$AG$2:$AG$167=$B47)*(economics!$D$2:$D$167="whr")*economics!$AH$2:$AH$167*(_xlfn.NORM.DIST(AH$3,economics!$AK$2:$AK$167,economics!$AJ$2:$AJ$167,TRUE)-_xlfn.NORM.DIST(AH$30,economics!$AK$2:$AK$167,economics!$AJ$2:$AJ$167,TRUE)))+$CR18*(_xlfn.NORM.DIST(AH$3,$CU18,0.3*$CU18,TRUE)-_xlfn.NORM.DIST(AH$30,$CU18,0.3*$CU18,TRUE))+$CS18*(_xlfn.NORM.DIST(AH$3,$CV18,0.3*$CV18,TRUE)-_xlfn.NORM.DIST(AH$30,$CV18,0.3*$CV18,TRUE))),""),IF($C18&gt;0,summary!$C$10/28.8/0.947817,""))</f>
        <v/>
      </c>
      <c r="AI47">
        <f t="array" ref="AI47">IF($D18,IFERROR((SUMPRODUCT((economics!$AG$2:$AG$167=$B47)*(economics!$D$2:$D$167="whr")*economics!$AH$2:$AH$167*(_xlfn.NORM.DIST(AI$3,economics!$AK$2:$AK$167,economics!$AJ$2:$AJ$167,TRUE)-_xlfn.NORM.DIST(AI$30,economics!$AK$2:$AK$167,economics!$AJ$2:$AJ$167,TRUE))*economics!$AM$2:$AM$167)+$CR18*(_xlfn.NORM.DIST(AI$3,$CU18,0.3*$CU18,TRUE)-_xlfn.NORM.DIST(AI$30,$CU18,0.3*$CU18,TRUE))*summary!$C$7/28.8/0.947817+$CS18*(_xlfn.NORM.DIST(AI$3,$CV18,0.3*$CV18,TRUE)-_xlfn.NORM.DIST(AI$30,$CV18,0.3*$CV18,TRUE))*summary!$C$6/28.8/0.947817)/(SUMPRODUCT((economics!$AG$2:$AG$167=$B47)*(economics!$D$2:$D$167="whr")*economics!$AH$2:$AH$167*(_xlfn.NORM.DIST(AI$3,economics!$AK$2:$AK$167,economics!$AJ$2:$AJ$167,TRUE)-_xlfn.NORM.DIST(AI$30,economics!$AK$2:$AK$167,economics!$AJ$2:$AJ$167,TRUE)))+$CR18*(_xlfn.NORM.DIST(AI$3,$CU18,0.3*$CU18,TRUE)-_xlfn.NORM.DIST(AI$30,$CU18,0.3*$CU18,TRUE))+$CS18*(_xlfn.NORM.DIST(AI$3,$CV18,0.3*$CV18,TRUE)-_xlfn.NORM.DIST(AI$30,$CV18,0.3*$CV18,TRUE))),""),IF($C18&gt;0,summary!$C$10/28.8/0.947817,""))</f>
        <v/>
      </c>
      <c r="AJ47">
        <f t="array" ref="AJ47">IF($D18,IFERROR((SUMPRODUCT((economics!$AG$2:$AG$167=$B47)*(economics!$D$2:$D$167="whr")*economics!$AH$2:$AH$167*(_xlfn.NORM.DIST(AJ$3,economics!$AK$2:$AK$167,economics!$AJ$2:$AJ$167,TRUE)-_xlfn.NORM.DIST(AJ$30,economics!$AK$2:$AK$167,economics!$AJ$2:$AJ$167,TRUE))*economics!$AM$2:$AM$167)+$CR18*(_xlfn.NORM.DIST(AJ$3,$CU18,0.3*$CU18,TRUE)-_xlfn.NORM.DIST(AJ$30,$CU18,0.3*$CU18,TRUE))*summary!$C$7/28.8/0.947817+$CS18*(_xlfn.NORM.DIST(AJ$3,$CV18,0.3*$CV18,TRUE)-_xlfn.NORM.DIST(AJ$30,$CV18,0.3*$CV18,TRUE))*summary!$C$6/28.8/0.947817)/(SUMPRODUCT((economics!$AG$2:$AG$167=$B47)*(economics!$D$2:$D$167="whr")*economics!$AH$2:$AH$167*(_xlfn.NORM.DIST(AJ$3,economics!$AK$2:$AK$167,economics!$AJ$2:$AJ$167,TRUE)-_xlfn.NORM.DIST(AJ$30,economics!$AK$2:$AK$167,economics!$AJ$2:$AJ$167,TRUE)))+$CR18*(_xlfn.NORM.DIST(AJ$3,$CU18,0.3*$CU18,TRUE)-_xlfn.NORM.DIST(AJ$30,$CU18,0.3*$CU18,TRUE))+$CS18*(_xlfn.NORM.DIST(AJ$3,$CV18,0.3*$CV18,TRUE)-_xlfn.NORM.DIST(AJ$30,$CV18,0.3*$CV18,TRUE))),""),IF($C18&gt;0,summary!$C$10/28.8/0.947817,""))</f>
        <v/>
      </c>
      <c r="AK47">
        <f t="array" ref="AK47">IF($D18,IFERROR((SUMPRODUCT((economics!$AG$2:$AG$167=$B47)*(economics!$D$2:$D$167="whr")*economics!$AH$2:$AH$167*(_xlfn.NORM.DIST(AK$3,economics!$AK$2:$AK$167,economics!$AJ$2:$AJ$167,TRUE)-_xlfn.NORM.DIST(AK$30,economics!$AK$2:$AK$167,economics!$AJ$2:$AJ$167,TRUE))*economics!$AM$2:$AM$167)+$CR18*(_xlfn.NORM.DIST(AK$3,$CU18,0.3*$CU18,TRUE)-_xlfn.NORM.DIST(AK$30,$CU18,0.3*$CU18,TRUE))*summary!$C$7/28.8/0.947817+$CS18*(_xlfn.NORM.DIST(AK$3,$CV18,0.3*$CV18,TRUE)-_xlfn.NORM.DIST(AK$30,$CV18,0.3*$CV18,TRUE))*summary!$C$6/28.8/0.947817)/(SUMPRODUCT((economics!$AG$2:$AG$167=$B47)*(economics!$D$2:$D$167="whr")*economics!$AH$2:$AH$167*(_xlfn.NORM.DIST(AK$3,economics!$AK$2:$AK$167,economics!$AJ$2:$AJ$167,TRUE)-_xlfn.NORM.DIST(AK$30,economics!$AK$2:$AK$167,economics!$AJ$2:$AJ$167,TRUE)))+$CR18*(_xlfn.NORM.DIST(AK$3,$CU18,0.3*$CU18,TRUE)-_xlfn.NORM.DIST(AK$30,$CU18,0.3*$CU18,TRUE))+$CS18*(_xlfn.NORM.DIST(AK$3,$CV18,0.3*$CV18,TRUE)-_xlfn.NORM.DIST(AK$30,$CV18,0.3*$CV18,TRUE))),""),IF($C18&gt;0,summary!$C$10/28.8/0.947817,""))</f>
        <v/>
      </c>
      <c r="AL47">
        <f t="array" ref="AL47">IF($D18,IFERROR((SUMPRODUCT((economics!$AG$2:$AG$167=$B47)*(economics!$D$2:$D$167="whr")*economics!$AH$2:$AH$167*(_xlfn.NORM.DIST(AL$3,economics!$AK$2:$AK$167,economics!$AJ$2:$AJ$167,TRUE)-_xlfn.NORM.DIST(AL$30,economics!$AK$2:$AK$167,economics!$AJ$2:$AJ$167,TRUE))*economics!$AM$2:$AM$167)+$CR18*(_xlfn.NORM.DIST(AL$3,$CU18,0.3*$CU18,TRUE)-_xlfn.NORM.DIST(AL$30,$CU18,0.3*$CU18,TRUE))*summary!$C$7/28.8/0.947817+$CS18*(_xlfn.NORM.DIST(AL$3,$CV18,0.3*$CV18,TRUE)-_xlfn.NORM.DIST(AL$30,$CV18,0.3*$CV18,TRUE))*summary!$C$6/28.8/0.947817)/(SUMPRODUCT((economics!$AG$2:$AG$167=$B47)*(economics!$D$2:$D$167="whr")*economics!$AH$2:$AH$167*(_xlfn.NORM.DIST(AL$3,economics!$AK$2:$AK$167,economics!$AJ$2:$AJ$167,TRUE)-_xlfn.NORM.DIST(AL$30,economics!$AK$2:$AK$167,economics!$AJ$2:$AJ$167,TRUE)))+$CR18*(_xlfn.NORM.DIST(AL$3,$CU18,0.3*$CU18,TRUE)-_xlfn.NORM.DIST(AL$30,$CU18,0.3*$CU18,TRUE))+$CS18*(_xlfn.NORM.DIST(AL$3,$CV18,0.3*$CV18,TRUE)-_xlfn.NORM.DIST(AL$30,$CV18,0.3*$CV18,TRUE))),""),IF($C18&gt;0,summary!$C$10/28.8/0.947817,""))</f>
        <v/>
      </c>
      <c r="AM47">
        <f t="array" ref="AM47">IF($D18,IFERROR((SUMPRODUCT((economics!$AG$2:$AG$167=$B47)*(economics!$D$2:$D$167="whr")*economics!$AH$2:$AH$167*(_xlfn.NORM.DIST(AM$3,economics!$AK$2:$AK$167,economics!$AJ$2:$AJ$167,TRUE)-_xlfn.NORM.DIST(AM$30,economics!$AK$2:$AK$167,economics!$AJ$2:$AJ$167,TRUE))*economics!$AM$2:$AM$167)+$CR18*(_xlfn.NORM.DIST(AM$3,$CU18,0.3*$CU18,TRUE)-_xlfn.NORM.DIST(AM$30,$CU18,0.3*$CU18,TRUE))*summary!$C$7/28.8/0.947817+$CS18*(_xlfn.NORM.DIST(AM$3,$CV18,0.3*$CV18,TRUE)-_xlfn.NORM.DIST(AM$30,$CV18,0.3*$CV18,TRUE))*summary!$C$6/28.8/0.947817)/(SUMPRODUCT((economics!$AG$2:$AG$167=$B47)*(economics!$D$2:$D$167="whr")*economics!$AH$2:$AH$167*(_xlfn.NORM.DIST(AM$3,economics!$AK$2:$AK$167,economics!$AJ$2:$AJ$167,TRUE)-_xlfn.NORM.DIST(AM$30,economics!$AK$2:$AK$167,economics!$AJ$2:$AJ$167,TRUE)))+$CR18*(_xlfn.NORM.DIST(AM$3,$CU18,0.3*$CU18,TRUE)-_xlfn.NORM.DIST(AM$30,$CU18,0.3*$CU18,TRUE))+$CS18*(_xlfn.NORM.DIST(AM$3,$CV18,0.3*$CV18,TRUE)-_xlfn.NORM.DIST(AM$30,$CV18,0.3*$CV18,TRUE))),""),IF($C18&gt;0,summary!$C$10/28.8/0.947817,""))</f>
        <v/>
      </c>
      <c r="AN47">
        <f t="array" ref="AN47">IF($D18,IFERROR((SUMPRODUCT((economics!$AG$2:$AG$167=$B47)*(economics!$D$2:$D$167="whr")*economics!$AH$2:$AH$167*(_xlfn.NORM.DIST(AN$3,economics!$AK$2:$AK$167,economics!$AJ$2:$AJ$167,TRUE)-_xlfn.NORM.DIST(AN$30,economics!$AK$2:$AK$167,economics!$AJ$2:$AJ$167,TRUE))*economics!$AM$2:$AM$167)+$CR18*(_xlfn.NORM.DIST(AN$3,$CU18,0.3*$CU18,TRUE)-_xlfn.NORM.DIST(AN$30,$CU18,0.3*$CU18,TRUE))*summary!$C$7/28.8/0.947817+$CS18*(_xlfn.NORM.DIST(AN$3,$CV18,0.3*$CV18,TRUE)-_xlfn.NORM.DIST(AN$30,$CV18,0.3*$CV18,TRUE))*summary!$C$6/28.8/0.947817)/(SUMPRODUCT((economics!$AG$2:$AG$167=$B47)*(economics!$D$2:$D$167="whr")*economics!$AH$2:$AH$167*(_xlfn.NORM.DIST(AN$3,economics!$AK$2:$AK$167,economics!$AJ$2:$AJ$167,TRUE)-_xlfn.NORM.DIST(AN$30,economics!$AK$2:$AK$167,economics!$AJ$2:$AJ$167,TRUE)))+$CR18*(_xlfn.NORM.DIST(AN$3,$CU18,0.3*$CU18,TRUE)-_xlfn.NORM.DIST(AN$30,$CU18,0.3*$CU18,TRUE))+$CS18*(_xlfn.NORM.DIST(AN$3,$CV18,0.3*$CV18,TRUE)-_xlfn.NORM.DIST(AN$30,$CV18,0.3*$CV18,TRUE))),""),IF($C18&gt;0,summary!$C$10/28.8/0.947817,""))</f>
        <v/>
      </c>
      <c r="AO47">
        <f t="array" ref="AO47">IF($D18,IFERROR((SUMPRODUCT((economics!$AG$2:$AG$167=$B47)*(economics!$D$2:$D$167="whr")*economics!$AH$2:$AH$167*(_xlfn.NORM.DIST(AO$3,economics!$AK$2:$AK$167,economics!$AJ$2:$AJ$167,TRUE)-_xlfn.NORM.DIST(AO$30,economics!$AK$2:$AK$167,economics!$AJ$2:$AJ$167,TRUE))*economics!$AM$2:$AM$167)+$CR18*(_xlfn.NORM.DIST(AO$3,$CU18,0.3*$CU18,TRUE)-_xlfn.NORM.DIST(AO$30,$CU18,0.3*$CU18,TRUE))*summary!$C$7/28.8/0.947817+$CS18*(_xlfn.NORM.DIST(AO$3,$CV18,0.3*$CV18,TRUE)-_xlfn.NORM.DIST(AO$30,$CV18,0.3*$CV18,TRUE))*summary!$C$6/28.8/0.947817)/(SUMPRODUCT((economics!$AG$2:$AG$167=$B47)*(economics!$D$2:$D$167="whr")*economics!$AH$2:$AH$167*(_xlfn.NORM.DIST(AO$3,economics!$AK$2:$AK$167,economics!$AJ$2:$AJ$167,TRUE)-_xlfn.NORM.DIST(AO$30,economics!$AK$2:$AK$167,economics!$AJ$2:$AJ$167,TRUE)))+$CR18*(_xlfn.NORM.DIST(AO$3,$CU18,0.3*$CU18,TRUE)-_xlfn.NORM.DIST(AO$30,$CU18,0.3*$CU18,TRUE))+$CS18*(_xlfn.NORM.DIST(AO$3,$CV18,0.3*$CV18,TRUE)-_xlfn.NORM.DIST(AO$30,$CV18,0.3*$CV18,TRUE))),""),IF($C18&gt;0,summary!$C$10/28.8/0.947817,""))</f>
        <v/>
      </c>
      <c r="AP47">
        <f t="array" ref="AP47">IF($D18,IFERROR((SUMPRODUCT((economics!$AG$2:$AG$167=$B47)*(economics!$D$2:$D$167="whr")*economics!$AH$2:$AH$167*(_xlfn.NORM.DIST(AP$3,economics!$AK$2:$AK$167,economics!$AJ$2:$AJ$167,TRUE)-_xlfn.NORM.DIST(AP$30,economics!$AK$2:$AK$167,economics!$AJ$2:$AJ$167,TRUE))*economics!$AM$2:$AM$167)+$CR18*(_xlfn.NORM.DIST(AP$3,$CU18,0.3*$CU18,TRUE)-_xlfn.NORM.DIST(AP$30,$CU18,0.3*$CU18,TRUE))*summary!$C$7/28.8/0.947817+$CS18*(_xlfn.NORM.DIST(AP$3,$CV18,0.3*$CV18,TRUE)-_xlfn.NORM.DIST(AP$30,$CV18,0.3*$CV18,TRUE))*summary!$C$6/28.8/0.947817)/(SUMPRODUCT((economics!$AG$2:$AG$167=$B47)*(economics!$D$2:$D$167="whr")*economics!$AH$2:$AH$167*(_xlfn.NORM.DIST(AP$3,economics!$AK$2:$AK$167,economics!$AJ$2:$AJ$167,TRUE)-_xlfn.NORM.DIST(AP$30,economics!$AK$2:$AK$167,economics!$AJ$2:$AJ$167,TRUE)))+$CR18*(_xlfn.NORM.DIST(AP$3,$CU18,0.3*$CU18,TRUE)-_xlfn.NORM.DIST(AP$30,$CU18,0.3*$CU18,TRUE))+$CS18*(_xlfn.NORM.DIST(AP$3,$CV18,0.3*$CV18,TRUE)-_xlfn.NORM.DIST(AP$30,$CV18,0.3*$CV18,TRUE))),""),IF($C18&gt;0,summary!$C$10/28.8/0.947817,""))</f>
        <v/>
      </c>
      <c r="AQ47">
        <f t="array" ref="AQ47">IF($D18,IFERROR((SUMPRODUCT((economics!$AG$2:$AG$167=$B47)*(economics!$D$2:$D$167="whr")*economics!$AH$2:$AH$167*(_xlfn.NORM.DIST(AQ$3,economics!$AK$2:$AK$167,economics!$AJ$2:$AJ$167,TRUE)-_xlfn.NORM.DIST(AQ$30,economics!$AK$2:$AK$167,economics!$AJ$2:$AJ$167,TRUE))*economics!$AM$2:$AM$167)+$CR18*(_xlfn.NORM.DIST(AQ$3,$CU18,0.3*$CU18,TRUE)-_xlfn.NORM.DIST(AQ$30,$CU18,0.3*$CU18,TRUE))*summary!$C$7/28.8/0.947817+$CS18*(_xlfn.NORM.DIST(AQ$3,$CV18,0.3*$CV18,TRUE)-_xlfn.NORM.DIST(AQ$30,$CV18,0.3*$CV18,TRUE))*summary!$C$6/28.8/0.947817)/(SUMPRODUCT((economics!$AG$2:$AG$167=$B47)*(economics!$D$2:$D$167="whr")*economics!$AH$2:$AH$167*(_xlfn.NORM.DIST(AQ$3,economics!$AK$2:$AK$167,economics!$AJ$2:$AJ$167,TRUE)-_xlfn.NORM.DIST(AQ$30,economics!$AK$2:$AK$167,economics!$AJ$2:$AJ$167,TRUE)))+$CR18*(_xlfn.NORM.DIST(AQ$3,$CU18,0.3*$CU18,TRUE)-_xlfn.NORM.DIST(AQ$30,$CU18,0.3*$CU18,TRUE))+$CS18*(_xlfn.NORM.DIST(AQ$3,$CV18,0.3*$CV18,TRUE)-_xlfn.NORM.DIST(AQ$30,$CV18,0.3*$CV18,TRUE))),""),IF($C18&gt;0,summary!$C$10/28.8/0.947817,""))</f>
        <v/>
      </c>
      <c r="AR47">
        <f t="array" ref="AR47">IF($D18,IFERROR((SUMPRODUCT((economics!$AG$2:$AG$167=$B47)*(economics!$D$2:$D$167="whr")*economics!$AH$2:$AH$167*(_xlfn.NORM.DIST(AR$3,economics!$AK$2:$AK$167,economics!$AJ$2:$AJ$167,TRUE)-_xlfn.NORM.DIST(AR$30,economics!$AK$2:$AK$167,economics!$AJ$2:$AJ$167,TRUE))*economics!$AM$2:$AM$167)+$CR18*(_xlfn.NORM.DIST(AR$3,$CU18,0.3*$CU18,TRUE)-_xlfn.NORM.DIST(AR$30,$CU18,0.3*$CU18,TRUE))*summary!$C$7/28.8/0.947817+$CS18*(_xlfn.NORM.DIST(AR$3,$CV18,0.3*$CV18,TRUE)-_xlfn.NORM.DIST(AR$30,$CV18,0.3*$CV18,TRUE))*summary!$C$6/28.8/0.947817)/(SUMPRODUCT((economics!$AG$2:$AG$167=$B47)*(economics!$D$2:$D$167="whr")*economics!$AH$2:$AH$167*(_xlfn.NORM.DIST(AR$3,economics!$AK$2:$AK$167,economics!$AJ$2:$AJ$167,TRUE)-_xlfn.NORM.DIST(AR$30,economics!$AK$2:$AK$167,economics!$AJ$2:$AJ$167,TRUE)))+$CR18*(_xlfn.NORM.DIST(AR$3,$CU18,0.3*$CU18,TRUE)-_xlfn.NORM.DIST(AR$30,$CU18,0.3*$CU18,TRUE))+$CS18*(_xlfn.NORM.DIST(AR$3,$CV18,0.3*$CV18,TRUE)-_xlfn.NORM.DIST(AR$30,$CV18,0.3*$CV18,TRUE))),""),IF($C18&gt;0,summary!$C$10/28.8/0.947817,""))</f>
        <v/>
      </c>
      <c r="AS47">
        <f t="array" ref="AS47">IF($D18,IFERROR((SUMPRODUCT((economics!$AG$2:$AG$167=$B47)*(economics!$D$2:$D$167="whr")*economics!$AH$2:$AH$167*(_xlfn.NORM.DIST(AS$3,economics!$AK$2:$AK$167,economics!$AJ$2:$AJ$167,TRUE)-_xlfn.NORM.DIST(AS$30,economics!$AK$2:$AK$167,economics!$AJ$2:$AJ$167,TRUE))*economics!$AM$2:$AM$167)+$CR18*(_xlfn.NORM.DIST(AS$3,$CU18,0.3*$CU18,TRUE)-_xlfn.NORM.DIST(AS$30,$CU18,0.3*$CU18,TRUE))*summary!$C$7/28.8/0.947817+$CS18*(_xlfn.NORM.DIST(AS$3,$CV18,0.3*$CV18,TRUE)-_xlfn.NORM.DIST(AS$30,$CV18,0.3*$CV18,TRUE))*summary!$C$6/28.8/0.947817)/(SUMPRODUCT((economics!$AG$2:$AG$167=$B47)*(economics!$D$2:$D$167="whr")*economics!$AH$2:$AH$167*(_xlfn.NORM.DIST(AS$3,economics!$AK$2:$AK$167,economics!$AJ$2:$AJ$167,TRUE)-_xlfn.NORM.DIST(AS$30,economics!$AK$2:$AK$167,economics!$AJ$2:$AJ$167,TRUE)))+$CR18*(_xlfn.NORM.DIST(AS$3,$CU18,0.3*$CU18,TRUE)-_xlfn.NORM.DIST(AS$30,$CU18,0.3*$CU18,TRUE))+$CS18*(_xlfn.NORM.DIST(AS$3,$CV18,0.3*$CV18,TRUE)-_xlfn.NORM.DIST(AS$30,$CV18,0.3*$CV18,TRUE))),""),IF($C18&gt;0,summary!$C$10/28.8/0.947817,""))</f>
        <v/>
      </c>
      <c r="AT47">
        <f t="array" ref="AT47">IF($D18,IFERROR((SUMPRODUCT((economics!$AG$2:$AG$167=$B47)*(economics!$D$2:$D$167="whr")*economics!$AH$2:$AH$167*(_xlfn.NORM.DIST(AT$3,economics!$AK$2:$AK$167,economics!$AJ$2:$AJ$167,TRUE)-_xlfn.NORM.DIST(AT$30,economics!$AK$2:$AK$167,economics!$AJ$2:$AJ$167,TRUE))*economics!$AM$2:$AM$167)+$CR18*(_xlfn.NORM.DIST(AT$3,$CU18,0.3*$CU18,TRUE)-_xlfn.NORM.DIST(AT$30,$CU18,0.3*$CU18,TRUE))*summary!$C$7/28.8/0.947817+$CS18*(_xlfn.NORM.DIST(AT$3,$CV18,0.3*$CV18,TRUE)-_xlfn.NORM.DIST(AT$30,$CV18,0.3*$CV18,TRUE))*summary!$C$6/28.8/0.947817)/(SUMPRODUCT((economics!$AG$2:$AG$167=$B47)*(economics!$D$2:$D$167="whr")*economics!$AH$2:$AH$167*(_xlfn.NORM.DIST(AT$3,economics!$AK$2:$AK$167,economics!$AJ$2:$AJ$167,TRUE)-_xlfn.NORM.DIST(AT$30,economics!$AK$2:$AK$167,economics!$AJ$2:$AJ$167,TRUE)))+$CR18*(_xlfn.NORM.DIST(AT$3,$CU18,0.3*$CU18,TRUE)-_xlfn.NORM.DIST(AT$30,$CU18,0.3*$CU18,TRUE))+$CS18*(_xlfn.NORM.DIST(AT$3,$CV18,0.3*$CV18,TRUE)-_xlfn.NORM.DIST(AT$30,$CV18,0.3*$CV18,TRUE))),""),IF($C18&gt;0,summary!$C$10/28.8/0.947817,""))</f>
        <v/>
      </c>
      <c r="AU47">
        <f t="array" ref="AU47">IF($D18,IFERROR((SUMPRODUCT((economics!$AG$2:$AG$167=$B47)*(economics!$D$2:$D$167="whr")*economics!$AH$2:$AH$167*(_xlfn.NORM.DIST(AU$3,economics!$AK$2:$AK$167,economics!$AJ$2:$AJ$167,TRUE)-_xlfn.NORM.DIST(AU$30,economics!$AK$2:$AK$167,economics!$AJ$2:$AJ$167,TRUE))*economics!$AM$2:$AM$167)+$CR18*(_xlfn.NORM.DIST(AU$3,$CU18,0.3*$CU18,TRUE)-_xlfn.NORM.DIST(AU$30,$CU18,0.3*$CU18,TRUE))*summary!$C$7/28.8/0.947817+$CS18*(_xlfn.NORM.DIST(AU$3,$CV18,0.3*$CV18,TRUE)-_xlfn.NORM.DIST(AU$30,$CV18,0.3*$CV18,TRUE))*summary!$C$6/28.8/0.947817)/(SUMPRODUCT((economics!$AG$2:$AG$167=$B47)*(economics!$D$2:$D$167="whr")*economics!$AH$2:$AH$167*(_xlfn.NORM.DIST(AU$3,economics!$AK$2:$AK$167,economics!$AJ$2:$AJ$167,TRUE)-_xlfn.NORM.DIST(AU$30,economics!$AK$2:$AK$167,economics!$AJ$2:$AJ$167,TRUE)))+$CR18*(_xlfn.NORM.DIST(AU$3,$CU18,0.3*$CU18,TRUE)-_xlfn.NORM.DIST(AU$30,$CU18,0.3*$CU18,TRUE))+$CS18*(_xlfn.NORM.DIST(AU$3,$CV18,0.3*$CV18,TRUE)-_xlfn.NORM.DIST(AU$30,$CV18,0.3*$CV18,TRUE))),""),IF($C18&gt;0,summary!$C$10/28.8/0.947817,""))</f>
        <v/>
      </c>
      <c r="AV47">
        <f t="array" ref="AV47">IF($D18,IFERROR((SUMPRODUCT((economics!$AG$2:$AG$167=$B47)*(economics!$D$2:$D$167="whr")*economics!$AH$2:$AH$167*(_xlfn.NORM.DIST(AV$3,economics!$AK$2:$AK$167,economics!$AJ$2:$AJ$167,TRUE)-_xlfn.NORM.DIST(AV$30,economics!$AK$2:$AK$167,economics!$AJ$2:$AJ$167,TRUE))*economics!$AM$2:$AM$167)+$CR18*(_xlfn.NORM.DIST(AV$3,$CU18,0.3*$CU18,TRUE)-_xlfn.NORM.DIST(AV$30,$CU18,0.3*$CU18,TRUE))*summary!$C$7/28.8/0.947817+$CS18*(_xlfn.NORM.DIST(AV$3,$CV18,0.3*$CV18,TRUE)-_xlfn.NORM.DIST(AV$30,$CV18,0.3*$CV18,TRUE))*summary!$C$6/28.8/0.947817)/(SUMPRODUCT((economics!$AG$2:$AG$167=$B47)*(economics!$D$2:$D$167="whr")*economics!$AH$2:$AH$167*(_xlfn.NORM.DIST(AV$3,economics!$AK$2:$AK$167,economics!$AJ$2:$AJ$167,TRUE)-_xlfn.NORM.DIST(AV$30,economics!$AK$2:$AK$167,economics!$AJ$2:$AJ$167,TRUE)))+$CR18*(_xlfn.NORM.DIST(AV$3,$CU18,0.3*$CU18,TRUE)-_xlfn.NORM.DIST(AV$30,$CU18,0.3*$CU18,TRUE))+$CS18*(_xlfn.NORM.DIST(AV$3,$CV18,0.3*$CV18,TRUE)-_xlfn.NORM.DIST(AV$30,$CV18,0.3*$CV18,TRUE))),""),IF($C18&gt;0,summary!$C$10/28.8/0.947817,""))</f>
        <v/>
      </c>
      <c r="AW47">
        <f t="array" ref="AW47">IF($D18,IFERROR((SUMPRODUCT((economics!$AG$2:$AG$167=$B47)*(economics!$D$2:$D$167="whr")*economics!$AH$2:$AH$167*(_xlfn.NORM.DIST(AW$3,economics!$AK$2:$AK$167,economics!$AJ$2:$AJ$167,TRUE)-_xlfn.NORM.DIST(AW$30,economics!$AK$2:$AK$167,economics!$AJ$2:$AJ$167,TRUE))*economics!$AM$2:$AM$167)+$CR18*(_xlfn.NORM.DIST(AW$3,$CU18,0.3*$CU18,TRUE)-_xlfn.NORM.DIST(AW$30,$CU18,0.3*$CU18,TRUE))*summary!$C$7/28.8/0.947817+$CS18*(_xlfn.NORM.DIST(AW$3,$CV18,0.3*$CV18,TRUE)-_xlfn.NORM.DIST(AW$30,$CV18,0.3*$CV18,TRUE))*summary!$C$6/28.8/0.947817)/(SUMPRODUCT((economics!$AG$2:$AG$167=$B47)*(economics!$D$2:$D$167="whr")*economics!$AH$2:$AH$167*(_xlfn.NORM.DIST(AW$3,economics!$AK$2:$AK$167,economics!$AJ$2:$AJ$167,TRUE)-_xlfn.NORM.DIST(AW$30,economics!$AK$2:$AK$167,economics!$AJ$2:$AJ$167,TRUE)))+$CR18*(_xlfn.NORM.DIST(AW$3,$CU18,0.3*$CU18,TRUE)-_xlfn.NORM.DIST(AW$30,$CU18,0.3*$CU18,TRUE))+$CS18*(_xlfn.NORM.DIST(AW$3,$CV18,0.3*$CV18,TRUE)-_xlfn.NORM.DIST(AW$30,$CV18,0.3*$CV18,TRUE))),""),IF($C18&gt;0,summary!$C$10/28.8/0.947817,""))</f>
        <v/>
      </c>
      <c r="AX47">
        <f t="array" ref="AX47">IF($D18,IFERROR((SUMPRODUCT((economics!$AG$2:$AG$167=$B47)*(economics!$D$2:$D$167="whr")*economics!$AH$2:$AH$167*(_xlfn.NORM.DIST(AX$3,economics!$AK$2:$AK$167,economics!$AJ$2:$AJ$167,TRUE)-_xlfn.NORM.DIST(AX$30,economics!$AK$2:$AK$167,economics!$AJ$2:$AJ$167,TRUE))*economics!$AM$2:$AM$167)+$CR18*(_xlfn.NORM.DIST(AX$3,$CU18,0.3*$CU18,TRUE)-_xlfn.NORM.DIST(AX$30,$CU18,0.3*$CU18,TRUE))*summary!$C$7/28.8/0.947817+$CS18*(_xlfn.NORM.DIST(AX$3,$CV18,0.3*$CV18,TRUE)-_xlfn.NORM.DIST(AX$30,$CV18,0.3*$CV18,TRUE))*summary!$C$6/28.8/0.947817)/(SUMPRODUCT((economics!$AG$2:$AG$167=$B47)*(economics!$D$2:$D$167="whr")*economics!$AH$2:$AH$167*(_xlfn.NORM.DIST(AX$3,economics!$AK$2:$AK$167,economics!$AJ$2:$AJ$167,TRUE)-_xlfn.NORM.DIST(AX$30,economics!$AK$2:$AK$167,economics!$AJ$2:$AJ$167,TRUE)))+$CR18*(_xlfn.NORM.DIST(AX$3,$CU18,0.3*$CU18,TRUE)-_xlfn.NORM.DIST(AX$30,$CU18,0.3*$CU18,TRUE))+$CS18*(_xlfn.NORM.DIST(AX$3,$CV18,0.3*$CV18,TRUE)-_xlfn.NORM.DIST(AX$30,$CV18,0.3*$CV18,TRUE))),""),IF($C18&gt;0,summary!$C$10/28.8/0.947817,""))</f>
        <v/>
      </c>
      <c r="AY47">
        <f t="array" ref="AY47">IF($D18,IFERROR((SUMPRODUCT((economics!$AG$2:$AG$167=$B47)*(economics!$D$2:$D$167="whr")*economics!$AH$2:$AH$167*(_xlfn.NORM.DIST(AY$3,economics!$AK$2:$AK$167,economics!$AJ$2:$AJ$167,TRUE)-_xlfn.NORM.DIST(AY$30,economics!$AK$2:$AK$167,economics!$AJ$2:$AJ$167,TRUE))*economics!$AM$2:$AM$167)+$CR18*(_xlfn.NORM.DIST(AY$3,$CU18,0.3*$CU18,TRUE)-_xlfn.NORM.DIST(AY$30,$CU18,0.3*$CU18,TRUE))*summary!$C$7/28.8/0.947817+$CS18*(_xlfn.NORM.DIST(AY$3,$CV18,0.3*$CV18,TRUE)-_xlfn.NORM.DIST(AY$30,$CV18,0.3*$CV18,TRUE))*summary!$C$6/28.8/0.947817)/(SUMPRODUCT((economics!$AG$2:$AG$167=$B47)*(economics!$D$2:$D$167="whr")*economics!$AH$2:$AH$167*(_xlfn.NORM.DIST(AY$3,economics!$AK$2:$AK$167,economics!$AJ$2:$AJ$167,TRUE)-_xlfn.NORM.DIST(AY$30,economics!$AK$2:$AK$167,economics!$AJ$2:$AJ$167,TRUE)))+$CR18*(_xlfn.NORM.DIST(AY$3,$CU18,0.3*$CU18,TRUE)-_xlfn.NORM.DIST(AY$30,$CU18,0.3*$CU18,TRUE))+$CS18*(_xlfn.NORM.DIST(AY$3,$CV18,0.3*$CV18,TRUE)-_xlfn.NORM.DIST(AY$30,$CV18,0.3*$CV18,TRUE))),""),IF($C18&gt;0,summary!$C$10/28.8/0.947817,""))</f>
        <v/>
      </c>
      <c r="AZ47">
        <f t="array" ref="AZ47">IF($D18,IFERROR((SUMPRODUCT((economics!$AG$2:$AG$167=$B47)*(economics!$D$2:$D$167="whr")*economics!$AH$2:$AH$167*(_xlfn.NORM.DIST(AZ$3,economics!$AK$2:$AK$167,economics!$AJ$2:$AJ$167,TRUE)-_xlfn.NORM.DIST(AZ$30,economics!$AK$2:$AK$167,economics!$AJ$2:$AJ$167,TRUE))*economics!$AM$2:$AM$167)+$CR18*(_xlfn.NORM.DIST(AZ$3,$CU18,0.3*$CU18,TRUE)-_xlfn.NORM.DIST(AZ$30,$CU18,0.3*$CU18,TRUE))*summary!$C$7/28.8/0.947817+$CS18*(_xlfn.NORM.DIST(AZ$3,$CV18,0.3*$CV18,TRUE)-_xlfn.NORM.DIST(AZ$30,$CV18,0.3*$CV18,TRUE))*summary!$C$6/28.8/0.947817)/(SUMPRODUCT((economics!$AG$2:$AG$167=$B47)*(economics!$D$2:$D$167="whr")*economics!$AH$2:$AH$167*(_xlfn.NORM.DIST(AZ$3,economics!$AK$2:$AK$167,economics!$AJ$2:$AJ$167,TRUE)-_xlfn.NORM.DIST(AZ$30,economics!$AK$2:$AK$167,economics!$AJ$2:$AJ$167,TRUE)))+$CR18*(_xlfn.NORM.DIST(AZ$3,$CU18,0.3*$CU18,TRUE)-_xlfn.NORM.DIST(AZ$30,$CU18,0.3*$CU18,TRUE))+$CS18*(_xlfn.NORM.DIST(AZ$3,$CV18,0.3*$CV18,TRUE)-_xlfn.NORM.DIST(AZ$30,$CV18,0.3*$CV18,TRUE))),""),IF($C18&gt;0,summary!$C$10/28.8/0.947817,""))</f>
        <v/>
      </c>
      <c r="BA47">
        <f t="array" ref="BA47">IF($D18,IFERROR((SUMPRODUCT((economics!$AG$2:$AG$167=$B47)*(economics!$D$2:$D$167="whr")*economics!$AH$2:$AH$167*(_xlfn.NORM.DIST(BA$3,economics!$AK$2:$AK$167,economics!$AJ$2:$AJ$167,TRUE)-_xlfn.NORM.DIST(BA$30,economics!$AK$2:$AK$167,economics!$AJ$2:$AJ$167,TRUE))*economics!$AM$2:$AM$167)+$CR18*(_xlfn.NORM.DIST(BA$3,$CU18,0.3*$CU18,TRUE)-_xlfn.NORM.DIST(BA$30,$CU18,0.3*$CU18,TRUE))*summary!$C$7/28.8/0.947817+$CS18*(_xlfn.NORM.DIST(BA$3,$CV18,0.3*$CV18,TRUE)-_xlfn.NORM.DIST(BA$30,$CV18,0.3*$CV18,TRUE))*summary!$C$6/28.8/0.947817)/(SUMPRODUCT((economics!$AG$2:$AG$167=$B47)*(economics!$D$2:$D$167="whr")*economics!$AH$2:$AH$167*(_xlfn.NORM.DIST(BA$3,economics!$AK$2:$AK$167,economics!$AJ$2:$AJ$167,TRUE)-_xlfn.NORM.DIST(BA$30,economics!$AK$2:$AK$167,economics!$AJ$2:$AJ$167,TRUE)))+$CR18*(_xlfn.NORM.DIST(BA$3,$CU18,0.3*$CU18,TRUE)-_xlfn.NORM.DIST(BA$30,$CU18,0.3*$CU18,TRUE))+$CS18*(_xlfn.NORM.DIST(BA$3,$CV18,0.3*$CV18,TRUE)-_xlfn.NORM.DIST(BA$30,$CV18,0.3*$CV18,TRUE))),""),IF($C18&gt;0,summary!$C$10/28.8/0.947817,""))</f>
        <v/>
      </c>
      <c r="BB47">
        <f t="array" ref="BB47">IF($D18,IFERROR((SUMPRODUCT((economics!$AG$2:$AG$167=$B47)*(economics!$D$2:$D$167="whr")*economics!$AH$2:$AH$167*(_xlfn.NORM.DIST(BB$3,economics!$AK$2:$AK$167,economics!$AJ$2:$AJ$167,TRUE)-_xlfn.NORM.DIST(BB$30,economics!$AK$2:$AK$167,economics!$AJ$2:$AJ$167,TRUE))*economics!$AM$2:$AM$167)+$CR18*(_xlfn.NORM.DIST(BB$3,$CU18,0.3*$CU18,TRUE)-_xlfn.NORM.DIST(BB$30,$CU18,0.3*$CU18,TRUE))*summary!$C$7/28.8/0.947817+$CS18*(_xlfn.NORM.DIST(BB$3,$CV18,0.3*$CV18,TRUE)-_xlfn.NORM.DIST(BB$30,$CV18,0.3*$CV18,TRUE))*summary!$C$6/28.8/0.947817)/(SUMPRODUCT((economics!$AG$2:$AG$167=$B47)*(economics!$D$2:$D$167="whr")*economics!$AH$2:$AH$167*(_xlfn.NORM.DIST(BB$3,economics!$AK$2:$AK$167,economics!$AJ$2:$AJ$167,TRUE)-_xlfn.NORM.DIST(BB$30,economics!$AK$2:$AK$167,economics!$AJ$2:$AJ$167,TRUE)))+$CR18*(_xlfn.NORM.DIST(BB$3,$CU18,0.3*$CU18,TRUE)-_xlfn.NORM.DIST(BB$30,$CU18,0.3*$CU18,TRUE))+$CS18*(_xlfn.NORM.DIST(BB$3,$CV18,0.3*$CV18,TRUE)-_xlfn.NORM.DIST(BB$30,$CV18,0.3*$CV18,TRUE))),""),IF($C18&gt;0,summary!$C$10/28.8/0.947817,""))</f>
        <v/>
      </c>
      <c r="BC47">
        <f t="array" ref="BC47">IF($D18,IFERROR((SUMPRODUCT((economics!$AG$2:$AG$167=$B47)*(economics!$D$2:$D$167="whr")*economics!$AH$2:$AH$167*(_xlfn.NORM.DIST(BC$3,economics!$AK$2:$AK$167,economics!$AJ$2:$AJ$167,TRUE)-_xlfn.NORM.DIST(BC$30,economics!$AK$2:$AK$167,economics!$AJ$2:$AJ$167,TRUE))*economics!$AM$2:$AM$167)+$CR18*(_xlfn.NORM.DIST(BC$3,$CU18,0.3*$CU18,TRUE)-_xlfn.NORM.DIST(BC$30,$CU18,0.3*$CU18,TRUE))*summary!$C$7/28.8/0.947817+$CS18*(_xlfn.NORM.DIST(BC$3,$CV18,0.3*$CV18,TRUE)-_xlfn.NORM.DIST(BC$30,$CV18,0.3*$CV18,TRUE))*summary!$C$6/28.8/0.947817)/(SUMPRODUCT((economics!$AG$2:$AG$167=$B47)*(economics!$D$2:$D$167="whr")*economics!$AH$2:$AH$167*(_xlfn.NORM.DIST(BC$3,economics!$AK$2:$AK$167,economics!$AJ$2:$AJ$167,TRUE)-_xlfn.NORM.DIST(BC$30,economics!$AK$2:$AK$167,economics!$AJ$2:$AJ$167,TRUE)))+$CR18*(_xlfn.NORM.DIST(BC$3,$CU18,0.3*$CU18,TRUE)-_xlfn.NORM.DIST(BC$30,$CU18,0.3*$CU18,TRUE))+$CS18*(_xlfn.NORM.DIST(BC$3,$CV18,0.3*$CV18,TRUE)-_xlfn.NORM.DIST(BC$30,$CV18,0.3*$CV18,TRUE))),""),IF($C18&gt;0,summary!$C$10/28.8/0.947817,""))</f>
        <v/>
      </c>
      <c r="BD47">
        <f t="array" ref="BD47">IF($D18,IFERROR((SUMPRODUCT((economics!$AG$2:$AG$167=$B47)*(economics!$D$2:$D$167="whr")*economics!$AH$2:$AH$167*(_xlfn.NORM.DIST(BD$3,economics!$AK$2:$AK$167,economics!$AJ$2:$AJ$167,TRUE)-_xlfn.NORM.DIST(BD$30,economics!$AK$2:$AK$167,economics!$AJ$2:$AJ$167,TRUE))*economics!$AM$2:$AM$167)+$CR18*(_xlfn.NORM.DIST(BD$3,$CU18,0.3*$CU18,TRUE)-_xlfn.NORM.DIST(BD$30,$CU18,0.3*$CU18,TRUE))*summary!$C$7/28.8/0.947817+$CS18*(_xlfn.NORM.DIST(BD$3,$CV18,0.3*$CV18,TRUE)-_xlfn.NORM.DIST(BD$30,$CV18,0.3*$CV18,TRUE))*summary!$C$6/28.8/0.947817)/(SUMPRODUCT((economics!$AG$2:$AG$167=$B47)*(economics!$D$2:$D$167="whr")*economics!$AH$2:$AH$167*(_xlfn.NORM.DIST(BD$3,economics!$AK$2:$AK$167,economics!$AJ$2:$AJ$167,TRUE)-_xlfn.NORM.DIST(BD$30,economics!$AK$2:$AK$167,economics!$AJ$2:$AJ$167,TRUE)))+$CR18*(_xlfn.NORM.DIST(BD$3,$CU18,0.3*$CU18,TRUE)-_xlfn.NORM.DIST(BD$30,$CU18,0.3*$CU18,TRUE))+$CS18*(_xlfn.NORM.DIST(BD$3,$CV18,0.3*$CV18,TRUE)-_xlfn.NORM.DIST(BD$30,$CV18,0.3*$CV18,TRUE))),""),IF($C18&gt;0,summary!$C$10/28.8/0.947817,""))</f>
        <v/>
      </c>
      <c r="BE47">
        <f t="array" ref="BE47">IF($D18,IFERROR((SUMPRODUCT((economics!$AG$2:$AG$167=$B47)*(economics!$D$2:$D$167="whr")*economics!$AH$2:$AH$167*(_xlfn.NORM.DIST(BE$3,economics!$AK$2:$AK$167,economics!$AJ$2:$AJ$167,TRUE)-_xlfn.NORM.DIST(BE$30,economics!$AK$2:$AK$167,economics!$AJ$2:$AJ$167,TRUE))*economics!$AM$2:$AM$167)+$CR18*(_xlfn.NORM.DIST(BE$3,$CU18,0.3*$CU18,TRUE)-_xlfn.NORM.DIST(BE$30,$CU18,0.3*$CU18,TRUE))*summary!$C$7/28.8/0.947817+$CS18*(_xlfn.NORM.DIST(BE$3,$CV18,0.3*$CV18,TRUE)-_xlfn.NORM.DIST(BE$30,$CV18,0.3*$CV18,TRUE))*summary!$C$6/28.8/0.947817)/(SUMPRODUCT((economics!$AG$2:$AG$167=$B47)*(economics!$D$2:$D$167="whr")*economics!$AH$2:$AH$167*(_xlfn.NORM.DIST(BE$3,economics!$AK$2:$AK$167,economics!$AJ$2:$AJ$167,TRUE)-_xlfn.NORM.DIST(BE$30,economics!$AK$2:$AK$167,economics!$AJ$2:$AJ$167,TRUE)))+$CR18*(_xlfn.NORM.DIST(BE$3,$CU18,0.3*$CU18,TRUE)-_xlfn.NORM.DIST(BE$30,$CU18,0.3*$CU18,TRUE))+$CS18*(_xlfn.NORM.DIST(BE$3,$CV18,0.3*$CV18,TRUE)-_xlfn.NORM.DIST(BE$30,$CV18,0.3*$CV18,TRUE))),""),IF($C18&gt;0,summary!$C$10/28.8/0.947817,""))</f>
        <v/>
      </c>
      <c r="BF47">
        <f t="array" ref="BF47">IF($D18,IFERROR((SUMPRODUCT((economics!$AG$2:$AG$167=$B47)*(economics!$D$2:$D$167="whr")*economics!$AH$2:$AH$167*(_xlfn.NORM.DIST(BF$3,economics!$AK$2:$AK$167,economics!$AJ$2:$AJ$167,TRUE)-_xlfn.NORM.DIST(BF$30,economics!$AK$2:$AK$167,economics!$AJ$2:$AJ$167,TRUE))*economics!$AM$2:$AM$167)+$CR18*(_xlfn.NORM.DIST(BF$3,$CU18,0.3*$CU18,TRUE)-_xlfn.NORM.DIST(BF$30,$CU18,0.3*$CU18,TRUE))*summary!$C$7/28.8/0.947817+$CS18*(_xlfn.NORM.DIST(BF$3,$CV18,0.3*$CV18,TRUE)-_xlfn.NORM.DIST(BF$30,$CV18,0.3*$CV18,TRUE))*summary!$C$6/28.8/0.947817)/(SUMPRODUCT((economics!$AG$2:$AG$167=$B47)*(economics!$D$2:$D$167="whr")*economics!$AH$2:$AH$167*(_xlfn.NORM.DIST(BF$3,economics!$AK$2:$AK$167,economics!$AJ$2:$AJ$167,TRUE)-_xlfn.NORM.DIST(BF$30,economics!$AK$2:$AK$167,economics!$AJ$2:$AJ$167,TRUE)))+$CR18*(_xlfn.NORM.DIST(BF$3,$CU18,0.3*$CU18,TRUE)-_xlfn.NORM.DIST(BF$30,$CU18,0.3*$CU18,TRUE))+$CS18*(_xlfn.NORM.DIST(BF$3,$CV18,0.3*$CV18,TRUE)-_xlfn.NORM.DIST(BF$30,$CV18,0.3*$CV18,TRUE))),""),IF($C18&gt;0,summary!$C$10/28.8/0.947817,""))</f>
        <v/>
      </c>
      <c r="BG47">
        <f t="array" ref="BG47">IF($D18,IFERROR((SUMPRODUCT((economics!$AG$2:$AG$167=$B47)*(economics!$D$2:$D$167="whr")*economics!$AH$2:$AH$167*(_xlfn.NORM.DIST(BG$3,economics!$AK$2:$AK$167,economics!$AJ$2:$AJ$167,TRUE)-_xlfn.NORM.DIST(BG$30,economics!$AK$2:$AK$167,economics!$AJ$2:$AJ$167,TRUE))*economics!$AM$2:$AM$167)+$CR18*(_xlfn.NORM.DIST(BG$3,$CU18,0.3*$CU18,TRUE)-_xlfn.NORM.DIST(BG$30,$CU18,0.3*$CU18,TRUE))*summary!$C$7/28.8/0.947817+$CS18*(_xlfn.NORM.DIST(BG$3,$CV18,0.3*$CV18,TRUE)-_xlfn.NORM.DIST(BG$30,$CV18,0.3*$CV18,TRUE))*summary!$C$6/28.8/0.947817)/(SUMPRODUCT((economics!$AG$2:$AG$167=$B47)*(economics!$D$2:$D$167="whr")*economics!$AH$2:$AH$167*(_xlfn.NORM.DIST(BG$3,economics!$AK$2:$AK$167,economics!$AJ$2:$AJ$167,TRUE)-_xlfn.NORM.DIST(BG$30,economics!$AK$2:$AK$167,economics!$AJ$2:$AJ$167,TRUE)))+$CR18*(_xlfn.NORM.DIST(BG$3,$CU18,0.3*$CU18,TRUE)-_xlfn.NORM.DIST(BG$30,$CU18,0.3*$CU18,TRUE))+$CS18*(_xlfn.NORM.DIST(BG$3,$CV18,0.3*$CV18,TRUE)-_xlfn.NORM.DIST(BG$30,$CV18,0.3*$CV18,TRUE))),""),IF($C18&gt;0,summary!$C$10/28.8/0.947817,""))</f>
        <v/>
      </c>
      <c r="BH47">
        <f t="array" ref="BH47">IF($D18,IFERROR((SUMPRODUCT((economics!$AG$2:$AG$167=$B47)*(economics!$D$2:$D$167="whr")*economics!$AH$2:$AH$167*(_xlfn.NORM.DIST(BH$3,economics!$AK$2:$AK$167,economics!$AJ$2:$AJ$167,TRUE)-_xlfn.NORM.DIST(BH$30,economics!$AK$2:$AK$167,economics!$AJ$2:$AJ$167,TRUE))*economics!$AM$2:$AM$167)+$CR18*(_xlfn.NORM.DIST(BH$3,$CU18,0.3*$CU18,TRUE)-_xlfn.NORM.DIST(BH$30,$CU18,0.3*$CU18,TRUE))*summary!$C$7/28.8/0.947817+$CS18*(_xlfn.NORM.DIST(BH$3,$CV18,0.3*$CV18,TRUE)-_xlfn.NORM.DIST(BH$30,$CV18,0.3*$CV18,TRUE))*summary!$C$6/28.8/0.947817)/(SUMPRODUCT((economics!$AG$2:$AG$167=$B47)*(economics!$D$2:$D$167="whr")*economics!$AH$2:$AH$167*(_xlfn.NORM.DIST(BH$3,economics!$AK$2:$AK$167,economics!$AJ$2:$AJ$167,TRUE)-_xlfn.NORM.DIST(BH$30,economics!$AK$2:$AK$167,economics!$AJ$2:$AJ$167,TRUE)))+$CR18*(_xlfn.NORM.DIST(BH$3,$CU18,0.3*$CU18,TRUE)-_xlfn.NORM.DIST(BH$30,$CU18,0.3*$CU18,TRUE))+$CS18*(_xlfn.NORM.DIST(BH$3,$CV18,0.3*$CV18,TRUE)-_xlfn.NORM.DIST(BH$30,$CV18,0.3*$CV18,TRUE))),""),IF($C18&gt;0,summary!$C$10/28.8/0.947817,""))</f>
        <v/>
      </c>
      <c r="BI47">
        <f t="array" ref="BI47">IF($D18,IFERROR((SUMPRODUCT((economics!$AG$2:$AG$167=$B47)*(economics!$D$2:$D$167="whr")*economics!$AH$2:$AH$167*(_xlfn.NORM.DIST(BI$3,economics!$AK$2:$AK$167,economics!$AJ$2:$AJ$167,TRUE)-_xlfn.NORM.DIST(BI$30,economics!$AK$2:$AK$167,economics!$AJ$2:$AJ$167,TRUE))*economics!$AM$2:$AM$167)+$CR18*(_xlfn.NORM.DIST(BI$3,$CU18,0.3*$CU18,TRUE)-_xlfn.NORM.DIST(BI$30,$CU18,0.3*$CU18,TRUE))*summary!$C$7/28.8/0.947817+$CS18*(_xlfn.NORM.DIST(BI$3,$CV18,0.3*$CV18,TRUE)-_xlfn.NORM.DIST(BI$30,$CV18,0.3*$CV18,TRUE))*summary!$C$6/28.8/0.947817)/(SUMPRODUCT((economics!$AG$2:$AG$167=$B47)*(economics!$D$2:$D$167="whr")*economics!$AH$2:$AH$167*(_xlfn.NORM.DIST(BI$3,economics!$AK$2:$AK$167,economics!$AJ$2:$AJ$167,TRUE)-_xlfn.NORM.DIST(BI$30,economics!$AK$2:$AK$167,economics!$AJ$2:$AJ$167,TRUE)))+$CR18*(_xlfn.NORM.DIST(BI$3,$CU18,0.3*$CU18,TRUE)-_xlfn.NORM.DIST(BI$30,$CU18,0.3*$CU18,TRUE))+$CS18*(_xlfn.NORM.DIST(BI$3,$CV18,0.3*$CV18,TRUE)-_xlfn.NORM.DIST(BI$30,$CV18,0.3*$CV18,TRUE))),""),IF($C18&gt;0,summary!$C$10/28.8/0.947817,""))</f>
        <v/>
      </c>
      <c r="BJ47">
        <f t="array" ref="BJ47">IF($D18,IFERROR((SUMPRODUCT((economics!$AG$2:$AG$167=$B47)*(economics!$D$2:$D$167="whr")*economics!$AH$2:$AH$167*(_xlfn.NORM.DIST(BJ$3,economics!$AK$2:$AK$167,economics!$AJ$2:$AJ$167,TRUE)-_xlfn.NORM.DIST(BJ$30,economics!$AK$2:$AK$167,economics!$AJ$2:$AJ$167,TRUE))*economics!$AM$2:$AM$167)+$CR18*(_xlfn.NORM.DIST(BJ$3,$CU18,0.3*$CU18,TRUE)-_xlfn.NORM.DIST(BJ$30,$CU18,0.3*$CU18,TRUE))*summary!$C$7/28.8/0.947817+$CS18*(_xlfn.NORM.DIST(BJ$3,$CV18,0.3*$CV18,TRUE)-_xlfn.NORM.DIST(BJ$30,$CV18,0.3*$CV18,TRUE))*summary!$C$6/28.8/0.947817)/(SUMPRODUCT((economics!$AG$2:$AG$167=$B47)*(economics!$D$2:$D$167="whr")*economics!$AH$2:$AH$167*(_xlfn.NORM.DIST(BJ$3,economics!$AK$2:$AK$167,economics!$AJ$2:$AJ$167,TRUE)-_xlfn.NORM.DIST(BJ$30,economics!$AK$2:$AK$167,economics!$AJ$2:$AJ$167,TRUE)))+$CR18*(_xlfn.NORM.DIST(BJ$3,$CU18,0.3*$CU18,TRUE)-_xlfn.NORM.DIST(BJ$30,$CU18,0.3*$CU18,TRUE))+$CS18*(_xlfn.NORM.DIST(BJ$3,$CV18,0.3*$CV18,TRUE)-_xlfn.NORM.DIST(BJ$30,$CV18,0.3*$CV18,TRUE))),""),IF($C18&gt;0,summary!$C$10/28.8/0.947817,""))</f>
        <v/>
      </c>
      <c r="BK47">
        <f t="array" ref="BK47">IF($D18,IFERROR((SUMPRODUCT((economics!$AG$2:$AG$167=$B47)*(economics!$D$2:$D$167="whr")*economics!$AH$2:$AH$167*(_xlfn.NORM.DIST(BK$3,economics!$AK$2:$AK$167,economics!$AJ$2:$AJ$167,TRUE)-_xlfn.NORM.DIST(BK$30,economics!$AK$2:$AK$167,economics!$AJ$2:$AJ$167,TRUE))*economics!$AM$2:$AM$167)+$CR18*(_xlfn.NORM.DIST(BK$3,$CU18,0.3*$CU18,TRUE)-_xlfn.NORM.DIST(BK$30,$CU18,0.3*$CU18,TRUE))*summary!$C$7/28.8/0.947817+$CS18*(_xlfn.NORM.DIST(BK$3,$CV18,0.3*$CV18,TRUE)-_xlfn.NORM.DIST(BK$30,$CV18,0.3*$CV18,TRUE))*summary!$C$6/28.8/0.947817)/(SUMPRODUCT((economics!$AG$2:$AG$167=$B47)*(economics!$D$2:$D$167="whr")*economics!$AH$2:$AH$167*(_xlfn.NORM.DIST(BK$3,economics!$AK$2:$AK$167,economics!$AJ$2:$AJ$167,TRUE)-_xlfn.NORM.DIST(BK$30,economics!$AK$2:$AK$167,economics!$AJ$2:$AJ$167,TRUE)))+$CR18*(_xlfn.NORM.DIST(BK$3,$CU18,0.3*$CU18,TRUE)-_xlfn.NORM.DIST(BK$30,$CU18,0.3*$CU18,TRUE))+$CS18*(_xlfn.NORM.DIST(BK$3,$CV18,0.3*$CV18,TRUE)-_xlfn.NORM.DIST(BK$30,$CV18,0.3*$CV18,TRUE))),""),IF($C18&gt;0,summary!$C$10/28.8/0.947817,""))</f>
        <v/>
      </c>
      <c r="BL47">
        <f t="array" ref="BL47">IF($D18,IFERROR((SUMPRODUCT((economics!$AG$2:$AG$167=$B47)*(economics!$D$2:$D$167="whr")*economics!$AH$2:$AH$167*(_xlfn.NORM.DIST(BL$3,economics!$AK$2:$AK$167,economics!$AJ$2:$AJ$167,TRUE)-_xlfn.NORM.DIST(BL$30,economics!$AK$2:$AK$167,economics!$AJ$2:$AJ$167,TRUE))*economics!$AM$2:$AM$167)+$CR18*(_xlfn.NORM.DIST(BL$3,$CU18,0.3*$CU18,TRUE)-_xlfn.NORM.DIST(BL$30,$CU18,0.3*$CU18,TRUE))*summary!$C$7/28.8/0.947817+$CS18*(_xlfn.NORM.DIST(BL$3,$CV18,0.3*$CV18,TRUE)-_xlfn.NORM.DIST(BL$30,$CV18,0.3*$CV18,TRUE))*summary!$C$6/28.8/0.947817)/(SUMPRODUCT((economics!$AG$2:$AG$167=$B47)*(economics!$D$2:$D$167="whr")*economics!$AH$2:$AH$167*(_xlfn.NORM.DIST(BL$3,economics!$AK$2:$AK$167,economics!$AJ$2:$AJ$167,TRUE)-_xlfn.NORM.DIST(BL$30,economics!$AK$2:$AK$167,economics!$AJ$2:$AJ$167,TRUE)))+$CR18*(_xlfn.NORM.DIST(BL$3,$CU18,0.3*$CU18,TRUE)-_xlfn.NORM.DIST(BL$30,$CU18,0.3*$CU18,TRUE))+$CS18*(_xlfn.NORM.DIST(BL$3,$CV18,0.3*$CV18,TRUE)-_xlfn.NORM.DIST(BL$30,$CV18,0.3*$CV18,TRUE))),""),IF($C18&gt;0,summary!$C$10/28.8/0.947817,""))</f>
        <v/>
      </c>
      <c r="BM47">
        <f t="array" ref="BM47">IF($D18,IFERROR((SUMPRODUCT((economics!$AG$2:$AG$167=$B47)*(economics!$D$2:$D$167="whr")*economics!$AH$2:$AH$167*(_xlfn.NORM.DIST(BM$3,economics!$AK$2:$AK$167,economics!$AJ$2:$AJ$167,TRUE)-_xlfn.NORM.DIST(BM$30,economics!$AK$2:$AK$167,economics!$AJ$2:$AJ$167,TRUE))*economics!$AM$2:$AM$167)+$CR18*(_xlfn.NORM.DIST(BM$3,$CU18,0.3*$CU18,TRUE)-_xlfn.NORM.DIST(BM$30,$CU18,0.3*$CU18,TRUE))*summary!$C$7/28.8/0.947817+$CS18*(_xlfn.NORM.DIST(BM$3,$CV18,0.3*$CV18,TRUE)-_xlfn.NORM.DIST(BM$30,$CV18,0.3*$CV18,TRUE))*summary!$C$6/28.8/0.947817)/(SUMPRODUCT((economics!$AG$2:$AG$167=$B47)*(economics!$D$2:$D$167="whr")*economics!$AH$2:$AH$167*(_xlfn.NORM.DIST(BM$3,economics!$AK$2:$AK$167,economics!$AJ$2:$AJ$167,TRUE)-_xlfn.NORM.DIST(BM$30,economics!$AK$2:$AK$167,economics!$AJ$2:$AJ$167,TRUE)))+$CR18*(_xlfn.NORM.DIST(BM$3,$CU18,0.3*$CU18,TRUE)-_xlfn.NORM.DIST(BM$30,$CU18,0.3*$CU18,TRUE))+$CS18*(_xlfn.NORM.DIST(BM$3,$CV18,0.3*$CV18,TRUE)-_xlfn.NORM.DIST(BM$30,$CV18,0.3*$CV18,TRUE))),""),IF($C18&gt;0,summary!$C$10/28.8/0.947817,""))</f>
        <v/>
      </c>
      <c r="BN47">
        <f t="array" ref="BN47">IF($D18,IFERROR((SUMPRODUCT((economics!$AG$2:$AG$167=$B47)*(economics!$D$2:$D$167="whr")*economics!$AH$2:$AH$167*(_xlfn.NORM.DIST(BN$3,economics!$AK$2:$AK$167,economics!$AJ$2:$AJ$167,TRUE)-_xlfn.NORM.DIST(BN$30,economics!$AK$2:$AK$167,economics!$AJ$2:$AJ$167,TRUE))*economics!$AM$2:$AM$167)+$CR18*(_xlfn.NORM.DIST(BN$3,$CU18,0.3*$CU18,TRUE)-_xlfn.NORM.DIST(BN$30,$CU18,0.3*$CU18,TRUE))*summary!$C$7/28.8/0.947817+$CS18*(_xlfn.NORM.DIST(BN$3,$CV18,0.3*$CV18,TRUE)-_xlfn.NORM.DIST(BN$30,$CV18,0.3*$CV18,TRUE))*summary!$C$6/28.8/0.947817)/(SUMPRODUCT((economics!$AG$2:$AG$167=$B47)*(economics!$D$2:$D$167="whr")*economics!$AH$2:$AH$167*(_xlfn.NORM.DIST(BN$3,economics!$AK$2:$AK$167,economics!$AJ$2:$AJ$167,TRUE)-_xlfn.NORM.DIST(BN$30,economics!$AK$2:$AK$167,economics!$AJ$2:$AJ$167,TRUE)))+$CR18*(_xlfn.NORM.DIST(BN$3,$CU18,0.3*$CU18,TRUE)-_xlfn.NORM.DIST(BN$30,$CU18,0.3*$CU18,TRUE))+$CS18*(_xlfn.NORM.DIST(BN$3,$CV18,0.3*$CV18,TRUE)-_xlfn.NORM.DIST(BN$30,$CV18,0.3*$CV18,TRUE))),""),IF($C18&gt;0,summary!$C$10/28.8/0.947817,""))</f>
        <v/>
      </c>
      <c r="BO47">
        <f t="array" ref="BO47">IF($D18,IFERROR((SUMPRODUCT((economics!$AG$2:$AG$167=$B47)*(economics!$D$2:$D$167="whr")*economics!$AH$2:$AH$167*(_xlfn.NORM.DIST(BO$3,economics!$AK$2:$AK$167,economics!$AJ$2:$AJ$167,TRUE)-_xlfn.NORM.DIST(BO$30,economics!$AK$2:$AK$167,economics!$AJ$2:$AJ$167,TRUE))*economics!$AM$2:$AM$167)+$CR18*(_xlfn.NORM.DIST(BO$3,$CU18,0.3*$CU18,TRUE)-_xlfn.NORM.DIST(BO$30,$CU18,0.3*$CU18,TRUE))*summary!$C$7/28.8/0.947817+$CS18*(_xlfn.NORM.DIST(BO$3,$CV18,0.3*$CV18,TRUE)-_xlfn.NORM.DIST(BO$30,$CV18,0.3*$CV18,TRUE))*summary!$C$6/28.8/0.947817)/(SUMPRODUCT((economics!$AG$2:$AG$167=$B47)*(economics!$D$2:$D$167="whr")*economics!$AH$2:$AH$167*(_xlfn.NORM.DIST(BO$3,economics!$AK$2:$AK$167,economics!$AJ$2:$AJ$167,TRUE)-_xlfn.NORM.DIST(BO$30,economics!$AK$2:$AK$167,economics!$AJ$2:$AJ$167,TRUE)))+$CR18*(_xlfn.NORM.DIST(BO$3,$CU18,0.3*$CU18,TRUE)-_xlfn.NORM.DIST(BO$30,$CU18,0.3*$CU18,TRUE))+$CS18*(_xlfn.NORM.DIST(BO$3,$CV18,0.3*$CV18,TRUE)-_xlfn.NORM.DIST(BO$30,$CV18,0.3*$CV18,TRUE))),""),IF($C18&gt;0,summary!$C$10/28.8/0.947817,""))</f>
        <v/>
      </c>
      <c r="BP47">
        <f t="array" ref="BP47">IF($D18,IFERROR((SUMPRODUCT((economics!$AG$2:$AG$167=$B47)*(economics!$D$2:$D$167="whr")*economics!$AH$2:$AH$167*(_xlfn.NORM.DIST(BP$3,economics!$AK$2:$AK$167,economics!$AJ$2:$AJ$167,TRUE)-_xlfn.NORM.DIST(BP$30,economics!$AK$2:$AK$167,economics!$AJ$2:$AJ$167,TRUE))*economics!$AM$2:$AM$167)+$CR18*(_xlfn.NORM.DIST(BP$3,$CU18,0.3*$CU18,TRUE)-_xlfn.NORM.DIST(BP$30,$CU18,0.3*$CU18,TRUE))*summary!$C$7/28.8/0.947817+$CS18*(_xlfn.NORM.DIST(BP$3,$CV18,0.3*$CV18,TRUE)-_xlfn.NORM.DIST(BP$30,$CV18,0.3*$CV18,TRUE))*summary!$C$6/28.8/0.947817)/(SUMPRODUCT((economics!$AG$2:$AG$167=$B47)*(economics!$D$2:$D$167="whr")*economics!$AH$2:$AH$167*(_xlfn.NORM.DIST(BP$3,economics!$AK$2:$AK$167,economics!$AJ$2:$AJ$167,TRUE)-_xlfn.NORM.DIST(BP$30,economics!$AK$2:$AK$167,economics!$AJ$2:$AJ$167,TRUE)))+$CR18*(_xlfn.NORM.DIST(BP$3,$CU18,0.3*$CU18,TRUE)-_xlfn.NORM.DIST(BP$30,$CU18,0.3*$CU18,TRUE))+$CS18*(_xlfn.NORM.DIST(BP$3,$CV18,0.3*$CV18,TRUE)-_xlfn.NORM.DIST(BP$30,$CV18,0.3*$CV18,TRUE))),""),IF($C18&gt;0,summary!$C$10/28.8/0.947817,""))</f>
        <v/>
      </c>
      <c r="BQ47">
        <f t="array" ref="BQ47">IF($D18,IFERROR((SUMPRODUCT((economics!$AG$2:$AG$167=$B47)*(economics!$D$2:$D$167="whr")*economics!$AH$2:$AH$167*(_xlfn.NORM.DIST(BQ$3,economics!$AK$2:$AK$167,economics!$AJ$2:$AJ$167,TRUE)-_xlfn.NORM.DIST(BQ$30,economics!$AK$2:$AK$167,economics!$AJ$2:$AJ$167,TRUE))*economics!$AM$2:$AM$167)+$CR18*(_xlfn.NORM.DIST(BQ$3,$CU18,0.3*$CU18,TRUE)-_xlfn.NORM.DIST(BQ$30,$CU18,0.3*$CU18,TRUE))*summary!$C$7/28.8/0.947817+$CS18*(_xlfn.NORM.DIST(BQ$3,$CV18,0.3*$CV18,TRUE)-_xlfn.NORM.DIST(BQ$30,$CV18,0.3*$CV18,TRUE))*summary!$C$6/28.8/0.947817)/(SUMPRODUCT((economics!$AG$2:$AG$167=$B47)*(economics!$D$2:$D$167="whr")*economics!$AH$2:$AH$167*(_xlfn.NORM.DIST(BQ$3,economics!$AK$2:$AK$167,economics!$AJ$2:$AJ$167,TRUE)-_xlfn.NORM.DIST(BQ$30,economics!$AK$2:$AK$167,economics!$AJ$2:$AJ$167,TRUE)))+$CR18*(_xlfn.NORM.DIST(BQ$3,$CU18,0.3*$CU18,TRUE)-_xlfn.NORM.DIST(BQ$30,$CU18,0.3*$CU18,TRUE))+$CS18*(_xlfn.NORM.DIST(BQ$3,$CV18,0.3*$CV18,TRUE)-_xlfn.NORM.DIST(BQ$30,$CV18,0.3*$CV18,TRUE))),""),IF($C18&gt;0,summary!$C$10/28.8/0.947817,""))</f>
        <v/>
      </c>
      <c r="BR47">
        <f t="array" ref="BR47">IF($D18,IFERROR((SUMPRODUCT((economics!$AG$2:$AG$167=$B47)*(economics!$D$2:$D$167="whr")*economics!$AH$2:$AH$167*(_xlfn.NORM.DIST(BR$3,economics!$AK$2:$AK$167,economics!$AJ$2:$AJ$167,TRUE)-_xlfn.NORM.DIST(BR$30,economics!$AK$2:$AK$167,economics!$AJ$2:$AJ$167,TRUE))*economics!$AM$2:$AM$167)+$CR18*(_xlfn.NORM.DIST(BR$3,$CU18,0.3*$CU18,TRUE)-_xlfn.NORM.DIST(BR$30,$CU18,0.3*$CU18,TRUE))*summary!$C$7/28.8/0.947817+$CS18*(_xlfn.NORM.DIST(BR$3,$CV18,0.3*$CV18,TRUE)-_xlfn.NORM.DIST(BR$30,$CV18,0.3*$CV18,TRUE))*summary!$C$6/28.8/0.947817)/(SUMPRODUCT((economics!$AG$2:$AG$167=$B47)*(economics!$D$2:$D$167="whr")*economics!$AH$2:$AH$167*(_xlfn.NORM.DIST(BR$3,economics!$AK$2:$AK$167,economics!$AJ$2:$AJ$167,TRUE)-_xlfn.NORM.DIST(BR$30,economics!$AK$2:$AK$167,economics!$AJ$2:$AJ$167,TRUE)))+$CR18*(_xlfn.NORM.DIST(BR$3,$CU18,0.3*$CU18,TRUE)-_xlfn.NORM.DIST(BR$30,$CU18,0.3*$CU18,TRUE))+$CS18*(_xlfn.NORM.DIST(BR$3,$CV18,0.3*$CV18,TRUE)-_xlfn.NORM.DIST(BR$30,$CV18,0.3*$CV18,TRUE))),""),IF($C18&gt;0,summary!$C$10/28.8/0.947817,""))</f>
        <v/>
      </c>
      <c r="BS47">
        <f t="array" ref="BS47">IF($D18,IFERROR((SUMPRODUCT((economics!$AG$2:$AG$167=$B47)*(economics!$D$2:$D$167="whr")*economics!$AH$2:$AH$167*(_xlfn.NORM.DIST(BS$3,economics!$AK$2:$AK$167,economics!$AJ$2:$AJ$167,TRUE)-_xlfn.NORM.DIST(BS$30,economics!$AK$2:$AK$167,economics!$AJ$2:$AJ$167,TRUE))*economics!$AM$2:$AM$167)+$CR18*(_xlfn.NORM.DIST(BS$3,$CU18,0.3*$CU18,TRUE)-_xlfn.NORM.DIST(BS$30,$CU18,0.3*$CU18,TRUE))*summary!$C$7/28.8/0.947817+$CS18*(_xlfn.NORM.DIST(BS$3,$CV18,0.3*$CV18,TRUE)-_xlfn.NORM.DIST(BS$30,$CV18,0.3*$CV18,TRUE))*summary!$C$6/28.8/0.947817)/(SUMPRODUCT((economics!$AG$2:$AG$167=$B47)*(economics!$D$2:$D$167="whr")*economics!$AH$2:$AH$167*(_xlfn.NORM.DIST(BS$3,economics!$AK$2:$AK$167,economics!$AJ$2:$AJ$167,TRUE)-_xlfn.NORM.DIST(BS$30,economics!$AK$2:$AK$167,economics!$AJ$2:$AJ$167,TRUE)))+$CR18*(_xlfn.NORM.DIST(BS$3,$CU18,0.3*$CU18,TRUE)-_xlfn.NORM.DIST(BS$30,$CU18,0.3*$CU18,TRUE))+$CS18*(_xlfn.NORM.DIST(BS$3,$CV18,0.3*$CV18,TRUE)-_xlfn.NORM.DIST(BS$30,$CV18,0.3*$CV18,TRUE))),""),IF($C18&gt;0,summary!$C$10/28.8/0.947817,""))</f>
        <v/>
      </c>
      <c r="BT47">
        <f t="array" ref="BT47">IF($D18,IFERROR((SUMPRODUCT((economics!$AG$2:$AG$167=$B47)*(economics!$D$2:$D$167="whr")*economics!$AH$2:$AH$167*(_xlfn.NORM.DIST(BT$3,economics!$AK$2:$AK$167,economics!$AJ$2:$AJ$167,TRUE)-_xlfn.NORM.DIST(BT$30,economics!$AK$2:$AK$167,economics!$AJ$2:$AJ$167,TRUE))*economics!$AM$2:$AM$167)+$CR18*(_xlfn.NORM.DIST(BT$3,$CU18,0.3*$CU18,TRUE)-_xlfn.NORM.DIST(BT$30,$CU18,0.3*$CU18,TRUE))*summary!$C$7/28.8/0.947817+$CS18*(_xlfn.NORM.DIST(BT$3,$CV18,0.3*$CV18,TRUE)-_xlfn.NORM.DIST(BT$30,$CV18,0.3*$CV18,TRUE))*summary!$C$6/28.8/0.947817)/(SUMPRODUCT((economics!$AG$2:$AG$167=$B47)*(economics!$D$2:$D$167="whr")*economics!$AH$2:$AH$167*(_xlfn.NORM.DIST(BT$3,economics!$AK$2:$AK$167,economics!$AJ$2:$AJ$167,TRUE)-_xlfn.NORM.DIST(BT$30,economics!$AK$2:$AK$167,economics!$AJ$2:$AJ$167,TRUE)))+$CR18*(_xlfn.NORM.DIST(BT$3,$CU18,0.3*$CU18,TRUE)-_xlfn.NORM.DIST(BT$30,$CU18,0.3*$CU18,TRUE))+$CS18*(_xlfn.NORM.DIST(BT$3,$CV18,0.3*$CV18,TRUE)-_xlfn.NORM.DIST(BT$30,$CV18,0.3*$CV18,TRUE))),""),IF($C18&gt;0,summary!$C$10/28.8/0.947817,""))</f>
        <v/>
      </c>
      <c r="BU47">
        <f t="array" ref="BU47">IF($D18,IFERROR((SUMPRODUCT((economics!$AG$2:$AG$167=$B47)*(economics!$D$2:$D$167="whr")*economics!$AH$2:$AH$167*(_xlfn.NORM.DIST(BU$3,economics!$AK$2:$AK$167,economics!$AJ$2:$AJ$167,TRUE)-_xlfn.NORM.DIST(BU$30,economics!$AK$2:$AK$167,economics!$AJ$2:$AJ$167,TRUE))*economics!$AM$2:$AM$167)+$CR18*(_xlfn.NORM.DIST(BU$3,$CU18,0.3*$CU18,TRUE)-_xlfn.NORM.DIST(BU$30,$CU18,0.3*$CU18,TRUE))*summary!$C$7/28.8/0.947817+$CS18*(_xlfn.NORM.DIST(BU$3,$CV18,0.3*$CV18,TRUE)-_xlfn.NORM.DIST(BU$30,$CV18,0.3*$CV18,TRUE))*summary!$C$6/28.8/0.947817)/(SUMPRODUCT((economics!$AG$2:$AG$167=$B47)*(economics!$D$2:$D$167="whr")*economics!$AH$2:$AH$167*(_xlfn.NORM.DIST(BU$3,economics!$AK$2:$AK$167,economics!$AJ$2:$AJ$167,TRUE)-_xlfn.NORM.DIST(BU$30,economics!$AK$2:$AK$167,economics!$AJ$2:$AJ$167,TRUE)))+$CR18*(_xlfn.NORM.DIST(BU$3,$CU18,0.3*$CU18,TRUE)-_xlfn.NORM.DIST(BU$30,$CU18,0.3*$CU18,TRUE))+$CS18*(_xlfn.NORM.DIST(BU$3,$CV18,0.3*$CV18,TRUE)-_xlfn.NORM.DIST(BU$30,$CV18,0.3*$CV18,TRUE))),""),IF($C18&gt;0,summary!$C$10/28.8/0.947817,""))</f>
        <v/>
      </c>
      <c r="BV47">
        <f t="array" ref="BV47">IF($D18,IFERROR((SUMPRODUCT((economics!$AG$2:$AG$167=$B47)*(economics!$D$2:$D$167="whr")*economics!$AH$2:$AH$167*(_xlfn.NORM.DIST(BV$3,economics!$AK$2:$AK$167,economics!$AJ$2:$AJ$167,TRUE)-_xlfn.NORM.DIST(BV$30,economics!$AK$2:$AK$167,economics!$AJ$2:$AJ$167,TRUE))*economics!$AM$2:$AM$167)+$CR18*(_xlfn.NORM.DIST(BV$3,$CU18,0.3*$CU18,TRUE)-_xlfn.NORM.DIST(BV$30,$CU18,0.3*$CU18,TRUE))*summary!$C$7/28.8/0.947817+$CS18*(_xlfn.NORM.DIST(BV$3,$CV18,0.3*$CV18,TRUE)-_xlfn.NORM.DIST(BV$30,$CV18,0.3*$CV18,TRUE))*summary!$C$6/28.8/0.947817)/(SUMPRODUCT((economics!$AG$2:$AG$167=$B47)*(economics!$D$2:$D$167="whr")*economics!$AH$2:$AH$167*(_xlfn.NORM.DIST(BV$3,economics!$AK$2:$AK$167,economics!$AJ$2:$AJ$167,TRUE)-_xlfn.NORM.DIST(BV$30,economics!$AK$2:$AK$167,economics!$AJ$2:$AJ$167,TRUE)))+$CR18*(_xlfn.NORM.DIST(BV$3,$CU18,0.3*$CU18,TRUE)-_xlfn.NORM.DIST(BV$30,$CU18,0.3*$CU18,TRUE))+$CS18*(_xlfn.NORM.DIST(BV$3,$CV18,0.3*$CV18,TRUE)-_xlfn.NORM.DIST(BV$30,$CV18,0.3*$CV18,TRUE))),""),IF($C18&gt;0,summary!$C$10/28.8/0.947817,""))</f>
        <v/>
      </c>
      <c r="BW47">
        <f t="array" ref="BW47">IF($D18,IFERROR((SUMPRODUCT((economics!$AG$2:$AG$167=$B47)*(economics!$D$2:$D$167="whr")*economics!$AH$2:$AH$167*(_xlfn.NORM.DIST(BW$3,economics!$AK$2:$AK$167,economics!$AJ$2:$AJ$167,TRUE)-_xlfn.NORM.DIST(BW$30,economics!$AK$2:$AK$167,economics!$AJ$2:$AJ$167,TRUE))*economics!$AM$2:$AM$167)+$CR18*(_xlfn.NORM.DIST(BW$3,$CU18,0.3*$CU18,TRUE)-_xlfn.NORM.DIST(BW$30,$CU18,0.3*$CU18,TRUE))*summary!$C$7/28.8/0.947817+$CS18*(_xlfn.NORM.DIST(BW$3,$CV18,0.3*$CV18,TRUE)-_xlfn.NORM.DIST(BW$30,$CV18,0.3*$CV18,TRUE))*summary!$C$6/28.8/0.947817)/(SUMPRODUCT((economics!$AG$2:$AG$167=$B47)*(economics!$D$2:$D$167="whr")*economics!$AH$2:$AH$167*(_xlfn.NORM.DIST(BW$3,economics!$AK$2:$AK$167,economics!$AJ$2:$AJ$167,TRUE)-_xlfn.NORM.DIST(BW$30,economics!$AK$2:$AK$167,economics!$AJ$2:$AJ$167,TRUE)))+$CR18*(_xlfn.NORM.DIST(BW$3,$CU18,0.3*$CU18,TRUE)-_xlfn.NORM.DIST(BW$30,$CU18,0.3*$CU18,TRUE))+$CS18*(_xlfn.NORM.DIST(BW$3,$CV18,0.3*$CV18,TRUE)-_xlfn.NORM.DIST(BW$30,$CV18,0.3*$CV18,TRUE))),""),IF($C18&gt;0,summary!$C$10/28.8/0.947817,""))</f>
        <v/>
      </c>
      <c r="BX47">
        <f t="array" ref="BX47">IF($D18,IFERROR((SUMPRODUCT((economics!$AG$2:$AG$167=$B47)*(economics!$D$2:$D$167="whr")*economics!$AH$2:$AH$167*(_xlfn.NORM.DIST(BX$3,economics!$AK$2:$AK$167,economics!$AJ$2:$AJ$167,TRUE)-_xlfn.NORM.DIST(BX$30,economics!$AK$2:$AK$167,economics!$AJ$2:$AJ$167,TRUE))*economics!$AM$2:$AM$167)+$CR18*(_xlfn.NORM.DIST(BX$3,$CU18,0.3*$CU18,TRUE)-_xlfn.NORM.DIST(BX$30,$CU18,0.3*$CU18,TRUE))*summary!$C$7/28.8/0.947817+$CS18*(_xlfn.NORM.DIST(BX$3,$CV18,0.3*$CV18,TRUE)-_xlfn.NORM.DIST(BX$30,$CV18,0.3*$CV18,TRUE))*summary!$C$6/28.8/0.947817)/(SUMPRODUCT((economics!$AG$2:$AG$167=$B47)*(economics!$D$2:$D$167="whr")*economics!$AH$2:$AH$167*(_xlfn.NORM.DIST(BX$3,economics!$AK$2:$AK$167,economics!$AJ$2:$AJ$167,TRUE)-_xlfn.NORM.DIST(BX$30,economics!$AK$2:$AK$167,economics!$AJ$2:$AJ$167,TRUE)))+$CR18*(_xlfn.NORM.DIST(BX$3,$CU18,0.3*$CU18,TRUE)-_xlfn.NORM.DIST(BX$30,$CU18,0.3*$CU18,TRUE))+$CS18*(_xlfn.NORM.DIST(BX$3,$CV18,0.3*$CV18,TRUE)-_xlfn.NORM.DIST(BX$30,$CV18,0.3*$CV18,TRUE))),""),IF($C18&gt;0,summary!$C$10/28.8/0.947817,""))</f>
        <v/>
      </c>
      <c r="BY47">
        <f t="array" ref="BY47">IF($D18,IFERROR((SUMPRODUCT((economics!$AG$2:$AG$167=$B47)*(economics!$D$2:$D$167="whr")*economics!$AH$2:$AH$167*(_xlfn.NORM.DIST(BY$3,economics!$AK$2:$AK$167,economics!$AJ$2:$AJ$167,TRUE)-_xlfn.NORM.DIST(BY$30,economics!$AK$2:$AK$167,economics!$AJ$2:$AJ$167,TRUE))*economics!$AM$2:$AM$167)+$CR18*(_xlfn.NORM.DIST(BY$3,$CU18,0.3*$CU18,TRUE)-_xlfn.NORM.DIST(BY$30,$CU18,0.3*$CU18,TRUE))*summary!$C$7/28.8/0.947817+$CS18*(_xlfn.NORM.DIST(BY$3,$CV18,0.3*$CV18,TRUE)-_xlfn.NORM.DIST(BY$30,$CV18,0.3*$CV18,TRUE))*summary!$C$6/28.8/0.947817)/(SUMPRODUCT((economics!$AG$2:$AG$167=$B47)*(economics!$D$2:$D$167="whr")*economics!$AH$2:$AH$167*(_xlfn.NORM.DIST(BY$3,economics!$AK$2:$AK$167,economics!$AJ$2:$AJ$167,TRUE)-_xlfn.NORM.DIST(BY$30,economics!$AK$2:$AK$167,economics!$AJ$2:$AJ$167,TRUE)))+$CR18*(_xlfn.NORM.DIST(BY$3,$CU18,0.3*$CU18,TRUE)-_xlfn.NORM.DIST(BY$30,$CU18,0.3*$CU18,TRUE))+$CS18*(_xlfn.NORM.DIST(BY$3,$CV18,0.3*$CV18,TRUE)-_xlfn.NORM.DIST(BY$30,$CV18,0.3*$CV18,TRUE))),""),IF($C18&gt;0,summary!$C$10/28.8/0.947817,""))</f>
        <v/>
      </c>
      <c r="BZ47">
        <f t="array" ref="BZ47">IF($D18,IFERROR((SUMPRODUCT((economics!$AG$2:$AG$167=$B47)*(economics!$D$2:$D$167="whr")*economics!$AH$2:$AH$167*(_xlfn.NORM.DIST(BZ$3,economics!$AK$2:$AK$167,economics!$AJ$2:$AJ$167,TRUE)-_xlfn.NORM.DIST(BZ$30,economics!$AK$2:$AK$167,economics!$AJ$2:$AJ$167,TRUE))*economics!$AM$2:$AM$167)+$CR18*(_xlfn.NORM.DIST(BZ$3,$CU18,0.3*$CU18,TRUE)-_xlfn.NORM.DIST(BZ$30,$CU18,0.3*$CU18,TRUE))*summary!$C$7/28.8/0.947817+$CS18*(_xlfn.NORM.DIST(BZ$3,$CV18,0.3*$CV18,TRUE)-_xlfn.NORM.DIST(BZ$30,$CV18,0.3*$CV18,TRUE))*summary!$C$6/28.8/0.947817)/(SUMPRODUCT((economics!$AG$2:$AG$167=$B47)*(economics!$D$2:$D$167="whr")*economics!$AH$2:$AH$167*(_xlfn.NORM.DIST(BZ$3,economics!$AK$2:$AK$167,economics!$AJ$2:$AJ$167,TRUE)-_xlfn.NORM.DIST(BZ$30,economics!$AK$2:$AK$167,economics!$AJ$2:$AJ$167,TRUE)))+$CR18*(_xlfn.NORM.DIST(BZ$3,$CU18,0.3*$CU18,TRUE)-_xlfn.NORM.DIST(BZ$30,$CU18,0.3*$CU18,TRUE))+$CS18*(_xlfn.NORM.DIST(BZ$3,$CV18,0.3*$CV18,TRUE)-_xlfn.NORM.DIST(BZ$30,$CV18,0.3*$CV18,TRUE))),""),IF($C18&gt;0,summary!$C$10/28.8/0.947817,""))</f>
        <v/>
      </c>
      <c r="CA47">
        <f t="array" ref="CA47">IF($D18,IFERROR((SUMPRODUCT((economics!$AG$2:$AG$167=$B47)*(economics!$D$2:$D$167="whr")*economics!$AH$2:$AH$167*(_xlfn.NORM.DIST(CA$3,economics!$AK$2:$AK$167,economics!$AJ$2:$AJ$167,TRUE)-_xlfn.NORM.DIST(CA$30,economics!$AK$2:$AK$167,economics!$AJ$2:$AJ$167,TRUE))*economics!$AM$2:$AM$167)+$CR18*(_xlfn.NORM.DIST(CA$3,$CU18,0.3*$CU18,TRUE)-_xlfn.NORM.DIST(CA$30,$CU18,0.3*$CU18,TRUE))*summary!$C$7/28.8/0.947817+$CS18*(_xlfn.NORM.DIST(CA$3,$CV18,0.3*$CV18,TRUE)-_xlfn.NORM.DIST(CA$30,$CV18,0.3*$CV18,TRUE))*summary!$C$6/28.8/0.947817)/(SUMPRODUCT((economics!$AG$2:$AG$167=$B47)*(economics!$D$2:$D$167="whr")*economics!$AH$2:$AH$167*(_xlfn.NORM.DIST(CA$3,economics!$AK$2:$AK$167,economics!$AJ$2:$AJ$167,TRUE)-_xlfn.NORM.DIST(CA$30,economics!$AK$2:$AK$167,economics!$AJ$2:$AJ$167,TRUE)))+$CR18*(_xlfn.NORM.DIST(CA$3,$CU18,0.3*$CU18,TRUE)-_xlfn.NORM.DIST(CA$30,$CU18,0.3*$CU18,TRUE))+$CS18*(_xlfn.NORM.DIST(CA$3,$CV18,0.3*$CV18,TRUE)-_xlfn.NORM.DIST(CA$30,$CV18,0.3*$CV18,TRUE))),""),IF($C18&gt;0,summary!$C$10/28.8/0.947817,""))</f>
        <v/>
      </c>
      <c r="CB47">
        <f t="array" ref="CB47">IF($D18,IFERROR((SUMPRODUCT((economics!$AG$2:$AG$167=$B47)*(economics!$D$2:$D$167="whr")*economics!$AH$2:$AH$167*(_xlfn.NORM.DIST(CB$3,economics!$AK$2:$AK$167,economics!$AJ$2:$AJ$167,TRUE)-_xlfn.NORM.DIST(CB$30,economics!$AK$2:$AK$167,economics!$AJ$2:$AJ$167,TRUE))*economics!$AM$2:$AM$167)+$CR18*(_xlfn.NORM.DIST(CB$3,$CU18,0.3*$CU18,TRUE)-_xlfn.NORM.DIST(CB$30,$CU18,0.3*$CU18,TRUE))*summary!$C$7/28.8/0.947817+$CS18*(_xlfn.NORM.DIST(CB$3,$CV18,0.3*$CV18,TRUE)-_xlfn.NORM.DIST(CB$30,$CV18,0.3*$CV18,TRUE))*summary!$C$6/28.8/0.947817)/(SUMPRODUCT((economics!$AG$2:$AG$167=$B47)*(economics!$D$2:$D$167="whr")*economics!$AH$2:$AH$167*(_xlfn.NORM.DIST(CB$3,economics!$AK$2:$AK$167,economics!$AJ$2:$AJ$167,TRUE)-_xlfn.NORM.DIST(CB$30,economics!$AK$2:$AK$167,economics!$AJ$2:$AJ$167,TRUE)))+$CR18*(_xlfn.NORM.DIST(CB$3,$CU18,0.3*$CU18,TRUE)-_xlfn.NORM.DIST(CB$30,$CU18,0.3*$CU18,TRUE))+$CS18*(_xlfn.NORM.DIST(CB$3,$CV18,0.3*$CV18,TRUE)-_xlfn.NORM.DIST(CB$30,$CV18,0.3*$CV18,TRUE))),""),IF($C18&gt;0,summary!$C$10/28.8/0.947817,""))</f>
        <v/>
      </c>
      <c r="CC47">
        <f t="array" ref="CC47">IF($D18,IFERROR((SUMPRODUCT((economics!$AG$2:$AG$167=$B47)*(economics!$D$2:$D$167="whr")*economics!$AH$2:$AH$167*(_xlfn.NORM.DIST(CC$3,economics!$AK$2:$AK$167,economics!$AJ$2:$AJ$167,TRUE)-_xlfn.NORM.DIST(CC$30,economics!$AK$2:$AK$167,economics!$AJ$2:$AJ$167,TRUE))*economics!$AM$2:$AM$167)+$CR18*(_xlfn.NORM.DIST(CC$3,$CU18,0.3*$CU18,TRUE)-_xlfn.NORM.DIST(CC$30,$CU18,0.3*$CU18,TRUE))*summary!$C$7/28.8/0.947817+$CS18*(_xlfn.NORM.DIST(CC$3,$CV18,0.3*$CV18,TRUE)-_xlfn.NORM.DIST(CC$30,$CV18,0.3*$CV18,TRUE))*summary!$C$6/28.8/0.947817)/(SUMPRODUCT((economics!$AG$2:$AG$167=$B47)*(economics!$D$2:$D$167="whr")*economics!$AH$2:$AH$167*(_xlfn.NORM.DIST(CC$3,economics!$AK$2:$AK$167,economics!$AJ$2:$AJ$167,TRUE)-_xlfn.NORM.DIST(CC$30,economics!$AK$2:$AK$167,economics!$AJ$2:$AJ$167,TRUE)))+$CR18*(_xlfn.NORM.DIST(CC$3,$CU18,0.3*$CU18,TRUE)-_xlfn.NORM.DIST(CC$30,$CU18,0.3*$CU18,TRUE))+$CS18*(_xlfn.NORM.DIST(CC$3,$CV18,0.3*$CV18,TRUE)-_xlfn.NORM.DIST(CC$30,$CV18,0.3*$CV18,TRUE))),""),IF($C18&gt;0,summary!$C$10/28.8/0.947817,""))</f>
        <v/>
      </c>
      <c r="CD47">
        <f t="array" ref="CD47">IF($D18,IFERROR((SUMPRODUCT((economics!$AG$2:$AG$167=$B47)*(economics!$D$2:$D$167="whr")*economics!$AH$2:$AH$167*(_xlfn.NORM.DIST(CD$3,economics!$AK$2:$AK$167,economics!$AJ$2:$AJ$167,TRUE)-_xlfn.NORM.DIST(CD$30,economics!$AK$2:$AK$167,economics!$AJ$2:$AJ$167,TRUE))*economics!$AM$2:$AM$167)+$CR18*(_xlfn.NORM.DIST(CD$3,$CU18,0.3*$CU18,TRUE)-_xlfn.NORM.DIST(CD$30,$CU18,0.3*$CU18,TRUE))*summary!$C$7/28.8/0.947817+$CS18*(_xlfn.NORM.DIST(CD$3,$CV18,0.3*$CV18,TRUE)-_xlfn.NORM.DIST(CD$30,$CV18,0.3*$CV18,TRUE))*summary!$C$6/28.8/0.947817)/(SUMPRODUCT((economics!$AG$2:$AG$167=$B47)*(economics!$D$2:$D$167="whr")*economics!$AH$2:$AH$167*(_xlfn.NORM.DIST(CD$3,economics!$AK$2:$AK$167,economics!$AJ$2:$AJ$167,TRUE)-_xlfn.NORM.DIST(CD$30,economics!$AK$2:$AK$167,economics!$AJ$2:$AJ$167,TRUE)))+$CR18*(_xlfn.NORM.DIST(CD$3,$CU18,0.3*$CU18,TRUE)-_xlfn.NORM.DIST(CD$30,$CU18,0.3*$CU18,TRUE))+$CS18*(_xlfn.NORM.DIST(CD$3,$CV18,0.3*$CV18,TRUE)-_xlfn.NORM.DIST(CD$30,$CV18,0.3*$CV18,TRUE))),""),IF($C18&gt;0,summary!$C$10/28.8/0.947817,""))</f>
        <v/>
      </c>
      <c r="CE47">
        <f t="array" ref="CE47">IF($D18,IFERROR((SUMPRODUCT((economics!$AG$2:$AG$167=$B47)*(economics!$D$2:$D$167="whr")*economics!$AH$2:$AH$167*(_xlfn.NORM.DIST(CE$3,economics!$AK$2:$AK$167,economics!$AJ$2:$AJ$167,TRUE)-_xlfn.NORM.DIST(CE$30,economics!$AK$2:$AK$167,economics!$AJ$2:$AJ$167,TRUE))*economics!$AM$2:$AM$167)+$CR18*(_xlfn.NORM.DIST(CE$3,$CU18,0.3*$CU18,TRUE)-_xlfn.NORM.DIST(CE$30,$CU18,0.3*$CU18,TRUE))*summary!$C$7/28.8/0.947817+$CS18*(_xlfn.NORM.DIST(CE$3,$CV18,0.3*$CV18,TRUE)-_xlfn.NORM.DIST(CE$30,$CV18,0.3*$CV18,TRUE))*summary!$C$6/28.8/0.947817)/(SUMPRODUCT((economics!$AG$2:$AG$167=$B47)*(economics!$D$2:$D$167="whr")*economics!$AH$2:$AH$167*(_xlfn.NORM.DIST(CE$3,economics!$AK$2:$AK$167,economics!$AJ$2:$AJ$167,TRUE)-_xlfn.NORM.DIST(CE$30,economics!$AK$2:$AK$167,economics!$AJ$2:$AJ$167,TRUE)))+$CR18*(_xlfn.NORM.DIST(CE$3,$CU18,0.3*$CU18,TRUE)-_xlfn.NORM.DIST(CE$30,$CU18,0.3*$CU18,TRUE))+$CS18*(_xlfn.NORM.DIST(CE$3,$CV18,0.3*$CV18,TRUE)-_xlfn.NORM.DIST(CE$30,$CV18,0.3*$CV18,TRUE))),""),IF($C18&gt;0,summary!$C$10/28.8/0.947817,""))</f>
        <v/>
      </c>
      <c r="CF47">
        <f t="array" ref="CF47">IF($D18,IFERROR((SUMPRODUCT((economics!$AG$2:$AG$167=$B47)*(economics!$D$2:$D$167="whr")*economics!$AH$2:$AH$167*(_xlfn.NORM.DIST(CF$3,economics!$AK$2:$AK$167,economics!$AJ$2:$AJ$167,TRUE)-_xlfn.NORM.DIST(CF$30,economics!$AK$2:$AK$167,economics!$AJ$2:$AJ$167,TRUE))*economics!$AM$2:$AM$167)+$CR18*(_xlfn.NORM.DIST(CF$3,$CU18,0.3*$CU18,TRUE)-_xlfn.NORM.DIST(CF$30,$CU18,0.3*$CU18,TRUE))*summary!$C$7/28.8/0.947817+$CS18*(_xlfn.NORM.DIST(CF$3,$CV18,0.3*$CV18,TRUE)-_xlfn.NORM.DIST(CF$30,$CV18,0.3*$CV18,TRUE))*summary!$C$6/28.8/0.947817)/(SUMPRODUCT((economics!$AG$2:$AG$167=$B47)*(economics!$D$2:$D$167="whr")*economics!$AH$2:$AH$167*(_xlfn.NORM.DIST(CF$3,economics!$AK$2:$AK$167,economics!$AJ$2:$AJ$167,TRUE)-_xlfn.NORM.DIST(CF$30,economics!$AK$2:$AK$167,economics!$AJ$2:$AJ$167,TRUE)))+$CR18*(_xlfn.NORM.DIST(CF$3,$CU18,0.3*$CU18,TRUE)-_xlfn.NORM.DIST(CF$30,$CU18,0.3*$CU18,TRUE))+$CS18*(_xlfn.NORM.DIST(CF$3,$CV18,0.3*$CV18,TRUE)-_xlfn.NORM.DIST(CF$30,$CV18,0.3*$CV18,TRUE))),""),IF($C18&gt;0,summary!$C$10/28.8/0.947817,""))</f>
        <v/>
      </c>
      <c r="CG47">
        <f t="array" ref="CG47">IF($D18,IFERROR((SUMPRODUCT((economics!$AG$2:$AG$167=$B47)*(economics!$D$2:$D$167="whr")*economics!$AH$2:$AH$167*(_xlfn.NORM.DIST(CG$3,economics!$AK$2:$AK$167,economics!$AJ$2:$AJ$167,TRUE)-_xlfn.NORM.DIST(CG$30,economics!$AK$2:$AK$167,economics!$AJ$2:$AJ$167,TRUE))*economics!$AM$2:$AM$167)+$CR18*(_xlfn.NORM.DIST(CG$3,$CU18,0.3*$CU18,TRUE)-_xlfn.NORM.DIST(CG$30,$CU18,0.3*$CU18,TRUE))*summary!$C$7/28.8/0.947817+$CS18*(_xlfn.NORM.DIST(CG$3,$CV18,0.3*$CV18,TRUE)-_xlfn.NORM.DIST(CG$30,$CV18,0.3*$CV18,TRUE))*summary!$C$6/28.8/0.947817)/(SUMPRODUCT((economics!$AG$2:$AG$167=$B47)*(economics!$D$2:$D$167="whr")*economics!$AH$2:$AH$167*(_xlfn.NORM.DIST(CG$3,economics!$AK$2:$AK$167,economics!$AJ$2:$AJ$167,TRUE)-_xlfn.NORM.DIST(CG$30,economics!$AK$2:$AK$167,economics!$AJ$2:$AJ$167,TRUE)))+$CR18*(_xlfn.NORM.DIST(CG$3,$CU18,0.3*$CU18,TRUE)-_xlfn.NORM.DIST(CG$30,$CU18,0.3*$CU18,TRUE))+$CS18*(_xlfn.NORM.DIST(CG$3,$CV18,0.3*$CV18,TRUE)-_xlfn.NORM.DIST(CG$30,$CV18,0.3*$CV18,TRUE))),""),IF($C18&gt;0,summary!$C$10/28.8/0.947817,""))</f>
        <v/>
      </c>
      <c r="CH47">
        <f t="array" ref="CH47">IF($D18,IFERROR((SUMPRODUCT((economics!$AG$2:$AG$167=$B47)*(economics!$D$2:$D$167="whr")*economics!$AH$2:$AH$167*(_xlfn.NORM.DIST(CH$3,economics!$AK$2:$AK$167,economics!$AJ$2:$AJ$167,TRUE)-_xlfn.NORM.DIST(CH$30,economics!$AK$2:$AK$167,economics!$AJ$2:$AJ$167,TRUE))*economics!$AM$2:$AM$167)+$CR18*(_xlfn.NORM.DIST(CH$3,$CU18,0.3*$CU18,TRUE)-_xlfn.NORM.DIST(CH$30,$CU18,0.3*$CU18,TRUE))*summary!$C$7/28.8/0.947817+$CS18*(_xlfn.NORM.DIST(CH$3,$CV18,0.3*$CV18,TRUE)-_xlfn.NORM.DIST(CH$30,$CV18,0.3*$CV18,TRUE))*summary!$C$6/28.8/0.947817)/(SUMPRODUCT((economics!$AG$2:$AG$167=$B47)*(economics!$D$2:$D$167="whr")*economics!$AH$2:$AH$167*(_xlfn.NORM.DIST(CH$3,economics!$AK$2:$AK$167,economics!$AJ$2:$AJ$167,TRUE)-_xlfn.NORM.DIST(CH$30,economics!$AK$2:$AK$167,economics!$AJ$2:$AJ$167,TRUE)))+$CR18*(_xlfn.NORM.DIST(CH$3,$CU18,0.3*$CU18,TRUE)-_xlfn.NORM.DIST(CH$30,$CU18,0.3*$CU18,TRUE))+$CS18*(_xlfn.NORM.DIST(CH$3,$CV18,0.3*$CV18,TRUE)-_xlfn.NORM.DIST(CH$30,$CV18,0.3*$CV18,TRUE))),""),IF($C18&gt;0,summary!$C$10/28.8/0.947817,""))</f>
        <v/>
      </c>
    </row>
    <row r="48">
      <c r="A48">
        <f>A19</f>
        <v/>
      </c>
      <c r="B48">
        <f>B19</f>
        <v/>
      </c>
      <c r="E48">
        <f t="array" ref="E48">IF($D19,IFERROR((SUMPRODUCT((economics!$AG$2:$AG$167=$B48)*(economics!$D$2:$D$167="whr")*economics!$AH$2:$AH$167*(_xlfn.NORM.DIST(E$3,economics!$AK$2:$AK$167,economics!$AJ$2:$AJ$167,TRUE)-_xlfn.NORM.DIST(E$30,economics!$AK$2:$AK$167,economics!$AJ$2:$AJ$167,TRUE))*economics!$AM$2:$AM$167)+$CR19*(_xlfn.NORM.DIST(E$3,$CU19,0.3*$CU19,TRUE)-_xlfn.NORM.DIST(E$30,$CU19,0.3*$CU19,TRUE))*summary!$C$7/28.8/0.947817+$CS19*(_xlfn.NORM.DIST(E$3,$CV19,0.3*$CV19,TRUE)-_xlfn.NORM.DIST(E$30,$CV19,0.3*$CV19,TRUE))*summary!$C$6/28.8/0.947817)/(SUMPRODUCT((economics!$AG$2:$AG$167=$B48)*(economics!$D$2:$D$167="whr")*economics!$AH$2:$AH$167*(_xlfn.NORM.DIST(E$3,economics!$AK$2:$AK$167,economics!$AJ$2:$AJ$167,TRUE)-_xlfn.NORM.DIST(E$30,economics!$AK$2:$AK$167,economics!$AJ$2:$AJ$167,TRUE)))+$CR19*(_xlfn.NORM.DIST(E$3,$CU19,0.3*$CU19,TRUE)-_xlfn.NORM.DIST(E$30,$CU19,0.3*$CU19,TRUE))+$CS19*(_xlfn.NORM.DIST(E$3,$CV19,0.3*$CV19,TRUE)-_xlfn.NORM.DIST(E$30,$CV19,0.3*$CV19,TRUE))),""),IF($C19&gt;0,summary!$C$10/28.8/0.947817,""))</f>
        <v/>
      </c>
      <c r="F48">
        <f t="array" ref="F48">IF($D19,IFERROR((SUMPRODUCT((economics!$AG$2:$AG$167=$B48)*(economics!$D$2:$D$167="whr")*economics!$AH$2:$AH$167*(_xlfn.NORM.DIST(F$3,economics!$AK$2:$AK$167,economics!$AJ$2:$AJ$167,TRUE)-_xlfn.NORM.DIST(F$30,economics!$AK$2:$AK$167,economics!$AJ$2:$AJ$167,TRUE))*economics!$AM$2:$AM$167)+$CR19*(_xlfn.NORM.DIST(F$3,$CU19,0.3*$CU19,TRUE)-_xlfn.NORM.DIST(F$30,$CU19,0.3*$CU19,TRUE))*summary!$C$7/28.8/0.947817+$CS19*(_xlfn.NORM.DIST(F$3,$CV19,0.3*$CV19,TRUE)-_xlfn.NORM.DIST(F$30,$CV19,0.3*$CV19,TRUE))*summary!$C$6/28.8/0.947817)/(SUMPRODUCT((economics!$AG$2:$AG$167=$B48)*(economics!$D$2:$D$167="whr")*economics!$AH$2:$AH$167*(_xlfn.NORM.DIST(F$3,economics!$AK$2:$AK$167,economics!$AJ$2:$AJ$167,TRUE)-_xlfn.NORM.DIST(F$30,economics!$AK$2:$AK$167,economics!$AJ$2:$AJ$167,TRUE)))+$CR19*(_xlfn.NORM.DIST(F$3,$CU19,0.3*$CU19,TRUE)-_xlfn.NORM.DIST(F$30,$CU19,0.3*$CU19,TRUE))+$CS19*(_xlfn.NORM.DIST(F$3,$CV19,0.3*$CV19,TRUE)-_xlfn.NORM.DIST(F$30,$CV19,0.3*$CV19,TRUE))),""),IF($C19&gt;0,summary!$C$10/28.8/0.947817,""))</f>
        <v/>
      </c>
      <c r="G48">
        <f t="array" ref="G48">IF($D19,IFERROR((SUMPRODUCT((economics!$AG$2:$AG$167=$B48)*(economics!$D$2:$D$167="whr")*economics!$AH$2:$AH$167*(_xlfn.NORM.DIST(G$3,economics!$AK$2:$AK$167,economics!$AJ$2:$AJ$167,TRUE)-_xlfn.NORM.DIST(G$30,economics!$AK$2:$AK$167,economics!$AJ$2:$AJ$167,TRUE))*economics!$AM$2:$AM$167)+$CR19*(_xlfn.NORM.DIST(G$3,$CU19,0.3*$CU19,TRUE)-_xlfn.NORM.DIST(G$30,$CU19,0.3*$CU19,TRUE))*summary!$C$7/28.8/0.947817+$CS19*(_xlfn.NORM.DIST(G$3,$CV19,0.3*$CV19,TRUE)-_xlfn.NORM.DIST(G$30,$CV19,0.3*$CV19,TRUE))*summary!$C$6/28.8/0.947817)/(SUMPRODUCT((economics!$AG$2:$AG$167=$B48)*(economics!$D$2:$D$167="whr")*economics!$AH$2:$AH$167*(_xlfn.NORM.DIST(G$3,economics!$AK$2:$AK$167,economics!$AJ$2:$AJ$167,TRUE)-_xlfn.NORM.DIST(G$30,economics!$AK$2:$AK$167,economics!$AJ$2:$AJ$167,TRUE)))+$CR19*(_xlfn.NORM.DIST(G$3,$CU19,0.3*$CU19,TRUE)-_xlfn.NORM.DIST(G$30,$CU19,0.3*$CU19,TRUE))+$CS19*(_xlfn.NORM.DIST(G$3,$CV19,0.3*$CV19,TRUE)-_xlfn.NORM.DIST(G$30,$CV19,0.3*$CV19,TRUE))),""),IF($C19&gt;0,summary!$C$10/28.8/0.947817,""))</f>
        <v/>
      </c>
      <c r="H48">
        <f t="array" ref="H48">IF($D19,IFERROR((SUMPRODUCT((economics!$AG$2:$AG$167=$B48)*(economics!$D$2:$D$167="whr")*economics!$AH$2:$AH$167*(_xlfn.NORM.DIST(H$3,economics!$AK$2:$AK$167,economics!$AJ$2:$AJ$167,TRUE)-_xlfn.NORM.DIST(H$30,economics!$AK$2:$AK$167,economics!$AJ$2:$AJ$167,TRUE))*economics!$AM$2:$AM$167)+$CR19*(_xlfn.NORM.DIST(H$3,$CU19,0.3*$CU19,TRUE)-_xlfn.NORM.DIST(H$30,$CU19,0.3*$CU19,TRUE))*summary!$C$7/28.8/0.947817+$CS19*(_xlfn.NORM.DIST(H$3,$CV19,0.3*$CV19,TRUE)-_xlfn.NORM.DIST(H$30,$CV19,0.3*$CV19,TRUE))*summary!$C$6/28.8/0.947817)/(SUMPRODUCT((economics!$AG$2:$AG$167=$B48)*(economics!$D$2:$D$167="whr")*economics!$AH$2:$AH$167*(_xlfn.NORM.DIST(H$3,economics!$AK$2:$AK$167,economics!$AJ$2:$AJ$167,TRUE)-_xlfn.NORM.DIST(H$30,economics!$AK$2:$AK$167,economics!$AJ$2:$AJ$167,TRUE)))+$CR19*(_xlfn.NORM.DIST(H$3,$CU19,0.3*$CU19,TRUE)-_xlfn.NORM.DIST(H$30,$CU19,0.3*$CU19,TRUE))+$CS19*(_xlfn.NORM.DIST(H$3,$CV19,0.3*$CV19,TRUE)-_xlfn.NORM.DIST(H$30,$CV19,0.3*$CV19,TRUE))),""),IF($C19&gt;0,summary!$C$10/28.8/0.947817,""))</f>
        <v/>
      </c>
      <c r="I48">
        <f t="array" ref="I48">IF($D19,IFERROR((SUMPRODUCT((economics!$AG$2:$AG$167=$B48)*(economics!$D$2:$D$167="whr")*economics!$AH$2:$AH$167*(_xlfn.NORM.DIST(I$3,economics!$AK$2:$AK$167,economics!$AJ$2:$AJ$167,TRUE)-_xlfn.NORM.DIST(I$30,economics!$AK$2:$AK$167,economics!$AJ$2:$AJ$167,TRUE))*economics!$AM$2:$AM$167)+$CR19*(_xlfn.NORM.DIST(I$3,$CU19,0.3*$CU19,TRUE)-_xlfn.NORM.DIST(I$30,$CU19,0.3*$CU19,TRUE))*summary!$C$7/28.8/0.947817+$CS19*(_xlfn.NORM.DIST(I$3,$CV19,0.3*$CV19,TRUE)-_xlfn.NORM.DIST(I$30,$CV19,0.3*$CV19,TRUE))*summary!$C$6/28.8/0.947817)/(SUMPRODUCT((economics!$AG$2:$AG$167=$B48)*(economics!$D$2:$D$167="whr")*economics!$AH$2:$AH$167*(_xlfn.NORM.DIST(I$3,economics!$AK$2:$AK$167,economics!$AJ$2:$AJ$167,TRUE)-_xlfn.NORM.DIST(I$30,economics!$AK$2:$AK$167,economics!$AJ$2:$AJ$167,TRUE)))+$CR19*(_xlfn.NORM.DIST(I$3,$CU19,0.3*$CU19,TRUE)-_xlfn.NORM.DIST(I$30,$CU19,0.3*$CU19,TRUE))+$CS19*(_xlfn.NORM.DIST(I$3,$CV19,0.3*$CV19,TRUE)-_xlfn.NORM.DIST(I$30,$CV19,0.3*$CV19,TRUE))),""),IF($C19&gt;0,summary!$C$10/28.8/0.947817,""))</f>
        <v/>
      </c>
      <c r="J48">
        <f t="array" ref="J48">IF($D19,IFERROR((SUMPRODUCT((economics!$AG$2:$AG$167=$B48)*(economics!$D$2:$D$167="whr")*economics!$AH$2:$AH$167*(_xlfn.NORM.DIST(J$3,economics!$AK$2:$AK$167,economics!$AJ$2:$AJ$167,TRUE)-_xlfn.NORM.DIST(J$30,economics!$AK$2:$AK$167,economics!$AJ$2:$AJ$167,TRUE))*economics!$AM$2:$AM$167)+$CR19*(_xlfn.NORM.DIST(J$3,$CU19,0.3*$CU19,TRUE)-_xlfn.NORM.DIST(J$30,$CU19,0.3*$CU19,TRUE))*summary!$C$7/28.8/0.947817+$CS19*(_xlfn.NORM.DIST(J$3,$CV19,0.3*$CV19,TRUE)-_xlfn.NORM.DIST(J$30,$CV19,0.3*$CV19,TRUE))*summary!$C$6/28.8/0.947817)/(SUMPRODUCT((economics!$AG$2:$AG$167=$B48)*(economics!$D$2:$D$167="whr")*economics!$AH$2:$AH$167*(_xlfn.NORM.DIST(J$3,economics!$AK$2:$AK$167,economics!$AJ$2:$AJ$167,TRUE)-_xlfn.NORM.DIST(J$30,economics!$AK$2:$AK$167,economics!$AJ$2:$AJ$167,TRUE)))+$CR19*(_xlfn.NORM.DIST(J$3,$CU19,0.3*$CU19,TRUE)-_xlfn.NORM.DIST(J$30,$CU19,0.3*$CU19,TRUE))+$CS19*(_xlfn.NORM.DIST(J$3,$CV19,0.3*$CV19,TRUE)-_xlfn.NORM.DIST(J$30,$CV19,0.3*$CV19,TRUE))),""),IF($C19&gt;0,summary!$C$10/28.8/0.947817,""))</f>
        <v/>
      </c>
      <c r="K48">
        <f t="array" ref="K48">IF($D19,IFERROR((SUMPRODUCT((economics!$AG$2:$AG$167=$B48)*(economics!$D$2:$D$167="whr")*economics!$AH$2:$AH$167*(_xlfn.NORM.DIST(K$3,economics!$AK$2:$AK$167,economics!$AJ$2:$AJ$167,TRUE)-_xlfn.NORM.DIST(K$30,economics!$AK$2:$AK$167,economics!$AJ$2:$AJ$167,TRUE))*economics!$AM$2:$AM$167)+$CR19*(_xlfn.NORM.DIST(K$3,$CU19,0.3*$CU19,TRUE)-_xlfn.NORM.DIST(K$30,$CU19,0.3*$CU19,TRUE))*summary!$C$7/28.8/0.947817+$CS19*(_xlfn.NORM.DIST(K$3,$CV19,0.3*$CV19,TRUE)-_xlfn.NORM.DIST(K$30,$CV19,0.3*$CV19,TRUE))*summary!$C$6/28.8/0.947817)/(SUMPRODUCT((economics!$AG$2:$AG$167=$B48)*(economics!$D$2:$D$167="whr")*economics!$AH$2:$AH$167*(_xlfn.NORM.DIST(K$3,economics!$AK$2:$AK$167,economics!$AJ$2:$AJ$167,TRUE)-_xlfn.NORM.DIST(K$30,economics!$AK$2:$AK$167,economics!$AJ$2:$AJ$167,TRUE)))+$CR19*(_xlfn.NORM.DIST(K$3,$CU19,0.3*$CU19,TRUE)-_xlfn.NORM.DIST(K$30,$CU19,0.3*$CU19,TRUE))+$CS19*(_xlfn.NORM.DIST(K$3,$CV19,0.3*$CV19,TRUE)-_xlfn.NORM.DIST(K$30,$CV19,0.3*$CV19,TRUE))),""),IF($C19&gt;0,summary!$C$10/28.8/0.947817,""))</f>
        <v/>
      </c>
      <c r="L48">
        <f t="array" ref="L48">IF($D19,IFERROR((SUMPRODUCT((economics!$AG$2:$AG$167=$B48)*(economics!$D$2:$D$167="whr")*economics!$AH$2:$AH$167*(_xlfn.NORM.DIST(L$3,economics!$AK$2:$AK$167,economics!$AJ$2:$AJ$167,TRUE)-_xlfn.NORM.DIST(L$30,economics!$AK$2:$AK$167,economics!$AJ$2:$AJ$167,TRUE))*economics!$AM$2:$AM$167)+$CR19*(_xlfn.NORM.DIST(L$3,$CU19,0.3*$CU19,TRUE)-_xlfn.NORM.DIST(L$30,$CU19,0.3*$CU19,TRUE))*summary!$C$7/28.8/0.947817+$CS19*(_xlfn.NORM.DIST(L$3,$CV19,0.3*$CV19,TRUE)-_xlfn.NORM.DIST(L$30,$CV19,0.3*$CV19,TRUE))*summary!$C$6/28.8/0.947817)/(SUMPRODUCT((economics!$AG$2:$AG$167=$B48)*(economics!$D$2:$D$167="whr")*economics!$AH$2:$AH$167*(_xlfn.NORM.DIST(L$3,economics!$AK$2:$AK$167,economics!$AJ$2:$AJ$167,TRUE)-_xlfn.NORM.DIST(L$30,economics!$AK$2:$AK$167,economics!$AJ$2:$AJ$167,TRUE)))+$CR19*(_xlfn.NORM.DIST(L$3,$CU19,0.3*$CU19,TRUE)-_xlfn.NORM.DIST(L$30,$CU19,0.3*$CU19,TRUE))+$CS19*(_xlfn.NORM.DIST(L$3,$CV19,0.3*$CV19,TRUE)-_xlfn.NORM.DIST(L$30,$CV19,0.3*$CV19,TRUE))),""),IF($C19&gt;0,summary!$C$10/28.8/0.947817,""))</f>
        <v/>
      </c>
      <c r="M48">
        <f t="array" ref="M48">IF($D19,IFERROR((SUMPRODUCT((economics!$AG$2:$AG$167=$B48)*(economics!$D$2:$D$167="whr")*economics!$AH$2:$AH$167*(_xlfn.NORM.DIST(M$3,economics!$AK$2:$AK$167,economics!$AJ$2:$AJ$167,TRUE)-_xlfn.NORM.DIST(M$30,economics!$AK$2:$AK$167,economics!$AJ$2:$AJ$167,TRUE))*economics!$AM$2:$AM$167)+$CR19*(_xlfn.NORM.DIST(M$3,$CU19,0.3*$CU19,TRUE)-_xlfn.NORM.DIST(M$30,$CU19,0.3*$CU19,TRUE))*summary!$C$7/28.8/0.947817+$CS19*(_xlfn.NORM.DIST(M$3,$CV19,0.3*$CV19,TRUE)-_xlfn.NORM.DIST(M$30,$CV19,0.3*$CV19,TRUE))*summary!$C$6/28.8/0.947817)/(SUMPRODUCT((economics!$AG$2:$AG$167=$B48)*(economics!$D$2:$D$167="whr")*economics!$AH$2:$AH$167*(_xlfn.NORM.DIST(M$3,economics!$AK$2:$AK$167,economics!$AJ$2:$AJ$167,TRUE)-_xlfn.NORM.DIST(M$30,economics!$AK$2:$AK$167,economics!$AJ$2:$AJ$167,TRUE)))+$CR19*(_xlfn.NORM.DIST(M$3,$CU19,0.3*$CU19,TRUE)-_xlfn.NORM.DIST(M$30,$CU19,0.3*$CU19,TRUE))+$CS19*(_xlfn.NORM.DIST(M$3,$CV19,0.3*$CV19,TRUE)-_xlfn.NORM.DIST(M$30,$CV19,0.3*$CV19,TRUE))),""),IF($C19&gt;0,summary!$C$10/28.8/0.947817,""))</f>
        <v/>
      </c>
      <c r="N48">
        <f t="array" ref="N48">IF($D19,IFERROR((SUMPRODUCT((economics!$AG$2:$AG$167=$B48)*(economics!$D$2:$D$167="whr")*economics!$AH$2:$AH$167*(_xlfn.NORM.DIST(N$3,economics!$AK$2:$AK$167,economics!$AJ$2:$AJ$167,TRUE)-_xlfn.NORM.DIST(N$30,economics!$AK$2:$AK$167,economics!$AJ$2:$AJ$167,TRUE))*economics!$AM$2:$AM$167)+$CR19*(_xlfn.NORM.DIST(N$3,$CU19,0.3*$CU19,TRUE)-_xlfn.NORM.DIST(N$30,$CU19,0.3*$CU19,TRUE))*summary!$C$7/28.8/0.947817+$CS19*(_xlfn.NORM.DIST(N$3,$CV19,0.3*$CV19,TRUE)-_xlfn.NORM.DIST(N$30,$CV19,0.3*$CV19,TRUE))*summary!$C$6/28.8/0.947817)/(SUMPRODUCT((economics!$AG$2:$AG$167=$B48)*(economics!$D$2:$D$167="whr")*economics!$AH$2:$AH$167*(_xlfn.NORM.DIST(N$3,economics!$AK$2:$AK$167,economics!$AJ$2:$AJ$167,TRUE)-_xlfn.NORM.DIST(N$30,economics!$AK$2:$AK$167,economics!$AJ$2:$AJ$167,TRUE)))+$CR19*(_xlfn.NORM.DIST(N$3,$CU19,0.3*$CU19,TRUE)-_xlfn.NORM.DIST(N$30,$CU19,0.3*$CU19,TRUE))+$CS19*(_xlfn.NORM.DIST(N$3,$CV19,0.3*$CV19,TRUE)-_xlfn.NORM.DIST(N$30,$CV19,0.3*$CV19,TRUE))),""),IF($C19&gt;0,summary!$C$10/28.8/0.947817,""))</f>
        <v/>
      </c>
      <c r="O48">
        <f t="array" ref="O48">IF($D19,IFERROR((SUMPRODUCT((economics!$AG$2:$AG$167=$B48)*(economics!$D$2:$D$167="whr")*economics!$AH$2:$AH$167*(_xlfn.NORM.DIST(O$3,economics!$AK$2:$AK$167,economics!$AJ$2:$AJ$167,TRUE)-_xlfn.NORM.DIST(O$30,economics!$AK$2:$AK$167,economics!$AJ$2:$AJ$167,TRUE))*economics!$AM$2:$AM$167)+$CR19*(_xlfn.NORM.DIST(O$3,$CU19,0.3*$CU19,TRUE)-_xlfn.NORM.DIST(O$30,$CU19,0.3*$CU19,TRUE))*summary!$C$7/28.8/0.947817+$CS19*(_xlfn.NORM.DIST(O$3,$CV19,0.3*$CV19,TRUE)-_xlfn.NORM.DIST(O$30,$CV19,0.3*$CV19,TRUE))*summary!$C$6/28.8/0.947817)/(SUMPRODUCT((economics!$AG$2:$AG$167=$B48)*(economics!$D$2:$D$167="whr")*economics!$AH$2:$AH$167*(_xlfn.NORM.DIST(O$3,economics!$AK$2:$AK$167,economics!$AJ$2:$AJ$167,TRUE)-_xlfn.NORM.DIST(O$30,economics!$AK$2:$AK$167,economics!$AJ$2:$AJ$167,TRUE)))+$CR19*(_xlfn.NORM.DIST(O$3,$CU19,0.3*$CU19,TRUE)-_xlfn.NORM.DIST(O$30,$CU19,0.3*$CU19,TRUE))+$CS19*(_xlfn.NORM.DIST(O$3,$CV19,0.3*$CV19,TRUE)-_xlfn.NORM.DIST(O$30,$CV19,0.3*$CV19,TRUE))),""),IF($C19&gt;0,summary!$C$10/28.8/0.947817,""))</f>
        <v/>
      </c>
      <c r="P48">
        <f t="array" ref="P48">IF($D19,IFERROR((SUMPRODUCT((economics!$AG$2:$AG$167=$B48)*(economics!$D$2:$D$167="whr")*economics!$AH$2:$AH$167*(_xlfn.NORM.DIST(P$3,economics!$AK$2:$AK$167,economics!$AJ$2:$AJ$167,TRUE)-_xlfn.NORM.DIST(P$30,economics!$AK$2:$AK$167,economics!$AJ$2:$AJ$167,TRUE))*economics!$AM$2:$AM$167)+$CR19*(_xlfn.NORM.DIST(P$3,$CU19,0.3*$CU19,TRUE)-_xlfn.NORM.DIST(P$30,$CU19,0.3*$CU19,TRUE))*summary!$C$7/28.8/0.947817+$CS19*(_xlfn.NORM.DIST(P$3,$CV19,0.3*$CV19,TRUE)-_xlfn.NORM.DIST(P$30,$CV19,0.3*$CV19,TRUE))*summary!$C$6/28.8/0.947817)/(SUMPRODUCT((economics!$AG$2:$AG$167=$B48)*(economics!$D$2:$D$167="whr")*economics!$AH$2:$AH$167*(_xlfn.NORM.DIST(P$3,economics!$AK$2:$AK$167,economics!$AJ$2:$AJ$167,TRUE)-_xlfn.NORM.DIST(P$30,economics!$AK$2:$AK$167,economics!$AJ$2:$AJ$167,TRUE)))+$CR19*(_xlfn.NORM.DIST(P$3,$CU19,0.3*$CU19,TRUE)-_xlfn.NORM.DIST(P$30,$CU19,0.3*$CU19,TRUE))+$CS19*(_xlfn.NORM.DIST(P$3,$CV19,0.3*$CV19,TRUE)-_xlfn.NORM.DIST(P$30,$CV19,0.3*$CV19,TRUE))),""),IF($C19&gt;0,summary!$C$10/28.8/0.947817,""))</f>
        <v/>
      </c>
      <c r="Q48">
        <f t="array" ref="Q48">IF($D19,IFERROR((SUMPRODUCT((economics!$AG$2:$AG$167=$B48)*(economics!$D$2:$D$167="whr")*economics!$AH$2:$AH$167*(_xlfn.NORM.DIST(Q$3,economics!$AK$2:$AK$167,economics!$AJ$2:$AJ$167,TRUE)-_xlfn.NORM.DIST(Q$30,economics!$AK$2:$AK$167,economics!$AJ$2:$AJ$167,TRUE))*economics!$AM$2:$AM$167)+$CR19*(_xlfn.NORM.DIST(Q$3,$CU19,0.3*$CU19,TRUE)-_xlfn.NORM.DIST(Q$30,$CU19,0.3*$CU19,TRUE))*summary!$C$7/28.8/0.947817+$CS19*(_xlfn.NORM.DIST(Q$3,$CV19,0.3*$CV19,TRUE)-_xlfn.NORM.DIST(Q$30,$CV19,0.3*$CV19,TRUE))*summary!$C$6/28.8/0.947817)/(SUMPRODUCT((economics!$AG$2:$AG$167=$B48)*(economics!$D$2:$D$167="whr")*economics!$AH$2:$AH$167*(_xlfn.NORM.DIST(Q$3,economics!$AK$2:$AK$167,economics!$AJ$2:$AJ$167,TRUE)-_xlfn.NORM.DIST(Q$30,economics!$AK$2:$AK$167,economics!$AJ$2:$AJ$167,TRUE)))+$CR19*(_xlfn.NORM.DIST(Q$3,$CU19,0.3*$CU19,TRUE)-_xlfn.NORM.DIST(Q$30,$CU19,0.3*$CU19,TRUE))+$CS19*(_xlfn.NORM.DIST(Q$3,$CV19,0.3*$CV19,TRUE)-_xlfn.NORM.DIST(Q$30,$CV19,0.3*$CV19,TRUE))),""),IF($C19&gt;0,summary!$C$10/28.8/0.947817,""))</f>
        <v/>
      </c>
      <c r="R48">
        <f t="array" ref="R48">IF($D19,IFERROR((SUMPRODUCT((economics!$AG$2:$AG$167=$B48)*(economics!$D$2:$D$167="whr")*economics!$AH$2:$AH$167*(_xlfn.NORM.DIST(R$3,economics!$AK$2:$AK$167,economics!$AJ$2:$AJ$167,TRUE)-_xlfn.NORM.DIST(R$30,economics!$AK$2:$AK$167,economics!$AJ$2:$AJ$167,TRUE))*economics!$AM$2:$AM$167)+$CR19*(_xlfn.NORM.DIST(R$3,$CU19,0.3*$CU19,TRUE)-_xlfn.NORM.DIST(R$30,$CU19,0.3*$CU19,TRUE))*summary!$C$7/28.8/0.947817+$CS19*(_xlfn.NORM.DIST(R$3,$CV19,0.3*$CV19,TRUE)-_xlfn.NORM.DIST(R$30,$CV19,0.3*$CV19,TRUE))*summary!$C$6/28.8/0.947817)/(SUMPRODUCT((economics!$AG$2:$AG$167=$B48)*(economics!$D$2:$D$167="whr")*economics!$AH$2:$AH$167*(_xlfn.NORM.DIST(R$3,economics!$AK$2:$AK$167,economics!$AJ$2:$AJ$167,TRUE)-_xlfn.NORM.DIST(R$30,economics!$AK$2:$AK$167,economics!$AJ$2:$AJ$167,TRUE)))+$CR19*(_xlfn.NORM.DIST(R$3,$CU19,0.3*$CU19,TRUE)-_xlfn.NORM.DIST(R$30,$CU19,0.3*$CU19,TRUE))+$CS19*(_xlfn.NORM.DIST(R$3,$CV19,0.3*$CV19,TRUE)-_xlfn.NORM.DIST(R$30,$CV19,0.3*$CV19,TRUE))),""),IF($C19&gt;0,summary!$C$10/28.8/0.947817,""))</f>
        <v/>
      </c>
      <c r="S48">
        <f t="array" ref="S48">IF($D19,IFERROR((SUMPRODUCT((economics!$AG$2:$AG$167=$B48)*(economics!$D$2:$D$167="whr")*economics!$AH$2:$AH$167*(_xlfn.NORM.DIST(S$3,economics!$AK$2:$AK$167,economics!$AJ$2:$AJ$167,TRUE)-_xlfn.NORM.DIST(S$30,economics!$AK$2:$AK$167,economics!$AJ$2:$AJ$167,TRUE))*economics!$AM$2:$AM$167)+$CR19*(_xlfn.NORM.DIST(S$3,$CU19,0.3*$CU19,TRUE)-_xlfn.NORM.DIST(S$30,$CU19,0.3*$CU19,TRUE))*summary!$C$7/28.8/0.947817+$CS19*(_xlfn.NORM.DIST(S$3,$CV19,0.3*$CV19,TRUE)-_xlfn.NORM.DIST(S$30,$CV19,0.3*$CV19,TRUE))*summary!$C$6/28.8/0.947817)/(SUMPRODUCT((economics!$AG$2:$AG$167=$B48)*(economics!$D$2:$D$167="whr")*economics!$AH$2:$AH$167*(_xlfn.NORM.DIST(S$3,economics!$AK$2:$AK$167,economics!$AJ$2:$AJ$167,TRUE)-_xlfn.NORM.DIST(S$30,economics!$AK$2:$AK$167,economics!$AJ$2:$AJ$167,TRUE)))+$CR19*(_xlfn.NORM.DIST(S$3,$CU19,0.3*$CU19,TRUE)-_xlfn.NORM.DIST(S$30,$CU19,0.3*$CU19,TRUE))+$CS19*(_xlfn.NORM.DIST(S$3,$CV19,0.3*$CV19,TRUE)-_xlfn.NORM.DIST(S$30,$CV19,0.3*$CV19,TRUE))),""),IF($C19&gt;0,summary!$C$10/28.8/0.947817,""))</f>
        <v/>
      </c>
      <c r="T48">
        <f t="array" ref="T48">IF($D19,IFERROR((SUMPRODUCT((economics!$AG$2:$AG$167=$B48)*(economics!$D$2:$D$167="whr")*economics!$AH$2:$AH$167*(_xlfn.NORM.DIST(T$3,economics!$AK$2:$AK$167,economics!$AJ$2:$AJ$167,TRUE)-_xlfn.NORM.DIST(T$30,economics!$AK$2:$AK$167,economics!$AJ$2:$AJ$167,TRUE))*economics!$AM$2:$AM$167)+$CR19*(_xlfn.NORM.DIST(T$3,$CU19,0.3*$CU19,TRUE)-_xlfn.NORM.DIST(T$30,$CU19,0.3*$CU19,TRUE))*summary!$C$7/28.8/0.947817+$CS19*(_xlfn.NORM.DIST(T$3,$CV19,0.3*$CV19,TRUE)-_xlfn.NORM.DIST(T$30,$CV19,0.3*$CV19,TRUE))*summary!$C$6/28.8/0.947817)/(SUMPRODUCT((economics!$AG$2:$AG$167=$B48)*(economics!$D$2:$D$167="whr")*economics!$AH$2:$AH$167*(_xlfn.NORM.DIST(T$3,economics!$AK$2:$AK$167,economics!$AJ$2:$AJ$167,TRUE)-_xlfn.NORM.DIST(T$30,economics!$AK$2:$AK$167,economics!$AJ$2:$AJ$167,TRUE)))+$CR19*(_xlfn.NORM.DIST(T$3,$CU19,0.3*$CU19,TRUE)-_xlfn.NORM.DIST(T$30,$CU19,0.3*$CU19,TRUE))+$CS19*(_xlfn.NORM.DIST(T$3,$CV19,0.3*$CV19,TRUE)-_xlfn.NORM.DIST(T$30,$CV19,0.3*$CV19,TRUE))),""),IF($C19&gt;0,summary!$C$10/28.8/0.947817,""))</f>
        <v/>
      </c>
      <c r="U48">
        <f t="array" ref="U48">IF($D19,IFERROR((SUMPRODUCT((economics!$AG$2:$AG$167=$B48)*(economics!$D$2:$D$167="whr")*economics!$AH$2:$AH$167*(_xlfn.NORM.DIST(U$3,economics!$AK$2:$AK$167,economics!$AJ$2:$AJ$167,TRUE)-_xlfn.NORM.DIST(U$30,economics!$AK$2:$AK$167,economics!$AJ$2:$AJ$167,TRUE))*economics!$AM$2:$AM$167)+$CR19*(_xlfn.NORM.DIST(U$3,$CU19,0.3*$CU19,TRUE)-_xlfn.NORM.DIST(U$30,$CU19,0.3*$CU19,TRUE))*summary!$C$7/28.8/0.947817+$CS19*(_xlfn.NORM.DIST(U$3,$CV19,0.3*$CV19,TRUE)-_xlfn.NORM.DIST(U$30,$CV19,0.3*$CV19,TRUE))*summary!$C$6/28.8/0.947817)/(SUMPRODUCT((economics!$AG$2:$AG$167=$B48)*(economics!$D$2:$D$167="whr")*economics!$AH$2:$AH$167*(_xlfn.NORM.DIST(U$3,economics!$AK$2:$AK$167,economics!$AJ$2:$AJ$167,TRUE)-_xlfn.NORM.DIST(U$30,economics!$AK$2:$AK$167,economics!$AJ$2:$AJ$167,TRUE)))+$CR19*(_xlfn.NORM.DIST(U$3,$CU19,0.3*$CU19,TRUE)-_xlfn.NORM.DIST(U$30,$CU19,0.3*$CU19,TRUE))+$CS19*(_xlfn.NORM.DIST(U$3,$CV19,0.3*$CV19,TRUE)-_xlfn.NORM.DIST(U$30,$CV19,0.3*$CV19,TRUE))),""),IF($C19&gt;0,summary!$C$10/28.8/0.947817,""))</f>
        <v/>
      </c>
      <c r="V48">
        <f t="array" ref="V48">IF($D19,IFERROR((SUMPRODUCT((economics!$AG$2:$AG$167=$B48)*(economics!$D$2:$D$167="whr")*economics!$AH$2:$AH$167*(_xlfn.NORM.DIST(V$3,economics!$AK$2:$AK$167,economics!$AJ$2:$AJ$167,TRUE)-_xlfn.NORM.DIST(V$30,economics!$AK$2:$AK$167,economics!$AJ$2:$AJ$167,TRUE))*economics!$AM$2:$AM$167)+$CR19*(_xlfn.NORM.DIST(V$3,$CU19,0.3*$CU19,TRUE)-_xlfn.NORM.DIST(V$30,$CU19,0.3*$CU19,TRUE))*summary!$C$7/28.8/0.947817+$CS19*(_xlfn.NORM.DIST(V$3,$CV19,0.3*$CV19,TRUE)-_xlfn.NORM.DIST(V$30,$CV19,0.3*$CV19,TRUE))*summary!$C$6/28.8/0.947817)/(SUMPRODUCT((economics!$AG$2:$AG$167=$B48)*(economics!$D$2:$D$167="whr")*economics!$AH$2:$AH$167*(_xlfn.NORM.DIST(V$3,economics!$AK$2:$AK$167,economics!$AJ$2:$AJ$167,TRUE)-_xlfn.NORM.DIST(V$30,economics!$AK$2:$AK$167,economics!$AJ$2:$AJ$167,TRUE)))+$CR19*(_xlfn.NORM.DIST(V$3,$CU19,0.3*$CU19,TRUE)-_xlfn.NORM.DIST(V$30,$CU19,0.3*$CU19,TRUE))+$CS19*(_xlfn.NORM.DIST(V$3,$CV19,0.3*$CV19,TRUE)-_xlfn.NORM.DIST(V$30,$CV19,0.3*$CV19,TRUE))),""),IF($C19&gt;0,summary!$C$10/28.8/0.947817,""))</f>
        <v/>
      </c>
      <c r="W48">
        <f t="array" ref="W48">IF($D19,IFERROR((SUMPRODUCT((economics!$AG$2:$AG$167=$B48)*(economics!$D$2:$D$167="whr")*economics!$AH$2:$AH$167*(_xlfn.NORM.DIST(W$3,economics!$AK$2:$AK$167,economics!$AJ$2:$AJ$167,TRUE)-_xlfn.NORM.DIST(W$30,economics!$AK$2:$AK$167,economics!$AJ$2:$AJ$167,TRUE))*economics!$AM$2:$AM$167)+$CR19*(_xlfn.NORM.DIST(W$3,$CU19,0.3*$CU19,TRUE)-_xlfn.NORM.DIST(W$30,$CU19,0.3*$CU19,TRUE))*summary!$C$7/28.8/0.947817+$CS19*(_xlfn.NORM.DIST(W$3,$CV19,0.3*$CV19,TRUE)-_xlfn.NORM.DIST(W$30,$CV19,0.3*$CV19,TRUE))*summary!$C$6/28.8/0.947817)/(SUMPRODUCT((economics!$AG$2:$AG$167=$B48)*(economics!$D$2:$D$167="whr")*economics!$AH$2:$AH$167*(_xlfn.NORM.DIST(W$3,economics!$AK$2:$AK$167,economics!$AJ$2:$AJ$167,TRUE)-_xlfn.NORM.DIST(W$30,economics!$AK$2:$AK$167,economics!$AJ$2:$AJ$167,TRUE)))+$CR19*(_xlfn.NORM.DIST(W$3,$CU19,0.3*$CU19,TRUE)-_xlfn.NORM.DIST(W$30,$CU19,0.3*$CU19,TRUE))+$CS19*(_xlfn.NORM.DIST(W$3,$CV19,0.3*$CV19,TRUE)-_xlfn.NORM.DIST(W$30,$CV19,0.3*$CV19,TRUE))),""),IF($C19&gt;0,summary!$C$10/28.8/0.947817,""))</f>
        <v/>
      </c>
      <c r="X48">
        <f t="array" ref="X48">IF($D19,IFERROR((SUMPRODUCT((economics!$AG$2:$AG$167=$B48)*(economics!$D$2:$D$167="whr")*economics!$AH$2:$AH$167*(_xlfn.NORM.DIST(X$3,economics!$AK$2:$AK$167,economics!$AJ$2:$AJ$167,TRUE)-_xlfn.NORM.DIST(X$30,economics!$AK$2:$AK$167,economics!$AJ$2:$AJ$167,TRUE))*economics!$AM$2:$AM$167)+$CR19*(_xlfn.NORM.DIST(X$3,$CU19,0.3*$CU19,TRUE)-_xlfn.NORM.DIST(X$30,$CU19,0.3*$CU19,TRUE))*summary!$C$7/28.8/0.947817+$CS19*(_xlfn.NORM.DIST(X$3,$CV19,0.3*$CV19,TRUE)-_xlfn.NORM.DIST(X$30,$CV19,0.3*$CV19,TRUE))*summary!$C$6/28.8/0.947817)/(SUMPRODUCT((economics!$AG$2:$AG$167=$B48)*(economics!$D$2:$D$167="whr")*economics!$AH$2:$AH$167*(_xlfn.NORM.DIST(X$3,economics!$AK$2:$AK$167,economics!$AJ$2:$AJ$167,TRUE)-_xlfn.NORM.DIST(X$30,economics!$AK$2:$AK$167,economics!$AJ$2:$AJ$167,TRUE)))+$CR19*(_xlfn.NORM.DIST(X$3,$CU19,0.3*$CU19,TRUE)-_xlfn.NORM.DIST(X$30,$CU19,0.3*$CU19,TRUE))+$CS19*(_xlfn.NORM.DIST(X$3,$CV19,0.3*$CV19,TRUE)-_xlfn.NORM.DIST(X$30,$CV19,0.3*$CV19,TRUE))),""),IF($C19&gt;0,summary!$C$10/28.8/0.947817,""))</f>
        <v/>
      </c>
      <c r="Y48">
        <f t="array" ref="Y48">IF($D19,IFERROR((SUMPRODUCT((economics!$AG$2:$AG$167=$B48)*(economics!$D$2:$D$167="whr")*economics!$AH$2:$AH$167*(_xlfn.NORM.DIST(Y$3,economics!$AK$2:$AK$167,economics!$AJ$2:$AJ$167,TRUE)-_xlfn.NORM.DIST(Y$30,economics!$AK$2:$AK$167,economics!$AJ$2:$AJ$167,TRUE))*economics!$AM$2:$AM$167)+$CR19*(_xlfn.NORM.DIST(Y$3,$CU19,0.3*$CU19,TRUE)-_xlfn.NORM.DIST(Y$30,$CU19,0.3*$CU19,TRUE))*summary!$C$7/28.8/0.947817+$CS19*(_xlfn.NORM.DIST(Y$3,$CV19,0.3*$CV19,TRUE)-_xlfn.NORM.DIST(Y$30,$CV19,0.3*$CV19,TRUE))*summary!$C$6/28.8/0.947817)/(SUMPRODUCT((economics!$AG$2:$AG$167=$B48)*(economics!$D$2:$D$167="whr")*economics!$AH$2:$AH$167*(_xlfn.NORM.DIST(Y$3,economics!$AK$2:$AK$167,economics!$AJ$2:$AJ$167,TRUE)-_xlfn.NORM.DIST(Y$30,economics!$AK$2:$AK$167,economics!$AJ$2:$AJ$167,TRUE)))+$CR19*(_xlfn.NORM.DIST(Y$3,$CU19,0.3*$CU19,TRUE)-_xlfn.NORM.DIST(Y$30,$CU19,0.3*$CU19,TRUE))+$CS19*(_xlfn.NORM.DIST(Y$3,$CV19,0.3*$CV19,TRUE)-_xlfn.NORM.DIST(Y$30,$CV19,0.3*$CV19,TRUE))),""),IF($C19&gt;0,summary!$C$10/28.8/0.947817,""))</f>
        <v/>
      </c>
      <c r="Z48">
        <f t="array" ref="Z48">IF($D19,IFERROR((SUMPRODUCT((economics!$AG$2:$AG$167=$B48)*(economics!$D$2:$D$167="whr")*economics!$AH$2:$AH$167*(_xlfn.NORM.DIST(Z$3,economics!$AK$2:$AK$167,economics!$AJ$2:$AJ$167,TRUE)-_xlfn.NORM.DIST(Z$30,economics!$AK$2:$AK$167,economics!$AJ$2:$AJ$167,TRUE))*economics!$AM$2:$AM$167)+$CR19*(_xlfn.NORM.DIST(Z$3,$CU19,0.3*$CU19,TRUE)-_xlfn.NORM.DIST(Z$30,$CU19,0.3*$CU19,TRUE))*summary!$C$7/28.8/0.947817+$CS19*(_xlfn.NORM.DIST(Z$3,$CV19,0.3*$CV19,TRUE)-_xlfn.NORM.DIST(Z$30,$CV19,0.3*$CV19,TRUE))*summary!$C$6/28.8/0.947817)/(SUMPRODUCT((economics!$AG$2:$AG$167=$B48)*(economics!$D$2:$D$167="whr")*economics!$AH$2:$AH$167*(_xlfn.NORM.DIST(Z$3,economics!$AK$2:$AK$167,economics!$AJ$2:$AJ$167,TRUE)-_xlfn.NORM.DIST(Z$30,economics!$AK$2:$AK$167,economics!$AJ$2:$AJ$167,TRUE)))+$CR19*(_xlfn.NORM.DIST(Z$3,$CU19,0.3*$CU19,TRUE)-_xlfn.NORM.DIST(Z$30,$CU19,0.3*$CU19,TRUE))+$CS19*(_xlfn.NORM.DIST(Z$3,$CV19,0.3*$CV19,TRUE)-_xlfn.NORM.DIST(Z$30,$CV19,0.3*$CV19,TRUE))),""),IF($C19&gt;0,summary!$C$10/28.8/0.947817,""))</f>
        <v/>
      </c>
      <c r="AA48">
        <f t="array" ref="AA48">IF($D19,IFERROR((SUMPRODUCT((economics!$AG$2:$AG$167=$B48)*(economics!$D$2:$D$167="whr")*economics!$AH$2:$AH$167*(_xlfn.NORM.DIST(AA$3,economics!$AK$2:$AK$167,economics!$AJ$2:$AJ$167,TRUE)-_xlfn.NORM.DIST(AA$30,economics!$AK$2:$AK$167,economics!$AJ$2:$AJ$167,TRUE))*economics!$AM$2:$AM$167)+$CR19*(_xlfn.NORM.DIST(AA$3,$CU19,0.3*$CU19,TRUE)-_xlfn.NORM.DIST(AA$30,$CU19,0.3*$CU19,TRUE))*summary!$C$7/28.8/0.947817+$CS19*(_xlfn.NORM.DIST(AA$3,$CV19,0.3*$CV19,TRUE)-_xlfn.NORM.DIST(AA$30,$CV19,0.3*$CV19,TRUE))*summary!$C$6/28.8/0.947817)/(SUMPRODUCT((economics!$AG$2:$AG$167=$B48)*(economics!$D$2:$D$167="whr")*economics!$AH$2:$AH$167*(_xlfn.NORM.DIST(AA$3,economics!$AK$2:$AK$167,economics!$AJ$2:$AJ$167,TRUE)-_xlfn.NORM.DIST(AA$30,economics!$AK$2:$AK$167,economics!$AJ$2:$AJ$167,TRUE)))+$CR19*(_xlfn.NORM.DIST(AA$3,$CU19,0.3*$CU19,TRUE)-_xlfn.NORM.DIST(AA$30,$CU19,0.3*$CU19,TRUE))+$CS19*(_xlfn.NORM.DIST(AA$3,$CV19,0.3*$CV19,TRUE)-_xlfn.NORM.DIST(AA$30,$CV19,0.3*$CV19,TRUE))),""),IF($C19&gt;0,summary!$C$10/28.8/0.947817,""))</f>
        <v/>
      </c>
      <c r="AB48">
        <f t="array" ref="AB48">IF($D19,IFERROR((SUMPRODUCT((economics!$AG$2:$AG$167=$B48)*(economics!$D$2:$D$167="whr")*economics!$AH$2:$AH$167*(_xlfn.NORM.DIST(AB$3,economics!$AK$2:$AK$167,economics!$AJ$2:$AJ$167,TRUE)-_xlfn.NORM.DIST(AB$30,economics!$AK$2:$AK$167,economics!$AJ$2:$AJ$167,TRUE))*economics!$AM$2:$AM$167)+$CR19*(_xlfn.NORM.DIST(AB$3,$CU19,0.3*$CU19,TRUE)-_xlfn.NORM.DIST(AB$30,$CU19,0.3*$CU19,TRUE))*summary!$C$7/28.8/0.947817+$CS19*(_xlfn.NORM.DIST(AB$3,$CV19,0.3*$CV19,TRUE)-_xlfn.NORM.DIST(AB$30,$CV19,0.3*$CV19,TRUE))*summary!$C$6/28.8/0.947817)/(SUMPRODUCT((economics!$AG$2:$AG$167=$B48)*(economics!$D$2:$D$167="whr")*economics!$AH$2:$AH$167*(_xlfn.NORM.DIST(AB$3,economics!$AK$2:$AK$167,economics!$AJ$2:$AJ$167,TRUE)-_xlfn.NORM.DIST(AB$30,economics!$AK$2:$AK$167,economics!$AJ$2:$AJ$167,TRUE)))+$CR19*(_xlfn.NORM.DIST(AB$3,$CU19,0.3*$CU19,TRUE)-_xlfn.NORM.DIST(AB$30,$CU19,0.3*$CU19,TRUE))+$CS19*(_xlfn.NORM.DIST(AB$3,$CV19,0.3*$CV19,TRUE)-_xlfn.NORM.DIST(AB$30,$CV19,0.3*$CV19,TRUE))),""),IF($C19&gt;0,summary!$C$10/28.8/0.947817,""))</f>
        <v/>
      </c>
      <c r="AC48">
        <f t="array" ref="AC48">IF($D19,IFERROR((SUMPRODUCT((economics!$AG$2:$AG$167=$B48)*(economics!$D$2:$D$167="whr")*economics!$AH$2:$AH$167*(_xlfn.NORM.DIST(AC$3,economics!$AK$2:$AK$167,economics!$AJ$2:$AJ$167,TRUE)-_xlfn.NORM.DIST(AC$30,economics!$AK$2:$AK$167,economics!$AJ$2:$AJ$167,TRUE))*economics!$AM$2:$AM$167)+$CR19*(_xlfn.NORM.DIST(AC$3,$CU19,0.3*$CU19,TRUE)-_xlfn.NORM.DIST(AC$30,$CU19,0.3*$CU19,TRUE))*summary!$C$7/28.8/0.947817+$CS19*(_xlfn.NORM.DIST(AC$3,$CV19,0.3*$CV19,TRUE)-_xlfn.NORM.DIST(AC$30,$CV19,0.3*$CV19,TRUE))*summary!$C$6/28.8/0.947817)/(SUMPRODUCT((economics!$AG$2:$AG$167=$B48)*(economics!$D$2:$D$167="whr")*economics!$AH$2:$AH$167*(_xlfn.NORM.DIST(AC$3,economics!$AK$2:$AK$167,economics!$AJ$2:$AJ$167,TRUE)-_xlfn.NORM.DIST(AC$30,economics!$AK$2:$AK$167,economics!$AJ$2:$AJ$167,TRUE)))+$CR19*(_xlfn.NORM.DIST(AC$3,$CU19,0.3*$CU19,TRUE)-_xlfn.NORM.DIST(AC$30,$CU19,0.3*$CU19,TRUE))+$CS19*(_xlfn.NORM.DIST(AC$3,$CV19,0.3*$CV19,TRUE)-_xlfn.NORM.DIST(AC$30,$CV19,0.3*$CV19,TRUE))),""),IF($C19&gt;0,summary!$C$10/28.8/0.947817,""))</f>
        <v/>
      </c>
      <c r="AD48">
        <f t="array" ref="AD48">IF($D19,IFERROR((SUMPRODUCT((economics!$AG$2:$AG$167=$B48)*(economics!$D$2:$D$167="whr")*economics!$AH$2:$AH$167*(_xlfn.NORM.DIST(AD$3,economics!$AK$2:$AK$167,economics!$AJ$2:$AJ$167,TRUE)-_xlfn.NORM.DIST(AD$30,economics!$AK$2:$AK$167,economics!$AJ$2:$AJ$167,TRUE))*economics!$AM$2:$AM$167)+$CR19*(_xlfn.NORM.DIST(AD$3,$CU19,0.3*$CU19,TRUE)-_xlfn.NORM.DIST(AD$30,$CU19,0.3*$CU19,TRUE))*summary!$C$7/28.8/0.947817+$CS19*(_xlfn.NORM.DIST(AD$3,$CV19,0.3*$CV19,TRUE)-_xlfn.NORM.DIST(AD$30,$CV19,0.3*$CV19,TRUE))*summary!$C$6/28.8/0.947817)/(SUMPRODUCT((economics!$AG$2:$AG$167=$B48)*(economics!$D$2:$D$167="whr")*economics!$AH$2:$AH$167*(_xlfn.NORM.DIST(AD$3,economics!$AK$2:$AK$167,economics!$AJ$2:$AJ$167,TRUE)-_xlfn.NORM.DIST(AD$30,economics!$AK$2:$AK$167,economics!$AJ$2:$AJ$167,TRUE)))+$CR19*(_xlfn.NORM.DIST(AD$3,$CU19,0.3*$CU19,TRUE)-_xlfn.NORM.DIST(AD$30,$CU19,0.3*$CU19,TRUE))+$CS19*(_xlfn.NORM.DIST(AD$3,$CV19,0.3*$CV19,TRUE)-_xlfn.NORM.DIST(AD$30,$CV19,0.3*$CV19,TRUE))),""),IF($C19&gt;0,summary!$C$10/28.8/0.947817,""))</f>
        <v/>
      </c>
      <c r="AE48">
        <f t="array" ref="AE48">IF($D19,IFERROR((SUMPRODUCT((economics!$AG$2:$AG$167=$B48)*(economics!$D$2:$D$167="whr")*economics!$AH$2:$AH$167*(_xlfn.NORM.DIST(AE$3,economics!$AK$2:$AK$167,economics!$AJ$2:$AJ$167,TRUE)-_xlfn.NORM.DIST(AE$30,economics!$AK$2:$AK$167,economics!$AJ$2:$AJ$167,TRUE))*economics!$AM$2:$AM$167)+$CR19*(_xlfn.NORM.DIST(AE$3,$CU19,0.3*$CU19,TRUE)-_xlfn.NORM.DIST(AE$30,$CU19,0.3*$CU19,TRUE))*summary!$C$7/28.8/0.947817+$CS19*(_xlfn.NORM.DIST(AE$3,$CV19,0.3*$CV19,TRUE)-_xlfn.NORM.DIST(AE$30,$CV19,0.3*$CV19,TRUE))*summary!$C$6/28.8/0.947817)/(SUMPRODUCT((economics!$AG$2:$AG$167=$B48)*(economics!$D$2:$D$167="whr")*economics!$AH$2:$AH$167*(_xlfn.NORM.DIST(AE$3,economics!$AK$2:$AK$167,economics!$AJ$2:$AJ$167,TRUE)-_xlfn.NORM.DIST(AE$30,economics!$AK$2:$AK$167,economics!$AJ$2:$AJ$167,TRUE)))+$CR19*(_xlfn.NORM.DIST(AE$3,$CU19,0.3*$CU19,TRUE)-_xlfn.NORM.DIST(AE$30,$CU19,0.3*$CU19,TRUE))+$CS19*(_xlfn.NORM.DIST(AE$3,$CV19,0.3*$CV19,TRUE)-_xlfn.NORM.DIST(AE$30,$CV19,0.3*$CV19,TRUE))),""),IF($C19&gt;0,summary!$C$10/28.8/0.947817,""))</f>
        <v/>
      </c>
      <c r="AF48">
        <f t="array" ref="AF48">IF($D19,IFERROR((SUMPRODUCT((economics!$AG$2:$AG$167=$B48)*(economics!$D$2:$D$167="whr")*economics!$AH$2:$AH$167*(_xlfn.NORM.DIST(AF$3,economics!$AK$2:$AK$167,economics!$AJ$2:$AJ$167,TRUE)-_xlfn.NORM.DIST(AF$30,economics!$AK$2:$AK$167,economics!$AJ$2:$AJ$167,TRUE))*economics!$AM$2:$AM$167)+$CR19*(_xlfn.NORM.DIST(AF$3,$CU19,0.3*$CU19,TRUE)-_xlfn.NORM.DIST(AF$30,$CU19,0.3*$CU19,TRUE))*summary!$C$7/28.8/0.947817+$CS19*(_xlfn.NORM.DIST(AF$3,$CV19,0.3*$CV19,TRUE)-_xlfn.NORM.DIST(AF$30,$CV19,0.3*$CV19,TRUE))*summary!$C$6/28.8/0.947817)/(SUMPRODUCT((economics!$AG$2:$AG$167=$B48)*(economics!$D$2:$D$167="whr")*economics!$AH$2:$AH$167*(_xlfn.NORM.DIST(AF$3,economics!$AK$2:$AK$167,economics!$AJ$2:$AJ$167,TRUE)-_xlfn.NORM.DIST(AF$30,economics!$AK$2:$AK$167,economics!$AJ$2:$AJ$167,TRUE)))+$CR19*(_xlfn.NORM.DIST(AF$3,$CU19,0.3*$CU19,TRUE)-_xlfn.NORM.DIST(AF$30,$CU19,0.3*$CU19,TRUE))+$CS19*(_xlfn.NORM.DIST(AF$3,$CV19,0.3*$CV19,TRUE)-_xlfn.NORM.DIST(AF$30,$CV19,0.3*$CV19,TRUE))),""),IF($C19&gt;0,summary!$C$10/28.8/0.947817,""))</f>
        <v/>
      </c>
      <c r="AG48">
        <f t="array" ref="AG48">IF($D19,IFERROR((SUMPRODUCT((economics!$AG$2:$AG$167=$B48)*(economics!$D$2:$D$167="whr")*economics!$AH$2:$AH$167*(_xlfn.NORM.DIST(AG$3,economics!$AK$2:$AK$167,economics!$AJ$2:$AJ$167,TRUE)-_xlfn.NORM.DIST(AG$30,economics!$AK$2:$AK$167,economics!$AJ$2:$AJ$167,TRUE))*economics!$AM$2:$AM$167)+$CR19*(_xlfn.NORM.DIST(AG$3,$CU19,0.3*$CU19,TRUE)-_xlfn.NORM.DIST(AG$30,$CU19,0.3*$CU19,TRUE))*summary!$C$7/28.8/0.947817+$CS19*(_xlfn.NORM.DIST(AG$3,$CV19,0.3*$CV19,TRUE)-_xlfn.NORM.DIST(AG$30,$CV19,0.3*$CV19,TRUE))*summary!$C$6/28.8/0.947817)/(SUMPRODUCT((economics!$AG$2:$AG$167=$B48)*(economics!$D$2:$D$167="whr")*economics!$AH$2:$AH$167*(_xlfn.NORM.DIST(AG$3,economics!$AK$2:$AK$167,economics!$AJ$2:$AJ$167,TRUE)-_xlfn.NORM.DIST(AG$30,economics!$AK$2:$AK$167,economics!$AJ$2:$AJ$167,TRUE)))+$CR19*(_xlfn.NORM.DIST(AG$3,$CU19,0.3*$CU19,TRUE)-_xlfn.NORM.DIST(AG$30,$CU19,0.3*$CU19,TRUE))+$CS19*(_xlfn.NORM.DIST(AG$3,$CV19,0.3*$CV19,TRUE)-_xlfn.NORM.DIST(AG$30,$CV19,0.3*$CV19,TRUE))),""),IF($C19&gt;0,summary!$C$10/28.8/0.947817,""))</f>
        <v/>
      </c>
      <c r="AH48">
        <f t="array" ref="AH48">IF($D19,IFERROR((SUMPRODUCT((economics!$AG$2:$AG$167=$B48)*(economics!$D$2:$D$167="whr")*economics!$AH$2:$AH$167*(_xlfn.NORM.DIST(AH$3,economics!$AK$2:$AK$167,economics!$AJ$2:$AJ$167,TRUE)-_xlfn.NORM.DIST(AH$30,economics!$AK$2:$AK$167,economics!$AJ$2:$AJ$167,TRUE))*economics!$AM$2:$AM$167)+$CR19*(_xlfn.NORM.DIST(AH$3,$CU19,0.3*$CU19,TRUE)-_xlfn.NORM.DIST(AH$30,$CU19,0.3*$CU19,TRUE))*summary!$C$7/28.8/0.947817+$CS19*(_xlfn.NORM.DIST(AH$3,$CV19,0.3*$CV19,TRUE)-_xlfn.NORM.DIST(AH$30,$CV19,0.3*$CV19,TRUE))*summary!$C$6/28.8/0.947817)/(SUMPRODUCT((economics!$AG$2:$AG$167=$B48)*(economics!$D$2:$D$167="whr")*economics!$AH$2:$AH$167*(_xlfn.NORM.DIST(AH$3,economics!$AK$2:$AK$167,economics!$AJ$2:$AJ$167,TRUE)-_xlfn.NORM.DIST(AH$30,economics!$AK$2:$AK$167,economics!$AJ$2:$AJ$167,TRUE)))+$CR19*(_xlfn.NORM.DIST(AH$3,$CU19,0.3*$CU19,TRUE)-_xlfn.NORM.DIST(AH$30,$CU19,0.3*$CU19,TRUE))+$CS19*(_xlfn.NORM.DIST(AH$3,$CV19,0.3*$CV19,TRUE)-_xlfn.NORM.DIST(AH$30,$CV19,0.3*$CV19,TRUE))),""),IF($C19&gt;0,summary!$C$10/28.8/0.947817,""))</f>
        <v/>
      </c>
      <c r="AI48">
        <f t="array" ref="AI48">IF($D19,IFERROR((SUMPRODUCT((economics!$AG$2:$AG$167=$B48)*(economics!$D$2:$D$167="whr")*economics!$AH$2:$AH$167*(_xlfn.NORM.DIST(AI$3,economics!$AK$2:$AK$167,economics!$AJ$2:$AJ$167,TRUE)-_xlfn.NORM.DIST(AI$30,economics!$AK$2:$AK$167,economics!$AJ$2:$AJ$167,TRUE))*economics!$AM$2:$AM$167)+$CR19*(_xlfn.NORM.DIST(AI$3,$CU19,0.3*$CU19,TRUE)-_xlfn.NORM.DIST(AI$30,$CU19,0.3*$CU19,TRUE))*summary!$C$7/28.8/0.947817+$CS19*(_xlfn.NORM.DIST(AI$3,$CV19,0.3*$CV19,TRUE)-_xlfn.NORM.DIST(AI$30,$CV19,0.3*$CV19,TRUE))*summary!$C$6/28.8/0.947817)/(SUMPRODUCT((economics!$AG$2:$AG$167=$B48)*(economics!$D$2:$D$167="whr")*economics!$AH$2:$AH$167*(_xlfn.NORM.DIST(AI$3,economics!$AK$2:$AK$167,economics!$AJ$2:$AJ$167,TRUE)-_xlfn.NORM.DIST(AI$30,economics!$AK$2:$AK$167,economics!$AJ$2:$AJ$167,TRUE)))+$CR19*(_xlfn.NORM.DIST(AI$3,$CU19,0.3*$CU19,TRUE)-_xlfn.NORM.DIST(AI$30,$CU19,0.3*$CU19,TRUE))+$CS19*(_xlfn.NORM.DIST(AI$3,$CV19,0.3*$CV19,TRUE)-_xlfn.NORM.DIST(AI$30,$CV19,0.3*$CV19,TRUE))),""),IF($C19&gt;0,summary!$C$10/28.8/0.947817,""))</f>
        <v/>
      </c>
      <c r="AJ48">
        <f t="array" ref="AJ48">IF($D19,IFERROR((SUMPRODUCT((economics!$AG$2:$AG$167=$B48)*(economics!$D$2:$D$167="whr")*economics!$AH$2:$AH$167*(_xlfn.NORM.DIST(AJ$3,economics!$AK$2:$AK$167,economics!$AJ$2:$AJ$167,TRUE)-_xlfn.NORM.DIST(AJ$30,economics!$AK$2:$AK$167,economics!$AJ$2:$AJ$167,TRUE))*economics!$AM$2:$AM$167)+$CR19*(_xlfn.NORM.DIST(AJ$3,$CU19,0.3*$CU19,TRUE)-_xlfn.NORM.DIST(AJ$30,$CU19,0.3*$CU19,TRUE))*summary!$C$7/28.8/0.947817+$CS19*(_xlfn.NORM.DIST(AJ$3,$CV19,0.3*$CV19,TRUE)-_xlfn.NORM.DIST(AJ$30,$CV19,0.3*$CV19,TRUE))*summary!$C$6/28.8/0.947817)/(SUMPRODUCT((economics!$AG$2:$AG$167=$B48)*(economics!$D$2:$D$167="whr")*economics!$AH$2:$AH$167*(_xlfn.NORM.DIST(AJ$3,economics!$AK$2:$AK$167,economics!$AJ$2:$AJ$167,TRUE)-_xlfn.NORM.DIST(AJ$30,economics!$AK$2:$AK$167,economics!$AJ$2:$AJ$167,TRUE)))+$CR19*(_xlfn.NORM.DIST(AJ$3,$CU19,0.3*$CU19,TRUE)-_xlfn.NORM.DIST(AJ$30,$CU19,0.3*$CU19,TRUE))+$CS19*(_xlfn.NORM.DIST(AJ$3,$CV19,0.3*$CV19,TRUE)-_xlfn.NORM.DIST(AJ$30,$CV19,0.3*$CV19,TRUE))),""),IF($C19&gt;0,summary!$C$10/28.8/0.947817,""))</f>
        <v/>
      </c>
      <c r="AK48">
        <f t="array" ref="AK48">IF($D19,IFERROR((SUMPRODUCT((economics!$AG$2:$AG$167=$B48)*(economics!$D$2:$D$167="whr")*economics!$AH$2:$AH$167*(_xlfn.NORM.DIST(AK$3,economics!$AK$2:$AK$167,economics!$AJ$2:$AJ$167,TRUE)-_xlfn.NORM.DIST(AK$30,economics!$AK$2:$AK$167,economics!$AJ$2:$AJ$167,TRUE))*economics!$AM$2:$AM$167)+$CR19*(_xlfn.NORM.DIST(AK$3,$CU19,0.3*$CU19,TRUE)-_xlfn.NORM.DIST(AK$30,$CU19,0.3*$CU19,TRUE))*summary!$C$7/28.8/0.947817+$CS19*(_xlfn.NORM.DIST(AK$3,$CV19,0.3*$CV19,TRUE)-_xlfn.NORM.DIST(AK$30,$CV19,0.3*$CV19,TRUE))*summary!$C$6/28.8/0.947817)/(SUMPRODUCT((economics!$AG$2:$AG$167=$B48)*(economics!$D$2:$D$167="whr")*economics!$AH$2:$AH$167*(_xlfn.NORM.DIST(AK$3,economics!$AK$2:$AK$167,economics!$AJ$2:$AJ$167,TRUE)-_xlfn.NORM.DIST(AK$30,economics!$AK$2:$AK$167,economics!$AJ$2:$AJ$167,TRUE)))+$CR19*(_xlfn.NORM.DIST(AK$3,$CU19,0.3*$CU19,TRUE)-_xlfn.NORM.DIST(AK$30,$CU19,0.3*$CU19,TRUE))+$CS19*(_xlfn.NORM.DIST(AK$3,$CV19,0.3*$CV19,TRUE)-_xlfn.NORM.DIST(AK$30,$CV19,0.3*$CV19,TRUE))),""),IF($C19&gt;0,summary!$C$10/28.8/0.947817,""))</f>
        <v/>
      </c>
      <c r="AL48">
        <f t="array" ref="AL48">IF($D19,IFERROR((SUMPRODUCT((economics!$AG$2:$AG$167=$B48)*(economics!$D$2:$D$167="whr")*economics!$AH$2:$AH$167*(_xlfn.NORM.DIST(AL$3,economics!$AK$2:$AK$167,economics!$AJ$2:$AJ$167,TRUE)-_xlfn.NORM.DIST(AL$30,economics!$AK$2:$AK$167,economics!$AJ$2:$AJ$167,TRUE))*economics!$AM$2:$AM$167)+$CR19*(_xlfn.NORM.DIST(AL$3,$CU19,0.3*$CU19,TRUE)-_xlfn.NORM.DIST(AL$30,$CU19,0.3*$CU19,TRUE))*summary!$C$7/28.8/0.947817+$CS19*(_xlfn.NORM.DIST(AL$3,$CV19,0.3*$CV19,TRUE)-_xlfn.NORM.DIST(AL$30,$CV19,0.3*$CV19,TRUE))*summary!$C$6/28.8/0.947817)/(SUMPRODUCT((economics!$AG$2:$AG$167=$B48)*(economics!$D$2:$D$167="whr")*economics!$AH$2:$AH$167*(_xlfn.NORM.DIST(AL$3,economics!$AK$2:$AK$167,economics!$AJ$2:$AJ$167,TRUE)-_xlfn.NORM.DIST(AL$30,economics!$AK$2:$AK$167,economics!$AJ$2:$AJ$167,TRUE)))+$CR19*(_xlfn.NORM.DIST(AL$3,$CU19,0.3*$CU19,TRUE)-_xlfn.NORM.DIST(AL$30,$CU19,0.3*$CU19,TRUE))+$CS19*(_xlfn.NORM.DIST(AL$3,$CV19,0.3*$CV19,TRUE)-_xlfn.NORM.DIST(AL$30,$CV19,0.3*$CV19,TRUE))),""),IF($C19&gt;0,summary!$C$10/28.8/0.947817,""))</f>
        <v/>
      </c>
      <c r="AM48">
        <f t="array" ref="AM48">IF($D19,IFERROR((SUMPRODUCT((economics!$AG$2:$AG$167=$B48)*(economics!$D$2:$D$167="whr")*economics!$AH$2:$AH$167*(_xlfn.NORM.DIST(AM$3,economics!$AK$2:$AK$167,economics!$AJ$2:$AJ$167,TRUE)-_xlfn.NORM.DIST(AM$30,economics!$AK$2:$AK$167,economics!$AJ$2:$AJ$167,TRUE))*economics!$AM$2:$AM$167)+$CR19*(_xlfn.NORM.DIST(AM$3,$CU19,0.3*$CU19,TRUE)-_xlfn.NORM.DIST(AM$30,$CU19,0.3*$CU19,TRUE))*summary!$C$7/28.8/0.947817+$CS19*(_xlfn.NORM.DIST(AM$3,$CV19,0.3*$CV19,TRUE)-_xlfn.NORM.DIST(AM$30,$CV19,0.3*$CV19,TRUE))*summary!$C$6/28.8/0.947817)/(SUMPRODUCT((economics!$AG$2:$AG$167=$B48)*(economics!$D$2:$D$167="whr")*economics!$AH$2:$AH$167*(_xlfn.NORM.DIST(AM$3,economics!$AK$2:$AK$167,economics!$AJ$2:$AJ$167,TRUE)-_xlfn.NORM.DIST(AM$30,economics!$AK$2:$AK$167,economics!$AJ$2:$AJ$167,TRUE)))+$CR19*(_xlfn.NORM.DIST(AM$3,$CU19,0.3*$CU19,TRUE)-_xlfn.NORM.DIST(AM$30,$CU19,0.3*$CU19,TRUE))+$CS19*(_xlfn.NORM.DIST(AM$3,$CV19,0.3*$CV19,TRUE)-_xlfn.NORM.DIST(AM$30,$CV19,0.3*$CV19,TRUE))),""),IF($C19&gt;0,summary!$C$10/28.8/0.947817,""))</f>
        <v/>
      </c>
      <c r="AN48">
        <f t="array" ref="AN48">IF($D19,IFERROR((SUMPRODUCT((economics!$AG$2:$AG$167=$B48)*(economics!$D$2:$D$167="whr")*economics!$AH$2:$AH$167*(_xlfn.NORM.DIST(AN$3,economics!$AK$2:$AK$167,economics!$AJ$2:$AJ$167,TRUE)-_xlfn.NORM.DIST(AN$30,economics!$AK$2:$AK$167,economics!$AJ$2:$AJ$167,TRUE))*economics!$AM$2:$AM$167)+$CR19*(_xlfn.NORM.DIST(AN$3,$CU19,0.3*$CU19,TRUE)-_xlfn.NORM.DIST(AN$30,$CU19,0.3*$CU19,TRUE))*summary!$C$7/28.8/0.947817+$CS19*(_xlfn.NORM.DIST(AN$3,$CV19,0.3*$CV19,TRUE)-_xlfn.NORM.DIST(AN$30,$CV19,0.3*$CV19,TRUE))*summary!$C$6/28.8/0.947817)/(SUMPRODUCT((economics!$AG$2:$AG$167=$B48)*(economics!$D$2:$D$167="whr")*economics!$AH$2:$AH$167*(_xlfn.NORM.DIST(AN$3,economics!$AK$2:$AK$167,economics!$AJ$2:$AJ$167,TRUE)-_xlfn.NORM.DIST(AN$30,economics!$AK$2:$AK$167,economics!$AJ$2:$AJ$167,TRUE)))+$CR19*(_xlfn.NORM.DIST(AN$3,$CU19,0.3*$CU19,TRUE)-_xlfn.NORM.DIST(AN$30,$CU19,0.3*$CU19,TRUE))+$CS19*(_xlfn.NORM.DIST(AN$3,$CV19,0.3*$CV19,TRUE)-_xlfn.NORM.DIST(AN$30,$CV19,0.3*$CV19,TRUE))),""),IF($C19&gt;0,summary!$C$10/28.8/0.947817,""))</f>
        <v/>
      </c>
      <c r="AO48">
        <f t="array" ref="AO48">IF($D19,IFERROR((SUMPRODUCT((economics!$AG$2:$AG$167=$B48)*(economics!$D$2:$D$167="whr")*economics!$AH$2:$AH$167*(_xlfn.NORM.DIST(AO$3,economics!$AK$2:$AK$167,economics!$AJ$2:$AJ$167,TRUE)-_xlfn.NORM.DIST(AO$30,economics!$AK$2:$AK$167,economics!$AJ$2:$AJ$167,TRUE))*economics!$AM$2:$AM$167)+$CR19*(_xlfn.NORM.DIST(AO$3,$CU19,0.3*$CU19,TRUE)-_xlfn.NORM.DIST(AO$30,$CU19,0.3*$CU19,TRUE))*summary!$C$7/28.8/0.947817+$CS19*(_xlfn.NORM.DIST(AO$3,$CV19,0.3*$CV19,TRUE)-_xlfn.NORM.DIST(AO$30,$CV19,0.3*$CV19,TRUE))*summary!$C$6/28.8/0.947817)/(SUMPRODUCT((economics!$AG$2:$AG$167=$B48)*(economics!$D$2:$D$167="whr")*economics!$AH$2:$AH$167*(_xlfn.NORM.DIST(AO$3,economics!$AK$2:$AK$167,economics!$AJ$2:$AJ$167,TRUE)-_xlfn.NORM.DIST(AO$30,economics!$AK$2:$AK$167,economics!$AJ$2:$AJ$167,TRUE)))+$CR19*(_xlfn.NORM.DIST(AO$3,$CU19,0.3*$CU19,TRUE)-_xlfn.NORM.DIST(AO$30,$CU19,0.3*$CU19,TRUE))+$CS19*(_xlfn.NORM.DIST(AO$3,$CV19,0.3*$CV19,TRUE)-_xlfn.NORM.DIST(AO$30,$CV19,0.3*$CV19,TRUE))),""),IF($C19&gt;0,summary!$C$10/28.8/0.947817,""))</f>
        <v/>
      </c>
      <c r="AP48">
        <f t="array" ref="AP48">IF($D19,IFERROR((SUMPRODUCT((economics!$AG$2:$AG$167=$B48)*(economics!$D$2:$D$167="whr")*economics!$AH$2:$AH$167*(_xlfn.NORM.DIST(AP$3,economics!$AK$2:$AK$167,economics!$AJ$2:$AJ$167,TRUE)-_xlfn.NORM.DIST(AP$30,economics!$AK$2:$AK$167,economics!$AJ$2:$AJ$167,TRUE))*economics!$AM$2:$AM$167)+$CR19*(_xlfn.NORM.DIST(AP$3,$CU19,0.3*$CU19,TRUE)-_xlfn.NORM.DIST(AP$30,$CU19,0.3*$CU19,TRUE))*summary!$C$7/28.8/0.947817+$CS19*(_xlfn.NORM.DIST(AP$3,$CV19,0.3*$CV19,TRUE)-_xlfn.NORM.DIST(AP$30,$CV19,0.3*$CV19,TRUE))*summary!$C$6/28.8/0.947817)/(SUMPRODUCT((economics!$AG$2:$AG$167=$B48)*(economics!$D$2:$D$167="whr")*economics!$AH$2:$AH$167*(_xlfn.NORM.DIST(AP$3,economics!$AK$2:$AK$167,economics!$AJ$2:$AJ$167,TRUE)-_xlfn.NORM.DIST(AP$30,economics!$AK$2:$AK$167,economics!$AJ$2:$AJ$167,TRUE)))+$CR19*(_xlfn.NORM.DIST(AP$3,$CU19,0.3*$CU19,TRUE)-_xlfn.NORM.DIST(AP$30,$CU19,0.3*$CU19,TRUE))+$CS19*(_xlfn.NORM.DIST(AP$3,$CV19,0.3*$CV19,TRUE)-_xlfn.NORM.DIST(AP$30,$CV19,0.3*$CV19,TRUE))),""),IF($C19&gt;0,summary!$C$10/28.8/0.947817,""))</f>
        <v/>
      </c>
      <c r="AQ48">
        <f t="array" ref="AQ48">IF($D19,IFERROR((SUMPRODUCT((economics!$AG$2:$AG$167=$B48)*(economics!$D$2:$D$167="whr")*economics!$AH$2:$AH$167*(_xlfn.NORM.DIST(AQ$3,economics!$AK$2:$AK$167,economics!$AJ$2:$AJ$167,TRUE)-_xlfn.NORM.DIST(AQ$30,economics!$AK$2:$AK$167,economics!$AJ$2:$AJ$167,TRUE))*economics!$AM$2:$AM$167)+$CR19*(_xlfn.NORM.DIST(AQ$3,$CU19,0.3*$CU19,TRUE)-_xlfn.NORM.DIST(AQ$30,$CU19,0.3*$CU19,TRUE))*summary!$C$7/28.8/0.947817+$CS19*(_xlfn.NORM.DIST(AQ$3,$CV19,0.3*$CV19,TRUE)-_xlfn.NORM.DIST(AQ$30,$CV19,0.3*$CV19,TRUE))*summary!$C$6/28.8/0.947817)/(SUMPRODUCT((economics!$AG$2:$AG$167=$B48)*(economics!$D$2:$D$167="whr")*economics!$AH$2:$AH$167*(_xlfn.NORM.DIST(AQ$3,economics!$AK$2:$AK$167,economics!$AJ$2:$AJ$167,TRUE)-_xlfn.NORM.DIST(AQ$30,economics!$AK$2:$AK$167,economics!$AJ$2:$AJ$167,TRUE)))+$CR19*(_xlfn.NORM.DIST(AQ$3,$CU19,0.3*$CU19,TRUE)-_xlfn.NORM.DIST(AQ$30,$CU19,0.3*$CU19,TRUE))+$CS19*(_xlfn.NORM.DIST(AQ$3,$CV19,0.3*$CV19,TRUE)-_xlfn.NORM.DIST(AQ$30,$CV19,0.3*$CV19,TRUE))),""),IF($C19&gt;0,summary!$C$10/28.8/0.947817,""))</f>
        <v/>
      </c>
      <c r="AR48">
        <f t="array" ref="AR48">IF($D19,IFERROR((SUMPRODUCT((economics!$AG$2:$AG$167=$B48)*(economics!$D$2:$D$167="whr")*economics!$AH$2:$AH$167*(_xlfn.NORM.DIST(AR$3,economics!$AK$2:$AK$167,economics!$AJ$2:$AJ$167,TRUE)-_xlfn.NORM.DIST(AR$30,economics!$AK$2:$AK$167,economics!$AJ$2:$AJ$167,TRUE))*economics!$AM$2:$AM$167)+$CR19*(_xlfn.NORM.DIST(AR$3,$CU19,0.3*$CU19,TRUE)-_xlfn.NORM.DIST(AR$30,$CU19,0.3*$CU19,TRUE))*summary!$C$7/28.8/0.947817+$CS19*(_xlfn.NORM.DIST(AR$3,$CV19,0.3*$CV19,TRUE)-_xlfn.NORM.DIST(AR$30,$CV19,0.3*$CV19,TRUE))*summary!$C$6/28.8/0.947817)/(SUMPRODUCT((economics!$AG$2:$AG$167=$B48)*(economics!$D$2:$D$167="whr")*economics!$AH$2:$AH$167*(_xlfn.NORM.DIST(AR$3,economics!$AK$2:$AK$167,economics!$AJ$2:$AJ$167,TRUE)-_xlfn.NORM.DIST(AR$30,economics!$AK$2:$AK$167,economics!$AJ$2:$AJ$167,TRUE)))+$CR19*(_xlfn.NORM.DIST(AR$3,$CU19,0.3*$CU19,TRUE)-_xlfn.NORM.DIST(AR$30,$CU19,0.3*$CU19,TRUE))+$CS19*(_xlfn.NORM.DIST(AR$3,$CV19,0.3*$CV19,TRUE)-_xlfn.NORM.DIST(AR$30,$CV19,0.3*$CV19,TRUE))),""),IF($C19&gt;0,summary!$C$10/28.8/0.947817,""))</f>
        <v/>
      </c>
      <c r="AS48">
        <f t="array" ref="AS48">IF($D19,IFERROR((SUMPRODUCT((economics!$AG$2:$AG$167=$B48)*(economics!$D$2:$D$167="whr")*economics!$AH$2:$AH$167*(_xlfn.NORM.DIST(AS$3,economics!$AK$2:$AK$167,economics!$AJ$2:$AJ$167,TRUE)-_xlfn.NORM.DIST(AS$30,economics!$AK$2:$AK$167,economics!$AJ$2:$AJ$167,TRUE))*economics!$AM$2:$AM$167)+$CR19*(_xlfn.NORM.DIST(AS$3,$CU19,0.3*$CU19,TRUE)-_xlfn.NORM.DIST(AS$30,$CU19,0.3*$CU19,TRUE))*summary!$C$7/28.8/0.947817+$CS19*(_xlfn.NORM.DIST(AS$3,$CV19,0.3*$CV19,TRUE)-_xlfn.NORM.DIST(AS$30,$CV19,0.3*$CV19,TRUE))*summary!$C$6/28.8/0.947817)/(SUMPRODUCT((economics!$AG$2:$AG$167=$B48)*(economics!$D$2:$D$167="whr")*economics!$AH$2:$AH$167*(_xlfn.NORM.DIST(AS$3,economics!$AK$2:$AK$167,economics!$AJ$2:$AJ$167,TRUE)-_xlfn.NORM.DIST(AS$30,economics!$AK$2:$AK$167,economics!$AJ$2:$AJ$167,TRUE)))+$CR19*(_xlfn.NORM.DIST(AS$3,$CU19,0.3*$CU19,TRUE)-_xlfn.NORM.DIST(AS$30,$CU19,0.3*$CU19,TRUE))+$CS19*(_xlfn.NORM.DIST(AS$3,$CV19,0.3*$CV19,TRUE)-_xlfn.NORM.DIST(AS$30,$CV19,0.3*$CV19,TRUE))),""),IF($C19&gt;0,summary!$C$10/28.8/0.947817,""))</f>
        <v/>
      </c>
      <c r="AT48">
        <f t="array" ref="AT48">IF($D19,IFERROR((SUMPRODUCT((economics!$AG$2:$AG$167=$B48)*(economics!$D$2:$D$167="whr")*economics!$AH$2:$AH$167*(_xlfn.NORM.DIST(AT$3,economics!$AK$2:$AK$167,economics!$AJ$2:$AJ$167,TRUE)-_xlfn.NORM.DIST(AT$30,economics!$AK$2:$AK$167,economics!$AJ$2:$AJ$167,TRUE))*economics!$AM$2:$AM$167)+$CR19*(_xlfn.NORM.DIST(AT$3,$CU19,0.3*$CU19,TRUE)-_xlfn.NORM.DIST(AT$30,$CU19,0.3*$CU19,TRUE))*summary!$C$7/28.8/0.947817+$CS19*(_xlfn.NORM.DIST(AT$3,$CV19,0.3*$CV19,TRUE)-_xlfn.NORM.DIST(AT$30,$CV19,0.3*$CV19,TRUE))*summary!$C$6/28.8/0.947817)/(SUMPRODUCT((economics!$AG$2:$AG$167=$B48)*(economics!$D$2:$D$167="whr")*economics!$AH$2:$AH$167*(_xlfn.NORM.DIST(AT$3,economics!$AK$2:$AK$167,economics!$AJ$2:$AJ$167,TRUE)-_xlfn.NORM.DIST(AT$30,economics!$AK$2:$AK$167,economics!$AJ$2:$AJ$167,TRUE)))+$CR19*(_xlfn.NORM.DIST(AT$3,$CU19,0.3*$CU19,TRUE)-_xlfn.NORM.DIST(AT$30,$CU19,0.3*$CU19,TRUE))+$CS19*(_xlfn.NORM.DIST(AT$3,$CV19,0.3*$CV19,TRUE)-_xlfn.NORM.DIST(AT$30,$CV19,0.3*$CV19,TRUE))),""),IF($C19&gt;0,summary!$C$10/28.8/0.947817,""))</f>
        <v/>
      </c>
      <c r="AU48">
        <f t="array" ref="AU48">IF($D19,IFERROR((SUMPRODUCT((economics!$AG$2:$AG$167=$B48)*(economics!$D$2:$D$167="whr")*economics!$AH$2:$AH$167*(_xlfn.NORM.DIST(AU$3,economics!$AK$2:$AK$167,economics!$AJ$2:$AJ$167,TRUE)-_xlfn.NORM.DIST(AU$30,economics!$AK$2:$AK$167,economics!$AJ$2:$AJ$167,TRUE))*economics!$AM$2:$AM$167)+$CR19*(_xlfn.NORM.DIST(AU$3,$CU19,0.3*$CU19,TRUE)-_xlfn.NORM.DIST(AU$30,$CU19,0.3*$CU19,TRUE))*summary!$C$7/28.8/0.947817+$CS19*(_xlfn.NORM.DIST(AU$3,$CV19,0.3*$CV19,TRUE)-_xlfn.NORM.DIST(AU$30,$CV19,0.3*$CV19,TRUE))*summary!$C$6/28.8/0.947817)/(SUMPRODUCT((economics!$AG$2:$AG$167=$B48)*(economics!$D$2:$D$167="whr")*economics!$AH$2:$AH$167*(_xlfn.NORM.DIST(AU$3,economics!$AK$2:$AK$167,economics!$AJ$2:$AJ$167,TRUE)-_xlfn.NORM.DIST(AU$30,economics!$AK$2:$AK$167,economics!$AJ$2:$AJ$167,TRUE)))+$CR19*(_xlfn.NORM.DIST(AU$3,$CU19,0.3*$CU19,TRUE)-_xlfn.NORM.DIST(AU$30,$CU19,0.3*$CU19,TRUE))+$CS19*(_xlfn.NORM.DIST(AU$3,$CV19,0.3*$CV19,TRUE)-_xlfn.NORM.DIST(AU$30,$CV19,0.3*$CV19,TRUE))),""),IF($C19&gt;0,summary!$C$10/28.8/0.947817,""))</f>
        <v/>
      </c>
      <c r="AV48">
        <f t="array" ref="AV48">IF($D19,IFERROR((SUMPRODUCT((economics!$AG$2:$AG$167=$B48)*(economics!$D$2:$D$167="whr")*economics!$AH$2:$AH$167*(_xlfn.NORM.DIST(AV$3,economics!$AK$2:$AK$167,economics!$AJ$2:$AJ$167,TRUE)-_xlfn.NORM.DIST(AV$30,economics!$AK$2:$AK$167,economics!$AJ$2:$AJ$167,TRUE))*economics!$AM$2:$AM$167)+$CR19*(_xlfn.NORM.DIST(AV$3,$CU19,0.3*$CU19,TRUE)-_xlfn.NORM.DIST(AV$30,$CU19,0.3*$CU19,TRUE))*summary!$C$7/28.8/0.947817+$CS19*(_xlfn.NORM.DIST(AV$3,$CV19,0.3*$CV19,TRUE)-_xlfn.NORM.DIST(AV$30,$CV19,0.3*$CV19,TRUE))*summary!$C$6/28.8/0.947817)/(SUMPRODUCT((economics!$AG$2:$AG$167=$B48)*(economics!$D$2:$D$167="whr")*economics!$AH$2:$AH$167*(_xlfn.NORM.DIST(AV$3,economics!$AK$2:$AK$167,economics!$AJ$2:$AJ$167,TRUE)-_xlfn.NORM.DIST(AV$30,economics!$AK$2:$AK$167,economics!$AJ$2:$AJ$167,TRUE)))+$CR19*(_xlfn.NORM.DIST(AV$3,$CU19,0.3*$CU19,TRUE)-_xlfn.NORM.DIST(AV$30,$CU19,0.3*$CU19,TRUE))+$CS19*(_xlfn.NORM.DIST(AV$3,$CV19,0.3*$CV19,TRUE)-_xlfn.NORM.DIST(AV$30,$CV19,0.3*$CV19,TRUE))),""),IF($C19&gt;0,summary!$C$10/28.8/0.947817,""))</f>
        <v/>
      </c>
      <c r="AW48">
        <f t="array" ref="AW48">IF($D19,IFERROR((SUMPRODUCT((economics!$AG$2:$AG$167=$B48)*(economics!$D$2:$D$167="whr")*economics!$AH$2:$AH$167*(_xlfn.NORM.DIST(AW$3,economics!$AK$2:$AK$167,economics!$AJ$2:$AJ$167,TRUE)-_xlfn.NORM.DIST(AW$30,economics!$AK$2:$AK$167,economics!$AJ$2:$AJ$167,TRUE))*economics!$AM$2:$AM$167)+$CR19*(_xlfn.NORM.DIST(AW$3,$CU19,0.3*$CU19,TRUE)-_xlfn.NORM.DIST(AW$30,$CU19,0.3*$CU19,TRUE))*summary!$C$7/28.8/0.947817+$CS19*(_xlfn.NORM.DIST(AW$3,$CV19,0.3*$CV19,TRUE)-_xlfn.NORM.DIST(AW$30,$CV19,0.3*$CV19,TRUE))*summary!$C$6/28.8/0.947817)/(SUMPRODUCT((economics!$AG$2:$AG$167=$B48)*(economics!$D$2:$D$167="whr")*economics!$AH$2:$AH$167*(_xlfn.NORM.DIST(AW$3,economics!$AK$2:$AK$167,economics!$AJ$2:$AJ$167,TRUE)-_xlfn.NORM.DIST(AW$30,economics!$AK$2:$AK$167,economics!$AJ$2:$AJ$167,TRUE)))+$CR19*(_xlfn.NORM.DIST(AW$3,$CU19,0.3*$CU19,TRUE)-_xlfn.NORM.DIST(AW$30,$CU19,0.3*$CU19,TRUE))+$CS19*(_xlfn.NORM.DIST(AW$3,$CV19,0.3*$CV19,TRUE)-_xlfn.NORM.DIST(AW$30,$CV19,0.3*$CV19,TRUE))),""),IF($C19&gt;0,summary!$C$10/28.8/0.947817,""))</f>
        <v/>
      </c>
      <c r="AX48">
        <f t="array" ref="AX48">IF($D19,IFERROR((SUMPRODUCT((economics!$AG$2:$AG$167=$B48)*(economics!$D$2:$D$167="whr")*economics!$AH$2:$AH$167*(_xlfn.NORM.DIST(AX$3,economics!$AK$2:$AK$167,economics!$AJ$2:$AJ$167,TRUE)-_xlfn.NORM.DIST(AX$30,economics!$AK$2:$AK$167,economics!$AJ$2:$AJ$167,TRUE))*economics!$AM$2:$AM$167)+$CR19*(_xlfn.NORM.DIST(AX$3,$CU19,0.3*$CU19,TRUE)-_xlfn.NORM.DIST(AX$30,$CU19,0.3*$CU19,TRUE))*summary!$C$7/28.8/0.947817+$CS19*(_xlfn.NORM.DIST(AX$3,$CV19,0.3*$CV19,TRUE)-_xlfn.NORM.DIST(AX$30,$CV19,0.3*$CV19,TRUE))*summary!$C$6/28.8/0.947817)/(SUMPRODUCT((economics!$AG$2:$AG$167=$B48)*(economics!$D$2:$D$167="whr")*economics!$AH$2:$AH$167*(_xlfn.NORM.DIST(AX$3,economics!$AK$2:$AK$167,economics!$AJ$2:$AJ$167,TRUE)-_xlfn.NORM.DIST(AX$30,economics!$AK$2:$AK$167,economics!$AJ$2:$AJ$167,TRUE)))+$CR19*(_xlfn.NORM.DIST(AX$3,$CU19,0.3*$CU19,TRUE)-_xlfn.NORM.DIST(AX$30,$CU19,0.3*$CU19,TRUE))+$CS19*(_xlfn.NORM.DIST(AX$3,$CV19,0.3*$CV19,TRUE)-_xlfn.NORM.DIST(AX$30,$CV19,0.3*$CV19,TRUE))),""),IF($C19&gt;0,summary!$C$10/28.8/0.947817,""))</f>
        <v/>
      </c>
      <c r="AY48">
        <f t="array" ref="AY48">IF($D19,IFERROR((SUMPRODUCT((economics!$AG$2:$AG$167=$B48)*(economics!$D$2:$D$167="whr")*economics!$AH$2:$AH$167*(_xlfn.NORM.DIST(AY$3,economics!$AK$2:$AK$167,economics!$AJ$2:$AJ$167,TRUE)-_xlfn.NORM.DIST(AY$30,economics!$AK$2:$AK$167,economics!$AJ$2:$AJ$167,TRUE))*economics!$AM$2:$AM$167)+$CR19*(_xlfn.NORM.DIST(AY$3,$CU19,0.3*$CU19,TRUE)-_xlfn.NORM.DIST(AY$30,$CU19,0.3*$CU19,TRUE))*summary!$C$7/28.8/0.947817+$CS19*(_xlfn.NORM.DIST(AY$3,$CV19,0.3*$CV19,TRUE)-_xlfn.NORM.DIST(AY$30,$CV19,0.3*$CV19,TRUE))*summary!$C$6/28.8/0.947817)/(SUMPRODUCT((economics!$AG$2:$AG$167=$B48)*(economics!$D$2:$D$167="whr")*economics!$AH$2:$AH$167*(_xlfn.NORM.DIST(AY$3,economics!$AK$2:$AK$167,economics!$AJ$2:$AJ$167,TRUE)-_xlfn.NORM.DIST(AY$30,economics!$AK$2:$AK$167,economics!$AJ$2:$AJ$167,TRUE)))+$CR19*(_xlfn.NORM.DIST(AY$3,$CU19,0.3*$CU19,TRUE)-_xlfn.NORM.DIST(AY$30,$CU19,0.3*$CU19,TRUE))+$CS19*(_xlfn.NORM.DIST(AY$3,$CV19,0.3*$CV19,TRUE)-_xlfn.NORM.DIST(AY$30,$CV19,0.3*$CV19,TRUE))),""),IF($C19&gt;0,summary!$C$10/28.8/0.947817,""))</f>
        <v/>
      </c>
      <c r="AZ48">
        <f t="array" ref="AZ48">IF($D19,IFERROR((SUMPRODUCT((economics!$AG$2:$AG$167=$B48)*(economics!$D$2:$D$167="whr")*economics!$AH$2:$AH$167*(_xlfn.NORM.DIST(AZ$3,economics!$AK$2:$AK$167,economics!$AJ$2:$AJ$167,TRUE)-_xlfn.NORM.DIST(AZ$30,economics!$AK$2:$AK$167,economics!$AJ$2:$AJ$167,TRUE))*economics!$AM$2:$AM$167)+$CR19*(_xlfn.NORM.DIST(AZ$3,$CU19,0.3*$CU19,TRUE)-_xlfn.NORM.DIST(AZ$30,$CU19,0.3*$CU19,TRUE))*summary!$C$7/28.8/0.947817+$CS19*(_xlfn.NORM.DIST(AZ$3,$CV19,0.3*$CV19,TRUE)-_xlfn.NORM.DIST(AZ$30,$CV19,0.3*$CV19,TRUE))*summary!$C$6/28.8/0.947817)/(SUMPRODUCT((economics!$AG$2:$AG$167=$B48)*(economics!$D$2:$D$167="whr")*economics!$AH$2:$AH$167*(_xlfn.NORM.DIST(AZ$3,economics!$AK$2:$AK$167,economics!$AJ$2:$AJ$167,TRUE)-_xlfn.NORM.DIST(AZ$30,economics!$AK$2:$AK$167,economics!$AJ$2:$AJ$167,TRUE)))+$CR19*(_xlfn.NORM.DIST(AZ$3,$CU19,0.3*$CU19,TRUE)-_xlfn.NORM.DIST(AZ$30,$CU19,0.3*$CU19,TRUE))+$CS19*(_xlfn.NORM.DIST(AZ$3,$CV19,0.3*$CV19,TRUE)-_xlfn.NORM.DIST(AZ$30,$CV19,0.3*$CV19,TRUE))),""),IF($C19&gt;0,summary!$C$10/28.8/0.947817,""))</f>
        <v/>
      </c>
      <c r="BA48">
        <f t="array" ref="BA48">IF($D19,IFERROR((SUMPRODUCT((economics!$AG$2:$AG$167=$B48)*(economics!$D$2:$D$167="whr")*economics!$AH$2:$AH$167*(_xlfn.NORM.DIST(BA$3,economics!$AK$2:$AK$167,economics!$AJ$2:$AJ$167,TRUE)-_xlfn.NORM.DIST(BA$30,economics!$AK$2:$AK$167,economics!$AJ$2:$AJ$167,TRUE))*economics!$AM$2:$AM$167)+$CR19*(_xlfn.NORM.DIST(BA$3,$CU19,0.3*$CU19,TRUE)-_xlfn.NORM.DIST(BA$30,$CU19,0.3*$CU19,TRUE))*summary!$C$7/28.8/0.947817+$CS19*(_xlfn.NORM.DIST(BA$3,$CV19,0.3*$CV19,TRUE)-_xlfn.NORM.DIST(BA$30,$CV19,0.3*$CV19,TRUE))*summary!$C$6/28.8/0.947817)/(SUMPRODUCT((economics!$AG$2:$AG$167=$B48)*(economics!$D$2:$D$167="whr")*economics!$AH$2:$AH$167*(_xlfn.NORM.DIST(BA$3,economics!$AK$2:$AK$167,economics!$AJ$2:$AJ$167,TRUE)-_xlfn.NORM.DIST(BA$30,economics!$AK$2:$AK$167,economics!$AJ$2:$AJ$167,TRUE)))+$CR19*(_xlfn.NORM.DIST(BA$3,$CU19,0.3*$CU19,TRUE)-_xlfn.NORM.DIST(BA$30,$CU19,0.3*$CU19,TRUE))+$CS19*(_xlfn.NORM.DIST(BA$3,$CV19,0.3*$CV19,TRUE)-_xlfn.NORM.DIST(BA$30,$CV19,0.3*$CV19,TRUE))),""),IF($C19&gt;0,summary!$C$10/28.8/0.947817,""))</f>
        <v/>
      </c>
      <c r="BB48">
        <f t="array" ref="BB48">IF($D19,IFERROR((SUMPRODUCT((economics!$AG$2:$AG$167=$B48)*(economics!$D$2:$D$167="whr")*economics!$AH$2:$AH$167*(_xlfn.NORM.DIST(BB$3,economics!$AK$2:$AK$167,economics!$AJ$2:$AJ$167,TRUE)-_xlfn.NORM.DIST(BB$30,economics!$AK$2:$AK$167,economics!$AJ$2:$AJ$167,TRUE))*economics!$AM$2:$AM$167)+$CR19*(_xlfn.NORM.DIST(BB$3,$CU19,0.3*$CU19,TRUE)-_xlfn.NORM.DIST(BB$30,$CU19,0.3*$CU19,TRUE))*summary!$C$7/28.8/0.947817+$CS19*(_xlfn.NORM.DIST(BB$3,$CV19,0.3*$CV19,TRUE)-_xlfn.NORM.DIST(BB$30,$CV19,0.3*$CV19,TRUE))*summary!$C$6/28.8/0.947817)/(SUMPRODUCT((economics!$AG$2:$AG$167=$B48)*(economics!$D$2:$D$167="whr")*economics!$AH$2:$AH$167*(_xlfn.NORM.DIST(BB$3,economics!$AK$2:$AK$167,economics!$AJ$2:$AJ$167,TRUE)-_xlfn.NORM.DIST(BB$30,economics!$AK$2:$AK$167,economics!$AJ$2:$AJ$167,TRUE)))+$CR19*(_xlfn.NORM.DIST(BB$3,$CU19,0.3*$CU19,TRUE)-_xlfn.NORM.DIST(BB$30,$CU19,0.3*$CU19,TRUE))+$CS19*(_xlfn.NORM.DIST(BB$3,$CV19,0.3*$CV19,TRUE)-_xlfn.NORM.DIST(BB$30,$CV19,0.3*$CV19,TRUE))),""),IF($C19&gt;0,summary!$C$10/28.8/0.947817,""))</f>
        <v/>
      </c>
      <c r="BC48">
        <f t="array" ref="BC48">IF($D19,IFERROR((SUMPRODUCT((economics!$AG$2:$AG$167=$B48)*(economics!$D$2:$D$167="whr")*economics!$AH$2:$AH$167*(_xlfn.NORM.DIST(BC$3,economics!$AK$2:$AK$167,economics!$AJ$2:$AJ$167,TRUE)-_xlfn.NORM.DIST(BC$30,economics!$AK$2:$AK$167,economics!$AJ$2:$AJ$167,TRUE))*economics!$AM$2:$AM$167)+$CR19*(_xlfn.NORM.DIST(BC$3,$CU19,0.3*$CU19,TRUE)-_xlfn.NORM.DIST(BC$30,$CU19,0.3*$CU19,TRUE))*summary!$C$7/28.8/0.947817+$CS19*(_xlfn.NORM.DIST(BC$3,$CV19,0.3*$CV19,TRUE)-_xlfn.NORM.DIST(BC$30,$CV19,0.3*$CV19,TRUE))*summary!$C$6/28.8/0.947817)/(SUMPRODUCT((economics!$AG$2:$AG$167=$B48)*(economics!$D$2:$D$167="whr")*economics!$AH$2:$AH$167*(_xlfn.NORM.DIST(BC$3,economics!$AK$2:$AK$167,economics!$AJ$2:$AJ$167,TRUE)-_xlfn.NORM.DIST(BC$30,economics!$AK$2:$AK$167,economics!$AJ$2:$AJ$167,TRUE)))+$CR19*(_xlfn.NORM.DIST(BC$3,$CU19,0.3*$CU19,TRUE)-_xlfn.NORM.DIST(BC$30,$CU19,0.3*$CU19,TRUE))+$CS19*(_xlfn.NORM.DIST(BC$3,$CV19,0.3*$CV19,TRUE)-_xlfn.NORM.DIST(BC$30,$CV19,0.3*$CV19,TRUE))),""),IF($C19&gt;0,summary!$C$10/28.8/0.947817,""))</f>
        <v/>
      </c>
      <c r="BD48">
        <f t="array" ref="BD48">IF($D19,IFERROR((SUMPRODUCT((economics!$AG$2:$AG$167=$B48)*(economics!$D$2:$D$167="whr")*economics!$AH$2:$AH$167*(_xlfn.NORM.DIST(BD$3,economics!$AK$2:$AK$167,economics!$AJ$2:$AJ$167,TRUE)-_xlfn.NORM.DIST(BD$30,economics!$AK$2:$AK$167,economics!$AJ$2:$AJ$167,TRUE))*economics!$AM$2:$AM$167)+$CR19*(_xlfn.NORM.DIST(BD$3,$CU19,0.3*$CU19,TRUE)-_xlfn.NORM.DIST(BD$30,$CU19,0.3*$CU19,TRUE))*summary!$C$7/28.8/0.947817+$CS19*(_xlfn.NORM.DIST(BD$3,$CV19,0.3*$CV19,TRUE)-_xlfn.NORM.DIST(BD$30,$CV19,0.3*$CV19,TRUE))*summary!$C$6/28.8/0.947817)/(SUMPRODUCT((economics!$AG$2:$AG$167=$B48)*(economics!$D$2:$D$167="whr")*economics!$AH$2:$AH$167*(_xlfn.NORM.DIST(BD$3,economics!$AK$2:$AK$167,economics!$AJ$2:$AJ$167,TRUE)-_xlfn.NORM.DIST(BD$30,economics!$AK$2:$AK$167,economics!$AJ$2:$AJ$167,TRUE)))+$CR19*(_xlfn.NORM.DIST(BD$3,$CU19,0.3*$CU19,TRUE)-_xlfn.NORM.DIST(BD$30,$CU19,0.3*$CU19,TRUE))+$CS19*(_xlfn.NORM.DIST(BD$3,$CV19,0.3*$CV19,TRUE)-_xlfn.NORM.DIST(BD$30,$CV19,0.3*$CV19,TRUE))),""),IF($C19&gt;0,summary!$C$10/28.8/0.947817,""))</f>
        <v/>
      </c>
      <c r="BE48">
        <f t="array" ref="BE48">IF($D19,IFERROR((SUMPRODUCT((economics!$AG$2:$AG$167=$B48)*(economics!$D$2:$D$167="whr")*economics!$AH$2:$AH$167*(_xlfn.NORM.DIST(BE$3,economics!$AK$2:$AK$167,economics!$AJ$2:$AJ$167,TRUE)-_xlfn.NORM.DIST(BE$30,economics!$AK$2:$AK$167,economics!$AJ$2:$AJ$167,TRUE))*economics!$AM$2:$AM$167)+$CR19*(_xlfn.NORM.DIST(BE$3,$CU19,0.3*$CU19,TRUE)-_xlfn.NORM.DIST(BE$30,$CU19,0.3*$CU19,TRUE))*summary!$C$7/28.8/0.947817+$CS19*(_xlfn.NORM.DIST(BE$3,$CV19,0.3*$CV19,TRUE)-_xlfn.NORM.DIST(BE$30,$CV19,0.3*$CV19,TRUE))*summary!$C$6/28.8/0.947817)/(SUMPRODUCT((economics!$AG$2:$AG$167=$B48)*(economics!$D$2:$D$167="whr")*economics!$AH$2:$AH$167*(_xlfn.NORM.DIST(BE$3,economics!$AK$2:$AK$167,economics!$AJ$2:$AJ$167,TRUE)-_xlfn.NORM.DIST(BE$30,economics!$AK$2:$AK$167,economics!$AJ$2:$AJ$167,TRUE)))+$CR19*(_xlfn.NORM.DIST(BE$3,$CU19,0.3*$CU19,TRUE)-_xlfn.NORM.DIST(BE$30,$CU19,0.3*$CU19,TRUE))+$CS19*(_xlfn.NORM.DIST(BE$3,$CV19,0.3*$CV19,TRUE)-_xlfn.NORM.DIST(BE$30,$CV19,0.3*$CV19,TRUE))),""),IF($C19&gt;0,summary!$C$10/28.8/0.947817,""))</f>
        <v/>
      </c>
      <c r="BF48">
        <f t="array" ref="BF48">IF($D19,IFERROR((SUMPRODUCT((economics!$AG$2:$AG$167=$B48)*(economics!$D$2:$D$167="whr")*economics!$AH$2:$AH$167*(_xlfn.NORM.DIST(BF$3,economics!$AK$2:$AK$167,economics!$AJ$2:$AJ$167,TRUE)-_xlfn.NORM.DIST(BF$30,economics!$AK$2:$AK$167,economics!$AJ$2:$AJ$167,TRUE))*economics!$AM$2:$AM$167)+$CR19*(_xlfn.NORM.DIST(BF$3,$CU19,0.3*$CU19,TRUE)-_xlfn.NORM.DIST(BF$30,$CU19,0.3*$CU19,TRUE))*summary!$C$7/28.8/0.947817+$CS19*(_xlfn.NORM.DIST(BF$3,$CV19,0.3*$CV19,TRUE)-_xlfn.NORM.DIST(BF$30,$CV19,0.3*$CV19,TRUE))*summary!$C$6/28.8/0.947817)/(SUMPRODUCT((economics!$AG$2:$AG$167=$B48)*(economics!$D$2:$D$167="whr")*economics!$AH$2:$AH$167*(_xlfn.NORM.DIST(BF$3,economics!$AK$2:$AK$167,economics!$AJ$2:$AJ$167,TRUE)-_xlfn.NORM.DIST(BF$30,economics!$AK$2:$AK$167,economics!$AJ$2:$AJ$167,TRUE)))+$CR19*(_xlfn.NORM.DIST(BF$3,$CU19,0.3*$CU19,TRUE)-_xlfn.NORM.DIST(BF$30,$CU19,0.3*$CU19,TRUE))+$CS19*(_xlfn.NORM.DIST(BF$3,$CV19,0.3*$CV19,TRUE)-_xlfn.NORM.DIST(BF$30,$CV19,0.3*$CV19,TRUE))),""),IF($C19&gt;0,summary!$C$10/28.8/0.947817,""))</f>
        <v/>
      </c>
      <c r="BG48">
        <f t="array" ref="BG48">IF($D19,IFERROR((SUMPRODUCT((economics!$AG$2:$AG$167=$B48)*(economics!$D$2:$D$167="whr")*economics!$AH$2:$AH$167*(_xlfn.NORM.DIST(BG$3,economics!$AK$2:$AK$167,economics!$AJ$2:$AJ$167,TRUE)-_xlfn.NORM.DIST(BG$30,economics!$AK$2:$AK$167,economics!$AJ$2:$AJ$167,TRUE))*economics!$AM$2:$AM$167)+$CR19*(_xlfn.NORM.DIST(BG$3,$CU19,0.3*$CU19,TRUE)-_xlfn.NORM.DIST(BG$30,$CU19,0.3*$CU19,TRUE))*summary!$C$7/28.8/0.947817+$CS19*(_xlfn.NORM.DIST(BG$3,$CV19,0.3*$CV19,TRUE)-_xlfn.NORM.DIST(BG$30,$CV19,0.3*$CV19,TRUE))*summary!$C$6/28.8/0.947817)/(SUMPRODUCT((economics!$AG$2:$AG$167=$B48)*(economics!$D$2:$D$167="whr")*economics!$AH$2:$AH$167*(_xlfn.NORM.DIST(BG$3,economics!$AK$2:$AK$167,economics!$AJ$2:$AJ$167,TRUE)-_xlfn.NORM.DIST(BG$30,economics!$AK$2:$AK$167,economics!$AJ$2:$AJ$167,TRUE)))+$CR19*(_xlfn.NORM.DIST(BG$3,$CU19,0.3*$CU19,TRUE)-_xlfn.NORM.DIST(BG$30,$CU19,0.3*$CU19,TRUE))+$CS19*(_xlfn.NORM.DIST(BG$3,$CV19,0.3*$CV19,TRUE)-_xlfn.NORM.DIST(BG$30,$CV19,0.3*$CV19,TRUE))),""),IF($C19&gt;0,summary!$C$10/28.8/0.947817,""))</f>
        <v/>
      </c>
      <c r="BH48">
        <f t="array" ref="BH48">IF($D19,IFERROR((SUMPRODUCT((economics!$AG$2:$AG$167=$B48)*(economics!$D$2:$D$167="whr")*economics!$AH$2:$AH$167*(_xlfn.NORM.DIST(BH$3,economics!$AK$2:$AK$167,economics!$AJ$2:$AJ$167,TRUE)-_xlfn.NORM.DIST(BH$30,economics!$AK$2:$AK$167,economics!$AJ$2:$AJ$167,TRUE))*economics!$AM$2:$AM$167)+$CR19*(_xlfn.NORM.DIST(BH$3,$CU19,0.3*$CU19,TRUE)-_xlfn.NORM.DIST(BH$30,$CU19,0.3*$CU19,TRUE))*summary!$C$7/28.8/0.947817+$CS19*(_xlfn.NORM.DIST(BH$3,$CV19,0.3*$CV19,TRUE)-_xlfn.NORM.DIST(BH$30,$CV19,0.3*$CV19,TRUE))*summary!$C$6/28.8/0.947817)/(SUMPRODUCT((economics!$AG$2:$AG$167=$B48)*(economics!$D$2:$D$167="whr")*economics!$AH$2:$AH$167*(_xlfn.NORM.DIST(BH$3,economics!$AK$2:$AK$167,economics!$AJ$2:$AJ$167,TRUE)-_xlfn.NORM.DIST(BH$30,economics!$AK$2:$AK$167,economics!$AJ$2:$AJ$167,TRUE)))+$CR19*(_xlfn.NORM.DIST(BH$3,$CU19,0.3*$CU19,TRUE)-_xlfn.NORM.DIST(BH$30,$CU19,0.3*$CU19,TRUE))+$CS19*(_xlfn.NORM.DIST(BH$3,$CV19,0.3*$CV19,TRUE)-_xlfn.NORM.DIST(BH$30,$CV19,0.3*$CV19,TRUE))),""),IF($C19&gt;0,summary!$C$10/28.8/0.947817,""))</f>
        <v/>
      </c>
      <c r="BI48">
        <f t="array" ref="BI48">IF($D19,IFERROR((SUMPRODUCT((economics!$AG$2:$AG$167=$B48)*(economics!$D$2:$D$167="whr")*economics!$AH$2:$AH$167*(_xlfn.NORM.DIST(BI$3,economics!$AK$2:$AK$167,economics!$AJ$2:$AJ$167,TRUE)-_xlfn.NORM.DIST(BI$30,economics!$AK$2:$AK$167,economics!$AJ$2:$AJ$167,TRUE))*economics!$AM$2:$AM$167)+$CR19*(_xlfn.NORM.DIST(BI$3,$CU19,0.3*$CU19,TRUE)-_xlfn.NORM.DIST(BI$30,$CU19,0.3*$CU19,TRUE))*summary!$C$7/28.8/0.947817+$CS19*(_xlfn.NORM.DIST(BI$3,$CV19,0.3*$CV19,TRUE)-_xlfn.NORM.DIST(BI$30,$CV19,0.3*$CV19,TRUE))*summary!$C$6/28.8/0.947817)/(SUMPRODUCT((economics!$AG$2:$AG$167=$B48)*(economics!$D$2:$D$167="whr")*economics!$AH$2:$AH$167*(_xlfn.NORM.DIST(BI$3,economics!$AK$2:$AK$167,economics!$AJ$2:$AJ$167,TRUE)-_xlfn.NORM.DIST(BI$30,economics!$AK$2:$AK$167,economics!$AJ$2:$AJ$167,TRUE)))+$CR19*(_xlfn.NORM.DIST(BI$3,$CU19,0.3*$CU19,TRUE)-_xlfn.NORM.DIST(BI$30,$CU19,0.3*$CU19,TRUE))+$CS19*(_xlfn.NORM.DIST(BI$3,$CV19,0.3*$CV19,TRUE)-_xlfn.NORM.DIST(BI$30,$CV19,0.3*$CV19,TRUE))),""),IF($C19&gt;0,summary!$C$10/28.8/0.947817,""))</f>
        <v/>
      </c>
      <c r="BJ48">
        <f t="array" ref="BJ48">IF($D19,IFERROR((SUMPRODUCT((economics!$AG$2:$AG$167=$B48)*(economics!$D$2:$D$167="whr")*economics!$AH$2:$AH$167*(_xlfn.NORM.DIST(BJ$3,economics!$AK$2:$AK$167,economics!$AJ$2:$AJ$167,TRUE)-_xlfn.NORM.DIST(BJ$30,economics!$AK$2:$AK$167,economics!$AJ$2:$AJ$167,TRUE))*economics!$AM$2:$AM$167)+$CR19*(_xlfn.NORM.DIST(BJ$3,$CU19,0.3*$CU19,TRUE)-_xlfn.NORM.DIST(BJ$30,$CU19,0.3*$CU19,TRUE))*summary!$C$7/28.8/0.947817+$CS19*(_xlfn.NORM.DIST(BJ$3,$CV19,0.3*$CV19,TRUE)-_xlfn.NORM.DIST(BJ$30,$CV19,0.3*$CV19,TRUE))*summary!$C$6/28.8/0.947817)/(SUMPRODUCT((economics!$AG$2:$AG$167=$B48)*(economics!$D$2:$D$167="whr")*economics!$AH$2:$AH$167*(_xlfn.NORM.DIST(BJ$3,economics!$AK$2:$AK$167,economics!$AJ$2:$AJ$167,TRUE)-_xlfn.NORM.DIST(BJ$30,economics!$AK$2:$AK$167,economics!$AJ$2:$AJ$167,TRUE)))+$CR19*(_xlfn.NORM.DIST(BJ$3,$CU19,0.3*$CU19,TRUE)-_xlfn.NORM.DIST(BJ$30,$CU19,0.3*$CU19,TRUE))+$CS19*(_xlfn.NORM.DIST(BJ$3,$CV19,0.3*$CV19,TRUE)-_xlfn.NORM.DIST(BJ$30,$CV19,0.3*$CV19,TRUE))),""),IF($C19&gt;0,summary!$C$10/28.8/0.947817,""))</f>
        <v/>
      </c>
      <c r="BK48">
        <f t="array" ref="BK48">IF($D19,IFERROR((SUMPRODUCT((economics!$AG$2:$AG$167=$B48)*(economics!$D$2:$D$167="whr")*economics!$AH$2:$AH$167*(_xlfn.NORM.DIST(BK$3,economics!$AK$2:$AK$167,economics!$AJ$2:$AJ$167,TRUE)-_xlfn.NORM.DIST(BK$30,economics!$AK$2:$AK$167,economics!$AJ$2:$AJ$167,TRUE))*economics!$AM$2:$AM$167)+$CR19*(_xlfn.NORM.DIST(BK$3,$CU19,0.3*$CU19,TRUE)-_xlfn.NORM.DIST(BK$30,$CU19,0.3*$CU19,TRUE))*summary!$C$7/28.8/0.947817+$CS19*(_xlfn.NORM.DIST(BK$3,$CV19,0.3*$CV19,TRUE)-_xlfn.NORM.DIST(BK$30,$CV19,0.3*$CV19,TRUE))*summary!$C$6/28.8/0.947817)/(SUMPRODUCT((economics!$AG$2:$AG$167=$B48)*(economics!$D$2:$D$167="whr")*economics!$AH$2:$AH$167*(_xlfn.NORM.DIST(BK$3,economics!$AK$2:$AK$167,economics!$AJ$2:$AJ$167,TRUE)-_xlfn.NORM.DIST(BK$30,economics!$AK$2:$AK$167,economics!$AJ$2:$AJ$167,TRUE)))+$CR19*(_xlfn.NORM.DIST(BK$3,$CU19,0.3*$CU19,TRUE)-_xlfn.NORM.DIST(BK$30,$CU19,0.3*$CU19,TRUE))+$CS19*(_xlfn.NORM.DIST(BK$3,$CV19,0.3*$CV19,TRUE)-_xlfn.NORM.DIST(BK$30,$CV19,0.3*$CV19,TRUE))),""),IF($C19&gt;0,summary!$C$10/28.8/0.947817,""))</f>
        <v/>
      </c>
      <c r="BL48">
        <f t="array" ref="BL48">IF($D19,IFERROR((SUMPRODUCT((economics!$AG$2:$AG$167=$B48)*(economics!$D$2:$D$167="whr")*economics!$AH$2:$AH$167*(_xlfn.NORM.DIST(BL$3,economics!$AK$2:$AK$167,economics!$AJ$2:$AJ$167,TRUE)-_xlfn.NORM.DIST(BL$30,economics!$AK$2:$AK$167,economics!$AJ$2:$AJ$167,TRUE))*economics!$AM$2:$AM$167)+$CR19*(_xlfn.NORM.DIST(BL$3,$CU19,0.3*$CU19,TRUE)-_xlfn.NORM.DIST(BL$30,$CU19,0.3*$CU19,TRUE))*summary!$C$7/28.8/0.947817+$CS19*(_xlfn.NORM.DIST(BL$3,$CV19,0.3*$CV19,TRUE)-_xlfn.NORM.DIST(BL$30,$CV19,0.3*$CV19,TRUE))*summary!$C$6/28.8/0.947817)/(SUMPRODUCT((economics!$AG$2:$AG$167=$B48)*(economics!$D$2:$D$167="whr")*economics!$AH$2:$AH$167*(_xlfn.NORM.DIST(BL$3,economics!$AK$2:$AK$167,economics!$AJ$2:$AJ$167,TRUE)-_xlfn.NORM.DIST(BL$30,economics!$AK$2:$AK$167,economics!$AJ$2:$AJ$167,TRUE)))+$CR19*(_xlfn.NORM.DIST(BL$3,$CU19,0.3*$CU19,TRUE)-_xlfn.NORM.DIST(BL$30,$CU19,0.3*$CU19,TRUE))+$CS19*(_xlfn.NORM.DIST(BL$3,$CV19,0.3*$CV19,TRUE)-_xlfn.NORM.DIST(BL$30,$CV19,0.3*$CV19,TRUE))),""),IF($C19&gt;0,summary!$C$10/28.8/0.947817,""))</f>
        <v/>
      </c>
      <c r="BM48">
        <f t="array" ref="BM48">IF($D19,IFERROR((SUMPRODUCT((economics!$AG$2:$AG$167=$B48)*(economics!$D$2:$D$167="whr")*economics!$AH$2:$AH$167*(_xlfn.NORM.DIST(BM$3,economics!$AK$2:$AK$167,economics!$AJ$2:$AJ$167,TRUE)-_xlfn.NORM.DIST(BM$30,economics!$AK$2:$AK$167,economics!$AJ$2:$AJ$167,TRUE))*economics!$AM$2:$AM$167)+$CR19*(_xlfn.NORM.DIST(BM$3,$CU19,0.3*$CU19,TRUE)-_xlfn.NORM.DIST(BM$30,$CU19,0.3*$CU19,TRUE))*summary!$C$7/28.8/0.947817+$CS19*(_xlfn.NORM.DIST(BM$3,$CV19,0.3*$CV19,TRUE)-_xlfn.NORM.DIST(BM$30,$CV19,0.3*$CV19,TRUE))*summary!$C$6/28.8/0.947817)/(SUMPRODUCT((economics!$AG$2:$AG$167=$B48)*(economics!$D$2:$D$167="whr")*economics!$AH$2:$AH$167*(_xlfn.NORM.DIST(BM$3,economics!$AK$2:$AK$167,economics!$AJ$2:$AJ$167,TRUE)-_xlfn.NORM.DIST(BM$30,economics!$AK$2:$AK$167,economics!$AJ$2:$AJ$167,TRUE)))+$CR19*(_xlfn.NORM.DIST(BM$3,$CU19,0.3*$CU19,TRUE)-_xlfn.NORM.DIST(BM$30,$CU19,0.3*$CU19,TRUE))+$CS19*(_xlfn.NORM.DIST(BM$3,$CV19,0.3*$CV19,TRUE)-_xlfn.NORM.DIST(BM$30,$CV19,0.3*$CV19,TRUE))),""),IF($C19&gt;0,summary!$C$10/28.8/0.947817,""))</f>
        <v/>
      </c>
      <c r="BN48">
        <f t="array" ref="BN48">IF($D19,IFERROR((SUMPRODUCT((economics!$AG$2:$AG$167=$B48)*(economics!$D$2:$D$167="whr")*economics!$AH$2:$AH$167*(_xlfn.NORM.DIST(BN$3,economics!$AK$2:$AK$167,economics!$AJ$2:$AJ$167,TRUE)-_xlfn.NORM.DIST(BN$30,economics!$AK$2:$AK$167,economics!$AJ$2:$AJ$167,TRUE))*economics!$AM$2:$AM$167)+$CR19*(_xlfn.NORM.DIST(BN$3,$CU19,0.3*$CU19,TRUE)-_xlfn.NORM.DIST(BN$30,$CU19,0.3*$CU19,TRUE))*summary!$C$7/28.8/0.947817+$CS19*(_xlfn.NORM.DIST(BN$3,$CV19,0.3*$CV19,TRUE)-_xlfn.NORM.DIST(BN$30,$CV19,0.3*$CV19,TRUE))*summary!$C$6/28.8/0.947817)/(SUMPRODUCT((economics!$AG$2:$AG$167=$B48)*(economics!$D$2:$D$167="whr")*economics!$AH$2:$AH$167*(_xlfn.NORM.DIST(BN$3,economics!$AK$2:$AK$167,economics!$AJ$2:$AJ$167,TRUE)-_xlfn.NORM.DIST(BN$30,economics!$AK$2:$AK$167,economics!$AJ$2:$AJ$167,TRUE)))+$CR19*(_xlfn.NORM.DIST(BN$3,$CU19,0.3*$CU19,TRUE)-_xlfn.NORM.DIST(BN$30,$CU19,0.3*$CU19,TRUE))+$CS19*(_xlfn.NORM.DIST(BN$3,$CV19,0.3*$CV19,TRUE)-_xlfn.NORM.DIST(BN$30,$CV19,0.3*$CV19,TRUE))),""),IF($C19&gt;0,summary!$C$10/28.8/0.947817,""))</f>
        <v/>
      </c>
      <c r="BO48">
        <f t="array" ref="BO48">IF($D19,IFERROR((SUMPRODUCT((economics!$AG$2:$AG$167=$B48)*(economics!$D$2:$D$167="whr")*economics!$AH$2:$AH$167*(_xlfn.NORM.DIST(BO$3,economics!$AK$2:$AK$167,economics!$AJ$2:$AJ$167,TRUE)-_xlfn.NORM.DIST(BO$30,economics!$AK$2:$AK$167,economics!$AJ$2:$AJ$167,TRUE))*economics!$AM$2:$AM$167)+$CR19*(_xlfn.NORM.DIST(BO$3,$CU19,0.3*$CU19,TRUE)-_xlfn.NORM.DIST(BO$30,$CU19,0.3*$CU19,TRUE))*summary!$C$7/28.8/0.947817+$CS19*(_xlfn.NORM.DIST(BO$3,$CV19,0.3*$CV19,TRUE)-_xlfn.NORM.DIST(BO$30,$CV19,0.3*$CV19,TRUE))*summary!$C$6/28.8/0.947817)/(SUMPRODUCT((economics!$AG$2:$AG$167=$B48)*(economics!$D$2:$D$167="whr")*economics!$AH$2:$AH$167*(_xlfn.NORM.DIST(BO$3,economics!$AK$2:$AK$167,economics!$AJ$2:$AJ$167,TRUE)-_xlfn.NORM.DIST(BO$30,economics!$AK$2:$AK$167,economics!$AJ$2:$AJ$167,TRUE)))+$CR19*(_xlfn.NORM.DIST(BO$3,$CU19,0.3*$CU19,TRUE)-_xlfn.NORM.DIST(BO$30,$CU19,0.3*$CU19,TRUE))+$CS19*(_xlfn.NORM.DIST(BO$3,$CV19,0.3*$CV19,TRUE)-_xlfn.NORM.DIST(BO$30,$CV19,0.3*$CV19,TRUE))),""),IF($C19&gt;0,summary!$C$10/28.8/0.947817,""))</f>
        <v/>
      </c>
      <c r="BP48">
        <f t="array" ref="BP48">IF($D19,IFERROR((SUMPRODUCT((economics!$AG$2:$AG$167=$B48)*(economics!$D$2:$D$167="whr")*economics!$AH$2:$AH$167*(_xlfn.NORM.DIST(BP$3,economics!$AK$2:$AK$167,economics!$AJ$2:$AJ$167,TRUE)-_xlfn.NORM.DIST(BP$30,economics!$AK$2:$AK$167,economics!$AJ$2:$AJ$167,TRUE))*economics!$AM$2:$AM$167)+$CR19*(_xlfn.NORM.DIST(BP$3,$CU19,0.3*$CU19,TRUE)-_xlfn.NORM.DIST(BP$30,$CU19,0.3*$CU19,TRUE))*summary!$C$7/28.8/0.947817+$CS19*(_xlfn.NORM.DIST(BP$3,$CV19,0.3*$CV19,TRUE)-_xlfn.NORM.DIST(BP$30,$CV19,0.3*$CV19,TRUE))*summary!$C$6/28.8/0.947817)/(SUMPRODUCT((economics!$AG$2:$AG$167=$B48)*(economics!$D$2:$D$167="whr")*economics!$AH$2:$AH$167*(_xlfn.NORM.DIST(BP$3,economics!$AK$2:$AK$167,economics!$AJ$2:$AJ$167,TRUE)-_xlfn.NORM.DIST(BP$30,economics!$AK$2:$AK$167,economics!$AJ$2:$AJ$167,TRUE)))+$CR19*(_xlfn.NORM.DIST(BP$3,$CU19,0.3*$CU19,TRUE)-_xlfn.NORM.DIST(BP$30,$CU19,0.3*$CU19,TRUE))+$CS19*(_xlfn.NORM.DIST(BP$3,$CV19,0.3*$CV19,TRUE)-_xlfn.NORM.DIST(BP$30,$CV19,0.3*$CV19,TRUE))),""),IF($C19&gt;0,summary!$C$10/28.8/0.947817,""))</f>
        <v/>
      </c>
      <c r="BQ48">
        <f t="array" ref="BQ48">IF($D19,IFERROR((SUMPRODUCT((economics!$AG$2:$AG$167=$B48)*(economics!$D$2:$D$167="whr")*economics!$AH$2:$AH$167*(_xlfn.NORM.DIST(BQ$3,economics!$AK$2:$AK$167,economics!$AJ$2:$AJ$167,TRUE)-_xlfn.NORM.DIST(BQ$30,economics!$AK$2:$AK$167,economics!$AJ$2:$AJ$167,TRUE))*economics!$AM$2:$AM$167)+$CR19*(_xlfn.NORM.DIST(BQ$3,$CU19,0.3*$CU19,TRUE)-_xlfn.NORM.DIST(BQ$30,$CU19,0.3*$CU19,TRUE))*summary!$C$7/28.8/0.947817+$CS19*(_xlfn.NORM.DIST(BQ$3,$CV19,0.3*$CV19,TRUE)-_xlfn.NORM.DIST(BQ$30,$CV19,0.3*$CV19,TRUE))*summary!$C$6/28.8/0.947817)/(SUMPRODUCT((economics!$AG$2:$AG$167=$B48)*(economics!$D$2:$D$167="whr")*economics!$AH$2:$AH$167*(_xlfn.NORM.DIST(BQ$3,economics!$AK$2:$AK$167,economics!$AJ$2:$AJ$167,TRUE)-_xlfn.NORM.DIST(BQ$30,economics!$AK$2:$AK$167,economics!$AJ$2:$AJ$167,TRUE)))+$CR19*(_xlfn.NORM.DIST(BQ$3,$CU19,0.3*$CU19,TRUE)-_xlfn.NORM.DIST(BQ$30,$CU19,0.3*$CU19,TRUE))+$CS19*(_xlfn.NORM.DIST(BQ$3,$CV19,0.3*$CV19,TRUE)-_xlfn.NORM.DIST(BQ$30,$CV19,0.3*$CV19,TRUE))),""),IF($C19&gt;0,summary!$C$10/28.8/0.947817,""))</f>
        <v/>
      </c>
      <c r="BR48">
        <f t="array" ref="BR48">IF($D19,IFERROR((SUMPRODUCT((economics!$AG$2:$AG$167=$B48)*(economics!$D$2:$D$167="whr")*economics!$AH$2:$AH$167*(_xlfn.NORM.DIST(BR$3,economics!$AK$2:$AK$167,economics!$AJ$2:$AJ$167,TRUE)-_xlfn.NORM.DIST(BR$30,economics!$AK$2:$AK$167,economics!$AJ$2:$AJ$167,TRUE))*economics!$AM$2:$AM$167)+$CR19*(_xlfn.NORM.DIST(BR$3,$CU19,0.3*$CU19,TRUE)-_xlfn.NORM.DIST(BR$30,$CU19,0.3*$CU19,TRUE))*summary!$C$7/28.8/0.947817+$CS19*(_xlfn.NORM.DIST(BR$3,$CV19,0.3*$CV19,TRUE)-_xlfn.NORM.DIST(BR$30,$CV19,0.3*$CV19,TRUE))*summary!$C$6/28.8/0.947817)/(SUMPRODUCT((economics!$AG$2:$AG$167=$B48)*(economics!$D$2:$D$167="whr")*economics!$AH$2:$AH$167*(_xlfn.NORM.DIST(BR$3,economics!$AK$2:$AK$167,economics!$AJ$2:$AJ$167,TRUE)-_xlfn.NORM.DIST(BR$30,economics!$AK$2:$AK$167,economics!$AJ$2:$AJ$167,TRUE)))+$CR19*(_xlfn.NORM.DIST(BR$3,$CU19,0.3*$CU19,TRUE)-_xlfn.NORM.DIST(BR$30,$CU19,0.3*$CU19,TRUE))+$CS19*(_xlfn.NORM.DIST(BR$3,$CV19,0.3*$CV19,TRUE)-_xlfn.NORM.DIST(BR$30,$CV19,0.3*$CV19,TRUE))),""),IF($C19&gt;0,summary!$C$10/28.8/0.947817,""))</f>
        <v/>
      </c>
      <c r="BS48">
        <f t="array" ref="BS48">IF($D19,IFERROR((SUMPRODUCT((economics!$AG$2:$AG$167=$B48)*(economics!$D$2:$D$167="whr")*economics!$AH$2:$AH$167*(_xlfn.NORM.DIST(BS$3,economics!$AK$2:$AK$167,economics!$AJ$2:$AJ$167,TRUE)-_xlfn.NORM.DIST(BS$30,economics!$AK$2:$AK$167,economics!$AJ$2:$AJ$167,TRUE))*economics!$AM$2:$AM$167)+$CR19*(_xlfn.NORM.DIST(BS$3,$CU19,0.3*$CU19,TRUE)-_xlfn.NORM.DIST(BS$30,$CU19,0.3*$CU19,TRUE))*summary!$C$7/28.8/0.947817+$CS19*(_xlfn.NORM.DIST(BS$3,$CV19,0.3*$CV19,TRUE)-_xlfn.NORM.DIST(BS$30,$CV19,0.3*$CV19,TRUE))*summary!$C$6/28.8/0.947817)/(SUMPRODUCT((economics!$AG$2:$AG$167=$B48)*(economics!$D$2:$D$167="whr")*economics!$AH$2:$AH$167*(_xlfn.NORM.DIST(BS$3,economics!$AK$2:$AK$167,economics!$AJ$2:$AJ$167,TRUE)-_xlfn.NORM.DIST(BS$30,economics!$AK$2:$AK$167,economics!$AJ$2:$AJ$167,TRUE)))+$CR19*(_xlfn.NORM.DIST(BS$3,$CU19,0.3*$CU19,TRUE)-_xlfn.NORM.DIST(BS$30,$CU19,0.3*$CU19,TRUE))+$CS19*(_xlfn.NORM.DIST(BS$3,$CV19,0.3*$CV19,TRUE)-_xlfn.NORM.DIST(BS$30,$CV19,0.3*$CV19,TRUE))),""),IF($C19&gt;0,summary!$C$10/28.8/0.947817,""))</f>
        <v/>
      </c>
      <c r="BT48">
        <f t="array" ref="BT48">IF($D19,IFERROR((SUMPRODUCT((economics!$AG$2:$AG$167=$B48)*(economics!$D$2:$D$167="whr")*economics!$AH$2:$AH$167*(_xlfn.NORM.DIST(BT$3,economics!$AK$2:$AK$167,economics!$AJ$2:$AJ$167,TRUE)-_xlfn.NORM.DIST(BT$30,economics!$AK$2:$AK$167,economics!$AJ$2:$AJ$167,TRUE))*economics!$AM$2:$AM$167)+$CR19*(_xlfn.NORM.DIST(BT$3,$CU19,0.3*$CU19,TRUE)-_xlfn.NORM.DIST(BT$30,$CU19,0.3*$CU19,TRUE))*summary!$C$7/28.8/0.947817+$CS19*(_xlfn.NORM.DIST(BT$3,$CV19,0.3*$CV19,TRUE)-_xlfn.NORM.DIST(BT$30,$CV19,0.3*$CV19,TRUE))*summary!$C$6/28.8/0.947817)/(SUMPRODUCT((economics!$AG$2:$AG$167=$B48)*(economics!$D$2:$D$167="whr")*economics!$AH$2:$AH$167*(_xlfn.NORM.DIST(BT$3,economics!$AK$2:$AK$167,economics!$AJ$2:$AJ$167,TRUE)-_xlfn.NORM.DIST(BT$30,economics!$AK$2:$AK$167,economics!$AJ$2:$AJ$167,TRUE)))+$CR19*(_xlfn.NORM.DIST(BT$3,$CU19,0.3*$CU19,TRUE)-_xlfn.NORM.DIST(BT$30,$CU19,0.3*$CU19,TRUE))+$CS19*(_xlfn.NORM.DIST(BT$3,$CV19,0.3*$CV19,TRUE)-_xlfn.NORM.DIST(BT$30,$CV19,0.3*$CV19,TRUE))),""),IF($C19&gt;0,summary!$C$10/28.8/0.947817,""))</f>
        <v/>
      </c>
      <c r="BU48">
        <f t="array" ref="BU48">IF($D19,IFERROR((SUMPRODUCT((economics!$AG$2:$AG$167=$B48)*(economics!$D$2:$D$167="whr")*economics!$AH$2:$AH$167*(_xlfn.NORM.DIST(BU$3,economics!$AK$2:$AK$167,economics!$AJ$2:$AJ$167,TRUE)-_xlfn.NORM.DIST(BU$30,economics!$AK$2:$AK$167,economics!$AJ$2:$AJ$167,TRUE))*economics!$AM$2:$AM$167)+$CR19*(_xlfn.NORM.DIST(BU$3,$CU19,0.3*$CU19,TRUE)-_xlfn.NORM.DIST(BU$30,$CU19,0.3*$CU19,TRUE))*summary!$C$7/28.8/0.947817+$CS19*(_xlfn.NORM.DIST(BU$3,$CV19,0.3*$CV19,TRUE)-_xlfn.NORM.DIST(BU$30,$CV19,0.3*$CV19,TRUE))*summary!$C$6/28.8/0.947817)/(SUMPRODUCT((economics!$AG$2:$AG$167=$B48)*(economics!$D$2:$D$167="whr")*economics!$AH$2:$AH$167*(_xlfn.NORM.DIST(BU$3,economics!$AK$2:$AK$167,economics!$AJ$2:$AJ$167,TRUE)-_xlfn.NORM.DIST(BU$30,economics!$AK$2:$AK$167,economics!$AJ$2:$AJ$167,TRUE)))+$CR19*(_xlfn.NORM.DIST(BU$3,$CU19,0.3*$CU19,TRUE)-_xlfn.NORM.DIST(BU$30,$CU19,0.3*$CU19,TRUE))+$CS19*(_xlfn.NORM.DIST(BU$3,$CV19,0.3*$CV19,TRUE)-_xlfn.NORM.DIST(BU$30,$CV19,0.3*$CV19,TRUE))),""),IF($C19&gt;0,summary!$C$10/28.8/0.947817,""))</f>
        <v/>
      </c>
      <c r="BV48">
        <f t="array" ref="BV48">IF($D19,IFERROR((SUMPRODUCT((economics!$AG$2:$AG$167=$B48)*(economics!$D$2:$D$167="whr")*economics!$AH$2:$AH$167*(_xlfn.NORM.DIST(BV$3,economics!$AK$2:$AK$167,economics!$AJ$2:$AJ$167,TRUE)-_xlfn.NORM.DIST(BV$30,economics!$AK$2:$AK$167,economics!$AJ$2:$AJ$167,TRUE))*economics!$AM$2:$AM$167)+$CR19*(_xlfn.NORM.DIST(BV$3,$CU19,0.3*$CU19,TRUE)-_xlfn.NORM.DIST(BV$30,$CU19,0.3*$CU19,TRUE))*summary!$C$7/28.8/0.947817+$CS19*(_xlfn.NORM.DIST(BV$3,$CV19,0.3*$CV19,TRUE)-_xlfn.NORM.DIST(BV$30,$CV19,0.3*$CV19,TRUE))*summary!$C$6/28.8/0.947817)/(SUMPRODUCT((economics!$AG$2:$AG$167=$B48)*(economics!$D$2:$D$167="whr")*economics!$AH$2:$AH$167*(_xlfn.NORM.DIST(BV$3,economics!$AK$2:$AK$167,economics!$AJ$2:$AJ$167,TRUE)-_xlfn.NORM.DIST(BV$30,economics!$AK$2:$AK$167,economics!$AJ$2:$AJ$167,TRUE)))+$CR19*(_xlfn.NORM.DIST(BV$3,$CU19,0.3*$CU19,TRUE)-_xlfn.NORM.DIST(BV$30,$CU19,0.3*$CU19,TRUE))+$CS19*(_xlfn.NORM.DIST(BV$3,$CV19,0.3*$CV19,TRUE)-_xlfn.NORM.DIST(BV$30,$CV19,0.3*$CV19,TRUE))),""),IF($C19&gt;0,summary!$C$10/28.8/0.947817,""))</f>
        <v/>
      </c>
      <c r="BW48">
        <f t="array" ref="BW48">IF($D19,IFERROR((SUMPRODUCT((economics!$AG$2:$AG$167=$B48)*(economics!$D$2:$D$167="whr")*economics!$AH$2:$AH$167*(_xlfn.NORM.DIST(BW$3,economics!$AK$2:$AK$167,economics!$AJ$2:$AJ$167,TRUE)-_xlfn.NORM.DIST(BW$30,economics!$AK$2:$AK$167,economics!$AJ$2:$AJ$167,TRUE))*economics!$AM$2:$AM$167)+$CR19*(_xlfn.NORM.DIST(BW$3,$CU19,0.3*$CU19,TRUE)-_xlfn.NORM.DIST(BW$30,$CU19,0.3*$CU19,TRUE))*summary!$C$7/28.8/0.947817+$CS19*(_xlfn.NORM.DIST(BW$3,$CV19,0.3*$CV19,TRUE)-_xlfn.NORM.DIST(BW$30,$CV19,0.3*$CV19,TRUE))*summary!$C$6/28.8/0.947817)/(SUMPRODUCT((economics!$AG$2:$AG$167=$B48)*(economics!$D$2:$D$167="whr")*economics!$AH$2:$AH$167*(_xlfn.NORM.DIST(BW$3,economics!$AK$2:$AK$167,economics!$AJ$2:$AJ$167,TRUE)-_xlfn.NORM.DIST(BW$30,economics!$AK$2:$AK$167,economics!$AJ$2:$AJ$167,TRUE)))+$CR19*(_xlfn.NORM.DIST(BW$3,$CU19,0.3*$CU19,TRUE)-_xlfn.NORM.DIST(BW$30,$CU19,0.3*$CU19,TRUE))+$CS19*(_xlfn.NORM.DIST(BW$3,$CV19,0.3*$CV19,TRUE)-_xlfn.NORM.DIST(BW$30,$CV19,0.3*$CV19,TRUE))),""),IF($C19&gt;0,summary!$C$10/28.8/0.947817,""))</f>
        <v/>
      </c>
      <c r="BX48">
        <f t="array" ref="BX48">IF($D19,IFERROR((SUMPRODUCT((economics!$AG$2:$AG$167=$B48)*(economics!$D$2:$D$167="whr")*economics!$AH$2:$AH$167*(_xlfn.NORM.DIST(BX$3,economics!$AK$2:$AK$167,economics!$AJ$2:$AJ$167,TRUE)-_xlfn.NORM.DIST(BX$30,economics!$AK$2:$AK$167,economics!$AJ$2:$AJ$167,TRUE))*economics!$AM$2:$AM$167)+$CR19*(_xlfn.NORM.DIST(BX$3,$CU19,0.3*$CU19,TRUE)-_xlfn.NORM.DIST(BX$30,$CU19,0.3*$CU19,TRUE))*summary!$C$7/28.8/0.947817+$CS19*(_xlfn.NORM.DIST(BX$3,$CV19,0.3*$CV19,TRUE)-_xlfn.NORM.DIST(BX$30,$CV19,0.3*$CV19,TRUE))*summary!$C$6/28.8/0.947817)/(SUMPRODUCT((economics!$AG$2:$AG$167=$B48)*(economics!$D$2:$D$167="whr")*economics!$AH$2:$AH$167*(_xlfn.NORM.DIST(BX$3,economics!$AK$2:$AK$167,economics!$AJ$2:$AJ$167,TRUE)-_xlfn.NORM.DIST(BX$30,economics!$AK$2:$AK$167,economics!$AJ$2:$AJ$167,TRUE)))+$CR19*(_xlfn.NORM.DIST(BX$3,$CU19,0.3*$CU19,TRUE)-_xlfn.NORM.DIST(BX$30,$CU19,0.3*$CU19,TRUE))+$CS19*(_xlfn.NORM.DIST(BX$3,$CV19,0.3*$CV19,TRUE)-_xlfn.NORM.DIST(BX$30,$CV19,0.3*$CV19,TRUE))),""),IF($C19&gt;0,summary!$C$10/28.8/0.947817,""))</f>
        <v/>
      </c>
      <c r="BY48">
        <f t="array" ref="BY48">IF($D19,IFERROR((SUMPRODUCT((economics!$AG$2:$AG$167=$B48)*(economics!$D$2:$D$167="whr")*economics!$AH$2:$AH$167*(_xlfn.NORM.DIST(BY$3,economics!$AK$2:$AK$167,economics!$AJ$2:$AJ$167,TRUE)-_xlfn.NORM.DIST(BY$30,economics!$AK$2:$AK$167,economics!$AJ$2:$AJ$167,TRUE))*economics!$AM$2:$AM$167)+$CR19*(_xlfn.NORM.DIST(BY$3,$CU19,0.3*$CU19,TRUE)-_xlfn.NORM.DIST(BY$30,$CU19,0.3*$CU19,TRUE))*summary!$C$7/28.8/0.947817+$CS19*(_xlfn.NORM.DIST(BY$3,$CV19,0.3*$CV19,TRUE)-_xlfn.NORM.DIST(BY$30,$CV19,0.3*$CV19,TRUE))*summary!$C$6/28.8/0.947817)/(SUMPRODUCT((economics!$AG$2:$AG$167=$B48)*(economics!$D$2:$D$167="whr")*economics!$AH$2:$AH$167*(_xlfn.NORM.DIST(BY$3,economics!$AK$2:$AK$167,economics!$AJ$2:$AJ$167,TRUE)-_xlfn.NORM.DIST(BY$30,economics!$AK$2:$AK$167,economics!$AJ$2:$AJ$167,TRUE)))+$CR19*(_xlfn.NORM.DIST(BY$3,$CU19,0.3*$CU19,TRUE)-_xlfn.NORM.DIST(BY$30,$CU19,0.3*$CU19,TRUE))+$CS19*(_xlfn.NORM.DIST(BY$3,$CV19,0.3*$CV19,TRUE)-_xlfn.NORM.DIST(BY$30,$CV19,0.3*$CV19,TRUE))),""),IF($C19&gt;0,summary!$C$10/28.8/0.947817,""))</f>
        <v/>
      </c>
      <c r="BZ48">
        <f t="array" ref="BZ48">IF($D19,IFERROR((SUMPRODUCT((economics!$AG$2:$AG$167=$B48)*(economics!$D$2:$D$167="whr")*economics!$AH$2:$AH$167*(_xlfn.NORM.DIST(BZ$3,economics!$AK$2:$AK$167,economics!$AJ$2:$AJ$167,TRUE)-_xlfn.NORM.DIST(BZ$30,economics!$AK$2:$AK$167,economics!$AJ$2:$AJ$167,TRUE))*economics!$AM$2:$AM$167)+$CR19*(_xlfn.NORM.DIST(BZ$3,$CU19,0.3*$CU19,TRUE)-_xlfn.NORM.DIST(BZ$30,$CU19,0.3*$CU19,TRUE))*summary!$C$7/28.8/0.947817+$CS19*(_xlfn.NORM.DIST(BZ$3,$CV19,0.3*$CV19,TRUE)-_xlfn.NORM.DIST(BZ$30,$CV19,0.3*$CV19,TRUE))*summary!$C$6/28.8/0.947817)/(SUMPRODUCT((economics!$AG$2:$AG$167=$B48)*(economics!$D$2:$D$167="whr")*economics!$AH$2:$AH$167*(_xlfn.NORM.DIST(BZ$3,economics!$AK$2:$AK$167,economics!$AJ$2:$AJ$167,TRUE)-_xlfn.NORM.DIST(BZ$30,economics!$AK$2:$AK$167,economics!$AJ$2:$AJ$167,TRUE)))+$CR19*(_xlfn.NORM.DIST(BZ$3,$CU19,0.3*$CU19,TRUE)-_xlfn.NORM.DIST(BZ$30,$CU19,0.3*$CU19,TRUE))+$CS19*(_xlfn.NORM.DIST(BZ$3,$CV19,0.3*$CV19,TRUE)-_xlfn.NORM.DIST(BZ$30,$CV19,0.3*$CV19,TRUE))),""),IF($C19&gt;0,summary!$C$10/28.8/0.947817,""))</f>
        <v/>
      </c>
      <c r="CA48">
        <f t="array" ref="CA48">IF($D19,IFERROR((SUMPRODUCT((economics!$AG$2:$AG$167=$B48)*(economics!$D$2:$D$167="whr")*economics!$AH$2:$AH$167*(_xlfn.NORM.DIST(CA$3,economics!$AK$2:$AK$167,economics!$AJ$2:$AJ$167,TRUE)-_xlfn.NORM.DIST(CA$30,economics!$AK$2:$AK$167,economics!$AJ$2:$AJ$167,TRUE))*economics!$AM$2:$AM$167)+$CR19*(_xlfn.NORM.DIST(CA$3,$CU19,0.3*$CU19,TRUE)-_xlfn.NORM.DIST(CA$30,$CU19,0.3*$CU19,TRUE))*summary!$C$7/28.8/0.947817+$CS19*(_xlfn.NORM.DIST(CA$3,$CV19,0.3*$CV19,TRUE)-_xlfn.NORM.DIST(CA$30,$CV19,0.3*$CV19,TRUE))*summary!$C$6/28.8/0.947817)/(SUMPRODUCT((economics!$AG$2:$AG$167=$B48)*(economics!$D$2:$D$167="whr")*economics!$AH$2:$AH$167*(_xlfn.NORM.DIST(CA$3,economics!$AK$2:$AK$167,economics!$AJ$2:$AJ$167,TRUE)-_xlfn.NORM.DIST(CA$30,economics!$AK$2:$AK$167,economics!$AJ$2:$AJ$167,TRUE)))+$CR19*(_xlfn.NORM.DIST(CA$3,$CU19,0.3*$CU19,TRUE)-_xlfn.NORM.DIST(CA$30,$CU19,0.3*$CU19,TRUE))+$CS19*(_xlfn.NORM.DIST(CA$3,$CV19,0.3*$CV19,TRUE)-_xlfn.NORM.DIST(CA$30,$CV19,0.3*$CV19,TRUE))),""),IF($C19&gt;0,summary!$C$10/28.8/0.947817,""))</f>
        <v/>
      </c>
      <c r="CB48">
        <f t="array" ref="CB48">IF($D19,IFERROR((SUMPRODUCT((economics!$AG$2:$AG$167=$B48)*(economics!$D$2:$D$167="whr")*economics!$AH$2:$AH$167*(_xlfn.NORM.DIST(CB$3,economics!$AK$2:$AK$167,economics!$AJ$2:$AJ$167,TRUE)-_xlfn.NORM.DIST(CB$30,economics!$AK$2:$AK$167,economics!$AJ$2:$AJ$167,TRUE))*economics!$AM$2:$AM$167)+$CR19*(_xlfn.NORM.DIST(CB$3,$CU19,0.3*$CU19,TRUE)-_xlfn.NORM.DIST(CB$30,$CU19,0.3*$CU19,TRUE))*summary!$C$7/28.8/0.947817+$CS19*(_xlfn.NORM.DIST(CB$3,$CV19,0.3*$CV19,TRUE)-_xlfn.NORM.DIST(CB$30,$CV19,0.3*$CV19,TRUE))*summary!$C$6/28.8/0.947817)/(SUMPRODUCT((economics!$AG$2:$AG$167=$B48)*(economics!$D$2:$D$167="whr")*economics!$AH$2:$AH$167*(_xlfn.NORM.DIST(CB$3,economics!$AK$2:$AK$167,economics!$AJ$2:$AJ$167,TRUE)-_xlfn.NORM.DIST(CB$30,economics!$AK$2:$AK$167,economics!$AJ$2:$AJ$167,TRUE)))+$CR19*(_xlfn.NORM.DIST(CB$3,$CU19,0.3*$CU19,TRUE)-_xlfn.NORM.DIST(CB$30,$CU19,0.3*$CU19,TRUE))+$CS19*(_xlfn.NORM.DIST(CB$3,$CV19,0.3*$CV19,TRUE)-_xlfn.NORM.DIST(CB$30,$CV19,0.3*$CV19,TRUE))),""),IF($C19&gt;0,summary!$C$10/28.8/0.947817,""))</f>
        <v/>
      </c>
      <c r="CC48">
        <f t="array" ref="CC48">IF($D19,IFERROR((SUMPRODUCT((economics!$AG$2:$AG$167=$B48)*(economics!$D$2:$D$167="whr")*economics!$AH$2:$AH$167*(_xlfn.NORM.DIST(CC$3,economics!$AK$2:$AK$167,economics!$AJ$2:$AJ$167,TRUE)-_xlfn.NORM.DIST(CC$30,economics!$AK$2:$AK$167,economics!$AJ$2:$AJ$167,TRUE))*economics!$AM$2:$AM$167)+$CR19*(_xlfn.NORM.DIST(CC$3,$CU19,0.3*$CU19,TRUE)-_xlfn.NORM.DIST(CC$30,$CU19,0.3*$CU19,TRUE))*summary!$C$7/28.8/0.947817+$CS19*(_xlfn.NORM.DIST(CC$3,$CV19,0.3*$CV19,TRUE)-_xlfn.NORM.DIST(CC$30,$CV19,0.3*$CV19,TRUE))*summary!$C$6/28.8/0.947817)/(SUMPRODUCT((economics!$AG$2:$AG$167=$B48)*(economics!$D$2:$D$167="whr")*economics!$AH$2:$AH$167*(_xlfn.NORM.DIST(CC$3,economics!$AK$2:$AK$167,economics!$AJ$2:$AJ$167,TRUE)-_xlfn.NORM.DIST(CC$30,economics!$AK$2:$AK$167,economics!$AJ$2:$AJ$167,TRUE)))+$CR19*(_xlfn.NORM.DIST(CC$3,$CU19,0.3*$CU19,TRUE)-_xlfn.NORM.DIST(CC$30,$CU19,0.3*$CU19,TRUE))+$CS19*(_xlfn.NORM.DIST(CC$3,$CV19,0.3*$CV19,TRUE)-_xlfn.NORM.DIST(CC$30,$CV19,0.3*$CV19,TRUE))),""),IF($C19&gt;0,summary!$C$10/28.8/0.947817,""))</f>
        <v/>
      </c>
      <c r="CD48">
        <f t="array" ref="CD48">IF($D19,IFERROR((SUMPRODUCT((economics!$AG$2:$AG$167=$B48)*(economics!$D$2:$D$167="whr")*economics!$AH$2:$AH$167*(_xlfn.NORM.DIST(CD$3,economics!$AK$2:$AK$167,economics!$AJ$2:$AJ$167,TRUE)-_xlfn.NORM.DIST(CD$30,economics!$AK$2:$AK$167,economics!$AJ$2:$AJ$167,TRUE))*economics!$AM$2:$AM$167)+$CR19*(_xlfn.NORM.DIST(CD$3,$CU19,0.3*$CU19,TRUE)-_xlfn.NORM.DIST(CD$30,$CU19,0.3*$CU19,TRUE))*summary!$C$7/28.8/0.947817+$CS19*(_xlfn.NORM.DIST(CD$3,$CV19,0.3*$CV19,TRUE)-_xlfn.NORM.DIST(CD$30,$CV19,0.3*$CV19,TRUE))*summary!$C$6/28.8/0.947817)/(SUMPRODUCT((economics!$AG$2:$AG$167=$B48)*(economics!$D$2:$D$167="whr")*economics!$AH$2:$AH$167*(_xlfn.NORM.DIST(CD$3,economics!$AK$2:$AK$167,economics!$AJ$2:$AJ$167,TRUE)-_xlfn.NORM.DIST(CD$30,economics!$AK$2:$AK$167,economics!$AJ$2:$AJ$167,TRUE)))+$CR19*(_xlfn.NORM.DIST(CD$3,$CU19,0.3*$CU19,TRUE)-_xlfn.NORM.DIST(CD$30,$CU19,0.3*$CU19,TRUE))+$CS19*(_xlfn.NORM.DIST(CD$3,$CV19,0.3*$CV19,TRUE)-_xlfn.NORM.DIST(CD$30,$CV19,0.3*$CV19,TRUE))),""),IF($C19&gt;0,summary!$C$10/28.8/0.947817,""))</f>
        <v/>
      </c>
      <c r="CE48">
        <f t="array" ref="CE48">IF($D19,IFERROR((SUMPRODUCT((economics!$AG$2:$AG$167=$B48)*(economics!$D$2:$D$167="whr")*economics!$AH$2:$AH$167*(_xlfn.NORM.DIST(CE$3,economics!$AK$2:$AK$167,economics!$AJ$2:$AJ$167,TRUE)-_xlfn.NORM.DIST(CE$30,economics!$AK$2:$AK$167,economics!$AJ$2:$AJ$167,TRUE))*economics!$AM$2:$AM$167)+$CR19*(_xlfn.NORM.DIST(CE$3,$CU19,0.3*$CU19,TRUE)-_xlfn.NORM.DIST(CE$30,$CU19,0.3*$CU19,TRUE))*summary!$C$7/28.8/0.947817+$CS19*(_xlfn.NORM.DIST(CE$3,$CV19,0.3*$CV19,TRUE)-_xlfn.NORM.DIST(CE$30,$CV19,0.3*$CV19,TRUE))*summary!$C$6/28.8/0.947817)/(SUMPRODUCT((economics!$AG$2:$AG$167=$B48)*(economics!$D$2:$D$167="whr")*economics!$AH$2:$AH$167*(_xlfn.NORM.DIST(CE$3,economics!$AK$2:$AK$167,economics!$AJ$2:$AJ$167,TRUE)-_xlfn.NORM.DIST(CE$30,economics!$AK$2:$AK$167,economics!$AJ$2:$AJ$167,TRUE)))+$CR19*(_xlfn.NORM.DIST(CE$3,$CU19,0.3*$CU19,TRUE)-_xlfn.NORM.DIST(CE$30,$CU19,0.3*$CU19,TRUE))+$CS19*(_xlfn.NORM.DIST(CE$3,$CV19,0.3*$CV19,TRUE)-_xlfn.NORM.DIST(CE$30,$CV19,0.3*$CV19,TRUE))),""),IF($C19&gt;0,summary!$C$10/28.8/0.947817,""))</f>
        <v/>
      </c>
      <c r="CF48">
        <f t="array" ref="CF48">IF($D19,IFERROR((SUMPRODUCT((economics!$AG$2:$AG$167=$B48)*(economics!$D$2:$D$167="whr")*economics!$AH$2:$AH$167*(_xlfn.NORM.DIST(CF$3,economics!$AK$2:$AK$167,economics!$AJ$2:$AJ$167,TRUE)-_xlfn.NORM.DIST(CF$30,economics!$AK$2:$AK$167,economics!$AJ$2:$AJ$167,TRUE))*economics!$AM$2:$AM$167)+$CR19*(_xlfn.NORM.DIST(CF$3,$CU19,0.3*$CU19,TRUE)-_xlfn.NORM.DIST(CF$30,$CU19,0.3*$CU19,TRUE))*summary!$C$7/28.8/0.947817+$CS19*(_xlfn.NORM.DIST(CF$3,$CV19,0.3*$CV19,TRUE)-_xlfn.NORM.DIST(CF$30,$CV19,0.3*$CV19,TRUE))*summary!$C$6/28.8/0.947817)/(SUMPRODUCT((economics!$AG$2:$AG$167=$B48)*(economics!$D$2:$D$167="whr")*economics!$AH$2:$AH$167*(_xlfn.NORM.DIST(CF$3,economics!$AK$2:$AK$167,economics!$AJ$2:$AJ$167,TRUE)-_xlfn.NORM.DIST(CF$30,economics!$AK$2:$AK$167,economics!$AJ$2:$AJ$167,TRUE)))+$CR19*(_xlfn.NORM.DIST(CF$3,$CU19,0.3*$CU19,TRUE)-_xlfn.NORM.DIST(CF$30,$CU19,0.3*$CU19,TRUE))+$CS19*(_xlfn.NORM.DIST(CF$3,$CV19,0.3*$CV19,TRUE)-_xlfn.NORM.DIST(CF$30,$CV19,0.3*$CV19,TRUE))),""),IF($C19&gt;0,summary!$C$10/28.8/0.947817,""))</f>
        <v/>
      </c>
      <c r="CG48">
        <f t="array" ref="CG48">IF($D19,IFERROR((SUMPRODUCT((economics!$AG$2:$AG$167=$B48)*(economics!$D$2:$D$167="whr")*economics!$AH$2:$AH$167*(_xlfn.NORM.DIST(CG$3,economics!$AK$2:$AK$167,economics!$AJ$2:$AJ$167,TRUE)-_xlfn.NORM.DIST(CG$30,economics!$AK$2:$AK$167,economics!$AJ$2:$AJ$167,TRUE))*economics!$AM$2:$AM$167)+$CR19*(_xlfn.NORM.DIST(CG$3,$CU19,0.3*$CU19,TRUE)-_xlfn.NORM.DIST(CG$30,$CU19,0.3*$CU19,TRUE))*summary!$C$7/28.8/0.947817+$CS19*(_xlfn.NORM.DIST(CG$3,$CV19,0.3*$CV19,TRUE)-_xlfn.NORM.DIST(CG$30,$CV19,0.3*$CV19,TRUE))*summary!$C$6/28.8/0.947817)/(SUMPRODUCT((economics!$AG$2:$AG$167=$B48)*(economics!$D$2:$D$167="whr")*economics!$AH$2:$AH$167*(_xlfn.NORM.DIST(CG$3,economics!$AK$2:$AK$167,economics!$AJ$2:$AJ$167,TRUE)-_xlfn.NORM.DIST(CG$30,economics!$AK$2:$AK$167,economics!$AJ$2:$AJ$167,TRUE)))+$CR19*(_xlfn.NORM.DIST(CG$3,$CU19,0.3*$CU19,TRUE)-_xlfn.NORM.DIST(CG$30,$CU19,0.3*$CU19,TRUE))+$CS19*(_xlfn.NORM.DIST(CG$3,$CV19,0.3*$CV19,TRUE)-_xlfn.NORM.DIST(CG$30,$CV19,0.3*$CV19,TRUE))),""),IF($C19&gt;0,summary!$C$10/28.8/0.947817,""))</f>
        <v/>
      </c>
      <c r="CH48">
        <f t="array" ref="CH48">IF($D19,IFERROR((SUMPRODUCT((economics!$AG$2:$AG$167=$B48)*(economics!$D$2:$D$167="whr")*economics!$AH$2:$AH$167*(_xlfn.NORM.DIST(CH$3,economics!$AK$2:$AK$167,economics!$AJ$2:$AJ$167,TRUE)-_xlfn.NORM.DIST(CH$30,economics!$AK$2:$AK$167,economics!$AJ$2:$AJ$167,TRUE))*economics!$AM$2:$AM$167)+$CR19*(_xlfn.NORM.DIST(CH$3,$CU19,0.3*$CU19,TRUE)-_xlfn.NORM.DIST(CH$30,$CU19,0.3*$CU19,TRUE))*summary!$C$7/28.8/0.947817+$CS19*(_xlfn.NORM.DIST(CH$3,$CV19,0.3*$CV19,TRUE)-_xlfn.NORM.DIST(CH$30,$CV19,0.3*$CV19,TRUE))*summary!$C$6/28.8/0.947817)/(SUMPRODUCT((economics!$AG$2:$AG$167=$B48)*(economics!$D$2:$D$167="whr")*economics!$AH$2:$AH$167*(_xlfn.NORM.DIST(CH$3,economics!$AK$2:$AK$167,economics!$AJ$2:$AJ$167,TRUE)-_xlfn.NORM.DIST(CH$30,economics!$AK$2:$AK$167,economics!$AJ$2:$AJ$167,TRUE)))+$CR19*(_xlfn.NORM.DIST(CH$3,$CU19,0.3*$CU19,TRUE)-_xlfn.NORM.DIST(CH$30,$CU19,0.3*$CU19,TRUE))+$CS19*(_xlfn.NORM.DIST(CH$3,$CV19,0.3*$CV19,TRUE)-_xlfn.NORM.DIST(CH$30,$CV19,0.3*$CV19,TRUE))),""),IF($C19&gt;0,summary!$C$10/28.8/0.947817,""))</f>
        <v/>
      </c>
    </row>
    <row r="49">
      <c r="A49">
        <f>A20</f>
        <v/>
      </c>
      <c r="B49">
        <f>B20</f>
        <v/>
      </c>
      <c r="E49">
        <f t="array" ref="E49">IF($D20,IFERROR((SUMPRODUCT((economics!$AG$2:$AG$167=$B49)*(economics!$D$2:$D$167="whr")*economics!$AH$2:$AH$167*(_xlfn.NORM.DIST(E$3,economics!$AK$2:$AK$167,economics!$AJ$2:$AJ$167,TRUE)-_xlfn.NORM.DIST(E$30,economics!$AK$2:$AK$167,economics!$AJ$2:$AJ$167,TRUE))*economics!$AM$2:$AM$167)+$CR20*(_xlfn.NORM.DIST(E$3,$CU20,0.3*$CU20,TRUE)-_xlfn.NORM.DIST(E$30,$CU20,0.3*$CU20,TRUE))*summary!$C$7/28.8/0.947817+$CS20*(_xlfn.NORM.DIST(E$3,$CV20,0.3*$CV20,TRUE)-_xlfn.NORM.DIST(E$30,$CV20,0.3*$CV20,TRUE))*summary!$C$6/28.8/0.947817)/(SUMPRODUCT((economics!$AG$2:$AG$167=$B49)*(economics!$D$2:$D$167="whr")*economics!$AH$2:$AH$167*(_xlfn.NORM.DIST(E$3,economics!$AK$2:$AK$167,economics!$AJ$2:$AJ$167,TRUE)-_xlfn.NORM.DIST(E$30,economics!$AK$2:$AK$167,economics!$AJ$2:$AJ$167,TRUE)))+$CR20*(_xlfn.NORM.DIST(E$3,$CU20,0.3*$CU20,TRUE)-_xlfn.NORM.DIST(E$30,$CU20,0.3*$CU20,TRUE))+$CS20*(_xlfn.NORM.DIST(E$3,$CV20,0.3*$CV20,TRUE)-_xlfn.NORM.DIST(E$30,$CV20,0.3*$CV20,TRUE))),""),IF($C20&gt;0,summary!$C$10/28.8/0.947817,""))</f>
        <v/>
      </c>
      <c r="F49">
        <f t="array" ref="F49">IF($D20,IFERROR((SUMPRODUCT((economics!$AG$2:$AG$167=$B49)*(economics!$D$2:$D$167="whr")*economics!$AH$2:$AH$167*(_xlfn.NORM.DIST(F$3,economics!$AK$2:$AK$167,economics!$AJ$2:$AJ$167,TRUE)-_xlfn.NORM.DIST(F$30,economics!$AK$2:$AK$167,economics!$AJ$2:$AJ$167,TRUE))*economics!$AM$2:$AM$167)+$CR20*(_xlfn.NORM.DIST(F$3,$CU20,0.3*$CU20,TRUE)-_xlfn.NORM.DIST(F$30,$CU20,0.3*$CU20,TRUE))*summary!$C$7/28.8/0.947817+$CS20*(_xlfn.NORM.DIST(F$3,$CV20,0.3*$CV20,TRUE)-_xlfn.NORM.DIST(F$30,$CV20,0.3*$CV20,TRUE))*summary!$C$6/28.8/0.947817)/(SUMPRODUCT((economics!$AG$2:$AG$167=$B49)*(economics!$D$2:$D$167="whr")*economics!$AH$2:$AH$167*(_xlfn.NORM.DIST(F$3,economics!$AK$2:$AK$167,economics!$AJ$2:$AJ$167,TRUE)-_xlfn.NORM.DIST(F$30,economics!$AK$2:$AK$167,economics!$AJ$2:$AJ$167,TRUE)))+$CR20*(_xlfn.NORM.DIST(F$3,$CU20,0.3*$CU20,TRUE)-_xlfn.NORM.DIST(F$30,$CU20,0.3*$CU20,TRUE))+$CS20*(_xlfn.NORM.DIST(F$3,$CV20,0.3*$CV20,TRUE)-_xlfn.NORM.DIST(F$30,$CV20,0.3*$CV20,TRUE))),""),IF($C20&gt;0,summary!$C$10/28.8/0.947817,""))</f>
        <v/>
      </c>
      <c r="G49">
        <f t="array" ref="G49">IF($D20,IFERROR((SUMPRODUCT((economics!$AG$2:$AG$167=$B49)*(economics!$D$2:$D$167="whr")*economics!$AH$2:$AH$167*(_xlfn.NORM.DIST(G$3,economics!$AK$2:$AK$167,economics!$AJ$2:$AJ$167,TRUE)-_xlfn.NORM.DIST(G$30,economics!$AK$2:$AK$167,economics!$AJ$2:$AJ$167,TRUE))*economics!$AM$2:$AM$167)+$CR20*(_xlfn.NORM.DIST(G$3,$CU20,0.3*$CU20,TRUE)-_xlfn.NORM.DIST(G$30,$CU20,0.3*$CU20,TRUE))*summary!$C$7/28.8/0.947817+$CS20*(_xlfn.NORM.DIST(G$3,$CV20,0.3*$CV20,TRUE)-_xlfn.NORM.DIST(G$30,$CV20,0.3*$CV20,TRUE))*summary!$C$6/28.8/0.947817)/(SUMPRODUCT((economics!$AG$2:$AG$167=$B49)*(economics!$D$2:$D$167="whr")*economics!$AH$2:$AH$167*(_xlfn.NORM.DIST(G$3,economics!$AK$2:$AK$167,economics!$AJ$2:$AJ$167,TRUE)-_xlfn.NORM.DIST(G$30,economics!$AK$2:$AK$167,economics!$AJ$2:$AJ$167,TRUE)))+$CR20*(_xlfn.NORM.DIST(G$3,$CU20,0.3*$CU20,TRUE)-_xlfn.NORM.DIST(G$30,$CU20,0.3*$CU20,TRUE))+$CS20*(_xlfn.NORM.DIST(G$3,$CV20,0.3*$CV20,TRUE)-_xlfn.NORM.DIST(G$30,$CV20,0.3*$CV20,TRUE))),""),IF($C20&gt;0,summary!$C$10/28.8/0.947817,""))</f>
        <v/>
      </c>
      <c r="H49">
        <f t="array" ref="H49">IF($D20,IFERROR((SUMPRODUCT((economics!$AG$2:$AG$167=$B49)*(economics!$D$2:$D$167="whr")*economics!$AH$2:$AH$167*(_xlfn.NORM.DIST(H$3,economics!$AK$2:$AK$167,economics!$AJ$2:$AJ$167,TRUE)-_xlfn.NORM.DIST(H$30,economics!$AK$2:$AK$167,economics!$AJ$2:$AJ$167,TRUE))*economics!$AM$2:$AM$167)+$CR20*(_xlfn.NORM.DIST(H$3,$CU20,0.3*$CU20,TRUE)-_xlfn.NORM.DIST(H$30,$CU20,0.3*$CU20,TRUE))*summary!$C$7/28.8/0.947817+$CS20*(_xlfn.NORM.DIST(H$3,$CV20,0.3*$CV20,TRUE)-_xlfn.NORM.DIST(H$30,$CV20,0.3*$CV20,TRUE))*summary!$C$6/28.8/0.947817)/(SUMPRODUCT((economics!$AG$2:$AG$167=$B49)*(economics!$D$2:$D$167="whr")*economics!$AH$2:$AH$167*(_xlfn.NORM.DIST(H$3,economics!$AK$2:$AK$167,economics!$AJ$2:$AJ$167,TRUE)-_xlfn.NORM.DIST(H$30,economics!$AK$2:$AK$167,economics!$AJ$2:$AJ$167,TRUE)))+$CR20*(_xlfn.NORM.DIST(H$3,$CU20,0.3*$CU20,TRUE)-_xlfn.NORM.DIST(H$30,$CU20,0.3*$CU20,TRUE))+$CS20*(_xlfn.NORM.DIST(H$3,$CV20,0.3*$CV20,TRUE)-_xlfn.NORM.DIST(H$30,$CV20,0.3*$CV20,TRUE))),""),IF($C20&gt;0,summary!$C$10/28.8/0.947817,""))</f>
        <v/>
      </c>
      <c r="I49">
        <f t="array" ref="I49">IF($D20,IFERROR((SUMPRODUCT((economics!$AG$2:$AG$167=$B49)*(economics!$D$2:$D$167="whr")*economics!$AH$2:$AH$167*(_xlfn.NORM.DIST(I$3,economics!$AK$2:$AK$167,economics!$AJ$2:$AJ$167,TRUE)-_xlfn.NORM.DIST(I$30,economics!$AK$2:$AK$167,economics!$AJ$2:$AJ$167,TRUE))*economics!$AM$2:$AM$167)+$CR20*(_xlfn.NORM.DIST(I$3,$CU20,0.3*$CU20,TRUE)-_xlfn.NORM.DIST(I$30,$CU20,0.3*$CU20,TRUE))*summary!$C$7/28.8/0.947817+$CS20*(_xlfn.NORM.DIST(I$3,$CV20,0.3*$CV20,TRUE)-_xlfn.NORM.DIST(I$30,$CV20,0.3*$CV20,TRUE))*summary!$C$6/28.8/0.947817)/(SUMPRODUCT((economics!$AG$2:$AG$167=$B49)*(economics!$D$2:$D$167="whr")*economics!$AH$2:$AH$167*(_xlfn.NORM.DIST(I$3,economics!$AK$2:$AK$167,economics!$AJ$2:$AJ$167,TRUE)-_xlfn.NORM.DIST(I$30,economics!$AK$2:$AK$167,economics!$AJ$2:$AJ$167,TRUE)))+$CR20*(_xlfn.NORM.DIST(I$3,$CU20,0.3*$CU20,TRUE)-_xlfn.NORM.DIST(I$30,$CU20,0.3*$CU20,TRUE))+$CS20*(_xlfn.NORM.DIST(I$3,$CV20,0.3*$CV20,TRUE)-_xlfn.NORM.DIST(I$30,$CV20,0.3*$CV20,TRUE))),""),IF($C20&gt;0,summary!$C$10/28.8/0.947817,""))</f>
        <v/>
      </c>
      <c r="J49">
        <f t="array" ref="J49">IF($D20,IFERROR((SUMPRODUCT((economics!$AG$2:$AG$167=$B49)*(economics!$D$2:$D$167="whr")*economics!$AH$2:$AH$167*(_xlfn.NORM.DIST(J$3,economics!$AK$2:$AK$167,economics!$AJ$2:$AJ$167,TRUE)-_xlfn.NORM.DIST(J$30,economics!$AK$2:$AK$167,economics!$AJ$2:$AJ$167,TRUE))*economics!$AM$2:$AM$167)+$CR20*(_xlfn.NORM.DIST(J$3,$CU20,0.3*$CU20,TRUE)-_xlfn.NORM.DIST(J$30,$CU20,0.3*$CU20,TRUE))*summary!$C$7/28.8/0.947817+$CS20*(_xlfn.NORM.DIST(J$3,$CV20,0.3*$CV20,TRUE)-_xlfn.NORM.DIST(J$30,$CV20,0.3*$CV20,TRUE))*summary!$C$6/28.8/0.947817)/(SUMPRODUCT((economics!$AG$2:$AG$167=$B49)*(economics!$D$2:$D$167="whr")*economics!$AH$2:$AH$167*(_xlfn.NORM.DIST(J$3,economics!$AK$2:$AK$167,economics!$AJ$2:$AJ$167,TRUE)-_xlfn.NORM.DIST(J$30,economics!$AK$2:$AK$167,economics!$AJ$2:$AJ$167,TRUE)))+$CR20*(_xlfn.NORM.DIST(J$3,$CU20,0.3*$CU20,TRUE)-_xlfn.NORM.DIST(J$30,$CU20,0.3*$CU20,TRUE))+$CS20*(_xlfn.NORM.DIST(J$3,$CV20,0.3*$CV20,TRUE)-_xlfn.NORM.DIST(J$30,$CV20,0.3*$CV20,TRUE))),""),IF($C20&gt;0,summary!$C$10/28.8/0.947817,""))</f>
        <v/>
      </c>
      <c r="K49">
        <f t="array" ref="K49">IF($D20,IFERROR((SUMPRODUCT((economics!$AG$2:$AG$167=$B49)*(economics!$D$2:$D$167="whr")*economics!$AH$2:$AH$167*(_xlfn.NORM.DIST(K$3,economics!$AK$2:$AK$167,economics!$AJ$2:$AJ$167,TRUE)-_xlfn.NORM.DIST(K$30,economics!$AK$2:$AK$167,economics!$AJ$2:$AJ$167,TRUE))*economics!$AM$2:$AM$167)+$CR20*(_xlfn.NORM.DIST(K$3,$CU20,0.3*$CU20,TRUE)-_xlfn.NORM.DIST(K$30,$CU20,0.3*$CU20,TRUE))*summary!$C$7/28.8/0.947817+$CS20*(_xlfn.NORM.DIST(K$3,$CV20,0.3*$CV20,TRUE)-_xlfn.NORM.DIST(K$30,$CV20,0.3*$CV20,TRUE))*summary!$C$6/28.8/0.947817)/(SUMPRODUCT((economics!$AG$2:$AG$167=$B49)*(economics!$D$2:$D$167="whr")*economics!$AH$2:$AH$167*(_xlfn.NORM.DIST(K$3,economics!$AK$2:$AK$167,economics!$AJ$2:$AJ$167,TRUE)-_xlfn.NORM.DIST(K$30,economics!$AK$2:$AK$167,economics!$AJ$2:$AJ$167,TRUE)))+$CR20*(_xlfn.NORM.DIST(K$3,$CU20,0.3*$CU20,TRUE)-_xlfn.NORM.DIST(K$30,$CU20,0.3*$CU20,TRUE))+$CS20*(_xlfn.NORM.DIST(K$3,$CV20,0.3*$CV20,TRUE)-_xlfn.NORM.DIST(K$30,$CV20,0.3*$CV20,TRUE))),""),IF($C20&gt;0,summary!$C$10/28.8/0.947817,""))</f>
        <v/>
      </c>
      <c r="L49">
        <f t="array" ref="L49">IF($D20,IFERROR((SUMPRODUCT((economics!$AG$2:$AG$167=$B49)*(economics!$D$2:$D$167="whr")*economics!$AH$2:$AH$167*(_xlfn.NORM.DIST(L$3,economics!$AK$2:$AK$167,economics!$AJ$2:$AJ$167,TRUE)-_xlfn.NORM.DIST(L$30,economics!$AK$2:$AK$167,economics!$AJ$2:$AJ$167,TRUE))*economics!$AM$2:$AM$167)+$CR20*(_xlfn.NORM.DIST(L$3,$CU20,0.3*$CU20,TRUE)-_xlfn.NORM.DIST(L$30,$CU20,0.3*$CU20,TRUE))*summary!$C$7/28.8/0.947817+$CS20*(_xlfn.NORM.DIST(L$3,$CV20,0.3*$CV20,TRUE)-_xlfn.NORM.DIST(L$30,$CV20,0.3*$CV20,TRUE))*summary!$C$6/28.8/0.947817)/(SUMPRODUCT((economics!$AG$2:$AG$167=$B49)*(economics!$D$2:$D$167="whr")*economics!$AH$2:$AH$167*(_xlfn.NORM.DIST(L$3,economics!$AK$2:$AK$167,economics!$AJ$2:$AJ$167,TRUE)-_xlfn.NORM.DIST(L$30,economics!$AK$2:$AK$167,economics!$AJ$2:$AJ$167,TRUE)))+$CR20*(_xlfn.NORM.DIST(L$3,$CU20,0.3*$CU20,TRUE)-_xlfn.NORM.DIST(L$30,$CU20,0.3*$CU20,TRUE))+$CS20*(_xlfn.NORM.DIST(L$3,$CV20,0.3*$CV20,TRUE)-_xlfn.NORM.DIST(L$30,$CV20,0.3*$CV20,TRUE))),""),IF($C20&gt;0,summary!$C$10/28.8/0.947817,""))</f>
        <v/>
      </c>
      <c r="M49">
        <f t="array" ref="M49">IF($D20,IFERROR((SUMPRODUCT((economics!$AG$2:$AG$167=$B49)*(economics!$D$2:$D$167="whr")*economics!$AH$2:$AH$167*(_xlfn.NORM.DIST(M$3,economics!$AK$2:$AK$167,economics!$AJ$2:$AJ$167,TRUE)-_xlfn.NORM.DIST(M$30,economics!$AK$2:$AK$167,economics!$AJ$2:$AJ$167,TRUE))*economics!$AM$2:$AM$167)+$CR20*(_xlfn.NORM.DIST(M$3,$CU20,0.3*$CU20,TRUE)-_xlfn.NORM.DIST(M$30,$CU20,0.3*$CU20,TRUE))*summary!$C$7/28.8/0.947817+$CS20*(_xlfn.NORM.DIST(M$3,$CV20,0.3*$CV20,TRUE)-_xlfn.NORM.DIST(M$30,$CV20,0.3*$CV20,TRUE))*summary!$C$6/28.8/0.947817)/(SUMPRODUCT((economics!$AG$2:$AG$167=$B49)*(economics!$D$2:$D$167="whr")*economics!$AH$2:$AH$167*(_xlfn.NORM.DIST(M$3,economics!$AK$2:$AK$167,economics!$AJ$2:$AJ$167,TRUE)-_xlfn.NORM.DIST(M$30,economics!$AK$2:$AK$167,economics!$AJ$2:$AJ$167,TRUE)))+$CR20*(_xlfn.NORM.DIST(M$3,$CU20,0.3*$CU20,TRUE)-_xlfn.NORM.DIST(M$30,$CU20,0.3*$CU20,TRUE))+$CS20*(_xlfn.NORM.DIST(M$3,$CV20,0.3*$CV20,TRUE)-_xlfn.NORM.DIST(M$30,$CV20,0.3*$CV20,TRUE))),""),IF($C20&gt;0,summary!$C$10/28.8/0.947817,""))</f>
        <v/>
      </c>
      <c r="N49">
        <f t="array" ref="N49">IF($D20,IFERROR((SUMPRODUCT((economics!$AG$2:$AG$167=$B49)*(economics!$D$2:$D$167="whr")*economics!$AH$2:$AH$167*(_xlfn.NORM.DIST(N$3,economics!$AK$2:$AK$167,economics!$AJ$2:$AJ$167,TRUE)-_xlfn.NORM.DIST(N$30,economics!$AK$2:$AK$167,economics!$AJ$2:$AJ$167,TRUE))*economics!$AM$2:$AM$167)+$CR20*(_xlfn.NORM.DIST(N$3,$CU20,0.3*$CU20,TRUE)-_xlfn.NORM.DIST(N$30,$CU20,0.3*$CU20,TRUE))*summary!$C$7/28.8/0.947817+$CS20*(_xlfn.NORM.DIST(N$3,$CV20,0.3*$CV20,TRUE)-_xlfn.NORM.DIST(N$30,$CV20,0.3*$CV20,TRUE))*summary!$C$6/28.8/0.947817)/(SUMPRODUCT((economics!$AG$2:$AG$167=$B49)*(economics!$D$2:$D$167="whr")*economics!$AH$2:$AH$167*(_xlfn.NORM.DIST(N$3,economics!$AK$2:$AK$167,economics!$AJ$2:$AJ$167,TRUE)-_xlfn.NORM.DIST(N$30,economics!$AK$2:$AK$167,economics!$AJ$2:$AJ$167,TRUE)))+$CR20*(_xlfn.NORM.DIST(N$3,$CU20,0.3*$CU20,TRUE)-_xlfn.NORM.DIST(N$30,$CU20,0.3*$CU20,TRUE))+$CS20*(_xlfn.NORM.DIST(N$3,$CV20,0.3*$CV20,TRUE)-_xlfn.NORM.DIST(N$30,$CV20,0.3*$CV20,TRUE))),""),IF($C20&gt;0,summary!$C$10/28.8/0.947817,""))</f>
        <v/>
      </c>
      <c r="O49">
        <f t="array" ref="O49">IF($D20,IFERROR((SUMPRODUCT((economics!$AG$2:$AG$167=$B49)*(economics!$D$2:$D$167="whr")*economics!$AH$2:$AH$167*(_xlfn.NORM.DIST(O$3,economics!$AK$2:$AK$167,economics!$AJ$2:$AJ$167,TRUE)-_xlfn.NORM.DIST(O$30,economics!$AK$2:$AK$167,economics!$AJ$2:$AJ$167,TRUE))*economics!$AM$2:$AM$167)+$CR20*(_xlfn.NORM.DIST(O$3,$CU20,0.3*$CU20,TRUE)-_xlfn.NORM.DIST(O$30,$CU20,0.3*$CU20,TRUE))*summary!$C$7/28.8/0.947817+$CS20*(_xlfn.NORM.DIST(O$3,$CV20,0.3*$CV20,TRUE)-_xlfn.NORM.DIST(O$30,$CV20,0.3*$CV20,TRUE))*summary!$C$6/28.8/0.947817)/(SUMPRODUCT((economics!$AG$2:$AG$167=$B49)*(economics!$D$2:$D$167="whr")*economics!$AH$2:$AH$167*(_xlfn.NORM.DIST(O$3,economics!$AK$2:$AK$167,economics!$AJ$2:$AJ$167,TRUE)-_xlfn.NORM.DIST(O$30,economics!$AK$2:$AK$167,economics!$AJ$2:$AJ$167,TRUE)))+$CR20*(_xlfn.NORM.DIST(O$3,$CU20,0.3*$CU20,TRUE)-_xlfn.NORM.DIST(O$30,$CU20,0.3*$CU20,TRUE))+$CS20*(_xlfn.NORM.DIST(O$3,$CV20,0.3*$CV20,TRUE)-_xlfn.NORM.DIST(O$30,$CV20,0.3*$CV20,TRUE))),""),IF($C20&gt;0,summary!$C$10/28.8/0.947817,""))</f>
        <v/>
      </c>
      <c r="P49">
        <f t="array" ref="P49">IF($D20,IFERROR((SUMPRODUCT((economics!$AG$2:$AG$167=$B49)*(economics!$D$2:$D$167="whr")*economics!$AH$2:$AH$167*(_xlfn.NORM.DIST(P$3,economics!$AK$2:$AK$167,economics!$AJ$2:$AJ$167,TRUE)-_xlfn.NORM.DIST(P$30,economics!$AK$2:$AK$167,economics!$AJ$2:$AJ$167,TRUE))*economics!$AM$2:$AM$167)+$CR20*(_xlfn.NORM.DIST(P$3,$CU20,0.3*$CU20,TRUE)-_xlfn.NORM.DIST(P$30,$CU20,0.3*$CU20,TRUE))*summary!$C$7/28.8/0.947817+$CS20*(_xlfn.NORM.DIST(P$3,$CV20,0.3*$CV20,TRUE)-_xlfn.NORM.DIST(P$30,$CV20,0.3*$CV20,TRUE))*summary!$C$6/28.8/0.947817)/(SUMPRODUCT((economics!$AG$2:$AG$167=$B49)*(economics!$D$2:$D$167="whr")*economics!$AH$2:$AH$167*(_xlfn.NORM.DIST(P$3,economics!$AK$2:$AK$167,economics!$AJ$2:$AJ$167,TRUE)-_xlfn.NORM.DIST(P$30,economics!$AK$2:$AK$167,economics!$AJ$2:$AJ$167,TRUE)))+$CR20*(_xlfn.NORM.DIST(P$3,$CU20,0.3*$CU20,TRUE)-_xlfn.NORM.DIST(P$30,$CU20,0.3*$CU20,TRUE))+$CS20*(_xlfn.NORM.DIST(P$3,$CV20,0.3*$CV20,TRUE)-_xlfn.NORM.DIST(P$30,$CV20,0.3*$CV20,TRUE))),""),IF($C20&gt;0,summary!$C$10/28.8/0.947817,""))</f>
        <v/>
      </c>
      <c r="Q49">
        <f t="array" ref="Q49">IF($D20,IFERROR((SUMPRODUCT((economics!$AG$2:$AG$167=$B49)*(economics!$D$2:$D$167="whr")*economics!$AH$2:$AH$167*(_xlfn.NORM.DIST(Q$3,economics!$AK$2:$AK$167,economics!$AJ$2:$AJ$167,TRUE)-_xlfn.NORM.DIST(Q$30,economics!$AK$2:$AK$167,economics!$AJ$2:$AJ$167,TRUE))*economics!$AM$2:$AM$167)+$CR20*(_xlfn.NORM.DIST(Q$3,$CU20,0.3*$CU20,TRUE)-_xlfn.NORM.DIST(Q$30,$CU20,0.3*$CU20,TRUE))*summary!$C$7/28.8/0.947817+$CS20*(_xlfn.NORM.DIST(Q$3,$CV20,0.3*$CV20,TRUE)-_xlfn.NORM.DIST(Q$30,$CV20,0.3*$CV20,TRUE))*summary!$C$6/28.8/0.947817)/(SUMPRODUCT((economics!$AG$2:$AG$167=$B49)*(economics!$D$2:$D$167="whr")*economics!$AH$2:$AH$167*(_xlfn.NORM.DIST(Q$3,economics!$AK$2:$AK$167,economics!$AJ$2:$AJ$167,TRUE)-_xlfn.NORM.DIST(Q$30,economics!$AK$2:$AK$167,economics!$AJ$2:$AJ$167,TRUE)))+$CR20*(_xlfn.NORM.DIST(Q$3,$CU20,0.3*$CU20,TRUE)-_xlfn.NORM.DIST(Q$30,$CU20,0.3*$CU20,TRUE))+$CS20*(_xlfn.NORM.DIST(Q$3,$CV20,0.3*$CV20,TRUE)-_xlfn.NORM.DIST(Q$30,$CV20,0.3*$CV20,TRUE))),""),IF($C20&gt;0,summary!$C$10/28.8/0.947817,""))</f>
        <v/>
      </c>
      <c r="R49">
        <f t="array" ref="R49">IF($D20,IFERROR((SUMPRODUCT((economics!$AG$2:$AG$167=$B49)*(economics!$D$2:$D$167="whr")*economics!$AH$2:$AH$167*(_xlfn.NORM.DIST(R$3,economics!$AK$2:$AK$167,economics!$AJ$2:$AJ$167,TRUE)-_xlfn.NORM.DIST(R$30,economics!$AK$2:$AK$167,economics!$AJ$2:$AJ$167,TRUE))*economics!$AM$2:$AM$167)+$CR20*(_xlfn.NORM.DIST(R$3,$CU20,0.3*$CU20,TRUE)-_xlfn.NORM.DIST(R$30,$CU20,0.3*$CU20,TRUE))*summary!$C$7/28.8/0.947817+$CS20*(_xlfn.NORM.DIST(R$3,$CV20,0.3*$CV20,TRUE)-_xlfn.NORM.DIST(R$30,$CV20,0.3*$CV20,TRUE))*summary!$C$6/28.8/0.947817)/(SUMPRODUCT((economics!$AG$2:$AG$167=$B49)*(economics!$D$2:$D$167="whr")*economics!$AH$2:$AH$167*(_xlfn.NORM.DIST(R$3,economics!$AK$2:$AK$167,economics!$AJ$2:$AJ$167,TRUE)-_xlfn.NORM.DIST(R$30,economics!$AK$2:$AK$167,economics!$AJ$2:$AJ$167,TRUE)))+$CR20*(_xlfn.NORM.DIST(R$3,$CU20,0.3*$CU20,TRUE)-_xlfn.NORM.DIST(R$30,$CU20,0.3*$CU20,TRUE))+$CS20*(_xlfn.NORM.DIST(R$3,$CV20,0.3*$CV20,TRUE)-_xlfn.NORM.DIST(R$30,$CV20,0.3*$CV20,TRUE))),""),IF($C20&gt;0,summary!$C$10/28.8/0.947817,""))</f>
        <v/>
      </c>
      <c r="S49">
        <f t="array" ref="S49">IF($D20,IFERROR((SUMPRODUCT((economics!$AG$2:$AG$167=$B49)*(economics!$D$2:$D$167="whr")*economics!$AH$2:$AH$167*(_xlfn.NORM.DIST(S$3,economics!$AK$2:$AK$167,economics!$AJ$2:$AJ$167,TRUE)-_xlfn.NORM.DIST(S$30,economics!$AK$2:$AK$167,economics!$AJ$2:$AJ$167,TRUE))*economics!$AM$2:$AM$167)+$CR20*(_xlfn.NORM.DIST(S$3,$CU20,0.3*$CU20,TRUE)-_xlfn.NORM.DIST(S$30,$CU20,0.3*$CU20,TRUE))*summary!$C$7/28.8/0.947817+$CS20*(_xlfn.NORM.DIST(S$3,$CV20,0.3*$CV20,TRUE)-_xlfn.NORM.DIST(S$30,$CV20,0.3*$CV20,TRUE))*summary!$C$6/28.8/0.947817)/(SUMPRODUCT((economics!$AG$2:$AG$167=$B49)*(economics!$D$2:$D$167="whr")*economics!$AH$2:$AH$167*(_xlfn.NORM.DIST(S$3,economics!$AK$2:$AK$167,economics!$AJ$2:$AJ$167,TRUE)-_xlfn.NORM.DIST(S$30,economics!$AK$2:$AK$167,economics!$AJ$2:$AJ$167,TRUE)))+$CR20*(_xlfn.NORM.DIST(S$3,$CU20,0.3*$CU20,TRUE)-_xlfn.NORM.DIST(S$30,$CU20,0.3*$CU20,TRUE))+$CS20*(_xlfn.NORM.DIST(S$3,$CV20,0.3*$CV20,TRUE)-_xlfn.NORM.DIST(S$30,$CV20,0.3*$CV20,TRUE))),""),IF($C20&gt;0,summary!$C$10/28.8/0.947817,""))</f>
        <v/>
      </c>
      <c r="T49">
        <f t="array" ref="T49">IF($D20,IFERROR((SUMPRODUCT((economics!$AG$2:$AG$167=$B49)*(economics!$D$2:$D$167="whr")*economics!$AH$2:$AH$167*(_xlfn.NORM.DIST(T$3,economics!$AK$2:$AK$167,economics!$AJ$2:$AJ$167,TRUE)-_xlfn.NORM.DIST(T$30,economics!$AK$2:$AK$167,economics!$AJ$2:$AJ$167,TRUE))*economics!$AM$2:$AM$167)+$CR20*(_xlfn.NORM.DIST(T$3,$CU20,0.3*$CU20,TRUE)-_xlfn.NORM.DIST(T$30,$CU20,0.3*$CU20,TRUE))*summary!$C$7/28.8/0.947817+$CS20*(_xlfn.NORM.DIST(T$3,$CV20,0.3*$CV20,TRUE)-_xlfn.NORM.DIST(T$30,$CV20,0.3*$CV20,TRUE))*summary!$C$6/28.8/0.947817)/(SUMPRODUCT((economics!$AG$2:$AG$167=$B49)*(economics!$D$2:$D$167="whr")*economics!$AH$2:$AH$167*(_xlfn.NORM.DIST(T$3,economics!$AK$2:$AK$167,economics!$AJ$2:$AJ$167,TRUE)-_xlfn.NORM.DIST(T$30,economics!$AK$2:$AK$167,economics!$AJ$2:$AJ$167,TRUE)))+$CR20*(_xlfn.NORM.DIST(T$3,$CU20,0.3*$CU20,TRUE)-_xlfn.NORM.DIST(T$30,$CU20,0.3*$CU20,TRUE))+$CS20*(_xlfn.NORM.DIST(T$3,$CV20,0.3*$CV20,TRUE)-_xlfn.NORM.DIST(T$30,$CV20,0.3*$CV20,TRUE))),""),IF($C20&gt;0,summary!$C$10/28.8/0.947817,""))</f>
        <v/>
      </c>
      <c r="U49">
        <f t="array" ref="U49">IF($D20,IFERROR((SUMPRODUCT((economics!$AG$2:$AG$167=$B49)*(economics!$D$2:$D$167="whr")*economics!$AH$2:$AH$167*(_xlfn.NORM.DIST(U$3,economics!$AK$2:$AK$167,economics!$AJ$2:$AJ$167,TRUE)-_xlfn.NORM.DIST(U$30,economics!$AK$2:$AK$167,economics!$AJ$2:$AJ$167,TRUE))*economics!$AM$2:$AM$167)+$CR20*(_xlfn.NORM.DIST(U$3,$CU20,0.3*$CU20,TRUE)-_xlfn.NORM.DIST(U$30,$CU20,0.3*$CU20,TRUE))*summary!$C$7/28.8/0.947817+$CS20*(_xlfn.NORM.DIST(U$3,$CV20,0.3*$CV20,TRUE)-_xlfn.NORM.DIST(U$30,$CV20,0.3*$CV20,TRUE))*summary!$C$6/28.8/0.947817)/(SUMPRODUCT((economics!$AG$2:$AG$167=$B49)*(economics!$D$2:$D$167="whr")*economics!$AH$2:$AH$167*(_xlfn.NORM.DIST(U$3,economics!$AK$2:$AK$167,economics!$AJ$2:$AJ$167,TRUE)-_xlfn.NORM.DIST(U$30,economics!$AK$2:$AK$167,economics!$AJ$2:$AJ$167,TRUE)))+$CR20*(_xlfn.NORM.DIST(U$3,$CU20,0.3*$CU20,TRUE)-_xlfn.NORM.DIST(U$30,$CU20,0.3*$CU20,TRUE))+$CS20*(_xlfn.NORM.DIST(U$3,$CV20,0.3*$CV20,TRUE)-_xlfn.NORM.DIST(U$30,$CV20,0.3*$CV20,TRUE))),""),IF($C20&gt;0,summary!$C$10/28.8/0.947817,""))</f>
        <v/>
      </c>
      <c r="V49">
        <f t="array" ref="V49">IF($D20,IFERROR((SUMPRODUCT((economics!$AG$2:$AG$167=$B49)*(economics!$D$2:$D$167="whr")*economics!$AH$2:$AH$167*(_xlfn.NORM.DIST(V$3,economics!$AK$2:$AK$167,economics!$AJ$2:$AJ$167,TRUE)-_xlfn.NORM.DIST(V$30,economics!$AK$2:$AK$167,economics!$AJ$2:$AJ$167,TRUE))*economics!$AM$2:$AM$167)+$CR20*(_xlfn.NORM.DIST(V$3,$CU20,0.3*$CU20,TRUE)-_xlfn.NORM.DIST(V$30,$CU20,0.3*$CU20,TRUE))*summary!$C$7/28.8/0.947817+$CS20*(_xlfn.NORM.DIST(V$3,$CV20,0.3*$CV20,TRUE)-_xlfn.NORM.DIST(V$30,$CV20,0.3*$CV20,TRUE))*summary!$C$6/28.8/0.947817)/(SUMPRODUCT((economics!$AG$2:$AG$167=$B49)*(economics!$D$2:$D$167="whr")*economics!$AH$2:$AH$167*(_xlfn.NORM.DIST(V$3,economics!$AK$2:$AK$167,economics!$AJ$2:$AJ$167,TRUE)-_xlfn.NORM.DIST(V$30,economics!$AK$2:$AK$167,economics!$AJ$2:$AJ$167,TRUE)))+$CR20*(_xlfn.NORM.DIST(V$3,$CU20,0.3*$CU20,TRUE)-_xlfn.NORM.DIST(V$30,$CU20,0.3*$CU20,TRUE))+$CS20*(_xlfn.NORM.DIST(V$3,$CV20,0.3*$CV20,TRUE)-_xlfn.NORM.DIST(V$30,$CV20,0.3*$CV20,TRUE))),""),IF($C20&gt;0,summary!$C$10/28.8/0.947817,""))</f>
        <v/>
      </c>
      <c r="W49">
        <f t="array" ref="W49">IF($D20,IFERROR((SUMPRODUCT((economics!$AG$2:$AG$167=$B49)*(economics!$D$2:$D$167="whr")*economics!$AH$2:$AH$167*(_xlfn.NORM.DIST(W$3,economics!$AK$2:$AK$167,economics!$AJ$2:$AJ$167,TRUE)-_xlfn.NORM.DIST(W$30,economics!$AK$2:$AK$167,economics!$AJ$2:$AJ$167,TRUE))*economics!$AM$2:$AM$167)+$CR20*(_xlfn.NORM.DIST(W$3,$CU20,0.3*$CU20,TRUE)-_xlfn.NORM.DIST(W$30,$CU20,0.3*$CU20,TRUE))*summary!$C$7/28.8/0.947817+$CS20*(_xlfn.NORM.DIST(W$3,$CV20,0.3*$CV20,TRUE)-_xlfn.NORM.DIST(W$30,$CV20,0.3*$CV20,TRUE))*summary!$C$6/28.8/0.947817)/(SUMPRODUCT((economics!$AG$2:$AG$167=$B49)*(economics!$D$2:$D$167="whr")*economics!$AH$2:$AH$167*(_xlfn.NORM.DIST(W$3,economics!$AK$2:$AK$167,economics!$AJ$2:$AJ$167,TRUE)-_xlfn.NORM.DIST(W$30,economics!$AK$2:$AK$167,economics!$AJ$2:$AJ$167,TRUE)))+$CR20*(_xlfn.NORM.DIST(W$3,$CU20,0.3*$CU20,TRUE)-_xlfn.NORM.DIST(W$30,$CU20,0.3*$CU20,TRUE))+$CS20*(_xlfn.NORM.DIST(W$3,$CV20,0.3*$CV20,TRUE)-_xlfn.NORM.DIST(W$30,$CV20,0.3*$CV20,TRUE))),""),IF($C20&gt;0,summary!$C$10/28.8/0.947817,""))</f>
        <v/>
      </c>
      <c r="X49">
        <f t="array" ref="X49">IF($D20,IFERROR((SUMPRODUCT((economics!$AG$2:$AG$167=$B49)*(economics!$D$2:$D$167="whr")*economics!$AH$2:$AH$167*(_xlfn.NORM.DIST(X$3,economics!$AK$2:$AK$167,economics!$AJ$2:$AJ$167,TRUE)-_xlfn.NORM.DIST(X$30,economics!$AK$2:$AK$167,economics!$AJ$2:$AJ$167,TRUE))*economics!$AM$2:$AM$167)+$CR20*(_xlfn.NORM.DIST(X$3,$CU20,0.3*$CU20,TRUE)-_xlfn.NORM.DIST(X$30,$CU20,0.3*$CU20,TRUE))*summary!$C$7/28.8/0.947817+$CS20*(_xlfn.NORM.DIST(X$3,$CV20,0.3*$CV20,TRUE)-_xlfn.NORM.DIST(X$30,$CV20,0.3*$CV20,TRUE))*summary!$C$6/28.8/0.947817)/(SUMPRODUCT((economics!$AG$2:$AG$167=$B49)*(economics!$D$2:$D$167="whr")*economics!$AH$2:$AH$167*(_xlfn.NORM.DIST(X$3,economics!$AK$2:$AK$167,economics!$AJ$2:$AJ$167,TRUE)-_xlfn.NORM.DIST(X$30,economics!$AK$2:$AK$167,economics!$AJ$2:$AJ$167,TRUE)))+$CR20*(_xlfn.NORM.DIST(X$3,$CU20,0.3*$CU20,TRUE)-_xlfn.NORM.DIST(X$30,$CU20,0.3*$CU20,TRUE))+$CS20*(_xlfn.NORM.DIST(X$3,$CV20,0.3*$CV20,TRUE)-_xlfn.NORM.DIST(X$30,$CV20,0.3*$CV20,TRUE))),""),IF($C20&gt;0,summary!$C$10/28.8/0.947817,""))</f>
        <v/>
      </c>
      <c r="Y49">
        <f t="array" ref="Y49">IF($D20,IFERROR((SUMPRODUCT((economics!$AG$2:$AG$167=$B49)*(economics!$D$2:$D$167="whr")*economics!$AH$2:$AH$167*(_xlfn.NORM.DIST(Y$3,economics!$AK$2:$AK$167,economics!$AJ$2:$AJ$167,TRUE)-_xlfn.NORM.DIST(Y$30,economics!$AK$2:$AK$167,economics!$AJ$2:$AJ$167,TRUE))*economics!$AM$2:$AM$167)+$CR20*(_xlfn.NORM.DIST(Y$3,$CU20,0.3*$CU20,TRUE)-_xlfn.NORM.DIST(Y$30,$CU20,0.3*$CU20,TRUE))*summary!$C$7/28.8/0.947817+$CS20*(_xlfn.NORM.DIST(Y$3,$CV20,0.3*$CV20,TRUE)-_xlfn.NORM.DIST(Y$30,$CV20,0.3*$CV20,TRUE))*summary!$C$6/28.8/0.947817)/(SUMPRODUCT((economics!$AG$2:$AG$167=$B49)*(economics!$D$2:$D$167="whr")*economics!$AH$2:$AH$167*(_xlfn.NORM.DIST(Y$3,economics!$AK$2:$AK$167,economics!$AJ$2:$AJ$167,TRUE)-_xlfn.NORM.DIST(Y$30,economics!$AK$2:$AK$167,economics!$AJ$2:$AJ$167,TRUE)))+$CR20*(_xlfn.NORM.DIST(Y$3,$CU20,0.3*$CU20,TRUE)-_xlfn.NORM.DIST(Y$30,$CU20,0.3*$CU20,TRUE))+$CS20*(_xlfn.NORM.DIST(Y$3,$CV20,0.3*$CV20,TRUE)-_xlfn.NORM.DIST(Y$30,$CV20,0.3*$CV20,TRUE))),""),IF($C20&gt;0,summary!$C$10/28.8/0.947817,""))</f>
        <v/>
      </c>
      <c r="Z49">
        <f t="array" ref="Z49">IF($D20,IFERROR((SUMPRODUCT((economics!$AG$2:$AG$167=$B49)*(economics!$D$2:$D$167="whr")*economics!$AH$2:$AH$167*(_xlfn.NORM.DIST(Z$3,economics!$AK$2:$AK$167,economics!$AJ$2:$AJ$167,TRUE)-_xlfn.NORM.DIST(Z$30,economics!$AK$2:$AK$167,economics!$AJ$2:$AJ$167,TRUE))*economics!$AM$2:$AM$167)+$CR20*(_xlfn.NORM.DIST(Z$3,$CU20,0.3*$CU20,TRUE)-_xlfn.NORM.DIST(Z$30,$CU20,0.3*$CU20,TRUE))*summary!$C$7/28.8/0.947817+$CS20*(_xlfn.NORM.DIST(Z$3,$CV20,0.3*$CV20,TRUE)-_xlfn.NORM.DIST(Z$30,$CV20,0.3*$CV20,TRUE))*summary!$C$6/28.8/0.947817)/(SUMPRODUCT((economics!$AG$2:$AG$167=$B49)*(economics!$D$2:$D$167="whr")*economics!$AH$2:$AH$167*(_xlfn.NORM.DIST(Z$3,economics!$AK$2:$AK$167,economics!$AJ$2:$AJ$167,TRUE)-_xlfn.NORM.DIST(Z$30,economics!$AK$2:$AK$167,economics!$AJ$2:$AJ$167,TRUE)))+$CR20*(_xlfn.NORM.DIST(Z$3,$CU20,0.3*$CU20,TRUE)-_xlfn.NORM.DIST(Z$30,$CU20,0.3*$CU20,TRUE))+$CS20*(_xlfn.NORM.DIST(Z$3,$CV20,0.3*$CV20,TRUE)-_xlfn.NORM.DIST(Z$30,$CV20,0.3*$CV20,TRUE))),""),IF($C20&gt;0,summary!$C$10/28.8/0.947817,""))</f>
        <v/>
      </c>
      <c r="AA49">
        <f t="array" ref="AA49">IF($D20,IFERROR((SUMPRODUCT((economics!$AG$2:$AG$167=$B49)*(economics!$D$2:$D$167="whr")*economics!$AH$2:$AH$167*(_xlfn.NORM.DIST(AA$3,economics!$AK$2:$AK$167,economics!$AJ$2:$AJ$167,TRUE)-_xlfn.NORM.DIST(AA$30,economics!$AK$2:$AK$167,economics!$AJ$2:$AJ$167,TRUE))*economics!$AM$2:$AM$167)+$CR20*(_xlfn.NORM.DIST(AA$3,$CU20,0.3*$CU20,TRUE)-_xlfn.NORM.DIST(AA$30,$CU20,0.3*$CU20,TRUE))*summary!$C$7/28.8/0.947817+$CS20*(_xlfn.NORM.DIST(AA$3,$CV20,0.3*$CV20,TRUE)-_xlfn.NORM.DIST(AA$30,$CV20,0.3*$CV20,TRUE))*summary!$C$6/28.8/0.947817)/(SUMPRODUCT((economics!$AG$2:$AG$167=$B49)*(economics!$D$2:$D$167="whr")*economics!$AH$2:$AH$167*(_xlfn.NORM.DIST(AA$3,economics!$AK$2:$AK$167,economics!$AJ$2:$AJ$167,TRUE)-_xlfn.NORM.DIST(AA$30,economics!$AK$2:$AK$167,economics!$AJ$2:$AJ$167,TRUE)))+$CR20*(_xlfn.NORM.DIST(AA$3,$CU20,0.3*$CU20,TRUE)-_xlfn.NORM.DIST(AA$30,$CU20,0.3*$CU20,TRUE))+$CS20*(_xlfn.NORM.DIST(AA$3,$CV20,0.3*$CV20,TRUE)-_xlfn.NORM.DIST(AA$30,$CV20,0.3*$CV20,TRUE))),""),IF($C20&gt;0,summary!$C$10/28.8/0.947817,""))</f>
        <v/>
      </c>
      <c r="AB49">
        <f t="array" ref="AB49">IF($D20,IFERROR((SUMPRODUCT((economics!$AG$2:$AG$167=$B49)*(economics!$D$2:$D$167="whr")*economics!$AH$2:$AH$167*(_xlfn.NORM.DIST(AB$3,economics!$AK$2:$AK$167,economics!$AJ$2:$AJ$167,TRUE)-_xlfn.NORM.DIST(AB$30,economics!$AK$2:$AK$167,economics!$AJ$2:$AJ$167,TRUE))*economics!$AM$2:$AM$167)+$CR20*(_xlfn.NORM.DIST(AB$3,$CU20,0.3*$CU20,TRUE)-_xlfn.NORM.DIST(AB$30,$CU20,0.3*$CU20,TRUE))*summary!$C$7/28.8/0.947817+$CS20*(_xlfn.NORM.DIST(AB$3,$CV20,0.3*$CV20,TRUE)-_xlfn.NORM.DIST(AB$30,$CV20,0.3*$CV20,TRUE))*summary!$C$6/28.8/0.947817)/(SUMPRODUCT((economics!$AG$2:$AG$167=$B49)*(economics!$D$2:$D$167="whr")*economics!$AH$2:$AH$167*(_xlfn.NORM.DIST(AB$3,economics!$AK$2:$AK$167,economics!$AJ$2:$AJ$167,TRUE)-_xlfn.NORM.DIST(AB$30,economics!$AK$2:$AK$167,economics!$AJ$2:$AJ$167,TRUE)))+$CR20*(_xlfn.NORM.DIST(AB$3,$CU20,0.3*$CU20,TRUE)-_xlfn.NORM.DIST(AB$30,$CU20,0.3*$CU20,TRUE))+$CS20*(_xlfn.NORM.DIST(AB$3,$CV20,0.3*$CV20,TRUE)-_xlfn.NORM.DIST(AB$30,$CV20,0.3*$CV20,TRUE))),""),IF($C20&gt;0,summary!$C$10/28.8/0.947817,""))</f>
        <v/>
      </c>
      <c r="AC49">
        <f t="array" ref="AC49">IF($D20,IFERROR((SUMPRODUCT((economics!$AG$2:$AG$167=$B49)*(economics!$D$2:$D$167="whr")*economics!$AH$2:$AH$167*(_xlfn.NORM.DIST(AC$3,economics!$AK$2:$AK$167,economics!$AJ$2:$AJ$167,TRUE)-_xlfn.NORM.DIST(AC$30,economics!$AK$2:$AK$167,economics!$AJ$2:$AJ$167,TRUE))*economics!$AM$2:$AM$167)+$CR20*(_xlfn.NORM.DIST(AC$3,$CU20,0.3*$CU20,TRUE)-_xlfn.NORM.DIST(AC$30,$CU20,0.3*$CU20,TRUE))*summary!$C$7/28.8/0.947817+$CS20*(_xlfn.NORM.DIST(AC$3,$CV20,0.3*$CV20,TRUE)-_xlfn.NORM.DIST(AC$30,$CV20,0.3*$CV20,TRUE))*summary!$C$6/28.8/0.947817)/(SUMPRODUCT((economics!$AG$2:$AG$167=$B49)*(economics!$D$2:$D$167="whr")*economics!$AH$2:$AH$167*(_xlfn.NORM.DIST(AC$3,economics!$AK$2:$AK$167,economics!$AJ$2:$AJ$167,TRUE)-_xlfn.NORM.DIST(AC$30,economics!$AK$2:$AK$167,economics!$AJ$2:$AJ$167,TRUE)))+$CR20*(_xlfn.NORM.DIST(AC$3,$CU20,0.3*$CU20,TRUE)-_xlfn.NORM.DIST(AC$30,$CU20,0.3*$CU20,TRUE))+$CS20*(_xlfn.NORM.DIST(AC$3,$CV20,0.3*$CV20,TRUE)-_xlfn.NORM.DIST(AC$30,$CV20,0.3*$CV20,TRUE))),""),IF($C20&gt;0,summary!$C$10/28.8/0.947817,""))</f>
        <v/>
      </c>
      <c r="AD49">
        <f t="array" ref="AD49">IF($D20,IFERROR((SUMPRODUCT((economics!$AG$2:$AG$167=$B49)*(economics!$D$2:$D$167="whr")*economics!$AH$2:$AH$167*(_xlfn.NORM.DIST(AD$3,economics!$AK$2:$AK$167,economics!$AJ$2:$AJ$167,TRUE)-_xlfn.NORM.DIST(AD$30,economics!$AK$2:$AK$167,economics!$AJ$2:$AJ$167,TRUE))*economics!$AM$2:$AM$167)+$CR20*(_xlfn.NORM.DIST(AD$3,$CU20,0.3*$CU20,TRUE)-_xlfn.NORM.DIST(AD$30,$CU20,0.3*$CU20,TRUE))*summary!$C$7/28.8/0.947817+$CS20*(_xlfn.NORM.DIST(AD$3,$CV20,0.3*$CV20,TRUE)-_xlfn.NORM.DIST(AD$30,$CV20,0.3*$CV20,TRUE))*summary!$C$6/28.8/0.947817)/(SUMPRODUCT((economics!$AG$2:$AG$167=$B49)*(economics!$D$2:$D$167="whr")*economics!$AH$2:$AH$167*(_xlfn.NORM.DIST(AD$3,economics!$AK$2:$AK$167,economics!$AJ$2:$AJ$167,TRUE)-_xlfn.NORM.DIST(AD$30,economics!$AK$2:$AK$167,economics!$AJ$2:$AJ$167,TRUE)))+$CR20*(_xlfn.NORM.DIST(AD$3,$CU20,0.3*$CU20,TRUE)-_xlfn.NORM.DIST(AD$30,$CU20,0.3*$CU20,TRUE))+$CS20*(_xlfn.NORM.DIST(AD$3,$CV20,0.3*$CV20,TRUE)-_xlfn.NORM.DIST(AD$30,$CV20,0.3*$CV20,TRUE))),""),IF($C20&gt;0,summary!$C$10/28.8/0.947817,""))</f>
        <v/>
      </c>
      <c r="AE49">
        <f t="array" ref="AE49">IF($D20,IFERROR((SUMPRODUCT((economics!$AG$2:$AG$167=$B49)*(economics!$D$2:$D$167="whr")*economics!$AH$2:$AH$167*(_xlfn.NORM.DIST(AE$3,economics!$AK$2:$AK$167,economics!$AJ$2:$AJ$167,TRUE)-_xlfn.NORM.DIST(AE$30,economics!$AK$2:$AK$167,economics!$AJ$2:$AJ$167,TRUE))*economics!$AM$2:$AM$167)+$CR20*(_xlfn.NORM.DIST(AE$3,$CU20,0.3*$CU20,TRUE)-_xlfn.NORM.DIST(AE$30,$CU20,0.3*$CU20,TRUE))*summary!$C$7/28.8/0.947817+$CS20*(_xlfn.NORM.DIST(AE$3,$CV20,0.3*$CV20,TRUE)-_xlfn.NORM.DIST(AE$30,$CV20,0.3*$CV20,TRUE))*summary!$C$6/28.8/0.947817)/(SUMPRODUCT((economics!$AG$2:$AG$167=$B49)*(economics!$D$2:$D$167="whr")*economics!$AH$2:$AH$167*(_xlfn.NORM.DIST(AE$3,economics!$AK$2:$AK$167,economics!$AJ$2:$AJ$167,TRUE)-_xlfn.NORM.DIST(AE$30,economics!$AK$2:$AK$167,economics!$AJ$2:$AJ$167,TRUE)))+$CR20*(_xlfn.NORM.DIST(AE$3,$CU20,0.3*$CU20,TRUE)-_xlfn.NORM.DIST(AE$30,$CU20,0.3*$CU20,TRUE))+$CS20*(_xlfn.NORM.DIST(AE$3,$CV20,0.3*$CV20,TRUE)-_xlfn.NORM.DIST(AE$30,$CV20,0.3*$CV20,TRUE))),""),IF($C20&gt;0,summary!$C$10/28.8/0.947817,""))</f>
        <v/>
      </c>
      <c r="AF49">
        <f t="array" ref="AF49">IF($D20,IFERROR((SUMPRODUCT((economics!$AG$2:$AG$167=$B49)*(economics!$D$2:$D$167="whr")*economics!$AH$2:$AH$167*(_xlfn.NORM.DIST(AF$3,economics!$AK$2:$AK$167,economics!$AJ$2:$AJ$167,TRUE)-_xlfn.NORM.DIST(AF$30,economics!$AK$2:$AK$167,economics!$AJ$2:$AJ$167,TRUE))*economics!$AM$2:$AM$167)+$CR20*(_xlfn.NORM.DIST(AF$3,$CU20,0.3*$CU20,TRUE)-_xlfn.NORM.DIST(AF$30,$CU20,0.3*$CU20,TRUE))*summary!$C$7/28.8/0.947817+$CS20*(_xlfn.NORM.DIST(AF$3,$CV20,0.3*$CV20,TRUE)-_xlfn.NORM.DIST(AF$30,$CV20,0.3*$CV20,TRUE))*summary!$C$6/28.8/0.947817)/(SUMPRODUCT((economics!$AG$2:$AG$167=$B49)*(economics!$D$2:$D$167="whr")*economics!$AH$2:$AH$167*(_xlfn.NORM.DIST(AF$3,economics!$AK$2:$AK$167,economics!$AJ$2:$AJ$167,TRUE)-_xlfn.NORM.DIST(AF$30,economics!$AK$2:$AK$167,economics!$AJ$2:$AJ$167,TRUE)))+$CR20*(_xlfn.NORM.DIST(AF$3,$CU20,0.3*$CU20,TRUE)-_xlfn.NORM.DIST(AF$30,$CU20,0.3*$CU20,TRUE))+$CS20*(_xlfn.NORM.DIST(AF$3,$CV20,0.3*$CV20,TRUE)-_xlfn.NORM.DIST(AF$30,$CV20,0.3*$CV20,TRUE))),""),IF($C20&gt;0,summary!$C$10/28.8/0.947817,""))</f>
        <v/>
      </c>
      <c r="AG49">
        <f t="array" ref="AG49">IF($D20,IFERROR((SUMPRODUCT((economics!$AG$2:$AG$167=$B49)*(economics!$D$2:$D$167="whr")*economics!$AH$2:$AH$167*(_xlfn.NORM.DIST(AG$3,economics!$AK$2:$AK$167,economics!$AJ$2:$AJ$167,TRUE)-_xlfn.NORM.DIST(AG$30,economics!$AK$2:$AK$167,economics!$AJ$2:$AJ$167,TRUE))*economics!$AM$2:$AM$167)+$CR20*(_xlfn.NORM.DIST(AG$3,$CU20,0.3*$CU20,TRUE)-_xlfn.NORM.DIST(AG$30,$CU20,0.3*$CU20,TRUE))*summary!$C$7/28.8/0.947817+$CS20*(_xlfn.NORM.DIST(AG$3,$CV20,0.3*$CV20,TRUE)-_xlfn.NORM.DIST(AG$30,$CV20,0.3*$CV20,TRUE))*summary!$C$6/28.8/0.947817)/(SUMPRODUCT((economics!$AG$2:$AG$167=$B49)*(economics!$D$2:$D$167="whr")*economics!$AH$2:$AH$167*(_xlfn.NORM.DIST(AG$3,economics!$AK$2:$AK$167,economics!$AJ$2:$AJ$167,TRUE)-_xlfn.NORM.DIST(AG$30,economics!$AK$2:$AK$167,economics!$AJ$2:$AJ$167,TRUE)))+$CR20*(_xlfn.NORM.DIST(AG$3,$CU20,0.3*$CU20,TRUE)-_xlfn.NORM.DIST(AG$30,$CU20,0.3*$CU20,TRUE))+$CS20*(_xlfn.NORM.DIST(AG$3,$CV20,0.3*$CV20,TRUE)-_xlfn.NORM.DIST(AG$30,$CV20,0.3*$CV20,TRUE))),""),IF($C20&gt;0,summary!$C$10/28.8/0.947817,""))</f>
        <v/>
      </c>
      <c r="AH49">
        <f t="array" ref="AH49">IF($D20,IFERROR((SUMPRODUCT((economics!$AG$2:$AG$167=$B49)*(economics!$D$2:$D$167="whr")*economics!$AH$2:$AH$167*(_xlfn.NORM.DIST(AH$3,economics!$AK$2:$AK$167,economics!$AJ$2:$AJ$167,TRUE)-_xlfn.NORM.DIST(AH$30,economics!$AK$2:$AK$167,economics!$AJ$2:$AJ$167,TRUE))*economics!$AM$2:$AM$167)+$CR20*(_xlfn.NORM.DIST(AH$3,$CU20,0.3*$CU20,TRUE)-_xlfn.NORM.DIST(AH$30,$CU20,0.3*$CU20,TRUE))*summary!$C$7/28.8/0.947817+$CS20*(_xlfn.NORM.DIST(AH$3,$CV20,0.3*$CV20,TRUE)-_xlfn.NORM.DIST(AH$30,$CV20,0.3*$CV20,TRUE))*summary!$C$6/28.8/0.947817)/(SUMPRODUCT((economics!$AG$2:$AG$167=$B49)*(economics!$D$2:$D$167="whr")*economics!$AH$2:$AH$167*(_xlfn.NORM.DIST(AH$3,economics!$AK$2:$AK$167,economics!$AJ$2:$AJ$167,TRUE)-_xlfn.NORM.DIST(AH$30,economics!$AK$2:$AK$167,economics!$AJ$2:$AJ$167,TRUE)))+$CR20*(_xlfn.NORM.DIST(AH$3,$CU20,0.3*$CU20,TRUE)-_xlfn.NORM.DIST(AH$30,$CU20,0.3*$CU20,TRUE))+$CS20*(_xlfn.NORM.DIST(AH$3,$CV20,0.3*$CV20,TRUE)-_xlfn.NORM.DIST(AH$30,$CV20,0.3*$CV20,TRUE))),""),IF($C20&gt;0,summary!$C$10/28.8/0.947817,""))</f>
        <v/>
      </c>
      <c r="AI49">
        <f t="array" ref="AI49">IF($D20,IFERROR((SUMPRODUCT((economics!$AG$2:$AG$167=$B49)*(economics!$D$2:$D$167="whr")*economics!$AH$2:$AH$167*(_xlfn.NORM.DIST(AI$3,economics!$AK$2:$AK$167,economics!$AJ$2:$AJ$167,TRUE)-_xlfn.NORM.DIST(AI$30,economics!$AK$2:$AK$167,economics!$AJ$2:$AJ$167,TRUE))*economics!$AM$2:$AM$167)+$CR20*(_xlfn.NORM.DIST(AI$3,$CU20,0.3*$CU20,TRUE)-_xlfn.NORM.DIST(AI$30,$CU20,0.3*$CU20,TRUE))*summary!$C$7/28.8/0.947817+$CS20*(_xlfn.NORM.DIST(AI$3,$CV20,0.3*$CV20,TRUE)-_xlfn.NORM.DIST(AI$30,$CV20,0.3*$CV20,TRUE))*summary!$C$6/28.8/0.947817)/(SUMPRODUCT((economics!$AG$2:$AG$167=$B49)*(economics!$D$2:$D$167="whr")*economics!$AH$2:$AH$167*(_xlfn.NORM.DIST(AI$3,economics!$AK$2:$AK$167,economics!$AJ$2:$AJ$167,TRUE)-_xlfn.NORM.DIST(AI$30,economics!$AK$2:$AK$167,economics!$AJ$2:$AJ$167,TRUE)))+$CR20*(_xlfn.NORM.DIST(AI$3,$CU20,0.3*$CU20,TRUE)-_xlfn.NORM.DIST(AI$30,$CU20,0.3*$CU20,TRUE))+$CS20*(_xlfn.NORM.DIST(AI$3,$CV20,0.3*$CV20,TRUE)-_xlfn.NORM.DIST(AI$30,$CV20,0.3*$CV20,TRUE))),""),IF($C20&gt;0,summary!$C$10/28.8/0.947817,""))</f>
        <v/>
      </c>
      <c r="AJ49">
        <f t="array" ref="AJ49">IF($D20,IFERROR((SUMPRODUCT((economics!$AG$2:$AG$167=$B49)*(economics!$D$2:$D$167="whr")*economics!$AH$2:$AH$167*(_xlfn.NORM.DIST(AJ$3,economics!$AK$2:$AK$167,economics!$AJ$2:$AJ$167,TRUE)-_xlfn.NORM.DIST(AJ$30,economics!$AK$2:$AK$167,economics!$AJ$2:$AJ$167,TRUE))*economics!$AM$2:$AM$167)+$CR20*(_xlfn.NORM.DIST(AJ$3,$CU20,0.3*$CU20,TRUE)-_xlfn.NORM.DIST(AJ$30,$CU20,0.3*$CU20,TRUE))*summary!$C$7/28.8/0.947817+$CS20*(_xlfn.NORM.DIST(AJ$3,$CV20,0.3*$CV20,TRUE)-_xlfn.NORM.DIST(AJ$30,$CV20,0.3*$CV20,TRUE))*summary!$C$6/28.8/0.947817)/(SUMPRODUCT((economics!$AG$2:$AG$167=$B49)*(economics!$D$2:$D$167="whr")*economics!$AH$2:$AH$167*(_xlfn.NORM.DIST(AJ$3,economics!$AK$2:$AK$167,economics!$AJ$2:$AJ$167,TRUE)-_xlfn.NORM.DIST(AJ$30,economics!$AK$2:$AK$167,economics!$AJ$2:$AJ$167,TRUE)))+$CR20*(_xlfn.NORM.DIST(AJ$3,$CU20,0.3*$CU20,TRUE)-_xlfn.NORM.DIST(AJ$30,$CU20,0.3*$CU20,TRUE))+$CS20*(_xlfn.NORM.DIST(AJ$3,$CV20,0.3*$CV20,TRUE)-_xlfn.NORM.DIST(AJ$30,$CV20,0.3*$CV20,TRUE))),""),IF($C20&gt;0,summary!$C$10/28.8/0.947817,""))</f>
        <v/>
      </c>
      <c r="AK49">
        <f t="array" ref="AK49">IF($D20,IFERROR((SUMPRODUCT((economics!$AG$2:$AG$167=$B49)*(economics!$D$2:$D$167="whr")*economics!$AH$2:$AH$167*(_xlfn.NORM.DIST(AK$3,economics!$AK$2:$AK$167,economics!$AJ$2:$AJ$167,TRUE)-_xlfn.NORM.DIST(AK$30,economics!$AK$2:$AK$167,economics!$AJ$2:$AJ$167,TRUE))*economics!$AM$2:$AM$167)+$CR20*(_xlfn.NORM.DIST(AK$3,$CU20,0.3*$CU20,TRUE)-_xlfn.NORM.DIST(AK$30,$CU20,0.3*$CU20,TRUE))*summary!$C$7/28.8/0.947817+$CS20*(_xlfn.NORM.DIST(AK$3,$CV20,0.3*$CV20,TRUE)-_xlfn.NORM.DIST(AK$30,$CV20,0.3*$CV20,TRUE))*summary!$C$6/28.8/0.947817)/(SUMPRODUCT((economics!$AG$2:$AG$167=$B49)*(economics!$D$2:$D$167="whr")*economics!$AH$2:$AH$167*(_xlfn.NORM.DIST(AK$3,economics!$AK$2:$AK$167,economics!$AJ$2:$AJ$167,TRUE)-_xlfn.NORM.DIST(AK$30,economics!$AK$2:$AK$167,economics!$AJ$2:$AJ$167,TRUE)))+$CR20*(_xlfn.NORM.DIST(AK$3,$CU20,0.3*$CU20,TRUE)-_xlfn.NORM.DIST(AK$30,$CU20,0.3*$CU20,TRUE))+$CS20*(_xlfn.NORM.DIST(AK$3,$CV20,0.3*$CV20,TRUE)-_xlfn.NORM.DIST(AK$30,$CV20,0.3*$CV20,TRUE))),""),IF($C20&gt;0,summary!$C$10/28.8/0.947817,""))</f>
        <v/>
      </c>
      <c r="AL49">
        <f t="array" ref="AL49">IF($D20,IFERROR((SUMPRODUCT((economics!$AG$2:$AG$167=$B49)*(economics!$D$2:$D$167="whr")*economics!$AH$2:$AH$167*(_xlfn.NORM.DIST(AL$3,economics!$AK$2:$AK$167,economics!$AJ$2:$AJ$167,TRUE)-_xlfn.NORM.DIST(AL$30,economics!$AK$2:$AK$167,economics!$AJ$2:$AJ$167,TRUE))*economics!$AM$2:$AM$167)+$CR20*(_xlfn.NORM.DIST(AL$3,$CU20,0.3*$CU20,TRUE)-_xlfn.NORM.DIST(AL$30,$CU20,0.3*$CU20,TRUE))*summary!$C$7/28.8/0.947817+$CS20*(_xlfn.NORM.DIST(AL$3,$CV20,0.3*$CV20,TRUE)-_xlfn.NORM.DIST(AL$30,$CV20,0.3*$CV20,TRUE))*summary!$C$6/28.8/0.947817)/(SUMPRODUCT((economics!$AG$2:$AG$167=$B49)*(economics!$D$2:$D$167="whr")*economics!$AH$2:$AH$167*(_xlfn.NORM.DIST(AL$3,economics!$AK$2:$AK$167,economics!$AJ$2:$AJ$167,TRUE)-_xlfn.NORM.DIST(AL$30,economics!$AK$2:$AK$167,economics!$AJ$2:$AJ$167,TRUE)))+$CR20*(_xlfn.NORM.DIST(AL$3,$CU20,0.3*$CU20,TRUE)-_xlfn.NORM.DIST(AL$30,$CU20,0.3*$CU20,TRUE))+$CS20*(_xlfn.NORM.DIST(AL$3,$CV20,0.3*$CV20,TRUE)-_xlfn.NORM.DIST(AL$30,$CV20,0.3*$CV20,TRUE))),""),IF($C20&gt;0,summary!$C$10/28.8/0.947817,""))</f>
        <v/>
      </c>
      <c r="AM49">
        <f t="array" ref="AM49">IF($D20,IFERROR((SUMPRODUCT((economics!$AG$2:$AG$167=$B49)*(economics!$D$2:$D$167="whr")*economics!$AH$2:$AH$167*(_xlfn.NORM.DIST(AM$3,economics!$AK$2:$AK$167,economics!$AJ$2:$AJ$167,TRUE)-_xlfn.NORM.DIST(AM$30,economics!$AK$2:$AK$167,economics!$AJ$2:$AJ$167,TRUE))*economics!$AM$2:$AM$167)+$CR20*(_xlfn.NORM.DIST(AM$3,$CU20,0.3*$CU20,TRUE)-_xlfn.NORM.DIST(AM$30,$CU20,0.3*$CU20,TRUE))*summary!$C$7/28.8/0.947817+$CS20*(_xlfn.NORM.DIST(AM$3,$CV20,0.3*$CV20,TRUE)-_xlfn.NORM.DIST(AM$30,$CV20,0.3*$CV20,TRUE))*summary!$C$6/28.8/0.947817)/(SUMPRODUCT((economics!$AG$2:$AG$167=$B49)*(economics!$D$2:$D$167="whr")*economics!$AH$2:$AH$167*(_xlfn.NORM.DIST(AM$3,economics!$AK$2:$AK$167,economics!$AJ$2:$AJ$167,TRUE)-_xlfn.NORM.DIST(AM$30,economics!$AK$2:$AK$167,economics!$AJ$2:$AJ$167,TRUE)))+$CR20*(_xlfn.NORM.DIST(AM$3,$CU20,0.3*$CU20,TRUE)-_xlfn.NORM.DIST(AM$30,$CU20,0.3*$CU20,TRUE))+$CS20*(_xlfn.NORM.DIST(AM$3,$CV20,0.3*$CV20,TRUE)-_xlfn.NORM.DIST(AM$30,$CV20,0.3*$CV20,TRUE))),""),IF($C20&gt;0,summary!$C$10/28.8/0.947817,""))</f>
        <v/>
      </c>
      <c r="AN49">
        <f t="array" ref="AN49">IF($D20,IFERROR((SUMPRODUCT((economics!$AG$2:$AG$167=$B49)*(economics!$D$2:$D$167="whr")*economics!$AH$2:$AH$167*(_xlfn.NORM.DIST(AN$3,economics!$AK$2:$AK$167,economics!$AJ$2:$AJ$167,TRUE)-_xlfn.NORM.DIST(AN$30,economics!$AK$2:$AK$167,economics!$AJ$2:$AJ$167,TRUE))*economics!$AM$2:$AM$167)+$CR20*(_xlfn.NORM.DIST(AN$3,$CU20,0.3*$CU20,TRUE)-_xlfn.NORM.DIST(AN$30,$CU20,0.3*$CU20,TRUE))*summary!$C$7/28.8/0.947817+$CS20*(_xlfn.NORM.DIST(AN$3,$CV20,0.3*$CV20,TRUE)-_xlfn.NORM.DIST(AN$30,$CV20,0.3*$CV20,TRUE))*summary!$C$6/28.8/0.947817)/(SUMPRODUCT((economics!$AG$2:$AG$167=$B49)*(economics!$D$2:$D$167="whr")*economics!$AH$2:$AH$167*(_xlfn.NORM.DIST(AN$3,economics!$AK$2:$AK$167,economics!$AJ$2:$AJ$167,TRUE)-_xlfn.NORM.DIST(AN$30,economics!$AK$2:$AK$167,economics!$AJ$2:$AJ$167,TRUE)))+$CR20*(_xlfn.NORM.DIST(AN$3,$CU20,0.3*$CU20,TRUE)-_xlfn.NORM.DIST(AN$30,$CU20,0.3*$CU20,TRUE))+$CS20*(_xlfn.NORM.DIST(AN$3,$CV20,0.3*$CV20,TRUE)-_xlfn.NORM.DIST(AN$30,$CV20,0.3*$CV20,TRUE))),""),IF($C20&gt;0,summary!$C$10/28.8/0.947817,""))</f>
        <v/>
      </c>
      <c r="AO49">
        <f t="array" ref="AO49">IF($D20,IFERROR((SUMPRODUCT((economics!$AG$2:$AG$167=$B49)*(economics!$D$2:$D$167="whr")*economics!$AH$2:$AH$167*(_xlfn.NORM.DIST(AO$3,economics!$AK$2:$AK$167,economics!$AJ$2:$AJ$167,TRUE)-_xlfn.NORM.DIST(AO$30,economics!$AK$2:$AK$167,economics!$AJ$2:$AJ$167,TRUE))*economics!$AM$2:$AM$167)+$CR20*(_xlfn.NORM.DIST(AO$3,$CU20,0.3*$CU20,TRUE)-_xlfn.NORM.DIST(AO$30,$CU20,0.3*$CU20,TRUE))*summary!$C$7/28.8/0.947817+$CS20*(_xlfn.NORM.DIST(AO$3,$CV20,0.3*$CV20,TRUE)-_xlfn.NORM.DIST(AO$30,$CV20,0.3*$CV20,TRUE))*summary!$C$6/28.8/0.947817)/(SUMPRODUCT((economics!$AG$2:$AG$167=$B49)*(economics!$D$2:$D$167="whr")*economics!$AH$2:$AH$167*(_xlfn.NORM.DIST(AO$3,economics!$AK$2:$AK$167,economics!$AJ$2:$AJ$167,TRUE)-_xlfn.NORM.DIST(AO$30,economics!$AK$2:$AK$167,economics!$AJ$2:$AJ$167,TRUE)))+$CR20*(_xlfn.NORM.DIST(AO$3,$CU20,0.3*$CU20,TRUE)-_xlfn.NORM.DIST(AO$30,$CU20,0.3*$CU20,TRUE))+$CS20*(_xlfn.NORM.DIST(AO$3,$CV20,0.3*$CV20,TRUE)-_xlfn.NORM.DIST(AO$30,$CV20,0.3*$CV20,TRUE))),""),IF($C20&gt;0,summary!$C$10/28.8/0.947817,""))</f>
        <v/>
      </c>
      <c r="AP49">
        <f t="array" ref="AP49">IF($D20,IFERROR((SUMPRODUCT((economics!$AG$2:$AG$167=$B49)*(economics!$D$2:$D$167="whr")*economics!$AH$2:$AH$167*(_xlfn.NORM.DIST(AP$3,economics!$AK$2:$AK$167,economics!$AJ$2:$AJ$167,TRUE)-_xlfn.NORM.DIST(AP$30,economics!$AK$2:$AK$167,economics!$AJ$2:$AJ$167,TRUE))*economics!$AM$2:$AM$167)+$CR20*(_xlfn.NORM.DIST(AP$3,$CU20,0.3*$CU20,TRUE)-_xlfn.NORM.DIST(AP$30,$CU20,0.3*$CU20,TRUE))*summary!$C$7/28.8/0.947817+$CS20*(_xlfn.NORM.DIST(AP$3,$CV20,0.3*$CV20,TRUE)-_xlfn.NORM.DIST(AP$30,$CV20,0.3*$CV20,TRUE))*summary!$C$6/28.8/0.947817)/(SUMPRODUCT((economics!$AG$2:$AG$167=$B49)*(economics!$D$2:$D$167="whr")*economics!$AH$2:$AH$167*(_xlfn.NORM.DIST(AP$3,economics!$AK$2:$AK$167,economics!$AJ$2:$AJ$167,TRUE)-_xlfn.NORM.DIST(AP$30,economics!$AK$2:$AK$167,economics!$AJ$2:$AJ$167,TRUE)))+$CR20*(_xlfn.NORM.DIST(AP$3,$CU20,0.3*$CU20,TRUE)-_xlfn.NORM.DIST(AP$30,$CU20,0.3*$CU20,TRUE))+$CS20*(_xlfn.NORM.DIST(AP$3,$CV20,0.3*$CV20,TRUE)-_xlfn.NORM.DIST(AP$30,$CV20,0.3*$CV20,TRUE))),""),IF($C20&gt;0,summary!$C$10/28.8/0.947817,""))</f>
        <v/>
      </c>
      <c r="AQ49">
        <f t="array" ref="AQ49">IF($D20,IFERROR((SUMPRODUCT((economics!$AG$2:$AG$167=$B49)*(economics!$D$2:$D$167="whr")*economics!$AH$2:$AH$167*(_xlfn.NORM.DIST(AQ$3,economics!$AK$2:$AK$167,economics!$AJ$2:$AJ$167,TRUE)-_xlfn.NORM.DIST(AQ$30,economics!$AK$2:$AK$167,economics!$AJ$2:$AJ$167,TRUE))*economics!$AM$2:$AM$167)+$CR20*(_xlfn.NORM.DIST(AQ$3,$CU20,0.3*$CU20,TRUE)-_xlfn.NORM.DIST(AQ$30,$CU20,0.3*$CU20,TRUE))*summary!$C$7/28.8/0.947817+$CS20*(_xlfn.NORM.DIST(AQ$3,$CV20,0.3*$CV20,TRUE)-_xlfn.NORM.DIST(AQ$30,$CV20,0.3*$CV20,TRUE))*summary!$C$6/28.8/0.947817)/(SUMPRODUCT((economics!$AG$2:$AG$167=$B49)*(economics!$D$2:$D$167="whr")*economics!$AH$2:$AH$167*(_xlfn.NORM.DIST(AQ$3,economics!$AK$2:$AK$167,economics!$AJ$2:$AJ$167,TRUE)-_xlfn.NORM.DIST(AQ$30,economics!$AK$2:$AK$167,economics!$AJ$2:$AJ$167,TRUE)))+$CR20*(_xlfn.NORM.DIST(AQ$3,$CU20,0.3*$CU20,TRUE)-_xlfn.NORM.DIST(AQ$30,$CU20,0.3*$CU20,TRUE))+$CS20*(_xlfn.NORM.DIST(AQ$3,$CV20,0.3*$CV20,TRUE)-_xlfn.NORM.DIST(AQ$30,$CV20,0.3*$CV20,TRUE))),""),IF($C20&gt;0,summary!$C$10/28.8/0.947817,""))</f>
        <v/>
      </c>
      <c r="AR49">
        <f t="array" ref="AR49">IF($D20,IFERROR((SUMPRODUCT((economics!$AG$2:$AG$167=$B49)*(economics!$D$2:$D$167="whr")*economics!$AH$2:$AH$167*(_xlfn.NORM.DIST(AR$3,economics!$AK$2:$AK$167,economics!$AJ$2:$AJ$167,TRUE)-_xlfn.NORM.DIST(AR$30,economics!$AK$2:$AK$167,economics!$AJ$2:$AJ$167,TRUE))*economics!$AM$2:$AM$167)+$CR20*(_xlfn.NORM.DIST(AR$3,$CU20,0.3*$CU20,TRUE)-_xlfn.NORM.DIST(AR$30,$CU20,0.3*$CU20,TRUE))*summary!$C$7/28.8/0.947817+$CS20*(_xlfn.NORM.DIST(AR$3,$CV20,0.3*$CV20,TRUE)-_xlfn.NORM.DIST(AR$30,$CV20,0.3*$CV20,TRUE))*summary!$C$6/28.8/0.947817)/(SUMPRODUCT((economics!$AG$2:$AG$167=$B49)*(economics!$D$2:$D$167="whr")*economics!$AH$2:$AH$167*(_xlfn.NORM.DIST(AR$3,economics!$AK$2:$AK$167,economics!$AJ$2:$AJ$167,TRUE)-_xlfn.NORM.DIST(AR$30,economics!$AK$2:$AK$167,economics!$AJ$2:$AJ$167,TRUE)))+$CR20*(_xlfn.NORM.DIST(AR$3,$CU20,0.3*$CU20,TRUE)-_xlfn.NORM.DIST(AR$30,$CU20,0.3*$CU20,TRUE))+$CS20*(_xlfn.NORM.DIST(AR$3,$CV20,0.3*$CV20,TRUE)-_xlfn.NORM.DIST(AR$30,$CV20,0.3*$CV20,TRUE))),""),IF($C20&gt;0,summary!$C$10/28.8/0.947817,""))</f>
        <v/>
      </c>
      <c r="AS49">
        <f t="array" ref="AS49">IF($D20,IFERROR((SUMPRODUCT((economics!$AG$2:$AG$167=$B49)*(economics!$D$2:$D$167="whr")*economics!$AH$2:$AH$167*(_xlfn.NORM.DIST(AS$3,economics!$AK$2:$AK$167,economics!$AJ$2:$AJ$167,TRUE)-_xlfn.NORM.DIST(AS$30,economics!$AK$2:$AK$167,economics!$AJ$2:$AJ$167,TRUE))*economics!$AM$2:$AM$167)+$CR20*(_xlfn.NORM.DIST(AS$3,$CU20,0.3*$CU20,TRUE)-_xlfn.NORM.DIST(AS$30,$CU20,0.3*$CU20,TRUE))*summary!$C$7/28.8/0.947817+$CS20*(_xlfn.NORM.DIST(AS$3,$CV20,0.3*$CV20,TRUE)-_xlfn.NORM.DIST(AS$30,$CV20,0.3*$CV20,TRUE))*summary!$C$6/28.8/0.947817)/(SUMPRODUCT((economics!$AG$2:$AG$167=$B49)*(economics!$D$2:$D$167="whr")*economics!$AH$2:$AH$167*(_xlfn.NORM.DIST(AS$3,economics!$AK$2:$AK$167,economics!$AJ$2:$AJ$167,TRUE)-_xlfn.NORM.DIST(AS$30,economics!$AK$2:$AK$167,economics!$AJ$2:$AJ$167,TRUE)))+$CR20*(_xlfn.NORM.DIST(AS$3,$CU20,0.3*$CU20,TRUE)-_xlfn.NORM.DIST(AS$30,$CU20,0.3*$CU20,TRUE))+$CS20*(_xlfn.NORM.DIST(AS$3,$CV20,0.3*$CV20,TRUE)-_xlfn.NORM.DIST(AS$30,$CV20,0.3*$CV20,TRUE))),""),IF($C20&gt;0,summary!$C$10/28.8/0.947817,""))</f>
        <v/>
      </c>
      <c r="AT49">
        <f t="array" ref="AT49">IF($D20,IFERROR((SUMPRODUCT((economics!$AG$2:$AG$167=$B49)*(economics!$D$2:$D$167="whr")*economics!$AH$2:$AH$167*(_xlfn.NORM.DIST(AT$3,economics!$AK$2:$AK$167,economics!$AJ$2:$AJ$167,TRUE)-_xlfn.NORM.DIST(AT$30,economics!$AK$2:$AK$167,economics!$AJ$2:$AJ$167,TRUE))*economics!$AM$2:$AM$167)+$CR20*(_xlfn.NORM.DIST(AT$3,$CU20,0.3*$CU20,TRUE)-_xlfn.NORM.DIST(AT$30,$CU20,0.3*$CU20,TRUE))*summary!$C$7/28.8/0.947817+$CS20*(_xlfn.NORM.DIST(AT$3,$CV20,0.3*$CV20,TRUE)-_xlfn.NORM.DIST(AT$30,$CV20,0.3*$CV20,TRUE))*summary!$C$6/28.8/0.947817)/(SUMPRODUCT((economics!$AG$2:$AG$167=$B49)*(economics!$D$2:$D$167="whr")*economics!$AH$2:$AH$167*(_xlfn.NORM.DIST(AT$3,economics!$AK$2:$AK$167,economics!$AJ$2:$AJ$167,TRUE)-_xlfn.NORM.DIST(AT$30,economics!$AK$2:$AK$167,economics!$AJ$2:$AJ$167,TRUE)))+$CR20*(_xlfn.NORM.DIST(AT$3,$CU20,0.3*$CU20,TRUE)-_xlfn.NORM.DIST(AT$30,$CU20,0.3*$CU20,TRUE))+$CS20*(_xlfn.NORM.DIST(AT$3,$CV20,0.3*$CV20,TRUE)-_xlfn.NORM.DIST(AT$30,$CV20,0.3*$CV20,TRUE))),""),IF($C20&gt;0,summary!$C$10/28.8/0.947817,""))</f>
        <v/>
      </c>
      <c r="AU49">
        <f t="array" ref="AU49">IF($D20,IFERROR((SUMPRODUCT((economics!$AG$2:$AG$167=$B49)*(economics!$D$2:$D$167="whr")*economics!$AH$2:$AH$167*(_xlfn.NORM.DIST(AU$3,economics!$AK$2:$AK$167,economics!$AJ$2:$AJ$167,TRUE)-_xlfn.NORM.DIST(AU$30,economics!$AK$2:$AK$167,economics!$AJ$2:$AJ$167,TRUE))*economics!$AM$2:$AM$167)+$CR20*(_xlfn.NORM.DIST(AU$3,$CU20,0.3*$CU20,TRUE)-_xlfn.NORM.DIST(AU$30,$CU20,0.3*$CU20,TRUE))*summary!$C$7/28.8/0.947817+$CS20*(_xlfn.NORM.DIST(AU$3,$CV20,0.3*$CV20,TRUE)-_xlfn.NORM.DIST(AU$30,$CV20,0.3*$CV20,TRUE))*summary!$C$6/28.8/0.947817)/(SUMPRODUCT((economics!$AG$2:$AG$167=$B49)*(economics!$D$2:$D$167="whr")*economics!$AH$2:$AH$167*(_xlfn.NORM.DIST(AU$3,economics!$AK$2:$AK$167,economics!$AJ$2:$AJ$167,TRUE)-_xlfn.NORM.DIST(AU$30,economics!$AK$2:$AK$167,economics!$AJ$2:$AJ$167,TRUE)))+$CR20*(_xlfn.NORM.DIST(AU$3,$CU20,0.3*$CU20,TRUE)-_xlfn.NORM.DIST(AU$30,$CU20,0.3*$CU20,TRUE))+$CS20*(_xlfn.NORM.DIST(AU$3,$CV20,0.3*$CV20,TRUE)-_xlfn.NORM.DIST(AU$30,$CV20,0.3*$CV20,TRUE))),""),IF($C20&gt;0,summary!$C$10/28.8/0.947817,""))</f>
        <v/>
      </c>
      <c r="AV49">
        <f t="array" ref="AV49">IF($D20,IFERROR((SUMPRODUCT((economics!$AG$2:$AG$167=$B49)*(economics!$D$2:$D$167="whr")*economics!$AH$2:$AH$167*(_xlfn.NORM.DIST(AV$3,economics!$AK$2:$AK$167,economics!$AJ$2:$AJ$167,TRUE)-_xlfn.NORM.DIST(AV$30,economics!$AK$2:$AK$167,economics!$AJ$2:$AJ$167,TRUE))*economics!$AM$2:$AM$167)+$CR20*(_xlfn.NORM.DIST(AV$3,$CU20,0.3*$CU20,TRUE)-_xlfn.NORM.DIST(AV$30,$CU20,0.3*$CU20,TRUE))*summary!$C$7/28.8/0.947817+$CS20*(_xlfn.NORM.DIST(AV$3,$CV20,0.3*$CV20,TRUE)-_xlfn.NORM.DIST(AV$30,$CV20,0.3*$CV20,TRUE))*summary!$C$6/28.8/0.947817)/(SUMPRODUCT((economics!$AG$2:$AG$167=$B49)*(economics!$D$2:$D$167="whr")*economics!$AH$2:$AH$167*(_xlfn.NORM.DIST(AV$3,economics!$AK$2:$AK$167,economics!$AJ$2:$AJ$167,TRUE)-_xlfn.NORM.DIST(AV$30,economics!$AK$2:$AK$167,economics!$AJ$2:$AJ$167,TRUE)))+$CR20*(_xlfn.NORM.DIST(AV$3,$CU20,0.3*$CU20,TRUE)-_xlfn.NORM.DIST(AV$30,$CU20,0.3*$CU20,TRUE))+$CS20*(_xlfn.NORM.DIST(AV$3,$CV20,0.3*$CV20,TRUE)-_xlfn.NORM.DIST(AV$30,$CV20,0.3*$CV20,TRUE))),""),IF($C20&gt;0,summary!$C$10/28.8/0.947817,""))</f>
        <v/>
      </c>
      <c r="AW49">
        <f t="array" ref="AW49">IF($D20,IFERROR((SUMPRODUCT((economics!$AG$2:$AG$167=$B49)*(economics!$D$2:$D$167="whr")*economics!$AH$2:$AH$167*(_xlfn.NORM.DIST(AW$3,economics!$AK$2:$AK$167,economics!$AJ$2:$AJ$167,TRUE)-_xlfn.NORM.DIST(AW$30,economics!$AK$2:$AK$167,economics!$AJ$2:$AJ$167,TRUE))*economics!$AM$2:$AM$167)+$CR20*(_xlfn.NORM.DIST(AW$3,$CU20,0.3*$CU20,TRUE)-_xlfn.NORM.DIST(AW$30,$CU20,0.3*$CU20,TRUE))*summary!$C$7/28.8/0.947817+$CS20*(_xlfn.NORM.DIST(AW$3,$CV20,0.3*$CV20,TRUE)-_xlfn.NORM.DIST(AW$30,$CV20,0.3*$CV20,TRUE))*summary!$C$6/28.8/0.947817)/(SUMPRODUCT((economics!$AG$2:$AG$167=$B49)*(economics!$D$2:$D$167="whr")*economics!$AH$2:$AH$167*(_xlfn.NORM.DIST(AW$3,economics!$AK$2:$AK$167,economics!$AJ$2:$AJ$167,TRUE)-_xlfn.NORM.DIST(AW$30,economics!$AK$2:$AK$167,economics!$AJ$2:$AJ$167,TRUE)))+$CR20*(_xlfn.NORM.DIST(AW$3,$CU20,0.3*$CU20,TRUE)-_xlfn.NORM.DIST(AW$30,$CU20,0.3*$CU20,TRUE))+$CS20*(_xlfn.NORM.DIST(AW$3,$CV20,0.3*$CV20,TRUE)-_xlfn.NORM.DIST(AW$30,$CV20,0.3*$CV20,TRUE))),""),IF($C20&gt;0,summary!$C$10/28.8/0.947817,""))</f>
        <v/>
      </c>
      <c r="AX49">
        <f t="array" ref="AX49">IF($D20,IFERROR((SUMPRODUCT((economics!$AG$2:$AG$167=$B49)*(economics!$D$2:$D$167="whr")*economics!$AH$2:$AH$167*(_xlfn.NORM.DIST(AX$3,economics!$AK$2:$AK$167,economics!$AJ$2:$AJ$167,TRUE)-_xlfn.NORM.DIST(AX$30,economics!$AK$2:$AK$167,economics!$AJ$2:$AJ$167,TRUE))*economics!$AM$2:$AM$167)+$CR20*(_xlfn.NORM.DIST(AX$3,$CU20,0.3*$CU20,TRUE)-_xlfn.NORM.DIST(AX$30,$CU20,0.3*$CU20,TRUE))*summary!$C$7/28.8/0.947817+$CS20*(_xlfn.NORM.DIST(AX$3,$CV20,0.3*$CV20,TRUE)-_xlfn.NORM.DIST(AX$30,$CV20,0.3*$CV20,TRUE))*summary!$C$6/28.8/0.947817)/(SUMPRODUCT((economics!$AG$2:$AG$167=$B49)*(economics!$D$2:$D$167="whr")*economics!$AH$2:$AH$167*(_xlfn.NORM.DIST(AX$3,economics!$AK$2:$AK$167,economics!$AJ$2:$AJ$167,TRUE)-_xlfn.NORM.DIST(AX$30,economics!$AK$2:$AK$167,economics!$AJ$2:$AJ$167,TRUE)))+$CR20*(_xlfn.NORM.DIST(AX$3,$CU20,0.3*$CU20,TRUE)-_xlfn.NORM.DIST(AX$30,$CU20,0.3*$CU20,TRUE))+$CS20*(_xlfn.NORM.DIST(AX$3,$CV20,0.3*$CV20,TRUE)-_xlfn.NORM.DIST(AX$30,$CV20,0.3*$CV20,TRUE))),""),IF($C20&gt;0,summary!$C$10/28.8/0.947817,""))</f>
        <v/>
      </c>
      <c r="AY49">
        <f t="array" ref="AY49">IF($D20,IFERROR((SUMPRODUCT((economics!$AG$2:$AG$167=$B49)*(economics!$D$2:$D$167="whr")*economics!$AH$2:$AH$167*(_xlfn.NORM.DIST(AY$3,economics!$AK$2:$AK$167,economics!$AJ$2:$AJ$167,TRUE)-_xlfn.NORM.DIST(AY$30,economics!$AK$2:$AK$167,economics!$AJ$2:$AJ$167,TRUE))*economics!$AM$2:$AM$167)+$CR20*(_xlfn.NORM.DIST(AY$3,$CU20,0.3*$CU20,TRUE)-_xlfn.NORM.DIST(AY$30,$CU20,0.3*$CU20,TRUE))*summary!$C$7/28.8/0.947817+$CS20*(_xlfn.NORM.DIST(AY$3,$CV20,0.3*$CV20,TRUE)-_xlfn.NORM.DIST(AY$30,$CV20,0.3*$CV20,TRUE))*summary!$C$6/28.8/0.947817)/(SUMPRODUCT((economics!$AG$2:$AG$167=$B49)*(economics!$D$2:$D$167="whr")*economics!$AH$2:$AH$167*(_xlfn.NORM.DIST(AY$3,economics!$AK$2:$AK$167,economics!$AJ$2:$AJ$167,TRUE)-_xlfn.NORM.DIST(AY$30,economics!$AK$2:$AK$167,economics!$AJ$2:$AJ$167,TRUE)))+$CR20*(_xlfn.NORM.DIST(AY$3,$CU20,0.3*$CU20,TRUE)-_xlfn.NORM.DIST(AY$30,$CU20,0.3*$CU20,TRUE))+$CS20*(_xlfn.NORM.DIST(AY$3,$CV20,0.3*$CV20,TRUE)-_xlfn.NORM.DIST(AY$30,$CV20,0.3*$CV20,TRUE))),""),IF($C20&gt;0,summary!$C$10/28.8/0.947817,""))</f>
        <v/>
      </c>
      <c r="AZ49">
        <f t="array" ref="AZ49">IF($D20,IFERROR((SUMPRODUCT((economics!$AG$2:$AG$167=$B49)*(economics!$D$2:$D$167="whr")*economics!$AH$2:$AH$167*(_xlfn.NORM.DIST(AZ$3,economics!$AK$2:$AK$167,economics!$AJ$2:$AJ$167,TRUE)-_xlfn.NORM.DIST(AZ$30,economics!$AK$2:$AK$167,economics!$AJ$2:$AJ$167,TRUE))*economics!$AM$2:$AM$167)+$CR20*(_xlfn.NORM.DIST(AZ$3,$CU20,0.3*$CU20,TRUE)-_xlfn.NORM.DIST(AZ$30,$CU20,0.3*$CU20,TRUE))*summary!$C$7/28.8/0.947817+$CS20*(_xlfn.NORM.DIST(AZ$3,$CV20,0.3*$CV20,TRUE)-_xlfn.NORM.DIST(AZ$30,$CV20,0.3*$CV20,TRUE))*summary!$C$6/28.8/0.947817)/(SUMPRODUCT((economics!$AG$2:$AG$167=$B49)*(economics!$D$2:$D$167="whr")*economics!$AH$2:$AH$167*(_xlfn.NORM.DIST(AZ$3,economics!$AK$2:$AK$167,economics!$AJ$2:$AJ$167,TRUE)-_xlfn.NORM.DIST(AZ$30,economics!$AK$2:$AK$167,economics!$AJ$2:$AJ$167,TRUE)))+$CR20*(_xlfn.NORM.DIST(AZ$3,$CU20,0.3*$CU20,TRUE)-_xlfn.NORM.DIST(AZ$30,$CU20,0.3*$CU20,TRUE))+$CS20*(_xlfn.NORM.DIST(AZ$3,$CV20,0.3*$CV20,TRUE)-_xlfn.NORM.DIST(AZ$30,$CV20,0.3*$CV20,TRUE))),""),IF($C20&gt;0,summary!$C$10/28.8/0.947817,""))</f>
        <v/>
      </c>
      <c r="BA49">
        <f t="array" ref="BA49">IF($D20,IFERROR((SUMPRODUCT((economics!$AG$2:$AG$167=$B49)*(economics!$D$2:$D$167="whr")*economics!$AH$2:$AH$167*(_xlfn.NORM.DIST(BA$3,economics!$AK$2:$AK$167,economics!$AJ$2:$AJ$167,TRUE)-_xlfn.NORM.DIST(BA$30,economics!$AK$2:$AK$167,economics!$AJ$2:$AJ$167,TRUE))*economics!$AM$2:$AM$167)+$CR20*(_xlfn.NORM.DIST(BA$3,$CU20,0.3*$CU20,TRUE)-_xlfn.NORM.DIST(BA$30,$CU20,0.3*$CU20,TRUE))*summary!$C$7/28.8/0.947817+$CS20*(_xlfn.NORM.DIST(BA$3,$CV20,0.3*$CV20,TRUE)-_xlfn.NORM.DIST(BA$30,$CV20,0.3*$CV20,TRUE))*summary!$C$6/28.8/0.947817)/(SUMPRODUCT((economics!$AG$2:$AG$167=$B49)*(economics!$D$2:$D$167="whr")*economics!$AH$2:$AH$167*(_xlfn.NORM.DIST(BA$3,economics!$AK$2:$AK$167,economics!$AJ$2:$AJ$167,TRUE)-_xlfn.NORM.DIST(BA$30,economics!$AK$2:$AK$167,economics!$AJ$2:$AJ$167,TRUE)))+$CR20*(_xlfn.NORM.DIST(BA$3,$CU20,0.3*$CU20,TRUE)-_xlfn.NORM.DIST(BA$30,$CU20,0.3*$CU20,TRUE))+$CS20*(_xlfn.NORM.DIST(BA$3,$CV20,0.3*$CV20,TRUE)-_xlfn.NORM.DIST(BA$30,$CV20,0.3*$CV20,TRUE))),""),IF($C20&gt;0,summary!$C$10/28.8/0.947817,""))</f>
        <v/>
      </c>
      <c r="BB49">
        <f t="array" ref="BB49">IF($D20,IFERROR((SUMPRODUCT((economics!$AG$2:$AG$167=$B49)*(economics!$D$2:$D$167="whr")*economics!$AH$2:$AH$167*(_xlfn.NORM.DIST(BB$3,economics!$AK$2:$AK$167,economics!$AJ$2:$AJ$167,TRUE)-_xlfn.NORM.DIST(BB$30,economics!$AK$2:$AK$167,economics!$AJ$2:$AJ$167,TRUE))*economics!$AM$2:$AM$167)+$CR20*(_xlfn.NORM.DIST(BB$3,$CU20,0.3*$CU20,TRUE)-_xlfn.NORM.DIST(BB$30,$CU20,0.3*$CU20,TRUE))*summary!$C$7/28.8/0.947817+$CS20*(_xlfn.NORM.DIST(BB$3,$CV20,0.3*$CV20,TRUE)-_xlfn.NORM.DIST(BB$30,$CV20,0.3*$CV20,TRUE))*summary!$C$6/28.8/0.947817)/(SUMPRODUCT((economics!$AG$2:$AG$167=$B49)*(economics!$D$2:$D$167="whr")*economics!$AH$2:$AH$167*(_xlfn.NORM.DIST(BB$3,economics!$AK$2:$AK$167,economics!$AJ$2:$AJ$167,TRUE)-_xlfn.NORM.DIST(BB$30,economics!$AK$2:$AK$167,economics!$AJ$2:$AJ$167,TRUE)))+$CR20*(_xlfn.NORM.DIST(BB$3,$CU20,0.3*$CU20,TRUE)-_xlfn.NORM.DIST(BB$30,$CU20,0.3*$CU20,TRUE))+$CS20*(_xlfn.NORM.DIST(BB$3,$CV20,0.3*$CV20,TRUE)-_xlfn.NORM.DIST(BB$30,$CV20,0.3*$CV20,TRUE))),""),IF($C20&gt;0,summary!$C$10/28.8/0.947817,""))</f>
        <v/>
      </c>
      <c r="BC49">
        <f t="array" ref="BC49">IF($D20,IFERROR((SUMPRODUCT((economics!$AG$2:$AG$167=$B49)*(economics!$D$2:$D$167="whr")*economics!$AH$2:$AH$167*(_xlfn.NORM.DIST(BC$3,economics!$AK$2:$AK$167,economics!$AJ$2:$AJ$167,TRUE)-_xlfn.NORM.DIST(BC$30,economics!$AK$2:$AK$167,economics!$AJ$2:$AJ$167,TRUE))*economics!$AM$2:$AM$167)+$CR20*(_xlfn.NORM.DIST(BC$3,$CU20,0.3*$CU20,TRUE)-_xlfn.NORM.DIST(BC$30,$CU20,0.3*$CU20,TRUE))*summary!$C$7/28.8/0.947817+$CS20*(_xlfn.NORM.DIST(BC$3,$CV20,0.3*$CV20,TRUE)-_xlfn.NORM.DIST(BC$30,$CV20,0.3*$CV20,TRUE))*summary!$C$6/28.8/0.947817)/(SUMPRODUCT((economics!$AG$2:$AG$167=$B49)*(economics!$D$2:$D$167="whr")*economics!$AH$2:$AH$167*(_xlfn.NORM.DIST(BC$3,economics!$AK$2:$AK$167,economics!$AJ$2:$AJ$167,TRUE)-_xlfn.NORM.DIST(BC$30,economics!$AK$2:$AK$167,economics!$AJ$2:$AJ$167,TRUE)))+$CR20*(_xlfn.NORM.DIST(BC$3,$CU20,0.3*$CU20,TRUE)-_xlfn.NORM.DIST(BC$30,$CU20,0.3*$CU20,TRUE))+$CS20*(_xlfn.NORM.DIST(BC$3,$CV20,0.3*$CV20,TRUE)-_xlfn.NORM.DIST(BC$30,$CV20,0.3*$CV20,TRUE))),""),IF($C20&gt;0,summary!$C$10/28.8/0.947817,""))</f>
        <v/>
      </c>
      <c r="BD49">
        <f t="array" ref="BD49">IF($D20,IFERROR((SUMPRODUCT((economics!$AG$2:$AG$167=$B49)*(economics!$D$2:$D$167="whr")*economics!$AH$2:$AH$167*(_xlfn.NORM.DIST(BD$3,economics!$AK$2:$AK$167,economics!$AJ$2:$AJ$167,TRUE)-_xlfn.NORM.DIST(BD$30,economics!$AK$2:$AK$167,economics!$AJ$2:$AJ$167,TRUE))*economics!$AM$2:$AM$167)+$CR20*(_xlfn.NORM.DIST(BD$3,$CU20,0.3*$CU20,TRUE)-_xlfn.NORM.DIST(BD$30,$CU20,0.3*$CU20,TRUE))*summary!$C$7/28.8/0.947817+$CS20*(_xlfn.NORM.DIST(BD$3,$CV20,0.3*$CV20,TRUE)-_xlfn.NORM.DIST(BD$30,$CV20,0.3*$CV20,TRUE))*summary!$C$6/28.8/0.947817)/(SUMPRODUCT((economics!$AG$2:$AG$167=$B49)*(economics!$D$2:$D$167="whr")*economics!$AH$2:$AH$167*(_xlfn.NORM.DIST(BD$3,economics!$AK$2:$AK$167,economics!$AJ$2:$AJ$167,TRUE)-_xlfn.NORM.DIST(BD$30,economics!$AK$2:$AK$167,economics!$AJ$2:$AJ$167,TRUE)))+$CR20*(_xlfn.NORM.DIST(BD$3,$CU20,0.3*$CU20,TRUE)-_xlfn.NORM.DIST(BD$30,$CU20,0.3*$CU20,TRUE))+$CS20*(_xlfn.NORM.DIST(BD$3,$CV20,0.3*$CV20,TRUE)-_xlfn.NORM.DIST(BD$30,$CV20,0.3*$CV20,TRUE))),""),IF($C20&gt;0,summary!$C$10/28.8/0.947817,""))</f>
        <v/>
      </c>
      <c r="BE49">
        <f t="array" ref="BE49">IF($D20,IFERROR((SUMPRODUCT((economics!$AG$2:$AG$167=$B49)*(economics!$D$2:$D$167="whr")*economics!$AH$2:$AH$167*(_xlfn.NORM.DIST(BE$3,economics!$AK$2:$AK$167,economics!$AJ$2:$AJ$167,TRUE)-_xlfn.NORM.DIST(BE$30,economics!$AK$2:$AK$167,economics!$AJ$2:$AJ$167,TRUE))*economics!$AM$2:$AM$167)+$CR20*(_xlfn.NORM.DIST(BE$3,$CU20,0.3*$CU20,TRUE)-_xlfn.NORM.DIST(BE$30,$CU20,0.3*$CU20,TRUE))*summary!$C$7/28.8/0.947817+$CS20*(_xlfn.NORM.DIST(BE$3,$CV20,0.3*$CV20,TRUE)-_xlfn.NORM.DIST(BE$30,$CV20,0.3*$CV20,TRUE))*summary!$C$6/28.8/0.947817)/(SUMPRODUCT((economics!$AG$2:$AG$167=$B49)*(economics!$D$2:$D$167="whr")*economics!$AH$2:$AH$167*(_xlfn.NORM.DIST(BE$3,economics!$AK$2:$AK$167,economics!$AJ$2:$AJ$167,TRUE)-_xlfn.NORM.DIST(BE$30,economics!$AK$2:$AK$167,economics!$AJ$2:$AJ$167,TRUE)))+$CR20*(_xlfn.NORM.DIST(BE$3,$CU20,0.3*$CU20,TRUE)-_xlfn.NORM.DIST(BE$30,$CU20,0.3*$CU20,TRUE))+$CS20*(_xlfn.NORM.DIST(BE$3,$CV20,0.3*$CV20,TRUE)-_xlfn.NORM.DIST(BE$30,$CV20,0.3*$CV20,TRUE))),""),IF($C20&gt;0,summary!$C$10/28.8/0.947817,""))</f>
        <v/>
      </c>
      <c r="BF49">
        <f t="array" ref="BF49">IF($D20,IFERROR((SUMPRODUCT((economics!$AG$2:$AG$167=$B49)*(economics!$D$2:$D$167="whr")*economics!$AH$2:$AH$167*(_xlfn.NORM.DIST(BF$3,economics!$AK$2:$AK$167,economics!$AJ$2:$AJ$167,TRUE)-_xlfn.NORM.DIST(BF$30,economics!$AK$2:$AK$167,economics!$AJ$2:$AJ$167,TRUE))*economics!$AM$2:$AM$167)+$CR20*(_xlfn.NORM.DIST(BF$3,$CU20,0.3*$CU20,TRUE)-_xlfn.NORM.DIST(BF$30,$CU20,0.3*$CU20,TRUE))*summary!$C$7/28.8/0.947817+$CS20*(_xlfn.NORM.DIST(BF$3,$CV20,0.3*$CV20,TRUE)-_xlfn.NORM.DIST(BF$30,$CV20,0.3*$CV20,TRUE))*summary!$C$6/28.8/0.947817)/(SUMPRODUCT((economics!$AG$2:$AG$167=$B49)*(economics!$D$2:$D$167="whr")*economics!$AH$2:$AH$167*(_xlfn.NORM.DIST(BF$3,economics!$AK$2:$AK$167,economics!$AJ$2:$AJ$167,TRUE)-_xlfn.NORM.DIST(BF$30,economics!$AK$2:$AK$167,economics!$AJ$2:$AJ$167,TRUE)))+$CR20*(_xlfn.NORM.DIST(BF$3,$CU20,0.3*$CU20,TRUE)-_xlfn.NORM.DIST(BF$30,$CU20,0.3*$CU20,TRUE))+$CS20*(_xlfn.NORM.DIST(BF$3,$CV20,0.3*$CV20,TRUE)-_xlfn.NORM.DIST(BF$30,$CV20,0.3*$CV20,TRUE))),""),IF($C20&gt;0,summary!$C$10/28.8/0.947817,""))</f>
        <v/>
      </c>
      <c r="BG49">
        <f t="array" ref="BG49">IF($D20,IFERROR((SUMPRODUCT((economics!$AG$2:$AG$167=$B49)*(economics!$D$2:$D$167="whr")*economics!$AH$2:$AH$167*(_xlfn.NORM.DIST(BG$3,economics!$AK$2:$AK$167,economics!$AJ$2:$AJ$167,TRUE)-_xlfn.NORM.DIST(BG$30,economics!$AK$2:$AK$167,economics!$AJ$2:$AJ$167,TRUE))*economics!$AM$2:$AM$167)+$CR20*(_xlfn.NORM.DIST(BG$3,$CU20,0.3*$CU20,TRUE)-_xlfn.NORM.DIST(BG$30,$CU20,0.3*$CU20,TRUE))*summary!$C$7/28.8/0.947817+$CS20*(_xlfn.NORM.DIST(BG$3,$CV20,0.3*$CV20,TRUE)-_xlfn.NORM.DIST(BG$30,$CV20,0.3*$CV20,TRUE))*summary!$C$6/28.8/0.947817)/(SUMPRODUCT((economics!$AG$2:$AG$167=$B49)*(economics!$D$2:$D$167="whr")*economics!$AH$2:$AH$167*(_xlfn.NORM.DIST(BG$3,economics!$AK$2:$AK$167,economics!$AJ$2:$AJ$167,TRUE)-_xlfn.NORM.DIST(BG$30,economics!$AK$2:$AK$167,economics!$AJ$2:$AJ$167,TRUE)))+$CR20*(_xlfn.NORM.DIST(BG$3,$CU20,0.3*$CU20,TRUE)-_xlfn.NORM.DIST(BG$30,$CU20,0.3*$CU20,TRUE))+$CS20*(_xlfn.NORM.DIST(BG$3,$CV20,0.3*$CV20,TRUE)-_xlfn.NORM.DIST(BG$30,$CV20,0.3*$CV20,TRUE))),""),IF($C20&gt;0,summary!$C$10/28.8/0.947817,""))</f>
        <v/>
      </c>
      <c r="BH49">
        <f t="array" ref="BH49">IF($D20,IFERROR((SUMPRODUCT((economics!$AG$2:$AG$167=$B49)*(economics!$D$2:$D$167="whr")*economics!$AH$2:$AH$167*(_xlfn.NORM.DIST(BH$3,economics!$AK$2:$AK$167,economics!$AJ$2:$AJ$167,TRUE)-_xlfn.NORM.DIST(BH$30,economics!$AK$2:$AK$167,economics!$AJ$2:$AJ$167,TRUE))*economics!$AM$2:$AM$167)+$CR20*(_xlfn.NORM.DIST(BH$3,$CU20,0.3*$CU20,TRUE)-_xlfn.NORM.DIST(BH$30,$CU20,0.3*$CU20,TRUE))*summary!$C$7/28.8/0.947817+$CS20*(_xlfn.NORM.DIST(BH$3,$CV20,0.3*$CV20,TRUE)-_xlfn.NORM.DIST(BH$30,$CV20,0.3*$CV20,TRUE))*summary!$C$6/28.8/0.947817)/(SUMPRODUCT((economics!$AG$2:$AG$167=$B49)*(economics!$D$2:$D$167="whr")*economics!$AH$2:$AH$167*(_xlfn.NORM.DIST(BH$3,economics!$AK$2:$AK$167,economics!$AJ$2:$AJ$167,TRUE)-_xlfn.NORM.DIST(BH$30,economics!$AK$2:$AK$167,economics!$AJ$2:$AJ$167,TRUE)))+$CR20*(_xlfn.NORM.DIST(BH$3,$CU20,0.3*$CU20,TRUE)-_xlfn.NORM.DIST(BH$30,$CU20,0.3*$CU20,TRUE))+$CS20*(_xlfn.NORM.DIST(BH$3,$CV20,0.3*$CV20,TRUE)-_xlfn.NORM.DIST(BH$30,$CV20,0.3*$CV20,TRUE))),""),IF($C20&gt;0,summary!$C$10/28.8/0.947817,""))</f>
        <v/>
      </c>
      <c r="BI49">
        <f t="array" ref="BI49">IF($D20,IFERROR((SUMPRODUCT((economics!$AG$2:$AG$167=$B49)*(economics!$D$2:$D$167="whr")*economics!$AH$2:$AH$167*(_xlfn.NORM.DIST(BI$3,economics!$AK$2:$AK$167,economics!$AJ$2:$AJ$167,TRUE)-_xlfn.NORM.DIST(BI$30,economics!$AK$2:$AK$167,economics!$AJ$2:$AJ$167,TRUE))*economics!$AM$2:$AM$167)+$CR20*(_xlfn.NORM.DIST(BI$3,$CU20,0.3*$CU20,TRUE)-_xlfn.NORM.DIST(BI$30,$CU20,0.3*$CU20,TRUE))*summary!$C$7/28.8/0.947817+$CS20*(_xlfn.NORM.DIST(BI$3,$CV20,0.3*$CV20,TRUE)-_xlfn.NORM.DIST(BI$30,$CV20,0.3*$CV20,TRUE))*summary!$C$6/28.8/0.947817)/(SUMPRODUCT((economics!$AG$2:$AG$167=$B49)*(economics!$D$2:$D$167="whr")*economics!$AH$2:$AH$167*(_xlfn.NORM.DIST(BI$3,economics!$AK$2:$AK$167,economics!$AJ$2:$AJ$167,TRUE)-_xlfn.NORM.DIST(BI$30,economics!$AK$2:$AK$167,economics!$AJ$2:$AJ$167,TRUE)))+$CR20*(_xlfn.NORM.DIST(BI$3,$CU20,0.3*$CU20,TRUE)-_xlfn.NORM.DIST(BI$30,$CU20,0.3*$CU20,TRUE))+$CS20*(_xlfn.NORM.DIST(BI$3,$CV20,0.3*$CV20,TRUE)-_xlfn.NORM.DIST(BI$30,$CV20,0.3*$CV20,TRUE))),""),IF($C20&gt;0,summary!$C$10/28.8/0.947817,""))</f>
        <v/>
      </c>
      <c r="BJ49">
        <f t="array" ref="BJ49">IF($D20,IFERROR((SUMPRODUCT((economics!$AG$2:$AG$167=$B49)*(economics!$D$2:$D$167="whr")*economics!$AH$2:$AH$167*(_xlfn.NORM.DIST(BJ$3,economics!$AK$2:$AK$167,economics!$AJ$2:$AJ$167,TRUE)-_xlfn.NORM.DIST(BJ$30,economics!$AK$2:$AK$167,economics!$AJ$2:$AJ$167,TRUE))*economics!$AM$2:$AM$167)+$CR20*(_xlfn.NORM.DIST(BJ$3,$CU20,0.3*$CU20,TRUE)-_xlfn.NORM.DIST(BJ$30,$CU20,0.3*$CU20,TRUE))*summary!$C$7/28.8/0.947817+$CS20*(_xlfn.NORM.DIST(BJ$3,$CV20,0.3*$CV20,TRUE)-_xlfn.NORM.DIST(BJ$30,$CV20,0.3*$CV20,TRUE))*summary!$C$6/28.8/0.947817)/(SUMPRODUCT((economics!$AG$2:$AG$167=$B49)*(economics!$D$2:$D$167="whr")*economics!$AH$2:$AH$167*(_xlfn.NORM.DIST(BJ$3,economics!$AK$2:$AK$167,economics!$AJ$2:$AJ$167,TRUE)-_xlfn.NORM.DIST(BJ$30,economics!$AK$2:$AK$167,economics!$AJ$2:$AJ$167,TRUE)))+$CR20*(_xlfn.NORM.DIST(BJ$3,$CU20,0.3*$CU20,TRUE)-_xlfn.NORM.DIST(BJ$30,$CU20,0.3*$CU20,TRUE))+$CS20*(_xlfn.NORM.DIST(BJ$3,$CV20,0.3*$CV20,TRUE)-_xlfn.NORM.DIST(BJ$30,$CV20,0.3*$CV20,TRUE))),""),IF($C20&gt;0,summary!$C$10/28.8/0.947817,""))</f>
        <v/>
      </c>
      <c r="BK49">
        <f t="array" ref="BK49">IF($D20,IFERROR((SUMPRODUCT((economics!$AG$2:$AG$167=$B49)*(economics!$D$2:$D$167="whr")*economics!$AH$2:$AH$167*(_xlfn.NORM.DIST(BK$3,economics!$AK$2:$AK$167,economics!$AJ$2:$AJ$167,TRUE)-_xlfn.NORM.DIST(BK$30,economics!$AK$2:$AK$167,economics!$AJ$2:$AJ$167,TRUE))*economics!$AM$2:$AM$167)+$CR20*(_xlfn.NORM.DIST(BK$3,$CU20,0.3*$CU20,TRUE)-_xlfn.NORM.DIST(BK$30,$CU20,0.3*$CU20,TRUE))*summary!$C$7/28.8/0.947817+$CS20*(_xlfn.NORM.DIST(BK$3,$CV20,0.3*$CV20,TRUE)-_xlfn.NORM.DIST(BK$30,$CV20,0.3*$CV20,TRUE))*summary!$C$6/28.8/0.947817)/(SUMPRODUCT((economics!$AG$2:$AG$167=$B49)*(economics!$D$2:$D$167="whr")*economics!$AH$2:$AH$167*(_xlfn.NORM.DIST(BK$3,economics!$AK$2:$AK$167,economics!$AJ$2:$AJ$167,TRUE)-_xlfn.NORM.DIST(BK$30,economics!$AK$2:$AK$167,economics!$AJ$2:$AJ$167,TRUE)))+$CR20*(_xlfn.NORM.DIST(BK$3,$CU20,0.3*$CU20,TRUE)-_xlfn.NORM.DIST(BK$30,$CU20,0.3*$CU20,TRUE))+$CS20*(_xlfn.NORM.DIST(BK$3,$CV20,0.3*$CV20,TRUE)-_xlfn.NORM.DIST(BK$30,$CV20,0.3*$CV20,TRUE))),""),IF($C20&gt;0,summary!$C$10/28.8/0.947817,""))</f>
        <v/>
      </c>
      <c r="BL49">
        <f t="array" ref="BL49">IF($D20,IFERROR((SUMPRODUCT((economics!$AG$2:$AG$167=$B49)*(economics!$D$2:$D$167="whr")*economics!$AH$2:$AH$167*(_xlfn.NORM.DIST(BL$3,economics!$AK$2:$AK$167,economics!$AJ$2:$AJ$167,TRUE)-_xlfn.NORM.DIST(BL$30,economics!$AK$2:$AK$167,economics!$AJ$2:$AJ$167,TRUE))*economics!$AM$2:$AM$167)+$CR20*(_xlfn.NORM.DIST(BL$3,$CU20,0.3*$CU20,TRUE)-_xlfn.NORM.DIST(BL$30,$CU20,0.3*$CU20,TRUE))*summary!$C$7/28.8/0.947817+$CS20*(_xlfn.NORM.DIST(BL$3,$CV20,0.3*$CV20,TRUE)-_xlfn.NORM.DIST(BL$30,$CV20,0.3*$CV20,TRUE))*summary!$C$6/28.8/0.947817)/(SUMPRODUCT((economics!$AG$2:$AG$167=$B49)*(economics!$D$2:$D$167="whr")*economics!$AH$2:$AH$167*(_xlfn.NORM.DIST(BL$3,economics!$AK$2:$AK$167,economics!$AJ$2:$AJ$167,TRUE)-_xlfn.NORM.DIST(BL$30,economics!$AK$2:$AK$167,economics!$AJ$2:$AJ$167,TRUE)))+$CR20*(_xlfn.NORM.DIST(BL$3,$CU20,0.3*$CU20,TRUE)-_xlfn.NORM.DIST(BL$30,$CU20,0.3*$CU20,TRUE))+$CS20*(_xlfn.NORM.DIST(BL$3,$CV20,0.3*$CV20,TRUE)-_xlfn.NORM.DIST(BL$30,$CV20,0.3*$CV20,TRUE))),""),IF($C20&gt;0,summary!$C$10/28.8/0.947817,""))</f>
        <v/>
      </c>
      <c r="BM49">
        <f t="array" ref="BM49">IF($D20,IFERROR((SUMPRODUCT((economics!$AG$2:$AG$167=$B49)*(economics!$D$2:$D$167="whr")*economics!$AH$2:$AH$167*(_xlfn.NORM.DIST(BM$3,economics!$AK$2:$AK$167,economics!$AJ$2:$AJ$167,TRUE)-_xlfn.NORM.DIST(BM$30,economics!$AK$2:$AK$167,economics!$AJ$2:$AJ$167,TRUE))*economics!$AM$2:$AM$167)+$CR20*(_xlfn.NORM.DIST(BM$3,$CU20,0.3*$CU20,TRUE)-_xlfn.NORM.DIST(BM$30,$CU20,0.3*$CU20,TRUE))*summary!$C$7/28.8/0.947817+$CS20*(_xlfn.NORM.DIST(BM$3,$CV20,0.3*$CV20,TRUE)-_xlfn.NORM.DIST(BM$30,$CV20,0.3*$CV20,TRUE))*summary!$C$6/28.8/0.947817)/(SUMPRODUCT((economics!$AG$2:$AG$167=$B49)*(economics!$D$2:$D$167="whr")*economics!$AH$2:$AH$167*(_xlfn.NORM.DIST(BM$3,economics!$AK$2:$AK$167,economics!$AJ$2:$AJ$167,TRUE)-_xlfn.NORM.DIST(BM$30,economics!$AK$2:$AK$167,economics!$AJ$2:$AJ$167,TRUE)))+$CR20*(_xlfn.NORM.DIST(BM$3,$CU20,0.3*$CU20,TRUE)-_xlfn.NORM.DIST(BM$30,$CU20,0.3*$CU20,TRUE))+$CS20*(_xlfn.NORM.DIST(BM$3,$CV20,0.3*$CV20,TRUE)-_xlfn.NORM.DIST(BM$30,$CV20,0.3*$CV20,TRUE))),""),IF($C20&gt;0,summary!$C$10/28.8/0.947817,""))</f>
        <v/>
      </c>
      <c r="BN49">
        <f t="array" ref="BN49">IF($D20,IFERROR((SUMPRODUCT((economics!$AG$2:$AG$167=$B49)*(economics!$D$2:$D$167="whr")*economics!$AH$2:$AH$167*(_xlfn.NORM.DIST(BN$3,economics!$AK$2:$AK$167,economics!$AJ$2:$AJ$167,TRUE)-_xlfn.NORM.DIST(BN$30,economics!$AK$2:$AK$167,economics!$AJ$2:$AJ$167,TRUE))*economics!$AM$2:$AM$167)+$CR20*(_xlfn.NORM.DIST(BN$3,$CU20,0.3*$CU20,TRUE)-_xlfn.NORM.DIST(BN$30,$CU20,0.3*$CU20,TRUE))*summary!$C$7/28.8/0.947817+$CS20*(_xlfn.NORM.DIST(BN$3,$CV20,0.3*$CV20,TRUE)-_xlfn.NORM.DIST(BN$30,$CV20,0.3*$CV20,TRUE))*summary!$C$6/28.8/0.947817)/(SUMPRODUCT((economics!$AG$2:$AG$167=$B49)*(economics!$D$2:$D$167="whr")*economics!$AH$2:$AH$167*(_xlfn.NORM.DIST(BN$3,economics!$AK$2:$AK$167,economics!$AJ$2:$AJ$167,TRUE)-_xlfn.NORM.DIST(BN$30,economics!$AK$2:$AK$167,economics!$AJ$2:$AJ$167,TRUE)))+$CR20*(_xlfn.NORM.DIST(BN$3,$CU20,0.3*$CU20,TRUE)-_xlfn.NORM.DIST(BN$30,$CU20,0.3*$CU20,TRUE))+$CS20*(_xlfn.NORM.DIST(BN$3,$CV20,0.3*$CV20,TRUE)-_xlfn.NORM.DIST(BN$30,$CV20,0.3*$CV20,TRUE))),""),IF($C20&gt;0,summary!$C$10/28.8/0.947817,""))</f>
        <v/>
      </c>
      <c r="BO49">
        <f t="array" ref="BO49">IF($D20,IFERROR((SUMPRODUCT((economics!$AG$2:$AG$167=$B49)*(economics!$D$2:$D$167="whr")*economics!$AH$2:$AH$167*(_xlfn.NORM.DIST(BO$3,economics!$AK$2:$AK$167,economics!$AJ$2:$AJ$167,TRUE)-_xlfn.NORM.DIST(BO$30,economics!$AK$2:$AK$167,economics!$AJ$2:$AJ$167,TRUE))*economics!$AM$2:$AM$167)+$CR20*(_xlfn.NORM.DIST(BO$3,$CU20,0.3*$CU20,TRUE)-_xlfn.NORM.DIST(BO$30,$CU20,0.3*$CU20,TRUE))*summary!$C$7/28.8/0.947817+$CS20*(_xlfn.NORM.DIST(BO$3,$CV20,0.3*$CV20,TRUE)-_xlfn.NORM.DIST(BO$30,$CV20,0.3*$CV20,TRUE))*summary!$C$6/28.8/0.947817)/(SUMPRODUCT((economics!$AG$2:$AG$167=$B49)*(economics!$D$2:$D$167="whr")*economics!$AH$2:$AH$167*(_xlfn.NORM.DIST(BO$3,economics!$AK$2:$AK$167,economics!$AJ$2:$AJ$167,TRUE)-_xlfn.NORM.DIST(BO$30,economics!$AK$2:$AK$167,economics!$AJ$2:$AJ$167,TRUE)))+$CR20*(_xlfn.NORM.DIST(BO$3,$CU20,0.3*$CU20,TRUE)-_xlfn.NORM.DIST(BO$30,$CU20,0.3*$CU20,TRUE))+$CS20*(_xlfn.NORM.DIST(BO$3,$CV20,0.3*$CV20,TRUE)-_xlfn.NORM.DIST(BO$30,$CV20,0.3*$CV20,TRUE))),""),IF($C20&gt;0,summary!$C$10/28.8/0.947817,""))</f>
        <v/>
      </c>
      <c r="BP49">
        <f t="array" ref="BP49">IF($D20,IFERROR((SUMPRODUCT((economics!$AG$2:$AG$167=$B49)*(economics!$D$2:$D$167="whr")*economics!$AH$2:$AH$167*(_xlfn.NORM.DIST(BP$3,economics!$AK$2:$AK$167,economics!$AJ$2:$AJ$167,TRUE)-_xlfn.NORM.DIST(BP$30,economics!$AK$2:$AK$167,economics!$AJ$2:$AJ$167,TRUE))*economics!$AM$2:$AM$167)+$CR20*(_xlfn.NORM.DIST(BP$3,$CU20,0.3*$CU20,TRUE)-_xlfn.NORM.DIST(BP$30,$CU20,0.3*$CU20,TRUE))*summary!$C$7/28.8/0.947817+$CS20*(_xlfn.NORM.DIST(BP$3,$CV20,0.3*$CV20,TRUE)-_xlfn.NORM.DIST(BP$30,$CV20,0.3*$CV20,TRUE))*summary!$C$6/28.8/0.947817)/(SUMPRODUCT((economics!$AG$2:$AG$167=$B49)*(economics!$D$2:$D$167="whr")*economics!$AH$2:$AH$167*(_xlfn.NORM.DIST(BP$3,economics!$AK$2:$AK$167,economics!$AJ$2:$AJ$167,TRUE)-_xlfn.NORM.DIST(BP$30,economics!$AK$2:$AK$167,economics!$AJ$2:$AJ$167,TRUE)))+$CR20*(_xlfn.NORM.DIST(BP$3,$CU20,0.3*$CU20,TRUE)-_xlfn.NORM.DIST(BP$30,$CU20,0.3*$CU20,TRUE))+$CS20*(_xlfn.NORM.DIST(BP$3,$CV20,0.3*$CV20,TRUE)-_xlfn.NORM.DIST(BP$30,$CV20,0.3*$CV20,TRUE))),""),IF($C20&gt;0,summary!$C$10/28.8/0.947817,""))</f>
        <v/>
      </c>
      <c r="BQ49">
        <f t="array" ref="BQ49">IF($D20,IFERROR((SUMPRODUCT((economics!$AG$2:$AG$167=$B49)*(economics!$D$2:$D$167="whr")*economics!$AH$2:$AH$167*(_xlfn.NORM.DIST(BQ$3,economics!$AK$2:$AK$167,economics!$AJ$2:$AJ$167,TRUE)-_xlfn.NORM.DIST(BQ$30,economics!$AK$2:$AK$167,economics!$AJ$2:$AJ$167,TRUE))*economics!$AM$2:$AM$167)+$CR20*(_xlfn.NORM.DIST(BQ$3,$CU20,0.3*$CU20,TRUE)-_xlfn.NORM.DIST(BQ$30,$CU20,0.3*$CU20,TRUE))*summary!$C$7/28.8/0.947817+$CS20*(_xlfn.NORM.DIST(BQ$3,$CV20,0.3*$CV20,TRUE)-_xlfn.NORM.DIST(BQ$30,$CV20,0.3*$CV20,TRUE))*summary!$C$6/28.8/0.947817)/(SUMPRODUCT((economics!$AG$2:$AG$167=$B49)*(economics!$D$2:$D$167="whr")*economics!$AH$2:$AH$167*(_xlfn.NORM.DIST(BQ$3,economics!$AK$2:$AK$167,economics!$AJ$2:$AJ$167,TRUE)-_xlfn.NORM.DIST(BQ$30,economics!$AK$2:$AK$167,economics!$AJ$2:$AJ$167,TRUE)))+$CR20*(_xlfn.NORM.DIST(BQ$3,$CU20,0.3*$CU20,TRUE)-_xlfn.NORM.DIST(BQ$30,$CU20,0.3*$CU20,TRUE))+$CS20*(_xlfn.NORM.DIST(BQ$3,$CV20,0.3*$CV20,TRUE)-_xlfn.NORM.DIST(BQ$30,$CV20,0.3*$CV20,TRUE))),""),IF($C20&gt;0,summary!$C$10/28.8/0.947817,""))</f>
        <v/>
      </c>
      <c r="BR49">
        <f t="array" ref="BR49">IF($D20,IFERROR((SUMPRODUCT((economics!$AG$2:$AG$167=$B49)*(economics!$D$2:$D$167="whr")*economics!$AH$2:$AH$167*(_xlfn.NORM.DIST(BR$3,economics!$AK$2:$AK$167,economics!$AJ$2:$AJ$167,TRUE)-_xlfn.NORM.DIST(BR$30,economics!$AK$2:$AK$167,economics!$AJ$2:$AJ$167,TRUE))*economics!$AM$2:$AM$167)+$CR20*(_xlfn.NORM.DIST(BR$3,$CU20,0.3*$CU20,TRUE)-_xlfn.NORM.DIST(BR$30,$CU20,0.3*$CU20,TRUE))*summary!$C$7/28.8/0.947817+$CS20*(_xlfn.NORM.DIST(BR$3,$CV20,0.3*$CV20,TRUE)-_xlfn.NORM.DIST(BR$30,$CV20,0.3*$CV20,TRUE))*summary!$C$6/28.8/0.947817)/(SUMPRODUCT((economics!$AG$2:$AG$167=$B49)*(economics!$D$2:$D$167="whr")*economics!$AH$2:$AH$167*(_xlfn.NORM.DIST(BR$3,economics!$AK$2:$AK$167,economics!$AJ$2:$AJ$167,TRUE)-_xlfn.NORM.DIST(BR$30,economics!$AK$2:$AK$167,economics!$AJ$2:$AJ$167,TRUE)))+$CR20*(_xlfn.NORM.DIST(BR$3,$CU20,0.3*$CU20,TRUE)-_xlfn.NORM.DIST(BR$30,$CU20,0.3*$CU20,TRUE))+$CS20*(_xlfn.NORM.DIST(BR$3,$CV20,0.3*$CV20,TRUE)-_xlfn.NORM.DIST(BR$30,$CV20,0.3*$CV20,TRUE))),""),IF($C20&gt;0,summary!$C$10/28.8/0.947817,""))</f>
        <v/>
      </c>
      <c r="BS49">
        <f t="array" ref="BS49">IF($D20,IFERROR((SUMPRODUCT((economics!$AG$2:$AG$167=$B49)*(economics!$D$2:$D$167="whr")*economics!$AH$2:$AH$167*(_xlfn.NORM.DIST(BS$3,economics!$AK$2:$AK$167,economics!$AJ$2:$AJ$167,TRUE)-_xlfn.NORM.DIST(BS$30,economics!$AK$2:$AK$167,economics!$AJ$2:$AJ$167,TRUE))*economics!$AM$2:$AM$167)+$CR20*(_xlfn.NORM.DIST(BS$3,$CU20,0.3*$CU20,TRUE)-_xlfn.NORM.DIST(BS$30,$CU20,0.3*$CU20,TRUE))*summary!$C$7/28.8/0.947817+$CS20*(_xlfn.NORM.DIST(BS$3,$CV20,0.3*$CV20,TRUE)-_xlfn.NORM.DIST(BS$30,$CV20,0.3*$CV20,TRUE))*summary!$C$6/28.8/0.947817)/(SUMPRODUCT((economics!$AG$2:$AG$167=$B49)*(economics!$D$2:$D$167="whr")*economics!$AH$2:$AH$167*(_xlfn.NORM.DIST(BS$3,economics!$AK$2:$AK$167,economics!$AJ$2:$AJ$167,TRUE)-_xlfn.NORM.DIST(BS$30,economics!$AK$2:$AK$167,economics!$AJ$2:$AJ$167,TRUE)))+$CR20*(_xlfn.NORM.DIST(BS$3,$CU20,0.3*$CU20,TRUE)-_xlfn.NORM.DIST(BS$30,$CU20,0.3*$CU20,TRUE))+$CS20*(_xlfn.NORM.DIST(BS$3,$CV20,0.3*$CV20,TRUE)-_xlfn.NORM.DIST(BS$30,$CV20,0.3*$CV20,TRUE))),""),IF($C20&gt;0,summary!$C$10/28.8/0.947817,""))</f>
        <v/>
      </c>
      <c r="BT49">
        <f t="array" ref="BT49">IF($D20,IFERROR((SUMPRODUCT((economics!$AG$2:$AG$167=$B49)*(economics!$D$2:$D$167="whr")*economics!$AH$2:$AH$167*(_xlfn.NORM.DIST(BT$3,economics!$AK$2:$AK$167,economics!$AJ$2:$AJ$167,TRUE)-_xlfn.NORM.DIST(BT$30,economics!$AK$2:$AK$167,economics!$AJ$2:$AJ$167,TRUE))*economics!$AM$2:$AM$167)+$CR20*(_xlfn.NORM.DIST(BT$3,$CU20,0.3*$CU20,TRUE)-_xlfn.NORM.DIST(BT$30,$CU20,0.3*$CU20,TRUE))*summary!$C$7/28.8/0.947817+$CS20*(_xlfn.NORM.DIST(BT$3,$CV20,0.3*$CV20,TRUE)-_xlfn.NORM.DIST(BT$30,$CV20,0.3*$CV20,TRUE))*summary!$C$6/28.8/0.947817)/(SUMPRODUCT((economics!$AG$2:$AG$167=$B49)*(economics!$D$2:$D$167="whr")*economics!$AH$2:$AH$167*(_xlfn.NORM.DIST(BT$3,economics!$AK$2:$AK$167,economics!$AJ$2:$AJ$167,TRUE)-_xlfn.NORM.DIST(BT$30,economics!$AK$2:$AK$167,economics!$AJ$2:$AJ$167,TRUE)))+$CR20*(_xlfn.NORM.DIST(BT$3,$CU20,0.3*$CU20,TRUE)-_xlfn.NORM.DIST(BT$30,$CU20,0.3*$CU20,TRUE))+$CS20*(_xlfn.NORM.DIST(BT$3,$CV20,0.3*$CV20,TRUE)-_xlfn.NORM.DIST(BT$30,$CV20,0.3*$CV20,TRUE))),""),IF($C20&gt;0,summary!$C$10/28.8/0.947817,""))</f>
        <v/>
      </c>
      <c r="BU49">
        <f t="array" ref="BU49">IF($D20,IFERROR((SUMPRODUCT((economics!$AG$2:$AG$167=$B49)*(economics!$D$2:$D$167="whr")*economics!$AH$2:$AH$167*(_xlfn.NORM.DIST(BU$3,economics!$AK$2:$AK$167,economics!$AJ$2:$AJ$167,TRUE)-_xlfn.NORM.DIST(BU$30,economics!$AK$2:$AK$167,economics!$AJ$2:$AJ$167,TRUE))*economics!$AM$2:$AM$167)+$CR20*(_xlfn.NORM.DIST(BU$3,$CU20,0.3*$CU20,TRUE)-_xlfn.NORM.DIST(BU$30,$CU20,0.3*$CU20,TRUE))*summary!$C$7/28.8/0.947817+$CS20*(_xlfn.NORM.DIST(BU$3,$CV20,0.3*$CV20,TRUE)-_xlfn.NORM.DIST(BU$30,$CV20,0.3*$CV20,TRUE))*summary!$C$6/28.8/0.947817)/(SUMPRODUCT((economics!$AG$2:$AG$167=$B49)*(economics!$D$2:$D$167="whr")*economics!$AH$2:$AH$167*(_xlfn.NORM.DIST(BU$3,economics!$AK$2:$AK$167,economics!$AJ$2:$AJ$167,TRUE)-_xlfn.NORM.DIST(BU$30,economics!$AK$2:$AK$167,economics!$AJ$2:$AJ$167,TRUE)))+$CR20*(_xlfn.NORM.DIST(BU$3,$CU20,0.3*$CU20,TRUE)-_xlfn.NORM.DIST(BU$30,$CU20,0.3*$CU20,TRUE))+$CS20*(_xlfn.NORM.DIST(BU$3,$CV20,0.3*$CV20,TRUE)-_xlfn.NORM.DIST(BU$30,$CV20,0.3*$CV20,TRUE))),""),IF($C20&gt;0,summary!$C$10/28.8/0.947817,""))</f>
        <v/>
      </c>
      <c r="BV49">
        <f t="array" ref="BV49">IF($D20,IFERROR((SUMPRODUCT((economics!$AG$2:$AG$167=$B49)*(economics!$D$2:$D$167="whr")*economics!$AH$2:$AH$167*(_xlfn.NORM.DIST(BV$3,economics!$AK$2:$AK$167,economics!$AJ$2:$AJ$167,TRUE)-_xlfn.NORM.DIST(BV$30,economics!$AK$2:$AK$167,economics!$AJ$2:$AJ$167,TRUE))*economics!$AM$2:$AM$167)+$CR20*(_xlfn.NORM.DIST(BV$3,$CU20,0.3*$CU20,TRUE)-_xlfn.NORM.DIST(BV$30,$CU20,0.3*$CU20,TRUE))*summary!$C$7/28.8/0.947817+$CS20*(_xlfn.NORM.DIST(BV$3,$CV20,0.3*$CV20,TRUE)-_xlfn.NORM.DIST(BV$30,$CV20,0.3*$CV20,TRUE))*summary!$C$6/28.8/0.947817)/(SUMPRODUCT((economics!$AG$2:$AG$167=$B49)*(economics!$D$2:$D$167="whr")*economics!$AH$2:$AH$167*(_xlfn.NORM.DIST(BV$3,economics!$AK$2:$AK$167,economics!$AJ$2:$AJ$167,TRUE)-_xlfn.NORM.DIST(BV$30,economics!$AK$2:$AK$167,economics!$AJ$2:$AJ$167,TRUE)))+$CR20*(_xlfn.NORM.DIST(BV$3,$CU20,0.3*$CU20,TRUE)-_xlfn.NORM.DIST(BV$30,$CU20,0.3*$CU20,TRUE))+$CS20*(_xlfn.NORM.DIST(BV$3,$CV20,0.3*$CV20,TRUE)-_xlfn.NORM.DIST(BV$30,$CV20,0.3*$CV20,TRUE))),""),IF($C20&gt;0,summary!$C$10/28.8/0.947817,""))</f>
        <v/>
      </c>
      <c r="BW49">
        <f t="array" ref="BW49">IF($D20,IFERROR((SUMPRODUCT((economics!$AG$2:$AG$167=$B49)*(economics!$D$2:$D$167="whr")*economics!$AH$2:$AH$167*(_xlfn.NORM.DIST(BW$3,economics!$AK$2:$AK$167,economics!$AJ$2:$AJ$167,TRUE)-_xlfn.NORM.DIST(BW$30,economics!$AK$2:$AK$167,economics!$AJ$2:$AJ$167,TRUE))*economics!$AM$2:$AM$167)+$CR20*(_xlfn.NORM.DIST(BW$3,$CU20,0.3*$CU20,TRUE)-_xlfn.NORM.DIST(BW$30,$CU20,0.3*$CU20,TRUE))*summary!$C$7/28.8/0.947817+$CS20*(_xlfn.NORM.DIST(BW$3,$CV20,0.3*$CV20,TRUE)-_xlfn.NORM.DIST(BW$30,$CV20,0.3*$CV20,TRUE))*summary!$C$6/28.8/0.947817)/(SUMPRODUCT((economics!$AG$2:$AG$167=$B49)*(economics!$D$2:$D$167="whr")*economics!$AH$2:$AH$167*(_xlfn.NORM.DIST(BW$3,economics!$AK$2:$AK$167,economics!$AJ$2:$AJ$167,TRUE)-_xlfn.NORM.DIST(BW$30,economics!$AK$2:$AK$167,economics!$AJ$2:$AJ$167,TRUE)))+$CR20*(_xlfn.NORM.DIST(BW$3,$CU20,0.3*$CU20,TRUE)-_xlfn.NORM.DIST(BW$30,$CU20,0.3*$CU20,TRUE))+$CS20*(_xlfn.NORM.DIST(BW$3,$CV20,0.3*$CV20,TRUE)-_xlfn.NORM.DIST(BW$30,$CV20,0.3*$CV20,TRUE))),""),IF($C20&gt;0,summary!$C$10/28.8/0.947817,""))</f>
        <v/>
      </c>
      <c r="BX49">
        <f t="array" ref="BX49">IF($D20,IFERROR((SUMPRODUCT((economics!$AG$2:$AG$167=$B49)*(economics!$D$2:$D$167="whr")*economics!$AH$2:$AH$167*(_xlfn.NORM.DIST(BX$3,economics!$AK$2:$AK$167,economics!$AJ$2:$AJ$167,TRUE)-_xlfn.NORM.DIST(BX$30,economics!$AK$2:$AK$167,economics!$AJ$2:$AJ$167,TRUE))*economics!$AM$2:$AM$167)+$CR20*(_xlfn.NORM.DIST(BX$3,$CU20,0.3*$CU20,TRUE)-_xlfn.NORM.DIST(BX$30,$CU20,0.3*$CU20,TRUE))*summary!$C$7/28.8/0.947817+$CS20*(_xlfn.NORM.DIST(BX$3,$CV20,0.3*$CV20,TRUE)-_xlfn.NORM.DIST(BX$30,$CV20,0.3*$CV20,TRUE))*summary!$C$6/28.8/0.947817)/(SUMPRODUCT((economics!$AG$2:$AG$167=$B49)*(economics!$D$2:$D$167="whr")*economics!$AH$2:$AH$167*(_xlfn.NORM.DIST(BX$3,economics!$AK$2:$AK$167,economics!$AJ$2:$AJ$167,TRUE)-_xlfn.NORM.DIST(BX$30,economics!$AK$2:$AK$167,economics!$AJ$2:$AJ$167,TRUE)))+$CR20*(_xlfn.NORM.DIST(BX$3,$CU20,0.3*$CU20,TRUE)-_xlfn.NORM.DIST(BX$30,$CU20,0.3*$CU20,TRUE))+$CS20*(_xlfn.NORM.DIST(BX$3,$CV20,0.3*$CV20,TRUE)-_xlfn.NORM.DIST(BX$30,$CV20,0.3*$CV20,TRUE))),""),IF($C20&gt;0,summary!$C$10/28.8/0.947817,""))</f>
        <v/>
      </c>
      <c r="BY49">
        <f t="array" ref="BY49">IF($D20,IFERROR((SUMPRODUCT((economics!$AG$2:$AG$167=$B49)*(economics!$D$2:$D$167="whr")*economics!$AH$2:$AH$167*(_xlfn.NORM.DIST(BY$3,economics!$AK$2:$AK$167,economics!$AJ$2:$AJ$167,TRUE)-_xlfn.NORM.DIST(BY$30,economics!$AK$2:$AK$167,economics!$AJ$2:$AJ$167,TRUE))*economics!$AM$2:$AM$167)+$CR20*(_xlfn.NORM.DIST(BY$3,$CU20,0.3*$CU20,TRUE)-_xlfn.NORM.DIST(BY$30,$CU20,0.3*$CU20,TRUE))*summary!$C$7/28.8/0.947817+$CS20*(_xlfn.NORM.DIST(BY$3,$CV20,0.3*$CV20,TRUE)-_xlfn.NORM.DIST(BY$30,$CV20,0.3*$CV20,TRUE))*summary!$C$6/28.8/0.947817)/(SUMPRODUCT((economics!$AG$2:$AG$167=$B49)*(economics!$D$2:$D$167="whr")*economics!$AH$2:$AH$167*(_xlfn.NORM.DIST(BY$3,economics!$AK$2:$AK$167,economics!$AJ$2:$AJ$167,TRUE)-_xlfn.NORM.DIST(BY$30,economics!$AK$2:$AK$167,economics!$AJ$2:$AJ$167,TRUE)))+$CR20*(_xlfn.NORM.DIST(BY$3,$CU20,0.3*$CU20,TRUE)-_xlfn.NORM.DIST(BY$30,$CU20,0.3*$CU20,TRUE))+$CS20*(_xlfn.NORM.DIST(BY$3,$CV20,0.3*$CV20,TRUE)-_xlfn.NORM.DIST(BY$30,$CV20,0.3*$CV20,TRUE))),""),IF($C20&gt;0,summary!$C$10/28.8/0.947817,""))</f>
        <v/>
      </c>
      <c r="BZ49">
        <f t="array" ref="BZ49">IF($D20,IFERROR((SUMPRODUCT((economics!$AG$2:$AG$167=$B49)*(economics!$D$2:$D$167="whr")*economics!$AH$2:$AH$167*(_xlfn.NORM.DIST(BZ$3,economics!$AK$2:$AK$167,economics!$AJ$2:$AJ$167,TRUE)-_xlfn.NORM.DIST(BZ$30,economics!$AK$2:$AK$167,economics!$AJ$2:$AJ$167,TRUE))*economics!$AM$2:$AM$167)+$CR20*(_xlfn.NORM.DIST(BZ$3,$CU20,0.3*$CU20,TRUE)-_xlfn.NORM.DIST(BZ$30,$CU20,0.3*$CU20,TRUE))*summary!$C$7/28.8/0.947817+$CS20*(_xlfn.NORM.DIST(BZ$3,$CV20,0.3*$CV20,TRUE)-_xlfn.NORM.DIST(BZ$30,$CV20,0.3*$CV20,TRUE))*summary!$C$6/28.8/0.947817)/(SUMPRODUCT((economics!$AG$2:$AG$167=$B49)*(economics!$D$2:$D$167="whr")*economics!$AH$2:$AH$167*(_xlfn.NORM.DIST(BZ$3,economics!$AK$2:$AK$167,economics!$AJ$2:$AJ$167,TRUE)-_xlfn.NORM.DIST(BZ$30,economics!$AK$2:$AK$167,economics!$AJ$2:$AJ$167,TRUE)))+$CR20*(_xlfn.NORM.DIST(BZ$3,$CU20,0.3*$CU20,TRUE)-_xlfn.NORM.DIST(BZ$30,$CU20,0.3*$CU20,TRUE))+$CS20*(_xlfn.NORM.DIST(BZ$3,$CV20,0.3*$CV20,TRUE)-_xlfn.NORM.DIST(BZ$30,$CV20,0.3*$CV20,TRUE))),""),IF($C20&gt;0,summary!$C$10/28.8/0.947817,""))</f>
        <v/>
      </c>
      <c r="CA49">
        <f t="array" ref="CA49">IF($D20,IFERROR((SUMPRODUCT((economics!$AG$2:$AG$167=$B49)*(economics!$D$2:$D$167="whr")*economics!$AH$2:$AH$167*(_xlfn.NORM.DIST(CA$3,economics!$AK$2:$AK$167,economics!$AJ$2:$AJ$167,TRUE)-_xlfn.NORM.DIST(CA$30,economics!$AK$2:$AK$167,economics!$AJ$2:$AJ$167,TRUE))*economics!$AM$2:$AM$167)+$CR20*(_xlfn.NORM.DIST(CA$3,$CU20,0.3*$CU20,TRUE)-_xlfn.NORM.DIST(CA$30,$CU20,0.3*$CU20,TRUE))*summary!$C$7/28.8/0.947817+$CS20*(_xlfn.NORM.DIST(CA$3,$CV20,0.3*$CV20,TRUE)-_xlfn.NORM.DIST(CA$30,$CV20,0.3*$CV20,TRUE))*summary!$C$6/28.8/0.947817)/(SUMPRODUCT((economics!$AG$2:$AG$167=$B49)*(economics!$D$2:$D$167="whr")*economics!$AH$2:$AH$167*(_xlfn.NORM.DIST(CA$3,economics!$AK$2:$AK$167,economics!$AJ$2:$AJ$167,TRUE)-_xlfn.NORM.DIST(CA$30,economics!$AK$2:$AK$167,economics!$AJ$2:$AJ$167,TRUE)))+$CR20*(_xlfn.NORM.DIST(CA$3,$CU20,0.3*$CU20,TRUE)-_xlfn.NORM.DIST(CA$30,$CU20,0.3*$CU20,TRUE))+$CS20*(_xlfn.NORM.DIST(CA$3,$CV20,0.3*$CV20,TRUE)-_xlfn.NORM.DIST(CA$30,$CV20,0.3*$CV20,TRUE))),""),IF($C20&gt;0,summary!$C$10/28.8/0.947817,""))</f>
        <v/>
      </c>
      <c r="CB49">
        <f t="array" ref="CB49">IF($D20,IFERROR((SUMPRODUCT((economics!$AG$2:$AG$167=$B49)*(economics!$D$2:$D$167="whr")*economics!$AH$2:$AH$167*(_xlfn.NORM.DIST(CB$3,economics!$AK$2:$AK$167,economics!$AJ$2:$AJ$167,TRUE)-_xlfn.NORM.DIST(CB$30,economics!$AK$2:$AK$167,economics!$AJ$2:$AJ$167,TRUE))*economics!$AM$2:$AM$167)+$CR20*(_xlfn.NORM.DIST(CB$3,$CU20,0.3*$CU20,TRUE)-_xlfn.NORM.DIST(CB$30,$CU20,0.3*$CU20,TRUE))*summary!$C$7/28.8/0.947817+$CS20*(_xlfn.NORM.DIST(CB$3,$CV20,0.3*$CV20,TRUE)-_xlfn.NORM.DIST(CB$30,$CV20,0.3*$CV20,TRUE))*summary!$C$6/28.8/0.947817)/(SUMPRODUCT((economics!$AG$2:$AG$167=$B49)*(economics!$D$2:$D$167="whr")*economics!$AH$2:$AH$167*(_xlfn.NORM.DIST(CB$3,economics!$AK$2:$AK$167,economics!$AJ$2:$AJ$167,TRUE)-_xlfn.NORM.DIST(CB$30,economics!$AK$2:$AK$167,economics!$AJ$2:$AJ$167,TRUE)))+$CR20*(_xlfn.NORM.DIST(CB$3,$CU20,0.3*$CU20,TRUE)-_xlfn.NORM.DIST(CB$30,$CU20,0.3*$CU20,TRUE))+$CS20*(_xlfn.NORM.DIST(CB$3,$CV20,0.3*$CV20,TRUE)-_xlfn.NORM.DIST(CB$30,$CV20,0.3*$CV20,TRUE))),""),IF($C20&gt;0,summary!$C$10/28.8/0.947817,""))</f>
        <v/>
      </c>
      <c r="CC49">
        <f t="array" ref="CC49">IF($D20,IFERROR((SUMPRODUCT((economics!$AG$2:$AG$167=$B49)*(economics!$D$2:$D$167="whr")*economics!$AH$2:$AH$167*(_xlfn.NORM.DIST(CC$3,economics!$AK$2:$AK$167,economics!$AJ$2:$AJ$167,TRUE)-_xlfn.NORM.DIST(CC$30,economics!$AK$2:$AK$167,economics!$AJ$2:$AJ$167,TRUE))*economics!$AM$2:$AM$167)+$CR20*(_xlfn.NORM.DIST(CC$3,$CU20,0.3*$CU20,TRUE)-_xlfn.NORM.DIST(CC$30,$CU20,0.3*$CU20,TRUE))*summary!$C$7/28.8/0.947817+$CS20*(_xlfn.NORM.DIST(CC$3,$CV20,0.3*$CV20,TRUE)-_xlfn.NORM.DIST(CC$30,$CV20,0.3*$CV20,TRUE))*summary!$C$6/28.8/0.947817)/(SUMPRODUCT((economics!$AG$2:$AG$167=$B49)*(economics!$D$2:$D$167="whr")*economics!$AH$2:$AH$167*(_xlfn.NORM.DIST(CC$3,economics!$AK$2:$AK$167,economics!$AJ$2:$AJ$167,TRUE)-_xlfn.NORM.DIST(CC$30,economics!$AK$2:$AK$167,economics!$AJ$2:$AJ$167,TRUE)))+$CR20*(_xlfn.NORM.DIST(CC$3,$CU20,0.3*$CU20,TRUE)-_xlfn.NORM.DIST(CC$30,$CU20,0.3*$CU20,TRUE))+$CS20*(_xlfn.NORM.DIST(CC$3,$CV20,0.3*$CV20,TRUE)-_xlfn.NORM.DIST(CC$30,$CV20,0.3*$CV20,TRUE))),""),IF($C20&gt;0,summary!$C$10/28.8/0.947817,""))</f>
        <v/>
      </c>
      <c r="CD49">
        <f t="array" ref="CD49">IF($D20,IFERROR((SUMPRODUCT((economics!$AG$2:$AG$167=$B49)*(economics!$D$2:$D$167="whr")*economics!$AH$2:$AH$167*(_xlfn.NORM.DIST(CD$3,economics!$AK$2:$AK$167,economics!$AJ$2:$AJ$167,TRUE)-_xlfn.NORM.DIST(CD$30,economics!$AK$2:$AK$167,economics!$AJ$2:$AJ$167,TRUE))*economics!$AM$2:$AM$167)+$CR20*(_xlfn.NORM.DIST(CD$3,$CU20,0.3*$CU20,TRUE)-_xlfn.NORM.DIST(CD$30,$CU20,0.3*$CU20,TRUE))*summary!$C$7/28.8/0.947817+$CS20*(_xlfn.NORM.DIST(CD$3,$CV20,0.3*$CV20,TRUE)-_xlfn.NORM.DIST(CD$30,$CV20,0.3*$CV20,TRUE))*summary!$C$6/28.8/0.947817)/(SUMPRODUCT((economics!$AG$2:$AG$167=$B49)*(economics!$D$2:$D$167="whr")*economics!$AH$2:$AH$167*(_xlfn.NORM.DIST(CD$3,economics!$AK$2:$AK$167,economics!$AJ$2:$AJ$167,TRUE)-_xlfn.NORM.DIST(CD$30,economics!$AK$2:$AK$167,economics!$AJ$2:$AJ$167,TRUE)))+$CR20*(_xlfn.NORM.DIST(CD$3,$CU20,0.3*$CU20,TRUE)-_xlfn.NORM.DIST(CD$30,$CU20,0.3*$CU20,TRUE))+$CS20*(_xlfn.NORM.DIST(CD$3,$CV20,0.3*$CV20,TRUE)-_xlfn.NORM.DIST(CD$30,$CV20,0.3*$CV20,TRUE))),""),IF($C20&gt;0,summary!$C$10/28.8/0.947817,""))</f>
        <v/>
      </c>
      <c r="CE49">
        <f t="array" ref="CE49">IF($D20,IFERROR((SUMPRODUCT((economics!$AG$2:$AG$167=$B49)*(economics!$D$2:$D$167="whr")*economics!$AH$2:$AH$167*(_xlfn.NORM.DIST(CE$3,economics!$AK$2:$AK$167,economics!$AJ$2:$AJ$167,TRUE)-_xlfn.NORM.DIST(CE$30,economics!$AK$2:$AK$167,economics!$AJ$2:$AJ$167,TRUE))*economics!$AM$2:$AM$167)+$CR20*(_xlfn.NORM.DIST(CE$3,$CU20,0.3*$CU20,TRUE)-_xlfn.NORM.DIST(CE$30,$CU20,0.3*$CU20,TRUE))*summary!$C$7/28.8/0.947817+$CS20*(_xlfn.NORM.DIST(CE$3,$CV20,0.3*$CV20,TRUE)-_xlfn.NORM.DIST(CE$30,$CV20,0.3*$CV20,TRUE))*summary!$C$6/28.8/0.947817)/(SUMPRODUCT((economics!$AG$2:$AG$167=$B49)*(economics!$D$2:$D$167="whr")*economics!$AH$2:$AH$167*(_xlfn.NORM.DIST(CE$3,economics!$AK$2:$AK$167,economics!$AJ$2:$AJ$167,TRUE)-_xlfn.NORM.DIST(CE$30,economics!$AK$2:$AK$167,economics!$AJ$2:$AJ$167,TRUE)))+$CR20*(_xlfn.NORM.DIST(CE$3,$CU20,0.3*$CU20,TRUE)-_xlfn.NORM.DIST(CE$30,$CU20,0.3*$CU20,TRUE))+$CS20*(_xlfn.NORM.DIST(CE$3,$CV20,0.3*$CV20,TRUE)-_xlfn.NORM.DIST(CE$30,$CV20,0.3*$CV20,TRUE))),""),IF($C20&gt;0,summary!$C$10/28.8/0.947817,""))</f>
        <v/>
      </c>
      <c r="CF49">
        <f t="array" ref="CF49">IF($D20,IFERROR((SUMPRODUCT((economics!$AG$2:$AG$167=$B49)*(economics!$D$2:$D$167="whr")*economics!$AH$2:$AH$167*(_xlfn.NORM.DIST(CF$3,economics!$AK$2:$AK$167,economics!$AJ$2:$AJ$167,TRUE)-_xlfn.NORM.DIST(CF$30,economics!$AK$2:$AK$167,economics!$AJ$2:$AJ$167,TRUE))*economics!$AM$2:$AM$167)+$CR20*(_xlfn.NORM.DIST(CF$3,$CU20,0.3*$CU20,TRUE)-_xlfn.NORM.DIST(CF$30,$CU20,0.3*$CU20,TRUE))*summary!$C$7/28.8/0.947817+$CS20*(_xlfn.NORM.DIST(CF$3,$CV20,0.3*$CV20,TRUE)-_xlfn.NORM.DIST(CF$30,$CV20,0.3*$CV20,TRUE))*summary!$C$6/28.8/0.947817)/(SUMPRODUCT((economics!$AG$2:$AG$167=$B49)*(economics!$D$2:$D$167="whr")*economics!$AH$2:$AH$167*(_xlfn.NORM.DIST(CF$3,economics!$AK$2:$AK$167,economics!$AJ$2:$AJ$167,TRUE)-_xlfn.NORM.DIST(CF$30,economics!$AK$2:$AK$167,economics!$AJ$2:$AJ$167,TRUE)))+$CR20*(_xlfn.NORM.DIST(CF$3,$CU20,0.3*$CU20,TRUE)-_xlfn.NORM.DIST(CF$30,$CU20,0.3*$CU20,TRUE))+$CS20*(_xlfn.NORM.DIST(CF$3,$CV20,0.3*$CV20,TRUE)-_xlfn.NORM.DIST(CF$30,$CV20,0.3*$CV20,TRUE))),""),IF($C20&gt;0,summary!$C$10/28.8/0.947817,""))</f>
        <v/>
      </c>
      <c r="CG49">
        <f t="array" ref="CG49">IF($D20,IFERROR((SUMPRODUCT((economics!$AG$2:$AG$167=$B49)*(economics!$D$2:$D$167="whr")*economics!$AH$2:$AH$167*(_xlfn.NORM.DIST(CG$3,economics!$AK$2:$AK$167,economics!$AJ$2:$AJ$167,TRUE)-_xlfn.NORM.DIST(CG$30,economics!$AK$2:$AK$167,economics!$AJ$2:$AJ$167,TRUE))*economics!$AM$2:$AM$167)+$CR20*(_xlfn.NORM.DIST(CG$3,$CU20,0.3*$CU20,TRUE)-_xlfn.NORM.DIST(CG$30,$CU20,0.3*$CU20,TRUE))*summary!$C$7/28.8/0.947817+$CS20*(_xlfn.NORM.DIST(CG$3,$CV20,0.3*$CV20,TRUE)-_xlfn.NORM.DIST(CG$30,$CV20,0.3*$CV20,TRUE))*summary!$C$6/28.8/0.947817)/(SUMPRODUCT((economics!$AG$2:$AG$167=$B49)*(economics!$D$2:$D$167="whr")*economics!$AH$2:$AH$167*(_xlfn.NORM.DIST(CG$3,economics!$AK$2:$AK$167,economics!$AJ$2:$AJ$167,TRUE)-_xlfn.NORM.DIST(CG$30,economics!$AK$2:$AK$167,economics!$AJ$2:$AJ$167,TRUE)))+$CR20*(_xlfn.NORM.DIST(CG$3,$CU20,0.3*$CU20,TRUE)-_xlfn.NORM.DIST(CG$30,$CU20,0.3*$CU20,TRUE))+$CS20*(_xlfn.NORM.DIST(CG$3,$CV20,0.3*$CV20,TRUE)-_xlfn.NORM.DIST(CG$30,$CV20,0.3*$CV20,TRUE))),""),IF($C20&gt;0,summary!$C$10/28.8/0.947817,""))</f>
        <v/>
      </c>
      <c r="CH49">
        <f t="array" ref="CH49">IF($D20,IFERROR((SUMPRODUCT((economics!$AG$2:$AG$167=$B49)*(economics!$D$2:$D$167="whr")*economics!$AH$2:$AH$167*(_xlfn.NORM.DIST(CH$3,economics!$AK$2:$AK$167,economics!$AJ$2:$AJ$167,TRUE)-_xlfn.NORM.DIST(CH$30,economics!$AK$2:$AK$167,economics!$AJ$2:$AJ$167,TRUE))*economics!$AM$2:$AM$167)+$CR20*(_xlfn.NORM.DIST(CH$3,$CU20,0.3*$CU20,TRUE)-_xlfn.NORM.DIST(CH$30,$CU20,0.3*$CU20,TRUE))*summary!$C$7/28.8/0.947817+$CS20*(_xlfn.NORM.DIST(CH$3,$CV20,0.3*$CV20,TRUE)-_xlfn.NORM.DIST(CH$30,$CV20,0.3*$CV20,TRUE))*summary!$C$6/28.8/0.947817)/(SUMPRODUCT((economics!$AG$2:$AG$167=$B49)*(economics!$D$2:$D$167="whr")*economics!$AH$2:$AH$167*(_xlfn.NORM.DIST(CH$3,economics!$AK$2:$AK$167,economics!$AJ$2:$AJ$167,TRUE)-_xlfn.NORM.DIST(CH$30,economics!$AK$2:$AK$167,economics!$AJ$2:$AJ$167,TRUE)))+$CR20*(_xlfn.NORM.DIST(CH$3,$CU20,0.3*$CU20,TRUE)-_xlfn.NORM.DIST(CH$30,$CU20,0.3*$CU20,TRUE))+$CS20*(_xlfn.NORM.DIST(CH$3,$CV20,0.3*$CV20,TRUE)-_xlfn.NORM.DIST(CH$30,$CV20,0.3*$CV20,TRUE))),""),IF($C20&gt;0,summary!$C$10/28.8/0.947817,""))</f>
        <v/>
      </c>
    </row>
    <row r="50">
      <c r="A50">
        <f>A21</f>
        <v/>
      </c>
      <c r="B50">
        <f>B21</f>
        <v/>
      </c>
      <c r="E50">
        <f t="array" ref="E50">IF($D21,IFERROR((SUMPRODUCT((economics!$AG$2:$AG$167=$B50)*(economics!$D$2:$D$167="whr")*economics!$AH$2:$AH$167*(_xlfn.NORM.DIST(E$3,economics!$AK$2:$AK$167,economics!$AJ$2:$AJ$167,TRUE)-_xlfn.NORM.DIST(E$30,economics!$AK$2:$AK$167,economics!$AJ$2:$AJ$167,TRUE))*economics!$AM$2:$AM$167)+$CR21*(_xlfn.NORM.DIST(E$3,$CU21,0.3*$CU21,TRUE)-_xlfn.NORM.DIST(E$30,$CU21,0.3*$CU21,TRUE))*summary!$C$7/28.8/0.947817+$CS21*(_xlfn.NORM.DIST(E$3,$CV21,0.3*$CV21,TRUE)-_xlfn.NORM.DIST(E$30,$CV21,0.3*$CV21,TRUE))*summary!$C$6/28.8/0.947817)/(SUMPRODUCT((economics!$AG$2:$AG$167=$B50)*(economics!$D$2:$D$167="whr")*economics!$AH$2:$AH$167*(_xlfn.NORM.DIST(E$3,economics!$AK$2:$AK$167,economics!$AJ$2:$AJ$167,TRUE)-_xlfn.NORM.DIST(E$30,economics!$AK$2:$AK$167,economics!$AJ$2:$AJ$167,TRUE)))+$CR21*(_xlfn.NORM.DIST(E$3,$CU21,0.3*$CU21,TRUE)-_xlfn.NORM.DIST(E$30,$CU21,0.3*$CU21,TRUE))+$CS21*(_xlfn.NORM.DIST(E$3,$CV21,0.3*$CV21,TRUE)-_xlfn.NORM.DIST(E$30,$CV21,0.3*$CV21,TRUE))),""),IF($C21&gt;0,summary!$C$10/28.8/0.947817,""))</f>
        <v/>
      </c>
      <c r="F50">
        <f t="array" ref="F50">IF($D21,IFERROR((SUMPRODUCT((economics!$AG$2:$AG$167=$B50)*(economics!$D$2:$D$167="whr")*economics!$AH$2:$AH$167*(_xlfn.NORM.DIST(F$3,economics!$AK$2:$AK$167,economics!$AJ$2:$AJ$167,TRUE)-_xlfn.NORM.DIST(F$30,economics!$AK$2:$AK$167,economics!$AJ$2:$AJ$167,TRUE))*economics!$AM$2:$AM$167)+$CR21*(_xlfn.NORM.DIST(F$3,$CU21,0.3*$CU21,TRUE)-_xlfn.NORM.DIST(F$30,$CU21,0.3*$CU21,TRUE))*summary!$C$7/28.8/0.947817+$CS21*(_xlfn.NORM.DIST(F$3,$CV21,0.3*$CV21,TRUE)-_xlfn.NORM.DIST(F$30,$CV21,0.3*$CV21,TRUE))*summary!$C$6/28.8/0.947817)/(SUMPRODUCT((economics!$AG$2:$AG$167=$B50)*(economics!$D$2:$D$167="whr")*economics!$AH$2:$AH$167*(_xlfn.NORM.DIST(F$3,economics!$AK$2:$AK$167,economics!$AJ$2:$AJ$167,TRUE)-_xlfn.NORM.DIST(F$30,economics!$AK$2:$AK$167,economics!$AJ$2:$AJ$167,TRUE)))+$CR21*(_xlfn.NORM.DIST(F$3,$CU21,0.3*$CU21,TRUE)-_xlfn.NORM.DIST(F$30,$CU21,0.3*$CU21,TRUE))+$CS21*(_xlfn.NORM.DIST(F$3,$CV21,0.3*$CV21,TRUE)-_xlfn.NORM.DIST(F$30,$CV21,0.3*$CV21,TRUE))),""),IF($C21&gt;0,summary!$C$10/28.8/0.947817,""))</f>
        <v/>
      </c>
      <c r="G50">
        <f t="array" ref="G50">IF($D21,IFERROR((SUMPRODUCT((economics!$AG$2:$AG$167=$B50)*(economics!$D$2:$D$167="whr")*economics!$AH$2:$AH$167*(_xlfn.NORM.DIST(G$3,economics!$AK$2:$AK$167,economics!$AJ$2:$AJ$167,TRUE)-_xlfn.NORM.DIST(G$30,economics!$AK$2:$AK$167,economics!$AJ$2:$AJ$167,TRUE))*economics!$AM$2:$AM$167)+$CR21*(_xlfn.NORM.DIST(G$3,$CU21,0.3*$CU21,TRUE)-_xlfn.NORM.DIST(G$30,$CU21,0.3*$CU21,TRUE))*summary!$C$7/28.8/0.947817+$CS21*(_xlfn.NORM.DIST(G$3,$CV21,0.3*$CV21,TRUE)-_xlfn.NORM.DIST(G$30,$CV21,0.3*$CV21,TRUE))*summary!$C$6/28.8/0.947817)/(SUMPRODUCT((economics!$AG$2:$AG$167=$B50)*(economics!$D$2:$D$167="whr")*economics!$AH$2:$AH$167*(_xlfn.NORM.DIST(G$3,economics!$AK$2:$AK$167,economics!$AJ$2:$AJ$167,TRUE)-_xlfn.NORM.DIST(G$30,economics!$AK$2:$AK$167,economics!$AJ$2:$AJ$167,TRUE)))+$CR21*(_xlfn.NORM.DIST(G$3,$CU21,0.3*$CU21,TRUE)-_xlfn.NORM.DIST(G$30,$CU21,0.3*$CU21,TRUE))+$CS21*(_xlfn.NORM.DIST(G$3,$CV21,0.3*$CV21,TRUE)-_xlfn.NORM.DIST(G$30,$CV21,0.3*$CV21,TRUE))),""),IF($C21&gt;0,summary!$C$10/28.8/0.947817,""))</f>
        <v/>
      </c>
      <c r="H50">
        <f t="array" ref="H50">IF($D21,IFERROR((SUMPRODUCT((economics!$AG$2:$AG$167=$B50)*(economics!$D$2:$D$167="whr")*economics!$AH$2:$AH$167*(_xlfn.NORM.DIST(H$3,economics!$AK$2:$AK$167,economics!$AJ$2:$AJ$167,TRUE)-_xlfn.NORM.DIST(H$30,economics!$AK$2:$AK$167,economics!$AJ$2:$AJ$167,TRUE))*economics!$AM$2:$AM$167)+$CR21*(_xlfn.NORM.DIST(H$3,$CU21,0.3*$CU21,TRUE)-_xlfn.NORM.DIST(H$30,$CU21,0.3*$CU21,TRUE))*summary!$C$7/28.8/0.947817+$CS21*(_xlfn.NORM.DIST(H$3,$CV21,0.3*$CV21,TRUE)-_xlfn.NORM.DIST(H$30,$CV21,0.3*$CV21,TRUE))*summary!$C$6/28.8/0.947817)/(SUMPRODUCT((economics!$AG$2:$AG$167=$B50)*(economics!$D$2:$D$167="whr")*economics!$AH$2:$AH$167*(_xlfn.NORM.DIST(H$3,economics!$AK$2:$AK$167,economics!$AJ$2:$AJ$167,TRUE)-_xlfn.NORM.DIST(H$30,economics!$AK$2:$AK$167,economics!$AJ$2:$AJ$167,TRUE)))+$CR21*(_xlfn.NORM.DIST(H$3,$CU21,0.3*$CU21,TRUE)-_xlfn.NORM.DIST(H$30,$CU21,0.3*$CU21,TRUE))+$CS21*(_xlfn.NORM.DIST(H$3,$CV21,0.3*$CV21,TRUE)-_xlfn.NORM.DIST(H$30,$CV21,0.3*$CV21,TRUE))),""),IF($C21&gt;0,summary!$C$10/28.8/0.947817,""))</f>
        <v/>
      </c>
      <c r="I50">
        <f t="array" ref="I50">IF($D21,IFERROR((SUMPRODUCT((economics!$AG$2:$AG$167=$B50)*(economics!$D$2:$D$167="whr")*economics!$AH$2:$AH$167*(_xlfn.NORM.DIST(I$3,economics!$AK$2:$AK$167,economics!$AJ$2:$AJ$167,TRUE)-_xlfn.NORM.DIST(I$30,economics!$AK$2:$AK$167,economics!$AJ$2:$AJ$167,TRUE))*economics!$AM$2:$AM$167)+$CR21*(_xlfn.NORM.DIST(I$3,$CU21,0.3*$CU21,TRUE)-_xlfn.NORM.DIST(I$30,$CU21,0.3*$CU21,TRUE))*summary!$C$7/28.8/0.947817+$CS21*(_xlfn.NORM.DIST(I$3,$CV21,0.3*$CV21,TRUE)-_xlfn.NORM.DIST(I$30,$CV21,0.3*$CV21,TRUE))*summary!$C$6/28.8/0.947817)/(SUMPRODUCT((economics!$AG$2:$AG$167=$B50)*(economics!$D$2:$D$167="whr")*economics!$AH$2:$AH$167*(_xlfn.NORM.DIST(I$3,economics!$AK$2:$AK$167,economics!$AJ$2:$AJ$167,TRUE)-_xlfn.NORM.DIST(I$30,economics!$AK$2:$AK$167,economics!$AJ$2:$AJ$167,TRUE)))+$CR21*(_xlfn.NORM.DIST(I$3,$CU21,0.3*$CU21,TRUE)-_xlfn.NORM.DIST(I$30,$CU21,0.3*$CU21,TRUE))+$CS21*(_xlfn.NORM.DIST(I$3,$CV21,0.3*$CV21,TRUE)-_xlfn.NORM.DIST(I$30,$CV21,0.3*$CV21,TRUE))),""),IF($C21&gt;0,summary!$C$10/28.8/0.947817,""))</f>
        <v/>
      </c>
      <c r="J50">
        <f t="array" ref="J50">IF($D21,IFERROR((SUMPRODUCT((economics!$AG$2:$AG$167=$B50)*(economics!$D$2:$D$167="whr")*economics!$AH$2:$AH$167*(_xlfn.NORM.DIST(J$3,economics!$AK$2:$AK$167,economics!$AJ$2:$AJ$167,TRUE)-_xlfn.NORM.DIST(J$30,economics!$AK$2:$AK$167,economics!$AJ$2:$AJ$167,TRUE))*economics!$AM$2:$AM$167)+$CR21*(_xlfn.NORM.DIST(J$3,$CU21,0.3*$CU21,TRUE)-_xlfn.NORM.DIST(J$30,$CU21,0.3*$CU21,TRUE))*summary!$C$7/28.8/0.947817+$CS21*(_xlfn.NORM.DIST(J$3,$CV21,0.3*$CV21,TRUE)-_xlfn.NORM.DIST(J$30,$CV21,0.3*$CV21,TRUE))*summary!$C$6/28.8/0.947817)/(SUMPRODUCT((economics!$AG$2:$AG$167=$B50)*(economics!$D$2:$D$167="whr")*economics!$AH$2:$AH$167*(_xlfn.NORM.DIST(J$3,economics!$AK$2:$AK$167,economics!$AJ$2:$AJ$167,TRUE)-_xlfn.NORM.DIST(J$30,economics!$AK$2:$AK$167,economics!$AJ$2:$AJ$167,TRUE)))+$CR21*(_xlfn.NORM.DIST(J$3,$CU21,0.3*$CU21,TRUE)-_xlfn.NORM.DIST(J$30,$CU21,0.3*$CU21,TRUE))+$CS21*(_xlfn.NORM.DIST(J$3,$CV21,0.3*$CV21,TRUE)-_xlfn.NORM.DIST(J$30,$CV21,0.3*$CV21,TRUE))),""),IF($C21&gt;0,summary!$C$10/28.8/0.947817,""))</f>
        <v/>
      </c>
      <c r="K50">
        <f t="array" ref="K50">IF($D21,IFERROR((SUMPRODUCT((economics!$AG$2:$AG$167=$B50)*(economics!$D$2:$D$167="whr")*economics!$AH$2:$AH$167*(_xlfn.NORM.DIST(K$3,economics!$AK$2:$AK$167,economics!$AJ$2:$AJ$167,TRUE)-_xlfn.NORM.DIST(K$30,economics!$AK$2:$AK$167,economics!$AJ$2:$AJ$167,TRUE))*economics!$AM$2:$AM$167)+$CR21*(_xlfn.NORM.DIST(K$3,$CU21,0.3*$CU21,TRUE)-_xlfn.NORM.DIST(K$30,$CU21,0.3*$CU21,TRUE))*summary!$C$7/28.8/0.947817+$CS21*(_xlfn.NORM.DIST(K$3,$CV21,0.3*$CV21,TRUE)-_xlfn.NORM.DIST(K$30,$CV21,0.3*$CV21,TRUE))*summary!$C$6/28.8/0.947817)/(SUMPRODUCT((economics!$AG$2:$AG$167=$B50)*(economics!$D$2:$D$167="whr")*economics!$AH$2:$AH$167*(_xlfn.NORM.DIST(K$3,economics!$AK$2:$AK$167,economics!$AJ$2:$AJ$167,TRUE)-_xlfn.NORM.DIST(K$30,economics!$AK$2:$AK$167,economics!$AJ$2:$AJ$167,TRUE)))+$CR21*(_xlfn.NORM.DIST(K$3,$CU21,0.3*$CU21,TRUE)-_xlfn.NORM.DIST(K$30,$CU21,0.3*$CU21,TRUE))+$CS21*(_xlfn.NORM.DIST(K$3,$CV21,0.3*$CV21,TRUE)-_xlfn.NORM.DIST(K$30,$CV21,0.3*$CV21,TRUE))),""),IF($C21&gt;0,summary!$C$10/28.8/0.947817,""))</f>
        <v/>
      </c>
      <c r="L50">
        <f t="array" ref="L50">IF($D21,IFERROR((SUMPRODUCT((economics!$AG$2:$AG$167=$B50)*(economics!$D$2:$D$167="whr")*economics!$AH$2:$AH$167*(_xlfn.NORM.DIST(L$3,economics!$AK$2:$AK$167,economics!$AJ$2:$AJ$167,TRUE)-_xlfn.NORM.DIST(L$30,economics!$AK$2:$AK$167,economics!$AJ$2:$AJ$167,TRUE))*economics!$AM$2:$AM$167)+$CR21*(_xlfn.NORM.DIST(L$3,$CU21,0.3*$CU21,TRUE)-_xlfn.NORM.DIST(L$30,$CU21,0.3*$CU21,TRUE))*summary!$C$7/28.8/0.947817+$CS21*(_xlfn.NORM.DIST(L$3,$CV21,0.3*$CV21,TRUE)-_xlfn.NORM.DIST(L$30,$CV21,0.3*$CV21,TRUE))*summary!$C$6/28.8/0.947817)/(SUMPRODUCT((economics!$AG$2:$AG$167=$B50)*(economics!$D$2:$D$167="whr")*economics!$AH$2:$AH$167*(_xlfn.NORM.DIST(L$3,economics!$AK$2:$AK$167,economics!$AJ$2:$AJ$167,TRUE)-_xlfn.NORM.DIST(L$30,economics!$AK$2:$AK$167,economics!$AJ$2:$AJ$167,TRUE)))+$CR21*(_xlfn.NORM.DIST(L$3,$CU21,0.3*$CU21,TRUE)-_xlfn.NORM.DIST(L$30,$CU21,0.3*$CU21,TRUE))+$CS21*(_xlfn.NORM.DIST(L$3,$CV21,0.3*$CV21,TRUE)-_xlfn.NORM.DIST(L$30,$CV21,0.3*$CV21,TRUE))),""),IF($C21&gt;0,summary!$C$10/28.8/0.947817,""))</f>
        <v/>
      </c>
      <c r="M50">
        <f t="array" ref="M50">IF($D21,IFERROR((SUMPRODUCT((economics!$AG$2:$AG$167=$B50)*(economics!$D$2:$D$167="whr")*economics!$AH$2:$AH$167*(_xlfn.NORM.DIST(M$3,economics!$AK$2:$AK$167,economics!$AJ$2:$AJ$167,TRUE)-_xlfn.NORM.DIST(M$30,economics!$AK$2:$AK$167,economics!$AJ$2:$AJ$167,TRUE))*economics!$AM$2:$AM$167)+$CR21*(_xlfn.NORM.DIST(M$3,$CU21,0.3*$CU21,TRUE)-_xlfn.NORM.DIST(M$30,$CU21,0.3*$CU21,TRUE))*summary!$C$7/28.8/0.947817+$CS21*(_xlfn.NORM.DIST(M$3,$CV21,0.3*$CV21,TRUE)-_xlfn.NORM.DIST(M$30,$CV21,0.3*$CV21,TRUE))*summary!$C$6/28.8/0.947817)/(SUMPRODUCT((economics!$AG$2:$AG$167=$B50)*(economics!$D$2:$D$167="whr")*economics!$AH$2:$AH$167*(_xlfn.NORM.DIST(M$3,economics!$AK$2:$AK$167,economics!$AJ$2:$AJ$167,TRUE)-_xlfn.NORM.DIST(M$30,economics!$AK$2:$AK$167,economics!$AJ$2:$AJ$167,TRUE)))+$CR21*(_xlfn.NORM.DIST(M$3,$CU21,0.3*$CU21,TRUE)-_xlfn.NORM.DIST(M$30,$CU21,0.3*$CU21,TRUE))+$CS21*(_xlfn.NORM.DIST(M$3,$CV21,0.3*$CV21,TRUE)-_xlfn.NORM.DIST(M$30,$CV21,0.3*$CV21,TRUE))),""),IF($C21&gt;0,summary!$C$10/28.8/0.947817,""))</f>
        <v/>
      </c>
      <c r="N50">
        <f t="array" ref="N50">IF($D21,IFERROR((SUMPRODUCT((economics!$AG$2:$AG$167=$B50)*(economics!$D$2:$D$167="whr")*economics!$AH$2:$AH$167*(_xlfn.NORM.DIST(N$3,economics!$AK$2:$AK$167,economics!$AJ$2:$AJ$167,TRUE)-_xlfn.NORM.DIST(N$30,economics!$AK$2:$AK$167,economics!$AJ$2:$AJ$167,TRUE))*economics!$AM$2:$AM$167)+$CR21*(_xlfn.NORM.DIST(N$3,$CU21,0.3*$CU21,TRUE)-_xlfn.NORM.DIST(N$30,$CU21,0.3*$CU21,TRUE))*summary!$C$7/28.8/0.947817+$CS21*(_xlfn.NORM.DIST(N$3,$CV21,0.3*$CV21,TRUE)-_xlfn.NORM.DIST(N$30,$CV21,0.3*$CV21,TRUE))*summary!$C$6/28.8/0.947817)/(SUMPRODUCT((economics!$AG$2:$AG$167=$B50)*(economics!$D$2:$D$167="whr")*economics!$AH$2:$AH$167*(_xlfn.NORM.DIST(N$3,economics!$AK$2:$AK$167,economics!$AJ$2:$AJ$167,TRUE)-_xlfn.NORM.DIST(N$30,economics!$AK$2:$AK$167,economics!$AJ$2:$AJ$167,TRUE)))+$CR21*(_xlfn.NORM.DIST(N$3,$CU21,0.3*$CU21,TRUE)-_xlfn.NORM.DIST(N$30,$CU21,0.3*$CU21,TRUE))+$CS21*(_xlfn.NORM.DIST(N$3,$CV21,0.3*$CV21,TRUE)-_xlfn.NORM.DIST(N$30,$CV21,0.3*$CV21,TRUE))),""),IF($C21&gt;0,summary!$C$10/28.8/0.947817,""))</f>
        <v/>
      </c>
      <c r="O50">
        <f t="array" ref="O50">IF($D21,IFERROR((SUMPRODUCT((economics!$AG$2:$AG$167=$B50)*(economics!$D$2:$D$167="whr")*economics!$AH$2:$AH$167*(_xlfn.NORM.DIST(O$3,economics!$AK$2:$AK$167,economics!$AJ$2:$AJ$167,TRUE)-_xlfn.NORM.DIST(O$30,economics!$AK$2:$AK$167,economics!$AJ$2:$AJ$167,TRUE))*economics!$AM$2:$AM$167)+$CR21*(_xlfn.NORM.DIST(O$3,$CU21,0.3*$CU21,TRUE)-_xlfn.NORM.DIST(O$30,$CU21,0.3*$CU21,TRUE))*summary!$C$7/28.8/0.947817+$CS21*(_xlfn.NORM.DIST(O$3,$CV21,0.3*$CV21,TRUE)-_xlfn.NORM.DIST(O$30,$CV21,0.3*$CV21,TRUE))*summary!$C$6/28.8/0.947817)/(SUMPRODUCT((economics!$AG$2:$AG$167=$B50)*(economics!$D$2:$D$167="whr")*economics!$AH$2:$AH$167*(_xlfn.NORM.DIST(O$3,economics!$AK$2:$AK$167,economics!$AJ$2:$AJ$167,TRUE)-_xlfn.NORM.DIST(O$30,economics!$AK$2:$AK$167,economics!$AJ$2:$AJ$167,TRUE)))+$CR21*(_xlfn.NORM.DIST(O$3,$CU21,0.3*$CU21,TRUE)-_xlfn.NORM.DIST(O$30,$CU21,0.3*$CU21,TRUE))+$CS21*(_xlfn.NORM.DIST(O$3,$CV21,0.3*$CV21,TRUE)-_xlfn.NORM.DIST(O$30,$CV21,0.3*$CV21,TRUE))),""),IF($C21&gt;0,summary!$C$10/28.8/0.947817,""))</f>
        <v/>
      </c>
      <c r="P50">
        <f t="array" ref="P50">IF($D21,IFERROR((SUMPRODUCT((economics!$AG$2:$AG$167=$B50)*(economics!$D$2:$D$167="whr")*economics!$AH$2:$AH$167*(_xlfn.NORM.DIST(P$3,economics!$AK$2:$AK$167,economics!$AJ$2:$AJ$167,TRUE)-_xlfn.NORM.DIST(P$30,economics!$AK$2:$AK$167,economics!$AJ$2:$AJ$167,TRUE))*economics!$AM$2:$AM$167)+$CR21*(_xlfn.NORM.DIST(P$3,$CU21,0.3*$CU21,TRUE)-_xlfn.NORM.DIST(P$30,$CU21,0.3*$CU21,TRUE))*summary!$C$7/28.8/0.947817+$CS21*(_xlfn.NORM.DIST(P$3,$CV21,0.3*$CV21,TRUE)-_xlfn.NORM.DIST(P$30,$CV21,0.3*$CV21,TRUE))*summary!$C$6/28.8/0.947817)/(SUMPRODUCT((economics!$AG$2:$AG$167=$B50)*(economics!$D$2:$D$167="whr")*economics!$AH$2:$AH$167*(_xlfn.NORM.DIST(P$3,economics!$AK$2:$AK$167,economics!$AJ$2:$AJ$167,TRUE)-_xlfn.NORM.DIST(P$30,economics!$AK$2:$AK$167,economics!$AJ$2:$AJ$167,TRUE)))+$CR21*(_xlfn.NORM.DIST(P$3,$CU21,0.3*$CU21,TRUE)-_xlfn.NORM.DIST(P$30,$CU21,0.3*$CU21,TRUE))+$CS21*(_xlfn.NORM.DIST(P$3,$CV21,0.3*$CV21,TRUE)-_xlfn.NORM.DIST(P$30,$CV21,0.3*$CV21,TRUE))),""),IF($C21&gt;0,summary!$C$10/28.8/0.947817,""))</f>
        <v/>
      </c>
      <c r="Q50">
        <f t="array" ref="Q50">IF($D21,IFERROR((SUMPRODUCT((economics!$AG$2:$AG$167=$B50)*(economics!$D$2:$D$167="whr")*economics!$AH$2:$AH$167*(_xlfn.NORM.DIST(Q$3,economics!$AK$2:$AK$167,economics!$AJ$2:$AJ$167,TRUE)-_xlfn.NORM.DIST(Q$30,economics!$AK$2:$AK$167,economics!$AJ$2:$AJ$167,TRUE))*economics!$AM$2:$AM$167)+$CR21*(_xlfn.NORM.DIST(Q$3,$CU21,0.3*$CU21,TRUE)-_xlfn.NORM.DIST(Q$30,$CU21,0.3*$CU21,TRUE))*summary!$C$7/28.8/0.947817+$CS21*(_xlfn.NORM.DIST(Q$3,$CV21,0.3*$CV21,TRUE)-_xlfn.NORM.DIST(Q$30,$CV21,0.3*$CV21,TRUE))*summary!$C$6/28.8/0.947817)/(SUMPRODUCT((economics!$AG$2:$AG$167=$B50)*(economics!$D$2:$D$167="whr")*economics!$AH$2:$AH$167*(_xlfn.NORM.DIST(Q$3,economics!$AK$2:$AK$167,economics!$AJ$2:$AJ$167,TRUE)-_xlfn.NORM.DIST(Q$30,economics!$AK$2:$AK$167,economics!$AJ$2:$AJ$167,TRUE)))+$CR21*(_xlfn.NORM.DIST(Q$3,$CU21,0.3*$CU21,TRUE)-_xlfn.NORM.DIST(Q$30,$CU21,0.3*$CU21,TRUE))+$CS21*(_xlfn.NORM.DIST(Q$3,$CV21,0.3*$CV21,TRUE)-_xlfn.NORM.DIST(Q$30,$CV21,0.3*$CV21,TRUE))),""),IF($C21&gt;0,summary!$C$10/28.8/0.947817,""))</f>
        <v/>
      </c>
      <c r="R50">
        <f t="array" ref="R50">IF($D21,IFERROR((SUMPRODUCT((economics!$AG$2:$AG$167=$B50)*(economics!$D$2:$D$167="whr")*economics!$AH$2:$AH$167*(_xlfn.NORM.DIST(R$3,economics!$AK$2:$AK$167,economics!$AJ$2:$AJ$167,TRUE)-_xlfn.NORM.DIST(R$30,economics!$AK$2:$AK$167,economics!$AJ$2:$AJ$167,TRUE))*economics!$AM$2:$AM$167)+$CR21*(_xlfn.NORM.DIST(R$3,$CU21,0.3*$CU21,TRUE)-_xlfn.NORM.DIST(R$30,$CU21,0.3*$CU21,TRUE))*summary!$C$7/28.8/0.947817+$CS21*(_xlfn.NORM.DIST(R$3,$CV21,0.3*$CV21,TRUE)-_xlfn.NORM.DIST(R$30,$CV21,0.3*$CV21,TRUE))*summary!$C$6/28.8/0.947817)/(SUMPRODUCT((economics!$AG$2:$AG$167=$B50)*(economics!$D$2:$D$167="whr")*economics!$AH$2:$AH$167*(_xlfn.NORM.DIST(R$3,economics!$AK$2:$AK$167,economics!$AJ$2:$AJ$167,TRUE)-_xlfn.NORM.DIST(R$30,economics!$AK$2:$AK$167,economics!$AJ$2:$AJ$167,TRUE)))+$CR21*(_xlfn.NORM.DIST(R$3,$CU21,0.3*$CU21,TRUE)-_xlfn.NORM.DIST(R$30,$CU21,0.3*$CU21,TRUE))+$CS21*(_xlfn.NORM.DIST(R$3,$CV21,0.3*$CV21,TRUE)-_xlfn.NORM.DIST(R$30,$CV21,0.3*$CV21,TRUE))),""),IF($C21&gt;0,summary!$C$10/28.8/0.947817,""))</f>
        <v/>
      </c>
      <c r="S50">
        <f t="array" ref="S50">IF($D21,IFERROR((SUMPRODUCT((economics!$AG$2:$AG$167=$B50)*(economics!$D$2:$D$167="whr")*economics!$AH$2:$AH$167*(_xlfn.NORM.DIST(S$3,economics!$AK$2:$AK$167,economics!$AJ$2:$AJ$167,TRUE)-_xlfn.NORM.DIST(S$30,economics!$AK$2:$AK$167,economics!$AJ$2:$AJ$167,TRUE))*economics!$AM$2:$AM$167)+$CR21*(_xlfn.NORM.DIST(S$3,$CU21,0.3*$CU21,TRUE)-_xlfn.NORM.DIST(S$30,$CU21,0.3*$CU21,TRUE))*summary!$C$7/28.8/0.947817+$CS21*(_xlfn.NORM.DIST(S$3,$CV21,0.3*$CV21,TRUE)-_xlfn.NORM.DIST(S$30,$CV21,0.3*$CV21,TRUE))*summary!$C$6/28.8/0.947817)/(SUMPRODUCT((economics!$AG$2:$AG$167=$B50)*(economics!$D$2:$D$167="whr")*economics!$AH$2:$AH$167*(_xlfn.NORM.DIST(S$3,economics!$AK$2:$AK$167,economics!$AJ$2:$AJ$167,TRUE)-_xlfn.NORM.DIST(S$30,economics!$AK$2:$AK$167,economics!$AJ$2:$AJ$167,TRUE)))+$CR21*(_xlfn.NORM.DIST(S$3,$CU21,0.3*$CU21,TRUE)-_xlfn.NORM.DIST(S$30,$CU21,0.3*$CU21,TRUE))+$CS21*(_xlfn.NORM.DIST(S$3,$CV21,0.3*$CV21,TRUE)-_xlfn.NORM.DIST(S$30,$CV21,0.3*$CV21,TRUE))),""),IF($C21&gt;0,summary!$C$10/28.8/0.947817,""))</f>
        <v/>
      </c>
      <c r="T50">
        <f t="array" ref="T50">IF($D21,IFERROR((SUMPRODUCT((economics!$AG$2:$AG$167=$B50)*(economics!$D$2:$D$167="whr")*economics!$AH$2:$AH$167*(_xlfn.NORM.DIST(T$3,economics!$AK$2:$AK$167,economics!$AJ$2:$AJ$167,TRUE)-_xlfn.NORM.DIST(T$30,economics!$AK$2:$AK$167,economics!$AJ$2:$AJ$167,TRUE))*economics!$AM$2:$AM$167)+$CR21*(_xlfn.NORM.DIST(T$3,$CU21,0.3*$CU21,TRUE)-_xlfn.NORM.DIST(T$30,$CU21,0.3*$CU21,TRUE))*summary!$C$7/28.8/0.947817+$CS21*(_xlfn.NORM.DIST(T$3,$CV21,0.3*$CV21,TRUE)-_xlfn.NORM.DIST(T$30,$CV21,0.3*$CV21,TRUE))*summary!$C$6/28.8/0.947817)/(SUMPRODUCT((economics!$AG$2:$AG$167=$B50)*(economics!$D$2:$D$167="whr")*economics!$AH$2:$AH$167*(_xlfn.NORM.DIST(T$3,economics!$AK$2:$AK$167,economics!$AJ$2:$AJ$167,TRUE)-_xlfn.NORM.DIST(T$30,economics!$AK$2:$AK$167,economics!$AJ$2:$AJ$167,TRUE)))+$CR21*(_xlfn.NORM.DIST(T$3,$CU21,0.3*$CU21,TRUE)-_xlfn.NORM.DIST(T$30,$CU21,0.3*$CU21,TRUE))+$CS21*(_xlfn.NORM.DIST(T$3,$CV21,0.3*$CV21,TRUE)-_xlfn.NORM.DIST(T$30,$CV21,0.3*$CV21,TRUE))),""),IF($C21&gt;0,summary!$C$10/28.8/0.947817,""))</f>
        <v/>
      </c>
      <c r="U50">
        <f t="array" ref="U50">IF($D21,IFERROR((SUMPRODUCT((economics!$AG$2:$AG$167=$B50)*(economics!$D$2:$D$167="whr")*economics!$AH$2:$AH$167*(_xlfn.NORM.DIST(U$3,economics!$AK$2:$AK$167,economics!$AJ$2:$AJ$167,TRUE)-_xlfn.NORM.DIST(U$30,economics!$AK$2:$AK$167,economics!$AJ$2:$AJ$167,TRUE))*economics!$AM$2:$AM$167)+$CR21*(_xlfn.NORM.DIST(U$3,$CU21,0.3*$CU21,TRUE)-_xlfn.NORM.DIST(U$30,$CU21,0.3*$CU21,TRUE))*summary!$C$7/28.8/0.947817+$CS21*(_xlfn.NORM.DIST(U$3,$CV21,0.3*$CV21,TRUE)-_xlfn.NORM.DIST(U$30,$CV21,0.3*$CV21,TRUE))*summary!$C$6/28.8/0.947817)/(SUMPRODUCT((economics!$AG$2:$AG$167=$B50)*(economics!$D$2:$D$167="whr")*economics!$AH$2:$AH$167*(_xlfn.NORM.DIST(U$3,economics!$AK$2:$AK$167,economics!$AJ$2:$AJ$167,TRUE)-_xlfn.NORM.DIST(U$30,economics!$AK$2:$AK$167,economics!$AJ$2:$AJ$167,TRUE)))+$CR21*(_xlfn.NORM.DIST(U$3,$CU21,0.3*$CU21,TRUE)-_xlfn.NORM.DIST(U$30,$CU21,0.3*$CU21,TRUE))+$CS21*(_xlfn.NORM.DIST(U$3,$CV21,0.3*$CV21,TRUE)-_xlfn.NORM.DIST(U$30,$CV21,0.3*$CV21,TRUE))),""),IF($C21&gt;0,summary!$C$10/28.8/0.947817,""))</f>
        <v/>
      </c>
      <c r="V50">
        <f t="array" ref="V50">IF($D21,IFERROR((SUMPRODUCT((economics!$AG$2:$AG$167=$B50)*(economics!$D$2:$D$167="whr")*economics!$AH$2:$AH$167*(_xlfn.NORM.DIST(V$3,economics!$AK$2:$AK$167,economics!$AJ$2:$AJ$167,TRUE)-_xlfn.NORM.DIST(V$30,economics!$AK$2:$AK$167,economics!$AJ$2:$AJ$167,TRUE))*economics!$AM$2:$AM$167)+$CR21*(_xlfn.NORM.DIST(V$3,$CU21,0.3*$CU21,TRUE)-_xlfn.NORM.DIST(V$30,$CU21,0.3*$CU21,TRUE))*summary!$C$7/28.8/0.947817+$CS21*(_xlfn.NORM.DIST(V$3,$CV21,0.3*$CV21,TRUE)-_xlfn.NORM.DIST(V$30,$CV21,0.3*$CV21,TRUE))*summary!$C$6/28.8/0.947817)/(SUMPRODUCT((economics!$AG$2:$AG$167=$B50)*(economics!$D$2:$D$167="whr")*economics!$AH$2:$AH$167*(_xlfn.NORM.DIST(V$3,economics!$AK$2:$AK$167,economics!$AJ$2:$AJ$167,TRUE)-_xlfn.NORM.DIST(V$30,economics!$AK$2:$AK$167,economics!$AJ$2:$AJ$167,TRUE)))+$CR21*(_xlfn.NORM.DIST(V$3,$CU21,0.3*$CU21,TRUE)-_xlfn.NORM.DIST(V$30,$CU21,0.3*$CU21,TRUE))+$CS21*(_xlfn.NORM.DIST(V$3,$CV21,0.3*$CV21,TRUE)-_xlfn.NORM.DIST(V$30,$CV21,0.3*$CV21,TRUE))),""),IF($C21&gt;0,summary!$C$10/28.8/0.947817,""))</f>
        <v/>
      </c>
      <c r="W50">
        <f t="array" ref="W50">IF($D21,IFERROR((SUMPRODUCT((economics!$AG$2:$AG$167=$B50)*(economics!$D$2:$D$167="whr")*economics!$AH$2:$AH$167*(_xlfn.NORM.DIST(W$3,economics!$AK$2:$AK$167,economics!$AJ$2:$AJ$167,TRUE)-_xlfn.NORM.DIST(W$30,economics!$AK$2:$AK$167,economics!$AJ$2:$AJ$167,TRUE))*economics!$AM$2:$AM$167)+$CR21*(_xlfn.NORM.DIST(W$3,$CU21,0.3*$CU21,TRUE)-_xlfn.NORM.DIST(W$30,$CU21,0.3*$CU21,TRUE))*summary!$C$7/28.8/0.947817+$CS21*(_xlfn.NORM.DIST(W$3,$CV21,0.3*$CV21,TRUE)-_xlfn.NORM.DIST(W$30,$CV21,0.3*$CV21,TRUE))*summary!$C$6/28.8/0.947817)/(SUMPRODUCT((economics!$AG$2:$AG$167=$B50)*(economics!$D$2:$D$167="whr")*economics!$AH$2:$AH$167*(_xlfn.NORM.DIST(W$3,economics!$AK$2:$AK$167,economics!$AJ$2:$AJ$167,TRUE)-_xlfn.NORM.DIST(W$30,economics!$AK$2:$AK$167,economics!$AJ$2:$AJ$167,TRUE)))+$CR21*(_xlfn.NORM.DIST(W$3,$CU21,0.3*$CU21,TRUE)-_xlfn.NORM.DIST(W$30,$CU21,0.3*$CU21,TRUE))+$CS21*(_xlfn.NORM.DIST(W$3,$CV21,0.3*$CV21,TRUE)-_xlfn.NORM.DIST(W$30,$CV21,0.3*$CV21,TRUE))),""),IF($C21&gt;0,summary!$C$10/28.8/0.947817,""))</f>
        <v/>
      </c>
      <c r="X50">
        <f t="array" ref="X50">IF($D21,IFERROR((SUMPRODUCT((economics!$AG$2:$AG$167=$B50)*(economics!$D$2:$D$167="whr")*economics!$AH$2:$AH$167*(_xlfn.NORM.DIST(X$3,economics!$AK$2:$AK$167,economics!$AJ$2:$AJ$167,TRUE)-_xlfn.NORM.DIST(X$30,economics!$AK$2:$AK$167,economics!$AJ$2:$AJ$167,TRUE))*economics!$AM$2:$AM$167)+$CR21*(_xlfn.NORM.DIST(X$3,$CU21,0.3*$CU21,TRUE)-_xlfn.NORM.DIST(X$30,$CU21,0.3*$CU21,TRUE))*summary!$C$7/28.8/0.947817+$CS21*(_xlfn.NORM.DIST(X$3,$CV21,0.3*$CV21,TRUE)-_xlfn.NORM.DIST(X$30,$CV21,0.3*$CV21,TRUE))*summary!$C$6/28.8/0.947817)/(SUMPRODUCT((economics!$AG$2:$AG$167=$B50)*(economics!$D$2:$D$167="whr")*economics!$AH$2:$AH$167*(_xlfn.NORM.DIST(X$3,economics!$AK$2:$AK$167,economics!$AJ$2:$AJ$167,TRUE)-_xlfn.NORM.DIST(X$30,economics!$AK$2:$AK$167,economics!$AJ$2:$AJ$167,TRUE)))+$CR21*(_xlfn.NORM.DIST(X$3,$CU21,0.3*$CU21,TRUE)-_xlfn.NORM.DIST(X$30,$CU21,0.3*$CU21,TRUE))+$CS21*(_xlfn.NORM.DIST(X$3,$CV21,0.3*$CV21,TRUE)-_xlfn.NORM.DIST(X$30,$CV21,0.3*$CV21,TRUE))),""),IF($C21&gt;0,summary!$C$10/28.8/0.947817,""))</f>
        <v/>
      </c>
      <c r="Y50">
        <f t="array" ref="Y50">IF($D21,IFERROR((SUMPRODUCT((economics!$AG$2:$AG$167=$B50)*(economics!$D$2:$D$167="whr")*economics!$AH$2:$AH$167*(_xlfn.NORM.DIST(Y$3,economics!$AK$2:$AK$167,economics!$AJ$2:$AJ$167,TRUE)-_xlfn.NORM.DIST(Y$30,economics!$AK$2:$AK$167,economics!$AJ$2:$AJ$167,TRUE))*economics!$AM$2:$AM$167)+$CR21*(_xlfn.NORM.DIST(Y$3,$CU21,0.3*$CU21,TRUE)-_xlfn.NORM.DIST(Y$30,$CU21,0.3*$CU21,TRUE))*summary!$C$7/28.8/0.947817+$CS21*(_xlfn.NORM.DIST(Y$3,$CV21,0.3*$CV21,TRUE)-_xlfn.NORM.DIST(Y$30,$CV21,0.3*$CV21,TRUE))*summary!$C$6/28.8/0.947817)/(SUMPRODUCT((economics!$AG$2:$AG$167=$B50)*(economics!$D$2:$D$167="whr")*economics!$AH$2:$AH$167*(_xlfn.NORM.DIST(Y$3,economics!$AK$2:$AK$167,economics!$AJ$2:$AJ$167,TRUE)-_xlfn.NORM.DIST(Y$30,economics!$AK$2:$AK$167,economics!$AJ$2:$AJ$167,TRUE)))+$CR21*(_xlfn.NORM.DIST(Y$3,$CU21,0.3*$CU21,TRUE)-_xlfn.NORM.DIST(Y$30,$CU21,0.3*$CU21,TRUE))+$CS21*(_xlfn.NORM.DIST(Y$3,$CV21,0.3*$CV21,TRUE)-_xlfn.NORM.DIST(Y$30,$CV21,0.3*$CV21,TRUE))),""),IF($C21&gt;0,summary!$C$10/28.8/0.947817,""))</f>
        <v/>
      </c>
      <c r="Z50">
        <f t="array" ref="Z50">IF($D21,IFERROR((SUMPRODUCT((economics!$AG$2:$AG$167=$B50)*(economics!$D$2:$D$167="whr")*economics!$AH$2:$AH$167*(_xlfn.NORM.DIST(Z$3,economics!$AK$2:$AK$167,economics!$AJ$2:$AJ$167,TRUE)-_xlfn.NORM.DIST(Z$30,economics!$AK$2:$AK$167,economics!$AJ$2:$AJ$167,TRUE))*economics!$AM$2:$AM$167)+$CR21*(_xlfn.NORM.DIST(Z$3,$CU21,0.3*$CU21,TRUE)-_xlfn.NORM.DIST(Z$30,$CU21,0.3*$CU21,TRUE))*summary!$C$7/28.8/0.947817+$CS21*(_xlfn.NORM.DIST(Z$3,$CV21,0.3*$CV21,TRUE)-_xlfn.NORM.DIST(Z$30,$CV21,0.3*$CV21,TRUE))*summary!$C$6/28.8/0.947817)/(SUMPRODUCT((economics!$AG$2:$AG$167=$B50)*(economics!$D$2:$D$167="whr")*economics!$AH$2:$AH$167*(_xlfn.NORM.DIST(Z$3,economics!$AK$2:$AK$167,economics!$AJ$2:$AJ$167,TRUE)-_xlfn.NORM.DIST(Z$30,economics!$AK$2:$AK$167,economics!$AJ$2:$AJ$167,TRUE)))+$CR21*(_xlfn.NORM.DIST(Z$3,$CU21,0.3*$CU21,TRUE)-_xlfn.NORM.DIST(Z$30,$CU21,0.3*$CU21,TRUE))+$CS21*(_xlfn.NORM.DIST(Z$3,$CV21,0.3*$CV21,TRUE)-_xlfn.NORM.DIST(Z$30,$CV21,0.3*$CV21,TRUE))),""),IF($C21&gt;0,summary!$C$10/28.8/0.947817,""))</f>
        <v/>
      </c>
      <c r="AA50">
        <f t="array" ref="AA50">IF($D21,IFERROR((SUMPRODUCT((economics!$AG$2:$AG$167=$B50)*(economics!$D$2:$D$167="whr")*economics!$AH$2:$AH$167*(_xlfn.NORM.DIST(AA$3,economics!$AK$2:$AK$167,economics!$AJ$2:$AJ$167,TRUE)-_xlfn.NORM.DIST(AA$30,economics!$AK$2:$AK$167,economics!$AJ$2:$AJ$167,TRUE))*economics!$AM$2:$AM$167)+$CR21*(_xlfn.NORM.DIST(AA$3,$CU21,0.3*$CU21,TRUE)-_xlfn.NORM.DIST(AA$30,$CU21,0.3*$CU21,TRUE))*summary!$C$7/28.8/0.947817+$CS21*(_xlfn.NORM.DIST(AA$3,$CV21,0.3*$CV21,TRUE)-_xlfn.NORM.DIST(AA$30,$CV21,0.3*$CV21,TRUE))*summary!$C$6/28.8/0.947817)/(SUMPRODUCT((economics!$AG$2:$AG$167=$B50)*(economics!$D$2:$D$167="whr")*economics!$AH$2:$AH$167*(_xlfn.NORM.DIST(AA$3,economics!$AK$2:$AK$167,economics!$AJ$2:$AJ$167,TRUE)-_xlfn.NORM.DIST(AA$30,economics!$AK$2:$AK$167,economics!$AJ$2:$AJ$167,TRUE)))+$CR21*(_xlfn.NORM.DIST(AA$3,$CU21,0.3*$CU21,TRUE)-_xlfn.NORM.DIST(AA$30,$CU21,0.3*$CU21,TRUE))+$CS21*(_xlfn.NORM.DIST(AA$3,$CV21,0.3*$CV21,TRUE)-_xlfn.NORM.DIST(AA$30,$CV21,0.3*$CV21,TRUE))),""),IF($C21&gt;0,summary!$C$10/28.8/0.947817,""))</f>
        <v/>
      </c>
      <c r="AB50">
        <f t="array" ref="AB50">IF($D21,IFERROR((SUMPRODUCT((economics!$AG$2:$AG$167=$B50)*(economics!$D$2:$D$167="whr")*economics!$AH$2:$AH$167*(_xlfn.NORM.DIST(AB$3,economics!$AK$2:$AK$167,economics!$AJ$2:$AJ$167,TRUE)-_xlfn.NORM.DIST(AB$30,economics!$AK$2:$AK$167,economics!$AJ$2:$AJ$167,TRUE))*economics!$AM$2:$AM$167)+$CR21*(_xlfn.NORM.DIST(AB$3,$CU21,0.3*$CU21,TRUE)-_xlfn.NORM.DIST(AB$30,$CU21,0.3*$CU21,TRUE))*summary!$C$7/28.8/0.947817+$CS21*(_xlfn.NORM.DIST(AB$3,$CV21,0.3*$CV21,TRUE)-_xlfn.NORM.DIST(AB$30,$CV21,0.3*$CV21,TRUE))*summary!$C$6/28.8/0.947817)/(SUMPRODUCT((economics!$AG$2:$AG$167=$B50)*(economics!$D$2:$D$167="whr")*economics!$AH$2:$AH$167*(_xlfn.NORM.DIST(AB$3,economics!$AK$2:$AK$167,economics!$AJ$2:$AJ$167,TRUE)-_xlfn.NORM.DIST(AB$30,economics!$AK$2:$AK$167,economics!$AJ$2:$AJ$167,TRUE)))+$CR21*(_xlfn.NORM.DIST(AB$3,$CU21,0.3*$CU21,TRUE)-_xlfn.NORM.DIST(AB$30,$CU21,0.3*$CU21,TRUE))+$CS21*(_xlfn.NORM.DIST(AB$3,$CV21,0.3*$CV21,TRUE)-_xlfn.NORM.DIST(AB$30,$CV21,0.3*$CV21,TRUE))),""),IF($C21&gt;0,summary!$C$10/28.8/0.947817,""))</f>
        <v/>
      </c>
      <c r="AC50">
        <f t="array" ref="AC50">IF($D21,IFERROR((SUMPRODUCT((economics!$AG$2:$AG$167=$B50)*(economics!$D$2:$D$167="whr")*economics!$AH$2:$AH$167*(_xlfn.NORM.DIST(AC$3,economics!$AK$2:$AK$167,economics!$AJ$2:$AJ$167,TRUE)-_xlfn.NORM.DIST(AC$30,economics!$AK$2:$AK$167,economics!$AJ$2:$AJ$167,TRUE))*economics!$AM$2:$AM$167)+$CR21*(_xlfn.NORM.DIST(AC$3,$CU21,0.3*$CU21,TRUE)-_xlfn.NORM.DIST(AC$30,$CU21,0.3*$CU21,TRUE))*summary!$C$7/28.8/0.947817+$CS21*(_xlfn.NORM.DIST(AC$3,$CV21,0.3*$CV21,TRUE)-_xlfn.NORM.DIST(AC$30,$CV21,0.3*$CV21,TRUE))*summary!$C$6/28.8/0.947817)/(SUMPRODUCT((economics!$AG$2:$AG$167=$B50)*(economics!$D$2:$D$167="whr")*economics!$AH$2:$AH$167*(_xlfn.NORM.DIST(AC$3,economics!$AK$2:$AK$167,economics!$AJ$2:$AJ$167,TRUE)-_xlfn.NORM.DIST(AC$30,economics!$AK$2:$AK$167,economics!$AJ$2:$AJ$167,TRUE)))+$CR21*(_xlfn.NORM.DIST(AC$3,$CU21,0.3*$CU21,TRUE)-_xlfn.NORM.DIST(AC$30,$CU21,0.3*$CU21,TRUE))+$CS21*(_xlfn.NORM.DIST(AC$3,$CV21,0.3*$CV21,TRUE)-_xlfn.NORM.DIST(AC$30,$CV21,0.3*$CV21,TRUE))),""),IF($C21&gt;0,summary!$C$10/28.8/0.947817,""))</f>
        <v/>
      </c>
      <c r="AD50">
        <f t="array" ref="AD50">IF($D21,IFERROR((SUMPRODUCT((economics!$AG$2:$AG$167=$B50)*(economics!$D$2:$D$167="whr")*economics!$AH$2:$AH$167*(_xlfn.NORM.DIST(AD$3,economics!$AK$2:$AK$167,economics!$AJ$2:$AJ$167,TRUE)-_xlfn.NORM.DIST(AD$30,economics!$AK$2:$AK$167,economics!$AJ$2:$AJ$167,TRUE))*economics!$AM$2:$AM$167)+$CR21*(_xlfn.NORM.DIST(AD$3,$CU21,0.3*$CU21,TRUE)-_xlfn.NORM.DIST(AD$30,$CU21,0.3*$CU21,TRUE))*summary!$C$7/28.8/0.947817+$CS21*(_xlfn.NORM.DIST(AD$3,$CV21,0.3*$CV21,TRUE)-_xlfn.NORM.DIST(AD$30,$CV21,0.3*$CV21,TRUE))*summary!$C$6/28.8/0.947817)/(SUMPRODUCT((economics!$AG$2:$AG$167=$B50)*(economics!$D$2:$D$167="whr")*economics!$AH$2:$AH$167*(_xlfn.NORM.DIST(AD$3,economics!$AK$2:$AK$167,economics!$AJ$2:$AJ$167,TRUE)-_xlfn.NORM.DIST(AD$30,economics!$AK$2:$AK$167,economics!$AJ$2:$AJ$167,TRUE)))+$CR21*(_xlfn.NORM.DIST(AD$3,$CU21,0.3*$CU21,TRUE)-_xlfn.NORM.DIST(AD$30,$CU21,0.3*$CU21,TRUE))+$CS21*(_xlfn.NORM.DIST(AD$3,$CV21,0.3*$CV21,TRUE)-_xlfn.NORM.DIST(AD$30,$CV21,0.3*$CV21,TRUE))),""),IF($C21&gt;0,summary!$C$10/28.8/0.947817,""))</f>
        <v/>
      </c>
      <c r="AE50">
        <f t="array" ref="AE50">IF($D21,IFERROR((SUMPRODUCT((economics!$AG$2:$AG$167=$B50)*(economics!$D$2:$D$167="whr")*economics!$AH$2:$AH$167*(_xlfn.NORM.DIST(AE$3,economics!$AK$2:$AK$167,economics!$AJ$2:$AJ$167,TRUE)-_xlfn.NORM.DIST(AE$30,economics!$AK$2:$AK$167,economics!$AJ$2:$AJ$167,TRUE))*economics!$AM$2:$AM$167)+$CR21*(_xlfn.NORM.DIST(AE$3,$CU21,0.3*$CU21,TRUE)-_xlfn.NORM.DIST(AE$30,$CU21,0.3*$CU21,TRUE))*summary!$C$7/28.8/0.947817+$CS21*(_xlfn.NORM.DIST(AE$3,$CV21,0.3*$CV21,TRUE)-_xlfn.NORM.DIST(AE$30,$CV21,0.3*$CV21,TRUE))*summary!$C$6/28.8/0.947817)/(SUMPRODUCT((economics!$AG$2:$AG$167=$B50)*(economics!$D$2:$D$167="whr")*economics!$AH$2:$AH$167*(_xlfn.NORM.DIST(AE$3,economics!$AK$2:$AK$167,economics!$AJ$2:$AJ$167,TRUE)-_xlfn.NORM.DIST(AE$30,economics!$AK$2:$AK$167,economics!$AJ$2:$AJ$167,TRUE)))+$CR21*(_xlfn.NORM.DIST(AE$3,$CU21,0.3*$CU21,TRUE)-_xlfn.NORM.DIST(AE$30,$CU21,0.3*$CU21,TRUE))+$CS21*(_xlfn.NORM.DIST(AE$3,$CV21,0.3*$CV21,TRUE)-_xlfn.NORM.DIST(AE$30,$CV21,0.3*$CV21,TRUE))),""),IF($C21&gt;0,summary!$C$10/28.8/0.947817,""))</f>
        <v/>
      </c>
      <c r="AF50">
        <f t="array" ref="AF50">IF($D21,IFERROR((SUMPRODUCT((economics!$AG$2:$AG$167=$B50)*(economics!$D$2:$D$167="whr")*economics!$AH$2:$AH$167*(_xlfn.NORM.DIST(AF$3,economics!$AK$2:$AK$167,economics!$AJ$2:$AJ$167,TRUE)-_xlfn.NORM.DIST(AF$30,economics!$AK$2:$AK$167,economics!$AJ$2:$AJ$167,TRUE))*economics!$AM$2:$AM$167)+$CR21*(_xlfn.NORM.DIST(AF$3,$CU21,0.3*$CU21,TRUE)-_xlfn.NORM.DIST(AF$30,$CU21,0.3*$CU21,TRUE))*summary!$C$7/28.8/0.947817+$CS21*(_xlfn.NORM.DIST(AF$3,$CV21,0.3*$CV21,TRUE)-_xlfn.NORM.DIST(AF$30,$CV21,0.3*$CV21,TRUE))*summary!$C$6/28.8/0.947817)/(SUMPRODUCT((economics!$AG$2:$AG$167=$B50)*(economics!$D$2:$D$167="whr")*economics!$AH$2:$AH$167*(_xlfn.NORM.DIST(AF$3,economics!$AK$2:$AK$167,economics!$AJ$2:$AJ$167,TRUE)-_xlfn.NORM.DIST(AF$30,economics!$AK$2:$AK$167,economics!$AJ$2:$AJ$167,TRUE)))+$CR21*(_xlfn.NORM.DIST(AF$3,$CU21,0.3*$CU21,TRUE)-_xlfn.NORM.DIST(AF$30,$CU21,0.3*$CU21,TRUE))+$CS21*(_xlfn.NORM.DIST(AF$3,$CV21,0.3*$CV21,TRUE)-_xlfn.NORM.DIST(AF$30,$CV21,0.3*$CV21,TRUE))),""),IF($C21&gt;0,summary!$C$10/28.8/0.947817,""))</f>
        <v/>
      </c>
      <c r="AG50">
        <f t="array" ref="AG50">IF($D21,IFERROR((SUMPRODUCT((economics!$AG$2:$AG$167=$B50)*(economics!$D$2:$D$167="whr")*economics!$AH$2:$AH$167*(_xlfn.NORM.DIST(AG$3,economics!$AK$2:$AK$167,economics!$AJ$2:$AJ$167,TRUE)-_xlfn.NORM.DIST(AG$30,economics!$AK$2:$AK$167,economics!$AJ$2:$AJ$167,TRUE))*economics!$AM$2:$AM$167)+$CR21*(_xlfn.NORM.DIST(AG$3,$CU21,0.3*$CU21,TRUE)-_xlfn.NORM.DIST(AG$30,$CU21,0.3*$CU21,TRUE))*summary!$C$7/28.8/0.947817+$CS21*(_xlfn.NORM.DIST(AG$3,$CV21,0.3*$CV21,TRUE)-_xlfn.NORM.DIST(AG$30,$CV21,0.3*$CV21,TRUE))*summary!$C$6/28.8/0.947817)/(SUMPRODUCT((economics!$AG$2:$AG$167=$B50)*(economics!$D$2:$D$167="whr")*economics!$AH$2:$AH$167*(_xlfn.NORM.DIST(AG$3,economics!$AK$2:$AK$167,economics!$AJ$2:$AJ$167,TRUE)-_xlfn.NORM.DIST(AG$30,economics!$AK$2:$AK$167,economics!$AJ$2:$AJ$167,TRUE)))+$CR21*(_xlfn.NORM.DIST(AG$3,$CU21,0.3*$CU21,TRUE)-_xlfn.NORM.DIST(AG$30,$CU21,0.3*$CU21,TRUE))+$CS21*(_xlfn.NORM.DIST(AG$3,$CV21,0.3*$CV21,TRUE)-_xlfn.NORM.DIST(AG$30,$CV21,0.3*$CV21,TRUE))),""),IF($C21&gt;0,summary!$C$10/28.8/0.947817,""))</f>
        <v/>
      </c>
      <c r="AH50">
        <f t="array" ref="AH50">IF($D21,IFERROR((SUMPRODUCT((economics!$AG$2:$AG$167=$B50)*(economics!$D$2:$D$167="whr")*economics!$AH$2:$AH$167*(_xlfn.NORM.DIST(AH$3,economics!$AK$2:$AK$167,economics!$AJ$2:$AJ$167,TRUE)-_xlfn.NORM.DIST(AH$30,economics!$AK$2:$AK$167,economics!$AJ$2:$AJ$167,TRUE))*economics!$AM$2:$AM$167)+$CR21*(_xlfn.NORM.DIST(AH$3,$CU21,0.3*$CU21,TRUE)-_xlfn.NORM.DIST(AH$30,$CU21,0.3*$CU21,TRUE))*summary!$C$7/28.8/0.947817+$CS21*(_xlfn.NORM.DIST(AH$3,$CV21,0.3*$CV21,TRUE)-_xlfn.NORM.DIST(AH$30,$CV21,0.3*$CV21,TRUE))*summary!$C$6/28.8/0.947817)/(SUMPRODUCT((economics!$AG$2:$AG$167=$B50)*(economics!$D$2:$D$167="whr")*economics!$AH$2:$AH$167*(_xlfn.NORM.DIST(AH$3,economics!$AK$2:$AK$167,economics!$AJ$2:$AJ$167,TRUE)-_xlfn.NORM.DIST(AH$30,economics!$AK$2:$AK$167,economics!$AJ$2:$AJ$167,TRUE)))+$CR21*(_xlfn.NORM.DIST(AH$3,$CU21,0.3*$CU21,TRUE)-_xlfn.NORM.DIST(AH$30,$CU21,0.3*$CU21,TRUE))+$CS21*(_xlfn.NORM.DIST(AH$3,$CV21,0.3*$CV21,TRUE)-_xlfn.NORM.DIST(AH$30,$CV21,0.3*$CV21,TRUE))),""),IF($C21&gt;0,summary!$C$10/28.8/0.947817,""))</f>
        <v/>
      </c>
      <c r="AI50">
        <f t="array" ref="AI50">IF($D21,IFERROR((SUMPRODUCT((economics!$AG$2:$AG$167=$B50)*(economics!$D$2:$D$167="whr")*economics!$AH$2:$AH$167*(_xlfn.NORM.DIST(AI$3,economics!$AK$2:$AK$167,economics!$AJ$2:$AJ$167,TRUE)-_xlfn.NORM.DIST(AI$30,economics!$AK$2:$AK$167,economics!$AJ$2:$AJ$167,TRUE))*economics!$AM$2:$AM$167)+$CR21*(_xlfn.NORM.DIST(AI$3,$CU21,0.3*$CU21,TRUE)-_xlfn.NORM.DIST(AI$30,$CU21,0.3*$CU21,TRUE))*summary!$C$7/28.8/0.947817+$CS21*(_xlfn.NORM.DIST(AI$3,$CV21,0.3*$CV21,TRUE)-_xlfn.NORM.DIST(AI$30,$CV21,0.3*$CV21,TRUE))*summary!$C$6/28.8/0.947817)/(SUMPRODUCT((economics!$AG$2:$AG$167=$B50)*(economics!$D$2:$D$167="whr")*economics!$AH$2:$AH$167*(_xlfn.NORM.DIST(AI$3,economics!$AK$2:$AK$167,economics!$AJ$2:$AJ$167,TRUE)-_xlfn.NORM.DIST(AI$30,economics!$AK$2:$AK$167,economics!$AJ$2:$AJ$167,TRUE)))+$CR21*(_xlfn.NORM.DIST(AI$3,$CU21,0.3*$CU21,TRUE)-_xlfn.NORM.DIST(AI$30,$CU21,0.3*$CU21,TRUE))+$CS21*(_xlfn.NORM.DIST(AI$3,$CV21,0.3*$CV21,TRUE)-_xlfn.NORM.DIST(AI$30,$CV21,0.3*$CV21,TRUE))),""),IF($C21&gt;0,summary!$C$10/28.8/0.947817,""))</f>
        <v/>
      </c>
      <c r="AJ50">
        <f t="array" ref="AJ50">IF($D21,IFERROR((SUMPRODUCT((economics!$AG$2:$AG$167=$B50)*(economics!$D$2:$D$167="whr")*economics!$AH$2:$AH$167*(_xlfn.NORM.DIST(AJ$3,economics!$AK$2:$AK$167,economics!$AJ$2:$AJ$167,TRUE)-_xlfn.NORM.DIST(AJ$30,economics!$AK$2:$AK$167,economics!$AJ$2:$AJ$167,TRUE))*economics!$AM$2:$AM$167)+$CR21*(_xlfn.NORM.DIST(AJ$3,$CU21,0.3*$CU21,TRUE)-_xlfn.NORM.DIST(AJ$30,$CU21,0.3*$CU21,TRUE))*summary!$C$7/28.8/0.947817+$CS21*(_xlfn.NORM.DIST(AJ$3,$CV21,0.3*$CV21,TRUE)-_xlfn.NORM.DIST(AJ$30,$CV21,0.3*$CV21,TRUE))*summary!$C$6/28.8/0.947817)/(SUMPRODUCT((economics!$AG$2:$AG$167=$B50)*(economics!$D$2:$D$167="whr")*economics!$AH$2:$AH$167*(_xlfn.NORM.DIST(AJ$3,economics!$AK$2:$AK$167,economics!$AJ$2:$AJ$167,TRUE)-_xlfn.NORM.DIST(AJ$30,economics!$AK$2:$AK$167,economics!$AJ$2:$AJ$167,TRUE)))+$CR21*(_xlfn.NORM.DIST(AJ$3,$CU21,0.3*$CU21,TRUE)-_xlfn.NORM.DIST(AJ$30,$CU21,0.3*$CU21,TRUE))+$CS21*(_xlfn.NORM.DIST(AJ$3,$CV21,0.3*$CV21,TRUE)-_xlfn.NORM.DIST(AJ$30,$CV21,0.3*$CV21,TRUE))),""),IF($C21&gt;0,summary!$C$10/28.8/0.947817,""))</f>
        <v/>
      </c>
      <c r="AK50">
        <f t="array" ref="AK50">IF($D21,IFERROR((SUMPRODUCT((economics!$AG$2:$AG$167=$B50)*(economics!$D$2:$D$167="whr")*economics!$AH$2:$AH$167*(_xlfn.NORM.DIST(AK$3,economics!$AK$2:$AK$167,economics!$AJ$2:$AJ$167,TRUE)-_xlfn.NORM.DIST(AK$30,economics!$AK$2:$AK$167,economics!$AJ$2:$AJ$167,TRUE))*economics!$AM$2:$AM$167)+$CR21*(_xlfn.NORM.DIST(AK$3,$CU21,0.3*$CU21,TRUE)-_xlfn.NORM.DIST(AK$30,$CU21,0.3*$CU21,TRUE))*summary!$C$7/28.8/0.947817+$CS21*(_xlfn.NORM.DIST(AK$3,$CV21,0.3*$CV21,TRUE)-_xlfn.NORM.DIST(AK$30,$CV21,0.3*$CV21,TRUE))*summary!$C$6/28.8/0.947817)/(SUMPRODUCT((economics!$AG$2:$AG$167=$B50)*(economics!$D$2:$D$167="whr")*economics!$AH$2:$AH$167*(_xlfn.NORM.DIST(AK$3,economics!$AK$2:$AK$167,economics!$AJ$2:$AJ$167,TRUE)-_xlfn.NORM.DIST(AK$30,economics!$AK$2:$AK$167,economics!$AJ$2:$AJ$167,TRUE)))+$CR21*(_xlfn.NORM.DIST(AK$3,$CU21,0.3*$CU21,TRUE)-_xlfn.NORM.DIST(AK$30,$CU21,0.3*$CU21,TRUE))+$CS21*(_xlfn.NORM.DIST(AK$3,$CV21,0.3*$CV21,TRUE)-_xlfn.NORM.DIST(AK$30,$CV21,0.3*$CV21,TRUE))),""),IF($C21&gt;0,summary!$C$10/28.8/0.947817,""))</f>
        <v/>
      </c>
      <c r="AL50">
        <f t="array" ref="AL50">IF($D21,IFERROR((SUMPRODUCT((economics!$AG$2:$AG$167=$B50)*(economics!$D$2:$D$167="whr")*economics!$AH$2:$AH$167*(_xlfn.NORM.DIST(AL$3,economics!$AK$2:$AK$167,economics!$AJ$2:$AJ$167,TRUE)-_xlfn.NORM.DIST(AL$30,economics!$AK$2:$AK$167,economics!$AJ$2:$AJ$167,TRUE))*economics!$AM$2:$AM$167)+$CR21*(_xlfn.NORM.DIST(AL$3,$CU21,0.3*$CU21,TRUE)-_xlfn.NORM.DIST(AL$30,$CU21,0.3*$CU21,TRUE))*summary!$C$7/28.8/0.947817+$CS21*(_xlfn.NORM.DIST(AL$3,$CV21,0.3*$CV21,TRUE)-_xlfn.NORM.DIST(AL$30,$CV21,0.3*$CV21,TRUE))*summary!$C$6/28.8/0.947817)/(SUMPRODUCT((economics!$AG$2:$AG$167=$B50)*(economics!$D$2:$D$167="whr")*economics!$AH$2:$AH$167*(_xlfn.NORM.DIST(AL$3,economics!$AK$2:$AK$167,economics!$AJ$2:$AJ$167,TRUE)-_xlfn.NORM.DIST(AL$30,economics!$AK$2:$AK$167,economics!$AJ$2:$AJ$167,TRUE)))+$CR21*(_xlfn.NORM.DIST(AL$3,$CU21,0.3*$CU21,TRUE)-_xlfn.NORM.DIST(AL$30,$CU21,0.3*$CU21,TRUE))+$CS21*(_xlfn.NORM.DIST(AL$3,$CV21,0.3*$CV21,TRUE)-_xlfn.NORM.DIST(AL$30,$CV21,0.3*$CV21,TRUE))),""),IF($C21&gt;0,summary!$C$10/28.8/0.947817,""))</f>
        <v/>
      </c>
      <c r="AM50">
        <f t="array" ref="AM50">IF($D21,IFERROR((SUMPRODUCT((economics!$AG$2:$AG$167=$B50)*(economics!$D$2:$D$167="whr")*economics!$AH$2:$AH$167*(_xlfn.NORM.DIST(AM$3,economics!$AK$2:$AK$167,economics!$AJ$2:$AJ$167,TRUE)-_xlfn.NORM.DIST(AM$30,economics!$AK$2:$AK$167,economics!$AJ$2:$AJ$167,TRUE))*economics!$AM$2:$AM$167)+$CR21*(_xlfn.NORM.DIST(AM$3,$CU21,0.3*$CU21,TRUE)-_xlfn.NORM.DIST(AM$30,$CU21,0.3*$CU21,TRUE))*summary!$C$7/28.8/0.947817+$CS21*(_xlfn.NORM.DIST(AM$3,$CV21,0.3*$CV21,TRUE)-_xlfn.NORM.DIST(AM$30,$CV21,0.3*$CV21,TRUE))*summary!$C$6/28.8/0.947817)/(SUMPRODUCT((economics!$AG$2:$AG$167=$B50)*(economics!$D$2:$D$167="whr")*economics!$AH$2:$AH$167*(_xlfn.NORM.DIST(AM$3,economics!$AK$2:$AK$167,economics!$AJ$2:$AJ$167,TRUE)-_xlfn.NORM.DIST(AM$30,economics!$AK$2:$AK$167,economics!$AJ$2:$AJ$167,TRUE)))+$CR21*(_xlfn.NORM.DIST(AM$3,$CU21,0.3*$CU21,TRUE)-_xlfn.NORM.DIST(AM$30,$CU21,0.3*$CU21,TRUE))+$CS21*(_xlfn.NORM.DIST(AM$3,$CV21,0.3*$CV21,TRUE)-_xlfn.NORM.DIST(AM$30,$CV21,0.3*$CV21,TRUE))),""),IF($C21&gt;0,summary!$C$10/28.8/0.947817,""))</f>
        <v/>
      </c>
      <c r="AN50">
        <f t="array" ref="AN50">IF($D21,IFERROR((SUMPRODUCT((economics!$AG$2:$AG$167=$B50)*(economics!$D$2:$D$167="whr")*economics!$AH$2:$AH$167*(_xlfn.NORM.DIST(AN$3,economics!$AK$2:$AK$167,economics!$AJ$2:$AJ$167,TRUE)-_xlfn.NORM.DIST(AN$30,economics!$AK$2:$AK$167,economics!$AJ$2:$AJ$167,TRUE))*economics!$AM$2:$AM$167)+$CR21*(_xlfn.NORM.DIST(AN$3,$CU21,0.3*$CU21,TRUE)-_xlfn.NORM.DIST(AN$30,$CU21,0.3*$CU21,TRUE))*summary!$C$7/28.8/0.947817+$CS21*(_xlfn.NORM.DIST(AN$3,$CV21,0.3*$CV21,TRUE)-_xlfn.NORM.DIST(AN$30,$CV21,0.3*$CV21,TRUE))*summary!$C$6/28.8/0.947817)/(SUMPRODUCT((economics!$AG$2:$AG$167=$B50)*(economics!$D$2:$D$167="whr")*economics!$AH$2:$AH$167*(_xlfn.NORM.DIST(AN$3,economics!$AK$2:$AK$167,economics!$AJ$2:$AJ$167,TRUE)-_xlfn.NORM.DIST(AN$30,economics!$AK$2:$AK$167,economics!$AJ$2:$AJ$167,TRUE)))+$CR21*(_xlfn.NORM.DIST(AN$3,$CU21,0.3*$CU21,TRUE)-_xlfn.NORM.DIST(AN$30,$CU21,0.3*$CU21,TRUE))+$CS21*(_xlfn.NORM.DIST(AN$3,$CV21,0.3*$CV21,TRUE)-_xlfn.NORM.DIST(AN$30,$CV21,0.3*$CV21,TRUE))),""),IF($C21&gt;0,summary!$C$10/28.8/0.947817,""))</f>
        <v/>
      </c>
      <c r="AO50">
        <f t="array" ref="AO50">IF($D21,IFERROR((SUMPRODUCT((economics!$AG$2:$AG$167=$B50)*(economics!$D$2:$D$167="whr")*economics!$AH$2:$AH$167*(_xlfn.NORM.DIST(AO$3,economics!$AK$2:$AK$167,economics!$AJ$2:$AJ$167,TRUE)-_xlfn.NORM.DIST(AO$30,economics!$AK$2:$AK$167,economics!$AJ$2:$AJ$167,TRUE))*economics!$AM$2:$AM$167)+$CR21*(_xlfn.NORM.DIST(AO$3,$CU21,0.3*$CU21,TRUE)-_xlfn.NORM.DIST(AO$30,$CU21,0.3*$CU21,TRUE))*summary!$C$7/28.8/0.947817+$CS21*(_xlfn.NORM.DIST(AO$3,$CV21,0.3*$CV21,TRUE)-_xlfn.NORM.DIST(AO$30,$CV21,0.3*$CV21,TRUE))*summary!$C$6/28.8/0.947817)/(SUMPRODUCT((economics!$AG$2:$AG$167=$B50)*(economics!$D$2:$D$167="whr")*economics!$AH$2:$AH$167*(_xlfn.NORM.DIST(AO$3,economics!$AK$2:$AK$167,economics!$AJ$2:$AJ$167,TRUE)-_xlfn.NORM.DIST(AO$30,economics!$AK$2:$AK$167,economics!$AJ$2:$AJ$167,TRUE)))+$CR21*(_xlfn.NORM.DIST(AO$3,$CU21,0.3*$CU21,TRUE)-_xlfn.NORM.DIST(AO$30,$CU21,0.3*$CU21,TRUE))+$CS21*(_xlfn.NORM.DIST(AO$3,$CV21,0.3*$CV21,TRUE)-_xlfn.NORM.DIST(AO$30,$CV21,0.3*$CV21,TRUE))),""),IF($C21&gt;0,summary!$C$10/28.8/0.947817,""))</f>
        <v/>
      </c>
      <c r="AP50">
        <f t="array" ref="AP50">IF($D21,IFERROR((SUMPRODUCT((economics!$AG$2:$AG$167=$B50)*(economics!$D$2:$D$167="whr")*economics!$AH$2:$AH$167*(_xlfn.NORM.DIST(AP$3,economics!$AK$2:$AK$167,economics!$AJ$2:$AJ$167,TRUE)-_xlfn.NORM.DIST(AP$30,economics!$AK$2:$AK$167,economics!$AJ$2:$AJ$167,TRUE))*economics!$AM$2:$AM$167)+$CR21*(_xlfn.NORM.DIST(AP$3,$CU21,0.3*$CU21,TRUE)-_xlfn.NORM.DIST(AP$30,$CU21,0.3*$CU21,TRUE))*summary!$C$7/28.8/0.947817+$CS21*(_xlfn.NORM.DIST(AP$3,$CV21,0.3*$CV21,TRUE)-_xlfn.NORM.DIST(AP$30,$CV21,0.3*$CV21,TRUE))*summary!$C$6/28.8/0.947817)/(SUMPRODUCT((economics!$AG$2:$AG$167=$B50)*(economics!$D$2:$D$167="whr")*economics!$AH$2:$AH$167*(_xlfn.NORM.DIST(AP$3,economics!$AK$2:$AK$167,economics!$AJ$2:$AJ$167,TRUE)-_xlfn.NORM.DIST(AP$30,economics!$AK$2:$AK$167,economics!$AJ$2:$AJ$167,TRUE)))+$CR21*(_xlfn.NORM.DIST(AP$3,$CU21,0.3*$CU21,TRUE)-_xlfn.NORM.DIST(AP$30,$CU21,0.3*$CU21,TRUE))+$CS21*(_xlfn.NORM.DIST(AP$3,$CV21,0.3*$CV21,TRUE)-_xlfn.NORM.DIST(AP$30,$CV21,0.3*$CV21,TRUE))),""),IF($C21&gt;0,summary!$C$10/28.8/0.947817,""))</f>
        <v/>
      </c>
      <c r="AQ50">
        <f t="array" ref="AQ50">IF($D21,IFERROR((SUMPRODUCT((economics!$AG$2:$AG$167=$B50)*(economics!$D$2:$D$167="whr")*economics!$AH$2:$AH$167*(_xlfn.NORM.DIST(AQ$3,economics!$AK$2:$AK$167,economics!$AJ$2:$AJ$167,TRUE)-_xlfn.NORM.DIST(AQ$30,economics!$AK$2:$AK$167,economics!$AJ$2:$AJ$167,TRUE))*economics!$AM$2:$AM$167)+$CR21*(_xlfn.NORM.DIST(AQ$3,$CU21,0.3*$CU21,TRUE)-_xlfn.NORM.DIST(AQ$30,$CU21,0.3*$CU21,TRUE))*summary!$C$7/28.8/0.947817+$CS21*(_xlfn.NORM.DIST(AQ$3,$CV21,0.3*$CV21,TRUE)-_xlfn.NORM.DIST(AQ$30,$CV21,0.3*$CV21,TRUE))*summary!$C$6/28.8/0.947817)/(SUMPRODUCT((economics!$AG$2:$AG$167=$B50)*(economics!$D$2:$D$167="whr")*economics!$AH$2:$AH$167*(_xlfn.NORM.DIST(AQ$3,economics!$AK$2:$AK$167,economics!$AJ$2:$AJ$167,TRUE)-_xlfn.NORM.DIST(AQ$30,economics!$AK$2:$AK$167,economics!$AJ$2:$AJ$167,TRUE)))+$CR21*(_xlfn.NORM.DIST(AQ$3,$CU21,0.3*$CU21,TRUE)-_xlfn.NORM.DIST(AQ$30,$CU21,0.3*$CU21,TRUE))+$CS21*(_xlfn.NORM.DIST(AQ$3,$CV21,0.3*$CV21,TRUE)-_xlfn.NORM.DIST(AQ$30,$CV21,0.3*$CV21,TRUE))),""),IF($C21&gt;0,summary!$C$10/28.8/0.947817,""))</f>
        <v/>
      </c>
      <c r="AR50">
        <f t="array" ref="AR50">IF($D21,IFERROR((SUMPRODUCT((economics!$AG$2:$AG$167=$B50)*(economics!$D$2:$D$167="whr")*economics!$AH$2:$AH$167*(_xlfn.NORM.DIST(AR$3,economics!$AK$2:$AK$167,economics!$AJ$2:$AJ$167,TRUE)-_xlfn.NORM.DIST(AR$30,economics!$AK$2:$AK$167,economics!$AJ$2:$AJ$167,TRUE))*economics!$AM$2:$AM$167)+$CR21*(_xlfn.NORM.DIST(AR$3,$CU21,0.3*$CU21,TRUE)-_xlfn.NORM.DIST(AR$30,$CU21,0.3*$CU21,TRUE))*summary!$C$7/28.8/0.947817+$CS21*(_xlfn.NORM.DIST(AR$3,$CV21,0.3*$CV21,TRUE)-_xlfn.NORM.DIST(AR$30,$CV21,0.3*$CV21,TRUE))*summary!$C$6/28.8/0.947817)/(SUMPRODUCT((economics!$AG$2:$AG$167=$B50)*(economics!$D$2:$D$167="whr")*economics!$AH$2:$AH$167*(_xlfn.NORM.DIST(AR$3,economics!$AK$2:$AK$167,economics!$AJ$2:$AJ$167,TRUE)-_xlfn.NORM.DIST(AR$30,economics!$AK$2:$AK$167,economics!$AJ$2:$AJ$167,TRUE)))+$CR21*(_xlfn.NORM.DIST(AR$3,$CU21,0.3*$CU21,TRUE)-_xlfn.NORM.DIST(AR$30,$CU21,0.3*$CU21,TRUE))+$CS21*(_xlfn.NORM.DIST(AR$3,$CV21,0.3*$CV21,TRUE)-_xlfn.NORM.DIST(AR$30,$CV21,0.3*$CV21,TRUE))),""),IF($C21&gt;0,summary!$C$10/28.8/0.947817,""))</f>
        <v/>
      </c>
      <c r="AS50">
        <f t="array" ref="AS50">IF($D21,IFERROR((SUMPRODUCT((economics!$AG$2:$AG$167=$B50)*(economics!$D$2:$D$167="whr")*economics!$AH$2:$AH$167*(_xlfn.NORM.DIST(AS$3,economics!$AK$2:$AK$167,economics!$AJ$2:$AJ$167,TRUE)-_xlfn.NORM.DIST(AS$30,economics!$AK$2:$AK$167,economics!$AJ$2:$AJ$167,TRUE))*economics!$AM$2:$AM$167)+$CR21*(_xlfn.NORM.DIST(AS$3,$CU21,0.3*$CU21,TRUE)-_xlfn.NORM.DIST(AS$30,$CU21,0.3*$CU21,TRUE))*summary!$C$7/28.8/0.947817+$CS21*(_xlfn.NORM.DIST(AS$3,$CV21,0.3*$CV21,TRUE)-_xlfn.NORM.DIST(AS$30,$CV21,0.3*$CV21,TRUE))*summary!$C$6/28.8/0.947817)/(SUMPRODUCT((economics!$AG$2:$AG$167=$B50)*(economics!$D$2:$D$167="whr")*economics!$AH$2:$AH$167*(_xlfn.NORM.DIST(AS$3,economics!$AK$2:$AK$167,economics!$AJ$2:$AJ$167,TRUE)-_xlfn.NORM.DIST(AS$30,economics!$AK$2:$AK$167,economics!$AJ$2:$AJ$167,TRUE)))+$CR21*(_xlfn.NORM.DIST(AS$3,$CU21,0.3*$CU21,TRUE)-_xlfn.NORM.DIST(AS$30,$CU21,0.3*$CU21,TRUE))+$CS21*(_xlfn.NORM.DIST(AS$3,$CV21,0.3*$CV21,TRUE)-_xlfn.NORM.DIST(AS$30,$CV21,0.3*$CV21,TRUE))),""),IF($C21&gt;0,summary!$C$10/28.8/0.947817,""))</f>
        <v/>
      </c>
      <c r="AT50">
        <f t="array" ref="AT50">IF($D21,IFERROR((SUMPRODUCT((economics!$AG$2:$AG$167=$B50)*(economics!$D$2:$D$167="whr")*economics!$AH$2:$AH$167*(_xlfn.NORM.DIST(AT$3,economics!$AK$2:$AK$167,economics!$AJ$2:$AJ$167,TRUE)-_xlfn.NORM.DIST(AT$30,economics!$AK$2:$AK$167,economics!$AJ$2:$AJ$167,TRUE))*economics!$AM$2:$AM$167)+$CR21*(_xlfn.NORM.DIST(AT$3,$CU21,0.3*$CU21,TRUE)-_xlfn.NORM.DIST(AT$30,$CU21,0.3*$CU21,TRUE))*summary!$C$7/28.8/0.947817+$CS21*(_xlfn.NORM.DIST(AT$3,$CV21,0.3*$CV21,TRUE)-_xlfn.NORM.DIST(AT$30,$CV21,0.3*$CV21,TRUE))*summary!$C$6/28.8/0.947817)/(SUMPRODUCT((economics!$AG$2:$AG$167=$B50)*(economics!$D$2:$D$167="whr")*economics!$AH$2:$AH$167*(_xlfn.NORM.DIST(AT$3,economics!$AK$2:$AK$167,economics!$AJ$2:$AJ$167,TRUE)-_xlfn.NORM.DIST(AT$30,economics!$AK$2:$AK$167,economics!$AJ$2:$AJ$167,TRUE)))+$CR21*(_xlfn.NORM.DIST(AT$3,$CU21,0.3*$CU21,TRUE)-_xlfn.NORM.DIST(AT$30,$CU21,0.3*$CU21,TRUE))+$CS21*(_xlfn.NORM.DIST(AT$3,$CV21,0.3*$CV21,TRUE)-_xlfn.NORM.DIST(AT$30,$CV21,0.3*$CV21,TRUE))),""),IF($C21&gt;0,summary!$C$10/28.8/0.947817,""))</f>
        <v/>
      </c>
      <c r="AU50">
        <f t="array" ref="AU50">IF($D21,IFERROR((SUMPRODUCT((economics!$AG$2:$AG$167=$B50)*(economics!$D$2:$D$167="whr")*economics!$AH$2:$AH$167*(_xlfn.NORM.DIST(AU$3,economics!$AK$2:$AK$167,economics!$AJ$2:$AJ$167,TRUE)-_xlfn.NORM.DIST(AU$30,economics!$AK$2:$AK$167,economics!$AJ$2:$AJ$167,TRUE))*economics!$AM$2:$AM$167)+$CR21*(_xlfn.NORM.DIST(AU$3,$CU21,0.3*$CU21,TRUE)-_xlfn.NORM.DIST(AU$30,$CU21,0.3*$CU21,TRUE))*summary!$C$7/28.8/0.947817+$CS21*(_xlfn.NORM.DIST(AU$3,$CV21,0.3*$CV21,TRUE)-_xlfn.NORM.DIST(AU$30,$CV21,0.3*$CV21,TRUE))*summary!$C$6/28.8/0.947817)/(SUMPRODUCT((economics!$AG$2:$AG$167=$B50)*(economics!$D$2:$D$167="whr")*economics!$AH$2:$AH$167*(_xlfn.NORM.DIST(AU$3,economics!$AK$2:$AK$167,economics!$AJ$2:$AJ$167,TRUE)-_xlfn.NORM.DIST(AU$30,economics!$AK$2:$AK$167,economics!$AJ$2:$AJ$167,TRUE)))+$CR21*(_xlfn.NORM.DIST(AU$3,$CU21,0.3*$CU21,TRUE)-_xlfn.NORM.DIST(AU$30,$CU21,0.3*$CU21,TRUE))+$CS21*(_xlfn.NORM.DIST(AU$3,$CV21,0.3*$CV21,TRUE)-_xlfn.NORM.DIST(AU$30,$CV21,0.3*$CV21,TRUE))),""),IF($C21&gt;0,summary!$C$10/28.8/0.947817,""))</f>
        <v/>
      </c>
      <c r="AV50">
        <f t="array" ref="AV50">IF($D21,IFERROR((SUMPRODUCT((economics!$AG$2:$AG$167=$B50)*(economics!$D$2:$D$167="whr")*economics!$AH$2:$AH$167*(_xlfn.NORM.DIST(AV$3,economics!$AK$2:$AK$167,economics!$AJ$2:$AJ$167,TRUE)-_xlfn.NORM.DIST(AV$30,economics!$AK$2:$AK$167,economics!$AJ$2:$AJ$167,TRUE))*economics!$AM$2:$AM$167)+$CR21*(_xlfn.NORM.DIST(AV$3,$CU21,0.3*$CU21,TRUE)-_xlfn.NORM.DIST(AV$30,$CU21,0.3*$CU21,TRUE))*summary!$C$7/28.8/0.947817+$CS21*(_xlfn.NORM.DIST(AV$3,$CV21,0.3*$CV21,TRUE)-_xlfn.NORM.DIST(AV$30,$CV21,0.3*$CV21,TRUE))*summary!$C$6/28.8/0.947817)/(SUMPRODUCT((economics!$AG$2:$AG$167=$B50)*(economics!$D$2:$D$167="whr")*economics!$AH$2:$AH$167*(_xlfn.NORM.DIST(AV$3,economics!$AK$2:$AK$167,economics!$AJ$2:$AJ$167,TRUE)-_xlfn.NORM.DIST(AV$30,economics!$AK$2:$AK$167,economics!$AJ$2:$AJ$167,TRUE)))+$CR21*(_xlfn.NORM.DIST(AV$3,$CU21,0.3*$CU21,TRUE)-_xlfn.NORM.DIST(AV$30,$CU21,0.3*$CU21,TRUE))+$CS21*(_xlfn.NORM.DIST(AV$3,$CV21,0.3*$CV21,TRUE)-_xlfn.NORM.DIST(AV$30,$CV21,0.3*$CV21,TRUE))),""),IF($C21&gt;0,summary!$C$10/28.8/0.947817,""))</f>
        <v/>
      </c>
      <c r="AW50">
        <f t="array" ref="AW50">IF($D21,IFERROR((SUMPRODUCT((economics!$AG$2:$AG$167=$B50)*(economics!$D$2:$D$167="whr")*economics!$AH$2:$AH$167*(_xlfn.NORM.DIST(AW$3,economics!$AK$2:$AK$167,economics!$AJ$2:$AJ$167,TRUE)-_xlfn.NORM.DIST(AW$30,economics!$AK$2:$AK$167,economics!$AJ$2:$AJ$167,TRUE))*economics!$AM$2:$AM$167)+$CR21*(_xlfn.NORM.DIST(AW$3,$CU21,0.3*$CU21,TRUE)-_xlfn.NORM.DIST(AW$30,$CU21,0.3*$CU21,TRUE))*summary!$C$7/28.8/0.947817+$CS21*(_xlfn.NORM.DIST(AW$3,$CV21,0.3*$CV21,TRUE)-_xlfn.NORM.DIST(AW$30,$CV21,0.3*$CV21,TRUE))*summary!$C$6/28.8/0.947817)/(SUMPRODUCT((economics!$AG$2:$AG$167=$B50)*(economics!$D$2:$D$167="whr")*economics!$AH$2:$AH$167*(_xlfn.NORM.DIST(AW$3,economics!$AK$2:$AK$167,economics!$AJ$2:$AJ$167,TRUE)-_xlfn.NORM.DIST(AW$30,economics!$AK$2:$AK$167,economics!$AJ$2:$AJ$167,TRUE)))+$CR21*(_xlfn.NORM.DIST(AW$3,$CU21,0.3*$CU21,TRUE)-_xlfn.NORM.DIST(AW$30,$CU21,0.3*$CU21,TRUE))+$CS21*(_xlfn.NORM.DIST(AW$3,$CV21,0.3*$CV21,TRUE)-_xlfn.NORM.DIST(AW$30,$CV21,0.3*$CV21,TRUE))),""),IF($C21&gt;0,summary!$C$10/28.8/0.947817,""))</f>
        <v/>
      </c>
      <c r="AX50">
        <f t="array" ref="AX50">IF($D21,IFERROR((SUMPRODUCT((economics!$AG$2:$AG$167=$B50)*(economics!$D$2:$D$167="whr")*economics!$AH$2:$AH$167*(_xlfn.NORM.DIST(AX$3,economics!$AK$2:$AK$167,economics!$AJ$2:$AJ$167,TRUE)-_xlfn.NORM.DIST(AX$30,economics!$AK$2:$AK$167,economics!$AJ$2:$AJ$167,TRUE))*economics!$AM$2:$AM$167)+$CR21*(_xlfn.NORM.DIST(AX$3,$CU21,0.3*$CU21,TRUE)-_xlfn.NORM.DIST(AX$30,$CU21,0.3*$CU21,TRUE))*summary!$C$7/28.8/0.947817+$CS21*(_xlfn.NORM.DIST(AX$3,$CV21,0.3*$CV21,TRUE)-_xlfn.NORM.DIST(AX$30,$CV21,0.3*$CV21,TRUE))*summary!$C$6/28.8/0.947817)/(SUMPRODUCT((economics!$AG$2:$AG$167=$B50)*(economics!$D$2:$D$167="whr")*economics!$AH$2:$AH$167*(_xlfn.NORM.DIST(AX$3,economics!$AK$2:$AK$167,economics!$AJ$2:$AJ$167,TRUE)-_xlfn.NORM.DIST(AX$30,economics!$AK$2:$AK$167,economics!$AJ$2:$AJ$167,TRUE)))+$CR21*(_xlfn.NORM.DIST(AX$3,$CU21,0.3*$CU21,TRUE)-_xlfn.NORM.DIST(AX$30,$CU21,0.3*$CU21,TRUE))+$CS21*(_xlfn.NORM.DIST(AX$3,$CV21,0.3*$CV21,TRUE)-_xlfn.NORM.DIST(AX$30,$CV21,0.3*$CV21,TRUE))),""),IF($C21&gt;0,summary!$C$10/28.8/0.947817,""))</f>
        <v/>
      </c>
      <c r="AY50">
        <f t="array" ref="AY50">IF($D21,IFERROR((SUMPRODUCT((economics!$AG$2:$AG$167=$B50)*(economics!$D$2:$D$167="whr")*economics!$AH$2:$AH$167*(_xlfn.NORM.DIST(AY$3,economics!$AK$2:$AK$167,economics!$AJ$2:$AJ$167,TRUE)-_xlfn.NORM.DIST(AY$30,economics!$AK$2:$AK$167,economics!$AJ$2:$AJ$167,TRUE))*economics!$AM$2:$AM$167)+$CR21*(_xlfn.NORM.DIST(AY$3,$CU21,0.3*$CU21,TRUE)-_xlfn.NORM.DIST(AY$30,$CU21,0.3*$CU21,TRUE))*summary!$C$7/28.8/0.947817+$CS21*(_xlfn.NORM.DIST(AY$3,$CV21,0.3*$CV21,TRUE)-_xlfn.NORM.DIST(AY$30,$CV21,0.3*$CV21,TRUE))*summary!$C$6/28.8/0.947817)/(SUMPRODUCT((economics!$AG$2:$AG$167=$B50)*(economics!$D$2:$D$167="whr")*economics!$AH$2:$AH$167*(_xlfn.NORM.DIST(AY$3,economics!$AK$2:$AK$167,economics!$AJ$2:$AJ$167,TRUE)-_xlfn.NORM.DIST(AY$30,economics!$AK$2:$AK$167,economics!$AJ$2:$AJ$167,TRUE)))+$CR21*(_xlfn.NORM.DIST(AY$3,$CU21,0.3*$CU21,TRUE)-_xlfn.NORM.DIST(AY$30,$CU21,0.3*$CU21,TRUE))+$CS21*(_xlfn.NORM.DIST(AY$3,$CV21,0.3*$CV21,TRUE)-_xlfn.NORM.DIST(AY$30,$CV21,0.3*$CV21,TRUE))),""),IF($C21&gt;0,summary!$C$10/28.8/0.947817,""))</f>
        <v/>
      </c>
      <c r="AZ50">
        <f t="array" ref="AZ50">IF($D21,IFERROR((SUMPRODUCT((economics!$AG$2:$AG$167=$B50)*(economics!$D$2:$D$167="whr")*economics!$AH$2:$AH$167*(_xlfn.NORM.DIST(AZ$3,economics!$AK$2:$AK$167,economics!$AJ$2:$AJ$167,TRUE)-_xlfn.NORM.DIST(AZ$30,economics!$AK$2:$AK$167,economics!$AJ$2:$AJ$167,TRUE))*economics!$AM$2:$AM$167)+$CR21*(_xlfn.NORM.DIST(AZ$3,$CU21,0.3*$CU21,TRUE)-_xlfn.NORM.DIST(AZ$30,$CU21,0.3*$CU21,TRUE))*summary!$C$7/28.8/0.947817+$CS21*(_xlfn.NORM.DIST(AZ$3,$CV21,0.3*$CV21,TRUE)-_xlfn.NORM.DIST(AZ$30,$CV21,0.3*$CV21,TRUE))*summary!$C$6/28.8/0.947817)/(SUMPRODUCT((economics!$AG$2:$AG$167=$B50)*(economics!$D$2:$D$167="whr")*economics!$AH$2:$AH$167*(_xlfn.NORM.DIST(AZ$3,economics!$AK$2:$AK$167,economics!$AJ$2:$AJ$167,TRUE)-_xlfn.NORM.DIST(AZ$30,economics!$AK$2:$AK$167,economics!$AJ$2:$AJ$167,TRUE)))+$CR21*(_xlfn.NORM.DIST(AZ$3,$CU21,0.3*$CU21,TRUE)-_xlfn.NORM.DIST(AZ$30,$CU21,0.3*$CU21,TRUE))+$CS21*(_xlfn.NORM.DIST(AZ$3,$CV21,0.3*$CV21,TRUE)-_xlfn.NORM.DIST(AZ$30,$CV21,0.3*$CV21,TRUE))),""),IF($C21&gt;0,summary!$C$10/28.8/0.947817,""))</f>
        <v/>
      </c>
      <c r="BA50">
        <f t="array" ref="BA50">IF($D21,IFERROR((SUMPRODUCT((economics!$AG$2:$AG$167=$B50)*(economics!$D$2:$D$167="whr")*economics!$AH$2:$AH$167*(_xlfn.NORM.DIST(BA$3,economics!$AK$2:$AK$167,economics!$AJ$2:$AJ$167,TRUE)-_xlfn.NORM.DIST(BA$30,economics!$AK$2:$AK$167,economics!$AJ$2:$AJ$167,TRUE))*economics!$AM$2:$AM$167)+$CR21*(_xlfn.NORM.DIST(BA$3,$CU21,0.3*$CU21,TRUE)-_xlfn.NORM.DIST(BA$30,$CU21,0.3*$CU21,TRUE))*summary!$C$7/28.8/0.947817+$CS21*(_xlfn.NORM.DIST(BA$3,$CV21,0.3*$CV21,TRUE)-_xlfn.NORM.DIST(BA$30,$CV21,0.3*$CV21,TRUE))*summary!$C$6/28.8/0.947817)/(SUMPRODUCT((economics!$AG$2:$AG$167=$B50)*(economics!$D$2:$D$167="whr")*economics!$AH$2:$AH$167*(_xlfn.NORM.DIST(BA$3,economics!$AK$2:$AK$167,economics!$AJ$2:$AJ$167,TRUE)-_xlfn.NORM.DIST(BA$30,economics!$AK$2:$AK$167,economics!$AJ$2:$AJ$167,TRUE)))+$CR21*(_xlfn.NORM.DIST(BA$3,$CU21,0.3*$CU21,TRUE)-_xlfn.NORM.DIST(BA$30,$CU21,0.3*$CU21,TRUE))+$CS21*(_xlfn.NORM.DIST(BA$3,$CV21,0.3*$CV21,TRUE)-_xlfn.NORM.DIST(BA$30,$CV21,0.3*$CV21,TRUE))),""),IF($C21&gt;0,summary!$C$10/28.8/0.947817,""))</f>
        <v/>
      </c>
      <c r="BB50">
        <f t="array" ref="BB50">IF($D21,IFERROR((SUMPRODUCT((economics!$AG$2:$AG$167=$B50)*(economics!$D$2:$D$167="whr")*economics!$AH$2:$AH$167*(_xlfn.NORM.DIST(BB$3,economics!$AK$2:$AK$167,economics!$AJ$2:$AJ$167,TRUE)-_xlfn.NORM.DIST(BB$30,economics!$AK$2:$AK$167,economics!$AJ$2:$AJ$167,TRUE))*economics!$AM$2:$AM$167)+$CR21*(_xlfn.NORM.DIST(BB$3,$CU21,0.3*$CU21,TRUE)-_xlfn.NORM.DIST(BB$30,$CU21,0.3*$CU21,TRUE))*summary!$C$7/28.8/0.947817+$CS21*(_xlfn.NORM.DIST(BB$3,$CV21,0.3*$CV21,TRUE)-_xlfn.NORM.DIST(BB$30,$CV21,0.3*$CV21,TRUE))*summary!$C$6/28.8/0.947817)/(SUMPRODUCT((economics!$AG$2:$AG$167=$B50)*(economics!$D$2:$D$167="whr")*economics!$AH$2:$AH$167*(_xlfn.NORM.DIST(BB$3,economics!$AK$2:$AK$167,economics!$AJ$2:$AJ$167,TRUE)-_xlfn.NORM.DIST(BB$30,economics!$AK$2:$AK$167,economics!$AJ$2:$AJ$167,TRUE)))+$CR21*(_xlfn.NORM.DIST(BB$3,$CU21,0.3*$CU21,TRUE)-_xlfn.NORM.DIST(BB$30,$CU21,0.3*$CU21,TRUE))+$CS21*(_xlfn.NORM.DIST(BB$3,$CV21,0.3*$CV21,TRUE)-_xlfn.NORM.DIST(BB$30,$CV21,0.3*$CV21,TRUE))),""),IF($C21&gt;0,summary!$C$10/28.8/0.947817,""))</f>
        <v/>
      </c>
      <c r="BC50">
        <f t="array" ref="BC50">IF($D21,IFERROR((SUMPRODUCT((economics!$AG$2:$AG$167=$B50)*(economics!$D$2:$D$167="whr")*economics!$AH$2:$AH$167*(_xlfn.NORM.DIST(BC$3,economics!$AK$2:$AK$167,economics!$AJ$2:$AJ$167,TRUE)-_xlfn.NORM.DIST(BC$30,economics!$AK$2:$AK$167,economics!$AJ$2:$AJ$167,TRUE))*economics!$AM$2:$AM$167)+$CR21*(_xlfn.NORM.DIST(BC$3,$CU21,0.3*$CU21,TRUE)-_xlfn.NORM.DIST(BC$30,$CU21,0.3*$CU21,TRUE))*summary!$C$7/28.8/0.947817+$CS21*(_xlfn.NORM.DIST(BC$3,$CV21,0.3*$CV21,TRUE)-_xlfn.NORM.DIST(BC$30,$CV21,0.3*$CV21,TRUE))*summary!$C$6/28.8/0.947817)/(SUMPRODUCT((economics!$AG$2:$AG$167=$B50)*(economics!$D$2:$D$167="whr")*economics!$AH$2:$AH$167*(_xlfn.NORM.DIST(BC$3,economics!$AK$2:$AK$167,economics!$AJ$2:$AJ$167,TRUE)-_xlfn.NORM.DIST(BC$30,economics!$AK$2:$AK$167,economics!$AJ$2:$AJ$167,TRUE)))+$CR21*(_xlfn.NORM.DIST(BC$3,$CU21,0.3*$CU21,TRUE)-_xlfn.NORM.DIST(BC$30,$CU21,0.3*$CU21,TRUE))+$CS21*(_xlfn.NORM.DIST(BC$3,$CV21,0.3*$CV21,TRUE)-_xlfn.NORM.DIST(BC$30,$CV21,0.3*$CV21,TRUE))),""),IF($C21&gt;0,summary!$C$10/28.8/0.947817,""))</f>
        <v/>
      </c>
      <c r="BD50">
        <f t="array" ref="BD50">IF($D21,IFERROR((SUMPRODUCT((economics!$AG$2:$AG$167=$B50)*(economics!$D$2:$D$167="whr")*economics!$AH$2:$AH$167*(_xlfn.NORM.DIST(BD$3,economics!$AK$2:$AK$167,economics!$AJ$2:$AJ$167,TRUE)-_xlfn.NORM.DIST(BD$30,economics!$AK$2:$AK$167,economics!$AJ$2:$AJ$167,TRUE))*economics!$AM$2:$AM$167)+$CR21*(_xlfn.NORM.DIST(BD$3,$CU21,0.3*$CU21,TRUE)-_xlfn.NORM.DIST(BD$30,$CU21,0.3*$CU21,TRUE))*summary!$C$7/28.8/0.947817+$CS21*(_xlfn.NORM.DIST(BD$3,$CV21,0.3*$CV21,TRUE)-_xlfn.NORM.DIST(BD$30,$CV21,0.3*$CV21,TRUE))*summary!$C$6/28.8/0.947817)/(SUMPRODUCT((economics!$AG$2:$AG$167=$B50)*(economics!$D$2:$D$167="whr")*economics!$AH$2:$AH$167*(_xlfn.NORM.DIST(BD$3,economics!$AK$2:$AK$167,economics!$AJ$2:$AJ$167,TRUE)-_xlfn.NORM.DIST(BD$30,economics!$AK$2:$AK$167,economics!$AJ$2:$AJ$167,TRUE)))+$CR21*(_xlfn.NORM.DIST(BD$3,$CU21,0.3*$CU21,TRUE)-_xlfn.NORM.DIST(BD$30,$CU21,0.3*$CU21,TRUE))+$CS21*(_xlfn.NORM.DIST(BD$3,$CV21,0.3*$CV21,TRUE)-_xlfn.NORM.DIST(BD$30,$CV21,0.3*$CV21,TRUE))),""),IF($C21&gt;0,summary!$C$10/28.8/0.947817,""))</f>
        <v/>
      </c>
      <c r="BE50">
        <f t="array" ref="BE50">IF($D21,IFERROR((SUMPRODUCT((economics!$AG$2:$AG$167=$B50)*(economics!$D$2:$D$167="whr")*economics!$AH$2:$AH$167*(_xlfn.NORM.DIST(BE$3,economics!$AK$2:$AK$167,economics!$AJ$2:$AJ$167,TRUE)-_xlfn.NORM.DIST(BE$30,economics!$AK$2:$AK$167,economics!$AJ$2:$AJ$167,TRUE))*economics!$AM$2:$AM$167)+$CR21*(_xlfn.NORM.DIST(BE$3,$CU21,0.3*$CU21,TRUE)-_xlfn.NORM.DIST(BE$30,$CU21,0.3*$CU21,TRUE))*summary!$C$7/28.8/0.947817+$CS21*(_xlfn.NORM.DIST(BE$3,$CV21,0.3*$CV21,TRUE)-_xlfn.NORM.DIST(BE$30,$CV21,0.3*$CV21,TRUE))*summary!$C$6/28.8/0.947817)/(SUMPRODUCT((economics!$AG$2:$AG$167=$B50)*(economics!$D$2:$D$167="whr")*economics!$AH$2:$AH$167*(_xlfn.NORM.DIST(BE$3,economics!$AK$2:$AK$167,economics!$AJ$2:$AJ$167,TRUE)-_xlfn.NORM.DIST(BE$30,economics!$AK$2:$AK$167,economics!$AJ$2:$AJ$167,TRUE)))+$CR21*(_xlfn.NORM.DIST(BE$3,$CU21,0.3*$CU21,TRUE)-_xlfn.NORM.DIST(BE$30,$CU21,0.3*$CU21,TRUE))+$CS21*(_xlfn.NORM.DIST(BE$3,$CV21,0.3*$CV21,TRUE)-_xlfn.NORM.DIST(BE$30,$CV21,0.3*$CV21,TRUE))),""),IF($C21&gt;0,summary!$C$10/28.8/0.947817,""))</f>
        <v/>
      </c>
      <c r="BF50">
        <f t="array" ref="BF50">IF($D21,IFERROR((SUMPRODUCT((economics!$AG$2:$AG$167=$B50)*(economics!$D$2:$D$167="whr")*economics!$AH$2:$AH$167*(_xlfn.NORM.DIST(BF$3,economics!$AK$2:$AK$167,economics!$AJ$2:$AJ$167,TRUE)-_xlfn.NORM.DIST(BF$30,economics!$AK$2:$AK$167,economics!$AJ$2:$AJ$167,TRUE))*economics!$AM$2:$AM$167)+$CR21*(_xlfn.NORM.DIST(BF$3,$CU21,0.3*$CU21,TRUE)-_xlfn.NORM.DIST(BF$30,$CU21,0.3*$CU21,TRUE))*summary!$C$7/28.8/0.947817+$CS21*(_xlfn.NORM.DIST(BF$3,$CV21,0.3*$CV21,TRUE)-_xlfn.NORM.DIST(BF$30,$CV21,0.3*$CV21,TRUE))*summary!$C$6/28.8/0.947817)/(SUMPRODUCT((economics!$AG$2:$AG$167=$B50)*(economics!$D$2:$D$167="whr")*economics!$AH$2:$AH$167*(_xlfn.NORM.DIST(BF$3,economics!$AK$2:$AK$167,economics!$AJ$2:$AJ$167,TRUE)-_xlfn.NORM.DIST(BF$30,economics!$AK$2:$AK$167,economics!$AJ$2:$AJ$167,TRUE)))+$CR21*(_xlfn.NORM.DIST(BF$3,$CU21,0.3*$CU21,TRUE)-_xlfn.NORM.DIST(BF$30,$CU21,0.3*$CU21,TRUE))+$CS21*(_xlfn.NORM.DIST(BF$3,$CV21,0.3*$CV21,TRUE)-_xlfn.NORM.DIST(BF$30,$CV21,0.3*$CV21,TRUE))),""),IF($C21&gt;0,summary!$C$10/28.8/0.947817,""))</f>
        <v/>
      </c>
      <c r="BG50">
        <f t="array" ref="BG50">IF($D21,IFERROR((SUMPRODUCT((economics!$AG$2:$AG$167=$B50)*(economics!$D$2:$D$167="whr")*economics!$AH$2:$AH$167*(_xlfn.NORM.DIST(BG$3,economics!$AK$2:$AK$167,economics!$AJ$2:$AJ$167,TRUE)-_xlfn.NORM.DIST(BG$30,economics!$AK$2:$AK$167,economics!$AJ$2:$AJ$167,TRUE))*economics!$AM$2:$AM$167)+$CR21*(_xlfn.NORM.DIST(BG$3,$CU21,0.3*$CU21,TRUE)-_xlfn.NORM.DIST(BG$30,$CU21,0.3*$CU21,TRUE))*summary!$C$7/28.8/0.947817+$CS21*(_xlfn.NORM.DIST(BG$3,$CV21,0.3*$CV21,TRUE)-_xlfn.NORM.DIST(BG$30,$CV21,0.3*$CV21,TRUE))*summary!$C$6/28.8/0.947817)/(SUMPRODUCT((economics!$AG$2:$AG$167=$B50)*(economics!$D$2:$D$167="whr")*economics!$AH$2:$AH$167*(_xlfn.NORM.DIST(BG$3,economics!$AK$2:$AK$167,economics!$AJ$2:$AJ$167,TRUE)-_xlfn.NORM.DIST(BG$30,economics!$AK$2:$AK$167,economics!$AJ$2:$AJ$167,TRUE)))+$CR21*(_xlfn.NORM.DIST(BG$3,$CU21,0.3*$CU21,TRUE)-_xlfn.NORM.DIST(BG$30,$CU21,0.3*$CU21,TRUE))+$CS21*(_xlfn.NORM.DIST(BG$3,$CV21,0.3*$CV21,TRUE)-_xlfn.NORM.DIST(BG$30,$CV21,0.3*$CV21,TRUE))),""),IF($C21&gt;0,summary!$C$10/28.8/0.947817,""))</f>
        <v/>
      </c>
      <c r="BH50">
        <f t="array" ref="BH50">IF($D21,IFERROR((SUMPRODUCT((economics!$AG$2:$AG$167=$B50)*(economics!$D$2:$D$167="whr")*economics!$AH$2:$AH$167*(_xlfn.NORM.DIST(BH$3,economics!$AK$2:$AK$167,economics!$AJ$2:$AJ$167,TRUE)-_xlfn.NORM.DIST(BH$30,economics!$AK$2:$AK$167,economics!$AJ$2:$AJ$167,TRUE))*economics!$AM$2:$AM$167)+$CR21*(_xlfn.NORM.DIST(BH$3,$CU21,0.3*$CU21,TRUE)-_xlfn.NORM.DIST(BH$30,$CU21,0.3*$CU21,TRUE))*summary!$C$7/28.8/0.947817+$CS21*(_xlfn.NORM.DIST(BH$3,$CV21,0.3*$CV21,TRUE)-_xlfn.NORM.DIST(BH$30,$CV21,0.3*$CV21,TRUE))*summary!$C$6/28.8/0.947817)/(SUMPRODUCT((economics!$AG$2:$AG$167=$B50)*(economics!$D$2:$D$167="whr")*economics!$AH$2:$AH$167*(_xlfn.NORM.DIST(BH$3,economics!$AK$2:$AK$167,economics!$AJ$2:$AJ$167,TRUE)-_xlfn.NORM.DIST(BH$30,economics!$AK$2:$AK$167,economics!$AJ$2:$AJ$167,TRUE)))+$CR21*(_xlfn.NORM.DIST(BH$3,$CU21,0.3*$CU21,TRUE)-_xlfn.NORM.DIST(BH$30,$CU21,0.3*$CU21,TRUE))+$CS21*(_xlfn.NORM.DIST(BH$3,$CV21,0.3*$CV21,TRUE)-_xlfn.NORM.DIST(BH$30,$CV21,0.3*$CV21,TRUE))),""),IF($C21&gt;0,summary!$C$10/28.8/0.947817,""))</f>
        <v/>
      </c>
      <c r="BI50">
        <f t="array" ref="BI50">IF($D21,IFERROR((SUMPRODUCT((economics!$AG$2:$AG$167=$B50)*(economics!$D$2:$D$167="whr")*economics!$AH$2:$AH$167*(_xlfn.NORM.DIST(BI$3,economics!$AK$2:$AK$167,economics!$AJ$2:$AJ$167,TRUE)-_xlfn.NORM.DIST(BI$30,economics!$AK$2:$AK$167,economics!$AJ$2:$AJ$167,TRUE))*economics!$AM$2:$AM$167)+$CR21*(_xlfn.NORM.DIST(BI$3,$CU21,0.3*$CU21,TRUE)-_xlfn.NORM.DIST(BI$30,$CU21,0.3*$CU21,TRUE))*summary!$C$7/28.8/0.947817+$CS21*(_xlfn.NORM.DIST(BI$3,$CV21,0.3*$CV21,TRUE)-_xlfn.NORM.DIST(BI$30,$CV21,0.3*$CV21,TRUE))*summary!$C$6/28.8/0.947817)/(SUMPRODUCT((economics!$AG$2:$AG$167=$B50)*(economics!$D$2:$D$167="whr")*economics!$AH$2:$AH$167*(_xlfn.NORM.DIST(BI$3,economics!$AK$2:$AK$167,economics!$AJ$2:$AJ$167,TRUE)-_xlfn.NORM.DIST(BI$30,economics!$AK$2:$AK$167,economics!$AJ$2:$AJ$167,TRUE)))+$CR21*(_xlfn.NORM.DIST(BI$3,$CU21,0.3*$CU21,TRUE)-_xlfn.NORM.DIST(BI$30,$CU21,0.3*$CU21,TRUE))+$CS21*(_xlfn.NORM.DIST(BI$3,$CV21,0.3*$CV21,TRUE)-_xlfn.NORM.DIST(BI$30,$CV21,0.3*$CV21,TRUE))),""),IF($C21&gt;0,summary!$C$10/28.8/0.947817,""))</f>
        <v/>
      </c>
      <c r="BJ50">
        <f t="array" ref="BJ50">IF($D21,IFERROR((SUMPRODUCT((economics!$AG$2:$AG$167=$B50)*(economics!$D$2:$D$167="whr")*economics!$AH$2:$AH$167*(_xlfn.NORM.DIST(BJ$3,economics!$AK$2:$AK$167,economics!$AJ$2:$AJ$167,TRUE)-_xlfn.NORM.DIST(BJ$30,economics!$AK$2:$AK$167,economics!$AJ$2:$AJ$167,TRUE))*economics!$AM$2:$AM$167)+$CR21*(_xlfn.NORM.DIST(BJ$3,$CU21,0.3*$CU21,TRUE)-_xlfn.NORM.DIST(BJ$30,$CU21,0.3*$CU21,TRUE))*summary!$C$7/28.8/0.947817+$CS21*(_xlfn.NORM.DIST(BJ$3,$CV21,0.3*$CV21,TRUE)-_xlfn.NORM.DIST(BJ$30,$CV21,0.3*$CV21,TRUE))*summary!$C$6/28.8/0.947817)/(SUMPRODUCT((economics!$AG$2:$AG$167=$B50)*(economics!$D$2:$D$167="whr")*economics!$AH$2:$AH$167*(_xlfn.NORM.DIST(BJ$3,economics!$AK$2:$AK$167,economics!$AJ$2:$AJ$167,TRUE)-_xlfn.NORM.DIST(BJ$30,economics!$AK$2:$AK$167,economics!$AJ$2:$AJ$167,TRUE)))+$CR21*(_xlfn.NORM.DIST(BJ$3,$CU21,0.3*$CU21,TRUE)-_xlfn.NORM.DIST(BJ$30,$CU21,0.3*$CU21,TRUE))+$CS21*(_xlfn.NORM.DIST(BJ$3,$CV21,0.3*$CV21,TRUE)-_xlfn.NORM.DIST(BJ$30,$CV21,0.3*$CV21,TRUE))),""),IF($C21&gt;0,summary!$C$10/28.8/0.947817,""))</f>
        <v/>
      </c>
      <c r="BK50">
        <f t="array" ref="BK50">IF($D21,IFERROR((SUMPRODUCT((economics!$AG$2:$AG$167=$B50)*(economics!$D$2:$D$167="whr")*economics!$AH$2:$AH$167*(_xlfn.NORM.DIST(BK$3,economics!$AK$2:$AK$167,economics!$AJ$2:$AJ$167,TRUE)-_xlfn.NORM.DIST(BK$30,economics!$AK$2:$AK$167,economics!$AJ$2:$AJ$167,TRUE))*economics!$AM$2:$AM$167)+$CR21*(_xlfn.NORM.DIST(BK$3,$CU21,0.3*$CU21,TRUE)-_xlfn.NORM.DIST(BK$30,$CU21,0.3*$CU21,TRUE))*summary!$C$7/28.8/0.947817+$CS21*(_xlfn.NORM.DIST(BK$3,$CV21,0.3*$CV21,TRUE)-_xlfn.NORM.DIST(BK$30,$CV21,0.3*$CV21,TRUE))*summary!$C$6/28.8/0.947817)/(SUMPRODUCT((economics!$AG$2:$AG$167=$B50)*(economics!$D$2:$D$167="whr")*economics!$AH$2:$AH$167*(_xlfn.NORM.DIST(BK$3,economics!$AK$2:$AK$167,economics!$AJ$2:$AJ$167,TRUE)-_xlfn.NORM.DIST(BK$30,economics!$AK$2:$AK$167,economics!$AJ$2:$AJ$167,TRUE)))+$CR21*(_xlfn.NORM.DIST(BK$3,$CU21,0.3*$CU21,TRUE)-_xlfn.NORM.DIST(BK$30,$CU21,0.3*$CU21,TRUE))+$CS21*(_xlfn.NORM.DIST(BK$3,$CV21,0.3*$CV21,TRUE)-_xlfn.NORM.DIST(BK$30,$CV21,0.3*$CV21,TRUE))),""),IF($C21&gt;0,summary!$C$10/28.8/0.947817,""))</f>
        <v/>
      </c>
      <c r="BL50">
        <f t="array" ref="BL50">IF($D21,IFERROR((SUMPRODUCT((economics!$AG$2:$AG$167=$B50)*(economics!$D$2:$D$167="whr")*economics!$AH$2:$AH$167*(_xlfn.NORM.DIST(BL$3,economics!$AK$2:$AK$167,economics!$AJ$2:$AJ$167,TRUE)-_xlfn.NORM.DIST(BL$30,economics!$AK$2:$AK$167,economics!$AJ$2:$AJ$167,TRUE))*economics!$AM$2:$AM$167)+$CR21*(_xlfn.NORM.DIST(BL$3,$CU21,0.3*$CU21,TRUE)-_xlfn.NORM.DIST(BL$30,$CU21,0.3*$CU21,TRUE))*summary!$C$7/28.8/0.947817+$CS21*(_xlfn.NORM.DIST(BL$3,$CV21,0.3*$CV21,TRUE)-_xlfn.NORM.DIST(BL$30,$CV21,0.3*$CV21,TRUE))*summary!$C$6/28.8/0.947817)/(SUMPRODUCT((economics!$AG$2:$AG$167=$B50)*(economics!$D$2:$D$167="whr")*economics!$AH$2:$AH$167*(_xlfn.NORM.DIST(BL$3,economics!$AK$2:$AK$167,economics!$AJ$2:$AJ$167,TRUE)-_xlfn.NORM.DIST(BL$30,economics!$AK$2:$AK$167,economics!$AJ$2:$AJ$167,TRUE)))+$CR21*(_xlfn.NORM.DIST(BL$3,$CU21,0.3*$CU21,TRUE)-_xlfn.NORM.DIST(BL$30,$CU21,0.3*$CU21,TRUE))+$CS21*(_xlfn.NORM.DIST(BL$3,$CV21,0.3*$CV21,TRUE)-_xlfn.NORM.DIST(BL$30,$CV21,0.3*$CV21,TRUE))),""),IF($C21&gt;0,summary!$C$10/28.8/0.947817,""))</f>
        <v/>
      </c>
      <c r="BM50">
        <f t="array" ref="BM50">IF($D21,IFERROR((SUMPRODUCT((economics!$AG$2:$AG$167=$B50)*(economics!$D$2:$D$167="whr")*economics!$AH$2:$AH$167*(_xlfn.NORM.DIST(BM$3,economics!$AK$2:$AK$167,economics!$AJ$2:$AJ$167,TRUE)-_xlfn.NORM.DIST(BM$30,economics!$AK$2:$AK$167,economics!$AJ$2:$AJ$167,TRUE))*economics!$AM$2:$AM$167)+$CR21*(_xlfn.NORM.DIST(BM$3,$CU21,0.3*$CU21,TRUE)-_xlfn.NORM.DIST(BM$30,$CU21,0.3*$CU21,TRUE))*summary!$C$7/28.8/0.947817+$CS21*(_xlfn.NORM.DIST(BM$3,$CV21,0.3*$CV21,TRUE)-_xlfn.NORM.DIST(BM$30,$CV21,0.3*$CV21,TRUE))*summary!$C$6/28.8/0.947817)/(SUMPRODUCT((economics!$AG$2:$AG$167=$B50)*(economics!$D$2:$D$167="whr")*economics!$AH$2:$AH$167*(_xlfn.NORM.DIST(BM$3,economics!$AK$2:$AK$167,economics!$AJ$2:$AJ$167,TRUE)-_xlfn.NORM.DIST(BM$30,economics!$AK$2:$AK$167,economics!$AJ$2:$AJ$167,TRUE)))+$CR21*(_xlfn.NORM.DIST(BM$3,$CU21,0.3*$CU21,TRUE)-_xlfn.NORM.DIST(BM$30,$CU21,0.3*$CU21,TRUE))+$CS21*(_xlfn.NORM.DIST(BM$3,$CV21,0.3*$CV21,TRUE)-_xlfn.NORM.DIST(BM$30,$CV21,0.3*$CV21,TRUE))),""),IF($C21&gt;0,summary!$C$10/28.8/0.947817,""))</f>
        <v/>
      </c>
      <c r="BN50">
        <f t="array" ref="BN50">IF($D21,IFERROR((SUMPRODUCT((economics!$AG$2:$AG$167=$B50)*(economics!$D$2:$D$167="whr")*economics!$AH$2:$AH$167*(_xlfn.NORM.DIST(BN$3,economics!$AK$2:$AK$167,economics!$AJ$2:$AJ$167,TRUE)-_xlfn.NORM.DIST(BN$30,economics!$AK$2:$AK$167,economics!$AJ$2:$AJ$167,TRUE))*economics!$AM$2:$AM$167)+$CR21*(_xlfn.NORM.DIST(BN$3,$CU21,0.3*$CU21,TRUE)-_xlfn.NORM.DIST(BN$30,$CU21,0.3*$CU21,TRUE))*summary!$C$7/28.8/0.947817+$CS21*(_xlfn.NORM.DIST(BN$3,$CV21,0.3*$CV21,TRUE)-_xlfn.NORM.DIST(BN$30,$CV21,0.3*$CV21,TRUE))*summary!$C$6/28.8/0.947817)/(SUMPRODUCT((economics!$AG$2:$AG$167=$B50)*(economics!$D$2:$D$167="whr")*economics!$AH$2:$AH$167*(_xlfn.NORM.DIST(BN$3,economics!$AK$2:$AK$167,economics!$AJ$2:$AJ$167,TRUE)-_xlfn.NORM.DIST(BN$30,economics!$AK$2:$AK$167,economics!$AJ$2:$AJ$167,TRUE)))+$CR21*(_xlfn.NORM.DIST(BN$3,$CU21,0.3*$CU21,TRUE)-_xlfn.NORM.DIST(BN$30,$CU21,0.3*$CU21,TRUE))+$CS21*(_xlfn.NORM.DIST(BN$3,$CV21,0.3*$CV21,TRUE)-_xlfn.NORM.DIST(BN$30,$CV21,0.3*$CV21,TRUE))),""),IF($C21&gt;0,summary!$C$10/28.8/0.947817,""))</f>
        <v/>
      </c>
      <c r="BO50">
        <f t="array" ref="BO50">IF($D21,IFERROR((SUMPRODUCT((economics!$AG$2:$AG$167=$B50)*(economics!$D$2:$D$167="whr")*economics!$AH$2:$AH$167*(_xlfn.NORM.DIST(BO$3,economics!$AK$2:$AK$167,economics!$AJ$2:$AJ$167,TRUE)-_xlfn.NORM.DIST(BO$30,economics!$AK$2:$AK$167,economics!$AJ$2:$AJ$167,TRUE))*economics!$AM$2:$AM$167)+$CR21*(_xlfn.NORM.DIST(BO$3,$CU21,0.3*$CU21,TRUE)-_xlfn.NORM.DIST(BO$30,$CU21,0.3*$CU21,TRUE))*summary!$C$7/28.8/0.947817+$CS21*(_xlfn.NORM.DIST(BO$3,$CV21,0.3*$CV21,TRUE)-_xlfn.NORM.DIST(BO$30,$CV21,0.3*$CV21,TRUE))*summary!$C$6/28.8/0.947817)/(SUMPRODUCT((economics!$AG$2:$AG$167=$B50)*(economics!$D$2:$D$167="whr")*economics!$AH$2:$AH$167*(_xlfn.NORM.DIST(BO$3,economics!$AK$2:$AK$167,economics!$AJ$2:$AJ$167,TRUE)-_xlfn.NORM.DIST(BO$30,economics!$AK$2:$AK$167,economics!$AJ$2:$AJ$167,TRUE)))+$CR21*(_xlfn.NORM.DIST(BO$3,$CU21,0.3*$CU21,TRUE)-_xlfn.NORM.DIST(BO$30,$CU21,0.3*$CU21,TRUE))+$CS21*(_xlfn.NORM.DIST(BO$3,$CV21,0.3*$CV21,TRUE)-_xlfn.NORM.DIST(BO$30,$CV21,0.3*$CV21,TRUE))),""),IF($C21&gt;0,summary!$C$10/28.8/0.947817,""))</f>
        <v/>
      </c>
      <c r="BP50">
        <f t="array" ref="BP50">IF($D21,IFERROR((SUMPRODUCT((economics!$AG$2:$AG$167=$B50)*(economics!$D$2:$D$167="whr")*economics!$AH$2:$AH$167*(_xlfn.NORM.DIST(BP$3,economics!$AK$2:$AK$167,economics!$AJ$2:$AJ$167,TRUE)-_xlfn.NORM.DIST(BP$30,economics!$AK$2:$AK$167,economics!$AJ$2:$AJ$167,TRUE))*economics!$AM$2:$AM$167)+$CR21*(_xlfn.NORM.DIST(BP$3,$CU21,0.3*$CU21,TRUE)-_xlfn.NORM.DIST(BP$30,$CU21,0.3*$CU21,TRUE))*summary!$C$7/28.8/0.947817+$CS21*(_xlfn.NORM.DIST(BP$3,$CV21,0.3*$CV21,TRUE)-_xlfn.NORM.DIST(BP$30,$CV21,0.3*$CV21,TRUE))*summary!$C$6/28.8/0.947817)/(SUMPRODUCT((economics!$AG$2:$AG$167=$B50)*(economics!$D$2:$D$167="whr")*economics!$AH$2:$AH$167*(_xlfn.NORM.DIST(BP$3,economics!$AK$2:$AK$167,economics!$AJ$2:$AJ$167,TRUE)-_xlfn.NORM.DIST(BP$30,economics!$AK$2:$AK$167,economics!$AJ$2:$AJ$167,TRUE)))+$CR21*(_xlfn.NORM.DIST(BP$3,$CU21,0.3*$CU21,TRUE)-_xlfn.NORM.DIST(BP$30,$CU21,0.3*$CU21,TRUE))+$CS21*(_xlfn.NORM.DIST(BP$3,$CV21,0.3*$CV21,TRUE)-_xlfn.NORM.DIST(BP$30,$CV21,0.3*$CV21,TRUE))),""),IF($C21&gt;0,summary!$C$10/28.8/0.947817,""))</f>
        <v/>
      </c>
      <c r="BQ50">
        <f t="array" ref="BQ50">IF($D21,IFERROR((SUMPRODUCT((economics!$AG$2:$AG$167=$B50)*(economics!$D$2:$D$167="whr")*economics!$AH$2:$AH$167*(_xlfn.NORM.DIST(BQ$3,economics!$AK$2:$AK$167,economics!$AJ$2:$AJ$167,TRUE)-_xlfn.NORM.DIST(BQ$30,economics!$AK$2:$AK$167,economics!$AJ$2:$AJ$167,TRUE))*economics!$AM$2:$AM$167)+$CR21*(_xlfn.NORM.DIST(BQ$3,$CU21,0.3*$CU21,TRUE)-_xlfn.NORM.DIST(BQ$30,$CU21,0.3*$CU21,TRUE))*summary!$C$7/28.8/0.947817+$CS21*(_xlfn.NORM.DIST(BQ$3,$CV21,0.3*$CV21,TRUE)-_xlfn.NORM.DIST(BQ$30,$CV21,0.3*$CV21,TRUE))*summary!$C$6/28.8/0.947817)/(SUMPRODUCT((economics!$AG$2:$AG$167=$B50)*(economics!$D$2:$D$167="whr")*economics!$AH$2:$AH$167*(_xlfn.NORM.DIST(BQ$3,economics!$AK$2:$AK$167,economics!$AJ$2:$AJ$167,TRUE)-_xlfn.NORM.DIST(BQ$30,economics!$AK$2:$AK$167,economics!$AJ$2:$AJ$167,TRUE)))+$CR21*(_xlfn.NORM.DIST(BQ$3,$CU21,0.3*$CU21,TRUE)-_xlfn.NORM.DIST(BQ$30,$CU21,0.3*$CU21,TRUE))+$CS21*(_xlfn.NORM.DIST(BQ$3,$CV21,0.3*$CV21,TRUE)-_xlfn.NORM.DIST(BQ$30,$CV21,0.3*$CV21,TRUE))),""),IF($C21&gt;0,summary!$C$10/28.8/0.947817,""))</f>
        <v/>
      </c>
      <c r="BR50">
        <f t="array" ref="BR50">IF($D21,IFERROR((SUMPRODUCT((economics!$AG$2:$AG$167=$B50)*(economics!$D$2:$D$167="whr")*economics!$AH$2:$AH$167*(_xlfn.NORM.DIST(BR$3,economics!$AK$2:$AK$167,economics!$AJ$2:$AJ$167,TRUE)-_xlfn.NORM.DIST(BR$30,economics!$AK$2:$AK$167,economics!$AJ$2:$AJ$167,TRUE))*economics!$AM$2:$AM$167)+$CR21*(_xlfn.NORM.DIST(BR$3,$CU21,0.3*$CU21,TRUE)-_xlfn.NORM.DIST(BR$30,$CU21,0.3*$CU21,TRUE))*summary!$C$7/28.8/0.947817+$CS21*(_xlfn.NORM.DIST(BR$3,$CV21,0.3*$CV21,TRUE)-_xlfn.NORM.DIST(BR$30,$CV21,0.3*$CV21,TRUE))*summary!$C$6/28.8/0.947817)/(SUMPRODUCT((economics!$AG$2:$AG$167=$B50)*(economics!$D$2:$D$167="whr")*economics!$AH$2:$AH$167*(_xlfn.NORM.DIST(BR$3,economics!$AK$2:$AK$167,economics!$AJ$2:$AJ$167,TRUE)-_xlfn.NORM.DIST(BR$30,economics!$AK$2:$AK$167,economics!$AJ$2:$AJ$167,TRUE)))+$CR21*(_xlfn.NORM.DIST(BR$3,$CU21,0.3*$CU21,TRUE)-_xlfn.NORM.DIST(BR$30,$CU21,0.3*$CU21,TRUE))+$CS21*(_xlfn.NORM.DIST(BR$3,$CV21,0.3*$CV21,TRUE)-_xlfn.NORM.DIST(BR$30,$CV21,0.3*$CV21,TRUE))),""),IF($C21&gt;0,summary!$C$10/28.8/0.947817,""))</f>
        <v/>
      </c>
      <c r="BS50">
        <f t="array" ref="BS50">IF($D21,IFERROR((SUMPRODUCT((economics!$AG$2:$AG$167=$B50)*(economics!$D$2:$D$167="whr")*economics!$AH$2:$AH$167*(_xlfn.NORM.DIST(BS$3,economics!$AK$2:$AK$167,economics!$AJ$2:$AJ$167,TRUE)-_xlfn.NORM.DIST(BS$30,economics!$AK$2:$AK$167,economics!$AJ$2:$AJ$167,TRUE))*economics!$AM$2:$AM$167)+$CR21*(_xlfn.NORM.DIST(BS$3,$CU21,0.3*$CU21,TRUE)-_xlfn.NORM.DIST(BS$30,$CU21,0.3*$CU21,TRUE))*summary!$C$7/28.8/0.947817+$CS21*(_xlfn.NORM.DIST(BS$3,$CV21,0.3*$CV21,TRUE)-_xlfn.NORM.DIST(BS$30,$CV21,0.3*$CV21,TRUE))*summary!$C$6/28.8/0.947817)/(SUMPRODUCT((economics!$AG$2:$AG$167=$B50)*(economics!$D$2:$D$167="whr")*economics!$AH$2:$AH$167*(_xlfn.NORM.DIST(BS$3,economics!$AK$2:$AK$167,economics!$AJ$2:$AJ$167,TRUE)-_xlfn.NORM.DIST(BS$30,economics!$AK$2:$AK$167,economics!$AJ$2:$AJ$167,TRUE)))+$CR21*(_xlfn.NORM.DIST(BS$3,$CU21,0.3*$CU21,TRUE)-_xlfn.NORM.DIST(BS$30,$CU21,0.3*$CU21,TRUE))+$CS21*(_xlfn.NORM.DIST(BS$3,$CV21,0.3*$CV21,TRUE)-_xlfn.NORM.DIST(BS$30,$CV21,0.3*$CV21,TRUE))),""),IF($C21&gt;0,summary!$C$10/28.8/0.947817,""))</f>
        <v/>
      </c>
      <c r="BT50">
        <f t="array" ref="BT50">IF($D21,IFERROR((SUMPRODUCT((economics!$AG$2:$AG$167=$B50)*(economics!$D$2:$D$167="whr")*economics!$AH$2:$AH$167*(_xlfn.NORM.DIST(BT$3,economics!$AK$2:$AK$167,economics!$AJ$2:$AJ$167,TRUE)-_xlfn.NORM.DIST(BT$30,economics!$AK$2:$AK$167,economics!$AJ$2:$AJ$167,TRUE))*economics!$AM$2:$AM$167)+$CR21*(_xlfn.NORM.DIST(BT$3,$CU21,0.3*$CU21,TRUE)-_xlfn.NORM.DIST(BT$30,$CU21,0.3*$CU21,TRUE))*summary!$C$7/28.8/0.947817+$CS21*(_xlfn.NORM.DIST(BT$3,$CV21,0.3*$CV21,TRUE)-_xlfn.NORM.DIST(BT$30,$CV21,0.3*$CV21,TRUE))*summary!$C$6/28.8/0.947817)/(SUMPRODUCT((economics!$AG$2:$AG$167=$B50)*(economics!$D$2:$D$167="whr")*economics!$AH$2:$AH$167*(_xlfn.NORM.DIST(BT$3,economics!$AK$2:$AK$167,economics!$AJ$2:$AJ$167,TRUE)-_xlfn.NORM.DIST(BT$30,economics!$AK$2:$AK$167,economics!$AJ$2:$AJ$167,TRUE)))+$CR21*(_xlfn.NORM.DIST(BT$3,$CU21,0.3*$CU21,TRUE)-_xlfn.NORM.DIST(BT$30,$CU21,0.3*$CU21,TRUE))+$CS21*(_xlfn.NORM.DIST(BT$3,$CV21,0.3*$CV21,TRUE)-_xlfn.NORM.DIST(BT$30,$CV21,0.3*$CV21,TRUE))),""),IF($C21&gt;0,summary!$C$10/28.8/0.947817,""))</f>
        <v/>
      </c>
      <c r="BU50">
        <f t="array" ref="BU50">IF($D21,IFERROR((SUMPRODUCT((economics!$AG$2:$AG$167=$B50)*(economics!$D$2:$D$167="whr")*economics!$AH$2:$AH$167*(_xlfn.NORM.DIST(BU$3,economics!$AK$2:$AK$167,economics!$AJ$2:$AJ$167,TRUE)-_xlfn.NORM.DIST(BU$30,economics!$AK$2:$AK$167,economics!$AJ$2:$AJ$167,TRUE))*economics!$AM$2:$AM$167)+$CR21*(_xlfn.NORM.DIST(BU$3,$CU21,0.3*$CU21,TRUE)-_xlfn.NORM.DIST(BU$30,$CU21,0.3*$CU21,TRUE))*summary!$C$7/28.8/0.947817+$CS21*(_xlfn.NORM.DIST(BU$3,$CV21,0.3*$CV21,TRUE)-_xlfn.NORM.DIST(BU$30,$CV21,0.3*$CV21,TRUE))*summary!$C$6/28.8/0.947817)/(SUMPRODUCT((economics!$AG$2:$AG$167=$B50)*(economics!$D$2:$D$167="whr")*economics!$AH$2:$AH$167*(_xlfn.NORM.DIST(BU$3,economics!$AK$2:$AK$167,economics!$AJ$2:$AJ$167,TRUE)-_xlfn.NORM.DIST(BU$30,economics!$AK$2:$AK$167,economics!$AJ$2:$AJ$167,TRUE)))+$CR21*(_xlfn.NORM.DIST(BU$3,$CU21,0.3*$CU21,TRUE)-_xlfn.NORM.DIST(BU$30,$CU21,0.3*$CU21,TRUE))+$CS21*(_xlfn.NORM.DIST(BU$3,$CV21,0.3*$CV21,TRUE)-_xlfn.NORM.DIST(BU$30,$CV21,0.3*$CV21,TRUE))),""),IF($C21&gt;0,summary!$C$10/28.8/0.947817,""))</f>
        <v/>
      </c>
      <c r="BV50">
        <f t="array" ref="BV50">IF($D21,IFERROR((SUMPRODUCT((economics!$AG$2:$AG$167=$B50)*(economics!$D$2:$D$167="whr")*economics!$AH$2:$AH$167*(_xlfn.NORM.DIST(BV$3,economics!$AK$2:$AK$167,economics!$AJ$2:$AJ$167,TRUE)-_xlfn.NORM.DIST(BV$30,economics!$AK$2:$AK$167,economics!$AJ$2:$AJ$167,TRUE))*economics!$AM$2:$AM$167)+$CR21*(_xlfn.NORM.DIST(BV$3,$CU21,0.3*$CU21,TRUE)-_xlfn.NORM.DIST(BV$30,$CU21,0.3*$CU21,TRUE))*summary!$C$7/28.8/0.947817+$CS21*(_xlfn.NORM.DIST(BV$3,$CV21,0.3*$CV21,TRUE)-_xlfn.NORM.DIST(BV$30,$CV21,0.3*$CV21,TRUE))*summary!$C$6/28.8/0.947817)/(SUMPRODUCT((economics!$AG$2:$AG$167=$B50)*(economics!$D$2:$D$167="whr")*economics!$AH$2:$AH$167*(_xlfn.NORM.DIST(BV$3,economics!$AK$2:$AK$167,economics!$AJ$2:$AJ$167,TRUE)-_xlfn.NORM.DIST(BV$30,economics!$AK$2:$AK$167,economics!$AJ$2:$AJ$167,TRUE)))+$CR21*(_xlfn.NORM.DIST(BV$3,$CU21,0.3*$CU21,TRUE)-_xlfn.NORM.DIST(BV$30,$CU21,0.3*$CU21,TRUE))+$CS21*(_xlfn.NORM.DIST(BV$3,$CV21,0.3*$CV21,TRUE)-_xlfn.NORM.DIST(BV$30,$CV21,0.3*$CV21,TRUE))),""),IF($C21&gt;0,summary!$C$10/28.8/0.947817,""))</f>
        <v/>
      </c>
      <c r="BW50">
        <f t="array" ref="BW50">IF($D21,IFERROR((SUMPRODUCT((economics!$AG$2:$AG$167=$B50)*(economics!$D$2:$D$167="whr")*economics!$AH$2:$AH$167*(_xlfn.NORM.DIST(BW$3,economics!$AK$2:$AK$167,economics!$AJ$2:$AJ$167,TRUE)-_xlfn.NORM.DIST(BW$30,economics!$AK$2:$AK$167,economics!$AJ$2:$AJ$167,TRUE))*economics!$AM$2:$AM$167)+$CR21*(_xlfn.NORM.DIST(BW$3,$CU21,0.3*$CU21,TRUE)-_xlfn.NORM.DIST(BW$30,$CU21,0.3*$CU21,TRUE))*summary!$C$7/28.8/0.947817+$CS21*(_xlfn.NORM.DIST(BW$3,$CV21,0.3*$CV21,TRUE)-_xlfn.NORM.DIST(BW$30,$CV21,0.3*$CV21,TRUE))*summary!$C$6/28.8/0.947817)/(SUMPRODUCT((economics!$AG$2:$AG$167=$B50)*(economics!$D$2:$D$167="whr")*economics!$AH$2:$AH$167*(_xlfn.NORM.DIST(BW$3,economics!$AK$2:$AK$167,economics!$AJ$2:$AJ$167,TRUE)-_xlfn.NORM.DIST(BW$30,economics!$AK$2:$AK$167,economics!$AJ$2:$AJ$167,TRUE)))+$CR21*(_xlfn.NORM.DIST(BW$3,$CU21,0.3*$CU21,TRUE)-_xlfn.NORM.DIST(BW$30,$CU21,0.3*$CU21,TRUE))+$CS21*(_xlfn.NORM.DIST(BW$3,$CV21,0.3*$CV21,TRUE)-_xlfn.NORM.DIST(BW$30,$CV21,0.3*$CV21,TRUE))),""),IF($C21&gt;0,summary!$C$10/28.8/0.947817,""))</f>
        <v/>
      </c>
      <c r="BX50">
        <f t="array" ref="BX50">IF($D21,IFERROR((SUMPRODUCT((economics!$AG$2:$AG$167=$B50)*(economics!$D$2:$D$167="whr")*economics!$AH$2:$AH$167*(_xlfn.NORM.DIST(BX$3,economics!$AK$2:$AK$167,economics!$AJ$2:$AJ$167,TRUE)-_xlfn.NORM.DIST(BX$30,economics!$AK$2:$AK$167,economics!$AJ$2:$AJ$167,TRUE))*economics!$AM$2:$AM$167)+$CR21*(_xlfn.NORM.DIST(BX$3,$CU21,0.3*$CU21,TRUE)-_xlfn.NORM.DIST(BX$30,$CU21,0.3*$CU21,TRUE))*summary!$C$7/28.8/0.947817+$CS21*(_xlfn.NORM.DIST(BX$3,$CV21,0.3*$CV21,TRUE)-_xlfn.NORM.DIST(BX$30,$CV21,0.3*$CV21,TRUE))*summary!$C$6/28.8/0.947817)/(SUMPRODUCT((economics!$AG$2:$AG$167=$B50)*(economics!$D$2:$D$167="whr")*economics!$AH$2:$AH$167*(_xlfn.NORM.DIST(BX$3,economics!$AK$2:$AK$167,economics!$AJ$2:$AJ$167,TRUE)-_xlfn.NORM.DIST(BX$30,economics!$AK$2:$AK$167,economics!$AJ$2:$AJ$167,TRUE)))+$CR21*(_xlfn.NORM.DIST(BX$3,$CU21,0.3*$CU21,TRUE)-_xlfn.NORM.DIST(BX$30,$CU21,0.3*$CU21,TRUE))+$CS21*(_xlfn.NORM.DIST(BX$3,$CV21,0.3*$CV21,TRUE)-_xlfn.NORM.DIST(BX$30,$CV21,0.3*$CV21,TRUE))),""),IF($C21&gt;0,summary!$C$10/28.8/0.947817,""))</f>
        <v/>
      </c>
      <c r="BY50">
        <f t="array" ref="BY50">IF($D21,IFERROR((SUMPRODUCT((economics!$AG$2:$AG$167=$B50)*(economics!$D$2:$D$167="whr")*economics!$AH$2:$AH$167*(_xlfn.NORM.DIST(BY$3,economics!$AK$2:$AK$167,economics!$AJ$2:$AJ$167,TRUE)-_xlfn.NORM.DIST(BY$30,economics!$AK$2:$AK$167,economics!$AJ$2:$AJ$167,TRUE))*economics!$AM$2:$AM$167)+$CR21*(_xlfn.NORM.DIST(BY$3,$CU21,0.3*$CU21,TRUE)-_xlfn.NORM.DIST(BY$30,$CU21,0.3*$CU21,TRUE))*summary!$C$7/28.8/0.947817+$CS21*(_xlfn.NORM.DIST(BY$3,$CV21,0.3*$CV21,TRUE)-_xlfn.NORM.DIST(BY$30,$CV21,0.3*$CV21,TRUE))*summary!$C$6/28.8/0.947817)/(SUMPRODUCT((economics!$AG$2:$AG$167=$B50)*(economics!$D$2:$D$167="whr")*economics!$AH$2:$AH$167*(_xlfn.NORM.DIST(BY$3,economics!$AK$2:$AK$167,economics!$AJ$2:$AJ$167,TRUE)-_xlfn.NORM.DIST(BY$30,economics!$AK$2:$AK$167,economics!$AJ$2:$AJ$167,TRUE)))+$CR21*(_xlfn.NORM.DIST(BY$3,$CU21,0.3*$CU21,TRUE)-_xlfn.NORM.DIST(BY$30,$CU21,0.3*$CU21,TRUE))+$CS21*(_xlfn.NORM.DIST(BY$3,$CV21,0.3*$CV21,TRUE)-_xlfn.NORM.DIST(BY$30,$CV21,0.3*$CV21,TRUE))),""),IF($C21&gt;0,summary!$C$10/28.8/0.947817,""))</f>
        <v/>
      </c>
      <c r="BZ50">
        <f t="array" ref="BZ50">IF($D21,IFERROR((SUMPRODUCT((economics!$AG$2:$AG$167=$B50)*(economics!$D$2:$D$167="whr")*economics!$AH$2:$AH$167*(_xlfn.NORM.DIST(BZ$3,economics!$AK$2:$AK$167,economics!$AJ$2:$AJ$167,TRUE)-_xlfn.NORM.DIST(BZ$30,economics!$AK$2:$AK$167,economics!$AJ$2:$AJ$167,TRUE))*economics!$AM$2:$AM$167)+$CR21*(_xlfn.NORM.DIST(BZ$3,$CU21,0.3*$CU21,TRUE)-_xlfn.NORM.DIST(BZ$30,$CU21,0.3*$CU21,TRUE))*summary!$C$7/28.8/0.947817+$CS21*(_xlfn.NORM.DIST(BZ$3,$CV21,0.3*$CV21,TRUE)-_xlfn.NORM.DIST(BZ$30,$CV21,0.3*$CV21,TRUE))*summary!$C$6/28.8/0.947817)/(SUMPRODUCT((economics!$AG$2:$AG$167=$B50)*(economics!$D$2:$D$167="whr")*economics!$AH$2:$AH$167*(_xlfn.NORM.DIST(BZ$3,economics!$AK$2:$AK$167,economics!$AJ$2:$AJ$167,TRUE)-_xlfn.NORM.DIST(BZ$30,economics!$AK$2:$AK$167,economics!$AJ$2:$AJ$167,TRUE)))+$CR21*(_xlfn.NORM.DIST(BZ$3,$CU21,0.3*$CU21,TRUE)-_xlfn.NORM.DIST(BZ$30,$CU21,0.3*$CU21,TRUE))+$CS21*(_xlfn.NORM.DIST(BZ$3,$CV21,0.3*$CV21,TRUE)-_xlfn.NORM.DIST(BZ$30,$CV21,0.3*$CV21,TRUE))),""),IF($C21&gt;0,summary!$C$10/28.8/0.947817,""))</f>
        <v/>
      </c>
      <c r="CA50">
        <f t="array" ref="CA50">IF($D21,IFERROR((SUMPRODUCT((economics!$AG$2:$AG$167=$B50)*(economics!$D$2:$D$167="whr")*economics!$AH$2:$AH$167*(_xlfn.NORM.DIST(CA$3,economics!$AK$2:$AK$167,economics!$AJ$2:$AJ$167,TRUE)-_xlfn.NORM.DIST(CA$30,economics!$AK$2:$AK$167,economics!$AJ$2:$AJ$167,TRUE))*economics!$AM$2:$AM$167)+$CR21*(_xlfn.NORM.DIST(CA$3,$CU21,0.3*$CU21,TRUE)-_xlfn.NORM.DIST(CA$30,$CU21,0.3*$CU21,TRUE))*summary!$C$7/28.8/0.947817+$CS21*(_xlfn.NORM.DIST(CA$3,$CV21,0.3*$CV21,TRUE)-_xlfn.NORM.DIST(CA$30,$CV21,0.3*$CV21,TRUE))*summary!$C$6/28.8/0.947817)/(SUMPRODUCT((economics!$AG$2:$AG$167=$B50)*(economics!$D$2:$D$167="whr")*economics!$AH$2:$AH$167*(_xlfn.NORM.DIST(CA$3,economics!$AK$2:$AK$167,economics!$AJ$2:$AJ$167,TRUE)-_xlfn.NORM.DIST(CA$30,economics!$AK$2:$AK$167,economics!$AJ$2:$AJ$167,TRUE)))+$CR21*(_xlfn.NORM.DIST(CA$3,$CU21,0.3*$CU21,TRUE)-_xlfn.NORM.DIST(CA$30,$CU21,0.3*$CU21,TRUE))+$CS21*(_xlfn.NORM.DIST(CA$3,$CV21,0.3*$CV21,TRUE)-_xlfn.NORM.DIST(CA$30,$CV21,0.3*$CV21,TRUE))),""),IF($C21&gt;0,summary!$C$10/28.8/0.947817,""))</f>
        <v/>
      </c>
      <c r="CB50">
        <f t="array" ref="CB50">IF($D21,IFERROR((SUMPRODUCT((economics!$AG$2:$AG$167=$B50)*(economics!$D$2:$D$167="whr")*economics!$AH$2:$AH$167*(_xlfn.NORM.DIST(CB$3,economics!$AK$2:$AK$167,economics!$AJ$2:$AJ$167,TRUE)-_xlfn.NORM.DIST(CB$30,economics!$AK$2:$AK$167,economics!$AJ$2:$AJ$167,TRUE))*economics!$AM$2:$AM$167)+$CR21*(_xlfn.NORM.DIST(CB$3,$CU21,0.3*$CU21,TRUE)-_xlfn.NORM.DIST(CB$30,$CU21,0.3*$CU21,TRUE))*summary!$C$7/28.8/0.947817+$CS21*(_xlfn.NORM.DIST(CB$3,$CV21,0.3*$CV21,TRUE)-_xlfn.NORM.DIST(CB$30,$CV21,0.3*$CV21,TRUE))*summary!$C$6/28.8/0.947817)/(SUMPRODUCT((economics!$AG$2:$AG$167=$B50)*(economics!$D$2:$D$167="whr")*economics!$AH$2:$AH$167*(_xlfn.NORM.DIST(CB$3,economics!$AK$2:$AK$167,economics!$AJ$2:$AJ$167,TRUE)-_xlfn.NORM.DIST(CB$30,economics!$AK$2:$AK$167,economics!$AJ$2:$AJ$167,TRUE)))+$CR21*(_xlfn.NORM.DIST(CB$3,$CU21,0.3*$CU21,TRUE)-_xlfn.NORM.DIST(CB$30,$CU21,0.3*$CU21,TRUE))+$CS21*(_xlfn.NORM.DIST(CB$3,$CV21,0.3*$CV21,TRUE)-_xlfn.NORM.DIST(CB$30,$CV21,0.3*$CV21,TRUE))),""),IF($C21&gt;0,summary!$C$10/28.8/0.947817,""))</f>
        <v/>
      </c>
      <c r="CC50">
        <f t="array" ref="CC50">IF($D21,IFERROR((SUMPRODUCT((economics!$AG$2:$AG$167=$B50)*(economics!$D$2:$D$167="whr")*economics!$AH$2:$AH$167*(_xlfn.NORM.DIST(CC$3,economics!$AK$2:$AK$167,economics!$AJ$2:$AJ$167,TRUE)-_xlfn.NORM.DIST(CC$30,economics!$AK$2:$AK$167,economics!$AJ$2:$AJ$167,TRUE))*economics!$AM$2:$AM$167)+$CR21*(_xlfn.NORM.DIST(CC$3,$CU21,0.3*$CU21,TRUE)-_xlfn.NORM.DIST(CC$30,$CU21,0.3*$CU21,TRUE))*summary!$C$7/28.8/0.947817+$CS21*(_xlfn.NORM.DIST(CC$3,$CV21,0.3*$CV21,TRUE)-_xlfn.NORM.DIST(CC$30,$CV21,0.3*$CV21,TRUE))*summary!$C$6/28.8/0.947817)/(SUMPRODUCT((economics!$AG$2:$AG$167=$B50)*(economics!$D$2:$D$167="whr")*economics!$AH$2:$AH$167*(_xlfn.NORM.DIST(CC$3,economics!$AK$2:$AK$167,economics!$AJ$2:$AJ$167,TRUE)-_xlfn.NORM.DIST(CC$30,economics!$AK$2:$AK$167,economics!$AJ$2:$AJ$167,TRUE)))+$CR21*(_xlfn.NORM.DIST(CC$3,$CU21,0.3*$CU21,TRUE)-_xlfn.NORM.DIST(CC$30,$CU21,0.3*$CU21,TRUE))+$CS21*(_xlfn.NORM.DIST(CC$3,$CV21,0.3*$CV21,TRUE)-_xlfn.NORM.DIST(CC$30,$CV21,0.3*$CV21,TRUE))),""),IF($C21&gt;0,summary!$C$10/28.8/0.947817,""))</f>
        <v/>
      </c>
      <c r="CD50">
        <f t="array" ref="CD50">IF($D21,IFERROR((SUMPRODUCT((economics!$AG$2:$AG$167=$B50)*(economics!$D$2:$D$167="whr")*economics!$AH$2:$AH$167*(_xlfn.NORM.DIST(CD$3,economics!$AK$2:$AK$167,economics!$AJ$2:$AJ$167,TRUE)-_xlfn.NORM.DIST(CD$30,economics!$AK$2:$AK$167,economics!$AJ$2:$AJ$167,TRUE))*economics!$AM$2:$AM$167)+$CR21*(_xlfn.NORM.DIST(CD$3,$CU21,0.3*$CU21,TRUE)-_xlfn.NORM.DIST(CD$30,$CU21,0.3*$CU21,TRUE))*summary!$C$7/28.8/0.947817+$CS21*(_xlfn.NORM.DIST(CD$3,$CV21,0.3*$CV21,TRUE)-_xlfn.NORM.DIST(CD$30,$CV21,0.3*$CV21,TRUE))*summary!$C$6/28.8/0.947817)/(SUMPRODUCT((economics!$AG$2:$AG$167=$B50)*(economics!$D$2:$D$167="whr")*economics!$AH$2:$AH$167*(_xlfn.NORM.DIST(CD$3,economics!$AK$2:$AK$167,economics!$AJ$2:$AJ$167,TRUE)-_xlfn.NORM.DIST(CD$30,economics!$AK$2:$AK$167,economics!$AJ$2:$AJ$167,TRUE)))+$CR21*(_xlfn.NORM.DIST(CD$3,$CU21,0.3*$CU21,TRUE)-_xlfn.NORM.DIST(CD$30,$CU21,0.3*$CU21,TRUE))+$CS21*(_xlfn.NORM.DIST(CD$3,$CV21,0.3*$CV21,TRUE)-_xlfn.NORM.DIST(CD$30,$CV21,0.3*$CV21,TRUE))),""),IF($C21&gt;0,summary!$C$10/28.8/0.947817,""))</f>
        <v/>
      </c>
      <c r="CE50">
        <f t="array" ref="CE50">IF($D21,IFERROR((SUMPRODUCT((economics!$AG$2:$AG$167=$B50)*(economics!$D$2:$D$167="whr")*economics!$AH$2:$AH$167*(_xlfn.NORM.DIST(CE$3,economics!$AK$2:$AK$167,economics!$AJ$2:$AJ$167,TRUE)-_xlfn.NORM.DIST(CE$30,economics!$AK$2:$AK$167,economics!$AJ$2:$AJ$167,TRUE))*economics!$AM$2:$AM$167)+$CR21*(_xlfn.NORM.DIST(CE$3,$CU21,0.3*$CU21,TRUE)-_xlfn.NORM.DIST(CE$30,$CU21,0.3*$CU21,TRUE))*summary!$C$7/28.8/0.947817+$CS21*(_xlfn.NORM.DIST(CE$3,$CV21,0.3*$CV21,TRUE)-_xlfn.NORM.DIST(CE$30,$CV21,0.3*$CV21,TRUE))*summary!$C$6/28.8/0.947817)/(SUMPRODUCT((economics!$AG$2:$AG$167=$B50)*(economics!$D$2:$D$167="whr")*economics!$AH$2:$AH$167*(_xlfn.NORM.DIST(CE$3,economics!$AK$2:$AK$167,economics!$AJ$2:$AJ$167,TRUE)-_xlfn.NORM.DIST(CE$30,economics!$AK$2:$AK$167,economics!$AJ$2:$AJ$167,TRUE)))+$CR21*(_xlfn.NORM.DIST(CE$3,$CU21,0.3*$CU21,TRUE)-_xlfn.NORM.DIST(CE$30,$CU21,0.3*$CU21,TRUE))+$CS21*(_xlfn.NORM.DIST(CE$3,$CV21,0.3*$CV21,TRUE)-_xlfn.NORM.DIST(CE$30,$CV21,0.3*$CV21,TRUE))),""),IF($C21&gt;0,summary!$C$10/28.8/0.947817,""))</f>
        <v/>
      </c>
      <c r="CF50">
        <f t="array" ref="CF50">IF($D21,IFERROR((SUMPRODUCT((economics!$AG$2:$AG$167=$B50)*(economics!$D$2:$D$167="whr")*economics!$AH$2:$AH$167*(_xlfn.NORM.DIST(CF$3,economics!$AK$2:$AK$167,economics!$AJ$2:$AJ$167,TRUE)-_xlfn.NORM.DIST(CF$30,economics!$AK$2:$AK$167,economics!$AJ$2:$AJ$167,TRUE))*economics!$AM$2:$AM$167)+$CR21*(_xlfn.NORM.DIST(CF$3,$CU21,0.3*$CU21,TRUE)-_xlfn.NORM.DIST(CF$30,$CU21,0.3*$CU21,TRUE))*summary!$C$7/28.8/0.947817+$CS21*(_xlfn.NORM.DIST(CF$3,$CV21,0.3*$CV21,TRUE)-_xlfn.NORM.DIST(CF$30,$CV21,0.3*$CV21,TRUE))*summary!$C$6/28.8/0.947817)/(SUMPRODUCT((economics!$AG$2:$AG$167=$B50)*(economics!$D$2:$D$167="whr")*economics!$AH$2:$AH$167*(_xlfn.NORM.DIST(CF$3,economics!$AK$2:$AK$167,economics!$AJ$2:$AJ$167,TRUE)-_xlfn.NORM.DIST(CF$30,economics!$AK$2:$AK$167,economics!$AJ$2:$AJ$167,TRUE)))+$CR21*(_xlfn.NORM.DIST(CF$3,$CU21,0.3*$CU21,TRUE)-_xlfn.NORM.DIST(CF$30,$CU21,0.3*$CU21,TRUE))+$CS21*(_xlfn.NORM.DIST(CF$3,$CV21,0.3*$CV21,TRUE)-_xlfn.NORM.DIST(CF$30,$CV21,0.3*$CV21,TRUE))),""),IF($C21&gt;0,summary!$C$10/28.8/0.947817,""))</f>
        <v/>
      </c>
      <c r="CG50">
        <f t="array" ref="CG50">IF($D21,IFERROR((SUMPRODUCT((economics!$AG$2:$AG$167=$B50)*(economics!$D$2:$D$167="whr")*economics!$AH$2:$AH$167*(_xlfn.NORM.DIST(CG$3,economics!$AK$2:$AK$167,economics!$AJ$2:$AJ$167,TRUE)-_xlfn.NORM.DIST(CG$30,economics!$AK$2:$AK$167,economics!$AJ$2:$AJ$167,TRUE))*economics!$AM$2:$AM$167)+$CR21*(_xlfn.NORM.DIST(CG$3,$CU21,0.3*$CU21,TRUE)-_xlfn.NORM.DIST(CG$30,$CU21,0.3*$CU21,TRUE))*summary!$C$7/28.8/0.947817+$CS21*(_xlfn.NORM.DIST(CG$3,$CV21,0.3*$CV21,TRUE)-_xlfn.NORM.DIST(CG$30,$CV21,0.3*$CV21,TRUE))*summary!$C$6/28.8/0.947817)/(SUMPRODUCT((economics!$AG$2:$AG$167=$B50)*(economics!$D$2:$D$167="whr")*economics!$AH$2:$AH$167*(_xlfn.NORM.DIST(CG$3,economics!$AK$2:$AK$167,economics!$AJ$2:$AJ$167,TRUE)-_xlfn.NORM.DIST(CG$30,economics!$AK$2:$AK$167,economics!$AJ$2:$AJ$167,TRUE)))+$CR21*(_xlfn.NORM.DIST(CG$3,$CU21,0.3*$CU21,TRUE)-_xlfn.NORM.DIST(CG$30,$CU21,0.3*$CU21,TRUE))+$CS21*(_xlfn.NORM.DIST(CG$3,$CV21,0.3*$CV21,TRUE)-_xlfn.NORM.DIST(CG$30,$CV21,0.3*$CV21,TRUE))),""),IF($C21&gt;0,summary!$C$10/28.8/0.947817,""))</f>
        <v/>
      </c>
      <c r="CH50">
        <f t="array" ref="CH50">IF($D21,IFERROR((SUMPRODUCT((economics!$AG$2:$AG$167=$B50)*(economics!$D$2:$D$167="whr")*economics!$AH$2:$AH$167*(_xlfn.NORM.DIST(CH$3,economics!$AK$2:$AK$167,economics!$AJ$2:$AJ$167,TRUE)-_xlfn.NORM.DIST(CH$30,economics!$AK$2:$AK$167,economics!$AJ$2:$AJ$167,TRUE))*economics!$AM$2:$AM$167)+$CR21*(_xlfn.NORM.DIST(CH$3,$CU21,0.3*$CU21,TRUE)-_xlfn.NORM.DIST(CH$30,$CU21,0.3*$CU21,TRUE))*summary!$C$7/28.8/0.947817+$CS21*(_xlfn.NORM.DIST(CH$3,$CV21,0.3*$CV21,TRUE)-_xlfn.NORM.DIST(CH$30,$CV21,0.3*$CV21,TRUE))*summary!$C$6/28.8/0.947817)/(SUMPRODUCT((economics!$AG$2:$AG$167=$B50)*(economics!$D$2:$D$167="whr")*economics!$AH$2:$AH$167*(_xlfn.NORM.DIST(CH$3,economics!$AK$2:$AK$167,economics!$AJ$2:$AJ$167,TRUE)-_xlfn.NORM.DIST(CH$30,economics!$AK$2:$AK$167,economics!$AJ$2:$AJ$167,TRUE)))+$CR21*(_xlfn.NORM.DIST(CH$3,$CU21,0.3*$CU21,TRUE)-_xlfn.NORM.DIST(CH$30,$CU21,0.3*$CU21,TRUE))+$CS21*(_xlfn.NORM.DIST(CH$3,$CV21,0.3*$CV21,TRUE)-_xlfn.NORM.DIST(CH$30,$CV21,0.3*$CV21,TRUE))),""),IF($C21&gt;0,summary!$C$10/28.8/0.947817,""))</f>
        <v/>
      </c>
    </row>
    <row r="51">
      <c r="A51">
        <f>A22</f>
        <v/>
      </c>
      <c r="B51">
        <f>B22</f>
        <v/>
      </c>
      <c r="E51">
        <f t="array" ref="E51">IF($D22,IFERROR((SUMPRODUCT((economics!$AG$2:$AG$167=$B51)*(economics!$D$2:$D$167="whr")*economics!$AH$2:$AH$167*(_xlfn.NORM.DIST(E$3,economics!$AK$2:$AK$167,economics!$AJ$2:$AJ$167,TRUE)-_xlfn.NORM.DIST(E$30,economics!$AK$2:$AK$167,economics!$AJ$2:$AJ$167,TRUE))*economics!$AM$2:$AM$167)+$CR22*(_xlfn.NORM.DIST(E$3,$CU22,0.3*$CU22,TRUE)-_xlfn.NORM.DIST(E$30,$CU22,0.3*$CU22,TRUE))*summary!$C$7/28.8/0.947817+$CS22*(_xlfn.NORM.DIST(E$3,$CV22,0.3*$CV22,TRUE)-_xlfn.NORM.DIST(E$30,$CV22,0.3*$CV22,TRUE))*summary!$C$6/28.8/0.947817)/(SUMPRODUCT((economics!$AG$2:$AG$167=$B51)*(economics!$D$2:$D$167="whr")*economics!$AH$2:$AH$167*(_xlfn.NORM.DIST(E$3,economics!$AK$2:$AK$167,economics!$AJ$2:$AJ$167,TRUE)-_xlfn.NORM.DIST(E$30,economics!$AK$2:$AK$167,economics!$AJ$2:$AJ$167,TRUE)))+$CR22*(_xlfn.NORM.DIST(E$3,$CU22,0.3*$CU22,TRUE)-_xlfn.NORM.DIST(E$30,$CU22,0.3*$CU22,TRUE))+$CS22*(_xlfn.NORM.DIST(E$3,$CV22,0.3*$CV22,TRUE)-_xlfn.NORM.DIST(E$30,$CV22,0.3*$CV22,TRUE))),""),IF($C22&gt;0,summary!$C$10/28.8/0.947817,""))</f>
        <v/>
      </c>
      <c r="F51">
        <f t="array" ref="F51">IF($D22,IFERROR((SUMPRODUCT((economics!$AG$2:$AG$167=$B51)*(economics!$D$2:$D$167="whr")*economics!$AH$2:$AH$167*(_xlfn.NORM.DIST(F$3,economics!$AK$2:$AK$167,economics!$AJ$2:$AJ$167,TRUE)-_xlfn.NORM.DIST(F$30,economics!$AK$2:$AK$167,economics!$AJ$2:$AJ$167,TRUE))*economics!$AM$2:$AM$167)+$CR22*(_xlfn.NORM.DIST(F$3,$CU22,0.3*$CU22,TRUE)-_xlfn.NORM.DIST(F$30,$CU22,0.3*$CU22,TRUE))*summary!$C$7/28.8/0.947817+$CS22*(_xlfn.NORM.DIST(F$3,$CV22,0.3*$CV22,TRUE)-_xlfn.NORM.DIST(F$30,$CV22,0.3*$CV22,TRUE))*summary!$C$6/28.8/0.947817)/(SUMPRODUCT((economics!$AG$2:$AG$167=$B51)*(economics!$D$2:$D$167="whr")*economics!$AH$2:$AH$167*(_xlfn.NORM.DIST(F$3,economics!$AK$2:$AK$167,economics!$AJ$2:$AJ$167,TRUE)-_xlfn.NORM.DIST(F$30,economics!$AK$2:$AK$167,economics!$AJ$2:$AJ$167,TRUE)))+$CR22*(_xlfn.NORM.DIST(F$3,$CU22,0.3*$CU22,TRUE)-_xlfn.NORM.DIST(F$30,$CU22,0.3*$CU22,TRUE))+$CS22*(_xlfn.NORM.DIST(F$3,$CV22,0.3*$CV22,TRUE)-_xlfn.NORM.DIST(F$30,$CV22,0.3*$CV22,TRUE))),""),IF($C22&gt;0,summary!$C$10/28.8/0.947817,""))</f>
        <v/>
      </c>
      <c r="G51">
        <f t="array" ref="G51">IF($D22,IFERROR((SUMPRODUCT((economics!$AG$2:$AG$167=$B51)*(economics!$D$2:$D$167="whr")*economics!$AH$2:$AH$167*(_xlfn.NORM.DIST(G$3,economics!$AK$2:$AK$167,economics!$AJ$2:$AJ$167,TRUE)-_xlfn.NORM.DIST(G$30,economics!$AK$2:$AK$167,economics!$AJ$2:$AJ$167,TRUE))*economics!$AM$2:$AM$167)+$CR22*(_xlfn.NORM.DIST(G$3,$CU22,0.3*$CU22,TRUE)-_xlfn.NORM.DIST(G$30,$CU22,0.3*$CU22,TRUE))*summary!$C$7/28.8/0.947817+$CS22*(_xlfn.NORM.DIST(G$3,$CV22,0.3*$CV22,TRUE)-_xlfn.NORM.DIST(G$30,$CV22,0.3*$CV22,TRUE))*summary!$C$6/28.8/0.947817)/(SUMPRODUCT((economics!$AG$2:$AG$167=$B51)*(economics!$D$2:$D$167="whr")*economics!$AH$2:$AH$167*(_xlfn.NORM.DIST(G$3,economics!$AK$2:$AK$167,economics!$AJ$2:$AJ$167,TRUE)-_xlfn.NORM.DIST(G$30,economics!$AK$2:$AK$167,economics!$AJ$2:$AJ$167,TRUE)))+$CR22*(_xlfn.NORM.DIST(G$3,$CU22,0.3*$CU22,TRUE)-_xlfn.NORM.DIST(G$30,$CU22,0.3*$CU22,TRUE))+$CS22*(_xlfn.NORM.DIST(G$3,$CV22,0.3*$CV22,TRUE)-_xlfn.NORM.DIST(G$30,$CV22,0.3*$CV22,TRUE))),""),IF($C22&gt;0,summary!$C$10/28.8/0.947817,""))</f>
        <v/>
      </c>
      <c r="H51">
        <f t="array" ref="H51">IF($D22,IFERROR((SUMPRODUCT((economics!$AG$2:$AG$167=$B51)*(economics!$D$2:$D$167="whr")*economics!$AH$2:$AH$167*(_xlfn.NORM.DIST(H$3,economics!$AK$2:$AK$167,economics!$AJ$2:$AJ$167,TRUE)-_xlfn.NORM.DIST(H$30,economics!$AK$2:$AK$167,economics!$AJ$2:$AJ$167,TRUE))*economics!$AM$2:$AM$167)+$CR22*(_xlfn.NORM.DIST(H$3,$CU22,0.3*$CU22,TRUE)-_xlfn.NORM.DIST(H$30,$CU22,0.3*$CU22,TRUE))*summary!$C$7/28.8/0.947817+$CS22*(_xlfn.NORM.DIST(H$3,$CV22,0.3*$CV22,TRUE)-_xlfn.NORM.DIST(H$30,$CV22,0.3*$CV22,TRUE))*summary!$C$6/28.8/0.947817)/(SUMPRODUCT((economics!$AG$2:$AG$167=$B51)*(economics!$D$2:$D$167="whr")*economics!$AH$2:$AH$167*(_xlfn.NORM.DIST(H$3,economics!$AK$2:$AK$167,economics!$AJ$2:$AJ$167,TRUE)-_xlfn.NORM.DIST(H$30,economics!$AK$2:$AK$167,economics!$AJ$2:$AJ$167,TRUE)))+$CR22*(_xlfn.NORM.DIST(H$3,$CU22,0.3*$CU22,TRUE)-_xlfn.NORM.DIST(H$30,$CU22,0.3*$CU22,TRUE))+$CS22*(_xlfn.NORM.DIST(H$3,$CV22,0.3*$CV22,TRUE)-_xlfn.NORM.DIST(H$30,$CV22,0.3*$CV22,TRUE))),""),IF($C22&gt;0,summary!$C$10/28.8/0.947817,""))</f>
        <v/>
      </c>
      <c r="I51">
        <f t="array" ref="I51">IF($D22,IFERROR((SUMPRODUCT((economics!$AG$2:$AG$167=$B51)*(economics!$D$2:$D$167="whr")*economics!$AH$2:$AH$167*(_xlfn.NORM.DIST(I$3,economics!$AK$2:$AK$167,economics!$AJ$2:$AJ$167,TRUE)-_xlfn.NORM.DIST(I$30,economics!$AK$2:$AK$167,economics!$AJ$2:$AJ$167,TRUE))*economics!$AM$2:$AM$167)+$CR22*(_xlfn.NORM.DIST(I$3,$CU22,0.3*$CU22,TRUE)-_xlfn.NORM.DIST(I$30,$CU22,0.3*$CU22,TRUE))*summary!$C$7/28.8/0.947817+$CS22*(_xlfn.NORM.DIST(I$3,$CV22,0.3*$CV22,TRUE)-_xlfn.NORM.DIST(I$30,$CV22,0.3*$CV22,TRUE))*summary!$C$6/28.8/0.947817)/(SUMPRODUCT((economics!$AG$2:$AG$167=$B51)*(economics!$D$2:$D$167="whr")*economics!$AH$2:$AH$167*(_xlfn.NORM.DIST(I$3,economics!$AK$2:$AK$167,economics!$AJ$2:$AJ$167,TRUE)-_xlfn.NORM.DIST(I$30,economics!$AK$2:$AK$167,economics!$AJ$2:$AJ$167,TRUE)))+$CR22*(_xlfn.NORM.DIST(I$3,$CU22,0.3*$CU22,TRUE)-_xlfn.NORM.DIST(I$30,$CU22,0.3*$CU22,TRUE))+$CS22*(_xlfn.NORM.DIST(I$3,$CV22,0.3*$CV22,TRUE)-_xlfn.NORM.DIST(I$30,$CV22,0.3*$CV22,TRUE))),""),IF($C22&gt;0,summary!$C$10/28.8/0.947817,""))</f>
        <v/>
      </c>
      <c r="J51">
        <f t="array" ref="J51">IF($D22,IFERROR((SUMPRODUCT((economics!$AG$2:$AG$167=$B51)*(economics!$D$2:$D$167="whr")*economics!$AH$2:$AH$167*(_xlfn.NORM.DIST(J$3,economics!$AK$2:$AK$167,economics!$AJ$2:$AJ$167,TRUE)-_xlfn.NORM.DIST(J$30,economics!$AK$2:$AK$167,economics!$AJ$2:$AJ$167,TRUE))*economics!$AM$2:$AM$167)+$CR22*(_xlfn.NORM.DIST(J$3,$CU22,0.3*$CU22,TRUE)-_xlfn.NORM.DIST(J$30,$CU22,0.3*$CU22,TRUE))*summary!$C$7/28.8/0.947817+$CS22*(_xlfn.NORM.DIST(J$3,$CV22,0.3*$CV22,TRUE)-_xlfn.NORM.DIST(J$30,$CV22,0.3*$CV22,TRUE))*summary!$C$6/28.8/0.947817)/(SUMPRODUCT((economics!$AG$2:$AG$167=$B51)*(economics!$D$2:$D$167="whr")*economics!$AH$2:$AH$167*(_xlfn.NORM.DIST(J$3,economics!$AK$2:$AK$167,economics!$AJ$2:$AJ$167,TRUE)-_xlfn.NORM.DIST(J$30,economics!$AK$2:$AK$167,economics!$AJ$2:$AJ$167,TRUE)))+$CR22*(_xlfn.NORM.DIST(J$3,$CU22,0.3*$CU22,TRUE)-_xlfn.NORM.DIST(J$30,$CU22,0.3*$CU22,TRUE))+$CS22*(_xlfn.NORM.DIST(J$3,$CV22,0.3*$CV22,TRUE)-_xlfn.NORM.DIST(J$30,$CV22,0.3*$CV22,TRUE))),""),IF($C22&gt;0,summary!$C$10/28.8/0.947817,""))</f>
        <v/>
      </c>
      <c r="K51">
        <f t="array" ref="K51">IF($D22,IFERROR((SUMPRODUCT((economics!$AG$2:$AG$167=$B51)*(economics!$D$2:$D$167="whr")*economics!$AH$2:$AH$167*(_xlfn.NORM.DIST(K$3,economics!$AK$2:$AK$167,economics!$AJ$2:$AJ$167,TRUE)-_xlfn.NORM.DIST(K$30,economics!$AK$2:$AK$167,economics!$AJ$2:$AJ$167,TRUE))*economics!$AM$2:$AM$167)+$CR22*(_xlfn.NORM.DIST(K$3,$CU22,0.3*$CU22,TRUE)-_xlfn.NORM.DIST(K$30,$CU22,0.3*$CU22,TRUE))*summary!$C$7/28.8/0.947817+$CS22*(_xlfn.NORM.DIST(K$3,$CV22,0.3*$CV22,TRUE)-_xlfn.NORM.DIST(K$30,$CV22,0.3*$CV22,TRUE))*summary!$C$6/28.8/0.947817)/(SUMPRODUCT((economics!$AG$2:$AG$167=$B51)*(economics!$D$2:$D$167="whr")*economics!$AH$2:$AH$167*(_xlfn.NORM.DIST(K$3,economics!$AK$2:$AK$167,economics!$AJ$2:$AJ$167,TRUE)-_xlfn.NORM.DIST(K$30,economics!$AK$2:$AK$167,economics!$AJ$2:$AJ$167,TRUE)))+$CR22*(_xlfn.NORM.DIST(K$3,$CU22,0.3*$CU22,TRUE)-_xlfn.NORM.DIST(K$30,$CU22,0.3*$CU22,TRUE))+$CS22*(_xlfn.NORM.DIST(K$3,$CV22,0.3*$CV22,TRUE)-_xlfn.NORM.DIST(K$30,$CV22,0.3*$CV22,TRUE))),""),IF($C22&gt;0,summary!$C$10/28.8/0.947817,""))</f>
        <v/>
      </c>
      <c r="L51">
        <f t="array" ref="L51">IF($D22,IFERROR((SUMPRODUCT((economics!$AG$2:$AG$167=$B51)*(economics!$D$2:$D$167="whr")*economics!$AH$2:$AH$167*(_xlfn.NORM.DIST(L$3,economics!$AK$2:$AK$167,economics!$AJ$2:$AJ$167,TRUE)-_xlfn.NORM.DIST(L$30,economics!$AK$2:$AK$167,economics!$AJ$2:$AJ$167,TRUE))*economics!$AM$2:$AM$167)+$CR22*(_xlfn.NORM.DIST(L$3,$CU22,0.3*$CU22,TRUE)-_xlfn.NORM.DIST(L$30,$CU22,0.3*$CU22,TRUE))*summary!$C$7/28.8/0.947817+$CS22*(_xlfn.NORM.DIST(L$3,$CV22,0.3*$CV22,TRUE)-_xlfn.NORM.DIST(L$30,$CV22,0.3*$CV22,TRUE))*summary!$C$6/28.8/0.947817)/(SUMPRODUCT((economics!$AG$2:$AG$167=$B51)*(economics!$D$2:$D$167="whr")*economics!$AH$2:$AH$167*(_xlfn.NORM.DIST(L$3,economics!$AK$2:$AK$167,economics!$AJ$2:$AJ$167,TRUE)-_xlfn.NORM.DIST(L$30,economics!$AK$2:$AK$167,economics!$AJ$2:$AJ$167,TRUE)))+$CR22*(_xlfn.NORM.DIST(L$3,$CU22,0.3*$CU22,TRUE)-_xlfn.NORM.DIST(L$30,$CU22,0.3*$CU22,TRUE))+$CS22*(_xlfn.NORM.DIST(L$3,$CV22,0.3*$CV22,TRUE)-_xlfn.NORM.DIST(L$30,$CV22,0.3*$CV22,TRUE))),""),IF($C22&gt;0,summary!$C$10/28.8/0.947817,""))</f>
        <v/>
      </c>
      <c r="M51">
        <f t="array" ref="M51">IF($D22,IFERROR((SUMPRODUCT((economics!$AG$2:$AG$167=$B51)*(economics!$D$2:$D$167="whr")*economics!$AH$2:$AH$167*(_xlfn.NORM.DIST(M$3,economics!$AK$2:$AK$167,economics!$AJ$2:$AJ$167,TRUE)-_xlfn.NORM.DIST(M$30,economics!$AK$2:$AK$167,economics!$AJ$2:$AJ$167,TRUE))*economics!$AM$2:$AM$167)+$CR22*(_xlfn.NORM.DIST(M$3,$CU22,0.3*$CU22,TRUE)-_xlfn.NORM.DIST(M$30,$CU22,0.3*$CU22,TRUE))*summary!$C$7/28.8/0.947817+$CS22*(_xlfn.NORM.DIST(M$3,$CV22,0.3*$CV22,TRUE)-_xlfn.NORM.DIST(M$30,$CV22,0.3*$CV22,TRUE))*summary!$C$6/28.8/0.947817)/(SUMPRODUCT((economics!$AG$2:$AG$167=$B51)*(economics!$D$2:$D$167="whr")*economics!$AH$2:$AH$167*(_xlfn.NORM.DIST(M$3,economics!$AK$2:$AK$167,economics!$AJ$2:$AJ$167,TRUE)-_xlfn.NORM.DIST(M$30,economics!$AK$2:$AK$167,economics!$AJ$2:$AJ$167,TRUE)))+$CR22*(_xlfn.NORM.DIST(M$3,$CU22,0.3*$CU22,TRUE)-_xlfn.NORM.DIST(M$30,$CU22,0.3*$CU22,TRUE))+$CS22*(_xlfn.NORM.DIST(M$3,$CV22,0.3*$CV22,TRUE)-_xlfn.NORM.DIST(M$30,$CV22,0.3*$CV22,TRUE))),""),IF($C22&gt;0,summary!$C$10/28.8/0.947817,""))</f>
        <v/>
      </c>
      <c r="N51">
        <f t="array" ref="N51">IF($D22,IFERROR((SUMPRODUCT((economics!$AG$2:$AG$167=$B51)*(economics!$D$2:$D$167="whr")*economics!$AH$2:$AH$167*(_xlfn.NORM.DIST(N$3,economics!$AK$2:$AK$167,economics!$AJ$2:$AJ$167,TRUE)-_xlfn.NORM.DIST(N$30,economics!$AK$2:$AK$167,economics!$AJ$2:$AJ$167,TRUE))*economics!$AM$2:$AM$167)+$CR22*(_xlfn.NORM.DIST(N$3,$CU22,0.3*$CU22,TRUE)-_xlfn.NORM.DIST(N$30,$CU22,0.3*$CU22,TRUE))*summary!$C$7/28.8/0.947817+$CS22*(_xlfn.NORM.DIST(N$3,$CV22,0.3*$CV22,TRUE)-_xlfn.NORM.DIST(N$30,$CV22,0.3*$CV22,TRUE))*summary!$C$6/28.8/0.947817)/(SUMPRODUCT((economics!$AG$2:$AG$167=$B51)*(economics!$D$2:$D$167="whr")*economics!$AH$2:$AH$167*(_xlfn.NORM.DIST(N$3,economics!$AK$2:$AK$167,economics!$AJ$2:$AJ$167,TRUE)-_xlfn.NORM.DIST(N$30,economics!$AK$2:$AK$167,economics!$AJ$2:$AJ$167,TRUE)))+$CR22*(_xlfn.NORM.DIST(N$3,$CU22,0.3*$CU22,TRUE)-_xlfn.NORM.DIST(N$30,$CU22,0.3*$CU22,TRUE))+$CS22*(_xlfn.NORM.DIST(N$3,$CV22,0.3*$CV22,TRUE)-_xlfn.NORM.DIST(N$30,$CV22,0.3*$CV22,TRUE))),""),IF($C22&gt;0,summary!$C$10/28.8/0.947817,""))</f>
        <v/>
      </c>
      <c r="O51">
        <f t="array" ref="O51">IF($D22,IFERROR((SUMPRODUCT((economics!$AG$2:$AG$167=$B51)*(economics!$D$2:$D$167="whr")*economics!$AH$2:$AH$167*(_xlfn.NORM.DIST(O$3,economics!$AK$2:$AK$167,economics!$AJ$2:$AJ$167,TRUE)-_xlfn.NORM.DIST(O$30,economics!$AK$2:$AK$167,economics!$AJ$2:$AJ$167,TRUE))*economics!$AM$2:$AM$167)+$CR22*(_xlfn.NORM.DIST(O$3,$CU22,0.3*$CU22,TRUE)-_xlfn.NORM.DIST(O$30,$CU22,0.3*$CU22,TRUE))*summary!$C$7/28.8/0.947817+$CS22*(_xlfn.NORM.DIST(O$3,$CV22,0.3*$CV22,TRUE)-_xlfn.NORM.DIST(O$30,$CV22,0.3*$CV22,TRUE))*summary!$C$6/28.8/0.947817)/(SUMPRODUCT((economics!$AG$2:$AG$167=$B51)*(economics!$D$2:$D$167="whr")*economics!$AH$2:$AH$167*(_xlfn.NORM.DIST(O$3,economics!$AK$2:$AK$167,economics!$AJ$2:$AJ$167,TRUE)-_xlfn.NORM.DIST(O$30,economics!$AK$2:$AK$167,economics!$AJ$2:$AJ$167,TRUE)))+$CR22*(_xlfn.NORM.DIST(O$3,$CU22,0.3*$CU22,TRUE)-_xlfn.NORM.DIST(O$30,$CU22,0.3*$CU22,TRUE))+$CS22*(_xlfn.NORM.DIST(O$3,$CV22,0.3*$CV22,TRUE)-_xlfn.NORM.DIST(O$30,$CV22,0.3*$CV22,TRUE))),""),IF($C22&gt;0,summary!$C$10/28.8/0.947817,""))</f>
        <v/>
      </c>
      <c r="P51">
        <f t="array" ref="P51">IF($D22,IFERROR((SUMPRODUCT((economics!$AG$2:$AG$167=$B51)*(economics!$D$2:$D$167="whr")*economics!$AH$2:$AH$167*(_xlfn.NORM.DIST(P$3,economics!$AK$2:$AK$167,economics!$AJ$2:$AJ$167,TRUE)-_xlfn.NORM.DIST(P$30,economics!$AK$2:$AK$167,economics!$AJ$2:$AJ$167,TRUE))*economics!$AM$2:$AM$167)+$CR22*(_xlfn.NORM.DIST(P$3,$CU22,0.3*$CU22,TRUE)-_xlfn.NORM.DIST(P$30,$CU22,0.3*$CU22,TRUE))*summary!$C$7/28.8/0.947817+$CS22*(_xlfn.NORM.DIST(P$3,$CV22,0.3*$CV22,TRUE)-_xlfn.NORM.DIST(P$30,$CV22,0.3*$CV22,TRUE))*summary!$C$6/28.8/0.947817)/(SUMPRODUCT((economics!$AG$2:$AG$167=$B51)*(economics!$D$2:$D$167="whr")*economics!$AH$2:$AH$167*(_xlfn.NORM.DIST(P$3,economics!$AK$2:$AK$167,economics!$AJ$2:$AJ$167,TRUE)-_xlfn.NORM.DIST(P$30,economics!$AK$2:$AK$167,economics!$AJ$2:$AJ$167,TRUE)))+$CR22*(_xlfn.NORM.DIST(P$3,$CU22,0.3*$CU22,TRUE)-_xlfn.NORM.DIST(P$30,$CU22,0.3*$CU22,TRUE))+$CS22*(_xlfn.NORM.DIST(P$3,$CV22,0.3*$CV22,TRUE)-_xlfn.NORM.DIST(P$30,$CV22,0.3*$CV22,TRUE))),""),IF($C22&gt;0,summary!$C$10/28.8/0.947817,""))</f>
        <v/>
      </c>
      <c r="Q51">
        <f t="array" ref="Q51">IF($D22,IFERROR((SUMPRODUCT((economics!$AG$2:$AG$167=$B51)*(economics!$D$2:$D$167="whr")*economics!$AH$2:$AH$167*(_xlfn.NORM.DIST(Q$3,economics!$AK$2:$AK$167,economics!$AJ$2:$AJ$167,TRUE)-_xlfn.NORM.DIST(Q$30,economics!$AK$2:$AK$167,economics!$AJ$2:$AJ$167,TRUE))*economics!$AM$2:$AM$167)+$CR22*(_xlfn.NORM.DIST(Q$3,$CU22,0.3*$CU22,TRUE)-_xlfn.NORM.DIST(Q$30,$CU22,0.3*$CU22,TRUE))*summary!$C$7/28.8/0.947817+$CS22*(_xlfn.NORM.DIST(Q$3,$CV22,0.3*$CV22,TRUE)-_xlfn.NORM.DIST(Q$30,$CV22,0.3*$CV22,TRUE))*summary!$C$6/28.8/0.947817)/(SUMPRODUCT((economics!$AG$2:$AG$167=$B51)*(economics!$D$2:$D$167="whr")*economics!$AH$2:$AH$167*(_xlfn.NORM.DIST(Q$3,economics!$AK$2:$AK$167,economics!$AJ$2:$AJ$167,TRUE)-_xlfn.NORM.DIST(Q$30,economics!$AK$2:$AK$167,economics!$AJ$2:$AJ$167,TRUE)))+$CR22*(_xlfn.NORM.DIST(Q$3,$CU22,0.3*$CU22,TRUE)-_xlfn.NORM.DIST(Q$30,$CU22,0.3*$CU22,TRUE))+$CS22*(_xlfn.NORM.DIST(Q$3,$CV22,0.3*$CV22,TRUE)-_xlfn.NORM.DIST(Q$30,$CV22,0.3*$CV22,TRUE))),""),IF($C22&gt;0,summary!$C$10/28.8/0.947817,""))</f>
        <v/>
      </c>
      <c r="R51">
        <f t="array" ref="R51">IF($D22,IFERROR((SUMPRODUCT((economics!$AG$2:$AG$167=$B51)*(economics!$D$2:$D$167="whr")*economics!$AH$2:$AH$167*(_xlfn.NORM.DIST(R$3,economics!$AK$2:$AK$167,economics!$AJ$2:$AJ$167,TRUE)-_xlfn.NORM.DIST(R$30,economics!$AK$2:$AK$167,economics!$AJ$2:$AJ$167,TRUE))*economics!$AM$2:$AM$167)+$CR22*(_xlfn.NORM.DIST(R$3,$CU22,0.3*$CU22,TRUE)-_xlfn.NORM.DIST(R$30,$CU22,0.3*$CU22,TRUE))*summary!$C$7/28.8/0.947817+$CS22*(_xlfn.NORM.DIST(R$3,$CV22,0.3*$CV22,TRUE)-_xlfn.NORM.DIST(R$30,$CV22,0.3*$CV22,TRUE))*summary!$C$6/28.8/0.947817)/(SUMPRODUCT((economics!$AG$2:$AG$167=$B51)*(economics!$D$2:$D$167="whr")*economics!$AH$2:$AH$167*(_xlfn.NORM.DIST(R$3,economics!$AK$2:$AK$167,economics!$AJ$2:$AJ$167,TRUE)-_xlfn.NORM.DIST(R$30,economics!$AK$2:$AK$167,economics!$AJ$2:$AJ$167,TRUE)))+$CR22*(_xlfn.NORM.DIST(R$3,$CU22,0.3*$CU22,TRUE)-_xlfn.NORM.DIST(R$30,$CU22,0.3*$CU22,TRUE))+$CS22*(_xlfn.NORM.DIST(R$3,$CV22,0.3*$CV22,TRUE)-_xlfn.NORM.DIST(R$30,$CV22,0.3*$CV22,TRUE))),""),IF($C22&gt;0,summary!$C$10/28.8/0.947817,""))</f>
        <v/>
      </c>
      <c r="S51">
        <f t="array" ref="S51">IF($D22,IFERROR((SUMPRODUCT((economics!$AG$2:$AG$167=$B51)*(economics!$D$2:$D$167="whr")*economics!$AH$2:$AH$167*(_xlfn.NORM.DIST(S$3,economics!$AK$2:$AK$167,economics!$AJ$2:$AJ$167,TRUE)-_xlfn.NORM.DIST(S$30,economics!$AK$2:$AK$167,economics!$AJ$2:$AJ$167,TRUE))*economics!$AM$2:$AM$167)+$CR22*(_xlfn.NORM.DIST(S$3,$CU22,0.3*$CU22,TRUE)-_xlfn.NORM.DIST(S$30,$CU22,0.3*$CU22,TRUE))*summary!$C$7/28.8/0.947817+$CS22*(_xlfn.NORM.DIST(S$3,$CV22,0.3*$CV22,TRUE)-_xlfn.NORM.DIST(S$30,$CV22,0.3*$CV22,TRUE))*summary!$C$6/28.8/0.947817)/(SUMPRODUCT((economics!$AG$2:$AG$167=$B51)*(economics!$D$2:$D$167="whr")*economics!$AH$2:$AH$167*(_xlfn.NORM.DIST(S$3,economics!$AK$2:$AK$167,economics!$AJ$2:$AJ$167,TRUE)-_xlfn.NORM.DIST(S$30,economics!$AK$2:$AK$167,economics!$AJ$2:$AJ$167,TRUE)))+$CR22*(_xlfn.NORM.DIST(S$3,$CU22,0.3*$CU22,TRUE)-_xlfn.NORM.DIST(S$30,$CU22,0.3*$CU22,TRUE))+$CS22*(_xlfn.NORM.DIST(S$3,$CV22,0.3*$CV22,TRUE)-_xlfn.NORM.DIST(S$30,$CV22,0.3*$CV22,TRUE))),""),IF($C22&gt;0,summary!$C$10/28.8/0.947817,""))</f>
        <v/>
      </c>
      <c r="T51">
        <f t="array" ref="T51">IF($D22,IFERROR((SUMPRODUCT((economics!$AG$2:$AG$167=$B51)*(economics!$D$2:$D$167="whr")*economics!$AH$2:$AH$167*(_xlfn.NORM.DIST(T$3,economics!$AK$2:$AK$167,economics!$AJ$2:$AJ$167,TRUE)-_xlfn.NORM.DIST(T$30,economics!$AK$2:$AK$167,economics!$AJ$2:$AJ$167,TRUE))*economics!$AM$2:$AM$167)+$CR22*(_xlfn.NORM.DIST(T$3,$CU22,0.3*$CU22,TRUE)-_xlfn.NORM.DIST(T$30,$CU22,0.3*$CU22,TRUE))*summary!$C$7/28.8/0.947817+$CS22*(_xlfn.NORM.DIST(T$3,$CV22,0.3*$CV22,TRUE)-_xlfn.NORM.DIST(T$30,$CV22,0.3*$CV22,TRUE))*summary!$C$6/28.8/0.947817)/(SUMPRODUCT((economics!$AG$2:$AG$167=$B51)*(economics!$D$2:$D$167="whr")*economics!$AH$2:$AH$167*(_xlfn.NORM.DIST(T$3,economics!$AK$2:$AK$167,economics!$AJ$2:$AJ$167,TRUE)-_xlfn.NORM.DIST(T$30,economics!$AK$2:$AK$167,economics!$AJ$2:$AJ$167,TRUE)))+$CR22*(_xlfn.NORM.DIST(T$3,$CU22,0.3*$CU22,TRUE)-_xlfn.NORM.DIST(T$30,$CU22,0.3*$CU22,TRUE))+$CS22*(_xlfn.NORM.DIST(T$3,$CV22,0.3*$CV22,TRUE)-_xlfn.NORM.DIST(T$30,$CV22,0.3*$CV22,TRUE))),""),IF($C22&gt;0,summary!$C$10/28.8/0.947817,""))</f>
        <v/>
      </c>
      <c r="U51">
        <f t="array" ref="U51">IF($D22,IFERROR((SUMPRODUCT((economics!$AG$2:$AG$167=$B51)*(economics!$D$2:$D$167="whr")*economics!$AH$2:$AH$167*(_xlfn.NORM.DIST(U$3,economics!$AK$2:$AK$167,economics!$AJ$2:$AJ$167,TRUE)-_xlfn.NORM.DIST(U$30,economics!$AK$2:$AK$167,economics!$AJ$2:$AJ$167,TRUE))*economics!$AM$2:$AM$167)+$CR22*(_xlfn.NORM.DIST(U$3,$CU22,0.3*$CU22,TRUE)-_xlfn.NORM.DIST(U$30,$CU22,0.3*$CU22,TRUE))*summary!$C$7/28.8/0.947817+$CS22*(_xlfn.NORM.DIST(U$3,$CV22,0.3*$CV22,TRUE)-_xlfn.NORM.DIST(U$30,$CV22,0.3*$CV22,TRUE))*summary!$C$6/28.8/0.947817)/(SUMPRODUCT((economics!$AG$2:$AG$167=$B51)*(economics!$D$2:$D$167="whr")*economics!$AH$2:$AH$167*(_xlfn.NORM.DIST(U$3,economics!$AK$2:$AK$167,economics!$AJ$2:$AJ$167,TRUE)-_xlfn.NORM.DIST(U$30,economics!$AK$2:$AK$167,economics!$AJ$2:$AJ$167,TRUE)))+$CR22*(_xlfn.NORM.DIST(U$3,$CU22,0.3*$CU22,TRUE)-_xlfn.NORM.DIST(U$30,$CU22,0.3*$CU22,TRUE))+$CS22*(_xlfn.NORM.DIST(U$3,$CV22,0.3*$CV22,TRUE)-_xlfn.NORM.DIST(U$30,$CV22,0.3*$CV22,TRUE))),""),IF($C22&gt;0,summary!$C$10/28.8/0.947817,""))</f>
        <v/>
      </c>
      <c r="V51">
        <f t="array" ref="V51">IF($D22,IFERROR((SUMPRODUCT((economics!$AG$2:$AG$167=$B51)*(economics!$D$2:$D$167="whr")*economics!$AH$2:$AH$167*(_xlfn.NORM.DIST(V$3,economics!$AK$2:$AK$167,economics!$AJ$2:$AJ$167,TRUE)-_xlfn.NORM.DIST(V$30,economics!$AK$2:$AK$167,economics!$AJ$2:$AJ$167,TRUE))*economics!$AM$2:$AM$167)+$CR22*(_xlfn.NORM.DIST(V$3,$CU22,0.3*$CU22,TRUE)-_xlfn.NORM.DIST(V$30,$CU22,0.3*$CU22,TRUE))*summary!$C$7/28.8/0.947817+$CS22*(_xlfn.NORM.DIST(V$3,$CV22,0.3*$CV22,TRUE)-_xlfn.NORM.DIST(V$30,$CV22,0.3*$CV22,TRUE))*summary!$C$6/28.8/0.947817)/(SUMPRODUCT((economics!$AG$2:$AG$167=$B51)*(economics!$D$2:$D$167="whr")*economics!$AH$2:$AH$167*(_xlfn.NORM.DIST(V$3,economics!$AK$2:$AK$167,economics!$AJ$2:$AJ$167,TRUE)-_xlfn.NORM.DIST(V$30,economics!$AK$2:$AK$167,economics!$AJ$2:$AJ$167,TRUE)))+$CR22*(_xlfn.NORM.DIST(V$3,$CU22,0.3*$CU22,TRUE)-_xlfn.NORM.DIST(V$30,$CU22,0.3*$CU22,TRUE))+$CS22*(_xlfn.NORM.DIST(V$3,$CV22,0.3*$CV22,TRUE)-_xlfn.NORM.DIST(V$30,$CV22,0.3*$CV22,TRUE))),""),IF($C22&gt;0,summary!$C$10/28.8/0.947817,""))</f>
        <v/>
      </c>
      <c r="W51">
        <f t="array" ref="W51">IF($D22,IFERROR((SUMPRODUCT((economics!$AG$2:$AG$167=$B51)*(economics!$D$2:$D$167="whr")*economics!$AH$2:$AH$167*(_xlfn.NORM.DIST(W$3,economics!$AK$2:$AK$167,economics!$AJ$2:$AJ$167,TRUE)-_xlfn.NORM.DIST(W$30,economics!$AK$2:$AK$167,economics!$AJ$2:$AJ$167,TRUE))*economics!$AM$2:$AM$167)+$CR22*(_xlfn.NORM.DIST(W$3,$CU22,0.3*$CU22,TRUE)-_xlfn.NORM.DIST(W$30,$CU22,0.3*$CU22,TRUE))*summary!$C$7/28.8/0.947817+$CS22*(_xlfn.NORM.DIST(W$3,$CV22,0.3*$CV22,TRUE)-_xlfn.NORM.DIST(W$30,$CV22,0.3*$CV22,TRUE))*summary!$C$6/28.8/0.947817)/(SUMPRODUCT((economics!$AG$2:$AG$167=$B51)*(economics!$D$2:$D$167="whr")*economics!$AH$2:$AH$167*(_xlfn.NORM.DIST(W$3,economics!$AK$2:$AK$167,economics!$AJ$2:$AJ$167,TRUE)-_xlfn.NORM.DIST(W$30,economics!$AK$2:$AK$167,economics!$AJ$2:$AJ$167,TRUE)))+$CR22*(_xlfn.NORM.DIST(W$3,$CU22,0.3*$CU22,TRUE)-_xlfn.NORM.DIST(W$30,$CU22,0.3*$CU22,TRUE))+$CS22*(_xlfn.NORM.DIST(W$3,$CV22,0.3*$CV22,TRUE)-_xlfn.NORM.DIST(W$30,$CV22,0.3*$CV22,TRUE))),""),IF($C22&gt;0,summary!$C$10/28.8/0.947817,""))</f>
        <v/>
      </c>
      <c r="X51">
        <f t="array" ref="X51">IF($D22,IFERROR((SUMPRODUCT((economics!$AG$2:$AG$167=$B51)*(economics!$D$2:$D$167="whr")*economics!$AH$2:$AH$167*(_xlfn.NORM.DIST(X$3,economics!$AK$2:$AK$167,economics!$AJ$2:$AJ$167,TRUE)-_xlfn.NORM.DIST(X$30,economics!$AK$2:$AK$167,economics!$AJ$2:$AJ$167,TRUE))*economics!$AM$2:$AM$167)+$CR22*(_xlfn.NORM.DIST(X$3,$CU22,0.3*$CU22,TRUE)-_xlfn.NORM.DIST(X$30,$CU22,0.3*$CU22,TRUE))*summary!$C$7/28.8/0.947817+$CS22*(_xlfn.NORM.DIST(X$3,$CV22,0.3*$CV22,TRUE)-_xlfn.NORM.DIST(X$30,$CV22,0.3*$CV22,TRUE))*summary!$C$6/28.8/0.947817)/(SUMPRODUCT((economics!$AG$2:$AG$167=$B51)*(economics!$D$2:$D$167="whr")*economics!$AH$2:$AH$167*(_xlfn.NORM.DIST(X$3,economics!$AK$2:$AK$167,economics!$AJ$2:$AJ$167,TRUE)-_xlfn.NORM.DIST(X$30,economics!$AK$2:$AK$167,economics!$AJ$2:$AJ$167,TRUE)))+$CR22*(_xlfn.NORM.DIST(X$3,$CU22,0.3*$CU22,TRUE)-_xlfn.NORM.DIST(X$30,$CU22,0.3*$CU22,TRUE))+$CS22*(_xlfn.NORM.DIST(X$3,$CV22,0.3*$CV22,TRUE)-_xlfn.NORM.DIST(X$30,$CV22,0.3*$CV22,TRUE))),""),IF($C22&gt;0,summary!$C$10/28.8/0.947817,""))</f>
        <v/>
      </c>
      <c r="Y51">
        <f t="array" ref="Y51">IF($D22,IFERROR((SUMPRODUCT((economics!$AG$2:$AG$167=$B51)*(economics!$D$2:$D$167="whr")*economics!$AH$2:$AH$167*(_xlfn.NORM.DIST(Y$3,economics!$AK$2:$AK$167,economics!$AJ$2:$AJ$167,TRUE)-_xlfn.NORM.DIST(Y$30,economics!$AK$2:$AK$167,economics!$AJ$2:$AJ$167,TRUE))*economics!$AM$2:$AM$167)+$CR22*(_xlfn.NORM.DIST(Y$3,$CU22,0.3*$CU22,TRUE)-_xlfn.NORM.DIST(Y$30,$CU22,0.3*$CU22,TRUE))*summary!$C$7/28.8/0.947817+$CS22*(_xlfn.NORM.DIST(Y$3,$CV22,0.3*$CV22,TRUE)-_xlfn.NORM.DIST(Y$30,$CV22,0.3*$CV22,TRUE))*summary!$C$6/28.8/0.947817)/(SUMPRODUCT((economics!$AG$2:$AG$167=$B51)*(economics!$D$2:$D$167="whr")*economics!$AH$2:$AH$167*(_xlfn.NORM.DIST(Y$3,economics!$AK$2:$AK$167,economics!$AJ$2:$AJ$167,TRUE)-_xlfn.NORM.DIST(Y$30,economics!$AK$2:$AK$167,economics!$AJ$2:$AJ$167,TRUE)))+$CR22*(_xlfn.NORM.DIST(Y$3,$CU22,0.3*$CU22,TRUE)-_xlfn.NORM.DIST(Y$30,$CU22,0.3*$CU22,TRUE))+$CS22*(_xlfn.NORM.DIST(Y$3,$CV22,0.3*$CV22,TRUE)-_xlfn.NORM.DIST(Y$30,$CV22,0.3*$CV22,TRUE))),""),IF($C22&gt;0,summary!$C$10/28.8/0.947817,""))</f>
        <v/>
      </c>
      <c r="Z51">
        <f t="array" ref="Z51">IF($D22,IFERROR((SUMPRODUCT((economics!$AG$2:$AG$167=$B51)*(economics!$D$2:$D$167="whr")*economics!$AH$2:$AH$167*(_xlfn.NORM.DIST(Z$3,economics!$AK$2:$AK$167,economics!$AJ$2:$AJ$167,TRUE)-_xlfn.NORM.DIST(Z$30,economics!$AK$2:$AK$167,economics!$AJ$2:$AJ$167,TRUE))*economics!$AM$2:$AM$167)+$CR22*(_xlfn.NORM.DIST(Z$3,$CU22,0.3*$CU22,TRUE)-_xlfn.NORM.DIST(Z$30,$CU22,0.3*$CU22,TRUE))*summary!$C$7/28.8/0.947817+$CS22*(_xlfn.NORM.DIST(Z$3,$CV22,0.3*$CV22,TRUE)-_xlfn.NORM.DIST(Z$30,$CV22,0.3*$CV22,TRUE))*summary!$C$6/28.8/0.947817)/(SUMPRODUCT((economics!$AG$2:$AG$167=$B51)*(economics!$D$2:$D$167="whr")*economics!$AH$2:$AH$167*(_xlfn.NORM.DIST(Z$3,economics!$AK$2:$AK$167,economics!$AJ$2:$AJ$167,TRUE)-_xlfn.NORM.DIST(Z$30,economics!$AK$2:$AK$167,economics!$AJ$2:$AJ$167,TRUE)))+$CR22*(_xlfn.NORM.DIST(Z$3,$CU22,0.3*$CU22,TRUE)-_xlfn.NORM.DIST(Z$30,$CU22,0.3*$CU22,TRUE))+$CS22*(_xlfn.NORM.DIST(Z$3,$CV22,0.3*$CV22,TRUE)-_xlfn.NORM.DIST(Z$30,$CV22,0.3*$CV22,TRUE))),""),IF($C22&gt;0,summary!$C$10/28.8/0.947817,""))</f>
        <v/>
      </c>
      <c r="AA51">
        <f t="array" ref="AA51">IF($D22,IFERROR((SUMPRODUCT((economics!$AG$2:$AG$167=$B51)*(economics!$D$2:$D$167="whr")*economics!$AH$2:$AH$167*(_xlfn.NORM.DIST(AA$3,economics!$AK$2:$AK$167,economics!$AJ$2:$AJ$167,TRUE)-_xlfn.NORM.DIST(AA$30,economics!$AK$2:$AK$167,economics!$AJ$2:$AJ$167,TRUE))*economics!$AM$2:$AM$167)+$CR22*(_xlfn.NORM.DIST(AA$3,$CU22,0.3*$CU22,TRUE)-_xlfn.NORM.DIST(AA$30,$CU22,0.3*$CU22,TRUE))*summary!$C$7/28.8/0.947817+$CS22*(_xlfn.NORM.DIST(AA$3,$CV22,0.3*$CV22,TRUE)-_xlfn.NORM.DIST(AA$30,$CV22,0.3*$CV22,TRUE))*summary!$C$6/28.8/0.947817)/(SUMPRODUCT((economics!$AG$2:$AG$167=$B51)*(economics!$D$2:$D$167="whr")*economics!$AH$2:$AH$167*(_xlfn.NORM.DIST(AA$3,economics!$AK$2:$AK$167,economics!$AJ$2:$AJ$167,TRUE)-_xlfn.NORM.DIST(AA$30,economics!$AK$2:$AK$167,economics!$AJ$2:$AJ$167,TRUE)))+$CR22*(_xlfn.NORM.DIST(AA$3,$CU22,0.3*$CU22,TRUE)-_xlfn.NORM.DIST(AA$30,$CU22,0.3*$CU22,TRUE))+$CS22*(_xlfn.NORM.DIST(AA$3,$CV22,0.3*$CV22,TRUE)-_xlfn.NORM.DIST(AA$30,$CV22,0.3*$CV22,TRUE))),""),IF($C22&gt;0,summary!$C$10/28.8/0.947817,""))</f>
        <v/>
      </c>
      <c r="AB51">
        <f t="array" ref="AB51">IF($D22,IFERROR((SUMPRODUCT((economics!$AG$2:$AG$167=$B51)*(economics!$D$2:$D$167="whr")*economics!$AH$2:$AH$167*(_xlfn.NORM.DIST(AB$3,economics!$AK$2:$AK$167,economics!$AJ$2:$AJ$167,TRUE)-_xlfn.NORM.DIST(AB$30,economics!$AK$2:$AK$167,economics!$AJ$2:$AJ$167,TRUE))*economics!$AM$2:$AM$167)+$CR22*(_xlfn.NORM.DIST(AB$3,$CU22,0.3*$CU22,TRUE)-_xlfn.NORM.DIST(AB$30,$CU22,0.3*$CU22,TRUE))*summary!$C$7/28.8/0.947817+$CS22*(_xlfn.NORM.DIST(AB$3,$CV22,0.3*$CV22,TRUE)-_xlfn.NORM.DIST(AB$30,$CV22,0.3*$CV22,TRUE))*summary!$C$6/28.8/0.947817)/(SUMPRODUCT((economics!$AG$2:$AG$167=$B51)*(economics!$D$2:$D$167="whr")*economics!$AH$2:$AH$167*(_xlfn.NORM.DIST(AB$3,economics!$AK$2:$AK$167,economics!$AJ$2:$AJ$167,TRUE)-_xlfn.NORM.DIST(AB$30,economics!$AK$2:$AK$167,economics!$AJ$2:$AJ$167,TRUE)))+$CR22*(_xlfn.NORM.DIST(AB$3,$CU22,0.3*$CU22,TRUE)-_xlfn.NORM.DIST(AB$30,$CU22,0.3*$CU22,TRUE))+$CS22*(_xlfn.NORM.DIST(AB$3,$CV22,0.3*$CV22,TRUE)-_xlfn.NORM.DIST(AB$30,$CV22,0.3*$CV22,TRUE))),""),IF($C22&gt;0,summary!$C$10/28.8/0.947817,""))</f>
        <v/>
      </c>
      <c r="AC51">
        <f t="array" ref="AC51">IF($D22,IFERROR((SUMPRODUCT((economics!$AG$2:$AG$167=$B51)*(economics!$D$2:$D$167="whr")*economics!$AH$2:$AH$167*(_xlfn.NORM.DIST(AC$3,economics!$AK$2:$AK$167,economics!$AJ$2:$AJ$167,TRUE)-_xlfn.NORM.DIST(AC$30,economics!$AK$2:$AK$167,economics!$AJ$2:$AJ$167,TRUE))*economics!$AM$2:$AM$167)+$CR22*(_xlfn.NORM.DIST(AC$3,$CU22,0.3*$CU22,TRUE)-_xlfn.NORM.DIST(AC$30,$CU22,0.3*$CU22,TRUE))*summary!$C$7/28.8/0.947817+$CS22*(_xlfn.NORM.DIST(AC$3,$CV22,0.3*$CV22,TRUE)-_xlfn.NORM.DIST(AC$30,$CV22,0.3*$CV22,TRUE))*summary!$C$6/28.8/0.947817)/(SUMPRODUCT((economics!$AG$2:$AG$167=$B51)*(economics!$D$2:$D$167="whr")*economics!$AH$2:$AH$167*(_xlfn.NORM.DIST(AC$3,economics!$AK$2:$AK$167,economics!$AJ$2:$AJ$167,TRUE)-_xlfn.NORM.DIST(AC$30,economics!$AK$2:$AK$167,economics!$AJ$2:$AJ$167,TRUE)))+$CR22*(_xlfn.NORM.DIST(AC$3,$CU22,0.3*$CU22,TRUE)-_xlfn.NORM.DIST(AC$30,$CU22,0.3*$CU22,TRUE))+$CS22*(_xlfn.NORM.DIST(AC$3,$CV22,0.3*$CV22,TRUE)-_xlfn.NORM.DIST(AC$30,$CV22,0.3*$CV22,TRUE))),""),IF($C22&gt;0,summary!$C$10/28.8/0.947817,""))</f>
        <v/>
      </c>
      <c r="AD51">
        <f t="array" ref="AD51">IF($D22,IFERROR((SUMPRODUCT((economics!$AG$2:$AG$167=$B51)*(economics!$D$2:$D$167="whr")*economics!$AH$2:$AH$167*(_xlfn.NORM.DIST(AD$3,economics!$AK$2:$AK$167,economics!$AJ$2:$AJ$167,TRUE)-_xlfn.NORM.DIST(AD$30,economics!$AK$2:$AK$167,economics!$AJ$2:$AJ$167,TRUE))*economics!$AM$2:$AM$167)+$CR22*(_xlfn.NORM.DIST(AD$3,$CU22,0.3*$CU22,TRUE)-_xlfn.NORM.DIST(AD$30,$CU22,0.3*$CU22,TRUE))*summary!$C$7/28.8/0.947817+$CS22*(_xlfn.NORM.DIST(AD$3,$CV22,0.3*$CV22,TRUE)-_xlfn.NORM.DIST(AD$30,$CV22,0.3*$CV22,TRUE))*summary!$C$6/28.8/0.947817)/(SUMPRODUCT((economics!$AG$2:$AG$167=$B51)*(economics!$D$2:$D$167="whr")*economics!$AH$2:$AH$167*(_xlfn.NORM.DIST(AD$3,economics!$AK$2:$AK$167,economics!$AJ$2:$AJ$167,TRUE)-_xlfn.NORM.DIST(AD$30,economics!$AK$2:$AK$167,economics!$AJ$2:$AJ$167,TRUE)))+$CR22*(_xlfn.NORM.DIST(AD$3,$CU22,0.3*$CU22,TRUE)-_xlfn.NORM.DIST(AD$30,$CU22,0.3*$CU22,TRUE))+$CS22*(_xlfn.NORM.DIST(AD$3,$CV22,0.3*$CV22,TRUE)-_xlfn.NORM.DIST(AD$30,$CV22,0.3*$CV22,TRUE))),""),IF($C22&gt;0,summary!$C$10/28.8/0.947817,""))</f>
        <v/>
      </c>
      <c r="AE51">
        <f t="array" ref="AE51">IF($D22,IFERROR((SUMPRODUCT((economics!$AG$2:$AG$167=$B51)*(economics!$D$2:$D$167="whr")*economics!$AH$2:$AH$167*(_xlfn.NORM.DIST(AE$3,economics!$AK$2:$AK$167,economics!$AJ$2:$AJ$167,TRUE)-_xlfn.NORM.DIST(AE$30,economics!$AK$2:$AK$167,economics!$AJ$2:$AJ$167,TRUE))*economics!$AM$2:$AM$167)+$CR22*(_xlfn.NORM.DIST(AE$3,$CU22,0.3*$CU22,TRUE)-_xlfn.NORM.DIST(AE$30,$CU22,0.3*$CU22,TRUE))*summary!$C$7/28.8/0.947817+$CS22*(_xlfn.NORM.DIST(AE$3,$CV22,0.3*$CV22,TRUE)-_xlfn.NORM.DIST(AE$30,$CV22,0.3*$CV22,TRUE))*summary!$C$6/28.8/0.947817)/(SUMPRODUCT((economics!$AG$2:$AG$167=$B51)*(economics!$D$2:$D$167="whr")*economics!$AH$2:$AH$167*(_xlfn.NORM.DIST(AE$3,economics!$AK$2:$AK$167,economics!$AJ$2:$AJ$167,TRUE)-_xlfn.NORM.DIST(AE$30,economics!$AK$2:$AK$167,economics!$AJ$2:$AJ$167,TRUE)))+$CR22*(_xlfn.NORM.DIST(AE$3,$CU22,0.3*$CU22,TRUE)-_xlfn.NORM.DIST(AE$30,$CU22,0.3*$CU22,TRUE))+$CS22*(_xlfn.NORM.DIST(AE$3,$CV22,0.3*$CV22,TRUE)-_xlfn.NORM.DIST(AE$30,$CV22,0.3*$CV22,TRUE))),""),IF($C22&gt;0,summary!$C$10/28.8/0.947817,""))</f>
        <v/>
      </c>
      <c r="AF51">
        <f t="array" ref="AF51">IF($D22,IFERROR((SUMPRODUCT((economics!$AG$2:$AG$167=$B51)*(economics!$D$2:$D$167="whr")*economics!$AH$2:$AH$167*(_xlfn.NORM.DIST(AF$3,economics!$AK$2:$AK$167,economics!$AJ$2:$AJ$167,TRUE)-_xlfn.NORM.DIST(AF$30,economics!$AK$2:$AK$167,economics!$AJ$2:$AJ$167,TRUE))*economics!$AM$2:$AM$167)+$CR22*(_xlfn.NORM.DIST(AF$3,$CU22,0.3*$CU22,TRUE)-_xlfn.NORM.DIST(AF$30,$CU22,0.3*$CU22,TRUE))*summary!$C$7/28.8/0.947817+$CS22*(_xlfn.NORM.DIST(AF$3,$CV22,0.3*$CV22,TRUE)-_xlfn.NORM.DIST(AF$30,$CV22,0.3*$CV22,TRUE))*summary!$C$6/28.8/0.947817)/(SUMPRODUCT((economics!$AG$2:$AG$167=$B51)*(economics!$D$2:$D$167="whr")*economics!$AH$2:$AH$167*(_xlfn.NORM.DIST(AF$3,economics!$AK$2:$AK$167,economics!$AJ$2:$AJ$167,TRUE)-_xlfn.NORM.DIST(AF$30,economics!$AK$2:$AK$167,economics!$AJ$2:$AJ$167,TRUE)))+$CR22*(_xlfn.NORM.DIST(AF$3,$CU22,0.3*$CU22,TRUE)-_xlfn.NORM.DIST(AF$30,$CU22,0.3*$CU22,TRUE))+$CS22*(_xlfn.NORM.DIST(AF$3,$CV22,0.3*$CV22,TRUE)-_xlfn.NORM.DIST(AF$30,$CV22,0.3*$CV22,TRUE))),""),IF($C22&gt;0,summary!$C$10/28.8/0.947817,""))</f>
        <v/>
      </c>
      <c r="AG51">
        <f t="array" ref="AG51">IF($D22,IFERROR((SUMPRODUCT((economics!$AG$2:$AG$167=$B51)*(economics!$D$2:$D$167="whr")*economics!$AH$2:$AH$167*(_xlfn.NORM.DIST(AG$3,economics!$AK$2:$AK$167,economics!$AJ$2:$AJ$167,TRUE)-_xlfn.NORM.DIST(AG$30,economics!$AK$2:$AK$167,economics!$AJ$2:$AJ$167,TRUE))*economics!$AM$2:$AM$167)+$CR22*(_xlfn.NORM.DIST(AG$3,$CU22,0.3*$CU22,TRUE)-_xlfn.NORM.DIST(AG$30,$CU22,0.3*$CU22,TRUE))*summary!$C$7/28.8/0.947817+$CS22*(_xlfn.NORM.DIST(AG$3,$CV22,0.3*$CV22,TRUE)-_xlfn.NORM.DIST(AG$30,$CV22,0.3*$CV22,TRUE))*summary!$C$6/28.8/0.947817)/(SUMPRODUCT((economics!$AG$2:$AG$167=$B51)*(economics!$D$2:$D$167="whr")*economics!$AH$2:$AH$167*(_xlfn.NORM.DIST(AG$3,economics!$AK$2:$AK$167,economics!$AJ$2:$AJ$167,TRUE)-_xlfn.NORM.DIST(AG$30,economics!$AK$2:$AK$167,economics!$AJ$2:$AJ$167,TRUE)))+$CR22*(_xlfn.NORM.DIST(AG$3,$CU22,0.3*$CU22,TRUE)-_xlfn.NORM.DIST(AG$30,$CU22,0.3*$CU22,TRUE))+$CS22*(_xlfn.NORM.DIST(AG$3,$CV22,0.3*$CV22,TRUE)-_xlfn.NORM.DIST(AG$30,$CV22,0.3*$CV22,TRUE))),""),IF($C22&gt;0,summary!$C$10/28.8/0.947817,""))</f>
        <v/>
      </c>
      <c r="AH51">
        <f t="array" ref="AH51">IF($D22,IFERROR((SUMPRODUCT((economics!$AG$2:$AG$167=$B51)*(economics!$D$2:$D$167="whr")*economics!$AH$2:$AH$167*(_xlfn.NORM.DIST(AH$3,economics!$AK$2:$AK$167,economics!$AJ$2:$AJ$167,TRUE)-_xlfn.NORM.DIST(AH$30,economics!$AK$2:$AK$167,economics!$AJ$2:$AJ$167,TRUE))*economics!$AM$2:$AM$167)+$CR22*(_xlfn.NORM.DIST(AH$3,$CU22,0.3*$CU22,TRUE)-_xlfn.NORM.DIST(AH$30,$CU22,0.3*$CU22,TRUE))*summary!$C$7/28.8/0.947817+$CS22*(_xlfn.NORM.DIST(AH$3,$CV22,0.3*$CV22,TRUE)-_xlfn.NORM.DIST(AH$30,$CV22,0.3*$CV22,TRUE))*summary!$C$6/28.8/0.947817)/(SUMPRODUCT((economics!$AG$2:$AG$167=$B51)*(economics!$D$2:$D$167="whr")*economics!$AH$2:$AH$167*(_xlfn.NORM.DIST(AH$3,economics!$AK$2:$AK$167,economics!$AJ$2:$AJ$167,TRUE)-_xlfn.NORM.DIST(AH$30,economics!$AK$2:$AK$167,economics!$AJ$2:$AJ$167,TRUE)))+$CR22*(_xlfn.NORM.DIST(AH$3,$CU22,0.3*$CU22,TRUE)-_xlfn.NORM.DIST(AH$30,$CU22,0.3*$CU22,TRUE))+$CS22*(_xlfn.NORM.DIST(AH$3,$CV22,0.3*$CV22,TRUE)-_xlfn.NORM.DIST(AH$30,$CV22,0.3*$CV22,TRUE))),""),IF($C22&gt;0,summary!$C$10/28.8/0.947817,""))</f>
        <v/>
      </c>
      <c r="AI51">
        <f t="array" ref="AI51">IF($D22,IFERROR((SUMPRODUCT((economics!$AG$2:$AG$167=$B51)*(economics!$D$2:$D$167="whr")*economics!$AH$2:$AH$167*(_xlfn.NORM.DIST(AI$3,economics!$AK$2:$AK$167,economics!$AJ$2:$AJ$167,TRUE)-_xlfn.NORM.DIST(AI$30,economics!$AK$2:$AK$167,economics!$AJ$2:$AJ$167,TRUE))*economics!$AM$2:$AM$167)+$CR22*(_xlfn.NORM.DIST(AI$3,$CU22,0.3*$CU22,TRUE)-_xlfn.NORM.DIST(AI$30,$CU22,0.3*$CU22,TRUE))*summary!$C$7/28.8/0.947817+$CS22*(_xlfn.NORM.DIST(AI$3,$CV22,0.3*$CV22,TRUE)-_xlfn.NORM.DIST(AI$30,$CV22,0.3*$CV22,TRUE))*summary!$C$6/28.8/0.947817)/(SUMPRODUCT((economics!$AG$2:$AG$167=$B51)*(economics!$D$2:$D$167="whr")*economics!$AH$2:$AH$167*(_xlfn.NORM.DIST(AI$3,economics!$AK$2:$AK$167,economics!$AJ$2:$AJ$167,TRUE)-_xlfn.NORM.DIST(AI$30,economics!$AK$2:$AK$167,economics!$AJ$2:$AJ$167,TRUE)))+$CR22*(_xlfn.NORM.DIST(AI$3,$CU22,0.3*$CU22,TRUE)-_xlfn.NORM.DIST(AI$30,$CU22,0.3*$CU22,TRUE))+$CS22*(_xlfn.NORM.DIST(AI$3,$CV22,0.3*$CV22,TRUE)-_xlfn.NORM.DIST(AI$30,$CV22,0.3*$CV22,TRUE))),""),IF($C22&gt;0,summary!$C$10/28.8/0.947817,""))</f>
        <v/>
      </c>
      <c r="AJ51">
        <f t="array" ref="AJ51">IF($D22,IFERROR((SUMPRODUCT((economics!$AG$2:$AG$167=$B51)*(economics!$D$2:$D$167="whr")*economics!$AH$2:$AH$167*(_xlfn.NORM.DIST(AJ$3,economics!$AK$2:$AK$167,economics!$AJ$2:$AJ$167,TRUE)-_xlfn.NORM.DIST(AJ$30,economics!$AK$2:$AK$167,economics!$AJ$2:$AJ$167,TRUE))*economics!$AM$2:$AM$167)+$CR22*(_xlfn.NORM.DIST(AJ$3,$CU22,0.3*$CU22,TRUE)-_xlfn.NORM.DIST(AJ$30,$CU22,0.3*$CU22,TRUE))*summary!$C$7/28.8/0.947817+$CS22*(_xlfn.NORM.DIST(AJ$3,$CV22,0.3*$CV22,TRUE)-_xlfn.NORM.DIST(AJ$30,$CV22,0.3*$CV22,TRUE))*summary!$C$6/28.8/0.947817)/(SUMPRODUCT((economics!$AG$2:$AG$167=$B51)*(economics!$D$2:$D$167="whr")*economics!$AH$2:$AH$167*(_xlfn.NORM.DIST(AJ$3,economics!$AK$2:$AK$167,economics!$AJ$2:$AJ$167,TRUE)-_xlfn.NORM.DIST(AJ$30,economics!$AK$2:$AK$167,economics!$AJ$2:$AJ$167,TRUE)))+$CR22*(_xlfn.NORM.DIST(AJ$3,$CU22,0.3*$CU22,TRUE)-_xlfn.NORM.DIST(AJ$30,$CU22,0.3*$CU22,TRUE))+$CS22*(_xlfn.NORM.DIST(AJ$3,$CV22,0.3*$CV22,TRUE)-_xlfn.NORM.DIST(AJ$30,$CV22,0.3*$CV22,TRUE))),""),IF($C22&gt;0,summary!$C$10/28.8/0.947817,""))</f>
        <v/>
      </c>
      <c r="AK51">
        <f t="array" ref="AK51">IF($D22,IFERROR((SUMPRODUCT((economics!$AG$2:$AG$167=$B51)*(economics!$D$2:$D$167="whr")*economics!$AH$2:$AH$167*(_xlfn.NORM.DIST(AK$3,economics!$AK$2:$AK$167,economics!$AJ$2:$AJ$167,TRUE)-_xlfn.NORM.DIST(AK$30,economics!$AK$2:$AK$167,economics!$AJ$2:$AJ$167,TRUE))*economics!$AM$2:$AM$167)+$CR22*(_xlfn.NORM.DIST(AK$3,$CU22,0.3*$CU22,TRUE)-_xlfn.NORM.DIST(AK$30,$CU22,0.3*$CU22,TRUE))*summary!$C$7/28.8/0.947817+$CS22*(_xlfn.NORM.DIST(AK$3,$CV22,0.3*$CV22,TRUE)-_xlfn.NORM.DIST(AK$30,$CV22,0.3*$CV22,TRUE))*summary!$C$6/28.8/0.947817)/(SUMPRODUCT((economics!$AG$2:$AG$167=$B51)*(economics!$D$2:$D$167="whr")*economics!$AH$2:$AH$167*(_xlfn.NORM.DIST(AK$3,economics!$AK$2:$AK$167,economics!$AJ$2:$AJ$167,TRUE)-_xlfn.NORM.DIST(AK$30,economics!$AK$2:$AK$167,economics!$AJ$2:$AJ$167,TRUE)))+$CR22*(_xlfn.NORM.DIST(AK$3,$CU22,0.3*$CU22,TRUE)-_xlfn.NORM.DIST(AK$30,$CU22,0.3*$CU22,TRUE))+$CS22*(_xlfn.NORM.DIST(AK$3,$CV22,0.3*$CV22,TRUE)-_xlfn.NORM.DIST(AK$30,$CV22,0.3*$CV22,TRUE))),""),IF($C22&gt;0,summary!$C$10/28.8/0.947817,""))</f>
        <v/>
      </c>
      <c r="AL51">
        <f t="array" ref="AL51">IF($D22,IFERROR((SUMPRODUCT((economics!$AG$2:$AG$167=$B51)*(economics!$D$2:$D$167="whr")*economics!$AH$2:$AH$167*(_xlfn.NORM.DIST(AL$3,economics!$AK$2:$AK$167,economics!$AJ$2:$AJ$167,TRUE)-_xlfn.NORM.DIST(AL$30,economics!$AK$2:$AK$167,economics!$AJ$2:$AJ$167,TRUE))*economics!$AM$2:$AM$167)+$CR22*(_xlfn.NORM.DIST(AL$3,$CU22,0.3*$CU22,TRUE)-_xlfn.NORM.DIST(AL$30,$CU22,0.3*$CU22,TRUE))*summary!$C$7/28.8/0.947817+$CS22*(_xlfn.NORM.DIST(AL$3,$CV22,0.3*$CV22,TRUE)-_xlfn.NORM.DIST(AL$30,$CV22,0.3*$CV22,TRUE))*summary!$C$6/28.8/0.947817)/(SUMPRODUCT((economics!$AG$2:$AG$167=$B51)*(economics!$D$2:$D$167="whr")*economics!$AH$2:$AH$167*(_xlfn.NORM.DIST(AL$3,economics!$AK$2:$AK$167,economics!$AJ$2:$AJ$167,TRUE)-_xlfn.NORM.DIST(AL$30,economics!$AK$2:$AK$167,economics!$AJ$2:$AJ$167,TRUE)))+$CR22*(_xlfn.NORM.DIST(AL$3,$CU22,0.3*$CU22,TRUE)-_xlfn.NORM.DIST(AL$30,$CU22,0.3*$CU22,TRUE))+$CS22*(_xlfn.NORM.DIST(AL$3,$CV22,0.3*$CV22,TRUE)-_xlfn.NORM.DIST(AL$30,$CV22,0.3*$CV22,TRUE))),""),IF($C22&gt;0,summary!$C$10/28.8/0.947817,""))</f>
        <v/>
      </c>
      <c r="AM51">
        <f t="array" ref="AM51">IF($D22,IFERROR((SUMPRODUCT((economics!$AG$2:$AG$167=$B51)*(economics!$D$2:$D$167="whr")*economics!$AH$2:$AH$167*(_xlfn.NORM.DIST(AM$3,economics!$AK$2:$AK$167,economics!$AJ$2:$AJ$167,TRUE)-_xlfn.NORM.DIST(AM$30,economics!$AK$2:$AK$167,economics!$AJ$2:$AJ$167,TRUE))*economics!$AM$2:$AM$167)+$CR22*(_xlfn.NORM.DIST(AM$3,$CU22,0.3*$CU22,TRUE)-_xlfn.NORM.DIST(AM$30,$CU22,0.3*$CU22,TRUE))*summary!$C$7/28.8/0.947817+$CS22*(_xlfn.NORM.DIST(AM$3,$CV22,0.3*$CV22,TRUE)-_xlfn.NORM.DIST(AM$30,$CV22,0.3*$CV22,TRUE))*summary!$C$6/28.8/0.947817)/(SUMPRODUCT((economics!$AG$2:$AG$167=$B51)*(economics!$D$2:$D$167="whr")*economics!$AH$2:$AH$167*(_xlfn.NORM.DIST(AM$3,economics!$AK$2:$AK$167,economics!$AJ$2:$AJ$167,TRUE)-_xlfn.NORM.DIST(AM$30,economics!$AK$2:$AK$167,economics!$AJ$2:$AJ$167,TRUE)))+$CR22*(_xlfn.NORM.DIST(AM$3,$CU22,0.3*$CU22,TRUE)-_xlfn.NORM.DIST(AM$30,$CU22,0.3*$CU22,TRUE))+$CS22*(_xlfn.NORM.DIST(AM$3,$CV22,0.3*$CV22,TRUE)-_xlfn.NORM.DIST(AM$30,$CV22,0.3*$CV22,TRUE))),""),IF($C22&gt;0,summary!$C$10/28.8/0.947817,""))</f>
        <v/>
      </c>
      <c r="AN51">
        <f t="array" ref="AN51">IF($D22,IFERROR((SUMPRODUCT((economics!$AG$2:$AG$167=$B51)*(economics!$D$2:$D$167="whr")*economics!$AH$2:$AH$167*(_xlfn.NORM.DIST(AN$3,economics!$AK$2:$AK$167,economics!$AJ$2:$AJ$167,TRUE)-_xlfn.NORM.DIST(AN$30,economics!$AK$2:$AK$167,economics!$AJ$2:$AJ$167,TRUE))*economics!$AM$2:$AM$167)+$CR22*(_xlfn.NORM.DIST(AN$3,$CU22,0.3*$CU22,TRUE)-_xlfn.NORM.DIST(AN$30,$CU22,0.3*$CU22,TRUE))*summary!$C$7/28.8/0.947817+$CS22*(_xlfn.NORM.DIST(AN$3,$CV22,0.3*$CV22,TRUE)-_xlfn.NORM.DIST(AN$30,$CV22,0.3*$CV22,TRUE))*summary!$C$6/28.8/0.947817)/(SUMPRODUCT((economics!$AG$2:$AG$167=$B51)*(economics!$D$2:$D$167="whr")*economics!$AH$2:$AH$167*(_xlfn.NORM.DIST(AN$3,economics!$AK$2:$AK$167,economics!$AJ$2:$AJ$167,TRUE)-_xlfn.NORM.DIST(AN$30,economics!$AK$2:$AK$167,economics!$AJ$2:$AJ$167,TRUE)))+$CR22*(_xlfn.NORM.DIST(AN$3,$CU22,0.3*$CU22,TRUE)-_xlfn.NORM.DIST(AN$30,$CU22,0.3*$CU22,TRUE))+$CS22*(_xlfn.NORM.DIST(AN$3,$CV22,0.3*$CV22,TRUE)-_xlfn.NORM.DIST(AN$30,$CV22,0.3*$CV22,TRUE))),""),IF($C22&gt;0,summary!$C$10/28.8/0.947817,""))</f>
        <v/>
      </c>
      <c r="AO51">
        <f t="array" ref="AO51">IF($D22,IFERROR((SUMPRODUCT((economics!$AG$2:$AG$167=$B51)*(economics!$D$2:$D$167="whr")*economics!$AH$2:$AH$167*(_xlfn.NORM.DIST(AO$3,economics!$AK$2:$AK$167,economics!$AJ$2:$AJ$167,TRUE)-_xlfn.NORM.DIST(AO$30,economics!$AK$2:$AK$167,economics!$AJ$2:$AJ$167,TRUE))*economics!$AM$2:$AM$167)+$CR22*(_xlfn.NORM.DIST(AO$3,$CU22,0.3*$CU22,TRUE)-_xlfn.NORM.DIST(AO$30,$CU22,0.3*$CU22,TRUE))*summary!$C$7/28.8/0.947817+$CS22*(_xlfn.NORM.DIST(AO$3,$CV22,0.3*$CV22,TRUE)-_xlfn.NORM.DIST(AO$30,$CV22,0.3*$CV22,TRUE))*summary!$C$6/28.8/0.947817)/(SUMPRODUCT((economics!$AG$2:$AG$167=$B51)*(economics!$D$2:$D$167="whr")*economics!$AH$2:$AH$167*(_xlfn.NORM.DIST(AO$3,economics!$AK$2:$AK$167,economics!$AJ$2:$AJ$167,TRUE)-_xlfn.NORM.DIST(AO$30,economics!$AK$2:$AK$167,economics!$AJ$2:$AJ$167,TRUE)))+$CR22*(_xlfn.NORM.DIST(AO$3,$CU22,0.3*$CU22,TRUE)-_xlfn.NORM.DIST(AO$30,$CU22,0.3*$CU22,TRUE))+$CS22*(_xlfn.NORM.DIST(AO$3,$CV22,0.3*$CV22,TRUE)-_xlfn.NORM.DIST(AO$30,$CV22,0.3*$CV22,TRUE))),""),IF($C22&gt;0,summary!$C$10/28.8/0.947817,""))</f>
        <v/>
      </c>
      <c r="AP51">
        <f t="array" ref="AP51">IF($D22,IFERROR((SUMPRODUCT((economics!$AG$2:$AG$167=$B51)*(economics!$D$2:$D$167="whr")*economics!$AH$2:$AH$167*(_xlfn.NORM.DIST(AP$3,economics!$AK$2:$AK$167,economics!$AJ$2:$AJ$167,TRUE)-_xlfn.NORM.DIST(AP$30,economics!$AK$2:$AK$167,economics!$AJ$2:$AJ$167,TRUE))*economics!$AM$2:$AM$167)+$CR22*(_xlfn.NORM.DIST(AP$3,$CU22,0.3*$CU22,TRUE)-_xlfn.NORM.DIST(AP$30,$CU22,0.3*$CU22,TRUE))*summary!$C$7/28.8/0.947817+$CS22*(_xlfn.NORM.DIST(AP$3,$CV22,0.3*$CV22,TRUE)-_xlfn.NORM.DIST(AP$30,$CV22,0.3*$CV22,TRUE))*summary!$C$6/28.8/0.947817)/(SUMPRODUCT((economics!$AG$2:$AG$167=$B51)*(economics!$D$2:$D$167="whr")*economics!$AH$2:$AH$167*(_xlfn.NORM.DIST(AP$3,economics!$AK$2:$AK$167,economics!$AJ$2:$AJ$167,TRUE)-_xlfn.NORM.DIST(AP$30,economics!$AK$2:$AK$167,economics!$AJ$2:$AJ$167,TRUE)))+$CR22*(_xlfn.NORM.DIST(AP$3,$CU22,0.3*$CU22,TRUE)-_xlfn.NORM.DIST(AP$30,$CU22,0.3*$CU22,TRUE))+$CS22*(_xlfn.NORM.DIST(AP$3,$CV22,0.3*$CV22,TRUE)-_xlfn.NORM.DIST(AP$30,$CV22,0.3*$CV22,TRUE))),""),IF($C22&gt;0,summary!$C$10/28.8/0.947817,""))</f>
        <v/>
      </c>
      <c r="AQ51">
        <f t="array" ref="AQ51">IF($D22,IFERROR((SUMPRODUCT((economics!$AG$2:$AG$167=$B51)*(economics!$D$2:$D$167="whr")*economics!$AH$2:$AH$167*(_xlfn.NORM.DIST(AQ$3,economics!$AK$2:$AK$167,economics!$AJ$2:$AJ$167,TRUE)-_xlfn.NORM.DIST(AQ$30,economics!$AK$2:$AK$167,economics!$AJ$2:$AJ$167,TRUE))*economics!$AM$2:$AM$167)+$CR22*(_xlfn.NORM.DIST(AQ$3,$CU22,0.3*$CU22,TRUE)-_xlfn.NORM.DIST(AQ$30,$CU22,0.3*$CU22,TRUE))*summary!$C$7/28.8/0.947817+$CS22*(_xlfn.NORM.DIST(AQ$3,$CV22,0.3*$CV22,TRUE)-_xlfn.NORM.DIST(AQ$30,$CV22,0.3*$CV22,TRUE))*summary!$C$6/28.8/0.947817)/(SUMPRODUCT((economics!$AG$2:$AG$167=$B51)*(economics!$D$2:$D$167="whr")*economics!$AH$2:$AH$167*(_xlfn.NORM.DIST(AQ$3,economics!$AK$2:$AK$167,economics!$AJ$2:$AJ$167,TRUE)-_xlfn.NORM.DIST(AQ$30,economics!$AK$2:$AK$167,economics!$AJ$2:$AJ$167,TRUE)))+$CR22*(_xlfn.NORM.DIST(AQ$3,$CU22,0.3*$CU22,TRUE)-_xlfn.NORM.DIST(AQ$30,$CU22,0.3*$CU22,TRUE))+$CS22*(_xlfn.NORM.DIST(AQ$3,$CV22,0.3*$CV22,TRUE)-_xlfn.NORM.DIST(AQ$30,$CV22,0.3*$CV22,TRUE))),""),IF($C22&gt;0,summary!$C$10/28.8/0.947817,""))</f>
        <v/>
      </c>
      <c r="AR51">
        <f t="array" ref="AR51">IF($D22,IFERROR((SUMPRODUCT((economics!$AG$2:$AG$167=$B51)*(economics!$D$2:$D$167="whr")*economics!$AH$2:$AH$167*(_xlfn.NORM.DIST(AR$3,economics!$AK$2:$AK$167,economics!$AJ$2:$AJ$167,TRUE)-_xlfn.NORM.DIST(AR$30,economics!$AK$2:$AK$167,economics!$AJ$2:$AJ$167,TRUE))*economics!$AM$2:$AM$167)+$CR22*(_xlfn.NORM.DIST(AR$3,$CU22,0.3*$CU22,TRUE)-_xlfn.NORM.DIST(AR$30,$CU22,0.3*$CU22,TRUE))*summary!$C$7/28.8/0.947817+$CS22*(_xlfn.NORM.DIST(AR$3,$CV22,0.3*$CV22,TRUE)-_xlfn.NORM.DIST(AR$30,$CV22,0.3*$CV22,TRUE))*summary!$C$6/28.8/0.947817)/(SUMPRODUCT((economics!$AG$2:$AG$167=$B51)*(economics!$D$2:$D$167="whr")*economics!$AH$2:$AH$167*(_xlfn.NORM.DIST(AR$3,economics!$AK$2:$AK$167,economics!$AJ$2:$AJ$167,TRUE)-_xlfn.NORM.DIST(AR$30,economics!$AK$2:$AK$167,economics!$AJ$2:$AJ$167,TRUE)))+$CR22*(_xlfn.NORM.DIST(AR$3,$CU22,0.3*$CU22,TRUE)-_xlfn.NORM.DIST(AR$30,$CU22,0.3*$CU22,TRUE))+$CS22*(_xlfn.NORM.DIST(AR$3,$CV22,0.3*$CV22,TRUE)-_xlfn.NORM.DIST(AR$30,$CV22,0.3*$CV22,TRUE))),""),IF($C22&gt;0,summary!$C$10/28.8/0.947817,""))</f>
        <v/>
      </c>
      <c r="AS51">
        <f t="array" ref="AS51">IF($D22,IFERROR((SUMPRODUCT((economics!$AG$2:$AG$167=$B51)*(economics!$D$2:$D$167="whr")*economics!$AH$2:$AH$167*(_xlfn.NORM.DIST(AS$3,economics!$AK$2:$AK$167,economics!$AJ$2:$AJ$167,TRUE)-_xlfn.NORM.DIST(AS$30,economics!$AK$2:$AK$167,economics!$AJ$2:$AJ$167,TRUE))*economics!$AM$2:$AM$167)+$CR22*(_xlfn.NORM.DIST(AS$3,$CU22,0.3*$CU22,TRUE)-_xlfn.NORM.DIST(AS$30,$CU22,0.3*$CU22,TRUE))*summary!$C$7/28.8/0.947817+$CS22*(_xlfn.NORM.DIST(AS$3,$CV22,0.3*$CV22,TRUE)-_xlfn.NORM.DIST(AS$30,$CV22,0.3*$CV22,TRUE))*summary!$C$6/28.8/0.947817)/(SUMPRODUCT((economics!$AG$2:$AG$167=$B51)*(economics!$D$2:$D$167="whr")*economics!$AH$2:$AH$167*(_xlfn.NORM.DIST(AS$3,economics!$AK$2:$AK$167,economics!$AJ$2:$AJ$167,TRUE)-_xlfn.NORM.DIST(AS$30,economics!$AK$2:$AK$167,economics!$AJ$2:$AJ$167,TRUE)))+$CR22*(_xlfn.NORM.DIST(AS$3,$CU22,0.3*$CU22,TRUE)-_xlfn.NORM.DIST(AS$30,$CU22,0.3*$CU22,TRUE))+$CS22*(_xlfn.NORM.DIST(AS$3,$CV22,0.3*$CV22,TRUE)-_xlfn.NORM.DIST(AS$30,$CV22,0.3*$CV22,TRUE))),""),IF($C22&gt;0,summary!$C$10/28.8/0.947817,""))</f>
        <v/>
      </c>
      <c r="AT51">
        <f t="array" ref="AT51">IF($D22,IFERROR((SUMPRODUCT((economics!$AG$2:$AG$167=$B51)*(economics!$D$2:$D$167="whr")*economics!$AH$2:$AH$167*(_xlfn.NORM.DIST(AT$3,economics!$AK$2:$AK$167,economics!$AJ$2:$AJ$167,TRUE)-_xlfn.NORM.DIST(AT$30,economics!$AK$2:$AK$167,economics!$AJ$2:$AJ$167,TRUE))*economics!$AM$2:$AM$167)+$CR22*(_xlfn.NORM.DIST(AT$3,$CU22,0.3*$CU22,TRUE)-_xlfn.NORM.DIST(AT$30,$CU22,0.3*$CU22,TRUE))*summary!$C$7/28.8/0.947817+$CS22*(_xlfn.NORM.DIST(AT$3,$CV22,0.3*$CV22,TRUE)-_xlfn.NORM.DIST(AT$30,$CV22,0.3*$CV22,TRUE))*summary!$C$6/28.8/0.947817)/(SUMPRODUCT((economics!$AG$2:$AG$167=$B51)*(economics!$D$2:$D$167="whr")*economics!$AH$2:$AH$167*(_xlfn.NORM.DIST(AT$3,economics!$AK$2:$AK$167,economics!$AJ$2:$AJ$167,TRUE)-_xlfn.NORM.DIST(AT$30,economics!$AK$2:$AK$167,economics!$AJ$2:$AJ$167,TRUE)))+$CR22*(_xlfn.NORM.DIST(AT$3,$CU22,0.3*$CU22,TRUE)-_xlfn.NORM.DIST(AT$30,$CU22,0.3*$CU22,TRUE))+$CS22*(_xlfn.NORM.DIST(AT$3,$CV22,0.3*$CV22,TRUE)-_xlfn.NORM.DIST(AT$30,$CV22,0.3*$CV22,TRUE))),""),IF($C22&gt;0,summary!$C$10/28.8/0.947817,""))</f>
        <v/>
      </c>
      <c r="AU51">
        <f t="array" ref="AU51">IF($D22,IFERROR((SUMPRODUCT((economics!$AG$2:$AG$167=$B51)*(economics!$D$2:$D$167="whr")*economics!$AH$2:$AH$167*(_xlfn.NORM.DIST(AU$3,economics!$AK$2:$AK$167,economics!$AJ$2:$AJ$167,TRUE)-_xlfn.NORM.DIST(AU$30,economics!$AK$2:$AK$167,economics!$AJ$2:$AJ$167,TRUE))*economics!$AM$2:$AM$167)+$CR22*(_xlfn.NORM.DIST(AU$3,$CU22,0.3*$CU22,TRUE)-_xlfn.NORM.DIST(AU$30,$CU22,0.3*$CU22,TRUE))*summary!$C$7/28.8/0.947817+$CS22*(_xlfn.NORM.DIST(AU$3,$CV22,0.3*$CV22,TRUE)-_xlfn.NORM.DIST(AU$30,$CV22,0.3*$CV22,TRUE))*summary!$C$6/28.8/0.947817)/(SUMPRODUCT((economics!$AG$2:$AG$167=$B51)*(economics!$D$2:$D$167="whr")*economics!$AH$2:$AH$167*(_xlfn.NORM.DIST(AU$3,economics!$AK$2:$AK$167,economics!$AJ$2:$AJ$167,TRUE)-_xlfn.NORM.DIST(AU$30,economics!$AK$2:$AK$167,economics!$AJ$2:$AJ$167,TRUE)))+$CR22*(_xlfn.NORM.DIST(AU$3,$CU22,0.3*$CU22,TRUE)-_xlfn.NORM.DIST(AU$30,$CU22,0.3*$CU22,TRUE))+$CS22*(_xlfn.NORM.DIST(AU$3,$CV22,0.3*$CV22,TRUE)-_xlfn.NORM.DIST(AU$30,$CV22,0.3*$CV22,TRUE))),""),IF($C22&gt;0,summary!$C$10/28.8/0.947817,""))</f>
        <v/>
      </c>
      <c r="AV51">
        <f t="array" ref="AV51">IF($D22,IFERROR((SUMPRODUCT((economics!$AG$2:$AG$167=$B51)*(economics!$D$2:$D$167="whr")*economics!$AH$2:$AH$167*(_xlfn.NORM.DIST(AV$3,economics!$AK$2:$AK$167,economics!$AJ$2:$AJ$167,TRUE)-_xlfn.NORM.DIST(AV$30,economics!$AK$2:$AK$167,economics!$AJ$2:$AJ$167,TRUE))*economics!$AM$2:$AM$167)+$CR22*(_xlfn.NORM.DIST(AV$3,$CU22,0.3*$CU22,TRUE)-_xlfn.NORM.DIST(AV$30,$CU22,0.3*$CU22,TRUE))*summary!$C$7/28.8/0.947817+$CS22*(_xlfn.NORM.DIST(AV$3,$CV22,0.3*$CV22,TRUE)-_xlfn.NORM.DIST(AV$30,$CV22,0.3*$CV22,TRUE))*summary!$C$6/28.8/0.947817)/(SUMPRODUCT((economics!$AG$2:$AG$167=$B51)*(economics!$D$2:$D$167="whr")*economics!$AH$2:$AH$167*(_xlfn.NORM.DIST(AV$3,economics!$AK$2:$AK$167,economics!$AJ$2:$AJ$167,TRUE)-_xlfn.NORM.DIST(AV$30,economics!$AK$2:$AK$167,economics!$AJ$2:$AJ$167,TRUE)))+$CR22*(_xlfn.NORM.DIST(AV$3,$CU22,0.3*$CU22,TRUE)-_xlfn.NORM.DIST(AV$30,$CU22,0.3*$CU22,TRUE))+$CS22*(_xlfn.NORM.DIST(AV$3,$CV22,0.3*$CV22,TRUE)-_xlfn.NORM.DIST(AV$30,$CV22,0.3*$CV22,TRUE))),""),IF($C22&gt;0,summary!$C$10/28.8/0.947817,""))</f>
        <v/>
      </c>
      <c r="AW51">
        <f t="array" ref="AW51">IF($D22,IFERROR((SUMPRODUCT((economics!$AG$2:$AG$167=$B51)*(economics!$D$2:$D$167="whr")*economics!$AH$2:$AH$167*(_xlfn.NORM.DIST(AW$3,economics!$AK$2:$AK$167,economics!$AJ$2:$AJ$167,TRUE)-_xlfn.NORM.DIST(AW$30,economics!$AK$2:$AK$167,economics!$AJ$2:$AJ$167,TRUE))*economics!$AM$2:$AM$167)+$CR22*(_xlfn.NORM.DIST(AW$3,$CU22,0.3*$CU22,TRUE)-_xlfn.NORM.DIST(AW$30,$CU22,0.3*$CU22,TRUE))*summary!$C$7/28.8/0.947817+$CS22*(_xlfn.NORM.DIST(AW$3,$CV22,0.3*$CV22,TRUE)-_xlfn.NORM.DIST(AW$30,$CV22,0.3*$CV22,TRUE))*summary!$C$6/28.8/0.947817)/(SUMPRODUCT((economics!$AG$2:$AG$167=$B51)*(economics!$D$2:$D$167="whr")*economics!$AH$2:$AH$167*(_xlfn.NORM.DIST(AW$3,economics!$AK$2:$AK$167,economics!$AJ$2:$AJ$167,TRUE)-_xlfn.NORM.DIST(AW$30,economics!$AK$2:$AK$167,economics!$AJ$2:$AJ$167,TRUE)))+$CR22*(_xlfn.NORM.DIST(AW$3,$CU22,0.3*$CU22,TRUE)-_xlfn.NORM.DIST(AW$30,$CU22,0.3*$CU22,TRUE))+$CS22*(_xlfn.NORM.DIST(AW$3,$CV22,0.3*$CV22,TRUE)-_xlfn.NORM.DIST(AW$30,$CV22,0.3*$CV22,TRUE))),""),IF($C22&gt;0,summary!$C$10/28.8/0.947817,""))</f>
        <v/>
      </c>
      <c r="AX51">
        <f t="array" ref="AX51">IF($D22,IFERROR((SUMPRODUCT((economics!$AG$2:$AG$167=$B51)*(economics!$D$2:$D$167="whr")*economics!$AH$2:$AH$167*(_xlfn.NORM.DIST(AX$3,economics!$AK$2:$AK$167,economics!$AJ$2:$AJ$167,TRUE)-_xlfn.NORM.DIST(AX$30,economics!$AK$2:$AK$167,economics!$AJ$2:$AJ$167,TRUE))*economics!$AM$2:$AM$167)+$CR22*(_xlfn.NORM.DIST(AX$3,$CU22,0.3*$CU22,TRUE)-_xlfn.NORM.DIST(AX$30,$CU22,0.3*$CU22,TRUE))*summary!$C$7/28.8/0.947817+$CS22*(_xlfn.NORM.DIST(AX$3,$CV22,0.3*$CV22,TRUE)-_xlfn.NORM.DIST(AX$30,$CV22,0.3*$CV22,TRUE))*summary!$C$6/28.8/0.947817)/(SUMPRODUCT((economics!$AG$2:$AG$167=$B51)*(economics!$D$2:$D$167="whr")*economics!$AH$2:$AH$167*(_xlfn.NORM.DIST(AX$3,economics!$AK$2:$AK$167,economics!$AJ$2:$AJ$167,TRUE)-_xlfn.NORM.DIST(AX$30,economics!$AK$2:$AK$167,economics!$AJ$2:$AJ$167,TRUE)))+$CR22*(_xlfn.NORM.DIST(AX$3,$CU22,0.3*$CU22,TRUE)-_xlfn.NORM.DIST(AX$30,$CU22,0.3*$CU22,TRUE))+$CS22*(_xlfn.NORM.DIST(AX$3,$CV22,0.3*$CV22,TRUE)-_xlfn.NORM.DIST(AX$30,$CV22,0.3*$CV22,TRUE))),""),IF($C22&gt;0,summary!$C$10/28.8/0.947817,""))</f>
        <v/>
      </c>
      <c r="AY51">
        <f t="array" ref="AY51">IF($D22,IFERROR((SUMPRODUCT((economics!$AG$2:$AG$167=$B51)*(economics!$D$2:$D$167="whr")*economics!$AH$2:$AH$167*(_xlfn.NORM.DIST(AY$3,economics!$AK$2:$AK$167,economics!$AJ$2:$AJ$167,TRUE)-_xlfn.NORM.DIST(AY$30,economics!$AK$2:$AK$167,economics!$AJ$2:$AJ$167,TRUE))*economics!$AM$2:$AM$167)+$CR22*(_xlfn.NORM.DIST(AY$3,$CU22,0.3*$CU22,TRUE)-_xlfn.NORM.DIST(AY$30,$CU22,0.3*$CU22,TRUE))*summary!$C$7/28.8/0.947817+$CS22*(_xlfn.NORM.DIST(AY$3,$CV22,0.3*$CV22,TRUE)-_xlfn.NORM.DIST(AY$30,$CV22,0.3*$CV22,TRUE))*summary!$C$6/28.8/0.947817)/(SUMPRODUCT((economics!$AG$2:$AG$167=$B51)*(economics!$D$2:$D$167="whr")*economics!$AH$2:$AH$167*(_xlfn.NORM.DIST(AY$3,economics!$AK$2:$AK$167,economics!$AJ$2:$AJ$167,TRUE)-_xlfn.NORM.DIST(AY$30,economics!$AK$2:$AK$167,economics!$AJ$2:$AJ$167,TRUE)))+$CR22*(_xlfn.NORM.DIST(AY$3,$CU22,0.3*$CU22,TRUE)-_xlfn.NORM.DIST(AY$30,$CU22,0.3*$CU22,TRUE))+$CS22*(_xlfn.NORM.DIST(AY$3,$CV22,0.3*$CV22,TRUE)-_xlfn.NORM.DIST(AY$30,$CV22,0.3*$CV22,TRUE))),""),IF($C22&gt;0,summary!$C$10/28.8/0.947817,""))</f>
        <v/>
      </c>
      <c r="AZ51">
        <f t="array" ref="AZ51">IF($D22,IFERROR((SUMPRODUCT((economics!$AG$2:$AG$167=$B51)*(economics!$D$2:$D$167="whr")*economics!$AH$2:$AH$167*(_xlfn.NORM.DIST(AZ$3,economics!$AK$2:$AK$167,economics!$AJ$2:$AJ$167,TRUE)-_xlfn.NORM.DIST(AZ$30,economics!$AK$2:$AK$167,economics!$AJ$2:$AJ$167,TRUE))*economics!$AM$2:$AM$167)+$CR22*(_xlfn.NORM.DIST(AZ$3,$CU22,0.3*$CU22,TRUE)-_xlfn.NORM.DIST(AZ$30,$CU22,0.3*$CU22,TRUE))*summary!$C$7/28.8/0.947817+$CS22*(_xlfn.NORM.DIST(AZ$3,$CV22,0.3*$CV22,TRUE)-_xlfn.NORM.DIST(AZ$30,$CV22,0.3*$CV22,TRUE))*summary!$C$6/28.8/0.947817)/(SUMPRODUCT((economics!$AG$2:$AG$167=$B51)*(economics!$D$2:$D$167="whr")*economics!$AH$2:$AH$167*(_xlfn.NORM.DIST(AZ$3,economics!$AK$2:$AK$167,economics!$AJ$2:$AJ$167,TRUE)-_xlfn.NORM.DIST(AZ$30,economics!$AK$2:$AK$167,economics!$AJ$2:$AJ$167,TRUE)))+$CR22*(_xlfn.NORM.DIST(AZ$3,$CU22,0.3*$CU22,TRUE)-_xlfn.NORM.DIST(AZ$30,$CU22,0.3*$CU22,TRUE))+$CS22*(_xlfn.NORM.DIST(AZ$3,$CV22,0.3*$CV22,TRUE)-_xlfn.NORM.DIST(AZ$30,$CV22,0.3*$CV22,TRUE))),""),IF($C22&gt;0,summary!$C$10/28.8/0.947817,""))</f>
        <v/>
      </c>
      <c r="BA51">
        <f t="array" ref="BA51">IF($D22,IFERROR((SUMPRODUCT((economics!$AG$2:$AG$167=$B51)*(economics!$D$2:$D$167="whr")*economics!$AH$2:$AH$167*(_xlfn.NORM.DIST(BA$3,economics!$AK$2:$AK$167,economics!$AJ$2:$AJ$167,TRUE)-_xlfn.NORM.DIST(BA$30,economics!$AK$2:$AK$167,economics!$AJ$2:$AJ$167,TRUE))*economics!$AM$2:$AM$167)+$CR22*(_xlfn.NORM.DIST(BA$3,$CU22,0.3*$CU22,TRUE)-_xlfn.NORM.DIST(BA$30,$CU22,0.3*$CU22,TRUE))*summary!$C$7/28.8/0.947817+$CS22*(_xlfn.NORM.DIST(BA$3,$CV22,0.3*$CV22,TRUE)-_xlfn.NORM.DIST(BA$30,$CV22,0.3*$CV22,TRUE))*summary!$C$6/28.8/0.947817)/(SUMPRODUCT((economics!$AG$2:$AG$167=$B51)*(economics!$D$2:$D$167="whr")*economics!$AH$2:$AH$167*(_xlfn.NORM.DIST(BA$3,economics!$AK$2:$AK$167,economics!$AJ$2:$AJ$167,TRUE)-_xlfn.NORM.DIST(BA$30,economics!$AK$2:$AK$167,economics!$AJ$2:$AJ$167,TRUE)))+$CR22*(_xlfn.NORM.DIST(BA$3,$CU22,0.3*$CU22,TRUE)-_xlfn.NORM.DIST(BA$30,$CU22,0.3*$CU22,TRUE))+$CS22*(_xlfn.NORM.DIST(BA$3,$CV22,0.3*$CV22,TRUE)-_xlfn.NORM.DIST(BA$30,$CV22,0.3*$CV22,TRUE))),""),IF($C22&gt;0,summary!$C$10/28.8/0.947817,""))</f>
        <v/>
      </c>
      <c r="BB51">
        <f t="array" ref="BB51">IF($D22,IFERROR((SUMPRODUCT((economics!$AG$2:$AG$167=$B51)*(economics!$D$2:$D$167="whr")*economics!$AH$2:$AH$167*(_xlfn.NORM.DIST(BB$3,economics!$AK$2:$AK$167,economics!$AJ$2:$AJ$167,TRUE)-_xlfn.NORM.DIST(BB$30,economics!$AK$2:$AK$167,economics!$AJ$2:$AJ$167,TRUE))*economics!$AM$2:$AM$167)+$CR22*(_xlfn.NORM.DIST(BB$3,$CU22,0.3*$CU22,TRUE)-_xlfn.NORM.DIST(BB$30,$CU22,0.3*$CU22,TRUE))*summary!$C$7/28.8/0.947817+$CS22*(_xlfn.NORM.DIST(BB$3,$CV22,0.3*$CV22,TRUE)-_xlfn.NORM.DIST(BB$30,$CV22,0.3*$CV22,TRUE))*summary!$C$6/28.8/0.947817)/(SUMPRODUCT((economics!$AG$2:$AG$167=$B51)*(economics!$D$2:$D$167="whr")*economics!$AH$2:$AH$167*(_xlfn.NORM.DIST(BB$3,economics!$AK$2:$AK$167,economics!$AJ$2:$AJ$167,TRUE)-_xlfn.NORM.DIST(BB$30,economics!$AK$2:$AK$167,economics!$AJ$2:$AJ$167,TRUE)))+$CR22*(_xlfn.NORM.DIST(BB$3,$CU22,0.3*$CU22,TRUE)-_xlfn.NORM.DIST(BB$30,$CU22,0.3*$CU22,TRUE))+$CS22*(_xlfn.NORM.DIST(BB$3,$CV22,0.3*$CV22,TRUE)-_xlfn.NORM.DIST(BB$30,$CV22,0.3*$CV22,TRUE))),""),IF($C22&gt;0,summary!$C$10/28.8/0.947817,""))</f>
        <v/>
      </c>
      <c r="BC51">
        <f t="array" ref="BC51">IF($D22,IFERROR((SUMPRODUCT((economics!$AG$2:$AG$167=$B51)*(economics!$D$2:$D$167="whr")*economics!$AH$2:$AH$167*(_xlfn.NORM.DIST(BC$3,economics!$AK$2:$AK$167,economics!$AJ$2:$AJ$167,TRUE)-_xlfn.NORM.DIST(BC$30,economics!$AK$2:$AK$167,economics!$AJ$2:$AJ$167,TRUE))*economics!$AM$2:$AM$167)+$CR22*(_xlfn.NORM.DIST(BC$3,$CU22,0.3*$CU22,TRUE)-_xlfn.NORM.DIST(BC$30,$CU22,0.3*$CU22,TRUE))*summary!$C$7/28.8/0.947817+$CS22*(_xlfn.NORM.DIST(BC$3,$CV22,0.3*$CV22,TRUE)-_xlfn.NORM.DIST(BC$30,$CV22,0.3*$CV22,TRUE))*summary!$C$6/28.8/0.947817)/(SUMPRODUCT((economics!$AG$2:$AG$167=$B51)*(economics!$D$2:$D$167="whr")*economics!$AH$2:$AH$167*(_xlfn.NORM.DIST(BC$3,economics!$AK$2:$AK$167,economics!$AJ$2:$AJ$167,TRUE)-_xlfn.NORM.DIST(BC$30,economics!$AK$2:$AK$167,economics!$AJ$2:$AJ$167,TRUE)))+$CR22*(_xlfn.NORM.DIST(BC$3,$CU22,0.3*$CU22,TRUE)-_xlfn.NORM.DIST(BC$30,$CU22,0.3*$CU22,TRUE))+$CS22*(_xlfn.NORM.DIST(BC$3,$CV22,0.3*$CV22,TRUE)-_xlfn.NORM.DIST(BC$30,$CV22,0.3*$CV22,TRUE))),""),IF($C22&gt;0,summary!$C$10/28.8/0.947817,""))</f>
        <v/>
      </c>
      <c r="BD51">
        <f t="array" ref="BD51">IF($D22,IFERROR((SUMPRODUCT((economics!$AG$2:$AG$167=$B51)*(economics!$D$2:$D$167="whr")*economics!$AH$2:$AH$167*(_xlfn.NORM.DIST(BD$3,economics!$AK$2:$AK$167,economics!$AJ$2:$AJ$167,TRUE)-_xlfn.NORM.DIST(BD$30,economics!$AK$2:$AK$167,economics!$AJ$2:$AJ$167,TRUE))*economics!$AM$2:$AM$167)+$CR22*(_xlfn.NORM.DIST(BD$3,$CU22,0.3*$CU22,TRUE)-_xlfn.NORM.DIST(BD$30,$CU22,0.3*$CU22,TRUE))*summary!$C$7/28.8/0.947817+$CS22*(_xlfn.NORM.DIST(BD$3,$CV22,0.3*$CV22,TRUE)-_xlfn.NORM.DIST(BD$30,$CV22,0.3*$CV22,TRUE))*summary!$C$6/28.8/0.947817)/(SUMPRODUCT((economics!$AG$2:$AG$167=$B51)*(economics!$D$2:$D$167="whr")*economics!$AH$2:$AH$167*(_xlfn.NORM.DIST(BD$3,economics!$AK$2:$AK$167,economics!$AJ$2:$AJ$167,TRUE)-_xlfn.NORM.DIST(BD$30,economics!$AK$2:$AK$167,economics!$AJ$2:$AJ$167,TRUE)))+$CR22*(_xlfn.NORM.DIST(BD$3,$CU22,0.3*$CU22,TRUE)-_xlfn.NORM.DIST(BD$30,$CU22,0.3*$CU22,TRUE))+$CS22*(_xlfn.NORM.DIST(BD$3,$CV22,0.3*$CV22,TRUE)-_xlfn.NORM.DIST(BD$30,$CV22,0.3*$CV22,TRUE))),""),IF($C22&gt;0,summary!$C$10/28.8/0.947817,""))</f>
        <v/>
      </c>
      <c r="BE51">
        <f t="array" ref="BE51">IF($D22,IFERROR((SUMPRODUCT((economics!$AG$2:$AG$167=$B51)*(economics!$D$2:$D$167="whr")*economics!$AH$2:$AH$167*(_xlfn.NORM.DIST(BE$3,economics!$AK$2:$AK$167,economics!$AJ$2:$AJ$167,TRUE)-_xlfn.NORM.DIST(BE$30,economics!$AK$2:$AK$167,economics!$AJ$2:$AJ$167,TRUE))*economics!$AM$2:$AM$167)+$CR22*(_xlfn.NORM.DIST(BE$3,$CU22,0.3*$CU22,TRUE)-_xlfn.NORM.DIST(BE$30,$CU22,0.3*$CU22,TRUE))*summary!$C$7/28.8/0.947817+$CS22*(_xlfn.NORM.DIST(BE$3,$CV22,0.3*$CV22,TRUE)-_xlfn.NORM.DIST(BE$30,$CV22,0.3*$CV22,TRUE))*summary!$C$6/28.8/0.947817)/(SUMPRODUCT((economics!$AG$2:$AG$167=$B51)*(economics!$D$2:$D$167="whr")*economics!$AH$2:$AH$167*(_xlfn.NORM.DIST(BE$3,economics!$AK$2:$AK$167,economics!$AJ$2:$AJ$167,TRUE)-_xlfn.NORM.DIST(BE$30,economics!$AK$2:$AK$167,economics!$AJ$2:$AJ$167,TRUE)))+$CR22*(_xlfn.NORM.DIST(BE$3,$CU22,0.3*$CU22,TRUE)-_xlfn.NORM.DIST(BE$30,$CU22,0.3*$CU22,TRUE))+$CS22*(_xlfn.NORM.DIST(BE$3,$CV22,0.3*$CV22,TRUE)-_xlfn.NORM.DIST(BE$30,$CV22,0.3*$CV22,TRUE))),""),IF($C22&gt;0,summary!$C$10/28.8/0.947817,""))</f>
        <v/>
      </c>
      <c r="BF51">
        <f t="array" ref="BF51">IF($D22,IFERROR((SUMPRODUCT((economics!$AG$2:$AG$167=$B51)*(economics!$D$2:$D$167="whr")*economics!$AH$2:$AH$167*(_xlfn.NORM.DIST(BF$3,economics!$AK$2:$AK$167,economics!$AJ$2:$AJ$167,TRUE)-_xlfn.NORM.DIST(BF$30,economics!$AK$2:$AK$167,economics!$AJ$2:$AJ$167,TRUE))*economics!$AM$2:$AM$167)+$CR22*(_xlfn.NORM.DIST(BF$3,$CU22,0.3*$CU22,TRUE)-_xlfn.NORM.DIST(BF$30,$CU22,0.3*$CU22,TRUE))*summary!$C$7/28.8/0.947817+$CS22*(_xlfn.NORM.DIST(BF$3,$CV22,0.3*$CV22,TRUE)-_xlfn.NORM.DIST(BF$30,$CV22,0.3*$CV22,TRUE))*summary!$C$6/28.8/0.947817)/(SUMPRODUCT((economics!$AG$2:$AG$167=$B51)*(economics!$D$2:$D$167="whr")*economics!$AH$2:$AH$167*(_xlfn.NORM.DIST(BF$3,economics!$AK$2:$AK$167,economics!$AJ$2:$AJ$167,TRUE)-_xlfn.NORM.DIST(BF$30,economics!$AK$2:$AK$167,economics!$AJ$2:$AJ$167,TRUE)))+$CR22*(_xlfn.NORM.DIST(BF$3,$CU22,0.3*$CU22,TRUE)-_xlfn.NORM.DIST(BF$30,$CU22,0.3*$CU22,TRUE))+$CS22*(_xlfn.NORM.DIST(BF$3,$CV22,0.3*$CV22,TRUE)-_xlfn.NORM.DIST(BF$30,$CV22,0.3*$CV22,TRUE))),""),IF($C22&gt;0,summary!$C$10/28.8/0.947817,""))</f>
        <v/>
      </c>
      <c r="BG51">
        <f t="array" ref="BG51">IF($D22,IFERROR((SUMPRODUCT((economics!$AG$2:$AG$167=$B51)*(economics!$D$2:$D$167="whr")*economics!$AH$2:$AH$167*(_xlfn.NORM.DIST(BG$3,economics!$AK$2:$AK$167,economics!$AJ$2:$AJ$167,TRUE)-_xlfn.NORM.DIST(BG$30,economics!$AK$2:$AK$167,economics!$AJ$2:$AJ$167,TRUE))*economics!$AM$2:$AM$167)+$CR22*(_xlfn.NORM.DIST(BG$3,$CU22,0.3*$CU22,TRUE)-_xlfn.NORM.DIST(BG$30,$CU22,0.3*$CU22,TRUE))*summary!$C$7/28.8/0.947817+$CS22*(_xlfn.NORM.DIST(BG$3,$CV22,0.3*$CV22,TRUE)-_xlfn.NORM.DIST(BG$30,$CV22,0.3*$CV22,TRUE))*summary!$C$6/28.8/0.947817)/(SUMPRODUCT((economics!$AG$2:$AG$167=$B51)*(economics!$D$2:$D$167="whr")*economics!$AH$2:$AH$167*(_xlfn.NORM.DIST(BG$3,economics!$AK$2:$AK$167,economics!$AJ$2:$AJ$167,TRUE)-_xlfn.NORM.DIST(BG$30,economics!$AK$2:$AK$167,economics!$AJ$2:$AJ$167,TRUE)))+$CR22*(_xlfn.NORM.DIST(BG$3,$CU22,0.3*$CU22,TRUE)-_xlfn.NORM.DIST(BG$30,$CU22,0.3*$CU22,TRUE))+$CS22*(_xlfn.NORM.DIST(BG$3,$CV22,0.3*$CV22,TRUE)-_xlfn.NORM.DIST(BG$30,$CV22,0.3*$CV22,TRUE))),""),IF($C22&gt;0,summary!$C$10/28.8/0.947817,""))</f>
        <v/>
      </c>
      <c r="BH51">
        <f t="array" ref="BH51">IF($D22,IFERROR((SUMPRODUCT((economics!$AG$2:$AG$167=$B51)*(economics!$D$2:$D$167="whr")*economics!$AH$2:$AH$167*(_xlfn.NORM.DIST(BH$3,economics!$AK$2:$AK$167,economics!$AJ$2:$AJ$167,TRUE)-_xlfn.NORM.DIST(BH$30,economics!$AK$2:$AK$167,economics!$AJ$2:$AJ$167,TRUE))*economics!$AM$2:$AM$167)+$CR22*(_xlfn.NORM.DIST(BH$3,$CU22,0.3*$CU22,TRUE)-_xlfn.NORM.DIST(BH$30,$CU22,0.3*$CU22,TRUE))*summary!$C$7/28.8/0.947817+$CS22*(_xlfn.NORM.DIST(BH$3,$CV22,0.3*$CV22,TRUE)-_xlfn.NORM.DIST(BH$30,$CV22,0.3*$CV22,TRUE))*summary!$C$6/28.8/0.947817)/(SUMPRODUCT((economics!$AG$2:$AG$167=$B51)*(economics!$D$2:$D$167="whr")*economics!$AH$2:$AH$167*(_xlfn.NORM.DIST(BH$3,economics!$AK$2:$AK$167,economics!$AJ$2:$AJ$167,TRUE)-_xlfn.NORM.DIST(BH$30,economics!$AK$2:$AK$167,economics!$AJ$2:$AJ$167,TRUE)))+$CR22*(_xlfn.NORM.DIST(BH$3,$CU22,0.3*$CU22,TRUE)-_xlfn.NORM.DIST(BH$30,$CU22,0.3*$CU22,TRUE))+$CS22*(_xlfn.NORM.DIST(BH$3,$CV22,0.3*$CV22,TRUE)-_xlfn.NORM.DIST(BH$30,$CV22,0.3*$CV22,TRUE))),""),IF($C22&gt;0,summary!$C$10/28.8/0.947817,""))</f>
        <v/>
      </c>
      <c r="BI51">
        <f t="array" ref="BI51">IF($D22,IFERROR((SUMPRODUCT((economics!$AG$2:$AG$167=$B51)*(economics!$D$2:$D$167="whr")*economics!$AH$2:$AH$167*(_xlfn.NORM.DIST(BI$3,economics!$AK$2:$AK$167,economics!$AJ$2:$AJ$167,TRUE)-_xlfn.NORM.DIST(BI$30,economics!$AK$2:$AK$167,economics!$AJ$2:$AJ$167,TRUE))*economics!$AM$2:$AM$167)+$CR22*(_xlfn.NORM.DIST(BI$3,$CU22,0.3*$CU22,TRUE)-_xlfn.NORM.DIST(BI$30,$CU22,0.3*$CU22,TRUE))*summary!$C$7/28.8/0.947817+$CS22*(_xlfn.NORM.DIST(BI$3,$CV22,0.3*$CV22,TRUE)-_xlfn.NORM.DIST(BI$30,$CV22,0.3*$CV22,TRUE))*summary!$C$6/28.8/0.947817)/(SUMPRODUCT((economics!$AG$2:$AG$167=$B51)*(economics!$D$2:$D$167="whr")*economics!$AH$2:$AH$167*(_xlfn.NORM.DIST(BI$3,economics!$AK$2:$AK$167,economics!$AJ$2:$AJ$167,TRUE)-_xlfn.NORM.DIST(BI$30,economics!$AK$2:$AK$167,economics!$AJ$2:$AJ$167,TRUE)))+$CR22*(_xlfn.NORM.DIST(BI$3,$CU22,0.3*$CU22,TRUE)-_xlfn.NORM.DIST(BI$30,$CU22,0.3*$CU22,TRUE))+$CS22*(_xlfn.NORM.DIST(BI$3,$CV22,0.3*$CV22,TRUE)-_xlfn.NORM.DIST(BI$30,$CV22,0.3*$CV22,TRUE))),""),IF($C22&gt;0,summary!$C$10/28.8/0.947817,""))</f>
        <v/>
      </c>
      <c r="BJ51">
        <f t="array" ref="BJ51">IF($D22,IFERROR((SUMPRODUCT((economics!$AG$2:$AG$167=$B51)*(economics!$D$2:$D$167="whr")*economics!$AH$2:$AH$167*(_xlfn.NORM.DIST(BJ$3,economics!$AK$2:$AK$167,economics!$AJ$2:$AJ$167,TRUE)-_xlfn.NORM.DIST(BJ$30,economics!$AK$2:$AK$167,economics!$AJ$2:$AJ$167,TRUE))*economics!$AM$2:$AM$167)+$CR22*(_xlfn.NORM.DIST(BJ$3,$CU22,0.3*$CU22,TRUE)-_xlfn.NORM.DIST(BJ$30,$CU22,0.3*$CU22,TRUE))*summary!$C$7/28.8/0.947817+$CS22*(_xlfn.NORM.DIST(BJ$3,$CV22,0.3*$CV22,TRUE)-_xlfn.NORM.DIST(BJ$30,$CV22,0.3*$CV22,TRUE))*summary!$C$6/28.8/0.947817)/(SUMPRODUCT((economics!$AG$2:$AG$167=$B51)*(economics!$D$2:$D$167="whr")*economics!$AH$2:$AH$167*(_xlfn.NORM.DIST(BJ$3,economics!$AK$2:$AK$167,economics!$AJ$2:$AJ$167,TRUE)-_xlfn.NORM.DIST(BJ$30,economics!$AK$2:$AK$167,economics!$AJ$2:$AJ$167,TRUE)))+$CR22*(_xlfn.NORM.DIST(BJ$3,$CU22,0.3*$CU22,TRUE)-_xlfn.NORM.DIST(BJ$30,$CU22,0.3*$CU22,TRUE))+$CS22*(_xlfn.NORM.DIST(BJ$3,$CV22,0.3*$CV22,TRUE)-_xlfn.NORM.DIST(BJ$30,$CV22,0.3*$CV22,TRUE))),""),IF($C22&gt;0,summary!$C$10/28.8/0.947817,""))</f>
        <v/>
      </c>
      <c r="BK51">
        <f t="array" ref="BK51">IF($D22,IFERROR((SUMPRODUCT((economics!$AG$2:$AG$167=$B51)*(economics!$D$2:$D$167="whr")*economics!$AH$2:$AH$167*(_xlfn.NORM.DIST(BK$3,economics!$AK$2:$AK$167,economics!$AJ$2:$AJ$167,TRUE)-_xlfn.NORM.DIST(BK$30,economics!$AK$2:$AK$167,economics!$AJ$2:$AJ$167,TRUE))*economics!$AM$2:$AM$167)+$CR22*(_xlfn.NORM.DIST(BK$3,$CU22,0.3*$CU22,TRUE)-_xlfn.NORM.DIST(BK$30,$CU22,0.3*$CU22,TRUE))*summary!$C$7/28.8/0.947817+$CS22*(_xlfn.NORM.DIST(BK$3,$CV22,0.3*$CV22,TRUE)-_xlfn.NORM.DIST(BK$30,$CV22,0.3*$CV22,TRUE))*summary!$C$6/28.8/0.947817)/(SUMPRODUCT((economics!$AG$2:$AG$167=$B51)*(economics!$D$2:$D$167="whr")*economics!$AH$2:$AH$167*(_xlfn.NORM.DIST(BK$3,economics!$AK$2:$AK$167,economics!$AJ$2:$AJ$167,TRUE)-_xlfn.NORM.DIST(BK$30,economics!$AK$2:$AK$167,economics!$AJ$2:$AJ$167,TRUE)))+$CR22*(_xlfn.NORM.DIST(BK$3,$CU22,0.3*$CU22,TRUE)-_xlfn.NORM.DIST(BK$30,$CU22,0.3*$CU22,TRUE))+$CS22*(_xlfn.NORM.DIST(BK$3,$CV22,0.3*$CV22,TRUE)-_xlfn.NORM.DIST(BK$30,$CV22,0.3*$CV22,TRUE))),""),IF($C22&gt;0,summary!$C$10/28.8/0.947817,""))</f>
        <v/>
      </c>
      <c r="BL51">
        <f t="array" ref="BL51">IF($D22,IFERROR((SUMPRODUCT((economics!$AG$2:$AG$167=$B51)*(economics!$D$2:$D$167="whr")*economics!$AH$2:$AH$167*(_xlfn.NORM.DIST(BL$3,economics!$AK$2:$AK$167,economics!$AJ$2:$AJ$167,TRUE)-_xlfn.NORM.DIST(BL$30,economics!$AK$2:$AK$167,economics!$AJ$2:$AJ$167,TRUE))*economics!$AM$2:$AM$167)+$CR22*(_xlfn.NORM.DIST(BL$3,$CU22,0.3*$CU22,TRUE)-_xlfn.NORM.DIST(BL$30,$CU22,0.3*$CU22,TRUE))*summary!$C$7/28.8/0.947817+$CS22*(_xlfn.NORM.DIST(BL$3,$CV22,0.3*$CV22,TRUE)-_xlfn.NORM.DIST(BL$30,$CV22,0.3*$CV22,TRUE))*summary!$C$6/28.8/0.947817)/(SUMPRODUCT((economics!$AG$2:$AG$167=$B51)*(economics!$D$2:$D$167="whr")*economics!$AH$2:$AH$167*(_xlfn.NORM.DIST(BL$3,economics!$AK$2:$AK$167,economics!$AJ$2:$AJ$167,TRUE)-_xlfn.NORM.DIST(BL$30,economics!$AK$2:$AK$167,economics!$AJ$2:$AJ$167,TRUE)))+$CR22*(_xlfn.NORM.DIST(BL$3,$CU22,0.3*$CU22,TRUE)-_xlfn.NORM.DIST(BL$30,$CU22,0.3*$CU22,TRUE))+$CS22*(_xlfn.NORM.DIST(BL$3,$CV22,0.3*$CV22,TRUE)-_xlfn.NORM.DIST(BL$30,$CV22,0.3*$CV22,TRUE))),""),IF($C22&gt;0,summary!$C$10/28.8/0.947817,""))</f>
        <v/>
      </c>
      <c r="BM51">
        <f t="array" ref="BM51">IF($D22,IFERROR((SUMPRODUCT((economics!$AG$2:$AG$167=$B51)*(economics!$D$2:$D$167="whr")*economics!$AH$2:$AH$167*(_xlfn.NORM.DIST(BM$3,economics!$AK$2:$AK$167,economics!$AJ$2:$AJ$167,TRUE)-_xlfn.NORM.DIST(BM$30,economics!$AK$2:$AK$167,economics!$AJ$2:$AJ$167,TRUE))*economics!$AM$2:$AM$167)+$CR22*(_xlfn.NORM.DIST(BM$3,$CU22,0.3*$CU22,TRUE)-_xlfn.NORM.DIST(BM$30,$CU22,0.3*$CU22,TRUE))*summary!$C$7/28.8/0.947817+$CS22*(_xlfn.NORM.DIST(BM$3,$CV22,0.3*$CV22,TRUE)-_xlfn.NORM.DIST(BM$30,$CV22,0.3*$CV22,TRUE))*summary!$C$6/28.8/0.947817)/(SUMPRODUCT((economics!$AG$2:$AG$167=$B51)*(economics!$D$2:$D$167="whr")*economics!$AH$2:$AH$167*(_xlfn.NORM.DIST(BM$3,economics!$AK$2:$AK$167,economics!$AJ$2:$AJ$167,TRUE)-_xlfn.NORM.DIST(BM$30,economics!$AK$2:$AK$167,economics!$AJ$2:$AJ$167,TRUE)))+$CR22*(_xlfn.NORM.DIST(BM$3,$CU22,0.3*$CU22,TRUE)-_xlfn.NORM.DIST(BM$30,$CU22,0.3*$CU22,TRUE))+$CS22*(_xlfn.NORM.DIST(BM$3,$CV22,0.3*$CV22,TRUE)-_xlfn.NORM.DIST(BM$30,$CV22,0.3*$CV22,TRUE))),""),IF($C22&gt;0,summary!$C$10/28.8/0.947817,""))</f>
        <v/>
      </c>
      <c r="BN51">
        <f t="array" ref="BN51">IF($D22,IFERROR((SUMPRODUCT((economics!$AG$2:$AG$167=$B51)*(economics!$D$2:$D$167="whr")*economics!$AH$2:$AH$167*(_xlfn.NORM.DIST(BN$3,economics!$AK$2:$AK$167,economics!$AJ$2:$AJ$167,TRUE)-_xlfn.NORM.DIST(BN$30,economics!$AK$2:$AK$167,economics!$AJ$2:$AJ$167,TRUE))*economics!$AM$2:$AM$167)+$CR22*(_xlfn.NORM.DIST(BN$3,$CU22,0.3*$CU22,TRUE)-_xlfn.NORM.DIST(BN$30,$CU22,0.3*$CU22,TRUE))*summary!$C$7/28.8/0.947817+$CS22*(_xlfn.NORM.DIST(BN$3,$CV22,0.3*$CV22,TRUE)-_xlfn.NORM.DIST(BN$30,$CV22,0.3*$CV22,TRUE))*summary!$C$6/28.8/0.947817)/(SUMPRODUCT((economics!$AG$2:$AG$167=$B51)*(economics!$D$2:$D$167="whr")*economics!$AH$2:$AH$167*(_xlfn.NORM.DIST(BN$3,economics!$AK$2:$AK$167,economics!$AJ$2:$AJ$167,TRUE)-_xlfn.NORM.DIST(BN$30,economics!$AK$2:$AK$167,economics!$AJ$2:$AJ$167,TRUE)))+$CR22*(_xlfn.NORM.DIST(BN$3,$CU22,0.3*$CU22,TRUE)-_xlfn.NORM.DIST(BN$30,$CU22,0.3*$CU22,TRUE))+$CS22*(_xlfn.NORM.DIST(BN$3,$CV22,0.3*$CV22,TRUE)-_xlfn.NORM.DIST(BN$30,$CV22,0.3*$CV22,TRUE))),""),IF($C22&gt;0,summary!$C$10/28.8/0.947817,""))</f>
        <v/>
      </c>
      <c r="BO51">
        <f t="array" ref="BO51">IF($D22,IFERROR((SUMPRODUCT((economics!$AG$2:$AG$167=$B51)*(economics!$D$2:$D$167="whr")*economics!$AH$2:$AH$167*(_xlfn.NORM.DIST(BO$3,economics!$AK$2:$AK$167,economics!$AJ$2:$AJ$167,TRUE)-_xlfn.NORM.DIST(BO$30,economics!$AK$2:$AK$167,economics!$AJ$2:$AJ$167,TRUE))*economics!$AM$2:$AM$167)+$CR22*(_xlfn.NORM.DIST(BO$3,$CU22,0.3*$CU22,TRUE)-_xlfn.NORM.DIST(BO$30,$CU22,0.3*$CU22,TRUE))*summary!$C$7/28.8/0.947817+$CS22*(_xlfn.NORM.DIST(BO$3,$CV22,0.3*$CV22,TRUE)-_xlfn.NORM.DIST(BO$30,$CV22,0.3*$CV22,TRUE))*summary!$C$6/28.8/0.947817)/(SUMPRODUCT((economics!$AG$2:$AG$167=$B51)*(economics!$D$2:$D$167="whr")*economics!$AH$2:$AH$167*(_xlfn.NORM.DIST(BO$3,economics!$AK$2:$AK$167,economics!$AJ$2:$AJ$167,TRUE)-_xlfn.NORM.DIST(BO$30,economics!$AK$2:$AK$167,economics!$AJ$2:$AJ$167,TRUE)))+$CR22*(_xlfn.NORM.DIST(BO$3,$CU22,0.3*$CU22,TRUE)-_xlfn.NORM.DIST(BO$30,$CU22,0.3*$CU22,TRUE))+$CS22*(_xlfn.NORM.DIST(BO$3,$CV22,0.3*$CV22,TRUE)-_xlfn.NORM.DIST(BO$30,$CV22,0.3*$CV22,TRUE))),""),IF($C22&gt;0,summary!$C$10/28.8/0.947817,""))</f>
        <v/>
      </c>
      <c r="BP51">
        <f t="array" ref="BP51">IF($D22,IFERROR((SUMPRODUCT((economics!$AG$2:$AG$167=$B51)*(economics!$D$2:$D$167="whr")*economics!$AH$2:$AH$167*(_xlfn.NORM.DIST(BP$3,economics!$AK$2:$AK$167,economics!$AJ$2:$AJ$167,TRUE)-_xlfn.NORM.DIST(BP$30,economics!$AK$2:$AK$167,economics!$AJ$2:$AJ$167,TRUE))*economics!$AM$2:$AM$167)+$CR22*(_xlfn.NORM.DIST(BP$3,$CU22,0.3*$CU22,TRUE)-_xlfn.NORM.DIST(BP$30,$CU22,0.3*$CU22,TRUE))*summary!$C$7/28.8/0.947817+$CS22*(_xlfn.NORM.DIST(BP$3,$CV22,0.3*$CV22,TRUE)-_xlfn.NORM.DIST(BP$30,$CV22,0.3*$CV22,TRUE))*summary!$C$6/28.8/0.947817)/(SUMPRODUCT((economics!$AG$2:$AG$167=$B51)*(economics!$D$2:$D$167="whr")*economics!$AH$2:$AH$167*(_xlfn.NORM.DIST(BP$3,economics!$AK$2:$AK$167,economics!$AJ$2:$AJ$167,TRUE)-_xlfn.NORM.DIST(BP$30,economics!$AK$2:$AK$167,economics!$AJ$2:$AJ$167,TRUE)))+$CR22*(_xlfn.NORM.DIST(BP$3,$CU22,0.3*$CU22,TRUE)-_xlfn.NORM.DIST(BP$30,$CU22,0.3*$CU22,TRUE))+$CS22*(_xlfn.NORM.DIST(BP$3,$CV22,0.3*$CV22,TRUE)-_xlfn.NORM.DIST(BP$30,$CV22,0.3*$CV22,TRUE))),""),IF($C22&gt;0,summary!$C$10/28.8/0.947817,""))</f>
        <v/>
      </c>
      <c r="BQ51">
        <f t="array" ref="BQ51">IF($D22,IFERROR((SUMPRODUCT((economics!$AG$2:$AG$167=$B51)*(economics!$D$2:$D$167="whr")*economics!$AH$2:$AH$167*(_xlfn.NORM.DIST(BQ$3,economics!$AK$2:$AK$167,economics!$AJ$2:$AJ$167,TRUE)-_xlfn.NORM.DIST(BQ$30,economics!$AK$2:$AK$167,economics!$AJ$2:$AJ$167,TRUE))*economics!$AM$2:$AM$167)+$CR22*(_xlfn.NORM.DIST(BQ$3,$CU22,0.3*$CU22,TRUE)-_xlfn.NORM.DIST(BQ$30,$CU22,0.3*$CU22,TRUE))*summary!$C$7/28.8/0.947817+$CS22*(_xlfn.NORM.DIST(BQ$3,$CV22,0.3*$CV22,TRUE)-_xlfn.NORM.DIST(BQ$30,$CV22,0.3*$CV22,TRUE))*summary!$C$6/28.8/0.947817)/(SUMPRODUCT((economics!$AG$2:$AG$167=$B51)*(economics!$D$2:$D$167="whr")*economics!$AH$2:$AH$167*(_xlfn.NORM.DIST(BQ$3,economics!$AK$2:$AK$167,economics!$AJ$2:$AJ$167,TRUE)-_xlfn.NORM.DIST(BQ$30,economics!$AK$2:$AK$167,economics!$AJ$2:$AJ$167,TRUE)))+$CR22*(_xlfn.NORM.DIST(BQ$3,$CU22,0.3*$CU22,TRUE)-_xlfn.NORM.DIST(BQ$30,$CU22,0.3*$CU22,TRUE))+$CS22*(_xlfn.NORM.DIST(BQ$3,$CV22,0.3*$CV22,TRUE)-_xlfn.NORM.DIST(BQ$30,$CV22,0.3*$CV22,TRUE))),""),IF($C22&gt;0,summary!$C$10/28.8/0.947817,""))</f>
        <v/>
      </c>
      <c r="BR51">
        <f t="array" ref="BR51">IF($D22,IFERROR((SUMPRODUCT((economics!$AG$2:$AG$167=$B51)*(economics!$D$2:$D$167="whr")*economics!$AH$2:$AH$167*(_xlfn.NORM.DIST(BR$3,economics!$AK$2:$AK$167,economics!$AJ$2:$AJ$167,TRUE)-_xlfn.NORM.DIST(BR$30,economics!$AK$2:$AK$167,economics!$AJ$2:$AJ$167,TRUE))*economics!$AM$2:$AM$167)+$CR22*(_xlfn.NORM.DIST(BR$3,$CU22,0.3*$CU22,TRUE)-_xlfn.NORM.DIST(BR$30,$CU22,0.3*$CU22,TRUE))*summary!$C$7/28.8/0.947817+$CS22*(_xlfn.NORM.DIST(BR$3,$CV22,0.3*$CV22,TRUE)-_xlfn.NORM.DIST(BR$30,$CV22,0.3*$CV22,TRUE))*summary!$C$6/28.8/0.947817)/(SUMPRODUCT((economics!$AG$2:$AG$167=$B51)*(economics!$D$2:$D$167="whr")*economics!$AH$2:$AH$167*(_xlfn.NORM.DIST(BR$3,economics!$AK$2:$AK$167,economics!$AJ$2:$AJ$167,TRUE)-_xlfn.NORM.DIST(BR$30,economics!$AK$2:$AK$167,economics!$AJ$2:$AJ$167,TRUE)))+$CR22*(_xlfn.NORM.DIST(BR$3,$CU22,0.3*$CU22,TRUE)-_xlfn.NORM.DIST(BR$30,$CU22,0.3*$CU22,TRUE))+$CS22*(_xlfn.NORM.DIST(BR$3,$CV22,0.3*$CV22,TRUE)-_xlfn.NORM.DIST(BR$30,$CV22,0.3*$CV22,TRUE))),""),IF($C22&gt;0,summary!$C$10/28.8/0.947817,""))</f>
        <v/>
      </c>
      <c r="BS51">
        <f t="array" ref="BS51">IF($D22,IFERROR((SUMPRODUCT((economics!$AG$2:$AG$167=$B51)*(economics!$D$2:$D$167="whr")*economics!$AH$2:$AH$167*(_xlfn.NORM.DIST(BS$3,economics!$AK$2:$AK$167,economics!$AJ$2:$AJ$167,TRUE)-_xlfn.NORM.DIST(BS$30,economics!$AK$2:$AK$167,economics!$AJ$2:$AJ$167,TRUE))*economics!$AM$2:$AM$167)+$CR22*(_xlfn.NORM.DIST(BS$3,$CU22,0.3*$CU22,TRUE)-_xlfn.NORM.DIST(BS$30,$CU22,0.3*$CU22,TRUE))*summary!$C$7/28.8/0.947817+$CS22*(_xlfn.NORM.DIST(BS$3,$CV22,0.3*$CV22,TRUE)-_xlfn.NORM.DIST(BS$30,$CV22,0.3*$CV22,TRUE))*summary!$C$6/28.8/0.947817)/(SUMPRODUCT((economics!$AG$2:$AG$167=$B51)*(economics!$D$2:$D$167="whr")*economics!$AH$2:$AH$167*(_xlfn.NORM.DIST(BS$3,economics!$AK$2:$AK$167,economics!$AJ$2:$AJ$167,TRUE)-_xlfn.NORM.DIST(BS$30,economics!$AK$2:$AK$167,economics!$AJ$2:$AJ$167,TRUE)))+$CR22*(_xlfn.NORM.DIST(BS$3,$CU22,0.3*$CU22,TRUE)-_xlfn.NORM.DIST(BS$30,$CU22,0.3*$CU22,TRUE))+$CS22*(_xlfn.NORM.DIST(BS$3,$CV22,0.3*$CV22,TRUE)-_xlfn.NORM.DIST(BS$30,$CV22,0.3*$CV22,TRUE))),""),IF($C22&gt;0,summary!$C$10/28.8/0.947817,""))</f>
        <v/>
      </c>
      <c r="BT51">
        <f t="array" ref="BT51">IF($D22,IFERROR((SUMPRODUCT((economics!$AG$2:$AG$167=$B51)*(economics!$D$2:$D$167="whr")*economics!$AH$2:$AH$167*(_xlfn.NORM.DIST(BT$3,economics!$AK$2:$AK$167,economics!$AJ$2:$AJ$167,TRUE)-_xlfn.NORM.DIST(BT$30,economics!$AK$2:$AK$167,economics!$AJ$2:$AJ$167,TRUE))*economics!$AM$2:$AM$167)+$CR22*(_xlfn.NORM.DIST(BT$3,$CU22,0.3*$CU22,TRUE)-_xlfn.NORM.DIST(BT$30,$CU22,0.3*$CU22,TRUE))*summary!$C$7/28.8/0.947817+$CS22*(_xlfn.NORM.DIST(BT$3,$CV22,0.3*$CV22,TRUE)-_xlfn.NORM.DIST(BT$30,$CV22,0.3*$CV22,TRUE))*summary!$C$6/28.8/0.947817)/(SUMPRODUCT((economics!$AG$2:$AG$167=$B51)*(economics!$D$2:$D$167="whr")*economics!$AH$2:$AH$167*(_xlfn.NORM.DIST(BT$3,economics!$AK$2:$AK$167,economics!$AJ$2:$AJ$167,TRUE)-_xlfn.NORM.DIST(BT$30,economics!$AK$2:$AK$167,economics!$AJ$2:$AJ$167,TRUE)))+$CR22*(_xlfn.NORM.DIST(BT$3,$CU22,0.3*$CU22,TRUE)-_xlfn.NORM.DIST(BT$30,$CU22,0.3*$CU22,TRUE))+$CS22*(_xlfn.NORM.DIST(BT$3,$CV22,0.3*$CV22,TRUE)-_xlfn.NORM.DIST(BT$30,$CV22,0.3*$CV22,TRUE))),""),IF($C22&gt;0,summary!$C$10/28.8/0.947817,""))</f>
        <v/>
      </c>
      <c r="BU51">
        <f t="array" ref="BU51">IF($D22,IFERROR((SUMPRODUCT((economics!$AG$2:$AG$167=$B51)*(economics!$D$2:$D$167="whr")*economics!$AH$2:$AH$167*(_xlfn.NORM.DIST(BU$3,economics!$AK$2:$AK$167,economics!$AJ$2:$AJ$167,TRUE)-_xlfn.NORM.DIST(BU$30,economics!$AK$2:$AK$167,economics!$AJ$2:$AJ$167,TRUE))*economics!$AM$2:$AM$167)+$CR22*(_xlfn.NORM.DIST(BU$3,$CU22,0.3*$CU22,TRUE)-_xlfn.NORM.DIST(BU$30,$CU22,0.3*$CU22,TRUE))*summary!$C$7/28.8/0.947817+$CS22*(_xlfn.NORM.DIST(BU$3,$CV22,0.3*$CV22,TRUE)-_xlfn.NORM.DIST(BU$30,$CV22,0.3*$CV22,TRUE))*summary!$C$6/28.8/0.947817)/(SUMPRODUCT((economics!$AG$2:$AG$167=$B51)*(economics!$D$2:$D$167="whr")*economics!$AH$2:$AH$167*(_xlfn.NORM.DIST(BU$3,economics!$AK$2:$AK$167,economics!$AJ$2:$AJ$167,TRUE)-_xlfn.NORM.DIST(BU$30,economics!$AK$2:$AK$167,economics!$AJ$2:$AJ$167,TRUE)))+$CR22*(_xlfn.NORM.DIST(BU$3,$CU22,0.3*$CU22,TRUE)-_xlfn.NORM.DIST(BU$30,$CU22,0.3*$CU22,TRUE))+$CS22*(_xlfn.NORM.DIST(BU$3,$CV22,0.3*$CV22,TRUE)-_xlfn.NORM.DIST(BU$30,$CV22,0.3*$CV22,TRUE))),""),IF($C22&gt;0,summary!$C$10/28.8/0.947817,""))</f>
        <v/>
      </c>
      <c r="BV51">
        <f t="array" ref="BV51">IF($D22,IFERROR((SUMPRODUCT((economics!$AG$2:$AG$167=$B51)*(economics!$D$2:$D$167="whr")*economics!$AH$2:$AH$167*(_xlfn.NORM.DIST(BV$3,economics!$AK$2:$AK$167,economics!$AJ$2:$AJ$167,TRUE)-_xlfn.NORM.DIST(BV$30,economics!$AK$2:$AK$167,economics!$AJ$2:$AJ$167,TRUE))*economics!$AM$2:$AM$167)+$CR22*(_xlfn.NORM.DIST(BV$3,$CU22,0.3*$CU22,TRUE)-_xlfn.NORM.DIST(BV$30,$CU22,0.3*$CU22,TRUE))*summary!$C$7/28.8/0.947817+$CS22*(_xlfn.NORM.DIST(BV$3,$CV22,0.3*$CV22,TRUE)-_xlfn.NORM.DIST(BV$30,$CV22,0.3*$CV22,TRUE))*summary!$C$6/28.8/0.947817)/(SUMPRODUCT((economics!$AG$2:$AG$167=$B51)*(economics!$D$2:$D$167="whr")*economics!$AH$2:$AH$167*(_xlfn.NORM.DIST(BV$3,economics!$AK$2:$AK$167,economics!$AJ$2:$AJ$167,TRUE)-_xlfn.NORM.DIST(BV$30,economics!$AK$2:$AK$167,economics!$AJ$2:$AJ$167,TRUE)))+$CR22*(_xlfn.NORM.DIST(BV$3,$CU22,0.3*$CU22,TRUE)-_xlfn.NORM.DIST(BV$30,$CU22,0.3*$CU22,TRUE))+$CS22*(_xlfn.NORM.DIST(BV$3,$CV22,0.3*$CV22,TRUE)-_xlfn.NORM.DIST(BV$30,$CV22,0.3*$CV22,TRUE))),""),IF($C22&gt;0,summary!$C$10/28.8/0.947817,""))</f>
        <v/>
      </c>
      <c r="BW51">
        <f t="array" ref="BW51">IF($D22,IFERROR((SUMPRODUCT((economics!$AG$2:$AG$167=$B51)*(economics!$D$2:$D$167="whr")*economics!$AH$2:$AH$167*(_xlfn.NORM.DIST(BW$3,economics!$AK$2:$AK$167,economics!$AJ$2:$AJ$167,TRUE)-_xlfn.NORM.DIST(BW$30,economics!$AK$2:$AK$167,economics!$AJ$2:$AJ$167,TRUE))*economics!$AM$2:$AM$167)+$CR22*(_xlfn.NORM.DIST(BW$3,$CU22,0.3*$CU22,TRUE)-_xlfn.NORM.DIST(BW$30,$CU22,0.3*$CU22,TRUE))*summary!$C$7/28.8/0.947817+$CS22*(_xlfn.NORM.DIST(BW$3,$CV22,0.3*$CV22,TRUE)-_xlfn.NORM.DIST(BW$30,$CV22,0.3*$CV22,TRUE))*summary!$C$6/28.8/0.947817)/(SUMPRODUCT((economics!$AG$2:$AG$167=$B51)*(economics!$D$2:$D$167="whr")*economics!$AH$2:$AH$167*(_xlfn.NORM.DIST(BW$3,economics!$AK$2:$AK$167,economics!$AJ$2:$AJ$167,TRUE)-_xlfn.NORM.DIST(BW$30,economics!$AK$2:$AK$167,economics!$AJ$2:$AJ$167,TRUE)))+$CR22*(_xlfn.NORM.DIST(BW$3,$CU22,0.3*$CU22,TRUE)-_xlfn.NORM.DIST(BW$30,$CU22,0.3*$CU22,TRUE))+$CS22*(_xlfn.NORM.DIST(BW$3,$CV22,0.3*$CV22,TRUE)-_xlfn.NORM.DIST(BW$30,$CV22,0.3*$CV22,TRUE))),""),IF($C22&gt;0,summary!$C$10/28.8/0.947817,""))</f>
        <v/>
      </c>
      <c r="BX51">
        <f t="array" ref="BX51">IF($D22,IFERROR((SUMPRODUCT((economics!$AG$2:$AG$167=$B51)*(economics!$D$2:$D$167="whr")*economics!$AH$2:$AH$167*(_xlfn.NORM.DIST(BX$3,economics!$AK$2:$AK$167,economics!$AJ$2:$AJ$167,TRUE)-_xlfn.NORM.DIST(BX$30,economics!$AK$2:$AK$167,economics!$AJ$2:$AJ$167,TRUE))*economics!$AM$2:$AM$167)+$CR22*(_xlfn.NORM.DIST(BX$3,$CU22,0.3*$CU22,TRUE)-_xlfn.NORM.DIST(BX$30,$CU22,0.3*$CU22,TRUE))*summary!$C$7/28.8/0.947817+$CS22*(_xlfn.NORM.DIST(BX$3,$CV22,0.3*$CV22,TRUE)-_xlfn.NORM.DIST(BX$30,$CV22,0.3*$CV22,TRUE))*summary!$C$6/28.8/0.947817)/(SUMPRODUCT((economics!$AG$2:$AG$167=$B51)*(economics!$D$2:$D$167="whr")*economics!$AH$2:$AH$167*(_xlfn.NORM.DIST(BX$3,economics!$AK$2:$AK$167,economics!$AJ$2:$AJ$167,TRUE)-_xlfn.NORM.DIST(BX$30,economics!$AK$2:$AK$167,economics!$AJ$2:$AJ$167,TRUE)))+$CR22*(_xlfn.NORM.DIST(BX$3,$CU22,0.3*$CU22,TRUE)-_xlfn.NORM.DIST(BX$30,$CU22,0.3*$CU22,TRUE))+$CS22*(_xlfn.NORM.DIST(BX$3,$CV22,0.3*$CV22,TRUE)-_xlfn.NORM.DIST(BX$30,$CV22,0.3*$CV22,TRUE))),""),IF($C22&gt;0,summary!$C$10/28.8/0.947817,""))</f>
        <v/>
      </c>
      <c r="BY51">
        <f t="array" ref="BY51">IF($D22,IFERROR((SUMPRODUCT((economics!$AG$2:$AG$167=$B51)*(economics!$D$2:$D$167="whr")*economics!$AH$2:$AH$167*(_xlfn.NORM.DIST(BY$3,economics!$AK$2:$AK$167,economics!$AJ$2:$AJ$167,TRUE)-_xlfn.NORM.DIST(BY$30,economics!$AK$2:$AK$167,economics!$AJ$2:$AJ$167,TRUE))*economics!$AM$2:$AM$167)+$CR22*(_xlfn.NORM.DIST(BY$3,$CU22,0.3*$CU22,TRUE)-_xlfn.NORM.DIST(BY$30,$CU22,0.3*$CU22,TRUE))*summary!$C$7/28.8/0.947817+$CS22*(_xlfn.NORM.DIST(BY$3,$CV22,0.3*$CV22,TRUE)-_xlfn.NORM.DIST(BY$30,$CV22,0.3*$CV22,TRUE))*summary!$C$6/28.8/0.947817)/(SUMPRODUCT((economics!$AG$2:$AG$167=$B51)*(economics!$D$2:$D$167="whr")*economics!$AH$2:$AH$167*(_xlfn.NORM.DIST(BY$3,economics!$AK$2:$AK$167,economics!$AJ$2:$AJ$167,TRUE)-_xlfn.NORM.DIST(BY$30,economics!$AK$2:$AK$167,economics!$AJ$2:$AJ$167,TRUE)))+$CR22*(_xlfn.NORM.DIST(BY$3,$CU22,0.3*$CU22,TRUE)-_xlfn.NORM.DIST(BY$30,$CU22,0.3*$CU22,TRUE))+$CS22*(_xlfn.NORM.DIST(BY$3,$CV22,0.3*$CV22,TRUE)-_xlfn.NORM.DIST(BY$30,$CV22,0.3*$CV22,TRUE))),""),IF($C22&gt;0,summary!$C$10/28.8/0.947817,""))</f>
        <v/>
      </c>
      <c r="BZ51">
        <f t="array" ref="BZ51">IF($D22,IFERROR((SUMPRODUCT((economics!$AG$2:$AG$167=$B51)*(economics!$D$2:$D$167="whr")*economics!$AH$2:$AH$167*(_xlfn.NORM.DIST(BZ$3,economics!$AK$2:$AK$167,economics!$AJ$2:$AJ$167,TRUE)-_xlfn.NORM.DIST(BZ$30,economics!$AK$2:$AK$167,economics!$AJ$2:$AJ$167,TRUE))*economics!$AM$2:$AM$167)+$CR22*(_xlfn.NORM.DIST(BZ$3,$CU22,0.3*$CU22,TRUE)-_xlfn.NORM.DIST(BZ$30,$CU22,0.3*$CU22,TRUE))*summary!$C$7/28.8/0.947817+$CS22*(_xlfn.NORM.DIST(BZ$3,$CV22,0.3*$CV22,TRUE)-_xlfn.NORM.DIST(BZ$30,$CV22,0.3*$CV22,TRUE))*summary!$C$6/28.8/0.947817)/(SUMPRODUCT((economics!$AG$2:$AG$167=$B51)*(economics!$D$2:$D$167="whr")*economics!$AH$2:$AH$167*(_xlfn.NORM.DIST(BZ$3,economics!$AK$2:$AK$167,economics!$AJ$2:$AJ$167,TRUE)-_xlfn.NORM.DIST(BZ$30,economics!$AK$2:$AK$167,economics!$AJ$2:$AJ$167,TRUE)))+$CR22*(_xlfn.NORM.DIST(BZ$3,$CU22,0.3*$CU22,TRUE)-_xlfn.NORM.DIST(BZ$30,$CU22,0.3*$CU22,TRUE))+$CS22*(_xlfn.NORM.DIST(BZ$3,$CV22,0.3*$CV22,TRUE)-_xlfn.NORM.DIST(BZ$30,$CV22,0.3*$CV22,TRUE))),""),IF($C22&gt;0,summary!$C$10/28.8/0.947817,""))</f>
        <v/>
      </c>
      <c r="CA51">
        <f t="array" ref="CA51">IF($D22,IFERROR((SUMPRODUCT((economics!$AG$2:$AG$167=$B51)*(economics!$D$2:$D$167="whr")*economics!$AH$2:$AH$167*(_xlfn.NORM.DIST(CA$3,economics!$AK$2:$AK$167,economics!$AJ$2:$AJ$167,TRUE)-_xlfn.NORM.DIST(CA$30,economics!$AK$2:$AK$167,economics!$AJ$2:$AJ$167,TRUE))*economics!$AM$2:$AM$167)+$CR22*(_xlfn.NORM.DIST(CA$3,$CU22,0.3*$CU22,TRUE)-_xlfn.NORM.DIST(CA$30,$CU22,0.3*$CU22,TRUE))*summary!$C$7/28.8/0.947817+$CS22*(_xlfn.NORM.DIST(CA$3,$CV22,0.3*$CV22,TRUE)-_xlfn.NORM.DIST(CA$30,$CV22,0.3*$CV22,TRUE))*summary!$C$6/28.8/0.947817)/(SUMPRODUCT((economics!$AG$2:$AG$167=$B51)*(economics!$D$2:$D$167="whr")*economics!$AH$2:$AH$167*(_xlfn.NORM.DIST(CA$3,economics!$AK$2:$AK$167,economics!$AJ$2:$AJ$167,TRUE)-_xlfn.NORM.DIST(CA$30,economics!$AK$2:$AK$167,economics!$AJ$2:$AJ$167,TRUE)))+$CR22*(_xlfn.NORM.DIST(CA$3,$CU22,0.3*$CU22,TRUE)-_xlfn.NORM.DIST(CA$30,$CU22,0.3*$CU22,TRUE))+$CS22*(_xlfn.NORM.DIST(CA$3,$CV22,0.3*$CV22,TRUE)-_xlfn.NORM.DIST(CA$30,$CV22,0.3*$CV22,TRUE))),""),IF($C22&gt;0,summary!$C$10/28.8/0.947817,""))</f>
        <v/>
      </c>
      <c r="CB51">
        <f t="array" ref="CB51">IF($D22,IFERROR((SUMPRODUCT((economics!$AG$2:$AG$167=$B51)*(economics!$D$2:$D$167="whr")*economics!$AH$2:$AH$167*(_xlfn.NORM.DIST(CB$3,economics!$AK$2:$AK$167,economics!$AJ$2:$AJ$167,TRUE)-_xlfn.NORM.DIST(CB$30,economics!$AK$2:$AK$167,economics!$AJ$2:$AJ$167,TRUE))*economics!$AM$2:$AM$167)+$CR22*(_xlfn.NORM.DIST(CB$3,$CU22,0.3*$CU22,TRUE)-_xlfn.NORM.DIST(CB$30,$CU22,0.3*$CU22,TRUE))*summary!$C$7/28.8/0.947817+$CS22*(_xlfn.NORM.DIST(CB$3,$CV22,0.3*$CV22,TRUE)-_xlfn.NORM.DIST(CB$30,$CV22,0.3*$CV22,TRUE))*summary!$C$6/28.8/0.947817)/(SUMPRODUCT((economics!$AG$2:$AG$167=$B51)*(economics!$D$2:$D$167="whr")*economics!$AH$2:$AH$167*(_xlfn.NORM.DIST(CB$3,economics!$AK$2:$AK$167,economics!$AJ$2:$AJ$167,TRUE)-_xlfn.NORM.DIST(CB$30,economics!$AK$2:$AK$167,economics!$AJ$2:$AJ$167,TRUE)))+$CR22*(_xlfn.NORM.DIST(CB$3,$CU22,0.3*$CU22,TRUE)-_xlfn.NORM.DIST(CB$30,$CU22,0.3*$CU22,TRUE))+$CS22*(_xlfn.NORM.DIST(CB$3,$CV22,0.3*$CV22,TRUE)-_xlfn.NORM.DIST(CB$30,$CV22,0.3*$CV22,TRUE))),""),IF($C22&gt;0,summary!$C$10/28.8/0.947817,""))</f>
        <v/>
      </c>
      <c r="CC51">
        <f t="array" ref="CC51">IF($D22,IFERROR((SUMPRODUCT((economics!$AG$2:$AG$167=$B51)*(economics!$D$2:$D$167="whr")*economics!$AH$2:$AH$167*(_xlfn.NORM.DIST(CC$3,economics!$AK$2:$AK$167,economics!$AJ$2:$AJ$167,TRUE)-_xlfn.NORM.DIST(CC$30,economics!$AK$2:$AK$167,economics!$AJ$2:$AJ$167,TRUE))*economics!$AM$2:$AM$167)+$CR22*(_xlfn.NORM.DIST(CC$3,$CU22,0.3*$CU22,TRUE)-_xlfn.NORM.DIST(CC$30,$CU22,0.3*$CU22,TRUE))*summary!$C$7/28.8/0.947817+$CS22*(_xlfn.NORM.DIST(CC$3,$CV22,0.3*$CV22,TRUE)-_xlfn.NORM.DIST(CC$30,$CV22,0.3*$CV22,TRUE))*summary!$C$6/28.8/0.947817)/(SUMPRODUCT((economics!$AG$2:$AG$167=$B51)*(economics!$D$2:$D$167="whr")*economics!$AH$2:$AH$167*(_xlfn.NORM.DIST(CC$3,economics!$AK$2:$AK$167,economics!$AJ$2:$AJ$167,TRUE)-_xlfn.NORM.DIST(CC$30,economics!$AK$2:$AK$167,economics!$AJ$2:$AJ$167,TRUE)))+$CR22*(_xlfn.NORM.DIST(CC$3,$CU22,0.3*$CU22,TRUE)-_xlfn.NORM.DIST(CC$30,$CU22,0.3*$CU22,TRUE))+$CS22*(_xlfn.NORM.DIST(CC$3,$CV22,0.3*$CV22,TRUE)-_xlfn.NORM.DIST(CC$30,$CV22,0.3*$CV22,TRUE))),""),IF($C22&gt;0,summary!$C$10/28.8/0.947817,""))</f>
        <v/>
      </c>
      <c r="CD51">
        <f t="array" ref="CD51">IF($D22,IFERROR((SUMPRODUCT((economics!$AG$2:$AG$167=$B51)*(economics!$D$2:$D$167="whr")*economics!$AH$2:$AH$167*(_xlfn.NORM.DIST(CD$3,economics!$AK$2:$AK$167,economics!$AJ$2:$AJ$167,TRUE)-_xlfn.NORM.DIST(CD$30,economics!$AK$2:$AK$167,economics!$AJ$2:$AJ$167,TRUE))*economics!$AM$2:$AM$167)+$CR22*(_xlfn.NORM.DIST(CD$3,$CU22,0.3*$CU22,TRUE)-_xlfn.NORM.DIST(CD$30,$CU22,0.3*$CU22,TRUE))*summary!$C$7/28.8/0.947817+$CS22*(_xlfn.NORM.DIST(CD$3,$CV22,0.3*$CV22,TRUE)-_xlfn.NORM.DIST(CD$30,$CV22,0.3*$CV22,TRUE))*summary!$C$6/28.8/0.947817)/(SUMPRODUCT((economics!$AG$2:$AG$167=$B51)*(economics!$D$2:$D$167="whr")*economics!$AH$2:$AH$167*(_xlfn.NORM.DIST(CD$3,economics!$AK$2:$AK$167,economics!$AJ$2:$AJ$167,TRUE)-_xlfn.NORM.DIST(CD$30,economics!$AK$2:$AK$167,economics!$AJ$2:$AJ$167,TRUE)))+$CR22*(_xlfn.NORM.DIST(CD$3,$CU22,0.3*$CU22,TRUE)-_xlfn.NORM.DIST(CD$30,$CU22,0.3*$CU22,TRUE))+$CS22*(_xlfn.NORM.DIST(CD$3,$CV22,0.3*$CV22,TRUE)-_xlfn.NORM.DIST(CD$30,$CV22,0.3*$CV22,TRUE))),""),IF($C22&gt;0,summary!$C$10/28.8/0.947817,""))</f>
        <v/>
      </c>
      <c r="CE51">
        <f t="array" ref="CE51">IF($D22,IFERROR((SUMPRODUCT((economics!$AG$2:$AG$167=$B51)*(economics!$D$2:$D$167="whr")*economics!$AH$2:$AH$167*(_xlfn.NORM.DIST(CE$3,economics!$AK$2:$AK$167,economics!$AJ$2:$AJ$167,TRUE)-_xlfn.NORM.DIST(CE$30,economics!$AK$2:$AK$167,economics!$AJ$2:$AJ$167,TRUE))*economics!$AM$2:$AM$167)+$CR22*(_xlfn.NORM.DIST(CE$3,$CU22,0.3*$CU22,TRUE)-_xlfn.NORM.DIST(CE$30,$CU22,0.3*$CU22,TRUE))*summary!$C$7/28.8/0.947817+$CS22*(_xlfn.NORM.DIST(CE$3,$CV22,0.3*$CV22,TRUE)-_xlfn.NORM.DIST(CE$30,$CV22,0.3*$CV22,TRUE))*summary!$C$6/28.8/0.947817)/(SUMPRODUCT((economics!$AG$2:$AG$167=$B51)*(economics!$D$2:$D$167="whr")*economics!$AH$2:$AH$167*(_xlfn.NORM.DIST(CE$3,economics!$AK$2:$AK$167,economics!$AJ$2:$AJ$167,TRUE)-_xlfn.NORM.DIST(CE$30,economics!$AK$2:$AK$167,economics!$AJ$2:$AJ$167,TRUE)))+$CR22*(_xlfn.NORM.DIST(CE$3,$CU22,0.3*$CU22,TRUE)-_xlfn.NORM.DIST(CE$30,$CU22,0.3*$CU22,TRUE))+$CS22*(_xlfn.NORM.DIST(CE$3,$CV22,0.3*$CV22,TRUE)-_xlfn.NORM.DIST(CE$30,$CV22,0.3*$CV22,TRUE))),""),IF($C22&gt;0,summary!$C$10/28.8/0.947817,""))</f>
        <v/>
      </c>
      <c r="CF51">
        <f t="array" ref="CF51">IF($D22,IFERROR((SUMPRODUCT((economics!$AG$2:$AG$167=$B51)*(economics!$D$2:$D$167="whr")*economics!$AH$2:$AH$167*(_xlfn.NORM.DIST(CF$3,economics!$AK$2:$AK$167,economics!$AJ$2:$AJ$167,TRUE)-_xlfn.NORM.DIST(CF$30,economics!$AK$2:$AK$167,economics!$AJ$2:$AJ$167,TRUE))*economics!$AM$2:$AM$167)+$CR22*(_xlfn.NORM.DIST(CF$3,$CU22,0.3*$CU22,TRUE)-_xlfn.NORM.DIST(CF$30,$CU22,0.3*$CU22,TRUE))*summary!$C$7/28.8/0.947817+$CS22*(_xlfn.NORM.DIST(CF$3,$CV22,0.3*$CV22,TRUE)-_xlfn.NORM.DIST(CF$30,$CV22,0.3*$CV22,TRUE))*summary!$C$6/28.8/0.947817)/(SUMPRODUCT((economics!$AG$2:$AG$167=$B51)*(economics!$D$2:$D$167="whr")*economics!$AH$2:$AH$167*(_xlfn.NORM.DIST(CF$3,economics!$AK$2:$AK$167,economics!$AJ$2:$AJ$167,TRUE)-_xlfn.NORM.DIST(CF$30,economics!$AK$2:$AK$167,economics!$AJ$2:$AJ$167,TRUE)))+$CR22*(_xlfn.NORM.DIST(CF$3,$CU22,0.3*$CU22,TRUE)-_xlfn.NORM.DIST(CF$30,$CU22,0.3*$CU22,TRUE))+$CS22*(_xlfn.NORM.DIST(CF$3,$CV22,0.3*$CV22,TRUE)-_xlfn.NORM.DIST(CF$30,$CV22,0.3*$CV22,TRUE))),""),IF($C22&gt;0,summary!$C$10/28.8/0.947817,""))</f>
        <v/>
      </c>
      <c r="CG51">
        <f t="array" ref="CG51">IF($D22,IFERROR((SUMPRODUCT((economics!$AG$2:$AG$167=$B51)*(economics!$D$2:$D$167="whr")*economics!$AH$2:$AH$167*(_xlfn.NORM.DIST(CG$3,economics!$AK$2:$AK$167,economics!$AJ$2:$AJ$167,TRUE)-_xlfn.NORM.DIST(CG$30,economics!$AK$2:$AK$167,economics!$AJ$2:$AJ$167,TRUE))*economics!$AM$2:$AM$167)+$CR22*(_xlfn.NORM.DIST(CG$3,$CU22,0.3*$CU22,TRUE)-_xlfn.NORM.DIST(CG$30,$CU22,0.3*$CU22,TRUE))*summary!$C$7/28.8/0.947817+$CS22*(_xlfn.NORM.DIST(CG$3,$CV22,0.3*$CV22,TRUE)-_xlfn.NORM.DIST(CG$30,$CV22,0.3*$CV22,TRUE))*summary!$C$6/28.8/0.947817)/(SUMPRODUCT((economics!$AG$2:$AG$167=$B51)*(economics!$D$2:$D$167="whr")*economics!$AH$2:$AH$167*(_xlfn.NORM.DIST(CG$3,economics!$AK$2:$AK$167,economics!$AJ$2:$AJ$167,TRUE)-_xlfn.NORM.DIST(CG$30,economics!$AK$2:$AK$167,economics!$AJ$2:$AJ$167,TRUE)))+$CR22*(_xlfn.NORM.DIST(CG$3,$CU22,0.3*$CU22,TRUE)-_xlfn.NORM.DIST(CG$30,$CU22,0.3*$CU22,TRUE))+$CS22*(_xlfn.NORM.DIST(CG$3,$CV22,0.3*$CV22,TRUE)-_xlfn.NORM.DIST(CG$30,$CV22,0.3*$CV22,TRUE))),""),IF($C22&gt;0,summary!$C$10/28.8/0.947817,""))</f>
        <v/>
      </c>
      <c r="CH51">
        <f t="array" ref="CH51">IF($D22,IFERROR((SUMPRODUCT((economics!$AG$2:$AG$167=$B51)*(economics!$D$2:$D$167="whr")*economics!$AH$2:$AH$167*(_xlfn.NORM.DIST(CH$3,economics!$AK$2:$AK$167,economics!$AJ$2:$AJ$167,TRUE)-_xlfn.NORM.DIST(CH$30,economics!$AK$2:$AK$167,economics!$AJ$2:$AJ$167,TRUE))*economics!$AM$2:$AM$167)+$CR22*(_xlfn.NORM.DIST(CH$3,$CU22,0.3*$CU22,TRUE)-_xlfn.NORM.DIST(CH$30,$CU22,0.3*$CU22,TRUE))*summary!$C$7/28.8/0.947817+$CS22*(_xlfn.NORM.DIST(CH$3,$CV22,0.3*$CV22,TRUE)-_xlfn.NORM.DIST(CH$30,$CV22,0.3*$CV22,TRUE))*summary!$C$6/28.8/0.947817)/(SUMPRODUCT((economics!$AG$2:$AG$167=$B51)*(economics!$D$2:$D$167="whr")*economics!$AH$2:$AH$167*(_xlfn.NORM.DIST(CH$3,economics!$AK$2:$AK$167,economics!$AJ$2:$AJ$167,TRUE)-_xlfn.NORM.DIST(CH$30,economics!$AK$2:$AK$167,economics!$AJ$2:$AJ$167,TRUE)))+$CR22*(_xlfn.NORM.DIST(CH$3,$CU22,0.3*$CU22,TRUE)-_xlfn.NORM.DIST(CH$30,$CU22,0.3*$CU22,TRUE))+$CS22*(_xlfn.NORM.DIST(CH$3,$CV22,0.3*$CV22,TRUE)-_xlfn.NORM.DIST(CH$30,$CV22,0.3*$CV22,TRUE))),""),IF($C22&gt;0,summary!$C$10/28.8/0.947817,""))</f>
        <v/>
      </c>
    </row>
    <row r="52">
      <c r="A52">
        <f>A23</f>
        <v/>
      </c>
      <c r="B52">
        <f>B23</f>
        <v/>
      </c>
      <c r="E52">
        <f t="array" ref="E52">IF($D23,IFERROR((SUMPRODUCT((economics!$AG$2:$AG$167=$B52)*(economics!$D$2:$D$167="whr")*economics!$AH$2:$AH$167*(_xlfn.NORM.DIST(E$3,economics!$AK$2:$AK$167,economics!$AJ$2:$AJ$167,TRUE)-_xlfn.NORM.DIST(E$30,economics!$AK$2:$AK$167,economics!$AJ$2:$AJ$167,TRUE))*economics!$AM$2:$AM$167)+$CR23*(_xlfn.NORM.DIST(E$3,$CU23,0.3*$CU23,TRUE)-_xlfn.NORM.DIST(E$30,$CU23,0.3*$CU23,TRUE))*summary!$C$7/28.8/0.947817+$CS23*(_xlfn.NORM.DIST(E$3,$CV23,0.3*$CV23,TRUE)-_xlfn.NORM.DIST(E$30,$CV23,0.3*$CV23,TRUE))*summary!$C$6/28.8/0.947817)/(SUMPRODUCT((economics!$AG$2:$AG$167=$B52)*(economics!$D$2:$D$167="whr")*economics!$AH$2:$AH$167*(_xlfn.NORM.DIST(E$3,economics!$AK$2:$AK$167,economics!$AJ$2:$AJ$167,TRUE)-_xlfn.NORM.DIST(E$30,economics!$AK$2:$AK$167,economics!$AJ$2:$AJ$167,TRUE)))+$CR23*(_xlfn.NORM.DIST(E$3,$CU23,0.3*$CU23,TRUE)-_xlfn.NORM.DIST(E$30,$CU23,0.3*$CU23,TRUE))+$CS23*(_xlfn.NORM.DIST(E$3,$CV23,0.3*$CV23,TRUE)-_xlfn.NORM.DIST(E$30,$CV23,0.3*$CV23,TRUE))),""),IF($C23&gt;0,summary!$C$10/28.8/0.947817,""))</f>
        <v/>
      </c>
      <c r="F52">
        <f t="array" ref="F52">IF($D23,IFERROR((SUMPRODUCT((economics!$AG$2:$AG$167=$B52)*(economics!$D$2:$D$167="whr")*economics!$AH$2:$AH$167*(_xlfn.NORM.DIST(F$3,economics!$AK$2:$AK$167,economics!$AJ$2:$AJ$167,TRUE)-_xlfn.NORM.DIST(F$30,economics!$AK$2:$AK$167,economics!$AJ$2:$AJ$167,TRUE))*economics!$AM$2:$AM$167)+$CR23*(_xlfn.NORM.DIST(F$3,$CU23,0.3*$CU23,TRUE)-_xlfn.NORM.DIST(F$30,$CU23,0.3*$CU23,TRUE))*summary!$C$7/28.8/0.947817+$CS23*(_xlfn.NORM.DIST(F$3,$CV23,0.3*$CV23,TRUE)-_xlfn.NORM.DIST(F$30,$CV23,0.3*$CV23,TRUE))*summary!$C$6/28.8/0.947817)/(SUMPRODUCT((economics!$AG$2:$AG$167=$B52)*(economics!$D$2:$D$167="whr")*economics!$AH$2:$AH$167*(_xlfn.NORM.DIST(F$3,economics!$AK$2:$AK$167,economics!$AJ$2:$AJ$167,TRUE)-_xlfn.NORM.DIST(F$30,economics!$AK$2:$AK$167,economics!$AJ$2:$AJ$167,TRUE)))+$CR23*(_xlfn.NORM.DIST(F$3,$CU23,0.3*$CU23,TRUE)-_xlfn.NORM.DIST(F$30,$CU23,0.3*$CU23,TRUE))+$CS23*(_xlfn.NORM.DIST(F$3,$CV23,0.3*$CV23,TRUE)-_xlfn.NORM.DIST(F$30,$CV23,0.3*$CV23,TRUE))),""),IF($C23&gt;0,summary!$C$10/28.8/0.947817,""))</f>
        <v/>
      </c>
      <c r="G52">
        <f t="array" ref="G52">IF($D23,IFERROR((SUMPRODUCT((economics!$AG$2:$AG$167=$B52)*(economics!$D$2:$D$167="whr")*economics!$AH$2:$AH$167*(_xlfn.NORM.DIST(G$3,economics!$AK$2:$AK$167,economics!$AJ$2:$AJ$167,TRUE)-_xlfn.NORM.DIST(G$30,economics!$AK$2:$AK$167,economics!$AJ$2:$AJ$167,TRUE))*economics!$AM$2:$AM$167)+$CR23*(_xlfn.NORM.DIST(G$3,$CU23,0.3*$CU23,TRUE)-_xlfn.NORM.DIST(G$30,$CU23,0.3*$CU23,TRUE))*summary!$C$7/28.8/0.947817+$CS23*(_xlfn.NORM.DIST(G$3,$CV23,0.3*$CV23,TRUE)-_xlfn.NORM.DIST(G$30,$CV23,0.3*$CV23,TRUE))*summary!$C$6/28.8/0.947817)/(SUMPRODUCT((economics!$AG$2:$AG$167=$B52)*(economics!$D$2:$D$167="whr")*economics!$AH$2:$AH$167*(_xlfn.NORM.DIST(G$3,economics!$AK$2:$AK$167,economics!$AJ$2:$AJ$167,TRUE)-_xlfn.NORM.DIST(G$30,economics!$AK$2:$AK$167,economics!$AJ$2:$AJ$167,TRUE)))+$CR23*(_xlfn.NORM.DIST(G$3,$CU23,0.3*$CU23,TRUE)-_xlfn.NORM.DIST(G$30,$CU23,0.3*$CU23,TRUE))+$CS23*(_xlfn.NORM.DIST(G$3,$CV23,0.3*$CV23,TRUE)-_xlfn.NORM.DIST(G$30,$CV23,0.3*$CV23,TRUE))),""),IF($C23&gt;0,summary!$C$10/28.8/0.947817,""))</f>
        <v/>
      </c>
      <c r="H52">
        <f t="array" ref="H52">IF($D23,IFERROR((SUMPRODUCT((economics!$AG$2:$AG$167=$B52)*(economics!$D$2:$D$167="whr")*economics!$AH$2:$AH$167*(_xlfn.NORM.DIST(H$3,economics!$AK$2:$AK$167,economics!$AJ$2:$AJ$167,TRUE)-_xlfn.NORM.DIST(H$30,economics!$AK$2:$AK$167,economics!$AJ$2:$AJ$167,TRUE))*economics!$AM$2:$AM$167)+$CR23*(_xlfn.NORM.DIST(H$3,$CU23,0.3*$CU23,TRUE)-_xlfn.NORM.DIST(H$30,$CU23,0.3*$CU23,TRUE))*summary!$C$7/28.8/0.947817+$CS23*(_xlfn.NORM.DIST(H$3,$CV23,0.3*$CV23,TRUE)-_xlfn.NORM.DIST(H$30,$CV23,0.3*$CV23,TRUE))*summary!$C$6/28.8/0.947817)/(SUMPRODUCT((economics!$AG$2:$AG$167=$B52)*(economics!$D$2:$D$167="whr")*economics!$AH$2:$AH$167*(_xlfn.NORM.DIST(H$3,economics!$AK$2:$AK$167,economics!$AJ$2:$AJ$167,TRUE)-_xlfn.NORM.DIST(H$30,economics!$AK$2:$AK$167,economics!$AJ$2:$AJ$167,TRUE)))+$CR23*(_xlfn.NORM.DIST(H$3,$CU23,0.3*$CU23,TRUE)-_xlfn.NORM.DIST(H$30,$CU23,0.3*$CU23,TRUE))+$CS23*(_xlfn.NORM.DIST(H$3,$CV23,0.3*$CV23,TRUE)-_xlfn.NORM.DIST(H$30,$CV23,0.3*$CV23,TRUE))),""),IF($C23&gt;0,summary!$C$10/28.8/0.947817,""))</f>
        <v/>
      </c>
      <c r="I52">
        <f t="array" ref="I52">IF($D23,IFERROR((SUMPRODUCT((economics!$AG$2:$AG$167=$B52)*(economics!$D$2:$D$167="whr")*economics!$AH$2:$AH$167*(_xlfn.NORM.DIST(I$3,economics!$AK$2:$AK$167,economics!$AJ$2:$AJ$167,TRUE)-_xlfn.NORM.DIST(I$30,economics!$AK$2:$AK$167,economics!$AJ$2:$AJ$167,TRUE))*economics!$AM$2:$AM$167)+$CR23*(_xlfn.NORM.DIST(I$3,$CU23,0.3*$CU23,TRUE)-_xlfn.NORM.DIST(I$30,$CU23,0.3*$CU23,TRUE))*summary!$C$7/28.8/0.947817+$CS23*(_xlfn.NORM.DIST(I$3,$CV23,0.3*$CV23,TRUE)-_xlfn.NORM.DIST(I$30,$CV23,0.3*$CV23,TRUE))*summary!$C$6/28.8/0.947817)/(SUMPRODUCT((economics!$AG$2:$AG$167=$B52)*(economics!$D$2:$D$167="whr")*economics!$AH$2:$AH$167*(_xlfn.NORM.DIST(I$3,economics!$AK$2:$AK$167,economics!$AJ$2:$AJ$167,TRUE)-_xlfn.NORM.DIST(I$30,economics!$AK$2:$AK$167,economics!$AJ$2:$AJ$167,TRUE)))+$CR23*(_xlfn.NORM.DIST(I$3,$CU23,0.3*$CU23,TRUE)-_xlfn.NORM.DIST(I$30,$CU23,0.3*$CU23,TRUE))+$CS23*(_xlfn.NORM.DIST(I$3,$CV23,0.3*$CV23,TRUE)-_xlfn.NORM.DIST(I$30,$CV23,0.3*$CV23,TRUE))),""),IF($C23&gt;0,summary!$C$10/28.8/0.947817,""))</f>
        <v/>
      </c>
      <c r="J52">
        <f t="array" ref="J52">IF($D23,IFERROR((SUMPRODUCT((economics!$AG$2:$AG$167=$B52)*(economics!$D$2:$D$167="whr")*economics!$AH$2:$AH$167*(_xlfn.NORM.DIST(J$3,economics!$AK$2:$AK$167,economics!$AJ$2:$AJ$167,TRUE)-_xlfn.NORM.DIST(J$30,economics!$AK$2:$AK$167,economics!$AJ$2:$AJ$167,TRUE))*economics!$AM$2:$AM$167)+$CR23*(_xlfn.NORM.DIST(J$3,$CU23,0.3*$CU23,TRUE)-_xlfn.NORM.DIST(J$30,$CU23,0.3*$CU23,TRUE))*summary!$C$7/28.8/0.947817+$CS23*(_xlfn.NORM.DIST(J$3,$CV23,0.3*$CV23,TRUE)-_xlfn.NORM.DIST(J$30,$CV23,0.3*$CV23,TRUE))*summary!$C$6/28.8/0.947817)/(SUMPRODUCT((economics!$AG$2:$AG$167=$B52)*(economics!$D$2:$D$167="whr")*economics!$AH$2:$AH$167*(_xlfn.NORM.DIST(J$3,economics!$AK$2:$AK$167,economics!$AJ$2:$AJ$167,TRUE)-_xlfn.NORM.DIST(J$30,economics!$AK$2:$AK$167,economics!$AJ$2:$AJ$167,TRUE)))+$CR23*(_xlfn.NORM.DIST(J$3,$CU23,0.3*$CU23,TRUE)-_xlfn.NORM.DIST(J$30,$CU23,0.3*$CU23,TRUE))+$CS23*(_xlfn.NORM.DIST(J$3,$CV23,0.3*$CV23,TRUE)-_xlfn.NORM.DIST(J$30,$CV23,0.3*$CV23,TRUE))),""),IF($C23&gt;0,summary!$C$10/28.8/0.947817,""))</f>
        <v/>
      </c>
      <c r="K52">
        <f t="array" ref="K52">IF($D23,IFERROR((SUMPRODUCT((economics!$AG$2:$AG$167=$B52)*(economics!$D$2:$D$167="whr")*economics!$AH$2:$AH$167*(_xlfn.NORM.DIST(K$3,economics!$AK$2:$AK$167,economics!$AJ$2:$AJ$167,TRUE)-_xlfn.NORM.DIST(K$30,economics!$AK$2:$AK$167,economics!$AJ$2:$AJ$167,TRUE))*economics!$AM$2:$AM$167)+$CR23*(_xlfn.NORM.DIST(K$3,$CU23,0.3*$CU23,TRUE)-_xlfn.NORM.DIST(K$30,$CU23,0.3*$CU23,TRUE))*summary!$C$7/28.8/0.947817+$CS23*(_xlfn.NORM.DIST(K$3,$CV23,0.3*$CV23,TRUE)-_xlfn.NORM.DIST(K$30,$CV23,0.3*$CV23,TRUE))*summary!$C$6/28.8/0.947817)/(SUMPRODUCT((economics!$AG$2:$AG$167=$B52)*(economics!$D$2:$D$167="whr")*economics!$AH$2:$AH$167*(_xlfn.NORM.DIST(K$3,economics!$AK$2:$AK$167,economics!$AJ$2:$AJ$167,TRUE)-_xlfn.NORM.DIST(K$30,economics!$AK$2:$AK$167,economics!$AJ$2:$AJ$167,TRUE)))+$CR23*(_xlfn.NORM.DIST(K$3,$CU23,0.3*$CU23,TRUE)-_xlfn.NORM.DIST(K$30,$CU23,0.3*$CU23,TRUE))+$CS23*(_xlfn.NORM.DIST(K$3,$CV23,0.3*$CV23,TRUE)-_xlfn.NORM.DIST(K$30,$CV23,0.3*$CV23,TRUE))),""),IF($C23&gt;0,summary!$C$10/28.8/0.947817,""))</f>
        <v/>
      </c>
      <c r="L52">
        <f t="array" ref="L52">IF($D23,IFERROR((SUMPRODUCT((economics!$AG$2:$AG$167=$B52)*(economics!$D$2:$D$167="whr")*economics!$AH$2:$AH$167*(_xlfn.NORM.DIST(L$3,economics!$AK$2:$AK$167,economics!$AJ$2:$AJ$167,TRUE)-_xlfn.NORM.DIST(L$30,economics!$AK$2:$AK$167,economics!$AJ$2:$AJ$167,TRUE))*economics!$AM$2:$AM$167)+$CR23*(_xlfn.NORM.DIST(L$3,$CU23,0.3*$CU23,TRUE)-_xlfn.NORM.DIST(L$30,$CU23,0.3*$CU23,TRUE))*summary!$C$7/28.8/0.947817+$CS23*(_xlfn.NORM.DIST(L$3,$CV23,0.3*$CV23,TRUE)-_xlfn.NORM.DIST(L$30,$CV23,0.3*$CV23,TRUE))*summary!$C$6/28.8/0.947817)/(SUMPRODUCT((economics!$AG$2:$AG$167=$B52)*(economics!$D$2:$D$167="whr")*economics!$AH$2:$AH$167*(_xlfn.NORM.DIST(L$3,economics!$AK$2:$AK$167,economics!$AJ$2:$AJ$167,TRUE)-_xlfn.NORM.DIST(L$30,economics!$AK$2:$AK$167,economics!$AJ$2:$AJ$167,TRUE)))+$CR23*(_xlfn.NORM.DIST(L$3,$CU23,0.3*$CU23,TRUE)-_xlfn.NORM.DIST(L$30,$CU23,0.3*$CU23,TRUE))+$CS23*(_xlfn.NORM.DIST(L$3,$CV23,0.3*$CV23,TRUE)-_xlfn.NORM.DIST(L$30,$CV23,0.3*$CV23,TRUE))),""),IF($C23&gt;0,summary!$C$10/28.8/0.947817,""))</f>
        <v/>
      </c>
      <c r="M52">
        <f t="array" ref="M52">IF($D23,IFERROR((SUMPRODUCT((economics!$AG$2:$AG$167=$B52)*(economics!$D$2:$D$167="whr")*economics!$AH$2:$AH$167*(_xlfn.NORM.DIST(M$3,economics!$AK$2:$AK$167,economics!$AJ$2:$AJ$167,TRUE)-_xlfn.NORM.DIST(M$30,economics!$AK$2:$AK$167,economics!$AJ$2:$AJ$167,TRUE))*economics!$AM$2:$AM$167)+$CR23*(_xlfn.NORM.DIST(M$3,$CU23,0.3*$CU23,TRUE)-_xlfn.NORM.DIST(M$30,$CU23,0.3*$CU23,TRUE))*summary!$C$7/28.8/0.947817+$CS23*(_xlfn.NORM.DIST(M$3,$CV23,0.3*$CV23,TRUE)-_xlfn.NORM.DIST(M$30,$CV23,0.3*$CV23,TRUE))*summary!$C$6/28.8/0.947817)/(SUMPRODUCT((economics!$AG$2:$AG$167=$B52)*(economics!$D$2:$D$167="whr")*economics!$AH$2:$AH$167*(_xlfn.NORM.DIST(M$3,economics!$AK$2:$AK$167,economics!$AJ$2:$AJ$167,TRUE)-_xlfn.NORM.DIST(M$30,economics!$AK$2:$AK$167,economics!$AJ$2:$AJ$167,TRUE)))+$CR23*(_xlfn.NORM.DIST(M$3,$CU23,0.3*$CU23,TRUE)-_xlfn.NORM.DIST(M$30,$CU23,0.3*$CU23,TRUE))+$CS23*(_xlfn.NORM.DIST(M$3,$CV23,0.3*$CV23,TRUE)-_xlfn.NORM.DIST(M$30,$CV23,0.3*$CV23,TRUE))),""),IF($C23&gt;0,summary!$C$10/28.8/0.947817,""))</f>
        <v/>
      </c>
      <c r="N52">
        <f t="array" ref="N52">IF($D23,IFERROR((SUMPRODUCT((economics!$AG$2:$AG$167=$B52)*(economics!$D$2:$D$167="whr")*economics!$AH$2:$AH$167*(_xlfn.NORM.DIST(N$3,economics!$AK$2:$AK$167,economics!$AJ$2:$AJ$167,TRUE)-_xlfn.NORM.DIST(N$30,economics!$AK$2:$AK$167,economics!$AJ$2:$AJ$167,TRUE))*economics!$AM$2:$AM$167)+$CR23*(_xlfn.NORM.DIST(N$3,$CU23,0.3*$CU23,TRUE)-_xlfn.NORM.DIST(N$30,$CU23,0.3*$CU23,TRUE))*summary!$C$7/28.8/0.947817+$CS23*(_xlfn.NORM.DIST(N$3,$CV23,0.3*$CV23,TRUE)-_xlfn.NORM.DIST(N$30,$CV23,0.3*$CV23,TRUE))*summary!$C$6/28.8/0.947817)/(SUMPRODUCT((economics!$AG$2:$AG$167=$B52)*(economics!$D$2:$D$167="whr")*economics!$AH$2:$AH$167*(_xlfn.NORM.DIST(N$3,economics!$AK$2:$AK$167,economics!$AJ$2:$AJ$167,TRUE)-_xlfn.NORM.DIST(N$30,economics!$AK$2:$AK$167,economics!$AJ$2:$AJ$167,TRUE)))+$CR23*(_xlfn.NORM.DIST(N$3,$CU23,0.3*$CU23,TRUE)-_xlfn.NORM.DIST(N$30,$CU23,0.3*$CU23,TRUE))+$CS23*(_xlfn.NORM.DIST(N$3,$CV23,0.3*$CV23,TRUE)-_xlfn.NORM.DIST(N$30,$CV23,0.3*$CV23,TRUE))),""),IF($C23&gt;0,summary!$C$10/28.8/0.947817,""))</f>
        <v/>
      </c>
      <c r="O52">
        <f t="array" ref="O52">IF($D23,IFERROR((SUMPRODUCT((economics!$AG$2:$AG$167=$B52)*(economics!$D$2:$D$167="whr")*economics!$AH$2:$AH$167*(_xlfn.NORM.DIST(O$3,economics!$AK$2:$AK$167,economics!$AJ$2:$AJ$167,TRUE)-_xlfn.NORM.DIST(O$30,economics!$AK$2:$AK$167,economics!$AJ$2:$AJ$167,TRUE))*economics!$AM$2:$AM$167)+$CR23*(_xlfn.NORM.DIST(O$3,$CU23,0.3*$CU23,TRUE)-_xlfn.NORM.DIST(O$30,$CU23,0.3*$CU23,TRUE))*summary!$C$7/28.8/0.947817+$CS23*(_xlfn.NORM.DIST(O$3,$CV23,0.3*$CV23,TRUE)-_xlfn.NORM.DIST(O$30,$CV23,0.3*$CV23,TRUE))*summary!$C$6/28.8/0.947817)/(SUMPRODUCT((economics!$AG$2:$AG$167=$B52)*(economics!$D$2:$D$167="whr")*economics!$AH$2:$AH$167*(_xlfn.NORM.DIST(O$3,economics!$AK$2:$AK$167,economics!$AJ$2:$AJ$167,TRUE)-_xlfn.NORM.DIST(O$30,economics!$AK$2:$AK$167,economics!$AJ$2:$AJ$167,TRUE)))+$CR23*(_xlfn.NORM.DIST(O$3,$CU23,0.3*$CU23,TRUE)-_xlfn.NORM.DIST(O$30,$CU23,0.3*$CU23,TRUE))+$CS23*(_xlfn.NORM.DIST(O$3,$CV23,0.3*$CV23,TRUE)-_xlfn.NORM.DIST(O$30,$CV23,0.3*$CV23,TRUE))),""),IF($C23&gt;0,summary!$C$10/28.8/0.947817,""))</f>
        <v/>
      </c>
      <c r="P52">
        <f t="array" ref="P52">IF($D23,IFERROR((SUMPRODUCT((economics!$AG$2:$AG$167=$B52)*(economics!$D$2:$D$167="whr")*economics!$AH$2:$AH$167*(_xlfn.NORM.DIST(P$3,economics!$AK$2:$AK$167,economics!$AJ$2:$AJ$167,TRUE)-_xlfn.NORM.DIST(P$30,economics!$AK$2:$AK$167,economics!$AJ$2:$AJ$167,TRUE))*economics!$AM$2:$AM$167)+$CR23*(_xlfn.NORM.DIST(P$3,$CU23,0.3*$CU23,TRUE)-_xlfn.NORM.DIST(P$30,$CU23,0.3*$CU23,TRUE))*summary!$C$7/28.8/0.947817+$CS23*(_xlfn.NORM.DIST(P$3,$CV23,0.3*$CV23,TRUE)-_xlfn.NORM.DIST(P$30,$CV23,0.3*$CV23,TRUE))*summary!$C$6/28.8/0.947817)/(SUMPRODUCT((economics!$AG$2:$AG$167=$B52)*(economics!$D$2:$D$167="whr")*economics!$AH$2:$AH$167*(_xlfn.NORM.DIST(P$3,economics!$AK$2:$AK$167,economics!$AJ$2:$AJ$167,TRUE)-_xlfn.NORM.DIST(P$30,economics!$AK$2:$AK$167,economics!$AJ$2:$AJ$167,TRUE)))+$CR23*(_xlfn.NORM.DIST(P$3,$CU23,0.3*$CU23,TRUE)-_xlfn.NORM.DIST(P$30,$CU23,0.3*$CU23,TRUE))+$CS23*(_xlfn.NORM.DIST(P$3,$CV23,0.3*$CV23,TRUE)-_xlfn.NORM.DIST(P$30,$CV23,0.3*$CV23,TRUE))),""),IF($C23&gt;0,summary!$C$10/28.8/0.947817,""))</f>
        <v/>
      </c>
      <c r="Q52">
        <f t="array" ref="Q52">IF($D23,IFERROR((SUMPRODUCT((economics!$AG$2:$AG$167=$B52)*(economics!$D$2:$D$167="whr")*economics!$AH$2:$AH$167*(_xlfn.NORM.DIST(Q$3,economics!$AK$2:$AK$167,economics!$AJ$2:$AJ$167,TRUE)-_xlfn.NORM.DIST(Q$30,economics!$AK$2:$AK$167,economics!$AJ$2:$AJ$167,TRUE))*economics!$AM$2:$AM$167)+$CR23*(_xlfn.NORM.DIST(Q$3,$CU23,0.3*$CU23,TRUE)-_xlfn.NORM.DIST(Q$30,$CU23,0.3*$CU23,TRUE))*summary!$C$7/28.8/0.947817+$CS23*(_xlfn.NORM.DIST(Q$3,$CV23,0.3*$CV23,TRUE)-_xlfn.NORM.DIST(Q$30,$CV23,0.3*$CV23,TRUE))*summary!$C$6/28.8/0.947817)/(SUMPRODUCT((economics!$AG$2:$AG$167=$B52)*(economics!$D$2:$D$167="whr")*economics!$AH$2:$AH$167*(_xlfn.NORM.DIST(Q$3,economics!$AK$2:$AK$167,economics!$AJ$2:$AJ$167,TRUE)-_xlfn.NORM.DIST(Q$30,economics!$AK$2:$AK$167,economics!$AJ$2:$AJ$167,TRUE)))+$CR23*(_xlfn.NORM.DIST(Q$3,$CU23,0.3*$CU23,TRUE)-_xlfn.NORM.DIST(Q$30,$CU23,0.3*$CU23,TRUE))+$CS23*(_xlfn.NORM.DIST(Q$3,$CV23,0.3*$CV23,TRUE)-_xlfn.NORM.DIST(Q$30,$CV23,0.3*$CV23,TRUE))),""),IF($C23&gt;0,summary!$C$10/28.8/0.947817,""))</f>
        <v/>
      </c>
      <c r="R52">
        <f t="array" ref="R52">IF($D23,IFERROR((SUMPRODUCT((economics!$AG$2:$AG$167=$B52)*(economics!$D$2:$D$167="whr")*economics!$AH$2:$AH$167*(_xlfn.NORM.DIST(R$3,economics!$AK$2:$AK$167,economics!$AJ$2:$AJ$167,TRUE)-_xlfn.NORM.DIST(R$30,economics!$AK$2:$AK$167,economics!$AJ$2:$AJ$167,TRUE))*economics!$AM$2:$AM$167)+$CR23*(_xlfn.NORM.DIST(R$3,$CU23,0.3*$CU23,TRUE)-_xlfn.NORM.DIST(R$30,$CU23,0.3*$CU23,TRUE))*summary!$C$7/28.8/0.947817+$CS23*(_xlfn.NORM.DIST(R$3,$CV23,0.3*$CV23,TRUE)-_xlfn.NORM.DIST(R$30,$CV23,0.3*$CV23,TRUE))*summary!$C$6/28.8/0.947817)/(SUMPRODUCT((economics!$AG$2:$AG$167=$B52)*(economics!$D$2:$D$167="whr")*economics!$AH$2:$AH$167*(_xlfn.NORM.DIST(R$3,economics!$AK$2:$AK$167,economics!$AJ$2:$AJ$167,TRUE)-_xlfn.NORM.DIST(R$30,economics!$AK$2:$AK$167,economics!$AJ$2:$AJ$167,TRUE)))+$CR23*(_xlfn.NORM.DIST(R$3,$CU23,0.3*$CU23,TRUE)-_xlfn.NORM.DIST(R$30,$CU23,0.3*$CU23,TRUE))+$CS23*(_xlfn.NORM.DIST(R$3,$CV23,0.3*$CV23,TRUE)-_xlfn.NORM.DIST(R$30,$CV23,0.3*$CV23,TRUE))),""),IF($C23&gt;0,summary!$C$10/28.8/0.947817,""))</f>
        <v/>
      </c>
      <c r="S52">
        <f t="array" ref="S52">IF($D23,IFERROR((SUMPRODUCT((economics!$AG$2:$AG$167=$B52)*(economics!$D$2:$D$167="whr")*economics!$AH$2:$AH$167*(_xlfn.NORM.DIST(S$3,economics!$AK$2:$AK$167,economics!$AJ$2:$AJ$167,TRUE)-_xlfn.NORM.DIST(S$30,economics!$AK$2:$AK$167,economics!$AJ$2:$AJ$167,TRUE))*economics!$AM$2:$AM$167)+$CR23*(_xlfn.NORM.DIST(S$3,$CU23,0.3*$CU23,TRUE)-_xlfn.NORM.DIST(S$30,$CU23,0.3*$CU23,TRUE))*summary!$C$7/28.8/0.947817+$CS23*(_xlfn.NORM.DIST(S$3,$CV23,0.3*$CV23,TRUE)-_xlfn.NORM.DIST(S$30,$CV23,0.3*$CV23,TRUE))*summary!$C$6/28.8/0.947817)/(SUMPRODUCT((economics!$AG$2:$AG$167=$B52)*(economics!$D$2:$D$167="whr")*economics!$AH$2:$AH$167*(_xlfn.NORM.DIST(S$3,economics!$AK$2:$AK$167,economics!$AJ$2:$AJ$167,TRUE)-_xlfn.NORM.DIST(S$30,economics!$AK$2:$AK$167,economics!$AJ$2:$AJ$167,TRUE)))+$CR23*(_xlfn.NORM.DIST(S$3,$CU23,0.3*$CU23,TRUE)-_xlfn.NORM.DIST(S$30,$CU23,0.3*$CU23,TRUE))+$CS23*(_xlfn.NORM.DIST(S$3,$CV23,0.3*$CV23,TRUE)-_xlfn.NORM.DIST(S$30,$CV23,0.3*$CV23,TRUE))),""),IF($C23&gt;0,summary!$C$10/28.8/0.947817,""))</f>
        <v/>
      </c>
      <c r="T52">
        <f t="array" ref="T52">IF($D23,IFERROR((SUMPRODUCT((economics!$AG$2:$AG$167=$B52)*(economics!$D$2:$D$167="whr")*economics!$AH$2:$AH$167*(_xlfn.NORM.DIST(T$3,economics!$AK$2:$AK$167,economics!$AJ$2:$AJ$167,TRUE)-_xlfn.NORM.DIST(T$30,economics!$AK$2:$AK$167,economics!$AJ$2:$AJ$167,TRUE))*economics!$AM$2:$AM$167)+$CR23*(_xlfn.NORM.DIST(T$3,$CU23,0.3*$CU23,TRUE)-_xlfn.NORM.DIST(T$30,$CU23,0.3*$CU23,TRUE))*summary!$C$7/28.8/0.947817+$CS23*(_xlfn.NORM.DIST(T$3,$CV23,0.3*$CV23,TRUE)-_xlfn.NORM.DIST(T$30,$CV23,0.3*$CV23,TRUE))*summary!$C$6/28.8/0.947817)/(SUMPRODUCT((economics!$AG$2:$AG$167=$B52)*(economics!$D$2:$D$167="whr")*economics!$AH$2:$AH$167*(_xlfn.NORM.DIST(T$3,economics!$AK$2:$AK$167,economics!$AJ$2:$AJ$167,TRUE)-_xlfn.NORM.DIST(T$30,economics!$AK$2:$AK$167,economics!$AJ$2:$AJ$167,TRUE)))+$CR23*(_xlfn.NORM.DIST(T$3,$CU23,0.3*$CU23,TRUE)-_xlfn.NORM.DIST(T$30,$CU23,0.3*$CU23,TRUE))+$CS23*(_xlfn.NORM.DIST(T$3,$CV23,0.3*$CV23,TRUE)-_xlfn.NORM.DIST(T$30,$CV23,0.3*$CV23,TRUE))),""),IF($C23&gt;0,summary!$C$10/28.8/0.947817,""))</f>
        <v/>
      </c>
      <c r="U52">
        <f t="array" ref="U52">IF($D23,IFERROR((SUMPRODUCT((economics!$AG$2:$AG$167=$B52)*(economics!$D$2:$D$167="whr")*economics!$AH$2:$AH$167*(_xlfn.NORM.DIST(U$3,economics!$AK$2:$AK$167,economics!$AJ$2:$AJ$167,TRUE)-_xlfn.NORM.DIST(U$30,economics!$AK$2:$AK$167,economics!$AJ$2:$AJ$167,TRUE))*economics!$AM$2:$AM$167)+$CR23*(_xlfn.NORM.DIST(U$3,$CU23,0.3*$CU23,TRUE)-_xlfn.NORM.DIST(U$30,$CU23,0.3*$CU23,TRUE))*summary!$C$7/28.8/0.947817+$CS23*(_xlfn.NORM.DIST(U$3,$CV23,0.3*$CV23,TRUE)-_xlfn.NORM.DIST(U$30,$CV23,0.3*$CV23,TRUE))*summary!$C$6/28.8/0.947817)/(SUMPRODUCT((economics!$AG$2:$AG$167=$B52)*(economics!$D$2:$D$167="whr")*economics!$AH$2:$AH$167*(_xlfn.NORM.DIST(U$3,economics!$AK$2:$AK$167,economics!$AJ$2:$AJ$167,TRUE)-_xlfn.NORM.DIST(U$30,economics!$AK$2:$AK$167,economics!$AJ$2:$AJ$167,TRUE)))+$CR23*(_xlfn.NORM.DIST(U$3,$CU23,0.3*$CU23,TRUE)-_xlfn.NORM.DIST(U$30,$CU23,0.3*$CU23,TRUE))+$CS23*(_xlfn.NORM.DIST(U$3,$CV23,0.3*$CV23,TRUE)-_xlfn.NORM.DIST(U$30,$CV23,0.3*$CV23,TRUE))),""),IF($C23&gt;0,summary!$C$10/28.8/0.947817,""))</f>
        <v/>
      </c>
      <c r="V52">
        <f t="array" ref="V52">IF($D23,IFERROR((SUMPRODUCT((economics!$AG$2:$AG$167=$B52)*(economics!$D$2:$D$167="whr")*economics!$AH$2:$AH$167*(_xlfn.NORM.DIST(V$3,economics!$AK$2:$AK$167,economics!$AJ$2:$AJ$167,TRUE)-_xlfn.NORM.DIST(V$30,economics!$AK$2:$AK$167,economics!$AJ$2:$AJ$167,TRUE))*economics!$AM$2:$AM$167)+$CR23*(_xlfn.NORM.DIST(V$3,$CU23,0.3*$CU23,TRUE)-_xlfn.NORM.DIST(V$30,$CU23,0.3*$CU23,TRUE))*summary!$C$7/28.8/0.947817+$CS23*(_xlfn.NORM.DIST(V$3,$CV23,0.3*$CV23,TRUE)-_xlfn.NORM.DIST(V$30,$CV23,0.3*$CV23,TRUE))*summary!$C$6/28.8/0.947817)/(SUMPRODUCT((economics!$AG$2:$AG$167=$B52)*(economics!$D$2:$D$167="whr")*economics!$AH$2:$AH$167*(_xlfn.NORM.DIST(V$3,economics!$AK$2:$AK$167,economics!$AJ$2:$AJ$167,TRUE)-_xlfn.NORM.DIST(V$30,economics!$AK$2:$AK$167,economics!$AJ$2:$AJ$167,TRUE)))+$CR23*(_xlfn.NORM.DIST(V$3,$CU23,0.3*$CU23,TRUE)-_xlfn.NORM.DIST(V$30,$CU23,0.3*$CU23,TRUE))+$CS23*(_xlfn.NORM.DIST(V$3,$CV23,0.3*$CV23,TRUE)-_xlfn.NORM.DIST(V$30,$CV23,0.3*$CV23,TRUE))),""),IF($C23&gt;0,summary!$C$10/28.8/0.947817,""))</f>
        <v/>
      </c>
      <c r="W52">
        <f t="array" ref="W52">IF($D23,IFERROR((SUMPRODUCT((economics!$AG$2:$AG$167=$B52)*(economics!$D$2:$D$167="whr")*economics!$AH$2:$AH$167*(_xlfn.NORM.DIST(W$3,economics!$AK$2:$AK$167,economics!$AJ$2:$AJ$167,TRUE)-_xlfn.NORM.DIST(W$30,economics!$AK$2:$AK$167,economics!$AJ$2:$AJ$167,TRUE))*economics!$AM$2:$AM$167)+$CR23*(_xlfn.NORM.DIST(W$3,$CU23,0.3*$CU23,TRUE)-_xlfn.NORM.DIST(W$30,$CU23,0.3*$CU23,TRUE))*summary!$C$7/28.8/0.947817+$CS23*(_xlfn.NORM.DIST(W$3,$CV23,0.3*$CV23,TRUE)-_xlfn.NORM.DIST(W$30,$CV23,0.3*$CV23,TRUE))*summary!$C$6/28.8/0.947817)/(SUMPRODUCT((economics!$AG$2:$AG$167=$B52)*(economics!$D$2:$D$167="whr")*economics!$AH$2:$AH$167*(_xlfn.NORM.DIST(W$3,economics!$AK$2:$AK$167,economics!$AJ$2:$AJ$167,TRUE)-_xlfn.NORM.DIST(W$30,economics!$AK$2:$AK$167,economics!$AJ$2:$AJ$167,TRUE)))+$CR23*(_xlfn.NORM.DIST(W$3,$CU23,0.3*$CU23,TRUE)-_xlfn.NORM.DIST(W$30,$CU23,0.3*$CU23,TRUE))+$CS23*(_xlfn.NORM.DIST(W$3,$CV23,0.3*$CV23,TRUE)-_xlfn.NORM.DIST(W$30,$CV23,0.3*$CV23,TRUE))),""),IF($C23&gt;0,summary!$C$10/28.8/0.947817,""))</f>
        <v/>
      </c>
      <c r="X52">
        <f t="array" ref="X52">IF($D23,IFERROR((SUMPRODUCT((economics!$AG$2:$AG$167=$B52)*(economics!$D$2:$D$167="whr")*economics!$AH$2:$AH$167*(_xlfn.NORM.DIST(X$3,economics!$AK$2:$AK$167,economics!$AJ$2:$AJ$167,TRUE)-_xlfn.NORM.DIST(X$30,economics!$AK$2:$AK$167,economics!$AJ$2:$AJ$167,TRUE))*economics!$AM$2:$AM$167)+$CR23*(_xlfn.NORM.DIST(X$3,$CU23,0.3*$CU23,TRUE)-_xlfn.NORM.DIST(X$30,$CU23,0.3*$CU23,TRUE))*summary!$C$7/28.8/0.947817+$CS23*(_xlfn.NORM.DIST(X$3,$CV23,0.3*$CV23,TRUE)-_xlfn.NORM.DIST(X$30,$CV23,0.3*$CV23,TRUE))*summary!$C$6/28.8/0.947817)/(SUMPRODUCT((economics!$AG$2:$AG$167=$B52)*(economics!$D$2:$D$167="whr")*economics!$AH$2:$AH$167*(_xlfn.NORM.DIST(X$3,economics!$AK$2:$AK$167,economics!$AJ$2:$AJ$167,TRUE)-_xlfn.NORM.DIST(X$30,economics!$AK$2:$AK$167,economics!$AJ$2:$AJ$167,TRUE)))+$CR23*(_xlfn.NORM.DIST(X$3,$CU23,0.3*$CU23,TRUE)-_xlfn.NORM.DIST(X$30,$CU23,0.3*$CU23,TRUE))+$CS23*(_xlfn.NORM.DIST(X$3,$CV23,0.3*$CV23,TRUE)-_xlfn.NORM.DIST(X$30,$CV23,0.3*$CV23,TRUE))),""),IF($C23&gt;0,summary!$C$10/28.8/0.947817,""))</f>
        <v/>
      </c>
      <c r="Y52">
        <f t="array" ref="Y52">IF($D23,IFERROR((SUMPRODUCT((economics!$AG$2:$AG$167=$B52)*(economics!$D$2:$D$167="whr")*economics!$AH$2:$AH$167*(_xlfn.NORM.DIST(Y$3,economics!$AK$2:$AK$167,economics!$AJ$2:$AJ$167,TRUE)-_xlfn.NORM.DIST(Y$30,economics!$AK$2:$AK$167,economics!$AJ$2:$AJ$167,TRUE))*economics!$AM$2:$AM$167)+$CR23*(_xlfn.NORM.DIST(Y$3,$CU23,0.3*$CU23,TRUE)-_xlfn.NORM.DIST(Y$30,$CU23,0.3*$CU23,TRUE))*summary!$C$7/28.8/0.947817+$CS23*(_xlfn.NORM.DIST(Y$3,$CV23,0.3*$CV23,TRUE)-_xlfn.NORM.DIST(Y$30,$CV23,0.3*$CV23,TRUE))*summary!$C$6/28.8/0.947817)/(SUMPRODUCT((economics!$AG$2:$AG$167=$B52)*(economics!$D$2:$D$167="whr")*economics!$AH$2:$AH$167*(_xlfn.NORM.DIST(Y$3,economics!$AK$2:$AK$167,economics!$AJ$2:$AJ$167,TRUE)-_xlfn.NORM.DIST(Y$30,economics!$AK$2:$AK$167,economics!$AJ$2:$AJ$167,TRUE)))+$CR23*(_xlfn.NORM.DIST(Y$3,$CU23,0.3*$CU23,TRUE)-_xlfn.NORM.DIST(Y$30,$CU23,0.3*$CU23,TRUE))+$CS23*(_xlfn.NORM.DIST(Y$3,$CV23,0.3*$CV23,TRUE)-_xlfn.NORM.DIST(Y$30,$CV23,0.3*$CV23,TRUE))),""),IF($C23&gt;0,summary!$C$10/28.8/0.947817,""))</f>
        <v/>
      </c>
      <c r="Z52">
        <f t="array" ref="Z52">IF($D23,IFERROR((SUMPRODUCT((economics!$AG$2:$AG$167=$B52)*(economics!$D$2:$D$167="whr")*economics!$AH$2:$AH$167*(_xlfn.NORM.DIST(Z$3,economics!$AK$2:$AK$167,economics!$AJ$2:$AJ$167,TRUE)-_xlfn.NORM.DIST(Z$30,economics!$AK$2:$AK$167,economics!$AJ$2:$AJ$167,TRUE))*economics!$AM$2:$AM$167)+$CR23*(_xlfn.NORM.DIST(Z$3,$CU23,0.3*$CU23,TRUE)-_xlfn.NORM.DIST(Z$30,$CU23,0.3*$CU23,TRUE))*summary!$C$7/28.8/0.947817+$CS23*(_xlfn.NORM.DIST(Z$3,$CV23,0.3*$CV23,TRUE)-_xlfn.NORM.DIST(Z$30,$CV23,0.3*$CV23,TRUE))*summary!$C$6/28.8/0.947817)/(SUMPRODUCT((economics!$AG$2:$AG$167=$B52)*(economics!$D$2:$D$167="whr")*economics!$AH$2:$AH$167*(_xlfn.NORM.DIST(Z$3,economics!$AK$2:$AK$167,economics!$AJ$2:$AJ$167,TRUE)-_xlfn.NORM.DIST(Z$30,economics!$AK$2:$AK$167,economics!$AJ$2:$AJ$167,TRUE)))+$CR23*(_xlfn.NORM.DIST(Z$3,$CU23,0.3*$CU23,TRUE)-_xlfn.NORM.DIST(Z$30,$CU23,0.3*$CU23,TRUE))+$CS23*(_xlfn.NORM.DIST(Z$3,$CV23,0.3*$CV23,TRUE)-_xlfn.NORM.DIST(Z$30,$CV23,0.3*$CV23,TRUE))),""),IF($C23&gt;0,summary!$C$10/28.8/0.947817,""))</f>
        <v/>
      </c>
      <c r="AA52">
        <f t="array" ref="AA52">IF($D23,IFERROR((SUMPRODUCT((economics!$AG$2:$AG$167=$B52)*(economics!$D$2:$D$167="whr")*economics!$AH$2:$AH$167*(_xlfn.NORM.DIST(AA$3,economics!$AK$2:$AK$167,economics!$AJ$2:$AJ$167,TRUE)-_xlfn.NORM.DIST(AA$30,economics!$AK$2:$AK$167,economics!$AJ$2:$AJ$167,TRUE))*economics!$AM$2:$AM$167)+$CR23*(_xlfn.NORM.DIST(AA$3,$CU23,0.3*$CU23,TRUE)-_xlfn.NORM.DIST(AA$30,$CU23,0.3*$CU23,TRUE))*summary!$C$7/28.8/0.947817+$CS23*(_xlfn.NORM.DIST(AA$3,$CV23,0.3*$CV23,TRUE)-_xlfn.NORM.DIST(AA$30,$CV23,0.3*$CV23,TRUE))*summary!$C$6/28.8/0.947817)/(SUMPRODUCT((economics!$AG$2:$AG$167=$B52)*(economics!$D$2:$D$167="whr")*economics!$AH$2:$AH$167*(_xlfn.NORM.DIST(AA$3,economics!$AK$2:$AK$167,economics!$AJ$2:$AJ$167,TRUE)-_xlfn.NORM.DIST(AA$30,economics!$AK$2:$AK$167,economics!$AJ$2:$AJ$167,TRUE)))+$CR23*(_xlfn.NORM.DIST(AA$3,$CU23,0.3*$CU23,TRUE)-_xlfn.NORM.DIST(AA$30,$CU23,0.3*$CU23,TRUE))+$CS23*(_xlfn.NORM.DIST(AA$3,$CV23,0.3*$CV23,TRUE)-_xlfn.NORM.DIST(AA$30,$CV23,0.3*$CV23,TRUE))),""),IF($C23&gt;0,summary!$C$10/28.8/0.947817,""))</f>
        <v/>
      </c>
      <c r="AB52">
        <f t="array" ref="AB52">IF($D23,IFERROR((SUMPRODUCT((economics!$AG$2:$AG$167=$B52)*(economics!$D$2:$D$167="whr")*economics!$AH$2:$AH$167*(_xlfn.NORM.DIST(AB$3,economics!$AK$2:$AK$167,economics!$AJ$2:$AJ$167,TRUE)-_xlfn.NORM.DIST(AB$30,economics!$AK$2:$AK$167,economics!$AJ$2:$AJ$167,TRUE))*economics!$AM$2:$AM$167)+$CR23*(_xlfn.NORM.DIST(AB$3,$CU23,0.3*$CU23,TRUE)-_xlfn.NORM.DIST(AB$30,$CU23,0.3*$CU23,TRUE))*summary!$C$7/28.8/0.947817+$CS23*(_xlfn.NORM.DIST(AB$3,$CV23,0.3*$CV23,TRUE)-_xlfn.NORM.DIST(AB$30,$CV23,0.3*$CV23,TRUE))*summary!$C$6/28.8/0.947817)/(SUMPRODUCT((economics!$AG$2:$AG$167=$B52)*(economics!$D$2:$D$167="whr")*economics!$AH$2:$AH$167*(_xlfn.NORM.DIST(AB$3,economics!$AK$2:$AK$167,economics!$AJ$2:$AJ$167,TRUE)-_xlfn.NORM.DIST(AB$30,economics!$AK$2:$AK$167,economics!$AJ$2:$AJ$167,TRUE)))+$CR23*(_xlfn.NORM.DIST(AB$3,$CU23,0.3*$CU23,TRUE)-_xlfn.NORM.DIST(AB$30,$CU23,0.3*$CU23,TRUE))+$CS23*(_xlfn.NORM.DIST(AB$3,$CV23,0.3*$CV23,TRUE)-_xlfn.NORM.DIST(AB$30,$CV23,0.3*$CV23,TRUE))),""),IF($C23&gt;0,summary!$C$10/28.8/0.947817,""))</f>
        <v/>
      </c>
      <c r="AC52">
        <f t="array" ref="AC52">IF($D23,IFERROR((SUMPRODUCT((economics!$AG$2:$AG$167=$B52)*(economics!$D$2:$D$167="whr")*economics!$AH$2:$AH$167*(_xlfn.NORM.DIST(AC$3,economics!$AK$2:$AK$167,economics!$AJ$2:$AJ$167,TRUE)-_xlfn.NORM.DIST(AC$30,economics!$AK$2:$AK$167,economics!$AJ$2:$AJ$167,TRUE))*economics!$AM$2:$AM$167)+$CR23*(_xlfn.NORM.DIST(AC$3,$CU23,0.3*$CU23,TRUE)-_xlfn.NORM.DIST(AC$30,$CU23,0.3*$CU23,TRUE))*summary!$C$7/28.8/0.947817+$CS23*(_xlfn.NORM.DIST(AC$3,$CV23,0.3*$CV23,TRUE)-_xlfn.NORM.DIST(AC$30,$CV23,0.3*$CV23,TRUE))*summary!$C$6/28.8/0.947817)/(SUMPRODUCT((economics!$AG$2:$AG$167=$B52)*(economics!$D$2:$D$167="whr")*economics!$AH$2:$AH$167*(_xlfn.NORM.DIST(AC$3,economics!$AK$2:$AK$167,economics!$AJ$2:$AJ$167,TRUE)-_xlfn.NORM.DIST(AC$30,economics!$AK$2:$AK$167,economics!$AJ$2:$AJ$167,TRUE)))+$CR23*(_xlfn.NORM.DIST(AC$3,$CU23,0.3*$CU23,TRUE)-_xlfn.NORM.DIST(AC$30,$CU23,0.3*$CU23,TRUE))+$CS23*(_xlfn.NORM.DIST(AC$3,$CV23,0.3*$CV23,TRUE)-_xlfn.NORM.DIST(AC$30,$CV23,0.3*$CV23,TRUE))),""),IF($C23&gt;0,summary!$C$10/28.8/0.947817,""))</f>
        <v/>
      </c>
      <c r="AD52">
        <f t="array" ref="AD52">IF($D23,IFERROR((SUMPRODUCT((economics!$AG$2:$AG$167=$B52)*(economics!$D$2:$D$167="whr")*economics!$AH$2:$AH$167*(_xlfn.NORM.DIST(AD$3,economics!$AK$2:$AK$167,economics!$AJ$2:$AJ$167,TRUE)-_xlfn.NORM.DIST(AD$30,economics!$AK$2:$AK$167,economics!$AJ$2:$AJ$167,TRUE))*economics!$AM$2:$AM$167)+$CR23*(_xlfn.NORM.DIST(AD$3,$CU23,0.3*$CU23,TRUE)-_xlfn.NORM.DIST(AD$30,$CU23,0.3*$CU23,TRUE))*summary!$C$7/28.8/0.947817+$CS23*(_xlfn.NORM.DIST(AD$3,$CV23,0.3*$CV23,TRUE)-_xlfn.NORM.DIST(AD$30,$CV23,0.3*$CV23,TRUE))*summary!$C$6/28.8/0.947817)/(SUMPRODUCT((economics!$AG$2:$AG$167=$B52)*(economics!$D$2:$D$167="whr")*economics!$AH$2:$AH$167*(_xlfn.NORM.DIST(AD$3,economics!$AK$2:$AK$167,economics!$AJ$2:$AJ$167,TRUE)-_xlfn.NORM.DIST(AD$30,economics!$AK$2:$AK$167,economics!$AJ$2:$AJ$167,TRUE)))+$CR23*(_xlfn.NORM.DIST(AD$3,$CU23,0.3*$CU23,TRUE)-_xlfn.NORM.DIST(AD$30,$CU23,0.3*$CU23,TRUE))+$CS23*(_xlfn.NORM.DIST(AD$3,$CV23,0.3*$CV23,TRUE)-_xlfn.NORM.DIST(AD$30,$CV23,0.3*$CV23,TRUE))),""),IF($C23&gt;0,summary!$C$10/28.8/0.947817,""))</f>
        <v/>
      </c>
      <c r="AE52">
        <f t="array" ref="AE52">IF($D23,IFERROR((SUMPRODUCT((economics!$AG$2:$AG$167=$B52)*(economics!$D$2:$D$167="whr")*economics!$AH$2:$AH$167*(_xlfn.NORM.DIST(AE$3,economics!$AK$2:$AK$167,economics!$AJ$2:$AJ$167,TRUE)-_xlfn.NORM.DIST(AE$30,economics!$AK$2:$AK$167,economics!$AJ$2:$AJ$167,TRUE))*economics!$AM$2:$AM$167)+$CR23*(_xlfn.NORM.DIST(AE$3,$CU23,0.3*$CU23,TRUE)-_xlfn.NORM.DIST(AE$30,$CU23,0.3*$CU23,TRUE))*summary!$C$7/28.8/0.947817+$CS23*(_xlfn.NORM.DIST(AE$3,$CV23,0.3*$CV23,TRUE)-_xlfn.NORM.DIST(AE$30,$CV23,0.3*$CV23,TRUE))*summary!$C$6/28.8/0.947817)/(SUMPRODUCT((economics!$AG$2:$AG$167=$B52)*(economics!$D$2:$D$167="whr")*economics!$AH$2:$AH$167*(_xlfn.NORM.DIST(AE$3,economics!$AK$2:$AK$167,economics!$AJ$2:$AJ$167,TRUE)-_xlfn.NORM.DIST(AE$30,economics!$AK$2:$AK$167,economics!$AJ$2:$AJ$167,TRUE)))+$CR23*(_xlfn.NORM.DIST(AE$3,$CU23,0.3*$CU23,TRUE)-_xlfn.NORM.DIST(AE$30,$CU23,0.3*$CU23,TRUE))+$CS23*(_xlfn.NORM.DIST(AE$3,$CV23,0.3*$CV23,TRUE)-_xlfn.NORM.DIST(AE$30,$CV23,0.3*$CV23,TRUE))),""),IF($C23&gt;0,summary!$C$10/28.8/0.947817,""))</f>
        <v/>
      </c>
      <c r="AF52">
        <f t="array" ref="AF52">IF($D23,IFERROR((SUMPRODUCT((economics!$AG$2:$AG$167=$B52)*(economics!$D$2:$D$167="whr")*economics!$AH$2:$AH$167*(_xlfn.NORM.DIST(AF$3,economics!$AK$2:$AK$167,economics!$AJ$2:$AJ$167,TRUE)-_xlfn.NORM.DIST(AF$30,economics!$AK$2:$AK$167,economics!$AJ$2:$AJ$167,TRUE))*economics!$AM$2:$AM$167)+$CR23*(_xlfn.NORM.DIST(AF$3,$CU23,0.3*$CU23,TRUE)-_xlfn.NORM.DIST(AF$30,$CU23,0.3*$CU23,TRUE))*summary!$C$7/28.8/0.947817+$CS23*(_xlfn.NORM.DIST(AF$3,$CV23,0.3*$CV23,TRUE)-_xlfn.NORM.DIST(AF$30,$CV23,0.3*$CV23,TRUE))*summary!$C$6/28.8/0.947817)/(SUMPRODUCT((economics!$AG$2:$AG$167=$B52)*(economics!$D$2:$D$167="whr")*economics!$AH$2:$AH$167*(_xlfn.NORM.DIST(AF$3,economics!$AK$2:$AK$167,economics!$AJ$2:$AJ$167,TRUE)-_xlfn.NORM.DIST(AF$30,economics!$AK$2:$AK$167,economics!$AJ$2:$AJ$167,TRUE)))+$CR23*(_xlfn.NORM.DIST(AF$3,$CU23,0.3*$CU23,TRUE)-_xlfn.NORM.DIST(AF$30,$CU23,0.3*$CU23,TRUE))+$CS23*(_xlfn.NORM.DIST(AF$3,$CV23,0.3*$CV23,TRUE)-_xlfn.NORM.DIST(AF$30,$CV23,0.3*$CV23,TRUE))),""),IF($C23&gt;0,summary!$C$10/28.8/0.947817,""))</f>
        <v/>
      </c>
      <c r="AG52">
        <f t="array" ref="AG52">IF($D23,IFERROR((SUMPRODUCT((economics!$AG$2:$AG$167=$B52)*(economics!$D$2:$D$167="whr")*economics!$AH$2:$AH$167*(_xlfn.NORM.DIST(AG$3,economics!$AK$2:$AK$167,economics!$AJ$2:$AJ$167,TRUE)-_xlfn.NORM.DIST(AG$30,economics!$AK$2:$AK$167,economics!$AJ$2:$AJ$167,TRUE))*economics!$AM$2:$AM$167)+$CR23*(_xlfn.NORM.DIST(AG$3,$CU23,0.3*$CU23,TRUE)-_xlfn.NORM.DIST(AG$30,$CU23,0.3*$CU23,TRUE))*summary!$C$7/28.8/0.947817+$CS23*(_xlfn.NORM.DIST(AG$3,$CV23,0.3*$CV23,TRUE)-_xlfn.NORM.DIST(AG$30,$CV23,0.3*$CV23,TRUE))*summary!$C$6/28.8/0.947817)/(SUMPRODUCT((economics!$AG$2:$AG$167=$B52)*(economics!$D$2:$D$167="whr")*economics!$AH$2:$AH$167*(_xlfn.NORM.DIST(AG$3,economics!$AK$2:$AK$167,economics!$AJ$2:$AJ$167,TRUE)-_xlfn.NORM.DIST(AG$30,economics!$AK$2:$AK$167,economics!$AJ$2:$AJ$167,TRUE)))+$CR23*(_xlfn.NORM.DIST(AG$3,$CU23,0.3*$CU23,TRUE)-_xlfn.NORM.DIST(AG$30,$CU23,0.3*$CU23,TRUE))+$CS23*(_xlfn.NORM.DIST(AG$3,$CV23,0.3*$CV23,TRUE)-_xlfn.NORM.DIST(AG$30,$CV23,0.3*$CV23,TRUE))),""),IF($C23&gt;0,summary!$C$10/28.8/0.947817,""))</f>
        <v/>
      </c>
      <c r="AH52">
        <f t="array" ref="AH52">IF($D23,IFERROR((SUMPRODUCT((economics!$AG$2:$AG$167=$B52)*(economics!$D$2:$D$167="whr")*economics!$AH$2:$AH$167*(_xlfn.NORM.DIST(AH$3,economics!$AK$2:$AK$167,economics!$AJ$2:$AJ$167,TRUE)-_xlfn.NORM.DIST(AH$30,economics!$AK$2:$AK$167,economics!$AJ$2:$AJ$167,TRUE))*economics!$AM$2:$AM$167)+$CR23*(_xlfn.NORM.DIST(AH$3,$CU23,0.3*$CU23,TRUE)-_xlfn.NORM.DIST(AH$30,$CU23,0.3*$CU23,TRUE))*summary!$C$7/28.8/0.947817+$CS23*(_xlfn.NORM.DIST(AH$3,$CV23,0.3*$CV23,TRUE)-_xlfn.NORM.DIST(AH$30,$CV23,0.3*$CV23,TRUE))*summary!$C$6/28.8/0.947817)/(SUMPRODUCT((economics!$AG$2:$AG$167=$B52)*(economics!$D$2:$D$167="whr")*economics!$AH$2:$AH$167*(_xlfn.NORM.DIST(AH$3,economics!$AK$2:$AK$167,economics!$AJ$2:$AJ$167,TRUE)-_xlfn.NORM.DIST(AH$30,economics!$AK$2:$AK$167,economics!$AJ$2:$AJ$167,TRUE)))+$CR23*(_xlfn.NORM.DIST(AH$3,$CU23,0.3*$CU23,TRUE)-_xlfn.NORM.DIST(AH$30,$CU23,0.3*$CU23,TRUE))+$CS23*(_xlfn.NORM.DIST(AH$3,$CV23,0.3*$CV23,TRUE)-_xlfn.NORM.DIST(AH$30,$CV23,0.3*$CV23,TRUE))),""),IF($C23&gt;0,summary!$C$10/28.8/0.947817,""))</f>
        <v/>
      </c>
      <c r="AI52">
        <f t="array" ref="AI52">IF($D23,IFERROR((SUMPRODUCT((economics!$AG$2:$AG$167=$B52)*(economics!$D$2:$D$167="whr")*economics!$AH$2:$AH$167*(_xlfn.NORM.DIST(AI$3,economics!$AK$2:$AK$167,economics!$AJ$2:$AJ$167,TRUE)-_xlfn.NORM.DIST(AI$30,economics!$AK$2:$AK$167,economics!$AJ$2:$AJ$167,TRUE))*economics!$AM$2:$AM$167)+$CR23*(_xlfn.NORM.DIST(AI$3,$CU23,0.3*$CU23,TRUE)-_xlfn.NORM.DIST(AI$30,$CU23,0.3*$CU23,TRUE))*summary!$C$7/28.8/0.947817+$CS23*(_xlfn.NORM.DIST(AI$3,$CV23,0.3*$CV23,TRUE)-_xlfn.NORM.DIST(AI$30,$CV23,0.3*$CV23,TRUE))*summary!$C$6/28.8/0.947817)/(SUMPRODUCT((economics!$AG$2:$AG$167=$B52)*(economics!$D$2:$D$167="whr")*economics!$AH$2:$AH$167*(_xlfn.NORM.DIST(AI$3,economics!$AK$2:$AK$167,economics!$AJ$2:$AJ$167,TRUE)-_xlfn.NORM.DIST(AI$30,economics!$AK$2:$AK$167,economics!$AJ$2:$AJ$167,TRUE)))+$CR23*(_xlfn.NORM.DIST(AI$3,$CU23,0.3*$CU23,TRUE)-_xlfn.NORM.DIST(AI$30,$CU23,0.3*$CU23,TRUE))+$CS23*(_xlfn.NORM.DIST(AI$3,$CV23,0.3*$CV23,TRUE)-_xlfn.NORM.DIST(AI$30,$CV23,0.3*$CV23,TRUE))),""),IF($C23&gt;0,summary!$C$10/28.8/0.947817,""))</f>
        <v/>
      </c>
      <c r="AJ52">
        <f t="array" ref="AJ52">IF($D23,IFERROR((SUMPRODUCT((economics!$AG$2:$AG$167=$B52)*(economics!$D$2:$D$167="whr")*economics!$AH$2:$AH$167*(_xlfn.NORM.DIST(AJ$3,economics!$AK$2:$AK$167,economics!$AJ$2:$AJ$167,TRUE)-_xlfn.NORM.DIST(AJ$30,economics!$AK$2:$AK$167,economics!$AJ$2:$AJ$167,TRUE))*economics!$AM$2:$AM$167)+$CR23*(_xlfn.NORM.DIST(AJ$3,$CU23,0.3*$CU23,TRUE)-_xlfn.NORM.DIST(AJ$30,$CU23,0.3*$CU23,TRUE))*summary!$C$7/28.8/0.947817+$CS23*(_xlfn.NORM.DIST(AJ$3,$CV23,0.3*$CV23,TRUE)-_xlfn.NORM.DIST(AJ$30,$CV23,0.3*$CV23,TRUE))*summary!$C$6/28.8/0.947817)/(SUMPRODUCT((economics!$AG$2:$AG$167=$B52)*(economics!$D$2:$D$167="whr")*economics!$AH$2:$AH$167*(_xlfn.NORM.DIST(AJ$3,economics!$AK$2:$AK$167,economics!$AJ$2:$AJ$167,TRUE)-_xlfn.NORM.DIST(AJ$30,economics!$AK$2:$AK$167,economics!$AJ$2:$AJ$167,TRUE)))+$CR23*(_xlfn.NORM.DIST(AJ$3,$CU23,0.3*$CU23,TRUE)-_xlfn.NORM.DIST(AJ$30,$CU23,0.3*$CU23,TRUE))+$CS23*(_xlfn.NORM.DIST(AJ$3,$CV23,0.3*$CV23,TRUE)-_xlfn.NORM.DIST(AJ$30,$CV23,0.3*$CV23,TRUE))),""),IF($C23&gt;0,summary!$C$10/28.8/0.947817,""))</f>
        <v/>
      </c>
      <c r="AK52">
        <f t="array" ref="AK52">IF($D23,IFERROR((SUMPRODUCT((economics!$AG$2:$AG$167=$B52)*(economics!$D$2:$D$167="whr")*economics!$AH$2:$AH$167*(_xlfn.NORM.DIST(AK$3,economics!$AK$2:$AK$167,economics!$AJ$2:$AJ$167,TRUE)-_xlfn.NORM.DIST(AK$30,economics!$AK$2:$AK$167,economics!$AJ$2:$AJ$167,TRUE))*economics!$AM$2:$AM$167)+$CR23*(_xlfn.NORM.DIST(AK$3,$CU23,0.3*$CU23,TRUE)-_xlfn.NORM.DIST(AK$30,$CU23,0.3*$CU23,TRUE))*summary!$C$7/28.8/0.947817+$CS23*(_xlfn.NORM.DIST(AK$3,$CV23,0.3*$CV23,TRUE)-_xlfn.NORM.DIST(AK$30,$CV23,0.3*$CV23,TRUE))*summary!$C$6/28.8/0.947817)/(SUMPRODUCT((economics!$AG$2:$AG$167=$B52)*(economics!$D$2:$D$167="whr")*economics!$AH$2:$AH$167*(_xlfn.NORM.DIST(AK$3,economics!$AK$2:$AK$167,economics!$AJ$2:$AJ$167,TRUE)-_xlfn.NORM.DIST(AK$30,economics!$AK$2:$AK$167,economics!$AJ$2:$AJ$167,TRUE)))+$CR23*(_xlfn.NORM.DIST(AK$3,$CU23,0.3*$CU23,TRUE)-_xlfn.NORM.DIST(AK$30,$CU23,0.3*$CU23,TRUE))+$CS23*(_xlfn.NORM.DIST(AK$3,$CV23,0.3*$CV23,TRUE)-_xlfn.NORM.DIST(AK$30,$CV23,0.3*$CV23,TRUE))),""),IF($C23&gt;0,summary!$C$10/28.8/0.947817,""))</f>
        <v/>
      </c>
      <c r="AL52">
        <f t="array" ref="AL52">IF($D23,IFERROR((SUMPRODUCT((economics!$AG$2:$AG$167=$B52)*(economics!$D$2:$D$167="whr")*economics!$AH$2:$AH$167*(_xlfn.NORM.DIST(AL$3,economics!$AK$2:$AK$167,economics!$AJ$2:$AJ$167,TRUE)-_xlfn.NORM.DIST(AL$30,economics!$AK$2:$AK$167,economics!$AJ$2:$AJ$167,TRUE))*economics!$AM$2:$AM$167)+$CR23*(_xlfn.NORM.DIST(AL$3,$CU23,0.3*$CU23,TRUE)-_xlfn.NORM.DIST(AL$30,$CU23,0.3*$CU23,TRUE))*summary!$C$7/28.8/0.947817+$CS23*(_xlfn.NORM.DIST(AL$3,$CV23,0.3*$CV23,TRUE)-_xlfn.NORM.DIST(AL$30,$CV23,0.3*$CV23,TRUE))*summary!$C$6/28.8/0.947817)/(SUMPRODUCT((economics!$AG$2:$AG$167=$B52)*(economics!$D$2:$D$167="whr")*economics!$AH$2:$AH$167*(_xlfn.NORM.DIST(AL$3,economics!$AK$2:$AK$167,economics!$AJ$2:$AJ$167,TRUE)-_xlfn.NORM.DIST(AL$30,economics!$AK$2:$AK$167,economics!$AJ$2:$AJ$167,TRUE)))+$CR23*(_xlfn.NORM.DIST(AL$3,$CU23,0.3*$CU23,TRUE)-_xlfn.NORM.DIST(AL$30,$CU23,0.3*$CU23,TRUE))+$CS23*(_xlfn.NORM.DIST(AL$3,$CV23,0.3*$CV23,TRUE)-_xlfn.NORM.DIST(AL$30,$CV23,0.3*$CV23,TRUE))),""),IF($C23&gt;0,summary!$C$10/28.8/0.947817,""))</f>
        <v/>
      </c>
      <c r="AM52">
        <f t="array" ref="AM52">IF($D23,IFERROR((SUMPRODUCT((economics!$AG$2:$AG$167=$B52)*(economics!$D$2:$D$167="whr")*economics!$AH$2:$AH$167*(_xlfn.NORM.DIST(AM$3,economics!$AK$2:$AK$167,economics!$AJ$2:$AJ$167,TRUE)-_xlfn.NORM.DIST(AM$30,economics!$AK$2:$AK$167,economics!$AJ$2:$AJ$167,TRUE))*economics!$AM$2:$AM$167)+$CR23*(_xlfn.NORM.DIST(AM$3,$CU23,0.3*$CU23,TRUE)-_xlfn.NORM.DIST(AM$30,$CU23,0.3*$CU23,TRUE))*summary!$C$7/28.8/0.947817+$CS23*(_xlfn.NORM.DIST(AM$3,$CV23,0.3*$CV23,TRUE)-_xlfn.NORM.DIST(AM$30,$CV23,0.3*$CV23,TRUE))*summary!$C$6/28.8/0.947817)/(SUMPRODUCT((economics!$AG$2:$AG$167=$B52)*(economics!$D$2:$D$167="whr")*economics!$AH$2:$AH$167*(_xlfn.NORM.DIST(AM$3,economics!$AK$2:$AK$167,economics!$AJ$2:$AJ$167,TRUE)-_xlfn.NORM.DIST(AM$30,economics!$AK$2:$AK$167,economics!$AJ$2:$AJ$167,TRUE)))+$CR23*(_xlfn.NORM.DIST(AM$3,$CU23,0.3*$CU23,TRUE)-_xlfn.NORM.DIST(AM$30,$CU23,0.3*$CU23,TRUE))+$CS23*(_xlfn.NORM.DIST(AM$3,$CV23,0.3*$CV23,TRUE)-_xlfn.NORM.DIST(AM$30,$CV23,0.3*$CV23,TRUE))),""),IF($C23&gt;0,summary!$C$10/28.8/0.947817,""))</f>
        <v/>
      </c>
      <c r="AN52">
        <f t="array" ref="AN52">IF($D23,IFERROR((SUMPRODUCT((economics!$AG$2:$AG$167=$B52)*(economics!$D$2:$D$167="whr")*economics!$AH$2:$AH$167*(_xlfn.NORM.DIST(AN$3,economics!$AK$2:$AK$167,economics!$AJ$2:$AJ$167,TRUE)-_xlfn.NORM.DIST(AN$30,economics!$AK$2:$AK$167,economics!$AJ$2:$AJ$167,TRUE))*economics!$AM$2:$AM$167)+$CR23*(_xlfn.NORM.DIST(AN$3,$CU23,0.3*$CU23,TRUE)-_xlfn.NORM.DIST(AN$30,$CU23,0.3*$CU23,TRUE))*summary!$C$7/28.8/0.947817+$CS23*(_xlfn.NORM.DIST(AN$3,$CV23,0.3*$CV23,TRUE)-_xlfn.NORM.DIST(AN$30,$CV23,0.3*$CV23,TRUE))*summary!$C$6/28.8/0.947817)/(SUMPRODUCT((economics!$AG$2:$AG$167=$B52)*(economics!$D$2:$D$167="whr")*economics!$AH$2:$AH$167*(_xlfn.NORM.DIST(AN$3,economics!$AK$2:$AK$167,economics!$AJ$2:$AJ$167,TRUE)-_xlfn.NORM.DIST(AN$30,economics!$AK$2:$AK$167,economics!$AJ$2:$AJ$167,TRUE)))+$CR23*(_xlfn.NORM.DIST(AN$3,$CU23,0.3*$CU23,TRUE)-_xlfn.NORM.DIST(AN$30,$CU23,0.3*$CU23,TRUE))+$CS23*(_xlfn.NORM.DIST(AN$3,$CV23,0.3*$CV23,TRUE)-_xlfn.NORM.DIST(AN$30,$CV23,0.3*$CV23,TRUE))),""),IF($C23&gt;0,summary!$C$10/28.8/0.947817,""))</f>
        <v/>
      </c>
      <c r="AO52">
        <f t="array" ref="AO52">IF($D23,IFERROR((SUMPRODUCT((economics!$AG$2:$AG$167=$B52)*(economics!$D$2:$D$167="whr")*economics!$AH$2:$AH$167*(_xlfn.NORM.DIST(AO$3,economics!$AK$2:$AK$167,economics!$AJ$2:$AJ$167,TRUE)-_xlfn.NORM.DIST(AO$30,economics!$AK$2:$AK$167,economics!$AJ$2:$AJ$167,TRUE))*economics!$AM$2:$AM$167)+$CR23*(_xlfn.NORM.DIST(AO$3,$CU23,0.3*$CU23,TRUE)-_xlfn.NORM.DIST(AO$30,$CU23,0.3*$CU23,TRUE))*summary!$C$7/28.8/0.947817+$CS23*(_xlfn.NORM.DIST(AO$3,$CV23,0.3*$CV23,TRUE)-_xlfn.NORM.DIST(AO$30,$CV23,0.3*$CV23,TRUE))*summary!$C$6/28.8/0.947817)/(SUMPRODUCT((economics!$AG$2:$AG$167=$B52)*(economics!$D$2:$D$167="whr")*economics!$AH$2:$AH$167*(_xlfn.NORM.DIST(AO$3,economics!$AK$2:$AK$167,economics!$AJ$2:$AJ$167,TRUE)-_xlfn.NORM.DIST(AO$30,economics!$AK$2:$AK$167,economics!$AJ$2:$AJ$167,TRUE)))+$CR23*(_xlfn.NORM.DIST(AO$3,$CU23,0.3*$CU23,TRUE)-_xlfn.NORM.DIST(AO$30,$CU23,0.3*$CU23,TRUE))+$CS23*(_xlfn.NORM.DIST(AO$3,$CV23,0.3*$CV23,TRUE)-_xlfn.NORM.DIST(AO$30,$CV23,0.3*$CV23,TRUE))),""),IF($C23&gt;0,summary!$C$10/28.8/0.947817,""))</f>
        <v/>
      </c>
      <c r="AP52">
        <f t="array" ref="AP52">IF($D23,IFERROR((SUMPRODUCT((economics!$AG$2:$AG$167=$B52)*(economics!$D$2:$D$167="whr")*economics!$AH$2:$AH$167*(_xlfn.NORM.DIST(AP$3,economics!$AK$2:$AK$167,economics!$AJ$2:$AJ$167,TRUE)-_xlfn.NORM.DIST(AP$30,economics!$AK$2:$AK$167,economics!$AJ$2:$AJ$167,TRUE))*economics!$AM$2:$AM$167)+$CR23*(_xlfn.NORM.DIST(AP$3,$CU23,0.3*$CU23,TRUE)-_xlfn.NORM.DIST(AP$30,$CU23,0.3*$CU23,TRUE))*summary!$C$7/28.8/0.947817+$CS23*(_xlfn.NORM.DIST(AP$3,$CV23,0.3*$CV23,TRUE)-_xlfn.NORM.DIST(AP$30,$CV23,0.3*$CV23,TRUE))*summary!$C$6/28.8/0.947817)/(SUMPRODUCT((economics!$AG$2:$AG$167=$B52)*(economics!$D$2:$D$167="whr")*economics!$AH$2:$AH$167*(_xlfn.NORM.DIST(AP$3,economics!$AK$2:$AK$167,economics!$AJ$2:$AJ$167,TRUE)-_xlfn.NORM.DIST(AP$30,economics!$AK$2:$AK$167,economics!$AJ$2:$AJ$167,TRUE)))+$CR23*(_xlfn.NORM.DIST(AP$3,$CU23,0.3*$CU23,TRUE)-_xlfn.NORM.DIST(AP$30,$CU23,0.3*$CU23,TRUE))+$CS23*(_xlfn.NORM.DIST(AP$3,$CV23,0.3*$CV23,TRUE)-_xlfn.NORM.DIST(AP$30,$CV23,0.3*$CV23,TRUE))),""),IF($C23&gt;0,summary!$C$10/28.8/0.947817,""))</f>
        <v/>
      </c>
      <c r="AQ52">
        <f t="array" ref="AQ52">IF($D23,IFERROR((SUMPRODUCT((economics!$AG$2:$AG$167=$B52)*(economics!$D$2:$D$167="whr")*economics!$AH$2:$AH$167*(_xlfn.NORM.DIST(AQ$3,economics!$AK$2:$AK$167,economics!$AJ$2:$AJ$167,TRUE)-_xlfn.NORM.DIST(AQ$30,economics!$AK$2:$AK$167,economics!$AJ$2:$AJ$167,TRUE))*economics!$AM$2:$AM$167)+$CR23*(_xlfn.NORM.DIST(AQ$3,$CU23,0.3*$CU23,TRUE)-_xlfn.NORM.DIST(AQ$30,$CU23,0.3*$CU23,TRUE))*summary!$C$7/28.8/0.947817+$CS23*(_xlfn.NORM.DIST(AQ$3,$CV23,0.3*$CV23,TRUE)-_xlfn.NORM.DIST(AQ$30,$CV23,0.3*$CV23,TRUE))*summary!$C$6/28.8/0.947817)/(SUMPRODUCT((economics!$AG$2:$AG$167=$B52)*(economics!$D$2:$D$167="whr")*economics!$AH$2:$AH$167*(_xlfn.NORM.DIST(AQ$3,economics!$AK$2:$AK$167,economics!$AJ$2:$AJ$167,TRUE)-_xlfn.NORM.DIST(AQ$30,economics!$AK$2:$AK$167,economics!$AJ$2:$AJ$167,TRUE)))+$CR23*(_xlfn.NORM.DIST(AQ$3,$CU23,0.3*$CU23,TRUE)-_xlfn.NORM.DIST(AQ$30,$CU23,0.3*$CU23,TRUE))+$CS23*(_xlfn.NORM.DIST(AQ$3,$CV23,0.3*$CV23,TRUE)-_xlfn.NORM.DIST(AQ$30,$CV23,0.3*$CV23,TRUE))),""),IF($C23&gt;0,summary!$C$10/28.8/0.947817,""))</f>
        <v/>
      </c>
      <c r="AR52">
        <f t="array" ref="AR52">IF($D23,IFERROR((SUMPRODUCT((economics!$AG$2:$AG$167=$B52)*(economics!$D$2:$D$167="whr")*economics!$AH$2:$AH$167*(_xlfn.NORM.DIST(AR$3,economics!$AK$2:$AK$167,economics!$AJ$2:$AJ$167,TRUE)-_xlfn.NORM.DIST(AR$30,economics!$AK$2:$AK$167,economics!$AJ$2:$AJ$167,TRUE))*economics!$AM$2:$AM$167)+$CR23*(_xlfn.NORM.DIST(AR$3,$CU23,0.3*$CU23,TRUE)-_xlfn.NORM.DIST(AR$30,$CU23,0.3*$CU23,TRUE))*summary!$C$7/28.8/0.947817+$CS23*(_xlfn.NORM.DIST(AR$3,$CV23,0.3*$CV23,TRUE)-_xlfn.NORM.DIST(AR$30,$CV23,0.3*$CV23,TRUE))*summary!$C$6/28.8/0.947817)/(SUMPRODUCT((economics!$AG$2:$AG$167=$B52)*(economics!$D$2:$D$167="whr")*economics!$AH$2:$AH$167*(_xlfn.NORM.DIST(AR$3,economics!$AK$2:$AK$167,economics!$AJ$2:$AJ$167,TRUE)-_xlfn.NORM.DIST(AR$30,economics!$AK$2:$AK$167,economics!$AJ$2:$AJ$167,TRUE)))+$CR23*(_xlfn.NORM.DIST(AR$3,$CU23,0.3*$CU23,TRUE)-_xlfn.NORM.DIST(AR$30,$CU23,0.3*$CU23,TRUE))+$CS23*(_xlfn.NORM.DIST(AR$3,$CV23,0.3*$CV23,TRUE)-_xlfn.NORM.DIST(AR$30,$CV23,0.3*$CV23,TRUE))),""),IF($C23&gt;0,summary!$C$10/28.8/0.947817,""))</f>
        <v/>
      </c>
      <c r="AS52">
        <f t="array" ref="AS52">IF($D23,IFERROR((SUMPRODUCT((economics!$AG$2:$AG$167=$B52)*(economics!$D$2:$D$167="whr")*economics!$AH$2:$AH$167*(_xlfn.NORM.DIST(AS$3,economics!$AK$2:$AK$167,economics!$AJ$2:$AJ$167,TRUE)-_xlfn.NORM.DIST(AS$30,economics!$AK$2:$AK$167,economics!$AJ$2:$AJ$167,TRUE))*economics!$AM$2:$AM$167)+$CR23*(_xlfn.NORM.DIST(AS$3,$CU23,0.3*$CU23,TRUE)-_xlfn.NORM.DIST(AS$30,$CU23,0.3*$CU23,TRUE))*summary!$C$7/28.8/0.947817+$CS23*(_xlfn.NORM.DIST(AS$3,$CV23,0.3*$CV23,TRUE)-_xlfn.NORM.DIST(AS$30,$CV23,0.3*$CV23,TRUE))*summary!$C$6/28.8/0.947817)/(SUMPRODUCT((economics!$AG$2:$AG$167=$B52)*(economics!$D$2:$D$167="whr")*economics!$AH$2:$AH$167*(_xlfn.NORM.DIST(AS$3,economics!$AK$2:$AK$167,economics!$AJ$2:$AJ$167,TRUE)-_xlfn.NORM.DIST(AS$30,economics!$AK$2:$AK$167,economics!$AJ$2:$AJ$167,TRUE)))+$CR23*(_xlfn.NORM.DIST(AS$3,$CU23,0.3*$CU23,TRUE)-_xlfn.NORM.DIST(AS$30,$CU23,0.3*$CU23,TRUE))+$CS23*(_xlfn.NORM.DIST(AS$3,$CV23,0.3*$CV23,TRUE)-_xlfn.NORM.DIST(AS$30,$CV23,0.3*$CV23,TRUE))),""),IF($C23&gt;0,summary!$C$10/28.8/0.947817,""))</f>
        <v/>
      </c>
      <c r="AT52">
        <f t="array" ref="AT52">IF($D23,IFERROR((SUMPRODUCT((economics!$AG$2:$AG$167=$B52)*(economics!$D$2:$D$167="whr")*economics!$AH$2:$AH$167*(_xlfn.NORM.DIST(AT$3,economics!$AK$2:$AK$167,economics!$AJ$2:$AJ$167,TRUE)-_xlfn.NORM.DIST(AT$30,economics!$AK$2:$AK$167,economics!$AJ$2:$AJ$167,TRUE))*economics!$AM$2:$AM$167)+$CR23*(_xlfn.NORM.DIST(AT$3,$CU23,0.3*$CU23,TRUE)-_xlfn.NORM.DIST(AT$30,$CU23,0.3*$CU23,TRUE))*summary!$C$7/28.8/0.947817+$CS23*(_xlfn.NORM.DIST(AT$3,$CV23,0.3*$CV23,TRUE)-_xlfn.NORM.DIST(AT$30,$CV23,0.3*$CV23,TRUE))*summary!$C$6/28.8/0.947817)/(SUMPRODUCT((economics!$AG$2:$AG$167=$B52)*(economics!$D$2:$D$167="whr")*economics!$AH$2:$AH$167*(_xlfn.NORM.DIST(AT$3,economics!$AK$2:$AK$167,economics!$AJ$2:$AJ$167,TRUE)-_xlfn.NORM.DIST(AT$30,economics!$AK$2:$AK$167,economics!$AJ$2:$AJ$167,TRUE)))+$CR23*(_xlfn.NORM.DIST(AT$3,$CU23,0.3*$CU23,TRUE)-_xlfn.NORM.DIST(AT$30,$CU23,0.3*$CU23,TRUE))+$CS23*(_xlfn.NORM.DIST(AT$3,$CV23,0.3*$CV23,TRUE)-_xlfn.NORM.DIST(AT$30,$CV23,0.3*$CV23,TRUE))),""),IF($C23&gt;0,summary!$C$10/28.8/0.947817,""))</f>
        <v/>
      </c>
      <c r="AU52">
        <f t="array" ref="AU52">IF($D23,IFERROR((SUMPRODUCT((economics!$AG$2:$AG$167=$B52)*(economics!$D$2:$D$167="whr")*economics!$AH$2:$AH$167*(_xlfn.NORM.DIST(AU$3,economics!$AK$2:$AK$167,economics!$AJ$2:$AJ$167,TRUE)-_xlfn.NORM.DIST(AU$30,economics!$AK$2:$AK$167,economics!$AJ$2:$AJ$167,TRUE))*economics!$AM$2:$AM$167)+$CR23*(_xlfn.NORM.DIST(AU$3,$CU23,0.3*$CU23,TRUE)-_xlfn.NORM.DIST(AU$30,$CU23,0.3*$CU23,TRUE))*summary!$C$7/28.8/0.947817+$CS23*(_xlfn.NORM.DIST(AU$3,$CV23,0.3*$CV23,TRUE)-_xlfn.NORM.DIST(AU$30,$CV23,0.3*$CV23,TRUE))*summary!$C$6/28.8/0.947817)/(SUMPRODUCT((economics!$AG$2:$AG$167=$B52)*(economics!$D$2:$D$167="whr")*economics!$AH$2:$AH$167*(_xlfn.NORM.DIST(AU$3,economics!$AK$2:$AK$167,economics!$AJ$2:$AJ$167,TRUE)-_xlfn.NORM.DIST(AU$30,economics!$AK$2:$AK$167,economics!$AJ$2:$AJ$167,TRUE)))+$CR23*(_xlfn.NORM.DIST(AU$3,$CU23,0.3*$CU23,TRUE)-_xlfn.NORM.DIST(AU$30,$CU23,0.3*$CU23,TRUE))+$CS23*(_xlfn.NORM.DIST(AU$3,$CV23,0.3*$CV23,TRUE)-_xlfn.NORM.DIST(AU$30,$CV23,0.3*$CV23,TRUE))),""),IF($C23&gt;0,summary!$C$10/28.8/0.947817,""))</f>
        <v/>
      </c>
      <c r="AV52">
        <f t="array" ref="AV52">IF($D23,IFERROR((SUMPRODUCT((economics!$AG$2:$AG$167=$B52)*(economics!$D$2:$D$167="whr")*economics!$AH$2:$AH$167*(_xlfn.NORM.DIST(AV$3,economics!$AK$2:$AK$167,economics!$AJ$2:$AJ$167,TRUE)-_xlfn.NORM.DIST(AV$30,economics!$AK$2:$AK$167,economics!$AJ$2:$AJ$167,TRUE))*economics!$AM$2:$AM$167)+$CR23*(_xlfn.NORM.DIST(AV$3,$CU23,0.3*$CU23,TRUE)-_xlfn.NORM.DIST(AV$30,$CU23,0.3*$CU23,TRUE))*summary!$C$7/28.8/0.947817+$CS23*(_xlfn.NORM.DIST(AV$3,$CV23,0.3*$CV23,TRUE)-_xlfn.NORM.DIST(AV$30,$CV23,0.3*$CV23,TRUE))*summary!$C$6/28.8/0.947817)/(SUMPRODUCT((economics!$AG$2:$AG$167=$B52)*(economics!$D$2:$D$167="whr")*economics!$AH$2:$AH$167*(_xlfn.NORM.DIST(AV$3,economics!$AK$2:$AK$167,economics!$AJ$2:$AJ$167,TRUE)-_xlfn.NORM.DIST(AV$30,economics!$AK$2:$AK$167,economics!$AJ$2:$AJ$167,TRUE)))+$CR23*(_xlfn.NORM.DIST(AV$3,$CU23,0.3*$CU23,TRUE)-_xlfn.NORM.DIST(AV$30,$CU23,0.3*$CU23,TRUE))+$CS23*(_xlfn.NORM.DIST(AV$3,$CV23,0.3*$CV23,TRUE)-_xlfn.NORM.DIST(AV$30,$CV23,0.3*$CV23,TRUE))),""),IF($C23&gt;0,summary!$C$10/28.8/0.947817,""))</f>
        <v/>
      </c>
      <c r="AW52">
        <f t="array" ref="AW52">IF($D23,IFERROR((SUMPRODUCT((economics!$AG$2:$AG$167=$B52)*(economics!$D$2:$D$167="whr")*economics!$AH$2:$AH$167*(_xlfn.NORM.DIST(AW$3,economics!$AK$2:$AK$167,economics!$AJ$2:$AJ$167,TRUE)-_xlfn.NORM.DIST(AW$30,economics!$AK$2:$AK$167,economics!$AJ$2:$AJ$167,TRUE))*economics!$AM$2:$AM$167)+$CR23*(_xlfn.NORM.DIST(AW$3,$CU23,0.3*$CU23,TRUE)-_xlfn.NORM.DIST(AW$30,$CU23,0.3*$CU23,TRUE))*summary!$C$7/28.8/0.947817+$CS23*(_xlfn.NORM.DIST(AW$3,$CV23,0.3*$CV23,TRUE)-_xlfn.NORM.DIST(AW$30,$CV23,0.3*$CV23,TRUE))*summary!$C$6/28.8/0.947817)/(SUMPRODUCT((economics!$AG$2:$AG$167=$B52)*(economics!$D$2:$D$167="whr")*economics!$AH$2:$AH$167*(_xlfn.NORM.DIST(AW$3,economics!$AK$2:$AK$167,economics!$AJ$2:$AJ$167,TRUE)-_xlfn.NORM.DIST(AW$30,economics!$AK$2:$AK$167,economics!$AJ$2:$AJ$167,TRUE)))+$CR23*(_xlfn.NORM.DIST(AW$3,$CU23,0.3*$CU23,TRUE)-_xlfn.NORM.DIST(AW$30,$CU23,0.3*$CU23,TRUE))+$CS23*(_xlfn.NORM.DIST(AW$3,$CV23,0.3*$CV23,TRUE)-_xlfn.NORM.DIST(AW$30,$CV23,0.3*$CV23,TRUE))),""),IF($C23&gt;0,summary!$C$10/28.8/0.947817,""))</f>
        <v/>
      </c>
      <c r="AX52">
        <f t="array" ref="AX52">IF($D23,IFERROR((SUMPRODUCT((economics!$AG$2:$AG$167=$B52)*(economics!$D$2:$D$167="whr")*economics!$AH$2:$AH$167*(_xlfn.NORM.DIST(AX$3,economics!$AK$2:$AK$167,economics!$AJ$2:$AJ$167,TRUE)-_xlfn.NORM.DIST(AX$30,economics!$AK$2:$AK$167,economics!$AJ$2:$AJ$167,TRUE))*economics!$AM$2:$AM$167)+$CR23*(_xlfn.NORM.DIST(AX$3,$CU23,0.3*$CU23,TRUE)-_xlfn.NORM.DIST(AX$30,$CU23,0.3*$CU23,TRUE))*summary!$C$7/28.8/0.947817+$CS23*(_xlfn.NORM.DIST(AX$3,$CV23,0.3*$CV23,TRUE)-_xlfn.NORM.DIST(AX$30,$CV23,0.3*$CV23,TRUE))*summary!$C$6/28.8/0.947817)/(SUMPRODUCT((economics!$AG$2:$AG$167=$B52)*(economics!$D$2:$D$167="whr")*economics!$AH$2:$AH$167*(_xlfn.NORM.DIST(AX$3,economics!$AK$2:$AK$167,economics!$AJ$2:$AJ$167,TRUE)-_xlfn.NORM.DIST(AX$30,economics!$AK$2:$AK$167,economics!$AJ$2:$AJ$167,TRUE)))+$CR23*(_xlfn.NORM.DIST(AX$3,$CU23,0.3*$CU23,TRUE)-_xlfn.NORM.DIST(AX$30,$CU23,0.3*$CU23,TRUE))+$CS23*(_xlfn.NORM.DIST(AX$3,$CV23,0.3*$CV23,TRUE)-_xlfn.NORM.DIST(AX$30,$CV23,0.3*$CV23,TRUE))),""),IF($C23&gt;0,summary!$C$10/28.8/0.947817,""))</f>
        <v/>
      </c>
      <c r="AY52">
        <f t="array" ref="AY52">IF($D23,IFERROR((SUMPRODUCT((economics!$AG$2:$AG$167=$B52)*(economics!$D$2:$D$167="whr")*economics!$AH$2:$AH$167*(_xlfn.NORM.DIST(AY$3,economics!$AK$2:$AK$167,economics!$AJ$2:$AJ$167,TRUE)-_xlfn.NORM.DIST(AY$30,economics!$AK$2:$AK$167,economics!$AJ$2:$AJ$167,TRUE))*economics!$AM$2:$AM$167)+$CR23*(_xlfn.NORM.DIST(AY$3,$CU23,0.3*$CU23,TRUE)-_xlfn.NORM.DIST(AY$30,$CU23,0.3*$CU23,TRUE))*summary!$C$7/28.8/0.947817+$CS23*(_xlfn.NORM.DIST(AY$3,$CV23,0.3*$CV23,TRUE)-_xlfn.NORM.DIST(AY$30,$CV23,0.3*$CV23,TRUE))*summary!$C$6/28.8/0.947817)/(SUMPRODUCT((economics!$AG$2:$AG$167=$B52)*(economics!$D$2:$D$167="whr")*economics!$AH$2:$AH$167*(_xlfn.NORM.DIST(AY$3,economics!$AK$2:$AK$167,economics!$AJ$2:$AJ$167,TRUE)-_xlfn.NORM.DIST(AY$30,economics!$AK$2:$AK$167,economics!$AJ$2:$AJ$167,TRUE)))+$CR23*(_xlfn.NORM.DIST(AY$3,$CU23,0.3*$CU23,TRUE)-_xlfn.NORM.DIST(AY$30,$CU23,0.3*$CU23,TRUE))+$CS23*(_xlfn.NORM.DIST(AY$3,$CV23,0.3*$CV23,TRUE)-_xlfn.NORM.DIST(AY$30,$CV23,0.3*$CV23,TRUE))),""),IF($C23&gt;0,summary!$C$10/28.8/0.947817,""))</f>
        <v/>
      </c>
      <c r="AZ52">
        <f t="array" ref="AZ52">IF($D23,IFERROR((SUMPRODUCT((economics!$AG$2:$AG$167=$B52)*(economics!$D$2:$D$167="whr")*economics!$AH$2:$AH$167*(_xlfn.NORM.DIST(AZ$3,economics!$AK$2:$AK$167,economics!$AJ$2:$AJ$167,TRUE)-_xlfn.NORM.DIST(AZ$30,economics!$AK$2:$AK$167,economics!$AJ$2:$AJ$167,TRUE))*economics!$AM$2:$AM$167)+$CR23*(_xlfn.NORM.DIST(AZ$3,$CU23,0.3*$CU23,TRUE)-_xlfn.NORM.DIST(AZ$30,$CU23,0.3*$CU23,TRUE))*summary!$C$7/28.8/0.947817+$CS23*(_xlfn.NORM.DIST(AZ$3,$CV23,0.3*$CV23,TRUE)-_xlfn.NORM.DIST(AZ$30,$CV23,0.3*$CV23,TRUE))*summary!$C$6/28.8/0.947817)/(SUMPRODUCT((economics!$AG$2:$AG$167=$B52)*(economics!$D$2:$D$167="whr")*economics!$AH$2:$AH$167*(_xlfn.NORM.DIST(AZ$3,economics!$AK$2:$AK$167,economics!$AJ$2:$AJ$167,TRUE)-_xlfn.NORM.DIST(AZ$30,economics!$AK$2:$AK$167,economics!$AJ$2:$AJ$167,TRUE)))+$CR23*(_xlfn.NORM.DIST(AZ$3,$CU23,0.3*$CU23,TRUE)-_xlfn.NORM.DIST(AZ$30,$CU23,0.3*$CU23,TRUE))+$CS23*(_xlfn.NORM.DIST(AZ$3,$CV23,0.3*$CV23,TRUE)-_xlfn.NORM.DIST(AZ$30,$CV23,0.3*$CV23,TRUE))),""),IF($C23&gt;0,summary!$C$10/28.8/0.947817,""))</f>
        <v/>
      </c>
      <c r="BA52">
        <f t="array" ref="BA52">IF($D23,IFERROR((SUMPRODUCT((economics!$AG$2:$AG$167=$B52)*(economics!$D$2:$D$167="whr")*economics!$AH$2:$AH$167*(_xlfn.NORM.DIST(BA$3,economics!$AK$2:$AK$167,economics!$AJ$2:$AJ$167,TRUE)-_xlfn.NORM.DIST(BA$30,economics!$AK$2:$AK$167,economics!$AJ$2:$AJ$167,TRUE))*economics!$AM$2:$AM$167)+$CR23*(_xlfn.NORM.DIST(BA$3,$CU23,0.3*$CU23,TRUE)-_xlfn.NORM.DIST(BA$30,$CU23,0.3*$CU23,TRUE))*summary!$C$7/28.8/0.947817+$CS23*(_xlfn.NORM.DIST(BA$3,$CV23,0.3*$CV23,TRUE)-_xlfn.NORM.DIST(BA$30,$CV23,0.3*$CV23,TRUE))*summary!$C$6/28.8/0.947817)/(SUMPRODUCT((economics!$AG$2:$AG$167=$B52)*(economics!$D$2:$D$167="whr")*economics!$AH$2:$AH$167*(_xlfn.NORM.DIST(BA$3,economics!$AK$2:$AK$167,economics!$AJ$2:$AJ$167,TRUE)-_xlfn.NORM.DIST(BA$30,economics!$AK$2:$AK$167,economics!$AJ$2:$AJ$167,TRUE)))+$CR23*(_xlfn.NORM.DIST(BA$3,$CU23,0.3*$CU23,TRUE)-_xlfn.NORM.DIST(BA$30,$CU23,0.3*$CU23,TRUE))+$CS23*(_xlfn.NORM.DIST(BA$3,$CV23,0.3*$CV23,TRUE)-_xlfn.NORM.DIST(BA$30,$CV23,0.3*$CV23,TRUE))),""),IF($C23&gt;0,summary!$C$10/28.8/0.947817,""))</f>
        <v/>
      </c>
      <c r="BB52">
        <f t="array" ref="BB52">IF($D23,IFERROR((SUMPRODUCT((economics!$AG$2:$AG$167=$B52)*(economics!$D$2:$D$167="whr")*economics!$AH$2:$AH$167*(_xlfn.NORM.DIST(BB$3,economics!$AK$2:$AK$167,economics!$AJ$2:$AJ$167,TRUE)-_xlfn.NORM.DIST(BB$30,economics!$AK$2:$AK$167,economics!$AJ$2:$AJ$167,TRUE))*economics!$AM$2:$AM$167)+$CR23*(_xlfn.NORM.DIST(BB$3,$CU23,0.3*$CU23,TRUE)-_xlfn.NORM.DIST(BB$30,$CU23,0.3*$CU23,TRUE))*summary!$C$7/28.8/0.947817+$CS23*(_xlfn.NORM.DIST(BB$3,$CV23,0.3*$CV23,TRUE)-_xlfn.NORM.DIST(BB$30,$CV23,0.3*$CV23,TRUE))*summary!$C$6/28.8/0.947817)/(SUMPRODUCT((economics!$AG$2:$AG$167=$B52)*(economics!$D$2:$D$167="whr")*economics!$AH$2:$AH$167*(_xlfn.NORM.DIST(BB$3,economics!$AK$2:$AK$167,economics!$AJ$2:$AJ$167,TRUE)-_xlfn.NORM.DIST(BB$30,economics!$AK$2:$AK$167,economics!$AJ$2:$AJ$167,TRUE)))+$CR23*(_xlfn.NORM.DIST(BB$3,$CU23,0.3*$CU23,TRUE)-_xlfn.NORM.DIST(BB$30,$CU23,0.3*$CU23,TRUE))+$CS23*(_xlfn.NORM.DIST(BB$3,$CV23,0.3*$CV23,TRUE)-_xlfn.NORM.DIST(BB$30,$CV23,0.3*$CV23,TRUE))),""),IF($C23&gt;0,summary!$C$10/28.8/0.947817,""))</f>
        <v/>
      </c>
      <c r="BC52">
        <f t="array" ref="BC52">IF($D23,IFERROR((SUMPRODUCT((economics!$AG$2:$AG$167=$B52)*(economics!$D$2:$D$167="whr")*economics!$AH$2:$AH$167*(_xlfn.NORM.DIST(BC$3,economics!$AK$2:$AK$167,economics!$AJ$2:$AJ$167,TRUE)-_xlfn.NORM.DIST(BC$30,economics!$AK$2:$AK$167,economics!$AJ$2:$AJ$167,TRUE))*economics!$AM$2:$AM$167)+$CR23*(_xlfn.NORM.DIST(BC$3,$CU23,0.3*$CU23,TRUE)-_xlfn.NORM.DIST(BC$30,$CU23,0.3*$CU23,TRUE))*summary!$C$7/28.8/0.947817+$CS23*(_xlfn.NORM.DIST(BC$3,$CV23,0.3*$CV23,TRUE)-_xlfn.NORM.DIST(BC$30,$CV23,0.3*$CV23,TRUE))*summary!$C$6/28.8/0.947817)/(SUMPRODUCT((economics!$AG$2:$AG$167=$B52)*(economics!$D$2:$D$167="whr")*economics!$AH$2:$AH$167*(_xlfn.NORM.DIST(BC$3,economics!$AK$2:$AK$167,economics!$AJ$2:$AJ$167,TRUE)-_xlfn.NORM.DIST(BC$30,economics!$AK$2:$AK$167,economics!$AJ$2:$AJ$167,TRUE)))+$CR23*(_xlfn.NORM.DIST(BC$3,$CU23,0.3*$CU23,TRUE)-_xlfn.NORM.DIST(BC$30,$CU23,0.3*$CU23,TRUE))+$CS23*(_xlfn.NORM.DIST(BC$3,$CV23,0.3*$CV23,TRUE)-_xlfn.NORM.DIST(BC$30,$CV23,0.3*$CV23,TRUE))),""),IF($C23&gt;0,summary!$C$10/28.8/0.947817,""))</f>
        <v/>
      </c>
      <c r="BD52">
        <f t="array" ref="BD52">IF($D23,IFERROR((SUMPRODUCT((economics!$AG$2:$AG$167=$B52)*(economics!$D$2:$D$167="whr")*economics!$AH$2:$AH$167*(_xlfn.NORM.DIST(BD$3,economics!$AK$2:$AK$167,economics!$AJ$2:$AJ$167,TRUE)-_xlfn.NORM.DIST(BD$30,economics!$AK$2:$AK$167,economics!$AJ$2:$AJ$167,TRUE))*economics!$AM$2:$AM$167)+$CR23*(_xlfn.NORM.DIST(BD$3,$CU23,0.3*$CU23,TRUE)-_xlfn.NORM.DIST(BD$30,$CU23,0.3*$CU23,TRUE))*summary!$C$7/28.8/0.947817+$CS23*(_xlfn.NORM.DIST(BD$3,$CV23,0.3*$CV23,TRUE)-_xlfn.NORM.DIST(BD$30,$CV23,0.3*$CV23,TRUE))*summary!$C$6/28.8/0.947817)/(SUMPRODUCT((economics!$AG$2:$AG$167=$B52)*(economics!$D$2:$D$167="whr")*economics!$AH$2:$AH$167*(_xlfn.NORM.DIST(BD$3,economics!$AK$2:$AK$167,economics!$AJ$2:$AJ$167,TRUE)-_xlfn.NORM.DIST(BD$30,economics!$AK$2:$AK$167,economics!$AJ$2:$AJ$167,TRUE)))+$CR23*(_xlfn.NORM.DIST(BD$3,$CU23,0.3*$CU23,TRUE)-_xlfn.NORM.DIST(BD$30,$CU23,0.3*$CU23,TRUE))+$CS23*(_xlfn.NORM.DIST(BD$3,$CV23,0.3*$CV23,TRUE)-_xlfn.NORM.DIST(BD$30,$CV23,0.3*$CV23,TRUE))),""),IF($C23&gt;0,summary!$C$10/28.8/0.947817,""))</f>
        <v/>
      </c>
      <c r="BE52">
        <f t="array" ref="BE52">IF($D23,IFERROR((SUMPRODUCT((economics!$AG$2:$AG$167=$B52)*(economics!$D$2:$D$167="whr")*economics!$AH$2:$AH$167*(_xlfn.NORM.DIST(BE$3,economics!$AK$2:$AK$167,economics!$AJ$2:$AJ$167,TRUE)-_xlfn.NORM.DIST(BE$30,economics!$AK$2:$AK$167,economics!$AJ$2:$AJ$167,TRUE))*economics!$AM$2:$AM$167)+$CR23*(_xlfn.NORM.DIST(BE$3,$CU23,0.3*$CU23,TRUE)-_xlfn.NORM.DIST(BE$30,$CU23,0.3*$CU23,TRUE))*summary!$C$7/28.8/0.947817+$CS23*(_xlfn.NORM.DIST(BE$3,$CV23,0.3*$CV23,TRUE)-_xlfn.NORM.DIST(BE$30,$CV23,0.3*$CV23,TRUE))*summary!$C$6/28.8/0.947817)/(SUMPRODUCT((economics!$AG$2:$AG$167=$B52)*(economics!$D$2:$D$167="whr")*economics!$AH$2:$AH$167*(_xlfn.NORM.DIST(BE$3,economics!$AK$2:$AK$167,economics!$AJ$2:$AJ$167,TRUE)-_xlfn.NORM.DIST(BE$30,economics!$AK$2:$AK$167,economics!$AJ$2:$AJ$167,TRUE)))+$CR23*(_xlfn.NORM.DIST(BE$3,$CU23,0.3*$CU23,TRUE)-_xlfn.NORM.DIST(BE$30,$CU23,0.3*$CU23,TRUE))+$CS23*(_xlfn.NORM.DIST(BE$3,$CV23,0.3*$CV23,TRUE)-_xlfn.NORM.DIST(BE$30,$CV23,0.3*$CV23,TRUE))),""),IF($C23&gt;0,summary!$C$10/28.8/0.947817,""))</f>
        <v/>
      </c>
      <c r="BF52">
        <f t="array" ref="BF52">IF($D23,IFERROR((SUMPRODUCT((economics!$AG$2:$AG$167=$B52)*(economics!$D$2:$D$167="whr")*economics!$AH$2:$AH$167*(_xlfn.NORM.DIST(BF$3,economics!$AK$2:$AK$167,economics!$AJ$2:$AJ$167,TRUE)-_xlfn.NORM.DIST(BF$30,economics!$AK$2:$AK$167,economics!$AJ$2:$AJ$167,TRUE))*economics!$AM$2:$AM$167)+$CR23*(_xlfn.NORM.DIST(BF$3,$CU23,0.3*$CU23,TRUE)-_xlfn.NORM.DIST(BF$30,$CU23,0.3*$CU23,TRUE))*summary!$C$7/28.8/0.947817+$CS23*(_xlfn.NORM.DIST(BF$3,$CV23,0.3*$CV23,TRUE)-_xlfn.NORM.DIST(BF$30,$CV23,0.3*$CV23,TRUE))*summary!$C$6/28.8/0.947817)/(SUMPRODUCT((economics!$AG$2:$AG$167=$B52)*(economics!$D$2:$D$167="whr")*economics!$AH$2:$AH$167*(_xlfn.NORM.DIST(BF$3,economics!$AK$2:$AK$167,economics!$AJ$2:$AJ$167,TRUE)-_xlfn.NORM.DIST(BF$30,economics!$AK$2:$AK$167,economics!$AJ$2:$AJ$167,TRUE)))+$CR23*(_xlfn.NORM.DIST(BF$3,$CU23,0.3*$CU23,TRUE)-_xlfn.NORM.DIST(BF$30,$CU23,0.3*$CU23,TRUE))+$CS23*(_xlfn.NORM.DIST(BF$3,$CV23,0.3*$CV23,TRUE)-_xlfn.NORM.DIST(BF$30,$CV23,0.3*$CV23,TRUE))),""),IF($C23&gt;0,summary!$C$10/28.8/0.947817,""))</f>
        <v/>
      </c>
      <c r="BG52">
        <f t="array" ref="BG52">IF($D23,IFERROR((SUMPRODUCT((economics!$AG$2:$AG$167=$B52)*(economics!$D$2:$D$167="whr")*economics!$AH$2:$AH$167*(_xlfn.NORM.DIST(BG$3,economics!$AK$2:$AK$167,economics!$AJ$2:$AJ$167,TRUE)-_xlfn.NORM.DIST(BG$30,economics!$AK$2:$AK$167,economics!$AJ$2:$AJ$167,TRUE))*economics!$AM$2:$AM$167)+$CR23*(_xlfn.NORM.DIST(BG$3,$CU23,0.3*$CU23,TRUE)-_xlfn.NORM.DIST(BG$30,$CU23,0.3*$CU23,TRUE))*summary!$C$7/28.8/0.947817+$CS23*(_xlfn.NORM.DIST(BG$3,$CV23,0.3*$CV23,TRUE)-_xlfn.NORM.DIST(BG$30,$CV23,0.3*$CV23,TRUE))*summary!$C$6/28.8/0.947817)/(SUMPRODUCT((economics!$AG$2:$AG$167=$B52)*(economics!$D$2:$D$167="whr")*economics!$AH$2:$AH$167*(_xlfn.NORM.DIST(BG$3,economics!$AK$2:$AK$167,economics!$AJ$2:$AJ$167,TRUE)-_xlfn.NORM.DIST(BG$30,economics!$AK$2:$AK$167,economics!$AJ$2:$AJ$167,TRUE)))+$CR23*(_xlfn.NORM.DIST(BG$3,$CU23,0.3*$CU23,TRUE)-_xlfn.NORM.DIST(BG$30,$CU23,0.3*$CU23,TRUE))+$CS23*(_xlfn.NORM.DIST(BG$3,$CV23,0.3*$CV23,TRUE)-_xlfn.NORM.DIST(BG$30,$CV23,0.3*$CV23,TRUE))),""),IF($C23&gt;0,summary!$C$10/28.8/0.947817,""))</f>
        <v/>
      </c>
      <c r="BH52">
        <f t="array" ref="BH52">IF($D23,IFERROR((SUMPRODUCT((economics!$AG$2:$AG$167=$B52)*(economics!$D$2:$D$167="whr")*economics!$AH$2:$AH$167*(_xlfn.NORM.DIST(BH$3,economics!$AK$2:$AK$167,economics!$AJ$2:$AJ$167,TRUE)-_xlfn.NORM.DIST(BH$30,economics!$AK$2:$AK$167,economics!$AJ$2:$AJ$167,TRUE))*economics!$AM$2:$AM$167)+$CR23*(_xlfn.NORM.DIST(BH$3,$CU23,0.3*$CU23,TRUE)-_xlfn.NORM.DIST(BH$30,$CU23,0.3*$CU23,TRUE))*summary!$C$7/28.8/0.947817+$CS23*(_xlfn.NORM.DIST(BH$3,$CV23,0.3*$CV23,TRUE)-_xlfn.NORM.DIST(BH$30,$CV23,0.3*$CV23,TRUE))*summary!$C$6/28.8/0.947817)/(SUMPRODUCT((economics!$AG$2:$AG$167=$B52)*(economics!$D$2:$D$167="whr")*economics!$AH$2:$AH$167*(_xlfn.NORM.DIST(BH$3,economics!$AK$2:$AK$167,economics!$AJ$2:$AJ$167,TRUE)-_xlfn.NORM.DIST(BH$30,economics!$AK$2:$AK$167,economics!$AJ$2:$AJ$167,TRUE)))+$CR23*(_xlfn.NORM.DIST(BH$3,$CU23,0.3*$CU23,TRUE)-_xlfn.NORM.DIST(BH$30,$CU23,0.3*$CU23,TRUE))+$CS23*(_xlfn.NORM.DIST(BH$3,$CV23,0.3*$CV23,TRUE)-_xlfn.NORM.DIST(BH$30,$CV23,0.3*$CV23,TRUE))),""),IF($C23&gt;0,summary!$C$10/28.8/0.947817,""))</f>
        <v/>
      </c>
      <c r="BI52">
        <f t="array" ref="BI52">IF($D23,IFERROR((SUMPRODUCT((economics!$AG$2:$AG$167=$B52)*(economics!$D$2:$D$167="whr")*economics!$AH$2:$AH$167*(_xlfn.NORM.DIST(BI$3,economics!$AK$2:$AK$167,economics!$AJ$2:$AJ$167,TRUE)-_xlfn.NORM.DIST(BI$30,economics!$AK$2:$AK$167,economics!$AJ$2:$AJ$167,TRUE))*economics!$AM$2:$AM$167)+$CR23*(_xlfn.NORM.DIST(BI$3,$CU23,0.3*$CU23,TRUE)-_xlfn.NORM.DIST(BI$30,$CU23,0.3*$CU23,TRUE))*summary!$C$7/28.8/0.947817+$CS23*(_xlfn.NORM.DIST(BI$3,$CV23,0.3*$CV23,TRUE)-_xlfn.NORM.DIST(BI$30,$CV23,0.3*$CV23,TRUE))*summary!$C$6/28.8/0.947817)/(SUMPRODUCT((economics!$AG$2:$AG$167=$B52)*(economics!$D$2:$D$167="whr")*economics!$AH$2:$AH$167*(_xlfn.NORM.DIST(BI$3,economics!$AK$2:$AK$167,economics!$AJ$2:$AJ$167,TRUE)-_xlfn.NORM.DIST(BI$30,economics!$AK$2:$AK$167,economics!$AJ$2:$AJ$167,TRUE)))+$CR23*(_xlfn.NORM.DIST(BI$3,$CU23,0.3*$CU23,TRUE)-_xlfn.NORM.DIST(BI$30,$CU23,0.3*$CU23,TRUE))+$CS23*(_xlfn.NORM.DIST(BI$3,$CV23,0.3*$CV23,TRUE)-_xlfn.NORM.DIST(BI$30,$CV23,0.3*$CV23,TRUE))),""),IF($C23&gt;0,summary!$C$10/28.8/0.947817,""))</f>
        <v/>
      </c>
      <c r="BJ52">
        <f t="array" ref="BJ52">IF($D23,IFERROR((SUMPRODUCT((economics!$AG$2:$AG$167=$B52)*(economics!$D$2:$D$167="whr")*economics!$AH$2:$AH$167*(_xlfn.NORM.DIST(BJ$3,economics!$AK$2:$AK$167,economics!$AJ$2:$AJ$167,TRUE)-_xlfn.NORM.DIST(BJ$30,economics!$AK$2:$AK$167,economics!$AJ$2:$AJ$167,TRUE))*economics!$AM$2:$AM$167)+$CR23*(_xlfn.NORM.DIST(BJ$3,$CU23,0.3*$CU23,TRUE)-_xlfn.NORM.DIST(BJ$30,$CU23,0.3*$CU23,TRUE))*summary!$C$7/28.8/0.947817+$CS23*(_xlfn.NORM.DIST(BJ$3,$CV23,0.3*$CV23,TRUE)-_xlfn.NORM.DIST(BJ$30,$CV23,0.3*$CV23,TRUE))*summary!$C$6/28.8/0.947817)/(SUMPRODUCT((economics!$AG$2:$AG$167=$B52)*(economics!$D$2:$D$167="whr")*economics!$AH$2:$AH$167*(_xlfn.NORM.DIST(BJ$3,economics!$AK$2:$AK$167,economics!$AJ$2:$AJ$167,TRUE)-_xlfn.NORM.DIST(BJ$30,economics!$AK$2:$AK$167,economics!$AJ$2:$AJ$167,TRUE)))+$CR23*(_xlfn.NORM.DIST(BJ$3,$CU23,0.3*$CU23,TRUE)-_xlfn.NORM.DIST(BJ$30,$CU23,0.3*$CU23,TRUE))+$CS23*(_xlfn.NORM.DIST(BJ$3,$CV23,0.3*$CV23,TRUE)-_xlfn.NORM.DIST(BJ$30,$CV23,0.3*$CV23,TRUE))),""),IF($C23&gt;0,summary!$C$10/28.8/0.947817,""))</f>
        <v/>
      </c>
      <c r="BK52">
        <f t="array" ref="BK52">IF($D23,IFERROR((SUMPRODUCT((economics!$AG$2:$AG$167=$B52)*(economics!$D$2:$D$167="whr")*economics!$AH$2:$AH$167*(_xlfn.NORM.DIST(BK$3,economics!$AK$2:$AK$167,economics!$AJ$2:$AJ$167,TRUE)-_xlfn.NORM.DIST(BK$30,economics!$AK$2:$AK$167,economics!$AJ$2:$AJ$167,TRUE))*economics!$AM$2:$AM$167)+$CR23*(_xlfn.NORM.DIST(BK$3,$CU23,0.3*$CU23,TRUE)-_xlfn.NORM.DIST(BK$30,$CU23,0.3*$CU23,TRUE))*summary!$C$7/28.8/0.947817+$CS23*(_xlfn.NORM.DIST(BK$3,$CV23,0.3*$CV23,TRUE)-_xlfn.NORM.DIST(BK$30,$CV23,0.3*$CV23,TRUE))*summary!$C$6/28.8/0.947817)/(SUMPRODUCT((economics!$AG$2:$AG$167=$B52)*(economics!$D$2:$D$167="whr")*economics!$AH$2:$AH$167*(_xlfn.NORM.DIST(BK$3,economics!$AK$2:$AK$167,economics!$AJ$2:$AJ$167,TRUE)-_xlfn.NORM.DIST(BK$30,economics!$AK$2:$AK$167,economics!$AJ$2:$AJ$167,TRUE)))+$CR23*(_xlfn.NORM.DIST(BK$3,$CU23,0.3*$CU23,TRUE)-_xlfn.NORM.DIST(BK$30,$CU23,0.3*$CU23,TRUE))+$CS23*(_xlfn.NORM.DIST(BK$3,$CV23,0.3*$CV23,TRUE)-_xlfn.NORM.DIST(BK$30,$CV23,0.3*$CV23,TRUE))),""),IF($C23&gt;0,summary!$C$10/28.8/0.947817,""))</f>
        <v/>
      </c>
      <c r="BL52">
        <f t="array" ref="BL52">IF($D23,IFERROR((SUMPRODUCT((economics!$AG$2:$AG$167=$B52)*(economics!$D$2:$D$167="whr")*economics!$AH$2:$AH$167*(_xlfn.NORM.DIST(BL$3,economics!$AK$2:$AK$167,economics!$AJ$2:$AJ$167,TRUE)-_xlfn.NORM.DIST(BL$30,economics!$AK$2:$AK$167,economics!$AJ$2:$AJ$167,TRUE))*economics!$AM$2:$AM$167)+$CR23*(_xlfn.NORM.DIST(BL$3,$CU23,0.3*$CU23,TRUE)-_xlfn.NORM.DIST(BL$30,$CU23,0.3*$CU23,TRUE))*summary!$C$7/28.8/0.947817+$CS23*(_xlfn.NORM.DIST(BL$3,$CV23,0.3*$CV23,TRUE)-_xlfn.NORM.DIST(BL$30,$CV23,0.3*$CV23,TRUE))*summary!$C$6/28.8/0.947817)/(SUMPRODUCT((economics!$AG$2:$AG$167=$B52)*(economics!$D$2:$D$167="whr")*economics!$AH$2:$AH$167*(_xlfn.NORM.DIST(BL$3,economics!$AK$2:$AK$167,economics!$AJ$2:$AJ$167,TRUE)-_xlfn.NORM.DIST(BL$30,economics!$AK$2:$AK$167,economics!$AJ$2:$AJ$167,TRUE)))+$CR23*(_xlfn.NORM.DIST(BL$3,$CU23,0.3*$CU23,TRUE)-_xlfn.NORM.DIST(BL$30,$CU23,0.3*$CU23,TRUE))+$CS23*(_xlfn.NORM.DIST(BL$3,$CV23,0.3*$CV23,TRUE)-_xlfn.NORM.DIST(BL$30,$CV23,0.3*$CV23,TRUE))),""),IF($C23&gt;0,summary!$C$10/28.8/0.947817,""))</f>
        <v/>
      </c>
      <c r="BM52">
        <f t="array" ref="BM52">IF($D23,IFERROR((SUMPRODUCT((economics!$AG$2:$AG$167=$B52)*(economics!$D$2:$D$167="whr")*economics!$AH$2:$AH$167*(_xlfn.NORM.DIST(BM$3,economics!$AK$2:$AK$167,economics!$AJ$2:$AJ$167,TRUE)-_xlfn.NORM.DIST(BM$30,economics!$AK$2:$AK$167,economics!$AJ$2:$AJ$167,TRUE))*economics!$AM$2:$AM$167)+$CR23*(_xlfn.NORM.DIST(BM$3,$CU23,0.3*$CU23,TRUE)-_xlfn.NORM.DIST(BM$30,$CU23,0.3*$CU23,TRUE))*summary!$C$7/28.8/0.947817+$CS23*(_xlfn.NORM.DIST(BM$3,$CV23,0.3*$CV23,TRUE)-_xlfn.NORM.DIST(BM$30,$CV23,0.3*$CV23,TRUE))*summary!$C$6/28.8/0.947817)/(SUMPRODUCT((economics!$AG$2:$AG$167=$B52)*(economics!$D$2:$D$167="whr")*economics!$AH$2:$AH$167*(_xlfn.NORM.DIST(BM$3,economics!$AK$2:$AK$167,economics!$AJ$2:$AJ$167,TRUE)-_xlfn.NORM.DIST(BM$30,economics!$AK$2:$AK$167,economics!$AJ$2:$AJ$167,TRUE)))+$CR23*(_xlfn.NORM.DIST(BM$3,$CU23,0.3*$CU23,TRUE)-_xlfn.NORM.DIST(BM$30,$CU23,0.3*$CU23,TRUE))+$CS23*(_xlfn.NORM.DIST(BM$3,$CV23,0.3*$CV23,TRUE)-_xlfn.NORM.DIST(BM$30,$CV23,0.3*$CV23,TRUE))),""),IF($C23&gt;0,summary!$C$10/28.8/0.947817,""))</f>
        <v/>
      </c>
      <c r="BN52">
        <f t="array" ref="BN52">IF($D23,IFERROR((SUMPRODUCT((economics!$AG$2:$AG$167=$B52)*(economics!$D$2:$D$167="whr")*economics!$AH$2:$AH$167*(_xlfn.NORM.DIST(BN$3,economics!$AK$2:$AK$167,economics!$AJ$2:$AJ$167,TRUE)-_xlfn.NORM.DIST(BN$30,economics!$AK$2:$AK$167,economics!$AJ$2:$AJ$167,TRUE))*economics!$AM$2:$AM$167)+$CR23*(_xlfn.NORM.DIST(BN$3,$CU23,0.3*$CU23,TRUE)-_xlfn.NORM.DIST(BN$30,$CU23,0.3*$CU23,TRUE))*summary!$C$7/28.8/0.947817+$CS23*(_xlfn.NORM.DIST(BN$3,$CV23,0.3*$CV23,TRUE)-_xlfn.NORM.DIST(BN$30,$CV23,0.3*$CV23,TRUE))*summary!$C$6/28.8/0.947817)/(SUMPRODUCT((economics!$AG$2:$AG$167=$B52)*(economics!$D$2:$D$167="whr")*economics!$AH$2:$AH$167*(_xlfn.NORM.DIST(BN$3,economics!$AK$2:$AK$167,economics!$AJ$2:$AJ$167,TRUE)-_xlfn.NORM.DIST(BN$30,economics!$AK$2:$AK$167,economics!$AJ$2:$AJ$167,TRUE)))+$CR23*(_xlfn.NORM.DIST(BN$3,$CU23,0.3*$CU23,TRUE)-_xlfn.NORM.DIST(BN$30,$CU23,0.3*$CU23,TRUE))+$CS23*(_xlfn.NORM.DIST(BN$3,$CV23,0.3*$CV23,TRUE)-_xlfn.NORM.DIST(BN$30,$CV23,0.3*$CV23,TRUE))),""),IF($C23&gt;0,summary!$C$10/28.8/0.947817,""))</f>
        <v/>
      </c>
      <c r="BO52">
        <f t="array" ref="BO52">IF($D23,IFERROR((SUMPRODUCT((economics!$AG$2:$AG$167=$B52)*(economics!$D$2:$D$167="whr")*economics!$AH$2:$AH$167*(_xlfn.NORM.DIST(BO$3,economics!$AK$2:$AK$167,economics!$AJ$2:$AJ$167,TRUE)-_xlfn.NORM.DIST(BO$30,economics!$AK$2:$AK$167,economics!$AJ$2:$AJ$167,TRUE))*economics!$AM$2:$AM$167)+$CR23*(_xlfn.NORM.DIST(BO$3,$CU23,0.3*$CU23,TRUE)-_xlfn.NORM.DIST(BO$30,$CU23,0.3*$CU23,TRUE))*summary!$C$7/28.8/0.947817+$CS23*(_xlfn.NORM.DIST(BO$3,$CV23,0.3*$CV23,TRUE)-_xlfn.NORM.DIST(BO$30,$CV23,0.3*$CV23,TRUE))*summary!$C$6/28.8/0.947817)/(SUMPRODUCT((economics!$AG$2:$AG$167=$B52)*(economics!$D$2:$D$167="whr")*economics!$AH$2:$AH$167*(_xlfn.NORM.DIST(BO$3,economics!$AK$2:$AK$167,economics!$AJ$2:$AJ$167,TRUE)-_xlfn.NORM.DIST(BO$30,economics!$AK$2:$AK$167,economics!$AJ$2:$AJ$167,TRUE)))+$CR23*(_xlfn.NORM.DIST(BO$3,$CU23,0.3*$CU23,TRUE)-_xlfn.NORM.DIST(BO$30,$CU23,0.3*$CU23,TRUE))+$CS23*(_xlfn.NORM.DIST(BO$3,$CV23,0.3*$CV23,TRUE)-_xlfn.NORM.DIST(BO$30,$CV23,0.3*$CV23,TRUE))),""),IF($C23&gt;0,summary!$C$10/28.8/0.947817,""))</f>
        <v/>
      </c>
      <c r="BP52">
        <f t="array" ref="BP52">IF($D23,IFERROR((SUMPRODUCT((economics!$AG$2:$AG$167=$B52)*(economics!$D$2:$D$167="whr")*economics!$AH$2:$AH$167*(_xlfn.NORM.DIST(BP$3,economics!$AK$2:$AK$167,economics!$AJ$2:$AJ$167,TRUE)-_xlfn.NORM.DIST(BP$30,economics!$AK$2:$AK$167,economics!$AJ$2:$AJ$167,TRUE))*economics!$AM$2:$AM$167)+$CR23*(_xlfn.NORM.DIST(BP$3,$CU23,0.3*$CU23,TRUE)-_xlfn.NORM.DIST(BP$30,$CU23,0.3*$CU23,TRUE))*summary!$C$7/28.8/0.947817+$CS23*(_xlfn.NORM.DIST(BP$3,$CV23,0.3*$CV23,TRUE)-_xlfn.NORM.DIST(BP$30,$CV23,0.3*$CV23,TRUE))*summary!$C$6/28.8/0.947817)/(SUMPRODUCT((economics!$AG$2:$AG$167=$B52)*(economics!$D$2:$D$167="whr")*economics!$AH$2:$AH$167*(_xlfn.NORM.DIST(BP$3,economics!$AK$2:$AK$167,economics!$AJ$2:$AJ$167,TRUE)-_xlfn.NORM.DIST(BP$30,economics!$AK$2:$AK$167,economics!$AJ$2:$AJ$167,TRUE)))+$CR23*(_xlfn.NORM.DIST(BP$3,$CU23,0.3*$CU23,TRUE)-_xlfn.NORM.DIST(BP$30,$CU23,0.3*$CU23,TRUE))+$CS23*(_xlfn.NORM.DIST(BP$3,$CV23,0.3*$CV23,TRUE)-_xlfn.NORM.DIST(BP$30,$CV23,0.3*$CV23,TRUE))),""),IF($C23&gt;0,summary!$C$10/28.8/0.947817,""))</f>
        <v/>
      </c>
      <c r="BQ52">
        <f t="array" ref="BQ52">IF($D23,IFERROR((SUMPRODUCT((economics!$AG$2:$AG$167=$B52)*(economics!$D$2:$D$167="whr")*economics!$AH$2:$AH$167*(_xlfn.NORM.DIST(BQ$3,economics!$AK$2:$AK$167,economics!$AJ$2:$AJ$167,TRUE)-_xlfn.NORM.DIST(BQ$30,economics!$AK$2:$AK$167,economics!$AJ$2:$AJ$167,TRUE))*economics!$AM$2:$AM$167)+$CR23*(_xlfn.NORM.DIST(BQ$3,$CU23,0.3*$CU23,TRUE)-_xlfn.NORM.DIST(BQ$30,$CU23,0.3*$CU23,TRUE))*summary!$C$7/28.8/0.947817+$CS23*(_xlfn.NORM.DIST(BQ$3,$CV23,0.3*$CV23,TRUE)-_xlfn.NORM.DIST(BQ$30,$CV23,0.3*$CV23,TRUE))*summary!$C$6/28.8/0.947817)/(SUMPRODUCT((economics!$AG$2:$AG$167=$B52)*(economics!$D$2:$D$167="whr")*economics!$AH$2:$AH$167*(_xlfn.NORM.DIST(BQ$3,economics!$AK$2:$AK$167,economics!$AJ$2:$AJ$167,TRUE)-_xlfn.NORM.DIST(BQ$30,economics!$AK$2:$AK$167,economics!$AJ$2:$AJ$167,TRUE)))+$CR23*(_xlfn.NORM.DIST(BQ$3,$CU23,0.3*$CU23,TRUE)-_xlfn.NORM.DIST(BQ$30,$CU23,0.3*$CU23,TRUE))+$CS23*(_xlfn.NORM.DIST(BQ$3,$CV23,0.3*$CV23,TRUE)-_xlfn.NORM.DIST(BQ$30,$CV23,0.3*$CV23,TRUE))),""),IF($C23&gt;0,summary!$C$10/28.8/0.947817,""))</f>
        <v/>
      </c>
      <c r="BR52">
        <f t="array" ref="BR52">IF($D23,IFERROR((SUMPRODUCT((economics!$AG$2:$AG$167=$B52)*(economics!$D$2:$D$167="whr")*economics!$AH$2:$AH$167*(_xlfn.NORM.DIST(BR$3,economics!$AK$2:$AK$167,economics!$AJ$2:$AJ$167,TRUE)-_xlfn.NORM.DIST(BR$30,economics!$AK$2:$AK$167,economics!$AJ$2:$AJ$167,TRUE))*economics!$AM$2:$AM$167)+$CR23*(_xlfn.NORM.DIST(BR$3,$CU23,0.3*$CU23,TRUE)-_xlfn.NORM.DIST(BR$30,$CU23,0.3*$CU23,TRUE))*summary!$C$7/28.8/0.947817+$CS23*(_xlfn.NORM.DIST(BR$3,$CV23,0.3*$CV23,TRUE)-_xlfn.NORM.DIST(BR$30,$CV23,0.3*$CV23,TRUE))*summary!$C$6/28.8/0.947817)/(SUMPRODUCT((economics!$AG$2:$AG$167=$B52)*(economics!$D$2:$D$167="whr")*economics!$AH$2:$AH$167*(_xlfn.NORM.DIST(BR$3,economics!$AK$2:$AK$167,economics!$AJ$2:$AJ$167,TRUE)-_xlfn.NORM.DIST(BR$30,economics!$AK$2:$AK$167,economics!$AJ$2:$AJ$167,TRUE)))+$CR23*(_xlfn.NORM.DIST(BR$3,$CU23,0.3*$CU23,TRUE)-_xlfn.NORM.DIST(BR$30,$CU23,0.3*$CU23,TRUE))+$CS23*(_xlfn.NORM.DIST(BR$3,$CV23,0.3*$CV23,TRUE)-_xlfn.NORM.DIST(BR$30,$CV23,0.3*$CV23,TRUE))),""),IF($C23&gt;0,summary!$C$10/28.8/0.947817,""))</f>
        <v/>
      </c>
      <c r="BS52">
        <f t="array" ref="BS52">IF($D23,IFERROR((SUMPRODUCT((economics!$AG$2:$AG$167=$B52)*(economics!$D$2:$D$167="whr")*economics!$AH$2:$AH$167*(_xlfn.NORM.DIST(BS$3,economics!$AK$2:$AK$167,economics!$AJ$2:$AJ$167,TRUE)-_xlfn.NORM.DIST(BS$30,economics!$AK$2:$AK$167,economics!$AJ$2:$AJ$167,TRUE))*economics!$AM$2:$AM$167)+$CR23*(_xlfn.NORM.DIST(BS$3,$CU23,0.3*$CU23,TRUE)-_xlfn.NORM.DIST(BS$30,$CU23,0.3*$CU23,TRUE))*summary!$C$7/28.8/0.947817+$CS23*(_xlfn.NORM.DIST(BS$3,$CV23,0.3*$CV23,TRUE)-_xlfn.NORM.DIST(BS$30,$CV23,0.3*$CV23,TRUE))*summary!$C$6/28.8/0.947817)/(SUMPRODUCT((economics!$AG$2:$AG$167=$B52)*(economics!$D$2:$D$167="whr")*economics!$AH$2:$AH$167*(_xlfn.NORM.DIST(BS$3,economics!$AK$2:$AK$167,economics!$AJ$2:$AJ$167,TRUE)-_xlfn.NORM.DIST(BS$30,economics!$AK$2:$AK$167,economics!$AJ$2:$AJ$167,TRUE)))+$CR23*(_xlfn.NORM.DIST(BS$3,$CU23,0.3*$CU23,TRUE)-_xlfn.NORM.DIST(BS$30,$CU23,0.3*$CU23,TRUE))+$CS23*(_xlfn.NORM.DIST(BS$3,$CV23,0.3*$CV23,TRUE)-_xlfn.NORM.DIST(BS$30,$CV23,0.3*$CV23,TRUE))),""),IF($C23&gt;0,summary!$C$10/28.8/0.947817,""))</f>
        <v/>
      </c>
      <c r="BT52">
        <f t="array" ref="BT52">IF($D23,IFERROR((SUMPRODUCT((economics!$AG$2:$AG$167=$B52)*(economics!$D$2:$D$167="whr")*economics!$AH$2:$AH$167*(_xlfn.NORM.DIST(BT$3,economics!$AK$2:$AK$167,economics!$AJ$2:$AJ$167,TRUE)-_xlfn.NORM.DIST(BT$30,economics!$AK$2:$AK$167,economics!$AJ$2:$AJ$167,TRUE))*economics!$AM$2:$AM$167)+$CR23*(_xlfn.NORM.DIST(BT$3,$CU23,0.3*$CU23,TRUE)-_xlfn.NORM.DIST(BT$30,$CU23,0.3*$CU23,TRUE))*summary!$C$7/28.8/0.947817+$CS23*(_xlfn.NORM.DIST(BT$3,$CV23,0.3*$CV23,TRUE)-_xlfn.NORM.DIST(BT$30,$CV23,0.3*$CV23,TRUE))*summary!$C$6/28.8/0.947817)/(SUMPRODUCT((economics!$AG$2:$AG$167=$B52)*(economics!$D$2:$D$167="whr")*economics!$AH$2:$AH$167*(_xlfn.NORM.DIST(BT$3,economics!$AK$2:$AK$167,economics!$AJ$2:$AJ$167,TRUE)-_xlfn.NORM.DIST(BT$30,economics!$AK$2:$AK$167,economics!$AJ$2:$AJ$167,TRUE)))+$CR23*(_xlfn.NORM.DIST(BT$3,$CU23,0.3*$CU23,TRUE)-_xlfn.NORM.DIST(BT$30,$CU23,0.3*$CU23,TRUE))+$CS23*(_xlfn.NORM.DIST(BT$3,$CV23,0.3*$CV23,TRUE)-_xlfn.NORM.DIST(BT$30,$CV23,0.3*$CV23,TRUE))),""),IF($C23&gt;0,summary!$C$10/28.8/0.947817,""))</f>
        <v/>
      </c>
      <c r="BU52">
        <f t="array" ref="BU52">IF($D23,IFERROR((SUMPRODUCT((economics!$AG$2:$AG$167=$B52)*(economics!$D$2:$D$167="whr")*economics!$AH$2:$AH$167*(_xlfn.NORM.DIST(BU$3,economics!$AK$2:$AK$167,economics!$AJ$2:$AJ$167,TRUE)-_xlfn.NORM.DIST(BU$30,economics!$AK$2:$AK$167,economics!$AJ$2:$AJ$167,TRUE))*economics!$AM$2:$AM$167)+$CR23*(_xlfn.NORM.DIST(BU$3,$CU23,0.3*$CU23,TRUE)-_xlfn.NORM.DIST(BU$30,$CU23,0.3*$CU23,TRUE))*summary!$C$7/28.8/0.947817+$CS23*(_xlfn.NORM.DIST(BU$3,$CV23,0.3*$CV23,TRUE)-_xlfn.NORM.DIST(BU$30,$CV23,0.3*$CV23,TRUE))*summary!$C$6/28.8/0.947817)/(SUMPRODUCT((economics!$AG$2:$AG$167=$B52)*(economics!$D$2:$D$167="whr")*economics!$AH$2:$AH$167*(_xlfn.NORM.DIST(BU$3,economics!$AK$2:$AK$167,economics!$AJ$2:$AJ$167,TRUE)-_xlfn.NORM.DIST(BU$30,economics!$AK$2:$AK$167,economics!$AJ$2:$AJ$167,TRUE)))+$CR23*(_xlfn.NORM.DIST(BU$3,$CU23,0.3*$CU23,TRUE)-_xlfn.NORM.DIST(BU$30,$CU23,0.3*$CU23,TRUE))+$CS23*(_xlfn.NORM.DIST(BU$3,$CV23,0.3*$CV23,TRUE)-_xlfn.NORM.DIST(BU$30,$CV23,0.3*$CV23,TRUE))),""),IF($C23&gt;0,summary!$C$10/28.8/0.947817,""))</f>
        <v/>
      </c>
      <c r="BV52">
        <f t="array" ref="BV52">IF($D23,IFERROR((SUMPRODUCT((economics!$AG$2:$AG$167=$B52)*(economics!$D$2:$D$167="whr")*economics!$AH$2:$AH$167*(_xlfn.NORM.DIST(BV$3,economics!$AK$2:$AK$167,economics!$AJ$2:$AJ$167,TRUE)-_xlfn.NORM.DIST(BV$30,economics!$AK$2:$AK$167,economics!$AJ$2:$AJ$167,TRUE))*economics!$AM$2:$AM$167)+$CR23*(_xlfn.NORM.DIST(BV$3,$CU23,0.3*$CU23,TRUE)-_xlfn.NORM.DIST(BV$30,$CU23,0.3*$CU23,TRUE))*summary!$C$7/28.8/0.947817+$CS23*(_xlfn.NORM.DIST(BV$3,$CV23,0.3*$CV23,TRUE)-_xlfn.NORM.DIST(BV$30,$CV23,0.3*$CV23,TRUE))*summary!$C$6/28.8/0.947817)/(SUMPRODUCT((economics!$AG$2:$AG$167=$B52)*(economics!$D$2:$D$167="whr")*economics!$AH$2:$AH$167*(_xlfn.NORM.DIST(BV$3,economics!$AK$2:$AK$167,economics!$AJ$2:$AJ$167,TRUE)-_xlfn.NORM.DIST(BV$30,economics!$AK$2:$AK$167,economics!$AJ$2:$AJ$167,TRUE)))+$CR23*(_xlfn.NORM.DIST(BV$3,$CU23,0.3*$CU23,TRUE)-_xlfn.NORM.DIST(BV$30,$CU23,0.3*$CU23,TRUE))+$CS23*(_xlfn.NORM.DIST(BV$3,$CV23,0.3*$CV23,TRUE)-_xlfn.NORM.DIST(BV$30,$CV23,0.3*$CV23,TRUE))),""),IF($C23&gt;0,summary!$C$10/28.8/0.947817,""))</f>
        <v/>
      </c>
      <c r="BW52">
        <f t="array" ref="BW52">IF($D23,IFERROR((SUMPRODUCT((economics!$AG$2:$AG$167=$B52)*(economics!$D$2:$D$167="whr")*economics!$AH$2:$AH$167*(_xlfn.NORM.DIST(BW$3,economics!$AK$2:$AK$167,economics!$AJ$2:$AJ$167,TRUE)-_xlfn.NORM.DIST(BW$30,economics!$AK$2:$AK$167,economics!$AJ$2:$AJ$167,TRUE))*economics!$AM$2:$AM$167)+$CR23*(_xlfn.NORM.DIST(BW$3,$CU23,0.3*$CU23,TRUE)-_xlfn.NORM.DIST(BW$30,$CU23,0.3*$CU23,TRUE))*summary!$C$7/28.8/0.947817+$CS23*(_xlfn.NORM.DIST(BW$3,$CV23,0.3*$CV23,TRUE)-_xlfn.NORM.DIST(BW$30,$CV23,0.3*$CV23,TRUE))*summary!$C$6/28.8/0.947817)/(SUMPRODUCT((economics!$AG$2:$AG$167=$B52)*(economics!$D$2:$D$167="whr")*economics!$AH$2:$AH$167*(_xlfn.NORM.DIST(BW$3,economics!$AK$2:$AK$167,economics!$AJ$2:$AJ$167,TRUE)-_xlfn.NORM.DIST(BW$30,economics!$AK$2:$AK$167,economics!$AJ$2:$AJ$167,TRUE)))+$CR23*(_xlfn.NORM.DIST(BW$3,$CU23,0.3*$CU23,TRUE)-_xlfn.NORM.DIST(BW$30,$CU23,0.3*$CU23,TRUE))+$CS23*(_xlfn.NORM.DIST(BW$3,$CV23,0.3*$CV23,TRUE)-_xlfn.NORM.DIST(BW$30,$CV23,0.3*$CV23,TRUE))),""),IF($C23&gt;0,summary!$C$10/28.8/0.947817,""))</f>
        <v/>
      </c>
      <c r="BX52">
        <f t="array" ref="BX52">IF($D23,IFERROR((SUMPRODUCT((economics!$AG$2:$AG$167=$B52)*(economics!$D$2:$D$167="whr")*economics!$AH$2:$AH$167*(_xlfn.NORM.DIST(BX$3,economics!$AK$2:$AK$167,economics!$AJ$2:$AJ$167,TRUE)-_xlfn.NORM.DIST(BX$30,economics!$AK$2:$AK$167,economics!$AJ$2:$AJ$167,TRUE))*economics!$AM$2:$AM$167)+$CR23*(_xlfn.NORM.DIST(BX$3,$CU23,0.3*$CU23,TRUE)-_xlfn.NORM.DIST(BX$30,$CU23,0.3*$CU23,TRUE))*summary!$C$7/28.8/0.947817+$CS23*(_xlfn.NORM.DIST(BX$3,$CV23,0.3*$CV23,TRUE)-_xlfn.NORM.DIST(BX$30,$CV23,0.3*$CV23,TRUE))*summary!$C$6/28.8/0.947817)/(SUMPRODUCT((economics!$AG$2:$AG$167=$B52)*(economics!$D$2:$D$167="whr")*economics!$AH$2:$AH$167*(_xlfn.NORM.DIST(BX$3,economics!$AK$2:$AK$167,economics!$AJ$2:$AJ$167,TRUE)-_xlfn.NORM.DIST(BX$30,economics!$AK$2:$AK$167,economics!$AJ$2:$AJ$167,TRUE)))+$CR23*(_xlfn.NORM.DIST(BX$3,$CU23,0.3*$CU23,TRUE)-_xlfn.NORM.DIST(BX$30,$CU23,0.3*$CU23,TRUE))+$CS23*(_xlfn.NORM.DIST(BX$3,$CV23,0.3*$CV23,TRUE)-_xlfn.NORM.DIST(BX$30,$CV23,0.3*$CV23,TRUE))),""),IF($C23&gt;0,summary!$C$10/28.8/0.947817,""))</f>
        <v/>
      </c>
      <c r="BY52">
        <f t="array" ref="BY52">IF($D23,IFERROR((SUMPRODUCT((economics!$AG$2:$AG$167=$B52)*(economics!$D$2:$D$167="whr")*economics!$AH$2:$AH$167*(_xlfn.NORM.DIST(BY$3,economics!$AK$2:$AK$167,economics!$AJ$2:$AJ$167,TRUE)-_xlfn.NORM.DIST(BY$30,economics!$AK$2:$AK$167,economics!$AJ$2:$AJ$167,TRUE))*economics!$AM$2:$AM$167)+$CR23*(_xlfn.NORM.DIST(BY$3,$CU23,0.3*$CU23,TRUE)-_xlfn.NORM.DIST(BY$30,$CU23,0.3*$CU23,TRUE))*summary!$C$7/28.8/0.947817+$CS23*(_xlfn.NORM.DIST(BY$3,$CV23,0.3*$CV23,TRUE)-_xlfn.NORM.DIST(BY$30,$CV23,0.3*$CV23,TRUE))*summary!$C$6/28.8/0.947817)/(SUMPRODUCT((economics!$AG$2:$AG$167=$B52)*(economics!$D$2:$D$167="whr")*economics!$AH$2:$AH$167*(_xlfn.NORM.DIST(BY$3,economics!$AK$2:$AK$167,economics!$AJ$2:$AJ$167,TRUE)-_xlfn.NORM.DIST(BY$30,economics!$AK$2:$AK$167,economics!$AJ$2:$AJ$167,TRUE)))+$CR23*(_xlfn.NORM.DIST(BY$3,$CU23,0.3*$CU23,TRUE)-_xlfn.NORM.DIST(BY$30,$CU23,0.3*$CU23,TRUE))+$CS23*(_xlfn.NORM.DIST(BY$3,$CV23,0.3*$CV23,TRUE)-_xlfn.NORM.DIST(BY$30,$CV23,0.3*$CV23,TRUE))),""),IF($C23&gt;0,summary!$C$10/28.8/0.947817,""))</f>
        <v/>
      </c>
      <c r="BZ52">
        <f t="array" ref="BZ52">IF($D23,IFERROR((SUMPRODUCT((economics!$AG$2:$AG$167=$B52)*(economics!$D$2:$D$167="whr")*economics!$AH$2:$AH$167*(_xlfn.NORM.DIST(BZ$3,economics!$AK$2:$AK$167,economics!$AJ$2:$AJ$167,TRUE)-_xlfn.NORM.DIST(BZ$30,economics!$AK$2:$AK$167,economics!$AJ$2:$AJ$167,TRUE))*economics!$AM$2:$AM$167)+$CR23*(_xlfn.NORM.DIST(BZ$3,$CU23,0.3*$CU23,TRUE)-_xlfn.NORM.DIST(BZ$30,$CU23,0.3*$CU23,TRUE))*summary!$C$7/28.8/0.947817+$CS23*(_xlfn.NORM.DIST(BZ$3,$CV23,0.3*$CV23,TRUE)-_xlfn.NORM.DIST(BZ$30,$CV23,0.3*$CV23,TRUE))*summary!$C$6/28.8/0.947817)/(SUMPRODUCT((economics!$AG$2:$AG$167=$B52)*(economics!$D$2:$D$167="whr")*economics!$AH$2:$AH$167*(_xlfn.NORM.DIST(BZ$3,economics!$AK$2:$AK$167,economics!$AJ$2:$AJ$167,TRUE)-_xlfn.NORM.DIST(BZ$30,economics!$AK$2:$AK$167,economics!$AJ$2:$AJ$167,TRUE)))+$CR23*(_xlfn.NORM.DIST(BZ$3,$CU23,0.3*$CU23,TRUE)-_xlfn.NORM.DIST(BZ$30,$CU23,0.3*$CU23,TRUE))+$CS23*(_xlfn.NORM.DIST(BZ$3,$CV23,0.3*$CV23,TRUE)-_xlfn.NORM.DIST(BZ$30,$CV23,0.3*$CV23,TRUE))),""),IF($C23&gt;0,summary!$C$10/28.8/0.947817,""))</f>
        <v/>
      </c>
      <c r="CA52">
        <f t="array" ref="CA52">IF($D23,IFERROR((SUMPRODUCT((economics!$AG$2:$AG$167=$B52)*(economics!$D$2:$D$167="whr")*economics!$AH$2:$AH$167*(_xlfn.NORM.DIST(CA$3,economics!$AK$2:$AK$167,economics!$AJ$2:$AJ$167,TRUE)-_xlfn.NORM.DIST(CA$30,economics!$AK$2:$AK$167,economics!$AJ$2:$AJ$167,TRUE))*economics!$AM$2:$AM$167)+$CR23*(_xlfn.NORM.DIST(CA$3,$CU23,0.3*$CU23,TRUE)-_xlfn.NORM.DIST(CA$30,$CU23,0.3*$CU23,TRUE))*summary!$C$7/28.8/0.947817+$CS23*(_xlfn.NORM.DIST(CA$3,$CV23,0.3*$CV23,TRUE)-_xlfn.NORM.DIST(CA$30,$CV23,0.3*$CV23,TRUE))*summary!$C$6/28.8/0.947817)/(SUMPRODUCT((economics!$AG$2:$AG$167=$B52)*(economics!$D$2:$D$167="whr")*economics!$AH$2:$AH$167*(_xlfn.NORM.DIST(CA$3,economics!$AK$2:$AK$167,economics!$AJ$2:$AJ$167,TRUE)-_xlfn.NORM.DIST(CA$30,economics!$AK$2:$AK$167,economics!$AJ$2:$AJ$167,TRUE)))+$CR23*(_xlfn.NORM.DIST(CA$3,$CU23,0.3*$CU23,TRUE)-_xlfn.NORM.DIST(CA$30,$CU23,0.3*$CU23,TRUE))+$CS23*(_xlfn.NORM.DIST(CA$3,$CV23,0.3*$CV23,TRUE)-_xlfn.NORM.DIST(CA$30,$CV23,0.3*$CV23,TRUE))),""),IF($C23&gt;0,summary!$C$10/28.8/0.947817,""))</f>
        <v/>
      </c>
      <c r="CB52">
        <f t="array" ref="CB52">IF($D23,IFERROR((SUMPRODUCT((economics!$AG$2:$AG$167=$B52)*(economics!$D$2:$D$167="whr")*economics!$AH$2:$AH$167*(_xlfn.NORM.DIST(CB$3,economics!$AK$2:$AK$167,economics!$AJ$2:$AJ$167,TRUE)-_xlfn.NORM.DIST(CB$30,economics!$AK$2:$AK$167,economics!$AJ$2:$AJ$167,TRUE))*economics!$AM$2:$AM$167)+$CR23*(_xlfn.NORM.DIST(CB$3,$CU23,0.3*$CU23,TRUE)-_xlfn.NORM.DIST(CB$30,$CU23,0.3*$CU23,TRUE))*summary!$C$7/28.8/0.947817+$CS23*(_xlfn.NORM.DIST(CB$3,$CV23,0.3*$CV23,TRUE)-_xlfn.NORM.DIST(CB$30,$CV23,0.3*$CV23,TRUE))*summary!$C$6/28.8/0.947817)/(SUMPRODUCT((economics!$AG$2:$AG$167=$B52)*(economics!$D$2:$D$167="whr")*economics!$AH$2:$AH$167*(_xlfn.NORM.DIST(CB$3,economics!$AK$2:$AK$167,economics!$AJ$2:$AJ$167,TRUE)-_xlfn.NORM.DIST(CB$30,economics!$AK$2:$AK$167,economics!$AJ$2:$AJ$167,TRUE)))+$CR23*(_xlfn.NORM.DIST(CB$3,$CU23,0.3*$CU23,TRUE)-_xlfn.NORM.DIST(CB$30,$CU23,0.3*$CU23,TRUE))+$CS23*(_xlfn.NORM.DIST(CB$3,$CV23,0.3*$CV23,TRUE)-_xlfn.NORM.DIST(CB$30,$CV23,0.3*$CV23,TRUE))),""),IF($C23&gt;0,summary!$C$10/28.8/0.947817,""))</f>
        <v/>
      </c>
      <c r="CC52">
        <f t="array" ref="CC52">IF($D23,IFERROR((SUMPRODUCT((economics!$AG$2:$AG$167=$B52)*(economics!$D$2:$D$167="whr")*economics!$AH$2:$AH$167*(_xlfn.NORM.DIST(CC$3,economics!$AK$2:$AK$167,economics!$AJ$2:$AJ$167,TRUE)-_xlfn.NORM.DIST(CC$30,economics!$AK$2:$AK$167,economics!$AJ$2:$AJ$167,TRUE))*economics!$AM$2:$AM$167)+$CR23*(_xlfn.NORM.DIST(CC$3,$CU23,0.3*$CU23,TRUE)-_xlfn.NORM.DIST(CC$30,$CU23,0.3*$CU23,TRUE))*summary!$C$7/28.8/0.947817+$CS23*(_xlfn.NORM.DIST(CC$3,$CV23,0.3*$CV23,TRUE)-_xlfn.NORM.DIST(CC$30,$CV23,0.3*$CV23,TRUE))*summary!$C$6/28.8/0.947817)/(SUMPRODUCT((economics!$AG$2:$AG$167=$B52)*(economics!$D$2:$D$167="whr")*economics!$AH$2:$AH$167*(_xlfn.NORM.DIST(CC$3,economics!$AK$2:$AK$167,economics!$AJ$2:$AJ$167,TRUE)-_xlfn.NORM.DIST(CC$30,economics!$AK$2:$AK$167,economics!$AJ$2:$AJ$167,TRUE)))+$CR23*(_xlfn.NORM.DIST(CC$3,$CU23,0.3*$CU23,TRUE)-_xlfn.NORM.DIST(CC$30,$CU23,0.3*$CU23,TRUE))+$CS23*(_xlfn.NORM.DIST(CC$3,$CV23,0.3*$CV23,TRUE)-_xlfn.NORM.DIST(CC$30,$CV23,0.3*$CV23,TRUE))),""),IF($C23&gt;0,summary!$C$10/28.8/0.947817,""))</f>
        <v/>
      </c>
      <c r="CD52">
        <f t="array" ref="CD52">IF($D23,IFERROR((SUMPRODUCT((economics!$AG$2:$AG$167=$B52)*(economics!$D$2:$D$167="whr")*economics!$AH$2:$AH$167*(_xlfn.NORM.DIST(CD$3,economics!$AK$2:$AK$167,economics!$AJ$2:$AJ$167,TRUE)-_xlfn.NORM.DIST(CD$30,economics!$AK$2:$AK$167,economics!$AJ$2:$AJ$167,TRUE))*economics!$AM$2:$AM$167)+$CR23*(_xlfn.NORM.DIST(CD$3,$CU23,0.3*$CU23,TRUE)-_xlfn.NORM.DIST(CD$30,$CU23,0.3*$CU23,TRUE))*summary!$C$7/28.8/0.947817+$CS23*(_xlfn.NORM.DIST(CD$3,$CV23,0.3*$CV23,TRUE)-_xlfn.NORM.DIST(CD$30,$CV23,0.3*$CV23,TRUE))*summary!$C$6/28.8/0.947817)/(SUMPRODUCT((economics!$AG$2:$AG$167=$B52)*(economics!$D$2:$D$167="whr")*economics!$AH$2:$AH$167*(_xlfn.NORM.DIST(CD$3,economics!$AK$2:$AK$167,economics!$AJ$2:$AJ$167,TRUE)-_xlfn.NORM.DIST(CD$30,economics!$AK$2:$AK$167,economics!$AJ$2:$AJ$167,TRUE)))+$CR23*(_xlfn.NORM.DIST(CD$3,$CU23,0.3*$CU23,TRUE)-_xlfn.NORM.DIST(CD$30,$CU23,0.3*$CU23,TRUE))+$CS23*(_xlfn.NORM.DIST(CD$3,$CV23,0.3*$CV23,TRUE)-_xlfn.NORM.DIST(CD$30,$CV23,0.3*$CV23,TRUE))),""),IF($C23&gt;0,summary!$C$10/28.8/0.947817,""))</f>
        <v/>
      </c>
      <c r="CE52">
        <f t="array" ref="CE52">IF($D23,IFERROR((SUMPRODUCT((economics!$AG$2:$AG$167=$B52)*(economics!$D$2:$D$167="whr")*economics!$AH$2:$AH$167*(_xlfn.NORM.DIST(CE$3,economics!$AK$2:$AK$167,economics!$AJ$2:$AJ$167,TRUE)-_xlfn.NORM.DIST(CE$30,economics!$AK$2:$AK$167,economics!$AJ$2:$AJ$167,TRUE))*economics!$AM$2:$AM$167)+$CR23*(_xlfn.NORM.DIST(CE$3,$CU23,0.3*$CU23,TRUE)-_xlfn.NORM.DIST(CE$30,$CU23,0.3*$CU23,TRUE))*summary!$C$7/28.8/0.947817+$CS23*(_xlfn.NORM.DIST(CE$3,$CV23,0.3*$CV23,TRUE)-_xlfn.NORM.DIST(CE$30,$CV23,0.3*$CV23,TRUE))*summary!$C$6/28.8/0.947817)/(SUMPRODUCT((economics!$AG$2:$AG$167=$B52)*(economics!$D$2:$D$167="whr")*economics!$AH$2:$AH$167*(_xlfn.NORM.DIST(CE$3,economics!$AK$2:$AK$167,economics!$AJ$2:$AJ$167,TRUE)-_xlfn.NORM.DIST(CE$30,economics!$AK$2:$AK$167,economics!$AJ$2:$AJ$167,TRUE)))+$CR23*(_xlfn.NORM.DIST(CE$3,$CU23,0.3*$CU23,TRUE)-_xlfn.NORM.DIST(CE$30,$CU23,0.3*$CU23,TRUE))+$CS23*(_xlfn.NORM.DIST(CE$3,$CV23,0.3*$CV23,TRUE)-_xlfn.NORM.DIST(CE$30,$CV23,0.3*$CV23,TRUE))),""),IF($C23&gt;0,summary!$C$10/28.8/0.947817,""))</f>
        <v/>
      </c>
      <c r="CF52">
        <f t="array" ref="CF52">IF($D23,IFERROR((SUMPRODUCT((economics!$AG$2:$AG$167=$B52)*(economics!$D$2:$D$167="whr")*economics!$AH$2:$AH$167*(_xlfn.NORM.DIST(CF$3,economics!$AK$2:$AK$167,economics!$AJ$2:$AJ$167,TRUE)-_xlfn.NORM.DIST(CF$30,economics!$AK$2:$AK$167,economics!$AJ$2:$AJ$167,TRUE))*economics!$AM$2:$AM$167)+$CR23*(_xlfn.NORM.DIST(CF$3,$CU23,0.3*$CU23,TRUE)-_xlfn.NORM.DIST(CF$30,$CU23,0.3*$CU23,TRUE))*summary!$C$7/28.8/0.947817+$CS23*(_xlfn.NORM.DIST(CF$3,$CV23,0.3*$CV23,TRUE)-_xlfn.NORM.DIST(CF$30,$CV23,0.3*$CV23,TRUE))*summary!$C$6/28.8/0.947817)/(SUMPRODUCT((economics!$AG$2:$AG$167=$B52)*(economics!$D$2:$D$167="whr")*economics!$AH$2:$AH$167*(_xlfn.NORM.DIST(CF$3,economics!$AK$2:$AK$167,economics!$AJ$2:$AJ$167,TRUE)-_xlfn.NORM.DIST(CF$30,economics!$AK$2:$AK$167,economics!$AJ$2:$AJ$167,TRUE)))+$CR23*(_xlfn.NORM.DIST(CF$3,$CU23,0.3*$CU23,TRUE)-_xlfn.NORM.DIST(CF$30,$CU23,0.3*$CU23,TRUE))+$CS23*(_xlfn.NORM.DIST(CF$3,$CV23,0.3*$CV23,TRUE)-_xlfn.NORM.DIST(CF$30,$CV23,0.3*$CV23,TRUE))),""),IF($C23&gt;0,summary!$C$10/28.8/0.947817,""))</f>
        <v/>
      </c>
      <c r="CG52">
        <f t="array" ref="CG52">IF($D23,IFERROR((SUMPRODUCT((economics!$AG$2:$AG$167=$B52)*(economics!$D$2:$D$167="whr")*economics!$AH$2:$AH$167*(_xlfn.NORM.DIST(CG$3,economics!$AK$2:$AK$167,economics!$AJ$2:$AJ$167,TRUE)-_xlfn.NORM.DIST(CG$30,economics!$AK$2:$AK$167,economics!$AJ$2:$AJ$167,TRUE))*economics!$AM$2:$AM$167)+$CR23*(_xlfn.NORM.DIST(CG$3,$CU23,0.3*$CU23,TRUE)-_xlfn.NORM.DIST(CG$30,$CU23,0.3*$CU23,TRUE))*summary!$C$7/28.8/0.947817+$CS23*(_xlfn.NORM.DIST(CG$3,$CV23,0.3*$CV23,TRUE)-_xlfn.NORM.DIST(CG$30,$CV23,0.3*$CV23,TRUE))*summary!$C$6/28.8/0.947817)/(SUMPRODUCT((economics!$AG$2:$AG$167=$B52)*(economics!$D$2:$D$167="whr")*economics!$AH$2:$AH$167*(_xlfn.NORM.DIST(CG$3,economics!$AK$2:$AK$167,economics!$AJ$2:$AJ$167,TRUE)-_xlfn.NORM.DIST(CG$30,economics!$AK$2:$AK$167,economics!$AJ$2:$AJ$167,TRUE)))+$CR23*(_xlfn.NORM.DIST(CG$3,$CU23,0.3*$CU23,TRUE)-_xlfn.NORM.DIST(CG$30,$CU23,0.3*$CU23,TRUE))+$CS23*(_xlfn.NORM.DIST(CG$3,$CV23,0.3*$CV23,TRUE)-_xlfn.NORM.DIST(CG$30,$CV23,0.3*$CV23,TRUE))),""),IF($C23&gt;0,summary!$C$10/28.8/0.947817,""))</f>
        <v/>
      </c>
      <c r="CH52">
        <f t="array" ref="CH52">IF($D23,IFERROR((SUMPRODUCT((economics!$AG$2:$AG$167=$B52)*(economics!$D$2:$D$167="whr")*economics!$AH$2:$AH$167*(_xlfn.NORM.DIST(CH$3,economics!$AK$2:$AK$167,economics!$AJ$2:$AJ$167,TRUE)-_xlfn.NORM.DIST(CH$30,economics!$AK$2:$AK$167,economics!$AJ$2:$AJ$167,TRUE))*economics!$AM$2:$AM$167)+$CR23*(_xlfn.NORM.DIST(CH$3,$CU23,0.3*$CU23,TRUE)-_xlfn.NORM.DIST(CH$30,$CU23,0.3*$CU23,TRUE))*summary!$C$7/28.8/0.947817+$CS23*(_xlfn.NORM.DIST(CH$3,$CV23,0.3*$CV23,TRUE)-_xlfn.NORM.DIST(CH$30,$CV23,0.3*$CV23,TRUE))*summary!$C$6/28.8/0.947817)/(SUMPRODUCT((economics!$AG$2:$AG$167=$B52)*(economics!$D$2:$D$167="whr")*economics!$AH$2:$AH$167*(_xlfn.NORM.DIST(CH$3,economics!$AK$2:$AK$167,economics!$AJ$2:$AJ$167,TRUE)-_xlfn.NORM.DIST(CH$30,economics!$AK$2:$AK$167,economics!$AJ$2:$AJ$167,TRUE)))+$CR23*(_xlfn.NORM.DIST(CH$3,$CU23,0.3*$CU23,TRUE)-_xlfn.NORM.DIST(CH$30,$CU23,0.3*$CU23,TRUE))+$CS23*(_xlfn.NORM.DIST(CH$3,$CV23,0.3*$CV23,TRUE)-_xlfn.NORM.DIST(CH$30,$CV23,0.3*$CV23,TRUE))),""),IF($C23&gt;0,summary!$C$10/28.8/0.947817,""))</f>
        <v/>
      </c>
    </row>
    <row r="53">
      <c r="A53">
        <f>A24</f>
        <v/>
      </c>
      <c r="B53">
        <f>B24</f>
        <v/>
      </c>
      <c r="E53">
        <f t="array" ref="E53">IF($D24,IFERROR((SUMPRODUCT((economics!$AG$2:$AG$167=$B53)*(economics!$D$2:$D$167="whr")*economics!$AH$2:$AH$167*(_xlfn.NORM.DIST(E$3,economics!$AK$2:$AK$167,economics!$AJ$2:$AJ$167,TRUE)-_xlfn.NORM.DIST(E$30,economics!$AK$2:$AK$167,economics!$AJ$2:$AJ$167,TRUE))*economics!$AM$2:$AM$167)+$CR24*(_xlfn.NORM.DIST(E$3,$CU24,0.3*$CU24,TRUE)-_xlfn.NORM.DIST(E$30,$CU24,0.3*$CU24,TRUE))*summary!$C$7/28.8/0.947817+$CS24*(_xlfn.NORM.DIST(E$3,$CV24,0.3*$CV24,TRUE)-_xlfn.NORM.DIST(E$30,$CV24,0.3*$CV24,TRUE))*summary!$C$6/28.8/0.947817)/(SUMPRODUCT((economics!$AG$2:$AG$167=$B53)*(economics!$D$2:$D$167="whr")*economics!$AH$2:$AH$167*(_xlfn.NORM.DIST(E$3,economics!$AK$2:$AK$167,economics!$AJ$2:$AJ$167,TRUE)-_xlfn.NORM.DIST(E$30,economics!$AK$2:$AK$167,economics!$AJ$2:$AJ$167,TRUE)))+$CR24*(_xlfn.NORM.DIST(E$3,$CU24,0.3*$CU24,TRUE)-_xlfn.NORM.DIST(E$30,$CU24,0.3*$CU24,TRUE))+$CS24*(_xlfn.NORM.DIST(E$3,$CV24,0.3*$CV24,TRUE)-_xlfn.NORM.DIST(E$30,$CV24,0.3*$CV24,TRUE))),""),IF($C24&gt;0,summary!$C$10/28.8/0.947817,""))</f>
        <v/>
      </c>
      <c r="F53">
        <f t="array" ref="F53">IF($D24,IFERROR((SUMPRODUCT((economics!$AG$2:$AG$167=$B53)*(economics!$D$2:$D$167="whr")*economics!$AH$2:$AH$167*(_xlfn.NORM.DIST(F$3,economics!$AK$2:$AK$167,economics!$AJ$2:$AJ$167,TRUE)-_xlfn.NORM.DIST(F$30,economics!$AK$2:$AK$167,economics!$AJ$2:$AJ$167,TRUE))*economics!$AM$2:$AM$167)+$CR24*(_xlfn.NORM.DIST(F$3,$CU24,0.3*$CU24,TRUE)-_xlfn.NORM.DIST(F$30,$CU24,0.3*$CU24,TRUE))*summary!$C$7/28.8/0.947817+$CS24*(_xlfn.NORM.DIST(F$3,$CV24,0.3*$CV24,TRUE)-_xlfn.NORM.DIST(F$30,$CV24,0.3*$CV24,TRUE))*summary!$C$6/28.8/0.947817)/(SUMPRODUCT((economics!$AG$2:$AG$167=$B53)*(economics!$D$2:$D$167="whr")*economics!$AH$2:$AH$167*(_xlfn.NORM.DIST(F$3,economics!$AK$2:$AK$167,economics!$AJ$2:$AJ$167,TRUE)-_xlfn.NORM.DIST(F$30,economics!$AK$2:$AK$167,economics!$AJ$2:$AJ$167,TRUE)))+$CR24*(_xlfn.NORM.DIST(F$3,$CU24,0.3*$CU24,TRUE)-_xlfn.NORM.DIST(F$30,$CU24,0.3*$CU24,TRUE))+$CS24*(_xlfn.NORM.DIST(F$3,$CV24,0.3*$CV24,TRUE)-_xlfn.NORM.DIST(F$30,$CV24,0.3*$CV24,TRUE))),""),IF($C24&gt;0,summary!$C$10/28.8/0.947817,""))</f>
        <v/>
      </c>
      <c r="G53">
        <f t="array" ref="G53">IF($D24,IFERROR((SUMPRODUCT((economics!$AG$2:$AG$167=$B53)*(economics!$D$2:$D$167="whr")*economics!$AH$2:$AH$167*(_xlfn.NORM.DIST(G$3,economics!$AK$2:$AK$167,economics!$AJ$2:$AJ$167,TRUE)-_xlfn.NORM.DIST(G$30,economics!$AK$2:$AK$167,economics!$AJ$2:$AJ$167,TRUE))*economics!$AM$2:$AM$167)+$CR24*(_xlfn.NORM.DIST(G$3,$CU24,0.3*$CU24,TRUE)-_xlfn.NORM.DIST(G$30,$CU24,0.3*$CU24,TRUE))*summary!$C$7/28.8/0.947817+$CS24*(_xlfn.NORM.DIST(G$3,$CV24,0.3*$CV24,TRUE)-_xlfn.NORM.DIST(G$30,$CV24,0.3*$CV24,TRUE))*summary!$C$6/28.8/0.947817)/(SUMPRODUCT((economics!$AG$2:$AG$167=$B53)*(economics!$D$2:$D$167="whr")*economics!$AH$2:$AH$167*(_xlfn.NORM.DIST(G$3,economics!$AK$2:$AK$167,economics!$AJ$2:$AJ$167,TRUE)-_xlfn.NORM.DIST(G$30,economics!$AK$2:$AK$167,economics!$AJ$2:$AJ$167,TRUE)))+$CR24*(_xlfn.NORM.DIST(G$3,$CU24,0.3*$CU24,TRUE)-_xlfn.NORM.DIST(G$30,$CU24,0.3*$CU24,TRUE))+$CS24*(_xlfn.NORM.DIST(G$3,$CV24,0.3*$CV24,TRUE)-_xlfn.NORM.DIST(G$30,$CV24,0.3*$CV24,TRUE))),""),IF($C24&gt;0,summary!$C$10/28.8/0.947817,""))</f>
        <v/>
      </c>
      <c r="H53">
        <f t="array" ref="H53">IF($D24,IFERROR((SUMPRODUCT((economics!$AG$2:$AG$167=$B53)*(economics!$D$2:$D$167="whr")*economics!$AH$2:$AH$167*(_xlfn.NORM.DIST(H$3,economics!$AK$2:$AK$167,economics!$AJ$2:$AJ$167,TRUE)-_xlfn.NORM.DIST(H$30,economics!$AK$2:$AK$167,economics!$AJ$2:$AJ$167,TRUE))*economics!$AM$2:$AM$167)+$CR24*(_xlfn.NORM.DIST(H$3,$CU24,0.3*$CU24,TRUE)-_xlfn.NORM.DIST(H$30,$CU24,0.3*$CU24,TRUE))*summary!$C$7/28.8/0.947817+$CS24*(_xlfn.NORM.DIST(H$3,$CV24,0.3*$CV24,TRUE)-_xlfn.NORM.DIST(H$30,$CV24,0.3*$CV24,TRUE))*summary!$C$6/28.8/0.947817)/(SUMPRODUCT((economics!$AG$2:$AG$167=$B53)*(economics!$D$2:$D$167="whr")*economics!$AH$2:$AH$167*(_xlfn.NORM.DIST(H$3,economics!$AK$2:$AK$167,economics!$AJ$2:$AJ$167,TRUE)-_xlfn.NORM.DIST(H$30,economics!$AK$2:$AK$167,economics!$AJ$2:$AJ$167,TRUE)))+$CR24*(_xlfn.NORM.DIST(H$3,$CU24,0.3*$CU24,TRUE)-_xlfn.NORM.DIST(H$30,$CU24,0.3*$CU24,TRUE))+$CS24*(_xlfn.NORM.DIST(H$3,$CV24,0.3*$CV24,TRUE)-_xlfn.NORM.DIST(H$30,$CV24,0.3*$CV24,TRUE))),""),IF($C24&gt;0,summary!$C$10/28.8/0.947817,""))</f>
        <v/>
      </c>
      <c r="I53">
        <f t="array" ref="I53">IF($D24,IFERROR((SUMPRODUCT((economics!$AG$2:$AG$167=$B53)*(economics!$D$2:$D$167="whr")*economics!$AH$2:$AH$167*(_xlfn.NORM.DIST(I$3,economics!$AK$2:$AK$167,economics!$AJ$2:$AJ$167,TRUE)-_xlfn.NORM.DIST(I$30,economics!$AK$2:$AK$167,economics!$AJ$2:$AJ$167,TRUE))*economics!$AM$2:$AM$167)+$CR24*(_xlfn.NORM.DIST(I$3,$CU24,0.3*$CU24,TRUE)-_xlfn.NORM.DIST(I$30,$CU24,0.3*$CU24,TRUE))*summary!$C$7/28.8/0.947817+$CS24*(_xlfn.NORM.DIST(I$3,$CV24,0.3*$CV24,TRUE)-_xlfn.NORM.DIST(I$30,$CV24,0.3*$CV24,TRUE))*summary!$C$6/28.8/0.947817)/(SUMPRODUCT((economics!$AG$2:$AG$167=$B53)*(economics!$D$2:$D$167="whr")*economics!$AH$2:$AH$167*(_xlfn.NORM.DIST(I$3,economics!$AK$2:$AK$167,economics!$AJ$2:$AJ$167,TRUE)-_xlfn.NORM.DIST(I$30,economics!$AK$2:$AK$167,economics!$AJ$2:$AJ$167,TRUE)))+$CR24*(_xlfn.NORM.DIST(I$3,$CU24,0.3*$CU24,TRUE)-_xlfn.NORM.DIST(I$30,$CU24,0.3*$CU24,TRUE))+$CS24*(_xlfn.NORM.DIST(I$3,$CV24,0.3*$CV24,TRUE)-_xlfn.NORM.DIST(I$30,$CV24,0.3*$CV24,TRUE))),""),IF($C24&gt;0,summary!$C$10/28.8/0.947817,""))</f>
        <v/>
      </c>
      <c r="J53">
        <f t="array" ref="J53">IF($D24,IFERROR((SUMPRODUCT((economics!$AG$2:$AG$167=$B53)*(economics!$D$2:$D$167="whr")*economics!$AH$2:$AH$167*(_xlfn.NORM.DIST(J$3,economics!$AK$2:$AK$167,economics!$AJ$2:$AJ$167,TRUE)-_xlfn.NORM.DIST(J$30,economics!$AK$2:$AK$167,economics!$AJ$2:$AJ$167,TRUE))*economics!$AM$2:$AM$167)+$CR24*(_xlfn.NORM.DIST(J$3,$CU24,0.3*$CU24,TRUE)-_xlfn.NORM.DIST(J$30,$CU24,0.3*$CU24,TRUE))*summary!$C$7/28.8/0.947817+$CS24*(_xlfn.NORM.DIST(J$3,$CV24,0.3*$CV24,TRUE)-_xlfn.NORM.DIST(J$30,$CV24,0.3*$CV24,TRUE))*summary!$C$6/28.8/0.947817)/(SUMPRODUCT((economics!$AG$2:$AG$167=$B53)*(economics!$D$2:$D$167="whr")*economics!$AH$2:$AH$167*(_xlfn.NORM.DIST(J$3,economics!$AK$2:$AK$167,economics!$AJ$2:$AJ$167,TRUE)-_xlfn.NORM.DIST(J$30,economics!$AK$2:$AK$167,economics!$AJ$2:$AJ$167,TRUE)))+$CR24*(_xlfn.NORM.DIST(J$3,$CU24,0.3*$CU24,TRUE)-_xlfn.NORM.DIST(J$30,$CU24,0.3*$CU24,TRUE))+$CS24*(_xlfn.NORM.DIST(J$3,$CV24,0.3*$CV24,TRUE)-_xlfn.NORM.DIST(J$30,$CV24,0.3*$CV24,TRUE))),""),IF($C24&gt;0,summary!$C$10/28.8/0.947817,""))</f>
        <v/>
      </c>
      <c r="K53">
        <f t="array" ref="K53">IF($D24,IFERROR((SUMPRODUCT((economics!$AG$2:$AG$167=$B53)*(economics!$D$2:$D$167="whr")*economics!$AH$2:$AH$167*(_xlfn.NORM.DIST(K$3,economics!$AK$2:$AK$167,economics!$AJ$2:$AJ$167,TRUE)-_xlfn.NORM.DIST(K$30,economics!$AK$2:$AK$167,economics!$AJ$2:$AJ$167,TRUE))*economics!$AM$2:$AM$167)+$CR24*(_xlfn.NORM.DIST(K$3,$CU24,0.3*$CU24,TRUE)-_xlfn.NORM.DIST(K$30,$CU24,0.3*$CU24,TRUE))*summary!$C$7/28.8/0.947817+$CS24*(_xlfn.NORM.DIST(K$3,$CV24,0.3*$CV24,TRUE)-_xlfn.NORM.DIST(K$30,$CV24,0.3*$CV24,TRUE))*summary!$C$6/28.8/0.947817)/(SUMPRODUCT((economics!$AG$2:$AG$167=$B53)*(economics!$D$2:$D$167="whr")*economics!$AH$2:$AH$167*(_xlfn.NORM.DIST(K$3,economics!$AK$2:$AK$167,economics!$AJ$2:$AJ$167,TRUE)-_xlfn.NORM.DIST(K$30,economics!$AK$2:$AK$167,economics!$AJ$2:$AJ$167,TRUE)))+$CR24*(_xlfn.NORM.DIST(K$3,$CU24,0.3*$CU24,TRUE)-_xlfn.NORM.DIST(K$30,$CU24,0.3*$CU24,TRUE))+$CS24*(_xlfn.NORM.DIST(K$3,$CV24,0.3*$CV24,TRUE)-_xlfn.NORM.DIST(K$30,$CV24,0.3*$CV24,TRUE))),""),IF($C24&gt;0,summary!$C$10/28.8/0.947817,""))</f>
        <v/>
      </c>
      <c r="L53">
        <f t="array" ref="L53">IF($D24,IFERROR((SUMPRODUCT((economics!$AG$2:$AG$167=$B53)*(economics!$D$2:$D$167="whr")*economics!$AH$2:$AH$167*(_xlfn.NORM.DIST(L$3,economics!$AK$2:$AK$167,economics!$AJ$2:$AJ$167,TRUE)-_xlfn.NORM.DIST(L$30,economics!$AK$2:$AK$167,economics!$AJ$2:$AJ$167,TRUE))*economics!$AM$2:$AM$167)+$CR24*(_xlfn.NORM.DIST(L$3,$CU24,0.3*$CU24,TRUE)-_xlfn.NORM.DIST(L$30,$CU24,0.3*$CU24,TRUE))*summary!$C$7/28.8/0.947817+$CS24*(_xlfn.NORM.DIST(L$3,$CV24,0.3*$CV24,TRUE)-_xlfn.NORM.DIST(L$30,$CV24,0.3*$CV24,TRUE))*summary!$C$6/28.8/0.947817)/(SUMPRODUCT((economics!$AG$2:$AG$167=$B53)*(economics!$D$2:$D$167="whr")*economics!$AH$2:$AH$167*(_xlfn.NORM.DIST(L$3,economics!$AK$2:$AK$167,economics!$AJ$2:$AJ$167,TRUE)-_xlfn.NORM.DIST(L$30,economics!$AK$2:$AK$167,economics!$AJ$2:$AJ$167,TRUE)))+$CR24*(_xlfn.NORM.DIST(L$3,$CU24,0.3*$CU24,TRUE)-_xlfn.NORM.DIST(L$30,$CU24,0.3*$CU24,TRUE))+$CS24*(_xlfn.NORM.DIST(L$3,$CV24,0.3*$CV24,TRUE)-_xlfn.NORM.DIST(L$30,$CV24,0.3*$CV24,TRUE))),""),IF($C24&gt;0,summary!$C$10/28.8/0.947817,""))</f>
        <v/>
      </c>
      <c r="M53">
        <f t="array" ref="M53">IF($D24,IFERROR((SUMPRODUCT((economics!$AG$2:$AG$167=$B53)*(economics!$D$2:$D$167="whr")*economics!$AH$2:$AH$167*(_xlfn.NORM.DIST(M$3,economics!$AK$2:$AK$167,economics!$AJ$2:$AJ$167,TRUE)-_xlfn.NORM.DIST(M$30,economics!$AK$2:$AK$167,economics!$AJ$2:$AJ$167,TRUE))*economics!$AM$2:$AM$167)+$CR24*(_xlfn.NORM.DIST(M$3,$CU24,0.3*$CU24,TRUE)-_xlfn.NORM.DIST(M$30,$CU24,0.3*$CU24,TRUE))*summary!$C$7/28.8/0.947817+$CS24*(_xlfn.NORM.DIST(M$3,$CV24,0.3*$CV24,TRUE)-_xlfn.NORM.DIST(M$30,$CV24,0.3*$CV24,TRUE))*summary!$C$6/28.8/0.947817)/(SUMPRODUCT((economics!$AG$2:$AG$167=$B53)*(economics!$D$2:$D$167="whr")*economics!$AH$2:$AH$167*(_xlfn.NORM.DIST(M$3,economics!$AK$2:$AK$167,economics!$AJ$2:$AJ$167,TRUE)-_xlfn.NORM.DIST(M$30,economics!$AK$2:$AK$167,economics!$AJ$2:$AJ$167,TRUE)))+$CR24*(_xlfn.NORM.DIST(M$3,$CU24,0.3*$CU24,TRUE)-_xlfn.NORM.DIST(M$30,$CU24,0.3*$CU24,TRUE))+$CS24*(_xlfn.NORM.DIST(M$3,$CV24,0.3*$CV24,TRUE)-_xlfn.NORM.DIST(M$30,$CV24,0.3*$CV24,TRUE))),""),IF($C24&gt;0,summary!$C$10/28.8/0.947817,""))</f>
        <v/>
      </c>
      <c r="N53">
        <f t="array" ref="N53">IF($D24,IFERROR((SUMPRODUCT((economics!$AG$2:$AG$167=$B53)*(economics!$D$2:$D$167="whr")*economics!$AH$2:$AH$167*(_xlfn.NORM.DIST(N$3,economics!$AK$2:$AK$167,economics!$AJ$2:$AJ$167,TRUE)-_xlfn.NORM.DIST(N$30,economics!$AK$2:$AK$167,economics!$AJ$2:$AJ$167,TRUE))*economics!$AM$2:$AM$167)+$CR24*(_xlfn.NORM.DIST(N$3,$CU24,0.3*$CU24,TRUE)-_xlfn.NORM.DIST(N$30,$CU24,0.3*$CU24,TRUE))*summary!$C$7/28.8/0.947817+$CS24*(_xlfn.NORM.DIST(N$3,$CV24,0.3*$CV24,TRUE)-_xlfn.NORM.DIST(N$30,$CV24,0.3*$CV24,TRUE))*summary!$C$6/28.8/0.947817)/(SUMPRODUCT((economics!$AG$2:$AG$167=$B53)*(economics!$D$2:$D$167="whr")*economics!$AH$2:$AH$167*(_xlfn.NORM.DIST(N$3,economics!$AK$2:$AK$167,economics!$AJ$2:$AJ$167,TRUE)-_xlfn.NORM.DIST(N$30,economics!$AK$2:$AK$167,economics!$AJ$2:$AJ$167,TRUE)))+$CR24*(_xlfn.NORM.DIST(N$3,$CU24,0.3*$CU24,TRUE)-_xlfn.NORM.DIST(N$30,$CU24,0.3*$CU24,TRUE))+$CS24*(_xlfn.NORM.DIST(N$3,$CV24,0.3*$CV24,TRUE)-_xlfn.NORM.DIST(N$30,$CV24,0.3*$CV24,TRUE))),""),IF($C24&gt;0,summary!$C$10/28.8/0.947817,""))</f>
        <v/>
      </c>
      <c r="O53">
        <f t="array" ref="O53">IF($D24,IFERROR((SUMPRODUCT((economics!$AG$2:$AG$167=$B53)*(economics!$D$2:$D$167="whr")*economics!$AH$2:$AH$167*(_xlfn.NORM.DIST(O$3,economics!$AK$2:$AK$167,economics!$AJ$2:$AJ$167,TRUE)-_xlfn.NORM.DIST(O$30,economics!$AK$2:$AK$167,economics!$AJ$2:$AJ$167,TRUE))*economics!$AM$2:$AM$167)+$CR24*(_xlfn.NORM.DIST(O$3,$CU24,0.3*$CU24,TRUE)-_xlfn.NORM.DIST(O$30,$CU24,0.3*$CU24,TRUE))*summary!$C$7/28.8/0.947817+$CS24*(_xlfn.NORM.DIST(O$3,$CV24,0.3*$CV24,TRUE)-_xlfn.NORM.DIST(O$30,$CV24,0.3*$CV24,TRUE))*summary!$C$6/28.8/0.947817)/(SUMPRODUCT((economics!$AG$2:$AG$167=$B53)*(economics!$D$2:$D$167="whr")*economics!$AH$2:$AH$167*(_xlfn.NORM.DIST(O$3,economics!$AK$2:$AK$167,economics!$AJ$2:$AJ$167,TRUE)-_xlfn.NORM.DIST(O$30,economics!$AK$2:$AK$167,economics!$AJ$2:$AJ$167,TRUE)))+$CR24*(_xlfn.NORM.DIST(O$3,$CU24,0.3*$CU24,TRUE)-_xlfn.NORM.DIST(O$30,$CU24,0.3*$CU24,TRUE))+$CS24*(_xlfn.NORM.DIST(O$3,$CV24,0.3*$CV24,TRUE)-_xlfn.NORM.DIST(O$30,$CV24,0.3*$CV24,TRUE))),""),IF($C24&gt;0,summary!$C$10/28.8/0.947817,""))</f>
        <v/>
      </c>
      <c r="P53">
        <f t="array" ref="P53">IF($D24,IFERROR((SUMPRODUCT((economics!$AG$2:$AG$167=$B53)*(economics!$D$2:$D$167="whr")*economics!$AH$2:$AH$167*(_xlfn.NORM.DIST(P$3,economics!$AK$2:$AK$167,economics!$AJ$2:$AJ$167,TRUE)-_xlfn.NORM.DIST(P$30,economics!$AK$2:$AK$167,economics!$AJ$2:$AJ$167,TRUE))*economics!$AM$2:$AM$167)+$CR24*(_xlfn.NORM.DIST(P$3,$CU24,0.3*$CU24,TRUE)-_xlfn.NORM.DIST(P$30,$CU24,0.3*$CU24,TRUE))*summary!$C$7/28.8/0.947817+$CS24*(_xlfn.NORM.DIST(P$3,$CV24,0.3*$CV24,TRUE)-_xlfn.NORM.DIST(P$30,$CV24,0.3*$CV24,TRUE))*summary!$C$6/28.8/0.947817)/(SUMPRODUCT((economics!$AG$2:$AG$167=$B53)*(economics!$D$2:$D$167="whr")*economics!$AH$2:$AH$167*(_xlfn.NORM.DIST(P$3,economics!$AK$2:$AK$167,economics!$AJ$2:$AJ$167,TRUE)-_xlfn.NORM.DIST(P$30,economics!$AK$2:$AK$167,economics!$AJ$2:$AJ$167,TRUE)))+$CR24*(_xlfn.NORM.DIST(P$3,$CU24,0.3*$CU24,TRUE)-_xlfn.NORM.DIST(P$30,$CU24,0.3*$CU24,TRUE))+$CS24*(_xlfn.NORM.DIST(P$3,$CV24,0.3*$CV24,TRUE)-_xlfn.NORM.DIST(P$30,$CV24,0.3*$CV24,TRUE))),""),IF($C24&gt;0,summary!$C$10/28.8/0.947817,""))</f>
        <v/>
      </c>
      <c r="Q53">
        <f t="array" ref="Q53">IF($D24,IFERROR((SUMPRODUCT((economics!$AG$2:$AG$167=$B53)*(economics!$D$2:$D$167="whr")*economics!$AH$2:$AH$167*(_xlfn.NORM.DIST(Q$3,economics!$AK$2:$AK$167,economics!$AJ$2:$AJ$167,TRUE)-_xlfn.NORM.DIST(Q$30,economics!$AK$2:$AK$167,economics!$AJ$2:$AJ$167,TRUE))*economics!$AM$2:$AM$167)+$CR24*(_xlfn.NORM.DIST(Q$3,$CU24,0.3*$CU24,TRUE)-_xlfn.NORM.DIST(Q$30,$CU24,0.3*$CU24,TRUE))*summary!$C$7/28.8/0.947817+$CS24*(_xlfn.NORM.DIST(Q$3,$CV24,0.3*$CV24,TRUE)-_xlfn.NORM.DIST(Q$30,$CV24,0.3*$CV24,TRUE))*summary!$C$6/28.8/0.947817)/(SUMPRODUCT((economics!$AG$2:$AG$167=$B53)*(economics!$D$2:$D$167="whr")*economics!$AH$2:$AH$167*(_xlfn.NORM.DIST(Q$3,economics!$AK$2:$AK$167,economics!$AJ$2:$AJ$167,TRUE)-_xlfn.NORM.DIST(Q$30,economics!$AK$2:$AK$167,economics!$AJ$2:$AJ$167,TRUE)))+$CR24*(_xlfn.NORM.DIST(Q$3,$CU24,0.3*$CU24,TRUE)-_xlfn.NORM.DIST(Q$30,$CU24,0.3*$CU24,TRUE))+$CS24*(_xlfn.NORM.DIST(Q$3,$CV24,0.3*$CV24,TRUE)-_xlfn.NORM.DIST(Q$30,$CV24,0.3*$CV24,TRUE))),""),IF($C24&gt;0,summary!$C$10/28.8/0.947817,""))</f>
        <v/>
      </c>
      <c r="R53">
        <f t="array" ref="R53">IF($D24,IFERROR((SUMPRODUCT((economics!$AG$2:$AG$167=$B53)*(economics!$D$2:$D$167="whr")*economics!$AH$2:$AH$167*(_xlfn.NORM.DIST(R$3,economics!$AK$2:$AK$167,economics!$AJ$2:$AJ$167,TRUE)-_xlfn.NORM.DIST(R$30,economics!$AK$2:$AK$167,economics!$AJ$2:$AJ$167,TRUE))*economics!$AM$2:$AM$167)+$CR24*(_xlfn.NORM.DIST(R$3,$CU24,0.3*$CU24,TRUE)-_xlfn.NORM.DIST(R$30,$CU24,0.3*$CU24,TRUE))*summary!$C$7/28.8/0.947817+$CS24*(_xlfn.NORM.DIST(R$3,$CV24,0.3*$CV24,TRUE)-_xlfn.NORM.DIST(R$30,$CV24,0.3*$CV24,TRUE))*summary!$C$6/28.8/0.947817)/(SUMPRODUCT((economics!$AG$2:$AG$167=$B53)*(economics!$D$2:$D$167="whr")*economics!$AH$2:$AH$167*(_xlfn.NORM.DIST(R$3,economics!$AK$2:$AK$167,economics!$AJ$2:$AJ$167,TRUE)-_xlfn.NORM.DIST(R$30,economics!$AK$2:$AK$167,economics!$AJ$2:$AJ$167,TRUE)))+$CR24*(_xlfn.NORM.DIST(R$3,$CU24,0.3*$CU24,TRUE)-_xlfn.NORM.DIST(R$30,$CU24,0.3*$CU24,TRUE))+$CS24*(_xlfn.NORM.DIST(R$3,$CV24,0.3*$CV24,TRUE)-_xlfn.NORM.DIST(R$30,$CV24,0.3*$CV24,TRUE))),""),IF($C24&gt;0,summary!$C$10/28.8/0.947817,""))</f>
        <v/>
      </c>
      <c r="S53">
        <f t="array" ref="S53">IF($D24,IFERROR((SUMPRODUCT((economics!$AG$2:$AG$167=$B53)*(economics!$D$2:$D$167="whr")*economics!$AH$2:$AH$167*(_xlfn.NORM.DIST(S$3,economics!$AK$2:$AK$167,economics!$AJ$2:$AJ$167,TRUE)-_xlfn.NORM.DIST(S$30,economics!$AK$2:$AK$167,economics!$AJ$2:$AJ$167,TRUE))*economics!$AM$2:$AM$167)+$CR24*(_xlfn.NORM.DIST(S$3,$CU24,0.3*$CU24,TRUE)-_xlfn.NORM.DIST(S$30,$CU24,0.3*$CU24,TRUE))*summary!$C$7/28.8/0.947817+$CS24*(_xlfn.NORM.DIST(S$3,$CV24,0.3*$CV24,TRUE)-_xlfn.NORM.DIST(S$30,$CV24,0.3*$CV24,TRUE))*summary!$C$6/28.8/0.947817)/(SUMPRODUCT((economics!$AG$2:$AG$167=$B53)*(economics!$D$2:$D$167="whr")*economics!$AH$2:$AH$167*(_xlfn.NORM.DIST(S$3,economics!$AK$2:$AK$167,economics!$AJ$2:$AJ$167,TRUE)-_xlfn.NORM.DIST(S$30,economics!$AK$2:$AK$167,economics!$AJ$2:$AJ$167,TRUE)))+$CR24*(_xlfn.NORM.DIST(S$3,$CU24,0.3*$CU24,TRUE)-_xlfn.NORM.DIST(S$30,$CU24,0.3*$CU24,TRUE))+$CS24*(_xlfn.NORM.DIST(S$3,$CV24,0.3*$CV24,TRUE)-_xlfn.NORM.DIST(S$30,$CV24,0.3*$CV24,TRUE))),""),IF($C24&gt;0,summary!$C$10/28.8/0.947817,""))</f>
        <v/>
      </c>
      <c r="T53">
        <f t="array" ref="T53">IF($D24,IFERROR((SUMPRODUCT((economics!$AG$2:$AG$167=$B53)*(economics!$D$2:$D$167="whr")*economics!$AH$2:$AH$167*(_xlfn.NORM.DIST(T$3,economics!$AK$2:$AK$167,economics!$AJ$2:$AJ$167,TRUE)-_xlfn.NORM.DIST(T$30,economics!$AK$2:$AK$167,economics!$AJ$2:$AJ$167,TRUE))*economics!$AM$2:$AM$167)+$CR24*(_xlfn.NORM.DIST(T$3,$CU24,0.3*$CU24,TRUE)-_xlfn.NORM.DIST(T$30,$CU24,0.3*$CU24,TRUE))*summary!$C$7/28.8/0.947817+$CS24*(_xlfn.NORM.DIST(T$3,$CV24,0.3*$CV24,TRUE)-_xlfn.NORM.DIST(T$30,$CV24,0.3*$CV24,TRUE))*summary!$C$6/28.8/0.947817)/(SUMPRODUCT((economics!$AG$2:$AG$167=$B53)*(economics!$D$2:$D$167="whr")*economics!$AH$2:$AH$167*(_xlfn.NORM.DIST(T$3,economics!$AK$2:$AK$167,economics!$AJ$2:$AJ$167,TRUE)-_xlfn.NORM.DIST(T$30,economics!$AK$2:$AK$167,economics!$AJ$2:$AJ$167,TRUE)))+$CR24*(_xlfn.NORM.DIST(T$3,$CU24,0.3*$CU24,TRUE)-_xlfn.NORM.DIST(T$30,$CU24,0.3*$CU24,TRUE))+$CS24*(_xlfn.NORM.DIST(T$3,$CV24,0.3*$CV24,TRUE)-_xlfn.NORM.DIST(T$30,$CV24,0.3*$CV24,TRUE))),""),IF($C24&gt;0,summary!$C$10/28.8/0.947817,""))</f>
        <v/>
      </c>
      <c r="U53">
        <f t="array" ref="U53">IF($D24,IFERROR((SUMPRODUCT((economics!$AG$2:$AG$167=$B53)*(economics!$D$2:$D$167="whr")*economics!$AH$2:$AH$167*(_xlfn.NORM.DIST(U$3,economics!$AK$2:$AK$167,economics!$AJ$2:$AJ$167,TRUE)-_xlfn.NORM.DIST(U$30,economics!$AK$2:$AK$167,economics!$AJ$2:$AJ$167,TRUE))*economics!$AM$2:$AM$167)+$CR24*(_xlfn.NORM.DIST(U$3,$CU24,0.3*$CU24,TRUE)-_xlfn.NORM.DIST(U$30,$CU24,0.3*$CU24,TRUE))*summary!$C$7/28.8/0.947817+$CS24*(_xlfn.NORM.DIST(U$3,$CV24,0.3*$CV24,TRUE)-_xlfn.NORM.DIST(U$30,$CV24,0.3*$CV24,TRUE))*summary!$C$6/28.8/0.947817)/(SUMPRODUCT((economics!$AG$2:$AG$167=$B53)*(economics!$D$2:$D$167="whr")*economics!$AH$2:$AH$167*(_xlfn.NORM.DIST(U$3,economics!$AK$2:$AK$167,economics!$AJ$2:$AJ$167,TRUE)-_xlfn.NORM.DIST(U$30,economics!$AK$2:$AK$167,economics!$AJ$2:$AJ$167,TRUE)))+$CR24*(_xlfn.NORM.DIST(U$3,$CU24,0.3*$CU24,TRUE)-_xlfn.NORM.DIST(U$30,$CU24,0.3*$CU24,TRUE))+$CS24*(_xlfn.NORM.DIST(U$3,$CV24,0.3*$CV24,TRUE)-_xlfn.NORM.DIST(U$30,$CV24,0.3*$CV24,TRUE))),""),IF($C24&gt;0,summary!$C$10/28.8/0.947817,""))</f>
        <v/>
      </c>
      <c r="V53">
        <f t="array" ref="V53">IF($D24,IFERROR((SUMPRODUCT((economics!$AG$2:$AG$167=$B53)*(economics!$D$2:$D$167="whr")*economics!$AH$2:$AH$167*(_xlfn.NORM.DIST(V$3,economics!$AK$2:$AK$167,economics!$AJ$2:$AJ$167,TRUE)-_xlfn.NORM.DIST(V$30,economics!$AK$2:$AK$167,economics!$AJ$2:$AJ$167,TRUE))*economics!$AM$2:$AM$167)+$CR24*(_xlfn.NORM.DIST(V$3,$CU24,0.3*$CU24,TRUE)-_xlfn.NORM.DIST(V$30,$CU24,0.3*$CU24,TRUE))*summary!$C$7/28.8/0.947817+$CS24*(_xlfn.NORM.DIST(V$3,$CV24,0.3*$CV24,TRUE)-_xlfn.NORM.DIST(V$30,$CV24,0.3*$CV24,TRUE))*summary!$C$6/28.8/0.947817)/(SUMPRODUCT((economics!$AG$2:$AG$167=$B53)*(economics!$D$2:$D$167="whr")*economics!$AH$2:$AH$167*(_xlfn.NORM.DIST(V$3,economics!$AK$2:$AK$167,economics!$AJ$2:$AJ$167,TRUE)-_xlfn.NORM.DIST(V$30,economics!$AK$2:$AK$167,economics!$AJ$2:$AJ$167,TRUE)))+$CR24*(_xlfn.NORM.DIST(V$3,$CU24,0.3*$CU24,TRUE)-_xlfn.NORM.DIST(V$30,$CU24,0.3*$CU24,TRUE))+$CS24*(_xlfn.NORM.DIST(V$3,$CV24,0.3*$CV24,TRUE)-_xlfn.NORM.DIST(V$30,$CV24,0.3*$CV24,TRUE))),""),IF($C24&gt;0,summary!$C$10/28.8/0.947817,""))</f>
        <v/>
      </c>
      <c r="W53">
        <f t="array" ref="W53">IF($D24,IFERROR((SUMPRODUCT((economics!$AG$2:$AG$167=$B53)*(economics!$D$2:$D$167="whr")*economics!$AH$2:$AH$167*(_xlfn.NORM.DIST(W$3,economics!$AK$2:$AK$167,economics!$AJ$2:$AJ$167,TRUE)-_xlfn.NORM.DIST(W$30,economics!$AK$2:$AK$167,economics!$AJ$2:$AJ$167,TRUE))*economics!$AM$2:$AM$167)+$CR24*(_xlfn.NORM.DIST(W$3,$CU24,0.3*$CU24,TRUE)-_xlfn.NORM.DIST(W$30,$CU24,0.3*$CU24,TRUE))*summary!$C$7/28.8/0.947817+$CS24*(_xlfn.NORM.DIST(W$3,$CV24,0.3*$CV24,TRUE)-_xlfn.NORM.DIST(W$30,$CV24,0.3*$CV24,TRUE))*summary!$C$6/28.8/0.947817)/(SUMPRODUCT((economics!$AG$2:$AG$167=$B53)*(economics!$D$2:$D$167="whr")*economics!$AH$2:$AH$167*(_xlfn.NORM.DIST(W$3,economics!$AK$2:$AK$167,economics!$AJ$2:$AJ$167,TRUE)-_xlfn.NORM.DIST(W$30,economics!$AK$2:$AK$167,economics!$AJ$2:$AJ$167,TRUE)))+$CR24*(_xlfn.NORM.DIST(W$3,$CU24,0.3*$CU24,TRUE)-_xlfn.NORM.DIST(W$30,$CU24,0.3*$CU24,TRUE))+$CS24*(_xlfn.NORM.DIST(W$3,$CV24,0.3*$CV24,TRUE)-_xlfn.NORM.DIST(W$30,$CV24,0.3*$CV24,TRUE))),""),IF($C24&gt;0,summary!$C$10/28.8/0.947817,""))</f>
        <v/>
      </c>
      <c r="X53">
        <f t="array" ref="X53">IF($D24,IFERROR((SUMPRODUCT((economics!$AG$2:$AG$167=$B53)*(economics!$D$2:$D$167="whr")*economics!$AH$2:$AH$167*(_xlfn.NORM.DIST(X$3,economics!$AK$2:$AK$167,economics!$AJ$2:$AJ$167,TRUE)-_xlfn.NORM.DIST(X$30,economics!$AK$2:$AK$167,economics!$AJ$2:$AJ$167,TRUE))*economics!$AM$2:$AM$167)+$CR24*(_xlfn.NORM.DIST(X$3,$CU24,0.3*$CU24,TRUE)-_xlfn.NORM.DIST(X$30,$CU24,0.3*$CU24,TRUE))*summary!$C$7/28.8/0.947817+$CS24*(_xlfn.NORM.DIST(X$3,$CV24,0.3*$CV24,TRUE)-_xlfn.NORM.DIST(X$30,$CV24,0.3*$CV24,TRUE))*summary!$C$6/28.8/0.947817)/(SUMPRODUCT((economics!$AG$2:$AG$167=$B53)*(economics!$D$2:$D$167="whr")*economics!$AH$2:$AH$167*(_xlfn.NORM.DIST(X$3,economics!$AK$2:$AK$167,economics!$AJ$2:$AJ$167,TRUE)-_xlfn.NORM.DIST(X$30,economics!$AK$2:$AK$167,economics!$AJ$2:$AJ$167,TRUE)))+$CR24*(_xlfn.NORM.DIST(X$3,$CU24,0.3*$CU24,TRUE)-_xlfn.NORM.DIST(X$30,$CU24,0.3*$CU24,TRUE))+$CS24*(_xlfn.NORM.DIST(X$3,$CV24,0.3*$CV24,TRUE)-_xlfn.NORM.DIST(X$30,$CV24,0.3*$CV24,TRUE))),""),IF($C24&gt;0,summary!$C$10/28.8/0.947817,""))</f>
        <v/>
      </c>
      <c r="Y53">
        <f t="array" ref="Y53">IF($D24,IFERROR((SUMPRODUCT((economics!$AG$2:$AG$167=$B53)*(economics!$D$2:$D$167="whr")*economics!$AH$2:$AH$167*(_xlfn.NORM.DIST(Y$3,economics!$AK$2:$AK$167,economics!$AJ$2:$AJ$167,TRUE)-_xlfn.NORM.DIST(Y$30,economics!$AK$2:$AK$167,economics!$AJ$2:$AJ$167,TRUE))*economics!$AM$2:$AM$167)+$CR24*(_xlfn.NORM.DIST(Y$3,$CU24,0.3*$CU24,TRUE)-_xlfn.NORM.DIST(Y$30,$CU24,0.3*$CU24,TRUE))*summary!$C$7/28.8/0.947817+$CS24*(_xlfn.NORM.DIST(Y$3,$CV24,0.3*$CV24,TRUE)-_xlfn.NORM.DIST(Y$30,$CV24,0.3*$CV24,TRUE))*summary!$C$6/28.8/0.947817)/(SUMPRODUCT((economics!$AG$2:$AG$167=$B53)*(economics!$D$2:$D$167="whr")*economics!$AH$2:$AH$167*(_xlfn.NORM.DIST(Y$3,economics!$AK$2:$AK$167,economics!$AJ$2:$AJ$167,TRUE)-_xlfn.NORM.DIST(Y$30,economics!$AK$2:$AK$167,economics!$AJ$2:$AJ$167,TRUE)))+$CR24*(_xlfn.NORM.DIST(Y$3,$CU24,0.3*$CU24,TRUE)-_xlfn.NORM.DIST(Y$30,$CU24,0.3*$CU24,TRUE))+$CS24*(_xlfn.NORM.DIST(Y$3,$CV24,0.3*$CV24,TRUE)-_xlfn.NORM.DIST(Y$30,$CV24,0.3*$CV24,TRUE))),""),IF($C24&gt;0,summary!$C$10/28.8/0.947817,""))</f>
        <v/>
      </c>
      <c r="Z53">
        <f t="array" ref="Z53">IF($D24,IFERROR((SUMPRODUCT((economics!$AG$2:$AG$167=$B53)*(economics!$D$2:$D$167="whr")*economics!$AH$2:$AH$167*(_xlfn.NORM.DIST(Z$3,economics!$AK$2:$AK$167,economics!$AJ$2:$AJ$167,TRUE)-_xlfn.NORM.DIST(Z$30,economics!$AK$2:$AK$167,economics!$AJ$2:$AJ$167,TRUE))*economics!$AM$2:$AM$167)+$CR24*(_xlfn.NORM.DIST(Z$3,$CU24,0.3*$CU24,TRUE)-_xlfn.NORM.DIST(Z$30,$CU24,0.3*$CU24,TRUE))*summary!$C$7/28.8/0.947817+$CS24*(_xlfn.NORM.DIST(Z$3,$CV24,0.3*$CV24,TRUE)-_xlfn.NORM.DIST(Z$30,$CV24,0.3*$CV24,TRUE))*summary!$C$6/28.8/0.947817)/(SUMPRODUCT((economics!$AG$2:$AG$167=$B53)*(economics!$D$2:$D$167="whr")*economics!$AH$2:$AH$167*(_xlfn.NORM.DIST(Z$3,economics!$AK$2:$AK$167,economics!$AJ$2:$AJ$167,TRUE)-_xlfn.NORM.DIST(Z$30,economics!$AK$2:$AK$167,economics!$AJ$2:$AJ$167,TRUE)))+$CR24*(_xlfn.NORM.DIST(Z$3,$CU24,0.3*$CU24,TRUE)-_xlfn.NORM.DIST(Z$30,$CU24,0.3*$CU24,TRUE))+$CS24*(_xlfn.NORM.DIST(Z$3,$CV24,0.3*$CV24,TRUE)-_xlfn.NORM.DIST(Z$30,$CV24,0.3*$CV24,TRUE))),""),IF($C24&gt;0,summary!$C$10/28.8/0.947817,""))</f>
        <v/>
      </c>
      <c r="AA53">
        <f t="array" ref="AA53">IF($D24,IFERROR((SUMPRODUCT((economics!$AG$2:$AG$167=$B53)*(economics!$D$2:$D$167="whr")*economics!$AH$2:$AH$167*(_xlfn.NORM.DIST(AA$3,economics!$AK$2:$AK$167,economics!$AJ$2:$AJ$167,TRUE)-_xlfn.NORM.DIST(AA$30,economics!$AK$2:$AK$167,economics!$AJ$2:$AJ$167,TRUE))*economics!$AM$2:$AM$167)+$CR24*(_xlfn.NORM.DIST(AA$3,$CU24,0.3*$CU24,TRUE)-_xlfn.NORM.DIST(AA$30,$CU24,0.3*$CU24,TRUE))*summary!$C$7/28.8/0.947817+$CS24*(_xlfn.NORM.DIST(AA$3,$CV24,0.3*$CV24,TRUE)-_xlfn.NORM.DIST(AA$30,$CV24,0.3*$CV24,TRUE))*summary!$C$6/28.8/0.947817)/(SUMPRODUCT((economics!$AG$2:$AG$167=$B53)*(economics!$D$2:$D$167="whr")*economics!$AH$2:$AH$167*(_xlfn.NORM.DIST(AA$3,economics!$AK$2:$AK$167,economics!$AJ$2:$AJ$167,TRUE)-_xlfn.NORM.DIST(AA$30,economics!$AK$2:$AK$167,economics!$AJ$2:$AJ$167,TRUE)))+$CR24*(_xlfn.NORM.DIST(AA$3,$CU24,0.3*$CU24,TRUE)-_xlfn.NORM.DIST(AA$30,$CU24,0.3*$CU24,TRUE))+$CS24*(_xlfn.NORM.DIST(AA$3,$CV24,0.3*$CV24,TRUE)-_xlfn.NORM.DIST(AA$30,$CV24,0.3*$CV24,TRUE))),""),IF($C24&gt;0,summary!$C$10/28.8/0.947817,""))</f>
        <v/>
      </c>
      <c r="AB53">
        <f t="array" ref="AB53">IF($D24,IFERROR((SUMPRODUCT((economics!$AG$2:$AG$167=$B53)*(economics!$D$2:$D$167="whr")*economics!$AH$2:$AH$167*(_xlfn.NORM.DIST(AB$3,economics!$AK$2:$AK$167,economics!$AJ$2:$AJ$167,TRUE)-_xlfn.NORM.DIST(AB$30,economics!$AK$2:$AK$167,economics!$AJ$2:$AJ$167,TRUE))*economics!$AM$2:$AM$167)+$CR24*(_xlfn.NORM.DIST(AB$3,$CU24,0.3*$CU24,TRUE)-_xlfn.NORM.DIST(AB$30,$CU24,0.3*$CU24,TRUE))*summary!$C$7/28.8/0.947817+$CS24*(_xlfn.NORM.DIST(AB$3,$CV24,0.3*$CV24,TRUE)-_xlfn.NORM.DIST(AB$30,$CV24,0.3*$CV24,TRUE))*summary!$C$6/28.8/0.947817)/(SUMPRODUCT((economics!$AG$2:$AG$167=$B53)*(economics!$D$2:$D$167="whr")*economics!$AH$2:$AH$167*(_xlfn.NORM.DIST(AB$3,economics!$AK$2:$AK$167,economics!$AJ$2:$AJ$167,TRUE)-_xlfn.NORM.DIST(AB$30,economics!$AK$2:$AK$167,economics!$AJ$2:$AJ$167,TRUE)))+$CR24*(_xlfn.NORM.DIST(AB$3,$CU24,0.3*$CU24,TRUE)-_xlfn.NORM.DIST(AB$30,$CU24,0.3*$CU24,TRUE))+$CS24*(_xlfn.NORM.DIST(AB$3,$CV24,0.3*$CV24,TRUE)-_xlfn.NORM.DIST(AB$30,$CV24,0.3*$CV24,TRUE))),""),IF($C24&gt;0,summary!$C$10/28.8/0.947817,""))</f>
        <v/>
      </c>
      <c r="AC53">
        <f t="array" ref="AC53">IF($D24,IFERROR((SUMPRODUCT((economics!$AG$2:$AG$167=$B53)*(economics!$D$2:$D$167="whr")*economics!$AH$2:$AH$167*(_xlfn.NORM.DIST(AC$3,economics!$AK$2:$AK$167,economics!$AJ$2:$AJ$167,TRUE)-_xlfn.NORM.DIST(AC$30,economics!$AK$2:$AK$167,economics!$AJ$2:$AJ$167,TRUE))*economics!$AM$2:$AM$167)+$CR24*(_xlfn.NORM.DIST(AC$3,$CU24,0.3*$CU24,TRUE)-_xlfn.NORM.DIST(AC$30,$CU24,0.3*$CU24,TRUE))*summary!$C$7/28.8/0.947817+$CS24*(_xlfn.NORM.DIST(AC$3,$CV24,0.3*$CV24,TRUE)-_xlfn.NORM.DIST(AC$30,$CV24,0.3*$CV24,TRUE))*summary!$C$6/28.8/0.947817)/(SUMPRODUCT((economics!$AG$2:$AG$167=$B53)*(economics!$D$2:$D$167="whr")*economics!$AH$2:$AH$167*(_xlfn.NORM.DIST(AC$3,economics!$AK$2:$AK$167,economics!$AJ$2:$AJ$167,TRUE)-_xlfn.NORM.DIST(AC$30,economics!$AK$2:$AK$167,economics!$AJ$2:$AJ$167,TRUE)))+$CR24*(_xlfn.NORM.DIST(AC$3,$CU24,0.3*$CU24,TRUE)-_xlfn.NORM.DIST(AC$30,$CU24,0.3*$CU24,TRUE))+$CS24*(_xlfn.NORM.DIST(AC$3,$CV24,0.3*$CV24,TRUE)-_xlfn.NORM.DIST(AC$30,$CV24,0.3*$CV24,TRUE))),""),IF($C24&gt;0,summary!$C$10/28.8/0.947817,""))</f>
        <v/>
      </c>
      <c r="AD53">
        <f t="array" ref="AD53">IF($D24,IFERROR((SUMPRODUCT((economics!$AG$2:$AG$167=$B53)*(economics!$D$2:$D$167="whr")*economics!$AH$2:$AH$167*(_xlfn.NORM.DIST(AD$3,economics!$AK$2:$AK$167,economics!$AJ$2:$AJ$167,TRUE)-_xlfn.NORM.DIST(AD$30,economics!$AK$2:$AK$167,economics!$AJ$2:$AJ$167,TRUE))*economics!$AM$2:$AM$167)+$CR24*(_xlfn.NORM.DIST(AD$3,$CU24,0.3*$CU24,TRUE)-_xlfn.NORM.DIST(AD$30,$CU24,0.3*$CU24,TRUE))*summary!$C$7/28.8/0.947817+$CS24*(_xlfn.NORM.DIST(AD$3,$CV24,0.3*$CV24,TRUE)-_xlfn.NORM.DIST(AD$30,$CV24,0.3*$CV24,TRUE))*summary!$C$6/28.8/0.947817)/(SUMPRODUCT((economics!$AG$2:$AG$167=$B53)*(economics!$D$2:$D$167="whr")*economics!$AH$2:$AH$167*(_xlfn.NORM.DIST(AD$3,economics!$AK$2:$AK$167,economics!$AJ$2:$AJ$167,TRUE)-_xlfn.NORM.DIST(AD$30,economics!$AK$2:$AK$167,economics!$AJ$2:$AJ$167,TRUE)))+$CR24*(_xlfn.NORM.DIST(AD$3,$CU24,0.3*$CU24,TRUE)-_xlfn.NORM.DIST(AD$30,$CU24,0.3*$CU24,TRUE))+$CS24*(_xlfn.NORM.DIST(AD$3,$CV24,0.3*$CV24,TRUE)-_xlfn.NORM.DIST(AD$30,$CV24,0.3*$CV24,TRUE))),""),IF($C24&gt;0,summary!$C$10/28.8/0.947817,""))</f>
        <v/>
      </c>
      <c r="AE53">
        <f t="array" ref="AE53">IF($D24,IFERROR((SUMPRODUCT((economics!$AG$2:$AG$167=$B53)*(economics!$D$2:$D$167="whr")*economics!$AH$2:$AH$167*(_xlfn.NORM.DIST(AE$3,economics!$AK$2:$AK$167,economics!$AJ$2:$AJ$167,TRUE)-_xlfn.NORM.DIST(AE$30,economics!$AK$2:$AK$167,economics!$AJ$2:$AJ$167,TRUE))*economics!$AM$2:$AM$167)+$CR24*(_xlfn.NORM.DIST(AE$3,$CU24,0.3*$CU24,TRUE)-_xlfn.NORM.DIST(AE$30,$CU24,0.3*$CU24,TRUE))*summary!$C$7/28.8/0.947817+$CS24*(_xlfn.NORM.DIST(AE$3,$CV24,0.3*$CV24,TRUE)-_xlfn.NORM.DIST(AE$30,$CV24,0.3*$CV24,TRUE))*summary!$C$6/28.8/0.947817)/(SUMPRODUCT((economics!$AG$2:$AG$167=$B53)*(economics!$D$2:$D$167="whr")*economics!$AH$2:$AH$167*(_xlfn.NORM.DIST(AE$3,economics!$AK$2:$AK$167,economics!$AJ$2:$AJ$167,TRUE)-_xlfn.NORM.DIST(AE$30,economics!$AK$2:$AK$167,economics!$AJ$2:$AJ$167,TRUE)))+$CR24*(_xlfn.NORM.DIST(AE$3,$CU24,0.3*$CU24,TRUE)-_xlfn.NORM.DIST(AE$30,$CU24,0.3*$CU24,TRUE))+$CS24*(_xlfn.NORM.DIST(AE$3,$CV24,0.3*$CV24,TRUE)-_xlfn.NORM.DIST(AE$30,$CV24,0.3*$CV24,TRUE))),""),IF($C24&gt;0,summary!$C$10/28.8/0.947817,""))</f>
        <v/>
      </c>
      <c r="AF53">
        <f t="array" ref="AF53">IF($D24,IFERROR((SUMPRODUCT((economics!$AG$2:$AG$167=$B53)*(economics!$D$2:$D$167="whr")*economics!$AH$2:$AH$167*(_xlfn.NORM.DIST(AF$3,economics!$AK$2:$AK$167,economics!$AJ$2:$AJ$167,TRUE)-_xlfn.NORM.DIST(AF$30,economics!$AK$2:$AK$167,economics!$AJ$2:$AJ$167,TRUE))*economics!$AM$2:$AM$167)+$CR24*(_xlfn.NORM.DIST(AF$3,$CU24,0.3*$CU24,TRUE)-_xlfn.NORM.DIST(AF$30,$CU24,0.3*$CU24,TRUE))*summary!$C$7/28.8/0.947817+$CS24*(_xlfn.NORM.DIST(AF$3,$CV24,0.3*$CV24,TRUE)-_xlfn.NORM.DIST(AF$30,$CV24,0.3*$CV24,TRUE))*summary!$C$6/28.8/0.947817)/(SUMPRODUCT((economics!$AG$2:$AG$167=$B53)*(economics!$D$2:$D$167="whr")*economics!$AH$2:$AH$167*(_xlfn.NORM.DIST(AF$3,economics!$AK$2:$AK$167,economics!$AJ$2:$AJ$167,TRUE)-_xlfn.NORM.DIST(AF$30,economics!$AK$2:$AK$167,economics!$AJ$2:$AJ$167,TRUE)))+$CR24*(_xlfn.NORM.DIST(AF$3,$CU24,0.3*$CU24,TRUE)-_xlfn.NORM.DIST(AF$30,$CU24,0.3*$CU24,TRUE))+$CS24*(_xlfn.NORM.DIST(AF$3,$CV24,0.3*$CV24,TRUE)-_xlfn.NORM.DIST(AF$30,$CV24,0.3*$CV24,TRUE))),""),IF($C24&gt;0,summary!$C$10/28.8/0.947817,""))</f>
        <v/>
      </c>
      <c r="AG53">
        <f t="array" ref="AG53">IF($D24,IFERROR((SUMPRODUCT((economics!$AG$2:$AG$167=$B53)*(economics!$D$2:$D$167="whr")*economics!$AH$2:$AH$167*(_xlfn.NORM.DIST(AG$3,economics!$AK$2:$AK$167,economics!$AJ$2:$AJ$167,TRUE)-_xlfn.NORM.DIST(AG$30,economics!$AK$2:$AK$167,economics!$AJ$2:$AJ$167,TRUE))*economics!$AM$2:$AM$167)+$CR24*(_xlfn.NORM.DIST(AG$3,$CU24,0.3*$CU24,TRUE)-_xlfn.NORM.DIST(AG$30,$CU24,0.3*$CU24,TRUE))*summary!$C$7/28.8/0.947817+$CS24*(_xlfn.NORM.DIST(AG$3,$CV24,0.3*$CV24,TRUE)-_xlfn.NORM.DIST(AG$30,$CV24,0.3*$CV24,TRUE))*summary!$C$6/28.8/0.947817)/(SUMPRODUCT((economics!$AG$2:$AG$167=$B53)*(economics!$D$2:$D$167="whr")*economics!$AH$2:$AH$167*(_xlfn.NORM.DIST(AG$3,economics!$AK$2:$AK$167,economics!$AJ$2:$AJ$167,TRUE)-_xlfn.NORM.DIST(AG$30,economics!$AK$2:$AK$167,economics!$AJ$2:$AJ$167,TRUE)))+$CR24*(_xlfn.NORM.DIST(AG$3,$CU24,0.3*$CU24,TRUE)-_xlfn.NORM.DIST(AG$30,$CU24,0.3*$CU24,TRUE))+$CS24*(_xlfn.NORM.DIST(AG$3,$CV24,0.3*$CV24,TRUE)-_xlfn.NORM.DIST(AG$30,$CV24,0.3*$CV24,TRUE))),""),IF($C24&gt;0,summary!$C$10/28.8/0.947817,""))</f>
        <v/>
      </c>
      <c r="AH53">
        <f t="array" ref="AH53">IF($D24,IFERROR((SUMPRODUCT((economics!$AG$2:$AG$167=$B53)*(economics!$D$2:$D$167="whr")*economics!$AH$2:$AH$167*(_xlfn.NORM.DIST(AH$3,economics!$AK$2:$AK$167,economics!$AJ$2:$AJ$167,TRUE)-_xlfn.NORM.DIST(AH$30,economics!$AK$2:$AK$167,economics!$AJ$2:$AJ$167,TRUE))*economics!$AM$2:$AM$167)+$CR24*(_xlfn.NORM.DIST(AH$3,$CU24,0.3*$CU24,TRUE)-_xlfn.NORM.DIST(AH$30,$CU24,0.3*$CU24,TRUE))*summary!$C$7/28.8/0.947817+$CS24*(_xlfn.NORM.DIST(AH$3,$CV24,0.3*$CV24,TRUE)-_xlfn.NORM.DIST(AH$30,$CV24,0.3*$CV24,TRUE))*summary!$C$6/28.8/0.947817)/(SUMPRODUCT((economics!$AG$2:$AG$167=$B53)*(economics!$D$2:$D$167="whr")*economics!$AH$2:$AH$167*(_xlfn.NORM.DIST(AH$3,economics!$AK$2:$AK$167,economics!$AJ$2:$AJ$167,TRUE)-_xlfn.NORM.DIST(AH$30,economics!$AK$2:$AK$167,economics!$AJ$2:$AJ$167,TRUE)))+$CR24*(_xlfn.NORM.DIST(AH$3,$CU24,0.3*$CU24,TRUE)-_xlfn.NORM.DIST(AH$30,$CU24,0.3*$CU24,TRUE))+$CS24*(_xlfn.NORM.DIST(AH$3,$CV24,0.3*$CV24,TRUE)-_xlfn.NORM.DIST(AH$30,$CV24,0.3*$CV24,TRUE))),""),IF($C24&gt;0,summary!$C$10/28.8/0.947817,""))</f>
        <v/>
      </c>
      <c r="AI53">
        <f t="array" ref="AI53">IF($D24,IFERROR((SUMPRODUCT((economics!$AG$2:$AG$167=$B53)*(economics!$D$2:$D$167="whr")*economics!$AH$2:$AH$167*(_xlfn.NORM.DIST(AI$3,economics!$AK$2:$AK$167,economics!$AJ$2:$AJ$167,TRUE)-_xlfn.NORM.DIST(AI$30,economics!$AK$2:$AK$167,economics!$AJ$2:$AJ$167,TRUE))*economics!$AM$2:$AM$167)+$CR24*(_xlfn.NORM.DIST(AI$3,$CU24,0.3*$CU24,TRUE)-_xlfn.NORM.DIST(AI$30,$CU24,0.3*$CU24,TRUE))*summary!$C$7/28.8/0.947817+$CS24*(_xlfn.NORM.DIST(AI$3,$CV24,0.3*$CV24,TRUE)-_xlfn.NORM.DIST(AI$30,$CV24,0.3*$CV24,TRUE))*summary!$C$6/28.8/0.947817)/(SUMPRODUCT((economics!$AG$2:$AG$167=$B53)*(economics!$D$2:$D$167="whr")*economics!$AH$2:$AH$167*(_xlfn.NORM.DIST(AI$3,economics!$AK$2:$AK$167,economics!$AJ$2:$AJ$167,TRUE)-_xlfn.NORM.DIST(AI$30,economics!$AK$2:$AK$167,economics!$AJ$2:$AJ$167,TRUE)))+$CR24*(_xlfn.NORM.DIST(AI$3,$CU24,0.3*$CU24,TRUE)-_xlfn.NORM.DIST(AI$30,$CU24,0.3*$CU24,TRUE))+$CS24*(_xlfn.NORM.DIST(AI$3,$CV24,0.3*$CV24,TRUE)-_xlfn.NORM.DIST(AI$30,$CV24,0.3*$CV24,TRUE))),""),IF($C24&gt;0,summary!$C$10/28.8/0.947817,""))</f>
        <v/>
      </c>
      <c r="AJ53">
        <f t="array" ref="AJ53">IF($D24,IFERROR((SUMPRODUCT((economics!$AG$2:$AG$167=$B53)*(economics!$D$2:$D$167="whr")*economics!$AH$2:$AH$167*(_xlfn.NORM.DIST(AJ$3,economics!$AK$2:$AK$167,economics!$AJ$2:$AJ$167,TRUE)-_xlfn.NORM.DIST(AJ$30,economics!$AK$2:$AK$167,economics!$AJ$2:$AJ$167,TRUE))*economics!$AM$2:$AM$167)+$CR24*(_xlfn.NORM.DIST(AJ$3,$CU24,0.3*$CU24,TRUE)-_xlfn.NORM.DIST(AJ$30,$CU24,0.3*$CU24,TRUE))*summary!$C$7/28.8/0.947817+$CS24*(_xlfn.NORM.DIST(AJ$3,$CV24,0.3*$CV24,TRUE)-_xlfn.NORM.DIST(AJ$30,$CV24,0.3*$CV24,TRUE))*summary!$C$6/28.8/0.947817)/(SUMPRODUCT((economics!$AG$2:$AG$167=$B53)*(economics!$D$2:$D$167="whr")*economics!$AH$2:$AH$167*(_xlfn.NORM.DIST(AJ$3,economics!$AK$2:$AK$167,economics!$AJ$2:$AJ$167,TRUE)-_xlfn.NORM.DIST(AJ$30,economics!$AK$2:$AK$167,economics!$AJ$2:$AJ$167,TRUE)))+$CR24*(_xlfn.NORM.DIST(AJ$3,$CU24,0.3*$CU24,TRUE)-_xlfn.NORM.DIST(AJ$30,$CU24,0.3*$CU24,TRUE))+$CS24*(_xlfn.NORM.DIST(AJ$3,$CV24,0.3*$CV24,TRUE)-_xlfn.NORM.DIST(AJ$30,$CV24,0.3*$CV24,TRUE))),""),IF($C24&gt;0,summary!$C$10/28.8/0.947817,""))</f>
        <v/>
      </c>
      <c r="AK53">
        <f t="array" ref="AK53">IF($D24,IFERROR((SUMPRODUCT((economics!$AG$2:$AG$167=$B53)*(economics!$D$2:$D$167="whr")*economics!$AH$2:$AH$167*(_xlfn.NORM.DIST(AK$3,economics!$AK$2:$AK$167,economics!$AJ$2:$AJ$167,TRUE)-_xlfn.NORM.DIST(AK$30,economics!$AK$2:$AK$167,economics!$AJ$2:$AJ$167,TRUE))*economics!$AM$2:$AM$167)+$CR24*(_xlfn.NORM.DIST(AK$3,$CU24,0.3*$CU24,TRUE)-_xlfn.NORM.DIST(AK$30,$CU24,0.3*$CU24,TRUE))*summary!$C$7/28.8/0.947817+$CS24*(_xlfn.NORM.DIST(AK$3,$CV24,0.3*$CV24,TRUE)-_xlfn.NORM.DIST(AK$30,$CV24,0.3*$CV24,TRUE))*summary!$C$6/28.8/0.947817)/(SUMPRODUCT((economics!$AG$2:$AG$167=$B53)*(economics!$D$2:$D$167="whr")*economics!$AH$2:$AH$167*(_xlfn.NORM.DIST(AK$3,economics!$AK$2:$AK$167,economics!$AJ$2:$AJ$167,TRUE)-_xlfn.NORM.DIST(AK$30,economics!$AK$2:$AK$167,economics!$AJ$2:$AJ$167,TRUE)))+$CR24*(_xlfn.NORM.DIST(AK$3,$CU24,0.3*$CU24,TRUE)-_xlfn.NORM.DIST(AK$30,$CU24,0.3*$CU24,TRUE))+$CS24*(_xlfn.NORM.DIST(AK$3,$CV24,0.3*$CV24,TRUE)-_xlfn.NORM.DIST(AK$30,$CV24,0.3*$CV24,TRUE))),""),IF($C24&gt;0,summary!$C$10/28.8/0.947817,""))</f>
        <v/>
      </c>
      <c r="AL53">
        <f t="array" ref="AL53">IF($D24,IFERROR((SUMPRODUCT((economics!$AG$2:$AG$167=$B53)*(economics!$D$2:$D$167="whr")*economics!$AH$2:$AH$167*(_xlfn.NORM.DIST(AL$3,economics!$AK$2:$AK$167,economics!$AJ$2:$AJ$167,TRUE)-_xlfn.NORM.DIST(AL$30,economics!$AK$2:$AK$167,economics!$AJ$2:$AJ$167,TRUE))*economics!$AM$2:$AM$167)+$CR24*(_xlfn.NORM.DIST(AL$3,$CU24,0.3*$CU24,TRUE)-_xlfn.NORM.DIST(AL$30,$CU24,0.3*$CU24,TRUE))*summary!$C$7/28.8/0.947817+$CS24*(_xlfn.NORM.DIST(AL$3,$CV24,0.3*$CV24,TRUE)-_xlfn.NORM.DIST(AL$30,$CV24,0.3*$CV24,TRUE))*summary!$C$6/28.8/0.947817)/(SUMPRODUCT((economics!$AG$2:$AG$167=$B53)*(economics!$D$2:$D$167="whr")*economics!$AH$2:$AH$167*(_xlfn.NORM.DIST(AL$3,economics!$AK$2:$AK$167,economics!$AJ$2:$AJ$167,TRUE)-_xlfn.NORM.DIST(AL$30,economics!$AK$2:$AK$167,economics!$AJ$2:$AJ$167,TRUE)))+$CR24*(_xlfn.NORM.DIST(AL$3,$CU24,0.3*$CU24,TRUE)-_xlfn.NORM.DIST(AL$30,$CU24,0.3*$CU24,TRUE))+$CS24*(_xlfn.NORM.DIST(AL$3,$CV24,0.3*$CV24,TRUE)-_xlfn.NORM.DIST(AL$30,$CV24,0.3*$CV24,TRUE))),""),IF($C24&gt;0,summary!$C$10/28.8/0.947817,""))</f>
        <v/>
      </c>
      <c r="AM53">
        <f t="array" ref="AM53">IF($D24,IFERROR((SUMPRODUCT((economics!$AG$2:$AG$167=$B53)*(economics!$D$2:$D$167="whr")*economics!$AH$2:$AH$167*(_xlfn.NORM.DIST(AM$3,economics!$AK$2:$AK$167,economics!$AJ$2:$AJ$167,TRUE)-_xlfn.NORM.DIST(AM$30,economics!$AK$2:$AK$167,economics!$AJ$2:$AJ$167,TRUE))*economics!$AM$2:$AM$167)+$CR24*(_xlfn.NORM.DIST(AM$3,$CU24,0.3*$CU24,TRUE)-_xlfn.NORM.DIST(AM$30,$CU24,0.3*$CU24,TRUE))*summary!$C$7/28.8/0.947817+$CS24*(_xlfn.NORM.DIST(AM$3,$CV24,0.3*$CV24,TRUE)-_xlfn.NORM.DIST(AM$30,$CV24,0.3*$CV24,TRUE))*summary!$C$6/28.8/0.947817)/(SUMPRODUCT((economics!$AG$2:$AG$167=$B53)*(economics!$D$2:$D$167="whr")*economics!$AH$2:$AH$167*(_xlfn.NORM.DIST(AM$3,economics!$AK$2:$AK$167,economics!$AJ$2:$AJ$167,TRUE)-_xlfn.NORM.DIST(AM$30,economics!$AK$2:$AK$167,economics!$AJ$2:$AJ$167,TRUE)))+$CR24*(_xlfn.NORM.DIST(AM$3,$CU24,0.3*$CU24,TRUE)-_xlfn.NORM.DIST(AM$30,$CU24,0.3*$CU24,TRUE))+$CS24*(_xlfn.NORM.DIST(AM$3,$CV24,0.3*$CV24,TRUE)-_xlfn.NORM.DIST(AM$30,$CV24,0.3*$CV24,TRUE))),""),IF($C24&gt;0,summary!$C$10/28.8/0.947817,""))</f>
        <v/>
      </c>
      <c r="AN53">
        <f t="array" ref="AN53">IF($D24,IFERROR((SUMPRODUCT((economics!$AG$2:$AG$167=$B53)*(economics!$D$2:$D$167="whr")*economics!$AH$2:$AH$167*(_xlfn.NORM.DIST(AN$3,economics!$AK$2:$AK$167,economics!$AJ$2:$AJ$167,TRUE)-_xlfn.NORM.DIST(AN$30,economics!$AK$2:$AK$167,economics!$AJ$2:$AJ$167,TRUE))*economics!$AM$2:$AM$167)+$CR24*(_xlfn.NORM.DIST(AN$3,$CU24,0.3*$CU24,TRUE)-_xlfn.NORM.DIST(AN$30,$CU24,0.3*$CU24,TRUE))*summary!$C$7/28.8/0.947817+$CS24*(_xlfn.NORM.DIST(AN$3,$CV24,0.3*$CV24,TRUE)-_xlfn.NORM.DIST(AN$30,$CV24,0.3*$CV24,TRUE))*summary!$C$6/28.8/0.947817)/(SUMPRODUCT((economics!$AG$2:$AG$167=$B53)*(economics!$D$2:$D$167="whr")*economics!$AH$2:$AH$167*(_xlfn.NORM.DIST(AN$3,economics!$AK$2:$AK$167,economics!$AJ$2:$AJ$167,TRUE)-_xlfn.NORM.DIST(AN$30,economics!$AK$2:$AK$167,economics!$AJ$2:$AJ$167,TRUE)))+$CR24*(_xlfn.NORM.DIST(AN$3,$CU24,0.3*$CU24,TRUE)-_xlfn.NORM.DIST(AN$30,$CU24,0.3*$CU24,TRUE))+$CS24*(_xlfn.NORM.DIST(AN$3,$CV24,0.3*$CV24,TRUE)-_xlfn.NORM.DIST(AN$30,$CV24,0.3*$CV24,TRUE))),""),IF($C24&gt;0,summary!$C$10/28.8/0.947817,""))</f>
        <v/>
      </c>
      <c r="AO53">
        <f t="array" ref="AO53">IF($D24,IFERROR((SUMPRODUCT((economics!$AG$2:$AG$167=$B53)*(economics!$D$2:$D$167="whr")*economics!$AH$2:$AH$167*(_xlfn.NORM.DIST(AO$3,economics!$AK$2:$AK$167,economics!$AJ$2:$AJ$167,TRUE)-_xlfn.NORM.DIST(AO$30,economics!$AK$2:$AK$167,economics!$AJ$2:$AJ$167,TRUE))*economics!$AM$2:$AM$167)+$CR24*(_xlfn.NORM.DIST(AO$3,$CU24,0.3*$CU24,TRUE)-_xlfn.NORM.DIST(AO$30,$CU24,0.3*$CU24,TRUE))*summary!$C$7/28.8/0.947817+$CS24*(_xlfn.NORM.DIST(AO$3,$CV24,0.3*$CV24,TRUE)-_xlfn.NORM.DIST(AO$30,$CV24,0.3*$CV24,TRUE))*summary!$C$6/28.8/0.947817)/(SUMPRODUCT((economics!$AG$2:$AG$167=$B53)*(economics!$D$2:$D$167="whr")*economics!$AH$2:$AH$167*(_xlfn.NORM.DIST(AO$3,economics!$AK$2:$AK$167,economics!$AJ$2:$AJ$167,TRUE)-_xlfn.NORM.DIST(AO$30,economics!$AK$2:$AK$167,economics!$AJ$2:$AJ$167,TRUE)))+$CR24*(_xlfn.NORM.DIST(AO$3,$CU24,0.3*$CU24,TRUE)-_xlfn.NORM.DIST(AO$30,$CU24,0.3*$CU24,TRUE))+$CS24*(_xlfn.NORM.DIST(AO$3,$CV24,0.3*$CV24,TRUE)-_xlfn.NORM.DIST(AO$30,$CV24,0.3*$CV24,TRUE))),""),IF($C24&gt;0,summary!$C$10/28.8/0.947817,""))</f>
        <v/>
      </c>
      <c r="AP53">
        <f t="array" ref="AP53">IF($D24,IFERROR((SUMPRODUCT((economics!$AG$2:$AG$167=$B53)*(economics!$D$2:$D$167="whr")*economics!$AH$2:$AH$167*(_xlfn.NORM.DIST(AP$3,economics!$AK$2:$AK$167,economics!$AJ$2:$AJ$167,TRUE)-_xlfn.NORM.DIST(AP$30,economics!$AK$2:$AK$167,economics!$AJ$2:$AJ$167,TRUE))*economics!$AM$2:$AM$167)+$CR24*(_xlfn.NORM.DIST(AP$3,$CU24,0.3*$CU24,TRUE)-_xlfn.NORM.DIST(AP$30,$CU24,0.3*$CU24,TRUE))*summary!$C$7/28.8/0.947817+$CS24*(_xlfn.NORM.DIST(AP$3,$CV24,0.3*$CV24,TRUE)-_xlfn.NORM.DIST(AP$30,$CV24,0.3*$CV24,TRUE))*summary!$C$6/28.8/0.947817)/(SUMPRODUCT((economics!$AG$2:$AG$167=$B53)*(economics!$D$2:$D$167="whr")*economics!$AH$2:$AH$167*(_xlfn.NORM.DIST(AP$3,economics!$AK$2:$AK$167,economics!$AJ$2:$AJ$167,TRUE)-_xlfn.NORM.DIST(AP$30,economics!$AK$2:$AK$167,economics!$AJ$2:$AJ$167,TRUE)))+$CR24*(_xlfn.NORM.DIST(AP$3,$CU24,0.3*$CU24,TRUE)-_xlfn.NORM.DIST(AP$30,$CU24,0.3*$CU24,TRUE))+$CS24*(_xlfn.NORM.DIST(AP$3,$CV24,0.3*$CV24,TRUE)-_xlfn.NORM.DIST(AP$30,$CV24,0.3*$CV24,TRUE))),""),IF($C24&gt;0,summary!$C$10/28.8/0.947817,""))</f>
        <v/>
      </c>
      <c r="AQ53">
        <f t="array" ref="AQ53">IF($D24,IFERROR((SUMPRODUCT((economics!$AG$2:$AG$167=$B53)*(economics!$D$2:$D$167="whr")*economics!$AH$2:$AH$167*(_xlfn.NORM.DIST(AQ$3,economics!$AK$2:$AK$167,economics!$AJ$2:$AJ$167,TRUE)-_xlfn.NORM.DIST(AQ$30,economics!$AK$2:$AK$167,economics!$AJ$2:$AJ$167,TRUE))*economics!$AM$2:$AM$167)+$CR24*(_xlfn.NORM.DIST(AQ$3,$CU24,0.3*$CU24,TRUE)-_xlfn.NORM.DIST(AQ$30,$CU24,0.3*$CU24,TRUE))*summary!$C$7/28.8/0.947817+$CS24*(_xlfn.NORM.DIST(AQ$3,$CV24,0.3*$CV24,TRUE)-_xlfn.NORM.DIST(AQ$30,$CV24,0.3*$CV24,TRUE))*summary!$C$6/28.8/0.947817)/(SUMPRODUCT((economics!$AG$2:$AG$167=$B53)*(economics!$D$2:$D$167="whr")*economics!$AH$2:$AH$167*(_xlfn.NORM.DIST(AQ$3,economics!$AK$2:$AK$167,economics!$AJ$2:$AJ$167,TRUE)-_xlfn.NORM.DIST(AQ$30,economics!$AK$2:$AK$167,economics!$AJ$2:$AJ$167,TRUE)))+$CR24*(_xlfn.NORM.DIST(AQ$3,$CU24,0.3*$CU24,TRUE)-_xlfn.NORM.DIST(AQ$30,$CU24,0.3*$CU24,TRUE))+$CS24*(_xlfn.NORM.DIST(AQ$3,$CV24,0.3*$CV24,TRUE)-_xlfn.NORM.DIST(AQ$30,$CV24,0.3*$CV24,TRUE))),""),IF($C24&gt;0,summary!$C$10/28.8/0.947817,""))</f>
        <v/>
      </c>
      <c r="AR53">
        <f t="array" ref="AR53">IF($D24,IFERROR((SUMPRODUCT((economics!$AG$2:$AG$167=$B53)*(economics!$D$2:$D$167="whr")*economics!$AH$2:$AH$167*(_xlfn.NORM.DIST(AR$3,economics!$AK$2:$AK$167,economics!$AJ$2:$AJ$167,TRUE)-_xlfn.NORM.DIST(AR$30,economics!$AK$2:$AK$167,economics!$AJ$2:$AJ$167,TRUE))*economics!$AM$2:$AM$167)+$CR24*(_xlfn.NORM.DIST(AR$3,$CU24,0.3*$CU24,TRUE)-_xlfn.NORM.DIST(AR$30,$CU24,0.3*$CU24,TRUE))*summary!$C$7/28.8/0.947817+$CS24*(_xlfn.NORM.DIST(AR$3,$CV24,0.3*$CV24,TRUE)-_xlfn.NORM.DIST(AR$30,$CV24,0.3*$CV24,TRUE))*summary!$C$6/28.8/0.947817)/(SUMPRODUCT((economics!$AG$2:$AG$167=$B53)*(economics!$D$2:$D$167="whr")*economics!$AH$2:$AH$167*(_xlfn.NORM.DIST(AR$3,economics!$AK$2:$AK$167,economics!$AJ$2:$AJ$167,TRUE)-_xlfn.NORM.DIST(AR$30,economics!$AK$2:$AK$167,economics!$AJ$2:$AJ$167,TRUE)))+$CR24*(_xlfn.NORM.DIST(AR$3,$CU24,0.3*$CU24,TRUE)-_xlfn.NORM.DIST(AR$30,$CU24,0.3*$CU24,TRUE))+$CS24*(_xlfn.NORM.DIST(AR$3,$CV24,0.3*$CV24,TRUE)-_xlfn.NORM.DIST(AR$30,$CV24,0.3*$CV24,TRUE))),""),IF($C24&gt;0,summary!$C$10/28.8/0.947817,""))</f>
        <v/>
      </c>
      <c r="AS53">
        <f t="array" ref="AS53">IF($D24,IFERROR((SUMPRODUCT((economics!$AG$2:$AG$167=$B53)*(economics!$D$2:$D$167="whr")*economics!$AH$2:$AH$167*(_xlfn.NORM.DIST(AS$3,economics!$AK$2:$AK$167,economics!$AJ$2:$AJ$167,TRUE)-_xlfn.NORM.DIST(AS$30,economics!$AK$2:$AK$167,economics!$AJ$2:$AJ$167,TRUE))*economics!$AM$2:$AM$167)+$CR24*(_xlfn.NORM.DIST(AS$3,$CU24,0.3*$CU24,TRUE)-_xlfn.NORM.DIST(AS$30,$CU24,0.3*$CU24,TRUE))*summary!$C$7/28.8/0.947817+$CS24*(_xlfn.NORM.DIST(AS$3,$CV24,0.3*$CV24,TRUE)-_xlfn.NORM.DIST(AS$30,$CV24,0.3*$CV24,TRUE))*summary!$C$6/28.8/0.947817)/(SUMPRODUCT((economics!$AG$2:$AG$167=$B53)*(economics!$D$2:$D$167="whr")*economics!$AH$2:$AH$167*(_xlfn.NORM.DIST(AS$3,economics!$AK$2:$AK$167,economics!$AJ$2:$AJ$167,TRUE)-_xlfn.NORM.DIST(AS$30,economics!$AK$2:$AK$167,economics!$AJ$2:$AJ$167,TRUE)))+$CR24*(_xlfn.NORM.DIST(AS$3,$CU24,0.3*$CU24,TRUE)-_xlfn.NORM.DIST(AS$30,$CU24,0.3*$CU24,TRUE))+$CS24*(_xlfn.NORM.DIST(AS$3,$CV24,0.3*$CV24,TRUE)-_xlfn.NORM.DIST(AS$30,$CV24,0.3*$CV24,TRUE))),""),IF($C24&gt;0,summary!$C$10/28.8/0.947817,""))</f>
        <v/>
      </c>
      <c r="AT53">
        <f t="array" ref="AT53">IF($D24,IFERROR((SUMPRODUCT((economics!$AG$2:$AG$167=$B53)*(economics!$D$2:$D$167="whr")*economics!$AH$2:$AH$167*(_xlfn.NORM.DIST(AT$3,economics!$AK$2:$AK$167,economics!$AJ$2:$AJ$167,TRUE)-_xlfn.NORM.DIST(AT$30,economics!$AK$2:$AK$167,economics!$AJ$2:$AJ$167,TRUE))*economics!$AM$2:$AM$167)+$CR24*(_xlfn.NORM.DIST(AT$3,$CU24,0.3*$CU24,TRUE)-_xlfn.NORM.DIST(AT$30,$CU24,0.3*$CU24,TRUE))*summary!$C$7/28.8/0.947817+$CS24*(_xlfn.NORM.DIST(AT$3,$CV24,0.3*$CV24,TRUE)-_xlfn.NORM.DIST(AT$30,$CV24,0.3*$CV24,TRUE))*summary!$C$6/28.8/0.947817)/(SUMPRODUCT((economics!$AG$2:$AG$167=$B53)*(economics!$D$2:$D$167="whr")*economics!$AH$2:$AH$167*(_xlfn.NORM.DIST(AT$3,economics!$AK$2:$AK$167,economics!$AJ$2:$AJ$167,TRUE)-_xlfn.NORM.DIST(AT$30,economics!$AK$2:$AK$167,economics!$AJ$2:$AJ$167,TRUE)))+$CR24*(_xlfn.NORM.DIST(AT$3,$CU24,0.3*$CU24,TRUE)-_xlfn.NORM.DIST(AT$30,$CU24,0.3*$CU24,TRUE))+$CS24*(_xlfn.NORM.DIST(AT$3,$CV24,0.3*$CV24,TRUE)-_xlfn.NORM.DIST(AT$30,$CV24,0.3*$CV24,TRUE))),""),IF($C24&gt;0,summary!$C$10/28.8/0.947817,""))</f>
        <v/>
      </c>
      <c r="AU53">
        <f t="array" ref="AU53">IF($D24,IFERROR((SUMPRODUCT((economics!$AG$2:$AG$167=$B53)*(economics!$D$2:$D$167="whr")*economics!$AH$2:$AH$167*(_xlfn.NORM.DIST(AU$3,economics!$AK$2:$AK$167,economics!$AJ$2:$AJ$167,TRUE)-_xlfn.NORM.DIST(AU$30,economics!$AK$2:$AK$167,economics!$AJ$2:$AJ$167,TRUE))*economics!$AM$2:$AM$167)+$CR24*(_xlfn.NORM.DIST(AU$3,$CU24,0.3*$CU24,TRUE)-_xlfn.NORM.DIST(AU$30,$CU24,0.3*$CU24,TRUE))*summary!$C$7/28.8/0.947817+$CS24*(_xlfn.NORM.DIST(AU$3,$CV24,0.3*$CV24,TRUE)-_xlfn.NORM.DIST(AU$30,$CV24,0.3*$CV24,TRUE))*summary!$C$6/28.8/0.947817)/(SUMPRODUCT((economics!$AG$2:$AG$167=$B53)*(economics!$D$2:$D$167="whr")*economics!$AH$2:$AH$167*(_xlfn.NORM.DIST(AU$3,economics!$AK$2:$AK$167,economics!$AJ$2:$AJ$167,TRUE)-_xlfn.NORM.DIST(AU$30,economics!$AK$2:$AK$167,economics!$AJ$2:$AJ$167,TRUE)))+$CR24*(_xlfn.NORM.DIST(AU$3,$CU24,0.3*$CU24,TRUE)-_xlfn.NORM.DIST(AU$30,$CU24,0.3*$CU24,TRUE))+$CS24*(_xlfn.NORM.DIST(AU$3,$CV24,0.3*$CV24,TRUE)-_xlfn.NORM.DIST(AU$30,$CV24,0.3*$CV24,TRUE))),""),IF($C24&gt;0,summary!$C$10/28.8/0.947817,""))</f>
        <v/>
      </c>
      <c r="AV53">
        <f t="array" ref="AV53">IF($D24,IFERROR((SUMPRODUCT((economics!$AG$2:$AG$167=$B53)*(economics!$D$2:$D$167="whr")*economics!$AH$2:$AH$167*(_xlfn.NORM.DIST(AV$3,economics!$AK$2:$AK$167,economics!$AJ$2:$AJ$167,TRUE)-_xlfn.NORM.DIST(AV$30,economics!$AK$2:$AK$167,economics!$AJ$2:$AJ$167,TRUE))*economics!$AM$2:$AM$167)+$CR24*(_xlfn.NORM.DIST(AV$3,$CU24,0.3*$CU24,TRUE)-_xlfn.NORM.DIST(AV$30,$CU24,0.3*$CU24,TRUE))*summary!$C$7/28.8/0.947817+$CS24*(_xlfn.NORM.DIST(AV$3,$CV24,0.3*$CV24,TRUE)-_xlfn.NORM.DIST(AV$30,$CV24,0.3*$CV24,TRUE))*summary!$C$6/28.8/0.947817)/(SUMPRODUCT((economics!$AG$2:$AG$167=$B53)*(economics!$D$2:$D$167="whr")*economics!$AH$2:$AH$167*(_xlfn.NORM.DIST(AV$3,economics!$AK$2:$AK$167,economics!$AJ$2:$AJ$167,TRUE)-_xlfn.NORM.DIST(AV$30,economics!$AK$2:$AK$167,economics!$AJ$2:$AJ$167,TRUE)))+$CR24*(_xlfn.NORM.DIST(AV$3,$CU24,0.3*$CU24,TRUE)-_xlfn.NORM.DIST(AV$30,$CU24,0.3*$CU24,TRUE))+$CS24*(_xlfn.NORM.DIST(AV$3,$CV24,0.3*$CV24,TRUE)-_xlfn.NORM.DIST(AV$30,$CV24,0.3*$CV24,TRUE))),""),IF($C24&gt;0,summary!$C$10/28.8/0.947817,""))</f>
        <v/>
      </c>
      <c r="AW53">
        <f t="array" ref="AW53">IF($D24,IFERROR((SUMPRODUCT((economics!$AG$2:$AG$167=$B53)*(economics!$D$2:$D$167="whr")*economics!$AH$2:$AH$167*(_xlfn.NORM.DIST(AW$3,economics!$AK$2:$AK$167,economics!$AJ$2:$AJ$167,TRUE)-_xlfn.NORM.DIST(AW$30,economics!$AK$2:$AK$167,economics!$AJ$2:$AJ$167,TRUE))*economics!$AM$2:$AM$167)+$CR24*(_xlfn.NORM.DIST(AW$3,$CU24,0.3*$CU24,TRUE)-_xlfn.NORM.DIST(AW$30,$CU24,0.3*$CU24,TRUE))*summary!$C$7/28.8/0.947817+$CS24*(_xlfn.NORM.DIST(AW$3,$CV24,0.3*$CV24,TRUE)-_xlfn.NORM.DIST(AW$30,$CV24,0.3*$CV24,TRUE))*summary!$C$6/28.8/0.947817)/(SUMPRODUCT((economics!$AG$2:$AG$167=$B53)*(economics!$D$2:$D$167="whr")*economics!$AH$2:$AH$167*(_xlfn.NORM.DIST(AW$3,economics!$AK$2:$AK$167,economics!$AJ$2:$AJ$167,TRUE)-_xlfn.NORM.DIST(AW$30,economics!$AK$2:$AK$167,economics!$AJ$2:$AJ$167,TRUE)))+$CR24*(_xlfn.NORM.DIST(AW$3,$CU24,0.3*$CU24,TRUE)-_xlfn.NORM.DIST(AW$30,$CU24,0.3*$CU24,TRUE))+$CS24*(_xlfn.NORM.DIST(AW$3,$CV24,0.3*$CV24,TRUE)-_xlfn.NORM.DIST(AW$30,$CV24,0.3*$CV24,TRUE))),""),IF($C24&gt;0,summary!$C$10/28.8/0.947817,""))</f>
        <v/>
      </c>
      <c r="AX53">
        <f t="array" ref="AX53">IF($D24,IFERROR((SUMPRODUCT((economics!$AG$2:$AG$167=$B53)*(economics!$D$2:$D$167="whr")*economics!$AH$2:$AH$167*(_xlfn.NORM.DIST(AX$3,economics!$AK$2:$AK$167,economics!$AJ$2:$AJ$167,TRUE)-_xlfn.NORM.DIST(AX$30,economics!$AK$2:$AK$167,economics!$AJ$2:$AJ$167,TRUE))*economics!$AM$2:$AM$167)+$CR24*(_xlfn.NORM.DIST(AX$3,$CU24,0.3*$CU24,TRUE)-_xlfn.NORM.DIST(AX$30,$CU24,0.3*$CU24,TRUE))*summary!$C$7/28.8/0.947817+$CS24*(_xlfn.NORM.DIST(AX$3,$CV24,0.3*$CV24,TRUE)-_xlfn.NORM.DIST(AX$30,$CV24,0.3*$CV24,TRUE))*summary!$C$6/28.8/0.947817)/(SUMPRODUCT((economics!$AG$2:$AG$167=$B53)*(economics!$D$2:$D$167="whr")*economics!$AH$2:$AH$167*(_xlfn.NORM.DIST(AX$3,economics!$AK$2:$AK$167,economics!$AJ$2:$AJ$167,TRUE)-_xlfn.NORM.DIST(AX$30,economics!$AK$2:$AK$167,economics!$AJ$2:$AJ$167,TRUE)))+$CR24*(_xlfn.NORM.DIST(AX$3,$CU24,0.3*$CU24,TRUE)-_xlfn.NORM.DIST(AX$30,$CU24,0.3*$CU24,TRUE))+$CS24*(_xlfn.NORM.DIST(AX$3,$CV24,0.3*$CV24,TRUE)-_xlfn.NORM.DIST(AX$30,$CV24,0.3*$CV24,TRUE))),""),IF($C24&gt;0,summary!$C$10/28.8/0.947817,""))</f>
        <v/>
      </c>
      <c r="AY53">
        <f t="array" ref="AY53">IF($D24,IFERROR((SUMPRODUCT((economics!$AG$2:$AG$167=$B53)*(economics!$D$2:$D$167="whr")*economics!$AH$2:$AH$167*(_xlfn.NORM.DIST(AY$3,economics!$AK$2:$AK$167,economics!$AJ$2:$AJ$167,TRUE)-_xlfn.NORM.DIST(AY$30,economics!$AK$2:$AK$167,economics!$AJ$2:$AJ$167,TRUE))*economics!$AM$2:$AM$167)+$CR24*(_xlfn.NORM.DIST(AY$3,$CU24,0.3*$CU24,TRUE)-_xlfn.NORM.DIST(AY$30,$CU24,0.3*$CU24,TRUE))*summary!$C$7/28.8/0.947817+$CS24*(_xlfn.NORM.DIST(AY$3,$CV24,0.3*$CV24,TRUE)-_xlfn.NORM.DIST(AY$30,$CV24,0.3*$CV24,TRUE))*summary!$C$6/28.8/0.947817)/(SUMPRODUCT((economics!$AG$2:$AG$167=$B53)*(economics!$D$2:$D$167="whr")*economics!$AH$2:$AH$167*(_xlfn.NORM.DIST(AY$3,economics!$AK$2:$AK$167,economics!$AJ$2:$AJ$167,TRUE)-_xlfn.NORM.DIST(AY$30,economics!$AK$2:$AK$167,economics!$AJ$2:$AJ$167,TRUE)))+$CR24*(_xlfn.NORM.DIST(AY$3,$CU24,0.3*$CU24,TRUE)-_xlfn.NORM.DIST(AY$30,$CU24,0.3*$CU24,TRUE))+$CS24*(_xlfn.NORM.DIST(AY$3,$CV24,0.3*$CV24,TRUE)-_xlfn.NORM.DIST(AY$30,$CV24,0.3*$CV24,TRUE))),""),IF($C24&gt;0,summary!$C$10/28.8/0.947817,""))</f>
        <v/>
      </c>
      <c r="AZ53">
        <f t="array" ref="AZ53">IF($D24,IFERROR((SUMPRODUCT((economics!$AG$2:$AG$167=$B53)*(economics!$D$2:$D$167="whr")*economics!$AH$2:$AH$167*(_xlfn.NORM.DIST(AZ$3,economics!$AK$2:$AK$167,economics!$AJ$2:$AJ$167,TRUE)-_xlfn.NORM.DIST(AZ$30,economics!$AK$2:$AK$167,economics!$AJ$2:$AJ$167,TRUE))*economics!$AM$2:$AM$167)+$CR24*(_xlfn.NORM.DIST(AZ$3,$CU24,0.3*$CU24,TRUE)-_xlfn.NORM.DIST(AZ$30,$CU24,0.3*$CU24,TRUE))*summary!$C$7/28.8/0.947817+$CS24*(_xlfn.NORM.DIST(AZ$3,$CV24,0.3*$CV24,TRUE)-_xlfn.NORM.DIST(AZ$30,$CV24,0.3*$CV24,TRUE))*summary!$C$6/28.8/0.947817)/(SUMPRODUCT((economics!$AG$2:$AG$167=$B53)*(economics!$D$2:$D$167="whr")*economics!$AH$2:$AH$167*(_xlfn.NORM.DIST(AZ$3,economics!$AK$2:$AK$167,economics!$AJ$2:$AJ$167,TRUE)-_xlfn.NORM.DIST(AZ$30,economics!$AK$2:$AK$167,economics!$AJ$2:$AJ$167,TRUE)))+$CR24*(_xlfn.NORM.DIST(AZ$3,$CU24,0.3*$CU24,TRUE)-_xlfn.NORM.DIST(AZ$30,$CU24,0.3*$CU24,TRUE))+$CS24*(_xlfn.NORM.DIST(AZ$3,$CV24,0.3*$CV24,TRUE)-_xlfn.NORM.DIST(AZ$30,$CV24,0.3*$CV24,TRUE))),""),IF($C24&gt;0,summary!$C$10/28.8/0.947817,""))</f>
        <v/>
      </c>
      <c r="BA53">
        <f t="array" ref="BA53">IF($D24,IFERROR((SUMPRODUCT((economics!$AG$2:$AG$167=$B53)*(economics!$D$2:$D$167="whr")*economics!$AH$2:$AH$167*(_xlfn.NORM.DIST(BA$3,economics!$AK$2:$AK$167,economics!$AJ$2:$AJ$167,TRUE)-_xlfn.NORM.DIST(BA$30,economics!$AK$2:$AK$167,economics!$AJ$2:$AJ$167,TRUE))*economics!$AM$2:$AM$167)+$CR24*(_xlfn.NORM.DIST(BA$3,$CU24,0.3*$CU24,TRUE)-_xlfn.NORM.DIST(BA$30,$CU24,0.3*$CU24,TRUE))*summary!$C$7/28.8/0.947817+$CS24*(_xlfn.NORM.DIST(BA$3,$CV24,0.3*$CV24,TRUE)-_xlfn.NORM.DIST(BA$30,$CV24,0.3*$CV24,TRUE))*summary!$C$6/28.8/0.947817)/(SUMPRODUCT((economics!$AG$2:$AG$167=$B53)*(economics!$D$2:$D$167="whr")*economics!$AH$2:$AH$167*(_xlfn.NORM.DIST(BA$3,economics!$AK$2:$AK$167,economics!$AJ$2:$AJ$167,TRUE)-_xlfn.NORM.DIST(BA$30,economics!$AK$2:$AK$167,economics!$AJ$2:$AJ$167,TRUE)))+$CR24*(_xlfn.NORM.DIST(BA$3,$CU24,0.3*$CU24,TRUE)-_xlfn.NORM.DIST(BA$30,$CU24,0.3*$CU24,TRUE))+$CS24*(_xlfn.NORM.DIST(BA$3,$CV24,0.3*$CV24,TRUE)-_xlfn.NORM.DIST(BA$30,$CV24,0.3*$CV24,TRUE))),""),IF($C24&gt;0,summary!$C$10/28.8/0.947817,""))</f>
        <v/>
      </c>
      <c r="BB53">
        <f t="array" ref="BB53">IF($D24,IFERROR((SUMPRODUCT((economics!$AG$2:$AG$167=$B53)*(economics!$D$2:$D$167="whr")*economics!$AH$2:$AH$167*(_xlfn.NORM.DIST(BB$3,economics!$AK$2:$AK$167,economics!$AJ$2:$AJ$167,TRUE)-_xlfn.NORM.DIST(BB$30,economics!$AK$2:$AK$167,economics!$AJ$2:$AJ$167,TRUE))*economics!$AM$2:$AM$167)+$CR24*(_xlfn.NORM.DIST(BB$3,$CU24,0.3*$CU24,TRUE)-_xlfn.NORM.DIST(BB$30,$CU24,0.3*$CU24,TRUE))*summary!$C$7/28.8/0.947817+$CS24*(_xlfn.NORM.DIST(BB$3,$CV24,0.3*$CV24,TRUE)-_xlfn.NORM.DIST(BB$30,$CV24,0.3*$CV24,TRUE))*summary!$C$6/28.8/0.947817)/(SUMPRODUCT((economics!$AG$2:$AG$167=$B53)*(economics!$D$2:$D$167="whr")*economics!$AH$2:$AH$167*(_xlfn.NORM.DIST(BB$3,economics!$AK$2:$AK$167,economics!$AJ$2:$AJ$167,TRUE)-_xlfn.NORM.DIST(BB$30,economics!$AK$2:$AK$167,economics!$AJ$2:$AJ$167,TRUE)))+$CR24*(_xlfn.NORM.DIST(BB$3,$CU24,0.3*$CU24,TRUE)-_xlfn.NORM.DIST(BB$30,$CU24,0.3*$CU24,TRUE))+$CS24*(_xlfn.NORM.DIST(BB$3,$CV24,0.3*$CV24,TRUE)-_xlfn.NORM.DIST(BB$30,$CV24,0.3*$CV24,TRUE))),""),IF($C24&gt;0,summary!$C$10/28.8/0.947817,""))</f>
        <v/>
      </c>
      <c r="BC53">
        <f t="array" ref="BC53">IF($D24,IFERROR((SUMPRODUCT((economics!$AG$2:$AG$167=$B53)*(economics!$D$2:$D$167="whr")*economics!$AH$2:$AH$167*(_xlfn.NORM.DIST(BC$3,economics!$AK$2:$AK$167,economics!$AJ$2:$AJ$167,TRUE)-_xlfn.NORM.DIST(BC$30,economics!$AK$2:$AK$167,economics!$AJ$2:$AJ$167,TRUE))*economics!$AM$2:$AM$167)+$CR24*(_xlfn.NORM.DIST(BC$3,$CU24,0.3*$CU24,TRUE)-_xlfn.NORM.DIST(BC$30,$CU24,0.3*$CU24,TRUE))*summary!$C$7/28.8/0.947817+$CS24*(_xlfn.NORM.DIST(BC$3,$CV24,0.3*$CV24,TRUE)-_xlfn.NORM.DIST(BC$30,$CV24,0.3*$CV24,TRUE))*summary!$C$6/28.8/0.947817)/(SUMPRODUCT((economics!$AG$2:$AG$167=$B53)*(economics!$D$2:$D$167="whr")*economics!$AH$2:$AH$167*(_xlfn.NORM.DIST(BC$3,economics!$AK$2:$AK$167,economics!$AJ$2:$AJ$167,TRUE)-_xlfn.NORM.DIST(BC$30,economics!$AK$2:$AK$167,economics!$AJ$2:$AJ$167,TRUE)))+$CR24*(_xlfn.NORM.DIST(BC$3,$CU24,0.3*$CU24,TRUE)-_xlfn.NORM.DIST(BC$30,$CU24,0.3*$CU24,TRUE))+$CS24*(_xlfn.NORM.DIST(BC$3,$CV24,0.3*$CV24,TRUE)-_xlfn.NORM.DIST(BC$30,$CV24,0.3*$CV24,TRUE))),""),IF($C24&gt;0,summary!$C$10/28.8/0.947817,""))</f>
        <v/>
      </c>
      <c r="BD53">
        <f t="array" ref="BD53">IF($D24,IFERROR((SUMPRODUCT((economics!$AG$2:$AG$167=$B53)*(economics!$D$2:$D$167="whr")*economics!$AH$2:$AH$167*(_xlfn.NORM.DIST(BD$3,economics!$AK$2:$AK$167,economics!$AJ$2:$AJ$167,TRUE)-_xlfn.NORM.DIST(BD$30,economics!$AK$2:$AK$167,economics!$AJ$2:$AJ$167,TRUE))*economics!$AM$2:$AM$167)+$CR24*(_xlfn.NORM.DIST(BD$3,$CU24,0.3*$CU24,TRUE)-_xlfn.NORM.DIST(BD$30,$CU24,0.3*$CU24,TRUE))*summary!$C$7/28.8/0.947817+$CS24*(_xlfn.NORM.DIST(BD$3,$CV24,0.3*$CV24,TRUE)-_xlfn.NORM.DIST(BD$30,$CV24,0.3*$CV24,TRUE))*summary!$C$6/28.8/0.947817)/(SUMPRODUCT((economics!$AG$2:$AG$167=$B53)*(economics!$D$2:$D$167="whr")*economics!$AH$2:$AH$167*(_xlfn.NORM.DIST(BD$3,economics!$AK$2:$AK$167,economics!$AJ$2:$AJ$167,TRUE)-_xlfn.NORM.DIST(BD$30,economics!$AK$2:$AK$167,economics!$AJ$2:$AJ$167,TRUE)))+$CR24*(_xlfn.NORM.DIST(BD$3,$CU24,0.3*$CU24,TRUE)-_xlfn.NORM.DIST(BD$30,$CU24,0.3*$CU24,TRUE))+$CS24*(_xlfn.NORM.DIST(BD$3,$CV24,0.3*$CV24,TRUE)-_xlfn.NORM.DIST(BD$30,$CV24,0.3*$CV24,TRUE))),""),IF($C24&gt;0,summary!$C$10/28.8/0.947817,""))</f>
        <v/>
      </c>
      <c r="BE53">
        <f t="array" ref="BE53">IF($D24,IFERROR((SUMPRODUCT((economics!$AG$2:$AG$167=$B53)*(economics!$D$2:$D$167="whr")*economics!$AH$2:$AH$167*(_xlfn.NORM.DIST(BE$3,economics!$AK$2:$AK$167,economics!$AJ$2:$AJ$167,TRUE)-_xlfn.NORM.DIST(BE$30,economics!$AK$2:$AK$167,economics!$AJ$2:$AJ$167,TRUE))*economics!$AM$2:$AM$167)+$CR24*(_xlfn.NORM.DIST(BE$3,$CU24,0.3*$CU24,TRUE)-_xlfn.NORM.DIST(BE$30,$CU24,0.3*$CU24,TRUE))*summary!$C$7/28.8/0.947817+$CS24*(_xlfn.NORM.DIST(BE$3,$CV24,0.3*$CV24,TRUE)-_xlfn.NORM.DIST(BE$30,$CV24,0.3*$CV24,TRUE))*summary!$C$6/28.8/0.947817)/(SUMPRODUCT((economics!$AG$2:$AG$167=$B53)*(economics!$D$2:$D$167="whr")*economics!$AH$2:$AH$167*(_xlfn.NORM.DIST(BE$3,economics!$AK$2:$AK$167,economics!$AJ$2:$AJ$167,TRUE)-_xlfn.NORM.DIST(BE$30,economics!$AK$2:$AK$167,economics!$AJ$2:$AJ$167,TRUE)))+$CR24*(_xlfn.NORM.DIST(BE$3,$CU24,0.3*$CU24,TRUE)-_xlfn.NORM.DIST(BE$30,$CU24,0.3*$CU24,TRUE))+$CS24*(_xlfn.NORM.DIST(BE$3,$CV24,0.3*$CV24,TRUE)-_xlfn.NORM.DIST(BE$30,$CV24,0.3*$CV24,TRUE))),""),IF($C24&gt;0,summary!$C$10/28.8/0.947817,""))</f>
        <v/>
      </c>
      <c r="BF53">
        <f t="array" ref="BF53">IF($D24,IFERROR((SUMPRODUCT((economics!$AG$2:$AG$167=$B53)*(economics!$D$2:$D$167="whr")*economics!$AH$2:$AH$167*(_xlfn.NORM.DIST(BF$3,economics!$AK$2:$AK$167,economics!$AJ$2:$AJ$167,TRUE)-_xlfn.NORM.DIST(BF$30,economics!$AK$2:$AK$167,economics!$AJ$2:$AJ$167,TRUE))*economics!$AM$2:$AM$167)+$CR24*(_xlfn.NORM.DIST(BF$3,$CU24,0.3*$CU24,TRUE)-_xlfn.NORM.DIST(BF$30,$CU24,0.3*$CU24,TRUE))*summary!$C$7/28.8/0.947817+$CS24*(_xlfn.NORM.DIST(BF$3,$CV24,0.3*$CV24,TRUE)-_xlfn.NORM.DIST(BF$30,$CV24,0.3*$CV24,TRUE))*summary!$C$6/28.8/0.947817)/(SUMPRODUCT((economics!$AG$2:$AG$167=$B53)*(economics!$D$2:$D$167="whr")*economics!$AH$2:$AH$167*(_xlfn.NORM.DIST(BF$3,economics!$AK$2:$AK$167,economics!$AJ$2:$AJ$167,TRUE)-_xlfn.NORM.DIST(BF$30,economics!$AK$2:$AK$167,economics!$AJ$2:$AJ$167,TRUE)))+$CR24*(_xlfn.NORM.DIST(BF$3,$CU24,0.3*$CU24,TRUE)-_xlfn.NORM.DIST(BF$30,$CU24,0.3*$CU24,TRUE))+$CS24*(_xlfn.NORM.DIST(BF$3,$CV24,0.3*$CV24,TRUE)-_xlfn.NORM.DIST(BF$30,$CV24,0.3*$CV24,TRUE))),""),IF($C24&gt;0,summary!$C$10/28.8/0.947817,""))</f>
        <v/>
      </c>
      <c r="BG53">
        <f t="array" ref="BG53">IF($D24,IFERROR((SUMPRODUCT((economics!$AG$2:$AG$167=$B53)*(economics!$D$2:$D$167="whr")*economics!$AH$2:$AH$167*(_xlfn.NORM.DIST(BG$3,economics!$AK$2:$AK$167,economics!$AJ$2:$AJ$167,TRUE)-_xlfn.NORM.DIST(BG$30,economics!$AK$2:$AK$167,economics!$AJ$2:$AJ$167,TRUE))*economics!$AM$2:$AM$167)+$CR24*(_xlfn.NORM.DIST(BG$3,$CU24,0.3*$CU24,TRUE)-_xlfn.NORM.DIST(BG$30,$CU24,0.3*$CU24,TRUE))*summary!$C$7/28.8/0.947817+$CS24*(_xlfn.NORM.DIST(BG$3,$CV24,0.3*$CV24,TRUE)-_xlfn.NORM.DIST(BG$30,$CV24,0.3*$CV24,TRUE))*summary!$C$6/28.8/0.947817)/(SUMPRODUCT((economics!$AG$2:$AG$167=$B53)*(economics!$D$2:$D$167="whr")*economics!$AH$2:$AH$167*(_xlfn.NORM.DIST(BG$3,economics!$AK$2:$AK$167,economics!$AJ$2:$AJ$167,TRUE)-_xlfn.NORM.DIST(BG$30,economics!$AK$2:$AK$167,economics!$AJ$2:$AJ$167,TRUE)))+$CR24*(_xlfn.NORM.DIST(BG$3,$CU24,0.3*$CU24,TRUE)-_xlfn.NORM.DIST(BG$30,$CU24,0.3*$CU24,TRUE))+$CS24*(_xlfn.NORM.DIST(BG$3,$CV24,0.3*$CV24,TRUE)-_xlfn.NORM.DIST(BG$30,$CV24,0.3*$CV24,TRUE))),""),IF($C24&gt;0,summary!$C$10/28.8/0.947817,""))</f>
        <v/>
      </c>
      <c r="BH53">
        <f t="array" ref="BH53">IF($D24,IFERROR((SUMPRODUCT((economics!$AG$2:$AG$167=$B53)*(economics!$D$2:$D$167="whr")*economics!$AH$2:$AH$167*(_xlfn.NORM.DIST(BH$3,economics!$AK$2:$AK$167,economics!$AJ$2:$AJ$167,TRUE)-_xlfn.NORM.DIST(BH$30,economics!$AK$2:$AK$167,economics!$AJ$2:$AJ$167,TRUE))*economics!$AM$2:$AM$167)+$CR24*(_xlfn.NORM.DIST(BH$3,$CU24,0.3*$CU24,TRUE)-_xlfn.NORM.DIST(BH$30,$CU24,0.3*$CU24,TRUE))*summary!$C$7/28.8/0.947817+$CS24*(_xlfn.NORM.DIST(BH$3,$CV24,0.3*$CV24,TRUE)-_xlfn.NORM.DIST(BH$30,$CV24,0.3*$CV24,TRUE))*summary!$C$6/28.8/0.947817)/(SUMPRODUCT((economics!$AG$2:$AG$167=$B53)*(economics!$D$2:$D$167="whr")*economics!$AH$2:$AH$167*(_xlfn.NORM.DIST(BH$3,economics!$AK$2:$AK$167,economics!$AJ$2:$AJ$167,TRUE)-_xlfn.NORM.DIST(BH$30,economics!$AK$2:$AK$167,economics!$AJ$2:$AJ$167,TRUE)))+$CR24*(_xlfn.NORM.DIST(BH$3,$CU24,0.3*$CU24,TRUE)-_xlfn.NORM.DIST(BH$30,$CU24,0.3*$CU24,TRUE))+$CS24*(_xlfn.NORM.DIST(BH$3,$CV24,0.3*$CV24,TRUE)-_xlfn.NORM.DIST(BH$30,$CV24,0.3*$CV24,TRUE))),""),IF($C24&gt;0,summary!$C$10/28.8/0.947817,""))</f>
        <v/>
      </c>
      <c r="BI53">
        <f t="array" ref="BI53">IF($D24,IFERROR((SUMPRODUCT((economics!$AG$2:$AG$167=$B53)*(economics!$D$2:$D$167="whr")*economics!$AH$2:$AH$167*(_xlfn.NORM.DIST(BI$3,economics!$AK$2:$AK$167,economics!$AJ$2:$AJ$167,TRUE)-_xlfn.NORM.DIST(BI$30,economics!$AK$2:$AK$167,economics!$AJ$2:$AJ$167,TRUE))*economics!$AM$2:$AM$167)+$CR24*(_xlfn.NORM.DIST(BI$3,$CU24,0.3*$CU24,TRUE)-_xlfn.NORM.DIST(BI$30,$CU24,0.3*$CU24,TRUE))*summary!$C$7/28.8/0.947817+$CS24*(_xlfn.NORM.DIST(BI$3,$CV24,0.3*$CV24,TRUE)-_xlfn.NORM.DIST(BI$30,$CV24,0.3*$CV24,TRUE))*summary!$C$6/28.8/0.947817)/(SUMPRODUCT((economics!$AG$2:$AG$167=$B53)*(economics!$D$2:$D$167="whr")*economics!$AH$2:$AH$167*(_xlfn.NORM.DIST(BI$3,economics!$AK$2:$AK$167,economics!$AJ$2:$AJ$167,TRUE)-_xlfn.NORM.DIST(BI$30,economics!$AK$2:$AK$167,economics!$AJ$2:$AJ$167,TRUE)))+$CR24*(_xlfn.NORM.DIST(BI$3,$CU24,0.3*$CU24,TRUE)-_xlfn.NORM.DIST(BI$30,$CU24,0.3*$CU24,TRUE))+$CS24*(_xlfn.NORM.DIST(BI$3,$CV24,0.3*$CV24,TRUE)-_xlfn.NORM.DIST(BI$30,$CV24,0.3*$CV24,TRUE))),""),IF($C24&gt;0,summary!$C$10/28.8/0.947817,""))</f>
        <v/>
      </c>
      <c r="BJ53">
        <f t="array" ref="BJ53">IF($D24,IFERROR((SUMPRODUCT((economics!$AG$2:$AG$167=$B53)*(economics!$D$2:$D$167="whr")*economics!$AH$2:$AH$167*(_xlfn.NORM.DIST(BJ$3,economics!$AK$2:$AK$167,economics!$AJ$2:$AJ$167,TRUE)-_xlfn.NORM.DIST(BJ$30,economics!$AK$2:$AK$167,economics!$AJ$2:$AJ$167,TRUE))*economics!$AM$2:$AM$167)+$CR24*(_xlfn.NORM.DIST(BJ$3,$CU24,0.3*$CU24,TRUE)-_xlfn.NORM.DIST(BJ$30,$CU24,0.3*$CU24,TRUE))*summary!$C$7/28.8/0.947817+$CS24*(_xlfn.NORM.DIST(BJ$3,$CV24,0.3*$CV24,TRUE)-_xlfn.NORM.DIST(BJ$30,$CV24,0.3*$CV24,TRUE))*summary!$C$6/28.8/0.947817)/(SUMPRODUCT((economics!$AG$2:$AG$167=$B53)*(economics!$D$2:$D$167="whr")*economics!$AH$2:$AH$167*(_xlfn.NORM.DIST(BJ$3,economics!$AK$2:$AK$167,economics!$AJ$2:$AJ$167,TRUE)-_xlfn.NORM.DIST(BJ$30,economics!$AK$2:$AK$167,economics!$AJ$2:$AJ$167,TRUE)))+$CR24*(_xlfn.NORM.DIST(BJ$3,$CU24,0.3*$CU24,TRUE)-_xlfn.NORM.DIST(BJ$30,$CU24,0.3*$CU24,TRUE))+$CS24*(_xlfn.NORM.DIST(BJ$3,$CV24,0.3*$CV24,TRUE)-_xlfn.NORM.DIST(BJ$30,$CV24,0.3*$CV24,TRUE))),""),IF($C24&gt;0,summary!$C$10/28.8/0.947817,""))</f>
        <v/>
      </c>
      <c r="BK53">
        <f t="array" ref="BK53">IF($D24,IFERROR((SUMPRODUCT((economics!$AG$2:$AG$167=$B53)*(economics!$D$2:$D$167="whr")*economics!$AH$2:$AH$167*(_xlfn.NORM.DIST(BK$3,economics!$AK$2:$AK$167,economics!$AJ$2:$AJ$167,TRUE)-_xlfn.NORM.DIST(BK$30,economics!$AK$2:$AK$167,economics!$AJ$2:$AJ$167,TRUE))*economics!$AM$2:$AM$167)+$CR24*(_xlfn.NORM.DIST(BK$3,$CU24,0.3*$CU24,TRUE)-_xlfn.NORM.DIST(BK$30,$CU24,0.3*$CU24,TRUE))*summary!$C$7/28.8/0.947817+$CS24*(_xlfn.NORM.DIST(BK$3,$CV24,0.3*$CV24,TRUE)-_xlfn.NORM.DIST(BK$30,$CV24,0.3*$CV24,TRUE))*summary!$C$6/28.8/0.947817)/(SUMPRODUCT((economics!$AG$2:$AG$167=$B53)*(economics!$D$2:$D$167="whr")*economics!$AH$2:$AH$167*(_xlfn.NORM.DIST(BK$3,economics!$AK$2:$AK$167,economics!$AJ$2:$AJ$167,TRUE)-_xlfn.NORM.DIST(BK$30,economics!$AK$2:$AK$167,economics!$AJ$2:$AJ$167,TRUE)))+$CR24*(_xlfn.NORM.DIST(BK$3,$CU24,0.3*$CU24,TRUE)-_xlfn.NORM.DIST(BK$30,$CU24,0.3*$CU24,TRUE))+$CS24*(_xlfn.NORM.DIST(BK$3,$CV24,0.3*$CV24,TRUE)-_xlfn.NORM.DIST(BK$30,$CV24,0.3*$CV24,TRUE))),""),IF($C24&gt;0,summary!$C$10/28.8/0.947817,""))</f>
        <v/>
      </c>
      <c r="BL53">
        <f t="array" ref="BL53">IF($D24,IFERROR((SUMPRODUCT((economics!$AG$2:$AG$167=$B53)*(economics!$D$2:$D$167="whr")*economics!$AH$2:$AH$167*(_xlfn.NORM.DIST(BL$3,economics!$AK$2:$AK$167,economics!$AJ$2:$AJ$167,TRUE)-_xlfn.NORM.DIST(BL$30,economics!$AK$2:$AK$167,economics!$AJ$2:$AJ$167,TRUE))*economics!$AM$2:$AM$167)+$CR24*(_xlfn.NORM.DIST(BL$3,$CU24,0.3*$CU24,TRUE)-_xlfn.NORM.DIST(BL$30,$CU24,0.3*$CU24,TRUE))*summary!$C$7/28.8/0.947817+$CS24*(_xlfn.NORM.DIST(BL$3,$CV24,0.3*$CV24,TRUE)-_xlfn.NORM.DIST(BL$30,$CV24,0.3*$CV24,TRUE))*summary!$C$6/28.8/0.947817)/(SUMPRODUCT((economics!$AG$2:$AG$167=$B53)*(economics!$D$2:$D$167="whr")*economics!$AH$2:$AH$167*(_xlfn.NORM.DIST(BL$3,economics!$AK$2:$AK$167,economics!$AJ$2:$AJ$167,TRUE)-_xlfn.NORM.DIST(BL$30,economics!$AK$2:$AK$167,economics!$AJ$2:$AJ$167,TRUE)))+$CR24*(_xlfn.NORM.DIST(BL$3,$CU24,0.3*$CU24,TRUE)-_xlfn.NORM.DIST(BL$30,$CU24,0.3*$CU24,TRUE))+$CS24*(_xlfn.NORM.DIST(BL$3,$CV24,0.3*$CV24,TRUE)-_xlfn.NORM.DIST(BL$30,$CV24,0.3*$CV24,TRUE))),""),IF($C24&gt;0,summary!$C$10/28.8/0.947817,""))</f>
        <v/>
      </c>
      <c r="BM53">
        <f t="array" ref="BM53">IF($D24,IFERROR((SUMPRODUCT((economics!$AG$2:$AG$167=$B53)*(economics!$D$2:$D$167="whr")*economics!$AH$2:$AH$167*(_xlfn.NORM.DIST(BM$3,economics!$AK$2:$AK$167,economics!$AJ$2:$AJ$167,TRUE)-_xlfn.NORM.DIST(BM$30,economics!$AK$2:$AK$167,economics!$AJ$2:$AJ$167,TRUE))*economics!$AM$2:$AM$167)+$CR24*(_xlfn.NORM.DIST(BM$3,$CU24,0.3*$CU24,TRUE)-_xlfn.NORM.DIST(BM$30,$CU24,0.3*$CU24,TRUE))*summary!$C$7/28.8/0.947817+$CS24*(_xlfn.NORM.DIST(BM$3,$CV24,0.3*$CV24,TRUE)-_xlfn.NORM.DIST(BM$30,$CV24,0.3*$CV24,TRUE))*summary!$C$6/28.8/0.947817)/(SUMPRODUCT((economics!$AG$2:$AG$167=$B53)*(economics!$D$2:$D$167="whr")*economics!$AH$2:$AH$167*(_xlfn.NORM.DIST(BM$3,economics!$AK$2:$AK$167,economics!$AJ$2:$AJ$167,TRUE)-_xlfn.NORM.DIST(BM$30,economics!$AK$2:$AK$167,economics!$AJ$2:$AJ$167,TRUE)))+$CR24*(_xlfn.NORM.DIST(BM$3,$CU24,0.3*$CU24,TRUE)-_xlfn.NORM.DIST(BM$30,$CU24,0.3*$CU24,TRUE))+$CS24*(_xlfn.NORM.DIST(BM$3,$CV24,0.3*$CV24,TRUE)-_xlfn.NORM.DIST(BM$30,$CV24,0.3*$CV24,TRUE))),""),IF($C24&gt;0,summary!$C$10/28.8/0.947817,""))</f>
        <v/>
      </c>
      <c r="BN53">
        <f t="array" ref="BN53">IF($D24,IFERROR((SUMPRODUCT((economics!$AG$2:$AG$167=$B53)*(economics!$D$2:$D$167="whr")*economics!$AH$2:$AH$167*(_xlfn.NORM.DIST(BN$3,economics!$AK$2:$AK$167,economics!$AJ$2:$AJ$167,TRUE)-_xlfn.NORM.DIST(BN$30,economics!$AK$2:$AK$167,economics!$AJ$2:$AJ$167,TRUE))*economics!$AM$2:$AM$167)+$CR24*(_xlfn.NORM.DIST(BN$3,$CU24,0.3*$CU24,TRUE)-_xlfn.NORM.DIST(BN$30,$CU24,0.3*$CU24,TRUE))*summary!$C$7/28.8/0.947817+$CS24*(_xlfn.NORM.DIST(BN$3,$CV24,0.3*$CV24,TRUE)-_xlfn.NORM.DIST(BN$30,$CV24,0.3*$CV24,TRUE))*summary!$C$6/28.8/0.947817)/(SUMPRODUCT((economics!$AG$2:$AG$167=$B53)*(economics!$D$2:$D$167="whr")*economics!$AH$2:$AH$167*(_xlfn.NORM.DIST(BN$3,economics!$AK$2:$AK$167,economics!$AJ$2:$AJ$167,TRUE)-_xlfn.NORM.DIST(BN$30,economics!$AK$2:$AK$167,economics!$AJ$2:$AJ$167,TRUE)))+$CR24*(_xlfn.NORM.DIST(BN$3,$CU24,0.3*$CU24,TRUE)-_xlfn.NORM.DIST(BN$30,$CU24,0.3*$CU24,TRUE))+$CS24*(_xlfn.NORM.DIST(BN$3,$CV24,0.3*$CV24,TRUE)-_xlfn.NORM.DIST(BN$30,$CV24,0.3*$CV24,TRUE))),""),IF($C24&gt;0,summary!$C$10/28.8/0.947817,""))</f>
        <v/>
      </c>
      <c r="BO53">
        <f t="array" ref="BO53">IF($D24,IFERROR((SUMPRODUCT((economics!$AG$2:$AG$167=$B53)*(economics!$D$2:$D$167="whr")*economics!$AH$2:$AH$167*(_xlfn.NORM.DIST(BO$3,economics!$AK$2:$AK$167,economics!$AJ$2:$AJ$167,TRUE)-_xlfn.NORM.DIST(BO$30,economics!$AK$2:$AK$167,economics!$AJ$2:$AJ$167,TRUE))*economics!$AM$2:$AM$167)+$CR24*(_xlfn.NORM.DIST(BO$3,$CU24,0.3*$CU24,TRUE)-_xlfn.NORM.DIST(BO$30,$CU24,0.3*$CU24,TRUE))*summary!$C$7/28.8/0.947817+$CS24*(_xlfn.NORM.DIST(BO$3,$CV24,0.3*$CV24,TRUE)-_xlfn.NORM.DIST(BO$30,$CV24,0.3*$CV24,TRUE))*summary!$C$6/28.8/0.947817)/(SUMPRODUCT((economics!$AG$2:$AG$167=$B53)*(economics!$D$2:$D$167="whr")*economics!$AH$2:$AH$167*(_xlfn.NORM.DIST(BO$3,economics!$AK$2:$AK$167,economics!$AJ$2:$AJ$167,TRUE)-_xlfn.NORM.DIST(BO$30,economics!$AK$2:$AK$167,economics!$AJ$2:$AJ$167,TRUE)))+$CR24*(_xlfn.NORM.DIST(BO$3,$CU24,0.3*$CU24,TRUE)-_xlfn.NORM.DIST(BO$30,$CU24,0.3*$CU24,TRUE))+$CS24*(_xlfn.NORM.DIST(BO$3,$CV24,0.3*$CV24,TRUE)-_xlfn.NORM.DIST(BO$30,$CV24,0.3*$CV24,TRUE))),""),IF($C24&gt;0,summary!$C$10/28.8/0.947817,""))</f>
        <v/>
      </c>
      <c r="BP53">
        <f t="array" ref="BP53">IF($D24,IFERROR((SUMPRODUCT((economics!$AG$2:$AG$167=$B53)*(economics!$D$2:$D$167="whr")*economics!$AH$2:$AH$167*(_xlfn.NORM.DIST(BP$3,economics!$AK$2:$AK$167,economics!$AJ$2:$AJ$167,TRUE)-_xlfn.NORM.DIST(BP$30,economics!$AK$2:$AK$167,economics!$AJ$2:$AJ$167,TRUE))*economics!$AM$2:$AM$167)+$CR24*(_xlfn.NORM.DIST(BP$3,$CU24,0.3*$CU24,TRUE)-_xlfn.NORM.DIST(BP$30,$CU24,0.3*$CU24,TRUE))*summary!$C$7/28.8/0.947817+$CS24*(_xlfn.NORM.DIST(BP$3,$CV24,0.3*$CV24,TRUE)-_xlfn.NORM.DIST(BP$30,$CV24,0.3*$CV24,TRUE))*summary!$C$6/28.8/0.947817)/(SUMPRODUCT((economics!$AG$2:$AG$167=$B53)*(economics!$D$2:$D$167="whr")*economics!$AH$2:$AH$167*(_xlfn.NORM.DIST(BP$3,economics!$AK$2:$AK$167,economics!$AJ$2:$AJ$167,TRUE)-_xlfn.NORM.DIST(BP$30,economics!$AK$2:$AK$167,economics!$AJ$2:$AJ$167,TRUE)))+$CR24*(_xlfn.NORM.DIST(BP$3,$CU24,0.3*$CU24,TRUE)-_xlfn.NORM.DIST(BP$30,$CU24,0.3*$CU24,TRUE))+$CS24*(_xlfn.NORM.DIST(BP$3,$CV24,0.3*$CV24,TRUE)-_xlfn.NORM.DIST(BP$30,$CV24,0.3*$CV24,TRUE))),""),IF($C24&gt;0,summary!$C$10/28.8/0.947817,""))</f>
        <v/>
      </c>
      <c r="BQ53">
        <f t="array" ref="BQ53">IF($D24,IFERROR((SUMPRODUCT((economics!$AG$2:$AG$167=$B53)*(economics!$D$2:$D$167="whr")*economics!$AH$2:$AH$167*(_xlfn.NORM.DIST(BQ$3,economics!$AK$2:$AK$167,economics!$AJ$2:$AJ$167,TRUE)-_xlfn.NORM.DIST(BQ$30,economics!$AK$2:$AK$167,economics!$AJ$2:$AJ$167,TRUE))*economics!$AM$2:$AM$167)+$CR24*(_xlfn.NORM.DIST(BQ$3,$CU24,0.3*$CU24,TRUE)-_xlfn.NORM.DIST(BQ$30,$CU24,0.3*$CU24,TRUE))*summary!$C$7/28.8/0.947817+$CS24*(_xlfn.NORM.DIST(BQ$3,$CV24,0.3*$CV24,TRUE)-_xlfn.NORM.DIST(BQ$30,$CV24,0.3*$CV24,TRUE))*summary!$C$6/28.8/0.947817)/(SUMPRODUCT((economics!$AG$2:$AG$167=$B53)*(economics!$D$2:$D$167="whr")*economics!$AH$2:$AH$167*(_xlfn.NORM.DIST(BQ$3,economics!$AK$2:$AK$167,economics!$AJ$2:$AJ$167,TRUE)-_xlfn.NORM.DIST(BQ$30,economics!$AK$2:$AK$167,economics!$AJ$2:$AJ$167,TRUE)))+$CR24*(_xlfn.NORM.DIST(BQ$3,$CU24,0.3*$CU24,TRUE)-_xlfn.NORM.DIST(BQ$30,$CU24,0.3*$CU24,TRUE))+$CS24*(_xlfn.NORM.DIST(BQ$3,$CV24,0.3*$CV24,TRUE)-_xlfn.NORM.DIST(BQ$30,$CV24,0.3*$CV24,TRUE))),""),IF($C24&gt;0,summary!$C$10/28.8/0.947817,""))</f>
        <v/>
      </c>
      <c r="BR53">
        <f t="array" ref="BR53">IF($D24,IFERROR((SUMPRODUCT((economics!$AG$2:$AG$167=$B53)*(economics!$D$2:$D$167="whr")*economics!$AH$2:$AH$167*(_xlfn.NORM.DIST(BR$3,economics!$AK$2:$AK$167,economics!$AJ$2:$AJ$167,TRUE)-_xlfn.NORM.DIST(BR$30,economics!$AK$2:$AK$167,economics!$AJ$2:$AJ$167,TRUE))*economics!$AM$2:$AM$167)+$CR24*(_xlfn.NORM.DIST(BR$3,$CU24,0.3*$CU24,TRUE)-_xlfn.NORM.DIST(BR$30,$CU24,0.3*$CU24,TRUE))*summary!$C$7/28.8/0.947817+$CS24*(_xlfn.NORM.DIST(BR$3,$CV24,0.3*$CV24,TRUE)-_xlfn.NORM.DIST(BR$30,$CV24,0.3*$CV24,TRUE))*summary!$C$6/28.8/0.947817)/(SUMPRODUCT((economics!$AG$2:$AG$167=$B53)*(economics!$D$2:$D$167="whr")*economics!$AH$2:$AH$167*(_xlfn.NORM.DIST(BR$3,economics!$AK$2:$AK$167,economics!$AJ$2:$AJ$167,TRUE)-_xlfn.NORM.DIST(BR$30,economics!$AK$2:$AK$167,economics!$AJ$2:$AJ$167,TRUE)))+$CR24*(_xlfn.NORM.DIST(BR$3,$CU24,0.3*$CU24,TRUE)-_xlfn.NORM.DIST(BR$30,$CU24,0.3*$CU24,TRUE))+$CS24*(_xlfn.NORM.DIST(BR$3,$CV24,0.3*$CV24,TRUE)-_xlfn.NORM.DIST(BR$30,$CV24,0.3*$CV24,TRUE))),""),IF($C24&gt;0,summary!$C$10/28.8/0.947817,""))</f>
        <v/>
      </c>
      <c r="BS53">
        <f t="array" ref="BS53">IF($D24,IFERROR((SUMPRODUCT((economics!$AG$2:$AG$167=$B53)*(economics!$D$2:$D$167="whr")*economics!$AH$2:$AH$167*(_xlfn.NORM.DIST(BS$3,economics!$AK$2:$AK$167,economics!$AJ$2:$AJ$167,TRUE)-_xlfn.NORM.DIST(BS$30,economics!$AK$2:$AK$167,economics!$AJ$2:$AJ$167,TRUE))*economics!$AM$2:$AM$167)+$CR24*(_xlfn.NORM.DIST(BS$3,$CU24,0.3*$CU24,TRUE)-_xlfn.NORM.DIST(BS$30,$CU24,0.3*$CU24,TRUE))*summary!$C$7/28.8/0.947817+$CS24*(_xlfn.NORM.DIST(BS$3,$CV24,0.3*$CV24,TRUE)-_xlfn.NORM.DIST(BS$30,$CV24,0.3*$CV24,TRUE))*summary!$C$6/28.8/0.947817)/(SUMPRODUCT((economics!$AG$2:$AG$167=$B53)*(economics!$D$2:$D$167="whr")*economics!$AH$2:$AH$167*(_xlfn.NORM.DIST(BS$3,economics!$AK$2:$AK$167,economics!$AJ$2:$AJ$167,TRUE)-_xlfn.NORM.DIST(BS$30,economics!$AK$2:$AK$167,economics!$AJ$2:$AJ$167,TRUE)))+$CR24*(_xlfn.NORM.DIST(BS$3,$CU24,0.3*$CU24,TRUE)-_xlfn.NORM.DIST(BS$30,$CU24,0.3*$CU24,TRUE))+$CS24*(_xlfn.NORM.DIST(BS$3,$CV24,0.3*$CV24,TRUE)-_xlfn.NORM.DIST(BS$30,$CV24,0.3*$CV24,TRUE))),""),IF($C24&gt;0,summary!$C$10/28.8/0.947817,""))</f>
        <v/>
      </c>
      <c r="BT53">
        <f t="array" ref="BT53">IF($D24,IFERROR((SUMPRODUCT((economics!$AG$2:$AG$167=$B53)*(economics!$D$2:$D$167="whr")*economics!$AH$2:$AH$167*(_xlfn.NORM.DIST(BT$3,economics!$AK$2:$AK$167,economics!$AJ$2:$AJ$167,TRUE)-_xlfn.NORM.DIST(BT$30,economics!$AK$2:$AK$167,economics!$AJ$2:$AJ$167,TRUE))*economics!$AM$2:$AM$167)+$CR24*(_xlfn.NORM.DIST(BT$3,$CU24,0.3*$CU24,TRUE)-_xlfn.NORM.DIST(BT$30,$CU24,0.3*$CU24,TRUE))*summary!$C$7/28.8/0.947817+$CS24*(_xlfn.NORM.DIST(BT$3,$CV24,0.3*$CV24,TRUE)-_xlfn.NORM.DIST(BT$30,$CV24,0.3*$CV24,TRUE))*summary!$C$6/28.8/0.947817)/(SUMPRODUCT((economics!$AG$2:$AG$167=$B53)*(economics!$D$2:$D$167="whr")*economics!$AH$2:$AH$167*(_xlfn.NORM.DIST(BT$3,economics!$AK$2:$AK$167,economics!$AJ$2:$AJ$167,TRUE)-_xlfn.NORM.DIST(BT$30,economics!$AK$2:$AK$167,economics!$AJ$2:$AJ$167,TRUE)))+$CR24*(_xlfn.NORM.DIST(BT$3,$CU24,0.3*$CU24,TRUE)-_xlfn.NORM.DIST(BT$30,$CU24,0.3*$CU24,TRUE))+$CS24*(_xlfn.NORM.DIST(BT$3,$CV24,0.3*$CV24,TRUE)-_xlfn.NORM.DIST(BT$30,$CV24,0.3*$CV24,TRUE))),""),IF($C24&gt;0,summary!$C$10/28.8/0.947817,""))</f>
        <v/>
      </c>
      <c r="BU53">
        <f t="array" ref="BU53">IF($D24,IFERROR((SUMPRODUCT((economics!$AG$2:$AG$167=$B53)*(economics!$D$2:$D$167="whr")*economics!$AH$2:$AH$167*(_xlfn.NORM.DIST(BU$3,economics!$AK$2:$AK$167,economics!$AJ$2:$AJ$167,TRUE)-_xlfn.NORM.DIST(BU$30,economics!$AK$2:$AK$167,economics!$AJ$2:$AJ$167,TRUE))*economics!$AM$2:$AM$167)+$CR24*(_xlfn.NORM.DIST(BU$3,$CU24,0.3*$CU24,TRUE)-_xlfn.NORM.DIST(BU$30,$CU24,0.3*$CU24,TRUE))*summary!$C$7/28.8/0.947817+$CS24*(_xlfn.NORM.DIST(BU$3,$CV24,0.3*$CV24,TRUE)-_xlfn.NORM.DIST(BU$30,$CV24,0.3*$CV24,TRUE))*summary!$C$6/28.8/0.947817)/(SUMPRODUCT((economics!$AG$2:$AG$167=$B53)*(economics!$D$2:$D$167="whr")*economics!$AH$2:$AH$167*(_xlfn.NORM.DIST(BU$3,economics!$AK$2:$AK$167,economics!$AJ$2:$AJ$167,TRUE)-_xlfn.NORM.DIST(BU$30,economics!$AK$2:$AK$167,economics!$AJ$2:$AJ$167,TRUE)))+$CR24*(_xlfn.NORM.DIST(BU$3,$CU24,0.3*$CU24,TRUE)-_xlfn.NORM.DIST(BU$30,$CU24,0.3*$CU24,TRUE))+$CS24*(_xlfn.NORM.DIST(BU$3,$CV24,0.3*$CV24,TRUE)-_xlfn.NORM.DIST(BU$30,$CV24,0.3*$CV24,TRUE))),""),IF($C24&gt;0,summary!$C$10/28.8/0.947817,""))</f>
        <v/>
      </c>
      <c r="BV53">
        <f t="array" ref="BV53">IF($D24,IFERROR((SUMPRODUCT((economics!$AG$2:$AG$167=$B53)*(economics!$D$2:$D$167="whr")*economics!$AH$2:$AH$167*(_xlfn.NORM.DIST(BV$3,economics!$AK$2:$AK$167,economics!$AJ$2:$AJ$167,TRUE)-_xlfn.NORM.DIST(BV$30,economics!$AK$2:$AK$167,economics!$AJ$2:$AJ$167,TRUE))*economics!$AM$2:$AM$167)+$CR24*(_xlfn.NORM.DIST(BV$3,$CU24,0.3*$CU24,TRUE)-_xlfn.NORM.DIST(BV$30,$CU24,0.3*$CU24,TRUE))*summary!$C$7/28.8/0.947817+$CS24*(_xlfn.NORM.DIST(BV$3,$CV24,0.3*$CV24,TRUE)-_xlfn.NORM.DIST(BV$30,$CV24,0.3*$CV24,TRUE))*summary!$C$6/28.8/0.947817)/(SUMPRODUCT((economics!$AG$2:$AG$167=$B53)*(economics!$D$2:$D$167="whr")*economics!$AH$2:$AH$167*(_xlfn.NORM.DIST(BV$3,economics!$AK$2:$AK$167,economics!$AJ$2:$AJ$167,TRUE)-_xlfn.NORM.DIST(BV$30,economics!$AK$2:$AK$167,economics!$AJ$2:$AJ$167,TRUE)))+$CR24*(_xlfn.NORM.DIST(BV$3,$CU24,0.3*$CU24,TRUE)-_xlfn.NORM.DIST(BV$30,$CU24,0.3*$CU24,TRUE))+$CS24*(_xlfn.NORM.DIST(BV$3,$CV24,0.3*$CV24,TRUE)-_xlfn.NORM.DIST(BV$30,$CV24,0.3*$CV24,TRUE))),""),IF($C24&gt;0,summary!$C$10/28.8/0.947817,""))</f>
        <v/>
      </c>
      <c r="BW53">
        <f t="array" ref="BW53">IF($D24,IFERROR((SUMPRODUCT((economics!$AG$2:$AG$167=$B53)*(economics!$D$2:$D$167="whr")*economics!$AH$2:$AH$167*(_xlfn.NORM.DIST(BW$3,economics!$AK$2:$AK$167,economics!$AJ$2:$AJ$167,TRUE)-_xlfn.NORM.DIST(BW$30,economics!$AK$2:$AK$167,economics!$AJ$2:$AJ$167,TRUE))*economics!$AM$2:$AM$167)+$CR24*(_xlfn.NORM.DIST(BW$3,$CU24,0.3*$CU24,TRUE)-_xlfn.NORM.DIST(BW$30,$CU24,0.3*$CU24,TRUE))*summary!$C$7/28.8/0.947817+$CS24*(_xlfn.NORM.DIST(BW$3,$CV24,0.3*$CV24,TRUE)-_xlfn.NORM.DIST(BW$30,$CV24,0.3*$CV24,TRUE))*summary!$C$6/28.8/0.947817)/(SUMPRODUCT((economics!$AG$2:$AG$167=$B53)*(economics!$D$2:$D$167="whr")*economics!$AH$2:$AH$167*(_xlfn.NORM.DIST(BW$3,economics!$AK$2:$AK$167,economics!$AJ$2:$AJ$167,TRUE)-_xlfn.NORM.DIST(BW$30,economics!$AK$2:$AK$167,economics!$AJ$2:$AJ$167,TRUE)))+$CR24*(_xlfn.NORM.DIST(BW$3,$CU24,0.3*$CU24,TRUE)-_xlfn.NORM.DIST(BW$30,$CU24,0.3*$CU24,TRUE))+$CS24*(_xlfn.NORM.DIST(BW$3,$CV24,0.3*$CV24,TRUE)-_xlfn.NORM.DIST(BW$30,$CV24,0.3*$CV24,TRUE))),""),IF($C24&gt;0,summary!$C$10/28.8/0.947817,""))</f>
        <v/>
      </c>
      <c r="BX53">
        <f t="array" ref="BX53">IF($D24,IFERROR((SUMPRODUCT((economics!$AG$2:$AG$167=$B53)*(economics!$D$2:$D$167="whr")*economics!$AH$2:$AH$167*(_xlfn.NORM.DIST(BX$3,economics!$AK$2:$AK$167,economics!$AJ$2:$AJ$167,TRUE)-_xlfn.NORM.DIST(BX$30,economics!$AK$2:$AK$167,economics!$AJ$2:$AJ$167,TRUE))*economics!$AM$2:$AM$167)+$CR24*(_xlfn.NORM.DIST(BX$3,$CU24,0.3*$CU24,TRUE)-_xlfn.NORM.DIST(BX$30,$CU24,0.3*$CU24,TRUE))*summary!$C$7/28.8/0.947817+$CS24*(_xlfn.NORM.DIST(BX$3,$CV24,0.3*$CV24,TRUE)-_xlfn.NORM.DIST(BX$30,$CV24,0.3*$CV24,TRUE))*summary!$C$6/28.8/0.947817)/(SUMPRODUCT((economics!$AG$2:$AG$167=$B53)*(economics!$D$2:$D$167="whr")*economics!$AH$2:$AH$167*(_xlfn.NORM.DIST(BX$3,economics!$AK$2:$AK$167,economics!$AJ$2:$AJ$167,TRUE)-_xlfn.NORM.DIST(BX$30,economics!$AK$2:$AK$167,economics!$AJ$2:$AJ$167,TRUE)))+$CR24*(_xlfn.NORM.DIST(BX$3,$CU24,0.3*$CU24,TRUE)-_xlfn.NORM.DIST(BX$30,$CU24,0.3*$CU24,TRUE))+$CS24*(_xlfn.NORM.DIST(BX$3,$CV24,0.3*$CV24,TRUE)-_xlfn.NORM.DIST(BX$30,$CV24,0.3*$CV24,TRUE))),""),IF($C24&gt;0,summary!$C$10/28.8/0.947817,""))</f>
        <v/>
      </c>
      <c r="BY53">
        <f t="array" ref="BY53">IF($D24,IFERROR((SUMPRODUCT((economics!$AG$2:$AG$167=$B53)*(economics!$D$2:$D$167="whr")*economics!$AH$2:$AH$167*(_xlfn.NORM.DIST(BY$3,economics!$AK$2:$AK$167,economics!$AJ$2:$AJ$167,TRUE)-_xlfn.NORM.DIST(BY$30,economics!$AK$2:$AK$167,economics!$AJ$2:$AJ$167,TRUE))*economics!$AM$2:$AM$167)+$CR24*(_xlfn.NORM.DIST(BY$3,$CU24,0.3*$CU24,TRUE)-_xlfn.NORM.DIST(BY$30,$CU24,0.3*$CU24,TRUE))*summary!$C$7/28.8/0.947817+$CS24*(_xlfn.NORM.DIST(BY$3,$CV24,0.3*$CV24,TRUE)-_xlfn.NORM.DIST(BY$30,$CV24,0.3*$CV24,TRUE))*summary!$C$6/28.8/0.947817)/(SUMPRODUCT((economics!$AG$2:$AG$167=$B53)*(economics!$D$2:$D$167="whr")*economics!$AH$2:$AH$167*(_xlfn.NORM.DIST(BY$3,economics!$AK$2:$AK$167,economics!$AJ$2:$AJ$167,TRUE)-_xlfn.NORM.DIST(BY$30,economics!$AK$2:$AK$167,economics!$AJ$2:$AJ$167,TRUE)))+$CR24*(_xlfn.NORM.DIST(BY$3,$CU24,0.3*$CU24,TRUE)-_xlfn.NORM.DIST(BY$30,$CU24,0.3*$CU24,TRUE))+$CS24*(_xlfn.NORM.DIST(BY$3,$CV24,0.3*$CV24,TRUE)-_xlfn.NORM.DIST(BY$30,$CV24,0.3*$CV24,TRUE))),""),IF($C24&gt;0,summary!$C$10/28.8/0.947817,""))</f>
        <v/>
      </c>
      <c r="BZ53">
        <f t="array" ref="BZ53">IF($D24,IFERROR((SUMPRODUCT((economics!$AG$2:$AG$167=$B53)*(economics!$D$2:$D$167="whr")*economics!$AH$2:$AH$167*(_xlfn.NORM.DIST(BZ$3,economics!$AK$2:$AK$167,economics!$AJ$2:$AJ$167,TRUE)-_xlfn.NORM.DIST(BZ$30,economics!$AK$2:$AK$167,economics!$AJ$2:$AJ$167,TRUE))*economics!$AM$2:$AM$167)+$CR24*(_xlfn.NORM.DIST(BZ$3,$CU24,0.3*$CU24,TRUE)-_xlfn.NORM.DIST(BZ$30,$CU24,0.3*$CU24,TRUE))*summary!$C$7/28.8/0.947817+$CS24*(_xlfn.NORM.DIST(BZ$3,$CV24,0.3*$CV24,TRUE)-_xlfn.NORM.DIST(BZ$30,$CV24,0.3*$CV24,TRUE))*summary!$C$6/28.8/0.947817)/(SUMPRODUCT((economics!$AG$2:$AG$167=$B53)*(economics!$D$2:$D$167="whr")*economics!$AH$2:$AH$167*(_xlfn.NORM.DIST(BZ$3,economics!$AK$2:$AK$167,economics!$AJ$2:$AJ$167,TRUE)-_xlfn.NORM.DIST(BZ$30,economics!$AK$2:$AK$167,economics!$AJ$2:$AJ$167,TRUE)))+$CR24*(_xlfn.NORM.DIST(BZ$3,$CU24,0.3*$CU24,TRUE)-_xlfn.NORM.DIST(BZ$30,$CU24,0.3*$CU24,TRUE))+$CS24*(_xlfn.NORM.DIST(BZ$3,$CV24,0.3*$CV24,TRUE)-_xlfn.NORM.DIST(BZ$30,$CV24,0.3*$CV24,TRUE))),""),IF($C24&gt;0,summary!$C$10/28.8/0.947817,""))</f>
        <v/>
      </c>
      <c r="CA53">
        <f t="array" ref="CA53">IF($D24,IFERROR((SUMPRODUCT((economics!$AG$2:$AG$167=$B53)*(economics!$D$2:$D$167="whr")*economics!$AH$2:$AH$167*(_xlfn.NORM.DIST(CA$3,economics!$AK$2:$AK$167,economics!$AJ$2:$AJ$167,TRUE)-_xlfn.NORM.DIST(CA$30,economics!$AK$2:$AK$167,economics!$AJ$2:$AJ$167,TRUE))*economics!$AM$2:$AM$167)+$CR24*(_xlfn.NORM.DIST(CA$3,$CU24,0.3*$CU24,TRUE)-_xlfn.NORM.DIST(CA$30,$CU24,0.3*$CU24,TRUE))*summary!$C$7/28.8/0.947817+$CS24*(_xlfn.NORM.DIST(CA$3,$CV24,0.3*$CV24,TRUE)-_xlfn.NORM.DIST(CA$30,$CV24,0.3*$CV24,TRUE))*summary!$C$6/28.8/0.947817)/(SUMPRODUCT((economics!$AG$2:$AG$167=$B53)*(economics!$D$2:$D$167="whr")*economics!$AH$2:$AH$167*(_xlfn.NORM.DIST(CA$3,economics!$AK$2:$AK$167,economics!$AJ$2:$AJ$167,TRUE)-_xlfn.NORM.DIST(CA$30,economics!$AK$2:$AK$167,economics!$AJ$2:$AJ$167,TRUE)))+$CR24*(_xlfn.NORM.DIST(CA$3,$CU24,0.3*$CU24,TRUE)-_xlfn.NORM.DIST(CA$30,$CU24,0.3*$CU24,TRUE))+$CS24*(_xlfn.NORM.DIST(CA$3,$CV24,0.3*$CV24,TRUE)-_xlfn.NORM.DIST(CA$30,$CV24,0.3*$CV24,TRUE))),""),IF($C24&gt;0,summary!$C$10/28.8/0.947817,""))</f>
        <v/>
      </c>
      <c r="CB53">
        <f t="array" ref="CB53">IF($D24,IFERROR((SUMPRODUCT((economics!$AG$2:$AG$167=$B53)*(economics!$D$2:$D$167="whr")*economics!$AH$2:$AH$167*(_xlfn.NORM.DIST(CB$3,economics!$AK$2:$AK$167,economics!$AJ$2:$AJ$167,TRUE)-_xlfn.NORM.DIST(CB$30,economics!$AK$2:$AK$167,economics!$AJ$2:$AJ$167,TRUE))*economics!$AM$2:$AM$167)+$CR24*(_xlfn.NORM.DIST(CB$3,$CU24,0.3*$CU24,TRUE)-_xlfn.NORM.DIST(CB$30,$CU24,0.3*$CU24,TRUE))*summary!$C$7/28.8/0.947817+$CS24*(_xlfn.NORM.DIST(CB$3,$CV24,0.3*$CV24,TRUE)-_xlfn.NORM.DIST(CB$30,$CV24,0.3*$CV24,TRUE))*summary!$C$6/28.8/0.947817)/(SUMPRODUCT((economics!$AG$2:$AG$167=$B53)*(economics!$D$2:$D$167="whr")*economics!$AH$2:$AH$167*(_xlfn.NORM.DIST(CB$3,economics!$AK$2:$AK$167,economics!$AJ$2:$AJ$167,TRUE)-_xlfn.NORM.DIST(CB$30,economics!$AK$2:$AK$167,economics!$AJ$2:$AJ$167,TRUE)))+$CR24*(_xlfn.NORM.DIST(CB$3,$CU24,0.3*$CU24,TRUE)-_xlfn.NORM.DIST(CB$30,$CU24,0.3*$CU24,TRUE))+$CS24*(_xlfn.NORM.DIST(CB$3,$CV24,0.3*$CV24,TRUE)-_xlfn.NORM.DIST(CB$30,$CV24,0.3*$CV24,TRUE))),""),IF($C24&gt;0,summary!$C$10/28.8/0.947817,""))</f>
        <v/>
      </c>
      <c r="CC53">
        <f t="array" ref="CC53">IF($D24,IFERROR((SUMPRODUCT((economics!$AG$2:$AG$167=$B53)*(economics!$D$2:$D$167="whr")*economics!$AH$2:$AH$167*(_xlfn.NORM.DIST(CC$3,economics!$AK$2:$AK$167,economics!$AJ$2:$AJ$167,TRUE)-_xlfn.NORM.DIST(CC$30,economics!$AK$2:$AK$167,economics!$AJ$2:$AJ$167,TRUE))*economics!$AM$2:$AM$167)+$CR24*(_xlfn.NORM.DIST(CC$3,$CU24,0.3*$CU24,TRUE)-_xlfn.NORM.DIST(CC$30,$CU24,0.3*$CU24,TRUE))*summary!$C$7/28.8/0.947817+$CS24*(_xlfn.NORM.DIST(CC$3,$CV24,0.3*$CV24,TRUE)-_xlfn.NORM.DIST(CC$30,$CV24,0.3*$CV24,TRUE))*summary!$C$6/28.8/0.947817)/(SUMPRODUCT((economics!$AG$2:$AG$167=$B53)*(economics!$D$2:$D$167="whr")*economics!$AH$2:$AH$167*(_xlfn.NORM.DIST(CC$3,economics!$AK$2:$AK$167,economics!$AJ$2:$AJ$167,TRUE)-_xlfn.NORM.DIST(CC$30,economics!$AK$2:$AK$167,economics!$AJ$2:$AJ$167,TRUE)))+$CR24*(_xlfn.NORM.DIST(CC$3,$CU24,0.3*$CU24,TRUE)-_xlfn.NORM.DIST(CC$30,$CU24,0.3*$CU24,TRUE))+$CS24*(_xlfn.NORM.DIST(CC$3,$CV24,0.3*$CV24,TRUE)-_xlfn.NORM.DIST(CC$30,$CV24,0.3*$CV24,TRUE))),""),IF($C24&gt;0,summary!$C$10/28.8/0.947817,""))</f>
        <v/>
      </c>
      <c r="CD53">
        <f t="array" ref="CD53">IF($D24,IFERROR((SUMPRODUCT((economics!$AG$2:$AG$167=$B53)*(economics!$D$2:$D$167="whr")*economics!$AH$2:$AH$167*(_xlfn.NORM.DIST(CD$3,economics!$AK$2:$AK$167,economics!$AJ$2:$AJ$167,TRUE)-_xlfn.NORM.DIST(CD$30,economics!$AK$2:$AK$167,economics!$AJ$2:$AJ$167,TRUE))*economics!$AM$2:$AM$167)+$CR24*(_xlfn.NORM.DIST(CD$3,$CU24,0.3*$CU24,TRUE)-_xlfn.NORM.DIST(CD$30,$CU24,0.3*$CU24,TRUE))*summary!$C$7/28.8/0.947817+$CS24*(_xlfn.NORM.DIST(CD$3,$CV24,0.3*$CV24,TRUE)-_xlfn.NORM.DIST(CD$30,$CV24,0.3*$CV24,TRUE))*summary!$C$6/28.8/0.947817)/(SUMPRODUCT((economics!$AG$2:$AG$167=$B53)*(economics!$D$2:$D$167="whr")*economics!$AH$2:$AH$167*(_xlfn.NORM.DIST(CD$3,economics!$AK$2:$AK$167,economics!$AJ$2:$AJ$167,TRUE)-_xlfn.NORM.DIST(CD$30,economics!$AK$2:$AK$167,economics!$AJ$2:$AJ$167,TRUE)))+$CR24*(_xlfn.NORM.DIST(CD$3,$CU24,0.3*$CU24,TRUE)-_xlfn.NORM.DIST(CD$30,$CU24,0.3*$CU24,TRUE))+$CS24*(_xlfn.NORM.DIST(CD$3,$CV24,0.3*$CV24,TRUE)-_xlfn.NORM.DIST(CD$30,$CV24,0.3*$CV24,TRUE))),""),IF($C24&gt;0,summary!$C$10/28.8/0.947817,""))</f>
        <v/>
      </c>
      <c r="CE53">
        <f t="array" ref="CE53">IF($D24,IFERROR((SUMPRODUCT((economics!$AG$2:$AG$167=$B53)*(economics!$D$2:$D$167="whr")*economics!$AH$2:$AH$167*(_xlfn.NORM.DIST(CE$3,economics!$AK$2:$AK$167,economics!$AJ$2:$AJ$167,TRUE)-_xlfn.NORM.DIST(CE$30,economics!$AK$2:$AK$167,economics!$AJ$2:$AJ$167,TRUE))*economics!$AM$2:$AM$167)+$CR24*(_xlfn.NORM.DIST(CE$3,$CU24,0.3*$CU24,TRUE)-_xlfn.NORM.DIST(CE$30,$CU24,0.3*$CU24,TRUE))*summary!$C$7/28.8/0.947817+$CS24*(_xlfn.NORM.DIST(CE$3,$CV24,0.3*$CV24,TRUE)-_xlfn.NORM.DIST(CE$30,$CV24,0.3*$CV24,TRUE))*summary!$C$6/28.8/0.947817)/(SUMPRODUCT((economics!$AG$2:$AG$167=$B53)*(economics!$D$2:$D$167="whr")*economics!$AH$2:$AH$167*(_xlfn.NORM.DIST(CE$3,economics!$AK$2:$AK$167,economics!$AJ$2:$AJ$167,TRUE)-_xlfn.NORM.DIST(CE$30,economics!$AK$2:$AK$167,economics!$AJ$2:$AJ$167,TRUE)))+$CR24*(_xlfn.NORM.DIST(CE$3,$CU24,0.3*$CU24,TRUE)-_xlfn.NORM.DIST(CE$30,$CU24,0.3*$CU24,TRUE))+$CS24*(_xlfn.NORM.DIST(CE$3,$CV24,0.3*$CV24,TRUE)-_xlfn.NORM.DIST(CE$30,$CV24,0.3*$CV24,TRUE))),""),IF($C24&gt;0,summary!$C$10/28.8/0.947817,""))</f>
        <v/>
      </c>
      <c r="CF53">
        <f t="array" ref="CF53">IF($D24,IFERROR((SUMPRODUCT((economics!$AG$2:$AG$167=$B53)*(economics!$D$2:$D$167="whr")*economics!$AH$2:$AH$167*(_xlfn.NORM.DIST(CF$3,economics!$AK$2:$AK$167,economics!$AJ$2:$AJ$167,TRUE)-_xlfn.NORM.DIST(CF$30,economics!$AK$2:$AK$167,economics!$AJ$2:$AJ$167,TRUE))*economics!$AM$2:$AM$167)+$CR24*(_xlfn.NORM.DIST(CF$3,$CU24,0.3*$CU24,TRUE)-_xlfn.NORM.DIST(CF$30,$CU24,0.3*$CU24,TRUE))*summary!$C$7/28.8/0.947817+$CS24*(_xlfn.NORM.DIST(CF$3,$CV24,0.3*$CV24,TRUE)-_xlfn.NORM.DIST(CF$30,$CV24,0.3*$CV24,TRUE))*summary!$C$6/28.8/0.947817)/(SUMPRODUCT((economics!$AG$2:$AG$167=$B53)*(economics!$D$2:$D$167="whr")*economics!$AH$2:$AH$167*(_xlfn.NORM.DIST(CF$3,economics!$AK$2:$AK$167,economics!$AJ$2:$AJ$167,TRUE)-_xlfn.NORM.DIST(CF$30,economics!$AK$2:$AK$167,economics!$AJ$2:$AJ$167,TRUE)))+$CR24*(_xlfn.NORM.DIST(CF$3,$CU24,0.3*$CU24,TRUE)-_xlfn.NORM.DIST(CF$30,$CU24,0.3*$CU24,TRUE))+$CS24*(_xlfn.NORM.DIST(CF$3,$CV24,0.3*$CV24,TRUE)-_xlfn.NORM.DIST(CF$30,$CV24,0.3*$CV24,TRUE))),""),IF($C24&gt;0,summary!$C$10/28.8/0.947817,""))</f>
        <v/>
      </c>
      <c r="CG53">
        <f t="array" ref="CG53">IF($D24,IFERROR((SUMPRODUCT((economics!$AG$2:$AG$167=$B53)*(economics!$D$2:$D$167="whr")*economics!$AH$2:$AH$167*(_xlfn.NORM.DIST(CG$3,economics!$AK$2:$AK$167,economics!$AJ$2:$AJ$167,TRUE)-_xlfn.NORM.DIST(CG$30,economics!$AK$2:$AK$167,economics!$AJ$2:$AJ$167,TRUE))*economics!$AM$2:$AM$167)+$CR24*(_xlfn.NORM.DIST(CG$3,$CU24,0.3*$CU24,TRUE)-_xlfn.NORM.DIST(CG$30,$CU24,0.3*$CU24,TRUE))*summary!$C$7/28.8/0.947817+$CS24*(_xlfn.NORM.DIST(CG$3,$CV24,0.3*$CV24,TRUE)-_xlfn.NORM.DIST(CG$30,$CV24,0.3*$CV24,TRUE))*summary!$C$6/28.8/0.947817)/(SUMPRODUCT((economics!$AG$2:$AG$167=$B53)*(economics!$D$2:$D$167="whr")*economics!$AH$2:$AH$167*(_xlfn.NORM.DIST(CG$3,economics!$AK$2:$AK$167,economics!$AJ$2:$AJ$167,TRUE)-_xlfn.NORM.DIST(CG$30,economics!$AK$2:$AK$167,economics!$AJ$2:$AJ$167,TRUE)))+$CR24*(_xlfn.NORM.DIST(CG$3,$CU24,0.3*$CU24,TRUE)-_xlfn.NORM.DIST(CG$30,$CU24,0.3*$CU24,TRUE))+$CS24*(_xlfn.NORM.DIST(CG$3,$CV24,0.3*$CV24,TRUE)-_xlfn.NORM.DIST(CG$30,$CV24,0.3*$CV24,TRUE))),""),IF($C24&gt;0,summary!$C$10/28.8/0.947817,""))</f>
        <v/>
      </c>
      <c r="CH53">
        <f t="array" ref="CH53">IF($D24,IFERROR((SUMPRODUCT((economics!$AG$2:$AG$167=$B53)*(economics!$D$2:$D$167="whr")*economics!$AH$2:$AH$167*(_xlfn.NORM.DIST(CH$3,economics!$AK$2:$AK$167,economics!$AJ$2:$AJ$167,TRUE)-_xlfn.NORM.DIST(CH$30,economics!$AK$2:$AK$167,economics!$AJ$2:$AJ$167,TRUE))*economics!$AM$2:$AM$167)+$CR24*(_xlfn.NORM.DIST(CH$3,$CU24,0.3*$CU24,TRUE)-_xlfn.NORM.DIST(CH$30,$CU24,0.3*$CU24,TRUE))*summary!$C$7/28.8/0.947817+$CS24*(_xlfn.NORM.DIST(CH$3,$CV24,0.3*$CV24,TRUE)-_xlfn.NORM.DIST(CH$30,$CV24,0.3*$CV24,TRUE))*summary!$C$6/28.8/0.947817)/(SUMPRODUCT((economics!$AG$2:$AG$167=$B53)*(economics!$D$2:$D$167="whr")*economics!$AH$2:$AH$167*(_xlfn.NORM.DIST(CH$3,economics!$AK$2:$AK$167,economics!$AJ$2:$AJ$167,TRUE)-_xlfn.NORM.DIST(CH$30,economics!$AK$2:$AK$167,economics!$AJ$2:$AJ$167,TRUE)))+$CR24*(_xlfn.NORM.DIST(CH$3,$CU24,0.3*$CU24,TRUE)-_xlfn.NORM.DIST(CH$30,$CU24,0.3*$CU24,TRUE))+$CS24*(_xlfn.NORM.DIST(CH$3,$CV24,0.3*$CV24,TRUE)-_xlfn.NORM.DIST(CH$30,$CV24,0.3*$CV24,TRUE))),""),IF($C24&gt;0,summary!$C$10/28.8/0.947817,""))</f>
        <v/>
      </c>
    </row>
    <row r="54">
      <c r="A54">
        <f>A25</f>
        <v/>
      </c>
      <c r="B54">
        <f>B25</f>
        <v/>
      </c>
      <c r="E54">
        <f t="array" ref="E54">IF($D25,IFERROR((SUMPRODUCT((economics!$AG$2:$AG$167=$B54)*(economics!$D$2:$D$167="whr")*economics!$AH$2:$AH$167*(_xlfn.NORM.DIST(E$3,economics!$AK$2:$AK$167,economics!$AJ$2:$AJ$167,TRUE)-_xlfn.NORM.DIST(E$30,economics!$AK$2:$AK$167,economics!$AJ$2:$AJ$167,TRUE))*economics!$AM$2:$AM$167)+$CR25*(_xlfn.NORM.DIST(E$3,$CU25,0.3*$CU25,TRUE)-_xlfn.NORM.DIST(E$30,$CU25,0.3*$CU25,TRUE))*summary!$C$7/28.8/0.947817+$CS25*(_xlfn.NORM.DIST(E$3,$CV25,0.3*$CV25,TRUE)-_xlfn.NORM.DIST(E$30,$CV25,0.3*$CV25,TRUE))*summary!$C$6/28.8/0.947817)/(SUMPRODUCT((economics!$AG$2:$AG$167=$B54)*(economics!$D$2:$D$167="whr")*economics!$AH$2:$AH$167*(_xlfn.NORM.DIST(E$3,economics!$AK$2:$AK$167,economics!$AJ$2:$AJ$167,TRUE)-_xlfn.NORM.DIST(E$30,economics!$AK$2:$AK$167,economics!$AJ$2:$AJ$167,TRUE)))+$CR25*(_xlfn.NORM.DIST(E$3,$CU25,0.3*$CU25,TRUE)-_xlfn.NORM.DIST(E$30,$CU25,0.3*$CU25,TRUE))+$CS25*(_xlfn.NORM.DIST(E$3,$CV25,0.3*$CV25,TRUE)-_xlfn.NORM.DIST(E$30,$CV25,0.3*$CV25,TRUE))),""),IF($C25&gt;0,summary!$C$10/28.8/0.947817,""))</f>
        <v/>
      </c>
      <c r="F54">
        <f t="array" ref="F54">IF($D25,IFERROR((SUMPRODUCT((economics!$AG$2:$AG$167=$B54)*(economics!$D$2:$D$167="whr")*economics!$AH$2:$AH$167*(_xlfn.NORM.DIST(F$3,economics!$AK$2:$AK$167,economics!$AJ$2:$AJ$167,TRUE)-_xlfn.NORM.DIST(F$30,economics!$AK$2:$AK$167,economics!$AJ$2:$AJ$167,TRUE))*economics!$AM$2:$AM$167)+$CR25*(_xlfn.NORM.DIST(F$3,$CU25,0.3*$CU25,TRUE)-_xlfn.NORM.DIST(F$30,$CU25,0.3*$CU25,TRUE))*summary!$C$7/28.8/0.947817+$CS25*(_xlfn.NORM.DIST(F$3,$CV25,0.3*$CV25,TRUE)-_xlfn.NORM.DIST(F$30,$CV25,0.3*$CV25,TRUE))*summary!$C$6/28.8/0.947817)/(SUMPRODUCT((economics!$AG$2:$AG$167=$B54)*(economics!$D$2:$D$167="whr")*economics!$AH$2:$AH$167*(_xlfn.NORM.DIST(F$3,economics!$AK$2:$AK$167,economics!$AJ$2:$AJ$167,TRUE)-_xlfn.NORM.DIST(F$30,economics!$AK$2:$AK$167,economics!$AJ$2:$AJ$167,TRUE)))+$CR25*(_xlfn.NORM.DIST(F$3,$CU25,0.3*$CU25,TRUE)-_xlfn.NORM.DIST(F$30,$CU25,0.3*$CU25,TRUE))+$CS25*(_xlfn.NORM.DIST(F$3,$CV25,0.3*$CV25,TRUE)-_xlfn.NORM.DIST(F$30,$CV25,0.3*$CV25,TRUE))),""),IF($C25&gt;0,summary!$C$10/28.8/0.947817,""))</f>
        <v/>
      </c>
      <c r="G54">
        <f t="array" ref="G54">IF($D25,IFERROR((SUMPRODUCT((economics!$AG$2:$AG$167=$B54)*(economics!$D$2:$D$167="whr")*economics!$AH$2:$AH$167*(_xlfn.NORM.DIST(G$3,economics!$AK$2:$AK$167,economics!$AJ$2:$AJ$167,TRUE)-_xlfn.NORM.DIST(G$30,economics!$AK$2:$AK$167,economics!$AJ$2:$AJ$167,TRUE))*economics!$AM$2:$AM$167)+$CR25*(_xlfn.NORM.DIST(G$3,$CU25,0.3*$CU25,TRUE)-_xlfn.NORM.DIST(G$30,$CU25,0.3*$CU25,TRUE))*summary!$C$7/28.8/0.947817+$CS25*(_xlfn.NORM.DIST(G$3,$CV25,0.3*$CV25,TRUE)-_xlfn.NORM.DIST(G$30,$CV25,0.3*$CV25,TRUE))*summary!$C$6/28.8/0.947817)/(SUMPRODUCT((economics!$AG$2:$AG$167=$B54)*(economics!$D$2:$D$167="whr")*economics!$AH$2:$AH$167*(_xlfn.NORM.DIST(G$3,economics!$AK$2:$AK$167,economics!$AJ$2:$AJ$167,TRUE)-_xlfn.NORM.DIST(G$30,economics!$AK$2:$AK$167,economics!$AJ$2:$AJ$167,TRUE)))+$CR25*(_xlfn.NORM.DIST(G$3,$CU25,0.3*$CU25,TRUE)-_xlfn.NORM.DIST(G$30,$CU25,0.3*$CU25,TRUE))+$CS25*(_xlfn.NORM.DIST(G$3,$CV25,0.3*$CV25,TRUE)-_xlfn.NORM.DIST(G$30,$CV25,0.3*$CV25,TRUE))),""),IF($C25&gt;0,summary!$C$10/28.8/0.947817,""))</f>
        <v/>
      </c>
      <c r="H54">
        <f t="array" ref="H54">IF($D25,IFERROR((SUMPRODUCT((economics!$AG$2:$AG$167=$B54)*(economics!$D$2:$D$167="whr")*economics!$AH$2:$AH$167*(_xlfn.NORM.DIST(H$3,economics!$AK$2:$AK$167,economics!$AJ$2:$AJ$167,TRUE)-_xlfn.NORM.DIST(H$30,economics!$AK$2:$AK$167,economics!$AJ$2:$AJ$167,TRUE))*economics!$AM$2:$AM$167)+$CR25*(_xlfn.NORM.DIST(H$3,$CU25,0.3*$CU25,TRUE)-_xlfn.NORM.DIST(H$30,$CU25,0.3*$CU25,TRUE))*summary!$C$7/28.8/0.947817+$CS25*(_xlfn.NORM.DIST(H$3,$CV25,0.3*$CV25,TRUE)-_xlfn.NORM.DIST(H$30,$CV25,0.3*$CV25,TRUE))*summary!$C$6/28.8/0.947817)/(SUMPRODUCT((economics!$AG$2:$AG$167=$B54)*(economics!$D$2:$D$167="whr")*economics!$AH$2:$AH$167*(_xlfn.NORM.DIST(H$3,economics!$AK$2:$AK$167,economics!$AJ$2:$AJ$167,TRUE)-_xlfn.NORM.DIST(H$30,economics!$AK$2:$AK$167,economics!$AJ$2:$AJ$167,TRUE)))+$CR25*(_xlfn.NORM.DIST(H$3,$CU25,0.3*$CU25,TRUE)-_xlfn.NORM.DIST(H$30,$CU25,0.3*$CU25,TRUE))+$CS25*(_xlfn.NORM.DIST(H$3,$CV25,0.3*$CV25,TRUE)-_xlfn.NORM.DIST(H$30,$CV25,0.3*$CV25,TRUE))),""),IF($C25&gt;0,summary!$C$10/28.8/0.947817,""))</f>
        <v/>
      </c>
      <c r="I54">
        <f t="array" ref="I54">IF($D25,IFERROR((SUMPRODUCT((economics!$AG$2:$AG$167=$B54)*(economics!$D$2:$D$167="whr")*economics!$AH$2:$AH$167*(_xlfn.NORM.DIST(I$3,economics!$AK$2:$AK$167,economics!$AJ$2:$AJ$167,TRUE)-_xlfn.NORM.DIST(I$30,economics!$AK$2:$AK$167,economics!$AJ$2:$AJ$167,TRUE))*economics!$AM$2:$AM$167)+$CR25*(_xlfn.NORM.DIST(I$3,$CU25,0.3*$CU25,TRUE)-_xlfn.NORM.DIST(I$30,$CU25,0.3*$CU25,TRUE))*summary!$C$7/28.8/0.947817+$CS25*(_xlfn.NORM.DIST(I$3,$CV25,0.3*$CV25,TRUE)-_xlfn.NORM.DIST(I$30,$CV25,0.3*$CV25,TRUE))*summary!$C$6/28.8/0.947817)/(SUMPRODUCT((economics!$AG$2:$AG$167=$B54)*(economics!$D$2:$D$167="whr")*economics!$AH$2:$AH$167*(_xlfn.NORM.DIST(I$3,economics!$AK$2:$AK$167,economics!$AJ$2:$AJ$167,TRUE)-_xlfn.NORM.DIST(I$30,economics!$AK$2:$AK$167,economics!$AJ$2:$AJ$167,TRUE)))+$CR25*(_xlfn.NORM.DIST(I$3,$CU25,0.3*$CU25,TRUE)-_xlfn.NORM.DIST(I$30,$CU25,0.3*$CU25,TRUE))+$CS25*(_xlfn.NORM.DIST(I$3,$CV25,0.3*$CV25,TRUE)-_xlfn.NORM.DIST(I$30,$CV25,0.3*$CV25,TRUE))),""),IF($C25&gt;0,summary!$C$10/28.8/0.947817,""))</f>
        <v/>
      </c>
      <c r="J54">
        <f t="array" ref="J54">IF($D25,IFERROR((SUMPRODUCT((economics!$AG$2:$AG$167=$B54)*(economics!$D$2:$D$167="whr")*economics!$AH$2:$AH$167*(_xlfn.NORM.DIST(J$3,economics!$AK$2:$AK$167,economics!$AJ$2:$AJ$167,TRUE)-_xlfn.NORM.DIST(J$30,economics!$AK$2:$AK$167,economics!$AJ$2:$AJ$167,TRUE))*economics!$AM$2:$AM$167)+$CR25*(_xlfn.NORM.DIST(J$3,$CU25,0.3*$CU25,TRUE)-_xlfn.NORM.DIST(J$30,$CU25,0.3*$CU25,TRUE))*summary!$C$7/28.8/0.947817+$CS25*(_xlfn.NORM.DIST(J$3,$CV25,0.3*$CV25,TRUE)-_xlfn.NORM.DIST(J$30,$CV25,0.3*$CV25,TRUE))*summary!$C$6/28.8/0.947817)/(SUMPRODUCT((economics!$AG$2:$AG$167=$B54)*(economics!$D$2:$D$167="whr")*economics!$AH$2:$AH$167*(_xlfn.NORM.DIST(J$3,economics!$AK$2:$AK$167,economics!$AJ$2:$AJ$167,TRUE)-_xlfn.NORM.DIST(J$30,economics!$AK$2:$AK$167,economics!$AJ$2:$AJ$167,TRUE)))+$CR25*(_xlfn.NORM.DIST(J$3,$CU25,0.3*$CU25,TRUE)-_xlfn.NORM.DIST(J$30,$CU25,0.3*$CU25,TRUE))+$CS25*(_xlfn.NORM.DIST(J$3,$CV25,0.3*$CV25,TRUE)-_xlfn.NORM.DIST(J$30,$CV25,0.3*$CV25,TRUE))),""),IF($C25&gt;0,summary!$C$10/28.8/0.947817,""))</f>
        <v/>
      </c>
      <c r="K54">
        <f t="array" ref="K54">IF($D25,IFERROR((SUMPRODUCT((economics!$AG$2:$AG$167=$B54)*(economics!$D$2:$D$167="whr")*economics!$AH$2:$AH$167*(_xlfn.NORM.DIST(K$3,economics!$AK$2:$AK$167,economics!$AJ$2:$AJ$167,TRUE)-_xlfn.NORM.DIST(K$30,economics!$AK$2:$AK$167,economics!$AJ$2:$AJ$167,TRUE))*economics!$AM$2:$AM$167)+$CR25*(_xlfn.NORM.DIST(K$3,$CU25,0.3*$CU25,TRUE)-_xlfn.NORM.DIST(K$30,$CU25,0.3*$CU25,TRUE))*summary!$C$7/28.8/0.947817+$CS25*(_xlfn.NORM.DIST(K$3,$CV25,0.3*$CV25,TRUE)-_xlfn.NORM.DIST(K$30,$CV25,0.3*$CV25,TRUE))*summary!$C$6/28.8/0.947817)/(SUMPRODUCT((economics!$AG$2:$AG$167=$B54)*(economics!$D$2:$D$167="whr")*economics!$AH$2:$AH$167*(_xlfn.NORM.DIST(K$3,economics!$AK$2:$AK$167,economics!$AJ$2:$AJ$167,TRUE)-_xlfn.NORM.DIST(K$30,economics!$AK$2:$AK$167,economics!$AJ$2:$AJ$167,TRUE)))+$CR25*(_xlfn.NORM.DIST(K$3,$CU25,0.3*$CU25,TRUE)-_xlfn.NORM.DIST(K$30,$CU25,0.3*$CU25,TRUE))+$CS25*(_xlfn.NORM.DIST(K$3,$CV25,0.3*$CV25,TRUE)-_xlfn.NORM.DIST(K$30,$CV25,0.3*$CV25,TRUE))),""),IF($C25&gt;0,summary!$C$10/28.8/0.947817,""))</f>
        <v/>
      </c>
      <c r="L54">
        <f t="array" ref="L54">IF($D25,IFERROR((SUMPRODUCT((economics!$AG$2:$AG$167=$B54)*(economics!$D$2:$D$167="whr")*economics!$AH$2:$AH$167*(_xlfn.NORM.DIST(L$3,economics!$AK$2:$AK$167,economics!$AJ$2:$AJ$167,TRUE)-_xlfn.NORM.DIST(L$30,economics!$AK$2:$AK$167,economics!$AJ$2:$AJ$167,TRUE))*economics!$AM$2:$AM$167)+$CR25*(_xlfn.NORM.DIST(L$3,$CU25,0.3*$CU25,TRUE)-_xlfn.NORM.DIST(L$30,$CU25,0.3*$CU25,TRUE))*summary!$C$7/28.8/0.947817+$CS25*(_xlfn.NORM.DIST(L$3,$CV25,0.3*$CV25,TRUE)-_xlfn.NORM.DIST(L$30,$CV25,0.3*$CV25,TRUE))*summary!$C$6/28.8/0.947817)/(SUMPRODUCT((economics!$AG$2:$AG$167=$B54)*(economics!$D$2:$D$167="whr")*economics!$AH$2:$AH$167*(_xlfn.NORM.DIST(L$3,economics!$AK$2:$AK$167,economics!$AJ$2:$AJ$167,TRUE)-_xlfn.NORM.DIST(L$30,economics!$AK$2:$AK$167,economics!$AJ$2:$AJ$167,TRUE)))+$CR25*(_xlfn.NORM.DIST(L$3,$CU25,0.3*$CU25,TRUE)-_xlfn.NORM.DIST(L$30,$CU25,0.3*$CU25,TRUE))+$CS25*(_xlfn.NORM.DIST(L$3,$CV25,0.3*$CV25,TRUE)-_xlfn.NORM.DIST(L$30,$CV25,0.3*$CV25,TRUE))),""),IF($C25&gt;0,summary!$C$10/28.8/0.947817,""))</f>
        <v/>
      </c>
      <c r="M54">
        <f t="array" ref="M54">IF($D25,IFERROR((SUMPRODUCT((economics!$AG$2:$AG$167=$B54)*(economics!$D$2:$D$167="whr")*economics!$AH$2:$AH$167*(_xlfn.NORM.DIST(M$3,economics!$AK$2:$AK$167,economics!$AJ$2:$AJ$167,TRUE)-_xlfn.NORM.DIST(M$30,economics!$AK$2:$AK$167,economics!$AJ$2:$AJ$167,TRUE))*economics!$AM$2:$AM$167)+$CR25*(_xlfn.NORM.DIST(M$3,$CU25,0.3*$CU25,TRUE)-_xlfn.NORM.DIST(M$30,$CU25,0.3*$CU25,TRUE))*summary!$C$7/28.8/0.947817+$CS25*(_xlfn.NORM.DIST(M$3,$CV25,0.3*$CV25,TRUE)-_xlfn.NORM.DIST(M$30,$CV25,0.3*$CV25,TRUE))*summary!$C$6/28.8/0.947817)/(SUMPRODUCT((economics!$AG$2:$AG$167=$B54)*(economics!$D$2:$D$167="whr")*economics!$AH$2:$AH$167*(_xlfn.NORM.DIST(M$3,economics!$AK$2:$AK$167,economics!$AJ$2:$AJ$167,TRUE)-_xlfn.NORM.DIST(M$30,economics!$AK$2:$AK$167,economics!$AJ$2:$AJ$167,TRUE)))+$CR25*(_xlfn.NORM.DIST(M$3,$CU25,0.3*$CU25,TRUE)-_xlfn.NORM.DIST(M$30,$CU25,0.3*$CU25,TRUE))+$CS25*(_xlfn.NORM.DIST(M$3,$CV25,0.3*$CV25,TRUE)-_xlfn.NORM.DIST(M$30,$CV25,0.3*$CV25,TRUE))),""),IF($C25&gt;0,summary!$C$10/28.8/0.947817,""))</f>
        <v/>
      </c>
      <c r="N54">
        <f t="array" ref="N54">IF($D25,IFERROR((SUMPRODUCT((economics!$AG$2:$AG$167=$B54)*(economics!$D$2:$D$167="whr")*economics!$AH$2:$AH$167*(_xlfn.NORM.DIST(N$3,economics!$AK$2:$AK$167,economics!$AJ$2:$AJ$167,TRUE)-_xlfn.NORM.DIST(N$30,economics!$AK$2:$AK$167,economics!$AJ$2:$AJ$167,TRUE))*economics!$AM$2:$AM$167)+$CR25*(_xlfn.NORM.DIST(N$3,$CU25,0.3*$CU25,TRUE)-_xlfn.NORM.DIST(N$30,$CU25,0.3*$CU25,TRUE))*summary!$C$7/28.8/0.947817+$CS25*(_xlfn.NORM.DIST(N$3,$CV25,0.3*$CV25,TRUE)-_xlfn.NORM.DIST(N$30,$CV25,0.3*$CV25,TRUE))*summary!$C$6/28.8/0.947817)/(SUMPRODUCT((economics!$AG$2:$AG$167=$B54)*(economics!$D$2:$D$167="whr")*economics!$AH$2:$AH$167*(_xlfn.NORM.DIST(N$3,economics!$AK$2:$AK$167,economics!$AJ$2:$AJ$167,TRUE)-_xlfn.NORM.DIST(N$30,economics!$AK$2:$AK$167,economics!$AJ$2:$AJ$167,TRUE)))+$CR25*(_xlfn.NORM.DIST(N$3,$CU25,0.3*$CU25,TRUE)-_xlfn.NORM.DIST(N$30,$CU25,0.3*$CU25,TRUE))+$CS25*(_xlfn.NORM.DIST(N$3,$CV25,0.3*$CV25,TRUE)-_xlfn.NORM.DIST(N$30,$CV25,0.3*$CV25,TRUE))),""),IF($C25&gt;0,summary!$C$10/28.8/0.947817,""))</f>
        <v/>
      </c>
      <c r="O54">
        <f t="array" ref="O54">IF($D25,IFERROR((SUMPRODUCT((economics!$AG$2:$AG$167=$B54)*(economics!$D$2:$D$167="whr")*economics!$AH$2:$AH$167*(_xlfn.NORM.DIST(O$3,economics!$AK$2:$AK$167,economics!$AJ$2:$AJ$167,TRUE)-_xlfn.NORM.DIST(O$30,economics!$AK$2:$AK$167,economics!$AJ$2:$AJ$167,TRUE))*economics!$AM$2:$AM$167)+$CR25*(_xlfn.NORM.DIST(O$3,$CU25,0.3*$CU25,TRUE)-_xlfn.NORM.DIST(O$30,$CU25,0.3*$CU25,TRUE))*summary!$C$7/28.8/0.947817+$CS25*(_xlfn.NORM.DIST(O$3,$CV25,0.3*$CV25,TRUE)-_xlfn.NORM.DIST(O$30,$CV25,0.3*$CV25,TRUE))*summary!$C$6/28.8/0.947817)/(SUMPRODUCT((economics!$AG$2:$AG$167=$B54)*(economics!$D$2:$D$167="whr")*economics!$AH$2:$AH$167*(_xlfn.NORM.DIST(O$3,economics!$AK$2:$AK$167,economics!$AJ$2:$AJ$167,TRUE)-_xlfn.NORM.DIST(O$30,economics!$AK$2:$AK$167,economics!$AJ$2:$AJ$167,TRUE)))+$CR25*(_xlfn.NORM.DIST(O$3,$CU25,0.3*$CU25,TRUE)-_xlfn.NORM.DIST(O$30,$CU25,0.3*$CU25,TRUE))+$CS25*(_xlfn.NORM.DIST(O$3,$CV25,0.3*$CV25,TRUE)-_xlfn.NORM.DIST(O$30,$CV25,0.3*$CV25,TRUE))),""),IF($C25&gt;0,summary!$C$10/28.8/0.947817,""))</f>
        <v/>
      </c>
      <c r="P54">
        <f t="array" ref="P54">IF($D25,IFERROR((SUMPRODUCT((economics!$AG$2:$AG$167=$B54)*(economics!$D$2:$D$167="whr")*economics!$AH$2:$AH$167*(_xlfn.NORM.DIST(P$3,economics!$AK$2:$AK$167,economics!$AJ$2:$AJ$167,TRUE)-_xlfn.NORM.DIST(P$30,economics!$AK$2:$AK$167,economics!$AJ$2:$AJ$167,TRUE))*economics!$AM$2:$AM$167)+$CR25*(_xlfn.NORM.DIST(P$3,$CU25,0.3*$CU25,TRUE)-_xlfn.NORM.DIST(P$30,$CU25,0.3*$CU25,TRUE))*summary!$C$7/28.8/0.947817+$CS25*(_xlfn.NORM.DIST(P$3,$CV25,0.3*$CV25,TRUE)-_xlfn.NORM.DIST(P$30,$CV25,0.3*$CV25,TRUE))*summary!$C$6/28.8/0.947817)/(SUMPRODUCT((economics!$AG$2:$AG$167=$B54)*(economics!$D$2:$D$167="whr")*economics!$AH$2:$AH$167*(_xlfn.NORM.DIST(P$3,economics!$AK$2:$AK$167,economics!$AJ$2:$AJ$167,TRUE)-_xlfn.NORM.DIST(P$30,economics!$AK$2:$AK$167,economics!$AJ$2:$AJ$167,TRUE)))+$CR25*(_xlfn.NORM.DIST(P$3,$CU25,0.3*$CU25,TRUE)-_xlfn.NORM.DIST(P$30,$CU25,0.3*$CU25,TRUE))+$CS25*(_xlfn.NORM.DIST(P$3,$CV25,0.3*$CV25,TRUE)-_xlfn.NORM.DIST(P$30,$CV25,0.3*$CV25,TRUE))),""),IF($C25&gt;0,summary!$C$10/28.8/0.947817,""))</f>
        <v/>
      </c>
      <c r="Q54">
        <f t="array" ref="Q54">IF($D25,IFERROR((SUMPRODUCT((economics!$AG$2:$AG$167=$B54)*(economics!$D$2:$D$167="whr")*economics!$AH$2:$AH$167*(_xlfn.NORM.DIST(Q$3,economics!$AK$2:$AK$167,economics!$AJ$2:$AJ$167,TRUE)-_xlfn.NORM.DIST(Q$30,economics!$AK$2:$AK$167,economics!$AJ$2:$AJ$167,TRUE))*economics!$AM$2:$AM$167)+$CR25*(_xlfn.NORM.DIST(Q$3,$CU25,0.3*$CU25,TRUE)-_xlfn.NORM.DIST(Q$30,$CU25,0.3*$CU25,TRUE))*summary!$C$7/28.8/0.947817+$CS25*(_xlfn.NORM.DIST(Q$3,$CV25,0.3*$CV25,TRUE)-_xlfn.NORM.DIST(Q$30,$CV25,0.3*$CV25,TRUE))*summary!$C$6/28.8/0.947817)/(SUMPRODUCT((economics!$AG$2:$AG$167=$B54)*(economics!$D$2:$D$167="whr")*economics!$AH$2:$AH$167*(_xlfn.NORM.DIST(Q$3,economics!$AK$2:$AK$167,economics!$AJ$2:$AJ$167,TRUE)-_xlfn.NORM.DIST(Q$30,economics!$AK$2:$AK$167,economics!$AJ$2:$AJ$167,TRUE)))+$CR25*(_xlfn.NORM.DIST(Q$3,$CU25,0.3*$CU25,TRUE)-_xlfn.NORM.DIST(Q$30,$CU25,0.3*$CU25,TRUE))+$CS25*(_xlfn.NORM.DIST(Q$3,$CV25,0.3*$CV25,TRUE)-_xlfn.NORM.DIST(Q$30,$CV25,0.3*$CV25,TRUE))),""),IF($C25&gt;0,summary!$C$10/28.8/0.947817,""))</f>
        <v/>
      </c>
      <c r="R54">
        <f t="array" ref="R54">IF($D25,IFERROR((SUMPRODUCT((economics!$AG$2:$AG$167=$B54)*(economics!$D$2:$D$167="whr")*economics!$AH$2:$AH$167*(_xlfn.NORM.DIST(R$3,economics!$AK$2:$AK$167,economics!$AJ$2:$AJ$167,TRUE)-_xlfn.NORM.DIST(R$30,economics!$AK$2:$AK$167,economics!$AJ$2:$AJ$167,TRUE))*economics!$AM$2:$AM$167)+$CR25*(_xlfn.NORM.DIST(R$3,$CU25,0.3*$CU25,TRUE)-_xlfn.NORM.DIST(R$30,$CU25,0.3*$CU25,TRUE))*summary!$C$7/28.8/0.947817+$CS25*(_xlfn.NORM.DIST(R$3,$CV25,0.3*$CV25,TRUE)-_xlfn.NORM.DIST(R$30,$CV25,0.3*$CV25,TRUE))*summary!$C$6/28.8/0.947817)/(SUMPRODUCT((economics!$AG$2:$AG$167=$B54)*(economics!$D$2:$D$167="whr")*economics!$AH$2:$AH$167*(_xlfn.NORM.DIST(R$3,economics!$AK$2:$AK$167,economics!$AJ$2:$AJ$167,TRUE)-_xlfn.NORM.DIST(R$30,economics!$AK$2:$AK$167,economics!$AJ$2:$AJ$167,TRUE)))+$CR25*(_xlfn.NORM.DIST(R$3,$CU25,0.3*$CU25,TRUE)-_xlfn.NORM.DIST(R$30,$CU25,0.3*$CU25,TRUE))+$CS25*(_xlfn.NORM.DIST(R$3,$CV25,0.3*$CV25,TRUE)-_xlfn.NORM.DIST(R$30,$CV25,0.3*$CV25,TRUE))),""),IF($C25&gt;0,summary!$C$10/28.8/0.947817,""))</f>
        <v/>
      </c>
      <c r="S54">
        <f t="array" ref="S54">IF($D25,IFERROR((SUMPRODUCT((economics!$AG$2:$AG$167=$B54)*(economics!$D$2:$D$167="whr")*economics!$AH$2:$AH$167*(_xlfn.NORM.DIST(S$3,economics!$AK$2:$AK$167,economics!$AJ$2:$AJ$167,TRUE)-_xlfn.NORM.DIST(S$30,economics!$AK$2:$AK$167,economics!$AJ$2:$AJ$167,TRUE))*economics!$AM$2:$AM$167)+$CR25*(_xlfn.NORM.DIST(S$3,$CU25,0.3*$CU25,TRUE)-_xlfn.NORM.DIST(S$30,$CU25,0.3*$CU25,TRUE))*summary!$C$7/28.8/0.947817+$CS25*(_xlfn.NORM.DIST(S$3,$CV25,0.3*$CV25,TRUE)-_xlfn.NORM.DIST(S$30,$CV25,0.3*$CV25,TRUE))*summary!$C$6/28.8/0.947817)/(SUMPRODUCT((economics!$AG$2:$AG$167=$B54)*(economics!$D$2:$D$167="whr")*economics!$AH$2:$AH$167*(_xlfn.NORM.DIST(S$3,economics!$AK$2:$AK$167,economics!$AJ$2:$AJ$167,TRUE)-_xlfn.NORM.DIST(S$30,economics!$AK$2:$AK$167,economics!$AJ$2:$AJ$167,TRUE)))+$CR25*(_xlfn.NORM.DIST(S$3,$CU25,0.3*$CU25,TRUE)-_xlfn.NORM.DIST(S$30,$CU25,0.3*$CU25,TRUE))+$CS25*(_xlfn.NORM.DIST(S$3,$CV25,0.3*$CV25,TRUE)-_xlfn.NORM.DIST(S$30,$CV25,0.3*$CV25,TRUE))),""),IF($C25&gt;0,summary!$C$10/28.8/0.947817,""))</f>
        <v/>
      </c>
      <c r="T54">
        <f t="array" ref="T54">IF($D25,IFERROR((SUMPRODUCT((economics!$AG$2:$AG$167=$B54)*(economics!$D$2:$D$167="whr")*economics!$AH$2:$AH$167*(_xlfn.NORM.DIST(T$3,economics!$AK$2:$AK$167,economics!$AJ$2:$AJ$167,TRUE)-_xlfn.NORM.DIST(T$30,economics!$AK$2:$AK$167,economics!$AJ$2:$AJ$167,TRUE))*economics!$AM$2:$AM$167)+$CR25*(_xlfn.NORM.DIST(T$3,$CU25,0.3*$CU25,TRUE)-_xlfn.NORM.DIST(T$30,$CU25,0.3*$CU25,TRUE))*summary!$C$7/28.8/0.947817+$CS25*(_xlfn.NORM.DIST(T$3,$CV25,0.3*$CV25,TRUE)-_xlfn.NORM.DIST(T$30,$CV25,0.3*$CV25,TRUE))*summary!$C$6/28.8/0.947817)/(SUMPRODUCT((economics!$AG$2:$AG$167=$B54)*(economics!$D$2:$D$167="whr")*economics!$AH$2:$AH$167*(_xlfn.NORM.DIST(T$3,economics!$AK$2:$AK$167,economics!$AJ$2:$AJ$167,TRUE)-_xlfn.NORM.DIST(T$30,economics!$AK$2:$AK$167,economics!$AJ$2:$AJ$167,TRUE)))+$CR25*(_xlfn.NORM.DIST(T$3,$CU25,0.3*$CU25,TRUE)-_xlfn.NORM.DIST(T$30,$CU25,0.3*$CU25,TRUE))+$CS25*(_xlfn.NORM.DIST(T$3,$CV25,0.3*$CV25,TRUE)-_xlfn.NORM.DIST(T$30,$CV25,0.3*$CV25,TRUE))),""),IF($C25&gt;0,summary!$C$10/28.8/0.947817,""))</f>
        <v/>
      </c>
      <c r="U54">
        <f t="array" ref="U54">IF($D25,IFERROR((SUMPRODUCT((economics!$AG$2:$AG$167=$B54)*(economics!$D$2:$D$167="whr")*economics!$AH$2:$AH$167*(_xlfn.NORM.DIST(U$3,economics!$AK$2:$AK$167,economics!$AJ$2:$AJ$167,TRUE)-_xlfn.NORM.DIST(U$30,economics!$AK$2:$AK$167,economics!$AJ$2:$AJ$167,TRUE))*economics!$AM$2:$AM$167)+$CR25*(_xlfn.NORM.DIST(U$3,$CU25,0.3*$CU25,TRUE)-_xlfn.NORM.DIST(U$30,$CU25,0.3*$CU25,TRUE))*summary!$C$7/28.8/0.947817+$CS25*(_xlfn.NORM.DIST(U$3,$CV25,0.3*$CV25,TRUE)-_xlfn.NORM.DIST(U$30,$CV25,0.3*$CV25,TRUE))*summary!$C$6/28.8/0.947817)/(SUMPRODUCT((economics!$AG$2:$AG$167=$B54)*(economics!$D$2:$D$167="whr")*economics!$AH$2:$AH$167*(_xlfn.NORM.DIST(U$3,economics!$AK$2:$AK$167,economics!$AJ$2:$AJ$167,TRUE)-_xlfn.NORM.DIST(U$30,economics!$AK$2:$AK$167,economics!$AJ$2:$AJ$167,TRUE)))+$CR25*(_xlfn.NORM.DIST(U$3,$CU25,0.3*$CU25,TRUE)-_xlfn.NORM.DIST(U$30,$CU25,0.3*$CU25,TRUE))+$CS25*(_xlfn.NORM.DIST(U$3,$CV25,0.3*$CV25,TRUE)-_xlfn.NORM.DIST(U$30,$CV25,0.3*$CV25,TRUE))),""),IF($C25&gt;0,summary!$C$10/28.8/0.947817,""))</f>
        <v/>
      </c>
      <c r="V54">
        <f t="array" ref="V54">IF($D25,IFERROR((SUMPRODUCT((economics!$AG$2:$AG$167=$B54)*(economics!$D$2:$D$167="whr")*economics!$AH$2:$AH$167*(_xlfn.NORM.DIST(V$3,economics!$AK$2:$AK$167,economics!$AJ$2:$AJ$167,TRUE)-_xlfn.NORM.DIST(V$30,economics!$AK$2:$AK$167,economics!$AJ$2:$AJ$167,TRUE))*economics!$AM$2:$AM$167)+$CR25*(_xlfn.NORM.DIST(V$3,$CU25,0.3*$CU25,TRUE)-_xlfn.NORM.DIST(V$30,$CU25,0.3*$CU25,TRUE))*summary!$C$7/28.8/0.947817+$CS25*(_xlfn.NORM.DIST(V$3,$CV25,0.3*$CV25,TRUE)-_xlfn.NORM.DIST(V$30,$CV25,0.3*$CV25,TRUE))*summary!$C$6/28.8/0.947817)/(SUMPRODUCT((economics!$AG$2:$AG$167=$B54)*(economics!$D$2:$D$167="whr")*economics!$AH$2:$AH$167*(_xlfn.NORM.DIST(V$3,economics!$AK$2:$AK$167,economics!$AJ$2:$AJ$167,TRUE)-_xlfn.NORM.DIST(V$30,economics!$AK$2:$AK$167,economics!$AJ$2:$AJ$167,TRUE)))+$CR25*(_xlfn.NORM.DIST(V$3,$CU25,0.3*$CU25,TRUE)-_xlfn.NORM.DIST(V$30,$CU25,0.3*$CU25,TRUE))+$CS25*(_xlfn.NORM.DIST(V$3,$CV25,0.3*$CV25,TRUE)-_xlfn.NORM.DIST(V$30,$CV25,0.3*$CV25,TRUE))),""),IF($C25&gt;0,summary!$C$10/28.8/0.947817,""))</f>
        <v/>
      </c>
      <c r="W54">
        <f t="array" ref="W54">IF($D25,IFERROR((SUMPRODUCT((economics!$AG$2:$AG$167=$B54)*(economics!$D$2:$D$167="whr")*economics!$AH$2:$AH$167*(_xlfn.NORM.DIST(W$3,economics!$AK$2:$AK$167,economics!$AJ$2:$AJ$167,TRUE)-_xlfn.NORM.DIST(W$30,economics!$AK$2:$AK$167,economics!$AJ$2:$AJ$167,TRUE))*economics!$AM$2:$AM$167)+$CR25*(_xlfn.NORM.DIST(W$3,$CU25,0.3*$CU25,TRUE)-_xlfn.NORM.DIST(W$30,$CU25,0.3*$CU25,TRUE))*summary!$C$7/28.8/0.947817+$CS25*(_xlfn.NORM.DIST(W$3,$CV25,0.3*$CV25,TRUE)-_xlfn.NORM.DIST(W$30,$CV25,0.3*$CV25,TRUE))*summary!$C$6/28.8/0.947817)/(SUMPRODUCT((economics!$AG$2:$AG$167=$B54)*(economics!$D$2:$D$167="whr")*economics!$AH$2:$AH$167*(_xlfn.NORM.DIST(W$3,economics!$AK$2:$AK$167,economics!$AJ$2:$AJ$167,TRUE)-_xlfn.NORM.DIST(W$30,economics!$AK$2:$AK$167,economics!$AJ$2:$AJ$167,TRUE)))+$CR25*(_xlfn.NORM.DIST(W$3,$CU25,0.3*$CU25,TRUE)-_xlfn.NORM.DIST(W$30,$CU25,0.3*$CU25,TRUE))+$CS25*(_xlfn.NORM.DIST(W$3,$CV25,0.3*$CV25,TRUE)-_xlfn.NORM.DIST(W$30,$CV25,0.3*$CV25,TRUE))),""),IF($C25&gt;0,summary!$C$10/28.8/0.947817,""))</f>
        <v/>
      </c>
      <c r="X54">
        <f t="array" ref="X54">IF($D25,IFERROR((SUMPRODUCT((economics!$AG$2:$AG$167=$B54)*(economics!$D$2:$D$167="whr")*economics!$AH$2:$AH$167*(_xlfn.NORM.DIST(X$3,economics!$AK$2:$AK$167,economics!$AJ$2:$AJ$167,TRUE)-_xlfn.NORM.DIST(X$30,economics!$AK$2:$AK$167,economics!$AJ$2:$AJ$167,TRUE))*economics!$AM$2:$AM$167)+$CR25*(_xlfn.NORM.DIST(X$3,$CU25,0.3*$CU25,TRUE)-_xlfn.NORM.DIST(X$30,$CU25,0.3*$CU25,TRUE))*summary!$C$7/28.8/0.947817+$CS25*(_xlfn.NORM.DIST(X$3,$CV25,0.3*$CV25,TRUE)-_xlfn.NORM.DIST(X$30,$CV25,0.3*$CV25,TRUE))*summary!$C$6/28.8/0.947817)/(SUMPRODUCT((economics!$AG$2:$AG$167=$B54)*(economics!$D$2:$D$167="whr")*economics!$AH$2:$AH$167*(_xlfn.NORM.DIST(X$3,economics!$AK$2:$AK$167,economics!$AJ$2:$AJ$167,TRUE)-_xlfn.NORM.DIST(X$30,economics!$AK$2:$AK$167,economics!$AJ$2:$AJ$167,TRUE)))+$CR25*(_xlfn.NORM.DIST(X$3,$CU25,0.3*$CU25,TRUE)-_xlfn.NORM.DIST(X$30,$CU25,0.3*$CU25,TRUE))+$CS25*(_xlfn.NORM.DIST(X$3,$CV25,0.3*$CV25,TRUE)-_xlfn.NORM.DIST(X$30,$CV25,0.3*$CV25,TRUE))),""),IF($C25&gt;0,summary!$C$10/28.8/0.947817,""))</f>
        <v/>
      </c>
      <c r="Y54">
        <f t="array" ref="Y54">IF($D25,IFERROR((SUMPRODUCT((economics!$AG$2:$AG$167=$B54)*(economics!$D$2:$D$167="whr")*economics!$AH$2:$AH$167*(_xlfn.NORM.DIST(Y$3,economics!$AK$2:$AK$167,economics!$AJ$2:$AJ$167,TRUE)-_xlfn.NORM.DIST(Y$30,economics!$AK$2:$AK$167,economics!$AJ$2:$AJ$167,TRUE))*economics!$AM$2:$AM$167)+$CR25*(_xlfn.NORM.DIST(Y$3,$CU25,0.3*$CU25,TRUE)-_xlfn.NORM.DIST(Y$30,$CU25,0.3*$CU25,TRUE))*summary!$C$7/28.8/0.947817+$CS25*(_xlfn.NORM.DIST(Y$3,$CV25,0.3*$CV25,TRUE)-_xlfn.NORM.DIST(Y$30,$CV25,0.3*$CV25,TRUE))*summary!$C$6/28.8/0.947817)/(SUMPRODUCT((economics!$AG$2:$AG$167=$B54)*(economics!$D$2:$D$167="whr")*economics!$AH$2:$AH$167*(_xlfn.NORM.DIST(Y$3,economics!$AK$2:$AK$167,economics!$AJ$2:$AJ$167,TRUE)-_xlfn.NORM.DIST(Y$30,economics!$AK$2:$AK$167,economics!$AJ$2:$AJ$167,TRUE)))+$CR25*(_xlfn.NORM.DIST(Y$3,$CU25,0.3*$CU25,TRUE)-_xlfn.NORM.DIST(Y$30,$CU25,0.3*$CU25,TRUE))+$CS25*(_xlfn.NORM.DIST(Y$3,$CV25,0.3*$CV25,TRUE)-_xlfn.NORM.DIST(Y$30,$CV25,0.3*$CV25,TRUE))),""),IF($C25&gt;0,summary!$C$10/28.8/0.947817,""))</f>
        <v/>
      </c>
      <c r="Z54">
        <f t="array" ref="Z54">IF($D25,IFERROR((SUMPRODUCT((economics!$AG$2:$AG$167=$B54)*(economics!$D$2:$D$167="whr")*economics!$AH$2:$AH$167*(_xlfn.NORM.DIST(Z$3,economics!$AK$2:$AK$167,economics!$AJ$2:$AJ$167,TRUE)-_xlfn.NORM.DIST(Z$30,economics!$AK$2:$AK$167,economics!$AJ$2:$AJ$167,TRUE))*economics!$AM$2:$AM$167)+$CR25*(_xlfn.NORM.DIST(Z$3,$CU25,0.3*$CU25,TRUE)-_xlfn.NORM.DIST(Z$30,$CU25,0.3*$CU25,TRUE))*summary!$C$7/28.8/0.947817+$CS25*(_xlfn.NORM.DIST(Z$3,$CV25,0.3*$CV25,TRUE)-_xlfn.NORM.DIST(Z$30,$CV25,0.3*$CV25,TRUE))*summary!$C$6/28.8/0.947817)/(SUMPRODUCT((economics!$AG$2:$AG$167=$B54)*(economics!$D$2:$D$167="whr")*economics!$AH$2:$AH$167*(_xlfn.NORM.DIST(Z$3,economics!$AK$2:$AK$167,economics!$AJ$2:$AJ$167,TRUE)-_xlfn.NORM.DIST(Z$30,economics!$AK$2:$AK$167,economics!$AJ$2:$AJ$167,TRUE)))+$CR25*(_xlfn.NORM.DIST(Z$3,$CU25,0.3*$CU25,TRUE)-_xlfn.NORM.DIST(Z$30,$CU25,0.3*$CU25,TRUE))+$CS25*(_xlfn.NORM.DIST(Z$3,$CV25,0.3*$CV25,TRUE)-_xlfn.NORM.DIST(Z$30,$CV25,0.3*$CV25,TRUE))),""),IF($C25&gt;0,summary!$C$10/28.8/0.947817,""))</f>
        <v/>
      </c>
      <c r="AA54">
        <f t="array" ref="AA54">IF($D25,IFERROR((SUMPRODUCT((economics!$AG$2:$AG$167=$B54)*(economics!$D$2:$D$167="whr")*economics!$AH$2:$AH$167*(_xlfn.NORM.DIST(AA$3,economics!$AK$2:$AK$167,economics!$AJ$2:$AJ$167,TRUE)-_xlfn.NORM.DIST(AA$30,economics!$AK$2:$AK$167,economics!$AJ$2:$AJ$167,TRUE))*economics!$AM$2:$AM$167)+$CR25*(_xlfn.NORM.DIST(AA$3,$CU25,0.3*$CU25,TRUE)-_xlfn.NORM.DIST(AA$30,$CU25,0.3*$CU25,TRUE))*summary!$C$7/28.8/0.947817+$CS25*(_xlfn.NORM.DIST(AA$3,$CV25,0.3*$CV25,TRUE)-_xlfn.NORM.DIST(AA$30,$CV25,0.3*$CV25,TRUE))*summary!$C$6/28.8/0.947817)/(SUMPRODUCT((economics!$AG$2:$AG$167=$B54)*(economics!$D$2:$D$167="whr")*economics!$AH$2:$AH$167*(_xlfn.NORM.DIST(AA$3,economics!$AK$2:$AK$167,economics!$AJ$2:$AJ$167,TRUE)-_xlfn.NORM.DIST(AA$30,economics!$AK$2:$AK$167,economics!$AJ$2:$AJ$167,TRUE)))+$CR25*(_xlfn.NORM.DIST(AA$3,$CU25,0.3*$CU25,TRUE)-_xlfn.NORM.DIST(AA$30,$CU25,0.3*$CU25,TRUE))+$CS25*(_xlfn.NORM.DIST(AA$3,$CV25,0.3*$CV25,TRUE)-_xlfn.NORM.DIST(AA$30,$CV25,0.3*$CV25,TRUE))),""),IF($C25&gt;0,summary!$C$10/28.8/0.947817,""))</f>
        <v/>
      </c>
      <c r="AB54">
        <f t="array" ref="AB54">IF($D25,IFERROR((SUMPRODUCT((economics!$AG$2:$AG$167=$B54)*(economics!$D$2:$D$167="whr")*economics!$AH$2:$AH$167*(_xlfn.NORM.DIST(AB$3,economics!$AK$2:$AK$167,economics!$AJ$2:$AJ$167,TRUE)-_xlfn.NORM.DIST(AB$30,economics!$AK$2:$AK$167,economics!$AJ$2:$AJ$167,TRUE))*economics!$AM$2:$AM$167)+$CR25*(_xlfn.NORM.DIST(AB$3,$CU25,0.3*$CU25,TRUE)-_xlfn.NORM.DIST(AB$30,$CU25,0.3*$CU25,TRUE))*summary!$C$7/28.8/0.947817+$CS25*(_xlfn.NORM.DIST(AB$3,$CV25,0.3*$CV25,TRUE)-_xlfn.NORM.DIST(AB$30,$CV25,0.3*$CV25,TRUE))*summary!$C$6/28.8/0.947817)/(SUMPRODUCT((economics!$AG$2:$AG$167=$B54)*(economics!$D$2:$D$167="whr")*economics!$AH$2:$AH$167*(_xlfn.NORM.DIST(AB$3,economics!$AK$2:$AK$167,economics!$AJ$2:$AJ$167,TRUE)-_xlfn.NORM.DIST(AB$30,economics!$AK$2:$AK$167,economics!$AJ$2:$AJ$167,TRUE)))+$CR25*(_xlfn.NORM.DIST(AB$3,$CU25,0.3*$CU25,TRUE)-_xlfn.NORM.DIST(AB$30,$CU25,0.3*$CU25,TRUE))+$CS25*(_xlfn.NORM.DIST(AB$3,$CV25,0.3*$CV25,TRUE)-_xlfn.NORM.DIST(AB$30,$CV25,0.3*$CV25,TRUE))),""),IF($C25&gt;0,summary!$C$10/28.8/0.947817,""))</f>
        <v/>
      </c>
      <c r="AC54">
        <f t="array" ref="AC54">IF($D25,IFERROR((SUMPRODUCT((economics!$AG$2:$AG$167=$B54)*(economics!$D$2:$D$167="whr")*economics!$AH$2:$AH$167*(_xlfn.NORM.DIST(AC$3,economics!$AK$2:$AK$167,economics!$AJ$2:$AJ$167,TRUE)-_xlfn.NORM.DIST(AC$30,economics!$AK$2:$AK$167,economics!$AJ$2:$AJ$167,TRUE))*economics!$AM$2:$AM$167)+$CR25*(_xlfn.NORM.DIST(AC$3,$CU25,0.3*$CU25,TRUE)-_xlfn.NORM.DIST(AC$30,$CU25,0.3*$CU25,TRUE))*summary!$C$7/28.8/0.947817+$CS25*(_xlfn.NORM.DIST(AC$3,$CV25,0.3*$CV25,TRUE)-_xlfn.NORM.DIST(AC$30,$CV25,0.3*$CV25,TRUE))*summary!$C$6/28.8/0.947817)/(SUMPRODUCT((economics!$AG$2:$AG$167=$B54)*(economics!$D$2:$D$167="whr")*economics!$AH$2:$AH$167*(_xlfn.NORM.DIST(AC$3,economics!$AK$2:$AK$167,economics!$AJ$2:$AJ$167,TRUE)-_xlfn.NORM.DIST(AC$30,economics!$AK$2:$AK$167,economics!$AJ$2:$AJ$167,TRUE)))+$CR25*(_xlfn.NORM.DIST(AC$3,$CU25,0.3*$CU25,TRUE)-_xlfn.NORM.DIST(AC$30,$CU25,0.3*$CU25,TRUE))+$CS25*(_xlfn.NORM.DIST(AC$3,$CV25,0.3*$CV25,TRUE)-_xlfn.NORM.DIST(AC$30,$CV25,0.3*$CV25,TRUE))),""),IF($C25&gt;0,summary!$C$10/28.8/0.947817,""))</f>
        <v/>
      </c>
      <c r="AD54">
        <f t="array" ref="AD54">IF($D25,IFERROR((SUMPRODUCT((economics!$AG$2:$AG$167=$B54)*(economics!$D$2:$D$167="whr")*economics!$AH$2:$AH$167*(_xlfn.NORM.DIST(AD$3,economics!$AK$2:$AK$167,economics!$AJ$2:$AJ$167,TRUE)-_xlfn.NORM.DIST(AD$30,economics!$AK$2:$AK$167,economics!$AJ$2:$AJ$167,TRUE))*economics!$AM$2:$AM$167)+$CR25*(_xlfn.NORM.DIST(AD$3,$CU25,0.3*$CU25,TRUE)-_xlfn.NORM.DIST(AD$30,$CU25,0.3*$CU25,TRUE))*summary!$C$7/28.8/0.947817+$CS25*(_xlfn.NORM.DIST(AD$3,$CV25,0.3*$CV25,TRUE)-_xlfn.NORM.DIST(AD$30,$CV25,0.3*$CV25,TRUE))*summary!$C$6/28.8/0.947817)/(SUMPRODUCT((economics!$AG$2:$AG$167=$B54)*(economics!$D$2:$D$167="whr")*economics!$AH$2:$AH$167*(_xlfn.NORM.DIST(AD$3,economics!$AK$2:$AK$167,economics!$AJ$2:$AJ$167,TRUE)-_xlfn.NORM.DIST(AD$30,economics!$AK$2:$AK$167,economics!$AJ$2:$AJ$167,TRUE)))+$CR25*(_xlfn.NORM.DIST(AD$3,$CU25,0.3*$CU25,TRUE)-_xlfn.NORM.DIST(AD$30,$CU25,0.3*$CU25,TRUE))+$CS25*(_xlfn.NORM.DIST(AD$3,$CV25,0.3*$CV25,TRUE)-_xlfn.NORM.DIST(AD$30,$CV25,0.3*$CV25,TRUE))),""),IF($C25&gt;0,summary!$C$10/28.8/0.947817,""))</f>
        <v/>
      </c>
      <c r="AE54">
        <f t="array" ref="AE54">IF($D25,IFERROR((SUMPRODUCT((economics!$AG$2:$AG$167=$B54)*(economics!$D$2:$D$167="whr")*economics!$AH$2:$AH$167*(_xlfn.NORM.DIST(AE$3,economics!$AK$2:$AK$167,economics!$AJ$2:$AJ$167,TRUE)-_xlfn.NORM.DIST(AE$30,economics!$AK$2:$AK$167,economics!$AJ$2:$AJ$167,TRUE))*economics!$AM$2:$AM$167)+$CR25*(_xlfn.NORM.DIST(AE$3,$CU25,0.3*$CU25,TRUE)-_xlfn.NORM.DIST(AE$30,$CU25,0.3*$CU25,TRUE))*summary!$C$7/28.8/0.947817+$CS25*(_xlfn.NORM.DIST(AE$3,$CV25,0.3*$CV25,TRUE)-_xlfn.NORM.DIST(AE$30,$CV25,0.3*$CV25,TRUE))*summary!$C$6/28.8/0.947817)/(SUMPRODUCT((economics!$AG$2:$AG$167=$B54)*(economics!$D$2:$D$167="whr")*economics!$AH$2:$AH$167*(_xlfn.NORM.DIST(AE$3,economics!$AK$2:$AK$167,economics!$AJ$2:$AJ$167,TRUE)-_xlfn.NORM.DIST(AE$30,economics!$AK$2:$AK$167,economics!$AJ$2:$AJ$167,TRUE)))+$CR25*(_xlfn.NORM.DIST(AE$3,$CU25,0.3*$CU25,TRUE)-_xlfn.NORM.DIST(AE$30,$CU25,0.3*$CU25,TRUE))+$CS25*(_xlfn.NORM.DIST(AE$3,$CV25,0.3*$CV25,TRUE)-_xlfn.NORM.DIST(AE$30,$CV25,0.3*$CV25,TRUE))),""),IF($C25&gt;0,summary!$C$10/28.8/0.947817,""))</f>
        <v/>
      </c>
      <c r="AF54">
        <f t="array" ref="AF54">IF($D25,IFERROR((SUMPRODUCT((economics!$AG$2:$AG$167=$B54)*(economics!$D$2:$D$167="whr")*economics!$AH$2:$AH$167*(_xlfn.NORM.DIST(AF$3,economics!$AK$2:$AK$167,economics!$AJ$2:$AJ$167,TRUE)-_xlfn.NORM.DIST(AF$30,economics!$AK$2:$AK$167,economics!$AJ$2:$AJ$167,TRUE))*economics!$AM$2:$AM$167)+$CR25*(_xlfn.NORM.DIST(AF$3,$CU25,0.3*$CU25,TRUE)-_xlfn.NORM.DIST(AF$30,$CU25,0.3*$CU25,TRUE))*summary!$C$7/28.8/0.947817+$CS25*(_xlfn.NORM.DIST(AF$3,$CV25,0.3*$CV25,TRUE)-_xlfn.NORM.DIST(AF$30,$CV25,0.3*$CV25,TRUE))*summary!$C$6/28.8/0.947817)/(SUMPRODUCT((economics!$AG$2:$AG$167=$B54)*(economics!$D$2:$D$167="whr")*economics!$AH$2:$AH$167*(_xlfn.NORM.DIST(AF$3,economics!$AK$2:$AK$167,economics!$AJ$2:$AJ$167,TRUE)-_xlfn.NORM.DIST(AF$30,economics!$AK$2:$AK$167,economics!$AJ$2:$AJ$167,TRUE)))+$CR25*(_xlfn.NORM.DIST(AF$3,$CU25,0.3*$CU25,TRUE)-_xlfn.NORM.DIST(AF$30,$CU25,0.3*$CU25,TRUE))+$CS25*(_xlfn.NORM.DIST(AF$3,$CV25,0.3*$CV25,TRUE)-_xlfn.NORM.DIST(AF$30,$CV25,0.3*$CV25,TRUE))),""),IF($C25&gt;0,summary!$C$10/28.8/0.947817,""))</f>
        <v/>
      </c>
      <c r="AG54">
        <f t="array" ref="AG54">IF($D25,IFERROR((SUMPRODUCT((economics!$AG$2:$AG$167=$B54)*(economics!$D$2:$D$167="whr")*economics!$AH$2:$AH$167*(_xlfn.NORM.DIST(AG$3,economics!$AK$2:$AK$167,economics!$AJ$2:$AJ$167,TRUE)-_xlfn.NORM.DIST(AG$30,economics!$AK$2:$AK$167,economics!$AJ$2:$AJ$167,TRUE))*economics!$AM$2:$AM$167)+$CR25*(_xlfn.NORM.DIST(AG$3,$CU25,0.3*$CU25,TRUE)-_xlfn.NORM.DIST(AG$30,$CU25,0.3*$CU25,TRUE))*summary!$C$7/28.8/0.947817+$CS25*(_xlfn.NORM.DIST(AG$3,$CV25,0.3*$CV25,TRUE)-_xlfn.NORM.DIST(AG$30,$CV25,0.3*$CV25,TRUE))*summary!$C$6/28.8/0.947817)/(SUMPRODUCT((economics!$AG$2:$AG$167=$B54)*(economics!$D$2:$D$167="whr")*economics!$AH$2:$AH$167*(_xlfn.NORM.DIST(AG$3,economics!$AK$2:$AK$167,economics!$AJ$2:$AJ$167,TRUE)-_xlfn.NORM.DIST(AG$30,economics!$AK$2:$AK$167,economics!$AJ$2:$AJ$167,TRUE)))+$CR25*(_xlfn.NORM.DIST(AG$3,$CU25,0.3*$CU25,TRUE)-_xlfn.NORM.DIST(AG$30,$CU25,0.3*$CU25,TRUE))+$CS25*(_xlfn.NORM.DIST(AG$3,$CV25,0.3*$CV25,TRUE)-_xlfn.NORM.DIST(AG$30,$CV25,0.3*$CV25,TRUE))),""),IF($C25&gt;0,summary!$C$10/28.8/0.947817,""))</f>
        <v/>
      </c>
      <c r="AH54">
        <f t="array" ref="AH54">IF($D25,IFERROR((SUMPRODUCT((economics!$AG$2:$AG$167=$B54)*(economics!$D$2:$D$167="whr")*economics!$AH$2:$AH$167*(_xlfn.NORM.DIST(AH$3,economics!$AK$2:$AK$167,economics!$AJ$2:$AJ$167,TRUE)-_xlfn.NORM.DIST(AH$30,economics!$AK$2:$AK$167,economics!$AJ$2:$AJ$167,TRUE))*economics!$AM$2:$AM$167)+$CR25*(_xlfn.NORM.DIST(AH$3,$CU25,0.3*$CU25,TRUE)-_xlfn.NORM.DIST(AH$30,$CU25,0.3*$CU25,TRUE))*summary!$C$7/28.8/0.947817+$CS25*(_xlfn.NORM.DIST(AH$3,$CV25,0.3*$CV25,TRUE)-_xlfn.NORM.DIST(AH$30,$CV25,0.3*$CV25,TRUE))*summary!$C$6/28.8/0.947817)/(SUMPRODUCT((economics!$AG$2:$AG$167=$B54)*(economics!$D$2:$D$167="whr")*economics!$AH$2:$AH$167*(_xlfn.NORM.DIST(AH$3,economics!$AK$2:$AK$167,economics!$AJ$2:$AJ$167,TRUE)-_xlfn.NORM.DIST(AH$30,economics!$AK$2:$AK$167,economics!$AJ$2:$AJ$167,TRUE)))+$CR25*(_xlfn.NORM.DIST(AH$3,$CU25,0.3*$CU25,TRUE)-_xlfn.NORM.DIST(AH$30,$CU25,0.3*$CU25,TRUE))+$CS25*(_xlfn.NORM.DIST(AH$3,$CV25,0.3*$CV25,TRUE)-_xlfn.NORM.DIST(AH$30,$CV25,0.3*$CV25,TRUE))),""),IF($C25&gt;0,summary!$C$10/28.8/0.947817,""))</f>
        <v/>
      </c>
      <c r="AI54">
        <f t="array" ref="AI54">IF($D25,IFERROR((SUMPRODUCT((economics!$AG$2:$AG$167=$B54)*(economics!$D$2:$D$167="whr")*economics!$AH$2:$AH$167*(_xlfn.NORM.DIST(AI$3,economics!$AK$2:$AK$167,economics!$AJ$2:$AJ$167,TRUE)-_xlfn.NORM.DIST(AI$30,economics!$AK$2:$AK$167,economics!$AJ$2:$AJ$167,TRUE))*economics!$AM$2:$AM$167)+$CR25*(_xlfn.NORM.DIST(AI$3,$CU25,0.3*$CU25,TRUE)-_xlfn.NORM.DIST(AI$30,$CU25,0.3*$CU25,TRUE))*summary!$C$7/28.8/0.947817+$CS25*(_xlfn.NORM.DIST(AI$3,$CV25,0.3*$CV25,TRUE)-_xlfn.NORM.DIST(AI$30,$CV25,0.3*$CV25,TRUE))*summary!$C$6/28.8/0.947817)/(SUMPRODUCT((economics!$AG$2:$AG$167=$B54)*(economics!$D$2:$D$167="whr")*economics!$AH$2:$AH$167*(_xlfn.NORM.DIST(AI$3,economics!$AK$2:$AK$167,economics!$AJ$2:$AJ$167,TRUE)-_xlfn.NORM.DIST(AI$30,economics!$AK$2:$AK$167,economics!$AJ$2:$AJ$167,TRUE)))+$CR25*(_xlfn.NORM.DIST(AI$3,$CU25,0.3*$CU25,TRUE)-_xlfn.NORM.DIST(AI$30,$CU25,0.3*$CU25,TRUE))+$CS25*(_xlfn.NORM.DIST(AI$3,$CV25,0.3*$CV25,TRUE)-_xlfn.NORM.DIST(AI$30,$CV25,0.3*$CV25,TRUE))),""),IF($C25&gt;0,summary!$C$10/28.8/0.947817,""))</f>
        <v/>
      </c>
      <c r="AJ54">
        <f t="array" ref="AJ54">IF($D25,IFERROR((SUMPRODUCT((economics!$AG$2:$AG$167=$B54)*(economics!$D$2:$D$167="whr")*economics!$AH$2:$AH$167*(_xlfn.NORM.DIST(AJ$3,economics!$AK$2:$AK$167,economics!$AJ$2:$AJ$167,TRUE)-_xlfn.NORM.DIST(AJ$30,economics!$AK$2:$AK$167,economics!$AJ$2:$AJ$167,TRUE))*economics!$AM$2:$AM$167)+$CR25*(_xlfn.NORM.DIST(AJ$3,$CU25,0.3*$CU25,TRUE)-_xlfn.NORM.DIST(AJ$30,$CU25,0.3*$CU25,TRUE))*summary!$C$7/28.8/0.947817+$CS25*(_xlfn.NORM.DIST(AJ$3,$CV25,0.3*$CV25,TRUE)-_xlfn.NORM.DIST(AJ$30,$CV25,0.3*$CV25,TRUE))*summary!$C$6/28.8/0.947817)/(SUMPRODUCT((economics!$AG$2:$AG$167=$B54)*(economics!$D$2:$D$167="whr")*economics!$AH$2:$AH$167*(_xlfn.NORM.DIST(AJ$3,economics!$AK$2:$AK$167,economics!$AJ$2:$AJ$167,TRUE)-_xlfn.NORM.DIST(AJ$30,economics!$AK$2:$AK$167,economics!$AJ$2:$AJ$167,TRUE)))+$CR25*(_xlfn.NORM.DIST(AJ$3,$CU25,0.3*$CU25,TRUE)-_xlfn.NORM.DIST(AJ$30,$CU25,0.3*$CU25,TRUE))+$CS25*(_xlfn.NORM.DIST(AJ$3,$CV25,0.3*$CV25,TRUE)-_xlfn.NORM.DIST(AJ$30,$CV25,0.3*$CV25,TRUE))),""),IF($C25&gt;0,summary!$C$10/28.8/0.947817,""))</f>
        <v/>
      </c>
      <c r="AK54">
        <f t="array" ref="AK54">IF($D25,IFERROR((SUMPRODUCT((economics!$AG$2:$AG$167=$B54)*(economics!$D$2:$D$167="whr")*economics!$AH$2:$AH$167*(_xlfn.NORM.DIST(AK$3,economics!$AK$2:$AK$167,economics!$AJ$2:$AJ$167,TRUE)-_xlfn.NORM.DIST(AK$30,economics!$AK$2:$AK$167,economics!$AJ$2:$AJ$167,TRUE))*economics!$AM$2:$AM$167)+$CR25*(_xlfn.NORM.DIST(AK$3,$CU25,0.3*$CU25,TRUE)-_xlfn.NORM.DIST(AK$30,$CU25,0.3*$CU25,TRUE))*summary!$C$7/28.8/0.947817+$CS25*(_xlfn.NORM.DIST(AK$3,$CV25,0.3*$CV25,TRUE)-_xlfn.NORM.DIST(AK$30,$CV25,0.3*$CV25,TRUE))*summary!$C$6/28.8/0.947817)/(SUMPRODUCT((economics!$AG$2:$AG$167=$B54)*(economics!$D$2:$D$167="whr")*economics!$AH$2:$AH$167*(_xlfn.NORM.DIST(AK$3,economics!$AK$2:$AK$167,economics!$AJ$2:$AJ$167,TRUE)-_xlfn.NORM.DIST(AK$30,economics!$AK$2:$AK$167,economics!$AJ$2:$AJ$167,TRUE)))+$CR25*(_xlfn.NORM.DIST(AK$3,$CU25,0.3*$CU25,TRUE)-_xlfn.NORM.DIST(AK$30,$CU25,0.3*$CU25,TRUE))+$CS25*(_xlfn.NORM.DIST(AK$3,$CV25,0.3*$CV25,TRUE)-_xlfn.NORM.DIST(AK$30,$CV25,0.3*$CV25,TRUE))),""),IF($C25&gt;0,summary!$C$10/28.8/0.947817,""))</f>
        <v/>
      </c>
      <c r="AL54">
        <f t="array" ref="AL54">IF($D25,IFERROR((SUMPRODUCT((economics!$AG$2:$AG$167=$B54)*(economics!$D$2:$D$167="whr")*economics!$AH$2:$AH$167*(_xlfn.NORM.DIST(AL$3,economics!$AK$2:$AK$167,economics!$AJ$2:$AJ$167,TRUE)-_xlfn.NORM.DIST(AL$30,economics!$AK$2:$AK$167,economics!$AJ$2:$AJ$167,TRUE))*economics!$AM$2:$AM$167)+$CR25*(_xlfn.NORM.DIST(AL$3,$CU25,0.3*$CU25,TRUE)-_xlfn.NORM.DIST(AL$30,$CU25,0.3*$CU25,TRUE))*summary!$C$7/28.8/0.947817+$CS25*(_xlfn.NORM.DIST(AL$3,$CV25,0.3*$CV25,TRUE)-_xlfn.NORM.DIST(AL$30,$CV25,0.3*$CV25,TRUE))*summary!$C$6/28.8/0.947817)/(SUMPRODUCT((economics!$AG$2:$AG$167=$B54)*(economics!$D$2:$D$167="whr")*economics!$AH$2:$AH$167*(_xlfn.NORM.DIST(AL$3,economics!$AK$2:$AK$167,economics!$AJ$2:$AJ$167,TRUE)-_xlfn.NORM.DIST(AL$30,economics!$AK$2:$AK$167,economics!$AJ$2:$AJ$167,TRUE)))+$CR25*(_xlfn.NORM.DIST(AL$3,$CU25,0.3*$CU25,TRUE)-_xlfn.NORM.DIST(AL$30,$CU25,0.3*$CU25,TRUE))+$CS25*(_xlfn.NORM.DIST(AL$3,$CV25,0.3*$CV25,TRUE)-_xlfn.NORM.DIST(AL$30,$CV25,0.3*$CV25,TRUE))),""),IF($C25&gt;0,summary!$C$10/28.8/0.947817,""))</f>
        <v/>
      </c>
      <c r="AM54">
        <f t="array" ref="AM54">IF($D25,IFERROR((SUMPRODUCT((economics!$AG$2:$AG$167=$B54)*(economics!$D$2:$D$167="whr")*economics!$AH$2:$AH$167*(_xlfn.NORM.DIST(AM$3,economics!$AK$2:$AK$167,economics!$AJ$2:$AJ$167,TRUE)-_xlfn.NORM.DIST(AM$30,economics!$AK$2:$AK$167,economics!$AJ$2:$AJ$167,TRUE))*economics!$AM$2:$AM$167)+$CR25*(_xlfn.NORM.DIST(AM$3,$CU25,0.3*$CU25,TRUE)-_xlfn.NORM.DIST(AM$30,$CU25,0.3*$CU25,TRUE))*summary!$C$7/28.8/0.947817+$CS25*(_xlfn.NORM.DIST(AM$3,$CV25,0.3*$CV25,TRUE)-_xlfn.NORM.DIST(AM$30,$CV25,0.3*$CV25,TRUE))*summary!$C$6/28.8/0.947817)/(SUMPRODUCT((economics!$AG$2:$AG$167=$B54)*(economics!$D$2:$D$167="whr")*economics!$AH$2:$AH$167*(_xlfn.NORM.DIST(AM$3,economics!$AK$2:$AK$167,economics!$AJ$2:$AJ$167,TRUE)-_xlfn.NORM.DIST(AM$30,economics!$AK$2:$AK$167,economics!$AJ$2:$AJ$167,TRUE)))+$CR25*(_xlfn.NORM.DIST(AM$3,$CU25,0.3*$CU25,TRUE)-_xlfn.NORM.DIST(AM$30,$CU25,0.3*$CU25,TRUE))+$CS25*(_xlfn.NORM.DIST(AM$3,$CV25,0.3*$CV25,TRUE)-_xlfn.NORM.DIST(AM$30,$CV25,0.3*$CV25,TRUE))),""),IF($C25&gt;0,summary!$C$10/28.8/0.947817,""))</f>
        <v/>
      </c>
      <c r="AN54">
        <f t="array" ref="AN54">IF($D25,IFERROR((SUMPRODUCT((economics!$AG$2:$AG$167=$B54)*(economics!$D$2:$D$167="whr")*economics!$AH$2:$AH$167*(_xlfn.NORM.DIST(AN$3,economics!$AK$2:$AK$167,economics!$AJ$2:$AJ$167,TRUE)-_xlfn.NORM.DIST(AN$30,economics!$AK$2:$AK$167,economics!$AJ$2:$AJ$167,TRUE))*economics!$AM$2:$AM$167)+$CR25*(_xlfn.NORM.DIST(AN$3,$CU25,0.3*$CU25,TRUE)-_xlfn.NORM.DIST(AN$30,$CU25,0.3*$CU25,TRUE))*summary!$C$7/28.8/0.947817+$CS25*(_xlfn.NORM.DIST(AN$3,$CV25,0.3*$CV25,TRUE)-_xlfn.NORM.DIST(AN$30,$CV25,0.3*$CV25,TRUE))*summary!$C$6/28.8/0.947817)/(SUMPRODUCT((economics!$AG$2:$AG$167=$B54)*(economics!$D$2:$D$167="whr")*economics!$AH$2:$AH$167*(_xlfn.NORM.DIST(AN$3,economics!$AK$2:$AK$167,economics!$AJ$2:$AJ$167,TRUE)-_xlfn.NORM.DIST(AN$30,economics!$AK$2:$AK$167,economics!$AJ$2:$AJ$167,TRUE)))+$CR25*(_xlfn.NORM.DIST(AN$3,$CU25,0.3*$CU25,TRUE)-_xlfn.NORM.DIST(AN$30,$CU25,0.3*$CU25,TRUE))+$CS25*(_xlfn.NORM.DIST(AN$3,$CV25,0.3*$CV25,TRUE)-_xlfn.NORM.DIST(AN$30,$CV25,0.3*$CV25,TRUE))),""),IF($C25&gt;0,summary!$C$10/28.8/0.947817,""))</f>
        <v/>
      </c>
      <c r="AO54">
        <f t="array" ref="AO54">IF($D25,IFERROR((SUMPRODUCT((economics!$AG$2:$AG$167=$B54)*(economics!$D$2:$D$167="whr")*economics!$AH$2:$AH$167*(_xlfn.NORM.DIST(AO$3,economics!$AK$2:$AK$167,economics!$AJ$2:$AJ$167,TRUE)-_xlfn.NORM.DIST(AO$30,economics!$AK$2:$AK$167,economics!$AJ$2:$AJ$167,TRUE))*economics!$AM$2:$AM$167)+$CR25*(_xlfn.NORM.DIST(AO$3,$CU25,0.3*$CU25,TRUE)-_xlfn.NORM.DIST(AO$30,$CU25,0.3*$CU25,TRUE))*summary!$C$7/28.8/0.947817+$CS25*(_xlfn.NORM.DIST(AO$3,$CV25,0.3*$CV25,TRUE)-_xlfn.NORM.DIST(AO$30,$CV25,0.3*$CV25,TRUE))*summary!$C$6/28.8/0.947817)/(SUMPRODUCT((economics!$AG$2:$AG$167=$B54)*(economics!$D$2:$D$167="whr")*economics!$AH$2:$AH$167*(_xlfn.NORM.DIST(AO$3,economics!$AK$2:$AK$167,economics!$AJ$2:$AJ$167,TRUE)-_xlfn.NORM.DIST(AO$30,economics!$AK$2:$AK$167,economics!$AJ$2:$AJ$167,TRUE)))+$CR25*(_xlfn.NORM.DIST(AO$3,$CU25,0.3*$CU25,TRUE)-_xlfn.NORM.DIST(AO$30,$CU25,0.3*$CU25,TRUE))+$CS25*(_xlfn.NORM.DIST(AO$3,$CV25,0.3*$CV25,TRUE)-_xlfn.NORM.DIST(AO$30,$CV25,0.3*$CV25,TRUE))),""),IF($C25&gt;0,summary!$C$10/28.8/0.947817,""))</f>
        <v/>
      </c>
      <c r="AP54">
        <f t="array" ref="AP54">IF($D25,IFERROR((SUMPRODUCT((economics!$AG$2:$AG$167=$B54)*(economics!$D$2:$D$167="whr")*economics!$AH$2:$AH$167*(_xlfn.NORM.DIST(AP$3,economics!$AK$2:$AK$167,economics!$AJ$2:$AJ$167,TRUE)-_xlfn.NORM.DIST(AP$30,economics!$AK$2:$AK$167,economics!$AJ$2:$AJ$167,TRUE))*economics!$AM$2:$AM$167)+$CR25*(_xlfn.NORM.DIST(AP$3,$CU25,0.3*$CU25,TRUE)-_xlfn.NORM.DIST(AP$30,$CU25,0.3*$CU25,TRUE))*summary!$C$7/28.8/0.947817+$CS25*(_xlfn.NORM.DIST(AP$3,$CV25,0.3*$CV25,TRUE)-_xlfn.NORM.DIST(AP$30,$CV25,0.3*$CV25,TRUE))*summary!$C$6/28.8/0.947817)/(SUMPRODUCT((economics!$AG$2:$AG$167=$B54)*(economics!$D$2:$D$167="whr")*economics!$AH$2:$AH$167*(_xlfn.NORM.DIST(AP$3,economics!$AK$2:$AK$167,economics!$AJ$2:$AJ$167,TRUE)-_xlfn.NORM.DIST(AP$30,economics!$AK$2:$AK$167,economics!$AJ$2:$AJ$167,TRUE)))+$CR25*(_xlfn.NORM.DIST(AP$3,$CU25,0.3*$CU25,TRUE)-_xlfn.NORM.DIST(AP$30,$CU25,0.3*$CU25,TRUE))+$CS25*(_xlfn.NORM.DIST(AP$3,$CV25,0.3*$CV25,TRUE)-_xlfn.NORM.DIST(AP$30,$CV25,0.3*$CV25,TRUE))),""),IF($C25&gt;0,summary!$C$10/28.8/0.947817,""))</f>
        <v/>
      </c>
      <c r="AQ54">
        <f t="array" ref="AQ54">IF($D25,IFERROR((SUMPRODUCT((economics!$AG$2:$AG$167=$B54)*(economics!$D$2:$D$167="whr")*economics!$AH$2:$AH$167*(_xlfn.NORM.DIST(AQ$3,economics!$AK$2:$AK$167,economics!$AJ$2:$AJ$167,TRUE)-_xlfn.NORM.DIST(AQ$30,economics!$AK$2:$AK$167,economics!$AJ$2:$AJ$167,TRUE))*economics!$AM$2:$AM$167)+$CR25*(_xlfn.NORM.DIST(AQ$3,$CU25,0.3*$CU25,TRUE)-_xlfn.NORM.DIST(AQ$30,$CU25,0.3*$CU25,TRUE))*summary!$C$7/28.8/0.947817+$CS25*(_xlfn.NORM.DIST(AQ$3,$CV25,0.3*$CV25,TRUE)-_xlfn.NORM.DIST(AQ$30,$CV25,0.3*$CV25,TRUE))*summary!$C$6/28.8/0.947817)/(SUMPRODUCT((economics!$AG$2:$AG$167=$B54)*(economics!$D$2:$D$167="whr")*economics!$AH$2:$AH$167*(_xlfn.NORM.DIST(AQ$3,economics!$AK$2:$AK$167,economics!$AJ$2:$AJ$167,TRUE)-_xlfn.NORM.DIST(AQ$30,economics!$AK$2:$AK$167,economics!$AJ$2:$AJ$167,TRUE)))+$CR25*(_xlfn.NORM.DIST(AQ$3,$CU25,0.3*$CU25,TRUE)-_xlfn.NORM.DIST(AQ$30,$CU25,0.3*$CU25,TRUE))+$CS25*(_xlfn.NORM.DIST(AQ$3,$CV25,0.3*$CV25,TRUE)-_xlfn.NORM.DIST(AQ$30,$CV25,0.3*$CV25,TRUE))),""),IF($C25&gt;0,summary!$C$10/28.8/0.947817,""))</f>
        <v/>
      </c>
      <c r="AR54">
        <f t="array" ref="AR54">IF($D25,IFERROR((SUMPRODUCT((economics!$AG$2:$AG$167=$B54)*(economics!$D$2:$D$167="whr")*economics!$AH$2:$AH$167*(_xlfn.NORM.DIST(AR$3,economics!$AK$2:$AK$167,economics!$AJ$2:$AJ$167,TRUE)-_xlfn.NORM.DIST(AR$30,economics!$AK$2:$AK$167,economics!$AJ$2:$AJ$167,TRUE))*economics!$AM$2:$AM$167)+$CR25*(_xlfn.NORM.DIST(AR$3,$CU25,0.3*$CU25,TRUE)-_xlfn.NORM.DIST(AR$30,$CU25,0.3*$CU25,TRUE))*summary!$C$7/28.8/0.947817+$CS25*(_xlfn.NORM.DIST(AR$3,$CV25,0.3*$CV25,TRUE)-_xlfn.NORM.DIST(AR$30,$CV25,0.3*$CV25,TRUE))*summary!$C$6/28.8/0.947817)/(SUMPRODUCT((economics!$AG$2:$AG$167=$B54)*(economics!$D$2:$D$167="whr")*economics!$AH$2:$AH$167*(_xlfn.NORM.DIST(AR$3,economics!$AK$2:$AK$167,economics!$AJ$2:$AJ$167,TRUE)-_xlfn.NORM.DIST(AR$30,economics!$AK$2:$AK$167,economics!$AJ$2:$AJ$167,TRUE)))+$CR25*(_xlfn.NORM.DIST(AR$3,$CU25,0.3*$CU25,TRUE)-_xlfn.NORM.DIST(AR$30,$CU25,0.3*$CU25,TRUE))+$CS25*(_xlfn.NORM.DIST(AR$3,$CV25,0.3*$CV25,TRUE)-_xlfn.NORM.DIST(AR$30,$CV25,0.3*$CV25,TRUE))),""),IF($C25&gt;0,summary!$C$10/28.8/0.947817,""))</f>
        <v/>
      </c>
      <c r="AS54">
        <f t="array" ref="AS54">IF($D25,IFERROR((SUMPRODUCT((economics!$AG$2:$AG$167=$B54)*(economics!$D$2:$D$167="whr")*economics!$AH$2:$AH$167*(_xlfn.NORM.DIST(AS$3,economics!$AK$2:$AK$167,economics!$AJ$2:$AJ$167,TRUE)-_xlfn.NORM.DIST(AS$30,economics!$AK$2:$AK$167,economics!$AJ$2:$AJ$167,TRUE))*economics!$AM$2:$AM$167)+$CR25*(_xlfn.NORM.DIST(AS$3,$CU25,0.3*$CU25,TRUE)-_xlfn.NORM.DIST(AS$30,$CU25,0.3*$CU25,TRUE))*summary!$C$7/28.8/0.947817+$CS25*(_xlfn.NORM.DIST(AS$3,$CV25,0.3*$CV25,TRUE)-_xlfn.NORM.DIST(AS$30,$CV25,0.3*$CV25,TRUE))*summary!$C$6/28.8/0.947817)/(SUMPRODUCT((economics!$AG$2:$AG$167=$B54)*(economics!$D$2:$D$167="whr")*economics!$AH$2:$AH$167*(_xlfn.NORM.DIST(AS$3,economics!$AK$2:$AK$167,economics!$AJ$2:$AJ$167,TRUE)-_xlfn.NORM.DIST(AS$30,economics!$AK$2:$AK$167,economics!$AJ$2:$AJ$167,TRUE)))+$CR25*(_xlfn.NORM.DIST(AS$3,$CU25,0.3*$CU25,TRUE)-_xlfn.NORM.DIST(AS$30,$CU25,0.3*$CU25,TRUE))+$CS25*(_xlfn.NORM.DIST(AS$3,$CV25,0.3*$CV25,TRUE)-_xlfn.NORM.DIST(AS$30,$CV25,0.3*$CV25,TRUE))),""),IF($C25&gt;0,summary!$C$10/28.8/0.947817,""))</f>
        <v/>
      </c>
      <c r="AT54">
        <f t="array" ref="AT54">IF($D25,IFERROR((SUMPRODUCT((economics!$AG$2:$AG$167=$B54)*(economics!$D$2:$D$167="whr")*economics!$AH$2:$AH$167*(_xlfn.NORM.DIST(AT$3,economics!$AK$2:$AK$167,economics!$AJ$2:$AJ$167,TRUE)-_xlfn.NORM.DIST(AT$30,economics!$AK$2:$AK$167,economics!$AJ$2:$AJ$167,TRUE))*economics!$AM$2:$AM$167)+$CR25*(_xlfn.NORM.DIST(AT$3,$CU25,0.3*$CU25,TRUE)-_xlfn.NORM.DIST(AT$30,$CU25,0.3*$CU25,TRUE))*summary!$C$7/28.8/0.947817+$CS25*(_xlfn.NORM.DIST(AT$3,$CV25,0.3*$CV25,TRUE)-_xlfn.NORM.DIST(AT$30,$CV25,0.3*$CV25,TRUE))*summary!$C$6/28.8/0.947817)/(SUMPRODUCT((economics!$AG$2:$AG$167=$B54)*(economics!$D$2:$D$167="whr")*economics!$AH$2:$AH$167*(_xlfn.NORM.DIST(AT$3,economics!$AK$2:$AK$167,economics!$AJ$2:$AJ$167,TRUE)-_xlfn.NORM.DIST(AT$30,economics!$AK$2:$AK$167,economics!$AJ$2:$AJ$167,TRUE)))+$CR25*(_xlfn.NORM.DIST(AT$3,$CU25,0.3*$CU25,TRUE)-_xlfn.NORM.DIST(AT$30,$CU25,0.3*$CU25,TRUE))+$CS25*(_xlfn.NORM.DIST(AT$3,$CV25,0.3*$CV25,TRUE)-_xlfn.NORM.DIST(AT$30,$CV25,0.3*$CV25,TRUE))),""),IF($C25&gt;0,summary!$C$10/28.8/0.947817,""))</f>
        <v/>
      </c>
      <c r="AU54">
        <f t="array" ref="AU54">IF($D25,IFERROR((SUMPRODUCT((economics!$AG$2:$AG$167=$B54)*(economics!$D$2:$D$167="whr")*economics!$AH$2:$AH$167*(_xlfn.NORM.DIST(AU$3,economics!$AK$2:$AK$167,economics!$AJ$2:$AJ$167,TRUE)-_xlfn.NORM.DIST(AU$30,economics!$AK$2:$AK$167,economics!$AJ$2:$AJ$167,TRUE))*economics!$AM$2:$AM$167)+$CR25*(_xlfn.NORM.DIST(AU$3,$CU25,0.3*$CU25,TRUE)-_xlfn.NORM.DIST(AU$30,$CU25,0.3*$CU25,TRUE))*summary!$C$7/28.8/0.947817+$CS25*(_xlfn.NORM.DIST(AU$3,$CV25,0.3*$CV25,TRUE)-_xlfn.NORM.DIST(AU$30,$CV25,0.3*$CV25,TRUE))*summary!$C$6/28.8/0.947817)/(SUMPRODUCT((economics!$AG$2:$AG$167=$B54)*(economics!$D$2:$D$167="whr")*economics!$AH$2:$AH$167*(_xlfn.NORM.DIST(AU$3,economics!$AK$2:$AK$167,economics!$AJ$2:$AJ$167,TRUE)-_xlfn.NORM.DIST(AU$30,economics!$AK$2:$AK$167,economics!$AJ$2:$AJ$167,TRUE)))+$CR25*(_xlfn.NORM.DIST(AU$3,$CU25,0.3*$CU25,TRUE)-_xlfn.NORM.DIST(AU$30,$CU25,0.3*$CU25,TRUE))+$CS25*(_xlfn.NORM.DIST(AU$3,$CV25,0.3*$CV25,TRUE)-_xlfn.NORM.DIST(AU$30,$CV25,0.3*$CV25,TRUE))),""),IF($C25&gt;0,summary!$C$10/28.8/0.947817,""))</f>
        <v/>
      </c>
      <c r="AV54">
        <f t="array" ref="AV54">IF($D25,IFERROR((SUMPRODUCT((economics!$AG$2:$AG$167=$B54)*(economics!$D$2:$D$167="whr")*economics!$AH$2:$AH$167*(_xlfn.NORM.DIST(AV$3,economics!$AK$2:$AK$167,economics!$AJ$2:$AJ$167,TRUE)-_xlfn.NORM.DIST(AV$30,economics!$AK$2:$AK$167,economics!$AJ$2:$AJ$167,TRUE))*economics!$AM$2:$AM$167)+$CR25*(_xlfn.NORM.DIST(AV$3,$CU25,0.3*$CU25,TRUE)-_xlfn.NORM.DIST(AV$30,$CU25,0.3*$CU25,TRUE))*summary!$C$7/28.8/0.947817+$CS25*(_xlfn.NORM.DIST(AV$3,$CV25,0.3*$CV25,TRUE)-_xlfn.NORM.DIST(AV$30,$CV25,0.3*$CV25,TRUE))*summary!$C$6/28.8/0.947817)/(SUMPRODUCT((economics!$AG$2:$AG$167=$B54)*(economics!$D$2:$D$167="whr")*economics!$AH$2:$AH$167*(_xlfn.NORM.DIST(AV$3,economics!$AK$2:$AK$167,economics!$AJ$2:$AJ$167,TRUE)-_xlfn.NORM.DIST(AV$30,economics!$AK$2:$AK$167,economics!$AJ$2:$AJ$167,TRUE)))+$CR25*(_xlfn.NORM.DIST(AV$3,$CU25,0.3*$CU25,TRUE)-_xlfn.NORM.DIST(AV$30,$CU25,0.3*$CU25,TRUE))+$CS25*(_xlfn.NORM.DIST(AV$3,$CV25,0.3*$CV25,TRUE)-_xlfn.NORM.DIST(AV$30,$CV25,0.3*$CV25,TRUE))),""),IF($C25&gt;0,summary!$C$10/28.8/0.947817,""))</f>
        <v/>
      </c>
      <c r="AW54">
        <f t="array" ref="AW54">IF($D25,IFERROR((SUMPRODUCT((economics!$AG$2:$AG$167=$B54)*(economics!$D$2:$D$167="whr")*economics!$AH$2:$AH$167*(_xlfn.NORM.DIST(AW$3,economics!$AK$2:$AK$167,economics!$AJ$2:$AJ$167,TRUE)-_xlfn.NORM.DIST(AW$30,economics!$AK$2:$AK$167,economics!$AJ$2:$AJ$167,TRUE))*economics!$AM$2:$AM$167)+$CR25*(_xlfn.NORM.DIST(AW$3,$CU25,0.3*$CU25,TRUE)-_xlfn.NORM.DIST(AW$30,$CU25,0.3*$CU25,TRUE))*summary!$C$7/28.8/0.947817+$CS25*(_xlfn.NORM.DIST(AW$3,$CV25,0.3*$CV25,TRUE)-_xlfn.NORM.DIST(AW$30,$CV25,0.3*$CV25,TRUE))*summary!$C$6/28.8/0.947817)/(SUMPRODUCT((economics!$AG$2:$AG$167=$B54)*(economics!$D$2:$D$167="whr")*economics!$AH$2:$AH$167*(_xlfn.NORM.DIST(AW$3,economics!$AK$2:$AK$167,economics!$AJ$2:$AJ$167,TRUE)-_xlfn.NORM.DIST(AW$30,economics!$AK$2:$AK$167,economics!$AJ$2:$AJ$167,TRUE)))+$CR25*(_xlfn.NORM.DIST(AW$3,$CU25,0.3*$CU25,TRUE)-_xlfn.NORM.DIST(AW$30,$CU25,0.3*$CU25,TRUE))+$CS25*(_xlfn.NORM.DIST(AW$3,$CV25,0.3*$CV25,TRUE)-_xlfn.NORM.DIST(AW$30,$CV25,0.3*$CV25,TRUE))),""),IF($C25&gt;0,summary!$C$10/28.8/0.947817,""))</f>
        <v/>
      </c>
      <c r="AX54">
        <f t="array" ref="AX54">IF($D25,IFERROR((SUMPRODUCT((economics!$AG$2:$AG$167=$B54)*(economics!$D$2:$D$167="whr")*economics!$AH$2:$AH$167*(_xlfn.NORM.DIST(AX$3,economics!$AK$2:$AK$167,economics!$AJ$2:$AJ$167,TRUE)-_xlfn.NORM.DIST(AX$30,economics!$AK$2:$AK$167,economics!$AJ$2:$AJ$167,TRUE))*economics!$AM$2:$AM$167)+$CR25*(_xlfn.NORM.DIST(AX$3,$CU25,0.3*$CU25,TRUE)-_xlfn.NORM.DIST(AX$30,$CU25,0.3*$CU25,TRUE))*summary!$C$7/28.8/0.947817+$CS25*(_xlfn.NORM.DIST(AX$3,$CV25,0.3*$CV25,TRUE)-_xlfn.NORM.DIST(AX$30,$CV25,0.3*$CV25,TRUE))*summary!$C$6/28.8/0.947817)/(SUMPRODUCT((economics!$AG$2:$AG$167=$B54)*(economics!$D$2:$D$167="whr")*economics!$AH$2:$AH$167*(_xlfn.NORM.DIST(AX$3,economics!$AK$2:$AK$167,economics!$AJ$2:$AJ$167,TRUE)-_xlfn.NORM.DIST(AX$30,economics!$AK$2:$AK$167,economics!$AJ$2:$AJ$167,TRUE)))+$CR25*(_xlfn.NORM.DIST(AX$3,$CU25,0.3*$CU25,TRUE)-_xlfn.NORM.DIST(AX$30,$CU25,0.3*$CU25,TRUE))+$CS25*(_xlfn.NORM.DIST(AX$3,$CV25,0.3*$CV25,TRUE)-_xlfn.NORM.DIST(AX$30,$CV25,0.3*$CV25,TRUE))),""),IF($C25&gt;0,summary!$C$10/28.8/0.947817,""))</f>
        <v/>
      </c>
      <c r="AY54">
        <f t="array" ref="AY54">IF($D25,IFERROR((SUMPRODUCT((economics!$AG$2:$AG$167=$B54)*(economics!$D$2:$D$167="whr")*economics!$AH$2:$AH$167*(_xlfn.NORM.DIST(AY$3,economics!$AK$2:$AK$167,economics!$AJ$2:$AJ$167,TRUE)-_xlfn.NORM.DIST(AY$30,economics!$AK$2:$AK$167,economics!$AJ$2:$AJ$167,TRUE))*economics!$AM$2:$AM$167)+$CR25*(_xlfn.NORM.DIST(AY$3,$CU25,0.3*$CU25,TRUE)-_xlfn.NORM.DIST(AY$30,$CU25,0.3*$CU25,TRUE))*summary!$C$7/28.8/0.947817+$CS25*(_xlfn.NORM.DIST(AY$3,$CV25,0.3*$CV25,TRUE)-_xlfn.NORM.DIST(AY$30,$CV25,0.3*$CV25,TRUE))*summary!$C$6/28.8/0.947817)/(SUMPRODUCT((economics!$AG$2:$AG$167=$B54)*(economics!$D$2:$D$167="whr")*economics!$AH$2:$AH$167*(_xlfn.NORM.DIST(AY$3,economics!$AK$2:$AK$167,economics!$AJ$2:$AJ$167,TRUE)-_xlfn.NORM.DIST(AY$30,economics!$AK$2:$AK$167,economics!$AJ$2:$AJ$167,TRUE)))+$CR25*(_xlfn.NORM.DIST(AY$3,$CU25,0.3*$CU25,TRUE)-_xlfn.NORM.DIST(AY$30,$CU25,0.3*$CU25,TRUE))+$CS25*(_xlfn.NORM.DIST(AY$3,$CV25,0.3*$CV25,TRUE)-_xlfn.NORM.DIST(AY$30,$CV25,0.3*$CV25,TRUE))),""),IF($C25&gt;0,summary!$C$10/28.8/0.947817,""))</f>
        <v/>
      </c>
      <c r="AZ54">
        <f t="array" ref="AZ54">IF($D25,IFERROR((SUMPRODUCT((economics!$AG$2:$AG$167=$B54)*(economics!$D$2:$D$167="whr")*economics!$AH$2:$AH$167*(_xlfn.NORM.DIST(AZ$3,economics!$AK$2:$AK$167,economics!$AJ$2:$AJ$167,TRUE)-_xlfn.NORM.DIST(AZ$30,economics!$AK$2:$AK$167,economics!$AJ$2:$AJ$167,TRUE))*economics!$AM$2:$AM$167)+$CR25*(_xlfn.NORM.DIST(AZ$3,$CU25,0.3*$CU25,TRUE)-_xlfn.NORM.DIST(AZ$30,$CU25,0.3*$CU25,TRUE))*summary!$C$7/28.8/0.947817+$CS25*(_xlfn.NORM.DIST(AZ$3,$CV25,0.3*$CV25,TRUE)-_xlfn.NORM.DIST(AZ$30,$CV25,0.3*$CV25,TRUE))*summary!$C$6/28.8/0.947817)/(SUMPRODUCT((economics!$AG$2:$AG$167=$B54)*(economics!$D$2:$D$167="whr")*economics!$AH$2:$AH$167*(_xlfn.NORM.DIST(AZ$3,economics!$AK$2:$AK$167,economics!$AJ$2:$AJ$167,TRUE)-_xlfn.NORM.DIST(AZ$30,economics!$AK$2:$AK$167,economics!$AJ$2:$AJ$167,TRUE)))+$CR25*(_xlfn.NORM.DIST(AZ$3,$CU25,0.3*$CU25,TRUE)-_xlfn.NORM.DIST(AZ$30,$CU25,0.3*$CU25,TRUE))+$CS25*(_xlfn.NORM.DIST(AZ$3,$CV25,0.3*$CV25,TRUE)-_xlfn.NORM.DIST(AZ$30,$CV25,0.3*$CV25,TRUE))),""),IF($C25&gt;0,summary!$C$10/28.8/0.947817,""))</f>
        <v/>
      </c>
      <c r="BA54">
        <f t="array" ref="BA54">IF($D25,IFERROR((SUMPRODUCT((economics!$AG$2:$AG$167=$B54)*(economics!$D$2:$D$167="whr")*economics!$AH$2:$AH$167*(_xlfn.NORM.DIST(BA$3,economics!$AK$2:$AK$167,economics!$AJ$2:$AJ$167,TRUE)-_xlfn.NORM.DIST(BA$30,economics!$AK$2:$AK$167,economics!$AJ$2:$AJ$167,TRUE))*economics!$AM$2:$AM$167)+$CR25*(_xlfn.NORM.DIST(BA$3,$CU25,0.3*$CU25,TRUE)-_xlfn.NORM.DIST(BA$30,$CU25,0.3*$CU25,TRUE))*summary!$C$7/28.8/0.947817+$CS25*(_xlfn.NORM.DIST(BA$3,$CV25,0.3*$CV25,TRUE)-_xlfn.NORM.DIST(BA$30,$CV25,0.3*$CV25,TRUE))*summary!$C$6/28.8/0.947817)/(SUMPRODUCT((economics!$AG$2:$AG$167=$B54)*(economics!$D$2:$D$167="whr")*economics!$AH$2:$AH$167*(_xlfn.NORM.DIST(BA$3,economics!$AK$2:$AK$167,economics!$AJ$2:$AJ$167,TRUE)-_xlfn.NORM.DIST(BA$30,economics!$AK$2:$AK$167,economics!$AJ$2:$AJ$167,TRUE)))+$CR25*(_xlfn.NORM.DIST(BA$3,$CU25,0.3*$CU25,TRUE)-_xlfn.NORM.DIST(BA$30,$CU25,0.3*$CU25,TRUE))+$CS25*(_xlfn.NORM.DIST(BA$3,$CV25,0.3*$CV25,TRUE)-_xlfn.NORM.DIST(BA$30,$CV25,0.3*$CV25,TRUE))),""),IF($C25&gt;0,summary!$C$10/28.8/0.947817,""))</f>
        <v/>
      </c>
      <c r="BB54">
        <f t="array" ref="BB54">IF($D25,IFERROR((SUMPRODUCT((economics!$AG$2:$AG$167=$B54)*(economics!$D$2:$D$167="whr")*economics!$AH$2:$AH$167*(_xlfn.NORM.DIST(BB$3,economics!$AK$2:$AK$167,economics!$AJ$2:$AJ$167,TRUE)-_xlfn.NORM.DIST(BB$30,economics!$AK$2:$AK$167,economics!$AJ$2:$AJ$167,TRUE))*economics!$AM$2:$AM$167)+$CR25*(_xlfn.NORM.DIST(BB$3,$CU25,0.3*$CU25,TRUE)-_xlfn.NORM.DIST(BB$30,$CU25,0.3*$CU25,TRUE))*summary!$C$7/28.8/0.947817+$CS25*(_xlfn.NORM.DIST(BB$3,$CV25,0.3*$CV25,TRUE)-_xlfn.NORM.DIST(BB$30,$CV25,0.3*$CV25,TRUE))*summary!$C$6/28.8/0.947817)/(SUMPRODUCT((economics!$AG$2:$AG$167=$B54)*(economics!$D$2:$D$167="whr")*economics!$AH$2:$AH$167*(_xlfn.NORM.DIST(BB$3,economics!$AK$2:$AK$167,economics!$AJ$2:$AJ$167,TRUE)-_xlfn.NORM.DIST(BB$30,economics!$AK$2:$AK$167,economics!$AJ$2:$AJ$167,TRUE)))+$CR25*(_xlfn.NORM.DIST(BB$3,$CU25,0.3*$CU25,TRUE)-_xlfn.NORM.DIST(BB$30,$CU25,0.3*$CU25,TRUE))+$CS25*(_xlfn.NORM.DIST(BB$3,$CV25,0.3*$CV25,TRUE)-_xlfn.NORM.DIST(BB$30,$CV25,0.3*$CV25,TRUE))),""),IF($C25&gt;0,summary!$C$10/28.8/0.947817,""))</f>
        <v/>
      </c>
      <c r="BC54">
        <f t="array" ref="BC54">IF($D25,IFERROR((SUMPRODUCT((economics!$AG$2:$AG$167=$B54)*(economics!$D$2:$D$167="whr")*economics!$AH$2:$AH$167*(_xlfn.NORM.DIST(BC$3,economics!$AK$2:$AK$167,economics!$AJ$2:$AJ$167,TRUE)-_xlfn.NORM.DIST(BC$30,economics!$AK$2:$AK$167,economics!$AJ$2:$AJ$167,TRUE))*economics!$AM$2:$AM$167)+$CR25*(_xlfn.NORM.DIST(BC$3,$CU25,0.3*$CU25,TRUE)-_xlfn.NORM.DIST(BC$30,$CU25,0.3*$CU25,TRUE))*summary!$C$7/28.8/0.947817+$CS25*(_xlfn.NORM.DIST(BC$3,$CV25,0.3*$CV25,TRUE)-_xlfn.NORM.DIST(BC$30,$CV25,0.3*$CV25,TRUE))*summary!$C$6/28.8/0.947817)/(SUMPRODUCT((economics!$AG$2:$AG$167=$B54)*(economics!$D$2:$D$167="whr")*economics!$AH$2:$AH$167*(_xlfn.NORM.DIST(BC$3,economics!$AK$2:$AK$167,economics!$AJ$2:$AJ$167,TRUE)-_xlfn.NORM.DIST(BC$30,economics!$AK$2:$AK$167,economics!$AJ$2:$AJ$167,TRUE)))+$CR25*(_xlfn.NORM.DIST(BC$3,$CU25,0.3*$CU25,TRUE)-_xlfn.NORM.DIST(BC$30,$CU25,0.3*$CU25,TRUE))+$CS25*(_xlfn.NORM.DIST(BC$3,$CV25,0.3*$CV25,TRUE)-_xlfn.NORM.DIST(BC$30,$CV25,0.3*$CV25,TRUE))),""),IF($C25&gt;0,summary!$C$10/28.8/0.947817,""))</f>
        <v/>
      </c>
      <c r="BD54">
        <f t="array" ref="BD54">IF($D25,IFERROR((SUMPRODUCT((economics!$AG$2:$AG$167=$B54)*(economics!$D$2:$D$167="whr")*economics!$AH$2:$AH$167*(_xlfn.NORM.DIST(BD$3,economics!$AK$2:$AK$167,economics!$AJ$2:$AJ$167,TRUE)-_xlfn.NORM.DIST(BD$30,economics!$AK$2:$AK$167,economics!$AJ$2:$AJ$167,TRUE))*economics!$AM$2:$AM$167)+$CR25*(_xlfn.NORM.DIST(BD$3,$CU25,0.3*$CU25,TRUE)-_xlfn.NORM.DIST(BD$30,$CU25,0.3*$CU25,TRUE))*summary!$C$7/28.8/0.947817+$CS25*(_xlfn.NORM.DIST(BD$3,$CV25,0.3*$CV25,TRUE)-_xlfn.NORM.DIST(BD$30,$CV25,0.3*$CV25,TRUE))*summary!$C$6/28.8/0.947817)/(SUMPRODUCT((economics!$AG$2:$AG$167=$B54)*(economics!$D$2:$D$167="whr")*economics!$AH$2:$AH$167*(_xlfn.NORM.DIST(BD$3,economics!$AK$2:$AK$167,economics!$AJ$2:$AJ$167,TRUE)-_xlfn.NORM.DIST(BD$30,economics!$AK$2:$AK$167,economics!$AJ$2:$AJ$167,TRUE)))+$CR25*(_xlfn.NORM.DIST(BD$3,$CU25,0.3*$CU25,TRUE)-_xlfn.NORM.DIST(BD$30,$CU25,0.3*$CU25,TRUE))+$CS25*(_xlfn.NORM.DIST(BD$3,$CV25,0.3*$CV25,TRUE)-_xlfn.NORM.DIST(BD$30,$CV25,0.3*$CV25,TRUE))),""),IF($C25&gt;0,summary!$C$10/28.8/0.947817,""))</f>
        <v/>
      </c>
      <c r="BE54">
        <f t="array" ref="BE54">IF($D25,IFERROR((SUMPRODUCT((economics!$AG$2:$AG$167=$B54)*(economics!$D$2:$D$167="whr")*economics!$AH$2:$AH$167*(_xlfn.NORM.DIST(BE$3,economics!$AK$2:$AK$167,economics!$AJ$2:$AJ$167,TRUE)-_xlfn.NORM.DIST(BE$30,economics!$AK$2:$AK$167,economics!$AJ$2:$AJ$167,TRUE))*economics!$AM$2:$AM$167)+$CR25*(_xlfn.NORM.DIST(BE$3,$CU25,0.3*$CU25,TRUE)-_xlfn.NORM.DIST(BE$30,$CU25,0.3*$CU25,TRUE))*summary!$C$7/28.8/0.947817+$CS25*(_xlfn.NORM.DIST(BE$3,$CV25,0.3*$CV25,TRUE)-_xlfn.NORM.DIST(BE$30,$CV25,0.3*$CV25,TRUE))*summary!$C$6/28.8/0.947817)/(SUMPRODUCT((economics!$AG$2:$AG$167=$B54)*(economics!$D$2:$D$167="whr")*economics!$AH$2:$AH$167*(_xlfn.NORM.DIST(BE$3,economics!$AK$2:$AK$167,economics!$AJ$2:$AJ$167,TRUE)-_xlfn.NORM.DIST(BE$30,economics!$AK$2:$AK$167,economics!$AJ$2:$AJ$167,TRUE)))+$CR25*(_xlfn.NORM.DIST(BE$3,$CU25,0.3*$CU25,TRUE)-_xlfn.NORM.DIST(BE$30,$CU25,0.3*$CU25,TRUE))+$CS25*(_xlfn.NORM.DIST(BE$3,$CV25,0.3*$CV25,TRUE)-_xlfn.NORM.DIST(BE$30,$CV25,0.3*$CV25,TRUE))),""),IF($C25&gt;0,summary!$C$10/28.8/0.947817,""))</f>
        <v/>
      </c>
      <c r="BF54">
        <f t="array" ref="BF54">IF($D25,IFERROR((SUMPRODUCT((economics!$AG$2:$AG$167=$B54)*(economics!$D$2:$D$167="whr")*economics!$AH$2:$AH$167*(_xlfn.NORM.DIST(BF$3,economics!$AK$2:$AK$167,economics!$AJ$2:$AJ$167,TRUE)-_xlfn.NORM.DIST(BF$30,economics!$AK$2:$AK$167,economics!$AJ$2:$AJ$167,TRUE))*economics!$AM$2:$AM$167)+$CR25*(_xlfn.NORM.DIST(BF$3,$CU25,0.3*$CU25,TRUE)-_xlfn.NORM.DIST(BF$30,$CU25,0.3*$CU25,TRUE))*summary!$C$7/28.8/0.947817+$CS25*(_xlfn.NORM.DIST(BF$3,$CV25,0.3*$CV25,TRUE)-_xlfn.NORM.DIST(BF$30,$CV25,0.3*$CV25,TRUE))*summary!$C$6/28.8/0.947817)/(SUMPRODUCT((economics!$AG$2:$AG$167=$B54)*(economics!$D$2:$D$167="whr")*economics!$AH$2:$AH$167*(_xlfn.NORM.DIST(BF$3,economics!$AK$2:$AK$167,economics!$AJ$2:$AJ$167,TRUE)-_xlfn.NORM.DIST(BF$30,economics!$AK$2:$AK$167,economics!$AJ$2:$AJ$167,TRUE)))+$CR25*(_xlfn.NORM.DIST(BF$3,$CU25,0.3*$CU25,TRUE)-_xlfn.NORM.DIST(BF$30,$CU25,0.3*$CU25,TRUE))+$CS25*(_xlfn.NORM.DIST(BF$3,$CV25,0.3*$CV25,TRUE)-_xlfn.NORM.DIST(BF$30,$CV25,0.3*$CV25,TRUE))),""),IF($C25&gt;0,summary!$C$10/28.8/0.947817,""))</f>
        <v/>
      </c>
      <c r="BG54">
        <f t="array" ref="BG54">IF($D25,IFERROR((SUMPRODUCT((economics!$AG$2:$AG$167=$B54)*(economics!$D$2:$D$167="whr")*economics!$AH$2:$AH$167*(_xlfn.NORM.DIST(BG$3,economics!$AK$2:$AK$167,economics!$AJ$2:$AJ$167,TRUE)-_xlfn.NORM.DIST(BG$30,economics!$AK$2:$AK$167,economics!$AJ$2:$AJ$167,TRUE))*economics!$AM$2:$AM$167)+$CR25*(_xlfn.NORM.DIST(BG$3,$CU25,0.3*$CU25,TRUE)-_xlfn.NORM.DIST(BG$30,$CU25,0.3*$CU25,TRUE))*summary!$C$7/28.8/0.947817+$CS25*(_xlfn.NORM.DIST(BG$3,$CV25,0.3*$CV25,TRUE)-_xlfn.NORM.DIST(BG$30,$CV25,0.3*$CV25,TRUE))*summary!$C$6/28.8/0.947817)/(SUMPRODUCT((economics!$AG$2:$AG$167=$B54)*(economics!$D$2:$D$167="whr")*economics!$AH$2:$AH$167*(_xlfn.NORM.DIST(BG$3,economics!$AK$2:$AK$167,economics!$AJ$2:$AJ$167,TRUE)-_xlfn.NORM.DIST(BG$30,economics!$AK$2:$AK$167,economics!$AJ$2:$AJ$167,TRUE)))+$CR25*(_xlfn.NORM.DIST(BG$3,$CU25,0.3*$CU25,TRUE)-_xlfn.NORM.DIST(BG$30,$CU25,0.3*$CU25,TRUE))+$CS25*(_xlfn.NORM.DIST(BG$3,$CV25,0.3*$CV25,TRUE)-_xlfn.NORM.DIST(BG$30,$CV25,0.3*$CV25,TRUE))),""),IF($C25&gt;0,summary!$C$10/28.8/0.947817,""))</f>
        <v/>
      </c>
      <c r="BH54">
        <f t="array" ref="BH54">IF($D25,IFERROR((SUMPRODUCT((economics!$AG$2:$AG$167=$B54)*(economics!$D$2:$D$167="whr")*economics!$AH$2:$AH$167*(_xlfn.NORM.DIST(BH$3,economics!$AK$2:$AK$167,economics!$AJ$2:$AJ$167,TRUE)-_xlfn.NORM.DIST(BH$30,economics!$AK$2:$AK$167,economics!$AJ$2:$AJ$167,TRUE))*economics!$AM$2:$AM$167)+$CR25*(_xlfn.NORM.DIST(BH$3,$CU25,0.3*$CU25,TRUE)-_xlfn.NORM.DIST(BH$30,$CU25,0.3*$CU25,TRUE))*summary!$C$7/28.8/0.947817+$CS25*(_xlfn.NORM.DIST(BH$3,$CV25,0.3*$CV25,TRUE)-_xlfn.NORM.DIST(BH$30,$CV25,0.3*$CV25,TRUE))*summary!$C$6/28.8/0.947817)/(SUMPRODUCT((economics!$AG$2:$AG$167=$B54)*(economics!$D$2:$D$167="whr")*economics!$AH$2:$AH$167*(_xlfn.NORM.DIST(BH$3,economics!$AK$2:$AK$167,economics!$AJ$2:$AJ$167,TRUE)-_xlfn.NORM.DIST(BH$30,economics!$AK$2:$AK$167,economics!$AJ$2:$AJ$167,TRUE)))+$CR25*(_xlfn.NORM.DIST(BH$3,$CU25,0.3*$CU25,TRUE)-_xlfn.NORM.DIST(BH$30,$CU25,0.3*$CU25,TRUE))+$CS25*(_xlfn.NORM.DIST(BH$3,$CV25,0.3*$CV25,TRUE)-_xlfn.NORM.DIST(BH$30,$CV25,0.3*$CV25,TRUE))),""),IF($C25&gt;0,summary!$C$10/28.8/0.947817,""))</f>
        <v/>
      </c>
      <c r="BI54">
        <f t="array" ref="BI54">IF($D25,IFERROR((SUMPRODUCT((economics!$AG$2:$AG$167=$B54)*(economics!$D$2:$D$167="whr")*economics!$AH$2:$AH$167*(_xlfn.NORM.DIST(BI$3,economics!$AK$2:$AK$167,economics!$AJ$2:$AJ$167,TRUE)-_xlfn.NORM.DIST(BI$30,economics!$AK$2:$AK$167,economics!$AJ$2:$AJ$167,TRUE))*economics!$AM$2:$AM$167)+$CR25*(_xlfn.NORM.DIST(BI$3,$CU25,0.3*$CU25,TRUE)-_xlfn.NORM.DIST(BI$30,$CU25,0.3*$CU25,TRUE))*summary!$C$7/28.8/0.947817+$CS25*(_xlfn.NORM.DIST(BI$3,$CV25,0.3*$CV25,TRUE)-_xlfn.NORM.DIST(BI$30,$CV25,0.3*$CV25,TRUE))*summary!$C$6/28.8/0.947817)/(SUMPRODUCT((economics!$AG$2:$AG$167=$B54)*(economics!$D$2:$D$167="whr")*economics!$AH$2:$AH$167*(_xlfn.NORM.DIST(BI$3,economics!$AK$2:$AK$167,economics!$AJ$2:$AJ$167,TRUE)-_xlfn.NORM.DIST(BI$30,economics!$AK$2:$AK$167,economics!$AJ$2:$AJ$167,TRUE)))+$CR25*(_xlfn.NORM.DIST(BI$3,$CU25,0.3*$CU25,TRUE)-_xlfn.NORM.DIST(BI$30,$CU25,0.3*$CU25,TRUE))+$CS25*(_xlfn.NORM.DIST(BI$3,$CV25,0.3*$CV25,TRUE)-_xlfn.NORM.DIST(BI$30,$CV25,0.3*$CV25,TRUE))),""),IF($C25&gt;0,summary!$C$10/28.8/0.947817,""))</f>
        <v/>
      </c>
      <c r="BJ54">
        <f t="array" ref="BJ54">IF($D25,IFERROR((SUMPRODUCT((economics!$AG$2:$AG$167=$B54)*(economics!$D$2:$D$167="whr")*economics!$AH$2:$AH$167*(_xlfn.NORM.DIST(BJ$3,economics!$AK$2:$AK$167,economics!$AJ$2:$AJ$167,TRUE)-_xlfn.NORM.DIST(BJ$30,economics!$AK$2:$AK$167,economics!$AJ$2:$AJ$167,TRUE))*economics!$AM$2:$AM$167)+$CR25*(_xlfn.NORM.DIST(BJ$3,$CU25,0.3*$CU25,TRUE)-_xlfn.NORM.DIST(BJ$30,$CU25,0.3*$CU25,TRUE))*summary!$C$7/28.8/0.947817+$CS25*(_xlfn.NORM.DIST(BJ$3,$CV25,0.3*$CV25,TRUE)-_xlfn.NORM.DIST(BJ$30,$CV25,0.3*$CV25,TRUE))*summary!$C$6/28.8/0.947817)/(SUMPRODUCT((economics!$AG$2:$AG$167=$B54)*(economics!$D$2:$D$167="whr")*economics!$AH$2:$AH$167*(_xlfn.NORM.DIST(BJ$3,economics!$AK$2:$AK$167,economics!$AJ$2:$AJ$167,TRUE)-_xlfn.NORM.DIST(BJ$30,economics!$AK$2:$AK$167,economics!$AJ$2:$AJ$167,TRUE)))+$CR25*(_xlfn.NORM.DIST(BJ$3,$CU25,0.3*$CU25,TRUE)-_xlfn.NORM.DIST(BJ$30,$CU25,0.3*$CU25,TRUE))+$CS25*(_xlfn.NORM.DIST(BJ$3,$CV25,0.3*$CV25,TRUE)-_xlfn.NORM.DIST(BJ$30,$CV25,0.3*$CV25,TRUE))),""),IF($C25&gt;0,summary!$C$10/28.8/0.947817,""))</f>
        <v/>
      </c>
      <c r="BK54">
        <f t="array" ref="BK54">IF($D25,IFERROR((SUMPRODUCT((economics!$AG$2:$AG$167=$B54)*(economics!$D$2:$D$167="whr")*economics!$AH$2:$AH$167*(_xlfn.NORM.DIST(BK$3,economics!$AK$2:$AK$167,economics!$AJ$2:$AJ$167,TRUE)-_xlfn.NORM.DIST(BK$30,economics!$AK$2:$AK$167,economics!$AJ$2:$AJ$167,TRUE))*economics!$AM$2:$AM$167)+$CR25*(_xlfn.NORM.DIST(BK$3,$CU25,0.3*$CU25,TRUE)-_xlfn.NORM.DIST(BK$30,$CU25,0.3*$CU25,TRUE))*summary!$C$7/28.8/0.947817+$CS25*(_xlfn.NORM.DIST(BK$3,$CV25,0.3*$CV25,TRUE)-_xlfn.NORM.DIST(BK$30,$CV25,0.3*$CV25,TRUE))*summary!$C$6/28.8/0.947817)/(SUMPRODUCT((economics!$AG$2:$AG$167=$B54)*(economics!$D$2:$D$167="whr")*economics!$AH$2:$AH$167*(_xlfn.NORM.DIST(BK$3,economics!$AK$2:$AK$167,economics!$AJ$2:$AJ$167,TRUE)-_xlfn.NORM.DIST(BK$30,economics!$AK$2:$AK$167,economics!$AJ$2:$AJ$167,TRUE)))+$CR25*(_xlfn.NORM.DIST(BK$3,$CU25,0.3*$CU25,TRUE)-_xlfn.NORM.DIST(BK$30,$CU25,0.3*$CU25,TRUE))+$CS25*(_xlfn.NORM.DIST(BK$3,$CV25,0.3*$CV25,TRUE)-_xlfn.NORM.DIST(BK$30,$CV25,0.3*$CV25,TRUE))),""),IF($C25&gt;0,summary!$C$10/28.8/0.947817,""))</f>
        <v/>
      </c>
      <c r="BL54">
        <f t="array" ref="BL54">IF($D25,IFERROR((SUMPRODUCT((economics!$AG$2:$AG$167=$B54)*(economics!$D$2:$D$167="whr")*economics!$AH$2:$AH$167*(_xlfn.NORM.DIST(BL$3,economics!$AK$2:$AK$167,economics!$AJ$2:$AJ$167,TRUE)-_xlfn.NORM.DIST(BL$30,economics!$AK$2:$AK$167,economics!$AJ$2:$AJ$167,TRUE))*economics!$AM$2:$AM$167)+$CR25*(_xlfn.NORM.DIST(BL$3,$CU25,0.3*$CU25,TRUE)-_xlfn.NORM.DIST(BL$30,$CU25,0.3*$CU25,TRUE))*summary!$C$7/28.8/0.947817+$CS25*(_xlfn.NORM.DIST(BL$3,$CV25,0.3*$CV25,TRUE)-_xlfn.NORM.DIST(BL$30,$CV25,0.3*$CV25,TRUE))*summary!$C$6/28.8/0.947817)/(SUMPRODUCT((economics!$AG$2:$AG$167=$B54)*(economics!$D$2:$D$167="whr")*economics!$AH$2:$AH$167*(_xlfn.NORM.DIST(BL$3,economics!$AK$2:$AK$167,economics!$AJ$2:$AJ$167,TRUE)-_xlfn.NORM.DIST(BL$30,economics!$AK$2:$AK$167,economics!$AJ$2:$AJ$167,TRUE)))+$CR25*(_xlfn.NORM.DIST(BL$3,$CU25,0.3*$CU25,TRUE)-_xlfn.NORM.DIST(BL$30,$CU25,0.3*$CU25,TRUE))+$CS25*(_xlfn.NORM.DIST(BL$3,$CV25,0.3*$CV25,TRUE)-_xlfn.NORM.DIST(BL$30,$CV25,0.3*$CV25,TRUE))),""),IF($C25&gt;0,summary!$C$10/28.8/0.947817,""))</f>
        <v/>
      </c>
      <c r="BM54">
        <f t="array" ref="BM54">IF($D25,IFERROR((SUMPRODUCT((economics!$AG$2:$AG$167=$B54)*(economics!$D$2:$D$167="whr")*economics!$AH$2:$AH$167*(_xlfn.NORM.DIST(BM$3,economics!$AK$2:$AK$167,economics!$AJ$2:$AJ$167,TRUE)-_xlfn.NORM.DIST(BM$30,economics!$AK$2:$AK$167,economics!$AJ$2:$AJ$167,TRUE))*economics!$AM$2:$AM$167)+$CR25*(_xlfn.NORM.DIST(BM$3,$CU25,0.3*$CU25,TRUE)-_xlfn.NORM.DIST(BM$30,$CU25,0.3*$CU25,TRUE))*summary!$C$7/28.8/0.947817+$CS25*(_xlfn.NORM.DIST(BM$3,$CV25,0.3*$CV25,TRUE)-_xlfn.NORM.DIST(BM$30,$CV25,0.3*$CV25,TRUE))*summary!$C$6/28.8/0.947817)/(SUMPRODUCT((economics!$AG$2:$AG$167=$B54)*(economics!$D$2:$D$167="whr")*economics!$AH$2:$AH$167*(_xlfn.NORM.DIST(BM$3,economics!$AK$2:$AK$167,economics!$AJ$2:$AJ$167,TRUE)-_xlfn.NORM.DIST(BM$30,economics!$AK$2:$AK$167,economics!$AJ$2:$AJ$167,TRUE)))+$CR25*(_xlfn.NORM.DIST(BM$3,$CU25,0.3*$CU25,TRUE)-_xlfn.NORM.DIST(BM$30,$CU25,0.3*$CU25,TRUE))+$CS25*(_xlfn.NORM.DIST(BM$3,$CV25,0.3*$CV25,TRUE)-_xlfn.NORM.DIST(BM$30,$CV25,0.3*$CV25,TRUE))),""),IF($C25&gt;0,summary!$C$10/28.8/0.947817,""))</f>
        <v/>
      </c>
      <c r="BN54">
        <f t="array" ref="BN54">IF($D25,IFERROR((SUMPRODUCT((economics!$AG$2:$AG$167=$B54)*(economics!$D$2:$D$167="whr")*economics!$AH$2:$AH$167*(_xlfn.NORM.DIST(BN$3,economics!$AK$2:$AK$167,economics!$AJ$2:$AJ$167,TRUE)-_xlfn.NORM.DIST(BN$30,economics!$AK$2:$AK$167,economics!$AJ$2:$AJ$167,TRUE))*economics!$AM$2:$AM$167)+$CR25*(_xlfn.NORM.DIST(BN$3,$CU25,0.3*$CU25,TRUE)-_xlfn.NORM.DIST(BN$30,$CU25,0.3*$CU25,TRUE))*summary!$C$7/28.8/0.947817+$CS25*(_xlfn.NORM.DIST(BN$3,$CV25,0.3*$CV25,TRUE)-_xlfn.NORM.DIST(BN$30,$CV25,0.3*$CV25,TRUE))*summary!$C$6/28.8/0.947817)/(SUMPRODUCT((economics!$AG$2:$AG$167=$B54)*(economics!$D$2:$D$167="whr")*economics!$AH$2:$AH$167*(_xlfn.NORM.DIST(BN$3,economics!$AK$2:$AK$167,economics!$AJ$2:$AJ$167,TRUE)-_xlfn.NORM.DIST(BN$30,economics!$AK$2:$AK$167,economics!$AJ$2:$AJ$167,TRUE)))+$CR25*(_xlfn.NORM.DIST(BN$3,$CU25,0.3*$CU25,TRUE)-_xlfn.NORM.DIST(BN$30,$CU25,0.3*$CU25,TRUE))+$CS25*(_xlfn.NORM.DIST(BN$3,$CV25,0.3*$CV25,TRUE)-_xlfn.NORM.DIST(BN$30,$CV25,0.3*$CV25,TRUE))),""),IF($C25&gt;0,summary!$C$10/28.8/0.947817,""))</f>
        <v/>
      </c>
      <c r="BO54">
        <f t="array" ref="BO54">IF($D25,IFERROR((SUMPRODUCT((economics!$AG$2:$AG$167=$B54)*(economics!$D$2:$D$167="whr")*economics!$AH$2:$AH$167*(_xlfn.NORM.DIST(BO$3,economics!$AK$2:$AK$167,economics!$AJ$2:$AJ$167,TRUE)-_xlfn.NORM.DIST(BO$30,economics!$AK$2:$AK$167,economics!$AJ$2:$AJ$167,TRUE))*economics!$AM$2:$AM$167)+$CR25*(_xlfn.NORM.DIST(BO$3,$CU25,0.3*$CU25,TRUE)-_xlfn.NORM.DIST(BO$30,$CU25,0.3*$CU25,TRUE))*summary!$C$7/28.8/0.947817+$CS25*(_xlfn.NORM.DIST(BO$3,$CV25,0.3*$CV25,TRUE)-_xlfn.NORM.DIST(BO$30,$CV25,0.3*$CV25,TRUE))*summary!$C$6/28.8/0.947817)/(SUMPRODUCT((economics!$AG$2:$AG$167=$B54)*(economics!$D$2:$D$167="whr")*economics!$AH$2:$AH$167*(_xlfn.NORM.DIST(BO$3,economics!$AK$2:$AK$167,economics!$AJ$2:$AJ$167,TRUE)-_xlfn.NORM.DIST(BO$30,economics!$AK$2:$AK$167,economics!$AJ$2:$AJ$167,TRUE)))+$CR25*(_xlfn.NORM.DIST(BO$3,$CU25,0.3*$CU25,TRUE)-_xlfn.NORM.DIST(BO$30,$CU25,0.3*$CU25,TRUE))+$CS25*(_xlfn.NORM.DIST(BO$3,$CV25,0.3*$CV25,TRUE)-_xlfn.NORM.DIST(BO$30,$CV25,0.3*$CV25,TRUE))),""),IF($C25&gt;0,summary!$C$10/28.8/0.947817,""))</f>
        <v/>
      </c>
      <c r="BP54">
        <f t="array" ref="BP54">IF($D25,IFERROR((SUMPRODUCT((economics!$AG$2:$AG$167=$B54)*(economics!$D$2:$D$167="whr")*economics!$AH$2:$AH$167*(_xlfn.NORM.DIST(BP$3,economics!$AK$2:$AK$167,economics!$AJ$2:$AJ$167,TRUE)-_xlfn.NORM.DIST(BP$30,economics!$AK$2:$AK$167,economics!$AJ$2:$AJ$167,TRUE))*economics!$AM$2:$AM$167)+$CR25*(_xlfn.NORM.DIST(BP$3,$CU25,0.3*$CU25,TRUE)-_xlfn.NORM.DIST(BP$30,$CU25,0.3*$CU25,TRUE))*summary!$C$7/28.8/0.947817+$CS25*(_xlfn.NORM.DIST(BP$3,$CV25,0.3*$CV25,TRUE)-_xlfn.NORM.DIST(BP$30,$CV25,0.3*$CV25,TRUE))*summary!$C$6/28.8/0.947817)/(SUMPRODUCT((economics!$AG$2:$AG$167=$B54)*(economics!$D$2:$D$167="whr")*economics!$AH$2:$AH$167*(_xlfn.NORM.DIST(BP$3,economics!$AK$2:$AK$167,economics!$AJ$2:$AJ$167,TRUE)-_xlfn.NORM.DIST(BP$30,economics!$AK$2:$AK$167,economics!$AJ$2:$AJ$167,TRUE)))+$CR25*(_xlfn.NORM.DIST(BP$3,$CU25,0.3*$CU25,TRUE)-_xlfn.NORM.DIST(BP$30,$CU25,0.3*$CU25,TRUE))+$CS25*(_xlfn.NORM.DIST(BP$3,$CV25,0.3*$CV25,TRUE)-_xlfn.NORM.DIST(BP$30,$CV25,0.3*$CV25,TRUE))),""),IF($C25&gt;0,summary!$C$10/28.8/0.947817,""))</f>
        <v/>
      </c>
      <c r="BQ54">
        <f t="array" ref="BQ54">IF($D25,IFERROR((SUMPRODUCT((economics!$AG$2:$AG$167=$B54)*(economics!$D$2:$D$167="whr")*economics!$AH$2:$AH$167*(_xlfn.NORM.DIST(BQ$3,economics!$AK$2:$AK$167,economics!$AJ$2:$AJ$167,TRUE)-_xlfn.NORM.DIST(BQ$30,economics!$AK$2:$AK$167,economics!$AJ$2:$AJ$167,TRUE))*economics!$AM$2:$AM$167)+$CR25*(_xlfn.NORM.DIST(BQ$3,$CU25,0.3*$CU25,TRUE)-_xlfn.NORM.DIST(BQ$30,$CU25,0.3*$CU25,TRUE))*summary!$C$7/28.8/0.947817+$CS25*(_xlfn.NORM.DIST(BQ$3,$CV25,0.3*$CV25,TRUE)-_xlfn.NORM.DIST(BQ$30,$CV25,0.3*$CV25,TRUE))*summary!$C$6/28.8/0.947817)/(SUMPRODUCT((economics!$AG$2:$AG$167=$B54)*(economics!$D$2:$D$167="whr")*economics!$AH$2:$AH$167*(_xlfn.NORM.DIST(BQ$3,economics!$AK$2:$AK$167,economics!$AJ$2:$AJ$167,TRUE)-_xlfn.NORM.DIST(BQ$30,economics!$AK$2:$AK$167,economics!$AJ$2:$AJ$167,TRUE)))+$CR25*(_xlfn.NORM.DIST(BQ$3,$CU25,0.3*$CU25,TRUE)-_xlfn.NORM.DIST(BQ$30,$CU25,0.3*$CU25,TRUE))+$CS25*(_xlfn.NORM.DIST(BQ$3,$CV25,0.3*$CV25,TRUE)-_xlfn.NORM.DIST(BQ$30,$CV25,0.3*$CV25,TRUE))),""),IF($C25&gt;0,summary!$C$10/28.8/0.947817,""))</f>
        <v/>
      </c>
      <c r="BR54">
        <f t="array" ref="BR54">IF($D25,IFERROR((SUMPRODUCT((economics!$AG$2:$AG$167=$B54)*(economics!$D$2:$D$167="whr")*economics!$AH$2:$AH$167*(_xlfn.NORM.DIST(BR$3,economics!$AK$2:$AK$167,economics!$AJ$2:$AJ$167,TRUE)-_xlfn.NORM.DIST(BR$30,economics!$AK$2:$AK$167,economics!$AJ$2:$AJ$167,TRUE))*economics!$AM$2:$AM$167)+$CR25*(_xlfn.NORM.DIST(BR$3,$CU25,0.3*$CU25,TRUE)-_xlfn.NORM.DIST(BR$30,$CU25,0.3*$CU25,TRUE))*summary!$C$7/28.8/0.947817+$CS25*(_xlfn.NORM.DIST(BR$3,$CV25,0.3*$CV25,TRUE)-_xlfn.NORM.DIST(BR$30,$CV25,0.3*$CV25,TRUE))*summary!$C$6/28.8/0.947817)/(SUMPRODUCT((economics!$AG$2:$AG$167=$B54)*(economics!$D$2:$D$167="whr")*economics!$AH$2:$AH$167*(_xlfn.NORM.DIST(BR$3,economics!$AK$2:$AK$167,economics!$AJ$2:$AJ$167,TRUE)-_xlfn.NORM.DIST(BR$30,economics!$AK$2:$AK$167,economics!$AJ$2:$AJ$167,TRUE)))+$CR25*(_xlfn.NORM.DIST(BR$3,$CU25,0.3*$CU25,TRUE)-_xlfn.NORM.DIST(BR$30,$CU25,0.3*$CU25,TRUE))+$CS25*(_xlfn.NORM.DIST(BR$3,$CV25,0.3*$CV25,TRUE)-_xlfn.NORM.DIST(BR$30,$CV25,0.3*$CV25,TRUE))),""),IF($C25&gt;0,summary!$C$10/28.8/0.947817,""))</f>
        <v/>
      </c>
      <c r="BS54">
        <f t="array" ref="BS54">IF($D25,IFERROR((SUMPRODUCT((economics!$AG$2:$AG$167=$B54)*(economics!$D$2:$D$167="whr")*economics!$AH$2:$AH$167*(_xlfn.NORM.DIST(BS$3,economics!$AK$2:$AK$167,economics!$AJ$2:$AJ$167,TRUE)-_xlfn.NORM.DIST(BS$30,economics!$AK$2:$AK$167,economics!$AJ$2:$AJ$167,TRUE))*economics!$AM$2:$AM$167)+$CR25*(_xlfn.NORM.DIST(BS$3,$CU25,0.3*$CU25,TRUE)-_xlfn.NORM.DIST(BS$30,$CU25,0.3*$CU25,TRUE))*summary!$C$7/28.8/0.947817+$CS25*(_xlfn.NORM.DIST(BS$3,$CV25,0.3*$CV25,TRUE)-_xlfn.NORM.DIST(BS$30,$CV25,0.3*$CV25,TRUE))*summary!$C$6/28.8/0.947817)/(SUMPRODUCT((economics!$AG$2:$AG$167=$B54)*(economics!$D$2:$D$167="whr")*economics!$AH$2:$AH$167*(_xlfn.NORM.DIST(BS$3,economics!$AK$2:$AK$167,economics!$AJ$2:$AJ$167,TRUE)-_xlfn.NORM.DIST(BS$30,economics!$AK$2:$AK$167,economics!$AJ$2:$AJ$167,TRUE)))+$CR25*(_xlfn.NORM.DIST(BS$3,$CU25,0.3*$CU25,TRUE)-_xlfn.NORM.DIST(BS$30,$CU25,0.3*$CU25,TRUE))+$CS25*(_xlfn.NORM.DIST(BS$3,$CV25,0.3*$CV25,TRUE)-_xlfn.NORM.DIST(BS$30,$CV25,0.3*$CV25,TRUE))),""),IF($C25&gt;0,summary!$C$10/28.8/0.947817,""))</f>
        <v/>
      </c>
      <c r="BT54">
        <f t="array" ref="BT54">IF($D25,IFERROR((SUMPRODUCT((economics!$AG$2:$AG$167=$B54)*(economics!$D$2:$D$167="whr")*economics!$AH$2:$AH$167*(_xlfn.NORM.DIST(BT$3,economics!$AK$2:$AK$167,economics!$AJ$2:$AJ$167,TRUE)-_xlfn.NORM.DIST(BT$30,economics!$AK$2:$AK$167,economics!$AJ$2:$AJ$167,TRUE))*economics!$AM$2:$AM$167)+$CR25*(_xlfn.NORM.DIST(BT$3,$CU25,0.3*$CU25,TRUE)-_xlfn.NORM.DIST(BT$30,$CU25,0.3*$CU25,TRUE))*summary!$C$7/28.8/0.947817+$CS25*(_xlfn.NORM.DIST(BT$3,$CV25,0.3*$CV25,TRUE)-_xlfn.NORM.DIST(BT$30,$CV25,0.3*$CV25,TRUE))*summary!$C$6/28.8/0.947817)/(SUMPRODUCT((economics!$AG$2:$AG$167=$B54)*(economics!$D$2:$D$167="whr")*economics!$AH$2:$AH$167*(_xlfn.NORM.DIST(BT$3,economics!$AK$2:$AK$167,economics!$AJ$2:$AJ$167,TRUE)-_xlfn.NORM.DIST(BT$30,economics!$AK$2:$AK$167,economics!$AJ$2:$AJ$167,TRUE)))+$CR25*(_xlfn.NORM.DIST(BT$3,$CU25,0.3*$CU25,TRUE)-_xlfn.NORM.DIST(BT$30,$CU25,0.3*$CU25,TRUE))+$CS25*(_xlfn.NORM.DIST(BT$3,$CV25,0.3*$CV25,TRUE)-_xlfn.NORM.DIST(BT$30,$CV25,0.3*$CV25,TRUE))),""),IF($C25&gt;0,summary!$C$10/28.8/0.947817,""))</f>
        <v/>
      </c>
      <c r="BU54">
        <f t="array" ref="BU54">IF($D25,IFERROR((SUMPRODUCT((economics!$AG$2:$AG$167=$B54)*(economics!$D$2:$D$167="whr")*economics!$AH$2:$AH$167*(_xlfn.NORM.DIST(BU$3,economics!$AK$2:$AK$167,economics!$AJ$2:$AJ$167,TRUE)-_xlfn.NORM.DIST(BU$30,economics!$AK$2:$AK$167,economics!$AJ$2:$AJ$167,TRUE))*economics!$AM$2:$AM$167)+$CR25*(_xlfn.NORM.DIST(BU$3,$CU25,0.3*$CU25,TRUE)-_xlfn.NORM.DIST(BU$30,$CU25,0.3*$CU25,TRUE))*summary!$C$7/28.8/0.947817+$CS25*(_xlfn.NORM.DIST(BU$3,$CV25,0.3*$CV25,TRUE)-_xlfn.NORM.DIST(BU$30,$CV25,0.3*$CV25,TRUE))*summary!$C$6/28.8/0.947817)/(SUMPRODUCT((economics!$AG$2:$AG$167=$B54)*(economics!$D$2:$D$167="whr")*economics!$AH$2:$AH$167*(_xlfn.NORM.DIST(BU$3,economics!$AK$2:$AK$167,economics!$AJ$2:$AJ$167,TRUE)-_xlfn.NORM.DIST(BU$30,economics!$AK$2:$AK$167,economics!$AJ$2:$AJ$167,TRUE)))+$CR25*(_xlfn.NORM.DIST(BU$3,$CU25,0.3*$CU25,TRUE)-_xlfn.NORM.DIST(BU$30,$CU25,0.3*$CU25,TRUE))+$CS25*(_xlfn.NORM.DIST(BU$3,$CV25,0.3*$CV25,TRUE)-_xlfn.NORM.DIST(BU$30,$CV25,0.3*$CV25,TRUE))),""),IF($C25&gt;0,summary!$C$10/28.8/0.947817,""))</f>
        <v/>
      </c>
      <c r="BV54">
        <f t="array" ref="BV54">IF($D25,IFERROR((SUMPRODUCT((economics!$AG$2:$AG$167=$B54)*(economics!$D$2:$D$167="whr")*economics!$AH$2:$AH$167*(_xlfn.NORM.DIST(BV$3,economics!$AK$2:$AK$167,economics!$AJ$2:$AJ$167,TRUE)-_xlfn.NORM.DIST(BV$30,economics!$AK$2:$AK$167,economics!$AJ$2:$AJ$167,TRUE))*economics!$AM$2:$AM$167)+$CR25*(_xlfn.NORM.DIST(BV$3,$CU25,0.3*$CU25,TRUE)-_xlfn.NORM.DIST(BV$30,$CU25,0.3*$CU25,TRUE))*summary!$C$7/28.8/0.947817+$CS25*(_xlfn.NORM.DIST(BV$3,$CV25,0.3*$CV25,TRUE)-_xlfn.NORM.DIST(BV$30,$CV25,0.3*$CV25,TRUE))*summary!$C$6/28.8/0.947817)/(SUMPRODUCT((economics!$AG$2:$AG$167=$B54)*(economics!$D$2:$D$167="whr")*economics!$AH$2:$AH$167*(_xlfn.NORM.DIST(BV$3,economics!$AK$2:$AK$167,economics!$AJ$2:$AJ$167,TRUE)-_xlfn.NORM.DIST(BV$30,economics!$AK$2:$AK$167,economics!$AJ$2:$AJ$167,TRUE)))+$CR25*(_xlfn.NORM.DIST(BV$3,$CU25,0.3*$CU25,TRUE)-_xlfn.NORM.DIST(BV$30,$CU25,0.3*$CU25,TRUE))+$CS25*(_xlfn.NORM.DIST(BV$3,$CV25,0.3*$CV25,TRUE)-_xlfn.NORM.DIST(BV$30,$CV25,0.3*$CV25,TRUE))),""),IF($C25&gt;0,summary!$C$10/28.8/0.947817,""))</f>
        <v/>
      </c>
      <c r="BW54">
        <f t="array" ref="BW54">IF($D25,IFERROR((SUMPRODUCT((economics!$AG$2:$AG$167=$B54)*(economics!$D$2:$D$167="whr")*economics!$AH$2:$AH$167*(_xlfn.NORM.DIST(BW$3,economics!$AK$2:$AK$167,economics!$AJ$2:$AJ$167,TRUE)-_xlfn.NORM.DIST(BW$30,economics!$AK$2:$AK$167,economics!$AJ$2:$AJ$167,TRUE))*economics!$AM$2:$AM$167)+$CR25*(_xlfn.NORM.DIST(BW$3,$CU25,0.3*$CU25,TRUE)-_xlfn.NORM.DIST(BW$30,$CU25,0.3*$CU25,TRUE))*summary!$C$7/28.8/0.947817+$CS25*(_xlfn.NORM.DIST(BW$3,$CV25,0.3*$CV25,TRUE)-_xlfn.NORM.DIST(BW$30,$CV25,0.3*$CV25,TRUE))*summary!$C$6/28.8/0.947817)/(SUMPRODUCT((economics!$AG$2:$AG$167=$B54)*(economics!$D$2:$D$167="whr")*economics!$AH$2:$AH$167*(_xlfn.NORM.DIST(BW$3,economics!$AK$2:$AK$167,economics!$AJ$2:$AJ$167,TRUE)-_xlfn.NORM.DIST(BW$30,economics!$AK$2:$AK$167,economics!$AJ$2:$AJ$167,TRUE)))+$CR25*(_xlfn.NORM.DIST(BW$3,$CU25,0.3*$CU25,TRUE)-_xlfn.NORM.DIST(BW$30,$CU25,0.3*$CU25,TRUE))+$CS25*(_xlfn.NORM.DIST(BW$3,$CV25,0.3*$CV25,TRUE)-_xlfn.NORM.DIST(BW$30,$CV25,0.3*$CV25,TRUE))),""),IF($C25&gt;0,summary!$C$10/28.8/0.947817,""))</f>
        <v/>
      </c>
      <c r="BX54">
        <f t="array" ref="BX54">IF($D25,IFERROR((SUMPRODUCT((economics!$AG$2:$AG$167=$B54)*(economics!$D$2:$D$167="whr")*economics!$AH$2:$AH$167*(_xlfn.NORM.DIST(BX$3,economics!$AK$2:$AK$167,economics!$AJ$2:$AJ$167,TRUE)-_xlfn.NORM.DIST(BX$30,economics!$AK$2:$AK$167,economics!$AJ$2:$AJ$167,TRUE))*economics!$AM$2:$AM$167)+$CR25*(_xlfn.NORM.DIST(BX$3,$CU25,0.3*$CU25,TRUE)-_xlfn.NORM.DIST(BX$30,$CU25,0.3*$CU25,TRUE))*summary!$C$7/28.8/0.947817+$CS25*(_xlfn.NORM.DIST(BX$3,$CV25,0.3*$CV25,TRUE)-_xlfn.NORM.DIST(BX$30,$CV25,0.3*$CV25,TRUE))*summary!$C$6/28.8/0.947817)/(SUMPRODUCT((economics!$AG$2:$AG$167=$B54)*(economics!$D$2:$D$167="whr")*economics!$AH$2:$AH$167*(_xlfn.NORM.DIST(BX$3,economics!$AK$2:$AK$167,economics!$AJ$2:$AJ$167,TRUE)-_xlfn.NORM.DIST(BX$30,economics!$AK$2:$AK$167,economics!$AJ$2:$AJ$167,TRUE)))+$CR25*(_xlfn.NORM.DIST(BX$3,$CU25,0.3*$CU25,TRUE)-_xlfn.NORM.DIST(BX$30,$CU25,0.3*$CU25,TRUE))+$CS25*(_xlfn.NORM.DIST(BX$3,$CV25,0.3*$CV25,TRUE)-_xlfn.NORM.DIST(BX$30,$CV25,0.3*$CV25,TRUE))),""),IF($C25&gt;0,summary!$C$10/28.8/0.947817,""))</f>
        <v/>
      </c>
      <c r="BY54">
        <f t="array" ref="BY54">IF($D25,IFERROR((SUMPRODUCT((economics!$AG$2:$AG$167=$B54)*(economics!$D$2:$D$167="whr")*economics!$AH$2:$AH$167*(_xlfn.NORM.DIST(BY$3,economics!$AK$2:$AK$167,economics!$AJ$2:$AJ$167,TRUE)-_xlfn.NORM.DIST(BY$30,economics!$AK$2:$AK$167,economics!$AJ$2:$AJ$167,TRUE))*economics!$AM$2:$AM$167)+$CR25*(_xlfn.NORM.DIST(BY$3,$CU25,0.3*$CU25,TRUE)-_xlfn.NORM.DIST(BY$30,$CU25,0.3*$CU25,TRUE))*summary!$C$7/28.8/0.947817+$CS25*(_xlfn.NORM.DIST(BY$3,$CV25,0.3*$CV25,TRUE)-_xlfn.NORM.DIST(BY$30,$CV25,0.3*$CV25,TRUE))*summary!$C$6/28.8/0.947817)/(SUMPRODUCT((economics!$AG$2:$AG$167=$B54)*(economics!$D$2:$D$167="whr")*economics!$AH$2:$AH$167*(_xlfn.NORM.DIST(BY$3,economics!$AK$2:$AK$167,economics!$AJ$2:$AJ$167,TRUE)-_xlfn.NORM.DIST(BY$30,economics!$AK$2:$AK$167,economics!$AJ$2:$AJ$167,TRUE)))+$CR25*(_xlfn.NORM.DIST(BY$3,$CU25,0.3*$CU25,TRUE)-_xlfn.NORM.DIST(BY$30,$CU25,0.3*$CU25,TRUE))+$CS25*(_xlfn.NORM.DIST(BY$3,$CV25,0.3*$CV25,TRUE)-_xlfn.NORM.DIST(BY$30,$CV25,0.3*$CV25,TRUE))),""),IF($C25&gt;0,summary!$C$10/28.8/0.947817,""))</f>
        <v/>
      </c>
      <c r="BZ54">
        <f t="array" ref="BZ54">IF($D25,IFERROR((SUMPRODUCT((economics!$AG$2:$AG$167=$B54)*(economics!$D$2:$D$167="whr")*economics!$AH$2:$AH$167*(_xlfn.NORM.DIST(BZ$3,economics!$AK$2:$AK$167,economics!$AJ$2:$AJ$167,TRUE)-_xlfn.NORM.DIST(BZ$30,economics!$AK$2:$AK$167,economics!$AJ$2:$AJ$167,TRUE))*economics!$AM$2:$AM$167)+$CR25*(_xlfn.NORM.DIST(BZ$3,$CU25,0.3*$CU25,TRUE)-_xlfn.NORM.DIST(BZ$30,$CU25,0.3*$CU25,TRUE))*summary!$C$7/28.8/0.947817+$CS25*(_xlfn.NORM.DIST(BZ$3,$CV25,0.3*$CV25,TRUE)-_xlfn.NORM.DIST(BZ$30,$CV25,0.3*$CV25,TRUE))*summary!$C$6/28.8/0.947817)/(SUMPRODUCT((economics!$AG$2:$AG$167=$B54)*(economics!$D$2:$D$167="whr")*economics!$AH$2:$AH$167*(_xlfn.NORM.DIST(BZ$3,economics!$AK$2:$AK$167,economics!$AJ$2:$AJ$167,TRUE)-_xlfn.NORM.DIST(BZ$30,economics!$AK$2:$AK$167,economics!$AJ$2:$AJ$167,TRUE)))+$CR25*(_xlfn.NORM.DIST(BZ$3,$CU25,0.3*$CU25,TRUE)-_xlfn.NORM.DIST(BZ$30,$CU25,0.3*$CU25,TRUE))+$CS25*(_xlfn.NORM.DIST(BZ$3,$CV25,0.3*$CV25,TRUE)-_xlfn.NORM.DIST(BZ$30,$CV25,0.3*$CV25,TRUE))),""),IF($C25&gt;0,summary!$C$10/28.8/0.947817,""))</f>
        <v/>
      </c>
      <c r="CA54">
        <f t="array" ref="CA54">IF($D25,IFERROR((SUMPRODUCT((economics!$AG$2:$AG$167=$B54)*(economics!$D$2:$D$167="whr")*economics!$AH$2:$AH$167*(_xlfn.NORM.DIST(CA$3,economics!$AK$2:$AK$167,economics!$AJ$2:$AJ$167,TRUE)-_xlfn.NORM.DIST(CA$30,economics!$AK$2:$AK$167,economics!$AJ$2:$AJ$167,TRUE))*economics!$AM$2:$AM$167)+$CR25*(_xlfn.NORM.DIST(CA$3,$CU25,0.3*$CU25,TRUE)-_xlfn.NORM.DIST(CA$30,$CU25,0.3*$CU25,TRUE))*summary!$C$7/28.8/0.947817+$CS25*(_xlfn.NORM.DIST(CA$3,$CV25,0.3*$CV25,TRUE)-_xlfn.NORM.DIST(CA$30,$CV25,0.3*$CV25,TRUE))*summary!$C$6/28.8/0.947817)/(SUMPRODUCT((economics!$AG$2:$AG$167=$B54)*(economics!$D$2:$D$167="whr")*economics!$AH$2:$AH$167*(_xlfn.NORM.DIST(CA$3,economics!$AK$2:$AK$167,economics!$AJ$2:$AJ$167,TRUE)-_xlfn.NORM.DIST(CA$30,economics!$AK$2:$AK$167,economics!$AJ$2:$AJ$167,TRUE)))+$CR25*(_xlfn.NORM.DIST(CA$3,$CU25,0.3*$CU25,TRUE)-_xlfn.NORM.DIST(CA$30,$CU25,0.3*$CU25,TRUE))+$CS25*(_xlfn.NORM.DIST(CA$3,$CV25,0.3*$CV25,TRUE)-_xlfn.NORM.DIST(CA$30,$CV25,0.3*$CV25,TRUE))),""),IF($C25&gt;0,summary!$C$10/28.8/0.947817,""))</f>
        <v/>
      </c>
      <c r="CB54">
        <f t="array" ref="CB54">IF($D25,IFERROR((SUMPRODUCT((economics!$AG$2:$AG$167=$B54)*(economics!$D$2:$D$167="whr")*economics!$AH$2:$AH$167*(_xlfn.NORM.DIST(CB$3,economics!$AK$2:$AK$167,economics!$AJ$2:$AJ$167,TRUE)-_xlfn.NORM.DIST(CB$30,economics!$AK$2:$AK$167,economics!$AJ$2:$AJ$167,TRUE))*economics!$AM$2:$AM$167)+$CR25*(_xlfn.NORM.DIST(CB$3,$CU25,0.3*$CU25,TRUE)-_xlfn.NORM.DIST(CB$30,$CU25,0.3*$CU25,TRUE))*summary!$C$7/28.8/0.947817+$CS25*(_xlfn.NORM.DIST(CB$3,$CV25,0.3*$CV25,TRUE)-_xlfn.NORM.DIST(CB$30,$CV25,0.3*$CV25,TRUE))*summary!$C$6/28.8/0.947817)/(SUMPRODUCT((economics!$AG$2:$AG$167=$B54)*(economics!$D$2:$D$167="whr")*economics!$AH$2:$AH$167*(_xlfn.NORM.DIST(CB$3,economics!$AK$2:$AK$167,economics!$AJ$2:$AJ$167,TRUE)-_xlfn.NORM.DIST(CB$30,economics!$AK$2:$AK$167,economics!$AJ$2:$AJ$167,TRUE)))+$CR25*(_xlfn.NORM.DIST(CB$3,$CU25,0.3*$CU25,TRUE)-_xlfn.NORM.DIST(CB$30,$CU25,0.3*$CU25,TRUE))+$CS25*(_xlfn.NORM.DIST(CB$3,$CV25,0.3*$CV25,TRUE)-_xlfn.NORM.DIST(CB$30,$CV25,0.3*$CV25,TRUE))),""),IF($C25&gt;0,summary!$C$10/28.8/0.947817,""))</f>
        <v/>
      </c>
      <c r="CC54">
        <f t="array" ref="CC54">IF($D25,IFERROR((SUMPRODUCT((economics!$AG$2:$AG$167=$B54)*(economics!$D$2:$D$167="whr")*economics!$AH$2:$AH$167*(_xlfn.NORM.DIST(CC$3,economics!$AK$2:$AK$167,economics!$AJ$2:$AJ$167,TRUE)-_xlfn.NORM.DIST(CC$30,economics!$AK$2:$AK$167,economics!$AJ$2:$AJ$167,TRUE))*economics!$AM$2:$AM$167)+$CR25*(_xlfn.NORM.DIST(CC$3,$CU25,0.3*$CU25,TRUE)-_xlfn.NORM.DIST(CC$30,$CU25,0.3*$CU25,TRUE))*summary!$C$7/28.8/0.947817+$CS25*(_xlfn.NORM.DIST(CC$3,$CV25,0.3*$CV25,TRUE)-_xlfn.NORM.DIST(CC$30,$CV25,0.3*$CV25,TRUE))*summary!$C$6/28.8/0.947817)/(SUMPRODUCT((economics!$AG$2:$AG$167=$B54)*(economics!$D$2:$D$167="whr")*economics!$AH$2:$AH$167*(_xlfn.NORM.DIST(CC$3,economics!$AK$2:$AK$167,economics!$AJ$2:$AJ$167,TRUE)-_xlfn.NORM.DIST(CC$30,economics!$AK$2:$AK$167,economics!$AJ$2:$AJ$167,TRUE)))+$CR25*(_xlfn.NORM.DIST(CC$3,$CU25,0.3*$CU25,TRUE)-_xlfn.NORM.DIST(CC$30,$CU25,0.3*$CU25,TRUE))+$CS25*(_xlfn.NORM.DIST(CC$3,$CV25,0.3*$CV25,TRUE)-_xlfn.NORM.DIST(CC$30,$CV25,0.3*$CV25,TRUE))),""),IF($C25&gt;0,summary!$C$10/28.8/0.947817,""))</f>
        <v/>
      </c>
      <c r="CD54">
        <f t="array" ref="CD54">IF($D25,IFERROR((SUMPRODUCT((economics!$AG$2:$AG$167=$B54)*(economics!$D$2:$D$167="whr")*economics!$AH$2:$AH$167*(_xlfn.NORM.DIST(CD$3,economics!$AK$2:$AK$167,economics!$AJ$2:$AJ$167,TRUE)-_xlfn.NORM.DIST(CD$30,economics!$AK$2:$AK$167,economics!$AJ$2:$AJ$167,TRUE))*economics!$AM$2:$AM$167)+$CR25*(_xlfn.NORM.DIST(CD$3,$CU25,0.3*$CU25,TRUE)-_xlfn.NORM.DIST(CD$30,$CU25,0.3*$CU25,TRUE))*summary!$C$7/28.8/0.947817+$CS25*(_xlfn.NORM.DIST(CD$3,$CV25,0.3*$CV25,TRUE)-_xlfn.NORM.DIST(CD$30,$CV25,0.3*$CV25,TRUE))*summary!$C$6/28.8/0.947817)/(SUMPRODUCT((economics!$AG$2:$AG$167=$B54)*(economics!$D$2:$D$167="whr")*economics!$AH$2:$AH$167*(_xlfn.NORM.DIST(CD$3,economics!$AK$2:$AK$167,economics!$AJ$2:$AJ$167,TRUE)-_xlfn.NORM.DIST(CD$30,economics!$AK$2:$AK$167,economics!$AJ$2:$AJ$167,TRUE)))+$CR25*(_xlfn.NORM.DIST(CD$3,$CU25,0.3*$CU25,TRUE)-_xlfn.NORM.DIST(CD$30,$CU25,0.3*$CU25,TRUE))+$CS25*(_xlfn.NORM.DIST(CD$3,$CV25,0.3*$CV25,TRUE)-_xlfn.NORM.DIST(CD$30,$CV25,0.3*$CV25,TRUE))),""),IF($C25&gt;0,summary!$C$10/28.8/0.947817,""))</f>
        <v/>
      </c>
      <c r="CE54">
        <f t="array" ref="CE54">IF($D25,IFERROR((SUMPRODUCT((economics!$AG$2:$AG$167=$B54)*(economics!$D$2:$D$167="whr")*economics!$AH$2:$AH$167*(_xlfn.NORM.DIST(CE$3,economics!$AK$2:$AK$167,economics!$AJ$2:$AJ$167,TRUE)-_xlfn.NORM.DIST(CE$30,economics!$AK$2:$AK$167,economics!$AJ$2:$AJ$167,TRUE))*economics!$AM$2:$AM$167)+$CR25*(_xlfn.NORM.DIST(CE$3,$CU25,0.3*$CU25,TRUE)-_xlfn.NORM.DIST(CE$30,$CU25,0.3*$CU25,TRUE))*summary!$C$7/28.8/0.947817+$CS25*(_xlfn.NORM.DIST(CE$3,$CV25,0.3*$CV25,TRUE)-_xlfn.NORM.DIST(CE$30,$CV25,0.3*$CV25,TRUE))*summary!$C$6/28.8/0.947817)/(SUMPRODUCT((economics!$AG$2:$AG$167=$B54)*(economics!$D$2:$D$167="whr")*economics!$AH$2:$AH$167*(_xlfn.NORM.DIST(CE$3,economics!$AK$2:$AK$167,economics!$AJ$2:$AJ$167,TRUE)-_xlfn.NORM.DIST(CE$30,economics!$AK$2:$AK$167,economics!$AJ$2:$AJ$167,TRUE)))+$CR25*(_xlfn.NORM.DIST(CE$3,$CU25,0.3*$CU25,TRUE)-_xlfn.NORM.DIST(CE$30,$CU25,0.3*$CU25,TRUE))+$CS25*(_xlfn.NORM.DIST(CE$3,$CV25,0.3*$CV25,TRUE)-_xlfn.NORM.DIST(CE$30,$CV25,0.3*$CV25,TRUE))),""),IF($C25&gt;0,summary!$C$10/28.8/0.947817,""))</f>
        <v/>
      </c>
      <c r="CF54">
        <f t="array" ref="CF54">IF($D25,IFERROR((SUMPRODUCT((economics!$AG$2:$AG$167=$B54)*(economics!$D$2:$D$167="whr")*economics!$AH$2:$AH$167*(_xlfn.NORM.DIST(CF$3,economics!$AK$2:$AK$167,economics!$AJ$2:$AJ$167,TRUE)-_xlfn.NORM.DIST(CF$30,economics!$AK$2:$AK$167,economics!$AJ$2:$AJ$167,TRUE))*economics!$AM$2:$AM$167)+$CR25*(_xlfn.NORM.DIST(CF$3,$CU25,0.3*$CU25,TRUE)-_xlfn.NORM.DIST(CF$30,$CU25,0.3*$CU25,TRUE))*summary!$C$7/28.8/0.947817+$CS25*(_xlfn.NORM.DIST(CF$3,$CV25,0.3*$CV25,TRUE)-_xlfn.NORM.DIST(CF$30,$CV25,0.3*$CV25,TRUE))*summary!$C$6/28.8/0.947817)/(SUMPRODUCT((economics!$AG$2:$AG$167=$B54)*(economics!$D$2:$D$167="whr")*economics!$AH$2:$AH$167*(_xlfn.NORM.DIST(CF$3,economics!$AK$2:$AK$167,economics!$AJ$2:$AJ$167,TRUE)-_xlfn.NORM.DIST(CF$30,economics!$AK$2:$AK$167,economics!$AJ$2:$AJ$167,TRUE)))+$CR25*(_xlfn.NORM.DIST(CF$3,$CU25,0.3*$CU25,TRUE)-_xlfn.NORM.DIST(CF$30,$CU25,0.3*$CU25,TRUE))+$CS25*(_xlfn.NORM.DIST(CF$3,$CV25,0.3*$CV25,TRUE)-_xlfn.NORM.DIST(CF$30,$CV25,0.3*$CV25,TRUE))),""),IF($C25&gt;0,summary!$C$10/28.8/0.947817,""))</f>
        <v/>
      </c>
      <c r="CG54">
        <f t="array" ref="CG54">IF($D25,IFERROR((SUMPRODUCT((economics!$AG$2:$AG$167=$B54)*(economics!$D$2:$D$167="whr")*economics!$AH$2:$AH$167*(_xlfn.NORM.DIST(CG$3,economics!$AK$2:$AK$167,economics!$AJ$2:$AJ$167,TRUE)-_xlfn.NORM.DIST(CG$30,economics!$AK$2:$AK$167,economics!$AJ$2:$AJ$167,TRUE))*economics!$AM$2:$AM$167)+$CR25*(_xlfn.NORM.DIST(CG$3,$CU25,0.3*$CU25,TRUE)-_xlfn.NORM.DIST(CG$30,$CU25,0.3*$CU25,TRUE))*summary!$C$7/28.8/0.947817+$CS25*(_xlfn.NORM.DIST(CG$3,$CV25,0.3*$CV25,TRUE)-_xlfn.NORM.DIST(CG$30,$CV25,0.3*$CV25,TRUE))*summary!$C$6/28.8/0.947817)/(SUMPRODUCT((economics!$AG$2:$AG$167=$B54)*(economics!$D$2:$D$167="whr")*economics!$AH$2:$AH$167*(_xlfn.NORM.DIST(CG$3,economics!$AK$2:$AK$167,economics!$AJ$2:$AJ$167,TRUE)-_xlfn.NORM.DIST(CG$30,economics!$AK$2:$AK$167,economics!$AJ$2:$AJ$167,TRUE)))+$CR25*(_xlfn.NORM.DIST(CG$3,$CU25,0.3*$CU25,TRUE)-_xlfn.NORM.DIST(CG$30,$CU25,0.3*$CU25,TRUE))+$CS25*(_xlfn.NORM.DIST(CG$3,$CV25,0.3*$CV25,TRUE)-_xlfn.NORM.DIST(CG$30,$CV25,0.3*$CV25,TRUE))),""),IF($C25&gt;0,summary!$C$10/28.8/0.947817,""))</f>
        <v/>
      </c>
      <c r="CH54">
        <f t="array" ref="CH54">IF($D25,IFERROR((SUMPRODUCT((economics!$AG$2:$AG$167=$B54)*(economics!$D$2:$D$167="whr")*economics!$AH$2:$AH$167*(_xlfn.NORM.DIST(CH$3,economics!$AK$2:$AK$167,economics!$AJ$2:$AJ$167,TRUE)-_xlfn.NORM.DIST(CH$30,economics!$AK$2:$AK$167,economics!$AJ$2:$AJ$167,TRUE))*economics!$AM$2:$AM$167)+$CR25*(_xlfn.NORM.DIST(CH$3,$CU25,0.3*$CU25,TRUE)-_xlfn.NORM.DIST(CH$30,$CU25,0.3*$CU25,TRUE))*summary!$C$7/28.8/0.947817+$CS25*(_xlfn.NORM.DIST(CH$3,$CV25,0.3*$CV25,TRUE)-_xlfn.NORM.DIST(CH$30,$CV25,0.3*$CV25,TRUE))*summary!$C$6/28.8/0.947817)/(SUMPRODUCT((economics!$AG$2:$AG$167=$B54)*(economics!$D$2:$D$167="whr")*economics!$AH$2:$AH$167*(_xlfn.NORM.DIST(CH$3,economics!$AK$2:$AK$167,economics!$AJ$2:$AJ$167,TRUE)-_xlfn.NORM.DIST(CH$30,economics!$AK$2:$AK$167,economics!$AJ$2:$AJ$167,TRUE)))+$CR25*(_xlfn.NORM.DIST(CH$3,$CU25,0.3*$CU25,TRUE)-_xlfn.NORM.DIST(CH$30,$CU25,0.3*$CU25,TRUE))+$CS25*(_xlfn.NORM.DIST(CH$3,$CV25,0.3*$CV25,TRUE)-_xlfn.NORM.DIST(CH$30,$CV25,0.3*$CV25,TRUE))),""),IF($C25&gt;0,summary!$C$10/28.8/0.947817,""))</f>
        <v/>
      </c>
    </row>
    <row r="55">
      <c r="A55">
        <f>A26</f>
        <v/>
      </c>
      <c r="B55">
        <f>B26</f>
        <v/>
      </c>
      <c r="E55">
        <f t="array" ref="E55">IF($D26,IFERROR((SUMPRODUCT((economics!$AG$2:$AG$167=$B55)*(economics!$D$2:$D$167="whr")*economics!$AH$2:$AH$167*(_xlfn.NORM.DIST(E$3,economics!$AK$2:$AK$167,economics!$AJ$2:$AJ$167,TRUE)-_xlfn.NORM.DIST(E$30,economics!$AK$2:$AK$167,economics!$AJ$2:$AJ$167,TRUE))*economics!$AM$2:$AM$167)+$CR26*(_xlfn.NORM.DIST(E$3,$CU26,0.3*$CU26,TRUE)-_xlfn.NORM.DIST(E$30,$CU26,0.3*$CU26,TRUE))*summary!$C$7/28.8/0.947817+$CS26*(_xlfn.NORM.DIST(E$3,$CV26,0.3*$CV26,TRUE)-_xlfn.NORM.DIST(E$30,$CV26,0.3*$CV26,TRUE))*summary!$C$6/28.8/0.947817)/(SUMPRODUCT((economics!$AG$2:$AG$167=$B55)*(economics!$D$2:$D$167="whr")*economics!$AH$2:$AH$167*(_xlfn.NORM.DIST(E$3,economics!$AK$2:$AK$167,economics!$AJ$2:$AJ$167,TRUE)-_xlfn.NORM.DIST(E$30,economics!$AK$2:$AK$167,economics!$AJ$2:$AJ$167,TRUE)))+$CR26*(_xlfn.NORM.DIST(E$3,$CU26,0.3*$CU26,TRUE)-_xlfn.NORM.DIST(E$30,$CU26,0.3*$CU26,TRUE))+$CS26*(_xlfn.NORM.DIST(E$3,$CV26,0.3*$CV26,TRUE)-_xlfn.NORM.DIST(E$30,$CV26,0.3*$CV26,TRUE))),""),IF($C26&gt;0,summary!$C$10/28.8/0.947817,""))</f>
        <v/>
      </c>
      <c r="F55">
        <f t="array" ref="F55">IF($D26,IFERROR((SUMPRODUCT((economics!$AG$2:$AG$167=$B55)*(economics!$D$2:$D$167="whr")*economics!$AH$2:$AH$167*(_xlfn.NORM.DIST(F$3,economics!$AK$2:$AK$167,economics!$AJ$2:$AJ$167,TRUE)-_xlfn.NORM.DIST(F$30,economics!$AK$2:$AK$167,economics!$AJ$2:$AJ$167,TRUE))*economics!$AM$2:$AM$167)+$CR26*(_xlfn.NORM.DIST(F$3,$CU26,0.3*$CU26,TRUE)-_xlfn.NORM.DIST(F$30,$CU26,0.3*$CU26,TRUE))*summary!$C$7/28.8/0.947817+$CS26*(_xlfn.NORM.DIST(F$3,$CV26,0.3*$CV26,TRUE)-_xlfn.NORM.DIST(F$30,$CV26,0.3*$CV26,TRUE))*summary!$C$6/28.8/0.947817)/(SUMPRODUCT((economics!$AG$2:$AG$167=$B55)*(economics!$D$2:$D$167="whr")*economics!$AH$2:$AH$167*(_xlfn.NORM.DIST(F$3,economics!$AK$2:$AK$167,economics!$AJ$2:$AJ$167,TRUE)-_xlfn.NORM.DIST(F$30,economics!$AK$2:$AK$167,economics!$AJ$2:$AJ$167,TRUE)))+$CR26*(_xlfn.NORM.DIST(F$3,$CU26,0.3*$CU26,TRUE)-_xlfn.NORM.DIST(F$30,$CU26,0.3*$CU26,TRUE))+$CS26*(_xlfn.NORM.DIST(F$3,$CV26,0.3*$CV26,TRUE)-_xlfn.NORM.DIST(F$30,$CV26,0.3*$CV26,TRUE))),""),IF($C26&gt;0,summary!$C$10/28.8/0.947817,""))</f>
        <v/>
      </c>
      <c r="G55">
        <f t="array" ref="G55">IF($D26,IFERROR((SUMPRODUCT((economics!$AG$2:$AG$167=$B55)*(economics!$D$2:$D$167="whr")*economics!$AH$2:$AH$167*(_xlfn.NORM.DIST(G$3,economics!$AK$2:$AK$167,economics!$AJ$2:$AJ$167,TRUE)-_xlfn.NORM.DIST(G$30,economics!$AK$2:$AK$167,economics!$AJ$2:$AJ$167,TRUE))*economics!$AM$2:$AM$167)+$CR26*(_xlfn.NORM.DIST(G$3,$CU26,0.3*$CU26,TRUE)-_xlfn.NORM.DIST(G$30,$CU26,0.3*$CU26,TRUE))*summary!$C$7/28.8/0.947817+$CS26*(_xlfn.NORM.DIST(G$3,$CV26,0.3*$CV26,TRUE)-_xlfn.NORM.DIST(G$30,$CV26,0.3*$CV26,TRUE))*summary!$C$6/28.8/0.947817)/(SUMPRODUCT((economics!$AG$2:$AG$167=$B55)*(economics!$D$2:$D$167="whr")*economics!$AH$2:$AH$167*(_xlfn.NORM.DIST(G$3,economics!$AK$2:$AK$167,economics!$AJ$2:$AJ$167,TRUE)-_xlfn.NORM.DIST(G$30,economics!$AK$2:$AK$167,economics!$AJ$2:$AJ$167,TRUE)))+$CR26*(_xlfn.NORM.DIST(G$3,$CU26,0.3*$CU26,TRUE)-_xlfn.NORM.DIST(G$30,$CU26,0.3*$CU26,TRUE))+$CS26*(_xlfn.NORM.DIST(G$3,$CV26,0.3*$CV26,TRUE)-_xlfn.NORM.DIST(G$30,$CV26,0.3*$CV26,TRUE))),""),IF($C26&gt;0,summary!$C$10/28.8/0.947817,""))</f>
        <v/>
      </c>
      <c r="H55">
        <f t="array" ref="H55">IF($D26,IFERROR((SUMPRODUCT((economics!$AG$2:$AG$167=$B55)*(economics!$D$2:$D$167="whr")*economics!$AH$2:$AH$167*(_xlfn.NORM.DIST(H$3,economics!$AK$2:$AK$167,economics!$AJ$2:$AJ$167,TRUE)-_xlfn.NORM.DIST(H$30,economics!$AK$2:$AK$167,economics!$AJ$2:$AJ$167,TRUE))*economics!$AM$2:$AM$167)+$CR26*(_xlfn.NORM.DIST(H$3,$CU26,0.3*$CU26,TRUE)-_xlfn.NORM.DIST(H$30,$CU26,0.3*$CU26,TRUE))*summary!$C$7/28.8/0.947817+$CS26*(_xlfn.NORM.DIST(H$3,$CV26,0.3*$CV26,TRUE)-_xlfn.NORM.DIST(H$30,$CV26,0.3*$CV26,TRUE))*summary!$C$6/28.8/0.947817)/(SUMPRODUCT((economics!$AG$2:$AG$167=$B55)*(economics!$D$2:$D$167="whr")*economics!$AH$2:$AH$167*(_xlfn.NORM.DIST(H$3,economics!$AK$2:$AK$167,economics!$AJ$2:$AJ$167,TRUE)-_xlfn.NORM.DIST(H$30,economics!$AK$2:$AK$167,economics!$AJ$2:$AJ$167,TRUE)))+$CR26*(_xlfn.NORM.DIST(H$3,$CU26,0.3*$CU26,TRUE)-_xlfn.NORM.DIST(H$30,$CU26,0.3*$CU26,TRUE))+$CS26*(_xlfn.NORM.DIST(H$3,$CV26,0.3*$CV26,TRUE)-_xlfn.NORM.DIST(H$30,$CV26,0.3*$CV26,TRUE))),""),IF($C26&gt;0,summary!$C$10/28.8/0.947817,""))</f>
        <v/>
      </c>
      <c r="I55">
        <f t="array" ref="I55">IF($D26,IFERROR((SUMPRODUCT((economics!$AG$2:$AG$167=$B55)*(economics!$D$2:$D$167="whr")*economics!$AH$2:$AH$167*(_xlfn.NORM.DIST(I$3,economics!$AK$2:$AK$167,economics!$AJ$2:$AJ$167,TRUE)-_xlfn.NORM.DIST(I$30,economics!$AK$2:$AK$167,economics!$AJ$2:$AJ$167,TRUE))*economics!$AM$2:$AM$167)+$CR26*(_xlfn.NORM.DIST(I$3,$CU26,0.3*$CU26,TRUE)-_xlfn.NORM.DIST(I$30,$CU26,0.3*$CU26,TRUE))*summary!$C$7/28.8/0.947817+$CS26*(_xlfn.NORM.DIST(I$3,$CV26,0.3*$CV26,TRUE)-_xlfn.NORM.DIST(I$30,$CV26,0.3*$CV26,TRUE))*summary!$C$6/28.8/0.947817)/(SUMPRODUCT((economics!$AG$2:$AG$167=$B55)*(economics!$D$2:$D$167="whr")*economics!$AH$2:$AH$167*(_xlfn.NORM.DIST(I$3,economics!$AK$2:$AK$167,economics!$AJ$2:$AJ$167,TRUE)-_xlfn.NORM.DIST(I$30,economics!$AK$2:$AK$167,economics!$AJ$2:$AJ$167,TRUE)))+$CR26*(_xlfn.NORM.DIST(I$3,$CU26,0.3*$CU26,TRUE)-_xlfn.NORM.DIST(I$30,$CU26,0.3*$CU26,TRUE))+$CS26*(_xlfn.NORM.DIST(I$3,$CV26,0.3*$CV26,TRUE)-_xlfn.NORM.DIST(I$30,$CV26,0.3*$CV26,TRUE))),""),IF($C26&gt;0,summary!$C$10/28.8/0.947817,""))</f>
        <v/>
      </c>
      <c r="J55">
        <f t="array" ref="J55">IF($D26,IFERROR((SUMPRODUCT((economics!$AG$2:$AG$167=$B55)*(economics!$D$2:$D$167="whr")*economics!$AH$2:$AH$167*(_xlfn.NORM.DIST(J$3,economics!$AK$2:$AK$167,economics!$AJ$2:$AJ$167,TRUE)-_xlfn.NORM.DIST(J$30,economics!$AK$2:$AK$167,economics!$AJ$2:$AJ$167,TRUE))*economics!$AM$2:$AM$167)+$CR26*(_xlfn.NORM.DIST(J$3,$CU26,0.3*$CU26,TRUE)-_xlfn.NORM.DIST(J$30,$CU26,0.3*$CU26,TRUE))*summary!$C$7/28.8/0.947817+$CS26*(_xlfn.NORM.DIST(J$3,$CV26,0.3*$CV26,TRUE)-_xlfn.NORM.DIST(J$30,$CV26,0.3*$CV26,TRUE))*summary!$C$6/28.8/0.947817)/(SUMPRODUCT((economics!$AG$2:$AG$167=$B55)*(economics!$D$2:$D$167="whr")*economics!$AH$2:$AH$167*(_xlfn.NORM.DIST(J$3,economics!$AK$2:$AK$167,economics!$AJ$2:$AJ$167,TRUE)-_xlfn.NORM.DIST(J$30,economics!$AK$2:$AK$167,economics!$AJ$2:$AJ$167,TRUE)))+$CR26*(_xlfn.NORM.DIST(J$3,$CU26,0.3*$CU26,TRUE)-_xlfn.NORM.DIST(J$30,$CU26,0.3*$CU26,TRUE))+$CS26*(_xlfn.NORM.DIST(J$3,$CV26,0.3*$CV26,TRUE)-_xlfn.NORM.DIST(J$30,$CV26,0.3*$CV26,TRUE))),""),IF($C26&gt;0,summary!$C$10/28.8/0.947817,""))</f>
        <v/>
      </c>
      <c r="K55">
        <f t="array" ref="K55">IF($D26,IFERROR((SUMPRODUCT((economics!$AG$2:$AG$167=$B55)*(economics!$D$2:$D$167="whr")*economics!$AH$2:$AH$167*(_xlfn.NORM.DIST(K$3,economics!$AK$2:$AK$167,economics!$AJ$2:$AJ$167,TRUE)-_xlfn.NORM.DIST(K$30,economics!$AK$2:$AK$167,economics!$AJ$2:$AJ$167,TRUE))*economics!$AM$2:$AM$167)+$CR26*(_xlfn.NORM.DIST(K$3,$CU26,0.3*$CU26,TRUE)-_xlfn.NORM.DIST(K$30,$CU26,0.3*$CU26,TRUE))*summary!$C$7/28.8/0.947817+$CS26*(_xlfn.NORM.DIST(K$3,$CV26,0.3*$CV26,TRUE)-_xlfn.NORM.DIST(K$30,$CV26,0.3*$CV26,TRUE))*summary!$C$6/28.8/0.947817)/(SUMPRODUCT((economics!$AG$2:$AG$167=$B55)*(economics!$D$2:$D$167="whr")*economics!$AH$2:$AH$167*(_xlfn.NORM.DIST(K$3,economics!$AK$2:$AK$167,economics!$AJ$2:$AJ$167,TRUE)-_xlfn.NORM.DIST(K$30,economics!$AK$2:$AK$167,economics!$AJ$2:$AJ$167,TRUE)))+$CR26*(_xlfn.NORM.DIST(K$3,$CU26,0.3*$CU26,TRUE)-_xlfn.NORM.DIST(K$30,$CU26,0.3*$CU26,TRUE))+$CS26*(_xlfn.NORM.DIST(K$3,$CV26,0.3*$CV26,TRUE)-_xlfn.NORM.DIST(K$30,$CV26,0.3*$CV26,TRUE))),""),IF($C26&gt;0,summary!$C$10/28.8/0.947817,""))</f>
        <v/>
      </c>
      <c r="L55">
        <f t="array" ref="L55">IF($D26,IFERROR((SUMPRODUCT((economics!$AG$2:$AG$167=$B55)*(economics!$D$2:$D$167="whr")*economics!$AH$2:$AH$167*(_xlfn.NORM.DIST(L$3,economics!$AK$2:$AK$167,economics!$AJ$2:$AJ$167,TRUE)-_xlfn.NORM.DIST(L$30,economics!$AK$2:$AK$167,economics!$AJ$2:$AJ$167,TRUE))*economics!$AM$2:$AM$167)+$CR26*(_xlfn.NORM.DIST(L$3,$CU26,0.3*$CU26,TRUE)-_xlfn.NORM.DIST(L$30,$CU26,0.3*$CU26,TRUE))*summary!$C$7/28.8/0.947817+$CS26*(_xlfn.NORM.DIST(L$3,$CV26,0.3*$CV26,TRUE)-_xlfn.NORM.DIST(L$30,$CV26,0.3*$CV26,TRUE))*summary!$C$6/28.8/0.947817)/(SUMPRODUCT((economics!$AG$2:$AG$167=$B55)*(economics!$D$2:$D$167="whr")*economics!$AH$2:$AH$167*(_xlfn.NORM.DIST(L$3,economics!$AK$2:$AK$167,economics!$AJ$2:$AJ$167,TRUE)-_xlfn.NORM.DIST(L$30,economics!$AK$2:$AK$167,economics!$AJ$2:$AJ$167,TRUE)))+$CR26*(_xlfn.NORM.DIST(L$3,$CU26,0.3*$CU26,TRUE)-_xlfn.NORM.DIST(L$30,$CU26,0.3*$CU26,TRUE))+$CS26*(_xlfn.NORM.DIST(L$3,$CV26,0.3*$CV26,TRUE)-_xlfn.NORM.DIST(L$30,$CV26,0.3*$CV26,TRUE))),""),IF($C26&gt;0,summary!$C$10/28.8/0.947817,""))</f>
        <v/>
      </c>
      <c r="M55">
        <f t="array" ref="M55">IF($D26,IFERROR((SUMPRODUCT((economics!$AG$2:$AG$167=$B55)*(economics!$D$2:$D$167="whr")*economics!$AH$2:$AH$167*(_xlfn.NORM.DIST(M$3,economics!$AK$2:$AK$167,economics!$AJ$2:$AJ$167,TRUE)-_xlfn.NORM.DIST(M$30,economics!$AK$2:$AK$167,economics!$AJ$2:$AJ$167,TRUE))*economics!$AM$2:$AM$167)+$CR26*(_xlfn.NORM.DIST(M$3,$CU26,0.3*$CU26,TRUE)-_xlfn.NORM.DIST(M$30,$CU26,0.3*$CU26,TRUE))*summary!$C$7/28.8/0.947817+$CS26*(_xlfn.NORM.DIST(M$3,$CV26,0.3*$CV26,TRUE)-_xlfn.NORM.DIST(M$30,$CV26,0.3*$CV26,TRUE))*summary!$C$6/28.8/0.947817)/(SUMPRODUCT((economics!$AG$2:$AG$167=$B55)*(economics!$D$2:$D$167="whr")*economics!$AH$2:$AH$167*(_xlfn.NORM.DIST(M$3,economics!$AK$2:$AK$167,economics!$AJ$2:$AJ$167,TRUE)-_xlfn.NORM.DIST(M$30,economics!$AK$2:$AK$167,economics!$AJ$2:$AJ$167,TRUE)))+$CR26*(_xlfn.NORM.DIST(M$3,$CU26,0.3*$CU26,TRUE)-_xlfn.NORM.DIST(M$30,$CU26,0.3*$CU26,TRUE))+$CS26*(_xlfn.NORM.DIST(M$3,$CV26,0.3*$CV26,TRUE)-_xlfn.NORM.DIST(M$30,$CV26,0.3*$CV26,TRUE))),""),IF($C26&gt;0,summary!$C$10/28.8/0.947817,""))</f>
        <v/>
      </c>
      <c r="N55">
        <f t="array" ref="N55">IF($D26,IFERROR((SUMPRODUCT((economics!$AG$2:$AG$167=$B55)*(economics!$D$2:$D$167="whr")*economics!$AH$2:$AH$167*(_xlfn.NORM.DIST(N$3,economics!$AK$2:$AK$167,economics!$AJ$2:$AJ$167,TRUE)-_xlfn.NORM.DIST(N$30,economics!$AK$2:$AK$167,economics!$AJ$2:$AJ$167,TRUE))*economics!$AM$2:$AM$167)+$CR26*(_xlfn.NORM.DIST(N$3,$CU26,0.3*$CU26,TRUE)-_xlfn.NORM.DIST(N$30,$CU26,0.3*$CU26,TRUE))*summary!$C$7/28.8/0.947817+$CS26*(_xlfn.NORM.DIST(N$3,$CV26,0.3*$CV26,TRUE)-_xlfn.NORM.DIST(N$30,$CV26,0.3*$CV26,TRUE))*summary!$C$6/28.8/0.947817)/(SUMPRODUCT((economics!$AG$2:$AG$167=$B55)*(economics!$D$2:$D$167="whr")*economics!$AH$2:$AH$167*(_xlfn.NORM.DIST(N$3,economics!$AK$2:$AK$167,economics!$AJ$2:$AJ$167,TRUE)-_xlfn.NORM.DIST(N$30,economics!$AK$2:$AK$167,economics!$AJ$2:$AJ$167,TRUE)))+$CR26*(_xlfn.NORM.DIST(N$3,$CU26,0.3*$CU26,TRUE)-_xlfn.NORM.DIST(N$30,$CU26,0.3*$CU26,TRUE))+$CS26*(_xlfn.NORM.DIST(N$3,$CV26,0.3*$CV26,TRUE)-_xlfn.NORM.DIST(N$30,$CV26,0.3*$CV26,TRUE))),""),IF($C26&gt;0,summary!$C$10/28.8/0.947817,""))</f>
        <v/>
      </c>
      <c r="O55">
        <f t="array" ref="O55">IF($D26,IFERROR((SUMPRODUCT((economics!$AG$2:$AG$167=$B55)*(economics!$D$2:$D$167="whr")*economics!$AH$2:$AH$167*(_xlfn.NORM.DIST(O$3,economics!$AK$2:$AK$167,economics!$AJ$2:$AJ$167,TRUE)-_xlfn.NORM.DIST(O$30,economics!$AK$2:$AK$167,economics!$AJ$2:$AJ$167,TRUE))*economics!$AM$2:$AM$167)+$CR26*(_xlfn.NORM.DIST(O$3,$CU26,0.3*$CU26,TRUE)-_xlfn.NORM.DIST(O$30,$CU26,0.3*$CU26,TRUE))*summary!$C$7/28.8/0.947817+$CS26*(_xlfn.NORM.DIST(O$3,$CV26,0.3*$CV26,TRUE)-_xlfn.NORM.DIST(O$30,$CV26,0.3*$CV26,TRUE))*summary!$C$6/28.8/0.947817)/(SUMPRODUCT((economics!$AG$2:$AG$167=$B55)*(economics!$D$2:$D$167="whr")*economics!$AH$2:$AH$167*(_xlfn.NORM.DIST(O$3,economics!$AK$2:$AK$167,economics!$AJ$2:$AJ$167,TRUE)-_xlfn.NORM.DIST(O$30,economics!$AK$2:$AK$167,economics!$AJ$2:$AJ$167,TRUE)))+$CR26*(_xlfn.NORM.DIST(O$3,$CU26,0.3*$CU26,TRUE)-_xlfn.NORM.DIST(O$30,$CU26,0.3*$CU26,TRUE))+$CS26*(_xlfn.NORM.DIST(O$3,$CV26,0.3*$CV26,TRUE)-_xlfn.NORM.DIST(O$30,$CV26,0.3*$CV26,TRUE))),""),IF($C26&gt;0,summary!$C$10/28.8/0.947817,""))</f>
        <v/>
      </c>
      <c r="P55">
        <f t="array" ref="P55">IF($D26,IFERROR((SUMPRODUCT((economics!$AG$2:$AG$167=$B55)*(economics!$D$2:$D$167="whr")*economics!$AH$2:$AH$167*(_xlfn.NORM.DIST(P$3,economics!$AK$2:$AK$167,economics!$AJ$2:$AJ$167,TRUE)-_xlfn.NORM.DIST(P$30,economics!$AK$2:$AK$167,economics!$AJ$2:$AJ$167,TRUE))*economics!$AM$2:$AM$167)+$CR26*(_xlfn.NORM.DIST(P$3,$CU26,0.3*$CU26,TRUE)-_xlfn.NORM.DIST(P$30,$CU26,0.3*$CU26,TRUE))*summary!$C$7/28.8/0.947817+$CS26*(_xlfn.NORM.DIST(P$3,$CV26,0.3*$CV26,TRUE)-_xlfn.NORM.DIST(P$30,$CV26,0.3*$CV26,TRUE))*summary!$C$6/28.8/0.947817)/(SUMPRODUCT((economics!$AG$2:$AG$167=$B55)*(economics!$D$2:$D$167="whr")*economics!$AH$2:$AH$167*(_xlfn.NORM.DIST(P$3,economics!$AK$2:$AK$167,economics!$AJ$2:$AJ$167,TRUE)-_xlfn.NORM.DIST(P$30,economics!$AK$2:$AK$167,economics!$AJ$2:$AJ$167,TRUE)))+$CR26*(_xlfn.NORM.DIST(P$3,$CU26,0.3*$CU26,TRUE)-_xlfn.NORM.DIST(P$30,$CU26,0.3*$CU26,TRUE))+$CS26*(_xlfn.NORM.DIST(P$3,$CV26,0.3*$CV26,TRUE)-_xlfn.NORM.DIST(P$30,$CV26,0.3*$CV26,TRUE))),""),IF($C26&gt;0,summary!$C$10/28.8/0.947817,""))</f>
        <v/>
      </c>
      <c r="Q55">
        <f t="array" ref="Q55">IF($D26,IFERROR((SUMPRODUCT((economics!$AG$2:$AG$167=$B55)*(economics!$D$2:$D$167="whr")*economics!$AH$2:$AH$167*(_xlfn.NORM.DIST(Q$3,economics!$AK$2:$AK$167,economics!$AJ$2:$AJ$167,TRUE)-_xlfn.NORM.DIST(Q$30,economics!$AK$2:$AK$167,economics!$AJ$2:$AJ$167,TRUE))*economics!$AM$2:$AM$167)+$CR26*(_xlfn.NORM.DIST(Q$3,$CU26,0.3*$CU26,TRUE)-_xlfn.NORM.DIST(Q$30,$CU26,0.3*$CU26,TRUE))*summary!$C$7/28.8/0.947817+$CS26*(_xlfn.NORM.DIST(Q$3,$CV26,0.3*$CV26,TRUE)-_xlfn.NORM.DIST(Q$30,$CV26,0.3*$CV26,TRUE))*summary!$C$6/28.8/0.947817)/(SUMPRODUCT((economics!$AG$2:$AG$167=$B55)*(economics!$D$2:$D$167="whr")*economics!$AH$2:$AH$167*(_xlfn.NORM.DIST(Q$3,economics!$AK$2:$AK$167,economics!$AJ$2:$AJ$167,TRUE)-_xlfn.NORM.DIST(Q$30,economics!$AK$2:$AK$167,economics!$AJ$2:$AJ$167,TRUE)))+$CR26*(_xlfn.NORM.DIST(Q$3,$CU26,0.3*$CU26,TRUE)-_xlfn.NORM.DIST(Q$30,$CU26,0.3*$CU26,TRUE))+$CS26*(_xlfn.NORM.DIST(Q$3,$CV26,0.3*$CV26,TRUE)-_xlfn.NORM.DIST(Q$30,$CV26,0.3*$CV26,TRUE))),""),IF($C26&gt;0,summary!$C$10/28.8/0.947817,""))</f>
        <v/>
      </c>
      <c r="R55">
        <f t="array" ref="R55">IF($D26,IFERROR((SUMPRODUCT((economics!$AG$2:$AG$167=$B55)*(economics!$D$2:$D$167="whr")*economics!$AH$2:$AH$167*(_xlfn.NORM.DIST(R$3,economics!$AK$2:$AK$167,economics!$AJ$2:$AJ$167,TRUE)-_xlfn.NORM.DIST(R$30,economics!$AK$2:$AK$167,economics!$AJ$2:$AJ$167,TRUE))*economics!$AM$2:$AM$167)+$CR26*(_xlfn.NORM.DIST(R$3,$CU26,0.3*$CU26,TRUE)-_xlfn.NORM.DIST(R$30,$CU26,0.3*$CU26,TRUE))*summary!$C$7/28.8/0.947817+$CS26*(_xlfn.NORM.DIST(R$3,$CV26,0.3*$CV26,TRUE)-_xlfn.NORM.DIST(R$30,$CV26,0.3*$CV26,TRUE))*summary!$C$6/28.8/0.947817)/(SUMPRODUCT((economics!$AG$2:$AG$167=$B55)*(economics!$D$2:$D$167="whr")*economics!$AH$2:$AH$167*(_xlfn.NORM.DIST(R$3,economics!$AK$2:$AK$167,economics!$AJ$2:$AJ$167,TRUE)-_xlfn.NORM.DIST(R$30,economics!$AK$2:$AK$167,economics!$AJ$2:$AJ$167,TRUE)))+$CR26*(_xlfn.NORM.DIST(R$3,$CU26,0.3*$CU26,TRUE)-_xlfn.NORM.DIST(R$30,$CU26,0.3*$CU26,TRUE))+$CS26*(_xlfn.NORM.DIST(R$3,$CV26,0.3*$CV26,TRUE)-_xlfn.NORM.DIST(R$30,$CV26,0.3*$CV26,TRUE))),""),IF($C26&gt;0,summary!$C$10/28.8/0.947817,""))</f>
        <v/>
      </c>
      <c r="S55">
        <f t="array" ref="S55">IF($D26,IFERROR((SUMPRODUCT((economics!$AG$2:$AG$167=$B55)*(economics!$D$2:$D$167="whr")*economics!$AH$2:$AH$167*(_xlfn.NORM.DIST(S$3,economics!$AK$2:$AK$167,economics!$AJ$2:$AJ$167,TRUE)-_xlfn.NORM.DIST(S$30,economics!$AK$2:$AK$167,economics!$AJ$2:$AJ$167,TRUE))*economics!$AM$2:$AM$167)+$CR26*(_xlfn.NORM.DIST(S$3,$CU26,0.3*$CU26,TRUE)-_xlfn.NORM.DIST(S$30,$CU26,0.3*$CU26,TRUE))*summary!$C$7/28.8/0.947817+$CS26*(_xlfn.NORM.DIST(S$3,$CV26,0.3*$CV26,TRUE)-_xlfn.NORM.DIST(S$30,$CV26,0.3*$CV26,TRUE))*summary!$C$6/28.8/0.947817)/(SUMPRODUCT((economics!$AG$2:$AG$167=$B55)*(economics!$D$2:$D$167="whr")*economics!$AH$2:$AH$167*(_xlfn.NORM.DIST(S$3,economics!$AK$2:$AK$167,economics!$AJ$2:$AJ$167,TRUE)-_xlfn.NORM.DIST(S$30,economics!$AK$2:$AK$167,economics!$AJ$2:$AJ$167,TRUE)))+$CR26*(_xlfn.NORM.DIST(S$3,$CU26,0.3*$CU26,TRUE)-_xlfn.NORM.DIST(S$30,$CU26,0.3*$CU26,TRUE))+$CS26*(_xlfn.NORM.DIST(S$3,$CV26,0.3*$CV26,TRUE)-_xlfn.NORM.DIST(S$30,$CV26,0.3*$CV26,TRUE))),""),IF($C26&gt;0,summary!$C$10/28.8/0.947817,""))</f>
        <v/>
      </c>
      <c r="T55">
        <f t="array" ref="T55">IF($D26,IFERROR((SUMPRODUCT((economics!$AG$2:$AG$167=$B55)*(economics!$D$2:$D$167="whr")*economics!$AH$2:$AH$167*(_xlfn.NORM.DIST(T$3,economics!$AK$2:$AK$167,economics!$AJ$2:$AJ$167,TRUE)-_xlfn.NORM.DIST(T$30,economics!$AK$2:$AK$167,economics!$AJ$2:$AJ$167,TRUE))*economics!$AM$2:$AM$167)+$CR26*(_xlfn.NORM.DIST(T$3,$CU26,0.3*$CU26,TRUE)-_xlfn.NORM.DIST(T$30,$CU26,0.3*$CU26,TRUE))*summary!$C$7/28.8/0.947817+$CS26*(_xlfn.NORM.DIST(T$3,$CV26,0.3*$CV26,TRUE)-_xlfn.NORM.DIST(T$30,$CV26,0.3*$CV26,TRUE))*summary!$C$6/28.8/0.947817)/(SUMPRODUCT((economics!$AG$2:$AG$167=$B55)*(economics!$D$2:$D$167="whr")*economics!$AH$2:$AH$167*(_xlfn.NORM.DIST(T$3,economics!$AK$2:$AK$167,economics!$AJ$2:$AJ$167,TRUE)-_xlfn.NORM.DIST(T$30,economics!$AK$2:$AK$167,economics!$AJ$2:$AJ$167,TRUE)))+$CR26*(_xlfn.NORM.DIST(T$3,$CU26,0.3*$CU26,TRUE)-_xlfn.NORM.DIST(T$30,$CU26,0.3*$CU26,TRUE))+$CS26*(_xlfn.NORM.DIST(T$3,$CV26,0.3*$CV26,TRUE)-_xlfn.NORM.DIST(T$30,$CV26,0.3*$CV26,TRUE))),""),IF($C26&gt;0,summary!$C$10/28.8/0.947817,""))</f>
        <v/>
      </c>
      <c r="U55">
        <f t="array" ref="U55">IF($D26,IFERROR((SUMPRODUCT((economics!$AG$2:$AG$167=$B55)*(economics!$D$2:$D$167="whr")*economics!$AH$2:$AH$167*(_xlfn.NORM.DIST(U$3,economics!$AK$2:$AK$167,economics!$AJ$2:$AJ$167,TRUE)-_xlfn.NORM.DIST(U$30,economics!$AK$2:$AK$167,economics!$AJ$2:$AJ$167,TRUE))*economics!$AM$2:$AM$167)+$CR26*(_xlfn.NORM.DIST(U$3,$CU26,0.3*$CU26,TRUE)-_xlfn.NORM.DIST(U$30,$CU26,0.3*$CU26,TRUE))*summary!$C$7/28.8/0.947817+$CS26*(_xlfn.NORM.DIST(U$3,$CV26,0.3*$CV26,TRUE)-_xlfn.NORM.DIST(U$30,$CV26,0.3*$CV26,TRUE))*summary!$C$6/28.8/0.947817)/(SUMPRODUCT((economics!$AG$2:$AG$167=$B55)*(economics!$D$2:$D$167="whr")*economics!$AH$2:$AH$167*(_xlfn.NORM.DIST(U$3,economics!$AK$2:$AK$167,economics!$AJ$2:$AJ$167,TRUE)-_xlfn.NORM.DIST(U$30,economics!$AK$2:$AK$167,economics!$AJ$2:$AJ$167,TRUE)))+$CR26*(_xlfn.NORM.DIST(U$3,$CU26,0.3*$CU26,TRUE)-_xlfn.NORM.DIST(U$30,$CU26,0.3*$CU26,TRUE))+$CS26*(_xlfn.NORM.DIST(U$3,$CV26,0.3*$CV26,TRUE)-_xlfn.NORM.DIST(U$30,$CV26,0.3*$CV26,TRUE))),""),IF($C26&gt;0,summary!$C$10/28.8/0.947817,""))</f>
        <v/>
      </c>
      <c r="V55">
        <f t="array" ref="V55">IF($D26,IFERROR((SUMPRODUCT((economics!$AG$2:$AG$167=$B55)*(economics!$D$2:$D$167="whr")*economics!$AH$2:$AH$167*(_xlfn.NORM.DIST(V$3,economics!$AK$2:$AK$167,economics!$AJ$2:$AJ$167,TRUE)-_xlfn.NORM.DIST(V$30,economics!$AK$2:$AK$167,economics!$AJ$2:$AJ$167,TRUE))*economics!$AM$2:$AM$167)+$CR26*(_xlfn.NORM.DIST(V$3,$CU26,0.3*$CU26,TRUE)-_xlfn.NORM.DIST(V$30,$CU26,0.3*$CU26,TRUE))*summary!$C$7/28.8/0.947817+$CS26*(_xlfn.NORM.DIST(V$3,$CV26,0.3*$CV26,TRUE)-_xlfn.NORM.DIST(V$30,$CV26,0.3*$CV26,TRUE))*summary!$C$6/28.8/0.947817)/(SUMPRODUCT((economics!$AG$2:$AG$167=$B55)*(economics!$D$2:$D$167="whr")*economics!$AH$2:$AH$167*(_xlfn.NORM.DIST(V$3,economics!$AK$2:$AK$167,economics!$AJ$2:$AJ$167,TRUE)-_xlfn.NORM.DIST(V$30,economics!$AK$2:$AK$167,economics!$AJ$2:$AJ$167,TRUE)))+$CR26*(_xlfn.NORM.DIST(V$3,$CU26,0.3*$CU26,TRUE)-_xlfn.NORM.DIST(V$30,$CU26,0.3*$CU26,TRUE))+$CS26*(_xlfn.NORM.DIST(V$3,$CV26,0.3*$CV26,TRUE)-_xlfn.NORM.DIST(V$30,$CV26,0.3*$CV26,TRUE))),""),IF($C26&gt;0,summary!$C$10/28.8/0.947817,""))</f>
        <v/>
      </c>
      <c r="W55">
        <f t="array" ref="W55">IF($D26,IFERROR((SUMPRODUCT((economics!$AG$2:$AG$167=$B55)*(economics!$D$2:$D$167="whr")*economics!$AH$2:$AH$167*(_xlfn.NORM.DIST(W$3,economics!$AK$2:$AK$167,economics!$AJ$2:$AJ$167,TRUE)-_xlfn.NORM.DIST(W$30,economics!$AK$2:$AK$167,economics!$AJ$2:$AJ$167,TRUE))*economics!$AM$2:$AM$167)+$CR26*(_xlfn.NORM.DIST(W$3,$CU26,0.3*$CU26,TRUE)-_xlfn.NORM.DIST(W$30,$CU26,0.3*$CU26,TRUE))*summary!$C$7/28.8/0.947817+$CS26*(_xlfn.NORM.DIST(W$3,$CV26,0.3*$CV26,TRUE)-_xlfn.NORM.DIST(W$30,$CV26,0.3*$CV26,TRUE))*summary!$C$6/28.8/0.947817)/(SUMPRODUCT((economics!$AG$2:$AG$167=$B55)*(economics!$D$2:$D$167="whr")*economics!$AH$2:$AH$167*(_xlfn.NORM.DIST(W$3,economics!$AK$2:$AK$167,economics!$AJ$2:$AJ$167,TRUE)-_xlfn.NORM.DIST(W$30,economics!$AK$2:$AK$167,economics!$AJ$2:$AJ$167,TRUE)))+$CR26*(_xlfn.NORM.DIST(W$3,$CU26,0.3*$CU26,TRUE)-_xlfn.NORM.DIST(W$30,$CU26,0.3*$CU26,TRUE))+$CS26*(_xlfn.NORM.DIST(W$3,$CV26,0.3*$CV26,TRUE)-_xlfn.NORM.DIST(W$30,$CV26,0.3*$CV26,TRUE))),""),IF($C26&gt;0,summary!$C$10/28.8/0.947817,""))</f>
        <v/>
      </c>
      <c r="X55">
        <f t="array" ref="X55">IF($D26,IFERROR((SUMPRODUCT((economics!$AG$2:$AG$167=$B55)*(economics!$D$2:$D$167="whr")*economics!$AH$2:$AH$167*(_xlfn.NORM.DIST(X$3,economics!$AK$2:$AK$167,economics!$AJ$2:$AJ$167,TRUE)-_xlfn.NORM.DIST(X$30,economics!$AK$2:$AK$167,economics!$AJ$2:$AJ$167,TRUE))*economics!$AM$2:$AM$167)+$CR26*(_xlfn.NORM.DIST(X$3,$CU26,0.3*$CU26,TRUE)-_xlfn.NORM.DIST(X$30,$CU26,0.3*$CU26,TRUE))*summary!$C$7/28.8/0.947817+$CS26*(_xlfn.NORM.DIST(X$3,$CV26,0.3*$CV26,TRUE)-_xlfn.NORM.DIST(X$30,$CV26,0.3*$CV26,TRUE))*summary!$C$6/28.8/0.947817)/(SUMPRODUCT((economics!$AG$2:$AG$167=$B55)*(economics!$D$2:$D$167="whr")*economics!$AH$2:$AH$167*(_xlfn.NORM.DIST(X$3,economics!$AK$2:$AK$167,economics!$AJ$2:$AJ$167,TRUE)-_xlfn.NORM.DIST(X$30,economics!$AK$2:$AK$167,economics!$AJ$2:$AJ$167,TRUE)))+$CR26*(_xlfn.NORM.DIST(X$3,$CU26,0.3*$CU26,TRUE)-_xlfn.NORM.DIST(X$30,$CU26,0.3*$CU26,TRUE))+$CS26*(_xlfn.NORM.DIST(X$3,$CV26,0.3*$CV26,TRUE)-_xlfn.NORM.DIST(X$30,$CV26,0.3*$CV26,TRUE))),""),IF($C26&gt;0,summary!$C$10/28.8/0.947817,""))</f>
        <v/>
      </c>
      <c r="Y55">
        <f t="array" ref="Y55">IF($D26,IFERROR((SUMPRODUCT((economics!$AG$2:$AG$167=$B55)*(economics!$D$2:$D$167="whr")*economics!$AH$2:$AH$167*(_xlfn.NORM.DIST(Y$3,economics!$AK$2:$AK$167,economics!$AJ$2:$AJ$167,TRUE)-_xlfn.NORM.DIST(Y$30,economics!$AK$2:$AK$167,economics!$AJ$2:$AJ$167,TRUE))*economics!$AM$2:$AM$167)+$CR26*(_xlfn.NORM.DIST(Y$3,$CU26,0.3*$CU26,TRUE)-_xlfn.NORM.DIST(Y$30,$CU26,0.3*$CU26,TRUE))*summary!$C$7/28.8/0.947817+$CS26*(_xlfn.NORM.DIST(Y$3,$CV26,0.3*$CV26,TRUE)-_xlfn.NORM.DIST(Y$30,$CV26,0.3*$CV26,TRUE))*summary!$C$6/28.8/0.947817)/(SUMPRODUCT((economics!$AG$2:$AG$167=$B55)*(economics!$D$2:$D$167="whr")*economics!$AH$2:$AH$167*(_xlfn.NORM.DIST(Y$3,economics!$AK$2:$AK$167,economics!$AJ$2:$AJ$167,TRUE)-_xlfn.NORM.DIST(Y$30,economics!$AK$2:$AK$167,economics!$AJ$2:$AJ$167,TRUE)))+$CR26*(_xlfn.NORM.DIST(Y$3,$CU26,0.3*$CU26,TRUE)-_xlfn.NORM.DIST(Y$30,$CU26,0.3*$CU26,TRUE))+$CS26*(_xlfn.NORM.DIST(Y$3,$CV26,0.3*$CV26,TRUE)-_xlfn.NORM.DIST(Y$30,$CV26,0.3*$CV26,TRUE))),""),IF($C26&gt;0,summary!$C$10/28.8/0.947817,""))</f>
        <v/>
      </c>
      <c r="Z55">
        <f t="array" ref="Z55">IF($D26,IFERROR((SUMPRODUCT((economics!$AG$2:$AG$167=$B55)*(economics!$D$2:$D$167="whr")*economics!$AH$2:$AH$167*(_xlfn.NORM.DIST(Z$3,economics!$AK$2:$AK$167,economics!$AJ$2:$AJ$167,TRUE)-_xlfn.NORM.DIST(Z$30,economics!$AK$2:$AK$167,economics!$AJ$2:$AJ$167,TRUE))*economics!$AM$2:$AM$167)+$CR26*(_xlfn.NORM.DIST(Z$3,$CU26,0.3*$CU26,TRUE)-_xlfn.NORM.DIST(Z$30,$CU26,0.3*$CU26,TRUE))*summary!$C$7/28.8/0.947817+$CS26*(_xlfn.NORM.DIST(Z$3,$CV26,0.3*$CV26,TRUE)-_xlfn.NORM.DIST(Z$30,$CV26,0.3*$CV26,TRUE))*summary!$C$6/28.8/0.947817)/(SUMPRODUCT((economics!$AG$2:$AG$167=$B55)*(economics!$D$2:$D$167="whr")*economics!$AH$2:$AH$167*(_xlfn.NORM.DIST(Z$3,economics!$AK$2:$AK$167,economics!$AJ$2:$AJ$167,TRUE)-_xlfn.NORM.DIST(Z$30,economics!$AK$2:$AK$167,economics!$AJ$2:$AJ$167,TRUE)))+$CR26*(_xlfn.NORM.DIST(Z$3,$CU26,0.3*$CU26,TRUE)-_xlfn.NORM.DIST(Z$30,$CU26,0.3*$CU26,TRUE))+$CS26*(_xlfn.NORM.DIST(Z$3,$CV26,0.3*$CV26,TRUE)-_xlfn.NORM.DIST(Z$30,$CV26,0.3*$CV26,TRUE))),""),IF($C26&gt;0,summary!$C$10/28.8/0.947817,""))</f>
        <v/>
      </c>
      <c r="AA55">
        <f t="array" ref="AA55">IF($D26,IFERROR((SUMPRODUCT((economics!$AG$2:$AG$167=$B55)*(economics!$D$2:$D$167="whr")*economics!$AH$2:$AH$167*(_xlfn.NORM.DIST(AA$3,economics!$AK$2:$AK$167,economics!$AJ$2:$AJ$167,TRUE)-_xlfn.NORM.DIST(AA$30,economics!$AK$2:$AK$167,economics!$AJ$2:$AJ$167,TRUE))*economics!$AM$2:$AM$167)+$CR26*(_xlfn.NORM.DIST(AA$3,$CU26,0.3*$CU26,TRUE)-_xlfn.NORM.DIST(AA$30,$CU26,0.3*$CU26,TRUE))*summary!$C$7/28.8/0.947817+$CS26*(_xlfn.NORM.DIST(AA$3,$CV26,0.3*$CV26,TRUE)-_xlfn.NORM.DIST(AA$30,$CV26,0.3*$CV26,TRUE))*summary!$C$6/28.8/0.947817)/(SUMPRODUCT((economics!$AG$2:$AG$167=$B55)*(economics!$D$2:$D$167="whr")*economics!$AH$2:$AH$167*(_xlfn.NORM.DIST(AA$3,economics!$AK$2:$AK$167,economics!$AJ$2:$AJ$167,TRUE)-_xlfn.NORM.DIST(AA$30,economics!$AK$2:$AK$167,economics!$AJ$2:$AJ$167,TRUE)))+$CR26*(_xlfn.NORM.DIST(AA$3,$CU26,0.3*$CU26,TRUE)-_xlfn.NORM.DIST(AA$30,$CU26,0.3*$CU26,TRUE))+$CS26*(_xlfn.NORM.DIST(AA$3,$CV26,0.3*$CV26,TRUE)-_xlfn.NORM.DIST(AA$30,$CV26,0.3*$CV26,TRUE))),""),IF($C26&gt;0,summary!$C$10/28.8/0.947817,""))</f>
        <v/>
      </c>
      <c r="AB55">
        <f t="array" ref="AB55">IF($D26,IFERROR((SUMPRODUCT((economics!$AG$2:$AG$167=$B55)*(economics!$D$2:$D$167="whr")*economics!$AH$2:$AH$167*(_xlfn.NORM.DIST(AB$3,economics!$AK$2:$AK$167,economics!$AJ$2:$AJ$167,TRUE)-_xlfn.NORM.DIST(AB$30,economics!$AK$2:$AK$167,economics!$AJ$2:$AJ$167,TRUE))*economics!$AM$2:$AM$167)+$CR26*(_xlfn.NORM.DIST(AB$3,$CU26,0.3*$CU26,TRUE)-_xlfn.NORM.DIST(AB$30,$CU26,0.3*$CU26,TRUE))*summary!$C$7/28.8/0.947817+$CS26*(_xlfn.NORM.DIST(AB$3,$CV26,0.3*$CV26,TRUE)-_xlfn.NORM.DIST(AB$30,$CV26,0.3*$CV26,TRUE))*summary!$C$6/28.8/0.947817)/(SUMPRODUCT((economics!$AG$2:$AG$167=$B55)*(economics!$D$2:$D$167="whr")*economics!$AH$2:$AH$167*(_xlfn.NORM.DIST(AB$3,economics!$AK$2:$AK$167,economics!$AJ$2:$AJ$167,TRUE)-_xlfn.NORM.DIST(AB$30,economics!$AK$2:$AK$167,economics!$AJ$2:$AJ$167,TRUE)))+$CR26*(_xlfn.NORM.DIST(AB$3,$CU26,0.3*$CU26,TRUE)-_xlfn.NORM.DIST(AB$30,$CU26,0.3*$CU26,TRUE))+$CS26*(_xlfn.NORM.DIST(AB$3,$CV26,0.3*$CV26,TRUE)-_xlfn.NORM.DIST(AB$30,$CV26,0.3*$CV26,TRUE))),""),IF($C26&gt;0,summary!$C$10/28.8/0.947817,""))</f>
        <v/>
      </c>
      <c r="AC55">
        <f t="array" ref="AC55">IF($D26,IFERROR((SUMPRODUCT((economics!$AG$2:$AG$167=$B55)*(economics!$D$2:$D$167="whr")*economics!$AH$2:$AH$167*(_xlfn.NORM.DIST(AC$3,economics!$AK$2:$AK$167,economics!$AJ$2:$AJ$167,TRUE)-_xlfn.NORM.DIST(AC$30,economics!$AK$2:$AK$167,economics!$AJ$2:$AJ$167,TRUE))*economics!$AM$2:$AM$167)+$CR26*(_xlfn.NORM.DIST(AC$3,$CU26,0.3*$CU26,TRUE)-_xlfn.NORM.DIST(AC$30,$CU26,0.3*$CU26,TRUE))*summary!$C$7/28.8/0.947817+$CS26*(_xlfn.NORM.DIST(AC$3,$CV26,0.3*$CV26,TRUE)-_xlfn.NORM.DIST(AC$30,$CV26,0.3*$CV26,TRUE))*summary!$C$6/28.8/0.947817)/(SUMPRODUCT((economics!$AG$2:$AG$167=$B55)*(economics!$D$2:$D$167="whr")*economics!$AH$2:$AH$167*(_xlfn.NORM.DIST(AC$3,economics!$AK$2:$AK$167,economics!$AJ$2:$AJ$167,TRUE)-_xlfn.NORM.DIST(AC$30,economics!$AK$2:$AK$167,economics!$AJ$2:$AJ$167,TRUE)))+$CR26*(_xlfn.NORM.DIST(AC$3,$CU26,0.3*$CU26,TRUE)-_xlfn.NORM.DIST(AC$30,$CU26,0.3*$CU26,TRUE))+$CS26*(_xlfn.NORM.DIST(AC$3,$CV26,0.3*$CV26,TRUE)-_xlfn.NORM.DIST(AC$30,$CV26,0.3*$CV26,TRUE))),""),IF($C26&gt;0,summary!$C$10/28.8/0.947817,""))</f>
        <v/>
      </c>
      <c r="AD55">
        <f t="array" ref="AD55">IF($D26,IFERROR((SUMPRODUCT((economics!$AG$2:$AG$167=$B55)*(economics!$D$2:$D$167="whr")*economics!$AH$2:$AH$167*(_xlfn.NORM.DIST(AD$3,economics!$AK$2:$AK$167,economics!$AJ$2:$AJ$167,TRUE)-_xlfn.NORM.DIST(AD$30,economics!$AK$2:$AK$167,economics!$AJ$2:$AJ$167,TRUE))*economics!$AM$2:$AM$167)+$CR26*(_xlfn.NORM.DIST(AD$3,$CU26,0.3*$CU26,TRUE)-_xlfn.NORM.DIST(AD$30,$CU26,0.3*$CU26,TRUE))*summary!$C$7/28.8/0.947817+$CS26*(_xlfn.NORM.DIST(AD$3,$CV26,0.3*$CV26,TRUE)-_xlfn.NORM.DIST(AD$30,$CV26,0.3*$CV26,TRUE))*summary!$C$6/28.8/0.947817)/(SUMPRODUCT((economics!$AG$2:$AG$167=$B55)*(economics!$D$2:$D$167="whr")*economics!$AH$2:$AH$167*(_xlfn.NORM.DIST(AD$3,economics!$AK$2:$AK$167,economics!$AJ$2:$AJ$167,TRUE)-_xlfn.NORM.DIST(AD$30,economics!$AK$2:$AK$167,economics!$AJ$2:$AJ$167,TRUE)))+$CR26*(_xlfn.NORM.DIST(AD$3,$CU26,0.3*$CU26,TRUE)-_xlfn.NORM.DIST(AD$30,$CU26,0.3*$CU26,TRUE))+$CS26*(_xlfn.NORM.DIST(AD$3,$CV26,0.3*$CV26,TRUE)-_xlfn.NORM.DIST(AD$30,$CV26,0.3*$CV26,TRUE))),""),IF($C26&gt;0,summary!$C$10/28.8/0.947817,""))</f>
        <v/>
      </c>
      <c r="AE55">
        <f t="array" ref="AE55">IF($D26,IFERROR((SUMPRODUCT((economics!$AG$2:$AG$167=$B55)*(economics!$D$2:$D$167="whr")*economics!$AH$2:$AH$167*(_xlfn.NORM.DIST(AE$3,economics!$AK$2:$AK$167,economics!$AJ$2:$AJ$167,TRUE)-_xlfn.NORM.DIST(AE$30,economics!$AK$2:$AK$167,economics!$AJ$2:$AJ$167,TRUE))*economics!$AM$2:$AM$167)+$CR26*(_xlfn.NORM.DIST(AE$3,$CU26,0.3*$CU26,TRUE)-_xlfn.NORM.DIST(AE$30,$CU26,0.3*$CU26,TRUE))*summary!$C$7/28.8/0.947817+$CS26*(_xlfn.NORM.DIST(AE$3,$CV26,0.3*$CV26,TRUE)-_xlfn.NORM.DIST(AE$30,$CV26,0.3*$CV26,TRUE))*summary!$C$6/28.8/0.947817)/(SUMPRODUCT((economics!$AG$2:$AG$167=$B55)*(economics!$D$2:$D$167="whr")*economics!$AH$2:$AH$167*(_xlfn.NORM.DIST(AE$3,economics!$AK$2:$AK$167,economics!$AJ$2:$AJ$167,TRUE)-_xlfn.NORM.DIST(AE$30,economics!$AK$2:$AK$167,economics!$AJ$2:$AJ$167,TRUE)))+$CR26*(_xlfn.NORM.DIST(AE$3,$CU26,0.3*$CU26,TRUE)-_xlfn.NORM.DIST(AE$30,$CU26,0.3*$CU26,TRUE))+$CS26*(_xlfn.NORM.DIST(AE$3,$CV26,0.3*$CV26,TRUE)-_xlfn.NORM.DIST(AE$30,$CV26,0.3*$CV26,TRUE))),""),IF($C26&gt;0,summary!$C$10/28.8/0.947817,""))</f>
        <v/>
      </c>
      <c r="AF55">
        <f t="array" ref="AF55">IF($D26,IFERROR((SUMPRODUCT((economics!$AG$2:$AG$167=$B55)*(economics!$D$2:$D$167="whr")*economics!$AH$2:$AH$167*(_xlfn.NORM.DIST(AF$3,economics!$AK$2:$AK$167,economics!$AJ$2:$AJ$167,TRUE)-_xlfn.NORM.DIST(AF$30,economics!$AK$2:$AK$167,economics!$AJ$2:$AJ$167,TRUE))*economics!$AM$2:$AM$167)+$CR26*(_xlfn.NORM.DIST(AF$3,$CU26,0.3*$CU26,TRUE)-_xlfn.NORM.DIST(AF$30,$CU26,0.3*$CU26,TRUE))*summary!$C$7/28.8/0.947817+$CS26*(_xlfn.NORM.DIST(AF$3,$CV26,0.3*$CV26,TRUE)-_xlfn.NORM.DIST(AF$30,$CV26,0.3*$CV26,TRUE))*summary!$C$6/28.8/0.947817)/(SUMPRODUCT((economics!$AG$2:$AG$167=$B55)*(economics!$D$2:$D$167="whr")*economics!$AH$2:$AH$167*(_xlfn.NORM.DIST(AF$3,economics!$AK$2:$AK$167,economics!$AJ$2:$AJ$167,TRUE)-_xlfn.NORM.DIST(AF$30,economics!$AK$2:$AK$167,economics!$AJ$2:$AJ$167,TRUE)))+$CR26*(_xlfn.NORM.DIST(AF$3,$CU26,0.3*$CU26,TRUE)-_xlfn.NORM.DIST(AF$30,$CU26,0.3*$CU26,TRUE))+$CS26*(_xlfn.NORM.DIST(AF$3,$CV26,0.3*$CV26,TRUE)-_xlfn.NORM.DIST(AF$30,$CV26,0.3*$CV26,TRUE))),""),IF($C26&gt;0,summary!$C$10/28.8/0.947817,""))</f>
        <v/>
      </c>
      <c r="AG55">
        <f t="array" ref="AG55">IF($D26,IFERROR((SUMPRODUCT((economics!$AG$2:$AG$167=$B55)*(economics!$D$2:$D$167="whr")*economics!$AH$2:$AH$167*(_xlfn.NORM.DIST(AG$3,economics!$AK$2:$AK$167,economics!$AJ$2:$AJ$167,TRUE)-_xlfn.NORM.DIST(AG$30,economics!$AK$2:$AK$167,economics!$AJ$2:$AJ$167,TRUE))*economics!$AM$2:$AM$167)+$CR26*(_xlfn.NORM.DIST(AG$3,$CU26,0.3*$CU26,TRUE)-_xlfn.NORM.DIST(AG$30,$CU26,0.3*$CU26,TRUE))*summary!$C$7/28.8/0.947817+$CS26*(_xlfn.NORM.DIST(AG$3,$CV26,0.3*$CV26,TRUE)-_xlfn.NORM.DIST(AG$30,$CV26,0.3*$CV26,TRUE))*summary!$C$6/28.8/0.947817)/(SUMPRODUCT((economics!$AG$2:$AG$167=$B55)*(economics!$D$2:$D$167="whr")*economics!$AH$2:$AH$167*(_xlfn.NORM.DIST(AG$3,economics!$AK$2:$AK$167,economics!$AJ$2:$AJ$167,TRUE)-_xlfn.NORM.DIST(AG$30,economics!$AK$2:$AK$167,economics!$AJ$2:$AJ$167,TRUE)))+$CR26*(_xlfn.NORM.DIST(AG$3,$CU26,0.3*$CU26,TRUE)-_xlfn.NORM.DIST(AG$30,$CU26,0.3*$CU26,TRUE))+$CS26*(_xlfn.NORM.DIST(AG$3,$CV26,0.3*$CV26,TRUE)-_xlfn.NORM.DIST(AG$30,$CV26,0.3*$CV26,TRUE))),""),IF($C26&gt;0,summary!$C$10/28.8/0.947817,""))</f>
        <v/>
      </c>
      <c r="AH55">
        <f t="array" ref="AH55">IF($D26,IFERROR((SUMPRODUCT((economics!$AG$2:$AG$167=$B55)*(economics!$D$2:$D$167="whr")*economics!$AH$2:$AH$167*(_xlfn.NORM.DIST(AH$3,economics!$AK$2:$AK$167,economics!$AJ$2:$AJ$167,TRUE)-_xlfn.NORM.DIST(AH$30,economics!$AK$2:$AK$167,economics!$AJ$2:$AJ$167,TRUE))*economics!$AM$2:$AM$167)+$CR26*(_xlfn.NORM.DIST(AH$3,$CU26,0.3*$CU26,TRUE)-_xlfn.NORM.DIST(AH$30,$CU26,0.3*$CU26,TRUE))*summary!$C$7/28.8/0.947817+$CS26*(_xlfn.NORM.DIST(AH$3,$CV26,0.3*$CV26,TRUE)-_xlfn.NORM.DIST(AH$30,$CV26,0.3*$CV26,TRUE))*summary!$C$6/28.8/0.947817)/(SUMPRODUCT((economics!$AG$2:$AG$167=$B55)*(economics!$D$2:$D$167="whr")*economics!$AH$2:$AH$167*(_xlfn.NORM.DIST(AH$3,economics!$AK$2:$AK$167,economics!$AJ$2:$AJ$167,TRUE)-_xlfn.NORM.DIST(AH$30,economics!$AK$2:$AK$167,economics!$AJ$2:$AJ$167,TRUE)))+$CR26*(_xlfn.NORM.DIST(AH$3,$CU26,0.3*$CU26,TRUE)-_xlfn.NORM.DIST(AH$30,$CU26,0.3*$CU26,TRUE))+$CS26*(_xlfn.NORM.DIST(AH$3,$CV26,0.3*$CV26,TRUE)-_xlfn.NORM.DIST(AH$30,$CV26,0.3*$CV26,TRUE))),""),IF($C26&gt;0,summary!$C$10/28.8/0.947817,""))</f>
        <v/>
      </c>
      <c r="AI55">
        <f t="array" ref="AI55">IF($D26,IFERROR((SUMPRODUCT((economics!$AG$2:$AG$167=$B55)*(economics!$D$2:$D$167="whr")*economics!$AH$2:$AH$167*(_xlfn.NORM.DIST(AI$3,economics!$AK$2:$AK$167,economics!$AJ$2:$AJ$167,TRUE)-_xlfn.NORM.DIST(AI$30,economics!$AK$2:$AK$167,economics!$AJ$2:$AJ$167,TRUE))*economics!$AM$2:$AM$167)+$CR26*(_xlfn.NORM.DIST(AI$3,$CU26,0.3*$CU26,TRUE)-_xlfn.NORM.DIST(AI$30,$CU26,0.3*$CU26,TRUE))*summary!$C$7/28.8/0.947817+$CS26*(_xlfn.NORM.DIST(AI$3,$CV26,0.3*$CV26,TRUE)-_xlfn.NORM.DIST(AI$30,$CV26,0.3*$CV26,TRUE))*summary!$C$6/28.8/0.947817)/(SUMPRODUCT((economics!$AG$2:$AG$167=$B55)*(economics!$D$2:$D$167="whr")*economics!$AH$2:$AH$167*(_xlfn.NORM.DIST(AI$3,economics!$AK$2:$AK$167,economics!$AJ$2:$AJ$167,TRUE)-_xlfn.NORM.DIST(AI$30,economics!$AK$2:$AK$167,economics!$AJ$2:$AJ$167,TRUE)))+$CR26*(_xlfn.NORM.DIST(AI$3,$CU26,0.3*$CU26,TRUE)-_xlfn.NORM.DIST(AI$30,$CU26,0.3*$CU26,TRUE))+$CS26*(_xlfn.NORM.DIST(AI$3,$CV26,0.3*$CV26,TRUE)-_xlfn.NORM.DIST(AI$30,$CV26,0.3*$CV26,TRUE))),""),IF($C26&gt;0,summary!$C$10/28.8/0.947817,""))</f>
        <v/>
      </c>
      <c r="AJ55">
        <f t="array" ref="AJ55">IF($D26,IFERROR((SUMPRODUCT((economics!$AG$2:$AG$167=$B55)*(economics!$D$2:$D$167="whr")*economics!$AH$2:$AH$167*(_xlfn.NORM.DIST(AJ$3,economics!$AK$2:$AK$167,economics!$AJ$2:$AJ$167,TRUE)-_xlfn.NORM.DIST(AJ$30,economics!$AK$2:$AK$167,economics!$AJ$2:$AJ$167,TRUE))*economics!$AM$2:$AM$167)+$CR26*(_xlfn.NORM.DIST(AJ$3,$CU26,0.3*$CU26,TRUE)-_xlfn.NORM.DIST(AJ$30,$CU26,0.3*$CU26,TRUE))*summary!$C$7/28.8/0.947817+$CS26*(_xlfn.NORM.DIST(AJ$3,$CV26,0.3*$CV26,TRUE)-_xlfn.NORM.DIST(AJ$30,$CV26,0.3*$CV26,TRUE))*summary!$C$6/28.8/0.947817)/(SUMPRODUCT((economics!$AG$2:$AG$167=$B55)*(economics!$D$2:$D$167="whr")*economics!$AH$2:$AH$167*(_xlfn.NORM.DIST(AJ$3,economics!$AK$2:$AK$167,economics!$AJ$2:$AJ$167,TRUE)-_xlfn.NORM.DIST(AJ$30,economics!$AK$2:$AK$167,economics!$AJ$2:$AJ$167,TRUE)))+$CR26*(_xlfn.NORM.DIST(AJ$3,$CU26,0.3*$CU26,TRUE)-_xlfn.NORM.DIST(AJ$30,$CU26,0.3*$CU26,TRUE))+$CS26*(_xlfn.NORM.DIST(AJ$3,$CV26,0.3*$CV26,TRUE)-_xlfn.NORM.DIST(AJ$30,$CV26,0.3*$CV26,TRUE))),""),IF($C26&gt;0,summary!$C$10/28.8/0.947817,""))</f>
        <v/>
      </c>
      <c r="AK55">
        <f t="array" ref="AK55">IF($D26,IFERROR((SUMPRODUCT((economics!$AG$2:$AG$167=$B55)*(economics!$D$2:$D$167="whr")*economics!$AH$2:$AH$167*(_xlfn.NORM.DIST(AK$3,economics!$AK$2:$AK$167,economics!$AJ$2:$AJ$167,TRUE)-_xlfn.NORM.DIST(AK$30,economics!$AK$2:$AK$167,economics!$AJ$2:$AJ$167,TRUE))*economics!$AM$2:$AM$167)+$CR26*(_xlfn.NORM.DIST(AK$3,$CU26,0.3*$CU26,TRUE)-_xlfn.NORM.DIST(AK$30,$CU26,0.3*$CU26,TRUE))*summary!$C$7/28.8/0.947817+$CS26*(_xlfn.NORM.DIST(AK$3,$CV26,0.3*$CV26,TRUE)-_xlfn.NORM.DIST(AK$30,$CV26,0.3*$CV26,TRUE))*summary!$C$6/28.8/0.947817)/(SUMPRODUCT((economics!$AG$2:$AG$167=$B55)*(economics!$D$2:$D$167="whr")*economics!$AH$2:$AH$167*(_xlfn.NORM.DIST(AK$3,economics!$AK$2:$AK$167,economics!$AJ$2:$AJ$167,TRUE)-_xlfn.NORM.DIST(AK$30,economics!$AK$2:$AK$167,economics!$AJ$2:$AJ$167,TRUE)))+$CR26*(_xlfn.NORM.DIST(AK$3,$CU26,0.3*$CU26,TRUE)-_xlfn.NORM.DIST(AK$30,$CU26,0.3*$CU26,TRUE))+$CS26*(_xlfn.NORM.DIST(AK$3,$CV26,0.3*$CV26,TRUE)-_xlfn.NORM.DIST(AK$30,$CV26,0.3*$CV26,TRUE))),""),IF($C26&gt;0,summary!$C$10/28.8/0.947817,""))</f>
        <v/>
      </c>
      <c r="AL55">
        <f t="array" ref="AL55">IF($D26,IFERROR((SUMPRODUCT((economics!$AG$2:$AG$167=$B55)*(economics!$D$2:$D$167="whr")*economics!$AH$2:$AH$167*(_xlfn.NORM.DIST(AL$3,economics!$AK$2:$AK$167,economics!$AJ$2:$AJ$167,TRUE)-_xlfn.NORM.DIST(AL$30,economics!$AK$2:$AK$167,economics!$AJ$2:$AJ$167,TRUE))*economics!$AM$2:$AM$167)+$CR26*(_xlfn.NORM.DIST(AL$3,$CU26,0.3*$CU26,TRUE)-_xlfn.NORM.DIST(AL$30,$CU26,0.3*$CU26,TRUE))*summary!$C$7/28.8/0.947817+$CS26*(_xlfn.NORM.DIST(AL$3,$CV26,0.3*$CV26,TRUE)-_xlfn.NORM.DIST(AL$30,$CV26,0.3*$CV26,TRUE))*summary!$C$6/28.8/0.947817)/(SUMPRODUCT((economics!$AG$2:$AG$167=$B55)*(economics!$D$2:$D$167="whr")*economics!$AH$2:$AH$167*(_xlfn.NORM.DIST(AL$3,economics!$AK$2:$AK$167,economics!$AJ$2:$AJ$167,TRUE)-_xlfn.NORM.DIST(AL$30,economics!$AK$2:$AK$167,economics!$AJ$2:$AJ$167,TRUE)))+$CR26*(_xlfn.NORM.DIST(AL$3,$CU26,0.3*$CU26,TRUE)-_xlfn.NORM.DIST(AL$30,$CU26,0.3*$CU26,TRUE))+$CS26*(_xlfn.NORM.DIST(AL$3,$CV26,0.3*$CV26,TRUE)-_xlfn.NORM.DIST(AL$30,$CV26,0.3*$CV26,TRUE))),""),IF($C26&gt;0,summary!$C$10/28.8/0.947817,""))</f>
        <v/>
      </c>
      <c r="AM55">
        <f t="array" ref="AM55">IF($D26,IFERROR((SUMPRODUCT((economics!$AG$2:$AG$167=$B55)*(economics!$D$2:$D$167="whr")*economics!$AH$2:$AH$167*(_xlfn.NORM.DIST(AM$3,economics!$AK$2:$AK$167,economics!$AJ$2:$AJ$167,TRUE)-_xlfn.NORM.DIST(AM$30,economics!$AK$2:$AK$167,economics!$AJ$2:$AJ$167,TRUE))*economics!$AM$2:$AM$167)+$CR26*(_xlfn.NORM.DIST(AM$3,$CU26,0.3*$CU26,TRUE)-_xlfn.NORM.DIST(AM$30,$CU26,0.3*$CU26,TRUE))*summary!$C$7/28.8/0.947817+$CS26*(_xlfn.NORM.DIST(AM$3,$CV26,0.3*$CV26,TRUE)-_xlfn.NORM.DIST(AM$30,$CV26,0.3*$CV26,TRUE))*summary!$C$6/28.8/0.947817)/(SUMPRODUCT((economics!$AG$2:$AG$167=$B55)*(economics!$D$2:$D$167="whr")*economics!$AH$2:$AH$167*(_xlfn.NORM.DIST(AM$3,economics!$AK$2:$AK$167,economics!$AJ$2:$AJ$167,TRUE)-_xlfn.NORM.DIST(AM$30,economics!$AK$2:$AK$167,economics!$AJ$2:$AJ$167,TRUE)))+$CR26*(_xlfn.NORM.DIST(AM$3,$CU26,0.3*$CU26,TRUE)-_xlfn.NORM.DIST(AM$30,$CU26,0.3*$CU26,TRUE))+$CS26*(_xlfn.NORM.DIST(AM$3,$CV26,0.3*$CV26,TRUE)-_xlfn.NORM.DIST(AM$30,$CV26,0.3*$CV26,TRUE))),""),IF($C26&gt;0,summary!$C$10/28.8/0.947817,""))</f>
        <v/>
      </c>
      <c r="AN55">
        <f t="array" ref="AN55">IF($D26,IFERROR((SUMPRODUCT((economics!$AG$2:$AG$167=$B55)*(economics!$D$2:$D$167="whr")*economics!$AH$2:$AH$167*(_xlfn.NORM.DIST(AN$3,economics!$AK$2:$AK$167,economics!$AJ$2:$AJ$167,TRUE)-_xlfn.NORM.DIST(AN$30,economics!$AK$2:$AK$167,economics!$AJ$2:$AJ$167,TRUE))*economics!$AM$2:$AM$167)+$CR26*(_xlfn.NORM.DIST(AN$3,$CU26,0.3*$CU26,TRUE)-_xlfn.NORM.DIST(AN$30,$CU26,0.3*$CU26,TRUE))*summary!$C$7/28.8/0.947817+$CS26*(_xlfn.NORM.DIST(AN$3,$CV26,0.3*$CV26,TRUE)-_xlfn.NORM.DIST(AN$30,$CV26,0.3*$CV26,TRUE))*summary!$C$6/28.8/0.947817)/(SUMPRODUCT((economics!$AG$2:$AG$167=$B55)*(economics!$D$2:$D$167="whr")*economics!$AH$2:$AH$167*(_xlfn.NORM.DIST(AN$3,economics!$AK$2:$AK$167,economics!$AJ$2:$AJ$167,TRUE)-_xlfn.NORM.DIST(AN$30,economics!$AK$2:$AK$167,economics!$AJ$2:$AJ$167,TRUE)))+$CR26*(_xlfn.NORM.DIST(AN$3,$CU26,0.3*$CU26,TRUE)-_xlfn.NORM.DIST(AN$30,$CU26,0.3*$CU26,TRUE))+$CS26*(_xlfn.NORM.DIST(AN$3,$CV26,0.3*$CV26,TRUE)-_xlfn.NORM.DIST(AN$30,$CV26,0.3*$CV26,TRUE))),""),IF($C26&gt;0,summary!$C$10/28.8/0.947817,""))</f>
        <v/>
      </c>
      <c r="AO55">
        <f t="array" ref="AO55">IF($D26,IFERROR((SUMPRODUCT((economics!$AG$2:$AG$167=$B55)*(economics!$D$2:$D$167="whr")*economics!$AH$2:$AH$167*(_xlfn.NORM.DIST(AO$3,economics!$AK$2:$AK$167,economics!$AJ$2:$AJ$167,TRUE)-_xlfn.NORM.DIST(AO$30,economics!$AK$2:$AK$167,economics!$AJ$2:$AJ$167,TRUE))*economics!$AM$2:$AM$167)+$CR26*(_xlfn.NORM.DIST(AO$3,$CU26,0.3*$CU26,TRUE)-_xlfn.NORM.DIST(AO$30,$CU26,0.3*$CU26,TRUE))*summary!$C$7/28.8/0.947817+$CS26*(_xlfn.NORM.DIST(AO$3,$CV26,0.3*$CV26,TRUE)-_xlfn.NORM.DIST(AO$30,$CV26,0.3*$CV26,TRUE))*summary!$C$6/28.8/0.947817)/(SUMPRODUCT((economics!$AG$2:$AG$167=$B55)*(economics!$D$2:$D$167="whr")*economics!$AH$2:$AH$167*(_xlfn.NORM.DIST(AO$3,economics!$AK$2:$AK$167,economics!$AJ$2:$AJ$167,TRUE)-_xlfn.NORM.DIST(AO$30,economics!$AK$2:$AK$167,economics!$AJ$2:$AJ$167,TRUE)))+$CR26*(_xlfn.NORM.DIST(AO$3,$CU26,0.3*$CU26,TRUE)-_xlfn.NORM.DIST(AO$30,$CU26,0.3*$CU26,TRUE))+$CS26*(_xlfn.NORM.DIST(AO$3,$CV26,0.3*$CV26,TRUE)-_xlfn.NORM.DIST(AO$30,$CV26,0.3*$CV26,TRUE))),""),IF($C26&gt;0,summary!$C$10/28.8/0.947817,""))</f>
        <v/>
      </c>
      <c r="AP55">
        <f t="array" ref="AP55">IF($D26,IFERROR((SUMPRODUCT((economics!$AG$2:$AG$167=$B55)*(economics!$D$2:$D$167="whr")*economics!$AH$2:$AH$167*(_xlfn.NORM.DIST(AP$3,economics!$AK$2:$AK$167,economics!$AJ$2:$AJ$167,TRUE)-_xlfn.NORM.DIST(AP$30,economics!$AK$2:$AK$167,economics!$AJ$2:$AJ$167,TRUE))*economics!$AM$2:$AM$167)+$CR26*(_xlfn.NORM.DIST(AP$3,$CU26,0.3*$CU26,TRUE)-_xlfn.NORM.DIST(AP$30,$CU26,0.3*$CU26,TRUE))*summary!$C$7/28.8/0.947817+$CS26*(_xlfn.NORM.DIST(AP$3,$CV26,0.3*$CV26,TRUE)-_xlfn.NORM.DIST(AP$30,$CV26,0.3*$CV26,TRUE))*summary!$C$6/28.8/0.947817)/(SUMPRODUCT((economics!$AG$2:$AG$167=$B55)*(economics!$D$2:$D$167="whr")*economics!$AH$2:$AH$167*(_xlfn.NORM.DIST(AP$3,economics!$AK$2:$AK$167,economics!$AJ$2:$AJ$167,TRUE)-_xlfn.NORM.DIST(AP$30,economics!$AK$2:$AK$167,economics!$AJ$2:$AJ$167,TRUE)))+$CR26*(_xlfn.NORM.DIST(AP$3,$CU26,0.3*$CU26,TRUE)-_xlfn.NORM.DIST(AP$30,$CU26,0.3*$CU26,TRUE))+$CS26*(_xlfn.NORM.DIST(AP$3,$CV26,0.3*$CV26,TRUE)-_xlfn.NORM.DIST(AP$30,$CV26,0.3*$CV26,TRUE))),""),IF($C26&gt;0,summary!$C$10/28.8/0.947817,""))</f>
        <v/>
      </c>
      <c r="AQ55">
        <f t="array" ref="AQ55">IF($D26,IFERROR((SUMPRODUCT((economics!$AG$2:$AG$167=$B55)*(economics!$D$2:$D$167="whr")*economics!$AH$2:$AH$167*(_xlfn.NORM.DIST(AQ$3,economics!$AK$2:$AK$167,economics!$AJ$2:$AJ$167,TRUE)-_xlfn.NORM.DIST(AQ$30,economics!$AK$2:$AK$167,economics!$AJ$2:$AJ$167,TRUE))*economics!$AM$2:$AM$167)+$CR26*(_xlfn.NORM.DIST(AQ$3,$CU26,0.3*$CU26,TRUE)-_xlfn.NORM.DIST(AQ$30,$CU26,0.3*$CU26,TRUE))*summary!$C$7/28.8/0.947817+$CS26*(_xlfn.NORM.DIST(AQ$3,$CV26,0.3*$CV26,TRUE)-_xlfn.NORM.DIST(AQ$30,$CV26,0.3*$CV26,TRUE))*summary!$C$6/28.8/0.947817)/(SUMPRODUCT((economics!$AG$2:$AG$167=$B55)*(economics!$D$2:$D$167="whr")*economics!$AH$2:$AH$167*(_xlfn.NORM.DIST(AQ$3,economics!$AK$2:$AK$167,economics!$AJ$2:$AJ$167,TRUE)-_xlfn.NORM.DIST(AQ$30,economics!$AK$2:$AK$167,economics!$AJ$2:$AJ$167,TRUE)))+$CR26*(_xlfn.NORM.DIST(AQ$3,$CU26,0.3*$CU26,TRUE)-_xlfn.NORM.DIST(AQ$30,$CU26,0.3*$CU26,TRUE))+$CS26*(_xlfn.NORM.DIST(AQ$3,$CV26,0.3*$CV26,TRUE)-_xlfn.NORM.DIST(AQ$30,$CV26,0.3*$CV26,TRUE))),""),IF($C26&gt;0,summary!$C$10/28.8/0.947817,""))</f>
        <v/>
      </c>
      <c r="AR55">
        <f t="array" ref="AR55">IF($D26,IFERROR((SUMPRODUCT((economics!$AG$2:$AG$167=$B55)*(economics!$D$2:$D$167="whr")*economics!$AH$2:$AH$167*(_xlfn.NORM.DIST(AR$3,economics!$AK$2:$AK$167,economics!$AJ$2:$AJ$167,TRUE)-_xlfn.NORM.DIST(AR$30,economics!$AK$2:$AK$167,economics!$AJ$2:$AJ$167,TRUE))*economics!$AM$2:$AM$167)+$CR26*(_xlfn.NORM.DIST(AR$3,$CU26,0.3*$CU26,TRUE)-_xlfn.NORM.DIST(AR$30,$CU26,0.3*$CU26,TRUE))*summary!$C$7/28.8/0.947817+$CS26*(_xlfn.NORM.DIST(AR$3,$CV26,0.3*$CV26,TRUE)-_xlfn.NORM.DIST(AR$30,$CV26,0.3*$CV26,TRUE))*summary!$C$6/28.8/0.947817)/(SUMPRODUCT((economics!$AG$2:$AG$167=$B55)*(economics!$D$2:$D$167="whr")*economics!$AH$2:$AH$167*(_xlfn.NORM.DIST(AR$3,economics!$AK$2:$AK$167,economics!$AJ$2:$AJ$167,TRUE)-_xlfn.NORM.DIST(AR$30,economics!$AK$2:$AK$167,economics!$AJ$2:$AJ$167,TRUE)))+$CR26*(_xlfn.NORM.DIST(AR$3,$CU26,0.3*$CU26,TRUE)-_xlfn.NORM.DIST(AR$30,$CU26,0.3*$CU26,TRUE))+$CS26*(_xlfn.NORM.DIST(AR$3,$CV26,0.3*$CV26,TRUE)-_xlfn.NORM.DIST(AR$30,$CV26,0.3*$CV26,TRUE))),""),IF($C26&gt;0,summary!$C$10/28.8/0.947817,""))</f>
        <v/>
      </c>
      <c r="AS55">
        <f t="array" ref="AS55">IF($D26,IFERROR((SUMPRODUCT((economics!$AG$2:$AG$167=$B55)*(economics!$D$2:$D$167="whr")*economics!$AH$2:$AH$167*(_xlfn.NORM.DIST(AS$3,economics!$AK$2:$AK$167,economics!$AJ$2:$AJ$167,TRUE)-_xlfn.NORM.DIST(AS$30,economics!$AK$2:$AK$167,economics!$AJ$2:$AJ$167,TRUE))*economics!$AM$2:$AM$167)+$CR26*(_xlfn.NORM.DIST(AS$3,$CU26,0.3*$CU26,TRUE)-_xlfn.NORM.DIST(AS$30,$CU26,0.3*$CU26,TRUE))*summary!$C$7/28.8/0.947817+$CS26*(_xlfn.NORM.DIST(AS$3,$CV26,0.3*$CV26,TRUE)-_xlfn.NORM.DIST(AS$30,$CV26,0.3*$CV26,TRUE))*summary!$C$6/28.8/0.947817)/(SUMPRODUCT((economics!$AG$2:$AG$167=$B55)*(economics!$D$2:$D$167="whr")*economics!$AH$2:$AH$167*(_xlfn.NORM.DIST(AS$3,economics!$AK$2:$AK$167,economics!$AJ$2:$AJ$167,TRUE)-_xlfn.NORM.DIST(AS$30,economics!$AK$2:$AK$167,economics!$AJ$2:$AJ$167,TRUE)))+$CR26*(_xlfn.NORM.DIST(AS$3,$CU26,0.3*$CU26,TRUE)-_xlfn.NORM.DIST(AS$30,$CU26,0.3*$CU26,TRUE))+$CS26*(_xlfn.NORM.DIST(AS$3,$CV26,0.3*$CV26,TRUE)-_xlfn.NORM.DIST(AS$30,$CV26,0.3*$CV26,TRUE))),""),IF($C26&gt;0,summary!$C$10/28.8/0.947817,""))</f>
        <v/>
      </c>
      <c r="AT55">
        <f t="array" ref="AT55">IF($D26,IFERROR((SUMPRODUCT((economics!$AG$2:$AG$167=$B55)*(economics!$D$2:$D$167="whr")*economics!$AH$2:$AH$167*(_xlfn.NORM.DIST(AT$3,economics!$AK$2:$AK$167,economics!$AJ$2:$AJ$167,TRUE)-_xlfn.NORM.DIST(AT$30,economics!$AK$2:$AK$167,economics!$AJ$2:$AJ$167,TRUE))*economics!$AM$2:$AM$167)+$CR26*(_xlfn.NORM.DIST(AT$3,$CU26,0.3*$CU26,TRUE)-_xlfn.NORM.DIST(AT$30,$CU26,0.3*$CU26,TRUE))*summary!$C$7/28.8/0.947817+$CS26*(_xlfn.NORM.DIST(AT$3,$CV26,0.3*$CV26,TRUE)-_xlfn.NORM.DIST(AT$30,$CV26,0.3*$CV26,TRUE))*summary!$C$6/28.8/0.947817)/(SUMPRODUCT((economics!$AG$2:$AG$167=$B55)*(economics!$D$2:$D$167="whr")*economics!$AH$2:$AH$167*(_xlfn.NORM.DIST(AT$3,economics!$AK$2:$AK$167,economics!$AJ$2:$AJ$167,TRUE)-_xlfn.NORM.DIST(AT$30,economics!$AK$2:$AK$167,economics!$AJ$2:$AJ$167,TRUE)))+$CR26*(_xlfn.NORM.DIST(AT$3,$CU26,0.3*$CU26,TRUE)-_xlfn.NORM.DIST(AT$30,$CU26,0.3*$CU26,TRUE))+$CS26*(_xlfn.NORM.DIST(AT$3,$CV26,0.3*$CV26,TRUE)-_xlfn.NORM.DIST(AT$30,$CV26,0.3*$CV26,TRUE))),""),IF($C26&gt;0,summary!$C$10/28.8/0.947817,""))</f>
        <v/>
      </c>
      <c r="AU55">
        <f t="array" ref="AU55">IF($D26,IFERROR((SUMPRODUCT((economics!$AG$2:$AG$167=$B55)*(economics!$D$2:$D$167="whr")*economics!$AH$2:$AH$167*(_xlfn.NORM.DIST(AU$3,economics!$AK$2:$AK$167,economics!$AJ$2:$AJ$167,TRUE)-_xlfn.NORM.DIST(AU$30,economics!$AK$2:$AK$167,economics!$AJ$2:$AJ$167,TRUE))*economics!$AM$2:$AM$167)+$CR26*(_xlfn.NORM.DIST(AU$3,$CU26,0.3*$CU26,TRUE)-_xlfn.NORM.DIST(AU$30,$CU26,0.3*$CU26,TRUE))*summary!$C$7/28.8/0.947817+$CS26*(_xlfn.NORM.DIST(AU$3,$CV26,0.3*$CV26,TRUE)-_xlfn.NORM.DIST(AU$30,$CV26,0.3*$CV26,TRUE))*summary!$C$6/28.8/0.947817)/(SUMPRODUCT((economics!$AG$2:$AG$167=$B55)*(economics!$D$2:$D$167="whr")*economics!$AH$2:$AH$167*(_xlfn.NORM.DIST(AU$3,economics!$AK$2:$AK$167,economics!$AJ$2:$AJ$167,TRUE)-_xlfn.NORM.DIST(AU$30,economics!$AK$2:$AK$167,economics!$AJ$2:$AJ$167,TRUE)))+$CR26*(_xlfn.NORM.DIST(AU$3,$CU26,0.3*$CU26,TRUE)-_xlfn.NORM.DIST(AU$30,$CU26,0.3*$CU26,TRUE))+$CS26*(_xlfn.NORM.DIST(AU$3,$CV26,0.3*$CV26,TRUE)-_xlfn.NORM.DIST(AU$30,$CV26,0.3*$CV26,TRUE))),""),IF($C26&gt;0,summary!$C$10/28.8/0.947817,""))</f>
        <v/>
      </c>
      <c r="AV55">
        <f t="array" ref="AV55">IF($D26,IFERROR((SUMPRODUCT((economics!$AG$2:$AG$167=$B55)*(economics!$D$2:$D$167="whr")*economics!$AH$2:$AH$167*(_xlfn.NORM.DIST(AV$3,economics!$AK$2:$AK$167,economics!$AJ$2:$AJ$167,TRUE)-_xlfn.NORM.DIST(AV$30,economics!$AK$2:$AK$167,economics!$AJ$2:$AJ$167,TRUE))*economics!$AM$2:$AM$167)+$CR26*(_xlfn.NORM.DIST(AV$3,$CU26,0.3*$CU26,TRUE)-_xlfn.NORM.DIST(AV$30,$CU26,0.3*$CU26,TRUE))*summary!$C$7/28.8/0.947817+$CS26*(_xlfn.NORM.DIST(AV$3,$CV26,0.3*$CV26,TRUE)-_xlfn.NORM.DIST(AV$30,$CV26,0.3*$CV26,TRUE))*summary!$C$6/28.8/0.947817)/(SUMPRODUCT((economics!$AG$2:$AG$167=$B55)*(economics!$D$2:$D$167="whr")*economics!$AH$2:$AH$167*(_xlfn.NORM.DIST(AV$3,economics!$AK$2:$AK$167,economics!$AJ$2:$AJ$167,TRUE)-_xlfn.NORM.DIST(AV$30,economics!$AK$2:$AK$167,economics!$AJ$2:$AJ$167,TRUE)))+$CR26*(_xlfn.NORM.DIST(AV$3,$CU26,0.3*$CU26,TRUE)-_xlfn.NORM.DIST(AV$30,$CU26,0.3*$CU26,TRUE))+$CS26*(_xlfn.NORM.DIST(AV$3,$CV26,0.3*$CV26,TRUE)-_xlfn.NORM.DIST(AV$30,$CV26,0.3*$CV26,TRUE))),""),IF($C26&gt;0,summary!$C$10/28.8/0.947817,""))</f>
        <v/>
      </c>
      <c r="AW55">
        <f t="array" ref="AW55">IF($D26,IFERROR((SUMPRODUCT((economics!$AG$2:$AG$167=$B55)*(economics!$D$2:$D$167="whr")*economics!$AH$2:$AH$167*(_xlfn.NORM.DIST(AW$3,economics!$AK$2:$AK$167,economics!$AJ$2:$AJ$167,TRUE)-_xlfn.NORM.DIST(AW$30,economics!$AK$2:$AK$167,economics!$AJ$2:$AJ$167,TRUE))*economics!$AM$2:$AM$167)+$CR26*(_xlfn.NORM.DIST(AW$3,$CU26,0.3*$CU26,TRUE)-_xlfn.NORM.DIST(AW$30,$CU26,0.3*$CU26,TRUE))*summary!$C$7/28.8/0.947817+$CS26*(_xlfn.NORM.DIST(AW$3,$CV26,0.3*$CV26,TRUE)-_xlfn.NORM.DIST(AW$30,$CV26,0.3*$CV26,TRUE))*summary!$C$6/28.8/0.947817)/(SUMPRODUCT((economics!$AG$2:$AG$167=$B55)*(economics!$D$2:$D$167="whr")*economics!$AH$2:$AH$167*(_xlfn.NORM.DIST(AW$3,economics!$AK$2:$AK$167,economics!$AJ$2:$AJ$167,TRUE)-_xlfn.NORM.DIST(AW$30,economics!$AK$2:$AK$167,economics!$AJ$2:$AJ$167,TRUE)))+$CR26*(_xlfn.NORM.DIST(AW$3,$CU26,0.3*$CU26,TRUE)-_xlfn.NORM.DIST(AW$30,$CU26,0.3*$CU26,TRUE))+$CS26*(_xlfn.NORM.DIST(AW$3,$CV26,0.3*$CV26,TRUE)-_xlfn.NORM.DIST(AW$30,$CV26,0.3*$CV26,TRUE))),""),IF($C26&gt;0,summary!$C$10/28.8/0.947817,""))</f>
        <v/>
      </c>
      <c r="AX55">
        <f t="array" ref="AX55">IF($D26,IFERROR((SUMPRODUCT((economics!$AG$2:$AG$167=$B55)*(economics!$D$2:$D$167="whr")*economics!$AH$2:$AH$167*(_xlfn.NORM.DIST(AX$3,economics!$AK$2:$AK$167,economics!$AJ$2:$AJ$167,TRUE)-_xlfn.NORM.DIST(AX$30,economics!$AK$2:$AK$167,economics!$AJ$2:$AJ$167,TRUE))*economics!$AM$2:$AM$167)+$CR26*(_xlfn.NORM.DIST(AX$3,$CU26,0.3*$CU26,TRUE)-_xlfn.NORM.DIST(AX$30,$CU26,0.3*$CU26,TRUE))*summary!$C$7/28.8/0.947817+$CS26*(_xlfn.NORM.DIST(AX$3,$CV26,0.3*$CV26,TRUE)-_xlfn.NORM.DIST(AX$30,$CV26,0.3*$CV26,TRUE))*summary!$C$6/28.8/0.947817)/(SUMPRODUCT((economics!$AG$2:$AG$167=$B55)*(economics!$D$2:$D$167="whr")*economics!$AH$2:$AH$167*(_xlfn.NORM.DIST(AX$3,economics!$AK$2:$AK$167,economics!$AJ$2:$AJ$167,TRUE)-_xlfn.NORM.DIST(AX$30,economics!$AK$2:$AK$167,economics!$AJ$2:$AJ$167,TRUE)))+$CR26*(_xlfn.NORM.DIST(AX$3,$CU26,0.3*$CU26,TRUE)-_xlfn.NORM.DIST(AX$30,$CU26,0.3*$CU26,TRUE))+$CS26*(_xlfn.NORM.DIST(AX$3,$CV26,0.3*$CV26,TRUE)-_xlfn.NORM.DIST(AX$30,$CV26,0.3*$CV26,TRUE))),""),IF($C26&gt;0,summary!$C$10/28.8/0.947817,""))</f>
        <v/>
      </c>
      <c r="AY55">
        <f t="array" ref="AY55">IF($D26,IFERROR((SUMPRODUCT((economics!$AG$2:$AG$167=$B55)*(economics!$D$2:$D$167="whr")*economics!$AH$2:$AH$167*(_xlfn.NORM.DIST(AY$3,economics!$AK$2:$AK$167,economics!$AJ$2:$AJ$167,TRUE)-_xlfn.NORM.DIST(AY$30,economics!$AK$2:$AK$167,economics!$AJ$2:$AJ$167,TRUE))*economics!$AM$2:$AM$167)+$CR26*(_xlfn.NORM.DIST(AY$3,$CU26,0.3*$CU26,TRUE)-_xlfn.NORM.DIST(AY$30,$CU26,0.3*$CU26,TRUE))*summary!$C$7/28.8/0.947817+$CS26*(_xlfn.NORM.DIST(AY$3,$CV26,0.3*$CV26,TRUE)-_xlfn.NORM.DIST(AY$30,$CV26,0.3*$CV26,TRUE))*summary!$C$6/28.8/0.947817)/(SUMPRODUCT((economics!$AG$2:$AG$167=$B55)*(economics!$D$2:$D$167="whr")*economics!$AH$2:$AH$167*(_xlfn.NORM.DIST(AY$3,economics!$AK$2:$AK$167,economics!$AJ$2:$AJ$167,TRUE)-_xlfn.NORM.DIST(AY$30,economics!$AK$2:$AK$167,economics!$AJ$2:$AJ$167,TRUE)))+$CR26*(_xlfn.NORM.DIST(AY$3,$CU26,0.3*$CU26,TRUE)-_xlfn.NORM.DIST(AY$30,$CU26,0.3*$CU26,TRUE))+$CS26*(_xlfn.NORM.DIST(AY$3,$CV26,0.3*$CV26,TRUE)-_xlfn.NORM.DIST(AY$30,$CV26,0.3*$CV26,TRUE))),""),IF($C26&gt;0,summary!$C$10/28.8/0.947817,""))</f>
        <v/>
      </c>
      <c r="AZ55">
        <f t="array" ref="AZ55">IF($D26,IFERROR((SUMPRODUCT((economics!$AG$2:$AG$167=$B55)*(economics!$D$2:$D$167="whr")*economics!$AH$2:$AH$167*(_xlfn.NORM.DIST(AZ$3,economics!$AK$2:$AK$167,economics!$AJ$2:$AJ$167,TRUE)-_xlfn.NORM.DIST(AZ$30,economics!$AK$2:$AK$167,economics!$AJ$2:$AJ$167,TRUE))*economics!$AM$2:$AM$167)+$CR26*(_xlfn.NORM.DIST(AZ$3,$CU26,0.3*$CU26,TRUE)-_xlfn.NORM.DIST(AZ$30,$CU26,0.3*$CU26,TRUE))*summary!$C$7/28.8/0.947817+$CS26*(_xlfn.NORM.DIST(AZ$3,$CV26,0.3*$CV26,TRUE)-_xlfn.NORM.DIST(AZ$30,$CV26,0.3*$CV26,TRUE))*summary!$C$6/28.8/0.947817)/(SUMPRODUCT((economics!$AG$2:$AG$167=$B55)*(economics!$D$2:$D$167="whr")*economics!$AH$2:$AH$167*(_xlfn.NORM.DIST(AZ$3,economics!$AK$2:$AK$167,economics!$AJ$2:$AJ$167,TRUE)-_xlfn.NORM.DIST(AZ$30,economics!$AK$2:$AK$167,economics!$AJ$2:$AJ$167,TRUE)))+$CR26*(_xlfn.NORM.DIST(AZ$3,$CU26,0.3*$CU26,TRUE)-_xlfn.NORM.DIST(AZ$30,$CU26,0.3*$CU26,TRUE))+$CS26*(_xlfn.NORM.DIST(AZ$3,$CV26,0.3*$CV26,TRUE)-_xlfn.NORM.DIST(AZ$30,$CV26,0.3*$CV26,TRUE))),""),IF($C26&gt;0,summary!$C$10/28.8/0.947817,""))</f>
        <v/>
      </c>
      <c r="BA55">
        <f t="array" ref="BA55">IF($D26,IFERROR((SUMPRODUCT((economics!$AG$2:$AG$167=$B55)*(economics!$D$2:$D$167="whr")*economics!$AH$2:$AH$167*(_xlfn.NORM.DIST(BA$3,economics!$AK$2:$AK$167,economics!$AJ$2:$AJ$167,TRUE)-_xlfn.NORM.DIST(BA$30,economics!$AK$2:$AK$167,economics!$AJ$2:$AJ$167,TRUE))*economics!$AM$2:$AM$167)+$CR26*(_xlfn.NORM.DIST(BA$3,$CU26,0.3*$CU26,TRUE)-_xlfn.NORM.DIST(BA$30,$CU26,0.3*$CU26,TRUE))*summary!$C$7/28.8/0.947817+$CS26*(_xlfn.NORM.DIST(BA$3,$CV26,0.3*$CV26,TRUE)-_xlfn.NORM.DIST(BA$30,$CV26,0.3*$CV26,TRUE))*summary!$C$6/28.8/0.947817)/(SUMPRODUCT((economics!$AG$2:$AG$167=$B55)*(economics!$D$2:$D$167="whr")*economics!$AH$2:$AH$167*(_xlfn.NORM.DIST(BA$3,economics!$AK$2:$AK$167,economics!$AJ$2:$AJ$167,TRUE)-_xlfn.NORM.DIST(BA$30,economics!$AK$2:$AK$167,economics!$AJ$2:$AJ$167,TRUE)))+$CR26*(_xlfn.NORM.DIST(BA$3,$CU26,0.3*$CU26,TRUE)-_xlfn.NORM.DIST(BA$30,$CU26,0.3*$CU26,TRUE))+$CS26*(_xlfn.NORM.DIST(BA$3,$CV26,0.3*$CV26,TRUE)-_xlfn.NORM.DIST(BA$30,$CV26,0.3*$CV26,TRUE))),""),IF($C26&gt;0,summary!$C$10/28.8/0.947817,""))</f>
        <v/>
      </c>
      <c r="BB55">
        <f t="array" ref="BB55">IF($D26,IFERROR((SUMPRODUCT((economics!$AG$2:$AG$167=$B55)*(economics!$D$2:$D$167="whr")*economics!$AH$2:$AH$167*(_xlfn.NORM.DIST(BB$3,economics!$AK$2:$AK$167,economics!$AJ$2:$AJ$167,TRUE)-_xlfn.NORM.DIST(BB$30,economics!$AK$2:$AK$167,economics!$AJ$2:$AJ$167,TRUE))*economics!$AM$2:$AM$167)+$CR26*(_xlfn.NORM.DIST(BB$3,$CU26,0.3*$CU26,TRUE)-_xlfn.NORM.DIST(BB$30,$CU26,0.3*$CU26,TRUE))*summary!$C$7/28.8/0.947817+$CS26*(_xlfn.NORM.DIST(BB$3,$CV26,0.3*$CV26,TRUE)-_xlfn.NORM.DIST(BB$30,$CV26,0.3*$CV26,TRUE))*summary!$C$6/28.8/0.947817)/(SUMPRODUCT((economics!$AG$2:$AG$167=$B55)*(economics!$D$2:$D$167="whr")*economics!$AH$2:$AH$167*(_xlfn.NORM.DIST(BB$3,economics!$AK$2:$AK$167,economics!$AJ$2:$AJ$167,TRUE)-_xlfn.NORM.DIST(BB$30,economics!$AK$2:$AK$167,economics!$AJ$2:$AJ$167,TRUE)))+$CR26*(_xlfn.NORM.DIST(BB$3,$CU26,0.3*$CU26,TRUE)-_xlfn.NORM.DIST(BB$30,$CU26,0.3*$CU26,TRUE))+$CS26*(_xlfn.NORM.DIST(BB$3,$CV26,0.3*$CV26,TRUE)-_xlfn.NORM.DIST(BB$30,$CV26,0.3*$CV26,TRUE))),""),IF($C26&gt;0,summary!$C$10/28.8/0.947817,""))</f>
        <v/>
      </c>
      <c r="BC55">
        <f t="array" ref="BC55">IF($D26,IFERROR((SUMPRODUCT((economics!$AG$2:$AG$167=$B55)*(economics!$D$2:$D$167="whr")*economics!$AH$2:$AH$167*(_xlfn.NORM.DIST(BC$3,economics!$AK$2:$AK$167,economics!$AJ$2:$AJ$167,TRUE)-_xlfn.NORM.DIST(BC$30,economics!$AK$2:$AK$167,economics!$AJ$2:$AJ$167,TRUE))*economics!$AM$2:$AM$167)+$CR26*(_xlfn.NORM.DIST(BC$3,$CU26,0.3*$CU26,TRUE)-_xlfn.NORM.DIST(BC$30,$CU26,0.3*$CU26,TRUE))*summary!$C$7/28.8/0.947817+$CS26*(_xlfn.NORM.DIST(BC$3,$CV26,0.3*$CV26,TRUE)-_xlfn.NORM.DIST(BC$30,$CV26,0.3*$CV26,TRUE))*summary!$C$6/28.8/0.947817)/(SUMPRODUCT((economics!$AG$2:$AG$167=$B55)*(economics!$D$2:$D$167="whr")*economics!$AH$2:$AH$167*(_xlfn.NORM.DIST(BC$3,economics!$AK$2:$AK$167,economics!$AJ$2:$AJ$167,TRUE)-_xlfn.NORM.DIST(BC$30,economics!$AK$2:$AK$167,economics!$AJ$2:$AJ$167,TRUE)))+$CR26*(_xlfn.NORM.DIST(BC$3,$CU26,0.3*$CU26,TRUE)-_xlfn.NORM.DIST(BC$30,$CU26,0.3*$CU26,TRUE))+$CS26*(_xlfn.NORM.DIST(BC$3,$CV26,0.3*$CV26,TRUE)-_xlfn.NORM.DIST(BC$30,$CV26,0.3*$CV26,TRUE))),""),IF($C26&gt;0,summary!$C$10/28.8/0.947817,""))</f>
        <v/>
      </c>
      <c r="BD55">
        <f t="array" ref="BD55">IF($D26,IFERROR((SUMPRODUCT((economics!$AG$2:$AG$167=$B55)*(economics!$D$2:$D$167="whr")*economics!$AH$2:$AH$167*(_xlfn.NORM.DIST(BD$3,economics!$AK$2:$AK$167,economics!$AJ$2:$AJ$167,TRUE)-_xlfn.NORM.DIST(BD$30,economics!$AK$2:$AK$167,economics!$AJ$2:$AJ$167,TRUE))*economics!$AM$2:$AM$167)+$CR26*(_xlfn.NORM.DIST(BD$3,$CU26,0.3*$CU26,TRUE)-_xlfn.NORM.DIST(BD$30,$CU26,0.3*$CU26,TRUE))*summary!$C$7/28.8/0.947817+$CS26*(_xlfn.NORM.DIST(BD$3,$CV26,0.3*$CV26,TRUE)-_xlfn.NORM.DIST(BD$30,$CV26,0.3*$CV26,TRUE))*summary!$C$6/28.8/0.947817)/(SUMPRODUCT((economics!$AG$2:$AG$167=$B55)*(economics!$D$2:$D$167="whr")*economics!$AH$2:$AH$167*(_xlfn.NORM.DIST(BD$3,economics!$AK$2:$AK$167,economics!$AJ$2:$AJ$167,TRUE)-_xlfn.NORM.DIST(BD$30,economics!$AK$2:$AK$167,economics!$AJ$2:$AJ$167,TRUE)))+$CR26*(_xlfn.NORM.DIST(BD$3,$CU26,0.3*$CU26,TRUE)-_xlfn.NORM.DIST(BD$30,$CU26,0.3*$CU26,TRUE))+$CS26*(_xlfn.NORM.DIST(BD$3,$CV26,0.3*$CV26,TRUE)-_xlfn.NORM.DIST(BD$30,$CV26,0.3*$CV26,TRUE))),""),IF($C26&gt;0,summary!$C$10/28.8/0.947817,""))</f>
        <v/>
      </c>
      <c r="BE55">
        <f t="array" ref="BE55">IF($D26,IFERROR((SUMPRODUCT((economics!$AG$2:$AG$167=$B55)*(economics!$D$2:$D$167="whr")*economics!$AH$2:$AH$167*(_xlfn.NORM.DIST(BE$3,economics!$AK$2:$AK$167,economics!$AJ$2:$AJ$167,TRUE)-_xlfn.NORM.DIST(BE$30,economics!$AK$2:$AK$167,economics!$AJ$2:$AJ$167,TRUE))*economics!$AM$2:$AM$167)+$CR26*(_xlfn.NORM.DIST(BE$3,$CU26,0.3*$CU26,TRUE)-_xlfn.NORM.DIST(BE$30,$CU26,0.3*$CU26,TRUE))*summary!$C$7/28.8/0.947817+$CS26*(_xlfn.NORM.DIST(BE$3,$CV26,0.3*$CV26,TRUE)-_xlfn.NORM.DIST(BE$30,$CV26,0.3*$CV26,TRUE))*summary!$C$6/28.8/0.947817)/(SUMPRODUCT((economics!$AG$2:$AG$167=$B55)*(economics!$D$2:$D$167="whr")*economics!$AH$2:$AH$167*(_xlfn.NORM.DIST(BE$3,economics!$AK$2:$AK$167,economics!$AJ$2:$AJ$167,TRUE)-_xlfn.NORM.DIST(BE$30,economics!$AK$2:$AK$167,economics!$AJ$2:$AJ$167,TRUE)))+$CR26*(_xlfn.NORM.DIST(BE$3,$CU26,0.3*$CU26,TRUE)-_xlfn.NORM.DIST(BE$30,$CU26,0.3*$CU26,TRUE))+$CS26*(_xlfn.NORM.DIST(BE$3,$CV26,0.3*$CV26,TRUE)-_xlfn.NORM.DIST(BE$30,$CV26,0.3*$CV26,TRUE))),""),IF($C26&gt;0,summary!$C$10/28.8/0.947817,""))</f>
        <v/>
      </c>
      <c r="BF55">
        <f t="array" ref="BF55">IF($D26,IFERROR((SUMPRODUCT((economics!$AG$2:$AG$167=$B55)*(economics!$D$2:$D$167="whr")*economics!$AH$2:$AH$167*(_xlfn.NORM.DIST(BF$3,economics!$AK$2:$AK$167,economics!$AJ$2:$AJ$167,TRUE)-_xlfn.NORM.DIST(BF$30,economics!$AK$2:$AK$167,economics!$AJ$2:$AJ$167,TRUE))*economics!$AM$2:$AM$167)+$CR26*(_xlfn.NORM.DIST(BF$3,$CU26,0.3*$CU26,TRUE)-_xlfn.NORM.DIST(BF$30,$CU26,0.3*$CU26,TRUE))*summary!$C$7/28.8/0.947817+$CS26*(_xlfn.NORM.DIST(BF$3,$CV26,0.3*$CV26,TRUE)-_xlfn.NORM.DIST(BF$30,$CV26,0.3*$CV26,TRUE))*summary!$C$6/28.8/0.947817)/(SUMPRODUCT((economics!$AG$2:$AG$167=$B55)*(economics!$D$2:$D$167="whr")*economics!$AH$2:$AH$167*(_xlfn.NORM.DIST(BF$3,economics!$AK$2:$AK$167,economics!$AJ$2:$AJ$167,TRUE)-_xlfn.NORM.DIST(BF$30,economics!$AK$2:$AK$167,economics!$AJ$2:$AJ$167,TRUE)))+$CR26*(_xlfn.NORM.DIST(BF$3,$CU26,0.3*$CU26,TRUE)-_xlfn.NORM.DIST(BF$30,$CU26,0.3*$CU26,TRUE))+$CS26*(_xlfn.NORM.DIST(BF$3,$CV26,0.3*$CV26,TRUE)-_xlfn.NORM.DIST(BF$30,$CV26,0.3*$CV26,TRUE))),""),IF($C26&gt;0,summary!$C$10/28.8/0.947817,""))</f>
        <v/>
      </c>
      <c r="BG55">
        <f t="array" ref="BG55">IF($D26,IFERROR((SUMPRODUCT((economics!$AG$2:$AG$167=$B55)*(economics!$D$2:$D$167="whr")*economics!$AH$2:$AH$167*(_xlfn.NORM.DIST(BG$3,economics!$AK$2:$AK$167,economics!$AJ$2:$AJ$167,TRUE)-_xlfn.NORM.DIST(BG$30,economics!$AK$2:$AK$167,economics!$AJ$2:$AJ$167,TRUE))*economics!$AM$2:$AM$167)+$CR26*(_xlfn.NORM.DIST(BG$3,$CU26,0.3*$CU26,TRUE)-_xlfn.NORM.DIST(BG$30,$CU26,0.3*$CU26,TRUE))*summary!$C$7/28.8/0.947817+$CS26*(_xlfn.NORM.DIST(BG$3,$CV26,0.3*$CV26,TRUE)-_xlfn.NORM.DIST(BG$30,$CV26,0.3*$CV26,TRUE))*summary!$C$6/28.8/0.947817)/(SUMPRODUCT((economics!$AG$2:$AG$167=$B55)*(economics!$D$2:$D$167="whr")*economics!$AH$2:$AH$167*(_xlfn.NORM.DIST(BG$3,economics!$AK$2:$AK$167,economics!$AJ$2:$AJ$167,TRUE)-_xlfn.NORM.DIST(BG$30,economics!$AK$2:$AK$167,economics!$AJ$2:$AJ$167,TRUE)))+$CR26*(_xlfn.NORM.DIST(BG$3,$CU26,0.3*$CU26,TRUE)-_xlfn.NORM.DIST(BG$30,$CU26,0.3*$CU26,TRUE))+$CS26*(_xlfn.NORM.DIST(BG$3,$CV26,0.3*$CV26,TRUE)-_xlfn.NORM.DIST(BG$30,$CV26,0.3*$CV26,TRUE))),""),IF($C26&gt;0,summary!$C$10/28.8/0.947817,""))</f>
        <v/>
      </c>
      <c r="BH55">
        <f t="array" ref="BH55">IF($D26,IFERROR((SUMPRODUCT((economics!$AG$2:$AG$167=$B55)*(economics!$D$2:$D$167="whr")*economics!$AH$2:$AH$167*(_xlfn.NORM.DIST(BH$3,economics!$AK$2:$AK$167,economics!$AJ$2:$AJ$167,TRUE)-_xlfn.NORM.DIST(BH$30,economics!$AK$2:$AK$167,economics!$AJ$2:$AJ$167,TRUE))*economics!$AM$2:$AM$167)+$CR26*(_xlfn.NORM.DIST(BH$3,$CU26,0.3*$CU26,TRUE)-_xlfn.NORM.DIST(BH$30,$CU26,0.3*$CU26,TRUE))*summary!$C$7/28.8/0.947817+$CS26*(_xlfn.NORM.DIST(BH$3,$CV26,0.3*$CV26,TRUE)-_xlfn.NORM.DIST(BH$30,$CV26,0.3*$CV26,TRUE))*summary!$C$6/28.8/0.947817)/(SUMPRODUCT((economics!$AG$2:$AG$167=$B55)*(economics!$D$2:$D$167="whr")*economics!$AH$2:$AH$167*(_xlfn.NORM.DIST(BH$3,economics!$AK$2:$AK$167,economics!$AJ$2:$AJ$167,TRUE)-_xlfn.NORM.DIST(BH$30,economics!$AK$2:$AK$167,economics!$AJ$2:$AJ$167,TRUE)))+$CR26*(_xlfn.NORM.DIST(BH$3,$CU26,0.3*$CU26,TRUE)-_xlfn.NORM.DIST(BH$30,$CU26,0.3*$CU26,TRUE))+$CS26*(_xlfn.NORM.DIST(BH$3,$CV26,0.3*$CV26,TRUE)-_xlfn.NORM.DIST(BH$30,$CV26,0.3*$CV26,TRUE))),""),IF($C26&gt;0,summary!$C$10/28.8/0.947817,""))</f>
        <v/>
      </c>
      <c r="BI55">
        <f t="array" ref="BI55">IF($D26,IFERROR((SUMPRODUCT((economics!$AG$2:$AG$167=$B55)*(economics!$D$2:$D$167="whr")*economics!$AH$2:$AH$167*(_xlfn.NORM.DIST(BI$3,economics!$AK$2:$AK$167,economics!$AJ$2:$AJ$167,TRUE)-_xlfn.NORM.DIST(BI$30,economics!$AK$2:$AK$167,economics!$AJ$2:$AJ$167,TRUE))*economics!$AM$2:$AM$167)+$CR26*(_xlfn.NORM.DIST(BI$3,$CU26,0.3*$CU26,TRUE)-_xlfn.NORM.DIST(BI$30,$CU26,0.3*$CU26,TRUE))*summary!$C$7/28.8/0.947817+$CS26*(_xlfn.NORM.DIST(BI$3,$CV26,0.3*$CV26,TRUE)-_xlfn.NORM.DIST(BI$30,$CV26,0.3*$CV26,TRUE))*summary!$C$6/28.8/0.947817)/(SUMPRODUCT((economics!$AG$2:$AG$167=$B55)*(economics!$D$2:$D$167="whr")*economics!$AH$2:$AH$167*(_xlfn.NORM.DIST(BI$3,economics!$AK$2:$AK$167,economics!$AJ$2:$AJ$167,TRUE)-_xlfn.NORM.DIST(BI$30,economics!$AK$2:$AK$167,economics!$AJ$2:$AJ$167,TRUE)))+$CR26*(_xlfn.NORM.DIST(BI$3,$CU26,0.3*$CU26,TRUE)-_xlfn.NORM.DIST(BI$30,$CU26,0.3*$CU26,TRUE))+$CS26*(_xlfn.NORM.DIST(BI$3,$CV26,0.3*$CV26,TRUE)-_xlfn.NORM.DIST(BI$30,$CV26,0.3*$CV26,TRUE))),""),IF($C26&gt;0,summary!$C$10/28.8/0.947817,""))</f>
        <v/>
      </c>
      <c r="BJ55">
        <f t="array" ref="BJ55">IF($D26,IFERROR((SUMPRODUCT((economics!$AG$2:$AG$167=$B55)*(economics!$D$2:$D$167="whr")*economics!$AH$2:$AH$167*(_xlfn.NORM.DIST(BJ$3,economics!$AK$2:$AK$167,economics!$AJ$2:$AJ$167,TRUE)-_xlfn.NORM.DIST(BJ$30,economics!$AK$2:$AK$167,economics!$AJ$2:$AJ$167,TRUE))*economics!$AM$2:$AM$167)+$CR26*(_xlfn.NORM.DIST(BJ$3,$CU26,0.3*$CU26,TRUE)-_xlfn.NORM.DIST(BJ$30,$CU26,0.3*$CU26,TRUE))*summary!$C$7/28.8/0.947817+$CS26*(_xlfn.NORM.DIST(BJ$3,$CV26,0.3*$CV26,TRUE)-_xlfn.NORM.DIST(BJ$30,$CV26,0.3*$CV26,TRUE))*summary!$C$6/28.8/0.947817)/(SUMPRODUCT((economics!$AG$2:$AG$167=$B55)*(economics!$D$2:$D$167="whr")*economics!$AH$2:$AH$167*(_xlfn.NORM.DIST(BJ$3,economics!$AK$2:$AK$167,economics!$AJ$2:$AJ$167,TRUE)-_xlfn.NORM.DIST(BJ$30,economics!$AK$2:$AK$167,economics!$AJ$2:$AJ$167,TRUE)))+$CR26*(_xlfn.NORM.DIST(BJ$3,$CU26,0.3*$CU26,TRUE)-_xlfn.NORM.DIST(BJ$30,$CU26,0.3*$CU26,TRUE))+$CS26*(_xlfn.NORM.DIST(BJ$3,$CV26,0.3*$CV26,TRUE)-_xlfn.NORM.DIST(BJ$30,$CV26,0.3*$CV26,TRUE))),""),IF($C26&gt;0,summary!$C$10/28.8/0.947817,""))</f>
        <v/>
      </c>
      <c r="BK55">
        <f t="array" ref="BK55">IF($D26,IFERROR((SUMPRODUCT((economics!$AG$2:$AG$167=$B55)*(economics!$D$2:$D$167="whr")*economics!$AH$2:$AH$167*(_xlfn.NORM.DIST(BK$3,economics!$AK$2:$AK$167,economics!$AJ$2:$AJ$167,TRUE)-_xlfn.NORM.DIST(BK$30,economics!$AK$2:$AK$167,economics!$AJ$2:$AJ$167,TRUE))*economics!$AM$2:$AM$167)+$CR26*(_xlfn.NORM.DIST(BK$3,$CU26,0.3*$CU26,TRUE)-_xlfn.NORM.DIST(BK$30,$CU26,0.3*$CU26,TRUE))*summary!$C$7/28.8/0.947817+$CS26*(_xlfn.NORM.DIST(BK$3,$CV26,0.3*$CV26,TRUE)-_xlfn.NORM.DIST(BK$30,$CV26,0.3*$CV26,TRUE))*summary!$C$6/28.8/0.947817)/(SUMPRODUCT((economics!$AG$2:$AG$167=$B55)*(economics!$D$2:$D$167="whr")*economics!$AH$2:$AH$167*(_xlfn.NORM.DIST(BK$3,economics!$AK$2:$AK$167,economics!$AJ$2:$AJ$167,TRUE)-_xlfn.NORM.DIST(BK$30,economics!$AK$2:$AK$167,economics!$AJ$2:$AJ$167,TRUE)))+$CR26*(_xlfn.NORM.DIST(BK$3,$CU26,0.3*$CU26,TRUE)-_xlfn.NORM.DIST(BK$30,$CU26,0.3*$CU26,TRUE))+$CS26*(_xlfn.NORM.DIST(BK$3,$CV26,0.3*$CV26,TRUE)-_xlfn.NORM.DIST(BK$30,$CV26,0.3*$CV26,TRUE))),""),IF($C26&gt;0,summary!$C$10/28.8/0.947817,""))</f>
        <v/>
      </c>
      <c r="BL55">
        <f t="array" ref="BL55">IF($D26,IFERROR((SUMPRODUCT((economics!$AG$2:$AG$167=$B55)*(economics!$D$2:$D$167="whr")*economics!$AH$2:$AH$167*(_xlfn.NORM.DIST(BL$3,economics!$AK$2:$AK$167,economics!$AJ$2:$AJ$167,TRUE)-_xlfn.NORM.DIST(BL$30,economics!$AK$2:$AK$167,economics!$AJ$2:$AJ$167,TRUE))*economics!$AM$2:$AM$167)+$CR26*(_xlfn.NORM.DIST(BL$3,$CU26,0.3*$CU26,TRUE)-_xlfn.NORM.DIST(BL$30,$CU26,0.3*$CU26,TRUE))*summary!$C$7/28.8/0.947817+$CS26*(_xlfn.NORM.DIST(BL$3,$CV26,0.3*$CV26,TRUE)-_xlfn.NORM.DIST(BL$30,$CV26,0.3*$CV26,TRUE))*summary!$C$6/28.8/0.947817)/(SUMPRODUCT((economics!$AG$2:$AG$167=$B55)*(economics!$D$2:$D$167="whr")*economics!$AH$2:$AH$167*(_xlfn.NORM.DIST(BL$3,economics!$AK$2:$AK$167,economics!$AJ$2:$AJ$167,TRUE)-_xlfn.NORM.DIST(BL$30,economics!$AK$2:$AK$167,economics!$AJ$2:$AJ$167,TRUE)))+$CR26*(_xlfn.NORM.DIST(BL$3,$CU26,0.3*$CU26,TRUE)-_xlfn.NORM.DIST(BL$30,$CU26,0.3*$CU26,TRUE))+$CS26*(_xlfn.NORM.DIST(BL$3,$CV26,0.3*$CV26,TRUE)-_xlfn.NORM.DIST(BL$30,$CV26,0.3*$CV26,TRUE))),""),IF($C26&gt;0,summary!$C$10/28.8/0.947817,""))</f>
        <v/>
      </c>
      <c r="BM55">
        <f t="array" ref="BM55">IF($D26,IFERROR((SUMPRODUCT((economics!$AG$2:$AG$167=$B55)*(economics!$D$2:$D$167="whr")*economics!$AH$2:$AH$167*(_xlfn.NORM.DIST(BM$3,economics!$AK$2:$AK$167,economics!$AJ$2:$AJ$167,TRUE)-_xlfn.NORM.DIST(BM$30,economics!$AK$2:$AK$167,economics!$AJ$2:$AJ$167,TRUE))*economics!$AM$2:$AM$167)+$CR26*(_xlfn.NORM.DIST(BM$3,$CU26,0.3*$CU26,TRUE)-_xlfn.NORM.DIST(BM$30,$CU26,0.3*$CU26,TRUE))*summary!$C$7/28.8/0.947817+$CS26*(_xlfn.NORM.DIST(BM$3,$CV26,0.3*$CV26,TRUE)-_xlfn.NORM.DIST(BM$30,$CV26,0.3*$CV26,TRUE))*summary!$C$6/28.8/0.947817)/(SUMPRODUCT((economics!$AG$2:$AG$167=$B55)*(economics!$D$2:$D$167="whr")*economics!$AH$2:$AH$167*(_xlfn.NORM.DIST(BM$3,economics!$AK$2:$AK$167,economics!$AJ$2:$AJ$167,TRUE)-_xlfn.NORM.DIST(BM$30,economics!$AK$2:$AK$167,economics!$AJ$2:$AJ$167,TRUE)))+$CR26*(_xlfn.NORM.DIST(BM$3,$CU26,0.3*$CU26,TRUE)-_xlfn.NORM.DIST(BM$30,$CU26,0.3*$CU26,TRUE))+$CS26*(_xlfn.NORM.DIST(BM$3,$CV26,0.3*$CV26,TRUE)-_xlfn.NORM.DIST(BM$30,$CV26,0.3*$CV26,TRUE))),""),IF($C26&gt;0,summary!$C$10/28.8/0.947817,""))</f>
        <v/>
      </c>
      <c r="BN55">
        <f t="array" ref="BN55">IF($D26,IFERROR((SUMPRODUCT((economics!$AG$2:$AG$167=$B55)*(economics!$D$2:$D$167="whr")*economics!$AH$2:$AH$167*(_xlfn.NORM.DIST(BN$3,economics!$AK$2:$AK$167,economics!$AJ$2:$AJ$167,TRUE)-_xlfn.NORM.DIST(BN$30,economics!$AK$2:$AK$167,economics!$AJ$2:$AJ$167,TRUE))*economics!$AM$2:$AM$167)+$CR26*(_xlfn.NORM.DIST(BN$3,$CU26,0.3*$CU26,TRUE)-_xlfn.NORM.DIST(BN$30,$CU26,0.3*$CU26,TRUE))*summary!$C$7/28.8/0.947817+$CS26*(_xlfn.NORM.DIST(BN$3,$CV26,0.3*$CV26,TRUE)-_xlfn.NORM.DIST(BN$30,$CV26,0.3*$CV26,TRUE))*summary!$C$6/28.8/0.947817)/(SUMPRODUCT((economics!$AG$2:$AG$167=$B55)*(economics!$D$2:$D$167="whr")*economics!$AH$2:$AH$167*(_xlfn.NORM.DIST(BN$3,economics!$AK$2:$AK$167,economics!$AJ$2:$AJ$167,TRUE)-_xlfn.NORM.DIST(BN$30,economics!$AK$2:$AK$167,economics!$AJ$2:$AJ$167,TRUE)))+$CR26*(_xlfn.NORM.DIST(BN$3,$CU26,0.3*$CU26,TRUE)-_xlfn.NORM.DIST(BN$30,$CU26,0.3*$CU26,TRUE))+$CS26*(_xlfn.NORM.DIST(BN$3,$CV26,0.3*$CV26,TRUE)-_xlfn.NORM.DIST(BN$30,$CV26,0.3*$CV26,TRUE))),""),IF($C26&gt;0,summary!$C$10/28.8/0.947817,""))</f>
        <v/>
      </c>
      <c r="BO55">
        <f t="array" ref="BO55">IF($D26,IFERROR((SUMPRODUCT((economics!$AG$2:$AG$167=$B55)*(economics!$D$2:$D$167="whr")*economics!$AH$2:$AH$167*(_xlfn.NORM.DIST(BO$3,economics!$AK$2:$AK$167,economics!$AJ$2:$AJ$167,TRUE)-_xlfn.NORM.DIST(BO$30,economics!$AK$2:$AK$167,economics!$AJ$2:$AJ$167,TRUE))*economics!$AM$2:$AM$167)+$CR26*(_xlfn.NORM.DIST(BO$3,$CU26,0.3*$CU26,TRUE)-_xlfn.NORM.DIST(BO$30,$CU26,0.3*$CU26,TRUE))*summary!$C$7/28.8/0.947817+$CS26*(_xlfn.NORM.DIST(BO$3,$CV26,0.3*$CV26,TRUE)-_xlfn.NORM.DIST(BO$30,$CV26,0.3*$CV26,TRUE))*summary!$C$6/28.8/0.947817)/(SUMPRODUCT((economics!$AG$2:$AG$167=$B55)*(economics!$D$2:$D$167="whr")*economics!$AH$2:$AH$167*(_xlfn.NORM.DIST(BO$3,economics!$AK$2:$AK$167,economics!$AJ$2:$AJ$167,TRUE)-_xlfn.NORM.DIST(BO$30,economics!$AK$2:$AK$167,economics!$AJ$2:$AJ$167,TRUE)))+$CR26*(_xlfn.NORM.DIST(BO$3,$CU26,0.3*$CU26,TRUE)-_xlfn.NORM.DIST(BO$30,$CU26,0.3*$CU26,TRUE))+$CS26*(_xlfn.NORM.DIST(BO$3,$CV26,0.3*$CV26,TRUE)-_xlfn.NORM.DIST(BO$30,$CV26,0.3*$CV26,TRUE))),""),IF($C26&gt;0,summary!$C$10/28.8/0.947817,""))</f>
        <v/>
      </c>
      <c r="BP55">
        <f t="array" ref="BP55">IF($D26,IFERROR((SUMPRODUCT((economics!$AG$2:$AG$167=$B55)*(economics!$D$2:$D$167="whr")*economics!$AH$2:$AH$167*(_xlfn.NORM.DIST(BP$3,economics!$AK$2:$AK$167,economics!$AJ$2:$AJ$167,TRUE)-_xlfn.NORM.DIST(BP$30,economics!$AK$2:$AK$167,economics!$AJ$2:$AJ$167,TRUE))*economics!$AM$2:$AM$167)+$CR26*(_xlfn.NORM.DIST(BP$3,$CU26,0.3*$CU26,TRUE)-_xlfn.NORM.DIST(BP$30,$CU26,0.3*$CU26,TRUE))*summary!$C$7/28.8/0.947817+$CS26*(_xlfn.NORM.DIST(BP$3,$CV26,0.3*$CV26,TRUE)-_xlfn.NORM.DIST(BP$30,$CV26,0.3*$CV26,TRUE))*summary!$C$6/28.8/0.947817)/(SUMPRODUCT((economics!$AG$2:$AG$167=$B55)*(economics!$D$2:$D$167="whr")*economics!$AH$2:$AH$167*(_xlfn.NORM.DIST(BP$3,economics!$AK$2:$AK$167,economics!$AJ$2:$AJ$167,TRUE)-_xlfn.NORM.DIST(BP$30,economics!$AK$2:$AK$167,economics!$AJ$2:$AJ$167,TRUE)))+$CR26*(_xlfn.NORM.DIST(BP$3,$CU26,0.3*$CU26,TRUE)-_xlfn.NORM.DIST(BP$30,$CU26,0.3*$CU26,TRUE))+$CS26*(_xlfn.NORM.DIST(BP$3,$CV26,0.3*$CV26,TRUE)-_xlfn.NORM.DIST(BP$30,$CV26,0.3*$CV26,TRUE))),""),IF($C26&gt;0,summary!$C$10/28.8/0.947817,""))</f>
        <v/>
      </c>
      <c r="BQ55">
        <f t="array" ref="BQ55">IF($D26,IFERROR((SUMPRODUCT((economics!$AG$2:$AG$167=$B55)*(economics!$D$2:$D$167="whr")*economics!$AH$2:$AH$167*(_xlfn.NORM.DIST(BQ$3,economics!$AK$2:$AK$167,economics!$AJ$2:$AJ$167,TRUE)-_xlfn.NORM.DIST(BQ$30,economics!$AK$2:$AK$167,economics!$AJ$2:$AJ$167,TRUE))*economics!$AM$2:$AM$167)+$CR26*(_xlfn.NORM.DIST(BQ$3,$CU26,0.3*$CU26,TRUE)-_xlfn.NORM.DIST(BQ$30,$CU26,0.3*$CU26,TRUE))*summary!$C$7/28.8/0.947817+$CS26*(_xlfn.NORM.DIST(BQ$3,$CV26,0.3*$CV26,TRUE)-_xlfn.NORM.DIST(BQ$30,$CV26,0.3*$CV26,TRUE))*summary!$C$6/28.8/0.947817)/(SUMPRODUCT((economics!$AG$2:$AG$167=$B55)*(economics!$D$2:$D$167="whr")*economics!$AH$2:$AH$167*(_xlfn.NORM.DIST(BQ$3,economics!$AK$2:$AK$167,economics!$AJ$2:$AJ$167,TRUE)-_xlfn.NORM.DIST(BQ$30,economics!$AK$2:$AK$167,economics!$AJ$2:$AJ$167,TRUE)))+$CR26*(_xlfn.NORM.DIST(BQ$3,$CU26,0.3*$CU26,TRUE)-_xlfn.NORM.DIST(BQ$30,$CU26,0.3*$CU26,TRUE))+$CS26*(_xlfn.NORM.DIST(BQ$3,$CV26,0.3*$CV26,TRUE)-_xlfn.NORM.DIST(BQ$30,$CV26,0.3*$CV26,TRUE))),""),IF($C26&gt;0,summary!$C$10/28.8/0.947817,""))</f>
        <v/>
      </c>
      <c r="BR55">
        <f t="array" ref="BR55">IF($D26,IFERROR((SUMPRODUCT((economics!$AG$2:$AG$167=$B55)*(economics!$D$2:$D$167="whr")*economics!$AH$2:$AH$167*(_xlfn.NORM.DIST(BR$3,economics!$AK$2:$AK$167,economics!$AJ$2:$AJ$167,TRUE)-_xlfn.NORM.DIST(BR$30,economics!$AK$2:$AK$167,economics!$AJ$2:$AJ$167,TRUE))*economics!$AM$2:$AM$167)+$CR26*(_xlfn.NORM.DIST(BR$3,$CU26,0.3*$CU26,TRUE)-_xlfn.NORM.DIST(BR$30,$CU26,0.3*$CU26,TRUE))*summary!$C$7/28.8/0.947817+$CS26*(_xlfn.NORM.DIST(BR$3,$CV26,0.3*$CV26,TRUE)-_xlfn.NORM.DIST(BR$30,$CV26,0.3*$CV26,TRUE))*summary!$C$6/28.8/0.947817)/(SUMPRODUCT((economics!$AG$2:$AG$167=$B55)*(economics!$D$2:$D$167="whr")*economics!$AH$2:$AH$167*(_xlfn.NORM.DIST(BR$3,economics!$AK$2:$AK$167,economics!$AJ$2:$AJ$167,TRUE)-_xlfn.NORM.DIST(BR$30,economics!$AK$2:$AK$167,economics!$AJ$2:$AJ$167,TRUE)))+$CR26*(_xlfn.NORM.DIST(BR$3,$CU26,0.3*$CU26,TRUE)-_xlfn.NORM.DIST(BR$30,$CU26,0.3*$CU26,TRUE))+$CS26*(_xlfn.NORM.DIST(BR$3,$CV26,0.3*$CV26,TRUE)-_xlfn.NORM.DIST(BR$30,$CV26,0.3*$CV26,TRUE))),""),IF($C26&gt;0,summary!$C$10/28.8/0.947817,""))</f>
        <v/>
      </c>
      <c r="BS55">
        <f t="array" ref="BS55">IF($D26,IFERROR((SUMPRODUCT((economics!$AG$2:$AG$167=$B55)*(economics!$D$2:$D$167="whr")*economics!$AH$2:$AH$167*(_xlfn.NORM.DIST(BS$3,economics!$AK$2:$AK$167,economics!$AJ$2:$AJ$167,TRUE)-_xlfn.NORM.DIST(BS$30,economics!$AK$2:$AK$167,economics!$AJ$2:$AJ$167,TRUE))*economics!$AM$2:$AM$167)+$CR26*(_xlfn.NORM.DIST(BS$3,$CU26,0.3*$CU26,TRUE)-_xlfn.NORM.DIST(BS$30,$CU26,0.3*$CU26,TRUE))*summary!$C$7/28.8/0.947817+$CS26*(_xlfn.NORM.DIST(BS$3,$CV26,0.3*$CV26,TRUE)-_xlfn.NORM.DIST(BS$30,$CV26,0.3*$CV26,TRUE))*summary!$C$6/28.8/0.947817)/(SUMPRODUCT((economics!$AG$2:$AG$167=$B55)*(economics!$D$2:$D$167="whr")*economics!$AH$2:$AH$167*(_xlfn.NORM.DIST(BS$3,economics!$AK$2:$AK$167,economics!$AJ$2:$AJ$167,TRUE)-_xlfn.NORM.DIST(BS$30,economics!$AK$2:$AK$167,economics!$AJ$2:$AJ$167,TRUE)))+$CR26*(_xlfn.NORM.DIST(BS$3,$CU26,0.3*$CU26,TRUE)-_xlfn.NORM.DIST(BS$30,$CU26,0.3*$CU26,TRUE))+$CS26*(_xlfn.NORM.DIST(BS$3,$CV26,0.3*$CV26,TRUE)-_xlfn.NORM.DIST(BS$30,$CV26,0.3*$CV26,TRUE))),""),IF($C26&gt;0,summary!$C$10/28.8/0.947817,""))</f>
        <v/>
      </c>
      <c r="BT55">
        <f t="array" ref="BT55">IF($D26,IFERROR((SUMPRODUCT((economics!$AG$2:$AG$167=$B55)*(economics!$D$2:$D$167="whr")*economics!$AH$2:$AH$167*(_xlfn.NORM.DIST(BT$3,economics!$AK$2:$AK$167,economics!$AJ$2:$AJ$167,TRUE)-_xlfn.NORM.DIST(BT$30,economics!$AK$2:$AK$167,economics!$AJ$2:$AJ$167,TRUE))*economics!$AM$2:$AM$167)+$CR26*(_xlfn.NORM.DIST(BT$3,$CU26,0.3*$CU26,TRUE)-_xlfn.NORM.DIST(BT$30,$CU26,0.3*$CU26,TRUE))*summary!$C$7/28.8/0.947817+$CS26*(_xlfn.NORM.DIST(BT$3,$CV26,0.3*$CV26,TRUE)-_xlfn.NORM.DIST(BT$30,$CV26,0.3*$CV26,TRUE))*summary!$C$6/28.8/0.947817)/(SUMPRODUCT((economics!$AG$2:$AG$167=$B55)*(economics!$D$2:$D$167="whr")*economics!$AH$2:$AH$167*(_xlfn.NORM.DIST(BT$3,economics!$AK$2:$AK$167,economics!$AJ$2:$AJ$167,TRUE)-_xlfn.NORM.DIST(BT$30,economics!$AK$2:$AK$167,economics!$AJ$2:$AJ$167,TRUE)))+$CR26*(_xlfn.NORM.DIST(BT$3,$CU26,0.3*$CU26,TRUE)-_xlfn.NORM.DIST(BT$30,$CU26,0.3*$CU26,TRUE))+$CS26*(_xlfn.NORM.DIST(BT$3,$CV26,0.3*$CV26,TRUE)-_xlfn.NORM.DIST(BT$30,$CV26,0.3*$CV26,TRUE))),""),IF($C26&gt;0,summary!$C$10/28.8/0.947817,""))</f>
        <v/>
      </c>
      <c r="BU55">
        <f t="array" ref="BU55">IF($D26,IFERROR((SUMPRODUCT((economics!$AG$2:$AG$167=$B55)*(economics!$D$2:$D$167="whr")*economics!$AH$2:$AH$167*(_xlfn.NORM.DIST(BU$3,economics!$AK$2:$AK$167,economics!$AJ$2:$AJ$167,TRUE)-_xlfn.NORM.DIST(BU$30,economics!$AK$2:$AK$167,economics!$AJ$2:$AJ$167,TRUE))*economics!$AM$2:$AM$167)+$CR26*(_xlfn.NORM.DIST(BU$3,$CU26,0.3*$CU26,TRUE)-_xlfn.NORM.DIST(BU$30,$CU26,0.3*$CU26,TRUE))*summary!$C$7/28.8/0.947817+$CS26*(_xlfn.NORM.DIST(BU$3,$CV26,0.3*$CV26,TRUE)-_xlfn.NORM.DIST(BU$30,$CV26,0.3*$CV26,TRUE))*summary!$C$6/28.8/0.947817)/(SUMPRODUCT((economics!$AG$2:$AG$167=$B55)*(economics!$D$2:$D$167="whr")*economics!$AH$2:$AH$167*(_xlfn.NORM.DIST(BU$3,economics!$AK$2:$AK$167,economics!$AJ$2:$AJ$167,TRUE)-_xlfn.NORM.DIST(BU$30,economics!$AK$2:$AK$167,economics!$AJ$2:$AJ$167,TRUE)))+$CR26*(_xlfn.NORM.DIST(BU$3,$CU26,0.3*$CU26,TRUE)-_xlfn.NORM.DIST(BU$30,$CU26,0.3*$CU26,TRUE))+$CS26*(_xlfn.NORM.DIST(BU$3,$CV26,0.3*$CV26,TRUE)-_xlfn.NORM.DIST(BU$30,$CV26,0.3*$CV26,TRUE))),""),IF($C26&gt;0,summary!$C$10/28.8/0.947817,""))</f>
        <v/>
      </c>
      <c r="BV55">
        <f t="array" ref="BV55">IF($D26,IFERROR((SUMPRODUCT((economics!$AG$2:$AG$167=$B55)*(economics!$D$2:$D$167="whr")*economics!$AH$2:$AH$167*(_xlfn.NORM.DIST(BV$3,economics!$AK$2:$AK$167,economics!$AJ$2:$AJ$167,TRUE)-_xlfn.NORM.DIST(BV$30,economics!$AK$2:$AK$167,economics!$AJ$2:$AJ$167,TRUE))*economics!$AM$2:$AM$167)+$CR26*(_xlfn.NORM.DIST(BV$3,$CU26,0.3*$CU26,TRUE)-_xlfn.NORM.DIST(BV$30,$CU26,0.3*$CU26,TRUE))*summary!$C$7/28.8/0.947817+$CS26*(_xlfn.NORM.DIST(BV$3,$CV26,0.3*$CV26,TRUE)-_xlfn.NORM.DIST(BV$30,$CV26,0.3*$CV26,TRUE))*summary!$C$6/28.8/0.947817)/(SUMPRODUCT((economics!$AG$2:$AG$167=$B55)*(economics!$D$2:$D$167="whr")*economics!$AH$2:$AH$167*(_xlfn.NORM.DIST(BV$3,economics!$AK$2:$AK$167,economics!$AJ$2:$AJ$167,TRUE)-_xlfn.NORM.DIST(BV$30,economics!$AK$2:$AK$167,economics!$AJ$2:$AJ$167,TRUE)))+$CR26*(_xlfn.NORM.DIST(BV$3,$CU26,0.3*$CU26,TRUE)-_xlfn.NORM.DIST(BV$30,$CU26,0.3*$CU26,TRUE))+$CS26*(_xlfn.NORM.DIST(BV$3,$CV26,0.3*$CV26,TRUE)-_xlfn.NORM.DIST(BV$30,$CV26,0.3*$CV26,TRUE))),""),IF($C26&gt;0,summary!$C$10/28.8/0.947817,""))</f>
        <v/>
      </c>
      <c r="BW55">
        <f t="array" ref="BW55">IF($D26,IFERROR((SUMPRODUCT((economics!$AG$2:$AG$167=$B55)*(economics!$D$2:$D$167="whr")*economics!$AH$2:$AH$167*(_xlfn.NORM.DIST(BW$3,economics!$AK$2:$AK$167,economics!$AJ$2:$AJ$167,TRUE)-_xlfn.NORM.DIST(BW$30,economics!$AK$2:$AK$167,economics!$AJ$2:$AJ$167,TRUE))*economics!$AM$2:$AM$167)+$CR26*(_xlfn.NORM.DIST(BW$3,$CU26,0.3*$CU26,TRUE)-_xlfn.NORM.DIST(BW$30,$CU26,0.3*$CU26,TRUE))*summary!$C$7/28.8/0.947817+$CS26*(_xlfn.NORM.DIST(BW$3,$CV26,0.3*$CV26,TRUE)-_xlfn.NORM.DIST(BW$30,$CV26,0.3*$CV26,TRUE))*summary!$C$6/28.8/0.947817)/(SUMPRODUCT((economics!$AG$2:$AG$167=$B55)*(economics!$D$2:$D$167="whr")*economics!$AH$2:$AH$167*(_xlfn.NORM.DIST(BW$3,economics!$AK$2:$AK$167,economics!$AJ$2:$AJ$167,TRUE)-_xlfn.NORM.DIST(BW$30,economics!$AK$2:$AK$167,economics!$AJ$2:$AJ$167,TRUE)))+$CR26*(_xlfn.NORM.DIST(BW$3,$CU26,0.3*$CU26,TRUE)-_xlfn.NORM.DIST(BW$30,$CU26,0.3*$CU26,TRUE))+$CS26*(_xlfn.NORM.DIST(BW$3,$CV26,0.3*$CV26,TRUE)-_xlfn.NORM.DIST(BW$30,$CV26,0.3*$CV26,TRUE))),""),IF($C26&gt;0,summary!$C$10/28.8/0.947817,""))</f>
        <v/>
      </c>
      <c r="BX55">
        <f t="array" ref="BX55">IF($D26,IFERROR((SUMPRODUCT((economics!$AG$2:$AG$167=$B55)*(economics!$D$2:$D$167="whr")*economics!$AH$2:$AH$167*(_xlfn.NORM.DIST(BX$3,economics!$AK$2:$AK$167,economics!$AJ$2:$AJ$167,TRUE)-_xlfn.NORM.DIST(BX$30,economics!$AK$2:$AK$167,economics!$AJ$2:$AJ$167,TRUE))*economics!$AM$2:$AM$167)+$CR26*(_xlfn.NORM.DIST(BX$3,$CU26,0.3*$CU26,TRUE)-_xlfn.NORM.DIST(BX$30,$CU26,0.3*$CU26,TRUE))*summary!$C$7/28.8/0.947817+$CS26*(_xlfn.NORM.DIST(BX$3,$CV26,0.3*$CV26,TRUE)-_xlfn.NORM.DIST(BX$30,$CV26,0.3*$CV26,TRUE))*summary!$C$6/28.8/0.947817)/(SUMPRODUCT((economics!$AG$2:$AG$167=$B55)*(economics!$D$2:$D$167="whr")*economics!$AH$2:$AH$167*(_xlfn.NORM.DIST(BX$3,economics!$AK$2:$AK$167,economics!$AJ$2:$AJ$167,TRUE)-_xlfn.NORM.DIST(BX$30,economics!$AK$2:$AK$167,economics!$AJ$2:$AJ$167,TRUE)))+$CR26*(_xlfn.NORM.DIST(BX$3,$CU26,0.3*$CU26,TRUE)-_xlfn.NORM.DIST(BX$30,$CU26,0.3*$CU26,TRUE))+$CS26*(_xlfn.NORM.DIST(BX$3,$CV26,0.3*$CV26,TRUE)-_xlfn.NORM.DIST(BX$30,$CV26,0.3*$CV26,TRUE))),""),IF($C26&gt;0,summary!$C$10/28.8/0.947817,""))</f>
        <v/>
      </c>
      <c r="BY55">
        <f t="array" ref="BY55">IF($D26,IFERROR((SUMPRODUCT((economics!$AG$2:$AG$167=$B55)*(economics!$D$2:$D$167="whr")*economics!$AH$2:$AH$167*(_xlfn.NORM.DIST(BY$3,economics!$AK$2:$AK$167,economics!$AJ$2:$AJ$167,TRUE)-_xlfn.NORM.DIST(BY$30,economics!$AK$2:$AK$167,economics!$AJ$2:$AJ$167,TRUE))*economics!$AM$2:$AM$167)+$CR26*(_xlfn.NORM.DIST(BY$3,$CU26,0.3*$CU26,TRUE)-_xlfn.NORM.DIST(BY$30,$CU26,0.3*$CU26,TRUE))*summary!$C$7/28.8/0.947817+$CS26*(_xlfn.NORM.DIST(BY$3,$CV26,0.3*$CV26,TRUE)-_xlfn.NORM.DIST(BY$30,$CV26,0.3*$CV26,TRUE))*summary!$C$6/28.8/0.947817)/(SUMPRODUCT((economics!$AG$2:$AG$167=$B55)*(economics!$D$2:$D$167="whr")*economics!$AH$2:$AH$167*(_xlfn.NORM.DIST(BY$3,economics!$AK$2:$AK$167,economics!$AJ$2:$AJ$167,TRUE)-_xlfn.NORM.DIST(BY$30,economics!$AK$2:$AK$167,economics!$AJ$2:$AJ$167,TRUE)))+$CR26*(_xlfn.NORM.DIST(BY$3,$CU26,0.3*$CU26,TRUE)-_xlfn.NORM.DIST(BY$30,$CU26,0.3*$CU26,TRUE))+$CS26*(_xlfn.NORM.DIST(BY$3,$CV26,0.3*$CV26,TRUE)-_xlfn.NORM.DIST(BY$30,$CV26,0.3*$CV26,TRUE))),""),IF($C26&gt;0,summary!$C$10/28.8/0.947817,""))</f>
        <v/>
      </c>
      <c r="BZ55">
        <f t="array" ref="BZ55">IF($D26,IFERROR((SUMPRODUCT((economics!$AG$2:$AG$167=$B55)*(economics!$D$2:$D$167="whr")*economics!$AH$2:$AH$167*(_xlfn.NORM.DIST(BZ$3,economics!$AK$2:$AK$167,economics!$AJ$2:$AJ$167,TRUE)-_xlfn.NORM.DIST(BZ$30,economics!$AK$2:$AK$167,economics!$AJ$2:$AJ$167,TRUE))*economics!$AM$2:$AM$167)+$CR26*(_xlfn.NORM.DIST(BZ$3,$CU26,0.3*$CU26,TRUE)-_xlfn.NORM.DIST(BZ$30,$CU26,0.3*$CU26,TRUE))*summary!$C$7/28.8/0.947817+$CS26*(_xlfn.NORM.DIST(BZ$3,$CV26,0.3*$CV26,TRUE)-_xlfn.NORM.DIST(BZ$30,$CV26,0.3*$CV26,TRUE))*summary!$C$6/28.8/0.947817)/(SUMPRODUCT((economics!$AG$2:$AG$167=$B55)*(economics!$D$2:$D$167="whr")*economics!$AH$2:$AH$167*(_xlfn.NORM.DIST(BZ$3,economics!$AK$2:$AK$167,economics!$AJ$2:$AJ$167,TRUE)-_xlfn.NORM.DIST(BZ$30,economics!$AK$2:$AK$167,economics!$AJ$2:$AJ$167,TRUE)))+$CR26*(_xlfn.NORM.DIST(BZ$3,$CU26,0.3*$CU26,TRUE)-_xlfn.NORM.DIST(BZ$30,$CU26,0.3*$CU26,TRUE))+$CS26*(_xlfn.NORM.DIST(BZ$3,$CV26,0.3*$CV26,TRUE)-_xlfn.NORM.DIST(BZ$30,$CV26,0.3*$CV26,TRUE))),""),IF($C26&gt;0,summary!$C$10/28.8/0.947817,""))</f>
        <v/>
      </c>
      <c r="CA55">
        <f t="array" ref="CA55">IF($D26,IFERROR((SUMPRODUCT((economics!$AG$2:$AG$167=$B55)*(economics!$D$2:$D$167="whr")*economics!$AH$2:$AH$167*(_xlfn.NORM.DIST(CA$3,economics!$AK$2:$AK$167,economics!$AJ$2:$AJ$167,TRUE)-_xlfn.NORM.DIST(CA$30,economics!$AK$2:$AK$167,economics!$AJ$2:$AJ$167,TRUE))*economics!$AM$2:$AM$167)+$CR26*(_xlfn.NORM.DIST(CA$3,$CU26,0.3*$CU26,TRUE)-_xlfn.NORM.DIST(CA$30,$CU26,0.3*$CU26,TRUE))*summary!$C$7/28.8/0.947817+$CS26*(_xlfn.NORM.DIST(CA$3,$CV26,0.3*$CV26,TRUE)-_xlfn.NORM.DIST(CA$30,$CV26,0.3*$CV26,TRUE))*summary!$C$6/28.8/0.947817)/(SUMPRODUCT((economics!$AG$2:$AG$167=$B55)*(economics!$D$2:$D$167="whr")*economics!$AH$2:$AH$167*(_xlfn.NORM.DIST(CA$3,economics!$AK$2:$AK$167,economics!$AJ$2:$AJ$167,TRUE)-_xlfn.NORM.DIST(CA$30,economics!$AK$2:$AK$167,economics!$AJ$2:$AJ$167,TRUE)))+$CR26*(_xlfn.NORM.DIST(CA$3,$CU26,0.3*$CU26,TRUE)-_xlfn.NORM.DIST(CA$30,$CU26,0.3*$CU26,TRUE))+$CS26*(_xlfn.NORM.DIST(CA$3,$CV26,0.3*$CV26,TRUE)-_xlfn.NORM.DIST(CA$30,$CV26,0.3*$CV26,TRUE))),""),IF($C26&gt;0,summary!$C$10/28.8/0.947817,""))</f>
        <v/>
      </c>
      <c r="CB55">
        <f t="array" ref="CB55">IF($D26,IFERROR((SUMPRODUCT((economics!$AG$2:$AG$167=$B55)*(economics!$D$2:$D$167="whr")*economics!$AH$2:$AH$167*(_xlfn.NORM.DIST(CB$3,economics!$AK$2:$AK$167,economics!$AJ$2:$AJ$167,TRUE)-_xlfn.NORM.DIST(CB$30,economics!$AK$2:$AK$167,economics!$AJ$2:$AJ$167,TRUE))*economics!$AM$2:$AM$167)+$CR26*(_xlfn.NORM.DIST(CB$3,$CU26,0.3*$CU26,TRUE)-_xlfn.NORM.DIST(CB$30,$CU26,0.3*$CU26,TRUE))*summary!$C$7/28.8/0.947817+$CS26*(_xlfn.NORM.DIST(CB$3,$CV26,0.3*$CV26,TRUE)-_xlfn.NORM.DIST(CB$30,$CV26,0.3*$CV26,TRUE))*summary!$C$6/28.8/0.947817)/(SUMPRODUCT((economics!$AG$2:$AG$167=$B55)*(economics!$D$2:$D$167="whr")*economics!$AH$2:$AH$167*(_xlfn.NORM.DIST(CB$3,economics!$AK$2:$AK$167,economics!$AJ$2:$AJ$167,TRUE)-_xlfn.NORM.DIST(CB$30,economics!$AK$2:$AK$167,economics!$AJ$2:$AJ$167,TRUE)))+$CR26*(_xlfn.NORM.DIST(CB$3,$CU26,0.3*$CU26,TRUE)-_xlfn.NORM.DIST(CB$30,$CU26,0.3*$CU26,TRUE))+$CS26*(_xlfn.NORM.DIST(CB$3,$CV26,0.3*$CV26,TRUE)-_xlfn.NORM.DIST(CB$30,$CV26,0.3*$CV26,TRUE))),""),IF($C26&gt;0,summary!$C$10/28.8/0.947817,""))</f>
        <v/>
      </c>
      <c r="CC55">
        <f t="array" ref="CC55">IF($D26,IFERROR((SUMPRODUCT((economics!$AG$2:$AG$167=$B55)*(economics!$D$2:$D$167="whr")*economics!$AH$2:$AH$167*(_xlfn.NORM.DIST(CC$3,economics!$AK$2:$AK$167,economics!$AJ$2:$AJ$167,TRUE)-_xlfn.NORM.DIST(CC$30,economics!$AK$2:$AK$167,economics!$AJ$2:$AJ$167,TRUE))*economics!$AM$2:$AM$167)+$CR26*(_xlfn.NORM.DIST(CC$3,$CU26,0.3*$CU26,TRUE)-_xlfn.NORM.DIST(CC$30,$CU26,0.3*$CU26,TRUE))*summary!$C$7/28.8/0.947817+$CS26*(_xlfn.NORM.DIST(CC$3,$CV26,0.3*$CV26,TRUE)-_xlfn.NORM.DIST(CC$30,$CV26,0.3*$CV26,TRUE))*summary!$C$6/28.8/0.947817)/(SUMPRODUCT((economics!$AG$2:$AG$167=$B55)*(economics!$D$2:$D$167="whr")*economics!$AH$2:$AH$167*(_xlfn.NORM.DIST(CC$3,economics!$AK$2:$AK$167,economics!$AJ$2:$AJ$167,TRUE)-_xlfn.NORM.DIST(CC$30,economics!$AK$2:$AK$167,economics!$AJ$2:$AJ$167,TRUE)))+$CR26*(_xlfn.NORM.DIST(CC$3,$CU26,0.3*$CU26,TRUE)-_xlfn.NORM.DIST(CC$30,$CU26,0.3*$CU26,TRUE))+$CS26*(_xlfn.NORM.DIST(CC$3,$CV26,0.3*$CV26,TRUE)-_xlfn.NORM.DIST(CC$30,$CV26,0.3*$CV26,TRUE))),""),IF($C26&gt;0,summary!$C$10/28.8/0.947817,""))</f>
        <v/>
      </c>
      <c r="CD55">
        <f t="array" ref="CD55">IF($D26,IFERROR((SUMPRODUCT((economics!$AG$2:$AG$167=$B55)*(economics!$D$2:$D$167="whr")*economics!$AH$2:$AH$167*(_xlfn.NORM.DIST(CD$3,economics!$AK$2:$AK$167,economics!$AJ$2:$AJ$167,TRUE)-_xlfn.NORM.DIST(CD$30,economics!$AK$2:$AK$167,economics!$AJ$2:$AJ$167,TRUE))*economics!$AM$2:$AM$167)+$CR26*(_xlfn.NORM.DIST(CD$3,$CU26,0.3*$CU26,TRUE)-_xlfn.NORM.DIST(CD$30,$CU26,0.3*$CU26,TRUE))*summary!$C$7/28.8/0.947817+$CS26*(_xlfn.NORM.DIST(CD$3,$CV26,0.3*$CV26,TRUE)-_xlfn.NORM.DIST(CD$30,$CV26,0.3*$CV26,TRUE))*summary!$C$6/28.8/0.947817)/(SUMPRODUCT((economics!$AG$2:$AG$167=$B55)*(economics!$D$2:$D$167="whr")*economics!$AH$2:$AH$167*(_xlfn.NORM.DIST(CD$3,economics!$AK$2:$AK$167,economics!$AJ$2:$AJ$167,TRUE)-_xlfn.NORM.DIST(CD$30,economics!$AK$2:$AK$167,economics!$AJ$2:$AJ$167,TRUE)))+$CR26*(_xlfn.NORM.DIST(CD$3,$CU26,0.3*$CU26,TRUE)-_xlfn.NORM.DIST(CD$30,$CU26,0.3*$CU26,TRUE))+$CS26*(_xlfn.NORM.DIST(CD$3,$CV26,0.3*$CV26,TRUE)-_xlfn.NORM.DIST(CD$30,$CV26,0.3*$CV26,TRUE))),""),IF($C26&gt;0,summary!$C$10/28.8/0.947817,""))</f>
        <v/>
      </c>
      <c r="CE55">
        <f t="array" ref="CE55">IF($D26,IFERROR((SUMPRODUCT((economics!$AG$2:$AG$167=$B55)*(economics!$D$2:$D$167="whr")*economics!$AH$2:$AH$167*(_xlfn.NORM.DIST(CE$3,economics!$AK$2:$AK$167,economics!$AJ$2:$AJ$167,TRUE)-_xlfn.NORM.DIST(CE$30,economics!$AK$2:$AK$167,economics!$AJ$2:$AJ$167,TRUE))*economics!$AM$2:$AM$167)+$CR26*(_xlfn.NORM.DIST(CE$3,$CU26,0.3*$CU26,TRUE)-_xlfn.NORM.DIST(CE$30,$CU26,0.3*$CU26,TRUE))*summary!$C$7/28.8/0.947817+$CS26*(_xlfn.NORM.DIST(CE$3,$CV26,0.3*$CV26,TRUE)-_xlfn.NORM.DIST(CE$30,$CV26,0.3*$CV26,TRUE))*summary!$C$6/28.8/0.947817)/(SUMPRODUCT((economics!$AG$2:$AG$167=$B55)*(economics!$D$2:$D$167="whr")*economics!$AH$2:$AH$167*(_xlfn.NORM.DIST(CE$3,economics!$AK$2:$AK$167,economics!$AJ$2:$AJ$167,TRUE)-_xlfn.NORM.DIST(CE$30,economics!$AK$2:$AK$167,economics!$AJ$2:$AJ$167,TRUE)))+$CR26*(_xlfn.NORM.DIST(CE$3,$CU26,0.3*$CU26,TRUE)-_xlfn.NORM.DIST(CE$30,$CU26,0.3*$CU26,TRUE))+$CS26*(_xlfn.NORM.DIST(CE$3,$CV26,0.3*$CV26,TRUE)-_xlfn.NORM.DIST(CE$30,$CV26,0.3*$CV26,TRUE))),""),IF($C26&gt;0,summary!$C$10/28.8/0.947817,""))</f>
        <v/>
      </c>
      <c r="CF55">
        <f t="array" ref="CF55">IF($D26,IFERROR((SUMPRODUCT((economics!$AG$2:$AG$167=$B55)*(economics!$D$2:$D$167="whr")*economics!$AH$2:$AH$167*(_xlfn.NORM.DIST(CF$3,economics!$AK$2:$AK$167,economics!$AJ$2:$AJ$167,TRUE)-_xlfn.NORM.DIST(CF$30,economics!$AK$2:$AK$167,economics!$AJ$2:$AJ$167,TRUE))*economics!$AM$2:$AM$167)+$CR26*(_xlfn.NORM.DIST(CF$3,$CU26,0.3*$CU26,TRUE)-_xlfn.NORM.DIST(CF$30,$CU26,0.3*$CU26,TRUE))*summary!$C$7/28.8/0.947817+$CS26*(_xlfn.NORM.DIST(CF$3,$CV26,0.3*$CV26,TRUE)-_xlfn.NORM.DIST(CF$30,$CV26,0.3*$CV26,TRUE))*summary!$C$6/28.8/0.947817)/(SUMPRODUCT((economics!$AG$2:$AG$167=$B55)*(economics!$D$2:$D$167="whr")*economics!$AH$2:$AH$167*(_xlfn.NORM.DIST(CF$3,economics!$AK$2:$AK$167,economics!$AJ$2:$AJ$167,TRUE)-_xlfn.NORM.DIST(CF$30,economics!$AK$2:$AK$167,economics!$AJ$2:$AJ$167,TRUE)))+$CR26*(_xlfn.NORM.DIST(CF$3,$CU26,0.3*$CU26,TRUE)-_xlfn.NORM.DIST(CF$30,$CU26,0.3*$CU26,TRUE))+$CS26*(_xlfn.NORM.DIST(CF$3,$CV26,0.3*$CV26,TRUE)-_xlfn.NORM.DIST(CF$30,$CV26,0.3*$CV26,TRUE))),""),IF($C26&gt;0,summary!$C$10/28.8/0.947817,""))</f>
        <v/>
      </c>
      <c r="CG55">
        <f t="array" ref="CG55">IF($D26,IFERROR((SUMPRODUCT((economics!$AG$2:$AG$167=$B55)*(economics!$D$2:$D$167="whr")*economics!$AH$2:$AH$167*(_xlfn.NORM.DIST(CG$3,economics!$AK$2:$AK$167,economics!$AJ$2:$AJ$167,TRUE)-_xlfn.NORM.DIST(CG$30,economics!$AK$2:$AK$167,economics!$AJ$2:$AJ$167,TRUE))*economics!$AM$2:$AM$167)+$CR26*(_xlfn.NORM.DIST(CG$3,$CU26,0.3*$CU26,TRUE)-_xlfn.NORM.DIST(CG$30,$CU26,0.3*$CU26,TRUE))*summary!$C$7/28.8/0.947817+$CS26*(_xlfn.NORM.DIST(CG$3,$CV26,0.3*$CV26,TRUE)-_xlfn.NORM.DIST(CG$30,$CV26,0.3*$CV26,TRUE))*summary!$C$6/28.8/0.947817)/(SUMPRODUCT((economics!$AG$2:$AG$167=$B55)*(economics!$D$2:$D$167="whr")*economics!$AH$2:$AH$167*(_xlfn.NORM.DIST(CG$3,economics!$AK$2:$AK$167,economics!$AJ$2:$AJ$167,TRUE)-_xlfn.NORM.DIST(CG$30,economics!$AK$2:$AK$167,economics!$AJ$2:$AJ$167,TRUE)))+$CR26*(_xlfn.NORM.DIST(CG$3,$CU26,0.3*$CU26,TRUE)-_xlfn.NORM.DIST(CG$30,$CU26,0.3*$CU26,TRUE))+$CS26*(_xlfn.NORM.DIST(CG$3,$CV26,0.3*$CV26,TRUE)-_xlfn.NORM.DIST(CG$30,$CV26,0.3*$CV26,TRUE))),""),IF($C26&gt;0,summary!$C$10/28.8/0.947817,""))</f>
        <v/>
      </c>
      <c r="CH55">
        <f t="array" ref="CH55">IF($D26,IFERROR((SUMPRODUCT((economics!$AG$2:$AG$167=$B55)*(economics!$D$2:$D$167="whr")*economics!$AH$2:$AH$167*(_xlfn.NORM.DIST(CH$3,economics!$AK$2:$AK$167,economics!$AJ$2:$AJ$167,TRUE)-_xlfn.NORM.DIST(CH$30,economics!$AK$2:$AK$167,economics!$AJ$2:$AJ$167,TRUE))*economics!$AM$2:$AM$167)+$CR26*(_xlfn.NORM.DIST(CH$3,$CU26,0.3*$CU26,TRUE)-_xlfn.NORM.DIST(CH$30,$CU26,0.3*$CU26,TRUE))*summary!$C$7/28.8/0.947817+$CS26*(_xlfn.NORM.DIST(CH$3,$CV26,0.3*$CV26,TRUE)-_xlfn.NORM.DIST(CH$30,$CV26,0.3*$CV26,TRUE))*summary!$C$6/28.8/0.947817)/(SUMPRODUCT((economics!$AG$2:$AG$167=$B55)*(economics!$D$2:$D$167="whr")*economics!$AH$2:$AH$167*(_xlfn.NORM.DIST(CH$3,economics!$AK$2:$AK$167,economics!$AJ$2:$AJ$167,TRUE)-_xlfn.NORM.DIST(CH$30,economics!$AK$2:$AK$167,economics!$AJ$2:$AJ$167,TRUE)))+$CR26*(_xlfn.NORM.DIST(CH$3,$CU26,0.3*$CU26,TRUE)-_xlfn.NORM.DIST(CH$30,$CU26,0.3*$CU26,TRUE))+$CS26*(_xlfn.NORM.DIST(CH$3,$CV26,0.3*$CV26,TRUE)-_xlfn.NORM.DIST(CH$30,$CV26,0.3*$CV26,TRUE))),""),IF($C26&gt;0,summary!$C$10/28.8/0.947817,""))</f>
        <v/>
      </c>
    </row>
    <row r="56">
      <c r="A56">
        <f>A27</f>
        <v/>
      </c>
      <c r="B56">
        <f>B27</f>
        <v/>
      </c>
      <c r="E56">
        <f t="array" ref="E56">IF($D27,IFERROR((SUMPRODUCT((economics!$AG$2:$AG$167=$B56)*(economics!$D$2:$D$167="whr")*economics!$AH$2:$AH$167*(_xlfn.NORM.DIST(E$3,economics!$AK$2:$AK$167,economics!$AJ$2:$AJ$167,TRUE)-_xlfn.NORM.DIST(E$30,economics!$AK$2:$AK$167,economics!$AJ$2:$AJ$167,TRUE))*economics!$AM$2:$AM$167)+$CR27*(_xlfn.NORM.DIST(E$3,$CU27,0.3*$CU27,TRUE)-_xlfn.NORM.DIST(E$30,$CU27,0.3*$CU27,TRUE))*summary!$C$7/28.8/0.947817+$CS27*(_xlfn.NORM.DIST(E$3,$CV27,0.3*$CV27,TRUE)-_xlfn.NORM.DIST(E$30,$CV27,0.3*$CV27,TRUE))*summary!$C$6/28.8/0.947817)/(SUMPRODUCT((economics!$AG$2:$AG$167=$B56)*(economics!$D$2:$D$167="whr")*economics!$AH$2:$AH$167*(_xlfn.NORM.DIST(E$3,economics!$AK$2:$AK$167,economics!$AJ$2:$AJ$167,TRUE)-_xlfn.NORM.DIST(E$30,economics!$AK$2:$AK$167,economics!$AJ$2:$AJ$167,TRUE)))+$CR27*(_xlfn.NORM.DIST(E$3,$CU27,0.3*$CU27,TRUE)-_xlfn.NORM.DIST(E$30,$CU27,0.3*$CU27,TRUE))+$CS27*(_xlfn.NORM.DIST(E$3,$CV27,0.3*$CV27,TRUE)-_xlfn.NORM.DIST(E$30,$CV27,0.3*$CV27,TRUE))),""),IF($C27&gt;0,summary!$C$10/28.8/0.947817,""))</f>
        <v/>
      </c>
      <c r="F56">
        <f t="array" ref="F56">IF($D27,IFERROR((SUMPRODUCT((economics!$AG$2:$AG$167=$B56)*(economics!$D$2:$D$167="whr")*economics!$AH$2:$AH$167*(_xlfn.NORM.DIST(F$3,economics!$AK$2:$AK$167,economics!$AJ$2:$AJ$167,TRUE)-_xlfn.NORM.DIST(F$30,economics!$AK$2:$AK$167,economics!$AJ$2:$AJ$167,TRUE))*economics!$AM$2:$AM$167)+$CR27*(_xlfn.NORM.DIST(F$3,$CU27,0.3*$CU27,TRUE)-_xlfn.NORM.DIST(F$30,$CU27,0.3*$CU27,TRUE))*summary!$C$7/28.8/0.947817+$CS27*(_xlfn.NORM.DIST(F$3,$CV27,0.3*$CV27,TRUE)-_xlfn.NORM.DIST(F$30,$CV27,0.3*$CV27,TRUE))*summary!$C$6/28.8/0.947817)/(SUMPRODUCT((economics!$AG$2:$AG$167=$B56)*(economics!$D$2:$D$167="whr")*economics!$AH$2:$AH$167*(_xlfn.NORM.DIST(F$3,economics!$AK$2:$AK$167,economics!$AJ$2:$AJ$167,TRUE)-_xlfn.NORM.DIST(F$30,economics!$AK$2:$AK$167,economics!$AJ$2:$AJ$167,TRUE)))+$CR27*(_xlfn.NORM.DIST(F$3,$CU27,0.3*$CU27,TRUE)-_xlfn.NORM.DIST(F$30,$CU27,0.3*$CU27,TRUE))+$CS27*(_xlfn.NORM.DIST(F$3,$CV27,0.3*$CV27,TRUE)-_xlfn.NORM.DIST(F$30,$CV27,0.3*$CV27,TRUE))),""),IF($C27&gt;0,summary!$C$10/28.8/0.947817,""))</f>
        <v/>
      </c>
      <c r="G56">
        <f t="array" ref="G56">IF($D27,IFERROR((SUMPRODUCT((economics!$AG$2:$AG$167=$B56)*(economics!$D$2:$D$167="whr")*economics!$AH$2:$AH$167*(_xlfn.NORM.DIST(G$3,economics!$AK$2:$AK$167,economics!$AJ$2:$AJ$167,TRUE)-_xlfn.NORM.DIST(G$30,economics!$AK$2:$AK$167,economics!$AJ$2:$AJ$167,TRUE))*economics!$AM$2:$AM$167)+$CR27*(_xlfn.NORM.DIST(G$3,$CU27,0.3*$CU27,TRUE)-_xlfn.NORM.DIST(G$30,$CU27,0.3*$CU27,TRUE))*summary!$C$7/28.8/0.947817+$CS27*(_xlfn.NORM.DIST(G$3,$CV27,0.3*$CV27,TRUE)-_xlfn.NORM.DIST(G$30,$CV27,0.3*$CV27,TRUE))*summary!$C$6/28.8/0.947817)/(SUMPRODUCT((economics!$AG$2:$AG$167=$B56)*(economics!$D$2:$D$167="whr")*economics!$AH$2:$AH$167*(_xlfn.NORM.DIST(G$3,economics!$AK$2:$AK$167,economics!$AJ$2:$AJ$167,TRUE)-_xlfn.NORM.DIST(G$30,economics!$AK$2:$AK$167,economics!$AJ$2:$AJ$167,TRUE)))+$CR27*(_xlfn.NORM.DIST(G$3,$CU27,0.3*$CU27,TRUE)-_xlfn.NORM.DIST(G$30,$CU27,0.3*$CU27,TRUE))+$CS27*(_xlfn.NORM.DIST(G$3,$CV27,0.3*$CV27,TRUE)-_xlfn.NORM.DIST(G$30,$CV27,0.3*$CV27,TRUE))),""),IF($C27&gt;0,summary!$C$10/28.8/0.947817,""))</f>
        <v/>
      </c>
      <c r="H56">
        <f t="array" ref="H56">IF($D27,IFERROR((SUMPRODUCT((economics!$AG$2:$AG$167=$B56)*(economics!$D$2:$D$167="whr")*economics!$AH$2:$AH$167*(_xlfn.NORM.DIST(H$3,economics!$AK$2:$AK$167,economics!$AJ$2:$AJ$167,TRUE)-_xlfn.NORM.DIST(H$30,economics!$AK$2:$AK$167,economics!$AJ$2:$AJ$167,TRUE))*economics!$AM$2:$AM$167)+$CR27*(_xlfn.NORM.DIST(H$3,$CU27,0.3*$CU27,TRUE)-_xlfn.NORM.DIST(H$30,$CU27,0.3*$CU27,TRUE))*summary!$C$7/28.8/0.947817+$CS27*(_xlfn.NORM.DIST(H$3,$CV27,0.3*$CV27,TRUE)-_xlfn.NORM.DIST(H$30,$CV27,0.3*$CV27,TRUE))*summary!$C$6/28.8/0.947817)/(SUMPRODUCT((economics!$AG$2:$AG$167=$B56)*(economics!$D$2:$D$167="whr")*economics!$AH$2:$AH$167*(_xlfn.NORM.DIST(H$3,economics!$AK$2:$AK$167,economics!$AJ$2:$AJ$167,TRUE)-_xlfn.NORM.DIST(H$30,economics!$AK$2:$AK$167,economics!$AJ$2:$AJ$167,TRUE)))+$CR27*(_xlfn.NORM.DIST(H$3,$CU27,0.3*$CU27,TRUE)-_xlfn.NORM.DIST(H$30,$CU27,0.3*$CU27,TRUE))+$CS27*(_xlfn.NORM.DIST(H$3,$CV27,0.3*$CV27,TRUE)-_xlfn.NORM.DIST(H$30,$CV27,0.3*$CV27,TRUE))),""),IF($C27&gt;0,summary!$C$10/28.8/0.947817,""))</f>
        <v/>
      </c>
      <c r="I56">
        <f t="array" ref="I56">IF($D27,IFERROR((SUMPRODUCT((economics!$AG$2:$AG$167=$B56)*(economics!$D$2:$D$167="whr")*economics!$AH$2:$AH$167*(_xlfn.NORM.DIST(I$3,economics!$AK$2:$AK$167,economics!$AJ$2:$AJ$167,TRUE)-_xlfn.NORM.DIST(I$30,economics!$AK$2:$AK$167,economics!$AJ$2:$AJ$167,TRUE))*economics!$AM$2:$AM$167)+$CR27*(_xlfn.NORM.DIST(I$3,$CU27,0.3*$CU27,TRUE)-_xlfn.NORM.DIST(I$30,$CU27,0.3*$CU27,TRUE))*summary!$C$7/28.8/0.947817+$CS27*(_xlfn.NORM.DIST(I$3,$CV27,0.3*$CV27,TRUE)-_xlfn.NORM.DIST(I$30,$CV27,0.3*$CV27,TRUE))*summary!$C$6/28.8/0.947817)/(SUMPRODUCT((economics!$AG$2:$AG$167=$B56)*(economics!$D$2:$D$167="whr")*economics!$AH$2:$AH$167*(_xlfn.NORM.DIST(I$3,economics!$AK$2:$AK$167,economics!$AJ$2:$AJ$167,TRUE)-_xlfn.NORM.DIST(I$30,economics!$AK$2:$AK$167,economics!$AJ$2:$AJ$167,TRUE)))+$CR27*(_xlfn.NORM.DIST(I$3,$CU27,0.3*$CU27,TRUE)-_xlfn.NORM.DIST(I$30,$CU27,0.3*$CU27,TRUE))+$CS27*(_xlfn.NORM.DIST(I$3,$CV27,0.3*$CV27,TRUE)-_xlfn.NORM.DIST(I$30,$CV27,0.3*$CV27,TRUE))),""),IF($C27&gt;0,summary!$C$10/28.8/0.947817,""))</f>
        <v/>
      </c>
      <c r="J56">
        <f t="array" ref="J56">IF($D27,IFERROR((SUMPRODUCT((economics!$AG$2:$AG$167=$B56)*(economics!$D$2:$D$167="whr")*economics!$AH$2:$AH$167*(_xlfn.NORM.DIST(J$3,economics!$AK$2:$AK$167,economics!$AJ$2:$AJ$167,TRUE)-_xlfn.NORM.DIST(J$30,economics!$AK$2:$AK$167,economics!$AJ$2:$AJ$167,TRUE))*economics!$AM$2:$AM$167)+$CR27*(_xlfn.NORM.DIST(J$3,$CU27,0.3*$CU27,TRUE)-_xlfn.NORM.DIST(J$30,$CU27,0.3*$CU27,TRUE))*summary!$C$7/28.8/0.947817+$CS27*(_xlfn.NORM.DIST(J$3,$CV27,0.3*$CV27,TRUE)-_xlfn.NORM.DIST(J$30,$CV27,0.3*$CV27,TRUE))*summary!$C$6/28.8/0.947817)/(SUMPRODUCT((economics!$AG$2:$AG$167=$B56)*(economics!$D$2:$D$167="whr")*economics!$AH$2:$AH$167*(_xlfn.NORM.DIST(J$3,economics!$AK$2:$AK$167,economics!$AJ$2:$AJ$167,TRUE)-_xlfn.NORM.DIST(J$30,economics!$AK$2:$AK$167,economics!$AJ$2:$AJ$167,TRUE)))+$CR27*(_xlfn.NORM.DIST(J$3,$CU27,0.3*$CU27,TRUE)-_xlfn.NORM.DIST(J$30,$CU27,0.3*$CU27,TRUE))+$CS27*(_xlfn.NORM.DIST(J$3,$CV27,0.3*$CV27,TRUE)-_xlfn.NORM.DIST(J$30,$CV27,0.3*$CV27,TRUE))),""),IF($C27&gt;0,summary!$C$10/28.8/0.947817,""))</f>
        <v/>
      </c>
      <c r="K56">
        <f t="array" ref="K56">IF($D27,IFERROR((SUMPRODUCT((economics!$AG$2:$AG$167=$B56)*(economics!$D$2:$D$167="whr")*economics!$AH$2:$AH$167*(_xlfn.NORM.DIST(K$3,economics!$AK$2:$AK$167,economics!$AJ$2:$AJ$167,TRUE)-_xlfn.NORM.DIST(K$30,economics!$AK$2:$AK$167,economics!$AJ$2:$AJ$167,TRUE))*economics!$AM$2:$AM$167)+$CR27*(_xlfn.NORM.DIST(K$3,$CU27,0.3*$CU27,TRUE)-_xlfn.NORM.DIST(K$30,$CU27,0.3*$CU27,TRUE))*summary!$C$7/28.8/0.947817+$CS27*(_xlfn.NORM.DIST(K$3,$CV27,0.3*$CV27,TRUE)-_xlfn.NORM.DIST(K$30,$CV27,0.3*$CV27,TRUE))*summary!$C$6/28.8/0.947817)/(SUMPRODUCT((economics!$AG$2:$AG$167=$B56)*(economics!$D$2:$D$167="whr")*economics!$AH$2:$AH$167*(_xlfn.NORM.DIST(K$3,economics!$AK$2:$AK$167,economics!$AJ$2:$AJ$167,TRUE)-_xlfn.NORM.DIST(K$30,economics!$AK$2:$AK$167,economics!$AJ$2:$AJ$167,TRUE)))+$CR27*(_xlfn.NORM.DIST(K$3,$CU27,0.3*$CU27,TRUE)-_xlfn.NORM.DIST(K$30,$CU27,0.3*$CU27,TRUE))+$CS27*(_xlfn.NORM.DIST(K$3,$CV27,0.3*$CV27,TRUE)-_xlfn.NORM.DIST(K$30,$CV27,0.3*$CV27,TRUE))),""),IF($C27&gt;0,summary!$C$10/28.8/0.947817,""))</f>
        <v/>
      </c>
      <c r="L56">
        <f t="array" ref="L56">IF($D27,IFERROR((SUMPRODUCT((economics!$AG$2:$AG$167=$B56)*(economics!$D$2:$D$167="whr")*economics!$AH$2:$AH$167*(_xlfn.NORM.DIST(L$3,economics!$AK$2:$AK$167,economics!$AJ$2:$AJ$167,TRUE)-_xlfn.NORM.DIST(L$30,economics!$AK$2:$AK$167,economics!$AJ$2:$AJ$167,TRUE))*economics!$AM$2:$AM$167)+$CR27*(_xlfn.NORM.DIST(L$3,$CU27,0.3*$CU27,TRUE)-_xlfn.NORM.DIST(L$30,$CU27,0.3*$CU27,TRUE))*summary!$C$7/28.8/0.947817+$CS27*(_xlfn.NORM.DIST(L$3,$CV27,0.3*$CV27,TRUE)-_xlfn.NORM.DIST(L$30,$CV27,0.3*$CV27,TRUE))*summary!$C$6/28.8/0.947817)/(SUMPRODUCT((economics!$AG$2:$AG$167=$B56)*(economics!$D$2:$D$167="whr")*economics!$AH$2:$AH$167*(_xlfn.NORM.DIST(L$3,economics!$AK$2:$AK$167,economics!$AJ$2:$AJ$167,TRUE)-_xlfn.NORM.DIST(L$30,economics!$AK$2:$AK$167,economics!$AJ$2:$AJ$167,TRUE)))+$CR27*(_xlfn.NORM.DIST(L$3,$CU27,0.3*$CU27,TRUE)-_xlfn.NORM.DIST(L$30,$CU27,0.3*$CU27,TRUE))+$CS27*(_xlfn.NORM.DIST(L$3,$CV27,0.3*$CV27,TRUE)-_xlfn.NORM.DIST(L$30,$CV27,0.3*$CV27,TRUE))),""),IF($C27&gt;0,summary!$C$10/28.8/0.947817,""))</f>
        <v/>
      </c>
      <c r="M56">
        <f t="array" ref="M56">IF($D27,IFERROR((SUMPRODUCT((economics!$AG$2:$AG$167=$B56)*(economics!$D$2:$D$167="whr")*economics!$AH$2:$AH$167*(_xlfn.NORM.DIST(M$3,economics!$AK$2:$AK$167,economics!$AJ$2:$AJ$167,TRUE)-_xlfn.NORM.DIST(M$30,economics!$AK$2:$AK$167,economics!$AJ$2:$AJ$167,TRUE))*economics!$AM$2:$AM$167)+$CR27*(_xlfn.NORM.DIST(M$3,$CU27,0.3*$CU27,TRUE)-_xlfn.NORM.DIST(M$30,$CU27,0.3*$CU27,TRUE))*summary!$C$7/28.8/0.947817+$CS27*(_xlfn.NORM.DIST(M$3,$CV27,0.3*$CV27,TRUE)-_xlfn.NORM.DIST(M$30,$CV27,0.3*$CV27,TRUE))*summary!$C$6/28.8/0.947817)/(SUMPRODUCT((economics!$AG$2:$AG$167=$B56)*(economics!$D$2:$D$167="whr")*economics!$AH$2:$AH$167*(_xlfn.NORM.DIST(M$3,economics!$AK$2:$AK$167,economics!$AJ$2:$AJ$167,TRUE)-_xlfn.NORM.DIST(M$30,economics!$AK$2:$AK$167,economics!$AJ$2:$AJ$167,TRUE)))+$CR27*(_xlfn.NORM.DIST(M$3,$CU27,0.3*$CU27,TRUE)-_xlfn.NORM.DIST(M$30,$CU27,0.3*$CU27,TRUE))+$CS27*(_xlfn.NORM.DIST(M$3,$CV27,0.3*$CV27,TRUE)-_xlfn.NORM.DIST(M$30,$CV27,0.3*$CV27,TRUE))),""),IF($C27&gt;0,summary!$C$10/28.8/0.947817,""))</f>
        <v/>
      </c>
      <c r="N56">
        <f t="array" ref="N56">IF($D27,IFERROR((SUMPRODUCT((economics!$AG$2:$AG$167=$B56)*(economics!$D$2:$D$167="whr")*economics!$AH$2:$AH$167*(_xlfn.NORM.DIST(N$3,economics!$AK$2:$AK$167,economics!$AJ$2:$AJ$167,TRUE)-_xlfn.NORM.DIST(N$30,economics!$AK$2:$AK$167,economics!$AJ$2:$AJ$167,TRUE))*economics!$AM$2:$AM$167)+$CR27*(_xlfn.NORM.DIST(N$3,$CU27,0.3*$CU27,TRUE)-_xlfn.NORM.DIST(N$30,$CU27,0.3*$CU27,TRUE))*summary!$C$7/28.8/0.947817+$CS27*(_xlfn.NORM.DIST(N$3,$CV27,0.3*$CV27,TRUE)-_xlfn.NORM.DIST(N$30,$CV27,0.3*$CV27,TRUE))*summary!$C$6/28.8/0.947817)/(SUMPRODUCT((economics!$AG$2:$AG$167=$B56)*(economics!$D$2:$D$167="whr")*economics!$AH$2:$AH$167*(_xlfn.NORM.DIST(N$3,economics!$AK$2:$AK$167,economics!$AJ$2:$AJ$167,TRUE)-_xlfn.NORM.DIST(N$30,economics!$AK$2:$AK$167,economics!$AJ$2:$AJ$167,TRUE)))+$CR27*(_xlfn.NORM.DIST(N$3,$CU27,0.3*$CU27,TRUE)-_xlfn.NORM.DIST(N$30,$CU27,0.3*$CU27,TRUE))+$CS27*(_xlfn.NORM.DIST(N$3,$CV27,0.3*$CV27,TRUE)-_xlfn.NORM.DIST(N$30,$CV27,0.3*$CV27,TRUE))),""),IF($C27&gt;0,summary!$C$10/28.8/0.947817,""))</f>
        <v/>
      </c>
      <c r="O56">
        <f t="array" ref="O56">IF($D27,IFERROR((SUMPRODUCT((economics!$AG$2:$AG$167=$B56)*(economics!$D$2:$D$167="whr")*economics!$AH$2:$AH$167*(_xlfn.NORM.DIST(O$3,economics!$AK$2:$AK$167,economics!$AJ$2:$AJ$167,TRUE)-_xlfn.NORM.DIST(O$30,economics!$AK$2:$AK$167,economics!$AJ$2:$AJ$167,TRUE))*economics!$AM$2:$AM$167)+$CR27*(_xlfn.NORM.DIST(O$3,$CU27,0.3*$CU27,TRUE)-_xlfn.NORM.DIST(O$30,$CU27,0.3*$CU27,TRUE))*summary!$C$7/28.8/0.947817+$CS27*(_xlfn.NORM.DIST(O$3,$CV27,0.3*$CV27,TRUE)-_xlfn.NORM.DIST(O$30,$CV27,0.3*$CV27,TRUE))*summary!$C$6/28.8/0.947817)/(SUMPRODUCT((economics!$AG$2:$AG$167=$B56)*(economics!$D$2:$D$167="whr")*economics!$AH$2:$AH$167*(_xlfn.NORM.DIST(O$3,economics!$AK$2:$AK$167,economics!$AJ$2:$AJ$167,TRUE)-_xlfn.NORM.DIST(O$30,economics!$AK$2:$AK$167,economics!$AJ$2:$AJ$167,TRUE)))+$CR27*(_xlfn.NORM.DIST(O$3,$CU27,0.3*$CU27,TRUE)-_xlfn.NORM.DIST(O$30,$CU27,0.3*$CU27,TRUE))+$CS27*(_xlfn.NORM.DIST(O$3,$CV27,0.3*$CV27,TRUE)-_xlfn.NORM.DIST(O$30,$CV27,0.3*$CV27,TRUE))),""),IF($C27&gt;0,summary!$C$10/28.8/0.947817,""))</f>
        <v/>
      </c>
      <c r="P56">
        <f t="array" ref="P56">IF($D27,IFERROR((SUMPRODUCT((economics!$AG$2:$AG$167=$B56)*(economics!$D$2:$D$167="whr")*economics!$AH$2:$AH$167*(_xlfn.NORM.DIST(P$3,economics!$AK$2:$AK$167,economics!$AJ$2:$AJ$167,TRUE)-_xlfn.NORM.DIST(P$30,economics!$AK$2:$AK$167,economics!$AJ$2:$AJ$167,TRUE))*economics!$AM$2:$AM$167)+$CR27*(_xlfn.NORM.DIST(P$3,$CU27,0.3*$CU27,TRUE)-_xlfn.NORM.DIST(P$30,$CU27,0.3*$CU27,TRUE))*summary!$C$7/28.8/0.947817+$CS27*(_xlfn.NORM.DIST(P$3,$CV27,0.3*$CV27,TRUE)-_xlfn.NORM.DIST(P$30,$CV27,0.3*$CV27,TRUE))*summary!$C$6/28.8/0.947817)/(SUMPRODUCT((economics!$AG$2:$AG$167=$B56)*(economics!$D$2:$D$167="whr")*economics!$AH$2:$AH$167*(_xlfn.NORM.DIST(P$3,economics!$AK$2:$AK$167,economics!$AJ$2:$AJ$167,TRUE)-_xlfn.NORM.DIST(P$30,economics!$AK$2:$AK$167,economics!$AJ$2:$AJ$167,TRUE)))+$CR27*(_xlfn.NORM.DIST(P$3,$CU27,0.3*$CU27,TRUE)-_xlfn.NORM.DIST(P$30,$CU27,0.3*$CU27,TRUE))+$CS27*(_xlfn.NORM.DIST(P$3,$CV27,0.3*$CV27,TRUE)-_xlfn.NORM.DIST(P$30,$CV27,0.3*$CV27,TRUE))),""),IF($C27&gt;0,summary!$C$10/28.8/0.947817,""))</f>
        <v/>
      </c>
      <c r="Q56">
        <f t="array" ref="Q56">IF($D27,IFERROR((SUMPRODUCT((economics!$AG$2:$AG$167=$B56)*(economics!$D$2:$D$167="whr")*economics!$AH$2:$AH$167*(_xlfn.NORM.DIST(Q$3,economics!$AK$2:$AK$167,economics!$AJ$2:$AJ$167,TRUE)-_xlfn.NORM.DIST(Q$30,economics!$AK$2:$AK$167,economics!$AJ$2:$AJ$167,TRUE))*economics!$AM$2:$AM$167)+$CR27*(_xlfn.NORM.DIST(Q$3,$CU27,0.3*$CU27,TRUE)-_xlfn.NORM.DIST(Q$30,$CU27,0.3*$CU27,TRUE))*summary!$C$7/28.8/0.947817+$CS27*(_xlfn.NORM.DIST(Q$3,$CV27,0.3*$CV27,TRUE)-_xlfn.NORM.DIST(Q$30,$CV27,0.3*$CV27,TRUE))*summary!$C$6/28.8/0.947817)/(SUMPRODUCT((economics!$AG$2:$AG$167=$B56)*(economics!$D$2:$D$167="whr")*economics!$AH$2:$AH$167*(_xlfn.NORM.DIST(Q$3,economics!$AK$2:$AK$167,economics!$AJ$2:$AJ$167,TRUE)-_xlfn.NORM.DIST(Q$30,economics!$AK$2:$AK$167,economics!$AJ$2:$AJ$167,TRUE)))+$CR27*(_xlfn.NORM.DIST(Q$3,$CU27,0.3*$CU27,TRUE)-_xlfn.NORM.DIST(Q$30,$CU27,0.3*$CU27,TRUE))+$CS27*(_xlfn.NORM.DIST(Q$3,$CV27,0.3*$CV27,TRUE)-_xlfn.NORM.DIST(Q$30,$CV27,0.3*$CV27,TRUE))),""),IF($C27&gt;0,summary!$C$10/28.8/0.947817,""))</f>
        <v/>
      </c>
      <c r="R56">
        <f t="array" ref="R56">IF($D27,IFERROR((SUMPRODUCT((economics!$AG$2:$AG$167=$B56)*(economics!$D$2:$D$167="whr")*economics!$AH$2:$AH$167*(_xlfn.NORM.DIST(R$3,economics!$AK$2:$AK$167,economics!$AJ$2:$AJ$167,TRUE)-_xlfn.NORM.DIST(R$30,economics!$AK$2:$AK$167,economics!$AJ$2:$AJ$167,TRUE))*economics!$AM$2:$AM$167)+$CR27*(_xlfn.NORM.DIST(R$3,$CU27,0.3*$CU27,TRUE)-_xlfn.NORM.DIST(R$30,$CU27,0.3*$CU27,TRUE))*summary!$C$7/28.8/0.947817+$CS27*(_xlfn.NORM.DIST(R$3,$CV27,0.3*$CV27,TRUE)-_xlfn.NORM.DIST(R$30,$CV27,0.3*$CV27,TRUE))*summary!$C$6/28.8/0.947817)/(SUMPRODUCT((economics!$AG$2:$AG$167=$B56)*(economics!$D$2:$D$167="whr")*economics!$AH$2:$AH$167*(_xlfn.NORM.DIST(R$3,economics!$AK$2:$AK$167,economics!$AJ$2:$AJ$167,TRUE)-_xlfn.NORM.DIST(R$30,economics!$AK$2:$AK$167,economics!$AJ$2:$AJ$167,TRUE)))+$CR27*(_xlfn.NORM.DIST(R$3,$CU27,0.3*$CU27,TRUE)-_xlfn.NORM.DIST(R$30,$CU27,0.3*$CU27,TRUE))+$CS27*(_xlfn.NORM.DIST(R$3,$CV27,0.3*$CV27,TRUE)-_xlfn.NORM.DIST(R$30,$CV27,0.3*$CV27,TRUE))),""),IF($C27&gt;0,summary!$C$10/28.8/0.947817,""))</f>
        <v/>
      </c>
      <c r="S56">
        <f t="array" ref="S56">IF($D27,IFERROR((SUMPRODUCT((economics!$AG$2:$AG$167=$B56)*(economics!$D$2:$D$167="whr")*economics!$AH$2:$AH$167*(_xlfn.NORM.DIST(S$3,economics!$AK$2:$AK$167,economics!$AJ$2:$AJ$167,TRUE)-_xlfn.NORM.DIST(S$30,economics!$AK$2:$AK$167,economics!$AJ$2:$AJ$167,TRUE))*economics!$AM$2:$AM$167)+$CR27*(_xlfn.NORM.DIST(S$3,$CU27,0.3*$CU27,TRUE)-_xlfn.NORM.DIST(S$30,$CU27,0.3*$CU27,TRUE))*summary!$C$7/28.8/0.947817+$CS27*(_xlfn.NORM.DIST(S$3,$CV27,0.3*$CV27,TRUE)-_xlfn.NORM.DIST(S$30,$CV27,0.3*$CV27,TRUE))*summary!$C$6/28.8/0.947817)/(SUMPRODUCT((economics!$AG$2:$AG$167=$B56)*(economics!$D$2:$D$167="whr")*economics!$AH$2:$AH$167*(_xlfn.NORM.DIST(S$3,economics!$AK$2:$AK$167,economics!$AJ$2:$AJ$167,TRUE)-_xlfn.NORM.DIST(S$30,economics!$AK$2:$AK$167,economics!$AJ$2:$AJ$167,TRUE)))+$CR27*(_xlfn.NORM.DIST(S$3,$CU27,0.3*$CU27,TRUE)-_xlfn.NORM.DIST(S$30,$CU27,0.3*$CU27,TRUE))+$CS27*(_xlfn.NORM.DIST(S$3,$CV27,0.3*$CV27,TRUE)-_xlfn.NORM.DIST(S$30,$CV27,0.3*$CV27,TRUE))),""),IF($C27&gt;0,summary!$C$10/28.8/0.947817,""))</f>
        <v/>
      </c>
      <c r="T56">
        <f t="array" ref="T56">IF($D27,IFERROR((SUMPRODUCT((economics!$AG$2:$AG$167=$B56)*(economics!$D$2:$D$167="whr")*economics!$AH$2:$AH$167*(_xlfn.NORM.DIST(T$3,economics!$AK$2:$AK$167,economics!$AJ$2:$AJ$167,TRUE)-_xlfn.NORM.DIST(T$30,economics!$AK$2:$AK$167,economics!$AJ$2:$AJ$167,TRUE))*economics!$AM$2:$AM$167)+$CR27*(_xlfn.NORM.DIST(T$3,$CU27,0.3*$CU27,TRUE)-_xlfn.NORM.DIST(T$30,$CU27,0.3*$CU27,TRUE))*summary!$C$7/28.8/0.947817+$CS27*(_xlfn.NORM.DIST(T$3,$CV27,0.3*$CV27,TRUE)-_xlfn.NORM.DIST(T$30,$CV27,0.3*$CV27,TRUE))*summary!$C$6/28.8/0.947817)/(SUMPRODUCT((economics!$AG$2:$AG$167=$B56)*(economics!$D$2:$D$167="whr")*economics!$AH$2:$AH$167*(_xlfn.NORM.DIST(T$3,economics!$AK$2:$AK$167,economics!$AJ$2:$AJ$167,TRUE)-_xlfn.NORM.DIST(T$30,economics!$AK$2:$AK$167,economics!$AJ$2:$AJ$167,TRUE)))+$CR27*(_xlfn.NORM.DIST(T$3,$CU27,0.3*$CU27,TRUE)-_xlfn.NORM.DIST(T$30,$CU27,0.3*$CU27,TRUE))+$CS27*(_xlfn.NORM.DIST(T$3,$CV27,0.3*$CV27,TRUE)-_xlfn.NORM.DIST(T$30,$CV27,0.3*$CV27,TRUE))),""),IF($C27&gt;0,summary!$C$10/28.8/0.947817,""))</f>
        <v/>
      </c>
      <c r="U56">
        <f t="array" ref="U56">IF($D27,IFERROR((SUMPRODUCT((economics!$AG$2:$AG$167=$B56)*(economics!$D$2:$D$167="whr")*economics!$AH$2:$AH$167*(_xlfn.NORM.DIST(U$3,economics!$AK$2:$AK$167,economics!$AJ$2:$AJ$167,TRUE)-_xlfn.NORM.DIST(U$30,economics!$AK$2:$AK$167,economics!$AJ$2:$AJ$167,TRUE))*economics!$AM$2:$AM$167)+$CR27*(_xlfn.NORM.DIST(U$3,$CU27,0.3*$CU27,TRUE)-_xlfn.NORM.DIST(U$30,$CU27,0.3*$CU27,TRUE))*summary!$C$7/28.8/0.947817+$CS27*(_xlfn.NORM.DIST(U$3,$CV27,0.3*$CV27,TRUE)-_xlfn.NORM.DIST(U$30,$CV27,0.3*$CV27,TRUE))*summary!$C$6/28.8/0.947817)/(SUMPRODUCT((economics!$AG$2:$AG$167=$B56)*(economics!$D$2:$D$167="whr")*economics!$AH$2:$AH$167*(_xlfn.NORM.DIST(U$3,economics!$AK$2:$AK$167,economics!$AJ$2:$AJ$167,TRUE)-_xlfn.NORM.DIST(U$30,economics!$AK$2:$AK$167,economics!$AJ$2:$AJ$167,TRUE)))+$CR27*(_xlfn.NORM.DIST(U$3,$CU27,0.3*$CU27,TRUE)-_xlfn.NORM.DIST(U$30,$CU27,0.3*$CU27,TRUE))+$CS27*(_xlfn.NORM.DIST(U$3,$CV27,0.3*$CV27,TRUE)-_xlfn.NORM.DIST(U$30,$CV27,0.3*$CV27,TRUE))),""),IF($C27&gt;0,summary!$C$10/28.8/0.947817,""))</f>
        <v/>
      </c>
      <c r="V56">
        <f t="array" ref="V56">IF($D27,IFERROR((SUMPRODUCT((economics!$AG$2:$AG$167=$B56)*(economics!$D$2:$D$167="whr")*economics!$AH$2:$AH$167*(_xlfn.NORM.DIST(V$3,economics!$AK$2:$AK$167,economics!$AJ$2:$AJ$167,TRUE)-_xlfn.NORM.DIST(V$30,economics!$AK$2:$AK$167,economics!$AJ$2:$AJ$167,TRUE))*economics!$AM$2:$AM$167)+$CR27*(_xlfn.NORM.DIST(V$3,$CU27,0.3*$CU27,TRUE)-_xlfn.NORM.DIST(V$30,$CU27,0.3*$CU27,TRUE))*summary!$C$7/28.8/0.947817+$CS27*(_xlfn.NORM.DIST(V$3,$CV27,0.3*$CV27,TRUE)-_xlfn.NORM.DIST(V$30,$CV27,0.3*$CV27,TRUE))*summary!$C$6/28.8/0.947817)/(SUMPRODUCT((economics!$AG$2:$AG$167=$B56)*(economics!$D$2:$D$167="whr")*economics!$AH$2:$AH$167*(_xlfn.NORM.DIST(V$3,economics!$AK$2:$AK$167,economics!$AJ$2:$AJ$167,TRUE)-_xlfn.NORM.DIST(V$30,economics!$AK$2:$AK$167,economics!$AJ$2:$AJ$167,TRUE)))+$CR27*(_xlfn.NORM.DIST(V$3,$CU27,0.3*$CU27,TRUE)-_xlfn.NORM.DIST(V$30,$CU27,0.3*$CU27,TRUE))+$CS27*(_xlfn.NORM.DIST(V$3,$CV27,0.3*$CV27,TRUE)-_xlfn.NORM.DIST(V$30,$CV27,0.3*$CV27,TRUE))),""),IF($C27&gt;0,summary!$C$10/28.8/0.947817,""))</f>
        <v/>
      </c>
      <c r="W56">
        <f t="array" ref="W56">IF($D27,IFERROR((SUMPRODUCT((economics!$AG$2:$AG$167=$B56)*(economics!$D$2:$D$167="whr")*economics!$AH$2:$AH$167*(_xlfn.NORM.DIST(W$3,economics!$AK$2:$AK$167,economics!$AJ$2:$AJ$167,TRUE)-_xlfn.NORM.DIST(W$30,economics!$AK$2:$AK$167,economics!$AJ$2:$AJ$167,TRUE))*economics!$AM$2:$AM$167)+$CR27*(_xlfn.NORM.DIST(W$3,$CU27,0.3*$CU27,TRUE)-_xlfn.NORM.DIST(W$30,$CU27,0.3*$CU27,TRUE))*summary!$C$7/28.8/0.947817+$CS27*(_xlfn.NORM.DIST(W$3,$CV27,0.3*$CV27,TRUE)-_xlfn.NORM.DIST(W$30,$CV27,0.3*$CV27,TRUE))*summary!$C$6/28.8/0.947817)/(SUMPRODUCT((economics!$AG$2:$AG$167=$B56)*(economics!$D$2:$D$167="whr")*economics!$AH$2:$AH$167*(_xlfn.NORM.DIST(W$3,economics!$AK$2:$AK$167,economics!$AJ$2:$AJ$167,TRUE)-_xlfn.NORM.DIST(W$30,economics!$AK$2:$AK$167,economics!$AJ$2:$AJ$167,TRUE)))+$CR27*(_xlfn.NORM.DIST(W$3,$CU27,0.3*$CU27,TRUE)-_xlfn.NORM.DIST(W$30,$CU27,0.3*$CU27,TRUE))+$CS27*(_xlfn.NORM.DIST(W$3,$CV27,0.3*$CV27,TRUE)-_xlfn.NORM.DIST(W$30,$CV27,0.3*$CV27,TRUE))),""),IF($C27&gt;0,summary!$C$10/28.8/0.947817,""))</f>
        <v/>
      </c>
      <c r="X56">
        <f t="array" ref="X56">IF($D27,IFERROR((SUMPRODUCT((economics!$AG$2:$AG$167=$B56)*(economics!$D$2:$D$167="whr")*economics!$AH$2:$AH$167*(_xlfn.NORM.DIST(X$3,economics!$AK$2:$AK$167,economics!$AJ$2:$AJ$167,TRUE)-_xlfn.NORM.DIST(X$30,economics!$AK$2:$AK$167,economics!$AJ$2:$AJ$167,TRUE))*economics!$AM$2:$AM$167)+$CR27*(_xlfn.NORM.DIST(X$3,$CU27,0.3*$CU27,TRUE)-_xlfn.NORM.DIST(X$30,$CU27,0.3*$CU27,TRUE))*summary!$C$7/28.8/0.947817+$CS27*(_xlfn.NORM.DIST(X$3,$CV27,0.3*$CV27,TRUE)-_xlfn.NORM.DIST(X$30,$CV27,0.3*$CV27,TRUE))*summary!$C$6/28.8/0.947817)/(SUMPRODUCT((economics!$AG$2:$AG$167=$B56)*(economics!$D$2:$D$167="whr")*economics!$AH$2:$AH$167*(_xlfn.NORM.DIST(X$3,economics!$AK$2:$AK$167,economics!$AJ$2:$AJ$167,TRUE)-_xlfn.NORM.DIST(X$30,economics!$AK$2:$AK$167,economics!$AJ$2:$AJ$167,TRUE)))+$CR27*(_xlfn.NORM.DIST(X$3,$CU27,0.3*$CU27,TRUE)-_xlfn.NORM.DIST(X$30,$CU27,0.3*$CU27,TRUE))+$CS27*(_xlfn.NORM.DIST(X$3,$CV27,0.3*$CV27,TRUE)-_xlfn.NORM.DIST(X$30,$CV27,0.3*$CV27,TRUE))),""),IF($C27&gt;0,summary!$C$10/28.8/0.947817,""))</f>
        <v/>
      </c>
      <c r="Y56">
        <f t="array" ref="Y56">IF($D27,IFERROR((SUMPRODUCT((economics!$AG$2:$AG$167=$B56)*(economics!$D$2:$D$167="whr")*economics!$AH$2:$AH$167*(_xlfn.NORM.DIST(Y$3,economics!$AK$2:$AK$167,economics!$AJ$2:$AJ$167,TRUE)-_xlfn.NORM.DIST(Y$30,economics!$AK$2:$AK$167,economics!$AJ$2:$AJ$167,TRUE))*economics!$AM$2:$AM$167)+$CR27*(_xlfn.NORM.DIST(Y$3,$CU27,0.3*$CU27,TRUE)-_xlfn.NORM.DIST(Y$30,$CU27,0.3*$CU27,TRUE))*summary!$C$7/28.8/0.947817+$CS27*(_xlfn.NORM.DIST(Y$3,$CV27,0.3*$CV27,TRUE)-_xlfn.NORM.DIST(Y$30,$CV27,0.3*$CV27,TRUE))*summary!$C$6/28.8/0.947817)/(SUMPRODUCT((economics!$AG$2:$AG$167=$B56)*(economics!$D$2:$D$167="whr")*economics!$AH$2:$AH$167*(_xlfn.NORM.DIST(Y$3,economics!$AK$2:$AK$167,economics!$AJ$2:$AJ$167,TRUE)-_xlfn.NORM.DIST(Y$30,economics!$AK$2:$AK$167,economics!$AJ$2:$AJ$167,TRUE)))+$CR27*(_xlfn.NORM.DIST(Y$3,$CU27,0.3*$CU27,TRUE)-_xlfn.NORM.DIST(Y$30,$CU27,0.3*$CU27,TRUE))+$CS27*(_xlfn.NORM.DIST(Y$3,$CV27,0.3*$CV27,TRUE)-_xlfn.NORM.DIST(Y$30,$CV27,0.3*$CV27,TRUE))),""),IF($C27&gt;0,summary!$C$10/28.8/0.947817,""))</f>
        <v/>
      </c>
      <c r="Z56">
        <f t="array" ref="Z56">IF($D27,IFERROR((SUMPRODUCT((economics!$AG$2:$AG$167=$B56)*(economics!$D$2:$D$167="whr")*economics!$AH$2:$AH$167*(_xlfn.NORM.DIST(Z$3,economics!$AK$2:$AK$167,economics!$AJ$2:$AJ$167,TRUE)-_xlfn.NORM.DIST(Z$30,economics!$AK$2:$AK$167,economics!$AJ$2:$AJ$167,TRUE))*economics!$AM$2:$AM$167)+$CR27*(_xlfn.NORM.DIST(Z$3,$CU27,0.3*$CU27,TRUE)-_xlfn.NORM.DIST(Z$30,$CU27,0.3*$CU27,TRUE))*summary!$C$7/28.8/0.947817+$CS27*(_xlfn.NORM.DIST(Z$3,$CV27,0.3*$CV27,TRUE)-_xlfn.NORM.DIST(Z$30,$CV27,0.3*$CV27,TRUE))*summary!$C$6/28.8/0.947817)/(SUMPRODUCT((economics!$AG$2:$AG$167=$B56)*(economics!$D$2:$D$167="whr")*economics!$AH$2:$AH$167*(_xlfn.NORM.DIST(Z$3,economics!$AK$2:$AK$167,economics!$AJ$2:$AJ$167,TRUE)-_xlfn.NORM.DIST(Z$30,economics!$AK$2:$AK$167,economics!$AJ$2:$AJ$167,TRUE)))+$CR27*(_xlfn.NORM.DIST(Z$3,$CU27,0.3*$CU27,TRUE)-_xlfn.NORM.DIST(Z$30,$CU27,0.3*$CU27,TRUE))+$CS27*(_xlfn.NORM.DIST(Z$3,$CV27,0.3*$CV27,TRUE)-_xlfn.NORM.DIST(Z$30,$CV27,0.3*$CV27,TRUE))),""),IF($C27&gt;0,summary!$C$10/28.8/0.947817,""))</f>
        <v/>
      </c>
      <c r="AA56">
        <f t="array" ref="AA56">IF($D27,IFERROR((SUMPRODUCT((economics!$AG$2:$AG$167=$B56)*(economics!$D$2:$D$167="whr")*economics!$AH$2:$AH$167*(_xlfn.NORM.DIST(AA$3,economics!$AK$2:$AK$167,economics!$AJ$2:$AJ$167,TRUE)-_xlfn.NORM.DIST(AA$30,economics!$AK$2:$AK$167,economics!$AJ$2:$AJ$167,TRUE))*economics!$AM$2:$AM$167)+$CR27*(_xlfn.NORM.DIST(AA$3,$CU27,0.3*$CU27,TRUE)-_xlfn.NORM.DIST(AA$30,$CU27,0.3*$CU27,TRUE))*summary!$C$7/28.8/0.947817+$CS27*(_xlfn.NORM.DIST(AA$3,$CV27,0.3*$CV27,TRUE)-_xlfn.NORM.DIST(AA$30,$CV27,0.3*$CV27,TRUE))*summary!$C$6/28.8/0.947817)/(SUMPRODUCT((economics!$AG$2:$AG$167=$B56)*(economics!$D$2:$D$167="whr")*economics!$AH$2:$AH$167*(_xlfn.NORM.DIST(AA$3,economics!$AK$2:$AK$167,economics!$AJ$2:$AJ$167,TRUE)-_xlfn.NORM.DIST(AA$30,economics!$AK$2:$AK$167,economics!$AJ$2:$AJ$167,TRUE)))+$CR27*(_xlfn.NORM.DIST(AA$3,$CU27,0.3*$CU27,TRUE)-_xlfn.NORM.DIST(AA$30,$CU27,0.3*$CU27,TRUE))+$CS27*(_xlfn.NORM.DIST(AA$3,$CV27,0.3*$CV27,TRUE)-_xlfn.NORM.DIST(AA$30,$CV27,0.3*$CV27,TRUE))),""),IF($C27&gt;0,summary!$C$10/28.8/0.947817,""))</f>
        <v/>
      </c>
      <c r="AB56">
        <f t="array" ref="AB56">IF($D27,IFERROR((SUMPRODUCT((economics!$AG$2:$AG$167=$B56)*(economics!$D$2:$D$167="whr")*economics!$AH$2:$AH$167*(_xlfn.NORM.DIST(AB$3,economics!$AK$2:$AK$167,economics!$AJ$2:$AJ$167,TRUE)-_xlfn.NORM.DIST(AB$30,economics!$AK$2:$AK$167,economics!$AJ$2:$AJ$167,TRUE))*economics!$AM$2:$AM$167)+$CR27*(_xlfn.NORM.DIST(AB$3,$CU27,0.3*$CU27,TRUE)-_xlfn.NORM.DIST(AB$30,$CU27,0.3*$CU27,TRUE))*summary!$C$7/28.8/0.947817+$CS27*(_xlfn.NORM.DIST(AB$3,$CV27,0.3*$CV27,TRUE)-_xlfn.NORM.DIST(AB$30,$CV27,0.3*$CV27,TRUE))*summary!$C$6/28.8/0.947817)/(SUMPRODUCT((economics!$AG$2:$AG$167=$B56)*(economics!$D$2:$D$167="whr")*economics!$AH$2:$AH$167*(_xlfn.NORM.DIST(AB$3,economics!$AK$2:$AK$167,economics!$AJ$2:$AJ$167,TRUE)-_xlfn.NORM.DIST(AB$30,economics!$AK$2:$AK$167,economics!$AJ$2:$AJ$167,TRUE)))+$CR27*(_xlfn.NORM.DIST(AB$3,$CU27,0.3*$CU27,TRUE)-_xlfn.NORM.DIST(AB$30,$CU27,0.3*$CU27,TRUE))+$CS27*(_xlfn.NORM.DIST(AB$3,$CV27,0.3*$CV27,TRUE)-_xlfn.NORM.DIST(AB$30,$CV27,0.3*$CV27,TRUE))),""),IF($C27&gt;0,summary!$C$10/28.8/0.947817,""))</f>
        <v/>
      </c>
      <c r="AC56">
        <f t="array" ref="AC56">IF($D27,IFERROR((SUMPRODUCT((economics!$AG$2:$AG$167=$B56)*(economics!$D$2:$D$167="whr")*economics!$AH$2:$AH$167*(_xlfn.NORM.DIST(AC$3,economics!$AK$2:$AK$167,economics!$AJ$2:$AJ$167,TRUE)-_xlfn.NORM.DIST(AC$30,economics!$AK$2:$AK$167,economics!$AJ$2:$AJ$167,TRUE))*economics!$AM$2:$AM$167)+$CR27*(_xlfn.NORM.DIST(AC$3,$CU27,0.3*$CU27,TRUE)-_xlfn.NORM.DIST(AC$30,$CU27,0.3*$CU27,TRUE))*summary!$C$7/28.8/0.947817+$CS27*(_xlfn.NORM.DIST(AC$3,$CV27,0.3*$CV27,TRUE)-_xlfn.NORM.DIST(AC$30,$CV27,0.3*$CV27,TRUE))*summary!$C$6/28.8/0.947817)/(SUMPRODUCT((economics!$AG$2:$AG$167=$B56)*(economics!$D$2:$D$167="whr")*economics!$AH$2:$AH$167*(_xlfn.NORM.DIST(AC$3,economics!$AK$2:$AK$167,economics!$AJ$2:$AJ$167,TRUE)-_xlfn.NORM.DIST(AC$30,economics!$AK$2:$AK$167,economics!$AJ$2:$AJ$167,TRUE)))+$CR27*(_xlfn.NORM.DIST(AC$3,$CU27,0.3*$CU27,TRUE)-_xlfn.NORM.DIST(AC$30,$CU27,0.3*$CU27,TRUE))+$CS27*(_xlfn.NORM.DIST(AC$3,$CV27,0.3*$CV27,TRUE)-_xlfn.NORM.DIST(AC$30,$CV27,0.3*$CV27,TRUE))),""),IF($C27&gt;0,summary!$C$10/28.8/0.947817,""))</f>
        <v/>
      </c>
      <c r="AD56">
        <f t="array" ref="AD56">IF($D27,IFERROR((SUMPRODUCT((economics!$AG$2:$AG$167=$B56)*(economics!$D$2:$D$167="whr")*economics!$AH$2:$AH$167*(_xlfn.NORM.DIST(AD$3,economics!$AK$2:$AK$167,economics!$AJ$2:$AJ$167,TRUE)-_xlfn.NORM.DIST(AD$30,economics!$AK$2:$AK$167,economics!$AJ$2:$AJ$167,TRUE))*economics!$AM$2:$AM$167)+$CR27*(_xlfn.NORM.DIST(AD$3,$CU27,0.3*$CU27,TRUE)-_xlfn.NORM.DIST(AD$30,$CU27,0.3*$CU27,TRUE))*summary!$C$7/28.8/0.947817+$CS27*(_xlfn.NORM.DIST(AD$3,$CV27,0.3*$CV27,TRUE)-_xlfn.NORM.DIST(AD$30,$CV27,0.3*$CV27,TRUE))*summary!$C$6/28.8/0.947817)/(SUMPRODUCT((economics!$AG$2:$AG$167=$B56)*(economics!$D$2:$D$167="whr")*economics!$AH$2:$AH$167*(_xlfn.NORM.DIST(AD$3,economics!$AK$2:$AK$167,economics!$AJ$2:$AJ$167,TRUE)-_xlfn.NORM.DIST(AD$30,economics!$AK$2:$AK$167,economics!$AJ$2:$AJ$167,TRUE)))+$CR27*(_xlfn.NORM.DIST(AD$3,$CU27,0.3*$CU27,TRUE)-_xlfn.NORM.DIST(AD$30,$CU27,0.3*$CU27,TRUE))+$CS27*(_xlfn.NORM.DIST(AD$3,$CV27,0.3*$CV27,TRUE)-_xlfn.NORM.DIST(AD$30,$CV27,0.3*$CV27,TRUE))),""),IF($C27&gt;0,summary!$C$10/28.8/0.947817,""))</f>
        <v/>
      </c>
      <c r="AE56">
        <f t="array" ref="AE56">IF($D27,IFERROR((SUMPRODUCT((economics!$AG$2:$AG$167=$B56)*(economics!$D$2:$D$167="whr")*economics!$AH$2:$AH$167*(_xlfn.NORM.DIST(AE$3,economics!$AK$2:$AK$167,economics!$AJ$2:$AJ$167,TRUE)-_xlfn.NORM.DIST(AE$30,economics!$AK$2:$AK$167,economics!$AJ$2:$AJ$167,TRUE))*economics!$AM$2:$AM$167)+$CR27*(_xlfn.NORM.DIST(AE$3,$CU27,0.3*$CU27,TRUE)-_xlfn.NORM.DIST(AE$30,$CU27,0.3*$CU27,TRUE))*summary!$C$7/28.8/0.947817+$CS27*(_xlfn.NORM.DIST(AE$3,$CV27,0.3*$CV27,TRUE)-_xlfn.NORM.DIST(AE$30,$CV27,0.3*$CV27,TRUE))*summary!$C$6/28.8/0.947817)/(SUMPRODUCT((economics!$AG$2:$AG$167=$B56)*(economics!$D$2:$D$167="whr")*economics!$AH$2:$AH$167*(_xlfn.NORM.DIST(AE$3,economics!$AK$2:$AK$167,economics!$AJ$2:$AJ$167,TRUE)-_xlfn.NORM.DIST(AE$30,economics!$AK$2:$AK$167,economics!$AJ$2:$AJ$167,TRUE)))+$CR27*(_xlfn.NORM.DIST(AE$3,$CU27,0.3*$CU27,TRUE)-_xlfn.NORM.DIST(AE$30,$CU27,0.3*$CU27,TRUE))+$CS27*(_xlfn.NORM.DIST(AE$3,$CV27,0.3*$CV27,TRUE)-_xlfn.NORM.DIST(AE$30,$CV27,0.3*$CV27,TRUE))),""),IF($C27&gt;0,summary!$C$10/28.8/0.947817,""))</f>
        <v/>
      </c>
      <c r="AF56">
        <f t="array" ref="AF56">IF($D27,IFERROR((SUMPRODUCT((economics!$AG$2:$AG$167=$B56)*(economics!$D$2:$D$167="whr")*economics!$AH$2:$AH$167*(_xlfn.NORM.DIST(AF$3,economics!$AK$2:$AK$167,economics!$AJ$2:$AJ$167,TRUE)-_xlfn.NORM.DIST(AF$30,economics!$AK$2:$AK$167,economics!$AJ$2:$AJ$167,TRUE))*economics!$AM$2:$AM$167)+$CR27*(_xlfn.NORM.DIST(AF$3,$CU27,0.3*$CU27,TRUE)-_xlfn.NORM.DIST(AF$30,$CU27,0.3*$CU27,TRUE))*summary!$C$7/28.8/0.947817+$CS27*(_xlfn.NORM.DIST(AF$3,$CV27,0.3*$CV27,TRUE)-_xlfn.NORM.DIST(AF$30,$CV27,0.3*$CV27,TRUE))*summary!$C$6/28.8/0.947817)/(SUMPRODUCT((economics!$AG$2:$AG$167=$B56)*(economics!$D$2:$D$167="whr")*economics!$AH$2:$AH$167*(_xlfn.NORM.DIST(AF$3,economics!$AK$2:$AK$167,economics!$AJ$2:$AJ$167,TRUE)-_xlfn.NORM.DIST(AF$30,economics!$AK$2:$AK$167,economics!$AJ$2:$AJ$167,TRUE)))+$CR27*(_xlfn.NORM.DIST(AF$3,$CU27,0.3*$CU27,TRUE)-_xlfn.NORM.DIST(AF$30,$CU27,0.3*$CU27,TRUE))+$CS27*(_xlfn.NORM.DIST(AF$3,$CV27,0.3*$CV27,TRUE)-_xlfn.NORM.DIST(AF$30,$CV27,0.3*$CV27,TRUE))),""),IF($C27&gt;0,summary!$C$10/28.8/0.947817,""))</f>
        <v/>
      </c>
      <c r="AG56">
        <f t="array" ref="AG56">IF($D27,IFERROR((SUMPRODUCT((economics!$AG$2:$AG$167=$B56)*(economics!$D$2:$D$167="whr")*economics!$AH$2:$AH$167*(_xlfn.NORM.DIST(AG$3,economics!$AK$2:$AK$167,economics!$AJ$2:$AJ$167,TRUE)-_xlfn.NORM.DIST(AG$30,economics!$AK$2:$AK$167,economics!$AJ$2:$AJ$167,TRUE))*economics!$AM$2:$AM$167)+$CR27*(_xlfn.NORM.DIST(AG$3,$CU27,0.3*$CU27,TRUE)-_xlfn.NORM.DIST(AG$30,$CU27,0.3*$CU27,TRUE))*summary!$C$7/28.8/0.947817+$CS27*(_xlfn.NORM.DIST(AG$3,$CV27,0.3*$CV27,TRUE)-_xlfn.NORM.DIST(AG$30,$CV27,0.3*$CV27,TRUE))*summary!$C$6/28.8/0.947817)/(SUMPRODUCT((economics!$AG$2:$AG$167=$B56)*(economics!$D$2:$D$167="whr")*economics!$AH$2:$AH$167*(_xlfn.NORM.DIST(AG$3,economics!$AK$2:$AK$167,economics!$AJ$2:$AJ$167,TRUE)-_xlfn.NORM.DIST(AG$30,economics!$AK$2:$AK$167,economics!$AJ$2:$AJ$167,TRUE)))+$CR27*(_xlfn.NORM.DIST(AG$3,$CU27,0.3*$CU27,TRUE)-_xlfn.NORM.DIST(AG$30,$CU27,0.3*$CU27,TRUE))+$CS27*(_xlfn.NORM.DIST(AG$3,$CV27,0.3*$CV27,TRUE)-_xlfn.NORM.DIST(AG$30,$CV27,0.3*$CV27,TRUE))),""),IF($C27&gt;0,summary!$C$10/28.8/0.947817,""))</f>
        <v/>
      </c>
      <c r="AH56">
        <f t="array" ref="AH56">IF($D27,IFERROR((SUMPRODUCT((economics!$AG$2:$AG$167=$B56)*(economics!$D$2:$D$167="whr")*economics!$AH$2:$AH$167*(_xlfn.NORM.DIST(AH$3,economics!$AK$2:$AK$167,economics!$AJ$2:$AJ$167,TRUE)-_xlfn.NORM.DIST(AH$30,economics!$AK$2:$AK$167,economics!$AJ$2:$AJ$167,TRUE))*economics!$AM$2:$AM$167)+$CR27*(_xlfn.NORM.DIST(AH$3,$CU27,0.3*$CU27,TRUE)-_xlfn.NORM.DIST(AH$30,$CU27,0.3*$CU27,TRUE))*summary!$C$7/28.8/0.947817+$CS27*(_xlfn.NORM.DIST(AH$3,$CV27,0.3*$CV27,TRUE)-_xlfn.NORM.DIST(AH$30,$CV27,0.3*$CV27,TRUE))*summary!$C$6/28.8/0.947817)/(SUMPRODUCT((economics!$AG$2:$AG$167=$B56)*(economics!$D$2:$D$167="whr")*economics!$AH$2:$AH$167*(_xlfn.NORM.DIST(AH$3,economics!$AK$2:$AK$167,economics!$AJ$2:$AJ$167,TRUE)-_xlfn.NORM.DIST(AH$30,economics!$AK$2:$AK$167,economics!$AJ$2:$AJ$167,TRUE)))+$CR27*(_xlfn.NORM.DIST(AH$3,$CU27,0.3*$CU27,TRUE)-_xlfn.NORM.DIST(AH$30,$CU27,0.3*$CU27,TRUE))+$CS27*(_xlfn.NORM.DIST(AH$3,$CV27,0.3*$CV27,TRUE)-_xlfn.NORM.DIST(AH$30,$CV27,0.3*$CV27,TRUE))),""),IF($C27&gt;0,summary!$C$10/28.8/0.947817,""))</f>
        <v/>
      </c>
      <c r="AI56">
        <f t="array" ref="AI56">IF($D27,IFERROR((SUMPRODUCT((economics!$AG$2:$AG$167=$B56)*(economics!$D$2:$D$167="whr")*economics!$AH$2:$AH$167*(_xlfn.NORM.DIST(AI$3,economics!$AK$2:$AK$167,economics!$AJ$2:$AJ$167,TRUE)-_xlfn.NORM.DIST(AI$30,economics!$AK$2:$AK$167,economics!$AJ$2:$AJ$167,TRUE))*economics!$AM$2:$AM$167)+$CR27*(_xlfn.NORM.DIST(AI$3,$CU27,0.3*$CU27,TRUE)-_xlfn.NORM.DIST(AI$30,$CU27,0.3*$CU27,TRUE))*summary!$C$7/28.8/0.947817+$CS27*(_xlfn.NORM.DIST(AI$3,$CV27,0.3*$CV27,TRUE)-_xlfn.NORM.DIST(AI$30,$CV27,0.3*$CV27,TRUE))*summary!$C$6/28.8/0.947817)/(SUMPRODUCT((economics!$AG$2:$AG$167=$B56)*(economics!$D$2:$D$167="whr")*economics!$AH$2:$AH$167*(_xlfn.NORM.DIST(AI$3,economics!$AK$2:$AK$167,economics!$AJ$2:$AJ$167,TRUE)-_xlfn.NORM.DIST(AI$30,economics!$AK$2:$AK$167,economics!$AJ$2:$AJ$167,TRUE)))+$CR27*(_xlfn.NORM.DIST(AI$3,$CU27,0.3*$CU27,TRUE)-_xlfn.NORM.DIST(AI$30,$CU27,0.3*$CU27,TRUE))+$CS27*(_xlfn.NORM.DIST(AI$3,$CV27,0.3*$CV27,TRUE)-_xlfn.NORM.DIST(AI$30,$CV27,0.3*$CV27,TRUE))),""),IF($C27&gt;0,summary!$C$10/28.8/0.947817,""))</f>
        <v/>
      </c>
      <c r="AJ56">
        <f t="array" ref="AJ56">IF($D27,IFERROR((SUMPRODUCT((economics!$AG$2:$AG$167=$B56)*(economics!$D$2:$D$167="whr")*economics!$AH$2:$AH$167*(_xlfn.NORM.DIST(AJ$3,economics!$AK$2:$AK$167,economics!$AJ$2:$AJ$167,TRUE)-_xlfn.NORM.DIST(AJ$30,economics!$AK$2:$AK$167,economics!$AJ$2:$AJ$167,TRUE))*economics!$AM$2:$AM$167)+$CR27*(_xlfn.NORM.DIST(AJ$3,$CU27,0.3*$CU27,TRUE)-_xlfn.NORM.DIST(AJ$30,$CU27,0.3*$CU27,TRUE))*summary!$C$7/28.8/0.947817+$CS27*(_xlfn.NORM.DIST(AJ$3,$CV27,0.3*$CV27,TRUE)-_xlfn.NORM.DIST(AJ$30,$CV27,0.3*$CV27,TRUE))*summary!$C$6/28.8/0.947817)/(SUMPRODUCT((economics!$AG$2:$AG$167=$B56)*(economics!$D$2:$D$167="whr")*economics!$AH$2:$AH$167*(_xlfn.NORM.DIST(AJ$3,economics!$AK$2:$AK$167,economics!$AJ$2:$AJ$167,TRUE)-_xlfn.NORM.DIST(AJ$30,economics!$AK$2:$AK$167,economics!$AJ$2:$AJ$167,TRUE)))+$CR27*(_xlfn.NORM.DIST(AJ$3,$CU27,0.3*$CU27,TRUE)-_xlfn.NORM.DIST(AJ$30,$CU27,0.3*$CU27,TRUE))+$CS27*(_xlfn.NORM.DIST(AJ$3,$CV27,0.3*$CV27,TRUE)-_xlfn.NORM.DIST(AJ$30,$CV27,0.3*$CV27,TRUE))),""),IF($C27&gt;0,summary!$C$10/28.8/0.947817,""))</f>
        <v/>
      </c>
      <c r="AK56">
        <f t="array" ref="AK56">IF($D27,IFERROR((SUMPRODUCT((economics!$AG$2:$AG$167=$B56)*(economics!$D$2:$D$167="whr")*economics!$AH$2:$AH$167*(_xlfn.NORM.DIST(AK$3,economics!$AK$2:$AK$167,economics!$AJ$2:$AJ$167,TRUE)-_xlfn.NORM.DIST(AK$30,economics!$AK$2:$AK$167,economics!$AJ$2:$AJ$167,TRUE))*economics!$AM$2:$AM$167)+$CR27*(_xlfn.NORM.DIST(AK$3,$CU27,0.3*$CU27,TRUE)-_xlfn.NORM.DIST(AK$30,$CU27,0.3*$CU27,TRUE))*summary!$C$7/28.8/0.947817+$CS27*(_xlfn.NORM.DIST(AK$3,$CV27,0.3*$CV27,TRUE)-_xlfn.NORM.DIST(AK$30,$CV27,0.3*$CV27,TRUE))*summary!$C$6/28.8/0.947817)/(SUMPRODUCT((economics!$AG$2:$AG$167=$B56)*(economics!$D$2:$D$167="whr")*economics!$AH$2:$AH$167*(_xlfn.NORM.DIST(AK$3,economics!$AK$2:$AK$167,economics!$AJ$2:$AJ$167,TRUE)-_xlfn.NORM.DIST(AK$30,economics!$AK$2:$AK$167,economics!$AJ$2:$AJ$167,TRUE)))+$CR27*(_xlfn.NORM.DIST(AK$3,$CU27,0.3*$CU27,TRUE)-_xlfn.NORM.DIST(AK$30,$CU27,0.3*$CU27,TRUE))+$CS27*(_xlfn.NORM.DIST(AK$3,$CV27,0.3*$CV27,TRUE)-_xlfn.NORM.DIST(AK$30,$CV27,0.3*$CV27,TRUE))),""),IF($C27&gt;0,summary!$C$10/28.8/0.947817,""))</f>
        <v/>
      </c>
      <c r="AL56">
        <f t="array" ref="AL56">IF($D27,IFERROR((SUMPRODUCT((economics!$AG$2:$AG$167=$B56)*(economics!$D$2:$D$167="whr")*economics!$AH$2:$AH$167*(_xlfn.NORM.DIST(AL$3,economics!$AK$2:$AK$167,economics!$AJ$2:$AJ$167,TRUE)-_xlfn.NORM.DIST(AL$30,economics!$AK$2:$AK$167,economics!$AJ$2:$AJ$167,TRUE))*economics!$AM$2:$AM$167)+$CR27*(_xlfn.NORM.DIST(AL$3,$CU27,0.3*$CU27,TRUE)-_xlfn.NORM.DIST(AL$30,$CU27,0.3*$CU27,TRUE))*summary!$C$7/28.8/0.947817+$CS27*(_xlfn.NORM.DIST(AL$3,$CV27,0.3*$CV27,TRUE)-_xlfn.NORM.DIST(AL$30,$CV27,0.3*$CV27,TRUE))*summary!$C$6/28.8/0.947817)/(SUMPRODUCT((economics!$AG$2:$AG$167=$B56)*(economics!$D$2:$D$167="whr")*economics!$AH$2:$AH$167*(_xlfn.NORM.DIST(AL$3,economics!$AK$2:$AK$167,economics!$AJ$2:$AJ$167,TRUE)-_xlfn.NORM.DIST(AL$30,economics!$AK$2:$AK$167,economics!$AJ$2:$AJ$167,TRUE)))+$CR27*(_xlfn.NORM.DIST(AL$3,$CU27,0.3*$CU27,TRUE)-_xlfn.NORM.DIST(AL$30,$CU27,0.3*$CU27,TRUE))+$CS27*(_xlfn.NORM.DIST(AL$3,$CV27,0.3*$CV27,TRUE)-_xlfn.NORM.DIST(AL$30,$CV27,0.3*$CV27,TRUE))),""),IF($C27&gt;0,summary!$C$10/28.8/0.947817,""))</f>
        <v/>
      </c>
      <c r="AM56">
        <f t="array" ref="AM56">IF($D27,IFERROR((SUMPRODUCT((economics!$AG$2:$AG$167=$B56)*(economics!$D$2:$D$167="whr")*economics!$AH$2:$AH$167*(_xlfn.NORM.DIST(AM$3,economics!$AK$2:$AK$167,economics!$AJ$2:$AJ$167,TRUE)-_xlfn.NORM.DIST(AM$30,economics!$AK$2:$AK$167,economics!$AJ$2:$AJ$167,TRUE))*economics!$AM$2:$AM$167)+$CR27*(_xlfn.NORM.DIST(AM$3,$CU27,0.3*$CU27,TRUE)-_xlfn.NORM.DIST(AM$30,$CU27,0.3*$CU27,TRUE))*summary!$C$7/28.8/0.947817+$CS27*(_xlfn.NORM.DIST(AM$3,$CV27,0.3*$CV27,TRUE)-_xlfn.NORM.DIST(AM$30,$CV27,0.3*$CV27,TRUE))*summary!$C$6/28.8/0.947817)/(SUMPRODUCT((economics!$AG$2:$AG$167=$B56)*(economics!$D$2:$D$167="whr")*economics!$AH$2:$AH$167*(_xlfn.NORM.DIST(AM$3,economics!$AK$2:$AK$167,economics!$AJ$2:$AJ$167,TRUE)-_xlfn.NORM.DIST(AM$30,economics!$AK$2:$AK$167,economics!$AJ$2:$AJ$167,TRUE)))+$CR27*(_xlfn.NORM.DIST(AM$3,$CU27,0.3*$CU27,TRUE)-_xlfn.NORM.DIST(AM$30,$CU27,0.3*$CU27,TRUE))+$CS27*(_xlfn.NORM.DIST(AM$3,$CV27,0.3*$CV27,TRUE)-_xlfn.NORM.DIST(AM$30,$CV27,0.3*$CV27,TRUE))),""),IF($C27&gt;0,summary!$C$10/28.8/0.947817,""))</f>
        <v/>
      </c>
      <c r="AN56">
        <f t="array" ref="AN56">IF($D27,IFERROR((SUMPRODUCT((economics!$AG$2:$AG$167=$B56)*(economics!$D$2:$D$167="whr")*economics!$AH$2:$AH$167*(_xlfn.NORM.DIST(AN$3,economics!$AK$2:$AK$167,economics!$AJ$2:$AJ$167,TRUE)-_xlfn.NORM.DIST(AN$30,economics!$AK$2:$AK$167,economics!$AJ$2:$AJ$167,TRUE))*economics!$AM$2:$AM$167)+$CR27*(_xlfn.NORM.DIST(AN$3,$CU27,0.3*$CU27,TRUE)-_xlfn.NORM.DIST(AN$30,$CU27,0.3*$CU27,TRUE))*summary!$C$7/28.8/0.947817+$CS27*(_xlfn.NORM.DIST(AN$3,$CV27,0.3*$CV27,TRUE)-_xlfn.NORM.DIST(AN$30,$CV27,0.3*$CV27,TRUE))*summary!$C$6/28.8/0.947817)/(SUMPRODUCT((economics!$AG$2:$AG$167=$B56)*(economics!$D$2:$D$167="whr")*economics!$AH$2:$AH$167*(_xlfn.NORM.DIST(AN$3,economics!$AK$2:$AK$167,economics!$AJ$2:$AJ$167,TRUE)-_xlfn.NORM.DIST(AN$30,economics!$AK$2:$AK$167,economics!$AJ$2:$AJ$167,TRUE)))+$CR27*(_xlfn.NORM.DIST(AN$3,$CU27,0.3*$CU27,TRUE)-_xlfn.NORM.DIST(AN$30,$CU27,0.3*$CU27,TRUE))+$CS27*(_xlfn.NORM.DIST(AN$3,$CV27,0.3*$CV27,TRUE)-_xlfn.NORM.DIST(AN$30,$CV27,0.3*$CV27,TRUE))),""),IF($C27&gt;0,summary!$C$10/28.8/0.947817,""))</f>
        <v/>
      </c>
      <c r="AO56">
        <f t="array" ref="AO56">IF($D27,IFERROR((SUMPRODUCT((economics!$AG$2:$AG$167=$B56)*(economics!$D$2:$D$167="whr")*economics!$AH$2:$AH$167*(_xlfn.NORM.DIST(AO$3,economics!$AK$2:$AK$167,economics!$AJ$2:$AJ$167,TRUE)-_xlfn.NORM.DIST(AO$30,economics!$AK$2:$AK$167,economics!$AJ$2:$AJ$167,TRUE))*economics!$AM$2:$AM$167)+$CR27*(_xlfn.NORM.DIST(AO$3,$CU27,0.3*$CU27,TRUE)-_xlfn.NORM.DIST(AO$30,$CU27,0.3*$CU27,TRUE))*summary!$C$7/28.8/0.947817+$CS27*(_xlfn.NORM.DIST(AO$3,$CV27,0.3*$CV27,TRUE)-_xlfn.NORM.DIST(AO$30,$CV27,0.3*$CV27,TRUE))*summary!$C$6/28.8/0.947817)/(SUMPRODUCT((economics!$AG$2:$AG$167=$B56)*(economics!$D$2:$D$167="whr")*economics!$AH$2:$AH$167*(_xlfn.NORM.DIST(AO$3,economics!$AK$2:$AK$167,economics!$AJ$2:$AJ$167,TRUE)-_xlfn.NORM.DIST(AO$30,economics!$AK$2:$AK$167,economics!$AJ$2:$AJ$167,TRUE)))+$CR27*(_xlfn.NORM.DIST(AO$3,$CU27,0.3*$CU27,TRUE)-_xlfn.NORM.DIST(AO$30,$CU27,0.3*$CU27,TRUE))+$CS27*(_xlfn.NORM.DIST(AO$3,$CV27,0.3*$CV27,TRUE)-_xlfn.NORM.DIST(AO$30,$CV27,0.3*$CV27,TRUE))),""),IF($C27&gt;0,summary!$C$10/28.8/0.947817,""))</f>
        <v/>
      </c>
      <c r="AP56">
        <f t="array" ref="AP56">IF($D27,IFERROR((SUMPRODUCT((economics!$AG$2:$AG$167=$B56)*(economics!$D$2:$D$167="whr")*economics!$AH$2:$AH$167*(_xlfn.NORM.DIST(AP$3,economics!$AK$2:$AK$167,economics!$AJ$2:$AJ$167,TRUE)-_xlfn.NORM.DIST(AP$30,economics!$AK$2:$AK$167,economics!$AJ$2:$AJ$167,TRUE))*economics!$AM$2:$AM$167)+$CR27*(_xlfn.NORM.DIST(AP$3,$CU27,0.3*$CU27,TRUE)-_xlfn.NORM.DIST(AP$30,$CU27,0.3*$CU27,TRUE))*summary!$C$7/28.8/0.947817+$CS27*(_xlfn.NORM.DIST(AP$3,$CV27,0.3*$CV27,TRUE)-_xlfn.NORM.DIST(AP$30,$CV27,0.3*$CV27,TRUE))*summary!$C$6/28.8/0.947817)/(SUMPRODUCT((economics!$AG$2:$AG$167=$B56)*(economics!$D$2:$D$167="whr")*economics!$AH$2:$AH$167*(_xlfn.NORM.DIST(AP$3,economics!$AK$2:$AK$167,economics!$AJ$2:$AJ$167,TRUE)-_xlfn.NORM.DIST(AP$30,economics!$AK$2:$AK$167,economics!$AJ$2:$AJ$167,TRUE)))+$CR27*(_xlfn.NORM.DIST(AP$3,$CU27,0.3*$CU27,TRUE)-_xlfn.NORM.DIST(AP$30,$CU27,0.3*$CU27,TRUE))+$CS27*(_xlfn.NORM.DIST(AP$3,$CV27,0.3*$CV27,TRUE)-_xlfn.NORM.DIST(AP$30,$CV27,0.3*$CV27,TRUE))),""),IF($C27&gt;0,summary!$C$10/28.8/0.947817,""))</f>
        <v/>
      </c>
      <c r="AQ56">
        <f t="array" ref="AQ56">IF($D27,IFERROR((SUMPRODUCT((economics!$AG$2:$AG$167=$B56)*(economics!$D$2:$D$167="whr")*economics!$AH$2:$AH$167*(_xlfn.NORM.DIST(AQ$3,economics!$AK$2:$AK$167,economics!$AJ$2:$AJ$167,TRUE)-_xlfn.NORM.DIST(AQ$30,economics!$AK$2:$AK$167,economics!$AJ$2:$AJ$167,TRUE))*economics!$AM$2:$AM$167)+$CR27*(_xlfn.NORM.DIST(AQ$3,$CU27,0.3*$CU27,TRUE)-_xlfn.NORM.DIST(AQ$30,$CU27,0.3*$CU27,TRUE))*summary!$C$7/28.8/0.947817+$CS27*(_xlfn.NORM.DIST(AQ$3,$CV27,0.3*$CV27,TRUE)-_xlfn.NORM.DIST(AQ$30,$CV27,0.3*$CV27,TRUE))*summary!$C$6/28.8/0.947817)/(SUMPRODUCT((economics!$AG$2:$AG$167=$B56)*(economics!$D$2:$D$167="whr")*economics!$AH$2:$AH$167*(_xlfn.NORM.DIST(AQ$3,economics!$AK$2:$AK$167,economics!$AJ$2:$AJ$167,TRUE)-_xlfn.NORM.DIST(AQ$30,economics!$AK$2:$AK$167,economics!$AJ$2:$AJ$167,TRUE)))+$CR27*(_xlfn.NORM.DIST(AQ$3,$CU27,0.3*$CU27,TRUE)-_xlfn.NORM.DIST(AQ$30,$CU27,0.3*$CU27,TRUE))+$CS27*(_xlfn.NORM.DIST(AQ$3,$CV27,0.3*$CV27,TRUE)-_xlfn.NORM.DIST(AQ$30,$CV27,0.3*$CV27,TRUE))),""),IF($C27&gt;0,summary!$C$10/28.8/0.947817,""))</f>
        <v/>
      </c>
      <c r="AR56">
        <f t="array" ref="AR56">IF($D27,IFERROR((SUMPRODUCT((economics!$AG$2:$AG$167=$B56)*(economics!$D$2:$D$167="whr")*economics!$AH$2:$AH$167*(_xlfn.NORM.DIST(AR$3,economics!$AK$2:$AK$167,economics!$AJ$2:$AJ$167,TRUE)-_xlfn.NORM.DIST(AR$30,economics!$AK$2:$AK$167,economics!$AJ$2:$AJ$167,TRUE))*economics!$AM$2:$AM$167)+$CR27*(_xlfn.NORM.DIST(AR$3,$CU27,0.3*$CU27,TRUE)-_xlfn.NORM.DIST(AR$30,$CU27,0.3*$CU27,TRUE))*summary!$C$7/28.8/0.947817+$CS27*(_xlfn.NORM.DIST(AR$3,$CV27,0.3*$CV27,TRUE)-_xlfn.NORM.DIST(AR$30,$CV27,0.3*$CV27,TRUE))*summary!$C$6/28.8/0.947817)/(SUMPRODUCT((economics!$AG$2:$AG$167=$B56)*(economics!$D$2:$D$167="whr")*economics!$AH$2:$AH$167*(_xlfn.NORM.DIST(AR$3,economics!$AK$2:$AK$167,economics!$AJ$2:$AJ$167,TRUE)-_xlfn.NORM.DIST(AR$30,economics!$AK$2:$AK$167,economics!$AJ$2:$AJ$167,TRUE)))+$CR27*(_xlfn.NORM.DIST(AR$3,$CU27,0.3*$CU27,TRUE)-_xlfn.NORM.DIST(AR$30,$CU27,0.3*$CU27,TRUE))+$CS27*(_xlfn.NORM.DIST(AR$3,$CV27,0.3*$CV27,TRUE)-_xlfn.NORM.DIST(AR$30,$CV27,0.3*$CV27,TRUE))),""),IF($C27&gt;0,summary!$C$10/28.8/0.947817,""))</f>
        <v/>
      </c>
      <c r="AS56">
        <f t="array" ref="AS56">IF($D27,IFERROR((SUMPRODUCT((economics!$AG$2:$AG$167=$B56)*(economics!$D$2:$D$167="whr")*economics!$AH$2:$AH$167*(_xlfn.NORM.DIST(AS$3,economics!$AK$2:$AK$167,economics!$AJ$2:$AJ$167,TRUE)-_xlfn.NORM.DIST(AS$30,economics!$AK$2:$AK$167,economics!$AJ$2:$AJ$167,TRUE))*economics!$AM$2:$AM$167)+$CR27*(_xlfn.NORM.DIST(AS$3,$CU27,0.3*$CU27,TRUE)-_xlfn.NORM.DIST(AS$30,$CU27,0.3*$CU27,TRUE))*summary!$C$7/28.8/0.947817+$CS27*(_xlfn.NORM.DIST(AS$3,$CV27,0.3*$CV27,TRUE)-_xlfn.NORM.DIST(AS$30,$CV27,0.3*$CV27,TRUE))*summary!$C$6/28.8/0.947817)/(SUMPRODUCT((economics!$AG$2:$AG$167=$B56)*(economics!$D$2:$D$167="whr")*economics!$AH$2:$AH$167*(_xlfn.NORM.DIST(AS$3,economics!$AK$2:$AK$167,economics!$AJ$2:$AJ$167,TRUE)-_xlfn.NORM.DIST(AS$30,economics!$AK$2:$AK$167,economics!$AJ$2:$AJ$167,TRUE)))+$CR27*(_xlfn.NORM.DIST(AS$3,$CU27,0.3*$CU27,TRUE)-_xlfn.NORM.DIST(AS$30,$CU27,0.3*$CU27,TRUE))+$CS27*(_xlfn.NORM.DIST(AS$3,$CV27,0.3*$CV27,TRUE)-_xlfn.NORM.DIST(AS$30,$CV27,0.3*$CV27,TRUE))),""),IF($C27&gt;0,summary!$C$10/28.8/0.947817,""))</f>
        <v/>
      </c>
      <c r="AT56">
        <f t="array" ref="AT56">IF($D27,IFERROR((SUMPRODUCT((economics!$AG$2:$AG$167=$B56)*(economics!$D$2:$D$167="whr")*economics!$AH$2:$AH$167*(_xlfn.NORM.DIST(AT$3,economics!$AK$2:$AK$167,economics!$AJ$2:$AJ$167,TRUE)-_xlfn.NORM.DIST(AT$30,economics!$AK$2:$AK$167,economics!$AJ$2:$AJ$167,TRUE))*economics!$AM$2:$AM$167)+$CR27*(_xlfn.NORM.DIST(AT$3,$CU27,0.3*$CU27,TRUE)-_xlfn.NORM.DIST(AT$30,$CU27,0.3*$CU27,TRUE))*summary!$C$7/28.8/0.947817+$CS27*(_xlfn.NORM.DIST(AT$3,$CV27,0.3*$CV27,TRUE)-_xlfn.NORM.DIST(AT$30,$CV27,0.3*$CV27,TRUE))*summary!$C$6/28.8/0.947817)/(SUMPRODUCT((economics!$AG$2:$AG$167=$B56)*(economics!$D$2:$D$167="whr")*economics!$AH$2:$AH$167*(_xlfn.NORM.DIST(AT$3,economics!$AK$2:$AK$167,economics!$AJ$2:$AJ$167,TRUE)-_xlfn.NORM.DIST(AT$30,economics!$AK$2:$AK$167,economics!$AJ$2:$AJ$167,TRUE)))+$CR27*(_xlfn.NORM.DIST(AT$3,$CU27,0.3*$CU27,TRUE)-_xlfn.NORM.DIST(AT$30,$CU27,0.3*$CU27,TRUE))+$CS27*(_xlfn.NORM.DIST(AT$3,$CV27,0.3*$CV27,TRUE)-_xlfn.NORM.DIST(AT$30,$CV27,0.3*$CV27,TRUE))),""),IF($C27&gt;0,summary!$C$10/28.8/0.947817,""))</f>
        <v/>
      </c>
      <c r="AU56">
        <f t="array" ref="AU56">IF($D27,IFERROR((SUMPRODUCT((economics!$AG$2:$AG$167=$B56)*(economics!$D$2:$D$167="whr")*economics!$AH$2:$AH$167*(_xlfn.NORM.DIST(AU$3,economics!$AK$2:$AK$167,economics!$AJ$2:$AJ$167,TRUE)-_xlfn.NORM.DIST(AU$30,economics!$AK$2:$AK$167,economics!$AJ$2:$AJ$167,TRUE))*economics!$AM$2:$AM$167)+$CR27*(_xlfn.NORM.DIST(AU$3,$CU27,0.3*$CU27,TRUE)-_xlfn.NORM.DIST(AU$30,$CU27,0.3*$CU27,TRUE))*summary!$C$7/28.8/0.947817+$CS27*(_xlfn.NORM.DIST(AU$3,$CV27,0.3*$CV27,TRUE)-_xlfn.NORM.DIST(AU$30,$CV27,0.3*$CV27,TRUE))*summary!$C$6/28.8/0.947817)/(SUMPRODUCT((economics!$AG$2:$AG$167=$B56)*(economics!$D$2:$D$167="whr")*economics!$AH$2:$AH$167*(_xlfn.NORM.DIST(AU$3,economics!$AK$2:$AK$167,economics!$AJ$2:$AJ$167,TRUE)-_xlfn.NORM.DIST(AU$30,economics!$AK$2:$AK$167,economics!$AJ$2:$AJ$167,TRUE)))+$CR27*(_xlfn.NORM.DIST(AU$3,$CU27,0.3*$CU27,TRUE)-_xlfn.NORM.DIST(AU$30,$CU27,0.3*$CU27,TRUE))+$CS27*(_xlfn.NORM.DIST(AU$3,$CV27,0.3*$CV27,TRUE)-_xlfn.NORM.DIST(AU$30,$CV27,0.3*$CV27,TRUE))),""),IF($C27&gt;0,summary!$C$10/28.8/0.947817,""))</f>
        <v/>
      </c>
      <c r="AV56">
        <f t="array" ref="AV56">IF($D27,IFERROR((SUMPRODUCT((economics!$AG$2:$AG$167=$B56)*(economics!$D$2:$D$167="whr")*economics!$AH$2:$AH$167*(_xlfn.NORM.DIST(AV$3,economics!$AK$2:$AK$167,economics!$AJ$2:$AJ$167,TRUE)-_xlfn.NORM.DIST(AV$30,economics!$AK$2:$AK$167,economics!$AJ$2:$AJ$167,TRUE))*economics!$AM$2:$AM$167)+$CR27*(_xlfn.NORM.DIST(AV$3,$CU27,0.3*$CU27,TRUE)-_xlfn.NORM.DIST(AV$30,$CU27,0.3*$CU27,TRUE))*summary!$C$7/28.8/0.947817+$CS27*(_xlfn.NORM.DIST(AV$3,$CV27,0.3*$CV27,TRUE)-_xlfn.NORM.DIST(AV$30,$CV27,0.3*$CV27,TRUE))*summary!$C$6/28.8/0.947817)/(SUMPRODUCT((economics!$AG$2:$AG$167=$B56)*(economics!$D$2:$D$167="whr")*economics!$AH$2:$AH$167*(_xlfn.NORM.DIST(AV$3,economics!$AK$2:$AK$167,economics!$AJ$2:$AJ$167,TRUE)-_xlfn.NORM.DIST(AV$30,economics!$AK$2:$AK$167,economics!$AJ$2:$AJ$167,TRUE)))+$CR27*(_xlfn.NORM.DIST(AV$3,$CU27,0.3*$CU27,TRUE)-_xlfn.NORM.DIST(AV$30,$CU27,0.3*$CU27,TRUE))+$CS27*(_xlfn.NORM.DIST(AV$3,$CV27,0.3*$CV27,TRUE)-_xlfn.NORM.DIST(AV$30,$CV27,0.3*$CV27,TRUE))),""),IF($C27&gt;0,summary!$C$10/28.8/0.947817,""))</f>
        <v/>
      </c>
      <c r="AW56">
        <f t="array" ref="AW56">IF($D27,IFERROR((SUMPRODUCT((economics!$AG$2:$AG$167=$B56)*(economics!$D$2:$D$167="whr")*economics!$AH$2:$AH$167*(_xlfn.NORM.DIST(AW$3,economics!$AK$2:$AK$167,economics!$AJ$2:$AJ$167,TRUE)-_xlfn.NORM.DIST(AW$30,economics!$AK$2:$AK$167,economics!$AJ$2:$AJ$167,TRUE))*economics!$AM$2:$AM$167)+$CR27*(_xlfn.NORM.DIST(AW$3,$CU27,0.3*$CU27,TRUE)-_xlfn.NORM.DIST(AW$30,$CU27,0.3*$CU27,TRUE))*summary!$C$7/28.8/0.947817+$CS27*(_xlfn.NORM.DIST(AW$3,$CV27,0.3*$CV27,TRUE)-_xlfn.NORM.DIST(AW$30,$CV27,0.3*$CV27,TRUE))*summary!$C$6/28.8/0.947817)/(SUMPRODUCT((economics!$AG$2:$AG$167=$B56)*(economics!$D$2:$D$167="whr")*economics!$AH$2:$AH$167*(_xlfn.NORM.DIST(AW$3,economics!$AK$2:$AK$167,economics!$AJ$2:$AJ$167,TRUE)-_xlfn.NORM.DIST(AW$30,economics!$AK$2:$AK$167,economics!$AJ$2:$AJ$167,TRUE)))+$CR27*(_xlfn.NORM.DIST(AW$3,$CU27,0.3*$CU27,TRUE)-_xlfn.NORM.DIST(AW$30,$CU27,0.3*$CU27,TRUE))+$CS27*(_xlfn.NORM.DIST(AW$3,$CV27,0.3*$CV27,TRUE)-_xlfn.NORM.DIST(AW$30,$CV27,0.3*$CV27,TRUE))),""),IF($C27&gt;0,summary!$C$10/28.8/0.947817,""))</f>
        <v/>
      </c>
      <c r="AX56">
        <f t="array" ref="AX56">IF($D27,IFERROR((SUMPRODUCT((economics!$AG$2:$AG$167=$B56)*(economics!$D$2:$D$167="whr")*economics!$AH$2:$AH$167*(_xlfn.NORM.DIST(AX$3,economics!$AK$2:$AK$167,economics!$AJ$2:$AJ$167,TRUE)-_xlfn.NORM.DIST(AX$30,economics!$AK$2:$AK$167,economics!$AJ$2:$AJ$167,TRUE))*economics!$AM$2:$AM$167)+$CR27*(_xlfn.NORM.DIST(AX$3,$CU27,0.3*$CU27,TRUE)-_xlfn.NORM.DIST(AX$30,$CU27,0.3*$CU27,TRUE))*summary!$C$7/28.8/0.947817+$CS27*(_xlfn.NORM.DIST(AX$3,$CV27,0.3*$CV27,TRUE)-_xlfn.NORM.DIST(AX$30,$CV27,0.3*$CV27,TRUE))*summary!$C$6/28.8/0.947817)/(SUMPRODUCT((economics!$AG$2:$AG$167=$B56)*(economics!$D$2:$D$167="whr")*economics!$AH$2:$AH$167*(_xlfn.NORM.DIST(AX$3,economics!$AK$2:$AK$167,economics!$AJ$2:$AJ$167,TRUE)-_xlfn.NORM.DIST(AX$30,economics!$AK$2:$AK$167,economics!$AJ$2:$AJ$167,TRUE)))+$CR27*(_xlfn.NORM.DIST(AX$3,$CU27,0.3*$CU27,TRUE)-_xlfn.NORM.DIST(AX$30,$CU27,0.3*$CU27,TRUE))+$CS27*(_xlfn.NORM.DIST(AX$3,$CV27,0.3*$CV27,TRUE)-_xlfn.NORM.DIST(AX$30,$CV27,0.3*$CV27,TRUE))),""),IF($C27&gt;0,summary!$C$10/28.8/0.947817,""))</f>
        <v/>
      </c>
      <c r="AY56">
        <f t="array" ref="AY56">IF($D27,IFERROR((SUMPRODUCT((economics!$AG$2:$AG$167=$B56)*(economics!$D$2:$D$167="whr")*economics!$AH$2:$AH$167*(_xlfn.NORM.DIST(AY$3,economics!$AK$2:$AK$167,economics!$AJ$2:$AJ$167,TRUE)-_xlfn.NORM.DIST(AY$30,economics!$AK$2:$AK$167,economics!$AJ$2:$AJ$167,TRUE))*economics!$AM$2:$AM$167)+$CR27*(_xlfn.NORM.DIST(AY$3,$CU27,0.3*$CU27,TRUE)-_xlfn.NORM.DIST(AY$30,$CU27,0.3*$CU27,TRUE))*summary!$C$7/28.8/0.947817+$CS27*(_xlfn.NORM.DIST(AY$3,$CV27,0.3*$CV27,TRUE)-_xlfn.NORM.DIST(AY$30,$CV27,0.3*$CV27,TRUE))*summary!$C$6/28.8/0.947817)/(SUMPRODUCT((economics!$AG$2:$AG$167=$B56)*(economics!$D$2:$D$167="whr")*economics!$AH$2:$AH$167*(_xlfn.NORM.DIST(AY$3,economics!$AK$2:$AK$167,economics!$AJ$2:$AJ$167,TRUE)-_xlfn.NORM.DIST(AY$30,economics!$AK$2:$AK$167,economics!$AJ$2:$AJ$167,TRUE)))+$CR27*(_xlfn.NORM.DIST(AY$3,$CU27,0.3*$CU27,TRUE)-_xlfn.NORM.DIST(AY$30,$CU27,0.3*$CU27,TRUE))+$CS27*(_xlfn.NORM.DIST(AY$3,$CV27,0.3*$CV27,TRUE)-_xlfn.NORM.DIST(AY$30,$CV27,0.3*$CV27,TRUE))),""),IF($C27&gt;0,summary!$C$10/28.8/0.947817,""))</f>
        <v/>
      </c>
      <c r="AZ56">
        <f t="array" ref="AZ56">IF($D27,IFERROR((SUMPRODUCT((economics!$AG$2:$AG$167=$B56)*(economics!$D$2:$D$167="whr")*economics!$AH$2:$AH$167*(_xlfn.NORM.DIST(AZ$3,economics!$AK$2:$AK$167,economics!$AJ$2:$AJ$167,TRUE)-_xlfn.NORM.DIST(AZ$30,economics!$AK$2:$AK$167,economics!$AJ$2:$AJ$167,TRUE))*economics!$AM$2:$AM$167)+$CR27*(_xlfn.NORM.DIST(AZ$3,$CU27,0.3*$CU27,TRUE)-_xlfn.NORM.DIST(AZ$30,$CU27,0.3*$CU27,TRUE))*summary!$C$7/28.8/0.947817+$CS27*(_xlfn.NORM.DIST(AZ$3,$CV27,0.3*$CV27,TRUE)-_xlfn.NORM.DIST(AZ$30,$CV27,0.3*$CV27,TRUE))*summary!$C$6/28.8/0.947817)/(SUMPRODUCT((economics!$AG$2:$AG$167=$B56)*(economics!$D$2:$D$167="whr")*economics!$AH$2:$AH$167*(_xlfn.NORM.DIST(AZ$3,economics!$AK$2:$AK$167,economics!$AJ$2:$AJ$167,TRUE)-_xlfn.NORM.DIST(AZ$30,economics!$AK$2:$AK$167,economics!$AJ$2:$AJ$167,TRUE)))+$CR27*(_xlfn.NORM.DIST(AZ$3,$CU27,0.3*$CU27,TRUE)-_xlfn.NORM.DIST(AZ$30,$CU27,0.3*$CU27,TRUE))+$CS27*(_xlfn.NORM.DIST(AZ$3,$CV27,0.3*$CV27,TRUE)-_xlfn.NORM.DIST(AZ$30,$CV27,0.3*$CV27,TRUE))),""),IF($C27&gt;0,summary!$C$10/28.8/0.947817,""))</f>
        <v/>
      </c>
      <c r="BA56">
        <f t="array" ref="BA56">IF($D27,IFERROR((SUMPRODUCT((economics!$AG$2:$AG$167=$B56)*(economics!$D$2:$D$167="whr")*economics!$AH$2:$AH$167*(_xlfn.NORM.DIST(BA$3,economics!$AK$2:$AK$167,economics!$AJ$2:$AJ$167,TRUE)-_xlfn.NORM.DIST(BA$30,economics!$AK$2:$AK$167,economics!$AJ$2:$AJ$167,TRUE))*economics!$AM$2:$AM$167)+$CR27*(_xlfn.NORM.DIST(BA$3,$CU27,0.3*$CU27,TRUE)-_xlfn.NORM.DIST(BA$30,$CU27,0.3*$CU27,TRUE))*summary!$C$7/28.8/0.947817+$CS27*(_xlfn.NORM.DIST(BA$3,$CV27,0.3*$CV27,TRUE)-_xlfn.NORM.DIST(BA$30,$CV27,0.3*$CV27,TRUE))*summary!$C$6/28.8/0.947817)/(SUMPRODUCT((economics!$AG$2:$AG$167=$B56)*(economics!$D$2:$D$167="whr")*economics!$AH$2:$AH$167*(_xlfn.NORM.DIST(BA$3,economics!$AK$2:$AK$167,economics!$AJ$2:$AJ$167,TRUE)-_xlfn.NORM.DIST(BA$30,economics!$AK$2:$AK$167,economics!$AJ$2:$AJ$167,TRUE)))+$CR27*(_xlfn.NORM.DIST(BA$3,$CU27,0.3*$CU27,TRUE)-_xlfn.NORM.DIST(BA$30,$CU27,0.3*$CU27,TRUE))+$CS27*(_xlfn.NORM.DIST(BA$3,$CV27,0.3*$CV27,TRUE)-_xlfn.NORM.DIST(BA$30,$CV27,0.3*$CV27,TRUE))),""),IF($C27&gt;0,summary!$C$10/28.8/0.947817,""))</f>
        <v/>
      </c>
      <c r="BB56">
        <f t="array" ref="BB56">IF($D27,IFERROR((SUMPRODUCT((economics!$AG$2:$AG$167=$B56)*(economics!$D$2:$D$167="whr")*economics!$AH$2:$AH$167*(_xlfn.NORM.DIST(BB$3,economics!$AK$2:$AK$167,economics!$AJ$2:$AJ$167,TRUE)-_xlfn.NORM.DIST(BB$30,economics!$AK$2:$AK$167,economics!$AJ$2:$AJ$167,TRUE))*economics!$AM$2:$AM$167)+$CR27*(_xlfn.NORM.DIST(BB$3,$CU27,0.3*$CU27,TRUE)-_xlfn.NORM.DIST(BB$30,$CU27,0.3*$CU27,TRUE))*summary!$C$7/28.8/0.947817+$CS27*(_xlfn.NORM.DIST(BB$3,$CV27,0.3*$CV27,TRUE)-_xlfn.NORM.DIST(BB$30,$CV27,0.3*$CV27,TRUE))*summary!$C$6/28.8/0.947817)/(SUMPRODUCT((economics!$AG$2:$AG$167=$B56)*(economics!$D$2:$D$167="whr")*economics!$AH$2:$AH$167*(_xlfn.NORM.DIST(BB$3,economics!$AK$2:$AK$167,economics!$AJ$2:$AJ$167,TRUE)-_xlfn.NORM.DIST(BB$30,economics!$AK$2:$AK$167,economics!$AJ$2:$AJ$167,TRUE)))+$CR27*(_xlfn.NORM.DIST(BB$3,$CU27,0.3*$CU27,TRUE)-_xlfn.NORM.DIST(BB$30,$CU27,0.3*$CU27,TRUE))+$CS27*(_xlfn.NORM.DIST(BB$3,$CV27,0.3*$CV27,TRUE)-_xlfn.NORM.DIST(BB$30,$CV27,0.3*$CV27,TRUE))),""),IF($C27&gt;0,summary!$C$10/28.8/0.947817,""))</f>
        <v/>
      </c>
      <c r="BC56">
        <f t="array" ref="BC56">IF($D27,IFERROR((SUMPRODUCT((economics!$AG$2:$AG$167=$B56)*(economics!$D$2:$D$167="whr")*economics!$AH$2:$AH$167*(_xlfn.NORM.DIST(BC$3,economics!$AK$2:$AK$167,economics!$AJ$2:$AJ$167,TRUE)-_xlfn.NORM.DIST(BC$30,economics!$AK$2:$AK$167,economics!$AJ$2:$AJ$167,TRUE))*economics!$AM$2:$AM$167)+$CR27*(_xlfn.NORM.DIST(BC$3,$CU27,0.3*$CU27,TRUE)-_xlfn.NORM.DIST(BC$30,$CU27,0.3*$CU27,TRUE))*summary!$C$7/28.8/0.947817+$CS27*(_xlfn.NORM.DIST(BC$3,$CV27,0.3*$CV27,TRUE)-_xlfn.NORM.DIST(BC$30,$CV27,0.3*$CV27,TRUE))*summary!$C$6/28.8/0.947817)/(SUMPRODUCT((economics!$AG$2:$AG$167=$B56)*(economics!$D$2:$D$167="whr")*economics!$AH$2:$AH$167*(_xlfn.NORM.DIST(BC$3,economics!$AK$2:$AK$167,economics!$AJ$2:$AJ$167,TRUE)-_xlfn.NORM.DIST(BC$30,economics!$AK$2:$AK$167,economics!$AJ$2:$AJ$167,TRUE)))+$CR27*(_xlfn.NORM.DIST(BC$3,$CU27,0.3*$CU27,TRUE)-_xlfn.NORM.DIST(BC$30,$CU27,0.3*$CU27,TRUE))+$CS27*(_xlfn.NORM.DIST(BC$3,$CV27,0.3*$CV27,TRUE)-_xlfn.NORM.DIST(BC$30,$CV27,0.3*$CV27,TRUE))),""),IF($C27&gt;0,summary!$C$10/28.8/0.947817,""))</f>
        <v/>
      </c>
      <c r="BD56">
        <f t="array" ref="BD56">IF($D27,IFERROR((SUMPRODUCT((economics!$AG$2:$AG$167=$B56)*(economics!$D$2:$D$167="whr")*economics!$AH$2:$AH$167*(_xlfn.NORM.DIST(BD$3,economics!$AK$2:$AK$167,economics!$AJ$2:$AJ$167,TRUE)-_xlfn.NORM.DIST(BD$30,economics!$AK$2:$AK$167,economics!$AJ$2:$AJ$167,TRUE))*economics!$AM$2:$AM$167)+$CR27*(_xlfn.NORM.DIST(BD$3,$CU27,0.3*$CU27,TRUE)-_xlfn.NORM.DIST(BD$30,$CU27,0.3*$CU27,TRUE))*summary!$C$7/28.8/0.947817+$CS27*(_xlfn.NORM.DIST(BD$3,$CV27,0.3*$CV27,TRUE)-_xlfn.NORM.DIST(BD$30,$CV27,0.3*$CV27,TRUE))*summary!$C$6/28.8/0.947817)/(SUMPRODUCT((economics!$AG$2:$AG$167=$B56)*(economics!$D$2:$D$167="whr")*economics!$AH$2:$AH$167*(_xlfn.NORM.DIST(BD$3,economics!$AK$2:$AK$167,economics!$AJ$2:$AJ$167,TRUE)-_xlfn.NORM.DIST(BD$30,economics!$AK$2:$AK$167,economics!$AJ$2:$AJ$167,TRUE)))+$CR27*(_xlfn.NORM.DIST(BD$3,$CU27,0.3*$CU27,TRUE)-_xlfn.NORM.DIST(BD$30,$CU27,0.3*$CU27,TRUE))+$CS27*(_xlfn.NORM.DIST(BD$3,$CV27,0.3*$CV27,TRUE)-_xlfn.NORM.DIST(BD$30,$CV27,0.3*$CV27,TRUE))),""),IF($C27&gt;0,summary!$C$10/28.8/0.947817,""))</f>
        <v/>
      </c>
      <c r="BE56">
        <f t="array" ref="BE56">IF($D27,IFERROR((SUMPRODUCT((economics!$AG$2:$AG$167=$B56)*(economics!$D$2:$D$167="whr")*economics!$AH$2:$AH$167*(_xlfn.NORM.DIST(BE$3,economics!$AK$2:$AK$167,economics!$AJ$2:$AJ$167,TRUE)-_xlfn.NORM.DIST(BE$30,economics!$AK$2:$AK$167,economics!$AJ$2:$AJ$167,TRUE))*economics!$AM$2:$AM$167)+$CR27*(_xlfn.NORM.DIST(BE$3,$CU27,0.3*$CU27,TRUE)-_xlfn.NORM.DIST(BE$30,$CU27,0.3*$CU27,TRUE))*summary!$C$7/28.8/0.947817+$CS27*(_xlfn.NORM.DIST(BE$3,$CV27,0.3*$CV27,TRUE)-_xlfn.NORM.DIST(BE$30,$CV27,0.3*$CV27,TRUE))*summary!$C$6/28.8/0.947817)/(SUMPRODUCT((economics!$AG$2:$AG$167=$B56)*(economics!$D$2:$D$167="whr")*economics!$AH$2:$AH$167*(_xlfn.NORM.DIST(BE$3,economics!$AK$2:$AK$167,economics!$AJ$2:$AJ$167,TRUE)-_xlfn.NORM.DIST(BE$30,economics!$AK$2:$AK$167,economics!$AJ$2:$AJ$167,TRUE)))+$CR27*(_xlfn.NORM.DIST(BE$3,$CU27,0.3*$CU27,TRUE)-_xlfn.NORM.DIST(BE$30,$CU27,0.3*$CU27,TRUE))+$CS27*(_xlfn.NORM.DIST(BE$3,$CV27,0.3*$CV27,TRUE)-_xlfn.NORM.DIST(BE$30,$CV27,0.3*$CV27,TRUE))),""),IF($C27&gt;0,summary!$C$10/28.8/0.947817,""))</f>
        <v/>
      </c>
      <c r="BF56">
        <f t="array" ref="BF56">IF($D27,IFERROR((SUMPRODUCT((economics!$AG$2:$AG$167=$B56)*(economics!$D$2:$D$167="whr")*economics!$AH$2:$AH$167*(_xlfn.NORM.DIST(BF$3,economics!$AK$2:$AK$167,economics!$AJ$2:$AJ$167,TRUE)-_xlfn.NORM.DIST(BF$30,economics!$AK$2:$AK$167,economics!$AJ$2:$AJ$167,TRUE))*economics!$AM$2:$AM$167)+$CR27*(_xlfn.NORM.DIST(BF$3,$CU27,0.3*$CU27,TRUE)-_xlfn.NORM.DIST(BF$30,$CU27,0.3*$CU27,TRUE))*summary!$C$7/28.8/0.947817+$CS27*(_xlfn.NORM.DIST(BF$3,$CV27,0.3*$CV27,TRUE)-_xlfn.NORM.DIST(BF$30,$CV27,0.3*$CV27,TRUE))*summary!$C$6/28.8/0.947817)/(SUMPRODUCT((economics!$AG$2:$AG$167=$B56)*(economics!$D$2:$D$167="whr")*economics!$AH$2:$AH$167*(_xlfn.NORM.DIST(BF$3,economics!$AK$2:$AK$167,economics!$AJ$2:$AJ$167,TRUE)-_xlfn.NORM.DIST(BF$30,economics!$AK$2:$AK$167,economics!$AJ$2:$AJ$167,TRUE)))+$CR27*(_xlfn.NORM.DIST(BF$3,$CU27,0.3*$CU27,TRUE)-_xlfn.NORM.DIST(BF$30,$CU27,0.3*$CU27,TRUE))+$CS27*(_xlfn.NORM.DIST(BF$3,$CV27,0.3*$CV27,TRUE)-_xlfn.NORM.DIST(BF$30,$CV27,0.3*$CV27,TRUE))),""),IF($C27&gt;0,summary!$C$10/28.8/0.947817,""))</f>
        <v/>
      </c>
      <c r="BG56">
        <f t="array" ref="BG56">IF($D27,IFERROR((SUMPRODUCT((economics!$AG$2:$AG$167=$B56)*(economics!$D$2:$D$167="whr")*economics!$AH$2:$AH$167*(_xlfn.NORM.DIST(BG$3,economics!$AK$2:$AK$167,economics!$AJ$2:$AJ$167,TRUE)-_xlfn.NORM.DIST(BG$30,economics!$AK$2:$AK$167,economics!$AJ$2:$AJ$167,TRUE))*economics!$AM$2:$AM$167)+$CR27*(_xlfn.NORM.DIST(BG$3,$CU27,0.3*$CU27,TRUE)-_xlfn.NORM.DIST(BG$30,$CU27,0.3*$CU27,TRUE))*summary!$C$7/28.8/0.947817+$CS27*(_xlfn.NORM.DIST(BG$3,$CV27,0.3*$CV27,TRUE)-_xlfn.NORM.DIST(BG$30,$CV27,0.3*$CV27,TRUE))*summary!$C$6/28.8/0.947817)/(SUMPRODUCT((economics!$AG$2:$AG$167=$B56)*(economics!$D$2:$D$167="whr")*economics!$AH$2:$AH$167*(_xlfn.NORM.DIST(BG$3,economics!$AK$2:$AK$167,economics!$AJ$2:$AJ$167,TRUE)-_xlfn.NORM.DIST(BG$30,economics!$AK$2:$AK$167,economics!$AJ$2:$AJ$167,TRUE)))+$CR27*(_xlfn.NORM.DIST(BG$3,$CU27,0.3*$CU27,TRUE)-_xlfn.NORM.DIST(BG$30,$CU27,0.3*$CU27,TRUE))+$CS27*(_xlfn.NORM.DIST(BG$3,$CV27,0.3*$CV27,TRUE)-_xlfn.NORM.DIST(BG$30,$CV27,0.3*$CV27,TRUE))),""),IF($C27&gt;0,summary!$C$10/28.8/0.947817,""))</f>
        <v/>
      </c>
      <c r="BH56">
        <f t="array" ref="BH56">IF($D27,IFERROR((SUMPRODUCT((economics!$AG$2:$AG$167=$B56)*(economics!$D$2:$D$167="whr")*economics!$AH$2:$AH$167*(_xlfn.NORM.DIST(BH$3,economics!$AK$2:$AK$167,economics!$AJ$2:$AJ$167,TRUE)-_xlfn.NORM.DIST(BH$30,economics!$AK$2:$AK$167,economics!$AJ$2:$AJ$167,TRUE))*economics!$AM$2:$AM$167)+$CR27*(_xlfn.NORM.DIST(BH$3,$CU27,0.3*$CU27,TRUE)-_xlfn.NORM.DIST(BH$30,$CU27,0.3*$CU27,TRUE))*summary!$C$7/28.8/0.947817+$CS27*(_xlfn.NORM.DIST(BH$3,$CV27,0.3*$CV27,TRUE)-_xlfn.NORM.DIST(BH$30,$CV27,0.3*$CV27,TRUE))*summary!$C$6/28.8/0.947817)/(SUMPRODUCT((economics!$AG$2:$AG$167=$B56)*(economics!$D$2:$D$167="whr")*economics!$AH$2:$AH$167*(_xlfn.NORM.DIST(BH$3,economics!$AK$2:$AK$167,economics!$AJ$2:$AJ$167,TRUE)-_xlfn.NORM.DIST(BH$30,economics!$AK$2:$AK$167,economics!$AJ$2:$AJ$167,TRUE)))+$CR27*(_xlfn.NORM.DIST(BH$3,$CU27,0.3*$CU27,TRUE)-_xlfn.NORM.DIST(BH$30,$CU27,0.3*$CU27,TRUE))+$CS27*(_xlfn.NORM.DIST(BH$3,$CV27,0.3*$CV27,TRUE)-_xlfn.NORM.DIST(BH$30,$CV27,0.3*$CV27,TRUE))),""),IF($C27&gt;0,summary!$C$10/28.8/0.947817,""))</f>
        <v/>
      </c>
      <c r="BI56">
        <f t="array" ref="BI56">IF($D27,IFERROR((SUMPRODUCT((economics!$AG$2:$AG$167=$B56)*(economics!$D$2:$D$167="whr")*economics!$AH$2:$AH$167*(_xlfn.NORM.DIST(BI$3,economics!$AK$2:$AK$167,economics!$AJ$2:$AJ$167,TRUE)-_xlfn.NORM.DIST(BI$30,economics!$AK$2:$AK$167,economics!$AJ$2:$AJ$167,TRUE))*economics!$AM$2:$AM$167)+$CR27*(_xlfn.NORM.DIST(BI$3,$CU27,0.3*$CU27,TRUE)-_xlfn.NORM.DIST(BI$30,$CU27,0.3*$CU27,TRUE))*summary!$C$7/28.8/0.947817+$CS27*(_xlfn.NORM.DIST(BI$3,$CV27,0.3*$CV27,TRUE)-_xlfn.NORM.DIST(BI$30,$CV27,0.3*$CV27,TRUE))*summary!$C$6/28.8/0.947817)/(SUMPRODUCT((economics!$AG$2:$AG$167=$B56)*(economics!$D$2:$D$167="whr")*economics!$AH$2:$AH$167*(_xlfn.NORM.DIST(BI$3,economics!$AK$2:$AK$167,economics!$AJ$2:$AJ$167,TRUE)-_xlfn.NORM.DIST(BI$30,economics!$AK$2:$AK$167,economics!$AJ$2:$AJ$167,TRUE)))+$CR27*(_xlfn.NORM.DIST(BI$3,$CU27,0.3*$CU27,TRUE)-_xlfn.NORM.DIST(BI$30,$CU27,0.3*$CU27,TRUE))+$CS27*(_xlfn.NORM.DIST(BI$3,$CV27,0.3*$CV27,TRUE)-_xlfn.NORM.DIST(BI$30,$CV27,0.3*$CV27,TRUE))),""),IF($C27&gt;0,summary!$C$10/28.8/0.947817,""))</f>
        <v/>
      </c>
      <c r="BJ56">
        <f t="array" ref="BJ56">IF($D27,IFERROR((SUMPRODUCT((economics!$AG$2:$AG$167=$B56)*(economics!$D$2:$D$167="whr")*economics!$AH$2:$AH$167*(_xlfn.NORM.DIST(BJ$3,economics!$AK$2:$AK$167,economics!$AJ$2:$AJ$167,TRUE)-_xlfn.NORM.DIST(BJ$30,economics!$AK$2:$AK$167,economics!$AJ$2:$AJ$167,TRUE))*economics!$AM$2:$AM$167)+$CR27*(_xlfn.NORM.DIST(BJ$3,$CU27,0.3*$CU27,TRUE)-_xlfn.NORM.DIST(BJ$30,$CU27,0.3*$CU27,TRUE))*summary!$C$7/28.8/0.947817+$CS27*(_xlfn.NORM.DIST(BJ$3,$CV27,0.3*$CV27,TRUE)-_xlfn.NORM.DIST(BJ$30,$CV27,0.3*$CV27,TRUE))*summary!$C$6/28.8/0.947817)/(SUMPRODUCT((economics!$AG$2:$AG$167=$B56)*(economics!$D$2:$D$167="whr")*economics!$AH$2:$AH$167*(_xlfn.NORM.DIST(BJ$3,economics!$AK$2:$AK$167,economics!$AJ$2:$AJ$167,TRUE)-_xlfn.NORM.DIST(BJ$30,economics!$AK$2:$AK$167,economics!$AJ$2:$AJ$167,TRUE)))+$CR27*(_xlfn.NORM.DIST(BJ$3,$CU27,0.3*$CU27,TRUE)-_xlfn.NORM.DIST(BJ$30,$CU27,0.3*$CU27,TRUE))+$CS27*(_xlfn.NORM.DIST(BJ$3,$CV27,0.3*$CV27,TRUE)-_xlfn.NORM.DIST(BJ$30,$CV27,0.3*$CV27,TRUE))),""),IF($C27&gt;0,summary!$C$10/28.8/0.947817,""))</f>
        <v/>
      </c>
      <c r="BK56">
        <f t="array" ref="BK56">IF($D27,IFERROR((SUMPRODUCT((economics!$AG$2:$AG$167=$B56)*(economics!$D$2:$D$167="whr")*economics!$AH$2:$AH$167*(_xlfn.NORM.DIST(BK$3,economics!$AK$2:$AK$167,economics!$AJ$2:$AJ$167,TRUE)-_xlfn.NORM.DIST(BK$30,economics!$AK$2:$AK$167,economics!$AJ$2:$AJ$167,TRUE))*economics!$AM$2:$AM$167)+$CR27*(_xlfn.NORM.DIST(BK$3,$CU27,0.3*$CU27,TRUE)-_xlfn.NORM.DIST(BK$30,$CU27,0.3*$CU27,TRUE))*summary!$C$7/28.8/0.947817+$CS27*(_xlfn.NORM.DIST(BK$3,$CV27,0.3*$CV27,TRUE)-_xlfn.NORM.DIST(BK$30,$CV27,0.3*$CV27,TRUE))*summary!$C$6/28.8/0.947817)/(SUMPRODUCT((economics!$AG$2:$AG$167=$B56)*(economics!$D$2:$D$167="whr")*economics!$AH$2:$AH$167*(_xlfn.NORM.DIST(BK$3,economics!$AK$2:$AK$167,economics!$AJ$2:$AJ$167,TRUE)-_xlfn.NORM.DIST(BK$30,economics!$AK$2:$AK$167,economics!$AJ$2:$AJ$167,TRUE)))+$CR27*(_xlfn.NORM.DIST(BK$3,$CU27,0.3*$CU27,TRUE)-_xlfn.NORM.DIST(BK$30,$CU27,0.3*$CU27,TRUE))+$CS27*(_xlfn.NORM.DIST(BK$3,$CV27,0.3*$CV27,TRUE)-_xlfn.NORM.DIST(BK$30,$CV27,0.3*$CV27,TRUE))),""),IF($C27&gt;0,summary!$C$10/28.8/0.947817,""))</f>
        <v/>
      </c>
      <c r="BL56">
        <f t="array" ref="BL56">IF($D27,IFERROR((SUMPRODUCT((economics!$AG$2:$AG$167=$B56)*(economics!$D$2:$D$167="whr")*economics!$AH$2:$AH$167*(_xlfn.NORM.DIST(BL$3,economics!$AK$2:$AK$167,economics!$AJ$2:$AJ$167,TRUE)-_xlfn.NORM.DIST(BL$30,economics!$AK$2:$AK$167,economics!$AJ$2:$AJ$167,TRUE))*economics!$AM$2:$AM$167)+$CR27*(_xlfn.NORM.DIST(BL$3,$CU27,0.3*$CU27,TRUE)-_xlfn.NORM.DIST(BL$30,$CU27,0.3*$CU27,TRUE))*summary!$C$7/28.8/0.947817+$CS27*(_xlfn.NORM.DIST(BL$3,$CV27,0.3*$CV27,TRUE)-_xlfn.NORM.DIST(BL$30,$CV27,0.3*$CV27,TRUE))*summary!$C$6/28.8/0.947817)/(SUMPRODUCT((economics!$AG$2:$AG$167=$B56)*(economics!$D$2:$D$167="whr")*economics!$AH$2:$AH$167*(_xlfn.NORM.DIST(BL$3,economics!$AK$2:$AK$167,economics!$AJ$2:$AJ$167,TRUE)-_xlfn.NORM.DIST(BL$30,economics!$AK$2:$AK$167,economics!$AJ$2:$AJ$167,TRUE)))+$CR27*(_xlfn.NORM.DIST(BL$3,$CU27,0.3*$CU27,TRUE)-_xlfn.NORM.DIST(BL$30,$CU27,0.3*$CU27,TRUE))+$CS27*(_xlfn.NORM.DIST(BL$3,$CV27,0.3*$CV27,TRUE)-_xlfn.NORM.DIST(BL$30,$CV27,0.3*$CV27,TRUE))),""),IF($C27&gt;0,summary!$C$10/28.8/0.947817,""))</f>
        <v/>
      </c>
      <c r="BM56">
        <f t="array" ref="BM56">IF($D27,IFERROR((SUMPRODUCT((economics!$AG$2:$AG$167=$B56)*(economics!$D$2:$D$167="whr")*economics!$AH$2:$AH$167*(_xlfn.NORM.DIST(BM$3,economics!$AK$2:$AK$167,economics!$AJ$2:$AJ$167,TRUE)-_xlfn.NORM.DIST(BM$30,economics!$AK$2:$AK$167,economics!$AJ$2:$AJ$167,TRUE))*economics!$AM$2:$AM$167)+$CR27*(_xlfn.NORM.DIST(BM$3,$CU27,0.3*$CU27,TRUE)-_xlfn.NORM.DIST(BM$30,$CU27,0.3*$CU27,TRUE))*summary!$C$7/28.8/0.947817+$CS27*(_xlfn.NORM.DIST(BM$3,$CV27,0.3*$CV27,TRUE)-_xlfn.NORM.DIST(BM$30,$CV27,0.3*$CV27,TRUE))*summary!$C$6/28.8/0.947817)/(SUMPRODUCT((economics!$AG$2:$AG$167=$B56)*(economics!$D$2:$D$167="whr")*economics!$AH$2:$AH$167*(_xlfn.NORM.DIST(BM$3,economics!$AK$2:$AK$167,economics!$AJ$2:$AJ$167,TRUE)-_xlfn.NORM.DIST(BM$30,economics!$AK$2:$AK$167,economics!$AJ$2:$AJ$167,TRUE)))+$CR27*(_xlfn.NORM.DIST(BM$3,$CU27,0.3*$CU27,TRUE)-_xlfn.NORM.DIST(BM$30,$CU27,0.3*$CU27,TRUE))+$CS27*(_xlfn.NORM.DIST(BM$3,$CV27,0.3*$CV27,TRUE)-_xlfn.NORM.DIST(BM$30,$CV27,0.3*$CV27,TRUE))),""),IF($C27&gt;0,summary!$C$10/28.8/0.947817,""))</f>
        <v/>
      </c>
      <c r="BN56">
        <f t="array" ref="BN56">IF($D27,IFERROR((SUMPRODUCT((economics!$AG$2:$AG$167=$B56)*(economics!$D$2:$D$167="whr")*economics!$AH$2:$AH$167*(_xlfn.NORM.DIST(BN$3,economics!$AK$2:$AK$167,economics!$AJ$2:$AJ$167,TRUE)-_xlfn.NORM.DIST(BN$30,economics!$AK$2:$AK$167,economics!$AJ$2:$AJ$167,TRUE))*economics!$AM$2:$AM$167)+$CR27*(_xlfn.NORM.DIST(BN$3,$CU27,0.3*$CU27,TRUE)-_xlfn.NORM.DIST(BN$30,$CU27,0.3*$CU27,TRUE))*summary!$C$7/28.8/0.947817+$CS27*(_xlfn.NORM.DIST(BN$3,$CV27,0.3*$CV27,TRUE)-_xlfn.NORM.DIST(BN$30,$CV27,0.3*$CV27,TRUE))*summary!$C$6/28.8/0.947817)/(SUMPRODUCT((economics!$AG$2:$AG$167=$B56)*(economics!$D$2:$D$167="whr")*economics!$AH$2:$AH$167*(_xlfn.NORM.DIST(BN$3,economics!$AK$2:$AK$167,economics!$AJ$2:$AJ$167,TRUE)-_xlfn.NORM.DIST(BN$30,economics!$AK$2:$AK$167,economics!$AJ$2:$AJ$167,TRUE)))+$CR27*(_xlfn.NORM.DIST(BN$3,$CU27,0.3*$CU27,TRUE)-_xlfn.NORM.DIST(BN$30,$CU27,0.3*$CU27,TRUE))+$CS27*(_xlfn.NORM.DIST(BN$3,$CV27,0.3*$CV27,TRUE)-_xlfn.NORM.DIST(BN$30,$CV27,0.3*$CV27,TRUE))),""),IF($C27&gt;0,summary!$C$10/28.8/0.947817,""))</f>
        <v/>
      </c>
      <c r="BO56">
        <f t="array" ref="BO56">IF($D27,IFERROR((SUMPRODUCT((economics!$AG$2:$AG$167=$B56)*(economics!$D$2:$D$167="whr")*economics!$AH$2:$AH$167*(_xlfn.NORM.DIST(BO$3,economics!$AK$2:$AK$167,economics!$AJ$2:$AJ$167,TRUE)-_xlfn.NORM.DIST(BO$30,economics!$AK$2:$AK$167,economics!$AJ$2:$AJ$167,TRUE))*economics!$AM$2:$AM$167)+$CR27*(_xlfn.NORM.DIST(BO$3,$CU27,0.3*$CU27,TRUE)-_xlfn.NORM.DIST(BO$30,$CU27,0.3*$CU27,TRUE))*summary!$C$7/28.8/0.947817+$CS27*(_xlfn.NORM.DIST(BO$3,$CV27,0.3*$CV27,TRUE)-_xlfn.NORM.DIST(BO$30,$CV27,0.3*$CV27,TRUE))*summary!$C$6/28.8/0.947817)/(SUMPRODUCT((economics!$AG$2:$AG$167=$B56)*(economics!$D$2:$D$167="whr")*economics!$AH$2:$AH$167*(_xlfn.NORM.DIST(BO$3,economics!$AK$2:$AK$167,economics!$AJ$2:$AJ$167,TRUE)-_xlfn.NORM.DIST(BO$30,economics!$AK$2:$AK$167,economics!$AJ$2:$AJ$167,TRUE)))+$CR27*(_xlfn.NORM.DIST(BO$3,$CU27,0.3*$CU27,TRUE)-_xlfn.NORM.DIST(BO$30,$CU27,0.3*$CU27,TRUE))+$CS27*(_xlfn.NORM.DIST(BO$3,$CV27,0.3*$CV27,TRUE)-_xlfn.NORM.DIST(BO$30,$CV27,0.3*$CV27,TRUE))),""),IF($C27&gt;0,summary!$C$10/28.8/0.947817,""))</f>
        <v/>
      </c>
      <c r="BP56">
        <f t="array" ref="BP56">IF($D27,IFERROR((SUMPRODUCT((economics!$AG$2:$AG$167=$B56)*(economics!$D$2:$D$167="whr")*economics!$AH$2:$AH$167*(_xlfn.NORM.DIST(BP$3,economics!$AK$2:$AK$167,economics!$AJ$2:$AJ$167,TRUE)-_xlfn.NORM.DIST(BP$30,economics!$AK$2:$AK$167,economics!$AJ$2:$AJ$167,TRUE))*economics!$AM$2:$AM$167)+$CR27*(_xlfn.NORM.DIST(BP$3,$CU27,0.3*$CU27,TRUE)-_xlfn.NORM.DIST(BP$30,$CU27,0.3*$CU27,TRUE))*summary!$C$7/28.8/0.947817+$CS27*(_xlfn.NORM.DIST(BP$3,$CV27,0.3*$CV27,TRUE)-_xlfn.NORM.DIST(BP$30,$CV27,0.3*$CV27,TRUE))*summary!$C$6/28.8/0.947817)/(SUMPRODUCT((economics!$AG$2:$AG$167=$B56)*(economics!$D$2:$D$167="whr")*economics!$AH$2:$AH$167*(_xlfn.NORM.DIST(BP$3,economics!$AK$2:$AK$167,economics!$AJ$2:$AJ$167,TRUE)-_xlfn.NORM.DIST(BP$30,economics!$AK$2:$AK$167,economics!$AJ$2:$AJ$167,TRUE)))+$CR27*(_xlfn.NORM.DIST(BP$3,$CU27,0.3*$CU27,TRUE)-_xlfn.NORM.DIST(BP$30,$CU27,0.3*$CU27,TRUE))+$CS27*(_xlfn.NORM.DIST(BP$3,$CV27,0.3*$CV27,TRUE)-_xlfn.NORM.DIST(BP$30,$CV27,0.3*$CV27,TRUE))),""),IF($C27&gt;0,summary!$C$10/28.8/0.947817,""))</f>
        <v/>
      </c>
      <c r="BQ56">
        <f t="array" ref="BQ56">IF($D27,IFERROR((SUMPRODUCT((economics!$AG$2:$AG$167=$B56)*(economics!$D$2:$D$167="whr")*economics!$AH$2:$AH$167*(_xlfn.NORM.DIST(BQ$3,economics!$AK$2:$AK$167,economics!$AJ$2:$AJ$167,TRUE)-_xlfn.NORM.DIST(BQ$30,economics!$AK$2:$AK$167,economics!$AJ$2:$AJ$167,TRUE))*economics!$AM$2:$AM$167)+$CR27*(_xlfn.NORM.DIST(BQ$3,$CU27,0.3*$CU27,TRUE)-_xlfn.NORM.DIST(BQ$30,$CU27,0.3*$CU27,TRUE))*summary!$C$7/28.8/0.947817+$CS27*(_xlfn.NORM.DIST(BQ$3,$CV27,0.3*$CV27,TRUE)-_xlfn.NORM.DIST(BQ$30,$CV27,0.3*$CV27,TRUE))*summary!$C$6/28.8/0.947817)/(SUMPRODUCT((economics!$AG$2:$AG$167=$B56)*(economics!$D$2:$D$167="whr")*economics!$AH$2:$AH$167*(_xlfn.NORM.DIST(BQ$3,economics!$AK$2:$AK$167,economics!$AJ$2:$AJ$167,TRUE)-_xlfn.NORM.DIST(BQ$30,economics!$AK$2:$AK$167,economics!$AJ$2:$AJ$167,TRUE)))+$CR27*(_xlfn.NORM.DIST(BQ$3,$CU27,0.3*$CU27,TRUE)-_xlfn.NORM.DIST(BQ$30,$CU27,0.3*$CU27,TRUE))+$CS27*(_xlfn.NORM.DIST(BQ$3,$CV27,0.3*$CV27,TRUE)-_xlfn.NORM.DIST(BQ$30,$CV27,0.3*$CV27,TRUE))),""),IF($C27&gt;0,summary!$C$10/28.8/0.947817,""))</f>
        <v/>
      </c>
      <c r="BR56">
        <f t="array" ref="BR56">IF($D27,IFERROR((SUMPRODUCT((economics!$AG$2:$AG$167=$B56)*(economics!$D$2:$D$167="whr")*economics!$AH$2:$AH$167*(_xlfn.NORM.DIST(BR$3,economics!$AK$2:$AK$167,economics!$AJ$2:$AJ$167,TRUE)-_xlfn.NORM.DIST(BR$30,economics!$AK$2:$AK$167,economics!$AJ$2:$AJ$167,TRUE))*economics!$AM$2:$AM$167)+$CR27*(_xlfn.NORM.DIST(BR$3,$CU27,0.3*$CU27,TRUE)-_xlfn.NORM.DIST(BR$30,$CU27,0.3*$CU27,TRUE))*summary!$C$7/28.8/0.947817+$CS27*(_xlfn.NORM.DIST(BR$3,$CV27,0.3*$CV27,TRUE)-_xlfn.NORM.DIST(BR$30,$CV27,0.3*$CV27,TRUE))*summary!$C$6/28.8/0.947817)/(SUMPRODUCT((economics!$AG$2:$AG$167=$B56)*(economics!$D$2:$D$167="whr")*economics!$AH$2:$AH$167*(_xlfn.NORM.DIST(BR$3,economics!$AK$2:$AK$167,economics!$AJ$2:$AJ$167,TRUE)-_xlfn.NORM.DIST(BR$30,economics!$AK$2:$AK$167,economics!$AJ$2:$AJ$167,TRUE)))+$CR27*(_xlfn.NORM.DIST(BR$3,$CU27,0.3*$CU27,TRUE)-_xlfn.NORM.DIST(BR$30,$CU27,0.3*$CU27,TRUE))+$CS27*(_xlfn.NORM.DIST(BR$3,$CV27,0.3*$CV27,TRUE)-_xlfn.NORM.DIST(BR$30,$CV27,0.3*$CV27,TRUE))),""),IF($C27&gt;0,summary!$C$10/28.8/0.947817,""))</f>
        <v/>
      </c>
      <c r="BS56">
        <f t="array" ref="BS56">IF($D27,IFERROR((SUMPRODUCT((economics!$AG$2:$AG$167=$B56)*(economics!$D$2:$D$167="whr")*economics!$AH$2:$AH$167*(_xlfn.NORM.DIST(BS$3,economics!$AK$2:$AK$167,economics!$AJ$2:$AJ$167,TRUE)-_xlfn.NORM.DIST(BS$30,economics!$AK$2:$AK$167,economics!$AJ$2:$AJ$167,TRUE))*economics!$AM$2:$AM$167)+$CR27*(_xlfn.NORM.DIST(BS$3,$CU27,0.3*$CU27,TRUE)-_xlfn.NORM.DIST(BS$30,$CU27,0.3*$CU27,TRUE))*summary!$C$7/28.8/0.947817+$CS27*(_xlfn.NORM.DIST(BS$3,$CV27,0.3*$CV27,TRUE)-_xlfn.NORM.DIST(BS$30,$CV27,0.3*$CV27,TRUE))*summary!$C$6/28.8/0.947817)/(SUMPRODUCT((economics!$AG$2:$AG$167=$B56)*(economics!$D$2:$D$167="whr")*economics!$AH$2:$AH$167*(_xlfn.NORM.DIST(BS$3,economics!$AK$2:$AK$167,economics!$AJ$2:$AJ$167,TRUE)-_xlfn.NORM.DIST(BS$30,economics!$AK$2:$AK$167,economics!$AJ$2:$AJ$167,TRUE)))+$CR27*(_xlfn.NORM.DIST(BS$3,$CU27,0.3*$CU27,TRUE)-_xlfn.NORM.DIST(BS$30,$CU27,0.3*$CU27,TRUE))+$CS27*(_xlfn.NORM.DIST(BS$3,$CV27,0.3*$CV27,TRUE)-_xlfn.NORM.DIST(BS$30,$CV27,0.3*$CV27,TRUE))),""),IF($C27&gt;0,summary!$C$10/28.8/0.947817,""))</f>
        <v/>
      </c>
      <c r="BT56">
        <f t="array" ref="BT56">IF($D27,IFERROR((SUMPRODUCT((economics!$AG$2:$AG$167=$B56)*(economics!$D$2:$D$167="whr")*economics!$AH$2:$AH$167*(_xlfn.NORM.DIST(BT$3,economics!$AK$2:$AK$167,economics!$AJ$2:$AJ$167,TRUE)-_xlfn.NORM.DIST(BT$30,economics!$AK$2:$AK$167,economics!$AJ$2:$AJ$167,TRUE))*economics!$AM$2:$AM$167)+$CR27*(_xlfn.NORM.DIST(BT$3,$CU27,0.3*$CU27,TRUE)-_xlfn.NORM.DIST(BT$30,$CU27,0.3*$CU27,TRUE))*summary!$C$7/28.8/0.947817+$CS27*(_xlfn.NORM.DIST(BT$3,$CV27,0.3*$CV27,TRUE)-_xlfn.NORM.DIST(BT$30,$CV27,0.3*$CV27,TRUE))*summary!$C$6/28.8/0.947817)/(SUMPRODUCT((economics!$AG$2:$AG$167=$B56)*(economics!$D$2:$D$167="whr")*economics!$AH$2:$AH$167*(_xlfn.NORM.DIST(BT$3,economics!$AK$2:$AK$167,economics!$AJ$2:$AJ$167,TRUE)-_xlfn.NORM.DIST(BT$30,economics!$AK$2:$AK$167,economics!$AJ$2:$AJ$167,TRUE)))+$CR27*(_xlfn.NORM.DIST(BT$3,$CU27,0.3*$CU27,TRUE)-_xlfn.NORM.DIST(BT$30,$CU27,0.3*$CU27,TRUE))+$CS27*(_xlfn.NORM.DIST(BT$3,$CV27,0.3*$CV27,TRUE)-_xlfn.NORM.DIST(BT$30,$CV27,0.3*$CV27,TRUE))),""),IF($C27&gt;0,summary!$C$10/28.8/0.947817,""))</f>
        <v/>
      </c>
      <c r="BU56">
        <f t="array" ref="BU56">IF($D27,IFERROR((SUMPRODUCT((economics!$AG$2:$AG$167=$B56)*(economics!$D$2:$D$167="whr")*economics!$AH$2:$AH$167*(_xlfn.NORM.DIST(BU$3,economics!$AK$2:$AK$167,economics!$AJ$2:$AJ$167,TRUE)-_xlfn.NORM.DIST(BU$30,economics!$AK$2:$AK$167,economics!$AJ$2:$AJ$167,TRUE))*economics!$AM$2:$AM$167)+$CR27*(_xlfn.NORM.DIST(BU$3,$CU27,0.3*$CU27,TRUE)-_xlfn.NORM.DIST(BU$30,$CU27,0.3*$CU27,TRUE))*summary!$C$7/28.8/0.947817+$CS27*(_xlfn.NORM.DIST(BU$3,$CV27,0.3*$CV27,TRUE)-_xlfn.NORM.DIST(BU$30,$CV27,0.3*$CV27,TRUE))*summary!$C$6/28.8/0.947817)/(SUMPRODUCT((economics!$AG$2:$AG$167=$B56)*(economics!$D$2:$D$167="whr")*economics!$AH$2:$AH$167*(_xlfn.NORM.DIST(BU$3,economics!$AK$2:$AK$167,economics!$AJ$2:$AJ$167,TRUE)-_xlfn.NORM.DIST(BU$30,economics!$AK$2:$AK$167,economics!$AJ$2:$AJ$167,TRUE)))+$CR27*(_xlfn.NORM.DIST(BU$3,$CU27,0.3*$CU27,TRUE)-_xlfn.NORM.DIST(BU$30,$CU27,0.3*$CU27,TRUE))+$CS27*(_xlfn.NORM.DIST(BU$3,$CV27,0.3*$CV27,TRUE)-_xlfn.NORM.DIST(BU$30,$CV27,0.3*$CV27,TRUE))),""),IF($C27&gt;0,summary!$C$10/28.8/0.947817,""))</f>
        <v/>
      </c>
      <c r="BV56">
        <f t="array" ref="BV56">IF($D27,IFERROR((SUMPRODUCT((economics!$AG$2:$AG$167=$B56)*(economics!$D$2:$D$167="whr")*economics!$AH$2:$AH$167*(_xlfn.NORM.DIST(BV$3,economics!$AK$2:$AK$167,economics!$AJ$2:$AJ$167,TRUE)-_xlfn.NORM.DIST(BV$30,economics!$AK$2:$AK$167,economics!$AJ$2:$AJ$167,TRUE))*economics!$AM$2:$AM$167)+$CR27*(_xlfn.NORM.DIST(BV$3,$CU27,0.3*$CU27,TRUE)-_xlfn.NORM.DIST(BV$30,$CU27,0.3*$CU27,TRUE))*summary!$C$7/28.8/0.947817+$CS27*(_xlfn.NORM.DIST(BV$3,$CV27,0.3*$CV27,TRUE)-_xlfn.NORM.DIST(BV$30,$CV27,0.3*$CV27,TRUE))*summary!$C$6/28.8/0.947817)/(SUMPRODUCT((economics!$AG$2:$AG$167=$B56)*(economics!$D$2:$D$167="whr")*economics!$AH$2:$AH$167*(_xlfn.NORM.DIST(BV$3,economics!$AK$2:$AK$167,economics!$AJ$2:$AJ$167,TRUE)-_xlfn.NORM.DIST(BV$30,economics!$AK$2:$AK$167,economics!$AJ$2:$AJ$167,TRUE)))+$CR27*(_xlfn.NORM.DIST(BV$3,$CU27,0.3*$CU27,TRUE)-_xlfn.NORM.DIST(BV$30,$CU27,0.3*$CU27,TRUE))+$CS27*(_xlfn.NORM.DIST(BV$3,$CV27,0.3*$CV27,TRUE)-_xlfn.NORM.DIST(BV$30,$CV27,0.3*$CV27,TRUE))),""),IF($C27&gt;0,summary!$C$10/28.8/0.947817,""))</f>
        <v/>
      </c>
      <c r="BW56">
        <f t="array" ref="BW56">IF($D27,IFERROR((SUMPRODUCT((economics!$AG$2:$AG$167=$B56)*(economics!$D$2:$D$167="whr")*economics!$AH$2:$AH$167*(_xlfn.NORM.DIST(BW$3,economics!$AK$2:$AK$167,economics!$AJ$2:$AJ$167,TRUE)-_xlfn.NORM.DIST(BW$30,economics!$AK$2:$AK$167,economics!$AJ$2:$AJ$167,TRUE))*economics!$AM$2:$AM$167)+$CR27*(_xlfn.NORM.DIST(BW$3,$CU27,0.3*$CU27,TRUE)-_xlfn.NORM.DIST(BW$30,$CU27,0.3*$CU27,TRUE))*summary!$C$7/28.8/0.947817+$CS27*(_xlfn.NORM.DIST(BW$3,$CV27,0.3*$CV27,TRUE)-_xlfn.NORM.DIST(BW$30,$CV27,0.3*$CV27,TRUE))*summary!$C$6/28.8/0.947817)/(SUMPRODUCT((economics!$AG$2:$AG$167=$B56)*(economics!$D$2:$D$167="whr")*economics!$AH$2:$AH$167*(_xlfn.NORM.DIST(BW$3,economics!$AK$2:$AK$167,economics!$AJ$2:$AJ$167,TRUE)-_xlfn.NORM.DIST(BW$30,economics!$AK$2:$AK$167,economics!$AJ$2:$AJ$167,TRUE)))+$CR27*(_xlfn.NORM.DIST(BW$3,$CU27,0.3*$CU27,TRUE)-_xlfn.NORM.DIST(BW$30,$CU27,0.3*$CU27,TRUE))+$CS27*(_xlfn.NORM.DIST(BW$3,$CV27,0.3*$CV27,TRUE)-_xlfn.NORM.DIST(BW$30,$CV27,0.3*$CV27,TRUE))),""),IF($C27&gt;0,summary!$C$10/28.8/0.947817,""))</f>
        <v/>
      </c>
      <c r="BX56">
        <f t="array" ref="BX56">IF($D27,IFERROR((SUMPRODUCT((economics!$AG$2:$AG$167=$B56)*(economics!$D$2:$D$167="whr")*economics!$AH$2:$AH$167*(_xlfn.NORM.DIST(BX$3,economics!$AK$2:$AK$167,economics!$AJ$2:$AJ$167,TRUE)-_xlfn.NORM.DIST(BX$30,economics!$AK$2:$AK$167,economics!$AJ$2:$AJ$167,TRUE))*economics!$AM$2:$AM$167)+$CR27*(_xlfn.NORM.DIST(BX$3,$CU27,0.3*$CU27,TRUE)-_xlfn.NORM.DIST(BX$30,$CU27,0.3*$CU27,TRUE))*summary!$C$7/28.8/0.947817+$CS27*(_xlfn.NORM.DIST(BX$3,$CV27,0.3*$CV27,TRUE)-_xlfn.NORM.DIST(BX$30,$CV27,0.3*$CV27,TRUE))*summary!$C$6/28.8/0.947817)/(SUMPRODUCT((economics!$AG$2:$AG$167=$B56)*(economics!$D$2:$D$167="whr")*economics!$AH$2:$AH$167*(_xlfn.NORM.DIST(BX$3,economics!$AK$2:$AK$167,economics!$AJ$2:$AJ$167,TRUE)-_xlfn.NORM.DIST(BX$30,economics!$AK$2:$AK$167,economics!$AJ$2:$AJ$167,TRUE)))+$CR27*(_xlfn.NORM.DIST(BX$3,$CU27,0.3*$CU27,TRUE)-_xlfn.NORM.DIST(BX$30,$CU27,0.3*$CU27,TRUE))+$CS27*(_xlfn.NORM.DIST(BX$3,$CV27,0.3*$CV27,TRUE)-_xlfn.NORM.DIST(BX$30,$CV27,0.3*$CV27,TRUE))),""),IF($C27&gt;0,summary!$C$10/28.8/0.947817,""))</f>
        <v/>
      </c>
      <c r="BY56">
        <f t="array" ref="BY56">IF($D27,IFERROR((SUMPRODUCT((economics!$AG$2:$AG$167=$B56)*(economics!$D$2:$D$167="whr")*economics!$AH$2:$AH$167*(_xlfn.NORM.DIST(BY$3,economics!$AK$2:$AK$167,economics!$AJ$2:$AJ$167,TRUE)-_xlfn.NORM.DIST(BY$30,economics!$AK$2:$AK$167,economics!$AJ$2:$AJ$167,TRUE))*economics!$AM$2:$AM$167)+$CR27*(_xlfn.NORM.DIST(BY$3,$CU27,0.3*$CU27,TRUE)-_xlfn.NORM.DIST(BY$30,$CU27,0.3*$CU27,TRUE))*summary!$C$7/28.8/0.947817+$CS27*(_xlfn.NORM.DIST(BY$3,$CV27,0.3*$CV27,TRUE)-_xlfn.NORM.DIST(BY$30,$CV27,0.3*$CV27,TRUE))*summary!$C$6/28.8/0.947817)/(SUMPRODUCT((economics!$AG$2:$AG$167=$B56)*(economics!$D$2:$D$167="whr")*economics!$AH$2:$AH$167*(_xlfn.NORM.DIST(BY$3,economics!$AK$2:$AK$167,economics!$AJ$2:$AJ$167,TRUE)-_xlfn.NORM.DIST(BY$30,economics!$AK$2:$AK$167,economics!$AJ$2:$AJ$167,TRUE)))+$CR27*(_xlfn.NORM.DIST(BY$3,$CU27,0.3*$CU27,TRUE)-_xlfn.NORM.DIST(BY$30,$CU27,0.3*$CU27,TRUE))+$CS27*(_xlfn.NORM.DIST(BY$3,$CV27,0.3*$CV27,TRUE)-_xlfn.NORM.DIST(BY$30,$CV27,0.3*$CV27,TRUE))),""),IF($C27&gt;0,summary!$C$10/28.8/0.947817,""))</f>
        <v/>
      </c>
      <c r="BZ56">
        <f t="array" ref="BZ56">IF($D27,IFERROR((SUMPRODUCT((economics!$AG$2:$AG$167=$B56)*(economics!$D$2:$D$167="whr")*economics!$AH$2:$AH$167*(_xlfn.NORM.DIST(BZ$3,economics!$AK$2:$AK$167,economics!$AJ$2:$AJ$167,TRUE)-_xlfn.NORM.DIST(BZ$30,economics!$AK$2:$AK$167,economics!$AJ$2:$AJ$167,TRUE))*economics!$AM$2:$AM$167)+$CR27*(_xlfn.NORM.DIST(BZ$3,$CU27,0.3*$CU27,TRUE)-_xlfn.NORM.DIST(BZ$30,$CU27,0.3*$CU27,TRUE))*summary!$C$7/28.8/0.947817+$CS27*(_xlfn.NORM.DIST(BZ$3,$CV27,0.3*$CV27,TRUE)-_xlfn.NORM.DIST(BZ$30,$CV27,0.3*$CV27,TRUE))*summary!$C$6/28.8/0.947817)/(SUMPRODUCT((economics!$AG$2:$AG$167=$B56)*(economics!$D$2:$D$167="whr")*economics!$AH$2:$AH$167*(_xlfn.NORM.DIST(BZ$3,economics!$AK$2:$AK$167,economics!$AJ$2:$AJ$167,TRUE)-_xlfn.NORM.DIST(BZ$30,economics!$AK$2:$AK$167,economics!$AJ$2:$AJ$167,TRUE)))+$CR27*(_xlfn.NORM.DIST(BZ$3,$CU27,0.3*$CU27,TRUE)-_xlfn.NORM.DIST(BZ$30,$CU27,0.3*$CU27,TRUE))+$CS27*(_xlfn.NORM.DIST(BZ$3,$CV27,0.3*$CV27,TRUE)-_xlfn.NORM.DIST(BZ$30,$CV27,0.3*$CV27,TRUE))),""),IF($C27&gt;0,summary!$C$10/28.8/0.947817,""))</f>
        <v/>
      </c>
      <c r="CA56">
        <f t="array" ref="CA56">IF($D27,IFERROR((SUMPRODUCT((economics!$AG$2:$AG$167=$B56)*(economics!$D$2:$D$167="whr")*economics!$AH$2:$AH$167*(_xlfn.NORM.DIST(CA$3,economics!$AK$2:$AK$167,economics!$AJ$2:$AJ$167,TRUE)-_xlfn.NORM.DIST(CA$30,economics!$AK$2:$AK$167,economics!$AJ$2:$AJ$167,TRUE))*economics!$AM$2:$AM$167)+$CR27*(_xlfn.NORM.DIST(CA$3,$CU27,0.3*$CU27,TRUE)-_xlfn.NORM.DIST(CA$30,$CU27,0.3*$CU27,TRUE))*summary!$C$7/28.8/0.947817+$CS27*(_xlfn.NORM.DIST(CA$3,$CV27,0.3*$CV27,TRUE)-_xlfn.NORM.DIST(CA$30,$CV27,0.3*$CV27,TRUE))*summary!$C$6/28.8/0.947817)/(SUMPRODUCT((economics!$AG$2:$AG$167=$B56)*(economics!$D$2:$D$167="whr")*economics!$AH$2:$AH$167*(_xlfn.NORM.DIST(CA$3,economics!$AK$2:$AK$167,economics!$AJ$2:$AJ$167,TRUE)-_xlfn.NORM.DIST(CA$30,economics!$AK$2:$AK$167,economics!$AJ$2:$AJ$167,TRUE)))+$CR27*(_xlfn.NORM.DIST(CA$3,$CU27,0.3*$CU27,TRUE)-_xlfn.NORM.DIST(CA$30,$CU27,0.3*$CU27,TRUE))+$CS27*(_xlfn.NORM.DIST(CA$3,$CV27,0.3*$CV27,TRUE)-_xlfn.NORM.DIST(CA$30,$CV27,0.3*$CV27,TRUE))),""),IF($C27&gt;0,summary!$C$10/28.8/0.947817,""))</f>
        <v/>
      </c>
      <c r="CB56">
        <f t="array" ref="CB56">IF($D27,IFERROR((SUMPRODUCT((economics!$AG$2:$AG$167=$B56)*(economics!$D$2:$D$167="whr")*economics!$AH$2:$AH$167*(_xlfn.NORM.DIST(CB$3,economics!$AK$2:$AK$167,economics!$AJ$2:$AJ$167,TRUE)-_xlfn.NORM.DIST(CB$30,economics!$AK$2:$AK$167,economics!$AJ$2:$AJ$167,TRUE))*economics!$AM$2:$AM$167)+$CR27*(_xlfn.NORM.DIST(CB$3,$CU27,0.3*$CU27,TRUE)-_xlfn.NORM.DIST(CB$30,$CU27,0.3*$CU27,TRUE))*summary!$C$7/28.8/0.947817+$CS27*(_xlfn.NORM.DIST(CB$3,$CV27,0.3*$CV27,TRUE)-_xlfn.NORM.DIST(CB$30,$CV27,0.3*$CV27,TRUE))*summary!$C$6/28.8/0.947817)/(SUMPRODUCT((economics!$AG$2:$AG$167=$B56)*(economics!$D$2:$D$167="whr")*economics!$AH$2:$AH$167*(_xlfn.NORM.DIST(CB$3,economics!$AK$2:$AK$167,economics!$AJ$2:$AJ$167,TRUE)-_xlfn.NORM.DIST(CB$30,economics!$AK$2:$AK$167,economics!$AJ$2:$AJ$167,TRUE)))+$CR27*(_xlfn.NORM.DIST(CB$3,$CU27,0.3*$CU27,TRUE)-_xlfn.NORM.DIST(CB$30,$CU27,0.3*$CU27,TRUE))+$CS27*(_xlfn.NORM.DIST(CB$3,$CV27,0.3*$CV27,TRUE)-_xlfn.NORM.DIST(CB$30,$CV27,0.3*$CV27,TRUE))),""),IF($C27&gt;0,summary!$C$10/28.8/0.947817,""))</f>
        <v/>
      </c>
      <c r="CC56">
        <f t="array" ref="CC56">IF($D27,IFERROR((SUMPRODUCT((economics!$AG$2:$AG$167=$B56)*(economics!$D$2:$D$167="whr")*economics!$AH$2:$AH$167*(_xlfn.NORM.DIST(CC$3,economics!$AK$2:$AK$167,economics!$AJ$2:$AJ$167,TRUE)-_xlfn.NORM.DIST(CC$30,economics!$AK$2:$AK$167,economics!$AJ$2:$AJ$167,TRUE))*economics!$AM$2:$AM$167)+$CR27*(_xlfn.NORM.DIST(CC$3,$CU27,0.3*$CU27,TRUE)-_xlfn.NORM.DIST(CC$30,$CU27,0.3*$CU27,TRUE))*summary!$C$7/28.8/0.947817+$CS27*(_xlfn.NORM.DIST(CC$3,$CV27,0.3*$CV27,TRUE)-_xlfn.NORM.DIST(CC$30,$CV27,0.3*$CV27,TRUE))*summary!$C$6/28.8/0.947817)/(SUMPRODUCT((economics!$AG$2:$AG$167=$B56)*(economics!$D$2:$D$167="whr")*economics!$AH$2:$AH$167*(_xlfn.NORM.DIST(CC$3,economics!$AK$2:$AK$167,economics!$AJ$2:$AJ$167,TRUE)-_xlfn.NORM.DIST(CC$30,economics!$AK$2:$AK$167,economics!$AJ$2:$AJ$167,TRUE)))+$CR27*(_xlfn.NORM.DIST(CC$3,$CU27,0.3*$CU27,TRUE)-_xlfn.NORM.DIST(CC$30,$CU27,0.3*$CU27,TRUE))+$CS27*(_xlfn.NORM.DIST(CC$3,$CV27,0.3*$CV27,TRUE)-_xlfn.NORM.DIST(CC$30,$CV27,0.3*$CV27,TRUE))),""),IF($C27&gt;0,summary!$C$10/28.8/0.947817,""))</f>
        <v/>
      </c>
      <c r="CD56">
        <f t="array" ref="CD56">IF($D27,IFERROR((SUMPRODUCT((economics!$AG$2:$AG$167=$B56)*(economics!$D$2:$D$167="whr")*economics!$AH$2:$AH$167*(_xlfn.NORM.DIST(CD$3,economics!$AK$2:$AK$167,economics!$AJ$2:$AJ$167,TRUE)-_xlfn.NORM.DIST(CD$30,economics!$AK$2:$AK$167,economics!$AJ$2:$AJ$167,TRUE))*economics!$AM$2:$AM$167)+$CR27*(_xlfn.NORM.DIST(CD$3,$CU27,0.3*$CU27,TRUE)-_xlfn.NORM.DIST(CD$30,$CU27,0.3*$CU27,TRUE))*summary!$C$7/28.8/0.947817+$CS27*(_xlfn.NORM.DIST(CD$3,$CV27,0.3*$CV27,TRUE)-_xlfn.NORM.DIST(CD$30,$CV27,0.3*$CV27,TRUE))*summary!$C$6/28.8/0.947817)/(SUMPRODUCT((economics!$AG$2:$AG$167=$B56)*(economics!$D$2:$D$167="whr")*economics!$AH$2:$AH$167*(_xlfn.NORM.DIST(CD$3,economics!$AK$2:$AK$167,economics!$AJ$2:$AJ$167,TRUE)-_xlfn.NORM.DIST(CD$30,economics!$AK$2:$AK$167,economics!$AJ$2:$AJ$167,TRUE)))+$CR27*(_xlfn.NORM.DIST(CD$3,$CU27,0.3*$CU27,TRUE)-_xlfn.NORM.DIST(CD$30,$CU27,0.3*$CU27,TRUE))+$CS27*(_xlfn.NORM.DIST(CD$3,$CV27,0.3*$CV27,TRUE)-_xlfn.NORM.DIST(CD$30,$CV27,0.3*$CV27,TRUE))),""),IF($C27&gt;0,summary!$C$10/28.8/0.947817,""))</f>
        <v/>
      </c>
      <c r="CE56">
        <f t="array" ref="CE56">IF($D27,IFERROR((SUMPRODUCT((economics!$AG$2:$AG$167=$B56)*(economics!$D$2:$D$167="whr")*economics!$AH$2:$AH$167*(_xlfn.NORM.DIST(CE$3,economics!$AK$2:$AK$167,economics!$AJ$2:$AJ$167,TRUE)-_xlfn.NORM.DIST(CE$30,economics!$AK$2:$AK$167,economics!$AJ$2:$AJ$167,TRUE))*economics!$AM$2:$AM$167)+$CR27*(_xlfn.NORM.DIST(CE$3,$CU27,0.3*$CU27,TRUE)-_xlfn.NORM.DIST(CE$30,$CU27,0.3*$CU27,TRUE))*summary!$C$7/28.8/0.947817+$CS27*(_xlfn.NORM.DIST(CE$3,$CV27,0.3*$CV27,TRUE)-_xlfn.NORM.DIST(CE$30,$CV27,0.3*$CV27,TRUE))*summary!$C$6/28.8/0.947817)/(SUMPRODUCT((economics!$AG$2:$AG$167=$B56)*(economics!$D$2:$D$167="whr")*economics!$AH$2:$AH$167*(_xlfn.NORM.DIST(CE$3,economics!$AK$2:$AK$167,economics!$AJ$2:$AJ$167,TRUE)-_xlfn.NORM.DIST(CE$30,economics!$AK$2:$AK$167,economics!$AJ$2:$AJ$167,TRUE)))+$CR27*(_xlfn.NORM.DIST(CE$3,$CU27,0.3*$CU27,TRUE)-_xlfn.NORM.DIST(CE$30,$CU27,0.3*$CU27,TRUE))+$CS27*(_xlfn.NORM.DIST(CE$3,$CV27,0.3*$CV27,TRUE)-_xlfn.NORM.DIST(CE$30,$CV27,0.3*$CV27,TRUE))),""),IF($C27&gt;0,summary!$C$10/28.8/0.947817,""))</f>
        <v/>
      </c>
      <c r="CF56">
        <f t="array" ref="CF56">IF($D27,IFERROR((SUMPRODUCT((economics!$AG$2:$AG$167=$B56)*(economics!$D$2:$D$167="whr")*economics!$AH$2:$AH$167*(_xlfn.NORM.DIST(CF$3,economics!$AK$2:$AK$167,economics!$AJ$2:$AJ$167,TRUE)-_xlfn.NORM.DIST(CF$30,economics!$AK$2:$AK$167,economics!$AJ$2:$AJ$167,TRUE))*economics!$AM$2:$AM$167)+$CR27*(_xlfn.NORM.DIST(CF$3,$CU27,0.3*$CU27,TRUE)-_xlfn.NORM.DIST(CF$30,$CU27,0.3*$CU27,TRUE))*summary!$C$7/28.8/0.947817+$CS27*(_xlfn.NORM.DIST(CF$3,$CV27,0.3*$CV27,TRUE)-_xlfn.NORM.DIST(CF$30,$CV27,0.3*$CV27,TRUE))*summary!$C$6/28.8/0.947817)/(SUMPRODUCT((economics!$AG$2:$AG$167=$B56)*(economics!$D$2:$D$167="whr")*economics!$AH$2:$AH$167*(_xlfn.NORM.DIST(CF$3,economics!$AK$2:$AK$167,economics!$AJ$2:$AJ$167,TRUE)-_xlfn.NORM.DIST(CF$30,economics!$AK$2:$AK$167,economics!$AJ$2:$AJ$167,TRUE)))+$CR27*(_xlfn.NORM.DIST(CF$3,$CU27,0.3*$CU27,TRUE)-_xlfn.NORM.DIST(CF$30,$CU27,0.3*$CU27,TRUE))+$CS27*(_xlfn.NORM.DIST(CF$3,$CV27,0.3*$CV27,TRUE)-_xlfn.NORM.DIST(CF$30,$CV27,0.3*$CV27,TRUE))),""),IF($C27&gt;0,summary!$C$10/28.8/0.947817,""))</f>
        <v/>
      </c>
      <c r="CG56">
        <f t="array" ref="CG56">IF($D27,IFERROR((SUMPRODUCT((economics!$AG$2:$AG$167=$B56)*(economics!$D$2:$D$167="whr")*economics!$AH$2:$AH$167*(_xlfn.NORM.DIST(CG$3,economics!$AK$2:$AK$167,economics!$AJ$2:$AJ$167,TRUE)-_xlfn.NORM.DIST(CG$30,economics!$AK$2:$AK$167,economics!$AJ$2:$AJ$167,TRUE))*economics!$AM$2:$AM$167)+$CR27*(_xlfn.NORM.DIST(CG$3,$CU27,0.3*$CU27,TRUE)-_xlfn.NORM.DIST(CG$30,$CU27,0.3*$CU27,TRUE))*summary!$C$7/28.8/0.947817+$CS27*(_xlfn.NORM.DIST(CG$3,$CV27,0.3*$CV27,TRUE)-_xlfn.NORM.DIST(CG$30,$CV27,0.3*$CV27,TRUE))*summary!$C$6/28.8/0.947817)/(SUMPRODUCT((economics!$AG$2:$AG$167=$B56)*(economics!$D$2:$D$167="whr")*economics!$AH$2:$AH$167*(_xlfn.NORM.DIST(CG$3,economics!$AK$2:$AK$167,economics!$AJ$2:$AJ$167,TRUE)-_xlfn.NORM.DIST(CG$30,economics!$AK$2:$AK$167,economics!$AJ$2:$AJ$167,TRUE)))+$CR27*(_xlfn.NORM.DIST(CG$3,$CU27,0.3*$CU27,TRUE)-_xlfn.NORM.DIST(CG$30,$CU27,0.3*$CU27,TRUE))+$CS27*(_xlfn.NORM.DIST(CG$3,$CV27,0.3*$CV27,TRUE)-_xlfn.NORM.DIST(CG$30,$CV27,0.3*$CV27,TRUE))),""),IF($C27&gt;0,summary!$C$10/28.8/0.947817,""))</f>
        <v/>
      </c>
      <c r="CH56">
        <f t="array" ref="CH56">IF($D27,IFERROR((SUMPRODUCT((economics!$AG$2:$AG$167=$B56)*(economics!$D$2:$D$167="whr")*economics!$AH$2:$AH$167*(_xlfn.NORM.DIST(CH$3,economics!$AK$2:$AK$167,economics!$AJ$2:$AJ$167,TRUE)-_xlfn.NORM.DIST(CH$30,economics!$AK$2:$AK$167,economics!$AJ$2:$AJ$167,TRUE))*economics!$AM$2:$AM$167)+$CR27*(_xlfn.NORM.DIST(CH$3,$CU27,0.3*$CU27,TRUE)-_xlfn.NORM.DIST(CH$30,$CU27,0.3*$CU27,TRUE))*summary!$C$7/28.8/0.947817+$CS27*(_xlfn.NORM.DIST(CH$3,$CV27,0.3*$CV27,TRUE)-_xlfn.NORM.DIST(CH$30,$CV27,0.3*$CV27,TRUE))*summary!$C$6/28.8/0.947817)/(SUMPRODUCT((economics!$AG$2:$AG$167=$B56)*(economics!$D$2:$D$167="whr")*economics!$AH$2:$AH$167*(_xlfn.NORM.DIST(CH$3,economics!$AK$2:$AK$167,economics!$AJ$2:$AJ$167,TRUE)-_xlfn.NORM.DIST(CH$30,economics!$AK$2:$AK$167,economics!$AJ$2:$AJ$167,TRUE)))+$CR27*(_xlfn.NORM.DIST(CH$3,$CU27,0.3*$CU27,TRUE)-_xlfn.NORM.DIST(CH$30,$CU27,0.3*$CU27,TRUE))+$CS27*(_xlfn.NORM.DIST(CH$3,$CV27,0.3*$CV27,TRUE)-_xlfn.NORM.DIST(CH$30,$CV27,0.3*$CV27,TRUE))),""),IF($C27&gt;0,summary!$C$10/28.8/0.947817,""))</f>
        <v/>
      </c>
    </row>
    <row r="57">
      <c r="A57">
        <f>A28</f>
        <v/>
      </c>
      <c r="B57">
        <f>B28</f>
        <v/>
      </c>
      <c r="E57">
        <f t="array" ref="E57">IF($D28,IFERROR((SUMPRODUCT((economics!$AG$2:$AG$167=$B57)*(economics!$D$2:$D$167="whr")*economics!$AH$2:$AH$167*(_xlfn.NORM.DIST(E$3,economics!$AK$2:$AK$167,economics!$AJ$2:$AJ$167,TRUE)-_xlfn.NORM.DIST(E$30,economics!$AK$2:$AK$167,economics!$AJ$2:$AJ$167,TRUE))*economics!$AM$2:$AM$167)+$CR28*(_xlfn.NORM.DIST(E$3,$CU28,0.3*$CU28,TRUE)-_xlfn.NORM.DIST(E$30,$CU28,0.3*$CU28,TRUE))*summary!$C$7/28.8/0.947817+$CS28*(_xlfn.NORM.DIST(E$3,$CV28,0.3*$CV28,TRUE)-_xlfn.NORM.DIST(E$30,$CV28,0.3*$CV28,TRUE))*summary!$C$6/28.8/0.947817)/(SUMPRODUCT((economics!$AG$2:$AG$167=$B57)*(economics!$D$2:$D$167="whr")*economics!$AH$2:$AH$167*(_xlfn.NORM.DIST(E$3,economics!$AK$2:$AK$167,economics!$AJ$2:$AJ$167,TRUE)-_xlfn.NORM.DIST(E$30,economics!$AK$2:$AK$167,economics!$AJ$2:$AJ$167,TRUE)))+$CR28*(_xlfn.NORM.DIST(E$3,$CU28,0.3*$CU28,TRUE)-_xlfn.NORM.DIST(E$30,$CU28,0.3*$CU28,TRUE))+$CS28*(_xlfn.NORM.DIST(E$3,$CV28,0.3*$CV28,TRUE)-_xlfn.NORM.DIST(E$30,$CV28,0.3*$CV28,TRUE))),""),IF($C28&gt;0,summary!$C$10/28.8/0.947817,""))</f>
        <v/>
      </c>
      <c r="F57">
        <f t="array" ref="F57">IF($D28,IFERROR((SUMPRODUCT((economics!$AG$2:$AG$167=$B57)*(economics!$D$2:$D$167="whr")*economics!$AH$2:$AH$167*(_xlfn.NORM.DIST(F$3,economics!$AK$2:$AK$167,economics!$AJ$2:$AJ$167,TRUE)-_xlfn.NORM.DIST(F$30,economics!$AK$2:$AK$167,economics!$AJ$2:$AJ$167,TRUE))*economics!$AM$2:$AM$167)+$CR28*(_xlfn.NORM.DIST(F$3,$CU28,0.3*$CU28,TRUE)-_xlfn.NORM.DIST(F$30,$CU28,0.3*$CU28,TRUE))*summary!$C$7/28.8/0.947817+$CS28*(_xlfn.NORM.DIST(F$3,$CV28,0.3*$CV28,TRUE)-_xlfn.NORM.DIST(F$30,$CV28,0.3*$CV28,TRUE))*summary!$C$6/28.8/0.947817)/(SUMPRODUCT((economics!$AG$2:$AG$167=$B57)*(economics!$D$2:$D$167="whr")*economics!$AH$2:$AH$167*(_xlfn.NORM.DIST(F$3,economics!$AK$2:$AK$167,economics!$AJ$2:$AJ$167,TRUE)-_xlfn.NORM.DIST(F$30,economics!$AK$2:$AK$167,economics!$AJ$2:$AJ$167,TRUE)))+$CR28*(_xlfn.NORM.DIST(F$3,$CU28,0.3*$CU28,TRUE)-_xlfn.NORM.DIST(F$30,$CU28,0.3*$CU28,TRUE))+$CS28*(_xlfn.NORM.DIST(F$3,$CV28,0.3*$CV28,TRUE)-_xlfn.NORM.DIST(F$30,$CV28,0.3*$CV28,TRUE))),""),IF($C28&gt;0,summary!$C$10/28.8/0.947817,""))</f>
        <v/>
      </c>
      <c r="G57">
        <f t="array" ref="G57">IF($D28,IFERROR((SUMPRODUCT((economics!$AG$2:$AG$167=$B57)*(economics!$D$2:$D$167="whr")*economics!$AH$2:$AH$167*(_xlfn.NORM.DIST(G$3,economics!$AK$2:$AK$167,economics!$AJ$2:$AJ$167,TRUE)-_xlfn.NORM.DIST(G$30,economics!$AK$2:$AK$167,economics!$AJ$2:$AJ$167,TRUE))*economics!$AM$2:$AM$167)+$CR28*(_xlfn.NORM.DIST(G$3,$CU28,0.3*$CU28,TRUE)-_xlfn.NORM.DIST(G$30,$CU28,0.3*$CU28,TRUE))*summary!$C$7/28.8/0.947817+$CS28*(_xlfn.NORM.DIST(G$3,$CV28,0.3*$CV28,TRUE)-_xlfn.NORM.DIST(G$30,$CV28,0.3*$CV28,TRUE))*summary!$C$6/28.8/0.947817)/(SUMPRODUCT((economics!$AG$2:$AG$167=$B57)*(economics!$D$2:$D$167="whr")*economics!$AH$2:$AH$167*(_xlfn.NORM.DIST(G$3,economics!$AK$2:$AK$167,economics!$AJ$2:$AJ$167,TRUE)-_xlfn.NORM.DIST(G$30,economics!$AK$2:$AK$167,economics!$AJ$2:$AJ$167,TRUE)))+$CR28*(_xlfn.NORM.DIST(G$3,$CU28,0.3*$CU28,TRUE)-_xlfn.NORM.DIST(G$30,$CU28,0.3*$CU28,TRUE))+$CS28*(_xlfn.NORM.DIST(G$3,$CV28,0.3*$CV28,TRUE)-_xlfn.NORM.DIST(G$30,$CV28,0.3*$CV28,TRUE))),""),IF($C28&gt;0,summary!$C$10/28.8/0.947817,""))</f>
        <v/>
      </c>
      <c r="H57">
        <f t="array" ref="H57">IF($D28,IFERROR((SUMPRODUCT((economics!$AG$2:$AG$167=$B57)*(economics!$D$2:$D$167="whr")*economics!$AH$2:$AH$167*(_xlfn.NORM.DIST(H$3,economics!$AK$2:$AK$167,economics!$AJ$2:$AJ$167,TRUE)-_xlfn.NORM.DIST(H$30,economics!$AK$2:$AK$167,economics!$AJ$2:$AJ$167,TRUE))*economics!$AM$2:$AM$167)+$CR28*(_xlfn.NORM.DIST(H$3,$CU28,0.3*$CU28,TRUE)-_xlfn.NORM.DIST(H$30,$CU28,0.3*$CU28,TRUE))*summary!$C$7/28.8/0.947817+$CS28*(_xlfn.NORM.DIST(H$3,$CV28,0.3*$CV28,TRUE)-_xlfn.NORM.DIST(H$30,$CV28,0.3*$CV28,TRUE))*summary!$C$6/28.8/0.947817)/(SUMPRODUCT((economics!$AG$2:$AG$167=$B57)*(economics!$D$2:$D$167="whr")*economics!$AH$2:$AH$167*(_xlfn.NORM.DIST(H$3,economics!$AK$2:$AK$167,economics!$AJ$2:$AJ$167,TRUE)-_xlfn.NORM.DIST(H$30,economics!$AK$2:$AK$167,economics!$AJ$2:$AJ$167,TRUE)))+$CR28*(_xlfn.NORM.DIST(H$3,$CU28,0.3*$CU28,TRUE)-_xlfn.NORM.DIST(H$30,$CU28,0.3*$CU28,TRUE))+$CS28*(_xlfn.NORM.DIST(H$3,$CV28,0.3*$CV28,TRUE)-_xlfn.NORM.DIST(H$30,$CV28,0.3*$CV28,TRUE))),""),IF($C28&gt;0,summary!$C$10/28.8/0.947817,""))</f>
        <v/>
      </c>
      <c r="I57">
        <f t="array" ref="I57">IF($D28,IFERROR((SUMPRODUCT((economics!$AG$2:$AG$167=$B57)*(economics!$D$2:$D$167="whr")*economics!$AH$2:$AH$167*(_xlfn.NORM.DIST(I$3,economics!$AK$2:$AK$167,economics!$AJ$2:$AJ$167,TRUE)-_xlfn.NORM.DIST(I$30,economics!$AK$2:$AK$167,economics!$AJ$2:$AJ$167,TRUE))*economics!$AM$2:$AM$167)+$CR28*(_xlfn.NORM.DIST(I$3,$CU28,0.3*$CU28,TRUE)-_xlfn.NORM.DIST(I$30,$CU28,0.3*$CU28,TRUE))*summary!$C$7/28.8/0.947817+$CS28*(_xlfn.NORM.DIST(I$3,$CV28,0.3*$CV28,TRUE)-_xlfn.NORM.DIST(I$30,$CV28,0.3*$CV28,TRUE))*summary!$C$6/28.8/0.947817)/(SUMPRODUCT((economics!$AG$2:$AG$167=$B57)*(economics!$D$2:$D$167="whr")*economics!$AH$2:$AH$167*(_xlfn.NORM.DIST(I$3,economics!$AK$2:$AK$167,economics!$AJ$2:$AJ$167,TRUE)-_xlfn.NORM.DIST(I$30,economics!$AK$2:$AK$167,economics!$AJ$2:$AJ$167,TRUE)))+$CR28*(_xlfn.NORM.DIST(I$3,$CU28,0.3*$CU28,TRUE)-_xlfn.NORM.DIST(I$30,$CU28,0.3*$CU28,TRUE))+$CS28*(_xlfn.NORM.DIST(I$3,$CV28,0.3*$CV28,TRUE)-_xlfn.NORM.DIST(I$30,$CV28,0.3*$CV28,TRUE))),""),IF($C28&gt;0,summary!$C$10/28.8/0.947817,""))</f>
        <v/>
      </c>
      <c r="J57">
        <f t="array" ref="J57">IF($D28,IFERROR((SUMPRODUCT((economics!$AG$2:$AG$167=$B57)*(economics!$D$2:$D$167="whr")*economics!$AH$2:$AH$167*(_xlfn.NORM.DIST(J$3,economics!$AK$2:$AK$167,economics!$AJ$2:$AJ$167,TRUE)-_xlfn.NORM.DIST(J$30,economics!$AK$2:$AK$167,economics!$AJ$2:$AJ$167,TRUE))*economics!$AM$2:$AM$167)+$CR28*(_xlfn.NORM.DIST(J$3,$CU28,0.3*$CU28,TRUE)-_xlfn.NORM.DIST(J$30,$CU28,0.3*$CU28,TRUE))*summary!$C$7/28.8/0.947817+$CS28*(_xlfn.NORM.DIST(J$3,$CV28,0.3*$CV28,TRUE)-_xlfn.NORM.DIST(J$30,$CV28,0.3*$CV28,TRUE))*summary!$C$6/28.8/0.947817)/(SUMPRODUCT((economics!$AG$2:$AG$167=$B57)*(economics!$D$2:$D$167="whr")*economics!$AH$2:$AH$167*(_xlfn.NORM.DIST(J$3,economics!$AK$2:$AK$167,economics!$AJ$2:$AJ$167,TRUE)-_xlfn.NORM.DIST(J$30,economics!$AK$2:$AK$167,economics!$AJ$2:$AJ$167,TRUE)))+$CR28*(_xlfn.NORM.DIST(J$3,$CU28,0.3*$CU28,TRUE)-_xlfn.NORM.DIST(J$30,$CU28,0.3*$CU28,TRUE))+$CS28*(_xlfn.NORM.DIST(J$3,$CV28,0.3*$CV28,TRUE)-_xlfn.NORM.DIST(J$30,$CV28,0.3*$CV28,TRUE))),""),IF($C28&gt;0,summary!$C$10/28.8/0.947817,""))</f>
        <v/>
      </c>
      <c r="K57">
        <f t="array" ref="K57">IF($D28,IFERROR((SUMPRODUCT((economics!$AG$2:$AG$167=$B57)*(economics!$D$2:$D$167="whr")*economics!$AH$2:$AH$167*(_xlfn.NORM.DIST(K$3,economics!$AK$2:$AK$167,economics!$AJ$2:$AJ$167,TRUE)-_xlfn.NORM.DIST(K$30,economics!$AK$2:$AK$167,economics!$AJ$2:$AJ$167,TRUE))*economics!$AM$2:$AM$167)+$CR28*(_xlfn.NORM.DIST(K$3,$CU28,0.3*$CU28,TRUE)-_xlfn.NORM.DIST(K$30,$CU28,0.3*$CU28,TRUE))*summary!$C$7/28.8/0.947817+$CS28*(_xlfn.NORM.DIST(K$3,$CV28,0.3*$CV28,TRUE)-_xlfn.NORM.DIST(K$30,$CV28,0.3*$CV28,TRUE))*summary!$C$6/28.8/0.947817)/(SUMPRODUCT((economics!$AG$2:$AG$167=$B57)*(economics!$D$2:$D$167="whr")*economics!$AH$2:$AH$167*(_xlfn.NORM.DIST(K$3,economics!$AK$2:$AK$167,economics!$AJ$2:$AJ$167,TRUE)-_xlfn.NORM.DIST(K$30,economics!$AK$2:$AK$167,economics!$AJ$2:$AJ$167,TRUE)))+$CR28*(_xlfn.NORM.DIST(K$3,$CU28,0.3*$CU28,TRUE)-_xlfn.NORM.DIST(K$30,$CU28,0.3*$CU28,TRUE))+$CS28*(_xlfn.NORM.DIST(K$3,$CV28,0.3*$CV28,TRUE)-_xlfn.NORM.DIST(K$30,$CV28,0.3*$CV28,TRUE))),""),IF($C28&gt;0,summary!$C$10/28.8/0.947817,""))</f>
        <v/>
      </c>
      <c r="L57">
        <f t="array" ref="L57">IF($D28,IFERROR((SUMPRODUCT((economics!$AG$2:$AG$167=$B57)*(economics!$D$2:$D$167="whr")*economics!$AH$2:$AH$167*(_xlfn.NORM.DIST(L$3,economics!$AK$2:$AK$167,economics!$AJ$2:$AJ$167,TRUE)-_xlfn.NORM.DIST(L$30,economics!$AK$2:$AK$167,economics!$AJ$2:$AJ$167,TRUE))*economics!$AM$2:$AM$167)+$CR28*(_xlfn.NORM.DIST(L$3,$CU28,0.3*$CU28,TRUE)-_xlfn.NORM.DIST(L$30,$CU28,0.3*$CU28,TRUE))*summary!$C$7/28.8/0.947817+$CS28*(_xlfn.NORM.DIST(L$3,$CV28,0.3*$CV28,TRUE)-_xlfn.NORM.DIST(L$30,$CV28,0.3*$CV28,TRUE))*summary!$C$6/28.8/0.947817)/(SUMPRODUCT((economics!$AG$2:$AG$167=$B57)*(economics!$D$2:$D$167="whr")*economics!$AH$2:$AH$167*(_xlfn.NORM.DIST(L$3,economics!$AK$2:$AK$167,economics!$AJ$2:$AJ$167,TRUE)-_xlfn.NORM.DIST(L$30,economics!$AK$2:$AK$167,economics!$AJ$2:$AJ$167,TRUE)))+$CR28*(_xlfn.NORM.DIST(L$3,$CU28,0.3*$CU28,TRUE)-_xlfn.NORM.DIST(L$30,$CU28,0.3*$CU28,TRUE))+$CS28*(_xlfn.NORM.DIST(L$3,$CV28,0.3*$CV28,TRUE)-_xlfn.NORM.DIST(L$30,$CV28,0.3*$CV28,TRUE))),""),IF($C28&gt;0,summary!$C$10/28.8/0.947817,""))</f>
        <v/>
      </c>
      <c r="M57">
        <f t="array" ref="M57">IF($D28,IFERROR((SUMPRODUCT((economics!$AG$2:$AG$167=$B57)*(economics!$D$2:$D$167="whr")*economics!$AH$2:$AH$167*(_xlfn.NORM.DIST(M$3,economics!$AK$2:$AK$167,economics!$AJ$2:$AJ$167,TRUE)-_xlfn.NORM.DIST(M$30,economics!$AK$2:$AK$167,economics!$AJ$2:$AJ$167,TRUE))*economics!$AM$2:$AM$167)+$CR28*(_xlfn.NORM.DIST(M$3,$CU28,0.3*$CU28,TRUE)-_xlfn.NORM.DIST(M$30,$CU28,0.3*$CU28,TRUE))*summary!$C$7/28.8/0.947817+$CS28*(_xlfn.NORM.DIST(M$3,$CV28,0.3*$CV28,TRUE)-_xlfn.NORM.DIST(M$30,$CV28,0.3*$CV28,TRUE))*summary!$C$6/28.8/0.947817)/(SUMPRODUCT((economics!$AG$2:$AG$167=$B57)*(economics!$D$2:$D$167="whr")*economics!$AH$2:$AH$167*(_xlfn.NORM.DIST(M$3,economics!$AK$2:$AK$167,economics!$AJ$2:$AJ$167,TRUE)-_xlfn.NORM.DIST(M$30,economics!$AK$2:$AK$167,economics!$AJ$2:$AJ$167,TRUE)))+$CR28*(_xlfn.NORM.DIST(M$3,$CU28,0.3*$CU28,TRUE)-_xlfn.NORM.DIST(M$30,$CU28,0.3*$CU28,TRUE))+$CS28*(_xlfn.NORM.DIST(M$3,$CV28,0.3*$CV28,TRUE)-_xlfn.NORM.DIST(M$30,$CV28,0.3*$CV28,TRUE))),""),IF($C28&gt;0,summary!$C$10/28.8/0.947817,""))</f>
        <v/>
      </c>
      <c r="N57">
        <f t="array" ref="N57">IF($D28,IFERROR((SUMPRODUCT((economics!$AG$2:$AG$167=$B57)*(economics!$D$2:$D$167="whr")*economics!$AH$2:$AH$167*(_xlfn.NORM.DIST(N$3,economics!$AK$2:$AK$167,economics!$AJ$2:$AJ$167,TRUE)-_xlfn.NORM.DIST(N$30,economics!$AK$2:$AK$167,economics!$AJ$2:$AJ$167,TRUE))*economics!$AM$2:$AM$167)+$CR28*(_xlfn.NORM.DIST(N$3,$CU28,0.3*$CU28,TRUE)-_xlfn.NORM.DIST(N$30,$CU28,0.3*$CU28,TRUE))*summary!$C$7/28.8/0.947817+$CS28*(_xlfn.NORM.DIST(N$3,$CV28,0.3*$CV28,TRUE)-_xlfn.NORM.DIST(N$30,$CV28,0.3*$CV28,TRUE))*summary!$C$6/28.8/0.947817)/(SUMPRODUCT((economics!$AG$2:$AG$167=$B57)*(economics!$D$2:$D$167="whr")*economics!$AH$2:$AH$167*(_xlfn.NORM.DIST(N$3,economics!$AK$2:$AK$167,economics!$AJ$2:$AJ$167,TRUE)-_xlfn.NORM.DIST(N$30,economics!$AK$2:$AK$167,economics!$AJ$2:$AJ$167,TRUE)))+$CR28*(_xlfn.NORM.DIST(N$3,$CU28,0.3*$CU28,TRUE)-_xlfn.NORM.DIST(N$30,$CU28,0.3*$CU28,TRUE))+$CS28*(_xlfn.NORM.DIST(N$3,$CV28,0.3*$CV28,TRUE)-_xlfn.NORM.DIST(N$30,$CV28,0.3*$CV28,TRUE))),""),IF($C28&gt;0,summary!$C$10/28.8/0.947817,""))</f>
        <v/>
      </c>
      <c r="O57">
        <f t="array" ref="O57">IF($D28,IFERROR((SUMPRODUCT((economics!$AG$2:$AG$167=$B57)*(economics!$D$2:$D$167="whr")*economics!$AH$2:$AH$167*(_xlfn.NORM.DIST(O$3,economics!$AK$2:$AK$167,economics!$AJ$2:$AJ$167,TRUE)-_xlfn.NORM.DIST(O$30,economics!$AK$2:$AK$167,economics!$AJ$2:$AJ$167,TRUE))*economics!$AM$2:$AM$167)+$CR28*(_xlfn.NORM.DIST(O$3,$CU28,0.3*$CU28,TRUE)-_xlfn.NORM.DIST(O$30,$CU28,0.3*$CU28,TRUE))*summary!$C$7/28.8/0.947817+$CS28*(_xlfn.NORM.DIST(O$3,$CV28,0.3*$CV28,TRUE)-_xlfn.NORM.DIST(O$30,$CV28,0.3*$CV28,TRUE))*summary!$C$6/28.8/0.947817)/(SUMPRODUCT((economics!$AG$2:$AG$167=$B57)*(economics!$D$2:$D$167="whr")*economics!$AH$2:$AH$167*(_xlfn.NORM.DIST(O$3,economics!$AK$2:$AK$167,economics!$AJ$2:$AJ$167,TRUE)-_xlfn.NORM.DIST(O$30,economics!$AK$2:$AK$167,economics!$AJ$2:$AJ$167,TRUE)))+$CR28*(_xlfn.NORM.DIST(O$3,$CU28,0.3*$CU28,TRUE)-_xlfn.NORM.DIST(O$30,$CU28,0.3*$CU28,TRUE))+$CS28*(_xlfn.NORM.DIST(O$3,$CV28,0.3*$CV28,TRUE)-_xlfn.NORM.DIST(O$30,$CV28,0.3*$CV28,TRUE))),""),IF($C28&gt;0,summary!$C$10/28.8/0.947817,""))</f>
        <v/>
      </c>
      <c r="P57">
        <f t="array" ref="P57">IF($D28,IFERROR((SUMPRODUCT((economics!$AG$2:$AG$167=$B57)*(economics!$D$2:$D$167="whr")*economics!$AH$2:$AH$167*(_xlfn.NORM.DIST(P$3,economics!$AK$2:$AK$167,economics!$AJ$2:$AJ$167,TRUE)-_xlfn.NORM.DIST(P$30,economics!$AK$2:$AK$167,economics!$AJ$2:$AJ$167,TRUE))*economics!$AM$2:$AM$167)+$CR28*(_xlfn.NORM.DIST(P$3,$CU28,0.3*$CU28,TRUE)-_xlfn.NORM.DIST(P$30,$CU28,0.3*$CU28,TRUE))*summary!$C$7/28.8/0.947817+$CS28*(_xlfn.NORM.DIST(P$3,$CV28,0.3*$CV28,TRUE)-_xlfn.NORM.DIST(P$30,$CV28,0.3*$CV28,TRUE))*summary!$C$6/28.8/0.947817)/(SUMPRODUCT((economics!$AG$2:$AG$167=$B57)*(economics!$D$2:$D$167="whr")*economics!$AH$2:$AH$167*(_xlfn.NORM.DIST(P$3,economics!$AK$2:$AK$167,economics!$AJ$2:$AJ$167,TRUE)-_xlfn.NORM.DIST(P$30,economics!$AK$2:$AK$167,economics!$AJ$2:$AJ$167,TRUE)))+$CR28*(_xlfn.NORM.DIST(P$3,$CU28,0.3*$CU28,TRUE)-_xlfn.NORM.DIST(P$30,$CU28,0.3*$CU28,TRUE))+$CS28*(_xlfn.NORM.DIST(P$3,$CV28,0.3*$CV28,TRUE)-_xlfn.NORM.DIST(P$30,$CV28,0.3*$CV28,TRUE))),""),IF($C28&gt;0,summary!$C$10/28.8/0.947817,""))</f>
        <v/>
      </c>
      <c r="Q57">
        <f t="array" ref="Q57">IF($D28,IFERROR((SUMPRODUCT((economics!$AG$2:$AG$167=$B57)*(economics!$D$2:$D$167="whr")*economics!$AH$2:$AH$167*(_xlfn.NORM.DIST(Q$3,economics!$AK$2:$AK$167,economics!$AJ$2:$AJ$167,TRUE)-_xlfn.NORM.DIST(Q$30,economics!$AK$2:$AK$167,economics!$AJ$2:$AJ$167,TRUE))*economics!$AM$2:$AM$167)+$CR28*(_xlfn.NORM.DIST(Q$3,$CU28,0.3*$CU28,TRUE)-_xlfn.NORM.DIST(Q$30,$CU28,0.3*$CU28,TRUE))*summary!$C$7/28.8/0.947817+$CS28*(_xlfn.NORM.DIST(Q$3,$CV28,0.3*$CV28,TRUE)-_xlfn.NORM.DIST(Q$30,$CV28,0.3*$CV28,TRUE))*summary!$C$6/28.8/0.947817)/(SUMPRODUCT((economics!$AG$2:$AG$167=$B57)*(economics!$D$2:$D$167="whr")*economics!$AH$2:$AH$167*(_xlfn.NORM.DIST(Q$3,economics!$AK$2:$AK$167,economics!$AJ$2:$AJ$167,TRUE)-_xlfn.NORM.DIST(Q$30,economics!$AK$2:$AK$167,economics!$AJ$2:$AJ$167,TRUE)))+$CR28*(_xlfn.NORM.DIST(Q$3,$CU28,0.3*$CU28,TRUE)-_xlfn.NORM.DIST(Q$30,$CU28,0.3*$CU28,TRUE))+$CS28*(_xlfn.NORM.DIST(Q$3,$CV28,0.3*$CV28,TRUE)-_xlfn.NORM.DIST(Q$30,$CV28,0.3*$CV28,TRUE))),""),IF($C28&gt;0,summary!$C$10/28.8/0.947817,""))</f>
        <v/>
      </c>
      <c r="R57">
        <f t="array" ref="R57">IF($D28,IFERROR((SUMPRODUCT((economics!$AG$2:$AG$167=$B57)*(economics!$D$2:$D$167="whr")*economics!$AH$2:$AH$167*(_xlfn.NORM.DIST(R$3,economics!$AK$2:$AK$167,economics!$AJ$2:$AJ$167,TRUE)-_xlfn.NORM.DIST(R$30,economics!$AK$2:$AK$167,economics!$AJ$2:$AJ$167,TRUE))*economics!$AM$2:$AM$167)+$CR28*(_xlfn.NORM.DIST(R$3,$CU28,0.3*$CU28,TRUE)-_xlfn.NORM.DIST(R$30,$CU28,0.3*$CU28,TRUE))*summary!$C$7/28.8/0.947817+$CS28*(_xlfn.NORM.DIST(R$3,$CV28,0.3*$CV28,TRUE)-_xlfn.NORM.DIST(R$30,$CV28,0.3*$CV28,TRUE))*summary!$C$6/28.8/0.947817)/(SUMPRODUCT((economics!$AG$2:$AG$167=$B57)*(economics!$D$2:$D$167="whr")*economics!$AH$2:$AH$167*(_xlfn.NORM.DIST(R$3,economics!$AK$2:$AK$167,economics!$AJ$2:$AJ$167,TRUE)-_xlfn.NORM.DIST(R$30,economics!$AK$2:$AK$167,economics!$AJ$2:$AJ$167,TRUE)))+$CR28*(_xlfn.NORM.DIST(R$3,$CU28,0.3*$CU28,TRUE)-_xlfn.NORM.DIST(R$30,$CU28,0.3*$CU28,TRUE))+$CS28*(_xlfn.NORM.DIST(R$3,$CV28,0.3*$CV28,TRUE)-_xlfn.NORM.DIST(R$30,$CV28,0.3*$CV28,TRUE))),""),IF($C28&gt;0,summary!$C$10/28.8/0.947817,""))</f>
        <v/>
      </c>
      <c r="S57">
        <f t="array" ref="S57">IF($D28,IFERROR((SUMPRODUCT((economics!$AG$2:$AG$167=$B57)*(economics!$D$2:$D$167="whr")*economics!$AH$2:$AH$167*(_xlfn.NORM.DIST(S$3,economics!$AK$2:$AK$167,economics!$AJ$2:$AJ$167,TRUE)-_xlfn.NORM.DIST(S$30,economics!$AK$2:$AK$167,economics!$AJ$2:$AJ$167,TRUE))*economics!$AM$2:$AM$167)+$CR28*(_xlfn.NORM.DIST(S$3,$CU28,0.3*$CU28,TRUE)-_xlfn.NORM.DIST(S$30,$CU28,0.3*$CU28,TRUE))*summary!$C$7/28.8/0.947817+$CS28*(_xlfn.NORM.DIST(S$3,$CV28,0.3*$CV28,TRUE)-_xlfn.NORM.DIST(S$30,$CV28,0.3*$CV28,TRUE))*summary!$C$6/28.8/0.947817)/(SUMPRODUCT((economics!$AG$2:$AG$167=$B57)*(economics!$D$2:$D$167="whr")*economics!$AH$2:$AH$167*(_xlfn.NORM.DIST(S$3,economics!$AK$2:$AK$167,economics!$AJ$2:$AJ$167,TRUE)-_xlfn.NORM.DIST(S$30,economics!$AK$2:$AK$167,economics!$AJ$2:$AJ$167,TRUE)))+$CR28*(_xlfn.NORM.DIST(S$3,$CU28,0.3*$CU28,TRUE)-_xlfn.NORM.DIST(S$30,$CU28,0.3*$CU28,TRUE))+$CS28*(_xlfn.NORM.DIST(S$3,$CV28,0.3*$CV28,TRUE)-_xlfn.NORM.DIST(S$30,$CV28,0.3*$CV28,TRUE))),""),IF($C28&gt;0,summary!$C$10/28.8/0.947817,""))</f>
        <v/>
      </c>
      <c r="T57">
        <f t="array" ref="T57">IF($D28,IFERROR((SUMPRODUCT((economics!$AG$2:$AG$167=$B57)*(economics!$D$2:$D$167="whr")*economics!$AH$2:$AH$167*(_xlfn.NORM.DIST(T$3,economics!$AK$2:$AK$167,economics!$AJ$2:$AJ$167,TRUE)-_xlfn.NORM.DIST(T$30,economics!$AK$2:$AK$167,economics!$AJ$2:$AJ$167,TRUE))*economics!$AM$2:$AM$167)+$CR28*(_xlfn.NORM.DIST(T$3,$CU28,0.3*$CU28,TRUE)-_xlfn.NORM.DIST(T$30,$CU28,0.3*$CU28,TRUE))*summary!$C$7/28.8/0.947817+$CS28*(_xlfn.NORM.DIST(T$3,$CV28,0.3*$CV28,TRUE)-_xlfn.NORM.DIST(T$30,$CV28,0.3*$CV28,TRUE))*summary!$C$6/28.8/0.947817)/(SUMPRODUCT((economics!$AG$2:$AG$167=$B57)*(economics!$D$2:$D$167="whr")*economics!$AH$2:$AH$167*(_xlfn.NORM.DIST(T$3,economics!$AK$2:$AK$167,economics!$AJ$2:$AJ$167,TRUE)-_xlfn.NORM.DIST(T$30,economics!$AK$2:$AK$167,economics!$AJ$2:$AJ$167,TRUE)))+$CR28*(_xlfn.NORM.DIST(T$3,$CU28,0.3*$CU28,TRUE)-_xlfn.NORM.DIST(T$30,$CU28,0.3*$CU28,TRUE))+$CS28*(_xlfn.NORM.DIST(T$3,$CV28,0.3*$CV28,TRUE)-_xlfn.NORM.DIST(T$30,$CV28,0.3*$CV28,TRUE))),""),IF($C28&gt;0,summary!$C$10/28.8/0.947817,""))</f>
        <v/>
      </c>
      <c r="U57">
        <f t="array" ref="U57">IF($D28,IFERROR((SUMPRODUCT((economics!$AG$2:$AG$167=$B57)*(economics!$D$2:$D$167="whr")*economics!$AH$2:$AH$167*(_xlfn.NORM.DIST(U$3,economics!$AK$2:$AK$167,economics!$AJ$2:$AJ$167,TRUE)-_xlfn.NORM.DIST(U$30,economics!$AK$2:$AK$167,economics!$AJ$2:$AJ$167,TRUE))*economics!$AM$2:$AM$167)+$CR28*(_xlfn.NORM.DIST(U$3,$CU28,0.3*$CU28,TRUE)-_xlfn.NORM.DIST(U$30,$CU28,0.3*$CU28,TRUE))*summary!$C$7/28.8/0.947817+$CS28*(_xlfn.NORM.DIST(U$3,$CV28,0.3*$CV28,TRUE)-_xlfn.NORM.DIST(U$30,$CV28,0.3*$CV28,TRUE))*summary!$C$6/28.8/0.947817)/(SUMPRODUCT((economics!$AG$2:$AG$167=$B57)*(economics!$D$2:$D$167="whr")*economics!$AH$2:$AH$167*(_xlfn.NORM.DIST(U$3,economics!$AK$2:$AK$167,economics!$AJ$2:$AJ$167,TRUE)-_xlfn.NORM.DIST(U$30,economics!$AK$2:$AK$167,economics!$AJ$2:$AJ$167,TRUE)))+$CR28*(_xlfn.NORM.DIST(U$3,$CU28,0.3*$CU28,TRUE)-_xlfn.NORM.DIST(U$30,$CU28,0.3*$CU28,TRUE))+$CS28*(_xlfn.NORM.DIST(U$3,$CV28,0.3*$CV28,TRUE)-_xlfn.NORM.DIST(U$30,$CV28,0.3*$CV28,TRUE))),""),IF($C28&gt;0,summary!$C$10/28.8/0.947817,""))</f>
        <v/>
      </c>
      <c r="V57">
        <f t="array" ref="V57">IF($D28,IFERROR((SUMPRODUCT((economics!$AG$2:$AG$167=$B57)*(economics!$D$2:$D$167="whr")*economics!$AH$2:$AH$167*(_xlfn.NORM.DIST(V$3,economics!$AK$2:$AK$167,economics!$AJ$2:$AJ$167,TRUE)-_xlfn.NORM.DIST(V$30,economics!$AK$2:$AK$167,economics!$AJ$2:$AJ$167,TRUE))*economics!$AM$2:$AM$167)+$CR28*(_xlfn.NORM.DIST(V$3,$CU28,0.3*$CU28,TRUE)-_xlfn.NORM.DIST(V$30,$CU28,0.3*$CU28,TRUE))*summary!$C$7/28.8/0.947817+$CS28*(_xlfn.NORM.DIST(V$3,$CV28,0.3*$CV28,TRUE)-_xlfn.NORM.DIST(V$30,$CV28,0.3*$CV28,TRUE))*summary!$C$6/28.8/0.947817)/(SUMPRODUCT((economics!$AG$2:$AG$167=$B57)*(economics!$D$2:$D$167="whr")*economics!$AH$2:$AH$167*(_xlfn.NORM.DIST(V$3,economics!$AK$2:$AK$167,economics!$AJ$2:$AJ$167,TRUE)-_xlfn.NORM.DIST(V$30,economics!$AK$2:$AK$167,economics!$AJ$2:$AJ$167,TRUE)))+$CR28*(_xlfn.NORM.DIST(V$3,$CU28,0.3*$CU28,TRUE)-_xlfn.NORM.DIST(V$30,$CU28,0.3*$CU28,TRUE))+$CS28*(_xlfn.NORM.DIST(V$3,$CV28,0.3*$CV28,TRUE)-_xlfn.NORM.DIST(V$30,$CV28,0.3*$CV28,TRUE))),""),IF($C28&gt;0,summary!$C$10/28.8/0.947817,""))</f>
        <v/>
      </c>
      <c r="W57">
        <f t="array" ref="W57">IF($D28,IFERROR((SUMPRODUCT((economics!$AG$2:$AG$167=$B57)*(economics!$D$2:$D$167="whr")*economics!$AH$2:$AH$167*(_xlfn.NORM.DIST(W$3,economics!$AK$2:$AK$167,economics!$AJ$2:$AJ$167,TRUE)-_xlfn.NORM.DIST(W$30,economics!$AK$2:$AK$167,economics!$AJ$2:$AJ$167,TRUE))*economics!$AM$2:$AM$167)+$CR28*(_xlfn.NORM.DIST(W$3,$CU28,0.3*$CU28,TRUE)-_xlfn.NORM.DIST(W$30,$CU28,0.3*$CU28,TRUE))*summary!$C$7/28.8/0.947817+$CS28*(_xlfn.NORM.DIST(W$3,$CV28,0.3*$CV28,TRUE)-_xlfn.NORM.DIST(W$30,$CV28,0.3*$CV28,TRUE))*summary!$C$6/28.8/0.947817)/(SUMPRODUCT((economics!$AG$2:$AG$167=$B57)*(economics!$D$2:$D$167="whr")*economics!$AH$2:$AH$167*(_xlfn.NORM.DIST(W$3,economics!$AK$2:$AK$167,economics!$AJ$2:$AJ$167,TRUE)-_xlfn.NORM.DIST(W$30,economics!$AK$2:$AK$167,economics!$AJ$2:$AJ$167,TRUE)))+$CR28*(_xlfn.NORM.DIST(W$3,$CU28,0.3*$CU28,TRUE)-_xlfn.NORM.DIST(W$30,$CU28,0.3*$CU28,TRUE))+$CS28*(_xlfn.NORM.DIST(W$3,$CV28,0.3*$CV28,TRUE)-_xlfn.NORM.DIST(W$30,$CV28,0.3*$CV28,TRUE))),""),IF($C28&gt;0,summary!$C$10/28.8/0.947817,""))</f>
        <v/>
      </c>
      <c r="X57">
        <f t="array" ref="X57">IF($D28,IFERROR((SUMPRODUCT((economics!$AG$2:$AG$167=$B57)*(economics!$D$2:$D$167="whr")*economics!$AH$2:$AH$167*(_xlfn.NORM.DIST(X$3,economics!$AK$2:$AK$167,economics!$AJ$2:$AJ$167,TRUE)-_xlfn.NORM.DIST(X$30,economics!$AK$2:$AK$167,economics!$AJ$2:$AJ$167,TRUE))*economics!$AM$2:$AM$167)+$CR28*(_xlfn.NORM.DIST(X$3,$CU28,0.3*$CU28,TRUE)-_xlfn.NORM.DIST(X$30,$CU28,0.3*$CU28,TRUE))*summary!$C$7/28.8/0.947817+$CS28*(_xlfn.NORM.DIST(X$3,$CV28,0.3*$CV28,TRUE)-_xlfn.NORM.DIST(X$30,$CV28,0.3*$CV28,TRUE))*summary!$C$6/28.8/0.947817)/(SUMPRODUCT((economics!$AG$2:$AG$167=$B57)*(economics!$D$2:$D$167="whr")*economics!$AH$2:$AH$167*(_xlfn.NORM.DIST(X$3,economics!$AK$2:$AK$167,economics!$AJ$2:$AJ$167,TRUE)-_xlfn.NORM.DIST(X$30,economics!$AK$2:$AK$167,economics!$AJ$2:$AJ$167,TRUE)))+$CR28*(_xlfn.NORM.DIST(X$3,$CU28,0.3*$CU28,TRUE)-_xlfn.NORM.DIST(X$30,$CU28,0.3*$CU28,TRUE))+$CS28*(_xlfn.NORM.DIST(X$3,$CV28,0.3*$CV28,TRUE)-_xlfn.NORM.DIST(X$30,$CV28,0.3*$CV28,TRUE))),""),IF($C28&gt;0,summary!$C$10/28.8/0.947817,""))</f>
        <v/>
      </c>
      <c r="Y57">
        <f t="array" ref="Y57">IF($D28,IFERROR((SUMPRODUCT((economics!$AG$2:$AG$167=$B57)*(economics!$D$2:$D$167="whr")*economics!$AH$2:$AH$167*(_xlfn.NORM.DIST(Y$3,economics!$AK$2:$AK$167,economics!$AJ$2:$AJ$167,TRUE)-_xlfn.NORM.DIST(Y$30,economics!$AK$2:$AK$167,economics!$AJ$2:$AJ$167,TRUE))*economics!$AM$2:$AM$167)+$CR28*(_xlfn.NORM.DIST(Y$3,$CU28,0.3*$CU28,TRUE)-_xlfn.NORM.DIST(Y$30,$CU28,0.3*$CU28,TRUE))*summary!$C$7/28.8/0.947817+$CS28*(_xlfn.NORM.DIST(Y$3,$CV28,0.3*$CV28,TRUE)-_xlfn.NORM.DIST(Y$30,$CV28,0.3*$CV28,TRUE))*summary!$C$6/28.8/0.947817)/(SUMPRODUCT((economics!$AG$2:$AG$167=$B57)*(economics!$D$2:$D$167="whr")*economics!$AH$2:$AH$167*(_xlfn.NORM.DIST(Y$3,economics!$AK$2:$AK$167,economics!$AJ$2:$AJ$167,TRUE)-_xlfn.NORM.DIST(Y$30,economics!$AK$2:$AK$167,economics!$AJ$2:$AJ$167,TRUE)))+$CR28*(_xlfn.NORM.DIST(Y$3,$CU28,0.3*$CU28,TRUE)-_xlfn.NORM.DIST(Y$30,$CU28,0.3*$CU28,TRUE))+$CS28*(_xlfn.NORM.DIST(Y$3,$CV28,0.3*$CV28,TRUE)-_xlfn.NORM.DIST(Y$30,$CV28,0.3*$CV28,TRUE))),""),IF($C28&gt;0,summary!$C$10/28.8/0.947817,""))</f>
        <v/>
      </c>
      <c r="Z57">
        <f t="array" ref="Z57">IF($D28,IFERROR((SUMPRODUCT((economics!$AG$2:$AG$167=$B57)*(economics!$D$2:$D$167="whr")*economics!$AH$2:$AH$167*(_xlfn.NORM.DIST(Z$3,economics!$AK$2:$AK$167,economics!$AJ$2:$AJ$167,TRUE)-_xlfn.NORM.DIST(Z$30,economics!$AK$2:$AK$167,economics!$AJ$2:$AJ$167,TRUE))*economics!$AM$2:$AM$167)+$CR28*(_xlfn.NORM.DIST(Z$3,$CU28,0.3*$CU28,TRUE)-_xlfn.NORM.DIST(Z$30,$CU28,0.3*$CU28,TRUE))*summary!$C$7/28.8/0.947817+$CS28*(_xlfn.NORM.DIST(Z$3,$CV28,0.3*$CV28,TRUE)-_xlfn.NORM.DIST(Z$30,$CV28,0.3*$CV28,TRUE))*summary!$C$6/28.8/0.947817)/(SUMPRODUCT((economics!$AG$2:$AG$167=$B57)*(economics!$D$2:$D$167="whr")*economics!$AH$2:$AH$167*(_xlfn.NORM.DIST(Z$3,economics!$AK$2:$AK$167,economics!$AJ$2:$AJ$167,TRUE)-_xlfn.NORM.DIST(Z$30,economics!$AK$2:$AK$167,economics!$AJ$2:$AJ$167,TRUE)))+$CR28*(_xlfn.NORM.DIST(Z$3,$CU28,0.3*$CU28,TRUE)-_xlfn.NORM.DIST(Z$30,$CU28,0.3*$CU28,TRUE))+$CS28*(_xlfn.NORM.DIST(Z$3,$CV28,0.3*$CV28,TRUE)-_xlfn.NORM.DIST(Z$30,$CV28,0.3*$CV28,TRUE))),""),IF($C28&gt;0,summary!$C$10/28.8/0.947817,""))</f>
        <v/>
      </c>
      <c r="AA57">
        <f t="array" ref="AA57">IF($D28,IFERROR((SUMPRODUCT((economics!$AG$2:$AG$167=$B57)*(economics!$D$2:$D$167="whr")*economics!$AH$2:$AH$167*(_xlfn.NORM.DIST(AA$3,economics!$AK$2:$AK$167,economics!$AJ$2:$AJ$167,TRUE)-_xlfn.NORM.DIST(AA$30,economics!$AK$2:$AK$167,economics!$AJ$2:$AJ$167,TRUE))*economics!$AM$2:$AM$167)+$CR28*(_xlfn.NORM.DIST(AA$3,$CU28,0.3*$CU28,TRUE)-_xlfn.NORM.DIST(AA$30,$CU28,0.3*$CU28,TRUE))*summary!$C$7/28.8/0.947817+$CS28*(_xlfn.NORM.DIST(AA$3,$CV28,0.3*$CV28,TRUE)-_xlfn.NORM.DIST(AA$30,$CV28,0.3*$CV28,TRUE))*summary!$C$6/28.8/0.947817)/(SUMPRODUCT((economics!$AG$2:$AG$167=$B57)*(economics!$D$2:$D$167="whr")*economics!$AH$2:$AH$167*(_xlfn.NORM.DIST(AA$3,economics!$AK$2:$AK$167,economics!$AJ$2:$AJ$167,TRUE)-_xlfn.NORM.DIST(AA$30,economics!$AK$2:$AK$167,economics!$AJ$2:$AJ$167,TRUE)))+$CR28*(_xlfn.NORM.DIST(AA$3,$CU28,0.3*$CU28,TRUE)-_xlfn.NORM.DIST(AA$30,$CU28,0.3*$CU28,TRUE))+$CS28*(_xlfn.NORM.DIST(AA$3,$CV28,0.3*$CV28,TRUE)-_xlfn.NORM.DIST(AA$30,$CV28,0.3*$CV28,TRUE))),""),IF($C28&gt;0,summary!$C$10/28.8/0.947817,""))</f>
        <v/>
      </c>
      <c r="AB57">
        <f t="array" ref="AB57">IF($D28,IFERROR((SUMPRODUCT((economics!$AG$2:$AG$167=$B57)*(economics!$D$2:$D$167="whr")*economics!$AH$2:$AH$167*(_xlfn.NORM.DIST(AB$3,economics!$AK$2:$AK$167,economics!$AJ$2:$AJ$167,TRUE)-_xlfn.NORM.DIST(AB$30,economics!$AK$2:$AK$167,economics!$AJ$2:$AJ$167,TRUE))*economics!$AM$2:$AM$167)+$CR28*(_xlfn.NORM.DIST(AB$3,$CU28,0.3*$CU28,TRUE)-_xlfn.NORM.DIST(AB$30,$CU28,0.3*$CU28,TRUE))*summary!$C$7/28.8/0.947817+$CS28*(_xlfn.NORM.DIST(AB$3,$CV28,0.3*$CV28,TRUE)-_xlfn.NORM.DIST(AB$30,$CV28,0.3*$CV28,TRUE))*summary!$C$6/28.8/0.947817)/(SUMPRODUCT((economics!$AG$2:$AG$167=$B57)*(economics!$D$2:$D$167="whr")*economics!$AH$2:$AH$167*(_xlfn.NORM.DIST(AB$3,economics!$AK$2:$AK$167,economics!$AJ$2:$AJ$167,TRUE)-_xlfn.NORM.DIST(AB$30,economics!$AK$2:$AK$167,economics!$AJ$2:$AJ$167,TRUE)))+$CR28*(_xlfn.NORM.DIST(AB$3,$CU28,0.3*$CU28,TRUE)-_xlfn.NORM.DIST(AB$30,$CU28,0.3*$CU28,TRUE))+$CS28*(_xlfn.NORM.DIST(AB$3,$CV28,0.3*$CV28,TRUE)-_xlfn.NORM.DIST(AB$30,$CV28,0.3*$CV28,TRUE))),""),IF($C28&gt;0,summary!$C$10/28.8/0.947817,""))</f>
        <v/>
      </c>
      <c r="AC57">
        <f t="array" ref="AC57">IF($D28,IFERROR((SUMPRODUCT((economics!$AG$2:$AG$167=$B57)*(economics!$D$2:$D$167="whr")*economics!$AH$2:$AH$167*(_xlfn.NORM.DIST(AC$3,economics!$AK$2:$AK$167,economics!$AJ$2:$AJ$167,TRUE)-_xlfn.NORM.DIST(AC$30,economics!$AK$2:$AK$167,economics!$AJ$2:$AJ$167,TRUE))*economics!$AM$2:$AM$167)+$CR28*(_xlfn.NORM.DIST(AC$3,$CU28,0.3*$CU28,TRUE)-_xlfn.NORM.DIST(AC$30,$CU28,0.3*$CU28,TRUE))*summary!$C$7/28.8/0.947817+$CS28*(_xlfn.NORM.DIST(AC$3,$CV28,0.3*$CV28,TRUE)-_xlfn.NORM.DIST(AC$30,$CV28,0.3*$CV28,TRUE))*summary!$C$6/28.8/0.947817)/(SUMPRODUCT((economics!$AG$2:$AG$167=$B57)*(economics!$D$2:$D$167="whr")*economics!$AH$2:$AH$167*(_xlfn.NORM.DIST(AC$3,economics!$AK$2:$AK$167,economics!$AJ$2:$AJ$167,TRUE)-_xlfn.NORM.DIST(AC$30,economics!$AK$2:$AK$167,economics!$AJ$2:$AJ$167,TRUE)))+$CR28*(_xlfn.NORM.DIST(AC$3,$CU28,0.3*$CU28,TRUE)-_xlfn.NORM.DIST(AC$30,$CU28,0.3*$CU28,TRUE))+$CS28*(_xlfn.NORM.DIST(AC$3,$CV28,0.3*$CV28,TRUE)-_xlfn.NORM.DIST(AC$30,$CV28,0.3*$CV28,TRUE))),""),IF($C28&gt;0,summary!$C$10/28.8/0.947817,""))</f>
        <v/>
      </c>
      <c r="AD57">
        <f t="array" ref="AD57">IF($D28,IFERROR((SUMPRODUCT((economics!$AG$2:$AG$167=$B57)*(economics!$D$2:$D$167="whr")*economics!$AH$2:$AH$167*(_xlfn.NORM.DIST(AD$3,economics!$AK$2:$AK$167,economics!$AJ$2:$AJ$167,TRUE)-_xlfn.NORM.DIST(AD$30,economics!$AK$2:$AK$167,economics!$AJ$2:$AJ$167,TRUE))*economics!$AM$2:$AM$167)+$CR28*(_xlfn.NORM.DIST(AD$3,$CU28,0.3*$CU28,TRUE)-_xlfn.NORM.DIST(AD$30,$CU28,0.3*$CU28,TRUE))*summary!$C$7/28.8/0.947817+$CS28*(_xlfn.NORM.DIST(AD$3,$CV28,0.3*$CV28,TRUE)-_xlfn.NORM.DIST(AD$30,$CV28,0.3*$CV28,TRUE))*summary!$C$6/28.8/0.947817)/(SUMPRODUCT((economics!$AG$2:$AG$167=$B57)*(economics!$D$2:$D$167="whr")*economics!$AH$2:$AH$167*(_xlfn.NORM.DIST(AD$3,economics!$AK$2:$AK$167,economics!$AJ$2:$AJ$167,TRUE)-_xlfn.NORM.DIST(AD$30,economics!$AK$2:$AK$167,economics!$AJ$2:$AJ$167,TRUE)))+$CR28*(_xlfn.NORM.DIST(AD$3,$CU28,0.3*$CU28,TRUE)-_xlfn.NORM.DIST(AD$30,$CU28,0.3*$CU28,TRUE))+$CS28*(_xlfn.NORM.DIST(AD$3,$CV28,0.3*$CV28,TRUE)-_xlfn.NORM.DIST(AD$30,$CV28,0.3*$CV28,TRUE))),""),IF($C28&gt;0,summary!$C$10/28.8/0.947817,""))</f>
        <v/>
      </c>
      <c r="AE57">
        <f t="array" ref="AE57">IF($D28,IFERROR((SUMPRODUCT((economics!$AG$2:$AG$167=$B57)*(economics!$D$2:$D$167="whr")*economics!$AH$2:$AH$167*(_xlfn.NORM.DIST(AE$3,economics!$AK$2:$AK$167,economics!$AJ$2:$AJ$167,TRUE)-_xlfn.NORM.DIST(AE$30,economics!$AK$2:$AK$167,economics!$AJ$2:$AJ$167,TRUE))*economics!$AM$2:$AM$167)+$CR28*(_xlfn.NORM.DIST(AE$3,$CU28,0.3*$CU28,TRUE)-_xlfn.NORM.DIST(AE$30,$CU28,0.3*$CU28,TRUE))*summary!$C$7/28.8/0.947817+$CS28*(_xlfn.NORM.DIST(AE$3,$CV28,0.3*$CV28,TRUE)-_xlfn.NORM.DIST(AE$30,$CV28,0.3*$CV28,TRUE))*summary!$C$6/28.8/0.947817)/(SUMPRODUCT((economics!$AG$2:$AG$167=$B57)*(economics!$D$2:$D$167="whr")*economics!$AH$2:$AH$167*(_xlfn.NORM.DIST(AE$3,economics!$AK$2:$AK$167,economics!$AJ$2:$AJ$167,TRUE)-_xlfn.NORM.DIST(AE$30,economics!$AK$2:$AK$167,economics!$AJ$2:$AJ$167,TRUE)))+$CR28*(_xlfn.NORM.DIST(AE$3,$CU28,0.3*$CU28,TRUE)-_xlfn.NORM.DIST(AE$30,$CU28,0.3*$CU28,TRUE))+$CS28*(_xlfn.NORM.DIST(AE$3,$CV28,0.3*$CV28,TRUE)-_xlfn.NORM.DIST(AE$30,$CV28,0.3*$CV28,TRUE))),""),IF($C28&gt;0,summary!$C$10/28.8/0.947817,""))</f>
        <v/>
      </c>
      <c r="AF57">
        <f t="array" ref="AF57">IF($D28,IFERROR((SUMPRODUCT((economics!$AG$2:$AG$167=$B57)*(economics!$D$2:$D$167="whr")*economics!$AH$2:$AH$167*(_xlfn.NORM.DIST(AF$3,economics!$AK$2:$AK$167,economics!$AJ$2:$AJ$167,TRUE)-_xlfn.NORM.DIST(AF$30,economics!$AK$2:$AK$167,economics!$AJ$2:$AJ$167,TRUE))*economics!$AM$2:$AM$167)+$CR28*(_xlfn.NORM.DIST(AF$3,$CU28,0.3*$CU28,TRUE)-_xlfn.NORM.DIST(AF$30,$CU28,0.3*$CU28,TRUE))*summary!$C$7/28.8/0.947817+$CS28*(_xlfn.NORM.DIST(AF$3,$CV28,0.3*$CV28,TRUE)-_xlfn.NORM.DIST(AF$30,$CV28,0.3*$CV28,TRUE))*summary!$C$6/28.8/0.947817)/(SUMPRODUCT((economics!$AG$2:$AG$167=$B57)*(economics!$D$2:$D$167="whr")*economics!$AH$2:$AH$167*(_xlfn.NORM.DIST(AF$3,economics!$AK$2:$AK$167,economics!$AJ$2:$AJ$167,TRUE)-_xlfn.NORM.DIST(AF$30,economics!$AK$2:$AK$167,economics!$AJ$2:$AJ$167,TRUE)))+$CR28*(_xlfn.NORM.DIST(AF$3,$CU28,0.3*$CU28,TRUE)-_xlfn.NORM.DIST(AF$30,$CU28,0.3*$CU28,TRUE))+$CS28*(_xlfn.NORM.DIST(AF$3,$CV28,0.3*$CV28,TRUE)-_xlfn.NORM.DIST(AF$30,$CV28,0.3*$CV28,TRUE))),""),IF($C28&gt;0,summary!$C$10/28.8/0.947817,""))</f>
        <v/>
      </c>
      <c r="AG57">
        <f t="array" ref="AG57">IF($D28,IFERROR((SUMPRODUCT((economics!$AG$2:$AG$167=$B57)*(economics!$D$2:$D$167="whr")*economics!$AH$2:$AH$167*(_xlfn.NORM.DIST(AG$3,economics!$AK$2:$AK$167,economics!$AJ$2:$AJ$167,TRUE)-_xlfn.NORM.DIST(AG$30,economics!$AK$2:$AK$167,economics!$AJ$2:$AJ$167,TRUE))*economics!$AM$2:$AM$167)+$CR28*(_xlfn.NORM.DIST(AG$3,$CU28,0.3*$CU28,TRUE)-_xlfn.NORM.DIST(AG$30,$CU28,0.3*$CU28,TRUE))*summary!$C$7/28.8/0.947817+$CS28*(_xlfn.NORM.DIST(AG$3,$CV28,0.3*$CV28,TRUE)-_xlfn.NORM.DIST(AG$30,$CV28,0.3*$CV28,TRUE))*summary!$C$6/28.8/0.947817)/(SUMPRODUCT((economics!$AG$2:$AG$167=$B57)*(economics!$D$2:$D$167="whr")*economics!$AH$2:$AH$167*(_xlfn.NORM.DIST(AG$3,economics!$AK$2:$AK$167,economics!$AJ$2:$AJ$167,TRUE)-_xlfn.NORM.DIST(AG$30,economics!$AK$2:$AK$167,economics!$AJ$2:$AJ$167,TRUE)))+$CR28*(_xlfn.NORM.DIST(AG$3,$CU28,0.3*$CU28,TRUE)-_xlfn.NORM.DIST(AG$30,$CU28,0.3*$CU28,TRUE))+$CS28*(_xlfn.NORM.DIST(AG$3,$CV28,0.3*$CV28,TRUE)-_xlfn.NORM.DIST(AG$30,$CV28,0.3*$CV28,TRUE))),""),IF($C28&gt;0,summary!$C$10/28.8/0.947817,""))</f>
        <v/>
      </c>
      <c r="AH57">
        <f t="array" ref="AH57">IF($D28,IFERROR((SUMPRODUCT((economics!$AG$2:$AG$167=$B57)*(economics!$D$2:$D$167="whr")*economics!$AH$2:$AH$167*(_xlfn.NORM.DIST(AH$3,economics!$AK$2:$AK$167,economics!$AJ$2:$AJ$167,TRUE)-_xlfn.NORM.DIST(AH$30,economics!$AK$2:$AK$167,economics!$AJ$2:$AJ$167,TRUE))*economics!$AM$2:$AM$167)+$CR28*(_xlfn.NORM.DIST(AH$3,$CU28,0.3*$CU28,TRUE)-_xlfn.NORM.DIST(AH$30,$CU28,0.3*$CU28,TRUE))*summary!$C$7/28.8/0.947817+$CS28*(_xlfn.NORM.DIST(AH$3,$CV28,0.3*$CV28,TRUE)-_xlfn.NORM.DIST(AH$30,$CV28,0.3*$CV28,TRUE))*summary!$C$6/28.8/0.947817)/(SUMPRODUCT((economics!$AG$2:$AG$167=$B57)*(economics!$D$2:$D$167="whr")*economics!$AH$2:$AH$167*(_xlfn.NORM.DIST(AH$3,economics!$AK$2:$AK$167,economics!$AJ$2:$AJ$167,TRUE)-_xlfn.NORM.DIST(AH$30,economics!$AK$2:$AK$167,economics!$AJ$2:$AJ$167,TRUE)))+$CR28*(_xlfn.NORM.DIST(AH$3,$CU28,0.3*$CU28,TRUE)-_xlfn.NORM.DIST(AH$30,$CU28,0.3*$CU28,TRUE))+$CS28*(_xlfn.NORM.DIST(AH$3,$CV28,0.3*$CV28,TRUE)-_xlfn.NORM.DIST(AH$30,$CV28,0.3*$CV28,TRUE))),""),IF($C28&gt;0,summary!$C$10/28.8/0.947817,""))</f>
        <v/>
      </c>
      <c r="AI57">
        <f t="array" ref="AI57">IF($D28,IFERROR((SUMPRODUCT((economics!$AG$2:$AG$167=$B57)*(economics!$D$2:$D$167="whr")*economics!$AH$2:$AH$167*(_xlfn.NORM.DIST(AI$3,economics!$AK$2:$AK$167,economics!$AJ$2:$AJ$167,TRUE)-_xlfn.NORM.DIST(AI$30,economics!$AK$2:$AK$167,economics!$AJ$2:$AJ$167,TRUE))*economics!$AM$2:$AM$167)+$CR28*(_xlfn.NORM.DIST(AI$3,$CU28,0.3*$CU28,TRUE)-_xlfn.NORM.DIST(AI$30,$CU28,0.3*$CU28,TRUE))*summary!$C$7/28.8/0.947817+$CS28*(_xlfn.NORM.DIST(AI$3,$CV28,0.3*$CV28,TRUE)-_xlfn.NORM.DIST(AI$30,$CV28,0.3*$CV28,TRUE))*summary!$C$6/28.8/0.947817)/(SUMPRODUCT((economics!$AG$2:$AG$167=$B57)*(economics!$D$2:$D$167="whr")*economics!$AH$2:$AH$167*(_xlfn.NORM.DIST(AI$3,economics!$AK$2:$AK$167,economics!$AJ$2:$AJ$167,TRUE)-_xlfn.NORM.DIST(AI$30,economics!$AK$2:$AK$167,economics!$AJ$2:$AJ$167,TRUE)))+$CR28*(_xlfn.NORM.DIST(AI$3,$CU28,0.3*$CU28,TRUE)-_xlfn.NORM.DIST(AI$30,$CU28,0.3*$CU28,TRUE))+$CS28*(_xlfn.NORM.DIST(AI$3,$CV28,0.3*$CV28,TRUE)-_xlfn.NORM.DIST(AI$30,$CV28,0.3*$CV28,TRUE))),""),IF($C28&gt;0,summary!$C$10/28.8/0.947817,""))</f>
        <v/>
      </c>
      <c r="AJ57">
        <f t="array" ref="AJ57">IF($D28,IFERROR((SUMPRODUCT((economics!$AG$2:$AG$167=$B57)*(economics!$D$2:$D$167="whr")*economics!$AH$2:$AH$167*(_xlfn.NORM.DIST(AJ$3,economics!$AK$2:$AK$167,economics!$AJ$2:$AJ$167,TRUE)-_xlfn.NORM.DIST(AJ$30,economics!$AK$2:$AK$167,economics!$AJ$2:$AJ$167,TRUE))*economics!$AM$2:$AM$167)+$CR28*(_xlfn.NORM.DIST(AJ$3,$CU28,0.3*$CU28,TRUE)-_xlfn.NORM.DIST(AJ$30,$CU28,0.3*$CU28,TRUE))*summary!$C$7/28.8/0.947817+$CS28*(_xlfn.NORM.DIST(AJ$3,$CV28,0.3*$CV28,TRUE)-_xlfn.NORM.DIST(AJ$30,$CV28,0.3*$CV28,TRUE))*summary!$C$6/28.8/0.947817)/(SUMPRODUCT((economics!$AG$2:$AG$167=$B57)*(economics!$D$2:$D$167="whr")*economics!$AH$2:$AH$167*(_xlfn.NORM.DIST(AJ$3,economics!$AK$2:$AK$167,economics!$AJ$2:$AJ$167,TRUE)-_xlfn.NORM.DIST(AJ$30,economics!$AK$2:$AK$167,economics!$AJ$2:$AJ$167,TRUE)))+$CR28*(_xlfn.NORM.DIST(AJ$3,$CU28,0.3*$CU28,TRUE)-_xlfn.NORM.DIST(AJ$30,$CU28,0.3*$CU28,TRUE))+$CS28*(_xlfn.NORM.DIST(AJ$3,$CV28,0.3*$CV28,TRUE)-_xlfn.NORM.DIST(AJ$30,$CV28,0.3*$CV28,TRUE))),""),IF($C28&gt;0,summary!$C$10/28.8/0.947817,""))</f>
        <v/>
      </c>
      <c r="AK57">
        <f t="array" ref="AK57">IF($D28,IFERROR((SUMPRODUCT((economics!$AG$2:$AG$167=$B57)*(economics!$D$2:$D$167="whr")*economics!$AH$2:$AH$167*(_xlfn.NORM.DIST(AK$3,economics!$AK$2:$AK$167,economics!$AJ$2:$AJ$167,TRUE)-_xlfn.NORM.DIST(AK$30,economics!$AK$2:$AK$167,economics!$AJ$2:$AJ$167,TRUE))*economics!$AM$2:$AM$167)+$CR28*(_xlfn.NORM.DIST(AK$3,$CU28,0.3*$CU28,TRUE)-_xlfn.NORM.DIST(AK$30,$CU28,0.3*$CU28,TRUE))*summary!$C$7/28.8/0.947817+$CS28*(_xlfn.NORM.DIST(AK$3,$CV28,0.3*$CV28,TRUE)-_xlfn.NORM.DIST(AK$30,$CV28,0.3*$CV28,TRUE))*summary!$C$6/28.8/0.947817)/(SUMPRODUCT((economics!$AG$2:$AG$167=$B57)*(economics!$D$2:$D$167="whr")*economics!$AH$2:$AH$167*(_xlfn.NORM.DIST(AK$3,economics!$AK$2:$AK$167,economics!$AJ$2:$AJ$167,TRUE)-_xlfn.NORM.DIST(AK$30,economics!$AK$2:$AK$167,economics!$AJ$2:$AJ$167,TRUE)))+$CR28*(_xlfn.NORM.DIST(AK$3,$CU28,0.3*$CU28,TRUE)-_xlfn.NORM.DIST(AK$30,$CU28,0.3*$CU28,TRUE))+$CS28*(_xlfn.NORM.DIST(AK$3,$CV28,0.3*$CV28,TRUE)-_xlfn.NORM.DIST(AK$30,$CV28,0.3*$CV28,TRUE))),""),IF($C28&gt;0,summary!$C$10/28.8/0.947817,""))</f>
        <v/>
      </c>
      <c r="AL57">
        <f t="array" ref="AL57">IF($D28,IFERROR((SUMPRODUCT((economics!$AG$2:$AG$167=$B57)*(economics!$D$2:$D$167="whr")*economics!$AH$2:$AH$167*(_xlfn.NORM.DIST(AL$3,economics!$AK$2:$AK$167,economics!$AJ$2:$AJ$167,TRUE)-_xlfn.NORM.DIST(AL$30,economics!$AK$2:$AK$167,economics!$AJ$2:$AJ$167,TRUE))*economics!$AM$2:$AM$167)+$CR28*(_xlfn.NORM.DIST(AL$3,$CU28,0.3*$CU28,TRUE)-_xlfn.NORM.DIST(AL$30,$CU28,0.3*$CU28,TRUE))*summary!$C$7/28.8/0.947817+$CS28*(_xlfn.NORM.DIST(AL$3,$CV28,0.3*$CV28,TRUE)-_xlfn.NORM.DIST(AL$30,$CV28,0.3*$CV28,TRUE))*summary!$C$6/28.8/0.947817)/(SUMPRODUCT((economics!$AG$2:$AG$167=$B57)*(economics!$D$2:$D$167="whr")*economics!$AH$2:$AH$167*(_xlfn.NORM.DIST(AL$3,economics!$AK$2:$AK$167,economics!$AJ$2:$AJ$167,TRUE)-_xlfn.NORM.DIST(AL$30,economics!$AK$2:$AK$167,economics!$AJ$2:$AJ$167,TRUE)))+$CR28*(_xlfn.NORM.DIST(AL$3,$CU28,0.3*$CU28,TRUE)-_xlfn.NORM.DIST(AL$30,$CU28,0.3*$CU28,TRUE))+$CS28*(_xlfn.NORM.DIST(AL$3,$CV28,0.3*$CV28,TRUE)-_xlfn.NORM.DIST(AL$30,$CV28,0.3*$CV28,TRUE))),""),IF($C28&gt;0,summary!$C$10/28.8/0.947817,""))</f>
        <v/>
      </c>
      <c r="AM57">
        <f t="array" ref="AM57">IF($D28,IFERROR((SUMPRODUCT((economics!$AG$2:$AG$167=$B57)*(economics!$D$2:$D$167="whr")*economics!$AH$2:$AH$167*(_xlfn.NORM.DIST(AM$3,economics!$AK$2:$AK$167,economics!$AJ$2:$AJ$167,TRUE)-_xlfn.NORM.DIST(AM$30,economics!$AK$2:$AK$167,economics!$AJ$2:$AJ$167,TRUE))*economics!$AM$2:$AM$167)+$CR28*(_xlfn.NORM.DIST(AM$3,$CU28,0.3*$CU28,TRUE)-_xlfn.NORM.DIST(AM$30,$CU28,0.3*$CU28,TRUE))*summary!$C$7/28.8/0.947817+$CS28*(_xlfn.NORM.DIST(AM$3,$CV28,0.3*$CV28,TRUE)-_xlfn.NORM.DIST(AM$30,$CV28,0.3*$CV28,TRUE))*summary!$C$6/28.8/0.947817)/(SUMPRODUCT((economics!$AG$2:$AG$167=$B57)*(economics!$D$2:$D$167="whr")*economics!$AH$2:$AH$167*(_xlfn.NORM.DIST(AM$3,economics!$AK$2:$AK$167,economics!$AJ$2:$AJ$167,TRUE)-_xlfn.NORM.DIST(AM$30,economics!$AK$2:$AK$167,economics!$AJ$2:$AJ$167,TRUE)))+$CR28*(_xlfn.NORM.DIST(AM$3,$CU28,0.3*$CU28,TRUE)-_xlfn.NORM.DIST(AM$30,$CU28,0.3*$CU28,TRUE))+$CS28*(_xlfn.NORM.DIST(AM$3,$CV28,0.3*$CV28,TRUE)-_xlfn.NORM.DIST(AM$30,$CV28,0.3*$CV28,TRUE))),""),IF($C28&gt;0,summary!$C$10/28.8/0.947817,""))</f>
        <v/>
      </c>
      <c r="AN57">
        <f t="array" ref="AN57">IF($D28,IFERROR((SUMPRODUCT((economics!$AG$2:$AG$167=$B57)*(economics!$D$2:$D$167="whr")*economics!$AH$2:$AH$167*(_xlfn.NORM.DIST(AN$3,economics!$AK$2:$AK$167,economics!$AJ$2:$AJ$167,TRUE)-_xlfn.NORM.DIST(AN$30,economics!$AK$2:$AK$167,economics!$AJ$2:$AJ$167,TRUE))*economics!$AM$2:$AM$167)+$CR28*(_xlfn.NORM.DIST(AN$3,$CU28,0.3*$CU28,TRUE)-_xlfn.NORM.DIST(AN$30,$CU28,0.3*$CU28,TRUE))*summary!$C$7/28.8/0.947817+$CS28*(_xlfn.NORM.DIST(AN$3,$CV28,0.3*$CV28,TRUE)-_xlfn.NORM.DIST(AN$30,$CV28,0.3*$CV28,TRUE))*summary!$C$6/28.8/0.947817)/(SUMPRODUCT((economics!$AG$2:$AG$167=$B57)*(economics!$D$2:$D$167="whr")*economics!$AH$2:$AH$167*(_xlfn.NORM.DIST(AN$3,economics!$AK$2:$AK$167,economics!$AJ$2:$AJ$167,TRUE)-_xlfn.NORM.DIST(AN$30,economics!$AK$2:$AK$167,economics!$AJ$2:$AJ$167,TRUE)))+$CR28*(_xlfn.NORM.DIST(AN$3,$CU28,0.3*$CU28,TRUE)-_xlfn.NORM.DIST(AN$30,$CU28,0.3*$CU28,TRUE))+$CS28*(_xlfn.NORM.DIST(AN$3,$CV28,0.3*$CV28,TRUE)-_xlfn.NORM.DIST(AN$30,$CV28,0.3*$CV28,TRUE))),""),IF($C28&gt;0,summary!$C$10/28.8/0.947817,""))</f>
        <v/>
      </c>
      <c r="AO57">
        <f t="array" ref="AO57">IF($D28,IFERROR((SUMPRODUCT((economics!$AG$2:$AG$167=$B57)*(economics!$D$2:$D$167="whr")*economics!$AH$2:$AH$167*(_xlfn.NORM.DIST(AO$3,economics!$AK$2:$AK$167,economics!$AJ$2:$AJ$167,TRUE)-_xlfn.NORM.DIST(AO$30,economics!$AK$2:$AK$167,economics!$AJ$2:$AJ$167,TRUE))*economics!$AM$2:$AM$167)+$CR28*(_xlfn.NORM.DIST(AO$3,$CU28,0.3*$CU28,TRUE)-_xlfn.NORM.DIST(AO$30,$CU28,0.3*$CU28,TRUE))*summary!$C$7/28.8/0.947817+$CS28*(_xlfn.NORM.DIST(AO$3,$CV28,0.3*$CV28,TRUE)-_xlfn.NORM.DIST(AO$30,$CV28,0.3*$CV28,TRUE))*summary!$C$6/28.8/0.947817)/(SUMPRODUCT((economics!$AG$2:$AG$167=$B57)*(economics!$D$2:$D$167="whr")*economics!$AH$2:$AH$167*(_xlfn.NORM.DIST(AO$3,economics!$AK$2:$AK$167,economics!$AJ$2:$AJ$167,TRUE)-_xlfn.NORM.DIST(AO$30,economics!$AK$2:$AK$167,economics!$AJ$2:$AJ$167,TRUE)))+$CR28*(_xlfn.NORM.DIST(AO$3,$CU28,0.3*$CU28,TRUE)-_xlfn.NORM.DIST(AO$30,$CU28,0.3*$CU28,TRUE))+$CS28*(_xlfn.NORM.DIST(AO$3,$CV28,0.3*$CV28,TRUE)-_xlfn.NORM.DIST(AO$30,$CV28,0.3*$CV28,TRUE))),""),IF($C28&gt;0,summary!$C$10/28.8/0.947817,""))</f>
        <v/>
      </c>
      <c r="AP57">
        <f t="array" ref="AP57">IF($D28,IFERROR((SUMPRODUCT((economics!$AG$2:$AG$167=$B57)*(economics!$D$2:$D$167="whr")*economics!$AH$2:$AH$167*(_xlfn.NORM.DIST(AP$3,economics!$AK$2:$AK$167,economics!$AJ$2:$AJ$167,TRUE)-_xlfn.NORM.DIST(AP$30,economics!$AK$2:$AK$167,economics!$AJ$2:$AJ$167,TRUE))*economics!$AM$2:$AM$167)+$CR28*(_xlfn.NORM.DIST(AP$3,$CU28,0.3*$CU28,TRUE)-_xlfn.NORM.DIST(AP$30,$CU28,0.3*$CU28,TRUE))*summary!$C$7/28.8/0.947817+$CS28*(_xlfn.NORM.DIST(AP$3,$CV28,0.3*$CV28,TRUE)-_xlfn.NORM.DIST(AP$30,$CV28,0.3*$CV28,TRUE))*summary!$C$6/28.8/0.947817)/(SUMPRODUCT((economics!$AG$2:$AG$167=$B57)*(economics!$D$2:$D$167="whr")*economics!$AH$2:$AH$167*(_xlfn.NORM.DIST(AP$3,economics!$AK$2:$AK$167,economics!$AJ$2:$AJ$167,TRUE)-_xlfn.NORM.DIST(AP$30,economics!$AK$2:$AK$167,economics!$AJ$2:$AJ$167,TRUE)))+$CR28*(_xlfn.NORM.DIST(AP$3,$CU28,0.3*$CU28,TRUE)-_xlfn.NORM.DIST(AP$30,$CU28,0.3*$CU28,TRUE))+$CS28*(_xlfn.NORM.DIST(AP$3,$CV28,0.3*$CV28,TRUE)-_xlfn.NORM.DIST(AP$30,$CV28,0.3*$CV28,TRUE))),""),IF($C28&gt;0,summary!$C$10/28.8/0.947817,""))</f>
        <v/>
      </c>
      <c r="AQ57">
        <f t="array" ref="AQ57">IF($D28,IFERROR((SUMPRODUCT((economics!$AG$2:$AG$167=$B57)*(economics!$D$2:$D$167="whr")*economics!$AH$2:$AH$167*(_xlfn.NORM.DIST(AQ$3,economics!$AK$2:$AK$167,economics!$AJ$2:$AJ$167,TRUE)-_xlfn.NORM.DIST(AQ$30,economics!$AK$2:$AK$167,economics!$AJ$2:$AJ$167,TRUE))*economics!$AM$2:$AM$167)+$CR28*(_xlfn.NORM.DIST(AQ$3,$CU28,0.3*$CU28,TRUE)-_xlfn.NORM.DIST(AQ$30,$CU28,0.3*$CU28,TRUE))*summary!$C$7/28.8/0.947817+$CS28*(_xlfn.NORM.DIST(AQ$3,$CV28,0.3*$CV28,TRUE)-_xlfn.NORM.DIST(AQ$30,$CV28,0.3*$CV28,TRUE))*summary!$C$6/28.8/0.947817)/(SUMPRODUCT((economics!$AG$2:$AG$167=$B57)*(economics!$D$2:$D$167="whr")*economics!$AH$2:$AH$167*(_xlfn.NORM.DIST(AQ$3,economics!$AK$2:$AK$167,economics!$AJ$2:$AJ$167,TRUE)-_xlfn.NORM.DIST(AQ$30,economics!$AK$2:$AK$167,economics!$AJ$2:$AJ$167,TRUE)))+$CR28*(_xlfn.NORM.DIST(AQ$3,$CU28,0.3*$CU28,TRUE)-_xlfn.NORM.DIST(AQ$30,$CU28,0.3*$CU28,TRUE))+$CS28*(_xlfn.NORM.DIST(AQ$3,$CV28,0.3*$CV28,TRUE)-_xlfn.NORM.DIST(AQ$30,$CV28,0.3*$CV28,TRUE))),""),IF($C28&gt;0,summary!$C$10/28.8/0.947817,""))</f>
        <v/>
      </c>
      <c r="AR57">
        <f t="array" ref="AR57">IF($D28,IFERROR((SUMPRODUCT((economics!$AG$2:$AG$167=$B57)*(economics!$D$2:$D$167="whr")*economics!$AH$2:$AH$167*(_xlfn.NORM.DIST(AR$3,economics!$AK$2:$AK$167,economics!$AJ$2:$AJ$167,TRUE)-_xlfn.NORM.DIST(AR$30,economics!$AK$2:$AK$167,economics!$AJ$2:$AJ$167,TRUE))*economics!$AM$2:$AM$167)+$CR28*(_xlfn.NORM.DIST(AR$3,$CU28,0.3*$CU28,TRUE)-_xlfn.NORM.DIST(AR$30,$CU28,0.3*$CU28,TRUE))*summary!$C$7/28.8/0.947817+$CS28*(_xlfn.NORM.DIST(AR$3,$CV28,0.3*$CV28,TRUE)-_xlfn.NORM.DIST(AR$30,$CV28,0.3*$CV28,TRUE))*summary!$C$6/28.8/0.947817)/(SUMPRODUCT((economics!$AG$2:$AG$167=$B57)*(economics!$D$2:$D$167="whr")*economics!$AH$2:$AH$167*(_xlfn.NORM.DIST(AR$3,economics!$AK$2:$AK$167,economics!$AJ$2:$AJ$167,TRUE)-_xlfn.NORM.DIST(AR$30,economics!$AK$2:$AK$167,economics!$AJ$2:$AJ$167,TRUE)))+$CR28*(_xlfn.NORM.DIST(AR$3,$CU28,0.3*$CU28,TRUE)-_xlfn.NORM.DIST(AR$30,$CU28,0.3*$CU28,TRUE))+$CS28*(_xlfn.NORM.DIST(AR$3,$CV28,0.3*$CV28,TRUE)-_xlfn.NORM.DIST(AR$30,$CV28,0.3*$CV28,TRUE))),""),IF($C28&gt;0,summary!$C$10/28.8/0.947817,""))</f>
        <v/>
      </c>
      <c r="AS57">
        <f t="array" ref="AS57">IF($D28,IFERROR((SUMPRODUCT((economics!$AG$2:$AG$167=$B57)*(economics!$D$2:$D$167="whr")*economics!$AH$2:$AH$167*(_xlfn.NORM.DIST(AS$3,economics!$AK$2:$AK$167,economics!$AJ$2:$AJ$167,TRUE)-_xlfn.NORM.DIST(AS$30,economics!$AK$2:$AK$167,economics!$AJ$2:$AJ$167,TRUE))*economics!$AM$2:$AM$167)+$CR28*(_xlfn.NORM.DIST(AS$3,$CU28,0.3*$CU28,TRUE)-_xlfn.NORM.DIST(AS$30,$CU28,0.3*$CU28,TRUE))*summary!$C$7/28.8/0.947817+$CS28*(_xlfn.NORM.DIST(AS$3,$CV28,0.3*$CV28,TRUE)-_xlfn.NORM.DIST(AS$30,$CV28,0.3*$CV28,TRUE))*summary!$C$6/28.8/0.947817)/(SUMPRODUCT((economics!$AG$2:$AG$167=$B57)*(economics!$D$2:$D$167="whr")*economics!$AH$2:$AH$167*(_xlfn.NORM.DIST(AS$3,economics!$AK$2:$AK$167,economics!$AJ$2:$AJ$167,TRUE)-_xlfn.NORM.DIST(AS$30,economics!$AK$2:$AK$167,economics!$AJ$2:$AJ$167,TRUE)))+$CR28*(_xlfn.NORM.DIST(AS$3,$CU28,0.3*$CU28,TRUE)-_xlfn.NORM.DIST(AS$30,$CU28,0.3*$CU28,TRUE))+$CS28*(_xlfn.NORM.DIST(AS$3,$CV28,0.3*$CV28,TRUE)-_xlfn.NORM.DIST(AS$30,$CV28,0.3*$CV28,TRUE))),""),IF($C28&gt;0,summary!$C$10/28.8/0.947817,""))</f>
        <v/>
      </c>
      <c r="AT57">
        <f t="array" ref="AT57">IF($D28,IFERROR((SUMPRODUCT((economics!$AG$2:$AG$167=$B57)*(economics!$D$2:$D$167="whr")*economics!$AH$2:$AH$167*(_xlfn.NORM.DIST(AT$3,economics!$AK$2:$AK$167,economics!$AJ$2:$AJ$167,TRUE)-_xlfn.NORM.DIST(AT$30,economics!$AK$2:$AK$167,economics!$AJ$2:$AJ$167,TRUE))*economics!$AM$2:$AM$167)+$CR28*(_xlfn.NORM.DIST(AT$3,$CU28,0.3*$CU28,TRUE)-_xlfn.NORM.DIST(AT$30,$CU28,0.3*$CU28,TRUE))*summary!$C$7/28.8/0.947817+$CS28*(_xlfn.NORM.DIST(AT$3,$CV28,0.3*$CV28,TRUE)-_xlfn.NORM.DIST(AT$30,$CV28,0.3*$CV28,TRUE))*summary!$C$6/28.8/0.947817)/(SUMPRODUCT((economics!$AG$2:$AG$167=$B57)*(economics!$D$2:$D$167="whr")*economics!$AH$2:$AH$167*(_xlfn.NORM.DIST(AT$3,economics!$AK$2:$AK$167,economics!$AJ$2:$AJ$167,TRUE)-_xlfn.NORM.DIST(AT$30,economics!$AK$2:$AK$167,economics!$AJ$2:$AJ$167,TRUE)))+$CR28*(_xlfn.NORM.DIST(AT$3,$CU28,0.3*$CU28,TRUE)-_xlfn.NORM.DIST(AT$30,$CU28,0.3*$CU28,TRUE))+$CS28*(_xlfn.NORM.DIST(AT$3,$CV28,0.3*$CV28,TRUE)-_xlfn.NORM.DIST(AT$30,$CV28,0.3*$CV28,TRUE))),""),IF($C28&gt;0,summary!$C$10/28.8/0.947817,""))</f>
        <v/>
      </c>
      <c r="AU57">
        <f t="array" ref="AU57">IF($D28,IFERROR((SUMPRODUCT((economics!$AG$2:$AG$167=$B57)*(economics!$D$2:$D$167="whr")*economics!$AH$2:$AH$167*(_xlfn.NORM.DIST(AU$3,economics!$AK$2:$AK$167,economics!$AJ$2:$AJ$167,TRUE)-_xlfn.NORM.DIST(AU$30,economics!$AK$2:$AK$167,economics!$AJ$2:$AJ$167,TRUE))*economics!$AM$2:$AM$167)+$CR28*(_xlfn.NORM.DIST(AU$3,$CU28,0.3*$CU28,TRUE)-_xlfn.NORM.DIST(AU$30,$CU28,0.3*$CU28,TRUE))*summary!$C$7/28.8/0.947817+$CS28*(_xlfn.NORM.DIST(AU$3,$CV28,0.3*$CV28,TRUE)-_xlfn.NORM.DIST(AU$30,$CV28,0.3*$CV28,TRUE))*summary!$C$6/28.8/0.947817)/(SUMPRODUCT((economics!$AG$2:$AG$167=$B57)*(economics!$D$2:$D$167="whr")*economics!$AH$2:$AH$167*(_xlfn.NORM.DIST(AU$3,economics!$AK$2:$AK$167,economics!$AJ$2:$AJ$167,TRUE)-_xlfn.NORM.DIST(AU$30,economics!$AK$2:$AK$167,economics!$AJ$2:$AJ$167,TRUE)))+$CR28*(_xlfn.NORM.DIST(AU$3,$CU28,0.3*$CU28,TRUE)-_xlfn.NORM.DIST(AU$30,$CU28,0.3*$CU28,TRUE))+$CS28*(_xlfn.NORM.DIST(AU$3,$CV28,0.3*$CV28,TRUE)-_xlfn.NORM.DIST(AU$30,$CV28,0.3*$CV28,TRUE))),""),IF($C28&gt;0,summary!$C$10/28.8/0.947817,""))</f>
        <v/>
      </c>
      <c r="AV57">
        <f t="array" ref="AV57">IF($D28,IFERROR((SUMPRODUCT((economics!$AG$2:$AG$167=$B57)*(economics!$D$2:$D$167="whr")*economics!$AH$2:$AH$167*(_xlfn.NORM.DIST(AV$3,economics!$AK$2:$AK$167,economics!$AJ$2:$AJ$167,TRUE)-_xlfn.NORM.DIST(AV$30,economics!$AK$2:$AK$167,economics!$AJ$2:$AJ$167,TRUE))*economics!$AM$2:$AM$167)+$CR28*(_xlfn.NORM.DIST(AV$3,$CU28,0.3*$CU28,TRUE)-_xlfn.NORM.DIST(AV$30,$CU28,0.3*$CU28,TRUE))*summary!$C$7/28.8/0.947817+$CS28*(_xlfn.NORM.DIST(AV$3,$CV28,0.3*$CV28,TRUE)-_xlfn.NORM.DIST(AV$30,$CV28,0.3*$CV28,TRUE))*summary!$C$6/28.8/0.947817)/(SUMPRODUCT((economics!$AG$2:$AG$167=$B57)*(economics!$D$2:$D$167="whr")*economics!$AH$2:$AH$167*(_xlfn.NORM.DIST(AV$3,economics!$AK$2:$AK$167,economics!$AJ$2:$AJ$167,TRUE)-_xlfn.NORM.DIST(AV$30,economics!$AK$2:$AK$167,economics!$AJ$2:$AJ$167,TRUE)))+$CR28*(_xlfn.NORM.DIST(AV$3,$CU28,0.3*$CU28,TRUE)-_xlfn.NORM.DIST(AV$30,$CU28,0.3*$CU28,TRUE))+$CS28*(_xlfn.NORM.DIST(AV$3,$CV28,0.3*$CV28,TRUE)-_xlfn.NORM.DIST(AV$30,$CV28,0.3*$CV28,TRUE))),""),IF($C28&gt;0,summary!$C$10/28.8/0.947817,""))</f>
        <v/>
      </c>
      <c r="AW57">
        <f t="array" ref="AW57">IF($D28,IFERROR((SUMPRODUCT((economics!$AG$2:$AG$167=$B57)*(economics!$D$2:$D$167="whr")*economics!$AH$2:$AH$167*(_xlfn.NORM.DIST(AW$3,economics!$AK$2:$AK$167,economics!$AJ$2:$AJ$167,TRUE)-_xlfn.NORM.DIST(AW$30,economics!$AK$2:$AK$167,economics!$AJ$2:$AJ$167,TRUE))*economics!$AM$2:$AM$167)+$CR28*(_xlfn.NORM.DIST(AW$3,$CU28,0.3*$CU28,TRUE)-_xlfn.NORM.DIST(AW$30,$CU28,0.3*$CU28,TRUE))*summary!$C$7/28.8/0.947817+$CS28*(_xlfn.NORM.DIST(AW$3,$CV28,0.3*$CV28,TRUE)-_xlfn.NORM.DIST(AW$30,$CV28,0.3*$CV28,TRUE))*summary!$C$6/28.8/0.947817)/(SUMPRODUCT((economics!$AG$2:$AG$167=$B57)*(economics!$D$2:$D$167="whr")*economics!$AH$2:$AH$167*(_xlfn.NORM.DIST(AW$3,economics!$AK$2:$AK$167,economics!$AJ$2:$AJ$167,TRUE)-_xlfn.NORM.DIST(AW$30,economics!$AK$2:$AK$167,economics!$AJ$2:$AJ$167,TRUE)))+$CR28*(_xlfn.NORM.DIST(AW$3,$CU28,0.3*$CU28,TRUE)-_xlfn.NORM.DIST(AW$30,$CU28,0.3*$CU28,TRUE))+$CS28*(_xlfn.NORM.DIST(AW$3,$CV28,0.3*$CV28,TRUE)-_xlfn.NORM.DIST(AW$30,$CV28,0.3*$CV28,TRUE))),""),IF($C28&gt;0,summary!$C$10/28.8/0.947817,""))</f>
        <v/>
      </c>
      <c r="AX57">
        <f t="array" ref="AX57">IF($D28,IFERROR((SUMPRODUCT((economics!$AG$2:$AG$167=$B57)*(economics!$D$2:$D$167="whr")*economics!$AH$2:$AH$167*(_xlfn.NORM.DIST(AX$3,economics!$AK$2:$AK$167,economics!$AJ$2:$AJ$167,TRUE)-_xlfn.NORM.DIST(AX$30,economics!$AK$2:$AK$167,economics!$AJ$2:$AJ$167,TRUE))*economics!$AM$2:$AM$167)+$CR28*(_xlfn.NORM.DIST(AX$3,$CU28,0.3*$CU28,TRUE)-_xlfn.NORM.DIST(AX$30,$CU28,0.3*$CU28,TRUE))*summary!$C$7/28.8/0.947817+$CS28*(_xlfn.NORM.DIST(AX$3,$CV28,0.3*$CV28,TRUE)-_xlfn.NORM.DIST(AX$30,$CV28,0.3*$CV28,TRUE))*summary!$C$6/28.8/0.947817)/(SUMPRODUCT((economics!$AG$2:$AG$167=$B57)*(economics!$D$2:$D$167="whr")*economics!$AH$2:$AH$167*(_xlfn.NORM.DIST(AX$3,economics!$AK$2:$AK$167,economics!$AJ$2:$AJ$167,TRUE)-_xlfn.NORM.DIST(AX$30,economics!$AK$2:$AK$167,economics!$AJ$2:$AJ$167,TRUE)))+$CR28*(_xlfn.NORM.DIST(AX$3,$CU28,0.3*$CU28,TRUE)-_xlfn.NORM.DIST(AX$30,$CU28,0.3*$CU28,TRUE))+$CS28*(_xlfn.NORM.DIST(AX$3,$CV28,0.3*$CV28,TRUE)-_xlfn.NORM.DIST(AX$30,$CV28,0.3*$CV28,TRUE))),""),IF($C28&gt;0,summary!$C$10/28.8/0.947817,""))</f>
        <v/>
      </c>
      <c r="AY57">
        <f t="array" ref="AY57">IF($D28,IFERROR((SUMPRODUCT((economics!$AG$2:$AG$167=$B57)*(economics!$D$2:$D$167="whr")*economics!$AH$2:$AH$167*(_xlfn.NORM.DIST(AY$3,economics!$AK$2:$AK$167,economics!$AJ$2:$AJ$167,TRUE)-_xlfn.NORM.DIST(AY$30,economics!$AK$2:$AK$167,economics!$AJ$2:$AJ$167,TRUE))*economics!$AM$2:$AM$167)+$CR28*(_xlfn.NORM.DIST(AY$3,$CU28,0.3*$CU28,TRUE)-_xlfn.NORM.DIST(AY$30,$CU28,0.3*$CU28,TRUE))*summary!$C$7/28.8/0.947817+$CS28*(_xlfn.NORM.DIST(AY$3,$CV28,0.3*$CV28,TRUE)-_xlfn.NORM.DIST(AY$30,$CV28,0.3*$CV28,TRUE))*summary!$C$6/28.8/0.947817)/(SUMPRODUCT((economics!$AG$2:$AG$167=$B57)*(economics!$D$2:$D$167="whr")*economics!$AH$2:$AH$167*(_xlfn.NORM.DIST(AY$3,economics!$AK$2:$AK$167,economics!$AJ$2:$AJ$167,TRUE)-_xlfn.NORM.DIST(AY$30,economics!$AK$2:$AK$167,economics!$AJ$2:$AJ$167,TRUE)))+$CR28*(_xlfn.NORM.DIST(AY$3,$CU28,0.3*$CU28,TRUE)-_xlfn.NORM.DIST(AY$30,$CU28,0.3*$CU28,TRUE))+$CS28*(_xlfn.NORM.DIST(AY$3,$CV28,0.3*$CV28,TRUE)-_xlfn.NORM.DIST(AY$30,$CV28,0.3*$CV28,TRUE))),""),IF($C28&gt;0,summary!$C$10/28.8/0.947817,""))</f>
        <v/>
      </c>
      <c r="AZ57">
        <f t="array" ref="AZ57">IF($D28,IFERROR((SUMPRODUCT((economics!$AG$2:$AG$167=$B57)*(economics!$D$2:$D$167="whr")*economics!$AH$2:$AH$167*(_xlfn.NORM.DIST(AZ$3,economics!$AK$2:$AK$167,economics!$AJ$2:$AJ$167,TRUE)-_xlfn.NORM.DIST(AZ$30,economics!$AK$2:$AK$167,economics!$AJ$2:$AJ$167,TRUE))*economics!$AM$2:$AM$167)+$CR28*(_xlfn.NORM.DIST(AZ$3,$CU28,0.3*$CU28,TRUE)-_xlfn.NORM.DIST(AZ$30,$CU28,0.3*$CU28,TRUE))*summary!$C$7/28.8/0.947817+$CS28*(_xlfn.NORM.DIST(AZ$3,$CV28,0.3*$CV28,TRUE)-_xlfn.NORM.DIST(AZ$30,$CV28,0.3*$CV28,TRUE))*summary!$C$6/28.8/0.947817)/(SUMPRODUCT((economics!$AG$2:$AG$167=$B57)*(economics!$D$2:$D$167="whr")*economics!$AH$2:$AH$167*(_xlfn.NORM.DIST(AZ$3,economics!$AK$2:$AK$167,economics!$AJ$2:$AJ$167,TRUE)-_xlfn.NORM.DIST(AZ$30,economics!$AK$2:$AK$167,economics!$AJ$2:$AJ$167,TRUE)))+$CR28*(_xlfn.NORM.DIST(AZ$3,$CU28,0.3*$CU28,TRUE)-_xlfn.NORM.DIST(AZ$30,$CU28,0.3*$CU28,TRUE))+$CS28*(_xlfn.NORM.DIST(AZ$3,$CV28,0.3*$CV28,TRUE)-_xlfn.NORM.DIST(AZ$30,$CV28,0.3*$CV28,TRUE))),""),IF($C28&gt;0,summary!$C$10/28.8/0.947817,""))</f>
        <v/>
      </c>
      <c r="BA57">
        <f t="array" ref="BA57">IF($D28,IFERROR((SUMPRODUCT((economics!$AG$2:$AG$167=$B57)*(economics!$D$2:$D$167="whr")*economics!$AH$2:$AH$167*(_xlfn.NORM.DIST(BA$3,economics!$AK$2:$AK$167,economics!$AJ$2:$AJ$167,TRUE)-_xlfn.NORM.DIST(BA$30,economics!$AK$2:$AK$167,economics!$AJ$2:$AJ$167,TRUE))*economics!$AM$2:$AM$167)+$CR28*(_xlfn.NORM.DIST(BA$3,$CU28,0.3*$CU28,TRUE)-_xlfn.NORM.DIST(BA$30,$CU28,0.3*$CU28,TRUE))*summary!$C$7/28.8/0.947817+$CS28*(_xlfn.NORM.DIST(BA$3,$CV28,0.3*$CV28,TRUE)-_xlfn.NORM.DIST(BA$30,$CV28,0.3*$CV28,TRUE))*summary!$C$6/28.8/0.947817)/(SUMPRODUCT((economics!$AG$2:$AG$167=$B57)*(economics!$D$2:$D$167="whr")*economics!$AH$2:$AH$167*(_xlfn.NORM.DIST(BA$3,economics!$AK$2:$AK$167,economics!$AJ$2:$AJ$167,TRUE)-_xlfn.NORM.DIST(BA$30,economics!$AK$2:$AK$167,economics!$AJ$2:$AJ$167,TRUE)))+$CR28*(_xlfn.NORM.DIST(BA$3,$CU28,0.3*$CU28,TRUE)-_xlfn.NORM.DIST(BA$30,$CU28,0.3*$CU28,TRUE))+$CS28*(_xlfn.NORM.DIST(BA$3,$CV28,0.3*$CV28,TRUE)-_xlfn.NORM.DIST(BA$30,$CV28,0.3*$CV28,TRUE))),""),IF($C28&gt;0,summary!$C$10/28.8/0.947817,""))</f>
        <v/>
      </c>
      <c r="BB57">
        <f t="array" ref="BB57">IF($D28,IFERROR((SUMPRODUCT((economics!$AG$2:$AG$167=$B57)*(economics!$D$2:$D$167="whr")*economics!$AH$2:$AH$167*(_xlfn.NORM.DIST(BB$3,economics!$AK$2:$AK$167,economics!$AJ$2:$AJ$167,TRUE)-_xlfn.NORM.DIST(BB$30,economics!$AK$2:$AK$167,economics!$AJ$2:$AJ$167,TRUE))*economics!$AM$2:$AM$167)+$CR28*(_xlfn.NORM.DIST(BB$3,$CU28,0.3*$CU28,TRUE)-_xlfn.NORM.DIST(BB$30,$CU28,0.3*$CU28,TRUE))*summary!$C$7/28.8/0.947817+$CS28*(_xlfn.NORM.DIST(BB$3,$CV28,0.3*$CV28,TRUE)-_xlfn.NORM.DIST(BB$30,$CV28,0.3*$CV28,TRUE))*summary!$C$6/28.8/0.947817)/(SUMPRODUCT((economics!$AG$2:$AG$167=$B57)*(economics!$D$2:$D$167="whr")*economics!$AH$2:$AH$167*(_xlfn.NORM.DIST(BB$3,economics!$AK$2:$AK$167,economics!$AJ$2:$AJ$167,TRUE)-_xlfn.NORM.DIST(BB$30,economics!$AK$2:$AK$167,economics!$AJ$2:$AJ$167,TRUE)))+$CR28*(_xlfn.NORM.DIST(BB$3,$CU28,0.3*$CU28,TRUE)-_xlfn.NORM.DIST(BB$30,$CU28,0.3*$CU28,TRUE))+$CS28*(_xlfn.NORM.DIST(BB$3,$CV28,0.3*$CV28,TRUE)-_xlfn.NORM.DIST(BB$30,$CV28,0.3*$CV28,TRUE))),""),IF($C28&gt;0,summary!$C$10/28.8/0.947817,""))</f>
        <v/>
      </c>
      <c r="BC57">
        <f t="array" ref="BC57">IF($D28,IFERROR((SUMPRODUCT((economics!$AG$2:$AG$167=$B57)*(economics!$D$2:$D$167="whr")*economics!$AH$2:$AH$167*(_xlfn.NORM.DIST(BC$3,economics!$AK$2:$AK$167,economics!$AJ$2:$AJ$167,TRUE)-_xlfn.NORM.DIST(BC$30,economics!$AK$2:$AK$167,economics!$AJ$2:$AJ$167,TRUE))*economics!$AM$2:$AM$167)+$CR28*(_xlfn.NORM.DIST(BC$3,$CU28,0.3*$CU28,TRUE)-_xlfn.NORM.DIST(BC$30,$CU28,0.3*$CU28,TRUE))*summary!$C$7/28.8/0.947817+$CS28*(_xlfn.NORM.DIST(BC$3,$CV28,0.3*$CV28,TRUE)-_xlfn.NORM.DIST(BC$30,$CV28,0.3*$CV28,TRUE))*summary!$C$6/28.8/0.947817)/(SUMPRODUCT((economics!$AG$2:$AG$167=$B57)*(economics!$D$2:$D$167="whr")*economics!$AH$2:$AH$167*(_xlfn.NORM.DIST(BC$3,economics!$AK$2:$AK$167,economics!$AJ$2:$AJ$167,TRUE)-_xlfn.NORM.DIST(BC$30,economics!$AK$2:$AK$167,economics!$AJ$2:$AJ$167,TRUE)))+$CR28*(_xlfn.NORM.DIST(BC$3,$CU28,0.3*$CU28,TRUE)-_xlfn.NORM.DIST(BC$30,$CU28,0.3*$CU28,TRUE))+$CS28*(_xlfn.NORM.DIST(BC$3,$CV28,0.3*$CV28,TRUE)-_xlfn.NORM.DIST(BC$30,$CV28,0.3*$CV28,TRUE))),""),IF($C28&gt;0,summary!$C$10/28.8/0.947817,""))</f>
        <v/>
      </c>
      <c r="BD57">
        <f t="array" ref="BD57">IF($D28,IFERROR((SUMPRODUCT((economics!$AG$2:$AG$167=$B57)*(economics!$D$2:$D$167="whr")*economics!$AH$2:$AH$167*(_xlfn.NORM.DIST(BD$3,economics!$AK$2:$AK$167,economics!$AJ$2:$AJ$167,TRUE)-_xlfn.NORM.DIST(BD$30,economics!$AK$2:$AK$167,economics!$AJ$2:$AJ$167,TRUE))*economics!$AM$2:$AM$167)+$CR28*(_xlfn.NORM.DIST(BD$3,$CU28,0.3*$CU28,TRUE)-_xlfn.NORM.DIST(BD$30,$CU28,0.3*$CU28,TRUE))*summary!$C$7/28.8/0.947817+$CS28*(_xlfn.NORM.DIST(BD$3,$CV28,0.3*$CV28,TRUE)-_xlfn.NORM.DIST(BD$30,$CV28,0.3*$CV28,TRUE))*summary!$C$6/28.8/0.947817)/(SUMPRODUCT((economics!$AG$2:$AG$167=$B57)*(economics!$D$2:$D$167="whr")*economics!$AH$2:$AH$167*(_xlfn.NORM.DIST(BD$3,economics!$AK$2:$AK$167,economics!$AJ$2:$AJ$167,TRUE)-_xlfn.NORM.DIST(BD$30,economics!$AK$2:$AK$167,economics!$AJ$2:$AJ$167,TRUE)))+$CR28*(_xlfn.NORM.DIST(BD$3,$CU28,0.3*$CU28,TRUE)-_xlfn.NORM.DIST(BD$30,$CU28,0.3*$CU28,TRUE))+$CS28*(_xlfn.NORM.DIST(BD$3,$CV28,0.3*$CV28,TRUE)-_xlfn.NORM.DIST(BD$30,$CV28,0.3*$CV28,TRUE))),""),IF($C28&gt;0,summary!$C$10/28.8/0.947817,""))</f>
        <v/>
      </c>
      <c r="BE57">
        <f t="array" ref="BE57">IF($D28,IFERROR((SUMPRODUCT((economics!$AG$2:$AG$167=$B57)*(economics!$D$2:$D$167="whr")*economics!$AH$2:$AH$167*(_xlfn.NORM.DIST(BE$3,economics!$AK$2:$AK$167,economics!$AJ$2:$AJ$167,TRUE)-_xlfn.NORM.DIST(BE$30,economics!$AK$2:$AK$167,economics!$AJ$2:$AJ$167,TRUE))*economics!$AM$2:$AM$167)+$CR28*(_xlfn.NORM.DIST(BE$3,$CU28,0.3*$CU28,TRUE)-_xlfn.NORM.DIST(BE$30,$CU28,0.3*$CU28,TRUE))*summary!$C$7/28.8/0.947817+$CS28*(_xlfn.NORM.DIST(BE$3,$CV28,0.3*$CV28,TRUE)-_xlfn.NORM.DIST(BE$30,$CV28,0.3*$CV28,TRUE))*summary!$C$6/28.8/0.947817)/(SUMPRODUCT((economics!$AG$2:$AG$167=$B57)*(economics!$D$2:$D$167="whr")*economics!$AH$2:$AH$167*(_xlfn.NORM.DIST(BE$3,economics!$AK$2:$AK$167,economics!$AJ$2:$AJ$167,TRUE)-_xlfn.NORM.DIST(BE$30,economics!$AK$2:$AK$167,economics!$AJ$2:$AJ$167,TRUE)))+$CR28*(_xlfn.NORM.DIST(BE$3,$CU28,0.3*$CU28,TRUE)-_xlfn.NORM.DIST(BE$30,$CU28,0.3*$CU28,TRUE))+$CS28*(_xlfn.NORM.DIST(BE$3,$CV28,0.3*$CV28,TRUE)-_xlfn.NORM.DIST(BE$30,$CV28,0.3*$CV28,TRUE))),""),IF($C28&gt;0,summary!$C$10/28.8/0.947817,""))</f>
        <v/>
      </c>
      <c r="BF57">
        <f t="array" ref="BF57">IF($D28,IFERROR((SUMPRODUCT((economics!$AG$2:$AG$167=$B57)*(economics!$D$2:$D$167="whr")*economics!$AH$2:$AH$167*(_xlfn.NORM.DIST(BF$3,economics!$AK$2:$AK$167,economics!$AJ$2:$AJ$167,TRUE)-_xlfn.NORM.DIST(BF$30,economics!$AK$2:$AK$167,economics!$AJ$2:$AJ$167,TRUE))*economics!$AM$2:$AM$167)+$CR28*(_xlfn.NORM.DIST(BF$3,$CU28,0.3*$CU28,TRUE)-_xlfn.NORM.DIST(BF$30,$CU28,0.3*$CU28,TRUE))*summary!$C$7/28.8/0.947817+$CS28*(_xlfn.NORM.DIST(BF$3,$CV28,0.3*$CV28,TRUE)-_xlfn.NORM.DIST(BF$30,$CV28,0.3*$CV28,TRUE))*summary!$C$6/28.8/0.947817)/(SUMPRODUCT((economics!$AG$2:$AG$167=$B57)*(economics!$D$2:$D$167="whr")*economics!$AH$2:$AH$167*(_xlfn.NORM.DIST(BF$3,economics!$AK$2:$AK$167,economics!$AJ$2:$AJ$167,TRUE)-_xlfn.NORM.DIST(BF$30,economics!$AK$2:$AK$167,economics!$AJ$2:$AJ$167,TRUE)))+$CR28*(_xlfn.NORM.DIST(BF$3,$CU28,0.3*$CU28,TRUE)-_xlfn.NORM.DIST(BF$30,$CU28,0.3*$CU28,TRUE))+$CS28*(_xlfn.NORM.DIST(BF$3,$CV28,0.3*$CV28,TRUE)-_xlfn.NORM.DIST(BF$30,$CV28,0.3*$CV28,TRUE))),""),IF($C28&gt;0,summary!$C$10/28.8/0.947817,""))</f>
        <v/>
      </c>
      <c r="BG57">
        <f t="array" ref="BG57">IF($D28,IFERROR((SUMPRODUCT((economics!$AG$2:$AG$167=$B57)*(economics!$D$2:$D$167="whr")*economics!$AH$2:$AH$167*(_xlfn.NORM.DIST(BG$3,economics!$AK$2:$AK$167,economics!$AJ$2:$AJ$167,TRUE)-_xlfn.NORM.DIST(BG$30,economics!$AK$2:$AK$167,economics!$AJ$2:$AJ$167,TRUE))*economics!$AM$2:$AM$167)+$CR28*(_xlfn.NORM.DIST(BG$3,$CU28,0.3*$CU28,TRUE)-_xlfn.NORM.DIST(BG$30,$CU28,0.3*$CU28,TRUE))*summary!$C$7/28.8/0.947817+$CS28*(_xlfn.NORM.DIST(BG$3,$CV28,0.3*$CV28,TRUE)-_xlfn.NORM.DIST(BG$30,$CV28,0.3*$CV28,TRUE))*summary!$C$6/28.8/0.947817)/(SUMPRODUCT((economics!$AG$2:$AG$167=$B57)*(economics!$D$2:$D$167="whr")*economics!$AH$2:$AH$167*(_xlfn.NORM.DIST(BG$3,economics!$AK$2:$AK$167,economics!$AJ$2:$AJ$167,TRUE)-_xlfn.NORM.DIST(BG$30,economics!$AK$2:$AK$167,economics!$AJ$2:$AJ$167,TRUE)))+$CR28*(_xlfn.NORM.DIST(BG$3,$CU28,0.3*$CU28,TRUE)-_xlfn.NORM.DIST(BG$30,$CU28,0.3*$CU28,TRUE))+$CS28*(_xlfn.NORM.DIST(BG$3,$CV28,0.3*$CV28,TRUE)-_xlfn.NORM.DIST(BG$30,$CV28,0.3*$CV28,TRUE))),""),IF($C28&gt;0,summary!$C$10/28.8/0.947817,""))</f>
        <v/>
      </c>
      <c r="BH57">
        <f t="array" ref="BH57">IF($D28,IFERROR((SUMPRODUCT((economics!$AG$2:$AG$167=$B57)*(economics!$D$2:$D$167="whr")*economics!$AH$2:$AH$167*(_xlfn.NORM.DIST(BH$3,economics!$AK$2:$AK$167,economics!$AJ$2:$AJ$167,TRUE)-_xlfn.NORM.DIST(BH$30,economics!$AK$2:$AK$167,economics!$AJ$2:$AJ$167,TRUE))*economics!$AM$2:$AM$167)+$CR28*(_xlfn.NORM.DIST(BH$3,$CU28,0.3*$CU28,TRUE)-_xlfn.NORM.DIST(BH$30,$CU28,0.3*$CU28,TRUE))*summary!$C$7/28.8/0.947817+$CS28*(_xlfn.NORM.DIST(BH$3,$CV28,0.3*$CV28,TRUE)-_xlfn.NORM.DIST(BH$30,$CV28,0.3*$CV28,TRUE))*summary!$C$6/28.8/0.947817)/(SUMPRODUCT((economics!$AG$2:$AG$167=$B57)*(economics!$D$2:$D$167="whr")*economics!$AH$2:$AH$167*(_xlfn.NORM.DIST(BH$3,economics!$AK$2:$AK$167,economics!$AJ$2:$AJ$167,TRUE)-_xlfn.NORM.DIST(BH$30,economics!$AK$2:$AK$167,economics!$AJ$2:$AJ$167,TRUE)))+$CR28*(_xlfn.NORM.DIST(BH$3,$CU28,0.3*$CU28,TRUE)-_xlfn.NORM.DIST(BH$30,$CU28,0.3*$CU28,TRUE))+$CS28*(_xlfn.NORM.DIST(BH$3,$CV28,0.3*$CV28,TRUE)-_xlfn.NORM.DIST(BH$30,$CV28,0.3*$CV28,TRUE))),""),IF($C28&gt;0,summary!$C$10/28.8/0.947817,""))</f>
        <v/>
      </c>
      <c r="BI57">
        <f t="array" ref="BI57">IF($D28,IFERROR((SUMPRODUCT((economics!$AG$2:$AG$167=$B57)*(economics!$D$2:$D$167="whr")*economics!$AH$2:$AH$167*(_xlfn.NORM.DIST(BI$3,economics!$AK$2:$AK$167,economics!$AJ$2:$AJ$167,TRUE)-_xlfn.NORM.DIST(BI$30,economics!$AK$2:$AK$167,economics!$AJ$2:$AJ$167,TRUE))*economics!$AM$2:$AM$167)+$CR28*(_xlfn.NORM.DIST(BI$3,$CU28,0.3*$CU28,TRUE)-_xlfn.NORM.DIST(BI$30,$CU28,0.3*$CU28,TRUE))*summary!$C$7/28.8/0.947817+$CS28*(_xlfn.NORM.DIST(BI$3,$CV28,0.3*$CV28,TRUE)-_xlfn.NORM.DIST(BI$30,$CV28,0.3*$CV28,TRUE))*summary!$C$6/28.8/0.947817)/(SUMPRODUCT((economics!$AG$2:$AG$167=$B57)*(economics!$D$2:$D$167="whr")*economics!$AH$2:$AH$167*(_xlfn.NORM.DIST(BI$3,economics!$AK$2:$AK$167,economics!$AJ$2:$AJ$167,TRUE)-_xlfn.NORM.DIST(BI$30,economics!$AK$2:$AK$167,economics!$AJ$2:$AJ$167,TRUE)))+$CR28*(_xlfn.NORM.DIST(BI$3,$CU28,0.3*$CU28,TRUE)-_xlfn.NORM.DIST(BI$30,$CU28,0.3*$CU28,TRUE))+$CS28*(_xlfn.NORM.DIST(BI$3,$CV28,0.3*$CV28,TRUE)-_xlfn.NORM.DIST(BI$30,$CV28,0.3*$CV28,TRUE))),""),IF($C28&gt;0,summary!$C$10/28.8/0.947817,""))</f>
        <v/>
      </c>
      <c r="BJ57">
        <f t="array" ref="BJ57">IF($D28,IFERROR((SUMPRODUCT((economics!$AG$2:$AG$167=$B57)*(economics!$D$2:$D$167="whr")*economics!$AH$2:$AH$167*(_xlfn.NORM.DIST(BJ$3,economics!$AK$2:$AK$167,economics!$AJ$2:$AJ$167,TRUE)-_xlfn.NORM.DIST(BJ$30,economics!$AK$2:$AK$167,economics!$AJ$2:$AJ$167,TRUE))*economics!$AM$2:$AM$167)+$CR28*(_xlfn.NORM.DIST(BJ$3,$CU28,0.3*$CU28,TRUE)-_xlfn.NORM.DIST(BJ$30,$CU28,0.3*$CU28,TRUE))*summary!$C$7/28.8/0.947817+$CS28*(_xlfn.NORM.DIST(BJ$3,$CV28,0.3*$CV28,TRUE)-_xlfn.NORM.DIST(BJ$30,$CV28,0.3*$CV28,TRUE))*summary!$C$6/28.8/0.947817)/(SUMPRODUCT((economics!$AG$2:$AG$167=$B57)*(economics!$D$2:$D$167="whr")*economics!$AH$2:$AH$167*(_xlfn.NORM.DIST(BJ$3,economics!$AK$2:$AK$167,economics!$AJ$2:$AJ$167,TRUE)-_xlfn.NORM.DIST(BJ$30,economics!$AK$2:$AK$167,economics!$AJ$2:$AJ$167,TRUE)))+$CR28*(_xlfn.NORM.DIST(BJ$3,$CU28,0.3*$CU28,TRUE)-_xlfn.NORM.DIST(BJ$30,$CU28,0.3*$CU28,TRUE))+$CS28*(_xlfn.NORM.DIST(BJ$3,$CV28,0.3*$CV28,TRUE)-_xlfn.NORM.DIST(BJ$30,$CV28,0.3*$CV28,TRUE))),""),IF($C28&gt;0,summary!$C$10/28.8/0.947817,""))</f>
        <v/>
      </c>
      <c r="BK57">
        <f t="array" ref="BK57">IF($D28,IFERROR((SUMPRODUCT((economics!$AG$2:$AG$167=$B57)*(economics!$D$2:$D$167="whr")*economics!$AH$2:$AH$167*(_xlfn.NORM.DIST(BK$3,economics!$AK$2:$AK$167,economics!$AJ$2:$AJ$167,TRUE)-_xlfn.NORM.DIST(BK$30,economics!$AK$2:$AK$167,economics!$AJ$2:$AJ$167,TRUE))*economics!$AM$2:$AM$167)+$CR28*(_xlfn.NORM.DIST(BK$3,$CU28,0.3*$CU28,TRUE)-_xlfn.NORM.DIST(BK$30,$CU28,0.3*$CU28,TRUE))*summary!$C$7/28.8/0.947817+$CS28*(_xlfn.NORM.DIST(BK$3,$CV28,0.3*$CV28,TRUE)-_xlfn.NORM.DIST(BK$30,$CV28,0.3*$CV28,TRUE))*summary!$C$6/28.8/0.947817)/(SUMPRODUCT((economics!$AG$2:$AG$167=$B57)*(economics!$D$2:$D$167="whr")*economics!$AH$2:$AH$167*(_xlfn.NORM.DIST(BK$3,economics!$AK$2:$AK$167,economics!$AJ$2:$AJ$167,TRUE)-_xlfn.NORM.DIST(BK$30,economics!$AK$2:$AK$167,economics!$AJ$2:$AJ$167,TRUE)))+$CR28*(_xlfn.NORM.DIST(BK$3,$CU28,0.3*$CU28,TRUE)-_xlfn.NORM.DIST(BK$30,$CU28,0.3*$CU28,TRUE))+$CS28*(_xlfn.NORM.DIST(BK$3,$CV28,0.3*$CV28,TRUE)-_xlfn.NORM.DIST(BK$30,$CV28,0.3*$CV28,TRUE))),""),IF($C28&gt;0,summary!$C$10/28.8/0.947817,""))</f>
        <v/>
      </c>
      <c r="BL57">
        <f t="array" ref="BL57">IF($D28,IFERROR((SUMPRODUCT((economics!$AG$2:$AG$167=$B57)*(economics!$D$2:$D$167="whr")*economics!$AH$2:$AH$167*(_xlfn.NORM.DIST(BL$3,economics!$AK$2:$AK$167,economics!$AJ$2:$AJ$167,TRUE)-_xlfn.NORM.DIST(BL$30,economics!$AK$2:$AK$167,economics!$AJ$2:$AJ$167,TRUE))*economics!$AM$2:$AM$167)+$CR28*(_xlfn.NORM.DIST(BL$3,$CU28,0.3*$CU28,TRUE)-_xlfn.NORM.DIST(BL$30,$CU28,0.3*$CU28,TRUE))*summary!$C$7/28.8/0.947817+$CS28*(_xlfn.NORM.DIST(BL$3,$CV28,0.3*$CV28,TRUE)-_xlfn.NORM.DIST(BL$30,$CV28,0.3*$CV28,TRUE))*summary!$C$6/28.8/0.947817)/(SUMPRODUCT((economics!$AG$2:$AG$167=$B57)*(economics!$D$2:$D$167="whr")*economics!$AH$2:$AH$167*(_xlfn.NORM.DIST(BL$3,economics!$AK$2:$AK$167,economics!$AJ$2:$AJ$167,TRUE)-_xlfn.NORM.DIST(BL$30,economics!$AK$2:$AK$167,economics!$AJ$2:$AJ$167,TRUE)))+$CR28*(_xlfn.NORM.DIST(BL$3,$CU28,0.3*$CU28,TRUE)-_xlfn.NORM.DIST(BL$30,$CU28,0.3*$CU28,TRUE))+$CS28*(_xlfn.NORM.DIST(BL$3,$CV28,0.3*$CV28,TRUE)-_xlfn.NORM.DIST(BL$30,$CV28,0.3*$CV28,TRUE))),""),IF($C28&gt;0,summary!$C$10/28.8/0.947817,""))</f>
        <v/>
      </c>
      <c r="BM57">
        <f t="array" ref="BM57">IF($D28,IFERROR((SUMPRODUCT((economics!$AG$2:$AG$167=$B57)*(economics!$D$2:$D$167="whr")*economics!$AH$2:$AH$167*(_xlfn.NORM.DIST(BM$3,economics!$AK$2:$AK$167,economics!$AJ$2:$AJ$167,TRUE)-_xlfn.NORM.DIST(BM$30,economics!$AK$2:$AK$167,economics!$AJ$2:$AJ$167,TRUE))*economics!$AM$2:$AM$167)+$CR28*(_xlfn.NORM.DIST(BM$3,$CU28,0.3*$CU28,TRUE)-_xlfn.NORM.DIST(BM$30,$CU28,0.3*$CU28,TRUE))*summary!$C$7/28.8/0.947817+$CS28*(_xlfn.NORM.DIST(BM$3,$CV28,0.3*$CV28,TRUE)-_xlfn.NORM.DIST(BM$30,$CV28,0.3*$CV28,TRUE))*summary!$C$6/28.8/0.947817)/(SUMPRODUCT((economics!$AG$2:$AG$167=$B57)*(economics!$D$2:$D$167="whr")*economics!$AH$2:$AH$167*(_xlfn.NORM.DIST(BM$3,economics!$AK$2:$AK$167,economics!$AJ$2:$AJ$167,TRUE)-_xlfn.NORM.DIST(BM$30,economics!$AK$2:$AK$167,economics!$AJ$2:$AJ$167,TRUE)))+$CR28*(_xlfn.NORM.DIST(BM$3,$CU28,0.3*$CU28,TRUE)-_xlfn.NORM.DIST(BM$30,$CU28,0.3*$CU28,TRUE))+$CS28*(_xlfn.NORM.DIST(BM$3,$CV28,0.3*$CV28,TRUE)-_xlfn.NORM.DIST(BM$30,$CV28,0.3*$CV28,TRUE))),""),IF($C28&gt;0,summary!$C$10/28.8/0.947817,""))</f>
        <v/>
      </c>
      <c r="BN57">
        <f t="array" ref="BN57">IF($D28,IFERROR((SUMPRODUCT((economics!$AG$2:$AG$167=$B57)*(economics!$D$2:$D$167="whr")*economics!$AH$2:$AH$167*(_xlfn.NORM.DIST(BN$3,economics!$AK$2:$AK$167,economics!$AJ$2:$AJ$167,TRUE)-_xlfn.NORM.DIST(BN$30,economics!$AK$2:$AK$167,economics!$AJ$2:$AJ$167,TRUE))*economics!$AM$2:$AM$167)+$CR28*(_xlfn.NORM.DIST(BN$3,$CU28,0.3*$CU28,TRUE)-_xlfn.NORM.DIST(BN$30,$CU28,0.3*$CU28,TRUE))*summary!$C$7/28.8/0.947817+$CS28*(_xlfn.NORM.DIST(BN$3,$CV28,0.3*$CV28,TRUE)-_xlfn.NORM.DIST(BN$30,$CV28,0.3*$CV28,TRUE))*summary!$C$6/28.8/0.947817)/(SUMPRODUCT((economics!$AG$2:$AG$167=$B57)*(economics!$D$2:$D$167="whr")*economics!$AH$2:$AH$167*(_xlfn.NORM.DIST(BN$3,economics!$AK$2:$AK$167,economics!$AJ$2:$AJ$167,TRUE)-_xlfn.NORM.DIST(BN$30,economics!$AK$2:$AK$167,economics!$AJ$2:$AJ$167,TRUE)))+$CR28*(_xlfn.NORM.DIST(BN$3,$CU28,0.3*$CU28,TRUE)-_xlfn.NORM.DIST(BN$30,$CU28,0.3*$CU28,TRUE))+$CS28*(_xlfn.NORM.DIST(BN$3,$CV28,0.3*$CV28,TRUE)-_xlfn.NORM.DIST(BN$30,$CV28,0.3*$CV28,TRUE))),""),IF($C28&gt;0,summary!$C$10/28.8/0.947817,""))</f>
        <v/>
      </c>
      <c r="BO57">
        <f t="array" ref="BO57">IF($D28,IFERROR((SUMPRODUCT((economics!$AG$2:$AG$167=$B57)*(economics!$D$2:$D$167="whr")*economics!$AH$2:$AH$167*(_xlfn.NORM.DIST(BO$3,economics!$AK$2:$AK$167,economics!$AJ$2:$AJ$167,TRUE)-_xlfn.NORM.DIST(BO$30,economics!$AK$2:$AK$167,economics!$AJ$2:$AJ$167,TRUE))*economics!$AM$2:$AM$167)+$CR28*(_xlfn.NORM.DIST(BO$3,$CU28,0.3*$CU28,TRUE)-_xlfn.NORM.DIST(BO$30,$CU28,0.3*$CU28,TRUE))*summary!$C$7/28.8/0.947817+$CS28*(_xlfn.NORM.DIST(BO$3,$CV28,0.3*$CV28,TRUE)-_xlfn.NORM.DIST(BO$30,$CV28,0.3*$CV28,TRUE))*summary!$C$6/28.8/0.947817)/(SUMPRODUCT((economics!$AG$2:$AG$167=$B57)*(economics!$D$2:$D$167="whr")*economics!$AH$2:$AH$167*(_xlfn.NORM.DIST(BO$3,economics!$AK$2:$AK$167,economics!$AJ$2:$AJ$167,TRUE)-_xlfn.NORM.DIST(BO$30,economics!$AK$2:$AK$167,economics!$AJ$2:$AJ$167,TRUE)))+$CR28*(_xlfn.NORM.DIST(BO$3,$CU28,0.3*$CU28,TRUE)-_xlfn.NORM.DIST(BO$30,$CU28,0.3*$CU28,TRUE))+$CS28*(_xlfn.NORM.DIST(BO$3,$CV28,0.3*$CV28,TRUE)-_xlfn.NORM.DIST(BO$30,$CV28,0.3*$CV28,TRUE))),""),IF($C28&gt;0,summary!$C$10/28.8/0.947817,""))</f>
        <v/>
      </c>
      <c r="BP57">
        <f t="array" ref="BP57">IF($D28,IFERROR((SUMPRODUCT((economics!$AG$2:$AG$167=$B57)*(economics!$D$2:$D$167="whr")*economics!$AH$2:$AH$167*(_xlfn.NORM.DIST(BP$3,economics!$AK$2:$AK$167,economics!$AJ$2:$AJ$167,TRUE)-_xlfn.NORM.DIST(BP$30,economics!$AK$2:$AK$167,economics!$AJ$2:$AJ$167,TRUE))*economics!$AM$2:$AM$167)+$CR28*(_xlfn.NORM.DIST(BP$3,$CU28,0.3*$CU28,TRUE)-_xlfn.NORM.DIST(BP$30,$CU28,0.3*$CU28,TRUE))*summary!$C$7/28.8/0.947817+$CS28*(_xlfn.NORM.DIST(BP$3,$CV28,0.3*$CV28,TRUE)-_xlfn.NORM.DIST(BP$30,$CV28,0.3*$CV28,TRUE))*summary!$C$6/28.8/0.947817)/(SUMPRODUCT((economics!$AG$2:$AG$167=$B57)*(economics!$D$2:$D$167="whr")*economics!$AH$2:$AH$167*(_xlfn.NORM.DIST(BP$3,economics!$AK$2:$AK$167,economics!$AJ$2:$AJ$167,TRUE)-_xlfn.NORM.DIST(BP$30,economics!$AK$2:$AK$167,economics!$AJ$2:$AJ$167,TRUE)))+$CR28*(_xlfn.NORM.DIST(BP$3,$CU28,0.3*$CU28,TRUE)-_xlfn.NORM.DIST(BP$30,$CU28,0.3*$CU28,TRUE))+$CS28*(_xlfn.NORM.DIST(BP$3,$CV28,0.3*$CV28,TRUE)-_xlfn.NORM.DIST(BP$30,$CV28,0.3*$CV28,TRUE))),""),IF($C28&gt;0,summary!$C$10/28.8/0.947817,""))</f>
        <v/>
      </c>
      <c r="BQ57">
        <f t="array" ref="BQ57">IF($D28,IFERROR((SUMPRODUCT((economics!$AG$2:$AG$167=$B57)*(economics!$D$2:$D$167="whr")*economics!$AH$2:$AH$167*(_xlfn.NORM.DIST(BQ$3,economics!$AK$2:$AK$167,economics!$AJ$2:$AJ$167,TRUE)-_xlfn.NORM.DIST(BQ$30,economics!$AK$2:$AK$167,economics!$AJ$2:$AJ$167,TRUE))*economics!$AM$2:$AM$167)+$CR28*(_xlfn.NORM.DIST(BQ$3,$CU28,0.3*$CU28,TRUE)-_xlfn.NORM.DIST(BQ$30,$CU28,0.3*$CU28,TRUE))*summary!$C$7/28.8/0.947817+$CS28*(_xlfn.NORM.DIST(BQ$3,$CV28,0.3*$CV28,TRUE)-_xlfn.NORM.DIST(BQ$30,$CV28,0.3*$CV28,TRUE))*summary!$C$6/28.8/0.947817)/(SUMPRODUCT((economics!$AG$2:$AG$167=$B57)*(economics!$D$2:$D$167="whr")*economics!$AH$2:$AH$167*(_xlfn.NORM.DIST(BQ$3,economics!$AK$2:$AK$167,economics!$AJ$2:$AJ$167,TRUE)-_xlfn.NORM.DIST(BQ$30,economics!$AK$2:$AK$167,economics!$AJ$2:$AJ$167,TRUE)))+$CR28*(_xlfn.NORM.DIST(BQ$3,$CU28,0.3*$CU28,TRUE)-_xlfn.NORM.DIST(BQ$30,$CU28,0.3*$CU28,TRUE))+$CS28*(_xlfn.NORM.DIST(BQ$3,$CV28,0.3*$CV28,TRUE)-_xlfn.NORM.DIST(BQ$30,$CV28,0.3*$CV28,TRUE))),""),IF($C28&gt;0,summary!$C$10/28.8/0.947817,""))</f>
        <v/>
      </c>
      <c r="BR57">
        <f t="array" ref="BR57">IF($D28,IFERROR((SUMPRODUCT((economics!$AG$2:$AG$167=$B57)*(economics!$D$2:$D$167="whr")*economics!$AH$2:$AH$167*(_xlfn.NORM.DIST(BR$3,economics!$AK$2:$AK$167,economics!$AJ$2:$AJ$167,TRUE)-_xlfn.NORM.DIST(BR$30,economics!$AK$2:$AK$167,economics!$AJ$2:$AJ$167,TRUE))*economics!$AM$2:$AM$167)+$CR28*(_xlfn.NORM.DIST(BR$3,$CU28,0.3*$CU28,TRUE)-_xlfn.NORM.DIST(BR$30,$CU28,0.3*$CU28,TRUE))*summary!$C$7/28.8/0.947817+$CS28*(_xlfn.NORM.DIST(BR$3,$CV28,0.3*$CV28,TRUE)-_xlfn.NORM.DIST(BR$30,$CV28,0.3*$CV28,TRUE))*summary!$C$6/28.8/0.947817)/(SUMPRODUCT((economics!$AG$2:$AG$167=$B57)*(economics!$D$2:$D$167="whr")*economics!$AH$2:$AH$167*(_xlfn.NORM.DIST(BR$3,economics!$AK$2:$AK$167,economics!$AJ$2:$AJ$167,TRUE)-_xlfn.NORM.DIST(BR$30,economics!$AK$2:$AK$167,economics!$AJ$2:$AJ$167,TRUE)))+$CR28*(_xlfn.NORM.DIST(BR$3,$CU28,0.3*$CU28,TRUE)-_xlfn.NORM.DIST(BR$30,$CU28,0.3*$CU28,TRUE))+$CS28*(_xlfn.NORM.DIST(BR$3,$CV28,0.3*$CV28,TRUE)-_xlfn.NORM.DIST(BR$30,$CV28,0.3*$CV28,TRUE))),""),IF($C28&gt;0,summary!$C$10/28.8/0.947817,""))</f>
        <v/>
      </c>
      <c r="BS57">
        <f t="array" ref="BS57">IF($D28,IFERROR((SUMPRODUCT((economics!$AG$2:$AG$167=$B57)*(economics!$D$2:$D$167="whr")*economics!$AH$2:$AH$167*(_xlfn.NORM.DIST(BS$3,economics!$AK$2:$AK$167,economics!$AJ$2:$AJ$167,TRUE)-_xlfn.NORM.DIST(BS$30,economics!$AK$2:$AK$167,economics!$AJ$2:$AJ$167,TRUE))*economics!$AM$2:$AM$167)+$CR28*(_xlfn.NORM.DIST(BS$3,$CU28,0.3*$CU28,TRUE)-_xlfn.NORM.DIST(BS$30,$CU28,0.3*$CU28,TRUE))*summary!$C$7/28.8/0.947817+$CS28*(_xlfn.NORM.DIST(BS$3,$CV28,0.3*$CV28,TRUE)-_xlfn.NORM.DIST(BS$30,$CV28,0.3*$CV28,TRUE))*summary!$C$6/28.8/0.947817)/(SUMPRODUCT((economics!$AG$2:$AG$167=$B57)*(economics!$D$2:$D$167="whr")*economics!$AH$2:$AH$167*(_xlfn.NORM.DIST(BS$3,economics!$AK$2:$AK$167,economics!$AJ$2:$AJ$167,TRUE)-_xlfn.NORM.DIST(BS$30,economics!$AK$2:$AK$167,economics!$AJ$2:$AJ$167,TRUE)))+$CR28*(_xlfn.NORM.DIST(BS$3,$CU28,0.3*$CU28,TRUE)-_xlfn.NORM.DIST(BS$30,$CU28,0.3*$CU28,TRUE))+$CS28*(_xlfn.NORM.DIST(BS$3,$CV28,0.3*$CV28,TRUE)-_xlfn.NORM.DIST(BS$30,$CV28,0.3*$CV28,TRUE))),""),IF($C28&gt;0,summary!$C$10/28.8/0.947817,""))</f>
        <v/>
      </c>
      <c r="BT57">
        <f t="array" ref="BT57">IF($D28,IFERROR((SUMPRODUCT((economics!$AG$2:$AG$167=$B57)*(economics!$D$2:$D$167="whr")*economics!$AH$2:$AH$167*(_xlfn.NORM.DIST(BT$3,economics!$AK$2:$AK$167,economics!$AJ$2:$AJ$167,TRUE)-_xlfn.NORM.DIST(BT$30,economics!$AK$2:$AK$167,economics!$AJ$2:$AJ$167,TRUE))*economics!$AM$2:$AM$167)+$CR28*(_xlfn.NORM.DIST(BT$3,$CU28,0.3*$CU28,TRUE)-_xlfn.NORM.DIST(BT$30,$CU28,0.3*$CU28,TRUE))*summary!$C$7/28.8/0.947817+$CS28*(_xlfn.NORM.DIST(BT$3,$CV28,0.3*$CV28,TRUE)-_xlfn.NORM.DIST(BT$30,$CV28,0.3*$CV28,TRUE))*summary!$C$6/28.8/0.947817)/(SUMPRODUCT((economics!$AG$2:$AG$167=$B57)*(economics!$D$2:$D$167="whr")*economics!$AH$2:$AH$167*(_xlfn.NORM.DIST(BT$3,economics!$AK$2:$AK$167,economics!$AJ$2:$AJ$167,TRUE)-_xlfn.NORM.DIST(BT$30,economics!$AK$2:$AK$167,economics!$AJ$2:$AJ$167,TRUE)))+$CR28*(_xlfn.NORM.DIST(BT$3,$CU28,0.3*$CU28,TRUE)-_xlfn.NORM.DIST(BT$30,$CU28,0.3*$CU28,TRUE))+$CS28*(_xlfn.NORM.DIST(BT$3,$CV28,0.3*$CV28,TRUE)-_xlfn.NORM.DIST(BT$30,$CV28,0.3*$CV28,TRUE))),""),IF($C28&gt;0,summary!$C$10/28.8/0.947817,""))</f>
        <v/>
      </c>
      <c r="BU57">
        <f t="array" ref="BU57">IF($D28,IFERROR((SUMPRODUCT((economics!$AG$2:$AG$167=$B57)*(economics!$D$2:$D$167="whr")*economics!$AH$2:$AH$167*(_xlfn.NORM.DIST(BU$3,economics!$AK$2:$AK$167,economics!$AJ$2:$AJ$167,TRUE)-_xlfn.NORM.DIST(BU$30,economics!$AK$2:$AK$167,economics!$AJ$2:$AJ$167,TRUE))*economics!$AM$2:$AM$167)+$CR28*(_xlfn.NORM.DIST(BU$3,$CU28,0.3*$CU28,TRUE)-_xlfn.NORM.DIST(BU$30,$CU28,0.3*$CU28,TRUE))*summary!$C$7/28.8/0.947817+$CS28*(_xlfn.NORM.DIST(BU$3,$CV28,0.3*$CV28,TRUE)-_xlfn.NORM.DIST(BU$30,$CV28,0.3*$CV28,TRUE))*summary!$C$6/28.8/0.947817)/(SUMPRODUCT((economics!$AG$2:$AG$167=$B57)*(economics!$D$2:$D$167="whr")*economics!$AH$2:$AH$167*(_xlfn.NORM.DIST(BU$3,economics!$AK$2:$AK$167,economics!$AJ$2:$AJ$167,TRUE)-_xlfn.NORM.DIST(BU$30,economics!$AK$2:$AK$167,economics!$AJ$2:$AJ$167,TRUE)))+$CR28*(_xlfn.NORM.DIST(BU$3,$CU28,0.3*$CU28,TRUE)-_xlfn.NORM.DIST(BU$30,$CU28,0.3*$CU28,TRUE))+$CS28*(_xlfn.NORM.DIST(BU$3,$CV28,0.3*$CV28,TRUE)-_xlfn.NORM.DIST(BU$30,$CV28,0.3*$CV28,TRUE))),""),IF($C28&gt;0,summary!$C$10/28.8/0.947817,""))</f>
        <v/>
      </c>
      <c r="BV57">
        <f t="array" ref="BV57">IF($D28,IFERROR((SUMPRODUCT((economics!$AG$2:$AG$167=$B57)*(economics!$D$2:$D$167="whr")*economics!$AH$2:$AH$167*(_xlfn.NORM.DIST(BV$3,economics!$AK$2:$AK$167,economics!$AJ$2:$AJ$167,TRUE)-_xlfn.NORM.DIST(BV$30,economics!$AK$2:$AK$167,economics!$AJ$2:$AJ$167,TRUE))*economics!$AM$2:$AM$167)+$CR28*(_xlfn.NORM.DIST(BV$3,$CU28,0.3*$CU28,TRUE)-_xlfn.NORM.DIST(BV$30,$CU28,0.3*$CU28,TRUE))*summary!$C$7/28.8/0.947817+$CS28*(_xlfn.NORM.DIST(BV$3,$CV28,0.3*$CV28,TRUE)-_xlfn.NORM.DIST(BV$30,$CV28,0.3*$CV28,TRUE))*summary!$C$6/28.8/0.947817)/(SUMPRODUCT((economics!$AG$2:$AG$167=$B57)*(economics!$D$2:$D$167="whr")*economics!$AH$2:$AH$167*(_xlfn.NORM.DIST(BV$3,economics!$AK$2:$AK$167,economics!$AJ$2:$AJ$167,TRUE)-_xlfn.NORM.DIST(BV$30,economics!$AK$2:$AK$167,economics!$AJ$2:$AJ$167,TRUE)))+$CR28*(_xlfn.NORM.DIST(BV$3,$CU28,0.3*$CU28,TRUE)-_xlfn.NORM.DIST(BV$30,$CU28,0.3*$CU28,TRUE))+$CS28*(_xlfn.NORM.DIST(BV$3,$CV28,0.3*$CV28,TRUE)-_xlfn.NORM.DIST(BV$30,$CV28,0.3*$CV28,TRUE))),""),IF($C28&gt;0,summary!$C$10/28.8/0.947817,""))</f>
        <v/>
      </c>
      <c r="BW57">
        <f t="array" ref="BW57">IF($D28,IFERROR((SUMPRODUCT((economics!$AG$2:$AG$167=$B57)*(economics!$D$2:$D$167="whr")*economics!$AH$2:$AH$167*(_xlfn.NORM.DIST(BW$3,economics!$AK$2:$AK$167,economics!$AJ$2:$AJ$167,TRUE)-_xlfn.NORM.DIST(BW$30,economics!$AK$2:$AK$167,economics!$AJ$2:$AJ$167,TRUE))*economics!$AM$2:$AM$167)+$CR28*(_xlfn.NORM.DIST(BW$3,$CU28,0.3*$CU28,TRUE)-_xlfn.NORM.DIST(BW$30,$CU28,0.3*$CU28,TRUE))*summary!$C$7/28.8/0.947817+$CS28*(_xlfn.NORM.DIST(BW$3,$CV28,0.3*$CV28,TRUE)-_xlfn.NORM.DIST(BW$30,$CV28,0.3*$CV28,TRUE))*summary!$C$6/28.8/0.947817)/(SUMPRODUCT((economics!$AG$2:$AG$167=$B57)*(economics!$D$2:$D$167="whr")*economics!$AH$2:$AH$167*(_xlfn.NORM.DIST(BW$3,economics!$AK$2:$AK$167,economics!$AJ$2:$AJ$167,TRUE)-_xlfn.NORM.DIST(BW$30,economics!$AK$2:$AK$167,economics!$AJ$2:$AJ$167,TRUE)))+$CR28*(_xlfn.NORM.DIST(BW$3,$CU28,0.3*$CU28,TRUE)-_xlfn.NORM.DIST(BW$30,$CU28,0.3*$CU28,TRUE))+$CS28*(_xlfn.NORM.DIST(BW$3,$CV28,0.3*$CV28,TRUE)-_xlfn.NORM.DIST(BW$30,$CV28,0.3*$CV28,TRUE))),""),IF($C28&gt;0,summary!$C$10/28.8/0.947817,""))</f>
        <v/>
      </c>
      <c r="BX57">
        <f t="array" ref="BX57">IF($D28,IFERROR((SUMPRODUCT((economics!$AG$2:$AG$167=$B57)*(economics!$D$2:$D$167="whr")*economics!$AH$2:$AH$167*(_xlfn.NORM.DIST(BX$3,economics!$AK$2:$AK$167,economics!$AJ$2:$AJ$167,TRUE)-_xlfn.NORM.DIST(BX$30,economics!$AK$2:$AK$167,economics!$AJ$2:$AJ$167,TRUE))*economics!$AM$2:$AM$167)+$CR28*(_xlfn.NORM.DIST(BX$3,$CU28,0.3*$CU28,TRUE)-_xlfn.NORM.DIST(BX$30,$CU28,0.3*$CU28,TRUE))*summary!$C$7/28.8/0.947817+$CS28*(_xlfn.NORM.DIST(BX$3,$CV28,0.3*$CV28,TRUE)-_xlfn.NORM.DIST(BX$30,$CV28,0.3*$CV28,TRUE))*summary!$C$6/28.8/0.947817)/(SUMPRODUCT((economics!$AG$2:$AG$167=$B57)*(economics!$D$2:$D$167="whr")*economics!$AH$2:$AH$167*(_xlfn.NORM.DIST(BX$3,economics!$AK$2:$AK$167,economics!$AJ$2:$AJ$167,TRUE)-_xlfn.NORM.DIST(BX$30,economics!$AK$2:$AK$167,economics!$AJ$2:$AJ$167,TRUE)))+$CR28*(_xlfn.NORM.DIST(BX$3,$CU28,0.3*$CU28,TRUE)-_xlfn.NORM.DIST(BX$30,$CU28,0.3*$CU28,TRUE))+$CS28*(_xlfn.NORM.DIST(BX$3,$CV28,0.3*$CV28,TRUE)-_xlfn.NORM.DIST(BX$30,$CV28,0.3*$CV28,TRUE))),""),IF($C28&gt;0,summary!$C$10/28.8/0.947817,""))</f>
        <v/>
      </c>
      <c r="BY57">
        <f t="array" ref="BY57">IF($D28,IFERROR((SUMPRODUCT((economics!$AG$2:$AG$167=$B57)*(economics!$D$2:$D$167="whr")*economics!$AH$2:$AH$167*(_xlfn.NORM.DIST(BY$3,economics!$AK$2:$AK$167,economics!$AJ$2:$AJ$167,TRUE)-_xlfn.NORM.DIST(BY$30,economics!$AK$2:$AK$167,economics!$AJ$2:$AJ$167,TRUE))*economics!$AM$2:$AM$167)+$CR28*(_xlfn.NORM.DIST(BY$3,$CU28,0.3*$CU28,TRUE)-_xlfn.NORM.DIST(BY$30,$CU28,0.3*$CU28,TRUE))*summary!$C$7/28.8/0.947817+$CS28*(_xlfn.NORM.DIST(BY$3,$CV28,0.3*$CV28,TRUE)-_xlfn.NORM.DIST(BY$30,$CV28,0.3*$CV28,TRUE))*summary!$C$6/28.8/0.947817)/(SUMPRODUCT((economics!$AG$2:$AG$167=$B57)*(economics!$D$2:$D$167="whr")*economics!$AH$2:$AH$167*(_xlfn.NORM.DIST(BY$3,economics!$AK$2:$AK$167,economics!$AJ$2:$AJ$167,TRUE)-_xlfn.NORM.DIST(BY$30,economics!$AK$2:$AK$167,economics!$AJ$2:$AJ$167,TRUE)))+$CR28*(_xlfn.NORM.DIST(BY$3,$CU28,0.3*$CU28,TRUE)-_xlfn.NORM.DIST(BY$30,$CU28,0.3*$CU28,TRUE))+$CS28*(_xlfn.NORM.DIST(BY$3,$CV28,0.3*$CV28,TRUE)-_xlfn.NORM.DIST(BY$30,$CV28,0.3*$CV28,TRUE))),""),IF($C28&gt;0,summary!$C$10/28.8/0.947817,""))</f>
        <v/>
      </c>
      <c r="BZ57">
        <f t="array" ref="BZ57">IF($D28,IFERROR((SUMPRODUCT((economics!$AG$2:$AG$167=$B57)*(economics!$D$2:$D$167="whr")*economics!$AH$2:$AH$167*(_xlfn.NORM.DIST(BZ$3,economics!$AK$2:$AK$167,economics!$AJ$2:$AJ$167,TRUE)-_xlfn.NORM.DIST(BZ$30,economics!$AK$2:$AK$167,economics!$AJ$2:$AJ$167,TRUE))*economics!$AM$2:$AM$167)+$CR28*(_xlfn.NORM.DIST(BZ$3,$CU28,0.3*$CU28,TRUE)-_xlfn.NORM.DIST(BZ$30,$CU28,0.3*$CU28,TRUE))*summary!$C$7/28.8/0.947817+$CS28*(_xlfn.NORM.DIST(BZ$3,$CV28,0.3*$CV28,TRUE)-_xlfn.NORM.DIST(BZ$30,$CV28,0.3*$CV28,TRUE))*summary!$C$6/28.8/0.947817)/(SUMPRODUCT((economics!$AG$2:$AG$167=$B57)*(economics!$D$2:$D$167="whr")*economics!$AH$2:$AH$167*(_xlfn.NORM.DIST(BZ$3,economics!$AK$2:$AK$167,economics!$AJ$2:$AJ$167,TRUE)-_xlfn.NORM.DIST(BZ$30,economics!$AK$2:$AK$167,economics!$AJ$2:$AJ$167,TRUE)))+$CR28*(_xlfn.NORM.DIST(BZ$3,$CU28,0.3*$CU28,TRUE)-_xlfn.NORM.DIST(BZ$30,$CU28,0.3*$CU28,TRUE))+$CS28*(_xlfn.NORM.DIST(BZ$3,$CV28,0.3*$CV28,TRUE)-_xlfn.NORM.DIST(BZ$30,$CV28,0.3*$CV28,TRUE))),""),IF($C28&gt;0,summary!$C$10/28.8/0.947817,""))</f>
        <v/>
      </c>
      <c r="CA57">
        <f t="array" ref="CA57">IF($D28,IFERROR((SUMPRODUCT((economics!$AG$2:$AG$167=$B57)*(economics!$D$2:$D$167="whr")*economics!$AH$2:$AH$167*(_xlfn.NORM.DIST(CA$3,economics!$AK$2:$AK$167,economics!$AJ$2:$AJ$167,TRUE)-_xlfn.NORM.DIST(CA$30,economics!$AK$2:$AK$167,economics!$AJ$2:$AJ$167,TRUE))*economics!$AM$2:$AM$167)+$CR28*(_xlfn.NORM.DIST(CA$3,$CU28,0.3*$CU28,TRUE)-_xlfn.NORM.DIST(CA$30,$CU28,0.3*$CU28,TRUE))*summary!$C$7/28.8/0.947817+$CS28*(_xlfn.NORM.DIST(CA$3,$CV28,0.3*$CV28,TRUE)-_xlfn.NORM.DIST(CA$30,$CV28,0.3*$CV28,TRUE))*summary!$C$6/28.8/0.947817)/(SUMPRODUCT((economics!$AG$2:$AG$167=$B57)*(economics!$D$2:$D$167="whr")*economics!$AH$2:$AH$167*(_xlfn.NORM.DIST(CA$3,economics!$AK$2:$AK$167,economics!$AJ$2:$AJ$167,TRUE)-_xlfn.NORM.DIST(CA$30,economics!$AK$2:$AK$167,economics!$AJ$2:$AJ$167,TRUE)))+$CR28*(_xlfn.NORM.DIST(CA$3,$CU28,0.3*$CU28,TRUE)-_xlfn.NORM.DIST(CA$30,$CU28,0.3*$CU28,TRUE))+$CS28*(_xlfn.NORM.DIST(CA$3,$CV28,0.3*$CV28,TRUE)-_xlfn.NORM.DIST(CA$30,$CV28,0.3*$CV28,TRUE))),""),IF($C28&gt;0,summary!$C$10/28.8/0.947817,""))</f>
        <v/>
      </c>
      <c r="CB57">
        <f t="array" ref="CB57">IF($D28,IFERROR((SUMPRODUCT((economics!$AG$2:$AG$167=$B57)*(economics!$D$2:$D$167="whr")*economics!$AH$2:$AH$167*(_xlfn.NORM.DIST(CB$3,economics!$AK$2:$AK$167,economics!$AJ$2:$AJ$167,TRUE)-_xlfn.NORM.DIST(CB$30,economics!$AK$2:$AK$167,economics!$AJ$2:$AJ$167,TRUE))*economics!$AM$2:$AM$167)+$CR28*(_xlfn.NORM.DIST(CB$3,$CU28,0.3*$CU28,TRUE)-_xlfn.NORM.DIST(CB$30,$CU28,0.3*$CU28,TRUE))*summary!$C$7/28.8/0.947817+$CS28*(_xlfn.NORM.DIST(CB$3,$CV28,0.3*$CV28,TRUE)-_xlfn.NORM.DIST(CB$30,$CV28,0.3*$CV28,TRUE))*summary!$C$6/28.8/0.947817)/(SUMPRODUCT((economics!$AG$2:$AG$167=$B57)*(economics!$D$2:$D$167="whr")*economics!$AH$2:$AH$167*(_xlfn.NORM.DIST(CB$3,economics!$AK$2:$AK$167,economics!$AJ$2:$AJ$167,TRUE)-_xlfn.NORM.DIST(CB$30,economics!$AK$2:$AK$167,economics!$AJ$2:$AJ$167,TRUE)))+$CR28*(_xlfn.NORM.DIST(CB$3,$CU28,0.3*$CU28,TRUE)-_xlfn.NORM.DIST(CB$30,$CU28,0.3*$CU28,TRUE))+$CS28*(_xlfn.NORM.DIST(CB$3,$CV28,0.3*$CV28,TRUE)-_xlfn.NORM.DIST(CB$30,$CV28,0.3*$CV28,TRUE))),""),IF($C28&gt;0,summary!$C$10/28.8/0.947817,""))</f>
        <v/>
      </c>
      <c r="CC57">
        <f t="array" ref="CC57">IF($D28,IFERROR((SUMPRODUCT((economics!$AG$2:$AG$167=$B57)*(economics!$D$2:$D$167="whr")*economics!$AH$2:$AH$167*(_xlfn.NORM.DIST(CC$3,economics!$AK$2:$AK$167,economics!$AJ$2:$AJ$167,TRUE)-_xlfn.NORM.DIST(CC$30,economics!$AK$2:$AK$167,economics!$AJ$2:$AJ$167,TRUE))*economics!$AM$2:$AM$167)+$CR28*(_xlfn.NORM.DIST(CC$3,$CU28,0.3*$CU28,TRUE)-_xlfn.NORM.DIST(CC$30,$CU28,0.3*$CU28,TRUE))*summary!$C$7/28.8/0.947817+$CS28*(_xlfn.NORM.DIST(CC$3,$CV28,0.3*$CV28,TRUE)-_xlfn.NORM.DIST(CC$30,$CV28,0.3*$CV28,TRUE))*summary!$C$6/28.8/0.947817)/(SUMPRODUCT((economics!$AG$2:$AG$167=$B57)*(economics!$D$2:$D$167="whr")*economics!$AH$2:$AH$167*(_xlfn.NORM.DIST(CC$3,economics!$AK$2:$AK$167,economics!$AJ$2:$AJ$167,TRUE)-_xlfn.NORM.DIST(CC$30,economics!$AK$2:$AK$167,economics!$AJ$2:$AJ$167,TRUE)))+$CR28*(_xlfn.NORM.DIST(CC$3,$CU28,0.3*$CU28,TRUE)-_xlfn.NORM.DIST(CC$30,$CU28,0.3*$CU28,TRUE))+$CS28*(_xlfn.NORM.DIST(CC$3,$CV28,0.3*$CV28,TRUE)-_xlfn.NORM.DIST(CC$30,$CV28,0.3*$CV28,TRUE))),""),IF($C28&gt;0,summary!$C$10/28.8/0.947817,""))</f>
        <v/>
      </c>
      <c r="CD57">
        <f t="array" ref="CD57">IF($D28,IFERROR((SUMPRODUCT((economics!$AG$2:$AG$167=$B57)*(economics!$D$2:$D$167="whr")*economics!$AH$2:$AH$167*(_xlfn.NORM.DIST(CD$3,economics!$AK$2:$AK$167,economics!$AJ$2:$AJ$167,TRUE)-_xlfn.NORM.DIST(CD$30,economics!$AK$2:$AK$167,economics!$AJ$2:$AJ$167,TRUE))*economics!$AM$2:$AM$167)+$CR28*(_xlfn.NORM.DIST(CD$3,$CU28,0.3*$CU28,TRUE)-_xlfn.NORM.DIST(CD$30,$CU28,0.3*$CU28,TRUE))*summary!$C$7/28.8/0.947817+$CS28*(_xlfn.NORM.DIST(CD$3,$CV28,0.3*$CV28,TRUE)-_xlfn.NORM.DIST(CD$30,$CV28,0.3*$CV28,TRUE))*summary!$C$6/28.8/0.947817)/(SUMPRODUCT((economics!$AG$2:$AG$167=$B57)*(economics!$D$2:$D$167="whr")*economics!$AH$2:$AH$167*(_xlfn.NORM.DIST(CD$3,economics!$AK$2:$AK$167,economics!$AJ$2:$AJ$167,TRUE)-_xlfn.NORM.DIST(CD$30,economics!$AK$2:$AK$167,economics!$AJ$2:$AJ$167,TRUE)))+$CR28*(_xlfn.NORM.DIST(CD$3,$CU28,0.3*$CU28,TRUE)-_xlfn.NORM.DIST(CD$30,$CU28,0.3*$CU28,TRUE))+$CS28*(_xlfn.NORM.DIST(CD$3,$CV28,0.3*$CV28,TRUE)-_xlfn.NORM.DIST(CD$30,$CV28,0.3*$CV28,TRUE))),""),IF($C28&gt;0,summary!$C$10/28.8/0.947817,""))</f>
        <v/>
      </c>
      <c r="CE57">
        <f t="array" ref="CE57">IF($D28,IFERROR((SUMPRODUCT((economics!$AG$2:$AG$167=$B57)*(economics!$D$2:$D$167="whr")*economics!$AH$2:$AH$167*(_xlfn.NORM.DIST(CE$3,economics!$AK$2:$AK$167,economics!$AJ$2:$AJ$167,TRUE)-_xlfn.NORM.DIST(CE$30,economics!$AK$2:$AK$167,economics!$AJ$2:$AJ$167,TRUE))*economics!$AM$2:$AM$167)+$CR28*(_xlfn.NORM.DIST(CE$3,$CU28,0.3*$CU28,TRUE)-_xlfn.NORM.DIST(CE$30,$CU28,0.3*$CU28,TRUE))*summary!$C$7/28.8/0.947817+$CS28*(_xlfn.NORM.DIST(CE$3,$CV28,0.3*$CV28,TRUE)-_xlfn.NORM.DIST(CE$30,$CV28,0.3*$CV28,TRUE))*summary!$C$6/28.8/0.947817)/(SUMPRODUCT((economics!$AG$2:$AG$167=$B57)*(economics!$D$2:$D$167="whr")*economics!$AH$2:$AH$167*(_xlfn.NORM.DIST(CE$3,economics!$AK$2:$AK$167,economics!$AJ$2:$AJ$167,TRUE)-_xlfn.NORM.DIST(CE$30,economics!$AK$2:$AK$167,economics!$AJ$2:$AJ$167,TRUE)))+$CR28*(_xlfn.NORM.DIST(CE$3,$CU28,0.3*$CU28,TRUE)-_xlfn.NORM.DIST(CE$30,$CU28,0.3*$CU28,TRUE))+$CS28*(_xlfn.NORM.DIST(CE$3,$CV28,0.3*$CV28,TRUE)-_xlfn.NORM.DIST(CE$30,$CV28,0.3*$CV28,TRUE))),""),IF($C28&gt;0,summary!$C$10/28.8/0.947817,""))</f>
        <v/>
      </c>
      <c r="CF57">
        <f t="array" ref="CF57">IF($D28,IFERROR((SUMPRODUCT((economics!$AG$2:$AG$167=$B57)*(economics!$D$2:$D$167="whr")*economics!$AH$2:$AH$167*(_xlfn.NORM.DIST(CF$3,economics!$AK$2:$AK$167,economics!$AJ$2:$AJ$167,TRUE)-_xlfn.NORM.DIST(CF$30,economics!$AK$2:$AK$167,economics!$AJ$2:$AJ$167,TRUE))*economics!$AM$2:$AM$167)+$CR28*(_xlfn.NORM.DIST(CF$3,$CU28,0.3*$CU28,TRUE)-_xlfn.NORM.DIST(CF$30,$CU28,0.3*$CU28,TRUE))*summary!$C$7/28.8/0.947817+$CS28*(_xlfn.NORM.DIST(CF$3,$CV28,0.3*$CV28,TRUE)-_xlfn.NORM.DIST(CF$30,$CV28,0.3*$CV28,TRUE))*summary!$C$6/28.8/0.947817)/(SUMPRODUCT((economics!$AG$2:$AG$167=$B57)*(economics!$D$2:$D$167="whr")*economics!$AH$2:$AH$167*(_xlfn.NORM.DIST(CF$3,economics!$AK$2:$AK$167,economics!$AJ$2:$AJ$167,TRUE)-_xlfn.NORM.DIST(CF$30,economics!$AK$2:$AK$167,economics!$AJ$2:$AJ$167,TRUE)))+$CR28*(_xlfn.NORM.DIST(CF$3,$CU28,0.3*$CU28,TRUE)-_xlfn.NORM.DIST(CF$30,$CU28,0.3*$CU28,TRUE))+$CS28*(_xlfn.NORM.DIST(CF$3,$CV28,0.3*$CV28,TRUE)-_xlfn.NORM.DIST(CF$30,$CV28,0.3*$CV28,TRUE))),""),IF($C28&gt;0,summary!$C$10/28.8/0.947817,""))</f>
        <v/>
      </c>
      <c r="CG57">
        <f t="array" ref="CG57">IF($D28,IFERROR((SUMPRODUCT((economics!$AG$2:$AG$167=$B57)*(economics!$D$2:$D$167="whr")*economics!$AH$2:$AH$167*(_xlfn.NORM.DIST(CG$3,economics!$AK$2:$AK$167,economics!$AJ$2:$AJ$167,TRUE)-_xlfn.NORM.DIST(CG$30,economics!$AK$2:$AK$167,economics!$AJ$2:$AJ$167,TRUE))*economics!$AM$2:$AM$167)+$CR28*(_xlfn.NORM.DIST(CG$3,$CU28,0.3*$CU28,TRUE)-_xlfn.NORM.DIST(CG$30,$CU28,0.3*$CU28,TRUE))*summary!$C$7/28.8/0.947817+$CS28*(_xlfn.NORM.DIST(CG$3,$CV28,0.3*$CV28,TRUE)-_xlfn.NORM.DIST(CG$30,$CV28,0.3*$CV28,TRUE))*summary!$C$6/28.8/0.947817)/(SUMPRODUCT((economics!$AG$2:$AG$167=$B57)*(economics!$D$2:$D$167="whr")*economics!$AH$2:$AH$167*(_xlfn.NORM.DIST(CG$3,economics!$AK$2:$AK$167,economics!$AJ$2:$AJ$167,TRUE)-_xlfn.NORM.DIST(CG$30,economics!$AK$2:$AK$167,economics!$AJ$2:$AJ$167,TRUE)))+$CR28*(_xlfn.NORM.DIST(CG$3,$CU28,0.3*$CU28,TRUE)-_xlfn.NORM.DIST(CG$30,$CU28,0.3*$CU28,TRUE))+$CS28*(_xlfn.NORM.DIST(CG$3,$CV28,0.3*$CV28,TRUE)-_xlfn.NORM.DIST(CG$30,$CV28,0.3*$CV28,TRUE))),""),IF($C28&gt;0,summary!$C$10/28.8/0.947817,""))</f>
        <v/>
      </c>
      <c r="CH57">
        <f t="array" ref="CH57">IF($D28,IFERROR((SUMPRODUCT((economics!$AG$2:$AG$167=$B57)*(economics!$D$2:$D$167="whr")*economics!$AH$2:$AH$167*(_xlfn.NORM.DIST(CH$3,economics!$AK$2:$AK$167,economics!$AJ$2:$AJ$167,TRUE)-_xlfn.NORM.DIST(CH$30,economics!$AK$2:$AK$167,economics!$AJ$2:$AJ$167,TRUE))*economics!$AM$2:$AM$167)+$CR28*(_xlfn.NORM.DIST(CH$3,$CU28,0.3*$CU28,TRUE)-_xlfn.NORM.DIST(CH$30,$CU28,0.3*$CU28,TRUE))*summary!$C$7/28.8/0.947817+$CS28*(_xlfn.NORM.DIST(CH$3,$CV28,0.3*$CV28,TRUE)-_xlfn.NORM.DIST(CH$30,$CV28,0.3*$CV28,TRUE))*summary!$C$6/28.8/0.947817)/(SUMPRODUCT((economics!$AG$2:$AG$167=$B57)*(economics!$D$2:$D$167="whr")*economics!$AH$2:$AH$167*(_xlfn.NORM.DIST(CH$3,economics!$AK$2:$AK$167,economics!$AJ$2:$AJ$167,TRUE)-_xlfn.NORM.DIST(CH$30,economics!$AK$2:$AK$167,economics!$AJ$2:$AJ$167,TRUE)))+$CR28*(_xlfn.NORM.DIST(CH$3,$CU28,0.3*$CU28,TRUE)-_xlfn.NORM.DIST(CH$30,$CU28,0.3*$CU28,TRUE))+$CS28*(_xlfn.NORM.DIST(CH$3,$CV28,0.3*$CV28,TRUE)-_xlfn.NORM.DIST(CH$30,$CV28,0.3*$CV28,TRUE))),""),IF($C28&gt;0,summary!$C$10/28.8/0.947817,""))</f>
        <v/>
      </c>
    </row>
    <row r="59">
      <c r="A59" s="1" t="inlineStr">
        <is>
          <t>CHECK: bins with incremental reduction but NO capex intensity (must be 0)</t>
        </is>
      </c>
      <c r="B59">
        <f t="array" ref="B59">SUMPRODUCT((E4:E28&gt;0.000000001)*(E33:E57=""))+SUMPRODUCT(((F4:CH28-E4:CG28)&gt;0.000000001)*(F33:CH57=""))</f>
        <v/>
      </c>
      <c r="C59">
        <f>IF(B59=0,"ok","FAIL")</f>
        <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H59"/>
  <sheetViews>
    <sheetView workbookViewId="0">
      <pane xSplit="4" ySplit="3" topLeftCell="E4" activePane="bottomRight" state="frozen"/>
      <selection pane="topRight" activeCell="E1" sqref="E1"/>
      <selection pane="bottomLeft" activeCell="A4" sqref="A4"/>
      <selection pane="bottomRight" activeCell="L18" sqref="L18"/>
    </sheetView>
  </sheetViews>
  <sheetFormatPr baseColWidth="8" defaultRowHeight="14.5"/>
  <sheetData>
    <row r="1">
      <c r="A1" s="1" t="inlineStr">
        <is>
          <t>fuel-process — cumulative % reduction (process efficiency, fuel carrier). Rows=canonical WHRPbI industries; cols=CCE bins ($/MMBtu). No Bianchi fill.</t>
        </is>
      </c>
    </row>
    <row r="3">
      <c r="A3" s="1" t="inlineStr">
        <is>
          <t>Industry</t>
        </is>
      </c>
      <c r="B3" s="1" t="inlineStr">
        <is>
          <t>code</t>
        </is>
      </c>
      <c r="C3" s="1" t="inlineStr">
        <is>
          <t>Bianchi pot.</t>
        </is>
      </c>
      <c r="D3" s="1" t="inlineStr">
        <is>
          <t>covered</t>
        </is>
      </c>
      <c r="E3" s="7" t="n">
        <v>0</v>
      </c>
      <c r="F3" s="7" t="n">
        <v>0.25</v>
      </c>
      <c r="G3" s="7" t="n">
        <v>0.5</v>
      </c>
      <c r="H3" s="7" t="n">
        <v>0.75</v>
      </c>
      <c r="I3" s="7" t="n">
        <v>1</v>
      </c>
      <c r="J3" s="7" t="n">
        <v>1.25</v>
      </c>
      <c r="K3" s="7" t="n">
        <v>1.5</v>
      </c>
      <c r="L3" s="7" t="n">
        <v>1.75</v>
      </c>
      <c r="M3" s="7" t="n">
        <v>2</v>
      </c>
      <c r="N3" s="7" t="n">
        <v>2.25</v>
      </c>
      <c r="O3" s="7" t="n">
        <v>2.5</v>
      </c>
      <c r="P3" s="7" t="n">
        <v>2.75</v>
      </c>
      <c r="Q3" s="7" t="n">
        <v>3</v>
      </c>
      <c r="R3" s="7" t="n">
        <v>3.25</v>
      </c>
      <c r="S3" s="7" t="n">
        <v>3.5</v>
      </c>
      <c r="T3" s="7" t="n">
        <v>3.75</v>
      </c>
      <c r="U3" s="7" t="n">
        <v>4</v>
      </c>
      <c r="V3" s="7" t="n">
        <v>4.25</v>
      </c>
      <c r="W3" s="7" t="n">
        <v>4.5</v>
      </c>
      <c r="X3" s="7" t="n">
        <v>4.75</v>
      </c>
      <c r="Y3" s="7" t="n">
        <v>5</v>
      </c>
      <c r="Z3" s="7" t="n">
        <v>5.25</v>
      </c>
      <c r="AA3" s="7" t="n">
        <v>5.5</v>
      </c>
      <c r="AB3" s="7" t="n">
        <v>5.75</v>
      </c>
      <c r="AC3" s="7" t="n">
        <v>6</v>
      </c>
      <c r="AD3" s="7" t="n">
        <v>6.25</v>
      </c>
      <c r="AE3" s="7" t="n">
        <v>6.5</v>
      </c>
      <c r="AF3" s="7" t="n">
        <v>6.75</v>
      </c>
      <c r="AG3" s="7" t="n">
        <v>7</v>
      </c>
      <c r="AH3" s="7" t="n">
        <v>7.25</v>
      </c>
      <c r="AI3" s="7" t="n">
        <v>7.5</v>
      </c>
      <c r="AJ3" s="7" t="n">
        <v>7.75</v>
      </c>
      <c r="AK3" s="7" t="n">
        <v>8</v>
      </c>
      <c r="AL3" s="7" t="n">
        <v>8.25</v>
      </c>
      <c r="AM3" s="7" t="n">
        <v>8.5</v>
      </c>
      <c r="AN3" s="7" t="n">
        <v>8.75</v>
      </c>
      <c r="AO3" s="7" t="n">
        <v>9</v>
      </c>
      <c r="AP3" s="7" t="n">
        <v>9.25</v>
      </c>
      <c r="AQ3" s="7" t="n">
        <v>9.5</v>
      </c>
      <c r="AR3" s="7" t="n">
        <v>9.75</v>
      </c>
      <c r="AS3" s="7" t="n">
        <v>10</v>
      </c>
      <c r="AT3" s="7" t="n">
        <v>10.25</v>
      </c>
      <c r="AU3" s="7" t="n">
        <v>10.5</v>
      </c>
      <c r="AV3" s="7" t="n">
        <v>10.75</v>
      </c>
      <c r="AW3" s="7" t="n">
        <v>11</v>
      </c>
      <c r="AX3" s="7" t="n">
        <v>11.25</v>
      </c>
      <c r="AY3" s="7" t="n">
        <v>11.5</v>
      </c>
      <c r="AZ3" s="7" t="n">
        <v>11.75</v>
      </c>
      <c r="BA3" s="7" t="n">
        <v>12</v>
      </c>
      <c r="BB3" s="7" t="n">
        <v>12.25</v>
      </c>
      <c r="BC3" s="7" t="n">
        <v>12.5</v>
      </c>
      <c r="BD3" s="7" t="n">
        <v>12.75</v>
      </c>
      <c r="BE3" s="7" t="n">
        <v>13</v>
      </c>
      <c r="BF3" s="7" t="n">
        <v>13.25</v>
      </c>
      <c r="BG3" s="7" t="n">
        <v>13.5</v>
      </c>
      <c r="BH3" s="7" t="n">
        <v>13.75</v>
      </c>
      <c r="BI3" s="7" t="n">
        <v>14</v>
      </c>
      <c r="BJ3" s="7" t="n">
        <v>14.25</v>
      </c>
      <c r="BK3" s="7" t="n">
        <v>14.5</v>
      </c>
      <c r="BL3" s="7" t="n">
        <v>14.75</v>
      </c>
      <c r="BM3" s="7" t="n">
        <v>15</v>
      </c>
      <c r="BN3" s="7" t="n">
        <v>15.25</v>
      </c>
      <c r="BO3" s="7" t="n">
        <v>15.5</v>
      </c>
      <c r="BP3" s="7" t="n">
        <v>15.75</v>
      </c>
      <c r="BQ3" s="7" t="n">
        <v>16</v>
      </c>
      <c r="BR3" s="7" t="n">
        <v>16.25</v>
      </c>
      <c r="BS3" s="7" t="n">
        <v>16.5</v>
      </c>
      <c r="BT3" s="7" t="n">
        <v>16.75</v>
      </c>
      <c r="BU3" s="7" t="n">
        <v>17</v>
      </c>
      <c r="BV3" s="7" t="n">
        <v>17.25</v>
      </c>
      <c r="BW3" s="7" t="n">
        <v>17.5</v>
      </c>
      <c r="BX3" s="7" t="n">
        <v>17.75</v>
      </c>
      <c r="BY3" s="7" t="n">
        <v>18</v>
      </c>
      <c r="BZ3" s="7" t="n">
        <v>18.25</v>
      </c>
      <c r="CA3" s="7" t="n">
        <v>18.5</v>
      </c>
      <c r="CB3" s="7" t="n">
        <v>18.75</v>
      </c>
      <c r="CC3" s="7" t="n">
        <v>19</v>
      </c>
      <c r="CD3" s="7" t="n">
        <v>19.25</v>
      </c>
      <c r="CE3" s="7" t="n">
        <v>19.5</v>
      </c>
      <c r="CF3" s="7" t="n">
        <v>19.75</v>
      </c>
      <c r="CG3" s="7" t="n">
        <v>20</v>
      </c>
      <c r="CH3" s="7" t="n">
        <v>99999</v>
      </c>
    </row>
    <row r="4">
      <c r="A4">
        <f>WHRPbI!A2</f>
        <v/>
      </c>
      <c r="B4" t="inlineStr">
        <is>
          <t>01T03</t>
        </is>
      </c>
      <c r="C4" s="68">
        <f>WHRPbI!B2</f>
        <v/>
      </c>
      <c r="D4">
        <f>ISNUMBER(MATCH($B4,'energy base (MECS)'!$K$4:$K$9,0))</f>
        <v/>
      </c>
      <c r="E4" s="68">
        <f t="array" ref="E4">IF($D4,SUMPRODUCT((economics!$AG$2:$AG$167=$B4)*(economics!$D$2:$D$167="process")*economics!$AH$2:$AH$167*_xlfn.NORM.DIST(E$3,economics!$AK$2:$AK$167,economics!$AJ$2:$AJ$167,TRUE)),0)</f>
        <v/>
      </c>
      <c r="F4" s="68">
        <f t="array" ref="F4">IF($D4,SUMPRODUCT((economics!$AG$2:$AG$167=$B4)*(economics!$D$2:$D$167="process")*economics!$AH$2:$AH$167*_xlfn.NORM.DIST(F$3,economics!$AK$2:$AK$167,economics!$AJ$2:$AJ$167,TRUE)),0)</f>
        <v/>
      </c>
      <c r="G4" s="68">
        <f t="array" ref="G4">IF($D4,SUMPRODUCT((economics!$AG$2:$AG$167=$B4)*(economics!$D$2:$D$167="process")*economics!$AH$2:$AH$167*_xlfn.NORM.DIST(G$3,economics!$AK$2:$AK$167,economics!$AJ$2:$AJ$167,TRUE)),0)</f>
        <v/>
      </c>
      <c r="H4" s="68">
        <f t="array" ref="H4">IF($D4,SUMPRODUCT((economics!$AG$2:$AG$167=$B4)*(economics!$D$2:$D$167="process")*economics!$AH$2:$AH$167*_xlfn.NORM.DIST(H$3,economics!$AK$2:$AK$167,economics!$AJ$2:$AJ$167,TRUE)),0)</f>
        <v/>
      </c>
      <c r="I4" s="68">
        <f t="array" ref="I4">IF($D4,SUMPRODUCT((economics!$AG$2:$AG$167=$B4)*(economics!$D$2:$D$167="process")*economics!$AH$2:$AH$167*_xlfn.NORM.DIST(I$3,economics!$AK$2:$AK$167,economics!$AJ$2:$AJ$167,TRUE)),0)</f>
        <v/>
      </c>
      <c r="J4" s="68">
        <f t="array" ref="J4">IF($D4,SUMPRODUCT((economics!$AG$2:$AG$167=$B4)*(economics!$D$2:$D$167="process")*economics!$AH$2:$AH$167*_xlfn.NORM.DIST(J$3,economics!$AK$2:$AK$167,economics!$AJ$2:$AJ$167,TRUE)),0)</f>
        <v/>
      </c>
      <c r="K4" s="68">
        <f t="array" ref="K4">IF($D4,SUMPRODUCT((economics!$AG$2:$AG$167=$B4)*(economics!$D$2:$D$167="process")*economics!$AH$2:$AH$167*_xlfn.NORM.DIST(K$3,economics!$AK$2:$AK$167,economics!$AJ$2:$AJ$167,TRUE)),0)</f>
        <v/>
      </c>
      <c r="L4" s="68">
        <f t="array" ref="L4">IF($D4,SUMPRODUCT((economics!$AG$2:$AG$167=$B4)*(economics!$D$2:$D$167="process")*economics!$AH$2:$AH$167*_xlfn.NORM.DIST(L$3,economics!$AK$2:$AK$167,economics!$AJ$2:$AJ$167,TRUE)),0)</f>
        <v/>
      </c>
      <c r="M4" s="68">
        <f t="array" ref="M4">IF($D4,SUMPRODUCT((economics!$AG$2:$AG$167=$B4)*(economics!$D$2:$D$167="process")*economics!$AH$2:$AH$167*_xlfn.NORM.DIST(M$3,economics!$AK$2:$AK$167,economics!$AJ$2:$AJ$167,TRUE)),0)</f>
        <v/>
      </c>
      <c r="N4" s="68">
        <f t="array" ref="N4">IF($D4,SUMPRODUCT((economics!$AG$2:$AG$167=$B4)*(economics!$D$2:$D$167="process")*economics!$AH$2:$AH$167*_xlfn.NORM.DIST(N$3,economics!$AK$2:$AK$167,economics!$AJ$2:$AJ$167,TRUE)),0)</f>
        <v/>
      </c>
      <c r="O4" s="68">
        <f t="array" ref="O4">IF($D4,SUMPRODUCT((economics!$AG$2:$AG$167=$B4)*(economics!$D$2:$D$167="process")*economics!$AH$2:$AH$167*_xlfn.NORM.DIST(O$3,economics!$AK$2:$AK$167,economics!$AJ$2:$AJ$167,TRUE)),0)</f>
        <v/>
      </c>
      <c r="P4" s="68">
        <f t="array" ref="P4">IF($D4,SUMPRODUCT((economics!$AG$2:$AG$167=$B4)*(economics!$D$2:$D$167="process")*economics!$AH$2:$AH$167*_xlfn.NORM.DIST(P$3,economics!$AK$2:$AK$167,economics!$AJ$2:$AJ$167,TRUE)),0)</f>
        <v/>
      </c>
      <c r="Q4" s="68">
        <f t="array" ref="Q4">IF($D4,SUMPRODUCT((economics!$AG$2:$AG$167=$B4)*(economics!$D$2:$D$167="process")*economics!$AH$2:$AH$167*_xlfn.NORM.DIST(Q$3,economics!$AK$2:$AK$167,economics!$AJ$2:$AJ$167,TRUE)),0)</f>
        <v/>
      </c>
      <c r="R4" s="68">
        <f t="array" ref="R4">IF($D4,SUMPRODUCT((economics!$AG$2:$AG$167=$B4)*(economics!$D$2:$D$167="process")*economics!$AH$2:$AH$167*_xlfn.NORM.DIST(R$3,economics!$AK$2:$AK$167,economics!$AJ$2:$AJ$167,TRUE)),0)</f>
        <v/>
      </c>
      <c r="S4" s="68">
        <f t="array" ref="S4">IF($D4,SUMPRODUCT((economics!$AG$2:$AG$167=$B4)*(economics!$D$2:$D$167="process")*economics!$AH$2:$AH$167*_xlfn.NORM.DIST(S$3,economics!$AK$2:$AK$167,economics!$AJ$2:$AJ$167,TRUE)),0)</f>
        <v/>
      </c>
      <c r="T4" s="68">
        <f t="array" ref="T4">IF($D4,SUMPRODUCT((economics!$AG$2:$AG$167=$B4)*(economics!$D$2:$D$167="process")*economics!$AH$2:$AH$167*_xlfn.NORM.DIST(T$3,economics!$AK$2:$AK$167,economics!$AJ$2:$AJ$167,TRUE)),0)</f>
        <v/>
      </c>
      <c r="U4" s="68">
        <f t="array" ref="U4">IF($D4,SUMPRODUCT((economics!$AG$2:$AG$167=$B4)*(economics!$D$2:$D$167="process")*economics!$AH$2:$AH$167*_xlfn.NORM.DIST(U$3,economics!$AK$2:$AK$167,economics!$AJ$2:$AJ$167,TRUE)),0)</f>
        <v/>
      </c>
      <c r="V4" s="68">
        <f t="array" ref="V4">IF($D4,SUMPRODUCT((economics!$AG$2:$AG$167=$B4)*(economics!$D$2:$D$167="process")*economics!$AH$2:$AH$167*_xlfn.NORM.DIST(V$3,economics!$AK$2:$AK$167,economics!$AJ$2:$AJ$167,TRUE)),0)</f>
        <v/>
      </c>
      <c r="W4" s="68">
        <f t="array" ref="W4">IF($D4,SUMPRODUCT((economics!$AG$2:$AG$167=$B4)*(economics!$D$2:$D$167="process")*economics!$AH$2:$AH$167*_xlfn.NORM.DIST(W$3,economics!$AK$2:$AK$167,economics!$AJ$2:$AJ$167,TRUE)),0)</f>
        <v/>
      </c>
      <c r="X4" s="68">
        <f t="array" ref="X4">IF($D4,SUMPRODUCT((economics!$AG$2:$AG$167=$B4)*(economics!$D$2:$D$167="process")*economics!$AH$2:$AH$167*_xlfn.NORM.DIST(X$3,economics!$AK$2:$AK$167,economics!$AJ$2:$AJ$167,TRUE)),0)</f>
        <v/>
      </c>
      <c r="Y4" s="68">
        <f t="array" ref="Y4">IF($D4,SUMPRODUCT((economics!$AG$2:$AG$167=$B4)*(economics!$D$2:$D$167="process")*economics!$AH$2:$AH$167*_xlfn.NORM.DIST(Y$3,economics!$AK$2:$AK$167,economics!$AJ$2:$AJ$167,TRUE)),0)</f>
        <v/>
      </c>
      <c r="Z4" s="68">
        <f t="array" ref="Z4">IF($D4,SUMPRODUCT((economics!$AG$2:$AG$167=$B4)*(economics!$D$2:$D$167="process")*economics!$AH$2:$AH$167*_xlfn.NORM.DIST(Z$3,economics!$AK$2:$AK$167,economics!$AJ$2:$AJ$167,TRUE)),0)</f>
        <v/>
      </c>
      <c r="AA4" s="68">
        <f t="array" ref="AA4">IF($D4,SUMPRODUCT((economics!$AG$2:$AG$167=$B4)*(economics!$D$2:$D$167="process")*economics!$AH$2:$AH$167*_xlfn.NORM.DIST(AA$3,economics!$AK$2:$AK$167,economics!$AJ$2:$AJ$167,TRUE)),0)</f>
        <v/>
      </c>
      <c r="AB4" s="68">
        <f t="array" ref="AB4">IF($D4,SUMPRODUCT((economics!$AG$2:$AG$167=$B4)*(economics!$D$2:$D$167="process")*economics!$AH$2:$AH$167*_xlfn.NORM.DIST(AB$3,economics!$AK$2:$AK$167,economics!$AJ$2:$AJ$167,TRUE)),0)</f>
        <v/>
      </c>
      <c r="AC4" s="68">
        <f t="array" ref="AC4">IF($D4,SUMPRODUCT((economics!$AG$2:$AG$167=$B4)*(economics!$D$2:$D$167="process")*economics!$AH$2:$AH$167*_xlfn.NORM.DIST(AC$3,economics!$AK$2:$AK$167,economics!$AJ$2:$AJ$167,TRUE)),0)</f>
        <v/>
      </c>
      <c r="AD4" s="68">
        <f t="array" ref="AD4">IF($D4,SUMPRODUCT((economics!$AG$2:$AG$167=$B4)*(economics!$D$2:$D$167="process")*economics!$AH$2:$AH$167*_xlfn.NORM.DIST(AD$3,economics!$AK$2:$AK$167,economics!$AJ$2:$AJ$167,TRUE)),0)</f>
        <v/>
      </c>
      <c r="AE4" s="68">
        <f t="array" ref="AE4">IF($D4,SUMPRODUCT((economics!$AG$2:$AG$167=$B4)*(economics!$D$2:$D$167="process")*economics!$AH$2:$AH$167*_xlfn.NORM.DIST(AE$3,economics!$AK$2:$AK$167,economics!$AJ$2:$AJ$167,TRUE)),0)</f>
        <v/>
      </c>
      <c r="AF4" s="68">
        <f t="array" ref="AF4">IF($D4,SUMPRODUCT((economics!$AG$2:$AG$167=$B4)*(economics!$D$2:$D$167="process")*economics!$AH$2:$AH$167*_xlfn.NORM.DIST(AF$3,economics!$AK$2:$AK$167,economics!$AJ$2:$AJ$167,TRUE)),0)</f>
        <v/>
      </c>
      <c r="AG4" s="68">
        <f t="array" ref="AG4">IF($D4,SUMPRODUCT((economics!$AG$2:$AG$167=$B4)*(economics!$D$2:$D$167="process")*economics!$AH$2:$AH$167*_xlfn.NORM.DIST(AG$3,economics!$AK$2:$AK$167,economics!$AJ$2:$AJ$167,TRUE)),0)</f>
        <v/>
      </c>
      <c r="AH4" s="68">
        <f t="array" ref="AH4">IF($D4,SUMPRODUCT((economics!$AG$2:$AG$167=$B4)*(economics!$D$2:$D$167="process")*economics!$AH$2:$AH$167*_xlfn.NORM.DIST(AH$3,economics!$AK$2:$AK$167,economics!$AJ$2:$AJ$167,TRUE)),0)</f>
        <v/>
      </c>
      <c r="AI4" s="68">
        <f t="array" ref="AI4">IF($D4,SUMPRODUCT((economics!$AG$2:$AG$167=$B4)*(economics!$D$2:$D$167="process")*economics!$AH$2:$AH$167*_xlfn.NORM.DIST(AI$3,economics!$AK$2:$AK$167,economics!$AJ$2:$AJ$167,TRUE)),0)</f>
        <v/>
      </c>
      <c r="AJ4" s="68">
        <f t="array" ref="AJ4">IF($D4,SUMPRODUCT((economics!$AG$2:$AG$167=$B4)*(economics!$D$2:$D$167="process")*economics!$AH$2:$AH$167*_xlfn.NORM.DIST(AJ$3,economics!$AK$2:$AK$167,economics!$AJ$2:$AJ$167,TRUE)),0)</f>
        <v/>
      </c>
      <c r="AK4" s="68">
        <f t="array" ref="AK4">IF($D4,SUMPRODUCT((economics!$AG$2:$AG$167=$B4)*(economics!$D$2:$D$167="process")*economics!$AH$2:$AH$167*_xlfn.NORM.DIST(AK$3,economics!$AK$2:$AK$167,economics!$AJ$2:$AJ$167,TRUE)),0)</f>
        <v/>
      </c>
      <c r="AL4" s="68">
        <f t="array" ref="AL4">IF($D4,SUMPRODUCT((economics!$AG$2:$AG$167=$B4)*(economics!$D$2:$D$167="process")*economics!$AH$2:$AH$167*_xlfn.NORM.DIST(AL$3,economics!$AK$2:$AK$167,economics!$AJ$2:$AJ$167,TRUE)),0)</f>
        <v/>
      </c>
      <c r="AM4" s="68">
        <f t="array" ref="AM4">IF($D4,SUMPRODUCT((economics!$AG$2:$AG$167=$B4)*(economics!$D$2:$D$167="process")*economics!$AH$2:$AH$167*_xlfn.NORM.DIST(AM$3,economics!$AK$2:$AK$167,economics!$AJ$2:$AJ$167,TRUE)),0)</f>
        <v/>
      </c>
      <c r="AN4" s="68">
        <f t="array" ref="AN4">IF($D4,SUMPRODUCT((economics!$AG$2:$AG$167=$B4)*(economics!$D$2:$D$167="process")*economics!$AH$2:$AH$167*_xlfn.NORM.DIST(AN$3,economics!$AK$2:$AK$167,economics!$AJ$2:$AJ$167,TRUE)),0)</f>
        <v/>
      </c>
      <c r="AO4" s="68">
        <f t="array" ref="AO4">IF($D4,SUMPRODUCT((economics!$AG$2:$AG$167=$B4)*(economics!$D$2:$D$167="process")*economics!$AH$2:$AH$167*_xlfn.NORM.DIST(AO$3,economics!$AK$2:$AK$167,economics!$AJ$2:$AJ$167,TRUE)),0)</f>
        <v/>
      </c>
      <c r="AP4" s="68">
        <f t="array" ref="AP4">IF($D4,SUMPRODUCT((economics!$AG$2:$AG$167=$B4)*(economics!$D$2:$D$167="process")*economics!$AH$2:$AH$167*_xlfn.NORM.DIST(AP$3,economics!$AK$2:$AK$167,economics!$AJ$2:$AJ$167,TRUE)),0)</f>
        <v/>
      </c>
      <c r="AQ4" s="68">
        <f t="array" ref="AQ4">IF($D4,SUMPRODUCT((economics!$AG$2:$AG$167=$B4)*(economics!$D$2:$D$167="process")*economics!$AH$2:$AH$167*_xlfn.NORM.DIST(AQ$3,economics!$AK$2:$AK$167,economics!$AJ$2:$AJ$167,TRUE)),0)</f>
        <v/>
      </c>
      <c r="AR4" s="68">
        <f t="array" ref="AR4">IF($D4,SUMPRODUCT((economics!$AG$2:$AG$167=$B4)*(economics!$D$2:$D$167="process")*economics!$AH$2:$AH$167*_xlfn.NORM.DIST(AR$3,economics!$AK$2:$AK$167,economics!$AJ$2:$AJ$167,TRUE)),0)</f>
        <v/>
      </c>
      <c r="AS4" s="68">
        <f t="array" ref="AS4">IF($D4,SUMPRODUCT((economics!$AG$2:$AG$167=$B4)*(economics!$D$2:$D$167="process")*economics!$AH$2:$AH$167*_xlfn.NORM.DIST(AS$3,economics!$AK$2:$AK$167,economics!$AJ$2:$AJ$167,TRUE)),0)</f>
        <v/>
      </c>
      <c r="AT4" s="68">
        <f t="array" ref="AT4">IF($D4,SUMPRODUCT((economics!$AG$2:$AG$167=$B4)*(economics!$D$2:$D$167="process")*economics!$AH$2:$AH$167*_xlfn.NORM.DIST(AT$3,economics!$AK$2:$AK$167,economics!$AJ$2:$AJ$167,TRUE)),0)</f>
        <v/>
      </c>
      <c r="AU4" s="68">
        <f t="array" ref="AU4">IF($D4,SUMPRODUCT((economics!$AG$2:$AG$167=$B4)*(economics!$D$2:$D$167="process")*economics!$AH$2:$AH$167*_xlfn.NORM.DIST(AU$3,economics!$AK$2:$AK$167,economics!$AJ$2:$AJ$167,TRUE)),0)</f>
        <v/>
      </c>
      <c r="AV4" s="68">
        <f t="array" ref="AV4">IF($D4,SUMPRODUCT((economics!$AG$2:$AG$167=$B4)*(economics!$D$2:$D$167="process")*economics!$AH$2:$AH$167*_xlfn.NORM.DIST(AV$3,economics!$AK$2:$AK$167,economics!$AJ$2:$AJ$167,TRUE)),0)</f>
        <v/>
      </c>
      <c r="AW4" s="68">
        <f t="array" ref="AW4">IF($D4,SUMPRODUCT((economics!$AG$2:$AG$167=$B4)*(economics!$D$2:$D$167="process")*economics!$AH$2:$AH$167*_xlfn.NORM.DIST(AW$3,economics!$AK$2:$AK$167,economics!$AJ$2:$AJ$167,TRUE)),0)</f>
        <v/>
      </c>
      <c r="AX4" s="68">
        <f t="array" ref="AX4">IF($D4,SUMPRODUCT((economics!$AG$2:$AG$167=$B4)*(economics!$D$2:$D$167="process")*economics!$AH$2:$AH$167*_xlfn.NORM.DIST(AX$3,economics!$AK$2:$AK$167,economics!$AJ$2:$AJ$167,TRUE)),0)</f>
        <v/>
      </c>
      <c r="AY4" s="68">
        <f t="array" ref="AY4">IF($D4,SUMPRODUCT((economics!$AG$2:$AG$167=$B4)*(economics!$D$2:$D$167="process")*economics!$AH$2:$AH$167*_xlfn.NORM.DIST(AY$3,economics!$AK$2:$AK$167,economics!$AJ$2:$AJ$167,TRUE)),0)</f>
        <v/>
      </c>
      <c r="AZ4" s="68">
        <f t="array" ref="AZ4">IF($D4,SUMPRODUCT((economics!$AG$2:$AG$167=$B4)*(economics!$D$2:$D$167="process")*economics!$AH$2:$AH$167*_xlfn.NORM.DIST(AZ$3,economics!$AK$2:$AK$167,economics!$AJ$2:$AJ$167,TRUE)),0)</f>
        <v/>
      </c>
      <c r="BA4" s="68">
        <f t="array" ref="BA4">IF($D4,SUMPRODUCT((economics!$AG$2:$AG$167=$B4)*(economics!$D$2:$D$167="process")*economics!$AH$2:$AH$167*_xlfn.NORM.DIST(BA$3,economics!$AK$2:$AK$167,economics!$AJ$2:$AJ$167,TRUE)),0)</f>
        <v/>
      </c>
      <c r="BB4" s="68">
        <f t="array" ref="BB4">IF($D4,SUMPRODUCT((economics!$AG$2:$AG$167=$B4)*(economics!$D$2:$D$167="process")*economics!$AH$2:$AH$167*_xlfn.NORM.DIST(BB$3,economics!$AK$2:$AK$167,economics!$AJ$2:$AJ$167,TRUE)),0)</f>
        <v/>
      </c>
      <c r="BC4" s="68">
        <f t="array" ref="BC4">IF($D4,SUMPRODUCT((economics!$AG$2:$AG$167=$B4)*(economics!$D$2:$D$167="process")*economics!$AH$2:$AH$167*_xlfn.NORM.DIST(BC$3,economics!$AK$2:$AK$167,economics!$AJ$2:$AJ$167,TRUE)),0)</f>
        <v/>
      </c>
      <c r="BD4" s="68">
        <f t="array" ref="BD4">IF($D4,SUMPRODUCT((economics!$AG$2:$AG$167=$B4)*(economics!$D$2:$D$167="process")*economics!$AH$2:$AH$167*_xlfn.NORM.DIST(BD$3,economics!$AK$2:$AK$167,economics!$AJ$2:$AJ$167,TRUE)),0)</f>
        <v/>
      </c>
      <c r="BE4" s="68">
        <f t="array" ref="BE4">IF($D4,SUMPRODUCT((economics!$AG$2:$AG$167=$B4)*(economics!$D$2:$D$167="process")*economics!$AH$2:$AH$167*_xlfn.NORM.DIST(BE$3,economics!$AK$2:$AK$167,economics!$AJ$2:$AJ$167,TRUE)),0)</f>
        <v/>
      </c>
      <c r="BF4" s="68">
        <f t="array" ref="BF4">IF($D4,SUMPRODUCT((economics!$AG$2:$AG$167=$B4)*(economics!$D$2:$D$167="process")*economics!$AH$2:$AH$167*_xlfn.NORM.DIST(BF$3,economics!$AK$2:$AK$167,economics!$AJ$2:$AJ$167,TRUE)),0)</f>
        <v/>
      </c>
      <c r="BG4" s="68">
        <f t="array" ref="BG4">IF($D4,SUMPRODUCT((economics!$AG$2:$AG$167=$B4)*(economics!$D$2:$D$167="process")*economics!$AH$2:$AH$167*_xlfn.NORM.DIST(BG$3,economics!$AK$2:$AK$167,economics!$AJ$2:$AJ$167,TRUE)),0)</f>
        <v/>
      </c>
      <c r="BH4" s="68">
        <f t="array" ref="BH4">IF($D4,SUMPRODUCT((economics!$AG$2:$AG$167=$B4)*(economics!$D$2:$D$167="process")*economics!$AH$2:$AH$167*_xlfn.NORM.DIST(BH$3,economics!$AK$2:$AK$167,economics!$AJ$2:$AJ$167,TRUE)),0)</f>
        <v/>
      </c>
      <c r="BI4" s="68">
        <f t="array" ref="BI4">IF($D4,SUMPRODUCT((economics!$AG$2:$AG$167=$B4)*(economics!$D$2:$D$167="process")*economics!$AH$2:$AH$167*_xlfn.NORM.DIST(BI$3,economics!$AK$2:$AK$167,economics!$AJ$2:$AJ$167,TRUE)),0)</f>
        <v/>
      </c>
      <c r="BJ4" s="68">
        <f t="array" ref="BJ4">IF($D4,SUMPRODUCT((economics!$AG$2:$AG$167=$B4)*(economics!$D$2:$D$167="process")*economics!$AH$2:$AH$167*_xlfn.NORM.DIST(BJ$3,economics!$AK$2:$AK$167,economics!$AJ$2:$AJ$167,TRUE)),0)</f>
        <v/>
      </c>
      <c r="BK4" s="68">
        <f t="array" ref="BK4">IF($D4,SUMPRODUCT((economics!$AG$2:$AG$167=$B4)*(economics!$D$2:$D$167="process")*economics!$AH$2:$AH$167*_xlfn.NORM.DIST(BK$3,economics!$AK$2:$AK$167,economics!$AJ$2:$AJ$167,TRUE)),0)</f>
        <v/>
      </c>
      <c r="BL4" s="68">
        <f t="array" ref="BL4">IF($D4,SUMPRODUCT((economics!$AG$2:$AG$167=$B4)*(economics!$D$2:$D$167="process")*economics!$AH$2:$AH$167*_xlfn.NORM.DIST(BL$3,economics!$AK$2:$AK$167,economics!$AJ$2:$AJ$167,TRUE)),0)</f>
        <v/>
      </c>
      <c r="BM4" s="68">
        <f t="array" ref="BM4">IF($D4,SUMPRODUCT((economics!$AG$2:$AG$167=$B4)*(economics!$D$2:$D$167="process")*economics!$AH$2:$AH$167*_xlfn.NORM.DIST(BM$3,economics!$AK$2:$AK$167,economics!$AJ$2:$AJ$167,TRUE)),0)</f>
        <v/>
      </c>
      <c r="BN4" s="68">
        <f t="array" ref="BN4">IF($D4,SUMPRODUCT((economics!$AG$2:$AG$167=$B4)*(economics!$D$2:$D$167="process")*economics!$AH$2:$AH$167*_xlfn.NORM.DIST(BN$3,economics!$AK$2:$AK$167,economics!$AJ$2:$AJ$167,TRUE)),0)</f>
        <v/>
      </c>
      <c r="BO4" s="68">
        <f t="array" ref="BO4">IF($D4,SUMPRODUCT((economics!$AG$2:$AG$167=$B4)*(economics!$D$2:$D$167="process")*economics!$AH$2:$AH$167*_xlfn.NORM.DIST(BO$3,economics!$AK$2:$AK$167,economics!$AJ$2:$AJ$167,TRUE)),0)</f>
        <v/>
      </c>
      <c r="BP4" s="68">
        <f t="array" ref="BP4">IF($D4,SUMPRODUCT((economics!$AG$2:$AG$167=$B4)*(economics!$D$2:$D$167="process")*economics!$AH$2:$AH$167*_xlfn.NORM.DIST(BP$3,economics!$AK$2:$AK$167,economics!$AJ$2:$AJ$167,TRUE)),0)</f>
        <v/>
      </c>
      <c r="BQ4" s="68">
        <f t="array" ref="BQ4">IF($D4,SUMPRODUCT((economics!$AG$2:$AG$167=$B4)*(economics!$D$2:$D$167="process")*economics!$AH$2:$AH$167*_xlfn.NORM.DIST(BQ$3,economics!$AK$2:$AK$167,economics!$AJ$2:$AJ$167,TRUE)),0)</f>
        <v/>
      </c>
      <c r="BR4" s="68">
        <f t="array" ref="BR4">IF($D4,SUMPRODUCT((economics!$AG$2:$AG$167=$B4)*(economics!$D$2:$D$167="process")*economics!$AH$2:$AH$167*_xlfn.NORM.DIST(BR$3,economics!$AK$2:$AK$167,economics!$AJ$2:$AJ$167,TRUE)),0)</f>
        <v/>
      </c>
      <c r="BS4" s="68">
        <f t="array" ref="BS4">IF($D4,SUMPRODUCT((economics!$AG$2:$AG$167=$B4)*(economics!$D$2:$D$167="process")*economics!$AH$2:$AH$167*_xlfn.NORM.DIST(BS$3,economics!$AK$2:$AK$167,economics!$AJ$2:$AJ$167,TRUE)),0)</f>
        <v/>
      </c>
      <c r="BT4" s="68">
        <f t="array" ref="BT4">IF($D4,SUMPRODUCT((economics!$AG$2:$AG$167=$B4)*(economics!$D$2:$D$167="process")*economics!$AH$2:$AH$167*_xlfn.NORM.DIST(BT$3,economics!$AK$2:$AK$167,economics!$AJ$2:$AJ$167,TRUE)),0)</f>
        <v/>
      </c>
      <c r="BU4" s="68">
        <f t="array" ref="BU4">IF($D4,SUMPRODUCT((economics!$AG$2:$AG$167=$B4)*(economics!$D$2:$D$167="process")*economics!$AH$2:$AH$167*_xlfn.NORM.DIST(BU$3,economics!$AK$2:$AK$167,economics!$AJ$2:$AJ$167,TRUE)),0)</f>
        <v/>
      </c>
      <c r="BV4" s="68">
        <f t="array" ref="BV4">IF($D4,SUMPRODUCT((economics!$AG$2:$AG$167=$B4)*(economics!$D$2:$D$167="process")*economics!$AH$2:$AH$167*_xlfn.NORM.DIST(BV$3,economics!$AK$2:$AK$167,economics!$AJ$2:$AJ$167,TRUE)),0)</f>
        <v/>
      </c>
      <c r="BW4" s="68">
        <f t="array" ref="BW4">IF($D4,SUMPRODUCT((economics!$AG$2:$AG$167=$B4)*(economics!$D$2:$D$167="process")*economics!$AH$2:$AH$167*_xlfn.NORM.DIST(BW$3,economics!$AK$2:$AK$167,economics!$AJ$2:$AJ$167,TRUE)),0)</f>
        <v/>
      </c>
      <c r="BX4" s="68">
        <f t="array" ref="BX4">IF($D4,SUMPRODUCT((economics!$AG$2:$AG$167=$B4)*(economics!$D$2:$D$167="process")*economics!$AH$2:$AH$167*_xlfn.NORM.DIST(BX$3,economics!$AK$2:$AK$167,economics!$AJ$2:$AJ$167,TRUE)),0)</f>
        <v/>
      </c>
      <c r="BY4" s="68">
        <f t="array" ref="BY4">IF($D4,SUMPRODUCT((economics!$AG$2:$AG$167=$B4)*(economics!$D$2:$D$167="process")*economics!$AH$2:$AH$167*_xlfn.NORM.DIST(BY$3,economics!$AK$2:$AK$167,economics!$AJ$2:$AJ$167,TRUE)),0)</f>
        <v/>
      </c>
      <c r="BZ4" s="68">
        <f t="array" ref="BZ4">IF($D4,SUMPRODUCT((economics!$AG$2:$AG$167=$B4)*(economics!$D$2:$D$167="process")*economics!$AH$2:$AH$167*_xlfn.NORM.DIST(BZ$3,economics!$AK$2:$AK$167,economics!$AJ$2:$AJ$167,TRUE)),0)</f>
        <v/>
      </c>
      <c r="CA4" s="68">
        <f t="array" ref="CA4">IF($D4,SUMPRODUCT((economics!$AG$2:$AG$167=$B4)*(economics!$D$2:$D$167="process")*economics!$AH$2:$AH$167*_xlfn.NORM.DIST(CA$3,economics!$AK$2:$AK$167,economics!$AJ$2:$AJ$167,TRUE)),0)</f>
        <v/>
      </c>
      <c r="CB4" s="68">
        <f t="array" ref="CB4">IF($D4,SUMPRODUCT((economics!$AG$2:$AG$167=$B4)*(economics!$D$2:$D$167="process")*economics!$AH$2:$AH$167*_xlfn.NORM.DIST(CB$3,economics!$AK$2:$AK$167,economics!$AJ$2:$AJ$167,TRUE)),0)</f>
        <v/>
      </c>
      <c r="CC4" s="68">
        <f t="array" ref="CC4">IF($D4,SUMPRODUCT((economics!$AG$2:$AG$167=$B4)*(economics!$D$2:$D$167="process")*economics!$AH$2:$AH$167*_xlfn.NORM.DIST(CC$3,economics!$AK$2:$AK$167,economics!$AJ$2:$AJ$167,TRUE)),0)</f>
        <v/>
      </c>
      <c r="CD4" s="68">
        <f t="array" ref="CD4">IF($D4,SUMPRODUCT((economics!$AG$2:$AG$167=$B4)*(economics!$D$2:$D$167="process")*economics!$AH$2:$AH$167*_xlfn.NORM.DIST(CD$3,economics!$AK$2:$AK$167,economics!$AJ$2:$AJ$167,TRUE)),0)</f>
        <v/>
      </c>
      <c r="CE4" s="68">
        <f t="array" ref="CE4">IF($D4,SUMPRODUCT((economics!$AG$2:$AG$167=$B4)*(economics!$D$2:$D$167="process")*economics!$AH$2:$AH$167*_xlfn.NORM.DIST(CE$3,economics!$AK$2:$AK$167,economics!$AJ$2:$AJ$167,TRUE)),0)</f>
        <v/>
      </c>
      <c r="CF4" s="68">
        <f t="array" ref="CF4">IF($D4,SUMPRODUCT((economics!$AG$2:$AG$167=$B4)*(economics!$D$2:$D$167="process")*economics!$AH$2:$AH$167*_xlfn.NORM.DIST(CF$3,economics!$AK$2:$AK$167,economics!$AJ$2:$AJ$167,TRUE)),0)</f>
        <v/>
      </c>
      <c r="CG4" s="68">
        <f t="array" ref="CG4">IF($D4,SUMPRODUCT((economics!$AG$2:$AG$167=$B4)*(economics!$D$2:$D$167="process")*economics!$AH$2:$AH$167*_xlfn.NORM.DIST(CG$3,economics!$AK$2:$AK$167,economics!$AJ$2:$AJ$167,TRUE)),0)</f>
        <v/>
      </c>
      <c r="CH4" s="68">
        <f t="array" ref="CH4">IF($D4,SUMPRODUCT((economics!$AG$2:$AG$167=$B4)*(economics!$D$2:$D$167="process")*economics!$AH$2:$AH$167*_xlfn.NORM.DIST(CH$3,economics!$AK$2:$AK$167,economics!$AJ$2:$AJ$167,TRUE)),0)</f>
        <v/>
      </c>
    </row>
    <row r="5">
      <c r="A5">
        <f>WHRPbI!A3</f>
        <v/>
      </c>
      <c r="B5" t="n">
        <v>5</v>
      </c>
      <c r="C5" s="68">
        <f>WHRPbI!B3</f>
        <v/>
      </c>
      <c r="D5">
        <f>ISNUMBER(MATCH($B5,'energy base (MECS)'!$K$4:$K$9,0))</f>
        <v/>
      </c>
      <c r="E5" s="68">
        <f t="array" ref="E5">IF($D5,SUMPRODUCT((economics!$AG$2:$AG$167=$B5)*(economics!$D$2:$D$167="process")*economics!$AH$2:$AH$167*_xlfn.NORM.DIST(E$3,economics!$AK$2:$AK$167,economics!$AJ$2:$AJ$167,TRUE)),0)</f>
        <v/>
      </c>
      <c r="F5" s="68">
        <f t="array" ref="F5">IF($D5,SUMPRODUCT((economics!$AG$2:$AG$167=$B5)*(economics!$D$2:$D$167="process")*economics!$AH$2:$AH$167*_xlfn.NORM.DIST(F$3,economics!$AK$2:$AK$167,economics!$AJ$2:$AJ$167,TRUE)),0)</f>
        <v/>
      </c>
      <c r="G5" s="68">
        <f t="array" ref="G5">IF($D5,SUMPRODUCT((economics!$AG$2:$AG$167=$B5)*(economics!$D$2:$D$167="process")*economics!$AH$2:$AH$167*_xlfn.NORM.DIST(G$3,economics!$AK$2:$AK$167,economics!$AJ$2:$AJ$167,TRUE)),0)</f>
        <v/>
      </c>
      <c r="H5" s="68">
        <f t="array" ref="H5">IF($D5,SUMPRODUCT((economics!$AG$2:$AG$167=$B5)*(economics!$D$2:$D$167="process")*economics!$AH$2:$AH$167*_xlfn.NORM.DIST(H$3,economics!$AK$2:$AK$167,economics!$AJ$2:$AJ$167,TRUE)),0)</f>
        <v/>
      </c>
      <c r="I5" s="68">
        <f t="array" ref="I5">IF($D5,SUMPRODUCT((economics!$AG$2:$AG$167=$B5)*(economics!$D$2:$D$167="process")*economics!$AH$2:$AH$167*_xlfn.NORM.DIST(I$3,economics!$AK$2:$AK$167,economics!$AJ$2:$AJ$167,TRUE)),0)</f>
        <v/>
      </c>
      <c r="J5" s="68">
        <f t="array" ref="J5">IF($D5,SUMPRODUCT((economics!$AG$2:$AG$167=$B5)*(economics!$D$2:$D$167="process")*economics!$AH$2:$AH$167*_xlfn.NORM.DIST(J$3,economics!$AK$2:$AK$167,economics!$AJ$2:$AJ$167,TRUE)),0)</f>
        <v/>
      </c>
      <c r="K5" s="68">
        <f t="array" ref="K5">IF($D5,SUMPRODUCT((economics!$AG$2:$AG$167=$B5)*(economics!$D$2:$D$167="process")*economics!$AH$2:$AH$167*_xlfn.NORM.DIST(K$3,economics!$AK$2:$AK$167,economics!$AJ$2:$AJ$167,TRUE)),0)</f>
        <v/>
      </c>
      <c r="L5" s="68">
        <f t="array" ref="L5">IF($D5,SUMPRODUCT((economics!$AG$2:$AG$167=$B5)*(economics!$D$2:$D$167="process")*economics!$AH$2:$AH$167*_xlfn.NORM.DIST(L$3,economics!$AK$2:$AK$167,economics!$AJ$2:$AJ$167,TRUE)),0)</f>
        <v/>
      </c>
      <c r="M5" s="68">
        <f t="array" ref="M5">IF($D5,SUMPRODUCT((economics!$AG$2:$AG$167=$B5)*(economics!$D$2:$D$167="process")*economics!$AH$2:$AH$167*_xlfn.NORM.DIST(M$3,economics!$AK$2:$AK$167,economics!$AJ$2:$AJ$167,TRUE)),0)</f>
        <v/>
      </c>
      <c r="N5" s="68">
        <f t="array" ref="N5">IF($D5,SUMPRODUCT((economics!$AG$2:$AG$167=$B5)*(economics!$D$2:$D$167="process")*economics!$AH$2:$AH$167*_xlfn.NORM.DIST(N$3,economics!$AK$2:$AK$167,economics!$AJ$2:$AJ$167,TRUE)),0)</f>
        <v/>
      </c>
      <c r="O5" s="68">
        <f t="array" ref="O5">IF($D5,SUMPRODUCT((economics!$AG$2:$AG$167=$B5)*(economics!$D$2:$D$167="process")*economics!$AH$2:$AH$167*_xlfn.NORM.DIST(O$3,economics!$AK$2:$AK$167,economics!$AJ$2:$AJ$167,TRUE)),0)</f>
        <v/>
      </c>
      <c r="P5" s="68">
        <f t="array" ref="P5">IF($D5,SUMPRODUCT((economics!$AG$2:$AG$167=$B5)*(economics!$D$2:$D$167="process")*economics!$AH$2:$AH$167*_xlfn.NORM.DIST(P$3,economics!$AK$2:$AK$167,economics!$AJ$2:$AJ$167,TRUE)),0)</f>
        <v/>
      </c>
      <c r="Q5" s="68">
        <f t="array" ref="Q5">IF($D5,SUMPRODUCT((economics!$AG$2:$AG$167=$B5)*(economics!$D$2:$D$167="process")*economics!$AH$2:$AH$167*_xlfn.NORM.DIST(Q$3,economics!$AK$2:$AK$167,economics!$AJ$2:$AJ$167,TRUE)),0)</f>
        <v/>
      </c>
      <c r="R5" s="68">
        <f t="array" ref="R5">IF($D5,SUMPRODUCT((economics!$AG$2:$AG$167=$B5)*(economics!$D$2:$D$167="process")*economics!$AH$2:$AH$167*_xlfn.NORM.DIST(R$3,economics!$AK$2:$AK$167,economics!$AJ$2:$AJ$167,TRUE)),0)</f>
        <v/>
      </c>
      <c r="S5" s="68">
        <f t="array" ref="S5">IF($D5,SUMPRODUCT((economics!$AG$2:$AG$167=$B5)*(economics!$D$2:$D$167="process")*economics!$AH$2:$AH$167*_xlfn.NORM.DIST(S$3,economics!$AK$2:$AK$167,economics!$AJ$2:$AJ$167,TRUE)),0)</f>
        <v/>
      </c>
      <c r="T5" s="68">
        <f t="array" ref="T5">IF($D5,SUMPRODUCT((economics!$AG$2:$AG$167=$B5)*(economics!$D$2:$D$167="process")*economics!$AH$2:$AH$167*_xlfn.NORM.DIST(T$3,economics!$AK$2:$AK$167,economics!$AJ$2:$AJ$167,TRUE)),0)</f>
        <v/>
      </c>
      <c r="U5" s="68">
        <f t="array" ref="U5">IF($D5,SUMPRODUCT((economics!$AG$2:$AG$167=$B5)*(economics!$D$2:$D$167="process")*economics!$AH$2:$AH$167*_xlfn.NORM.DIST(U$3,economics!$AK$2:$AK$167,economics!$AJ$2:$AJ$167,TRUE)),0)</f>
        <v/>
      </c>
      <c r="V5" s="68">
        <f t="array" ref="V5">IF($D5,SUMPRODUCT((economics!$AG$2:$AG$167=$B5)*(economics!$D$2:$D$167="process")*economics!$AH$2:$AH$167*_xlfn.NORM.DIST(V$3,economics!$AK$2:$AK$167,economics!$AJ$2:$AJ$167,TRUE)),0)</f>
        <v/>
      </c>
      <c r="W5" s="68">
        <f t="array" ref="W5">IF($D5,SUMPRODUCT((economics!$AG$2:$AG$167=$B5)*(economics!$D$2:$D$167="process")*economics!$AH$2:$AH$167*_xlfn.NORM.DIST(W$3,economics!$AK$2:$AK$167,economics!$AJ$2:$AJ$167,TRUE)),0)</f>
        <v/>
      </c>
      <c r="X5" s="68">
        <f t="array" ref="X5">IF($D5,SUMPRODUCT((economics!$AG$2:$AG$167=$B5)*(economics!$D$2:$D$167="process")*economics!$AH$2:$AH$167*_xlfn.NORM.DIST(X$3,economics!$AK$2:$AK$167,economics!$AJ$2:$AJ$167,TRUE)),0)</f>
        <v/>
      </c>
      <c r="Y5" s="68">
        <f t="array" ref="Y5">IF($D5,SUMPRODUCT((economics!$AG$2:$AG$167=$B5)*(economics!$D$2:$D$167="process")*economics!$AH$2:$AH$167*_xlfn.NORM.DIST(Y$3,economics!$AK$2:$AK$167,economics!$AJ$2:$AJ$167,TRUE)),0)</f>
        <v/>
      </c>
      <c r="Z5" s="68">
        <f t="array" ref="Z5">IF($D5,SUMPRODUCT((economics!$AG$2:$AG$167=$B5)*(economics!$D$2:$D$167="process")*economics!$AH$2:$AH$167*_xlfn.NORM.DIST(Z$3,economics!$AK$2:$AK$167,economics!$AJ$2:$AJ$167,TRUE)),0)</f>
        <v/>
      </c>
      <c r="AA5" s="68">
        <f t="array" ref="AA5">IF($D5,SUMPRODUCT((economics!$AG$2:$AG$167=$B5)*(economics!$D$2:$D$167="process")*economics!$AH$2:$AH$167*_xlfn.NORM.DIST(AA$3,economics!$AK$2:$AK$167,economics!$AJ$2:$AJ$167,TRUE)),0)</f>
        <v/>
      </c>
      <c r="AB5" s="68">
        <f t="array" ref="AB5">IF($D5,SUMPRODUCT((economics!$AG$2:$AG$167=$B5)*(economics!$D$2:$D$167="process")*economics!$AH$2:$AH$167*_xlfn.NORM.DIST(AB$3,economics!$AK$2:$AK$167,economics!$AJ$2:$AJ$167,TRUE)),0)</f>
        <v/>
      </c>
      <c r="AC5" s="68">
        <f t="array" ref="AC5">IF($D5,SUMPRODUCT((economics!$AG$2:$AG$167=$B5)*(economics!$D$2:$D$167="process")*economics!$AH$2:$AH$167*_xlfn.NORM.DIST(AC$3,economics!$AK$2:$AK$167,economics!$AJ$2:$AJ$167,TRUE)),0)</f>
        <v/>
      </c>
      <c r="AD5" s="68">
        <f t="array" ref="AD5">IF($D5,SUMPRODUCT((economics!$AG$2:$AG$167=$B5)*(economics!$D$2:$D$167="process")*economics!$AH$2:$AH$167*_xlfn.NORM.DIST(AD$3,economics!$AK$2:$AK$167,economics!$AJ$2:$AJ$167,TRUE)),0)</f>
        <v/>
      </c>
      <c r="AE5" s="68">
        <f t="array" ref="AE5">IF($D5,SUMPRODUCT((economics!$AG$2:$AG$167=$B5)*(economics!$D$2:$D$167="process")*economics!$AH$2:$AH$167*_xlfn.NORM.DIST(AE$3,economics!$AK$2:$AK$167,economics!$AJ$2:$AJ$167,TRUE)),0)</f>
        <v/>
      </c>
      <c r="AF5" s="68">
        <f t="array" ref="AF5">IF($D5,SUMPRODUCT((economics!$AG$2:$AG$167=$B5)*(economics!$D$2:$D$167="process")*economics!$AH$2:$AH$167*_xlfn.NORM.DIST(AF$3,economics!$AK$2:$AK$167,economics!$AJ$2:$AJ$167,TRUE)),0)</f>
        <v/>
      </c>
      <c r="AG5" s="68">
        <f t="array" ref="AG5">IF($D5,SUMPRODUCT((economics!$AG$2:$AG$167=$B5)*(economics!$D$2:$D$167="process")*economics!$AH$2:$AH$167*_xlfn.NORM.DIST(AG$3,economics!$AK$2:$AK$167,economics!$AJ$2:$AJ$167,TRUE)),0)</f>
        <v/>
      </c>
      <c r="AH5" s="68">
        <f t="array" ref="AH5">IF($D5,SUMPRODUCT((economics!$AG$2:$AG$167=$B5)*(economics!$D$2:$D$167="process")*economics!$AH$2:$AH$167*_xlfn.NORM.DIST(AH$3,economics!$AK$2:$AK$167,economics!$AJ$2:$AJ$167,TRUE)),0)</f>
        <v/>
      </c>
      <c r="AI5" s="68">
        <f t="array" ref="AI5">IF($D5,SUMPRODUCT((economics!$AG$2:$AG$167=$B5)*(economics!$D$2:$D$167="process")*economics!$AH$2:$AH$167*_xlfn.NORM.DIST(AI$3,economics!$AK$2:$AK$167,economics!$AJ$2:$AJ$167,TRUE)),0)</f>
        <v/>
      </c>
      <c r="AJ5" s="68">
        <f t="array" ref="AJ5">IF($D5,SUMPRODUCT((economics!$AG$2:$AG$167=$B5)*(economics!$D$2:$D$167="process")*economics!$AH$2:$AH$167*_xlfn.NORM.DIST(AJ$3,economics!$AK$2:$AK$167,economics!$AJ$2:$AJ$167,TRUE)),0)</f>
        <v/>
      </c>
      <c r="AK5" s="68">
        <f t="array" ref="AK5">IF($D5,SUMPRODUCT((economics!$AG$2:$AG$167=$B5)*(economics!$D$2:$D$167="process")*economics!$AH$2:$AH$167*_xlfn.NORM.DIST(AK$3,economics!$AK$2:$AK$167,economics!$AJ$2:$AJ$167,TRUE)),0)</f>
        <v/>
      </c>
      <c r="AL5" s="68">
        <f t="array" ref="AL5">IF($D5,SUMPRODUCT((economics!$AG$2:$AG$167=$B5)*(economics!$D$2:$D$167="process")*economics!$AH$2:$AH$167*_xlfn.NORM.DIST(AL$3,economics!$AK$2:$AK$167,economics!$AJ$2:$AJ$167,TRUE)),0)</f>
        <v/>
      </c>
      <c r="AM5" s="68">
        <f t="array" ref="AM5">IF($D5,SUMPRODUCT((economics!$AG$2:$AG$167=$B5)*(economics!$D$2:$D$167="process")*economics!$AH$2:$AH$167*_xlfn.NORM.DIST(AM$3,economics!$AK$2:$AK$167,economics!$AJ$2:$AJ$167,TRUE)),0)</f>
        <v/>
      </c>
      <c r="AN5" s="68">
        <f t="array" ref="AN5">IF($D5,SUMPRODUCT((economics!$AG$2:$AG$167=$B5)*(economics!$D$2:$D$167="process")*economics!$AH$2:$AH$167*_xlfn.NORM.DIST(AN$3,economics!$AK$2:$AK$167,economics!$AJ$2:$AJ$167,TRUE)),0)</f>
        <v/>
      </c>
      <c r="AO5" s="68">
        <f t="array" ref="AO5">IF($D5,SUMPRODUCT((economics!$AG$2:$AG$167=$B5)*(economics!$D$2:$D$167="process")*economics!$AH$2:$AH$167*_xlfn.NORM.DIST(AO$3,economics!$AK$2:$AK$167,economics!$AJ$2:$AJ$167,TRUE)),0)</f>
        <v/>
      </c>
      <c r="AP5" s="68">
        <f t="array" ref="AP5">IF($D5,SUMPRODUCT((economics!$AG$2:$AG$167=$B5)*(economics!$D$2:$D$167="process")*economics!$AH$2:$AH$167*_xlfn.NORM.DIST(AP$3,economics!$AK$2:$AK$167,economics!$AJ$2:$AJ$167,TRUE)),0)</f>
        <v/>
      </c>
      <c r="AQ5" s="68">
        <f t="array" ref="AQ5">IF($D5,SUMPRODUCT((economics!$AG$2:$AG$167=$B5)*(economics!$D$2:$D$167="process")*economics!$AH$2:$AH$167*_xlfn.NORM.DIST(AQ$3,economics!$AK$2:$AK$167,economics!$AJ$2:$AJ$167,TRUE)),0)</f>
        <v/>
      </c>
      <c r="AR5" s="68">
        <f t="array" ref="AR5">IF($D5,SUMPRODUCT((economics!$AG$2:$AG$167=$B5)*(economics!$D$2:$D$167="process")*economics!$AH$2:$AH$167*_xlfn.NORM.DIST(AR$3,economics!$AK$2:$AK$167,economics!$AJ$2:$AJ$167,TRUE)),0)</f>
        <v/>
      </c>
      <c r="AS5" s="68">
        <f t="array" ref="AS5">IF($D5,SUMPRODUCT((economics!$AG$2:$AG$167=$B5)*(economics!$D$2:$D$167="process")*economics!$AH$2:$AH$167*_xlfn.NORM.DIST(AS$3,economics!$AK$2:$AK$167,economics!$AJ$2:$AJ$167,TRUE)),0)</f>
        <v/>
      </c>
      <c r="AT5" s="68">
        <f t="array" ref="AT5">IF($D5,SUMPRODUCT((economics!$AG$2:$AG$167=$B5)*(economics!$D$2:$D$167="process")*economics!$AH$2:$AH$167*_xlfn.NORM.DIST(AT$3,economics!$AK$2:$AK$167,economics!$AJ$2:$AJ$167,TRUE)),0)</f>
        <v/>
      </c>
      <c r="AU5" s="68">
        <f t="array" ref="AU5">IF($D5,SUMPRODUCT((economics!$AG$2:$AG$167=$B5)*(economics!$D$2:$D$167="process")*economics!$AH$2:$AH$167*_xlfn.NORM.DIST(AU$3,economics!$AK$2:$AK$167,economics!$AJ$2:$AJ$167,TRUE)),0)</f>
        <v/>
      </c>
      <c r="AV5" s="68">
        <f t="array" ref="AV5">IF($D5,SUMPRODUCT((economics!$AG$2:$AG$167=$B5)*(economics!$D$2:$D$167="process")*economics!$AH$2:$AH$167*_xlfn.NORM.DIST(AV$3,economics!$AK$2:$AK$167,economics!$AJ$2:$AJ$167,TRUE)),0)</f>
        <v/>
      </c>
      <c r="AW5" s="68">
        <f t="array" ref="AW5">IF($D5,SUMPRODUCT((economics!$AG$2:$AG$167=$B5)*(economics!$D$2:$D$167="process")*economics!$AH$2:$AH$167*_xlfn.NORM.DIST(AW$3,economics!$AK$2:$AK$167,economics!$AJ$2:$AJ$167,TRUE)),0)</f>
        <v/>
      </c>
      <c r="AX5" s="68">
        <f t="array" ref="AX5">IF($D5,SUMPRODUCT((economics!$AG$2:$AG$167=$B5)*(economics!$D$2:$D$167="process")*economics!$AH$2:$AH$167*_xlfn.NORM.DIST(AX$3,economics!$AK$2:$AK$167,economics!$AJ$2:$AJ$167,TRUE)),0)</f>
        <v/>
      </c>
      <c r="AY5" s="68">
        <f t="array" ref="AY5">IF($D5,SUMPRODUCT((economics!$AG$2:$AG$167=$B5)*(economics!$D$2:$D$167="process")*economics!$AH$2:$AH$167*_xlfn.NORM.DIST(AY$3,economics!$AK$2:$AK$167,economics!$AJ$2:$AJ$167,TRUE)),0)</f>
        <v/>
      </c>
      <c r="AZ5" s="68">
        <f t="array" ref="AZ5">IF($D5,SUMPRODUCT((economics!$AG$2:$AG$167=$B5)*(economics!$D$2:$D$167="process")*economics!$AH$2:$AH$167*_xlfn.NORM.DIST(AZ$3,economics!$AK$2:$AK$167,economics!$AJ$2:$AJ$167,TRUE)),0)</f>
        <v/>
      </c>
      <c r="BA5" s="68">
        <f t="array" ref="BA5">IF($D5,SUMPRODUCT((economics!$AG$2:$AG$167=$B5)*(economics!$D$2:$D$167="process")*economics!$AH$2:$AH$167*_xlfn.NORM.DIST(BA$3,economics!$AK$2:$AK$167,economics!$AJ$2:$AJ$167,TRUE)),0)</f>
        <v/>
      </c>
      <c r="BB5" s="68">
        <f t="array" ref="BB5">IF($D5,SUMPRODUCT((economics!$AG$2:$AG$167=$B5)*(economics!$D$2:$D$167="process")*economics!$AH$2:$AH$167*_xlfn.NORM.DIST(BB$3,economics!$AK$2:$AK$167,economics!$AJ$2:$AJ$167,TRUE)),0)</f>
        <v/>
      </c>
      <c r="BC5" s="68">
        <f t="array" ref="BC5">IF($D5,SUMPRODUCT((economics!$AG$2:$AG$167=$B5)*(economics!$D$2:$D$167="process")*economics!$AH$2:$AH$167*_xlfn.NORM.DIST(BC$3,economics!$AK$2:$AK$167,economics!$AJ$2:$AJ$167,TRUE)),0)</f>
        <v/>
      </c>
      <c r="BD5" s="68">
        <f t="array" ref="BD5">IF($D5,SUMPRODUCT((economics!$AG$2:$AG$167=$B5)*(economics!$D$2:$D$167="process")*economics!$AH$2:$AH$167*_xlfn.NORM.DIST(BD$3,economics!$AK$2:$AK$167,economics!$AJ$2:$AJ$167,TRUE)),0)</f>
        <v/>
      </c>
      <c r="BE5" s="68">
        <f t="array" ref="BE5">IF($D5,SUMPRODUCT((economics!$AG$2:$AG$167=$B5)*(economics!$D$2:$D$167="process")*economics!$AH$2:$AH$167*_xlfn.NORM.DIST(BE$3,economics!$AK$2:$AK$167,economics!$AJ$2:$AJ$167,TRUE)),0)</f>
        <v/>
      </c>
      <c r="BF5" s="68">
        <f t="array" ref="BF5">IF($D5,SUMPRODUCT((economics!$AG$2:$AG$167=$B5)*(economics!$D$2:$D$167="process")*economics!$AH$2:$AH$167*_xlfn.NORM.DIST(BF$3,economics!$AK$2:$AK$167,economics!$AJ$2:$AJ$167,TRUE)),0)</f>
        <v/>
      </c>
      <c r="BG5" s="68">
        <f t="array" ref="BG5">IF($D5,SUMPRODUCT((economics!$AG$2:$AG$167=$B5)*(economics!$D$2:$D$167="process")*economics!$AH$2:$AH$167*_xlfn.NORM.DIST(BG$3,economics!$AK$2:$AK$167,economics!$AJ$2:$AJ$167,TRUE)),0)</f>
        <v/>
      </c>
      <c r="BH5" s="68">
        <f t="array" ref="BH5">IF($D5,SUMPRODUCT((economics!$AG$2:$AG$167=$B5)*(economics!$D$2:$D$167="process")*economics!$AH$2:$AH$167*_xlfn.NORM.DIST(BH$3,economics!$AK$2:$AK$167,economics!$AJ$2:$AJ$167,TRUE)),0)</f>
        <v/>
      </c>
      <c r="BI5" s="68">
        <f t="array" ref="BI5">IF($D5,SUMPRODUCT((economics!$AG$2:$AG$167=$B5)*(economics!$D$2:$D$167="process")*economics!$AH$2:$AH$167*_xlfn.NORM.DIST(BI$3,economics!$AK$2:$AK$167,economics!$AJ$2:$AJ$167,TRUE)),0)</f>
        <v/>
      </c>
      <c r="BJ5" s="68">
        <f t="array" ref="BJ5">IF($D5,SUMPRODUCT((economics!$AG$2:$AG$167=$B5)*(economics!$D$2:$D$167="process")*economics!$AH$2:$AH$167*_xlfn.NORM.DIST(BJ$3,economics!$AK$2:$AK$167,economics!$AJ$2:$AJ$167,TRUE)),0)</f>
        <v/>
      </c>
      <c r="BK5" s="68">
        <f t="array" ref="BK5">IF($D5,SUMPRODUCT((economics!$AG$2:$AG$167=$B5)*(economics!$D$2:$D$167="process")*economics!$AH$2:$AH$167*_xlfn.NORM.DIST(BK$3,economics!$AK$2:$AK$167,economics!$AJ$2:$AJ$167,TRUE)),0)</f>
        <v/>
      </c>
      <c r="BL5" s="68">
        <f t="array" ref="BL5">IF($D5,SUMPRODUCT((economics!$AG$2:$AG$167=$B5)*(economics!$D$2:$D$167="process")*economics!$AH$2:$AH$167*_xlfn.NORM.DIST(BL$3,economics!$AK$2:$AK$167,economics!$AJ$2:$AJ$167,TRUE)),0)</f>
        <v/>
      </c>
      <c r="BM5" s="68">
        <f t="array" ref="BM5">IF($D5,SUMPRODUCT((economics!$AG$2:$AG$167=$B5)*(economics!$D$2:$D$167="process")*economics!$AH$2:$AH$167*_xlfn.NORM.DIST(BM$3,economics!$AK$2:$AK$167,economics!$AJ$2:$AJ$167,TRUE)),0)</f>
        <v/>
      </c>
      <c r="BN5" s="68">
        <f t="array" ref="BN5">IF($D5,SUMPRODUCT((economics!$AG$2:$AG$167=$B5)*(economics!$D$2:$D$167="process")*economics!$AH$2:$AH$167*_xlfn.NORM.DIST(BN$3,economics!$AK$2:$AK$167,economics!$AJ$2:$AJ$167,TRUE)),0)</f>
        <v/>
      </c>
      <c r="BO5" s="68">
        <f t="array" ref="BO5">IF($D5,SUMPRODUCT((economics!$AG$2:$AG$167=$B5)*(economics!$D$2:$D$167="process")*economics!$AH$2:$AH$167*_xlfn.NORM.DIST(BO$3,economics!$AK$2:$AK$167,economics!$AJ$2:$AJ$167,TRUE)),0)</f>
        <v/>
      </c>
      <c r="BP5" s="68">
        <f t="array" ref="BP5">IF($D5,SUMPRODUCT((economics!$AG$2:$AG$167=$B5)*(economics!$D$2:$D$167="process")*economics!$AH$2:$AH$167*_xlfn.NORM.DIST(BP$3,economics!$AK$2:$AK$167,economics!$AJ$2:$AJ$167,TRUE)),0)</f>
        <v/>
      </c>
      <c r="BQ5" s="68">
        <f t="array" ref="BQ5">IF($D5,SUMPRODUCT((economics!$AG$2:$AG$167=$B5)*(economics!$D$2:$D$167="process")*economics!$AH$2:$AH$167*_xlfn.NORM.DIST(BQ$3,economics!$AK$2:$AK$167,economics!$AJ$2:$AJ$167,TRUE)),0)</f>
        <v/>
      </c>
      <c r="BR5" s="68">
        <f t="array" ref="BR5">IF($D5,SUMPRODUCT((economics!$AG$2:$AG$167=$B5)*(economics!$D$2:$D$167="process")*economics!$AH$2:$AH$167*_xlfn.NORM.DIST(BR$3,economics!$AK$2:$AK$167,economics!$AJ$2:$AJ$167,TRUE)),0)</f>
        <v/>
      </c>
      <c r="BS5" s="68">
        <f t="array" ref="BS5">IF($D5,SUMPRODUCT((economics!$AG$2:$AG$167=$B5)*(economics!$D$2:$D$167="process")*economics!$AH$2:$AH$167*_xlfn.NORM.DIST(BS$3,economics!$AK$2:$AK$167,economics!$AJ$2:$AJ$167,TRUE)),0)</f>
        <v/>
      </c>
      <c r="BT5" s="68">
        <f t="array" ref="BT5">IF($D5,SUMPRODUCT((economics!$AG$2:$AG$167=$B5)*(economics!$D$2:$D$167="process")*economics!$AH$2:$AH$167*_xlfn.NORM.DIST(BT$3,economics!$AK$2:$AK$167,economics!$AJ$2:$AJ$167,TRUE)),0)</f>
        <v/>
      </c>
      <c r="BU5" s="68">
        <f t="array" ref="BU5">IF($D5,SUMPRODUCT((economics!$AG$2:$AG$167=$B5)*(economics!$D$2:$D$167="process")*economics!$AH$2:$AH$167*_xlfn.NORM.DIST(BU$3,economics!$AK$2:$AK$167,economics!$AJ$2:$AJ$167,TRUE)),0)</f>
        <v/>
      </c>
      <c r="BV5" s="68">
        <f t="array" ref="BV5">IF($D5,SUMPRODUCT((economics!$AG$2:$AG$167=$B5)*(economics!$D$2:$D$167="process")*economics!$AH$2:$AH$167*_xlfn.NORM.DIST(BV$3,economics!$AK$2:$AK$167,economics!$AJ$2:$AJ$167,TRUE)),0)</f>
        <v/>
      </c>
      <c r="BW5" s="68">
        <f t="array" ref="BW5">IF($D5,SUMPRODUCT((economics!$AG$2:$AG$167=$B5)*(economics!$D$2:$D$167="process")*economics!$AH$2:$AH$167*_xlfn.NORM.DIST(BW$3,economics!$AK$2:$AK$167,economics!$AJ$2:$AJ$167,TRUE)),0)</f>
        <v/>
      </c>
      <c r="BX5" s="68">
        <f t="array" ref="BX5">IF($D5,SUMPRODUCT((economics!$AG$2:$AG$167=$B5)*(economics!$D$2:$D$167="process")*economics!$AH$2:$AH$167*_xlfn.NORM.DIST(BX$3,economics!$AK$2:$AK$167,economics!$AJ$2:$AJ$167,TRUE)),0)</f>
        <v/>
      </c>
      <c r="BY5" s="68">
        <f t="array" ref="BY5">IF($D5,SUMPRODUCT((economics!$AG$2:$AG$167=$B5)*(economics!$D$2:$D$167="process")*economics!$AH$2:$AH$167*_xlfn.NORM.DIST(BY$3,economics!$AK$2:$AK$167,economics!$AJ$2:$AJ$167,TRUE)),0)</f>
        <v/>
      </c>
      <c r="BZ5" s="68">
        <f t="array" ref="BZ5">IF($D5,SUMPRODUCT((economics!$AG$2:$AG$167=$B5)*(economics!$D$2:$D$167="process")*economics!$AH$2:$AH$167*_xlfn.NORM.DIST(BZ$3,economics!$AK$2:$AK$167,economics!$AJ$2:$AJ$167,TRUE)),0)</f>
        <v/>
      </c>
      <c r="CA5" s="68">
        <f t="array" ref="CA5">IF($D5,SUMPRODUCT((economics!$AG$2:$AG$167=$B5)*(economics!$D$2:$D$167="process")*economics!$AH$2:$AH$167*_xlfn.NORM.DIST(CA$3,economics!$AK$2:$AK$167,economics!$AJ$2:$AJ$167,TRUE)),0)</f>
        <v/>
      </c>
      <c r="CB5" s="68">
        <f t="array" ref="CB5">IF($D5,SUMPRODUCT((economics!$AG$2:$AG$167=$B5)*(economics!$D$2:$D$167="process")*economics!$AH$2:$AH$167*_xlfn.NORM.DIST(CB$3,economics!$AK$2:$AK$167,economics!$AJ$2:$AJ$167,TRUE)),0)</f>
        <v/>
      </c>
      <c r="CC5" s="68">
        <f t="array" ref="CC5">IF($D5,SUMPRODUCT((economics!$AG$2:$AG$167=$B5)*(economics!$D$2:$D$167="process")*economics!$AH$2:$AH$167*_xlfn.NORM.DIST(CC$3,economics!$AK$2:$AK$167,economics!$AJ$2:$AJ$167,TRUE)),0)</f>
        <v/>
      </c>
      <c r="CD5" s="68">
        <f t="array" ref="CD5">IF($D5,SUMPRODUCT((economics!$AG$2:$AG$167=$B5)*(economics!$D$2:$D$167="process")*economics!$AH$2:$AH$167*_xlfn.NORM.DIST(CD$3,economics!$AK$2:$AK$167,economics!$AJ$2:$AJ$167,TRUE)),0)</f>
        <v/>
      </c>
      <c r="CE5" s="68">
        <f t="array" ref="CE5">IF($D5,SUMPRODUCT((economics!$AG$2:$AG$167=$B5)*(economics!$D$2:$D$167="process")*economics!$AH$2:$AH$167*_xlfn.NORM.DIST(CE$3,economics!$AK$2:$AK$167,economics!$AJ$2:$AJ$167,TRUE)),0)</f>
        <v/>
      </c>
      <c r="CF5" s="68">
        <f t="array" ref="CF5">IF($D5,SUMPRODUCT((economics!$AG$2:$AG$167=$B5)*(economics!$D$2:$D$167="process")*economics!$AH$2:$AH$167*_xlfn.NORM.DIST(CF$3,economics!$AK$2:$AK$167,economics!$AJ$2:$AJ$167,TRUE)),0)</f>
        <v/>
      </c>
      <c r="CG5" s="68">
        <f t="array" ref="CG5">IF($D5,SUMPRODUCT((economics!$AG$2:$AG$167=$B5)*(economics!$D$2:$D$167="process")*economics!$AH$2:$AH$167*_xlfn.NORM.DIST(CG$3,economics!$AK$2:$AK$167,economics!$AJ$2:$AJ$167,TRUE)),0)</f>
        <v/>
      </c>
      <c r="CH5" s="68">
        <f t="array" ref="CH5">IF($D5,SUMPRODUCT((economics!$AG$2:$AG$167=$B5)*(economics!$D$2:$D$167="process")*economics!$AH$2:$AH$167*_xlfn.NORM.DIST(CH$3,economics!$AK$2:$AK$167,economics!$AJ$2:$AJ$167,TRUE)),0)</f>
        <v/>
      </c>
    </row>
    <row r="6">
      <c r="A6">
        <f>WHRPbI!A4</f>
        <v/>
      </c>
      <c r="B6" t="n">
        <v>6</v>
      </c>
      <c r="C6" s="68">
        <f>WHRPbI!B4</f>
        <v/>
      </c>
      <c r="D6">
        <f>ISNUMBER(MATCH($B6,'energy base (MECS)'!$K$4:$K$9,0))</f>
        <v/>
      </c>
      <c r="E6" s="68">
        <f t="array" ref="E6">IF($D6,SUMPRODUCT((economics!$AG$2:$AG$167=$B6)*(economics!$D$2:$D$167="process")*economics!$AH$2:$AH$167*_xlfn.NORM.DIST(E$3,economics!$AK$2:$AK$167,economics!$AJ$2:$AJ$167,TRUE)),0)</f>
        <v/>
      </c>
      <c r="F6" s="68">
        <f t="array" ref="F6">IF($D6,SUMPRODUCT((economics!$AG$2:$AG$167=$B6)*(economics!$D$2:$D$167="process")*economics!$AH$2:$AH$167*_xlfn.NORM.DIST(F$3,economics!$AK$2:$AK$167,economics!$AJ$2:$AJ$167,TRUE)),0)</f>
        <v/>
      </c>
      <c r="G6" s="68">
        <f t="array" ref="G6">IF($D6,SUMPRODUCT((economics!$AG$2:$AG$167=$B6)*(economics!$D$2:$D$167="process")*economics!$AH$2:$AH$167*_xlfn.NORM.DIST(G$3,economics!$AK$2:$AK$167,economics!$AJ$2:$AJ$167,TRUE)),0)</f>
        <v/>
      </c>
      <c r="H6" s="68">
        <f t="array" ref="H6">IF($D6,SUMPRODUCT((economics!$AG$2:$AG$167=$B6)*(economics!$D$2:$D$167="process")*economics!$AH$2:$AH$167*_xlfn.NORM.DIST(H$3,economics!$AK$2:$AK$167,economics!$AJ$2:$AJ$167,TRUE)),0)</f>
        <v/>
      </c>
      <c r="I6" s="68">
        <f t="array" ref="I6">IF($D6,SUMPRODUCT((economics!$AG$2:$AG$167=$B6)*(economics!$D$2:$D$167="process")*economics!$AH$2:$AH$167*_xlfn.NORM.DIST(I$3,economics!$AK$2:$AK$167,economics!$AJ$2:$AJ$167,TRUE)),0)</f>
        <v/>
      </c>
      <c r="J6" s="68">
        <f t="array" ref="J6">IF($D6,SUMPRODUCT((economics!$AG$2:$AG$167=$B6)*(economics!$D$2:$D$167="process")*economics!$AH$2:$AH$167*_xlfn.NORM.DIST(J$3,economics!$AK$2:$AK$167,economics!$AJ$2:$AJ$167,TRUE)),0)</f>
        <v/>
      </c>
      <c r="K6" s="68">
        <f t="array" ref="K6">IF($D6,SUMPRODUCT((economics!$AG$2:$AG$167=$B6)*(economics!$D$2:$D$167="process")*economics!$AH$2:$AH$167*_xlfn.NORM.DIST(K$3,economics!$AK$2:$AK$167,economics!$AJ$2:$AJ$167,TRUE)),0)</f>
        <v/>
      </c>
      <c r="L6" s="68">
        <f t="array" ref="L6">IF($D6,SUMPRODUCT((economics!$AG$2:$AG$167=$B6)*(economics!$D$2:$D$167="process")*economics!$AH$2:$AH$167*_xlfn.NORM.DIST(L$3,economics!$AK$2:$AK$167,economics!$AJ$2:$AJ$167,TRUE)),0)</f>
        <v/>
      </c>
      <c r="M6" s="68">
        <f t="array" ref="M6">IF($D6,SUMPRODUCT((economics!$AG$2:$AG$167=$B6)*(economics!$D$2:$D$167="process")*economics!$AH$2:$AH$167*_xlfn.NORM.DIST(M$3,economics!$AK$2:$AK$167,economics!$AJ$2:$AJ$167,TRUE)),0)</f>
        <v/>
      </c>
      <c r="N6" s="68">
        <f t="array" ref="N6">IF($D6,SUMPRODUCT((economics!$AG$2:$AG$167=$B6)*(economics!$D$2:$D$167="process")*economics!$AH$2:$AH$167*_xlfn.NORM.DIST(N$3,economics!$AK$2:$AK$167,economics!$AJ$2:$AJ$167,TRUE)),0)</f>
        <v/>
      </c>
      <c r="O6" s="68">
        <f t="array" ref="O6">IF($D6,SUMPRODUCT((economics!$AG$2:$AG$167=$B6)*(economics!$D$2:$D$167="process")*economics!$AH$2:$AH$167*_xlfn.NORM.DIST(O$3,economics!$AK$2:$AK$167,economics!$AJ$2:$AJ$167,TRUE)),0)</f>
        <v/>
      </c>
      <c r="P6" s="68">
        <f t="array" ref="P6">IF($D6,SUMPRODUCT((economics!$AG$2:$AG$167=$B6)*(economics!$D$2:$D$167="process")*economics!$AH$2:$AH$167*_xlfn.NORM.DIST(P$3,economics!$AK$2:$AK$167,economics!$AJ$2:$AJ$167,TRUE)),0)</f>
        <v/>
      </c>
      <c r="Q6" s="68">
        <f t="array" ref="Q6">IF($D6,SUMPRODUCT((economics!$AG$2:$AG$167=$B6)*(economics!$D$2:$D$167="process")*economics!$AH$2:$AH$167*_xlfn.NORM.DIST(Q$3,economics!$AK$2:$AK$167,economics!$AJ$2:$AJ$167,TRUE)),0)</f>
        <v/>
      </c>
      <c r="R6" s="68">
        <f t="array" ref="R6">IF($D6,SUMPRODUCT((economics!$AG$2:$AG$167=$B6)*(economics!$D$2:$D$167="process")*economics!$AH$2:$AH$167*_xlfn.NORM.DIST(R$3,economics!$AK$2:$AK$167,economics!$AJ$2:$AJ$167,TRUE)),0)</f>
        <v/>
      </c>
      <c r="S6" s="68">
        <f t="array" ref="S6">IF($D6,SUMPRODUCT((economics!$AG$2:$AG$167=$B6)*(economics!$D$2:$D$167="process")*economics!$AH$2:$AH$167*_xlfn.NORM.DIST(S$3,economics!$AK$2:$AK$167,economics!$AJ$2:$AJ$167,TRUE)),0)</f>
        <v/>
      </c>
      <c r="T6" s="68">
        <f t="array" ref="T6">IF($D6,SUMPRODUCT((economics!$AG$2:$AG$167=$B6)*(economics!$D$2:$D$167="process")*economics!$AH$2:$AH$167*_xlfn.NORM.DIST(T$3,economics!$AK$2:$AK$167,economics!$AJ$2:$AJ$167,TRUE)),0)</f>
        <v/>
      </c>
      <c r="U6" s="68">
        <f t="array" ref="U6">IF($D6,SUMPRODUCT((economics!$AG$2:$AG$167=$B6)*(economics!$D$2:$D$167="process")*economics!$AH$2:$AH$167*_xlfn.NORM.DIST(U$3,economics!$AK$2:$AK$167,economics!$AJ$2:$AJ$167,TRUE)),0)</f>
        <v/>
      </c>
      <c r="V6" s="68">
        <f t="array" ref="V6">IF($D6,SUMPRODUCT((economics!$AG$2:$AG$167=$B6)*(economics!$D$2:$D$167="process")*economics!$AH$2:$AH$167*_xlfn.NORM.DIST(V$3,economics!$AK$2:$AK$167,economics!$AJ$2:$AJ$167,TRUE)),0)</f>
        <v/>
      </c>
      <c r="W6" s="68">
        <f t="array" ref="W6">IF($D6,SUMPRODUCT((economics!$AG$2:$AG$167=$B6)*(economics!$D$2:$D$167="process")*economics!$AH$2:$AH$167*_xlfn.NORM.DIST(W$3,economics!$AK$2:$AK$167,economics!$AJ$2:$AJ$167,TRUE)),0)</f>
        <v/>
      </c>
      <c r="X6" s="68">
        <f t="array" ref="X6">IF($D6,SUMPRODUCT((economics!$AG$2:$AG$167=$B6)*(economics!$D$2:$D$167="process")*economics!$AH$2:$AH$167*_xlfn.NORM.DIST(X$3,economics!$AK$2:$AK$167,economics!$AJ$2:$AJ$167,TRUE)),0)</f>
        <v/>
      </c>
      <c r="Y6" s="68">
        <f t="array" ref="Y6">IF($D6,SUMPRODUCT((economics!$AG$2:$AG$167=$B6)*(economics!$D$2:$D$167="process")*economics!$AH$2:$AH$167*_xlfn.NORM.DIST(Y$3,economics!$AK$2:$AK$167,economics!$AJ$2:$AJ$167,TRUE)),0)</f>
        <v/>
      </c>
      <c r="Z6" s="68">
        <f t="array" ref="Z6">IF($D6,SUMPRODUCT((economics!$AG$2:$AG$167=$B6)*(economics!$D$2:$D$167="process")*economics!$AH$2:$AH$167*_xlfn.NORM.DIST(Z$3,economics!$AK$2:$AK$167,economics!$AJ$2:$AJ$167,TRUE)),0)</f>
        <v/>
      </c>
      <c r="AA6" s="68">
        <f t="array" ref="AA6">IF($D6,SUMPRODUCT((economics!$AG$2:$AG$167=$B6)*(economics!$D$2:$D$167="process")*economics!$AH$2:$AH$167*_xlfn.NORM.DIST(AA$3,economics!$AK$2:$AK$167,economics!$AJ$2:$AJ$167,TRUE)),0)</f>
        <v/>
      </c>
      <c r="AB6" s="68">
        <f t="array" ref="AB6">IF($D6,SUMPRODUCT((economics!$AG$2:$AG$167=$B6)*(economics!$D$2:$D$167="process")*economics!$AH$2:$AH$167*_xlfn.NORM.DIST(AB$3,economics!$AK$2:$AK$167,economics!$AJ$2:$AJ$167,TRUE)),0)</f>
        <v/>
      </c>
      <c r="AC6" s="68">
        <f t="array" ref="AC6">IF($D6,SUMPRODUCT((economics!$AG$2:$AG$167=$B6)*(economics!$D$2:$D$167="process")*economics!$AH$2:$AH$167*_xlfn.NORM.DIST(AC$3,economics!$AK$2:$AK$167,economics!$AJ$2:$AJ$167,TRUE)),0)</f>
        <v/>
      </c>
      <c r="AD6" s="68">
        <f t="array" ref="AD6">IF($D6,SUMPRODUCT((economics!$AG$2:$AG$167=$B6)*(economics!$D$2:$D$167="process")*economics!$AH$2:$AH$167*_xlfn.NORM.DIST(AD$3,economics!$AK$2:$AK$167,economics!$AJ$2:$AJ$167,TRUE)),0)</f>
        <v/>
      </c>
      <c r="AE6" s="68">
        <f t="array" ref="AE6">IF($D6,SUMPRODUCT((economics!$AG$2:$AG$167=$B6)*(economics!$D$2:$D$167="process")*economics!$AH$2:$AH$167*_xlfn.NORM.DIST(AE$3,economics!$AK$2:$AK$167,economics!$AJ$2:$AJ$167,TRUE)),0)</f>
        <v/>
      </c>
      <c r="AF6" s="68">
        <f t="array" ref="AF6">IF($D6,SUMPRODUCT((economics!$AG$2:$AG$167=$B6)*(economics!$D$2:$D$167="process")*economics!$AH$2:$AH$167*_xlfn.NORM.DIST(AF$3,economics!$AK$2:$AK$167,economics!$AJ$2:$AJ$167,TRUE)),0)</f>
        <v/>
      </c>
      <c r="AG6" s="68">
        <f t="array" ref="AG6">IF($D6,SUMPRODUCT((economics!$AG$2:$AG$167=$B6)*(economics!$D$2:$D$167="process")*economics!$AH$2:$AH$167*_xlfn.NORM.DIST(AG$3,economics!$AK$2:$AK$167,economics!$AJ$2:$AJ$167,TRUE)),0)</f>
        <v/>
      </c>
      <c r="AH6" s="68">
        <f t="array" ref="AH6">IF($D6,SUMPRODUCT((economics!$AG$2:$AG$167=$B6)*(economics!$D$2:$D$167="process")*economics!$AH$2:$AH$167*_xlfn.NORM.DIST(AH$3,economics!$AK$2:$AK$167,economics!$AJ$2:$AJ$167,TRUE)),0)</f>
        <v/>
      </c>
      <c r="AI6" s="68">
        <f t="array" ref="AI6">IF($D6,SUMPRODUCT((economics!$AG$2:$AG$167=$B6)*(economics!$D$2:$D$167="process")*economics!$AH$2:$AH$167*_xlfn.NORM.DIST(AI$3,economics!$AK$2:$AK$167,economics!$AJ$2:$AJ$167,TRUE)),0)</f>
        <v/>
      </c>
      <c r="AJ6" s="68">
        <f t="array" ref="AJ6">IF($D6,SUMPRODUCT((economics!$AG$2:$AG$167=$B6)*(economics!$D$2:$D$167="process")*economics!$AH$2:$AH$167*_xlfn.NORM.DIST(AJ$3,economics!$AK$2:$AK$167,economics!$AJ$2:$AJ$167,TRUE)),0)</f>
        <v/>
      </c>
      <c r="AK6" s="68">
        <f t="array" ref="AK6">IF($D6,SUMPRODUCT((economics!$AG$2:$AG$167=$B6)*(economics!$D$2:$D$167="process")*economics!$AH$2:$AH$167*_xlfn.NORM.DIST(AK$3,economics!$AK$2:$AK$167,economics!$AJ$2:$AJ$167,TRUE)),0)</f>
        <v/>
      </c>
      <c r="AL6" s="68">
        <f t="array" ref="AL6">IF($D6,SUMPRODUCT((economics!$AG$2:$AG$167=$B6)*(economics!$D$2:$D$167="process")*economics!$AH$2:$AH$167*_xlfn.NORM.DIST(AL$3,economics!$AK$2:$AK$167,economics!$AJ$2:$AJ$167,TRUE)),0)</f>
        <v/>
      </c>
      <c r="AM6" s="68">
        <f t="array" ref="AM6">IF($D6,SUMPRODUCT((economics!$AG$2:$AG$167=$B6)*(economics!$D$2:$D$167="process")*economics!$AH$2:$AH$167*_xlfn.NORM.DIST(AM$3,economics!$AK$2:$AK$167,economics!$AJ$2:$AJ$167,TRUE)),0)</f>
        <v/>
      </c>
      <c r="AN6" s="68">
        <f t="array" ref="AN6">IF($D6,SUMPRODUCT((economics!$AG$2:$AG$167=$B6)*(economics!$D$2:$D$167="process")*economics!$AH$2:$AH$167*_xlfn.NORM.DIST(AN$3,economics!$AK$2:$AK$167,economics!$AJ$2:$AJ$167,TRUE)),0)</f>
        <v/>
      </c>
      <c r="AO6" s="68">
        <f t="array" ref="AO6">IF($D6,SUMPRODUCT((economics!$AG$2:$AG$167=$B6)*(economics!$D$2:$D$167="process")*economics!$AH$2:$AH$167*_xlfn.NORM.DIST(AO$3,economics!$AK$2:$AK$167,economics!$AJ$2:$AJ$167,TRUE)),0)</f>
        <v/>
      </c>
      <c r="AP6" s="68">
        <f t="array" ref="AP6">IF($D6,SUMPRODUCT((economics!$AG$2:$AG$167=$B6)*(economics!$D$2:$D$167="process")*economics!$AH$2:$AH$167*_xlfn.NORM.DIST(AP$3,economics!$AK$2:$AK$167,economics!$AJ$2:$AJ$167,TRUE)),0)</f>
        <v/>
      </c>
      <c r="AQ6" s="68">
        <f t="array" ref="AQ6">IF($D6,SUMPRODUCT((economics!$AG$2:$AG$167=$B6)*(economics!$D$2:$D$167="process")*economics!$AH$2:$AH$167*_xlfn.NORM.DIST(AQ$3,economics!$AK$2:$AK$167,economics!$AJ$2:$AJ$167,TRUE)),0)</f>
        <v/>
      </c>
      <c r="AR6" s="68">
        <f t="array" ref="AR6">IF($D6,SUMPRODUCT((economics!$AG$2:$AG$167=$B6)*(economics!$D$2:$D$167="process")*economics!$AH$2:$AH$167*_xlfn.NORM.DIST(AR$3,economics!$AK$2:$AK$167,economics!$AJ$2:$AJ$167,TRUE)),0)</f>
        <v/>
      </c>
      <c r="AS6" s="68">
        <f t="array" ref="AS6">IF($D6,SUMPRODUCT((economics!$AG$2:$AG$167=$B6)*(economics!$D$2:$D$167="process")*economics!$AH$2:$AH$167*_xlfn.NORM.DIST(AS$3,economics!$AK$2:$AK$167,economics!$AJ$2:$AJ$167,TRUE)),0)</f>
        <v/>
      </c>
      <c r="AT6" s="68">
        <f t="array" ref="AT6">IF($D6,SUMPRODUCT((economics!$AG$2:$AG$167=$B6)*(economics!$D$2:$D$167="process")*economics!$AH$2:$AH$167*_xlfn.NORM.DIST(AT$3,economics!$AK$2:$AK$167,economics!$AJ$2:$AJ$167,TRUE)),0)</f>
        <v/>
      </c>
      <c r="AU6" s="68">
        <f t="array" ref="AU6">IF($D6,SUMPRODUCT((economics!$AG$2:$AG$167=$B6)*(economics!$D$2:$D$167="process")*economics!$AH$2:$AH$167*_xlfn.NORM.DIST(AU$3,economics!$AK$2:$AK$167,economics!$AJ$2:$AJ$167,TRUE)),0)</f>
        <v/>
      </c>
      <c r="AV6" s="68">
        <f t="array" ref="AV6">IF($D6,SUMPRODUCT((economics!$AG$2:$AG$167=$B6)*(economics!$D$2:$D$167="process")*economics!$AH$2:$AH$167*_xlfn.NORM.DIST(AV$3,economics!$AK$2:$AK$167,economics!$AJ$2:$AJ$167,TRUE)),0)</f>
        <v/>
      </c>
      <c r="AW6" s="68">
        <f t="array" ref="AW6">IF($D6,SUMPRODUCT((economics!$AG$2:$AG$167=$B6)*(economics!$D$2:$D$167="process")*economics!$AH$2:$AH$167*_xlfn.NORM.DIST(AW$3,economics!$AK$2:$AK$167,economics!$AJ$2:$AJ$167,TRUE)),0)</f>
        <v/>
      </c>
      <c r="AX6" s="68">
        <f t="array" ref="AX6">IF($D6,SUMPRODUCT((economics!$AG$2:$AG$167=$B6)*(economics!$D$2:$D$167="process")*economics!$AH$2:$AH$167*_xlfn.NORM.DIST(AX$3,economics!$AK$2:$AK$167,economics!$AJ$2:$AJ$167,TRUE)),0)</f>
        <v/>
      </c>
      <c r="AY6" s="68">
        <f t="array" ref="AY6">IF($D6,SUMPRODUCT((economics!$AG$2:$AG$167=$B6)*(economics!$D$2:$D$167="process")*economics!$AH$2:$AH$167*_xlfn.NORM.DIST(AY$3,economics!$AK$2:$AK$167,economics!$AJ$2:$AJ$167,TRUE)),0)</f>
        <v/>
      </c>
      <c r="AZ6" s="68">
        <f t="array" ref="AZ6">IF($D6,SUMPRODUCT((economics!$AG$2:$AG$167=$B6)*(economics!$D$2:$D$167="process")*economics!$AH$2:$AH$167*_xlfn.NORM.DIST(AZ$3,economics!$AK$2:$AK$167,economics!$AJ$2:$AJ$167,TRUE)),0)</f>
        <v/>
      </c>
      <c r="BA6" s="68">
        <f t="array" ref="BA6">IF($D6,SUMPRODUCT((economics!$AG$2:$AG$167=$B6)*(economics!$D$2:$D$167="process")*economics!$AH$2:$AH$167*_xlfn.NORM.DIST(BA$3,economics!$AK$2:$AK$167,economics!$AJ$2:$AJ$167,TRUE)),0)</f>
        <v/>
      </c>
      <c r="BB6" s="68">
        <f t="array" ref="BB6">IF($D6,SUMPRODUCT((economics!$AG$2:$AG$167=$B6)*(economics!$D$2:$D$167="process")*economics!$AH$2:$AH$167*_xlfn.NORM.DIST(BB$3,economics!$AK$2:$AK$167,economics!$AJ$2:$AJ$167,TRUE)),0)</f>
        <v/>
      </c>
      <c r="BC6" s="68">
        <f t="array" ref="BC6">IF($D6,SUMPRODUCT((economics!$AG$2:$AG$167=$B6)*(economics!$D$2:$D$167="process")*economics!$AH$2:$AH$167*_xlfn.NORM.DIST(BC$3,economics!$AK$2:$AK$167,economics!$AJ$2:$AJ$167,TRUE)),0)</f>
        <v/>
      </c>
      <c r="BD6" s="68">
        <f t="array" ref="BD6">IF($D6,SUMPRODUCT((economics!$AG$2:$AG$167=$B6)*(economics!$D$2:$D$167="process")*economics!$AH$2:$AH$167*_xlfn.NORM.DIST(BD$3,economics!$AK$2:$AK$167,economics!$AJ$2:$AJ$167,TRUE)),0)</f>
        <v/>
      </c>
      <c r="BE6" s="68">
        <f t="array" ref="BE6">IF($D6,SUMPRODUCT((economics!$AG$2:$AG$167=$B6)*(economics!$D$2:$D$167="process")*economics!$AH$2:$AH$167*_xlfn.NORM.DIST(BE$3,economics!$AK$2:$AK$167,economics!$AJ$2:$AJ$167,TRUE)),0)</f>
        <v/>
      </c>
      <c r="BF6" s="68">
        <f t="array" ref="BF6">IF($D6,SUMPRODUCT((economics!$AG$2:$AG$167=$B6)*(economics!$D$2:$D$167="process")*economics!$AH$2:$AH$167*_xlfn.NORM.DIST(BF$3,economics!$AK$2:$AK$167,economics!$AJ$2:$AJ$167,TRUE)),0)</f>
        <v/>
      </c>
      <c r="BG6" s="68">
        <f t="array" ref="BG6">IF($D6,SUMPRODUCT((economics!$AG$2:$AG$167=$B6)*(economics!$D$2:$D$167="process")*economics!$AH$2:$AH$167*_xlfn.NORM.DIST(BG$3,economics!$AK$2:$AK$167,economics!$AJ$2:$AJ$167,TRUE)),0)</f>
        <v/>
      </c>
      <c r="BH6" s="68">
        <f t="array" ref="BH6">IF($D6,SUMPRODUCT((economics!$AG$2:$AG$167=$B6)*(economics!$D$2:$D$167="process")*economics!$AH$2:$AH$167*_xlfn.NORM.DIST(BH$3,economics!$AK$2:$AK$167,economics!$AJ$2:$AJ$167,TRUE)),0)</f>
        <v/>
      </c>
      <c r="BI6" s="68">
        <f t="array" ref="BI6">IF($D6,SUMPRODUCT((economics!$AG$2:$AG$167=$B6)*(economics!$D$2:$D$167="process")*economics!$AH$2:$AH$167*_xlfn.NORM.DIST(BI$3,economics!$AK$2:$AK$167,economics!$AJ$2:$AJ$167,TRUE)),0)</f>
        <v/>
      </c>
      <c r="BJ6" s="68">
        <f t="array" ref="BJ6">IF($D6,SUMPRODUCT((economics!$AG$2:$AG$167=$B6)*(economics!$D$2:$D$167="process")*economics!$AH$2:$AH$167*_xlfn.NORM.DIST(BJ$3,economics!$AK$2:$AK$167,economics!$AJ$2:$AJ$167,TRUE)),0)</f>
        <v/>
      </c>
      <c r="BK6" s="68">
        <f t="array" ref="BK6">IF($D6,SUMPRODUCT((economics!$AG$2:$AG$167=$B6)*(economics!$D$2:$D$167="process")*economics!$AH$2:$AH$167*_xlfn.NORM.DIST(BK$3,economics!$AK$2:$AK$167,economics!$AJ$2:$AJ$167,TRUE)),0)</f>
        <v/>
      </c>
      <c r="BL6" s="68">
        <f t="array" ref="BL6">IF($D6,SUMPRODUCT((economics!$AG$2:$AG$167=$B6)*(economics!$D$2:$D$167="process")*economics!$AH$2:$AH$167*_xlfn.NORM.DIST(BL$3,economics!$AK$2:$AK$167,economics!$AJ$2:$AJ$167,TRUE)),0)</f>
        <v/>
      </c>
      <c r="BM6" s="68">
        <f t="array" ref="BM6">IF($D6,SUMPRODUCT((economics!$AG$2:$AG$167=$B6)*(economics!$D$2:$D$167="process")*economics!$AH$2:$AH$167*_xlfn.NORM.DIST(BM$3,economics!$AK$2:$AK$167,economics!$AJ$2:$AJ$167,TRUE)),0)</f>
        <v/>
      </c>
      <c r="BN6" s="68">
        <f t="array" ref="BN6">IF($D6,SUMPRODUCT((economics!$AG$2:$AG$167=$B6)*(economics!$D$2:$D$167="process")*economics!$AH$2:$AH$167*_xlfn.NORM.DIST(BN$3,economics!$AK$2:$AK$167,economics!$AJ$2:$AJ$167,TRUE)),0)</f>
        <v/>
      </c>
      <c r="BO6" s="68">
        <f t="array" ref="BO6">IF($D6,SUMPRODUCT((economics!$AG$2:$AG$167=$B6)*(economics!$D$2:$D$167="process")*economics!$AH$2:$AH$167*_xlfn.NORM.DIST(BO$3,economics!$AK$2:$AK$167,economics!$AJ$2:$AJ$167,TRUE)),0)</f>
        <v/>
      </c>
      <c r="BP6" s="68">
        <f t="array" ref="BP6">IF($D6,SUMPRODUCT((economics!$AG$2:$AG$167=$B6)*(economics!$D$2:$D$167="process")*economics!$AH$2:$AH$167*_xlfn.NORM.DIST(BP$3,economics!$AK$2:$AK$167,economics!$AJ$2:$AJ$167,TRUE)),0)</f>
        <v/>
      </c>
      <c r="BQ6" s="68">
        <f t="array" ref="BQ6">IF($D6,SUMPRODUCT((economics!$AG$2:$AG$167=$B6)*(economics!$D$2:$D$167="process")*economics!$AH$2:$AH$167*_xlfn.NORM.DIST(BQ$3,economics!$AK$2:$AK$167,economics!$AJ$2:$AJ$167,TRUE)),0)</f>
        <v/>
      </c>
      <c r="BR6" s="68">
        <f t="array" ref="BR6">IF($D6,SUMPRODUCT((economics!$AG$2:$AG$167=$B6)*(economics!$D$2:$D$167="process")*economics!$AH$2:$AH$167*_xlfn.NORM.DIST(BR$3,economics!$AK$2:$AK$167,economics!$AJ$2:$AJ$167,TRUE)),0)</f>
        <v/>
      </c>
      <c r="BS6" s="68">
        <f t="array" ref="BS6">IF($D6,SUMPRODUCT((economics!$AG$2:$AG$167=$B6)*(economics!$D$2:$D$167="process")*economics!$AH$2:$AH$167*_xlfn.NORM.DIST(BS$3,economics!$AK$2:$AK$167,economics!$AJ$2:$AJ$167,TRUE)),0)</f>
        <v/>
      </c>
      <c r="BT6" s="68">
        <f t="array" ref="BT6">IF($D6,SUMPRODUCT((economics!$AG$2:$AG$167=$B6)*(economics!$D$2:$D$167="process")*economics!$AH$2:$AH$167*_xlfn.NORM.DIST(BT$3,economics!$AK$2:$AK$167,economics!$AJ$2:$AJ$167,TRUE)),0)</f>
        <v/>
      </c>
      <c r="BU6" s="68">
        <f t="array" ref="BU6">IF($D6,SUMPRODUCT((economics!$AG$2:$AG$167=$B6)*(economics!$D$2:$D$167="process")*economics!$AH$2:$AH$167*_xlfn.NORM.DIST(BU$3,economics!$AK$2:$AK$167,economics!$AJ$2:$AJ$167,TRUE)),0)</f>
        <v/>
      </c>
      <c r="BV6" s="68">
        <f t="array" ref="BV6">IF($D6,SUMPRODUCT((economics!$AG$2:$AG$167=$B6)*(economics!$D$2:$D$167="process")*economics!$AH$2:$AH$167*_xlfn.NORM.DIST(BV$3,economics!$AK$2:$AK$167,economics!$AJ$2:$AJ$167,TRUE)),0)</f>
        <v/>
      </c>
      <c r="BW6" s="68">
        <f t="array" ref="BW6">IF($D6,SUMPRODUCT((economics!$AG$2:$AG$167=$B6)*(economics!$D$2:$D$167="process")*economics!$AH$2:$AH$167*_xlfn.NORM.DIST(BW$3,economics!$AK$2:$AK$167,economics!$AJ$2:$AJ$167,TRUE)),0)</f>
        <v/>
      </c>
      <c r="BX6" s="68">
        <f t="array" ref="BX6">IF($D6,SUMPRODUCT((economics!$AG$2:$AG$167=$B6)*(economics!$D$2:$D$167="process")*economics!$AH$2:$AH$167*_xlfn.NORM.DIST(BX$3,economics!$AK$2:$AK$167,economics!$AJ$2:$AJ$167,TRUE)),0)</f>
        <v/>
      </c>
      <c r="BY6" s="68">
        <f t="array" ref="BY6">IF($D6,SUMPRODUCT((economics!$AG$2:$AG$167=$B6)*(economics!$D$2:$D$167="process")*economics!$AH$2:$AH$167*_xlfn.NORM.DIST(BY$3,economics!$AK$2:$AK$167,economics!$AJ$2:$AJ$167,TRUE)),0)</f>
        <v/>
      </c>
      <c r="BZ6" s="68">
        <f t="array" ref="BZ6">IF($D6,SUMPRODUCT((economics!$AG$2:$AG$167=$B6)*(economics!$D$2:$D$167="process")*economics!$AH$2:$AH$167*_xlfn.NORM.DIST(BZ$3,economics!$AK$2:$AK$167,economics!$AJ$2:$AJ$167,TRUE)),0)</f>
        <v/>
      </c>
      <c r="CA6" s="68">
        <f t="array" ref="CA6">IF($D6,SUMPRODUCT((economics!$AG$2:$AG$167=$B6)*(economics!$D$2:$D$167="process")*economics!$AH$2:$AH$167*_xlfn.NORM.DIST(CA$3,economics!$AK$2:$AK$167,economics!$AJ$2:$AJ$167,TRUE)),0)</f>
        <v/>
      </c>
      <c r="CB6" s="68">
        <f t="array" ref="CB6">IF($D6,SUMPRODUCT((economics!$AG$2:$AG$167=$B6)*(economics!$D$2:$D$167="process")*economics!$AH$2:$AH$167*_xlfn.NORM.DIST(CB$3,economics!$AK$2:$AK$167,economics!$AJ$2:$AJ$167,TRUE)),0)</f>
        <v/>
      </c>
      <c r="CC6" s="68">
        <f t="array" ref="CC6">IF($D6,SUMPRODUCT((economics!$AG$2:$AG$167=$B6)*(economics!$D$2:$D$167="process")*economics!$AH$2:$AH$167*_xlfn.NORM.DIST(CC$3,economics!$AK$2:$AK$167,economics!$AJ$2:$AJ$167,TRUE)),0)</f>
        <v/>
      </c>
      <c r="CD6" s="68">
        <f t="array" ref="CD6">IF($D6,SUMPRODUCT((economics!$AG$2:$AG$167=$B6)*(economics!$D$2:$D$167="process")*economics!$AH$2:$AH$167*_xlfn.NORM.DIST(CD$3,economics!$AK$2:$AK$167,economics!$AJ$2:$AJ$167,TRUE)),0)</f>
        <v/>
      </c>
      <c r="CE6" s="68">
        <f t="array" ref="CE6">IF($D6,SUMPRODUCT((economics!$AG$2:$AG$167=$B6)*(economics!$D$2:$D$167="process")*economics!$AH$2:$AH$167*_xlfn.NORM.DIST(CE$3,economics!$AK$2:$AK$167,economics!$AJ$2:$AJ$167,TRUE)),0)</f>
        <v/>
      </c>
      <c r="CF6" s="68">
        <f t="array" ref="CF6">IF($D6,SUMPRODUCT((economics!$AG$2:$AG$167=$B6)*(economics!$D$2:$D$167="process")*economics!$AH$2:$AH$167*_xlfn.NORM.DIST(CF$3,economics!$AK$2:$AK$167,economics!$AJ$2:$AJ$167,TRUE)),0)</f>
        <v/>
      </c>
      <c r="CG6" s="68">
        <f t="array" ref="CG6">IF($D6,SUMPRODUCT((economics!$AG$2:$AG$167=$B6)*(economics!$D$2:$D$167="process")*economics!$AH$2:$AH$167*_xlfn.NORM.DIST(CG$3,economics!$AK$2:$AK$167,economics!$AJ$2:$AJ$167,TRUE)),0)</f>
        <v/>
      </c>
      <c r="CH6" s="68">
        <f t="array" ref="CH6">IF($D6,SUMPRODUCT((economics!$AG$2:$AG$167=$B6)*(economics!$D$2:$D$167="process")*economics!$AH$2:$AH$167*_xlfn.NORM.DIST(CH$3,economics!$AK$2:$AK$167,economics!$AJ$2:$AJ$167,TRUE)),0)</f>
        <v/>
      </c>
    </row>
    <row r="7">
      <c r="A7">
        <f>WHRPbI!A5</f>
        <v/>
      </c>
      <c r="B7" t="inlineStr">
        <is>
          <t>07T08</t>
        </is>
      </c>
      <c r="C7" s="68">
        <f>WHRPbI!B5</f>
        <v/>
      </c>
      <c r="D7">
        <f>ISNUMBER(MATCH($B7,'energy base (MECS)'!$K$4:$K$9,0))</f>
        <v/>
      </c>
      <c r="E7" s="68">
        <f t="array" ref="E7">IF($D7,SUMPRODUCT((economics!$AG$2:$AG$167=$B7)*(economics!$D$2:$D$167="process")*economics!$AH$2:$AH$167*_xlfn.NORM.DIST(E$3,economics!$AK$2:$AK$167,economics!$AJ$2:$AJ$167,TRUE)),0)</f>
        <v/>
      </c>
      <c r="F7" s="68">
        <f t="array" ref="F7">IF($D7,SUMPRODUCT((economics!$AG$2:$AG$167=$B7)*(economics!$D$2:$D$167="process")*economics!$AH$2:$AH$167*_xlfn.NORM.DIST(F$3,economics!$AK$2:$AK$167,economics!$AJ$2:$AJ$167,TRUE)),0)</f>
        <v/>
      </c>
      <c r="G7" s="68">
        <f t="array" ref="G7">IF($D7,SUMPRODUCT((economics!$AG$2:$AG$167=$B7)*(economics!$D$2:$D$167="process")*economics!$AH$2:$AH$167*_xlfn.NORM.DIST(G$3,economics!$AK$2:$AK$167,economics!$AJ$2:$AJ$167,TRUE)),0)</f>
        <v/>
      </c>
      <c r="H7" s="68">
        <f t="array" ref="H7">IF($D7,SUMPRODUCT((economics!$AG$2:$AG$167=$B7)*(economics!$D$2:$D$167="process")*economics!$AH$2:$AH$167*_xlfn.NORM.DIST(H$3,economics!$AK$2:$AK$167,economics!$AJ$2:$AJ$167,TRUE)),0)</f>
        <v/>
      </c>
      <c r="I7" s="68">
        <f t="array" ref="I7">IF($D7,SUMPRODUCT((economics!$AG$2:$AG$167=$B7)*(economics!$D$2:$D$167="process")*economics!$AH$2:$AH$167*_xlfn.NORM.DIST(I$3,economics!$AK$2:$AK$167,economics!$AJ$2:$AJ$167,TRUE)),0)</f>
        <v/>
      </c>
      <c r="J7" s="68">
        <f t="array" ref="J7">IF($D7,SUMPRODUCT((economics!$AG$2:$AG$167=$B7)*(economics!$D$2:$D$167="process")*economics!$AH$2:$AH$167*_xlfn.NORM.DIST(J$3,economics!$AK$2:$AK$167,economics!$AJ$2:$AJ$167,TRUE)),0)</f>
        <v/>
      </c>
      <c r="K7" s="68">
        <f t="array" ref="K7">IF($D7,SUMPRODUCT((economics!$AG$2:$AG$167=$B7)*(economics!$D$2:$D$167="process")*economics!$AH$2:$AH$167*_xlfn.NORM.DIST(K$3,economics!$AK$2:$AK$167,economics!$AJ$2:$AJ$167,TRUE)),0)</f>
        <v/>
      </c>
      <c r="L7" s="68">
        <f t="array" ref="L7">IF($D7,SUMPRODUCT((economics!$AG$2:$AG$167=$B7)*(economics!$D$2:$D$167="process")*economics!$AH$2:$AH$167*_xlfn.NORM.DIST(L$3,economics!$AK$2:$AK$167,economics!$AJ$2:$AJ$167,TRUE)),0)</f>
        <v/>
      </c>
      <c r="M7" s="68">
        <f t="array" ref="M7">IF($D7,SUMPRODUCT((economics!$AG$2:$AG$167=$B7)*(economics!$D$2:$D$167="process")*economics!$AH$2:$AH$167*_xlfn.NORM.DIST(M$3,economics!$AK$2:$AK$167,economics!$AJ$2:$AJ$167,TRUE)),0)</f>
        <v/>
      </c>
      <c r="N7" s="68">
        <f t="array" ref="N7">IF($D7,SUMPRODUCT((economics!$AG$2:$AG$167=$B7)*(economics!$D$2:$D$167="process")*economics!$AH$2:$AH$167*_xlfn.NORM.DIST(N$3,economics!$AK$2:$AK$167,economics!$AJ$2:$AJ$167,TRUE)),0)</f>
        <v/>
      </c>
      <c r="O7" s="68">
        <f t="array" ref="O7">IF($D7,SUMPRODUCT((economics!$AG$2:$AG$167=$B7)*(economics!$D$2:$D$167="process")*economics!$AH$2:$AH$167*_xlfn.NORM.DIST(O$3,economics!$AK$2:$AK$167,economics!$AJ$2:$AJ$167,TRUE)),0)</f>
        <v/>
      </c>
      <c r="P7" s="68">
        <f t="array" ref="P7">IF($D7,SUMPRODUCT((economics!$AG$2:$AG$167=$B7)*(economics!$D$2:$D$167="process")*economics!$AH$2:$AH$167*_xlfn.NORM.DIST(P$3,economics!$AK$2:$AK$167,economics!$AJ$2:$AJ$167,TRUE)),0)</f>
        <v/>
      </c>
      <c r="Q7" s="68">
        <f t="array" ref="Q7">IF($D7,SUMPRODUCT((economics!$AG$2:$AG$167=$B7)*(economics!$D$2:$D$167="process")*economics!$AH$2:$AH$167*_xlfn.NORM.DIST(Q$3,economics!$AK$2:$AK$167,economics!$AJ$2:$AJ$167,TRUE)),0)</f>
        <v/>
      </c>
      <c r="R7" s="68">
        <f t="array" ref="R7">IF($D7,SUMPRODUCT((economics!$AG$2:$AG$167=$B7)*(economics!$D$2:$D$167="process")*economics!$AH$2:$AH$167*_xlfn.NORM.DIST(R$3,economics!$AK$2:$AK$167,economics!$AJ$2:$AJ$167,TRUE)),0)</f>
        <v/>
      </c>
      <c r="S7" s="68">
        <f t="array" ref="S7">IF($D7,SUMPRODUCT((economics!$AG$2:$AG$167=$B7)*(economics!$D$2:$D$167="process")*economics!$AH$2:$AH$167*_xlfn.NORM.DIST(S$3,economics!$AK$2:$AK$167,economics!$AJ$2:$AJ$167,TRUE)),0)</f>
        <v/>
      </c>
      <c r="T7" s="68">
        <f t="array" ref="T7">IF($D7,SUMPRODUCT((economics!$AG$2:$AG$167=$B7)*(economics!$D$2:$D$167="process")*economics!$AH$2:$AH$167*_xlfn.NORM.DIST(T$3,economics!$AK$2:$AK$167,economics!$AJ$2:$AJ$167,TRUE)),0)</f>
        <v/>
      </c>
      <c r="U7" s="68">
        <f t="array" ref="U7">IF($D7,SUMPRODUCT((economics!$AG$2:$AG$167=$B7)*(economics!$D$2:$D$167="process")*economics!$AH$2:$AH$167*_xlfn.NORM.DIST(U$3,economics!$AK$2:$AK$167,economics!$AJ$2:$AJ$167,TRUE)),0)</f>
        <v/>
      </c>
      <c r="V7" s="68">
        <f t="array" ref="V7">IF($D7,SUMPRODUCT((economics!$AG$2:$AG$167=$B7)*(economics!$D$2:$D$167="process")*economics!$AH$2:$AH$167*_xlfn.NORM.DIST(V$3,economics!$AK$2:$AK$167,economics!$AJ$2:$AJ$167,TRUE)),0)</f>
        <v/>
      </c>
      <c r="W7" s="68">
        <f t="array" ref="W7">IF($D7,SUMPRODUCT((economics!$AG$2:$AG$167=$B7)*(economics!$D$2:$D$167="process")*economics!$AH$2:$AH$167*_xlfn.NORM.DIST(W$3,economics!$AK$2:$AK$167,economics!$AJ$2:$AJ$167,TRUE)),0)</f>
        <v/>
      </c>
      <c r="X7" s="68">
        <f t="array" ref="X7">IF($D7,SUMPRODUCT((economics!$AG$2:$AG$167=$B7)*(economics!$D$2:$D$167="process")*economics!$AH$2:$AH$167*_xlfn.NORM.DIST(X$3,economics!$AK$2:$AK$167,economics!$AJ$2:$AJ$167,TRUE)),0)</f>
        <v/>
      </c>
      <c r="Y7" s="68">
        <f t="array" ref="Y7">IF($D7,SUMPRODUCT((economics!$AG$2:$AG$167=$B7)*(economics!$D$2:$D$167="process")*economics!$AH$2:$AH$167*_xlfn.NORM.DIST(Y$3,economics!$AK$2:$AK$167,economics!$AJ$2:$AJ$167,TRUE)),0)</f>
        <v/>
      </c>
      <c r="Z7" s="68">
        <f t="array" ref="Z7">IF($D7,SUMPRODUCT((economics!$AG$2:$AG$167=$B7)*(economics!$D$2:$D$167="process")*economics!$AH$2:$AH$167*_xlfn.NORM.DIST(Z$3,economics!$AK$2:$AK$167,economics!$AJ$2:$AJ$167,TRUE)),0)</f>
        <v/>
      </c>
      <c r="AA7" s="68">
        <f t="array" ref="AA7">IF($D7,SUMPRODUCT((economics!$AG$2:$AG$167=$B7)*(economics!$D$2:$D$167="process")*economics!$AH$2:$AH$167*_xlfn.NORM.DIST(AA$3,economics!$AK$2:$AK$167,economics!$AJ$2:$AJ$167,TRUE)),0)</f>
        <v/>
      </c>
      <c r="AB7" s="68">
        <f t="array" ref="AB7">IF($D7,SUMPRODUCT((economics!$AG$2:$AG$167=$B7)*(economics!$D$2:$D$167="process")*economics!$AH$2:$AH$167*_xlfn.NORM.DIST(AB$3,economics!$AK$2:$AK$167,economics!$AJ$2:$AJ$167,TRUE)),0)</f>
        <v/>
      </c>
      <c r="AC7" s="68">
        <f t="array" ref="AC7">IF($D7,SUMPRODUCT((economics!$AG$2:$AG$167=$B7)*(economics!$D$2:$D$167="process")*economics!$AH$2:$AH$167*_xlfn.NORM.DIST(AC$3,economics!$AK$2:$AK$167,economics!$AJ$2:$AJ$167,TRUE)),0)</f>
        <v/>
      </c>
      <c r="AD7" s="68">
        <f t="array" ref="AD7">IF($D7,SUMPRODUCT((economics!$AG$2:$AG$167=$B7)*(economics!$D$2:$D$167="process")*economics!$AH$2:$AH$167*_xlfn.NORM.DIST(AD$3,economics!$AK$2:$AK$167,economics!$AJ$2:$AJ$167,TRUE)),0)</f>
        <v/>
      </c>
      <c r="AE7" s="68">
        <f t="array" ref="AE7">IF($D7,SUMPRODUCT((economics!$AG$2:$AG$167=$B7)*(economics!$D$2:$D$167="process")*economics!$AH$2:$AH$167*_xlfn.NORM.DIST(AE$3,economics!$AK$2:$AK$167,economics!$AJ$2:$AJ$167,TRUE)),0)</f>
        <v/>
      </c>
      <c r="AF7" s="68">
        <f t="array" ref="AF7">IF($D7,SUMPRODUCT((economics!$AG$2:$AG$167=$B7)*(economics!$D$2:$D$167="process")*economics!$AH$2:$AH$167*_xlfn.NORM.DIST(AF$3,economics!$AK$2:$AK$167,economics!$AJ$2:$AJ$167,TRUE)),0)</f>
        <v/>
      </c>
      <c r="AG7" s="68">
        <f t="array" ref="AG7">IF($D7,SUMPRODUCT((economics!$AG$2:$AG$167=$B7)*(economics!$D$2:$D$167="process")*economics!$AH$2:$AH$167*_xlfn.NORM.DIST(AG$3,economics!$AK$2:$AK$167,economics!$AJ$2:$AJ$167,TRUE)),0)</f>
        <v/>
      </c>
      <c r="AH7" s="68">
        <f t="array" ref="AH7">IF($D7,SUMPRODUCT((economics!$AG$2:$AG$167=$B7)*(economics!$D$2:$D$167="process")*economics!$AH$2:$AH$167*_xlfn.NORM.DIST(AH$3,economics!$AK$2:$AK$167,economics!$AJ$2:$AJ$167,TRUE)),0)</f>
        <v/>
      </c>
      <c r="AI7" s="68">
        <f t="array" ref="AI7">IF($D7,SUMPRODUCT((economics!$AG$2:$AG$167=$B7)*(economics!$D$2:$D$167="process")*economics!$AH$2:$AH$167*_xlfn.NORM.DIST(AI$3,economics!$AK$2:$AK$167,economics!$AJ$2:$AJ$167,TRUE)),0)</f>
        <v/>
      </c>
      <c r="AJ7" s="68">
        <f t="array" ref="AJ7">IF($D7,SUMPRODUCT((economics!$AG$2:$AG$167=$B7)*(economics!$D$2:$D$167="process")*economics!$AH$2:$AH$167*_xlfn.NORM.DIST(AJ$3,economics!$AK$2:$AK$167,economics!$AJ$2:$AJ$167,TRUE)),0)</f>
        <v/>
      </c>
      <c r="AK7" s="68">
        <f t="array" ref="AK7">IF($D7,SUMPRODUCT((economics!$AG$2:$AG$167=$B7)*(economics!$D$2:$D$167="process")*economics!$AH$2:$AH$167*_xlfn.NORM.DIST(AK$3,economics!$AK$2:$AK$167,economics!$AJ$2:$AJ$167,TRUE)),0)</f>
        <v/>
      </c>
      <c r="AL7" s="68">
        <f t="array" ref="AL7">IF($D7,SUMPRODUCT((economics!$AG$2:$AG$167=$B7)*(economics!$D$2:$D$167="process")*economics!$AH$2:$AH$167*_xlfn.NORM.DIST(AL$3,economics!$AK$2:$AK$167,economics!$AJ$2:$AJ$167,TRUE)),0)</f>
        <v/>
      </c>
      <c r="AM7" s="68">
        <f t="array" ref="AM7">IF($D7,SUMPRODUCT((economics!$AG$2:$AG$167=$B7)*(economics!$D$2:$D$167="process")*economics!$AH$2:$AH$167*_xlfn.NORM.DIST(AM$3,economics!$AK$2:$AK$167,economics!$AJ$2:$AJ$167,TRUE)),0)</f>
        <v/>
      </c>
      <c r="AN7" s="68">
        <f t="array" ref="AN7">IF($D7,SUMPRODUCT((economics!$AG$2:$AG$167=$B7)*(economics!$D$2:$D$167="process")*economics!$AH$2:$AH$167*_xlfn.NORM.DIST(AN$3,economics!$AK$2:$AK$167,economics!$AJ$2:$AJ$167,TRUE)),0)</f>
        <v/>
      </c>
      <c r="AO7" s="68">
        <f t="array" ref="AO7">IF($D7,SUMPRODUCT((economics!$AG$2:$AG$167=$B7)*(economics!$D$2:$D$167="process")*economics!$AH$2:$AH$167*_xlfn.NORM.DIST(AO$3,economics!$AK$2:$AK$167,economics!$AJ$2:$AJ$167,TRUE)),0)</f>
        <v/>
      </c>
      <c r="AP7" s="68">
        <f t="array" ref="AP7">IF($D7,SUMPRODUCT((economics!$AG$2:$AG$167=$B7)*(economics!$D$2:$D$167="process")*economics!$AH$2:$AH$167*_xlfn.NORM.DIST(AP$3,economics!$AK$2:$AK$167,economics!$AJ$2:$AJ$167,TRUE)),0)</f>
        <v/>
      </c>
      <c r="AQ7" s="68">
        <f t="array" ref="AQ7">IF($D7,SUMPRODUCT((economics!$AG$2:$AG$167=$B7)*(economics!$D$2:$D$167="process")*economics!$AH$2:$AH$167*_xlfn.NORM.DIST(AQ$3,economics!$AK$2:$AK$167,economics!$AJ$2:$AJ$167,TRUE)),0)</f>
        <v/>
      </c>
      <c r="AR7" s="68">
        <f t="array" ref="AR7">IF($D7,SUMPRODUCT((economics!$AG$2:$AG$167=$B7)*(economics!$D$2:$D$167="process")*economics!$AH$2:$AH$167*_xlfn.NORM.DIST(AR$3,economics!$AK$2:$AK$167,economics!$AJ$2:$AJ$167,TRUE)),0)</f>
        <v/>
      </c>
      <c r="AS7" s="68">
        <f t="array" ref="AS7">IF($D7,SUMPRODUCT((economics!$AG$2:$AG$167=$B7)*(economics!$D$2:$D$167="process")*economics!$AH$2:$AH$167*_xlfn.NORM.DIST(AS$3,economics!$AK$2:$AK$167,economics!$AJ$2:$AJ$167,TRUE)),0)</f>
        <v/>
      </c>
      <c r="AT7" s="68">
        <f t="array" ref="AT7">IF($D7,SUMPRODUCT((economics!$AG$2:$AG$167=$B7)*(economics!$D$2:$D$167="process")*economics!$AH$2:$AH$167*_xlfn.NORM.DIST(AT$3,economics!$AK$2:$AK$167,economics!$AJ$2:$AJ$167,TRUE)),0)</f>
        <v/>
      </c>
      <c r="AU7" s="68">
        <f t="array" ref="AU7">IF($D7,SUMPRODUCT((economics!$AG$2:$AG$167=$B7)*(economics!$D$2:$D$167="process")*economics!$AH$2:$AH$167*_xlfn.NORM.DIST(AU$3,economics!$AK$2:$AK$167,economics!$AJ$2:$AJ$167,TRUE)),0)</f>
        <v/>
      </c>
      <c r="AV7" s="68">
        <f t="array" ref="AV7">IF($D7,SUMPRODUCT((economics!$AG$2:$AG$167=$B7)*(economics!$D$2:$D$167="process")*economics!$AH$2:$AH$167*_xlfn.NORM.DIST(AV$3,economics!$AK$2:$AK$167,economics!$AJ$2:$AJ$167,TRUE)),0)</f>
        <v/>
      </c>
      <c r="AW7" s="68">
        <f t="array" ref="AW7">IF($D7,SUMPRODUCT((economics!$AG$2:$AG$167=$B7)*(economics!$D$2:$D$167="process")*economics!$AH$2:$AH$167*_xlfn.NORM.DIST(AW$3,economics!$AK$2:$AK$167,economics!$AJ$2:$AJ$167,TRUE)),0)</f>
        <v/>
      </c>
      <c r="AX7" s="68">
        <f t="array" ref="AX7">IF($D7,SUMPRODUCT((economics!$AG$2:$AG$167=$B7)*(economics!$D$2:$D$167="process")*economics!$AH$2:$AH$167*_xlfn.NORM.DIST(AX$3,economics!$AK$2:$AK$167,economics!$AJ$2:$AJ$167,TRUE)),0)</f>
        <v/>
      </c>
      <c r="AY7" s="68">
        <f t="array" ref="AY7">IF($D7,SUMPRODUCT((economics!$AG$2:$AG$167=$B7)*(economics!$D$2:$D$167="process")*economics!$AH$2:$AH$167*_xlfn.NORM.DIST(AY$3,economics!$AK$2:$AK$167,economics!$AJ$2:$AJ$167,TRUE)),0)</f>
        <v/>
      </c>
      <c r="AZ7" s="68">
        <f t="array" ref="AZ7">IF($D7,SUMPRODUCT((economics!$AG$2:$AG$167=$B7)*(economics!$D$2:$D$167="process")*economics!$AH$2:$AH$167*_xlfn.NORM.DIST(AZ$3,economics!$AK$2:$AK$167,economics!$AJ$2:$AJ$167,TRUE)),0)</f>
        <v/>
      </c>
      <c r="BA7" s="68">
        <f t="array" ref="BA7">IF($D7,SUMPRODUCT((economics!$AG$2:$AG$167=$B7)*(economics!$D$2:$D$167="process")*economics!$AH$2:$AH$167*_xlfn.NORM.DIST(BA$3,economics!$AK$2:$AK$167,economics!$AJ$2:$AJ$167,TRUE)),0)</f>
        <v/>
      </c>
      <c r="BB7" s="68">
        <f t="array" ref="BB7">IF($D7,SUMPRODUCT((economics!$AG$2:$AG$167=$B7)*(economics!$D$2:$D$167="process")*economics!$AH$2:$AH$167*_xlfn.NORM.DIST(BB$3,economics!$AK$2:$AK$167,economics!$AJ$2:$AJ$167,TRUE)),0)</f>
        <v/>
      </c>
      <c r="BC7" s="68">
        <f t="array" ref="BC7">IF($D7,SUMPRODUCT((economics!$AG$2:$AG$167=$B7)*(economics!$D$2:$D$167="process")*economics!$AH$2:$AH$167*_xlfn.NORM.DIST(BC$3,economics!$AK$2:$AK$167,economics!$AJ$2:$AJ$167,TRUE)),0)</f>
        <v/>
      </c>
      <c r="BD7" s="68">
        <f t="array" ref="BD7">IF($D7,SUMPRODUCT((economics!$AG$2:$AG$167=$B7)*(economics!$D$2:$D$167="process")*economics!$AH$2:$AH$167*_xlfn.NORM.DIST(BD$3,economics!$AK$2:$AK$167,economics!$AJ$2:$AJ$167,TRUE)),0)</f>
        <v/>
      </c>
      <c r="BE7" s="68">
        <f t="array" ref="BE7">IF($D7,SUMPRODUCT((economics!$AG$2:$AG$167=$B7)*(economics!$D$2:$D$167="process")*economics!$AH$2:$AH$167*_xlfn.NORM.DIST(BE$3,economics!$AK$2:$AK$167,economics!$AJ$2:$AJ$167,TRUE)),0)</f>
        <v/>
      </c>
      <c r="BF7" s="68">
        <f t="array" ref="BF7">IF($D7,SUMPRODUCT((economics!$AG$2:$AG$167=$B7)*(economics!$D$2:$D$167="process")*economics!$AH$2:$AH$167*_xlfn.NORM.DIST(BF$3,economics!$AK$2:$AK$167,economics!$AJ$2:$AJ$167,TRUE)),0)</f>
        <v/>
      </c>
      <c r="BG7" s="68">
        <f t="array" ref="BG7">IF($D7,SUMPRODUCT((economics!$AG$2:$AG$167=$B7)*(economics!$D$2:$D$167="process")*economics!$AH$2:$AH$167*_xlfn.NORM.DIST(BG$3,economics!$AK$2:$AK$167,economics!$AJ$2:$AJ$167,TRUE)),0)</f>
        <v/>
      </c>
      <c r="BH7" s="68">
        <f t="array" ref="BH7">IF($D7,SUMPRODUCT((economics!$AG$2:$AG$167=$B7)*(economics!$D$2:$D$167="process")*economics!$AH$2:$AH$167*_xlfn.NORM.DIST(BH$3,economics!$AK$2:$AK$167,economics!$AJ$2:$AJ$167,TRUE)),0)</f>
        <v/>
      </c>
      <c r="BI7" s="68">
        <f t="array" ref="BI7">IF($D7,SUMPRODUCT((economics!$AG$2:$AG$167=$B7)*(economics!$D$2:$D$167="process")*economics!$AH$2:$AH$167*_xlfn.NORM.DIST(BI$3,economics!$AK$2:$AK$167,economics!$AJ$2:$AJ$167,TRUE)),0)</f>
        <v/>
      </c>
      <c r="BJ7" s="68">
        <f t="array" ref="BJ7">IF($D7,SUMPRODUCT((economics!$AG$2:$AG$167=$B7)*(economics!$D$2:$D$167="process")*economics!$AH$2:$AH$167*_xlfn.NORM.DIST(BJ$3,economics!$AK$2:$AK$167,economics!$AJ$2:$AJ$167,TRUE)),0)</f>
        <v/>
      </c>
      <c r="BK7" s="68">
        <f t="array" ref="BK7">IF($D7,SUMPRODUCT((economics!$AG$2:$AG$167=$B7)*(economics!$D$2:$D$167="process")*economics!$AH$2:$AH$167*_xlfn.NORM.DIST(BK$3,economics!$AK$2:$AK$167,economics!$AJ$2:$AJ$167,TRUE)),0)</f>
        <v/>
      </c>
      <c r="BL7" s="68">
        <f t="array" ref="BL7">IF($D7,SUMPRODUCT((economics!$AG$2:$AG$167=$B7)*(economics!$D$2:$D$167="process")*economics!$AH$2:$AH$167*_xlfn.NORM.DIST(BL$3,economics!$AK$2:$AK$167,economics!$AJ$2:$AJ$167,TRUE)),0)</f>
        <v/>
      </c>
      <c r="BM7" s="68">
        <f t="array" ref="BM7">IF($D7,SUMPRODUCT((economics!$AG$2:$AG$167=$B7)*(economics!$D$2:$D$167="process")*economics!$AH$2:$AH$167*_xlfn.NORM.DIST(BM$3,economics!$AK$2:$AK$167,economics!$AJ$2:$AJ$167,TRUE)),0)</f>
        <v/>
      </c>
      <c r="BN7" s="68">
        <f t="array" ref="BN7">IF($D7,SUMPRODUCT((economics!$AG$2:$AG$167=$B7)*(economics!$D$2:$D$167="process")*economics!$AH$2:$AH$167*_xlfn.NORM.DIST(BN$3,economics!$AK$2:$AK$167,economics!$AJ$2:$AJ$167,TRUE)),0)</f>
        <v/>
      </c>
      <c r="BO7" s="68">
        <f t="array" ref="BO7">IF($D7,SUMPRODUCT((economics!$AG$2:$AG$167=$B7)*(economics!$D$2:$D$167="process")*economics!$AH$2:$AH$167*_xlfn.NORM.DIST(BO$3,economics!$AK$2:$AK$167,economics!$AJ$2:$AJ$167,TRUE)),0)</f>
        <v/>
      </c>
      <c r="BP7" s="68">
        <f t="array" ref="BP7">IF($D7,SUMPRODUCT((economics!$AG$2:$AG$167=$B7)*(economics!$D$2:$D$167="process")*economics!$AH$2:$AH$167*_xlfn.NORM.DIST(BP$3,economics!$AK$2:$AK$167,economics!$AJ$2:$AJ$167,TRUE)),0)</f>
        <v/>
      </c>
      <c r="BQ7" s="68">
        <f t="array" ref="BQ7">IF($D7,SUMPRODUCT((economics!$AG$2:$AG$167=$B7)*(economics!$D$2:$D$167="process")*economics!$AH$2:$AH$167*_xlfn.NORM.DIST(BQ$3,economics!$AK$2:$AK$167,economics!$AJ$2:$AJ$167,TRUE)),0)</f>
        <v/>
      </c>
      <c r="BR7" s="68">
        <f t="array" ref="BR7">IF($D7,SUMPRODUCT((economics!$AG$2:$AG$167=$B7)*(economics!$D$2:$D$167="process")*economics!$AH$2:$AH$167*_xlfn.NORM.DIST(BR$3,economics!$AK$2:$AK$167,economics!$AJ$2:$AJ$167,TRUE)),0)</f>
        <v/>
      </c>
      <c r="BS7" s="68">
        <f t="array" ref="BS7">IF($D7,SUMPRODUCT((economics!$AG$2:$AG$167=$B7)*(economics!$D$2:$D$167="process")*economics!$AH$2:$AH$167*_xlfn.NORM.DIST(BS$3,economics!$AK$2:$AK$167,economics!$AJ$2:$AJ$167,TRUE)),0)</f>
        <v/>
      </c>
      <c r="BT7" s="68">
        <f t="array" ref="BT7">IF($D7,SUMPRODUCT((economics!$AG$2:$AG$167=$B7)*(economics!$D$2:$D$167="process")*economics!$AH$2:$AH$167*_xlfn.NORM.DIST(BT$3,economics!$AK$2:$AK$167,economics!$AJ$2:$AJ$167,TRUE)),0)</f>
        <v/>
      </c>
      <c r="BU7" s="68">
        <f t="array" ref="BU7">IF($D7,SUMPRODUCT((economics!$AG$2:$AG$167=$B7)*(economics!$D$2:$D$167="process")*economics!$AH$2:$AH$167*_xlfn.NORM.DIST(BU$3,economics!$AK$2:$AK$167,economics!$AJ$2:$AJ$167,TRUE)),0)</f>
        <v/>
      </c>
      <c r="BV7" s="68">
        <f t="array" ref="BV7">IF($D7,SUMPRODUCT((economics!$AG$2:$AG$167=$B7)*(economics!$D$2:$D$167="process")*economics!$AH$2:$AH$167*_xlfn.NORM.DIST(BV$3,economics!$AK$2:$AK$167,economics!$AJ$2:$AJ$167,TRUE)),0)</f>
        <v/>
      </c>
      <c r="BW7" s="68">
        <f t="array" ref="BW7">IF($D7,SUMPRODUCT((economics!$AG$2:$AG$167=$B7)*(economics!$D$2:$D$167="process")*economics!$AH$2:$AH$167*_xlfn.NORM.DIST(BW$3,economics!$AK$2:$AK$167,economics!$AJ$2:$AJ$167,TRUE)),0)</f>
        <v/>
      </c>
      <c r="BX7" s="68">
        <f t="array" ref="BX7">IF($D7,SUMPRODUCT((economics!$AG$2:$AG$167=$B7)*(economics!$D$2:$D$167="process")*economics!$AH$2:$AH$167*_xlfn.NORM.DIST(BX$3,economics!$AK$2:$AK$167,economics!$AJ$2:$AJ$167,TRUE)),0)</f>
        <v/>
      </c>
      <c r="BY7" s="68">
        <f t="array" ref="BY7">IF($D7,SUMPRODUCT((economics!$AG$2:$AG$167=$B7)*(economics!$D$2:$D$167="process")*economics!$AH$2:$AH$167*_xlfn.NORM.DIST(BY$3,economics!$AK$2:$AK$167,economics!$AJ$2:$AJ$167,TRUE)),0)</f>
        <v/>
      </c>
      <c r="BZ7" s="68">
        <f t="array" ref="BZ7">IF($D7,SUMPRODUCT((economics!$AG$2:$AG$167=$B7)*(economics!$D$2:$D$167="process")*economics!$AH$2:$AH$167*_xlfn.NORM.DIST(BZ$3,economics!$AK$2:$AK$167,economics!$AJ$2:$AJ$167,TRUE)),0)</f>
        <v/>
      </c>
      <c r="CA7" s="68">
        <f t="array" ref="CA7">IF($D7,SUMPRODUCT((economics!$AG$2:$AG$167=$B7)*(economics!$D$2:$D$167="process")*economics!$AH$2:$AH$167*_xlfn.NORM.DIST(CA$3,economics!$AK$2:$AK$167,economics!$AJ$2:$AJ$167,TRUE)),0)</f>
        <v/>
      </c>
      <c r="CB7" s="68">
        <f t="array" ref="CB7">IF($D7,SUMPRODUCT((economics!$AG$2:$AG$167=$B7)*(economics!$D$2:$D$167="process")*economics!$AH$2:$AH$167*_xlfn.NORM.DIST(CB$3,economics!$AK$2:$AK$167,economics!$AJ$2:$AJ$167,TRUE)),0)</f>
        <v/>
      </c>
      <c r="CC7" s="68">
        <f t="array" ref="CC7">IF($D7,SUMPRODUCT((economics!$AG$2:$AG$167=$B7)*(economics!$D$2:$D$167="process")*economics!$AH$2:$AH$167*_xlfn.NORM.DIST(CC$3,economics!$AK$2:$AK$167,economics!$AJ$2:$AJ$167,TRUE)),0)</f>
        <v/>
      </c>
      <c r="CD7" s="68">
        <f t="array" ref="CD7">IF($D7,SUMPRODUCT((economics!$AG$2:$AG$167=$B7)*(economics!$D$2:$D$167="process")*economics!$AH$2:$AH$167*_xlfn.NORM.DIST(CD$3,economics!$AK$2:$AK$167,economics!$AJ$2:$AJ$167,TRUE)),0)</f>
        <v/>
      </c>
      <c r="CE7" s="68">
        <f t="array" ref="CE7">IF($D7,SUMPRODUCT((economics!$AG$2:$AG$167=$B7)*(economics!$D$2:$D$167="process")*economics!$AH$2:$AH$167*_xlfn.NORM.DIST(CE$3,economics!$AK$2:$AK$167,economics!$AJ$2:$AJ$167,TRUE)),0)</f>
        <v/>
      </c>
      <c r="CF7" s="68">
        <f t="array" ref="CF7">IF($D7,SUMPRODUCT((economics!$AG$2:$AG$167=$B7)*(economics!$D$2:$D$167="process")*economics!$AH$2:$AH$167*_xlfn.NORM.DIST(CF$3,economics!$AK$2:$AK$167,economics!$AJ$2:$AJ$167,TRUE)),0)</f>
        <v/>
      </c>
      <c r="CG7" s="68">
        <f t="array" ref="CG7">IF($D7,SUMPRODUCT((economics!$AG$2:$AG$167=$B7)*(economics!$D$2:$D$167="process")*economics!$AH$2:$AH$167*_xlfn.NORM.DIST(CG$3,economics!$AK$2:$AK$167,economics!$AJ$2:$AJ$167,TRUE)),0)</f>
        <v/>
      </c>
      <c r="CH7" s="68">
        <f t="array" ref="CH7">IF($D7,SUMPRODUCT((economics!$AG$2:$AG$167=$B7)*(economics!$D$2:$D$167="process")*economics!$AH$2:$AH$167*_xlfn.NORM.DIST(CH$3,economics!$AK$2:$AK$167,economics!$AJ$2:$AJ$167,TRUE)),0)</f>
        <v/>
      </c>
    </row>
    <row r="8">
      <c r="A8">
        <f>WHRPbI!A6</f>
        <v/>
      </c>
      <c r="B8" t="inlineStr">
        <is>
          <t>10T12</t>
        </is>
      </c>
      <c r="C8" s="68">
        <f>WHRPbI!B6</f>
        <v/>
      </c>
      <c r="D8">
        <f>ISNUMBER(MATCH($B8,'energy base (MECS)'!$K$4:$K$9,0))</f>
        <v/>
      </c>
      <c r="E8" s="68">
        <f t="array" ref="E8">IF($D8,SUMPRODUCT((economics!$AG$2:$AG$167=$B8)*(economics!$D$2:$D$167="process")*economics!$AH$2:$AH$167*_xlfn.NORM.DIST(E$3,economics!$AK$2:$AK$167,economics!$AJ$2:$AJ$167,TRUE)),0)</f>
        <v/>
      </c>
      <c r="F8" s="68">
        <f t="array" ref="F8">IF($D8,SUMPRODUCT((economics!$AG$2:$AG$167=$B8)*(economics!$D$2:$D$167="process")*economics!$AH$2:$AH$167*_xlfn.NORM.DIST(F$3,economics!$AK$2:$AK$167,economics!$AJ$2:$AJ$167,TRUE)),0)</f>
        <v/>
      </c>
      <c r="G8" s="68">
        <f t="array" ref="G8">IF($D8,SUMPRODUCT((economics!$AG$2:$AG$167=$B8)*(economics!$D$2:$D$167="process")*economics!$AH$2:$AH$167*_xlfn.NORM.DIST(G$3,economics!$AK$2:$AK$167,economics!$AJ$2:$AJ$167,TRUE)),0)</f>
        <v/>
      </c>
      <c r="H8" s="68">
        <f t="array" ref="H8">IF($D8,SUMPRODUCT((economics!$AG$2:$AG$167=$B8)*(economics!$D$2:$D$167="process")*economics!$AH$2:$AH$167*_xlfn.NORM.DIST(H$3,economics!$AK$2:$AK$167,economics!$AJ$2:$AJ$167,TRUE)),0)</f>
        <v/>
      </c>
      <c r="I8" s="68">
        <f t="array" ref="I8">IF($D8,SUMPRODUCT((economics!$AG$2:$AG$167=$B8)*(economics!$D$2:$D$167="process")*economics!$AH$2:$AH$167*_xlfn.NORM.DIST(I$3,economics!$AK$2:$AK$167,economics!$AJ$2:$AJ$167,TRUE)),0)</f>
        <v/>
      </c>
      <c r="J8" s="68">
        <f t="array" ref="J8">IF($D8,SUMPRODUCT((economics!$AG$2:$AG$167=$B8)*(economics!$D$2:$D$167="process")*economics!$AH$2:$AH$167*_xlfn.NORM.DIST(J$3,economics!$AK$2:$AK$167,economics!$AJ$2:$AJ$167,TRUE)),0)</f>
        <v/>
      </c>
      <c r="K8" s="68">
        <f t="array" ref="K8">IF($D8,SUMPRODUCT((economics!$AG$2:$AG$167=$B8)*(economics!$D$2:$D$167="process")*economics!$AH$2:$AH$167*_xlfn.NORM.DIST(K$3,economics!$AK$2:$AK$167,economics!$AJ$2:$AJ$167,TRUE)),0)</f>
        <v/>
      </c>
      <c r="L8" s="68">
        <f t="array" ref="L8">IF($D8,SUMPRODUCT((economics!$AG$2:$AG$167=$B8)*(economics!$D$2:$D$167="process")*economics!$AH$2:$AH$167*_xlfn.NORM.DIST(L$3,economics!$AK$2:$AK$167,economics!$AJ$2:$AJ$167,TRUE)),0)</f>
        <v/>
      </c>
      <c r="M8" s="68">
        <f t="array" ref="M8">IF($D8,SUMPRODUCT((economics!$AG$2:$AG$167=$B8)*(economics!$D$2:$D$167="process")*economics!$AH$2:$AH$167*_xlfn.NORM.DIST(M$3,economics!$AK$2:$AK$167,economics!$AJ$2:$AJ$167,TRUE)),0)</f>
        <v/>
      </c>
      <c r="N8" s="68">
        <f t="array" ref="N8">IF($D8,SUMPRODUCT((economics!$AG$2:$AG$167=$B8)*(economics!$D$2:$D$167="process")*economics!$AH$2:$AH$167*_xlfn.NORM.DIST(N$3,economics!$AK$2:$AK$167,economics!$AJ$2:$AJ$167,TRUE)),0)</f>
        <v/>
      </c>
      <c r="O8" s="68">
        <f t="array" ref="O8">IF($D8,SUMPRODUCT((economics!$AG$2:$AG$167=$B8)*(economics!$D$2:$D$167="process")*economics!$AH$2:$AH$167*_xlfn.NORM.DIST(O$3,economics!$AK$2:$AK$167,economics!$AJ$2:$AJ$167,TRUE)),0)</f>
        <v/>
      </c>
      <c r="P8" s="68">
        <f t="array" ref="P8">IF($D8,SUMPRODUCT((economics!$AG$2:$AG$167=$B8)*(economics!$D$2:$D$167="process")*economics!$AH$2:$AH$167*_xlfn.NORM.DIST(P$3,economics!$AK$2:$AK$167,economics!$AJ$2:$AJ$167,TRUE)),0)</f>
        <v/>
      </c>
      <c r="Q8" s="68">
        <f t="array" ref="Q8">IF($D8,SUMPRODUCT((economics!$AG$2:$AG$167=$B8)*(economics!$D$2:$D$167="process")*economics!$AH$2:$AH$167*_xlfn.NORM.DIST(Q$3,economics!$AK$2:$AK$167,economics!$AJ$2:$AJ$167,TRUE)),0)</f>
        <v/>
      </c>
      <c r="R8" s="68">
        <f t="array" ref="R8">IF($D8,SUMPRODUCT((economics!$AG$2:$AG$167=$B8)*(economics!$D$2:$D$167="process")*economics!$AH$2:$AH$167*_xlfn.NORM.DIST(R$3,economics!$AK$2:$AK$167,economics!$AJ$2:$AJ$167,TRUE)),0)</f>
        <v/>
      </c>
      <c r="S8" s="68">
        <f t="array" ref="S8">IF($D8,SUMPRODUCT((economics!$AG$2:$AG$167=$B8)*(economics!$D$2:$D$167="process")*economics!$AH$2:$AH$167*_xlfn.NORM.DIST(S$3,economics!$AK$2:$AK$167,economics!$AJ$2:$AJ$167,TRUE)),0)</f>
        <v/>
      </c>
      <c r="T8" s="68">
        <f t="array" ref="T8">IF($D8,SUMPRODUCT((economics!$AG$2:$AG$167=$B8)*(economics!$D$2:$D$167="process")*economics!$AH$2:$AH$167*_xlfn.NORM.DIST(T$3,economics!$AK$2:$AK$167,economics!$AJ$2:$AJ$167,TRUE)),0)</f>
        <v/>
      </c>
      <c r="U8" s="68">
        <f t="array" ref="U8">IF($D8,SUMPRODUCT((economics!$AG$2:$AG$167=$B8)*(economics!$D$2:$D$167="process")*economics!$AH$2:$AH$167*_xlfn.NORM.DIST(U$3,economics!$AK$2:$AK$167,economics!$AJ$2:$AJ$167,TRUE)),0)</f>
        <v/>
      </c>
      <c r="V8" s="68">
        <f t="array" ref="V8">IF($D8,SUMPRODUCT((economics!$AG$2:$AG$167=$B8)*(economics!$D$2:$D$167="process")*economics!$AH$2:$AH$167*_xlfn.NORM.DIST(V$3,economics!$AK$2:$AK$167,economics!$AJ$2:$AJ$167,TRUE)),0)</f>
        <v/>
      </c>
      <c r="W8" s="68">
        <f t="array" ref="W8">IF($D8,SUMPRODUCT((economics!$AG$2:$AG$167=$B8)*(economics!$D$2:$D$167="process")*economics!$AH$2:$AH$167*_xlfn.NORM.DIST(W$3,economics!$AK$2:$AK$167,economics!$AJ$2:$AJ$167,TRUE)),0)</f>
        <v/>
      </c>
      <c r="X8" s="68">
        <f t="array" ref="X8">IF($D8,SUMPRODUCT((economics!$AG$2:$AG$167=$B8)*(economics!$D$2:$D$167="process")*economics!$AH$2:$AH$167*_xlfn.NORM.DIST(X$3,economics!$AK$2:$AK$167,economics!$AJ$2:$AJ$167,TRUE)),0)</f>
        <v/>
      </c>
      <c r="Y8" s="68">
        <f t="array" ref="Y8">IF($D8,SUMPRODUCT((economics!$AG$2:$AG$167=$B8)*(economics!$D$2:$D$167="process")*economics!$AH$2:$AH$167*_xlfn.NORM.DIST(Y$3,economics!$AK$2:$AK$167,economics!$AJ$2:$AJ$167,TRUE)),0)</f>
        <v/>
      </c>
      <c r="Z8" s="68">
        <f t="array" ref="Z8">IF($D8,SUMPRODUCT((economics!$AG$2:$AG$167=$B8)*(economics!$D$2:$D$167="process")*economics!$AH$2:$AH$167*_xlfn.NORM.DIST(Z$3,economics!$AK$2:$AK$167,economics!$AJ$2:$AJ$167,TRUE)),0)</f>
        <v/>
      </c>
      <c r="AA8" s="68">
        <f t="array" ref="AA8">IF($D8,SUMPRODUCT((economics!$AG$2:$AG$167=$B8)*(economics!$D$2:$D$167="process")*economics!$AH$2:$AH$167*_xlfn.NORM.DIST(AA$3,economics!$AK$2:$AK$167,economics!$AJ$2:$AJ$167,TRUE)),0)</f>
        <v/>
      </c>
      <c r="AB8" s="68">
        <f t="array" ref="AB8">IF($D8,SUMPRODUCT((economics!$AG$2:$AG$167=$B8)*(economics!$D$2:$D$167="process")*economics!$AH$2:$AH$167*_xlfn.NORM.DIST(AB$3,economics!$AK$2:$AK$167,economics!$AJ$2:$AJ$167,TRUE)),0)</f>
        <v/>
      </c>
      <c r="AC8" s="68">
        <f t="array" ref="AC8">IF($D8,SUMPRODUCT((economics!$AG$2:$AG$167=$B8)*(economics!$D$2:$D$167="process")*economics!$AH$2:$AH$167*_xlfn.NORM.DIST(AC$3,economics!$AK$2:$AK$167,economics!$AJ$2:$AJ$167,TRUE)),0)</f>
        <v/>
      </c>
      <c r="AD8" s="68">
        <f t="array" ref="AD8">IF($D8,SUMPRODUCT((economics!$AG$2:$AG$167=$B8)*(economics!$D$2:$D$167="process")*economics!$AH$2:$AH$167*_xlfn.NORM.DIST(AD$3,economics!$AK$2:$AK$167,economics!$AJ$2:$AJ$167,TRUE)),0)</f>
        <v/>
      </c>
      <c r="AE8" s="68">
        <f t="array" ref="AE8">IF($D8,SUMPRODUCT((economics!$AG$2:$AG$167=$B8)*(economics!$D$2:$D$167="process")*economics!$AH$2:$AH$167*_xlfn.NORM.DIST(AE$3,economics!$AK$2:$AK$167,economics!$AJ$2:$AJ$167,TRUE)),0)</f>
        <v/>
      </c>
      <c r="AF8" s="68">
        <f t="array" ref="AF8">IF($D8,SUMPRODUCT((economics!$AG$2:$AG$167=$B8)*(economics!$D$2:$D$167="process")*economics!$AH$2:$AH$167*_xlfn.NORM.DIST(AF$3,economics!$AK$2:$AK$167,economics!$AJ$2:$AJ$167,TRUE)),0)</f>
        <v/>
      </c>
      <c r="AG8" s="68">
        <f t="array" ref="AG8">IF($D8,SUMPRODUCT((economics!$AG$2:$AG$167=$B8)*(economics!$D$2:$D$167="process")*economics!$AH$2:$AH$167*_xlfn.NORM.DIST(AG$3,economics!$AK$2:$AK$167,economics!$AJ$2:$AJ$167,TRUE)),0)</f>
        <v/>
      </c>
      <c r="AH8" s="68">
        <f t="array" ref="AH8">IF($D8,SUMPRODUCT((economics!$AG$2:$AG$167=$B8)*(economics!$D$2:$D$167="process")*economics!$AH$2:$AH$167*_xlfn.NORM.DIST(AH$3,economics!$AK$2:$AK$167,economics!$AJ$2:$AJ$167,TRUE)),0)</f>
        <v/>
      </c>
      <c r="AI8" s="68">
        <f t="array" ref="AI8">IF($D8,SUMPRODUCT((economics!$AG$2:$AG$167=$B8)*(economics!$D$2:$D$167="process")*economics!$AH$2:$AH$167*_xlfn.NORM.DIST(AI$3,economics!$AK$2:$AK$167,economics!$AJ$2:$AJ$167,TRUE)),0)</f>
        <v/>
      </c>
      <c r="AJ8" s="68">
        <f t="array" ref="AJ8">IF($D8,SUMPRODUCT((economics!$AG$2:$AG$167=$B8)*(economics!$D$2:$D$167="process")*economics!$AH$2:$AH$167*_xlfn.NORM.DIST(AJ$3,economics!$AK$2:$AK$167,economics!$AJ$2:$AJ$167,TRUE)),0)</f>
        <v/>
      </c>
      <c r="AK8" s="68">
        <f t="array" ref="AK8">IF($D8,SUMPRODUCT((economics!$AG$2:$AG$167=$B8)*(economics!$D$2:$D$167="process")*economics!$AH$2:$AH$167*_xlfn.NORM.DIST(AK$3,economics!$AK$2:$AK$167,economics!$AJ$2:$AJ$167,TRUE)),0)</f>
        <v/>
      </c>
      <c r="AL8" s="68">
        <f t="array" ref="AL8">IF($D8,SUMPRODUCT((economics!$AG$2:$AG$167=$B8)*(economics!$D$2:$D$167="process")*economics!$AH$2:$AH$167*_xlfn.NORM.DIST(AL$3,economics!$AK$2:$AK$167,economics!$AJ$2:$AJ$167,TRUE)),0)</f>
        <v/>
      </c>
      <c r="AM8" s="68">
        <f t="array" ref="AM8">IF($D8,SUMPRODUCT((economics!$AG$2:$AG$167=$B8)*(economics!$D$2:$D$167="process")*economics!$AH$2:$AH$167*_xlfn.NORM.DIST(AM$3,economics!$AK$2:$AK$167,economics!$AJ$2:$AJ$167,TRUE)),0)</f>
        <v/>
      </c>
      <c r="AN8" s="68">
        <f t="array" ref="AN8">IF($D8,SUMPRODUCT((economics!$AG$2:$AG$167=$B8)*(economics!$D$2:$D$167="process")*economics!$AH$2:$AH$167*_xlfn.NORM.DIST(AN$3,economics!$AK$2:$AK$167,economics!$AJ$2:$AJ$167,TRUE)),0)</f>
        <v/>
      </c>
      <c r="AO8" s="68">
        <f t="array" ref="AO8">IF($D8,SUMPRODUCT((economics!$AG$2:$AG$167=$B8)*(economics!$D$2:$D$167="process")*economics!$AH$2:$AH$167*_xlfn.NORM.DIST(AO$3,economics!$AK$2:$AK$167,economics!$AJ$2:$AJ$167,TRUE)),0)</f>
        <v/>
      </c>
      <c r="AP8" s="68">
        <f t="array" ref="AP8">IF($D8,SUMPRODUCT((economics!$AG$2:$AG$167=$B8)*(economics!$D$2:$D$167="process")*economics!$AH$2:$AH$167*_xlfn.NORM.DIST(AP$3,economics!$AK$2:$AK$167,economics!$AJ$2:$AJ$167,TRUE)),0)</f>
        <v/>
      </c>
      <c r="AQ8" s="68">
        <f t="array" ref="AQ8">IF($D8,SUMPRODUCT((economics!$AG$2:$AG$167=$B8)*(economics!$D$2:$D$167="process")*economics!$AH$2:$AH$167*_xlfn.NORM.DIST(AQ$3,economics!$AK$2:$AK$167,economics!$AJ$2:$AJ$167,TRUE)),0)</f>
        <v/>
      </c>
      <c r="AR8" s="68">
        <f t="array" ref="AR8">IF($D8,SUMPRODUCT((economics!$AG$2:$AG$167=$B8)*(economics!$D$2:$D$167="process")*economics!$AH$2:$AH$167*_xlfn.NORM.DIST(AR$3,economics!$AK$2:$AK$167,economics!$AJ$2:$AJ$167,TRUE)),0)</f>
        <v/>
      </c>
      <c r="AS8" s="68">
        <f t="array" ref="AS8">IF($D8,SUMPRODUCT((economics!$AG$2:$AG$167=$B8)*(economics!$D$2:$D$167="process")*economics!$AH$2:$AH$167*_xlfn.NORM.DIST(AS$3,economics!$AK$2:$AK$167,economics!$AJ$2:$AJ$167,TRUE)),0)</f>
        <v/>
      </c>
      <c r="AT8" s="68">
        <f t="array" ref="AT8">IF($D8,SUMPRODUCT((economics!$AG$2:$AG$167=$B8)*(economics!$D$2:$D$167="process")*economics!$AH$2:$AH$167*_xlfn.NORM.DIST(AT$3,economics!$AK$2:$AK$167,economics!$AJ$2:$AJ$167,TRUE)),0)</f>
        <v/>
      </c>
      <c r="AU8" s="68">
        <f t="array" ref="AU8">IF($D8,SUMPRODUCT((economics!$AG$2:$AG$167=$B8)*(economics!$D$2:$D$167="process")*economics!$AH$2:$AH$167*_xlfn.NORM.DIST(AU$3,economics!$AK$2:$AK$167,economics!$AJ$2:$AJ$167,TRUE)),0)</f>
        <v/>
      </c>
      <c r="AV8" s="68">
        <f t="array" ref="AV8">IF($D8,SUMPRODUCT((economics!$AG$2:$AG$167=$B8)*(economics!$D$2:$D$167="process")*economics!$AH$2:$AH$167*_xlfn.NORM.DIST(AV$3,economics!$AK$2:$AK$167,economics!$AJ$2:$AJ$167,TRUE)),0)</f>
        <v/>
      </c>
      <c r="AW8" s="68">
        <f t="array" ref="AW8">IF($D8,SUMPRODUCT((economics!$AG$2:$AG$167=$B8)*(economics!$D$2:$D$167="process")*economics!$AH$2:$AH$167*_xlfn.NORM.DIST(AW$3,economics!$AK$2:$AK$167,economics!$AJ$2:$AJ$167,TRUE)),0)</f>
        <v/>
      </c>
      <c r="AX8" s="68">
        <f t="array" ref="AX8">IF($D8,SUMPRODUCT((economics!$AG$2:$AG$167=$B8)*(economics!$D$2:$D$167="process")*economics!$AH$2:$AH$167*_xlfn.NORM.DIST(AX$3,economics!$AK$2:$AK$167,economics!$AJ$2:$AJ$167,TRUE)),0)</f>
        <v/>
      </c>
      <c r="AY8" s="68">
        <f t="array" ref="AY8">IF($D8,SUMPRODUCT((economics!$AG$2:$AG$167=$B8)*(economics!$D$2:$D$167="process")*economics!$AH$2:$AH$167*_xlfn.NORM.DIST(AY$3,economics!$AK$2:$AK$167,economics!$AJ$2:$AJ$167,TRUE)),0)</f>
        <v/>
      </c>
      <c r="AZ8" s="68">
        <f t="array" ref="AZ8">IF($D8,SUMPRODUCT((economics!$AG$2:$AG$167=$B8)*(economics!$D$2:$D$167="process")*economics!$AH$2:$AH$167*_xlfn.NORM.DIST(AZ$3,economics!$AK$2:$AK$167,economics!$AJ$2:$AJ$167,TRUE)),0)</f>
        <v/>
      </c>
      <c r="BA8" s="68">
        <f t="array" ref="BA8">IF($D8,SUMPRODUCT((economics!$AG$2:$AG$167=$B8)*(economics!$D$2:$D$167="process")*economics!$AH$2:$AH$167*_xlfn.NORM.DIST(BA$3,economics!$AK$2:$AK$167,economics!$AJ$2:$AJ$167,TRUE)),0)</f>
        <v/>
      </c>
      <c r="BB8" s="68">
        <f t="array" ref="BB8">IF($D8,SUMPRODUCT((economics!$AG$2:$AG$167=$B8)*(economics!$D$2:$D$167="process")*economics!$AH$2:$AH$167*_xlfn.NORM.DIST(BB$3,economics!$AK$2:$AK$167,economics!$AJ$2:$AJ$167,TRUE)),0)</f>
        <v/>
      </c>
      <c r="BC8" s="68">
        <f t="array" ref="BC8">IF($D8,SUMPRODUCT((economics!$AG$2:$AG$167=$B8)*(economics!$D$2:$D$167="process")*economics!$AH$2:$AH$167*_xlfn.NORM.DIST(BC$3,economics!$AK$2:$AK$167,economics!$AJ$2:$AJ$167,TRUE)),0)</f>
        <v/>
      </c>
      <c r="BD8" s="68">
        <f t="array" ref="BD8">IF($D8,SUMPRODUCT((economics!$AG$2:$AG$167=$B8)*(economics!$D$2:$D$167="process")*economics!$AH$2:$AH$167*_xlfn.NORM.DIST(BD$3,economics!$AK$2:$AK$167,economics!$AJ$2:$AJ$167,TRUE)),0)</f>
        <v/>
      </c>
      <c r="BE8" s="68">
        <f t="array" ref="BE8">IF($D8,SUMPRODUCT((economics!$AG$2:$AG$167=$B8)*(economics!$D$2:$D$167="process")*economics!$AH$2:$AH$167*_xlfn.NORM.DIST(BE$3,economics!$AK$2:$AK$167,economics!$AJ$2:$AJ$167,TRUE)),0)</f>
        <v/>
      </c>
      <c r="BF8" s="68">
        <f t="array" ref="BF8">IF($D8,SUMPRODUCT((economics!$AG$2:$AG$167=$B8)*(economics!$D$2:$D$167="process")*economics!$AH$2:$AH$167*_xlfn.NORM.DIST(BF$3,economics!$AK$2:$AK$167,economics!$AJ$2:$AJ$167,TRUE)),0)</f>
        <v/>
      </c>
      <c r="BG8" s="68">
        <f t="array" ref="BG8">IF($D8,SUMPRODUCT((economics!$AG$2:$AG$167=$B8)*(economics!$D$2:$D$167="process")*economics!$AH$2:$AH$167*_xlfn.NORM.DIST(BG$3,economics!$AK$2:$AK$167,economics!$AJ$2:$AJ$167,TRUE)),0)</f>
        <v/>
      </c>
      <c r="BH8" s="68">
        <f t="array" ref="BH8">IF($D8,SUMPRODUCT((economics!$AG$2:$AG$167=$B8)*(economics!$D$2:$D$167="process")*economics!$AH$2:$AH$167*_xlfn.NORM.DIST(BH$3,economics!$AK$2:$AK$167,economics!$AJ$2:$AJ$167,TRUE)),0)</f>
        <v/>
      </c>
      <c r="BI8" s="68">
        <f t="array" ref="BI8">IF($D8,SUMPRODUCT((economics!$AG$2:$AG$167=$B8)*(economics!$D$2:$D$167="process")*economics!$AH$2:$AH$167*_xlfn.NORM.DIST(BI$3,economics!$AK$2:$AK$167,economics!$AJ$2:$AJ$167,TRUE)),0)</f>
        <v/>
      </c>
      <c r="BJ8" s="68">
        <f t="array" ref="BJ8">IF($D8,SUMPRODUCT((economics!$AG$2:$AG$167=$B8)*(economics!$D$2:$D$167="process")*economics!$AH$2:$AH$167*_xlfn.NORM.DIST(BJ$3,economics!$AK$2:$AK$167,economics!$AJ$2:$AJ$167,TRUE)),0)</f>
        <v/>
      </c>
      <c r="BK8" s="68">
        <f t="array" ref="BK8">IF($D8,SUMPRODUCT((economics!$AG$2:$AG$167=$B8)*(economics!$D$2:$D$167="process")*economics!$AH$2:$AH$167*_xlfn.NORM.DIST(BK$3,economics!$AK$2:$AK$167,economics!$AJ$2:$AJ$167,TRUE)),0)</f>
        <v/>
      </c>
      <c r="BL8" s="68">
        <f t="array" ref="BL8">IF($D8,SUMPRODUCT((economics!$AG$2:$AG$167=$B8)*(economics!$D$2:$D$167="process")*economics!$AH$2:$AH$167*_xlfn.NORM.DIST(BL$3,economics!$AK$2:$AK$167,economics!$AJ$2:$AJ$167,TRUE)),0)</f>
        <v/>
      </c>
      <c r="BM8" s="68">
        <f t="array" ref="BM8">IF($D8,SUMPRODUCT((economics!$AG$2:$AG$167=$B8)*(economics!$D$2:$D$167="process")*economics!$AH$2:$AH$167*_xlfn.NORM.DIST(BM$3,economics!$AK$2:$AK$167,economics!$AJ$2:$AJ$167,TRUE)),0)</f>
        <v/>
      </c>
      <c r="BN8" s="68">
        <f t="array" ref="BN8">IF($D8,SUMPRODUCT((economics!$AG$2:$AG$167=$B8)*(economics!$D$2:$D$167="process")*economics!$AH$2:$AH$167*_xlfn.NORM.DIST(BN$3,economics!$AK$2:$AK$167,economics!$AJ$2:$AJ$167,TRUE)),0)</f>
        <v/>
      </c>
      <c r="BO8" s="68">
        <f t="array" ref="BO8">IF($D8,SUMPRODUCT((economics!$AG$2:$AG$167=$B8)*(economics!$D$2:$D$167="process")*economics!$AH$2:$AH$167*_xlfn.NORM.DIST(BO$3,economics!$AK$2:$AK$167,economics!$AJ$2:$AJ$167,TRUE)),0)</f>
        <v/>
      </c>
      <c r="BP8" s="68">
        <f t="array" ref="BP8">IF($D8,SUMPRODUCT((economics!$AG$2:$AG$167=$B8)*(economics!$D$2:$D$167="process")*economics!$AH$2:$AH$167*_xlfn.NORM.DIST(BP$3,economics!$AK$2:$AK$167,economics!$AJ$2:$AJ$167,TRUE)),0)</f>
        <v/>
      </c>
      <c r="BQ8" s="68">
        <f t="array" ref="BQ8">IF($D8,SUMPRODUCT((economics!$AG$2:$AG$167=$B8)*(economics!$D$2:$D$167="process")*economics!$AH$2:$AH$167*_xlfn.NORM.DIST(BQ$3,economics!$AK$2:$AK$167,economics!$AJ$2:$AJ$167,TRUE)),0)</f>
        <v/>
      </c>
      <c r="BR8" s="68">
        <f t="array" ref="BR8">IF($D8,SUMPRODUCT((economics!$AG$2:$AG$167=$B8)*(economics!$D$2:$D$167="process")*economics!$AH$2:$AH$167*_xlfn.NORM.DIST(BR$3,economics!$AK$2:$AK$167,economics!$AJ$2:$AJ$167,TRUE)),0)</f>
        <v/>
      </c>
      <c r="BS8" s="68">
        <f t="array" ref="BS8">IF($D8,SUMPRODUCT((economics!$AG$2:$AG$167=$B8)*(economics!$D$2:$D$167="process")*economics!$AH$2:$AH$167*_xlfn.NORM.DIST(BS$3,economics!$AK$2:$AK$167,economics!$AJ$2:$AJ$167,TRUE)),0)</f>
        <v/>
      </c>
      <c r="BT8" s="68">
        <f t="array" ref="BT8">IF($D8,SUMPRODUCT((economics!$AG$2:$AG$167=$B8)*(economics!$D$2:$D$167="process")*economics!$AH$2:$AH$167*_xlfn.NORM.DIST(BT$3,economics!$AK$2:$AK$167,economics!$AJ$2:$AJ$167,TRUE)),0)</f>
        <v/>
      </c>
      <c r="BU8" s="68">
        <f t="array" ref="BU8">IF($D8,SUMPRODUCT((economics!$AG$2:$AG$167=$B8)*(economics!$D$2:$D$167="process")*economics!$AH$2:$AH$167*_xlfn.NORM.DIST(BU$3,economics!$AK$2:$AK$167,economics!$AJ$2:$AJ$167,TRUE)),0)</f>
        <v/>
      </c>
      <c r="BV8" s="68">
        <f t="array" ref="BV8">IF($D8,SUMPRODUCT((economics!$AG$2:$AG$167=$B8)*(economics!$D$2:$D$167="process")*economics!$AH$2:$AH$167*_xlfn.NORM.DIST(BV$3,economics!$AK$2:$AK$167,economics!$AJ$2:$AJ$167,TRUE)),0)</f>
        <v/>
      </c>
      <c r="BW8" s="68">
        <f t="array" ref="BW8">IF($D8,SUMPRODUCT((economics!$AG$2:$AG$167=$B8)*(economics!$D$2:$D$167="process")*economics!$AH$2:$AH$167*_xlfn.NORM.DIST(BW$3,economics!$AK$2:$AK$167,economics!$AJ$2:$AJ$167,TRUE)),0)</f>
        <v/>
      </c>
      <c r="BX8" s="68">
        <f t="array" ref="BX8">IF($D8,SUMPRODUCT((economics!$AG$2:$AG$167=$B8)*(economics!$D$2:$D$167="process")*economics!$AH$2:$AH$167*_xlfn.NORM.DIST(BX$3,economics!$AK$2:$AK$167,economics!$AJ$2:$AJ$167,TRUE)),0)</f>
        <v/>
      </c>
      <c r="BY8" s="68">
        <f t="array" ref="BY8">IF($D8,SUMPRODUCT((economics!$AG$2:$AG$167=$B8)*(economics!$D$2:$D$167="process")*economics!$AH$2:$AH$167*_xlfn.NORM.DIST(BY$3,economics!$AK$2:$AK$167,economics!$AJ$2:$AJ$167,TRUE)),0)</f>
        <v/>
      </c>
      <c r="BZ8" s="68">
        <f t="array" ref="BZ8">IF($D8,SUMPRODUCT((economics!$AG$2:$AG$167=$B8)*(economics!$D$2:$D$167="process")*economics!$AH$2:$AH$167*_xlfn.NORM.DIST(BZ$3,economics!$AK$2:$AK$167,economics!$AJ$2:$AJ$167,TRUE)),0)</f>
        <v/>
      </c>
      <c r="CA8" s="68">
        <f t="array" ref="CA8">IF($D8,SUMPRODUCT((economics!$AG$2:$AG$167=$B8)*(economics!$D$2:$D$167="process")*economics!$AH$2:$AH$167*_xlfn.NORM.DIST(CA$3,economics!$AK$2:$AK$167,economics!$AJ$2:$AJ$167,TRUE)),0)</f>
        <v/>
      </c>
      <c r="CB8" s="68">
        <f t="array" ref="CB8">IF($D8,SUMPRODUCT((economics!$AG$2:$AG$167=$B8)*(economics!$D$2:$D$167="process")*economics!$AH$2:$AH$167*_xlfn.NORM.DIST(CB$3,economics!$AK$2:$AK$167,economics!$AJ$2:$AJ$167,TRUE)),0)</f>
        <v/>
      </c>
      <c r="CC8" s="68">
        <f t="array" ref="CC8">IF($D8,SUMPRODUCT((economics!$AG$2:$AG$167=$B8)*(economics!$D$2:$D$167="process")*economics!$AH$2:$AH$167*_xlfn.NORM.DIST(CC$3,economics!$AK$2:$AK$167,economics!$AJ$2:$AJ$167,TRUE)),0)</f>
        <v/>
      </c>
      <c r="CD8" s="68">
        <f t="array" ref="CD8">IF($D8,SUMPRODUCT((economics!$AG$2:$AG$167=$B8)*(economics!$D$2:$D$167="process")*economics!$AH$2:$AH$167*_xlfn.NORM.DIST(CD$3,economics!$AK$2:$AK$167,economics!$AJ$2:$AJ$167,TRUE)),0)</f>
        <v/>
      </c>
      <c r="CE8" s="68">
        <f t="array" ref="CE8">IF($D8,SUMPRODUCT((economics!$AG$2:$AG$167=$B8)*(economics!$D$2:$D$167="process")*economics!$AH$2:$AH$167*_xlfn.NORM.DIST(CE$3,economics!$AK$2:$AK$167,economics!$AJ$2:$AJ$167,TRUE)),0)</f>
        <v/>
      </c>
      <c r="CF8" s="68">
        <f t="array" ref="CF8">IF($D8,SUMPRODUCT((economics!$AG$2:$AG$167=$B8)*(economics!$D$2:$D$167="process")*economics!$AH$2:$AH$167*_xlfn.NORM.DIST(CF$3,economics!$AK$2:$AK$167,economics!$AJ$2:$AJ$167,TRUE)),0)</f>
        <v/>
      </c>
      <c r="CG8" s="68">
        <f t="array" ref="CG8">IF($D8,SUMPRODUCT((economics!$AG$2:$AG$167=$B8)*(economics!$D$2:$D$167="process")*economics!$AH$2:$AH$167*_xlfn.NORM.DIST(CG$3,economics!$AK$2:$AK$167,economics!$AJ$2:$AJ$167,TRUE)),0)</f>
        <v/>
      </c>
      <c r="CH8" s="68">
        <f t="array" ref="CH8">IF($D8,SUMPRODUCT((economics!$AG$2:$AG$167=$B8)*(economics!$D$2:$D$167="process")*economics!$AH$2:$AH$167*_xlfn.NORM.DIST(CH$3,economics!$AK$2:$AK$167,economics!$AJ$2:$AJ$167,TRUE)),0)</f>
        <v/>
      </c>
    </row>
    <row r="9">
      <c r="A9">
        <f>WHRPbI!A7</f>
        <v/>
      </c>
      <c r="B9" t="inlineStr">
        <is>
          <t>13T15</t>
        </is>
      </c>
      <c r="C9" s="68">
        <f>WHRPbI!B7</f>
        <v/>
      </c>
      <c r="D9">
        <f>ISNUMBER(MATCH($B9,'energy base (MECS)'!$K$4:$K$9,0))</f>
        <v/>
      </c>
      <c r="E9" s="68">
        <f t="array" ref="E9">IF($D9,SUMPRODUCT((economics!$AG$2:$AG$167=$B9)*(economics!$D$2:$D$167="process")*economics!$AH$2:$AH$167*_xlfn.NORM.DIST(E$3,economics!$AK$2:$AK$167,economics!$AJ$2:$AJ$167,TRUE)),0)</f>
        <v/>
      </c>
      <c r="F9" s="68">
        <f t="array" ref="F9">IF($D9,SUMPRODUCT((economics!$AG$2:$AG$167=$B9)*(economics!$D$2:$D$167="process")*economics!$AH$2:$AH$167*_xlfn.NORM.DIST(F$3,economics!$AK$2:$AK$167,economics!$AJ$2:$AJ$167,TRUE)),0)</f>
        <v/>
      </c>
      <c r="G9" s="68">
        <f t="array" ref="G9">IF($D9,SUMPRODUCT((economics!$AG$2:$AG$167=$B9)*(economics!$D$2:$D$167="process")*economics!$AH$2:$AH$167*_xlfn.NORM.DIST(G$3,economics!$AK$2:$AK$167,economics!$AJ$2:$AJ$167,TRUE)),0)</f>
        <v/>
      </c>
      <c r="H9" s="68">
        <f t="array" ref="H9">IF($D9,SUMPRODUCT((economics!$AG$2:$AG$167=$B9)*(economics!$D$2:$D$167="process")*economics!$AH$2:$AH$167*_xlfn.NORM.DIST(H$3,economics!$AK$2:$AK$167,economics!$AJ$2:$AJ$167,TRUE)),0)</f>
        <v/>
      </c>
      <c r="I9" s="68">
        <f t="array" ref="I9">IF($D9,SUMPRODUCT((economics!$AG$2:$AG$167=$B9)*(economics!$D$2:$D$167="process")*economics!$AH$2:$AH$167*_xlfn.NORM.DIST(I$3,economics!$AK$2:$AK$167,economics!$AJ$2:$AJ$167,TRUE)),0)</f>
        <v/>
      </c>
      <c r="J9" s="68">
        <f t="array" ref="J9">IF($D9,SUMPRODUCT((economics!$AG$2:$AG$167=$B9)*(economics!$D$2:$D$167="process")*economics!$AH$2:$AH$167*_xlfn.NORM.DIST(J$3,economics!$AK$2:$AK$167,economics!$AJ$2:$AJ$167,TRUE)),0)</f>
        <v/>
      </c>
      <c r="K9" s="68">
        <f t="array" ref="K9">IF($D9,SUMPRODUCT((economics!$AG$2:$AG$167=$B9)*(economics!$D$2:$D$167="process")*economics!$AH$2:$AH$167*_xlfn.NORM.DIST(K$3,economics!$AK$2:$AK$167,economics!$AJ$2:$AJ$167,TRUE)),0)</f>
        <v/>
      </c>
      <c r="L9" s="68">
        <f t="array" ref="L9">IF($D9,SUMPRODUCT((economics!$AG$2:$AG$167=$B9)*(economics!$D$2:$D$167="process")*economics!$AH$2:$AH$167*_xlfn.NORM.DIST(L$3,economics!$AK$2:$AK$167,economics!$AJ$2:$AJ$167,TRUE)),0)</f>
        <v/>
      </c>
      <c r="M9" s="68">
        <f t="array" ref="M9">IF($D9,SUMPRODUCT((economics!$AG$2:$AG$167=$B9)*(economics!$D$2:$D$167="process")*economics!$AH$2:$AH$167*_xlfn.NORM.DIST(M$3,economics!$AK$2:$AK$167,economics!$AJ$2:$AJ$167,TRUE)),0)</f>
        <v/>
      </c>
      <c r="N9" s="68">
        <f t="array" ref="N9">IF($D9,SUMPRODUCT((economics!$AG$2:$AG$167=$B9)*(economics!$D$2:$D$167="process")*economics!$AH$2:$AH$167*_xlfn.NORM.DIST(N$3,economics!$AK$2:$AK$167,economics!$AJ$2:$AJ$167,TRUE)),0)</f>
        <v/>
      </c>
      <c r="O9" s="68">
        <f t="array" ref="O9">IF($D9,SUMPRODUCT((economics!$AG$2:$AG$167=$B9)*(economics!$D$2:$D$167="process")*economics!$AH$2:$AH$167*_xlfn.NORM.DIST(O$3,economics!$AK$2:$AK$167,economics!$AJ$2:$AJ$167,TRUE)),0)</f>
        <v/>
      </c>
      <c r="P9" s="68">
        <f t="array" ref="P9">IF($D9,SUMPRODUCT((economics!$AG$2:$AG$167=$B9)*(economics!$D$2:$D$167="process")*economics!$AH$2:$AH$167*_xlfn.NORM.DIST(P$3,economics!$AK$2:$AK$167,economics!$AJ$2:$AJ$167,TRUE)),0)</f>
        <v/>
      </c>
      <c r="Q9" s="68">
        <f t="array" ref="Q9">IF($D9,SUMPRODUCT((economics!$AG$2:$AG$167=$B9)*(economics!$D$2:$D$167="process")*economics!$AH$2:$AH$167*_xlfn.NORM.DIST(Q$3,economics!$AK$2:$AK$167,economics!$AJ$2:$AJ$167,TRUE)),0)</f>
        <v/>
      </c>
      <c r="R9" s="68">
        <f t="array" ref="R9">IF($D9,SUMPRODUCT((economics!$AG$2:$AG$167=$B9)*(economics!$D$2:$D$167="process")*economics!$AH$2:$AH$167*_xlfn.NORM.DIST(R$3,economics!$AK$2:$AK$167,economics!$AJ$2:$AJ$167,TRUE)),0)</f>
        <v/>
      </c>
      <c r="S9" s="68">
        <f t="array" ref="S9">IF($D9,SUMPRODUCT((economics!$AG$2:$AG$167=$B9)*(economics!$D$2:$D$167="process")*economics!$AH$2:$AH$167*_xlfn.NORM.DIST(S$3,economics!$AK$2:$AK$167,economics!$AJ$2:$AJ$167,TRUE)),0)</f>
        <v/>
      </c>
      <c r="T9" s="68">
        <f t="array" ref="T9">IF($D9,SUMPRODUCT((economics!$AG$2:$AG$167=$B9)*(economics!$D$2:$D$167="process")*economics!$AH$2:$AH$167*_xlfn.NORM.DIST(T$3,economics!$AK$2:$AK$167,economics!$AJ$2:$AJ$167,TRUE)),0)</f>
        <v/>
      </c>
      <c r="U9" s="68">
        <f t="array" ref="U9">IF($D9,SUMPRODUCT((economics!$AG$2:$AG$167=$B9)*(economics!$D$2:$D$167="process")*economics!$AH$2:$AH$167*_xlfn.NORM.DIST(U$3,economics!$AK$2:$AK$167,economics!$AJ$2:$AJ$167,TRUE)),0)</f>
        <v/>
      </c>
      <c r="V9" s="68">
        <f t="array" ref="V9">IF($D9,SUMPRODUCT((economics!$AG$2:$AG$167=$B9)*(economics!$D$2:$D$167="process")*economics!$AH$2:$AH$167*_xlfn.NORM.DIST(V$3,economics!$AK$2:$AK$167,economics!$AJ$2:$AJ$167,TRUE)),0)</f>
        <v/>
      </c>
      <c r="W9" s="68">
        <f t="array" ref="W9">IF($D9,SUMPRODUCT((economics!$AG$2:$AG$167=$B9)*(economics!$D$2:$D$167="process")*economics!$AH$2:$AH$167*_xlfn.NORM.DIST(W$3,economics!$AK$2:$AK$167,economics!$AJ$2:$AJ$167,TRUE)),0)</f>
        <v/>
      </c>
      <c r="X9" s="68">
        <f t="array" ref="X9">IF($D9,SUMPRODUCT((economics!$AG$2:$AG$167=$B9)*(economics!$D$2:$D$167="process")*economics!$AH$2:$AH$167*_xlfn.NORM.DIST(X$3,economics!$AK$2:$AK$167,economics!$AJ$2:$AJ$167,TRUE)),0)</f>
        <v/>
      </c>
      <c r="Y9" s="68">
        <f t="array" ref="Y9">IF($D9,SUMPRODUCT((economics!$AG$2:$AG$167=$B9)*(economics!$D$2:$D$167="process")*economics!$AH$2:$AH$167*_xlfn.NORM.DIST(Y$3,economics!$AK$2:$AK$167,economics!$AJ$2:$AJ$167,TRUE)),0)</f>
        <v/>
      </c>
      <c r="Z9" s="68">
        <f t="array" ref="Z9">IF($D9,SUMPRODUCT((economics!$AG$2:$AG$167=$B9)*(economics!$D$2:$D$167="process")*economics!$AH$2:$AH$167*_xlfn.NORM.DIST(Z$3,economics!$AK$2:$AK$167,economics!$AJ$2:$AJ$167,TRUE)),0)</f>
        <v/>
      </c>
      <c r="AA9" s="68">
        <f t="array" ref="AA9">IF($D9,SUMPRODUCT((economics!$AG$2:$AG$167=$B9)*(economics!$D$2:$D$167="process")*economics!$AH$2:$AH$167*_xlfn.NORM.DIST(AA$3,economics!$AK$2:$AK$167,economics!$AJ$2:$AJ$167,TRUE)),0)</f>
        <v/>
      </c>
      <c r="AB9" s="68">
        <f t="array" ref="AB9">IF($D9,SUMPRODUCT((economics!$AG$2:$AG$167=$B9)*(economics!$D$2:$D$167="process")*economics!$AH$2:$AH$167*_xlfn.NORM.DIST(AB$3,economics!$AK$2:$AK$167,economics!$AJ$2:$AJ$167,TRUE)),0)</f>
        <v/>
      </c>
      <c r="AC9" s="68">
        <f t="array" ref="AC9">IF($D9,SUMPRODUCT((economics!$AG$2:$AG$167=$B9)*(economics!$D$2:$D$167="process")*economics!$AH$2:$AH$167*_xlfn.NORM.DIST(AC$3,economics!$AK$2:$AK$167,economics!$AJ$2:$AJ$167,TRUE)),0)</f>
        <v/>
      </c>
      <c r="AD9" s="68">
        <f t="array" ref="AD9">IF($D9,SUMPRODUCT((economics!$AG$2:$AG$167=$B9)*(economics!$D$2:$D$167="process")*economics!$AH$2:$AH$167*_xlfn.NORM.DIST(AD$3,economics!$AK$2:$AK$167,economics!$AJ$2:$AJ$167,TRUE)),0)</f>
        <v/>
      </c>
      <c r="AE9" s="68">
        <f t="array" ref="AE9">IF($D9,SUMPRODUCT((economics!$AG$2:$AG$167=$B9)*(economics!$D$2:$D$167="process")*economics!$AH$2:$AH$167*_xlfn.NORM.DIST(AE$3,economics!$AK$2:$AK$167,economics!$AJ$2:$AJ$167,TRUE)),0)</f>
        <v/>
      </c>
      <c r="AF9" s="68">
        <f t="array" ref="AF9">IF($D9,SUMPRODUCT((economics!$AG$2:$AG$167=$B9)*(economics!$D$2:$D$167="process")*economics!$AH$2:$AH$167*_xlfn.NORM.DIST(AF$3,economics!$AK$2:$AK$167,economics!$AJ$2:$AJ$167,TRUE)),0)</f>
        <v/>
      </c>
      <c r="AG9" s="68">
        <f t="array" ref="AG9">IF($D9,SUMPRODUCT((economics!$AG$2:$AG$167=$B9)*(economics!$D$2:$D$167="process")*economics!$AH$2:$AH$167*_xlfn.NORM.DIST(AG$3,economics!$AK$2:$AK$167,economics!$AJ$2:$AJ$167,TRUE)),0)</f>
        <v/>
      </c>
      <c r="AH9" s="68">
        <f t="array" ref="AH9">IF($D9,SUMPRODUCT((economics!$AG$2:$AG$167=$B9)*(economics!$D$2:$D$167="process")*economics!$AH$2:$AH$167*_xlfn.NORM.DIST(AH$3,economics!$AK$2:$AK$167,economics!$AJ$2:$AJ$167,TRUE)),0)</f>
        <v/>
      </c>
      <c r="AI9" s="68">
        <f t="array" ref="AI9">IF($D9,SUMPRODUCT((economics!$AG$2:$AG$167=$B9)*(economics!$D$2:$D$167="process")*economics!$AH$2:$AH$167*_xlfn.NORM.DIST(AI$3,economics!$AK$2:$AK$167,economics!$AJ$2:$AJ$167,TRUE)),0)</f>
        <v/>
      </c>
      <c r="AJ9" s="68">
        <f t="array" ref="AJ9">IF($D9,SUMPRODUCT((economics!$AG$2:$AG$167=$B9)*(economics!$D$2:$D$167="process")*economics!$AH$2:$AH$167*_xlfn.NORM.DIST(AJ$3,economics!$AK$2:$AK$167,economics!$AJ$2:$AJ$167,TRUE)),0)</f>
        <v/>
      </c>
      <c r="AK9" s="68">
        <f t="array" ref="AK9">IF($D9,SUMPRODUCT((economics!$AG$2:$AG$167=$B9)*(economics!$D$2:$D$167="process")*economics!$AH$2:$AH$167*_xlfn.NORM.DIST(AK$3,economics!$AK$2:$AK$167,economics!$AJ$2:$AJ$167,TRUE)),0)</f>
        <v/>
      </c>
      <c r="AL9" s="68">
        <f t="array" ref="AL9">IF($D9,SUMPRODUCT((economics!$AG$2:$AG$167=$B9)*(economics!$D$2:$D$167="process")*economics!$AH$2:$AH$167*_xlfn.NORM.DIST(AL$3,economics!$AK$2:$AK$167,economics!$AJ$2:$AJ$167,TRUE)),0)</f>
        <v/>
      </c>
      <c r="AM9" s="68">
        <f t="array" ref="AM9">IF($D9,SUMPRODUCT((economics!$AG$2:$AG$167=$B9)*(economics!$D$2:$D$167="process")*economics!$AH$2:$AH$167*_xlfn.NORM.DIST(AM$3,economics!$AK$2:$AK$167,economics!$AJ$2:$AJ$167,TRUE)),0)</f>
        <v/>
      </c>
      <c r="AN9" s="68">
        <f t="array" ref="AN9">IF($D9,SUMPRODUCT((economics!$AG$2:$AG$167=$B9)*(economics!$D$2:$D$167="process")*economics!$AH$2:$AH$167*_xlfn.NORM.DIST(AN$3,economics!$AK$2:$AK$167,economics!$AJ$2:$AJ$167,TRUE)),0)</f>
        <v/>
      </c>
      <c r="AO9" s="68">
        <f t="array" ref="AO9">IF($D9,SUMPRODUCT((economics!$AG$2:$AG$167=$B9)*(economics!$D$2:$D$167="process")*economics!$AH$2:$AH$167*_xlfn.NORM.DIST(AO$3,economics!$AK$2:$AK$167,economics!$AJ$2:$AJ$167,TRUE)),0)</f>
        <v/>
      </c>
      <c r="AP9" s="68">
        <f t="array" ref="AP9">IF($D9,SUMPRODUCT((economics!$AG$2:$AG$167=$B9)*(economics!$D$2:$D$167="process")*economics!$AH$2:$AH$167*_xlfn.NORM.DIST(AP$3,economics!$AK$2:$AK$167,economics!$AJ$2:$AJ$167,TRUE)),0)</f>
        <v/>
      </c>
      <c r="AQ9" s="68">
        <f t="array" ref="AQ9">IF($D9,SUMPRODUCT((economics!$AG$2:$AG$167=$B9)*(economics!$D$2:$D$167="process")*economics!$AH$2:$AH$167*_xlfn.NORM.DIST(AQ$3,economics!$AK$2:$AK$167,economics!$AJ$2:$AJ$167,TRUE)),0)</f>
        <v/>
      </c>
      <c r="AR9" s="68">
        <f t="array" ref="AR9">IF($D9,SUMPRODUCT((economics!$AG$2:$AG$167=$B9)*(economics!$D$2:$D$167="process")*economics!$AH$2:$AH$167*_xlfn.NORM.DIST(AR$3,economics!$AK$2:$AK$167,economics!$AJ$2:$AJ$167,TRUE)),0)</f>
        <v/>
      </c>
      <c r="AS9" s="68">
        <f t="array" ref="AS9">IF($D9,SUMPRODUCT((economics!$AG$2:$AG$167=$B9)*(economics!$D$2:$D$167="process")*economics!$AH$2:$AH$167*_xlfn.NORM.DIST(AS$3,economics!$AK$2:$AK$167,economics!$AJ$2:$AJ$167,TRUE)),0)</f>
        <v/>
      </c>
      <c r="AT9" s="68">
        <f t="array" ref="AT9">IF($D9,SUMPRODUCT((economics!$AG$2:$AG$167=$B9)*(economics!$D$2:$D$167="process")*economics!$AH$2:$AH$167*_xlfn.NORM.DIST(AT$3,economics!$AK$2:$AK$167,economics!$AJ$2:$AJ$167,TRUE)),0)</f>
        <v/>
      </c>
      <c r="AU9" s="68">
        <f t="array" ref="AU9">IF($D9,SUMPRODUCT((economics!$AG$2:$AG$167=$B9)*(economics!$D$2:$D$167="process")*economics!$AH$2:$AH$167*_xlfn.NORM.DIST(AU$3,economics!$AK$2:$AK$167,economics!$AJ$2:$AJ$167,TRUE)),0)</f>
        <v/>
      </c>
      <c r="AV9" s="68">
        <f t="array" ref="AV9">IF($D9,SUMPRODUCT((economics!$AG$2:$AG$167=$B9)*(economics!$D$2:$D$167="process")*economics!$AH$2:$AH$167*_xlfn.NORM.DIST(AV$3,economics!$AK$2:$AK$167,economics!$AJ$2:$AJ$167,TRUE)),0)</f>
        <v/>
      </c>
      <c r="AW9" s="68">
        <f t="array" ref="AW9">IF($D9,SUMPRODUCT((economics!$AG$2:$AG$167=$B9)*(economics!$D$2:$D$167="process")*economics!$AH$2:$AH$167*_xlfn.NORM.DIST(AW$3,economics!$AK$2:$AK$167,economics!$AJ$2:$AJ$167,TRUE)),0)</f>
        <v/>
      </c>
      <c r="AX9" s="68">
        <f t="array" ref="AX9">IF($D9,SUMPRODUCT((economics!$AG$2:$AG$167=$B9)*(economics!$D$2:$D$167="process")*economics!$AH$2:$AH$167*_xlfn.NORM.DIST(AX$3,economics!$AK$2:$AK$167,economics!$AJ$2:$AJ$167,TRUE)),0)</f>
        <v/>
      </c>
      <c r="AY9" s="68">
        <f t="array" ref="AY9">IF($D9,SUMPRODUCT((economics!$AG$2:$AG$167=$B9)*(economics!$D$2:$D$167="process")*economics!$AH$2:$AH$167*_xlfn.NORM.DIST(AY$3,economics!$AK$2:$AK$167,economics!$AJ$2:$AJ$167,TRUE)),0)</f>
        <v/>
      </c>
      <c r="AZ9" s="68">
        <f t="array" ref="AZ9">IF($D9,SUMPRODUCT((economics!$AG$2:$AG$167=$B9)*(economics!$D$2:$D$167="process")*economics!$AH$2:$AH$167*_xlfn.NORM.DIST(AZ$3,economics!$AK$2:$AK$167,economics!$AJ$2:$AJ$167,TRUE)),0)</f>
        <v/>
      </c>
      <c r="BA9" s="68">
        <f t="array" ref="BA9">IF($D9,SUMPRODUCT((economics!$AG$2:$AG$167=$B9)*(economics!$D$2:$D$167="process")*economics!$AH$2:$AH$167*_xlfn.NORM.DIST(BA$3,economics!$AK$2:$AK$167,economics!$AJ$2:$AJ$167,TRUE)),0)</f>
        <v/>
      </c>
      <c r="BB9" s="68">
        <f t="array" ref="BB9">IF($D9,SUMPRODUCT((economics!$AG$2:$AG$167=$B9)*(economics!$D$2:$D$167="process")*economics!$AH$2:$AH$167*_xlfn.NORM.DIST(BB$3,economics!$AK$2:$AK$167,economics!$AJ$2:$AJ$167,TRUE)),0)</f>
        <v/>
      </c>
      <c r="BC9" s="68">
        <f t="array" ref="BC9">IF($D9,SUMPRODUCT((economics!$AG$2:$AG$167=$B9)*(economics!$D$2:$D$167="process")*economics!$AH$2:$AH$167*_xlfn.NORM.DIST(BC$3,economics!$AK$2:$AK$167,economics!$AJ$2:$AJ$167,TRUE)),0)</f>
        <v/>
      </c>
      <c r="BD9" s="68">
        <f t="array" ref="BD9">IF($D9,SUMPRODUCT((economics!$AG$2:$AG$167=$B9)*(economics!$D$2:$D$167="process")*economics!$AH$2:$AH$167*_xlfn.NORM.DIST(BD$3,economics!$AK$2:$AK$167,economics!$AJ$2:$AJ$167,TRUE)),0)</f>
        <v/>
      </c>
      <c r="BE9" s="68">
        <f t="array" ref="BE9">IF($D9,SUMPRODUCT((economics!$AG$2:$AG$167=$B9)*(economics!$D$2:$D$167="process")*economics!$AH$2:$AH$167*_xlfn.NORM.DIST(BE$3,economics!$AK$2:$AK$167,economics!$AJ$2:$AJ$167,TRUE)),0)</f>
        <v/>
      </c>
      <c r="BF9" s="68">
        <f t="array" ref="BF9">IF($D9,SUMPRODUCT((economics!$AG$2:$AG$167=$B9)*(economics!$D$2:$D$167="process")*economics!$AH$2:$AH$167*_xlfn.NORM.DIST(BF$3,economics!$AK$2:$AK$167,economics!$AJ$2:$AJ$167,TRUE)),0)</f>
        <v/>
      </c>
      <c r="BG9" s="68">
        <f t="array" ref="BG9">IF($D9,SUMPRODUCT((economics!$AG$2:$AG$167=$B9)*(economics!$D$2:$D$167="process")*economics!$AH$2:$AH$167*_xlfn.NORM.DIST(BG$3,economics!$AK$2:$AK$167,economics!$AJ$2:$AJ$167,TRUE)),0)</f>
        <v/>
      </c>
      <c r="BH9" s="68">
        <f t="array" ref="BH9">IF($D9,SUMPRODUCT((economics!$AG$2:$AG$167=$B9)*(economics!$D$2:$D$167="process")*economics!$AH$2:$AH$167*_xlfn.NORM.DIST(BH$3,economics!$AK$2:$AK$167,economics!$AJ$2:$AJ$167,TRUE)),0)</f>
        <v/>
      </c>
      <c r="BI9" s="68">
        <f t="array" ref="BI9">IF($D9,SUMPRODUCT((economics!$AG$2:$AG$167=$B9)*(economics!$D$2:$D$167="process")*economics!$AH$2:$AH$167*_xlfn.NORM.DIST(BI$3,economics!$AK$2:$AK$167,economics!$AJ$2:$AJ$167,TRUE)),0)</f>
        <v/>
      </c>
      <c r="BJ9" s="68">
        <f t="array" ref="BJ9">IF($D9,SUMPRODUCT((economics!$AG$2:$AG$167=$B9)*(economics!$D$2:$D$167="process")*economics!$AH$2:$AH$167*_xlfn.NORM.DIST(BJ$3,economics!$AK$2:$AK$167,economics!$AJ$2:$AJ$167,TRUE)),0)</f>
        <v/>
      </c>
      <c r="BK9" s="68">
        <f t="array" ref="BK9">IF($D9,SUMPRODUCT((economics!$AG$2:$AG$167=$B9)*(economics!$D$2:$D$167="process")*economics!$AH$2:$AH$167*_xlfn.NORM.DIST(BK$3,economics!$AK$2:$AK$167,economics!$AJ$2:$AJ$167,TRUE)),0)</f>
        <v/>
      </c>
      <c r="BL9" s="68">
        <f t="array" ref="BL9">IF($D9,SUMPRODUCT((economics!$AG$2:$AG$167=$B9)*(economics!$D$2:$D$167="process")*economics!$AH$2:$AH$167*_xlfn.NORM.DIST(BL$3,economics!$AK$2:$AK$167,economics!$AJ$2:$AJ$167,TRUE)),0)</f>
        <v/>
      </c>
      <c r="BM9" s="68">
        <f t="array" ref="BM9">IF($D9,SUMPRODUCT((economics!$AG$2:$AG$167=$B9)*(economics!$D$2:$D$167="process")*economics!$AH$2:$AH$167*_xlfn.NORM.DIST(BM$3,economics!$AK$2:$AK$167,economics!$AJ$2:$AJ$167,TRUE)),0)</f>
        <v/>
      </c>
      <c r="BN9" s="68">
        <f t="array" ref="BN9">IF($D9,SUMPRODUCT((economics!$AG$2:$AG$167=$B9)*(economics!$D$2:$D$167="process")*economics!$AH$2:$AH$167*_xlfn.NORM.DIST(BN$3,economics!$AK$2:$AK$167,economics!$AJ$2:$AJ$167,TRUE)),0)</f>
        <v/>
      </c>
      <c r="BO9" s="68">
        <f t="array" ref="BO9">IF($D9,SUMPRODUCT((economics!$AG$2:$AG$167=$B9)*(economics!$D$2:$D$167="process")*economics!$AH$2:$AH$167*_xlfn.NORM.DIST(BO$3,economics!$AK$2:$AK$167,economics!$AJ$2:$AJ$167,TRUE)),0)</f>
        <v/>
      </c>
      <c r="BP9" s="68">
        <f t="array" ref="BP9">IF($D9,SUMPRODUCT((economics!$AG$2:$AG$167=$B9)*(economics!$D$2:$D$167="process")*economics!$AH$2:$AH$167*_xlfn.NORM.DIST(BP$3,economics!$AK$2:$AK$167,economics!$AJ$2:$AJ$167,TRUE)),0)</f>
        <v/>
      </c>
      <c r="BQ9" s="68">
        <f t="array" ref="BQ9">IF($D9,SUMPRODUCT((economics!$AG$2:$AG$167=$B9)*(economics!$D$2:$D$167="process")*economics!$AH$2:$AH$167*_xlfn.NORM.DIST(BQ$3,economics!$AK$2:$AK$167,economics!$AJ$2:$AJ$167,TRUE)),0)</f>
        <v/>
      </c>
      <c r="BR9" s="68">
        <f t="array" ref="BR9">IF($D9,SUMPRODUCT((economics!$AG$2:$AG$167=$B9)*(economics!$D$2:$D$167="process")*economics!$AH$2:$AH$167*_xlfn.NORM.DIST(BR$3,economics!$AK$2:$AK$167,economics!$AJ$2:$AJ$167,TRUE)),0)</f>
        <v/>
      </c>
      <c r="BS9" s="68">
        <f t="array" ref="BS9">IF($D9,SUMPRODUCT((economics!$AG$2:$AG$167=$B9)*(economics!$D$2:$D$167="process")*economics!$AH$2:$AH$167*_xlfn.NORM.DIST(BS$3,economics!$AK$2:$AK$167,economics!$AJ$2:$AJ$167,TRUE)),0)</f>
        <v/>
      </c>
      <c r="BT9" s="68">
        <f t="array" ref="BT9">IF($D9,SUMPRODUCT((economics!$AG$2:$AG$167=$B9)*(economics!$D$2:$D$167="process")*economics!$AH$2:$AH$167*_xlfn.NORM.DIST(BT$3,economics!$AK$2:$AK$167,economics!$AJ$2:$AJ$167,TRUE)),0)</f>
        <v/>
      </c>
      <c r="BU9" s="68">
        <f t="array" ref="BU9">IF($D9,SUMPRODUCT((economics!$AG$2:$AG$167=$B9)*(economics!$D$2:$D$167="process")*economics!$AH$2:$AH$167*_xlfn.NORM.DIST(BU$3,economics!$AK$2:$AK$167,economics!$AJ$2:$AJ$167,TRUE)),0)</f>
        <v/>
      </c>
      <c r="BV9" s="68">
        <f t="array" ref="BV9">IF($D9,SUMPRODUCT((economics!$AG$2:$AG$167=$B9)*(economics!$D$2:$D$167="process")*economics!$AH$2:$AH$167*_xlfn.NORM.DIST(BV$3,economics!$AK$2:$AK$167,economics!$AJ$2:$AJ$167,TRUE)),0)</f>
        <v/>
      </c>
      <c r="BW9" s="68">
        <f t="array" ref="BW9">IF($D9,SUMPRODUCT((economics!$AG$2:$AG$167=$B9)*(economics!$D$2:$D$167="process")*economics!$AH$2:$AH$167*_xlfn.NORM.DIST(BW$3,economics!$AK$2:$AK$167,economics!$AJ$2:$AJ$167,TRUE)),0)</f>
        <v/>
      </c>
      <c r="BX9" s="68">
        <f t="array" ref="BX9">IF($D9,SUMPRODUCT((economics!$AG$2:$AG$167=$B9)*(economics!$D$2:$D$167="process")*economics!$AH$2:$AH$167*_xlfn.NORM.DIST(BX$3,economics!$AK$2:$AK$167,economics!$AJ$2:$AJ$167,TRUE)),0)</f>
        <v/>
      </c>
      <c r="BY9" s="68">
        <f t="array" ref="BY9">IF($D9,SUMPRODUCT((economics!$AG$2:$AG$167=$B9)*(economics!$D$2:$D$167="process")*economics!$AH$2:$AH$167*_xlfn.NORM.DIST(BY$3,economics!$AK$2:$AK$167,economics!$AJ$2:$AJ$167,TRUE)),0)</f>
        <v/>
      </c>
      <c r="BZ9" s="68">
        <f t="array" ref="BZ9">IF($D9,SUMPRODUCT((economics!$AG$2:$AG$167=$B9)*(economics!$D$2:$D$167="process")*economics!$AH$2:$AH$167*_xlfn.NORM.DIST(BZ$3,economics!$AK$2:$AK$167,economics!$AJ$2:$AJ$167,TRUE)),0)</f>
        <v/>
      </c>
      <c r="CA9" s="68">
        <f t="array" ref="CA9">IF($D9,SUMPRODUCT((economics!$AG$2:$AG$167=$B9)*(economics!$D$2:$D$167="process")*economics!$AH$2:$AH$167*_xlfn.NORM.DIST(CA$3,economics!$AK$2:$AK$167,economics!$AJ$2:$AJ$167,TRUE)),0)</f>
        <v/>
      </c>
      <c r="CB9" s="68">
        <f t="array" ref="CB9">IF($D9,SUMPRODUCT((economics!$AG$2:$AG$167=$B9)*(economics!$D$2:$D$167="process")*economics!$AH$2:$AH$167*_xlfn.NORM.DIST(CB$3,economics!$AK$2:$AK$167,economics!$AJ$2:$AJ$167,TRUE)),0)</f>
        <v/>
      </c>
      <c r="CC9" s="68">
        <f t="array" ref="CC9">IF($D9,SUMPRODUCT((economics!$AG$2:$AG$167=$B9)*(economics!$D$2:$D$167="process")*economics!$AH$2:$AH$167*_xlfn.NORM.DIST(CC$3,economics!$AK$2:$AK$167,economics!$AJ$2:$AJ$167,TRUE)),0)</f>
        <v/>
      </c>
      <c r="CD9" s="68">
        <f t="array" ref="CD9">IF($D9,SUMPRODUCT((economics!$AG$2:$AG$167=$B9)*(economics!$D$2:$D$167="process")*economics!$AH$2:$AH$167*_xlfn.NORM.DIST(CD$3,economics!$AK$2:$AK$167,economics!$AJ$2:$AJ$167,TRUE)),0)</f>
        <v/>
      </c>
      <c r="CE9" s="68">
        <f t="array" ref="CE9">IF($D9,SUMPRODUCT((economics!$AG$2:$AG$167=$B9)*(economics!$D$2:$D$167="process")*economics!$AH$2:$AH$167*_xlfn.NORM.DIST(CE$3,economics!$AK$2:$AK$167,economics!$AJ$2:$AJ$167,TRUE)),0)</f>
        <v/>
      </c>
      <c r="CF9" s="68">
        <f t="array" ref="CF9">IF($D9,SUMPRODUCT((economics!$AG$2:$AG$167=$B9)*(economics!$D$2:$D$167="process")*economics!$AH$2:$AH$167*_xlfn.NORM.DIST(CF$3,economics!$AK$2:$AK$167,economics!$AJ$2:$AJ$167,TRUE)),0)</f>
        <v/>
      </c>
      <c r="CG9" s="68">
        <f t="array" ref="CG9">IF($D9,SUMPRODUCT((economics!$AG$2:$AG$167=$B9)*(economics!$D$2:$D$167="process")*economics!$AH$2:$AH$167*_xlfn.NORM.DIST(CG$3,economics!$AK$2:$AK$167,economics!$AJ$2:$AJ$167,TRUE)),0)</f>
        <v/>
      </c>
      <c r="CH9" s="68">
        <f t="array" ref="CH9">IF($D9,SUMPRODUCT((economics!$AG$2:$AG$167=$B9)*(economics!$D$2:$D$167="process")*economics!$AH$2:$AH$167*_xlfn.NORM.DIST(CH$3,economics!$AK$2:$AK$167,economics!$AJ$2:$AJ$167,TRUE)),0)</f>
        <v/>
      </c>
    </row>
    <row r="10">
      <c r="A10">
        <f>WHRPbI!A8</f>
        <v/>
      </c>
      <c r="B10" t="n">
        <v>16</v>
      </c>
      <c r="C10" s="68">
        <f>WHRPbI!B8</f>
        <v/>
      </c>
      <c r="D10">
        <f>ISNUMBER(MATCH($B10,'energy base (MECS)'!$K$4:$K$9,0))</f>
        <v/>
      </c>
      <c r="E10" s="68">
        <f t="array" ref="E10">IF($D10,SUMPRODUCT((economics!$AG$2:$AG$167=$B10)*(economics!$D$2:$D$167="process")*economics!$AH$2:$AH$167*_xlfn.NORM.DIST(E$3,economics!$AK$2:$AK$167,economics!$AJ$2:$AJ$167,TRUE)),0)</f>
        <v/>
      </c>
      <c r="F10" s="68">
        <f t="array" ref="F10">IF($D10,SUMPRODUCT((economics!$AG$2:$AG$167=$B10)*(economics!$D$2:$D$167="process")*economics!$AH$2:$AH$167*_xlfn.NORM.DIST(F$3,economics!$AK$2:$AK$167,economics!$AJ$2:$AJ$167,TRUE)),0)</f>
        <v/>
      </c>
      <c r="G10" s="68">
        <f t="array" ref="G10">IF($D10,SUMPRODUCT((economics!$AG$2:$AG$167=$B10)*(economics!$D$2:$D$167="process")*economics!$AH$2:$AH$167*_xlfn.NORM.DIST(G$3,economics!$AK$2:$AK$167,economics!$AJ$2:$AJ$167,TRUE)),0)</f>
        <v/>
      </c>
      <c r="H10" s="68">
        <f t="array" ref="H10">IF($D10,SUMPRODUCT((economics!$AG$2:$AG$167=$B10)*(economics!$D$2:$D$167="process")*economics!$AH$2:$AH$167*_xlfn.NORM.DIST(H$3,economics!$AK$2:$AK$167,economics!$AJ$2:$AJ$167,TRUE)),0)</f>
        <v/>
      </c>
      <c r="I10" s="68">
        <f t="array" ref="I10">IF($D10,SUMPRODUCT((economics!$AG$2:$AG$167=$B10)*(economics!$D$2:$D$167="process")*economics!$AH$2:$AH$167*_xlfn.NORM.DIST(I$3,economics!$AK$2:$AK$167,economics!$AJ$2:$AJ$167,TRUE)),0)</f>
        <v/>
      </c>
      <c r="J10" s="68">
        <f t="array" ref="J10">IF($D10,SUMPRODUCT((economics!$AG$2:$AG$167=$B10)*(economics!$D$2:$D$167="process")*economics!$AH$2:$AH$167*_xlfn.NORM.DIST(J$3,economics!$AK$2:$AK$167,economics!$AJ$2:$AJ$167,TRUE)),0)</f>
        <v/>
      </c>
      <c r="K10" s="68">
        <f t="array" ref="K10">IF($D10,SUMPRODUCT((economics!$AG$2:$AG$167=$B10)*(economics!$D$2:$D$167="process")*economics!$AH$2:$AH$167*_xlfn.NORM.DIST(K$3,economics!$AK$2:$AK$167,economics!$AJ$2:$AJ$167,TRUE)),0)</f>
        <v/>
      </c>
      <c r="L10" s="68">
        <f t="array" ref="L10">IF($D10,SUMPRODUCT((economics!$AG$2:$AG$167=$B10)*(economics!$D$2:$D$167="process")*economics!$AH$2:$AH$167*_xlfn.NORM.DIST(L$3,economics!$AK$2:$AK$167,economics!$AJ$2:$AJ$167,TRUE)),0)</f>
        <v/>
      </c>
      <c r="M10" s="68">
        <f t="array" ref="M10">IF($D10,SUMPRODUCT((economics!$AG$2:$AG$167=$B10)*(economics!$D$2:$D$167="process")*economics!$AH$2:$AH$167*_xlfn.NORM.DIST(M$3,economics!$AK$2:$AK$167,economics!$AJ$2:$AJ$167,TRUE)),0)</f>
        <v/>
      </c>
      <c r="N10" s="68">
        <f t="array" ref="N10">IF($D10,SUMPRODUCT((economics!$AG$2:$AG$167=$B10)*(economics!$D$2:$D$167="process")*economics!$AH$2:$AH$167*_xlfn.NORM.DIST(N$3,economics!$AK$2:$AK$167,economics!$AJ$2:$AJ$167,TRUE)),0)</f>
        <v/>
      </c>
      <c r="O10" s="68">
        <f t="array" ref="O10">IF($D10,SUMPRODUCT((economics!$AG$2:$AG$167=$B10)*(economics!$D$2:$D$167="process")*economics!$AH$2:$AH$167*_xlfn.NORM.DIST(O$3,economics!$AK$2:$AK$167,economics!$AJ$2:$AJ$167,TRUE)),0)</f>
        <v/>
      </c>
      <c r="P10" s="68">
        <f t="array" ref="P10">IF($D10,SUMPRODUCT((economics!$AG$2:$AG$167=$B10)*(economics!$D$2:$D$167="process")*economics!$AH$2:$AH$167*_xlfn.NORM.DIST(P$3,economics!$AK$2:$AK$167,economics!$AJ$2:$AJ$167,TRUE)),0)</f>
        <v/>
      </c>
      <c r="Q10" s="68">
        <f t="array" ref="Q10">IF($D10,SUMPRODUCT((economics!$AG$2:$AG$167=$B10)*(economics!$D$2:$D$167="process")*economics!$AH$2:$AH$167*_xlfn.NORM.DIST(Q$3,economics!$AK$2:$AK$167,economics!$AJ$2:$AJ$167,TRUE)),0)</f>
        <v/>
      </c>
      <c r="R10" s="68">
        <f t="array" ref="R10">IF($D10,SUMPRODUCT((economics!$AG$2:$AG$167=$B10)*(economics!$D$2:$D$167="process")*economics!$AH$2:$AH$167*_xlfn.NORM.DIST(R$3,economics!$AK$2:$AK$167,economics!$AJ$2:$AJ$167,TRUE)),0)</f>
        <v/>
      </c>
      <c r="S10" s="68">
        <f t="array" ref="S10">IF($D10,SUMPRODUCT((economics!$AG$2:$AG$167=$B10)*(economics!$D$2:$D$167="process")*economics!$AH$2:$AH$167*_xlfn.NORM.DIST(S$3,economics!$AK$2:$AK$167,economics!$AJ$2:$AJ$167,TRUE)),0)</f>
        <v/>
      </c>
      <c r="T10" s="68">
        <f t="array" ref="T10">IF($D10,SUMPRODUCT((economics!$AG$2:$AG$167=$B10)*(economics!$D$2:$D$167="process")*economics!$AH$2:$AH$167*_xlfn.NORM.DIST(T$3,economics!$AK$2:$AK$167,economics!$AJ$2:$AJ$167,TRUE)),0)</f>
        <v/>
      </c>
      <c r="U10" s="68">
        <f t="array" ref="U10">IF($D10,SUMPRODUCT((economics!$AG$2:$AG$167=$B10)*(economics!$D$2:$D$167="process")*economics!$AH$2:$AH$167*_xlfn.NORM.DIST(U$3,economics!$AK$2:$AK$167,economics!$AJ$2:$AJ$167,TRUE)),0)</f>
        <v/>
      </c>
      <c r="V10" s="68">
        <f t="array" ref="V10">IF($D10,SUMPRODUCT((economics!$AG$2:$AG$167=$B10)*(economics!$D$2:$D$167="process")*economics!$AH$2:$AH$167*_xlfn.NORM.DIST(V$3,economics!$AK$2:$AK$167,economics!$AJ$2:$AJ$167,TRUE)),0)</f>
        <v/>
      </c>
      <c r="W10" s="68">
        <f t="array" ref="W10">IF($D10,SUMPRODUCT((economics!$AG$2:$AG$167=$B10)*(economics!$D$2:$D$167="process")*economics!$AH$2:$AH$167*_xlfn.NORM.DIST(W$3,economics!$AK$2:$AK$167,economics!$AJ$2:$AJ$167,TRUE)),0)</f>
        <v/>
      </c>
      <c r="X10" s="68">
        <f t="array" ref="X10">IF($D10,SUMPRODUCT((economics!$AG$2:$AG$167=$B10)*(economics!$D$2:$D$167="process")*economics!$AH$2:$AH$167*_xlfn.NORM.DIST(X$3,economics!$AK$2:$AK$167,economics!$AJ$2:$AJ$167,TRUE)),0)</f>
        <v/>
      </c>
      <c r="Y10" s="68">
        <f t="array" ref="Y10">IF($D10,SUMPRODUCT((economics!$AG$2:$AG$167=$B10)*(economics!$D$2:$D$167="process")*economics!$AH$2:$AH$167*_xlfn.NORM.DIST(Y$3,economics!$AK$2:$AK$167,economics!$AJ$2:$AJ$167,TRUE)),0)</f>
        <v/>
      </c>
      <c r="Z10" s="68">
        <f t="array" ref="Z10">IF($D10,SUMPRODUCT((economics!$AG$2:$AG$167=$B10)*(economics!$D$2:$D$167="process")*economics!$AH$2:$AH$167*_xlfn.NORM.DIST(Z$3,economics!$AK$2:$AK$167,economics!$AJ$2:$AJ$167,TRUE)),0)</f>
        <v/>
      </c>
      <c r="AA10" s="68">
        <f t="array" ref="AA10">IF($D10,SUMPRODUCT((economics!$AG$2:$AG$167=$B10)*(economics!$D$2:$D$167="process")*economics!$AH$2:$AH$167*_xlfn.NORM.DIST(AA$3,economics!$AK$2:$AK$167,economics!$AJ$2:$AJ$167,TRUE)),0)</f>
        <v/>
      </c>
      <c r="AB10" s="68">
        <f t="array" ref="AB10">IF($D10,SUMPRODUCT((economics!$AG$2:$AG$167=$B10)*(economics!$D$2:$D$167="process")*economics!$AH$2:$AH$167*_xlfn.NORM.DIST(AB$3,economics!$AK$2:$AK$167,economics!$AJ$2:$AJ$167,TRUE)),0)</f>
        <v/>
      </c>
      <c r="AC10" s="68">
        <f t="array" ref="AC10">IF($D10,SUMPRODUCT((economics!$AG$2:$AG$167=$B10)*(economics!$D$2:$D$167="process")*economics!$AH$2:$AH$167*_xlfn.NORM.DIST(AC$3,economics!$AK$2:$AK$167,economics!$AJ$2:$AJ$167,TRUE)),0)</f>
        <v/>
      </c>
      <c r="AD10" s="68">
        <f t="array" ref="AD10">IF($D10,SUMPRODUCT((economics!$AG$2:$AG$167=$B10)*(economics!$D$2:$D$167="process")*economics!$AH$2:$AH$167*_xlfn.NORM.DIST(AD$3,economics!$AK$2:$AK$167,economics!$AJ$2:$AJ$167,TRUE)),0)</f>
        <v/>
      </c>
      <c r="AE10" s="68">
        <f t="array" ref="AE10">IF($D10,SUMPRODUCT((economics!$AG$2:$AG$167=$B10)*(economics!$D$2:$D$167="process")*economics!$AH$2:$AH$167*_xlfn.NORM.DIST(AE$3,economics!$AK$2:$AK$167,economics!$AJ$2:$AJ$167,TRUE)),0)</f>
        <v/>
      </c>
      <c r="AF10" s="68">
        <f t="array" ref="AF10">IF($D10,SUMPRODUCT((economics!$AG$2:$AG$167=$B10)*(economics!$D$2:$D$167="process")*economics!$AH$2:$AH$167*_xlfn.NORM.DIST(AF$3,economics!$AK$2:$AK$167,economics!$AJ$2:$AJ$167,TRUE)),0)</f>
        <v/>
      </c>
      <c r="AG10" s="68">
        <f t="array" ref="AG10">IF($D10,SUMPRODUCT((economics!$AG$2:$AG$167=$B10)*(economics!$D$2:$D$167="process")*economics!$AH$2:$AH$167*_xlfn.NORM.DIST(AG$3,economics!$AK$2:$AK$167,economics!$AJ$2:$AJ$167,TRUE)),0)</f>
        <v/>
      </c>
      <c r="AH10" s="68">
        <f t="array" ref="AH10">IF($D10,SUMPRODUCT((economics!$AG$2:$AG$167=$B10)*(economics!$D$2:$D$167="process")*economics!$AH$2:$AH$167*_xlfn.NORM.DIST(AH$3,economics!$AK$2:$AK$167,economics!$AJ$2:$AJ$167,TRUE)),0)</f>
        <v/>
      </c>
      <c r="AI10" s="68">
        <f t="array" ref="AI10">IF($D10,SUMPRODUCT((economics!$AG$2:$AG$167=$B10)*(economics!$D$2:$D$167="process")*economics!$AH$2:$AH$167*_xlfn.NORM.DIST(AI$3,economics!$AK$2:$AK$167,economics!$AJ$2:$AJ$167,TRUE)),0)</f>
        <v/>
      </c>
      <c r="AJ10" s="68">
        <f t="array" ref="AJ10">IF($D10,SUMPRODUCT((economics!$AG$2:$AG$167=$B10)*(economics!$D$2:$D$167="process")*economics!$AH$2:$AH$167*_xlfn.NORM.DIST(AJ$3,economics!$AK$2:$AK$167,economics!$AJ$2:$AJ$167,TRUE)),0)</f>
        <v/>
      </c>
      <c r="AK10" s="68">
        <f t="array" ref="AK10">IF($D10,SUMPRODUCT((economics!$AG$2:$AG$167=$B10)*(economics!$D$2:$D$167="process")*economics!$AH$2:$AH$167*_xlfn.NORM.DIST(AK$3,economics!$AK$2:$AK$167,economics!$AJ$2:$AJ$167,TRUE)),0)</f>
        <v/>
      </c>
      <c r="AL10" s="68">
        <f t="array" ref="AL10">IF($D10,SUMPRODUCT((economics!$AG$2:$AG$167=$B10)*(economics!$D$2:$D$167="process")*economics!$AH$2:$AH$167*_xlfn.NORM.DIST(AL$3,economics!$AK$2:$AK$167,economics!$AJ$2:$AJ$167,TRUE)),0)</f>
        <v/>
      </c>
      <c r="AM10" s="68">
        <f t="array" ref="AM10">IF($D10,SUMPRODUCT((economics!$AG$2:$AG$167=$B10)*(economics!$D$2:$D$167="process")*economics!$AH$2:$AH$167*_xlfn.NORM.DIST(AM$3,economics!$AK$2:$AK$167,economics!$AJ$2:$AJ$167,TRUE)),0)</f>
        <v/>
      </c>
      <c r="AN10" s="68">
        <f t="array" ref="AN10">IF($D10,SUMPRODUCT((economics!$AG$2:$AG$167=$B10)*(economics!$D$2:$D$167="process")*economics!$AH$2:$AH$167*_xlfn.NORM.DIST(AN$3,economics!$AK$2:$AK$167,economics!$AJ$2:$AJ$167,TRUE)),0)</f>
        <v/>
      </c>
      <c r="AO10" s="68">
        <f t="array" ref="AO10">IF($D10,SUMPRODUCT((economics!$AG$2:$AG$167=$B10)*(economics!$D$2:$D$167="process")*economics!$AH$2:$AH$167*_xlfn.NORM.DIST(AO$3,economics!$AK$2:$AK$167,economics!$AJ$2:$AJ$167,TRUE)),0)</f>
        <v/>
      </c>
      <c r="AP10" s="68">
        <f t="array" ref="AP10">IF($D10,SUMPRODUCT((economics!$AG$2:$AG$167=$B10)*(economics!$D$2:$D$167="process")*economics!$AH$2:$AH$167*_xlfn.NORM.DIST(AP$3,economics!$AK$2:$AK$167,economics!$AJ$2:$AJ$167,TRUE)),0)</f>
        <v/>
      </c>
      <c r="AQ10" s="68">
        <f t="array" ref="AQ10">IF($D10,SUMPRODUCT((economics!$AG$2:$AG$167=$B10)*(economics!$D$2:$D$167="process")*economics!$AH$2:$AH$167*_xlfn.NORM.DIST(AQ$3,economics!$AK$2:$AK$167,economics!$AJ$2:$AJ$167,TRUE)),0)</f>
        <v/>
      </c>
      <c r="AR10" s="68">
        <f t="array" ref="AR10">IF($D10,SUMPRODUCT((economics!$AG$2:$AG$167=$B10)*(economics!$D$2:$D$167="process")*economics!$AH$2:$AH$167*_xlfn.NORM.DIST(AR$3,economics!$AK$2:$AK$167,economics!$AJ$2:$AJ$167,TRUE)),0)</f>
        <v/>
      </c>
      <c r="AS10" s="68">
        <f t="array" ref="AS10">IF($D10,SUMPRODUCT((economics!$AG$2:$AG$167=$B10)*(economics!$D$2:$D$167="process")*economics!$AH$2:$AH$167*_xlfn.NORM.DIST(AS$3,economics!$AK$2:$AK$167,economics!$AJ$2:$AJ$167,TRUE)),0)</f>
        <v/>
      </c>
      <c r="AT10" s="68">
        <f t="array" ref="AT10">IF($D10,SUMPRODUCT((economics!$AG$2:$AG$167=$B10)*(economics!$D$2:$D$167="process")*economics!$AH$2:$AH$167*_xlfn.NORM.DIST(AT$3,economics!$AK$2:$AK$167,economics!$AJ$2:$AJ$167,TRUE)),0)</f>
        <v/>
      </c>
      <c r="AU10" s="68">
        <f t="array" ref="AU10">IF($D10,SUMPRODUCT((economics!$AG$2:$AG$167=$B10)*(economics!$D$2:$D$167="process")*economics!$AH$2:$AH$167*_xlfn.NORM.DIST(AU$3,economics!$AK$2:$AK$167,economics!$AJ$2:$AJ$167,TRUE)),0)</f>
        <v/>
      </c>
      <c r="AV10" s="68">
        <f t="array" ref="AV10">IF($D10,SUMPRODUCT((economics!$AG$2:$AG$167=$B10)*(economics!$D$2:$D$167="process")*economics!$AH$2:$AH$167*_xlfn.NORM.DIST(AV$3,economics!$AK$2:$AK$167,economics!$AJ$2:$AJ$167,TRUE)),0)</f>
        <v/>
      </c>
      <c r="AW10" s="68">
        <f t="array" ref="AW10">IF($D10,SUMPRODUCT((economics!$AG$2:$AG$167=$B10)*(economics!$D$2:$D$167="process")*economics!$AH$2:$AH$167*_xlfn.NORM.DIST(AW$3,economics!$AK$2:$AK$167,economics!$AJ$2:$AJ$167,TRUE)),0)</f>
        <v/>
      </c>
      <c r="AX10" s="68">
        <f t="array" ref="AX10">IF($D10,SUMPRODUCT((economics!$AG$2:$AG$167=$B10)*(economics!$D$2:$D$167="process")*economics!$AH$2:$AH$167*_xlfn.NORM.DIST(AX$3,economics!$AK$2:$AK$167,economics!$AJ$2:$AJ$167,TRUE)),0)</f>
        <v/>
      </c>
      <c r="AY10" s="68">
        <f t="array" ref="AY10">IF($D10,SUMPRODUCT((economics!$AG$2:$AG$167=$B10)*(economics!$D$2:$D$167="process")*economics!$AH$2:$AH$167*_xlfn.NORM.DIST(AY$3,economics!$AK$2:$AK$167,economics!$AJ$2:$AJ$167,TRUE)),0)</f>
        <v/>
      </c>
      <c r="AZ10" s="68">
        <f t="array" ref="AZ10">IF($D10,SUMPRODUCT((economics!$AG$2:$AG$167=$B10)*(economics!$D$2:$D$167="process")*economics!$AH$2:$AH$167*_xlfn.NORM.DIST(AZ$3,economics!$AK$2:$AK$167,economics!$AJ$2:$AJ$167,TRUE)),0)</f>
        <v/>
      </c>
      <c r="BA10" s="68">
        <f t="array" ref="BA10">IF($D10,SUMPRODUCT((economics!$AG$2:$AG$167=$B10)*(economics!$D$2:$D$167="process")*economics!$AH$2:$AH$167*_xlfn.NORM.DIST(BA$3,economics!$AK$2:$AK$167,economics!$AJ$2:$AJ$167,TRUE)),0)</f>
        <v/>
      </c>
      <c r="BB10" s="68">
        <f t="array" ref="BB10">IF($D10,SUMPRODUCT((economics!$AG$2:$AG$167=$B10)*(economics!$D$2:$D$167="process")*economics!$AH$2:$AH$167*_xlfn.NORM.DIST(BB$3,economics!$AK$2:$AK$167,economics!$AJ$2:$AJ$167,TRUE)),0)</f>
        <v/>
      </c>
      <c r="BC10" s="68">
        <f t="array" ref="BC10">IF($D10,SUMPRODUCT((economics!$AG$2:$AG$167=$B10)*(economics!$D$2:$D$167="process")*economics!$AH$2:$AH$167*_xlfn.NORM.DIST(BC$3,economics!$AK$2:$AK$167,economics!$AJ$2:$AJ$167,TRUE)),0)</f>
        <v/>
      </c>
      <c r="BD10" s="68">
        <f t="array" ref="BD10">IF($D10,SUMPRODUCT((economics!$AG$2:$AG$167=$B10)*(economics!$D$2:$D$167="process")*economics!$AH$2:$AH$167*_xlfn.NORM.DIST(BD$3,economics!$AK$2:$AK$167,economics!$AJ$2:$AJ$167,TRUE)),0)</f>
        <v/>
      </c>
      <c r="BE10" s="68">
        <f t="array" ref="BE10">IF($D10,SUMPRODUCT((economics!$AG$2:$AG$167=$B10)*(economics!$D$2:$D$167="process")*economics!$AH$2:$AH$167*_xlfn.NORM.DIST(BE$3,economics!$AK$2:$AK$167,economics!$AJ$2:$AJ$167,TRUE)),0)</f>
        <v/>
      </c>
      <c r="BF10" s="68">
        <f t="array" ref="BF10">IF($D10,SUMPRODUCT((economics!$AG$2:$AG$167=$B10)*(economics!$D$2:$D$167="process")*economics!$AH$2:$AH$167*_xlfn.NORM.DIST(BF$3,economics!$AK$2:$AK$167,economics!$AJ$2:$AJ$167,TRUE)),0)</f>
        <v/>
      </c>
      <c r="BG10" s="68">
        <f t="array" ref="BG10">IF($D10,SUMPRODUCT((economics!$AG$2:$AG$167=$B10)*(economics!$D$2:$D$167="process")*economics!$AH$2:$AH$167*_xlfn.NORM.DIST(BG$3,economics!$AK$2:$AK$167,economics!$AJ$2:$AJ$167,TRUE)),0)</f>
        <v/>
      </c>
      <c r="BH10" s="68">
        <f t="array" ref="BH10">IF($D10,SUMPRODUCT((economics!$AG$2:$AG$167=$B10)*(economics!$D$2:$D$167="process")*economics!$AH$2:$AH$167*_xlfn.NORM.DIST(BH$3,economics!$AK$2:$AK$167,economics!$AJ$2:$AJ$167,TRUE)),0)</f>
        <v/>
      </c>
      <c r="BI10" s="68">
        <f t="array" ref="BI10">IF($D10,SUMPRODUCT((economics!$AG$2:$AG$167=$B10)*(economics!$D$2:$D$167="process")*economics!$AH$2:$AH$167*_xlfn.NORM.DIST(BI$3,economics!$AK$2:$AK$167,economics!$AJ$2:$AJ$167,TRUE)),0)</f>
        <v/>
      </c>
      <c r="BJ10" s="68">
        <f t="array" ref="BJ10">IF($D10,SUMPRODUCT((economics!$AG$2:$AG$167=$B10)*(economics!$D$2:$D$167="process")*economics!$AH$2:$AH$167*_xlfn.NORM.DIST(BJ$3,economics!$AK$2:$AK$167,economics!$AJ$2:$AJ$167,TRUE)),0)</f>
        <v/>
      </c>
      <c r="BK10" s="68">
        <f t="array" ref="BK10">IF($D10,SUMPRODUCT((economics!$AG$2:$AG$167=$B10)*(economics!$D$2:$D$167="process")*economics!$AH$2:$AH$167*_xlfn.NORM.DIST(BK$3,economics!$AK$2:$AK$167,economics!$AJ$2:$AJ$167,TRUE)),0)</f>
        <v/>
      </c>
      <c r="BL10" s="68">
        <f t="array" ref="BL10">IF($D10,SUMPRODUCT((economics!$AG$2:$AG$167=$B10)*(economics!$D$2:$D$167="process")*economics!$AH$2:$AH$167*_xlfn.NORM.DIST(BL$3,economics!$AK$2:$AK$167,economics!$AJ$2:$AJ$167,TRUE)),0)</f>
        <v/>
      </c>
      <c r="BM10" s="68">
        <f t="array" ref="BM10">IF($D10,SUMPRODUCT((economics!$AG$2:$AG$167=$B10)*(economics!$D$2:$D$167="process")*economics!$AH$2:$AH$167*_xlfn.NORM.DIST(BM$3,economics!$AK$2:$AK$167,economics!$AJ$2:$AJ$167,TRUE)),0)</f>
        <v/>
      </c>
      <c r="BN10" s="68">
        <f t="array" ref="BN10">IF($D10,SUMPRODUCT((economics!$AG$2:$AG$167=$B10)*(economics!$D$2:$D$167="process")*economics!$AH$2:$AH$167*_xlfn.NORM.DIST(BN$3,economics!$AK$2:$AK$167,economics!$AJ$2:$AJ$167,TRUE)),0)</f>
        <v/>
      </c>
      <c r="BO10" s="68">
        <f t="array" ref="BO10">IF($D10,SUMPRODUCT((economics!$AG$2:$AG$167=$B10)*(economics!$D$2:$D$167="process")*economics!$AH$2:$AH$167*_xlfn.NORM.DIST(BO$3,economics!$AK$2:$AK$167,economics!$AJ$2:$AJ$167,TRUE)),0)</f>
        <v/>
      </c>
      <c r="BP10" s="68">
        <f t="array" ref="BP10">IF($D10,SUMPRODUCT((economics!$AG$2:$AG$167=$B10)*(economics!$D$2:$D$167="process")*economics!$AH$2:$AH$167*_xlfn.NORM.DIST(BP$3,economics!$AK$2:$AK$167,economics!$AJ$2:$AJ$167,TRUE)),0)</f>
        <v/>
      </c>
      <c r="BQ10" s="68">
        <f t="array" ref="BQ10">IF($D10,SUMPRODUCT((economics!$AG$2:$AG$167=$B10)*(economics!$D$2:$D$167="process")*economics!$AH$2:$AH$167*_xlfn.NORM.DIST(BQ$3,economics!$AK$2:$AK$167,economics!$AJ$2:$AJ$167,TRUE)),0)</f>
        <v/>
      </c>
      <c r="BR10" s="68">
        <f t="array" ref="BR10">IF($D10,SUMPRODUCT((economics!$AG$2:$AG$167=$B10)*(economics!$D$2:$D$167="process")*economics!$AH$2:$AH$167*_xlfn.NORM.DIST(BR$3,economics!$AK$2:$AK$167,economics!$AJ$2:$AJ$167,TRUE)),0)</f>
        <v/>
      </c>
      <c r="BS10" s="68">
        <f t="array" ref="BS10">IF($D10,SUMPRODUCT((economics!$AG$2:$AG$167=$B10)*(economics!$D$2:$D$167="process")*economics!$AH$2:$AH$167*_xlfn.NORM.DIST(BS$3,economics!$AK$2:$AK$167,economics!$AJ$2:$AJ$167,TRUE)),0)</f>
        <v/>
      </c>
      <c r="BT10" s="68">
        <f t="array" ref="BT10">IF($D10,SUMPRODUCT((economics!$AG$2:$AG$167=$B10)*(economics!$D$2:$D$167="process")*economics!$AH$2:$AH$167*_xlfn.NORM.DIST(BT$3,economics!$AK$2:$AK$167,economics!$AJ$2:$AJ$167,TRUE)),0)</f>
        <v/>
      </c>
      <c r="BU10" s="68">
        <f t="array" ref="BU10">IF($D10,SUMPRODUCT((economics!$AG$2:$AG$167=$B10)*(economics!$D$2:$D$167="process")*economics!$AH$2:$AH$167*_xlfn.NORM.DIST(BU$3,economics!$AK$2:$AK$167,economics!$AJ$2:$AJ$167,TRUE)),0)</f>
        <v/>
      </c>
      <c r="BV10" s="68">
        <f t="array" ref="BV10">IF($D10,SUMPRODUCT((economics!$AG$2:$AG$167=$B10)*(economics!$D$2:$D$167="process")*economics!$AH$2:$AH$167*_xlfn.NORM.DIST(BV$3,economics!$AK$2:$AK$167,economics!$AJ$2:$AJ$167,TRUE)),0)</f>
        <v/>
      </c>
      <c r="BW10" s="68">
        <f t="array" ref="BW10">IF($D10,SUMPRODUCT((economics!$AG$2:$AG$167=$B10)*(economics!$D$2:$D$167="process")*economics!$AH$2:$AH$167*_xlfn.NORM.DIST(BW$3,economics!$AK$2:$AK$167,economics!$AJ$2:$AJ$167,TRUE)),0)</f>
        <v/>
      </c>
      <c r="BX10" s="68">
        <f t="array" ref="BX10">IF($D10,SUMPRODUCT((economics!$AG$2:$AG$167=$B10)*(economics!$D$2:$D$167="process")*economics!$AH$2:$AH$167*_xlfn.NORM.DIST(BX$3,economics!$AK$2:$AK$167,economics!$AJ$2:$AJ$167,TRUE)),0)</f>
        <v/>
      </c>
      <c r="BY10" s="68">
        <f t="array" ref="BY10">IF($D10,SUMPRODUCT((economics!$AG$2:$AG$167=$B10)*(economics!$D$2:$D$167="process")*economics!$AH$2:$AH$167*_xlfn.NORM.DIST(BY$3,economics!$AK$2:$AK$167,economics!$AJ$2:$AJ$167,TRUE)),0)</f>
        <v/>
      </c>
      <c r="BZ10" s="68">
        <f t="array" ref="BZ10">IF($D10,SUMPRODUCT((economics!$AG$2:$AG$167=$B10)*(economics!$D$2:$D$167="process")*economics!$AH$2:$AH$167*_xlfn.NORM.DIST(BZ$3,economics!$AK$2:$AK$167,economics!$AJ$2:$AJ$167,TRUE)),0)</f>
        <v/>
      </c>
      <c r="CA10" s="68">
        <f t="array" ref="CA10">IF($D10,SUMPRODUCT((economics!$AG$2:$AG$167=$B10)*(economics!$D$2:$D$167="process")*economics!$AH$2:$AH$167*_xlfn.NORM.DIST(CA$3,economics!$AK$2:$AK$167,economics!$AJ$2:$AJ$167,TRUE)),0)</f>
        <v/>
      </c>
      <c r="CB10" s="68">
        <f t="array" ref="CB10">IF($D10,SUMPRODUCT((economics!$AG$2:$AG$167=$B10)*(economics!$D$2:$D$167="process")*economics!$AH$2:$AH$167*_xlfn.NORM.DIST(CB$3,economics!$AK$2:$AK$167,economics!$AJ$2:$AJ$167,TRUE)),0)</f>
        <v/>
      </c>
      <c r="CC10" s="68">
        <f t="array" ref="CC10">IF($D10,SUMPRODUCT((economics!$AG$2:$AG$167=$B10)*(economics!$D$2:$D$167="process")*economics!$AH$2:$AH$167*_xlfn.NORM.DIST(CC$3,economics!$AK$2:$AK$167,economics!$AJ$2:$AJ$167,TRUE)),0)</f>
        <v/>
      </c>
      <c r="CD10" s="68">
        <f t="array" ref="CD10">IF($D10,SUMPRODUCT((economics!$AG$2:$AG$167=$B10)*(economics!$D$2:$D$167="process")*economics!$AH$2:$AH$167*_xlfn.NORM.DIST(CD$3,economics!$AK$2:$AK$167,economics!$AJ$2:$AJ$167,TRUE)),0)</f>
        <v/>
      </c>
      <c r="CE10" s="68">
        <f t="array" ref="CE10">IF($D10,SUMPRODUCT((economics!$AG$2:$AG$167=$B10)*(economics!$D$2:$D$167="process")*economics!$AH$2:$AH$167*_xlfn.NORM.DIST(CE$3,economics!$AK$2:$AK$167,economics!$AJ$2:$AJ$167,TRUE)),0)</f>
        <v/>
      </c>
      <c r="CF10" s="68">
        <f t="array" ref="CF10">IF($D10,SUMPRODUCT((economics!$AG$2:$AG$167=$B10)*(economics!$D$2:$D$167="process")*economics!$AH$2:$AH$167*_xlfn.NORM.DIST(CF$3,economics!$AK$2:$AK$167,economics!$AJ$2:$AJ$167,TRUE)),0)</f>
        <v/>
      </c>
      <c r="CG10" s="68">
        <f t="array" ref="CG10">IF($D10,SUMPRODUCT((economics!$AG$2:$AG$167=$B10)*(economics!$D$2:$D$167="process")*economics!$AH$2:$AH$167*_xlfn.NORM.DIST(CG$3,economics!$AK$2:$AK$167,economics!$AJ$2:$AJ$167,TRUE)),0)</f>
        <v/>
      </c>
      <c r="CH10" s="68">
        <f t="array" ref="CH10">IF($D10,SUMPRODUCT((economics!$AG$2:$AG$167=$B10)*(economics!$D$2:$D$167="process")*economics!$AH$2:$AH$167*_xlfn.NORM.DIST(CH$3,economics!$AK$2:$AK$167,economics!$AJ$2:$AJ$167,TRUE)),0)</f>
        <v/>
      </c>
    </row>
    <row r="11">
      <c r="A11">
        <f>WHRPbI!A9</f>
        <v/>
      </c>
      <c r="B11" t="inlineStr">
        <is>
          <t>17T18</t>
        </is>
      </c>
      <c r="C11" s="68">
        <f>WHRPbI!B9</f>
        <v/>
      </c>
      <c r="D11">
        <f>ISNUMBER(MATCH($B11,'energy base (MECS)'!$K$4:$K$9,0))</f>
        <v/>
      </c>
      <c r="E11" s="68">
        <f t="array" ref="E11">IF($D11,SUMPRODUCT((economics!$AG$2:$AG$167=$B11)*(economics!$D$2:$D$167="process")*economics!$AH$2:$AH$167*_xlfn.NORM.DIST(E$3,economics!$AK$2:$AK$167,economics!$AJ$2:$AJ$167,TRUE)),0)</f>
        <v/>
      </c>
      <c r="F11" s="68">
        <f t="array" ref="F11">IF($D11,SUMPRODUCT((economics!$AG$2:$AG$167=$B11)*(economics!$D$2:$D$167="process")*economics!$AH$2:$AH$167*_xlfn.NORM.DIST(F$3,economics!$AK$2:$AK$167,economics!$AJ$2:$AJ$167,TRUE)),0)</f>
        <v/>
      </c>
      <c r="G11" s="68">
        <f t="array" ref="G11">IF($D11,SUMPRODUCT((economics!$AG$2:$AG$167=$B11)*(economics!$D$2:$D$167="process")*economics!$AH$2:$AH$167*_xlfn.NORM.DIST(G$3,economics!$AK$2:$AK$167,economics!$AJ$2:$AJ$167,TRUE)),0)</f>
        <v/>
      </c>
      <c r="H11" s="68">
        <f t="array" ref="H11">IF($D11,SUMPRODUCT((economics!$AG$2:$AG$167=$B11)*(economics!$D$2:$D$167="process")*economics!$AH$2:$AH$167*_xlfn.NORM.DIST(H$3,economics!$AK$2:$AK$167,economics!$AJ$2:$AJ$167,TRUE)),0)</f>
        <v/>
      </c>
      <c r="I11" s="68">
        <f t="array" ref="I11">IF($D11,SUMPRODUCT((economics!$AG$2:$AG$167=$B11)*(economics!$D$2:$D$167="process")*economics!$AH$2:$AH$167*_xlfn.NORM.DIST(I$3,economics!$AK$2:$AK$167,economics!$AJ$2:$AJ$167,TRUE)),0)</f>
        <v/>
      </c>
      <c r="J11" s="68">
        <f t="array" ref="J11">IF($D11,SUMPRODUCT((economics!$AG$2:$AG$167=$B11)*(economics!$D$2:$D$167="process")*economics!$AH$2:$AH$167*_xlfn.NORM.DIST(J$3,economics!$AK$2:$AK$167,economics!$AJ$2:$AJ$167,TRUE)),0)</f>
        <v/>
      </c>
      <c r="K11" s="68">
        <f t="array" ref="K11">IF($D11,SUMPRODUCT((economics!$AG$2:$AG$167=$B11)*(economics!$D$2:$D$167="process")*economics!$AH$2:$AH$167*_xlfn.NORM.DIST(K$3,economics!$AK$2:$AK$167,economics!$AJ$2:$AJ$167,TRUE)),0)</f>
        <v/>
      </c>
      <c r="L11" s="68">
        <f t="array" ref="L11">IF($D11,SUMPRODUCT((economics!$AG$2:$AG$167=$B11)*(economics!$D$2:$D$167="process")*economics!$AH$2:$AH$167*_xlfn.NORM.DIST(L$3,economics!$AK$2:$AK$167,economics!$AJ$2:$AJ$167,TRUE)),0)</f>
        <v/>
      </c>
      <c r="M11" s="68">
        <f t="array" ref="M11">IF($D11,SUMPRODUCT((economics!$AG$2:$AG$167=$B11)*(economics!$D$2:$D$167="process")*economics!$AH$2:$AH$167*_xlfn.NORM.DIST(M$3,economics!$AK$2:$AK$167,economics!$AJ$2:$AJ$167,TRUE)),0)</f>
        <v/>
      </c>
      <c r="N11" s="68">
        <f t="array" ref="N11">IF($D11,SUMPRODUCT((economics!$AG$2:$AG$167=$B11)*(economics!$D$2:$D$167="process")*economics!$AH$2:$AH$167*_xlfn.NORM.DIST(N$3,economics!$AK$2:$AK$167,economics!$AJ$2:$AJ$167,TRUE)),0)</f>
        <v/>
      </c>
      <c r="O11" s="68">
        <f t="array" ref="O11">IF($D11,SUMPRODUCT((economics!$AG$2:$AG$167=$B11)*(economics!$D$2:$D$167="process")*economics!$AH$2:$AH$167*_xlfn.NORM.DIST(O$3,economics!$AK$2:$AK$167,economics!$AJ$2:$AJ$167,TRUE)),0)</f>
        <v/>
      </c>
      <c r="P11" s="68">
        <f t="array" ref="P11">IF($D11,SUMPRODUCT((economics!$AG$2:$AG$167=$B11)*(economics!$D$2:$D$167="process")*economics!$AH$2:$AH$167*_xlfn.NORM.DIST(P$3,economics!$AK$2:$AK$167,economics!$AJ$2:$AJ$167,TRUE)),0)</f>
        <v/>
      </c>
      <c r="Q11" s="68">
        <f t="array" ref="Q11">IF($D11,SUMPRODUCT((economics!$AG$2:$AG$167=$B11)*(economics!$D$2:$D$167="process")*economics!$AH$2:$AH$167*_xlfn.NORM.DIST(Q$3,economics!$AK$2:$AK$167,economics!$AJ$2:$AJ$167,TRUE)),0)</f>
        <v/>
      </c>
      <c r="R11" s="68">
        <f t="array" ref="R11">IF($D11,SUMPRODUCT((economics!$AG$2:$AG$167=$B11)*(economics!$D$2:$D$167="process")*economics!$AH$2:$AH$167*_xlfn.NORM.DIST(R$3,economics!$AK$2:$AK$167,economics!$AJ$2:$AJ$167,TRUE)),0)</f>
        <v/>
      </c>
      <c r="S11" s="68">
        <f t="array" ref="S11">IF($D11,SUMPRODUCT((economics!$AG$2:$AG$167=$B11)*(economics!$D$2:$D$167="process")*economics!$AH$2:$AH$167*_xlfn.NORM.DIST(S$3,economics!$AK$2:$AK$167,economics!$AJ$2:$AJ$167,TRUE)),0)</f>
        <v/>
      </c>
      <c r="T11" s="68">
        <f t="array" ref="T11">IF($D11,SUMPRODUCT((economics!$AG$2:$AG$167=$B11)*(economics!$D$2:$D$167="process")*economics!$AH$2:$AH$167*_xlfn.NORM.DIST(T$3,economics!$AK$2:$AK$167,economics!$AJ$2:$AJ$167,TRUE)),0)</f>
        <v/>
      </c>
      <c r="U11" s="68">
        <f t="array" ref="U11">IF($D11,SUMPRODUCT((economics!$AG$2:$AG$167=$B11)*(economics!$D$2:$D$167="process")*economics!$AH$2:$AH$167*_xlfn.NORM.DIST(U$3,economics!$AK$2:$AK$167,economics!$AJ$2:$AJ$167,TRUE)),0)</f>
        <v/>
      </c>
      <c r="V11" s="68">
        <f t="array" ref="V11">IF($D11,SUMPRODUCT((economics!$AG$2:$AG$167=$B11)*(economics!$D$2:$D$167="process")*economics!$AH$2:$AH$167*_xlfn.NORM.DIST(V$3,economics!$AK$2:$AK$167,economics!$AJ$2:$AJ$167,TRUE)),0)</f>
        <v/>
      </c>
      <c r="W11" s="68">
        <f t="array" ref="W11">IF($D11,SUMPRODUCT((economics!$AG$2:$AG$167=$B11)*(economics!$D$2:$D$167="process")*economics!$AH$2:$AH$167*_xlfn.NORM.DIST(W$3,economics!$AK$2:$AK$167,economics!$AJ$2:$AJ$167,TRUE)),0)</f>
        <v/>
      </c>
      <c r="X11" s="68">
        <f t="array" ref="X11">IF($D11,SUMPRODUCT((economics!$AG$2:$AG$167=$B11)*(economics!$D$2:$D$167="process")*economics!$AH$2:$AH$167*_xlfn.NORM.DIST(X$3,economics!$AK$2:$AK$167,economics!$AJ$2:$AJ$167,TRUE)),0)</f>
        <v/>
      </c>
      <c r="Y11" s="68">
        <f t="array" ref="Y11">IF($D11,SUMPRODUCT((economics!$AG$2:$AG$167=$B11)*(economics!$D$2:$D$167="process")*economics!$AH$2:$AH$167*_xlfn.NORM.DIST(Y$3,economics!$AK$2:$AK$167,economics!$AJ$2:$AJ$167,TRUE)),0)</f>
        <v/>
      </c>
      <c r="Z11" s="68">
        <f t="array" ref="Z11">IF($D11,SUMPRODUCT((economics!$AG$2:$AG$167=$B11)*(economics!$D$2:$D$167="process")*economics!$AH$2:$AH$167*_xlfn.NORM.DIST(Z$3,economics!$AK$2:$AK$167,economics!$AJ$2:$AJ$167,TRUE)),0)</f>
        <v/>
      </c>
      <c r="AA11" s="68">
        <f t="array" ref="AA11">IF($D11,SUMPRODUCT((economics!$AG$2:$AG$167=$B11)*(economics!$D$2:$D$167="process")*economics!$AH$2:$AH$167*_xlfn.NORM.DIST(AA$3,economics!$AK$2:$AK$167,economics!$AJ$2:$AJ$167,TRUE)),0)</f>
        <v/>
      </c>
      <c r="AB11" s="68">
        <f t="array" ref="AB11">IF($D11,SUMPRODUCT((economics!$AG$2:$AG$167=$B11)*(economics!$D$2:$D$167="process")*economics!$AH$2:$AH$167*_xlfn.NORM.DIST(AB$3,economics!$AK$2:$AK$167,economics!$AJ$2:$AJ$167,TRUE)),0)</f>
        <v/>
      </c>
      <c r="AC11" s="68">
        <f t="array" ref="AC11">IF($D11,SUMPRODUCT((economics!$AG$2:$AG$167=$B11)*(economics!$D$2:$D$167="process")*economics!$AH$2:$AH$167*_xlfn.NORM.DIST(AC$3,economics!$AK$2:$AK$167,economics!$AJ$2:$AJ$167,TRUE)),0)</f>
        <v/>
      </c>
      <c r="AD11" s="68">
        <f t="array" ref="AD11">IF($D11,SUMPRODUCT((economics!$AG$2:$AG$167=$B11)*(economics!$D$2:$D$167="process")*economics!$AH$2:$AH$167*_xlfn.NORM.DIST(AD$3,economics!$AK$2:$AK$167,economics!$AJ$2:$AJ$167,TRUE)),0)</f>
        <v/>
      </c>
      <c r="AE11" s="68">
        <f t="array" ref="AE11">IF($D11,SUMPRODUCT((economics!$AG$2:$AG$167=$B11)*(economics!$D$2:$D$167="process")*economics!$AH$2:$AH$167*_xlfn.NORM.DIST(AE$3,economics!$AK$2:$AK$167,economics!$AJ$2:$AJ$167,TRUE)),0)</f>
        <v/>
      </c>
      <c r="AF11" s="68">
        <f t="array" ref="AF11">IF($D11,SUMPRODUCT((economics!$AG$2:$AG$167=$B11)*(economics!$D$2:$D$167="process")*economics!$AH$2:$AH$167*_xlfn.NORM.DIST(AF$3,economics!$AK$2:$AK$167,economics!$AJ$2:$AJ$167,TRUE)),0)</f>
        <v/>
      </c>
      <c r="AG11" s="68">
        <f t="array" ref="AG11">IF($D11,SUMPRODUCT((economics!$AG$2:$AG$167=$B11)*(economics!$D$2:$D$167="process")*economics!$AH$2:$AH$167*_xlfn.NORM.DIST(AG$3,economics!$AK$2:$AK$167,economics!$AJ$2:$AJ$167,TRUE)),0)</f>
        <v/>
      </c>
      <c r="AH11" s="68">
        <f t="array" ref="AH11">IF($D11,SUMPRODUCT((economics!$AG$2:$AG$167=$B11)*(economics!$D$2:$D$167="process")*economics!$AH$2:$AH$167*_xlfn.NORM.DIST(AH$3,economics!$AK$2:$AK$167,economics!$AJ$2:$AJ$167,TRUE)),0)</f>
        <v/>
      </c>
      <c r="AI11" s="68">
        <f t="array" ref="AI11">IF($D11,SUMPRODUCT((economics!$AG$2:$AG$167=$B11)*(economics!$D$2:$D$167="process")*economics!$AH$2:$AH$167*_xlfn.NORM.DIST(AI$3,economics!$AK$2:$AK$167,economics!$AJ$2:$AJ$167,TRUE)),0)</f>
        <v/>
      </c>
      <c r="AJ11" s="68">
        <f t="array" ref="AJ11">IF($D11,SUMPRODUCT((economics!$AG$2:$AG$167=$B11)*(economics!$D$2:$D$167="process")*economics!$AH$2:$AH$167*_xlfn.NORM.DIST(AJ$3,economics!$AK$2:$AK$167,economics!$AJ$2:$AJ$167,TRUE)),0)</f>
        <v/>
      </c>
      <c r="AK11" s="68">
        <f t="array" ref="AK11">IF($D11,SUMPRODUCT((economics!$AG$2:$AG$167=$B11)*(economics!$D$2:$D$167="process")*economics!$AH$2:$AH$167*_xlfn.NORM.DIST(AK$3,economics!$AK$2:$AK$167,economics!$AJ$2:$AJ$167,TRUE)),0)</f>
        <v/>
      </c>
      <c r="AL11" s="68">
        <f t="array" ref="AL11">IF($D11,SUMPRODUCT((economics!$AG$2:$AG$167=$B11)*(economics!$D$2:$D$167="process")*economics!$AH$2:$AH$167*_xlfn.NORM.DIST(AL$3,economics!$AK$2:$AK$167,economics!$AJ$2:$AJ$167,TRUE)),0)</f>
        <v/>
      </c>
      <c r="AM11" s="68">
        <f t="array" ref="AM11">IF($D11,SUMPRODUCT((economics!$AG$2:$AG$167=$B11)*(economics!$D$2:$D$167="process")*economics!$AH$2:$AH$167*_xlfn.NORM.DIST(AM$3,economics!$AK$2:$AK$167,economics!$AJ$2:$AJ$167,TRUE)),0)</f>
        <v/>
      </c>
      <c r="AN11" s="68">
        <f t="array" ref="AN11">IF($D11,SUMPRODUCT((economics!$AG$2:$AG$167=$B11)*(economics!$D$2:$D$167="process")*economics!$AH$2:$AH$167*_xlfn.NORM.DIST(AN$3,economics!$AK$2:$AK$167,economics!$AJ$2:$AJ$167,TRUE)),0)</f>
        <v/>
      </c>
      <c r="AO11" s="68">
        <f t="array" ref="AO11">IF($D11,SUMPRODUCT((economics!$AG$2:$AG$167=$B11)*(economics!$D$2:$D$167="process")*economics!$AH$2:$AH$167*_xlfn.NORM.DIST(AO$3,economics!$AK$2:$AK$167,economics!$AJ$2:$AJ$167,TRUE)),0)</f>
        <v/>
      </c>
      <c r="AP11" s="68">
        <f t="array" ref="AP11">IF($D11,SUMPRODUCT((economics!$AG$2:$AG$167=$B11)*(economics!$D$2:$D$167="process")*economics!$AH$2:$AH$167*_xlfn.NORM.DIST(AP$3,economics!$AK$2:$AK$167,economics!$AJ$2:$AJ$167,TRUE)),0)</f>
        <v/>
      </c>
      <c r="AQ11" s="68">
        <f t="array" ref="AQ11">IF($D11,SUMPRODUCT((economics!$AG$2:$AG$167=$B11)*(economics!$D$2:$D$167="process")*economics!$AH$2:$AH$167*_xlfn.NORM.DIST(AQ$3,economics!$AK$2:$AK$167,economics!$AJ$2:$AJ$167,TRUE)),0)</f>
        <v/>
      </c>
      <c r="AR11" s="68">
        <f t="array" ref="AR11">IF($D11,SUMPRODUCT((economics!$AG$2:$AG$167=$B11)*(economics!$D$2:$D$167="process")*economics!$AH$2:$AH$167*_xlfn.NORM.DIST(AR$3,economics!$AK$2:$AK$167,economics!$AJ$2:$AJ$167,TRUE)),0)</f>
        <v/>
      </c>
      <c r="AS11" s="68">
        <f t="array" ref="AS11">IF($D11,SUMPRODUCT((economics!$AG$2:$AG$167=$B11)*(economics!$D$2:$D$167="process")*economics!$AH$2:$AH$167*_xlfn.NORM.DIST(AS$3,economics!$AK$2:$AK$167,economics!$AJ$2:$AJ$167,TRUE)),0)</f>
        <v/>
      </c>
      <c r="AT11" s="68">
        <f t="array" ref="AT11">IF($D11,SUMPRODUCT((economics!$AG$2:$AG$167=$B11)*(economics!$D$2:$D$167="process")*economics!$AH$2:$AH$167*_xlfn.NORM.DIST(AT$3,economics!$AK$2:$AK$167,economics!$AJ$2:$AJ$167,TRUE)),0)</f>
        <v/>
      </c>
      <c r="AU11" s="68">
        <f t="array" ref="AU11">IF($D11,SUMPRODUCT((economics!$AG$2:$AG$167=$B11)*(economics!$D$2:$D$167="process")*economics!$AH$2:$AH$167*_xlfn.NORM.DIST(AU$3,economics!$AK$2:$AK$167,economics!$AJ$2:$AJ$167,TRUE)),0)</f>
        <v/>
      </c>
      <c r="AV11" s="68">
        <f t="array" ref="AV11">IF($D11,SUMPRODUCT((economics!$AG$2:$AG$167=$B11)*(economics!$D$2:$D$167="process")*economics!$AH$2:$AH$167*_xlfn.NORM.DIST(AV$3,economics!$AK$2:$AK$167,economics!$AJ$2:$AJ$167,TRUE)),0)</f>
        <v/>
      </c>
      <c r="AW11" s="68">
        <f t="array" ref="AW11">IF($D11,SUMPRODUCT((economics!$AG$2:$AG$167=$B11)*(economics!$D$2:$D$167="process")*economics!$AH$2:$AH$167*_xlfn.NORM.DIST(AW$3,economics!$AK$2:$AK$167,economics!$AJ$2:$AJ$167,TRUE)),0)</f>
        <v/>
      </c>
      <c r="AX11" s="68">
        <f t="array" ref="AX11">IF($D11,SUMPRODUCT((economics!$AG$2:$AG$167=$B11)*(economics!$D$2:$D$167="process")*economics!$AH$2:$AH$167*_xlfn.NORM.DIST(AX$3,economics!$AK$2:$AK$167,economics!$AJ$2:$AJ$167,TRUE)),0)</f>
        <v/>
      </c>
      <c r="AY11" s="68">
        <f t="array" ref="AY11">IF($D11,SUMPRODUCT((economics!$AG$2:$AG$167=$B11)*(economics!$D$2:$D$167="process")*economics!$AH$2:$AH$167*_xlfn.NORM.DIST(AY$3,economics!$AK$2:$AK$167,economics!$AJ$2:$AJ$167,TRUE)),0)</f>
        <v/>
      </c>
      <c r="AZ11" s="68">
        <f t="array" ref="AZ11">IF($D11,SUMPRODUCT((economics!$AG$2:$AG$167=$B11)*(economics!$D$2:$D$167="process")*economics!$AH$2:$AH$167*_xlfn.NORM.DIST(AZ$3,economics!$AK$2:$AK$167,economics!$AJ$2:$AJ$167,TRUE)),0)</f>
        <v/>
      </c>
      <c r="BA11" s="68">
        <f t="array" ref="BA11">IF($D11,SUMPRODUCT((economics!$AG$2:$AG$167=$B11)*(economics!$D$2:$D$167="process")*economics!$AH$2:$AH$167*_xlfn.NORM.DIST(BA$3,economics!$AK$2:$AK$167,economics!$AJ$2:$AJ$167,TRUE)),0)</f>
        <v/>
      </c>
      <c r="BB11" s="68">
        <f t="array" ref="BB11">IF($D11,SUMPRODUCT((economics!$AG$2:$AG$167=$B11)*(economics!$D$2:$D$167="process")*economics!$AH$2:$AH$167*_xlfn.NORM.DIST(BB$3,economics!$AK$2:$AK$167,economics!$AJ$2:$AJ$167,TRUE)),0)</f>
        <v/>
      </c>
      <c r="BC11" s="68">
        <f t="array" ref="BC11">IF($D11,SUMPRODUCT((economics!$AG$2:$AG$167=$B11)*(economics!$D$2:$D$167="process")*economics!$AH$2:$AH$167*_xlfn.NORM.DIST(BC$3,economics!$AK$2:$AK$167,economics!$AJ$2:$AJ$167,TRUE)),0)</f>
        <v/>
      </c>
      <c r="BD11" s="68">
        <f t="array" ref="BD11">IF($D11,SUMPRODUCT((economics!$AG$2:$AG$167=$B11)*(economics!$D$2:$D$167="process")*economics!$AH$2:$AH$167*_xlfn.NORM.DIST(BD$3,economics!$AK$2:$AK$167,economics!$AJ$2:$AJ$167,TRUE)),0)</f>
        <v/>
      </c>
      <c r="BE11" s="68">
        <f t="array" ref="BE11">IF($D11,SUMPRODUCT((economics!$AG$2:$AG$167=$B11)*(economics!$D$2:$D$167="process")*economics!$AH$2:$AH$167*_xlfn.NORM.DIST(BE$3,economics!$AK$2:$AK$167,economics!$AJ$2:$AJ$167,TRUE)),0)</f>
        <v/>
      </c>
      <c r="BF11" s="68">
        <f t="array" ref="BF11">IF($D11,SUMPRODUCT((economics!$AG$2:$AG$167=$B11)*(economics!$D$2:$D$167="process")*economics!$AH$2:$AH$167*_xlfn.NORM.DIST(BF$3,economics!$AK$2:$AK$167,economics!$AJ$2:$AJ$167,TRUE)),0)</f>
        <v/>
      </c>
      <c r="BG11" s="68">
        <f t="array" ref="BG11">IF($D11,SUMPRODUCT((economics!$AG$2:$AG$167=$B11)*(economics!$D$2:$D$167="process")*economics!$AH$2:$AH$167*_xlfn.NORM.DIST(BG$3,economics!$AK$2:$AK$167,economics!$AJ$2:$AJ$167,TRUE)),0)</f>
        <v/>
      </c>
      <c r="BH11" s="68">
        <f t="array" ref="BH11">IF($D11,SUMPRODUCT((economics!$AG$2:$AG$167=$B11)*(economics!$D$2:$D$167="process")*economics!$AH$2:$AH$167*_xlfn.NORM.DIST(BH$3,economics!$AK$2:$AK$167,economics!$AJ$2:$AJ$167,TRUE)),0)</f>
        <v/>
      </c>
      <c r="BI11" s="68">
        <f t="array" ref="BI11">IF($D11,SUMPRODUCT((economics!$AG$2:$AG$167=$B11)*(economics!$D$2:$D$167="process")*economics!$AH$2:$AH$167*_xlfn.NORM.DIST(BI$3,economics!$AK$2:$AK$167,economics!$AJ$2:$AJ$167,TRUE)),0)</f>
        <v/>
      </c>
      <c r="BJ11" s="68">
        <f t="array" ref="BJ11">IF($D11,SUMPRODUCT((economics!$AG$2:$AG$167=$B11)*(economics!$D$2:$D$167="process")*economics!$AH$2:$AH$167*_xlfn.NORM.DIST(BJ$3,economics!$AK$2:$AK$167,economics!$AJ$2:$AJ$167,TRUE)),0)</f>
        <v/>
      </c>
      <c r="BK11" s="68">
        <f t="array" ref="BK11">IF($D11,SUMPRODUCT((economics!$AG$2:$AG$167=$B11)*(economics!$D$2:$D$167="process")*economics!$AH$2:$AH$167*_xlfn.NORM.DIST(BK$3,economics!$AK$2:$AK$167,economics!$AJ$2:$AJ$167,TRUE)),0)</f>
        <v/>
      </c>
      <c r="BL11" s="68">
        <f t="array" ref="BL11">IF($D11,SUMPRODUCT((economics!$AG$2:$AG$167=$B11)*(economics!$D$2:$D$167="process")*economics!$AH$2:$AH$167*_xlfn.NORM.DIST(BL$3,economics!$AK$2:$AK$167,economics!$AJ$2:$AJ$167,TRUE)),0)</f>
        <v/>
      </c>
      <c r="BM11" s="68">
        <f t="array" ref="BM11">IF($D11,SUMPRODUCT((economics!$AG$2:$AG$167=$B11)*(economics!$D$2:$D$167="process")*economics!$AH$2:$AH$167*_xlfn.NORM.DIST(BM$3,economics!$AK$2:$AK$167,economics!$AJ$2:$AJ$167,TRUE)),0)</f>
        <v/>
      </c>
      <c r="BN11" s="68">
        <f t="array" ref="BN11">IF($D11,SUMPRODUCT((economics!$AG$2:$AG$167=$B11)*(economics!$D$2:$D$167="process")*economics!$AH$2:$AH$167*_xlfn.NORM.DIST(BN$3,economics!$AK$2:$AK$167,economics!$AJ$2:$AJ$167,TRUE)),0)</f>
        <v/>
      </c>
      <c r="BO11" s="68">
        <f t="array" ref="BO11">IF($D11,SUMPRODUCT((economics!$AG$2:$AG$167=$B11)*(economics!$D$2:$D$167="process")*economics!$AH$2:$AH$167*_xlfn.NORM.DIST(BO$3,economics!$AK$2:$AK$167,economics!$AJ$2:$AJ$167,TRUE)),0)</f>
        <v/>
      </c>
      <c r="BP11" s="68">
        <f t="array" ref="BP11">IF($D11,SUMPRODUCT((economics!$AG$2:$AG$167=$B11)*(economics!$D$2:$D$167="process")*economics!$AH$2:$AH$167*_xlfn.NORM.DIST(BP$3,economics!$AK$2:$AK$167,economics!$AJ$2:$AJ$167,TRUE)),0)</f>
        <v/>
      </c>
      <c r="BQ11" s="68">
        <f t="array" ref="BQ11">IF($D11,SUMPRODUCT((economics!$AG$2:$AG$167=$B11)*(economics!$D$2:$D$167="process")*economics!$AH$2:$AH$167*_xlfn.NORM.DIST(BQ$3,economics!$AK$2:$AK$167,economics!$AJ$2:$AJ$167,TRUE)),0)</f>
        <v/>
      </c>
      <c r="BR11" s="68">
        <f t="array" ref="BR11">IF($D11,SUMPRODUCT((economics!$AG$2:$AG$167=$B11)*(economics!$D$2:$D$167="process")*economics!$AH$2:$AH$167*_xlfn.NORM.DIST(BR$3,economics!$AK$2:$AK$167,economics!$AJ$2:$AJ$167,TRUE)),0)</f>
        <v/>
      </c>
      <c r="BS11" s="68">
        <f t="array" ref="BS11">IF($D11,SUMPRODUCT((economics!$AG$2:$AG$167=$B11)*(economics!$D$2:$D$167="process")*economics!$AH$2:$AH$167*_xlfn.NORM.DIST(BS$3,economics!$AK$2:$AK$167,economics!$AJ$2:$AJ$167,TRUE)),0)</f>
        <v/>
      </c>
      <c r="BT11" s="68">
        <f t="array" ref="BT11">IF($D11,SUMPRODUCT((economics!$AG$2:$AG$167=$B11)*(economics!$D$2:$D$167="process")*economics!$AH$2:$AH$167*_xlfn.NORM.DIST(BT$3,economics!$AK$2:$AK$167,economics!$AJ$2:$AJ$167,TRUE)),0)</f>
        <v/>
      </c>
      <c r="BU11" s="68">
        <f t="array" ref="BU11">IF($D11,SUMPRODUCT((economics!$AG$2:$AG$167=$B11)*(economics!$D$2:$D$167="process")*economics!$AH$2:$AH$167*_xlfn.NORM.DIST(BU$3,economics!$AK$2:$AK$167,economics!$AJ$2:$AJ$167,TRUE)),0)</f>
        <v/>
      </c>
      <c r="BV11" s="68">
        <f t="array" ref="BV11">IF($D11,SUMPRODUCT((economics!$AG$2:$AG$167=$B11)*(economics!$D$2:$D$167="process")*economics!$AH$2:$AH$167*_xlfn.NORM.DIST(BV$3,economics!$AK$2:$AK$167,economics!$AJ$2:$AJ$167,TRUE)),0)</f>
        <v/>
      </c>
      <c r="BW11" s="68">
        <f t="array" ref="BW11">IF($D11,SUMPRODUCT((economics!$AG$2:$AG$167=$B11)*(economics!$D$2:$D$167="process")*economics!$AH$2:$AH$167*_xlfn.NORM.DIST(BW$3,economics!$AK$2:$AK$167,economics!$AJ$2:$AJ$167,TRUE)),0)</f>
        <v/>
      </c>
      <c r="BX11" s="68">
        <f t="array" ref="BX11">IF($D11,SUMPRODUCT((economics!$AG$2:$AG$167=$B11)*(economics!$D$2:$D$167="process")*economics!$AH$2:$AH$167*_xlfn.NORM.DIST(BX$3,economics!$AK$2:$AK$167,economics!$AJ$2:$AJ$167,TRUE)),0)</f>
        <v/>
      </c>
      <c r="BY11" s="68">
        <f t="array" ref="BY11">IF($D11,SUMPRODUCT((economics!$AG$2:$AG$167=$B11)*(economics!$D$2:$D$167="process")*economics!$AH$2:$AH$167*_xlfn.NORM.DIST(BY$3,economics!$AK$2:$AK$167,economics!$AJ$2:$AJ$167,TRUE)),0)</f>
        <v/>
      </c>
      <c r="BZ11" s="68">
        <f t="array" ref="BZ11">IF($D11,SUMPRODUCT((economics!$AG$2:$AG$167=$B11)*(economics!$D$2:$D$167="process")*economics!$AH$2:$AH$167*_xlfn.NORM.DIST(BZ$3,economics!$AK$2:$AK$167,economics!$AJ$2:$AJ$167,TRUE)),0)</f>
        <v/>
      </c>
      <c r="CA11" s="68">
        <f t="array" ref="CA11">IF($D11,SUMPRODUCT((economics!$AG$2:$AG$167=$B11)*(economics!$D$2:$D$167="process")*economics!$AH$2:$AH$167*_xlfn.NORM.DIST(CA$3,economics!$AK$2:$AK$167,economics!$AJ$2:$AJ$167,TRUE)),0)</f>
        <v/>
      </c>
      <c r="CB11" s="68">
        <f t="array" ref="CB11">IF($D11,SUMPRODUCT((economics!$AG$2:$AG$167=$B11)*(economics!$D$2:$D$167="process")*economics!$AH$2:$AH$167*_xlfn.NORM.DIST(CB$3,economics!$AK$2:$AK$167,economics!$AJ$2:$AJ$167,TRUE)),0)</f>
        <v/>
      </c>
      <c r="CC11" s="68">
        <f t="array" ref="CC11">IF($D11,SUMPRODUCT((economics!$AG$2:$AG$167=$B11)*(economics!$D$2:$D$167="process")*economics!$AH$2:$AH$167*_xlfn.NORM.DIST(CC$3,economics!$AK$2:$AK$167,economics!$AJ$2:$AJ$167,TRUE)),0)</f>
        <v/>
      </c>
      <c r="CD11" s="68">
        <f t="array" ref="CD11">IF($D11,SUMPRODUCT((economics!$AG$2:$AG$167=$B11)*(economics!$D$2:$D$167="process")*economics!$AH$2:$AH$167*_xlfn.NORM.DIST(CD$3,economics!$AK$2:$AK$167,economics!$AJ$2:$AJ$167,TRUE)),0)</f>
        <v/>
      </c>
      <c r="CE11" s="68">
        <f t="array" ref="CE11">IF($D11,SUMPRODUCT((economics!$AG$2:$AG$167=$B11)*(economics!$D$2:$D$167="process")*economics!$AH$2:$AH$167*_xlfn.NORM.DIST(CE$3,economics!$AK$2:$AK$167,economics!$AJ$2:$AJ$167,TRUE)),0)</f>
        <v/>
      </c>
      <c r="CF11" s="68">
        <f t="array" ref="CF11">IF($D11,SUMPRODUCT((economics!$AG$2:$AG$167=$B11)*(economics!$D$2:$D$167="process")*economics!$AH$2:$AH$167*_xlfn.NORM.DIST(CF$3,economics!$AK$2:$AK$167,economics!$AJ$2:$AJ$167,TRUE)),0)</f>
        <v/>
      </c>
      <c r="CG11" s="68">
        <f t="array" ref="CG11">IF($D11,SUMPRODUCT((economics!$AG$2:$AG$167=$B11)*(economics!$D$2:$D$167="process")*economics!$AH$2:$AH$167*_xlfn.NORM.DIST(CG$3,economics!$AK$2:$AK$167,economics!$AJ$2:$AJ$167,TRUE)),0)</f>
        <v/>
      </c>
      <c r="CH11" s="68">
        <f t="array" ref="CH11">IF($D11,SUMPRODUCT((economics!$AG$2:$AG$167=$B11)*(economics!$D$2:$D$167="process")*economics!$AH$2:$AH$167*_xlfn.NORM.DIST(CH$3,economics!$AK$2:$AK$167,economics!$AJ$2:$AJ$167,TRUE)),0)</f>
        <v/>
      </c>
    </row>
    <row r="12">
      <c r="A12">
        <f>WHRPbI!A10</f>
        <v/>
      </c>
      <c r="B12" t="n">
        <v>19</v>
      </c>
      <c r="C12" s="68">
        <f>WHRPbI!B10</f>
        <v/>
      </c>
      <c r="D12">
        <f>ISNUMBER(MATCH($B12,'energy base (MECS)'!$K$4:$K$9,0))</f>
        <v/>
      </c>
      <c r="E12" s="68">
        <f t="array" ref="E12">IF($D12,SUMPRODUCT((economics!$AG$2:$AG$167=$B12)*(economics!$D$2:$D$167="process")*economics!$AH$2:$AH$167*_xlfn.NORM.DIST(E$3,economics!$AK$2:$AK$167,economics!$AJ$2:$AJ$167,TRUE)),0)</f>
        <v/>
      </c>
      <c r="F12" s="68">
        <f t="array" ref="F12">IF($D12,SUMPRODUCT((economics!$AG$2:$AG$167=$B12)*(economics!$D$2:$D$167="process")*economics!$AH$2:$AH$167*_xlfn.NORM.DIST(F$3,economics!$AK$2:$AK$167,economics!$AJ$2:$AJ$167,TRUE)),0)</f>
        <v/>
      </c>
      <c r="G12" s="68">
        <f t="array" ref="G12">IF($D12,SUMPRODUCT((economics!$AG$2:$AG$167=$B12)*(economics!$D$2:$D$167="process")*economics!$AH$2:$AH$167*_xlfn.NORM.DIST(G$3,economics!$AK$2:$AK$167,economics!$AJ$2:$AJ$167,TRUE)),0)</f>
        <v/>
      </c>
      <c r="H12" s="68">
        <f t="array" ref="H12">IF($D12,SUMPRODUCT((economics!$AG$2:$AG$167=$B12)*(economics!$D$2:$D$167="process")*economics!$AH$2:$AH$167*_xlfn.NORM.DIST(H$3,economics!$AK$2:$AK$167,economics!$AJ$2:$AJ$167,TRUE)),0)</f>
        <v/>
      </c>
      <c r="I12" s="68">
        <f t="array" ref="I12">IF($D12,SUMPRODUCT((economics!$AG$2:$AG$167=$B12)*(economics!$D$2:$D$167="process")*economics!$AH$2:$AH$167*_xlfn.NORM.DIST(I$3,economics!$AK$2:$AK$167,economics!$AJ$2:$AJ$167,TRUE)),0)</f>
        <v/>
      </c>
      <c r="J12" s="68">
        <f t="array" ref="J12">IF($D12,SUMPRODUCT((economics!$AG$2:$AG$167=$B12)*(economics!$D$2:$D$167="process")*economics!$AH$2:$AH$167*_xlfn.NORM.DIST(J$3,economics!$AK$2:$AK$167,economics!$AJ$2:$AJ$167,TRUE)),0)</f>
        <v/>
      </c>
      <c r="K12" s="68">
        <f t="array" ref="K12">IF($D12,SUMPRODUCT((economics!$AG$2:$AG$167=$B12)*(economics!$D$2:$D$167="process")*economics!$AH$2:$AH$167*_xlfn.NORM.DIST(K$3,economics!$AK$2:$AK$167,economics!$AJ$2:$AJ$167,TRUE)),0)</f>
        <v/>
      </c>
      <c r="L12" s="68">
        <f t="array" ref="L12">IF($D12,SUMPRODUCT((economics!$AG$2:$AG$167=$B12)*(economics!$D$2:$D$167="process")*economics!$AH$2:$AH$167*_xlfn.NORM.DIST(L$3,economics!$AK$2:$AK$167,economics!$AJ$2:$AJ$167,TRUE)),0)</f>
        <v/>
      </c>
      <c r="M12" s="68">
        <f t="array" ref="M12">IF($D12,SUMPRODUCT((economics!$AG$2:$AG$167=$B12)*(economics!$D$2:$D$167="process")*economics!$AH$2:$AH$167*_xlfn.NORM.DIST(M$3,economics!$AK$2:$AK$167,economics!$AJ$2:$AJ$167,TRUE)),0)</f>
        <v/>
      </c>
      <c r="N12" s="68">
        <f t="array" ref="N12">IF($D12,SUMPRODUCT((economics!$AG$2:$AG$167=$B12)*(economics!$D$2:$D$167="process")*economics!$AH$2:$AH$167*_xlfn.NORM.DIST(N$3,economics!$AK$2:$AK$167,economics!$AJ$2:$AJ$167,TRUE)),0)</f>
        <v/>
      </c>
      <c r="O12" s="68">
        <f t="array" ref="O12">IF($D12,SUMPRODUCT((economics!$AG$2:$AG$167=$B12)*(economics!$D$2:$D$167="process")*economics!$AH$2:$AH$167*_xlfn.NORM.DIST(O$3,economics!$AK$2:$AK$167,economics!$AJ$2:$AJ$167,TRUE)),0)</f>
        <v/>
      </c>
      <c r="P12" s="68">
        <f t="array" ref="P12">IF($D12,SUMPRODUCT((economics!$AG$2:$AG$167=$B12)*(economics!$D$2:$D$167="process")*economics!$AH$2:$AH$167*_xlfn.NORM.DIST(P$3,economics!$AK$2:$AK$167,economics!$AJ$2:$AJ$167,TRUE)),0)</f>
        <v/>
      </c>
      <c r="Q12" s="68">
        <f t="array" ref="Q12">IF($D12,SUMPRODUCT((economics!$AG$2:$AG$167=$B12)*(economics!$D$2:$D$167="process")*economics!$AH$2:$AH$167*_xlfn.NORM.DIST(Q$3,economics!$AK$2:$AK$167,economics!$AJ$2:$AJ$167,TRUE)),0)</f>
        <v/>
      </c>
      <c r="R12" s="68">
        <f t="array" ref="R12">IF($D12,SUMPRODUCT((economics!$AG$2:$AG$167=$B12)*(economics!$D$2:$D$167="process")*economics!$AH$2:$AH$167*_xlfn.NORM.DIST(R$3,economics!$AK$2:$AK$167,economics!$AJ$2:$AJ$167,TRUE)),0)</f>
        <v/>
      </c>
      <c r="S12" s="68">
        <f t="array" ref="S12">IF($D12,SUMPRODUCT((economics!$AG$2:$AG$167=$B12)*(economics!$D$2:$D$167="process")*economics!$AH$2:$AH$167*_xlfn.NORM.DIST(S$3,economics!$AK$2:$AK$167,economics!$AJ$2:$AJ$167,TRUE)),0)</f>
        <v/>
      </c>
      <c r="T12" s="68">
        <f t="array" ref="T12">IF($D12,SUMPRODUCT((economics!$AG$2:$AG$167=$B12)*(economics!$D$2:$D$167="process")*economics!$AH$2:$AH$167*_xlfn.NORM.DIST(T$3,economics!$AK$2:$AK$167,economics!$AJ$2:$AJ$167,TRUE)),0)</f>
        <v/>
      </c>
      <c r="U12" s="68">
        <f t="array" ref="U12">IF($D12,SUMPRODUCT((economics!$AG$2:$AG$167=$B12)*(economics!$D$2:$D$167="process")*economics!$AH$2:$AH$167*_xlfn.NORM.DIST(U$3,economics!$AK$2:$AK$167,economics!$AJ$2:$AJ$167,TRUE)),0)</f>
        <v/>
      </c>
      <c r="V12" s="68">
        <f t="array" ref="V12">IF($D12,SUMPRODUCT((economics!$AG$2:$AG$167=$B12)*(economics!$D$2:$D$167="process")*economics!$AH$2:$AH$167*_xlfn.NORM.DIST(V$3,economics!$AK$2:$AK$167,economics!$AJ$2:$AJ$167,TRUE)),0)</f>
        <v/>
      </c>
      <c r="W12" s="68">
        <f t="array" ref="W12">IF($D12,SUMPRODUCT((economics!$AG$2:$AG$167=$B12)*(economics!$D$2:$D$167="process")*economics!$AH$2:$AH$167*_xlfn.NORM.DIST(W$3,economics!$AK$2:$AK$167,economics!$AJ$2:$AJ$167,TRUE)),0)</f>
        <v/>
      </c>
      <c r="X12" s="68">
        <f t="array" ref="X12">IF($D12,SUMPRODUCT((economics!$AG$2:$AG$167=$B12)*(economics!$D$2:$D$167="process")*economics!$AH$2:$AH$167*_xlfn.NORM.DIST(X$3,economics!$AK$2:$AK$167,economics!$AJ$2:$AJ$167,TRUE)),0)</f>
        <v/>
      </c>
      <c r="Y12" s="68">
        <f t="array" ref="Y12">IF($D12,SUMPRODUCT((economics!$AG$2:$AG$167=$B12)*(economics!$D$2:$D$167="process")*economics!$AH$2:$AH$167*_xlfn.NORM.DIST(Y$3,economics!$AK$2:$AK$167,economics!$AJ$2:$AJ$167,TRUE)),0)</f>
        <v/>
      </c>
      <c r="Z12" s="68">
        <f t="array" ref="Z12">IF($D12,SUMPRODUCT((economics!$AG$2:$AG$167=$B12)*(economics!$D$2:$D$167="process")*economics!$AH$2:$AH$167*_xlfn.NORM.DIST(Z$3,economics!$AK$2:$AK$167,economics!$AJ$2:$AJ$167,TRUE)),0)</f>
        <v/>
      </c>
      <c r="AA12" s="68">
        <f t="array" ref="AA12">IF($D12,SUMPRODUCT((economics!$AG$2:$AG$167=$B12)*(economics!$D$2:$D$167="process")*economics!$AH$2:$AH$167*_xlfn.NORM.DIST(AA$3,economics!$AK$2:$AK$167,economics!$AJ$2:$AJ$167,TRUE)),0)</f>
        <v/>
      </c>
      <c r="AB12" s="68">
        <f t="array" ref="AB12">IF($D12,SUMPRODUCT((economics!$AG$2:$AG$167=$B12)*(economics!$D$2:$D$167="process")*economics!$AH$2:$AH$167*_xlfn.NORM.DIST(AB$3,economics!$AK$2:$AK$167,economics!$AJ$2:$AJ$167,TRUE)),0)</f>
        <v/>
      </c>
      <c r="AC12" s="68">
        <f t="array" ref="AC12">IF($D12,SUMPRODUCT((economics!$AG$2:$AG$167=$B12)*(economics!$D$2:$D$167="process")*economics!$AH$2:$AH$167*_xlfn.NORM.DIST(AC$3,economics!$AK$2:$AK$167,economics!$AJ$2:$AJ$167,TRUE)),0)</f>
        <v/>
      </c>
      <c r="AD12" s="68">
        <f t="array" ref="AD12">IF($D12,SUMPRODUCT((economics!$AG$2:$AG$167=$B12)*(economics!$D$2:$D$167="process")*economics!$AH$2:$AH$167*_xlfn.NORM.DIST(AD$3,economics!$AK$2:$AK$167,economics!$AJ$2:$AJ$167,TRUE)),0)</f>
        <v/>
      </c>
      <c r="AE12" s="68">
        <f t="array" ref="AE12">IF($D12,SUMPRODUCT((economics!$AG$2:$AG$167=$B12)*(economics!$D$2:$D$167="process")*economics!$AH$2:$AH$167*_xlfn.NORM.DIST(AE$3,economics!$AK$2:$AK$167,economics!$AJ$2:$AJ$167,TRUE)),0)</f>
        <v/>
      </c>
      <c r="AF12" s="68">
        <f t="array" ref="AF12">IF($D12,SUMPRODUCT((economics!$AG$2:$AG$167=$B12)*(economics!$D$2:$D$167="process")*economics!$AH$2:$AH$167*_xlfn.NORM.DIST(AF$3,economics!$AK$2:$AK$167,economics!$AJ$2:$AJ$167,TRUE)),0)</f>
        <v/>
      </c>
      <c r="AG12" s="68">
        <f t="array" ref="AG12">IF($D12,SUMPRODUCT((economics!$AG$2:$AG$167=$B12)*(economics!$D$2:$D$167="process")*economics!$AH$2:$AH$167*_xlfn.NORM.DIST(AG$3,economics!$AK$2:$AK$167,economics!$AJ$2:$AJ$167,TRUE)),0)</f>
        <v/>
      </c>
      <c r="AH12" s="68">
        <f t="array" ref="AH12">IF($D12,SUMPRODUCT((economics!$AG$2:$AG$167=$B12)*(economics!$D$2:$D$167="process")*economics!$AH$2:$AH$167*_xlfn.NORM.DIST(AH$3,economics!$AK$2:$AK$167,economics!$AJ$2:$AJ$167,TRUE)),0)</f>
        <v/>
      </c>
      <c r="AI12" s="68">
        <f t="array" ref="AI12">IF($D12,SUMPRODUCT((economics!$AG$2:$AG$167=$B12)*(economics!$D$2:$D$167="process")*economics!$AH$2:$AH$167*_xlfn.NORM.DIST(AI$3,economics!$AK$2:$AK$167,economics!$AJ$2:$AJ$167,TRUE)),0)</f>
        <v/>
      </c>
      <c r="AJ12" s="68">
        <f t="array" ref="AJ12">IF($D12,SUMPRODUCT((economics!$AG$2:$AG$167=$B12)*(economics!$D$2:$D$167="process")*economics!$AH$2:$AH$167*_xlfn.NORM.DIST(AJ$3,economics!$AK$2:$AK$167,economics!$AJ$2:$AJ$167,TRUE)),0)</f>
        <v/>
      </c>
      <c r="AK12" s="68">
        <f t="array" ref="AK12">IF($D12,SUMPRODUCT((economics!$AG$2:$AG$167=$B12)*(economics!$D$2:$D$167="process")*economics!$AH$2:$AH$167*_xlfn.NORM.DIST(AK$3,economics!$AK$2:$AK$167,economics!$AJ$2:$AJ$167,TRUE)),0)</f>
        <v/>
      </c>
      <c r="AL12" s="68">
        <f t="array" ref="AL12">IF($D12,SUMPRODUCT((economics!$AG$2:$AG$167=$B12)*(economics!$D$2:$D$167="process")*economics!$AH$2:$AH$167*_xlfn.NORM.DIST(AL$3,economics!$AK$2:$AK$167,economics!$AJ$2:$AJ$167,TRUE)),0)</f>
        <v/>
      </c>
      <c r="AM12" s="68">
        <f t="array" ref="AM12">IF($D12,SUMPRODUCT((economics!$AG$2:$AG$167=$B12)*(economics!$D$2:$D$167="process")*economics!$AH$2:$AH$167*_xlfn.NORM.DIST(AM$3,economics!$AK$2:$AK$167,economics!$AJ$2:$AJ$167,TRUE)),0)</f>
        <v/>
      </c>
      <c r="AN12" s="68">
        <f t="array" ref="AN12">IF($D12,SUMPRODUCT((economics!$AG$2:$AG$167=$B12)*(economics!$D$2:$D$167="process")*economics!$AH$2:$AH$167*_xlfn.NORM.DIST(AN$3,economics!$AK$2:$AK$167,economics!$AJ$2:$AJ$167,TRUE)),0)</f>
        <v/>
      </c>
      <c r="AO12" s="68">
        <f t="array" ref="AO12">IF($D12,SUMPRODUCT((economics!$AG$2:$AG$167=$B12)*(economics!$D$2:$D$167="process")*economics!$AH$2:$AH$167*_xlfn.NORM.DIST(AO$3,economics!$AK$2:$AK$167,economics!$AJ$2:$AJ$167,TRUE)),0)</f>
        <v/>
      </c>
      <c r="AP12" s="68">
        <f t="array" ref="AP12">IF($D12,SUMPRODUCT((economics!$AG$2:$AG$167=$B12)*(economics!$D$2:$D$167="process")*economics!$AH$2:$AH$167*_xlfn.NORM.DIST(AP$3,economics!$AK$2:$AK$167,economics!$AJ$2:$AJ$167,TRUE)),0)</f>
        <v/>
      </c>
      <c r="AQ12" s="68">
        <f t="array" ref="AQ12">IF($D12,SUMPRODUCT((economics!$AG$2:$AG$167=$B12)*(economics!$D$2:$D$167="process")*economics!$AH$2:$AH$167*_xlfn.NORM.DIST(AQ$3,economics!$AK$2:$AK$167,economics!$AJ$2:$AJ$167,TRUE)),0)</f>
        <v/>
      </c>
      <c r="AR12" s="68">
        <f t="array" ref="AR12">IF($D12,SUMPRODUCT((economics!$AG$2:$AG$167=$B12)*(economics!$D$2:$D$167="process")*economics!$AH$2:$AH$167*_xlfn.NORM.DIST(AR$3,economics!$AK$2:$AK$167,economics!$AJ$2:$AJ$167,TRUE)),0)</f>
        <v/>
      </c>
      <c r="AS12" s="68">
        <f t="array" ref="AS12">IF($D12,SUMPRODUCT((economics!$AG$2:$AG$167=$B12)*(economics!$D$2:$D$167="process")*economics!$AH$2:$AH$167*_xlfn.NORM.DIST(AS$3,economics!$AK$2:$AK$167,economics!$AJ$2:$AJ$167,TRUE)),0)</f>
        <v/>
      </c>
      <c r="AT12" s="68">
        <f t="array" ref="AT12">IF($D12,SUMPRODUCT((economics!$AG$2:$AG$167=$B12)*(economics!$D$2:$D$167="process")*economics!$AH$2:$AH$167*_xlfn.NORM.DIST(AT$3,economics!$AK$2:$AK$167,economics!$AJ$2:$AJ$167,TRUE)),0)</f>
        <v/>
      </c>
      <c r="AU12" s="68">
        <f t="array" ref="AU12">IF($D12,SUMPRODUCT((economics!$AG$2:$AG$167=$B12)*(economics!$D$2:$D$167="process")*economics!$AH$2:$AH$167*_xlfn.NORM.DIST(AU$3,economics!$AK$2:$AK$167,economics!$AJ$2:$AJ$167,TRUE)),0)</f>
        <v/>
      </c>
      <c r="AV12" s="68">
        <f t="array" ref="AV12">IF($D12,SUMPRODUCT((economics!$AG$2:$AG$167=$B12)*(economics!$D$2:$D$167="process")*economics!$AH$2:$AH$167*_xlfn.NORM.DIST(AV$3,economics!$AK$2:$AK$167,economics!$AJ$2:$AJ$167,TRUE)),0)</f>
        <v/>
      </c>
      <c r="AW12" s="68">
        <f t="array" ref="AW12">IF($D12,SUMPRODUCT((economics!$AG$2:$AG$167=$B12)*(economics!$D$2:$D$167="process")*economics!$AH$2:$AH$167*_xlfn.NORM.DIST(AW$3,economics!$AK$2:$AK$167,economics!$AJ$2:$AJ$167,TRUE)),0)</f>
        <v/>
      </c>
      <c r="AX12" s="68">
        <f t="array" ref="AX12">IF($D12,SUMPRODUCT((economics!$AG$2:$AG$167=$B12)*(economics!$D$2:$D$167="process")*economics!$AH$2:$AH$167*_xlfn.NORM.DIST(AX$3,economics!$AK$2:$AK$167,economics!$AJ$2:$AJ$167,TRUE)),0)</f>
        <v/>
      </c>
      <c r="AY12" s="68">
        <f t="array" ref="AY12">IF($D12,SUMPRODUCT((economics!$AG$2:$AG$167=$B12)*(economics!$D$2:$D$167="process")*economics!$AH$2:$AH$167*_xlfn.NORM.DIST(AY$3,economics!$AK$2:$AK$167,economics!$AJ$2:$AJ$167,TRUE)),0)</f>
        <v/>
      </c>
      <c r="AZ12" s="68">
        <f t="array" ref="AZ12">IF($D12,SUMPRODUCT((economics!$AG$2:$AG$167=$B12)*(economics!$D$2:$D$167="process")*economics!$AH$2:$AH$167*_xlfn.NORM.DIST(AZ$3,economics!$AK$2:$AK$167,economics!$AJ$2:$AJ$167,TRUE)),0)</f>
        <v/>
      </c>
      <c r="BA12" s="68">
        <f t="array" ref="BA12">IF($D12,SUMPRODUCT((economics!$AG$2:$AG$167=$B12)*(economics!$D$2:$D$167="process")*economics!$AH$2:$AH$167*_xlfn.NORM.DIST(BA$3,economics!$AK$2:$AK$167,economics!$AJ$2:$AJ$167,TRUE)),0)</f>
        <v/>
      </c>
      <c r="BB12" s="68">
        <f t="array" ref="BB12">IF($D12,SUMPRODUCT((economics!$AG$2:$AG$167=$B12)*(economics!$D$2:$D$167="process")*economics!$AH$2:$AH$167*_xlfn.NORM.DIST(BB$3,economics!$AK$2:$AK$167,economics!$AJ$2:$AJ$167,TRUE)),0)</f>
        <v/>
      </c>
      <c r="BC12" s="68">
        <f t="array" ref="BC12">IF($D12,SUMPRODUCT((economics!$AG$2:$AG$167=$B12)*(economics!$D$2:$D$167="process")*economics!$AH$2:$AH$167*_xlfn.NORM.DIST(BC$3,economics!$AK$2:$AK$167,economics!$AJ$2:$AJ$167,TRUE)),0)</f>
        <v/>
      </c>
      <c r="BD12" s="68">
        <f t="array" ref="BD12">IF($D12,SUMPRODUCT((economics!$AG$2:$AG$167=$B12)*(economics!$D$2:$D$167="process")*economics!$AH$2:$AH$167*_xlfn.NORM.DIST(BD$3,economics!$AK$2:$AK$167,economics!$AJ$2:$AJ$167,TRUE)),0)</f>
        <v/>
      </c>
      <c r="BE12" s="68">
        <f t="array" ref="BE12">IF($D12,SUMPRODUCT((economics!$AG$2:$AG$167=$B12)*(economics!$D$2:$D$167="process")*economics!$AH$2:$AH$167*_xlfn.NORM.DIST(BE$3,economics!$AK$2:$AK$167,economics!$AJ$2:$AJ$167,TRUE)),0)</f>
        <v/>
      </c>
      <c r="BF12" s="68">
        <f t="array" ref="BF12">IF($D12,SUMPRODUCT((economics!$AG$2:$AG$167=$B12)*(economics!$D$2:$D$167="process")*economics!$AH$2:$AH$167*_xlfn.NORM.DIST(BF$3,economics!$AK$2:$AK$167,economics!$AJ$2:$AJ$167,TRUE)),0)</f>
        <v/>
      </c>
      <c r="BG12" s="68">
        <f t="array" ref="BG12">IF($D12,SUMPRODUCT((economics!$AG$2:$AG$167=$B12)*(economics!$D$2:$D$167="process")*economics!$AH$2:$AH$167*_xlfn.NORM.DIST(BG$3,economics!$AK$2:$AK$167,economics!$AJ$2:$AJ$167,TRUE)),0)</f>
        <v/>
      </c>
      <c r="BH12" s="68">
        <f t="array" ref="BH12">IF($D12,SUMPRODUCT((economics!$AG$2:$AG$167=$B12)*(economics!$D$2:$D$167="process")*economics!$AH$2:$AH$167*_xlfn.NORM.DIST(BH$3,economics!$AK$2:$AK$167,economics!$AJ$2:$AJ$167,TRUE)),0)</f>
        <v/>
      </c>
      <c r="BI12" s="68">
        <f t="array" ref="BI12">IF($D12,SUMPRODUCT((economics!$AG$2:$AG$167=$B12)*(economics!$D$2:$D$167="process")*economics!$AH$2:$AH$167*_xlfn.NORM.DIST(BI$3,economics!$AK$2:$AK$167,economics!$AJ$2:$AJ$167,TRUE)),0)</f>
        <v/>
      </c>
      <c r="BJ12" s="68">
        <f t="array" ref="BJ12">IF($D12,SUMPRODUCT((economics!$AG$2:$AG$167=$B12)*(economics!$D$2:$D$167="process")*economics!$AH$2:$AH$167*_xlfn.NORM.DIST(BJ$3,economics!$AK$2:$AK$167,economics!$AJ$2:$AJ$167,TRUE)),0)</f>
        <v/>
      </c>
      <c r="BK12" s="68">
        <f t="array" ref="BK12">IF($D12,SUMPRODUCT((economics!$AG$2:$AG$167=$B12)*(economics!$D$2:$D$167="process")*economics!$AH$2:$AH$167*_xlfn.NORM.DIST(BK$3,economics!$AK$2:$AK$167,economics!$AJ$2:$AJ$167,TRUE)),0)</f>
        <v/>
      </c>
      <c r="BL12" s="68">
        <f t="array" ref="BL12">IF($D12,SUMPRODUCT((economics!$AG$2:$AG$167=$B12)*(economics!$D$2:$D$167="process")*economics!$AH$2:$AH$167*_xlfn.NORM.DIST(BL$3,economics!$AK$2:$AK$167,economics!$AJ$2:$AJ$167,TRUE)),0)</f>
        <v/>
      </c>
      <c r="BM12" s="68">
        <f t="array" ref="BM12">IF($D12,SUMPRODUCT((economics!$AG$2:$AG$167=$B12)*(economics!$D$2:$D$167="process")*economics!$AH$2:$AH$167*_xlfn.NORM.DIST(BM$3,economics!$AK$2:$AK$167,economics!$AJ$2:$AJ$167,TRUE)),0)</f>
        <v/>
      </c>
      <c r="BN12" s="68">
        <f t="array" ref="BN12">IF($D12,SUMPRODUCT((economics!$AG$2:$AG$167=$B12)*(economics!$D$2:$D$167="process")*economics!$AH$2:$AH$167*_xlfn.NORM.DIST(BN$3,economics!$AK$2:$AK$167,economics!$AJ$2:$AJ$167,TRUE)),0)</f>
        <v/>
      </c>
      <c r="BO12" s="68">
        <f t="array" ref="BO12">IF($D12,SUMPRODUCT((economics!$AG$2:$AG$167=$B12)*(economics!$D$2:$D$167="process")*economics!$AH$2:$AH$167*_xlfn.NORM.DIST(BO$3,economics!$AK$2:$AK$167,economics!$AJ$2:$AJ$167,TRUE)),0)</f>
        <v/>
      </c>
      <c r="BP12" s="68">
        <f t="array" ref="BP12">IF($D12,SUMPRODUCT((economics!$AG$2:$AG$167=$B12)*(economics!$D$2:$D$167="process")*economics!$AH$2:$AH$167*_xlfn.NORM.DIST(BP$3,economics!$AK$2:$AK$167,economics!$AJ$2:$AJ$167,TRUE)),0)</f>
        <v/>
      </c>
      <c r="BQ12" s="68">
        <f t="array" ref="BQ12">IF($D12,SUMPRODUCT((economics!$AG$2:$AG$167=$B12)*(economics!$D$2:$D$167="process")*economics!$AH$2:$AH$167*_xlfn.NORM.DIST(BQ$3,economics!$AK$2:$AK$167,economics!$AJ$2:$AJ$167,TRUE)),0)</f>
        <v/>
      </c>
      <c r="BR12" s="68">
        <f t="array" ref="BR12">IF($D12,SUMPRODUCT((economics!$AG$2:$AG$167=$B12)*(economics!$D$2:$D$167="process")*economics!$AH$2:$AH$167*_xlfn.NORM.DIST(BR$3,economics!$AK$2:$AK$167,economics!$AJ$2:$AJ$167,TRUE)),0)</f>
        <v/>
      </c>
      <c r="BS12" s="68">
        <f t="array" ref="BS12">IF($D12,SUMPRODUCT((economics!$AG$2:$AG$167=$B12)*(economics!$D$2:$D$167="process")*economics!$AH$2:$AH$167*_xlfn.NORM.DIST(BS$3,economics!$AK$2:$AK$167,economics!$AJ$2:$AJ$167,TRUE)),0)</f>
        <v/>
      </c>
      <c r="BT12" s="68">
        <f t="array" ref="BT12">IF($D12,SUMPRODUCT((economics!$AG$2:$AG$167=$B12)*(economics!$D$2:$D$167="process")*economics!$AH$2:$AH$167*_xlfn.NORM.DIST(BT$3,economics!$AK$2:$AK$167,economics!$AJ$2:$AJ$167,TRUE)),0)</f>
        <v/>
      </c>
      <c r="BU12" s="68">
        <f t="array" ref="BU12">IF($D12,SUMPRODUCT((economics!$AG$2:$AG$167=$B12)*(economics!$D$2:$D$167="process")*economics!$AH$2:$AH$167*_xlfn.NORM.DIST(BU$3,economics!$AK$2:$AK$167,economics!$AJ$2:$AJ$167,TRUE)),0)</f>
        <v/>
      </c>
      <c r="BV12" s="68">
        <f t="array" ref="BV12">IF($D12,SUMPRODUCT((economics!$AG$2:$AG$167=$B12)*(economics!$D$2:$D$167="process")*economics!$AH$2:$AH$167*_xlfn.NORM.DIST(BV$3,economics!$AK$2:$AK$167,economics!$AJ$2:$AJ$167,TRUE)),0)</f>
        <v/>
      </c>
      <c r="BW12" s="68">
        <f t="array" ref="BW12">IF($D12,SUMPRODUCT((economics!$AG$2:$AG$167=$B12)*(economics!$D$2:$D$167="process")*economics!$AH$2:$AH$167*_xlfn.NORM.DIST(BW$3,economics!$AK$2:$AK$167,economics!$AJ$2:$AJ$167,TRUE)),0)</f>
        <v/>
      </c>
      <c r="BX12" s="68">
        <f t="array" ref="BX12">IF($D12,SUMPRODUCT((economics!$AG$2:$AG$167=$B12)*(economics!$D$2:$D$167="process")*economics!$AH$2:$AH$167*_xlfn.NORM.DIST(BX$3,economics!$AK$2:$AK$167,economics!$AJ$2:$AJ$167,TRUE)),0)</f>
        <v/>
      </c>
      <c r="BY12" s="68">
        <f t="array" ref="BY12">IF($D12,SUMPRODUCT((economics!$AG$2:$AG$167=$B12)*(economics!$D$2:$D$167="process")*economics!$AH$2:$AH$167*_xlfn.NORM.DIST(BY$3,economics!$AK$2:$AK$167,economics!$AJ$2:$AJ$167,TRUE)),0)</f>
        <v/>
      </c>
      <c r="BZ12" s="68">
        <f t="array" ref="BZ12">IF($D12,SUMPRODUCT((economics!$AG$2:$AG$167=$B12)*(economics!$D$2:$D$167="process")*economics!$AH$2:$AH$167*_xlfn.NORM.DIST(BZ$3,economics!$AK$2:$AK$167,economics!$AJ$2:$AJ$167,TRUE)),0)</f>
        <v/>
      </c>
      <c r="CA12" s="68">
        <f t="array" ref="CA12">IF($D12,SUMPRODUCT((economics!$AG$2:$AG$167=$B12)*(economics!$D$2:$D$167="process")*economics!$AH$2:$AH$167*_xlfn.NORM.DIST(CA$3,economics!$AK$2:$AK$167,economics!$AJ$2:$AJ$167,TRUE)),0)</f>
        <v/>
      </c>
      <c r="CB12" s="68">
        <f t="array" ref="CB12">IF($D12,SUMPRODUCT((economics!$AG$2:$AG$167=$B12)*(economics!$D$2:$D$167="process")*economics!$AH$2:$AH$167*_xlfn.NORM.DIST(CB$3,economics!$AK$2:$AK$167,economics!$AJ$2:$AJ$167,TRUE)),0)</f>
        <v/>
      </c>
      <c r="CC12" s="68">
        <f t="array" ref="CC12">IF($D12,SUMPRODUCT((economics!$AG$2:$AG$167=$B12)*(economics!$D$2:$D$167="process")*economics!$AH$2:$AH$167*_xlfn.NORM.DIST(CC$3,economics!$AK$2:$AK$167,economics!$AJ$2:$AJ$167,TRUE)),0)</f>
        <v/>
      </c>
      <c r="CD12" s="68">
        <f t="array" ref="CD12">IF($D12,SUMPRODUCT((economics!$AG$2:$AG$167=$B12)*(economics!$D$2:$D$167="process")*economics!$AH$2:$AH$167*_xlfn.NORM.DIST(CD$3,economics!$AK$2:$AK$167,economics!$AJ$2:$AJ$167,TRUE)),0)</f>
        <v/>
      </c>
      <c r="CE12" s="68">
        <f t="array" ref="CE12">IF($D12,SUMPRODUCT((economics!$AG$2:$AG$167=$B12)*(economics!$D$2:$D$167="process")*economics!$AH$2:$AH$167*_xlfn.NORM.DIST(CE$3,economics!$AK$2:$AK$167,economics!$AJ$2:$AJ$167,TRUE)),0)</f>
        <v/>
      </c>
      <c r="CF12" s="68">
        <f t="array" ref="CF12">IF($D12,SUMPRODUCT((economics!$AG$2:$AG$167=$B12)*(economics!$D$2:$D$167="process")*economics!$AH$2:$AH$167*_xlfn.NORM.DIST(CF$3,economics!$AK$2:$AK$167,economics!$AJ$2:$AJ$167,TRUE)),0)</f>
        <v/>
      </c>
      <c r="CG12" s="68">
        <f t="array" ref="CG12">IF($D12,SUMPRODUCT((economics!$AG$2:$AG$167=$B12)*(economics!$D$2:$D$167="process")*economics!$AH$2:$AH$167*_xlfn.NORM.DIST(CG$3,economics!$AK$2:$AK$167,economics!$AJ$2:$AJ$167,TRUE)),0)</f>
        <v/>
      </c>
      <c r="CH12" s="68">
        <f t="array" ref="CH12">IF($D12,SUMPRODUCT((economics!$AG$2:$AG$167=$B12)*(economics!$D$2:$D$167="process")*economics!$AH$2:$AH$167*_xlfn.NORM.DIST(CH$3,economics!$AK$2:$AK$167,economics!$AJ$2:$AJ$167,TRUE)),0)</f>
        <v/>
      </c>
    </row>
    <row r="13">
      <c r="A13">
        <f>WHRPbI!A11</f>
        <v/>
      </c>
      <c r="B13" t="n">
        <v>20</v>
      </c>
      <c r="C13" s="68">
        <f>WHRPbI!B11</f>
        <v/>
      </c>
      <c r="D13">
        <f>ISNUMBER(MATCH($B13,'energy base (MECS)'!$K$4:$K$9,0))</f>
        <v/>
      </c>
      <c r="E13" s="68">
        <f t="array" ref="E13">IF($D13,SUMPRODUCT((economics!$AG$2:$AG$167=$B13)*(economics!$D$2:$D$167="process")*economics!$AH$2:$AH$167*_xlfn.NORM.DIST(E$3,economics!$AK$2:$AK$167,economics!$AJ$2:$AJ$167,TRUE)),0)</f>
        <v/>
      </c>
      <c r="F13" s="68">
        <f t="array" ref="F13">IF($D13,SUMPRODUCT((economics!$AG$2:$AG$167=$B13)*(economics!$D$2:$D$167="process")*economics!$AH$2:$AH$167*_xlfn.NORM.DIST(F$3,economics!$AK$2:$AK$167,economics!$AJ$2:$AJ$167,TRUE)),0)</f>
        <v/>
      </c>
      <c r="G13" s="68">
        <f t="array" ref="G13">IF($D13,SUMPRODUCT((economics!$AG$2:$AG$167=$B13)*(economics!$D$2:$D$167="process")*economics!$AH$2:$AH$167*_xlfn.NORM.DIST(G$3,economics!$AK$2:$AK$167,economics!$AJ$2:$AJ$167,TRUE)),0)</f>
        <v/>
      </c>
      <c r="H13" s="68">
        <f t="array" ref="H13">IF($D13,SUMPRODUCT((economics!$AG$2:$AG$167=$B13)*(economics!$D$2:$D$167="process")*economics!$AH$2:$AH$167*_xlfn.NORM.DIST(H$3,economics!$AK$2:$AK$167,economics!$AJ$2:$AJ$167,TRUE)),0)</f>
        <v/>
      </c>
      <c r="I13" s="68">
        <f t="array" ref="I13">IF($D13,SUMPRODUCT((economics!$AG$2:$AG$167=$B13)*(economics!$D$2:$D$167="process")*economics!$AH$2:$AH$167*_xlfn.NORM.DIST(I$3,economics!$AK$2:$AK$167,economics!$AJ$2:$AJ$167,TRUE)),0)</f>
        <v/>
      </c>
      <c r="J13" s="68">
        <f t="array" ref="J13">IF($D13,SUMPRODUCT((economics!$AG$2:$AG$167=$B13)*(economics!$D$2:$D$167="process")*economics!$AH$2:$AH$167*_xlfn.NORM.DIST(J$3,economics!$AK$2:$AK$167,economics!$AJ$2:$AJ$167,TRUE)),0)</f>
        <v/>
      </c>
      <c r="K13" s="68">
        <f t="array" ref="K13">IF($D13,SUMPRODUCT((economics!$AG$2:$AG$167=$B13)*(economics!$D$2:$D$167="process")*economics!$AH$2:$AH$167*_xlfn.NORM.DIST(K$3,economics!$AK$2:$AK$167,economics!$AJ$2:$AJ$167,TRUE)),0)</f>
        <v/>
      </c>
      <c r="L13" s="68">
        <f t="array" ref="L13">IF($D13,SUMPRODUCT((economics!$AG$2:$AG$167=$B13)*(economics!$D$2:$D$167="process")*economics!$AH$2:$AH$167*_xlfn.NORM.DIST(L$3,economics!$AK$2:$AK$167,economics!$AJ$2:$AJ$167,TRUE)),0)</f>
        <v/>
      </c>
      <c r="M13" s="68">
        <f t="array" ref="M13">IF($D13,SUMPRODUCT((economics!$AG$2:$AG$167=$B13)*(economics!$D$2:$D$167="process")*economics!$AH$2:$AH$167*_xlfn.NORM.DIST(M$3,economics!$AK$2:$AK$167,economics!$AJ$2:$AJ$167,TRUE)),0)</f>
        <v/>
      </c>
      <c r="N13" s="68">
        <f t="array" ref="N13">IF($D13,SUMPRODUCT((economics!$AG$2:$AG$167=$B13)*(economics!$D$2:$D$167="process")*economics!$AH$2:$AH$167*_xlfn.NORM.DIST(N$3,economics!$AK$2:$AK$167,economics!$AJ$2:$AJ$167,TRUE)),0)</f>
        <v/>
      </c>
      <c r="O13" s="68">
        <f t="array" ref="O13">IF($D13,SUMPRODUCT((economics!$AG$2:$AG$167=$B13)*(economics!$D$2:$D$167="process")*economics!$AH$2:$AH$167*_xlfn.NORM.DIST(O$3,economics!$AK$2:$AK$167,economics!$AJ$2:$AJ$167,TRUE)),0)</f>
        <v/>
      </c>
      <c r="P13" s="68">
        <f t="array" ref="P13">IF($D13,SUMPRODUCT((economics!$AG$2:$AG$167=$B13)*(economics!$D$2:$D$167="process")*economics!$AH$2:$AH$167*_xlfn.NORM.DIST(P$3,economics!$AK$2:$AK$167,economics!$AJ$2:$AJ$167,TRUE)),0)</f>
        <v/>
      </c>
      <c r="Q13" s="68">
        <f t="array" ref="Q13">IF($D13,SUMPRODUCT((economics!$AG$2:$AG$167=$B13)*(economics!$D$2:$D$167="process")*economics!$AH$2:$AH$167*_xlfn.NORM.DIST(Q$3,economics!$AK$2:$AK$167,economics!$AJ$2:$AJ$167,TRUE)),0)</f>
        <v/>
      </c>
      <c r="R13" s="68">
        <f t="array" ref="R13">IF($D13,SUMPRODUCT((economics!$AG$2:$AG$167=$B13)*(economics!$D$2:$D$167="process")*economics!$AH$2:$AH$167*_xlfn.NORM.DIST(R$3,economics!$AK$2:$AK$167,economics!$AJ$2:$AJ$167,TRUE)),0)</f>
        <v/>
      </c>
      <c r="S13" s="68">
        <f t="array" ref="S13">IF($D13,SUMPRODUCT((economics!$AG$2:$AG$167=$B13)*(economics!$D$2:$D$167="process")*economics!$AH$2:$AH$167*_xlfn.NORM.DIST(S$3,economics!$AK$2:$AK$167,economics!$AJ$2:$AJ$167,TRUE)),0)</f>
        <v/>
      </c>
      <c r="T13" s="68">
        <f t="array" ref="T13">IF($D13,SUMPRODUCT((economics!$AG$2:$AG$167=$B13)*(economics!$D$2:$D$167="process")*economics!$AH$2:$AH$167*_xlfn.NORM.DIST(T$3,economics!$AK$2:$AK$167,economics!$AJ$2:$AJ$167,TRUE)),0)</f>
        <v/>
      </c>
      <c r="U13" s="68">
        <f t="array" ref="U13">IF($D13,SUMPRODUCT((economics!$AG$2:$AG$167=$B13)*(economics!$D$2:$D$167="process")*economics!$AH$2:$AH$167*_xlfn.NORM.DIST(U$3,economics!$AK$2:$AK$167,economics!$AJ$2:$AJ$167,TRUE)),0)</f>
        <v/>
      </c>
      <c r="V13" s="68">
        <f t="array" ref="V13">IF($D13,SUMPRODUCT((economics!$AG$2:$AG$167=$B13)*(economics!$D$2:$D$167="process")*economics!$AH$2:$AH$167*_xlfn.NORM.DIST(V$3,economics!$AK$2:$AK$167,economics!$AJ$2:$AJ$167,TRUE)),0)</f>
        <v/>
      </c>
      <c r="W13" s="68">
        <f t="array" ref="W13">IF($D13,SUMPRODUCT((economics!$AG$2:$AG$167=$B13)*(economics!$D$2:$D$167="process")*economics!$AH$2:$AH$167*_xlfn.NORM.DIST(W$3,economics!$AK$2:$AK$167,economics!$AJ$2:$AJ$167,TRUE)),0)</f>
        <v/>
      </c>
      <c r="X13" s="68">
        <f t="array" ref="X13">IF($D13,SUMPRODUCT((economics!$AG$2:$AG$167=$B13)*(economics!$D$2:$D$167="process")*economics!$AH$2:$AH$167*_xlfn.NORM.DIST(X$3,economics!$AK$2:$AK$167,economics!$AJ$2:$AJ$167,TRUE)),0)</f>
        <v/>
      </c>
      <c r="Y13" s="68">
        <f t="array" ref="Y13">IF($D13,SUMPRODUCT((economics!$AG$2:$AG$167=$B13)*(economics!$D$2:$D$167="process")*economics!$AH$2:$AH$167*_xlfn.NORM.DIST(Y$3,economics!$AK$2:$AK$167,economics!$AJ$2:$AJ$167,TRUE)),0)</f>
        <v/>
      </c>
      <c r="Z13" s="68">
        <f t="array" ref="Z13">IF($D13,SUMPRODUCT((economics!$AG$2:$AG$167=$B13)*(economics!$D$2:$D$167="process")*economics!$AH$2:$AH$167*_xlfn.NORM.DIST(Z$3,economics!$AK$2:$AK$167,economics!$AJ$2:$AJ$167,TRUE)),0)</f>
        <v/>
      </c>
      <c r="AA13" s="68">
        <f t="array" ref="AA13">IF($D13,SUMPRODUCT((economics!$AG$2:$AG$167=$B13)*(economics!$D$2:$D$167="process")*economics!$AH$2:$AH$167*_xlfn.NORM.DIST(AA$3,economics!$AK$2:$AK$167,economics!$AJ$2:$AJ$167,TRUE)),0)</f>
        <v/>
      </c>
      <c r="AB13" s="68">
        <f t="array" ref="AB13">IF($D13,SUMPRODUCT((economics!$AG$2:$AG$167=$B13)*(economics!$D$2:$D$167="process")*economics!$AH$2:$AH$167*_xlfn.NORM.DIST(AB$3,economics!$AK$2:$AK$167,economics!$AJ$2:$AJ$167,TRUE)),0)</f>
        <v/>
      </c>
      <c r="AC13" s="68">
        <f t="array" ref="AC13">IF($D13,SUMPRODUCT((economics!$AG$2:$AG$167=$B13)*(economics!$D$2:$D$167="process")*economics!$AH$2:$AH$167*_xlfn.NORM.DIST(AC$3,economics!$AK$2:$AK$167,economics!$AJ$2:$AJ$167,TRUE)),0)</f>
        <v/>
      </c>
      <c r="AD13" s="68">
        <f t="array" ref="AD13">IF($D13,SUMPRODUCT((economics!$AG$2:$AG$167=$B13)*(economics!$D$2:$D$167="process")*economics!$AH$2:$AH$167*_xlfn.NORM.DIST(AD$3,economics!$AK$2:$AK$167,economics!$AJ$2:$AJ$167,TRUE)),0)</f>
        <v/>
      </c>
      <c r="AE13" s="68">
        <f t="array" ref="AE13">IF($D13,SUMPRODUCT((economics!$AG$2:$AG$167=$B13)*(economics!$D$2:$D$167="process")*economics!$AH$2:$AH$167*_xlfn.NORM.DIST(AE$3,economics!$AK$2:$AK$167,economics!$AJ$2:$AJ$167,TRUE)),0)</f>
        <v/>
      </c>
      <c r="AF13" s="68">
        <f t="array" ref="AF13">IF($D13,SUMPRODUCT((economics!$AG$2:$AG$167=$B13)*(economics!$D$2:$D$167="process")*economics!$AH$2:$AH$167*_xlfn.NORM.DIST(AF$3,economics!$AK$2:$AK$167,economics!$AJ$2:$AJ$167,TRUE)),0)</f>
        <v/>
      </c>
      <c r="AG13" s="68">
        <f t="array" ref="AG13">IF($D13,SUMPRODUCT((economics!$AG$2:$AG$167=$B13)*(economics!$D$2:$D$167="process")*economics!$AH$2:$AH$167*_xlfn.NORM.DIST(AG$3,economics!$AK$2:$AK$167,economics!$AJ$2:$AJ$167,TRUE)),0)</f>
        <v/>
      </c>
      <c r="AH13" s="68">
        <f t="array" ref="AH13">IF($D13,SUMPRODUCT((economics!$AG$2:$AG$167=$B13)*(economics!$D$2:$D$167="process")*economics!$AH$2:$AH$167*_xlfn.NORM.DIST(AH$3,economics!$AK$2:$AK$167,economics!$AJ$2:$AJ$167,TRUE)),0)</f>
        <v/>
      </c>
      <c r="AI13" s="68">
        <f t="array" ref="AI13">IF($D13,SUMPRODUCT((economics!$AG$2:$AG$167=$B13)*(economics!$D$2:$D$167="process")*economics!$AH$2:$AH$167*_xlfn.NORM.DIST(AI$3,economics!$AK$2:$AK$167,economics!$AJ$2:$AJ$167,TRUE)),0)</f>
        <v/>
      </c>
      <c r="AJ13" s="68">
        <f t="array" ref="AJ13">IF($D13,SUMPRODUCT((economics!$AG$2:$AG$167=$B13)*(economics!$D$2:$D$167="process")*economics!$AH$2:$AH$167*_xlfn.NORM.DIST(AJ$3,economics!$AK$2:$AK$167,economics!$AJ$2:$AJ$167,TRUE)),0)</f>
        <v/>
      </c>
      <c r="AK13" s="68">
        <f t="array" ref="AK13">IF($D13,SUMPRODUCT((economics!$AG$2:$AG$167=$B13)*(economics!$D$2:$D$167="process")*economics!$AH$2:$AH$167*_xlfn.NORM.DIST(AK$3,economics!$AK$2:$AK$167,economics!$AJ$2:$AJ$167,TRUE)),0)</f>
        <v/>
      </c>
      <c r="AL13" s="68">
        <f t="array" ref="AL13">IF($D13,SUMPRODUCT((economics!$AG$2:$AG$167=$B13)*(economics!$D$2:$D$167="process")*economics!$AH$2:$AH$167*_xlfn.NORM.DIST(AL$3,economics!$AK$2:$AK$167,economics!$AJ$2:$AJ$167,TRUE)),0)</f>
        <v/>
      </c>
      <c r="AM13" s="68">
        <f t="array" ref="AM13">IF($D13,SUMPRODUCT((economics!$AG$2:$AG$167=$B13)*(economics!$D$2:$D$167="process")*economics!$AH$2:$AH$167*_xlfn.NORM.DIST(AM$3,economics!$AK$2:$AK$167,economics!$AJ$2:$AJ$167,TRUE)),0)</f>
        <v/>
      </c>
      <c r="AN13" s="68">
        <f t="array" ref="AN13">IF($D13,SUMPRODUCT((economics!$AG$2:$AG$167=$B13)*(economics!$D$2:$D$167="process")*economics!$AH$2:$AH$167*_xlfn.NORM.DIST(AN$3,economics!$AK$2:$AK$167,economics!$AJ$2:$AJ$167,TRUE)),0)</f>
        <v/>
      </c>
      <c r="AO13" s="68">
        <f t="array" ref="AO13">IF($D13,SUMPRODUCT((economics!$AG$2:$AG$167=$B13)*(economics!$D$2:$D$167="process")*economics!$AH$2:$AH$167*_xlfn.NORM.DIST(AO$3,economics!$AK$2:$AK$167,economics!$AJ$2:$AJ$167,TRUE)),0)</f>
        <v/>
      </c>
      <c r="AP13" s="68">
        <f t="array" ref="AP13">IF($D13,SUMPRODUCT((economics!$AG$2:$AG$167=$B13)*(economics!$D$2:$D$167="process")*economics!$AH$2:$AH$167*_xlfn.NORM.DIST(AP$3,economics!$AK$2:$AK$167,economics!$AJ$2:$AJ$167,TRUE)),0)</f>
        <v/>
      </c>
      <c r="AQ13" s="68">
        <f t="array" ref="AQ13">IF($D13,SUMPRODUCT((economics!$AG$2:$AG$167=$B13)*(economics!$D$2:$D$167="process")*economics!$AH$2:$AH$167*_xlfn.NORM.DIST(AQ$3,economics!$AK$2:$AK$167,economics!$AJ$2:$AJ$167,TRUE)),0)</f>
        <v/>
      </c>
      <c r="AR13" s="68">
        <f t="array" ref="AR13">IF($D13,SUMPRODUCT((economics!$AG$2:$AG$167=$B13)*(economics!$D$2:$D$167="process")*economics!$AH$2:$AH$167*_xlfn.NORM.DIST(AR$3,economics!$AK$2:$AK$167,economics!$AJ$2:$AJ$167,TRUE)),0)</f>
        <v/>
      </c>
      <c r="AS13" s="68">
        <f t="array" ref="AS13">IF($D13,SUMPRODUCT((economics!$AG$2:$AG$167=$B13)*(economics!$D$2:$D$167="process")*economics!$AH$2:$AH$167*_xlfn.NORM.DIST(AS$3,economics!$AK$2:$AK$167,economics!$AJ$2:$AJ$167,TRUE)),0)</f>
        <v/>
      </c>
      <c r="AT13" s="68">
        <f t="array" ref="AT13">IF($D13,SUMPRODUCT((economics!$AG$2:$AG$167=$B13)*(economics!$D$2:$D$167="process")*economics!$AH$2:$AH$167*_xlfn.NORM.DIST(AT$3,economics!$AK$2:$AK$167,economics!$AJ$2:$AJ$167,TRUE)),0)</f>
        <v/>
      </c>
      <c r="AU13" s="68">
        <f t="array" ref="AU13">IF($D13,SUMPRODUCT((economics!$AG$2:$AG$167=$B13)*(economics!$D$2:$D$167="process")*economics!$AH$2:$AH$167*_xlfn.NORM.DIST(AU$3,economics!$AK$2:$AK$167,economics!$AJ$2:$AJ$167,TRUE)),0)</f>
        <v/>
      </c>
      <c r="AV13" s="68">
        <f t="array" ref="AV13">IF($D13,SUMPRODUCT((economics!$AG$2:$AG$167=$B13)*(economics!$D$2:$D$167="process")*economics!$AH$2:$AH$167*_xlfn.NORM.DIST(AV$3,economics!$AK$2:$AK$167,economics!$AJ$2:$AJ$167,TRUE)),0)</f>
        <v/>
      </c>
      <c r="AW13" s="68">
        <f t="array" ref="AW13">IF($D13,SUMPRODUCT((economics!$AG$2:$AG$167=$B13)*(economics!$D$2:$D$167="process")*economics!$AH$2:$AH$167*_xlfn.NORM.DIST(AW$3,economics!$AK$2:$AK$167,economics!$AJ$2:$AJ$167,TRUE)),0)</f>
        <v/>
      </c>
      <c r="AX13" s="68">
        <f t="array" ref="AX13">IF($D13,SUMPRODUCT((economics!$AG$2:$AG$167=$B13)*(economics!$D$2:$D$167="process")*economics!$AH$2:$AH$167*_xlfn.NORM.DIST(AX$3,economics!$AK$2:$AK$167,economics!$AJ$2:$AJ$167,TRUE)),0)</f>
        <v/>
      </c>
      <c r="AY13" s="68">
        <f t="array" ref="AY13">IF($D13,SUMPRODUCT((economics!$AG$2:$AG$167=$B13)*(economics!$D$2:$D$167="process")*economics!$AH$2:$AH$167*_xlfn.NORM.DIST(AY$3,economics!$AK$2:$AK$167,economics!$AJ$2:$AJ$167,TRUE)),0)</f>
        <v/>
      </c>
      <c r="AZ13" s="68">
        <f t="array" ref="AZ13">IF($D13,SUMPRODUCT((economics!$AG$2:$AG$167=$B13)*(economics!$D$2:$D$167="process")*economics!$AH$2:$AH$167*_xlfn.NORM.DIST(AZ$3,economics!$AK$2:$AK$167,economics!$AJ$2:$AJ$167,TRUE)),0)</f>
        <v/>
      </c>
      <c r="BA13" s="68">
        <f t="array" ref="BA13">IF($D13,SUMPRODUCT((economics!$AG$2:$AG$167=$B13)*(economics!$D$2:$D$167="process")*economics!$AH$2:$AH$167*_xlfn.NORM.DIST(BA$3,economics!$AK$2:$AK$167,economics!$AJ$2:$AJ$167,TRUE)),0)</f>
        <v/>
      </c>
      <c r="BB13" s="68">
        <f t="array" ref="BB13">IF($D13,SUMPRODUCT((economics!$AG$2:$AG$167=$B13)*(economics!$D$2:$D$167="process")*economics!$AH$2:$AH$167*_xlfn.NORM.DIST(BB$3,economics!$AK$2:$AK$167,economics!$AJ$2:$AJ$167,TRUE)),0)</f>
        <v/>
      </c>
      <c r="BC13" s="68">
        <f t="array" ref="BC13">IF($D13,SUMPRODUCT((economics!$AG$2:$AG$167=$B13)*(economics!$D$2:$D$167="process")*economics!$AH$2:$AH$167*_xlfn.NORM.DIST(BC$3,economics!$AK$2:$AK$167,economics!$AJ$2:$AJ$167,TRUE)),0)</f>
        <v/>
      </c>
      <c r="BD13" s="68">
        <f t="array" ref="BD13">IF($D13,SUMPRODUCT((economics!$AG$2:$AG$167=$B13)*(economics!$D$2:$D$167="process")*economics!$AH$2:$AH$167*_xlfn.NORM.DIST(BD$3,economics!$AK$2:$AK$167,economics!$AJ$2:$AJ$167,TRUE)),0)</f>
        <v/>
      </c>
      <c r="BE13" s="68">
        <f t="array" ref="BE13">IF($D13,SUMPRODUCT((economics!$AG$2:$AG$167=$B13)*(economics!$D$2:$D$167="process")*economics!$AH$2:$AH$167*_xlfn.NORM.DIST(BE$3,economics!$AK$2:$AK$167,economics!$AJ$2:$AJ$167,TRUE)),0)</f>
        <v/>
      </c>
      <c r="BF13" s="68">
        <f t="array" ref="BF13">IF($D13,SUMPRODUCT((economics!$AG$2:$AG$167=$B13)*(economics!$D$2:$D$167="process")*economics!$AH$2:$AH$167*_xlfn.NORM.DIST(BF$3,economics!$AK$2:$AK$167,economics!$AJ$2:$AJ$167,TRUE)),0)</f>
        <v/>
      </c>
      <c r="BG13" s="68">
        <f t="array" ref="BG13">IF($D13,SUMPRODUCT((economics!$AG$2:$AG$167=$B13)*(economics!$D$2:$D$167="process")*economics!$AH$2:$AH$167*_xlfn.NORM.DIST(BG$3,economics!$AK$2:$AK$167,economics!$AJ$2:$AJ$167,TRUE)),0)</f>
        <v/>
      </c>
      <c r="BH13" s="68">
        <f t="array" ref="BH13">IF($D13,SUMPRODUCT((economics!$AG$2:$AG$167=$B13)*(economics!$D$2:$D$167="process")*economics!$AH$2:$AH$167*_xlfn.NORM.DIST(BH$3,economics!$AK$2:$AK$167,economics!$AJ$2:$AJ$167,TRUE)),0)</f>
        <v/>
      </c>
      <c r="BI13" s="68">
        <f t="array" ref="BI13">IF($D13,SUMPRODUCT((economics!$AG$2:$AG$167=$B13)*(economics!$D$2:$D$167="process")*economics!$AH$2:$AH$167*_xlfn.NORM.DIST(BI$3,economics!$AK$2:$AK$167,economics!$AJ$2:$AJ$167,TRUE)),0)</f>
        <v/>
      </c>
      <c r="BJ13" s="68">
        <f t="array" ref="BJ13">IF($D13,SUMPRODUCT((economics!$AG$2:$AG$167=$B13)*(economics!$D$2:$D$167="process")*economics!$AH$2:$AH$167*_xlfn.NORM.DIST(BJ$3,economics!$AK$2:$AK$167,economics!$AJ$2:$AJ$167,TRUE)),0)</f>
        <v/>
      </c>
      <c r="BK13" s="68">
        <f t="array" ref="BK13">IF($D13,SUMPRODUCT((economics!$AG$2:$AG$167=$B13)*(economics!$D$2:$D$167="process")*economics!$AH$2:$AH$167*_xlfn.NORM.DIST(BK$3,economics!$AK$2:$AK$167,economics!$AJ$2:$AJ$167,TRUE)),0)</f>
        <v/>
      </c>
      <c r="BL13" s="68">
        <f t="array" ref="BL13">IF($D13,SUMPRODUCT((economics!$AG$2:$AG$167=$B13)*(economics!$D$2:$D$167="process")*economics!$AH$2:$AH$167*_xlfn.NORM.DIST(BL$3,economics!$AK$2:$AK$167,economics!$AJ$2:$AJ$167,TRUE)),0)</f>
        <v/>
      </c>
      <c r="BM13" s="68">
        <f t="array" ref="BM13">IF($D13,SUMPRODUCT((economics!$AG$2:$AG$167=$B13)*(economics!$D$2:$D$167="process")*economics!$AH$2:$AH$167*_xlfn.NORM.DIST(BM$3,economics!$AK$2:$AK$167,economics!$AJ$2:$AJ$167,TRUE)),0)</f>
        <v/>
      </c>
      <c r="BN13" s="68">
        <f t="array" ref="BN13">IF($D13,SUMPRODUCT((economics!$AG$2:$AG$167=$B13)*(economics!$D$2:$D$167="process")*economics!$AH$2:$AH$167*_xlfn.NORM.DIST(BN$3,economics!$AK$2:$AK$167,economics!$AJ$2:$AJ$167,TRUE)),0)</f>
        <v/>
      </c>
      <c r="BO13" s="68">
        <f t="array" ref="BO13">IF($D13,SUMPRODUCT((economics!$AG$2:$AG$167=$B13)*(economics!$D$2:$D$167="process")*economics!$AH$2:$AH$167*_xlfn.NORM.DIST(BO$3,economics!$AK$2:$AK$167,economics!$AJ$2:$AJ$167,TRUE)),0)</f>
        <v/>
      </c>
      <c r="BP13" s="68">
        <f t="array" ref="BP13">IF($D13,SUMPRODUCT((economics!$AG$2:$AG$167=$B13)*(economics!$D$2:$D$167="process")*economics!$AH$2:$AH$167*_xlfn.NORM.DIST(BP$3,economics!$AK$2:$AK$167,economics!$AJ$2:$AJ$167,TRUE)),0)</f>
        <v/>
      </c>
      <c r="BQ13" s="68">
        <f t="array" ref="BQ13">IF($D13,SUMPRODUCT((economics!$AG$2:$AG$167=$B13)*(economics!$D$2:$D$167="process")*economics!$AH$2:$AH$167*_xlfn.NORM.DIST(BQ$3,economics!$AK$2:$AK$167,economics!$AJ$2:$AJ$167,TRUE)),0)</f>
        <v/>
      </c>
      <c r="BR13" s="68">
        <f t="array" ref="BR13">IF($D13,SUMPRODUCT((economics!$AG$2:$AG$167=$B13)*(economics!$D$2:$D$167="process")*economics!$AH$2:$AH$167*_xlfn.NORM.DIST(BR$3,economics!$AK$2:$AK$167,economics!$AJ$2:$AJ$167,TRUE)),0)</f>
        <v/>
      </c>
      <c r="BS13" s="68">
        <f t="array" ref="BS13">IF($D13,SUMPRODUCT((economics!$AG$2:$AG$167=$B13)*(economics!$D$2:$D$167="process")*economics!$AH$2:$AH$167*_xlfn.NORM.DIST(BS$3,economics!$AK$2:$AK$167,economics!$AJ$2:$AJ$167,TRUE)),0)</f>
        <v/>
      </c>
      <c r="BT13" s="68">
        <f t="array" ref="BT13">IF($D13,SUMPRODUCT((economics!$AG$2:$AG$167=$B13)*(economics!$D$2:$D$167="process")*economics!$AH$2:$AH$167*_xlfn.NORM.DIST(BT$3,economics!$AK$2:$AK$167,economics!$AJ$2:$AJ$167,TRUE)),0)</f>
        <v/>
      </c>
      <c r="BU13" s="68">
        <f t="array" ref="BU13">IF($D13,SUMPRODUCT((economics!$AG$2:$AG$167=$B13)*(economics!$D$2:$D$167="process")*economics!$AH$2:$AH$167*_xlfn.NORM.DIST(BU$3,economics!$AK$2:$AK$167,economics!$AJ$2:$AJ$167,TRUE)),0)</f>
        <v/>
      </c>
      <c r="BV13" s="68">
        <f t="array" ref="BV13">IF($D13,SUMPRODUCT((economics!$AG$2:$AG$167=$B13)*(economics!$D$2:$D$167="process")*economics!$AH$2:$AH$167*_xlfn.NORM.DIST(BV$3,economics!$AK$2:$AK$167,economics!$AJ$2:$AJ$167,TRUE)),0)</f>
        <v/>
      </c>
      <c r="BW13" s="68">
        <f t="array" ref="BW13">IF($D13,SUMPRODUCT((economics!$AG$2:$AG$167=$B13)*(economics!$D$2:$D$167="process")*economics!$AH$2:$AH$167*_xlfn.NORM.DIST(BW$3,economics!$AK$2:$AK$167,economics!$AJ$2:$AJ$167,TRUE)),0)</f>
        <v/>
      </c>
      <c r="BX13" s="68">
        <f t="array" ref="BX13">IF($D13,SUMPRODUCT((economics!$AG$2:$AG$167=$B13)*(economics!$D$2:$D$167="process")*economics!$AH$2:$AH$167*_xlfn.NORM.DIST(BX$3,economics!$AK$2:$AK$167,economics!$AJ$2:$AJ$167,TRUE)),0)</f>
        <v/>
      </c>
      <c r="BY13" s="68">
        <f t="array" ref="BY13">IF($D13,SUMPRODUCT((economics!$AG$2:$AG$167=$B13)*(economics!$D$2:$D$167="process")*economics!$AH$2:$AH$167*_xlfn.NORM.DIST(BY$3,economics!$AK$2:$AK$167,economics!$AJ$2:$AJ$167,TRUE)),0)</f>
        <v/>
      </c>
      <c r="BZ13" s="68">
        <f t="array" ref="BZ13">IF($D13,SUMPRODUCT((economics!$AG$2:$AG$167=$B13)*(economics!$D$2:$D$167="process")*economics!$AH$2:$AH$167*_xlfn.NORM.DIST(BZ$3,economics!$AK$2:$AK$167,economics!$AJ$2:$AJ$167,TRUE)),0)</f>
        <v/>
      </c>
      <c r="CA13" s="68">
        <f t="array" ref="CA13">IF($D13,SUMPRODUCT((economics!$AG$2:$AG$167=$B13)*(economics!$D$2:$D$167="process")*economics!$AH$2:$AH$167*_xlfn.NORM.DIST(CA$3,economics!$AK$2:$AK$167,economics!$AJ$2:$AJ$167,TRUE)),0)</f>
        <v/>
      </c>
      <c r="CB13" s="68">
        <f t="array" ref="CB13">IF($D13,SUMPRODUCT((economics!$AG$2:$AG$167=$B13)*(economics!$D$2:$D$167="process")*economics!$AH$2:$AH$167*_xlfn.NORM.DIST(CB$3,economics!$AK$2:$AK$167,economics!$AJ$2:$AJ$167,TRUE)),0)</f>
        <v/>
      </c>
      <c r="CC13" s="68">
        <f t="array" ref="CC13">IF($D13,SUMPRODUCT((economics!$AG$2:$AG$167=$B13)*(economics!$D$2:$D$167="process")*economics!$AH$2:$AH$167*_xlfn.NORM.DIST(CC$3,economics!$AK$2:$AK$167,economics!$AJ$2:$AJ$167,TRUE)),0)</f>
        <v/>
      </c>
      <c r="CD13" s="68">
        <f t="array" ref="CD13">IF($D13,SUMPRODUCT((economics!$AG$2:$AG$167=$B13)*(economics!$D$2:$D$167="process")*economics!$AH$2:$AH$167*_xlfn.NORM.DIST(CD$3,economics!$AK$2:$AK$167,economics!$AJ$2:$AJ$167,TRUE)),0)</f>
        <v/>
      </c>
      <c r="CE13" s="68">
        <f t="array" ref="CE13">IF($D13,SUMPRODUCT((economics!$AG$2:$AG$167=$B13)*(economics!$D$2:$D$167="process")*economics!$AH$2:$AH$167*_xlfn.NORM.DIST(CE$3,economics!$AK$2:$AK$167,economics!$AJ$2:$AJ$167,TRUE)),0)</f>
        <v/>
      </c>
      <c r="CF13" s="68">
        <f t="array" ref="CF13">IF($D13,SUMPRODUCT((economics!$AG$2:$AG$167=$B13)*(economics!$D$2:$D$167="process")*economics!$AH$2:$AH$167*_xlfn.NORM.DIST(CF$3,economics!$AK$2:$AK$167,economics!$AJ$2:$AJ$167,TRUE)),0)</f>
        <v/>
      </c>
      <c r="CG13" s="68">
        <f t="array" ref="CG13">IF($D13,SUMPRODUCT((economics!$AG$2:$AG$167=$B13)*(economics!$D$2:$D$167="process")*economics!$AH$2:$AH$167*_xlfn.NORM.DIST(CG$3,economics!$AK$2:$AK$167,economics!$AJ$2:$AJ$167,TRUE)),0)</f>
        <v/>
      </c>
      <c r="CH13" s="68">
        <f t="array" ref="CH13">IF($D13,SUMPRODUCT((economics!$AG$2:$AG$167=$B13)*(economics!$D$2:$D$167="process")*economics!$AH$2:$AH$167*_xlfn.NORM.DIST(CH$3,economics!$AK$2:$AK$167,economics!$AJ$2:$AJ$167,TRUE)),0)</f>
        <v/>
      </c>
    </row>
    <row r="14">
      <c r="A14">
        <f>WHRPbI!A12</f>
        <v/>
      </c>
      <c r="B14" t="n">
        <v>22</v>
      </c>
      <c r="C14" s="68">
        <f>WHRPbI!B12</f>
        <v/>
      </c>
      <c r="D14">
        <f>ISNUMBER(MATCH($B14,'energy base (MECS)'!$K$4:$K$9,0))</f>
        <v/>
      </c>
      <c r="E14" s="68">
        <f t="array" ref="E14">IF($D14,SUMPRODUCT((economics!$AG$2:$AG$167=$B14)*(economics!$D$2:$D$167="process")*economics!$AH$2:$AH$167*_xlfn.NORM.DIST(E$3,economics!$AK$2:$AK$167,economics!$AJ$2:$AJ$167,TRUE)),0)</f>
        <v/>
      </c>
      <c r="F14" s="68">
        <f t="array" ref="F14">IF($D14,SUMPRODUCT((economics!$AG$2:$AG$167=$B14)*(economics!$D$2:$D$167="process")*economics!$AH$2:$AH$167*_xlfn.NORM.DIST(F$3,economics!$AK$2:$AK$167,economics!$AJ$2:$AJ$167,TRUE)),0)</f>
        <v/>
      </c>
      <c r="G14" s="68">
        <f t="array" ref="G14">IF($D14,SUMPRODUCT((economics!$AG$2:$AG$167=$B14)*(economics!$D$2:$D$167="process")*economics!$AH$2:$AH$167*_xlfn.NORM.DIST(G$3,economics!$AK$2:$AK$167,economics!$AJ$2:$AJ$167,TRUE)),0)</f>
        <v/>
      </c>
      <c r="H14" s="68">
        <f t="array" ref="H14">IF($D14,SUMPRODUCT((economics!$AG$2:$AG$167=$B14)*(economics!$D$2:$D$167="process")*economics!$AH$2:$AH$167*_xlfn.NORM.DIST(H$3,economics!$AK$2:$AK$167,economics!$AJ$2:$AJ$167,TRUE)),0)</f>
        <v/>
      </c>
      <c r="I14" s="68">
        <f t="array" ref="I14">IF($D14,SUMPRODUCT((economics!$AG$2:$AG$167=$B14)*(economics!$D$2:$D$167="process")*economics!$AH$2:$AH$167*_xlfn.NORM.DIST(I$3,economics!$AK$2:$AK$167,economics!$AJ$2:$AJ$167,TRUE)),0)</f>
        <v/>
      </c>
      <c r="J14" s="68">
        <f t="array" ref="J14">IF($D14,SUMPRODUCT((economics!$AG$2:$AG$167=$B14)*(economics!$D$2:$D$167="process")*economics!$AH$2:$AH$167*_xlfn.NORM.DIST(J$3,economics!$AK$2:$AK$167,economics!$AJ$2:$AJ$167,TRUE)),0)</f>
        <v/>
      </c>
      <c r="K14" s="68">
        <f t="array" ref="K14">IF($D14,SUMPRODUCT((economics!$AG$2:$AG$167=$B14)*(economics!$D$2:$D$167="process")*economics!$AH$2:$AH$167*_xlfn.NORM.DIST(K$3,economics!$AK$2:$AK$167,economics!$AJ$2:$AJ$167,TRUE)),0)</f>
        <v/>
      </c>
      <c r="L14" s="68">
        <f t="array" ref="L14">IF($D14,SUMPRODUCT((economics!$AG$2:$AG$167=$B14)*(economics!$D$2:$D$167="process")*economics!$AH$2:$AH$167*_xlfn.NORM.DIST(L$3,economics!$AK$2:$AK$167,economics!$AJ$2:$AJ$167,TRUE)),0)</f>
        <v/>
      </c>
      <c r="M14" s="68">
        <f t="array" ref="M14">IF($D14,SUMPRODUCT((economics!$AG$2:$AG$167=$B14)*(economics!$D$2:$D$167="process")*economics!$AH$2:$AH$167*_xlfn.NORM.DIST(M$3,economics!$AK$2:$AK$167,economics!$AJ$2:$AJ$167,TRUE)),0)</f>
        <v/>
      </c>
      <c r="N14" s="68">
        <f t="array" ref="N14">IF($D14,SUMPRODUCT((economics!$AG$2:$AG$167=$B14)*(economics!$D$2:$D$167="process")*economics!$AH$2:$AH$167*_xlfn.NORM.DIST(N$3,economics!$AK$2:$AK$167,economics!$AJ$2:$AJ$167,TRUE)),0)</f>
        <v/>
      </c>
      <c r="O14" s="68">
        <f t="array" ref="O14">IF($D14,SUMPRODUCT((economics!$AG$2:$AG$167=$B14)*(economics!$D$2:$D$167="process")*economics!$AH$2:$AH$167*_xlfn.NORM.DIST(O$3,economics!$AK$2:$AK$167,economics!$AJ$2:$AJ$167,TRUE)),0)</f>
        <v/>
      </c>
      <c r="P14" s="68">
        <f t="array" ref="P14">IF($D14,SUMPRODUCT((economics!$AG$2:$AG$167=$B14)*(economics!$D$2:$D$167="process")*economics!$AH$2:$AH$167*_xlfn.NORM.DIST(P$3,economics!$AK$2:$AK$167,economics!$AJ$2:$AJ$167,TRUE)),0)</f>
        <v/>
      </c>
      <c r="Q14" s="68">
        <f t="array" ref="Q14">IF($D14,SUMPRODUCT((economics!$AG$2:$AG$167=$B14)*(economics!$D$2:$D$167="process")*economics!$AH$2:$AH$167*_xlfn.NORM.DIST(Q$3,economics!$AK$2:$AK$167,economics!$AJ$2:$AJ$167,TRUE)),0)</f>
        <v/>
      </c>
      <c r="R14" s="68">
        <f t="array" ref="R14">IF($D14,SUMPRODUCT((economics!$AG$2:$AG$167=$B14)*(economics!$D$2:$D$167="process")*economics!$AH$2:$AH$167*_xlfn.NORM.DIST(R$3,economics!$AK$2:$AK$167,economics!$AJ$2:$AJ$167,TRUE)),0)</f>
        <v/>
      </c>
      <c r="S14" s="68">
        <f t="array" ref="S14">IF($D14,SUMPRODUCT((economics!$AG$2:$AG$167=$B14)*(economics!$D$2:$D$167="process")*economics!$AH$2:$AH$167*_xlfn.NORM.DIST(S$3,economics!$AK$2:$AK$167,economics!$AJ$2:$AJ$167,TRUE)),0)</f>
        <v/>
      </c>
      <c r="T14" s="68">
        <f t="array" ref="T14">IF($D14,SUMPRODUCT((economics!$AG$2:$AG$167=$B14)*(economics!$D$2:$D$167="process")*economics!$AH$2:$AH$167*_xlfn.NORM.DIST(T$3,economics!$AK$2:$AK$167,economics!$AJ$2:$AJ$167,TRUE)),0)</f>
        <v/>
      </c>
      <c r="U14" s="68">
        <f t="array" ref="U14">IF($D14,SUMPRODUCT((economics!$AG$2:$AG$167=$B14)*(economics!$D$2:$D$167="process")*economics!$AH$2:$AH$167*_xlfn.NORM.DIST(U$3,economics!$AK$2:$AK$167,economics!$AJ$2:$AJ$167,TRUE)),0)</f>
        <v/>
      </c>
      <c r="V14" s="68">
        <f t="array" ref="V14">IF($D14,SUMPRODUCT((economics!$AG$2:$AG$167=$B14)*(economics!$D$2:$D$167="process")*economics!$AH$2:$AH$167*_xlfn.NORM.DIST(V$3,economics!$AK$2:$AK$167,economics!$AJ$2:$AJ$167,TRUE)),0)</f>
        <v/>
      </c>
      <c r="W14" s="68">
        <f t="array" ref="W14">IF($D14,SUMPRODUCT((economics!$AG$2:$AG$167=$B14)*(economics!$D$2:$D$167="process")*economics!$AH$2:$AH$167*_xlfn.NORM.DIST(W$3,economics!$AK$2:$AK$167,economics!$AJ$2:$AJ$167,TRUE)),0)</f>
        <v/>
      </c>
      <c r="X14" s="68">
        <f t="array" ref="X14">IF($D14,SUMPRODUCT((economics!$AG$2:$AG$167=$B14)*(economics!$D$2:$D$167="process")*economics!$AH$2:$AH$167*_xlfn.NORM.DIST(X$3,economics!$AK$2:$AK$167,economics!$AJ$2:$AJ$167,TRUE)),0)</f>
        <v/>
      </c>
      <c r="Y14" s="68">
        <f t="array" ref="Y14">IF($D14,SUMPRODUCT((economics!$AG$2:$AG$167=$B14)*(economics!$D$2:$D$167="process")*economics!$AH$2:$AH$167*_xlfn.NORM.DIST(Y$3,economics!$AK$2:$AK$167,economics!$AJ$2:$AJ$167,TRUE)),0)</f>
        <v/>
      </c>
      <c r="Z14" s="68">
        <f t="array" ref="Z14">IF($D14,SUMPRODUCT((economics!$AG$2:$AG$167=$B14)*(economics!$D$2:$D$167="process")*economics!$AH$2:$AH$167*_xlfn.NORM.DIST(Z$3,economics!$AK$2:$AK$167,economics!$AJ$2:$AJ$167,TRUE)),0)</f>
        <v/>
      </c>
      <c r="AA14" s="68">
        <f t="array" ref="AA14">IF($D14,SUMPRODUCT((economics!$AG$2:$AG$167=$B14)*(economics!$D$2:$D$167="process")*economics!$AH$2:$AH$167*_xlfn.NORM.DIST(AA$3,economics!$AK$2:$AK$167,economics!$AJ$2:$AJ$167,TRUE)),0)</f>
        <v/>
      </c>
      <c r="AB14" s="68">
        <f t="array" ref="AB14">IF($D14,SUMPRODUCT((economics!$AG$2:$AG$167=$B14)*(economics!$D$2:$D$167="process")*economics!$AH$2:$AH$167*_xlfn.NORM.DIST(AB$3,economics!$AK$2:$AK$167,economics!$AJ$2:$AJ$167,TRUE)),0)</f>
        <v/>
      </c>
      <c r="AC14" s="68">
        <f t="array" ref="AC14">IF($D14,SUMPRODUCT((economics!$AG$2:$AG$167=$B14)*(economics!$D$2:$D$167="process")*economics!$AH$2:$AH$167*_xlfn.NORM.DIST(AC$3,economics!$AK$2:$AK$167,economics!$AJ$2:$AJ$167,TRUE)),0)</f>
        <v/>
      </c>
      <c r="AD14" s="68">
        <f t="array" ref="AD14">IF($D14,SUMPRODUCT((economics!$AG$2:$AG$167=$B14)*(economics!$D$2:$D$167="process")*economics!$AH$2:$AH$167*_xlfn.NORM.DIST(AD$3,economics!$AK$2:$AK$167,economics!$AJ$2:$AJ$167,TRUE)),0)</f>
        <v/>
      </c>
      <c r="AE14" s="68">
        <f t="array" ref="AE14">IF($D14,SUMPRODUCT((economics!$AG$2:$AG$167=$B14)*(economics!$D$2:$D$167="process")*economics!$AH$2:$AH$167*_xlfn.NORM.DIST(AE$3,economics!$AK$2:$AK$167,economics!$AJ$2:$AJ$167,TRUE)),0)</f>
        <v/>
      </c>
      <c r="AF14" s="68">
        <f t="array" ref="AF14">IF($D14,SUMPRODUCT((economics!$AG$2:$AG$167=$B14)*(economics!$D$2:$D$167="process")*economics!$AH$2:$AH$167*_xlfn.NORM.DIST(AF$3,economics!$AK$2:$AK$167,economics!$AJ$2:$AJ$167,TRUE)),0)</f>
        <v/>
      </c>
      <c r="AG14" s="68">
        <f t="array" ref="AG14">IF($D14,SUMPRODUCT((economics!$AG$2:$AG$167=$B14)*(economics!$D$2:$D$167="process")*economics!$AH$2:$AH$167*_xlfn.NORM.DIST(AG$3,economics!$AK$2:$AK$167,economics!$AJ$2:$AJ$167,TRUE)),0)</f>
        <v/>
      </c>
      <c r="AH14" s="68">
        <f t="array" ref="AH14">IF($D14,SUMPRODUCT((economics!$AG$2:$AG$167=$B14)*(economics!$D$2:$D$167="process")*economics!$AH$2:$AH$167*_xlfn.NORM.DIST(AH$3,economics!$AK$2:$AK$167,economics!$AJ$2:$AJ$167,TRUE)),0)</f>
        <v/>
      </c>
      <c r="AI14" s="68">
        <f t="array" ref="AI14">IF($D14,SUMPRODUCT((economics!$AG$2:$AG$167=$B14)*(economics!$D$2:$D$167="process")*economics!$AH$2:$AH$167*_xlfn.NORM.DIST(AI$3,economics!$AK$2:$AK$167,economics!$AJ$2:$AJ$167,TRUE)),0)</f>
        <v/>
      </c>
      <c r="AJ14" s="68">
        <f t="array" ref="AJ14">IF($D14,SUMPRODUCT((economics!$AG$2:$AG$167=$B14)*(economics!$D$2:$D$167="process")*economics!$AH$2:$AH$167*_xlfn.NORM.DIST(AJ$3,economics!$AK$2:$AK$167,economics!$AJ$2:$AJ$167,TRUE)),0)</f>
        <v/>
      </c>
      <c r="AK14" s="68">
        <f t="array" ref="AK14">IF($D14,SUMPRODUCT((economics!$AG$2:$AG$167=$B14)*(economics!$D$2:$D$167="process")*economics!$AH$2:$AH$167*_xlfn.NORM.DIST(AK$3,economics!$AK$2:$AK$167,economics!$AJ$2:$AJ$167,TRUE)),0)</f>
        <v/>
      </c>
      <c r="AL14" s="68">
        <f t="array" ref="AL14">IF($D14,SUMPRODUCT((economics!$AG$2:$AG$167=$B14)*(economics!$D$2:$D$167="process")*economics!$AH$2:$AH$167*_xlfn.NORM.DIST(AL$3,economics!$AK$2:$AK$167,economics!$AJ$2:$AJ$167,TRUE)),0)</f>
        <v/>
      </c>
      <c r="AM14" s="68">
        <f t="array" ref="AM14">IF($D14,SUMPRODUCT((economics!$AG$2:$AG$167=$B14)*(economics!$D$2:$D$167="process")*economics!$AH$2:$AH$167*_xlfn.NORM.DIST(AM$3,economics!$AK$2:$AK$167,economics!$AJ$2:$AJ$167,TRUE)),0)</f>
        <v/>
      </c>
      <c r="AN14" s="68">
        <f t="array" ref="AN14">IF($D14,SUMPRODUCT((economics!$AG$2:$AG$167=$B14)*(economics!$D$2:$D$167="process")*economics!$AH$2:$AH$167*_xlfn.NORM.DIST(AN$3,economics!$AK$2:$AK$167,economics!$AJ$2:$AJ$167,TRUE)),0)</f>
        <v/>
      </c>
      <c r="AO14" s="68">
        <f t="array" ref="AO14">IF($D14,SUMPRODUCT((economics!$AG$2:$AG$167=$B14)*(economics!$D$2:$D$167="process")*economics!$AH$2:$AH$167*_xlfn.NORM.DIST(AO$3,economics!$AK$2:$AK$167,economics!$AJ$2:$AJ$167,TRUE)),0)</f>
        <v/>
      </c>
      <c r="AP14" s="68">
        <f t="array" ref="AP14">IF($D14,SUMPRODUCT((economics!$AG$2:$AG$167=$B14)*(economics!$D$2:$D$167="process")*economics!$AH$2:$AH$167*_xlfn.NORM.DIST(AP$3,economics!$AK$2:$AK$167,economics!$AJ$2:$AJ$167,TRUE)),0)</f>
        <v/>
      </c>
      <c r="AQ14" s="68">
        <f t="array" ref="AQ14">IF($D14,SUMPRODUCT((economics!$AG$2:$AG$167=$B14)*(economics!$D$2:$D$167="process")*economics!$AH$2:$AH$167*_xlfn.NORM.DIST(AQ$3,economics!$AK$2:$AK$167,economics!$AJ$2:$AJ$167,TRUE)),0)</f>
        <v/>
      </c>
      <c r="AR14" s="68">
        <f t="array" ref="AR14">IF($D14,SUMPRODUCT((economics!$AG$2:$AG$167=$B14)*(economics!$D$2:$D$167="process")*economics!$AH$2:$AH$167*_xlfn.NORM.DIST(AR$3,economics!$AK$2:$AK$167,economics!$AJ$2:$AJ$167,TRUE)),0)</f>
        <v/>
      </c>
      <c r="AS14" s="68">
        <f t="array" ref="AS14">IF($D14,SUMPRODUCT((economics!$AG$2:$AG$167=$B14)*(economics!$D$2:$D$167="process")*economics!$AH$2:$AH$167*_xlfn.NORM.DIST(AS$3,economics!$AK$2:$AK$167,economics!$AJ$2:$AJ$167,TRUE)),0)</f>
        <v/>
      </c>
      <c r="AT14" s="68">
        <f t="array" ref="AT14">IF($D14,SUMPRODUCT((economics!$AG$2:$AG$167=$B14)*(economics!$D$2:$D$167="process")*economics!$AH$2:$AH$167*_xlfn.NORM.DIST(AT$3,economics!$AK$2:$AK$167,economics!$AJ$2:$AJ$167,TRUE)),0)</f>
        <v/>
      </c>
      <c r="AU14" s="68">
        <f t="array" ref="AU14">IF($D14,SUMPRODUCT((economics!$AG$2:$AG$167=$B14)*(economics!$D$2:$D$167="process")*economics!$AH$2:$AH$167*_xlfn.NORM.DIST(AU$3,economics!$AK$2:$AK$167,economics!$AJ$2:$AJ$167,TRUE)),0)</f>
        <v/>
      </c>
      <c r="AV14" s="68">
        <f t="array" ref="AV14">IF($D14,SUMPRODUCT((economics!$AG$2:$AG$167=$B14)*(economics!$D$2:$D$167="process")*economics!$AH$2:$AH$167*_xlfn.NORM.DIST(AV$3,economics!$AK$2:$AK$167,economics!$AJ$2:$AJ$167,TRUE)),0)</f>
        <v/>
      </c>
      <c r="AW14" s="68">
        <f t="array" ref="AW14">IF($D14,SUMPRODUCT((economics!$AG$2:$AG$167=$B14)*(economics!$D$2:$D$167="process")*economics!$AH$2:$AH$167*_xlfn.NORM.DIST(AW$3,economics!$AK$2:$AK$167,economics!$AJ$2:$AJ$167,TRUE)),0)</f>
        <v/>
      </c>
      <c r="AX14" s="68">
        <f t="array" ref="AX14">IF($D14,SUMPRODUCT((economics!$AG$2:$AG$167=$B14)*(economics!$D$2:$D$167="process")*economics!$AH$2:$AH$167*_xlfn.NORM.DIST(AX$3,economics!$AK$2:$AK$167,economics!$AJ$2:$AJ$167,TRUE)),0)</f>
        <v/>
      </c>
      <c r="AY14" s="68">
        <f t="array" ref="AY14">IF($D14,SUMPRODUCT((economics!$AG$2:$AG$167=$B14)*(economics!$D$2:$D$167="process")*economics!$AH$2:$AH$167*_xlfn.NORM.DIST(AY$3,economics!$AK$2:$AK$167,economics!$AJ$2:$AJ$167,TRUE)),0)</f>
        <v/>
      </c>
      <c r="AZ14" s="68">
        <f t="array" ref="AZ14">IF($D14,SUMPRODUCT((economics!$AG$2:$AG$167=$B14)*(economics!$D$2:$D$167="process")*economics!$AH$2:$AH$167*_xlfn.NORM.DIST(AZ$3,economics!$AK$2:$AK$167,economics!$AJ$2:$AJ$167,TRUE)),0)</f>
        <v/>
      </c>
      <c r="BA14" s="68">
        <f t="array" ref="BA14">IF($D14,SUMPRODUCT((economics!$AG$2:$AG$167=$B14)*(economics!$D$2:$D$167="process")*economics!$AH$2:$AH$167*_xlfn.NORM.DIST(BA$3,economics!$AK$2:$AK$167,economics!$AJ$2:$AJ$167,TRUE)),0)</f>
        <v/>
      </c>
      <c r="BB14" s="68">
        <f t="array" ref="BB14">IF($D14,SUMPRODUCT((economics!$AG$2:$AG$167=$B14)*(economics!$D$2:$D$167="process")*economics!$AH$2:$AH$167*_xlfn.NORM.DIST(BB$3,economics!$AK$2:$AK$167,economics!$AJ$2:$AJ$167,TRUE)),0)</f>
        <v/>
      </c>
      <c r="BC14" s="68">
        <f t="array" ref="BC14">IF($D14,SUMPRODUCT((economics!$AG$2:$AG$167=$B14)*(economics!$D$2:$D$167="process")*economics!$AH$2:$AH$167*_xlfn.NORM.DIST(BC$3,economics!$AK$2:$AK$167,economics!$AJ$2:$AJ$167,TRUE)),0)</f>
        <v/>
      </c>
      <c r="BD14" s="68">
        <f t="array" ref="BD14">IF($D14,SUMPRODUCT((economics!$AG$2:$AG$167=$B14)*(economics!$D$2:$D$167="process")*economics!$AH$2:$AH$167*_xlfn.NORM.DIST(BD$3,economics!$AK$2:$AK$167,economics!$AJ$2:$AJ$167,TRUE)),0)</f>
        <v/>
      </c>
      <c r="BE14" s="68">
        <f t="array" ref="BE14">IF($D14,SUMPRODUCT((economics!$AG$2:$AG$167=$B14)*(economics!$D$2:$D$167="process")*economics!$AH$2:$AH$167*_xlfn.NORM.DIST(BE$3,economics!$AK$2:$AK$167,economics!$AJ$2:$AJ$167,TRUE)),0)</f>
        <v/>
      </c>
      <c r="BF14" s="68">
        <f t="array" ref="BF14">IF($D14,SUMPRODUCT((economics!$AG$2:$AG$167=$B14)*(economics!$D$2:$D$167="process")*economics!$AH$2:$AH$167*_xlfn.NORM.DIST(BF$3,economics!$AK$2:$AK$167,economics!$AJ$2:$AJ$167,TRUE)),0)</f>
        <v/>
      </c>
      <c r="BG14" s="68">
        <f t="array" ref="BG14">IF($D14,SUMPRODUCT((economics!$AG$2:$AG$167=$B14)*(economics!$D$2:$D$167="process")*economics!$AH$2:$AH$167*_xlfn.NORM.DIST(BG$3,economics!$AK$2:$AK$167,economics!$AJ$2:$AJ$167,TRUE)),0)</f>
        <v/>
      </c>
      <c r="BH14" s="68">
        <f t="array" ref="BH14">IF($D14,SUMPRODUCT((economics!$AG$2:$AG$167=$B14)*(economics!$D$2:$D$167="process")*economics!$AH$2:$AH$167*_xlfn.NORM.DIST(BH$3,economics!$AK$2:$AK$167,economics!$AJ$2:$AJ$167,TRUE)),0)</f>
        <v/>
      </c>
      <c r="BI14" s="68">
        <f t="array" ref="BI14">IF($D14,SUMPRODUCT((economics!$AG$2:$AG$167=$B14)*(economics!$D$2:$D$167="process")*economics!$AH$2:$AH$167*_xlfn.NORM.DIST(BI$3,economics!$AK$2:$AK$167,economics!$AJ$2:$AJ$167,TRUE)),0)</f>
        <v/>
      </c>
      <c r="BJ14" s="68">
        <f t="array" ref="BJ14">IF($D14,SUMPRODUCT((economics!$AG$2:$AG$167=$B14)*(economics!$D$2:$D$167="process")*economics!$AH$2:$AH$167*_xlfn.NORM.DIST(BJ$3,economics!$AK$2:$AK$167,economics!$AJ$2:$AJ$167,TRUE)),0)</f>
        <v/>
      </c>
      <c r="BK14" s="68">
        <f t="array" ref="BK14">IF($D14,SUMPRODUCT((economics!$AG$2:$AG$167=$B14)*(economics!$D$2:$D$167="process")*economics!$AH$2:$AH$167*_xlfn.NORM.DIST(BK$3,economics!$AK$2:$AK$167,economics!$AJ$2:$AJ$167,TRUE)),0)</f>
        <v/>
      </c>
      <c r="BL14" s="68">
        <f t="array" ref="BL14">IF($D14,SUMPRODUCT((economics!$AG$2:$AG$167=$B14)*(economics!$D$2:$D$167="process")*economics!$AH$2:$AH$167*_xlfn.NORM.DIST(BL$3,economics!$AK$2:$AK$167,economics!$AJ$2:$AJ$167,TRUE)),0)</f>
        <v/>
      </c>
      <c r="BM14" s="68">
        <f t="array" ref="BM14">IF($D14,SUMPRODUCT((economics!$AG$2:$AG$167=$B14)*(economics!$D$2:$D$167="process")*economics!$AH$2:$AH$167*_xlfn.NORM.DIST(BM$3,economics!$AK$2:$AK$167,economics!$AJ$2:$AJ$167,TRUE)),0)</f>
        <v/>
      </c>
      <c r="BN14" s="68">
        <f t="array" ref="BN14">IF($D14,SUMPRODUCT((economics!$AG$2:$AG$167=$B14)*(economics!$D$2:$D$167="process")*economics!$AH$2:$AH$167*_xlfn.NORM.DIST(BN$3,economics!$AK$2:$AK$167,economics!$AJ$2:$AJ$167,TRUE)),0)</f>
        <v/>
      </c>
      <c r="BO14" s="68">
        <f t="array" ref="BO14">IF($D14,SUMPRODUCT((economics!$AG$2:$AG$167=$B14)*(economics!$D$2:$D$167="process")*economics!$AH$2:$AH$167*_xlfn.NORM.DIST(BO$3,economics!$AK$2:$AK$167,economics!$AJ$2:$AJ$167,TRUE)),0)</f>
        <v/>
      </c>
      <c r="BP14" s="68">
        <f t="array" ref="BP14">IF($D14,SUMPRODUCT((economics!$AG$2:$AG$167=$B14)*(economics!$D$2:$D$167="process")*economics!$AH$2:$AH$167*_xlfn.NORM.DIST(BP$3,economics!$AK$2:$AK$167,economics!$AJ$2:$AJ$167,TRUE)),0)</f>
        <v/>
      </c>
      <c r="BQ14" s="68">
        <f t="array" ref="BQ14">IF($D14,SUMPRODUCT((economics!$AG$2:$AG$167=$B14)*(economics!$D$2:$D$167="process")*economics!$AH$2:$AH$167*_xlfn.NORM.DIST(BQ$3,economics!$AK$2:$AK$167,economics!$AJ$2:$AJ$167,TRUE)),0)</f>
        <v/>
      </c>
      <c r="BR14" s="68">
        <f t="array" ref="BR14">IF($D14,SUMPRODUCT((economics!$AG$2:$AG$167=$B14)*(economics!$D$2:$D$167="process")*economics!$AH$2:$AH$167*_xlfn.NORM.DIST(BR$3,economics!$AK$2:$AK$167,economics!$AJ$2:$AJ$167,TRUE)),0)</f>
        <v/>
      </c>
      <c r="BS14" s="68">
        <f t="array" ref="BS14">IF($D14,SUMPRODUCT((economics!$AG$2:$AG$167=$B14)*(economics!$D$2:$D$167="process")*economics!$AH$2:$AH$167*_xlfn.NORM.DIST(BS$3,economics!$AK$2:$AK$167,economics!$AJ$2:$AJ$167,TRUE)),0)</f>
        <v/>
      </c>
      <c r="BT14" s="68">
        <f t="array" ref="BT14">IF($D14,SUMPRODUCT((economics!$AG$2:$AG$167=$B14)*(economics!$D$2:$D$167="process")*economics!$AH$2:$AH$167*_xlfn.NORM.DIST(BT$3,economics!$AK$2:$AK$167,economics!$AJ$2:$AJ$167,TRUE)),0)</f>
        <v/>
      </c>
      <c r="BU14" s="68">
        <f t="array" ref="BU14">IF($D14,SUMPRODUCT((economics!$AG$2:$AG$167=$B14)*(economics!$D$2:$D$167="process")*economics!$AH$2:$AH$167*_xlfn.NORM.DIST(BU$3,economics!$AK$2:$AK$167,economics!$AJ$2:$AJ$167,TRUE)),0)</f>
        <v/>
      </c>
      <c r="BV14" s="68">
        <f t="array" ref="BV14">IF($D14,SUMPRODUCT((economics!$AG$2:$AG$167=$B14)*(economics!$D$2:$D$167="process")*economics!$AH$2:$AH$167*_xlfn.NORM.DIST(BV$3,economics!$AK$2:$AK$167,economics!$AJ$2:$AJ$167,TRUE)),0)</f>
        <v/>
      </c>
      <c r="BW14" s="68">
        <f t="array" ref="BW14">IF($D14,SUMPRODUCT((economics!$AG$2:$AG$167=$B14)*(economics!$D$2:$D$167="process")*economics!$AH$2:$AH$167*_xlfn.NORM.DIST(BW$3,economics!$AK$2:$AK$167,economics!$AJ$2:$AJ$167,TRUE)),0)</f>
        <v/>
      </c>
      <c r="BX14" s="68">
        <f t="array" ref="BX14">IF($D14,SUMPRODUCT((economics!$AG$2:$AG$167=$B14)*(economics!$D$2:$D$167="process")*economics!$AH$2:$AH$167*_xlfn.NORM.DIST(BX$3,economics!$AK$2:$AK$167,economics!$AJ$2:$AJ$167,TRUE)),0)</f>
        <v/>
      </c>
      <c r="BY14" s="68">
        <f t="array" ref="BY14">IF($D14,SUMPRODUCT((economics!$AG$2:$AG$167=$B14)*(economics!$D$2:$D$167="process")*economics!$AH$2:$AH$167*_xlfn.NORM.DIST(BY$3,economics!$AK$2:$AK$167,economics!$AJ$2:$AJ$167,TRUE)),0)</f>
        <v/>
      </c>
      <c r="BZ14" s="68">
        <f t="array" ref="BZ14">IF($D14,SUMPRODUCT((economics!$AG$2:$AG$167=$B14)*(economics!$D$2:$D$167="process")*economics!$AH$2:$AH$167*_xlfn.NORM.DIST(BZ$3,economics!$AK$2:$AK$167,economics!$AJ$2:$AJ$167,TRUE)),0)</f>
        <v/>
      </c>
      <c r="CA14" s="68">
        <f t="array" ref="CA14">IF($D14,SUMPRODUCT((economics!$AG$2:$AG$167=$B14)*(economics!$D$2:$D$167="process")*economics!$AH$2:$AH$167*_xlfn.NORM.DIST(CA$3,economics!$AK$2:$AK$167,economics!$AJ$2:$AJ$167,TRUE)),0)</f>
        <v/>
      </c>
      <c r="CB14" s="68">
        <f t="array" ref="CB14">IF($D14,SUMPRODUCT((economics!$AG$2:$AG$167=$B14)*(economics!$D$2:$D$167="process")*economics!$AH$2:$AH$167*_xlfn.NORM.DIST(CB$3,economics!$AK$2:$AK$167,economics!$AJ$2:$AJ$167,TRUE)),0)</f>
        <v/>
      </c>
      <c r="CC14" s="68">
        <f t="array" ref="CC14">IF($D14,SUMPRODUCT((economics!$AG$2:$AG$167=$B14)*(economics!$D$2:$D$167="process")*economics!$AH$2:$AH$167*_xlfn.NORM.DIST(CC$3,economics!$AK$2:$AK$167,economics!$AJ$2:$AJ$167,TRUE)),0)</f>
        <v/>
      </c>
      <c r="CD14" s="68">
        <f t="array" ref="CD14">IF($D14,SUMPRODUCT((economics!$AG$2:$AG$167=$B14)*(economics!$D$2:$D$167="process")*economics!$AH$2:$AH$167*_xlfn.NORM.DIST(CD$3,economics!$AK$2:$AK$167,economics!$AJ$2:$AJ$167,TRUE)),0)</f>
        <v/>
      </c>
      <c r="CE14" s="68">
        <f t="array" ref="CE14">IF($D14,SUMPRODUCT((economics!$AG$2:$AG$167=$B14)*(economics!$D$2:$D$167="process")*economics!$AH$2:$AH$167*_xlfn.NORM.DIST(CE$3,economics!$AK$2:$AK$167,economics!$AJ$2:$AJ$167,TRUE)),0)</f>
        <v/>
      </c>
      <c r="CF14" s="68">
        <f t="array" ref="CF14">IF($D14,SUMPRODUCT((economics!$AG$2:$AG$167=$B14)*(economics!$D$2:$D$167="process")*economics!$AH$2:$AH$167*_xlfn.NORM.DIST(CF$3,economics!$AK$2:$AK$167,economics!$AJ$2:$AJ$167,TRUE)),0)</f>
        <v/>
      </c>
      <c r="CG14" s="68">
        <f t="array" ref="CG14">IF($D14,SUMPRODUCT((economics!$AG$2:$AG$167=$B14)*(economics!$D$2:$D$167="process")*economics!$AH$2:$AH$167*_xlfn.NORM.DIST(CG$3,economics!$AK$2:$AK$167,economics!$AJ$2:$AJ$167,TRUE)),0)</f>
        <v/>
      </c>
      <c r="CH14" s="68">
        <f t="array" ref="CH14">IF($D14,SUMPRODUCT((economics!$AG$2:$AG$167=$B14)*(economics!$D$2:$D$167="process")*economics!$AH$2:$AH$167*_xlfn.NORM.DIST(CH$3,economics!$AK$2:$AK$167,economics!$AJ$2:$AJ$167,TRUE)),0)</f>
        <v/>
      </c>
    </row>
    <row r="15">
      <c r="A15">
        <f>WHRPbI!A13</f>
        <v/>
      </c>
      <c r="B15" t="n">
        <v>231</v>
      </c>
      <c r="C15" s="68">
        <f>WHRPbI!B13</f>
        <v/>
      </c>
      <c r="D15">
        <f>ISNUMBER(MATCH($B15,'energy base (MECS)'!$K$4:$K$9,0))</f>
        <v/>
      </c>
      <c r="E15" s="68">
        <f t="array" ref="E15">IF($D15,SUMPRODUCT((economics!$AG$2:$AG$167=$B15)*(economics!$D$2:$D$167="process")*economics!$AH$2:$AH$167*_xlfn.NORM.DIST(E$3,economics!$AK$2:$AK$167,economics!$AJ$2:$AJ$167,TRUE)),0)</f>
        <v/>
      </c>
      <c r="F15" s="68">
        <f t="array" ref="F15">IF($D15,SUMPRODUCT((economics!$AG$2:$AG$167=$B15)*(economics!$D$2:$D$167="process")*economics!$AH$2:$AH$167*_xlfn.NORM.DIST(F$3,economics!$AK$2:$AK$167,economics!$AJ$2:$AJ$167,TRUE)),0)</f>
        <v/>
      </c>
      <c r="G15" s="68">
        <f t="array" ref="G15">IF($D15,SUMPRODUCT((economics!$AG$2:$AG$167=$B15)*(economics!$D$2:$D$167="process")*economics!$AH$2:$AH$167*_xlfn.NORM.DIST(G$3,economics!$AK$2:$AK$167,economics!$AJ$2:$AJ$167,TRUE)),0)</f>
        <v/>
      </c>
      <c r="H15" s="68">
        <f t="array" ref="H15">IF($D15,SUMPRODUCT((economics!$AG$2:$AG$167=$B15)*(economics!$D$2:$D$167="process")*economics!$AH$2:$AH$167*_xlfn.NORM.DIST(H$3,economics!$AK$2:$AK$167,economics!$AJ$2:$AJ$167,TRUE)),0)</f>
        <v/>
      </c>
      <c r="I15" s="68">
        <f t="array" ref="I15">IF($D15,SUMPRODUCT((economics!$AG$2:$AG$167=$B15)*(economics!$D$2:$D$167="process")*economics!$AH$2:$AH$167*_xlfn.NORM.DIST(I$3,economics!$AK$2:$AK$167,economics!$AJ$2:$AJ$167,TRUE)),0)</f>
        <v/>
      </c>
      <c r="J15" s="68">
        <f t="array" ref="J15">IF($D15,SUMPRODUCT((economics!$AG$2:$AG$167=$B15)*(economics!$D$2:$D$167="process")*economics!$AH$2:$AH$167*_xlfn.NORM.DIST(J$3,economics!$AK$2:$AK$167,economics!$AJ$2:$AJ$167,TRUE)),0)</f>
        <v/>
      </c>
      <c r="K15" s="68">
        <f t="array" ref="K15">IF($D15,SUMPRODUCT((economics!$AG$2:$AG$167=$B15)*(economics!$D$2:$D$167="process")*economics!$AH$2:$AH$167*_xlfn.NORM.DIST(K$3,economics!$AK$2:$AK$167,economics!$AJ$2:$AJ$167,TRUE)),0)</f>
        <v/>
      </c>
      <c r="L15" s="68">
        <f t="array" ref="L15">IF($D15,SUMPRODUCT((economics!$AG$2:$AG$167=$B15)*(economics!$D$2:$D$167="process")*economics!$AH$2:$AH$167*_xlfn.NORM.DIST(L$3,economics!$AK$2:$AK$167,economics!$AJ$2:$AJ$167,TRUE)),0)</f>
        <v/>
      </c>
      <c r="M15" s="68">
        <f t="array" ref="M15">IF($D15,SUMPRODUCT((economics!$AG$2:$AG$167=$B15)*(economics!$D$2:$D$167="process")*economics!$AH$2:$AH$167*_xlfn.NORM.DIST(M$3,economics!$AK$2:$AK$167,economics!$AJ$2:$AJ$167,TRUE)),0)</f>
        <v/>
      </c>
      <c r="N15" s="68">
        <f t="array" ref="N15">IF($D15,SUMPRODUCT((economics!$AG$2:$AG$167=$B15)*(economics!$D$2:$D$167="process")*economics!$AH$2:$AH$167*_xlfn.NORM.DIST(N$3,economics!$AK$2:$AK$167,economics!$AJ$2:$AJ$167,TRUE)),0)</f>
        <v/>
      </c>
      <c r="O15" s="68">
        <f t="array" ref="O15">IF($D15,SUMPRODUCT((economics!$AG$2:$AG$167=$B15)*(economics!$D$2:$D$167="process")*economics!$AH$2:$AH$167*_xlfn.NORM.DIST(O$3,economics!$AK$2:$AK$167,economics!$AJ$2:$AJ$167,TRUE)),0)</f>
        <v/>
      </c>
      <c r="P15" s="68">
        <f t="array" ref="P15">IF($D15,SUMPRODUCT((economics!$AG$2:$AG$167=$B15)*(economics!$D$2:$D$167="process")*economics!$AH$2:$AH$167*_xlfn.NORM.DIST(P$3,economics!$AK$2:$AK$167,economics!$AJ$2:$AJ$167,TRUE)),0)</f>
        <v/>
      </c>
      <c r="Q15" s="68">
        <f t="array" ref="Q15">IF($D15,SUMPRODUCT((economics!$AG$2:$AG$167=$B15)*(economics!$D$2:$D$167="process")*economics!$AH$2:$AH$167*_xlfn.NORM.DIST(Q$3,economics!$AK$2:$AK$167,economics!$AJ$2:$AJ$167,TRUE)),0)</f>
        <v/>
      </c>
      <c r="R15" s="68">
        <f t="array" ref="R15">IF($D15,SUMPRODUCT((economics!$AG$2:$AG$167=$B15)*(economics!$D$2:$D$167="process")*economics!$AH$2:$AH$167*_xlfn.NORM.DIST(R$3,economics!$AK$2:$AK$167,economics!$AJ$2:$AJ$167,TRUE)),0)</f>
        <v/>
      </c>
      <c r="S15" s="68">
        <f t="array" ref="S15">IF($D15,SUMPRODUCT((economics!$AG$2:$AG$167=$B15)*(economics!$D$2:$D$167="process")*economics!$AH$2:$AH$167*_xlfn.NORM.DIST(S$3,economics!$AK$2:$AK$167,economics!$AJ$2:$AJ$167,TRUE)),0)</f>
        <v/>
      </c>
      <c r="T15" s="68">
        <f t="array" ref="T15">IF($D15,SUMPRODUCT((economics!$AG$2:$AG$167=$B15)*(economics!$D$2:$D$167="process")*economics!$AH$2:$AH$167*_xlfn.NORM.DIST(T$3,economics!$AK$2:$AK$167,economics!$AJ$2:$AJ$167,TRUE)),0)</f>
        <v/>
      </c>
      <c r="U15" s="68">
        <f t="array" ref="U15">IF($D15,SUMPRODUCT((economics!$AG$2:$AG$167=$B15)*(economics!$D$2:$D$167="process")*economics!$AH$2:$AH$167*_xlfn.NORM.DIST(U$3,economics!$AK$2:$AK$167,economics!$AJ$2:$AJ$167,TRUE)),0)</f>
        <v/>
      </c>
      <c r="V15" s="68">
        <f t="array" ref="V15">IF($D15,SUMPRODUCT((economics!$AG$2:$AG$167=$B15)*(economics!$D$2:$D$167="process")*economics!$AH$2:$AH$167*_xlfn.NORM.DIST(V$3,economics!$AK$2:$AK$167,economics!$AJ$2:$AJ$167,TRUE)),0)</f>
        <v/>
      </c>
      <c r="W15" s="68">
        <f t="array" ref="W15">IF($D15,SUMPRODUCT((economics!$AG$2:$AG$167=$B15)*(economics!$D$2:$D$167="process")*economics!$AH$2:$AH$167*_xlfn.NORM.DIST(W$3,economics!$AK$2:$AK$167,economics!$AJ$2:$AJ$167,TRUE)),0)</f>
        <v/>
      </c>
      <c r="X15" s="68">
        <f t="array" ref="X15">IF($D15,SUMPRODUCT((economics!$AG$2:$AG$167=$B15)*(economics!$D$2:$D$167="process")*economics!$AH$2:$AH$167*_xlfn.NORM.DIST(X$3,economics!$AK$2:$AK$167,economics!$AJ$2:$AJ$167,TRUE)),0)</f>
        <v/>
      </c>
      <c r="Y15" s="68">
        <f t="array" ref="Y15">IF($D15,SUMPRODUCT((economics!$AG$2:$AG$167=$B15)*(economics!$D$2:$D$167="process")*economics!$AH$2:$AH$167*_xlfn.NORM.DIST(Y$3,economics!$AK$2:$AK$167,economics!$AJ$2:$AJ$167,TRUE)),0)</f>
        <v/>
      </c>
      <c r="Z15" s="68">
        <f t="array" ref="Z15">IF($D15,SUMPRODUCT((economics!$AG$2:$AG$167=$B15)*(economics!$D$2:$D$167="process")*economics!$AH$2:$AH$167*_xlfn.NORM.DIST(Z$3,economics!$AK$2:$AK$167,economics!$AJ$2:$AJ$167,TRUE)),0)</f>
        <v/>
      </c>
      <c r="AA15" s="68">
        <f t="array" ref="AA15">IF($D15,SUMPRODUCT((economics!$AG$2:$AG$167=$B15)*(economics!$D$2:$D$167="process")*economics!$AH$2:$AH$167*_xlfn.NORM.DIST(AA$3,economics!$AK$2:$AK$167,economics!$AJ$2:$AJ$167,TRUE)),0)</f>
        <v/>
      </c>
      <c r="AB15" s="68">
        <f t="array" ref="AB15">IF($D15,SUMPRODUCT((economics!$AG$2:$AG$167=$B15)*(economics!$D$2:$D$167="process")*economics!$AH$2:$AH$167*_xlfn.NORM.DIST(AB$3,economics!$AK$2:$AK$167,economics!$AJ$2:$AJ$167,TRUE)),0)</f>
        <v/>
      </c>
      <c r="AC15" s="68">
        <f t="array" ref="AC15">IF($D15,SUMPRODUCT((economics!$AG$2:$AG$167=$B15)*(economics!$D$2:$D$167="process")*economics!$AH$2:$AH$167*_xlfn.NORM.DIST(AC$3,economics!$AK$2:$AK$167,economics!$AJ$2:$AJ$167,TRUE)),0)</f>
        <v/>
      </c>
      <c r="AD15" s="68">
        <f t="array" ref="AD15">IF($D15,SUMPRODUCT((economics!$AG$2:$AG$167=$B15)*(economics!$D$2:$D$167="process")*economics!$AH$2:$AH$167*_xlfn.NORM.DIST(AD$3,economics!$AK$2:$AK$167,economics!$AJ$2:$AJ$167,TRUE)),0)</f>
        <v/>
      </c>
      <c r="AE15" s="68">
        <f t="array" ref="AE15">IF($D15,SUMPRODUCT((economics!$AG$2:$AG$167=$B15)*(economics!$D$2:$D$167="process")*economics!$AH$2:$AH$167*_xlfn.NORM.DIST(AE$3,economics!$AK$2:$AK$167,economics!$AJ$2:$AJ$167,TRUE)),0)</f>
        <v/>
      </c>
      <c r="AF15" s="68">
        <f t="array" ref="AF15">IF($D15,SUMPRODUCT((economics!$AG$2:$AG$167=$B15)*(economics!$D$2:$D$167="process")*economics!$AH$2:$AH$167*_xlfn.NORM.DIST(AF$3,economics!$AK$2:$AK$167,economics!$AJ$2:$AJ$167,TRUE)),0)</f>
        <v/>
      </c>
      <c r="AG15" s="68">
        <f t="array" ref="AG15">IF($D15,SUMPRODUCT((economics!$AG$2:$AG$167=$B15)*(economics!$D$2:$D$167="process")*economics!$AH$2:$AH$167*_xlfn.NORM.DIST(AG$3,economics!$AK$2:$AK$167,economics!$AJ$2:$AJ$167,TRUE)),0)</f>
        <v/>
      </c>
      <c r="AH15" s="68">
        <f t="array" ref="AH15">IF($D15,SUMPRODUCT((economics!$AG$2:$AG$167=$B15)*(economics!$D$2:$D$167="process")*economics!$AH$2:$AH$167*_xlfn.NORM.DIST(AH$3,economics!$AK$2:$AK$167,economics!$AJ$2:$AJ$167,TRUE)),0)</f>
        <v/>
      </c>
      <c r="AI15" s="68">
        <f t="array" ref="AI15">IF($D15,SUMPRODUCT((economics!$AG$2:$AG$167=$B15)*(economics!$D$2:$D$167="process")*economics!$AH$2:$AH$167*_xlfn.NORM.DIST(AI$3,economics!$AK$2:$AK$167,economics!$AJ$2:$AJ$167,TRUE)),0)</f>
        <v/>
      </c>
      <c r="AJ15" s="68">
        <f t="array" ref="AJ15">IF($D15,SUMPRODUCT((economics!$AG$2:$AG$167=$B15)*(economics!$D$2:$D$167="process")*economics!$AH$2:$AH$167*_xlfn.NORM.DIST(AJ$3,economics!$AK$2:$AK$167,economics!$AJ$2:$AJ$167,TRUE)),0)</f>
        <v/>
      </c>
      <c r="AK15" s="68">
        <f t="array" ref="AK15">IF($D15,SUMPRODUCT((economics!$AG$2:$AG$167=$B15)*(economics!$D$2:$D$167="process")*economics!$AH$2:$AH$167*_xlfn.NORM.DIST(AK$3,economics!$AK$2:$AK$167,economics!$AJ$2:$AJ$167,TRUE)),0)</f>
        <v/>
      </c>
      <c r="AL15" s="68">
        <f t="array" ref="AL15">IF($D15,SUMPRODUCT((economics!$AG$2:$AG$167=$B15)*(economics!$D$2:$D$167="process")*economics!$AH$2:$AH$167*_xlfn.NORM.DIST(AL$3,economics!$AK$2:$AK$167,economics!$AJ$2:$AJ$167,TRUE)),0)</f>
        <v/>
      </c>
      <c r="AM15" s="68">
        <f t="array" ref="AM15">IF($D15,SUMPRODUCT((economics!$AG$2:$AG$167=$B15)*(economics!$D$2:$D$167="process")*economics!$AH$2:$AH$167*_xlfn.NORM.DIST(AM$3,economics!$AK$2:$AK$167,economics!$AJ$2:$AJ$167,TRUE)),0)</f>
        <v/>
      </c>
      <c r="AN15" s="68">
        <f t="array" ref="AN15">IF($D15,SUMPRODUCT((economics!$AG$2:$AG$167=$B15)*(economics!$D$2:$D$167="process")*economics!$AH$2:$AH$167*_xlfn.NORM.DIST(AN$3,economics!$AK$2:$AK$167,economics!$AJ$2:$AJ$167,TRUE)),0)</f>
        <v/>
      </c>
      <c r="AO15" s="68">
        <f t="array" ref="AO15">IF($D15,SUMPRODUCT((economics!$AG$2:$AG$167=$B15)*(economics!$D$2:$D$167="process")*economics!$AH$2:$AH$167*_xlfn.NORM.DIST(AO$3,economics!$AK$2:$AK$167,economics!$AJ$2:$AJ$167,TRUE)),0)</f>
        <v/>
      </c>
      <c r="AP15" s="68">
        <f t="array" ref="AP15">IF($D15,SUMPRODUCT((economics!$AG$2:$AG$167=$B15)*(economics!$D$2:$D$167="process")*economics!$AH$2:$AH$167*_xlfn.NORM.DIST(AP$3,economics!$AK$2:$AK$167,economics!$AJ$2:$AJ$167,TRUE)),0)</f>
        <v/>
      </c>
      <c r="AQ15" s="68">
        <f t="array" ref="AQ15">IF($D15,SUMPRODUCT((economics!$AG$2:$AG$167=$B15)*(economics!$D$2:$D$167="process")*economics!$AH$2:$AH$167*_xlfn.NORM.DIST(AQ$3,economics!$AK$2:$AK$167,economics!$AJ$2:$AJ$167,TRUE)),0)</f>
        <v/>
      </c>
      <c r="AR15" s="68">
        <f t="array" ref="AR15">IF($D15,SUMPRODUCT((economics!$AG$2:$AG$167=$B15)*(economics!$D$2:$D$167="process")*economics!$AH$2:$AH$167*_xlfn.NORM.DIST(AR$3,economics!$AK$2:$AK$167,economics!$AJ$2:$AJ$167,TRUE)),0)</f>
        <v/>
      </c>
      <c r="AS15" s="68">
        <f t="array" ref="AS15">IF($D15,SUMPRODUCT((economics!$AG$2:$AG$167=$B15)*(economics!$D$2:$D$167="process")*economics!$AH$2:$AH$167*_xlfn.NORM.DIST(AS$3,economics!$AK$2:$AK$167,economics!$AJ$2:$AJ$167,TRUE)),0)</f>
        <v/>
      </c>
      <c r="AT15" s="68">
        <f t="array" ref="AT15">IF($D15,SUMPRODUCT((economics!$AG$2:$AG$167=$B15)*(economics!$D$2:$D$167="process")*economics!$AH$2:$AH$167*_xlfn.NORM.DIST(AT$3,economics!$AK$2:$AK$167,economics!$AJ$2:$AJ$167,TRUE)),0)</f>
        <v/>
      </c>
      <c r="AU15" s="68">
        <f t="array" ref="AU15">IF($D15,SUMPRODUCT((economics!$AG$2:$AG$167=$B15)*(economics!$D$2:$D$167="process")*economics!$AH$2:$AH$167*_xlfn.NORM.DIST(AU$3,economics!$AK$2:$AK$167,economics!$AJ$2:$AJ$167,TRUE)),0)</f>
        <v/>
      </c>
      <c r="AV15" s="68">
        <f t="array" ref="AV15">IF($D15,SUMPRODUCT((economics!$AG$2:$AG$167=$B15)*(economics!$D$2:$D$167="process")*economics!$AH$2:$AH$167*_xlfn.NORM.DIST(AV$3,economics!$AK$2:$AK$167,economics!$AJ$2:$AJ$167,TRUE)),0)</f>
        <v/>
      </c>
      <c r="AW15" s="68">
        <f t="array" ref="AW15">IF($D15,SUMPRODUCT((economics!$AG$2:$AG$167=$B15)*(economics!$D$2:$D$167="process")*economics!$AH$2:$AH$167*_xlfn.NORM.DIST(AW$3,economics!$AK$2:$AK$167,economics!$AJ$2:$AJ$167,TRUE)),0)</f>
        <v/>
      </c>
      <c r="AX15" s="68">
        <f t="array" ref="AX15">IF($D15,SUMPRODUCT((economics!$AG$2:$AG$167=$B15)*(economics!$D$2:$D$167="process")*economics!$AH$2:$AH$167*_xlfn.NORM.DIST(AX$3,economics!$AK$2:$AK$167,economics!$AJ$2:$AJ$167,TRUE)),0)</f>
        <v/>
      </c>
      <c r="AY15" s="68">
        <f t="array" ref="AY15">IF($D15,SUMPRODUCT((economics!$AG$2:$AG$167=$B15)*(economics!$D$2:$D$167="process")*economics!$AH$2:$AH$167*_xlfn.NORM.DIST(AY$3,economics!$AK$2:$AK$167,economics!$AJ$2:$AJ$167,TRUE)),0)</f>
        <v/>
      </c>
      <c r="AZ15" s="68">
        <f t="array" ref="AZ15">IF($D15,SUMPRODUCT((economics!$AG$2:$AG$167=$B15)*(economics!$D$2:$D$167="process")*economics!$AH$2:$AH$167*_xlfn.NORM.DIST(AZ$3,economics!$AK$2:$AK$167,economics!$AJ$2:$AJ$167,TRUE)),0)</f>
        <v/>
      </c>
      <c r="BA15" s="68">
        <f t="array" ref="BA15">IF($D15,SUMPRODUCT((economics!$AG$2:$AG$167=$B15)*(economics!$D$2:$D$167="process")*economics!$AH$2:$AH$167*_xlfn.NORM.DIST(BA$3,economics!$AK$2:$AK$167,economics!$AJ$2:$AJ$167,TRUE)),0)</f>
        <v/>
      </c>
      <c r="BB15" s="68">
        <f t="array" ref="BB15">IF($D15,SUMPRODUCT((economics!$AG$2:$AG$167=$B15)*(economics!$D$2:$D$167="process")*economics!$AH$2:$AH$167*_xlfn.NORM.DIST(BB$3,economics!$AK$2:$AK$167,economics!$AJ$2:$AJ$167,TRUE)),0)</f>
        <v/>
      </c>
      <c r="BC15" s="68">
        <f t="array" ref="BC15">IF($D15,SUMPRODUCT((economics!$AG$2:$AG$167=$B15)*(economics!$D$2:$D$167="process")*economics!$AH$2:$AH$167*_xlfn.NORM.DIST(BC$3,economics!$AK$2:$AK$167,economics!$AJ$2:$AJ$167,TRUE)),0)</f>
        <v/>
      </c>
      <c r="BD15" s="68">
        <f t="array" ref="BD15">IF($D15,SUMPRODUCT((economics!$AG$2:$AG$167=$B15)*(economics!$D$2:$D$167="process")*economics!$AH$2:$AH$167*_xlfn.NORM.DIST(BD$3,economics!$AK$2:$AK$167,economics!$AJ$2:$AJ$167,TRUE)),0)</f>
        <v/>
      </c>
      <c r="BE15" s="68">
        <f t="array" ref="BE15">IF($D15,SUMPRODUCT((economics!$AG$2:$AG$167=$B15)*(economics!$D$2:$D$167="process")*economics!$AH$2:$AH$167*_xlfn.NORM.DIST(BE$3,economics!$AK$2:$AK$167,economics!$AJ$2:$AJ$167,TRUE)),0)</f>
        <v/>
      </c>
      <c r="BF15" s="68">
        <f t="array" ref="BF15">IF($D15,SUMPRODUCT((economics!$AG$2:$AG$167=$B15)*(economics!$D$2:$D$167="process")*economics!$AH$2:$AH$167*_xlfn.NORM.DIST(BF$3,economics!$AK$2:$AK$167,economics!$AJ$2:$AJ$167,TRUE)),0)</f>
        <v/>
      </c>
      <c r="BG15" s="68">
        <f t="array" ref="BG15">IF($D15,SUMPRODUCT((economics!$AG$2:$AG$167=$B15)*(economics!$D$2:$D$167="process")*economics!$AH$2:$AH$167*_xlfn.NORM.DIST(BG$3,economics!$AK$2:$AK$167,economics!$AJ$2:$AJ$167,TRUE)),0)</f>
        <v/>
      </c>
      <c r="BH15" s="68">
        <f t="array" ref="BH15">IF($D15,SUMPRODUCT((economics!$AG$2:$AG$167=$B15)*(economics!$D$2:$D$167="process")*economics!$AH$2:$AH$167*_xlfn.NORM.DIST(BH$3,economics!$AK$2:$AK$167,economics!$AJ$2:$AJ$167,TRUE)),0)</f>
        <v/>
      </c>
      <c r="BI15" s="68">
        <f t="array" ref="BI15">IF($D15,SUMPRODUCT((economics!$AG$2:$AG$167=$B15)*(economics!$D$2:$D$167="process")*economics!$AH$2:$AH$167*_xlfn.NORM.DIST(BI$3,economics!$AK$2:$AK$167,economics!$AJ$2:$AJ$167,TRUE)),0)</f>
        <v/>
      </c>
      <c r="BJ15" s="68">
        <f t="array" ref="BJ15">IF($D15,SUMPRODUCT((economics!$AG$2:$AG$167=$B15)*(economics!$D$2:$D$167="process")*economics!$AH$2:$AH$167*_xlfn.NORM.DIST(BJ$3,economics!$AK$2:$AK$167,economics!$AJ$2:$AJ$167,TRUE)),0)</f>
        <v/>
      </c>
      <c r="BK15" s="68">
        <f t="array" ref="BK15">IF($D15,SUMPRODUCT((economics!$AG$2:$AG$167=$B15)*(economics!$D$2:$D$167="process")*economics!$AH$2:$AH$167*_xlfn.NORM.DIST(BK$3,economics!$AK$2:$AK$167,economics!$AJ$2:$AJ$167,TRUE)),0)</f>
        <v/>
      </c>
      <c r="BL15" s="68">
        <f t="array" ref="BL15">IF($D15,SUMPRODUCT((economics!$AG$2:$AG$167=$B15)*(economics!$D$2:$D$167="process")*economics!$AH$2:$AH$167*_xlfn.NORM.DIST(BL$3,economics!$AK$2:$AK$167,economics!$AJ$2:$AJ$167,TRUE)),0)</f>
        <v/>
      </c>
      <c r="BM15" s="68">
        <f t="array" ref="BM15">IF($D15,SUMPRODUCT((economics!$AG$2:$AG$167=$B15)*(economics!$D$2:$D$167="process")*economics!$AH$2:$AH$167*_xlfn.NORM.DIST(BM$3,economics!$AK$2:$AK$167,economics!$AJ$2:$AJ$167,TRUE)),0)</f>
        <v/>
      </c>
      <c r="BN15" s="68">
        <f t="array" ref="BN15">IF($D15,SUMPRODUCT((economics!$AG$2:$AG$167=$B15)*(economics!$D$2:$D$167="process")*economics!$AH$2:$AH$167*_xlfn.NORM.DIST(BN$3,economics!$AK$2:$AK$167,economics!$AJ$2:$AJ$167,TRUE)),0)</f>
        <v/>
      </c>
      <c r="BO15" s="68">
        <f t="array" ref="BO15">IF($D15,SUMPRODUCT((economics!$AG$2:$AG$167=$B15)*(economics!$D$2:$D$167="process")*economics!$AH$2:$AH$167*_xlfn.NORM.DIST(BO$3,economics!$AK$2:$AK$167,economics!$AJ$2:$AJ$167,TRUE)),0)</f>
        <v/>
      </c>
      <c r="BP15" s="68">
        <f t="array" ref="BP15">IF($D15,SUMPRODUCT((economics!$AG$2:$AG$167=$B15)*(economics!$D$2:$D$167="process")*economics!$AH$2:$AH$167*_xlfn.NORM.DIST(BP$3,economics!$AK$2:$AK$167,economics!$AJ$2:$AJ$167,TRUE)),0)</f>
        <v/>
      </c>
      <c r="BQ15" s="68">
        <f t="array" ref="BQ15">IF($D15,SUMPRODUCT((economics!$AG$2:$AG$167=$B15)*(economics!$D$2:$D$167="process")*economics!$AH$2:$AH$167*_xlfn.NORM.DIST(BQ$3,economics!$AK$2:$AK$167,economics!$AJ$2:$AJ$167,TRUE)),0)</f>
        <v/>
      </c>
      <c r="BR15" s="68">
        <f t="array" ref="BR15">IF($D15,SUMPRODUCT((economics!$AG$2:$AG$167=$B15)*(economics!$D$2:$D$167="process")*economics!$AH$2:$AH$167*_xlfn.NORM.DIST(BR$3,economics!$AK$2:$AK$167,economics!$AJ$2:$AJ$167,TRUE)),0)</f>
        <v/>
      </c>
      <c r="BS15" s="68">
        <f t="array" ref="BS15">IF($D15,SUMPRODUCT((economics!$AG$2:$AG$167=$B15)*(economics!$D$2:$D$167="process")*economics!$AH$2:$AH$167*_xlfn.NORM.DIST(BS$3,economics!$AK$2:$AK$167,economics!$AJ$2:$AJ$167,TRUE)),0)</f>
        <v/>
      </c>
      <c r="BT15" s="68">
        <f t="array" ref="BT15">IF($D15,SUMPRODUCT((economics!$AG$2:$AG$167=$B15)*(economics!$D$2:$D$167="process")*economics!$AH$2:$AH$167*_xlfn.NORM.DIST(BT$3,economics!$AK$2:$AK$167,economics!$AJ$2:$AJ$167,TRUE)),0)</f>
        <v/>
      </c>
      <c r="BU15" s="68">
        <f t="array" ref="BU15">IF($D15,SUMPRODUCT((economics!$AG$2:$AG$167=$B15)*(economics!$D$2:$D$167="process")*economics!$AH$2:$AH$167*_xlfn.NORM.DIST(BU$3,economics!$AK$2:$AK$167,economics!$AJ$2:$AJ$167,TRUE)),0)</f>
        <v/>
      </c>
      <c r="BV15" s="68">
        <f t="array" ref="BV15">IF($D15,SUMPRODUCT((economics!$AG$2:$AG$167=$B15)*(economics!$D$2:$D$167="process")*economics!$AH$2:$AH$167*_xlfn.NORM.DIST(BV$3,economics!$AK$2:$AK$167,economics!$AJ$2:$AJ$167,TRUE)),0)</f>
        <v/>
      </c>
      <c r="BW15" s="68">
        <f t="array" ref="BW15">IF($D15,SUMPRODUCT((economics!$AG$2:$AG$167=$B15)*(economics!$D$2:$D$167="process")*economics!$AH$2:$AH$167*_xlfn.NORM.DIST(BW$3,economics!$AK$2:$AK$167,economics!$AJ$2:$AJ$167,TRUE)),0)</f>
        <v/>
      </c>
      <c r="BX15" s="68">
        <f t="array" ref="BX15">IF($D15,SUMPRODUCT((economics!$AG$2:$AG$167=$B15)*(economics!$D$2:$D$167="process")*economics!$AH$2:$AH$167*_xlfn.NORM.DIST(BX$3,economics!$AK$2:$AK$167,economics!$AJ$2:$AJ$167,TRUE)),0)</f>
        <v/>
      </c>
      <c r="BY15" s="68">
        <f t="array" ref="BY15">IF($D15,SUMPRODUCT((economics!$AG$2:$AG$167=$B15)*(economics!$D$2:$D$167="process")*economics!$AH$2:$AH$167*_xlfn.NORM.DIST(BY$3,economics!$AK$2:$AK$167,economics!$AJ$2:$AJ$167,TRUE)),0)</f>
        <v/>
      </c>
      <c r="BZ15" s="68">
        <f t="array" ref="BZ15">IF($D15,SUMPRODUCT((economics!$AG$2:$AG$167=$B15)*(economics!$D$2:$D$167="process")*economics!$AH$2:$AH$167*_xlfn.NORM.DIST(BZ$3,economics!$AK$2:$AK$167,economics!$AJ$2:$AJ$167,TRUE)),0)</f>
        <v/>
      </c>
      <c r="CA15" s="68">
        <f t="array" ref="CA15">IF($D15,SUMPRODUCT((economics!$AG$2:$AG$167=$B15)*(economics!$D$2:$D$167="process")*economics!$AH$2:$AH$167*_xlfn.NORM.DIST(CA$3,economics!$AK$2:$AK$167,economics!$AJ$2:$AJ$167,TRUE)),0)</f>
        <v/>
      </c>
      <c r="CB15" s="68">
        <f t="array" ref="CB15">IF($D15,SUMPRODUCT((economics!$AG$2:$AG$167=$B15)*(economics!$D$2:$D$167="process")*economics!$AH$2:$AH$167*_xlfn.NORM.DIST(CB$3,economics!$AK$2:$AK$167,economics!$AJ$2:$AJ$167,TRUE)),0)</f>
        <v/>
      </c>
      <c r="CC15" s="68">
        <f t="array" ref="CC15">IF($D15,SUMPRODUCT((economics!$AG$2:$AG$167=$B15)*(economics!$D$2:$D$167="process")*economics!$AH$2:$AH$167*_xlfn.NORM.DIST(CC$3,economics!$AK$2:$AK$167,economics!$AJ$2:$AJ$167,TRUE)),0)</f>
        <v/>
      </c>
      <c r="CD15" s="68">
        <f t="array" ref="CD15">IF($D15,SUMPRODUCT((economics!$AG$2:$AG$167=$B15)*(economics!$D$2:$D$167="process")*economics!$AH$2:$AH$167*_xlfn.NORM.DIST(CD$3,economics!$AK$2:$AK$167,economics!$AJ$2:$AJ$167,TRUE)),0)</f>
        <v/>
      </c>
      <c r="CE15" s="68">
        <f t="array" ref="CE15">IF($D15,SUMPRODUCT((economics!$AG$2:$AG$167=$B15)*(economics!$D$2:$D$167="process")*economics!$AH$2:$AH$167*_xlfn.NORM.DIST(CE$3,economics!$AK$2:$AK$167,economics!$AJ$2:$AJ$167,TRUE)),0)</f>
        <v/>
      </c>
      <c r="CF15" s="68">
        <f t="array" ref="CF15">IF($D15,SUMPRODUCT((economics!$AG$2:$AG$167=$B15)*(economics!$D$2:$D$167="process")*economics!$AH$2:$AH$167*_xlfn.NORM.DIST(CF$3,economics!$AK$2:$AK$167,economics!$AJ$2:$AJ$167,TRUE)),0)</f>
        <v/>
      </c>
      <c r="CG15" s="68">
        <f t="array" ref="CG15">IF($D15,SUMPRODUCT((economics!$AG$2:$AG$167=$B15)*(economics!$D$2:$D$167="process")*economics!$AH$2:$AH$167*_xlfn.NORM.DIST(CG$3,economics!$AK$2:$AK$167,economics!$AJ$2:$AJ$167,TRUE)),0)</f>
        <v/>
      </c>
      <c r="CH15" s="68">
        <f t="array" ref="CH15">IF($D15,SUMPRODUCT((economics!$AG$2:$AG$167=$B15)*(economics!$D$2:$D$167="process")*economics!$AH$2:$AH$167*_xlfn.NORM.DIST(CH$3,economics!$AK$2:$AK$167,economics!$AJ$2:$AJ$167,TRUE)),0)</f>
        <v/>
      </c>
    </row>
    <row r="16">
      <c r="A16">
        <f>WHRPbI!A14</f>
        <v/>
      </c>
      <c r="B16" t="n">
        <v>239</v>
      </c>
      <c r="C16" s="68">
        <f>WHRPbI!B14</f>
        <v/>
      </c>
      <c r="D16">
        <f>ISNUMBER(MATCH($B16,'energy base (MECS)'!$K$4:$K$9,0))</f>
        <v/>
      </c>
      <c r="E16" s="68">
        <f t="array" ref="E16">IF($D16,SUMPRODUCT((economics!$AG$2:$AG$167=$B16)*(economics!$D$2:$D$167="process")*economics!$AH$2:$AH$167*_xlfn.NORM.DIST(E$3,economics!$AK$2:$AK$167,economics!$AJ$2:$AJ$167,TRUE)),0)</f>
        <v/>
      </c>
      <c r="F16" s="68">
        <f t="array" ref="F16">IF($D16,SUMPRODUCT((economics!$AG$2:$AG$167=$B16)*(economics!$D$2:$D$167="process")*economics!$AH$2:$AH$167*_xlfn.NORM.DIST(F$3,economics!$AK$2:$AK$167,economics!$AJ$2:$AJ$167,TRUE)),0)</f>
        <v/>
      </c>
      <c r="G16" s="68">
        <f t="array" ref="G16">IF($D16,SUMPRODUCT((economics!$AG$2:$AG$167=$B16)*(economics!$D$2:$D$167="process")*economics!$AH$2:$AH$167*_xlfn.NORM.DIST(G$3,economics!$AK$2:$AK$167,economics!$AJ$2:$AJ$167,TRUE)),0)</f>
        <v/>
      </c>
      <c r="H16" s="68">
        <f t="array" ref="H16">IF($D16,SUMPRODUCT((economics!$AG$2:$AG$167=$B16)*(economics!$D$2:$D$167="process")*economics!$AH$2:$AH$167*_xlfn.NORM.DIST(H$3,economics!$AK$2:$AK$167,economics!$AJ$2:$AJ$167,TRUE)),0)</f>
        <v/>
      </c>
      <c r="I16" s="68">
        <f t="array" ref="I16">IF($D16,SUMPRODUCT((economics!$AG$2:$AG$167=$B16)*(economics!$D$2:$D$167="process")*economics!$AH$2:$AH$167*_xlfn.NORM.DIST(I$3,economics!$AK$2:$AK$167,economics!$AJ$2:$AJ$167,TRUE)),0)</f>
        <v/>
      </c>
      <c r="J16" s="68">
        <f t="array" ref="J16">IF($D16,SUMPRODUCT((economics!$AG$2:$AG$167=$B16)*(economics!$D$2:$D$167="process")*economics!$AH$2:$AH$167*_xlfn.NORM.DIST(J$3,economics!$AK$2:$AK$167,economics!$AJ$2:$AJ$167,TRUE)),0)</f>
        <v/>
      </c>
      <c r="K16" s="68">
        <f t="array" ref="K16">IF($D16,SUMPRODUCT((economics!$AG$2:$AG$167=$B16)*(economics!$D$2:$D$167="process")*economics!$AH$2:$AH$167*_xlfn.NORM.DIST(K$3,economics!$AK$2:$AK$167,economics!$AJ$2:$AJ$167,TRUE)),0)</f>
        <v/>
      </c>
      <c r="L16" s="68">
        <f t="array" ref="L16">IF($D16,SUMPRODUCT((economics!$AG$2:$AG$167=$B16)*(economics!$D$2:$D$167="process")*economics!$AH$2:$AH$167*_xlfn.NORM.DIST(L$3,economics!$AK$2:$AK$167,economics!$AJ$2:$AJ$167,TRUE)),0)</f>
        <v/>
      </c>
      <c r="M16" s="68">
        <f t="array" ref="M16">IF($D16,SUMPRODUCT((economics!$AG$2:$AG$167=$B16)*(economics!$D$2:$D$167="process")*economics!$AH$2:$AH$167*_xlfn.NORM.DIST(M$3,economics!$AK$2:$AK$167,economics!$AJ$2:$AJ$167,TRUE)),0)</f>
        <v/>
      </c>
      <c r="N16" s="68">
        <f t="array" ref="N16">IF($D16,SUMPRODUCT((economics!$AG$2:$AG$167=$B16)*(economics!$D$2:$D$167="process")*economics!$AH$2:$AH$167*_xlfn.NORM.DIST(N$3,economics!$AK$2:$AK$167,economics!$AJ$2:$AJ$167,TRUE)),0)</f>
        <v/>
      </c>
      <c r="O16" s="68">
        <f t="array" ref="O16">IF($D16,SUMPRODUCT((economics!$AG$2:$AG$167=$B16)*(economics!$D$2:$D$167="process")*economics!$AH$2:$AH$167*_xlfn.NORM.DIST(O$3,economics!$AK$2:$AK$167,economics!$AJ$2:$AJ$167,TRUE)),0)</f>
        <v/>
      </c>
      <c r="P16" s="68">
        <f t="array" ref="P16">IF($D16,SUMPRODUCT((economics!$AG$2:$AG$167=$B16)*(economics!$D$2:$D$167="process")*economics!$AH$2:$AH$167*_xlfn.NORM.DIST(P$3,economics!$AK$2:$AK$167,economics!$AJ$2:$AJ$167,TRUE)),0)</f>
        <v/>
      </c>
      <c r="Q16" s="68">
        <f t="array" ref="Q16">IF($D16,SUMPRODUCT((economics!$AG$2:$AG$167=$B16)*(economics!$D$2:$D$167="process")*economics!$AH$2:$AH$167*_xlfn.NORM.DIST(Q$3,economics!$AK$2:$AK$167,economics!$AJ$2:$AJ$167,TRUE)),0)</f>
        <v/>
      </c>
      <c r="R16" s="68">
        <f t="array" ref="R16">IF($D16,SUMPRODUCT((economics!$AG$2:$AG$167=$B16)*(economics!$D$2:$D$167="process")*economics!$AH$2:$AH$167*_xlfn.NORM.DIST(R$3,economics!$AK$2:$AK$167,economics!$AJ$2:$AJ$167,TRUE)),0)</f>
        <v/>
      </c>
      <c r="S16" s="68">
        <f t="array" ref="S16">IF($D16,SUMPRODUCT((economics!$AG$2:$AG$167=$B16)*(economics!$D$2:$D$167="process")*economics!$AH$2:$AH$167*_xlfn.NORM.DIST(S$3,economics!$AK$2:$AK$167,economics!$AJ$2:$AJ$167,TRUE)),0)</f>
        <v/>
      </c>
      <c r="T16" s="68">
        <f t="array" ref="T16">IF($D16,SUMPRODUCT((economics!$AG$2:$AG$167=$B16)*(economics!$D$2:$D$167="process")*economics!$AH$2:$AH$167*_xlfn.NORM.DIST(T$3,economics!$AK$2:$AK$167,economics!$AJ$2:$AJ$167,TRUE)),0)</f>
        <v/>
      </c>
      <c r="U16" s="68">
        <f t="array" ref="U16">IF($D16,SUMPRODUCT((economics!$AG$2:$AG$167=$B16)*(economics!$D$2:$D$167="process")*economics!$AH$2:$AH$167*_xlfn.NORM.DIST(U$3,economics!$AK$2:$AK$167,economics!$AJ$2:$AJ$167,TRUE)),0)</f>
        <v/>
      </c>
      <c r="V16" s="68">
        <f t="array" ref="V16">IF($D16,SUMPRODUCT((economics!$AG$2:$AG$167=$B16)*(economics!$D$2:$D$167="process")*economics!$AH$2:$AH$167*_xlfn.NORM.DIST(V$3,economics!$AK$2:$AK$167,economics!$AJ$2:$AJ$167,TRUE)),0)</f>
        <v/>
      </c>
      <c r="W16" s="68">
        <f t="array" ref="W16">IF($D16,SUMPRODUCT((economics!$AG$2:$AG$167=$B16)*(economics!$D$2:$D$167="process")*economics!$AH$2:$AH$167*_xlfn.NORM.DIST(W$3,economics!$AK$2:$AK$167,economics!$AJ$2:$AJ$167,TRUE)),0)</f>
        <v/>
      </c>
      <c r="X16" s="68">
        <f t="array" ref="X16">IF($D16,SUMPRODUCT((economics!$AG$2:$AG$167=$B16)*(economics!$D$2:$D$167="process")*economics!$AH$2:$AH$167*_xlfn.NORM.DIST(X$3,economics!$AK$2:$AK$167,economics!$AJ$2:$AJ$167,TRUE)),0)</f>
        <v/>
      </c>
      <c r="Y16" s="68">
        <f t="array" ref="Y16">IF($D16,SUMPRODUCT((economics!$AG$2:$AG$167=$B16)*(economics!$D$2:$D$167="process")*economics!$AH$2:$AH$167*_xlfn.NORM.DIST(Y$3,economics!$AK$2:$AK$167,economics!$AJ$2:$AJ$167,TRUE)),0)</f>
        <v/>
      </c>
      <c r="Z16" s="68">
        <f t="array" ref="Z16">IF($D16,SUMPRODUCT((economics!$AG$2:$AG$167=$B16)*(economics!$D$2:$D$167="process")*economics!$AH$2:$AH$167*_xlfn.NORM.DIST(Z$3,economics!$AK$2:$AK$167,economics!$AJ$2:$AJ$167,TRUE)),0)</f>
        <v/>
      </c>
      <c r="AA16" s="68">
        <f t="array" ref="AA16">IF($D16,SUMPRODUCT((economics!$AG$2:$AG$167=$B16)*(economics!$D$2:$D$167="process")*economics!$AH$2:$AH$167*_xlfn.NORM.DIST(AA$3,economics!$AK$2:$AK$167,economics!$AJ$2:$AJ$167,TRUE)),0)</f>
        <v/>
      </c>
      <c r="AB16" s="68">
        <f t="array" ref="AB16">IF($D16,SUMPRODUCT((economics!$AG$2:$AG$167=$B16)*(economics!$D$2:$D$167="process")*economics!$AH$2:$AH$167*_xlfn.NORM.DIST(AB$3,economics!$AK$2:$AK$167,economics!$AJ$2:$AJ$167,TRUE)),0)</f>
        <v/>
      </c>
      <c r="AC16" s="68">
        <f t="array" ref="AC16">IF($D16,SUMPRODUCT((economics!$AG$2:$AG$167=$B16)*(economics!$D$2:$D$167="process")*economics!$AH$2:$AH$167*_xlfn.NORM.DIST(AC$3,economics!$AK$2:$AK$167,economics!$AJ$2:$AJ$167,TRUE)),0)</f>
        <v/>
      </c>
      <c r="AD16" s="68">
        <f t="array" ref="AD16">IF($D16,SUMPRODUCT((economics!$AG$2:$AG$167=$B16)*(economics!$D$2:$D$167="process")*economics!$AH$2:$AH$167*_xlfn.NORM.DIST(AD$3,economics!$AK$2:$AK$167,economics!$AJ$2:$AJ$167,TRUE)),0)</f>
        <v/>
      </c>
      <c r="AE16" s="68">
        <f t="array" ref="AE16">IF($D16,SUMPRODUCT((economics!$AG$2:$AG$167=$B16)*(economics!$D$2:$D$167="process")*economics!$AH$2:$AH$167*_xlfn.NORM.DIST(AE$3,economics!$AK$2:$AK$167,economics!$AJ$2:$AJ$167,TRUE)),0)</f>
        <v/>
      </c>
      <c r="AF16" s="68">
        <f t="array" ref="AF16">IF($D16,SUMPRODUCT((economics!$AG$2:$AG$167=$B16)*(economics!$D$2:$D$167="process")*economics!$AH$2:$AH$167*_xlfn.NORM.DIST(AF$3,economics!$AK$2:$AK$167,economics!$AJ$2:$AJ$167,TRUE)),0)</f>
        <v/>
      </c>
      <c r="AG16" s="68">
        <f t="array" ref="AG16">IF($D16,SUMPRODUCT((economics!$AG$2:$AG$167=$B16)*(economics!$D$2:$D$167="process")*economics!$AH$2:$AH$167*_xlfn.NORM.DIST(AG$3,economics!$AK$2:$AK$167,economics!$AJ$2:$AJ$167,TRUE)),0)</f>
        <v/>
      </c>
      <c r="AH16" s="68">
        <f t="array" ref="AH16">IF($D16,SUMPRODUCT((economics!$AG$2:$AG$167=$B16)*(economics!$D$2:$D$167="process")*economics!$AH$2:$AH$167*_xlfn.NORM.DIST(AH$3,economics!$AK$2:$AK$167,economics!$AJ$2:$AJ$167,TRUE)),0)</f>
        <v/>
      </c>
      <c r="AI16" s="68">
        <f t="array" ref="AI16">IF($D16,SUMPRODUCT((economics!$AG$2:$AG$167=$B16)*(economics!$D$2:$D$167="process")*economics!$AH$2:$AH$167*_xlfn.NORM.DIST(AI$3,economics!$AK$2:$AK$167,economics!$AJ$2:$AJ$167,TRUE)),0)</f>
        <v/>
      </c>
      <c r="AJ16" s="68">
        <f t="array" ref="AJ16">IF($D16,SUMPRODUCT((economics!$AG$2:$AG$167=$B16)*(economics!$D$2:$D$167="process")*economics!$AH$2:$AH$167*_xlfn.NORM.DIST(AJ$3,economics!$AK$2:$AK$167,economics!$AJ$2:$AJ$167,TRUE)),0)</f>
        <v/>
      </c>
      <c r="AK16" s="68">
        <f t="array" ref="AK16">IF($D16,SUMPRODUCT((economics!$AG$2:$AG$167=$B16)*(economics!$D$2:$D$167="process")*economics!$AH$2:$AH$167*_xlfn.NORM.DIST(AK$3,economics!$AK$2:$AK$167,economics!$AJ$2:$AJ$167,TRUE)),0)</f>
        <v/>
      </c>
      <c r="AL16" s="68">
        <f t="array" ref="AL16">IF($D16,SUMPRODUCT((economics!$AG$2:$AG$167=$B16)*(economics!$D$2:$D$167="process")*economics!$AH$2:$AH$167*_xlfn.NORM.DIST(AL$3,economics!$AK$2:$AK$167,economics!$AJ$2:$AJ$167,TRUE)),0)</f>
        <v/>
      </c>
      <c r="AM16" s="68">
        <f t="array" ref="AM16">IF($D16,SUMPRODUCT((economics!$AG$2:$AG$167=$B16)*(economics!$D$2:$D$167="process")*economics!$AH$2:$AH$167*_xlfn.NORM.DIST(AM$3,economics!$AK$2:$AK$167,economics!$AJ$2:$AJ$167,TRUE)),0)</f>
        <v/>
      </c>
      <c r="AN16" s="68">
        <f t="array" ref="AN16">IF($D16,SUMPRODUCT((economics!$AG$2:$AG$167=$B16)*(economics!$D$2:$D$167="process")*economics!$AH$2:$AH$167*_xlfn.NORM.DIST(AN$3,economics!$AK$2:$AK$167,economics!$AJ$2:$AJ$167,TRUE)),0)</f>
        <v/>
      </c>
      <c r="AO16" s="68">
        <f t="array" ref="AO16">IF($D16,SUMPRODUCT((economics!$AG$2:$AG$167=$B16)*(economics!$D$2:$D$167="process")*economics!$AH$2:$AH$167*_xlfn.NORM.DIST(AO$3,economics!$AK$2:$AK$167,economics!$AJ$2:$AJ$167,TRUE)),0)</f>
        <v/>
      </c>
      <c r="AP16" s="68">
        <f t="array" ref="AP16">IF($D16,SUMPRODUCT((economics!$AG$2:$AG$167=$B16)*(economics!$D$2:$D$167="process")*economics!$AH$2:$AH$167*_xlfn.NORM.DIST(AP$3,economics!$AK$2:$AK$167,economics!$AJ$2:$AJ$167,TRUE)),0)</f>
        <v/>
      </c>
      <c r="AQ16" s="68">
        <f t="array" ref="AQ16">IF($D16,SUMPRODUCT((economics!$AG$2:$AG$167=$B16)*(economics!$D$2:$D$167="process")*economics!$AH$2:$AH$167*_xlfn.NORM.DIST(AQ$3,economics!$AK$2:$AK$167,economics!$AJ$2:$AJ$167,TRUE)),0)</f>
        <v/>
      </c>
      <c r="AR16" s="68">
        <f t="array" ref="AR16">IF($D16,SUMPRODUCT((economics!$AG$2:$AG$167=$B16)*(economics!$D$2:$D$167="process")*economics!$AH$2:$AH$167*_xlfn.NORM.DIST(AR$3,economics!$AK$2:$AK$167,economics!$AJ$2:$AJ$167,TRUE)),0)</f>
        <v/>
      </c>
      <c r="AS16" s="68">
        <f t="array" ref="AS16">IF($D16,SUMPRODUCT((economics!$AG$2:$AG$167=$B16)*(economics!$D$2:$D$167="process")*economics!$AH$2:$AH$167*_xlfn.NORM.DIST(AS$3,economics!$AK$2:$AK$167,economics!$AJ$2:$AJ$167,TRUE)),0)</f>
        <v/>
      </c>
      <c r="AT16" s="68">
        <f t="array" ref="AT16">IF($D16,SUMPRODUCT((economics!$AG$2:$AG$167=$B16)*(economics!$D$2:$D$167="process")*economics!$AH$2:$AH$167*_xlfn.NORM.DIST(AT$3,economics!$AK$2:$AK$167,economics!$AJ$2:$AJ$167,TRUE)),0)</f>
        <v/>
      </c>
      <c r="AU16" s="68">
        <f t="array" ref="AU16">IF($D16,SUMPRODUCT((economics!$AG$2:$AG$167=$B16)*(economics!$D$2:$D$167="process")*economics!$AH$2:$AH$167*_xlfn.NORM.DIST(AU$3,economics!$AK$2:$AK$167,economics!$AJ$2:$AJ$167,TRUE)),0)</f>
        <v/>
      </c>
      <c r="AV16" s="68">
        <f t="array" ref="AV16">IF($D16,SUMPRODUCT((economics!$AG$2:$AG$167=$B16)*(economics!$D$2:$D$167="process")*economics!$AH$2:$AH$167*_xlfn.NORM.DIST(AV$3,economics!$AK$2:$AK$167,economics!$AJ$2:$AJ$167,TRUE)),0)</f>
        <v/>
      </c>
      <c r="AW16" s="68">
        <f t="array" ref="AW16">IF($D16,SUMPRODUCT((economics!$AG$2:$AG$167=$B16)*(economics!$D$2:$D$167="process")*economics!$AH$2:$AH$167*_xlfn.NORM.DIST(AW$3,economics!$AK$2:$AK$167,economics!$AJ$2:$AJ$167,TRUE)),0)</f>
        <v/>
      </c>
      <c r="AX16" s="68">
        <f t="array" ref="AX16">IF($D16,SUMPRODUCT((economics!$AG$2:$AG$167=$B16)*(economics!$D$2:$D$167="process")*economics!$AH$2:$AH$167*_xlfn.NORM.DIST(AX$3,economics!$AK$2:$AK$167,economics!$AJ$2:$AJ$167,TRUE)),0)</f>
        <v/>
      </c>
      <c r="AY16" s="68">
        <f t="array" ref="AY16">IF($D16,SUMPRODUCT((economics!$AG$2:$AG$167=$B16)*(economics!$D$2:$D$167="process")*economics!$AH$2:$AH$167*_xlfn.NORM.DIST(AY$3,economics!$AK$2:$AK$167,economics!$AJ$2:$AJ$167,TRUE)),0)</f>
        <v/>
      </c>
      <c r="AZ16" s="68">
        <f t="array" ref="AZ16">IF($D16,SUMPRODUCT((economics!$AG$2:$AG$167=$B16)*(economics!$D$2:$D$167="process")*economics!$AH$2:$AH$167*_xlfn.NORM.DIST(AZ$3,economics!$AK$2:$AK$167,economics!$AJ$2:$AJ$167,TRUE)),0)</f>
        <v/>
      </c>
      <c r="BA16" s="68">
        <f t="array" ref="BA16">IF($D16,SUMPRODUCT((economics!$AG$2:$AG$167=$B16)*(economics!$D$2:$D$167="process")*economics!$AH$2:$AH$167*_xlfn.NORM.DIST(BA$3,economics!$AK$2:$AK$167,economics!$AJ$2:$AJ$167,TRUE)),0)</f>
        <v/>
      </c>
      <c r="BB16" s="68">
        <f t="array" ref="BB16">IF($D16,SUMPRODUCT((economics!$AG$2:$AG$167=$B16)*(economics!$D$2:$D$167="process")*economics!$AH$2:$AH$167*_xlfn.NORM.DIST(BB$3,economics!$AK$2:$AK$167,economics!$AJ$2:$AJ$167,TRUE)),0)</f>
        <v/>
      </c>
      <c r="BC16" s="68">
        <f t="array" ref="BC16">IF($D16,SUMPRODUCT((economics!$AG$2:$AG$167=$B16)*(economics!$D$2:$D$167="process")*economics!$AH$2:$AH$167*_xlfn.NORM.DIST(BC$3,economics!$AK$2:$AK$167,economics!$AJ$2:$AJ$167,TRUE)),0)</f>
        <v/>
      </c>
      <c r="BD16" s="68">
        <f t="array" ref="BD16">IF($D16,SUMPRODUCT((economics!$AG$2:$AG$167=$B16)*(economics!$D$2:$D$167="process")*economics!$AH$2:$AH$167*_xlfn.NORM.DIST(BD$3,economics!$AK$2:$AK$167,economics!$AJ$2:$AJ$167,TRUE)),0)</f>
        <v/>
      </c>
      <c r="BE16" s="68">
        <f t="array" ref="BE16">IF($D16,SUMPRODUCT((economics!$AG$2:$AG$167=$B16)*(economics!$D$2:$D$167="process")*economics!$AH$2:$AH$167*_xlfn.NORM.DIST(BE$3,economics!$AK$2:$AK$167,economics!$AJ$2:$AJ$167,TRUE)),0)</f>
        <v/>
      </c>
      <c r="BF16" s="68">
        <f t="array" ref="BF16">IF($D16,SUMPRODUCT((economics!$AG$2:$AG$167=$B16)*(economics!$D$2:$D$167="process")*economics!$AH$2:$AH$167*_xlfn.NORM.DIST(BF$3,economics!$AK$2:$AK$167,economics!$AJ$2:$AJ$167,TRUE)),0)</f>
        <v/>
      </c>
      <c r="BG16" s="68">
        <f t="array" ref="BG16">IF($D16,SUMPRODUCT((economics!$AG$2:$AG$167=$B16)*(economics!$D$2:$D$167="process")*economics!$AH$2:$AH$167*_xlfn.NORM.DIST(BG$3,economics!$AK$2:$AK$167,economics!$AJ$2:$AJ$167,TRUE)),0)</f>
        <v/>
      </c>
      <c r="BH16" s="68">
        <f t="array" ref="BH16">IF($D16,SUMPRODUCT((economics!$AG$2:$AG$167=$B16)*(economics!$D$2:$D$167="process")*economics!$AH$2:$AH$167*_xlfn.NORM.DIST(BH$3,economics!$AK$2:$AK$167,economics!$AJ$2:$AJ$167,TRUE)),0)</f>
        <v/>
      </c>
      <c r="BI16" s="68">
        <f t="array" ref="BI16">IF($D16,SUMPRODUCT((economics!$AG$2:$AG$167=$B16)*(economics!$D$2:$D$167="process")*economics!$AH$2:$AH$167*_xlfn.NORM.DIST(BI$3,economics!$AK$2:$AK$167,economics!$AJ$2:$AJ$167,TRUE)),0)</f>
        <v/>
      </c>
      <c r="BJ16" s="68">
        <f t="array" ref="BJ16">IF($D16,SUMPRODUCT((economics!$AG$2:$AG$167=$B16)*(economics!$D$2:$D$167="process")*economics!$AH$2:$AH$167*_xlfn.NORM.DIST(BJ$3,economics!$AK$2:$AK$167,economics!$AJ$2:$AJ$167,TRUE)),0)</f>
        <v/>
      </c>
      <c r="BK16" s="68">
        <f t="array" ref="BK16">IF($D16,SUMPRODUCT((economics!$AG$2:$AG$167=$B16)*(economics!$D$2:$D$167="process")*economics!$AH$2:$AH$167*_xlfn.NORM.DIST(BK$3,economics!$AK$2:$AK$167,economics!$AJ$2:$AJ$167,TRUE)),0)</f>
        <v/>
      </c>
      <c r="BL16" s="68">
        <f t="array" ref="BL16">IF($D16,SUMPRODUCT((economics!$AG$2:$AG$167=$B16)*(economics!$D$2:$D$167="process")*economics!$AH$2:$AH$167*_xlfn.NORM.DIST(BL$3,economics!$AK$2:$AK$167,economics!$AJ$2:$AJ$167,TRUE)),0)</f>
        <v/>
      </c>
      <c r="BM16" s="68">
        <f t="array" ref="BM16">IF($D16,SUMPRODUCT((economics!$AG$2:$AG$167=$B16)*(economics!$D$2:$D$167="process")*economics!$AH$2:$AH$167*_xlfn.NORM.DIST(BM$3,economics!$AK$2:$AK$167,economics!$AJ$2:$AJ$167,TRUE)),0)</f>
        <v/>
      </c>
      <c r="BN16" s="68">
        <f t="array" ref="BN16">IF($D16,SUMPRODUCT((economics!$AG$2:$AG$167=$B16)*(economics!$D$2:$D$167="process")*economics!$AH$2:$AH$167*_xlfn.NORM.DIST(BN$3,economics!$AK$2:$AK$167,economics!$AJ$2:$AJ$167,TRUE)),0)</f>
        <v/>
      </c>
      <c r="BO16" s="68">
        <f t="array" ref="BO16">IF($D16,SUMPRODUCT((economics!$AG$2:$AG$167=$B16)*(economics!$D$2:$D$167="process")*economics!$AH$2:$AH$167*_xlfn.NORM.DIST(BO$3,economics!$AK$2:$AK$167,economics!$AJ$2:$AJ$167,TRUE)),0)</f>
        <v/>
      </c>
      <c r="BP16" s="68">
        <f t="array" ref="BP16">IF($D16,SUMPRODUCT((economics!$AG$2:$AG$167=$B16)*(economics!$D$2:$D$167="process")*economics!$AH$2:$AH$167*_xlfn.NORM.DIST(BP$3,economics!$AK$2:$AK$167,economics!$AJ$2:$AJ$167,TRUE)),0)</f>
        <v/>
      </c>
      <c r="BQ16" s="68">
        <f t="array" ref="BQ16">IF($D16,SUMPRODUCT((economics!$AG$2:$AG$167=$B16)*(economics!$D$2:$D$167="process")*economics!$AH$2:$AH$167*_xlfn.NORM.DIST(BQ$3,economics!$AK$2:$AK$167,economics!$AJ$2:$AJ$167,TRUE)),0)</f>
        <v/>
      </c>
      <c r="BR16" s="68">
        <f t="array" ref="BR16">IF($D16,SUMPRODUCT((economics!$AG$2:$AG$167=$B16)*(economics!$D$2:$D$167="process")*economics!$AH$2:$AH$167*_xlfn.NORM.DIST(BR$3,economics!$AK$2:$AK$167,economics!$AJ$2:$AJ$167,TRUE)),0)</f>
        <v/>
      </c>
      <c r="BS16" s="68">
        <f t="array" ref="BS16">IF($D16,SUMPRODUCT((economics!$AG$2:$AG$167=$B16)*(economics!$D$2:$D$167="process")*economics!$AH$2:$AH$167*_xlfn.NORM.DIST(BS$3,economics!$AK$2:$AK$167,economics!$AJ$2:$AJ$167,TRUE)),0)</f>
        <v/>
      </c>
      <c r="BT16" s="68">
        <f t="array" ref="BT16">IF($D16,SUMPRODUCT((economics!$AG$2:$AG$167=$B16)*(economics!$D$2:$D$167="process")*economics!$AH$2:$AH$167*_xlfn.NORM.DIST(BT$3,economics!$AK$2:$AK$167,economics!$AJ$2:$AJ$167,TRUE)),0)</f>
        <v/>
      </c>
      <c r="BU16" s="68">
        <f t="array" ref="BU16">IF($D16,SUMPRODUCT((economics!$AG$2:$AG$167=$B16)*(economics!$D$2:$D$167="process")*economics!$AH$2:$AH$167*_xlfn.NORM.DIST(BU$3,economics!$AK$2:$AK$167,economics!$AJ$2:$AJ$167,TRUE)),0)</f>
        <v/>
      </c>
      <c r="BV16" s="68">
        <f t="array" ref="BV16">IF($D16,SUMPRODUCT((economics!$AG$2:$AG$167=$B16)*(economics!$D$2:$D$167="process")*economics!$AH$2:$AH$167*_xlfn.NORM.DIST(BV$3,economics!$AK$2:$AK$167,economics!$AJ$2:$AJ$167,TRUE)),0)</f>
        <v/>
      </c>
      <c r="BW16" s="68">
        <f t="array" ref="BW16">IF($D16,SUMPRODUCT((economics!$AG$2:$AG$167=$B16)*(economics!$D$2:$D$167="process")*economics!$AH$2:$AH$167*_xlfn.NORM.DIST(BW$3,economics!$AK$2:$AK$167,economics!$AJ$2:$AJ$167,TRUE)),0)</f>
        <v/>
      </c>
      <c r="BX16" s="68">
        <f t="array" ref="BX16">IF($D16,SUMPRODUCT((economics!$AG$2:$AG$167=$B16)*(economics!$D$2:$D$167="process")*economics!$AH$2:$AH$167*_xlfn.NORM.DIST(BX$3,economics!$AK$2:$AK$167,economics!$AJ$2:$AJ$167,TRUE)),0)</f>
        <v/>
      </c>
      <c r="BY16" s="68">
        <f t="array" ref="BY16">IF($D16,SUMPRODUCT((economics!$AG$2:$AG$167=$B16)*(economics!$D$2:$D$167="process")*economics!$AH$2:$AH$167*_xlfn.NORM.DIST(BY$3,economics!$AK$2:$AK$167,economics!$AJ$2:$AJ$167,TRUE)),0)</f>
        <v/>
      </c>
      <c r="BZ16" s="68">
        <f t="array" ref="BZ16">IF($D16,SUMPRODUCT((economics!$AG$2:$AG$167=$B16)*(economics!$D$2:$D$167="process")*economics!$AH$2:$AH$167*_xlfn.NORM.DIST(BZ$3,economics!$AK$2:$AK$167,economics!$AJ$2:$AJ$167,TRUE)),0)</f>
        <v/>
      </c>
      <c r="CA16" s="68">
        <f t="array" ref="CA16">IF($D16,SUMPRODUCT((economics!$AG$2:$AG$167=$B16)*(economics!$D$2:$D$167="process")*economics!$AH$2:$AH$167*_xlfn.NORM.DIST(CA$3,economics!$AK$2:$AK$167,economics!$AJ$2:$AJ$167,TRUE)),0)</f>
        <v/>
      </c>
      <c r="CB16" s="68">
        <f t="array" ref="CB16">IF($D16,SUMPRODUCT((economics!$AG$2:$AG$167=$B16)*(economics!$D$2:$D$167="process")*economics!$AH$2:$AH$167*_xlfn.NORM.DIST(CB$3,economics!$AK$2:$AK$167,economics!$AJ$2:$AJ$167,TRUE)),0)</f>
        <v/>
      </c>
      <c r="CC16" s="68">
        <f t="array" ref="CC16">IF($D16,SUMPRODUCT((economics!$AG$2:$AG$167=$B16)*(economics!$D$2:$D$167="process")*economics!$AH$2:$AH$167*_xlfn.NORM.DIST(CC$3,economics!$AK$2:$AK$167,economics!$AJ$2:$AJ$167,TRUE)),0)</f>
        <v/>
      </c>
      <c r="CD16" s="68">
        <f t="array" ref="CD16">IF($D16,SUMPRODUCT((economics!$AG$2:$AG$167=$B16)*(economics!$D$2:$D$167="process")*economics!$AH$2:$AH$167*_xlfn.NORM.DIST(CD$3,economics!$AK$2:$AK$167,economics!$AJ$2:$AJ$167,TRUE)),0)</f>
        <v/>
      </c>
      <c r="CE16" s="68">
        <f t="array" ref="CE16">IF($D16,SUMPRODUCT((economics!$AG$2:$AG$167=$B16)*(economics!$D$2:$D$167="process")*economics!$AH$2:$AH$167*_xlfn.NORM.DIST(CE$3,economics!$AK$2:$AK$167,economics!$AJ$2:$AJ$167,TRUE)),0)</f>
        <v/>
      </c>
      <c r="CF16" s="68">
        <f t="array" ref="CF16">IF($D16,SUMPRODUCT((economics!$AG$2:$AG$167=$B16)*(economics!$D$2:$D$167="process")*economics!$AH$2:$AH$167*_xlfn.NORM.DIST(CF$3,economics!$AK$2:$AK$167,economics!$AJ$2:$AJ$167,TRUE)),0)</f>
        <v/>
      </c>
      <c r="CG16" s="68">
        <f t="array" ref="CG16">IF($D16,SUMPRODUCT((economics!$AG$2:$AG$167=$B16)*(economics!$D$2:$D$167="process")*economics!$AH$2:$AH$167*_xlfn.NORM.DIST(CG$3,economics!$AK$2:$AK$167,economics!$AJ$2:$AJ$167,TRUE)),0)</f>
        <v/>
      </c>
      <c r="CH16" s="68">
        <f t="array" ref="CH16">IF($D16,SUMPRODUCT((economics!$AG$2:$AG$167=$B16)*(economics!$D$2:$D$167="process")*economics!$AH$2:$AH$167*_xlfn.NORM.DIST(CH$3,economics!$AK$2:$AK$167,economics!$AJ$2:$AJ$167,TRUE)),0)</f>
        <v/>
      </c>
    </row>
    <row r="17">
      <c r="A17">
        <f>WHRPbI!A15</f>
        <v/>
      </c>
      <c r="B17" t="n">
        <v>241</v>
      </c>
      <c r="C17" s="68">
        <f>WHRPbI!B15</f>
        <v/>
      </c>
      <c r="D17">
        <f>ISNUMBER(MATCH($B17,'energy base (MECS)'!$K$4:$K$9,0))</f>
        <v/>
      </c>
      <c r="E17" s="68">
        <f t="array" ref="E17">IF($D17,SUMPRODUCT((economics!$AG$2:$AG$167=$B17)*(economics!$D$2:$D$167="process")*economics!$AH$2:$AH$167*_xlfn.NORM.DIST(E$3,economics!$AK$2:$AK$167,economics!$AJ$2:$AJ$167,TRUE)),0)</f>
        <v/>
      </c>
      <c r="F17" s="68">
        <f t="array" ref="F17">IF($D17,SUMPRODUCT((economics!$AG$2:$AG$167=$B17)*(economics!$D$2:$D$167="process")*economics!$AH$2:$AH$167*_xlfn.NORM.DIST(F$3,economics!$AK$2:$AK$167,economics!$AJ$2:$AJ$167,TRUE)),0)</f>
        <v/>
      </c>
      <c r="G17" s="68">
        <f t="array" ref="G17">IF($D17,SUMPRODUCT((economics!$AG$2:$AG$167=$B17)*(economics!$D$2:$D$167="process")*economics!$AH$2:$AH$167*_xlfn.NORM.DIST(G$3,economics!$AK$2:$AK$167,economics!$AJ$2:$AJ$167,TRUE)),0)</f>
        <v/>
      </c>
      <c r="H17" s="68">
        <f t="array" ref="H17">IF($D17,SUMPRODUCT((economics!$AG$2:$AG$167=$B17)*(economics!$D$2:$D$167="process")*economics!$AH$2:$AH$167*_xlfn.NORM.DIST(H$3,economics!$AK$2:$AK$167,economics!$AJ$2:$AJ$167,TRUE)),0)</f>
        <v/>
      </c>
      <c r="I17" s="68">
        <f t="array" ref="I17">IF($D17,SUMPRODUCT((economics!$AG$2:$AG$167=$B17)*(economics!$D$2:$D$167="process")*economics!$AH$2:$AH$167*_xlfn.NORM.DIST(I$3,economics!$AK$2:$AK$167,economics!$AJ$2:$AJ$167,TRUE)),0)</f>
        <v/>
      </c>
      <c r="J17" s="68">
        <f t="array" ref="J17">IF($D17,SUMPRODUCT((economics!$AG$2:$AG$167=$B17)*(economics!$D$2:$D$167="process")*economics!$AH$2:$AH$167*_xlfn.NORM.DIST(J$3,economics!$AK$2:$AK$167,economics!$AJ$2:$AJ$167,TRUE)),0)</f>
        <v/>
      </c>
      <c r="K17" s="68">
        <f t="array" ref="K17">IF($D17,SUMPRODUCT((economics!$AG$2:$AG$167=$B17)*(economics!$D$2:$D$167="process")*economics!$AH$2:$AH$167*_xlfn.NORM.DIST(K$3,economics!$AK$2:$AK$167,economics!$AJ$2:$AJ$167,TRUE)),0)</f>
        <v/>
      </c>
      <c r="L17" s="68">
        <f t="array" ref="L17">IF($D17,SUMPRODUCT((economics!$AG$2:$AG$167=$B17)*(economics!$D$2:$D$167="process")*economics!$AH$2:$AH$167*_xlfn.NORM.DIST(L$3,economics!$AK$2:$AK$167,economics!$AJ$2:$AJ$167,TRUE)),0)</f>
        <v/>
      </c>
      <c r="M17" s="68">
        <f t="array" ref="M17">IF($D17,SUMPRODUCT((economics!$AG$2:$AG$167=$B17)*(economics!$D$2:$D$167="process")*economics!$AH$2:$AH$167*_xlfn.NORM.DIST(M$3,economics!$AK$2:$AK$167,economics!$AJ$2:$AJ$167,TRUE)),0)</f>
        <v/>
      </c>
      <c r="N17" s="68">
        <f t="array" ref="N17">IF($D17,SUMPRODUCT((economics!$AG$2:$AG$167=$B17)*(economics!$D$2:$D$167="process")*economics!$AH$2:$AH$167*_xlfn.NORM.DIST(N$3,economics!$AK$2:$AK$167,economics!$AJ$2:$AJ$167,TRUE)),0)</f>
        <v/>
      </c>
      <c r="O17" s="68">
        <f t="array" ref="O17">IF($D17,SUMPRODUCT((economics!$AG$2:$AG$167=$B17)*(economics!$D$2:$D$167="process")*economics!$AH$2:$AH$167*_xlfn.NORM.DIST(O$3,economics!$AK$2:$AK$167,economics!$AJ$2:$AJ$167,TRUE)),0)</f>
        <v/>
      </c>
      <c r="P17" s="68">
        <f t="array" ref="P17">IF($D17,SUMPRODUCT((economics!$AG$2:$AG$167=$B17)*(economics!$D$2:$D$167="process")*economics!$AH$2:$AH$167*_xlfn.NORM.DIST(P$3,economics!$AK$2:$AK$167,economics!$AJ$2:$AJ$167,TRUE)),0)</f>
        <v/>
      </c>
      <c r="Q17" s="68">
        <f t="array" ref="Q17">IF($D17,SUMPRODUCT((economics!$AG$2:$AG$167=$B17)*(economics!$D$2:$D$167="process")*economics!$AH$2:$AH$167*_xlfn.NORM.DIST(Q$3,economics!$AK$2:$AK$167,economics!$AJ$2:$AJ$167,TRUE)),0)</f>
        <v/>
      </c>
      <c r="R17" s="68">
        <f t="array" ref="R17">IF($D17,SUMPRODUCT((economics!$AG$2:$AG$167=$B17)*(economics!$D$2:$D$167="process")*economics!$AH$2:$AH$167*_xlfn.NORM.DIST(R$3,economics!$AK$2:$AK$167,economics!$AJ$2:$AJ$167,TRUE)),0)</f>
        <v/>
      </c>
      <c r="S17" s="68">
        <f t="array" ref="S17">IF($D17,SUMPRODUCT((economics!$AG$2:$AG$167=$B17)*(economics!$D$2:$D$167="process")*economics!$AH$2:$AH$167*_xlfn.NORM.DIST(S$3,economics!$AK$2:$AK$167,economics!$AJ$2:$AJ$167,TRUE)),0)</f>
        <v/>
      </c>
      <c r="T17" s="68">
        <f t="array" ref="T17">IF($D17,SUMPRODUCT((economics!$AG$2:$AG$167=$B17)*(economics!$D$2:$D$167="process")*economics!$AH$2:$AH$167*_xlfn.NORM.DIST(T$3,economics!$AK$2:$AK$167,economics!$AJ$2:$AJ$167,TRUE)),0)</f>
        <v/>
      </c>
      <c r="U17" s="68">
        <f t="array" ref="U17">IF($D17,SUMPRODUCT((economics!$AG$2:$AG$167=$B17)*(economics!$D$2:$D$167="process")*economics!$AH$2:$AH$167*_xlfn.NORM.DIST(U$3,economics!$AK$2:$AK$167,economics!$AJ$2:$AJ$167,TRUE)),0)</f>
        <v/>
      </c>
      <c r="V17" s="68">
        <f t="array" ref="V17">IF($D17,SUMPRODUCT((economics!$AG$2:$AG$167=$B17)*(economics!$D$2:$D$167="process")*economics!$AH$2:$AH$167*_xlfn.NORM.DIST(V$3,economics!$AK$2:$AK$167,economics!$AJ$2:$AJ$167,TRUE)),0)</f>
        <v/>
      </c>
      <c r="W17" s="68">
        <f t="array" ref="W17">IF($D17,SUMPRODUCT((economics!$AG$2:$AG$167=$B17)*(economics!$D$2:$D$167="process")*economics!$AH$2:$AH$167*_xlfn.NORM.DIST(W$3,economics!$AK$2:$AK$167,economics!$AJ$2:$AJ$167,TRUE)),0)</f>
        <v/>
      </c>
      <c r="X17" s="68">
        <f t="array" ref="X17">IF($D17,SUMPRODUCT((economics!$AG$2:$AG$167=$B17)*(economics!$D$2:$D$167="process")*economics!$AH$2:$AH$167*_xlfn.NORM.DIST(X$3,economics!$AK$2:$AK$167,economics!$AJ$2:$AJ$167,TRUE)),0)</f>
        <v/>
      </c>
      <c r="Y17" s="68">
        <f t="array" ref="Y17">IF($D17,SUMPRODUCT((economics!$AG$2:$AG$167=$B17)*(economics!$D$2:$D$167="process")*economics!$AH$2:$AH$167*_xlfn.NORM.DIST(Y$3,economics!$AK$2:$AK$167,economics!$AJ$2:$AJ$167,TRUE)),0)</f>
        <v/>
      </c>
      <c r="Z17" s="68">
        <f t="array" ref="Z17">IF($D17,SUMPRODUCT((economics!$AG$2:$AG$167=$B17)*(economics!$D$2:$D$167="process")*economics!$AH$2:$AH$167*_xlfn.NORM.DIST(Z$3,economics!$AK$2:$AK$167,economics!$AJ$2:$AJ$167,TRUE)),0)</f>
        <v/>
      </c>
      <c r="AA17" s="68">
        <f t="array" ref="AA17">IF($D17,SUMPRODUCT((economics!$AG$2:$AG$167=$B17)*(economics!$D$2:$D$167="process")*economics!$AH$2:$AH$167*_xlfn.NORM.DIST(AA$3,economics!$AK$2:$AK$167,economics!$AJ$2:$AJ$167,TRUE)),0)</f>
        <v/>
      </c>
      <c r="AB17" s="68">
        <f t="array" ref="AB17">IF($D17,SUMPRODUCT((economics!$AG$2:$AG$167=$B17)*(economics!$D$2:$D$167="process")*economics!$AH$2:$AH$167*_xlfn.NORM.DIST(AB$3,economics!$AK$2:$AK$167,economics!$AJ$2:$AJ$167,TRUE)),0)</f>
        <v/>
      </c>
      <c r="AC17" s="68">
        <f t="array" ref="AC17">IF($D17,SUMPRODUCT((economics!$AG$2:$AG$167=$B17)*(economics!$D$2:$D$167="process")*economics!$AH$2:$AH$167*_xlfn.NORM.DIST(AC$3,economics!$AK$2:$AK$167,economics!$AJ$2:$AJ$167,TRUE)),0)</f>
        <v/>
      </c>
      <c r="AD17" s="68">
        <f t="array" ref="AD17">IF($D17,SUMPRODUCT((economics!$AG$2:$AG$167=$B17)*(economics!$D$2:$D$167="process")*economics!$AH$2:$AH$167*_xlfn.NORM.DIST(AD$3,economics!$AK$2:$AK$167,economics!$AJ$2:$AJ$167,TRUE)),0)</f>
        <v/>
      </c>
      <c r="AE17" s="68">
        <f t="array" ref="AE17">IF($D17,SUMPRODUCT((economics!$AG$2:$AG$167=$B17)*(economics!$D$2:$D$167="process")*economics!$AH$2:$AH$167*_xlfn.NORM.DIST(AE$3,economics!$AK$2:$AK$167,economics!$AJ$2:$AJ$167,TRUE)),0)</f>
        <v/>
      </c>
      <c r="AF17" s="68">
        <f t="array" ref="AF17">IF($D17,SUMPRODUCT((economics!$AG$2:$AG$167=$B17)*(economics!$D$2:$D$167="process")*economics!$AH$2:$AH$167*_xlfn.NORM.DIST(AF$3,economics!$AK$2:$AK$167,economics!$AJ$2:$AJ$167,TRUE)),0)</f>
        <v/>
      </c>
      <c r="AG17" s="68">
        <f t="array" ref="AG17">IF($D17,SUMPRODUCT((economics!$AG$2:$AG$167=$B17)*(economics!$D$2:$D$167="process")*economics!$AH$2:$AH$167*_xlfn.NORM.DIST(AG$3,economics!$AK$2:$AK$167,economics!$AJ$2:$AJ$167,TRUE)),0)</f>
        <v/>
      </c>
      <c r="AH17" s="68">
        <f t="array" ref="AH17">IF($D17,SUMPRODUCT((economics!$AG$2:$AG$167=$B17)*(economics!$D$2:$D$167="process")*economics!$AH$2:$AH$167*_xlfn.NORM.DIST(AH$3,economics!$AK$2:$AK$167,economics!$AJ$2:$AJ$167,TRUE)),0)</f>
        <v/>
      </c>
      <c r="AI17" s="68">
        <f t="array" ref="AI17">IF($D17,SUMPRODUCT((economics!$AG$2:$AG$167=$B17)*(economics!$D$2:$D$167="process")*economics!$AH$2:$AH$167*_xlfn.NORM.DIST(AI$3,economics!$AK$2:$AK$167,economics!$AJ$2:$AJ$167,TRUE)),0)</f>
        <v/>
      </c>
      <c r="AJ17" s="68">
        <f t="array" ref="AJ17">IF($D17,SUMPRODUCT((economics!$AG$2:$AG$167=$B17)*(economics!$D$2:$D$167="process")*economics!$AH$2:$AH$167*_xlfn.NORM.DIST(AJ$3,economics!$AK$2:$AK$167,economics!$AJ$2:$AJ$167,TRUE)),0)</f>
        <v/>
      </c>
      <c r="AK17" s="68">
        <f t="array" ref="AK17">IF($D17,SUMPRODUCT((economics!$AG$2:$AG$167=$B17)*(economics!$D$2:$D$167="process")*economics!$AH$2:$AH$167*_xlfn.NORM.DIST(AK$3,economics!$AK$2:$AK$167,economics!$AJ$2:$AJ$167,TRUE)),0)</f>
        <v/>
      </c>
      <c r="AL17" s="68">
        <f t="array" ref="AL17">IF($D17,SUMPRODUCT((economics!$AG$2:$AG$167=$B17)*(economics!$D$2:$D$167="process")*economics!$AH$2:$AH$167*_xlfn.NORM.DIST(AL$3,economics!$AK$2:$AK$167,economics!$AJ$2:$AJ$167,TRUE)),0)</f>
        <v/>
      </c>
      <c r="AM17" s="68">
        <f t="array" ref="AM17">IF($D17,SUMPRODUCT((economics!$AG$2:$AG$167=$B17)*(economics!$D$2:$D$167="process")*economics!$AH$2:$AH$167*_xlfn.NORM.DIST(AM$3,economics!$AK$2:$AK$167,economics!$AJ$2:$AJ$167,TRUE)),0)</f>
        <v/>
      </c>
      <c r="AN17" s="68">
        <f t="array" ref="AN17">IF($D17,SUMPRODUCT((economics!$AG$2:$AG$167=$B17)*(economics!$D$2:$D$167="process")*economics!$AH$2:$AH$167*_xlfn.NORM.DIST(AN$3,economics!$AK$2:$AK$167,economics!$AJ$2:$AJ$167,TRUE)),0)</f>
        <v/>
      </c>
      <c r="AO17" s="68">
        <f t="array" ref="AO17">IF($D17,SUMPRODUCT((economics!$AG$2:$AG$167=$B17)*(economics!$D$2:$D$167="process")*economics!$AH$2:$AH$167*_xlfn.NORM.DIST(AO$3,economics!$AK$2:$AK$167,economics!$AJ$2:$AJ$167,TRUE)),0)</f>
        <v/>
      </c>
      <c r="AP17" s="68">
        <f t="array" ref="AP17">IF($D17,SUMPRODUCT((economics!$AG$2:$AG$167=$B17)*(economics!$D$2:$D$167="process")*economics!$AH$2:$AH$167*_xlfn.NORM.DIST(AP$3,economics!$AK$2:$AK$167,economics!$AJ$2:$AJ$167,TRUE)),0)</f>
        <v/>
      </c>
      <c r="AQ17" s="68">
        <f t="array" ref="AQ17">IF($D17,SUMPRODUCT((economics!$AG$2:$AG$167=$B17)*(economics!$D$2:$D$167="process")*economics!$AH$2:$AH$167*_xlfn.NORM.DIST(AQ$3,economics!$AK$2:$AK$167,economics!$AJ$2:$AJ$167,TRUE)),0)</f>
        <v/>
      </c>
      <c r="AR17" s="68">
        <f t="array" ref="AR17">IF($D17,SUMPRODUCT((economics!$AG$2:$AG$167=$B17)*(economics!$D$2:$D$167="process")*economics!$AH$2:$AH$167*_xlfn.NORM.DIST(AR$3,economics!$AK$2:$AK$167,economics!$AJ$2:$AJ$167,TRUE)),0)</f>
        <v/>
      </c>
      <c r="AS17" s="68">
        <f t="array" ref="AS17">IF($D17,SUMPRODUCT((economics!$AG$2:$AG$167=$B17)*(economics!$D$2:$D$167="process")*economics!$AH$2:$AH$167*_xlfn.NORM.DIST(AS$3,economics!$AK$2:$AK$167,economics!$AJ$2:$AJ$167,TRUE)),0)</f>
        <v/>
      </c>
      <c r="AT17" s="68">
        <f t="array" ref="AT17">IF($D17,SUMPRODUCT((economics!$AG$2:$AG$167=$B17)*(economics!$D$2:$D$167="process")*economics!$AH$2:$AH$167*_xlfn.NORM.DIST(AT$3,economics!$AK$2:$AK$167,economics!$AJ$2:$AJ$167,TRUE)),0)</f>
        <v/>
      </c>
      <c r="AU17" s="68">
        <f t="array" ref="AU17">IF($D17,SUMPRODUCT((economics!$AG$2:$AG$167=$B17)*(economics!$D$2:$D$167="process")*economics!$AH$2:$AH$167*_xlfn.NORM.DIST(AU$3,economics!$AK$2:$AK$167,economics!$AJ$2:$AJ$167,TRUE)),0)</f>
        <v/>
      </c>
      <c r="AV17" s="68">
        <f t="array" ref="AV17">IF($D17,SUMPRODUCT((economics!$AG$2:$AG$167=$B17)*(economics!$D$2:$D$167="process")*economics!$AH$2:$AH$167*_xlfn.NORM.DIST(AV$3,economics!$AK$2:$AK$167,economics!$AJ$2:$AJ$167,TRUE)),0)</f>
        <v/>
      </c>
      <c r="AW17" s="68">
        <f t="array" ref="AW17">IF($D17,SUMPRODUCT((economics!$AG$2:$AG$167=$B17)*(economics!$D$2:$D$167="process")*economics!$AH$2:$AH$167*_xlfn.NORM.DIST(AW$3,economics!$AK$2:$AK$167,economics!$AJ$2:$AJ$167,TRUE)),0)</f>
        <v/>
      </c>
      <c r="AX17" s="68">
        <f t="array" ref="AX17">IF($D17,SUMPRODUCT((economics!$AG$2:$AG$167=$B17)*(economics!$D$2:$D$167="process")*economics!$AH$2:$AH$167*_xlfn.NORM.DIST(AX$3,economics!$AK$2:$AK$167,economics!$AJ$2:$AJ$167,TRUE)),0)</f>
        <v/>
      </c>
      <c r="AY17" s="68">
        <f t="array" ref="AY17">IF($D17,SUMPRODUCT((economics!$AG$2:$AG$167=$B17)*(economics!$D$2:$D$167="process")*economics!$AH$2:$AH$167*_xlfn.NORM.DIST(AY$3,economics!$AK$2:$AK$167,economics!$AJ$2:$AJ$167,TRUE)),0)</f>
        <v/>
      </c>
      <c r="AZ17" s="68">
        <f t="array" ref="AZ17">IF($D17,SUMPRODUCT((economics!$AG$2:$AG$167=$B17)*(economics!$D$2:$D$167="process")*economics!$AH$2:$AH$167*_xlfn.NORM.DIST(AZ$3,economics!$AK$2:$AK$167,economics!$AJ$2:$AJ$167,TRUE)),0)</f>
        <v/>
      </c>
      <c r="BA17" s="68">
        <f t="array" ref="BA17">IF($D17,SUMPRODUCT((economics!$AG$2:$AG$167=$B17)*(economics!$D$2:$D$167="process")*economics!$AH$2:$AH$167*_xlfn.NORM.DIST(BA$3,economics!$AK$2:$AK$167,economics!$AJ$2:$AJ$167,TRUE)),0)</f>
        <v/>
      </c>
      <c r="BB17" s="68">
        <f t="array" ref="BB17">IF($D17,SUMPRODUCT((economics!$AG$2:$AG$167=$B17)*(economics!$D$2:$D$167="process")*economics!$AH$2:$AH$167*_xlfn.NORM.DIST(BB$3,economics!$AK$2:$AK$167,economics!$AJ$2:$AJ$167,TRUE)),0)</f>
        <v/>
      </c>
      <c r="BC17" s="68">
        <f t="array" ref="BC17">IF($D17,SUMPRODUCT((economics!$AG$2:$AG$167=$B17)*(economics!$D$2:$D$167="process")*economics!$AH$2:$AH$167*_xlfn.NORM.DIST(BC$3,economics!$AK$2:$AK$167,economics!$AJ$2:$AJ$167,TRUE)),0)</f>
        <v/>
      </c>
      <c r="BD17" s="68">
        <f t="array" ref="BD17">IF($D17,SUMPRODUCT((economics!$AG$2:$AG$167=$B17)*(economics!$D$2:$D$167="process")*economics!$AH$2:$AH$167*_xlfn.NORM.DIST(BD$3,economics!$AK$2:$AK$167,economics!$AJ$2:$AJ$167,TRUE)),0)</f>
        <v/>
      </c>
      <c r="BE17" s="68">
        <f t="array" ref="BE17">IF($D17,SUMPRODUCT((economics!$AG$2:$AG$167=$B17)*(economics!$D$2:$D$167="process")*economics!$AH$2:$AH$167*_xlfn.NORM.DIST(BE$3,economics!$AK$2:$AK$167,economics!$AJ$2:$AJ$167,TRUE)),0)</f>
        <v/>
      </c>
      <c r="BF17" s="68">
        <f t="array" ref="BF17">IF($D17,SUMPRODUCT((economics!$AG$2:$AG$167=$B17)*(economics!$D$2:$D$167="process")*economics!$AH$2:$AH$167*_xlfn.NORM.DIST(BF$3,economics!$AK$2:$AK$167,economics!$AJ$2:$AJ$167,TRUE)),0)</f>
        <v/>
      </c>
      <c r="BG17" s="68">
        <f t="array" ref="BG17">IF($D17,SUMPRODUCT((economics!$AG$2:$AG$167=$B17)*(economics!$D$2:$D$167="process")*economics!$AH$2:$AH$167*_xlfn.NORM.DIST(BG$3,economics!$AK$2:$AK$167,economics!$AJ$2:$AJ$167,TRUE)),0)</f>
        <v/>
      </c>
      <c r="BH17" s="68">
        <f t="array" ref="BH17">IF($D17,SUMPRODUCT((economics!$AG$2:$AG$167=$B17)*(economics!$D$2:$D$167="process")*economics!$AH$2:$AH$167*_xlfn.NORM.DIST(BH$3,economics!$AK$2:$AK$167,economics!$AJ$2:$AJ$167,TRUE)),0)</f>
        <v/>
      </c>
      <c r="BI17" s="68">
        <f t="array" ref="BI17">IF($D17,SUMPRODUCT((economics!$AG$2:$AG$167=$B17)*(economics!$D$2:$D$167="process")*economics!$AH$2:$AH$167*_xlfn.NORM.DIST(BI$3,economics!$AK$2:$AK$167,economics!$AJ$2:$AJ$167,TRUE)),0)</f>
        <v/>
      </c>
      <c r="BJ17" s="68">
        <f t="array" ref="BJ17">IF($D17,SUMPRODUCT((economics!$AG$2:$AG$167=$B17)*(economics!$D$2:$D$167="process")*economics!$AH$2:$AH$167*_xlfn.NORM.DIST(BJ$3,economics!$AK$2:$AK$167,economics!$AJ$2:$AJ$167,TRUE)),0)</f>
        <v/>
      </c>
      <c r="BK17" s="68">
        <f t="array" ref="BK17">IF($D17,SUMPRODUCT((economics!$AG$2:$AG$167=$B17)*(economics!$D$2:$D$167="process")*economics!$AH$2:$AH$167*_xlfn.NORM.DIST(BK$3,economics!$AK$2:$AK$167,economics!$AJ$2:$AJ$167,TRUE)),0)</f>
        <v/>
      </c>
      <c r="BL17" s="68">
        <f t="array" ref="BL17">IF($D17,SUMPRODUCT((economics!$AG$2:$AG$167=$B17)*(economics!$D$2:$D$167="process")*economics!$AH$2:$AH$167*_xlfn.NORM.DIST(BL$3,economics!$AK$2:$AK$167,economics!$AJ$2:$AJ$167,TRUE)),0)</f>
        <v/>
      </c>
      <c r="BM17" s="68">
        <f t="array" ref="BM17">IF($D17,SUMPRODUCT((economics!$AG$2:$AG$167=$B17)*(economics!$D$2:$D$167="process")*economics!$AH$2:$AH$167*_xlfn.NORM.DIST(BM$3,economics!$AK$2:$AK$167,economics!$AJ$2:$AJ$167,TRUE)),0)</f>
        <v/>
      </c>
      <c r="BN17" s="68">
        <f t="array" ref="BN17">IF($D17,SUMPRODUCT((economics!$AG$2:$AG$167=$B17)*(economics!$D$2:$D$167="process")*economics!$AH$2:$AH$167*_xlfn.NORM.DIST(BN$3,economics!$AK$2:$AK$167,economics!$AJ$2:$AJ$167,TRUE)),0)</f>
        <v/>
      </c>
      <c r="BO17" s="68">
        <f t="array" ref="BO17">IF($D17,SUMPRODUCT((economics!$AG$2:$AG$167=$B17)*(economics!$D$2:$D$167="process")*economics!$AH$2:$AH$167*_xlfn.NORM.DIST(BO$3,economics!$AK$2:$AK$167,economics!$AJ$2:$AJ$167,TRUE)),0)</f>
        <v/>
      </c>
      <c r="BP17" s="68">
        <f t="array" ref="BP17">IF($D17,SUMPRODUCT((economics!$AG$2:$AG$167=$B17)*(economics!$D$2:$D$167="process")*economics!$AH$2:$AH$167*_xlfn.NORM.DIST(BP$3,economics!$AK$2:$AK$167,economics!$AJ$2:$AJ$167,TRUE)),0)</f>
        <v/>
      </c>
      <c r="BQ17" s="68">
        <f t="array" ref="BQ17">IF($D17,SUMPRODUCT((economics!$AG$2:$AG$167=$B17)*(economics!$D$2:$D$167="process")*economics!$AH$2:$AH$167*_xlfn.NORM.DIST(BQ$3,economics!$AK$2:$AK$167,economics!$AJ$2:$AJ$167,TRUE)),0)</f>
        <v/>
      </c>
      <c r="BR17" s="68">
        <f t="array" ref="BR17">IF($D17,SUMPRODUCT((economics!$AG$2:$AG$167=$B17)*(economics!$D$2:$D$167="process")*economics!$AH$2:$AH$167*_xlfn.NORM.DIST(BR$3,economics!$AK$2:$AK$167,economics!$AJ$2:$AJ$167,TRUE)),0)</f>
        <v/>
      </c>
      <c r="BS17" s="68">
        <f t="array" ref="BS17">IF($D17,SUMPRODUCT((economics!$AG$2:$AG$167=$B17)*(economics!$D$2:$D$167="process")*economics!$AH$2:$AH$167*_xlfn.NORM.DIST(BS$3,economics!$AK$2:$AK$167,economics!$AJ$2:$AJ$167,TRUE)),0)</f>
        <v/>
      </c>
      <c r="BT17" s="68">
        <f t="array" ref="BT17">IF($D17,SUMPRODUCT((economics!$AG$2:$AG$167=$B17)*(economics!$D$2:$D$167="process")*economics!$AH$2:$AH$167*_xlfn.NORM.DIST(BT$3,economics!$AK$2:$AK$167,economics!$AJ$2:$AJ$167,TRUE)),0)</f>
        <v/>
      </c>
      <c r="BU17" s="68">
        <f t="array" ref="BU17">IF($D17,SUMPRODUCT((economics!$AG$2:$AG$167=$B17)*(economics!$D$2:$D$167="process")*economics!$AH$2:$AH$167*_xlfn.NORM.DIST(BU$3,economics!$AK$2:$AK$167,economics!$AJ$2:$AJ$167,TRUE)),0)</f>
        <v/>
      </c>
      <c r="BV17" s="68">
        <f t="array" ref="BV17">IF($D17,SUMPRODUCT((economics!$AG$2:$AG$167=$B17)*(economics!$D$2:$D$167="process")*economics!$AH$2:$AH$167*_xlfn.NORM.DIST(BV$3,economics!$AK$2:$AK$167,economics!$AJ$2:$AJ$167,TRUE)),0)</f>
        <v/>
      </c>
      <c r="BW17" s="68">
        <f t="array" ref="BW17">IF($D17,SUMPRODUCT((economics!$AG$2:$AG$167=$B17)*(economics!$D$2:$D$167="process")*economics!$AH$2:$AH$167*_xlfn.NORM.DIST(BW$3,economics!$AK$2:$AK$167,economics!$AJ$2:$AJ$167,TRUE)),0)</f>
        <v/>
      </c>
      <c r="BX17" s="68">
        <f t="array" ref="BX17">IF($D17,SUMPRODUCT((economics!$AG$2:$AG$167=$B17)*(economics!$D$2:$D$167="process")*economics!$AH$2:$AH$167*_xlfn.NORM.DIST(BX$3,economics!$AK$2:$AK$167,economics!$AJ$2:$AJ$167,TRUE)),0)</f>
        <v/>
      </c>
      <c r="BY17" s="68">
        <f t="array" ref="BY17">IF($D17,SUMPRODUCT((economics!$AG$2:$AG$167=$B17)*(economics!$D$2:$D$167="process")*economics!$AH$2:$AH$167*_xlfn.NORM.DIST(BY$3,economics!$AK$2:$AK$167,economics!$AJ$2:$AJ$167,TRUE)),0)</f>
        <v/>
      </c>
      <c r="BZ17" s="68">
        <f t="array" ref="BZ17">IF($D17,SUMPRODUCT((economics!$AG$2:$AG$167=$B17)*(economics!$D$2:$D$167="process")*economics!$AH$2:$AH$167*_xlfn.NORM.DIST(BZ$3,economics!$AK$2:$AK$167,economics!$AJ$2:$AJ$167,TRUE)),0)</f>
        <v/>
      </c>
      <c r="CA17" s="68">
        <f t="array" ref="CA17">IF($D17,SUMPRODUCT((economics!$AG$2:$AG$167=$B17)*(economics!$D$2:$D$167="process")*economics!$AH$2:$AH$167*_xlfn.NORM.DIST(CA$3,economics!$AK$2:$AK$167,economics!$AJ$2:$AJ$167,TRUE)),0)</f>
        <v/>
      </c>
      <c r="CB17" s="68">
        <f t="array" ref="CB17">IF($D17,SUMPRODUCT((economics!$AG$2:$AG$167=$B17)*(economics!$D$2:$D$167="process")*economics!$AH$2:$AH$167*_xlfn.NORM.DIST(CB$3,economics!$AK$2:$AK$167,economics!$AJ$2:$AJ$167,TRUE)),0)</f>
        <v/>
      </c>
      <c r="CC17" s="68">
        <f t="array" ref="CC17">IF($D17,SUMPRODUCT((economics!$AG$2:$AG$167=$B17)*(economics!$D$2:$D$167="process")*economics!$AH$2:$AH$167*_xlfn.NORM.DIST(CC$3,economics!$AK$2:$AK$167,economics!$AJ$2:$AJ$167,TRUE)),0)</f>
        <v/>
      </c>
      <c r="CD17" s="68">
        <f t="array" ref="CD17">IF($D17,SUMPRODUCT((economics!$AG$2:$AG$167=$B17)*(economics!$D$2:$D$167="process")*economics!$AH$2:$AH$167*_xlfn.NORM.DIST(CD$3,economics!$AK$2:$AK$167,economics!$AJ$2:$AJ$167,TRUE)),0)</f>
        <v/>
      </c>
      <c r="CE17" s="68">
        <f t="array" ref="CE17">IF($D17,SUMPRODUCT((economics!$AG$2:$AG$167=$B17)*(economics!$D$2:$D$167="process")*economics!$AH$2:$AH$167*_xlfn.NORM.DIST(CE$3,economics!$AK$2:$AK$167,economics!$AJ$2:$AJ$167,TRUE)),0)</f>
        <v/>
      </c>
      <c r="CF17" s="68">
        <f t="array" ref="CF17">IF($D17,SUMPRODUCT((economics!$AG$2:$AG$167=$B17)*(economics!$D$2:$D$167="process")*economics!$AH$2:$AH$167*_xlfn.NORM.DIST(CF$3,economics!$AK$2:$AK$167,economics!$AJ$2:$AJ$167,TRUE)),0)</f>
        <v/>
      </c>
      <c r="CG17" s="68">
        <f t="array" ref="CG17">IF($D17,SUMPRODUCT((economics!$AG$2:$AG$167=$B17)*(economics!$D$2:$D$167="process")*economics!$AH$2:$AH$167*_xlfn.NORM.DIST(CG$3,economics!$AK$2:$AK$167,economics!$AJ$2:$AJ$167,TRUE)),0)</f>
        <v/>
      </c>
      <c r="CH17" s="68">
        <f t="array" ref="CH17">IF($D17,SUMPRODUCT((economics!$AG$2:$AG$167=$B17)*(economics!$D$2:$D$167="process")*economics!$AH$2:$AH$167*_xlfn.NORM.DIST(CH$3,economics!$AK$2:$AK$167,economics!$AJ$2:$AJ$167,TRUE)),0)</f>
        <v/>
      </c>
    </row>
    <row r="18">
      <c r="A18">
        <f>WHRPbI!A16</f>
        <v/>
      </c>
      <c r="B18" t="n">
        <v>242</v>
      </c>
      <c r="C18" s="68">
        <f>WHRPbI!B16</f>
        <v/>
      </c>
      <c r="D18">
        <f>ISNUMBER(MATCH($B18,'energy base (MECS)'!$K$4:$K$9,0))</f>
        <v/>
      </c>
      <c r="E18" s="68">
        <f t="array" ref="E18">IF($D18,SUMPRODUCT((economics!$AG$2:$AG$167=$B18)*(economics!$D$2:$D$167="process")*economics!$AH$2:$AH$167*_xlfn.NORM.DIST(E$3,economics!$AK$2:$AK$167,economics!$AJ$2:$AJ$167,TRUE)),0)</f>
        <v/>
      </c>
      <c r="F18" s="68">
        <f t="array" ref="F18">IF($D18,SUMPRODUCT((economics!$AG$2:$AG$167=$B18)*(economics!$D$2:$D$167="process")*economics!$AH$2:$AH$167*_xlfn.NORM.DIST(F$3,economics!$AK$2:$AK$167,economics!$AJ$2:$AJ$167,TRUE)),0)</f>
        <v/>
      </c>
      <c r="G18" s="68">
        <f t="array" ref="G18">IF($D18,SUMPRODUCT((economics!$AG$2:$AG$167=$B18)*(economics!$D$2:$D$167="process")*economics!$AH$2:$AH$167*_xlfn.NORM.DIST(G$3,economics!$AK$2:$AK$167,economics!$AJ$2:$AJ$167,TRUE)),0)</f>
        <v/>
      </c>
      <c r="H18" s="68">
        <f t="array" ref="H18">IF($D18,SUMPRODUCT((economics!$AG$2:$AG$167=$B18)*(economics!$D$2:$D$167="process")*economics!$AH$2:$AH$167*_xlfn.NORM.DIST(H$3,economics!$AK$2:$AK$167,economics!$AJ$2:$AJ$167,TRUE)),0)</f>
        <v/>
      </c>
      <c r="I18" s="68">
        <f t="array" ref="I18">IF($D18,SUMPRODUCT((economics!$AG$2:$AG$167=$B18)*(economics!$D$2:$D$167="process")*economics!$AH$2:$AH$167*_xlfn.NORM.DIST(I$3,economics!$AK$2:$AK$167,economics!$AJ$2:$AJ$167,TRUE)),0)</f>
        <v/>
      </c>
      <c r="J18" s="68">
        <f t="array" ref="J18">IF($D18,SUMPRODUCT((economics!$AG$2:$AG$167=$B18)*(economics!$D$2:$D$167="process")*economics!$AH$2:$AH$167*_xlfn.NORM.DIST(J$3,economics!$AK$2:$AK$167,economics!$AJ$2:$AJ$167,TRUE)),0)</f>
        <v/>
      </c>
      <c r="K18" s="68">
        <f t="array" ref="K18">IF($D18,SUMPRODUCT((economics!$AG$2:$AG$167=$B18)*(economics!$D$2:$D$167="process")*economics!$AH$2:$AH$167*_xlfn.NORM.DIST(K$3,economics!$AK$2:$AK$167,economics!$AJ$2:$AJ$167,TRUE)),0)</f>
        <v/>
      </c>
      <c r="L18" s="68">
        <f t="array" ref="L18">IF($D18,SUMPRODUCT((economics!$AG$2:$AG$167=$B18)*(economics!$D$2:$D$167="process")*economics!$AH$2:$AH$167*_xlfn.NORM.DIST(L$3,economics!$AK$2:$AK$167,economics!$AJ$2:$AJ$167,TRUE)),0)</f>
        <v/>
      </c>
      <c r="M18" s="68">
        <f t="array" ref="M18">IF($D18,SUMPRODUCT((economics!$AG$2:$AG$167=$B18)*(economics!$D$2:$D$167="process")*economics!$AH$2:$AH$167*_xlfn.NORM.DIST(M$3,economics!$AK$2:$AK$167,economics!$AJ$2:$AJ$167,TRUE)),0)</f>
        <v/>
      </c>
      <c r="N18" s="68">
        <f t="array" ref="N18">IF($D18,SUMPRODUCT((economics!$AG$2:$AG$167=$B18)*(economics!$D$2:$D$167="process")*economics!$AH$2:$AH$167*_xlfn.NORM.DIST(N$3,economics!$AK$2:$AK$167,economics!$AJ$2:$AJ$167,TRUE)),0)</f>
        <v/>
      </c>
      <c r="O18" s="68">
        <f t="array" ref="O18">IF($D18,SUMPRODUCT((economics!$AG$2:$AG$167=$B18)*(economics!$D$2:$D$167="process")*economics!$AH$2:$AH$167*_xlfn.NORM.DIST(O$3,economics!$AK$2:$AK$167,economics!$AJ$2:$AJ$167,TRUE)),0)</f>
        <v/>
      </c>
      <c r="P18" s="68">
        <f t="array" ref="P18">IF($D18,SUMPRODUCT((economics!$AG$2:$AG$167=$B18)*(economics!$D$2:$D$167="process")*economics!$AH$2:$AH$167*_xlfn.NORM.DIST(P$3,economics!$AK$2:$AK$167,economics!$AJ$2:$AJ$167,TRUE)),0)</f>
        <v/>
      </c>
      <c r="Q18" s="68">
        <f t="array" ref="Q18">IF($D18,SUMPRODUCT((economics!$AG$2:$AG$167=$B18)*(economics!$D$2:$D$167="process")*economics!$AH$2:$AH$167*_xlfn.NORM.DIST(Q$3,economics!$AK$2:$AK$167,economics!$AJ$2:$AJ$167,TRUE)),0)</f>
        <v/>
      </c>
      <c r="R18" s="68">
        <f t="array" ref="R18">IF($D18,SUMPRODUCT((economics!$AG$2:$AG$167=$B18)*(economics!$D$2:$D$167="process")*economics!$AH$2:$AH$167*_xlfn.NORM.DIST(R$3,economics!$AK$2:$AK$167,economics!$AJ$2:$AJ$167,TRUE)),0)</f>
        <v/>
      </c>
      <c r="S18" s="68">
        <f t="array" ref="S18">IF($D18,SUMPRODUCT((economics!$AG$2:$AG$167=$B18)*(economics!$D$2:$D$167="process")*economics!$AH$2:$AH$167*_xlfn.NORM.DIST(S$3,economics!$AK$2:$AK$167,economics!$AJ$2:$AJ$167,TRUE)),0)</f>
        <v/>
      </c>
      <c r="T18" s="68">
        <f t="array" ref="T18">IF($D18,SUMPRODUCT((economics!$AG$2:$AG$167=$B18)*(economics!$D$2:$D$167="process")*economics!$AH$2:$AH$167*_xlfn.NORM.DIST(T$3,economics!$AK$2:$AK$167,economics!$AJ$2:$AJ$167,TRUE)),0)</f>
        <v/>
      </c>
      <c r="U18" s="68">
        <f t="array" ref="U18">IF($D18,SUMPRODUCT((economics!$AG$2:$AG$167=$B18)*(economics!$D$2:$D$167="process")*economics!$AH$2:$AH$167*_xlfn.NORM.DIST(U$3,economics!$AK$2:$AK$167,economics!$AJ$2:$AJ$167,TRUE)),0)</f>
        <v/>
      </c>
      <c r="V18" s="68">
        <f t="array" ref="V18">IF($D18,SUMPRODUCT((economics!$AG$2:$AG$167=$B18)*(economics!$D$2:$D$167="process")*economics!$AH$2:$AH$167*_xlfn.NORM.DIST(V$3,economics!$AK$2:$AK$167,economics!$AJ$2:$AJ$167,TRUE)),0)</f>
        <v/>
      </c>
      <c r="W18" s="68">
        <f t="array" ref="W18">IF($D18,SUMPRODUCT((economics!$AG$2:$AG$167=$B18)*(economics!$D$2:$D$167="process")*economics!$AH$2:$AH$167*_xlfn.NORM.DIST(W$3,economics!$AK$2:$AK$167,economics!$AJ$2:$AJ$167,TRUE)),0)</f>
        <v/>
      </c>
      <c r="X18" s="68">
        <f t="array" ref="X18">IF($D18,SUMPRODUCT((economics!$AG$2:$AG$167=$B18)*(economics!$D$2:$D$167="process")*economics!$AH$2:$AH$167*_xlfn.NORM.DIST(X$3,economics!$AK$2:$AK$167,economics!$AJ$2:$AJ$167,TRUE)),0)</f>
        <v/>
      </c>
      <c r="Y18" s="68">
        <f t="array" ref="Y18">IF($D18,SUMPRODUCT((economics!$AG$2:$AG$167=$B18)*(economics!$D$2:$D$167="process")*economics!$AH$2:$AH$167*_xlfn.NORM.DIST(Y$3,economics!$AK$2:$AK$167,economics!$AJ$2:$AJ$167,TRUE)),0)</f>
        <v/>
      </c>
      <c r="Z18" s="68">
        <f t="array" ref="Z18">IF($D18,SUMPRODUCT((economics!$AG$2:$AG$167=$B18)*(economics!$D$2:$D$167="process")*economics!$AH$2:$AH$167*_xlfn.NORM.DIST(Z$3,economics!$AK$2:$AK$167,economics!$AJ$2:$AJ$167,TRUE)),0)</f>
        <v/>
      </c>
      <c r="AA18" s="68">
        <f t="array" ref="AA18">IF($D18,SUMPRODUCT((economics!$AG$2:$AG$167=$B18)*(economics!$D$2:$D$167="process")*economics!$AH$2:$AH$167*_xlfn.NORM.DIST(AA$3,economics!$AK$2:$AK$167,economics!$AJ$2:$AJ$167,TRUE)),0)</f>
        <v/>
      </c>
      <c r="AB18" s="68">
        <f t="array" ref="AB18">IF($D18,SUMPRODUCT((economics!$AG$2:$AG$167=$B18)*(economics!$D$2:$D$167="process")*economics!$AH$2:$AH$167*_xlfn.NORM.DIST(AB$3,economics!$AK$2:$AK$167,economics!$AJ$2:$AJ$167,TRUE)),0)</f>
        <v/>
      </c>
      <c r="AC18" s="68">
        <f t="array" ref="AC18">IF($D18,SUMPRODUCT((economics!$AG$2:$AG$167=$B18)*(economics!$D$2:$D$167="process")*economics!$AH$2:$AH$167*_xlfn.NORM.DIST(AC$3,economics!$AK$2:$AK$167,economics!$AJ$2:$AJ$167,TRUE)),0)</f>
        <v/>
      </c>
      <c r="AD18" s="68">
        <f t="array" ref="AD18">IF($D18,SUMPRODUCT((economics!$AG$2:$AG$167=$B18)*(economics!$D$2:$D$167="process")*economics!$AH$2:$AH$167*_xlfn.NORM.DIST(AD$3,economics!$AK$2:$AK$167,economics!$AJ$2:$AJ$167,TRUE)),0)</f>
        <v/>
      </c>
      <c r="AE18" s="68">
        <f t="array" ref="AE18">IF($D18,SUMPRODUCT((economics!$AG$2:$AG$167=$B18)*(economics!$D$2:$D$167="process")*economics!$AH$2:$AH$167*_xlfn.NORM.DIST(AE$3,economics!$AK$2:$AK$167,economics!$AJ$2:$AJ$167,TRUE)),0)</f>
        <v/>
      </c>
      <c r="AF18" s="68">
        <f t="array" ref="AF18">IF($D18,SUMPRODUCT((economics!$AG$2:$AG$167=$B18)*(economics!$D$2:$D$167="process")*economics!$AH$2:$AH$167*_xlfn.NORM.DIST(AF$3,economics!$AK$2:$AK$167,economics!$AJ$2:$AJ$167,TRUE)),0)</f>
        <v/>
      </c>
      <c r="AG18" s="68">
        <f t="array" ref="AG18">IF($D18,SUMPRODUCT((economics!$AG$2:$AG$167=$B18)*(economics!$D$2:$D$167="process")*economics!$AH$2:$AH$167*_xlfn.NORM.DIST(AG$3,economics!$AK$2:$AK$167,economics!$AJ$2:$AJ$167,TRUE)),0)</f>
        <v/>
      </c>
      <c r="AH18" s="68">
        <f t="array" ref="AH18">IF($D18,SUMPRODUCT((economics!$AG$2:$AG$167=$B18)*(economics!$D$2:$D$167="process")*economics!$AH$2:$AH$167*_xlfn.NORM.DIST(AH$3,economics!$AK$2:$AK$167,economics!$AJ$2:$AJ$167,TRUE)),0)</f>
        <v/>
      </c>
      <c r="AI18" s="68">
        <f t="array" ref="AI18">IF($D18,SUMPRODUCT((economics!$AG$2:$AG$167=$B18)*(economics!$D$2:$D$167="process")*economics!$AH$2:$AH$167*_xlfn.NORM.DIST(AI$3,economics!$AK$2:$AK$167,economics!$AJ$2:$AJ$167,TRUE)),0)</f>
        <v/>
      </c>
      <c r="AJ18" s="68">
        <f t="array" ref="AJ18">IF($D18,SUMPRODUCT((economics!$AG$2:$AG$167=$B18)*(economics!$D$2:$D$167="process")*economics!$AH$2:$AH$167*_xlfn.NORM.DIST(AJ$3,economics!$AK$2:$AK$167,economics!$AJ$2:$AJ$167,TRUE)),0)</f>
        <v/>
      </c>
      <c r="AK18" s="68">
        <f t="array" ref="AK18">IF($D18,SUMPRODUCT((economics!$AG$2:$AG$167=$B18)*(economics!$D$2:$D$167="process")*economics!$AH$2:$AH$167*_xlfn.NORM.DIST(AK$3,economics!$AK$2:$AK$167,economics!$AJ$2:$AJ$167,TRUE)),0)</f>
        <v/>
      </c>
      <c r="AL18" s="68">
        <f t="array" ref="AL18">IF($D18,SUMPRODUCT((economics!$AG$2:$AG$167=$B18)*(economics!$D$2:$D$167="process")*economics!$AH$2:$AH$167*_xlfn.NORM.DIST(AL$3,economics!$AK$2:$AK$167,economics!$AJ$2:$AJ$167,TRUE)),0)</f>
        <v/>
      </c>
      <c r="AM18" s="68">
        <f t="array" ref="AM18">IF($D18,SUMPRODUCT((economics!$AG$2:$AG$167=$B18)*(economics!$D$2:$D$167="process")*economics!$AH$2:$AH$167*_xlfn.NORM.DIST(AM$3,economics!$AK$2:$AK$167,economics!$AJ$2:$AJ$167,TRUE)),0)</f>
        <v/>
      </c>
      <c r="AN18" s="68">
        <f t="array" ref="AN18">IF($D18,SUMPRODUCT((economics!$AG$2:$AG$167=$B18)*(economics!$D$2:$D$167="process")*economics!$AH$2:$AH$167*_xlfn.NORM.DIST(AN$3,economics!$AK$2:$AK$167,economics!$AJ$2:$AJ$167,TRUE)),0)</f>
        <v/>
      </c>
      <c r="AO18" s="68">
        <f t="array" ref="AO18">IF($D18,SUMPRODUCT((economics!$AG$2:$AG$167=$B18)*(economics!$D$2:$D$167="process")*economics!$AH$2:$AH$167*_xlfn.NORM.DIST(AO$3,economics!$AK$2:$AK$167,economics!$AJ$2:$AJ$167,TRUE)),0)</f>
        <v/>
      </c>
      <c r="AP18" s="68">
        <f t="array" ref="AP18">IF($D18,SUMPRODUCT((economics!$AG$2:$AG$167=$B18)*(economics!$D$2:$D$167="process")*economics!$AH$2:$AH$167*_xlfn.NORM.DIST(AP$3,economics!$AK$2:$AK$167,economics!$AJ$2:$AJ$167,TRUE)),0)</f>
        <v/>
      </c>
      <c r="AQ18" s="68">
        <f t="array" ref="AQ18">IF($D18,SUMPRODUCT((economics!$AG$2:$AG$167=$B18)*(economics!$D$2:$D$167="process")*economics!$AH$2:$AH$167*_xlfn.NORM.DIST(AQ$3,economics!$AK$2:$AK$167,economics!$AJ$2:$AJ$167,TRUE)),0)</f>
        <v/>
      </c>
      <c r="AR18" s="68">
        <f t="array" ref="AR18">IF($D18,SUMPRODUCT((economics!$AG$2:$AG$167=$B18)*(economics!$D$2:$D$167="process")*economics!$AH$2:$AH$167*_xlfn.NORM.DIST(AR$3,economics!$AK$2:$AK$167,economics!$AJ$2:$AJ$167,TRUE)),0)</f>
        <v/>
      </c>
      <c r="AS18" s="68">
        <f t="array" ref="AS18">IF($D18,SUMPRODUCT((economics!$AG$2:$AG$167=$B18)*(economics!$D$2:$D$167="process")*economics!$AH$2:$AH$167*_xlfn.NORM.DIST(AS$3,economics!$AK$2:$AK$167,economics!$AJ$2:$AJ$167,TRUE)),0)</f>
        <v/>
      </c>
      <c r="AT18" s="68">
        <f t="array" ref="AT18">IF($D18,SUMPRODUCT((economics!$AG$2:$AG$167=$B18)*(economics!$D$2:$D$167="process")*economics!$AH$2:$AH$167*_xlfn.NORM.DIST(AT$3,economics!$AK$2:$AK$167,economics!$AJ$2:$AJ$167,TRUE)),0)</f>
        <v/>
      </c>
      <c r="AU18" s="68">
        <f t="array" ref="AU18">IF($D18,SUMPRODUCT((economics!$AG$2:$AG$167=$B18)*(economics!$D$2:$D$167="process")*economics!$AH$2:$AH$167*_xlfn.NORM.DIST(AU$3,economics!$AK$2:$AK$167,economics!$AJ$2:$AJ$167,TRUE)),0)</f>
        <v/>
      </c>
      <c r="AV18" s="68">
        <f t="array" ref="AV18">IF($D18,SUMPRODUCT((economics!$AG$2:$AG$167=$B18)*(economics!$D$2:$D$167="process")*economics!$AH$2:$AH$167*_xlfn.NORM.DIST(AV$3,economics!$AK$2:$AK$167,economics!$AJ$2:$AJ$167,TRUE)),0)</f>
        <v/>
      </c>
      <c r="AW18" s="68">
        <f t="array" ref="AW18">IF($D18,SUMPRODUCT((economics!$AG$2:$AG$167=$B18)*(economics!$D$2:$D$167="process")*economics!$AH$2:$AH$167*_xlfn.NORM.DIST(AW$3,economics!$AK$2:$AK$167,economics!$AJ$2:$AJ$167,TRUE)),0)</f>
        <v/>
      </c>
      <c r="AX18" s="68">
        <f t="array" ref="AX18">IF($D18,SUMPRODUCT((economics!$AG$2:$AG$167=$B18)*(economics!$D$2:$D$167="process")*economics!$AH$2:$AH$167*_xlfn.NORM.DIST(AX$3,economics!$AK$2:$AK$167,economics!$AJ$2:$AJ$167,TRUE)),0)</f>
        <v/>
      </c>
      <c r="AY18" s="68">
        <f t="array" ref="AY18">IF($D18,SUMPRODUCT((economics!$AG$2:$AG$167=$B18)*(economics!$D$2:$D$167="process")*economics!$AH$2:$AH$167*_xlfn.NORM.DIST(AY$3,economics!$AK$2:$AK$167,economics!$AJ$2:$AJ$167,TRUE)),0)</f>
        <v/>
      </c>
      <c r="AZ18" s="68">
        <f t="array" ref="AZ18">IF($D18,SUMPRODUCT((economics!$AG$2:$AG$167=$B18)*(economics!$D$2:$D$167="process")*economics!$AH$2:$AH$167*_xlfn.NORM.DIST(AZ$3,economics!$AK$2:$AK$167,economics!$AJ$2:$AJ$167,TRUE)),0)</f>
        <v/>
      </c>
      <c r="BA18" s="68">
        <f t="array" ref="BA18">IF($D18,SUMPRODUCT((economics!$AG$2:$AG$167=$B18)*(economics!$D$2:$D$167="process")*economics!$AH$2:$AH$167*_xlfn.NORM.DIST(BA$3,economics!$AK$2:$AK$167,economics!$AJ$2:$AJ$167,TRUE)),0)</f>
        <v/>
      </c>
      <c r="BB18" s="68">
        <f t="array" ref="BB18">IF($D18,SUMPRODUCT((economics!$AG$2:$AG$167=$B18)*(economics!$D$2:$D$167="process")*economics!$AH$2:$AH$167*_xlfn.NORM.DIST(BB$3,economics!$AK$2:$AK$167,economics!$AJ$2:$AJ$167,TRUE)),0)</f>
        <v/>
      </c>
      <c r="BC18" s="68">
        <f t="array" ref="BC18">IF($D18,SUMPRODUCT((economics!$AG$2:$AG$167=$B18)*(economics!$D$2:$D$167="process")*economics!$AH$2:$AH$167*_xlfn.NORM.DIST(BC$3,economics!$AK$2:$AK$167,economics!$AJ$2:$AJ$167,TRUE)),0)</f>
        <v/>
      </c>
      <c r="BD18" s="68">
        <f t="array" ref="BD18">IF($D18,SUMPRODUCT((economics!$AG$2:$AG$167=$B18)*(economics!$D$2:$D$167="process")*economics!$AH$2:$AH$167*_xlfn.NORM.DIST(BD$3,economics!$AK$2:$AK$167,economics!$AJ$2:$AJ$167,TRUE)),0)</f>
        <v/>
      </c>
      <c r="BE18" s="68">
        <f t="array" ref="BE18">IF($D18,SUMPRODUCT((economics!$AG$2:$AG$167=$B18)*(economics!$D$2:$D$167="process")*economics!$AH$2:$AH$167*_xlfn.NORM.DIST(BE$3,economics!$AK$2:$AK$167,economics!$AJ$2:$AJ$167,TRUE)),0)</f>
        <v/>
      </c>
      <c r="BF18" s="68">
        <f t="array" ref="BF18">IF($D18,SUMPRODUCT((economics!$AG$2:$AG$167=$B18)*(economics!$D$2:$D$167="process")*economics!$AH$2:$AH$167*_xlfn.NORM.DIST(BF$3,economics!$AK$2:$AK$167,economics!$AJ$2:$AJ$167,TRUE)),0)</f>
        <v/>
      </c>
      <c r="BG18" s="68">
        <f t="array" ref="BG18">IF($D18,SUMPRODUCT((economics!$AG$2:$AG$167=$B18)*(economics!$D$2:$D$167="process")*economics!$AH$2:$AH$167*_xlfn.NORM.DIST(BG$3,economics!$AK$2:$AK$167,economics!$AJ$2:$AJ$167,TRUE)),0)</f>
        <v/>
      </c>
      <c r="BH18" s="68">
        <f t="array" ref="BH18">IF($D18,SUMPRODUCT((economics!$AG$2:$AG$167=$B18)*(economics!$D$2:$D$167="process")*economics!$AH$2:$AH$167*_xlfn.NORM.DIST(BH$3,economics!$AK$2:$AK$167,economics!$AJ$2:$AJ$167,TRUE)),0)</f>
        <v/>
      </c>
      <c r="BI18" s="68">
        <f t="array" ref="BI18">IF($D18,SUMPRODUCT((economics!$AG$2:$AG$167=$B18)*(economics!$D$2:$D$167="process")*economics!$AH$2:$AH$167*_xlfn.NORM.DIST(BI$3,economics!$AK$2:$AK$167,economics!$AJ$2:$AJ$167,TRUE)),0)</f>
        <v/>
      </c>
      <c r="BJ18" s="68">
        <f t="array" ref="BJ18">IF($D18,SUMPRODUCT((economics!$AG$2:$AG$167=$B18)*(economics!$D$2:$D$167="process")*economics!$AH$2:$AH$167*_xlfn.NORM.DIST(BJ$3,economics!$AK$2:$AK$167,economics!$AJ$2:$AJ$167,TRUE)),0)</f>
        <v/>
      </c>
      <c r="BK18" s="68">
        <f t="array" ref="BK18">IF($D18,SUMPRODUCT((economics!$AG$2:$AG$167=$B18)*(economics!$D$2:$D$167="process")*economics!$AH$2:$AH$167*_xlfn.NORM.DIST(BK$3,economics!$AK$2:$AK$167,economics!$AJ$2:$AJ$167,TRUE)),0)</f>
        <v/>
      </c>
      <c r="BL18" s="68">
        <f t="array" ref="BL18">IF($D18,SUMPRODUCT((economics!$AG$2:$AG$167=$B18)*(economics!$D$2:$D$167="process")*economics!$AH$2:$AH$167*_xlfn.NORM.DIST(BL$3,economics!$AK$2:$AK$167,economics!$AJ$2:$AJ$167,TRUE)),0)</f>
        <v/>
      </c>
      <c r="BM18" s="68">
        <f t="array" ref="BM18">IF($D18,SUMPRODUCT((economics!$AG$2:$AG$167=$B18)*(economics!$D$2:$D$167="process")*economics!$AH$2:$AH$167*_xlfn.NORM.DIST(BM$3,economics!$AK$2:$AK$167,economics!$AJ$2:$AJ$167,TRUE)),0)</f>
        <v/>
      </c>
      <c r="BN18" s="68">
        <f t="array" ref="BN18">IF($D18,SUMPRODUCT((economics!$AG$2:$AG$167=$B18)*(economics!$D$2:$D$167="process")*economics!$AH$2:$AH$167*_xlfn.NORM.DIST(BN$3,economics!$AK$2:$AK$167,economics!$AJ$2:$AJ$167,TRUE)),0)</f>
        <v/>
      </c>
      <c r="BO18" s="68">
        <f t="array" ref="BO18">IF($D18,SUMPRODUCT((economics!$AG$2:$AG$167=$B18)*(economics!$D$2:$D$167="process")*economics!$AH$2:$AH$167*_xlfn.NORM.DIST(BO$3,economics!$AK$2:$AK$167,economics!$AJ$2:$AJ$167,TRUE)),0)</f>
        <v/>
      </c>
      <c r="BP18" s="68">
        <f t="array" ref="BP18">IF($D18,SUMPRODUCT((economics!$AG$2:$AG$167=$B18)*(economics!$D$2:$D$167="process")*economics!$AH$2:$AH$167*_xlfn.NORM.DIST(BP$3,economics!$AK$2:$AK$167,economics!$AJ$2:$AJ$167,TRUE)),0)</f>
        <v/>
      </c>
      <c r="BQ18" s="68">
        <f t="array" ref="BQ18">IF($D18,SUMPRODUCT((economics!$AG$2:$AG$167=$B18)*(economics!$D$2:$D$167="process")*economics!$AH$2:$AH$167*_xlfn.NORM.DIST(BQ$3,economics!$AK$2:$AK$167,economics!$AJ$2:$AJ$167,TRUE)),0)</f>
        <v/>
      </c>
      <c r="BR18" s="68">
        <f t="array" ref="BR18">IF($D18,SUMPRODUCT((economics!$AG$2:$AG$167=$B18)*(economics!$D$2:$D$167="process")*economics!$AH$2:$AH$167*_xlfn.NORM.DIST(BR$3,economics!$AK$2:$AK$167,economics!$AJ$2:$AJ$167,TRUE)),0)</f>
        <v/>
      </c>
      <c r="BS18" s="68">
        <f t="array" ref="BS18">IF($D18,SUMPRODUCT((economics!$AG$2:$AG$167=$B18)*(economics!$D$2:$D$167="process")*economics!$AH$2:$AH$167*_xlfn.NORM.DIST(BS$3,economics!$AK$2:$AK$167,economics!$AJ$2:$AJ$167,TRUE)),0)</f>
        <v/>
      </c>
      <c r="BT18" s="68">
        <f t="array" ref="BT18">IF($D18,SUMPRODUCT((economics!$AG$2:$AG$167=$B18)*(economics!$D$2:$D$167="process")*economics!$AH$2:$AH$167*_xlfn.NORM.DIST(BT$3,economics!$AK$2:$AK$167,economics!$AJ$2:$AJ$167,TRUE)),0)</f>
        <v/>
      </c>
      <c r="BU18" s="68">
        <f t="array" ref="BU18">IF($D18,SUMPRODUCT((economics!$AG$2:$AG$167=$B18)*(economics!$D$2:$D$167="process")*economics!$AH$2:$AH$167*_xlfn.NORM.DIST(BU$3,economics!$AK$2:$AK$167,economics!$AJ$2:$AJ$167,TRUE)),0)</f>
        <v/>
      </c>
      <c r="BV18" s="68">
        <f t="array" ref="BV18">IF($D18,SUMPRODUCT((economics!$AG$2:$AG$167=$B18)*(economics!$D$2:$D$167="process")*economics!$AH$2:$AH$167*_xlfn.NORM.DIST(BV$3,economics!$AK$2:$AK$167,economics!$AJ$2:$AJ$167,TRUE)),0)</f>
        <v/>
      </c>
      <c r="BW18" s="68">
        <f t="array" ref="BW18">IF($D18,SUMPRODUCT((economics!$AG$2:$AG$167=$B18)*(economics!$D$2:$D$167="process")*economics!$AH$2:$AH$167*_xlfn.NORM.DIST(BW$3,economics!$AK$2:$AK$167,economics!$AJ$2:$AJ$167,TRUE)),0)</f>
        <v/>
      </c>
      <c r="BX18" s="68">
        <f t="array" ref="BX18">IF($D18,SUMPRODUCT((economics!$AG$2:$AG$167=$B18)*(economics!$D$2:$D$167="process")*economics!$AH$2:$AH$167*_xlfn.NORM.DIST(BX$3,economics!$AK$2:$AK$167,economics!$AJ$2:$AJ$167,TRUE)),0)</f>
        <v/>
      </c>
      <c r="BY18" s="68">
        <f t="array" ref="BY18">IF($D18,SUMPRODUCT((economics!$AG$2:$AG$167=$B18)*(economics!$D$2:$D$167="process")*economics!$AH$2:$AH$167*_xlfn.NORM.DIST(BY$3,economics!$AK$2:$AK$167,economics!$AJ$2:$AJ$167,TRUE)),0)</f>
        <v/>
      </c>
      <c r="BZ18" s="68">
        <f t="array" ref="BZ18">IF($D18,SUMPRODUCT((economics!$AG$2:$AG$167=$B18)*(economics!$D$2:$D$167="process")*economics!$AH$2:$AH$167*_xlfn.NORM.DIST(BZ$3,economics!$AK$2:$AK$167,economics!$AJ$2:$AJ$167,TRUE)),0)</f>
        <v/>
      </c>
      <c r="CA18" s="68">
        <f t="array" ref="CA18">IF($D18,SUMPRODUCT((economics!$AG$2:$AG$167=$B18)*(economics!$D$2:$D$167="process")*economics!$AH$2:$AH$167*_xlfn.NORM.DIST(CA$3,economics!$AK$2:$AK$167,economics!$AJ$2:$AJ$167,TRUE)),0)</f>
        <v/>
      </c>
      <c r="CB18" s="68">
        <f t="array" ref="CB18">IF($D18,SUMPRODUCT((economics!$AG$2:$AG$167=$B18)*(economics!$D$2:$D$167="process")*economics!$AH$2:$AH$167*_xlfn.NORM.DIST(CB$3,economics!$AK$2:$AK$167,economics!$AJ$2:$AJ$167,TRUE)),0)</f>
        <v/>
      </c>
      <c r="CC18" s="68">
        <f t="array" ref="CC18">IF($D18,SUMPRODUCT((economics!$AG$2:$AG$167=$B18)*(economics!$D$2:$D$167="process")*economics!$AH$2:$AH$167*_xlfn.NORM.DIST(CC$3,economics!$AK$2:$AK$167,economics!$AJ$2:$AJ$167,TRUE)),0)</f>
        <v/>
      </c>
      <c r="CD18" s="68">
        <f t="array" ref="CD18">IF($D18,SUMPRODUCT((economics!$AG$2:$AG$167=$B18)*(economics!$D$2:$D$167="process")*economics!$AH$2:$AH$167*_xlfn.NORM.DIST(CD$3,economics!$AK$2:$AK$167,economics!$AJ$2:$AJ$167,TRUE)),0)</f>
        <v/>
      </c>
      <c r="CE18" s="68">
        <f t="array" ref="CE18">IF($D18,SUMPRODUCT((economics!$AG$2:$AG$167=$B18)*(economics!$D$2:$D$167="process")*economics!$AH$2:$AH$167*_xlfn.NORM.DIST(CE$3,economics!$AK$2:$AK$167,economics!$AJ$2:$AJ$167,TRUE)),0)</f>
        <v/>
      </c>
      <c r="CF18" s="68">
        <f t="array" ref="CF18">IF($D18,SUMPRODUCT((economics!$AG$2:$AG$167=$B18)*(economics!$D$2:$D$167="process")*economics!$AH$2:$AH$167*_xlfn.NORM.DIST(CF$3,economics!$AK$2:$AK$167,economics!$AJ$2:$AJ$167,TRUE)),0)</f>
        <v/>
      </c>
      <c r="CG18" s="68">
        <f t="array" ref="CG18">IF($D18,SUMPRODUCT((economics!$AG$2:$AG$167=$B18)*(economics!$D$2:$D$167="process")*economics!$AH$2:$AH$167*_xlfn.NORM.DIST(CG$3,economics!$AK$2:$AK$167,economics!$AJ$2:$AJ$167,TRUE)),0)</f>
        <v/>
      </c>
      <c r="CH18" s="68">
        <f t="array" ref="CH18">IF($D18,SUMPRODUCT((economics!$AG$2:$AG$167=$B18)*(economics!$D$2:$D$167="process")*economics!$AH$2:$AH$167*_xlfn.NORM.DIST(CH$3,economics!$AK$2:$AK$167,economics!$AJ$2:$AJ$167,TRUE)),0)</f>
        <v/>
      </c>
    </row>
    <row r="19">
      <c r="A19">
        <f>WHRPbI!A17</f>
        <v/>
      </c>
      <c r="B19" t="n">
        <v>25</v>
      </c>
      <c r="C19" s="68">
        <f>WHRPbI!B17</f>
        <v/>
      </c>
      <c r="D19">
        <f>ISNUMBER(MATCH($B19,'energy base (MECS)'!$K$4:$K$9,0))</f>
        <v/>
      </c>
      <c r="E19" s="68">
        <f t="array" ref="E19">IF($D19,SUMPRODUCT((economics!$AG$2:$AG$167=$B19)*(economics!$D$2:$D$167="process")*economics!$AH$2:$AH$167*_xlfn.NORM.DIST(E$3,economics!$AK$2:$AK$167,economics!$AJ$2:$AJ$167,TRUE)),0)</f>
        <v/>
      </c>
      <c r="F19" s="68">
        <f t="array" ref="F19">IF($D19,SUMPRODUCT((economics!$AG$2:$AG$167=$B19)*(economics!$D$2:$D$167="process")*economics!$AH$2:$AH$167*_xlfn.NORM.DIST(F$3,economics!$AK$2:$AK$167,economics!$AJ$2:$AJ$167,TRUE)),0)</f>
        <v/>
      </c>
      <c r="G19" s="68">
        <f t="array" ref="G19">IF($D19,SUMPRODUCT((economics!$AG$2:$AG$167=$B19)*(economics!$D$2:$D$167="process")*economics!$AH$2:$AH$167*_xlfn.NORM.DIST(G$3,economics!$AK$2:$AK$167,economics!$AJ$2:$AJ$167,TRUE)),0)</f>
        <v/>
      </c>
      <c r="H19" s="68">
        <f t="array" ref="H19">IF($D19,SUMPRODUCT((economics!$AG$2:$AG$167=$B19)*(economics!$D$2:$D$167="process")*economics!$AH$2:$AH$167*_xlfn.NORM.DIST(H$3,economics!$AK$2:$AK$167,economics!$AJ$2:$AJ$167,TRUE)),0)</f>
        <v/>
      </c>
      <c r="I19" s="68">
        <f t="array" ref="I19">IF($D19,SUMPRODUCT((economics!$AG$2:$AG$167=$B19)*(economics!$D$2:$D$167="process")*economics!$AH$2:$AH$167*_xlfn.NORM.DIST(I$3,economics!$AK$2:$AK$167,economics!$AJ$2:$AJ$167,TRUE)),0)</f>
        <v/>
      </c>
      <c r="J19" s="68">
        <f t="array" ref="J19">IF($D19,SUMPRODUCT((economics!$AG$2:$AG$167=$B19)*(economics!$D$2:$D$167="process")*economics!$AH$2:$AH$167*_xlfn.NORM.DIST(J$3,economics!$AK$2:$AK$167,economics!$AJ$2:$AJ$167,TRUE)),0)</f>
        <v/>
      </c>
      <c r="K19" s="68">
        <f t="array" ref="K19">IF($D19,SUMPRODUCT((economics!$AG$2:$AG$167=$B19)*(economics!$D$2:$D$167="process")*economics!$AH$2:$AH$167*_xlfn.NORM.DIST(K$3,economics!$AK$2:$AK$167,economics!$AJ$2:$AJ$167,TRUE)),0)</f>
        <v/>
      </c>
      <c r="L19" s="68">
        <f t="array" ref="L19">IF($D19,SUMPRODUCT((economics!$AG$2:$AG$167=$B19)*(economics!$D$2:$D$167="process")*economics!$AH$2:$AH$167*_xlfn.NORM.DIST(L$3,economics!$AK$2:$AK$167,economics!$AJ$2:$AJ$167,TRUE)),0)</f>
        <v/>
      </c>
      <c r="M19" s="68">
        <f t="array" ref="M19">IF($D19,SUMPRODUCT((economics!$AG$2:$AG$167=$B19)*(economics!$D$2:$D$167="process")*economics!$AH$2:$AH$167*_xlfn.NORM.DIST(M$3,economics!$AK$2:$AK$167,economics!$AJ$2:$AJ$167,TRUE)),0)</f>
        <v/>
      </c>
      <c r="N19" s="68">
        <f t="array" ref="N19">IF($D19,SUMPRODUCT((economics!$AG$2:$AG$167=$B19)*(economics!$D$2:$D$167="process")*economics!$AH$2:$AH$167*_xlfn.NORM.DIST(N$3,economics!$AK$2:$AK$167,economics!$AJ$2:$AJ$167,TRUE)),0)</f>
        <v/>
      </c>
      <c r="O19" s="68">
        <f t="array" ref="O19">IF($D19,SUMPRODUCT((economics!$AG$2:$AG$167=$B19)*(economics!$D$2:$D$167="process")*economics!$AH$2:$AH$167*_xlfn.NORM.DIST(O$3,economics!$AK$2:$AK$167,economics!$AJ$2:$AJ$167,TRUE)),0)</f>
        <v/>
      </c>
      <c r="P19" s="68">
        <f t="array" ref="P19">IF($D19,SUMPRODUCT((economics!$AG$2:$AG$167=$B19)*(economics!$D$2:$D$167="process")*economics!$AH$2:$AH$167*_xlfn.NORM.DIST(P$3,economics!$AK$2:$AK$167,economics!$AJ$2:$AJ$167,TRUE)),0)</f>
        <v/>
      </c>
      <c r="Q19" s="68">
        <f t="array" ref="Q19">IF($D19,SUMPRODUCT((economics!$AG$2:$AG$167=$B19)*(economics!$D$2:$D$167="process")*economics!$AH$2:$AH$167*_xlfn.NORM.DIST(Q$3,economics!$AK$2:$AK$167,economics!$AJ$2:$AJ$167,TRUE)),0)</f>
        <v/>
      </c>
      <c r="R19" s="68">
        <f t="array" ref="R19">IF($D19,SUMPRODUCT((economics!$AG$2:$AG$167=$B19)*(economics!$D$2:$D$167="process")*economics!$AH$2:$AH$167*_xlfn.NORM.DIST(R$3,economics!$AK$2:$AK$167,economics!$AJ$2:$AJ$167,TRUE)),0)</f>
        <v/>
      </c>
      <c r="S19" s="68">
        <f t="array" ref="S19">IF($D19,SUMPRODUCT((economics!$AG$2:$AG$167=$B19)*(economics!$D$2:$D$167="process")*economics!$AH$2:$AH$167*_xlfn.NORM.DIST(S$3,economics!$AK$2:$AK$167,economics!$AJ$2:$AJ$167,TRUE)),0)</f>
        <v/>
      </c>
      <c r="T19" s="68">
        <f t="array" ref="T19">IF($D19,SUMPRODUCT((economics!$AG$2:$AG$167=$B19)*(economics!$D$2:$D$167="process")*economics!$AH$2:$AH$167*_xlfn.NORM.DIST(T$3,economics!$AK$2:$AK$167,economics!$AJ$2:$AJ$167,TRUE)),0)</f>
        <v/>
      </c>
      <c r="U19" s="68">
        <f t="array" ref="U19">IF($D19,SUMPRODUCT((economics!$AG$2:$AG$167=$B19)*(economics!$D$2:$D$167="process")*economics!$AH$2:$AH$167*_xlfn.NORM.DIST(U$3,economics!$AK$2:$AK$167,economics!$AJ$2:$AJ$167,TRUE)),0)</f>
        <v/>
      </c>
      <c r="V19" s="68">
        <f t="array" ref="V19">IF($D19,SUMPRODUCT((economics!$AG$2:$AG$167=$B19)*(economics!$D$2:$D$167="process")*economics!$AH$2:$AH$167*_xlfn.NORM.DIST(V$3,economics!$AK$2:$AK$167,economics!$AJ$2:$AJ$167,TRUE)),0)</f>
        <v/>
      </c>
      <c r="W19" s="68">
        <f t="array" ref="W19">IF($D19,SUMPRODUCT((economics!$AG$2:$AG$167=$B19)*(economics!$D$2:$D$167="process")*economics!$AH$2:$AH$167*_xlfn.NORM.DIST(W$3,economics!$AK$2:$AK$167,economics!$AJ$2:$AJ$167,TRUE)),0)</f>
        <v/>
      </c>
      <c r="X19" s="68">
        <f t="array" ref="X19">IF($D19,SUMPRODUCT((economics!$AG$2:$AG$167=$B19)*(economics!$D$2:$D$167="process")*economics!$AH$2:$AH$167*_xlfn.NORM.DIST(X$3,economics!$AK$2:$AK$167,economics!$AJ$2:$AJ$167,TRUE)),0)</f>
        <v/>
      </c>
      <c r="Y19" s="68">
        <f t="array" ref="Y19">IF($D19,SUMPRODUCT((economics!$AG$2:$AG$167=$B19)*(economics!$D$2:$D$167="process")*economics!$AH$2:$AH$167*_xlfn.NORM.DIST(Y$3,economics!$AK$2:$AK$167,economics!$AJ$2:$AJ$167,TRUE)),0)</f>
        <v/>
      </c>
      <c r="Z19" s="68">
        <f t="array" ref="Z19">IF($D19,SUMPRODUCT((economics!$AG$2:$AG$167=$B19)*(economics!$D$2:$D$167="process")*economics!$AH$2:$AH$167*_xlfn.NORM.DIST(Z$3,economics!$AK$2:$AK$167,economics!$AJ$2:$AJ$167,TRUE)),0)</f>
        <v/>
      </c>
      <c r="AA19" s="68">
        <f t="array" ref="AA19">IF($D19,SUMPRODUCT((economics!$AG$2:$AG$167=$B19)*(economics!$D$2:$D$167="process")*economics!$AH$2:$AH$167*_xlfn.NORM.DIST(AA$3,economics!$AK$2:$AK$167,economics!$AJ$2:$AJ$167,TRUE)),0)</f>
        <v/>
      </c>
      <c r="AB19" s="68">
        <f t="array" ref="AB19">IF($D19,SUMPRODUCT((economics!$AG$2:$AG$167=$B19)*(economics!$D$2:$D$167="process")*economics!$AH$2:$AH$167*_xlfn.NORM.DIST(AB$3,economics!$AK$2:$AK$167,economics!$AJ$2:$AJ$167,TRUE)),0)</f>
        <v/>
      </c>
      <c r="AC19" s="68">
        <f t="array" ref="AC19">IF($D19,SUMPRODUCT((economics!$AG$2:$AG$167=$B19)*(economics!$D$2:$D$167="process")*economics!$AH$2:$AH$167*_xlfn.NORM.DIST(AC$3,economics!$AK$2:$AK$167,economics!$AJ$2:$AJ$167,TRUE)),0)</f>
        <v/>
      </c>
      <c r="AD19" s="68">
        <f t="array" ref="AD19">IF($D19,SUMPRODUCT((economics!$AG$2:$AG$167=$B19)*(economics!$D$2:$D$167="process")*economics!$AH$2:$AH$167*_xlfn.NORM.DIST(AD$3,economics!$AK$2:$AK$167,economics!$AJ$2:$AJ$167,TRUE)),0)</f>
        <v/>
      </c>
      <c r="AE19" s="68">
        <f t="array" ref="AE19">IF($D19,SUMPRODUCT((economics!$AG$2:$AG$167=$B19)*(economics!$D$2:$D$167="process")*economics!$AH$2:$AH$167*_xlfn.NORM.DIST(AE$3,economics!$AK$2:$AK$167,economics!$AJ$2:$AJ$167,TRUE)),0)</f>
        <v/>
      </c>
      <c r="AF19" s="68">
        <f t="array" ref="AF19">IF($D19,SUMPRODUCT((economics!$AG$2:$AG$167=$B19)*(economics!$D$2:$D$167="process")*economics!$AH$2:$AH$167*_xlfn.NORM.DIST(AF$3,economics!$AK$2:$AK$167,economics!$AJ$2:$AJ$167,TRUE)),0)</f>
        <v/>
      </c>
      <c r="AG19" s="68">
        <f t="array" ref="AG19">IF($D19,SUMPRODUCT((economics!$AG$2:$AG$167=$B19)*(economics!$D$2:$D$167="process")*economics!$AH$2:$AH$167*_xlfn.NORM.DIST(AG$3,economics!$AK$2:$AK$167,economics!$AJ$2:$AJ$167,TRUE)),0)</f>
        <v/>
      </c>
      <c r="AH19" s="68">
        <f t="array" ref="AH19">IF($D19,SUMPRODUCT((economics!$AG$2:$AG$167=$B19)*(economics!$D$2:$D$167="process")*economics!$AH$2:$AH$167*_xlfn.NORM.DIST(AH$3,economics!$AK$2:$AK$167,economics!$AJ$2:$AJ$167,TRUE)),0)</f>
        <v/>
      </c>
      <c r="AI19" s="68">
        <f t="array" ref="AI19">IF($D19,SUMPRODUCT((economics!$AG$2:$AG$167=$B19)*(economics!$D$2:$D$167="process")*economics!$AH$2:$AH$167*_xlfn.NORM.DIST(AI$3,economics!$AK$2:$AK$167,economics!$AJ$2:$AJ$167,TRUE)),0)</f>
        <v/>
      </c>
      <c r="AJ19" s="68">
        <f t="array" ref="AJ19">IF($D19,SUMPRODUCT((economics!$AG$2:$AG$167=$B19)*(economics!$D$2:$D$167="process")*economics!$AH$2:$AH$167*_xlfn.NORM.DIST(AJ$3,economics!$AK$2:$AK$167,economics!$AJ$2:$AJ$167,TRUE)),0)</f>
        <v/>
      </c>
      <c r="AK19" s="68">
        <f t="array" ref="AK19">IF($D19,SUMPRODUCT((economics!$AG$2:$AG$167=$B19)*(economics!$D$2:$D$167="process")*economics!$AH$2:$AH$167*_xlfn.NORM.DIST(AK$3,economics!$AK$2:$AK$167,economics!$AJ$2:$AJ$167,TRUE)),0)</f>
        <v/>
      </c>
      <c r="AL19" s="68">
        <f t="array" ref="AL19">IF($D19,SUMPRODUCT((economics!$AG$2:$AG$167=$B19)*(economics!$D$2:$D$167="process")*economics!$AH$2:$AH$167*_xlfn.NORM.DIST(AL$3,economics!$AK$2:$AK$167,economics!$AJ$2:$AJ$167,TRUE)),0)</f>
        <v/>
      </c>
      <c r="AM19" s="68">
        <f t="array" ref="AM19">IF($D19,SUMPRODUCT((economics!$AG$2:$AG$167=$B19)*(economics!$D$2:$D$167="process")*economics!$AH$2:$AH$167*_xlfn.NORM.DIST(AM$3,economics!$AK$2:$AK$167,economics!$AJ$2:$AJ$167,TRUE)),0)</f>
        <v/>
      </c>
      <c r="AN19" s="68">
        <f t="array" ref="AN19">IF($D19,SUMPRODUCT((economics!$AG$2:$AG$167=$B19)*(economics!$D$2:$D$167="process")*economics!$AH$2:$AH$167*_xlfn.NORM.DIST(AN$3,economics!$AK$2:$AK$167,economics!$AJ$2:$AJ$167,TRUE)),0)</f>
        <v/>
      </c>
      <c r="AO19" s="68">
        <f t="array" ref="AO19">IF($D19,SUMPRODUCT((economics!$AG$2:$AG$167=$B19)*(economics!$D$2:$D$167="process")*economics!$AH$2:$AH$167*_xlfn.NORM.DIST(AO$3,economics!$AK$2:$AK$167,economics!$AJ$2:$AJ$167,TRUE)),0)</f>
        <v/>
      </c>
      <c r="AP19" s="68">
        <f t="array" ref="AP19">IF($D19,SUMPRODUCT((economics!$AG$2:$AG$167=$B19)*(economics!$D$2:$D$167="process")*economics!$AH$2:$AH$167*_xlfn.NORM.DIST(AP$3,economics!$AK$2:$AK$167,economics!$AJ$2:$AJ$167,TRUE)),0)</f>
        <v/>
      </c>
      <c r="AQ19" s="68">
        <f t="array" ref="AQ19">IF($D19,SUMPRODUCT((economics!$AG$2:$AG$167=$B19)*(economics!$D$2:$D$167="process")*economics!$AH$2:$AH$167*_xlfn.NORM.DIST(AQ$3,economics!$AK$2:$AK$167,economics!$AJ$2:$AJ$167,TRUE)),0)</f>
        <v/>
      </c>
      <c r="AR19" s="68">
        <f t="array" ref="AR19">IF($D19,SUMPRODUCT((economics!$AG$2:$AG$167=$B19)*(economics!$D$2:$D$167="process")*economics!$AH$2:$AH$167*_xlfn.NORM.DIST(AR$3,economics!$AK$2:$AK$167,economics!$AJ$2:$AJ$167,TRUE)),0)</f>
        <v/>
      </c>
      <c r="AS19" s="68">
        <f t="array" ref="AS19">IF($D19,SUMPRODUCT((economics!$AG$2:$AG$167=$B19)*(economics!$D$2:$D$167="process")*economics!$AH$2:$AH$167*_xlfn.NORM.DIST(AS$3,economics!$AK$2:$AK$167,economics!$AJ$2:$AJ$167,TRUE)),0)</f>
        <v/>
      </c>
      <c r="AT19" s="68">
        <f t="array" ref="AT19">IF($D19,SUMPRODUCT((economics!$AG$2:$AG$167=$B19)*(economics!$D$2:$D$167="process")*economics!$AH$2:$AH$167*_xlfn.NORM.DIST(AT$3,economics!$AK$2:$AK$167,economics!$AJ$2:$AJ$167,TRUE)),0)</f>
        <v/>
      </c>
      <c r="AU19" s="68">
        <f t="array" ref="AU19">IF($D19,SUMPRODUCT((economics!$AG$2:$AG$167=$B19)*(economics!$D$2:$D$167="process")*economics!$AH$2:$AH$167*_xlfn.NORM.DIST(AU$3,economics!$AK$2:$AK$167,economics!$AJ$2:$AJ$167,TRUE)),0)</f>
        <v/>
      </c>
      <c r="AV19" s="68">
        <f t="array" ref="AV19">IF($D19,SUMPRODUCT((economics!$AG$2:$AG$167=$B19)*(economics!$D$2:$D$167="process")*economics!$AH$2:$AH$167*_xlfn.NORM.DIST(AV$3,economics!$AK$2:$AK$167,economics!$AJ$2:$AJ$167,TRUE)),0)</f>
        <v/>
      </c>
      <c r="AW19" s="68">
        <f t="array" ref="AW19">IF($D19,SUMPRODUCT((economics!$AG$2:$AG$167=$B19)*(economics!$D$2:$D$167="process")*economics!$AH$2:$AH$167*_xlfn.NORM.DIST(AW$3,economics!$AK$2:$AK$167,economics!$AJ$2:$AJ$167,TRUE)),0)</f>
        <v/>
      </c>
      <c r="AX19" s="68">
        <f t="array" ref="AX19">IF($D19,SUMPRODUCT((economics!$AG$2:$AG$167=$B19)*(economics!$D$2:$D$167="process")*economics!$AH$2:$AH$167*_xlfn.NORM.DIST(AX$3,economics!$AK$2:$AK$167,economics!$AJ$2:$AJ$167,TRUE)),0)</f>
        <v/>
      </c>
      <c r="AY19" s="68">
        <f t="array" ref="AY19">IF($D19,SUMPRODUCT((economics!$AG$2:$AG$167=$B19)*(economics!$D$2:$D$167="process")*economics!$AH$2:$AH$167*_xlfn.NORM.DIST(AY$3,economics!$AK$2:$AK$167,economics!$AJ$2:$AJ$167,TRUE)),0)</f>
        <v/>
      </c>
      <c r="AZ19" s="68">
        <f t="array" ref="AZ19">IF($D19,SUMPRODUCT((economics!$AG$2:$AG$167=$B19)*(economics!$D$2:$D$167="process")*economics!$AH$2:$AH$167*_xlfn.NORM.DIST(AZ$3,economics!$AK$2:$AK$167,economics!$AJ$2:$AJ$167,TRUE)),0)</f>
        <v/>
      </c>
      <c r="BA19" s="68">
        <f t="array" ref="BA19">IF($D19,SUMPRODUCT((economics!$AG$2:$AG$167=$B19)*(economics!$D$2:$D$167="process")*economics!$AH$2:$AH$167*_xlfn.NORM.DIST(BA$3,economics!$AK$2:$AK$167,economics!$AJ$2:$AJ$167,TRUE)),0)</f>
        <v/>
      </c>
      <c r="BB19" s="68">
        <f t="array" ref="BB19">IF($D19,SUMPRODUCT((economics!$AG$2:$AG$167=$B19)*(economics!$D$2:$D$167="process")*economics!$AH$2:$AH$167*_xlfn.NORM.DIST(BB$3,economics!$AK$2:$AK$167,economics!$AJ$2:$AJ$167,TRUE)),0)</f>
        <v/>
      </c>
      <c r="BC19" s="68">
        <f t="array" ref="BC19">IF($D19,SUMPRODUCT((economics!$AG$2:$AG$167=$B19)*(economics!$D$2:$D$167="process")*economics!$AH$2:$AH$167*_xlfn.NORM.DIST(BC$3,economics!$AK$2:$AK$167,economics!$AJ$2:$AJ$167,TRUE)),0)</f>
        <v/>
      </c>
      <c r="BD19" s="68">
        <f t="array" ref="BD19">IF($D19,SUMPRODUCT((economics!$AG$2:$AG$167=$B19)*(economics!$D$2:$D$167="process")*economics!$AH$2:$AH$167*_xlfn.NORM.DIST(BD$3,economics!$AK$2:$AK$167,economics!$AJ$2:$AJ$167,TRUE)),0)</f>
        <v/>
      </c>
      <c r="BE19" s="68">
        <f t="array" ref="BE19">IF($D19,SUMPRODUCT((economics!$AG$2:$AG$167=$B19)*(economics!$D$2:$D$167="process")*economics!$AH$2:$AH$167*_xlfn.NORM.DIST(BE$3,economics!$AK$2:$AK$167,economics!$AJ$2:$AJ$167,TRUE)),0)</f>
        <v/>
      </c>
      <c r="BF19" s="68">
        <f t="array" ref="BF19">IF($D19,SUMPRODUCT((economics!$AG$2:$AG$167=$B19)*(economics!$D$2:$D$167="process")*economics!$AH$2:$AH$167*_xlfn.NORM.DIST(BF$3,economics!$AK$2:$AK$167,economics!$AJ$2:$AJ$167,TRUE)),0)</f>
        <v/>
      </c>
      <c r="BG19" s="68">
        <f t="array" ref="BG19">IF($D19,SUMPRODUCT((economics!$AG$2:$AG$167=$B19)*(economics!$D$2:$D$167="process")*economics!$AH$2:$AH$167*_xlfn.NORM.DIST(BG$3,economics!$AK$2:$AK$167,economics!$AJ$2:$AJ$167,TRUE)),0)</f>
        <v/>
      </c>
      <c r="BH19" s="68">
        <f t="array" ref="BH19">IF($D19,SUMPRODUCT((economics!$AG$2:$AG$167=$B19)*(economics!$D$2:$D$167="process")*economics!$AH$2:$AH$167*_xlfn.NORM.DIST(BH$3,economics!$AK$2:$AK$167,economics!$AJ$2:$AJ$167,TRUE)),0)</f>
        <v/>
      </c>
      <c r="BI19" s="68">
        <f t="array" ref="BI19">IF($D19,SUMPRODUCT((economics!$AG$2:$AG$167=$B19)*(economics!$D$2:$D$167="process")*economics!$AH$2:$AH$167*_xlfn.NORM.DIST(BI$3,economics!$AK$2:$AK$167,economics!$AJ$2:$AJ$167,TRUE)),0)</f>
        <v/>
      </c>
      <c r="BJ19" s="68">
        <f t="array" ref="BJ19">IF($D19,SUMPRODUCT((economics!$AG$2:$AG$167=$B19)*(economics!$D$2:$D$167="process")*economics!$AH$2:$AH$167*_xlfn.NORM.DIST(BJ$3,economics!$AK$2:$AK$167,economics!$AJ$2:$AJ$167,TRUE)),0)</f>
        <v/>
      </c>
      <c r="BK19" s="68">
        <f t="array" ref="BK19">IF($D19,SUMPRODUCT((economics!$AG$2:$AG$167=$B19)*(economics!$D$2:$D$167="process")*economics!$AH$2:$AH$167*_xlfn.NORM.DIST(BK$3,economics!$AK$2:$AK$167,economics!$AJ$2:$AJ$167,TRUE)),0)</f>
        <v/>
      </c>
      <c r="BL19" s="68">
        <f t="array" ref="BL19">IF($D19,SUMPRODUCT((economics!$AG$2:$AG$167=$B19)*(economics!$D$2:$D$167="process")*economics!$AH$2:$AH$167*_xlfn.NORM.DIST(BL$3,economics!$AK$2:$AK$167,economics!$AJ$2:$AJ$167,TRUE)),0)</f>
        <v/>
      </c>
      <c r="BM19" s="68">
        <f t="array" ref="BM19">IF($D19,SUMPRODUCT((economics!$AG$2:$AG$167=$B19)*(economics!$D$2:$D$167="process")*economics!$AH$2:$AH$167*_xlfn.NORM.DIST(BM$3,economics!$AK$2:$AK$167,economics!$AJ$2:$AJ$167,TRUE)),0)</f>
        <v/>
      </c>
      <c r="BN19" s="68">
        <f t="array" ref="BN19">IF($D19,SUMPRODUCT((economics!$AG$2:$AG$167=$B19)*(economics!$D$2:$D$167="process")*economics!$AH$2:$AH$167*_xlfn.NORM.DIST(BN$3,economics!$AK$2:$AK$167,economics!$AJ$2:$AJ$167,TRUE)),0)</f>
        <v/>
      </c>
      <c r="BO19" s="68">
        <f t="array" ref="BO19">IF($D19,SUMPRODUCT((economics!$AG$2:$AG$167=$B19)*(economics!$D$2:$D$167="process")*economics!$AH$2:$AH$167*_xlfn.NORM.DIST(BO$3,economics!$AK$2:$AK$167,economics!$AJ$2:$AJ$167,TRUE)),0)</f>
        <v/>
      </c>
      <c r="BP19" s="68">
        <f t="array" ref="BP19">IF($D19,SUMPRODUCT((economics!$AG$2:$AG$167=$B19)*(economics!$D$2:$D$167="process")*economics!$AH$2:$AH$167*_xlfn.NORM.DIST(BP$3,economics!$AK$2:$AK$167,economics!$AJ$2:$AJ$167,TRUE)),0)</f>
        <v/>
      </c>
      <c r="BQ19" s="68">
        <f t="array" ref="BQ19">IF($D19,SUMPRODUCT((economics!$AG$2:$AG$167=$B19)*(economics!$D$2:$D$167="process")*economics!$AH$2:$AH$167*_xlfn.NORM.DIST(BQ$3,economics!$AK$2:$AK$167,economics!$AJ$2:$AJ$167,TRUE)),0)</f>
        <v/>
      </c>
      <c r="BR19" s="68">
        <f t="array" ref="BR19">IF($D19,SUMPRODUCT((economics!$AG$2:$AG$167=$B19)*(economics!$D$2:$D$167="process")*economics!$AH$2:$AH$167*_xlfn.NORM.DIST(BR$3,economics!$AK$2:$AK$167,economics!$AJ$2:$AJ$167,TRUE)),0)</f>
        <v/>
      </c>
      <c r="BS19" s="68">
        <f t="array" ref="BS19">IF($D19,SUMPRODUCT((economics!$AG$2:$AG$167=$B19)*(economics!$D$2:$D$167="process")*economics!$AH$2:$AH$167*_xlfn.NORM.DIST(BS$3,economics!$AK$2:$AK$167,economics!$AJ$2:$AJ$167,TRUE)),0)</f>
        <v/>
      </c>
      <c r="BT19" s="68">
        <f t="array" ref="BT19">IF($D19,SUMPRODUCT((economics!$AG$2:$AG$167=$B19)*(economics!$D$2:$D$167="process")*economics!$AH$2:$AH$167*_xlfn.NORM.DIST(BT$3,economics!$AK$2:$AK$167,economics!$AJ$2:$AJ$167,TRUE)),0)</f>
        <v/>
      </c>
      <c r="BU19" s="68">
        <f t="array" ref="BU19">IF($D19,SUMPRODUCT((economics!$AG$2:$AG$167=$B19)*(economics!$D$2:$D$167="process")*economics!$AH$2:$AH$167*_xlfn.NORM.DIST(BU$3,economics!$AK$2:$AK$167,economics!$AJ$2:$AJ$167,TRUE)),0)</f>
        <v/>
      </c>
      <c r="BV19" s="68">
        <f t="array" ref="BV19">IF($D19,SUMPRODUCT((economics!$AG$2:$AG$167=$B19)*(economics!$D$2:$D$167="process")*economics!$AH$2:$AH$167*_xlfn.NORM.DIST(BV$3,economics!$AK$2:$AK$167,economics!$AJ$2:$AJ$167,TRUE)),0)</f>
        <v/>
      </c>
      <c r="BW19" s="68">
        <f t="array" ref="BW19">IF($D19,SUMPRODUCT((economics!$AG$2:$AG$167=$B19)*(economics!$D$2:$D$167="process")*economics!$AH$2:$AH$167*_xlfn.NORM.DIST(BW$3,economics!$AK$2:$AK$167,economics!$AJ$2:$AJ$167,TRUE)),0)</f>
        <v/>
      </c>
      <c r="BX19" s="68">
        <f t="array" ref="BX19">IF($D19,SUMPRODUCT((economics!$AG$2:$AG$167=$B19)*(economics!$D$2:$D$167="process")*economics!$AH$2:$AH$167*_xlfn.NORM.DIST(BX$3,economics!$AK$2:$AK$167,economics!$AJ$2:$AJ$167,TRUE)),0)</f>
        <v/>
      </c>
      <c r="BY19" s="68">
        <f t="array" ref="BY19">IF($D19,SUMPRODUCT((economics!$AG$2:$AG$167=$B19)*(economics!$D$2:$D$167="process")*economics!$AH$2:$AH$167*_xlfn.NORM.DIST(BY$3,economics!$AK$2:$AK$167,economics!$AJ$2:$AJ$167,TRUE)),0)</f>
        <v/>
      </c>
      <c r="BZ19" s="68">
        <f t="array" ref="BZ19">IF($D19,SUMPRODUCT((economics!$AG$2:$AG$167=$B19)*(economics!$D$2:$D$167="process")*economics!$AH$2:$AH$167*_xlfn.NORM.DIST(BZ$3,economics!$AK$2:$AK$167,economics!$AJ$2:$AJ$167,TRUE)),0)</f>
        <v/>
      </c>
      <c r="CA19" s="68">
        <f t="array" ref="CA19">IF($D19,SUMPRODUCT((economics!$AG$2:$AG$167=$B19)*(economics!$D$2:$D$167="process")*economics!$AH$2:$AH$167*_xlfn.NORM.DIST(CA$3,economics!$AK$2:$AK$167,economics!$AJ$2:$AJ$167,TRUE)),0)</f>
        <v/>
      </c>
      <c r="CB19" s="68">
        <f t="array" ref="CB19">IF($D19,SUMPRODUCT((economics!$AG$2:$AG$167=$B19)*(economics!$D$2:$D$167="process")*economics!$AH$2:$AH$167*_xlfn.NORM.DIST(CB$3,economics!$AK$2:$AK$167,economics!$AJ$2:$AJ$167,TRUE)),0)</f>
        <v/>
      </c>
      <c r="CC19" s="68">
        <f t="array" ref="CC19">IF($D19,SUMPRODUCT((economics!$AG$2:$AG$167=$B19)*(economics!$D$2:$D$167="process")*economics!$AH$2:$AH$167*_xlfn.NORM.DIST(CC$3,economics!$AK$2:$AK$167,economics!$AJ$2:$AJ$167,TRUE)),0)</f>
        <v/>
      </c>
      <c r="CD19" s="68">
        <f t="array" ref="CD19">IF($D19,SUMPRODUCT((economics!$AG$2:$AG$167=$B19)*(economics!$D$2:$D$167="process")*economics!$AH$2:$AH$167*_xlfn.NORM.DIST(CD$3,economics!$AK$2:$AK$167,economics!$AJ$2:$AJ$167,TRUE)),0)</f>
        <v/>
      </c>
      <c r="CE19" s="68">
        <f t="array" ref="CE19">IF($D19,SUMPRODUCT((economics!$AG$2:$AG$167=$B19)*(economics!$D$2:$D$167="process")*economics!$AH$2:$AH$167*_xlfn.NORM.DIST(CE$3,economics!$AK$2:$AK$167,economics!$AJ$2:$AJ$167,TRUE)),0)</f>
        <v/>
      </c>
      <c r="CF19" s="68">
        <f t="array" ref="CF19">IF($D19,SUMPRODUCT((economics!$AG$2:$AG$167=$B19)*(economics!$D$2:$D$167="process")*economics!$AH$2:$AH$167*_xlfn.NORM.DIST(CF$3,economics!$AK$2:$AK$167,economics!$AJ$2:$AJ$167,TRUE)),0)</f>
        <v/>
      </c>
      <c r="CG19" s="68">
        <f t="array" ref="CG19">IF($D19,SUMPRODUCT((economics!$AG$2:$AG$167=$B19)*(economics!$D$2:$D$167="process")*economics!$AH$2:$AH$167*_xlfn.NORM.DIST(CG$3,economics!$AK$2:$AK$167,economics!$AJ$2:$AJ$167,TRUE)),0)</f>
        <v/>
      </c>
      <c r="CH19" s="68">
        <f t="array" ref="CH19">IF($D19,SUMPRODUCT((economics!$AG$2:$AG$167=$B19)*(economics!$D$2:$D$167="process")*economics!$AH$2:$AH$167*_xlfn.NORM.DIST(CH$3,economics!$AK$2:$AK$167,economics!$AJ$2:$AJ$167,TRUE)),0)</f>
        <v/>
      </c>
    </row>
    <row r="20">
      <c r="A20">
        <f>WHRPbI!A18</f>
        <v/>
      </c>
      <c r="B20" t="n">
        <v>26</v>
      </c>
      <c r="C20" s="68">
        <f>WHRPbI!B18</f>
        <v/>
      </c>
      <c r="D20">
        <f>ISNUMBER(MATCH($B20,'energy base (MECS)'!$K$4:$K$9,0))</f>
        <v/>
      </c>
      <c r="E20" s="68">
        <f t="array" ref="E20">IF($D20,SUMPRODUCT((economics!$AG$2:$AG$167=$B20)*(economics!$D$2:$D$167="process")*economics!$AH$2:$AH$167*_xlfn.NORM.DIST(E$3,economics!$AK$2:$AK$167,economics!$AJ$2:$AJ$167,TRUE)),0)</f>
        <v/>
      </c>
      <c r="F20" s="68">
        <f t="array" ref="F20">IF($D20,SUMPRODUCT((economics!$AG$2:$AG$167=$B20)*(economics!$D$2:$D$167="process")*economics!$AH$2:$AH$167*_xlfn.NORM.DIST(F$3,economics!$AK$2:$AK$167,economics!$AJ$2:$AJ$167,TRUE)),0)</f>
        <v/>
      </c>
      <c r="G20" s="68">
        <f t="array" ref="G20">IF($D20,SUMPRODUCT((economics!$AG$2:$AG$167=$B20)*(economics!$D$2:$D$167="process")*economics!$AH$2:$AH$167*_xlfn.NORM.DIST(G$3,economics!$AK$2:$AK$167,economics!$AJ$2:$AJ$167,TRUE)),0)</f>
        <v/>
      </c>
      <c r="H20" s="68">
        <f t="array" ref="H20">IF($D20,SUMPRODUCT((economics!$AG$2:$AG$167=$B20)*(economics!$D$2:$D$167="process")*economics!$AH$2:$AH$167*_xlfn.NORM.DIST(H$3,economics!$AK$2:$AK$167,economics!$AJ$2:$AJ$167,TRUE)),0)</f>
        <v/>
      </c>
      <c r="I20" s="68">
        <f t="array" ref="I20">IF($D20,SUMPRODUCT((economics!$AG$2:$AG$167=$B20)*(economics!$D$2:$D$167="process")*economics!$AH$2:$AH$167*_xlfn.NORM.DIST(I$3,economics!$AK$2:$AK$167,economics!$AJ$2:$AJ$167,TRUE)),0)</f>
        <v/>
      </c>
      <c r="J20" s="68">
        <f t="array" ref="J20">IF($D20,SUMPRODUCT((economics!$AG$2:$AG$167=$B20)*(economics!$D$2:$D$167="process")*economics!$AH$2:$AH$167*_xlfn.NORM.DIST(J$3,economics!$AK$2:$AK$167,economics!$AJ$2:$AJ$167,TRUE)),0)</f>
        <v/>
      </c>
      <c r="K20" s="68">
        <f t="array" ref="K20">IF($D20,SUMPRODUCT((economics!$AG$2:$AG$167=$B20)*(economics!$D$2:$D$167="process")*economics!$AH$2:$AH$167*_xlfn.NORM.DIST(K$3,economics!$AK$2:$AK$167,economics!$AJ$2:$AJ$167,TRUE)),0)</f>
        <v/>
      </c>
      <c r="L20" s="68">
        <f t="array" ref="L20">IF($D20,SUMPRODUCT((economics!$AG$2:$AG$167=$B20)*(economics!$D$2:$D$167="process")*economics!$AH$2:$AH$167*_xlfn.NORM.DIST(L$3,economics!$AK$2:$AK$167,economics!$AJ$2:$AJ$167,TRUE)),0)</f>
        <v/>
      </c>
      <c r="M20" s="68">
        <f t="array" ref="M20">IF($D20,SUMPRODUCT((economics!$AG$2:$AG$167=$B20)*(economics!$D$2:$D$167="process")*economics!$AH$2:$AH$167*_xlfn.NORM.DIST(M$3,economics!$AK$2:$AK$167,economics!$AJ$2:$AJ$167,TRUE)),0)</f>
        <v/>
      </c>
      <c r="N20" s="68">
        <f t="array" ref="N20">IF($D20,SUMPRODUCT((economics!$AG$2:$AG$167=$B20)*(economics!$D$2:$D$167="process")*economics!$AH$2:$AH$167*_xlfn.NORM.DIST(N$3,economics!$AK$2:$AK$167,economics!$AJ$2:$AJ$167,TRUE)),0)</f>
        <v/>
      </c>
      <c r="O20" s="68">
        <f t="array" ref="O20">IF($D20,SUMPRODUCT((economics!$AG$2:$AG$167=$B20)*(economics!$D$2:$D$167="process")*economics!$AH$2:$AH$167*_xlfn.NORM.DIST(O$3,economics!$AK$2:$AK$167,economics!$AJ$2:$AJ$167,TRUE)),0)</f>
        <v/>
      </c>
      <c r="P20" s="68">
        <f t="array" ref="P20">IF($D20,SUMPRODUCT((economics!$AG$2:$AG$167=$B20)*(economics!$D$2:$D$167="process")*economics!$AH$2:$AH$167*_xlfn.NORM.DIST(P$3,economics!$AK$2:$AK$167,economics!$AJ$2:$AJ$167,TRUE)),0)</f>
        <v/>
      </c>
      <c r="Q20" s="68">
        <f t="array" ref="Q20">IF($D20,SUMPRODUCT((economics!$AG$2:$AG$167=$B20)*(economics!$D$2:$D$167="process")*economics!$AH$2:$AH$167*_xlfn.NORM.DIST(Q$3,economics!$AK$2:$AK$167,economics!$AJ$2:$AJ$167,TRUE)),0)</f>
        <v/>
      </c>
      <c r="R20" s="68">
        <f t="array" ref="R20">IF($D20,SUMPRODUCT((economics!$AG$2:$AG$167=$B20)*(economics!$D$2:$D$167="process")*economics!$AH$2:$AH$167*_xlfn.NORM.DIST(R$3,economics!$AK$2:$AK$167,economics!$AJ$2:$AJ$167,TRUE)),0)</f>
        <v/>
      </c>
      <c r="S20" s="68">
        <f t="array" ref="S20">IF($D20,SUMPRODUCT((economics!$AG$2:$AG$167=$B20)*(economics!$D$2:$D$167="process")*economics!$AH$2:$AH$167*_xlfn.NORM.DIST(S$3,economics!$AK$2:$AK$167,economics!$AJ$2:$AJ$167,TRUE)),0)</f>
        <v/>
      </c>
      <c r="T20" s="68">
        <f t="array" ref="T20">IF($D20,SUMPRODUCT((economics!$AG$2:$AG$167=$B20)*(economics!$D$2:$D$167="process")*economics!$AH$2:$AH$167*_xlfn.NORM.DIST(T$3,economics!$AK$2:$AK$167,economics!$AJ$2:$AJ$167,TRUE)),0)</f>
        <v/>
      </c>
      <c r="U20" s="68">
        <f t="array" ref="U20">IF($D20,SUMPRODUCT((economics!$AG$2:$AG$167=$B20)*(economics!$D$2:$D$167="process")*economics!$AH$2:$AH$167*_xlfn.NORM.DIST(U$3,economics!$AK$2:$AK$167,economics!$AJ$2:$AJ$167,TRUE)),0)</f>
        <v/>
      </c>
      <c r="V20" s="68">
        <f t="array" ref="V20">IF($D20,SUMPRODUCT((economics!$AG$2:$AG$167=$B20)*(economics!$D$2:$D$167="process")*economics!$AH$2:$AH$167*_xlfn.NORM.DIST(V$3,economics!$AK$2:$AK$167,economics!$AJ$2:$AJ$167,TRUE)),0)</f>
        <v/>
      </c>
      <c r="W20" s="68">
        <f t="array" ref="W20">IF($D20,SUMPRODUCT((economics!$AG$2:$AG$167=$B20)*(economics!$D$2:$D$167="process")*economics!$AH$2:$AH$167*_xlfn.NORM.DIST(W$3,economics!$AK$2:$AK$167,economics!$AJ$2:$AJ$167,TRUE)),0)</f>
        <v/>
      </c>
      <c r="X20" s="68">
        <f t="array" ref="X20">IF($D20,SUMPRODUCT((economics!$AG$2:$AG$167=$B20)*(economics!$D$2:$D$167="process")*economics!$AH$2:$AH$167*_xlfn.NORM.DIST(X$3,economics!$AK$2:$AK$167,economics!$AJ$2:$AJ$167,TRUE)),0)</f>
        <v/>
      </c>
      <c r="Y20" s="68">
        <f t="array" ref="Y20">IF($D20,SUMPRODUCT((economics!$AG$2:$AG$167=$B20)*(economics!$D$2:$D$167="process")*economics!$AH$2:$AH$167*_xlfn.NORM.DIST(Y$3,economics!$AK$2:$AK$167,economics!$AJ$2:$AJ$167,TRUE)),0)</f>
        <v/>
      </c>
      <c r="Z20" s="68">
        <f t="array" ref="Z20">IF($D20,SUMPRODUCT((economics!$AG$2:$AG$167=$B20)*(economics!$D$2:$D$167="process")*economics!$AH$2:$AH$167*_xlfn.NORM.DIST(Z$3,economics!$AK$2:$AK$167,economics!$AJ$2:$AJ$167,TRUE)),0)</f>
        <v/>
      </c>
      <c r="AA20" s="68">
        <f t="array" ref="AA20">IF($D20,SUMPRODUCT((economics!$AG$2:$AG$167=$B20)*(economics!$D$2:$D$167="process")*economics!$AH$2:$AH$167*_xlfn.NORM.DIST(AA$3,economics!$AK$2:$AK$167,economics!$AJ$2:$AJ$167,TRUE)),0)</f>
        <v/>
      </c>
      <c r="AB20" s="68">
        <f t="array" ref="AB20">IF($D20,SUMPRODUCT((economics!$AG$2:$AG$167=$B20)*(economics!$D$2:$D$167="process")*economics!$AH$2:$AH$167*_xlfn.NORM.DIST(AB$3,economics!$AK$2:$AK$167,economics!$AJ$2:$AJ$167,TRUE)),0)</f>
        <v/>
      </c>
      <c r="AC20" s="68">
        <f t="array" ref="AC20">IF($D20,SUMPRODUCT((economics!$AG$2:$AG$167=$B20)*(economics!$D$2:$D$167="process")*economics!$AH$2:$AH$167*_xlfn.NORM.DIST(AC$3,economics!$AK$2:$AK$167,economics!$AJ$2:$AJ$167,TRUE)),0)</f>
        <v/>
      </c>
      <c r="AD20" s="68">
        <f t="array" ref="AD20">IF($D20,SUMPRODUCT((economics!$AG$2:$AG$167=$B20)*(economics!$D$2:$D$167="process")*economics!$AH$2:$AH$167*_xlfn.NORM.DIST(AD$3,economics!$AK$2:$AK$167,economics!$AJ$2:$AJ$167,TRUE)),0)</f>
        <v/>
      </c>
      <c r="AE20" s="68">
        <f t="array" ref="AE20">IF($D20,SUMPRODUCT((economics!$AG$2:$AG$167=$B20)*(economics!$D$2:$D$167="process")*economics!$AH$2:$AH$167*_xlfn.NORM.DIST(AE$3,economics!$AK$2:$AK$167,economics!$AJ$2:$AJ$167,TRUE)),0)</f>
        <v/>
      </c>
      <c r="AF20" s="68">
        <f t="array" ref="AF20">IF($D20,SUMPRODUCT((economics!$AG$2:$AG$167=$B20)*(economics!$D$2:$D$167="process")*economics!$AH$2:$AH$167*_xlfn.NORM.DIST(AF$3,economics!$AK$2:$AK$167,economics!$AJ$2:$AJ$167,TRUE)),0)</f>
        <v/>
      </c>
      <c r="AG20" s="68">
        <f t="array" ref="AG20">IF($D20,SUMPRODUCT((economics!$AG$2:$AG$167=$B20)*(economics!$D$2:$D$167="process")*economics!$AH$2:$AH$167*_xlfn.NORM.DIST(AG$3,economics!$AK$2:$AK$167,economics!$AJ$2:$AJ$167,TRUE)),0)</f>
        <v/>
      </c>
      <c r="AH20" s="68">
        <f t="array" ref="AH20">IF($D20,SUMPRODUCT((economics!$AG$2:$AG$167=$B20)*(economics!$D$2:$D$167="process")*economics!$AH$2:$AH$167*_xlfn.NORM.DIST(AH$3,economics!$AK$2:$AK$167,economics!$AJ$2:$AJ$167,TRUE)),0)</f>
        <v/>
      </c>
      <c r="AI20" s="68">
        <f t="array" ref="AI20">IF($D20,SUMPRODUCT((economics!$AG$2:$AG$167=$B20)*(economics!$D$2:$D$167="process")*economics!$AH$2:$AH$167*_xlfn.NORM.DIST(AI$3,economics!$AK$2:$AK$167,economics!$AJ$2:$AJ$167,TRUE)),0)</f>
        <v/>
      </c>
      <c r="AJ20" s="68">
        <f t="array" ref="AJ20">IF($D20,SUMPRODUCT((economics!$AG$2:$AG$167=$B20)*(economics!$D$2:$D$167="process")*economics!$AH$2:$AH$167*_xlfn.NORM.DIST(AJ$3,economics!$AK$2:$AK$167,economics!$AJ$2:$AJ$167,TRUE)),0)</f>
        <v/>
      </c>
      <c r="AK20" s="68">
        <f t="array" ref="AK20">IF($D20,SUMPRODUCT((economics!$AG$2:$AG$167=$B20)*(economics!$D$2:$D$167="process")*economics!$AH$2:$AH$167*_xlfn.NORM.DIST(AK$3,economics!$AK$2:$AK$167,economics!$AJ$2:$AJ$167,TRUE)),0)</f>
        <v/>
      </c>
      <c r="AL20" s="68">
        <f t="array" ref="AL20">IF($D20,SUMPRODUCT((economics!$AG$2:$AG$167=$B20)*(economics!$D$2:$D$167="process")*economics!$AH$2:$AH$167*_xlfn.NORM.DIST(AL$3,economics!$AK$2:$AK$167,economics!$AJ$2:$AJ$167,TRUE)),0)</f>
        <v/>
      </c>
      <c r="AM20" s="68">
        <f t="array" ref="AM20">IF($D20,SUMPRODUCT((economics!$AG$2:$AG$167=$B20)*(economics!$D$2:$D$167="process")*economics!$AH$2:$AH$167*_xlfn.NORM.DIST(AM$3,economics!$AK$2:$AK$167,economics!$AJ$2:$AJ$167,TRUE)),0)</f>
        <v/>
      </c>
      <c r="AN20" s="68">
        <f t="array" ref="AN20">IF($D20,SUMPRODUCT((economics!$AG$2:$AG$167=$B20)*(economics!$D$2:$D$167="process")*economics!$AH$2:$AH$167*_xlfn.NORM.DIST(AN$3,economics!$AK$2:$AK$167,economics!$AJ$2:$AJ$167,TRUE)),0)</f>
        <v/>
      </c>
      <c r="AO20" s="68">
        <f t="array" ref="AO20">IF($D20,SUMPRODUCT((economics!$AG$2:$AG$167=$B20)*(economics!$D$2:$D$167="process")*economics!$AH$2:$AH$167*_xlfn.NORM.DIST(AO$3,economics!$AK$2:$AK$167,economics!$AJ$2:$AJ$167,TRUE)),0)</f>
        <v/>
      </c>
      <c r="AP20" s="68">
        <f t="array" ref="AP20">IF($D20,SUMPRODUCT((economics!$AG$2:$AG$167=$B20)*(economics!$D$2:$D$167="process")*economics!$AH$2:$AH$167*_xlfn.NORM.DIST(AP$3,economics!$AK$2:$AK$167,economics!$AJ$2:$AJ$167,TRUE)),0)</f>
        <v/>
      </c>
      <c r="AQ20" s="68">
        <f t="array" ref="AQ20">IF($D20,SUMPRODUCT((economics!$AG$2:$AG$167=$B20)*(economics!$D$2:$D$167="process")*economics!$AH$2:$AH$167*_xlfn.NORM.DIST(AQ$3,economics!$AK$2:$AK$167,economics!$AJ$2:$AJ$167,TRUE)),0)</f>
        <v/>
      </c>
      <c r="AR20" s="68">
        <f t="array" ref="AR20">IF($D20,SUMPRODUCT((economics!$AG$2:$AG$167=$B20)*(economics!$D$2:$D$167="process")*economics!$AH$2:$AH$167*_xlfn.NORM.DIST(AR$3,economics!$AK$2:$AK$167,economics!$AJ$2:$AJ$167,TRUE)),0)</f>
        <v/>
      </c>
      <c r="AS20" s="68">
        <f t="array" ref="AS20">IF($D20,SUMPRODUCT((economics!$AG$2:$AG$167=$B20)*(economics!$D$2:$D$167="process")*economics!$AH$2:$AH$167*_xlfn.NORM.DIST(AS$3,economics!$AK$2:$AK$167,economics!$AJ$2:$AJ$167,TRUE)),0)</f>
        <v/>
      </c>
      <c r="AT20" s="68">
        <f t="array" ref="AT20">IF($D20,SUMPRODUCT((economics!$AG$2:$AG$167=$B20)*(economics!$D$2:$D$167="process")*economics!$AH$2:$AH$167*_xlfn.NORM.DIST(AT$3,economics!$AK$2:$AK$167,economics!$AJ$2:$AJ$167,TRUE)),0)</f>
        <v/>
      </c>
      <c r="AU20" s="68">
        <f t="array" ref="AU20">IF($D20,SUMPRODUCT((economics!$AG$2:$AG$167=$B20)*(economics!$D$2:$D$167="process")*economics!$AH$2:$AH$167*_xlfn.NORM.DIST(AU$3,economics!$AK$2:$AK$167,economics!$AJ$2:$AJ$167,TRUE)),0)</f>
        <v/>
      </c>
      <c r="AV20" s="68">
        <f t="array" ref="AV20">IF($D20,SUMPRODUCT((economics!$AG$2:$AG$167=$B20)*(economics!$D$2:$D$167="process")*economics!$AH$2:$AH$167*_xlfn.NORM.DIST(AV$3,economics!$AK$2:$AK$167,economics!$AJ$2:$AJ$167,TRUE)),0)</f>
        <v/>
      </c>
      <c r="AW20" s="68">
        <f t="array" ref="AW20">IF($D20,SUMPRODUCT((economics!$AG$2:$AG$167=$B20)*(economics!$D$2:$D$167="process")*economics!$AH$2:$AH$167*_xlfn.NORM.DIST(AW$3,economics!$AK$2:$AK$167,economics!$AJ$2:$AJ$167,TRUE)),0)</f>
        <v/>
      </c>
      <c r="AX20" s="68">
        <f t="array" ref="AX20">IF($D20,SUMPRODUCT((economics!$AG$2:$AG$167=$B20)*(economics!$D$2:$D$167="process")*economics!$AH$2:$AH$167*_xlfn.NORM.DIST(AX$3,economics!$AK$2:$AK$167,economics!$AJ$2:$AJ$167,TRUE)),0)</f>
        <v/>
      </c>
      <c r="AY20" s="68">
        <f t="array" ref="AY20">IF($D20,SUMPRODUCT((economics!$AG$2:$AG$167=$B20)*(economics!$D$2:$D$167="process")*economics!$AH$2:$AH$167*_xlfn.NORM.DIST(AY$3,economics!$AK$2:$AK$167,economics!$AJ$2:$AJ$167,TRUE)),0)</f>
        <v/>
      </c>
      <c r="AZ20" s="68">
        <f t="array" ref="AZ20">IF($D20,SUMPRODUCT((economics!$AG$2:$AG$167=$B20)*(economics!$D$2:$D$167="process")*economics!$AH$2:$AH$167*_xlfn.NORM.DIST(AZ$3,economics!$AK$2:$AK$167,economics!$AJ$2:$AJ$167,TRUE)),0)</f>
        <v/>
      </c>
      <c r="BA20" s="68">
        <f t="array" ref="BA20">IF($D20,SUMPRODUCT((economics!$AG$2:$AG$167=$B20)*(economics!$D$2:$D$167="process")*economics!$AH$2:$AH$167*_xlfn.NORM.DIST(BA$3,economics!$AK$2:$AK$167,economics!$AJ$2:$AJ$167,TRUE)),0)</f>
        <v/>
      </c>
      <c r="BB20" s="68">
        <f t="array" ref="BB20">IF($D20,SUMPRODUCT((economics!$AG$2:$AG$167=$B20)*(economics!$D$2:$D$167="process")*economics!$AH$2:$AH$167*_xlfn.NORM.DIST(BB$3,economics!$AK$2:$AK$167,economics!$AJ$2:$AJ$167,TRUE)),0)</f>
        <v/>
      </c>
      <c r="BC20" s="68">
        <f t="array" ref="BC20">IF($D20,SUMPRODUCT((economics!$AG$2:$AG$167=$B20)*(economics!$D$2:$D$167="process")*economics!$AH$2:$AH$167*_xlfn.NORM.DIST(BC$3,economics!$AK$2:$AK$167,economics!$AJ$2:$AJ$167,TRUE)),0)</f>
        <v/>
      </c>
      <c r="BD20" s="68">
        <f t="array" ref="BD20">IF($D20,SUMPRODUCT((economics!$AG$2:$AG$167=$B20)*(economics!$D$2:$D$167="process")*economics!$AH$2:$AH$167*_xlfn.NORM.DIST(BD$3,economics!$AK$2:$AK$167,economics!$AJ$2:$AJ$167,TRUE)),0)</f>
        <v/>
      </c>
      <c r="BE20" s="68">
        <f t="array" ref="BE20">IF($D20,SUMPRODUCT((economics!$AG$2:$AG$167=$B20)*(economics!$D$2:$D$167="process")*economics!$AH$2:$AH$167*_xlfn.NORM.DIST(BE$3,economics!$AK$2:$AK$167,economics!$AJ$2:$AJ$167,TRUE)),0)</f>
        <v/>
      </c>
      <c r="BF20" s="68">
        <f t="array" ref="BF20">IF($D20,SUMPRODUCT((economics!$AG$2:$AG$167=$B20)*(economics!$D$2:$D$167="process")*economics!$AH$2:$AH$167*_xlfn.NORM.DIST(BF$3,economics!$AK$2:$AK$167,economics!$AJ$2:$AJ$167,TRUE)),0)</f>
        <v/>
      </c>
      <c r="BG20" s="68">
        <f t="array" ref="BG20">IF($D20,SUMPRODUCT((economics!$AG$2:$AG$167=$B20)*(economics!$D$2:$D$167="process")*economics!$AH$2:$AH$167*_xlfn.NORM.DIST(BG$3,economics!$AK$2:$AK$167,economics!$AJ$2:$AJ$167,TRUE)),0)</f>
        <v/>
      </c>
      <c r="BH20" s="68">
        <f t="array" ref="BH20">IF($D20,SUMPRODUCT((economics!$AG$2:$AG$167=$B20)*(economics!$D$2:$D$167="process")*economics!$AH$2:$AH$167*_xlfn.NORM.DIST(BH$3,economics!$AK$2:$AK$167,economics!$AJ$2:$AJ$167,TRUE)),0)</f>
        <v/>
      </c>
      <c r="BI20" s="68">
        <f t="array" ref="BI20">IF($D20,SUMPRODUCT((economics!$AG$2:$AG$167=$B20)*(economics!$D$2:$D$167="process")*economics!$AH$2:$AH$167*_xlfn.NORM.DIST(BI$3,economics!$AK$2:$AK$167,economics!$AJ$2:$AJ$167,TRUE)),0)</f>
        <v/>
      </c>
      <c r="BJ20" s="68">
        <f t="array" ref="BJ20">IF($D20,SUMPRODUCT((economics!$AG$2:$AG$167=$B20)*(economics!$D$2:$D$167="process")*economics!$AH$2:$AH$167*_xlfn.NORM.DIST(BJ$3,economics!$AK$2:$AK$167,economics!$AJ$2:$AJ$167,TRUE)),0)</f>
        <v/>
      </c>
      <c r="BK20" s="68">
        <f t="array" ref="BK20">IF($D20,SUMPRODUCT((economics!$AG$2:$AG$167=$B20)*(economics!$D$2:$D$167="process")*economics!$AH$2:$AH$167*_xlfn.NORM.DIST(BK$3,economics!$AK$2:$AK$167,economics!$AJ$2:$AJ$167,TRUE)),0)</f>
        <v/>
      </c>
      <c r="BL20" s="68">
        <f t="array" ref="BL20">IF($D20,SUMPRODUCT((economics!$AG$2:$AG$167=$B20)*(economics!$D$2:$D$167="process")*economics!$AH$2:$AH$167*_xlfn.NORM.DIST(BL$3,economics!$AK$2:$AK$167,economics!$AJ$2:$AJ$167,TRUE)),0)</f>
        <v/>
      </c>
      <c r="BM20" s="68">
        <f t="array" ref="BM20">IF($D20,SUMPRODUCT((economics!$AG$2:$AG$167=$B20)*(economics!$D$2:$D$167="process")*economics!$AH$2:$AH$167*_xlfn.NORM.DIST(BM$3,economics!$AK$2:$AK$167,economics!$AJ$2:$AJ$167,TRUE)),0)</f>
        <v/>
      </c>
      <c r="BN20" s="68">
        <f t="array" ref="BN20">IF($D20,SUMPRODUCT((economics!$AG$2:$AG$167=$B20)*(economics!$D$2:$D$167="process")*economics!$AH$2:$AH$167*_xlfn.NORM.DIST(BN$3,economics!$AK$2:$AK$167,economics!$AJ$2:$AJ$167,TRUE)),0)</f>
        <v/>
      </c>
      <c r="BO20" s="68">
        <f t="array" ref="BO20">IF($D20,SUMPRODUCT((economics!$AG$2:$AG$167=$B20)*(economics!$D$2:$D$167="process")*economics!$AH$2:$AH$167*_xlfn.NORM.DIST(BO$3,economics!$AK$2:$AK$167,economics!$AJ$2:$AJ$167,TRUE)),0)</f>
        <v/>
      </c>
      <c r="BP20" s="68">
        <f t="array" ref="BP20">IF($D20,SUMPRODUCT((economics!$AG$2:$AG$167=$B20)*(economics!$D$2:$D$167="process")*economics!$AH$2:$AH$167*_xlfn.NORM.DIST(BP$3,economics!$AK$2:$AK$167,economics!$AJ$2:$AJ$167,TRUE)),0)</f>
        <v/>
      </c>
      <c r="BQ20" s="68">
        <f t="array" ref="BQ20">IF($D20,SUMPRODUCT((economics!$AG$2:$AG$167=$B20)*(economics!$D$2:$D$167="process")*economics!$AH$2:$AH$167*_xlfn.NORM.DIST(BQ$3,economics!$AK$2:$AK$167,economics!$AJ$2:$AJ$167,TRUE)),0)</f>
        <v/>
      </c>
      <c r="BR20" s="68">
        <f t="array" ref="BR20">IF($D20,SUMPRODUCT((economics!$AG$2:$AG$167=$B20)*(economics!$D$2:$D$167="process")*economics!$AH$2:$AH$167*_xlfn.NORM.DIST(BR$3,economics!$AK$2:$AK$167,economics!$AJ$2:$AJ$167,TRUE)),0)</f>
        <v/>
      </c>
      <c r="BS20" s="68">
        <f t="array" ref="BS20">IF($D20,SUMPRODUCT((economics!$AG$2:$AG$167=$B20)*(economics!$D$2:$D$167="process")*economics!$AH$2:$AH$167*_xlfn.NORM.DIST(BS$3,economics!$AK$2:$AK$167,economics!$AJ$2:$AJ$167,TRUE)),0)</f>
        <v/>
      </c>
      <c r="BT20" s="68">
        <f t="array" ref="BT20">IF($D20,SUMPRODUCT((economics!$AG$2:$AG$167=$B20)*(economics!$D$2:$D$167="process")*economics!$AH$2:$AH$167*_xlfn.NORM.DIST(BT$3,economics!$AK$2:$AK$167,economics!$AJ$2:$AJ$167,TRUE)),0)</f>
        <v/>
      </c>
      <c r="BU20" s="68">
        <f t="array" ref="BU20">IF($D20,SUMPRODUCT((economics!$AG$2:$AG$167=$B20)*(economics!$D$2:$D$167="process")*economics!$AH$2:$AH$167*_xlfn.NORM.DIST(BU$3,economics!$AK$2:$AK$167,economics!$AJ$2:$AJ$167,TRUE)),0)</f>
        <v/>
      </c>
      <c r="BV20" s="68">
        <f t="array" ref="BV20">IF($D20,SUMPRODUCT((economics!$AG$2:$AG$167=$B20)*(economics!$D$2:$D$167="process")*economics!$AH$2:$AH$167*_xlfn.NORM.DIST(BV$3,economics!$AK$2:$AK$167,economics!$AJ$2:$AJ$167,TRUE)),0)</f>
        <v/>
      </c>
      <c r="BW20" s="68">
        <f t="array" ref="BW20">IF($D20,SUMPRODUCT((economics!$AG$2:$AG$167=$B20)*(economics!$D$2:$D$167="process")*economics!$AH$2:$AH$167*_xlfn.NORM.DIST(BW$3,economics!$AK$2:$AK$167,economics!$AJ$2:$AJ$167,TRUE)),0)</f>
        <v/>
      </c>
      <c r="BX20" s="68">
        <f t="array" ref="BX20">IF($D20,SUMPRODUCT((economics!$AG$2:$AG$167=$B20)*(economics!$D$2:$D$167="process")*economics!$AH$2:$AH$167*_xlfn.NORM.DIST(BX$3,economics!$AK$2:$AK$167,economics!$AJ$2:$AJ$167,TRUE)),0)</f>
        <v/>
      </c>
      <c r="BY20" s="68">
        <f t="array" ref="BY20">IF($D20,SUMPRODUCT((economics!$AG$2:$AG$167=$B20)*(economics!$D$2:$D$167="process")*economics!$AH$2:$AH$167*_xlfn.NORM.DIST(BY$3,economics!$AK$2:$AK$167,economics!$AJ$2:$AJ$167,TRUE)),0)</f>
        <v/>
      </c>
      <c r="BZ20" s="68">
        <f t="array" ref="BZ20">IF($D20,SUMPRODUCT((economics!$AG$2:$AG$167=$B20)*(economics!$D$2:$D$167="process")*economics!$AH$2:$AH$167*_xlfn.NORM.DIST(BZ$3,economics!$AK$2:$AK$167,economics!$AJ$2:$AJ$167,TRUE)),0)</f>
        <v/>
      </c>
      <c r="CA20" s="68">
        <f t="array" ref="CA20">IF($D20,SUMPRODUCT((economics!$AG$2:$AG$167=$B20)*(economics!$D$2:$D$167="process")*economics!$AH$2:$AH$167*_xlfn.NORM.DIST(CA$3,economics!$AK$2:$AK$167,economics!$AJ$2:$AJ$167,TRUE)),0)</f>
        <v/>
      </c>
      <c r="CB20" s="68">
        <f t="array" ref="CB20">IF($D20,SUMPRODUCT((economics!$AG$2:$AG$167=$B20)*(economics!$D$2:$D$167="process")*economics!$AH$2:$AH$167*_xlfn.NORM.DIST(CB$3,economics!$AK$2:$AK$167,economics!$AJ$2:$AJ$167,TRUE)),0)</f>
        <v/>
      </c>
      <c r="CC20" s="68">
        <f t="array" ref="CC20">IF($D20,SUMPRODUCT((economics!$AG$2:$AG$167=$B20)*(economics!$D$2:$D$167="process")*economics!$AH$2:$AH$167*_xlfn.NORM.DIST(CC$3,economics!$AK$2:$AK$167,economics!$AJ$2:$AJ$167,TRUE)),0)</f>
        <v/>
      </c>
      <c r="CD20" s="68">
        <f t="array" ref="CD20">IF($D20,SUMPRODUCT((economics!$AG$2:$AG$167=$B20)*(economics!$D$2:$D$167="process")*economics!$AH$2:$AH$167*_xlfn.NORM.DIST(CD$3,economics!$AK$2:$AK$167,economics!$AJ$2:$AJ$167,TRUE)),0)</f>
        <v/>
      </c>
      <c r="CE20" s="68">
        <f t="array" ref="CE20">IF($D20,SUMPRODUCT((economics!$AG$2:$AG$167=$B20)*(economics!$D$2:$D$167="process")*economics!$AH$2:$AH$167*_xlfn.NORM.DIST(CE$3,economics!$AK$2:$AK$167,economics!$AJ$2:$AJ$167,TRUE)),0)</f>
        <v/>
      </c>
      <c r="CF20" s="68">
        <f t="array" ref="CF20">IF($D20,SUMPRODUCT((economics!$AG$2:$AG$167=$B20)*(economics!$D$2:$D$167="process")*economics!$AH$2:$AH$167*_xlfn.NORM.DIST(CF$3,economics!$AK$2:$AK$167,economics!$AJ$2:$AJ$167,TRUE)),0)</f>
        <v/>
      </c>
      <c r="CG20" s="68">
        <f t="array" ref="CG20">IF($D20,SUMPRODUCT((economics!$AG$2:$AG$167=$B20)*(economics!$D$2:$D$167="process")*economics!$AH$2:$AH$167*_xlfn.NORM.DIST(CG$3,economics!$AK$2:$AK$167,economics!$AJ$2:$AJ$167,TRUE)),0)</f>
        <v/>
      </c>
      <c r="CH20" s="68">
        <f t="array" ref="CH20">IF($D20,SUMPRODUCT((economics!$AG$2:$AG$167=$B20)*(economics!$D$2:$D$167="process")*economics!$AH$2:$AH$167*_xlfn.NORM.DIST(CH$3,economics!$AK$2:$AK$167,economics!$AJ$2:$AJ$167,TRUE)),0)</f>
        <v/>
      </c>
    </row>
    <row r="21">
      <c r="A21">
        <f>WHRPbI!A19</f>
        <v/>
      </c>
      <c r="B21" t="n">
        <v>27</v>
      </c>
      <c r="C21" s="68">
        <f>WHRPbI!B19</f>
        <v/>
      </c>
      <c r="D21">
        <f>ISNUMBER(MATCH($B21,'energy base (MECS)'!$K$4:$K$9,0))</f>
        <v/>
      </c>
      <c r="E21" s="68">
        <f t="array" ref="E21">IF($D21,SUMPRODUCT((economics!$AG$2:$AG$167=$B21)*(economics!$D$2:$D$167="process")*economics!$AH$2:$AH$167*_xlfn.NORM.DIST(E$3,economics!$AK$2:$AK$167,economics!$AJ$2:$AJ$167,TRUE)),0)</f>
        <v/>
      </c>
      <c r="F21" s="68">
        <f t="array" ref="F21">IF($D21,SUMPRODUCT((economics!$AG$2:$AG$167=$B21)*(economics!$D$2:$D$167="process")*economics!$AH$2:$AH$167*_xlfn.NORM.DIST(F$3,economics!$AK$2:$AK$167,economics!$AJ$2:$AJ$167,TRUE)),0)</f>
        <v/>
      </c>
      <c r="G21" s="68">
        <f t="array" ref="G21">IF($D21,SUMPRODUCT((economics!$AG$2:$AG$167=$B21)*(economics!$D$2:$D$167="process")*economics!$AH$2:$AH$167*_xlfn.NORM.DIST(G$3,economics!$AK$2:$AK$167,economics!$AJ$2:$AJ$167,TRUE)),0)</f>
        <v/>
      </c>
      <c r="H21" s="68">
        <f t="array" ref="H21">IF($D21,SUMPRODUCT((economics!$AG$2:$AG$167=$B21)*(economics!$D$2:$D$167="process")*economics!$AH$2:$AH$167*_xlfn.NORM.DIST(H$3,economics!$AK$2:$AK$167,economics!$AJ$2:$AJ$167,TRUE)),0)</f>
        <v/>
      </c>
      <c r="I21" s="68">
        <f t="array" ref="I21">IF($D21,SUMPRODUCT((economics!$AG$2:$AG$167=$B21)*(economics!$D$2:$D$167="process")*economics!$AH$2:$AH$167*_xlfn.NORM.DIST(I$3,economics!$AK$2:$AK$167,economics!$AJ$2:$AJ$167,TRUE)),0)</f>
        <v/>
      </c>
      <c r="J21" s="68">
        <f t="array" ref="J21">IF($D21,SUMPRODUCT((economics!$AG$2:$AG$167=$B21)*(economics!$D$2:$D$167="process")*economics!$AH$2:$AH$167*_xlfn.NORM.DIST(J$3,economics!$AK$2:$AK$167,economics!$AJ$2:$AJ$167,TRUE)),0)</f>
        <v/>
      </c>
      <c r="K21" s="68">
        <f t="array" ref="K21">IF($D21,SUMPRODUCT((economics!$AG$2:$AG$167=$B21)*(economics!$D$2:$D$167="process")*economics!$AH$2:$AH$167*_xlfn.NORM.DIST(K$3,economics!$AK$2:$AK$167,economics!$AJ$2:$AJ$167,TRUE)),0)</f>
        <v/>
      </c>
      <c r="L21" s="68">
        <f t="array" ref="L21">IF($D21,SUMPRODUCT((economics!$AG$2:$AG$167=$B21)*(economics!$D$2:$D$167="process")*economics!$AH$2:$AH$167*_xlfn.NORM.DIST(L$3,economics!$AK$2:$AK$167,economics!$AJ$2:$AJ$167,TRUE)),0)</f>
        <v/>
      </c>
      <c r="M21" s="68">
        <f t="array" ref="M21">IF($D21,SUMPRODUCT((economics!$AG$2:$AG$167=$B21)*(economics!$D$2:$D$167="process")*economics!$AH$2:$AH$167*_xlfn.NORM.DIST(M$3,economics!$AK$2:$AK$167,economics!$AJ$2:$AJ$167,TRUE)),0)</f>
        <v/>
      </c>
      <c r="N21" s="68">
        <f t="array" ref="N21">IF($D21,SUMPRODUCT((economics!$AG$2:$AG$167=$B21)*(economics!$D$2:$D$167="process")*economics!$AH$2:$AH$167*_xlfn.NORM.DIST(N$3,economics!$AK$2:$AK$167,economics!$AJ$2:$AJ$167,TRUE)),0)</f>
        <v/>
      </c>
      <c r="O21" s="68">
        <f t="array" ref="O21">IF($D21,SUMPRODUCT((economics!$AG$2:$AG$167=$B21)*(economics!$D$2:$D$167="process")*economics!$AH$2:$AH$167*_xlfn.NORM.DIST(O$3,economics!$AK$2:$AK$167,economics!$AJ$2:$AJ$167,TRUE)),0)</f>
        <v/>
      </c>
      <c r="P21" s="68">
        <f t="array" ref="P21">IF($D21,SUMPRODUCT((economics!$AG$2:$AG$167=$B21)*(economics!$D$2:$D$167="process")*economics!$AH$2:$AH$167*_xlfn.NORM.DIST(P$3,economics!$AK$2:$AK$167,economics!$AJ$2:$AJ$167,TRUE)),0)</f>
        <v/>
      </c>
      <c r="Q21" s="68">
        <f t="array" ref="Q21">IF($D21,SUMPRODUCT((economics!$AG$2:$AG$167=$B21)*(economics!$D$2:$D$167="process")*economics!$AH$2:$AH$167*_xlfn.NORM.DIST(Q$3,economics!$AK$2:$AK$167,economics!$AJ$2:$AJ$167,TRUE)),0)</f>
        <v/>
      </c>
      <c r="R21" s="68">
        <f t="array" ref="R21">IF($D21,SUMPRODUCT((economics!$AG$2:$AG$167=$B21)*(economics!$D$2:$D$167="process")*economics!$AH$2:$AH$167*_xlfn.NORM.DIST(R$3,economics!$AK$2:$AK$167,economics!$AJ$2:$AJ$167,TRUE)),0)</f>
        <v/>
      </c>
      <c r="S21" s="68">
        <f t="array" ref="S21">IF($D21,SUMPRODUCT((economics!$AG$2:$AG$167=$B21)*(economics!$D$2:$D$167="process")*economics!$AH$2:$AH$167*_xlfn.NORM.DIST(S$3,economics!$AK$2:$AK$167,economics!$AJ$2:$AJ$167,TRUE)),0)</f>
        <v/>
      </c>
      <c r="T21" s="68">
        <f t="array" ref="T21">IF($D21,SUMPRODUCT((economics!$AG$2:$AG$167=$B21)*(economics!$D$2:$D$167="process")*economics!$AH$2:$AH$167*_xlfn.NORM.DIST(T$3,economics!$AK$2:$AK$167,economics!$AJ$2:$AJ$167,TRUE)),0)</f>
        <v/>
      </c>
      <c r="U21" s="68">
        <f t="array" ref="U21">IF($D21,SUMPRODUCT((economics!$AG$2:$AG$167=$B21)*(economics!$D$2:$D$167="process")*economics!$AH$2:$AH$167*_xlfn.NORM.DIST(U$3,economics!$AK$2:$AK$167,economics!$AJ$2:$AJ$167,TRUE)),0)</f>
        <v/>
      </c>
      <c r="V21" s="68">
        <f t="array" ref="V21">IF($D21,SUMPRODUCT((economics!$AG$2:$AG$167=$B21)*(economics!$D$2:$D$167="process")*economics!$AH$2:$AH$167*_xlfn.NORM.DIST(V$3,economics!$AK$2:$AK$167,economics!$AJ$2:$AJ$167,TRUE)),0)</f>
        <v/>
      </c>
      <c r="W21" s="68">
        <f t="array" ref="W21">IF($D21,SUMPRODUCT((economics!$AG$2:$AG$167=$B21)*(economics!$D$2:$D$167="process")*economics!$AH$2:$AH$167*_xlfn.NORM.DIST(W$3,economics!$AK$2:$AK$167,economics!$AJ$2:$AJ$167,TRUE)),0)</f>
        <v/>
      </c>
      <c r="X21" s="68">
        <f t="array" ref="X21">IF($D21,SUMPRODUCT((economics!$AG$2:$AG$167=$B21)*(economics!$D$2:$D$167="process")*economics!$AH$2:$AH$167*_xlfn.NORM.DIST(X$3,economics!$AK$2:$AK$167,economics!$AJ$2:$AJ$167,TRUE)),0)</f>
        <v/>
      </c>
      <c r="Y21" s="68">
        <f t="array" ref="Y21">IF($D21,SUMPRODUCT((economics!$AG$2:$AG$167=$B21)*(economics!$D$2:$D$167="process")*economics!$AH$2:$AH$167*_xlfn.NORM.DIST(Y$3,economics!$AK$2:$AK$167,economics!$AJ$2:$AJ$167,TRUE)),0)</f>
        <v/>
      </c>
      <c r="Z21" s="68">
        <f t="array" ref="Z21">IF($D21,SUMPRODUCT((economics!$AG$2:$AG$167=$B21)*(economics!$D$2:$D$167="process")*economics!$AH$2:$AH$167*_xlfn.NORM.DIST(Z$3,economics!$AK$2:$AK$167,economics!$AJ$2:$AJ$167,TRUE)),0)</f>
        <v/>
      </c>
      <c r="AA21" s="68">
        <f t="array" ref="AA21">IF($D21,SUMPRODUCT((economics!$AG$2:$AG$167=$B21)*(economics!$D$2:$D$167="process")*economics!$AH$2:$AH$167*_xlfn.NORM.DIST(AA$3,economics!$AK$2:$AK$167,economics!$AJ$2:$AJ$167,TRUE)),0)</f>
        <v/>
      </c>
      <c r="AB21" s="68">
        <f t="array" ref="AB21">IF($D21,SUMPRODUCT((economics!$AG$2:$AG$167=$B21)*(economics!$D$2:$D$167="process")*economics!$AH$2:$AH$167*_xlfn.NORM.DIST(AB$3,economics!$AK$2:$AK$167,economics!$AJ$2:$AJ$167,TRUE)),0)</f>
        <v/>
      </c>
      <c r="AC21" s="68">
        <f t="array" ref="AC21">IF($D21,SUMPRODUCT((economics!$AG$2:$AG$167=$B21)*(economics!$D$2:$D$167="process")*economics!$AH$2:$AH$167*_xlfn.NORM.DIST(AC$3,economics!$AK$2:$AK$167,economics!$AJ$2:$AJ$167,TRUE)),0)</f>
        <v/>
      </c>
      <c r="AD21" s="68">
        <f t="array" ref="AD21">IF($D21,SUMPRODUCT((economics!$AG$2:$AG$167=$B21)*(economics!$D$2:$D$167="process")*economics!$AH$2:$AH$167*_xlfn.NORM.DIST(AD$3,economics!$AK$2:$AK$167,economics!$AJ$2:$AJ$167,TRUE)),0)</f>
        <v/>
      </c>
      <c r="AE21" s="68">
        <f t="array" ref="AE21">IF($D21,SUMPRODUCT((economics!$AG$2:$AG$167=$B21)*(economics!$D$2:$D$167="process")*economics!$AH$2:$AH$167*_xlfn.NORM.DIST(AE$3,economics!$AK$2:$AK$167,economics!$AJ$2:$AJ$167,TRUE)),0)</f>
        <v/>
      </c>
      <c r="AF21" s="68">
        <f t="array" ref="AF21">IF($D21,SUMPRODUCT((economics!$AG$2:$AG$167=$B21)*(economics!$D$2:$D$167="process")*economics!$AH$2:$AH$167*_xlfn.NORM.DIST(AF$3,economics!$AK$2:$AK$167,economics!$AJ$2:$AJ$167,TRUE)),0)</f>
        <v/>
      </c>
      <c r="AG21" s="68">
        <f t="array" ref="AG21">IF($D21,SUMPRODUCT((economics!$AG$2:$AG$167=$B21)*(economics!$D$2:$D$167="process")*economics!$AH$2:$AH$167*_xlfn.NORM.DIST(AG$3,economics!$AK$2:$AK$167,economics!$AJ$2:$AJ$167,TRUE)),0)</f>
        <v/>
      </c>
      <c r="AH21" s="68">
        <f t="array" ref="AH21">IF($D21,SUMPRODUCT((economics!$AG$2:$AG$167=$B21)*(economics!$D$2:$D$167="process")*economics!$AH$2:$AH$167*_xlfn.NORM.DIST(AH$3,economics!$AK$2:$AK$167,economics!$AJ$2:$AJ$167,TRUE)),0)</f>
        <v/>
      </c>
      <c r="AI21" s="68">
        <f t="array" ref="AI21">IF($D21,SUMPRODUCT((economics!$AG$2:$AG$167=$B21)*(economics!$D$2:$D$167="process")*economics!$AH$2:$AH$167*_xlfn.NORM.DIST(AI$3,economics!$AK$2:$AK$167,economics!$AJ$2:$AJ$167,TRUE)),0)</f>
        <v/>
      </c>
      <c r="AJ21" s="68">
        <f t="array" ref="AJ21">IF($D21,SUMPRODUCT((economics!$AG$2:$AG$167=$B21)*(economics!$D$2:$D$167="process")*economics!$AH$2:$AH$167*_xlfn.NORM.DIST(AJ$3,economics!$AK$2:$AK$167,economics!$AJ$2:$AJ$167,TRUE)),0)</f>
        <v/>
      </c>
      <c r="AK21" s="68">
        <f t="array" ref="AK21">IF($D21,SUMPRODUCT((economics!$AG$2:$AG$167=$B21)*(economics!$D$2:$D$167="process")*economics!$AH$2:$AH$167*_xlfn.NORM.DIST(AK$3,economics!$AK$2:$AK$167,economics!$AJ$2:$AJ$167,TRUE)),0)</f>
        <v/>
      </c>
      <c r="AL21" s="68">
        <f t="array" ref="AL21">IF($D21,SUMPRODUCT((economics!$AG$2:$AG$167=$B21)*(economics!$D$2:$D$167="process")*economics!$AH$2:$AH$167*_xlfn.NORM.DIST(AL$3,economics!$AK$2:$AK$167,economics!$AJ$2:$AJ$167,TRUE)),0)</f>
        <v/>
      </c>
      <c r="AM21" s="68">
        <f t="array" ref="AM21">IF($D21,SUMPRODUCT((economics!$AG$2:$AG$167=$B21)*(economics!$D$2:$D$167="process")*economics!$AH$2:$AH$167*_xlfn.NORM.DIST(AM$3,economics!$AK$2:$AK$167,economics!$AJ$2:$AJ$167,TRUE)),0)</f>
        <v/>
      </c>
      <c r="AN21" s="68">
        <f t="array" ref="AN21">IF($D21,SUMPRODUCT((economics!$AG$2:$AG$167=$B21)*(economics!$D$2:$D$167="process")*economics!$AH$2:$AH$167*_xlfn.NORM.DIST(AN$3,economics!$AK$2:$AK$167,economics!$AJ$2:$AJ$167,TRUE)),0)</f>
        <v/>
      </c>
      <c r="AO21" s="68">
        <f t="array" ref="AO21">IF($D21,SUMPRODUCT((economics!$AG$2:$AG$167=$B21)*(economics!$D$2:$D$167="process")*economics!$AH$2:$AH$167*_xlfn.NORM.DIST(AO$3,economics!$AK$2:$AK$167,economics!$AJ$2:$AJ$167,TRUE)),0)</f>
        <v/>
      </c>
      <c r="AP21" s="68">
        <f t="array" ref="AP21">IF($D21,SUMPRODUCT((economics!$AG$2:$AG$167=$B21)*(economics!$D$2:$D$167="process")*economics!$AH$2:$AH$167*_xlfn.NORM.DIST(AP$3,economics!$AK$2:$AK$167,economics!$AJ$2:$AJ$167,TRUE)),0)</f>
        <v/>
      </c>
      <c r="AQ21" s="68">
        <f t="array" ref="AQ21">IF($D21,SUMPRODUCT((economics!$AG$2:$AG$167=$B21)*(economics!$D$2:$D$167="process")*economics!$AH$2:$AH$167*_xlfn.NORM.DIST(AQ$3,economics!$AK$2:$AK$167,economics!$AJ$2:$AJ$167,TRUE)),0)</f>
        <v/>
      </c>
      <c r="AR21" s="68">
        <f t="array" ref="AR21">IF($D21,SUMPRODUCT((economics!$AG$2:$AG$167=$B21)*(economics!$D$2:$D$167="process")*economics!$AH$2:$AH$167*_xlfn.NORM.DIST(AR$3,economics!$AK$2:$AK$167,economics!$AJ$2:$AJ$167,TRUE)),0)</f>
        <v/>
      </c>
      <c r="AS21" s="68">
        <f t="array" ref="AS21">IF($D21,SUMPRODUCT((economics!$AG$2:$AG$167=$B21)*(economics!$D$2:$D$167="process")*economics!$AH$2:$AH$167*_xlfn.NORM.DIST(AS$3,economics!$AK$2:$AK$167,economics!$AJ$2:$AJ$167,TRUE)),0)</f>
        <v/>
      </c>
      <c r="AT21" s="68">
        <f t="array" ref="AT21">IF($D21,SUMPRODUCT((economics!$AG$2:$AG$167=$B21)*(economics!$D$2:$D$167="process")*economics!$AH$2:$AH$167*_xlfn.NORM.DIST(AT$3,economics!$AK$2:$AK$167,economics!$AJ$2:$AJ$167,TRUE)),0)</f>
        <v/>
      </c>
      <c r="AU21" s="68">
        <f t="array" ref="AU21">IF($D21,SUMPRODUCT((economics!$AG$2:$AG$167=$B21)*(economics!$D$2:$D$167="process")*economics!$AH$2:$AH$167*_xlfn.NORM.DIST(AU$3,economics!$AK$2:$AK$167,economics!$AJ$2:$AJ$167,TRUE)),0)</f>
        <v/>
      </c>
      <c r="AV21" s="68">
        <f t="array" ref="AV21">IF($D21,SUMPRODUCT((economics!$AG$2:$AG$167=$B21)*(economics!$D$2:$D$167="process")*economics!$AH$2:$AH$167*_xlfn.NORM.DIST(AV$3,economics!$AK$2:$AK$167,economics!$AJ$2:$AJ$167,TRUE)),0)</f>
        <v/>
      </c>
      <c r="AW21" s="68">
        <f t="array" ref="AW21">IF($D21,SUMPRODUCT((economics!$AG$2:$AG$167=$B21)*(economics!$D$2:$D$167="process")*economics!$AH$2:$AH$167*_xlfn.NORM.DIST(AW$3,economics!$AK$2:$AK$167,economics!$AJ$2:$AJ$167,TRUE)),0)</f>
        <v/>
      </c>
      <c r="AX21" s="68">
        <f t="array" ref="AX21">IF($D21,SUMPRODUCT((economics!$AG$2:$AG$167=$B21)*(economics!$D$2:$D$167="process")*economics!$AH$2:$AH$167*_xlfn.NORM.DIST(AX$3,economics!$AK$2:$AK$167,economics!$AJ$2:$AJ$167,TRUE)),0)</f>
        <v/>
      </c>
      <c r="AY21" s="68">
        <f t="array" ref="AY21">IF($D21,SUMPRODUCT((economics!$AG$2:$AG$167=$B21)*(economics!$D$2:$D$167="process")*economics!$AH$2:$AH$167*_xlfn.NORM.DIST(AY$3,economics!$AK$2:$AK$167,economics!$AJ$2:$AJ$167,TRUE)),0)</f>
        <v/>
      </c>
      <c r="AZ21" s="68">
        <f t="array" ref="AZ21">IF($D21,SUMPRODUCT((economics!$AG$2:$AG$167=$B21)*(economics!$D$2:$D$167="process")*economics!$AH$2:$AH$167*_xlfn.NORM.DIST(AZ$3,economics!$AK$2:$AK$167,economics!$AJ$2:$AJ$167,TRUE)),0)</f>
        <v/>
      </c>
      <c r="BA21" s="68">
        <f t="array" ref="BA21">IF($D21,SUMPRODUCT((economics!$AG$2:$AG$167=$B21)*(economics!$D$2:$D$167="process")*economics!$AH$2:$AH$167*_xlfn.NORM.DIST(BA$3,economics!$AK$2:$AK$167,economics!$AJ$2:$AJ$167,TRUE)),0)</f>
        <v/>
      </c>
      <c r="BB21" s="68">
        <f t="array" ref="BB21">IF($D21,SUMPRODUCT((economics!$AG$2:$AG$167=$B21)*(economics!$D$2:$D$167="process")*economics!$AH$2:$AH$167*_xlfn.NORM.DIST(BB$3,economics!$AK$2:$AK$167,economics!$AJ$2:$AJ$167,TRUE)),0)</f>
        <v/>
      </c>
      <c r="BC21" s="68">
        <f t="array" ref="BC21">IF($D21,SUMPRODUCT((economics!$AG$2:$AG$167=$B21)*(economics!$D$2:$D$167="process")*economics!$AH$2:$AH$167*_xlfn.NORM.DIST(BC$3,economics!$AK$2:$AK$167,economics!$AJ$2:$AJ$167,TRUE)),0)</f>
        <v/>
      </c>
      <c r="BD21" s="68">
        <f t="array" ref="BD21">IF($D21,SUMPRODUCT((economics!$AG$2:$AG$167=$B21)*(economics!$D$2:$D$167="process")*economics!$AH$2:$AH$167*_xlfn.NORM.DIST(BD$3,economics!$AK$2:$AK$167,economics!$AJ$2:$AJ$167,TRUE)),0)</f>
        <v/>
      </c>
      <c r="BE21" s="68">
        <f t="array" ref="BE21">IF($D21,SUMPRODUCT((economics!$AG$2:$AG$167=$B21)*(economics!$D$2:$D$167="process")*economics!$AH$2:$AH$167*_xlfn.NORM.DIST(BE$3,economics!$AK$2:$AK$167,economics!$AJ$2:$AJ$167,TRUE)),0)</f>
        <v/>
      </c>
      <c r="BF21" s="68">
        <f t="array" ref="BF21">IF($D21,SUMPRODUCT((economics!$AG$2:$AG$167=$B21)*(economics!$D$2:$D$167="process")*economics!$AH$2:$AH$167*_xlfn.NORM.DIST(BF$3,economics!$AK$2:$AK$167,economics!$AJ$2:$AJ$167,TRUE)),0)</f>
        <v/>
      </c>
      <c r="BG21" s="68">
        <f t="array" ref="BG21">IF($D21,SUMPRODUCT((economics!$AG$2:$AG$167=$B21)*(economics!$D$2:$D$167="process")*economics!$AH$2:$AH$167*_xlfn.NORM.DIST(BG$3,economics!$AK$2:$AK$167,economics!$AJ$2:$AJ$167,TRUE)),0)</f>
        <v/>
      </c>
      <c r="BH21" s="68">
        <f t="array" ref="BH21">IF($D21,SUMPRODUCT((economics!$AG$2:$AG$167=$B21)*(economics!$D$2:$D$167="process")*economics!$AH$2:$AH$167*_xlfn.NORM.DIST(BH$3,economics!$AK$2:$AK$167,economics!$AJ$2:$AJ$167,TRUE)),0)</f>
        <v/>
      </c>
      <c r="BI21" s="68">
        <f t="array" ref="BI21">IF($D21,SUMPRODUCT((economics!$AG$2:$AG$167=$B21)*(economics!$D$2:$D$167="process")*economics!$AH$2:$AH$167*_xlfn.NORM.DIST(BI$3,economics!$AK$2:$AK$167,economics!$AJ$2:$AJ$167,TRUE)),0)</f>
        <v/>
      </c>
      <c r="BJ21" s="68">
        <f t="array" ref="BJ21">IF($D21,SUMPRODUCT((economics!$AG$2:$AG$167=$B21)*(economics!$D$2:$D$167="process")*economics!$AH$2:$AH$167*_xlfn.NORM.DIST(BJ$3,economics!$AK$2:$AK$167,economics!$AJ$2:$AJ$167,TRUE)),0)</f>
        <v/>
      </c>
      <c r="BK21" s="68">
        <f t="array" ref="BK21">IF($D21,SUMPRODUCT((economics!$AG$2:$AG$167=$B21)*(economics!$D$2:$D$167="process")*economics!$AH$2:$AH$167*_xlfn.NORM.DIST(BK$3,economics!$AK$2:$AK$167,economics!$AJ$2:$AJ$167,TRUE)),0)</f>
        <v/>
      </c>
      <c r="BL21" s="68">
        <f t="array" ref="BL21">IF($D21,SUMPRODUCT((economics!$AG$2:$AG$167=$B21)*(economics!$D$2:$D$167="process")*economics!$AH$2:$AH$167*_xlfn.NORM.DIST(BL$3,economics!$AK$2:$AK$167,economics!$AJ$2:$AJ$167,TRUE)),0)</f>
        <v/>
      </c>
      <c r="BM21" s="68">
        <f t="array" ref="BM21">IF($D21,SUMPRODUCT((economics!$AG$2:$AG$167=$B21)*(economics!$D$2:$D$167="process")*economics!$AH$2:$AH$167*_xlfn.NORM.DIST(BM$3,economics!$AK$2:$AK$167,economics!$AJ$2:$AJ$167,TRUE)),0)</f>
        <v/>
      </c>
      <c r="BN21" s="68">
        <f t="array" ref="BN21">IF($D21,SUMPRODUCT((economics!$AG$2:$AG$167=$B21)*(economics!$D$2:$D$167="process")*economics!$AH$2:$AH$167*_xlfn.NORM.DIST(BN$3,economics!$AK$2:$AK$167,economics!$AJ$2:$AJ$167,TRUE)),0)</f>
        <v/>
      </c>
      <c r="BO21" s="68">
        <f t="array" ref="BO21">IF($D21,SUMPRODUCT((economics!$AG$2:$AG$167=$B21)*(economics!$D$2:$D$167="process")*economics!$AH$2:$AH$167*_xlfn.NORM.DIST(BO$3,economics!$AK$2:$AK$167,economics!$AJ$2:$AJ$167,TRUE)),0)</f>
        <v/>
      </c>
      <c r="BP21" s="68">
        <f t="array" ref="BP21">IF($D21,SUMPRODUCT((economics!$AG$2:$AG$167=$B21)*(economics!$D$2:$D$167="process")*economics!$AH$2:$AH$167*_xlfn.NORM.DIST(BP$3,economics!$AK$2:$AK$167,economics!$AJ$2:$AJ$167,TRUE)),0)</f>
        <v/>
      </c>
      <c r="BQ21" s="68">
        <f t="array" ref="BQ21">IF($D21,SUMPRODUCT((economics!$AG$2:$AG$167=$B21)*(economics!$D$2:$D$167="process")*economics!$AH$2:$AH$167*_xlfn.NORM.DIST(BQ$3,economics!$AK$2:$AK$167,economics!$AJ$2:$AJ$167,TRUE)),0)</f>
        <v/>
      </c>
      <c r="BR21" s="68">
        <f t="array" ref="BR21">IF($D21,SUMPRODUCT((economics!$AG$2:$AG$167=$B21)*(economics!$D$2:$D$167="process")*economics!$AH$2:$AH$167*_xlfn.NORM.DIST(BR$3,economics!$AK$2:$AK$167,economics!$AJ$2:$AJ$167,TRUE)),0)</f>
        <v/>
      </c>
      <c r="BS21" s="68">
        <f t="array" ref="BS21">IF($D21,SUMPRODUCT((economics!$AG$2:$AG$167=$B21)*(economics!$D$2:$D$167="process")*economics!$AH$2:$AH$167*_xlfn.NORM.DIST(BS$3,economics!$AK$2:$AK$167,economics!$AJ$2:$AJ$167,TRUE)),0)</f>
        <v/>
      </c>
      <c r="BT21" s="68">
        <f t="array" ref="BT21">IF($D21,SUMPRODUCT((economics!$AG$2:$AG$167=$B21)*(economics!$D$2:$D$167="process")*economics!$AH$2:$AH$167*_xlfn.NORM.DIST(BT$3,economics!$AK$2:$AK$167,economics!$AJ$2:$AJ$167,TRUE)),0)</f>
        <v/>
      </c>
      <c r="BU21" s="68">
        <f t="array" ref="BU21">IF($D21,SUMPRODUCT((economics!$AG$2:$AG$167=$B21)*(economics!$D$2:$D$167="process")*economics!$AH$2:$AH$167*_xlfn.NORM.DIST(BU$3,economics!$AK$2:$AK$167,economics!$AJ$2:$AJ$167,TRUE)),0)</f>
        <v/>
      </c>
      <c r="BV21" s="68">
        <f t="array" ref="BV21">IF($D21,SUMPRODUCT((economics!$AG$2:$AG$167=$B21)*(economics!$D$2:$D$167="process")*economics!$AH$2:$AH$167*_xlfn.NORM.DIST(BV$3,economics!$AK$2:$AK$167,economics!$AJ$2:$AJ$167,TRUE)),0)</f>
        <v/>
      </c>
      <c r="BW21" s="68">
        <f t="array" ref="BW21">IF($D21,SUMPRODUCT((economics!$AG$2:$AG$167=$B21)*(economics!$D$2:$D$167="process")*economics!$AH$2:$AH$167*_xlfn.NORM.DIST(BW$3,economics!$AK$2:$AK$167,economics!$AJ$2:$AJ$167,TRUE)),0)</f>
        <v/>
      </c>
      <c r="BX21" s="68">
        <f t="array" ref="BX21">IF($D21,SUMPRODUCT((economics!$AG$2:$AG$167=$B21)*(economics!$D$2:$D$167="process")*economics!$AH$2:$AH$167*_xlfn.NORM.DIST(BX$3,economics!$AK$2:$AK$167,economics!$AJ$2:$AJ$167,TRUE)),0)</f>
        <v/>
      </c>
      <c r="BY21" s="68">
        <f t="array" ref="BY21">IF($D21,SUMPRODUCT((economics!$AG$2:$AG$167=$B21)*(economics!$D$2:$D$167="process")*economics!$AH$2:$AH$167*_xlfn.NORM.DIST(BY$3,economics!$AK$2:$AK$167,economics!$AJ$2:$AJ$167,TRUE)),0)</f>
        <v/>
      </c>
      <c r="BZ21" s="68">
        <f t="array" ref="BZ21">IF($D21,SUMPRODUCT((economics!$AG$2:$AG$167=$B21)*(economics!$D$2:$D$167="process")*economics!$AH$2:$AH$167*_xlfn.NORM.DIST(BZ$3,economics!$AK$2:$AK$167,economics!$AJ$2:$AJ$167,TRUE)),0)</f>
        <v/>
      </c>
      <c r="CA21" s="68">
        <f t="array" ref="CA21">IF($D21,SUMPRODUCT((economics!$AG$2:$AG$167=$B21)*(economics!$D$2:$D$167="process")*economics!$AH$2:$AH$167*_xlfn.NORM.DIST(CA$3,economics!$AK$2:$AK$167,economics!$AJ$2:$AJ$167,TRUE)),0)</f>
        <v/>
      </c>
      <c r="CB21" s="68">
        <f t="array" ref="CB21">IF($D21,SUMPRODUCT((economics!$AG$2:$AG$167=$B21)*(economics!$D$2:$D$167="process")*economics!$AH$2:$AH$167*_xlfn.NORM.DIST(CB$3,economics!$AK$2:$AK$167,economics!$AJ$2:$AJ$167,TRUE)),0)</f>
        <v/>
      </c>
      <c r="CC21" s="68">
        <f t="array" ref="CC21">IF($D21,SUMPRODUCT((economics!$AG$2:$AG$167=$B21)*(economics!$D$2:$D$167="process")*economics!$AH$2:$AH$167*_xlfn.NORM.DIST(CC$3,economics!$AK$2:$AK$167,economics!$AJ$2:$AJ$167,TRUE)),0)</f>
        <v/>
      </c>
      <c r="CD21" s="68">
        <f t="array" ref="CD21">IF($D21,SUMPRODUCT((economics!$AG$2:$AG$167=$B21)*(economics!$D$2:$D$167="process")*economics!$AH$2:$AH$167*_xlfn.NORM.DIST(CD$3,economics!$AK$2:$AK$167,economics!$AJ$2:$AJ$167,TRUE)),0)</f>
        <v/>
      </c>
      <c r="CE21" s="68">
        <f t="array" ref="CE21">IF($D21,SUMPRODUCT((economics!$AG$2:$AG$167=$B21)*(economics!$D$2:$D$167="process")*economics!$AH$2:$AH$167*_xlfn.NORM.DIST(CE$3,economics!$AK$2:$AK$167,economics!$AJ$2:$AJ$167,TRUE)),0)</f>
        <v/>
      </c>
      <c r="CF21" s="68">
        <f t="array" ref="CF21">IF($D21,SUMPRODUCT((economics!$AG$2:$AG$167=$B21)*(economics!$D$2:$D$167="process")*economics!$AH$2:$AH$167*_xlfn.NORM.DIST(CF$3,economics!$AK$2:$AK$167,economics!$AJ$2:$AJ$167,TRUE)),0)</f>
        <v/>
      </c>
      <c r="CG21" s="68">
        <f t="array" ref="CG21">IF($D21,SUMPRODUCT((economics!$AG$2:$AG$167=$B21)*(economics!$D$2:$D$167="process")*economics!$AH$2:$AH$167*_xlfn.NORM.DIST(CG$3,economics!$AK$2:$AK$167,economics!$AJ$2:$AJ$167,TRUE)),0)</f>
        <v/>
      </c>
      <c r="CH21" s="68">
        <f t="array" ref="CH21">IF($D21,SUMPRODUCT((economics!$AG$2:$AG$167=$B21)*(economics!$D$2:$D$167="process")*economics!$AH$2:$AH$167*_xlfn.NORM.DIST(CH$3,economics!$AK$2:$AK$167,economics!$AJ$2:$AJ$167,TRUE)),0)</f>
        <v/>
      </c>
    </row>
    <row r="22">
      <c r="A22">
        <f>WHRPbI!A20</f>
        <v/>
      </c>
      <c r="B22" t="n">
        <v>28</v>
      </c>
      <c r="C22" s="68">
        <f>WHRPbI!B20</f>
        <v/>
      </c>
      <c r="D22">
        <f>ISNUMBER(MATCH($B22,'energy base (MECS)'!$K$4:$K$9,0))</f>
        <v/>
      </c>
      <c r="E22" s="68">
        <f t="array" ref="E22">IF($D22,SUMPRODUCT((economics!$AG$2:$AG$167=$B22)*(economics!$D$2:$D$167="process")*economics!$AH$2:$AH$167*_xlfn.NORM.DIST(E$3,economics!$AK$2:$AK$167,economics!$AJ$2:$AJ$167,TRUE)),0)</f>
        <v/>
      </c>
      <c r="F22" s="68">
        <f t="array" ref="F22">IF($D22,SUMPRODUCT((economics!$AG$2:$AG$167=$B22)*(economics!$D$2:$D$167="process")*economics!$AH$2:$AH$167*_xlfn.NORM.DIST(F$3,economics!$AK$2:$AK$167,economics!$AJ$2:$AJ$167,TRUE)),0)</f>
        <v/>
      </c>
      <c r="G22" s="68">
        <f t="array" ref="G22">IF($D22,SUMPRODUCT((economics!$AG$2:$AG$167=$B22)*(economics!$D$2:$D$167="process")*economics!$AH$2:$AH$167*_xlfn.NORM.DIST(G$3,economics!$AK$2:$AK$167,economics!$AJ$2:$AJ$167,TRUE)),0)</f>
        <v/>
      </c>
      <c r="H22" s="68">
        <f t="array" ref="H22">IF($D22,SUMPRODUCT((economics!$AG$2:$AG$167=$B22)*(economics!$D$2:$D$167="process")*economics!$AH$2:$AH$167*_xlfn.NORM.DIST(H$3,economics!$AK$2:$AK$167,economics!$AJ$2:$AJ$167,TRUE)),0)</f>
        <v/>
      </c>
      <c r="I22" s="68">
        <f t="array" ref="I22">IF($D22,SUMPRODUCT((economics!$AG$2:$AG$167=$B22)*(economics!$D$2:$D$167="process")*economics!$AH$2:$AH$167*_xlfn.NORM.DIST(I$3,economics!$AK$2:$AK$167,economics!$AJ$2:$AJ$167,TRUE)),0)</f>
        <v/>
      </c>
      <c r="J22" s="68">
        <f t="array" ref="J22">IF($D22,SUMPRODUCT((economics!$AG$2:$AG$167=$B22)*(economics!$D$2:$D$167="process")*economics!$AH$2:$AH$167*_xlfn.NORM.DIST(J$3,economics!$AK$2:$AK$167,economics!$AJ$2:$AJ$167,TRUE)),0)</f>
        <v/>
      </c>
      <c r="K22" s="68">
        <f t="array" ref="K22">IF($D22,SUMPRODUCT((economics!$AG$2:$AG$167=$B22)*(economics!$D$2:$D$167="process")*economics!$AH$2:$AH$167*_xlfn.NORM.DIST(K$3,economics!$AK$2:$AK$167,economics!$AJ$2:$AJ$167,TRUE)),0)</f>
        <v/>
      </c>
      <c r="L22" s="68">
        <f t="array" ref="L22">IF($D22,SUMPRODUCT((economics!$AG$2:$AG$167=$B22)*(economics!$D$2:$D$167="process")*economics!$AH$2:$AH$167*_xlfn.NORM.DIST(L$3,economics!$AK$2:$AK$167,economics!$AJ$2:$AJ$167,TRUE)),0)</f>
        <v/>
      </c>
      <c r="M22" s="68">
        <f t="array" ref="M22">IF($D22,SUMPRODUCT((economics!$AG$2:$AG$167=$B22)*(economics!$D$2:$D$167="process")*economics!$AH$2:$AH$167*_xlfn.NORM.DIST(M$3,economics!$AK$2:$AK$167,economics!$AJ$2:$AJ$167,TRUE)),0)</f>
        <v/>
      </c>
      <c r="N22" s="68">
        <f t="array" ref="N22">IF($D22,SUMPRODUCT((economics!$AG$2:$AG$167=$B22)*(economics!$D$2:$D$167="process")*economics!$AH$2:$AH$167*_xlfn.NORM.DIST(N$3,economics!$AK$2:$AK$167,economics!$AJ$2:$AJ$167,TRUE)),0)</f>
        <v/>
      </c>
      <c r="O22" s="68">
        <f t="array" ref="O22">IF($D22,SUMPRODUCT((economics!$AG$2:$AG$167=$B22)*(economics!$D$2:$D$167="process")*economics!$AH$2:$AH$167*_xlfn.NORM.DIST(O$3,economics!$AK$2:$AK$167,economics!$AJ$2:$AJ$167,TRUE)),0)</f>
        <v/>
      </c>
      <c r="P22" s="68">
        <f t="array" ref="P22">IF($D22,SUMPRODUCT((economics!$AG$2:$AG$167=$B22)*(economics!$D$2:$D$167="process")*economics!$AH$2:$AH$167*_xlfn.NORM.DIST(P$3,economics!$AK$2:$AK$167,economics!$AJ$2:$AJ$167,TRUE)),0)</f>
        <v/>
      </c>
      <c r="Q22" s="68">
        <f t="array" ref="Q22">IF($D22,SUMPRODUCT((economics!$AG$2:$AG$167=$B22)*(economics!$D$2:$D$167="process")*economics!$AH$2:$AH$167*_xlfn.NORM.DIST(Q$3,economics!$AK$2:$AK$167,economics!$AJ$2:$AJ$167,TRUE)),0)</f>
        <v/>
      </c>
      <c r="R22" s="68">
        <f t="array" ref="R22">IF($D22,SUMPRODUCT((economics!$AG$2:$AG$167=$B22)*(economics!$D$2:$D$167="process")*economics!$AH$2:$AH$167*_xlfn.NORM.DIST(R$3,economics!$AK$2:$AK$167,economics!$AJ$2:$AJ$167,TRUE)),0)</f>
        <v/>
      </c>
      <c r="S22" s="68">
        <f t="array" ref="S22">IF($D22,SUMPRODUCT((economics!$AG$2:$AG$167=$B22)*(economics!$D$2:$D$167="process")*economics!$AH$2:$AH$167*_xlfn.NORM.DIST(S$3,economics!$AK$2:$AK$167,economics!$AJ$2:$AJ$167,TRUE)),0)</f>
        <v/>
      </c>
      <c r="T22" s="68">
        <f t="array" ref="T22">IF($D22,SUMPRODUCT((economics!$AG$2:$AG$167=$B22)*(economics!$D$2:$D$167="process")*economics!$AH$2:$AH$167*_xlfn.NORM.DIST(T$3,economics!$AK$2:$AK$167,economics!$AJ$2:$AJ$167,TRUE)),0)</f>
        <v/>
      </c>
      <c r="U22" s="68">
        <f t="array" ref="U22">IF($D22,SUMPRODUCT((economics!$AG$2:$AG$167=$B22)*(economics!$D$2:$D$167="process")*economics!$AH$2:$AH$167*_xlfn.NORM.DIST(U$3,economics!$AK$2:$AK$167,economics!$AJ$2:$AJ$167,TRUE)),0)</f>
        <v/>
      </c>
      <c r="V22" s="68">
        <f t="array" ref="V22">IF($D22,SUMPRODUCT((economics!$AG$2:$AG$167=$B22)*(economics!$D$2:$D$167="process")*economics!$AH$2:$AH$167*_xlfn.NORM.DIST(V$3,economics!$AK$2:$AK$167,economics!$AJ$2:$AJ$167,TRUE)),0)</f>
        <v/>
      </c>
      <c r="W22" s="68">
        <f t="array" ref="W22">IF($D22,SUMPRODUCT((economics!$AG$2:$AG$167=$B22)*(economics!$D$2:$D$167="process")*economics!$AH$2:$AH$167*_xlfn.NORM.DIST(W$3,economics!$AK$2:$AK$167,economics!$AJ$2:$AJ$167,TRUE)),0)</f>
        <v/>
      </c>
      <c r="X22" s="68">
        <f t="array" ref="X22">IF($D22,SUMPRODUCT((economics!$AG$2:$AG$167=$B22)*(economics!$D$2:$D$167="process")*economics!$AH$2:$AH$167*_xlfn.NORM.DIST(X$3,economics!$AK$2:$AK$167,economics!$AJ$2:$AJ$167,TRUE)),0)</f>
        <v/>
      </c>
      <c r="Y22" s="68">
        <f t="array" ref="Y22">IF($D22,SUMPRODUCT((economics!$AG$2:$AG$167=$B22)*(economics!$D$2:$D$167="process")*economics!$AH$2:$AH$167*_xlfn.NORM.DIST(Y$3,economics!$AK$2:$AK$167,economics!$AJ$2:$AJ$167,TRUE)),0)</f>
        <v/>
      </c>
      <c r="Z22" s="68">
        <f t="array" ref="Z22">IF($D22,SUMPRODUCT((economics!$AG$2:$AG$167=$B22)*(economics!$D$2:$D$167="process")*economics!$AH$2:$AH$167*_xlfn.NORM.DIST(Z$3,economics!$AK$2:$AK$167,economics!$AJ$2:$AJ$167,TRUE)),0)</f>
        <v/>
      </c>
      <c r="AA22" s="68">
        <f t="array" ref="AA22">IF($D22,SUMPRODUCT((economics!$AG$2:$AG$167=$B22)*(economics!$D$2:$D$167="process")*economics!$AH$2:$AH$167*_xlfn.NORM.DIST(AA$3,economics!$AK$2:$AK$167,economics!$AJ$2:$AJ$167,TRUE)),0)</f>
        <v/>
      </c>
      <c r="AB22" s="68">
        <f t="array" ref="AB22">IF($D22,SUMPRODUCT((economics!$AG$2:$AG$167=$B22)*(economics!$D$2:$D$167="process")*economics!$AH$2:$AH$167*_xlfn.NORM.DIST(AB$3,economics!$AK$2:$AK$167,economics!$AJ$2:$AJ$167,TRUE)),0)</f>
        <v/>
      </c>
      <c r="AC22" s="68">
        <f t="array" ref="AC22">IF($D22,SUMPRODUCT((economics!$AG$2:$AG$167=$B22)*(economics!$D$2:$D$167="process")*economics!$AH$2:$AH$167*_xlfn.NORM.DIST(AC$3,economics!$AK$2:$AK$167,economics!$AJ$2:$AJ$167,TRUE)),0)</f>
        <v/>
      </c>
      <c r="AD22" s="68">
        <f t="array" ref="AD22">IF($D22,SUMPRODUCT((economics!$AG$2:$AG$167=$B22)*(economics!$D$2:$D$167="process")*economics!$AH$2:$AH$167*_xlfn.NORM.DIST(AD$3,economics!$AK$2:$AK$167,economics!$AJ$2:$AJ$167,TRUE)),0)</f>
        <v/>
      </c>
      <c r="AE22" s="68">
        <f t="array" ref="AE22">IF($D22,SUMPRODUCT((economics!$AG$2:$AG$167=$B22)*(economics!$D$2:$D$167="process")*economics!$AH$2:$AH$167*_xlfn.NORM.DIST(AE$3,economics!$AK$2:$AK$167,economics!$AJ$2:$AJ$167,TRUE)),0)</f>
        <v/>
      </c>
      <c r="AF22" s="68">
        <f t="array" ref="AF22">IF($D22,SUMPRODUCT((economics!$AG$2:$AG$167=$B22)*(economics!$D$2:$D$167="process")*economics!$AH$2:$AH$167*_xlfn.NORM.DIST(AF$3,economics!$AK$2:$AK$167,economics!$AJ$2:$AJ$167,TRUE)),0)</f>
        <v/>
      </c>
      <c r="AG22" s="68">
        <f t="array" ref="AG22">IF($D22,SUMPRODUCT((economics!$AG$2:$AG$167=$B22)*(economics!$D$2:$D$167="process")*economics!$AH$2:$AH$167*_xlfn.NORM.DIST(AG$3,economics!$AK$2:$AK$167,economics!$AJ$2:$AJ$167,TRUE)),0)</f>
        <v/>
      </c>
      <c r="AH22" s="68">
        <f t="array" ref="AH22">IF($D22,SUMPRODUCT((economics!$AG$2:$AG$167=$B22)*(economics!$D$2:$D$167="process")*economics!$AH$2:$AH$167*_xlfn.NORM.DIST(AH$3,economics!$AK$2:$AK$167,economics!$AJ$2:$AJ$167,TRUE)),0)</f>
        <v/>
      </c>
      <c r="AI22" s="68">
        <f t="array" ref="AI22">IF($D22,SUMPRODUCT((economics!$AG$2:$AG$167=$B22)*(economics!$D$2:$D$167="process")*economics!$AH$2:$AH$167*_xlfn.NORM.DIST(AI$3,economics!$AK$2:$AK$167,economics!$AJ$2:$AJ$167,TRUE)),0)</f>
        <v/>
      </c>
      <c r="AJ22" s="68">
        <f t="array" ref="AJ22">IF($D22,SUMPRODUCT((economics!$AG$2:$AG$167=$B22)*(economics!$D$2:$D$167="process")*economics!$AH$2:$AH$167*_xlfn.NORM.DIST(AJ$3,economics!$AK$2:$AK$167,economics!$AJ$2:$AJ$167,TRUE)),0)</f>
        <v/>
      </c>
      <c r="AK22" s="68">
        <f t="array" ref="AK22">IF($D22,SUMPRODUCT((economics!$AG$2:$AG$167=$B22)*(economics!$D$2:$D$167="process")*economics!$AH$2:$AH$167*_xlfn.NORM.DIST(AK$3,economics!$AK$2:$AK$167,economics!$AJ$2:$AJ$167,TRUE)),0)</f>
        <v/>
      </c>
      <c r="AL22" s="68">
        <f t="array" ref="AL22">IF($D22,SUMPRODUCT((economics!$AG$2:$AG$167=$B22)*(economics!$D$2:$D$167="process")*economics!$AH$2:$AH$167*_xlfn.NORM.DIST(AL$3,economics!$AK$2:$AK$167,economics!$AJ$2:$AJ$167,TRUE)),0)</f>
        <v/>
      </c>
      <c r="AM22" s="68">
        <f t="array" ref="AM22">IF($D22,SUMPRODUCT((economics!$AG$2:$AG$167=$B22)*(economics!$D$2:$D$167="process")*economics!$AH$2:$AH$167*_xlfn.NORM.DIST(AM$3,economics!$AK$2:$AK$167,economics!$AJ$2:$AJ$167,TRUE)),0)</f>
        <v/>
      </c>
      <c r="AN22" s="68">
        <f t="array" ref="AN22">IF($D22,SUMPRODUCT((economics!$AG$2:$AG$167=$B22)*(economics!$D$2:$D$167="process")*economics!$AH$2:$AH$167*_xlfn.NORM.DIST(AN$3,economics!$AK$2:$AK$167,economics!$AJ$2:$AJ$167,TRUE)),0)</f>
        <v/>
      </c>
      <c r="AO22" s="68">
        <f t="array" ref="AO22">IF($D22,SUMPRODUCT((economics!$AG$2:$AG$167=$B22)*(economics!$D$2:$D$167="process")*economics!$AH$2:$AH$167*_xlfn.NORM.DIST(AO$3,economics!$AK$2:$AK$167,economics!$AJ$2:$AJ$167,TRUE)),0)</f>
        <v/>
      </c>
      <c r="AP22" s="68">
        <f t="array" ref="AP22">IF($D22,SUMPRODUCT((economics!$AG$2:$AG$167=$B22)*(economics!$D$2:$D$167="process")*economics!$AH$2:$AH$167*_xlfn.NORM.DIST(AP$3,economics!$AK$2:$AK$167,economics!$AJ$2:$AJ$167,TRUE)),0)</f>
        <v/>
      </c>
      <c r="AQ22" s="68">
        <f t="array" ref="AQ22">IF($D22,SUMPRODUCT((economics!$AG$2:$AG$167=$B22)*(economics!$D$2:$D$167="process")*economics!$AH$2:$AH$167*_xlfn.NORM.DIST(AQ$3,economics!$AK$2:$AK$167,economics!$AJ$2:$AJ$167,TRUE)),0)</f>
        <v/>
      </c>
      <c r="AR22" s="68">
        <f t="array" ref="AR22">IF($D22,SUMPRODUCT((economics!$AG$2:$AG$167=$B22)*(economics!$D$2:$D$167="process")*economics!$AH$2:$AH$167*_xlfn.NORM.DIST(AR$3,economics!$AK$2:$AK$167,economics!$AJ$2:$AJ$167,TRUE)),0)</f>
        <v/>
      </c>
      <c r="AS22" s="68">
        <f t="array" ref="AS22">IF($D22,SUMPRODUCT((economics!$AG$2:$AG$167=$B22)*(economics!$D$2:$D$167="process")*economics!$AH$2:$AH$167*_xlfn.NORM.DIST(AS$3,economics!$AK$2:$AK$167,economics!$AJ$2:$AJ$167,TRUE)),0)</f>
        <v/>
      </c>
      <c r="AT22" s="68">
        <f t="array" ref="AT22">IF($D22,SUMPRODUCT((economics!$AG$2:$AG$167=$B22)*(economics!$D$2:$D$167="process")*economics!$AH$2:$AH$167*_xlfn.NORM.DIST(AT$3,economics!$AK$2:$AK$167,economics!$AJ$2:$AJ$167,TRUE)),0)</f>
        <v/>
      </c>
      <c r="AU22" s="68">
        <f t="array" ref="AU22">IF($D22,SUMPRODUCT((economics!$AG$2:$AG$167=$B22)*(economics!$D$2:$D$167="process")*economics!$AH$2:$AH$167*_xlfn.NORM.DIST(AU$3,economics!$AK$2:$AK$167,economics!$AJ$2:$AJ$167,TRUE)),0)</f>
        <v/>
      </c>
      <c r="AV22" s="68">
        <f t="array" ref="AV22">IF($D22,SUMPRODUCT((economics!$AG$2:$AG$167=$B22)*(economics!$D$2:$D$167="process")*economics!$AH$2:$AH$167*_xlfn.NORM.DIST(AV$3,economics!$AK$2:$AK$167,economics!$AJ$2:$AJ$167,TRUE)),0)</f>
        <v/>
      </c>
      <c r="AW22" s="68">
        <f t="array" ref="AW22">IF($D22,SUMPRODUCT((economics!$AG$2:$AG$167=$B22)*(economics!$D$2:$D$167="process")*economics!$AH$2:$AH$167*_xlfn.NORM.DIST(AW$3,economics!$AK$2:$AK$167,economics!$AJ$2:$AJ$167,TRUE)),0)</f>
        <v/>
      </c>
      <c r="AX22" s="68">
        <f t="array" ref="AX22">IF($D22,SUMPRODUCT((economics!$AG$2:$AG$167=$B22)*(economics!$D$2:$D$167="process")*economics!$AH$2:$AH$167*_xlfn.NORM.DIST(AX$3,economics!$AK$2:$AK$167,economics!$AJ$2:$AJ$167,TRUE)),0)</f>
        <v/>
      </c>
      <c r="AY22" s="68">
        <f t="array" ref="AY22">IF($D22,SUMPRODUCT((economics!$AG$2:$AG$167=$B22)*(economics!$D$2:$D$167="process")*economics!$AH$2:$AH$167*_xlfn.NORM.DIST(AY$3,economics!$AK$2:$AK$167,economics!$AJ$2:$AJ$167,TRUE)),0)</f>
        <v/>
      </c>
      <c r="AZ22" s="68">
        <f t="array" ref="AZ22">IF($D22,SUMPRODUCT((economics!$AG$2:$AG$167=$B22)*(economics!$D$2:$D$167="process")*economics!$AH$2:$AH$167*_xlfn.NORM.DIST(AZ$3,economics!$AK$2:$AK$167,economics!$AJ$2:$AJ$167,TRUE)),0)</f>
        <v/>
      </c>
      <c r="BA22" s="68">
        <f t="array" ref="BA22">IF($D22,SUMPRODUCT((economics!$AG$2:$AG$167=$B22)*(economics!$D$2:$D$167="process")*economics!$AH$2:$AH$167*_xlfn.NORM.DIST(BA$3,economics!$AK$2:$AK$167,economics!$AJ$2:$AJ$167,TRUE)),0)</f>
        <v/>
      </c>
      <c r="BB22" s="68">
        <f t="array" ref="BB22">IF($D22,SUMPRODUCT((economics!$AG$2:$AG$167=$B22)*(economics!$D$2:$D$167="process")*economics!$AH$2:$AH$167*_xlfn.NORM.DIST(BB$3,economics!$AK$2:$AK$167,economics!$AJ$2:$AJ$167,TRUE)),0)</f>
        <v/>
      </c>
      <c r="BC22" s="68">
        <f t="array" ref="BC22">IF($D22,SUMPRODUCT((economics!$AG$2:$AG$167=$B22)*(economics!$D$2:$D$167="process")*economics!$AH$2:$AH$167*_xlfn.NORM.DIST(BC$3,economics!$AK$2:$AK$167,economics!$AJ$2:$AJ$167,TRUE)),0)</f>
        <v/>
      </c>
      <c r="BD22" s="68">
        <f t="array" ref="BD22">IF($D22,SUMPRODUCT((economics!$AG$2:$AG$167=$B22)*(economics!$D$2:$D$167="process")*economics!$AH$2:$AH$167*_xlfn.NORM.DIST(BD$3,economics!$AK$2:$AK$167,economics!$AJ$2:$AJ$167,TRUE)),0)</f>
        <v/>
      </c>
      <c r="BE22" s="68">
        <f t="array" ref="BE22">IF($D22,SUMPRODUCT((economics!$AG$2:$AG$167=$B22)*(economics!$D$2:$D$167="process")*economics!$AH$2:$AH$167*_xlfn.NORM.DIST(BE$3,economics!$AK$2:$AK$167,economics!$AJ$2:$AJ$167,TRUE)),0)</f>
        <v/>
      </c>
      <c r="BF22" s="68">
        <f t="array" ref="BF22">IF($D22,SUMPRODUCT((economics!$AG$2:$AG$167=$B22)*(economics!$D$2:$D$167="process")*economics!$AH$2:$AH$167*_xlfn.NORM.DIST(BF$3,economics!$AK$2:$AK$167,economics!$AJ$2:$AJ$167,TRUE)),0)</f>
        <v/>
      </c>
      <c r="BG22" s="68">
        <f t="array" ref="BG22">IF($D22,SUMPRODUCT((economics!$AG$2:$AG$167=$B22)*(economics!$D$2:$D$167="process")*economics!$AH$2:$AH$167*_xlfn.NORM.DIST(BG$3,economics!$AK$2:$AK$167,economics!$AJ$2:$AJ$167,TRUE)),0)</f>
        <v/>
      </c>
      <c r="BH22" s="68">
        <f t="array" ref="BH22">IF($D22,SUMPRODUCT((economics!$AG$2:$AG$167=$B22)*(economics!$D$2:$D$167="process")*economics!$AH$2:$AH$167*_xlfn.NORM.DIST(BH$3,economics!$AK$2:$AK$167,economics!$AJ$2:$AJ$167,TRUE)),0)</f>
        <v/>
      </c>
      <c r="BI22" s="68">
        <f t="array" ref="BI22">IF($D22,SUMPRODUCT((economics!$AG$2:$AG$167=$B22)*(economics!$D$2:$D$167="process")*economics!$AH$2:$AH$167*_xlfn.NORM.DIST(BI$3,economics!$AK$2:$AK$167,economics!$AJ$2:$AJ$167,TRUE)),0)</f>
        <v/>
      </c>
      <c r="BJ22" s="68">
        <f t="array" ref="BJ22">IF($D22,SUMPRODUCT((economics!$AG$2:$AG$167=$B22)*(economics!$D$2:$D$167="process")*economics!$AH$2:$AH$167*_xlfn.NORM.DIST(BJ$3,economics!$AK$2:$AK$167,economics!$AJ$2:$AJ$167,TRUE)),0)</f>
        <v/>
      </c>
      <c r="BK22" s="68">
        <f t="array" ref="BK22">IF($D22,SUMPRODUCT((economics!$AG$2:$AG$167=$B22)*(economics!$D$2:$D$167="process")*economics!$AH$2:$AH$167*_xlfn.NORM.DIST(BK$3,economics!$AK$2:$AK$167,economics!$AJ$2:$AJ$167,TRUE)),0)</f>
        <v/>
      </c>
      <c r="BL22" s="68">
        <f t="array" ref="BL22">IF($D22,SUMPRODUCT((economics!$AG$2:$AG$167=$B22)*(economics!$D$2:$D$167="process")*economics!$AH$2:$AH$167*_xlfn.NORM.DIST(BL$3,economics!$AK$2:$AK$167,economics!$AJ$2:$AJ$167,TRUE)),0)</f>
        <v/>
      </c>
      <c r="BM22" s="68">
        <f t="array" ref="BM22">IF($D22,SUMPRODUCT((economics!$AG$2:$AG$167=$B22)*(economics!$D$2:$D$167="process")*economics!$AH$2:$AH$167*_xlfn.NORM.DIST(BM$3,economics!$AK$2:$AK$167,economics!$AJ$2:$AJ$167,TRUE)),0)</f>
        <v/>
      </c>
      <c r="BN22" s="68">
        <f t="array" ref="BN22">IF($D22,SUMPRODUCT((economics!$AG$2:$AG$167=$B22)*(economics!$D$2:$D$167="process")*economics!$AH$2:$AH$167*_xlfn.NORM.DIST(BN$3,economics!$AK$2:$AK$167,economics!$AJ$2:$AJ$167,TRUE)),0)</f>
        <v/>
      </c>
      <c r="BO22" s="68">
        <f t="array" ref="BO22">IF($D22,SUMPRODUCT((economics!$AG$2:$AG$167=$B22)*(economics!$D$2:$D$167="process")*economics!$AH$2:$AH$167*_xlfn.NORM.DIST(BO$3,economics!$AK$2:$AK$167,economics!$AJ$2:$AJ$167,TRUE)),0)</f>
        <v/>
      </c>
      <c r="BP22" s="68">
        <f t="array" ref="BP22">IF($D22,SUMPRODUCT((economics!$AG$2:$AG$167=$B22)*(economics!$D$2:$D$167="process")*economics!$AH$2:$AH$167*_xlfn.NORM.DIST(BP$3,economics!$AK$2:$AK$167,economics!$AJ$2:$AJ$167,TRUE)),0)</f>
        <v/>
      </c>
      <c r="BQ22" s="68">
        <f t="array" ref="BQ22">IF($D22,SUMPRODUCT((economics!$AG$2:$AG$167=$B22)*(economics!$D$2:$D$167="process")*economics!$AH$2:$AH$167*_xlfn.NORM.DIST(BQ$3,economics!$AK$2:$AK$167,economics!$AJ$2:$AJ$167,TRUE)),0)</f>
        <v/>
      </c>
      <c r="BR22" s="68">
        <f t="array" ref="BR22">IF($D22,SUMPRODUCT((economics!$AG$2:$AG$167=$B22)*(economics!$D$2:$D$167="process")*economics!$AH$2:$AH$167*_xlfn.NORM.DIST(BR$3,economics!$AK$2:$AK$167,economics!$AJ$2:$AJ$167,TRUE)),0)</f>
        <v/>
      </c>
      <c r="BS22" s="68">
        <f t="array" ref="BS22">IF($D22,SUMPRODUCT((economics!$AG$2:$AG$167=$B22)*(economics!$D$2:$D$167="process")*economics!$AH$2:$AH$167*_xlfn.NORM.DIST(BS$3,economics!$AK$2:$AK$167,economics!$AJ$2:$AJ$167,TRUE)),0)</f>
        <v/>
      </c>
      <c r="BT22" s="68">
        <f t="array" ref="BT22">IF($D22,SUMPRODUCT((economics!$AG$2:$AG$167=$B22)*(economics!$D$2:$D$167="process")*economics!$AH$2:$AH$167*_xlfn.NORM.DIST(BT$3,economics!$AK$2:$AK$167,economics!$AJ$2:$AJ$167,TRUE)),0)</f>
        <v/>
      </c>
      <c r="BU22" s="68">
        <f t="array" ref="BU22">IF($D22,SUMPRODUCT((economics!$AG$2:$AG$167=$B22)*(economics!$D$2:$D$167="process")*economics!$AH$2:$AH$167*_xlfn.NORM.DIST(BU$3,economics!$AK$2:$AK$167,economics!$AJ$2:$AJ$167,TRUE)),0)</f>
        <v/>
      </c>
      <c r="BV22" s="68">
        <f t="array" ref="BV22">IF($D22,SUMPRODUCT((economics!$AG$2:$AG$167=$B22)*(economics!$D$2:$D$167="process")*economics!$AH$2:$AH$167*_xlfn.NORM.DIST(BV$3,economics!$AK$2:$AK$167,economics!$AJ$2:$AJ$167,TRUE)),0)</f>
        <v/>
      </c>
      <c r="BW22" s="68">
        <f t="array" ref="BW22">IF($D22,SUMPRODUCT((economics!$AG$2:$AG$167=$B22)*(economics!$D$2:$D$167="process")*economics!$AH$2:$AH$167*_xlfn.NORM.DIST(BW$3,economics!$AK$2:$AK$167,economics!$AJ$2:$AJ$167,TRUE)),0)</f>
        <v/>
      </c>
      <c r="BX22" s="68">
        <f t="array" ref="BX22">IF($D22,SUMPRODUCT((economics!$AG$2:$AG$167=$B22)*(economics!$D$2:$D$167="process")*economics!$AH$2:$AH$167*_xlfn.NORM.DIST(BX$3,economics!$AK$2:$AK$167,economics!$AJ$2:$AJ$167,TRUE)),0)</f>
        <v/>
      </c>
      <c r="BY22" s="68">
        <f t="array" ref="BY22">IF($D22,SUMPRODUCT((economics!$AG$2:$AG$167=$B22)*(economics!$D$2:$D$167="process")*economics!$AH$2:$AH$167*_xlfn.NORM.DIST(BY$3,economics!$AK$2:$AK$167,economics!$AJ$2:$AJ$167,TRUE)),0)</f>
        <v/>
      </c>
      <c r="BZ22" s="68">
        <f t="array" ref="BZ22">IF($D22,SUMPRODUCT((economics!$AG$2:$AG$167=$B22)*(economics!$D$2:$D$167="process")*economics!$AH$2:$AH$167*_xlfn.NORM.DIST(BZ$3,economics!$AK$2:$AK$167,economics!$AJ$2:$AJ$167,TRUE)),0)</f>
        <v/>
      </c>
      <c r="CA22" s="68">
        <f t="array" ref="CA22">IF($D22,SUMPRODUCT((economics!$AG$2:$AG$167=$B22)*(economics!$D$2:$D$167="process")*economics!$AH$2:$AH$167*_xlfn.NORM.DIST(CA$3,economics!$AK$2:$AK$167,economics!$AJ$2:$AJ$167,TRUE)),0)</f>
        <v/>
      </c>
      <c r="CB22" s="68">
        <f t="array" ref="CB22">IF($D22,SUMPRODUCT((economics!$AG$2:$AG$167=$B22)*(economics!$D$2:$D$167="process")*economics!$AH$2:$AH$167*_xlfn.NORM.DIST(CB$3,economics!$AK$2:$AK$167,economics!$AJ$2:$AJ$167,TRUE)),0)</f>
        <v/>
      </c>
      <c r="CC22" s="68">
        <f t="array" ref="CC22">IF($D22,SUMPRODUCT((economics!$AG$2:$AG$167=$B22)*(economics!$D$2:$D$167="process")*economics!$AH$2:$AH$167*_xlfn.NORM.DIST(CC$3,economics!$AK$2:$AK$167,economics!$AJ$2:$AJ$167,TRUE)),0)</f>
        <v/>
      </c>
      <c r="CD22" s="68">
        <f t="array" ref="CD22">IF($D22,SUMPRODUCT((economics!$AG$2:$AG$167=$B22)*(economics!$D$2:$D$167="process")*economics!$AH$2:$AH$167*_xlfn.NORM.DIST(CD$3,economics!$AK$2:$AK$167,economics!$AJ$2:$AJ$167,TRUE)),0)</f>
        <v/>
      </c>
      <c r="CE22" s="68">
        <f t="array" ref="CE22">IF($D22,SUMPRODUCT((economics!$AG$2:$AG$167=$B22)*(economics!$D$2:$D$167="process")*economics!$AH$2:$AH$167*_xlfn.NORM.DIST(CE$3,economics!$AK$2:$AK$167,economics!$AJ$2:$AJ$167,TRUE)),0)</f>
        <v/>
      </c>
      <c r="CF22" s="68">
        <f t="array" ref="CF22">IF($D22,SUMPRODUCT((economics!$AG$2:$AG$167=$B22)*(economics!$D$2:$D$167="process")*economics!$AH$2:$AH$167*_xlfn.NORM.DIST(CF$3,economics!$AK$2:$AK$167,economics!$AJ$2:$AJ$167,TRUE)),0)</f>
        <v/>
      </c>
      <c r="CG22" s="68">
        <f t="array" ref="CG22">IF($D22,SUMPRODUCT((economics!$AG$2:$AG$167=$B22)*(economics!$D$2:$D$167="process")*economics!$AH$2:$AH$167*_xlfn.NORM.DIST(CG$3,economics!$AK$2:$AK$167,economics!$AJ$2:$AJ$167,TRUE)),0)</f>
        <v/>
      </c>
      <c r="CH22" s="68">
        <f t="array" ref="CH22">IF($D22,SUMPRODUCT((economics!$AG$2:$AG$167=$B22)*(economics!$D$2:$D$167="process")*economics!$AH$2:$AH$167*_xlfn.NORM.DIST(CH$3,economics!$AK$2:$AK$167,economics!$AJ$2:$AJ$167,TRUE)),0)</f>
        <v/>
      </c>
    </row>
    <row r="23">
      <c r="A23">
        <f>WHRPbI!A21</f>
        <v/>
      </c>
      <c r="B23" t="n">
        <v>29</v>
      </c>
      <c r="C23" s="68">
        <f>WHRPbI!B21</f>
        <v/>
      </c>
      <c r="D23">
        <f>ISNUMBER(MATCH($B23,'energy base (MECS)'!$K$4:$K$9,0))</f>
        <v/>
      </c>
      <c r="E23" s="68">
        <f t="array" ref="E23">IF($D23,SUMPRODUCT((economics!$AG$2:$AG$167=$B23)*(economics!$D$2:$D$167="process")*economics!$AH$2:$AH$167*_xlfn.NORM.DIST(E$3,economics!$AK$2:$AK$167,economics!$AJ$2:$AJ$167,TRUE)),0)</f>
        <v/>
      </c>
      <c r="F23" s="68">
        <f t="array" ref="F23">IF($D23,SUMPRODUCT((economics!$AG$2:$AG$167=$B23)*(economics!$D$2:$D$167="process")*economics!$AH$2:$AH$167*_xlfn.NORM.DIST(F$3,economics!$AK$2:$AK$167,economics!$AJ$2:$AJ$167,TRUE)),0)</f>
        <v/>
      </c>
      <c r="G23" s="68">
        <f t="array" ref="G23">IF($D23,SUMPRODUCT((economics!$AG$2:$AG$167=$B23)*(economics!$D$2:$D$167="process")*economics!$AH$2:$AH$167*_xlfn.NORM.DIST(G$3,economics!$AK$2:$AK$167,economics!$AJ$2:$AJ$167,TRUE)),0)</f>
        <v/>
      </c>
      <c r="H23" s="68">
        <f t="array" ref="H23">IF($D23,SUMPRODUCT((economics!$AG$2:$AG$167=$B23)*(economics!$D$2:$D$167="process")*economics!$AH$2:$AH$167*_xlfn.NORM.DIST(H$3,economics!$AK$2:$AK$167,economics!$AJ$2:$AJ$167,TRUE)),0)</f>
        <v/>
      </c>
      <c r="I23" s="68">
        <f t="array" ref="I23">IF($D23,SUMPRODUCT((economics!$AG$2:$AG$167=$B23)*(economics!$D$2:$D$167="process")*economics!$AH$2:$AH$167*_xlfn.NORM.DIST(I$3,economics!$AK$2:$AK$167,economics!$AJ$2:$AJ$167,TRUE)),0)</f>
        <v/>
      </c>
      <c r="J23" s="68">
        <f t="array" ref="J23">IF($D23,SUMPRODUCT((economics!$AG$2:$AG$167=$B23)*(economics!$D$2:$D$167="process")*economics!$AH$2:$AH$167*_xlfn.NORM.DIST(J$3,economics!$AK$2:$AK$167,economics!$AJ$2:$AJ$167,TRUE)),0)</f>
        <v/>
      </c>
      <c r="K23" s="68">
        <f t="array" ref="K23">IF($D23,SUMPRODUCT((economics!$AG$2:$AG$167=$B23)*(economics!$D$2:$D$167="process")*economics!$AH$2:$AH$167*_xlfn.NORM.DIST(K$3,economics!$AK$2:$AK$167,economics!$AJ$2:$AJ$167,TRUE)),0)</f>
        <v/>
      </c>
      <c r="L23" s="68">
        <f t="array" ref="L23">IF($D23,SUMPRODUCT((economics!$AG$2:$AG$167=$B23)*(economics!$D$2:$D$167="process")*economics!$AH$2:$AH$167*_xlfn.NORM.DIST(L$3,economics!$AK$2:$AK$167,economics!$AJ$2:$AJ$167,TRUE)),0)</f>
        <v/>
      </c>
      <c r="M23" s="68">
        <f t="array" ref="M23">IF($D23,SUMPRODUCT((economics!$AG$2:$AG$167=$B23)*(economics!$D$2:$D$167="process")*economics!$AH$2:$AH$167*_xlfn.NORM.DIST(M$3,economics!$AK$2:$AK$167,economics!$AJ$2:$AJ$167,TRUE)),0)</f>
        <v/>
      </c>
      <c r="N23" s="68">
        <f t="array" ref="N23">IF($D23,SUMPRODUCT((economics!$AG$2:$AG$167=$B23)*(economics!$D$2:$D$167="process")*economics!$AH$2:$AH$167*_xlfn.NORM.DIST(N$3,economics!$AK$2:$AK$167,economics!$AJ$2:$AJ$167,TRUE)),0)</f>
        <v/>
      </c>
      <c r="O23" s="68">
        <f t="array" ref="O23">IF($D23,SUMPRODUCT((economics!$AG$2:$AG$167=$B23)*(economics!$D$2:$D$167="process")*economics!$AH$2:$AH$167*_xlfn.NORM.DIST(O$3,economics!$AK$2:$AK$167,economics!$AJ$2:$AJ$167,TRUE)),0)</f>
        <v/>
      </c>
      <c r="P23" s="68">
        <f t="array" ref="P23">IF($D23,SUMPRODUCT((economics!$AG$2:$AG$167=$B23)*(economics!$D$2:$D$167="process")*economics!$AH$2:$AH$167*_xlfn.NORM.DIST(P$3,economics!$AK$2:$AK$167,economics!$AJ$2:$AJ$167,TRUE)),0)</f>
        <v/>
      </c>
      <c r="Q23" s="68">
        <f t="array" ref="Q23">IF($D23,SUMPRODUCT((economics!$AG$2:$AG$167=$B23)*(economics!$D$2:$D$167="process")*economics!$AH$2:$AH$167*_xlfn.NORM.DIST(Q$3,economics!$AK$2:$AK$167,economics!$AJ$2:$AJ$167,TRUE)),0)</f>
        <v/>
      </c>
      <c r="R23" s="68">
        <f t="array" ref="R23">IF($D23,SUMPRODUCT((economics!$AG$2:$AG$167=$B23)*(economics!$D$2:$D$167="process")*economics!$AH$2:$AH$167*_xlfn.NORM.DIST(R$3,economics!$AK$2:$AK$167,economics!$AJ$2:$AJ$167,TRUE)),0)</f>
        <v/>
      </c>
      <c r="S23" s="68">
        <f t="array" ref="S23">IF($D23,SUMPRODUCT((economics!$AG$2:$AG$167=$B23)*(economics!$D$2:$D$167="process")*economics!$AH$2:$AH$167*_xlfn.NORM.DIST(S$3,economics!$AK$2:$AK$167,economics!$AJ$2:$AJ$167,TRUE)),0)</f>
        <v/>
      </c>
      <c r="T23" s="68">
        <f t="array" ref="T23">IF($D23,SUMPRODUCT((economics!$AG$2:$AG$167=$B23)*(economics!$D$2:$D$167="process")*economics!$AH$2:$AH$167*_xlfn.NORM.DIST(T$3,economics!$AK$2:$AK$167,economics!$AJ$2:$AJ$167,TRUE)),0)</f>
        <v/>
      </c>
      <c r="U23" s="68">
        <f t="array" ref="U23">IF($D23,SUMPRODUCT((economics!$AG$2:$AG$167=$B23)*(economics!$D$2:$D$167="process")*economics!$AH$2:$AH$167*_xlfn.NORM.DIST(U$3,economics!$AK$2:$AK$167,economics!$AJ$2:$AJ$167,TRUE)),0)</f>
        <v/>
      </c>
      <c r="V23" s="68">
        <f t="array" ref="V23">IF($D23,SUMPRODUCT((economics!$AG$2:$AG$167=$B23)*(economics!$D$2:$D$167="process")*economics!$AH$2:$AH$167*_xlfn.NORM.DIST(V$3,economics!$AK$2:$AK$167,economics!$AJ$2:$AJ$167,TRUE)),0)</f>
        <v/>
      </c>
      <c r="W23" s="68">
        <f t="array" ref="W23">IF($D23,SUMPRODUCT((economics!$AG$2:$AG$167=$B23)*(economics!$D$2:$D$167="process")*economics!$AH$2:$AH$167*_xlfn.NORM.DIST(W$3,economics!$AK$2:$AK$167,economics!$AJ$2:$AJ$167,TRUE)),0)</f>
        <v/>
      </c>
      <c r="X23" s="68">
        <f t="array" ref="X23">IF($D23,SUMPRODUCT((economics!$AG$2:$AG$167=$B23)*(economics!$D$2:$D$167="process")*economics!$AH$2:$AH$167*_xlfn.NORM.DIST(X$3,economics!$AK$2:$AK$167,economics!$AJ$2:$AJ$167,TRUE)),0)</f>
        <v/>
      </c>
      <c r="Y23" s="68">
        <f t="array" ref="Y23">IF($D23,SUMPRODUCT((economics!$AG$2:$AG$167=$B23)*(economics!$D$2:$D$167="process")*economics!$AH$2:$AH$167*_xlfn.NORM.DIST(Y$3,economics!$AK$2:$AK$167,economics!$AJ$2:$AJ$167,TRUE)),0)</f>
        <v/>
      </c>
      <c r="Z23" s="68">
        <f t="array" ref="Z23">IF($D23,SUMPRODUCT((economics!$AG$2:$AG$167=$B23)*(economics!$D$2:$D$167="process")*economics!$AH$2:$AH$167*_xlfn.NORM.DIST(Z$3,economics!$AK$2:$AK$167,economics!$AJ$2:$AJ$167,TRUE)),0)</f>
        <v/>
      </c>
      <c r="AA23" s="68">
        <f t="array" ref="AA23">IF($D23,SUMPRODUCT((economics!$AG$2:$AG$167=$B23)*(economics!$D$2:$D$167="process")*economics!$AH$2:$AH$167*_xlfn.NORM.DIST(AA$3,economics!$AK$2:$AK$167,economics!$AJ$2:$AJ$167,TRUE)),0)</f>
        <v/>
      </c>
      <c r="AB23" s="68">
        <f t="array" ref="AB23">IF($D23,SUMPRODUCT((economics!$AG$2:$AG$167=$B23)*(economics!$D$2:$D$167="process")*economics!$AH$2:$AH$167*_xlfn.NORM.DIST(AB$3,economics!$AK$2:$AK$167,economics!$AJ$2:$AJ$167,TRUE)),0)</f>
        <v/>
      </c>
      <c r="AC23" s="68">
        <f t="array" ref="AC23">IF($D23,SUMPRODUCT((economics!$AG$2:$AG$167=$B23)*(economics!$D$2:$D$167="process")*economics!$AH$2:$AH$167*_xlfn.NORM.DIST(AC$3,economics!$AK$2:$AK$167,economics!$AJ$2:$AJ$167,TRUE)),0)</f>
        <v/>
      </c>
      <c r="AD23" s="68">
        <f t="array" ref="AD23">IF($D23,SUMPRODUCT((economics!$AG$2:$AG$167=$B23)*(economics!$D$2:$D$167="process")*economics!$AH$2:$AH$167*_xlfn.NORM.DIST(AD$3,economics!$AK$2:$AK$167,economics!$AJ$2:$AJ$167,TRUE)),0)</f>
        <v/>
      </c>
      <c r="AE23" s="68">
        <f t="array" ref="AE23">IF($D23,SUMPRODUCT((economics!$AG$2:$AG$167=$B23)*(economics!$D$2:$D$167="process")*economics!$AH$2:$AH$167*_xlfn.NORM.DIST(AE$3,economics!$AK$2:$AK$167,economics!$AJ$2:$AJ$167,TRUE)),0)</f>
        <v/>
      </c>
      <c r="AF23" s="68">
        <f t="array" ref="AF23">IF($D23,SUMPRODUCT((economics!$AG$2:$AG$167=$B23)*(economics!$D$2:$D$167="process")*economics!$AH$2:$AH$167*_xlfn.NORM.DIST(AF$3,economics!$AK$2:$AK$167,economics!$AJ$2:$AJ$167,TRUE)),0)</f>
        <v/>
      </c>
      <c r="AG23" s="68">
        <f t="array" ref="AG23">IF($D23,SUMPRODUCT((economics!$AG$2:$AG$167=$B23)*(economics!$D$2:$D$167="process")*economics!$AH$2:$AH$167*_xlfn.NORM.DIST(AG$3,economics!$AK$2:$AK$167,economics!$AJ$2:$AJ$167,TRUE)),0)</f>
        <v/>
      </c>
      <c r="AH23" s="68">
        <f t="array" ref="AH23">IF($D23,SUMPRODUCT((economics!$AG$2:$AG$167=$B23)*(economics!$D$2:$D$167="process")*economics!$AH$2:$AH$167*_xlfn.NORM.DIST(AH$3,economics!$AK$2:$AK$167,economics!$AJ$2:$AJ$167,TRUE)),0)</f>
        <v/>
      </c>
      <c r="AI23" s="68">
        <f t="array" ref="AI23">IF($D23,SUMPRODUCT((economics!$AG$2:$AG$167=$B23)*(economics!$D$2:$D$167="process")*economics!$AH$2:$AH$167*_xlfn.NORM.DIST(AI$3,economics!$AK$2:$AK$167,economics!$AJ$2:$AJ$167,TRUE)),0)</f>
        <v/>
      </c>
      <c r="AJ23" s="68">
        <f t="array" ref="AJ23">IF($D23,SUMPRODUCT((economics!$AG$2:$AG$167=$B23)*(economics!$D$2:$D$167="process")*economics!$AH$2:$AH$167*_xlfn.NORM.DIST(AJ$3,economics!$AK$2:$AK$167,economics!$AJ$2:$AJ$167,TRUE)),0)</f>
        <v/>
      </c>
      <c r="AK23" s="68">
        <f t="array" ref="AK23">IF($D23,SUMPRODUCT((economics!$AG$2:$AG$167=$B23)*(economics!$D$2:$D$167="process")*economics!$AH$2:$AH$167*_xlfn.NORM.DIST(AK$3,economics!$AK$2:$AK$167,economics!$AJ$2:$AJ$167,TRUE)),0)</f>
        <v/>
      </c>
      <c r="AL23" s="68">
        <f t="array" ref="AL23">IF($D23,SUMPRODUCT((economics!$AG$2:$AG$167=$B23)*(economics!$D$2:$D$167="process")*economics!$AH$2:$AH$167*_xlfn.NORM.DIST(AL$3,economics!$AK$2:$AK$167,economics!$AJ$2:$AJ$167,TRUE)),0)</f>
        <v/>
      </c>
      <c r="AM23" s="68">
        <f t="array" ref="AM23">IF($D23,SUMPRODUCT((economics!$AG$2:$AG$167=$B23)*(economics!$D$2:$D$167="process")*economics!$AH$2:$AH$167*_xlfn.NORM.DIST(AM$3,economics!$AK$2:$AK$167,economics!$AJ$2:$AJ$167,TRUE)),0)</f>
        <v/>
      </c>
      <c r="AN23" s="68">
        <f t="array" ref="AN23">IF($D23,SUMPRODUCT((economics!$AG$2:$AG$167=$B23)*(economics!$D$2:$D$167="process")*economics!$AH$2:$AH$167*_xlfn.NORM.DIST(AN$3,economics!$AK$2:$AK$167,economics!$AJ$2:$AJ$167,TRUE)),0)</f>
        <v/>
      </c>
      <c r="AO23" s="68">
        <f t="array" ref="AO23">IF($D23,SUMPRODUCT((economics!$AG$2:$AG$167=$B23)*(economics!$D$2:$D$167="process")*economics!$AH$2:$AH$167*_xlfn.NORM.DIST(AO$3,economics!$AK$2:$AK$167,economics!$AJ$2:$AJ$167,TRUE)),0)</f>
        <v/>
      </c>
      <c r="AP23" s="68">
        <f t="array" ref="AP23">IF($D23,SUMPRODUCT((economics!$AG$2:$AG$167=$B23)*(economics!$D$2:$D$167="process")*economics!$AH$2:$AH$167*_xlfn.NORM.DIST(AP$3,economics!$AK$2:$AK$167,economics!$AJ$2:$AJ$167,TRUE)),0)</f>
        <v/>
      </c>
      <c r="AQ23" s="68">
        <f t="array" ref="AQ23">IF($D23,SUMPRODUCT((economics!$AG$2:$AG$167=$B23)*(economics!$D$2:$D$167="process")*economics!$AH$2:$AH$167*_xlfn.NORM.DIST(AQ$3,economics!$AK$2:$AK$167,economics!$AJ$2:$AJ$167,TRUE)),0)</f>
        <v/>
      </c>
      <c r="AR23" s="68">
        <f t="array" ref="AR23">IF($D23,SUMPRODUCT((economics!$AG$2:$AG$167=$B23)*(economics!$D$2:$D$167="process")*economics!$AH$2:$AH$167*_xlfn.NORM.DIST(AR$3,economics!$AK$2:$AK$167,economics!$AJ$2:$AJ$167,TRUE)),0)</f>
        <v/>
      </c>
      <c r="AS23" s="68">
        <f t="array" ref="AS23">IF($D23,SUMPRODUCT((economics!$AG$2:$AG$167=$B23)*(economics!$D$2:$D$167="process")*economics!$AH$2:$AH$167*_xlfn.NORM.DIST(AS$3,economics!$AK$2:$AK$167,economics!$AJ$2:$AJ$167,TRUE)),0)</f>
        <v/>
      </c>
      <c r="AT23" s="68">
        <f t="array" ref="AT23">IF($D23,SUMPRODUCT((economics!$AG$2:$AG$167=$B23)*(economics!$D$2:$D$167="process")*economics!$AH$2:$AH$167*_xlfn.NORM.DIST(AT$3,economics!$AK$2:$AK$167,economics!$AJ$2:$AJ$167,TRUE)),0)</f>
        <v/>
      </c>
      <c r="AU23" s="68">
        <f t="array" ref="AU23">IF($D23,SUMPRODUCT((economics!$AG$2:$AG$167=$B23)*(economics!$D$2:$D$167="process")*economics!$AH$2:$AH$167*_xlfn.NORM.DIST(AU$3,economics!$AK$2:$AK$167,economics!$AJ$2:$AJ$167,TRUE)),0)</f>
        <v/>
      </c>
      <c r="AV23" s="68">
        <f t="array" ref="AV23">IF($D23,SUMPRODUCT((economics!$AG$2:$AG$167=$B23)*(economics!$D$2:$D$167="process")*economics!$AH$2:$AH$167*_xlfn.NORM.DIST(AV$3,economics!$AK$2:$AK$167,economics!$AJ$2:$AJ$167,TRUE)),0)</f>
        <v/>
      </c>
      <c r="AW23" s="68">
        <f t="array" ref="AW23">IF($D23,SUMPRODUCT((economics!$AG$2:$AG$167=$B23)*(economics!$D$2:$D$167="process")*economics!$AH$2:$AH$167*_xlfn.NORM.DIST(AW$3,economics!$AK$2:$AK$167,economics!$AJ$2:$AJ$167,TRUE)),0)</f>
        <v/>
      </c>
      <c r="AX23" s="68">
        <f t="array" ref="AX23">IF($D23,SUMPRODUCT((economics!$AG$2:$AG$167=$B23)*(economics!$D$2:$D$167="process")*economics!$AH$2:$AH$167*_xlfn.NORM.DIST(AX$3,economics!$AK$2:$AK$167,economics!$AJ$2:$AJ$167,TRUE)),0)</f>
        <v/>
      </c>
      <c r="AY23" s="68">
        <f t="array" ref="AY23">IF($D23,SUMPRODUCT((economics!$AG$2:$AG$167=$B23)*(economics!$D$2:$D$167="process")*economics!$AH$2:$AH$167*_xlfn.NORM.DIST(AY$3,economics!$AK$2:$AK$167,economics!$AJ$2:$AJ$167,TRUE)),0)</f>
        <v/>
      </c>
      <c r="AZ23" s="68">
        <f t="array" ref="AZ23">IF($D23,SUMPRODUCT((economics!$AG$2:$AG$167=$B23)*(economics!$D$2:$D$167="process")*economics!$AH$2:$AH$167*_xlfn.NORM.DIST(AZ$3,economics!$AK$2:$AK$167,economics!$AJ$2:$AJ$167,TRUE)),0)</f>
        <v/>
      </c>
      <c r="BA23" s="68">
        <f t="array" ref="BA23">IF($D23,SUMPRODUCT((economics!$AG$2:$AG$167=$B23)*(economics!$D$2:$D$167="process")*economics!$AH$2:$AH$167*_xlfn.NORM.DIST(BA$3,economics!$AK$2:$AK$167,economics!$AJ$2:$AJ$167,TRUE)),0)</f>
        <v/>
      </c>
      <c r="BB23" s="68">
        <f t="array" ref="BB23">IF($D23,SUMPRODUCT((economics!$AG$2:$AG$167=$B23)*(economics!$D$2:$D$167="process")*economics!$AH$2:$AH$167*_xlfn.NORM.DIST(BB$3,economics!$AK$2:$AK$167,economics!$AJ$2:$AJ$167,TRUE)),0)</f>
        <v/>
      </c>
      <c r="BC23" s="68">
        <f t="array" ref="BC23">IF($D23,SUMPRODUCT((economics!$AG$2:$AG$167=$B23)*(economics!$D$2:$D$167="process")*economics!$AH$2:$AH$167*_xlfn.NORM.DIST(BC$3,economics!$AK$2:$AK$167,economics!$AJ$2:$AJ$167,TRUE)),0)</f>
        <v/>
      </c>
      <c r="BD23" s="68">
        <f t="array" ref="BD23">IF($D23,SUMPRODUCT((economics!$AG$2:$AG$167=$B23)*(economics!$D$2:$D$167="process")*economics!$AH$2:$AH$167*_xlfn.NORM.DIST(BD$3,economics!$AK$2:$AK$167,economics!$AJ$2:$AJ$167,TRUE)),0)</f>
        <v/>
      </c>
      <c r="BE23" s="68">
        <f t="array" ref="BE23">IF($D23,SUMPRODUCT((economics!$AG$2:$AG$167=$B23)*(economics!$D$2:$D$167="process")*economics!$AH$2:$AH$167*_xlfn.NORM.DIST(BE$3,economics!$AK$2:$AK$167,economics!$AJ$2:$AJ$167,TRUE)),0)</f>
        <v/>
      </c>
      <c r="BF23" s="68">
        <f t="array" ref="BF23">IF($D23,SUMPRODUCT((economics!$AG$2:$AG$167=$B23)*(economics!$D$2:$D$167="process")*economics!$AH$2:$AH$167*_xlfn.NORM.DIST(BF$3,economics!$AK$2:$AK$167,economics!$AJ$2:$AJ$167,TRUE)),0)</f>
        <v/>
      </c>
      <c r="BG23" s="68">
        <f t="array" ref="BG23">IF($D23,SUMPRODUCT((economics!$AG$2:$AG$167=$B23)*(economics!$D$2:$D$167="process")*economics!$AH$2:$AH$167*_xlfn.NORM.DIST(BG$3,economics!$AK$2:$AK$167,economics!$AJ$2:$AJ$167,TRUE)),0)</f>
        <v/>
      </c>
      <c r="BH23" s="68">
        <f t="array" ref="BH23">IF($D23,SUMPRODUCT((economics!$AG$2:$AG$167=$B23)*(economics!$D$2:$D$167="process")*economics!$AH$2:$AH$167*_xlfn.NORM.DIST(BH$3,economics!$AK$2:$AK$167,economics!$AJ$2:$AJ$167,TRUE)),0)</f>
        <v/>
      </c>
      <c r="BI23" s="68">
        <f t="array" ref="BI23">IF($D23,SUMPRODUCT((economics!$AG$2:$AG$167=$B23)*(economics!$D$2:$D$167="process")*economics!$AH$2:$AH$167*_xlfn.NORM.DIST(BI$3,economics!$AK$2:$AK$167,economics!$AJ$2:$AJ$167,TRUE)),0)</f>
        <v/>
      </c>
      <c r="BJ23" s="68">
        <f t="array" ref="BJ23">IF($D23,SUMPRODUCT((economics!$AG$2:$AG$167=$B23)*(economics!$D$2:$D$167="process")*economics!$AH$2:$AH$167*_xlfn.NORM.DIST(BJ$3,economics!$AK$2:$AK$167,economics!$AJ$2:$AJ$167,TRUE)),0)</f>
        <v/>
      </c>
      <c r="BK23" s="68">
        <f t="array" ref="BK23">IF($D23,SUMPRODUCT((economics!$AG$2:$AG$167=$B23)*(economics!$D$2:$D$167="process")*economics!$AH$2:$AH$167*_xlfn.NORM.DIST(BK$3,economics!$AK$2:$AK$167,economics!$AJ$2:$AJ$167,TRUE)),0)</f>
        <v/>
      </c>
      <c r="BL23" s="68">
        <f t="array" ref="BL23">IF($D23,SUMPRODUCT((economics!$AG$2:$AG$167=$B23)*(economics!$D$2:$D$167="process")*economics!$AH$2:$AH$167*_xlfn.NORM.DIST(BL$3,economics!$AK$2:$AK$167,economics!$AJ$2:$AJ$167,TRUE)),0)</f>
        <v/>
      </c>
      <c r="BM23" s="68">
        <f t="array" ref="BM23">IF($D23,SUMPRODUCT((economics!$AG$2:$AG$167=$B23)*(economics!$D$2:$D$167="process")*economics!$AH$2:$AH$167*_xlfn.NORM.DIST(BM$3,economics!$AK$2:$AK$167,economics!$AJ$2:$AJ$167,TRUE)),0)</f>
        <v/>
      </c>
      <c r="BN23" s="68">
        <f t="array" ref="BN23">IF($D23,SUMPRODUCT((economics!$AG$2:$AG$167=$B23)*(economics!$D$2:$D$167="process")*economics!$AH$2:$AH$167*_xlfn.NORM.DIST(BN$3,economics!$AK$2:$AK$167,economics!$AJ$2:$AJ$167,TRUE)),0)</f>
        <v/>
      </c>
      <c r="BO23" s="68">
        <f t="array" ref="BO23">IF($D23,SUMPRODUCT((economics!$AG$2:$AG$167=$B23)*(economics!$D$2:$D$167="process")*economics!$AH$2:$AH$167*_xlfn.NORM.DIST(BO$3,economics!$AK$2:$AK$167,economics!$AJ$2:$AJ$167,TRUE)),0)</f>
        <v/>
      </c>
      <c r="BP23" s="68">
        <f t="array" ref="BP23">IF($D23,SUMPRODUCT((economics!$AG$2:$AG$167=$B23)*(economics!$D$2:$D$167="process")*economics!$AH$2:$AH$167*_xlfn.NORM.DIST(BP$3,economics!$AK$2:$AK$167,economics!$AJ$2:$AJ$167,TRUE)),0)</f>
        <v/>
      </c>
      <c r="BQ23" s="68">
        <f t="array" ref="BQ23">IF($D23,SUMPRODUCT((economics!$AG$2:$AG$167=$B23)*(economics!$D$2:$D$167="process")*economics!$AH$2:$AH$167*_xlfn.NORM.DIST(BQ$3,economics!$AK$2:$AK$167,economics!$AJ$2:$AJ$167,TRUE)),0)</f>
        <v/>
      </c>
      <c r="BR23" s="68">
        <f t="array" ref="BR23">IF($D23,SUMPRODUCT((economics!$AG$2:$AG$167=$B23)*(economics!$D$2:$D$167="process")*economics!$AH$2:$AH$167*_xlfn.NORM.DIST(BR$3,economics!$AK$2:$AK$167,economics!$AJ$2:$AJ$167,TRUE)),0)</f>
        <v/>
      </c>
      <c r="BS23" s="68">
        <f t="array" ref="BS23">IF($D23,SUMPRODUCT((economics!$AG$2:$AG$167=$B23)*(economics!$D$2:$D$167="process")*economics!$AH$2:$AH$167*_xlfn.NORM.DIST(BS$3,economics!$AK$2:$AK$167,economics!$AJ$2:$AJ$167,TRUE)),0)</f>
        <v/>
      </c>
      <c r="BT23" s="68">
        <f t="array" ref="BT23">IF($D23,SUMPRODUCT((economics!$AG$2:$AG$167=$B23)*(economics!$D$2:$D$167="process")*economics!$AH$2:$AH$167*_xlfn.NORM.DIST(BT$3,economics!$AK$2:$AK$167,economics!$AJ$2:$AJ$167,TRUE)),0)</f>
        <v/>
      </c>
      <c r="BU23" s="68">
        <f t="array" ref="BU23">IF($D23,SUMPRODUCT((economics!$AG$2:$AG$167=$B23)*(economics!$D$2:$D$167="process")*economics!$AH$2:$AH$167*_xlfn.NORM.DIST(BU$3,economics!$AK$2:$AK$167,economics!$AJ$2:$AJ$167,TRUE)),0)</f>
        <v/>
      </c>
      <c r="BV23" s="68">
        <f t="array" ref="BV23">IF($D23,SUMPRODUCT((economics!$AG$2:$AG$167=$B23)*(economics!$D$2:$D$167="process")*economics!$AH$2:$AH$167*_xlfn.NORM.DIST(BV$3,economics!$AK$2:$AK$167,economics!$AJ$2:$AJ$167,TRUE)),0)</f>
        <v/>
      </c>
      <c r="BW23" s="68">
        <f t="array" ref="BW23">IF($D23,SUMPRODUCT((economics!$AG$2:$AG$167=$B23)*(economics!$D$2:$D$167="process")*economics!$AH$2:$AH$167*_xlfn.NORM.DIST(BW$3,economics!$AK$2:$AK$167,economics!$AJ$2:$AJ$167,TRUE)),0)</f>
        <v/>
      </c>
      <c r="BX23" s="68">
        <f t="array" ref="BX23">IF($D23,SUMPRODUCT((economics!$AG$2:$AG$167=$B23)*(economics!$D$2:$D$167="process")*economics!$AH$2:$AH$167*_xlfn.NORM.DIST(BX$3,economics!$AK$2:$AK$167,economics!$AJ$2:$AJ$167,TRUE)),0)</f>
        <v/>
      </c>
      <c r="BY23" s="68">
        <f t="array" ref="BY23">IF($D23,SUMPRODUCT((economics!$AG$2:$AG$167=$B23)*(economics!$D$2:$D$167="process")*economics!$AH$2:$AH$167*_xlfn.NORM.DIST(BY$3,economics!$AK$2:$AK$167,economics!$AJ$2:$AJ$167,TRUE)),0)</f>
        <v/>
      </c>
      <c r="BZ23" s="68">
        <f t="array" ref="BZ23">IF($D23,SUMPRODUCT((economics!$AG$2:$AG$167=$B23)*(economics!$D$2:$D$167="process")*economics!$AH$2:$AH$167*_xlfn.NORM.DIST(BZ$3,economics!$AK$2:$AK$167,economics!$AJ$2:$AJ$167,TRUE)),0)</f>
        <v/>
      </c>
      <c r="CA23" s="68">
        <f t="array" ref="CA23">IF($D23,SUMPRODUCT((economics!$AG$2:$AG$167=$B23)*(economics!$D$2:$D$167="process")*economics!$AH$2:$AH$167*_xlfn.NORM.DIST(CA$3,economics!$AK$2:$AK$167,economics!$AJ$2:$AJ$167,TRUE)),0)</f>
        <v/>
      </c>
      <c r="CB23" s="68">
        <f t="array" ref="CB23">IF($D23,SUMPRODUCT((economics!$AG$2:$AG$167=$B23)*(economics!$D$2:$D$167="process")*economics!$AH$2:$AH$167*_xlfn.NORM.DIST(CB$3,economics!$AK$2:$AK$167,economics!$AJ$2:$AJ$167,TRUE)),0)</f>
        <v/>
      </c>
      <c r="CC23" s="68">
        <f t="array" ref="CC23">IF($D23,SUMPRODUCT((economics!$AG$2:$AG$167=$B23)*(economics!$D$2:$D$167="process")*economics!$AH$2:$AH$167*_xlfn.NORM.DIST(CC$3,economics!$AK$2:$AK$167,economics!$AJ$2:$AJ$167,TRUE)),0)</f>
        <v/>
      </c>
      <c r="CD23" s="68">
        <f t="array" ref="CD23">IF($D23,SUMPRODUCT((economics!$AG$2:$AG$167=$B23)*(economics!$D$2:$D$167="process")*economics!$AH$2:$AH$167*_xlfn.NORM.DIST(CD$3,economics!$AK$2:$AK$167,economics!$AJ$2:$AJ$167,TRUE)),0)</f>
        <v/>
      </c>
      <c r="CE23" s="68">
        <f t="array" ref="CE23">IF($D23,SUMPRODUCT((economics!$AG$2:$AG$167=$B23)*(economics!$D$2:$D$167="process")*economics!$AH$2:$AH$167*_xlfn.NORM.DIST(CE$3,economics!$AK$2:$AK$167,economics!$AJ$2:$AJ$167,TRUE)),0)</f>
        <v/>
      </c>
      <c r="CF23" s="68">
        <f t="array" ref="CF23">IF($D23,SUMPRODUCT((economics!$AG$2:$AG$167=$B23)*(economics!$D$2:$D$167="process")*economics!$AH$2:$AH$167*_xlfn.NORM.DIST(CF$3,economics!$AK$2:$AK$167,economics!$AJ$2:$AJ$167,TRUE)),0)</f>
        <v/>
      </c>
      <c r="CG23" s="68">
        <f t="array" ref="CG23">IF($D23,SUMPRODUCT((economics!$AG$2:$AG$167=$B23)*(economics!$D$2:$D$167="process")*economics!$AH$2:$AH$167*_xlfn.NORM.DIST(CG$3,economics!$AK$2:$AK$167,economics!$AJ$2:$AJ$167,TRUE)),0)</f>
        <v/>
      </c>
      <c r="CH23" s="68">
        <f t="array" ref="CH23">IF($D23,SUMPRODUCT((economics!$AG$2:$AG$167=$B23)*(economics!$D$2:$D$167="process")*economics!$AH$2:$AH$167*_xlfn.NORM.DIST(CH$3,economics!$AK$2:$AK$167,economics!$AJ$2:$AJ$167,TRUE)),0)</f>
        <v/>
      </c>
    </row>
    <row r="24">
      <c r="A24">
        <f>WHRPbI!A22</f>
        <v/>
      </c>
      <c r="B24" t="n">
        <v>30</v>
      </c>
      <c r="C24" s="68">
        <f>WHRPbI!B22</f>
        <v/>
      </c>
      <c r="D24">
        <f>ISNUMBER(MATCH($B24,'energy base (MECS)'!$K$4:$K$9,0))</f>
        <v/>
      </c>
      <c r="E24" s="68">
        <f t="array" ref="E24">IF($D24,SUMPRODUCT((economics!$AG$2:$AG$167=$B24)*(economics!$D$2:$D$167="process")*economics!$AH$2:$AH$167*_xlfn.NORM.DIST(E$3,economics!$AK$2:$AK$167,economics!$AJ$2:$AJ$167,TRUE)),0)</f>
        <v/>
      </c>
      <c r="F24" s="68">
        <f t="array" ref="F24">IF($D24,SUMPRODUCT((economics!$AG$2:$AG$167=$B24)*(economics!$D$2:$D$167="process")*economics!$AH$2:$AH$167*_xlfn.NORM.DIST(F$3,economics!$AK$2:$AK$167,economics!$AJ$2:$AJ$167,TRUE)),0)</f>
        <v/>
      </c>
      <c r="G24" s="68">
        <f t="array" ref="G24">IF($D24,SUMPRODUCT((economics!$AG$2:$AG$167=$B24)*(economics!$D$2:$D$167="process")*economics!$AH$2:$AH$167*_xlfn.NORM.DIST(G$3,economics!$AK$2:$AK$167,economics!$AJ$2:$AJ$167,TRUE)),0)</f>
        <v/>
      </c>
      <c r="H24" s="68">
        <f t="array" ref="H24">IF($D24,SUMPRODUCT((economics!$AG$2:$AG$167=$B24)*(economics!$D$2:$D$167="process")*economics!$AH$2:$AH$167*_xlfn.NORM.DIST(H$3,economics!$AK$2:$AK$167,economics!$AJ$2:$AJ$167,TRUE)),0)</f>
        <v/>
      </c>
      <c r="I24" s="68">
        <f t="array" ref="I24">IF($D24,SUMPRODUCT((economics!$AG$2:$AG$167=$B24)*(economics!$D$2:$D$167="process")*economics!$AH$2:$AH$167*_xlfn.NORM.DIST(I$3,economics!$AK$2:$AK$167,economics!$AJ$2:$AJ$167,TRUE)),0)</f>
        <v/>
      </c>
      <c r="J24" s="68">
        <f t="array" ref="J24">IF($D24,SUMPRODUCT((economics!$AG$2:$AG$167=$B24)*(economics!$D$2:$D$167="process")*economics!$AH$2:$AH$167*_xlfn.NORM.DIST(J$3,economics!$AK$2:$AK$167,economics!$AJ$2:$AJ$167,TRUE)),0)</f>
        <v/>
      </c>
      <c r="K24" s="68">
        <f t="array" ref="K24">IF($D24,SUMPRODUCT((economics!$AG$2:$AG$167=$B24)*(economics!$D$2:$D$167="process")*economics!$AH$2:$AH$167*_xlfn.NORM.DIST(K$3,economics!$AK$2:$AK$167,economics!$AJ$2:$AJ$167,TRUE)),0)</f>
        <v/>
      </c>
      <c r="L24" s="68">
        <f t="array" ref="L24">IF($D24,SUMPRODUCT((economics!$AG$2:$AG$167=$B24)*(economics!$D$2:$D$167="process")*economics!$AH$2:$AH$167*_xlfn.NORM.DIST(L$3,economics!$AK$2:$AK$167,economics!$AJ$2:$AJ$167,TRUE)),0)</f>
        <v/>
      </c>
      <c r="M24" s="68">
        <f t="array" ref="M24">IF($D24,SUMPRODUCT((economics!$AG$2:$AG$167=$B24)*(economics!$D$2:$D$167="process")*economics!$AH$2:$AH$167*_xlfn.NORM.DIST(M$3,economics!$AK$2:$AK$167,economics!$AJ$2:$AJ$167,TRUE)),0)</f>
        <v/>
      </c>
      <c r="N24" s="68">
        <f t="array" ref="N24">IF($D24,SUMPRODUCT((economics!$AG$2:$AG$167=$B24)*(economics!$D$2:$D$167="process")*economics!$AH$2:$AH$167*_xlfn.NORM.DIST(N$3,economics!$AK$2:$AK$167,economics!$AJ$2:$AJ$167,TRUE)),0)</f>
        <v/>
      </c>
      <c r="O24" s="68">
        <f t="array" ref="O24">IF($D24,SUMPRODUCT((economics!$AG$2:$AG$167=$B24)*(economics!$D$2:$D$167="process")*economics!$AH$2:$AH$167*_xlfn.NORM.DIST(O$3,economics!$AK$2:$AK$167,economics!$AJ$2:$AJ$167,TRUE)),0)</f>
        <v/>
      </c>
      <c r="P24" s="68">
        <f t="array" ref="P24">IF($D24,SUMPRODUCT((economics!$AG$2:$AG$167=$B24)*(economics!$D$2:$D$167="process")*economics!$AH$2:$AH$167*_xlfn.NORM.DIST(P$3,economics!$AK$2:$AK$167,economics!$AJ$2:$AJ$167,TRUE)),0)</f>
        <v/>
      </c>
      <c r="Q24" s="68">
        <f t="array" ref="Q24">IF($D24,SUMPRODUCT((economics!$AG$2:$AG$167=$B24)*(economics!$D$2:$D$167="process")*economics!$AH$2:$AH$167*_xlfn.NORM.DIST(Q$3,economics!$AK$2:$AK$167,economics!$AJ$2:$AJ$167,TRUE)),0)</f>
        <v/>
      </c>
      <c r="R24" s="68">
        <f t="array" ref="R24">IF($D24,SUMPRODUCT((economics!$AG$2:$AG$167=$B24)*(economics!$D$2:$D$167="process")*economics!$AH$2:$AH$167*_xlfn.NORM.DIST(R$3,economics!$AK$2:$AK$167,economics!$AJ$2:$AJ$167,TRUE)),0)</f>
        <v/>
      </c>
      <c r="S24" s="68">
        <f t="array" ref="S24">IF($D24,SUMPRODUCT((economics!$AG$2:$AG$167=$B24)*(economics!$D$2:$D$167="process")*economics!$AH$2:$AH$167*_xlfn.NORM.DIST(S$3,economics!$AK$2:$AK$167,economics!$AJ$2:$AJ$167,TRUE)),0)</f>
        <v/>
      </c>
      <c r="T24" s="68">
        <f t="array" ref="T24">IF($D24,SUMPRODUCT((economics!$AG$2:$AG$167=$B24)*(economics!$D$2:$D$167="process")*economics!$AH$2:$AH$167*_xlfn.NORM.DIST(T$3,economics!$AK$2:$AK$167,economics!$AJ$2:$AJ$167,TRUE)),0)</f>
        <v/>
      </c>
      <c r="U24" s="68">
        <f t="array" ref="U24">IF($D24,SUMPRODUCT((economics!$AG$2:$AG$167=$B24)*(economics!$D$2:$D$167="process")*economics!$AH$2:$AH$167*_xlfn.NORM.DIST(U$3,economics!$AK$2:$AK$167,economics!$AJ$2:$AJ$167,TRUE)),0)</f>
        <v/>
      </c>
      <c r="V24" s="68">
        <f t="array" ref="V24">IF($D24,SUMPRODUCT((economics!$AG$2:$AG$167=$B24)*(economics!$D$2:$D$167="process")*economics!$AH$2:$AH$167*_xlfn.NORM.DIST(V$3,economics!$AK$2:$AK$167,economics!$AJ$2:$AJ$167,TRUE)),0)</f>
        <v/>
      </c>
      <c r="W24" s="68">
        <f t="array" ref="W24">IF($D24,SUMPRODUCT((economics!$AG$2:$AG$167=$B24)*(economics!$D$2:$D$167="process")*economics!$AH$2:$AH$167*_xlfn.NORM.DIST(W$3,economics!$AK$2:$AK$167,economics!$AJ$2:$AJ$167,TRUE)),0)</f>
        <v/>
      </c>
      <c r="X24" s="68">
        <f t="array" ref="X24">IF($D24,SUMPRODUCT((economics!$AG$2:$AG$167=$B24)*(economics!$D$2:$D$167="process")*economics!$AH$2:$AH$167*_xlfn.NORM.DIST(X$3,economics!$AK$2:$AK$167,economics!$AJ$2:$AJ$167,TRUE)),0)</f>
        <v/>
      </c>
      <c r="Y24" s="68">
        <f t="array" ref="Y24">IF($D24,SUMPRODUCT((economics!$AG$2:$AG$167=$B24)*(economics!$D$2:$D$167="process")*economics!$AH$2:$AH$167*_xlfn.NORM.DIST(Y$3,economics!$AK$2:$AK$167,economics!$AJ$2:$AJ$167,TRUE)),0)</f>
        <v/>
      </c>
      <c r="Z24" s="68">
        <f t="array" ref="Z24">IF($D24,SUMPRODUCT((economics!$AG$2:$AG$167=$B24)*(economics!$D$2:$D$167="process")*economics!$AH$2:$AH$167*_xlfn.NORM.DIST(Z$3,economics!$AK$2:$AK$167,economics!$AJ$2:$AJ$167,TRUE)),0)</f>
        <v/>
      </c>
      <c r="AA24" s="68">
        <f t="array" ref="AA24">IF($D24,SUMPRODUCT((economics!$AG$2:$AG$167=$B24)*(economics!$D$2:$D$167="process")*economics!$AH$2:$AH$167*_xlfn.NORM.DIST(AA$3,economics!$AK$2:$AK$167,economics!$AJ$2:$AJ$167,TRUE)),0)</f>
        <v/>
      </c>
      <c r="AB24" s="68">
        <f t="array" ref="AB24">IF($D24,SUMPRODUCT((economics!$AG$2:$AG$167=$B24)*(economics!$D$2:$D$167="process")*economics!$AH$2:$AH$167*_xlfn.NORM.DIST(AB$3,economics!$AK$2:$AK$167,economics!$AJ$2:$AJ$167,TRUE)),0)</f>
        <v/>
      </c>
      <c r="AC24" s="68">
        <f t="array" ref="AC24">IF($D24,SUMPRODUCT((economics!$AG$2:$AG$167=$B24)*(economics!$D$2:$D$167="process")*economics!$AH$2:$AH$167*_xlfn.NORM.DIST(AC$3,economics!$AK$2:$AK$167,economics!$AJ$2:$AJ$167,TRUE)),0)</f>
        <v/>
      </c>
      <c r="AD24" s="68">
        <f t="array" ref="AD24">IF($D24,SUMPRODUCT((economics!$AG$2:$AG$167=$B24)*(economics!$D$2:$D$167="process")*economics!$AH$2:$AH$167*_xlfn.NORM.DIST(AD$3,economics!$AK$2:$AK$167,economics!$AJ$2:$AJ$167,TRUE)),0)</f>
        <v/>
      </c>
      <c r="AE24" s="68">
        <f t="array" ref="AE24">IF($D24,SUMPRODUCT((economics!$AG$2:$AG$167=$B24)*(economics!$D$2:$D$167="process")*economics!$AH$2:$AH$167*_xlfn.NORM.DIST(AE$3,economics!$AK$2:$AK$167,economics!$AJ$2:$AJ$167,TRUE)),0)</f>
        <v/>
      </c>
      <c r="AF24" s="68">
        <f t="array" ref="AF24">IF($D24,SUMPRODUCT((economics!$AG$2:$AG$167=$B24)*(economics!$D$2:$D$167="process")*economics!$AH$2:$AH$167*_xlfn.NORM.DIST(AF$3,economics!$AK$2:$AK$167,economics!$AJ$2:$AJ$167,TRUE)),0)</f>
        <v/>
      </c>
      <c r="AG24" s="68">
        <f t="array" ref="AG24">IF($D24,SUMPRODUCT((economics!$AG$2:$AG$167=$B24)*(economics!$D$2:$D$167="process")*economics!$AH$2:$AH$167*_xlfn.NORM.DIST(AG$3,economics!$AK$2:$AK$167,economics!$AJ$2:$AJ$167,TRUE)),0)</f>
        <v/>
      </c>
      <c r="AH24" s="68">
        <f t="array" ref="AH24">IF($D24,SUMPRODUCT((economics!$AG$2:$AG$167=$B24)*(economics!$D$2:$D$167="process")*economics!$AH$2:$AH$167*_xlfn.NORM.DIST(AH$3,economics!$AK$2:$AK$167,economics!$AJ$2:$AJ$167,TRUE)),0)</f>
        <v/>
      </c>
      <c r="AI24" s="68">
        <f t="array" ref="AI24">IF($D24,SUMPRODUCT((economics!$AG$2:$AG$167=$B24)*(economics!$D$2:$D$167="process")*economics!$AH$2:$AH$167*_xlfn.NORM.DIST(AI$3,economics!$AK$2:$AK$167,economics!$AJ$2:$AJ$167,TRUE)),0)</f>
        <v/>
      </c>
      <c r="AJ24" s="68">
        <f t="array" ref="AJ24">IF($D24,SUMPRODUCT((economics!$AG$2:$AG$167=$B24)*(economics!$D$2:$D$167="process")*economics!$AH$2:$AH$167*_xlfn.NORM.DIST(AJ$3,economics!$AK$2:$AK$167,economics!$AJ$2:$AJ$167,TRUE)),0)</f>
        <v/>
      </c>
      <c r="AK24" s="68">
        <f t="array" ref="AK24">IF($D24,SUMPRODUCT((economics!$AG$2:$AG$167=$B24)*(economics!$D$2:$D$167="process")*economics!$AH$2:$AH$167*_xlfn.NORM.DIST(AK$3,economics!$AK$2:$AK$167,economics!$AJ$2:$AJ$167,TRUE)),0)</f>
        <v/>
      </c>
      <c r="AL24" s="68">
        <f t="array" ref="AL24">IF($D24,SUMPRODUCT((economics!$AG$2:$AG$167=$B24)*(economics!$D$2:$D$167="process")*economics!$AH$2:$AH$167*_xlfn.NORM.DIST(AL$3,economics!$AK$2:$AK$167,economics!$AJ$2:$AJ$167,TRUE)),0)</f>
        <v/>
      </c>
      <c r="AM24" s="68">
        <f t="array" ref="AM24">IF($D24,SUMPRODUCT((economics!$AG$2:$AG$167=$B24)*(economics!$D$2:$D$167="process")*economics!$AH$2:$AH$167*_xlfn.NORM.DIST(AM$3,economics!$AK$2:$AK$167,economics!$AJ$2:$AJ$167,TRUE)),0)</f>
        <v/>
      </c>
      <c r="AN24" s="68">
        <f t="array" ref="AN24">IF($D24,SUMPRODUCT((economics!$AG$2:$AG$167=$B24)*(economics!$D$2:$D$167="process")*economics!$AH$2:$AH$167*_xlfn.NORM.DIST(AN$3,economics!$AK$2:$AK$167,economics!$AJ$2:$AJ$167,TRUE)),0)</f>
        <v/>
      </c>
      <c r="AO24" s="68">
        <f t="array" ref="AO24">IF($D24,SUMPRODUCT((economics!$AG$2:$AG$167=$B24)*(economics!$D$2:$D$167="process")*economics!$AH$2:$AH$167*_xlfn.NORM.DIST(AO$3,economics!$AK$2:$AK$167,economics!$AJ$2:$AJ$167,TRUE)),0)</f>
        <v/>
      </c>
      <c r="AP24" s="68">
        <f t="array" ref="AP24">IF($D24,SUMPRODUCT((economics!$AG$2:$AG$167=$B24)*(economics!$D$2:$D$167="process")*economics!$AH$2:$AH$167*_xlfn.NORM.DIST(AP$3,economics!$AK$2:$AK$167,economics!$AJ$2:$AJ$167,TRUE)),0)</f>
        <v/>
      </c>
      <c r="AQ24" s="68">
        <f t="array" ref="AQ24">IF($D24,SUMPRODUCT((economics!$AG$2:$AG$167=$B24)*(economics!$D$2:$D$167="process")*economics!$AH$2:$AH$167*_xlfn.NORM.DIST(AQ$3,economics!$AK$2:$AK$167,economics!$AJ$2:$AJ$167,TRUE)),0)</f>
        <v/>
      </c>
      <c r="AR24" s="68">
        <f t="array" ref="AR24">IF($D24,SUMPRODUCT((economics!$AG$2:$AG$167=$B24)*(economics!$D$2:$D$167="process")*economics!$AH$2:$AH$167*_xlfn.NORM.DIST(AR$3,economics!$AK$2:$AK$167,economics!$AJ$2:$AJ$167,TRUE)),0)</f>
        <v/>
      </c>
      <c r="AS24" s="68">
        <f t="array" ref="AS24">IF($D24,SUMPRODUCT((economics!$AG$2:$AG$167=$B24)*(economics!$D$2:$D$167="process")*economics!$AH$2:$AH$167*_xlfn.NORM.DIST(AS$3,economics!$AK$2:$AK$167,economics!$AJ$2:$AJ$167,TRUE)),0)</f>
        <v/>
      </c>
      <c r="AT24" s="68">
        <f t="array" ref="AT24">IF($D24,SUMPRODUCT((economics!$AG$2:$AG$167=$B24)*(economics!$D$2:$D$167="process")*economics!$AH$2:$AH$167*_xlfn.NORM.DIST(AT$3,economics!$AK$2:$AK$167,economics!$AJ$2:$AJ$167,TRUE)),0)</f>
        <v/>
      </c>
      <c r="AU24" s="68">
        <f t="array" ref="AU24">IF($D24,SUMPRODUCT((economics!$AG$2:$AG$167=$B24)*(economics!$D$2:$D$167="process")*economics!$AH$2:$AH$167*_xlfn.NORM.DIST(AU$3,economics!$AK$2:$AK$167,economics!$AJ$2:$AJ$167,TRUE)),0)</f>
        <v/>
      </c>
      <c r="AV24" s="68">
        <f t="array" ref="AV24">IF($D24,SUMPRODUCT((economics!$AG$2:$AG$167=$B24)*(economics!$D$2:$D$167="process")*economics!$AH$2:$AH$167*_xlfn.NORM.DIST(AV$3,economics!$AK$2:$AK$167,economics!$AJ$2:$AJ$167,TRUE)),0)</f>
        <v/>
      </c>
      <c r="AW24" s="68">
        <f t="array" ref="AW24">IF($D24,SUMPRODUCT((economics!$AG$2:$AG$167=$B24)*(economics!$D$2:$D$167="process")*economics!$AH$2:$AH$167*_xlfn.NORM.DIST(AW$3,economics!$AK$2:$AK$167,economics!$AJ$2:$AJ$167,TRUE)),0)</f>
        <v/>
      </c>
      <c r="AX24" s="68">
        <f t="array" ref="AX24">IF($D24,SUMPRODUCT((economics!$AG$2:$AG$167=$B24)*(economics!$D$2:$D$167="process")*economics!$AH$2:$AH$167*_xlfn.NORM.DIST(AX$3,economics!$AK$2:$AK$167,economics!$AJ$2:$AJ$167,TRUE)),0)</f>
        <v/>
      </c>
      <c r="AY24" s="68">
        <f t="array" ref="AY24">IF($D24,SUMPRODUCT((economics!$AG$2:$AG$167=$B24)*(economics!$D$2:$D$167="process")*economics!$AH$2:$AH$167*_xlfn.NORM.DIST(AY$3,economics!$AK$2:$AK$167,economics!$AJ$2:$AJ$167,TRUE)),0)</f>
        <v/>
      </c>
      <c r="AZ24" s="68">
        <f t="array" ref="AZ24">IF($D24,SUMPRODUCT((economics!$AG$2:$AG$167=$B24)*(economics!$D$2:$D$167="process")*economics!$AH$2:$AH$167*_xlfn.NORM.DIST(AZ$3,economics!$AK$2:$AK$167,economics!$AJ$2:$AJ$167,TRUE)),0)</f>
        <v/>
      </c>
      <c r="BA24" s="68">
        <f t="array" ref="BA24">IF($D24,SUMPRODUCT((economics!$AG$2:$AG$167=$B24)*(economics!$D$2:$D$167="process")*economics!$AH$2:$AH$167*_xlfn.NORM.DIST(BA$3,economics!$AK$2:$AK$167,economics!$AJ$2:$AJ$167,TRUE)),0)</f>
        <v/>
      </c>
      <c r="BB24" s="68">
        <f t="array" ref="BB24">IF($D24,SUMPRODUCT((economics!$AG$2:$AG$167=$B24)*(economics!$D$2:$D$167="process")*economics!$AH$2:$AH$167*_xlfn.NORM.DIST(BB$3,economics!$AK$2:$AK$167,economics!$AJ$2:$AJ$167,TRUE)),0)</f>
        <v/>
      </c>
      <c r="BC24" s="68">
        <f t="array" ref="BC24">IF($D24,SUMPRODUCT((economics!$AG$2:$AG$167=$B24)*(economics!$D$2:$D$167="process")*economics!$AH$2:$AH$167*_xlfn.NORM.DIST(BC$3,economics!$AK$2:$AK$167,economics!$AJ$2:$AJ$167,TRUE)),0)</f>
        <v/>
      </c>
      <c r="BD24" s="68">
        <f t="array" ref="BD24">IF($D24,SUMPRODUCT((economics!$AG$2:$AG$167=$B24)*(economics!$D$2:$D$167="process")*economics!$AH$2:$AH$167*_xlfn.NORM.DIST(BD$3,economics!$AK$2:$AK$167,economics!$AJ$2:$AJ$167,TRUE)),0)</f>
        <v/>
      </c>
      <c r="BE24" s="68">
        <f t="array" ref="BE24">IF($D24,SUMPRODUCT((economics!$AG$2:$AG$167=$B24)*(economics!$D$2:$D$167="process")*economics!$AH$2:$AH$167*_xlfn.NORM.DIST(BE$3,economics!$AK$2:$AK$167,economics!$AJ$2:$AJ$167,TRUE)),0)</f>
        <v/>
      </c>
      <c r="BF24" s="68">
        <f t="array" ref="BF24">IF($D24,SUMPRODUCT((economics!$AG$2:$AG$167=$B24)*(economics!$D$2:$D$167="process")*economics!$AH$2:$AH$167*_xlfn.NORM.DIST(BF$3,economics!$AK$2:$AK$167,economics!$AJ$2:$AJ$167,TRUE)),0)</f>
        <v/>
      </c>
      <c r="BG24" s="68">
        <f t="array" ref="BG24">IF($D24,SUMPRODUCT((economics!$AG$2:$AG$167=$B24)*(economics!$D$2:$D$167="process")*economics!$AH$2:$AH$167*_xlfn.NORM.DIST(BG$3,economics!$AK$2:$AK$167,economics!$AJ$2:$AJ$167,TRUE)),0)</f>
        <v/>
      </c>
      <c r="BH24" s="68">
        <f t="array" ref="BH24">IF($D24,SUMPRODUCT((economics!$AG$2:$AG$167=$B24)*(economics!$D$2:$D$167="process")*economics!$AH$2:$AH$167*_xlfn.NORM.DIST(BH$3,economics!$AK$2:$AK$167,economics!$AJ$2:$AJ$167,TRUE)),0)</f>
        <v/>
      </c>
      <c r="BI24" s="68">
        <f t="array" ref="BI24">IF($D24,SUMPRODUCT((economics!$AG$2:$AG$167=$B24)*(economics!$D$2:$D$167="process")*economics!$AH$2:$AH$167*_xlfn.NORM.DIST(BI$3,economics!$AK$2:$AK$167,economics!$AJ$2:$AJ$167,TRUE)),0)</f>
        <v/>
      </c>
      <c r="BJ24" s="68">
        <f t="array" ref="BJ24">IF($D24,SUMPRODUCT((economics!$AG$2:$AG$167=$B24)*(economics!$D$2:$D$167="process")*economics!$AH$2:$AH$167*_xlfn.NORM.DIST(BJ$3,economics!$AK$2:$AK$167,economics!$AJ$2:$AJ$167,TRUE)),0)</f>
        <v/>
      </c>
      <c r="BK24" s="68">
        <f t="array" ref="BK24">IF($D24,SUMPRODUCT((economics!$AG$2:$AG$167=$B24)*(economics!$D$2:$D$167="process")*economics!$AH$2:$AH$167*_xlfn.NORM.DIST(BK$3,economics!$AK$2:$AK$167,economics!$AJ$2:$AJ$167,TRUE)),0)</f>
        <v/>
      </c>
      <c r="BL24" s="68">
        <f t="array" ref="BL24">IF($D24,SUMPRODUCT((economics!$AG$2:$AG$167=$B24)*(economics!$D$2:$D$167="process")*economics!$AH$2:$AH$167*_xlfn.NORM.DIST(BL$3,economics!$AK$2:$AK$167,economics!$AJ$2:$AJ$167,TRUE)),0)</f>
        <v/>
      </c>
      <c r="BM24" s="68">
        <f t="array" ref="BM24">IF($D24,SUMPRODUCT((economics!$AG$2:$AG$167=$B24)*(economics!$D$2:$D$167="process")*economics!$AH$2:$AH$167*_xlfn.NORM.DIST(BM$3,economics!$AK$2:$AK$167,economics!$AJ$2:$AJ$167,TRUE)),0)</f>
        <v/>
      </c>
      <c r="BN24" s="68">
        <f t="array" ref="BN24">IF($D24,SUMPRODUCT((economics!$AG$2:$AG$167=$B24)*(economics!$D$2:$D$167="process")*economics!$AH$2:$AH$167*_xlfn.NORM.DIST(BN$3,economics!$AK$2:$AK$167,economics!$AJ$2:$AJ$167,TRUE)),0)</f>
        <v/>
      </c>
      <c r="BO24" s="68">
        <f t="array" ref="BO24">IF($D24,SUMPRODUCT((economics!$AG$2:$AG$167=$B24)*(economics!$D$2:$D$167="process")*economics!$AH$2:$AH$167*_xlfn.NORM.DIST(BO$3,economics!$AK$2:$AK$167,economics!$AJ$2:$AJ$167,TRUE)),0)</f>
        <v/>
      </c>
      <c r="BP24" s="68">
        <f t="array" ref="BP24">IF($D24,SUMPRODUCT((economics!$AG$2:$AG$167=$B24)*(economics!$D$2:$D$167="process")*economics!$AH$2:$AH$167*_xlfn.NORM.DIST(BP$3,economics!$AK$2:$AK$167,economics!$AJ$2:$AJ$167,TRUE)),0)</f>
        <v/>
      </c>
      <c r="BQ24" s="68">
        <f t="array" ref="BQ24">IF($D24,SUMPRODUCT((economics!$AG$2:$AG$167=$B24)*(economics!$D$2:$D$167="process")*economics!$AH$2:$AH$167*_xlfn.NORM.DIST(BQ$3,economics!$AK$2:$AK$167,economics!$AJ$2:$AJ$167,TRUE)),0)</f>
        <v/>
      </c>
      <c r="BR24" s="68">
        <f t="array" ref="BR24">IF($D24,SUMPRODUCT((economics!$AG$2:$AG$167=$B24)*(economics!$D$2:$D$167="process")*economics!$AH$2:$AH$167*_xlfn.NORM.DIST(BR$3,economics!$AK$2:$AK$167,economics!$AJ$2:$AJ$167,TRUE)),0)</f>
        <v/>
      </c>
      <c r="BS24" s="68">
        <f t="array" ref="BS24">IF($D24,SUMPRODUCT((economics!$AG$2:$AG$167=$B24)*(economics!$D$2:$D$167="process")*economics!$AH$2:$AH$167*_xlfn.NORM.DIST(BS$3,economics!$AK$2:$AK$167,economics!$AJ$2:$AJ$167,TRUE)),0)</f>
        <v/>
      </c>
      <c r="BT24" s="68">
        <f t="array" ref="BT24">IF($D24,SUMPRODUCT((economics!$AG$2:$AG$167=$B24)*(economics!$D$2:$D$167="process")*economics!$AH$2:$AH$167*_xlfn.NORM.DIST(BT$3,economics!$AK$2:$AK$167,economics!$AJ$2:$AJ$167,TRUE)),0)</f>
        <v/>
      </c>
      <c r="BU24" s="68">
        <f t="array" ref="BU24">IF($D24,SUMPRODUCT((economics!$AG$2:$AG$167=$B24)*(economics!$D$2:$D$167="process")*economics!$AH$2:$AH$167*_xlfn.NORM.DIST(BU$3,economics!$AK$2:$AK$167,economics!$AJ$2:$AJ$167,TRUE)),0)</f>
        <v/>
      </c>
      <c r="BV24" s="68">
        <f t="array" ref="BV24">IF($D24,SUMPRODUCT((economics!$AG$2:$AG$167=$B24)*(economics!$D$2:$D$167="process")*economics!$AH$2:$AH$167*_xlfn.NORM.DIST(BV$3,economics!$AK$2:$AK$167,economics!$AJ$2:$AJ$167,TRUE)),0)</f>
        <v/>
      </c>
      <c r="BW24" s="68">
        <f t="array" ref="BW24">IF($D24,SUMPRODUCT((economics!$AG$2:$AG$167=$B24)*(economics!$D$2:$D$167="process")*economics!$AH$2:$AH$167*_xlfn.NORM.DIST(BW$3,economics!$AK$2:$AK$167,economics!$AJ$2:$AJ$167,TRUE)),0)</f>
        <v/>
      </c>
      <c r="BX24" s="68">
        <f t="array" ref="BX24">IF($D24,SUMPRODUCT((economics!$AG$2:$AG$167=$B24)*(economics!$D$2:$D$167="process")*economics!$AH$2:$AH$167*_xlfn.NORM.DIST(BX$3,economics!$AK$2:$AK$167,economics!$AJ$2:$AJ$167,TRUE)),0)</f>
        <v/>
      </c>
      <c r="BY24" s="68">
        <f t="array" ref="BY24">IF($D24,SUMPRODUCT((economics!$AG$2:$AG$167=$B24)*(economics!$D$2:$D$167="process")*economics!$AH$2:$AH$167*_xlfn.NORM.DIST(BY$3,economics!$AK$2:$AK$167,economics!$AJ$2:$AJ$167,TRUE)),0)</f>
        <v/>
      </c>
      <c r="BZ24" s="68">
        <f t="array" ref="BZ24">IF($D24,SUMPRODUCT((economics!$AG$2:$AG$167=$B24)*(economics!$D$2:$D$167="process")*economics!$AH$2:$AH$167*_xlfn.NORM.DIST(BZ$3,economics!$AK$2:$AK$167,economics!$AJ$2:$AJ$167,TRUE)),0)</f>
        <v/>
      </c>
      <c r="CA24" s="68">
        <f t="array" ref="CA24">IF($D24,SUMPRODUCT((economics!$AG$2:$AG$167=$B24)*(economics!$D$2:$D$167="process")*economics!$AH$2:$AH$167*_xlfn.NORM.DIST(CA$3,economics!$AK$2:$AK$167,economics!$AJ$2:$AJ$167,TRUE)),0)</f>
        <v/>
      </c>
      <c r="CB24" s="68">
        <f t="array" ref="CB24">IF($D24,SUMPRODUCT((economics!$AG$2:$AG$167=$B24)*(economics!$D$2:$D$167="process")*economics!$AH$2:$AH$167*_xlfn.NORM.DIST(CB$3,economics!$AK$2:$AK$167,economics!$AJ$2:$AJ$167,TRUE)),0)</f>
        <v/>
      </c>
      <c r="CC24" s="68">
        <f t="array" ref="CC24">IF($D24,SUMPRODUCT((economics!$AG$2:$AG$167=$B24)*(economics!$D$2:$D$167="process")*economics!$AH$2:$AH$167*_xlfn.NORM.DIST(CC$3,economics!$AK$2:$AK$167,economics!$AJ$2:$AJ$167,TRUE)),0)</f>
        <v/>
      </c>
      <c r="CD24" s="68">
        <f t="array" ref="CD24">IF($D24,SUMPRODUCT((economics!$AG$2:$AG$167=$B24)*(economics!$D$2:$D$167="process")*economics!$AH$2:$AH$167*_xlfn.NORM.DIST(CD$3,economics!$AK$2:$AK$167,economics!$AJ$2:$AJ$167,TRUE)),0)</f>
        <v/>
      </c>
      <c r="CE24" s="68">
        <f t="array" ref="CE24">IF($D24,SUMPRODUCT((economics!$AG$2:$AG$167=$B24)*(economics!$D$2:$D$167="process")*economics!$AH$2:$AH$167*_xlfn.NORM.DIST(CE$3,economics!$AK$2:$AK$167,economics!$AJ$2:$AJ$167,TRUE)),0)</f>
        <v/>
      </c>
      <c r="CF24" s="68">
        <f t="array" ref="CF24">IF($D24,SUMPRODUCT((economics!$AG$2:$AG$167=$B24)*(economics!$D$2:$D$167="process")*economics!$AH$2:$AH$167*_xlfn.NORM.DIST(CF$3,economics!$AK$2:$AK$167,economics!$AJ$2:$AJ$167,TRUE)),0)</f>
        <v/>
      </c>
      <c r="CG24" s="68">
        <f t="array" ref="CG24">IF($D24,SUMPRODUCT((economics!$AG$2:$AG$167=$B24)*(economics!$D$2:$D$167="process")*economics!$AH$2:$AH$167*_xlfn.NORM.DIST(CG$3,economics!$AK$2:$AK$167,economics!$AJ$2:$AJ$167,TRUE)),0)</f>
        <v/>
      </c>
      <c r="CH24" s="68">
        <f t="array" ref="CH24">IF($D24,SUMPRODUCT((economics!$AG$2:$AG$167=$B24)*(economics!$D$2:$D$167="process")*economics!$AH$2:$AH$167*_xlfn.NORM.DIST(CH$3,economics!$AK$2:$AK$167,economics!$AJ$2:$AJ$167,TRUE)),0)</f>
        <v/>
      </c>
    </row>
    <row r="25">
      <c r="A25">
        <f>WHRPbI!A23</f>
        <v/>
      </c>
      <c r="B25" t="inlineStr">
        <is>
          <t>31T33</t>
        </is>
      </c>
      <c r="C25" s="68">
        <f>WHRPbI!B23</f>
        <v/>
      </c>
      <c r="D25">
        <f>ISNUMBER(MATCH($B25,'energy base (MECS)'!$K$4:$K$9,0))</f>
        <v/>
      </c>
      <c r="E25" s="68">
        <f t="array" ref="E25">IF($D25,SUMPRODUCT((economics!$AG$2:$AG$167=$B25)*(economics!$D$2:$D$167="process")*economics!$AH$2:$AH$167*_xlfn.NORM.DIST(E$3,economics!$AK$2:$AK$167,economics!$AJ$2:$AJ$167,TRUE)),0)</f>
        <v/>
      </c>
      <c r="F25" s="68">
        <f t="array" ref="F25">IF($D25,SUMPRODUCT((economics!$AG$2:$AG$167=$B25)*(economics!$D$2:$D$167="process")*economics!$AH$2:$AH$167*_xlfn.NORM.DIST(F$3,economics!$AK$2:$AK$167,economics!$AJ$2:$AJ$167,TRUE)),0)</f>
        <v/>
      </c>
      <c r="G25" s="68">
        <f t="array" ref="G25">IF($D25,SUMPRODUCT((economics!$AG$2:$AG$167=$B25)*(economics!$D$2:$D$167="process")*economics!$AH$2:$AH$167*_xlfn.NORM.DIST(G$3,economics!$AK$2:$AK$167,economics!$AJ$2:$AJ$167,TRUE)),0)</f>
        <v/>
      </c>
      <c r="H25" s="68">
        <f t="array" ref="H25">IF($D25,SUMPRODUCT((economics!$AG$2:$AG$167=$B25)*(economics!$D$2:$D$167="process")*economics!$AH$2:$AH$167*_xlfn.NORM.DIST(H$3,economics!$AK$2:$AK$167,economics!$AJ$2:$AJ$167,TRUE)),0)</f>
        <v/>
      </c>
      <c r="I25" s="68">
        <f t="array" ref="I25">IF($D25,SUMPRODUCT((economics!$AG$2:$AG$167=$B25)*(economics!$D$2:$D$167="process")*economics!$AH$2:$AH$167*_xlfn.NORM.DIST(I$3,economics!$AK$2:$AK$167,economics!$AJ$2:$AJ$167,TRUE)),0)</f>
        <v/>
      </c>
      <c r="J25" s="68">
        <f t="array" ref="J25">IF($D25,SUMPRODUCT((economics!$AG$2:$AG$167=$B25)*(economics!$D$2:$D$167="process")*economics!$AH$2:$AH$167*_xlfn.NORM.DIST(J$3,economics!$AK$2:$AK$167,economics!$AJ$2:$AJ$167,TRUE)),0)</f>
        <v/>
      </c>
      <c r="K25" s="68">
        <f t="array" ref="K25">IF($D25,SUMPRODUCT((economics!$AG$2:$AG$167=$B25)*(economics!$D$2:$D$167="process")*economics!$AH$2:$AH$167*_xlfn.NORM.DIST(K$3,economics!$AK$2:$AK$167,economics!$AJ$2:$AJ$167,TRUE)),0)</f>
        <v/>
      </c>
      <c r="L25" s="68">
        <f t="array" ref="L25">IF($D25,SUMPRODUCT((economics!$AG$2:$AG$167=$B25)*(economics!$D$2:$D$167="process")*economics!$AH$2:$AH$167*_xlfn.NORM.DIST(L$3,economics!$AK$2:$AK$167,economics!$AJ$2:$AJ$167,TRUE)),0)</f>
        <v/>
      </c>
      <c r="M25" s="68">
        <f t="array" ref="M25">IF($D25,SUMPRODUCT((economics!$AG$2:$AG$167=$B25)*(economics!$D$2:$D$167="process")*economics!$AH$2:$AH$167*_xlfn.NORM.DIST(M$3,economics!$AK$2:$AK$167,economics!$AJ$2:$AJ$167,TRUE)),0)</f>
        <v/>
      </c>
      <c r="N25" s="68">
        <f t="array" ref="N25">IF($D25,SUMPRODUCT((economics!$AG$2:$AG$167=$B25)*(economics!$D$2:$D$167="process")*economics!$AH$2:$AH$167*_xlfn.NORM.DIST(N$3,economics!$AK$2:$AK$167,economics!$AJ$2:$AJ$167,TRUE)),0)</f>
        <v/>
      </c>
      <c r="O25" s="68">
        <f t="array" ref="O25">IF($D25,SUMPRODUCT((economics!$AG$2:$AG$167=$B25)*(economics!$D$2:$D$167="process")*economics!$AH$2:$AH$167*_xlfn.NORM.DIST(O$3,economics!$AK$2:$AK$167,economics!$AJ$2:$AJ$167,TRUE)),0)</f>
        <v/>
      </c>
      <c r="P25" s="68">
        <f t="array" ref="P25">IF($D25,SUMPRODUCT((economics!$AG$2:$AG$167=$B25)*(economics!$D$2:$D$167="process")*economics!$AH$2:$AH$167*_xlfn.NORM.DIST(P$3,economics!$AK$2:$AK$167,economics!$AJ$2:$AJ$167,TRUE)),0)</f>
        <v/>
      </c>
      <c r="Q25" s="68">
        <f t="array" ref="Q25">IF($D25,SUMPRODUCT((economics!$AG$2:$AG$167=$B25)*(economics!$D$2:$D$167="process")*economics!$AH$2:$AH$167*_xlfn.NORM.DIST(Q$3,economics!$AK$2:$AK$167,economics!$AJ$2:$AJ$167,TRUE)),0)</f>
        <v/>
      </c>
      <c r="R25" s="68">
        <f t="array" ref="R25">IF($D25,SUMPRODUCT((economics!$AG$2:$AG$167=$B25)*(economics!$D$2:$D$167="process")*economics!$AH$2:$AH$167*_xlfn.NORM.DIST(R$3,economics!$AK$2:$AK$167,economics!$AJ$2:$AJ$167,TRUE)),0)</f>
        <v/>
      </c>
      <c r="S25" s="68">
        <f t="array" ref="S25">IF($D25,SUMPRODUCT((economics!$AG$2:$AG$167=$B25)*(economics!$D$2:$D$167="process")*economics!$AH$2:$AH$167*_xlfn.NORM.DIST(S$3,economics!$AK$2:$AK$167,economics!$AJ$2:$AJ$167,TRUE)),0)</f>
        <v/>
      </c>
      <c r="T25" s="68">
        <f t="array" ref="T25">IF($D25,SUMPRODUCT((economics!$AG$2:$AG$167=$B25)*(economics!$D$2:$D$167="process")*economics!$AH$2:$AH$167*_xlfn.NORM.DIST(T$3,economics!$AK$2:$AK$167,economics!$AJ$2:$AJ$167,TRUE)),0)</f>
        <v/>
      </c>
      <c r="U25" s="68">
        <f t="array" ref="U25">IF($D25,SUMPRODUCT((economics!$AG$2:$AG$167=$B25)*(economics!$D$2:$D$167="process")*economics!$AH$2:$AH$167*_xlfn.NORM.DIST(U$3,economics!$AK$2:$AK$167,economics!$AJ$2:$AJ$167,TRUE)),0)</f>
        <v/>
      </c>
      <c r="V25" s="68">
        <f t="array" ref="V25">IF($D25,SUMPRODUCT((economics!$AG$2:$AG$167=$B25)*(economics!$D$2:$D$167="process")*economics!$AH$2:$AH$167*_xlfn.NORM.DIST(V$3,economics!$AK$2:$AK$167,economics!$AJ$2:$AJ$167,TRUE)),0)</f>
        <v/>
      </c>
      <c r="W25" s="68">
        <f t="array" ref="W25">IF($D25,SUMPRODUCT((economics!$AG$2:$AG$167=$B25)*(economics!$D$2:$D$167="process")*economics!$AH$2:$AH$167*_xlfn.NORM.DIST(W$3,economics!$AK$2:$AK$167,economics!$AJ$2:$AJ$167,TRUE)),0)</f>
        <v/>
      </c>
      <c r="X25" s="68">
        <f t="array" ref="X25">IF($D25,SUMPRODUCT((economics!$AG$2:$AG$167=$B25)*(economics!$D$2:$D$167="process")*economics!$AH$2:$AH$167*_xlfn.NORM.DIST(X$3,economics!$AK$2:$AK$167,economics!$AJ$2:$AJ$167,TRUE)),0)</f>
        <v/>
      </c>
      <c r="Y25" s="68">
        <f t="array" ref="Y25">IF($D25,SUMPRODUCT((economics!$AG$2:$AG$167=$B25)*(economics!$D$2:$D$167="process")*economics!$AH$2:$AH$167*_xlfn.NORM.DIST(Y$3,economics!$AK$2:$AK$167,economics!$AJ$2:$AJ$167,TRUE)),0)</f>
        <v/>
      </c>
      <c r="Z25" s="68">
        <f t="array" ref="Z25">IF($D25,SUMPRODUCT((economics!$AG$2:$AG$167=$B25)*(economics!$D$2:$D$167="process")*economics!$AH$2:$AH$167*_xlfn.NORM.DIST(Z$3,economics!$AK$2:$AK$167,economics!$AJ$2:$AJ$167,TRUE)),0)</f>
        <v/>
      </c>
      <c r="AA25" s="68">
        <f t="array" ref="AA25">IF($D25,SUMPRODUCT((economics!$AG$2:$AG$167=$B25)*(economics!$D$2:$D$167="process")*economics!$AH$2:$AH$167*_xlfn.NORM.DIST(AA$3,economics!$AK$2:$AK$167,economics!$AJ$2:$AJ$167,TRUE)),0)</f>
        <v/>
      </c>
      <c r="AB25" s="68">
        <f t="array" ref="AB25">IF($D25,SUMPRODUCT((economics!$AG$2:$AG$167=$B25)*(economics!$D$2:$D$167="process")*economics!$AH$2:$AH$167*_xlfn.NORM.DIST(AB$3,economics!$AK$2:$AK$167,economics!$AJ$2:$AJ$167,TRUE)),0)</f>
        <v/>
      </c>
      <c r="AC25" s="68">
        <f t="array" ref="AC25">IF($D25,SUMPRODUCT((economics!$AG$2:$AG$167=$B25)*(economics!$D$2:$D$167="process")*economics!$AH$2:$AH$167*_xlfn.NORM.DIST(AC$3,economics!$AK$2:$AK$167,economics!$AJ$2:$AJ$167,TRUE)),0)</f>
        <v/>
      </c>
      <c r="AD25" s="68">
        <f t="array" ref="AD25">IF($D25,SUMPRODUCT((economics!$AG$2:$AG$167=$B25)*(economics!$D$2:$D$167="process")*economics!$AH$2:$AH$167*_xlfn.NORM.DIST(AD$3,economics!$AK$2:$AK$167,economics!$AJ$2:$AJ$167,TRUE)),0)</f>
        <v/>
      </c>
      <c r="AE25" s="68">
        <f t="array" ref="AE25">IF($D25,SUMPRODUCT((economics!$AG$2:$AG$167=$B25)*(economics!$D$2:$D$167="process")*economics!$AH$2:$AH$167*_xlfn.NORM.DIST(AE$3,economics!$AK$2:$AK$167,economics!$AJ$2:$AJ$167,TRUE)),0)</f>
        <v/>
      </c>
      <c r="AF25" s="68">
        <f t="array" ref="AF25">IF($D25,SUMPRODUCT((economics!$AG$2:$AG$167=$B25)*(economics!$D$2:$D$167="process")*economics!$AH$2:$AH$167*_xlfn.NORM.DIST(AF$3,economics!$AK$2:$AK$167,economics!$AJ$2:$AJ$167,TRUE)),0)</f>
        <v/>
      </c>
      <c r="AG25" s="68">
        <f t="array" ref="AG25">IF($D25,SUMPRODUCT((economics!$AG$2:$AG$167=$B25)*(economics!$D$2:$D$167="process")*economics!$AH$2:$AH$167*_xlfn.NORM.DIST(AG$3,economics!$AK$2:$AK$167,economics!$AJ$2:$AJ$167,TRUE)),0)</f>
        <v/>
      </c>
      <c r="AH25" s="68">
        <f t="array" ref="AH25">IF($D25,SUMPRODUCT((economics!$AG$2:$AG$167=$B25)*(economics!$D$2:$D$167="process")*economics!$AH$2:$AH$167*_xlfn.NORM.DIST(AH$3,economics!$AK$2:$AK$167,economics!$AJ$2:$AJ$167,TRUE)),0)</f>
        <v/>
      </c>
      <c r="AI25" s="68">
        <f t="array" ref="AI25">IF($D25,SUMPRODUCT((economics!$AG$2:$AG$167=$B25)*(economics!$D$2:$D$167="process")*economics!$AH$2:$AH$167*_xlfn.NORM.DIST(AI$3,economics!$AK$2:$AK$167,economics!$AJ$2:$AJ$167,TRUE)),0)</f>
        <v/>
      </c>
      <c r="AJ25" s="68">
        <f t="array" ref="AJ25">IF($D25,SUMPRODUCT((economics!$AG$2:$AG$167=$B25)*(economics!$D$2:$D$167="process")*economics!$AH$2:$AH$167*_xlfn.NORM.DIST(AJ$3,economics!$AK$2:$AK$167,economics!$AJ$2:$AJ$167,TRUE)),0)</f>
        <v/>
      </c>
      <c r="AK25" s="68">
        <f t="array" ref="AK25">IF($D25,SUMPRODUCT((economics!$AG$2:$AG$167=$B25)*(economics!$D$2:$D$167="process")*economics!$AH$2:$AH$167*_xlfn.NORM.DIST(AK$3,economics!$AK$2:$AK$167,economics!$AJ$2:$AJ$167,TRUE)),0)</f>
        <v/>
      </c>
      <c r="AL25" s="68">
        <f t="array" ref="AL25">IF($D25,SUMPRODUCT((economics!$AG$2:$AG$167=$B25)*(economics!$D$2:$D$167="process")*economics!$AH$2:$AH$167*_xlfn.NORM.DIST(AL$3,economics!$AK$2:$AK$167,economics!$AJ$2:$AJ$167,TRUE)),0)</f>
        <v/>
      </c>
      <c r="AM25" s="68">
        <f t="array" ref="AM25">IF($D25,SUMPRODUCT((economics!$AG$2:$AG$167=$B25)*(economics!$D$2:$D$167="process")*economics!$AH$2:$AH$167*_xlfn.NORM.DIST(AM$3,economics!$AK$2:$AK$167,economics!$AJ$2:$AJ$167,TRUE)),0)</f>
        <v/>
      </c>
      <c r="AN25" s="68">
        <f t="array" ref="AN25">IF($D25,SUMPRODUCT((economics!$AG$2:$AG$167=$B25)*(economics!$D$2:$D$167="process")*economics!$AH$2:$AH$167*_xlfn.NORM.DIST(AN$3,economics!$AK$2:$AK$167,economics!$AJ$2:$AJ$167,TRUE)),0)</f>
        <v/>
      </c>
      <c r="AO25" s="68">
        <f t="array" ref="AO25">IF($D25,SUMPRODUCT((economics!$AG$2:$AG$167=$B25)*(economics!$D$2:$D$167="process")*economics!$AH$2:$AH$167*_xlfn.NORM.DIST(AO$3,economics!$AK$2:$AK$167,economics!$AJ$2:$AJ$167,TRUE)),0)</f>
        <v/>
      </c>
      <c r="AP25" s="68">
        <f t="array" ref="AP25">IF($D25,SUMPRODUCT((economics!$AG$2:$AG$167=$B25)*(economics!$D$2:$D$167="process")*economics!$AH$2:$AH$167*_xlfn.NORM.DIST(AP$3,economics!$AK$2:$AK$167,economics!$AJ$2:$AJ$167,TRUE)),0)</f>
        <v/>
      </c>
      <c r="AQ25" s="68">
        <f t="array" ref="AQ25">IF($D25,SUMPRODUCT((economics!$AG$2:$AG$167=$B25)*(economics!$D$2:$D$167="process")*economics!$AH$2:$AH$167*_xlfn.NORM.DIST(AQ$3,economics!$AK$2:$AK$167,economics!$AJ$2:$AJ$167,TRUE)),0)</f>
        <v/>
      </c>
      <c r="AR25" s="68">
        <f t="array" ref="AR25">IF($D25,SUMPRODUCT((economics!$AG$2:$AG$167=$B25)*(economics!$D$2:$D$167="process")*economics!$AH$2:$AH$167*_xlfn.NORM.DIST(AR$3,economics!$AK$2:$AK$167,economics!$AJ$2:$AJ$167,TRUE)),0)</f>
        <v/>
      </c>
      <c r="AS25" s="68">
        <f t="array" ref="AS25">IF($D25,SUMPRODUCT((economics!$AG$2:$AG$167=$B25)*(economics!$D$2:$D$167="process")*economics!$AH$2:$AH$167*_xlfn.NORM.DIST(AS$3,economics!$AK$2:$AK$167,economics!$AJ$2:$AJ$167,TRUE)),0)</f>
        <v/>
      </c>
      <c r="AT25" s="68">
        <f t="array" ref="AT25">IF($D25,SUMPRODUCT((economics!$AG$2:$AG$167=$B25)*(economics!$D$2:$D$167="process")*economics!$AH$2:$AH$167*_xlfn.NORM.DIST(AT$3,economics!$AK$2:$AK$167,economics!$AJ$2:$AJ$167,TRUE)),0)</f>
        <v/>
      </c>
      <c r="AU25" s="68">
        <f t="array" ref="AU25">IF($D25,SUMPRODUCT((economics!$AG$2:$AG$167=$B25)*(economics!$D$2:$D$167="process")*economics!$AH$2:$AH$167*_xlfn.NORM.DIST(AU$3,economics!$AK$2:$AK$167,economics!$AJ$2:$AJ$167,TRUE)),0)</f>
        <v/>
      </c>
      <c r="AV25" s="68">
        <f t="array" ref="AV25">IF($D25,SUMPRODUCT((economics!$AG$2:$AG$167=$B25)*(economics!$D$2:$D$167="process")*economics!$AH$2:$AH$167*_xlfn.NORM.DIST(AV$3,economics!$AK$2:$AK$167,economics!$AJ$2:$AJ$167,TRUE)),0)</f>
        <v/>
      </c>
      <c r="AW25" s="68">
        <f t="array" ref="AW25">IF($D25,SUMPRODUCT((economics!$AG$2:$AG$167=$B25)*(economics!$D$2:$D$167="process")*economics!$AH$2:$AH$167*_xlfn.NORM.DIST(AW$3,economics!$AK$2:$AK$167,economics!$AJ$2:$AJ$167,TRUE)),0)</f>
        <v/>
      </c>
      <c r="AX25" s="68">
        <f t="array" ref="AX25">IF($D25,SUMPRODUCT((economics!$AG$2:$AG$167=$B25)*(economics!$D$2:$D$167="process")*economics!$AH$2:$AH$167*_xlfn.NORM.DIST(AX$3,economics!$AK$2:$AK$167,economics!$AJ$2:$AJ$167,TRUE)),0)</f>
        <v/>
      </c>
      <c r="AY25" s="68">
        <f t="array" ref="AY25">IF($D25,SUMPRODUCT((economics!$AG$2:$AG$167=$B25)*(economics!$D$2:$D$167="process")*economics!$AH$2:$AH$167*_xlfn.NORM.DIST(AY$3,economics!$AK$2:$AK$167,economics!$AJ$2:$AJ$167,TRUE)),0)</f>
        <v/>
      </c>
      <c r="AZ25" s="68">
        <f t="array" ref="AZ25">IF($D25,SUMPRODUCT((economics!$AG$2:$AG$167=$B25)*(economics!$D$2:$D$167="process")*economics!$AH$2:$AH$167*_xlfn.NORM.DIST(AZ$3,economics!$AK$2:$AK$167,economics!$AJ$2:$AJ$167,TRUE)),0)</f>
        <v/>
      </c>
      <c r="BA25" s="68">
        <f t="array" ref="BA25">IF($D25,SUMPRODUCT((economics!$AG$2:$AG$167=$B25)*(economics!$D$2:$D$167="process")*economics!$AH$2:$AH$167*_xlfn.NORM.DIST(BA$3,economics!$AK$2:$AK$167,economics!$AJ$2:$AJ$167,TRUE)),0)</f>
        <v/>
      </c>
      <c r="BB25" s="68">
        <f t="array" ref="BB25">IF($D25,SUMPRODUCT((economics!$AG$2:$AG$167=$B25)*(economics!$D$2:$D$167="process")*economics!$AH$2:$AH$167*_xlfn.NORM.DIST(BB$3,economics!$AK$2:$AK$167,economics!$AJ$2:$AJ$167,TRUE)),0)</f>
        <v/>
      </c>
      <c r="BC25" s="68">
        <f t="array" ref="BC25">IF($D25,SUMPRODUCT((economics!$AG$2:$AG$167=$B25)*(economics!$D$2:$D$167="process")*economics!$AH$2:$AH$167*_xlfn.NORM.DIST(BC$3,economics!$AK$2:$AK$167,economics!$AJ$2:$AJ$167,TRUE)),0)</f>
        <v/>
      </c>
      <c r="BD25" s="68">
        <f t="array" ref="BD25">IF($D25,SUMPRODUCT((economics!$AG$2:$AG$167=$B25)*(economics!$D$2:$D$167="process")*economics!$AH$2:$AH$167*_xlfn.NORM.DIST(BD$3,economics!$AK$2:$AK$167,economics!$AJ$2:$AJ$167,TRUE)),0)</f>
        <v/>
      </c>
      <c r="BE25" s="68">
        <f t="array" ref="BE25">IF($D25,SUMPRODUCT((economics!$AG$2:$AG$167=$B25)*(economics!$D$2:$D$167="process")*economics!$AH$2:$AH$167*_xlfn.NORM.DIST(BE$3,economics!$AK$2:$AK$167,economics!$AJ$2:$AJ$167,TRUE)),0)</f>
        <v/>
      </c>
      <c r="BF25" s="68">
        <f t="array" ref="BF25">IF($D25,SUMPRODUCT((economics!$AG$2:$AG$167=$B25)*(economics!$D$2:$D$167="process")*economics!$AH$2:$AH$167*_xlfn.NORM.DIST(BF$3,economics!$AK$2:$AK$167,economics!$AJ$2:$AJ$167,TRUE)),0)</f>
        <v/>
      </c>
      <c r="BG25" s="68">
        <f t="array" ref="BG25">IF($D25,SUMPRODUCT((economics!$AG$2:$AG$167=$B25)*(economics!$D$2:$D$167="process")*economics!$AH$2:$AH$167*_xlfn.NORM.DIST(BG$3,economics!$AK$2:$AK$167,economics!$AJ$2:$AJ$167,TRUE)),0)</f>
        <v/>
      </c>
      <c r="BH25" s="68">
        <f t="array" ref="BH25">IF($D25,SUMPRODUCT((economics!$AG$2:$AG$167=$B25)*(economics!$D$2:$D$167="process")*economics!$AH$2:$AH$167*_xlfn.NORM.DIST(BH$3,economics!$AK$2:$AK$167,economics!$AJ$2:$AJ$167,TRUE)),0)</f>
        <v/>
      </c>
      <c r="BI25" s="68">
        <f t="array" ref="BI25">IF($D25,SUMPRODUCT((economics!$AG$2:$AG$167=$B25)*(economics!$D$2:$D$167="process")*economics!$AH$2:$AH$167*_xlfn.NORM.DIST(BI$3,economics!$AK$2:$AK$167,economics!$AJ$2:$AJ$167,TRUE)),0)</f>
        <v/>
      </c>
      <c r="BJ25" s="68">
        <f t="array" ref="BJ25">IF($D25,SUMPRODUCT((economics!$AG$2:$AG$167=$B25)*(economics!$D$2:$D$167="process")*economics!$AH$2:$AH$167*_xlfn.NORM.DIST(BJ$3,economics!$AK$2:$AK$167,economics!$AJ$2:$AJ$167,TRUE)),0)</f>
        <v/>
      </c>
      <c r="BK25" s="68">
        <f t="array" ref="BK25">IF($D25,SUMPRODUCT((economics!$AG$2:$AG$167=$B25)*(economics!$D$2:$D$167="process")*economics!$AH$2:$AH$167*_xlfn.NORM.DIST(BK$3,economics!$AK$2:$AK$167,economics!$AJ$2:$AJ$167,TRUE)),0)</f>
        <v/>
      </c>
      <c r="BL25" s="68">
        <f t="array" ref="BL25">IF($D25,SUMPRODUCT((economics!$AG$2:$AG$167=$B25)*(economics!$D$2:$D$167="process")*economics!$AH$2:$AH$167*_xlfn.NORM.DIST(BL$3,economics!$AK$2:$AK$167,economics!$AJ$2:$AJ$167,TRUE)),0)</f>
        <v/>
      </c>
      <c r="BM25" s="68">
        <f t="array" ref="BM25">IF($D25,SUMPRODUCT((economics!$AG$2:$AG$167=$B25)*(economics!$D$2:$D$167="process")*economics!$AH$2:$AH$167*_xlfn.NORM.DIST(BM$3,economics!$AK$2:$AK$167,economics!$AJ$2:$AJ$167,TRUE)),0)</f>
        <v/>
      </c>
      <c r="BN25" s="68">
        <f t="array" ref="BN25">IF($D25,SUMPRODUCT((economics!$AG$2:$AG$167=$B25)*(economics!$D$2:$D$167="process")*economics!$AH$2:$AH$167*_xlfn.NORM.DIST(BN$3,economics!$AK$2:$AK$167,economics!$AJ$2:$AJ$167,TRUE)),0)</f>
        <v/>
      </c>
      <c r="BO25" s="68">
        <f t="array" ref="BO25">IF($D25,SUMPRODUCT((economics!$AG$2:$AG$167=$B25)*(economics!$D$2:$D$167="process")*economics!$AH$2:$AH$167*_xlfn.NORM.DIST(BO$3,economics!$AK$2:$AK$167,economics!$AJ$2:$AJ$167,TRUE)),0)</f>
        <v/>
      </c>
      <c r="BP25" s="68">
        <f t="array" ref="BP25">IF($D25,SUMPRODUCT((economics!$AG$2:$AG$167=$B25)*(economics!$D$2:$D$167="process")*economics!$AH$2:$AH$167*_xlfn.NORM.DIST(BP$3,economics!$AK$2:$AK$167,economics!$AJ$2:$AJ$167,TRUE)),0)</f>
        <v/>
      </c>
      <c r="BQ25" s="68">
        <f t="array" ref="BQ25">IF($D25,SUMPRODUCT((economics!$AG$2:$AG$167=$B25)*(economics!$D$2:$D$167="process")*economics!$AH$2:$AH$167*_xlfn.NORM.DIST(BQ$3,economics!$AK$2:$AK$167,economics!$AJ$2:$AJ$167,TRUE)),0)</f>
        <v/>
      </c>
      <c r="BR25" s="68">
        <f t="array" ref="BR25">IF($D25,SUMPRODUCT((economics!$AG$2:$AG$167=$B25)*(economics!$D$2:$D$167="process")*economics!$AH$2:$AH$167*_xlfn.NORM.DIST(BR$3,economics!$AK$2:$AK$167,economics!$AJ$2:$AJ$167,TRUE)),0)</f>
        <v/>
      </c>
      <c r="BS25" s="68">
        <f t="array" ref="BS25">IF($D25,SUMPRODUCT((economics!$AG$2:$AG$167=$B25)*(economics!$D$2:$D$167="process")*economics!$AH$2:$AH$167*_xlfn.NORM.DIST(BS$3,economics!$AK$2:$AK$167,economics!$AJ$2:$AJ$167,TRUE)),0)</f>
        <v/>
      </c>
      <c r="BT25" s="68">
        <f t="array" ref="BT25">IF($D25,SUMPRODUCT((economics!$AG$2:$AG$167=$B25)*(economics!$D$2:$D$167="process")*economics!$AH$2:$AH$167*_xlfn.NORM.DIST(BT$3,economics!$AK$2:$AK$167,economics!$AJ$2:$AJ$167,TRUE)),0)</f>
        <v/>
      </c>
      <c r="BU25" s="68">
        <f t="array" ref="BU25">IF($D25,SUMPRODUCT((economics!$AG$2:$AG$167=$B25)*(economics!$D$2:$D$167="process")*economics!$AH$2:$AH$167*_xlfn.NORM.DIST(BU$3,economics!$AK$2:$AK$167,economics!$AJ$2:$AJ$167,TRUE)),0)</f>
        <v/>
      </c>
      <c r="BV25" s="68">
        <f t="array" ref="BV25">IF($D25,SUMPRODUCT((economics!$AG$2:$AG$167=$B25)*(economics!$D$2:$D$167="process")*economics!$AH$2:$AH$167*_xlfn.NORM.DIST(BV$3,economics!$AK$2:$AK$167,economics!$AJ$2:$AJ$167,TRUE)),0)</f>
        <v/>
      </c>
      <c r="BW25" s="68">
        <f t="array" ref="BW25">IF($D25,SUMPRODUCT((economics!$AG$2:$AG$167=$B25)*(economics!$D$2:$D$167="process")*economics!$AH$2:$AH$167*_xlfn.NORM.DIST(BW$3,economics!$AK$2:$AK$167,economics!$AJ$2:$AJ$167,TRUE)),0)</f>
        <v/>
      </c>
      <c r="BX25" s="68">
        <f t="array" ref="BX25">IF($D25,SUMPRODUCT((economics!$AG$2:$AG$167=$B25)*(economics!$D$2:$D$167="process")*economics!$AH$2:$AH$167*_xlfn.NORM.DIST(BX$3,economics!$AK$2:$AK$167,economics!$AJ$2:$AJ$167,TRUE)),0)</f>
        <v/>
      </c>
      <c r="BY25" s="68">
        <f t="array" ref="BY25">IF($D25,SUMPRODUCT((economics!$AG$2:$AG$167=$B25)*(economics!$D$2:$D$167="process")*economics!$AH$2:$AH$167*_xlfn.NORM.DIST(BY$3,economics!$AK$2:$AK$167,economics!$AJ$2:$AJ$167,TRUE)),0)</f>
        <v/>
      </c>
      <c r="BZ25" s="68">
        <f t="array" ref="BZ25">IF($D25,SUMPRODUCT((economics!$AG$2:$AG$167=$B25)*(economics!$D$2:$D$167="process")*economics!$AH$2:$AH$167*_xlfn.NORM.DIST(BZ$3,economics!$AK$2:$AK$167,economics!$AJ$2:$AJ$167,TRUE)),0)</f>
        <v/>
      </c>
      <c r="CA25" s="68">
        <f t="array" ref="CA25">IF($D25,SUMPRODUCT((economics!$AG$2:$AG$167=$B25)*(economics!$D$2:$D$167="process")*economics!$AH$2:$AH$167*_xlfn.NORM.DIST(CA$3,economics!$AK$2:$AK$167,economics!$AJ$2:$AJ$167,TRUE)),0)</f>
        <v/>
      </c>
      <c r="CB25" s="68">
        <f t="array" ref="CB25">IF($D25,SUMPRODUCT((economics!$AG$2:$AG$167=$B25)*(economics!$D$2:$D$167="process")*economics!$AH$2:$AH$167*_xlfn.NORM.DIST(CB$3,economics!$AK$2:$AK$167,economics!$AJ$2:$AJ$167,TRUE)),0)</f>
        <v/>
      </c>
      <c r="CC25" s="68">
        <f t="array" ref="CC25">IF($D25,SUMPRODUCT((economics!$AG$2:$AG$167=$B25)*(economics!$D$2:$D$167="process")*economics!$AH$2:$AH$167*_xlfn.NORM.DIST(CC$3,economics!$AK$2:$AK$167,economics!$AJ$2:$AJ$167,TRUE)),0)</f>
        <v/>
      </c>
      <c r="CD25" s="68">
        <f t="array" ref="CD25">IF($D25,SUMPRODUCT((economics!$AG$2:$AG$167=$B25)*(economics!$D$2:$D$167="process")*economics!$AH$2:$AH$167*_xlfn.NORM.DIST(CD$3,economics!$AK$2:$AK$167,economics!$AJ$2:$AJ$167,TRUE)),0)</f>
        <v/>
      </c>
      <c r="CE25" s="68">
        <f t="array" ref="CE25">IF($D25,SUMPRODUCT((economics!$AG$2:$AG$167=$B25)*(economics!$D$2:$D$167="process")*economics!$AH$2:$AH$167*_xlfn.NORM.DIST(CE$3,economics!$AK$2:$AK$167,economics!$AJ$2:$AJ$167,TRUE)),0)</f>
        <v/>
      </c>
      <c r="CF25" s="68">
        <f t="array" ref="CF25">IF($D25,SUMPRODUCT((economics!$AG$2:$AG$167=$B25)*(economics!$D$2:$D$167="process")*economics!$AH$2:$AH$167*_xlfn.NORM.DIST(CF$3,economics!$AK$2:$AK$167,economics!$AJ$2:$AJ$167,TRUE)),0)</f>
        <v/>
      </c>
      <c r="CG25" s="68">
        <f t="array" ref="CG25">IF($D25,SUMPRODUCT((economics!$AG$2:$AG$167=$B25)*(economics!$D$2:$D$167="process")*economics!$AH$2:$AH$167*_xlfn.NORM.DIST(CG$3,economics!$AK$2:$AK$167,economics!$AJ$2:$AJ$167,TRUE)),0)</f>
        <v/>
      </c>
      <c r="CH25" s="68">
        <f t="array" ref="CH25">IF($D25,SUMPRODUCT((economics!$AG$2:$AG$167=$B25)*(economics!$D$2:$D$167="process")*economics!$AH$2:$AH$167*_xlfn.NORM.DIST(CH$3,economics!$AK$2:$AK$167,economics!$AJ$2:$AJ$167,TRUE)),0)</f>
        <v/>
      </c>
    </row>
    <row r="26">
      <c r="A26">
        <f>WHRPbI!A24</f>
        <v/>
      </c>
      <c r="B26" t="inlineStr">
        <is>
          <t>352T353</t>
        </is>
      </c>
      <c r="C26" s="68">
        <f>WHRPbI!B24</f>
        <v/>
      </c>
      <c r="D26">
        <f>ISNUMBER(MATCH($B26,'energy base (MECS)'!$K$4:$K$9,0))</f>
        <v/>
      </c>
      <c r="E26" s="68">
        <f t="array" ref="E26">IF($D26,SUMPRODUCT((economics!$AG$2:$AG$167=$B26)*(economics!$D$2:$D$167="process")*economics!$AH$2:$AH$167*_xlfn.NORM.DIST(E$3,economics!$AK$2:$AK$167,economics!$AJ$2:$AJ$167,TRUE)),0)</f>
        <v/>
      </c>
      <c r="F26" s="68">
        <f t="array" ref="F26">IF($D26,SUMPRODUCT((economics!$AG$2:$AG$167=$B26)*(economics!$D$2:$D$167="process")*economics!$AH$2:$AH$167*_xlfn.NORM.DIST(F$3,economics!$AK$2:$AK$167,economics!$AJ$2:$AJ$167,TRUE)),0)</f>
        <v/>
      </c>
      <c r="G26" s="68">
        <f t="array" ref="G26">IF($D26,SUMPRODUCT((economics!$AG$2:$AG$167=$B26)*(economics!$D$2:$D$167="process")*economics!$AH$2:$AH$167*_xlfn.NORM.DIST(G$3,economics!$AK$2:$AK$167,economics!$AJ$2:$AJ$167,TRUE)),0)</f>
        <v/>
      </c>
      <c r="H26" s="68">
        <f t="array" ref="H26">IF($D26,SUMPRODUCT((economics!$AG$2:$AG$167=$B26)*(economics!$D$2:$D$167="process")*economics!$AH$2:$AH$167*_xlfn.NORM.DIST(H$3,economics!$AK$2:$AK$167,economics!$AJ$2:$AJ$167,TRUE)),0)</f>
        <v/>
      </c>
      <c r="I26" s="68">
        <f t="array" ref="I26">IF($D26,SUMPRODUCT((economics!$AG$2:$AG$167=$B26)*(economics!$D$2:$D$167="process")*economics!$AH$2:$AH$167*_xlfn.NORM.DIST(I$3,economics!$AK$2:$AK$167,economics!$AJ$2:$AJ$167,TRUE)),0)</f>
        <v/>
      </c>
      <c r="J26" s="68">
        <f t="array" ref="J26">IF($D26,SUMPRODUCT((economics!$AG$2:$AG$167=$B26)*(economics!$D$2:$D$167="process")*economics!$AH$2:$AH$167*_xlfn.NORM.DIST(J$3,economics!$AK$2:$AK$167,economics!$AJ$2:$AJ$167,TRUE)),0)</f>
        <v/>
      </c>
      <c r="K26" s="68">
        <f t="array" ref="K26">IF($D26,SUMPRODUCT((economics!$AG$2:$AG$167=$B26)*(economics!$D$2:$D$167="process")*economics!$AH$2:$AH$167*_xlfn.NORM.DIST(K$3,economics!$AK$2:$AK$167,economics!$AJ$2:$AJ$167,TRUE)),0)</f>
        <v/>
      </c>
      <c r="L26" s="68">
        <f t="array" ref="L26">IF($D26,SUMPRODUCT((economics!$AG$2:$AG$167=$B26)*(economics!$D$2:$D$167="process")*economics!$AH$2:$AH$167*_xlfn.NORM.DIST(L$3,economics!$AK$2:$AK$167,economics!$AJ$2:$AJ$167,TRUE)),0)</f>
        <v/>
      </c>
      <c r="M26" s="68">
        <f t="array" ref="M26">IF($D26,SUMPRODUCT((economics!$AG$2:$AG$167=$B26)*(economics!$D$2:$D$167="process")*economics!$AH$2:$AH$167*_xlfn.NORM.DIST(M$3,economics!$AK$2:$AK$167,economics!$AJ$2:$AJ$167,TRUE)),0)</f>
        <v/>
      </c>
      <c r="N26" s="68">
        <f t="array" ref="N26">IF($D26,SUMPRODUCT((economics!$AG$2:$AG$167=$B26)*(economics!$D$2:$D$167="process")*economics!$AH$2:$AH$167*_xlfn.NORM.DIST(N$3,economics!$AK$2:$AK$167,economics!$AJ$2:$AJ$167,TRUE)),0)</f>
        <v/>
      </c>
      <c r="O26" s="68">
        <f t="array" ref="O26">IF($D26,SUMPRODUCT((economics!$AG$2:$AG$167=$B26)*(economics!$D$2:$D$167="process")*economics!$AH$2:$AH$167*_xlfn.NORM.DIST(O$3,economics!$AK$2:$AK$167,economics!$AJ$2:$AJ$167,TRUE)),0)</f>
        <v/>
      </c>
      <c r="P26" s="68">
        <f t="array" ref="P26">IF($D26,SUMPRODUCT((economics!$AG$2:$AG$167=$B26)*(economics!$D$2:$D$167="process")*economics!$AH$2:$AH$167*_xlfn.NORM.DIST(P$3,economics!$AK$2:$AK$167,economics!$AJ$2:$AJ$167,TRUE)),0)</f>
        <v/>
      </c>
      <c r="Q26" s="68">
        <f t="array" ref="Q26">IF($D26,SUMPRODUCT((economics!$AG$2:$AG$167=$B26)*(economics!$D$2:$D$167="process")*economics!$AH$2:$AH$167*_xlfn.NORM.DIST(Q$3,economics!$AK$2:$AK$167,economics!$AJ$2:$AJ$167,TRUE)),0)</f>
        <v/>
      </c>
      <c r="R26" s="68">
        <f t="array" ref="R26">IF($D26,SUMPRODUCT((economics!$AG$2:$AG$167=$B26)*(economics!$D$2:$D$167="process")*economics!$AH$2:$AH$167*_xlfn.NORM.DIST(R$3,economics!$AK$2:$AK$167,economics!$AJ$2:$AJ$167,TRUE)),0)</f>
        <v/>
      </c>
      <c r="S26" s="68">
        <f t="array" ref="S26">IF($D26,SUMPRODUCT((economics!$AG$2:$AG$167=$B26)*(economics!$D$2:$D$167="process")*economics!$AH$2:$AH$167*_xlfn.NORM.DIST(S$3,economics!$AK$2:$AK$167,economics!$AJ$2:$AJ$167,TRUE)),0)</f>
        <v/>
      </c>
      <c r="T26" s="68">
        <f t="array" ref="T26">IF($D26,SUMPRODUCT((economics!$AG$2:$AG$167=$B26)*(economics!$D$2:$D$167="process")*economics!$AH$2:$AH$167*_xlfn.NORM.DIST(T$3,economics!$AK$2:$AK$167,economics!$AJ$2:$AJ$167,TRUE)),0)</f>
        <v/>
      </c>
      <c r="U26" s="68">
        <f t="array" ref="U26">IF($D26,SUMPRODUCT((economics!$AG$2:$AG$167=$B26)*(economics!$D$2:$D$167="process")*economics!$AH$2:$AH$167*_xlfn.NORM.DIST(U$3,economics!$AK$2:$AK$167,economics!$AJ$2:$AJ$167,TRUE)),0)</f>
        <v/>
      </c>
      <c r="V26" s="68">
        <f t="array" ref="V26">IF($D26,SUMPRODUCT((economics!$AG$2:$AG$167=$B26)*(economics!$D$2:$D$167="process")*economics!$AH$2:$AH$167*_xlfn.NORM.DIST(V$3,economics!$AK$2:$AK$167,economics!$AJ$2:$AJ$167,TRUE)),0)</f>
        <v/>
      </c>
      <c r="W26" s="68">
        <f t="array" ref="W26">IF($D26,SUMPRODUCT((economics!$AG$2:$AG$167=$B26)*(economics!$D$2:$D$167="process")*economics!$AH$2:$AH$167*_xlfn.NORM.DIST(W$3,economics!$AK$2:$AK$167,economics!$AJ$2:$AJ$167,TRUE)),0)</f>
        <v/>
      </c>
      <c r="X26" s="68">
        <f t="array" ref="X26">IF($D26,SUMPRODUCT((economics!$AG$2:$AG$167=$B26)*(economics!$D$2:$D$167="process")*economics!$AH$2:$AH$167*_xlfn.NORM.DIST(X$3,economics!$AK$2:$AK$167,economics!$AJ$2:$AJ$167,TRUE)),0)</f>
        <v/>
      </c>
      <c r="Y26" s="68">
        <f t="array" ref="Y26">IF($D26,SUMPRODUCT((economics!$AG$2:$AG$167=$B26)*(economics!$D$2:$D$167="process")*economics!$AH$2:$AH$167*_xlfn.NORM.DIST(Y$3,economics!$AK$2:$AK$167,economics!$AJ$2:$AJ$167,TRUE)),0)</f>
        <v/>
      </c>
      <c r="Z26" s="68">
        <f t="array" ref="Z26">IF($D26,SUMPRODUCT((economics!$AG$2:$AG$167=$B26)*(economics!$D$2:$D$167="process")*economics!$AH$2:$AH$167*_xlfn.NORM.DIST(Z$3,economics!$AK$2:$AK$167,economics!$AJ$2:$AJ$167,TRUE)),0)</f>
        <v/>
      </c>
      <c r="AA26" s="68">
        <f t="array" ref="AA26">IF($D26,SUMPRODUCT((economics!$AG$2:$AG$167=$B26)*(economics!$D$2:$D$167="process")*economics!$AH$2:$AH$167*_xlfn.NORM.DIST(AA$3,economics!$AK$2:$AK$167,economics!$AJ$2:$AJ$167,TRUE)),0)</f>
        <v/>
      </c>
      <c r="AB26" s="68">
        <f t="array" ref="AB26">IF($D26,SUMPRODUCT((economics!$AG$2:$AG$167=$B26)*(economics!$D$2:$D$167="process")*economics!$AH$2:$AH$167*_xlfn.NORM.DIST(AB$3,economics!$AK$2:$AK$167,economics!$AJ$2:$AJ$167,TRUE)),0)</f>
        <v/>
      </c>
      <c r="AC26" s="68">
        <f t="array" ref="AC26">IF($D26,SUMPRODUCT((economics!$AG$2:$AG$167=$B26)*(economics!$D$2:$D$167="process")*economics!$AH$2:$AH$167*_xlfn.NORM.DIST(AC$3,economics!$AK$2:$AK$167,economics!$AJ$2:$AJ$167,TRUE)),0)</f>
        <v/>
      </c>
      <c r="AD26" s="68">
        <f t="array" ref="AD26">IF($D26,SUMPRODUCT((economics!$AG$2:$AG$167=$B26)*(economics!$D$2:$D$167="process")*economics!$AH$2:$AH$167*_xlfn.NORM.DIST(AD$3,economics!$AK$2:$AK$167,economics!$AJ$2:$AJ$167,TRUE)),0)</f>
        <v/>
      </c>
      <c r="AE26" s="68">
        <f t="array" ref="AE26">IF($D26,SUMPRODUCT((economics!$AG$2:$AG$167=$B26)*(economics!$D$2:$D$167="process")*economics!$AH$2:$AH$167*_xlfn.NORM.DIST(AE$3,economics!$AK$2:$AK$167,economics!$AJ$2:$AJ$167,TRUE)),0)</f>
        <v/>
      </c>
      <c r="AF26" s="68">
        <f t="array" ref="AF26">IF($D26,SUMPRODUCT((economics!$AG$2:$AG$167=$B26)*(economics!$D$2:$D$167="process")*economics!$AH$2:$AH$167*_xlfn.NORM.DIST(AF$3,economics!$AK$2:$AK$167,economics!$AJ$2:$AJ$167,TRUE)),0)</f>
        <v/>
      </c>
      <c r="AG26" s="68">
        <f t="array" ref="AG26">IF($D26,SUMPRODUCT((economics!$AG$2:$AG$167=$B26)*(economics!$D$2:$D$167="process")*economics!$AH$2:$AH$167*_xlfn.NORM.DIST(AG$3,economics!$AK$2:$AK$167,economics!$AJ$2:$AJ$167,TRUE)),0)</f>
        <v/>
      </c>
      <c r="AH26" s="68">
        <f t="array" ref="AH26">IF($D26,SUMPRODUCT((economics!$AG$2:$AG$167=$B26)*(economics!$D$2:$D$167="process")*economics!$AH$2:$AH$167*_xlfn.NORM.DIST(AH$3,economics!$AK$2:$AK$167,economics!$AJ$2:$AJ$167,TRUE)),0)</f>
        <v/>
      </c>
      <c r="AI26" s="68">
        <f t="array" ref="AI26">IF($D26,SUMPRODUCT((economics!$AG$2:$AG$167=$B26)*(economics!$D$2:$D$167="process")*economics!$AH$2:$AH$167*_xlfn.NORM.DIST(AI$3,economics!$AK$2:$AK$167,economics!$AJ$2:$AJ$167,TRUE)),0)</f>
        <v/>
      </c>
      <c r="AJ26" s="68">
        <f t="array" ref="AJ26">IF($D26,SUMPRODUCT((economics!$AG$2:$AG$167=$B26)*(economics!$D$2:$D$167="process")*economics!$AH$2:$AH$167*_xlfn.NORM.DIST(AJ$3,economics!$AK$2:$AK$167,economics!$AJ$2:$AJ$167,TRUE)),0)</f>
        <v/>
      </c>
      <c r="AK26" s="68">
        <f t="array" ref="AK26">IF($D26,SUMPRODUCT((economics!$AG$2:$AG$167=$B26)*(economics!$D$2:$D$167="process")*economics!$AH$2:$AH$167*_xlfn.NORM.DIST(AK$3,economics!$AK$2:$AK$167,economics!$AJ$2:$AJ$167,TRUE)),0)</f>
        <v/>
      </c>
      <c r="AL26" s="68">
        <f t="array" ref="AL26">IF($D26,SUMPRODUCT((economics!$AG$2:$AG$167=$B26)*(economics!$D$2:$D$167="process")*economics!$AH$2:$AH$167*_xlfn.NORM.DIST(AL$3,economics!$AK$2:$AK$167,economics!$AJ$2:$AJ$167,TRUE)),0)</f>
        <v/>
      </c>
      <c r="AM26" s="68">
        <f t="array" ref="AM26">IF($D26,SUMPRODUCT((economics!$AG$2:$AG$167=$B26)*(economics!$D$2:$D$167="process")*economics!$AH$2:$AH$167*_xlfn.NORM.DIST(AM$3,economics!$AK$2:$AK$167,economics!$AJ$2:$AJ$167,TRUE)),0)</f>
        <v/>
      </c>
      <c r="AN26" s="68">
        <f t="array" ref="AN26">IF($D26,SUMPRODUCT((economics!$AG$2:$AG$167=$B26)*(economics!$D$2:$D$167="process")*economics!$AH$2:$AH$167*_xlfn.NORM.DIST(AN$3,economics!$AK$2:$AK$167,economics!$AJ$2:$AJ$167,TRUE)),0)</f>
        <v/>
      </c>
      <c r="AO26" s="68">
        <f t="array" ref="AO26">IF($D26,SUMPRODUCT((economics!$AG$2:$AG$167=$B26)*(economics!$D$2:$D$167="process")*economics!$AH$2:$AH$167*_xlfn.NORM.DIST(AO$3,economics!$AK$2:$AK$167,economics!$AJ$2:$AJ$167,TRUE)),0)</f>
        <v/>
      </c>
      <c r="AP26" s="68">
        <f t="array" ref="AP26">IF($D26,SUMPRODUCT((economics!$AG$2:$AG$167=$B26)*(economics!$D$2:$D$167="process")*economics!$AH$2:$AH$167*_xlfn.NORM.DIST(AP$3,economics!$AK$2:$AK$167,economics!$AJ$2:$AJ$167,TRUE)),0)</f>
        <v/>
      </c>
      <c r="AQ26" s="68">
        <f t="array" ref="AQ26">IF($D26,SUMPRODUCT((economics!$AG$2:$AG$167=$B26)*(economics!$D$2:$D$167="process")*economics!$AH$2:$AH$167*_xlfn.NORM.DIST(AQ$3,economics!$AK$2:$AK$167,economics!$AJ$2:$AJ$167,TRUE)),0)</f>
        <v/>
      </c>
      <c r="AR26" s="68">
        <f t="array" ref="AR26">IF($D26,SUMPRODUCT((economics!$AG$2:$AG$167=$B26)*(economics!$D$2:$D$167="process")*economics!$AH$2:$AH$167*_xlfn.NORM.DIST(AR$3,economics!$AK$2:$AK$167,economics!$AJ$2:$AJ$167,TRUE)),0)</f>
        <v/>
      </c>
      <c r="AS26" s="68">
        <f t="array" ref="AS26">IF($D26,SUMPRODUCT((economics!$AG$2:$AG$167=$B26)*(economics!$D$2:$D$167="process")*economics!$AH$2:$AH$167*_xlfn.NORM.DIST(AS$3,economics!$AK$2:$AK$167,economics!$AJ$2:$AJ$167,TRUE)),0)</f>
        <v/>
      </c>
      <c r="AT26" s="68">
        <f t="array" ref="AT26">IF($D26,SUMPRODUCT((economics!$AG$2:$AG$167=$B26)*(economics!$D$2:$D$167="process")*economics!$AH$2:$AH$167*_xlfn.NORM.DIST(AT$3,economics!$AK$2:$AK$167,economics!$AJ$2:$AJ$167,TRUE)),0)</f>
        <v/>
      </c>
      <c r="AU26" s="68">
        <f t="array" ref="AU26">IF($D26,SUMPRODUCT((economics!$AG$2:$AG$167=$B26)*(economics!$D$2:$D$167="process")*economics!$AH$2:$AH$167*_xlfn.NORM.DIST(AU$3,economics!$AK$2:$AK$167,economics!$AJ$2:$AJ$167,TRUE)),0)</f>
        <v/>
      </c>
      <c r="AV26" s="68">
        <f t="array" ref="AV26">IF($D26,SUMPRODUCT((economics!$AG$2:$AG$167=$B26)*(economics!$D$2:$D$167="process")*economics!$AH$2:$AH$167*_xlfn.NORM.DIST(AV$3,economics!$AK$2:$AK$167,economics!$AJ$2:$AJ$167,TRUE)),0)</f>
        <v/>
      </c>
      <c r="AW26" s="68">
        <f t="array" ref="AW26">IF($D26,SUMPRODUCT((economics!$AG$2:$AG$167=$B26)*(economics!$D$2:$D$167="process")*economics!$AH$2:$AH$167*_xlfn.NORM.DIST(AW$3,economics!$AK$2:$AK$167,economics!$AJ$2:$AJ$167,TRUE)),0)</f>
        <v/>
      </c>
      <c r="AX26" s="68">
        <f t="array" ref="AX26">IF($D26,SUMPRODUCT((economics!$AG$2:$AG$167=$B26)*(economics!$D$2:$D$167="process")*economics!$AH$2:$AH$167*_xlfn.NORM.DIST(AX$3,economics!$AK$2:$AK$167,economics!$AJ$2:$AJ$167,TRUE)),0)</f>
        <v/>
      </c>
      <c r="AY26" s="68">
        <f t="array" ref="AY26">IF($D26,SUMPRODUCT((economics!$AG$2:$AG$167=$B26)*(economics!$D$2:$D$167="process")*economics!$AH$2:$AH$167*_xlfn.NORM.DIST(AY$3,economics!$AK$2:$AK$167,economics!$AJ$2:$AJ$167,TRUE)),0)</f>
        <v/>
      </c>
      <c r="AZ26" s="68">
        <f t="array" ref="AZ26">IF($D26,SUMPRODUCT((economics!$AG$2:$AG$167=$B26)*(economics!$D$2:$D$167="process")*economics!$AH$2:$AH$167*_xlfn.NORM.DIST(AZ$3,economics!$AK$2:$AK$167,economics!$AJ$2:$AJ$167,TRUE)),0)</f>
        <v/>
      </c>
      <c r="BA26" s="68">
        <f t="array" ref="BA26">IF($D26,SUMPRODUCT((economics!$AG$2:$AG$167=$B26)*(economics!$D$2:$D$167="process")*economics!$AH$2:$AH$167*_xlfn.NORM.DIST(BA$3,economics!$AK$2:$AK$167,economics!$AJ$2:$AJ$167,TRUE)),0)</f>
        <v/>
      </c>
      <c r="BB26" s="68">
        <f t="array" ref="BB26">IF($D26,SUMPRODUCT((economics!$AG$2:$AG$167=$B26)*(economics!$D$2:$D$167="process")*economics!$AH$2:$AH$167*_xlfn.NORM.DIST(BB$3,economics!$AK$2:$AK$167,economics!$AJ$2:$AJ$167,TRUE)),0)</f>
        <v/>
      </c>
      <c r="BC26" s="68">
        <f t="array" ref="BC26">IF($D26,SUMPRODUCT((economics!$AG$2:$AG$167=$B26)*(economics!$D$2:$D$167="process")*economics!$AH$2:$AH$167*_xlfn.NORM.DIST(BC$3,economics!$AK$2:$AK$167,economics!$AJ$2:$AJ$167,TRUE)),0)</f>
        <v/>
      </c>
      <c r="BD26" s="68">
        <f t="array" ref="BD26">IF($D26,SUMPRODUCT((economics!$AG$2:$AG$167=$B26)*(economics!$D$2:$D$167="process")*economics!$AH$2:$AH$167*_xlfn.NORM.DIST(BD$3,economics!$AK$2:$AK$167,economics!$AJ$2:$AJ$167,TRUE)),0)</f>
        <v/>
      </c>
      <c r="BE26" s="68">
        <f t="array" ref="BE26">IF($D26,SUMPRODUCT((economics!$AG$2:$AG$167=$B26)*(economics!$D$2:$D$167="process")*economics!$AH$2:$AH$167*_xlfn.NORM.DIST(BE$3,economics!$AK$2:$AK$167,economics!$AJ$2:$AJ$167,TRUE)),0)</f>
        <v/>
      </c>
      <c r="BF26" s="68">
        <f t="array" ref="BF26">IF($D26,SUMPRODUCT((economics!$AG$2:$AG$167=$B26)*(economics!$D$2:$D$167="process")*economics!$AH$2:$AH$167*_xlfn.NORM.DIST(BF$3,economics!$AK$2:$AK$167,economics!$AJ$2:$AJ$167,TRUE)),0)</f>
        <v/>
      </c>
      <c r="BG26" s="68">
        <f t="array" ref="BG26">IF($D26,SUMPRODUCT((economics!$AG$2:$AG$167=$B26)*(economics!$D$2:$D$167="process")*economics!$AH$2:$AH$167*_xlfn.NORM.DIST(BG$3,economics!$AK$2:$AK$167,economics!$AJ$2:$AJ$167,TRUE)),0)</f>
        <v/>
      </c>
      <c r="BH26" s="68">
        <f t="array" ref="BH26">IF($D26,SUMPRODUCT((economics!$AG$2:$AG$167=$B26)*(economics!$D$2:$D$167="process")*economics!$AH$2:$AH$167*_xlfn.NORM.DIST(BH$3,economics!$AK$2:$AK$167,economics!$AJ$2:$AJ$167,TRUE)),0)</f>
        <v/>
      </c>
      <c r="BI26" s="68">
        <f t="array" ref="BI26">IF($D26,SUMPRODUCT((economics!$AG$2:$AG$167=$B26)*(economics!$D$2:$D$167="process")*economics!$AH$2:$AH$167*_xlfn.NORM.DIST(BI$3,economics!$AK$2:$AK$167,economics!$AJ$2:$AJ$167,TRUE)),0)</f>
        <v/>
      </c>
      <c r="BJ26" s="68">
        <f t="array" ref="BJ26">IF($D26,SUMPRODUCT((economics!$AG$2:$AG$167=$B26)*(economics!$D$2:$D$167="process")*economics!$AH$2:$AH$167*_xlfn.NORM.DIST(BJ$3,economics!$AK$2:$AK$167,economics!$AJ$2:$AJ$167,TRUE)),0)</f>
        <v/>
      </c>
      <c r="BK26" s="68">
        <f t="array" ref="BK26">IF($D26,SUMPRODUCT((economics!$AG$2:$AG$167=$B26)*(economics!$D$2:$D$167="process")*economics!$AH$2:$AH$167*_xlfn.NORM.DIST(BK$3,economics!$AK$2:$AK$167,economics!$AJ$2:$AJ$167,TRUE)),0)</f>
        <v/>
      </c>
      <c r="BL26" s="68">
        <f t="array" ref="BL26">IF($D26,SUMPRODUCT((economics!$AG$2:$AG$167=$B26)*(economics!$D$2:$D$167="process")*economics!$AH$2:$AH$167*_xlfn.NORM.DIST(BL$3,economics!$AK$2:$AK$167,economics!$AJ$2:$AJ$167,TRUE)),0)</f>
        <v/>
      </c>
      <c r="BM26" s="68">
        <f t="array" ref="BM26">IF($D26,SUMPRODUCT((economics!$AG$2:$AG$167=$B26)*(economics!$D$2:$D$167="process")*economics!$AH$2:$AH$167*_xlfn.NORM.DIST(BM$3,economics!$AK$2:$AK$167,economics!$AJ$2:$AJ$167,TRUE)),0)</f>
        <v/>
      </c>
      <c r="BN26" s="68">
        <f t="array" ref="BN26">IF($D26,SUMPRODUCT((economics!$AG$2:$AG$167=$B26)*(economics!$D$2:$D$167="process")*economics!$AH$2:$AH$167*_xlfn.NORM.DIST(BN$3,economics!$AK$2:$AK$167,economics!$AJ$2:$AJ$167,TRUE)),0)</f>
        <v/>
      </c>
      <c r="BO26" s="68">
        <f t="array" ref="BO26">IF($D26,SUMPRODUCT((economics!$AG$2:$AG$167=$B26)*(economics!$D$2:$D$167="process")*economics!$AH$2:$AH$167*_xlfn.NORM.DIST(BO$3,economics!$AK$2:$AK$167,economics!$AJ$2:$AJ$167,TRUE)),0)</f>
        <v/>
      </c>
      <c r="BP26" s="68">
        <f t="array" ref="BP26">IF($D26,SUMPRODUCT((economics!$AG$2:$AG$167=$B26)*(economics!$D$2:$D$167="process")*economics!$AH$2:$AH$167*_xlfn.NORM.DIST(BP$3,economics!$AK$2:$AK$167,economics!$AJ$2:$AJ$167,TRUE)),0)</f>
        <v/>
      </c>
      <c r="BQ26" s="68">
        <f t="array" ref="BQ26">IF($D26,SUMPRODUCT((economics!$AG$2:$AG$167=$B26)*(economics!$D$2:$D$167="process")*economics!$AH$2:$AH$167*_xlfn.NORM.DIST(BQ$3,economics!$AK$2:$AK$167,economics!$AJ$2:$AJ$167,TRUE)),0)</f>
        <v/>
      </c>
      <c r="BR26" s="68">
        <f t="array" ref="BR26">IF($D26,SUMPRODUCT((economics!$AG$2:$AG$167=$B26)*(economics!$D$2:$D$167="process")*economics!$AH$2:$AH$167*_xlfn.NORM.DIST(BR$3,economics!$AK$2:$AK$167,economics!$AJ$2:$AJ$167,TRUE)),0)</f>
        <v/>
      </c>
      <c r="BS26" s="68">
        <f t="array" ref="BS26">IF($D26,SUMPRODUCT((economics!$AG$2:$AG$167=$B26)*(economics!$D$2:$D$167="process")*economics!$AH$2:$AH$167*_xlfn.NORM.DIST(BS$3,economics!$AK$2:$AK$167,economics!$AJ$2:$AJ$167,TRUE)),0)</f>
        <v/>
      </c>
      <c r="BT26" s="68">
        <f t="array" ref="BT26">IF($D26,SUMPRODUCT((economics!$AG$2:$AG$167=$B26)*(economics!$D$2:$D$167="process")*economics!$AH$2:$AH$167*_xlfn.NORM.DIST(BT$3,economics!$AK$2:$AK$167,economics!$AJ$2:$AJ$167,TRUE)),0)</f>
        <v/>
      </c>
      <c r="BU26" s="68">
        <f t="array" ref="BU26">IF($D26,SUMPRODUCT((economics!$AG$2:$AG$167=$B26)*(economics!$D$2:$D$167="process")*economics!$AH$2:$AH$167*_xlfn.NORM.DIST(BU$3,economics!$AK$2:$AK$167,economics!$AJ$2:$AJ$167,TRUE)),0)</f>
        <v/>
      </c>
      <c r="BV26" s="68">
        <f t="array" ref="BV26">IF($D26,SUMPRODUCT((economics!$AG$2:$AG$167=$B26)*(economics!$D$2:$D$167="process")*economics!$AH$2:$AH$167*_xlfn.NORM.DIST(BV$3,economics!$AK$2:$AK$167,economics!$AJ$2:$AJ$167,TRUE)),0)</f>
        <v/>
      </c>
      <c r="BW26" s="68">
        <f t="array" ref="BW26">IF($D26,SUMPRODUCT((economics!$AG$2:$AG$167=$B26)*(economics!$D$2:$D$167="process")*economics!$AH$2:$AH$167*_xlfn.NORM.DIST(BW$3,economics!$AK$2:$AK$167,economics!$AJ$2:$AJ$167,TRUE)),0)</f>
        <v/>
      </c>
      <c r="BX26" s="68">
        <f t="array" ref="BX26">IF($D26,SUMPRODUCT((economics!$AG$2:$AG$167=$B26)*(economics!$D$2:$D$167="process")*economics!$AH$2:$AH$167*_xlfn.NORM.DIST(BX$3,economics!$AK$2:$AK$167,economics!$AJ$2:$AJ$167,TRUE)),0)</f>
        <v/>
      </c>
      <c r="BY26" s="68">
        <f t="array" ref="BY26">IF($D26,SUMPRODUCT((economics!$AG$2:$AG$167=$B26)*(economics!$D$2:$D$167="process")*economics!$AH$2:$AH$167*_xlfn.NORM.DIST(BY$3,economics!$AK$2:$AK$167,economics!$AJ$2:$AJ$167,TRUE)),0)</f>
        <v/>
      </c>
      <c r="BZ26" s="68">
        <f t="array" ref="BZ26">IF($D26,SUMPRODUCT((economics!$AG$2:$AG$167=$B26)*(economics!$D$2:$D$167="process")*economics!$AH$2:$AH$167*_xlfn.NORM.DIST(BZ$3,economics!$AK$2:$AK$167,economics!$AJ$2:$AJ$167,TRUE)),0)</f>
        <v/>
      </c>
      <c r="CA26" s="68">
        <f t="array" ref="CA26">IF($D26,SUMPRODUCT((economics!$AG$2:$AG$167=$B26)*(economics!$D$2:$D$167="process")*economics!$AH$2:$AH$167*_xlfn.NORM.DIST(CA$3,economics!$AK$2:$AK$167,economics!$AJ$2:$AJ$167,TRUE)),0)</f>
        <v/>
      </c>
      <c r="CB26" s="68">
        <f t="array" ref="CB26">IF($D26,SUMPRODUCT((economics!$AG$2:$AG$167=$B26)*(economics!$D$2:$D$167="process")*economics!$AH$2:$AH$167*_xlfn.NORM.DIST(CB$3,economics!$AK$2:$AK$167,economics!$AJ$2:$AJ$167,TRUE)),0)</f>
        <v/>
      </c>
      <c r="CC26" s="68">
        <f t="array" ref="CC26">IF($D26,SUMPRODUCT((economics!$AG$2:$AG$167=$B26)*(economics!$D$2:$D$167="process")*economics!$AH$2:$AH$167*_xlfn.NORM.DIST(CC$3,economics!$AK$2:$AK$167,economics!$AJ$2:$AJ$167,TRUE)),0)</f>
        <v/>
      </c>
      <c r="CD26" s="68">
        <f t="array" ref="CD26">IF($D26,SUMPRODUCT((economics!$AG$2:$AG$167=$B26)*(economics!$D$2:$D$167="process")*economics!$AH$2:$AH$167*_xlfn.NORM.DIST(CD$3,economics!$AK$2:$AK$167,economics!$AJ$2:$AJ$167,TRUE)),0)</f>
        <v/>
      </c>
      <c r="CE26" s="68">
        <f t="array" ref="CE26">IF($D26,SUMPRODUCT((economics!$AG$2:$AG$167=$B26)*(economics!$D$2:$D$167="process")*economics!$AH$2:$AH$167*_xlfn.NORM.DIST(CE$3,economics!$AK$2:$AK$167,economics!$AJ$2:$AJ$167,TRUE)),0)</f>
        <v/>
      </c>
      <c r="CF26" s="68">
        <f t="array" ref="CF26">IF($D26,SUMPRODUCT((economics!$AG$2:$AG$167=$B26)*(economics!$D$2:$D$167="process")*economics!$AH$2:$AH$167*_xlfn.NORM.DIST(CF$3,economics!$AK$2:$AK$167,economics!$AJ$2:$AJ$167,TRUE)),0)</f>
        <v/>
      </c>
      <c r="CG26" s="68">
        <f t="array" ref="CG26">IF($D26,SUMPRODUCT((economics!$AG$2:$AG$167=$B26)*(economics!$D$2:$D$167="process")*economics!$AH$2:$AH$167*_xlfn.NORM.DIST(CG$3,economics!$AK$2:$AK$167,economics!$AJ$2:$AJ$167,TRUE)),0)</f>
        <v/>
      </c>
      <c r="CH26" s="68">
        <f t="array" ref="CH26">IF($D26,SUMPRODUCT((economics!$AG$2:$AG$167=$B26)*(economics!$D$2:$D$167="process")*economics!$AH$2:$AH$167*_xlfn.NORM.DIST(CH$3,economics!$AK$2:$AK$167,economics!$AJ$2:$AJ$167,TRUE)),0)</f>
        <v/>
      </c>
    </row>
    <row r="27">
      <c r="A27">
        <f>WHRPbI!A25</f>
        <v/>
      </c>
      <c r="B27" t="inlineStr">
        <is>
          <t>36T39</t>
        </is>
      </c>
      <c r="C27" s="68">
        <f>WHRPbI!B25</f>
        <v/>
      </c>
      <c r="D27">
        <f>ISNUMBER(MATCH($B27,'energy base (MECS)'!$K$4:$K$9,0))</f>
        <v/>
      </c>
      <c r="E27" s="68">
        <f t="array" ref="E27">IF($D27,SUMPRODUCT((economics!$AG$2:$AG$167=$B27)*(economics!$D$2:$D$167="process")*economics!$AH$2:$AH$167*_xlfn.NORM.DIST(E$3,economics!$AK$2:$AK$167,economics!$AJ$2:$AJ$167,TRUE)),0)</f>
        <v/>
      </c>
      <c r="F27" s="68">
        <f t="array" ref="F27">IF($D27,SUMPRODUCT((economics!$AG$2:$AG$167=$B27)*(economics!$D$2:$D$167="process")*economics!$AH$2:$AH$167*_xlfn.NORM.DIST(F$3,economics!$AK$2:$AK$167,economics!$AJ$2:$AJ$167,TRUE)),0)</f>
        <v/>
      </c>
      <c r="G27" s="68">
        <f t="array" ref="G27">IF($D27,SUMPRODUCT((economics!$AG$2:$AG$167=$B27)*(economics!$D$2:$D$167="process")*economics!$AH$2:$AH$167*_xlfn.NORM.DIST(G$3,economics!$AK$2:$AK$167,economics!$AJ$2:$AJ$167,TRUE)),0)</f>
        <v/>
      </c>
      <c r="H27" s="68">
        <f t="array" ref="H27">IF($D27,SUMPRODUCT((economics!$AG$2:$AG$167=$B27)*(economics!$D$2:$D$167="process")*economics!$AH$2:$AH$167*_xlfn.NORM.DIST(H$3,economics!$AK$2:$AK$167,economics!$AJ$2:$AJ$167,TRUE)),0)</f>
        <v/>
      </c>
      <c r="I27" s="68">
        <f t="array" ref="I27">IF($D27,SUMPRODUCT((economics!$AG$2:$AG$167=$B27)*(economics!$D$2:$D$167="process")*economics!$AH$2:$AH$167*_xlfn.NORM.DIST(I$3,economics!$AK$2:$AK$167,economics!$AJ$2:$AJ$167,TRUE)),0)</f>
        <v/>
      </c>
      <c r="J27" s="68">
        <f t="array" ref="J27">IF($D27,SUMPRODUCT((economics!$AG$2:$AG$167=$B27)*(economics!$D$2:$D$167="process")*economics!$AH$2:$AH$167*_xlfn.NORM.DIST(J$3,economics!$AK$2:$AK$167,economics!$AJ$2:$AJ$167,TRUE)),0)</f>
        <v/>
      </c>
      <c r="K27" s="68">
        <f t="array" ref="K27">IF($D27,SUMPRODUCT((economics!$AG$2:$AG$167=$B27)*(economics!$D$2:$D$167="process")*economics!$AH$2:$AH$167*_xlfn.NORM.DIST(K$3,economics!$AK$2:$AK$167,economics!$AJ$2:$AJ$167,TRUE)),0)</f>
        <v/>
      </c>
      <c r="L27" s="68">
        <f t="array" ref="L27">IF($D27,SUMPRODUCT((economics!$AG$2:$AG$167=$B27)*(economics!$D$2:$D$167="process")*economics!$AH$2:$AH$167*_xlfn.NORM.DIST(L$3,economics!$AK$2:$AK$167,economics!$AJ$2:$AJ$167,TRUE)),0)</f>
        <v/>
      </c>
      <c r="M27" s="68">
        <f t="array" ref="M27">IF($D27,SUMPRODUCT((economics!$AG$2:$AG$167=$B27)*(economics!$D$2:$D$167="process")*economics!$AH$2:$AH$167*_xlfn.NORM.DIST(M$3,economics!$AK$2:$AK$167,economics!$AJ$2:$AJ$167,TRUE)),0)</f>
        <v/>
      </c>
      <c r="N27" s="68">
        <f t="array" ref="N27">IF($D27,SUMPRODUCT((economics!$AG$2:$AG$167=$B27)*(economics!$D$2:$D$167="process")*economics!$AH$2:$AH$167*_xlfn.NORM.DIST(N$3,economics!$AK$2:$AK$167,economics!$AJ$2:$AJ$167,TRUE)),0)</f>
        <v/>
      </c>
      <c r="O27" s="68">
        <f t="array" ref="O27">IF($D27,SUMPRODUCT((economics!$AG$2:$AG$167=$B27)*(economics!$D$2:$D$167="process")*economics!$AH$2:$AH$167*_xlfn.NORM.DIST(O$3,economics!$AK$2:$AK$167,economics!$AJ$2:$AJ$167,TRUE)),0)</f>
        <v/>
      </c>
      <c r="P27" s="68">
        <f t="array" ref="P27">IF($D27,SUMPRODUCT((economics!$AG$2:$AG$167=$B27)*(economics!$D$2:$D$167="process")*economics!$AH$2:$AH$167*_xlfn.NORM.DIST(P$3,economics!$AK$2:$AK$167,economics!$AJ$2:$AJ$167,TRUE)),0)</f>
        <v/>
      </c>
      <c r="Q27" s="68">
        <f t="array" ref="Q27">IF($D27,SUMPRODUCT((economics!$AG$2:$AG$167=$B27)*(economics!$D$2:$D$167="process")*economics!$AH$2:$AH$167*_xlfn.NORM.DIST(Q$3,economics!$AK$2:$AK$167,economics!$AJ$2:$AJ$167,TRUE)),0)</f>
        <v/>
      </c>
      <c r="R27" s="68">
        <f t="array" ref="R27">IF($D27,SUMPRODUCT((economics!$AG$2:$AG$167=$B27)*(economics!$D$2:$D$167="process")*economics!$AH$2:$AH$167*_xlfn.NORM.DIST(R$3,economics!$AK$2:$AK$167,economics!$AJ$2:$AJ$167,TRUE)),0)</f>
        <v/>
      </c>
      <c r="S27" s="68">
        <f t="array" ref="S27">IF($D27,SUMPRODUCT((economics!$AG$2:$AG$167=$B27)*(economics!$D$2:$D$167="process")*economics!$AH$2:$AH$167*_xlfn.NORM.DIST(S$3,economics!$AK$2:$AK$167,economics!$AJ$2:$AJ$167,TRUE)),0)</f>
        <v/>
      </c>
      <c r="T27" s="68">
        <f t="array" ref="T27">IF($D27,SUMPRODUCT((economics!$AG$2:$AG$167=$B27)*(economics!$D$2:$D$167="process")*economics!$AH$2:$AH$167*_xlfn.NORM.DIST(T$3,economics!$AK$2:$AK$167,economics!$AJ$2:$AJ$167,TRUE)),0)</f>
        <v/>
      </c>
      <c r="U27" s="68">
        <f t="array" ref="U27">IF($D27,SUMPRODUCT((economics!$AG$2:$AG$167=$B27)*(economics!$D$2:$D$167="process")*economics!$AH$2:$AH$167*_xlfn.NORM.DIST(U$3,economics!$AK$2:$AK$167,economics!$AJ$2:$AJ$167,TRUE)),0)</f>
        <v/>
      </c>
      <c r="V27" s="68">
        <f t="array" ref="V27">IF($D27,SUMPRODUCT((economics!$AG$2:$AG$167=$B27)*(economics!$D$2:$D$167="process")*economics!$AH$2:$AH$167*_xlfn.NORM.DIST(V$3,economics!$AK$2:$AK$167,economics!$AJ$2:$AJ$167,TRUE)),0)</f>
        <v/>
      </c>
      <c r="W27" s="68">
        <f t="array" ref="W27">IF($D27,SUMPRODUCT((economics!$AG$2:$AG$167=$B27)*(economics!$D$2:$D$167="process")*economics!$AH$2:$AH$167*_xlfn.NORM.DIST(W$3,economics!$AK$2:$AK$167,economics!$AJ$2:$AJ$167,TRUE)),0)</f>
        <v/>
      </c>
      <c r="X27" s="68">
        <f t="array" ref="X27">IF($D27,SUMPRODUCT((economics!$AG$2:$AG$167=$B27)*(economics!$D$2:$D$167="process")*economics!$AH$2:$AH$167*_xlfn.NORM.DIST(X$3,economics!$AK$2:$AK$167,economics!$AJ$2:$AJ$167,TRUE)),0)</f>
        <v/>
      </c>
      <c r="Y27" s="68">
        <f t="array" ref="Y27">IF($D27,SUMPRODUCT((economics!$AG$2:$AG$167=$B27)*(economics!$D$2:$D$167="process")*economics!$AH$2:$AH$167*_xlfn.NORM.DIST(Y$3,economics!$AK$2:$AK$167,economics!$AJ$2:$AJ$167,TRUE)),0)</f>
        <v/>
      </c>
      <c r="Z27" s="68">
        <f t="array" ref="Z27">IF($D27,SUMPRODUCT((economics!$AG$2:$AG$167=$B27)*(economics!$D$2:$D$167="process")*economics!$AH$2:$AH$167*_xlfn.NORM.DIST(Z$3,economics!$AK$2:$AK$167,economics!$AJ$2:$AJ$167,TRUE)),0)</f>
        <v/>
      </c>
      <c r="AA27" s="68">
        <f t="array" ref="AA27">IF($D27,SUMPRODUCT((economics!$AG$2:$AG$167=$B27)*(economics!$D$2:$D$167="process")*economics!$AH$2:$AH$167*_xlfn.NORM.DIST(AA$3,economics!$AK$2:$AK$167,economics!$AJ$2:$AJ$167,TRUE)),0)</f>
        <v/>
      </c>
      <c r="AB27" s="68">
        <f t="array" ref="AB27">IF($D27,SUMPRODUCT((economics!$AG$2:$AG$167=$B27)*(economics!$D$2:$D$167="process")*economics!$AH$2:$AH$167*_xlfn.NORM.DIST(AB$3,economics!$AK$2:$AK$167,economics!$AJ$2:$AJ$167,TRUE)),0)</f>
        <v/>
      </c>
      <c r="AC27" s="68">
        <f t="array" ref="AC27">IF($D27,SUMPRODUCT((economics!$AG$2:$AG$167=$B27)*(economics!$D$2:$D$167="process")*economics!$AH$2:$AH$167*_xlfn.NORM.DIST(AC$3,economics!$AK$2:$AK$167,economics!$AJ$2:$AJ$167,TRUE)),0)</f>
        <v/>
      </c>
      <c r="AD27" s="68">
        <f t="array" ref="AD27">IF($D27,SUMPRODUCT((economics!$AG$2:$AG$167=$B27)*(economics!$D$2:$D$167="process")*economics!$AH$2:$AH$167*_xlfn.NORM.DIST(AD$3,economics!$AK$2:$AK$167,economics!$AJ$2:$AJ$167,TRUE)),0)</f>
        <v/>
      </c>
      <c r="AE27" s="68">
        <f t="array" ref="AE27">IF($D27,SUMPRODUCT((economics!$AG$2:$AG$167=$B27)*(economics!$D$2:$D$167="process")*economics!$AH$2:$AH$167*_xlfn.NORM.DIST(AE$3,economics!$AK$2:$AK$167,economics!$AJ$2:$AJ$167,TRUE)),0)</f>
        <v/>
      </c>
      <c r="AF27" s="68">
        <f t="array" ref="AF27">IF($D27,SUMPRODUCT((economics!$AG$2:$AG$167=$B27)*(economics!$D$2:$D$167="process")*economics!$AH$2:$AH$167*_xlfn.NORM.DIST(AF$3,economics!$AK$2:$AK$167,economics!$AJ$2:$AJ$167,TRUE)),0)</f>
        <v/>
      </c>
      <c r="AG27" s="68">
        <f t="array" ref="AG27">IF($D27,SUMPRODUCT((economics!$AG$2:$AG$167=$B27)*(economics!$D$2:$D$167="process")*economics!$AH$2:$AH$167*_xlfn.NORM.DIST(AG$3,economics!$AK$2:$AK$167,economics!$AJ$2:$AJ$167,TRUE)),0)</f>
        <v/>
      </c>
      <c r="AH27" s="68">
        <f t="array" ref="AH27">IF($D27,SUMPRODUCT((economics!$AG$2:$AG$167=$B27)*(economics!$D$2:$D$167="process")*economics!$AH$2:$AH$167*_xlfn.NORM.DIST(AH$3,economics!$AK$2:$AK$167,economics!$AJ$2:$AJ$167,TRUE)),0)</f>
        <v/>
      </c>
      <c r="AI27" s="68">
        <f t="array" ref="AI27">IF($D27,SUMPRODUCT((economics!$AG$2:$AG$167=$B27)*(economics!$D$2:$D$167="process")*economics!$AH$2:$AH$167*_xlfn.NORM.DIST(AI$3,economics!$AK$2:$AK$167,economics!$AJ$2:$AJ$167,TRUE)),0)</f>
        <v/>
      </c>
      <c r="AJ27" s="68">
        <f t="array" ref="AJ27">IF($D27,SUMPRODUCT((economics!$AG$2:$AG$167=$B27)*(economics!$D$2:$D$167="process")*economics!$AH$2:$AH$167*_xlfn.NORM.DIST(AJ$3,economics!$AK$2:$AK$167,economics!$AJ$2:$AJ$167,TRUE)),0)</f>
        <v/>
      </c>
      <c r="AK27" s="68">
        <f t="array" ref="AK27">IF($D27,SUMPRODUCT((economics!$AG$2:$AG$167=$B27)*(economics!$D$2:$D$167="process")*economics!$AH$2:$AH$167*_xlfn.NORM.DIST(AK$3,economics!$AK$2:$AK$167,economics!$AJ$2:$AJ$167,TRUE)),0)</f>
        <v/>
      </c>
      <c r="AL27" s="68">
        <f t="array" ref="AL27">IF($D27,SUMPRODUCT((economics!$AG$2:$AG$167=$B27)*(economics!$D$2:$D$167="process")*economics!$AH$2:$AH$167*_xlfn.NORM.DIST(AL$3,economics!$AK$2:$AK$167,economics!$AJ$2:$AJ$167,TRUE)),0)</f>
        <v/>
      </c>
      <c r="AM27" s="68">
        <f t="array" ref="AM27">IF($D27,SUMPRODUCT((economics!$AG$2:$AG$167=$B27)*(economics!$D$2:$D$167="process")*economics!$AH$2:$AH$167*_xlfn.NORM.DIST(AM$3,economics!$AK$2:$AK$167,economics!$AJ$2:$AJ$167,TRUE)),0)</f>
        <v/>
      </c>
      <c r="AN27" s="68">
        <f t="array" ref="AN27">IF($D27,SUMPRODUCT((economics!$AG$2:$AG$167=$B27)*(economics!$D$2:$D$167="process")*economics!$AH$2:$AH$167*_xlfn.NORM.DIST(AN$3,economics!$AK$2:$AK$167,economics!$AJ$2:$AJ$167,TRUE)),0)</f>
        <v/>
      </c>
      <c r="AO27" s="68">
        <f t="array" ref="AO27">IF($D27,SUMPRODUCT((economics!$AG$2:$AG$167=$B27)*(economics!$D$2:$D$167="process")*economics!$AH$2:$AH$167*_xlfn.NORM.DIST(AO$3,economics!$AK$2:$AK$167,economics!$AJ$2:$AJ$167,TRUE)),0)</f>
        <v/>
      </c>
      <c r="AP27" s="68">
        <f t="array" ref="AP27">IF($D27,SUMPRODUCT((economics!$AG$2:$AG$167=$B27)*(economics!$D$2:$D$167="process")*economics!$AH$2:$AH$167*_xlfn.NORM.DIST(AP$3,economics!$AK$2:$AK$167,economics!$AJ$2:$AJ$167,TRUE)),0)</f>
        <v/>
      </c>
      <c r="AQ27" s="68">
        <f t="array" ref="AQ27">IF($D27,SUMPRODUCT((economics!$AG$2:$AG$167=$B27)*(economics!$D$2:$D$167="process")*economics!$AH$2:$AH$167*_xlfn.NORM.DIST(AQ$3,economics!$AK$2:$AK$167,economics!$AJ$2:$AJ$167,TRUE)),0)</f>
        <v/>
      </c>
      <c r="AR27" s="68">
        <f t="array" ref="AR27">IF($D27,SUMPRODUCT((economics!$AG$2:$AG$167=$B27)*(economics!$D$2:$D$167="process")*economics!$AH$2:$AH$167*_xlfn.NORM.DIST(AR$3,economics!$AK$2:$AK$167,economics!$AJ$2:$AJ$167,TRUE)),0)</f>
        <v/>
      </c>
      <c r="AS27" s="68">
        <f t="array" ref="AS27">IF($D27,SUMPRODUCT((economics!$AG$2:$AG$167=$B27)*(economics!$D$2:$D$167="process")*economics!$AH$2:$AH$167*_xlfn.NORM.DIST(AS$3,economics!$AK$2:$AK$167,economics!$AJ$2:$AJ$167,TRUE)),0)</f>
        <v/>
      </c>
      <c r="AT27" s="68">
        <f t="array" ref="AT27">IF($D27,SUMPRODUCT((economics!$AG$2:$AG$167=$B27)*(economics!$D$2:$D$167="process")*economics!$AH$2:$AH$167*_xlfn.NORM.DIST(AT$3,economics!$AK$2:$AK$167,economics!$AJ$2:$AJ$167,TRUE)),0)</f>
        <v/>
      </c>
      <c r="AU27" s="68">
        <f t="array" ref="AU27">IF($D27,SUMPRODUCT((economics!$AG$2:$AG$167=$B27)*(economics!$D$2:$D$167="process")*economics!$AH$2:$AH$167*_xlfn.NORM.DIST(AU$3,economics!$AK$2:$AK$167,economics!$AJ$2:$AJ$167,TRUE)),0)</f>
        <v/>
      </c>
      <c r="AV27" s="68">
        <f t="array" ref="AV27">IF($D27,SUMPRODUCT((economics!$AG$2:$AG$167=$B27)*(economics!$D$2:$D$167="process")*economics!$AH$2:$AH$167*_xlfn.NORM.DIST(AV$3,economics!$AK$2:$AK$167,economics!$AJ$2:$AJ$167,TRUE)),0)</f>
        <v/>
      </c>
      <c r="AW27" s="68">
        <f t="array" ref="AW27">IF($D27,SUMPRODUCT((economics!$AG$2:$AG$167=$B27)*(economics!$D$2:$D$167="process")*economics!$AH$2:$AH$167*_xlfn.NORM.DIST(AW$3,economics!$AK$2:$AK$167,economics!$AJ$2:$AJ$167,TRUE)),0)</f>
        <v/>
      </c>
      <c r="AX27" s="68">
        <f t="array" ref="AX27">IF($D27,SUMPRODUCT((economics!$AG$2:$AG$167=$B27)*(economics!$D$2:$D$167="process")*economics!$AH$2:$AH$167*_xlfn.NORM.DIST(AX$3,economics!$AK$2:$AK$167,economics!$AJ$2:$AJ$167,TRUE)),0)</f>
        <v/>
      </c>
      <c r="AY27" s="68">
        <f t="array" ref="AY27">IF($D27,SUMPRODUCT((economics!$AG$2:$AG$167=$B27)*(economics!$D$2:$D$167="process")*economics!$AH$2:$AH$167*_xlfn.NORM.DIST(AY$3,economics!$AK$2:$AK$167,economics!$AJ$2:$AJ$167,TRUE)),0)</f>
        <v/>
      </c>
      <c r="AZ27" s="68">
        <f t="array" ref="AZ27">IF($D27,SUMPRODUCT((economics!$AG$2:$AG$167=$B27)*(economics!$D$2:$D$167="process")*economics!$AH$2:$AH$167*_xlfn.NORM.DIST(AZ$3,economics!$AK$2:$AK$167,economics!$AJ$2:$AJ$167,TRUE)),0)</f>
        <v/>
      </c>
      <c r="BA27" s="68">
        <f t="array" ref="BA27">IF($D27,SUMPRODUCT((economics!$AG$2:$AG$167=$B27)*(economics!$D$2:$D$167="process")*economics!$AH$2:$AH$167*_xlfn.NORM.DIST(BA$3,economics!$AK$2:$AK$167,economics!$AJ$2:$AJ$167,TRUE)),0)</f>
        <v/>
      </c>
      <c r="BB27" s="68">
        <f t="array" ref="BB27">IF($D27,SUMPRODUCT((economics!$AG$2:$AG$167=$B27)*(economics!$D$2:$D$167="process")*economics!$AH$2:$AH$167*_xlfn.NORM.DIST(BB$3,economics!$AK$2:$AK$167,economics!$AJ$2:$AJ$167,TRUE)),0)</f>
        <v/>
      </c>
      <c r="BC27" s="68">
        <f t="array" ref="BC27">IF($D27,SUMPRODUCT((economics!$AG$2:$AG$167=$B27)*(economics!$D$2:$D$167="process")*economics!$AH$2:$AH$167*_xlfn.NORM.DIST(BC$3,economics!$AK$2:$AK$167,economics!$AJ$2:$AJ$167,TRUE)),0)</f>
        <v/>
      </c>
      <c r="BD27" s="68">
        <f t="array" ref="BD27">IF($D27,SUMPRODUCT((economics!$AG$2:$AG$167=$B27)*(economics!$D$2:$D$167="process")*economics!$AH$2:$AH$167*_xlfn.NORM.DIST(BD$3,economics!$AK$2:$AK$167,economics!$AJ$2:$AJ$167,TRUE)),0)</f>
        <v/>
      </c>
      <c r="BE27" s="68">
        <f t="array" ref="BE27">IF($D27,SUMPRODUCT((economics!$AG$2:$AG$167=$B27)*(economics!$D$2:$D$167="process")*economics!$AH$2:$AH$167*_xlfn.NORM.DIST(BE$3,economics!$AK$2:$AK$167,economics!$AJ$2:$AJ$167,TRUE)),0)</f>
        <v/>
      </c>
      <c r="BF27" s="68">
        <f t="array" ref="BF27">IF($D27,SUMPRODUCT((economics!$AG$2:$AG$167=$B27)*(economics!$D$2:$D$167="process")*economics!$AH$2:$AH$167*_xlfn.NORM.DIST(BF$3,economics!$AK$2:$AK$167,economics!$AJ$2:$AJ$167,TRUE)),0)</f>
        <v/>
      </c>
      <c r="BG27" s="68">
        <f t="array" ref="BG27">IF($D27,SUMPRODUCT((economics!$AG$2:$AG$167=$B27)*(economics!$D$2:$D$167="process")*economics!$AH$2:$AH$167*_xlfn.NORM.DIST(BG$3,economics!$AK$2:$AK$167,economics!$AJ$2:$AJ$167,TRUE)),0)</f>
        <v/>
      </c>
      <c r="BH27" s="68">
        <f t="array" ref="BH27">IF($D27,SUMPRODUCT((economics!$AG$2:$AG$167=$B27)*(economics!$D$2:$D$167="process")*economics!$AH$2:$AH$167*_xlfn.NORM.DIST(BH$3,economics!$AK$2:$AK$167,economics!$AJ$2:$AJ$167,TRUE)),0)</f>
        <v/>
      </c>
      <c r="BI27" s="68">
        <f t="array" ref="BI27">IF($D27,SUMPRODUCT((economics!$AG$2:$AG$167=$B27)*(economics!$D$2:$D$167="process")*economics!$AH$2:$AH$167*_xlfn.NORM.DIST(BI$3,economics!$AK$2:$AK$167,economics!$AJ$2:$AJ$167,TRUE)),0)</f>
        <v/>
      </c>
      <c r="BJ27" s="68">
        <f t="array" ref="BJ27">IF($D27,SUMPRODUCT((economics!$AG$2:$AG$167=$B27)*(economics!$D$2:$D$167="process")*economics!$AH$2:$AH$167*_xlfn.NORM.DIST(BJ$3,economics!$AK$2:$AK$167,economics!$AJ$2:$AJ$167,TRUE)),0)</f>
        <v/>
      </c>
      <c r="BK27" s="68">
        <f t="array" ref="BK27">IF($D27,SUMPRODUCT((economics!$AG$2:$AG$167=$B27)*(economics!$D$2:$D$167="process")*economics!$AH$2:$AH$167*_xlfn.NORM.DIST(BK$3,economics!$AK$2:$AK$167,economics!$AJ$2:$AJ$167,TRUE)),0)</f>
        <v/>
      </c>
      <c r="BL27" s="68">
        <f t="array" ref="BL27">IF($D27,SUMPRODUCT((economics!$AG$2:$AG$167=$B27)*(economics!$D$2:$D$167="process")*economics!$AH$2:$AH$167*_xlfn.NORM.DIST(BL$3,economics!$AK$2:$AK$167,economics!$AJ$2:$AJ$167,TRUE)),0)</f>
        <v/>
      </c>
      <c r="BM27" s="68">
        <f t="array" ref="BM27">IF($D27,SUMPRODUCT((economics!$AG$2:$AG$167=$B27)*(economics!$D$2:$D$167="process")*economics!$AH$2:$AH$167*_xlfn.NORM.DIST(BM$3,economics!$AK$2:$AK$167,economics!$AJ$2:$AJ$167,TRUE)),0)</f>
        <v/>
      </c>
      <c r="BN27" s="68">
        <f t="array" ref="BN27">IF($D27,SUMPRODUCT((economics!$AG$2:$AG$167=$B27)*(economics!$D$2:$D$167="process")*economics!$AH$2:$AH$167*_xlfn.NORM.DIST(BN$3,economics!$AK$2:$AK$167,economics!$AJ$2:$AJ$167,TRUE)),0)</f>
        <v/>
      </c>
      <c r="BO27" s="68">
        <f t="array" ref="BO27">IF($D27,SUMPRODUCT((economics!$AG$2:$AG$167=$B27)*(economics!$D$2:$D$167="process")*economics!$AH$2:$AH$167*_xlfn.NORM.DIST(BO$3,economics!$AK$2:$AK$167,economics!$AJ$2:$AJ$167,TRUE)),0)</f>
        <v/>
      </c>
      <c r="BP27" s="68">
        <f t="array" ref="BP27">IF($D27,SUMPRODUCT((economics!$AG$2:$AG$167=$B27)*(economics!$D$2:$D$167="process")*economics!$AH$2:$AH$167*_xlfn.NORM.DIST(BP$3,economics!$AK$2:$AK$167,economics!$AJ$2:$AJ$167,TRUE)),0)</f>
        <v/>
      </c>
      <c r="BQ27" s="68">
        <f t="array" ref="BQ27">IF($D27,SUMPRODUCT((economics!$AG$2:$AG$167=$B27)*(economics!$D$2:$D$167="process")*economics!$AH$2:$AH$167*_xlfn.NORM.DIST(BQ$3,economics!$AK$2:$AK$167,economics!$AJ$2:$AJ$167,TRUE)),0)</f>
        <v/>
      </c>
      <c r="BR27" s="68">
        <f t="array" ref="BR27">IF($D27,SUMPRODUCT((economics!$AG$2:$AG$167=$B27)*(economics!$D$2:$D$167="process")*economics!$AH$2:$AH$167*_xlfn.NORM.DIST(BR$3,economics!$AK$2:$AK$167,economics!$AJ$2:$AJ$167,TRUE)),0)</f>
        <v/>
      </c>
      <c r="BS27" s="68">
        <f t="array" ref="BS27">IF($D27,SUMPRODUCT((economics!$AG$2:$AG$167=$B27)*(economics!$D$2:$D$167="process")*economics!$AH$2:$AH$167*_xlfn.NORM.DIST(BS$3,economics!$AK$2:$AK$167,economics!$AJ$2:$AJ$167,TRUE)),0)</f>
        <v/>
      </c>
      <c r="BT27" s="68">
        <f t="array" ref="BT27">IF($D27,SUMPRODUCT((economics!$AG$2:$AG$167=$B27)*(economics!$D$2:$D$167="process")*economics!$AH$2:$AH$167*_xlfn.NORM.DIST(BT$3,economics!$AK$2:$AK$167,economics!$AJ$2:$AJ$167,TRUE)),0)</f>
        <v/>
      </c>
      <c r="BU27" s="68">
        <f t="array" ref="BU27">IF($D27,SUMPRODUCT((economics!$AG$2:$AG$167=$B27)*(economics!$D$2:$D$167="process")*economics!$AH$2:$AH$167*_xlfn.NORM.DIST(BU$3,economics!$AK$2:$AK$167,economics!$AJ$2:$AJ$167,TRUE)),0)</f>
        <v/>
      </c>
      <c r="BV27" s="68">
        <f t="array" ref="BV27">IF($D27,SUMPRODUCT((economics!$AG$2:$AG$167=$B27)*(economics!$D$2:$D$167="process")*economics!$AH$2:$AH$167*_xlfn.NORM.DIST(BV$3,economics!$AK$2:$AK$167,economics!$AJ$2:$AJ$167,TRUE)),0)</f>
        <v/>
      </c>
      <c r="BW27" s="68">
        <f t="array" ref="BW27">IF($D27,SUMPRODUCT((economics!$AG$2:$AG$167=$B27)*(economics!$D$2:$D$167="process")*economics!$AH$2:$AH$167*_xlfn.NORM.DIST(BW$3,economics!$AK$2:$AK$167,economics!$AJ$2:$AJ$167,TRUE)),0)</f>
        <v/>
      </c>
      <c r="BX27" s="68">
        <f t="array" ref="BX27">IF($D27,SUMPRODUCT((economics!$AG$2:$AG$167=$B27)*(economics!$D$2:$D$167="process")*economics!$AH$2:$AH$167*_xlfn.NORM.DIST(BX$3,economics!$AK$2:$AK$167,economics!$AJ$2:$AJ$167,TRUE)),0)</f>
        <v/>
      </c>
      <c r="BY27" s="68">
        <f t="array" ref="BY27">IF($D27,SUMPRODUCT((economics!$AG$2:$AG$167=$B27)*(economics!$D$2:$D$167="process")*economics!$AH$2:$AH$167*_xlfn.NORM.DIST(BY$3,economics!$AK$2:$AK$167,economics!$AJ$2:$AJ$167,TRUE)),0)</f>
        <v/>
      </c>
      <c r="BZ27" s="68">
        <f t="array" ref="BZ27">IF($D27,SUMPRODUCT((economics!$AG$2:$AG$167=$B27)*(economics!$D$2:$D$167="process")*economics!$AH$2:$AH$167*_xlfn.NORM.DIST(BZ$3,economics!$AK$2:$AK$167,economics!$AJ$2:$AJ$167,TRUE)),0)</f>
        <v/>
      </c>
      <c r="CA27" s="68">
        <f t="array" ref="CA27">IF($D27,SUMPRODUCT((economics!$AG$2:$AG$167=$B27)*(economics!$D$2:$D$167="process")*economics!$AH$2:$AH$167*_xlfn.NORM.DIST(CA$3,economics!$AK$2:$AK$167,economics!$AJ$2:$AJ$167,TRUE)),0)</f>
        <v/>
      </c>
      <c r="CB27" s="68">
        <f t="array" ref="CB27">IF($D27,SUMPRODUCT((economics!$AG$2:$AG$167=$B27)*(economics!$D$2:$D$167="process")*economics!$AH$2:$AH$167*_xlfn.NORM.DIST(CB$3,economics!$AK$2:$AK$167,economics!$AJ$2:$AJ$167,TRUE)),0)</f>
        <v/>
      </c>
      <c r="CC27" s="68">
        <f t="array" ref="CC27">IF($D27,SUMPRODUCT((economics!$AG$2:$AG$167=$B27)*(economics!$D$2:$D$167="process")*economics!$AH$2:$AH$167*_xlfn.NORM.DIST(CC$3,economics!$AK$2:$AK$167,economics!$AJ$2:$AJ$167,TRUE)),0)</f>
        <v/>
      </c>
      <c r="CD27" s="68">
        <f t="array" ref="CD27">IF($D27,SUMPRODUCT((economics!$AG$2:$AG$167=$B27)*(economics!$D$2:$D$167="process")*economics!$AH$2:$AH$167*_xlfn.NORM.DIST(CD$3,economics!$AK$2:$AK$167,economics!$AJ$2:$AJ$167,TRUE)),0)</f>
        <v/>
      </c>
      <c r="CE27" s="68">
        <f t="array" ref="CE27">IF($D27,SUMPRODUCT((economics!$AG$2:$AG$167=$B27)*(economics!$D$2:$D$167="process")*economics!$AH$2:$AH$167*_xlfn.NORM.DIST(CE$3,economics!$AK$2:$AK$167,economics!$AJ$2:$AJ$167,TRUE)),0)</f>
        <v/>
      </c>
      <c r="CF27" s="68">
        <f t="array" ref="CF27">IF($D27,SUMPRODUCT((economics!$AG$2:$AG$167=$B27)*(economics!$D$2:$D$167="process")*economics!$AH$2:$AH$167*_xlfn.NORM.DIST(CF$3,economics!$AK$2:$AK$167,economics!$AJ$2:$AJ$167,TRUE)),0)</f>
        <v/>
      </c>
      <c r="CG27" s="68">
        <f t="array" ref="CG27">IF($D27,SUMPRODUCT((economics!$AG$2:$AG$167=$B27)*(economics!$D$2:$D$167="process")*economics!$AH$2:$AH$167*_xlfn.NORM.DIST(CG$3,economics!$AK$2:$AK$167,economics!$AJ$2:$AJ$167,TRUE)),0)</f>
        <v/>
      </c>
      <c r="CH27" s="68">
        <f t="array" ref="CH27">IF($D27,SUMPRODUCT((economics!$AG$2:$AG$167=$B27)*(economics!$D$2:$D$167="process")*economics!$AH$2:$AH$167*_xlfn.NORM.DIST(CH$3,economics!$AK$2:$AK$167,economics!$AJ$2:$AJ$167,TRUE)),0)</f>
        <v/>
      </c>
    </row>
    <row r="28">
      <c r="A28">
        <f>WHRPbI!A26</f>
        <v/>
      </c>
      <c r="B28" t="inlineStr">
        <is>
          <t>41T43</t>
        </is>
      </c>
      <c r="C28" s="68">
        <f>WHRPbI!B26</f>
        <v/>
      </c>
      <c r="D28">
        <f>ISNUMBER(MATCH($B28,'energy base (MECS)'!$K$4:$K$9,0))</f>
        <v/>
      </c>
      <c r="E28" s="68">
        <f t="array" ref="E28">IF($D28,SUMPRODUCT((economics!$AG$2:$AG$167=$B28)*(economics!$D$2:$D$167="process")*economics!$AH$2:$AH$167*_xlfn.NORM.DIST(E$3,economics!$AK$2:$AK$167,economics!$AJ$2:$AJ$167,TRUE)),0)</f>
        <v/>
      </c>
      <c r="F28" s="68">
        <f t="array" ref="F28">IF($D28,SUMPRODUCT((economics!$AG$2:$AG$167=$B28)*(economics!$D$2:$D$167="process")*economics!$AH$2:$AH$167*_xlfn.NORM.DIST(F$3,economics!$AK$2:$AK$167,economics!$AJ$2:$AJ$167,TRUE)),0)</f>
        <v/>
      </c>
      <c r="G28" s="68">
        <f t="array" ref="G28">IF($D28,SUMPRODUCT((economics!$AG$2:$AG$167=$B28)*(economics!$D$2:$D$167="process")*economics!$AH$2:$AH$167*_xlfn.NORM.DIST(G$3,economics!$AK$2:$AK$167,economics!$AJ$2:$AJ$167,TRUE)),0)</f>
        <v/>
      </c>
      <c r="H28" s="68">
        <f t="array" ref="H28">IF($D28,SUMPRODUCT((economics!$AG$2:$AG$167=$B28)*(economics!$D$2:$D$167="process")*economics!$AH$2:$AH$167*_xlfn.NORM.DIST(H$3,economics!$AK$2:$AK$167,economics!$AJ$2:$AJ$167,TRUE)),0)</f>
        <v/>
      </c>
      <c r="I28" s="68">
        <f t="array" ref="I28">IF($D28,SUMPRODUCT((economics!$AG$2:$AG$167=$B28)*(economics!$D$2:$D$167="process")*economics!$AH$2:$AH$167*_xlfn.NORM.DIST(I$3,economics!$AK$2:$AK$167,economics!$AJ$2:$AJ$167,TRUE)),0)</f>
        <v/>
      </c>
      <c r="J28" s="68">
        <f t="array" ref="J28">IF($D28,SUMPRODUCT((economics!$AG$2:$AG$167=$B28)*(economics!$D$2:$D$167="process")*economics!$AH$2:$AH$167*_xlfn.NORM.DIST(J$3,economics!$AK$2:$AK$167,economics!$AJ$2:$AJ$167,TRUE)),0)</f>
        <v/>
      </c>
      <c r="K28" s="68">
        <f t="array" ref="K28">IF($D28,SUMPRODUCT((economics!$AG$2:$AG$167=$B28)*(economics!$D$2:$D$167="process")*economics!$AH$2:$AH$167*_xlfn.NORM.DIST(K$3,economics!$AK$2:$AK$167,economics!$AJ$2:$AJ$167,TRUE)),0)</f>
        <v/>
      </c>
      <c r="L28" s="68">
        <f t="array" ref="L28">IF($D28,SUMPRODUCT((economics!$AG$2:$AG$167=$B28)*(economics!$D$2:$D$167="process")*economics!$AH$2:$AH$167*_xlfn.NORM.DIST(L$3,economics!$AK$2:$AK$167,economics!$AJ$2:$AJ$167,TRUE)),0)</f>
        <v/>
      </c>
      <c r="M28" s="68">
        <f t="array" ref="M28">IF($D28,SUMPRODUCT((economics!$AG$2:$AG$167=$B28)*(economics!$D$2:$D$167="process")*economics!$AH$2:$AH$167*_xlfn.NORM.DIST(M$3,economics!$AK$2:$AK$167,economics!$AJ$2:$AJ$167,TRUE)),0)</f>
        <v/>
      </c>
      <c r="N28" s="68">
        <f t="array" ref="N28">IF($D28,SUMPRODUCT((economics!$AG$2:$AG$167=$B28)*(economics!$D$2:$D$167="process")*economics!$AH$2:$AH$167*_xlfn.NORM.DIST(N$3,economics!$AK$2:$AK$167,economics!$AJ$2:$AJ$167,TRUE)),0)</f>
        <v/>
      </c>
      <c r="O28" s="68">
        <f t="array" ref="O28">IF($D28,SUMPRODUCT((economics!$AG$2:$AG$167=$B28)*(economics!$D$2:$D$167="process")*economics!$AH$2:$AH$167*_xlfn.NORM.DIST(O$3,economics!$AK$2:$AK$167,economics!$AJ$2:$AJ$167,TRUE)),0)</f>
        <v/>
      </c>
      <c r="P28" s="68">
        <f t="array" ref="P28">IF($D28,SUMPRODUCT((economics!$AG$2:$AG$167=$B28)*(economics!$D$2:$D$167="process")*economics!$AH$2:$AH$167*_xlfn.NORM.DIST(P$3,economics!$AK$2:$AK$167,economics!$AJ$2:$AJ$167,TRUE)),0)</f>
        <v/>
      </c>
      <c r="Q28" s="68">
        <f t="array" ref="Q28">IF($D28,SUMPRODUCT((economics!$AG$2:$AG$167=$B28)*(economics!$D$2:$D$167="process")*economics!$AH$2:$AH$167*_xlfn.NORM.DIST(Q$3,economics!$AK$2:$AK$167,economics!$AJ$2:$AJ$167,TRUE)),0)</f>
        <v/>
      </c>
      <c r="R28" s="68">
        <f t="array" ref="R28">IF($D28,SUMPRODUCT((economics!$AG$2:$AG$167=$B28)*(economics!$D$2:$D$167="process")*economics!$AH$2:$AH$167*_xlfn.NORM.DIST(R$3,economics!$AK$2:$AK$167,economics!$AJ$2:$AJ$167,TRUE)),0)</f>
        <v/>
      </c>
      <c r="S28" s="68">
        <f t="array" ref="S28">IF($D28,SUMPRODUCT((economics!$AG$2:$AG$167=$B28)*(economics!$D$2:$D$167="process")*economics!$AH$2:$AH$167*_xlfn.NORM.DIST(S$3,economics!$AK$2:$AK$167,economics!$AJ$2:$AJ$167,TRUE)),0)</f>
        <v/>
      </c>
      <c r="T28" s="68">
        <f t="array" ref="T28">IF($D28,SUMPRODUCT((economics!$AG$2:$AG$167=$B28)*(economics!$D$2:$D$167="process")*economics!$AH$2:$AH$167*_xlfn.NORM.DIST(T$3,economics!$AK$2:$AK$167,economics!$AJ$2:$AJ$167,TRUE)),0)</f>
        <v/>
      </c>
      <c r="U28" s="68">
        <f t="array" ref="U28">IF($D28,SUMPRODUCT((economics!$AG$2:$AG$167=$B28)*(economics!$D$2:$D$167="process")*economics!$AH$2:$AH$167*_xlfn.NORM.DIST(U$3,economics!$AK$2:$AK$167,economics!$AJ$2:$AJ$167,TRUE)),0)</f>
        <v/>
      </c>
      <c r="V28" s="68">
        <f t="array" ref="V28">IF($D28,SUMPRODUCT((economics!$AG$2:$AG$167=$B28)*(economics!$D$2:$D$167="process")*economics!$AH$2:$AH$167*_xlfn.NORM.DIST(V$3,economics!$AK$2:$AK$167,economics!$AJ$2:$AJ$167,TRUE)),0)</f>
        <v/>
      </c>
      <c r="W28" s="68">
        <f t="array" ref="W28">IF($D28,SUMPRODUCT((economics!$AG$2:$AG$167=$B28)*(economics!$D$2:$D$167="process")*economics!$AH$2:$AH$167*_xlfn.NORM.DIST(W$3,economics!$AK$2:$AK$167,economics!$AJ$2:$AJ$167,TRUE)),0)</f>
        <v/>
      </c>
      <c r="X28" s="68">
        <f t="array" ref="X28">IF($D28,SUMPRODUCT((economics!$AG$2:$AG$167=$B28)*(economics!$D$2:$D$167="process")*economics!$AH$2:$AH$167*_xlfn.NORM.DIST(X$3,economics!$AK$2:$AK$167,economics!$AJ$2:$AJ$167,TRUE)),0)</f>
        <v/>
      </c>
      <c r="Y28" s="68">
        <f t="array" ref="Y28">IF($D28,SUMPRODUCT((economics!$AG$2:$AG$167=$B28)*(economics!$D$2:$D$167="process")*economics!$AH$2:$AH$167*_xlfn.NORM.DIST(Y$3,economics!$AK$2:$AK$167,economics!$AJ$2:$AJ$167,TRUE)),0)</f>
        <v/>
      </c>
      <c r="Z28" s="68">
        <f t="array" ref="Z28">IF($D28,SUMPRODUCT((economics!$AG$2:$AG$167=$B28)*(economics!$D$2:$D$167="process")*economics!$AH$2:$AH$167*_xlfn.NORM.DIST(Z$3,economics!$AK$2:$AK$167,economics!$AJ$2:$AJ$167,TRUE)),0)</f>
        <v/>
      </c>
      <c r="AA28" s="68">
        <f t="array" ref="AA28">IF($D28,SUMPRODUCT((economics!$AG$2:$AG$167=$B28)*(economics!$D$2:$D$167="process")*economics!$AH$2:$AH$167*_xlfn.NORM.DIST(AA$3,economics!$AK$2:$AK$167,economics!$AJ$2:$AJ$167,TRUE)),0)</f>
        <v/>
      </c>
      <c r="AB28" s="68">
        <f t="array" ref="AB28">IF($D28,SUMPRODUCT((economics!$AG$2:$AG$167=$B28)*(economics!$D$2:$D$167="process")*economics!$AH$2:$AH$167*_xlfn.NORM.DIST(AB$3,economics!$AK$2:$AK$167,economics!$AJ$2:$AJ$167,TRUE)),0)</f>
        <v/>
      </c>
      <c r="AC28" s="68">
        <f t="array" ref="AC28">IF($D28,SUMPRODUCT((economics!$AG$2:$AG$167=$B28)*(economics!$D$2:$D$167="process")*economics!$AH$2:$AH$167*_xlfn.NORM.DIST(AC$3,economics!$AK$2:$AK$167,economics!$AJ$2:$AJ$167,TRUE)),0)</f>
        <v/>
      </c>
      <c r="AD28" s="68">
        <f t="array" ref="AD28">IF($D28,SUMPRODUCT((economics!$AG$2:$AG$167=$B28)*(economics!$D$2:$D$167="process")*economics!$AH$2:$AH$167*_xlfn.NORM.DIST(AD$3,economics!$AK$2:$AK$167,economics!$AJ$2:$AJ$167,TRUE)),0)</f>
        <v/>
      </c>
      <c r="AE28" s="68">
        <f t="array" ref="AE28">IF($D28,SUMPRODUCT((economics!$AG$2:$AG$167=$B28)*(economics!$D$2:$D$167="process")*economics!$AH$2:$AH$167*_xlfn.NORM.DIST(AE$3,economics!$AK$2:$AK$167,economics!$AJ$2:$AJ$167,TRUE)),0)</f>
        <v/>
      </c>
      <c r="AF28" s="68">
        <f t="array" ref="AF28">IF($D28,SUMPRODUCT((economics!$AG$2:$AG$167=$B28)*(economics!$D$2:$D$167="process")*economics!$AH$2:$AH$167*_xlfn.NORM.DIST(AF$3,economics!$AK$2:$AK$167,economics!$AJ$2:$AJ$167,TRUE)),0)</f>
        <v/>
      </c>
      <c r="AG28" s="68">
        <f t="array" ref="AG28">IF($D28,SUMPRODUCT((economics!$AG$2:$AG$167=$B28)*(economics!$D$2:$D$167="process")*economics!$AH$2:$AH$167*_xlfn.NORM.DIST(AG$3,economics!$AK$2:$AK$167,economics!$AJ$2:$AJ$167,TRUE)),0)</f>
        <v/>
      </c>
      <c r="AH28" s="68">
        <f t="array" ref="AH28">IF($D28,SUMPRODUCT((economics!$AG$2:$AG$167=$B28)*(economics!$D$2:$D$167="process")*economics!$AH$2:$AH$167*_xlfn.NORM.DIST(AH$3,economics!$AK$2:$AK$167,economics!$AJ$2:$AJ$167,TRUE)),0)</f>
        <v/>
      </c>
      <c r="AI28" s="68">
        <f t="array" ref="AI28">IF($D28,SUMPRODUCT((economics!$AG$2:$AG$167=$B28)*(economics!$D$2:$D$167="process")*economics!$AH$2:$AH$167*_xlfn.NORM.DIST(AI$3,economics!$AK$2:$AK$167,economics!$AJ$2:$AJ$167,TRUE)),0)</f>
        <v/>
      </c>
      <c r="AJ28" s="68">
        <f t="array" ref="AJ28">IF($D28,SUMPRODUCT((economics!$AG$2:$AG$167=$B28)*(economics!$D$2:$D$167="process")*economics!$AH$2:$AH$167*_xlfn.NORM.DIST(AJ$3,economics!$AK$2:$AK$167,economics!$AJ$2:$AJ$167,TRUE)),0)</f>
        <v/>
      </c>
      <c r="AK28" s="68">
        <f t="array" ref="AK28">IF($D28,SUMPRODUCT((economics!$AG$2:$AG$167=$B28)*(economics!$D$2:$D$167="process")*economics!$AH$2:$AH$167*_xlfn.NORM.DIST(AK$3,economics!$AK$2:$AK$167,economics!$AJ$2:$AJ$167,TRUE)),0)</f>
        <v/>
      </c>
      <c r="AL28" s="68">
        <f t="array" ref="AL28">IF($D28,SUMPRODUCT((economics!$AG$2:$AG$167=$B28)*(economics!$D$2:$D$167="process")*economics!$AH$2:$AH$167*_xlfn.NORM.DIST(AL$3,economics!$AK$2:$AK$167,economics!$AJ$2:$AJ$167,TRUE)),0)</f>
        <v/>
      </c>
      <c r="AM28" s="68">
        <f t="array" ref="AM28">IF($D28,SUMPRODUCT((economics!$AG$2:$AG$167=$B28)*(economics!$D$2:$D$167="process")*economics!$AH$2:$AH$167*_xlfn.NORM.DIST(AM$3,economics!$AK$2:$AK$167,economics!$AJ$2:$AJ$167,TRUE)),0)</f>
        <v/>
      </c>
      <c r="AN28" s="68">
        <f t="array" ref="AN28">IF($D28,SUMPRODUCT((economics!$AG$2:$AG$167=$B28)*(economics!$D$2:$D$167="process")*economics!$AH$2:$AH$167*_xlfn.NORM.DIST(AN$3,economics!$AK$2:$AK$167,economics!$AJ$2:$AJ$167,TRUE)),0)</f>
        <v/>
      </c>
      <c r="AO28" s="68">
        <f t="array" ref="AO28">IF($D28,SUMPRODUCT((economics!$AG$2:$AG$167=$B28)*(economics!$D$2:$D$167="process")*economics!$AH$2:$AH$167*_xlfn.NORM.DIST(AO$3,economics!$AK$2:$AK$167,economics!$AJ$2:$AJ$167,TRUE)),0)</f>
        <v/>
      </c>
      <c r="AP28" s="68">
        <f t="array" ref="AP28">IF($D28,SUMPRODUCT((economics!$AG$2:$AG$167=$B28)*(economics!$D$2:$D$167="process")*economics!$AH$2:$AH$167*_xlfn.NORM.DIST(AP$3,economics!$AK$2:$AK$167,economics!$AJ$2:$AJ$167,TRUE)),0)</f>
        <v/>
      </c>
      <c r="AQ28" s="68">
        <f t="array" ref="AQ28">IF($D28,SUMPRODUCT((economics!$AG$2:$AG$167=$B28)*(economics!$D$2:$D$167="process")*economics!$AH$2:$AH$167*_xlfn.NORM.DIST(AQ$3,economics!$AK$2:$AK$167,economics!$AJ$2:$AJ$167,TRUE)),0)</f>
        <v/>
      </c>
      <c r="AR28" s="68">
        <f t="array" ref="AR28">IF($D28,SUMPRODUCT((economics!$AG$2:$AG$167=$B28)*(economics!$D$2:$D$167="process")*economics!$AH$2:$AH$167*_xlfn.NORM.DIST(AR$3,economics!$AK$2:$AK$167,economics!$AJ$2:$AJ$167,TRUE)),0)</f>
        <v/>
      </c>
      <c r="AS28" s="68">
        <f t="array" ref="AS28">IF($D28,SUMPRODUCT((economics!$AG$2:$AG$167=$B28)*(economics!$D$2:$D$167="process")*economics!$AH$2:$AH$167*_xlfn.NORM.DIST(AS$3,economics!$AK$2:$AK$167,economics!$AJ$2:$AJ$167,TRUE)),0)</f>
        <v/>
      </c>
      <c r="AT28" s="68">
        <f t="array" ref="AT28">IF($D28,SUMPRODUCT((economics!$AG$2:$AG$167=$B28)*(economics!$D$2:$D$167="process")*economics!$AH$2:$AH$167*_xlfn.NORM.DIST(AT$3,economics!$AK$2:$AK$167,economics!$AJ$2:$AJ$167,TRUE)),0)</f>
        <v/>
      </c>
      <c r="AU28" s="68">
        <f t="array" ref="AU28">IF($D28,SUMPRODUCT((economics!$AG$2:$AG$167=$B28)*(economics!$D$2:$D$167="process")*economics!$AH$2:$AH$167*_xlfn.NORM.DIST(AU$3,economics!$AK$2:$AK$167,economics!$AJ$2:$AJ$167,TRUE)),0)</f>
        <v/>
      </c>
      <c r="AV28" s="68">
        <f t="array" ref="AV28">IF($D28,SUMPRODUCT((economics!$AG$2:$AG$167=$B28)*(economics!$D$2:$D$167="process")*economics!$AH$2:$AH$167*_xlfn.NORM.DIST(AV$3,economics!$AK$2:$AK$167,economics!$AJ$2:$AJ$167,TRUE)),0)</f>
        <v/>
      </c>
      <c r="AW28" s="68">
        <f t="array" ref="AW28">IF($D28,SUMPRODUCT((economics!$AG$2:$AG$167=$B28)*(economics!$D$2:$D$167="process")*economics!$AH$2:$AH$167*_xlfn.NORM.DIST(AW$3,economics!$AK$2:$AK$167,economics!$AJ$2:$AJ$167,TRUE)),0)</f>
        <v/>
      </c>
      <c r="AX28" s="68">
        <f t="array" ref="AX28">IF($D28,SUMPRODUCT((economics!$AG$2:$AG$167=$B28)*(economics!$D$2:$D$167="process")*economics!$AH$2:$AH$167*_xlfn.NORM.DIST(AX$3,economics!$AK$2:$AK$167,economics!$AJ$2:$AJ$167,TRUE)),0)</f>
        <v/>
      </c>
      <c r="AY28" s="68">
        <f t="array" ref="AY28">IF($D28,SUMPRODUCT((economics!$AG$2:$AG$167=$B28)*(economics!$D$2:$D$167="process")*economics!$AH$2:$AH$167*_xlfn.NORM.DIST(AY$3,economics!$AK$2:$AK$167,economics!$AJ$2:$AJ$167,TRUE)),0)</f>
        <v/>
      </c>
      <c r="AZ28" s="68">
        <f t="array" ref="AZ28">IF($D28,SUMPRODUCT((economics!$AG$2:$AG$167=$B28)*(economics!$D$2:$D$167="process")*economics!$AH$2:$AH$167*_xlfn.NORM.DIST(AZ$3,economics!$AK$2:$AK$167,economics!$AJ$2:$AJ$167,TRUE)),0)</f>
        <v/>
      </c>
      <c r="BA28" s="68">
        <f t="array" ref="BA28">IF($D28,SUMPRODUCT((economics!$AG$2:$AG$167=$B28)*(economics!$D$2:$D$167="process")*economics!$AH$2:$AH$167*_xlfn.NORM.DIST(BA$3,economics!$AK$2:$AK$167,economics!$AJ$2:$AJ$167,TRUE)),0)</f>
        <v/>
      </c>
      <c r="BB28" s="68">
        <f t="array" ref="BB28">IF($D28,SUMPRODUCT((economics!$AG$2:$AG$167=$B28)*(economics!$D$2:$D$167="process")*economics!$AH$2:$AH$167*_xlfn.NORM.DIST(BB$3,economics!$AK$2:$AK$167,economics!$AJ$2:$AJ$167,TRUE)),0)</f>
        <v/>
      </c>
      <c r="BC28" s="68">
        <f t="array" ref="BC28">IF($D28,SUMPRODUCT((economics!$AG$2:$AG$167=$B28)*(economics!$D$2:$D$167="process")*economics!$AH$2:$AH$167*_xlfn.NORM.DIST(BC$3,economics!$AK$2:$AK$167,economics!$AJ$2:$AJ$167,TRUE)),0)</f>
        <v/>
      </c>
      <c r="BD28" s="68">
        <f t="array" ref="BD28">IF($D28,SUMPRODUCT((economics!$AG$2:$AG$167=$B28)*(economics!$D$2:$D$167="process")*economics!$AH$2:$AH$167*_xlfn.NORM.DIST(BD$3,economics!$AK$2:$AK$167,economics!$AJ$2:$AJ$167,TRUE)),0)</f>
        <v/>
      </c>
      <c r="BE28" s="68">
        <f t="array" ref="BE28">IF($D28,SUMPRODUCT((economics!$AG$2:$AG$167=$B28)*(economics!$D$2:$D$167="process")*economics!$AH$2:$AH$167*_xlfn.NORM.DIST(BE$3,economics!$AK$2:$AK$167,economics!$AJ$2:$AJ$167,TRUE)),0)</f>
        <v/>
      </c>
      <c r="BF28" s="68">
        <f t="array" ref="BF28">IF($D28,SUMPRODUCT((economics!$AG$2:$AG$167=$B28)*(economics!$D$2:$D$167="process")*economics!$AH$2:$AH$167*_xlfn.NORM.DIST(BF$3,economics!$AK$2:$AK$167,economics!$AJ$2:$AJ$167,TRUE)),0)</f>
        <v/>
      </c>
      <c r="BG28" s="68">
        <f t="array" ref="BG28">IF($D28,SUMPRODUCT((economics!$AG$2:$AG$167=$B28)*(economics!$D$2:$D$167="process")*economics!$AH$2:$AH$167*_xlfn.NORM.DIST(BG$3,economics!$AK$2:$AK$167,economics!$AJ$2:$AJ$167,TRUE)),0)</f>
        <v/>
      </c>
      <c r="BH28" s="68">
        <f t="array" ref="BH28">IF($D28,SUMPRODUCT((economics!$AG$2:$AG$167=$B28)*(economics!$D$2:$D$167="process")*economics!$AH$2:$AH$167*_xlfn.NORM.DIST(BH$3,economics!$AK$2:$AK$167,economics!$AJ$2:$AJ$167,TRUE)),0)</f>
        <v/>
      </c>
      <c r="BI28" s="68">
        <f t="array" ref="BI28">IF($D28,SUMPRODUCT((economics!$AG$2:$AG$167=$B28)*(economics!$D$2:$D$167="process")*economics!$AH$2:$AH$167*_xlfn.NORM.DIST(BI$3,economics!$AK$2:$AK$167,economics!$AJ$2:$AJ$167,TRUE)),0)</f>
        <v/>
      </c>
      <c r="BJ28" s="68">
        <f t="array" ref="BJ28">IF($D28,SUMPRODUCT((economics!$AG$2:$AG$167=$B28)*(economics!$D$2:$D$167="process")*economics!$AH$2:$AH$167*_xlfn.NORM.DIST(BJ$3,economics!$AK$2:$AK$167,economics!$AJ$2:$AJ$167,TRUE)),0)</f>
        <v/>
      </c>
      <c r="BK28" s="68">
        <f t="array" ref="BK28">IF($D28,SUMPRODUCT((economics!$AG$2:$AG$167=$B28)*(economics!$D$2:$D$167="process")*economics!$AH$2:$AH$167*_xlfn.NORM.DIST(BK$3,economics!$AK$2:$AK$167,economics!$AJ$2:$AJ$167,TRUE)),0)</f>
        <v/>
      </c>
      <c r="BL28" s="68">
        <f t="array" ref="BL28">IF($D28,SUMPRODUCT((economics!$AG$2:$AG$167=$B28)*(economics!$D$2:$D$167="process")*economics!$AH$2:$AH$167*_xlfn.NORM.DIST(BL$3,economics!$AK$2:$AK$167,economics!$AJ$2:$AJ$167,TRUE)),0)</f>
        <v/>
      </c>
      <c r="BM28" s="68">
        <f t="array" ref="BM28">IF($D28,SUMPRODUCT((economics!$AG$2:$AG$167=$B28)*(economics!$D$2:$D$167="process")*economics!$AH$2:$AH$167*_xlfn.NORM.DIST(BM$3,economics!$AK$2:$AK$167,economics!$AJ$2:$AJ$167,TRUE)),0)</f>
        <v/>
      </c>
      <c r="BN28" s="68">
        <f t="array" ref="BN28">IF($D28,SUMPRODUCT((economics!$AG$2:$AG$167=$B28)*(economics!$D$2:$D$167="process")*economics!$AH$2:$AH$167*_xlfn.NORM.DIST(BN$3,economics!$AK$2:$AK$167,economics!$AJ$2:$AJ$167,TRUE)),0)</f>
        <v/>
      </c>
      <c r="BO28" s="68">
        <f t="array" ref="BO28">IF($D28,SUMPRODUCT((economics!$AG$2:$AG$167=$B28)*(economics!$D$2:$D$167="process")*economics!$AH$2:$AH$167*_xlfn.NORM.DIST(BO$3,economics!$AK$2:$AK$167,economics!$AJ$2:$AJ$167,TRUE)),0)</f>
        <v/>
      </c>
      <c r="BP28" s="68">
        <f t="array" ref="BP28">IF($D28,SUMPRODUCT((economics!$AG$2:$AG$167=$B28)*(economics!$D$2:$D$167="process")*economics!$AH$2:$AH$167*_xlfn.NORM.DIST(BP$3,economics!$AK$2:$AK$167,economics!$AJ$2:$AJ$167,TRUE)),0)</f>
        <v/>
      </c>
      <c r="BQ28" s="68">
        <f t="array" ref="BQ28">IF($D28,SUMPRODUCT((economics!$AG$2:$AG$167=$B28)*(economics!$D$2:$D$167="process")*economics!$AH$2:$AH$167*_xlfn.NORM.DIST(BQ$3,economics!$AK$2:$AK$167,economics!$AJ$2:$AJ$167,TRUE)),0)</f>
        <v/>
      </c>
      <c r="BR28" s="68">
        <f t="array" ref="BR28">IF($D28,SUMPRODUCT((economics!$AG$2:$AG$167=$B28)*(economics!$D$2:$D$167="process")*economics!$AH$2:$AH$167*_xlfn.NORM.DIST(BR$3,economics!$AK$2:$AK$167,economics!$AJ$2:$AJ$167,TRUE)),0)</f>
        <v/>
      </c>
      <c r="BS28" s="68">
        <f t="array" ref="BS28">IF($D28,SUMPRODUCT((economics!$AG$2:$AG$167=$B28)*(economics!$D$2:$D$167="process")*economics!$AH$2:$AH$167*_xlfn.NORM.DIST(BS$3,economics!$AK$2:$AK$167,economics!$AJ$2:$AJ$167,TRUE)),0)</f>
        <v/>
      </c>
      <c r="BT28" s="68">
        <f t="array" ref="BT28">IF($D28,SUMPRODUCT((economics!$AG$2:$AG$167=$B28)*(economics!$D$2:$D$167="process")*economics!$AH$2:$AH$167*_xlfn.NORM.DIST(BT$3,economics!$AK$2:$AK$167,economics!$AJ$2:$AJ$167,TRUE)),0)</f>
        <v/>
      </c>
      <c r="BU28" s="68">
        <f t="array" ref="BU28">IF($D28,SUMPRODUCT((economics!$AG$2:$AG$167=$B28)*(economics!$D$2:$D$167="process")*economics!$AH$2:$AH$167*_xlfn.NORM.DIST(BU$3,economics!$AK$2:$AK$167,economics!$AJ$2:$AJ$167,TRUE)),0)</f>
        <v/>
      </c>
      <c r="BV28" s="68">
        <f t="array" ref="BV28">IF($D28,SUMPRODUCT((economics!$AG$2:$AG$167=$B28)*(economics!$D$2:$D$167="process")*economics!$AH$2:$AH$167*_xlfn.NORM.DIST(BV$3,economics!$AK$2:$AK$167,economics!$AJ$2:$AJ$167,TRUE)),0)</f>
        <v/>
      </c>
      <c r="BW28" s="68">
        <f t="array" ref="BW28">IF($D28,SUMPRODUCT((economics!$AG$2:$AG$167=$B28)*(economics!$D$2:$D$167="process")*economics!$AH$2:$AH$167*_xlfn.NORM.DIST(BW$3,economics!$AK$2:$AK$167,economics!$AJ$2:$AJ$167,TRUE)),0)</f>
        <v/>
      </c>
      <c r="BX28" s="68">
        <f t="array" ref="BX28">IF($D28,SUMPRODUCT((economics!$AG$2:$AG$167=$B28)*(economics!$D$2:$D$167="process")*economics!$AH$2:$AH$167*_xlfn.NORM.DIST(BX$3,economics!$AK$2:$AK$167,economics!$AJ$2:$AJ$167,TRUE)),0)</f>
        <v/>
      </c>
      <c r="BY28" s="68">
        <f t="array" ref="BY28">IF($D28,SUMPRODUCT((economics!$AG$2:$AG$167=$B28)*(economics!$D$2:$D$167="process")*economics!$AH$2:$AH$167*_xlfn.NORM.DIST(BY$3,economics!$AK$2:$AK$167,economics!$AJ$2:$AJ$167,TRUE)),0)</f>
        <v/>
      </c>
      <c r="BZ28" s="68">
        <f t="array" ref="BZ28">IF($D28,SUMPRODUCT((economics!$AG$2:$AG$167=$B28)*(economics!$D$2:$D$167="process")*economics!$AH$2:$AH$167*_xlfn.NORM.DIST(BZ$3,economics!$AK$2:$AK$167,economics!$AJ$2:$AJ$167,TRUE)),0)</f>
        <v/>
      </c>
      <c r="CA28" s="68">
        <f t="array" ref="CA28">IF($D28,SUMPRODUCT((economics!$AG$2:$AG$167=$B28)*(economics!$D$2:$D$167="process")*economics!$AH$2:$AH$167*_xlfn.NORM.DIST(CA$3,economics!$AK$2:$AK$167,economics!$AJ$2:$AJ$167,TRUE)),0)</f>
        <v/>
      </c>
      <c r="CB28" s="68">
        <f t="array" ref="CB28">IF($D28,SUMPRODUCT((economics!$AG$2:$AG$167=$B28)*(economics!$D$2:$D$167="process")*economics!$AH$2:$AH$167*_xlfn.NORM.DIST(CB$3,economics!$AK$2:$AK$167,economics!$AJ$2:$AJ$167,TRUE)),0)</f>
        <v/>
      </c>
      <c r="CC28" s="68">
        <f t="array" ref="CC28">IF($D28,SUMPRODUCT((economics!$AG$2:$AG$167=$B28)*(economics!$D$2:$D$167="process")*economics!$AH$2:$AH$167*_xlfn.NORM.DIST(CC$3,economics!$AK$2:$AK$167,economics!$AJ$2:$AJ$167,TRUE)),0)</f>
        <v/>
      </c>
      <c r="CD28" s="68">
        <f t="array" ref="CD28">IF($D28,SUMPRODUCT((economics!$AG$2:$AG$167=$B28)*(economics!$D$2:$D$167="process")*economics!$AH$2:$AH$167*_xlfn.NORM.DIST(CD$3,economics!$AK$2:$AK$167,economics!$AJ$2:$AJ$167,TRUE)),0)</f>
        <v/>
      </c>
      <c r="CE28" s="68">
        <f t="array" ref="CE28">IF($D28,SUMPRODUCT((economics!$AG$2:$AG$167=$B28)*(economics!$D$2:$D$167="process")*economics!$AH$2:$AH$167*_xlfn.NORM.DIST(CE$3,economics!$AK$2:$AK$167,economics!$AJ$2:$AJ$167,TRUE)),0)</f>
        <v/>
      </c>
      <c r="CF28" s="68">
        <f t="array" ref="CF28">IF($D28,SUMPRODUCT((economics!$AG$2:$AG$167=$B28)*(economics!$D$2:$D$167="process")*economics!$AH$2:$AH$167*_xlfn.NORM.DIST(CF$3,economics!$AK$2:$AK$167,economics!$AJ$2:$AJ$167,TRUE)),0)</f>
        <v/>
      </c>
      <c r="CG28" s="68">
        <f t="array" ref="CG28">IF($D28,SUMPRODUCT((economics!$AG$2:$AG$167=$B28)*(economics!$D$2:$D$167="process")*economics!$AH$2:$AH$167*_xlfn.NORM.DIST(CG$3,economics!$AK$2:$AK$167,economics!$AJ$2:$AJ$167,TRUE)),0)</f>
        <v/>
      </c>
      <c r="CH28" s="68">
        <f t="array" ref="CH28">IF($D28,SUMPRODUCT((economics!$AG$2:$AG$167=$B28)*(economics!$D$2:$D$167="process")*economics!$AH$2:$AH$167*_xlfn.NORM.DIST(CH$3,economics!$AK$2:$AK$167,economics!$AJ$2:$AJ$167,TRUE)),0)</f>
        <v/>
      </c>
    </row>
    <row r="30">
      <c r="A30" t="inlineStr">
        <is>
          <t>bin lower edges (helper)</t>
        </is>
      </c>
      <c r="E30" t="n">
        <v>-9999</v>
      </c>
      <c r="F30" t="n">
        <v>0</v>
      </c>
      <c r="G30" t="n">
        <v>0.25</v>
      </c>
      <c r="H30" t="n">
        <v>0.5</v>
      </c>
      <c r="I30" t="n">
        <v>0.75</v>
      </c>
      <c r="J30" t="n">
        <v>1</v>
      </c>
      <c r="K30" t="n">
        <v>1.25</v>
      </c>
      <c r="L30" t="n">
        <v>1.5</v>
      </c>
      <c r="M30" t="n">
        <v>1.75</v>
      </c>
      <c r="N30" t="n">
        <v>2</v>
      </c>
      <c r="O30" t="n">
        <v>2.25</v>
      </c>
      <c r="P30" t="n">
        <v>2.5</v>
      </c>
      <c r="Q30" t="n">
        <v>2.75</v>
      </c>
      <c r="R30" t="n">
        <v>3</v>
      </c>
      <c r="S30" t="n">
        <v>3.25</v>
      </c>
      <c r="T30" t="n">
        <v>3.5</v>
      </c>
      <c r="U30" t="n">
        <v>3.75</v>
      </c>
      <c r="V30" t="n">
        <v>4</v>
      </c>
      <c r="W30" t="n">
        <v>4.25</v>
      </c>
      <c r="X30" t="n">
        <v>4.5</v>
      </c>
      <c r="Y30" t="n">
        <v>4.75</v>
      </c>
      <c r="Z30" t="n">
        <v>5</v>
      </c>
      <c r="AA30" t="n">
        <v>5.25</v>
      </c>
      <c r="AB30" t="n">
        <v>5.5</v>
      </c>
      <c r="AC30" t="n">
        <v>5.75</v>
      </c>
      <c r="AD30" t="n">
        <v>6</v>
      </c>
      <c r="AE30" t="n">
        <v>6.25</v>
      </c>
      <c r="AF30" t="n">
        <v>6.5</v>
      </c>
      <c r="AG30" t="n">
        <v>6.75</v>
      </c>
      <c r="AH30" t="n">
        <v>7</v>
      </c>
      <c r="AI30" t="n">
        <v>7.25</v>
      </c>
      <c r="AJ30" t="n">
        <v>7.5</v>
      </c>
      <c r="AK30" t="n">
        <v>7.75</v>
      </c>
      <c r="AL30" t="n">
        <v>8</v>
      </c>
      <c r="AM30" t="n">
        <v>8.25</v>
      </c>
      <c r="AN30" t="n">
        <v>8.5</v>
      </c>
      <c r="AO30" t="n">
        <v>8.75</v>
      </c>
      <c r="AP30" t="n">
        <v>9</v>
      </c>
      <c r="AQ30" t="n">
        <v>9.25</v>
      </c>
      <c r="AR30" t="n">
        <v>9.5</v>
      </c>
      <c r="AS30" t="n">
        <v>9.75</v>
      </c>
      <c r="AT30" t="n">
        <v>10</v>
      </c>
      <c r="AU30" t="n">
        <v>10.25</v>
      </c>
      <c r="AV30" t="n">
        <v>10.5</v>
      </c>
      <c r="AW30" t="n">
        <v>10.75</v>
      </c>
      <c r="AX30" t="n">
        <v>11</v>
      </c>
      <c r="AY30" t="n">
        <v>11.25</v>
      </c>
      <c r="AZ30" t="n">
        <v>11.5</v>
      </c>
      <c r="BA30" t="n">
        <v>11.75</v>
      </c>
      <c r="BB30" t="n">
        <v>12</v>
      </c>
      <c r="BC30" t="n">
        <v>12.25</v>
      </c>
      <c r="BD30" t="n">
        <v>12.5</v>
      </c>
      <c r="BE30" t="n">
        <v>12.75</v>
      </c>
      <c r="BF30" t="n">
        <v>13</v>
      </c>
      <c r="BG30" t="n">
        <v>13.25</v>
      </c>
      <c r="BH30" t="n">
        <v>13.5</v>
      </c>
      <c r="BI30" t="n">
        <v>13.75</v>
      </c>
      <c r="BJ30" t="n">
        <v>14</v>
      </c>
      <c r="BK30" t="n">
        <v>14.25</v>
      </c>
      <c r="BL30" t="n">
        <v>14.5</v>
      </c>
      <c r="BM30" t="n">
        <v>14.75</v>
      </c>
      <c r="BN30" t="n">
        <v>15</v>
      </c>
      <c r="BO30" t="n">
        <v>15.25</v>
      </c>
      <c r="BP30" t="n">
        <v>15.5</v>
      </c>
      <c r="BQ30" t="n">
        <v>15.75</v>
      </c>
      <c r="BR30" t="n">
        <v>16</v>
      </c>
      <c r="BS30" t="n">
        <v>16.25</v>
      </c>
      <c r="BT30" t="n">
        <v>16.5</v>
      </c>
      <c r="BU30" t="n">
        <v>16.75</v>
      </c>
      <c r="BV30" t="n">
        <v>17</v>
      </c>
      <c r="BW30" t="n">
        <v>17.25</v>
      </c>
      <c r="BX30" t="n">
        <v>17.5</v>
      </c>
      <c r="BY30" t="n">
        <v>17.75</v>
      </c>
      <c r="BZ30" t="n">
        <v>18</v>
      </c>
      <c r="CA30" t="n">
        <v>18.25</v>
      </c>
      <c r="CB30" t="n">
        <v>18.5</v>
      </c>
      <c r="CC30" t="n">
        <v>18.75</v>
      </c>
      <c r="CD30" t="n">
        <v>19</v>
      </c>
      <c r="CE30" t="n">
        <v>19.25</v>
      </c>
      <c r="CF30" t="n">
        <v>19.5</v>
      </c>
      <c r="CG30" t="n">
        <v>19.75</v>
      </c>
      <c r="CH30" t="n">
        <v>20</v>
      </c>
    </row>
    <row r="31">
      <c r="A31" s="1" t="inlineStr">
        <is>
          <t>Per-bin capital intensity (2012$ per MMBtu/yr of savings capacity) — savings-weighted</t>
        </is>
      </c>
    </row>
    <row r="33">
      <c r="A33">
        <f>A4</f>
        <v/>
      </c>
      <c r="B33">
        <f>B4</f>
        <v/>
      </c>
      <c r="E33">
        <f t="array" ref="E33">IFERROR((SUMPRODUCT((economics!$AG$2:$AG$167=$B33)*(economics!$D$2:$D$167="process")*economics!$AH$2:$AH$167*(_xlfn.NORM.DIST(E$3,economics!$AK$2:$AK$167,economics!$AJ$2:$AJ$167,TRUE)-_xlfn.NORM.DIST(E$30,economics!$AK$2:$AK$167,economics!$AJ$2:$AJ$167,TRUE))*economics!$AM$2:$AM$167))/(SUMPRODUCT((economics!$AG$2:$AG$167=$B33)*(economics!$D$2:$D$167="process")*economics!$AH$2:$AH$167*(_xlfn.NORM.DIST(E$3,economics!$AK$2:$AK$167,economics!$AJ$2:$AJ$167,TRUE)-_xlfn.NORM.DIST(E$30,economics!$AK$2:$AK$167,economics!$AJ$2:$AJ$167,TRUE)))),"")</f>
        <v/>
      </c>
      <c r="F33">
        <f t="array" ref="F33">IFERROR((SUMPRODUCT((economics!$AG$2:$AG$167=$B33)*(economics!$D$2:$D$167="process")*economics!$AH$2:$AH$167*(_xlfn.NORM.DIST(F$3,economics!$AK$2:$AK$167,economics!$AJ$2:$AJ$167,TRUE)-_xlfn.NORM.DIST(F$30,economics!$AK$2:$AK$167,economics!$AJ$2:$AJ$167,TRUE))*economics!$AM$2:$AM$167))/(SUMPRODUCT((economics!$AG$2:$AG$167=$B33)*(economics!$D$2:$D$167="process")*economics!$AH$2:$AH$167*(_xlfn.NORM.DIST(F$3,economics!$AK$2:$AK$167,economics!$AJ$2:$AJ$167,TRUE)-_xlfn.NORM.DIST(F$30,economics!$AK$2:$AK$167,economics!$AJ$2:$AJ$167,TRUE)))),"")</f>
        <v/>
      </c>
      <c r="G33">
        <f t="array" ref="G33">IFERROR((SUMPRODUCT((economics!$AG$2:$AG$167=$B33)*(economics!$D$2:$D$167="process")*economics!$AH$2:$AH$167*(_xlfn.NORM.DIST(G$3,economics!$AK$2:$AK$167,economics!$AJ$2:$AJ$167,TRUE)-_xlfn.NORM.DIST(G$30,economics!$AK$2:$AK$167,economics!$AJ$2:$AJ$167,TRUE))*economics!$AM$2:$AM$167))/(SUMPRODUCT((economics!$AG$2:$AG$167=$B33)*(economics!$D$2:$D$167="process")*economics!$AH$2:$AH$167*(_xlfn.NORM.DIST(G$3,economics!$AK$2:$AK$167,economics!$AJ$2:$AJ$167,TRUE)-_xlfn.NORM.DIST(G$30,economics!$AK$2:$AK$167,economics!$AJ$2:$AJ$167,TRUE)))),"")</f>
        <v/>
      </c>
      <c r="H33">
        <f t="array" ref="H33">IFERROR((SUMPRODUCT((economics!$AG$2:$AG$167=$B33)*(economics!$D$2:$D$167="process")*economics!$AH$2:$AH$167*(_xlfn.NORM.DIST(H$3,economics!$AK$2:$AK$167,economics!$AJ$2:$AJ$167,TRUE)-_xlfn.NORM.DIST(H$30,economics!$AK$2:$AK$167,economics!$AJ$2:$AJ$167,TRUE))*economics!$AM$2:$AM$167))/(SUMPRODUCT((economics!$AG$2:$AG$167=$B33)*(economics!$D$2:$D$167="process")*economics!$AH$2:$AH$167*(_xlfn.NORM.DIST(H$3,economics!$AK$2:$AK$167,economics!$AJ$2:$AJ$167,TRUE)-_xlfn.NORM.DIST(H$30,economics!$AK$2:$AK$167,economics!$AJ$2:$AJ$167,TRUE)))),"")</f>
        <v/>
      </c>
      <c r="I33">
        <f t="array" ref="I33">IFERROR((SUMPRODUCT((economics!$AG$2:$AG$167=$B33)*(economics!$D$2:$D$167="process")*economics!$AH$2:$AH$167*(_xlfn.NORM.DIST(I$3,economics!$AK$2:$AK$167,economics!$AJ$2:$AJ$167,TRUE)-_xlfn.NORM.DIST(I$30,economics!$AK$2:$AK$167,economics!$AJ$2:$AJ$167,TRUE))*economics!$AM$2:$AM$167))/(SUMPRODUCT((economics!$AG$2:$AG$167=$B33)*(economics!$D$2:$D$167="process")*economics!$AH$2:$AH$167*(_xlfn.NORM.DIST(I$3,economics!$AK$2:$AK$167,economics!$AJ$2:$AJ$167,TRUE)-_xlfn.NORM.DIST(I$30,economics!$AK$2:$AK$167,economics!$AJ$2:$AJ$167,TRUE)))),"")</f>
        <v/>
      </c>
      <c r="J33">
        <f t="array" ref="J33">IFERROR((SUMPRODUCT((economics!$AG$2:$AG$167=$B33)*(economics!$D$2:$D$167="process")*economics!$AH$2:$AH$167*(_xlfn.NORM.DIST(J$3,economics!$AK$2:$AK$167,economics!$AJ$2:$AJ$167,TRUE)-_xlfn.NORM.DIST(J$30,economics!$AK$2:$AK$167,economics!$AJ$2:$AJ$167,TRUE))*economics!$AM$2:$AM$167))/(SUMPRODUCT((economics!$AG$2:$AG$167=$B33)*(economics!$D$2:$D$167="process")*economics!$AH$2:$AH$167*(_xlfn.NORM.DIST(J$3,economics!$AK$2:$AK$167,economics!$AJ$2:$AJ$167,TRUE)-_xlfn.NORM.DIST(J$30,economics!$AK$2:$AK$167,economics!$AJ$2:$AJ$167,TRUE)))),"")</f>
        <v/>
      </c>
      <c r="K33">
        <f t="array" ref="K33">IFERROR((SUMPRODUCT((economics!$AG$2:$AG$167=$B33)*(economics!$D$2:$D$167="process")*economics!$AH$2:$AH$167*(_xlfn.NORM.DIST(K$3,economics!$AK$2:$AK$167,economics!$AJ$2:$AJ$167,TRUE)-_xlfn.NORM.DIST(K$30,economics!$AK$2:$AK$167,economics!$AJ$2:$AJ$167,TRUE))*economics!$AM$2:$AM$167))/(SUMPRODUCT((economics!$AG$2:$AG$167=$B33)*(economics!$D$2:$D$167="process")*economics!$AH$2:$AH$167*(_xlfn.NORM.DIST(K$3,economics!$AK$2:$AK$167,economics!$AJ$2:$AJ$167,TRUE)-_xlfn.NORM.DIST(K$30,economics!$AK$2:$AK$167,economics!$AJ$2:$AJ$167,TRUE)))),"")</f>
        <v/>
      </c>
      <c r="L33">
        <f t="array" ref="L33">IFERROR((SUMPRODUCT((economics!$AG$2:$AG$167=$B33)*(economics!$D$2:$D$167="process")*economics!$AH$2:$AH$167*(_xlfn.NORM.DIST(L$3,economics!$AK$2:$AK$167,economics!$AJ$2:$AJ$167,TRUE)-_xlfn.NORM.DIST(L$30,economics!$AK$2:$AK$167,economics!$AJ$2:$AJ$167,TRUE))*economics!$AM$2:$AM$167))/(SUMPRODUCT((economics!$AG$2:$AG$167=$B33)*(economics!$D$2:$D$167="process")*economics!$AH$2:$AH$167*(_xlfn.NORM.DIST(L$3,economics!$AK$2:$AK$167,economics!$AJ$2:$AJ$167,TRUE)-_xlfn.NORM.DIST(L$30,economics!$AK$2:$AK$167,economics!$AJ$2:$AJ$167,TRUE)))),"")</f>
        <v/>
      </c>
      <c r="M33">
        <f t="array" ref="M33">IFERROR((SUMPRODUCT((economics!$AG$2:$AG$167=$B33)*(economics!$D$2:$D$167="process")*economics!$AH$2:$AH$167*(_xlfn.NORM.DIST(M$3,economics!$AK$2:$AK$167,economics!$AJ$2:$AJ$167,TRUE)-_xlfn.NORM.DIST(M$30,economics!$AK$2:$AK$167,economics!$AJ$2:$AJ$167,TRUE))*economics!$AM$2:$AM$167))/(SUMPRODUCT((economics!$AG$2:$AG$167=$B33)*(economics!$D$2:$D$167="process")*economics!$AH$2:$AH$167*(_xlfn.NORM.DIST(M$3,economics!$AK$2:$AK$167,economics!$AJ$2:$AJ$167,TRUE)-_xlfn.NORM.DIST(M$30,economics!$AK$2:$AK$167,economics!$AJ$2:$AJ$167,TRUE)))),"")</f>
        <v/>
      </c>
      <c r="N33">
        <f t="array" ref="N33">IFERROR((SUMPRODUCT((economics!$AG$2:$AG$167=$B33)*(economics!$D$2:$D$167="process")*economics!$AH$2:$AH$167*(_xlfn.NORM.DIST(N$3,economics!$AK$2:$AK$167,economics!$AJ$2:$AJ$167,TRUE)-_xlfn.NORM.DIST(N$30,economics!$AK$2:$AK$167,economics!$AJ$2:$AJ$167,TRUE))*economics!$AM$2:$AM$167))/(SUMPRODUCT((economics!$AG$2:$AG$167=$B33)*(economics!$D$2:$D$167="process")*economics!$AH$2:$AH$167*(_xlfn.NORM.DIST(N$3,economics!$AK$2:$AK$167,economics!$AJ$2:$AJ$167,TRUE)-_xlfn.NORM.DIST(N$30,economics!$AK$2:$AK$167,economics!$AJ$2:$AJ$167,TRUE)))),"")</f>
        <v/>
      </c>
      <c r="O33">
        <f t="array" ref="O33">IFERROR((SUMPRODUCT((economics!$AG$2:$AG$167=$B33)*(economics!$D$2:$D$167="process")*economics!$AH$2:$AH$167*(_xlfn.NORM.DIST(O$3,economics!$AK$2:$AK$167,economics!$AJ$2:$AJ$167,TRUE)-_xlfn.NORM.DIST(O$30,economics!$AK$2:$AK$167,economics!$AJ$2:$AJ$167,TRUE))*economics!$AM$2:$AM$167))/(SUMPRODUCT((economics!$AG$2:$AG$167=$B33)*(economics!$D$2:$D$167="process")*economics!$AH$2:$AH$167*(_xlfn.NORM.DIST(O$3,economics!$AK$2:$AK$167,economics!$AJ$2:$AJ$167,TRUE)-_xlfn.NORM.DIST(O$30,economics!$AK$2:$AK$167,economics!$AJ$2:$AJ$167,TRUE)))),"")</f>
        <v/>
      </c>
      <c r="P33">
        <f t="array" ref="P33">IFERROR((SUMPRODUCT((economics!$AG$2:$AG$167=$B33)*(economics!$D$2:$D$167="process")*economics!$AH$2:$AH$167*(_xlfn.NORM.DIST(P$3,economics!$AK$2:$AK$167,economics!$AJ$2:$AJ$167,TRUE)-_xlfn.NORM.DIST(P$30,economics!$AK$2:$AK$167,economics!$AJ$2:$AJ$167,TRUE))*economics!$AM$2:$AM$167))/(SUMPRODUCT((economics!$AG$2:$AG$167=$B33)*(economics!$D$2:$D$167="process")*economics!$AH$2:$AH$167*(_xlfn.NORM.DIST(P$3,economics!$AK$2:$AK$167,economics!$AJ$2:$AJ$167,TRUE)-_xlfn.NORM.DIST(P$30,economics!$AK$2:$AK$167,economics!$AJ$2:$AJ$167,TRUE)))),"")</f>
        <v/>
      </c>
      <c r="Q33">
        <f t="array" ref="Q33">IFERROR((SUMPRODUCT((economics!$AG$2:$AG$167=$B33)*(economics!$D$2:$D$167="process")*economics!$AH$2:$AH$167*(_xlfn.NORM.DIST(Q$3,economics!$AK$2:$AK$167,economics!$AJ$2:$AJ$167,TRUE)-_xlfn.NORM.DIST(Q$30,economics!$AK$2:$AK$167,economics!$AJ$2:$AJ$167,TRUE))*economics!$AM$2:$AM$167))/(SUMPRODUCT((economics!$AG$2:$AG$167=$B33)*(economics!$D$2:$D$167="process")*economics!$AH$2:$AH$167*(_xlfn.NORM.DIST(Q$3,economics!$AK$2:$AK$167,economics!$AJ$2:$AJ$167,TRUE)-_xlfn.NORM.DIST(Q$30,economics!$AK$2:$AK$167,economics!$AJ$2:$AJ$167,TRUE)))),"")</f>
        <v/>
      </c>
      <c r="R33">
        <f t="array" ref="R33">IFERROR((SUMPRODUCT((economics!$AG$2:$AG$167=$B33)*(economics!$D$2:$D$167="process")*economics!$AH$2:$AH$167*(_xlfn.NORM.DIST(R$3,economics!$AK$2:$AK$167,economics!$AJ$2:$AJ$167,TRUE)-_xlfn.NORM.DIST(R$30,economics!$AK$2:$AK$167,economics!$AJ$2:$AJ$167,TRUE))*economics!$AM$2:$AM$167))/(SUMPRODUCT((economics!$AG$2:$AG$167=$B33)*(economics!$D$2:$D$167="process")*economics!$AH$2:$AH$167*(_xlfn.NORM.DIST(R$3,economics!$AK$2:$AK$167,economics!$AJ$2:$AJ$167,TRUE)-_xlfn.NORM.DIST(R$30,economics!$AK$2:$AK$167,economics!$AJ$2:$AJ$167,TRUE)))),"")</f>
        <v/>
      </c>
      <c r="S33">
        <f t="array" ref="S33">IFERROR((SUMPRODUCT((economics!$AG$2:$AG$167=$B33)*(economics!$D$2:$D$167="process")*economics!$AH$2:$AH$167*(_xlfn.NORM.DIST(S$3,economics!$AK$2:$AK$167,economics!$AJ$2:$AJ$167,TRUE)-_xlfn.NORM.DIST(S$30,economics!$AK$2:$AK$167,economics!$AJ$2:$AJ$167,TRUE))*economics!$AM$2:$AM$167))/(SUMPRODUCT((economics!$AG$2:$AG$167=$B33)*(economics!$D$2:$D$167="process")*economics!$AH$2:$AH$167*(_xlfn.NORM.DIST(S$3,economics!$AK$2:$AK$167,economics!$AJ$2:$AJ$167,TRUE)-_xlfn.NORM.DIST(S$30,economics!$AK$2:$AK$167,economics!$AJ$2:$AJ$167,TRUE)))),"")</f>
        <v/>
      </c>
      <c r="T33">
        <f t="array" ref="T33">IFERROR((SUMPRODUCT((economics!$AG$2:$AG$167=$B33)*(economics!$D$2:$D$167="process")*economics!$AH$2:$AH$167*(_xlfn.NORM.DIST(T$3,economics!$AK$2:$AK$167,economics!$AJ$2:$AJ$167,TRUE)-_xlfn.NORM.DIST(T$30,economics!$AK$2:$AK$167,economics!$AJ$2:$AJ$167,TRUE))*economics!$AM$2:$AM$167))/(SUMPRODUCT((economics!$AG$2:$AG$167=$B33)*(economics!$D$2:$D$167="process")*economics!$AH$2:$AH$167*(_xlfn.NORM.DIST(T$3,economics!$AK$2:$AK$167,economics!$AJ$2:$AJ$167,TRUE)-_xlfn.NORM.DIST(T$30,economics!$AK$2:$AK$167,economics!$AJ$2:$AJ$167,TRUE)))),"")</f>
        <v/>
      </c>
      <c r="U33">
        <f t="array" ref="U33">IFERROR((SUMPRODUCT((economics!$AG$2:$AG$167=$B33)*(economics!$D$2:$D$167="process")*economics!$AH$2:$AH$167*(_xlfn.NORM.DIST(U$3,economics!$AK$2:$AK$167,economics!$AJ$2:$AJ$167,TRUE)-_xlfn.NORM.DIST(U$30,economics!$AK$2:$AK$167,economics!$AJ$2:$AJ$167,TRUE))*economics!$AM$2:$AM$167))/(SUMPRODUCT((economics!$AG$2:$AG$167=$B33)*(economics!$D$2:$D$167="process")*economics!$AH$2:$AH$167*(_xlfn.NORM.DIST(U$3,economics!$AK$2:$AK$167,economics!$AJ$2:$AJ$167,TRUE)-_xlfn.NORM.DIST(U$30,economics!$AK$2:$AK$167,economics!$AJ$2:$AJ$167,TRUE)))),"")</f>
        <v/>
      </c>
      <c r="V33">
        <f t="array" ref="V33">IFERROR((SUMPRODUCT((economics!$AG$2:$AG$167=$B33)*(economics!$D$2:$D$167="process")*economics!$AH$2:$AH$167*(_xlfn.NORM.DIST(V$3,economics!$AK$2:$AK$167,economics!$AJ$2:$AJ$167,TRUE)-_xlfn.NORM.DIST(V$30,economics!$AK$2:$AK$167,economics!$AJ$2:$AJ$167,TRUE))*economics!$AM$2:$AM$167))/(SUMPRODUCT((economics!$AG$2:$AG$167=$B33)*(economics!$D$2:$D$167="process")*economics!$AH$2:$AH$167*(_xlfn.NORM.DIST(V$3,economics!$AK$2:$AK$167,economics!$AJ$2:$AJ$167,TRUE)-_xlfn.NORM.DIST(V$30,economics!$AK$2:$AK$167,economics!$AJ$2:$AJ$167,TRUE)))),"")</f>
        <v/>
      </c>
      <c r="W33">
        <f t="array" ref="W33">IFERROR((SUMPRODUCT((economics!$AG$2:$AG$167=$B33)*(economics!$D$2:$D$167="process")*economics!$AH$2:$AH$167*(_xlfn.NORM.DIST(W$3,economics!$AK$2:$AK$167,economics!$AJ$2:$AJ$167,TRUE)-_xlfn.NORM.DIST(W$30,economics!$AK$2:$AK$167,economics!$AJ$2:$AJ$167,TRUE))*economics!$AM$2:$AM$167))/(SUMPRODUCT((economics!$AG$2:$AG$167=$B33)*(economics!$D$2:$D$167="process")*economics!$AH$2:$AH$167*(_xlfn.NORM.DIST(W$3,economics!$AK$2:$AK$167,economics!$AJ$2:$AJ$167,TRUE)-_xlfn.NORM.DIST(W$30,economics!$AK$2:$AK$167,economics!$AJ$2:$AJ$167,TRUE)))),"")</f>
        <v/>
      </c>
      <c r="X33">
        <f t="array" ref="X33">IFERROR((SUMPRODUCT((economics!$AG$2:$AG$167=$B33)*(economics!$D$2:$D$167="process")*economics!$AH$2:$AH$167*(_xlfn.NORM.DIST(X$3,economics!$AK$2:$AK$167,economics!$AJ$2:$AJ$167,TRUE)-_xlfn.NORM.DIST(X$30,economics!$AK$2:$AK$167,economics!$AJ$2:$AJ$167,TRUE))*economics!$AM$2:$AM$167))/(SUMPRODUCT((economics!$AG$2:$AG$167=$B33)*(economics!$D$2:$D$167="process")*economics!$AH$2:$AH$167*(_xlfn.NORM.DIST(X$3,economics!$AK$2:$AK$167,economics!$AJ$2:$AJ$167,TRUE)-_xlfn.NORM.DIST(X$30,economics!$AK$2:$AK$167,economics!$AJ$2:$AJ$167,TRUE)))),"")</f>
        <v/>
      </c>
      <c r="Y33">
        <f t="array" ref="Y33">IFERROR((SUMPRODUCT((economics!$AG$2:$AG$167=$B33)*(economics!$D$2:$D$167="process")*economics!$AH$2:$AH$167*(_xlfn.NORM.DIST(Y$3,economics!$AK$2:$AK$167,economics!$AJ$2:$AJ$167,TRUE)-_xlfn.NORM.DIST(Y$30,economics!$AK$2:$AK$167,economics!$AJ$2:$AJ$167,TRUE))*economics!$AM$2:$AM$167))/(SUMPRODUCT((economics!$AG$2:$AG$167=$B33)*(economics!$D$2:$D$167="process")*economics!$AH$2:$AH$167*(_xlfn.NORM.DIST(Y$3,economics!$AK$2:$AK$167,economics!$AJ$2:$AJ$167,TRUE)-_xlfn.NORM.DIST(Y$30,economics!$AK$2:$AK$167,economics!$AJ$2:$AJ$167,TRUE)))),"")</f>
        <v/>
      </c>
      <c r="Z33">
        <f t="array" ref="Z33">IFERROR((SUMPRODUCT((economics!$AG$2:$AG$167=$B33)*(economics!$D$2:$D$167="process")*economics!$AH$2:$AH$167*(_xlfn.NORM.DIST(Z$3,economics!$AK$2:$AK$167,economics!$AJ$2:$AJ$167,TRUE)-_xlfn.NORM.DIST(Z$30,economics!$AK$2:$AK$167,economics!$AJ$2:$AJ$167,TRUE))*economics!$AM$2:$AM$167))/(SUMPRODUCT((economics!$AG$2:$AG$167=$B33)*(economics!$D$2:$D$167="process")*economics!$AH$2:$AH$167*(_xlfn.NORM.DIST(Z$3,economics!$AK$2:$AK$167,economics!$AJ$2:$AJ$167,TRUE)-_xlfn.NORM.DIST(Z$30,economics!$AK$2:$AK$167,economics!$AJ$2:$AJ$167,TRUE)))),"")</f>
        <v/>
      </c>
      <c r="AA33">
        <f t="array" ref="AA33">IFERROR((SUMPRODUCT((economics!$AG$2:$AG$167=$B33)*(economics!$D$2:$D$167="process")*economics!$AH$2:$AH$167*(_xlfn.NORM.DIST(AA$3,economics!$AK$2:$AK$167,economics!$AJ$2:$AJ$167,TRUE)-_xlfn.NORM.DIST(AA$30,economics!$AK$2:$AK$167,economics!$AJ$2:$AJ$167,TRUE))*economics!$AM$2:$AM$167))/(SUMPRODUCT((economics!$AG$2:$AG$167=$B33)*(economics!$D$2:$D$167="process")*economics!$AH$2:$AH$167*(_xlfn.NORM.DIST(AA$3,economics!$AK$2:$AK$167,economics!$AJ$2:$AJ$167,TRUE)-_xlfn.NORM.DIST(AA$30,economics!$AK$2:$AK$167,economics!$AJ$2:$AJ$167,TRUE)))),"")</f>
        <v/>
      </c>
      <c r="AB33">
        <f t="array" ref="AB33">IFERROR((SUMPRODUCT((economics!$AG$2:$AG$167=$B33)*(economics!$D$2:$D$167="process")*economics!$AH$2:$AH$167*(_xlfn.NORM.DIST(AB$3,economics!$AK$2:$AK$167,economics!$AJ$2:$AJ$167,TRUE)-_xlfn.NORM.DIST(AB$30,economics!$AK$2:$AK$167,economics!$AJ$2:$AJ$167,TRUE))*economics!$AM$2:$AM$167))/(SUMPRODUCT((economics!$AG$2:$AG$167=$B33)*(economics!$D$2:$D$167="process")*economics!$AH$2:$AH$167*(_xlfn.NORM.DIST(AB$3,economics!$AK$2:$AK$167,economics!$AJ$2:$AJ$167,TRUE)-_xlfn.NORM.DIST(AB$30,economics!$AK$2:$AK$167,economics!$AJ$2:$AJ$167,TRUE)))),"")</f>
        <v/>
      </c>
      <c r="AC33">
        <f t="array" ref="AC33">IFERROR((SUMPRODUCT((economics!$AG$2:$AG$167=$B33)*(economics!$D$2:$D$167="process")*economics!$AH$2:$AH$167*(_xlfn.NORM.DIST(AC$3,economics!$AK$2:$AK$167,economics!$AJ$2:$AJ$167,TRUE)-_xlfn.NORM.DIST(AC$30,economics!$AK$2:$AK$167,economics!$AJ$2:$AJ$167,TRUE))*economics!$AM$2:$AM$167))/(SUMPRODUCT((economics!$AG$2:$AG$167=$B33)*(economics!$D$2:$D$167="process")*economics!$AH$2:$AH$167*(_xlfn.NORM.DIST(AC$3,economics!$AK$2:$AK$167,economics!$AJ$2:$AJ$167,TRUE)-_xlfn.NORM.DIST(AC$30,economics!$AK$2:$AK$167,economics!$AJ$2:$AJ$167,TRUE)))),"")</f>
        <v/>
      </c>
      <c r="AD33">
        <f t="array" ref="AD33">IFERROR((SUMPRODUCT((economics!$AG$2:$AG$167=$B33)*(economics!$D$2:$D$167="process")*economics!$AH$2:$AH$167*(_xlfn.NORM.DIST(AD$3,economics!$AK$2:$AK$167,economics!$AJ$2:$AJ$167,TRUE)-_xlfn.NORM.DIST(AD$30,economics!$AK$2:$AK$167,economics!$AJ$2:$AJ$167,TRUE))*economics!$AM$2:$AM$167))/(SUMPRODUCT((economics!$AG$2:$AG$167=$B33)*(economics!$D$2:$D$167="process")*economics!$AH$2:$AH$167*(_xlfn.NORM.DIST(AD$3,economics!$AK$2:$AK$167,economics!$AJ$2:$AJ$167,TRUE)-_xlfn.NORM.DIST(AD$30,economics!$AK$2:$AK$167,economics!$AJ$2:$AJ$167,TRUE)))),"")</f>
        <v/>
      </c>
      <c r="AE33">
        <f t="array" ref="AE33">IFERROR((SUMPRODUCT((economics!$AG$2:$AG$167=$B33)*(economics!$D$2:$D$167="process")*economics!$AH$2:$AH$167*(_xlfn.NORM.DIST(AE$3,economics!$AK$2:$AK$167,economics!$AJ$2:$AJ$167,TRUE)-_xlfn.NORM.DIST(AE$30,economics!$AK$2:$AK$167,economics!$AJ$2:$AJ$167,TRUE))*economics!$AM$2:$AM$167))/(SUMPRODUCT((economics!$AG$2:$AG$167=$B33)*(economics!$D$2:$D$167="process")*economics!$AH$2:$AH$167*(_xlfn.NORM.DIST(AE$3,economics!$AK$2:$AK$167,economics!$AJ$2:$AJ$167,TRUE)-_xlfn.NORM.DIST(AE$30,economics!$AK$2:$AK$167,economics!$AJ$2:$AJ$167,TRUE)))),"")</f>
        <v/>
      </c>
      <c r="AF33">
        <f t="array" ref="AF33">IFERROR((SUMPRODUCT((economics!$AG$2:$AG$167=$B33)*(economics!$D$2:$D$167="process")*economics!$AH$2:$AH$167*(_xlfn.NORM.DIST(AF$3,economics!$AK$2:$AK$167,economics!$AJ$2:$AJ$167,TRUE)-_xlfn.NORM.DIST(AF$30,economics!$AK$2:$AK$167,economics!$AJ$2:$AJ$167,TRUE))*economics!$AM$2:$AM$167))/(SUMPRODUCT((economics!$AG$2:$AG$167=$B33)*(economics!$D$2:$D$167="process")*economics!$AH$2:$AH$167*(_xlfn.NORM.DIST(AF$3,economics!$AK$2:$AK$167,economics!$AJ$2:$AJ$167,TRUE)-_xlfn.NORM.DIST(AF$30,economics!$AK$2:$AK$167,economics!$AJ$2:$AJ$167,TRUE)))),"")</f>
        <v/>
      </c>
      <c r="AG33">
        <f t="array" ref="AG33">IFERROR((SUMPRODUCT((economics!$AG$2:$AG$167=$B33)*(economics!$D$2:$D$167="process")*economics!$AH$2:$AH$167*(_xlfn.NORM.DIST(AG$3,economics!$AK$2:$AK$167,economics!$AJ$2:$AJ$167,TRUE)-_xlfn.NORM.DIST(AG$30,economics!$AK$2:$AK$167,economics!$AJ$2:$AJ$167,TRUE))*economics!$AM$2:$AM$167))/(SUMPRODUCT((economics!$AG$2:$AG$167=$B33)*(economics!$D$2:$D$167="process")*economics!$AH$2:$AH$167*(_xlfn.NORM.DIST(AG$3,economics!$AK$2:$AK$167,economics!$AJ$2:$AJ$167,TRUE)-_xlfn.NORM.DIST(AG$30,economics!$AK$2:$AK$167,economics!$AJ$2:$AJ$167,TRUE)))),"")</f>
        <v/>
      </c>
      <c r="AH33">
        <f t="array" ref="AH33">IFERROR((SUMPRODUCT((economics!$AG$2:$AG$167=$B33)*(economics!$D$2:$D$167="process")*economics!$AH$2:$AH$167*(_xlfn.NORM.DIST(AH$3,economics!$AK$2:$AK$167,economics!$AJ$2:$AJ$167,TRUE)-_xlfn.NORM.DIST(AH$30,economics!$AK$2:$AK$167,economics!$AJ$2:$AJ$167,TRUE))*economics!$AM$2:$AM$167))/(SUMPRODUCT((economics!$AG$2:$AG$167=$B33)*(economics!$D$2:$D$167="process")*economics!$AH$2:$AH$167*(_xlfn.NORM.DIST(AH$3,economics!$AK$2:$AK$167,economics!$AJ$2:$AJ$167,TRUE)-_xlfn.NORM.DIST(AH$30,economics!$AK$2:$AK$167,economics!$AJ$2:$AJ$167,TRUE)))),"")</f>
        <v/>
      </c>
      <c r="AI33">
        <f t="array" ref="AI33">IFERROR((SUMPRODUCT((economics!$AG$2:$AG$167=$B33)*(economics!$D$2:$D$167="process")*economics!$AH$2:$AH$167*(_xlfn.NORM.DIST(AI$3,economics!$AK$2:$AK$167,economics!$AJ$2:$AJ$167,TRUE)-_xlfn.NORM.DIST(AI$30,economics!$AK$2:$AK$167,economics!$AJ$2:$AJ$167,TRUE))*economics!$AM$2:$AM$167))/(SUMPRODUCT((economics!$AG$2:$AG$167=$B33)*(economics!$D$2:$D$167="process")*economics!$AH$2:$AH$167*(_xlfn.NORM.DIST(AI$3,economics!$AK$2:$AK$167,economics!$AJ$2:$AJ$167,TRUE)-_xlfn.NORM.DIST(AI$30,economics!$AK$2:$AK$167,economics!$AJ$2:$AJ$167,TRUE)))),"")</f>
        <v/>
      </c>
      <c r="AJ33">
        <f t="array" ref="AJ33">IFERROR((SUMPRODUCT((economics!$AG$2:$AG$167=$B33)*(economics!$D$2:$D$167="process")*economics!$AH$2:$AH$167*(_xlfn.NORM.DIST(AJ$3,economics!$AK$2:$AK$167,economics!$AJ$2:$AJ$167,TRUE)-_xlfn.NORM.DIST(AJ$30,economics!$AK$2:$AK$167,economics!$AJ$2:$AJ$167,TRUE))*economics!$AM$2:$AM$167))/(SUMPRODUCT((economics!$AG$2:$AG$167=$B33)*(economics!$D$2:$D$167="process")*economics!$AH$2:$AH$167*(_xlfn.NORM.DIST(AJ$3,economics!$AK$2:$AK$167,economics!$AJ$2:$AJ$167,TRUE)-_xlfn.NORM.DIST(AJ$30,economics!$AK$2:$AK$167,economics!$AJ$2:$AJ$167,TRUE)))),"")</f>
        <v/>
      </c>
      <c r="AK33">
        <f t="array" ref="AK33">IFERROR((SUMPRODUCT((economics!$AG$2:$AG$167=$B33)*(economics!$D$2:$D$167="process")*economics!$AH$2:$AH$167*(_xlfn.NORM.DIST(AK$3,economics!$AK$2:$AK$167,economics!$AJ$2:$AJ$167,TRUE)-_xlfn.NORM.DIST(AK$30,economics!$AK$2:$AK$167,economics!$AJ$2:$AJ$167,TRUE))*economics!$AM$2:$AM$167))/(SUMPRODUCT((economics!$AG$2:$AG$167=$B33)*(economics!$D$2:$D$167="process")*economics!$AH$2:$AH$167*(_xlfn.NORM.DIST(AK$3,economics!$AK$2:$AK$167,economics!$AJ$2:$AJ$167,TRUE)-_xlfn.NORM.DIST(AK$30,economics!$AK$2:$AK$167,economics!$AJ$2:$AJ$167,TRUE)))),"")</f>
        <v/>
      </c>
      <c r="AL33">
        <f t="array" ref="AL33">IFERROR((SUMPRODUCT((economics!$AG$2:$AG$167=$B33)*(economics!$D$2:$D$167="process")*economics!$AH$2:$AH$167*(_xlfn.NORM.DIST(AL$3,economics!$AK$2:$AK$167,economics!$AJ$2:$AJ$167,TRUE)-_xlfn.NORM.DIST(AL$30,economics!$AK$2:$AK$167,economics!$AJ$2:$AJ$167,TRUE))*economics!$AM$2:$AM$167))/(SUMPRODUCT((economics!$AG$2:$AG$167=$B33)*(economics!$D$2:$D$167="process")*economics!$AH$2:$AH$167*(_xlfn.NORM.DIST(AL$3,economics!$AK$2:$AK$167,economics!$AJ$2:$AJ$167,TRUE)-_xlfn.NORM.DIST(AL$30,economics!$AK$2:$AK$167,economics!$AJ$2:$AJ$167,TRUE)))),"")</f>
        <v/>
      </c>
      <c r="AM33">
        <f t="array" ref="AM33">IFERROR((SUMPRODUCT((economics!$AG$2:$AG$167=$B33)*(economics!$D$2:$D$167="process")*economics!$AH$2:$AH$167*(_xlfn.NORM.DIST(AM$3,economics!$AK$2:$AK$167,economics!$AJ$2:$AJ$167,TRUE)-_xlfn.NORM.DIST(AM$30,economics!$AK$2:$AK$167,economics!$AJ$2:$AJ$167,TRUE))*economics!$AM$2:$AM$167))/(SUMPRODUCT((economics!$AG$2:$AG$167=$B33)*(economics!$D$2:$D$167="process")*economics!$AH$2:$AH$167*(_xlfn.NORM.DIST(AM$3,economics!$AK$2:$AK$167,economics!$AJ$2:$AJ$167,TRUE)-_xlfn.NORM.DIST(AM$30,economics!$AK$2:$AK$167,economics!$AJ$2:$AJ$167,TRUE)))),"")</f>
        <v/>
      </c>
      <c r="AN33">
        <f t="array" ref="AN33">IFERROR((SUMPRODUCT((economics!$AG$2:$AG$167=$B33)*(economics!$D$2:$D$167="process")*economics!$AH$2:$AH$167*(_xlfn.NORM.DIST(AN$3,economics!$AK$2:$AK$167,economics!$AJ$2:$AJ$167,TRUE)-_xlfn.NORM.DIST(AN$30,economics!$AK$2:$AK$167,economics!$AJ$2:$AJ$167,TRUE))*economics!$AM$2:$AM$167))/(SUMPRODUCT((economics!$AG$2:$AG$167=$B33)*(economics!$D$2:$D$167="process")*economics!$AH$2:$AH$167*(_xlfn.NORM.DIST(AN$3,economics!$AK$2:$AK$167,economics!$AJ$2:$AJ$167,TRUE)-_xlfn.NORM.DIST(AN$30,economics!$AK$2:$AK$167,economics!$AJ$2:$AJ$167,TRUE)))),"")</f>
        <v/>
      </c>
      <c r="AO33">
        <f t="array" ref="AO33">IFERROR((SUMPRODUCT((economics!$AG$2:$AG$167=$B33)*(economics!$D$2:$D$167="process")*economics!$AH$2:$AH$167*(_xlfn.NORM.DIST(AO$3,economics!$AK$2:$AK$167,economics!$AJ$2:$AJ$167,TRUE)-_xlfn.NORM.DIST(AO$30,economics!$AK$2:$AK$167,economics!$AJ$2:$AJ$167,TRUE))*economics!$AM$2:$AM$167))/(SUMPRODUCT((economics!$AG$2:$AG$167=$B33)*(economics!$D$2:$D$167="process")*economics!$AH$2:$AH$167*(_xlfn.NORM.DIST(AO$3,economics!$AK$2:$AK$167,economics!$AJ$2:$AJ$167,TRUE)-_xlfn.NORM.DIST(AO$30,economics!$AK$2:$AK$167,economics!$AJ$2:$AJ$167,TRUE)))),"")</f>
        <v/>
      </c>
      <c r="AP33">
        <f t="array" ref="AP33">IFERROR((SUMPRODUCT((economics!$AG$2:$AG$167=$B33)*(economics!$D$2:$D$167="process")*economics!$AH$2:$AH$167*(_xlfn.NORM.DIST(AP$3,economics!$AK$2:$AK$167,economics!$AJ$2:$AJ$167,TRUE)-_xlfn.NORM.DIST(AP$30,economics!$AK$2:$AK$167,economics!$AJ$2:$AJ$167,TRUE))*economics!$AM$2:$AM$167))/(SUMPRODUCT((economics!$AG$2:$AG$167=$B33)*(economics!$D$2:$D$167="process")*economics!$AH$2:$AH$167*(_xlfn.NORM.DIST(AP$3,economics!$AK$2:$AK$167,economics!$AJ$2:$AJ$167,TRUE)-_xlfn.NORM.DIST(AP$30,economics!$AK$2:$AK$167,economics!$AJ$2:$AJ$167,TRUE)))),"")</f>
        <v/>
      </c>
      <c r="AQ33">
        <f t="array" ref="AQ33">IFERROR((SUMPRODUCT((economics!$AG$2:$AG$167=$B33)*(economics!$D$2:$D$167="process")*economics!$AH$2:$AH$167*(_xlfn.NORM.DIST(AQ$3,economics!$AK$2:$AK$167,economics!$AJ$2:$AJ$167,TRUE)-_xlfn.NORM.DIST(AQ$30,economics!$AK$2:$AK$167,economics!$AJ$2:$AJ$167,TRUE))*economics!$AM$2:$AM$167))/(SUMPRODUCT((economics!$AG$2:$AG$167=$B33)*(economics!$D$2:$D$167="process")*economics!$AH$2:$AH$167*(_xlfn.NORM.DIST(AQ$3,economics!$AK$2:$AK$167,economics!$AJ$2:$AJ$167,TRUE)-_xlfn.NORM.DIST(AQ$30,economics!$AK$2:$AK$167,economics!$AJ$2:$AJ$167,TRUE)))),"")</f>
        <v/>
      </c>
      <c r="AR33">
        <f t="array" ref="AR33">IFERROR((SUMPRODUCT((economics!$AG$2:$AG$167=$B33)*(economics!$D$2:$D$167="process")*economics!$AH$2:$AH$167*(_xlfn.NORM.DIST(AR$3,economics!$AK$2:$AK$167,economics!$AJ$2:$AJ$167,TRUE)-_xlfn.NORM.DIST(AR$30,economics!$AK$2:$AK$167,economics!$AJ$2:$AJ$167,TRUE))*economics!$AM$2:$AM$167))/(SUMPRODUCT((economics!$AG$2:$AG$167=$B33)*(economics!$D$2:$D$167="process")*economics!$AH$2:$AH$167*(_xlfn.NORM.DIST(AR$3,economics!$AK$2:$AK$167,economics!$AJ$2:$AJ$167,TRUE)-_xlfn.NORM.DIST(AR$30,economics!$AK$2:$AK$167,economics!$AJ$2:$AJ$167,TRUE)))),"")</f>
        <v/>
      </c>
      <c r="AS33">
        <f t="array" ref="AS33">IFERROR((SUMPRODUCT((economics!$AG$2:$AG$167=$B33)*(economics!$D$2:$D$167="process")*economics!$AH$2:$AH$167*(_xlfn.NORM.DIST(AS$3,economics!$AK$2:$AK$167,economics!$AJ$2:$AJ$167,TRUE)-_xlfn.NORM.DIST(AS$30,economics!$AK$2:$AK$167,economics!$AJ$2:$AJ$167,TRUE))*economics!$AM$2:$AM$167))/(SUMPRODUCT((economics!$AG$2:$AG$167=$B33)*(economics!$D$2:$D$167="process")*economics!$AH$2:$AH$167*(_xlfn.NORM.DIST(AS$3,economics!$AK$2:$AK$167,economics!$AJ$2:$AJ$167,TRUE)-_xlfn.NORM.DIST(AS$30,economics!$AK$2:$AK$167,economics!$AJ$2:$AJ$167,TRUE)))),"")</f>
        <v/>
      </c>
      <c r="AT33">
        <f t="array" ref="AT33">IFERROR((SUMPRODUCT((economics!$AG$2:$AG$167=$B33)*(economics!$D$2:$D$167="process")*economics!$AH$2:$AH$167*(_xlfn.NORM.DIST(AT$3,economics!$AK$2:$AK$167,economics!$AJ$2:$AJ$167,TRUE)-_xlfn.NORM.DIST(AT$30,economics!$AK$2:$AK$167,economics!$AJ$2:$AJ$167,TRUE))*economics!$AM$2:$AM$167))/(SUMPRODUCT((economics!$AG$2:$AG$167=$B33)*(economics!$D$2:$D$167="process")*economics!$AH$2:$AH$167*(_xlfn.NORM.DIST(AT$3,economics!$AK$2:$AK$167,economics!$AJ$2:$AJ$167,TRUE)-_xlfn.NORM.DIST(AT$30,economics!$AK$2:$AK$167,economics!$AJ$2:$AJ$167,TRUE)))),"")</f>
        <v/>
      </c>
      <c r="AU33">
        <f t="array" ref="AU33">IFERROR((SUMPRODUCT((economics!$AG$2:$AG$167=$B33)*(economics!$D$2:$D$167="process")*economics!$AH$2:$AH$167*(_xlfn.NORM.DIST(AU$3,economics!$AK$2:$AK$167,economics!$AJ$2:$AJ$167,TRUE)-_xlfn.NORM.DIST(AU$30,economics!$AK$2:$AK$167,economics!$AJ$2:$AJ$167,TRUE))*economics!$AM$2:$AM$167))/(SUMPRODUCT((economics!$AG$2:$AG$167=$B33)*(economics!$D$2:$D$167="process")*economics!$AH$2:$AH$167*(_xlfn.NORM.DIST(AU$3,economics!$AK$2:$AK$167,economics!$AJ$2:$AJ$167,TRUE)-_xlfn.NORM.DIST(AU$30,economics!$AK$2:$AK$167,economics!$AJ$2:$AJ$167,TRUE)))),"")</f>
        <v/>
      </c>
      <c r="AV33">
        <f t="array" ref="AV33">IFERROR((SUMPRODUCT((economics!$AG$2:$AG$167=$B33)*(economics!$D$2:$D$167="process")*economics!$AH$2:$AH$167*(_xlfn.NORM.DIST(AV$3,economics!$AK$2:$AK$167,economics!$AJ$2:$AJ$167,TRUE)-_xlfn.NORM.DIST(AV$30,economics!$AK$2:$AK$167,economics!$AJ$2:$AJ$167,TRUE))*economics!$AM$2:$AM$167))/(SUMPRODUCT((economics!$AG$2:$AG$167=$B33)*(economics!$D$2:$D$167="process")*economics!$AH$2:$AH$167*(_xlfn.NORM.DIST(AV$3,economics!$AK$2:$AK$167,economics!$AJ$2:$AJ$167,TRUE)-_xlfn.NORM.DIST(AV$30,economics!$AK$2:$AK$167,economics!$AJ$2:$AJ$167,TRUE)))),"")</f>
        <v/>
      </c>
      <c r="AW33">
        <f t="array" ref="AW33">IFERROR((SUMPRODUCT((economics!$AG$2:$AG$167=$B33)*(economics!$D$2:$D$167="process")*economics!$AH$2:$AH$167*(_xlfn.NORM.DIST(AW$3,economics!$AK$2:$AK$167,economics!$AJ$2:$AJ$167,TRUE)-_xlfn.NORM.DIST(AW$30,economics!$AK$2:$AK$167,economics!$AJ$2:$AJ$167,TRUE))*economics!$AM$2:$AM$167))/(SUMPRODUCT((economics!$AG$2:$AG$167=$B33)*(economics!$D$2:$D$167="process")*economics!$AH$2:$AH$167*(_xlfn.NORM.DIST(AW$3,economics!$AK$2:$AK$167,economics!$AJ$2:$AJ$167,TRUE)-_xlfn.NORM.DIST(AW$30,economics!$AK$2:$AK$167,economics!$AJ$2:$AJ$167,TRUE)))),"")</f>
        <v/>
      </c>
      <c r="AX33">
        <f t="array" ref="AX33">IFERROR((SUMPRODUCT((economics!$AG$2:$AG$167=$B33)*(economics!$D$2:$D$167="process")*economics!$AH$2:$AH$167*(_xlfn.NORM.DIST(AX$3,economics!$AK$2:$AK$167,economics!$AJ$2:$AJ$167,TRUE)-_xlfn.NORM.DIST(AX$30,economics!$AK$2:$AK$167,economics!$AJ$2:$AJ$167,TRUE))*economics!$AM$2:$AM$167))/(SUMPRODUCT((economics!$AG$2:$AG$167=$B33)*(economics!$D$2:$D$167="process")*economics!$AH$2:$AH$167*(_xlfn.NORM.DIST(AX$3,economics!$AK$2:$AK$167,economics!$AJ$2:$AJ$167,TRUE)-_xlfn.NORM.DIST(AX$30,economics!$AK$2:$AK$167,economics!$AJ$2:$AJ$167,TRUE)))),"")</f>
        <v/>
      </c>
      <c r="AY33">
        <f t="array" ref="AY33">IFERROR((SUMPRODUCT((economics!$AG$2:$AG$167=$B33)*(economics!$D$2:$D$167="process")*economics!$AH$2:$AH$167*(_xlfn.NORM.DIST(AY$3,economics!$AK$2:$AK$167,economics!$AJ$2:$AJ$167,TRUE)-_xlfn.NORM.DIST(AY$30,economics!$AK$2:$AK$167,economics!$AJ$2:$AJ$167,TRUE))*economics!$AM$2:$AM$167))/(SUMPRODUCT((economics!$AG$2:$AG$167=$B33)*(economics!$D$2:$D$167="process")*economics!$AH$2:$AH$167*(_xlfn.NORM.DIST(AY$3,economics!$AK$2:$AK$167,economics!$AJ$2:$AJ$167,TRUE)-_xlfn.NORM.DIST(AY$30,economics!$AK$2:$AK$167,economics!$AJ$2:$AJ$167,TRUE)))),"")</f>
        <v/>
      </c>
      <c r="AZ33">
        <f t="array" ref="AZ33">IFERROR((SUMPRODUCT((economics!$AG$2:$AG$167=$B33)*(economics!$D$2:$D$167="process")*economics!$AH$2:$AH$167*(_xlfn.NORM.DIST(AZ$3,economics!$AK$2:$AK$167,economics!$AJ$2:$AJ$167,TRUE)-_xlfn.NORM.DIST(AZ$30,economics!$AK$2:$AK$167,economics!$AJ$2:$AJ$167,TRUE))*economics!$AM$2:$AM$167))/(SUMPRODUCT((economics!$AG$2:$AG$167=$B33)*(economics!$D$2:$D$167="process")*economics!$AH$2:$AH$167*(_xlfn.NORM.DIST(AZ$3,economics!$AK$2:$AK$167,economics!$AJ$2:$AJ$167,TRUE)-_xlfn.NORM.DIST(AZ$30,economics!$AK$2:$AK$167,economics!$AJ$2:$AJ$167,TRUE)))),"")</f>
        <v/>
      </c>
      <c r="BA33">
        <f t="array" ref="BA33">IFERROR((SUMPRODUCT((economics!$AG$2:$AG$167=$B33)*(economics!$D$2:$D$167="process")*economics!$AH$2:$AH$167*(_xlfn.NORM.DIST(BA$3,economics!$AK$2:$AK$167,economics!$AJ$2:$AJ$167,TRUE)-_xlfn.NORM.DIST(BA$30,economics!$AK$2:$AK$167,economics!$AJ$2:$AJ$167,TRUE))*economics!$AM$2:$AM$167))/(SUMPRODUCT((economics!$AG$2:$AG$167=$B33)*(economics!$D$2:$D$167="process")*economics!$AH$2:$AH$167*(_xlfn.NORM.DIST(BA$3,economics!$AK$2:$AK$167,economics!$AJ$2:$AJ$167,TRUE)-_xlfn.NORM.DIST(BA$30,economics!$AK$2:$AK$167,economics!$AJ$2:$AJ$167,TRUE)))),"")</f>
        <v/>
      </c>
      <c r="BB33">
        <f t="array" ref="BB33">IFERROR((SUMPRODUCT((economics!$AG$2:$AG$167=$B33)*(economics!$D$2:$D$167="process")*economics!$AH$2:$AH$167*(_xlfn.NORM.DIST(BB$3,economics!$AK$2:$AK$167,economics!$AJ$2:$AJ$167,TRUE)-_xlfn.NORM.DIST(BB$30,economics!$AK$2:$AK$167,economics!$AJ$2:$AJ$167,TRUE))*economics!$AM$2:$AM$167))/(SUMPRODUCT((economics!$AG$2:$AG$167=$B33)*(economics!$D$2:$D$167="process")*economics!$AH$2:$AH$167*(_xlfn.NORM.DIST(BB$3,economics!$AK$2:$AK$167,economics!$AJ$2:$AJ$167,TRUE)-_xlfn.NORM.DIST(BB$30,economics!$AK$2:$AK$167,economics!$AJ$2:$AJ$167,TRUE)))),"")</f>
        <v/>
      </c>
      <c r="BC33">
        <f t="array" ref="BC33">IFERROR((SUMPRODUCT((economics!$AG$2:$AG$167=$B33)*(economics!$D$2:$D$167="process")*economics!$AH$2:$AH$167*(_xlfn.NORM.DIST(BC$3,economics!$AK$2:$AK$167,economics!$AJ$2:$AJ$167,TRUE)-_xlfn.NORM.DIST(BC$30,economics!$AK$2:$AK$167,economics!$AJ$2:$AJ$167,TRUE))*economics!$AM$2:$AM$167))/(SUMPRODUCT((economics!$AG$2:$AG$167=$B33)*(economics!$D$2:$D$167="process")*economics!$AH$2:$AH$167*(_xlfn.NORM.DIST(BC$3,economics!$AK$2:$AK$167,economics!$AJ$2:$AJ$167,TRUE)-_xlfn.NORM.DIST(BC$30,economics!$AK$2:$AK$167,economics!$AJ$2:$AJ$167,TRUE)))),"")</f>
        <v/>
      </c>
      <c r="BD33">
        <f t="array" ref="BD33">IFERROR((SUMPRODUCT((economics!$AG$2:$AG$167=$B33)*(economics!$D$2:$D$167="process")*economics!$AH$2:$AH$167*(_xlfn.NORM.DIST(BD$3,economics!$AK$2:$AK$167,economics!$AJ$2:$AJ$167,TRUE)-_xlfn.NORM.DIST(BD$30,economics!$AK$2:$AK$167,economics!$AJ$2:$AJ$167,TRUE))*economics!$AM$2:$AM$167))/(SUMPRODUCT((economics!$AG$2:$AG$167=$B33)*(economics!$D$2:$D$167="process")*economics!$AH$2:$AH$167*(_xlfn.NORM.DIST(BD$3,economics!$AK$2:$AK$167,economics!$AJ$2:$AJ$167,TRUE)-_xlfn.NORM.DIST(BD$30,economics!$AK$2:$AK$167,economics!$AJ$2:$AJ$167,TRUE)))),"")</f>
        <v/>
      </c>
      <c r="BE33">
        <f t="array" ref="BE33">IFERROR((SUMPRODUCT((economics!$AG$2:$AG$167=$B33)*(economics!$D$2:$D$167="process")*economics!$AH$2:$AH$167*(_xlfn.NORM.DIST(BE$3,economics!$AK$2:$AK$167,economics!$AJ$2:$AJ$167,TRUE)-_xlfn.NORM.DIST(BE$30,economics!$AK$2:$AK$167,economics!$AJ$2:$AJ$167,TRUE))*economics!$AM$2:$AM$167))/(SUMPRODUCT((economics!$AG$2:$AG$167=$B33)*(economics!$D$2:$D$167="process")*economics!$AH$2:$AH$167*(_xlfn.NORM.DIST(BE$3,economics!$AK$2:$AK$167,economics!$AJ$2:$AJ$167,TRUE)-_xlfn.NORM.DIST(BE$30,economics!$AK$2:$AK$167,economics!$AJ$2:$AJ$167,TRUE)))),"")</f>
        <v/>
      </c>
      <c r="BF33">
        <f t="array" ref="BF33">IFERROR((SUMPRODUCT((economics!$AG$2:$AG$167=$B33)*(economics!$D$2:$D$167="process")*economics!$AH$2:$AH$167*(_xlfn.NORM.DIST(BF$3,economics!$AK$2:$AK$167,economics!$AJ$2:$AJ$167,TRUE)-_xlfn.NORM.DIST(BF$30,economics!$AK$2:$AK$167,economics!$AJ$2:$AJ$167,TRUE))*economics!$AM$2:$AM$167))/(SUMPRODUCT((economics!$AG$2:$AG$167=$B33)*(economics!$D$2:$D$167="process")*economics!$AH$2:$AH$167*(_xlfn.NORM.DIST(BF$3,economics!$AK$2:$AK$167,economics!$AJ$2:$AJ$167,TRUE)-_xlfn.NORM.DIST(BF$30,economics!$AK$2:$AK$167,economics!$AJ$2:$AJ$167,TRUE)))),"")</f>
        <v/>
      </c>
      <c r="BG33">
        <f t="array" ref="BG33">IFERROR((SUMPRODUCT((economics!$AG$2:$AG$167=$B33)*(economics!$D$2:$D$167="process")*economics!$AH$2:$AH$167*(_xlfn.NORM.DIST(BG$3,economics!$AK$2:$AK$167,economics!$AJ$2:$AJ$167,TRUE)-_xlfn.NORM.DIST(BG$30,economics!$AK$2:$AK$167,economics!$AJ$2:$AJ$167,TRUE))*economics!$AM$2:$AM$167))/(SUMPRODUCT((economics!$AG$2:$AG$167=$B33)*(economics!$D$2:$D$167="process")*economics!$AH$2:$AH$167*(_xlfn.NORM.DIST(BG$3,economics!$AK$2:$AK$167,economics!$AJ$2:$AJ$167,TRUE)-_xlfn.NORM.DIST(BG$30,economics!$AK$2:$AK$167,economics!$AJ$2:$AJ$167,TRUE)))),"")</f>
        <v/>
      </c>
      <c r="BH33">
        <f t="array" ref="BH33">IFERROR((SUMPRODUCT((economics!$AG$2:$AG$167=$B33)*(economics!$D$2:$D$167="process")*economics!$AH$2:$AH$167*(_xlfn.NORM.DIST(BH$3,economics!$AK$2:$AK$167,economics!$AJ$2:$AJ$167,TRUE)-_xlfn.NORM.DIST(BH$30,economics!$AK$2:$AK$167,economics!$AJ$2:$AJ$167,TRUE))*economics!$AM$2:$AM$167))/(SUMPRODUCT((economics!$AG$2:$AG$167=$B33)*(economics!$D$2:$D$167="process")*economics!$AH$2:$AH$167*(_xlfn.NORM.DIST(BH$3,economics!$AK$2:$AK$167,economics!$AJ$2:$AJ$167,TRUE)-_xlfn.NORM.DIST(BH$30,economics!$AK$2:$AK$167,economics!$AJ$2:$AJ$167,TRUE)))),"")</f>
        <v/>
      </c>
      <c r="BI33">
        <f t="array" ref="BI33">IFERROR((SUMPRODUCT((economics!$AG$2:$AG$167=$B33)*(economics!$D$2:$D$167="process")*economics!$AH$2:$AH$167*(_xlfn.NORM.DIST(BI$3,economics!$AK$2:$AK$167,economics!$AJ$2:$AJ$167,TRUE)-_xlfn.NORM.DIST(BI$30,economics!$AK$2:$AK$167,economics!$AJ$2:$AJ$167,TRUE))*economics!$AM$2:$AM$167))/(SUMPRODUCT((economics!$AG$2:$AG$167=$B33)*(economics!$D$2:$D$167="process")*economics!$AH$2:$AH$167*(_xlfn.NORM.DIST(BI$3,economics!$AK$2:$AK$167,economics!$AJ$2:$AJ$167,TRUE)-_xlfn.NORM.DIST(BI$30,economics!$AK$2:$AK$167,economics!$AJ$2:$AJ$167,TRUE)))),"")</f>
        <v/>
      </c>
      <c r="BJ33">
        <f t="array" ref="BJ33">IFERROR((SUMPRODUCT((economics!$AG$2:$AG$167=$B33)*(economics!$D$2:$D$167="process")*economics!$AH$2:$AH$167*(_xlfn.NORM.DIST(BJ$3,economics!$AK$2:$AK$167,economics!$AJ$2:$AJ$167,TRUE)-_xlfn.NORM.DIST(BJ$30,economics!$AK$2:$AK$167,economics!$AJ$2:$AJ$167,TRUE))*economics!$AM$2:$AM$167))/(SUMPRODUCT((economics!$AG$2:$AG$167=$B33)*(economics!$D$2:$D$167="process")*economics!$AH$2:$AH$167*(_xlfn.NORM.DIST(BJ$3,economics!$AK$2:$AK$167,economics!$AJ$2:$AJ$167,TRUE)-_xlfn.NORM.DIST(BJ$30,economics!$AK$2:$AK$167,economics!$AJ$2:$AJ$167,TRUE)))),"")</f>
        <v/>
      </c>
      <c r="BK33">
        <f t="array" ref="BK33">IFERROR((SUMPRODUCT((economics!$AG$2:$AG$167=$B33)*(economics!$D$2:$D$167="process")*economics!$AH$2:$AH$167*(_xlfn.NORM.DIST(BK$3,economics!$AK$2:$AK$167,economics!$AJ$2:$AJ$167,TRUE)-_xlfn.NORM.DIST(BK$30,economics!$AK$2:$AK$167,economics!$AJ$2:$AJ$167,TRUE))*economics!$AM$2:$AM$167))/(SUMPRODUCT((economics!$AG$2:$AG$167=$B33)*(economics!$D$2:$D$167="process")*economics!$AH$2:$AH$167*(_xlfn.NORM.DIST(BK$3,economics!$AK$2:$AK$167,economics!$AJ$2:$AJ$167,TRUE)-_xlfn.NORM.DIST(BK$30,economics!$AK$2:$AK$167,economics!$AJ$2:$AJ$167,TRUE)))),"")</f>
        <v/>
      </c>
      <c r="BL33">
        <f t="array" ref="BL33">IFERROR((SUMPRODUCT((economics!$AG$2:$AG$167=$B33)*(economics!$D$2:$D$167="process")*economics!$AH$2:$AH$167*(_xlfn.NORM.DIST(BL$3,economics!$AK$2:$AK$167,economics!$AJ$2:$AJ$167,TRUE)-_xlfn.NORM.DIST(BL$30,economics!$AK$2:$AK$167,economics!$AJ$2:$AJ$167,TRUE))*economics!$AM$2:$AM$167))/(SUMPRODUCT((economics!$AG$2:$AG$167=$B33)*(economics!$D$2:$D$167="process")*economics!$AH$2:$AH$167*(_xlfn.NORM.DIST(BL$3,economics!$AK$2:$AK$167,economics!$AJ$2:$AJ$167,TRUE)-_xlfn.NORM.DIST(BL$30,economics!$AK$2:$AK$167,economics!$AJ$2:$AJ$167,TRUE)))),"")</f>
        <v/>
      </c>
      <c r="BM33">
        <f t="array" ref="BM33">IFERROR((SUMPRODUCT((economics!$AG$2:$AG$167=$B33)*(economics!$D$2:$D$167="process")*economics!$AH$2:$AH$167*(_xlfn.NORM.DIST(BM$3,economics!$AK$2:$AK$167,economics!$AJ$2:$AJ$167,TRUE)-_xlfn.NORM.DIST(BM$30,economics!$AK$2:$AK$167,economics!$AJ$2:$AJ$167,TRUE))*economics!$AM$2:$AM$167))/(SUMPRODUCT((economics!$AG$2:$AG$167=$B33)*(economics!$D$2:$D$167="process")*economics!$AH$2:$AH$167*(_xlfn.NORM.DIST(BM$3,economics!$AK$2:$AK$167,economics!$AJ$2:$AJ$167,TRUE)-_xlfn.NORM.DIST(BM$30,economics!$AK$2:$AK$167,economics!$AJ$2:$AJ$167,TRUE)))),"")</f>
        <v/>
      </c>
      <c r="BN33">
        <f t="array" ref="BN33">IFERROR((SUMPRODUCT((economics!$AG$2:$AG$167=$B33)*(economics!$D$2:$D$167="process")*economics!$AH$2:$AH$167*(_xlfn.NORM.DIST(BN$3,economics!$AK$2:$AK$167,economics!$AJ$2:$AJ$167,TRUE)-_xlfn.NORM.DIST(BN$30,economics!$AK$2:$AK$167,economics!$AJ$2:$AJ$167,TRUE))*economics!$AM$2:$AM$167))/(SUMPRODUCT((economics!$AG$2:$AG$167=$B33)*(economics!$D$2:$D$167="process")*economics!$AH$2:$AH$167*(_xlfn.NORM.DIST(BN$3,economics!$AK$2:$AK$167,economics!$AJ$2:$AJ$167,TRUE)-_xlfn.NORM.DIST(BN$30,economics!$AK$2:$AK$167,economics!$AJ$2:$AJ$167,TRUE)))),"")</f>
        <v/>
      </c>
      <c r="BO33">
        <f t="array" ref="BO33">IFERROR((SUMPRODUCT((economics!$AG$2:$AG$167=$B33)*(economics!$D$2:$D$167="process")*economics!$AH$2:$AH$167*(_xlfn.NORM.DIST(BO$3,economics!$AK$2:$AK$167,economics!$AJ$2:$AJ$167,TRUE)-_xlfn.NORM.DIST(BO$30,economics!$AK$2:$AK$167,economics!$AJ$2:$AJ$167,TRUE))*economics!$AM$2:$AM$167))/(SUMPRODUCT((economics!$AG$2:$AG$167=$B33)*(economics!$D$2:$D$167="process")*economics!$AH$2:$AH$167*(_xlfn.NORM.DIST(BO$3,economics!$AK$2:$AK$167,economics!$AJ$2:$AJ$167,TRUE)-_xlfn.NORM.DIST(BO$30,economics!$AK$2:$AK$167,economics!$AJ$2:$AJ$167,TRUE)))),"")</f>
        <v/>
      </c>
      <c r="BP33">
        <f t="array" ref="BP33">IFERROR((SUMPRODUCT((economics!$AG$2:$AG$167=$B33)*(economics!$D$2:$D$167="process")*economics!$AH$2:$AH$167*(_xlfn.NORM.DIST(BP$3,economics!$AK$2:$AK$167,economics!$AJ$2:$AJ$167,TRUE)-_xlfn.NORM.DIST(BP$30,economics!$AK$2:$AK$167,economics!$AJ$2:$AJ$167,TRUE))*economics!$AM$2:$AM$167))/(SUMPRODUCT((economics!$AG$2:$AG$167=$B33)*(economics!$D$2:$D$167="process")*economics!$AH$2:$AH$167*(_xlfn.NORM.DIST(BP$3,economics!$AK$2:$AK$167,economics!$AJ$2:$AJ$167,TRUE)-_xlfn.NORM.DIST(BP$30,economics!$AK$2:$AK$167,economics!$AJ$2:$AJ$167,TRUE)))),"")</f>
        <v/>
      </c>
      <c r="BQ33">
        <f t="array" ref="BQ33">IFERROR((SUMPRODUCT((economics!$AG$2:$AG$167=$B33)*(economics!$D$2:$D$167="process")*economics!$AH$2:$AH$167*(_xlfn.NORM.DIST(BQ$3,economics!$AK$2:$AK$167,economics!$AJ$2:$AJ$167,TRUE)-_xlfn.NORM.DIST(BQ$30,economics!$AK$2:$AK$167,economics!$AJ$2:$AJ$167,TRUE))*economics!$AM$2:$AM$167))/(SUMPRODUCT((economics!$AG$2:$AG$167=$B33)*(economics!$D$2:$D$167="process")*economics!$AH$2:$AH$167*(_xlfn.NORM.DIST(BQ$3,economics!$AK$2:$AK$167,economics!$AJ$2:$AJ$167,TRUE)-_xlfn.NORM.DIST(BQ$30,economics!$AK$2:$AK$167,economics!$AJ$2:$AJ$167,TRUE)))),"")</f>
        <v/>
      </c>
      <c r="BR33">
        <f t="array" ref="BR33">IFERROR((SUMPRODUCT((economics!$AG$2:$AG$167=$B33)*(economics!$D$2:$D$167="process")*economics!$AH$2:$AH$167*(_xlfn.NORM.DIST(BR$3,economics!$AK$2:$AK$167,economics!$AJ$2:$AJ$167,TRUE)-_xlfn.NORM.DIST(BR$30,economics!$AK$2:$AK$167,economics!$AJ$2:$AJ$167,TRUE))*economics!$AM$2:$AM$167))/(SUMPRODUCT((economics!$AG$2:$AG$167=$B33)*(economics!$D$2:$D$167="process")*economics!$AH$2:$AH$167*(_xlfn.NORM.DIST(BR$3,economics!$AK$2:$AK$167,economics!$AJ$2:$AJ$167,TRUE)-_xlfn.NORM.DIST(BR$30,economics!$AK$2:$AK$167,economics!$AJ$2:$AJ$167,TRUE)))),"")</f>
        <v/>
      </c>
      <c r="BS33">
        <f t="array" ref="BS33">IFERROR((SUMPRODUCT((economics!$AG$2:$AG$167=$B33)*(economics!$D$2:$D$167="process")*economics!$AH$2:$AH$167*(_xlfn.NORM.DIST(BS$3,economics!$AK$2:$AK$167,economics!$AJ$2:$AJ$167,TRUE)-_xlfn.NORM.DIST(BS$30,economics!$AK$2:$AK$167,economics!$AJ$2:$AJ$167,TRUE))*economics!$AM$2:$AM$167))/(SUMPRODUCT((economics!$AG$2:$AG$167=$B33)*(economics!$D$2:$D$167="process")*economics!$AH$2:$AH$167*(_xlfn.NORM.DIST(BS$3,economics!$AK$2:$AK$167,economics!$AJ$2:$AJ$167,TRUE)-_xlfn.NORM.DIST(BS$30,economics!$AK$2:$AK$167,economics!$AJ$2:$AJ$167,TRUE)))),"")</f>
        <v/>
      </c>
      <c r="BT33">
        <f t="array" ref="BT33">IFERROR((SUMPRODUCT((economics!$AG$2:$AG$167=$B33)*(economics!$D$2:$D$167="process")*economics!$AH$2:$AH$167*(_xlfn.NORM.DIST(BT$3,economics!$AK$2:$AK$167,economics!$AJ$2:$AJ$167,TRUE)-_xlfn.NORM.DIST(BT$30,economics!$AK$2:$AK$167,economics!$AJ$2:$AJ$167,TRUE))*economics!$AM$2:$AM$167))/(SUMPRODUCT((economics!$AG$2:$AG$167=$B33)*(economics!$D$2:$D$167="process")*economics!$AH$2:$AH$167*(_xlfn.NORM.DIST(BT$3,economics!$AK$2:$AK$167,economics!$AJ$2:$AJ$167,TRUE)-_xlfn.NORM.DIST(BT$30,economics!$AK$2:$AK$167,economics!$AJ$2:$AJ$167,TRUE)))),"")</f>
        <v/>
      </c>
      <c r="BU33">
        <f t="array" ref="BU33">IFERROR((SUMPRODUCT((economics!$AG$2:$AG$167=$B33)*(economics!$D$2:$D$167="process")*economics!$AH$2:$AH$167*(_xlfn.NORM.DIST(BU$3,economics!$AK$2:$AK$167,economics!$AJ$2:$AJ$167,TRUE)-_xlfn.NORM.DIST(BU$30,economics!$AK$2:$AK$167,economics!$AJ$2:$AJ$167,TRUE))*economics!$AM$2:$AM$167))/(SUMPRODUCT((economics!$AG$2:$AG$167=$B33)*(economics!$D$2:$D$167="process")*economics!$AH$2:$AH$167*(_xlfn.NORM.DIST(BU$3,economics!$AK$2:$AK$167,economics!$AJ$2:$AJ$167,TRUE)-_xlfn.NORM.DIST(BU$30,economics!$AK$2:$AK$167,economics!$AJ$2:$AJ$167,TRUE)))),"")</f>
        <v/>
      </c>
      <c r="BV33">
        <f t="array" ref="BV33">IFERROR((SUMPRODUCT((economics!$AG$2:$AG$167=$B33)*(economics!$D$2:$D$167="process")*economics!$AH$2:$AH$167*(_xlfn.NORM.DIST(BV$3,economics!$AK$2:$AK$167,economics!$AJ$2:$AJ$167,TRUE)-_xlfn.NORM.DIST(BV$30,economics!$AK$2:$AK$167,economics!$AJ$2:$AJ$167,TRUE))*economics!$AM$2:$AM$167))/(SUMPRODUCT((economics!$AG$2:$AG$167=$B33)*(economics!$D$2:$D$167="process")*economics!$AH$2:$AH$167*(_xlfn.NORM.DIST(BV$3,economics!$AK$2:$AK$167,economics!$AJ$2:$AJ$167,TRUE)-_xlfn.NORM.DIST(BV$30,economics!$AK$2:$AK$167,economics!$AJ$2:$AJ$167,TRUE)))),"")</f>
        <v/>
      </c>
      <c r="BW33">
        <f t="array" ref="BW33">IFERROR((SUMPRODUCT((economics!$AG$2:$AG$167=$B33)*(economics!$D$2:$D$167="process")*economics!$AH$2:$AH$167*(_xlfn.NORM.DIST(BW$3,economics!$AK$2:$AK$167,economics!$AJ$2:$AJ$167,TRUE)-_xlfn.NORM.DIST(BW$30,economics!$AK$2:$AK$167,economics!$AJ$2:$AJ$167,TRUE))*economics!$AM$2:$AM$167))/(SUMPRODUCT((economics!$AG$2:$AG$167=$B33)*(economics!$D$2:$D$167="process")*economics!$AH$2:$AH$167*(_xlfn.NORM.DIST(BW$3,economics!$AK$2:$AK$167,economics!$AJ$2:$AJ$167,TRUE)-_xlfn.NORM.DIST(BW$30,economics!$AK$2:$AK$167,economics!$AJ$2:$AJ$167,TRUE)))),"")</f>
        <v/>
      </c>
      <c r="BX33">
        <f t="array" ref="BX33">IFERROR((SUMPRODUCT((economics!$AG$2:$AG$167=$B33)*(economics!$D$2:$D$167="process")*economics!$AH$2:$AH$167*(_xlfn.NORM.DIST(BX$3,economics!$AK$2:$AK$167,economics!$AJ$2:$AJ$167,TRUE)-_xlfn.NORM.DIST(BX$30,economics!$AK$2:$AK$167,economics!$AJ$2:$AJ$167,TRUE))*economics!$AM$2:$AM$167))/(SUMPRODUCT((economics!$AG$2:$AG$167=$B33)*(economics!$D$2:$D$167="process")*economics!$AH$2:$AH$167*(_xlfn.NORM.DIST(BX$3,economics!$AK$2:$AK$167,economics!$AJ$2:$AJ$167,TRUE)-_xlfn.NORM.DIST(BX$30,economics!$AK$2:$AK$167,economics!$AJ$2:$AJ$167,TRUE)))),"")</f>
        <v/>
      </c>
      <c r="BY33">
        <f t="array" ref="BY33">IFERROR((SUMPRODUCT((economics!$AG$2:$AG$167=$B33)*(economics!$D$2:$D$167="process")*economics!$AH$2:$AH$167*(_xlfn.NORM.DIST(BY$3,economics!$AK$2:$AK$167,economics!$AJ$2:$AJ$167,TRUE)-_xlfn.NORM.DIST(BY$30,economics!$AK$2:$AK$167,economics!$AJ$2:$AJ$167,TRUE))*economics!$AM$2:$AM$167))/(SUMPRODUCT((economics!$AG$2:$AG$167=$B33)*(economics!$D$2:$D$167="process")*economics!$AH$2:$AH$167*(_xlfn.NORM.DIST(BY$3,economics!$AK$2:$AK$167,economics!$AJ$2:$AJ$167,TRUE)-_xlfn.NORM.DIST(BY$30,economics!$AK$2:$AK$167,economics!$AJ$2:$AJ$167,TRUE)))),"")</f>
        <v/>
      </c>
      <c r="BZ33">
        <f t="array" ref="BZ33">IFERROR((SUMPRODUCT((economics!$AG$2:$AG$167=$B33)*(economics!$D$2:$D$167="process")*economics!$AH$2:$AH$167*(_xlfn.NORM.DIST(BZ$3,economics!$AK$2:$AK$167,economics!$AJ$2:$AJ$167,TRUE)-_xlfn.NORM.DIST(BZ$30,economics!$AK$2:$AK$167,economics!$AJ$2:$AJ$167,TRUE))*economics!$AM$2:$AM$167))/(SUMPRODUCT((economics!$AG$2:$AG$167=$B33)*(economics!$D$2:$D$167="process")*economics!$AH$2:$AH$167*(_xlfn.NORM.DIST(BZ$3,economics!$AK$2:$AK$167,economics!$AJ$2:$AJ$167,TRUE)-_xlfn.NORM.DIST(BZ$30,economics!$AK$2:$AK$167,economics!$AJ$2:$AJ$167,TRUE)))),"")</f>
        <v/>
      </c>
      <c r="CA33">
        <f t="array" ref="CA33">IFERROR((SUMPRODUCT((economics!$AG$2:$AG$167=$B33)*(economics!$D$2:$D$167="process")*economics!$AH$2:$AH$167*(_xlfn.NORM.DIST(CA$3,economics!$AK$2:$AK$167,economics!$AJ$2:$AJ$167,TRUE)-_xlfn.NORM.DIST(CA$30,economics!$AK$2:$AK$167,economics!$AJ$2:$AJ$167,TRUE))*economics!$AM$2:$AM$167))/(SUMPRODUCT((economics!$AG$2:$AG$167=$B33)*(economics!$D$2:$D$167="process")*economics!$AH$2:$AH$167*(_xlfn.NORM.DIST(CA$3,economics!$AK$2:$AK$167,economics!$AJ$2:$AJ$167,TRUE)-_xlfn.NORM.DIST(CA$30,economics!$AK$2:$AK$167,economics!$AJ$2:$AJ$167,TRUE)))),"")</f>
        <v/>
      </c>
      <c r="CB33">
        <f t="array" ref="CB33">IFERROR((SUMPRODUCT((economics!$AG$2:$AG$167=$B33)*(economics!$D$2:$D$167="process")*economics!$AH$2:$AH$167*(_xlfn.NORM.DIST(CB$3,economics!$AK$2:$AK$167,economics!$AJ$2:$AJ$167,TRUE)-_xlfn.NORM.DIST(CB$30,economics!$AK$2:$AK$167,economics!$AJ$2:$AJ$167,TRUE))*economics!$AM$2:$AM$167))/(SUMPRODUCT((economics!$AG$2:$AG$167=$B33)*(economics!$D$2:$D$167="process")*economics!$AH$2:$AH$167*(_xlfn.NORM.DIST(CB$3,economics!$AK$2:$AK$167,economics!$AJ$2:$AJ$167,TRUE)-_xlfn.NORM.DIST(CB$30,economics!$AK$2:$AK$167,economics!$AJ$2:$AJ$167,TRUE)))),"")</f>
        <v/>
      </c>
      <c r="CC33">
        <f t="array" ref="CC33">IFERROR((SUMPRODUCT((economics!$AG$2:$AG$167=$B33)*(economics!$D$2:$D$167="process")*economics!$AH$2:$AH$167*(_xlfn.NORM.DIST(CC$3,economics!$AK$2:$AK$167,economics!$AJ$2:$AJ$167,TRUE)-_xlfn.NORM.DIST(CC$30,economics!$AK$2:$AK$167,economics!$AJ$2:$AJ$167,TRUE))*economics!$AM$2:$AM$167))/(SUMPRODUCT((economics!$AG$2:$AG$167=$B33)*(economics!$D$2:$D$167="process")*economics!$AH$2:$AH$167*(_xlfn.NORM.DIST(CC$3,economics!$AK$2:$AK$167,economics!$AJ$2:$AJ$167,TRUE)-_xlfn.NORM.DIST(CC$30,economics!$AK$2:$AK$167,economics!$AJ$2:$AJ$167,TRUE)))),"")</f>
        <v/>
      </c>
      <c r="CD33">
        <f t="array" ref="CD33">IFERROR((SUMPRODUCT((economics!$AG$2:$AG$167=$B33)*(economics!$D$2:$D$167="process")*economics!$AH$2:$AH$167*(_xlfn.NORM.DIST(CD$3,economics!$AK$2:$AK$167,economics!$AJ$2:$AJ$167,TRUE)-_xlfn.NORM.DIST(CD$30,economics!$AK$2:$AK$167,economics!$AJ$2:$AJ$167,TRUE))*economics!$AM$2:$AM$167))/(SUMPRODUCT((economics!$AG$2:$AG$167=$B33)*(economics!$D$2:$D$167="process")*economics!$AH$2:$AH$167*(_xlfn.NORM.DIST(CD$3,economics!$AK$2:$AK$167,economics!$AJ$2:$AJ$167,TRUE)-_xlfn.NORM.DIST(CD$30,economics!$AK$2:$AK$167,economics!$AJ$2:$AJ$167,TRUE)))),"")</f>
        <v/>
      </c>
      <c r="CE33">
        <f t="array" ref="CE33">IFERROR((SUMPRODUCT((economics!$AG$2:$AG$167=$B33)*(economics!$D$2:$D$167="process")*economics!$AH$2:$AH$167*(_xlfn.NORM.DIST(CE$3,economics!$AK$2:$AK$167,economics!$AJ$2:$AJ$167,TRUE)-_xlfn.NORM.DIST(CE$30,economics!$AK$2:$AK$167,economics!$AJ$2:$AJ$167,TRUE))*economics!$AM$2:$AM$167))/(SUMPRODUCT((economics!$AG$2:$AG$167=$B33)*(economics!$D$2:$D$167="process")*economics!$AH$2:$AH$167*(_xlfn.NORM.DIST(CE$3,economics!$AK$2:$AK$167,economics!$AJ$2:$AJ$167,TRUE)-_xlfn.NORM.DIST(CE$30,economics!$AK$2:$AK$167,economics!$AJ$2:$AJ$167,TRUE)))),"")</f>
        <v/>
      </c>
      <c r="CF33">
        <f t="array" ref="CF33">IFERROR((SUMPRODUCT((economics!$AG$2:$AG$167=$B33)*(economics!$D$2:$D$167="process")*economics!$AH$2:$AH$167*(_xlfn.NORM.DIST(CF$3,economics!$AK$2:$AK$167,economics!$AJ$2:$AJ$167,TRUE)-_xlfn.NORM.DIST(CF$30,economics!$AK$2:$AK$167,economics!$AJ$2:$AJ$167,TRUE))*economics!$AM$2:$AM$167))/(SUMPRODUCT((economics!$AG$2:$AG$167=$B33)*(economics!$D$2:$D$167="process")*economics!$AH$2:$AH$167*(_xlfn.NORM.DIST(CF$3,economics!$AK$2:$AK$167,economics!$AJ$2:$AJ$167,TRUE)-_xlfn.NORM.DIST(CF$30,economics!$AK$2:$AK$167,economics!$AJ$2:$AJ$167,TRUE)))),"")</f>
        <v/>
      </c>
      <c r="CG33">
        <f t="array" ref="CG33">IFERROR((SUMPRODUCT((economics!$AG$2:$AG$167=$B33)*(economics!$D$2:$D$167="process")*economics!$AH$2:$AH$167*(_xlfn.NORM.DIST(CG$3,economics!$AK$2:$AK$167,economics!$AJ$2:$AJ$167,TRUE)-_xlfn.NORM.DIST(CG$30,economics!$AK$2:$AK$167,economics!$AJ$2:$AJ$167,TRUE))*economics!$AM$2:$AM$167))/(SUMPRODUCT((economics!$AG$2:$AG$167=$B33)*(economics!$D$2:$D$167="process")*economics!$AH$2:$AH$167*(_xlfn.NORM.DIST(CG$3,economics!$AK$2:$AK$167,economics!$AJ$2:$AJ$167,TRUE)-_xlfn.NORM.DIST(CG$30,economics!$AK$2:$AK$167,economics!$AJ$2:$AJ$167,TRUE)))),"")</f>
        <v/>
      </c>
      <c r="CH33">
        <f t="array" ref="CH33">IFERROR((SUMPRODUCT((economics!$AG$2:$AG$167=$B33)*(economics!$D$2:$D$167="process")*economics!$AH$2:$AH$167*(_xlfn.NORM.DIST(CH$3,economics!$AK$2:$AK$167,economics!$AJ$2:$AJ$167,TRUE)-_xlfn.NORM.DIST(CH$30,economics!$AK$2:$AK$167,economics!$AJ$2:$AJ$167,TRUE))*economics!$AM$2:$AM$167))/(SUMPRODUCT((economics!$AG$2:$AG$167=$B33)*(economics!$D$2:$D$167="process")*economics!$AH$2:$AH$167*(_xlfn.NORM.DIST(CH$3,economics!$AK$2:$AK$167,economics!$AJ$2:$AJ$167,TRUE)-_xlfn.NORM.DIST(CH$30,economics!$AK$2:$AK$167,economics!$AJ$2:$AJ$167,TRUE)))),"")</f>
        <v/>
      </c>
    </row>
    <row r="34">
      <c r="A34">
        <f>A5</f>
        <v/>
      </c>
      <c r="B34">
        <f>B5</f>
        <v/>
      </c>
      <c r="E34">
        <f t="array" ref="E34">IFERROR((SUMPRODUCT((economics!$AG$2:$AG$167=$B34)*(economics!$D$2:$D$167="process")*economics!$AH$2:$AH$167*(_xlfn.NORM.DIST(E$3,economics!$AK$2:$AK$167,economics!$AJ$2:$AJ$167,TRUE)-_xlfn.NORM.DIST(E$30,economics!$AK$2:$AK$167,economics!$AJ$2:$AJ$167,TRUE))*economics!$AM$2:$AM$167))/(SUMPRODUCT((economics!$AG$2:$AG$167=$B34)*(economics!$D$2:$D$167="process")*economics!$AH$2:$AH$167*(_xlfn.NORM.DIST(E$3,economics!$AK$2:$AK$167,economics!$AJ$2:$AJ$167,TRUE)-_xlfn.NORM.DIST(E$30,economics!$AK$2:$AK$167,economics!$AJ$2:$AJ$167,TRUE)))),"")</f>
        <v/>
      </c>
      <c r="F34">
        <f t="array" ref="F34">IFERROR((SUMPRODUCT((economics!$AG$2:$AG$167=$B34)*(economics!$D$2:$D$167="process")*economics!$AH$2:$AH$167*(_xlfn.NORM.DIST(F$3,economics!$AK$2:$AK$167,economics!$AJ$2:$AJ$167,TRUE)-_xlfn.NORM.DIST(F$30,economics!$AK$2:$AK$167,economics!$AJ$2:$AJ$167,TRUE))*economics!$AM$2:$AM$167))/(SUMPRODUCT((economics!$AG$2:$AG$167=$B34)*(economics!$D$2:$D$167="process")*economics!$AH$2:$AH$167*(_xlfn.NORM.DIST(F$3,economics!$AK$2:$AK$167,economics!$AJ$2:$AJ$167,TRUE)-_xlfn.NORM.DIST(F$30,economics!$AK$2:$AK$167,economics!$AJ$2:$AJ$167,TRUE)))),"")</f>
        <v/>
      </c>
      <c r="G34">
        <f t="array" ref="G34">IFERROR((SUMPRODUCT((economics!$AG$2:$AG$167=$B34)*(economics!$D$2:$D$167="process")*economics!$AH$2:$AH$167*(_xlfn.NORM.DIST(G$3,economics!$AK$2:$AK$167,economics!$AJ$2:$AJ$167,TRUE)-_xlfn.NORM.DIST(G$30,economics!$AK$2:$AK$167,economics!$AJ$2:$AJ$167,TRUE))*economics!$AM$2:$AM$167))/(SUMPRODUCT((economics!$AG$2:$AG$167=$B34)*(economics!$D$2:$D$167="process")*economics!$AH$2:$AH$167*(_xlfn.NORM.DIST(G$3,economics!$AK$2:$AK$167,economics!$AJ$2:$AJ$167,TRUE)-_xlfn.NORM.DIST(G$30,economics!$AK$2:$AK$167,economics!$AJ$2:$AJ$167,TRUE)))),"")</f>
        <v/>
      </c>
      <c r="H34">
        <f t="array" ref="H34">IFERROR((SUMPRODUCT((economics!$AG$2:$AG$167=$B34)*(economics!$D$2:$D$167="process")*economics!$AH$2:$AH$167*(_xlfn.NORM.DIST(H$3,economics!$AK$2:$AK$167,economics!$AJ$2:$AJ$167,TRUE)-_xlfn.NORM.DIST(H$30,economics!$AK$2:$AK$167,economics!$AJ$2:$AJ$167,TRUE))*economics!$AM$2:$AM$167))/(SUMPRODUCT((economics!$AG$2:$AG$167=$B34)*(economics!$D$2:$D$167="process")*economics!$AH$2:$AH$167*(_xlfn.NORM.DIST(H$3,economics!$AK$2:$AK$167,economics!$AJ$2:$AJ$167,TRUE)-_xlfn.NORM.DIST(H$30,economics!$AK$2:$AK$167,economics!$AJ$2:$AJ$167,TRUE)))),"")</f>
        <v/>
      </c>
      <c r="I34">
        <f t="array" ref="I34">IFERROR((SUMPRODUCT((economics!$AG$2:$AG$167=$B34)*(economics!$D$2:$D$167="process")*economics!$AH$2:$AH$167*(_xlfn.NORM.DIST(I$3,economics!$AK$2:$AK$167,economics!$AJ$2:$AJ$167,TRUE)-_xlfn.NORM.DIST(I$30,economics!$AK$2:$AK$167,economics!$AJ$2:$AJ$167,TRUE))*economics!$AM$2:$AM$167))/(SUMPRODUCT((economics!$AG$2:$AG$167=$B34)*(economics!$D$2:$D$167="process")*economics!$AH$2:$AH$167*(_xlfn.NORM.DIST(I$3,economics!$AK$2:$AK$167,economics!$AJ$2:$AJ$167,TRUE)-_xlfn.NORM.DIST(I$30,economics!$AK$2:$AK$167,economics!$AJ$2:$AJ$167,TRUE)))),"")</f>
        <v/>
      </c>
      <c r="J34">
        <f t="array" ref="J34">IFERROR((SUMPRODUCT((economics!$AG$2:$AG$167=$B34)*(economics!$D$2:$D$167="process")*economics!$AH$2:$AH$167*(_xlfn.NORM.DIST(J$3,economics!$AK$2:$AK$167,economics!$AJ$2:$AJ$167,TRUE)-_xlfn.NORM.DIST(J$30,economics!$AK$2:$AK$167,economics!$AJ$2:$AJ$167,TRUE))*economics!$AM$2:$AM$167))/(SUMPRODUCT((economics!$AG$2:$AG$167=$B34)*(economics!$D$2:$D$167="process")*economics!$AH$2:$AH$167*(_xlfn.NORM.DIST(J$3,economics!$AK$2:$AK$167,economics!$AJ$2:$AJ$167,TRUE)-_xlfn.NORM.DIST(J$30,economics!$AK$2:$AK$167,economics!$AJ$2:$AJ$167,TRUE)))),"")</f>
        <v/>
      </c>
      <c r="K34">
        <f t="array" ref="K34">IFERROR((SUMPRODUCT((economics!$AG$2:$AG$167=$B34)*(economics!$D$2:$D$167="process")*economics!$AH$2:$AH$167*(_xlfn.NORM.DIST(K$3,economics!$AK$2:$AK$167,economics!$AJ$2:$AJ$167,TRUE)-_xlfn.NORM.DIST(K$30,economics!$AK$2:$AK$167,economics!$AJ$2:$AJ$167,TRUE))*economics!$AM$2:$AM$167))/(SUMPRODUCT((economics!$AG$2:$AG$167=$B34)*(economics!$D$2:$D$167="process")*economics!$AH$2:$AH$167*(_xlfn.NORM.DIST(K$3,economics!$AK$2:$AK$167,economics!$AJ$2:$AJ$167,TRUE)-_xlfn.NORM.DIST(K$30,economics!$AK$2:$AK$167,economics!$AJ$2:$AJ$167,TRUE)))),"")</f>
        <v/>
      </c>
      <c r="L34">
        <f t="array" ref="L34">IFERROR((SUMPRODUCT((economics!$AG$2:$AG$167=$B34)*(economics!$D$2:$D$167="process")*economics!$AH$2:$AH$167*(_xlfn.NORM.DIST(L$3,economics!$AK$2:$AK$167,economics!$AJ$2:$AJ$167,TRUE)-_xlfn.NORM.DIST(L$30,economics!$AK$2:$AK$167,economics!$AJ$2:$AJ$167,TRUE))*economics!$AM$2:$AM$167))/(SUMPRODUCT((economics!$AG$2:$AG$167=$B34)*(economics!$D$2:$D$167="process")*economics!$AH$2:$AH$167*(_xlfn.NORM.DIST(L$3,economics!$AK$2:$AK$167,economics!$AJ$2:$AJ$167,TRUE)-_xlfn.NORM.DIST(L$30,economics!$AK$2:$AK$167,economics!$AJ$2:$AJ$167,TRUE)))),"")</f>
        <v/>
      </c>
      <c r="M34">
        <f t="array" ref="M34">IFERROR((SUMPRODUCT((economics!$AG$2:$AG$167=$B34)*(economics!$D$2:$D$167="process")*economics!$AH$2:$AH$167*(_xlfn.NORM.DIST(M$3,economics!$AK$2:$AK$167,economics!$AJ$2:$AJ$167,TRUE)-_xlfn.NORM.DIST(M$30,economics!$AK$2:$AK$167,economics!$AJ$2:$AJ$167,TRUE))*economics!$AM$2:$AM$167))/(SUMPRODUCT((economics!$AG$2:$AG$167=$B34)*(economics!$D$2:$D$167="process")*economics!$AH$2:$AH$167*(_xlfn.NORM.DIST(M$3,economics!$AK$2:$AK$167,economics!$AJ$2:$AJ$167,TRUE)-_xlfn.NORM.DIST(M$30,economics!$AK$2:$AK$167,economics!$AJ$2:$AJ$167,TRUE)))),"")</f>
        <v/>
      </c>
      <c r="N34">
        <f t="array" ref="N34">IFERROR((SUMPRODUCT((economics!$AG$2:$AG$167=$B34)*(economics!$D$2:$D$167="process")*economics!$AH$2:$AH$167*(_xlfn.NORM.DIST(N$3,economics!$AK$2:$AK$167,economics!$AJ$2:$AJ$167,TRUE)-_xlfn.NORM.DIST(N$30,economics!$AK$2:$AK$167,economics!$AJ$2:$AJ$167,TRUE))*economics!$AM$2:$AM$167))/(SUMPRODUCT((economics!$AG$2:$AG$167=$B34)*(economics!$D$2:$D$167="process")*economics!$AH$2:$AH$167*(_xlfn.NORM.DIST(N$3,economics!$AK$2:$AK$167,economics!$AJ$2:$AJ$167,TRUE)-_xlfn.NORM.DIST(N$30,economics!$AK$2:$AK$167,economics!$AJ$2:$AJ$167,TRUE)))),"")</f>
        <v/>
      </c>
      <c r="O34">
        <f t="array" ref="O34">IFERROR((SUMPRODUCT((economics!$AG$2:$AG$167=$B34)*(economics!$D$2:$D$167="process")*economics!$AH$2:$AH$167*(_xlfn.NORM.DIST(O$3,economics!$AK$2:$AK$167,economics!$AJ$2:$AJ$167,TRUE)-_xlfn.NORM.DIST(O$30,economics!$AK$2:$AK$167,economics!$AJ$2:$AJ$167,TRUE))*economics!$AM$2:$AM$167))/(SUMPRODUCT((economics!$AG$2:$AG$167=$B34)*(economics!$D$2:$D$167="process")*economics!$AH$2:$AH$167*(_xlfn.NORM.DIST(O$3,economics!$AK$2:$AK$167,economics!$AJ$2:$AJ$167,TRUE)-_xlfn.NORM.DIST(O$30,economics!$AK$2:$AK$167,economics!$AJ$2:$AJ$167,TRUE)))),"")</f>
        <v/>
      </c>
      <c r="P34">
        <f t="array" ref="P34">IFERROR((SUMPRODUCT((economics!$AG$2:$AG$167=$B34)*(economics!$D$2:$D$167="process")*economics!$AH$2:$AH$167*(_xlfn.NORM.DIST(P$3,economics!$AK$2:$AK$167,economics!$AJ$2:$AJ$167,TRUE)-_xlfn.NORM.DIST(P$30,economics!$AK$2:$AK$167,economics!$AJ$2:$AJ$167,TRUE))*economics!$AM$2:$AM$167))/(SUMPRODUCT((economics!$AG$2:$AG$167=$B34)*(economics!$D$2:$D$167="process")*economics!$AH$2:$AH$167*(_xlfn.NORM.DIST(P$3,economics!$AK$2:$AK$167,economics!$AJ$2:$AJ$167,TRUE)-_xlfn.NORM.DIST(P$30,economics!$AK$2:$AK$167,economics!$AJ$2:$AJ$167,TRUE)))),"")</f>
        <v/>
      </c>
      <c r="Q34">
        <f t="array" ref="Q34">IFERROR((SUMPRODUCT((economics!$AG$2:$AG$167=$B34)*(economics!$D$2:$D$167="process")*economics!$AH$2:$AH$167*(_xlfn.NORM.DIST(Q$3,economics!$AK$2:$AK$167,economics!$AJ$2:$AJ$167,TRUE)-_xlfn.NORM.DIST(Q$30,economics!$AK$2:$AK$167,economics!$AJ$2:$AJ$167,TRUE))*economics!$AM$2:$AM$167))/(SUMPRODUCT((economics!$AG$2:$AG$167=$B34)*(economics!$D$2:$D$167="process")*economics!$AH$2:$AH$167*(_xlfn.NORM.DIST(Q$3,economics!$AK$2:$AK$167,economics!$AJ$2:$AJ$167,TRUE)-_xlfn.NORM.DIST(Q$30,economics!$AK$2:$AK$167,economics!$AJ$2:$AJ$167,TRUE)))),"")</f>
        <v/>
      </c>
      <c r="R34">
        <f t="array" ref="R34">IFERROR((SUMPRODUCT((economics!$AG$2:$AG$167=$B34)*(economics!$D$2:$D$167="process")*economics!$AH$2:$AH$167*(_xlfn.NORM.DIST(R$3,economics!$AK$2:$AK$167,economics!$AJ$2:$AJ$167,TRUE)-_xlfn.NORM.DIST(R$30,economics!$AK$2:$AK$167,economics!$AJ$2:$AJ$167,TRUE))*economics!$AM$2:$AM$167))/(SUMPRODUCT((economics!$AG$2:$AG$167=$B34)*(economics!$D$2:$D$167="process")*economics!$AH$2:$AH$167*(_xlfn.NORM.DIST(R$3,economics!$AK$2:$AK$167,economics!$AJ$2:$AJ$167,TRUE)-_xlfn.NORM.DIST(R$30,economics!$AK$2:$AK$167,economics!$AJ$2:$AJ$167,TRUE)))),"")</f>
        <v/>
      </c>
      <c r="S34">
        <f t="array" ref="S34">IFERROR((SUMPRODUCT((economics!$AG$2:$AG$167=$B34)*(economics!$D$2:$D$167="process")*economics!$AH$2:$AH$167*(_xlfn.NORM.DIST(S$3,economics!$AK$2:$AK$167,economics!$AJ$2:$AJ$167,TRUE)-_xlfn.NORM.DIST(S$30,economics!$AK$2:$AK$167,economics!$AJ$2:$AJ$167,TRUE))*economics!$AM$2:$AM$167))/(SUMPRODUCT((economics!$AG$2:$AG$167=$B34)*(economics!$D$2:$D$167="process")*economics!$AH$2:$AH$167*(_xlfn.NORM.DIST(S$3,economics!$AK$2:$AK$167,economics!$AJ$2:$AJ$167,TRUE)-_xlfn.NORM.DIST(S$30,economics!$AK$2:$AK$167,economics!$AJ$2:$AJ$167,TRUE)))),"")</f>
        <v/>
      </c>
      <c r="T34">
        <f t="array" ref="T34">IFERROR((SUMPRODUCT((economics!$AG$2:$AG$167=$B34)*(economics!$D$2:$D$167="process")*economics!$AH$2:$AH$167*(_xlfn.NORM.DIST(T$3,economics!$AK$2:$AK$167,economics!$AJ$2:$AJ$167,TRUE)-_xlfn.NORM.DIST(T$30,economics!$AK$2:$AK$167,economics!$AJ$2:$AJ$167,TRUE))*economics!$AM$2:$AM$167))/(SUMPRODUCT((economics!$AG$2:$AG$167=$B34)*(economics!$D$2:$D$167="process")*economics!$AH$2:$AH$167*(_xlfn.NORM.DIST(T$3,economics!$AK$2:$AK$167,economics!$AJ$2:$AJ$167,TRUE)-_xlfn.NORM.DIST(T$30,economics!$AK$2:$AK$167,economics!$AJ$2:$AJ$167,TRUE)))),"")</f>
        <v/>
      </c>
      <c r="U34">
        <f t="array" ref="U34">IFERROR((SUMPRODUCT((economics!$AG$2:$AG$167=$B34)*(economics!$D$2:$D$167="process")*economics!$AH$2:$AH$167*(_xlfn.NORM.DIST(U$3,economics!$AK$2:$AK$167,economics!$AJ$2:$AJ$167,TRUE)-_xlfn.NORM.DIST(U$30,economics!$AK$2:$AK$167,economics!$AJ$2:$AJ$167,TRUE))*economics!$AM$2:$AM$167))/(SUMPRODUCT((economics!$AG$2:$AG$167=$B34)*(economics!$D$2:$D$167="process")*economics!$AH$2:$AH$167*(_xlfn.NORM.DIST(U$3,economics!$AK$2:$AK$167,economics!$AJ$2:$AJ$167,TRUE)-_xlfn.NORM.DIST(U$30,economics!$AK$2:$AK$167,economics!$AJ$2:$AJ$167,TRUE)))),"")</f>
        <v/>
      </c>
      <c r="V34">
        <f t="array" ref="V34">IFERROR((SUMPRODUCT((economics!$AG$2:$AG$167=$B34)*(economics!$D$2:$D$167="process")*economics!$AH$2:$AH$167*(_xlfn.NORM.DIST(V$3,economics!$AK$2:$AK$167,economics!$AJ$2:$AJ$167,TRUE)-_xlfn.NORM.DIST(V$30,economics!$AK$2:$AK$167,economics!$AJ$2:$AJ$167,TRUE))*economics!$AM$2:$AM$167))/(SUMPRODUCT((economics!$AG$2:$AG$167=$B34)*(economics!$D$2:$D$167="process")*economics!$AH$2:$AH$167*(_xlfn.NORM.DIST(V$3,economics!$AK$2:$AK$167,economics!$AJ$2:$AJ$167,TRUE)-_xlfn.NORM.DIST(V$30,economics!$AK$2:$AK$167,economics!$AJ$2:$AJ$167,TRUE)))),"")</f>
        <v/>
      </c>
      <c r="W34">
        <f t="array" ref="W34">IFERROR((SUMPRODUCT((economics!$AG$2:$AG$167=$B34)*(economics!$D$2:$D$167="process")*economics!$AH$2:$AH$167*(_xlfn.NORM.DIST(W$3,economics!$AK$2:$AK$167,economics!$AJ$2:$AJ$167,TRUE)-_xlfn.NORM.DIST(W$30,economics!$AK$2:$AK$167,economics!$AJ$2:$AJ$167,TRUE))*economics!$AM$2:$AM$167))/(SUMPRODUCT((economics!$AG$2:$AG$167=$B34)*(economics!$D$2:$D$167="process")*economics!$AH$2:$AH$167*(_xlfn.NORM.DIST(W$3,economics!$AK$2:$AK$167,economics!$AJ$2:$AJ$167,TRUE)-_xlfn.NORM.DIST(W$30,economics!$AK$2:$AK$167,economics!$AJ$2:$AJ$167,TRUE)))),"")</f>
        <v/>
      </c>
      <c r="X34">
        <f t="array" ref="X34">IFERROR((SUMPRODUCT((economics!$AG$2:$AG$167=$B34)*(economics!$D$2:$D$167="process")*economics!$AH$2:$AH$167*(_xlfn.NORM.DIST(X$3,economics!$AK$2:$AK$167,economics!$AJ$2:$AJ$167,TRUE)-_xlfn.NORM.DIST(X$30,economics!$AK$2:$AK$167,economics!$AJ$2:$AJ$167,TRUE))*economics!$AM$2:$AM$167))/(SUMPRODUCT((economics!$AG$2:$AG$167=$B34)*(economics!$D$2:$D$167="process")*economics!$AH$2:$AH$167*(_xlfn.NORM.DIST(X$3,economics!$AK$2:$AK$167,economics!$AJ$2:$AJ$167,TRUE)-_xlfn.NORM.DIST(X$30,economics!$AK$2:$AK$167,economics!$AJ$2:$AJ$167,TRUE)))),"")</f>
        <v/>
      </c>
      <c r="Y34">
        <f t="array" ref="Y34">IFERROR((SUMPRODUCT((economics!$AG$2:$AG$167=$B34)*(economics!$D$2:$D$167="process")*economics!$AH$2:$AH$167*(_xlfn.NORM.DIST(Y$3,economics!$AK$2:$AK$167,economics!$AJ$2:$AJ$167,TRUE)-_xlfn.NORM.DIST(Y$30,economics!$AK$2:$AK$167,economics!$AJ$2:$AJ$167,TRUE))*economics!$AM$2:$AM$167))/(SUMPRODUCT((economics!$AG$2:$AG$167=$B34)*(economics!$D$2:$D$167="process")*economics!$AH$2:$AH$167*(_xlfn.NORM.DIST(Y$3,economics!$AK$2:$AK$167,economics!$AJ$2:$AJ$167,TRUE)-_xlfn.NORM.DIST(Y$30,economics!$AK$2:$AK$167,economics!$AJ$2:$AJ$167,TRUE)))),"")</f>
        <v/>
      </c>
      <c r="Z34">
        <f t="array" ref="Z34">IFERROR((SUMPRODUCT((economics!$AG$2:$AG$167=$B34)*(economics!$D$2:$D$167="process")*economics!$AH$2:$AH$167*(_xlfn.NORM.DIST(Z$3,economics!$AK$2:$AK$167,economics!$AJ$2:$AJ$167,TRUE)-_xlfn.NORM.DIST(Z$30,economics!$AK$2:$AK$167,economics!$AJ$2:$AJ$167,TRUE))*economics!$AM$2:$AM$167))/(SUMPRODUCT((economics!$AG$2:$AG$167=$B34)*(economics!$D$2:$D$167="process")*economics!$AH$2:$AH$167*(_xlfn.NORM.DIST(Z$3,economics!$AK$2:$AK$167,economics!$AJ$2:$AJ$167,TRUE)-_xlfn.NORM.DIST(Z$30,economics!$AK$2:$AK$167,economics!$AJ$2:$AJ$167,TRUE)))),"")</f>
        <v/>
      </c>
      <c r="AA34">
        <f t="array" ref="AA34">IFERROR((SUMPRODUCT((economics!$AG$2:$AG$167=$B34)*(economics!$D$2:$D$167="process")*economics!$AH$2:$AH$167*(_xlfn.NORM.DIST(AA$3,economics!$AK$2:$AK$167,economics!$AJ$2:$AJ$167,TRUE)-_xlfn.NORM.DIST(AA$30,economics!$AK$2:$AK$167,economics!$AJ$2:$AJ$167,TRUE))*economics!$AM$2:$AM$167))/(SUMPRODUCT((economics!$AG$2:$AG$167=$B34)*(economics!$D$2:$D$167="process")*economics!$AH$2:$AH$167*(_xlfn.NORM.DIST(AA$3,economics!$AK$2:$AK$167,economics!$AJ$2:$AJ$167,TRUE)-_xlfn.NORM.DIST(AA$30,economics!$AK$2:$AK$167,economics!$AJ$2:$AJ$167,TRUE)))),"")</f>
        <v/>
      </c>
      <c r="AB34">
        <f t="array" ref="AB34">IFERROR((SUMPRODUCT((economics!$AG$2:$AG$167=$B34)*(economics!$D$2:$D$167="process")*economics!$AH$2:$AH$167*(_xlfn.NORM.DIST(AB$3,economics!$AK$2:$AK$167,economics!$AJ$2:$AJ$167,TRUE)-_xlfn.NORM.DIST(AB$30,economics!$AK$2:$AK$167,economics!$AJ$2:$AJ$167,TRUE))*economics!$AM$2:$AM$167))/(SUMPRODUCT((economics!$AG$2:$AG$167=$B34)*(economics!$D$2:$D$167="process")*economics!$AH$2:$AH$167*(_xlfn.NORM.DIST(AB$3,economics!$AK$2:$AK$167,economics!$AJ$2:$AJ$167,TRUE)-_xlfn.NORM.DIST(AB$30,economics!$AK$2:$AK$167,economics!$AJ$2:$AJ$167,TRUE)))),"")</f>
        <v/>
      </c>
      <c r="AC34">
        <f t="array" ref="AC34">IFERROR((SUMPRODUCT((economics!$AG$2:$AG$167=$B34)*(economics!$D$2:$D$167="process")*economics!$AH$2:$AH$167*(_xlfn.NORM.DIST(AC$3,economics!$AK$2:$AK$167,economics!$AJ$2:$AJ$167,TRUE)-_xlfn.NORM.DIST(AC$30,economics!$AK$2:$AK$167,economics!$AJ$2:$AJ$167,TRUE))*economics!$AM$2:$AM$167))/(SUMPRODUCT((economics!$AG$2:$AG$167=$B34)*(economics!$D$2:$D$167="process")*economics!$AH$2:$AH$167*(_xlfn.NORM.DIST(AC$3,economics!$AK$2:$AK$167,economics!$AJ$2:$AJ$167,TRUE)-_xlfn.NORM.DIST(AC$30,economics!$AK$2:$AK$167,economics!$AJ$2:$AJ$167,TRUE)))),"")</f>
        <v/>
      </c>
      <c r="AD34">
        <f t="array" ref="AD34">IFERROR((SUMPRODUCT((economics!$AG$2:$AG$167=$B34)*(economics!$D$2:$D$167="process")*economics!$AH$2:$AH$167*(_xlfn.NORM.DIST(AD$3,economics!$AK$2:$AK$167,economics!$AJ$2:$AJ$167,TRUE)-_xlfn.NORM.DIST(AD$30,economics!$AK$2:$AK$167,economics!$AJ$2:$AJ$167,TRUE))*economics!$AM$2:$AM$167))/(SUMPRODUCT((economics!$AG$2:$AG$167=$B34)*(economics!$D$2:$D$167="process")*economics!$AH$2:$AH$167*(_xlfn.NORM.DIST(AD$3,economics!$AK$2:$AK$167,economics!$AJ$2:$AJ$167,TRUE)-_xlfn.NORM.DIST(AD$30,economics!$AK$2:$AK$167,economics!$AJ$2:$AJ$167,TRUE)))),"")</f>
        <v/>
      </c>
      <c r="AE34">
        <f t="array" ref="AE34">IFERROR((SUMPRODUCT((economics!$AG$2:$AG$167=$B34)*(economics!$D$2:$D$167="process")*economics!$AH$2:$AH$167*(_xlfn.NORM.DIST(AE$3,economics!$AK$2:$AK$167,economics!$AJ$2:$AJ$167,TRUE)-_xlfn.NORM.DIST(AE$30,economics!$AK$2:$AK$167,economics!$AJ$2:$AJ$167,TRUE))*economics!$AM$2:$AM$167))/(SUMPRODUCT((economics!$AG$2:$AG$167=$B34)*(economics!$D$2:$D$167="process")*economics!$AH$2:$AH$167*(_xlfn.NORM.DIST(AE$3,economics!$AK$2:$AK$167,economics!$AJ$2:$AJ$167,TRUE)-_xlfn.NORM.DIST(AE$30,economics!$AK$2:$AK$167,economics!$AJ$2:$AJ$167,TRUE)))),"")</f>
        <v/>
      </c>
      <c r="AF34">
        <f t="array" ref="AF34">IFERROR((SUMPRODUCT((economics!$AG$2:$AG$167=$B34)*(economics!$D$2:$D$167="process")*economics!$AH$2:$AH$167*(_xlfn.NORM.DIST(AF$3,economics!$AK$2:$AK$167,economics!$AJ$2:$AJ$167,TRUE)-_xlfn.NORM.DIST(AF$30,economics!$AK$2:$AK$167,economics!$AJ$2:$AJ$167,TRUE))*economics!$AM$2:$AM$167))/(SUMPRODUCT((economics!$AG$2:$AG$167=$B34)*(economics!$D$2:$D$167="process")*economics!$AH$2:$AH$167*(_xlfn.NORM.DIST(AF$3,economics!$AK$2:$AK$167,economics!$AJ$2:$AJ$167,TRUE)-_xlfn.NORM.DIST(AF$30,economics!$AK$2:$AK$167,economics!$AJ$2:$AJ$167,TRUE)))),"")</f>
        <v/>
      </c>
      <c r="AG34">
        <f t="array" ref="AG34">IFERROR((SUMPRODUCT((economics!$AG$2:$AG$167=$B34)*(economics!$D$2:$D$167="process")*economics!$AH$2:$AH$167*(_xlfn.NORM.DIST(AG$3,economics!$AK$2:$AK$167,economics!$AJ$2:$AJ$167,TRUE)-_xlfn.NORM.DIST(AG$30,economics!$AK$2:$AK$167,economics!$AJ$2:$AJ$167,TRUE))*economics!$AM$2:$AM$167))/(SUMPRODUCT((economics!$AG$2:$AG$167=$B34)*(economics!$D$2:$D$167="process")*economics!$AH$2:$AH$167*(_xlfn.NORM.DIST(AG$3,economics!$AK$2:$AK$167,economics!$AJ$2:$AJ$167,TRUE)-_xlfn.NORM.DIST(AG$30,economics!$AK$2:$AK$167,economics!$AJ$2:$AJ$167,TRUE)))),"")</f>
        <v/>
      </c>
      <c r="AH34">
        <f t="array" ref="AH34">IFERROR((SUMPRODUCT((economics!$AG$2:$AG$167=$B34)*(economics!$D$2:$D$167="process")*economics!$AH$2:$AH$167*(_xlfn.NORM.DIST(AH$3,economics!$AK$2:$AK$167,economics!$AJ$2:$AJ$167,TRUE)-_xlfn.NORM.DIST(AH$30,economics!$AK$2:$AK$167,economics!$AJ$2:$AJ$167,TRUE))*economics!$AM$2:$AM$167))/(SUMPRODUCT((economics!$AG$2:$AG$167=$B34)*(economics!$D$2:$D$167="process")*economics!$AH$2:$AH$167*(_xlfn.NORM.DIST(AH$3,economics!$AK$2:$AK$167,economics!$AJ$2:$AJ$167,TRUE)-_xlfn.NORM.DIST(AH$30,economics!$AK$2:$AK$167,economics!$AJ$2:$AJ$167,TRUE)))),"")</f>
        <v/>
      </c>
      <c r="AI34">
        <f t="array" ref="AI34">IFERROR((SUMPRODUCT((economics!$AG$2:$AG$167=$B34)*(economics!$D$2:$D$167="process")*economics!$AH$2:$AH$167*(_xlfn.NORM.DIST(AI$3,economics!$AK$2:$AK$167,economics!$AJ$2:$AJ$167,TRUE)-_xlfn.NORM.DIST(AI$30,economics!$AK$2:$AK$167,economics!$AJ$2:$AJ$167,TRUE))*economics!$AM$2:$AM$167))/(SUMPRODUCT((economics!$AG$2:$AG$167=$B34)*(economics!$D$2:$D$167="process")*economics!$AH$2:$AH$167*(_xlfn.NORM.DIST(AI$3,economics!$AK$2:$AK$167,economics!$AJ$2:$AJ$167,TRUE)-_xlfn.NORM.DIST(AI$30,economics!$AK$2:$AK$167,economics!$AJ$2:$AJ$167,TRUE)))),"")</f>
        <v/>
      </c>
      <c r="AJ34">
        <f t="array" ref="AJ34">IFERROR((SUMPRODUCT((economics!$AG$2:$AG$167=$B34)*(economics!$D$2:$D$167="process")*economics!$AH$2:$AH$167*(_xlfn.NORM.DIST(AJ$3,economics!$AK$2:$AK$167,economics!$AJ$2:$AJ$167,TRUE)-_xlfn.NORM.DIST(AJ$30,economics!$AK$2:$AK$167,economics!$AJ$2:$AJ$167,TRUE))*economics!$AM$2:$AM$167))/(SUMPRODUCT((economics!$AG$2:$AG$167=$B34)*(economics!$D$2:$D$167="process")*economics!$AH$2:$AH$167*(_xlfn.NORM.DIST(AJ$3,economics!$AK$2:$AK$167,economics!$AJ$2:$AJ$167,TRUE)-_xlfn.NORM.DIST(AJ$30,economics!$AK$2:$AK$167,economics!$AJ$2:$AJ$167,TRUE)))),"")</f>
        <v/>
      </c>
      <c r="AK34">
        <f t="array" ref="AK34">IFERROR((SUMPRODUCT((economics!$AG$2:$AG$167=$B34)*(economics!$D$2:$D$167="process")*economics!$AH$2:$AH$167*(_xlfn.NORM.DIST(AK$3,economics!$AK$2:$AK$167,economics!$AJ$2:$AJ$167,TRUE)-_xlfn.NORM.DIST(AK$30,economics!$AK$2:$AK$167,economics!$AJ$2:$AJ$167,TRUE))*economics!$AM$2:$AM$167))/(SUMPRODUCT((economics!$AG$2:$AG$167=$B34)*(economics!$D$2:$D$167="process")*economics!$AH$2:$AH$167*(_xlfn.NORM.DIST(AK$3,economics!$AK$2:$AK$167,economics!$AJ$2:$AJ$167,TRUE)-_xlfn.NORM.DIST(AK$30,economics!$AK$2:$AK$167,economics!$AJ$2:$AJ$167,TRUE)))),"")</f>
        <v/>
      </c>
      <c r="AL34">
        <f t="array" ref="AL34">IFERROR((SUMPRODUCT((economics!$AG$2:$AG$167=$B34)*(economics!$D$2:$D$167="process")*economics!$AH$2:$AH$167*(_xlfn.NORM.DIST(AL$3,economics!$AK$2:$AK$167,economics!$AJ$2:$AJ$167,TRUE)-_xlfn.NORM.DIST(AL$30,economics!$AK$2:$AK$167,economics!$AJ$2:$AJ$167,TRUE))*economics!$AM$2:$AM$167))/(SUMPRODUCT((economics!$AG$2:$AG$167=$B34)*(economics!$D$2:$D$167="process")*economics!$AH$2:$AH$167*(_xlfn.NORM.DIST(AL$3,economics!$AK$2:$AK$167,economics!$AJ$2:$AJ$167,TRUE)-_xlfn.NORM.DIST(AL$30,economics!$AK$2:$AK$167,economics!$AJ$2:$AJ$167,TRUE)))),"")</f>
        <v/>
      </c>
      <c r="AM34">
        <f t="array" ref="AM34">IFERROR((SUMPRODUCT((economics!$AG$2:$AG$167=$B34)*(economics!$D$2:$D$167="process")*economics!$AH$2:$AH$167*(_xlfn.NORM.DIST(AM$3,economics!$AK$2:$AK$167,economics!$AJ$2:$AJ$167,TRUE)-_xlfn.NORM.DIST(AM$30,economics!$AK$2:$AK$167,economics!$AJ$2:$AJ$167,TRUE))*economics!$AM$2:$AM$167))/(SUMPRODUCT((economics!$AG$2:$AG$167=$B34)*(economics!$D$2:$D$167="process")*economics!$AH$2:$AH$167*(_xlfn.NORM.DIST(AM$3,economics!$AK$2:$AK$167,economics!$AJ$2:$AJ$167,TRUE)-_xlfn.NORM.DIST(AM$30,economics!$AK$2:$AK$167,economics!$AJ$2:$AJ$167,TRUE)))),"")</f>
        <v/>
      </c>
      <c r="AN34">
        <f t="array" ref="AN34">IFERROR((SUMPRODUCT((economics!$AG$2:$AG$167=$B34)*(economics!$D$2:$D$167="process")*economics!$AH$2:$AH$167*(_xlfn.NORM.DIST(AN$3,economics!$AK$2:$AK$167,economics!$AJ$2:$AJ$167,TRUE)-_xlfn.NORM.DIST(AN$30,economics!$AK$2:$AK$167,economics!$AJ$2:$AJ$167,TRUE))*economics!$AM$2:$AM$167))/(SUMPRODUCT((economics!$AG$2:$AG$167=$B34)*(economics!$D$2:$D$167="process")*economics!$AH$2:$AH$167*(_xlfn.NORM.DIST(AN$3,economics!$AK$2:$AK$167,economics!$AJ$2:$AJ$167,TRUE)-_xlfn.NORM.DIST(AN$30,economics!$AK$2:$AK$167,economics!$AJ$2:$AJ$167,TRUE)))),"")</f>
        <v/>
      </c>
      <c r="AO34">
        <f t="array" ref="AO34">IFERROR((SUMPRODUCT((economics!$AG$2:$AG$167=$B34)*(economics!$D$2:$D$167="process")*economics!$AH$2:$AH$167*(_xlfn.NORM.DIST(AO$3,economics!$AK$2:$AK$167,economics!$AJ$2:$AJ$167,TRUE)-_xlfn.NORM.DIST(AO$30,economics!$AK$2:$AK$167,economics!$AJ$2:$AJ$167,TRUE))*economics!$AM$2:$AM$167))/(SUMPRODUCT((economics!$AG$2:$AG$167=$B34)*(economics!$D$2:$D$167="process")*economics!$AH$2:$AH$167*(_xlfn.NORM.DIST(AO$3,economics!$AK$2:$AK$167,economics!$AJ$2:$AJ$167,TRUE)-_xlfn.NORM.DIST(AO$30,economics!$AK$2:$AK$167,economics!$AJ$2:$AJ$167,TRUE)))),"")</f>
        <v/>
      </c>
      <c r="AP34">
        <f t="array" ref="AP34">IFERROR((SUMPRODUCT((economics!$AG$2:$AG$167=$B34)*(economics!$D$2:$D$167="process")*economics!$AH$2:$AH$167*(_xlfn.NORM.DIST(AP$3,economics!$AK$2:$AK$167,economics!$AJ$2:$AJ$167,TRUE)-_xlfn.NORM.DIST(AP$30,economics!$AK$2:$AK$167,economics!$AJ$2:$AJ$167,TRUE))*economics!$AM$2:$AM$167))/(SUMPRODUCT((economics!$AG$2:$AG$167=$B34)*(economics!$D$2:$D$167="process")*economics!$AH$2:$AH$167*(_xlfn.NORM.DIST(AP$3,economics!$AK$2:$AK$167,economics!$AJ$2:$AJ$167,TRUE)-_xlfn.NORM.DIST(AP$30,economics!$AK$2:$AK$167,economics!$AJ$2:$AJ$167,TRUE)))),"")</f>
        <v/>
      </c>
      <c r="AQ34">
        <f t="array" ref="AQ34">IFERROR((SUMPRODUCT((economics!$AG$2:$AG$167=$B34)*(economics!$D$2:$D$167="process")*economics!$AH$2:$AH$167*(_xlfn.NORM.DIST(AQ$3,economics!$AK$2:$AK$167,economics!$AJ$2:$AJ$167,TRUE)-_xlfn.NORM.DIST(AQ$30,economics!$AK$2:$AK$167,economics!$AJ$2:$AJ$167,TRUE))*economics!$AM$2:$AM$167))/(SUMPRODUCT((economics!$AG$2:$AG$167=$B34)*(economics!$D$2:$D$167="process")*economics!$AH$2:$AH$167*(_xlfn.NORM.DIST(AQ$3,economics!$AK$2:$AK$167,economics!$AJ$2:$AJ$167,TRUE)-_xlfn.NORM.DIST(AQ$30,economics!$AK$2:$AK$167,economics!$AJ$2:$AJ$167,TRUE)))),"")</f>
        <v/>
      </c>
      <c r="AR34">
        <f t="array" ref="AR34">IFERROR((SUMPRODUCT((economics!$AG$2:$AG$167=$B34)*(economics!$D$2:$D$167="process")*economics!$AH$2:$AH$167*(_xlfn.NORM.DIST(AR$3,economics!$AK$2:$AK$167,economics!$AJ$2:$AJ$167,TRUE)-_xlfn.NORM.DIST(AR$30,economics!$AK$2:$AK$167,economics!$AJ$2:$AJ$167,TRUE))*economics!$AM$2:$AM$167))/(SUMPRODUCT((economics!$AG$2:$AG$167=$B34)*(economics!$D$2:$D$167="process")*economics!$AH$2:$AH$167*(_xlfn.NORM.DIST(AR$3,economics!$AK$2:$AK$167,economics!$AJ$2:$AJ$167,TRUE)-_xlfn.NORM.DIST(AR$30,economics!$AK$2:$AK$167,economics!$AJ$2:$AJ$167,TRUE)))),"")</f>
        <v/>
      </c>
      <c r="AS34">
        <f t="array" ref="AS34">IFERROR((SUMPRODUCT((economics!$AG$2:$AG$167=$B34)*(economics!$D$2:$D$167="process")*economics!$AH$2:$AH$167*(_xlfn.NORM.DIST(AS$3,economics!$AK$2:$AK$167,economics!$AJ$2:$AJ$167,TRUE)-_xlfn.NORM.DIST(AS$30,economics!$AK$2:$AK$167,economics!$AJ$2:$AJ$167,TRUE))*economics!$AM$2:$AM$167))/(SUMPRODUCT((economics!$AG$2:$AG$167=$B34)*(economics!$D$2:$D$167="process")*economics!$AH$2:$AH$167*(_xlfn.NORM.DIST(AS$3,economics!$AK$2:$AK$167,economics!$AJ$2:$AJ$167,TRUE)-_xlfn.NORM.DIST(AS$30,economics!$AK$2:$AK$167,economics!$AJ$2:$AJ$167,TRUE)))),"")</f>
        <v/>
      </c>
      <c r="AT34">
        <f t="array" ref="AT34">IFERROR((SUMPRODUCT((economics!$AG$2:$AG$167=$B34)*(economics!$D$2:$D$167="process")*economics!$AH$2:$AH$167*(_xlfn.NORM.DIST(AT$3,economics!$AK$2:$AK$167,economics!$AJ$2:$AJ$167,TRUE)-_xlfn.NORM.DIST(AT$30,economics!$AK$2:$AK$167,economics!$AJ$2:$AJ$167,TRUE))*economics!$AM$2:$AM$167))/(SUMPRODUCT((economics!$AG$2:$AG$167=$B34)*(economics!$D$2:$D$167="process")*economics!$AH$2:$AH$167*(_xlfn.NORM.DIST(AT$3,economics!$AK$2:$AK$167,economics!$AJ$2:$AJ$167,TRUE)-_xlfn.NORM.DIST(AT$30,economics!$AK$2:$AK$167,economics!$AJ$2:$AJ$167,TRUE)))),"")</f>
        <v/>
      </c>
      <c r="AU34">
        <f t="array" ref="AU34">IFERROR((SUMPRODUCT((economics!$AG$2:$AG$167=$B34)*(economics!$D$2:$D$167="process")*economics!$AH$2:$AH$167*(_xlfn.NORM.DIST(AU$3,economics!$AK$2:$AK$167,economics!$AJ$2:$AJ$167,TRUE)-_xlfn.NORM.DIST(AU$30,economics!$AK$2:$AK$167,economics!$AJ$2:$AJ$167,TRUE))*economics!$AM$2:$AM$167))/(SUMPRODUCT((economics!$AG$2:$AG$167=$B34)*(economics!$D$2:$D$167="process")*economics!$AH$2:$AH$167*(_xlfn.NORM.DIST(AU$3,economics!$AK$2:$AK$167,economics!$AJ$2:$AJ$167,TRUE)-_xlfn.NORM.DIST(AU$30,economics!$AK$2:$AK$167,economics!$AJ$2:$AJ$167,TRUE)))),"")</f>
        <v/>
      </c>
      <c r="AV34">
        <f t="array" ref="AV34">IFERROR((SUMPRODUCT((economics!$AG$2:$AG$167=$B34)*(economics!$D$2:$D$167="process")*economics!$AH$2:$AH$167*(_xlfn.NORM.DIST(AV$3,economics!$AK$2:$AK$167,economics!$AJ$2:$AJ$167,TRUE)-_xlfn.NORM.DIST(AV$30,economics!$AK$2:$AK$167,economics!$AJ$2:$AJ$167,TRUE))*economics!$AM$2:$AM$167))/(SUMPRODUCT((economics!$AG$2:$AG$167=$B34)*(economics!$D$2:$D$167="process")*economics!$AH$2:$AH$167*(_xlfn.NORM.DIST(AV$3,economics!$AK$2:$AK$167,economics!$AJ$2:$AJ$167,TRUE)-_xlfn.NORM.DIST(AV$30,economics!$AK$2:$AK$167,economics!$AJ$2:$AJ$167,TRUE)))),"")</f>
        <v/>
      </c>
      <c r="AW34">
        <f t="array" ref="AW34">IFERROR((SUMPRODUCT((economics!$AG$2:$AG$167=$B34)*(economics!$D$2:$D$167="process")*economics!$AH$2:$AH$167*(_xlfn.NORM.DIST(AW$3,economics!$AK$2:$AK$167,economics!$AJ$2:$AJ$167,TRUE)-_xlfn.NORM.DIST(AW$30,economics!$AK$2:$AK$167,economics!$AJ$2:$AJ$167,TRUE))*economics!$AM$2:$AM$167))/(SUMPRODUCT((economics!$AG$2:$AG$167=$B34)*(economics!$D$2:$D$167="process")*economics!$AH$2:$AH$167*(_xlfn.NORM.DIST(AW$3,economics!$AK$2:$AK$167,economics!$AJ$2:$AJ$167,TRUE)-_xlfn.NORM.DIST(AW$30,economics!$AK$2:$AK$167,economics!$AJ$2:$AJ$167,TRUE)))),"")</f>
        <v/>
      </c>
      <c r="AX34">
        <f t="array" ref="AX34">IFERROR((SUMPRODUCT((economics!$AG$2:$AG$167=$B34)*(economics!$D$2:$D$167="process")*economics!$AH$2:$AH$167*(_xlfn.NORM.DIST(AX$3,economics!$AK$2:$AK$167,economics!$AJ$2:$AJ$167,TRUE)-_xlfn.NORM.DIST(AX$30,economics!$AK$2:$AK$167,economics!$AJ$2:$AJ$167,TRUE))*economics!$AM$2:$AM$167))/(SUMPRODUCT((economics!$AG$2:$AG$167=$B34)*(economics!$D$2:$D$167="process")*economics!$AH$2:$AH$167*(_xlfn.NORM.DIST(AX$3,economics!$AK$2:$AK$167,economics!$AJ$2:$AJ$167,TRUE)-_xlfn.NORM.DIST(AX$30,economics!$AK$2:$AK$167,economics!$AJ$2:$AJ$167,TRUE)))),"")</f>
        <v/>
      </c>
      <c r="AY34">
        <f t="array" ref="AY34">IFERROR((SUMPRODUCT((economics!$AG$2:$AG$167=$B34)*(economics!$D$2:$D$167="process")*economics!$AH$2:$AH$167*(_xlfn.NORM.DIST(AY$3,economics!$AK$2:$AK$167,economics!$AJ$2:$AJ$167,TRUE)-_xlfn.NORM.DIST(AY$30,economics!$AK$2:$AK$167,economics!$AJ$2:$AJ$167,TRUE))*economics!$AM$2:$AM$167))/(SUMPRODUCT((economics!$AG$2:$AG$167=$B34)*(economics!$D$2:$D$167="process")*economics!$AH$2:$AH$167*(_xlfn.NORM.DIST(AY$3,economics!$AK$2:$AK$167,economics!$AJ$2:$AJ$167,TRUE)-_xlfn.NORM.DIST(AY$30,economics!$AK$2:$AK$167,economics!$AJ$2:$AJ$167,TRUE)))),"")</f>
        <v/>
      </c>
      <c r="AZ34">
        <f t="array" ref="AZ34">IFERROR((SUMPRODUCT((economics!$AG$2:$AG$167=$B34)*(economics!$D$2:$D$167="process")*economics!$AH$2:$AH$167*(_xlfn.NORM.DIST(AZ$3,economics!$AK$2:$AK$167,economics!$AJ$2:$AJ$167,TRUE)-_xlfn.NORM.DIST(AZ$30,economics!$AK$2:$AK$167,economics!$AJ$2:$AJ$167,TRUE))*economics!$AM$2:$AM$167))/(SUMPRODUCT((economics!$AG$2:$AG$167=$B34)*(economics!$D$2:$D$167="process")*economics!$AH$2:$AH$167*(_xlfn.NORM.DIST(AZ$3,economics!$AK$2:$AK$167,economics!$AJ$2:$AJ$167,TRUE)-_xlfn.NORM.DIST(AZ$30,economics!$AK$2:$AK$167,economics!$AJ$2:$AJ$167,TRUE)))),"")</f>
        <v/>
      </c>
      <c r="BA34">
        <f t="array" ref="BA34">IFERROR((SUMPRODUCT((economics!$AG$2:$AG$167=$B34)*(economics!$D$2:$D$167="process")*economics!$AH$2:$AH$167*(_xlfn.NORM.DIST(BA$3,economics!$AK$2:$AK$167,economics!$AJ$2:$AJ$167,TRUE)-_xlfn.NORM.DIST(BA$30,economics!$AK$2:$AK$167,economics!$AJ$2:$AJ$167,TRUE))*economics!$AM$2:$AM$167))/(SUMPRODUCT((economics!$AG$2:$AG$167=$B34)*(economics!$D$2:$D$167="process")*economics!$AH$2:$AH$167*(_xlfn.NORM.DIST(BA$3,economics!$AK$2:$AK$167,economics!$AJ$2:$AJ$167,TRUE)-_xlfn.NORM.DIST(BA$30,economics!$AK$2:$AK$167,economics!$AJ$2:$AJ$167,TRUE)))),"")</f>
        <v/>
      </c>
      <c r="BB34">
        <f t="array" ref="BB34">IFERROR((SUMPRODUCT((economics!$AG$2:$AG$167=$B34)*(economics!$D$2:$D$167="process")*economics!$AH$2:$AH$167*(_xlfn.NORM.DIST(BB$3,economics!$AK$2:$AK$167,economics!$AJ$2:$AJ$167,TRUE)-_xlfn.NORM.DIST(BB$30,economics!$AK$2:$AK$167,economics!$AJ$2:$AJ$167,TRUE))*economics!$AM$2:$AM$167))/(SUMPRODUCT((economics!$AG$2:$AG$167=$B34)*(economics!$D$2:$D$167="process")*economics!$AH$2:$AH$167*(_xlfn.NORM.DIST(BB$3,economics!$AK$2:$AK$167,economics!$AJ$2:$AJ$167,TRUE)-_xlfn.NORM.DIST(BB$30,economics!$AK$2:$AK$167,economics!$AJ$2:$AJ$167,TRUE)))),"")</f>
        <v/>
      </c>
      <c r="BC34">
        <f t="array" ref="BC34">IFERROR((SUMPRODUCT((economics!$AG$2:$AG$167=$B34)*(economics!$D$2:$D$167="process")*economics!$AH$2:$AH$167*(_xlfn.NORM.DIST(BC$3,economics!$AK$2:$AK$167,economics!$AJ$2:$AJ$167,TRUE)-_xlfn.NORM.DIST(BC$30,economics!$AK$2:$AK$167,economics!$AJ$2:$AJ$167,TRUE))*economics!$AM$2:$AM$167))/(SUMPRODUCT((economics!$AG$2:$AG$167=$B34)*(economics!$D$2:$D$167="process")*economics!$AH$2:$AH$167*(_xlfn.NORM.DIST(BC$3,economics!$AK$2:$AK$167,economics!$AJ$2:$AJ$167,TRUE)-_xlfn.NORM.DIST(BC$30,economics!$AK$2:$AK$167,economics!$AJ$2:$AJ$167,TRUE)))),"")</f>
        <v/>
      </c>
      <c r="BD34">
        <f t="array" ref="BD34">IFERROR((SUMPRODUCT((economics!$AG$2:$AG$167=$B34)*(economics!$D$2:$D$167="process")*economics!$AH$2:$AH$167*(_xlfn.NORM.DIST(BD$3,economics!$AK$2:$AK$167,economics!$AJ$2:$AJ$167,TRUE)-_xlfn.NORM.DIST(BD$30,economics!$AK$2:$AK$167,economics!$AJ$2:$AJ$167,TRUE))*economics!$AM$2:$AM$167))/(SUMPRODUCT((economics!$AG$2:$AG$167=$B34)*(economics!$D$2:$D$167="process")*economics!$AH$2:$AH$167*(_xlfn.NORM.DIST(BD$3,economics!$AK$2:$AK$167,economics!$AJ$2:$AJ$167,TRUE)-_xlfn.NORM.DIST(BD$30,economics!$AK$2:$AK$167,economics!$AJ$2:$AJ$167,TRUE)))),"")</f>
        <v/>
      </c>
      <c r="BE34">
        <f t="array" ref="BE34">IFERROR((SUMPRODUCT((economics!$AG$2:$AG$167=$B34)*(economics!$D$2:$D$167="process")*economics!$AH$2:$AH$167*(_xlfn.NORM.DIST(BE$3,economics!$AK$2:$AK$167,economics!$AJ$2:$AJ$167,TRUE)-_xlfn.NORM.DIST(BE$30,economics!$AK$2:$AK$167,economics!$AJ$2:$AJ$167,TRUE))*economics!$AM$2:$AM$167))/(SUMPRODUCT((economics!$AG$2:$AG$167=$B34)*(economics!$D$2:$D$167="process")*economics!$AH$2:$AH$167*(_xlfn.NORM.DIST(BE$3,economics!$AK$2:$AK$167,economics!$AJ$2:$AJ$167,TRUE)-_xlfn.NORM.DIST(BE$30,economics!$AK$2:$AK$167,economics!$AJ$2:$AJ$167,TRUE)))),"")</f>
        <v/>
      </c>
      <c r="BF34">
        <f t="array" ref="BF34">IFERROR((SUMPRODUCT((economics!$AG$2:$AG$167=$B34)*(economics!$D$2:$D$167="process")*economics!$AH$2:$AH$167*(_xlfn.NORM.DIST(BF$3,economics!$AK$2:$AK$167,economics!$AJ$2:$AJ$167,TRUE)-_xlfn.NORM.DIST(BF$30,economics!$AK$2:$AK$167,economics!$AJ$2:$AJ$167,TRUE))*economics!$AM$2:$AM$167))/(SUMPRODUCT((economics!$AG$2:$AG$167=$B34)*(economics!$D$2:$D$167="process")*economics!$AH$2:$AH$167*(_xlfn.NORM.DIST(BF$3,economics!$AK$2:$AK$167,economics!$AJ$2:$AJ$167,TRUE)-_xlfn.NORM.DIST(BF$30,economics!$AK$2:$AK$167,economics!$AJ$2:$AJ$167,TRUE)))),"")</f>
        <v/>
      </c>
      <c r="BG34">
        <f t="array" ref="BG34">IFERROR((SUMPRODUCT((economics!$AG$2:$AG$167=$B34)*(economics!$D$2:$D$167="process")*economics!$AH$2:$AH$167*(_xlfn.NORM.DIST(BG$3,economics!$AK$2:$AK$167,economics!$AJ$2:$AJ$167,TRUE)-_xlfn.NORM.DIST(BG$30,economics!$AK$2:$AK$167,economics!$AJ$2:$AJ$167,TRUE))*economics!$AM$2:$AM$167))/(SUMPRODUCT((economics!$AG$2:$AG$167=$B34)*(economics!$D$2:$D$167="process")*economics!$AH$2:$AH$167*(_xlfn.NORM.DIST(BG$3,economics!$AK$2:$AK$167,economics!$AJ$2:$AJ$167,TRUE)-_xlfn.NORM.DIST(BG$30,economics!$AK$2:$AK$167,economics!$AJ$2:$AJ$167,TRUE)))),"")</f>
        <v/>
      </c>
      <c r="BH34">
        <f t="array" ref="BH34">IFERROR((SUMPRODUCT((economics!$AG$2:$AG$167=$B34)*(economics!$D$2:$D$167="process")*economics!$AH$2:$AH$167*(_xlfn.NORM.DIST(BH$3,economics!$AK$2:$AK$167,economics!$AJ$2:$AJ$167,TRUE)-_xlfn.NORM.DIST(BH$30,economics!$AK$2:$AK$167,economics!$AJ$2:$AJ$167,TRUE))*economics!$AM$2:$AM$167))/(SUMPRODUCT((economics!$AG$2:$AG$167=$B34)*(economics!$D$2:$D$167="process")*economics!$AH$2:$AH$167*(_xlfn.NORM.DIST(BH$3,economics!$AK$2:$AK$167,economics!$AJ$2:$AJ$167,TRUE)-_xlfn.NORM.DIST(BH$30,economics!$AK$2:$AK$167,economics!$AJ$2:$AJ$167,TRUE)))),"")</f>
        <v/>
      </c>
      <c r="BI34">
        <f t="array" ref="BI34">IFERROR((SUMPRODUCT((economics!$AG$2:$AG$167=$B34)*(economics!$D$2:$D$167="process")*economics!$AH$2:$AH$167*(_xlfn.NORM.DIST(BI$3,economics!$AK$2:$AK$167,economics!$AJ$2:$AJ$167,TRUE)-_xlfn.NORM.DIST(BI$30,economics!$AK$2:$AK$167,economics!$AJ$2:$AJ$167,TRUE))*economics!$AM$2:$AM$167))/(SUMPRODUCT((economics!$AG$2:$AG$167=$B34)*(economics!$D$2:$D$167="process")*economics!$AH$2:$AH$167*(_xlfn.NORM.DIST(BI$3,economics!$AK$2:$AK$167,economics!$AJ$2:$AJ$167,TRUE)-_xlfn.NORM.DIST(BI$30,economics!$AK$2:$AK$167,economics!$AJ$2:$AJ$167,TRUE)))),"")</f>
        <v/>
      </c>
      <c r="BJ34">
        <f t="array" ref="BJ34">IFERROR((SUMPRODUCT((economics!$AG$2:$AG$167=$B34)*(economics!$D$2:$D$167="process")*economics!$AH$2:$AH$167*(_xlfn.NORM.DIST(BJ$3,economics!$AK$2:$AK$167,economics!$AJ$2:$AJ$167,TRUE)-_xlfn.NORM.DIST(BJ$30,economics!$AK$2:$AK$167,economics!$AJ$2:$AJ$167,TRUE))*economics!$AM$2:$AM$167))/(SUMPRODUCT((economics!$AG$2:$AG$167=$B34)*(economics!$D$2:$D$167="process")*economics!$AH$2:$AH$167*(_xlfn.NORM.DIST(BJ$3,economics!$AK$2:$AK$167,economics!$AJ$2:$AJ$167,TRUE)-_xlfn.NORM.DIST(BJ$30,economics!$AK$2:$AK$167,economics!$AJ$2:$AJ$167,TRUE)))),"")</f>
        <v/>
      </c>
      <c r="BK34">
        <f t="array" ref="BK34">IFERROR((SUMPRODUCT((economics!$AG$2:$AG$167=$B34)*(economics!$D$2:$D$167="process")*economics!$AH$2:$AH$167*(_xlfn.NORM.DIST(BK$3,economics!$AK$2:$AK$167,economics!$AJ$2:$AJ$167,TRUE)-_xlfn.NORM.DIST(BK$30,economics!$AK$2:$AK$167,economics!$AJ$2:$AJ$167,TRUE))*economics!$AM$2:$AM$167))/(SUMPRODUCT((economics!$AG$2:$AG$167=$B34)*(economics!$D$2:$D$167="process")*economics!$AH$2:$AH$167*(_xlfn.NORM.DIST(BK$3,economics!$AK$2:$AK$167,economics!$AJ$2:$AJ$167,TRUE)-_xlfn.NORM.DIST(BK$30,economics!$AK$2:$AK$167,economics!$AJ$2:$AJ$167,TRUE)))),"")</f>
        <v/>
      </c>
      <c r="BL34">
        <f t="array" ref="BL34">IFERROR((SUMPRODUCT((economics!$AG$2:$AG$167=$B34)*(economics!$D$2:$D$167="process")*economics!$AH$2:$AH$167*(_xlfn.NORM.DIST(BL$3,economics!$AK$2:$AK$167,economics!$AJ$2:$AJ$167,TRUE)-_xlfn.NORM.DIST(BL$30,economics!$AK$2:$AK$167,economics!$AJ$2:$AJ$167,TRUE))*economics!$AM$2:$AM$167))/(SUMPRODUCT((economics!$AG$2:$AG$167=$B34)*(economics!$D$2:$D$167="process")*economics!$AH$2:$AH$167*(_xlfn.NORM.DIST(BL$3,economics!$AK$2:$AK$167,economics!$AJ$2:$AJ$167,TRUE)-_xlfn.NORM.DIST(BL$30,economics!$AK$2:$AK$167,economics!$AJ$2:$AJ$167,TRUE)))),"")</f>
        <v/>
      </c>
      <c r="BM34">
        <f t="array" ref="BM34">IFERROR((SUMPRODUCT((economics!$AG$2:$AG$167=$B34)*(economics!$D$2:$D$167="process")*economics!$AH$2:$AH$167*(_xlfn.NORM.DIST(BM$3,economics!$AK$2:$AK$167,economics!$AJ$2:$AJ$167,TRUE)-_xlfn.NORM.DIST(BM$30,economics!$AK$2:$AK$167,economics!$AJ$2:$AJ$167,TRUE))*economics!$AM$2:$AM$167))/(SUMPRODUCT((economics!$AG$2:$AG$167=$B34)*(economics!$D$2:$D$167="process")*economics!$AH$2:$AH$167*(_xlfn.NORM.DIST(BM$3,economics!$AK$2:$AK$167,economics!$AJ$2:$AJ$167,TRUE)-_xlfn.NORM.DIST(BM$30,economics!$AK$2:$AK$167,economics!$AJ$2:$AJ$167,TRUE)))),"")</f>
        <v/>
      </c>
      <c r="BN34">
        <f t="array" ref="BN34">IFERROR((SUMPRODUCT((economics!$AG$2:$AG$167=$B34)*(economics!$D$2:$D$167="process")*economics!$AH$2:$AH$167*(_xlfn.NORM.DIST(BN$3,economics!$AK$2:$AK$167,economics!$AJ$2:$AJ$167,TRUE)-_xlfn.NORM.DIST(BN$30,economics!$AK$2:$AK$167,economics!$AJ$2:$AJ$167,TRUE))*economics!$AM$2:$AM$167))/(SUMPRODUCT((economics!$AG$2:$AG$167=$B34)*(economics!$D$2:$D$167="process")*economics!$AH$2:$AH$167*(_xlfn.NORM.DIST(BN$3,economics!$AK$2:$AK$167,economics!$AJ$2:$AJ$167,TRUE)-_xlfn.NORM.DIST(BN$30,economics!$AK$2:$AK$167,economics!$AJ$2:$AJ$167,TRUE)))),"")</f>
        <v/>
      </c>
      <c r="BO34">
        <f t="array" ref="BO34">IFERROR((SUMPRODUCT((economics!$AG$2:$AG$167=$B34)*(economics!$D$2:$D$167="process")*economics!$AH$2:$AH$167*(_xlfn.NORM.DIST(BO$3,economics!$AK$2:$AK$167,economics!$AJ$2:$AJ$167,TRUE)-_xlfn.NORM.DIST(BO$30,economics!$AK$2:$AK$167,economics!$AJ$2:$AJ$167,TRUE))*economics!$AM$2:$AM$167))/(SUMPRODUCT((economics!$AG$2:$AG$167=$B34)*(economics!$D$2:$D$167="process")*economics!$AH$2:$AH$167*(_xlfn.NORM.DIST(BO$3,economics!$AK$2:$AK$167,economics!$AJ$2:$AJ$167,TRUE)-_xlfn.NORM.DIST(BO$30,economics!$AK$2:$AK$167,economics!$AJ$2:$AJ$167,TRUE)))),"")</f>
        <v/>
      </c>
      <c r="BP34">
        <f t="array" ref="BP34">IFERROR((SUMPRODUCT((economics!$AG$2:$AG$167=$B34)*(economics!$D$2:$D$167="process")*economics!$AH$2:$AH$167*(_xlfn.NORM.DIST(BP$3,economics!$AK$2:$AK$167,economics!$AJ$2:$AJ$167,TRUE)-_xlfn.NORM.DIST(BP$30,economics!$AK$2:$AK$167,economics!$AJ$2:$AJ$167,TRUE))*economics!$AM$2:$AM$167))/(SUMPRODUCT((economics!$AG$2:$AG$167=$B34)*(economics!$D$2:$D$167="process")*economics!$AH$2:$AH$167*(_xlfn.NORM.DIST(BP$3,economics!$AK$2:$AK$167,economics!$AJ$2:$AJ$167,TRUE)-_xlfn.NORM.DIST(BP$30,economics!$AK$2:$AK$167,economics!$AJ$2:$AJ$167,TRUE)))),"")</f>
        <v/>
      </c>
      <c r="BQ34">
        <f t="array" ref="BQ34">IFERROR((SUMPRODUCT((economics!$AG$2:$AG$167=$B34)*(economics!$D$2:$D$167="process")*economics!$AH$2:$AH$167*(_xlfn.NORM.DIST(BQ$3,economics!$AK$2:$AK$167,economics!$AJ$2:$AJ$167,TRUE)-_xlfn.NORM.DIST(BQ$30,economics!$AK$2:$AK$167,economics!$AJ$2:$AJ$167,TRUE))*economics!$AM$2:$AM$167))/(SUMPRODUCT((economics!$AG$2:$AG$167=$B34)*(economics!$D$2:$D$167="process")*economics!$AH$2:$AH$167*(_xlfn.NORM.DIST(BQ$3,economics!$AK$2:$AK$167,economics!$AJ$2:$AJ$167,TRUE)-_xlfn.NORM.DIST(BQ$30,economics!$AK$2:$AK$167,economics!$AJ$2:$AJ$167,TRUE)))),"")</f>
        <v/>
      </c>
      <c r="BR34">
        <f t="array" ref="BR34">IFERROR((SUMPRODUCT((economics!$AG$2:$AG$167=$B34)*(economics!$D$2:$D$167="process")*economics!$AH$2:$AH$167*(_xlfn.NORM.DIST(BR$3,economics!$AK$2:$AK$167,economics!$AJ$2:$AJ$167,TRUE)-_xlfn.NORM.DIST(BR$30,economics!$AK$2:$AK$167,economics!$AJ$2:$AJ$167,TRUE))*economics!$AM$2:$AM$167))/(SUMPRODUCT((economics!$AG$2:$AG$167=$B34)*(economics!$D$2:$D$167="process")*economics!$AH$2:$AH$167*(_xlfn.NORM.DIST(BR$3,economics!$AK$2:$AK$167,economics!$AJ$2:$AJ$167,TRUE)-_xlfn.NORM.DIST(BR$30,economics!$AK$2:$AK$167,economics!$AJ$2:$AJ$167,TRUE)))),"")</f>
        <v/>
      </c>
      <c r="BS34">
        <f t="array" ref="BS34">IFERROR((SUMPRODUCT((economics!$AG$2:$AG$167=$B34)*(economics!$D$2:$D$167="process")*economics!$AH$2:$AH$167*(_xlfn.NORM.DIST(BS$3,economics!$AK$2:$AK$167,economics!$AJ$2:$AJ$167,TRUE)-_xlfn.NORM.DIST(BS$30,economics!$AK$2:$AK$167,economics!$AJ$2:$AJ$167,TRUE))*economics!$AM$2:$AM$167))/(SUMPRODUCT((economics!$AG$2:$AG$167=$B34)*(economics!$D$2:$D$167="process")*economics!$AH$2:$AH$167*(_xlfn.NORM.DIST(BS$3,economics!$AK$2:$AK$167,economics!$AJ$2:$AJ$167,TRUE)-_xlfn.NORM.DIST(BS$30,economics!$AK$2:$AK$167,economics!$AJ$2:$AJ$167,TRUE)))),"")</f>
        <v/>
      </c>
      <c r="BT34">
        <f t="array" ref="BT34">IFERROR((SUMPRODUCT((economics!$AG$2:$AG$167=$B34)*(economics!$D$2:$D$167="process")*economics!$AH$2:$AH$167*(_xlfn.NORM.DIST(BT$3,economics!$AK$2:$AK$167,economics!$AJ$2:$AJ$167,TRUE)-_xlfn.NORM.DIST(BT$30,economics!$AK$2:$AK$167,economics!$AJ$2:$AJ$167,TRUE))*economics!$AM$2:$AM$167))/(SUMPRODUCT((economics!$AG$2:$AG$167=$B34)*(economics!$D$2:$D$167="process")*economics!$AH$2:$AH$167*(_xlfn.NORM.DIST(BT$3,economics!$AK$2:$AK$167,economics!$AJ$2:$AJ$167,TRUE)-_xlfn.NORM.DIST(BT$30,economics!$AK$2:$AK$167,economics!$AJ$2:$AJ$167,TRUE)))),"")</f>
        <v/>
      </c>
      <c r="BU34">
        <f t="array" ref="BU34">IFERROR((SUMPRODUCT((economics!$AG$2:$AG$167=$B34)*(economics!$D$2:$D$167="process")*economics!$AH$2:$AH$167*(_xlfn.NORM.DIST(BU$3,economics!$AK$2:$AK$167,economics!$AJ$2:$AJ$167,TRUE)-_xlfn.NORM.DIST(BU$30,economics!$AK$2:$AK$167,economics!$AJ$2:$AJ$167,TRUE))*economics!$AM$2:$AM$167))/(SUMPRODUCT((economics!$AG$2:$AG$167=$B34)*(economics!$D$2:$D$167="process")*economics!$AH$2:$AH$167*(_xlfn.NORM.DIST(BU$3,economics!$AK$2:$AK$167,economics!$AJ$2:$AJ$167,TRUE)-_xlfn.NORM.DIST(BU$30,economics!$AK$2:$AK$167,economics!$AJ$2:$AJ$167,TRUE)))),"")</f>
        <v/>
      </c>
      <c r="BV34">
        <f t="array" ref="BV34">IFERROR((SUMPRODUCT((economics!$AG$2:$AG$167=$B34)*(economics!$D$2:$D$167="process")*economics!$AH$2:$AH$167*(_xlfn.NORM.DIST(BV$3,economics!$AK$2:$AK$167,economics!$AJ$2:$AJ$167,TRUE)-_xlfn.NORM.DIST(BV$30,economics!$AK$2:$AK$167,economics!$AJ$2:$AJ$167,TRUE))*economics!$AM$2:$AM$167))/(SUMPRODUCT((economics!$AG$2:$AG$167=$B34)*(economics!$D$2:$D$167="process")*economics!$AH$2:$AH$167*(_xlfn.NORM.DIST(BV$3,economics!$AK$2:$AK$167,economics!$AJ$2:$AJ$167,TRUE)-_xlfn.NORM.DIST(BV$30,economics!$AK$2:$AK$167,economics!$AJ$2:$AJ$167,TRUE)))),"")</f>
        <v/>
      </c>
      <c r="BW34">
        <f t="array" ref="BW34">IFERROR((SUMPRODUCT((economics!$AG$2:$AG$167=$B34)*(economics!$D$2:$D$167="process")*economics!$AH$2:$AH$167*(_xlfn.NORM.DIST(BW$3,economics!$AK$2:$AK$167,economics!$AJ$2:$AJ$167,TRUE)-_xlfn.NORM.DIST(BW$30,economics!$AK$2:$AK$167,economics!$AJ$2:$AJ$167,TRUE))*economics!$AM$2:$AM$167))/(SUMPRODUCT((economics!$AG$2:$AG$167=$B34)*(economics!$D$2:$D$167="process")*economics!$AH$2:$AH$167*(_xlfn.NORM.DIST(BW$3,economics!$AK$2:$AK$167,economics!$AJ$2:$AJ$167,TRUE)-_xlfn.NORM.DIST(BW$30,economics!$AK$2:$AK$167,economics!$AJ$2:$AJ$167,TRUE)))),"")</f>
        <v/>
      </c>
      <c r="BX34">
        <f t="array" ref="BX34">IFERROR((SUMPRODUCT((economics!$AG$2:$AG$167=$B34)*(economics!$D$2:$D$167="process")*economics!$AH$2:$AH$167*(_xlfn.NORM.DIST(BX$3,economics!$AK$2:$AK$167,economics!$AJ$2:$AJ$167,TRUE)-_xlfn.NORM.DIST(BX$30,economics!$AK$2:$AK$167,economics!$AJ$2:$AJ$167,TRUE))*economics!$AM$2:$AM$167))/(SUMPRODUCT((economics!$AG$2:$AG$167=$B34)*(economics!$D$2:$D$167="process")*economics!$AH$2:$AH$167*(_xlfn.NORM.DIST(BX$3,economics!$AK$2:$AK$167,economics!$AJ$2:$AJ$167,TRUE)-_xlfn.NORM.DIST(BX$30,economics!$AK$2:$AK$167,economics!$AJ$2:$AJ$167,TRUE)))),"")</f>
        <v/>
      </c>
      <c r="BY34">
        <f t="array" ref="BY34">IFERROR((SUMPRODUCT((economics!$AG$2:$AG$167=$B34)*(economics!$D$2:$D$167="process")*economics!$AH$2:$AH$167*(_xlfn.NORM.DIST(BY$3,economics!$AK$2:$AK$167,economics!$AJ$2:$AJ$167,TRUE)-_xlfn.NORM.DIST(BY$30,economics!$AK$2:$AK$167,economics!$AJ$2:$AJ$167,TRUE))*economics!$AM$2:$AM$167))/(SUMPRODUCT((economics!$AG$2:$AG$167=$B34)*(economics!$D$2:$D$167="process")*economics!$AH$2:$AH$167*(_xlfn.NORM.DIST(BY$3,economics!$AK$2:$AK$167,economics!$AJ$2:$AJ$167,TRUE)-_xlfn.NORM.DIST(BY$30,economics!$AK$2:$AK$167,economics!$AJ$2:$AJ$167,TRUE)))),"")</f>
        <v/>
      </c>
      <c r="BZ34">
        <f t="array" ref="BZ34">IFERROR((SUMPRODUCT((economics!$AG$2:$AG$167=$B34)*(economics!$D$2:$D$167="process")*economics!$AH$2:$AH$167*(_xlfn.NORM.DIST(BZ$3,economics!$AK$2:$AK$167,economics!$AJ$2:$AJ$167,TRUE)-_xlfn.NORM.DIST(BZ$30,economics!$AK$2:$AK$167,economics!$AJ$2:$AJ$167,TRUE))*economics!$AM$2:$AM$167))/(SUMPRODUCT((economics!$AG$2:$AG$167=$B34)*(economics!$D$2:$D$167="process")*economics!$AH$2:$AH$167*(_xlfn.NORM.DIST(BZ$3,economics!$AK$2:$AK$167,economics!$AJ$2:$AJ$167,TRUE)-_xlfn.NORM.DIST(BZ$30,economics!$AK$2:$AK$167,economics!$AJ$2:$AJ$167,TRUE)))),"")</f>
        <v/>
      </c>
      <c r="CA34">
        <f t="array" ref="CA34">IFERROR((SUMPRODUCT((economics!$AG$2:$AG$167=$B34)*(economics!$D$2:$D$167="process")*economics!$AH$2:$AH$167*(_xlfn.NORM.DIST(CA$3,economics!$AK$2:$AK$167,economics!$AJ$2:$AJ$167,TRUE)-_xlfn.NORM.DIST(CA$30,economics!$AK$2:$AK$167,economics!$AJ$2:$AJ$167,TRUE))*economics!$AM$2:$AM$167))/(SUMPRODUCT((economics!$AG$2:$AG$167=$B34)*(economics!$D$2:$D$167="process")*economics!$AH$2:$AH$167*(_xlfn.NORM.DIST(CA$3,economics!$AK$2:$AK$167,economics!$AJ$2:$AJ$167,TRUE)-_xlfn.NORM.DIST(CA$30,economics!$AK$2:$AK$167,economics!$AJ$2:$AJ$167,TRUE)))),"")</f>
        <v/>
      </c>
      <c r="CB34">
        <f t="array" ref="CB34">IFERROR((SUMPRODUCT((economics!$AG$2:$AG$167=$B34)*(economics!$D$2:$D$167="process")*economics!$AH$2:$AH$167*(_xlfn.NORM.DIST(CB$3,economics!$AK$2:$AK$167,economics!$AJ$2:$AJ$167,TRUE)-_xlfn.NORM.DIST(CB$30,economics!$AK$2:$AK$167,economics!$AJ$2:$AJ$167,TRUE))*economics!$AM$2:$AM$167))/(SUMPRODUCT((economics!$AG$2:$AG$167=$B34)*(economics!$D$2:$D$167="process")*economics!$AH$2:$AH$167*(_xlfn.NORM.DIST(CB$3,economics!$AK$2:$AK$167,economics!$AJ$2:$AJ$167,TRUE)-_xlfn.NORM.DIST(CB$30,economics!$AK$2:$AK$167,economics!$AJ$2:$AJ$167,TRUE)))),"")</f>
        <v/>
      </c>
      <c r="CC34">
        <f t="array" ref="CC34">IFERROR((SUMPRODUCT((economics!$AG$2:$AG$167=$B34)*(economics!$D$2:$D$167="process")*economics!$AH$2:$AH$167*(_xlfn.NORM.DIST(CC$3,economics!$AK$2:$AK$167,economics!$AJ$2:$AJ$167,TRUE)-_xlfn.NORM.DIST(CC$30,economics!$AK$2:$AK$167,economics!$AJ$2:$AJ$167,TRUE))*economics!$AM$2:$AM$167))/(SUMPRODUCT((economics!$AG$2:$AG$167=$B34)*(economics!$D$2:$D$167="process")*economics!$AH$2:$AH$167*(_xlfn.NORM.DIST(CC$3,economics!$AK$2:$AK$167,economics!$AJ$2:$AJ$167,TRUE)-_xlfn.NORM.DIST(CC$30,economics!$AK$2:$AK$167,economics!$AJ$2:$AJ$167,TRUE)))),"")</f>
        <v/>
      </c>
      <c r="CD34">
        <f t="array" ref="CD34">IFERROR((SUMPRODUCT((economics!$AG$2:$AG$167=$B34)*(economics!$D$2:$D$167="process")*economics!$AH$2:$AH$167*(_xlfn.NORM.DIST(CD$3,economics!$AK$2:$AK$167,economics!$AJ$2:$AJ$167,TRUE)-_xlfn.NORM.DIST(CD$30,economics!$AK$2:$AK$167,economics!$AJ$2:$AJ$167,TRUE))*economics!$AM$2:$AM$167))/(SUMPRODUCT((economics!$AG$2:$AG$167=$B34)*(economics!$D$2:$D$167="process")*economics!$AH$2:$AH$167*(_xlfn.NORM.DIST(CD$3,economics!$AK$2:$AK$167,economics!$AJ$2:$AJ$167,TRUE)-_xlfn.NORM.DIST(CD$30,economics!$AK$2:$AK$167,economics!$AJ$2:$AJ$167,TRUE)))),"")</f>
        <v/>
      </c>
      <c r="CE34">
        <f t="array" ref="CE34">IFERROR((SUMPRODUCT((economics!$AG$2:$AG$167=$B34)*(economics!$D$2:$D$167="process")*economics!$AH$2:$AH$167*(_xlfn.NORM.DIST(CE$3,economics!$AK$2:$AK$167,economics!$AJ$2:$AJ$167,TRUE)-_xlfn.NORM.DIST(CE$30,economics!$AK$2:$AK$167,economics!$AJ$2:$AJ$167,TRUE))*economics!$AM$2:$AM$167))/(SUMPRODUCT((economics!$AG$2:$AG$167=$B34)*(economics!$D$2:$D$167="process")*economics!$AH$2:$AH$167*(_xlfn.NORM.DIST(CE$3,economics!$AK$2:$AK$167,economics!$AJ$2:$AJ$167,TRUE)-_xlfn.NORM.DIST(CE$30,economics!$AK$2:$AK$167,economics!$AJ$2:$AJ$167,TRUE)))),"")</f>
        <v/>
      </c>
      <c r="CF34">
        <f t="array" ref="CF34">IFERROR((SUMPRODUCT((economics!$AG$2:$AG$167=$B34)*(economics!$D$2:$D$167="process")*economics!$AH$2:$AH$167*(_xlfn.NORM.DIST(CF$3,economics!$AK$2:$AK$167,economics!$AJ$2:$AJ$167,TRUE)-_xlfn.NORM.DIST(CF$30,economics!$AK$2:$AK$167,economics!$AJ$2:$AJ$167,TRUE))*economics!$AM$2:$AM$167))/(SUMPRODUCT((economics!$AG$2:$AG$167=$B34)*(economics!$D$2:$D$167="process")*economics!$AH$2:$AH$167*(_xlfn.NORM.DIST(CF$3,economics!$AK$2:$AK$167,economics!$AJ$2:$AJ$167,TRUE)-_xlfn.NORM.DIST(CF$30,economics!$AK$2:$AK$167,economics!$AJ$2:$AJ$167,TRUE)))),"")</f>
        <v/>
      </c>
      <c r="CG34">
        <f t="array" ref="CG34">IFERROR((SUMPRODUCT((economics!$AG$2:$AG$167=$B34)*(economics!$D$2:$D$167="process")*economics!$AH$2:$AH$167*(_xlfn.NORM.DIST(CG$3,economics!$AK$2:$AK$167,economics!$AJ$2:$AJ$167,TRUE)-_xlfn.NORM.DIST(CG$30,economics!$AK$2:$AK$167,economics!$AJ$2:$AJ$167,TRUE))*economics!$AM$2:$AM$167))/(SUMPRODUCT((economics!$AG$2:$AG$167=$B34)*(economics!$D$2:$D$167="process")*economics!$AH$2:$AH$167*(_xlfn.NORM.DIST(CG$3,economics!$AK$2:$AK$167,economics!$AJ$2:$AJ$167,TRUE)-_xlfn.NORM.DIST(CG$30,economics!$AK$2:$AK$167,economics!$AJ$2:$AJ$167,TRUE)))),"")</f>
        <v/>
      </c>
      <c r="CH34">
        <f t="array" ref="CH34">IFERROR((SUMPRODUCT((economics!$AG$2:$AG$167=$B34)*(economics!$D$2:$D$167="process")*economics!$AH$2:$AH$167*(_xlfn.NORM.DIST(CH$3,economics!$AK$2:$AK$167,economics!$AJ$2:$AJ$167,TRUE)-_xlfn.NORM.DIST(CH$30,economics!$AK$2:$AK$167,economics!$AJ$2:$AJ$167,TRUE))*economics!$AM$2:$AM$167))/(SUMPRODUCT((economics!$AG$2:$AG$167=$B34)*(economics!$D$2:$D$167="process")*economics!$AH$2:$AH$167*(_xlfn.NORM.DIST(CH$3,economics!$AK$2:$AK$167,economics!$AJ$2:$AJ$167,TRUE)-_xlfn.NORM.DIST(CH$30,economics!$AK$2:$AK$167,economics!$AJ$2:$AJ$167,TRUE)))),"")</f>
        <v/>
      </c>
    </row>
    <row r="35">
      <c r="A35">
        <f>A6</f>
        <v/>
      </c>
      <c r="B35">
        <f>B6</f>
        <v/>
      </c>
      <c r="E35">
        <f t="array" ref="E35">IFERROR((SUMPRODUCT((economics!$AG$2:$AG$167=$B35)*(economics!$D$2:$D$167="process")*economics!$AH$2:$AH$167*(_xlfn.NORM.DIST(E$3,economics!$AK$2:$AK$167,economics!$AJ$2:$AJ$167,TRUE)-_xlfn.NORM.DIST(E$30,economics!$AK$2:$AK$167,economics!$AJ$2:$AJ$167,TRUE))*economics!$AM$2:$AM$167))/(SUMPRODUCT((economics!$AG$2:$AG$167=$B35)*(economics!$D$2:$D$167="process")*economics!$AH$2:$AH$167*(_xlfn.NORM.DIST(E$3,economics!$AK$2:$AK$167,economics!$AJ$2:$AJ$167,TRUE)-_xlfn.NORM.DIST(E$30,economics!$AK$2:$AK$167,economics!$AJ$2:$AJ$167,TRUE)))),"")</f>
        <v/>
      </c>
      <c r="F35">
        <f t="array" ref="F35">IFERROR((SUMPRODUCT((economics!$AG$2:$AG$167=$B35)*(economics!$D$2:$D$167="process")*economics!$AH$2:$AH$167*(_xlfn.NORM.DIST(F$3,economics!$AK$2:$AK$167,economics!$AJ$2:$AJ$167,TRUE)-_xlfn.NORM.DIST(F$30,economics!$AK$2:$AK$167,economics!$AJ$2:$AJ$167,TRUE))*economics!$AM$2:$AM$167))/(SUMPRODUCT((economics!$AG$2:$AG$167=$B35)*(economics!$D$2:$D$167="process")*economics!$AH$2:$AH$167*(_xlfn.NORM.DIST(F$3,economics!$AK$2:$AK$167,economics!$AJ$2:$AJ$167,TRUE)-_xlfn.NORM.DIST(F$30,economics!$AK$2:$AK$167,economics!$AJ$2:$AJ$167,TRUE)))),"")</f>
        <v/>
      </c>
      <c r="G35">
        <f t="array" ref="G35">IFERROR((SUMPRODUCT((economics!$AG$2:$AG$167=$B35)*(economics!$D$2:$D$167="process")*economics!$AH$2:$AH$167*(_xlfn.NORM.DIST(G$3,economics!$AK$2:$AK$167,economics!$AJ$2:$AJ$167,TRUE)-_xlfn.NORM.DIST(G$30,economics!$AK$2:$AK$167,economics!$AJ$2:$AJ$167,TRUE))*economics!$AM$2:$AM$167))/(SUMPRODUCT((economics!$AG$2:$AG$167=$B35)*(economics!$D$2:$D$167="process")*economics!$AH$2:$AH$167*(_xlfn.NORM.DIST(G$3,economics!$AK$2:$AK$167,economics!$AJ$2:$AJ$167,TRUE)-_xlfn.NORM.DIST(G$30,economics!$AK$2:$AK$167,economics!$AJ$2:$AJ$167,TRUE)))),"")</f>
        <v/>
      </c>
      <c r="H35">
        <f t="array" ref="H35">IFERROR((SUMPRODUCT((economics!$AG$2:$AG$167=$B35)*(economics!$D$2:$D$167="process")*economics!$AH$2:$AH$167*(_xlfn.NORM.DIST(H$3,economics!$AK$2:$AK$167,economics!$AJ$2:$AJ$167,TRUE)-_xlfn.NORM.DIST(H$30,economics!$AK$2:$AK$167,economics!$AJ$2:$AJ$167,TRUE))*economics!$AM$2:$AM$167))/(SUMPRODUCT((economics!$AG$2:$AG$167=$B35)*(economics!$D$2:$D$167="process")*economics!$AH$2:$AH$167*(_xlfn.NORM.DIST(H$3,economics!$AK$2:$AK$167,economics!$AJ$2:$AJ$167,TRUE)-_xlfn.NORM.DIST(H$30,economics!$AK$2:$AK$167,economics!$AJ$2:$AJ$167,TRUE)))),"")</f>
        <v/>
      </c>
      <c r="I35">
        <f t="array" ref="I35">IFERROR((SUMPRODUCT((economics!$AG$2:$AG$167=$B35)*(economics!$D$2:$D$167="process")*economics!$AH$2:$AH$167*(_xlfn.NORM.DIST(I$3,economics!$AK$2:$AK$167,economics!$AJ$2:$AJ$167,TRUE)-_xlfn.NORM.DIST(I$30,economics!$AK$2:$AK$167,economics!$AJ$2:$AJ$167,TRUE))*economics!$AM$2:$AM$167))/(SUMPRODUCT((economics!$AG$2:$AG$167=$B35)*(economics!$D$2:$D$167="process")*economics!$AH$2:$AH$167*(_xlfn.NORM.DIST(I$3,economics!$AK$2:$AK$167,economics!$AJ$2:$AJ$167,TRUE)-_xlfn.NORM.DIST(I$30,economics!$AK$2:$AK$167,economics!$AJ$2:$AJ$167,TRUE)))),"")</f>
        <v/>
      </c>
      <c r="J35">
        <f t="array" ref="J35">IFERROR((SUMPRODUCT((economics!$AG$2:$AG$167=$B35)*(economics!$D$2:$D$167="process")*economics!$AH$2:$AH$167*(_xlfn.NORM.DIST(J$3,economics!$AK$2:$AK$167,economics!$AJ$2:$AJ$167,TRUE)-_xlfn.NORM.DIST(J$30,economics!$AK$2:$AK$167,economics!$AJ$2:$AJ$167,TRUE))*economics!$AM$2:$AM$167))/(SUMPRODUCT((economics!$AG$2:$AG$167=$B35)*(economics!$D$2:$D$167="process")*economics!$AH$2:$AH$167*(_xlfn.NORM.DIST(J$3,economics!$AK$2:$AK$167,economics!$AJ$2:$AJ$167,TRUE)-_xlfn.NORM.DIST(J$30,economics!$AK$2:$AK$167,economics!$AJ$2:$AJ$167,TRUE)))),"")</f>
        <v/>
      </c>
      <c r="K35">
        <f t="array" ref="K35">IFERROR((SUMPRODUCT((economics!$AG$2:$AG$167=$B35)*(economics!$D$2:$D$167="process")*economics!$AH$2:$AH$167*(_xlfn.NORM.DIST(K$3,economics!$AK$2:$AK$167,economics!$AJ$2:$AJ$167,TRUE)-_xlfn.NORM.DIST(K$30,economics!$AK$2:$AK$167,economics!$AJ$2:$AJ$167,TRUE))*economics!$AM$2:$AM$167))/(SUMPRODUCT((economics!$AG$2:$AG$167=$B35)*(economics!$D$2:$D$167="process")*economics!$AH$2:$AH$167*(_xlfn.NORM.DIST(K$3,economics!$AK$2:$AK$167,economics!$AJ$2:$AJ$167,TRUE)-_xlfn.NORM.DIST(K$30,economics!$AK$2:$AK$167,economics!$AJ$2:$AJ$167,TRUE)))),"")</f>
        <v/>
      </c>
      <c r="L35">
        <f t="array" ref="L35">IFERROR((SUMPRODUCT((economics!$AG$2:$AG$167=$B35)*(economics!$D$2:$D$167="process")*economics!$AH$2:$AH$167*(_xlfn.NORM.DIST(L$3,economics!$AK$2:$AK$167,economics!$AJ$2:$AJ$167,TRUE)-_xlfn.NORM.DIST(L$30,economics!$AK$2:$AK$167,economics!$AJ$2:$AJ$167,TRUE))*economics!$AM$2:$AM$167))/(SUMPRODUCT((economics!$AG$2:$AG$167=$B35)*(economics!$D$2:$D$167="process")*economics!$AH$2:$AH$167*(_xlfn.NORM.DIST(L$3,economics!$AK$2:$AK$167,economics!$AJ$2:$AJ$167,TRUE)-_xlfn.NORM.DIST(L$30,economics!$AK$2:$AK$167,economics!$AJ$2:$AJ$167,TRUE)))),"")</f>
        <v/>
      </c>
      <c r="M35">
        <f t="array" ref="M35">IFERROR((SUMPRODUCT((economics!$AG$2:$AG$167=$B35)*(economics!$D$2:$D$167="process")*economics!$AH$2:$AH$167*(_xlfn.NORM.DIST(M$3,economics!$AK$2:$AK$167,economics!$AJ$2:$AJ$167,TRUE)-_xlfn.NORM.DIST(M$30,economics!$AK$2:$AK$167,economics!$AJ$2:$AJ$167,TRUE))*economics!$AM$2:$AM$167))/(SUMPRODUCT((economics!$AG$2:$AG$167=$B35)*(economics!$D$2:$D$167="process")*economics!$AH$2:$AH$167*(_xlfn.NORM.DIST(M$3,economics!$AK$2:$AK$167,economics!$AJ$2:$AJ$167,TRUE)-_xlfn.NORM.DIST(M$30,economics!$AK$2:$AK$167,economics!$AJ$2:$AJ$167,TRUE)))),"")</f>
        <v/>
      </c>
      <c r="N35">
        <f t="array" ref="N35">IFERROR((SUMPRODUCT((economics!$AG$2:$AG$167=$B35)*(economics!$D$2:$D$167="process")*economics!$AH$2:$AH$167*(_xlfn.NORM.DIST(N$3,economics!$AK$2:$AK$167,economics!$AJ$2:$AJ$167,TRUE)-_xlfn.NORM.DIST(N$30,economics!$AK$2:$AK$167,economics!$AJ$2:$AJ$167,TRUE))*economics!$AM$2:$AM$167))/(SUMPRODUCT((economics!$AG$2:$AG$167=$B35)*(economics!$D$2:$D$167="process")*economics!$AH$2:$AH$167*(_xlfn.NORM.DIST(N$3,economics!$AK$2:$AK$167,economics!$AJ$2:$AJ$167,TRUE)-_xlfn.NORM.DIST(N$30,economics!$AK$2:$AK$167,economics!$AJ$2:$AJ$167,TRUE)))),"")</f>
        <v/>
      </c>
      <c r="O35">
        <f t="array" ref="O35">IFERROR((SUMPRODUCT((economics!$AG$2:$AG$167=$B35)*(economics!$D$2:$D$167="process")*economics!$AH$2:$AH$167*(_xlfn.NORM.DIST(O$3,economics!$AK$2:$AK$167,economics!$AJ$2:$AJ$167,TRUE)-_xlfn.NORM.DIST(O$30,economics!$AK$2:$AK$167,economics!$AJ$2:$AJ$167,TRUE))*economics!$AM$2:$AM$167))/(SUMPRODUCT((economics!$AG$2:$AG$167=$B35)*(economics!$D$2:$D$167="process")*economics!$AH$2:$AH$167*(_xlfn.NORM.DIST(O$3,economics!$AK$2:$AK$167,economics!$AJ$2:$AJ$167,TRUE)-_xlfn.NORM.DIST(O$30,economics!$AK$2:$AK$167,economics!$AJ$2:$AJ$167,TRUE)))),"")</f>
        <v/>
      </c>
      <c r="P35">
        <f t="array" ref="P35">IFERROR((SUMPRODUCT((economics!$AG$2:$AG$167=$B35)*(economics!$D$2:$D$167="process")*economics!$AH$2:$AH$167*(_xlfn.NORM.DIST(P$3,economics!$AK$2:$AK$167,economics!$AJ$2:$AJ$167,TRUE)-_xlfn.NORM.DIST(P$30,economics!$AK$2:$AK$167,economics!$AJ$2:$AJ$167,TRUE))*economics!$AM$2:$AM$167))/(SUMPRODUCT((economics!$AG$2:$AG$167=$B35)*(economics!$D$2:$D$167="process")*economics!$AH$2:$AH$167*(_xlfn.NORM.DIST(P$3,economics!$AK$2:$AK$167,economics!$AJ$2:$AJ$167,TRUE)-_xlfn.NORM.DIST(P$30,economics!$AK$2:$AK$167,economics!$AJ$2:$AJ$167,TRUE)))),"")</f>
        <v/>
      </c>
      <c r="Q35">
        <f t="array" ref="Q35">IFERROR((SUMPRODUCT((economics!$AG$2:$AG$167=$B35)*(economics!$D$2:$D$167="process")*economics!$AH$2:$AH$167*(_xlfn.NORM.DIST(Q$3,economics!$AK$2:$AK$167,economics!$AJ$2:$AJ$167,TRUE)-_xlfn.NORM.DIST(Q$30,economics!$AK$2:$AK$167,economics!$AJ$2:$AJ$167,TRUE))*economics!$AM$2:$AM$167))/(SUMPRODUCT((economics!$AG$2:$AG$167=$B35)*(economics!$D$2:$D$167="process")*economics!$AH$2:$AH$167*(_xlfn.NORM.DIST(Q$3,economics!$AK$2:$AK$167,economics!$AJ$2:$AJ$167,TRUE)-_xlfn.NORM.DIST(Q$30,economics!$AK$2:$AK$167,economics!$AJ$2:$AJ$167,TRUE)))),"")</f>
        <v/>
      </c>
      <c r="R35">
        <f t="array" ref="R35">IFERROR((SUMPRODUCT((economics!$AG$2:$AG$167=$B35)*(economics!$D$2:$D$167="process")*economics!$AH$2:$AH$167*(_xlfn.NORM.DIST(R$3,economics!$AK$2:$AK$167,economics!$AJ$2:$AJ$167,TRUE)-_xlfn.NORM.DIST(R$30,economics!$AK$2:$AK$167,economics!$AJ$2:$AJ$167,TRUE))*economics!$AM$2:$AM$167))/(SUMPRODUCT((economics!$AG$2:$AG$167=$B35)*(economics!$D$2:$D$167="process")*economics!$AH$2:$AH$167*(_xlfn.NORM.DIST(R$3,economics!$AK$2:$AK$167,economics!$AJ$2:$AJ$167,TRUE)-_xlfn.NORM.DIST(R$30,economics!$AK$2:$AK$167,economics!$AJ$2:$AJ$167,TRUE)))),"")</f>
        <v/>
      </c>
      <c r="S35">
        <f t="array" ref="S35">IFERROR((SUMPRODUCT((economics!$AG$2:$AG$167=$B35)*(economics!$D$2:$D$167="process")*economics!$AH$2:$AH$167*(_xlfn.NORM.DIST(S$3,economics!$AK$2:$AK$167,economics!$AJ$2:$AJ$167,TRUE)-_xlfn.NORM.DIST(S$30,economics!$AK$2:$AK$167,economics!$AJ$2:$AJ$167,TRUE))*economics!$AM$2:$AM$167))/(SUMPRODUCT((economics!$AG$2:$AG$167=$B35)*(economics!$D$2:$D$167="process")*economics!$AH$2:$AH$167*(_xlfn.NORM.DIST(S$3,economics!$AK$2:$AK$167,economics!$AJ$2:$AJ$167,TRUE)-_xlfn.NORM.DIST(S$30,economics!$AK$2:$AK$167,economics!$AJ$2:$AJ$167,TRUE)))),"")</f>
        <v/>
      </c>
      <c r="T35">
        <f t="array" ref="T35">IFERROR((SUMPRODUCT((economics!$AG$2:$AG$167=$B35)*(economics!$D$2:$D$167="process")*economics!$AH$2:$AH$167*(_xlfn.NORM.DIST(T$3,economics!$AK$2:$AK$167,economics!$AJ$2:$AJ$167,TRUE)-_xlfn.NORM.DIST(T$30,economics!$AK$2:$AK$167,economics!$AJ$2:$AJ$167,TRUE))*economics!$AM$2:$AM$167))/(SUMPRODUCT((economics!$AG$2:$AG$167=$B35)*(economics!$D$2:$D$167="process")*economics!$AH$2:$AH$167*(_xlfn.NORM.DIST(T$3,economics!$AK$2:$AK$167,economics!$AJ$2:$AJ$167,TRUE)-_xlfn.NORM.DIST(T$30,economics!$AK$2:$AK$167,economics!$AJ$2:$AJ$167,TRUE)))),"")</f>
        <v/>
      </c>
      <c r="U35">
        <f t="array" ref="U35">IFERROR((SUMPRODUCT((economics!$AG$2:$AG$167=$B35)*(economics!$D$2:$D$167="process")*economics!$AH$2:$AH$167*(_xlfn.NORM.DIST(U$3,economics!$AK$2:$AK$167,economics!$AJ$2:$AJ$167,TRUE)-_xlfn.NORM.DIST(U$30,economics!$AK$2:$AK$167,economics!$AJ$2:$AJ$167,TRUE))*economics!$AM$2:$AM$167))/(SUMPRODUCT((economics!$AG$2:$AG$167=$B35)*(economics!$D$2:$D$167="process")*economics!$AH$2:$AH$167*(_xlfn.NORM.DIST(U$3,economics!$AK$2:$AK$167,economics!$AJ$2:$AJ$167,TRUE)-_xlfn.NORM.DIST(U$30,economics!$AK$2:$AK$167,economics!$AJ$2:$AJ$167,TRUE)))),"")</f>
        <v/>
      </c>
      <c r="V35">
        <f t="array" ref="V35">IFERROR((SUMPRODUCT((economics!$AG$2:$AG$167=$B35)*(economics!$D$2:$D$167="process")*economics!$AH$2:$AH$167*(_xlfn.NORM.DIST(V$3,economics!$AK$2:$AK$167,economics!$AJ$2:$AJ$167,TRUE)-_xlfn.NORM.DIST(V$30,economics!$AK$2:$AK$167,economics!$AJ$2:$AJ$167,TRUE))*economics!$AM$2:$AM$167))/(SUMPRODUCT((economics!$AG$2:$AG$167=$B35)*(economics!$D$2:$D$167="process")*economics!$AH$2:$AH$167*(_xlfn.NORM.DIST(V$3,economics!$AK$2:$AK$167,economics!$AJ$2:$AJ$167,TRUE)-_xlfn.NORM.DIST(V$30,economics!$AK$2:$AK$167,economics!$AJ$2:$AJ$167,TRUE)))),"")</f>
        <v/>
      </c>
      <c r="W35">
        <f t="array" ref="W35">IFERROR((SUMPRODUCT((economics!$AG$2:$AG$167=$B35)*(economics!$D$2:$D$167="process")*economics!$AH$2:$AH$167*(_xlfn.NORM.DIST(W$3,economics!$AK$2:$AK$167,economics!$AJ$2:$AJ$167,TRUE)-_xlfn.NORM.DIST(W$30,economics!$AK$2:$AK$167,economics!$AJ$2:$AJ$167,TRUE))*economics!$AM$2:$AM$167))/(SUMPRODUCT((economics!$AG$2:$AG$167=$B35)*(economics!$D$2:$D$167="process")*economics!$AH$2:$AH$167*(_xlfn.NORM.DIST(W$3,economics!$AK$2:$AK$167,economics!$AJ$2:$AJ$167,TRUE)-_xlfn.NORM.DIST(W$30,economics!$AK$2:$AK$167,economics!$AJ$2:$AJ$167,TRUE)))),"")</f>
        <v/>
      </c>
      <c r="X35">
        <f t="array" ref="X35">IFERROR((SUMPRODUCT((economics!$AG$2:$AG$167=$B35)*(economics!$D$2:$D$167="process")*economics!$AH$2:$AH$167*(_xlfn.NORM.DIST(X$3,economics!$AK$2:$AK$167,economics!$AJ$2:$AJ$167,TRUE)-_xlfn.NORM.DIST(X$30,economics!$AK$2:$AK$167,economics!$AJ$2:$AJ$167,TRUE))*economics!$AM$2:$AM$167))/(SUMPRODUCT((economics!$AG$2:$AG$167=$B35)*(economics!$D$2:$D$167="process")*economics!$AH$2:$AH$167*(_xlfn.NORM.DIST(X$3,economics!$AK$2:$AK$167,economics!$AJ$2:$AJ$167,TRUE)-_xlfn.NORM.DIST(X$30,economics!$AK$2:$AK$167,economics!$AJ$2:$AJ$167,TRUE)))),"")</f>
        <v/>
      </c>
      <c r="Y35">
        <f t="array" ref="Y35">IFERROR((SUMPRODUCT((economics!$AG$2:$AG$167=$B35)*(economics!$D$2:$D$167="process")*economics!$AH$2:$AH$167*(_xlfn.NORM.DIST(Y$3,economics!$AK$2:$AK$167,economics!$AJ$2:$AJ$167,TRUE)-_xlfn.NORM.DIST(Y$30,economics!$AK$2:$AK$167,economics!$AJ$2:$AJ$167,TRUE))*economics!$AM$2:$AM$167))/(SUMPRODUCT((economics!$AG$2:$AG$167=$B35)*(economics!$D$2:$D$167="process")*economics!$AH$2:$AH$167*(_xlfn.NORM.DIST(Y$3,economics!$AK$2:$AK$167,economics!$AJ$2:$AJ$167,TRUE)-_xlfn.NORM.DIST(Y$30,economics!$AK$2:$AK$167,economics!$AJ$2:$AJ$167,TRUE)))),"")</f>
        <v/>
      </c>
      <c r="Z35">
        <f t="array" ref="Z35">IFERROR((SUMPRODUCT((economics!$AG$2:$AG$167=$B35)*(economics!$D$2:$D$167="process")*economics!$AH$2:$AH$167*(_xlfn.NORM.DIST(Z$3,economics!$AK$2:$AK$167,economics!$AJ$2:$AJ$167,TRUE)-_xlfn.NORM.DIST(Z$30,economics!$AK$2:$AK$167,economics!$AJ$2:$AJ$167,TRUE))*economics!$AM$2:$AM$167))/(SUMPRODUCT((economics!$AG$2:$AG$167=$B35)*(economics!$D$2:$D$167="process")*economics!$AH$2:$AH$167*(_xlfn.NORM.DIST(Z$3,economics!$AK$2:$AK$167,economics!$AJ$2:$AJ$167,TRUE)-_xlfn.NORM.DIST(Z$30,economics!$AK$2:$AK$167,economics!$AJ$2:$AJ$167,TRUE)))),"")</f>
        <v/>
      </c>
      <c r="AA35">
        <f t="array" ref="AA35">IFERROR((SUMPRODUCT((economics!$AG$2:$AG$167=$B35)*(economics!$D$2:$D$167="process")*economics!$AH$2:$AH$167*(_xlfn.NORM.DIST(AA$3,economics!$AK$2:$AK$167,economics!$AJ$2:$AJ$167,TRUE)-_xlfn.NORM.DIST(AA$30,economics!$AK$2:$AK$167,economics!$AJ$2:$AJ$167,TRUE))*economics!$AM$2:$AM$167))/(SUMPRODUCT((economics!$AG$2:$AG$167=$B35)*(economics!$D$2:$D$167="process")*economics!$AH$2:$AH$167*(_xlfn.NORM.DIST(AA$3,economics!$AK$2:$AK$167,economics!$AJ$2:$AJ$167,TRUE)-_xlfn.NORM.DIST(AA$30,economics!$AK$2:$AK$167,economics!$AJ$2:$AJ$167,TRUE)))),"")</f>
        <v/>
      </c>
      <c r="AB35">
        <f t="array" ref="AB35">IFERROR((SUMPRODUCT((economics!$AG$2:$AG$167=$B35)*(economics!$D$2:$D$167="process")*economics!$AH$2:$AH$167*(_xlfn.NORM.DIST(AB$3,economics!$AK$2:$AK$167,economics!$AJ$2:$AJ$167,TRUE)-_xlfn.NORM.DIST(AB$30,economics!$AK$2:$AK$167,economics!$AJ$2:$AJ$167,TRUE))*economics!$AM$2:$AM$167))/(SUMPRODUCT((economics!$AG$2:$AG$167=$B35)*(economics!$D$2:$D$167="process")*economics!$AH$2:$AH$167*(_xlfn.NORM.DIST(AB$3,economics!$AK$2:$AK$167,economics!$AJ$2:$AJ$167,TRUE)-_xlfn.NORM.DIST(AB$30,economics!$AK$2:$AK$167,economics!$AJ$2:$AJ$167,TRUE)))),"")</f>
        <v/>
      </c>
      <c r="AC35">
        <f t="array" ref="AC35">IFERROR((SUMPRODUCT((economics!$AG$2:$AG$167=$B35)*(economics!$D$2:$D$167="process")*economics!$AH$2:$AH$167*(_xlfn.NORM.DIST(AC$3,economics!$AK$2:$AK$167,economics!$AJ$2:$AJ$167,TRUE)-_xlfn.NORM.DIST(AC$30,economics!$AK$2:$AK$167,economics!$AJ$2:$AJ$167,TRUE))*economics!$AM$2:$AM$167))/(SUMPRODUCT((economics!$AG$2:$AG$167=$B35)*(economics!$D$2:$D$167="process")*economics!$AH$2:$AH$167*(_xlfn.NORM.DIST(AC$3,economics!$AK$2:$AK$167,economics!$AJ$2:$AJ$167,TRUE)-_xlfn.NORM.DIST(AC$30,economics!$AK$2:$AK$167,economics!$AJ$2:$AJ$167,TRUE)))),"")</f>
        <v/>
      </c>
      <c r="AD35">
        <f t="array" ref="AD35">IFERROR((SUMPRODUCT((economics!$AG$2:$AG$167=$B35)*(economics!$D$2:$D$167="process")*economics!$AH$2:$AH$167*(_xlfn.NORM.DIST(AD$3,economics!$AK$2:$AK$167,economics!$AJ$2:$AJ$167,TRUE)-_xlfn.NORM.DIST(AD$30,economics!$AK$2:$AK$167,economics!$AJ$2:$AJ$167,TRUE))*economics!$AM$2:$AM$167))/(SUMPRODUCT((economics!$AG$2:$AG$167=$B35)*(economics!$D$2:$D$167="process")*economics!$AH$2:$AH$167*(_xlfn.NORM.DIST(AD$3,economics!$AK$2:$AK$167,economics!$AJ$2:$AJ$167,TRUE)-_xlfn.NORM.DIST(AD$30,economics!$AK$2:$AK$167,economics!$AJ$2:$AJ$167,TRUE)))),"")</f>
        <v/>
      </c>
      <c r="AE35">
        <f t="array" ref="AE35">IFERROR((SUMPRODUCT((economics!$AG$2:$AG$167=$B35)*(economics!$D$2:$D$167="process")*economics!$AH$2:$AH$167*(_xlfn.NORM.DIST(AE$3,economics!$AK$2:$AK$167,economics!$AJ$2:$AJ$167,TRUE)-_xlfn.NORM.DIST(AE$30,economics!$AK$2:$AK$167,economics!$AJ$2:$AJ$167,TRUE))*economics!$AM$2:$AM$167))/(SUMPRODUCT((economics!$AG$2:$AG$167=$B35)*(economics!$D$2:$D$167="process")*economics!$AH$2:$AH$167*(_xlfn.NORM.DIST(AE$3,economics!$AK$2:$AK$167,economics!$AJ$2:$AJ$167,TRUE)-_xlfn.NORM.DIST(AE$30,economics!$AK$2:$AK$167,economics!$AJ$2:$AJ$167,TRUE)))),"")</f>
        <v/>
      </c>
      <c r="AF35">
        <f t="array" ref="AF35">IFERROR((SUMPRODUCT((economics!$AG$2:$AG$167=$B35)*(economics!$D$2:$D$167="process")*economics!$AH$2:$AH$167*(_xlfn.NORM.DIST(AF$3,economics!$AK$2:$AK$167,economics!$AJ$2:$AJ$167,TRUE)-_xlfn.NORM.DIST(AF$30,economics!$AK$2:$AK$167,economics!$AJ$2:$AJ$167,TRUE))*economics!$AM$2:$AM$167))/(SUMPRODUCT((economics!$AG$2:$AG$167=$B35)*(economics!$D$2:$D$167="process")*economics!$AH$2:$AH$167*(_xlfn.NORM.DIST(AF$3,economics!$AK$2:$AK$167,economics!$AJ$2:$AJ$167,TRUE)-_xlfn.NORM.DIST(AF$30,economics!$AK$2:$AK$167,economics!$AJ$2:$AJ$167,TRUE)))),"")</f>
        <v/>
      </c>
      <c r="AG35">
        <f t="array" ref="AG35">IFERROR((SUMPRODUCT((economics!$AG$2:$AG$167=$B35)*(economics!$D$2:$D$167="process")*economics!$AH$2:$AH$167*(_xlfn.NORM.DIST(AG$3,economics!$AK$2:$AK$167,economics!$AJ$2:$AJ$167,TRUE)-_xlfn.NORM.DIST(AG$30,economics!$AK$2:$AK$167,economics!$AJ$2:$AJ$167,TRUE))*economics!$AM$2:$AM$167))/(SUMPRODUCT((economics!$AG$2:$AG$167=$B35)*(economics!$D$2:$D$167="process")*economics!$AH$2:$AH$167*(_xlfn.NORM.DIST(AG$3,economics!$AK$2:$AK$167,economics!$AJ$2:$AJ$167,TRUE)-_xlfn.NORM.DIST(AG$30,economics!$AK$2:$AK$167,economics!$AJ$2:$AJ$167,TRUE)))),"")</f>
        <v/>
      </c>
      <c r="AH35">
        <f t="array" ref="AH35">IFERROR((SUMPRODUCT((economics!$AG$2:$AG$167=$B35)*(economics!$D$2:$D$167="process")*economics!$AH$2:$AH$167*(_xlfn.NORM.DIST(AH$3,economics!$AK$2:$AK$167,economics!$AJ$2:$AJ$167,TRUE)-_xlfn.NORM.DIST(AH$30,economics!$AK$2:$AK$167,economics!$AJ$2:$AJ$167,TRUE))*economics!$AM$2:$AM$167))/(SUMPRODUCT((economics!$AG$2:$AG$167=$B35)*(economics!$D$2:$D$167="process")*economics!$AH$2:$AH$167*(_xlfn.NORM.DIST(AH$3,economics!$AK$2:$AK$167,economics!$AJ$2:$AJ$167,TRUE)-_xlfn.NORM.DIST(AH$30,economics!$AK$2:$AK$167,economics!$AJ$2:$AJ$167,TRUE)))),"")</f>
        <v/>
      </c>
      <c r="AI35">
        <f t="array" ref="AI35">IFERROR((SUMPRODUCT((economics!$AG$2:$AG$167=$B35)*(economics!$D$2:$D$167="process")*economics!$AH$2:$AH$167*(_xlfn.NORM.DIST(AI$3,economics!$AK$2:$AK$167,economics!$AJ$2:$AJ$167,TRUE)-_xlfn.NORM.DIST(AI$30,economics!$AK$2:$AK$167,economics!$AJ$2:$AJ$167,TRUE))*economics!$AM$2:$AM$167))/(SUMPRODUCT((economics!$AG$2:$AG$167=$B35)*(economics!$D$2:$D$167="process")*economics!$AH$2:$AH$167*(_xlfn.NORM.DIST(AI$3,economics!$AK$2:$AK$167,economics!$AJ$2:$AJ$167,TRUE)-_xlfn.NORM.DIST(AI$30,economics!$AK$2:$AK$167,economics!$AJ$2:$AJ$167,TRUE)))),"")</f>
        <v/>
      </c>
      <c r="AJ35">
        <f t="array" ref="AJ35">IFERROR((SUMPRODUCT((economics!$AG$2:$AG$167=$B35)*(economics!$D$2:$D$167="process")*economics!$AH$2:$AH$167*(_xlfn.NORM.DIST(AJ$3,economics!$AK$2:$AK$167,economics!$AJ$2:$AJ$167,TRUE)-_xlfn.NORM.DIST(AJ$30,economics!$AK$2:$AK$167,economics!$AJ$2:$AJ$167,TRUE))*economics!$AM$2:$AM$167))/(SUMPRODUCT((economics!$AG$2:$AG$167=$B35)*(economics!$D$2:$D$167="process")*economics!$AH$2:$AH$167*(_xlfn.NORM.DIST(AJ$3,economics!$AK$2:$AK$167,economics!$AJ$2:$AJ$167,TRUE)-_xlfn.NORM.DIST(AJ$30,economics!$AK$2:$AK$167,economics!$AJ$2:$AJ$167,TRUE)))),"")</f>
        <v/>
      </c>
      <c r="AK35">
        <f t="array" ref="AK35">IFERROR((SUMPRODUCT((economics!$AG$2:$AG$167=$B35)*(economics!$D$2:$D$167="process")*economics!$AH$2:$AH$167*(_xlfn.NORM.DIST(AK$3,economics!$AK$2:$AK$167,economics!$AJ$2:$AJ$167,TRUE)-_xlfn.NORM.DIST(AK$30,economics!$AK$2:$AK$167,economics!$AJ$2:$AJ$167,TRUE))*economics!$AM$2:$AM$167))/(SUMPRODUCT((economics!$AG$2:$AG$167=$B35)*(economics!$D$2:$D$167="process")*economics!$AH$2:$AH$167*(_xlfn.NORM.DIST(AK$3,economics!$AK$2:$AK$167,economics!$AJ$2:$AJ$167,TRUE)-_xlfn.NORM.DIST(AK$30,economics!$AK$2:$AK$167,economics!$AJ$2:$AJ$167,TRUE)))),"")</f>
        <v/>
      </c>
      <c r="AL35">
        <f t="array" ref="AL35">IFERROR((SUMPRODUCT((economics!$AG$2:$AG$167=$B35)*(economics!$D$2:$D$167="process")*economics!$AH$2:$AH$167*(_xlfn.NORM.DIST(AL$3,economics!$AK$2:$AK$167,economics!$AJ$2:$AJ$167,TRUE)-_xlfn.NORM.DIST(AL$30,economics!$AK$2:$AK$167,economics!$AJ$2:$AJ$167,TRUE))*economics!$AM$2:$AM$167))/(SUMPRODUCT((economics!$AG$2:$AG$167=$B35)*(economics!$D$2:$D$167="process")*economics!$AH$2:$AH$167*(_xlfn.NORM.DIST(AL$3,economics!$AK$2:$AK$167,economics!$AJ$2:$AJ$167,TRUE)-_xlfn.NORM.DIST(AL$30,economics!$AK$2:$AK$167,economics!$AJ$2:$AJ$167,TRUE)))),"")</f>
        <v/>
      </c>
      <c r="AM35">
        <f t="array" ref="AM35">IFERROR((SUMPRODUCT((economics!$AG$2:$AG$167=$B35)*(economics!$D$2:$D$167="process")*economics!$AH$2:$AH$167*(_xlfn.NORM.DIST(AM$3,economics!$AK$2:$AK$167,economics!$AJ$2:$AJ$167,TRUE)-_xlfn.NORM.DIST(AM$30,economics!$AK$2:$AK$167,economics!$AJ$2:$AJ$167,TRUE))*economics!$AM$2:$AM$167))/(SUMPRODUCT((economics!$AG$2:$AG$167=$B35)*(economics!$D$2:$D$167="process")*economics!$AH$2:$AH$167*(_xlfn.NORM.DIST(AM$3,economics!$AK$2:$AK$167,economics!$AJ$2:$AJ$167,TRUE)-_xlfn.NORM.DIST(AM$30,economics!$AK$2:$AK$167,economics!$AJ$2:$AJ$167,TRUE)))),"")</f>
        <v/>
      </c>
      <c r="AN35">
        <f t="array" ref="AN35">IFERROR((SUMPRODUCT((economics!$AG$2:$AG$167=$B35)*(economics!$D$2:$D$167="process")*economics!$AH$2:$AH$167*(_xlfn.NORM.DIST(AN$3,economics!$AK$2:$AK$167,economics!$AJ$2:$AJ$167,TRUE)-_xlfn.NORM.DIST(AN$30,economics!$AK$2:$AK$167,economics!$AJ$2:$AJ$167,TRUE))*economics!$AM$2:$AM$167))/(SUMPRODUCT((economics!$AG$2:$AG$167=$B35)*(economics!$D$2:$D$167="process")*economics!$AH$2:$AH$167*(_xlfn.NORM.DIST(AN$3,economics!$AK$2:$AK$167,economics!$AJ$2:$AJ$167,TRUE)-_xlfn.NORM.DIST(AN$30,economics!$AK$2:$AK$167,economics!$AJ$2:$AJ$167,TRUE)))),"")</f>
        <v/>
      </c>
      <c r="AO35">
        <f t="array" ref="AO35">IFERROR((SUMPRODUCT((economics!$AG$2:$AG$167=$B35)*(economics!$D$2:$D$167="process")*economics!$AH$2:$AH$167*(_xlfn.NORM.DIST(AO$3,economics!$AK$2:$AK$167,economics!$AJ$2:$AJ$167,TRUE)-_xlfn.NORM.DIST(AO$30,economics!$AK$2:$AK$167,economics!$AJ$2:$AJ$167,TRUE))*economics!$AM$2:$AM$167))/(SUMPRODUCT((economics!$AG$2:$AG$167=$B35)*(economics!$D$2:$D$167="process")*economics!$AH$2:$AH$167*(_xlfn.NORM.DIST(AO$3,economics!$AK$2:$AK$167,economics!$AJ$2:$AJ$167,TRUE)-_xlfn.NORM.DIST(AO$30,economics!$AK$2:$AK$167,economics!$AJ$2:$AJ$167,TRUE)))),"")</f>
        <v/>
      </c>
      <c r="AP35">
        <f t="array" ref="AP35">IFERROR((SUMPRODUCT((economics!$AG$2:$AG$167=$B35)*(economics!$D$2:$D$167="process")*economics!$AH$2:$AH$167*(_xlfn.NORM.DIST(AP$3,economics!$AK$2:$AK$167,economics!$AJ$2:$AJ$167,TRUE)-_xlfn.NORM.DIST(AP$30,economics!$AK$2:$AK$167,economics!$AJ$2:$AJ$167,TRUE))*economics!$AM$2:$AM$167))/(SUMPRODUCT((economics!$AG$2:$AG$167=$B35)*(economics!$D$2:$D$167="process")*economics!$AH$2:$AH$167*(_xlfn.NORM.DIST(AP$3,economics!$AK$2:$AK$167,economics!$AJ$2:$AJ$167,TRUE)-_xlfn.NORM.DIST(AP$30,economics!$AK$2:$AK$167,economics!$AJ$2:$AJ$167,TRUE)))),"")</f>
        <v/>
      </c>
      <c r="AQ35">
        <f t="array" ref="AQ35">IFERROR((SUMPRODUCT((economics!$AG$2:$AG$167=$B35)*(economics!$D$2:$D$167="process")*economics!$AH$2:$AH$167*(_xlfn.NORM.DIST(AQ$3,economics!$AK$2:$AK$167,economics!$AJ$2:$AJ$167,TRUE)-_xlfn.NORM.DIST(AQ$30,economics!$AK$2:$AK$167,economics!$AJ$2:$AJ$167,TRUE))*economics!$AM$2:$AM$167))/(SUMPRODUCT((economics!$AG$2:$AG$167=$B35)*(economics!$D$2:$D$167="process")*economics!$AH$2:$AH$167*(_xlfn.NORM.DIST(AQ$3,economics!$AK$2:$AK$167,economics!$AJ$2:$AJ$167,TRUE)-_xlfn.NORM.DIST(AQ$30,economics!$AK$2:$AK$167,economics!$AJ$2:$AJ$167,TRUE)))),"")</f>
        <v/>
      </c>
      <c r="AR35">
        <f t="array" ref="AR35">IFERROR((SUMPRODUCT((economics!$AG$2:$AG$167=$B35)*(economics!$D$2:$D$167="process")*economics!$AH$2:$AH$167*(_xlfn.NORM.DIST(AR$3,economics!$AK$2:$AK$167,economics!$AJ$2:$AJ$167,TRUE)-_xlfn.NORM.DIST(AR$30,economics!$AK$2:$AK$167,economics!$AJ$2:$AJ$167,TRUE))*economics!$AM$2:$AM$167))/(SUMPRODUCT((economics!$AG$2:$AG$167=$B35)*(economics!$D$2:$D$167="process")*economics!$AH$2:$AH$167*(_xlfn.NORM.DIST(AR$3,economics!$AK$2:$AK$167,economics!$AJ$2:$AJ$167,TRUE)-_xlfn.NORM.DIST(AR$30,economics!$AK$2:$AK$167,economics!$AJ$2:$AJ$167,TRUE)))),"")</f>
        <v/>
      </c>
      <c r="AS35">
        <f t="array" ref="AS35">IFERROR((SUMPRODUCT((economics!$AG$2:$AG$167=$B35)*(economics!$D$2:$D$167="process")*economics!$AH$2:$AH$167*(_xlfn.NORM.DIST(AS$3,economics!$AK$2:$AK$167,economics!$AJ$2:$AJ$167,TRUE)-_xlfn.NORM.DIST(AS$30,economics!$AK$2:$AK$167,economics!$AJ$2:$AJ$167,TRUE))*economics!$AM$2:$AM$167))/(SUMPRODUCT((economics!$AG$2:$AG$167=$B35)*(economics!$D$2:$D$167="process")*economics!$AH$2:$AH$167*(_xlfn.NORM.DIST(AS$3,economics!$AK$2:$AK$167,economics!$AJ$2:$AJ$167,TRUE)-_xlfn.NORM.DIST(AS$30,economics!$AK$2:$AK$167,economics!$AJ$2:$AJ$167,TRUE)))),"")</f>
        <v/>
      </c>
      <c r="AT35">
        <f t="array" ref="AT35">IFERROR((SUMPRODUCT((economics!$AG$2:$AG$167=$B35)*(economics!$D$2:$D$167="process")*economics!$AH$2:$AH$167*(_xlfn.NORM.DIST(AT$3,economics!$AK$2:$AK$167,economics!$AJ$2:$AJ$167,TRUE)-_xlfn.NORM.DIST(AT$30,economics!$AK$2:$AK$167,economics!$AJ$2:$AJ$167,TRUE))*economics!$AM$2:$AM$167))/(SUMPRODUCT((economics!$AG$2:$AG$167=$B35)*(economics!$D$2:$D$167="process")*economics!$AH$2:$AH$167*(_xlfn.NORM.DIST(AT$3,economics!$AK$2:$AK$167,economics!$AJ$2:$AJ$167,TRUE)-_xlfn.NORM.DIST(AT$30,economics!$AK$2:$AK$167,economics!$AJ$2:$AJ$167,TRUE)))),"")</f>
        <v/>
      </c>
      <c r="AU35">
        <f t="array" ref="AU35">IFERROR((SUMPRODUCT((economics!$AG$2:$AG$167=$B35)*(economics!$D$2:$D$167="process")*economics!$AH$2:$AH$167*(_xlfn.NORM.DIST(AU$3,economics!$AK$2:$AK$167,economics!$AJ$2:$AJ$167,TRUE)-_xlfn.NORM.DIST(AU$30,economics!$AK$2:$AK$167,economics!$AJ$2:$AJ$167,TRUE))*economics!$AM$2:$AM$167))/(SUMPRODUCT((economics!$AG$2:$AG$167=$B35)*(economics!$D$2:$D$167="process")*economics!$AH$2:$AH$167*(_xlfn.NORM.DIST(AU$3,economics!$AK$2:$AK$167,economics!$AJ$2:$AJ$167,TRUE)-_xlfn.NORM.DIST(AU$30,economics!$AK$2:$AK$167,economics!$AJ$2:$AJ$167,TRUE)))),"")</f>
        <v/>
      </c>
      <c r="AV35">
        <f t="array" ref="AV35">IFERROR((SUMPRODUCT((economics!$AG$2:$AG$167=$B35)*(economics!$D$2:$D$167="process")*economics!$AH$2:$AH$167*(_xlfn.NORM.DIST(AV$3,economics!$AK$2:$AK$167,economics!$AJ$2:$AJ$167,TRUE)-_xlfn.NORM.DIST(AV$30,economics!$AK$2:$AK$167,economics!$AJ$2:$AJ$167,TRUE))*economics!$AM$2:$AM$167))/(SUMPRODUCT((economics!$AG$2:$AG$167=$B35)*(economics!$D$2:$D$167="process")*economics!$AH$2:$AH$167*(_xlfn.NORM.DIST(AV$3,economics!$AK$2:$AK$167,economics!$AJ$2:$AJ$167,TRUE)-_xlfn.NORM.DIST(AV$30,economics!$AK$2:$AK$167,economics!$AJ$2:$AJ$167,TRUE)))),"")</f>
        <v/>
      </c>
      <c r="AW35">
        <f t="array" ref="AW35">IFERROR((SUMPRODUCT((economics!$AG$2:$AG$167=$B35)*(economics!$D$2:$D$167="process")*economics!$AH$2:$AH$167*(_xlfn.NORM.DIST(AW$3,economics!$AK$2:$AK$167,economics!$AJ$2:$AJ$167,TRUE)-_xlfn.NORM.DIST(AW$30,economics!$AK$2:$AK$167,economics!$AJ$2:$AJ$167,TRUE))*economics!$AM$2:$AM$167))/(SUMPRODUCT((economics!$AG$2:$AG$167=$B35)*(economics!$D$2:$D$167="process")*economics!$AH$2:$AH$167*(_xlfn.NORM.DIST(AW$3,economics!$AK$2:$AK$167,economics!$AJ$2:$AJ$167,TRUE)-_xlfn.NORM.DIST(AW$30,economics!$AK$2:$AK$167,economics!$AJ$2:$AJ$167,TRUE)))),"")</f>
        <v/>
      </c>
      <c r="AX35">
        <f t="array" ref="AX35">IFERROR((SUMPRODUCT((economics!$AG$2:$AG$167=$B35)*(economics!$D$2:$D$167="process")*economics!$AH$2:$AH$167*(_xlfn.NORM.DIST(AX$3,economics!$AK$2:$AK$167,economics!$AJ$2:$AJ$167,TRUE)-_xlfn.NORM.DIST(AX$30,economics!$AK$2:$AK$167,economics!$AJ$2:$AJ$167,TRUE))*economics!$AM$2:$AM$167))/(SUMPRODUCT((economics!$AG$2:$AG$167=$B35)*(economics!$D$2:$D$167="process")*economics!$AH$2:$AH$167*(_xlfn.NORM.DIST(AX$3,economics!$AK$2:$AK$167,economics!$AJ$2:$AJ$167,TRUE)-_xlfn.NORM.DIST(AX$30,economics!$AK$2:$AK$167,economics!$AJ$2:$AJ$167,TRUE)))),"")</f>
        <v/>
      </c>
      <c r="AY35">
        <f t="array" ref="AY35">IFERROR((SUMPRODUCT((economics!$AG$2:$AG$167=$B35)*(economics!$D$2:$D$167="process")*economics!$AH$2:$AH$167*(_xlfn.NORM.DIST(AY$3,economics!$AK$2:$AK$167,economics!$AJ$2:$AJ$167,TRUE)-_xlfn.NORM.DIST(AY$30,economics!$AK$2:$AK$167,economics!$AJ$2:$AJ$167,TRUE))*economics!$AM$2:$AM$167))/(SUMPRODUCT((economics!$AG$2:$AG$167=$B35)*(economics!$D$2:$D$167="process")*economics!$AH$2:$AH$167*(_xlfn.NORM.DIST(AY$3,economics!$AK$2:$AK$167,economics!$AJ$2:$AJ$167,TRUE)-_xlfn.NORM.DIST(AY$30,economics!$AK$2:$AK$167,economics!$AJ$2:$AJ$167,TRUE)))),"")</f>
        <v/>
      </c>
      <c r="AZ35">
        <f t="array" ref="AZ35">IFERROR((SUMPRODUCT((economics!$AG$2:$AG$167=$B35)*(economics!$D$2:$D$167="process")*economics!$AH$2:$AH$167*(_xlfn.NORM.DIST(AZ$3,economics!$AK$2:$AK$167,economics!$AJ$2:$AJ$167,TRUE)-_xlfn.NORM.DIST(AZ$30,economics!$AK$2:$AK$167,economics!$AJ$2:$AJ$167,TRUE))*economics!$AM$2:$AM$167))/(SUMPRODUCT((economics!$AG$2:$AG$167=$B35)*(economics!$D$2:$D$167="process")*economics!$AH$2:$AH$167*(_xlfn.NORM.DIST(AZ$3,economics!$AK$2:$AK$167,economics!$AJ$2:$AJ$167,TRUE)-_xlfn.NORM.DIST(AZ$30,economics!$AK$2:$AK$167,economics!$AJ$2:$AJ$167,TRUE)))),"")</f>
        <v/>
      </c>
      <c r="BA35">
        <f t="array" ref="BA35">IFERROR((SUMPRODUCT((economics!$AG$2:$AG$167=$B35)*(economics!$D$2:$D$167="process")*economics!$AH$2:$AH$167*(_xlfn.NORM.DIST(BA$3,economics!$AK$2:$AK$167,economics!$AJ$2:$AJ$167,TRUE)-_xlfn.NORM.DIST(BA$30,economics!$AK$2:$AK$167,economics!$AJ$2:$AJ$167,TRUE))*economics!$AM$2:$AM$167))/(SUMPRODUCT((economics!$AG$2:$AG$167=$B35)*(economics!$D$2:$D$167="process")*economics!$AH$2:$AH$167*(_xlfn.NORM.DIST(BA$3,economics!$AK$2:$AK$167,economics!$AJ$2:$AJ$167,TRUE)-_xlfn.NORM.DIST(BA$30,economics!$AK$2:$AK$167,economics!$AJ$2:$AJ$167,TRUE)))),"")</f>
        <v/>
      </c>
      <c r="BB35">
        <f t="array" ref="BB35">IFERROR((SUMPRODUCT((economics!$AG$2:$AG$167=$B35)*(economics!$D$2:$D$167="process")*economics!$AH$2:$AH$167*(_xlfn.NORM.DIST(BB$3,economics!$AK$2:$AK$167,economics!$AJ$2:$AJ$167,TRUE)-_xlfn.NORM.DIST(BB$30,economics!$AK$2:$AK$167,economics!$AJ$2:$AJ$167,TRUE))*economics!$AM$2:$AM$167))/(SUMPRODUCT((economics!$AG$2:$AG$167=$B35)*(economics!$D$2:$D$167="process")*economics!$AH$2:$AH$167*(_xlfn.NORM.DIST(BB$3,economics!$AK$2:$AK$167,economics!$AJ$2:$AJ$167,TRUE)-_xlfn.NORM.DIST(BB$30,economics!$AK$2:$AK$167,economics!$AJ$2:$AJ$167,TRUE)))),"")</f>
        <v/>
      </c>
      <c r="BC35">
        <f t="array" ref="BC35">IFERROR((SUMPRODUCT((economics!$AG$2:$AG$167=$B35)*(economics!$D$2:$D$167="process")*economics!$AH$2:$AH$167*(_xlfn.NORM.DIST(BC$3,economics!$AK$2:$AK$167,economics!$AJ$2:$AJ$167,TRUE)-_xlfn.NORM.DIST(BC$30,economics!$AK$2:$AK$167,economics!$AJ$2:$AJ$167,TRUE))*economics!$AM$2:$AM$167))/(SUMPRODUCT((economics!$AG$2:$AG$167=$B35)*(economics!$D$2:$D$167="process")*economics!$AH$2:$AH$167*(_xlfn.NORM.DIST(BC$3,economics!$AK$2:$AK$167,economics!$AJ$2:$AJ$167,TRUE)-_xlfn.NORM.DIST(BC$30,economics!$AK$2:$AK$167,economics!$AJ$2:$AJ$167,TRUE)))),"")</f>
        <v/>
      </c>
      <c r="BD35">
        <f t="array" ref="BD35">IFERROR((SUMPRODUCT((economics!$AG$2:$AG$167=$B35)*(economics!$D$2:$D$167="process")*economics!$AH$2:$AH$167*(_xlfn.NORM.DIST(BD$3,economics!$AK$2:$AK$167,economics!$AJ$2:$AJ$167,TRUE)-_xlfn.NORM.DIST(BD$30,economics!$AK$2:$AK$167,economics!$AJ$2:$AJ$167,TRUE))*economics!$AM$2:$AM$167))/(SUMPRODUCT((economics!$AG$2:$AG$167=$B35)*(economics!$D$2:$D$167="process")*economics!$AH$2:$AH$167*(_xlfn.NORM.DIST(BD$3,economics!$AK$2:$AK$167,economics!$AJ$2:$AJ$167,TRUE)-_xlfn.NORM.DIST(BD$30,economics!$AK$2:$AK$167,economics!$AJ$2:$AJ$167,TRUE)))),"")</f>
        <v/>
      </c>
      <c r="BE35">
        <f t="array" ref="BE35">IFERROR((SUMPRODUCT((economics!$AG$2:$AG$167=$B35)*(economics!$D$2:$D$167="process")*economics!$AH$2:$AH$167*(_xlfn.NORM.DIST(BE$3,economics!$AK$2:$AK$167,economics!$AJ$2:$AJ$167,TRUE)-_xlfn.NORM.DIST(BE$30,economics!$AK$2:$AK$167,economics!$AJ$2:$AJ$167,TRUE))*economics!$AM$2:$AM$167))/(SUMPRODUCT((economics!$AG$2:$AG$167=$B35)*(economics!$D$2:$D$167="process")*economics!$AH$2:$AH$167*(_xlfn.NORM.DIST(BE$3,economics!$AK$2:$AK$167,economics!$AJ$2:$AJ$167,TRUE)-_xlfn.NORM.DIST(BE$30,economics!$AK$2:$AK$167,economics!$AJ$2:$AJ$167,TRUE)))),"")</f>
        <v/>
      </c>
      <c r="BF35">
        <f t="array" ref="BF35">IFERROR((SUMPRODUCT((economics!$AG$2:$AG$167=$B35)*(economics!$D$2:$D$167="process")*economics!$AH$2:$AH$167*(_xlfn.NORM.DIST(BF$3,economics!$AK$2:$AK$167,economics!$AJ$2:$AJ$167,TRUE)-_xlfn.NORM.DIST(BF$30,economics!$AK$2:$AK$167,economics!$AJ$2:$AJ$167,TRUE))*economics!$AM$2:$AM$167))/(SUMPRODUCT((economics!$AG$2:$AG$167=$B35)*(economics!$D$2:$D$167="process")*economics!$AH$2:$AH$167*(_xlfn.NORM.DIST(BF$3,economics!$AK$2:$AK$167,economics!$AJ$2:$AJ$167,TRUE)-_xlfn.NORM.DIST(BF$30,economics!$AK$2:$AK$167,economics!$AJ$2:$AJ$167,TRUE)))),"")</f>
        <v/>
      </c>
      <c r="BG35">
        <f t="array" ref="BG35">IFERROR((SUMPRODUCT((economics!$AG$2:$AG$167=$B35)*(economics!$D$2:$D$167="process")*economics!$AH$2:$AH$167*(_xlfn.NORM.DIST(BG$3,economics!$AK$2:$AK$167,economics!$AJ$2:$AJ$167,TRUE)-_xlfn.NORM.DIST(BG$30,economics!$AK$2:$AK$167,economics!$AJ$2:$AJ$167,TRUE))*economics!$AM$2:$AM$167))/(SUMPRODUCT((economics!$AG$2:$AG$167=$B35)*(economics!$D$2:$D$167="process")*economics!$AH$2:$AH$167*(_xlfn.NORM.DIST(BG$3,economics!$AK$2:$AK$167,economics!$AJ$2:$AJ$167,TRUE)-_xlfn.NORM.DIST(BG$30,economics!$AK$2:$AK$167,economics!$AJ$2:$AJ$167,TRUE)))),"")</f>
        <v/>
      </c>
      <c r="BH35">
        <f t="array" ref="BH35">IFERROR((SUMPRODUCT((economics!$AG$2:$AG$167=$B35)*(economics!$D$2:$D$167="process")*economics!$AH$2:$AH$167*(_xlfn.NORM.DIST(BH$3,economics!$AK$2:$AK$167,economics!$AJ$2:$AJ$167,TRUE)-_xlfn.NORM.DIST(BH$30,economics!$AK$2:$AK$167,economics!$AJ$2:$AJ$167,TRUE))*economics!$AM$2:$AM$167))/(SUMPRODUCT((economics!$AG$2:$AG$167=$B35)*(economics!$D$2:$D$167="process")*economics!$AH$2:$AH$167*(_xlfn.NORM.DIST(BH$3,economics!$AK$2:$AK$167,economics!$AJ$2:$AJ$167,TRUE)-_xlfn.NORM.DIST(BH$30,economics!$AK$2:$AK$167,economics!$AJ$2:$AJ$167,TRUE)))),"")</f>
        <v/>
      </c>
      <c r="BI35">
        <f t="array" ref="BI35">IFERROR((SUMPRODUCT((economics!$AG$2:$AG$167=$B35)*(economics!$D$2:$D$167="process")*economics!$AH$2:$AH$167*(_xlfn.NORM.DIST(BI$3,economics!$AK$2:$AK$167,economics!$AJ$2:$AJ$167,TRUE)-_xlfn.NORM.DIST(BI$30,economics!$AK$2:$AK$167,economics!$AJ$2:$AJ$167,TRUE))*economics!$AM$2:$AM$167))/(SUMPRODUCT((economics!$AG$2:$AG$167=$B35)*(economics!$D$2:$D$167="process")*economics!$AH$2:$AH$167*(_xlfn.NORM.DIST(BI$3,economics!$AK$2:$AK$167,economics!$AJ$2:$AJ$167,TRUE)-_xlfn.NORM.DIST(BI$30,economics!$AK$2:$AK$167,economics!$AJ$2:$AJ$167,TRUE)))),"")</f>
        <v/>
      </c>
      <c r="BJ35">
        <f t="array" ref="BJ35">IFERROR((SUMPRODUCT((economics!$AG$2:$AG$167=$B35)*(economics!$D$2:$D$167="process")*economics!$AH$2:$AH$167*(_xlfn.NORM.DIST(BJ$3,economics!$AK$2:$AK$167,economics!$AJ$2:$AJ$167,TRUE)-_xlfn.NORM.DIST(BJ$30,economics!$AK$2:$AK$167,economics!$AJ$2:$AJ$167,TRUE))*economics!$AM$2:$AM$167))/(SUMPRODUCT((economics!$AG$2:$AG$167=$B35)*(economics!$D$2:$D$167="process")*economics!$AH$2:$AH$167*(_xlfn.NORM.DIST(BJ$3,economics!$AK$2:$AK$167,economics!$AJ$2:$AJ$167,TRUE)-_xlfn.NORM.DIST(BJ$30,economics!$AK$2:$AK$167,economics!$AJ$2:$AJ$167,TRUE)))),"")</f>
        <v/>
      </c>
      <c r="BK35">
        <f t="array" ref="BK35">IFERROR((SUMPRODUCT((economics!$AG$2:$AG$167=$B35)*(economics!$D$2:$D$167="process")*economics!$AH$2:$AH$167*(_xlfn.NORM.DIST(BK$3,economics!$AK$2:$AK$167,economics!$AJ$2:$AJ$167,TRUE)-_xlfn.NORM.DIST(BK$30,economics!$AK$2:$AK$167,economics!$AJ$2:$AJ$167,TRUE))*economics!$AM$2:$AM$167))/(SUMPRODUCT((economics!$AG$2:$AG$167=$B35)*(economics!$D$2:$D$167="process")*economics!$AH$2:$AH$167*(_xlfn.NORM.DIST(BK$3,economics!$AK$2:$AK$167,economics!$AJ$2:$AJ$167,TRUE)-_xlfn.NORM.DIST(BK$30,economics!$AK$2:$AK$167,economics!$AJ$2:$AJ$167,TRUE)))),"")</f>
        <v/>
      </c>
      <c r="BL35">
        <f t="array" ref="BL35">IFERROR((SUMPRODUCT((economics!$AG$2:$AG$167=$B35)*(economics!$D$2:$D$167="process")*economics!$AH$2:$AH$167*(_xlfn.NORM.DIST(BL$3,economics!$AK$2:$AK$167,economics!$AJ$2:$AJ$167,TRUE)-_xlfn.NORM.DIST(BL$30,economics!$AK$2:$AK$167,economics!$AJ$2:$AJ$167,TRUE))*economics!$AM$2:$AM$167))/(SUMPRODUCT((economics!$AG$2:$AG$167=$B35)*(economics!$D$2:$D$167="process")*economics!$AH$2:$AH$167*(_xlfn.NORM.DIST(BL$3,economics!$AK$2:$AK$167,economics!$AJ$2:$AJ$167,TRUE)-_xlfn.NORM.DIST(BL$30,economics!$AK$2:$AK$167,economics!$AJ$2:$AJ$167,TRUE)))),"")</f>
        <v/>
      </c>
      <c r="BM35">
        <f t="array" ref="BM35">IFERROR((SUMPRODUCT((economics!$AG$2:$AG$167=$B35)*(economics!$D$2:$D$167="process")*economics!$AH$2:$AH$167*(_xlfn.NORM.DIST(BM$3,economics!$AK$2:$AK$167,economics!$AJ$2:$AJ$167,TRUE)-_xlfn.NORM.DIST(BM$30,economics!$AK$2:$AK$167,economics!$AJ$2:$AJ$167,TRUE))*economics!$AM$2:$AM$167))/(SUMPRODUCT((economics!$AG$2:$AG$167=$B35)*(economics!$D$2:$D$167="process")*economics!$AH$2:$AH$167*(_xlfn.NORM.DIST(BM$3,economics!$AK$2:$AK$167,economics!$AJ$2:$AJ$167,TRUE)-_xlfn.NORM.DIST(BM$30,economics!$AK$2:$AK$167,economics!$AJ$2:$AJ$167,TRUE)))),"")</f>
        <v/>
      </c>
      <c r="BN35">
        <f t="array" ref="BN35">IFERROR((SUMPRODUCT((economics!$AG$2:$AG$167=$B35)*(economics!$D$2:$D$167="process")*economics!$AH$2:$AH$167*(_xlfn.NORM.DIST(BN$3,economics!$AK$2:$AK$167,economics!$AJ$2:$AJ$167,TRUE)-_xlfn.NORM.DIST(BN$30,economics!$AK$2:$AK$167,economics!$AJ$2:$AJ$167,TRUE))*economics!$AM$2:$AM$167))/(SUMPRODUCT((economics!$AG$2:$AG$167=$B35)*(economics!$D$2:$D$167="process")*economics!$AH$2:$AH$167*(_xlfn.NORM.DIST(BN$3,economics!$AK$2:$AK$167,economics!$AJ$2:$AJ$167,TRUE)-_xlfn.NORM.DIST(BN$30,economics!$AK$2:$AK$167,economics!$AJ$2:$AJ$167,TRUE)))),"")</f>
        <v/>
      </c>
      <c r="BO35">
        <f t="array" ref="BO35">IFERROR((SUMPRODUCT((economics!$AG$2:$AG$167=$B35)*(economics!$D$2:$D$167="process")*economics!$AH$2:$AH$167*(_xlfn.NORM.DIST(BO$3,economics!$AK$2:$AK$167,economics!$AJ$2:$AJ$167,TRUE)-_xlfn.NORM.DIST(BO$30,economics!$AK$2:$AK$167,economics!$AJ$2:$AJ$167,TRUE))*economics!$AM$2:$AM$167))/(SUMPRODUCT((economics!$AG$2:$AG$167=$B35)*(economics!$D$2:$D$167="process")*economics!$AH$2:$AH$167*(_xlfn.NORM.DIST(BO$3,economics!$AK$2:$AK$167,economics!$AJ$2:$AJ$167,TRUE)-_xlfn.NORM.DIST(BO$30,economics!$AK$2:$AK$167,economics!$AJ$2:$AJ$167,TRUE)))),"")</f>
        <v/>
      </c>
      <c r="BP35">
        <f t="array" ref="BP35">IFERROR((SUMPRODUCT((economics!$AG$2:$AG$167=$B35)*(economics!$D$2:$D$167="process")*economics!$AH$2:$AH$167*(_xlfn.NORM.DIST(BP$3,economics!$AK$2:$AK$167,economics!$AJ$2:$AJ$167,TRUE)-_xlfn.NORM.DIST(BP$30,economics!$AK$2:$AK$167,economics!$AJ$2:$AJ$167,TRUE))*economics!$AM$2:$AM$167))/(SUMPRODUCT((economics!$AG$2:$AG$167=$B35)*(economics!$D$2:$D$167="process")*economics!$AH$2:$AH$167*(_xlfn.NORM.DIST(BP$3,economics!$AK$2:$AK$167,economics!$AJ$2:$AJ$167,TRUE)-_xlfn.NORM.DIST(BP$30,economics!$AK$2:$AK$167,economics!$AJ$2:$AJ$167,TRUE)))),"")</f>
        <v/>
      </c>
      <c r="BQ35">
        <f t="array" ref="BQ35">IFERROR((SUMPRODUCT((economics!$AG$2:$AG$167=$B35)*(economics!$D$2:$D$167="process")*economics!$AH$2:$AH$167*(_xlfn.NORM.DIST(BQ$3,economics!$AK$2:$AK$167,economics!$AJ$2:$AJ$167,TRUE)-_xlfn.NORM.DIST(BQ$30,economics!$AK$2:$AK$167,economics!$AJ$2:$AJ$167,TRUE))*economics!$AM$2:$AM$167))/(SUMPRODUCT((economics!$AG$2:$AG$167=$B35)*(economics!$D$2:$D$167="process")*economics!$AH$2:$AH$167*(_xlfn.NORM.DIST(BQ$3,economics!$AK$2:$AK$167,economics!$AJ$2:$AJ$167,TRUE)-_xlfn.NORM.DIST(BQ$30,economics!$AK$2:$AK$167,economics!$AJ$2:$AJ$167,TRUE)))),"")</f>
        <v/>
      </c>
      <c r="BR35">
        <f t="array" ref="BR35">IFERROR((SUMPRODUCT((economics!$AG$2:$AG$167=$B35)*(economics!$D$2:$D$167="process")*economics!$AH$2:$AH$167*(_xlfn.NORM.DIST(BR$3,economics!$AK$2:$AK$167,economics!$AJ$2:$AJ$167,TRUE)-_xlfn.NORM.DIST(BR$30,economics!$AK$2:$AK$167,economics!$AJ$2:$AJ$167,TRUE))*economics!$AM$2:$AM$167))/(SUMPRODUCT((economics!$AG$2:$AG$167=$B35)*(economics!$D$2:$D$167="process")*economics!$AH$2:$AH$167*(_xlfn.NORM.DIST(BR$3,economics!$AK$2:$AK$167,economics!$AJ$2:$AJ$167,TRUE)-_xlfn.NORM.DIST(BR$30,economics!$AK$2:$AK$167,economics!$AJ$2:$AJ$167,TRUE)))),"")</f>
        <v/>
      </c>
      <c r="BS35">
        <f t="array" ref="BS35">IFERROR((SUMPRODUCT((economics!$AG$2:$AG$167=$B35)*(economics!$D$2:$D$167="process")*economics!$AH$2:$AH$167*(_xlfn.NORM.DIST(BS$3,economics!$AK$2:$AK$167,economics!$AJ$2:$AJ$167,TRUE)-_xlfn.NORM.DIST(BS$30,economics!$AK$2:$AK$167,economics!$AJ$2:$AJ$167,TRUE))*economics!$AM$2:$AM$167))/(SUMPRODUCT((economics!$AG$2:$AG$167=$B35)*(economics!$D$2:$D$167="process")*economics!$AH$2:$AH$167*(_xlfn.NORM.DIST(BS$3,economics!$AK$2:$AK$167,economics!$AJ$2:$AJ$167,TRUE)-_xlfn.NORM.DIST(BS$30,economics!$AK$2:$AK$167,economics!$AJ$2:$AJ$167,TRUE)))),"")</f>
        <v/>
      </c>
      <c r="BT35">
        <f t="array" ref="BT35">IFERROR((SUMPRODUCT((economics!$AG$2:$AG$167=$B35)*(economics!$D$2:$D$167="process")*economics!$AH$2:$AH$167*(_xlfn.NORM.DIST(BT$3,economics!$AK$2:$AK$167,economics!$AJ$2:$AJ$167,TRUE)-_xlfn.NORM.DIST(BT$30,economics!$AK$2:$AK$167,economics!$AJ$2:$AJ$167,TRUE))*economics!$AM$2:$AM$167))/(SUMPRODUCT((economics!$AG$2:$AG$167=$B35)*(economics!$D$2:$D$167="process")*economics!$AH$2:$AH$167*(_xlfn.NORM.DIST(BT$3,economics!$AK$2:$AK$167,economics!$AJ$2:$AJ$167,TRUE)-_xlfn.NORM.DIST(BT$30,economics!$AK$2:$AK$167,economics!$AJ$2:$AJ$167,TRUE)))),"")</f>
        <v/>
      </c>
      <c r="BU35">
        <f t="array" ref="BU35">IFERROR((SUMPRODUCT((economics!$AG$2:$AG$167=$B35)*(economics!$D$2:$D$167="process")*economics!$AH$2:$AH$167*(_xlfn.NORM.DIST(BU$3,economics!$AK$2:$AK$167,economics!$AJ$2:$AJ$167,TRUE)-_xlfn.NORM.DIST(BU$30,economics!$AK$2:$AK$167,economics!$AJ$2:$AJ$167,TRUE))*economics!$AM$2:$AM$167))/(SUMPRODUCT((economics!$AG$2:$AG$167=$B35)*(economics!$D$2:$D$167="process")*economics!$AH$2:$AH$167*(_xlfn.NORM.DIST(BU$3,economics!$AK$2:$AK$167,economics!$AJ$2:$AJ$167,TRUE)-_xlfn.NORM.DIST(BU$30,economics!$AK$2:$AK$167,economics!$AJ$2:$AJ$167,TRUE)))),"")</f>
        <v/>
      </c>
      <c r="BV35">
        <f t="array" ref="BV35">IFERROR((SUMPRODUCT((economics!$AG$2:$AG$167=$B35)*(economics!$D$2:$D$167="process")*economics!$AH$2:$AH$167*(_xlfn.NORM.DIST(BV$3,economics!$AK$2:$AK$167,economics!$AJ$2:$AJ$167,TRUE)-_xlfn.NORM.DIST(BV$30,economics!$AK$2:$AK$167,economics!$AJ$2:$AJ$167,TRUE))*economics!$AM$2:$AM$167))/(SUMPRODUCT((economics!$AG$2:$AG$167=$B35)*(economics!$D$2:$D$167="process")*economics!$AH$2:$AH$167*(_xlfn.NORM.DIST(BV$3,economics!$AK$2:$AK$167,economics!$AJ$2:$AJ$167,TRUE)-_xlfn.NORM.DIST(BV$30,economics!$AK$2:$AK$167,economics!$AJ$2:$AJ$167,TRUE)))),"")</f>
        <v/>
      </c>
      <c r="BW35">
        <f t="array" ref="BW35">IFERROR((SUMPRODUCT((economics!$AG$2:$AG$167=$B35)*(economics!$D$2:$D$167="process")*economics!$AH$2:$AH$167*(_xlfn.NORM.DIST(BW$3,economics!$AK$2:$AK$167,economics!$AJ$2:$AJ$167,TRUE)-_xlfn.NORM.DIST(BW$30,economics!$AK$2:$AK$167,economics!$AJ$2:$AJ$167,TRUE))*economics!$AM$2:$AM$167))/(SUMPRODUCT((economics!$AG$2:$AG$167=$B35)*(economics!$D$2:$D$167="process")*economics!$AH$2:$AH$167*(_xlfn.NORM.DIST(BW$3,economics!$AK$2:$AK$167,economics!$AJ$2:$AJ$167,TRUE)-_xlfn.NORM.DIST(BW$30,economics!$AK$2:$AK$167,economics!$AJ$2:$AJ$167,TRUE)))),"")</f>
        <v/>
      </c>
      <c r="BX35">
        <f t="array" ref="BX35">IFERROR((SUMPRODUCT((economics!$AG$2:$AG$167=$B35)*(economics!$D$2:$D$167="process")*economics!$AH$2:$AH$167*(_xlfn.NORM.DIST(BX$3,economics!$AK$2:$AK$167,economics!$AJ$2:$AJ$167,TRUE)-_xlfn.NORM.DIST(BX$30,economics!$AK$2:$AK$167,economics!$AJ$2:$AJ$167,TRUE))*economics!$AM$2:$AM$167))/(SUMPRODUCT((economics!$AG$2:$AG$167=$B35)*(economics!$D$2:$D$167="process")*economics!$AH$2:$AH$167*(_xlfn.NORM.DIST(BX$3,economics!$AK$2:$AK$167,economics!$AJ$2:$AJ$167,TRUE)-_xlfn.NORM.DIST(BX$30,economics!$AK$2:$AK$167,economics!$AJ$2:$AJ$167,TRUE)))),"")</f>
        <v/>
      </c>
      <c r="BY35">
        <f t="array" ref="BY35">IFERROR((SUMPRODUCT((economics!$AG$2:$AG$167=$B35)*(economics!$D$2:$D$167="process")*economics!$AH$2:$AH$167*(_xlfn.NORM.DIST(BY$3,economics!$AK$2:$AK$167,economics!$AJ$2:$AJ$167,TRUE)-_xlfn.NORM.DIST(BY$30,economics!$AK$2:$AK$167,economics!$AJ$2:$AJ$167,TRUE))*economics!$AM$2:$AM$167))/(SUMPRODUCT((economics!$AG$2:$AG$167=$B35)*(economics!$D$2:$D$167="process")*economics!$AH$2:$AH$167*(_xlfn.NORM.DIST(BY$3,economics!$AK$2:$AK$167,economics!$AJ$2:$AJ$167,TRUE)-_xlfn.NORM.DIST(BY$30,economics!$AK$2:$AK$167,economics!$AJ$2:$AJ$167,TRUE)))),"")</f>
        <v/>
      </c>
      <c r="BZ35">
        <f t="array" ref="BZ35">IFERROR((SUMPRODUCT((economics!$AG$2:$AG$167=$B35)*(economics!$D$2:$D$167="process")*economics!$AH$2:$AH$167*(_xlfn.NORM.DIST(BZ$3,economics!$AK$2:$AK$167,economics!$AJ$2:$AJ$167,TRUE)-_xlfn.NORM.DIST(BZ$30,economics!$AK$2:$AK$167,economics!$AJ$2:$AJ$167,TRUE))*economics!$AM$2:$AM$167))/(SUMPRODUCT((economics!$AG$2:$AG$167=$B35)*(economics!$D$2:$D$167="process")*economics!$AH$2:$AH$167*(_xlfn.NORM.DIST(BZ$3,economics!$AK$2:$AK$167,economics!$AJ$2:$AJ$167,TRUE)-_xlfn.NORM.DIST(BZ$30,economics!$AK$2:$AK$167,economics!$AJ$2:$AJ$167,TRUE)))),"")</f>
        <v/>
      </c>
      <c r="CA35">
        <f t="array" ref="CA35">IFERROR((SUMPRODUCT((economics!$AG$2:$AG$167=$B35)*(economics!$D$2:$D$167="process")*economics!$AH$2:$AH$167*(_xlfn.NORM.DIST(CA$3,economics!$AK$2:$AK$167,economics!$AJ$2:$AJ$167,TRUE)-_xlfn.NORM.DIST(CA$30,economics!$AK$2:$AK$167,economics!$AJ$2:$AJ$167,TRUE))*economics!$AM$2:$AM$167))/(SUMPRODUCT((economics!$AG$2:$AG$167=$B35)*(economics!$D$2:$D$167="process")*economics!$AH$2:$AH$167*(_xlfn.NORM.DIST(CA$3,economics!$AK$2:$AK$167,economics!$AJ$2:$AJ$167,TRUE)-_xlfn.NORM.DIST(CA$30,economics!$AK$2:$AK$167,economics!$AJ$2:$AJ$167,TRUE)))),"")</f>
        <v/>
      </c>
      <c r="CB35">
        <f t="array" ref="CB35">IFERROR((SUMPRODUCT((economics!$AG$2:$AG$167=$B35)*(economics!$D$2:$D$167="process")*economics!$AH$2:$AH$167*(_xlfn.NORM.DIST(CB$3,economics!$AK$2:$AK$167,economics!$AJ$2:$AJ$167,TRUE)-_xlfn.NORM.DIST(CB$30,economics!$AK$2:$AK$167,economics!$AJ$2:$AJ$167,TRUE))*economics!$AM$2:$AM$167))/(SUMPRODUCT((economics!$AG$2:$AG$167=$B35)*(economics!$D$2:$D$167="process")*economics!$AH$2:$AH$167*(_xlfn.NORM.DIST(CB$3,economics!$AK$2:$AK$167,economics!$AJ$2:$AJ$167,TRUE)-_xlfn.NORM.DIST(CB$30,economics!$AK$2:$AK$167,economics!$AJ$2:$AJ$167,TRUE)))),"")</f>
        <v/>
      </c>
      <c r="CC35">
        <f t="array" ref="CC35">IFERROR((SUMPRODUCT((economics!$AG$2:$AG$167=$B35)*(economics!$D$2:$D$167="process")*economics!$AH$2:$AH$167*(_xlfn.NORM.DIST(CC$3,economics!$AK$2:$AK$167,economics!$AJ$2:$AJ$167,TRUE)-_xlfn.NORM.DIST(CC$30,economics!$AK$2:$AK$167,economics!$AJ$2:$AJ$167,TRUE))*economics!$AM$2:$AM$167))/(SUMPRODUCT((economics!$AG$2:$AG$167=$B35)*(economics!$D$2:$D$167="process")*economics!$AH$2:$AH$167*(_xlfn.NORM.DIST(CC$3,economics!$AK$2:$AK$167,economics!$AJ$2:$AJ$167,TRUE)-_xlfn.NORM.DIST(CC$30,economics!$AK$2:$AK$167,economics!$AJ$2:$AJ$167,TRUE)))),"")</f>
        <v/>
      </c>
      <c r="CD35">
        <f t="array" ref="CD35">IFERROR((SUMPRODUCT((economics!$AG$2:$AG$167=$B35)*(economics!$D$2:$D$167="process")*economics!$AH$2:$AH$167*(_xlfn.NORM.DIST(CD$3,economics!$AK$2:$AK$167,economics!$AJ$2:$AJ$167,TRUE)-_xlfn.NORM.DIST(CD$30,economics!$AK$2:$AK$167,economics!$AJ$2:$AJ$167,TRUE))*economics!$AM$2:$AM$167))/(SUMPRODUCT((economics!$AG$2:$AG$167=$B35)*(economics!$D$2:$D$167="process")*economics!$AH$2:$AH$167*(_xlfn.NORM.DIST(CD$3,economics!$AK$2:$AK$167,economics!$AJ$2:$AJ$167,TRUE)-_xlfn.NORM.DIST(CD$30,economics!$AK$2:$AK$167,economics!$AJ$2:$AJ$167,TRUE)))),"")</f>
        <v/>
      </c>
      <c r="CE35">
        <f t="array" ref="CE35">IFERROR((SUMPRODUCT((economics!$AG$2:$AG$167=$B35)*(economics!$D$2:$D$167="process")*economics!$AH$2:$AH$167*(_xlfn.NORM.DIST(CE$3,economics!$AK$2:$AK$167,economics!$AJ$2:$AJ$167,TRUE)-_xlfn.NORM.DIST(CE$30,economics!$AK$2:$AK$167,economics!$AJ$2:$AJ$167,TRUE))*economics!$AM$2:$AM$167))/(SUMPRODUCT((economics!$AG$2:$AG$167=$B35)*(economics!$D$2:$D$167="process")*economics!$AH$2:$AH$167*(_xlfn.NORM.DIST(CE$3,economics!$AK$2:$AK$167,economics!$AJ$2:$AJ$167,TRUE)-_xlfn.NORM.DIST(CE$30,economics!$AK$2:$AK$167,economics!$AJ$2:$AJ$167,TRUE)))),"")</f>
        <v/>
      </c>
      <c r="CF35">
        <f t="array" ref="CF35">IFERROR((SUMPRODUCT((economics!$AG$2:$AG$167=$B35)*(economics!$D$2:$D$167="process")*economics!$AH$2:$AH$167*(_xlfn.NORM.DIST(CF$3,economics!$AK$2:$AK$167,economics!$AJ$2:$AJ$167,TRUE)-_xlfn.NORM.DIST(CF$30,economics!$AK$2:$AK$167,economics!$AJ$2:$AJ$167,TRUE))*economics!$AM$2:$AM$167))/(SUMPRODUCT((economics!$AG$2:$AG$167=$B35)*(economics!$D$2:$D$167="process")*economics!$AH$2:$AH$167*(_xlfn.NORM.DIST(CF$3,economics!$AK$2:$AK$167,economics!$AJ$2:$AJ$167,TRUE)-_xlfn.NORM.DIST(CF$30,economics!$AK$2:$AK$167,economics!$AJ$2:$AJ$167,TRUE)))),"")</f>
        <v/>
      </c>
      <c r="CG35">
        <f t="array" ref="CG35">IFERROR((SUMPRODUCT((economics!$AG$2:$AG$167=$B35)*(economics!$D$2:$D$167="process")*economics!$AH$2:$AH$167*(_xlfn.NORM.DIST(CG$3,economics!$AK$2:$AK$167,economics!$AJ$2:$AJ$167,TRUE)-_xlfn.NORM.DIST(CG$30,economics!$AK$2:$AK$167,economics!$AJ$2:$AJ$167,TRUE))*economics!$AM$2:$AM$167))/(SUMPRODUCT((economics!$AG$2:$AG$167=$B35)*(economics!$D$2:$D$167="process")*economics!$AH$2:$AH$167*(_xlfn.NORM.DIST(CG$3,economics!$AK$2:$AK$167,economics!$AJ$2:$AJ$167,TRUE)-_xlfn.NORM.DIST(CG$30,economics!$AK$2:$AK$167,economics!$AJ$2:$AJ$167,TRUE)))),"")</f>
        <v/>
      </c>
      <c r="CH35">
        <f t="array" ref="CH35">IFERROR((SUMPRODUCT((economics!$AG$2:$AG$167=$B35)*(economics!$D$2:$D$167="process")*economics!$AH$2:$AH$167*(_xlfn.NORM.DIST(CH$3,economics!$AK$2:$AK$167,economics!$AJ$2:$AJ$167,TRUE)-_xlfn.NORM.DIST(CH$30,economics!$AK$2:$AK$167,economics!$AJ$2:$AJ$167,TRUE))*economics!$AM$2:$AM$167))/(SUMPRODUCT((economics!$AG$2:$AG$167=$B35)*(economics!$D$2:$D$167="process")*economics!$AH$2:$AH$167*(_xlfn.NORM.DIST(CH$3,economics!$AK$2:$AK$167,economics!$AJ$2:$AJ$167,TRUE)-_xlfn.NORM.DIST(CH$30,economics!$AK$2:$AK$167,economics!$AJ$2:$AJ$167,TRUE)))),"")</f>
        <v/>
      </c>
    </row>
    <row r="36">
      <c r="A36">
        <f>A7</f>
        <v/>
      </c>
      <c r="B36">
        <f>B7</f>
        <v/>
      </c>
      <c r="E36">
        <f t="array" ref="E36">IFERROR((SUMPRODUCT((economics!$AG$2:$AG$167=$B36)*(economics!$D$2:$D$167="process")*economics!$AH$2:$AH$167*(_xlfn.NORM.DIST(E$3,economics!$AK$2:$AK$167,economics!$AJ$2:$AJ$167,TRUE)-_xlfn.NORM.DIST(E$30,economics!$AK$2:$AK$167,economics!$AJ$2:$AJ$167,TRUE))*economics!$AM$2:$AM$167))/(SUMPRODUCT((economics!$AG$2:$AG$167=$B36)*(economics!$D$2:$D$167="process")*economics!$AH$2:$AH$167*(_xlfn.NORM.DIST(E$3,economics!$AK$2:$AK$167,economics!$AJ$2:$AJ$167,TRUE)-_xlfn.NORM.DIST(E$30,economics!$AK$2:$AK$167,economics!$AJ$2:$AJ$167,TRUE)))),"")</f>
        <v/>
      </c>
      <c r="F36">
        <f t="array" ref="F36">IFERROR((SUMPRODUCT((economics!$AG$2:$AG$167=$B36)*(economics!$D$2:$D$167="process")*economics!$AH$2:$AH$167*(_xlfn.NORM.DIST(F$3,economics!$AK$2:$AK$167,economics!$AJ$2:$AJ$167,TRUE)-_xlfn.NORM.DIST(F$30,economics!$AK$2:$AK$167,economics!$AJ$2:$AJ$167,TRUE))*economics!$AM$2:$AM$167))/(SUMPRODUCT((economics!$AG$2:$AG$167=$B36)*(economics!$D$2:$D$167="process")*economics!$AH$2:$AH$167*(_xlfn.NORM.DIST(F$3,economics!$AK$2:$AK$167,economics!$AJ$2:$AJ$167,TRUE)-_xlfn.NORM.DIST(F$30,economics!$AK$2:$AK$167,economics!$AJ$2:$AJ$167,TRUE)))),"")</f>
        <v/>
      </c>
      <c r="G36">
        <f t="array" ref="G36">IFERROR((SUMPRODUCT((economics!$AG$2:$AG$167=$B36)*(economics!$D$2:$D$167="process")*economics!$AH$2:$AH$167*(_xlfn.NORM.DIST(G$3,economics!$AK$2:$AK$167,economics!$AJ$2:$AJ$167,TRUE)-_xlfn.NORM.DIST(G$30,economics!$AK$2:$AK$167,economics!$AJ$2:$AJ$167,TRUE))*economics!$AM$2:$AM$167))/(SUMPRODUCT((economics!$AG$2:$AG$167=$B36)*(economics!$D$2:$D$167="process")*economics!$AH$2:$AH$167*(_xlfn.NORM.DIST(G$3,economics!$AK$2:$AK$167,economics!$AJ$2:$AJ$167,TRUE)-_xlfn.NORM.DIST(G$30,economics!$AK$2:$AK$167,economics!$AJ$2:$AJ$167,TRUE)))),"")</f>
        <v/>
      </c>
      <c r="H36">
        <f t="array" ref="H36">IFERROR((SUMPRODUCT((economics!$AG$2:$AG$167=$B36)*(economics!$D$2:$D$167="process")*economics!$AH$2:$AH$167*(_xlfn.NORM.DIST(H$3,economics!$AK$2:$AK$167,economics!$AJ$2:$AJ$167,TRUE)-_xlfn.NORM.DIST(H$30,economics!$AK$2:$AK$167,economics!$AJ$2:$AJ$167,TRUE))*economics!$AM$2:$AM$167))/(SUMPRODUCT((economics!$AG$2:$AG$167=$B36)*(economics!$D$2:$D$167="process")*economics!$AH$2:$AH$167*(_xlfn.NORM.DIST(H$3,economics!$AK$2:$AK$167,economics!$AJ$2:$AJ$167,TRUE)-_xlfn.NORM.DIST(H$30,economics!$AK$2:$AK$167,economics!$AJ$2:$AJ$167,TRUE)))),"")</f>
        <v/>
      </c>
      <c r="I36">
        <f t="array" ref="I36">IFERROR((SUMPRODUCT((economics!$AG$2:$AG$167=$B36)*(economics!$D$2:$D$167="process")*economics!$AH$2:$AH$167*(_xlfn.NORM.DIST(I$3,economics!$AK$2:$AK$167,economics!$AJ$2:$AJ$167,TRUE)-_xlfn.NORM.DIST(I$30,economics!$AK$2:$AK$167,economics!$AJ$2:$AJ$167,TRUE))*economics!$AM$2:$AM$167))/(SUMPRODUCT((economics!$AG$2:$AG$167=$B36)*(economics!$D$2:$D$167="process")*economics!$AH$2:$AH$167*(_xlfn.NORM.DIST(I$3,economics!$AK$2:$AK$167,economics!$AJ$2:$AJ$167,TRUE)-_xlfn.NORM.DIST(I$30,economics!$AK$2:$AK$167,economics!$AJ$2:$AJ$167,TRUE)))),"")</f>
        <v/>
      </c>
      <c r="J36">
        <f t="array" ref="J36">IFERROR((SUMPRODUCT((economics!$AG$2:$AG$167=$B36)*(economics!$D$2:$D$167="process")*economics!$AH$2:$AH$167*(_xlfn.NORM.DIST(J$3,economics!$AK$2:$AK$167,economics!$AJ$2:$AJ$167,TRUE)-_xlfn.NORM.DIST(J$30,economics!$AK$2:$AK$167,economics!$AJ$2:$AJ$167,TRUE))*economics!$AM$2:$AM$167))/(SUMPRODUCT((economics!$AG$2:$AG$167=$B36)*(economics!$D$2:$D$167="process")*economics!$AH$2:$AH$167*(_xlfn.NORM.DIST(J$3,economics!$AK$2:$AK$167,economics!$AJ$2:$AJ$167,TRUE)-_xlfn.NORM.DIST(J$30,economics!$AK$2:$AK$167,economics!$AJ$2:$AJ$167,TRUE)))),"")</f>
        <v/>
      </c>
      <c r="K36">
        <f t="array" ref="K36">IFERROR((SUMPRODUCT((economics!$AG$2:$AG$167=$B36)*(economics!$D$2:$D$167="process")*economics!$AH$2:$AH$167*(_xlfn.NORM.DIST(K$3,economics!$AK$2:$AK$167,economics!$AJ$2:$AJ$167,TRUE)-_xlfn.NORM.DIST(K$30,economics!$AK$2:$AK$167,economics!$AJ$2:$AJ$167,TRUE))*economics!$AM$2:$AM$167))/(SUMPRODUCT((economics!$AG$2:$AG$167=$B36)*(economics!$D$2:$D$167="process")*economics!$AH$2:$AH$167*(_xlfn.NORM.DIST(K$3,economics!$AK$2:$AK$167,economics!$AJ$2:$AJ$167,TRUE)-_xlfn.NORM.DIST(K$30,economics!$AK$2:$AK$167,economics!$AJ$2:$AJ$167,TRUE)))),"")</f>
        <v/>
      </c>
      <c r="L36">
        <f t="array" ref="L36">IFERROR((SUMPRODUCT((economics!$AG$2:$AG$167=$B36)*(economics!$D$2:$D$167="process")*economics!$AH$2:$AH$167*(_xlfn.NORM.DIST(L$3,economics!$AK$2:$AK$167,economics!$AJ$2:$AJ$167,TRUE)-_xlfn.NORM.DIST(L$30,economics!$AK$2:$AK$167,economics!$AJ$2:$AJ$167,TRUE))*economics!$AM$2:$AM$167))/(SUMPRODUCT((economics!$AG$2:$AG$167=$B36)*(economics!$D$2:$D$167="process")*economics!$AH$2:$AH$167*(_xlfn.NORM.DIST(L$3,economics!$AK$2:$AK$167,economics!$AJ$2:$AJ$167,TRUE)-_xlfn.NORM.DIST(L$30,economics!$AK$2:$AK$167,economics!$AJ$2:$AJ$167,TRUE)))),"")</f>
        <v/>
      </c>
      <c r="M36">
        <f t="array" ref="M36">IFERROR((SUMPRODUCT((economics!$AG$2:$AG$167=$B36)*(economics!$D$2:$D$167="process")*economics!$AH$2:$AH$167*(_xlfn.NORM.DIST(M$3,economics!$AK$2:$AK$167,economics!$AJ$2:$AJ$167,TRUE)-_xlfn.NORM.DIST(M$30,economics!$AK$2:$AK$167,economics!$AJ$2:$AJ$167,TRUE))*economics!$AM$2:$AM$167))/(SUMPRODUCT((economics!$AG$2:$AG$167=$B36)*(economics!$D$2:$D$167="process")*economics!$AH$2:$AH$167*(_xlfn.NORM.DIST(M$3,economics!$AK$2:$AK$167,economics!$AJ$2:$AJ$167,TRUE)-_xlfn.NORM.DIST(M$30,economics!$AK$2:$AK$167,economics!$AJ$2:$AJ$167,TRUE)))),"")</f>
        <v/>
      </c>
      <c r="N36">
        <f t="array" ref="N36">IFERROR((SUMPRODUCT((economics!$AG$2:$AG$167=$B36)*(economics!$D$2:$D$167="process")*economics!$AH$2:$AH$167*(_xlfn.NORM.DIST(N$3,economics!$AK$2:$AK$167,economics!$AJ$2:$AJ$167,TRUE)-_xlfn.NORM.DIST(N$30,economics!$AK$2:$AK$167,economics!$AJ$2:$AJ$167,TRUE))*economics!$AM$2:$AM$167))/(SUMPRODUCT((economics!$AG$2:$AG$167=$B36)*(economics!$D$2:$D$167="process")*economics!$AH$2:$AH$167*(_xlfn.NORM.DIST(N$3,economics!$AK$2:$AK$167,economics!$AJ$2:$AJ$167,TRUE)-_xlfn.NORM.DIST(N$30,economics!$AK$2:$AK$167,economics!$AJ$2:$AJ$167,TRUE)))),"")</f>
        <v/>
      </c>
      <c r="O36">
        <f t="array" ref="O36">IFERROR((SUMPRODUCT((economics!$AG$2:$AG$167=$B36)*(economics!$D$2:$D$167="process")*economics!$AH$2:$AH$167*(_xlfn.NORM.DIST(O$3,economics!$AK$2:$AK$167,economics!$AJ$2:$AJ$167,TRUE)-_xlfn.NORM.DIST(O$30,economics!$AK$2:$AK$167,economics!$AJ$2:$AJ$167,TRUE))*economics!$AM$2:$AM$167))/(SUMPRODUCT((economics!$AG$2:$AG$167=$B36)*(economics!$D$2:$D$167="process")*economics!$AH$2:$AH$167*(_xlfn.NORM.DIST(O$3,economics!$AK$2:$AK$167,economics!$AJ$2:$AJ$167,TRUE)-_xlfn.NORM.DIST(O$30,economics!$AK$2:$AK$167,economics!$AJ$2:$AJ$167,TRUE)))),"")</f>
        <v/>
      </c>
      <c r="P36">
        <f t="array" ref="P36">IFERROR((SUMPRODUCT((economics!$AG$2:$AG$167=$B36)*(economics!$D$2:$D$167="process")*economics!$AH$2:$AH$167*(_xlfn.NORM.DIST(P$3,economics!$AK$2:$AK$167,economics!$AJ$2:$AJ$167,TRUE)-_xlfn.NORM.DIST(P$30,economics!$AK$2:$AK$167,economics!$AJ$2:$AJ$167,TRUE))*economics!$AM$2:$AM$167))/(SUMPRODUCT((economics!$AG$2:$AG$167=$B36)*(economics!$D$2:$D$167="process")*economics!$AH$2:$AH$167*(_xlfn.NORM.DIST(P$3,economics!$AK$2:$AK$167,economics!$AJ$2:$AJ$167,TRUE)-_xlfn.NORM.DIST(P$30,economics!$AK$2:$AK$167,economics!$AJ$2:$AJ$167,TRUE)))),"")</f>
        <v/>
      </c>
      <c r="Q36">
        <f t="array" ref="Q36">IFERROR((SUMPRODUCT((economics!$AG$2:$AG$167=$B36)*(economics!$D$2:$D$167="process")*economics!$AH$2:$AH$167*(_xlfn.NORM.DIST(Q$3,economics!$AK$2:$AK$167,economics!$AJ$2:$AJ$167,TRUE)-_xlfn.NORM.DIST(Q$30,economics!$AK$2:$AK$167,economics!$AJ$2:$AJ$167,TRUE))*economics!$AM$2:$AM$167))/(SUMPRODUCT((economics!$AG$2:$AG$167=$B36)*(economics!$D$2:$D$167="process")*economics!$AH$2:$AH$167*(_xlfn.NORM.DIST(Q$3,economics!$AK$2:$AK$167,economics!$AJ$2:$AJ$167,TRUE)-_xlfn.NORM.DIST(Q$30,economics!$AK$2:$AK$167,economics!$AJ$2:$AJ$167,TRUE)))),"")</f>
        <v/>
      </c>
      <c r="R36">
        <f t="array" ref="R36">IFERROR((SUMPRODUCT((economics!$AG$2:$AG$167=$B36)*(economics!$D$2:$D$167="process")*economics!$AH$2:$AH$167*(_xlfn.NORM.DIST(R$3,economics!$AK$2:$AK$167,economics!$AJ$2:$AJ$167,TRUE)-_xlfn.NORM.DIST(R$30,economics!$AK$2:$AK$167,economics!$AJ$2:$AJ$167,TRUE))*economics!$AM$2:$AM$167))/(SUMPRODUCT((economics!$AG$2:$AG$167=$B36)*(economics!$D$2:$D$167="process")*economics!$AH$2:$AH$167*(_xlfn.NORM.DIST(R$3,economics!$AK$2:$AK$167,economics!$AJ$2:$AJ$167,TRUE)-_xlfn.NORM.DIST(R$30,economics!$AK$2:$AK$167,economics!$AJ$2:$AJ$167,TRUE)))),"")</f>
        <v/>
      </c>
      <c r="S36">
        <f t="array" ref="S36">IFERROR((SUMPRODUCT((economics!$AG$2:$AG$167=$B36)*(economics!$D$2:$D$167="process")*economics!$AH$2:$AH$167*(_xlfn.NORM.DIST(S$3,economics!$AK$2:$AK$167,economics!$AJ$2:$AJ$167,TRUE)-_xlfn.NORM.DIST(S$30,economics!$AK$2:$AK$167,economics!$AJ$2:$AJ$167,TRUE))*economics!$AM$2:$AM$167))/(SUMPRODUCT((economics!$AG$2:$AG$167=$B36)*(economics!$D$2:$D$167="process")*economics!$AH$2:$AH$167*(_xlfn.NORM.DIST(S$3,economics!$AK$2:$AK$167,economics!$AJ$2:$AJ$167,TRUE)-_xlfn.NORM.DIST(S$30,economics!$AK$2:$AK$167,economics!$AJ$2:$AJ$167,TRUE)))),"")</f>
        <v/>
      </c>
      <c r="T36">
        <f t="array" ref="T36">IFERROR((SUMPRODUCT((economics!$AG$2:$AG$167=$B36)*(economics!$D$2:$D$167="process")*economics!$AH$2:$AH$167*(_xlfn.NORM.DIST(T$3,economics!$AK$2:$AK$167,economics!$AJ$2:$AJ$167,TRUE)-_xlfn.NORM.DIST(T$30,economics!$AK$2:$AK$167,economics!$AJ$2:$AJ$167,TRUE))*economics!$AM$2:$AM$167))/(SUMPRODUCT((economics!$AG$2:$AG$167=$B36)*(economics!$D$2:$D$167="process")*economics!$AH$2:$AH$167*(_xlfn.NORM.DIST(T$3,economics!$AK$2:$AK$167,economics!$AJ$2:$AJ$167,TRUE)-_xlfn.NORM.DIST(T$30,economics!$AK$2:$AK$167,economics!$AJ$2:$AJ$167,TRUE)))),"")</f>
        <v/>
      </c>
      <c r="U36">
        <f t="array" ref="U36">IFERROR((SUMPRODUCT((economics!$AG$2:$AG$167=$B36)*(economics!$D$2:$D$167="process")*economics!$AH$2:$AH$167*(_xlfn.NORM.DIST(U$3,economics!$AK$2:$AK$167,economics!$AJ$2:$AJ$167,TRUE)-_xlfn.NORM.DIST(U$30,economics!$AK$2:$AK$167,economics!$AJ$2:$AJ$167,TRUE))*economics!$AM$2:$AM$167))/(SUMPRODUCT((economics!$AG$2:$AG$167=$B36)*(economics!$D$2:$D$167="process")*economics!$AH$2:$AH$167*(_xlfn.NORM.DIST(U$3,economics!$AK$2:$AK$167,economics!$AJ$2:$AJ$167,TRUE)-_xlfn.NORM.DIST(U$30,economics!$AK$2:$AK$167,economics!$AJ$2:$AJ$167,TRUE)))),"")</f>
        <v/>
      </c>
      <c r="V36">
        <f t="array" ref="V36">IFERROR((SUMPRODUCT((economics!$AG$2:$AG$167=$B36)*(economics!$D$2:$D$167="process")*economics!$AH$2:$AH$167*(_xlfn.NORM.DIST(V$3,economics!$AK$2:$AK$167,economics!$AJ$2:$AJ$167,TRUE)-_xlfn.NORM.DIST(V$30,economics!$AK$2:$AK$167,economics!$AJ$2:$AJ$167,TRUE))*economics!$AM$2:$AM$167))/(SUMPRODUCT((economics!$AG$2:$AG$167=$B36)*(economics!$D$2:$D$167="process")*economics!$AH$2:$AH$167*(_xlfn.NORM.DIST(V$3,economics!$AK$2:$AK$167,economics!$AJ$2:$AJ$167,TRUE)-_xlfn.NORM.DIST(V$30,economics!$AK$2:$AK$167,economics!$AJ$2:$AJ$167,TRUE)))),"")</f>
        <v/>
      </c>
      <c r="W36">
        <f t="array" ref="W36">IFERROR((SUMPRODUCT((economics!$AG$2:$AG$167=$B36)*(economics!$D$2:$D$167="process")*economics!$AH$2:$AH$167*(_xlfn.NORM.DIST(W$3,economics!$AK$2:$AK$167,economics!$AJ$2:$AJ$167,TRUE)-_xlfn.NORM.DIST(W$30,economics!$AK$2:$AK$167,economics!$AJ$2:$AJ$167,TRUE))*economics!$AM$2:$AM$167))/(SUMPRODUCT((economics!$AG$2:$AG$167=$B36)*(economics!$D$2:$D$167="process")*economics!$AH$2:$AH$167*(_xlfn.NORM.DIST(W$3,economics!$AK$2:$AK$167,economics!$AJ$2:$AJ$167,TRUE)-_xlfn.NORM.DIST(W$30,economics!$AK$2:$AK$167,economics!$AJ$2:$AJ$167,TRUE)))),"")</f>
        <v/>
      </c>
      <c r="X36">
        <f t="array" ref="X36">IFERROR((SUMPRODUCT((economics!$AG$2:$AG$167=$B36)*(economics!$D$2:$D$167="process")*economics!$AH$2:$AH$167*(_xlfn.NORM.DIST(X$3,economics!$AK$2:$AK$167,economics!$AJ$2:$AJ$167,TRUE)-_xlfn.NORM.DIST(X$30,economics!$AK$2:$AK$167,economics!$AJ$2:$AJ$167,TRUE))*economics!$AM$2:$AM$167))/(SUMPRODUCT((economics!$AG$2:$AG$167=$B36)*(economics!$D$2:$D$167="process")*economics!$AH$2:$AH$167*(_xlfn.NORM.DIST(X$3,economics!$AK$2:$AK$167,economics!$AJ$2:$AJ$167,TRUE)-_xlfn.NORM.DIST(X$30,economics!$AK$2:$AK$167,economics!$AJ$2:$AJ$167,TRUE)))),"")</f>
        <v/>
      </c>
      <c r="Y36">
        <f t="array" ref="Y36">IFERROR((SUMPRODUCT((economics!$AG$2:$AG$167=$B36)*(economics!$D$2:$D$167="process")*economics!$AH$2:$AH$167*(_xlfn.NORM.DIST(Y$3,economics!$AK$2:$AK$167,economics!$AJ$2:$AJ$167,TRUE)-_xlfn.NORM.DIST(Y$30,economics!$AK$2:$AK$167,economics!$AJ$2:$AJ$167,TRUE))*economics!$AM$2:$AM$167))/(SUMPRODUCT((economics!$AG$2:$AG$167=$B36)*(economics!$D$2:$D$167="process")*economics!$AH$2:$AH$167*(_xlfn.NORM.DIST(Y$3,economics!$AK$2:$AK$167,economics!$AJ$2:$AJ$167,TRUE)-_xlfn.NORM.DIST(Y$30,economics!$AK$2:$AK$167,economics!$AJ$2:$AJ$167,TRUE)))),"")</f>
        <v/>
      </c>
      <c r="Z36">
        <f t="array" ref="Z36">IFERROR((SUMPRODUCT((economics!$AG$2:$AG$167=$B36)*(economics!$D$2:$D$167="process")*economics!$AH$2:$AH$167*(_xlfn.NORM.DIST(Z$3,economics!$AK$2:$AK$167,economics!$AJ$2:$AJ$167,TRUE)-_xlfn.NORM.DIST(Z$30,economics!$AK$2:$AK$167,economics!$AJ$2:$AJ$167,TRUE))*economics!$AM$2:$AM$167))/(SUMPRODUCT((economics!$AG$2:$AG$167=$B36)*(economics!$D$2:$D$167="process")*economics!$AH$2:$AH$167*(_xlfn.NORM.DIST(Z$3,economics!$AK$2:$AK$167,economics!$AJ$2:$AJ$167,TRUE)-_xlfn.NORM.DIST(Z$30,economics!$AK$2:$AK$167,economics!$AJ$2:$AJ$167,TRUE)))),"")</f>
        <v/>
      </c>
      <c r="AA36">
        <f t="array" ref="AA36">IFERROR((SUMPRODUCT((economics!$AG$2:$AG$167=$B36)*(economics!$D$2:$D$167="process")*economics!$AH$2:$AH$167*(_xlfn.NORM.DIST(AA$3,economics!$AK$2:$AK$167,economics!$AJ$2:$AJ$167,TRUE)-_xlfn.NORM.DIST(AA$30,economics!$AK$2:$AK$167,economics!$AJ$2:$AJ$167,TRUE))*economics!$AM$2:$AM$167))/(SUMPRODUCT((economics!$AG$2:$AG$167=$B36)*(economics!$D$2:$D$167="process")*economics!$AH$2:$AH$167*(_xlfn.NORM.DIST(AA$3,economics!$AK$2:$AK$167,economics!$AJ$2:$AJ$167,TRUE)-_xlfn.NORM.DIST(AA$30,economics!$AK$2:$AK$167,economics!$AJ$2:$AJ$167,TRUE)))),"")</f>
        <v/>
      </c>
      <c r="AB36">
        <f t="array" ref="AB36">IFERROR((SUMPRODUCT((economics!$AG$2:$AG$167=$B36)*(economics!$D$2:$D$167="process")*economics!$AH$2:$AH$167*(_xlfn.NORM.DIST(AB$3,economics!$AK$2:$AK$167,economics!$AJ$2:$AJ$167,TRUE)-_xlfn.NORM.DIST(AB$30,economics!$AK$2:$AK$167,economics!$AJ$2:$AJ$167,TRUE))*economics!$AM$2:$AM$167))/(SUMPRODUCT((economics!$AG$2:$AG$167=$B36)*(economics!$D$2:$D$167="process")*economics!$AH$2:$AH$167*(_xlfn.NORM.DIST(AB$3,economics!$AK$2:$AK$167,economics!$AJ$2:$AJ$167,TRUE)-_xlfn.NORM.DIST(AB$30,economics!$AK$2:$AK$167,economics!$AJ$2:$AJ$167,TRUE)))),"")</f>
        <v/>
      </c>
      <c r="AC36">
        <f t="array" ref="AC36">IFERROR((SUMPRODUCT((economics!$AG$2:$AG$167=$B36)*(economics!$D$2:$D$167="process")*economics!$AH$2:$AH$167*(_xlfn.NORM.DIST(AC$3,economics!$AK$2:$AK$167,economics!$AJ$2:$AJ$167,TRUE)-_xlfn.NORM.DIST(AC$30,economics!$AK$2:$AK$167,economics!$AJ$2:$AJ$167,TRUE))*economics!$AM$2:$AM$167))/(SUMPRODUCT((economics!$AG$2:$AG$167=$B36)*(economics!$D$2:$D$167="process")*economics!$AH$2:$AH$167*(_xlfn.NORM.DIST(AC$3,economics!$AK$2:$AK$167,economics!$AJ$2:$AJ$167,TRUE)-_xlfn.NORM.DIST(AC$30,economics!$AK$2:$AK$167,economics!$AJ$2:$AJ$167,TRUE)))),"")</f>
        <v/>
      </c>
      <c r="AD36">
        <f t="array" ref="AD36">IFERROR((SUMPRODUCT((economics!$AG$2:$AG$167=$B36)*(economics!$D$2:$D$167="process")*economics!$AH$2:$AH$167*(_xlfn.NORM.DIST(AD$3,economics!$AK$2:$AK$167,economics!$AJ$2:$AJ$167,TRUE)-_xlfn.NORM.DIST(AD$30,economics!$AK$2:$AK$167,economics!$AJ$2:$AJ$167,TRUE))*economics!$AM$2:$AM$167))/(SUMPRODUCT((economics!$AG$2:$AG$167=$B36)*(economics!$D$2:$D$167="process")*economics!$AH$2:$AH$167*(_xlfn.NORM.DIST(AD$3,economics!$AK$2:$AK$167,economics!$AJ$2:$AJ$167,TRUE)-_xlfn.NORM.DIST(AD$30,economics!$AK$2:$AK$167,economics!$AJ$2:$AJ$167,TRUE)))),"")</f>
        <v/>
      </c>
      <c r="AE36">
        <f t="array" ref="AE36">IFERROR((SUMPRODUCT((economics!$AG$2:$AG$167=$B36)*(economics!$D$2:$D$167="process")*economics!$AH$2:$AH$167*(_xlfn.NORM.DIST(AE$3,economics!$AK$2:$AK$167,economics!$AJ$2:$AJ$167,TRUE)-_xlfn.NORM.DIST(AE$30,economics!$AK$2:$AK$167,economics!$AJ$2:$AJ$167,TRUE))*economics!$AM$2:$AM$167))/(SUMPRODUCT((economics!$AG$2:$AG$167=$B36)*(economics!$D$2:$D$167="process")*economics!$AH$2:$AH$167*(_xlfn.NORM.DIST(AE$3,economics!$AK$2:$AK$167,economics!$AJ$2:$AJ$167,TRUE)-_xlfn.NORM.DIST(AE$30,economics!$AK$2:$AK$167,economics!$AJ$2:$AJ$167,TRUE)))),"")</f>
        <v/>
      </c>
      <c r="AF36">
        <f t="array" ref="AF36">IFERROR((SUMPRODUCT((economics!$AG$2:$AG$167=$B36)*(economics!$D$2:$D$167="process")*economics!$AH$2:$AH$167*(_xlfn.NORM.DIST(AF$3,economics!$AK$2:$AK$167,economics!$AJ$2:$AJ$167,TRUE)-_xlfn.NORM.DIST(AF$30,economics!$AK$2:$AK$167,economics!$AJ$2:$AJ$167,TRUE))*economics!$AM$2:$AM$167))/(SUMPRODUCT((economics!$AG$2:$AG$167=$B36)*(economics!$D$2:$D$167="process")*economics!$AH$2:$AH$167*(_xlfn.NORM.DIST(AF$3,economics!$AK$2:$AK$167,economics!$AJ$2:$AJ$167,TRUE)-_xlfn.NORM.DIST(AF$30,economics!$AK$2:$AK$167,economics!$AJ$2:$AJ$167,TRUE)))),"")</f>
        <v/>
      </c>
      <c r="AG36">
        <f t="array" ref="AG36">IFERROR((SUMPRODUCT((economics!$AG$2:$AG$167=$B36)*(economics!$D$2:$D$167="process")*economics!$AH$2:$AH$167*(_xlfn.NORM.DIST(AG$3,economics!$AK$2:$AK$167,economics!$AJ$2:$AJ$167,TRUE)-_xlfn.NORM.DIST(AG$30,economics!$AK$2:$AK$167,economics!$AJ$2:$AJ$167,TRUE))*economics!$AM$2:$AM$167))/(SUMPRODUCT((economics!$AG$2:$AG$167=$B36)*(economics!$D$2:$D$167="process")*economics!$AH$2:$AH$167*(_xlfn.NORM.DIST(AG$3,economics!$AK$2:$AK$167,economics!$AJ$2:$AJ$167,TRUE)-_xlfn.NORM.DIST(AG$30,economics!$AK$2:$AK$167,economics!$AJ$2:$AJ$167,TRUE)))),"")</f>
        <v/>
      </c>
      <c r="AH36">
        <f t="array" ref="AH36">IFERROR((SUMPRODUCT((economics!$AG$2:$AG$167=$B36)*(economics!$D$2:$D$167="process")*economics!$AH$2:$AH$167*(_xlfn.NORM.DIST(AH$3,economics!$AK$2:$AK$167,economics!$AJ$2:$AJ$167,TRUE)-_xlfn.NORM.DIST(AH$30,economics!$AK$2:$AK$167,economics!$AJ$2:$AJ$167,TRUE))*economics!$AM$2:$AM$167))/(SUMPRODUCT((economics!$AG$2:$AG$167=$B36)*(economics!$D$2:$D$167="process")*economics!$AH$2:$AH$167*(_xlfn.NORM.DIST(AH$3,economics!$AK$2:$AK$167,economics!$AJ$2:$AJ$167,TRUE)-_xlfn.NORM.DIST(AH$30,economics!$AK$2:$AK$167,economics!$AJ$2:$AJ$167,TRUE)))),"")</f>
        <v/>
      </c>
      <c r="AI36">
        <f t="array" ref="AI36">IFERROR((SUMPRODUCT((economics!$AG$2:$AG$167=$B36)*(economics!$D$2:$D$167="process")*economics!$AH$2:$AH$167*(_xlfn.NORM.DIST(AI$3,economics!$AK$2:$AK$167,economics!$AJ$2:$AJ$167,TRUE)-_xlfn.NORM.DIST(AI$30,economics!$AK$2:$AK$167,economics!$AJ$2:$AJ$167,TRUE))*economics!$AM$2:$AM$167))/(SUMPRODUCT((economics!$AG$2:$AG$167=$B36)*(economics!$D$2:$D$167="process")*economics!$AH$2:$AH$167*(_xlfn.NORM.DIST(AI$3,economics!$AK$2:$AK$167,economics!$AJ$2:$AJ$167,TRUE)-_xlfn.NORM.DIST(AI$30,economics!$AK$2:$AK$167,economics!$AJ$2:$AJ$167,TRUE)))),"")</f>
        <v/>
      </c>
      <c r="AJ36">
        <f t="array" ref="AJ36">IFERROR((SUMPRODUCT((economics!$AG$2:$AG$167=$B36)*(economics!$D$2:$D$167="process")*economics!$AH$2:$AH$167*(_xlfn.NORM.DIST(AJ$3,economics!$AK$2:$AK$167,economics!$AJ$2:$AJ$167,TRUE)-_xlfn.NORM.DIST(AJ$30,economics!$AK$2:$AK$167,economics!$AJ$2:$AJ$167,TRUE))*economics!$AM$2:$AM$167))/(SUMPRODUCT((economics!$AG$2:$AG$167=$B36)*(economics!$D$2:$D$167="process")*economics!$AH$2:$AH$167*(_xlfn.NORM.DIST(AJ$3,economics!$AK$2:$AK$167,economics!$AJ$2:$AJ$167,TRUE)-_xlfn.NORM.DIST(AJ$30,economics!$AK$2:$AK$167,economics!$AJ$2:$AJ$167,TRUE)))),"")</f>
        <v/>
      </c>
      <c r="AK36">
        <f t="array" ref="AK36">IFERROR((SUMPRODUCT((economics!$AG$2:$AG$167=$B36)*(economics!$D$2:$D$167="process")*economics!$AH$2:$AH$167*(_xlfn.NORM.DIST(AK$3,economics!$AK$2:$AK$167,economics!$AJ$2:$AJ$167,TRUE)-_xlfn.NORM.DIST(AK$30,economics!$AK$2:$AK$167,economics!$AJ$2:$AJ$167,TRUE))*economics!$AM$2:$AM$167))/(SUMPRODUCT((economics!$AG$2:$AG$167=$B36)*(economics!$D$2:$D$167="process")*economics!$AH$2:$AH$167*(_xlfn.NORM.DIST(AK$3,economics!$AK$2:$AK$167,economics!$AJ$2:$AJ$167,TRUE)-_xlfn.NORM.DIST(AK$30,economics!$AK$2:$AK$167,economics!$AJ$2:$AJ$167,TRUE)))),"")</f>
        <v/>
      </c>
      <c r="AL36">
        <f t="array" ref="AL36">IFERROR((SUMPRODUCT((economics!$AG$2:$AG$167=$B36)*(economics!$D$2:$D$167="process")*economics!$AH$2:$AH$167*(_xlfn.NORM.DIST(AL$3,economics!$AK$2:$AK$167,economics!$AJ$2:$AJ$167,TRUE)-_xlfn.NORM.DIST(AL$30,economics!$AK$2:$AK$167,economics!$AJ$2:$AJ$167,TRUE))*economics!$AM$2:$AM$167))/(SUMPRODUCT((economics!$AG$2:$AG$167=$B36)*(economics!$D$2:$D$167="process")*economics!$AH$2:$AH$167*(_xlfn.NORM.DIST(AL$3,economics!$AK$2:$AK$167,economics!$AJ$2:$AJ$167,TRUE)-_xlfn.NORM.DIST(AL$30,economics!$AK$2:$AK$167,economics!$AJ$2:$AJ$167,TRUE)))),"")</f>
        <v/>
      </c>
      <c r="AM36">
        <f t="array" ref="AM36">IFERROR((SUMPRODUCT((economics!$AG$2:$AG$167=$B36)*(economics!$D$2:$D$167="process")*economics!$AH$2:$AH$167*(_xlfn.NORM.DIST(AM$3,economics!$AK$2:$AK$167,economics!$AJ$2:$AJ$167,TRUE)-_xlfn.NORM.DIST(AM$30,economics!$AK$2:$AK$167,economics!$AJ$2:$AJ$167,TRUE))*economics!$AM$2:$AM$167))/(SUMPRODUCT((economics!$AG$2:$AG$167=$B36)*(economics!$D$2:$D$167="process")*economics!$AH$2:$AH$167*(_xlfn.NORM.DIST(AM$3,economics!$AK$2:$AK$167,economics!$AJ$2:$AJ$167,TRUE)-_xlfn.NORM.DIST(AM$30,economics!$AK$2:$AK$167,economics!$AJ$2:$AJ$167,TRUE)))),"")</f>
        <v/>
      </c>
      <c r="AN36">
        <f t="array" ref="AN36">IFERROR((SUMPRODUCT((economics!$AG$2:$AG$167=$B36)*(economics!$D$2:$D$167="process")*economics!$AH$2:$AH$167*(_xlfn.NORM.DIST(AN$3,economics!$AK$2:$AK$167,economics!$AJ$2:$AJ$167,TRUE)-_xlfn.NORM.DIST(AN$30,economics!$AK$2:$AK$167,economics!$AJ$2:$AJ$167,TRUE))*economics!$AM$2:$AM$167))/(SUMPRODUCT((economics!$AG$2:$AG$167=$B36)*(economics!$D$2:$D$167="process")*economics!$AH$2:$AH$167*(_xlfn.NORM.DIST(AN$3,economics!$AK$2:$AK$167,economics!$AJ$2:$AJ$167,TRUE)-_xlfn.NORM.DIST(AN$30,economics!$AK$2:$AK$167,economics!$AJ$2:$AJ$167,TRUE)))),"")</f>
        <v/>
      </c>
      <c r="AO36">
        <f t="array" ref="AO36">IFERROR((SUMPRODUCT((economics!$AG$2:$AG$167=$B36)*(economics!$D$2:$D$167="process")*economics!$AH$2:$AH$167*(_xlfn.NORM.DIST(AO$3,economics!$AK$2:$AK$167,economics!$AJ$2:$AJ$167,TRUE)-_xlfn.NORM.DIST(AO$30,economics!$AK$2:$AK$167,economics!$AJ$2:$AJ$167,TRUE))*economics!$AM$2:$AM$167))/(SUMPRODUCT((economics!$AG$2:$AG$167=$B36)*(economics!$D$2:$D$167="process")*economics!$AH$2:$AH$167*(_xlfn.NORM.DIST(AO$3,economics!$AK$2:$AK$167,economics!$AJ$2:$AJ$167,TRUE)-_xlfn.NORM.DIST(AO$30,economics!$AK$2:$AK$167,economics!$AJ$2:$AJ$167,TRUE)))),"")</f>
        <v/>
      </c>
      <c r="AP36">
        <f t="array" ref="AP36">IFERROR((SUMPRODUCT((economics!$AG$2:$AG$167=$B36)*(economics!$D$2:$D$167="process")*economics!$AH$2:$AH$167*(_xlfn.NORM.DIST(AP$3,economics!$AK$2:$AK$167,economics!$AJ$2:$AJ$167,TRUE)-_xlfn.NORM.DIST(AP$30,economics!$AK$2:$AK$167,economics!$AJ$2:$AJ$167,TRUE))*economics!$AM$2:$AM$167))/(SUMPRODUCT((economics!$AG$2:$AG$167=$B36)*(economics!$D$2:$D$167="process")*economics!$AH$2:$AH$167*(_xlfn.NORM.DIST(AP$3,economics!$AK$2:$AK$167,economics!$AJ$2:$AJ$167,TRUE)-_xlfn.NORM.DIST(AP$30,economics!$AK$2:$AK$167,economics!$AJ$2:$AJ$167,TRUE)))),"")</f>
        <v/>
      </c>
      <c r="AQ36">
        <f t="array" ref="AQ36">IFERROR((SUMPRODUCT((economics!$AG$2:$AG$167=$B36)*(economics!$D$2:$D$167="process")*economics!$AH$2:$AH$167*(_xlfn.NORM.DIST(AQ$3,economics!$AK$2:$AK$167,economics!$AJ$2:$AJ$167,TRUE)-_xlfn.NORM.DIST(AQ$30,economics!$AK$2:$AK$167,economics!$AJ$2:$AJ$167,TRUE))*economics!$AM$2:$AM$167))/(SUMPRODUCT((economics!$AG$2:$AG$167=$B36)*(economics!$D$2:$D$167="process")*economics!$AH$2:$AH$167*(_xlfn.NORM.DIST(AQ$3,economics!$AK$2:$AK$167,economics!$AJ$2:$AJ$167,TRUE)-_xlfn.NORM.DIST(AQ$30,economics!$AK$2:$AK$167,economics!$AJ$2:$AJ$167,TRUE)))),"")</f>
        <v/>
      </c>
      <c r="AR36">
        <f t="array" ref="AR36">IFERROR((SUMPRODUCT((economics!$AG$2:$AG$167=$B36)*(economics!$D$2:$D$167="process")*economics!$AH$2:$AH$167*(_xlfn.NORM.DIST(AR$3,economics!$AK$2:$AK$167,economics!$AJ$2:$AJ$167,TRUE)-_xlfn.NORM.DIST(AR$30,economics!$AK$2:$AK$167,economics!$AJ$2:$AJ$167,TRUE))*economics!$AM$2:$AM$167))/(SUMPRODUCT((economics!$AG$2:$AG$167=$B36)*(economics!$D$2:$D$167="process")*economics!$AH$2:$AH$167*(_xlfn.NORM.DIST(AR$3,economics!$AK$2:$AK$167,economics!$AJ$2:$AJ$167,TRUE)-_xlfn.NORM.DIST(AR$30,economics!$AK$2:$AK$167,economics!$AJ$2:$AJ$167,TRUE)))),"")</f>
        <v/>
      </c>
      <c r="AS36">
        <f t="array" ref="AS36">IFERROR((SUMPRODUCT((economics!$AG$2:$AG$167=$B36)*(economics!$D$2:$D$167="process")*economics!$AH$2:$AH$167*(_xlfn.NORM.DIST(AS$3,economics!$AK$2:$AK$167,economics!$AJ$2:$AJ$167,TRUE)-_xlfn.NORM.DIST(AS$30,economics!$AK$2:$AK$167,economics!$AJ$2:$AJ$167,TRUE))*economics!$AM$2:$AM$167))/(SUMPRODUCT((economics!$AG$2:$AG$167=$B36)*(economics!$D$2:$D$167="process")*economics!$AH$2:$AH$167*(_xlfn.NORM.DIST(AS$3,economics!$AK$2:$AK$167,economics!$AJ$2:$AJ$167,TRUE)-_xlfn.NORM.DIST(AS$30,economics!$AK$2:$AK$167,economics!$AJ$2:$AJ$167,TRUE)))),"")</f>
        <v/>
      </c>
      <c r="AT36">
        <f t="array" ref="AT36">IFERROR((SUMPRODUCT((economics!$AG$2:$AG$167=$B36)*(economics!$D$2:$D$167="process")*economics!$AH$2:$AH$167*(_xlfn.NORM.DIST(AT$3,economics!$AK$2:$AK$167,economics!$AJ$2:$AJ$167,TRUE)-_xlfn.NORM.DIST(AT$30,economics!$AK$2:$AK$167,economics!$AJ$2:$AJ$167,TRUE))*economics!$AM$2:$AM$167))/(SUMPRODUCT((economics!$AG$2:$AG$167=$B36)*(economics!$D$2:$D$167="process")*economics!$AH$2:$AH$167*(_xlfn.NORM.DIST(AT$3,economics!$AK$2:$AK$167,economics!$AJ$2:$AJ$167,TRUE)-_xlfn.NORM.DIST(AT$30,economics!$AK$2:$AK$167,economics!$AJ$2:$AJ$167,TRUE)))),"")</f>
        <v/>
      </c>
      <c r="AU36">
        <f t="array" ref="AU36">IFERROR((SUMPRODUCT((economics!$AG$2:$AG$167=$B36)*(economics!$D$2:$D$167="process")*economics!$AH$2:$AH$167*(_xlfn.NORM.DIST(AU$3,economics!$AK$2:$AK$167,economics!$AJ$2:$AJ$167,TRUE)-_xlfn.NORM.DIST(AU$30,economics!$AK$2:$AK$167,economics!$AJ$2:$AJ$167,TRUE))*economics!$AM$2:$AM$167))/(SUMPRODUCT((economics!$AG$2:$AG$167=$B36)*(economics!$D$2:$D$167="process")*economics!$AH$2:$AH$167*(_xlfn.NORM.DIST(AU$3,economics!$AK$2:$AK$167,economics!$AJ$2:$AJ$167,TRUE)-_xlfn.NORM.DIST(AU$30,economics!$AK$2:$AK$167,economics!$AJ$2:$AJ$167,TRUE)))),"")</f>
        <v/>
      </c>
      <c r="AV36">
        <f t="array" ref="AV36">IFERROR((SUMPRODUCT((economics!$AG$2:$AG$167=$B36)*(economics!$D$2:$D$167="process")*economics!$AH$2:$AH$167*(_xlfn.NORM.DIST(AV$3,economics!$AK$2:$AK$167,economics!$AJ$2:$AJ$167,TRUE)-_xlfn.NORM.DIST(AV$30,economics!$AK$2:$AK$167,economics!$AJ$2:$AJ$167,TRUE))*economics!$AM$2:$AM$167))/(SUMPRODUCT((economics!$AG$2:$AG$167=$B36)*(economics!$D$2:$D$167="process")*economics!$AH$2:$AH$167*(_xlfn.NORM.DIST(AV$3,economics!$AK$2:$AK$167,economics!$AJ$2:$AJ$167,TRUE)-_xlfn.NORM.DIST(AV$30,economics!$AK$2:$AK$167,economics!$AJ$2:$AJ$167,TRUE)))),"")</f>
        <v/>
      </c>
      <c r="AW36">
        <f t="array" ref="AW36">IFERROR((SUMPRODUCT((economics!$AG$2:$AG$167=$B36)*(economics!$D$2:$D$167="process")*economics!$AH$2:$AH$167*(_xlfn.NORM.DIST(AW$3,economics!$AK$2:$AK$167,economics!$AJ$2:$AJ$167,TRUE)-_xlfn.NORM.DIST(AW$30,economics!$AK$2:$AK$167,economics!$AJ$2:$AJ$167,TRUE))*economics!$AM$2:$AM$167))/(SUMPRODUCT((economics!$AG$2:$AG$167=$B36)*(economics!$D$2:$D$167="process")*economics!$AH$2:$AH$167*(_xlfn.NORM.DIST(AW$3,economics!$AK$2:$AK$167,economics!$AJ$2:$AJ$167,TRUE)-_xlfn.NORM.DIST(AW$30,economics!$AK$2:$AK$167,economics!$AJ$2:$AJ$167,TRUE)))),"")</f>
        <v/>
      </c>
      <c r="AX36">
        <f t="array" ref="AX36">IFERROR((SUMPRODUCT((economics!$AG$2:$AG$167=$B36)*(economics!$D$2:$D$167="process")*economics!$AH$2:$AH$167*(_xlfn.NORM.DIST(AX$3,economics!$AK$2:$AK$167,economics!$AJ$2:$AJ$167,TRUE)-_xlfn.NORM.DIST(AX$30,economics!$AK$2:$AK$167,economics!$AJ$2:$AJ$167,TRUE))*economics!$AM$2:$AM$167))/(SUMPRODUCT((economics!$AG$2:$AG$167=$B36)*(economics!$D$2:$D$167="process")*economics!$AH$2:$AH$167*(_xlfn.NORM.DIST(AX$3,economics!$AK$2:$AK$167,economics!$AJ$2:$AJ$167,TRUE)-_xlfn.NORM.DIST(AX$30,economics!$AK$2:$AK$167,economics!$AJ$2:$AJ$167,TRUE)))),"")</f>
        <v/>
      </c>
      <c r="AY36">
        <f t="array" ref="AY36">IFERROR((SUMPRODUCT((economics!$AG$2:$AG$167=$B36)*(economics!$D$2:$D$167="process")*economics!$AH$2:$AH$167*(_xlfn.NORM.DIST(AY$3,economics!$AK$2:$AK$167,economics!$AJ$2:$AJ$167,TRUE)-_xlfn.NORM.DIST(AY$30,economics!$AK$2:$AK$167,economics!$AJ$2:$AJ$167,TRUE))*economics!$AM$2:$AM$167))/(SUMPRODUCT((economics!$AG$2:$AG$167=$B36)*(economics!$D$2:$D$167="process")*economics!$AH$2:$AH$167*(_xlfn.NORM.DIST(AY$3,economics!$AK$2:$AK$167,economics!$AJ$2:$AJ$167,TRUE)-_xlfn.NORM.DIST(AY$30,economics!$AK$2:$AK$167,economics!$AJ$2:$AJ$167,TRUE)))),"")</f>
        <v/>
      </c>
      <c r="AZ36">
        <f t="array" ref="AZ36">IFERROR((SUMPRODUCT((economics!$AG$2:$AG$167=$B36)*(economics!$D$2:$D$167="process")*economics!$AH$2:$AH$167*(_xlfn.NORM.DIST(AZ$3,economics!$AK$2:$AK$167,economics!$AJ$2:$AJ$167,TRUE)-_xlfn.NORM.DIST(AZ$30,economics!$AK$2:$AK$167,economics!$AJ$2:$AJ$167,TRUE))*economics!$AM$2:$AM$167))/(SUMPRODUCT((economics!$AG$2:$AG$167=$B36)*(economics!$D$2:$D$167="process")*economics!$AH$2:$AH$167*(_xlfn.NORM.DIST(AZ$3,economics!$AK$2:$AK$167,economics!$AJ$2:$AJ$167,TRUE)-_xlfn.NORM.DIST(AZ$30,economics!$AK$2:$AK$167,economics!$AJ$2:$AJ$167,TRUE)))),"")</f>
        <v/>
      </c>
      <c r="BA36">
        <f t="array" ref="BA36">IFERROR((SUMPRODUCT((economics!$AG$2:$AG$167=$B36)*(economics!$D$2:$D$167="process")*economics!$AH$2:$AH$167*(_xlfn.NORM.DIST(BA$3,economics!$AK$2:$AK$167,economics!$AJ$2:$AJ$167,TRUE)-_xlfn.NORM.DIST(BA$30,economics!$AK$2:$AK$167,economics!$AJ$2:$AJ$167,TRUE))*economics!$AM$2:$AM$167))/(SUMPRODUCT((economics!$AG$2:$AG$167=$B36)*(economics!$D$2:$D$167="process")*economics!$AH$2:$AH$167*(_xlfn.NORM.DIST(BA$3,economics!$AK$2:$AK$167,economics!$AJ$2:$AJ$167,TRUE)-_xlfn.NORM.DIST(BA$30,economics!$AK$2:$AK$167,economics!$AJ$2:$AJ$167,TRUE)))),"")</f>
        <v/>
      </c>
      <c r="BB36">
        <f t="array" ref="BB36">IFERROR((SUMPRODUCT((economics!$AG$2:$AG$167=$B36)*(economics!$D$2:$D$167="process")*economics!$AH$2:$AH$167*(_xlfn.NORM.DIST(BB$3,economics!$AK$2:$AK$167,economics!$AJ$2:$AJ$167,TRUE)-_xlfn.NORM.DIST(BB$30,economics!$AK$2:$AK$167,economics!$AJ$2:$AJ$167,TRUE))*economics!$AM$2:$AM$167))/(SUMPRODUCT((economics!$AG$2:$AG$167=$B36)*(economics!$D$2:$D$167="process")*economics!$AH$2:$AH$167*(_xlfn.NORM.DIST(BB$3,economics!$AK$2:$AK$167,economics!$AJ$2:$AJ$167,TRUE)-_xlfn.NORM.DIST(BB$30,economics!$AK$2:$AK$167,economics!$AJ$2:$AJ$167,TRUE)))),"")</f>
        <v/>
      </c>
      <c r="BC36">
        <f t="array" ref="BC36">IFERROR((SUMPRODUCT((economics!$AG$2:$AG$167=$B36)*(economics!$D$2:$D$167="process")*economics!$AH$2:$AH$167*(_xlfn.NORM.DIST(BC$3,economics!$AK$2:$AK$167,economics!$AJ$2:$AJ$167,TRUE)-_xlfn.NORM.DIST(BC$30,economics!$AK$2:$AK$167,economics!$AJ$2:$AJ$167,TRUE))*economics!$AM$2:$AM$167))/(SUMPRODUCT((economics!$AG$2:$AG$167=$B36)*(economics!$D$2:$D$167="process")*economics!$AH$2:$AH$167*(_xlfn.NORM.DIST(BC$3,economics!$AK$2:$AK$167,economics!$AJ$2:$AJ$167,TRUE)-_xlfn.NORM.DIST(BC$30,economics!$AK$2:$AK$167,economics!$AJ$2:$AJ$167,TRUE)))),"")</f>
        <v/>
      </c>
      <c r="BD36">
        <f t="array" ref="BD36">IFERROR((SUMPRODUCT((economics!$AG$2:$AG$167=$B36)*(economics!$D$2:$D$167="process")*economics!$AH$2:$AH$167*(_xlfn.NORM.DIST(BD$3,economics!$AK$2:$AK$167,economics!$AJ$2:$AJ$167,TRUE)-_xlfn.NORM.DIST(BD$30,economics!$AK$2:$AK$167,economics!$AJ$2:$AJ$167,TRUE))*economics!$AM$2:$AM$167))/(SUMPRODUCT((economics!$AG$2:$AG$167=$B36)*(economics!$D$2:$D$167="process")*economics!$AH$2:$AH$167*(_xlfn.NORM.DIST(BD$3,economics!$AK$2:$AK$167,economics!$AJ$2:$AJ$167,TRUE)-_xlfn.NORM.DIST(BD$30,economics!$AK$2:$AK$167,economics!$AJ$2:$AJ$167,TRUE)))),"")</f>
        <v/>
      </c>
      <c r="BE36">
        <f t="array" ref="BE36">IFERROR((SUMPRODUCT((economics!$AG$2:$AG$167=$B36)*(economics!$D$2:$D$167="process")*economics!$AH$2:$AH$167*(_xlfn.NORM.DIST(BE$3,economics!$AK$2:$AK$167,economics!$AJ$2:$AJ$167,TRUE)-_xlfn.NORM.DIST(BE$30,economics!$AK$2:$AK$167,economics!$AJ$2:$AJ$167,TRUE))*economics!$AM$2:$AM$167))/(SUMPRODUCT((economics!$AG$2:$AG$167=$B36)*(economics!$D$2:$D$167="process")*economics!$AH$2:$AH$167*(_xlfn.NORM.DIST(BE$3,economics!$AK$2:$AK$167,economics!$AJ$2:$AJ$167,TRUE)-_xlfn.NORM.DIST(BE$30,economics!$AK$2:$AK$167,economics!$AJ$2:$AJ$167,TRUE)))),"")</f>
        <v/>
      </c>
      <c r="BF36">
        <f t="array" ref="BF36">IFERROR((SUMPRODUCT((economics!$AG$2:$AG$167=$B36)*(economics!$D$2:$D$167="process")*economics!$AH$2:$AH$167*(_xlfn.NORM.DIST(BF$3,economics!$AK$2:$AK$167,economics!$AJ$2:$AJ$167,TRUE)-_xlfn.NORM.DIST(BF$30,economics!$AK$2:$AK$167,economics!$AJ$2:$AJ$167,TRUE))*economics!$AM$2:$AM$167))/(SUMPRODUCT((economics!$AG$2:$AG$167=$B36)*(economics!$D$2:$D$167="process")*economics!$AH$2:$AH$167*(_xlfn.NORM.DIST(BF$3,economics!$AK$2:$AK$167,economics!$AJ$2:$AJ$167,TRUE)-_xlfn.NORM.DIST(BF$30,economics!$AK$2:$AK$167,economics!$AJ$2:$AJ$167,TRUE)))),"")</f>
        <v/>
      </c>
      <c r="BG36">
        <f t="array" ref="BG36">IFERROR((SUMPRODUCT((economics!$AG$2:$AG$167=$B36)*(economics!$D$2:$D$167="process")*economics!$AH$2:$AH$167*(_xlfn.NORM.DIST(BG$3,economics!$AK$2:$AK$167,economics!$AJ$2:$AJ$167,TRUE)-_xlfn.NORM.DIST(BG$30,economics!$AK$2:$AK$167,economics!$AJ$2:$AJ$167,TRUE))*economics!$AM$2:$AM$167))/(SUMPRODUCT((economics!$AG$2:$AG$167=$B36)*(economics!$D$2:$D$167="process")*economics!$AH$2:$AH$167*(_xlfn.NORM.DIST(BG$3,economics!$AK$2:$AK$167,economics!$AJ$2:$AJ$167,TRUE)-_xlfn.NORM.DIST(BG$30,economics!$AK$2:$AK$167,economics!$AJ$2:$AJ$167,TRUE)))),"")</f>
        <v/>
      </c>
      <c r="BH36">
        <f t="array" ref="BH36">IFERROR((SUMPRODUCT((economics!$AG$2:$AG$167=$B36)*(economics!$D$2:$D$167="process")*economics!$AH$2:$AH$167*(_xlfn.NORM.DIST(BH$3,economics!$AK$2:$AK$167,economics!$AJ$2:$AJ$167,TRUE)-_xlfn.NORM.DIST(BH$30,economics!$AK$2:$AK$167,economics!$AJ$2:$AJ$167,TRUE))*economics!$AM$2:$AM$167))/(SUMPRODUCT((economics!$AG$2:$AG$167=$B36)*(economics!$D$2:$D$167="process")*economics!$AH$2:$AH$167*(_xlfn.NORM.DIST(BH$3,economics!$AK$2:$AK$167,economics!$AJ$2:$AJ$167,TRUE)-_xlfn.NORM.DIST(BH$30,economics!$AK$2:$AK$167,economics!$AJ$2:$AJ$167,TRUE)))),"")</f>
        <v/>
      </c>
      <c r="BI36">
        <f t="array" ref="BI36">IFERROR((SUMPRODUCT((economics!$AG$2:$AG$167=$B36)*(economics!$D$2:$D$167="process")*economics!$AH$2:$AH$167*(_xlfn.NORM.DIST(BI$3,economics!$AK$2:$AK$167,economics!$AJ$2:$AJ$167,TRUE)-_xlfn.NORM.DIST(BI$30,economics!$AK$2:$AK$167,economics!$AJ$2:$AJ$167,TRUE))*economics!$AM$2:$AM$167))/(SUMPRODUCT((economics!$AG$2:$AG$167=$B36)*(economics!$D$2:$D$167="process")*economics!$AH$2:$AH$167*(_xlfn.NORM.DIST(BI$3,economics!$AK$2:$AK$167,economics!$AJ$2:$AJ$167,TRUE)-_xlfn.NORM.DIST(BI$30,economics!$AK$2:$AK$167,economics!$AJ$2:$AJ$167,TRUE)))),"")</f>
        <v/>
      </c>
      <c r="BJ36">
        <f t="array" ref="BJ36">IFERROR((SUMPRODUCT((economics!$AG$2:$AG$167=$B36)*(economics!$D$2:$D$167="process")*economics!$AH$2:$AH$167*(_xlfn.NORM.DIST(BJ$3,economics!$AK$2:$AK$167,economics!$AJ$2:$AJ$167,TRUE)-_xlfn.NORM.DIST(BJ$30,economics!$AK$2:$AK$167,economics!$AJ$2:$AJ$167,TRUE))*economics!$AM$2:$AM$167))/(SUMPRODUCT((economics!$AG$2:$AG$167=$B36)*(economics!$D$2:$D$167="process")*economics!$AH$2:$AH$167*(_xlfn.NORM.DIST(BJ$3,economics!$AK$2:$AK$167,economics!$AJ$2:$AJ$167,TRUE)-_xlfn.NORM.DIST(BJ$30,economics!$AK$2:$AK$167,economics!$AJ$2:$AJ$167,TRUE)))),"")</f>
        <v/>
      </c>
      <c r="BK36">
        <f t="array" ref="BK36">IFERROR((SUMPRODUCT((economics!$AG$2:$AG$167=$B36)*(economics!$D$2:$D$167="process")*economics!$AH$2:$AH$167*(_xlfn.NORM.DIST(BK$3,economics!$AK$2:$AK$167,economics!$AJ$2:$AJ$167,TRUE)-_xlfn.NORM.DIST(BK$30,economics!$AK$2:$AK$167,economics!$AJ$2:$AJ$167,TRUE))*economics!$AM$2:$AM$167))/(SUMPRODUCT((economics!$AG$2:$AG$167=$B36)*(economics!$D$2:$D$167="process")*economics!$AH$2:$AH$167*(_xlfn.NORM.DIST(BK$3,economics!$AK$2:$AK$167,economics!$AJ$2:$AJ$167,TRUE)-_xlfn.NORM.DIST(BK$30,economics!$AK$2:$AK$167,economics!$AJ$2:$AJ$167,TRUE)))),"")</f>
        <v/>
      </c>
      <c r="BL36">
        <f t="array" ref="BL36">IFERROR((SUMPRODUCT((economics!$AG$2:$AG$167=$B36)*(economics!$D$2:$D$167="process")*economics!$AH$2:$AH$167*(_xlfn.NORM.DIST(BL$3,economics!$AK$2:$AK$167,economics!$AJ$2:$AJ$167,TRUE)-_xlfn.NORM.DIST(BL$30,economics!$AK$2:$AK$167,economics!$AJ$2:$AJ$167,TRUE))*economics!$AM$2:$AM$167))/(SUMPRODUCT((economics!$AG$2:$AG$167=$B36)*(economics!$D$2:$D$167="process")*economics!$AH$2:$AH$167*(_xlfn.NORM.DIST(BL$3,economics!$AK$2:$AK$167,economics!$AJ$2:$AJ$167,TRUE)-_xlfn.NORM.DIST(BL$30,economics!$AK$2:$AK$167,economics!$AJ$2:$AJ$167,TRUE)))),"")</f>
        <v/>
      </c>
      <c r="BM36">
        <f t="array" ref="BM36">IFERROR((SUMPRODUCT((economics!$AG$2:$AG$167=$B36)*(economics!$D$2:$D$167="process")*economics!$AH$2:$AH$167*(_xlfn.NORM.DIST(BM$3,economics!$AK$2:$AK$167,economics!$AJ$2:$AJ$167,TRUE)-_xlfn.NORM.DIST(BM$30,economics!$AK$2:$AK$167,economics!$AJ$2:$AJ$167,TRUE))*economics!$AM$2:$AM$167))/(SUMPRODUCT((economics!$AG$2:$AG$167=$B36)*(economics!$D$2:$D$167="process")*economics!$AH$2:$AH$167*(_xlfn.NORM.DIST(BM$3,economics!$AK$2:$AK$167,economics!$AJ$2:$AJ$167,TRUE)-_xlfn.NORM.DIST(BM$30,economics!$AK$2:$AK$167,economics!$AJ$2:$AJ$167,TRUE)))),"")</f>
        <v/>
      </c>
      <c r="BN36">
        <f t="array" ref="BN36">IFERROR((SUMPRODUCT((economics!$AG$2:$AG$167=$B36)*(economics!$D$2:$D$167="process")*economics!$AH$2:$AH$167*(_xlfn.NORM.DIST(BN$3,economics!$AK$2:$AK$167,economics!$AJ$2:$AJ$167,TRUE)-_xlfn.NORM.DIST(BN$30,economics!$AK$2:$AK$167,economics!$AJ$2:$AJ$167,TRUE))*economics!$AM$2:$AM$167))/(SUMPRODUCT((economics!$AG$2:$AG$167=$B36)*(economics!$D$2:$D$167="process")*economics!$AH$2:$AH$167*(_xlfn.NORM.DIST(BN$3,economics!$AK$2:$AK$167,economics!$AJ$2:$AJ$167,TRUE)-_xlfn.NORM.DIST(BN$30,economics!$AK$2:$AK$167,economics!$AJ$2:$AJ$167,TRUE)))),"")</f>
        <v/>
      </c>
      <c r="BO36">
        <f t="array" ref="BO36">IFERROR((SUMPRODUCT((economics!$AG$2:$AG$167=$B36)*(economics!$D$2:$D$167="process")*economics!$AH$2:$AH$167*(_xlfn.NORM.DIST(BO$3,economics!$AK$2:$AK$167,economics!$AJ$2:$AJ$167,TRUE)-_xlfn.NORM.DIST(BO$30,economics!$AK$2:$AK$167,economics!$AJ$2:$AJ$167,TRUE))*economics!$AM$2:$AM$167))/(SUMPRODUCT((economics!$AG$2:$AG$167=$B36)*(economics!$D$2:$D$167="process")*economics!$AH$2:$AH$167*(_xlfn.NORM.DIST(BO$3,economics!$AK$2:$AK$167,economics!$AJ$2:$AJ$167,TRUE)-_xlfn.NORM.DIST(BO$30,economics!$AK$2:$AK$167,economics!$AJ$2:$AJ$167,TRUE)))),"")</f>
        <v/>
      </c>
      <c r="BP36">
        <f t="array" ref="BP36">IFERROR((SUMPRODUCT((economics!$AG$2:$AG$167=$B36)*(economics!$D$2:$D$167="process")*economics!$AH$2:$AH$167*(_xlfn.NORM.DIST(BP$3,economics!$AK$2:$AK$167,economics!$AJ$2:$AJ$167,TRUE)-_xlfn.NORM.DIST(BP$30,economics!$AK$2:$AK$167,economics!$AJ$2:$AJ$167,TRUE))*economics!$AM$2:$AM$167))/(SUMPRODUCT((economics!$AG$2:$AG$167=$B36)*(economics!$D$2:$D$167="process")*economics!$AH$2:$AH$167*(_xlfn.NORM.DIST(BP$3,economics!$AK$2:$AK$167,economics!$AJ$2:$AJ$167,TRUE)-_xlfn.NORM.DIST(BP$30,economics!$AK$2:$AK$167,economics!$AJ$2:$AJ$167,TRUE)))),"")</f>
        <v/>
      </c>
      <c r="BQ36">
        <f t="array" ref="BQ36">IFERROR((SUMPRODUCT((economics!$AG$2:$AG$167=$B36)*(economics!$D$2:$D$167="process")*economics!$AH$2:$AH$167*(_xlfn.NORM.DIST(BQ$3,economics!$AK$2:$AK$167,economics!$AJ$2:$AJ$167,TRUE)-_xlfn.NORM.DIST(BQ$30,economics!$AK$2:$AK$167,economics!$AJ$2:$AJ$167,TRUE))*economics!$AM$2:$AM$167))/(SUMPRODUCT((economics!$AG$2:$AG$167=$B36)*(economics!$D$2:$D$167="process")*economics!$AH$2:$AH$167*(_xlfn.NORM.DIST(BQ$3,economics!$AK$2:$AK$167,economics!$AJ$2:$AJ$167,TRUE)-_xlfn.NORM.DIST(BQ$30,economics!$AK$2:$AK$167,economics!$AJ$2:$AJ$167,TRUE)))),"")</f>
        <v/>
      </c>
      <c r="BR36">
        <f t="array" ref="BR36">IFERROR((SUMPRODUCT((economics!$AG$2:$AG$167=$B36)*(economics!$D$2:$D$167="process")*economics!$AH$2:$AH$167*(_xlfn.NORM.DIST(BR$3,economics!$AK$2:$AK$167,economics!$AJ$2:$AJ$167,TRUE)-_xlfn.NORM.DIST(BR$30,economics!$AK$2:$AK$167,economics!$AJ$2:$AJ$167,TRUE))*economics!$AM$2:$AM$167))/(SUMPRODUCT((economics!$AG$2:$AG$167=$B36)*(economics!$D$2:$D$167="process")*economics!$AH$2:$AH$167*(_xlfn.NORM.DIST(BR$3,economics!$AK$2:$AK$167,economics!$AJ$2:$AJ$167,TRUE)-_xlfn.NORM.DIST(BR$30,economics!$AK$2:$AK$167,economics!$AJ$2:$AJ$167,TRUE)))),"")</f>
        <v/>
      </c>
      <c r="BS36">
        <f t="array" ref="BS36">IFERROR((SUMPRODUCT((economics!$AG$2:$AG$167=$B36)*(economics!$D$2:$D$167="process")*economics!$AH$2:$AH$167*(_xlfn.NORM.DIST(BS$3,economics!$AK$2:$AK$167,economics!$AJ$2:$AJ$167,TRUE)-_xlfn.NORM.DIST(BS$30,economics!$AK$2:$AK$167,economics!$AJ$2:$AJ$167,TRUE))*economics!$AM$2:$AM$167))/(SUMPRODUCT((economics!$AG$2:$AG$167=$B36)*(economics!$D$2:$D$167="process")*economics!$AH$2:$AH$167*(_xlfn.NORM.DIST(BS$3,economics!$AK$2:$AK$167,economics!$AJ$2:$AJ$167,TRUE)-_xlfn.NORM.DIST(BS$30,economics!$AK$2:$AK$167,economics!$AJ$2:$AJ$167,TRUE)))),"")</f>
        <v/>
      </c>
      <c r="BT36">
        <f t="array" ref="BT36">IFERROR((SUMPRODUCT((economics!$AG$2:$AG$167=$B36)*(economics!$D$2:$D$167="process")*economics!$AH$2:$AH$167*(_xlfn.NORM.DIST(BT$3,economics!$AK$2:$AK$167,economics!$AJ$2:$AJ$167,TRUE)-_xlfn.NORM.DIST(BT$30,economics!$AK$2:$AK$167,economics!$AJ$2:$AJ$167,TRUE))*economics!$AM$2:$AM$167))/(SUMPRODUCT((economics!$AG$2:$AG$167=$B36)*(economics!$D$2:$D$167="process")*economics!$AH$2:$AH$167*(_xlfn.NORM.DIST(BT$3,economics!$AK$2:$AK$167,economics!$AJ$2:$AJ$167,TRUE)-_xlfn.NORM.DIST(BT$30,economics!$AK$2:$AK$167,economics!$AJ$2:$AJ$167,TRUE)))),"")</f>
        <v/>
      </c>
      <c r="BU36">
        <f t="array" ref="BU36">IFERROR((SUMPRODUCT((economics!$AG$2:$AG$167=$B36)*(economics!$D$2:$D$167="process")*economics!$AH$2:$AH$167*(_xlfn.NORM.DIST(BU$3,economics!$AK$2:$AK$167,economics!$AJ$2:$AJ$167,TRUE)-_xlfn.NORM.DIST(BU$30,economics!$AK$2:$AK$167,economics!$AJ$2:$AJ$167,TRUE))*economics!$AM$2:$AM$167))/(SUMPRODUCT((economics!$AG$2:$AG$167=$B36)*(economics!$D$2:$D$167="process")*economics!$AH$2:$AH$167*(_xlfn.NORM.DIST(BU$3,economics!$AK$2:$AK$167,economics!$AJ$2:$AJ$167,TRUE)-_xlfn.NORM.DIST(BU$30,economics!$AK$2:$AK$167,economics!$AJ$2:$AJ$167,TRUE)))),"")</f>
        <v/>
      </c>
      <c r="BV36">
        <f t="array" ref="BV36">IFERROR((SUMPRODUCT((economics!$AG$2:$AG$167=$B36)*(economics!$D$2:$D$167="process")*economics!$AH$2:$AH$167*(_xlfn.NORM.DIST(BV$3,economics!$AK$2:$AK$167,economics!$AJ$2:$AJ$167,TRUE)-_xlfn.NORM.DIST(BV$30,economics!$AK$2:$AK$167,economics!$AJ$2:$AJ$167,TRUE))*economics!$AM$2:$AM$167))/(SUMPRODUCT((economics!$AG$2:$AG$167=$B36)*(economics!$D$2:$D$167="process")*economics!$AH$2:$AH$167*(_xlfn.NORM.DIST(BV$3,economics!$AK$2:$AK$167,economics!$AJ$2:$AJ$167,TRUE)-_xlfn.NORM.DIST(BV$30,economics!$AK$2:$AK$167,economics!$AJ$2:$AJ$167,TRUE)))),"")</f>
        <v/>
      </c>
      <c r="BW36">
        <f t="array" ref="BW36">IFERROR((SUMPRODUCT((economics!$AG$2:$AG$167=$B36)*(economics!$D$2:$D$167="process")*economics!$AH$2:$AH$167*(_xlfn.NORM.DIST(BW$3,economics!$AK$2:$AK$167,economics!$AJ$2:$AJ$167,TRUE)-_xlfn.NORM.DIST(BW$30,economics!$AK$2:$AK$167,economics!$AJ$2:$AJ$167,TRUE))*economics!$AM$2:$AM$167))/(SUMPRODUCT((economics!$AG$2:$AG$167=$B36)*(economics!$D$2:$D$167="process")*economics!$AH$2:$AH$167*(_xlfn.NORM.DIST(BW$3,economics!$AK$2:$AK$167,economics!$AJ$2:$AJ$167,TRUE)-_xlfn.NORM.DIST(BW$30,economics!$AK$2:$AK$167,economics!$AJ$2:$AJ$167,TRUE)))),"")</f>
        <v/>
      </c>
      <c r="BX36">
        <f t="array" ref="BX36">IFERROR((SUMPRODUCT((economics!$AG$2:$AG$167=$B36)*(economics!$D$2:$D$167="process")*economics!$AH$2:$AH$167*(_xlfn.NORM.DIST(BX$3,economics!$AK$2:$AK$167,economics!$AJ$2:$AJ$167,TRUE)-_xlfn.NORM.DIST(BX$30,economics!$AK$2:$AK$167,economics!$AJ$2:$AJ$167,TRUE))*economics!$AM$2:$AM$167))/(SUMPRODUCT((economics!$AG$2:$AG$167=$B36)*(economics!$D$2:$D$167="process")*economics!$AH$2:$AH$167*(_xlfn.NORM.DIST(BX$3,economics!$AK$2:$AK$167,economics!$AJ$2:$AJ$167,TRUE)-_xlfn.NORM.DIST(BX$30,economics!$AK$2:$AK$167,economics!$AJ$2:$AJ$167,TRUE)))),"")</f>
        <v/>
      </c>
      <c r="BY36">
        <f t="array" ref="BY36">IFERROR((SUMPRODUCT((economics!$AG$2:$AG$167=$B36)*(economics!$D$2:$D$167="process")*economics!$AH$2:$AH$167*(_xlfn.NORM.DIST(BY$3,economics!$AK$2:$AK$167,economics!$AJ$2:$AJ$167,TRUE)-_xlfn.NORM.DIST(BY$30,economics!$AK$2:$AK$167,economics!$AJ$2:$AJ$167,TRUE))*economics!$AM$2:$AM$167))/(SUMPRODUCT((economics!$AG$2:$AG$167=$B36)*(economics!$D$2:$D$167="process")*economics!$AH$2:$AH$167*(_xlfn.NORM.DIST(BY$3,economics!$AK$2:$AK$167,economics!$AJ$2:$AJ$167,TRUE)-_xlfn.NORM.DIST(BY$30,economics!$AK$2:$AK$167,economics!$AJ$2:$AJ$167,TRUE)))),"")</f>
        <v/>
      </c>
      <c r="BZ36">
        <f t="array" ref="BZ36">IFERROR((SUMPRODUCT((economics!$AG$2:$AG$167=$B36)*(economics!$D$2:$D$167="process")*economics!$AH$2:$AH$167*(_xlfn.NORM.DIST(BZ$3,economics!$AK$2:$AK$167,economics!$AJ$2:$AJ$167,TRUE)-_xlfn.NORM.DIST(BZ$30,economics!$AK$2:$AK$167,economics!$AJ$2:$AJ$167,TRUE))*economics!$AM$2:$AM$167))/(SUMPRODUCT((economics!$AG$2:$AG$167=$B36)*(economics!$D$2:$D$167="process")*economics!$AH$2:$AH$167*(_xlfn.NORM.DIST(BZ$3,economics!$AK$2:$AK$167,economics!$AJ$2:$AJ$167,TRUE)-_xlfn.NORM.DIST(BZ$30,economics!$AK$2:$AK$167,economics!$AJ$2:$AJ$167,TRUE)))),"")</f>
        <v/>
      </c>
      <c r="CA36">
        <f t="array" ref="CA36">IFERROR((SUMPRODUCT((economics!$AG$2:$AG$167=$B36)*(economics!$D$2:$D$167="process")*economics!$AH$2:$AH$167*(_xlfn.NORM.DIST(CA$3,economics!$AK$2:$AK$167,economics!$AJ$2:$AJ$167,TRUE)-_xlfn.NORM.DIST(CA$30,economics!$AK$2:$AK$167,economics!$AJ$2:$AJ$167,TRUE))*economics!$AM$2:$AM$167))/(SUMPRODUCT((economics!$AG$2:$AG$167=$B36)*(economics!$D$2:$D$167="process")*economics!$AH$2:$AH$167*(_xlfn.NORM.DIST(CA$3,economics!$AK$2:$AK$167,economics!$AJ$2:$AJ$167,TRUE)-_xlfn.NORM.DIST(CA$30,economics!$AK$2:$AK$167,economics!$AJ$2:$AJ$167,TRUE)))),"")</f>
        <v/>
      </c>
      <c r="CB36">
        <f t="array" ref="CB36">IFERROR((SUMPRODUCT((economics!$AG$2:$AG$167=$B36)*(economics!$D$2:$D$167="process")*economics!$AH$2:$AH$167*(_xlfn.NORM.DIST(CB$3,economics!$AK$2:$AK$167,economics!$AJ$2:$AJ$167,TRUE)-_xlfn.NORM.DIST(CB$30,economics!$AK$2:$AK$167,economics!$AJ$2:$AJ$167,TRUE))*economics!$AM$2:$AM$167))/(SUMPRODUCT((economics!$AG$2:$AG$167=$B36)*(economics!$D$2:$D$167="process")*economics!$AH$2:$AH$167*(_xlfn.NORM.DIST(CB$3,economics!$AK$2:$AK$167,economics!$AJ$2:$AJ$167,TRUE)-_xlfn.NORM.DIST(CB$30,economics!$AK$2:$AK$167,economics!$AJ$2:$AJ$167,TRUE)))),"")</f>
        <v/>
      </c>
      <c r="CC36">
        <f t="array" ref="CC36">IFERROR((SUMPRODUCT((economics!$AG$2:$AG$167=$B36)*(economics!$D$2:$D$167="process")*economics!$AH$2:$AH$167*(_xlfn.NORM.DIST(CC$3,economics!$AK$2:$AK$167,economics!$AJ$2:$AJ$167,TRUE)-_xlfn.NORM.DIST(CC$30,economics!$AK$2:$AK$167,economics!$AJ$2:$AJ$167,TRUE))*economics!$AM$2:$AM$167))/(SUMPRODUCT((economics!$AG$2:$AG$167=$B36)*(economics!$D$2:$D$167="process")*economics!$AH$2:$AH$167*(_xlfn.NORM.DIST(CC$3,economics!$AK$2:$AK$167,economics!$AJ$2:$AJ$167,TRUE)-_xlfn.NORM.DIST(CC$30,economics!$AK$2:$AK$167,economics!$AJ$2:$AJ$167,TRUE)))),"")</f>
        <v/>
      </c>
      <c r="CD36">
        <f t="array" ref="CD36">IFERROR((SUMPRODUCT((economics!$AG$2:$AG$167=$B36)*(economics!$D$2:$D$167="process")*economics!$AH$2:$AH$167*(_xlfn.NORM.DIST(CD$3,economics!$AK$2:$AK$167,economics!$AJ$2:$AJ$167,TRUE)-_xlfn.NORM.DIST(CD$30,economics!$AK$2:$AK$167,economics!$AJ$2:$AJ$167,TRUE))*economics!$AM$2:$AM$167))/(SUMPRODUCT((economics!$AG$2:$AG$167=$B36)*(economics!$D$2:$D$167="process")*economics!$AH$2:$AH$167*(_xlfn.NORM.DIST(CD$3,economics!$AK$2:$AK$167,economics!$AJ$2:$AJ$167,TRUE)-_xlfn.NORM.DIST(CD$30,economics!$AK$2:$AK$167,economics!$AJ$2:$AJ$167,TRUE)))),"")</f>
        <v/>
      </c>
      <c r="CE36">
        <f t="array" ref="CE36">IFERROR((SUMPRODUCT((economics!$AG$2:$AG$167=$B36)*(economics!$D$2:$D$167="process")*economics!$AH$2:$AH$167*(_xlfn.NORM.DIST(CE$3,economics!$AK$2:$AK$167,economics!$AJ$2:$AJ$167,TRUE)-_xlfn.NORM.DIST(CE$30,economics!$AK$2:$AK$167,economics!$AJ$2:$AJ$167,TRUE))*economics!$AM$2:$AM$167))/(SUMPRODUCT((economics!$AG$2:$AG$167=$B36)*(economics!$D$2:$D$167="process")*economics!$AH$2:$AH$167*(_xlfn.NORM.DIST(CE$3,economics!$AK$2:$AK$167,economics!$AJ$2:$AJ$167,TRUE)-_xlfn.NORM.DIST(CE$30,economics!$AK$2:$AK$167,economics!$AJ$2:$AJ$167,TRUE)))),"")</f>
        <v/>
      </c>
      <c r="CF36">
        <f t="array" ref="CF36">IFERROR((SUMPRODUCT((economics!$AG$2:$AG$167=$B36)*(economics!$D$2:$D$167="process")*economics!$AH$2:$AH$167*(_xlfn.NORM.DIST(CF$3,economics!$AK$2:$AK$167,economics!$AJ$2:$AJ$167,TRUE)-_xlfn.NORM.DIST(CF$30,economics!$AK$2:$AK$167,economics!$AJ$2:$AJ$167,TRUE))*economics!$AM$2:$AM$167))/(SUMPRODUCT((economics!$AG$2:$AG$167=$B36)*(economics!$D$2:$D$167="process")*economics!$AH$2:$AH$167*(_xlfn.NORM.DIST(CF$3,economics!$AK$2:$AK$167,economics!$AJ$2:$AJ$167,TRUE)-_xlfn.NORM.DIST(CF$30,economics!$AK$2:$AK$167,economics!$AJ$2:$AJ$167,TRUE)))),"")</f>
        <v/>
      </c>
      <c r="CG36">
        <f t="array" ref="CG36">IFERROR((SUMPRODUCT((economics!$AG$2:$AG$167=$B36)*(economics!$D$2:$D$167="process")*economics!$AH$2:$AH$167*(_xlfn.NORM.DIST(CG$3,economics!$AK$2:$AK$167,economics!$AJ$2:$AJ$167,TRUE)-_xlfn.NORM.DIST(CG$30,economics!$AK$2:$AK$167,economics!$AJ$2:$AJ$167,TRUE))*economics!$AM$2:$AM$167))/(SUMPRODUCT((economics!$AG$2:$AG$167=$B36)*(economics!$D$2:$D$167="process")*economics!$AH$2:$AH$167*(_xlfn.NORM.DIST(CG$3,economics!$AK$2:$AK$167,economics!$AJ$2:$AJ$167,TRUE)-_xlfn.NORM.DIST(CG$30,economics!$AK$2:$AK$167,economics!$AJ$2:$AJ$167,TRUE)))),"")</f>
        <v/>
      </c>
      <c r="CH36">
        <f t="array" ref="CH36">IFERROR((SUMPRODUCT((economics!$AG$2:$AG$167=$B36)*(economics!$D$2:$D$167="process")*economics!$AH$2:$AH$167*(_xlfn.NORM.DIST(CH$3,economics!$AK$2:$AK$167,economics!$AJ$2:$AJ$167,TRUE)-_xlfn.NORM.DIST(CH$30,economics!$AK$2:$AK$167,economics!$AJ$2:$AJ$167,TRUE))*economics!$AM$2:$AM$167))/(SUMPRODUCT((economics!$AG$2:$AG$167=$B36)*(economics!$D$2:$D$167="process")*economics!$AH$2:$AH$167*(_xlfn.NORM.DIST(CH$3,economics!$AK$2:$AK$167,economics!$AJ$2:$AJ$167,TRUE)-_xlfn.NORM.DIST(CH$30,economics!$AK$2:$AK$167,economics!$AJ$2:$AJ$167,TRUE)))),"")</f>
        <v/>
      </c>
    </row>
    <row r="37">
      <c r="A37">
        <f>A8</f>
        <v/>
      </c>
      <c r="B37">
        <f>B8</f>
        <v/>
      </c>
      <c r="E37">
        <f t="array" ref="E37">IFERROR((SUMPRODUCT((economics!$AG$2:$AG$167=$B37)*(economics!$D$2:$D$167="process")*economics!$AH$2:$AH$167*(_xlfn.NORM.DIST(E$3,economics!$AK$2:$AK$167,economics!$AJ$2:$AJ$167,TRUE)-_xlfn.NORM.DIST(E$30,economics!$AK$2:$AK$167,economics!$AJ$2:$AJ$167,TRUE))*economics!$AM$2:$AM$167))/(SUMPRODUCT((economics!$AG$2:$AG$167=$B37)*(economics!$D$2:$D$167="process")*economics!$AH$2:$AH$167*(_xlfn.NORM.DIST(E$3,economics!$AK$2:$AK$167,economics!$AJ$2:$AJ$167,TRUE)-_xlfn.NORM.DIST(E$30,economics!$AK$2:$AK$167,economics!$AJ$2:$AJ$167,TRUE)))),"")</f>
        <v/>
      </c>
      <c r="F37">
        <f t="array" ref="F37">IFERROR((SUMPRODUCT((economics!$AG$2:$AG$167=$B37)*(economics!$D$2:$D$167="process")*economics!$AH$2:$AH$167*(_xlfn.NORM.DIST(F$3,economics!$AK$2:$AK$167,economics!$AJ$2:$AJ$167,TRUE)-_xlfn.NORM.DIST(F$30,economics!$AK$2:$AK$167,economics!$AJ$2:$AJ$167,TRUE))*economics!$AM$2:$AM$167))/(SUMPRODUCT((economics!$AG$2:$AG$167=$B37)*(economics!$D$2:$D$167="process")*economics!$AH$2:$AH$167*(_xlfn.NORM.DIST(F$3,economics!$AK$2:$AK$167,economics!$AJ$2:$AJ$167,TRUE)-_xlfn.NORM.DIST(F$30,economics!$AK$2:$AK$167,economics!$AJ$2:$AJ$167,TRUE)))),"")</f>
        <v/>
      </c>
      <c r="G37">
        <f t="array" ref="G37">IFERROR((SUMPRODUCT((economics!$AG$2:$AG$167=$B37)*(economics!$D$2:$D$167="process")*economics!$AH$2:$AH$167*(_xlfn.NORM.DIST(G$3,economics!$AK$2:$AK$167,economics!$AJ$2:$AJ$167,TRUE)-_xlfn.NORM.DIST(G$30,economics!$AK$2:$AK$167,economics!$AJ$2:$AJ$167,TRUE))*economics!$AM$2:$AM$167))/(SUMPRODUCT((economics!$AG$2:$AG$167=$B37)*(economics!$D$2:$D$167="process")*economics!$AH$2:$AH$167*(_xlfn.NORM.DIST(G$3,economics!$AK$2:$AK$167,economics!$AJ$2:$AJ$167,TRUE)-_xlfn.NORM.DIST(G$30,economics!$AK$2:$AK$167,economics!$AJ$2:$AJ$167,TRUE)))),"")</f>
        <v/>
      </c>
      <c r="H37">
        <f t="array" ref="H37">IFERROR((SUMPRODUCT((economics!$AG$2:$AG$167=$B37)*(economics!$D$2:$D$167="process")*economics!$AH$2:$AH$167*(_xlfn.NORM.DIST(H$3,economics!$AK$2:$AK$167,economics!$AJ$2:$AJ$167,TRUE)-_xlfn.NORM.DIST(H$30,economics!$AK$2:$AK$167,economics!$AJ$2:$AJ$167,TRUE))*economics!$AM$2:$AM$167))/(SUMPRODUCT((economics!$AG$2:$AG$167=$B37)*(economics!$D$2:$D$167="process")*economics!$AH$2:$AH$167*(_xlfn.NORM.DIST(H$3,economics!$AK$2:$AK$167,economics!$AJ$2:$AJ$167,TRUE)-_xlfn.NORM.DIST(H$30,economics!$AK$2:$AK$167,economics!$AJ$2:$AJ$167,TRUE)))),"")</f>
        <v/>
      </c>
      <c r="I37">
        <f t="array" ref="I37">IFERROR((SUMPRODUCT((economics!$AG$2:$AG$167=$B37)*(economics!$D$2:$D$167="process")*economics!$AH$2:$AH$167*(_xlfn.NORM.DIST(I$3,economics!$AK$2:$AK$167,economics!$AJ$2:$AJ$167,TRUE)-_xlfn.NORM.DIST(I$30,economics!$AK$2:$AK$167,economics!$AJ$2:$AJ$167,TRUE))*economics!$AM$2:$AM$167))/(SUMPRODUCT((economics!$AG$2:$AG$167=$B37)*(economics!$D$2:$D$167="process")*economics!$AH$2:$AH$167*(_xlfn.NORM.DIST(I$3,economics!$AK$2:$AK$167,economics!$AJ$2:$AJ$167,TRUE)-_xlfn.NORM.DIST(I$30,economics!$AK$2:$AK$167,economics!$AJ$2:$AJ$167,TRUE)))),"")</f>
        <v/>
      </c>
      <c r="J37">
        <f t="array" ref="J37">IFERROR((SUMPRODUCT((economics!$AG$2:$AG$167=$B37)*(economics!$D$2:$D$167="process")*economics!$AH$2:$AH$167*(_xlfn.NORM.DIST(J$3,economics!$AK$2:$AK$167,economics!$AJ$2:$AJ$167,TRUE)-_xlfn.NORM.DIST(J$30,economics!$AK$2:$AK$167,economics!$AJ$2:$AJ$167,TRUE))*economics!$AM$2:$AM$167))/(SUMPRODUCT((economics!$AG$2:$AG$167=$B37)*(economics!$D$2:$D$167="process")*economics!$AH$2:$AH$167*(_xlfn.NORM.DIST(J$3,economics!$AK$2:$AK$167,economics!$AJ$2:$AJ$167,TRUE)-_xlfn.NORM.DIST(J$30,economics!$AK$2:$AK$167,economics!$AJ$2:$AJ$167,TRUE)))),"")</f>
        <v/>
      </c>
      <c r="K37">
        <f t="array" ref="K37">IFERROR((SUMPRODUCT((economics!$AG$2:$AG$167=$B37)*(economics!$D$2:$D$167="process")*economics!$AH$2:$AH$167*(_xlfn.NORM.DIST(K$3,economics!$AK$2:$AK$167,economics!$AJ$2:$AJ$167,TRUE)-_xlfn.NORM.DIST(K$30,economics!$AK$2:$AK$167,economics!$AJ$2:$AJ$167,TRUE))*economics!$AM$2:$AM$167))/(SUMPRODUCT((economics!$AG$2:$AG$167=$B37)*(economics!$D$2:$D$167="process")*economics!$AH$2:$AH$167*(_xlfn.NORM.DIST(K$3,economics!$AK$2:$AK$167,economics!$AJ$2:$AJ$167,TRUE)-_xlfn.NORM.DIST(K$30,economics!$AK$2:$AK$167,economics!$AJ$2:$AJ$167,TRUE)))),"")</f>
        <v/>
      </c>
      <c r="L37">
        <f t="array" ref="L37">IFERROR((SUMPRODUCT((economics!$AG$2:$AG$167=$B37)*(economics!$D$2:$D$167="process")*economics!$AH$2:$AH$167*(_xlfn.NORM.DIST(L$3,economics!$AK$2:$AK$167,economics!$AJ$2:$AJ$167,TRUE)-_xlfn.NORM.DIST(L$30,economics!$AK$2:$AK$167,economics!$AJ$2:$AJ$167,TRUE))*economics!$AM$2:$AM$167))/(SUMPRODUCT((economics!$AG$2:$AG$167=$B37)*(economics!$D$2:$D$167="process")*economics!$AH$2:$AH$167*(_xlfn.NORM.DIST(L$3,economics!$AK$2:$AK$167,economics!$AJ$2:$AJ$167,TRUE)-_xlfn.NORM.DIST(L$30,economics!$AK$2:$AK$167,economics!$AJ$2:$AJ$167,TRUE)))),"")</f>
        <v/>
      </c>
      <c r="M37">
        <f t="array" ref="M37">IFERROR((SUMPRODUCT((economics!$AG$2:$AG$167=$B37)*(economics!$D$2:$D$167="process")*economics!$AH$2:$AH$167*(_xlfn.NORM.DIST(M$3,economics!$AK$2:$AK$167,economics!$AJ$2:$AJ$167,TRUE)-_xlfn.NORM.DIST(M$30,economics!$AK$2:$AK$167,economics!$AJ$2:$AJ$167,TRUE))*economics!$AM$2:$AM$167))/(SUMPRODUCT((economics!$AG$2:$AG$167=$B37)*(economics!$D$2:$D$167="process")*economics!$AH$2:$AH$167*(_xlfn.NORM.DIST(M$3,economics!$AK$2:$AK$167,economics!$AJ$2:$AJ$167,TRUE)-_xlfn.NORM.DIST(M$30,economics!$AK$2:$AK$167,economics!$AJ$2:$AJ$167,TRUE)))),"")</f>
        <v/>
      </c>
      <c r="N37">
        <f t="array" ref="N37">IFERROR((SUMPRODUCT((economics!$AG$2:$AG$167=$B37)*(economics!$D$2:$D$167="process")*economics!$AH$2:$AH$167*(_xlfn.NORM.DIST(N$3,economics!$AK$2:$AK$167,economics!$AJ$2:$AJ$167,TRUE)-_xlfn.NORM.DIST(N$30,economics!$AK$2:$AK$167,economics!$AJ$2:$AJ$167,TRUE))*economics!$AM$2:$AM$167))/(SUMPRODUCT((economics!$AG$2:$AG$167=$B37)*(economics!$D$2:$D$167="process")*economics!$AH$2:$AH$167*(_xlfn.NORM.DIST(N$3,economics!$AK$2:$AK$167,economics!$AJ$2:$AJ$167,TRUE)-_xlfn.NORM.DIST(N$30,economics!$AK$2:$AK$167,economics!$AJ$2:$AJ$167,TRUE)))),"")</f>
        <v/>
      </c>
      <c r="O37">
        <f t="array" ref="O37">IFERROR((SUMPRODUCT((economics!$AG$2:$AG$167=$B37)*(economics!$D$2:$D$167="process")*economics!$AH$2:$AH$167*(_xlfn.NORM.DIST(O$3,economics!$AK$2:$AK$167,economics!$AJ$2:$AJ$167,TRUE)-_xlfn.NORM.DIST(O$30,economics!$AK$2:$AK$167,economics!$AJ$2:$AJ$167,TRUE))*economics!$AM$2:$AM$167))/(SUMPRODUCT((economics!$AG$2:$AG$167=$B37)*(economics!$D$2:$D$167="process")*economics!$AH$2:$AH$167*(_xlfn.NORM.DIST(O$3,economics!$AK$2:$AK$167,economics!$AJ$2:$AJ$167,TRUE)-_xlfn.NORM.DIST(O$30,economics!$AK$2:$AK$167,economics!$AJ$2:$AJ$167,TRUE)))),"")</f>
        <v/>
      </c>
      <c r="P37">
        <f t="array" ref="P37">IFERROR((SUMPRODUCT((economics!$AG$2:$AG$167=$B37)*(economics!$D$2:$D$167="process")*economics!$AH$2:$AH$167*(_xlfn.NORM.DIST(P$3,economics!$AK$2:$AK$167,economics!$AJ$2:$AJ$167,TRUE)-_xlfn.NORM.DIST(P$30,economics!$AK$2:$AK$167,economics!$AJ$2:$AJ$167,TRUE))*economics!$AM$2:$AM$167))/(SUMPRODUCT((economics!$AG$2:$AG$167=$B37)*(economics!$D$2:$D$167="process")*economics!$AH$2:$AH$167*(_xlfn.NORM.DIST(P$3,economics!$AK$2:$AK$167,economics!$AJ$2:$AJ$167,TRUE)-_xlfn.NORM.DIST(P$30,economics!$AK$2:$AK$167,economics!$AJ$2:$AJ$167,TRUE)))),"")</f>
        <v/>
      </c>
      <c r="Q37">
        <f t="array" ref="Q37">IFERROR((SUMPRODUCT((economics!$AG$2:$AG$167=$B37)*(economics!$D$2:$D$167="process")*economics!$AH$2:$AH$167*(_xlfn.NORM.DIST(Q$3,economics!$AK$2:$AK$167,economics!$AJ$2:$AJ$167,TRUE)-_xlfn.NORM.DIST(Q$30,economics!$AK$2:$AK$167,economics!$AJ$2:$AJ$167,TRUE))*economics!$AM$2:$AM$167))/(SUMPRODUCT((economics!$AG$2:$AG$167=$B37)*(economics!$D$2:$D$167="process")*economics!$AH$2:$AH$167*(_xlfn.NORM.DIST(Q$3,economics!$AK$2:$AK$167,economics!$AJ$2:$AJ$167,TRUE)-_xlfn.NORM.DIST(Q$30,economics!$AK$2:$AK$167,economics!$AJ$2:$AJ$167,TRUE)))),"")</f>
        <v/>
      </c>
      <c r="R37">
        <f t="array" ref="R37">IFERROR((SUMPRODUCT((economics!$AG$2:$AG$167=$B37)*(economics!$D$2:$D$167="process")*economics!$AH$2:$AH$167*(_xlfn.NORM.DIST(R$3,economics!$AK$2:$AK$167,economics!$AJ$2:$AJ$167,TRUE)-_xlfn.NORM.DIST(R$30,economics!$AK$2:$AK$167,economics!$AJ$2:$AJ$167,TRUE))*economics!$AM$2:$AM$167))/(SUMPRODUCT((economics!$AG$2:$AG$167=$B37)*(economics!$D$2:$D$167="process")*economics!$AH$2:$AH$167*(_xlfn.NORM.DIST(R$3,economics!$AK$2:$AK$167,economics!$AJ$2:$AJ$167,TRUE)-_xlfn.NORM.DIST(R$30,economics!$AK$2:$AK$167,economics!$AJ$2:$AJ$167,TRUE)))),"")</f>
        <v/>
      </c>
      <c r="S37">
        <f t="array" ref="S37">IFERROR((SUMPRODUCT((economics!$AG$2:$AG$167=$B37)*(economics!$D$2:$D$167="process")*economics!$AH$2:$AH$167*(_xlfn.NORM.DIST(S$3,economics!$AK$2:$AK$167,economics!$AJ$2:$AJ$167,TRUE)-_xlfn.NORM.DIST(S$30,economics!$AK$2:$AK$167,economics!$AJ$2:$AJ$167,TRUE))*economics!$AM$2:$AM$167))/(SUMPRODUCT((economics!$AG$2:$AG$167=$B37)*(economics!$D$2:$D$167="process")*economics!$AH$2:$AH$167*(_xlfn.NORM.DIST(S$3,economics!$AK$2:$AK$167,economics!$AJ$2:$AJ$167,TRUE)-_xlfn.NORM.DIST(S$30,economics!$AK$2:$AK$167,economics!$AJ$2:$AJ$167,TRUE)))),"")</f>
        <v/>
      </c>
      <c r="T37">
        <f t="array" ref="T37">IFERROR((SUMPRODUCT((economics!$AG$2:$AG$167=$B37)*(economics!$D$2:$D$167="process")*economics!$AH$2:$AH$167*(_xlfn.NORM.DIST(T$3,economics!$AK$2:$AK$167,economics!$AJ$2:$AJ$167,TRUE)-_xlfn.NORM.DIST(T$30,economics!$AK$2:$AK$167,economics!$AJ$2:$AJ$167,TRUE))*economics!$AM$2:$AM$167))/(SUMPRODUCT((economics!$AG$2:$AG$167=$B37)*(economics!$D$2:$D$167="process")*economics!$AH$2:$AH$167*(_xlfn.NORM.DIST(T$3,economics!$AK$2:$AK$167,economics!$AJ$2:$AJ$167,TRUE)-_xlfn.NORM.DIST(T$30,economics!$AK$2:$AK$167,economics!$AJ$2:$AJ$167,TRUE)))),"")</f>
        <v/>
      </c>
      <c r="U37">
        <f t="array" ref="U37">IFERROR((SUMPRODUCT((economics!$AG$2:$AG$167=$B37)*(economics!$D$2:$D$167="process")*economics!$AH$2:$AH$167*(_xlfn.NORM.DIST(U$3,economics!$AK$2:$AK$167,economics!$AJ$2:$AJ$167,TRUE)-_xlfn.NORM.DIST(U$30,economics!$AK$2:$AK$167,economics!$AJ$2:$AJ$167,TRUE))*economics!$AM$2:$AM$167))/(SUMPRODUCT((economics!$AG$2:$AG$167=$B37)*(economics!$D$2:$D$167="process")*economics!$AH$2:$AH$167*(_xlfn.NORM.DIST(U$3,economics!$AK$2:$AK$167,economics!$AJ$2:$AJ$167,TRUE)-_xlfn.NORM.DIST(U$30,economics!$AK$2:$AK$167,economics!$AJ$2:$AJ$167,TRUE)))),"")</f>
        <v/>
      </c>
      <c r="V37">
        <f t="array" ref="V37">IFERROR((SUMPRODUCT((economics!$AG$2:$AG$167=$B37)*(economics!$D$2:$D$167="process")*economics!$AH$2:$AH$167*(_xlfn.NORM.DIST(V$3,economics!$AK$2:$AK$167,economics!$AJ$2:$AJ$167,TRUE)-_xlfn.NORM.DIST(V$30,economics!$AK$2:$AK$167,economics!$AJ$2:$AJ$167,TRUE))*economics!$AM$2:$AM$167))/(SUMPRODUCT((economics!$AG$2:$AG$167=$B37)*(economics!$D$2:$D$167="process")*economics!$AH$2:$AH$167*(_xlfn.NORM.DIST(V$3,economics!$AK$2:$AK$167,economics!$AJ$2:$AJ$167,TRUE)-_xlfn.NORM.DIST(V$30,economics!$AK$2:$AK$167,economics!$AJ$2:$AJ$167,TRUE)))),"")</f>
        <v/>
      </c>
      <c r="W37">
        <f t="array" ref="W37">IFERROR((SUMPRODUCT((economics!$AG$2:$AG$167=$B37)*(economics!$D$2:$D$167="process")*economics!$AH$2:$AH$167*(_xlfn.NORM.DIST(W$3,economics!$AK$2:$AK$167,economics!$AJ$2:$AJ$167,TRUE)-_xlfn.NORM.DIST(W$30,economics!$AK$2:$AK$167,economics!$AJ$2:$AJ$167,TRUE))*economics!$AM$2:$AM$167))/(SUMPRODUCT((economics!$AG$2:$AG$167=$B37)*(economics!$D$2:$D$167="process")*economics!$AH$2:$AH$167*(_xlfn.NORM.DIST(W$3,economics!$AK$2:$AK$167,economics!$AJ$2:$AJ$167,TRUE)-_xlfn.NORM.DIST(W$30,economics!$AK$2:$AK$167,economics!$AJ$2:$AJ$167,TRUE)))),"")</f>
        <v/>
      </c>
      <c r="X37">
        <f t="array" ref="X37">IFERROR((SUMPRODUCT((economics!$AG$2:$AG$167=$B37)*(economics!$D$2:$D$167="process")*economics!$AH$2:$AH$167*(_xlfn.NORM.DIST(X$3,economics!$AK$2:$AK$167,economics!$AJ$2:$AJ$167,TRUE)-_xlfn.NORM.DIST(X$30,economics!$AK$2:$AK$167,economics!$AJ$2:$AJ$167,TRUE))*economics!$AM$2:$AM$167))/(SUMPRODUCT((economics!$AG$2:$AG$167=$B37)*(economics!$D$2:$D$167="process")*economics!$AH$2:$AH$167*(_xlfn.NORM.DIST(X$3,economics!$AK$2:$AK$167,economics!$AJ$2:$AJ$167,TRUE)-_xlfn.NORM.DIST(X$30,economics!$AK$2:$AK$167,economics!$AJ$2:$AJ$167,TRUE)))),"")</f>
        <v/>
      </c>
      <c r="Y37">
        <f t="array" ref="Y37">IFERROR((SUMPRODUCT((economics!$AG$2:$AG$167=$B37)*(economics!$D$2:$D$167="process")*economics!$AH$2:$AH$167*(_xlfn.NORM.DIST(Y$3,economics!$AK$2:$AK$167,economics!$AJ$2:$AJ$167,TRUE)-_xlfn.NORM.DIST(Y$30,economics!$AK$2:$AK$167,economics!$AJ$2:$AJ$167,TRUE))*economics!$AM$2:$AM$167))/(SUMPRODUCT((economics!$AG$2:$AG$167=$B37)*(economics!$D$2:$D$167="process")*economics!$AH$2:$AH$167*(_xlfn.NORM.DIST(Y$3,economics!$AK$2:$AK$167,economics!$AJ$2:$AJ$167,TRUE)-_xlfn.NORM.DIST(Y$30,economics!$AK$2:$AK$167,economics!$AJ$2:$AJ$167,TRUE)))),"")</f>
        <v/>
      </c>
      <c r="Z37">
        <f t="array" ref="Z37">IFERROR((SUMPRODUCT((economics!$AG$2:$AG$167=$B37)*(economics!$D$2:$D$167="process")*economics!$AH$2:$AH$167*(_xlfn.NORM.DIST(Z$3,economics!$AK$2:$AK$167,economics!$AJ$2:$AJ$167,TRUE)-_xlfn.NORM.DIST(Z$30,economics!$AK$2:$AK$167,economics!$AJ$2:$AJ$167,TRUE))*economics!$AM$2:$AM$167))/(SUMPRODUCT((economics!$AG$2:$AG$167=$B37)*(economics!$D$2:$D$167="process")*economics!$AH$2:$AH$167*(_xlfn.NORM.DIST(Z$3,economics!$AK$2:$AK$167,economics!$AJ$2:$AJ$167,TRUE)-_xlfn.NORM.DIST(Z$30,economics!$AK$2:$AK$167,economics!$AJ$2:$AJ$167,TRUE)))),"")</f>
        <v/>
      </c>
      <c r="AA37">
        <f t="array" ref="AA37">IFERROR((SUMPRODUCT((economics!$AG$2:$AG$167=$B37)*(economics!$D$2:$D$167="process")*economics!$AH$2:$AH$167*(_xlfn.NORM.DIST(AA$3,economics!$AK$2:$AK$167,economics!$AJ$2:$AJ$167,TRUE)-_xlfn.NORM.DIST(AA$30,economics!$AK$2:$AK$167,economics!$AJ$2:$AJ$167,TRUE))*economics!$AM$2:$AM$167))/(SUMPRODUCT((economics!$AG$2:$AG$167=$B37)*(economics!$D$2:$D$167="process")*economics!$AH$2:$AH$167*(_xlfn.NORM.DIST(AA$3,economics!$AK$2:$AK$167,economics!$AJ$2:$AJ$167,TRUE)-_xlfn.NORM.DIST(AA$30,economics!$AK$2:$AK$167,economics!$AJ$2:$AJ$167,TRUE)))),"")</f>
        <v/>
      </c>
      <c r="AB37">
        <f t="array" ref="AB37">IFERROR((SUMPRODUCT((economics!$AG$2:$AG$167=$B37)*(economics!$D$2:$D$167="process")*economics!$AH$2:$AH$167*(_xlfn.NORM.DIST(AB$3,economics!$AK$2:$AK$167,economics!$AJ$2:$AJ$167,TRUE)-_xlfn.NORM.DIST(AB$30,economics!$AK$2:$AK$167,economics!$AJ$2:$AJ$167,TRUE))*economics!$AM$2:$AM$167))/(SUMPRODUCT((economics!$AG$2:$AG$167=$B37)*(economics!$D$2:$D$167="process")*economics!$AH$2:$AH$167*(_xlfn.NORM.DIST(AB$3,economics!$AK$2:$AK$167,economics!$AJ$2:$AJ$167,TRUE)-_xlfn.NORM.DIST(AB$30,economics!$AK$2:$AK$167,economics!$AJ$2:$AJ$167,TRUE)))),"")</f>
        <v/>
      </c>
      <c r="AC37">
        <f t="array" ref="AC37">IFERROR((SUMPRODUCT((economics!$AG$2:$AG$167=$B37)*(economics!$D$2:$D$167="process")*economics!$AH$2:$AH$167*(_xlfn.NORM.DIST(AC$3,economics!$AK$2:$AK$167,economics!$AJ$2:$AJ$167,TRUE)-_xlfn.NORM.DIST(AC$30,economics!$AK$2:$AK$167,economics!$AJ$2:$AJ$167,TRUE))*economics!$AM$2:$AM$167))/(SUMPRODUCT((economics!$AG$2:$AG$167=$B37)*(economics!$D$2:$D$167="process")*economics!$AH$2:$AH$167*(_xlfn.NORM.DIST(AC$3,economics!$AK$2:$AK$167,economics!$AJ$2:$AJ$167,TRUE)-_xlfn.NORM.DIST(AC$30,economics!$AK$2:$AK$167,economics!$AJ$2:$AJ$167,TRUE)))),"")</f>
        <v/>
      </c>
      <c r="AD37">
        <f t="array" ref="AD37">IFERROR((SUMPRODUCT((economics!$AG$2:$AG$167=$B37)*(economics!$D$2:$D$167="process")*economics!$AH$2:$AH$167*(_xlfn.NORM.DIST(AD$3,economics!$AK$2:$AK$167,economics!$AJ$2:$AJ$167,TRUE)-_xlfn.NORM.DIST(AD$30,economics!$AK$2:$AK$167,economics!$AJ$2:$AJ$167,TRUE))*economics!$AM$2:$AM$167))/(SUMPRODUCT((economics!$AG$2:$AG$167=$B37)*(economics!$D$2:$D$167="process")*economics!$AH$2:$AH$167*(_xlfn.NORM.DIST(AD$3,economics!$AK$2:$AK$167,economics!$AJ$2:$AJ$167,TRUE)-_xlfn.NORM.DIST(AD$30,economics!$AK$2:$AK$167,economics!$AJ$2:$AJ$167,TRUE)))),"")</f>
        <v/>
      </c>
      <c r="AE37">
        <f t="array" ref="AE37">IFERROR((SUMPRODUCT((economics!$AG$2:$AG$167=$B37)*(economics!$D$2:$D$167="process")*economics!$AH$2:$AH$167*(_xlfn.NORM.DIST(AE$3,economics!$AK$2:$AK$167,economics!$AJ$2:$AJ$167,TRUE)-_xlfn.NORM.DIST(AE$30,economics!$AK$2:$AK$167,economics!$AJ$2:$AJ$167,TRUE))*economics!$AM$2:$AM$167))/(SUMPRODUCT((economics!$AG$2:$AG$167=$B37)*(economics!$D$2:$D$167="process")*economics!$AH$2:$AH$167*(_xlfn.NORM.DIST(AE$3,economics!$AK$2:$AK$167,economics!$AJ$2:$AJ$167,TRUE)-_xlfn.NORM.DIST(AE$30,economics!$AK$2:$AK$167,economics!$AJ$2:$AJ$167,TRUE)))),"")</f>
        <v/>
      </c>
      <c r="AF37">
        <f t="array" ref="AF37">IFERROR((SUMPRODUCT((economics!$AG$2:$AG$167=$B37)*(economics!$D$2:$D$167="process")*economics!$AH$2:$AH$167*(_xlfn.NORM.DIST(AF$3,economics!$AK$2:$AK$167,economics!$AJ$2:$AJ$167,TRUE)-_xlfn.NORM.DIST(AF$30,economics!$AK$2:$AK$167,economics!$AJ$2:$AJ$167,TRUE))*economics!$AM$2:$AM$167))/(SUMPRODUCT((economics!$AG$2:$AG$167=$B37)*(economics!$D$2:$D$167="process")*economics!$AH$2:$AH$167*(_xlfn.NORM.DIST(AF$3,economics!$AK$2:$AK$167,economics!$AJ$2:$AJ$167,TRUE)-_xlfn.NORM.DIST(AF$30,economics!$AK$2:$AK$167,economics!$AJ$2:$AJ$167,TRUE)))),"")</f>
        <v/>
      </c>
      <c r="AG37">
        <f t="array" ref="AG37">IFERROR((SUMPRODUCT((economics!$AG$2:$AG$167=$B37)*(economics!$D$2:$D$167="process")*economics!$AH$2:$AH$167*(_xlfn.NORM.DIST(AG$3,economics!$AK$2:$AK$167,economics!$AJ$2:$AJ$167,TRUE)-_xlfn.NORM.DIST(AG$30,economics!$AK$2:$AK$167,economics!$AJ$2:$AJ$167,TRUE))*economics!$AM$2:$AM$167))/(SUMPRODUCT((economics!$AG$2:$AG$167=$B37)*(economics!$D$2:$D$167="process")*economics!$AH$2:$AH$167*(_xlfn.NORM.DIST(AG$3,economics!$AK$2:$AK$167,economics!$AJ$2:$AJ$167,TRUE)-_xlfn.NORM.DIST(AG$30,economics!$AK$2:$AK$167,economics!$AJ$2:$AJ$167,TRUE)))),"")</f>
        <v/>
      </c>
      <c r="AH37">
        <f t="array" ref="AH37">IFERROR((SUMPRODUCT((economics!$AG$2:$AG$167=$B37)*(economics!$D$2:$D$167="process")*economics!$AH$2:$AH$167*(_xlfn.NORM.DIST(AH$3,economics!$AK$2:$AK$167,economics!$AJ$2:$AJ$167,TRUE)-_xlfn.NORM.DIST(AH$30,economics!$AK$2:$AK$167,economics!$AJ$2:$AJ$167,TRUE))*economics!$AM$2:$AM$167))/(SUMPRODUCT((economics!$AG$2:$AG$167=$B37)*(economics!$D$2:$D$167="process")*economics!$AH$2:$AH$167*(_xlfn.NORM.DIST(AH$3,economics!$AK$2:$AK$167,economics!$AJ$2:$AJ$167,TRUE)-_xlfn.NORM.DIST(AH$30,economics!$AK$2:$AK$167,economics!$AJ$2:$AJ$167,TRUE)))),"")</f>
        <v/>
      </c>
      <c r="AI37">
        <f t="array" ref="AI37">IFERROR((SUMPRODUCT((economics!$AG$2:$AG$167=$B37)*(economics!$D$2:$D$167="process")*economics!$AH$2:$AH$167*(_xlfn.NORM.DIST(AI$3,economics!$AK$2:$AK$167,economics!$AJ$2:$AJ$167,TRUE)-_xlfn.NORM.DIST(AI$30,economics!$AK$2:$AK$167,economics!$AJ$2:$AJ$167,TRUE))*economics!$AM$2:$AM$167))/(SUMPRODUCT((economics!$AG$2:$AG$167=$B37)*(economics!$D$2:$D$167="process")*economics!$AH$2:$AH$167*(_xlfn.NORM.DIST(AI$3,economics!$AK$2:$AK$167,economics!$AJ$2:$AJ$167,TRUE)-_xlfn.NORM.DIST(AI$30,economics!$AK$2:$AK$167,economics!$AJ$2:$AJ$167,TRUE)))),"")</f>
        <v/>
      </c>
      <c r="AJ37">
        <f t="array" ref="AJ37">IFERROR((SUMPRODUCT((economics!$AG$2:$AG$167=$B37)*(economics!$D$2:$D$167="process")*economics!$AH$2:$AH$167*(_xlfn.NORM.DIST(AJ$3,economics!$AK$2:$AK$167,economics!$AJ$2:$AJ$167,TRUE)-_xlfn.NORM.DIST(AJ$30,economics!$AK$2:$AK$167,economics!$AJ$2:$AJ$167,TRUE))*economics!$AM$2:$AM$167))/(SUMPRODUCT((economics!$AG$2:$AG$167=$B37)*(economics!$D$2:$D$167="process")*economics!$AH$2:$AH$167*(_xlfn.NORM.DIST(AJ$3,economics!$AK$2:$AK$167,economics!$AJ$2:$AJ$167,TRUE)-_xlfn.NORM.DIST(AJ$30,economics!$AK$2:$AK$167,economics!$AJ$2:$AJ$167,TRUE)))),"")</f>
        <v/>
      </c>
      <c r="AK37">
        <f t="array" ref="AK37">IFERROR((SUMPRODUCT((economics!$AG$2:$AG$167=$B37)*(economics!$D$2:$D$167="process")*economics!$AH$2:$AH$167*(_xlfn.NORM.DIST(AK$3,economics!$AK$2:$AK$167,economics!$AJ$2:$AJ$167,TRUE)-_xlfn.NORM.DIST(AK$30,economics!$AK$2:$AK$167,economics!$AJ$2:$AJ$167,TRUE))*economics!$AM$2:$AM$167))/(SUMPRODUCT((economics!$AG$2:$AG$167=$B37)*(economics!$D$2:$D$167="process")*economics!$AH$2:$AH$167*(_xlfn.NORM.DIST(AK$3,economics!$AK$2:$AK$167,economics!$AJ$2:$AJ$167,TRUE)-_xlfn.NORM.DIST(AK$30,economics!$AK$2:$AK$167,economics!$AJ$2:$AJ$167,TRUE)))),"")</f>
        <v/>
      </c>
      <c r="AL37">
        <f t="array" ref="AL37">IFERROR((SUMPRODUCT((economics!$AG$2:$AG$167=$B37)*(economics!$D$2:$D$167="process")*economics!$AH$2:$AH$167*(_xlfn.NORM.DIST(AL$3,economics!$AK$2:$AK$167,economics!$AJ$2:$AJ$167,TRUE)-_xlfn.NORM.DIST(AL$30,economics!$AK$2:$AK$167,economics!$AJ$2:$AJ$167,TRUE))*economics!$AM$2:$AM$167))/(SUMPRODUCT((economics!$AG$2:$AG$167=$B37)*(economics!$D$2:$D$167="process")*economics!$AH$2:$AH$167*(_xlfn.NORM.DIST(AL$3,economics!$AK$2:$AK$167,economics!$AJ$2:$AJ$167,TRUE)-_xlfn.NORM.DIST(AL$30,economics!$AK$2:$AK$167,economics!$AJ$2:$AJ$167,TRUE)))),"")</f>
        <v/>
      </c>
      <c r="AM37">
        <f t="array" ref="AM37">IFERROR((SUMPRODUCT((economics!$AG$2:$AG$167=$B37)*(economics!$D$2:$D$167="process")*economics!$AH$2:$AH$167*(_xlfn.NORM.DIST(AM$3,economics!$AK$2:$AK$167,economics!$AJ$2:$AJ$167,TRUE)-_xlfn.NORM.DIST(AM$30,economics!$AK$2:$AK$167,economics!$AJ$2:$AJ$167,TRUE))*economics!$AM$2:$AM$167))/(SUMPRODUCT((economics!$AG$2:$AG$167=$B37)*(economics!$D$2:$D$167="process")*economics!$AH$2:$AH$167*(_xlfn.NORM.DIST(AM$3,economics!$AK$2:$AK$167,economics!$AJ$2:$AJ$167,TRUE)-_xlfn.NORM.DIST(AM$30,economics!$AK$2:$AK$167,economics!$AJ$2:$AJ$167,TRUE)))),"")</f>
        <v/>
      </c>
      <c r="AN37">
        <f t="array" ref="AN37">IFERROR((SUMPRODUCT((economics!$AG$2:$AG$167=$B37)*(economics!$D$2:$D$167="process")*economics!$AH$2:$AH$167*(_xlfn.NORM.DIST(AN$3,economics!$AK$2:$AK$167,economics!$AJ$2:$AJ$167,TRUE)-_xlfn.NORM.DIST(AN$30,economics!$AK$2:$AK$167,economics!$AJ$2:$AJ$167,TRUE))*economics!$AM$2:$AM$167))/(SUMPRODUCT((economics!$AG$2:$AG$167=$B37)*(economics!$D$2:$D$167="process")*economics!$AH$2:$AH$167*(_xlfn.NORM.DIST(AN$3,economics!$AK$2:$AK$167,economics!$AJ$2:$AJ$167,TRUE)-_xlfn.NORM.DIST(AN$30,economics!$AK$2:$AK$167,economics!$AJ$2:$AJ$167,TRUE)))),"")</f>
        <v/>
      </c>
      <c r="AO37">
        <f t="array" ref="AO37">IFERROR((SUMPRODUCT((economics!$AG$2:$AG$167=$B37)*(economics!$D$2:$D$167="process")*economics!$AH$2:$AH$167*(_xlfn.NORM.DIST(AO$3,economics!$AK$2:$AK$167,economics!$AJ$2:$AJ$167,TRUE)-_xlfn.NORM.DIST(AO$30,economics!$AK$2:$AK$167,economics!$AJ$2:$AJ$167,TRUE))*economics!$AM$2:$AM$167))/(SUMPRODUCT((economics!$AG$2:$AG$167=$B37)*(economics!$D$2:$D$167="process")*economics!$AH$2:$AH$167*(_xlfn.NORM.DIST(AO$3,economics!$AK$2:$AK$167,economics!$AJ$2:$AJ$167,TRUE)-_xlfn.NORM.DIST(AO$30,economics!$AK$2:$AK$167,economics!$AJ$2:$AJ$167,TRUE)))),"")</f>
        <v/>
      </c>
      <c r="AP37">
        <f t="array" ref="AP37">IFERROR((SUMPRODUCT((economics!$AG$2:$AG$167=$B37)*(economics!$D$2:$D$167="process")*economics!$AH$2:$AH$167*(_xlfn.NORM.DIST(AP$3,economics!$AK$2:$AK$167,economics!$AJ$2:$AJ$167,TRUE)-_xlfn.NORM.DIST(AP$30,economics!$AK$2:$AK$167,economics!$AJ$2:$AJ$167,TRUE))*economics!$AM$2:$AM$167))/(SUMPRODUCT((economics!$AG$2:$AG$167=$B37)*(economics!$D$2:$D$167="process")*economics!$AH$2:$AH$167*(_xlfn.NORM.DIST(AP$3,economics!$AK$2:$AK$167,economics!$AJ$2:$AJ$167,TRUE)-_xlfn.NORM.DIST(AP$30,economics!$AK$2:$AK$167,economics!$AJ$2:$AJ$167,TRUE)))),"")</f>
        <v/>
      </c>
      <c r="AQ37">
        <f t="array" ref="AQ37">IFERROR((SUMPRODUCT((economics!$AG$2:$AG$167=$B37)*(economics!$D$2:$D$167="process")*economics!$AH$2:$AH$167*(_xlfn.NORM.DIST(AQ$3,economics!$AK$2:$AK$167,economics!$AJ$2:$AJ$167,TRUE)-_xlfn.NORM.DIST(AQ$30,economics!$AK$2:$AK$167,economics!$AJ$2:$AJ$167,TRUE))*economics!$AM$2:$AM$167))/(SUMPRODUCT((economics!$AG$2:$AG$167=$B37)*(economics!$D$2:$D$167="process")*economics!$AH$2:$AH$167*(_xlfn.NORM.DIST(AQ$3,economics!$AK$2:$AK$167,economics!$AJ$2:$AJ$167,TRUE)-_xlfn.NORM.DIST(AQ$30,economics!$AK$2:$AK$167,economics!$AJ$2:$AJ$167,TRUE)))),"")</f>
        <v/>
      </c>
      <c r="AR37">
        <f t="array" ref="AR37">IFERROR((SUMPRODUCT((economics!$AG$2:$AG$167=$B37)*(economics!$D$2:$D$167="process")*economics!$AH$2:$AH$167*(_xlfn.NORM.DIST(AR$3,economics!$AK$2:$AK$167,economics!$AJ$2:$AJ$167,TRUE)-_xlfn.NORM.DIST(AR$30,economics!$AK$2:$AK$167,economics!$AJ$2:$AJ$167,TRUE))*economics!$AM$2:$AM$167))/(SUMPRODUCT((economics!$AG$2:$AG$167=$B37)*(economics!$D$2:$D$167="process")*economics!$AH$2:$AH$167*(_xlfn.NORM.DIST(AR$3,economics!$AK$2:$AK$167,economics!$AJ$2:$AJ$167,TRUE)-_xlfn.NORM.DIST(AR$30,economics!$AK$2:$AK$167,economics!$AJ$2:$AJ$167,TRUE)))),"")</f>
        <v/>
      </c>
      <c r="AS37">
        <f t="array" ref="AS37">IFERROR((SUMPRODUCT((economics!$AG$2:$AG$167=$B37)*(economics!$D$2:$D$167="process")*economics!$AH$2:$AH$167*(_xlfn.NORM.DIST(AS$3,economics!$AK$2:$AK$167,economics!$AJ$2:$AJ$167,TRUE)-_xlfn.NORM.DIST(AS$30,economics!$AK$2:$AK$167,economics!$AJ$2:$AJ$167,TRUE))*economics!$AM$2:$AM$167))/(SUMPRODUCT((economics!$AG$2:$AG$167=$B37)*(economics!$D$2:$D$167="process")*economics!$AH$2:$AH$167*(_xlfn.NORM.DIST(AS$3,economics!$AK$2:$AK$167,economics!$AJ$2:$AJ$167,TRUE)-_xlfn.NORM.DIST(AS$30,economics!$AK$2:$AK$167,economics!$AJ$2:$AJ$167,TRUE)))),"")</f>
        <v/>
      </c>
      <c r="AT37">
        <f t="array" ref="AT37">IFERROR((SUMPRODUCT((economics!$AG$2:$AG$167=$B37)*(economics!$D$2:$D$167="process")*economics!$AH$2:$AH$167*(_xlfn.NORM.DIST(AT$3,economics!$AK$2:$AK$167,economics!$AJ$2:$AJ$167,TRUE)-_xlfn.NORM.DIST(AT$30,economics!$AK$2:$AK$167,economics!$AJ$2:$AJ$167,TRUE))*economics!$AM$2:$AM$167))/(SUMPRODUCT((economics!$AG$2:$AG$167=$B37)*(economics!$D$2:$D$167="process")*economics!$AH$2:$AH$167*(_xlfn.NORM.DIST(AT$3,economics!$AK$2:$AK$167,economics!$AJ$2:$AJ$167,TRUE)-_xlfn.NORM.DIST(AT$30,economics!$AK$2:$AK$167,economics!$AJ$2:$AJ$167,TRUE)))),"")</f>
        <v/>
      </c>
      <c r="AU37">
        <f t="array" ref="AU37">IFERROR((SUMPRODUCT((economics!$AG$2:$AG$167=$B37)*(economics!$D$2:$D$167="process")*economics!$AH$2:$AH$167*(_xlfn.NORM.DIST(AU$3,economics!$AK$2:$AK$167,economics!$AJ$2:$AJ$167,TRUE)-_xlfn.NORM.DIST(AU$30,economics!$AK$2:$AK$167,economics!$AJ$2:$AJ$167,TRUE))*economics!$AM$2:$AM$167))/(SUMPRODUCT((economics!$AG$2:$AG$167=$B37)*(economics!$D$2:$D$167="process")*economics!$AH$2:$AH$167*(_xlfn.NORM.DIST(AU$3,economics!$AK$2:$AK$167,economics!$AJ$2:$AJ$167,TRUE)-_xlfn.NORM.DIST(AU$30,economics!$AK$2:$AK$167,economics!$AJ$2:$AJ$167,TRUE)))),"")</f>
        <v/>
      </c>
      <c r="AV37">
        <f t="array" ref="AV37">IFERROR((SUMPRODUCT((economics!$AG$2:$AG$167=$B37)*(economics!$D$2:$D$167="process")*economics!$AH$2:$AH$167*(_xlfn.NORM.DIST(AV$3,economics!$AK$2:$AK$167,economics!$AJ$2:$AJ$167,TRUE)-_xlfn.NORM.DIST(AV$30,economics!$AK$2:$AK$167,economics!$AJ$2:$AJ$167,TRUE))*economics!$AM$2:$AM$167))/(SUMPRODUCT((economics!$AG$2:$AG$167=$B37)*(economics!$D$2:$D$167="process")*economics!$AH$2:$AH$167*(_xlfn.NORM.DIST(AV$3,economics!$AK$2:$AK$167,economics!$AJ$2:$AJ$167,TRUE)-_xlfn.NORM.DIST(AV$30,economics!$AK$2:$AK$167,economics!$AJ$2:$AJ$167,TRUE)))),"")</f>
        <v/>
      </c>
      <c r="AW37">
        <f t="array" ref="AW37">IFERROR((SUMPRODUCT((economics!$AG$2:$AG$167=$B37)*(economics!$D$2:$D$167="process")*economics!$AH$2:$AH$167*(_xlfn.NORM.DIST(AW$3,economics!$AK$2:$AK$167,economics!$AJ$2:$AJ$167,TRUE)-_xlfn.NORM.DIST(AW$30,economics!$AK$2:$AK$167,economics!$AJ$2:$AJ$167,TRUE))*economics!$AM$2:$AM$167))/(SUMPRODUCT((economics!$AG$2:$AG$167=$B37)*(economics!$D$2:$D$167="process")*economics!$AH$2:$AH$167*(_xlfn.NORM.DIST(AW$3,economics!$AK$2:$AK$167,economics!$AJ$2:$AJ$167,TRUE)-_xlfn.NORM.DIST(AW$30,economics!$AK$2:$AK$167,economics!$AJ$2:$AJ$167,TRUE)))),"")</f>
        <v/>
      </c>
      <c r="AX37">
        <f t="array" ref="AX37">IFERROR((SUMPRODUCT((economics!$AG$2:$AG$167=$B37)*(economics!$D$2:$D$167="process")*economics!$AH$2:$AH$167*(_xlfn.NORM.DIST(AX$3,economics!$AK$2:$AK$167,economics!$AJ$2:$AJ$167,TRUE)-_xlfn.NORM.DIST(AX$30,economics!$AK$2:$AK$167,economics!$AJ$2:$AJ$167,TRUE))*economics!$AM$2:$AM$167))/(SUMPRODUCT((economics!$AG$2:$AG$167=$B37)*(economics!$D$2:$D$167="process")*economics!$AH$2:$AH$167*(_xlfn.NORM.DIST(AX$3,economics!$AK$2:$AK$167,economics!$AJ$2:$AJ$167,TRUE)-_xlfn.NORM.DIST(AX$30,economics!$AK$2:$AK$167,economics!$AJ$2:$AJ$167,TRUE)))),"")</f>
        <v/>
      </c>
      <c r="AY37">
        <f t="array" ref="AY37">IFERROR((SUMPRODUCT((economics!$AG$2:$AG$167=$B37)*(economics!$D$2:$D$167="process")*economics!$AH$2:$AH$167*(_xlfn.NORM.DIST(AY$3,economics!$AK$2:$AK$167,economics!$AJ$2:$AJ$167,TRUE)-_xlfn.NORM.DIST(AY$30,economics!$AK$2:$AK$167,economics!$AJ$2:$AJ$167,TRUE))*economics!$AM$2:$AM$167))/(SUMPRODUCT((economics!$AG$2:$AG$167=$B37)*(economics!$D$2:$D$167="process")*economics!$AH$2:$AH$167*(_xlfn.NORM.DIST(AY$3,economics!$AK$2:$AK$167,economics!$AJ$2:$AJ$167,TRUE)-_xlfn.NORM.DIST(AY$30,economics!$AK$2:$AK$167,economics!$AJ$2:$AJ$167,TRUE)))),"")</f>
        <v/>
      </c>
      <c r="AZ37">
        <f t="array" ref="AZ37">IFERROR((SUMPRODUCT((economics!$AG$2:$AG$167=$B37)*(economics!$D$2:$D$167="process")*economics!$AH$2:$AH$167*(_xlfn.NORM.DIST(AZ$3,economics!$AK$2:$AK$167,economics!$AJ$2:$AJ$167,TRUE)-_xlfn.NORM.DIST(AZ$30,economics!$AK$2:$AK$167,economics!$AJ$2:$AJ$167,TRUE))*economics!$AM$2:$AM$167))/(SUMPRODUCT((economics!$AG$2:$AG$167=$B37)*(economics!$D$2:$D$167="process")*economics!$AH$2:$AH$167*(_xlfn.NORM.DIST(AZ$3,economics!$AK$2:$AK$167,economics!$AJ$2:$AJ$167,TRUE)-_xlfn.NORM.DIST(AZ$30,economics!$AK$2:$AK$167,economics!$AJ$2:$AJ$167,TRUE)))),"")</f>
        <v/>
      </c>
      <c r="BA37">
        <f t="array" ref="BA37">IFERROR((SUMPRODUCT((economics!$AG$2:$AG$167=$B37)*(economics!$D$2:$D$167="process")*economics!$AH$2:$AH$167*(_xlfn.NORM.DIST(BA$3,economics!$AK$2:$AK$167,economics!$AJ$2:$AJ$167,TRUE)-_xlfn.NORM.DIST(BA$30,economics!$AK$2:$AK$167,economics!$AJ$2:$AJ$167,TRUE))*economics!$AM$2:$AM$167))/(SUMPRODUCT((economics!$AG$2:$AG$167=$B37)*(economics!$D$2:$D$167="process")*economics!$AH$2:$AH$167*(_xlfn.NORM.DIST(BA$3,economics!$AK$2:$AK$167,economics!$AJ$2:$AJ$167,TRUE)-_xlfn.NORM.DIST(BA$30,economics!$AK$2:$AK$167,economics!$AJ$2:$AJ$167,TRUE)))),"")</f>
        <v/>
      </c>
      <c r="BB37">
        <f t="array" ref="BB37">IFERROR((SUMPRODUCT((economics!$AG$2:$AG$167=$B37)*(economics!$D$2:$D$167="process")*economics!$AH$2:$AH$167*(_xlfn.NORM.DIST(BB$3,economics!$AK$2:$AK$167,economics!$AJ$2:$AJ$167,TRUE)-_xlfn.NORM.DIST(BB$30,economics!$AK$2:$AK$167,economics!$AJ$2:$AJ$167,TRUE))*economics!$AM$2:$AM$167))/(SUMPRODUCT((economics!$AG$2:$AG$167=$B37)*(economics!$D$2:$D$167="process")*economics!$AH$2:$AH$167*(_xlfn.NORM.DIST(BB$3,economics!$AK$2:$AK$167,economics!$AJ$2:$AJ$167,TRUE)-_xlfn.NORM.DIST(BB$30,economics!$AK$2:$AK$167,economics!$AJ$2:$AJ$167,TRUE)))),"")</f>
        <v/>
      </c>
      <c r="BC37">
        <f t="array" ref="BC37">IFERROR((SUMPRODUCT((economics!$AG$2:$AG$167=$B37)*(economics!$D$2:$D$167="process")*economics!$AH$2:$AH$167*(_xlfn.NORM.DIST(BC$3,economics!$AK$2:$AK$167,economics!$AJ$2:$AJ$167,TRUE)-_xlfn.NORM.DIST(BC$30,economics!$AK$2:$AK$167,economics!$AJ$2:$AJ$167,TRUE))*economics!$AM$2:$AM$167))/(SUMPRODUCT((economics!$AG$2:$AG$167=$B37)*(economics!$D$2:$D$167="process")*economics!$AH$2:$AH$167*(_xlfn.NORM.DIST(BC$3,economics!$AK$2:$AK$167,economics!$AJ$2:$AJ$167,TRUE)-_xlfn.NORM.DIST(BC$30,economics!$AK$2:$AK$167,economics!$AJ$2:$AJ$167,TRUE)))),"")</f>
        <v/>
      </c>
      <c r="BD37">
        <f t="array" ref="BD37">IFERROR((SUMPRODUCT((economics!$AG$2:$AG$167=$B37)*(economics!$D$2:$D$167="process")*economics!$AH$2:$AH$167*(_xlfn.NORM.DIST(BD$3,economics!$AK$2:$AK$167,economics!$AJ$2:$AJ$167,TRUE)-_xlfn.NORM.DIST(BD$30,economics!$AK$2:$AK$167,economics!$AJ$2:$AJ$167,TRUE))*economics!$AM$2:$AM$167))/(SUMPRODUCT((economics!$AG$2:$AG$167=$B37)*(economics!$D$2:$D$167="process")*economics!$AH$2:$AH$167*(_xlfn.NORM.DIST(BD$3,economics!$AK$2:$AK$167,economics!$AJ$2:$AJ$167,TRUE)-_xlfn.NORM.DIST(BD$30,economics!$AK$2:$AK$167,economics!$AJ$2:$AJ$167,TRUE)))),"")</f>
        <v/>
      </c>
      <c r="BE37">
        <f t="array" ref="BE37">IFERROR((SUMPRODUCT((economics!$AG$2:$AG$167=$B37)*(economics!$D$2:$D$167="process")*economics!$AH$2:$AH$167*(_xlfn.NORM.DIST(BE$3,economics!$AK$2:$AK$167,economics!$AJ$2:$AJ$167,TRUE)-_xlfn.NORM.DIST(BE$30,economics!$AK$2:$AK$167,economics!$AJ$2:$AJ$167,TRUE))*economics!$AM$2:$AM$167))/(SUMPRODUCT((economics!$AG$2:$AG$167=$B37)*(economics!$D$2:$D$167="process")*economics!$AH$2:$AH$167*(_xlfn.NORM.DIST(BE$3,economics!$AK$2:$AK$167,economics!$AJ$2:$AJ$167,TRUE)-_xlfn.NORM.DIST(BE$30,economics!$AK$2:$AK$167,economics!$AJ$2:$AJ$167,TRUE)))),"")</f>
        <v/>
      </c>
      <c r="BF37">
        <f t="array" ref="BF37">IFERROR((SUMPRODUCT((economics!$AG$2:$AG$167=$B37)*(economics!$D$2:$D$167="process")*economics!$AH$2:$AH$167*(_xlfn.NORM.DIST(BF$3,economics!$AK$2:$AK$167,economics!$AJ$2:$AJ$167,TRUE)-_xlfn.NORM.DIST(BF$30,economics!$AK$2:$AK$167,economics!$AJ$2:$AJ$167,TRUE))*economics!$AM$2:$AM$167))/(SUMPRODUCT((economics!$AG$2:$AG$167=$B37)*(economics!$D$2:$D$167="process")*economics!$AH$2:$AH$167*(_xlfn.NORM.DIST(BF$3,economics!$AK$2:$AK$167,economics!$AJ$2:$AJ$167,TRUE)-_xlfn.NORM.DIST(BF$30,economics!$AK$2:$AK$167,economics!$AJ$2:$AJ$167,TRUE)))),"")</f>
        <v/>
      </c>
      <c r="BG37">
        <f t="array" ref="BG37">IFERROR((SUMPRODUCT((economics!$AG$2:$AG$167=$B37)*(economics!$D$2:$D$167="process")*economics!$AH$2:$AH$167*(_xlfn.NORM.DIST(BG$3,economics!$AK$2:$AK$167,economics!$AJ$2:$AJ$167,TRUE)-_xlfn.NORM.DIST(BG$30,economics!$AK$2:$AK$167,economics!$AJ$2:$AJ$167,TRUE))*economics!$AM$2:$AM$167))/(SUMPRODUCT((economics!$AG$2:$AG$167=$B37)*(economics!$D$2:$D$167="process")*economics!$AH$2:$AH$167*(_xlfn.NORM.DIST(BG$3,economics!$AK$2:$AK$167,economics!$AJ$2:$AJ$167,TRUE)-_xlfn.NORM.DIST(BG$30,economics!$AK$2:$AK$167,economics!$AJ$2:$AJ$167,TRUE)))),"")</f>
        <v/>
      </c>
      <c r="BH37">
        <f t="array" ref="BH37">IFERROR((SUMPRODUCT((economics!$AG$2:$AG$167=$B37)*(economics!$D$2:$D$167="process")*economics!$AH$2:$AH$167*(_xlfn.NORM.DIST(BH$3,economics!$AK$2:$AK$167,economics!$AJ$2:$AJ$167,TRUE)-_xlfn.NORM.DIST(BH$30,economics!$AK$2:$AK$167,economics!$AJ$2:$AJ$167,TRUE))*economics!$AM$2:$AM$167))/(SUMPRODUCT((economics!$AG$2:$AG$167=$B37)*(economics!$D$2:$D$167="process")*economics!$AH$2:$AH$167*(_xlfn.NORM.DIST(BH$3,economics!$AK$2:$AK$167,economics!$AJ$2:$AJ$167,TRUE)-_xlfn.NORM.DIST(BH$30,economics!$AK$2:$AK$167,economics!$AJ$2:$AJ$167,TRUE)))),"")</f>
        <v/>
      </c>
      <c r="BI37">
        <f t="array" ref="BI37">IFERROR((SUMPRODUCT((economics!$AG$2:$AG$167=$B37)*(economics!$D$2:$D$167="process")*economics!$AH$2:$AH$167*(_xlfn.NORM.DIST(BI$3,economics!$AK$2:$AK$167,economics!$AJ$2:$AJ$167,TRUE)-_xlfn.NORM.DIST(BI$30,economics!$AK$2:$AK$167,economics!$AJ$2:$AJ$167,TRUE))*economics!$AM$2:$AM$167))/(SUMPRODUCT((economics!$AG$2:$AG$167=$B37)*(economics!$D$2:$D$167="process")*economics!$AH$2:$AH$167*(_xlfn.NORM.DIST(BI$3,economics!$AK$2:$AK$167,economics!$AJ$2:$AJ$167,TRUE)-_xlfn.NORM.DIST(BI$30,economics!$AK$2:$AK$167,economics!$AJ$2:$AJ$167,TRUE)))),"")</f>
        <v/>
      </c>
      <c r="BJ37">
        <f t="array" ref="BJ37">IFERROR((SUMPRODUCT((economics!$AG$2:$AG$167=$B37)*(economics!$D$2:$D$167="process")*economics!$AH$2:$AH$167*(_xlfn.NORM.DIST(BJ$3,economics!$AK$2:$AK$167,economics!$AJ$2:$AJ$167,TRUE)-_xlfn.NORM.DIST(BJ$30,economics!$AK$2:$AK$167,economics!$AJ$2:$AJ$167,TRUE))*economics!$AM$2:$AM$167))/(SUMPRODUCT((economics!$AG$2:$AG$167=$B37)*(economics!$D$2:$D$167="process")*economics!$AH$2:$AH$167*(_xlfn.NORM.DIST(BJ$3,economics!$AK$2:$AK$167,economics!$AJ$2:$AJ$167,TRUE)-_xlfn.NORM.DIST(BJ$30,economics!$AK$2:$AK$167,economics!$AJ$2:$AJ$167,TRUE)))),"")</f>
        <v/>
      </c>
      <c r="BK37">
        <f t="array" ref="BK37">IFERROR((SUMPRODUCT((economics!$AG$2:$AG$167=$B37)*(economics!$D$2:$D$167="process")*economics!$AH$2:$AH$167*(_xlfn.NORM.DIST(BK$3,economics!$AK$2:$AK$167,economics!$AJ$2:$AJ$167,TRUE)-_xlfn.NORM.DIST(BK$30,economics!$AK$2:$AK$167,economics!$AJ$2:$AJ$167,TRUE))*economics!$AM$2:$AM$167))/(SUMPRODUCT((economics!$AG$2:$AG$167=$B37)*(economics!$D$2:$D$167="process")*economics!$AH$2:$AH$167*(_xlfn.NORM.DIST(BK$3,economics!$AK$2:$AK$167,economics!$AJ$2:$AJ$167,TRUE)-_xlfn.NORM.DIST(BK$30,economics!$AK$2:$AK$167,economics!$AJ$2:$AJ$167,TRUE)))),"")</f>
        <v/>
      </c>
      <c r="BL37">
        <f t="array" ref="BL37">IFERROR((SUMPRODUCT((economics!$AG$2:$AG$167=$B37)*(economics!$D$2:$D$167="process")*economics!$AH$2:$AH$167*(_xlfn.NORM.DIST(BL$3,economics!$AK$2:$AK$167,economics!$AJ$2:$AJ$167,TRUE)-_xlfn.NORM.DIST(BL$30,economics!$AK$2:$AK$167,economics!$AJ$2:$AJ$167,TRUE))*economics!$AM$2:$AM$167))/(SUMPRODUCT((economics!$AG$2:$AG$167=$B37)*(economics!$D$2:$D$167="process")*economics!$AH$2:$AH$167*(_xlfn.NORM.DIST(BL$3,economics!$AK$2:$AK$167,economics!$AJ$2:$AJ$167,TRUE)-_xlfn.NORM.DIST(BL$30,economics!$AK$2:$AK$167,economics!$AJ$2:$AJ$167,TRUE)))),"")</f>
        <v/>
      </c>
      <c r="BM37">
        <f t="array" ref="BM37">IFERROR((SUMPRODUCT((economics!$AG$2:$AG$167=$B37)*(economics!$D$2:$D$167="process")*economics!$AH$2:$AH$167*(_xlfn.NORM.DIST(BM$3,economics!$AK$2:$AK$167,economics!$AJ$2:$AJ$167,TRUE)-_xlfn.NORM.DIST(BM$30,economics!$AK$2:$AK$167,economics!$AJ$2:$AJ$167,TRUE))*economics!$AM$2:$AM$167))/(SUMPRODUCT((economics!$AG$2:$AG$167=$B37)*(economics!$D$2:$D$167="process")*economics!$AH$2:$AH$167*(_xlfn.NORM.DIST(BM$3,economics!$AK$2:$AK$167,economics!$AJ$2:$AJ$167,TRUE)-_xlfn.NORM.DIST(BM$30,economics!$AK$2:$AK$167,economics!$AJ$2:$AJ$167,TRUE)))),"")</f>
        <v/>
      </c>
      <c r="BN37">
        <f t="array" ref="BN37">IFERROR((SUMPRODUCT((economics!$AG$2:$AG$167=$B37)*(economics!$D$2:$D$167="process")*economics!$AH$2:$AH$167*(_xlfn.NORM.DIST(BN$3,economics!$AK$2:$AK$167,economics!$AJ$2:$AJ$167,TRUE)-_xlfn.NORM.DIST(BN$30,economics!$AK$2:$AK$167,economics!$AJ$2:$AJ$167,TRUE))*economics!$AM$2:$AM$167))/(SUMPRODUCT((economics!$AG$2:$AG$167=$B37)*(economics!$D$2:$D$167="process")*economics!$AH$2:$AH$167*(_xlfn.NORM.DIST(BN$3,economics!$AK$2:$AK$167,economics!$AJ$2:$AJ$167,TRUE)-_xlfn.NORM.DIST(BN$30,economics!$AK$2:$AK$167,economics!$AJ$2:$AJ$167,TRUE)))),"")</f>
        <v/>
      </c>
      <c r="BO37">
        <f t="array" ref="BO37">IFERROR((SUMPRODUCT((economics!$AG$2:$AG$167=$B37)*(economics!$D$2:$D$167="process")*economics!$AH$2:$AH$167*(_xlfn.NORM.DIST(BO$3,economics!$AK$2:$AK$167,economics!$AJ$2:$AJ$167,TRUE)-_xlfn.NORM.DIST(BO$30,economics!$AK$2:$AK$167,economics!$AJ$2:$AJ$167,TRUE))*economics!$AM$2:$AM$167))/(SUMPRODUCT((economics!$AG$2:$AG$167=$B37)*(economics!$D$2:$D$167="process")*economics!$AH$2:$AH$167*(_xlfn.NORM.DIST(BO$3,economics!$AK$2:$AK$167,economics!$AJ$2:$AJ$167,TRUE)-_xlfn.NORM.DIST(BO$30,economics!$AK$2:$AK$167,economics!$AJ$2:$AJ$167,TRUE)))),"")</f>
        <v/>
      </c>
      <c r="BP37">
        <f t="array" ref="BP37">IFERROR((SUMPRODUCT((economics!$AG$2:$AG$167=$B37)*(economics!$D$2:$D$167="process")*economics!$AH$2:$AH$167*(_xlfn.NORM.DIST(BP$3,economics!$AK$2:$AK$167,economics!$AJ$2:$AJ$167,TRUE)-_xlfn.NORM.DIST(BP$30,economics!$AK$2:$AK$167,economics!$AJ$2:$AJ$167,TRUE))*economics!$AM$2:$AM$167))/(SUMPRODUCT((economics!$AG$2:$AG$167=$B37)*(economics!$D$2:$D$167="process")*economics!$AH$2:$AH$167*(_xlfn.NORM.DIST(BP$3,economics!$AK$2:$AK$167,economics!$AJ$2:$AJ$167,TRUE)-_xlfn.NORM.DIST(BP$30,economics!$AK$2:$AK$167,economics!$AJ$2:$AJ$167,TRUE)))),"")</f>
        <v/>
      </c>
      <c r="BQ37">
        <f t="array" ref="BQ37">IFERROR((SUMPRODUCT((economics!$AG$2:$AG$167=$B37)*(economics!$D$2:$D$167="process")*economics!$AH$2:$AH$167*(_xlfn.NORM.DIST(BQ$3,economics!$AK$2:$AK$167,economics!$AJ$2:$AJ$167,TRUE)-_xlfn.NORM.DIST(BQ$30,economics!$AK$2:$AK$167,economics!$AJ$2:$AJ$167,TRUE))*economics!$AM$2:$AM$167))/(SUMPRODUCT((economics!$AG$2:$AG$167=$B37)*(economics!$D$2:$D$167="process")*economics!$AH$2:$AH$167*(_xlfn.NORM.DIST(BQ$3,economics!$AK$2:$AK$167,economics!$AJ$2:$AJ$167,TRUE)-_xlfn.NORM.DIST(BQ$30,economics!$AK$2:$AK$167,economics!$AJ$2:$AJ$167,TRUE)))),"")</f>
        <v/>
      </c>
      <c r="BR37">
        <f t="array" ref="BR37">IFERROR((SUMPRODUCT((economics!$AG$2:$AG$167=$B37)*(economics!$D$2:$D$167="process")*economics!$AH$2:$AH$167*(_xlfn.NORM.DIST(BR$3,economics!$AK$2:$AK$167,economics!$AJ$2:$AJ$167,TRUE)-_xlfn.NORM.DIST(BR$30,economics!$AK$2:$AK$167,economics!$AJ$2:$AJ$167,TRUE))*economics!$AM$2:$AM$167))/(SUMPRODUCT((economics!$AG$2:$AG$167=$B37)*(economics!$D$2:$D$167="process")*economics!$AH$2:$AH$167*(_xlfn.NORM.DIST(BR$3,economics!$AK$2:$AK$167,economics!$AJ$2:$AJ$167,TRUE)-_xlfn.NORM.DIST(BR$30,economics!$AK$2:$AK$167,economics!$AJ$2:$AJ$167,TRUE)))),"")</f>
        <v/>
      </c>
      <c r="BS37">
        <f t="array" ref="BS37">IFERROR((SUMPRODUCT((economics!$AG$2:$AG$167=$B37)*(economics!$D$2:$D$167="process")*economics!$AH$2:$AH$167*(_xlfn.NORM.DIST(BS$3,economics!$AK$2:$AK$167,economics!$AJ$2:$AJ$167,TRUE)-_xlfn.NORM.DIST(BS$30,economics!$AK$2:$AK$167,economics!$AJ$2:$AJ$167,TRUE))*economics!$AM$2:$AM$167))/(SUMPRODUCT((economics!$AG$2:$AG$167=$B37)*(economics!$D$2:$D$167="process")*economics!$AH$2:$AH$167*(_xlfn.NORM.DIST(BS$3,economics!$AK$2:$AK$167,economics!$AJ$2:$AJ$167,TRUE)-_xlfn.NORM.DIST(BS$30,economics!$AK$2:$AK$167,economics!$AJ$2:$AJ$167,TRUE)))),"")</f>
        <v/>
      </c>
      <c r="BT37">
        <f t="array" ref="BT37">IFERROR((SUMPRODUCT((economics!$AG$2:$AG$167=$B37)*(economics!$D$2:$D$167="process")*economics!$AH$2:$AH$167*(_xlfn.NORM.DIST(BT$3,economics!$AK$2:$AK$167,economics!$AJ$2:$AJ$167,TRUE)-_xlfn.NORM.DIST(BT$30,economics!$AK$2:$AK$167,economics!$AJ$2:$AJ$167,TRUE))*economics!$AM$2:$AM$167))/(SUMPRODUCT((economics!$AG$2:$AG$167=$B37)*(economics!$D$2:$D$167="process")*economics!$AH$2:$AH$167*(_xlfn.NORM.DIST(BT$3,economics!$AK$2:$AK$167,economics!$AJ$2:$AJ$167,TRUE)-_xlfn.NORM.DIST(BT$30,economics!$AK$2:$AK$167,economics!$AJ$2:$AJ$167,TRUE)))),"")</f>
        <v/>
      </c>
      <c r="BU37">
        <f t="array" ref="BU37">IFERROR((SUMPRODUCT((economics!$AG$2:$AG$167=$B37)*(economics!$D$2:$D$167="process")*economics!$AH$2:$AH$167*(_xlfn.NORM.DIST(BU$3,economics!$AK$2:$AK$167,economics!$AJ$2:$AJ$167,TRUE)-_xlfn.NORM.DIST(BU$30,economics!$AK$2:$AK$167,economics!$AJ$2:$AJ$167,TRUE))*economics!$AM$2:$AM$167))/(SUMPRODUCT((economics!$AG$2:$AG$167=$B37)*(economics!$D$2:$D$167="process")*economics!$AH$2:$AH$167*(_xlfn.NORM.DIST(BU$3,economics!$AK$2:$AK$167,economics!$AJ$2:$AJ$167,TRUE)-_xlfn.NORM.DIST(BU$30,economics!$AK$2:$AK$167,economics!$AJ$2:$AJ$167,TRUE)))),"")</f>
        <v/>
      </c>
      <c r="BV37">
        <f t="array" ref="BV37">IFERROR((SUMPRODUCT((economics!$AG$2:$AG$167=$B37)*(economics!$D$2:$D$167="process")*economics!$AH$2:$AH$167*(_xlfn.NORM.DIST(BV$3,economics!$AK$2:$AK$167,economics!$AJ$2:$AJ$167,TRUE)-_xlfn.NORM.DIST(BV$30,economics!$AK$2:$AK$167,economics!$AJ$2:$AJ$167,TRUE))*economics!$AM$2:$AM$167))/(SUMPRODUCT((economics!$AG$2:$AG$167=$B37)*(economics!$D$2:$D$167="process")*economics!$AH$2:$AH$167*(_xlfn.NORM.DIST(BV$3,economics!$AK$2:$AK$167,economics!$AJ$2:$AJ$167,TRUE)-_xlfn.NORM.DIST(BV$30,economics!$AK$2:$AK$167,economics!$AJ$2:$AJ$167,TRUE)))),"")</f>
        <v/>
      </c>
      <c r="BW37">
        <f t="array" ref="BW37">IFERROR((SUMPRODUCT((economics!$AG$2:$AG$167=$B37)*(economics!$D$2:$D$167="process")*economics!$AH$2:$AH$167*(_xlfn.NORM.DIST(BW$3,economics!$AK$2:$AK$167,economics!$AJ$2:$AJ$167,TRUE)-_xlfn.NORM.DIST(BW$30,economics!$AK$2:$AK$167,economics!$AJ$2:$AJ$167,TRUE))*economics!$AM$2:$AM$167))/(SUMPRODUCT((economics!$AG$2:$AG$167=$B37)*(economics!$D$2:$D$167="process")*economics!$AH$2:$AH$167*(_xlfn.NORM.DIST(BW$3,economics!$AK$2:$AK$167,economics!$AJ$2:$AJ$167,TRUE)-_xlfn.NORM.DIST(BW$30,economics!$AK$2:$AK$167,economics!$AJ$2:$AJ$167,TRUE)))),"")</f>
        <v/>
      </c>
      <c r="BX37">
        <f t="array" ref="BX37">IFERROR((SUMPRODUCT((economics!$AG$2:$AG$167=$B37)*(economics!$D$2:$D$167="process")*economics!$AH$2:$AH$167*(_xlfn.NORM.DIST(BX$3,economics!$AK$2:$AK$167,economics!$AJ$2:$AJ$167,TRUE)-_xlfn.NORM.DIST(BX$30,economics!$AK$2:$AK$167,economics!$AJ$2:$AJ$167,TRUE))*economics!$AM$2:$AM$167))/(SUMPRODUCT((economics!$AG$2:$AG$167=$B37)*(economics!$D$2:$D$167="process")*economics!$AH$2:$AH$167*(_xlfn.NORM.DIST(BX$3,economics!$AK$2:$AK$167,economics!$AJ$2:$AJ$167,TRUE)-_xlfn.NORM.DIST(BX$30,economics!$AK$2:$AK$167,economics!$AJ$2:$AJ$167,TRUE)))),"")</f>
        <v/>
      </c>
      <c r="BY37">
        <f t="array" ref="BY37">IFERROR((SUMPRODUCT((economics!$AG$2:$AG$167=$B37)*(economics!$D$2:$D$167="process")*economics!$AH$2:$AH$167*(_xlfn.NORM.DIST(BY$3,economics!$AK$2:$AK$167,economics!$AJ$2:$AJ$167,TRUE)-_xlfn.NORM.DIST(BY$30,economics!$AK$2:$AK$167,economics!$AJ$2:$AJ$167,TRUE))*economics!$AM$2:$AM$167))/(SUMPRODUCT((economics!$AG$2:$AG$167=$B37)*(economics!$D$2:$D$167="process")*economics!$AH$2:$AH$167*(_xlfn.NORM.DIST(BY$3,economics!$AK$2:$AK$167,economics!$AJ$2:$AJ$167,TRUE)-_xlfn.NORM.DIST(BY$30,economics!$AK$2:$AK$167,economics!$AJ$2:$AJ$167,TRUE)))),"")</f>
        <v/>
      </c>
      <c r="BZ37">
        <f t="array" ref="BZ37">IFERROR((SUMPRODUCT((economics!$AG$2:$AG$167=$B37)*(economics!$D$2:$D$167="process")*economics!$AH$2:$AH$167*(_xlfn.NORM.DIST(BZ$3,economics!$AK$2:$AK$167,economics!$AJ$2:$AJ$167,TRUE)-_xlfn.NORM.DIST(BZ$30,economics!$AK$2:$AK$167,economics!$AJ$2:$AJ$167,TRUE))*economics!$AM$2:$AM$167))/(SUMPRODUCT((economics!$AG$2:$AG$167=$B37)*(economics!$D$2:$D$167="process")*economics!$AH$2:$AH$167*(_xlfn.NORM.DIST(BZ$3,economics!$AK$2:$AK$167,economics!$AJ$2:$AJ$167,TRUE)-_xlfn.NORM.DIST(BZ$30,economics!$AK$2:$AK$167,economics!$AJ$2:$AJ$167,TRUE)))),"")</f>
        <v/>
      </c>
      <c r="CA37">
        <f t="array" ref="CA37">IFERROR((SUMPRODUCT((economics!$AG$2:$AG$167=$B37)*(economics!$D$2:$D$167="process")*economics!$AH$2:$AH$167*(_xlfn.NORM.DIST(CA$3,economics!$AK$2:$AK$167,economics!$AJ$2:$AJ$167,TRUE)-_xlfn.NORM.DIST(CA$30,economics!$AK$2:$AK$167,economics!$AJ$2:$AJ$167,TRUE))*economics!$AM$2:$AM$167))/(SUMPRODUCT((economics!$AG$2:$AG$167=$B37)*(economics!$D$2:$D$167="process")*economics!$AH$2:$AH$167*(_xlfn.NORM.DIST(CA$3,economics!$AK$2:$AK$167,economics!$AJ$2:$AJ$167,TRUE)-_xlfn.NORM.DIST(CA$30,economics!$AK$2:$AK$167,economics!$AJ$2:$AJ$167,TRUE)))),"")</f>
        <v/>
      </c>
      <c r="CB37">
        <f t="array" ref="CB37">IFERROR((SUMPRODUCT((economics!$AG$2:$AG$167=$B37)*(economics!$D$2:$D$167="process")*economics!$AH$2:$AH$167*(_xlfn.NORM.DIST(CB$3,economics!$AK$2:$AK$167,economics!$AJ$2:$AJ$167,TRUE)-_xlfn.NORM.DIST(CB$30,economics!$AK$2:$AK$167,economics!$AJ$2:$AJ$167,TRUE))*economics!$AM$2:$AM$167))/(SUMPRODUCT((economics!$AG$2:$AG$167=$B37)*(economics!$D$2:$D$167="process")*economics!$AH$2:$AH$167*(_xlfn.NORM.DIST(CB$3,economics!$AK$2:$AK$167,economics!$AJ$2:$AJ$167,TRUE)-_xlfn.NORM.DIST(CB$30,economics!$AK$2:$AK$167,economics!$AJ$2:$AJ$167,TRUE)))),"")</f>
        <v/>
      </c>
      <c r="CC37">
        <f t="array" ref="CC37">IFERROR((SUMPRODUCT((economics!$AG$2:$AG$167=$B37)*(economics!$D$2:$D$167="process")*economics!$AH$2:$AH$167*(_xlfn.NORM.DIST(CC$3,economics!$AK$2:$AK$167,economics!$AJ$2:$AJ$167,TRUE)-_xlfn.NORM.DIST(CC$30,economics!$AK$2:$AK$167,economics!$AJ$2:$AJ$167,TRUE))*economics!$AM$2:$AM$167))/(SUMPRODUCT((economics!$AG$2:$AG$167=$B37)*(economics!$D$2:$D$167="process")*economics!$AH$2:$AH$167*(_xlfn.NORM.DIST(CC$3,economics!$AK$2:$AK$167,economics!$AJ$2:$AJ$167,TRUE)-_xlfn.NORM.DIST(CC$30,economics!$AK$2:$AK$167,economics!$AJ$2:$AJ$167,TRUE)))),"")</f>
        <v/>
      </c>
      <c r="CD37">
        <f t="array" ref="CD37">IFERROR((SUMPRODUCT((economics!$AG$2:$AG$167=$B37)*(economics!$D$2:$D$167="process")*economics!$AH$2:$AH$167*(_xlfn.NORM.DIST(CD$3,economics!$AK$2:$AK$167,economics!$AJ$2:$AJ$167,TRUE)-_xlfn.NORM.DIST(CD$30,economics!$AK$2:$AK$167,economics!$AJ$2:$AJ$167,TRUE))*economics!$AM$2:$AM$167))/(SUMPRODUCT((economics!$AG$2:$AG$167=$B37)*(economics!$D$2:$D$167="process")*economics!$AH$2:$AH$167*(_xlfn.NORM.DIST(CD$3,economics!$AK$2:$AK$167,economics!$AJ$2:$AJ$167,TRUE)-_xlfn.NORM.DIST(CD$30,economics!$AK$2:$AK$167,economics!$AJ$2:$AJ$167,TRUE)))),"")</f>
        <v/>
      </c>
      <c r="CE37">
        <f t="array" ref="CE37">IFERROR((SUMPRODUCT((economics!$AG$2:$AG$167=$B37)*(economics!$D$2:$D$167="process")*economics!$AH$2:$AH$167*(_xlfn.NORM.DIST(CE$3,economics!$AK$2:$AK$167,economics!$AJ$2:$AJ$167,TRUE)-_xlfn.NORM.DIST(CE$30,economics!$AK$2:$AK$167,economics!$AJ$2:$AJ$167,TRUE))*economics!$AM$2:$AM$167))/(SUMPRODUCT((economics!$AG$2:$AG$167=$B37)*(economics!$D$2:$D$167="process")*economics!$AH$2:$AH$167*(_xlfn.NORM.DIST(CE$3,economics!$AK$2:$AK$167,economics!$AJ$2:$AJ$167,TRUE)-_xlfn.NORM.DIST(CE$30,economics!$AK$2:$AK$167,economics!$AJ$2:$AJ$167,TRUE)))),"")</f>
        <v/>
      </c>
      <c r="CF37">
        <f t="array" ref="CF37">IFERROR((SUMPRODUCT((economics!$AG$2:$AG$167=$B37)*(economics!$D$2:$D$167="process")*economics!$AH$2:$AH$167*(_xlfn.NORM.DIST(CF$3,economics!$AK$2:$AK$167,economics!$AJ$2:$AJ$167,TRUE)-_xlfn.NORM.DIST(CF$30,economics!$AK$2:$AK$167,economics!$AJ$2:$AJ$167,TRUE))*economics!$AM$2:$AM$167))/(SUMPRODUCT((economics!$AG$2:$AG$167=$B37)*(economics!$D$2:$D$167="process")*economics!$AH$2:$AH$167*(_xlfn.NORM.DIST(CF$3,economics!$AK$2:$AK$167,economics!$AJ$2:$AJ$167,TRUE)-_xlfn.NORM.DIST(CF$30,economics!$AK$2:$AK$167,economics!$AJ$2:$AJ$167,TRUE)))),"")</f>
        <v/>
      </c>
      <c r="CG37">
        <f t="array" ref="CG37">IFERROR((SUMPRODUCT((economics!$AG$2:$AG$167=$B37)*(economics!$D$2:$D$167="process")*economics!$AH$2:$AH$167*(_xlfn.NORM.DIST(CG$3,economics!$AK$2:$AK$167,economics!$AJ$2:$AJ$167,TRUE)-_xlfn.NORM.DIST(CG$30,economics!$AK$2:$AK$167,economics!$AJ$2:$AJ$167,TRUE))*economics!$AM$2:$AM$167))/(SUMPRODUCT((economics!$AG$2:$AG$167=$B37)*(economics!$D$2:$D$167="process")*economics!$AH$2:$AH$167*(_xlfn.NORM.DIST(CG$3,economics!$AK$2:$AK$167,economics!$AJ$2:$AJ$167,TRUE)-_xlfn.NORM.DIST(CG$30,economics!$AK$2:$AK$167,economics!$AJ$2:$AJ$167,TRUE)))),"")</f>
        <v/>
      </c>
      <c r="CH37">
        <f t="array" ref="CH37">IFERROR((SUMPRODUCT((economics!$AG$2:$AG$167=$B37)*(economics!$D$2:$D$167="process")*economics!$AH$2:$AH$167*(_xlfn.NORM.DIST(CH$3,economics!$AK$2:$AK$167,economics!$AJ$2:$AJ$167,TRUE)-_xlfn.NORM.DIST(CH$30,economics!$AK$2:$AK$167,economics!$AJ$2:$AJ$167,TRUE))*economics!$AM$2:$AM$167))/(SUMPRODUCT((economics!$AG$2:$AG$167=$B37)*(economics!$D$2:$D$167="process")*economics!$AH$2:$AH$167*(_xlfn.NORM.DIST(CH$3,economics!$AK$2:$AK$167,economics!$AJ$2:$AJ$167,TRUE)-_xlfn.NORM.DIST(CH$30,economics!$AK$2:$AK$167,economics!$AJ$2:$AJ$167,TRUE)))),"")</f>
        <v/>
      </c>
    </row>
    <row r="38">
      <c r="A38">
        <f>A9</f>
        <v/>
      </c>
      <c r="B38">
        <f>B9</f>
        <v/>
      </c>
      <c r="E38">
        <f t="array" ref="E38">IFERROR((SUMPRODUCT((economics!$AG$2:$AG$167=$B38)*(economics!$D$2:$D$167="process")*economics!$AH$2:$AH$167*(_xlfn.NORM.DIST(E$3,economics!$AK$2:$AK$167,economics!$AJ$2:$AJ$167,TRUE)-_xlfn.NORM.DIST(E$30,economics!$AK$2:$AK$167,economics!$AJ$2:$AJ$167,TRUE))*economics!$AM$2:$AM$167))/(SUMPRODUCT((economics!$AG$2:$AG$167=$B38)*(economics!$D$2:$D$167="process")*economics!$AH$2:$AH$167*(_xlfn.NORM.DIST(E$3,economics!$AK$2:$AK$167,economics!$AJ$2:$AJ$167,TRUE)-_xlfn.NORM.DIST(E$30,economics!$AK$2:$AK$167,economics!$AJ$2:$AJ$167,TRUE)))),"")</f>
        <v/>
      </c>
      <c r="F38">
        <f t="array" ref="F38">IFERROR((SUMPRODUCT((economics!$AG$2:$AG$167=$B38)*(economics!$D$2:$D$167="process")*economics!$AH$2:$AH$167*(_xlfn.NORM.DIST(F$3,economics!$AK$2:$AK$167,economics!$AJ$2:$AJ$167,TRUE)-_xlfn.NORM.DIST(F$30,economics!$AK$2:$AK$167,economics!$AJ$2:$AJ$167,TRUE))*economics!$AM$2:$AM$167))/(SUMPRODUCT((economics!$AG$2:$AG$167=$B38)*(economics!$D$2:$D$167="process")*economics!$AH$2:$AH$167*(_xlfn.NORM.DIST(F$3,economics!$AK$2:$AK$167,economics!$AJ$2:$AJ$167,TRUE)-_xlfn.NORM.DIST(F$30,economics!$AK$2:$AK$167,economics!$AJ$2:$AJ$167,TRUE)))),"")</f>
        <v/>
      </c>
      <c r="G38">
        <f t="array" ref="G38">IFERROR((SUMPRODUCT((economics!$AG$2:$AG$167=$B38)*(economics!$D$2:$D$167="process")*economics!$AH$2:$AH$167*(_xlfn.NORM.DIST(G$3,economics!$AK$2:$AK$167,economics!$AJ$2:$AJ$167,TRUE)-_xlfn.NORM.DIST(G$30,economics!$AK$2:$AK$167,economics!$AJ$2:$AJ$167,TRUE))*economics!$AM$2:$AM$167))/(SUMPRODUCT((economics!$AG$2:$AG$167=$B38)*(economics!$D$2:$D$167="process")*economics!$AH$2:$AH$167*(_xlfn.NORM.DIST(G$3,economics!$AK$2:$AK$167,economics!$AJ$2:$AJ$167,TRUE)-_xlfn.NORM.DIST(G$30,economics!$AK$2:$AK$167,economics!$AJ$2:$AJ$167,TRUE)))),"")</f>
        <v/>
      </c>
      <c r="H38">
        <f t="array" ref="H38">IFERROR((SUMPRODUCT((economics!$AG$2:$AG$167=$B38)*(economics!$D$2:$D$167="process")*economics!$AH$2:$AH$167*(_xlfn.NORM.DIST(H$3,economics!$AK$2:$AK$167,economics!$AJ$2:$AJ$167,TRUE)-_xlfn.NORM.DIST(H$30,economics!$AK$2:$AK$167,economics!$AJ$2:$AJ$167,TRUE))*economics!$AM$2:$AM$167))/(SUMPRODUCT((economics!$AG$2:$AG$167=$B38)*(economics!$D$2:$D$167="process")*economics!$AH$2:$AH$167*(_xlfn.NORM.DIST(H$3,economics!$AK$2:$AK$167,economics!$AJ$2:$AJ$167,TRUE)-_xlfn.NORM.DIST(H$30,economics!$AK$2:$AK$167,economics!$AJ$2:$AJ$167,TRUE)))),"")</f>
        <v/>
      </c>
      <c r="I38">
        <f t="array" ref="I38">IFERROR((SUMPRODUCT((economics!$AG$2:$AG$167=$B38)*(economics!$D$2:$D$167="process")*economics!$AH$2:$AH$167*(_xlfn.NORM.DIST(I$3,economics!$AK$2:$AK$167,economics!$AJ$2:$AJ$167,TRUE)-_xlfn.NORM.DIST(I$30,economics!$AK$2:$AK$167,economics!$AJ$2:$AJ$167,TRUE))*economics!$AM$2:$AM$167))/(SUMPRODUCT((economics!$AG$2:$AG$167=$B38)*(economics!$D$2:$D$167="process")*economics!$AH$2:$AH$167*(_xlfn.NORM.DIST(I$3,economics!$AK$2:$AK$167,economics!$AJ$2:$AJ$167,TRUE)-_xlfn.NORM.DIST(I$30,economics!$AK$2:$AK$167,economics!$AJ$2:$AJ$167,TRUE)))),"")</f>
        <v/>
      </c>
      <c r="J38">
        <f t="array" ref="J38">IFERROR((SUMPRODUCT((economics!$AG$2:$AG$167=$B38)*(economics!$D$2:$D$167="process")*economics!$AH$2:$AH$167*(_xlfn.NORM.DIST(J$3,economics!$AK$2:$AK$167,economics!$AJ$2:$AJ$167,TRUE)-_xlfn.NORM.DIST(J$30,economics!$AK$2:$AK$167,economics!$AJ$2:$AJ$167,TRUE))*economics!$AM$2:$AM$167))/(SUMPRODUCT((economics!$AG$2:$AG$167=$B38)*(economics!$D$2:$D$167="process")*economics!$AH$2:$AH$167*(_xlfn.NORM.DIST(J$3,economics!$AK$2:$AK$167,economics!$AJ$2:$AJ$167,TRUE)-_xlfn.NORM.DIST(J$30,economics!$AK$2:$AK$167,economics!$AJ$2:$AJ$167,TRUE)))),"")</f>
        <v/>
      </c>
      <c r="K38">
        <f t="array" ref="K38">IFERROR((SUMPRODUCT((economics!$AG$2:$AG$167=$B38)*(economics!$D$2:$D$167="process")*economics!$AH$2:$AH$167*(_xlfn.NORM.DIST(K$3,economics!$AK$2:$AK$167,economics!$AJ$2:$AJ$167,TRUE)-_xlfn.NORM.DIST(K$30,economics!$AK$2:$AK$167,economics!$AJ$2:$AJ$167,TRUE))*economics!$AM$2:$AM$167))/(SUMPRODUCT((economics!$AG$2:$AG$167=$B38)*(economics!$D$2:$D$167="process")*economics!$AH$2:$AH$167*(_xlfn.NORM.DIST(K$3,economics!$AK$2:$AK$167,economics!$AJ$2:$AJ$167,TRUE)-_xlfn.NORM.DIST(K$30,economics!$AK$2:$AK$167,economics!$AJ$2:$AJ$167,TRUE)))),"")</f>
        <v/>
      </c>
      <c r="L38">
        <f t="array" ref="L38">IFERROR((SUMPRODUCT((economics!$AG$2:$AG$167=$B38)*(economics!$D$2:$D$167="process")*economics!$AH$2:$AH$167*(_xlfn.NORM.DIST(L$3,economics!$AK$2:$AK$167,economics!$AJ$2:$AJ$167,TRUE)-_xlfn.NORM.DIST(L$30,economics!$AK$2:$AK$167,economics!$AJ$2:$AJ$167,TRUE))*economics!$AM$2:$AM$167))/(SUMPRODUCT((economics!$AG$2:$AG$167=$B38)*(economics!$D$2:$D$167="process")*economics!$AH$2:$AH$167*(_xlfn.NORM.DIST(L$3,economics!$AK$2:$AK$167,economics!$AJ$2:$AJ$167,TRUE)-_xlfn.NORM.DIST(L$30,economics!$AK$2:$AK$167,economics!$AJ$2:$AJ$167,TRUE)))),"")</f>
        <v/>
      </c>
      <c r="M38">
        <f t="array" ref="M38">IFERROR((SUMPRODUCT((economics!$AG$2:$AG$167=$B38)*(economics!$D$2:$D$167="process")*economics!$AH$2:$AH$167*(_xlfn.NORM.DIST(M$3,economics!$AK$2:$AK$167,economics!$AJ$2:$AJ$167,TRUE)-_xlfn.NORM.DIST(M$30,economics!$AK$2:$AK$167,economics!$AJ$2:$AJ$167,TRUE))*economics!$AM$2:$AM$167))/(SUMPRODUCT((economics!$AG$2:$AG$167=$B38)*(economics!$D$2:$D$167="process")*economics!$AH$2:$AH$167*(_xlfn.NORM.DIST(M$3,economics!$AK$2:$AK$167,economics!$AJ$2:$AJ$167,TRUE)-_xlfn.NORM.DIST(M$30,economics!$AK$2:$AK$167,economics!$AJ$2:$AJ$167,TRUE)))),"")</f>
        <v/>
      </c>
      <c r="N38">
        <f t="array" ref="N38">IFERROR((SUMPRODUCT((economics!$AG$2:$AG$167=$B38)*(economics!$D$2:$D$167="process")*economics!$AH$2:$AH$167*(_xlfn.NORM.DIST(N$3,economics!$AK$2:$AK$167,economics!$AJ$2:$AJ$167,TRUE)-_xlfn.NORM.DIST(N$30,economics!$AK$2:$AK$167,economics!$AJ$2:$AJ$167,TRUE))*economics!$AM$2:$AM$167))/(SUMPRODUCT((economics!$AG$2:$AG$167=$B38)*(economics!$D$2:$D$167="process")*economics!$AH$2:$AH$167*(_xlfn.NORM.DIST(N$3,economics!$AK$2:$AK$167,economics!$AJ$2:$AJ$167,TRUE)-_xlfn.NORM.DIST(N$30,economics!$AK$2:$AK$167,economics!$AJ$2:$AJ$167,TRUE)))),"")</f>
        <v/>
      </c>
      <c r="O38">
        <f t="array" ref="O38">IFERROR((SUMPRODUCT((economics!$AG$2:$AG$167=$B38)*(economics!$D$2:$D$167="process")*economics!$AH$2:$AH$167*(_xlfn.NORM.DIST(O$3,economics!$AK$2:$AK$167,economics!$AJ$2:$AJ$167,TRUE)-_xlfn.NORM.DIST(O$30,economics!$AK$2:$AK$167,economics!$AJ$2:$AJ$167,TRUE))*economics!$AM$2:$AM$167))/(SUMPRODUCT((economics!$AG$2:$AG$167=$B38)*(economics!$D$2:$D$167="process")*economics!$AH$2:$AH$167*(_xlfn.NORM.DIST(O$3,economics!$AK$2:$AK$167,economics!$AJ$2:$AJ$167,TRUE)-_xlfn.NORM.DIST(O$30,economics!$AK$2:$AK$167,economics!$AJ$2:$AJ$167,TRUE)))),"")</f>
        <v/>
      </c>
      <c r="P38">
        <f t="array" ref="P38">IFERROR((SUMPRODUCT((economics!$AG$2:$AG$167=$B38)*(economics!$D$2:$D$167="process")*economics!$AH$2:$AH$167*(_xlfn.NORM.DIST(P$3,economics!$AK$2:$AK$167,economics!$AJ$2:$AJ$167,TRUE)-_xlfn.NORM.DIST(P$30,economics!$AK$2:$AK$167,economics!$AJ$2:$AJ$167,TRUE))*economics!$AM$2:$AM$167))/(SUMPRODUCT((economics!$AG$2:$AG$167=$B38)*(economics!$D$2:$D$167="process")*economics!$AH$2:$AH$167*(_xlfn.NORM.DIST(P$3,economics!$AK$2:$AK$167,economics!$AJ$2:$AJ$167,TRUE)-_xlfn.NORM.DIST(P$30,economics!$AK$2:$AK$167,economics!$AJ$2:$AJ$167,TRUE)))),"")</f>
        <v/>
      </c>
      <c r="Q38">
        <f t="array" ref="Q38">IFERROR((SUMPRODUCT((economics!$AG$2:$AG$167=$B38)*(economics!$D$2:$D$167="process")*economics!$AH$2:$AH$167*(_xlfn.NORM.DIST(Q$3,economics!$AK$2:$AK$167,economics!$AJ$2:$AJ$167,TRUE)-_xlfn.NORM.DIST(Q$30,economics!$AK$2:$AK$167,economics!$AJ$2:$AJ$167,TRUE))*economics!$AM$2:$AM$167))/(SUMPRODUCT((economics!$AG$2:$AG$167=$B38)*(economics!$D$2:$D$167="process")*economics!$AH$2:$AH$167*(_xlfn.NORM.DIST(Q$3,economics!$AK$2:$AK$167,economics!$AJ$2:$AJ$167,TRUE)-_xlfn.NORM.DIST(Q$30,economics!$AK$2:$AK$167,economics!$AJ$2:$AJ$167,TRUE)))),"")</f>
        <v/>
      </c>
      <c r="R38">
        <f t="array" ref="R38">IFERROR((SUMPRODUCT((economics!$AG$2:$AG$167=$B38)*(economics!$D$2:$D$167="process")*economics!$AH$2:$AH$167*(_xlfn.NORM.DIST(R$3,economics!$AK$2:$AK$167,economics!$AJ$2:$AJ$167,TRUE)-_xlfn.NORM.DIST(R$30,economics!$AK$2:$AK$167,economics!$AJ$2:$AJ$167,TRUE))*economics!$AM$2:$AM$167))/(SUMPRODUCT((economics!$AG$2:$AG$167=$B38)*(economics!$D$2:$D$167="process")*economics!$AH$2:$AH$167*(_xlfn.NORM.DIST(R$3,economics!$AK$2:$AK$167,economics!$AJ$2:$AJ$167,TRUE)-_xlfn.NORM.DIST(R$30,economics!$AK$2:$AK$167,economics!$AJ$2:$AJ$167,TRUE)))),"")</f>
        <v/>
      </c>
      <c r="S38">
        <f t="array" ref="S38">IFERROR((SUMPRODUCT((economics!$AG$2:$AG$167=$B38)*(economics!$D$2:$D$167="process")*economics!$AH$2:$AH$167*(_xlfn.NORM.DIST(S$3,economics!$AK$2:$AK$167,economics!$AJ$2:$AJ$167,TRUE)-_xlfn.NORM.DIST(S$30,economics!$AK$2:$AK$167,economics!$AJ$2:$AJ$167,TRUE))*economics!$AM$2:$AM$167))/(SUMPRODUCT((economics!$AG$2:$AG$167=$B38)*(economics!$D$2:$D$167="process")*economics!$AH$2:$AH$167*(_xlfn.NORM.DIST(S$3,economics!$AK$2:$AK$167,economics!$AJ$2:$AJ$167,TRUE)-_xlfn.NORM.DIST(S$30,economics!$AK$2:$AK$167,economics!$AJ$2:$AJ$167,TRUE)))),"")</f>
        <v/>
      </c>
      <c r="T38">
        <f t="array" ref="T38">IFERROR((SUMPRODUCT((economics!$AG$2:$AG$167=$B38)*(economics!$D$2:$D$167="process")*economics!$AH$2:$AH$167*(_xlfn.NORM.DIST(T$3,economics!$AK$2:$AK$167,economics!$AJ$2:$AJ$167,TRUE)-_xlfn.NORM.DIST(T$30,economics!$AK$2:$AK$167,economics!$AJ$2:$AJ$167,TRUE))*economics!$AM$2:$AM$167))/(SUMPRODUCT((economics!$AG$2:$AG$167=$B38)*(economics!$D$2:$D$167="process")*economics!$AH$2:$AH$167*(_xlfn.NORM.DIST(T$3,economics!$AK$2:$AK$167,economics!$AJ$2:$AJ$167,TRUE)-_xlfn.NORM.DIST(T$30,economics!$AK$2:$AK$167,economics!$AJ$2:$AJ$167,TRUE)))),"")</f>
        <v/>
      </c>
      <c r="U38">
        <f t="array" ref="U38">IFERROR((SUMPRODUCT((economics!$AG$2:$AG$167=$B38)*(economics!$D$2:$D$167="process")*economics!$AH$2:$AH$167*(_xlfn.NORM.DIST(U$3,economics!$AK$2:$AK$167,economics!$AJ$2:$AJ$167,TRUE)-_xlfn.NORM.DIST(U$30,economics!$AK$2:$AK$167,economics!$AJ$2:$AJ$167,TRUE))*economics!$AM$2:$AM$167))/(SUMPRODUCT((economics!$AG$2:$AG$167=$B38)*(economics!$D$2:$D$167="process")*economics!$AH$2:$AH$167*(_xlfn.NORM.DIST(U$3,economics!$AK$2:$AK$167,economics!$AJ$2:$AJ$167,TRUE)-_xlfn.NORM.DIST(U$30,economics!$AK$2:$AK$167,economics!$AJ$2:$AJ$167,TRUE)))),"")</f>
        <v/>
      </c>
      <c r="V38">
        <f t="array" ref="V38">IFERROR((SUMPRODUCT((economics!$AG$2:$AG$167=$B38)*(economics!$D$2:$D$167="process")*economics!$AH$2:$AH$167*(_xlfn.NORM.DIST(V$3,economics!$AK$2:$AK$167,economics!$AJ$2:$AJ$167,TRUE)-_xlfn.NORM.DIST(V$30,economics!$AK$2:$AK$167,economics!$AJ$2:$AJ$167,TRUE))*economics!$AM$2:$AM$167))/(SUMPRODUCT((economics!$AG$2:$AG$167=$B38)*(economics!$D$2:$D$167="process")*economics!$AH$2:$AH$167*(_xlfn.NORM.DIST(V$3,economics!$AK$2:$AK$167,economics!$AJ$2:$AJ$167,TRUE)-_xlfn.NORM.DIST(V$30,economics!$AK$2:$AK$167,economics!$AJ$2:$AJ$167,TRUE)))),"")</f>
        <v/>
      </c>
      <c r="W38">
        <f t="array" ref="W38">IFERROR((SUMPRODUCT((economics!$AG$2:$AG$167=$B38)*(economics!$D$2:$D$167="process")*economics!$AH$2:$AH$167*(_xlfn.NORM.DIST(W$3,economics!$AK$2:$AK$167,economics!$AJ$2:$AJ$167,TRUE)-_xlfn.NORM.DIST(W$30,economics!$AK$2:$AK$167,economics!$AJ$2:$AJ$167,TRUE))*economics!$AM$2:$AM$167))/(SUMPRODUCT((economics!$AG$2:$AG$167=$B38)*(economics!$D$2:$D$167="process")*economics!$AH$2:$AH$167*(_xlfn.NORM.DIST(W$3,economics!$AK$2:$AK$167,economics!$AJ$2:$AJ$167,TRUE)-_xlfn.NORM.DIST(W$30,economics!$AK$2:$AK$167,economics!$AJ$2:$AJ$167,TRUE)))),"")</f>
        <v/>
      </c>
      <c r="X38">
        <f t="array" ref="X38">IFERROR((SUMPRODUCT((economics!$AG$2:$AG$167=$B38)*(economics!$D$2:$D$167="process")*economics!$AH$2:$AH$167*(_xlfn.NORM.DIST(X$3,economics!$AK$2:$AK$167,economics!$AJ$2:$AJ$167,TRUE)-_xlfn.NORM.DIST(X$30,economics!$AK$2:$AK$167,economics!$AJ$2:$AJ$167,TRUE))*economics!$AM$2:$AM$167))/(SUMPRODUCT((economics!$AG$2:$AG$167=$B38)*(economics!$D$2:$D$167="process")*economics!$AH$2:$AH$167*(_xlfn.NORM.DIST(X$3,economics!$AK$2:$AK$167,economics!$AJ$2:$AJ$167,TRUE)-_xlfn.NORM.DIST(X$30,economics!$AK$2:$AK$167,economics!$AJ$2:$AJ$167,TRUE)))),"")</f>
        <v/>
      </c>
      <c r="Y38">
        <f t="array" ref="Y38">IFERROR((SUMPRODUCT((economics!$AG$2:$AG$167=$B38)*(economics!$D$2:$D$167="process")*economics!$AH$2:$AH$167*(_xlfn.NORM.DIST(Y$3,economics!$AK$2:$AK$167,economics!$AJ$2:$AJ$167,TRUE)-_xlfn.NORM.DIST(Y$30,economics!$AK$2:$AK$167,economics!$AJ$2:$AJ$167,TRUE))*economics!$AM$2:$AM$167))/(SUMPRODUCT((economics!$AG$2:$AG$167=$B38)*(economics!$D$2:$D$167="process")*economics!$AH$2:$AH$167*(_xlfn.NORM.DIST(Y$3,economics!$AK$2:$AK$167,economics!$AJ$2:$AJ$167,TRUE)-_xlfn.NORM.DIST(Y$30,economics!$AK$2:$AK$167,economics!$AJ$2:$AJ$167,TRUE)))),"")</f>
        <v/>
      </c>
      <c r="Z38">
        <f t="array" ref="Z38">IFERROR((SUMPRODUCT((economics!$AG$2:$AG$167=$B38)*(economics!$D$2:$D$167="process")*economics!$AH$2:$AH$167*(_xlfn.NORM.DIST(Z$3,economics!$AK$2:$AK$167,economics!$AJ$2:$AJ$167,TRUE)-_xlfn.NORM.DIST(Z$30,economics!$AK$2:$AK$167,economics!$AJ$2:$AJ$167,TRUE))*economics!$AM$2:$AM$167))/(SUMPRODUCT((economics!$AG$2:$AG$167=$B38)*(economics!$D$2:$D$167="process")*economics!$AH$2:$AH$167*(_xlfn.NORM.DIST(Z$3,economics!$AK$2:$AK$167,economics!$AJ$2:$AJ$167,TRUE)-_xlfn.NORM.DIST(Z$30,economics!$AK$2:$AK$167,economics!$AJ$2:$AJ$167,TRUE)))),"")</f>
        <v/>
      </c>
      <c r="AA38">
        <f t="array" ref="AA38">IFERROR((SUMPRODUCT((economics!$AG$2:$AG$167=$B38)*(economics!$D$2:$D$167="process")*economics!$AH$2:$AH$167*(_xlfn.NORM.DIST(AA$3,economics!$AK$2:$AK$167,economics!$AJ$2:$AJ$167,TRUE)-_xlfn.NORM.DIST(AA$30,economics!$AK$2:$AK$167,economics!$AJ$2:$AJ$167,TRUE))*economics!$AM$2:$AM$167))/(SUMPRODUCT((economics!$AG$2:$AG$167=$B38)*(economics!$D$2:$D$167="process")*economics!$AH$2:$AH$167*(_xlfn.NORM.DIST(AA$3,economics!$AK$2:$AK$167,economics!$AJ$2:$AJ$167,TRUE)-_xlfn.NORM.DIST(AA$30,economics!$AK$2:$AK$167,economics!$AJ$2:$AJ$167,TRUE)))),"")</f>
        <v/>
      </c>
      <c r="AB38">
        <f t="array" ref="AB38">IFERROR((SUMPRODUCT((economics!$AG$2:$AG$167=$B38)*(economics!$D$2:$D$167="process")*economics!$AH$2:$AH$167*(_xlfn.NORM.DIST(AB$3,economics!$AK$2:$AK$167,economics!$AJ$2:$AJ$167,TRUE)-_xlfn.NORM.DIST(AB$30,economics!$AK$2:$AK$167,economics!$AJ$2:$AJ$167,TRUE))*economics!$AM$2:$AM$167))/(SUMPRODUCT((economics!$AG$2:$AG$167=$B38)*(economics!$D$2:$D$167="process")*economics!$AH$2:$AH$167*(_xlfn.NORM.DIST(AB$3,economics!$AK$2:$AK$167,economics!$AJ$2:$AJ$167,TRUE)-_xlfn.NORM.DIST(AB$30,economics!$AK$2:$AK$167,economics!$AJ$2:$AJ$167,TRUE)))),"")</f>
        <v/>
      </c>
      <c r="AC38">
        <f t="array" ref="AC38">IFERROR((SUMPRODUCT((economics!$AG$2:$AG$167=$B38)*(economics!$D$2:$D$167="process")*economics!$AH$2:$AH$167*(_xlfn.NORM.DIST(AC$3,economics!$AK$2:$AK$167,economics!$AJ$2:$AJ$167,TRUE)-_xlfn.NORM.DIST(AC$30,economics!$AK$2:$AK$167,economics!$AJ$2:$AJ$167,TRUE))*economics!$AM$2:$AM$167))/(SUMPRODUCT((economics!$AG$2:$AG$167=$B38)*(economics!$D$2:$D$167="process")*economics!$AH$2:$AH$167*(_xlfn.NORM.DIST(AC$3,economics!$AK$2:$AK$167,economics!$AJ$2:$AJ$167,TRUE)-_xlfn.NORM.DIST(AC$30,economics!$AK$2:$AK$167,economics!$AJ$2:$AJ$167,TRUE)))),"")</f>
        <v/>
      </c>
      <c r="AD38">
        <f t="array" ref="AD38">IFERROR((SUMPRODUCT((economics!$AG$2:$AG$167=$B38)*(economics!$D$2:$D$167="process")*economics!$AH$2:$AH$167*(_xlfn.NORM.DIST(AD$3,economics!$AK$2:$AK$167,economics!$AJ$2:$AJ$167,TRUE)-_xlfn.NORM.DIST(AD$30,economics!$AK$2:$AK$167,economics!$AJ$2:$AJ$167,TRUE))*economics!$AM$2:$AM$167))/(SUMPRODUCT((economics!$AG$2:$AG$167=$B38)*(economics!$D$2:$D$167="process")*economics!$AH$2:$AH$167*(_xlfn.NORM.DIST(AD$3,economics!$AK$2:$AK$167,economics!$AJ$2:$AJ$167,TRUE)-_xlfn.NORM.DIST(AD$30,economics!$AK$2:$AK$167,economics!$AJ$2:$AJ$167,TRUE)))),"")</f>
        <v/>
      </c>
      <c r="AE38">
        <f t="array" ref="AE38">IFERROR((SUMPRODUCT((economics!$AG$2:$AG$167=$B38)*(economics!$D$2:$D$167="process")*economics!$AH$2:$AH$167*(_xlfn.NORM.DIST(AE$3,economics!$AK$2:$AK$167,economics!$AJ$2:$AJ$167,TRUE)-_xlfn.NORM.DIST(AE$30,economics!$AK$2:$AK$167,economics!$AJ$2:$AJ$167,TRUE))*economics!$AM$2:$AM$167))/(SUMPRODUCT((economics!$AG$2:$AG$167=$B38)*(economics!$D$2:$D$167="process")*economics!$AH$2:$AH$167*(_xlfn.NORM.DIST(AE$3,economics!$AK$2:$AK$167,economics!$AJ$2:$AJ$167,TRUE)-_xlfn.NORM.DIST(AE$30,economics!$AK$2:$AK$167,economics!$AJ$2:$AJ$167,TRUE)))),"")</f>
        <v/>
      </c>
      <c r="AF38">
        <f t="array" ref="AF38">IFERROR((SUMPRODUCT((economics!$AG$2:$AG$167=$B38)*(economics!$D$2:$D$167="process")*economics!$AH$2:$AH$167*(_xlfn.NORM.DIST(AF$3,economics!$AK$2:$AK$167,economics!$AJ$2:$AJ$167,TRUE)-_xlfn.NORM.DIST(AF$30,economics!$AK$2:$AK$167,economics!$AJ$2:$AJ$167,TRUE))*economics!$AM$2:$AM$167))/(SUMPRODUCT((economics!$AG$2:$AG$167=$B38)*(economics!$D$2:$D$167="process")*economics!$AH$2:$AH$167*(_xlfn.NORM.DIST(AF$3,economics!$AK$2:$AK$167,economics!$AJ$2:$AJ$167,TRUE)-_xlfn.NORM.DIST(AF$30,economics!$AK$2:$AK$167,economics!$AJ$2:$AJ$167,TRUE)))),"")</f>
        <v/>
      </c>
      <c r="AG38">
        <f t="array" ref="AG38">IFERROR((SUMPRODUCT((economics!$AG$2:$AG$167=$B38)*(economics!$D$2:$D$167="process")*economics!$AH$2:$AH$167*(_xlfn.NORM.DIST(AG$3,economics!$AK$2:$AK$167,economics!$AJ$2:$AJ$167,TRUE)-_xlfn.NORM.DIST(AG$30,economics!$AK$2:$AK$167,economics!$AJ$2:$AJ$167,TRUE))*economics!$AM$2:$AM$167))/(SUMPRODUCT((economics!$AG$2:$AG$167=$B38)*(economics!$D$2:$D$167="process")*economics!$AH$2:$AH$167*(_xlfn.NORM.DIST(AG$3,economics!$AK$2:$AK$167,economics!$AJ$2:$AJ$167,TRUE)-_xlfn.NORM.DIST(AG$30,economics!$AK$2:$AK$167,economics!$AJ$2:$AJ$167,TRUE)))),"")</f>
        <v/>
      </c>
      <c r="AH38">
        <f t="array" ref="AH38">IFERROR((SUMPRODUCT((economics!$AG$2:$AG$167=$B38)*(economics!$D$2:$D$167="process")*economics!$AH$2:$AH$167*(_xlfn.NORM.DIST(AH$3,economics!$AK$2:$AK$167,economics!$AJ$2:$AJ$167,TRUE)-_xlfn.NORM.DIST(AH$30,economics!$AK$2:$AK$167,economics!$AJ$2:$AJ$167,TRUE))*economics!$AM$2:$AM$167))/(SUMPRODUCT((economics!$AG$2:$AG$167=$B38)*(economics!$D$2:$D$167="process")*economics!$AH$2:$AH$167*(_xlfn.NORM.DIST(AH$3,economics!$AK$2:$AK$167,economics!$AJ$2:$AJ$167,TRUE)-_xlfn.NORM.DIST(AH$30,economics!$AK$2:$AK$167,economics!$AJ$2:$AJ$167,TRUE)))),"")</f>
        <v/>
      </c>
      <c r="AI38">
        <f t="array" ref="AI38">IFERROR((SUMPRODUCT((economics!$AG$2:$AG$167=$B38)*(economics!$D$2:$D$167="process")*economics!$AH$2:$AH$167*(_xlfn.NORM.DIST(AI$3,economics!$AK$2:$AK$167,economics!$AJ$2:$AJ$167,TRUE)-_xlfn.NORM.DIST(AI$30,economics!$AK$2:$AK$167,economics!$AJ$2:$AJ$167,TRUE))*economics!$AM$2:$AM$167))/(SUMPRODUCT((economics!$AG$2:$AG$167=$B38)*(economics!$D$2:$D$167="process")*economics!$AH$2:$AH$167*(_xlfn.NORM.DIST(AI$3,economics!$AK$2:$AK$167,economics!$AJ$2:$AJ$167,TRUE)-_xlfn.NORM.DIST(AI$30,economics!$AK$2:$AK$167,economics!$AJ$2:$AJ$167,TRUE)))),"")</f>
        <v/>
      </c>
      <c r="AJ38">
        <f t="array" ref="AJ38">IFERROR((SUMPRODUCT((economics!$AG$2:$AG$167=$B38)*(economics!$D$2:$D$167="process")*economics!$AH$2:$AH$167*(_xlfn.NORM.DIST(AJ$3,economics!$AK$2:$AK$167,economics!$AJ$2:$AJ$167,TRUE)-_xlfn.NORM.DIST(AJ$30,economics!$AK$2:$AK$167,economics!$AJ$2:$AJ$167,TRUE))*economics!$AM$2:$AM$167))/(SUMPRODUCT((economics!$AG$2:$AG$167=$B38)*(economics!$D$2:$D$167="process")*economics!$AH$2:$AH$167*(_xlfn.NORM.DIST(AJ$3,economics!$AK$2:$AK$167,economics!$AJ$2:$AJ$167,TRUE)-_xlfn.NORM.DIST(AJ$30,economics!$AK$2:$AK$167,economics!$AJ$2:$AJ$167,TRUE)))),"")</f>
        <v/>
      </c>
      <c r="AK38">
        <f t="array" ref="AK38">IFERROR((SUMPRODUCT((economics!$AG$2:$AG$167=$B38)*(economics!$D$2:$D$167="process")*economics!$AH$2:$AH$167*(_xlfn.NORM.DIST(AK$3,economics!$AK$2:$AK$167,economics!$AJ$2:$AJ$167,TRUE)-_xlfn.NORM.DIST(AK$30,economics!$AK$2:$AK$167,economics!$AJ$2:$AJ$167,TRUE))*economics!$AM$2:$AM$167))/(SUMPRODUCT((economics!$AG$2:$AG$167=$B38)*(economics!$D$2:$D$167="process")*economics!$AH$2:$AH$167*(_xlfn.NORM.DIST(AK$3,economics!$AK$2:$AK$167,economics!$AJ$2:$AJ$167,TRUE)-_xlfn.NORM.DIST(AK$30,economics!$AK$2:$AK$167,economics!$AJ$2:$AJ$167,TRUE)))),"")</f>
        <v/>
      </c>
      <c r="AL38">
        <f t="array" ref="AL38">IFERROR((SUMPRODUCT((economics!$AG$2:$AG$167=$B38)*(economics!$D$2:$D$167="process")*economics!$AH$2:$AH$167*(_xlfn.NORM.DIST(AL$3,economics!$AK$2:$AK$167,economics!$AJ$2:$AJ$167,TRUE)-_xlfn.NORM.DIST(AL$30,economics!$AK$2:$AK$167,economics!$AJ$2:$AJ$167,TRUE))*economics!$AM$2:$AM$167))/(SUMPRODUCT((economics!$AG$2:$AG$167=$B38)*(economics!$D$2:$D$167="process")*economics!$AH$2:$AH$167*(_xlfn.NORM.DIST(AL$3,economics!$AK$2:$AK$167,economics!$AJ$2:$AJ$167,TRUE)-_xlfn.NORM.DIST(AL$30,economics!$AK$2:$AK$167,economics!$AJ$2:$AJ$167,TRUE)))),"")</f>
        <v/>
      </c>
      <c r="AM38">
        <f t="array" ref="AM38">IFERROR((SUMPRODUCT((economics!$AG$2:$AG$167=$B38)*(economics!$D$2:$D$167="process")*economics!$AH$2:$AH$167*(_xlfn.NORM.DIST(AM$3,economics!$AK$2:$AK$167,economics!$AJ$2:$AJ$167,TRUE)-_xlfn.NORM.DIST(AM$30,economics!$AK$2:$AK$167,economics!$AJ$2:$AJ$167,TRUE))*economics!$AM$2:$AM$167))/(SUMPRODUCT((economics!$AG$2:$AG$167=$B38)*(economics!$D$2:$D$167="process")*economics!$AH$2:$AH$167*(_xlfn.NORM.DIST(AM$3,economics!$AK$2:$AK$167,economics!$AJ$2:$AJ$167,TRUE)-_xlfn.NORM.DIST(AM$30,economics!$AK$2:$AK$167,economics!$AJ$2:$AJ$167,TRUE)))),"")</f>
        <v/>
      </c>
      <c r="AN38">
        <f t="array" ref="AN38">IFERROR((SUMPRODUCT((economics!$AG$2:$AG$167=$B38)*(economics!$D$2:$D$167="process")*economics!$AH$2:$AH$167*(_xlfn.NORM.DIST(AN$3,economics!$AK$2:$AK$167,economics!$AJ$2:$AJ$167,TRUE)-_xlfn.NORM.DIST(AN$30,economics!$AK$2:$AK$167,economics!$AJ$2:$AJ$167,TRUE))*economics!$AM$2:$AM$167))/(SUMPRODUCT((economics!$AG$2:$AG$167=$B38)*(economics!$D$2:$D$167="process")*economics!$AH$2:$AH$167*(_xlfn.NORM.DIST(AN$3,economics!$AK$2:$AK$167,economics!$AJ$2:$AJ$167,TRUE)-_xlfn.NORM.DIST(AN$30,economics!$AK$2:$AK$167,economics!$AJ$2:$AJ$167,TRUE)))),"")</f>
        <v/>
      </c>
      <c r="AO38">
        <f t="array" ref="AO38">IFERROR((SUMPRODUCT((economics!$AG$2:$AG$167=$B38)*(economics!$D$2:$D$167="process")*economics!$AH$2:$AH$167*(_xlfn.NORM.DIST(AO$3,economics!$AK$2:$AK$167,economics!$AJ$2:$AJ$167,TRUE)-_xlfn.NORM.DIST(AO$30,economics!$AK$2:$AK$167,economics!$AJ$2:$AJ$167,TRUE))*economics!$AM$2:$AM$167))/(SUMPRODUCT((economics!$AG$2:$AG$167=$B38)*(economics!$D$2:$D$167="process")*economics!$AH$2:$AH$167*(_xlfn.NORM.DIST(AO$3,economics!$AK$2:$AK$167,economics!$AJ$2:$AJ$167,TRUE)-_xlfn.NORM.DIST(AO$30,economics!$AK$2:$AK$167,economics!$AJ$2:$AJ$167,TRUE)))),"")</f>
        <v/>
      </c>
      <c r="AP38">
        <f t="array" ref="AP38">IFERROR((SUMPRODUCT((economics!$AG$2:$AG$167=$B38)*(economics!$D$2:$D$167="process")*economics!$AH$2:$AH$167*(_xlfn.NORM.DIST(AP$3,economics!$AK$2:$AK$167,economics!$AJ$2:$AJ$167,TRUE)-_xlfn.NORM.DIST(AP$30,economics!$AK$2:$AK$167,economics!$AJ$2:$AJ$167,TRUE))*economics!$AM$2:$AM$167))/(SUMPRODUCT((economics!$AG$2:$AG$167=$B38)*(economics!$D$2:$D$167="process")*economics!$AH$2:$AH$167*(_xlfn.NORM.DIST(AP$3,economics!$AK$2:$AK$167,economics!$AJ$2:$AJ$167,TRUE)-_xlfn.NORM.DIST(AP$30,economics!$AK$2:$AK$167,economics!$AJ$2:$AJ$167,TRUE)))),"")</f>
        <v/>
      </c>
      <c r="AQ38">
        <f t="array" ref="AQ38">IFERROR((SUMPRODUCT((economics!$AG$2:$AG$167=$B38)*(economics!$D$2:$D$167="process")*economics!$AH$2:$AH$167*(_xlfn.NORM.DIST(AQ$3,economics!$AK$2:$AK$167,economics!$AJ$2:$AJ$167,TRUE)-_xlfn.NORM.DIST(AQ$30,economics!$AK$2:$AK$167,economics!$AJ$2:$AJ$167,TRUE))*economics!$AM$2:$AM$167))/(SUMPRODUCT((economics!$AG$2:$AG$167=$B38)*(economics!$D$2:$D$167="process")*economics!$AH$2:$AH$167*(_xlfn.NORM.DIST(AQ$3,economics!$AK$2:$AK$167,economics!$AJ$2:$AJ$167,TRUE)-_xlfn.NORM.DIST(AQ$30,economics!$AK$2:$AK$167,economics!$AJ$2:$AJ$167,TRUE)))),"")</f>
        <v/>
      </c>
      <c r="AR38">
        <f t="array" ref="AR38">IFERROR((SUMPRODUCT((economics!$AG$2:$AG$167=$B38)*(economics!$D$2:$D$167="process")*economics!$AH$2:$AH$167*(_xlfn.NORM.DIST(AR$3,economics!$AK$2:$AK$167,economics!$AJ$2:$AJ$167,TRUE)-_xlfn.NORM.DIST(AR$30,economics!$AK$2:$AK$167,economics!$AJ$2:$AJ$167,TRUE))*economics!$AM$2:$AM$167))/(SUMPRODUCT((economics!$AG$2:$AG$167=$B38)*(economics!$D$2:$D$167="process")*economics!$AH$2:$AH$167*(_xlfn.NORM.DIST(AR$3,economics!$AK$2:$AK$167,economics!$AJ$2:$AJ$167,TRUE)-_xlfn.NORM.DIST(AR$30,economics!$AK$2:$AK$167,economics!$AJ$2:$AJ$167,TRUE)))),"")</f>
        <v/>
      </c>
      <c r="AS38">
        <f t="array" ref="AS38">IFERROR((SUMPRODUCT((economics!$AG$2:$AG$167=$B38)*(economics!$D$2:$D$167="process")*economics!$AH$2:$AH$167*(_xlfn.NORM.DIST(AS$3,economics!$AK$2:$AK$167,economics!$AJ$2:$AJ$167,TRUE)-_xlfn.NORM.DIST(AS$30,economics!$AK$2:$AK$167,economics!$AJ$2:$AJ$167,TRUE))*economics!$AM$2:$AM$167))/(SUMPRODUCT((economics!$AG$2:$AG$167=$B38)*(economics!$D$2:$D$167="process")*economics!$AH$2:$AH$167*(_xlfn.NORM.DIST(AS$3,economics!$AK$2:$AK$167,economics!$AJ$2:$AJ$167,TRUE)-_xlfn.NORM.DIST(AS$30,economics!$AK$2:$AK$167,economics!$AJ$2:$AJ$167,TRUE)))),"")</f>
        <v/>
      </c>
      <c r="AT38">
        <f t="array" ref="AT38">IFERROR((SUMPRODUCT((economics!$AG$2:$AG$167=$B38)*(economics!$D$2:$D$167="process")*economics!$AH$2:$AH$167*(_xlfn.NORM.DIST(AT$3,economics!$AK$2:$AK$167,economics!$AJ$2:$AJ$167,TRUE)-_xlfn.NORM.DIST(AT$30,economics!$AK$2:$AK$167,economics!$AJ$2:$AJ$167,TRUE))*economics!$AM$2:$AM$167))/(SUMPRODUCT((economics!$AG$2:$AG$167=$B38)*(economics!$D$2:$D$167="process")*economics!$AH$2:$AH$167*(_xlfn.NORM.DIST(AT$3,economics!$AK$2:$AK$167,economics!$AJ$2:$AJ$167,TRUE)-_xlfn.NORM.DIST(AT$30,economics!$AK$2:$AK$167,economics!$AJ$2:$AJ$167,TRUE)))),"")</f>
        <v/>
      </c>
      <c r="AU38">
        <f t="array" ref="AU38">IFERROR((SUMPRODUCT((economics!$AG$2:$AG$167=$B38)*(economics!$D$2:$D$167="process")*economics!$AH$2:$AH$167*(_xlfn.NORM.DIST(AU$3,economics!$AK$2:$AK$167,economics!$AJ$2:$AJ$167,TRUE)-_xlfn.NORM.DIST(AU$30,economics!$AK$2:$AK$167,economics!$AJ$2:$AJ$167,TRUE))*economics!$AM$2:$AM$167))/(SUMPRODUCT((economics!$AG$2:$AG$167=$B38)*(economics!$D$2:$D$167="process")*economics!$AH$2:$AH$167*(_xlfn.NORM.DIST(AU$3,economics!$AK$2:$AK$167,economics!$AJ$2:$AJ$167,TRUE)-_xlfn.NORM.DIST(AU$30,economics!$AK$2:$AK$167,economics!$AJ$2:$AJ$167,TRUE)))),"")</f>
        <v/>
      </c>
      <c r="AV38">
        <f t="array" ref="AV38">IFERROR((SUMPRODUCT((economics!$AG$2:$AG$167=$B38)*(economics!$D$2:$D$167="process")*economics!$AH$2:$AH$167*(_xlfn.NORM.DIST(AV$3,economics!$AK$2:$AK$167,economics!$AJ$2:$AJ$167,TRUE)-_xlfn.NORM.DIST(AV$30,economics!$AK$2:$AK$167,economics!$AJ$2:$AJ$167,TRUE))*economics!$AM$2:$AM$167))/(SUMPRODUCT((economics!$AG$2:$AG$167=$B38)*(economics!$D$2:$D$167="process")*economics!$AH$2:$AH$167*(_xlfn.NORM.DIST(AV$3,economics!$AK$2:$AK$167,economics!$AJ$2:$AJ$167,TRUE)-_xlfn.NORM.DIST(AV$30,economics!$AK$2:$AK$167,economics!$AJ$2:$AJ$167,TRUE)))),"")</f>
        <v/>
      </c>
      <c r="AW38">
        <f t="array" ref="AW38">IFERROR((SUMPRODUCT((economics!$AG$2:$AG$167=$B38)*(economics!$D$2:$D$167="process")*economics!$AH$2:$AH$167*(_xlfn.NORM.DIST(AW$3,economics!$AK$2:$AK$167,economics!$AJ$2:$AJ$167,TRUE)-_xlfn.NORM.DIST(AW$30,economics!$AK$2:$AK$167,economics!$AJ$2:$AJ$167,TRUE))*economics!$AM$2:$AM$167))/(SUMPRODUCT((economics!$AG$2:$AG$167=$B38)*(economics!$D$2:$D$167="process")*economics!$AH$2:$AH$167*(_xlfn.NORM.DIST(AW$3,economics!$AK$2:$AK$167,economics!$AJ$2:$AJ$167,TRUE)-_xlfn.NORM.DIST(AW$30,economics!$AK$2:$AK$167,economics!$AJ$2:$AJ$167,TRUE)))),"")</f>
        <v/>
      </c>
      <c r="AX38">
        <f t="array" ref="AX38">IFERROR((SUMPRODUCT((economics!$AG$2:$AG$167=$B38)*(economics!$D$2:$D$167="process")*economics!$AH$2:$AH$167*(_xlfn.NORM.DIST(AX$3,economics!$AK$2:$AK$167,economics!$AJ$2:$AJ$167,TRUE)-_xlfn.NORM.DIST(AX$30,economics!$AK$2:$AK$167,economics!$AJ$2:$AJ$167,TRUE))*economics!$AM$2:$AM$167))/(SUMPRODUCT((economics!$AG$2:$AG$167=$B38)*(economics!$D$2:$D$167="process")*economics!$AH$2:$AH$167*(_xlfn.NORM.DIST(AX$3,economics!$AK$2:$AK$167,economics!$AJ$2:$AJ$167,TRUE)-_xlfn.NORM.DIST(AX$30,economics!$AK$2:$AK$167,economics!$AJ$2:$AJ$167,TRUE)))),"")</f>
        <v/>
      </c>
      <c r="AY38">
        <f t="array" ref="AY38">IFERROR((SUMPRODUCT((economics!$AG$2:$AG$167=$B38)*(economics!$D$2:$D$167="process")*economics!$AH$2:$AH$167*(_xlfn.NORM.DIST(AY$3,economics!$AK$2:$AK$167,economics!$AJ$2:$AJ$167,TRUE)-_xlfn.NORM.DIST(AY$30,economics!$AK$2:$AK$167,economics!$AJ$2:$AJ$167,TRUE))*economics!$AM$2:$AM$167))/(SUMPRODUCT((economics!$AG$2:$AG$167=$B38)*(economics!$D$2:$D$167="process")*economics!$AH$2:$AH$167*(_xlfn.NORM.DIST(AY$3,economics!$AK$2:$AK$167,economics!$AJ$2:$AJ$167,TRUE)-_xlfn.NORM.DIST(AY$30,economics!$AK$2:$AK$167,economics!$AJ$2:$AJ$167,TRUE)))),"")</f>
        <v/>
      </c>
      <c r="AZ38">
        <f t="array" ref="AZ38">IFERROR((SUMPRODUCT((economics!$AG$2:$AG$167=$B38)*(economics!$D$2:$D$167="process")*economics!$AH$2:$AH$167*(_xlfn.NORM.DIST(AZ$3,economics!$AK$2:$AK$167,economics!$AJ$2:$AJ$167,TRUE)-_xlfn.NORM.DIST(AZ$30,economics!$AK$2:$AK$167,economics!$AJ$2:$AJ$167,TRUE))*economics!$AM$2:$AM$167))/(SUMPRODUCT((economics!$AG$2:$AG$167=$B38)*(economics!$D$2:$D$167="process")*economics!$AH$2:$AH$167*(_xlfn.NORM.DIST(AZ$3,economics!$AK$2:$AK$167,economics!$AJ$2:$AJ$167,TRUE)-_xlfn.NORM.DIST(AZ$30,economics!$AK$2:$AK$167,economics!$AJ$2:$AJ$167,TRUE)))),"")</f>
        <v/>
      </c>
      <c r="BA38">
        <f t="array" ref="BA38">IFERROR((SUMPRODUCT((economics!$AG$2:$AG$167=$B38)*(economics!$D$2:$D$167="process")*economics!$AH$2:$AH$167*(_xlfn.NORM.DIST(BA$3,economics!$AK$2:$AK$167,economics!$AJ$2:$AJ$167,TRUE)-_xlfn.NORM.DIST(BA$30,economics!$AK$2:$AK$167,economics!$AJ$2:$AJ$167,TRUE))*economics!$AM$2:$AM$167))/(SUMPRODUCT((economics!$AG$2:$AG$167=$B38)*(economics!$D$2:$D$167="process")*economics!$AH$2:$AH$167*(_xlfn.NORM.DIST(BA$3,economics!$AK$2:$AK$167,economics!$AJ$2:$AJ$167,TRUE)-_xlfn.NORM.DIST(BA$30,economics!$AK$2:$AK$167,economics!$AJ$2:$AJ$167,TRUE)))),"")</f>
        <v/>
      </c>
      <c r="BB38">
        <f t="array" ref="BB38">IFERROR((SUMPRODUCT((economics!$AG$2:$AG$167=$B38)*(economics!$D$2:$D$167="process")*economics!$AH$2:$AH$167*(_xlfn.NORM.DIST(BB$3,economics!$AK$2:$AK$167,economics!$AJ$2:$AJ$167,TRUE)-_xlfn.NORM.DIST(BB$30,economics!$AK$2:$AK$167,economics!$AJ$2:$AJ$167,TRUE))*economics!$AM$2:$AM$167))/(SUMPRODUCT((economics!$AG$2:$AG$167=$B38)*(economics!$D$2:$D$167="process")*economics!$AH$2:$AH$167*(_xlfn.NORM.DIST(BB$3,economics!$AK$2:$AK$167,economics!$AJ$2:$AJ$167,TRUE)-_xlfn.NORM.DIST(BB$30,economics!$AK$2:$AK$167,economics!$AJ$2:$AJ$167,TRUE)))),"")</f>
        <v/>
      </c>
      <c r="BC38">
        <f t="array" ref="BC38">IFERROR((SUMPRODUCT((economics!$AG$2:$AG$167=$B38)*(economics!$D$2:$D$167="process")*economics!$AH$2:$AH$167*(_xlfn.NORM.DIST(BC$3,economics!$AK$2:$AK$167,economics!$AJ$2:$AJ$167,TRUE)-_xlfn.NORM.DIST(BC$30,economics!$AK$2:$AK$167,economics!$AJ$2:$AJ$167,TRUE))*economics!$AM$2:$AM$167))/(SUMPRODUCT((economics!$AG$2:$AG$167=$B38)*(economics!$D$2:$D$167="process")*economics!$AH$2:$AH$167*(_xlfn.NORM.DIST(BC$3,economics!$AK$2:$AK$167,economics!$AJ$2:$AJ$167,TRUE)-_xlfn.NORM.DIST(BC$30,economics!$AK$2:$AK$167,economics!$AJ$2:$AJ$167,TRUE)))),"")</f>
        <v/>
      </c>
      <c r="BD38">
        <f t="array" ref="BD38">IFERROR((SUMPRODUCT((economics!$AG$2:$AG$167=$B38)*(economics!$D$2:$D$167="process")*economics!$AH$2:$AH$167*(_xlfn.NORM.DIST(BD$3,economics!$AK$2:$AK$167,economics!$AJ$2:$AJ$167,TRUE)-_xlfn.NORM.DIST(BD$30,economics!$AK$2:$AK$167,economics!$AJ$2:$AJ$167,TRUE))*economics!$AM$2:$AM$167))/(SUMPRODUCT((economics!$AG$2:$AG$167=$B38)*(economics!$D$2:$D$167="process")*economics!$AH$2:$AH$167*(_xlfn.NORM.DIST(BD$3,economics!$AK$2:$AK$167,economics!$AJ$2:$AJ$167,TRUE)-_xlfn.NORM.DIST(BD$30,economics!$AK$2:$AK$167,economics!$AJ$2:$AJ$167,TRUE)))),"")</f>
        <v/>
      </c>
      <c r="BE38">
        <f t="array" ref="BE38">IFERROR((SUMPRODUCT((economics!$AG$2:$AG$167=$B38)*(economics!$D$2:$D$167="process")*economics!$AH$2:$AH$167*(_xlfn.NORM.DIST(BE$3,economics!$AK$2:$AK$167,economics!$AJ$2:$AJ$167,TRUE)-_xlfn.NORM.DIST(BE$30,economics!$AK$2:$AK$167,economics!$AJ$2:$AJ$167,TRUE))*economics!$AM$2:$AM$167))/(SUMPRODUCT((economics!$AG$2:$AG$167=$B38)*(economics!$D$2:$D$167="process")*economics!$AH$2:$AH$167*(_xlfn.NORM.DIST(BE$3,economics!$AK$2:$AK$167,economics!$AJ$2:$AJ$167,TRUE)-_xlfn.NORM.DIST(BE$30,economics!$AK$2:$AK$167,economics!$AJ$2:$AJ$167,TRUE)))),"")</f>
        <v/>
      </c>
      <c r="BF38">
        <f t="array" ref="BF38">IFERROR((SUMPRODUCT((economics!$AG$2:$AG$167=$B38)*(economics!$D$2:$D$167="process")*economics!$AH$2:$AH$167*(_xlfn.NORM.DIST(BF$3,economics!$AK$2:$AK$167,economics!$AJ$2:$AJ$167,TRUE)-_xlfn.NORM.DIST(BF$30,economics!$AK$2:$AK$167,economics!$AJ$2:$AJ$167,TRUE))*economics!$AM$2:$AM$167))/(SUMPRODUCT((economics!$AG$2:$AG$167=$B38)*(economics!$D$2:$D$167="process")*economics!$AH$2:$AH$167*(_xlfn.NORM.DIST(BF$3,economics!$AK$2:$AK$167,economics!$AJ$2:$AJ$167,TRUE)-_xlfn.NORM.DIST(BF$30,economics!$AK$2:$AK$167,economics!$AJ$2:$AJ$167,TRUE)))),"")</f>
        <v/>
      </c>
      <c r="BG38">
        <f t="array" ref="BG38">IFERROR((SUMPRODUCT((economics!$AG$2:$AG$167=$B38)*(economics!$D$2:$D$167="process")*economics!$AH$2:$AH$167*(_xlfn.NORM.DIST(BG$3,economics!$AK$2:$AK$167,economics!$AJ$2:$AJ$167,TRUE)-_xlfn.NORM.DIST(BG$30,economics!$AK$2:$AK$167,economics!$AJ$2:$AJ$167,TRUE))*economics!$AM$2:$AM$167))/(SUMPRODUCT((economics!$AG$2:$AG$167=$B38)*(economics!$D$2:$D$167="process")*economics!$AH$2:$AH$167*(_xlfn.NORM.DIST(BG$3,economics!$AK$2:$AK$167,economics!$AJ$2:$AJ$167,TRUE)-_xlfn.NORM.DIST(BG$30,economics!$AK$2:$AK$167,economics!$AJ$2:$AJ$167,TRUE)))),"")</f>
        <v/>
      </c>
      <c r="BH38">
        <f t="array" ref="BH38">IFERROR((SUMPRODUCT((economics!$AG$2:$AG$167=$B38)*(economics!$D$2:$D$167="process")*economics!$AH$2:$AH$167*(_xlfn.NORM.DIST(BH$3,economics!$AK$2:$AK$167,economics!$AJ$2:$AJ$167,TRUE)-_xlfn.NORM.DIST(BH$30,economics!$AK$2:$AK$167,economics!$AJ$2:$AJ$167,TRUE))*economics!$AM$2:$AM$167))/(SUMPRODUCT((economics!$AG$2:$AG$167=$B38)*(economics!$D$2:$D$167="process")*economics!$AH$2:$AH$167*(_xlfn.NORM.DIST(BH$3,economics!$AK$2:$AK$167,economics!$AJ$2:$AJ$167,TRUE)-_xlfn.NORM.DIST(BH$30,economics!$AK$2:$AK$167,economics!$AJ$2:$AJ$167,TRUE)))),"")</f>
        <v/>
      </c>
      <c r="BI38">
        <f t="array" ref="BI38">IFERROR((SUMPRODUCT((economics!$AG$2:$AG$167=$B38)*(economics!$D$2:$D$167="process")*economics!$AH$2:$AH$167*(_xlfn.NORM.DIST(BI$3,economics!$AK$2:$AK$167,economics!$AJ$2:$AJ$167,TRUE)-_xlfn.NORM.DIST(BI$30,economics!$AK$2:$AK$167,economics!$AJ$2:$AJ$167,TRUE))*economics!$AM$2:$AM$167))/(SUMPRODUCT((economics!$AG$2:$AG$167=$B38)*(economics!$D$2:$D$167="process")*economics!$AH$2:$AH$167*(_xlfn.NORM.DIST(BI$3,economics!$AK$2:$AK$167,economics!$AJ$2:$AJ$167,TRUE)-_xlfn.NORM.DIST(BI$30,economics!$AK$2:$AK$167,economics!$AJ$2:$AJ$167,TRUE)))),"")</f>
        <v/>
      </c>
      <c r="BJ38">
        <f t="array" ref="BJ38">IFERROR((SUMPRODUCT((economics!$AG$2:$AG$167=$B38)*(economics!$D$2:$D$167="process")*economics!$AH$2:$AH$167*(_xlfn.NORM.DIST(BJ$3,economics!$AK$2:$AK$167,economics!$AJ$2:$AJ$167,TRUE)-_xlfn.NORM.DIST(BJ$30,economics!$AK$2:$AK$167,economics!$AJ$2:$AJ$167,TRUE))*economics!$AM$2:$AM$167))/(SUMPRODUCT((economics!$AG$2:$AG$167=$B38)*(economics!$D$2:$D$167="process")*economics!$AH$2:$AH$167*(_xlfn.NORM.DIST(BJ$3,economics!$AK$2:$AK$167,economics!$AJ$2:$AJ$167,TRUE)-_xlfn.NORM.DIST(BJ$30,economics!$AK$2:$AK$167,economics!$AJ$2:$AJ$167,TRUE)))),"")</f>
        <v/>
      </c>
      <c r="BK38">
        <f t="array" ref="BK38">IFERROR((SUMPRODUCT((economics!$AG$2:$AG$167=$B38)*(economics!$D$2:$D$167="process")*economics!$AH$2:$AH$167*(_xlfn.NORM.DIST(BK$3,economics!$AK$2:$AK$167,economics!$AJ$2:$AJ$167,TRUE)-_xlfn.NORM.DIST(BK$30,economics!$AK$2:$AK$167,economics!$AJ$2:$AJ$167,TRUE))*economics!$AM$2:$AM$167))/(SUMPRODUCT((economics!$AG$2:$AG$167=$B38)*(economics!$D$2:$D$167="process")*economics!$AH$2:$AH$167*(_xlfn.NORM.DIST(BK$3,economics!$AK$2:$AK$167,economics!$AJ$2:$AJ$167,TRUE)-_xlfn.NORM.DIST(BK$30,economics!$AK$2:$AK$167,economics!$AJ$2:$AJ$167,TRUE)))),"")</f>
        <v/>
      </c>
      <c r="BL38">
        <f t="array" ref="BL38">IFERROR((SUMPRODUCT((economics!$AG$2:$AG$167=$B38)*(economics!$D$2:$D$167="process")*economics!$AH$2:$AH$167*(_xlfn.NORM.DIST(BL$3,economics!$AK$2:$AK$167,economics!$AJ$2:$AJ$167,TRUE)-_xlfn.NORM.DIST(BL$30,economics!$AK$2:$AK$167,economics!$AJ$2:$AJ$167,TRUE))*economics!$AM$2:$AM$167))/(SUMPRODUCT((economics!$AG$2:$AG$167=$B38)*(economics!$D$2:$D$167="process")*economics!$AH$2:$AH$167*(_xlfn.NORM.DIST(BL$3,economics!$AK$2:$AK$167,economics!$AJ$2:$AJ$167,TRUE)-_xlfn.NORM.DIST(BL$30,economics!$AK$2:$AK$167,economics!$AJ$2:$AJ$167,TRUE)))),"")</f>
        <v/>
      </c>
      <c r="BM38">
        <f t="array" ref="BM38">IFERROR((SUMPRODUCT((economics!$AG$2:$AG$167=$B38)*(economics!$D$2:$D$167="process")*economics!$AH$2:$AH$167*(_xlfn.NORM.DIST(BM$3,economics!$AK$2:$AK$167,economics!$AJ$2:$AJ$167,TRUE)-_xlfn.NORM.DIST(BM$30,economics!$AK$2:$AK$167,economics!$AJ$2:$AJ$167,TRUE))*economics!$AM$2:$AM$167))/(SUMPRODUCT((economics!$AG$2:$AG$167=$B38)*(economics!$D$2:$D$167="process")*economics!$AH$2:$AH$167*(_xlfn.NORM.DIST(BM$3,economics!$AK$2:$AK$167,economics!$AJ$2:$AJ$167,TRUE)-_xlfn.NORM.DIST(BM$30,economics!$AK$2:$AK$167,economics!$AJ$2:$AJ$167,TRUE)))),"")</f>
        <v/>
      </c>
      <c r="BN38">
        <f t="array" ref="BN38">IFERROR((SUMPRODUCT((economics!$AG$2:$AG$167=$B38)*(economics!$D$2:$D$167="process")*economics!$AH$2:$AH$167*(_xlfn.NORM.DIST(BN$3,economics!$AK$2:$AK$167,economics!$AJ$2:$AJ$167,TRUE)-_xlfn.NORM.DIST(BN$30,economics!$AK$2:$AK$167,economics!$AJ$2:$AJ$167,TRUE))*economics!$AM$2:$AM$167))/(SUMPRODUCT((economics!$AG$2:$AG$167=$B38)*(economics!$D$2:$D$167="process")*economics!$AH$2:$AH$167*(_xlfn.NORM.DIST(BN$3,economics!$AK$2:$AK$167,economics!$AJ$2:$AJ$167,TRUE)-_xlfn.NORM.DIST(BN$30,economics!$AK$2:$AK$167,economics!$AJ$2:$AJ$167,TRUE)))),"")</f>
        <v/>
      </c>
      <c r="BO38">
        <f t="array" ref="BO38">IFERROR((SUMPRODUCT((economics!$AG$2:$AG$167=$B38)*(economics!$D$2:$D$167="process")*economics!$AH$2:$AH$167*(_xlfn.NORM.DIST(BO$3,economics!$AK$2:$AK$167,economics!$AJ$2:$AJ$167,TRUE)-_xlfn.NORM.DIST(BO$30,economics!$AK$2:$AK$167,economics!$AJ$2:$AJ$167,TRUE))*economics!$AM$2:$AM$167))/(SUMPRODUCT((economics!$AG$2:$AG$167=$B38)*(economics!$D$2:$D$167="process")*economics!$AH$2:$AH$167*(_xlfn.NORM.DIST(BO$3,economics!$AK$2:$AK$167,economics!$AJ$2:$AJ$167,TRUE)-_xlfn.NORM.DIST(BO$30,economics!$AK$2:$AK$167,economics!$AJ$2:$AJ$167,TRUE)))),"")</f>
        <v/>
      </c>
      <c r="BP38">
        <f t="array" ref="BP38">IFERROR((SUMPRODUCT((economics!$AG$2:$AG$167=$B38)*(economics!$D$2:$D$167="process")*economics!$AH$2:$AH$167*(_xlfn.NORM.DIST(BP$3,economics!$AK$2:$AK$167,economics!$AJ$2:$AJ$167,TRUE)-_xlfn.NORM.DIST(BP$30,economics!$AK$2:$AK$167,economics!$AJ$2:$AJ$167,TRUE))*economics!$AM$2:$AM$167))/(SUMPRODUCT((economics!$AG$2:$AG$167=$B38)*(economics!$D$2:$D$167="process")*economics!$AH$2:$AH$167*(_xlfn.NORM.DIST(BP$3,economics!$AK$2:$AK$167,economics!$AJ$2:$AJ$167,TRUE)-_xlfn.NORM.DIST(BP$30,economics!$AK$2:$AK$167,economics!$AJ$2:$AJ$167,TRUE)))),"")</f>
        <v/>
      </c>
      <c r="BQ38">
        <f t="array" ref="BQ38">IFERROR((SUMPRODUCT((economics!$AG$2:$AG$167=$B38)*(economics!$D$2:$D$167="process")*economics!$AH$2:$AH$167*(_xlfn.NORM.DIST(BQ$3,economics!$AK$2:$AK$167,economics!$AJ$2:$AJ$167,TRUE)-_xlfn.NORM.DIST(BQ$30,economics!$AK$2:$AK$167,economics!$AJ$2:$AJ$167,TRUE))*economics!$AM$2:$AM$167))/(SUMPRODUCT((economics!$AG$2:$AG$167=$B38)*(economics!$D$2:$D$167="process")*economics!$AH$2:$AH$167*(_xlfn.NORM.DIST(BQ$3,economics!$AK$2:$AK$167,economics!$AJ$2:$AJ$167,TRUE)-_xlfn.NORM.DIST(BQ$30,economics!$AK$2:$AK$167,economics!$AJ$2:$AJ$167,TRUE)))),"")</f>
        <v/>
      </c>
      <c r="BR38">
        <f t="array" ref="BR38">IFERROR((SUMPRODUCT((economics!$AG$2:$AG$167=$B38)*(economics!$D$2:$D$167="process")*economics!$AH$2:$AH$167*(_xlfn.NORM.DIST(BR$3,economics!$AK$2:$AK$167,economics!$AJ$2:$AJ$167,TRUE)-_xlfn.NORM.DIST(BR$30,economics!$AK$2:$AK$167,economics!$AJ$2:$AJ$167,TRUE))*economics!$AM$2:$AM$167))/(SUMPRODUCT((economics!$AG$2:$AG$167=$B38)*(economics!$D$2:$D$167="process")*economics!$AH$2:$AH$167*(_xlfn.NORM.DIST(BR$3,economics!$AK$2:$AK$167,economics!$AJ$2:$AJ$167,TRUE)-_xlfn.NORM.DIST(BR$30,economics!$AK$2:$AK$167,economics!$AJ$2:$AJ$167,TRUE)))),"")</f>
        <v/>
      </c>
      <c r="BS38">
        <f t="array" ref="BS38">IFERROR((SUMPRODUCT((economics!$AG$2:$AG$167=$B38)*(economics!$D$2:$D$167="process")*economics!$AH$2:$AH$167*(_xlfn.NORM.DIST(BS$3,economics!$AK$2:$AK$167,economics!$AJ$2:$AJ$167,TRUE)-_xlfn.NORM.DIST(BS$30,economics!$AK$2:$AK$167,economics!$AJ$2:$AJ$167,TRUE))*economics!$AM$2:$AM$167))/(SUMPRODUCT((economics!$AG$2:$AG$167=$B38)*(economics!$D$2:$D$167="process")*economics!$AH$2:$AH$167*(_xlfn.NORM.DIST(BS$3,economics!$AK$2:$AK$167,economics!$AJ$2:$AJ$167,TRUE)-_xlfn.NORM.DIST(BS$30,economics!$AK$2:$AK$167,economics!$AJ$2:$AJ$167,TRUE)))),"")</f>
        <v/>
      </c>
      <c r="BT38">
        <f t="array" ref="BT38">IFERROR((SUMPRODUCT((economics!$AG$2:$AG$167=$B38)*(economics!$D$2:$D$167="process")*economics!$AH$2:$AH$167*(_xlfn.NORM.DIST(BT$3,economics!$AK$2:$AK$167,economics!$AJ$2:$AJ$167,TRUE)-_xlfn.NORM.DIST(BT$30,economics!$AK$2:$AK$167,economics!$AJ$2:$AJ$167,TRUE))*economics!$AM$2:$AM$167))/(SUMPRODUCT((economics!$AG$2:$AG$167=$B38)*(economics!$D$2:$D$167="process")*economics!$AH$2:$AH$167*(_xlfn.NORM.DIST(BT$3,economics!$AK$2:$AK$167,economics!$AJ$2:$AJ$167,TRUE)-_xlfn.NORM.DIST(BT$30,economics!$AK$2:$AK$167,economics!$AJ$2:$AJ$167,TRUE)))),"")</f>
        <v/>
      </c>
      <c r="BU38">
        <f t="array" ref="BU38">IFERROR((SUMPRODUCT((economics!$AG$2:$AG$167=$B38)*(economics!$D$2:$D$167="process")*economics!$AH$2:$AH$167*(_xlfn.NORM.DIST(BU$3,economics!$AK$2:$AK$167,economics!$AJ$2:$AJ$167,TRUE)-_xlfn.NORM.DIST(BU$30,economics!$AK$2:$AK$167,economics!$AJ$2:$AJ$167,TRUE))*economics!$AM$2:$AM$167))/(SUMPRODUCT((economics!$AG$2:$AG$167=$B38)*(economics!$D$2:$D$167="process")*economics!$AH$2:$AH$167*(_xlfn.NORM.DIST(BU$3,economics!$AK$2:$AK$167,economics!$AJ$2:$AJ$167,TRUE)-_xlfn.NORM.DIST(BU$30,economics!$AK$2:$AK$167,economics!$AJ$2:$AJ$167,TRUE)))),"")</f>
        <v/>
      </c>
      <c r="BV38">
        <f t="array" ref="BV38">IFERROR((SUMPRODUCT((economics!$AG$2:$AG$167=$B38)*(economics!$D$2:$D$167="process")*economics!$AH$2:$AH$167*(_xlfn.NORM.DIST(BV$3,economics!$AK$2:$AK$167,economics!$AJ$2:$AJ$167,TRUE)-_xlfn.NORM.DIST(BV$30,economics!$AK$2:$AK$167,economics!$AJ$2:$AJ$167,TRUE))*economics!$AM$2:$AM$167))/(SUMPRODUCT((economics!$AG$2:$AG$167=$B38)*(economics!$D$2:$D$167="process")*economics!$AH$2:$AH$167*(_xlfn.NORM.DIST(BV$3,economics!$AK$2:$AK$167,economics!$AJ$2:$AJ$167,TRUE)-_xlfn.NORM.DIST(BV$30,economics!$AK$2:$AK$167,economics!$AJ$2:$AJ$167,TRUE)))),"")</f>
        <v/>
      </c>
      <c r="BW38">
        <f t="array" ref="BW38">IFERROR((SUMPRODUCT((economics!$AG$2:$AG$167=$B38)*(economics!$D$2:$D$167="process")*economics!$AH$2:$AH$167*(_xlfn.NORM.DIST(BW$3,economics!$AK$2:$AK$167,economics!$AJ$2:$AJ$167,TRUE)-_xlfn.NORM.DIST(BW$30,economics!$AK$2:$AK$167,economics!$AJ$2:$AJ$167,TRUE))*economics!$AM$2:$AM$167))/(SUMPRODUCT((economics!$AG$2:$AG$167=$B38)*(economics!$D$2:$D$167="process")*economics!$AH$2:$AH$167*(_xlfn.NORM.DIST(BW$3,economics!$AK$2:$AK$167,economics!$AJ$2:$AJ$167,TRUE)-_xlfn.NORM.DIST(BW$30,economics!$AK$2:$AK$167,economics!$AJ$2:$AJ$167,TRUE)))),"")</f>
        <v/>
      </c>
      <c r="BX38">
        <f t="array" ref="BX38">IFERROR((SUMPRODUCT((economics!$AG$2:$AG$167=$B38)*(economics!$D$2:$D$167="process")*economics!$AH$2:$AH$167*(_xlfn.NORM.DIST(BX$3,economics!$AK$2:$AK$167,economics!$AJ$2:$AJ$167,TRUE)-_xlfn.NORM.DIST(BX$30,economics!$AK$2:$AK$167,economics!$AJ$2:$AJ$167,TRUE))*economics!$AM$2:$AM$167))/(SUMPRODUCT((economics!$AG$2:$AG$167=$B38)*(economics!$D$2:$D$167="process")*economics!$AH$2:$AH$167*(_xlfn.NORM.DIST(BX$3,economics!$AK$2:$AK$167,economics!$AJ$2:$AJ$167,TRUE)-_xlfn.NORM.DIST(BX$30,economics!$AK$2:$AK$167,economics!$AJ$2:$AJ$167,TRUE)))),"")</f>
        <v/>
      </c>
      <c r="BY38">
        <f t="array" ref="BY38">IFERROR((SUMPRODUCT((economics!$AG$2:$AG$167=$B38)*(economics!$D$2:$D$167="process")*economics!$AH$2:$AH$167*(_xlfn.NORM.DIST(BY$3,economics!$AK$2:$AK$167,economics!$AJ$2:$AJ$167,TRUE)-_xlfn.NORM.DIST(BY$30,economics!$AK$2:$AK$167,economics!$AJ$2:$AJ$167,TRUE))*economics!$AM$2:$AM$167))/(SUMPRODUCT((economics!$AG$2:$AG$167=$B38)*(economics!$D$2:$D$167="process")*economics!$AH$2:$AH$167*(_xlfn.NORM.DIST(BY$3,economics!$AK$2:$AK$167,economics!$AJ$2:$AJ$167,TRUE)-_xlfn.NORM.DIST(BY$30,economics!$AK$2:$AK$167,economics!$AJ$2:$AJ$167,TRUE)))),"")</f>
        <v/>
      </c>
      <c r="BZ38">
        <f t="array" ref="BZ38">IFERROR((SUMPRODUCT((economics!$AG$2:$AG$167=$B38)*(economics!$D$2:$D$167="process")*economics!$AH$2:$AH$167*(_xlfn.NORM.DIST(BZ$3,economics!$AK$2:$AK$167,economics!$AJ$2:$AJ$167,TRUE)-_xlfn.NORM.DIST(BZ$30,economics!$AK$2:$AK$167,economics!$AJ$2:$AJ$167,TRUE))*economics!$AM$2:$AM$167))/(SUMPRODUCT((economics!$AG$2:$AG$167=$B38)*(economics!$D$2:$D$167="process")*economics!$AH$2:$AH$167*(_xlfn.NORM.DIST(BZ$3,economics!$AK$2:$AK$167,economics!$AJ$2:$AJ$167,TRUE)-_xlfn.NORM.DIST(BZ$30,economics!$AK$2:$AK$167,economics!$AJ$2:$AJ$167,TRUE)))),"")</f>
        <v/>
      </c>
      <c r="CA38">
        <f t="array" ref="CA38">IFERROR((SUMPRODUCT((economics!$AG$2:$AG$167=$B38)*(economics!$D$2:$D$167="process")*economics!$AH$2:$AH$167*(_xlfn.NORM.DIST(CA$3,economics!$AK$2:$AK$167,economics!$AJ$2:$AJ$167,TRUE)-_xlfn.NORM.DIST(CA$30,economics!$AK$2:$AK$167,economics!$AJ$2:$AJ$167,TRUE))*economics!$AM$2:$AM$167))/(SUMPRODUCT((economics!$AG$2:$AG$167=$B38)*(economics!$D$2:$D$167="process")*economics!$AH$2:$AH$167*(_xlfn.NORM.DIST(CA$3,economics!$AK$2:$AK$167,economics!$AJ$2:$AJ$167,TRUE)-_xlfn.NORM.DIST(CA$30,economics!$AK$2:$AK$167,economics!$AJ$2:$AJ$167,TRUE)))),"")</f>
        <v/>
      </c>
      <c r="CB38">
        <f t="array" ref="CB38">IFERROR((SUMPRODUCT((economics!$AG$2:$AG$167=$B38)*(economics!$D$2:$D$167="process")*economics!$AH$2:$AH$167*(_xlfn.NORM.DIST(CB$3,economics!$AK$2:$AK$167,economics!$AJ$2:$AJ$167,TRUE)-_xlfn.NORM.DIST(CB$30,economics!$AK$2:$AK$167,economics!$AJ$2:$AJ$167,TRUE))*economics!$AM$2:$AM$167))/(SUMPRODUCT((economics!$AG$2:$AG$167=$B38)*(economics!$D$2:$D$167="process")*economics!$AH$2:$AH$167*(_xlfn.NORM.DIST(CB$3,economics!$AK$2:$AK$167,economics!$AJ$2:$AJ$167,TRUE)-_xlfn.NORM.DIST(CB$30,economics!$AK$2:$AK$167,economics!$AJ$2:$AJ$167,TRUE)))),"")</f>
        <v/>
      </c>
      <c r="CC38">
        <f t="array" ref="CC38">IFERROR((SUMPRODUCT((economics!$AG$2:$AG$167=$B38)*(economics!$D$2:$D$167="process")*economics!$AH$2:$AH$167*(_xlfn.NORM.DIST(CC$3,economics!$AK$2:$AK$167,economics!$AJ$2:$AJ$167,TRUE)-_xlfn.NORM.DIST(CC$30,economics!$AK$2:$AK$167,economics!$AJ$2:$AJ$167,TRUE))*economics!$AM$2:$AM$167))/(SUMPRODUCT((economics!$AG$2:$AG$167=$B38)*(economics!$D$2:$D$167="process")*economics!$AH$2:$AH$167*(_xlfn.NORM.DIST(CC$3,economics!$AK$2:$AK$167,economics!$AJ$2:$AJ$167,TRUE)-_xlfn.NORM.DIST(CC$30,economics!$AK$2:$AK$167,economics!$AJ$2:$AJ$167,TRUE)))),"")</f>
        <v/>
      </c>
      <c r="CD38">
        <f t="array" ref="CD38">IFERROR((SUMPRODUCT((economics!$AG$2:$AG$167=$B38)*(economics!$D$2:$D$167="process")*economics!$AH$2:$AH$167*(_xlfn.NORM.DIST(CD$3,economics!$AK$2:$AK$167,economics!$AJ$2:$AJ$167,TRUE)-_xlfn.NORM.DIST(CD$30,economics!$AK$2:$AK$167,economics!$AJ$2:$AJ$167,TRUE))*economics!$AM$2:$AM$167))/(SUMPRODUCT((economics!$AG$2:$AG$167=$B38)*(economics!$D$2:$D$167="process")*economics!$AH$2:$AH$167*(_xlfn.NORM.DIST(CD$3,economics!$AK$2:$AK$167,economics!$AJ$2:$AJ$167,TRUE)-_xlfn.NORM.DIST(CD$30,economics!$AK$2:$AK$167,economics!$AJ$2:$AJ$167,TRUE)))),"")</f>
        <v/>
      </c>
      <c r="CE38">
        <f t="array" ref="CE38">IFERROR((SUMPRODUCT((economics!$AG$2:$AG$167=$B38)*(economics!$D$2:$D$167="process")*economics!$AH$2:$AH$167*(_xlfn.NORM.DIST(CE$3,economics!$AK$2:$AK$167,economics!$AJ$2:$AJ$167,TRUE)-_xlfn.NORM.DIST(CE$30,economics!$AK$2:$AK$167,economics!$AJ$2:$AJ$167,TRUE))*economics!$AM$2:$AM$167))/(SUMPRODUCT((economics!$AG$2:$AG$167=$B38)*(economics!$D$2:$D$167="process")*economics!$AH$2:$AH$167*(_xlfn.NORM.DIST(CE$3,economics!$AK$2:$AK$167,economics!$AJ$2:$AJ$167,TRUE)-_xlfn.NORM.DIST(CE$30,economics!$AK$2:$AK$167,economics!$AJ$2:$AJ$167,TRUE)))),"")</f>
        <v/>
      </c>
      <c r="CF38">
        <f t="array" ref="CF38">IFERROR((SUMPRODUCT((economics!$AG$2:$AG$167=$B38)*(economics!$D$2:$D$167="process")*economics!$AH$2:$AH$167*(_xlfn.NORM.DIST(CF$3,economics!$AK$2:$AK$167,economics!$AJ$2:$AJ$167,TRUE)-_xlfn.NORM.DIST(CF$30,economics!$AK$2:$AK$167,economics!$AJ$2:$AJ$167,TRUE))*economics!$AM$2:$AM$167))/(SUMPRODUCT((economics!$AG$2:$AG$167=$B38)*(economics!$D$2:$D$167="process")*economics!$AH$2:$AH$167*(_xlfn.NORM.DIST(CF$3,economics!$AK$2:$AK$167,economics!$AJ$2:$AJ$167,TRUE)-_xlfn.NORM.DIST(CF$30,economics!$AK$2:$AK$167,economics!$AJ$2:$AJ$167,TRUE)))),"")</f>
        <v/>
      </c>
      <c r="CG38">
        <f t="array" ref="CG38">IFERROR((SUMPRODUCT((economics!$AG$2:$AG$167=$B38)*(economics!$D$2:$D$167="process")*economics!$AH$2:$AH$167*(_xlfn.NORM.DIST(CG$3,economics!$AK$2:$AK$167,economics!$AJ$2:$AJ$167,TRUE)-_xlfn.NORM.DIST(CG$30,economics!$AK$2:$AK$167,economics!$AJ$2:$AJ$167,TRUE))*economics!$AM$2:$AM$167))/(SUMPRODUCT((economics!$AG$2:$AG$167=$B38)*(economics!$D$2:$D$167="process")*economics!$AH$2:$AH$167*(_xlfn.NORM.DIST(CG$3,economics!$AK$2:$AK$167,economics!$AJ$2:$AJ$167,TRUE)-_xlfn.NORM.DIST(CG$30,economics!$AK$2:$AK$167,economics!$AJ$2:$AJ$167,TRUE)))),"")</f>
        <v/>
      </c>
      <c r="CH38">
        <f t="array" ref="CH38">IFERROR((SUMPRODUCT((economics!$AG$2:$AG$167=$B38)*(economics!$D$2:$D$167="process")*economics!$AH$2:$AH$167*(_xlfn.NORM.DIST(CH$3,economics!$AK$2:$AK$167,economics!$AJ$2:$AJ$167,TRUE)-_xlfn.NORM.DIST(CH$30,economics!$AK$2:$AK$167,economics!$AJ$2:$AJ$167,TRUE))*economics!$AM$2:$AM$167))/(SUMPRODUCT((economics!$AG$2:$AG$167=$B38)*(economics!$D$2:$D$167="process")*economics!$AH$2:$AH$167*(_xlfn.NORM.DIST(CH$3,economics!$AK$2:$AK$167,economics!$AJ$2:$AJ$167,TRUE)-_xlfn.NORM.DIST(CH$30,economics!$AK$2:$AK$167,economics!$AJ$2:$AJ$167,TRUE)))),"")</f>
        <v/>
      </c>
    </row>
    <row r="39">
      <c r="A39">
        <f>A10</f>
        <v/>
      </c>
      <c r="B39">
        <f>B10</f>
        <v/>
      </c>
      <c r="E39">
        <f t="array" ref="E39">IFERROR((SUMPRODUCT((economics!$AG$2:$AG$167=$B39)*(economics!$D$2:$D$167="process")*economics!$AH$2:$AH$167*(_xlfn.NORM.DIST(E$3,economics!$AK$2:$AK$167,economics!$AJ$2:$AJ$167,TRUE)-_xlfn.NORM.DIST(E$30,economics!$AK$2:$AK$167,economics!$AJ$2:$AJ$167,TRUE))*economics!$AM$2:$AM$167))/(SUMPRODUCT((economics!$AG$2:$AG$167=$B39)*(economics!$D$2:$D$167="process")*economics!$AH$2:$AH$167*(_xlfn.NORM.DIST(E$3,economics!$AK$2:$AK$167,economics!$AJ$2:$AJ$167,TRUE)-_xlfn.NORM.DIST(E$30,economics!$AK$2:$AK$167,economics!$AJ$2:$AJ$167,TRUE)))),"")</f>
        <v/>
      </c>
      <c r="F39">
        <f t="array" ref="F39">IFERROR((SUMPRODUCT((economics!$AG$2:$AG$167=$B39)*(economics!$D$2:$D$167="process")*economics!$AH$2:$AH$167*(_xlfn.NORM.DIST(F$3,economics!$AK$2:$AK$167,economics!$AJ$2:$AJ$167,TRUE)-_xlfn.NORM.DIST(F$30,economics!$AK$2:$AK$167,economics!$AJ$2:$AJ$167,TRUE))*economics!$AM$2:$AM$167))/(SUMPRODUCT((economics!$AG$2:$AG$167=$B39)*(economics!$D$2:$D$167="process")*economics!$AH$2:$AH$167*(_xlfn.NORM.DIST(F$3,economics!$AK$2:$AK$167,economics!$AJ$2:$AJ$167,TRUE)-_xlfn.NORM.DIST(F$30,economics!$AK$2:$AK$167,economics!$AJ$2:$AJ$167,TRUE)))),"")</f>
        <v/>
      </c>
      <c r="G39">
        <f t="array" ref="G39">IFERROR((SUMPRODUCT((economics!$AG$2:$AG$167=$B39)*(economics!$D$2:$D$167="process")*economics!$AH$2:$AH$167*(_xlfn.NORM.DIST(G$3,economics!$AK$2:$AK$167,economics!$AJ$2:$AJ$167,TRUE)-_xlfn.NORM.DIST(G$30,economics!$AK$2:$AK$167,economics!$AJ$2:$AJ$167,TRUE))*economics!$AM$2:$AM$167))/(SUMPRODUCT((economics!$AG$2:$AG$167=$B39)*(economics!$D$2:$D$167="process")*economics!$AH$2:$AH$167*(_xlfn.NORM.DIST(G$3,economics!$AK$2:$AK$167,economics!$AJ$2:$AJ$167,TRUE)-_xlfn.NORM.DIST(G$30,economics!$AK$2:$AK$167,economics!$AJ$2:$AJ$167,TRUE)))),"")</f>
        <v/>
      </c>
      <c r="H39">
        <f t="array" ref="H39">IFERROR((SUMPRODUCT((economics!$AG$2:$AG$167=$B39)*(economics!$D$2:$D$167="process")*economics!$AH$2:$AH$167*(_xlfn.NORM.DIST(H$3,economics!$AK$2:$AK$167,economics!$AJ$2:$AJ$167,TRUE)-_xlfn.NORM.DIST(H$30,economics!$AK$2:$AK$167,economics!$AJ$2:$AJ$167,TRUE))*economics!$AM$2:$AM$167))/(SUMPRODUCT((economics!$AG$2:$AG$167=$B39)*(economics!$D$2:$D$167="process")*economics!$AH$2:$AH$167*(_xlfn.NORM.DIST(H$3,economics!$AK$2:$AK$167,economics!$AJ$2:$AJ$167,TRUE)-_xlfn.NORM.DIST(H$30,economics!$AK$2:$AK$167,economics!$AJ$2:$AJ$167,TRUE)))),"")</f>
        <v/>
      </c>
      <c r="I39">
        <f t="array" ref="I39">IFERROR((SUMPRODUCT((economics!$AG$2:$AG$167=$B39)*(economics!$D$2:$D$167="process")*economics!$AH$2:$AH$167*(_xlfn.NORM.DIST(I$3,economics!$AK$2:$AK$167,economics!$AJ$2:$AJ$167,TRUE)-_xlfn.NORM.DIST(I$30,economics!$AK$2:$AK$167,economics!$AJ$2:$AJ$167,TRUE))*economics!$AM$2:$AM$167))/(SUMPRODUCT((economics!$AG$2:$AG$167=$B39)*(economics!$D$2:$D$167="process")*economics!$AH$2:$AH$167*(_xlfn.NORM.DIST(I$3,economics!$AK$2:$AK$167,economics!$AJ$2:$AJ$167,TRUE)-_xlfn.NORM.DIST(I$30,economics!$AK$2:$AK$167,economics!$AJ$2:$AJ$167,TRUE)))),"")</f>
        <v/>
      </c>
      <c r="J39">
        <f t="array" ref="J39">IFERROR((SUMPRODUCT((economics!$AG$2:$AG$167=$B39)*(economics!$D$2:$D$167="process")*economics!$AH$2:$AH$167*(_xlfn.NORM.DIST(J$3,economics!$AK$2:$AK$167,economics!$AJ$2:$AJ$167,TRUE)-_xlfn.NORM.DIST(J$30,economics!$AK$2:$AK$167,economics!$AJ$2:$AJ$167,TRUE))*economics!$AM$2:$AM$167))/(SUMPRODUCT((economics!$AG$2:$AG$167=$B39)*(economics!$D$2:$D$167="process")*economics!$AH$2:$AH$167*(_xlfn.NORM.DIST(J$3,economics!$AK$2:$AK$167,economics!$AJ$2:$AJ$167,TRUE)-_xlfn.NORM.DIST(J$30,economics!$AK$2:$AK$167,economics!$AJ$2:$AJ$167,TRUE)))),"")</f>
        <v/>
      </c>
      <c r="K39">
        <f t="array" ref="K39">IFERROR((SUMPRODUCT((economics!$AG$2:$AG$167=$B39)*(economics!$D$2:$D$167="process")*economics!$AH$2:$AH$167*(_xlfn.NORM.DIST(K$3,economics!$AK$2:$AK$167,economics!$AJ$2:$AJ$167,TRUE)-_xlfn.NORM.DIST(K$30,economics!$AK$2:$AK$167,economics!$AJ$2:$AJ$167,TRUE))*economics!$AM$2:$AM$167))/(SUMPRODUCT((economics!$AG$2:$AG$167=$B39)*(economics!$D$2:$D$167="process")*economics!$AH$2:$AH$167*(_xlfn.NORM.DIST(K$3,economics!$AK$2:$AK$167,economics!$AJ$2:$AJ$167,TRUE)-_xlfn.NORM.DIST(K$30,economics!$AK$2:$AK$167,economics!$AJ$2:$AJ$167,TRUE)))),"")</f>
        <v/>
      </c>
      <c r="L39">
        <f t="array" ref="L39">IFERROR((SUMPRODUCT((economics!$AG$2:$AG$167=$B39)*(economics!$D$2:$D$167="process")*economics!$AH$2:$AH$167*(_xlfn.NORM.DIST(L$3,economics!$AK$2:$AK$167,economics!$AJ$2:$AJ$167,TRUE)-_xlfn.NORM.DIST(L$30,economics!$AK$2:$AK$167,economics!$AJ$2:$AJ$167,TRUE))*economics!$AM$2:$AM$167))/(SUMPRODUCT((economics!$AG$2:$AG$167=$B39)*(economics!$D$2:$D$167="process")*economics!$AH$2:$AH$167*(_xlfn.NORM.DIST(L$3,economics!$AK$2:$AK$167,economics!$AJ$2:$AJ$167,TRUE)-_xlfn.NORM.DIST(L$30,economics!$AK$2:$AK$167,economics!$AJ$2:$AJ$167,TRUE)))),"")</f>
        <v/>
      </c>
      <c r="M39">
        <f t="array" ref="M39">IFERROR((SUMPRODUCT((economics!$AG$2:$AG$167=$B39)*(economics!$D$2:$D$167="process")*economics!$AH$2:$AH$167*(_xlfn.NORM.DIST(M$3,economics!$AK$2:$AK$167,economics!$AJ$2:$AJ$167,TRUE)-_xlfn.NORM.DIST(M$30,economics!$AK$2:$AK$167,economics!$AJ$2:$AJ$167,TRUE))*economics!$AM$2:$AM$167))/(SUMPRODUCT((economics!$AG$2:$AG$167=$B39)*(economics!$D$2:$D$167="process")*economics!$AH$2:$AH$167*(_xlfn.NORM.DIST(M$3,economics!$AK$2:$AK$167,economics!$AJ$2:$AJ$167,TRUE)-_xlfn.NORM.DIST(M$30,economics!$AK$2:$AK$167,economics!$AJ$2:$AJ$167,TRUE)))),"")</f>
        <v/>
      </c>
      <c r="N39">
        <f t="array" ref="N39">IFERROR((SUMPRODUCT((economics!$AG$2:$AG$167=$B39)*(economics!$D$2:$D$167="process")*economics!$AH$2:$AH$167*(_xlfn.NORM.DIST(N$3,economics!$AK$2:$AK$167,economics!$AJ$2:$AJ$167,TRUE)-_xlfn.NORM.DIST(N$30,economics!$AK$2:$AK$167,economics!$AJ$2:$AJ$167,TRUE))*economics!$AM$2:$AM$167))/(SUMPRODUCT((economics!$AG$2:$AG$167=$B39)*(economics!$D$2:$D$167="process")*economics!$AH$2:$AH$167*(_xlfn.NORM.DIST(N$3,economics!$AK$2:$AK$167,economics!$AJ$2:$AJ$167,TRUE)-_xlfn.NORM.DIST(N$30,economics!$AK$2:$AK$167,economics!$AJ$2:$AJ$167,TRUE)))),"")</f>
        <v/>
      </c>
      <c r="O39">
        <f t="array" ref="O39">IFERROR((SUMPRODUCT((economics!$AG$2:$AG$167=$B39)*(economics!$D$2:$D$167="process")*economics!$AH$2:$AH$167*(_xlfn.NORM.DIST(O$3,economics!$AK$2:$AK$167,economics!$AJ$2:$AJ$167,TRUE)-_xlfn.NORM.DIST(O$30,economics!$AK$2:$AK$167,economics!$AJ$2:$AJ$167,TRUE))*economics!$AM$2:$AM$167))/(SUMPRODUCT((economics!$AG$2:$AG$167=$B39)*(economics!$D$2:$D$167="process")*economics!$AH$2:$AH$167*(_xlfn.NORM.DIST(O$3,economics!$AK$2:$AK$167,economics!$AJ$2:$AJ$167,TRUE)-_xlfn.NORM.DIST(O$30,economics!$AK$2:$AK$167,economics!$AJ$2:$AJ$167,TRUE)))),"")</f>
        <v/>
      </c>
      <c r="P39">
        <f t="array" ref="P39">IFERROR((SUMPRODUCT((economics!$AG$2:$AG$167=$B39)*(economics!$D$2:$D$167="process")*economics!$AH$2:$AH$167*(_xlfn.NORM.DIST(P$3,economics!$AK$2:$AK$167,economics!$AJ$2:$AJ$167,TRUE)-_xlfn.NORM.DIST(P$30,economics!$AK$2:$AK$167,economics!$AJ$2:$AJ$167,TRUE))*economics!$AM$2:$AM$167))/(SUMPRODUCT((economics!$AG$2:$AG$167=$B39)*(economics!$D$2:$D$167="process")*economics!$AH$2:$AH$167*(_xlfn.NORM.DIST(P$3,economics!$AK$2:$AK$167,economics!$AJ$2:$AJ$167,TRUE)-_xlfn.NORM.DIST(P$30,economics!$AK$2:$AK$167,economics!$AJ$2:$AJ$167,TRUE)))),"")</f>
        <v/>
      </c>
      <c r="Q39">
        <f t="array" ref="Q39">IFERROR((SUMPRODUCT((economics!$AG$2:$AG$167=$B39)*(economics!$D$2:$D$167="process")*economics!$AH$2:$AH$167*(_xlfn.NORM.DIST(Q$3,economics!$AK$2:$AK$167,economics!$AJ$2:$AJ$167,TRUE)-_xlfn.NORM.DIST(Q$30,economics!$AK$2:$AK$167,economics!$AJ$2:$AJ$167,TRUE))*economics!$AM$2:$AM$167))/(SUMPRODUCT((economics!$AG$2:$AG$167=$B39)*(economics!$D$2:$D$167="process")*economics!$AH$2:$AH$167*(_xlfn.NORM.DIST(Q$3,economics!$AK$2:$AK$167,economics!$AJ$2:$AJ$167,TRUE)-_xlfn.NORM.DIST(Q$30,economics!$AK$2:$AK$167,economics!$AJ$2:$AJ$167,TRUE)))),"")</f>
        <v/>
      </c>
      <c r="R39">
        <f t="array" ref="R39">IFERROR((SUMPRODUCT((economics!$AG$2:$AG$167=$B39)*(economics!$D$2:$D$167="process")*economics!$AH$2:$AH$167*(_xlfn.NORM.DIST(R$3,economics!$AK$2:$AK$167,economics!$AJ$2:$AJ$167,TRUE)-_xlfn.NORM.DIST(R$30,economics!$AK$2:$AK$167,economics!$AJ$2:$AJ$167,TRUE))*economics!$AM$2:$AM$167))/(SUMPRODUCT((economics!$AG$2:$AG$167=$B39)*(economics!$D$2:$D$167="process")*economics!$AH$2:$AH$167*(_xlfn.NORM.DIST(R$3,economics!$AK$2:$AK$167,economics!$AJ$2:$AJ$167,TRUE)-_xlfn.NORM.DIST(R$30,economics!$AK$2:$AK$167,economics!$AJ$2:$AJ$167,TRUE)))),"")</f>
        <v/>
      </c>
      <c r="S39">
        <f t="array" ref="S39">IFERROR((SUMPRODUCT((economics!$AG$2:$AG$167=$B39)*(economics!$D$2:$D$167="process")*economics!$AH$2:$AH$167*(_xlfn.NORM.DIST(S$3,economics!$AK$2:$AK$167,economics!$AJ$2:$AJ$167,TRUE)-_xlfn.NORM.DIST(S$30,economics!$AK$2:$AK$167,economics!$AJ$2:$AJ$167,TRUE))*economics!$AM$2:$AM$167))/(SUMPRODUCT((economics!$AG$2:$AG$167=$B39)*(economics!$D$2:$D$167="process")*economics!$AH$2:$AH$167*(_xlfn.NORM.DIST(S$3,economics!$AK$2:$AK$167,economics!$AJ$2:$AJ$167,TRUE)-_xlfn.NORM.DIST(S$30,economics!$AK$2:$AK$167,economics!$AJ$2:$AJ$167,TRUE)))),"")</f>
        <v/>
      </c>
      <c r="T39">
        <f t="array" ref="T39">IFERROR((SUMPRODUCT((economics!$AG$2:$AG$167=$B39)*(economics!$D$2:$D$167="process")*economics!$AH$2:$AH$167*(_xlfn.NORM.DIST(T$3,economics!$AK$2:$AK$167,economics!$AJ$2:$AJ$167,TRUE)-_xlfn.NORM.DIST(T$30,economics!$AK$2:$AK$167,economics!$AJ$2:$AJ$167,TRUE))*economics!$AM$2:$AM$167))/(SUMPRODUCT((economics!$AG$2:$AG$167=$B39)*(economics!$D$2:$D$167="process")*economics!$AH$2:$AH$167*(_xlfn.NORM.DIST(T$3,economics!$AK$2:$AK$167,economics!$AJ$2:$AJ$167,TRUE)-_xlfn.NORM.DIST(T$30,economics!$AK$2:$AK$167,economics!$AJ$2:$AJ$167,TRUE)))),"")</f>
        <v/>
      </c>
      <c r="U39">
        <f t="array" ref="U39">IFERROR((SUMPRODUCT((economics!$AG$2:$AG$167=$B39)*(economics!$D$2:$D$167="process")*economics!$AH$2:$AH$167*(_xlfn.NORM.DIST(U$3,economics!$AK$2:$AK$167,economics!$AJ$2:$AJ$167,TRUE)-_xlfn.NORM.DIST(U$30,economics!$AK$2:$AK$167,economics!$AJ$2:$AJ$167,TRUE))*economics!$AM$2:$AM$167))/(SUMPRODUCT((economics!$AG$2:$AG$167=$B39)*(economics!$D$2:$D$167="process")*economics!$AH$2:$AH$167*(_xlfn.NORM.DIST(U$3,economics!$AK$2:$AK$167,economics!$AJ$2:$AJ$167,TRUE)-_xlfn.NORM.DIST(U$30,economics!$AK$2:$AK$167,economics!$AJ$2:$AJ$167,TRUE)))),"")</f>
        <v/>
      </c>
      <c r="V39">
        <f t="array" ref="V39">IFERROR((SUMPRODUCT((economics!$AG$2:$AG$167=$B39)*(economics!$D$2:$D$167="process")*economics!$AH$2:$AH$167*(_xlfn.NORM.DIST(V$3,economics!$AK$2:$AK$167,economics!$AJ$2:$AJ$167,TRUE)-_xlfn.NORM.DIST(V$30,economics!$AK$2:$AK$167,economics!$AJ$2:$AJ$167,TRUE))*economics!$AM$2:$AM$167))/(SUMPRODUCT((economics!$AG$2:$AG$167=$B39)*(economics!$D$2:$D$167="process")*economics!$AH$2:$AH$167*(_xlfn.NORM.DIST(V$3,economics!$AK$2:$AK$167,economics!$AJ$2:$AJ$167,TRUE)-_xlfn.NORM.DIST(V$30,economics!$AK$2:$AK$167,economics!$AJ$2:$AJ$167,TRUE)))),"")</f>
        <v/>
      </c>
      <c r="W39">
        <f t="array" ref="W39">IFERROR((SUMPRODUCT((economics!$AG$2:$AG$167=$B39)*(economics!$D$2:$D$167="process")*economics!$AH$2:$AH$167*(_xlfn.NORM.DIST(W$3,economics!$AK$2:$AK$167,economics!$AJ$2:$AJ$167,TRUE)-_xlfn.NORM.DIST(W$30,economics!$AK$2:$AK$167,economics!$AJ$2:$AJ$167,TRUE))*economics!$AM$2:$AM$167))/(SUMPRODUCT((economics!$AG$2:$AG$167=$B39)*(economics!$D$2:$D$167="process")*economics!$AH$2:$AH$167*(_xlfn.NORM.DIST(W$3,economics!$AK$2:$AK$167,economics!$AJ$2:$AJ$167,TRUE)-_xlfn.NORM.DIST(W$30,economics!$AK$2:$AK$167,economics!$AJ$2:$AJ$167,TRUE)))),"")</f>
        <v/>
      </c>
      <c r="X39">
        <f t="array" ref="X39">IFERROR((SUMPRODUCT((economics!$AG$2:$AG$167=$B39)*(economics!$D$2:$D$167="process")*economics!$AH$2:$AH$167*(_xlfn.NORM.DIST(X$3,economics!$AK$2:$AK$167,economics!$AJ$2:$AJ$167,TRUE)-_xlfn.NORM.DIST(X$30,economics!$AK$2:$AK$167,economics!$AJ$2:$AJ$167,TRUE))*economics!$AM$2:$AM$167))/(SUMPRODUCT((economics!$AG$2:$AG$167=$B39)*(economics!$D$2:$D$167="process")*economics!$AH$2:$AH$167*(_xlfn.NORM.DIST(X$3,economics!$AK$2:$AK$167,economics!$AJ$2:$AJ$167,TRUE)-_xlfn.NORM.DIST(X$30,economics!$AK$2:$AK$167,economics!$AJ$2:$AJ$167,TRUE)))),"")</f>
        <v/>
      </c>
      <c r="Y39">
        <f t="array" ref="Y39">IFERROR((SUMPRODUCT((economics!$AG$2:$AG$167=$B39)*(economics!$D$2:$D$167="process")*economics!$AH$2:$AH$167*(_xlfn.NORM.DIST(Y$3,economics!$AK$2:$AK$167,economics!$AJ$2:$AJ$167,TRUE)-_xlfn.NORM.DIST(Y$30,economics!$AK$2:$AK$167,economics!$AJ$2:$AJ$167,TRUE))*economics!$AM$2:$AM$167))/(SUMPRODUCT((economics!$AG$2:$AG$167=$B39)*(economics!$D$2:$D$167="process")*economics!$AH$2:$AH$167*(_xlfn.NORM.DIST(Y$3,economics!$AK$2:$AK$167,economics!$AJ$2:$AJ$167,TRUE)-_xlfn.NORM.DIST(Y$30,economics!$AK$2:$AK$167,economics!$AJ$2:$AJ$167,TRUE)))),"")</f>
        <v/>
      </c>
      <c r="Z39">
        <f t="array" ref="Z39">IFERROR((SUMPRODUCT((economics!$AG$2:$AG$167=$B39)*(economics!$D$2:$D$167="process")*economics!$AH$2:$AH$167*(_xlfn.NORM.DIST(Z$3,economics!$AK$2:$AK$167,economics!$AJ$2:$AJ$167,TRUE)-_xlfn.NORM.DIST(Z$30,economics!$AK$2:$AK$167,economics!$AJ$2:$AJ$167,TRUE))*economics!$AM$2:$AM$167))/(SUMPRODUCT((economics!$AG$2:$AG$167=$B39)*(economics!$D$2:$D$167="process")*economics!$AH$2:$AH$167*(_xlfn.NORM.DIST(Z$3,economics!$AK$2:$AK$167,economics!$AJ$2:$AJ$167,TRUE)-_xlfn.NORM.DIST(Z$30,economics!$AK$2:$AK$167,economics!$AJ$2:$AJ$167,TRUE)))),"")</f>
        <v/>
      </c>
      <c r="AA39">
        <f t="array" ref="AA39">IFERROR((SUMPRODUCT((economics!$AG$2:$AG$167=$B39)*(economics!$D$2:$D$167="process")*economics!$AH$2:$AH$167*(_xlfn.NORM.DIST(AA$3,economics!$AK$2:$AK$167,economics!$AJ$2:$AJ$167,TRUE)-_xlfn.NORM.DIST(AA$30,economics!$AK$2:$AK$167,economics!$AJ$2:$AJ$167,TRUE))*economics!$AM$2:$AM$167))/(SUMPRODUCT((economics!$AG$2:$AG$167=$B39)*(economics!$D$2:$D$167="process")*economics!$AH$2:$AH$167*(_xlfn.NORM.DIST(AA$3,economics!$AK$2:$AK$167,economics!$AJ$2:$AJ$167,TRUE)-_xlfn.NORM.DIST(AA$30,economics!$AK$2:$AK$167,economics!$AJ$2:$AJ$167,TRUE)))),"")</f>
        <v/>
      </c>
      <c r="AB39">
        <f t="array" ref="AB39">IFERROR((SUMPRODUCT((economics!$AG$2:$AG$167=$B39)*(economics!$D$2:$D$167="process")*economics!$AH$2:$AH$167*(_xlfn.NORM.DIST(AB$3,economics!$AK$2:$AK$167,economics!$AJ$2:$AJ$167,TRUE)-_xlfn.NORM.DIST(AB$30,economics!$AK$2:$AK$167,economics!$AJ$2:$AJ$167,TRUE))*economics!$AM$2:$AM$167))/(SUMPRODUCT((economics!$AG$2:$AG$167=$B39)*(economics!$D$2:$D$167="process")*economics!$AH$2:$AH$167*(_xlfn.NORM.DIST(AB$3,economics!$AK$2:$AK$167,economics!$AJ$2:$AJ$167,TRUE)-_xlfn.NORM.DIST(AB$30,economics!$AK$2:$AK$167,economics!$AJ$2:$AJ$167,TRUE)))),"")</f>
        <v/>
      </c>
      <c r="AC39">
        <f t="array" ref="AC39">IFERROR((SUMPRODUCT((economics!$AG$2:$AG$167=$B39)*(economics!$D$2:$D$167="process")*economics!$AH$2:$AH$167*(_xlfn.NORM.DIST(AC$3,economics!$AK$2:$AK$167,economics!$AJ$2:$AJ$167,TRUE)-_xlfn.NORM.DIST(AC$30,economics!$AK$2:$AK$167,economics!$AJ$2:$AJ$167,TRUE))*economics!$AM$2:$AM$167))/(SUMPRODUCT((economics!$AG$2:$AG$167=$B39)*(economics!$D$2:$D$167="process")*economics!$AH$2:$AH$167*(_xlfn.NORM.DIST(AC$3,economics!$AK$2:$AK$167,economics!$AJ$2:$AJ$167,TRUE)-_xlfn.NORM.DIST(AC$30,economics!$AK$2:$AK$167,economics!$AJ$2:$AJ$167,TRUE)))),"")</f>
        <v/>
      </c>
      <c r="AD39">
        <f t="array" ref="AD39">IFERROR((SUMPRODUCT((economics!$AG$2:$AG$167=$B39)*(economics!$D$2:$D$167="process")*economics!$AH$2:$AH$167*(_xlfn.NORM.DIST(AD$3,economics!$AK$2:$AK$167,economics!$AJ$2:$AJ$167,TRUE)-_xlfn.NORM.DIST(AD$30,economics!$AK$2:$AK$167,economics!$AJ$2:$AJ$167,TRUE))*economics!$AM$2:$AM$167))/(SUMPRODUCT((economics!$AG$2:$AG$167=$B39)*(economics!$D$2:$D$167="process")*economics!$AH$2:$AH$167*(_xlfn.NORM.DIST(AD$3,economics!$AK$2:$AK$167,economics!$AJ$2:$AJ$167,TRUE)-_xlfn.NORM.DIST(AD$30,economics!$AK$2:$AK$167,economics!$AJ$2:$AJ$167,TRUE)))),"")</f>
        <v/>
      </c>
      <c r="AE39">
        <f t="array" ref="AE39">IFERROR((SUMPRODUCT((economics!$AG$2:$AG$167=$B39)*(economics!$D$2:$D$167="process")*economics!$AH$2:$AH$167*(_xlfn.NORM.DIST(AE$3,economics!$AK$2:$AK$167,economics!$AJ$2:$AJ$167,TRUE)-_xlfn.NORM.DIST(AE$30,economics!$AK$2:$AK$167,economics!$AJ$2:$AJ$167,TRUE))*economics!$AM$2:$AM$167))/(SUMPRODUCT((economics!$AG$2:$AG$167=$B39)*(economics!$D$2:$D$167="process")*economics!$AH$2:$AH$167*(_xlfn.NORM.DIST(AE$3,economics!$AK$2:$AK$167,economics!$AJ$2:$AJ$167,TRUE)-_xlfn.NORM.DIST(AE$30,economics!$AK$2:$AK$167,economics!$AJ$2:$AJ$167,TRUE)))),"")</f>
        <v/>
      </c>
      <c r="AF39">
        <f t="array" ref="AF39">IFERROR((SUMPRODUCT((economics!$AG$2:$AG$167=$B39)*(economics!$D$2:$D$167="process")*economics!$AH$2:$AH$167*(_xlfn.NORM.DIST(AF$3,economics!$AK$2:$AK$167,economics!$AJ$2:$AJ$167,TRUE)-_xlfn.NORM.DIST(AF$30,economics!$AK$2:$AK$167,economics!$AJ$2:$AJ$167,TRUE))*economics!$AM$2:$AM$167))/(SUMPRODUCT((economics!$AG$2:$AG$167=$B39)*(economics!$D$2:$D$167="process")*economics!$AH$2:$AH$167*(_xlfn.NORM.DIST(AF$3,economics!$AK$2:$AK$167,economics!$AJ$2:$AJ$167,TRUE)-_xlfn.NORM.DIST(AF$30,economics!$AK$2:$AK$167,economics!$AJ$2:$AJ$167,TRUE)))),"")</f>
        <v/>
      </c>
      <c r="AG39">
        <f t="array" ref="AG39">IFERROR((SUMPRODUCT((economics!$AG$2:$AG$167=$B39)*(economics!$D$2:$D$167="process")*economics!$AH$2:$AH$167*(_xlfn.NORM.DIST(AG$3,economics!$AK$2:$AK$167,economics!$AJ$2:$AJ$167,TRUE)-_xlfn.NORM.DIST(AG$30,economics!$AK$2:$AK$167,economics!$AJ$2:$AJ$167,TRUE))*economics!$AM$2:$AM$167))/(SUMPRODUCT((economics!$AG$2:$AG$167=$B39)*(economics!$D$2:$D$167="process")*economics!$AH$2:$AH$167*(_xlfn.NORM.DIST(AG$3,economics!$AK$2:$AK$167,economics!$AJ$2:$AJ$167,TRUE)-_xlfn.NORM.DIST(AG$30,economics!$AK$2:$AK$167,economics!$AJ$2:$AJ$167,TRUE)))),"")</f>
        <v/>
      </c>
      <c r="AH39">
        <f t="array" ref="AH39">IFERROR((SUMPRODUCT((economics!$AG$2:$AG$167=$B39)*(economics!$D$2:$D$167="process")*economics!$AH$2:$AH$167*(_xlfn.NORM.DIST(AH$3,economics!$AK$2:$AK$167,economics!$AJ$2:$AJ$167,TRUE)-_xlfn.NORM.DIST(AH$30,economics!$AK$2:$AK$167,economics!$AJ$2:$AJ$167,TRUE))*economics!$AM$2:$AM$167))/(SUMPRODUCT((economics!$AG$2:$AG$167=$B39)*(economics!$D$2:$D$167="process")*economics!$AH$2:$AH$167*(_xlfn.NORM.DIST(AH$3,economics!$AK$2:$AK$167,economics!$AJ$2:$AJ$167,TRUE)-_xlfn.NORM.DIST(AH$30,economics!$AK$2:$AK$167,economics!$AJ$2:$AJ$167,TRUE)))),"")</f>
        <v/>
      </c>
      <c r="AI39">
        <f t="array" ref="AI39">IFERROR((SUMPRODUCT((economics!$AG$2:$AG$167=$B39)*(economics!$D$2:$D$167="process")*economics!$AH$2:$AH$167*(_xlfn.NORM.DIST(AI$3,economics!$AK$2:$AK$167,economics!$AJ$2:$AJ$167,TRUE)-_xlfn.NORM.DIST(AI$30,economics!$AK$2:$AK$167,economics!$AJ$2:$AJ$167,TRUE))*economics!$AM$2:$AM$167))/(SUMPRODUCT((economics!$AG$2:$AG$167=$B39)*(economics!$D$2:$D$167="process")*economics!$AH$2:$AH$167*(_xlfn.NORM.DIST(AI$3,economics!$AK$2:$AK$167,economics!$AJ$2:$AJ$167,TRUE)-_xlfn.NORM.DIST(AI$30,economics!$AK$2:$AK$167,economics!$AJ$2:$AJ$167,TRUE)))),"")</f>
        <v/>
      </c>
      <c r="AJ39">
        <f t="array" ref="AJ39">IFERROR((SUMPRODUCT((economics!$AG$2:$AG$167=$B39)*(economics!$D$2:$D$167="process")*economics!$AH$2:$AH$167*(_xlfn.NORM.DIST(AJ$3,economics!$AK$2:$AK$167,economics!$AJ$2:$AJ$167,TRUE)-_xlfn.NORM.DIST(AJ$30,economics!$AK$2:$AK$167,economics!$AJ$2:$AJ$167,TRUE))*economics!$AM$2:$AM$167))/(SUMPRODUCT((economics!$AG$2:$AG$167=$B39)*(economics!$D$2:$D$167="process")*economics!$AH$2:$AH$167*(_xlfn.NORM.DIST(AJ$3,economics!$AK$2:$AK$167,economics!$AJ$2:$AJ$167,TRUE)-_xlfn.NORM.DIST(AJ$30,economics!$AK$2:$AK$167,economics!$AJ$2:$AJ$167,TRUE)))),"")</f>
        <v/>
      </c>
      <c r="AK39">
        <f t="array" ref="AK39">IFERROR((SUMPRODUCT((economics!$AG$2:$AG$167=$B39)*(economics!$D$2:$D$167="process")*economics!$AH$2:$AH$167*(_xlfn.NORM.DIST(AK$3,economics!$AK$2:$AK$167,economics!$AJ$2:$AJ$167,TRUE)-_xlfn.NORM.DIST(AK$30,economics!$AK$2:$AK$167,economics!$AJ$2:$AJ$167,TRUE))*economics!$AM$2:$AM$167))/(SUMPRODUCT((economics!$AG$2:$AG$167=$B39)*(economics!$D$2:$D$167="process")*economics!$AH$2:$AH$167*(_xlfn.NORM.DIST(AK$3,economics!$AK$2:$AK$167,economics!$AJ$2:$AJ$167,TRUE)-_xlfn.NORM.DIST(AK$30,economics!$AK$2:$AK$167,economics!$AJ$2:$AJ$167,TRUE)))),"")</f>
        <v/>
      </c>
      <c r="AL39">
        <f t="array" ref="AL39">IFERROR((SUMPRODUCT((economics!$AG$2:$AG$167=$B39)*(economics!$D$2:$D$167="process")*economics!$AH$2:$AH$167*(_xlfn.NORM.DIST(AL$3,economics!$AK$2:$AK$167,economics!$AJ$2:$AJ$167,TRUE)-_xlfn.NORM.DIST(AL$30,economics!$AK$2:$AK$167,economics!$AJ$2:$AJ$167,TRUE))*economics!$AM$2:$AM$167))/(SUMPRODUCT((economics!$AG$2:$AG$167=$B39)*(economics!$D$2:$D$167="process")*economics!$AH$2:$AH$167*(_xlfn.NORM.DIST(AL$3,economics!$AK$2:$AK$167,economics!$AJ$2:$AJ$167,TRUE)-_xlfn.NORM.DIST(AL$30,economics!$AK$2:$AK$167,economics!$AJ$2:$AJ$167,TRUE)))),"")</f>
        <v/>
      </c>
      <c r="AM39">
        <f t="array" ref="AM39">IFERROR((SUMPRODUCT((economics!$AG$2:$AG$167=$B39)*(economics!$D$2:$D$167="process")*economics!$AH$2:$AH$167*(_xlfn.NORM.DIST(AM$3,economics!$AK$2:$AK$167,economics!$AJ$2:$AJ$167,TRUE)-_xlfn.NORM.DIST(AM$30,economics!$AK$2:$AK$167,economics!$AJ$2:$AJ$167,TRUE))*economics!$AM$2:$AM$167))/(SUMPRODUCT((economics!$AG$2:$AG$167=$B39)*(economics!$D$2:$D$167="process")*economics!$AH$2:$AH$167*(_xlfn.NORM.DIST(AM$3,economics!$AK$2:$AK$167,economics!$AJ$2:$AJ$167,TRUE)-_xlfn.NORM.DIST(AM$30,economics!$AK$2:$AK$167,economics!$AJ$2:$AJ$167,TRUE)))),"")</f>
        <v/>
      </c>
      <c r="AN39">
        <f t="array" ref="AN39">IFERROR((SUMPRODUCT((economics!$AG$2:$AG$167=$B39)*(economics!$D$2:$D$167="process")*economics!$AH$2:$AH$167*(_xlfn.NORM.DIST(AN$3,economics!$AK$2:$AK$167,economics!$AJ$2:$AJ$167,TRUE)-_xlfn.NORM.DIST(AN$30,economics!$AK$2:$AK$167,economics!$AJ$2:$AJ$167,TRUE))*economics!$AM$2:$AM$167))/(SUMPRODUCT((economics!$AG$2:$AG$167=$B39)*(economics!$D$2:$D$167="process")*economics!$AH$2:$AH$167*(_xlfn.NORM.DIST(AN$3,economics!$AK$2:$AK$167,economics!$AJ$2:$AJ$167,TRUE)-_xlfn.NORM.DIST(AN$30,economics!$AK$2:$AK$167,economics!$AJ$2:$AJ$167,TRUE)))),"")</f>
        <v/>
      </c>
      <c r="AO39">
        <f t="array" ref="AO39">IFERROR((SUMPRODUCT((economics!$AG$2:$AG$167=$B39)*(economics!$D$2:$D$167="process")*economics!$AH$2:$AH$167*(_xlfn.NORM.DIST(AO$3,economics!$AK$2:$AK$167,economics!$AJ$2:$AJ$167,TRUE)-_xlfn.NORM.DIST(AO$30,economics!$AK$2:$AK$167,economics!$AJ$2:$AJ$167,TRUE))*economics!$AM$2:$AM$167))/(SUMPRODUCT((economics!$AG$2:$AG$167=$B39)*(economics!$D$2:$D$167="process")*economics!$AH$2:$AH$167*(_xlfn.NORM.DIST(AO$3,economics!$AK$2:$AK$167,economics!$AJ$2:$AJ$167,TRUE)-_xlfn.NORM.DIST(AO$30,economics!$AK$2:$AK$167,economics!$AJ$2:$AJ$167,TRUE)))),"")</f>
        <v/>
      </c>
      <c r="AP39">
        <f t="array" ref="AP39">IFERROR((SUMPRODUCT((economics!$AG$2:$AG$167=$B39)*(economics!$D$2:$D$167="process")*economics!$AH$2:$AH$167*(_xlfn.NORM.DIST(AP$3,economics!$AK$2:$AK$167,economics!$AJ$2:$AJ$167,TRUE)-_xlfn.NORM.DIST(AP$30,economics!$AK$2:$AK$167,economics!$AJ$2:$AJ$167,TRUE))*economics!$AM$2:$AM$167))/(SUMPRODUCT((economics!$AG$2:$AG$167=$B39)*(economics!$D$2:$D$167="process")*economics!$AH$2:$AH$167*(_xlfn.NORM.DIST(AP$3,economics!$AK$2:$AK$167,economics!$AJ$2:$AJ$167,TRUE)-_xlfn.NORM.DIST(AP$30,economics!$AK$2:$AK$167,economics!$AJ$2:$AJ$167,TRUE)))),"")</f>
        <v/>
      </c>
      <c r="AQ39">
        <f t="array" ref="AQ39">IFERROR((SUMPRODUCT((economics!$AG$2:$AG$167=$B39)*(economics!$D$2:$D$167="process")*economics!$AH$2:$AH$167*(_xlfn.NORM.DIST(AQ$3,economics!$AK$2:$AK$167,economics!$AJ$2:$AJ$167,TRUE)-_xlfn.NORM.DIST(AQ$30,economics!$AK$2:$AK$167,economics!$AJ$2:$AJ$167,TRUE))*economics!$AM$2:$AM$167))/(SUMPRODUCT((economics!$AG$2:$AG$167=$B39)*(economics!$D$2:$D$167="process")*economics!$AH$2:$AH$167*(_xlfn.NORM.DIST(AQ$3,economics!$AK$2:$AK$167,economics!$AJ$2:$AJ$167,TRUE)-_xlfn.NORM.DIST(AQ$30,economics!$AK$2:$AK$167,economics!$AJ$2:$AJ$167,TRUE)))),"")</f>
        <v/>
      </c>
      <c r="AR39">
        <f t="array" ref="AR39">IFERROR((SUMPRODUCT((economics!$AG$2:$AG$167=$B39)*(economics!$D$2:$D$167="process")*economics!$AH$2:$AH$167*(_xlfn.NORM.DIST(AR$3,economics!$AK$2:$AK$167,economics!$AJ$2:$AJ$167,TRUE)-_xlfn.NORM.DIST(AR$30,economics!$AK$2:$AK$167,economics!$AJ$2:$AJ$167,TRUE))*economics!$AM$2:$AM$167))/(SUMPRODUCT((economics!$AG$2:$AG$167=$B39)*(economics!$D$2:$D$167="process")*economics!$AH$2:$AH$167*(_xlfn.NORM.DIST(AR$3,economics!$AK$2:$AK$167,economics!$AJ$2:$AJ$167,TRUE)-_xlfn.NORM.DIST(AR$30,economics!$AK$2:$AK$167,economics!$AJ$2:$AJ$167,TRUE)))),"")</f>
        <v/>
      </c>
      <c r="AS39">
        <f t="array" ref="AS39">IFERROR((SUMPRODUCT((economics!$AG$2:$AG$167=$B39)*(economics!$D$2:$D$167="process")*economics!$AH$2:$AH$167*(_xlfn.NORM.DIST(AS$3,economics!$AK$2:$AK$167,economics!$AJ$2:$AJ$167,TRUE)-_xlfn.NORM.DIST(AS$30,economics!$AK$2:$AK$167,economics!$AJ$2:$AJ$167,TRUE))*economics!$AM$2:$AM$167))/(SUMPRODUCT((economics!$AG$2:$AG$167=$B39)*(economics!$D$2:$D$167="process")*economics!$AH$2:$AH$167*(_xlfn.NORM.DIST(AS$3,economics!$AK$2:$AK$167,economics!$AJ$2:$AJ$167,TRUE)-_xlfn.NORM.DIST(AS$30,economics!$AK$2:$AK$167,economics!$AJ$2:$AJ$167,TRUE)))),"")</f>
        <v/>
      </c>
      <c r="AT39">
        <f t="array" ref="AT39">IFERROR((SUMPRODUCT((economics!$AG$2:$AG$167=$B39)*(economics!$D$2:$D$167="process")*economics!$AH$2:$AH$167*(_xlfn.NORM.DIST(AT$3,economics!$AK$2:$AK$167,economics!$AJ$2:$AJ$167,TRUE)-_xlfn.NORM.DIST(AT$30,economics!$AK$2:$AK$167,economics!$AJ$2:$AJ$167,TRUE))*economics!$AM$2:$AM$167))/(SUMPRODUCT((economics!$AG$2:$AG$167=$B39)*(economics!$D$2:$D$167="process")*economics!$AH$2:$AH$167*(_xlfn.NORM.DIST(AT$3,economics!$AK$2:$AK$167,economics!$AJ$2:$AJ$167,TRUE)-_xlfn.NORM.DIST(AT$30,economics!$AK$2:$AK$167,economics!$AJ$2:$AJ$167,TRUE)))),"")</f>
        <v/>
      </c>
      <c r="AU39">
        <f t="array" ref="AU39">IFERROR((SUMPRODUCT((economics!$AG$2:$AG$167=$B39)*(economics!$D$2:$D$167="process")*economics!$AH$2:$AH$167*(_xlfn.NORM.DIST(AU$3,economics!$AK$2:$AK$167,economics!$AJ$2:$AJ$167,TRUE)-_xlfn.NORM.DIST(AU$30,economics!$AK$2:$AK$167,economics!$AJ$2:$AJ$167,TRUE))*economics!$AM$2:$AM$167))/(SUMPRODUCT((economics!$AG$2:$AG$167=$B39)*(economics!$D$2:$D$167="process")*economics!$AH$2:$AH$167*(_xlfn.NORM.DIST(AU$3,economics!$AK$2:$AK$167,economics!$AJ$2:$AJ$167,TRUE)-_xlfn.NORM.DIST(AU$30,economics!$AK$2:$AK$167,economics!$AJ$2:$AJ$167,TRUE)))),"")</f>
        <v/>
      </c>
      <c r="AV39">
        <f t="array" ref="AV39">IFERROR((SUMPRODUCT((economics!$AG$2:$AG$167=$B39)*(economics!$D$2:$D$167="process")*economics!$AH$2:$AH$167*(_xlfn.NORM.DIST(AV$3,economics!$AK$2:$AK$167,economics!$AJ$2:$AJ$167,TRUE)-_xlfn.NORM.DIST(AV$30,economics!$AK$2:$AK$167,economics!$AJ$2:$AJ$167,TRUE))*economics!$AM$2:$AM$167))/(SUMPRODUCT((economics!$AG$2:$AG$167=$B39)*(economics!$D$2:$D$167="process")*economics!$AH$2:$AH$167*(_xlfn.NORM.DIST(AV$3,economics!$AK$2:$AK$167,economics!$AJ$2:$AJ$167,TRUE)-_xlfn.NORM.DIST(AV$30,economics!$AK$2:$AK$167,economics!$AJ$2:$AJ$167,TRUE)))),"")</f>
        <v/>
      </c>
      <c r="AW39">
        <f t="array" ref="AW39">IFERROR((SUMPRODUCT((economics!$AG$2:$AG$167=$B39)*(economics!$D$2:$D$167="process")*economics!$AH$2:$AH$167*(_xlfn.NORM.DIST(AW$3,economics!$AK$2:$AK$167,economics!$AJ$2:$AJ$167,TRUE)-_xlfn.NORM.DIST(AW$30,economics!$AK$2:$AK$167,economics!$AJ$2:$AJ$167,TRUE))*economics!$AM$2:$AM$167))/(SUMPRODUCT((economics!$AG$2:$AG$167=$B39)*(economics!$D$2:$D$167="process")*economics!$AH$2:$AH$167*(_xlfn.NORM.DIST(AW$3,economics!$AK$2:$AK$167,economics!$AJ$2:$AJ$167,TRUE)-_xlfn.NORM.DIST(AW$30,economics!$AK$2:$AK$167,economics!$AJ$2:$AJ$167,TRUE)))),"")</f>
        <v/>
      </c>
      <c r="AX39">
        <f t="array" ref="AX39">IFERROR((SUMPRODUCT((economics!$AG$2:$AG$167=$B39)*(economics!$D$2:$D$167="process")*economics!$AH$2:$AH$167*(_xlfn.NORM.DIST(AX$3,economics!$AK$2:$AK$167,economics!$AJ$2:$AJ$167,TRUE)-_xlfn.NORM.DIST(AX$30,economics!$AK$2:$AK$167,economics!$AJ$2:$AJ$167,TRUE))*economics!$AM$2:$AM$167))/(SUMPRODUCT((economics!$AG$2:$AG$167=$B39)*(economics!$D$2:$D$167="process")*economics!$AH$2:$AH$167*(_xlfn.NORM.DIST(AX$3,economics!$AK$2:$AK$167,economics!$AJ$2:$AJ$167,TRUE)-_xlfn.NORM.DIST(AX$30,economics!$AK$2:$AK$167,economics!$AJ$2:$AJ$167,TRUE)))),"")</f>
        <v/>
      </c>
      <c r="AY39">
        <f t="array" ref="AY39">IFERROR((SUMPRODUCT((economics!$AG$2:$AG$167=$B39)*(economics!$D$2:$D$167="process")*economics!$AH$2:$AH$167*(_xlfn.NORM.DIST(AY$3,economics!$AK$2:$AK$167,economics!$AJ$2:$AJ$167,TRUE)-_xlfn.NORM.DIST(AY$30,economics!$AK$2:$AK$167,economics!$AJ$2:$AJ$167,TRUE))*economics!$AM$2:$AM$167))/(SUMPRODUCT((economics!$AG$2:$AG$167=$B39)*(economics!$D$2:$D$167="process")*economics!$AH$2:$AH$167*(_xlfn.NORM.DIST(AY$3,economics!$AK$2:$AK$167,economics!$AJ$2:$AJ$167,TRUE)-_xlfn.NORM.DIST(AY$30,economics!$AK$2:$AK$167,economics!$AJ$2:$AJ$167,TRUE)))),"")</f>
        <v/>
      </c>
      <c r="AZ39">
        <f t="array" ref="AZ39">IFERROR((SUMPRODUCT((economics!$AG$2:$AG$167=$B39)*(economics!$D$2:$D$167="process")*economics!$AH$2:$AH$167*(_xlfn.NORM.DIST(AZ$3,economics!$AK$2:$AK$167,economics!$AJ$2:$AJ$167,TRUE)-_xlfn.NORM.DIST(AZ$30,economics!$AK$2:$AK$167,economics!$AJ$2:$AJ$167,TRUE))*economics!$AM$2:$AM$167))/(SUMPRODUCT((economics!$AG$2:$AG$167=$B39)*(economics!$D$2:$D$167="process")*economics!$AH$2:$AH$167*(_xlfn.NORM.DIST(AZ$3,economics!$AK$2:$AK$167,economics!$AJ$2:$AJ$167,TRUE)-_xlfn.NORM.DIST(AZ$30,economics!$AK$2:$AK$167,economics!$AJ$2:$AJ$167,TRUE)))),"")</f>
        <v/>
      </c>
      <c r="BA39">
        <f t="array" ref="BA39">IFERROR((SUMPRODUCT((economics!$AG$2:$AG$167=$B39)*(economics!$D$2:$D$167="process")*economics!$AH$2:$AH$167*(_xlfn.NORM.DIST(BA$3,economics!$AK$2:$AK$167,economics!$AJ$2:$AJ$167,TRUE)-_xlfn.NORM.DIST(BA$30,economics!$AK$2:$AK$167,economics!$AJ$2:$AJ$167,TRUE))*economics!$AM$2:$AM$167))/(SUMPRODUCT((economics!$AG$2:$AG$167=$B39)*(economics!$D$2:$D$167="process")*economics!$AH$2:$AH$167*(_xlfn.NORM.DIST(BA$3,economics!$AK$2:$AK$167,economics!$AJ$2:$AJ$167,TRUE)-_xlfn.NORM.DIST(BA$30,economics!$AK$2:$AK$167,economics!$AJ$2:$AJ$167,TRUE)))),"")</f>
        <v/>
      </c>
      <c r="BB39">
        <f t="array" ref="BB39">IFERROR((SUMPRODUCT((economics!$AG$2:$AG$167=$B39)*(economics!$D$2:$D$167="process")*economics!$AH$2:$AH$167*(_xlfn.NORM.DIST(BB$3,economics!$AK$2:$AK$167,economics!$AJ$2:$AJ$167,TRUE)-_xlfn.NORM.DIST(BB$30,economics!$AK$2:$AK$167,economics!$AJ$2:$AJ$167,TRUE))*economics!$AM$2:$AM$167))/(SUMPRODUCT((economics!$AG$2:$AG$167=$B39)*(economics!$D$2:$D$167="process")*economics!$AH$2:$AH$167*(_xlfn.NORM.DIST(BB$3,economics!$AK$2:$AK$167,economics!$AJ$2:$AJ$167,TRUE)-_xlfn.NORM.DIST(BB$30,economics!$AK$2:$AK$167,economics!$AJ$2:$AJ$167,TRUE)))),"")</f>
        <v/>
      </c>
      <c r="BC39">
        <f t="array" ref="BC39">IFERROR((SUMPRODUCT((economics!$AG$2:$AG$167=$B39)*(economics!$D$2:$D$167="process")*economics!$AH$2:$AH$167*(_xlfn.NORM.DIST(BC$3,economics!$AK$2:$AK$167,economics!$AJ$2:$AJ$167,TRUE)-_xlfn.NORM.DIST(BC$30,economics!$AK$2:$AK$167,economics!$AJ$2:$AJ$167,TRUE))*economics!$AM$2:$AM$167))/(SUMPRODUCT((economics!$AG$2:$AG$167=$B39)*(economics!$D$2:$D$167="process")*economics!$AH$2:$AH$167*(_xlfn.NORM.DIST(BC$3,economics!$AK$2:$AK$167,economics!$AJ$2:$AJ$167,TRUE)-_xlfn.NORM.DIST(BC$30,economics!$AK$2:$AK$167,economics!$AJ$2:$AJ$167,TRUE)))),"")</f>
        <v/>
      </c>
      <c r="BD39">
        <f t="array" ref="BD39">IFERROR((SUMPRODUCT((economics!$AG$2:$AG$167=$B39)*(economics!$D$2:$D$167="process")*economics!$AH$2:$AH$167*(_xlfn.NORM.DIST(BD$3,economics!$AK$2:$AK$167,economics!$AJ$2:$AJ$167,TRUE)-_xlfn.NORM.DIST(BD$30,economics!$AK$2:$AK$167,economics!$AJ$2:$AJ$167,TRUE))*economics!$AM$2:$AM$167))/(SUMPRODUCT((economics!$AG$2:$AG$167=$B39)*(economics!$D$2:$D$167="process")*economics!$AH$2:$AH$167*(_xlfn.NORM.DIST(BD$3,economics!$AK$2:$AK$167,economics!$AJ$2:$AJ$167,TRUE)-_xlfn.NORM.DIST(BD$30,economics!$AK$2:$AK$167,economics!$AJ$2:$AJ$167,TRUE)))),"")</f>
        <v/>
      </c>
      <c r="BE39">
        <f t="array" ref="BE39">IFERROR((SUMPRODUCT((economics!$AG$2:$AG$167=$B39)*(economics!$D$2:$D$167="process")*economics!$AH$2:$AH$167*(_xlfn.NORM.DIST(BE$3,economics!$AK$2:$AK$167,economics!$AJ$2:$AJ$167,TRUE)-_xlfn.NORM.DIST(BE$30,economics!$AK$2:$AK$167,economics!$AJ$2:$AJ$167,TRUE))*economics!$AM$2:$AM$167))/(SUMPRODUCT((economics!$AG$2:$AG$167=$B39)*(economics!$D$2:$D$167="process")*economics!$AH$2:$AH$167*(_xlfn.NORM.DIST(BE$3,economics!$AK$2:$AK$167,economics!$AJ$2:$AJ$167,TRUE)-_xlfn.NORM.DIST(BE$30,economics!$AK$2:$AK$167,economics!$AJ$2:$AJ$167,TRUE)))),"")</f>
        <v/>
      </c>
      <c r="BF39">
        <f t="array" ref="BF39">IFERROR((SUMPRODUCT((economics!$AG$2:$AG$167=$B39)*(economics!$D$2:$D$167="process")*economics!$AH$2:$AH$167*(_xlfn.NORM.DIST(BF$3,economics!$AK$2:$AK$167,economics!$AJ$2:$AJ$167,TRUE)-_xlfn.NORM.DIST(BF$30,economics!$AK$2:$AK$167,economics!$AJ$2:$AJ$167,TRUE))*economics!$AM$2:$AM$167))/(SUMPRODUCT((economics!$AG$2:$AG$167=$B39)*(economics!$D$2:$D$167="process")*economics!$AH$2:$AH$167*(_xlfn.NORM.DIST(BF$3,economics!$AK$2:$AK$167,economics!$AJ$2:$AJ$167,TRUE)-_xlfn.NORM.DIST(BF$30,economics!$AK$2:$AK$167,economics!$AJ$2:$AJ$167,TRUE)))),"")</f>
        <v/>
      </c>
      <c r="BG39">
        <f t="array" ref="BG39">IFERROR((SUMPRODUCT((economics!$AG$2:$AG$167=$B39)*(economics!$D$2:$D$167="process")*economics!$AH$2:$AH$167*(_xlfn.NORM.DIST(BG$3,economics!$AK$2:$AK$167,economics!$AJ$2:$AJ$167,TRUE)-_xlfn.NORM.DIST(BG$30,economics!$AK$2:$AK$167,economics!$AJ$2:$AJ$167,TRUE))*economics!$AM$2:$AM$167))/(SUMPRODUCT((economics!$AG$2:$AG$167=$B39)*(economics!$D$2:$D$167="process")*economics!$AH$2:$AH$167*(_xlfn.NORM.DIST(BG$3,economics!$AK$2:$AK$167,economics!$AJ$2:$AJ$167,TRUE)-_xlfn.NORM.DIST(BG$30,economics!$AK$2:$AK$167,economics!$AJ$2:$AJ$167,TRUE)))),"")</f>
        <v/>
      </c>
      <c r="BH39">
        <f t="array" ref="BH39">IFERROR((SUMPRODUCT((economics!$AG$2:$AG$167=$B39)*(economics!$D$2:$D$167="process")*economics!$AH$2:$AH$167*(_xlfn.NORM.DIST(BH$3,economics!$AK$2:$AK$167,economics!$AJ$2:$AJ$167,TRUE)-_xlfn.NORM.DIST(BH$30,economics!$AK$2:$AK$167,economics!$AJ$2:$AJ$167,TRUE))*economics!$AM$2:$AM$167))/(SUMPRODUCT((economics!$AG$2:$AG$167=$B39)*(economics!$D$2:$D$167="process")*economics!$AH$2:$AH$167*(_xlfn.NORM.DIST(BH$3,economics!$AK$2:$AK$167,economics!$AJ$2:$AJ$167,TRUE)-_xlfn.NORM.DIST(BH$30,economics!$AK$2:$AK$167,economics!$AJ$2:$AJ$167,TRUE)))),"")</f>
        <v/>
      </c>
      <c r="BI39">
        <f t="array" ref="BI39">IFERROR((SUMPRODUCT((economics!$AG$2:$AG$167=$B39)*(economics!$D$2:$D$167="process")*economics!$AH$2:$AH$167*(_xlfn.NORM.DIST(BI$3,economics!$AK$2:$AK$167,economics!$AJ$2:$AJ$167,TRUE)-_xlfn.NORM.DIST(BI$30,economics!$AK$2:$AK$167,economics!$AJ$2:$AJ$167,TRUE))*economics!$AM$2:$AM$167))/(SUMPRODUCT((economics!$AG$2:$AG$167=$B39)*(economics!$D$2:$D$167="process")*economics!$AH$2:$AH$167*(_xlfn.NORM.DIST(BI$3,economics!$AK$2:$AK$167,economics!$AJ$2:$AJ$167,TRUE)-_xlfn.NORM.DIST(BI$30,economics!$AK$2:$AK$167,economics!$AJ$2:$AJ$167,TRUE)))),"")</f>
        <v/>
      </c>
      <c r="BJ39">
        <f t="array" ref="BJ39">IFERROR((SUMPRODUCT((economics!$AG$2:$AG$167=$B39)*(economics!$D$2:$D$167="process")*economics!$AH$2:$AH$167*(_xlfn.NORM.DIST(BJ$3,economics!$AK$2:$AK$167,economics!$AJ$2:$AJ$167,TRUE)-_xlfn.NORM.DIST(BJ$30,economics!$AK$2:$AK$167,economics!$AJ$2:$AJ$167,TRUE))*economics!$AM$2:$AM$167))/(SUMPRODUCT((economics!$AG$2:$AG$167=$B39)*(economics!$D$2:$D$167="process")*economics!$AH$2:$AH$167*(_xlfn.NORM.DIST(BJ$3,economics!$AK$2:$AK$167,economics!$AJ$2:$AJ$167,TRUE)-_xlfn.NORM.DIST(BJ$30,economics!$AK$2:$AK$167,economics!$AJ$2:$AJ$167,TRUE)))),"")</f>
        <v/>
      </c>
      <c r="BK39">
        <f t="array" ref="BK39">IFERROR((SUMPRODUCT((economics!$AG$2:$AG$167=$B39)*(economics!$D$2:$D$167="process")*economics!$AH$2:$AH$167*(_xlfn.NORM.DIST(BK$3,economics!$AK$2:$AK$167,economics!$AJ$2:$AJ$167,TRUE)-_xlfn.NORM.DIST(BK$30,economics!$AK$2:$AK$167,economics!$AJ$2:$AJ$167,TRUE))*economics!$AM$2:$AM$167))/(SUMPRODUCT((economics!$AG$2:$AG$167=$B39)*(economics!$D$2:$D$167="process")*economics!$AH$2:$AH$167*(_xlfn.NORM.DIST(BK$3,economics!$AK$2:$AK$167,economics!$AJ$2:$AJ$167,TRUE)-_xlfn.NORM.DIST(BK$30,economics!$AK$2:$AK$167,economics!$AJ$2:$AJ$167,TRUE)))),"")</f>
        <v/>
      </c>
      <c r="BL39">
        <f t="array" ref="BL39">IFERROR((SUMPRODUCT((economics!$AG$2:$AG$167=$B39)*(economics!$D$2:$D$167="process")*economics!$AH$2:$AH$167*(_xlfn.NORM.DIST(BL$3,economics!$AK$2:$AK$167,economics!$AJ$2:$AJ$167,TRUE)-_xlfn.NORM.DIST(BL$30,economics!$AK$2:$AK$167,economics!$AJ$2:$AJ$167,TRUE))*economics!$AM$2:$AM$167))/(SUMPRODUCT((economics!$AG$2:$AG$167=$B39)*(economics!$D$2:$D$167="process")*economics!$AH$2:$AH$167*(_xlfn.NORM.DIST(BL$3,economics!$AK$2:$AK$167,economics!$AJ$2:$AJ$167,TRUE)-_xlfn.NORM.DIST(BL$30,economics!$AK$2:$AK$167,economics!$AJ$2:$AJ$167,TRUE)))),"")</f>
        <v/>
      </c>
      <c r="BM39">
        <f t="array" ref="BM39">IFERROR((SUMPRODUCT((economics!$AG$2:$AG$167=$B39)*(economics!$D$2:$D$167="process")*economics!$AH$2:$AH$167*(_xlfn.NORM.DIST(BM$3,economics!$AK$2:$AK$167,economics!$AJ$2:$AJ$167,TRUE)-_xlfn.NORM.DIST(BM$30,economics!$AK$2:$AK$167,economics!$AJ$2:$AJ$167,TRUE))*economics!$AM$2:$AM$167))/(SUMPRODUCT((economics!$AG$2:$AG$167=$B39)*(economics!$D$2:$D$167="process")*economics!$AH$2:$AH$167*(_xlfn.NORM.DIST(BM$3,economics!$AK$2:$AK$167,economics!$AJ$2:$AJ$167,TRUE)-_xlfn.NORM.DIST(BM$30,economics!$AK$2:$AK$167,economics!$AJ$2:$AJ$167,TRUE)))),"")</f>
        <v/>
      </c>
      <c r="BN39">
        <f t="array" ref="BN39">IFERROR((SUMPRODUCT((economics!$AG$2:$AG$167=$B39)*(economics!$D$2:$D$167="process")*economics!$AH$2:$AH$167*(_xlfn.NORM.DIST(BN$3,economics!$AK$2:$AK$167,economics!$AJ$2:$AJ$167,TRUE)-_xlfn.NORM.DIST(BN$30,economics!$AK$2:$AK$167,economics!$AJ$2:$AJ$167,TRUE))*economics!$AM$2:$AM$167))/(SUMPRODUCT((economics!$AG$2:$AG$167=$B39)*(economics!$D$2:$D$167="process")*economics!$AH$2:$AH$167*(_xlfn.NORM.DIST(BN$3,economics!$AK$2:$AK$167,economics!$AJ$2:$AJ$167,TRUE)-_xlfn.NORM.DIST(BN$30,economics!$AK$2:$AK$167,economics!$AJ$2:$AJ$167,TRUE)))),"")</f>
        <v/>
      </c>
      <c r="BO39">
        <f t="array" ref="BO39">IFERROR((SUMPRODUCT((economics!$AG$2:$AG$167=$B39)*(economics!$D$2:$D$167="process")*economics!$AH$2:$AH$167*(_xlfn.NORM.DIST(BO$3,economics!$AK$2:$AK$167,economics!$AJ$2:$AJ$167,TRUE)-_xlfn.NORM.DIST(BO$30,economics!$AK$2:$AK$167,economics!$AJ$2:$AJ$167,TRUE))*economics!$AM$2:$AM$167))/(SUMPRODUCT((economics!$AG$2:$AG$167=$B39)*(economics!$D$2:$D$167="process")*economics!$AH$2:$AH$167*(_xlfn.NORM.DIST(BO$3,economics!$AK$2:$AK$167,economics!$AJ$2:$AJ$167,TRUE)-_xlfn.NORM.DIST(BO$30,economics!$AK$2:$AK$167,economics!$AJ$2:$AJ$167,TRUE)))),"")</f>
        <v/>
      </c>
      <c r="BP39">
        <f t="array" ref="BP39">IFERROR((SUMPRODUCT((economics!$AG$2:$AG$167=$B39)*(economics!$D$2:$D$167="process")*economics!$AH$2:$AH$167*(_xlfn.NORM.DIST(BP$3,economics!$AK$2:$AK$167,economics!$AJ$2:$AJ$167,TRUE)-_xlfn.NORM.DIST(BP$30,economics!$AK$2:$AK$167,economics!$AJ$2:$AJ$167,TRUE))*economics!$AM$2:$AM$167))/(SUMPRODUCT((economics!$AG$2:$AG$167=$B39)*(economics!$D$2:$D$167="process")*economics!$AH$2:$AH$167*(_xlfn.NORM.DIST(BP$3,economics!$AK$2:$AK$167,economics!$AJ$2:$AJ$167,TRUE)-_xlfn.NORM.DIST(BP$30,economics!$AK$2:$AK$167,economics!$AJ$2:$AJ$167,TRUE)))),"")</f>
        <v/>
      </c>
      <c r="BQ39">
        <f t="array" ref="BQ39">IFERROR((SUMPRODUCT((economics!$AG$2:$AG$167=$B39)*(economics!$D$2:$D$167="process")*economics!$AH$2:$AH$167*(_xlfn.NORM.DIST(BQ$3,economics!$AK$2:$AK$167,economics!$AJ$2:$AJ$167,TRUE)-_xlfn.NORM.DIST(BQ$30,economics!$AK$2:$AK$167,economics!$AJ$2:$AJ$167,TRUE))*economics!$AM$2:$AM$167))/(SUMPRODUCT((economics!$AG$2:$AG$167=$B39)*(economics!$D$2:$D$167="process")*economics!$AH$2:$AH$167*(_xlfn.NORM.DIST(BQ$3,economics!$AK$2:$AK$167,economics!$AJ$2:$AJ$167,TRUE)-_xlfn.NORM.DIST(BQ$30,economics!$AK$2:$AK$167,economics!$AJ$2:$AJ$167,TRUE)))),"")</f>
        <v/>
      </c>
      <c r="BR39">
        <f t="array" ref="BR39">IFERROR((SUMPRODUCT((economics!$AG$2:$AG$167=$B39)*(economics!$D$2:$D$167="process")*economics!$AH$2:$AH$167*(_xlfn.NORM.DIST(BR$3,economics!$AK$2:$AK$167,economics!$AJ$2:$AJ$167,TRUE)-_xlfn.NORM.DIST(BR$30,economics!$AK$2:$AK$167,economics!$AJ$2:$AJ$167,TRUE))*economics!$AM$2:$AM$167))/(SUMPRODUCT((economics!$AG$2:$AG$167=$B39)*(economics!$D$2:$D$167="process")*economics!$AH$2:$AH$167*(_xlfn.NORM.DIST(BR$3,economics!$AK$2:$AK$167,economics!$AJ$2:$AJ$167,TRUE)-_xlfn.NORM.DIST(BR$30,economics!$AK$2:$AK$167,economics!$AJ$2:$AJ$167,TRUE)))),"")</f>
        <v/>
      </c>
      <c r="BS39">
        <f t="array" ref="BS39">IFERROR((SUMPRODUCT((economics!$AG$2:$AG$167=$B39)*(economics!$D$2:$D$167="process")*economics!$AH$2:$AH$167*(_xlfn.NORM.DIST(BS$3,economics!$AK$2:$AK$167,economics!$AJ$2:$AJ$167,TRUE)-_xlfn.NORM.DIST(BS$30,economics!$AK$2:$AK$167,economics!$AJ$2:$AJ$167,TRUE))*economics!$AM$2:$AM$167))/(SUMPRODUCT((economics!$AG$2:$AG$167=$B39)*(economics!$D$2:$D$167="process")*economics!$AH$2:$AH$167*(_xlfn.NORM.DIST(BS$3,economics!$AK$2:$AK$167,economics!$AJ$2:$AJ$167,TRUE)-_xlfn.NORM.DIST(BS$30,economics!$AK$2:$AK$167,economics!$AJ$2:$AJ$167,TRUE)))),"")</f>
        <v/>
      </c>
      <c r="BT39">
        <f t="array" ref="BT39">IFERROR((SUMPRODUCT((economics!$AG$2:$AG$167=$B39)*(economics!$D$2:$D$167="process")*economics!$AH$2:$AH$167*(_xlfn.NORM.DIST(BT$3,economics!$AK$2:$AK$167,economics!$AJ$2:$AJ$167,TRUE)-_xlfn.NORM.DIST(BT$30,economics!$AK$2:$AK$167,economics!$AJ$2:$AJ$167,TRUE))*economics!$AM$2:$AM$167))/(SUMPRODUCT((economics!$AG$2:$AG$167=$B39)*(economics!$D$2:$D$167="process")*economics!$AH$2:$AH$167*(_xlfn.NORM.DIST(BT$3,economics!$AK$2:$AK$167,economics!$AJ$2:$AJ$167,TRUE)-_xlfn.NORM.DIST(BT$30,economics!$AK$2:$AK$167,economics!$AJ$2:$AJ$167,TRUE)))),"")</f>
        <v/>
      </c>
      <c r="BU39">
        <f t="array" ref="BU39">IFERROR((SUMPRODUCT((economics!$AG$2:$AG$167=$B39)*(economics!$D$2:$D$167="process")*economics!$AH$2:$AH$167*(_xlfn.NORM.DIST(BU$3,economics!$AK$2:$AK$167,economics!$AJ$2:$AJ$167,TRUE)-_xlfn.NORM.DIST(BU$30,economics!$AK$2:$AK$167,economics!$AJ$2:$AJ$167,TRUE))*economics!$AM$2:$AM$167))/(SUMPRODUCT((economics!$AG$2:$AG$167=$B39)*(economics!$D$2:$D$167="process")*economics!$AH$2:$AH$167*(_xlfn.NORM.DIST(BU$3,economics!$AK$2:$AK$167,economics!$AJ$2:$AJ$167,TRUE)-_xlfn.NORM.DIST(BU$30,economics!$AK$2:$AK$167,economics!$AJ$2:$AJ$167,TRUE)))),"")</f>
        <v/>
      </c>
      <c r="BV39">
        <f t="array" ref="BV39">IFERROR((SUMPRODUCT((economics!$AG$2:$AG$167=$B39)*(economics!$D$2:$D$167="process")*economics!$AH$2:$AH$167*(_xlfn.NORM.DIST(BV$3,economics!$AK$2:$AK$167,economics!$AJ$2:$AJ$167,TRUE)-_xlfn.NORM.DIST(BV$30,economics!$AK$2:$AK$167,economics!$AJ$2:$AJ$167,TRUE))*economics!$AM$2:$AM$167))/(SUMPRODUCT((economics!$AG$2:$AG$167=$B39)*(economics!$D$2:$D$167="process")*economics!$AH$2:$AH$167*(_xlfn.NORM.DIST(BV$3,economics!$AK$2:$AK$167,economics!$AJ$2:$AJ$167,TRUE)-_xlfn.NORM.DIST(BV$30,economics!$AK$2:$AK$167,economics!$AJ$2:$AJ$167,TRUE)))),"")</f>
        <v/>
      </c>
      <c r="BW39">
        <f t="array" ref="BW39">IFERROR((SUMPRODUCT((economics!$AG$2:$AG$167=$B39)*(economics!$D$2:$D$167="process")*economics!$AH$2:$AH$167*(_xlfn.NORM.DIST(BW$3,economics!$AK$2:$AK$167,economics!$AJ$2:$AJ$167,TRUE)-_xlfn.NORM.DIST(BW$30,economics!$AK$2:$AK$167,economics!$AJ$2:$AJ$167,TRUE))*economics!$AM$2:$AM$167))/(SUMPRODUCT((economics!$AG$2:$AG$167=$B39)*(economics!$D$2:$D$167="process")*economics!$AH$2:$AH$167*(_xlfn.NORM.DIST(BW$3,economics!$AK$2:$AK$167,economics!$AJ$2:$AJ$167,TRUE)-_xlfn.NORM.DIST(BW$30,economics!$AK$2:$AK$167,economics!$AJ$2:$AJ$167,TRUE)))),"")</f>
        <v/>
      </c>
      <c r="BX39">
        <f t="array" ref="BX39">IFERROR((SUMPRODUCT((economics!$AG$2:$AG$167=$B39)*(economics!$D$2:$D$167="process")*economics!$AH$2:$AH$167*(_xlfn.NORM.DIST(BX$3,economics!$AK$2:$AK$167,economics!$AJ$2:$AJ$167,TRUE)-_xlfn.NORM.DIST(BX$30,economics!$AK$2:$AK$167,economics!$AJ$2:$AJ$167,TRUE))*economics!$AM$2:$AM$167))/(SUMPRODUCT((economics!$AG$2:$AG$167=$B39)*(economics!$D$2:$D$167="process")*economics!$AH$2:$AH$167*(_xlfn.NORM.DIST(BX$3,economics!$AK$2:$AK$167,economics!$AJ$2:$AJ$167,TRUE)-_xlfn.NORM.DIST(BX$30,economics!$AK$2:$AK$167,economics!$AJ$2:$AJ$167,TRUE)))),"")</f>
        <v/>
      </c>
      <c r="BY39">
        <f t="array" ref="BY39">IFERROR((SUMPRODUCT((economics!$AG$2:$AG$167=$B39)*(economics!$D$2:$D$167="process")*economics!$AH$2:$AH$167*(_xlfn.NORM.DIST(BY$3,economics!$AK$2:$AK$167,economics!$AJ$2:$AJ$167,TRUE)-_xlfn.NORM.DIST(BY$30,economics!$AK$2:$AK$167,economics!$AJ$2:$AJ$167,TRUE))*economics!$AM$2:$AM$167))/(SUMPRODUCT((economics!$AG$2:$AG$167=$B39)*(economics!$D$2:$D$167="process")*economics!$AH$2:$AH$167*(_xlfn.NORM.DIST(BY$3,economics!$AK$2:$AK$167,economics!$AJ$2:$AJ$167,TRUE)-_xlfn.NORM.DIST(BY$30,economics!$AK$2:$AK$167,economics!$AJ$2:$AJ$167,TRUE)))),"")</f>
        <v/>
      </c>
      <c r="BZ39">
        <f t="array" ref="BZ39">IFERROR((SUMPRODUCT((economics!$AG$2:$AG$167=$B39)*(economics!$D$2:$D$167="process")*economics!$AH$2:$AH$167*(_xlfn.NORM.DIST(BZ$3,economics!$AK$2:$AK$167,economics!$AJ$2:$AJ$167,TRUE)-_xlfn.NORM.DIST(BZ$30,economics!$AK$2:$AK$167,economics!$AJ$2:$AJ$167,TRUE))*economics!$AM$2:$AM$167))/(SUMPRODUCT((economics!$AG$2:$AG$167=$B39)*(economics!$D$2:$D$167="process")*economics!$AH$2:$AH$167*(_xlfn.NORM.DIST(BZ$3,economics!$AK$2:$AK$167,economics!$AJ$2:$AJ$167,TRUE)-_xlfn.NORM.DIST(BZ$30,economics!$AK$2:$AK$167,economics!$AJ$2:$AJ$167,TRUE)))),"")</f>
        <v/>
      </c>
      <c r="CA39">
        <f t="array" ref="CA39">IFERROR((SUMPRODUCT((economics!$AG$2:$AG$167=$B39)*(economics!$D$2:$D$167="process")*economics!$AH$2:$AH$167*(_xlfn.NORM.DIST(CA$3,economics!$AK$2:$AK$167,economics!$AJ$2:$AJ$167,TRUE)-_xlfn.NORM.DIST(CA$30,economics!$AK$2:$AK$167,economics!$AJ$2:$AJ$167,TRUE))*economics!$AM$2:$AM$167))/(SUMPRODUCT((economics!$AG$2:$AG$167=$B39)*(economics!$D$2:$D$167="process")*economics!$AH$2:$AH$167*(_xlfn.NORM.DIST(CA$3,economics!$AK$2:$AK$167,economics!$AJ$2:$AJ$167,TRUE)-_xlfn.NORM.DIST(CA$30,economics!$AK$2:$AK$167,economics!$AJ$2:$AJ$167,TRUE)))),"")</f>
        <v/>
      </c>
      <c r="CB39">
        <f t="array" ref="CB39">IFERROR((SUMPRODUCT((economics!$AG$2:$AG$167=$B39)*(economics!$D$2:$D$167="process")*economics!$AH$2:$AH$167*(_xlfn.NORM.DIST(CB$3,economics!$AK$2:$AK$167,economics!$AJ$2:$AJ$167,TRUE)-_xlfn.NORM.DIST(CB$30,economics!$AK$2:$AK$167,economics!$AJ$2:$AJ$167,TRUE))*economics!$AM$2:$AM$167))/(SUMPRODUCT((economics!$AG$2:$AG$167=$B39)*(economics!$D$2:$D$167="process")*economics!$AH$2:$AH$167*(_xlfn.NORM.DIST(CB$3,economics!$AK$2:$AK$167,economics!$AJ$2:$AJ$167,TRUE)-_xlfn.NORM.DIST(CB$30,economics!$AK$2:$AK$167,economics!$AJ$2:$AJ$167,TRUE)))),"")</f>
        <v/>
      </c>
      <c r="CC39">
        <f t="array" ref="CC39">IFERROR((SUMPRODUCT((economics!$AG$2:$AG$167=$B39)*(economics!$D$2:$D$167="process")*economics!$AH$2:$AH$167*(_xlfn.NORM.DIST(CC$3,economics!$AK$2:$AK$167,economics!$AJ$2:$AJ$167,TRUE)-_xlfn.NORM.DIST(CC$30,economics!$AK$2:$AK$167,economics!$AJ$2:$AJ$167,TRUE))*economics!$AM$2:$AM$167))/(SUMPRODUCT((economics!$AG$2:$AG$167=$B39)*(economics!$D$2:$D$167="process")*economics!$AH$2:$AH$167*(_xlfn.NORM.DIST(CC$3,economics!$AK$2:$AK$167,economics!$AJ$2:$AJ$167,TRUE)-_xlfn.NORM.DIST(CC$30,economics!$AK$2:$AK$167,economics!$AJ$2:$AJ$167,TRUE)))),"")</f>
        <v/>
      </c>
      <c r="CD39">
        <f t="array" ref="CD39">IFERROR((SUMPRODUCT((economics!$AG$2:$AG$167=$B39)*(economics!$D$2:$D$167="process")*economics!$AH$2:$AH$167*(_xlfn.NORM.DIST(CD$3,economics!$AK$2:$AK$167,economics!$AJ$2:$AJ$167,TRUE)-_xlfn.NORM.DIST(CD$30,economics!$AK$2:$AK$167,economics!$AJ$2:$AJ$167,TRUE))*economics!$AM$2:$AM$167))/(SUMPRODUCT((economics!$AG$2:$AG$167=$B39)*(economics!$D$2:$D$167="process")*economics!$AH$2:$AH$167*(_xlfn.NORM.DIST(CD$3,economics!$AK$2:$AK$167,economics!$AJ$2:$AJ$167,TRUE)-_xlfn.NORM.DIST(CD$30,economics!$AK$2:$AK$167,economics!$AJ$2:$AJ$167,TRUE)))),"")</f>
        <v/>
      </c>
      <c r="CE39">
        <f t="array" ref="CE39">IFERROR((SUMPRODUCT((economics!$AG$2:$AG$167=$B39)*(economics!$D$2:$D$167="process")*economics!$AH$2:$AH$167*(_xlfn.NORM.DIST(CE$3,economics!$AK$2:$AK$167,economics!$AJ$2:$AJ$167,TRUE)-_xlfn.NORM.DIST(CE$30,economics!$AK$2:$AK$167,economics!$AJ$2:$AJ$167,TRUE))*economics!$AM$2:$AM$167))/(SUMPRODUCT((economics!$AG$2:$AG$167=$B39)*(economics!$D$2:$D$167="process")*economics!$AH$2:$AH$167*(_xlfn.NORM.DIST(CE$3,economics!$AK$2:$AK$167,economics!$AJ$2:$AJ$167,TRUE)-_xlfn.NORM.DIST(CE$30,economics!$AK$2:$AK$167,economics!$AJ$2:$AJ$167,TRUE)))),"")</f>
        <v/>
      </c>
      <c r="CF39">
        <f t="array" ref="CF39">IFERROR((SUMPRODUCT((economics!$AG$2:$AG$167=$B39)*(economics!$D$2:$D$167="process")*economics!$AH$2:$AH$167*(_xlfn.NORM.DIST(CF$3,economics!$AK$2:$AK$167,economics!$AJ$2:$AJ$167,TRUE)-_xlfn.NORM.DIST(CF$30,economics!$AK$2:$AK$167,economics!$AJ$2:$AJ$167,TRUE))*economics!$AM$2:$AM$167))/(SUMPRODUCT((economics!$AG$2:$AG$167=$B39)*(economics!$D$2:$D$167="process")*economics!$AH$2:$AH$167*(_xlfn.NORM.DIST(CF$3,economics!$AK$2:$AK$167,economics!$AJ$2:$AJ$167,TRUE)-_xlfn.NORM.DIST(CF$30,economics!$AK$2:$AK$167,economics!$AJ$2:$AJ$167,TRUE)))),"")</f>
        <v/>
      </c>
      <c r="CG39">
        <f t="array" ref="CG39">IFERROR((SUMPRODUCT((economics!$AG$2:$AG$167=$B39)*(economics!$D$2:$D$167="process")*economics!$AH$2:$AH$167*(_xlfn.NORM.DIST(CG$3,economics!$AK$2:$AK$167,economics!$AJ$2:$AJ$167,TRUE)-_xlfn.NORM.DIST(CG$30,economics!$AK$2:$AK$167,economics!$AJ$2:$AJ$167,TRUE))*economics!$AM$2:$AM$167))/(SUMPRODUCT((economics!$AG$2:$AG$167=$B39)*(economics!$D$2:$D$167="process")*economics!$AH$2:$AH$167*(_xlfn.NORM.DIST(CG$3,economics!$AK$2:$AK$167,economics!$AJ$2:$AJ$167,TRUE)-_xlfn.NORM.DIST(CG$30,economics!$AK$2:$AK$167,economics!$AJ$2:$AJ$167,TRUE)))),"")</f>
        <v/>
      </c>
      <c r="CH39">
        <f t="array" ref="CH39">IFERROR((SUMPRODUCT((economics!$AG$2:$AG$167=$B39)*(economics!$D$2:$D$167="process")*economics!$AH$2:$AH$167*(_xlfn.NORM.DIST(CH$3,economics!$AK$2:$AK$167,economics!$AJ$2:$AJ$167,TRUE)-_xlfn.NORM.DIST(CH$30,economics!$AK$2:$AK$167,economics!$AJ$2:$AJ$167,TRUE))*economics!$AM$2:$AM$167))/(SUMPRODUCT((economics!$AG$2:$AG$167=$B39)*(economics!$D$2:$D$167="process")*economics!$AH$2:$AH$167*(_xlfn.NORM.DIST(CH$3,economics!$AK$2:$AK$167,economics!$AJ$2:$AJ$167,TRUE)-_xlfn.NORM.DIST(CH$30,economics!$AK$2:$AK$167,economics!$AJ$2:$AJ$167,TRUE)))),"")</f>
        <v/>
      </c>
    </row>
    <row r="40">
      <c r="A40">
        <f>A11</f>
        <v/>
      </c>
      <c r="B40">
        <f>B11</f>
        <v/>
      </c>
      <c r="E40">
        <f t="array" ref="E40">IFERROR((SUMPRODUCT((economics!$AG$2:$AG$167=$B40)*(economics!$D$2:$D$167="process")*economics!$AH$2:$AH$167*(_xlfn.NORM.DIST(E$3,economics!$AK$2:$AK$167,economics!$AJ$2:$AJ$167,TRUE)-_xlfn.NORM.DIST(E$30,economics!$AK$2:$AK$167,economics!$AJ$2:$AJ$167,TRUE))*economics!$AM$2:$AM$167))/(SUMPRODUCT((economics!$AG$2:$AG$167=$B40)*(economics!$D$2:$D$167="process")*economics!$AH$2:$AH$167*(_xlfn.NORM.DIST(E$3,economics!$AK$2:$AK$167,economics!$AJ$2:$AJ$167,TRUE)-_xlfn.NORM.DIST(E$30,economics!$AK$2:$AK$167,economics!$AJ$2:$AJ$167,TRUE)))),"")</f>
        <v/>
      </c>
      <c r="F40">
        <f t="array" ref="F40">IFERROR((SUMPRODUCT((economics!$AG$2:$AG$167=$B40)*(economics!$D$2:$D$167="process")*economics!$AH$2:$AH$167*(_xlfn.NORM.DIST(F$3,economics!$AK$2:$AK$167,economics!$AJ$2:$AJ$167,TRUE)-_xlfn.NORM.DIST(F$30,economics!$AK$2:$AK$167,economics!$AJ$2:$AJ$167,TRUE))*economics!$AM$2:$AM$167))/(SUMPRODUCT((economics!$AG$2:$AG$167=$B40)*(economics!$D$2:$D$167="process")*economics!$AH$2:$AH$167*(_xlfn.NORM.DIST(F$3,economics!$AK$2:$AK$167,economics!$AJ$2:$AJ$167,TRUE)-_xlfn.NORM.DIST(F$30,economics!$AK$2:$AK$167,economics!$AJ$2:$AJ$167,TRUE)))),"")</f>
        <v/>
      </c>
      <c r="G40">
        <f t="array" ref="G40">IFERROR((SUMPRODUCT((economics!$AG$2:$AG$167=$B40)*(economics!$D$2:$D$167="process")*economics!$AH$2:$AH$167*(_xlfn.NORM.DIST(G$3,economics!$AK$2:$AK$167,economics!$AJ$2:$AJ$167,TRUE)-_xlfn.NORM.DIST(G$30,economics!$AK$2:$AK$167,economics!$AJ$2:$AJ$167,TRUE))*economics!$AM$2:$AM$167))/(SUMPRODUCT((economics!$AG$2:$AG$167=$B40)*(economics!$D$2:$D$167="process")*economics!$AH$2:$AH$167*(_xlfn.NORM.DIST(G$3,economics!$AK$2:$AK$167,economics!$AJ$2:$AJ$167,TRUE)-_xlfn.NORM.DIST(G$30,economics!$AK$2:$AK$167,economics!$AJ$2:$AJ$167,TRUE)))),"")</f>
        <v/>
      </c>
      <c r="H40">
        <f t="array" ref="H40">IFERROR((SUMPRODUCT((economics!$AG$2:$AG$167=$B40)*(economics!$D$2:$D$167="process")*economics!$AH$2:$AH$167*(_xlfn.NORM.DIST(H$3,economics!$AK$2:$AK$167,economics!$AJ$2:$AJ$167,TRUE)-_xlfn.NORM.DIST(H$30,economics!$AK$2:$AK$167,economics!$AJ$2:$AJ$167,TRUE))*economics!$AM$2:$AM$167))/(SUMPRODUCT((economics!$AG$2:$AG$167=$B40)*(economics!$D$2:$D$167="process")*economics!$AH$2:$AH$167*(_xlfn.NORM.DIST(H$3,economics!$AK$2:$AK$167,economics!$AJ$2:$AJ$167,TRUE)-_xlfn.NORM.DIST(H$30,economics!$AK$2:$AK$167,economics!$AJ$2:$AJ$167,TRUE)))),"")</f>
        <v/>
      </c>
      <c r="I40">
        <f t="array" ref="I40">IFERROR((SUMPRODUCT((economics!$AG$2:$AG$167=$B40)*(economics!$D$2:$D$167="process")*economics!$AH$2:$AH$167*(_xlfn.NORM.DIST(I$3,economics!$AK$2:$AK$167,economics!$AJ$2:$AJ$167,TRUE)-_xlfn.NORM.DIST(I$30,economics!$AK$2:$AK$167,economics!$AJ$2:$AJ$167,TRUE))*economics!$AM$2:$AM$167))/(SUMPRODUCT((economics!$AG$2:$AG$167=$B40)*(economics!$D$2:$D$167="process")*economics!$AH$2:$AH$167*(_xlfn.NORM.DIST(I$3,economics!$AK$2:$AK$167,economics!$AJ$2:$AJ$167,TRUE)-_xlfn.NORM.DIST(I$30,economics!$AK$2:$AK$167,economics!$AJ$2:$AJ$167,TRUE)))),"")</f>
        <v/>
      </c>
      <c r="J40">
        <f t="array" ref="J40">IFERROR((SUMPRODUCT((economics!$AG$2:$AG$167=$B40)*(economics!$D$2:$D$167="process")*economics!$AH$2:$AH$167*(_xlfn.NORM.DIST(J$3,economics!$AK$2:$AK$167,economics!$AJ$2:$AJ$167,TRUE)-_xlfn.NORM.DIST(J$30,economics!$AK$2:$AK$167,economics!$AJ$2:$AJ$167,TRUE))*economics!$AM$2:$AM$167))/(SUMPRODUCT((economics!$AG$2:$AG$167=$B40)*(economics!$D$2:$D$167="process")*economics!$AH$2:$AH$167*(_xlfn.NORM.DIST(J$3,economics!$AK$2:$AK$167,economics!$AJ$2:$AJ$167,TRUE)-_xlfn.NORM.DIST(J$30,economics!$AK$2:$AK$167,economics!$AJ$2:$AJ$167,TRUE)))),"")</f>
        <v/>
      </c>
      <c r="K40">
        <f t="array" ref="K40">IFERROR((SUMPRODUCT((economics!$AG$2:$AG$167=$B40)*(economics!$D$2:$D$167="process")*economics!$AH$2:$AH$167*(_xlfn.NORM.DIST(K$3,economics!$AK$2:$AK$167,economics!$AJ$2:$AJ$167,TRUE)-_xlfn.NORM.DIST(K$30,economics!$AK$2:$AK$167,economics!$AJ$2:$AJ$167,TRUE))*economics!$AM$2:$AM$167))/(SUMPRODUCT((economics!$AG$2:$AG$167=$B40)*(economics!$D$2:$D$167="process")*economics!$AH$2:$AH$167*(_xlfn.NORM.DIST(K$3,economics!$AK$2:$AK$167,economics!$AJ$2:$AJ$167,TRUE)-_xlfn.NORM.DIST(K$30,economics!$AK$2:$AK$167,economics!$AJ$2:$AJ$167,TRUE)))),"")</f>
        <v/>
      </c>
      <c r="L40">
        <f t="array" ref="L40">IFERROR((SUMPRODUCT((economics!$AG$2:$AG$167=$B40)*(economics!$D$2:$D$167="process")*economics!$AH$2:$AH$167*(_xlfn.NORM.DIST(L$3,economics!$AK$2:$AK$167,economics!$AJ$2:$AJ$167,TRUE)-_xlfn.NORM.DIST(L$30,economics!$AK$2:$AK$167,economics!$AJ$2:$AJ$167,TRUE))*economics!$AM$2:$AM$167))/(SUMPRODUCT((economics!$AG$2:$AG$167=$B40)*(economics!$D$2:$D$167="process")*economics!$AH$2:$AH$167*(_xlfn.NORM.DIST(L$3,economics!$AK$2:$AK$167,economics!$AJ$2:$AJ$167,TRUE)-_xlfn.NORM.DIST(L$30,economics!$AK$2:$AK$167,economics!$AJ$2:$AJ$167,TRUE)))),"")</f>
        <v/>
      </c>
      <c r="M40">
        <f t="array" ref="M40">IFERROR((SUMPRODUCT((economics!$AG$2:$AG$167=$B40)*(economics!$D$2:$D$167="process")*economics!$AH$2:$AH$167*(_xlfn.NORM.DIST(M$3,economics!$AK$2:$AK$167,economics!$AJ$2:$AJ$167,TRUE)-_xlfn.NORM.DIST(M$30,economics!$AK$2:$AK$167,economics!$AJ$2:$AJ$167,TRUE))*economics!$AM$2:$AM$167))/(SUMPRODUCT((economics!$AG$2:$AG$167=$B40)*(economics!$D$2:$D$167="process")*economics!$AH$2:$AH$167*(_xlfn.NORM.DIST(M$3,economics!$AK$2:$AK$167,economics!$AJ$2:$AJ$167,TRUE)-_xlfn.NORM.DIST(M$30,economics!$AK$2:$AK$167,economics!$AJ$2:$AJ$167,TRUE)))),"")</f>
        <v/>
      </c>
      <c r="N40">
        <f t="array" ref="N40">IFERROR((SUMPRODUCT((economics!$AG$2:$AG$167=$B40)*(economics!$D$2:$D$167="process")*economics!$AH$2:$AH$167*(_xlfn.NORM.DIST(N$3,economics!$AK$2:$AK$167,economics!$AJ$2:$AJ$167,TRUE)-_xlfn.NORM.DIST(N$30,economics!$AK$2:$AK$167,economics!$AJ$2:$AJ$167,TRUE))*economics!$AM$2:$AM$167))/(SUMPRODUCT((economics!$AG$2:$AG$167=$B40)*(economics!$D$2:$D$167="process")*economics!$AH$2:$AH$167*(_xlfn.NORM.DIST(N$3,economics!$AK$2:$AK$167,economics!$AJ$2:$AJ$167,TRUE)-_xlfn.NORM.DIST(N$30,economics!$AK$2:$AK$167,economics!$AJ$2:$AJ$167,TRUE)))),"")</f>
        <v/>
      </c>
      <c r="O40">
        <f t="array" ref="O40">IFERROR((SUMPRODUCT((economics!$AG$2:$AG$167=$B40)*(economics!$D$2:$D$167="process")*economics!$AH$2:$AH$167*(_xlfn.NORM.DIST(O$3,economics!$AK$2:$AK$167,economics!$AJ$2:$AJ$167,TRUE)-_xlfn.NORM.DIST(O$30,economics!$AK$2:$AK$167,economics!$AJ$2:$AJ$167,TRUE))*economics!$AM$2:$AM$167))/(SUMPRODUCT((economics!$AG$2:$AG$167=$B40)*(economics!$D$2:$D$167="process")*economics!$AH$2:$AH$167*(_xlfn.NORM.DIST(O$3,economics!$AK$2:$AK$167,economics!$AJ$2:$AJ$167,TRUE)-_xlfn.NORM.DIST(O$30,economics!$AK$2:$AK$167,economics!$AJ$2:$AJ$167,TRUE)))),"")</f>
        <v/>
      </c>
      <c r="P40">
        <f t="array" ref="P40">IFERROR((SUMPRODUCT((economics!$AG$2:$AG$167=$B40)*(economics!$D$2:$D$167="process")*economics!$AH$2:$AH$167*(_xlfn.NORM.DIST(P$3,economics!$AK$2:$AK$167,economics!$AJ$2:$AJ$167,TRUE)-_xlfn.NORM.DIST(P$30,economics!$AK$2:$AK$167,economics!$AJ$2:$AJ$167,TRUE))*economics!$AM$2:$AM$167))/(SUMPRODUCT((economics!$AG$2:$AG$167=$B40)*(economics!$D$2:$D$167="process")*economics!$AH$2:$AH$167*(_xlfn.NORM.DIST(P$3,economics!$AK$2:$AK$167,economics!$AJ$2:$AJ$167,TRUE)-_xlfn.NORM.DIST(P$30,economics!$AK$2:$AK$167,economics!$AJ$2:$AJ$167,TRUE)))),"")</f>
        <v/>
      </c>
      <c r="Q40">
        <f t="array" ref="Q40">IFERROR((SUMPRODUCT((economics!$AG$2:$AG$167=$B40)*(economics!$D$2:$D$167="process")*economics!$AH$2:$AH$167*(_xlfn.NORM.DIST(Q$3,economics!$AK$2:$AK$167,economics!$AJ$2:$AJ$167,TRUE)-_xlfn.NORM.DIST(Q$30,economics!$AK$2:$AK$167,economics!$AJ$2:$AJ$167,TRUE))*economics!$AM$2:$AM$167))/(SUMPRODUCT((economics!$AG$2:$AG$167=$B40)*(economics!$D$2:$D$167="process")*economics!$AH$2:$AH$167*(_xlfn.NORM.DIST(Q$3,economics!$AK$2:$AK$167,economics!$AJ$2:$AJ$167,TRUE)-_xlfn.NORM.DIST(Q$30,economics!$AK$2:$AK$167,economics!$AJ$2:$AJ$167,TRUE)))),"")</f>
        <v/>
      </c>
      <c r="R40">
        <f t="array" ref="R40">IFERROR((SUMPRODUCT((economics!$AG$2:$AG$167=$B40)*(economics!$D$2:$D$167="process")*economics!$AH$2:$AH$167*(_xlfn.NORM.DIST(R$3,economics!$AK$2:$AK$167,economics!$AJ$2:$AJ$167,TRUE)-_xlfn.NORM.DIST(R$30,economics!$AK$2:$AK$167,economics!$AJ$2:$AJ$167,TRUE))*economics!$AM$2:$AM$167))/(SUMPRODUCT((economics!$AG$2:$AG$167=$B40)*(economics!$D$2:$D$167="process")*economics!$AH$2:$AH$167*(_xlfn.NORM.DIST(R$3,economics!$AK$2:$AK$167,economics!$AJ$2:$AJ$167,TRUE)-_xlfn.NORM.DIST(R$30,economics!$AK$2:$AK$167,economics!$AJ$2:$AJ$167,TRUE)))),"")</f>
        <v/>
      </c>
      <c r="S40">
        <f t="array" ref="S40">IFERROR((SUMPRODUCT((economics!$AG$2:$AG$167=$B40)*(economics!$D$2:$D$167="process")*economics!$AH$2:$AH$167*(_xlfn.NORM.DIST(S$3,economics!$AK$2:$AK$167,economics!$AJ$2:$AJ$167,TRUE)-_xlfn.NORM.DIST(S$30,economics!$AK$2:$AK$167,economics!$AJ$2:$AJ$167,TRUE))*economics!$AM$2:$AM$167))/(SUMPRODUCT((economics!$AG$2:$AG$167=$B40)*(economics!$D$2:$D$167="process")*economics!$AH$2:$AH$167*(_xlfn.NORM.DIST(S$3,economics!$AK$2:$AK$167,economics!$AJ$2:$AJ$167,TRUE)-_xlfn.NORM.DIST(S$30,economics!$AK$2:$AK$167,economics!$AJ$2:$AJ$167,TRUE)))),"")</f>
        <v/>
      </c>
      <c r="T40">
        <f t="array" ref="T40">IFERROR((SUMPRODUCT((economics!$AG$2:$AG$167=$B40)*(economics!$D$2:$D$167="process")*economics!$AH$2:$AH$167*(_xlfn.NORM.DIST(T$3,economics!$AK$2:$AK$167,economics!$AJ$2:$AJ$167,TRUE)-_xlfn.NORM.DIST(T$30,economics!$AK$2:$AK$167,economics!$AJ$2:$AJ$167,TRUE))*economics!$AM$2:$AM$167))/(SUMPRODUCT((economics!$AG$2:$AG$167=$B40)*(economics!$D$2:$D$167="process")*economics!$AH$2:$AH$167*(_xlfn.NORM.DIST(T$3,economics!$AK$2:$AK$167,economics!$AJ$2:$AJ$167,TRUE)-_xlfn.NORM.DIST(T$30,economics!$AK$2:$AK$167,economics!$AJ$2:$AJ$167,TRUE)))),"")</f>
        <v/>
      </c>
      <c r="U40">
        <f t="array" ref="U40">IFERROR((SUMPRODUCT((economics!$AG$2:$AG$167=$B40)*(economics!$D$2:$D$167="process")*economics!$AH$2:$AH$167*(_xlfn.NORM.DIST(U$3,economics!$AK$2:$AK$167,economics!$AJ$2:$AJ$167,TRUE)-_xlfn.NORM.DIST(U$30,economics!$AK$2:$AK$167,economics!$AJ$2:$AJ$167,TRUE))*economics!$AM$2:$AM$167))/(SUMPRODUCT((economics!$AG$2:$AG$167=$B40)*(economics!$D$2:$D$167="process")*economics!$AH$2:$AH$167*(_xlfn.NORM.DIST(U$3,economics!$AK$2:$AK$167,economics!$AJ$2:$AJ$167,TRUE)-_xlfn.NORM.DIST(U$30,economics!$AK$2:$AK$167,economics!$AJ$2:$AJ$167,TRUE)))),"")</f>
        <v/>
      </c>
      <c r="V40">
        <f t="array" ref="V40">IFERROR((SUMPRODUCT((economics!$AG$2:$AG$167=$B40)*(economics!$D$2:$D$167="process")*economics!$AH$2:$AH$167*(_xlfn.NORM.DIST(V$3,economics!$AK$2:$AK$167,economics!$AJ$2:$AJ$167,TRUE)-_xlfn.NORM.DIST(V$30,economics!$AK$2:$AK$167,economics!$AJ$2:$AJ$167,TRUE))*economics!$AM$2:$AM$167))/(SUMPRODUCT((economics!$AG$2:$AG$167=$B40)*(economics!$D$2:$D$167="process")*economics!$AH$2:$AH$167*(_xlfn.NORM.DIST(V$3,economics!$AK$2:$AK$167,economics!$AJ$2:$AJ$167,TRUE)-_xlfn.NORM.DIST(V$30,economics!$AK$2:$AK$167,economics!$AJ$2:$AJ$167,TRUE)))),"")</f>
        <v/>
      </c>
      <c r="W40">
        <f t="array" ref="W40">IFERROR((SUMPRODUCT((economics!$AG$2:$AG$167=$B40)*(economics!$D$2:$D$167="process")*economics!$AH$2:$AH$167*(_xlfn.NORM.DIST(W$3,economics!$AK$2:$AK$167,economics!$AJ$2:$AJ$167,TRUE)-_xlfn.NORM.DIST(W$30,economics!$AK$2:$AK$167,economics!$AJ$2:$AJ$167,TRUE))*economics!$AM$2:$AM$167))/(SUMPRODUCT((economics!$AG$2:$AG$167=$B40)*(economics!$D$2:$D$167="process")*economics!$AH$2:$AH$167*(_xlfn.NORM.DIST(W$3,economics!$AK$2:$AK$167,economics!$AJ$2:$AJ$167,TRUE)-_xlfn.NORM.DIST(W$30,economics!$AK$2:$AK$167,economics!$AJ$2:$AJ$167,TRUE)))),"")</f>
        <v/>
      </c>
      <c r="X40">
        <f t="array" ref="X40">IFERROR((SUMPRODUCT((economics!$AG$2:$AG$167=$B40)*(economics!$D$2:$D$167="process")*economics!$AH$2:$AH$167*(_xlfn.NORM.DIST(X$3,economics!$AK$2:$AK$167,economics!$AJ$2:$AJ$167,TRUE)-_xlfn.NORM.DIST(X$30,economics!$AK$2:$AK$167,economics!$AJ$2:$AJ$167,TRUE))*economics!$AM$2:$AM$167))/(SUMPRODUCT((economics!$AG$2:$AG$167=$B40)*(economics!$D$2:$D$167="process")*economics!$AH$2:$AH$167*(_xlfn.NORM.DIST(X$3,economics!$AK$2:$AK$167,economics!$AJ$2:$AJ$167,TRUE)-_xlfn.NORM.DIST(X$30,economics!$AK$2:$AK$167,economics!$AJ$2:$AJ$167,TRUE)))),"")</f>
        <v/>
      </c>
      <c r="Y40">
        <f t="array" ref="Y40">IFERROR((SUMPRODUCT((economics!$AG$2:$AG$167=$B40)*(economics!$D$2:$D$167="process")*economics!$AH$2:$AH$167*(_xlfn.NORM.DIST(Y$3,economics!$AK$2:$AK$167,economics!$AJ$2:$AJ$167,TRUE)-_xlfn.NORM.DIST(Y$30,economics!$AK$2:$AK$167,economics!$AJ$2:$AJ$167,TRUE))*economics!$AM$2:$AM$167))/(SUMPRODUCT((economics!$AG$2:$AG$167=$B40)*(economics!$D$2:$D$167="process")*economics!$AH$2:$AH$167*(_xlfn.NORM.DIST(Y$3,economics!$AK$2:$AK$167,economics!$AJ$2:$AJ$167,TRUE)-_xlfn.NORM.DIST(Y$30,economics!$AK$2:$AK$167,economics!$AJ$2:$AJ$167,TRUE)))),"")</f>
        <v/>
      </c>
      <c r="Z40">
        <f t="array" ref="Z40">IFERROR((SUMPRODUCT((economics!$AG$2:$AG$167=$B40)*(economics!$D$2:$D$167="process")*economics!$AH$2:$AH$167*(_xlfn.NORM.DIST(Z$3,economics!$AK$2:$AK$167,economics!$AJ$2:$AJ$167,TRUE)-_xlfn.NORM.DIST(Z$30,economics!$AK$2:$AK$167,economics!$AJ$2:$AJ$167,TRUE))*economics!$AM$2:$AM$167))/(SUMPRODUCT((economics!$AG$2:$AG$167=$B40)*(economics!$D$2:$D$167="process")*economics!$AH$2:$AH$167*(_xlfn.NORM.DIST(Z$3,economics!$AK$2:$AK$167,economics!$AJ$2:$AJ$167,TRUE)-_xlfn.NORM.DIST(Z$30,economics!$AK$2:$AK$167,economics!$AJ$2:$AJ$167,TRUE)))),"")</f>
        <v/>
      </c>
      <c r="AA40">
        <f t="array" ref="AA40">IFERROR((SUMPRODUCT((economics!$AG$2:$AG$167=$B40)*(economics!$D$2:$D$167="process")*economics!$AH$2:$AH$167*(_xlfn.NORM.DIST(AA$3,economics!$AK$2:$AK$167,economics!$AJ$2:$AJ$167,TRUE)-_xlfn.NORM.DIST(AA$30,economics!$AK$2:$AK$167,economics!$AJ$2:$AJ$167,TRUE))*economics!$AM$2:$AM$167))/(SUMPRODUCT((economics!$AG$2:$AG$167=$B40)*(economics!$D$2:$D$167="process")*economics!$AH$2:$AH$167*(_xlfn.NORM.DIST(AA$3,economics!$AK$2:$AK$167,economics!$AJ$2:$AJ$167,TRUE)-_xlfn.NORM.DIST(AA$30,economics!$AK$2:$AK$167,economics!$AJ$2:$AJ$167,TRUE)))),"")</f>
        <v/>
      </c>
      <c r="AB40">
        <f t="array" ref="AB40">IFERROR((SUMPRODUCT((economics!$AG$2:$AG$167=$B40)*(economics!$D$2:$D$167="process")*economics!$AH$2:$AH$167*(_xlfn.NORM.DIST(AB$3,economics!$AK$2:$AK$167,economics!$AJ$2:$AJ$167,TRUE)-_xlfn.NORM.DIST(AB$30,economics!$AK$2:$AK$167,economics!$AJ$2:$AJ$167,TRUE))*economics!$AM$2:$AM$167))/(SUMPRODUCT((economics!$AG$2:$AG$167=$B40)*(economics!$D$2:$D$167="process")*economics!$AH$2:$AH$167*(_xlfn.NORM.DIST(AB$3,economics!$AK$2:$AK$167,economics!$AJ$2:$AJ$167,TRUE)-_xlfn.NORM.DIST(AB$30,economics!$AK$2:$AK$167,economics!$AJ$2:$AJ$167,TRUE)))),"")</f>
        <v/>
      </c>
      <c r="AC40">
        <f t="array" ref="AC40">IFERROR((SUMPRODUCT((economics!$AG$2:$AG$167=$B40)*(economics!$D$2:$D$167="process")*economics!$AH$2:$AH$167*(_xlfn.NORM.DIST(AC$3,economics!$AK$2:$AK$167,economics!$AJ$2:$AJ$167,TRUE)-_xlfn.NORM.DIST(AC$30,economics!$AK$2:$AK$167,economics!$AJ$2:$AJ$167,TRUE))*economics!$AM$2:$AM$167))/(SUMPRODUCT((economics!$AG$2:$AG$167=$B40)*(economics!$D$2:$D$167="process")*economics!$AH$2:$AH$167*(_xlfn.NORM.DIST(AC$3,economics!$AK$2:$AK$167,economics!$AJ$2:$AJ$167,TRUE)-_xlfn.NORM.DIST(AC$30,economics!$AK$2:$AK$167,economics!$AJ$2:$AJ$167,TRUE)))),"")</f>
        <v/>
      </c>
      <c r="AD40">
        <f t="array" ref="AD40">IFERROR((SUMPRODUCT((economics!$AG$2:$AG$167=$B40)*(economics!$D$2:$D$167="process")*economics!$AH$2:$AH$167*(_xlfn.NORM.DIST(AD$3,economics!$AK$2:$AK$167,economics!$AJ$2:$AJ$167,TRUE)-_xlfn.NORM.DIST(AD$30,economics!$AK$2:$AK$167,economics!$AJ$2:$AJ$167,TRUE))*economics!$AM$2:$AM$167))/(SUMPRODUCT((economics!$AG$2:$AG$167=$B40)*(economics!$D$2:$D$167="process")*economics!$AH$2:$AH$167*(_xlfn.NORM.DIST(AD$3,economics!$AK$2:$AK$167,economics!$AJ$2:$AJ$167,TRUE)-_xlfn.NORM.DIST(AD$30,economics!$AK$2:$AK$167,economics!$AJ$2:$AJ$167,TRUE)))),"")</f>
        <v/>
      </c>
      <c r="AE40">
        <f t="array" ref="AE40">IFERROR((SUMPRODUCT((economics!$AG$2:$AG$167=$B40)*(economics!$D$2:$D$167="process")*economics!$AH$2:$AH$167*(_xlfn.NORM.DIST(AE$3,economics!$AK$2:$AK$167,economics!$AJ$2:$AJ$167,TRUE)-_xlfn.NORM.DIST(AE$30,economics!$AK$2:$AK$167,economics!$AJ$2:$AJ$167,TRUE))*economics!$AM$2:$AM$167))/(SUMPRODUCT((economics!$AG$2:$AG$167=$B40)*(economics!$D$2:$D$167="process")*economics!$AH$2:$AH$167*(_xlfn.NORM.DIST(AE$3,economics!$AK$2:$AK$167,economics!$AJ$2:$AJ$167,TRUE)-_xlfn.NORM.DIST(AE$30,economics!$AK$2:$AK$167,economics!$AJ$2:$AJ$167,TRUE)))),"")</f>
        <v/>
      </c>
      <c r="AF40">
        <f t="array" ref="AF40">IFERROR((SUMPRODUCT((economics!$AG$2:$AG$167=$B40)*(economics!$D$2:$D$167="process")*economics!$AH$2:$AH$167*(_xlfn.NORM.DIST(AF$3,economics!$AK$2:$AK$167,economics!$AJ$2:$AJ$167,TRUE)-_xlfn.NORM.DIST(AF$30,economics!$AK$2:$AK$167,economics!$AJ$2:$AJ$167,TRUE))*economics!$AM$2:$AM$167))/(SUMPRODUCT((economics!$AG$2:$AG$167=$B40)*(economics!$D$2:$D$167="process")*economics!$AH$2:$AH$167*(_xlfn.NORM.DIST(AF$3,economics!$AK$2:$AK$167,economics!$AJ$2:$AJ$167,TRUE)-_xlfn.NORM.DIST(AF$30,economics!$AK$2:$AK$167,economics!$AJ$2:$AJ$167,TRUE)))),"")</f>
        <v/>
      </c>
      <c r="AG40">
        <f t="array" ref="AG40">IFERROR((SUMPRODUCT((economics!$AG$2:$AG$167=$B40)*(economics!$D$2:$D$167="process")*economics!$AH$2:$AH$167*(_xlfn.NORM.DIST(AG$3,economics!$AK$2:$AK$167,economics!$AJ$2:$AJ$167,TRUE)-_xlfn.NORM.DIST(AG$30,economics!$AK$2:$AK$167,economics!$AJ$2:$AJ$167,TRUE))*economics!$AM$2:$AM$167))/(SUMPRODUCT((economics!$AG$2:$AG$167=$B40)*(economics!$D$2:$D$167="process")*economics!$AH$2:$AH$167*(_xlfn.NORM.DIST(AG$3,economics!$AK$2:$AK$167,economics!$AJ$2:$AJ$167,TRUE)-_xlfn.NORM.DIST(AG$30,economics!$AK$2:$AK$167,economics!$AJ$2:$AJ$167,TRUE)))),"")</f>
        <v/>
      </c>
      <c r="AH40">
        <f t="array" ref="AH40">IFERROR((SUMPRODUCT((economics!$AG$2:$AG$167=$B40)*(economics!$D$2:$D$167="process")*economics!$AH$2:$AH$167*(_xlfn.NORM.DIST(AH$3,economics!$AK$2:$AK$167,economics!$AJ$2:$AJ$167,TRUE)-_xlfn.NORM.DIST(AH$30,economics!$AK$2:$AK$167,economics!$AJ$2:$AJ$167,TRUE))*economics!$AM$2:$AM$167))/(SUMPRODUCT((economics!$AG$2:$AG$167=$B40)*(economics!$D$2:$D$167="process")*economics!$AH$2:$AH$167*(_xlfn.NORM.DIST(AH$3,economics!$AK$2:$AK$167,economics!$AJ$2:$AJ$167,TRUE)-_xlfn.NORM.DIST(AH$30,economics!$AK$2:$AK$167,economics!$AJ$2:$AJ$167,TRUE)))),"")</f>
        <v/>
      </c>
      <c r="AI40">
        <f t="array" ref="AI40">IFERROR((SUMPRODUCT((economics!$AG$2:$AG$167=$B40)*(economics!$D$2:$D$167="process")*economics!$AH$2:$AH$167*(_xlfn.NORM.DIST(AI$3,economics!$AK$2:$AK$167,economics!$AJ$2:$AJ$167,TRUE)-_xlfn.NORM.DIST(AI$30,economics!$AK$2:$AK$167,economics!$AJ$2:$AJ$167,TRUE))*economics!$AM$2:$AM$167))/(SUMPRODUCT((economics!$AG$2:$AG$167=$B40)*(economics!$D$2:$D$167="process")*economics!$AH$2:$AH$167*(_xlfn.NORM.DIST(AI$3,economics!$AK$2:$AK$167,economics!$AJ$2:$AJ$167,TRUE)-_xlfn.NORM.DIST(AI$30,economics!$AK$2:$AK$167,economics!$AJ$2:$AJ$167,TRUE)))),"")</f>
        <v/>
      </c>
      <c r="AJ40">
        <f t="array" ref="AJ40">IFERROR((SUMPRODUCT((economics!$AG$2:$AG$167=$B40)*(economics!$D$2:$D$167="process")*economics!$AH$2:$AH$167*(_xlfn.NORM.DIST(AJ$3,economics!$AK$2:$AK$167,economics!$AJ$2:$AJ$167,TRUE)-_xlfn.NORM.DIST(AJ$30,economics!$AK$2:$AK$167,economics!$AJ$2:$AJ$167,TRUE))*economics!$AM$2:$AM$167))/(SUMPRODUCT((economics!$AG$2:$AG$167=$B40)*(economics!$D$2:$D$167="process")*economics!$AH$2:$AH$167*(_xlfn.NORM.DIST(AJ$3,economics!$AK$2:$AK$167,economics!$AJ$2:$AJ$167,TRUE)-_xlfn.NORM.DIST(AJ$30,economics!$AK$2:$AK$167,economics!$AJ$2:$AJ$167,TRUE)))),"")</f>
        <v/>
      </c>
      <c r="AK40">
        <f t="array" ref="AK40">IFERROR((SUMPRODUCT((economics!$AG$2:$AG$167=$B40)*(economics!$D$2:$D$167="process")*economics!$AH$2:$AH$167*(_xlfn.NORM.DIST(AK$3,economics!$AK$2:$AK$167,economics!$AJ$2:$AJ$167,TRUE)-_xlfn.NORM.DIST(AK$30,economics!$AK$2:$AK$167,economics!$AJ$2:$AJ$167,TRUE))*economics!$AM$2:$AM$167))/(SUMPRODUCT((economics!$AG$2:$AG$167=$B40)*(economics!$D$2:$D$167="process")*economics!$AH$2:$AH$167*(_xlfn.NORM.DIST(AK$3,economics!$AK$2:$AK$167,economics!$AJ$2:$AJ$167,TRUE)-_xlfn.NORM.DIST(AK$30,economics!$AK$2:$AK$167,economics!$AJ$2:$AJ$167,TRUE)))),"")</f>
        <v/>
      </c>
      <c r="AL40">
        <f t="array" ref="AL40">IFERROR((SUMPRODUCT((economics!$AG$2:$AG$167=$B40)*(economics!$D$2:$D$167="process")*economics!$AH$2:$AH$167*(_xlfn.NORM.DIST(AL$3,economics!$AK$2:$AK$167,economics!$AJ$2:$AJ$167,TRUE)-_xlfn.NORM.DIST(AL$30,economics!$AK$2:$AK$167,economics!$AJ$2:$AJ$167,TRUE))*economics!$AM$2:$AM$167))/(SUMPRODUCT((economics!$AG$2:$AG$167=$B40)*(economics!$D$2:$D$167="process")*economics!$AH$2:$AH$167*(_xlfn.NORM.DIST(AL$3,economics!$AK$2:$AK$167,economics!$AJ$2:$AJ$167,TRUE)-_xlfn.NORM.DIST(AL$30,economics!$AK$2:$AK$167,economics!$AJ$2:$AJ$167,TRUE)))),"")</f>
        <v/>
      </c>
      <c r="AM40">
        <f t="array" ref="AM40">IFERROR((SUMPRODUCT((economics!$AG$2:$AG$167=$B40)*(economics!$D$2:$D$167="process")*economics!$AH$2:$AH$167*(_xlfn.NORM.DIST(AM$3,economics!$AK$2:$AK$167,economics!$AJ$2:$AJ$167,TRUE)-_xlfn.NORM.DIST(AM$30,economics!$AK$2:$AK$167,economics!$AJ$2:$AJ$167,TRUE))*economics!$AM$2:$AM$167))/(SUMPRODUCT((economics!$AG$2:$AG$167=$B40)*(economics!$D$2:$D$167="process")*economics!$AH$2:$AH$167*(_xlfn.NORM.DIST(AM$3,economics!$AK$2:$AK$167,economics!$AJ$2:$AJ$167,TRUE)-_xlfn.NORM.DIST(AM$30,economics!$AK$2:$AK$167,economics!$AJ$2:$AJ$167,TRUE)))),"")</f>
        <v/>
      </c>
      <c r="AN40">
        <f t="array" ref="AN40">IFERROR((SUMPRODUCT((economics!$AG$2:$AG$167=$B40)*(economics!$D$2:$D$167="process")*economics!$AH$2:$AH$167*(_xlfn.NORM.DIST(AN$3,economics!$AK$2:$AK$167,economics!$AJ$2:$AJ$167,TRUE)-_xlfn.NORM.DIST(AN$30,economics!$AK$2:$AK$167,economics!$AJ$2:$AJ$167,TRUE))*economics!$AM$2:$AM$167))/(SUMPRODUCT((economics!$AG$2:$AG$167=$B40)*(economics!$D$2:$D$167="process")*economics!$AH$2:$AH$167*(_xlfn.NORM.DIST(AN$3,economics!$AK$2:$AK$167,economics!$AJ$2:$AJ$167,TRUE)-_xlfn.NORM.DIST(AN$30,economics!$AK$2:$AK$167,economics!$AJ$2:$AJ$167,TRUE)))),"")</f>
        <v/>
      </c>
      <c r="AO40">
        <f t="array" ref="AO40">IFERROR((SUMPRODUCT((economics!$AG$2:$AG$167=$B40)*(economics!$D$2:$D$167="process")*economics!$AH$2:$AH$167*(_xlfn.NORM.DIST(AO$3,economics!$AK$2:$AK$167,economics!$AJ$2:$AJ$167,TRUE)-_xlfn.NORM.DIST(AO$30,economics!$AK$2:$AK$167,economics!$AJ$2:$AJ$167,TRUE))*economics!$AM$2:$AM$167))/(SUMPRODUCT((economics!$AG$2:$AG$167=$B40)*(economics!$D$2:$D$167="process")*economics!$AH$2:$AH$167*(_xlfn.NORM.DIST(AO$3,economics!$AK$2:$AK$167,economics!$AJ$2:$AJ$167,TRUE)-_xlfn.NORM.DIST(AO$30,economics!$AK$2:$AK$167,economics!$AJ$2:$AJ$167,TRUE)))),"")</f>
        <v/>
      </c>
      <c r="AP40">
        <f t="array" ref="AP40">IFERROR((SUMPRODUCT((economics!$AG$2:$AG$167=$B40)*(economics!$D$2:$D$167="process")*economics!$AH$2:$AH$167*(_xlfn.NORM.DIST(AP$3,economics!$AK$2:$AK$167,economics!$AJ$2:$AJ$167,TRUE)-_xlfn.NORM.DIST(AP$30,economics!$AK$2:$AK$167,economics!$AJ$2:$AJ$167,TRUE))*economics!$AM$2:$AM$167))/(SUMPRODUCT((economics!$AG$2:$AG$167=$B40)*(economics!$D$2:$D$167="process")*economics!$AH$2:$AH$167*(_xlfn.NORM.DIST(AP$3,economics!$AK$2:$AK$167,economics!$AJ$2:$AJ$167,TRUE)-_xlfn.NORM.DIST(AP$30,economics!$AK$2:$AK$167,economics!$AJ$2:$AJ$167,TRUE)))),"")</f>
        <v/>
      </c>
      <c r="AQ40">
        <f t="array" ref="AQ40">IFERROR((SUMPRODUCT((economics!$AG$2:$AG$167=$B40)*(economics!$D$2:$D$167="process")*economics!$AH$2:$AH$167*(_xlfn.NORM.DIST(AQ$3,economics!$AK$2:$AK$167,economics!$AJ$2:$AJ$167,TRUE)-_xlfn.NORM.DIST(AQ$30,economics!$AK$2:$AK$167,economics!$AJ$2:$AJ$167,TRUE))*economics!$AM$2:$AM$167))/(SUMPRODUCT((economics!$AG$2:$AG$167=$B40)*(economics!$D$2:$D$167="process")*economics!$AH$2:$AH$167*(_xlfn.NORM.DIST(AQ$3,economics!$AK$2:$AK$167,economics!$AJ$2:$AJ$167,TRUE)-_xlfn.NORM.DIST(AQ$30,economics!$AK$2:$AK$167,economics!$AJ$2:$AJ$167,TRUE)))),"")</f>
        <v/>
      </c>
      <c r="AR40">
        <f t="array" ref="AR40">IFERROR((SUMPRODUCT((economics!$AG$2:$AG$167=$B40)*(economics!$D$2:$D$167="process")*economics!$AH$2:$AH$167*(_xlfn.NORM.DIST(AR$3,economics!$AK$2:$AK$167,economics!$AJ$2:$AJ$167,TRUE)-_xlfn.NORM.DIST(AR$30,economics!$AK$2:$AK$167,economics!$AJ$2:$AJ$167,TRUE))*economics!$AM$2:$AM$167))/(SUMPRODUCT((economics!$AG$2:$AG$167=$B40)*(economics!$D$2:$D$167="process")*economics!$AH$2:$AH$167*(_xlfn.NORM.DIST(AR$3,economics!$AK$2:$AK$167,economics!$AJ$2:$AJ$167,TRUE)-_xlfn.NORM.DIST(AR$30,economics!$AK$2:$AK$167,economics!$AJ$2:$AJ$167,TRUE)))),"")</f>
        <v/>
      </c>
      <c r="AS40">
        <f t="array" ref="AS40">IFERROR((SUMPRODUCT((economics!$AG$2:$AG$167=$B40)*(economics!$D$2:$D$167="process")*economics!$AH$2:$AH$167*(_xlfn.NORM.DIST(AS$3,economics!$AK$2:$AK$167,economics!$AJ$2:$AJ$167,TRUE)-_xlfn.NORM.DIST(AS$30,economics!$AK$2:$AK$167,economics!$AJ$2:$AJ$167,TRUE))*economics!$AM$2:$AM$167))/(SUMPRODUCT((economics!$AG$2:$AG$167=$B40)*(economics!$D$2:$D$167="process")*economics!$AH$2:$AH$167*(_xlfn.NORM.DIST(AS$3,economics!$AK$2:$AK$167,economics!$AJ$2:$AJ$167,TRUE)-_xlfn.NORM.DIST(AS$30,economics!$AK$2:$AK$167,economics!$AJ$2:$AJ$167,TRUE)))),"")</f>
        <v/>
      </c>
      <c r="AT40">
        <f t="array" ref="AT40">IFERROR((SUMPRODUCT((economics!$AG$2:$AG$167=$B40)*(economics!$D$2:$D$167="process")*economics!$AH$2:$AH$167*(_xlfn.NORM.DIST(AT$3,economics!$AK$2:$AK$167,economics!$AJ$2:$AJ$167,TRUE)-_xlfn.NORM.DIST(AT$30,economics!$AK$2:$AK$167,economics!$AJ$2:$AJ$167,TRUE))*economics!$AM$2:$AM$167))/(SUMPRODUCT((economics!$AG$2:$AG$167=$B40)*(economics!$D$2:$D$167="process")*economics!$AH$2:$AH$167*(_xlfn.NORM.DIST(AT$3,economics!$AK$2:$AK$167,economics!$AJ$2:$AJ$167,TRUE)-_xlfn.NORM.DIST(AT$30,economics!$AK$2:$AK$167,economics!$AJ$2:$AJ$167,TRUE)))),"")</f>
        <v/>
      </c>
      <c r="AU40">
        <f t="array" ref="AU40">IFERROR((SUMPRODUCT((economics!$AG$2:$AG$167=$B40)*(economics!$D$2:$D$167="process")*economics!$AH$2:$AH$167*(_xlfn.NORM.DIST(AU$3,economics!$AK$2:$AK$167,economics!$AJ$2:$AJ$167,TRUE)-_xlfn.NORM.DIST(AU$30,economics!$AK$2:$AK$167,economics!$AJ$2:$AJ$167,TRUE))*economics!$AM$2:$AM$167))/(SUMPRODUCT((economics!$AG$2:$AG$167=$B40)*(economics!$D$2:$D$167="process")*economics!$AH$2:$AH$167*(_xlfn.NORM.DIST(AU$3,economics!$AK$2:$AK$167,economics!$AJ$2:$AJ$167,TRUE)-_xlfn.NORM.DIST(AU$30,economics!$AK$2:$AK$167,economics!$AJ$2:$AJ$167,TRUE)))),"")</f>
        <v/>
      </c>
      <c r="AV40">
        <f t="array" ref="AV40">IFERROR((SUMPRODUCT((economics!$AG$2:$AG$167=$B40)*(economics!$D$2:$D$167="process")*economics!$AH$2:$AH$167*(_xlfn.NORM.DIST(AV$3,economics!$AK$2:$AK$167,economics!$AJ$2:$AJ$167,TRUE)-_xlfn.NORM.DIST(AV$30,economics!$AK$2:$AK$167,economics!$AJ$2:$AJ$167,TRUE))*economics!$AM$2:$AM$167))/(SUMPRODUCT((economics!$AG$2:$AG$167=$B40)*(economics!$D$2:$D$167="process")*economics!$AH$2:$AH$167*(_xlfn.NORM.DIST(AV$3,economics!$AK$2:$AK$167,economics!$AJ$2:$AJ$167,TRUE)-_xlfn.NORM.DIST(AV$30,economics!$AK$2:$AK$167,economics!$AJ$2:$AJ$167,TRUE)))),"")</f>
        <v/>
      </c>
      <c r="AW40">
        <f t="array" ref="AW40">IFERROR((SUMPRODUCT((economics!$AG$2:$AG$167=$B40)*(economics!$D$2:$D$167="process")*economics!$AH$2:$AH$167*(_xlfn.NORM.DIST(AW$3,economics!$AK$2:$AK$167,economics!$AJ$2:$AJ$167,TRUE)-_xlfn.NORM.DIST(AW$30,economics!$AK$2:$AK$167,economics!$AJ$2:$AJ$167,TRUE))*economics!$AM$2:$AM$167))/(SUMPRODUCT((economics!$AG$2:$AG$167=$B40)*(economics!$D$2:$D$167="process")*economics!$AH$2:$AH$167*(_xlfn.NORM.DIST(AW$3,economics!$AK$2:$AK$167,economics!$AJ$2:$AJ$167,TRUE)-_xlfn.NORM.DIST(AW$30,economics!$AK$2:$AK$167,economics!$AJ$2:$AJ$167,TRUE)))),"")</f>
        <v/>
      </c>
      <c r="AX40">
        <f t="array" ref="AX40">IFERROR((SUMPRODUCT((economics!$AG$2:$AG$167=$B40)*(economics!$D$2:$D$167="process")*economics!$AH$2:$AH$167*(_xlfn.NORM.DIST(AX$3,economics!$AK$2:$AK$167,economics!$AJ$2:$AJ$167,TRUE)-_xlfn.NORM.DIST(AX$30,economics!$AK$2:$AK$167,economics!$AJ$2:$AJ$167,TRUE))*economics!$AM$2:$AM$167))/(SUMPRODUCT((economics!$AG$2:$AG$167=$B40)*(economics!$D$2:$D$167="process")*economics!$AH$2:$AH$167*(_xlfn.NORM.DIST(AX$3,economics!$AK$2:$AK$167,economics!$AJ$2:$AJ$167,TRUE)-_xlfn.NORM.DIST(AX$30,economics!$AK$2:$AK$167,economics!$AJ$2:$AJ$167,TRUE)))),"")</f>
        <v/>
      </c>
      <c r="AY40">
        <f t="array" ref="AY40">IFERROR((SUMPRODUCT((economics!$AG$2:$AG$167=$B40)*(economics!$D$2:$D$167="process")*economics!$AH$2:$AH$167*(_xlfn.NORM.DIST(AY$3,economics!$AK$2:$AK$167,economics!$AJ$2:$AJ$167,TRUE)-_xlfn.NORM.DIST(AY$30,economics!$AK$2:$AK$167,economics!$AJ$2:$AJ$167,TRUE))*economics!$AM$2:$AM$167))/(SUMPRODUCT((economics!$AG$2:$AG$167=$B40)*(economics!$D$2:$D$167="process")*economics!$AH$2:$AH$167*(_xlfn.NORM.DIST(AY$3,economics!$AK$2:$AK$167,economics!$AJ$2:$AJ$167,TRUE)-_xlfn.NORM.DIST(AY$30,economics!$AK$2:$AK$167,economics!$AJ$2:$AJ$167,TRUE)))),"")</f>
        <v/>
      </c>
      <c r="AZ40">
        <f t="array" ref="AZ40">IFERROR((SUMPRODUCT((economics!$AG$2:$AG$167=$B40)*(economics!$D$2:$D$167="process")*economics!$AH$2:$AH$167*(_xlfn.NORM.DIST(AZ$3,economics!$AK$2:$AK$167,economics!$AJ$2:$AJ$167,TRUE)-_xlfn.NORM.DIST(AZ$30,economics!$AK$2:$AK$167,economics!$AJ$2:$AJ$167,TRUE))*economics!$AM$2:$AM$167))/(SUMPRODUCT((economics!$AG$2:$AG$167=$B40)*(economics!$D$2:$D$167="process")*economics!$AH$2:$AH$167*(_xlfn.NORM.DIST(AZ$3,economics!$AK$2:$AK$167,economics!$AJ$2:$AJ$167,TRUE)-_xlfn.NORM.DIST(AZ$30,economics!$AK$2:$AK$167,economics!$AJ$2:$AJ$167,TRUE)))),"")</f>
        <v/>
      </c>
      <c r="BA40">
        <f t="array" ref="BA40">IFERROR((SUMPRODUCT((economics!$AG$2:$AG$167=$B40)*(economics!$D$2:$D$167="process")*economics!$AH$2:$AH$167*(_xlfn.NORM.DIST(BA$3,economics!$AK$2:$AK$167,economics!$AJ$2:$AJ$167,TRUE)-_xlfn.NORM.DIST(BA$30,economics!$AK$2:$AK$167,economics!$AJ$2:$AJ$167,TRUE))*economics!$AM$2:$AM$167))/(SUMPRODUCT((economics!$AG$2:$AG$167=$B40)*(economics!$D$2:$D$167="process")*economics!$AH$2:$AH$167*(_xlfn.NORM.DIST(BA$3,economics!$AK$2:$AK$167,economics!$AJ$2:$AJ$167,TRUE)-_xlfn.NORM.DIST(BA$30,economics!$AK$2:$AK$167,economics!$AJ$2:$AJ$167,TRUE)))),"")</f>
        <v/>
      </c>
      <c r="BB40">
        <f t="array" ref="BB40">IFERROR((SUMPRODUCT((economics!$AG$2:$AG$167=$B40)*(economics!$D$2:$D$167="process")*economics!$AH$2:$AH$167*(_xlfn.NORM.DIST(BB$3,economics!$AK$2:$AK$167,economics!$AJ$2:$AJ$167,TRUE)-_xlfn.NORM.DIST(BB$30,economics!$AK$2:$AK$167,economics!$AJ$2:$AJ$167,TRUE))*economics!$AM$2:$AM$167))/(SUMPRODUCT((economics!$AG$2:$AG$167=$B40)*(economics!$D$2:$D$167="process")*economics!$AH$2:$AH$167*(_xlfn.NORM.DIST(BB$3,economics!$AK$2:$AK$167,economics!$AJ$2:$AJ$167,TRUE)-_xlfn.NORM.DIST(BB$30,economics!$AK$2:$AK$167,economics!$AJ$2:$AJ$167,TRUE)))),"")</f>
        <v/>
      </c>
      <c r="BC40">
        <f t="array" ref="BC40">IFERROR((SUMPRODUCT((economics!$AG$2:$AG$167=$B40)*(economics!$D$2:$D$167="process")*economics!$AH$2:$AH$167*(_xlfn.NORM.DIST(BC$3,economics!$AK$2:$AK$167,economics!$AJ$2:$AJ$167,TRUE)-_xlfn.NORM.DIST(BC$30,economics!$AK$2:$AK$167,economics!$AJ$2:$AJ$167,TRUE))*economics!$AM$2:$AM$167))/(SUMPRODUCT((economics!$AG$2:$AG$167=$B40)*(economics!$D$2:$D$167="process")*economics!$AH$2:$AH$167*(_xlfn.NORM.DIST(BC$3,economics!$AK$2:$AK$167,economics!$AJ$2:$AJ$167,TRUE)-_xlfn.NORM.DIST(BC$30,economics!$AK$2:$AK$167,economics!$AJ$2:$AJ$167,TRUE)))),"")</f>
        <v/>
      </c>
      <c r="BD40">
        <f t="array" ref="BD40">IFERROR((SUMPRODUCT((economics!$AG$2:$AG$167=$B40)*(economics!$D$2:$D$167="process")*economics!$AH$2:$AH$167*(_xlfn.NORM.DIST(BD$3,economics!$AK$2:$AK$167,economics!$AJ$2:$AJ$167,TRUE)-_xlfn.NORM.DIST(BD$30,economics!$AK$2:$AK$167,economics!$AJ$2:$AJ$167,TRUE))*economics!$AM$2:$AM$167))/(SUMPRODUCT((economics!$AG$2:$AG$167=$B40)*(economics!$D$2:$D$167="process")*economics!$AH$2:$AH$167*(_xlfn.NORM.DIST(BD$3,economics!$AK$2:$AK$167,economics!$AJ$2:$AJ$167,TRUE)-_xlfn.NORM.DIST(BD$30,economics!$AK$2:$AK$167,economics!$AJ$2:$AJ$167,TRUE)))),"")</f>
        <v/>
      </c>
      <c r="BE40">
        <f t="array" ref="BE40">IFERROR((SUMPRODUCT((economics!$AG$2:$AG$167=$B40)*(economics!$D$2:$D$167="process")*economics!$AH$2:$AH$167*(_xlfn.NORM.DIST(BE$3,economics!$AK$2:$AK$167,economics!$AJ$2:$AJ$167,TRUE)-_xlfn.NORM.DIST(BE$30,economics!$AK$2:$AK$167,economics!$AJ$2:$AJ$167,TRUE))*economics!$AM$2:$AM$167))/(SUMPRODUCT((economics!$AG$2:$AG$167=$B40)*(economics!$D$2:$D$167="process")*economics!$AH$2:$AH$167*(_xlfn.NORM.DIST(BE$3,economics!$AK$2:$AK$167,economics!$AJ$2:$AJ$167,TRUE)-_xlfn.NORM.DIST(BE$30,economics!$AK$2:$AK$167,economics!$AJ$2:$AJ$167,TRUE)))),"")</f>
        <v/>
      </c>
      <c r="BF40">
        <f t="array" ref="BF40">IFERROR((SUMPRODUCT((economics!$AG$2:$AG$167=$B40)*(economics!$D$2:$D$167="process")*economics!$AH$2:$AH$167*(_xlfn.NORM.DIST(BF$3,economics!$AK$2:$AK$167,economics!$AJ$2:$AJ$167,TRUE)-_xlfn.NORM.DIST(BF$30,economics!$AK$2:$AK$167,economics!$AJ$2:$AJ$167,TRUE))*economics!$AM$2:$AM$167))/(SUMPRODUCT((economics!$AG$2:$AG$167=$B40)*(economics!$D$2:$D$167="process")*economics!$AH$2:$AH$167*(_xlfn.NORM.DIST(BF$3,economics!$AK$2:$AK$167,economics!$AJ$2:$AJ$167,TRUE)-_xlfn.NORM.DIST(BF$30,economics!$AK$2:$AK$167,economics!$AJ$2:$AJ$167,TRUE)))),"")</f>
        <v/>
      </c>
      <c r="BG40">
        <f t="array" ref="BG40">IFERROR((SUMPRODUCT((economics!$AG$2:$AG$167=$B40)*(economics!$D$2:$D$167="process")*economics!$AH$2:$AH$167*(_xlfn.NORM.DIST(BG$3,economics!$AK$2:$AK$167,economics!$AJ$2:$AJ$167,TRUE)-_xlfn.NORM.DIST(BG$30,economics!$AK$2:$AK$167,economics!$AJ$2:$AJ$167,TRUE))*economics!$AM$2:$AM$167))/(SUMPRODUCT((economics!$AG$2:$AG$167=$B40)*(economics!$D$2:$D$167="process")*economics!$AH$2:$AH$167*(_xlfn.NORM.DIST(BG$3,economics!$AK$2:$AK$167,economics!$AJ$2:$AJ$167,TRUE)-_xlfn.NORM.DIST(BG$30,economics!$AK$2:$AK$167,economics!$AJ$2:$AJ$167,TRUE)))),"")</f>
        <v/>
      </c>
      <c r="BH40">
        <f t="array" ref="BH40">IFERROR((SUMPRODUCT((economics!$AG$2:$AG$167=$B40)*(economics!$D$2:$D$167="process")*economics!$AH$2:$AH$167*(_xlfn.NORM.DIST(BH$3,economics!$AK$2:$AK$167,economics!$AJ$2:$AJ$167,TRUE)-_xlfn.NORM.DIST(BH$30,economics!$AK$2:$AK$167,economics!$AJ$2:$AJ$167,TRUE))*economics!$AM$2:$AM$167))/(SUMPRODUCT((economics!$AG$2:$AG$167=$B40)*(economics!$D$2:$D$167="process")*economics!$AH$2:$AH$167*(_xlfn.NORM.DIST(BH$3,economics!$AK$2:$AK$167,economics!$AJ$2:$AJ$167,TRUE)-_xlfn.NORM.DIST(BH$30,economics!$AK$2:$AK$167,economics!$AJ$2:$AJ$167,TRUE)))),"")</f>
        <v/>
      </c>
      <c r="BI40">
        <f t="array" ref="BI40">IFERROR((SUMPRODUCT((economics!$AG$2:$AG$167=$B40)*(economics!$D$2:$D$167="process")*economics!$AH$2:$AH$167*(_xlfn.NORM.DIST(BI$3,economics!$AK$2:$AK$167,economics!$AJ$2:$AJ$167,TRUE)-_xlfn.NORM.DIST(BI$30,economics!$AK$2:$AK$167,economics!$AJ$2:$AJ$167,TRUE))*economics!$AM$2:$AM$167))/(SUMPRODUCT((economics!$AG$2:$AG$167=$B40)*(economics!$D$2:$D$167="process")*economics!$AH$2:$AH$167*(_xlfn.NORM.DIST(BI$3,economics!$AK$2:$AK$167,economics!$AJ$2:$AJ$167,TRUE)-_xlfn.NORM.DIST(BI$30,economics!$AK$2:$AK$167,economics!$AJ$2:$AJ$167,TRUE)))),"")</f>
        <v/>
      </c>
      <c r="BJ40">
        <f t="array" ref="BJ40">IFERROR((SUMPRODUCT((economics!$AG$2:$AG$167=$B40)*(economics!$D$2:$D$167="process")*economics!$AH$2:$AH$167*(_xlfn.NORM.DIST(BJ$3,economics!$AK$2:$AK$167,economics!$AJ$2:$AJ$167,TRUE)-_xlfn.NORM.DIST(BJ$30,economics!$AK$2:$AK$167,economics!$AJ$2:$AJ$167,TRUE))*economics!$AM$2:$AM$167))/(SUMPRODUCT((economics!$AG$2:$AG$167=$B40)*(economics!$D$2:$D$167="process")*economics!$AH$2:$AH$167*(_xlfn.NORM.DIST(BJ$3,economics!$AK$2:$AK$167,economics!$AJ$2:$AJ$167,TRUE)-_xlfn.NORM.DIST(BJ$30,economics!$AK$2:$AK$167,economics!$AJ$2:$AJ$167,TRUE)))),"")</f>
        <v/>
      </c>
      <c r="BK40">
        <f t="array" ref="BK40">IFERROR((SUMPRODUCT((economics!$AG$2:$AG$167=$B40)*(economics!$D$2:$D$167="process")*economics!$AH$2:$AH$167*(_xlfn.NORM.DIST(BK$3,economics!$AK$2:$AK$167,economics!$AJ$2:$AJ$167,TRUE)-_xlfn.NORM.DIST(BK$30,economics!$AK$2:$AK$167,economics!$AJ$2:$AJ$167,TRUE))*economics!$AM$2:$AM$167))/(SUMPRODUCT((economics!$AG$2:$AG$167=$B40)*(economics!$D$2:$D$167="process")*economics!$AH$2:$AH$167*(_xlfn.NORM.DIST(BK$3,economics!$AK$2:$AK$167,economics!$AJ$2:$AJ$167,TRUE)-_xlfn.NORM.DIST(BK$30,economics!$AK$2:$AK$167,economics!$AJ$2:$AJ$167,TRUE)))),"")</f>
        <v/>
      </c>
      <c r="BL40">
        <f t="array" ref="BL40">IFERROR((SUMPRODUCT((economics!$AG$2:$AG$167=$B40)*(economics!$D$2:$D$167="process")*economics!$AH$2:$AH$167*(_xlfn.NORM.DIST(BL$3,economics!$AK$2:$AK$167,economics!$AJ$2:$AJ$167,TRUE)-_xlfn.NORM.DIST(BL$30,economics!$AK$2:$AK$167,economics!$AJ$2:$AJ$167,TRUE))*economics!$AM$2:$AM$167))/(SUMPRODUCT((economics!$AG$2:$AG$167=$B40)*(economics!$D$2:$D$167="process")*economics!$AH$2:$AH$167*(_xlfn.NORM.DIST(BL$3,economics!$AK$2:$AK$167,economics!$AJ$2:$AJ$167,TRUE)-_xlfn.NORM.DIST(BL$30,economics!$AK$2:$AK$167,economics!$AJ$2:$AJ$167,TRUE)))),"")</f>
        <v/>
      </c>
      <c r="BM40">
        <f t="array" ref="BM40">IFERROR((SUMPRODUCT((economics!$AG$2:$AG$167=$B40)*(economics!$D$2:$D$167="process")*economics!$AH$2:$AH$167*(_xlfn.NORM.DIST(BM$3,economics!$AK$2:$AK$167,economics!$AJ$2:$AJ$167,TRUE)-_xlfn.NORM.DIST(BM$30,economics!$AK$2:$AK$167,economics!$AJ$2:$AJ$167,TRUE))*economics!$AM$2:$AM$167))/(SUMPRODUCT((economics!$AG$2:$AG$167=$B40)*(economics!$D$2:$D$167="process")*economics!$AH$2:$AH$167*(_xlfn.NORM.DIST(BM$3,economics!$AK$2:$AK$167,economics!$AJ$2:$AJ$167,TRUE)-_xlfn.NORM.DIST(BM$30,economics!$AK$2:$AK$167,economics!$AJ$2:$AJ$167,TRUE)))),"")</f>
        <v/>
      </c>
      <c r="BN40">
        <f t="array" ref="BN40">IFERROR((SUMPRODUCT((economics!$AG$2:$AG$167=$B40)*(economics!$D$2:$D$167="process")*economics!$AH$2:$AH$167*(_xlfn.NORM.DIST(BN$3,economics!$AK$2:$AK$167,economics!$AJ$2:$AJ$167,TRUE)-_xlfn.NORM.DIST(BN$30,economics!$AK$2:$AK$167,economics!$AJ$2:$AJ$167,TRUE))*economics!$AM$2:$AM$167))/(SUMPRODUCT((economics!$AG$2:$AG$167=$B40)*(economics!$D$2:$D$167="process")*economics!$AH$2:$AH$167*(_xlfn.NORM.DIST(BN$3,economics!$AK$2:$AK$167,economics!$AJ$2:$AJ$167,TRUE)-_xlfn.NORM.DIST(BN$30,economics!$AK$2:$AK$167,economics!$AJ$2:$AJ$167,TRUE)))),"")</f>
        <v/>
      </c>
      <c r="BO40">
        <f t="array" ref="BO40">IFERROR((SUMPRODUCT((economics!$AG$2:$AG$167=$B40)*(economics!$D$2:$D$167="process")*economics!$AH$2:$AH$167*(_xlfn.NORM.DIST(BO$3,economics!$AK$2:$AK$167,economics!$AJ$2:$AJ$167,TRUE)-_xlfn.NORM.DIST(BO$30,economics!$AK$2:$AK$167,economics!$AJ$2:$AJ$167,TRUE))*economics!$AM$2:$AM$167))/(SUMPRODUCT((economics!$AG$2:$AG$167=$B40)*(economics!$D$2:$D$167="process")*economics!$AH$2:$AH$167*(_xlfn.NORM.DIST(BO$3,economics!$AK$2:$AK$167,economics!$AJ$2:$AJ$167,TRUE)-_xlfn.NORM.DIST(BO$30,economics!$AK$2:$AK$167,economics!$AJ$2:$AJ$167,TRUE)))),"")</f>
        <v/>
      </c>
      <c r="BP40">
        <f t="array" ref="BP40">IFERROR((SUMPRODUCT((economics!$AG$2:$AG$167=$B40)*(economics!$D$2:$D$167="process")*economics!$AH$2:$AH$167*(_xlfn.NORM.DIST(BP$3,economics!$AK$2:$AK$167,economics!$AJ$2:$AJ$167,TRUE)-_xlfn.NORM.DIST(BP$30,economics!$AK$2:$AK$167,economics!$AJ$2:$AJ$167,TRUE))*economics!$AM$2:$AM$167))/(SUMPRODUCT((economics!$AG$2:$AG$167=$B40)*(economics!$D$2:$D$167="process")*economics!$AH$2:$AH$167*(_xlfn.NORM.DIST(BP$3,economics!$AK$2:$AK$167,economics!$AJ$2:$AJ$167,TRUE)-_xlfn.NORM.DIST(BP$30,economics!$AK$2:$AK$167,economics!$AJ$2:$AJ$167,TRUE)))),"")</f>
        <v/>
      </c>
      <c r="BQ40">
        <f t="array" ref="BQ40">IFERROR((SUMPRODUCT((economics!$AG$2:$AG$167=$B40)*(economics!$D$2:$D$167="process")*economics!$AH$2:$AH$167*(_xlfn.NORM.DIST(BQ$3,economics!$AK$2:$AK$167,economics!$AJ$2:$AJ$167,TRUE)-_xlfn.NORM.DIST(BQ$30,economics!$AK$2:$AK$167,economics!$AJ$2:$AJ$167,TRUE))*economics!$AM$2:$AM$167))/(SUMPRODUCT((economics!$AG$2:$AG$167=$B40)*(economics!$D$2:$D$167="process")*economics!$AH$2:$AH$167*(_xlfn.NORM.DIST(BQ$3,economics!$AK$2:$AK$167,economics!$AJ$2:$AJ$167,TRUE)-_xlfn.NORM.DIST(BQ$30,economics!$AK$2:$AK$167,economics!$AJ$2:$AJ$167,TRUE)))),"")</f>
        <v/>
      </c>
      <c r="BR40">
        <f t="array" ref="BR40">IFERROR((SUMPRODUCT((economics!$AG$2:$AG$167=$B40)*(economics!$D$2:$D$167="process")*economics!$AH$2:$AH$167*(_xlfn.NORM.DIST(BR$3,economics!$AK$2:$AK$167,economics!$AJ$2:$AJ$167,TRUE)-_xlfn.NORM.DIST(BR$30,economics!$AK$2:$AK$167,economics!$AJ$2:$AJ$167,TRUE))*economics!$AM$2:$AM$167))/(SUMPRODUCT((economics!$AG$2:$AG$167=$B40)*(economics!$D$2:$D$167="process")*economics!$AH$2:$AH$167*(_xlfn.NORM.DIST(BR$3,economics!$AK$2:$AK$167,economics!$AJ$2:$AJ$167,TRUE)-_xlfn.NORM.DIST(BR$30,economics!$AK$2:$AK$167,economics!$AJ$2:$AJ$167,TRUE)))),"")</f>
        <v/>
      </c>
      <c r="BS40">
        <f t="array" ref="BS40">IFERROR((SUMPRODUCT((economics!$AG$2:$AG$167=$B40)*(economics!$D$2:$D$167="process")*economics!$AH$2:$AH$167*(_xlfn.NORM.DIST(BS$3,economics!$AK$2:$AK$167,economics!$AJ$2:$AJ$167,TRUE)-_xlfn.NORM.DIST(BS$30,economics!$AK$2:$AK$167,economics!$AJ$2:$AJ$167,TRUE))*economics!$AM$2:$AM$167))/(SUMPRODUCT((economics!$AG$2:$AG$167=$B40)*(economics!$D$2:$D$167="process")*economics!$AH$2:$AH$167*(_xlfn.NORM.DIST(BS$3,economics!$AK$2:$AK$167,economics!$AJ$2:$AJ$167,TRUE)-_xlfn.NORM.DIST(BS$30,economics!$AK$2:$AK$167,economics!$AJ$2:$AJ$167,TRUE)))),"")</f>
        <v/>
      </c>
      <c r="BT40">
        <f t="array" ref="BT40">IFERROR((SUMPRODUCT((economics!$AG$2:$AG$167=$B40)*(economics!$D$2:$D$167="process")*economics!$AH$2:$AH$167*(_xlfn.NORM.DIST(BT$3,economics!$AK$2:$AK$167,economics!$AJ$2:$AJ$167,TRUE)-_xlfn.NORM.DIST(BT$30,economics!$AK$2:$AK$167,economics!$AJ$2:$AJ$167,TRUE))*economics!$AM$2:$AM$167))/(SUMPRODUCT((economics!$AG$2:$AG$167=$B40)*(economics!$D$2:$D$167="process")*economics!$AH$2:$AH$167*(_xlfn.NORM.DIST(BT$3,economics!$AK$2:$AK$167,economics!$AJ$2:$AJ$167,TRUE)-_xlfn.NORM.DIST(BT$30,economics!$AK$2:$AK$167,economics!$AJ$2:$AJ$167,TRUE)))),"")</f>
        <v/>
      </c>
      <c r="BU40">
        <f t="array" ref="BU40">IFERROR((SUMPRODUCT((economics!$AG$2:$AG$167=$B40)*(economics!$D$2:$D$167="process")*economics!$AH$2:$AH$167*(_xlfn.NORM.DIST(BU$3,economics!$AK$2:$AK$167,economics!$AJ$2:$AJ$167,TRUE)-_xlfn.NORM.DIST(BU$30,economics!$AK$2:$AK$167,economics!$AJ$2:$AJ$167,TRUE))*economics!$AM$2:$AM$167))/(SUMPRODUCT((economics!$AG$2:$AG$167=$B40)*(economics!$D$2:$D$167="process")*economics!$AH$2:$AH$167*(_xlfn.NORM.DIST(BU$3,economics!$AK$2:$AK$167,economics!$AJ$2:$AJ$167,TRUE)-_xlfn.NORM.DIST(BU$30,economics!$AK$2:$AK$167,economics!$AJ$2:$AJ$167,TRUE)))),"")</f>
        <v/>
      </c>
      <c r="BV40">
        <f t="array" ref="BV40">IFERROR((SUMPRODUCT((economics!$AG$2:$AG$167=$B40)*(economics!$D$2:$D$167="process")*economics!$AH$2:$AH$167*(_xlfn.NORM.DIST(BV$3,economics!$AK$2:$AK$167,economics!$AJ$2:$AJ$167,TRUE)-_xlfn.NORM.DIST(BV$30,economics!$AK$2:$AK$167,economics!$AJ$2:$AJ$167,TRUE))*economics!$AM$2:$AM$167))/(SUMPRODUCT((economics!$AG$2:$AG$167=$B40)*(economics!$D$2:$D$167="process")*economics!$AH$2:$AH$167*(_xlfn.NORM.DIST(BV$3,economics!$AK$2:$AK$167,economics!$AJ$2:$AJ$167,TRUE)-_xlfn.NORM.DIST(BV$30,economics!$AK$2:$AK$167,economics!$AJ$2:$AJ$167,TRUE)))),"")</f>
        <v/>
      </c>
      <c r="BW40">
        <f t="array" ref="BW40">IFERROR((SUMPRODUCT((economics!$AG$2:$AG$167=$B40)*(economics!$D$2:$D$167="process")*economics!$AH$2:$AH$167*(_xlfn.NORM.DIST(BW$3,economics!$AK$2:$AK$167,economics!$AJ$2:$AJ$167,TRUE)-_xlfn.NORM.DIST(BW$30,economics!$AK$2:$AK$167,economics!$AJ$2:$AJ$167,TRUE))*economics!$AM$2:$AM$167))/(SUMPRODUCT((economics!$AG$2:$AG$167=$B40)*(economics!$D$2:$D$167="process")*economics!$AH$2:$AH$167*(_xlfn.NORM.DIST(BW$3,economics!$AK$2:$AK$167,economics!$AJ$2:$AJ$167,TRUE)-_xlfn.NORM.DIST(BW$30,economics!$AK$2:$AK$167,economics!$AJ$2:$AJ$167,TRUE)))),"")</f>
        <v/>
      </c>
      <c r="BX40">
        <f t="array" ref="BX40">IFERROR((SUMPRODUCT((economics!$AG$2:$AG$167=$B40)*(economics!$D$2:$D$167="process")*economics!$AH$2:$AH$167*(_xlfn.NORM.DIST(BX$3,economics!$AK$2:$AK$167,economics!$AJ$2:$AJ$167,TRUE)-_xlfn.NORM.DIST(BX$30,economics!$AK$2:$AK$167,economics!$AJ$2:$AJ$167,TRUE))*economics!$AM$2:$AM$167))/(SUMPRODUCT((economics!$AG$2:$AG$167=$B40)*(economics!$D$2:$D$167="process")*economics!$AH$2:$AH$167*(_xlfn.NORM.DIST(BX$3,economics!$AK$2:$AK$167,economics!$AJ$2:$AJ$167,TRUE)-_xlfn.NORM.DIST(BX$30,economics!$AK$2:$AK$167,economics!$AJ$2:$AJ$167,TRUE)))),"")</f>
        <v/>
      </c>
      <c r="BY40">
        <f t="array" ref="BY40">IFERROR((SUMPRODUCT((economics!$AG$2:$AG$167=$B40)*(economics!$D$2:$D$167="process")*economics!$AH$2:$AH$167*(_xlfn.NORM.DIST(BY$3,economics!$AK$2:$AK$167,economics!$AJ$2:$AJ$167,TRUE)-_xlfn.NORM.DIST(BY$30,economics!$AK$2:$AK$167,economics!$AJ$2:$AJ$167,TRUE))*economics!$AM$2:$AM$167))/(SUMPRODUCT((economics!$AG$2:$AG$167=$B40)*(economics!$D$2:$D$167="process")*economics!$AH$2:$AH$167*(_xlfn.NORM.DIST(BY$3,economics!$AK$2:$AK$167,economics!$AJ$2:$AJ$167,TRUE)-_xlfn.NORM.DIST(BY$30,economics!$AK$2:$AK$167,economics!$AJ$2:$AJ$167,TRUE)))),"")</f>
        <v/>
      </c>
      <c r="BZ40">
        <f t="array" ref="BZ40">IFERROR((SUMPRODUCT((economics!$AG$2:$AG$167=$B40)*(economics!$D$2:$D$167="process")*economics!$AH$2:$AH$167*(_xlfn.NORM.DIST(BZ$3,economics!$AK$2:$AK$167,economics!$AJ$2:$AJ$167,TRUE)-_xlfn.NORM.DIST(BZ$30,economics!$AK$2:$AK$167,economics!$AJ$2:$AJ$167,TRUE))*economics!$AM$2:$AM$167))/(SUMPRODUCT((economics!$AG$2:$AG$167=$B40)*(economics!$D$2:$D$167="process")*economics!$AH$2:$AH$167*(_xlfn.NORM.DIST(BZ$3,economics!$AK$2:$AK$167,economics!$AJ$2:$AJ$167,TRUE)-_xlfn.NORM.DIST(BZ$30,economics!$AK$2:$AK$167,economics!$AJ$2:$AJ$167,TRUE)))),"")</f>
        <v/>
      </c>
      <c r="CA40">
        <f t="array" ref="CA40">IFERROR((SUMPRODUCT((economics!$AG$2:$AG$167=$B40)*(economics!$D$2:$D$167="process")*economics!$AH$2:$AH$167*(_xlfn.NORM.DIST(CA$3,economics!$AK$2:$AK$167,economics!$AJ$2:$AJ$167,TRUE)-_xlfn.NORM.DIST(CA$30,economics!$AK$2:$AK$167,economics!$AJ$2:$AJ$167,TRUE))*economics!$AM$2:$AM$167))/(SUMPRODUCT((economics!$AG$2:$AG$167=$B40)*(economics!$D$2:$D$167="process")*economics!$AH$2:$AH$167*(_xlfn.NORM.DIST(CA$3,economics!$AK$2:$AK$167,economics!$AJ$2:$AJ$167,TRUE)-_xlfn.NORM.DIST(CA$30,economics!$AK$2:$AK$167,economics!$AJ$2:$AJ$167,TRUE)))),"")</f>
        <v/>
      </c>
      <c r="CB40">
        <f t="array" ref="CB40">IFERROR((SUMPRODUCT((economics!$AG$2:$AG$167=$B40)*(economics!$D$2:$D$167="process")*economics!$AH$2:$AH$167*(_xlfn.NORM.DIST(CB$3,economics!$AK$2:$AK$167,economics!$AJ$2:$AJ$167,TRUE)-_xlfn.NORM.DIST(CB$30,economics!$AK$2:$AK$167,economics!$AJ$2:$AJ$167,TRUE))*economics!$AM$2:$AM$167))/(SUMPRODUCT((economics!$AG$2:$AG$167=$B40)*(economics!$D$2:$D$167="process")*economics!$AH$2:$AH$167*(_xlfn.NORM.DIST(CB$3,economics!$AK$2:$AK$167,economics!$AJ$2:$AJ$167,TRUE)-_xlfn.NORM.DIST(CB$30,economics!$AK$2:$AK$167,economics!$AJ$2:$AJ$167,TRUE)))),"")</f>
        <v/>
      </c>
      <c r="CC40">
        <f t="array" ref="CC40">IFERROR((SUMPRODUCT((economics!$AG$2:$AG$167=$B40)*(economics!$D$2:$D$167="process")*economics!$AH$2:$AH$167*(_xlfn.NORM.DIST(CC$3,economics!$AK$2:$AK$167,economics!$AJ$2:$AJ$167,TRUE)-_xlfn.NORM.DIST(CC$30,economics!$AK$2:$AK$167,economics!$AJ$2:$AJ$167,TRUE))*economics!$AM$2:$AM$167))/(SUMPRODUCT((economics!$AG$2:$AG$167=$B40)*(economics!$D$2:$D$167="process")*economics!$AH$2:$AH$167*(_xlfn.NORM.DIST(CC$3,economics!$AK$2:$AK$167,economics!$AJ$2:$AJ$167,TRUE)-_xlfn.NORM.DIST(CC$30,economics!$AK$2:$AK$167,economics!$AJ$2:$AJ$167,TRUE)))),"")</f>
        <v/>
      </c>
      <c r="CD40">
        <f t="array" ref="CD40">IFERROR((SUMPRODUCT((economics!$AG$2:$AG$167=$B40)*(economics!$D$2:$D$167="process")*economics!$AH$2:$AH$167*(_xlfn.NORM.DIST(CD$3,economics!$AK$2:$AK$167,economics!$AJ$2:$AJ$167,TRUE)-_xlfn.NORM.DIST(CD$30,economics!$AK$2:$AK$167,economics!$AJ$2:$AJ$167,TRUE))*economics!$AM$2:$AM$167))/(SUMPRODUCT((economics!$AG$2:$AG$167=$B40)*(economics!$D$2:$D$167="process")*economics!$AH$2:$AH$167*(_xlfn.NORM.DIST(CD$3,economics!$AK$2:$AK$167,economics!$AJ$2:$AJ$167,TRUE)-_xlfn.NORM.DIST(CD$30,economics!$AK$2:$AK$167,economics!$AJ$2:$AJ$167,TRUE)))),"")</f>
        <v/>
      </c>
      <c r="CE40">
        <f t="array" ref="CE40">IFERROR((SUMPRODUCT((economics!$AG$2:$AG$167=$B40)*(economics!$D$2:$D$167="process")*economics!$AH$2:$AH$167*(_xlfn.NORM.DIST(CE$3,economics!$AK$2:$AK$167,economics!$AJ$2:$AJ$167,TRUE)-_xlfn.NORM.DIST(CE$30,economics!$AK$2:$AK$167,economics!$AJ$2:$AJ$167,TRUE))*economics!$AM$2:$AM$167))/(SUMPRODUCT((economics!$AG$2:$AG$167=$B40)*(economics!$D$2:$D$167="process")*economics!$AH$2:$AH$167*(_xlfn.NORM.DIST(CE$3,economics!$AK$2:$AK$167,economics!$AJ$2:$AJ$167,TRUE)-_xlfn.NORM.DIST(CE$30,economics!$AK$2:$AK$167,economics!$AJ$2:$AJ$167,TRUE)))),"")</f>
        <v/>
      </c>
      <c r="CF40">
        <f t="array" ref="CF40">IFERROR((SUMPRODUCT((economics!$AG$2:$AG$167=$B40)*(economics!$D$2:$D$167="process")*economics!$AH$2:$AH$167*(_xlfn.NORM.DIST(CF$3,economics!$AK$2:$AK$167,economics!$AJ$2:$AJ$167,TRUE)-_xlfn.NORM.DIST(CF$30,economics!$AK$2:$AK$167,economics!$AJ$2:$AJ$167,TRUE))*economics!$AM$2:$AM$167))/(SUMPRODUCT((economics!$AG$2:$AG$167=$B40)*(economics!$D$2:$D$167="process")*economics!$AH$2:$AH$167*(_xlfn.NORM.DIST(CF$3,economics!$AK$2:$AK$167,economics!$AJ$2:$AJ$167,TRUE)-_xlfn.NORM.DIST(CF$30,economics!$AK$2:$AK$167,economics!$AJ$2:$AJ$167,TRUE)))),"")</f>
        <v/>
      </c>
      <c r="CG40">
        <f t="array" ref="CG40">IFERROR((SUMPRODUCT((economics!$AG$2:$AG$167=$B40)*(economics!$D$2:$D$167="process")*economics!$AH$2:$AH$167*(_xlfn.NORM.DIST(CG$3,economics!$AK$2:$AK$167,economics!$AJ$2:$AJ$167,TRUE)-_xlfn.NORM.DIST(CG$30,economics!$AK$2:$AK$167,economics!$AJ$2:$AJ$167,TRUE))*economics!$AM$2:$AM$167))/(SUMPRODUCT((economics!$AG$2:$AG$167=$B40)*(economics!$D$2:$D$167="process")*economics!$AH$2:$AH$167*(_xlfn.NORM.DIST(CG$3,economics!$AK$2:$AK$167,economics!$AJ$2:$AJ$167,TRUE)-_xlfn.NORM.DIST(CG$30,economics!$AK$2:$AK$167,economics!$AJ$2:$AJ$167,TRUE)))),"")</f>
        <v/>
      </c>
      <c r="CH40">
        <f t="array" ref="CH40">IFERROR((SUMPRODUCT((economics!$AG$2:$AG$167=$B40)*(economics!$D$2:$D$167="process")*economics!$AH$2:$AH$167*(_xlfn.NORM.DIST(CH$3,economics!$AK$2:$AK$167,economics!$AJ$2:$AJ$167,TRUE)-_xlfn.NORM.DIST(CH$30,economics!$AK$2:$AK$167,economics!$AJ$2:$AJ$167,TRUE))*economics!$AM$2:$AM$167))/(SUMPRODUCT((economics!$AG$2:$AG$167=$B40)*(economics!$D$2:$D$167="process")*economics!$AH$2:$AH$167*(_xlfn.NORM.DIST(CH$3,economics!$AK$2:$AK$167,economics!$AJ$2:$AJ$167,TRUE)-_xlfn.NORM.DIST(CH$30,economics!$AK$2:$AK$167,economics!$AJ$2:$AJ$167,TRUE)))),"")</f>
        <v/>
      </c>
    </row>
    <row r="41">
      <c r="A41">
        <f>A12</f>
        <v/>
      </c>
      <c r="B41">
        <f>B12</f>
        <v/>
      </c>
      <c r="E41">
        <f t="array" ref="E41">IFERROR((SUMPRODUCT((economics!$AG$2:$AG$167=$B41)*(economics!$D$2:$D$167="process")*economics!$AH$2:$AH$167*(_xlfn.NORM.DIST(E$3,economics!$AK$2:$AK$167,economics!$AJ$2:$AJ$167,TRUE)-_xlfn.NORM.DIST(E$30,economics!$AK$2:$AK$167,economics!$AJ$2:$AJ$167,TRUE))*economics!$AM$2:$AM$167))/(SUMPRODUCT((economics!$AG$2:$AG$167=$B41)*(economics!$D$2:$D$167="process")*economics!$AH$2:$AH$167*(_xlfn.NORM.DIST(E$3,economics!$AK$2:$AK$167,economics!$AJ$2:$AJ$167,TRUE)-_xlfn.NORM.DIST(E$30,economics!$AK$2:$AK$167,economics!$AJ$2:$AJ$167,TRUE)))),"")</f>
        <v/>
      </c>
      <c r="F41">
        <f t="array" ref="F41">IFERROR((SUMPRODUCT((economics!$AG$2:$AG$167=$B41)*(economics!$D$2:$D$167="process")*economics!$AH$2:$AH$167*(_xlfn.NORM.DIST(F$3,economics!$AK$2:$AK$167,economics!$AJ$2:$AJ$167,TRUE)-_xlfn.NORM.DIST(F$30,economics!$AK$2:$AK$167,economics!$AJ$2:$AJ$167,TRUE))*economics!$AM$2:$AM$167))/(SUMPRODUCT((economics!$AG$2:$AG$167=$B41)*(economics!$D$2:$D$167="process")*economics!$AH$2:$AH$167*(_xlfn.NORM.DIST(F$3,economics!$AK$2:$AK$167,economics!$AJ$2:$AJ$167,TRUE)-_xlfn.NORM.DIST(F$30,economics!$AK$2:$AK$167,economics!$AJ$2:$AJ$167,TRUE)))),"")</f>
        <v/>
      </c>
      <c r="G41">
        <f t="array" ref="G41">IFERROR((SUMPRODUCT((economics!$AG$2:$AG$167=$B41)*(economics!$D$2:$D$167="process")*economics!$AH$2:$AH$167*(_xlfn.NORM.DIST(G$3,economics!$AK$2:$AK$167,economics!$AJ$2:$AJ$167,TRUE)-_xlfn.NORM.DIST(G$30,economics!$AK$2:$AK$167,economics!$AJ$2:$AJ$167,TRUE))*economics!$AM$2:$AM$167))/(SUMPRODUCT((economics!$AG$2:$AG$167=$B41)*(economics!$D$2:$D$167="process")*economics!$AH$2:$AH$167*(_xlfn.NORM.DIST(G$3,economics!$AK$2:$AK$167,economics!$AJ$2:$AJ$167,TRUE)-_xlfn.NORM.DIST(G$30,economics!$AK$2:$AK$167,economics!$AJ$2:$AJ$167,TRUE)))),"")</f>
        <v/>
      </c>
      <c r="H41">
        <f t="array" ref="H41">IFERROR((SUMPRODUCT((economics!$AG$2:$AG$167=$B41)*(economics!$D$2:$D$167="process")*economics!$AH$2:$AH$167*(_xlfn.NORM.DIST(H$3,economics!$AK$2:$AK$167,economics!$AJ$2:$AJ$167,TRUE)-_xlfn.NORM.DIST(H$30,economics!$AK$2:$AK$167,economics!$AJ$2:$AJ$167,TRUE))*economics!$AM$2:$AM$167))/(SUMPRODUCT((economics!$AG$2:$AG$167=$B41)*(economics!$D$2:$D$167="process")*economics!$AH$2:$AH$167*(_xlfn.NORM.DIST(H$3,economics!$AK$2:$AK$167,economics!$AJ$2:$AJ$167,TRUE)-_xlfn.NORM.DIST(H$30,economics!$AK$2:$AK$167,economics!$AJ$2:$AJ$167,TRUE)))),"")</f>
        <v/>
      </c>
      <c r="I41">
        <f t="array" ref="I41">IFERROR((SUMPRODUCT((economics!$AG$2:$AG$167=$B41)*(economics!$D$2:$D$167="process")*economics!$AH$2:$AH$167*(_xlfn.NORM.DIST(I$3,economics!$AK$2:$AK$167,economics!$AJ$2:$AJ$167,TRUE)-_xlfn.NORM.DIST(I$30,economics!$AK$2:$AK$167,economics!$AJ$2:$AJ$167,TRUE))*economics!$AM$2:$AM$167))/(SUMPRODUCT((economics!$AG$2:$AG$167=$B41)*(economics!$D$2:$D$167="process")*economics!$AH$2:$AH$167*(_xlfn.NORM.DIST(I$3,economics!$AK$2:$AK$167,economics!$AJ$2:$AJ$167,TRUE)-_xlfn.NORM.DIST(I$30,economics!$AK$2:$AK$167,economics!$AJ$2:$AJ$167,TRUE)))),"")</f>
        <v/>
      </c>
      <c r="J41">
        <f t="array" ref="J41">IFERROR((SUMPRODUCT((economics!$AG$2:$AG$167=$B41)*(economics!$D$2:$D$167="process")*economics!$AH$2:$AH$167*(_xlfn.NORM.DIST(J$3,economics!$AK$2:$AK$167,economics!$AJ$2:$AJ$167,TRUE)-_xlfn.NORM.DIST(J$30,economics!$AK$2:$AK$167,economics!$AJ$2:$AJ$167,TRUE))*economics!$AM$2:$AM$167))/(SUMPRODUCT((economics!$AG$2:$AG$167=$B41)*(economics!$D$2:$D$167="process")*economics!$AH$2:$AH$167*(_xlfn.NORM.DIST(J$3,economics!$AK$2:$AK$167,economics!$AJ$2:$AJ$167,TRUE)-_xlfn.NORM.DIST(J$30,economics!$AK$2:$AK$167,economics!$AJ$2:$AJ$167,TRUE)))),"")</f>
        <v/>
      </c>
      <c r="K41">
        <f t="array" ref="K41">IFERROR((SUMPRODUCT((economics!$AG$2:$AG$167=$B41)*(economics!$D$2:$D$167="process")*economics!$AH$2:$AH$167*(_xlfn.NORM.DIST(K$3,economics!$AK$2:$AK$167,economics!$AJ$2:$AJ$167,TRUE)-_xlfn.NORM.DIST(K$30,economics!$AK$2:$AK$167,economics!$AJ$2:$AJ$167,TRUE))*economics!$AM$2:$AM$167))/(SUMPRODUCT((economics!$AG$2:$AG$167=$B41)*(economics!$D$2:$D$167="process")*economics!$AH$2:$AH$167*(_xlfn.NORM.DIST(K$3,economics!$AK$2:$AK$167,economics!$AJ$2:$AJ$167,TRUE)-_xlfn.NORM.DIST(K$30,economics!$AK$2:$AK$167,economics!$AJ$2:$AJ$167,TRUE)))),"")</f>
        <v/>
      </c>
      <c r="L41">
        <f t="array" ref="L41">IFERROR((SUMPRODUCT((economics!$AG$2:$AG$167=$B41)*(economics!$D$2:$D$167="process")*economics!$AH$2:$AH$167*(_xlfn.NORM.DIST(L$3,economics!$AK$2:$AK$167,economics!$AJ$2:$AJ$167,TRUE)-_xlfn.NORM.DIST(L$30,economics!$AK$2:$AK$167,economics!$AJ$2:$AJ$167,TRUE))*economics!$AM$2:$AM$167))/(SUMPRODUCT((economics!$AG$2:$AG$167=$B41)*(economics!$D$2:$D$167="process")*economics!$AH$2:$AH$167*(_xlfn.NORM.DIST(L$3,economics!$AK$2:$AK$167,economics!$AJ$2:$AJ$167,TRUE)-_xlfn.NORM.DIST(L$30,economics!$AK$2:$AK$167,economics!$AJ$2:$AJ$167,TRUE)))),"")</f>
        <v/>
      </c>
      <c r="M41">
        <f t="array" ref="M41">IFERROR((SUMPRODUCT((economics!$AG$2:$AG$167=$B41)*(economics!$D$2:$D$167="process")*economics!$AH$2:$AH$167*(_xlfn.NORM.DIST(M$3,economics!$AK$2:$AK$167,economics!$AJ$2:$AJ$167,TRUE)-_xlfn.NORM.DIST(M$30,economics!$AK$2:$AK$167,economics!$AJ$2:$AJ$167,TRUE))*economics!$AM$2:$AM$167))/(SUMPRODUCT((economics!$AG$2:$AG$167=$B41)*(economics!$D$2:$D$167="process")*economics!$AH$2:$AH$167*(_xlfn.NORM.DIST(M$3,economics!$AK$2:$AK$167,economics!$AJ$2:$AJ$167,TRUE)-_xlfn.NORM.DIST(M$30,economics!$AK$2:$AK$167,economics!$AJ$2:$AJ$167,TRUE)))),"")</f>
        <v/>
      </c>
      <c r="N41">
        <f t="array" ref="N41">IFERROR((SUMPRODUCT((economics!$AG$2:$AG$167=$B41)*(economics!$D$2:$D$167="process")*economics!$AH$2:$AH$167*(_xlfn.NORM.DIST(N$3,economics!$AK$2:$AK$167,economics!$AJ$2:$AJ$167,TRUE)-_xlfn.NORM.DIST(N$30,economics!$AK$2:$AK$167,economics!$AJ$2:$AJ$167,TRUE))*economics!$AM$2:$AM$167))/(SUMPRODUCT((economics!$AG$2:$AG$167=$B41)*(economics!$D$2:$D$167="process")*economics!$AH$2:$AH$167*(_xlfn.NORM.DIST(N$3,economics!$AK$2:$AK$167,economics!$AJ$2:$AJ$167,TRUE)-_xlfn.NORM.DIST(N$30,economics!$AK$2:$AK$167,economics!$AJ$2:$AJ$167,TRUE)))),"")</f>
        <v/>
      </c>
      <c r="O41">
        <f t="array" ref="O41">IFERROR((SUMPRODUCT((economics!$AG$2:$AG$167=$B41)*(economics!$D$2:$D$167="process")*economics!$AH$2:$AH$167*(_xlfn.NORM.DIST(O$3,economics!$AK$2:$AK$167,economics!$AJ$2:$AJ$167,TRUE)-_xlfn.NORM.DIST(O$30,economics!$AK$2:$AK$167,economics!$AJ$2:$AJ$167,TRUE))*economics!$AM$2:$AM$167))/(SUMPRODUCT((economics!$AG$2:$AG$167=$B41)*(economics!$D$2:$D$167="process")*economics!$AH$2:$AH$167*(_xlfn.NORM.DIST(O$3,economics!$AK$2:$AK$167,economics!$AJ$2:$AJ$167,TRUE)-_xlfn.NORM.DIST(O$30,economics!$AK$2:$AK$167,economics!$AJ$2:$AJ$167,TRUE)))),"")</f>
        <v/>
      </c>
      <c r="P41">
        <f t="array" ref="P41">IFERROR((SUMPRODUCT((economics!$AG$2:$AG$167=$B41)*(economics!$D$2:$D$167="process")*economics!$AH$2:$AH$167*(_xlfn.NORM.DIST(P$3,economics!$AK$2:$AK$167,economics!$AJ$2:$AJ$167,TRUE)-_xlfn.NORM.DIST(P$30,economics!$AK$2:$AK$167,economics!$AJ$2:$AJ$167,TRUE))*economics!$AM$2:$AM$167))/(SUMPRODUCT((economics!$AG$2:$AG$167=$B41)*(economics!$D$2:$D$167="process")*economics!$AH$2:$AH$167*(_xlfn.NORM.DIST(P$3,economics!$AK$2:$AK$167,economics!$AJ$2:$AJ$167,TRUE)-_xlfn.NORM.DIST(P$30,economics!$AK$2:$AK$167,economics!$AJ$2:$AJ$167,TRUE)))),"")</f>
        <v/>
      </c>
      <c r="Q41">
        <f t="array" ref="Q41">IFERROR((SUMPRODUCT((economics!$AG$2:$AG$167=$B41)*(economics!$D$2:$D$167="process")*economics!$AH$2:$AH$167*(_xlfn.NORM.DIST(Q$3,economics!$AK$2:$AK$167,economics!$AJ$2:$AJ$167,TRUE)-_xlfn.NORM.DIST(Q$30,economics!$AK$2:$AK$167,economics!$AJ$2:$AJ$167,TRUE))*economics!$AM$2:$AM$167))/(SUMPRODUCT((economics!$AG$2:$AG$167=$B41)*(economics!$D$2:$D$167="process")*economics!$AH$2:$AH$167*(_xlfn.NORM.DIST(Q$3,economics!$AK$2:$AK$167,economics!$AJ$2:$AJ$167,TRUE)-_xlfn.NORM.DIST(Q$30,economics!$AK$2:$AK$167,economics!$AJ$2:$AJ$167,TRUE)))),"")</f>
        <v/>
      </c>
      <c r="R41">
        <f t="array" ref="R41">IFERROR((SUMPRODUCT((economics!$AG$2:$AG$167=$B41)*(economics!$D$2:$D$167="process")*economics!$AH$2:$AH$167*(_xlfn.NORM.DIST(R$3,economics!$AK$2:$AK$167,economics!$AJ$2:$AJ$167,TRUE)-_xlfn.NORM.DIST(R$30,economics!$AK$2:$AK$167,economics!$AJ$2:$AJ$167,TRUE))*economics!$AM$2:$AM$167))/(SUMPRODUCT((economics!$AG$2:$AG$167=$B41)*(economics!$D$2:$D$167="process")*economics!$AH$2:$AH$167*(_xlfn.NORM.DIST(R$3,economics!$AK$2:$AK$167,economics!$AJ$2:$AJ$167,TRUE)-_xlfn.NORM.DIST(R$30,economics!$AK$2:$AK$167,economics!$AJ$2:$AJ$167,TRUE)))),"")</f>
        <v/>
      </c>
      <c r="S41">
        <f t="array" ref="S41">IFERROR((SUMPRODUCT((economics!$AG$2:$AG$167=$B41)*(economics!$D$2:$D$167="process")*economics!$AH$2:$AH$167*(_xlfn.NORM.DIST(S$3,economics!$AK$2:$AK$167,economics!$AJ$2:$AJ$167,TRUE)-_xlfn.NORM.DIST(S$30,economics!$AK$2:$AK$167,economics!$AJ$2:$AJ$167,TRUE))*economics!$AM$2:$AM$167))/(SUMPRODUCT((economics!$AG$2:$AG$167=$B41)*(economics!$D$2:$D$167="process")*economics!$AH$2:$AH$167*(_xlfn.NORM.DIST(S$3,economics!$AK$2:$AK$167,economics!$AJ$2:$AJ$167,TRUE)-_xlfn.NORM.DIST(S$30,economics!$AK$2:$AK$167,economics!$AJ$2:$AJ$167,TRUE)))),"")</f>
        <v/>
      </c>
      <c r="T41">
        <f t="array" ref="T41">IFERROR((SUMPRODUCT((economics!$AG$2:$AG$167=$B41)*(economics!$D$2:$D$167="process")*economics!$AH$2:$AH$167*(_xlfn.NORM.DIST(T$3,economics!$AK$2:$AK$167,economics!$AJ$2:$AJ$167,TRUE)-_xlfn.NORM.DIST(T$30,economics!$AK$2:$AK$167,economics!$AJ$2:$AJ$167,TRUE))*economics!$AM$2:$AM$167))/(SUMPRODUCT((economics!$AG$2:$AG$167=$B41)*(economics!$D$2:$D$167="process")*economics!$AH$2:$AH$167*(_xlfn.NORM.DIST(T$3,economics!$AK$2:$AK$167,economics!$AJ$2:$AJ$167,TRUE)-_xlfn.NORM.DIST(T$30,economics!$AK$2:$AK$167,economics!$AJ$2:$AJ$167,TRUE)))),"")</f>
        <v/>
      </c>
      <c r="U41">
        <f t="array" ref="U41">IFERROR((SUMPRODUCT((economics!$AG$2:$AG$167=$B41)*(economics!$D$2:$D$167="process")*economics!$AH$2:$AH$167*(_xlfn.NORM.DIST(U$3,economics!$AK$2:$AK$167,economics!$AJ$2:$AJ$167,TRUE)-_xlfn.NORM.DIST(U$30,economics!$AK$2:$AK$167,economics!$AJ$2:$AJ$167,TRUE))*economics!$AM$2:$AM$167))/(SUMPRODUCT((economics!$AG$2:$AG$167=$B41)*(economics!$D$2:$D$167="process")*economics!$AH$2:$AH$167*(_xlfn.NORM.DIST(U$3,economics!$AK$2:$AK$167,economics!$AJ$2:$AJ$167,TRUE)-_xlfn.NORM.DIST(U$30,economics!$AK$2:$AK$167,economics!$AJ$2:$AJ$167,TRUE)))),"")</f>
        <v/>
      </c>
      <c r="V41">
        <f t="array" ref="V41">IFERROR((SUMPRODUCT((economics!$AG$2:$AG$167=$B41)*(economics!$D$2:$D$167="process")*economics!$AH$2:$AH$167*(_xlfn.NORM.DIST(V$3,economics!$AK$2:$AK$167,economics!$AJ$2:$AJ$167,TRUE)-_xlfn.NORM.DIST(V$30,economics!$AK$2:$AK$167,economics!$AJ$2:$AJ$167,TRUE))*economics!$AM$2:$AM$167))/(SUMPRODUCT((economics!$AG$2:$AG$167=$B41)*(economics!$D$2:$D$167="process")*economics!$AH$2:$AH$167*(_xlfn.NORM.DIST(V$3,economics!$AK$2:$AK$167,economics!$AJ$2:$AJ$167,TRUE)-_xlfn.NORM.DIST(V$30,economics!$AK$2:$AK$167,economics!$AJ$2:$AJ$167,TRUE)))),"")</f>
        <v/>
      </c>
      <c r="W41">
        <f t="array" ref="W41">IFERROR((SUMPRODUCT((economics!$AG$2:$AG$167=$B41)*(economics!$D$2:$D$167="process")*economics!$AH$2:$AH$167*(_xlfn.NORM.DIST(W$3,economics!$AK$2:$AK$167,economics!$AJ$2:$AJ$167,TRUE)-_xlfn.NORM.DIST(W$30,economics!$AK$2:$AK$167,economics!$AJ$2:$AJ$167,TRUE))*economics!$AM$2:$AM$167))/(SUMPRODUCT((economics!$AG$2:$AG$167=$B41)*(economics!$D$2:$D$167="process")*economics!$AH$2:$AH$167*(_xlfn.NORM.DIST(W$3,economics!$AK$2:$AK$167,economics!$AJ$2:$AJ$167,TRUE)-_xlfn.NORM.DIST(W$30,economics!$AK$2:$AK$167,economics!$AJ$2:$AJ$167,TRUE)))),"")</f>
        <v/>
      </c>
      <c r="X41">
        <f t="array" ref="X41">IFERROR((SUMPRODUCT((economics!$AG$2:$AG$167=$B41)*(economics!$D$2:$D$167="process")*economics!$AH$2:$AH$167*(_xlfn.NORM.DIST(X$3,economics!$AK$2:$AK$167,economics!$AJ$2:$AJ$167,TRUE)-_xlfn.NORM.DIST(X$30,economics!$AK$2:$AK$167,economics!$AJ$2:$AJ$167,TRUE))*economics!$AM$2:$AM$167))/(SUMPRODUCT((economics!$AG$2:$AG$167=$B41)*(economics!$D$2:$D$167="process")*economics!$AH$2:$AH$167*(_xlfn.NORM.DIST(X$3,economics!$AK$2:$AK$167,economics!$AJ$2:$AJ$167,TRUE)-_xlfn.NORM.DIST(X$30,economics!$AK$2:$AK$167,economics!$AJ$2:$AJ$167,TRUE)))),"")</f>
        <v/>
      </c>
      <c r="Y41">
        <f t="array" ref="Y41">IFERROR((SUMPRODUCT((economics!$AG$2:$AG$167=$B41)*(economics!$D$2:$D$167="process")*economics!$AH$2:$AH$167*(_xlfn.NORM.DIST(Y$3,economics!$AK$2:$AK$167,economics!$AJ$2:$AJ$167,TRUE)-_xlfn.NORM.DIST(Y$30,economics!$AK$2:$AK$167,economics!$AJ$2:$AJ$167,TRUE))*economics!$AM$2:$AM$167))/(SUMPRODUCT((economics!$AG$2:$AG$167=$B41)*(economics!$D$2:$D$167="process")*economics!$AH$2:$AH$167*(_xlfn.NORM.DIST(Y$3,economics!$AK$2:$AK$167,economics!$AJ$2:$AJ$167,TRUE)-_xlfn.NORM.DIST(Y$30,economics!$AK$2:$AK$167,economics!$AJ$2:$AJ$167,TRUE)))),"")</f>
        <v/>
      </c>
      <c r="Z41">
        <f t="array" ref="Z41">IFERROR((SUMPRODUCT((economics!$AG$2:$AG$167=$B41)*(economics!$D$2:$D$167="process")*economics!$AH$2:$AH$167*(_xlfn.NORM.DIST(Z$3,economics!$AK$2:$AK$167,economics!$AJ$2:$AJ$167,TRUE)-_xlfn.NORM.DIST(Z$30,economics!$AK$2:$AK$167,economics!$AJ$2:$AJ$167,TRUE))*economics!$AM$2:$AM$167))/(SUMPRODUCT((economics!$AG$2:$AG$167=$B41)*(economics!$D$2:$D$167="process")*economics!$AH$2:$AH$167*(_xlfn.NORM.DIST(Z$3,economics!$AK$2:$AK$167,economics!$AJ$2:$AJ$167,TRUE)-_xlfn.NORM.DIST(Z$30,economics!$AK$2:$AK$167,economics!$AJ$2:$AJ$167,TRUE)))),"")</f>
        <v/>
      </c>
      <c r="AA41">
        <f t="array" ref="AA41">IFERROR((SUMPRODUCT((economics!$AG$2:$AG$167=$B41)*(economics!$D$2:$D$167="process")*economics!$AH$2:$AH$167*(_xlfn.NORM.DIST(AA$3,economics!$AK$2:$AK$167,economics!$AJ$2:$AJ$167,TRUE)-_xlfn.NORM.DIST(AA$30,economics!$AK$2:$AK$167,economics!$AJ$2:$AJ$167,TRUE))*economics!$AM$2:$AM$167))/(SUMPRODUCT((economics!$AG$2:$AG$167=$B41)*(economics!$D$2:$D$167="process")*economics!$AH$2:$AH$167*(_xlfn.NORM.DIST(AA$3,economics!$AK$2:$AK$167,economics!$AJ$2:$AJ$167,TRUE)-_xlfn.NORM.DIST(AA$30,economics!$AK$2:$AK$167,economics!$AJ$2:$AJ$167,TRUE)))),"")</f>
        <v/>
      </c>
      <c r="AB41">
        <f t="array" ref="AB41">IFERROR((SUMPRODUCT((economics!$AG$2:$AG$167=$B41)*(economics!$D$2:$D$167="process")*economics!$AH$2:$AH$167*(_xlfn.NORM.DIST(AB$3,economics!$AK$2:$AK$167,economics!$AJ$2:$AJ$167,TRUE)-_xlfn.NORM.DIST(AB$30,economics!$AK$2:$AK$167,economics!$AJ$2:$AJ$167,TRUE))*economics!$AM$2:$AM$167))/(SUMPRODUCT((economics!$AG$2:$AG$167=$B41)*(economics!$D$2:$D$167="process")*economics!$AH$2:$AH$167*(_xlfn.NORM.DIST(AB$3,economics!$AK$2:$AK$167,economics!$AJ$2:$AJ$167,TRUE)-_xlfn.NORM.DIST(AB$30,economics!$AK$2:$AK$167,economics!$AJ$2:$AJ$167,TRUE)))),"")</f>
        <v/>
      </c>
      <c r="AC41">
        <f t="array" ref="AC41">IFERROR((SUMPRODUCT((economics!$AG$2:$AG$167=$B41)*(economics!$D$2:$D$167="process")*economics!$AH$2:$AH$167*(_xlfn.NORM.DIST(AC$3,economics!$AK$2:$AK$167,economics!$AJ$2:$AJ$167,TRUE)-_xlfn.NORM.DIST(AC$30,economics!$AK$2:$AK$167,economics!$AJ$2:$AJ$167,TRUE))*economics!$AM$2:$AM$167))/(SUMPRODUCT((economics!$AG$2:$AG$167=$B41)*(economics!$D$2:$D$167="process")*economics!$AH$2:$AH$167*(_xlfn.NORM.DIST(AC$3,economics!$AK$2:$AK$167,economics!$AJ$2:$AJ$167,TRUE)-_xlfn.NORM.DIST(AC$30,economics!$AK$2:$AK$167,economics!$AJ$2:$AJ$167,TRUE)))),"")</f>
        <v/>
      </c>
      <c r="AD41">
        <f t="array" ref="AD41">IFERROR((SUMPRODUCT((economics!$AG$2:$AG$167=$B41)*(economics!$D$2:$D$167="process")*economics!$AH$2:$AH$167*(_xlfn.NORM.DIST(AD$3,economics!$AK$2:$AK$167,economics!$AJ$2:$AJ$167,TRUE)-_xlfn.NORM.DIST(AD$30,economics!$AK$2:$AK$167,economics!$AJ$2:$AJ$167,TRUE))*economics!$AM$2:$AM$167))/(SUMPRODUCT((economics!$AG$2:$AG$167=$B41)*(economics!$D$2:$D$167="process")*economics!$AH$2:$AH$167*(_xlfn.NORM.DIST(AD$3,economics!$AK$2:$AK$167,economics!$AJ$2:$AJ$167,TRUE)-_xlfn.NORM.DIST(AD$30,economics!$AK$2:$AK$167,economics!$AJ$2:$AJ$167,TRUE)))),"")</f>
        <v/>
      </c>
      <c r="AE41">
        <f t="array" ref="AE41">IFERROR((SUMPRODUCT((economics!$AG$2:$AG$167=$B41)*(economics!$D$2:$D$167="process")*economics!$AH$2:$AH$167*(_xlfn.NORM.DIST(AE$3,economics!$AK$2:$AK$167,economics!$AJ$2:$AJ$167,TRUE)-_xlfn.NORM.DIST(AE$30,economics!$AK$2:$AK$167,economics!$AJ$2:$AJ$167,TRUE))*economics!$AM$2:$AM$167))/(SUMPRODUCT((economics!$AG$2:$AG$167=$B41)*(economics!$D$2:$D$167="process")*economics!$AH$2:$AH$167*(_xlfn.NORM.DIST(AE$3,economics!$AK$2:$AK$167,economics!$AJ$2:$AJ$167,TRUE)-_xlfn.NORM.DIST(AE$30,economics!$AK$2:$AK$167,economics!$AJ$2:$AJ$167,TRUE)))),"")</f>
        <v/>
      </c>
      <c r="AF41">
        <f t="array" ref="AF41">IFERROR((SUMPRODUCT((economics!$AG$2:$AG$167=$B41)*(economics!$D$2:$D$167="process")*economics!$AH$2:$AH$167*(_xlfn.NORM.DIST(AF$3,economics!$AK$2:$AK$167,economics!$AJ$2:$AJ$167,TRUE)-_xlfn.NORM.DIST(AF$30,economics!$AK$2:$AK$167,economics!$AJ$2:$AJ$167,TRUE))*economics!$AM$2:$AM$167))/(SUMPRODUCT((economics!$AG$2:$AG$167=$B41)*(economics!$D$2:$D$167="process")*economics!$AH$2:$AH$167*(_xlfn.NORM.DIST(AF$3,economics!$AK$2:$AK$167,economics!$AJ$2:$AJ$167,TRUE)-_xlfn.NORM.DIST(AF$30,economics!$AK$2:$AK$167,economics!$AJ$2:$AJ$167,TRUE)))),"")</f>
        <v/>
      </c>
      <c r="AG41">
        <f t="array" ref="AG41">IFERROR((SUMPRODUCT((economics!$AG$2:$AG$167=$B41)*(economics!$D$2:$D$167="process")*economics!$AH$2:$AH$167*(_xlfn.NORM.DIST(AG$3,economics!$AK$2:$AK$167,economics!$AJ$2:$AJ$167,TRUE)-_xlfn.NORM.DIST(AG$30,economics!$AK$2:$AK$167,economics!$AJ$2:$AJ$167,TRUE))*economics!$AM$2:$AM$167))/(SUMPRODUCT((economics!$AG$2:$AG$167=$B41)*(economics!$D$2:$D$167="process")*economics!$AH$2:$AH$167*(_xlfn.NORM.DIST(AG$3,economics!$AK$2:$AK$167,economics!$AJ$2:$AJ$167,TRUE)-_xlfn.NORM.DIST(AG$30,economics!$AK$2:$AK$167,economics!$AJ$2:$AJ$167,TRUE)))),"")</f>
        <v/>
      </c>
      <c r="AH41">
        <f t="array" ref="AH41">IFERROR((SUMPRODUCT((economics!$AG$2:$AG$167=$B41)*(economics!$D$2:$D$167="process")*economics!$AH$2:$AH$167*(_xlfn.NORM.DIST(AH$3,economics!$AK$2:$AK$167,economics!$AJ$2:$AJ$167,TRUE)-_xlfn.NORM.DIST(AH$30,economics!$AK$2:$AK$167,economics!$AJ$2:$AJ$167,TRUE))*economics!$AM$2:$AM$167))/(SUMPRODUCT((economics!$AG$2:$AG$167=$B41)*(economics!$D$2:$D$167="process")*economics!$AH$2:$AH$167*(_xlfn.NORM.DIST(AH$3,economics!$AK$2:$AK$167,economics!$AJ$2:$AJ$167,TRUE)-_xlfn.NORM.DIST(AH$30,economics!$AK$2:$AK$167,economics!$AJ$2:$AJ$167,TRUE)))),"")</f>
        <v/>
      </c>
      <c r="AI41">
        <f t="array" ref="AI41">IFERROR((SUMPRODUCT((economics!$AG$2:$AG$167=$B41)*(economics!$D$2:$D$167="process")*economics!$AH$2:$AH$167*(_xlfn.NORM.DIST(AI$3,economics!$AK$2:$AK$167,economics!$AJ$2:$AJ$167,TRUE)-_xlfn.NORM.DIST(AI$30,economics!$AK$2:$AK$167,economics!$AJ$2:$AJ$167,TRUE))*economics!$AM$2:$AM$167))/(SUMPRODUCT((economics!$AG$2:$AG$167=$B41)*(economics!$D$2:$D$167="process")*economics!$AH$2:$AH$167*(_xlfn.NORM.DIST(AI$3,economics!$AK$2:$AK$167,economics!$AJ$2:$AJ$167,TRUE)-_xlfn.NORM.DIST(AI$30,economics!$AK$2:$AK$167,economics!$AJ$2:$AJ$167,TRUE)))),"")</f>
        <v/>
      </c>
      <c r="AJ41">
        <f t="array" ref="AJ41">IFERROR((SUMPRODUCT((economics!$AG$2:$AG$167=$B41)*(economics!$D$2:$D$167="process")*economics!$AH$2:$AH$167*(_xlfn.NORM.DIST(AJ$3,economics!$AK$2:$AK$167,economics!$AJ$2:$AJ$167,TRUE)-_xlfn.NORM.DIST(AJ$30,economics!$AK$2:$AK$167,economics!$AJ$2:$AJ$167,TRUE))*economics!$AM$2:$AM$167))/(SUMPRODUCT((economics!$AG$2:$AG$167=$B41)*(economics!$D$2:$D$167="process")*economics!$AH$2:$AH$167*(_xlfn.NORM.DIST(AJ$3,economics!$AK$2:$AK$167,economics!$AJ$2:$AJ$167,TRUE)-_xlfn.NORM.DIST(AJ$30,economics!$AK$2:$AK$167,economics!$AJ$2:$AJ$167,TRUE)))),"")</f>
        <v/>
      </c>
      <c r="AK41">
        <f t="array" ref="AK41">IFERROR((SUMPRODUCT((economics!$AG$2:$AG$167=$B41)*(economics!$D$2:$D$167="process")*economics!$AH$2:$AH$167*(_xlfn.NORM.DIST(AK$3,economics!$AK$2:$AK$167,economics!$AJ$2:$AJ$167,TRUE)-_xlfn.NORM.DIST(AK$30,economics!$AK$2:$AK$167,economics!$AJ$2:$AJ$167,TRUE))*economics!$AM$2:$AM$167))/(SUMPRODUCT((economics!$AG$2:$AG$167=$B41)*(economics!$D$2:$D$167="process")*economics!$AH$2:$AH$167*(_xlfn.NORM.DIST(AK$3,economics!$AK$2:$AK$167,economics!$AJ$2:$AJ$167,TRUE)-_xlfn.NORM.DIST(AK$30,economics!$AK$2:$AK$167,economics!$AJ$2:$AJ$167,TRUE)))),"")</f>
        <v/>
      </c>
      <c r="AL41">
        <f t="array" ref="AL41">IFERROR((SUMPRODUCT((economics!$AG$2:$AG$167=$B41)*(economics!$D$2:$D$167="process")*economics!$AH$2:$AH$167*(_xlfn.NORM.DIST(AL$3,economics!$AK$2:$AK$167,economics!$AJ$2:$AJ$167,TRUE)-_xlfn.NORM.DIST(AL$30,economics!$AK$2:$AK$167,economics!$AJ$2:$AJ$167,TRUE))*economics!$AM$2:$AM$167))/(SUMPRODUCT((economics!$AG$2:$AG$167=$B41)*(economics!$D$2:$D$167="process")*economics!$AH$2:$AH$167*(_xlfn.NORM.DIST(AL$3,economics!$AK$2:$AK$167,economics!$AJ$2:$AJ$167,TRUE)-_xlfn.NORM.DIST(AL$30,economics!$AK$2:$AK$167,economics!$AJ$2:$AJ$167,TRUE)))),"")</f>
        <v/>
      </c>
      <c r="AM41">
        <f t="array" ref="AM41">IFERROR((SUMPRODUCT((economics!$AG$2:$AG$167=$B41)*(economics!$D$2:$D$167="process")*economics!$AH$2:$AH$167*(_xlfn.NORM.DIST(AM$3,economics!$AK$2:$AK$167,economics!$AJ$2:$AJ$167,TRUE)-_xlfn.NORM.DIST(AM$30,economics!$AK$2:$AK$167,economics!$AJ$2:$AJ$167,TRUE))*economics!$AM$2:$AM$167))/(SUMPRODUCT((economics!$AG$2:$AG$167=$B41)*(economics!$D$2:$D$167="process")*economics!$AH$2:$AH$167*(_xlfn.NORM.DIST(AM$3,economics!$AK$2:$AK$167,economics!$AJ$2:$AJ$167,TRUE)-_xlfn.NORM.DIST(AM$30,economics!$AK$2:$AK$167,economics!$AJ$2:$AJ$167,TRUE)))),"")</f>
        <v/>
      </c>
      <c r="AN41">
        <f t="array" ref="AN41">IFERROR((SUMPRODUCT((economics!$AG$2:$AG$167=$B41)*(economics!$D$2:$D$167="process")*economics!$AH$2:$AH$167*(_xlfn.NORM.DIST(AN$3,economics!$AK$2:$AK$167,economics!$AJ$2:$AJ$167,TRUE)-_xlfn.NORM.DIST(AN$30,economics!$AK$2:$AK$167,economics!$AJ$2:$AJ$167,TRUE))*economics!$AM$2:$AM$167))/(SUMPRODUCT((economics!$AG$2:$AG$167=$B41)*(economics!$D$2:$D$167="process")*economics!$AH$2:$AH$167*(_xlfn.NORM.DIST(AN$3,economics!$AK$2:$AK$167,economics!$AJ$2:$AJ$167,TRUE)-_xlfn.NORM.DIST(AN$30,economics!$AK$2:$AK$167,economics!$AJ$2:$AJ$167,TRUE)))),"")</f>
        <v/>
      </c>
      <c r="AO41">
        <f t="array" ref="AO41">IFERROR((SUMPRODUCT((economics!$AG$2:$AG$167=$B41)*(economics!$D$2:$D$167="process")*economics!$AH$2:$AH$167*(_xlfn.NORM.DIST(AO$3,economics!$AK$2:$AK$167,economics!$AJ$2:$AJ$167,TRUE)-_xlfn.NORM.DIST(AO$30,economics!$AK$2:$AK$167,economics!$AJ$2:$AJ$167,TRUE))*economics!$AM$2:$AM$167))/(SUMPRODUCT((economics!$AG$2:$AG$167=$B41)*(economics!$D$2:$D$167="process")*economics!$AH$2:$AH$167*(_xlfn.NORM.DIST(AO$3,economics!$AK$2:$AK$167,economics!$AJ$2:$AJ$167,TRUE)-_xlfn.NORM.DIST(AO$30,economics!$AK$2:$AK$167,economics!$AJ$2:$AJ$167,TRUE)))),"")</f>
        <v/>
      </c>
      <c r="AP41">
        <f t="array" ref="AP41">IFERROR((SUMPRODUCT((economics!$AG$2:$AG$167=$B41)*(economics!$D$2:$D$167="process")*economics!$AH$2:$AH$167*(_xlfn.NORM.DIST(AP$3,economics!$AK$2:$AK$167,economics!$AJ$2:$AJ$167,TRUE)-_xlfn.NORM.DIST(AP$30,economics!$AK$2:$AK$167,economics!$AJ$2:$AJ$167,TRUE))*economics!$AM$2:$AM$167))/(SUMPRODUCT((economics!$AG$2:$AG$167=$B41)*(economics!$D$2:$D$167="process")*economics!$AH$2:$AH$167*(_xlfn.NORM.DIST(AP$3,economics!$AK$2:$AK$167,economics!$AJ$2:$AJ$167,TRUE)-_xlfn.NORM.DIST(AP$30,economics!$AK$2:$AK$167,economics!$AJ$2:$AJ$167,TRUE)))),"")</f>
        <v/>
      </c>
      <c r="AQ41">
        <f t="array" ref="AQ41">IFERROR((SUMPRODUCT((economics!$AG$2:$AG$167=$B41)*(economics!$D$2:$D$167="process")*economics!$AH$2:$AH$167*(_xlfn.NORM.DIST(AQ$3,economics!$AK$2:$AK$167,economics!$AJ$2:$AJ$167,TRUE)-_xlfn.NORM.DIST(AQ$30,economics!$AK$2:$AK$167,economics!$AJ$2:$AJ$167,TRUE))*economics!$AM$2:$AM$167))/(SUMPRODUCT((economics!$AG$2:$AG$167=$B41)*(economics!$D$2:$D$167="process")*economics!$AH$2:$AH$167*(_xlfn.NORM.DIST(AQ$3,economics!$AK$2:$AK$167,economics!$AJ$2:$AJ$167,TRUE)-_xlfn.NORM.DIST(AQ$30,economics!$AK$2:$AK$167,economics!$AJ$2:$AJ$167,TRUE)))),"")</f>
        <v/>
      </c>
      <c r="AR41">
        <f t="array" ref="AR41">IFERROR((SUMPRODUCT((economics!$AG$2:$AG$167=$B41)*(economics!$D$2:$D$167="process")*economics!$AH$2:$AH$167*(_xlfn.NORM.DIST(AR$3,economics!$AK$2:$AK$167,economics!$AJ$2:$AJ$167,TRUE)-_xlfn.NORM.DIST(AR$30,economics!$AK$2:$AK$167,economics!$AJ$2:$AJ$167,TRUE))*economics!$AM$2:$AM$167))/(SUMPRODUCT((economics!$AG$2:$AG$167=$B41)*(economics!$D$2:$D$167="process")*economics!$AH$2:$AH$167*(_xlfn.NORM.DIST(AR$3,economics!$AK$2:$AK$167,economics!$AJ$2:$AJ$167,TRUE)-_xlfn.NORM.DIST(AR$30,economics!$AK$2:$AK$167,economics!$AJ$2:$AJ$167,TRUE)))),"")</f>
        <v/>
      </c>
      <c r="AS41">
        <f t="array" ref="AS41">IFERROR((SUMPRODUCT((economics!$AG$2:$AG$167=$B41)*(economics!$D$2:$D$167="process")*economics!$AH$2:$AH$167*(_xlfn.NORM.DIST(AS$3,economics!$AK$2:$AK$167,economics!$AJ$2:$AJ$167,TRUE)-_xlfn.NORM.DIST(AS$30,economics!$AK$2:$AK$167,economics!$AJ$2:$AJ$167,TRUE))*economics!$AM$2:$AM$167))/(SUMPRODUCT((economics!$AG$2:$AG$167=$B41)*(economics!$D$2:$D$167="process")*economics!$AH$2:$AH$167*(_xlfn.NORM.DIST(AS$3,economics!$AK$2:$AK$167,economics!$AJ$2:$AJ$167,TRUE)-_xlfn.NORM.DIST(AS$30,economics!$AK$2:$AK$167,economics!$AJ$2:$AJ$167,TRUE)))),"")</f>
        <v/>
      </c>
      <c r="AT41">
        <f t="array" ref="AT41">IFERROR((SUMPRODUCT((economics!$AG$2:$AG$167=$B41)*(economics!$D$2:$D$167="process")*economics!$AH$2:$AH$167*(_xlfn.NORM.DIST(AT$3,economics!$AK$2:$AK$167,economics!$AJ$2:$AJ$167,TRUE)-_xlfn.NORM.DIST(AT$30,economics!$AK$2:$AK$167,economics!$AJ$2:$AJ$167,TRUE))*economics!$AM$2:$AM$167))/(SUMPRODUCT((economics!$AG$2:$AG$167=$B41)*(economics!$D$2:$D$167="process")*economics!$AH$2:$AH$167*(_xlfn.NORM.DIST(AT$3,economics!$AK$2:$AK$167,economics!$AJ$2:$AJ$167,TRUE)-_xlfn.NORM.DIST(AT$30,economics!$AK$2:$AK$167,economics!$AJ$2:$AJ$167,TRUE)))),"")</f>
        <v/>
      </c>
      <c r="AU41">
        <f t="array" ref="AU41">IFERROR((SUMPRODUCT((economics!$AG$2:$AG$167=$B41)*(economics!$D$2:$D$167="process")*economics!$AH$2:$AH$167*(_xlfn.NORM.DIST(AU$3,economics!$AK$2:$AK$167,economics!$AJ$2:$AJ$167,TRUE)-_xlfn.NORM.DIST(AU$30,economics!$AK$2:$AK$167,economics!$AJ$2:$AJ$167,TRUE))*economics!$AM$2:$AM$167))/(SUMPRODUCT((economics!$AG$2:$AG$167=$B41)*(economics!$D$2:$D$167="process")*economics!$AH$2:$AH$167*(_xlfn.NORM.DIST(AU$3,economics!$AK$2:$AK$167,economics!$AJ$2:$AJ$167,TRUE)-_xlfn.NORM.DIST(AU$30,economics!$AK$2:$AK$167,economics!$AJ$2:$AJ$167,TRUE)))),"")</f>
        <v/>
      </c>
      <c r="AV41">
        <f t="array" ref="AV41">IFERROR((SUMPRODUCT((economics!$AG$2:$AG$167=$B41)*(economics!$D$2:$D$167="process")*economics!$AH$2:$AH$167*(_xlfn.NORM.DIST(AV$3,economics!$AK$2:$AK$167,economics!$AJ$2:$AJ$167,TRUE)-_xlfn.NORM.DIST(AV$30,economics!$AK$2:$AK$167,economics!$AJ$2:$AJ$167,TRUE))*economics!$AM$2:$AM$167))/(SUMPRODUCT((economics!$AG$2:$AG$167=$B41)*(economics!$D$2:$D$167="process")*economics!$AH$2:$AH$167*(_xlfn.NORM.DIST(AV$3,economics!$AK$2:$AK$167,economics!$AJ$2:$AJ$167,TRUE)-_xlfn.NORM.DIST(AV$30,economics!$AK$2:$AK$167,economics!$AJ$2:$AJ$167,TRUE)))),"")</f>
        <v/>
      </c>
      <c r="AW41">
        <f t="array" ref="AW41">IFERROR((SUMPRODUCT((economics!$AG$2:$AG$167=$B41)*(economics!$D$2:$D$167="process")*economics!$AH$2:$AH$167*(_xlfn.NORM.DIST(AW$3,economics!$AK$2:$AK$167,economics!$AJ$2:$AJ$167,TRUE)-_xlfn.NORM.DIST(AW$30,economics!$AK$2:$AK$167,economics!$AJ$2:$AJ$167,TRUE))*economics!$AM$2:$AM$167))/(SUMPRODUCT((economics!$AG$2:$AG$167=$B41)*(economics!$D$2:$D$167="process")*economics!$AH$2:$AH$167*(_xlfn.NORM.DIST(AW$3,economics!$AK$2:$AK$167,economics!$AJ$2:$AJ$167,TRUE)-_xlfn.NORM.DIST(AW$30,economics!$AK$2:$AK$167,economics!$AJ$2:$AJ$167,TRUE)))),"")</f>
        <v/>
      </c>
      <c r="AX41">
        <f t="array" ref="AX41">IFERROR((SUMPRODUCT((economics!$AG$2:$AG$167=$B41)*(economics!$D$2:$D$167="process")*economics!$AH$2:$AH$167*(_xlfn.NORM.DIST(AX$3,economics!$AK$2:$AK$167,economics!$AJ$2:$AJ$167,TRUE)-_xlfn.NORM.DIST(AX$30,economics!$AK$2:$AK$167,economics!$AJ$2:$AJ$167,TRUE))*economics!$AM$2:$AM$167))/(SUMPRODUCT((economics!$AG$2:$AG$167=$B41)*(economics!$D$2:$D$167="process")*economics!$AH$2:$AH$167*(_xlfn.NORM.DIST(AX$3,economics!$AK$2:$AK$167,economics!$AJ$2:$AJ$167,TRUE)-_xlfn.NORM.DIST(AX$30,economics!$AK$2:$AK$167,economics!$AJ$2:$AJ$167,TRUE)))),"")</f>
        <v/>
      </c>
      <c r="AY41">
        <f t="array" ref="AY41">IFERROR((SUMPRODUCT((economics!$AG$2:$AG$167=$B41)*(economics!$D$2:$D$167="process")*economics!$AH$2:$AH$167*(_xlfn.NORM.DIST(AY$3,economics!$AK$2:$AK$167,economics!$AJ$2:$AJ$167,TRUE)-_xlfn.NORM.DIST(AY$30,economics!$AK$2:$AK$167,economics!$AJ$2:$AJ$167,TRUE))*economics!$AM$2:$AM$167))/(SUMPRODUCT((economics!$AG$2:$AG$167=$B41)*(economics!$D$2:$D$167="process")*economics!$AH$2:$AH$167*(_xlfn.NORM.DIST(AY$3,economics!$AK$2:$AK$167,economics!$AJ$2:$AJ$167,TRUE)-_xlfn.NORM.DIST(AY$30,economics!$AK$2:$AK$167,economics!$AJ$2:$AJ$167,TRUE)))),"")</f>
        <v/>
      </c>
      <c r="AZ41">
        <f t="array" ref="AZ41">IFERROR((SUMPRODUCT((economics!$AG$2:$AG$167=$B41)*(economics!$D$2:$D$167="process")*economics!$AH$2:$AH$167*(_xlfn.NORM.DIST(AZ$3,economics!$AK$2:$AK$167,economics!$AJ$2:$AJ$167,TRUE)-_xlfn.NORM.DIST(AZ$30,economics!$AK$2:$AK$167,economics!$AJ$2:$AJ$167,TRUE))*economics!$AM$2:$AM$167))/(SUMPRODUCT((economics!$AG$2:$AG$167=$B41)*(economics!$D$2:$D$167="process")*economics!$AH$2:$AH$167*(_xlfn.NORM.DIST(AZ$3,economics!$AK$2:$AK$167,economics!$AJ$2:$AJ$167,TRUE)-_xlfn.NORM.DIST(AZ$30,economics!$AK$2:$AK$167,economics!$AJ$2:$AJ$167,TRUE)))),"")</f>
        <v/>
      </c>
      <c r="BA41">
        <f t="array" ref="BA41">IFERROR((SUMPRODUCT((economics!$AG$2:$AG$167=$B41)*(economics!$D$2:$D$167="process")*economics!$AH$2:$AH$167*(_xlfn.NORM.DIST(BA$3,economics!$AK$2:$AK$167,economics!$AJ$2:$AJ$167,TRUE)-_xlfn.NORM.DIST(BA$30,economics!$AK$2:$AK$167,economics!$AJ$2:$AJ$167,TRUE))*economics!$AM$2:$AM$167))/(SUMPRODUCT((economics!$AG$2:$AG$167=$B41)*(economics!$D$2:$D$167="process")*economics!$AH$2:$AH$167*(_xlfn.NORM.DIST(BA$3,economics!$AK$2:$AK$167,economics!$AJ$2:$AJ$167,TRUE)-_xlfn.NORM.DIST(BA$30,economics!$AK$2:$AK$167,economics!$AJ$2:$AJ$167,TRUE)))),"")</f>
        <v/>
      </c>
      <c r="BB41">
        <f t="array" ref="BB41">IFERROR((SUMPRODUCT((economics!$AG$2:$AG$167=$B41)*(economics!$D$2:$D$167="process")*economics!$AH$2:$AH$167*(_xlfn.NORM.DIST(BB$3,economics!$AK$2:$AK$167,economics!$AJ$2:$AJ$167,TRUE)-_xlfn.NORM.DIST(BB$30,economics!$AK$2:$AK$167,economics!$AJ$2:$AJ$167,TRUE))*economics!$AM$2:$AM$167))/(SUMPRODUCT((economics!$AG$2:$AG$167=$B41)*(economics!$D$2:$D$167="process")*economics!$AH$2:$AH$167*(_xlfn.NORM.DIST(BB$3,economics!$AK$2:$AK$167,economics!$AJ$2:$AJ$167,TRUE)-_xlfn.NORM.DIST(BB$30,economics!$AK$2:$AK$167,economics!$AJ$2:$AJ$167,TRUE)))),"")</f>
        <v/>
      </c>
      <c r="BC41">
        <f t="array" ref="BC41">IFERROR((SUMPRODUCT((economics!$AG$2:$AG$167=$B41)*(economics!$D$2:$D$167="process")*economics!$AH$2:$AH$167*(_xlfn.NORM.DIST(BC$3,economics!$AK$2:$AK$167,economics!$AJ$2:$AJ$167,TRUE)-_xlfn.NORM.DIST(BC$30,economics!$AK$2:$AK$167,economics!$AJ$2:$AJ$167,TRUE))*economics!$AM$2:$AM$167))/(SUMPRODUCT((economics!$AG$2:$AG$167=$B41)*(economics!$D$2:$D$167="process")*economics!$AH$2:$AH$167*(_xlfn.NORM.DIST(BC$3,economics!$AK$2:$AK$167,economics!$AJ$2:$AJ$167,TRUE)-_xlfn.NORM.DIST(BC$30,economics!$AK$2:$AK$167,economics!$AJ$2:$AJ$167,TRUE)))),"")</f>
        <v/>
      </c>
      <c r="BD41">
        <f t="array" ref="BD41">IFERROR((SUMPRODUCT((economics!$AG$2:$AG$167=$B41)*(economics!$D$2:$D$167="process")*economics!$AH$2:$AH$167*(_xlfn.NORM.DIST(BD$3,economics!$AK$2:$AK$167,economics!$AJ$2:$AJ$167,TRUE)-_xlfn.NORM.DIST(BD$30,economics!$AK$2:$AK$167,economics!$AJ$2:$AJ$167,TRUE))*economics!$AM$2:$AM$167))/(SUMPRODUCT((economics!$AG$2:$AG$167=$B41)*(economics!$D$2:$D$167="process")*economics!$AH$2:$AH$167*(_xlfn.NORM.DIST(BD$3,economics!$AK$2:$AK$167,economics!$AJ$2:$AJ$167,TRUE)-_xlfn.NORM.DIST(BD$30,economics!$AK$2:$AK$167,economics!$AJ$2:$AJ$167,TRUE)))),"")</f>
        <v/>
      </c>
      <c r="BE41">
        <f t="array" ref="BE41">IFERROR((SUMPRODUCT((economics!$AG$2:$AG$167=$B41)*(economics!$D$2:$D$167="process")*economics!$AH$2:$AH$167*(_xlfn.NORM.DIST(BE$3,economics!$AK$2:$AK$167,economics!$AJ$2:$AJ$167,TRUE)-_xlfn.NORM.DIST(BE$30,economics!$AK$2:$AK$167,economics!$AJ$2:$AJ$167,TRUE))*economics!$AM$2:$AM$167))/(SUMPRODUCT((economics!$AG$2:$AG$167=$B41)*(economics!$D$2:$D$167="process")*economics!$AH$2:$AH$167*(_xlfn.NORM.DIST(BE$3,economics!$AK$2:$AK$167,economics!$AJ$2:$AJ$167,TRUE)-_xlfn.NORM.DIST(BE$30,economics!$AK$2:$AK$167,economics!$AJ$2:$AJ$167,TRUE)))),"")</f>
        <v/>
      </c>
      <c r="BF41">
        <f t="array" ref="BF41">IFERROR((SUMPRODUCT((economics!$AG$2:$AG$167=$B41)*(economics!$D$2:$D$167="process")*economics!$AH$2:$AH$167*(_xlfn.NORM.DIST(BF$3,economics!$AK$2:$AK$167,economics!$AJ$2:$AJ$167,TRUE)-_xlfn.NORM.DIST(BF$30,economics!$AK$2:$AK$167,economics!$AJ$2:$AJ$167,TRUE))*economics!$AM$2:$AM$167))/(SUMPRODUCT((economics!$AG$2:$AG$167=$B41)*(economics!$D$2:$D$167="process")*economics!$AH$2:$AH$167*(_xlfn.NORM.DIST(BF$3,economics!$AK$2:$AK$167,economics!$AJ$2:$AJ$167,TRUE)-_xlfn.NORM.DIST(BF$30,economics!$AK$2:$AK$167,economics!$AJ$2:$AJ$167,TRUE)))),"")</f>
        <v/>
      </c>
      <c r="BG41">
        <f t="array" ref="BG41">IFERROR((SUMPRODUCT((economics!$AG$2:$AG$167=$B41)*(economics!$D$2:$D$167="process")*economics!$AH$2:$AH$167*(_xlfn.NORM.DIST(BG$3,economics!$AK$2:$AK$167,economics!$AJ$2:$AJ$167,TRUE)-_xlfn.NORM.DIST(BG$30,economics!$AK$2:$AK$167,economics!$AJ$2:$AJ$167,TRUE))*economics!$AM$2:$AM$167))/(SUMPRODUCT((economics!$AG$2:$AG$167=$B41)*(economics!$D$2:$D$167="process")*economics!$AH$2:$AH$167*(_xlfn.NORM.DIST(BG$3,economics!$AK$2:$AK$167,economics!$AJ$2:$AJ$167,TRUE)-_xlfn.NORM.DIST(BG$30,economics!$AK$2:$AK$167,economics!$AJ$2:$AJ$167,TRUE)))),"")</f>
        <v/>
      </c>
      <c r="BH41">
        <f t="array" ref="BH41">IFERROR((SUMPRODUCT((economics!$AG$2:$AG$167=$B41)*(economics!$D$2:$D$167="process")*economics!$AH$2:$AH$167*(_xlfn.NORM.DIST(BH$3,economics!$AK$2:$AK$167,economics!$AJ$2:$AJ$167,TRUE)-_xlfn.NORM.DIST(BH$30,economics!$AK$2:$AK$167,economics!$AJ$2:$AJ$167,TRUE))*economics!$AM$2:$AM$167))/(SUMPRODUCT((economics!$AG$2:$AG$167=$B41)*(economics!$D$2:$D$167="process")*economics!$AH$2:$AH$167*(_xlfn.NORM.DIST(BH$3,economics!$AK$2:$AK$167,economics!$AJ$2:$AJ$167,TRUE)-_xlfn.NORM.DIST(BH$30,economics!$AK$2:$AK$167,economics!$AJ$2:$AJ$167,TRUE)))),"")</f>
        <v/>
      </c>
      <c r="BI41">
        <f t="array" ref="BI41">IFERROR((SUMPRODUCT((economics!$AG$2:$AG$167=$B41)*(economics!$D$2:$D$167="process")*economics!$AH$2:$AH$167*(_xlfn.NORM.DIST(BI$3,economics!$AK$2:$AK$167,economics!$AJ$2:$AJ$167,TRUE)-_xlfn.NORM.DIST(BI$30,economics!$AK$2:$AK$167,economics!$AJ$2:$AJ$167,TRUE))*economics!$AM$2:$AM$167))/(SUMPRODUCT((economics!$AG$2:$AG$167=$B41)*(economics!$D$2:$D$167="process")*economics!$AH$2:$AH$167*(_xlfn.NORM.DIST(BI$3,economics!$AK$2:$AK$167,economics!$AJ$2:$AJ$167,TRUE)-_xlfn.NORM.DIST(BI$30,economics!$AK$2:$AK$167,economics!$AJ$2:$AJ$167,TRUE)))),"")</f>
        <v/>
      </c>
      <c r="BJ41">
        <f t="array" ref="BJ41">IFERROR((SUMPRODUCT((economics!$AG$2:$AG$167=$B41)*(economics!$D$2:$D$167="process")*economics!$AH$2:$AH$167*(_xlfn.NORM.DIST(BJ$3,economics!$AK$2:$AK$167,economics!$AJ$2:$AJ$167,TRUE)-_xlfn.NORM.DIST(BJ$30,economics!$AK$2:$AK$167,economics!$AJ$2:$AJ$167,TRUE))*economics!$AM$2:$AM$167))/(SUMPRODUCT((economics!$AG$2:$AG$167=$B41)*(economics!$D$2:$D$167="process")*economics!$AH$2:$AH$167*(_xlfn.NORM.DIST(BJ$3,economics!$AK$2:$AK$167,economics!$AJ$2:$AJ$167,TRUE)-_xlfn.NORM.DIST(BJ$30,economics!$AK$2:$AK$167,economics!$AJ$2:$AJ$167,TRUE)))),"")</f>
        <v/>
      </c>
      <c r="BK41">
        <f t="array" ref="BK41">IFERROR((SUMPRODUCT((economics!$AG$2:$AG$167=$B41)*(economics!$D$2:$D$167="process")*economics!$AH$2:$AH$167*(_xlfn.NORM.DIST(BK$3,economics!$AK$2:$AK$167,economics!$AJ$2:$AJ$167,TRUE)-_xlfn.NORM.DIST(BK$30,economics!$AK$2:$AK$167,economics!$AJ$2:$AJ$167,TRUE))*economics!$AM$2:$AM$167))/(SUMPRODUCT((economics!$AG$2:$AG$167=$B41)*(economics!$D$2:$D$167="process")*economics!$AH$2:$AH$167*(_xlfn.NORM.DIST(BK$3,economics!$AK$2:$AK$167,economics!$AJ$2:$AJ$167,TRUE)-_xlfn.NORM.DIST(BK$30,economics!$AK$2:$AK$167,economics!$AJ$2:$AJ$167,TRUE)))),"")</f>
        <v/>
      </c>
      <c r="BL41">
        <f t="array" ref="BL41">IFERROR((SUMPRODUCT((economics!$AG$2:$AG$167=$B41)*(economics!$D$2:$D$167="process")*economics!$AH$2:$AH$167*(_xlfn.NORM.DIST(BL$3,economics!$AK$2:$AK$167,economics!$AJ$2:$AJ$167,TRUE)-_xlfn.NORM.DIST(BL$30,economics!$AK$2:$AK$167,economics!$AJ$2:$AJ$167,TRUE))*economics!$AM$2:$AM$167))/(SUMPRODUCT((economics!$AG$2:$AG$167=$B41)*(economics!$D$2:$D$167="process")*economics!$AH$2:$AH$167*(_xlfn.NORM.DIST(BL$3,economics!$AK$2:$AK$167,economics!$AJ$2:$AJ$167,TRUE)-_xlfn.NORM.DIST(BL$30,economics!$AK$2:$AK$167,economics!$AJ$2:$AJ$167,TRUE)))),"")</f>
        <v/>
      </c>
      <c r="BM41">
        <f t="array" ref="BM41">IFERROR((SUMPRODUCT((economics!$AG$2:$AG$167=$B41)*(economics!$D$2:$D$167="process")*economics!$AH$2:$AH$167*(_xlfn.NORM.DIST(BM$3,economics!$AK$2:$AK$167,economics!$AJ$2:$AJ$167,TRUE)-_xlfn.NORM.DIST(BM$30,economics!$AK$2:$AK$167,economics!$AJ$2:$AJ$167,TRUE))*economics!$AM$2:$AM$167))/(SUMPRODUCT((economics!$AG$2:$AG$167=$B41)*(economics!$D$2:$D$167="process")*economics!$AH$2:$AH$167*(_xlfn.NORM.DIST(BM$3,economics!$AK$2:$AK$167,economics!$AJ$2:$AJ$167,TRUE)-_xlfn.NORM.DIST(BM$30,economics!$AK$2:$AK$167,economics!$AJ$2:$AJ$167,TRUE)))),"")</f>
        <v/>
      </c>
      <c r="BN41">
        <f t="array" ref="BN41">IFERROR((SUMPRODUCT((economics!$AG$2:$AG$167=$B41)*(economics!$D$2:$D$167="process")*economics!$AH$2:$AH$167*(_xlfn.NORM.DIST(BN$3,economics!$AK$2:$AK$167,economics!$AJ$2:$AJ$167,TRUE)-_xlfn.NORM.DIST(BN$30,economics!$AK$2:$AK$167,economics!$AJ$2:$AJ$167,TRUE))*economics!$AM$2:$AM$167))/(SUMPRODUCT((economics!$AG$2:$AG$167=$B41)*(economics!$D$2:$D$167="process")*economics!$AH$2:$AH$167*(_xlfn.NORM.DIST(BN$3,economics!$AK$2:$AK$167,economics!$AJ$2:$AJ$167,TRUE)-_xlfn.NORM.DIST(BN$30,economics!$AK$2:$AK$167,economics!$AJ$2:$AJ$167,TRUE)))),"")</f>
        <v/>
      </c>
      <c r="BO41">
        <f t="array" ref="BO41">IFERROR((SUMPRODUCT((economics!$AG$2:$AG$167=$B41)*(economics!$D$2:$D$167="process")*economics!$AH$2:$AH$167*(_xlfn.NORM.DIST(BO$3,economics!$AK$2:$AK$167,economics!$AJ$2:$AJ$167,TRUE)-_xlfn.NORM.DIST(BO$30,economics!$AK$2:$AK$167,economics!$AJ$2:$AJ$167,TRUE))*economics!$AM$2:$AM$167))/(SUMPRODUCT((economics!$AG$2:$AG$167=$B41)*(economics!$D$2:$D$167="process")*economics!$AH$2:$AH$167*(_xlfn.NORM.DIST(BO$3,economics!$AK$2:$AK$167,economics!$AJ$2:$AJ$167,TRUE)-_xlfn.NORM.DIST(BO$30,economics!$AK$2:$AK$167,economics!$AJ$2:$AJ$167,TRUE)))),"")</f>
        <v/>
      </c>
      <c r="BP41">
        <f t="array" ref="BP41">IFERROR((SUMPRODUCT((economics!$AG$2:$AG$167=$B41)*(economics!$D$2:$D$167="process")*economics!$AH$2:$AH$167*(_xlfn.NORM.DIST(BP$3,economics!$AK$2:$AK$167,economics!$AJ$2:$AJ$167,TRUE)-_xlfn.NORM.DIST(BP$30,economics!$AK$2:$AK$167,economics!$AJ$2:$AJ$167,TRUE))*economics!$AM$2:$AM$167))/(SUMPRODUCT((economics!$AG$2:$AG$167=$B41)*(economics!$D$2:$D$167="process")*economics!$AH$2:$AH$167*(_xlfn.NORM.DIST(BP$3,economics!$AK$2:$AK$167,economics!$AJ$2:$AJ$167,TRUE)-_xlfn.NORM.DIST(BP$30,economics!$AK$2:$AK$167,economics!$AJ$2:$AJ$167,TRUE)))),"")</f>
        <v/>
      </c>
      <c r="BQ41">
        <f t="array" ref="BQ41">IFERROR((SUMPRODUCT((economics!$AG$2:$AG$167=$B41)*(economics!$D$2:$D$167="process")*economics!$AH$2:$AH$167*(_xlfn.NORM.DIST(BQ$3,economics!$AK$2:$AK$167,economics!$AJ$2:$AJ$167,TRUE)-_xlfn.NORM.DIST(BQ$30,economics!$AK$2:$AK$167,economics!$AJ$2:$AJ$167,TRUE))*economics!$AM$2:$AM$167))/(SUMPRODUCT((economics!$AG$2:$AG$167=$B41)*(economics!$D$2:$D$167="process")*economics!$AH$2:$AH$167*(_xlfn.NORM.DIST(BQ$3,economics!$AK$2:$AK$167,economics!$AJ$2:$AJ$167,TRUE)-_xlfn.NORM.DIST(BQ$30,economics!$AK$2:$AK$167,economics!$AJ$2:$AJ$167,TRUE)))),"")</f>
        <v/>
      </c>
      <c r="BR41">
        <f t="array" ref="BR41">IFERROR((SUMPRODUCT((economics!$AG$2:$AG$167=$B41)*(economics!$D$2:$D$167="process")*economics!$AH$2:$AH$167*(_xlfn.NORM.DIST(BR$3,economics!$AK$2:$AK$167,economics!$AJ$2:$AJ$167,TRUE)-_xlfn.NORM.DIST(BR$30,economics!$AK$2:$AK$167,economics!$AJ$2:$AJ$167,TRUE))*economics!$AM$2:$AM$167))/(SUMPRODUCT((economics!$AG$2:$AG$167=$B41)*(economics!$D$2:$D$167="process")*economics!$AH$2:$AH$167*(_xlfn.NORM.DIST(BR$3,economics!$AK$2:$AK$167,economics!$AJ$2:$AJ$167,TRUE)-_xlfn.NORM.DIST(BR$30,economics!$AK$2:$AK$167,economics!$AJ$2:$AJ$167,TRUE)))),"")</f>
        <v/>
      </c>
      <c r="BS41">
        <f t="array" ref="BS41">IFERROR((SUMPRODUCT((economics!$AG$2:$AG$167=$B41)*(economics!$D$2:$D$167="process")*economics!$AH$2:$AH$167*(_xlfn.NORM.DIST(BS$3,economics!$AK$2:$AK$167,economics!$AJ$2:$AJ$167,TRUE)-_xlfn.NORM.DIST(BS$30,economics!$AK$2:$AK$167,economics!$AJ$2:$AJ$167,TRUE))*economics!$AM$2:$AM$167))/(SUMPRODUCT((economics!$AG$2:$AG$167=$B41)*(economics!$D$2:$D$167="process")*economics!$AH$2:$AH$167*(_xlfn.NORM.DIST(BS$3,economics!$AK$2:$AK$167,economics!$AJ$2:$AJ$167,TRUE)-_xlfn.NORM.DIST(BS$30,economics!$AK$2:$AK$167,economics!$AJ$2:$AJ$167,TRUE)))),"")</f>
        <v/>
      </c>
      <c r="BT41">
        <f t="array" ref="BT41">IFERROR((SUMPRODUCT((economics!$AG$2:$AG$167=$B41)*(economics!$D$2:$D$167="process")*economics!$AH$2:$AH$167*(_xlfn.NORM.DIST(BT$3,economics!$AK$2:$AK$167,economics!$AJ$2:$AJ$167,TRUE)-_xlfn.NORM.DIST(BT$30,economics!$AK$2:$AK$167,economics!$AJ$2:$AJ$167,TRUE))*economics!$AM$2:$AM$167))/(SUMPRODUCT((economics!$AG$2:$AG$167=$B41)*(economics!$D$2:$D$167="process")*economics!$AH$2:$AH$167*(_xlfn.NORM.DIST(BT$3,economics!$AK$2:$AK$167,economics!$AJ$2:$AJ$167,TRUE)-_xlfn.NORM.DIST(BT$30,economics!$AK$2:$AK$167,economics!$AJ$2:$AJ$167,TRUE)))),"")</f>
        <v/>
      </c>
      <c r="BU41">
        <f t="array" ref="BU41">IFERROR((SUMPRODUCT((economics!$AG$2:$AG$167=$B41)*(economics!$D$2:$D$167="process")*economics!$AH$2:$AH$167*(_xlfn.NORM.DIST(BU$3,economics!$AK$2:$AK$167,economics!$AJ$2:$AJ$167,TRUE)-_xlfn.NORM.DIST(BU$30,economics!$AK$2:$AK$167,economics!$AJ$2:$AJ$167,TRUE))*economics!$AM$2:$AM$167))/(SUMPRODUCT((economics!$AG$2:$AG$167=$B41)*(economics!$D$2:$D$167="process")*economics!$AH$2:$AH$167*(_xlfn.NORM.DIST(BU$3,economics!$AK$2:$AK$167,economics!$AJ$2:$AJ$167,TRUE)-_xlfn.NORM.DIST(BU$30,economics!$AK$2:$AK$167,economics!$AJ$2:$AJ$167,TRUE)))),"")</f>
        <v/>
      </c>
      <c r="BV41">
        <f t="array" ref="BV41">IFERROR((SUMPRODUCT((economics!$AG$2:$AG$167=$B41)*(economics!$D$2:$D$167="process")*economics!$AH$2:$AH$167*(_xlfn.NORM.DIST(BV$3,economics!$AK$2:$AK$167,economics!$AJ$2:$AJ$167,TRUE)-_xlfn.NORM.DIST(BV$30,economics!$AK$2:$AK$167,economics!$AJ$2:$AJ$167,TRUE))*economics!$AM$2:$AM$167))/(SUMPRODUCT((economics!$AG$2:$AG$167=$B41)*(economics!$D$2:$D$167="process")*economics!$AH$2:$AH$167*(_xlfn.NORM.DIST(BV$3,economics!$AK$2:$AK$167,economics!$AJ$2:$AJ$167,TRUE)-_xlfn.NORM.DIST(BV$30,economics!$AK$2:$AK$167,economics!$AJ$2:$AJ$167,TRUE)))),"")</f>
        <v/>
      </c>
      <c r="BW41">
        <f t="array" ref="BW41">IFERROR((SUMPRODUCT((economics!$AG$2:$AG$167=$B41)*(economics!$D$2:$D$167="process")*economics!$AH$2:$AH$167*(_xlfn.NORM.DIST(BW$3,economics!$AK$2:$AK$167,economics!$AJ$2:$AJ$167,TRUE)-_xlfn.NORM.DIST(BW$30,economics!$AK$2:$AK$167,economics!$AJ$2:$AJ$167,TRUE))*economics!$AM$2:$AM$167))/(SUMPRODUCT((economics!$AG$2:$AG$167=$B41)*(economics!$D$2:$D$167="process")*economics!$AH$2:$AH$167*(_xlfn.NORM.DIST(BW$3,economics!$AK$2:$AK$167,economics!$AJ$2:$AJ$167,TRUE)-_xlfn.NORM.DIST(BW$30,economics!$AK$2:$AK$167,economics!$AJ$2:$AJ$167,TRUE)))),"")</f>
        <v/>
      </c>
      <c r="BX41">
        <f t="array" ref="BX41">IFERROR((SUMPRODUCT((economics!$AG$2:$AG$167=$B41)*(economics!$D$2:$D$167="process")*economics!$AH$2:$AH$167*(_xlfn.NORM.DIST(BX$3,economics!$AK$2:$AK$167,economics!$AJ$2:$AJ$167,TRUE)-_xlfn.NORM.DIST(BX$30,economics!$AK$2:$AK$167,economics!$AJ$2:$AJ$167,TRUE))*economics!$AM$2:$AM$167))/(SUMPRODUCT((economics!$AG$2:$AG$167=$B41)*(economics!$D$2:$D$167="process")*economics!$AH$2:$AH$167*(_xlfn.NORM.DIST(BX$3,economics!$AK$2:$AK$167,economics!$AJ$2:$AJ$167,TRUE)-_xlfn.NORM.DIST(BX$30,economics!$AK$2:$AK$167,economics!$AJ$2:$AJ$167,TRUE)))),"")</f>
        <v/>
      </c>
      <c r="BY41">
        <f t="array" ref="BY41">IFERROR((SUMPRODUCT((economics!$AG$2:$AG$167=$B41)*(economics!$D$2:$D$167="process")*economics!$AH$2:$AH$167*(_xlfn.NORM.DIST(BY$3,economics!$AK$2:$AK$167,economics!$AJ$2:$AJ$167,TRUE)-_xlfn.NORM.DIST(BY$30,economics!$AK$2:$AK$167,economics!$AJ$2:$AJ$167,TRUE))*economics!$AM$2:$AM$167))/(SUMPRODUCT((economics!$AG$2:$AG$167=$B41)*(economics!$D$2:$D$167="process")*economics!$AH$2:$AH$167*(_xlfn.NORM.DIST(BY$3,economics!$AK$2:$AK$167,economics!$AJ$2:$AJ$167,TRUE)-_xlfn.NORM.DIST(BY$30,economics!$AK$2:$AK$167,economics!$AJ$2:$AJ$167,TRUE)))),"")</f>
        <v/>
      </c>
      <c r="BZ41">
        <f t="array" ref="BZ41">IFERROR((SUMPRODUCT((economics!$AG$2:$AG$167=$B41)*(economics!$D$2:$D$167="process")*economics!$AH$2:$AH$167*(_xlfn.NORM.DIST(BZ$3,economics!$AK$2:$AK$167,economics!$AJ$2:$AJ$167,TRUE)-_xlfn.NORM.DIST(BZ$30,economics!$AK$2:$AK$167,economics!$AJ$2:$AJ$167,TRUE))*economics!$AM$2:$AM$167))/(SUMPRODUCT((economics!$AG$2:$AG$167=$B41)*(economics!$D$2:$D$167="process")*economics!$AH$2:$AH$167*(_xlfn.NORM.DIST(BZ$3,economics!$AK$2:$AK$167,economics!$AJ$2:$AJ$167,TRUE)-_xlfn.NORM.DIST(BZ$30,economics!$AK$2:$AK$167,economics!$AJ$2:$AJ$167,TRUE)))),"")</f>
        <v/>
      </c>
      <c r="CA41">
        <f t="array" ref="CA41">IFERROR((SUMPRODUCT((economics!$AG$2:$AG$167=$B41)*(economics!$D$2:$D$167="process")*economics!$AH$2:$AH$167*(_xlfn.NORM.DIST(CA$3,economics!$AK$2:$AK$167,economics!$AJ$2:$AJ$167,TRUE)-_xlfn.NORM.DIST(CA$30,economics!$AK$2:$AK$167,economics!$AJ$2:$AJ$167,TRUE))*economics!$AM$2:$AM$167))/(SUMPRODUCT((economics!$AG$2:$AG$167=$B41)*(economics!$D$2:$D$167="process")*economics!$AH$2:$AH$167*(_xlfn.NORM.DIST(CA$3,economics!$AK$2:$AK$167,economics!$AJ$2:$AJ$167,TRUE)-_xlfn.NORM.DIST(CA$30,economics!$AK$2:$AK$167,economics!$AJ$2:$AJ$167,TRUE)))),"")</f>
        <v/>
      </c>
      <c r="CB41">
        <f t="array" ref="CB41">IFERROR((SUMPRODUCT((economics!$AG$2:$AG$167=$B41)*(economics!$D$2:$D$167="process")*economics!$AH$2:$AH$167*(_xlfn.NORM.DIST(CB$3,economics!$AK$2:$AK$167,economics!$AJ$2:$AJ$167,TRUE)-_xlfn.NORM.DIST(CB$30,economics!$AK$2:$AK$167,economics!$AJ$2:$AJ$167,TRUE))*economics!$AM$2:$AM$167))/(SUMPRODUCT((economics!$AG$2:$AG$167=$B41)*(economics!$D$2:$D$167="process")*economics!$AH$2:$AH$167*(_xlfn.NORM.DIST(CB$3,economics!$AK$2:$AK$167,economics!$AJ$2:$AJ$167,TRUE)-_xlfn.NORM.DIST(CB$30,economics!$AK$2:$AK$167,economics!$AJ$2:$AJ$167,TRUE)))),"")</f>
        <v/>
      </c>
      <c r="CC41">
        <f t="array" ref="CC41">IFERROR((SUMPRODUCT((economics!$AG$2:$AG$167=$B41)*(economics!$D$2:$D$167="process")*economics!$AH$2:$AH$167*(_xlfn.NORM.DIST(CC$3,economics!$AK$2:$AK$167,economics!$AJ$2:$AJ$167,TRUE)-_xlfn.NORM.DIST(CC$30,economics!$AK$2:$AK$167,economics!$AJ$2:$AJ$167,TRUE))*economics!$AM$2:$AM$167))/(SUMPRODUCT((economics!$AG$2:$AG$167=$B41)*(economics!$D$2:$D$167="process")*economics!$AH$2:$AH$167*(_xlfn.NORM.DIST(CC$3,economics!$AK$2:$AK$167,economics!$AJ$2:$AJ$167,TRUE)-_xlfn.NORM.DIST(CC$30,economics!$AK$2:$AK$167,economics!$AJ$2:$AJ$167,TRUE)))),"")</f>
        <v/>
      </c>
      <c r="CD41">
        <f t="array" ref="CD41">IFERROR((SUMPRODUCT((economics!$AG$2:$AG$167=$B41)*(economics!$D$2:$D$167="process")*economics!$AH$2:$AH$167*(_xlfn.NORM.DIST(CD$3,economics!$AK$2:$AK$167,economics!$AJ$2:$AJ$167,TRUE)-_xlfn.NORM.DIST(CD$30,economics!$AK$2:$AK$167,economics!$AJ$2:$AJ$167,TRUE))*economics!$AM$2:$AM$167))/(SUMPRODUCT((economics!$AG$2:$AG$167=$B41)*(economics!$D$2:$D$167="process")*economics!$AH$2:$AH$167*(_xlfn.NORM.DIST(CD$3,economics!$AK$2:$AK$167,economics!$AJ$2:$AJ$167,TRUE)-_xlfn.NORM.DIST(CD$30,economics!$AK$2:$AK$167,economics!$AJ$2:$AJ$167,TRUE)))),"")</f>
        <v/>
      </c>
      <c r="CE41">
        <f t="array" ref="CE41">IFERROR((SUMPRODUCT((economics!$AG$2:$AG$167=$B41)*(economics!$D$2:$D$167="process")*economics!$AH$2:$AH$167*(_xlfn.NORM.DIST(CE$3,economics!$AK$2:$AK$167,economics!$AJ$2:$AJ$167,TRUE)-_xlfn.NORM.DIST(CE$30,economics!$AK$2:$AK$167,economics!$AJ$2:$AJ$167,TRUE))*economics!$AM$2:$AM$167))/(SUMPRODUCT((economics!$AG$2:$AG$167=$B41)*(economics!$D$2:$D$167="process")*economics!$AH$2:$AH$167*(_xlfn.NORM.DIST(CE$3,economics!$AK$2:$AK$167,economics!$AJ$2:$AJ$167,TRUE)-_xlfn.NORM.DIST(CE$30,economics!$AK$2:$AK$167,economics!$AJ$2:$AJ$167,TRUE)))),"")</f>
        <v/>
      </c>
      <c r="CF41">
        <f t="array" ref="CF41">IFERROR((SUMPRODUCT((economics!$AG$2:$AG$167=$B41)*(economics!$D$2:$D$167="process")*economics!$AH$2:$AH$167*(_xlfn.NORM.DIST(CF$3,economics!$AK$2:$AK$167,economics!$AJ$2:$AJ$167,TRUE)-_xlfn.NORM.DIST(CF$30,economics!$AK$2:$AK$167,economics!$AJ$2:$AJ$167,TRUE))*economics!$AM$2:$AM$167))/(SUMPRODUCT((economics!$AG$2:$AG$167=$B41)*(economics!$D$2:$D$167="process")*economics!$AH$2:$AH$167*(_xlfn.NORM.DIST(CF$3,economics!$AK$2:$AK$167,economics!$AJ$2:$AJ$167,TRUE)-_xlfn.NORM.DIST(CF$30,economics!$AK$2:$AK$167,economics!$AJ$2:$AJ$167,TRUE)))),"")</f>
        <v/>
      </c>
      <c r="CG41">
        <f t="array" ref="CG41">IFERROR((SUMPRODUCT((economics!$AG$2:$AG$167=$B41)*(economics!$D$2:$D$167="process")*economics!$AH$2:$AH$167*(_xlfn.NORM.DIST(CG$3,economics!$AK$2:$AK$167,economics!$AJ$2:$AJ$167,TRUE)-_xlfn.NORM.DIST(CG$30,economics!$AK$2:$AK$167,economics!$AJ$2:$AJ$167,TRUE))*economics!$AM$2:$AM$167))/(SUMPRODUCT((economics!$AG$2:$AG$167=$B41)*(economics!$D$2:$D$167="process")*economics!$AH$2:$AH$167*(_xlfn.NORM.DIST(CG$3,economics!$AK$2:$AK$167,economics!$AJ$2:$AJ$167,TRUE)-_xlfn.NORM.DIST(CG$30,economics!$AK$2:$AK$167,economics!$AJ$2:$AJ$167,TRUE)))),"")</f>
        <v/>
      </c>
      <c r="CH41">
        <f t="array" ref="CH41">IFERROR((SUMPRODUCT((economics!$AG$2:$AG$167=$B41)*(economics!$D$2:$D$167="process")*economics!$AH$2:$AH$167*(_xlfn.NORM.DIST(CH$3,economics!$AK$2:$AK$167,economics!$AJ$2:$AJ$167,TRUE)-_xlfn.NORM.DIST(CH$30,economics!$AK$2:$AK$167,economics!$AJ$2:$AJ$167,TRUE))*economics!$AM$2:$AM$167))/(SUMPRODUCT((economics!$AG$2:$AG$167=$B41)*(economics!$D$2:$D$167="process")*economics!$AH$2:$AH$167*(_xlfn.NORM.DIST(CH$3,economics!$AK$2:$AK$167,economics!$AJ$2:$AJ$167,TRUE)-_xlfn.NORM.DIST(CH$30,economics!$AK$2:$AK$167,economics!$AJ$2:$AJ$167,TRUE)))),"")</f>
        <v/>
      </c>
    </row>
    <row r="42">
      <c r="A42">
        <f>A13</f>
        <v/>
      </c>
      <c r="B42">
        <f>B13</f>
        <v/>
      </c>
      <c r="E42">
        <f t="array" ref="E42">IFERROR((SUMPRODUCT((economics!$AG$2:$AG$167=$B42)*(economics!$D$2:$D$167="process")*economics!$AH$2:$AH$167*(_xlfn.NORM.DIST(E$3,economics!$AK$2:$AK$167,economics!$AJ$2:$AJ$167,TRUE)-_xlfn.NORM.DIST(E$30,economics!$AK$2:$AK$167,economics!$AJ$2:$AJ$167,TRUE))*economics!$AM$2:$AM$167))/(SUMPRODUCT((economics!$AG$2:$AG$167=$B42)*(economics!$D$2:$D$167="process")*economics!$AH$2:$AH$167*(_xlfn.NORM.DIST(E$3,economics!$AK$2:$AK$167,economics!$AJ$2:$AJ$167,TRUE)-_xlfn.NORM.DIST(E$30,economics!$AK$2:$AK$167,economics!$AJ$2:$AJ$167,TRUE)))),"")</f>
        <v/>
      </c>
      <c r="F42">
        <f t="array" ref="F42">IFERROR((SUMPRODUCT((economics!$AG$2:$AG$167=$B42)*(economics!$D$2:$D$167="process")*economics!$AH$2:$AH$167*(_xlfn.NORM.DIST(F$3,economics!$AK$2:$AK$167,economics!$AJ$2:$AJ$167,TRUE)-_xlfn.NORM.DIST(F$30,economics!$AK$2:$AK$167,economics!$AJ$2:$AJ$167,TRUE))*economics!$AM$2:$AM$167))/(SUMPRODUCT((economics!$AG$2:$AG$167=$B42)*(economics!$D$2:$D$167="process")*economics!$AH$2:$AH$167*(_xlfn.NORM.DIST(F$3,economics!$AK$2:$AK$167,economics!$AJ$2:$AJ$167,TRUE)-_xlfn.NORM.DIST(F$30,economics!$AK$2:$AK$167,economics!$AJ$2:$AJ$167,TRUE)))),"")</f>
        <v/>
      </c>
      <c r="G42">
        <f t="array" ref="G42">IFERROR((SUMPRODUCT((economics!$AG$2:$AG$167=$B42)*(economics!$D$2:$D$167="process")*economics!$AH$2:$AH$167*(_xlfn.NORM.DIST(G$3,economics!$AK$2:$AK$167,economics!$AJ$2:$AJ$167,TRUE)-_xlfn.NORM.DIST(G$30,economics!$AK$2:$AK$167,economics!$AJ$2:$AJ$167,TRUE))*economics!$AM$2:$AM$167))/(SUMPRODUCT((economics!$AG$2:$AG$167=$B42)*(economics!$D$2:$D$167="process")*economics!$AH$2:$AH$167*(_xlfn.NORM.DIST(G$3,economics!$AK$2:$AK$167,economics!$AJ$2:$AJ$167,TRUE)-_xlfn.NORM.DIST(G$30,economics!$AK$2:$AK$167,economics!$AJ$2:$AJ$167,TRUE)))),"")</f>
        <v/>
      </c>
      <c r="H42">
        <f t="array" ref="H42">IFERROR((SUMPRODUCT((economics!$AG$2:$AG$167=$B42)*(economics!$D$2:$D$167="process")*economics!$AH$2:$AH$167*(_xlfn.NORM.DIST(H$3,economics!$AK$2:$AK$167,economics!$AJ$2:$AJ$167,TRUE)-_xlfn.NORM.DIST(H$30,economics!$AK$2:$AK$167,economics!$AJ$2:$AJ$167,TRUE))*economics!$AM$2:$AM$167))/(SUMPRODUCT((economics!$AG$2:$AG$167=$B42)*(economics!$D$2:$D$167="process")*economics!$AH$2:$AH$167*(_xlfn.NORM.DIST(H$3,economics!$AK$2:$AK$167,economics!$AJ$2:$AJ$167,TRUE)-_xlfn.NORM.DIST(H$30,economics!$AK$2:$AK$167,economics!$AJ$2:$AJ$167,TRUE)))),"")</f>
        <v/>
      </c>
      <c r="I42">
        <f t="array" ref="I42">IFERROR((SUMPRODUCT((economics!$AG$2:$AG$167=$B42)*(economics!$D$2:$D$167="process")*economics!$AH$2:$AH$167*(_xlfn.NORM.DIST(I$3,economics!$AK$2:$AK$167,economics!$AJ$2:$AJ$167,TRUE)-_xlfn.NORM.DIST(I$30,economics!$AK$2:$AK$167,economics!$AJ$2:$AJ$167,TRUE))*economics!$AM$2:$AM$167))/(SUMPRODUCT((economics!$AG$2:$AG$167=$B42)*(economics!$D$2:$D$167="process")*economics!$AH$2:$AH$167*(_xlfn.NORM.DIST(I$3,economics!$AK$2:$AK$167,economics!$AJ$2:$AJ$167,TRUE)-_xlfn.NORM.DIST(I$30,economics!$AK$2:$AK$167,economics!$AJ$2:$AJ$167,TRUE)))),"")</f>
        <v/>
      </c>
      <c r="J42">
        <f t="array" ref="J42">IFERROR((SUMPRODUCT((economics!$AG$2:$AG$167=$B42)*(economics!$D$2:$D$167="process")*economics!$AH$2:$AH$167*(_xlfn.NORM.DIST(J$3,economics!$AK$2:$AK$167,economics!$AJ$2:$AJ$167,TRUE)-_xlfn.NORM.DIST(J$30,economics!$AK$2:$AK$167,economics!$AJ$2:$AJ$167,TRUE))*economics!$AM$2:$AM$167))/(SUMPRODUCT((economics!$AG$2:$AG$167=$B42)*(economics!$D$2:$D$167="process")*economics!$AH$2:$AH$167*(_xlfn.NORM.DIST(J$3,economics!$AK$2:$AK$167,economics!$AJ$2:$AJ$167,TRUE)-_xlfn.NORM.DIST(J$30,economics!$AK$2:$AK$167,economics!$AJ$2:$AJ$167,TRUE)))),"")</f>
        <v/>
      </c>
      <c r="K42">
        <f t="array" ref="K42">IFERROR((SUMPRODUCT((economics!$AG$2:$AG$167=$B42)*(economics!$D$2:$D$167="process")*economics!$AH$2:$AH$167*(_xlfn.NORM.DIST(K$3,economics!$AK$2:$AK$167,economics!$AJ$2:$AJ$167,TRUE)-_xlfn.NORM.DIST(K$30,economics!$AK$2:$AK$167,economics!$AJ$2:$AJ$167,TRUE))*economics!$AM$2:$AM$167))/(SUMPRODUCT((economics!$AG$2:$AG$167=$B42)*(economics!$D$2:$D$167="process")*economics!$AH$2:$AH$167*(_xlfn.NORM.DIST(K$3,economics!$AK$2:$AK$167,economics!$AJ$2:$AJ$167,TRUE)-_xlfn.NORM.DIST(K$30,economics!$AK$2:$AK$167,economics!$AJ$2:$AJ$167,TRUE)))),"")</f>
        <v/>
      </c>
      <c r="L42">
        <f t="array" ref="L42">IFERROR((SUMPRODUCT((economics!$AG$2:$AG$167=$B42)*(economics!$D$2:$D$167="process")*economics!$AH$2:$AH$167*(_xlfn.NORM.DIST(L$3,economics!$AK$2:$AK$167,economics!$AJ$2:$AJ$167,TRUE)-_xlfn.NORM.DIST(L$30,economics!$AK$2:$AK$167,economics!$AJ$2:$AJ$167,TRUE))*economics!$AM$2:$AM$167))/(SUMPRODUCT((economics!$AG$2:$AG$167=$B42)*(economics!$D$2:$D$167="process")*economics!$AH$2:$AH$167*(_xlfn.NORM.DIST(L$3,economics!$AK$2:$AK$167,economics!$AJ$2:$AJ$167,TRUE)-_xlfn.NORM.DIST(L$30,economics!$AK$2:$AK$167,economics!$AJ$2:$AJ$167,TRUE)))),"")</f>
        <v/>
      </c>
      <c r="M42">
        <f t="array" ref="M42">IFERROR((SUMPRODUCT((economics!$AG$2:$AG$167=$B42)*(economics!$D$2:$D$167="process")*economics!$AH$2:$AH$167*(_xlfn.NORM.DIST(M$3,economics!$AK$2:$AK$167,economics!$AJ$2:$AJ$167,TRUE)-_xlfn.NORM.DIST(M$30,economics!$AK$2:$AK$167,economics!$AJ$2:$AJ$167,TRUE))*economics!$AM$2:$AM$167))/(SUMPRODUCT((economics!$AG$2:$AG$167=$B42)*(economics!$D$2:$D$167="process")*economics!$AH$2:$AH$167*(_xlfn.NORM.DIST(M$3,economics!$AK$2:$AK$167,economics!$AJ$2:$AJ$167,TRUE)-_xlfn.NORM.DIST(M$30,economics!$AK$2:$AK$167,economics!$AJ$2:$AJ$167,TRUE)))),"")</f>
        <v/>
      </c>
      <c r="N42">
        <f t="array" ref="N42">IFERROR((SUMPRODUCT((economics!$AG$2:$AG$167=$B42)*(economics!$D$2:$D$167="process")*economics!$AH$2:$AH$167*(_xlfn.NORM.DIST(N$3,economics!$AK$2:$AK$167,economics!$AJ$2:$AJ$167,TRUE)-_xlfn.NORM.DIST(N$30,economics!$AK$2:$AK$167,economics!$AJ$2:$AJ$167,TRUE))*economics!$AM$2:$AM$167))/(SUMPRODUCT((economics!$AG$2:$AG$167=$B42)*(economics!$D$2:$D$167="process")*economics!$AH$2:$AH$167*(_xlfn.NORM.DIST(N$3,economics!$AK$2:$AK$167,economics!$AJ$2:$AJ$167,TRUE)-_xlfn.NORM.DIST(N$30,economics!$AK$2:$AK$167,economics!$AJ$2:$AJ$167,TRUE)))),"")</f>
        <v/>
      </c>
      <c r="O42">
        <f t="array" ref="O42">IFERROR((SUMPRODUCT((economics!$AG$2:$AG$167=$B42)*(economics!$D$2:$D$167="process")*economics!$AH$2:$AH$167*(_xlfn.NORM.DIST(O$3,economics!$AK$2:$AK$167,economics!$AJ$2:$AJ$167,TRUE)-_xlfn.NORM.DIST(O$30,economics!$AK$2:$AK$167,economics!$AJ$2:$AJ$167,TRUE))*economics!$AM$2:$AM$167))/(SUMPRODUCT((economics!$AG$2:$AG$167=$B42)*(economics!$D$2:$D$167="process")*economics!$AH$2:$AH$167*(_xlfn.NORM.DIST(O$3,economics!$AK$2:$AK$167,economics!$AJ$2:$AJ$167,TRUE)-_xlfn.NORM.DIST(O$30,economics!$AK$2:$AK$167,economics!$AJ$2:$AJ$167,TRUE)))),"")</f>
        <v/>
      </c>
      <c r="P42">
        <f t="array" ref="P42">IFERROR((SUMPRODUCT((economics!$AG$2:$AG$167=$B42)*(economics!$D$2:$D$167="process")*economics!$AH$2:$AH$167*(_xlfn.NORM.DIST(P$3,economics!$AK$2:$AK$167,economics!$AJ$2:$AJ$167,TRUE)-_xlfn.NORM.DIST(P$30,economics!$AK$2:$AK$167,economics!$AJ$2:$AJ$167,TRUE))*economics!$AM$2:$AM$167))/(SUMPRODUCT((economics!$AG$2:$AG$167=$B42)*(economics!$D$2:$D$167="process")*economics!$AH$2:$AH$167*(_xlfn.NORM.DIST(P$3,economics!$AK$2:$AK$167,economics!$AJ$2:$AJ$167,TRUE)-_xlfn.NORM.DIST(P$30,economics!$AK$2:$AK$167,economics!$AJ$2:$AJ$167,TRUE)))),"")</f>
        <v/>
      </c>
      <c r="Q42">
        <f t="array" ref="Q42">IFERROR((SUMPRODUCT((economics!$AG$2:$AG$167=$B42)*(economics!$D$2:$D$167="process")*economics!$AH$2:$AH$167*(_xlfn.NORM.DIST(Q$3,economics!$AK$2:$AK$167,economics!$AJ$2:$AJ$167,TRUE)-_xlfn.NORM.DIST(Q$30,economics!$AK$2:$AK$167,economics!$AJ$2:$AJ$167,TRUE))*economics!$AM$2:$AM$167))/(SUMPRODUCT((economics!$AG$2:$AG$167=$B42)*(economics!$D$2:$D$167="process")*economics!$AH$2:$AH$167*(_xlfn.NORM.DIST(Q$3,economics!$AK$2:$AK$167,economics!$AJ$2:$AJ$167,TRUE)-_xlfn.NORM.DIST(Q$30,economics!$AK$2:$AK$167,economics!$AJ$2:$AJ$167,TRUE)))),"")</f>
        <v/>
      </c>
      <c r="R42">
        <f t="array" ref="R42">IFERROR((SUMPRODUCT((economics!$AG$2:$AG$167=$B42)*(economics!$D$2:$D$167="process")*economics!$AH$2:$AH$167*(_xlfn.NORM.DIST(R$3,economics!$AK$2:$AK$167,economics!$AJ$2:$AJ$167,TRUE)-_xlfn.NORM.DIST(R$30,economics!$AK$2:$AK$167,economics!$AJ$2:$AJ$167,TRUE))*economics!$AM$2:$AM$167))/(SUMPRODUCT((economics!$AG$2:$AG$167=$B42)*(economics!$D$2:$D$167="process")*economics!$AH$2:$AH$167*(_xlfn.NORM.DIST(R$3,economics!$AK$2:$AK$167,economics!$AJ$2:$AJ$167,TRUE)-_xlfn.NORM.DIST(R$30,economics!$AK$2:$AK$167,economics!$AJ$2:$AJ$167,TRUE)))),"")</f>
        <v/>
      </c>
      <c r="S42">
        <f t="array" ref="S42">IFERROR((SUMPRODUCT((economics!$AG$2:$AG$167=$B42)*(economics!$D$2:$D$167="process")*economics!$AH$2:$AH$167*(_xlfn.NORM.DIST(S$3,economics!$AK$2:$AK$167,economics!$AJ$2:$AJ$167,TRUE)-_xlfn.NORM.DIST(S$30,economics!$AK$2:$AK$167,economics!$AJ$2:$AJ$167,TRUE))*economics!$AM$2:$AM$167))/(SUMPRODUCT((economics!$AG$2:$AG$167=$B42)*(economics!$D$2:$D$167="process")*economics!$AH$2:$AH$167*(_xlfn.NORM.DIST(S$3,economics!$AK$2:$AK$167,economics!$AJ$2:$AJ$167,TRUE)-_xlfn.NORM.DIST(S$30,economics!$AK$2:$AK$167,economics!$AJ$2:$AJ$167,TRUE)))),"")</f>
        <v/>
      </c>
      <c r="T42">
        <f t="array" ref="T42">IFERROR((SUMPRODUCT((economics!$AG$2:$AG$167=$B42)*(economics!$D$2:$D$167="process")*economics!$AH$2:$AH$167*(_xlfn.NORM.DIST(T$3,economics!$AK$2:$AK$167,economics!$AJ$2:$AJ$167,TRUE)-_xlfn.NORM.DIST(T$30,economics!$AK$2:$AK$167,economics!$AJ$2:$AJ$167,TRUE))*economics!$AM$2:$AM$167))/(SUMPRODUCT((economics!$AG$2:$AG$167=$B42)*(economics!$D$2:$D$167="process")*economics!$AH$2:$AH$167*(_xlfn.NORM.DIST(T$3,economics!$AK$2:$AK$167,economics!$AJ$2:$AJ$167,TRUE)-_xlfn.NORM.DIST(T$30,economics!$AK$2:$AK$167,economics!$AJ$2:$AJ$167,TRUE)))),"")</f>
        <v/>
      </c>
      <c r="U42">
        <f t="array" ref="U42">IFERROR((SUMPRODUCT((economics!$AG$2:$AG$167=$B42)*(economics!$D$2:$D$167="process")*economics!$AH$2:$AH$167*(_xlfn.NORM.DIST(U$3,economics!$AK$2:$AK$167,economics!$AJ$2:$AJ$167,TRUE)-_xlfn.NORM.DIST(U$30,economics!$AK$2:$AK$167,economics!$AJ$2:$AJ$167,TRUE))*economics!$AM$2:$AM$167))/(SUMPRODUCT((economics!$AG$2:$AG$167=$B42)*(economics!$D$2:$D$167="process")*economics!$AH$2:$AH$167*(_xlfn.NORM.DIST(U$3,economics!$AK$2:$AK$167,economics!$AJ$2:$AJ$167,TRUE)-_xlfn.NORM.DIST(U$30,economics!$AK$2:$AK$167,economics!$AJ$2:$AJ$167,TRUE)))),"")</f>
        <v/>
      </c>
      <c r="V42">
        <f t="array" ref="V42">IFERROR((SUMPRODUCT((economics!$AG$2:$AG$167=$B42)*(economics!$D$2:$D$167="process")*economics!$AH$2:$AH$167*(_xlfn.NORM.DIST(V$3,economics!$AK$2:$AK$167,economics!$AJ$2:$AJ$167,TRUE)-_xlfn.NORM.DIST(V$30,economics!$AK$2:$AK$167,economics!$AJ$2:$AJ$167,TRUE))*economics!$AM$2:$AM$167))/(SUMPRODUCT((economics!$AG$2:$AG$167=$B42)*(economics!$D$2:$D$167="process")*economics!$AH$2:$AH$167*(_xlfn.NORM.DIST(V$3,economics!$AK$2:$AK$167,economics!$AJ$2:$AJ$167,TRUE)-_xlfn.NORM.DIST(V$30,economics!$AK$2:$AK$167,economics!$AJ$2:$AJ$167,TRUE)))),"")</f>
        <v/>
      </c>
      <c r="W42">
        <f t="array" ref="W42">IFERROR((SUMPRODUCT((economics!$AG$2:$AG$167=$B42)*(economics!$D$2:$D$167="process")*economics!$AH$2:$AH$167*(_xlfn.NORM.DIST(W$3,economics!$AK$2:$AK$167,economics!$AJ$2:$AJ$167,TRUE)-_xlfn.NORM.DIST(W$30,economics!$AK$2:$AK$167,economics!$AJ$2:$AJ$167,TRUE))*economics!$AM$2:$AM$167))/(SUMPRODUCT((economics!$AG$2:$AG$167=$B42)*(economics!$D$2:$D$167="process")*economics!$AH$2:$AH$167*(_xlfn.NORM.DIST(W$3,economics!$AK$2:$AK$167,economics!$AJ$2:$AJ$167,TRUE)-_xlfn.NORM.DIST(W$30,economics!$AK$2:$AK$167,economics!$AJ$2:$AJ$167,TRUE)))),"")</f>
        <v/>
      </c>
      <c r="X42">
        <f t="array" ref="X42">IFERROR((SUMPRODUCT((economics!$AG$2:$AG$167=$B42)*(economics!$D$2:$D$167="process")*economics!$AH$2:$AH$167*(_xlfn.NORM.DIST(X$3,economics!$AK$2:$AK$167,economics!$AJ$2:$AJ$167,TRUE)-_xlfn.NORM.DIST(X$30,economics!$AK$2:$AK$167,economics!$AJ$2:$AJ$167,TRUE))*economics!$AM$2:$AM$167))/(SUMPRODUCT((economics!$AG$2:$AG$167=$B42)*(economics!$D$2:$D$167="process")*economics!$AH$2:$AH$167*(_xlfn.NORM.DIST(X$3,economics!$AK$2:$AK$167,economics!$AJ$2:$AJ$167,TRUE)-_xlfn.NORM.DIST(X$30,economics!$AK$2:$AK$167,economics!$AJ$2:$AJ$167,TRUE)))),"")</f>
        <v/>
      </c>
      <c r="Y42">
        <f t="array" ref="Y42">IFERROR((SUMPRODUCT((economics!$AG$2:$AG$167=$B42)*(economics!$D$2:$D$167="process")*economics!$AH$2:$AH$167*(_xlfn.NORM.DIST(Y$3,economics!$AK$2:$AK$167,economics!$AJ$2:$AJ$167,TRUE)-_xlfn.NORM.DIST(Y$30,economics!$AK$2:$AK$167,economics!$AJ$2:$AJ$167,TRUE))*economics!$AM$2:$AM$167))/(SUMPRODUCT((economics!$AG$2:$AG$167=$B42)*(economics!$D$2:$D$167="process")*economics!$AH$2:$AH$167*(_xlfn.NORM.DIST(Y$3,economics!$AK$2:$AK$167,economics!$AJ$2:$AJ$167,TRUE)-_xlfn.NORM.DIST(Y$30,economics!$AK$2:$AK$167,economics!$AJ$2:$AJ$167,TRUE)))),"")</f>
        <v/>
      </c>
      <c r="Z42">
        <f t="array" ref="Z42">IFERROR((SUMPRODUCT((economics!$AG$2:$AG$167=$B42)*(economics!$D$2:$D$167="process")*economics!$AH$2:$AH$167*(_xlfn.NORM.DIST(Z$3,economics!$AK$2:$AK$167,economics!$AJ$2:$AJ$167,TRUE)-_xlfn.NORM.DIST(Z$30,economics!$AK$2:$AK$167,economics!$AJ$2:$AJ$167,TRUE))*economics!$AM$2:$AM$167))/(SUMPRODUCT((economics!$AG$2:$AG$167=$B42)*(economics!$D$2:$D$167="process")*economics!$AH$2:$AH$167*(_xlfn.NORM.DIST(Z$3,economics!$AK$2:$AK$167,economics!$AJ$2:$AJ$167,TRUE)-_xlfn.NORM.DIST(Z$30,economics!$AK$2:$AK$167,economics!$AJ$2:$AJ$167,TRUE)))),"")</f>
        <v/>
      </c>
      <c r="AA42">
        <f t="array" ref="AA42">IFERROR((SUMPRODUCT((economics!$AG$2:$AG$167=$B42)*(economics!$D$2:$D$167="process")*economics!$AH$2:$AH$167*(_xlfn.NORM.DIST(AA$3,economics!$AK$2:$AK$167,economics!$AJ$2:$AJ$167,TRUE)-_xlfn.NORM.DIST(AA$30,economics!$AK$2:$AK$167,economics!$AJ$2:$AJ$167,TRUE))*economics!$AM$2:$AM$167))/(SUMPRODUCT((economics!$AG$2:$AG$167=$B42)*(economics!$D$2:$D$167="process")*economics!$AH$2:$AH$167*(_xlfn.NORM.DIST(AA$3,economics!$AK$2:$AK$167,economics!$AJ$2:$AJ$167,TRUE)-_xlfn.NORM.DIST(AA$30,economics!$AK$2:$AK$167,economics!$AJ$2:$AJ$167,TRUE)))),"")</f>
        <v/>
      </c>
      <c r="AB42">
        <f t="array" ref="AB42">IFERROR((SUMPRODUCT((economics!$AG$2:$AG$167=$B42)*(economics!$D$2:$D$167="process")*economics!$AH$2:$AH$167*(_xlfn.NORM.DIST(AB$3,economics!$AK$2:$AK$167,economics!$AJ$2:$AJ$167,TRUE)-_xlfn.NORM.DIST(AB$30,economics!$AK$2:$AK$167,economics!$AJ$2:$AJ$167,TRUE))*economics!$AM$2:$AM$167))/(SUMPRODUCT((economics!$AG$2:$AG$167=$B42)*(economics!$D$2:$D$167="process")*economics!$AH$2:$AH$167*(_xlfn.NORM.DIST(AB$3,economics!$AK$2:$AK$167,economics!$AJ$2:$AJ$167,TRUE)-_xlfn.NORM.DIST(AB$30,economics!$AK$2:$AK$167,economics!$AJ$2:$AJ$167,TRUE)))),"")</f>
        <v/>
      </c>
      <c r="AC42">
        <f t="array" ref="AC42">IFERROR((SUMPRODUCT((economics!$AG$2:$AG$167=$B42)*(economics!$D$2:$D$167="process")*economics!$AH$2:$AH$167*(_xlfn.NORM.DIST(AC$3,economics!$AK$2:$AK$167,economics!$AJ$2:$AJ$167,TRUE)-_xlfn.NORM.DIST(AC$30,economics!$AK$2:$AK$167,economics!$AJ$2:$AJ$167,TRUE))*economics!$AM$2:$AM$167))/(SUMPRODUCT((economics!$AG$2:$AG$167=$B42)*(economics!$D$2:$D$167="process")*economics!$AH$2:$AH$167*(_xlfn.NORM.DIST(AC$3,economics!$AK$2:$AK$167,economics!$AJ$2:$AJ$167,TRUE)-_xlfn.NORM.DIST(AC$30,economics!$AK$2:$AK$167,economics!$AJ$2:$AJ$167,TRUE)))),"")</f>
        <v/>
      </c>
      <c r="AD42">
        <f t="array" ref="AD42">IFERROR((SUMPRODUCT((economics!$AG$2:$AG$167=$B42)*(economics!$D$2:$D$167="process")*economics!$AH$2:$AH$167*(_xlfn.NORM.DIST(AD$3,economics!$AK$2:$AK$167,economics!$AJ$2:$AJ$167,TRUE)-_xlfn.NORM.DIST(AD$30,economics!$AK$2:$AK$167,economics!$AJ$2:$AJ$167,TRUE))*economics!$AM$2:$AM$167))/(SUMPRODUCT((economics!$AG$2:$AG$167=$B42)*(economics!$D$2:$D$167="process")*economics!$AH$2:$AH$167*(_xlfn.NORM.DIST(AD$3,economics!$AK$2:$AK$167,economics!$AJ$2:$AJ$167,TRUE)-_xlfn.NORM.DIST(AD$30,economics!$AK$2:$AK$167,economics!$AJ$2:$AJ$167,TRUE)))),"")</f>
        <v/>
      </c>
      <c r="AE42">
        <f t="array" ref="AE42">IFERROR((SUMPRODUCT((economics!$AG$2:$AG$167=$B42)*(economics!$D$2:$D$167="process")*economics!$AH$2:$AH$167*(_xlfn.NORM.DIST(AE$3,economics!$AK$2:$AK$167,economics!$AJ$2:$AJ$167,TRUE)-_xlfn.NORM.DIST(AE$30,economics!$AK$2:$AK$167,economics!$AJ$2:$AJ$167,TRUE))*economics!$AM$2:$AM$167))/(SUMPRODUCT((economics!$AG$2:$AG$167=$B42)*(economics!$D$2:$D$167="process")*economics!$AH$2:$AH$167*(_xlfn.NORM.DIST(AE$3,economics!$AK$2:$AK$167,economics!$AJ$2:$AJ$167,TRUE)-_xlfn.NORM.DIST(AE$30,economics!$AK$2:$AK$167,economics!$AJ$2:$AJ$167,TRUE)))),"")</f>
        <v/>
      </c>
      <c r="AF42">
        <f t="array" ref="AF42">IFERROR((SUMPRODUCT((economics!$AG$2:$AG$167=$B42)*(economics!$D$2:$D$167="process")*economics!$AH$2:$AH$167*(_xlfn.NORM.DIST(AF$3,economics!$AK$2:$AK$167,economics!$AJ$2:$AJ$167,TRUE)-_xlfn.NORM.DIST(AF$30,economics!$AK$2:$AK$167,economics!$AJ$2:$AJ$167,TRUE))*economics!$AM$2:$AM$167))/(SUMPRODUCT((economics!$AG$2:$AG$167=$B42)*(economics!$D$2:$D$167="process")*economics!$AH$2:$AH$167*(_xlfn.NORM.DIST(AF$3,economics!$AK$2:$AK$167,economics!$AJ$2:$AJ$167,TRUE)-_xlfn.NORM.DIST(AF$30,economics!$AK$2:$AK$167,economics!$AJ$2:$AJ$167,TRUE)))),"")</f>
        <v/>
      </c>
      <c r="AG42">
        <f t="array" ref="AG42">IFERROR((SUMPRODUCT((economics!$AG$2:$AG$167=$B42)*(economics!$D$2:$D$167="process")*economics!$AH$2:$AH$167*(_xlfn.NORM.DIST(AG$3,economics!$AK$2:$AK$167,economics!$AJ$2:$AJ$167,TRUE)-_xlfn.NORM.DIST(AG$30,economics!$AK$2:$AK$167,economics!$AJ$2:$AJ$167,TRUE))*economics!$AM$2:$AM$167))/(SUMPRODUCT((economics!$AG$2:$AG$167=$B42)*(economics!$D$2:$D$167="process")*economics!$AH$2:$AH$167*(_xlfn.NORM.DIST(AG$3,economics!$AK$2:$AK$167,economics!$AJ$2:$AJ$167,TRUE)-_xlfn.NORM.DIST(AG$30,economics!$AK$2:$AK$167,economics!$AJ$2:$AJ$167,TRUE)))),"")</f>
        <v/>
      </c>
      <c r="AH42">
        <f t="array" ref="AH42">IFERROR((SUMPRODUCT((economics!$AG$2:$AG$167=$B42)*(economics!$D$2:$D$167="process")*economics!$AH$2:$AH$167*(_xlfn.NORM.DIST(AH$3,economics!$AK$2:$AK$167,economics!$AJ$2:$AJ$167,TRUE)-_xlfn.NORM.DIST(AH$30,economics!$AK$2:$AK$167,economics!$AJ$2:$AJ$167,TRUE))*economics!$AM$2:$AM$167))/(SUMPRODUCT((economics!$AG$2:$AG$167=$B42)*(economics!$D$2:$D$167="process")*economics!$AH$2:$AH$167*(_xlfn.NORM.DIST(AH$3,economics!$AK$2:$AK$167,economics!$AJ$2:$AJ$167,TRUE)-_xlfn.NORM.DIST(AH$30,economics!$AK$2:$AK$167,economics!$AJ$2:$AJ$167,TRUE)))),"")</f>
        <v/>
      </c>
      <c r="AI42">
        <f t="array" ref="AI42">IFERROR((SUMPRODUCT((economics!$AG$2:$AG$167=$B42)*(economics!$D$2:$D$167="process")*economics!$AH$2:$AH$167*(_xlfn.NORM.DIST(AI$3,economics!$AK$2:$AK$167,economics!$AJ$2:$AJ$167,TRUE)-_xlfn.NORM.DIST(AI$30,economics!$AK$2:$AK$167,economics!$AJ$2:$AJ$167,TRUE))*economics!$AM$2:$AM$167))/(SUMPRODUCT((economics!$AG$2:$AG$167=$B42)*(economics!$D$2:$D$167="process")*economics!$AH$2:$AH$167*(_xlfn.NORM.DIST(AI$3,economics!$AK$2:$AK$167,economics!$AJ$2:$AJ$167,TRUE)-_xlfn.NORM.DIST(AI$30,economics!$AK$2:$AK$167,economics!$AJ$2:$AJ$167,TRUE)))),"")</f>
        <v/>
      </c>
      <c r="AJ42">
        <f t="array" ref="AJ42">IFERROR((SUMPRODUCT((economics!$AG$2:$AG$167=$B42)*(economics!$D$2:$D$167="process")*economics!$AH$2:$AH$167*(_xlfn.NORM.DIST(AJ$3,economics!$AK$2:$AK$167,economics!$AJ$2:$AJ$167,TRUE)-_xlfn.NORM.DIST(AJ$30,economics!$AK$2:$AK$167,economics!$AJ$2:$AJ$167,TRUE))*economics!$AM$2:$AM$167))/(SUMPRODUCT((economics!$AG$2:$AG$167=$B42)*(economics!$D$2:$D$167="process")*economics!$AH$2:$AH$167*(_xlfn.NORM.DIST(AJ$3,economics!$AK$2:$AK$167,economics!$AJ$2:$AJ$167,TRUE)-_xlfn.NORM.DIST(AJ$30,economics!$AK$2:$AK$167,economics!$AJ$2:$AJ$167,TRUE)))),"")</f>
        <v/>
      </c>
      <c r="AK42">
        <f t="array" ref="AK42">IFERROR((SUMPRODUCT((economics!$AG$2:$AG$167=$B42)*(economics!$D$2:$D$167="process")*economics!$AH$2:$AH$167*(_xlfn.NORM.DIST(AK$3,economics!$AK$2:$AK$167,economics!$AJ$2:$AJ$167,TRUE)-_xlfn.NORM.DIST(AK$30,economics!$AK$2:$AK$167,economics!$AJ$2:$AJ$167,TRUE))*economics!$AM$2:$AM$167))/(SUMPRODUCT((economics!$AG$2:$AG$167=$B42)*(economics!$D$2:$D$167="process")*economics!$AH$2:$AH$167*(_xlfn.NORM.DIST(AK$3,economics!$AK$2:$AK$167,economics!$AJ$2:$AJ$167,TRUE)-_xlfn.NORM.DIST(AK$30,economics!$AK$2:$AK$167,economics!$AJ$2:$AJ$167,TRUE)))),"")</f>
        <v/>
      </c>
      <c r="AL42">
        <f t="array" ref="AL42">IFERROR((SUMPRODUCT((economics!$AG$2:$AG$167=$B42)*(economics!$D$2:$D$167="process")*economics!$AH$2:$AH$167*(_xlfn.NORM.DIST(AL$3,economics!$AK$2:$AK$167,economics!$AJ$2:$AJ$167,TRUE)-_xlfn.NORM.DIST(AL$30,economics!$AK$2:$AK$167,economics!$AJ$2:$AJ$167,TRUE))*economics!$AM$2:$AM$167))/(SUMPRODUCT((economics!$AG$2:$AG$167=$B42)*(economics!$D$2:$D$167="process")*economics!$AH$2:$AH$167*(_xlfn.NORM.DIST(AL$3,economics!$AK$2:$AK$167,economics!$AJ$2:$AJ$167,TRUE)-_xlfn.NORM.DIST(AL$30,economics!$AK$2:$AK$167,economics!$AJ$2:$AJ$167,TRUE)))),"")</f>
        <v/>
      </c>
      <c r="AM42">
        <f t="array" ref="AM42">IFERROR((SUMPRODUCT((economics!$AG$2:$AG$167=$B42)*(economics!$D$2:$D$167="process")*economics!$AH$2:$AH$167*(_xlfn.NORM.DIST(AM$3,economics!$AK$2:$AK$167,economics!$AJ$2:$AJ$167,TRUE)-_xlfn.NORM.DIST(AM$30,economics!$AK$2:$AK$167,economics!$AJ$2:$AJ$167,TRUE))*economics!$AM$2:$AM$167))/(SUMPRODUCT((economics!$AG$2:$AG$167=$B42)*(economics!$D$2:$D$167="process")*economics!$AH$2:$AH$167*(_xlfn.NORM.DIST(AM$3,economics!$AK$2:$AK$167,economics!$AJ$2:$AJ$167,TRUE)-_xlfn.NORM.DIST(AM$30,economics!$AK$2:$AK$167,economics!$AJ$2:$AJ$167,TRUE)))),"")</f>
        <v/>
      </c>
      <c r="AN42">
        <f t="array" ref="AN42">IFERROR((SUMPRODUCT((economics!$AG$2:$AG$167=$B42)*(economics!$D$2:$D$167="process")*economics!$AH$2:$AH$167*(_xlfn.NORM.DIST(AN$3,economics!$AK$2:$AK$167,economics!$AJ$2:$AJ$167,TRUE)-_xlfn.NORM.DIST(AN$30,economics!$AK$2:$AK$167,economics!$AJ$2:$AJ$167,TRUE))*economics!$AM$2:$AM$167))/(SUMPRODUCT((economics!$AG$2:$AG$167=$B42)*(economics!$D$2:$D$167="process")*economics!$AH$2:$AH$167*(_xlfn.NORM.DIST(AN$3,economics!$AK$2:$AK$167,economics!$AJ$2:$AJ$167,TRUE)-_xlfn.NORM.DIST(AN$30,economics!$AK$2:$AK$167,economics!$AJ$2:$AJ$167,TRUE)))),"")</f>
        <v/>
      </c>
      <c r="AO42">
        <f t="array" ref="AO42">IFERROR((SUMPRODUCT((economics!$AG$2:$AG$167=$B42)*(economics!$D$2:$D$167="process")*economics!$AH$2:$AH$167*(_xlfn.NORM.DIST(AO$3,economics!$AK$2:$AK$167,economics!$AJ$2:$AJ$167,TRUE)-_xlfn.NORM.DIST(AO$30,economics!$AK$2:$AK$167,economics!$AJ$2:$AJ$167,TRUE))*economics!$AM$2:$AM$167))/(SUMPRODUCT((economics!$AG$2:$AG$167=$B42)*(economics!$D$2:$D$167="process")*economics!$AH$2:$AH$167*(_xlfn.NORM.DIST(AO$3,economics!$AK$2:$AK$167,economics!$AJ$2:$AJ$167,TRUE)-_xlfn.NORM.DIST(AO$30,economics!$AK$2:$AK$167,economics!$AJ$2:$AJ$167,TRUE)))),"")</f>
        <v/>
      </c>
      <c r="AP42">
        <f t="array" ref="AP42">IFERROR((SUMPRODUCT((economics!$AG$2:$AG$167=$B42)*(economics!$D$2:$D$167="process")*economics!$AH$2:$AH$167*(_xlfn.NORM.DIST(AP$3,economics!$AK$2:$AK$167,economics!$AJ$2:$AJ$167,TRUE)-_xlfn.NORM.DIST(AP$30,economics!$AK$2:$AK$167,economics!$AJ$2:$AJ$167,TRUE))*economics!$AM$2:$AM$167))/(SUMPRODUCT((economics!$AG$2:$AG$167=$B42)*(economics!$D$2:$D$167="process")*economics!$AH$2:$AH$167*(_xlfn.NORM.DIST(AP$3,economics!$AK$2:$AK$167,economics!$AJ$2:$AJ$167,TRUE)-_xlfn.NORM.DIST(AP$30,economics!$AK$2:$AK$167,economics!$AJ$2:$AJ$167,TRUE)))),"")</f>
        <v/>
      </c>
      <c r="AQ42">
        <f t="array" ref="AQ42">IFERROR((SUMPRODUCT((economics!$AG$2:$AG$167=$B42)*(economics!$D$2:$D$167="process")*economics!$AH$2:$AH$167*(_xlfn.NORM.DIST(AQ$3,economics!$AK$2:$AK$167,economics!$AJ$2:$AJ$167,TRUE)-_xlfn.NORM.DIST(AQ$30,economics!$AK$2:$AK$167,economics!$AJ$2:$AJ$167,TRUE))*economics!$AM$2:$AM$167))/(SUMPRODUCT((economics!$AG$2:$AG$167=$B42)*(economics!$D$2:$D$167="process")*economics!$AH$2:$AH$167*(_xlfn.NORM.DIST(AQ$3,economics!$AK$2:$AK$167,economics!$AJ$2:$AJ$167,TRUE)-_xlfn.NORM.DIST(AQ$30,economics!$AK$2:$AK$167,economics!$AJ$2:$AJ$167,TRUE)))),"")</f>
        <v/>
      </c>
      <c r="AR42">
        <f t="array" ref="AR42">IFERROR((SUMPRODUCT((economics!$AG$2:$AG$167=$B42)*(economics!$D$2:$D$167="process")*economics!$AH$2:$AH$167*(_xlfn.NORM.DIST(AR$3,economics!$AK$2:$AK$167,economics!$AJ$2:$AJ$167,TRUE)-_xlfn.NORM.DIST(AR$30,economics!$AK$2:$AK$167,economics!$AJ$2:$AJ$167,TRUE))*economics!$AM$2:$AM$167))/(SUMPRODUCT((economics!$AG$2:$AG$167=$B42)*(economics!$D$2:$D$167="process")*economics!$AH$2:$AH$167*(_xlfn.NORM.DIST(AR$3,economics!$AK$2:$AK$167,economics!$AJ$2:$AJ$167,TRUE)-_xlfn.NORM.DIST(AR$30,economics!$AK$2:$AK$167,economics!$AJ$2:$AJ$167,TRUE)))),"")</f>
        <v/>
      </c>
      <c r="AS42">
        <f t="array" ref="AS42">IFERROR((SUMPRODUCT((economics!$AG$2:$AG$167=$B42)*(economics!$D$2:$D$167="process")*economics!$AH$2:$AH$167*(_xlfn.NORM.DIST(AS$3,economics!$AK$2:$AK$167,economics!$AJ$2:$AJ$167,TRUE)-_xlfn.NORM.DIST(AS$30,economics!$AK$2:$AK$167,economics!$AJ$2:$AJ$167,TRUE))*economics!$AM$2:$AM$167))/(SUMPRODUCT((economics!$AG$2:$AG$167=$B42)*(economics!$D$2:$D$167="process")*economics!$AH$2:$AH$167*(_xlfn.NORM.DIST(AS$3,economics!$AK$2:$AK$167,economics!$AJ$2:$AJ$167,TRUE)-_xlfn.NORM.DIST(AS$30,economics!$AK$2:$AK$167,economics!$AJ$2:$AJ$167,TRUE)))),"")</f>
        <v/>
      </c>
      <c r="AT42">
        <f t="array" ref="AT42">IFERROR((SUMPRODUCT((economics!$AG$2:$AG$167=$B42)*(economics!$D$2:$D$167="process")*economics!$AH$2:$AH$167*(_xlfn.NORM.DIST(AT$3,economics!$AK$2:$AK$167,economics!$AJ$2:$AJ$167,TRUE)-_xlfn.NORM.DIST(AT$30,economics!$AK$2:$AK$167,economics!$AJ$2:$AJ$167,TRUE))*economics!$AM$2:$AM$167))/(SUMPRODUCT((economics!$AG$2:$AG$167=$B42)*(economics!$D$2:$D$167="process")*economics!$AH$2:$AH$167*(_xlfn.NORM.DIST(AT$3,economics!$AK$2:$AK$167,economics!$AJ$2:$AJ$167,TRUE)-_xlfn.NORM.DIST(AT$30,economics!$AK$2:$AK$167,economics!$AJ$2:$AJ$167,TRUE)))),"")</f>
        <v/>
      </c>
      <c r="AU42">
        <f t="array" ref="AU42">IFERROR((SUMPRODUCT((economics!$AG$2:$AG$167=$B42)*(economics!$D$2:$D$167="process")*economics!$AH$2:$AH$167*(_xlfn.NORM.DIST(AU$3,economics!$AK$2:$AK$167,economics!$AJ$2:$AJ$167,TRUE)-_xlfn.NORM.DIST(AU$30,economics!$AK$2:$AK$167,economics!$AJ$2:$AJ$167,TRUE))*economics!$AM$2:$AM$167))/(SUMPRODUCT((economics!$AG$2:$AG$167=$B42)*(economics!$D$2:$D$167="process")*economics!$AH$2:$AH$167*(_xlfn.NORM.DIST(AU$3,economics!$AK$2:$AK$167,economics!$AJ$2:$AJ$167,TRUE)-_xlfn.NORM.DIST(AU$30,economics!$AK$2:$AK$167,economics!$AJ$2:$AJ$167,TRUE)))),"")</f>
        <v/>
      </c>
      <c r="AV42">
        <f t="array" ref="AV42">IFERROR((SUMPRODUCT((economics!$AG$2:$AG$167=$B42)*(economics!$D$2:$D$167="process")*economics!$AH$2:$AH$167*(_xlfn.NORM.DIST(AV$3,economics!$AK$2:$AK$167,economics!$AJ$2:$AJ$167,TRUE)-_xlfn.NORM.DIST(AV$30,economics!$AK$2:$AK$167,economics!$AJ$2:$AJ$167,TRUE))*economics!$AM$2:$AM$167))/(SUMPRODUCT((economics!$AG$2:$AG$167=$B42)*(economics!$D$2:$D$167="process")*economics!$AH$2:$AH$167*(_xlfn.NORM.DIST(AV$3,economics!$AK$2:$AK$167,economics!$AJ$2:$AJ$167,TRUE)-_xlfn.NORM.DIST(AV$30,economics!$AK$2:$AK$167,economics!$AJ$2:$AJ$167,TRUE)))),"")</f>
        <v/>
      </c>
      <c r="AW42">
        <f t="array" ref="AW42">IFERROR((SUMPRODUCT((economics!$AG$2:$AG$167=$B42)*(economics!$D$2:$D$167="process")*economics!$AH$2:$AH$167*(_xlfn.NORM.DIST(AW$3,economics!$AK$2:$AK$167,economics!$AJ$2:$AJ$167,TRUE)-_xlfn.NORM.DIST(AW$30,economics!$AK$2:$AK$167,economics!$AJ$2:$AJ$167,TRUE))*economics!$AM$2:$AM$167))/(SUMPRODUCT((economics!$AG$2:$AG$167=$B42)*(economics!$D$2:$D$167="process")*economics!$AH$2:$AH$167*(_xlfn.NORM.DIST(AW$3,economics!$AK$2:$AK$167,economics!$AJ$2:$AJ$167,TRUE)-_xlfn.NORM.DIST(AW$30,economics!$AK$2:$AK$167,economics!$AJ$2:$AJ$167,TRUE)))),"")</f>
        <v/>
      </c>
      <c r="AX42">
        <f t="array" ref="AX42">IFERROR((SUMPRODUCT((economics!$AG$2:$AG$167=$B42)*(economics!$D$2:$D$167="process")*economics!$AH$2:$AH$167*(_xlfn.NORM.DIST(AX$3,economics!$AK$2:$AK$167,economics!$AJ$2:$AJ$167,TRUE)-_xlfn.NORM.DIST(AX$30,economics!$AK$2:$AK$167,economics!$AJ$2:$AJ$167,TRUE))*economics!$AM$2:$AM$167))/(SUMPRODUCT((economics!$AG$2:$AG$167=$B42)*(economics!$D$2:$D$167="process")*economics!$AH$2:$AH$167*(_xlfn.NORM.DIST(AX$3,economics!$AK$2:$AK$167,economics!$AJ$2:$AJ$167,TRUE)-_xlfn.NORM.DIST(AX$30,economics!$AK$2:$AK$167,economics!$AJ$2:$AJ$167,TRUE)))),"")</f>
        <v/>
      </c>
      <c r="AY42">
        <f t="array" ref="AY42">IFERROR((SUMPRODUCT((economics!$AG$2:$AG$167=$B42)*(economics!$D$2:$D$167="process")*economics!$AH$2:$AH$167*(_xlfn.NORM.DIST(AY$3,economics!$AK$2:$AK$167,economics!$AJ$2:$AJ$167,TRUE)-_xlfn.NORM.DIST(AY$30,economics!$AK$2:$AK$167,economics!$AJ$2:$AJ$167,TRUE))*economics!$AM$2:$AM$167))/(SUMPRODUCT((economics!$AG$2:$AG$167=$B42)*(economics!$D$2:$D$167="process")*economics!$AH$2:$AH$167*(_xlfn.NORM.DIST(AY$3,economics!$AK$2:$AK$167,economics!$AJ$2:$AJ$167,TRUE)-_xlfn.NORM.DIST(AY$30,economics!$AK$2:$AK$167,economics!$AJ$2:$AJ$167,TRUE)))),"")</f>
        <v/>
      </c>
      <c r="AZ42">
        <f t="array" ref="AZ42">IFERROR((SUMPRODUCT((economics!$AG$2:$AG$167=$B42)*(economics!$D$2:$D$167="process")*economics!$AH$2:$AH$167*(_xlfn.NORM.DIST(AZ$3,economics!$AK$2:$AK$167,economics!$AJ$2:$AJ$167,TRUE)-_xlfn.NORM.DIST(AZ$30,economics!$AK$2:$AK$167,economics!$AJ$2:$AJ$167,TRUE))*economics!$AM$2:$AM$167))/(SUMPRODUCT((economics!$AG$2:$AG$167=$B42)*(economics!$D$2:$D$167="process")*economics!$AH$2:$AH$167*(_xlfn.NORM.DIST(AZ$3,economics!$AK$2:$AK$167,economics!$AJ$2:$AJ$167,TRUE)-_xlfn.NORM.DIST(AZ$30,economics!$AK$2:$AK$167,economics!$AJ$2:$AJ$167,TRUE)))),"")</f>
        <v/>
      </c>
      <c r="BA42">
        <f t="array" ref="BA42">IFERROR((SUMPRODUCT((economics!$AG$2:$AG$167=$B42)*(economics!$D$2:$D$167="process")*economics!$AH$2:$AH$167*(_xlfn.NORM.DIST(BA$3,economics!$AK$2:$AK$167,economics!$AJ$2:$AJ$167,TRUE)-_xlfn.NORM.DIST(BA$30,economics!$AK$2:$AK$167,economics!$AJ$2:$AJ$167,TRUE))*economics!$AM$2:$AM$167))/(SUMPRODUCT((economics!$AG$2:$AG$167=$B42)*(economics!$D$2:$D$167="process")*economics!$AH$2:$AH$167*(_xlfn.NORM.DIST(BA$3,economics!$AK$2:$AK$167,economics!$AJ$2:$AJ$167,TRUE)-_xlfn.NORM.DIST(BA$30,economics!$AK$2:$AK$167,economics!$AJ$2:$AJ$167,TRUE)))),"")</f>
        <v/>
      </c>
      <c r="BB42">
        <f t="array" ref="BB42">IFERROR((SUMPRODUCT((economics!$AG$2:$AG$167=$B42)*(economics!$D$2:$D$167="process")*economics!$AH$2:$AH$167*(_xlfn.NORM.DIST(BB$3,economics!$AK$2:$AK$167,economics!$AJ$2:$AJ$167,TRUE)-_xlfn.NORM.DIST(BB$30,economics!$AK$2:$AK$167,economics!$AJ$2:$AJ$167,TRUE))*economics!$AM$2:$AM$167))/(SUMPRODUCT((economics!$AG$2:$AG$167=$B42)*(economics!$D$2:$D$167="process")*economics!$AH$2:$AH$167*(_xlfn.NORM.DIST(BB$3,economics!$AK$2:$AK$167,economics!$AJ$2:$AJ$167,TRUE)-_xlfn.NORM.DIST(BB$30,economics!$AK$2:$AK$167,economics!$AJ$2:$AJ$167,TRUE)))),"")</f>
        <v/>
      </c>
      <c r="BC42">
        <f t="array" ref="BC42">IFERROR((SUMPRODUCT((economics!$AG$2:$AG$167=$B42)*(economics!$D$2:$D$167="process")*economics!$AH$2:$AH$167*(_xlfn.NORM.DIST(BC$3,economics!$AK$2:$AK$167,economics!$AJ$2:$AJ$167,TRUE)-_xlfn.NORM.DIST(BC$30,economics!$AK$2:$AK$167,economics!$AJ$2:$AJ$167,TRUE))*economics!$AM$2:$AM$167))/(SUMPRODUCT((economics!$AG$2:$AG$167=$B42)*(economics!$D$2:$D$167="process")*economics!$AH$2:$AH$167*(_xlfn.NORM.DIST(BC$3,economics!$AK$2:$AK$167,economics!$AJ$2:$AJ$167,TRUE)-_xlfn.NORM.DIST(BC$30,economics!$AK$2:$AK$167,economics!$AJ$2:$AJ$167,TRUE)))),"")</f>
        <v/>
      </c>
      <c r="BD42">
        <f t="array" ref="BD42">IFERROR((SUMPRODUCT((economics!$AG$2:$AG$167=$B42)*(economics!$D$2:$D$167="process")*economics!$AH$2:$AH$167*(_xlfn.NORM.DIST(BD$3,economics!$AK$2:$AK$167,economics!$AJ$2:$AJ$167,TRUE)-_xlfn.NORM.DIST(BD$30,economics!$AK$2:$AK$167,economics!$AJ$2:$AJ$167,TRUE))*economics!$AM$2:$AM$167))/(SUMPRODUCT((economics!$AG$2:$AG$167=$B42)*(economics!$D$2:$D$167="process")*economics!$AH$2:$AH$167*(_xlfn.NORM.DIST(BD$3,economics!$AK$2:$AK$167,economics!$AJ$2:$AJ$167,TRUE)-_xlfn.NORM.DIST(BD$30,economics!$AK$2:$AK$167,economics!$AJ$2:$AJ$167,TRUE)))),"")</f>
        <v/>
      </c>
      <c r="BE42">
        <f t="array" ref="BE42">IFERROR((SUMPRODUCT((economics!$AG$2:$AG$167=$B42)*(economics!$D$2:$D$167="process")*economics!$AH$2:$AH$167*(_xlfn.NORM.DIST(BE$3,economics!$AK$2:$AK$167,economics!$AJ$2:$AJ$167,TRUE)-_xlfn.NORM.DIST(BE$30,economics!$AK$2:$AK$167,economics!$AJ$2:$AJ$167,TRUE))*economics!$AM$2:$AM$167))/(SUMPRODUCT((economics!$AG$2:$AG$167=$B42)*(economics!$D$2:$D$167="process")*economics!$AH$2:$AH$167*(_xlfn.NORM.DIST(BE$3,economics!$AK$2:$AK$167,economics!$AJ$2:$AJ$167,TRUE)-_xlfn.NORM.DIST(BE$30,economics!$AK$2:$AK$167,economics!$AJ$2:$AJ$167,TRUE)))),"")</f>
        <v/>
      </c>
      <c r="BF42">
        <f t="array" ref="BF42">IFERROR((SUMPRODUCT((economics!$AG$2:$AG$167=$B42)*(economics!$D$2:$D$167="process")*economics!$AH$2:$AH$167*(_xlfn.NORM.DIST(BF$3,economics!$AK$2:$AK$167,economics!$AJ$2:$AJ$167,TRUE)-_xlfn.NORM.DIST(BF$30,economics!$AK$2:$AK$167,economics!$AJ$2:$AJ$167,TRUE))*economics!$AM$2:$AM$167))/(SUMPRODUCT((economics!$AG$2:$AG$167=$B42)*(economics!$D$2:$D$167="process")*economics!$AH$2:$AH$167*(_xlfn.NORM.DIST(BF$3,economics!$AK$2:$AK$167,economics!$AJ$2:$AJ$167,TRUE)-_xlfn.NORM.DIST(BF$30,economics!$AK$2:$AK$167,economics!$AJ$2:$AJ$167,TRUE)))),"")</f>
        <v/>
      </c>
      <c r="BG42">
        <f t="array" ref="BG42">IFERROR((SUMPRODUCT((economics!$AG$2:$AG$167=$B42)*(economics!$D$2:$D$167="process")*economics!$AH$2:$AH$167*(_xlfn.NORM.DIST(BG$3,economics!$AK$2:$AK$167,economics!$AJ$2:$AJ$167,TRUE)-_xlfn.NORM.DIST(BG$30,economics!$AK$2:$AK$167,economics!$AJ$2:$AJ$167,TRUE))*economics!$AM$2:$AM$167))/(SUMPRODUCT((economics!$AG$2:$AG$167=$B42)*(economics!$D$2:$D$167="process")*economics!$AH$2:$AH$167*(_xlfn.NORM.DIST(BG$3,economics!$AK$2:$AK$167,economics!$AJ$2:$AJ$167,TRUE)-_xlfn.NORM.DIST(BG$30,economics!$AK$2:$AK$167,economics!$AJ$2:$AJ$167,TRUE)))),"")</f>
        <v/>
      </c>
      <c r="BH42">
        <f t="array" ref="BH42">IFERROR((SUMPRODUCT((economics!$AG$2:$AG$167=$B42)*(economics!$D$2:$D$167="process")*economics!$AH$2:$AH$167*(_xlfn.NORM.DIST(BH$3,economics!$AK$2:$AK$167,economics!$AJ$2:$AJ$167,TRUE)-_xlfn.NORM.DIST(BH$30,economics!$AK$2:$AK$167,economics!$AJ$2:$AJ$167,TRUE))*economics!$AM$2:$AM$167))/(SUMPRODUCT((economics!$AG$2:$AG$167=$B42)*(economics!$D$2:$D$167="process")*economics!$AH$2:$AH$167*(_xlfn.NORM.DIST(BH$3,economics!$AK$2:$AK$167,economics!$AJ$2:$AJ$167,TRUE)-_xlfn.NORM.DIST(BH$30,economics!$AK$2:$AK$167,economics!$AJ$2:$AJ$167,TRUE)))),"")</f>
        <v/>
      </c>
      <c r="BI42">
        <f t="array" ref="BI42">IFERROR((SUMPRODUCT((economics!$AG$2:$AG$167=$B42)*(economics!$D$2:$D$167="process")*economics!$AH$2:$AH$167*(_xlfn.NORM.DIST(BI$3,economics!$AK$2:$AK$167,economics!$AJ$2:$AJ$167,TRUE)-_xlfn.NORM.DIST(BI$30,economics!$AK$2:$AK$167,economics!$AJ$2:$AJ$167,TRUE))*economics!$AM$2:$AM$167))/(SUMPRODUCT((economics!$AG$2:$AG$167=$B42)*(economics!$D$2:$D$167="process")*economics!$AH$2:$AH$167*(_xlfn.NORM.DIST(BI$3,economics!$AK$2:$AK$167,economics!$AJ$2:$AJ$167,TRUE)-_xlfn.NORM.DIST(BI$30,economics!$AK$2:$AK$167,economics!$AJ$2:$AJ$167,TRUE)))),"")</f>
        <v/>
      </c>
      <c r="BJ42">
        <f t="array" ref="BJ42">IFERROR((SUMPRODUCT((economics!$AG$2:$AG$167=$B42)*(economics!$D$2:$D$167="process")*economics!$AH$2:$AH$167*(_xlfn.NORM.DIST(BJ$3,economics!$AK$2:$AK$167,economics!$AJ$2:$AJ$167,TRUE)-_xlfn.NORM.DIST(BJ$30,economics!$AK$2:$AK$167,economics!$AJ$2:$AJ$167,TRUE))*economics!$AM$2:$AM$167))/(SUMPRODUCT((economics!$AG$2:$AG$167=$B42)*(economics!$D$2:$D$167="process")*economics!$AH$2:$AH$167*(_xlfn.NORM.DIST(BJ$3,economics!$AK$2:$AK$167,economics!$AJ$2:$AJ$167,TRUE)-_xlfn.NORM.DIST(BJ$30,economics!$AK$2:$AK$167,economics!$AJ$2:$AJ$167,TRUE)))),"")</f>
        <v/>
      </c>
      <c r="BK42">
        <f t="array" ref="BK42">IFERROR((SUMPRODUCT((economics!$AG$2:$AG$167=$B42)*(economics!$D$2:$D$167="process")*economics!$AH$2:$AH$167*(_xlfn.NORM.DIST(BK$3,economics!$AK$2:$AK$167,economics!$AJ$2:$AJ$167,TRUE)-_xlfn.NORM.DIST(BK$30,economics!$AK$2:$AK$167,economics!$AJ$2:$AJ$167,TRUE))*economics!$AM$2:$AM$167))/(SUMPRODUCT((economics!$AG$2:$AG$167=$B42)*(economics!$D$2:$D$167="process")*economics!$AH$2:$AH$167*(_xlfn.NORM.DIST(BK$3,economics!$AK$2:$AK$167,economics!$AJ$2:$AJ$167,TRUE)-_xlfn.NORM.DIST(BK$30,economics!$AK$2:$AK$167,economics!$AJ$2:$AJ$167,TRUE)))),"")</f>
        <v/>
      </c>
      <c r="BL42">
        <f t="array" ref="BL42">IFERROR((SUMPRODUCT((economics!$AG$2:$AG$167=$B42)*(economics!$D$2:$D$167="process")*economics!$AH$2:$AH$167*(_xlfn.NORM.DIST(BL$3,economics!$AK$2:$AK$167,economics!$AJ$2:$AJ$167,TRUE)-_xlfn.NORM.DIST(BL$30,economics!$AK$2:$AK$167,economics!$AJ$2:$AJ$167,TRUE))*economics!$AM$2:$AM$167))/(SUMPRODUCT((economics!$AG$2:$AG$167=$B42)*(economics!$D$2:$D$167="process")*economics!$AH$2:$AH$167*(_xlfn.NORM.DIST(BL$3,economics!$AK$2:$AK$167,economics!$AJ$2:$AJ$167,TRUE)-_xlfn.NORM.DIST(BL$30,economics!$AK$2:$AK$167,economics!$AJ$2:$AJ$167,TRUE)))),"")</f>
        <v/>
      </c>
      <c r="BM42">
        <f t="array" ref="BM42">IFERROR((SUMPRODUCT((economics!$AG$2:$AG$167=$B42)*(economics!$D$2:$D$167="process")*economics!$AH$2:$AH$167*(_xlfn.NORM.DIST(BM$3,economics!$AK$2:$AK$167,economics!$AJ$2:$AJ$167,TRUE)-_xlfn.NORM.DIST(BM$30,economics!$AK$2:$AK$167,economics!$AJ$2:$AJ$167,TRUE))*economics!$AM$2:$AM$167))/(SUMPRODUCT((economics!$AG$2:$AG$167=$B42)*(economics!$D$2:$D$167="process")*economics!$AH$2:$AH$167*(_xlfn.NORM.DIST(BM$3,economics!$AK$2:$AK$167,economics!$AJ$2:$AJ$167,TRUE)-_xlfn.NORM.DIST(BM$30,economics!$AK$2:$AK$167,economics!$AJ$2:$AJ$167,TRUE)))),"")</f>
        <v/>
      </c>
      <c r="BN42">
        <f t="array" ref="BN42">IFERROR((SUMPRODUCT((economics!$AG$2:$AG$167=$B42)*(economics!$D$2:$D$167="process")*economics!$AH$2:$AH$167*(_xlfn.NORM.DIST(BN$3,economics!$AK$2:$AK$167,economics!$AJ$2:$AJ$167,TRUE)-_xlfn.NORM.DIST(BN$30,economics!$AK$2:$AK$167,economics!$AJ$2:$AJ$167,TRUE))*economics!$AM$2:$AM$167))/(SUMPRODUCT((economics!$AG$2:$AG$167=$B42)*(economics!$D$2:$D$167="process")*economics!$AH$2:$AH$167*(_xlfn.NORM.DIST(BN$3,economics!$AK$2:$AK$167,economics!$AJ$2:$AJ$167,TRUE)-_xlfn.NORM.DIST(BN$30,economics!$AK$2:$AK$167,economics!$AJ$2:$AJ$167,TRUE)))),"")</f>
        <v/>
      </c>
      <c r="BO42">
        <f t="array" ref="BO42">IFERROR((SUMPRODUCT((economics!$AG$2:$AG$167=$B42)*(economics!$D$2:$D$167="process")*economics!$AH$2:$AH$167*(_xlfn.NORM.DIST(BO$3,economics!$AK$2:$AK$167,economics!$AJ$2:$AJ$167,TRUE)-_xlfn.NORM.DIST(BO$30,economics!$AK$2:$AK$167,economics!$AJ$2:$AJ$167,TRUE))*economics!$AM$2:$AM$167))/(SUMPRODUCT((economics!$AG$2:$AG$167=$B42)*(economics!$D$2:$D$167="process")*economics!$AH$2:$AH$167*(_xlfn.NORM.DIST(BO$3,economics!$AK$2:$AK$167,economics!$AJ$2:$AJ$167,TRUE)-_xlfn.NORM.DIST(BO$30,economics!$AK$2:$AK$167,economics!$AJ$2:$AJ$167,TRUE)))),"")</f>
        <v/>
      </c>
      <c r="BP42">
        <f t="array" ref="BP42">IFERROR((SUMPRODUCT((economics!$AG$2:$AG$167=$B42)*(economics!$D$2:$D$167="process")*economics!$AH$2:$AH$167*(_xlfn.NORM.DIST(BP$3,economics!$AK$2:$AK$167,economics!$AJ$2:$AJ$167,TRUE)-_xlfn.NORM.DIST(BP$30,economics!$AK$2:$AK$167,economics!$AJ$2:$AJ$167,TRUE))*economics!$AM$2:$AM$167))/(SUMPRODUCT((economics!$AG$2:$AG$167=$B42)*(economics!$D$2:$D$167="process")*economics!$AH$2:$AH$167*(_xlfn.NORM.DIST(BP$3,economics!$AK$2:$AK$167,economics!$AJ$2:$AJ$167,TRUE)-_xlfn.NORM.DIST(BP$30,economics!$AK$2:$AK$167,economics!$AJ$2:$AJ$167,TRUE)))),"")</f>
        <v/>
      </c>
      <c r="BQ42">
        <f t="array" ref="BQ42">IFERROR((SUMPRODUCT((economics!$AG$2:$AG$167=$B42)*(economics!$D$2:$D$167="process")*economics!$AH$2:$AH$167*(_xlfn.NORM.DIST(BQ$3,economics!$AK$2:$AK$167,economics!$AJ$2:$AJ$167,TRUE)-_xlfn.NORM.DIST(BQ$30,economics!$AK$2:$AK$167,economics!$AJ$2:$AJ$167,TRUE))*economics!$AM$2:$AM$167))/(SUMPRODUCT((economics!$AG$2:$AG$167=$B42)*(economics!$D$2:$D$167="process")*economics!$AH$2:$AH$167*(_xlfn.NORM.DIST(BQ$3,economics!$AK$2:$AK$167,economics!$AJ$2:$AJ$167,TRUE)-_xlfn.NORM.DIST(BQ$30,economics!$AK$2:$AK$167,economics!$AJ$2:$AJ$167,TRUE)))),"")</f>
        <v/>
      </c>
      <c r="BR42">
        <f t="array" ref="BR42">IFERROR((SUMPRODUCT((economics!$AG$2:$AG$167=$B42)*(economics!$D$2:$D$167="process")*economics!$AH$2:$AH$167*(_xlfn.NORM.DIST(BR$3,economics!$AK$2:$AK$167,economics!$AJ$2:$AJ$167,TRUE)-_xlfn.NORM.DIST(BR$30,economics!$AK$2:$AK$167,economics!$AJ$2:$AJ$167,TRUE))*economics!$AM$2:$AM$167))/(SUMPRODUCT((economics!$AG$2:$AG$167=$B42)*(economics!$D$2:$D$167="process")*economics!$AH$2:$AH$167*(_xlfn.NORM.DIST(BR$3,economics!$AK$2:$AK$167,economics!$AJ$2:$AJ$167,TRUE)-_xlfn.NORM.DIST(BR$30,economics!$AK$2:$AK$167,economics!$AJ$2:$AJ$167,TRUE)))),"")</f>
        <v/>
      </c>
      <c r="BS42">
        <f t="array" ref="BS42">IFERROR((SUMPRODUCT((economics!$AG$2:$AG$167=$B42)*(economics!$D$2:$D$167="process")*economics!$AH$2:$AH$167*(_xlfn.NORM.DIST(BS$3,economics!$AK$2:$AK$167,economics!$AJ$2:$AJ$167,TRUE)-_xlfn.NORM.DIST(BS$30,economics!$AK$2:$AK$167,economics!$AJ$2:$AJ$167,TRUE))*economics!$AM$2:$AM$167))/(SUMPRODUCT((economics!$AG$2:$AG$167=$B42)*(economics!$D$2:$D$167="process")*economics!$AH$2:$AH$167*(_xlfn.NORM.DIST(BS$3,economics!$AK$2:$AK$167,economics!$AJ$2:$AJ$167,TRUE)-_xlfn.NORM.DIST(BS$30,economics!$AK$2:$AK$167,economics!$AJ$2:$AJ$167,TRUE)))),"")</f>
        <v/>
      </c>
      <c r="BT42">
        <f t="array" ref="BT42">IFERROR((SUMPRODUCT((economics!$AG$2:$AG$167=$B42)*(economics!$D$2:$D$167="process")*economics!$AH$2:$AH$167*(_xlfn.NORM.DIST(BT$3,economics!$AK$2:$AK$167,economics!$AJ$2:$AJ$167,TRUE)-_xlfn.NORM.DIST(BT$30,economics!$AK$2:$AK$167,economics!$AJ$2:$AJ$167,TRUE))*economics!$AM$2:$AM$167))/(SUMPRODUCT((economics!$AG$2:$AG$167=$B42)*(economics!$D$2:$D$167="process")*economics!$AH$2:$AH$167*(_xlfn.NORM.DIST(BT$3,economics!$AK$2:$AK$167,economics!$AJ$2:$AJ$167,TRUE)-_xlfn.NORM.DIST(BT$30,economics!$AK$2:$AK$167,economics!$AJ$2:$AJ$167,TRUE)))),"")</f>
        <v/>
      </c>
      <c r="BU42">
        <f t="array" ref="BU42">IFERROR((SUMPRODUCT((economics!$AG$2:$AG$167=$B42)*(economics!$D$2:$D$167="process")*economics!$AH$2:$AH$167*(_xlfn.NORM.DIST(BU$3,economics!$AK$2:$AK$167,economics!$AJ$2:$AJ$167,TRUE)-_xlfn.NORM.DIST(BU$30,economics!$AK$2:$AK$167,economics!$AJ$2:$AJ$167,TRUE))*economics!$AM$2:$AM$167))/(SUMPRODUCT((economics!$AG$2:$AG$167=$B42)*(economics!$D$2:$D$167="process")*economics!$AH$2:$AH$167*(_xlfn.NORM.DIST(BU$3,economics!$AK$2:$AK$167,economics!$AJ$2:$AJ$167,TRUE)-_xlfn.NORM.DIST(BU$30,economics!$AK$2:$AK$167,economics!$AJ$2:$AJ$167,TRUE)))),"")</f>
        <v/>
      </c>
      <c r="BV42">
        <f t="array" ref="BV42">IFERROR((SUMPRODUCT((economics!$AG$2:$AG$167=$B42)*(economics!$D$2:$D$167="process")*economics!$AH$2:$AH$167*(_xlfn.NORM.DIST(BV$3,economics!$AK$2:$AK$167,economics!$AJ$2:$AJ$167,TRUE)-_xlfn.NORM.DIST(BV$30,economics!$AK$2:$AK$167,economics!$AJ$2:$AJ$167,TRUE))*economics!$AM$2:$AM$167))/(SUMPRODUCT((economics!$AG$2:$AG$167=$B42)*(economics!$D$2:$D$167="process")*economics!$AH$2:$AH$167*(_xlfn.NORM.DIST(BV$3,economics!$AK$2:$AK$167,economics!$AJ$2:$AJ$167,TRUE)-_xlfn.NORM.DIST(BV$30,economics!$AK$2:$AK$167,economics!$AJ$2:$AJ$167,TRUE)))),"")</f>
        <v/>
      </c>
      <c r="BW42">
        <f t="array" ref="BW42">IFERROR((SUMPRODUCT((economics!$AG$2:$AG$167=$B42)*(economics!$D$2:$D$167="process")*economics!$AH$2:$AH$167*(_xlfn.NORM.DIST(BW$3,economics!$AK$2:$AK$167,economics!$AJ$2:$AJ$167,TRUE)-_xlfn.NORM.DIST(BW$30,economics!$AK$2:$AK$167,economics!$AJ$2:$AJ$167,TRUE))*economics!$AM$2:$AM$167))/(SUMPRODUCT((economics!$AG$2:$AG$167=$B42)*(economics!$D$2:$D$167="process")*economics!$AH$2:$AH$167*(_xlfn.NORM.DIST(BW$3,economics!$AK$2:$AK$167,economics!$AJ$2:$AJ$167,TRUE)-_xlfn.NORM.DIST(BW$30,economics!$AK$2:$AK$167,economics!$AJ$2:$AJ$167,TRUE)))),"")</f>
        <v/>
      </c>
      <c r="BX42">
        <f t="array" ref="BX42">IFERROR((SUMPRODUCT((economics!$AG$2:$AG$167=$B42)*(economics!$D$2:$D$167="process")*economics!$AH$2:$AH$167*(_xlfn.NORM.DIST(BX$3,economics!$AK$2:$AK$167,economics!$AJ$2:$AJ$167,TRUE)-_xlfn.NORM.DIST(BX$30,economics!$AK$2:$AK$167,economics!$AJ$2:$AJ$167,TRUE))*economics!$AM$2:$AM$167))/(SUMPRODUCT((economics!$AG$2:$AG$167=$B42)*(economics!$D$2:$D$167="process")*economics!$AH$2:$AH$167*(_xlfn.NORM.DIST(BX$3,economics!$AK$2:$AK$167,economics!$AJ$2:$AJ$167,TRUE)-_xlfn.NORM.DIST(BX$30,economics!$AK$2:$AK$167,economics!$AJ$2:$AJ$167,TRUE)))),"")</f>
        <v/>
      </c>
      <c r="BY42">
        <f t="array" ref="BY42">IFERROR((SUMPRODUCT((economics!$AG$2:$AG$167=$B42)*(economics!$D$2:$D$167="process")*economics!$AH$2:$AH$167*(_xlfn.NORM.DIST(BY$3,economics!$AK$2:$AK$167,economics!$AJ$2:$AJ$167,TRUE)-_xlfn.NORM.DIST(BY$30,economics!$AK$2:$AK$167,economics!$AJ$2:$AJ$167,TRUE))*economics!$AM$2:$AM$167))/(SUMPRODUCT((economics!$AG$2:$AG$167=$B42)*(economics!$D$2:$D$167="process")*economics!$AH$2:$AH$167*(_xlfn.NORM.DIST(BY$3,economics!$AK$2:$AK$167,economics!$AJ$2:$AJ$167,TRUE)-_xlfn.NORM.DIST(BY$30,economics!$AK$2:$AK$167,economics!$AJ$2:$AJ$167,TRUE)))),"")</f>
        <v/>
      </c>
      <c r="BZ42">
        <f t="array" ref="BZ42">IFERROR((SUMPRODUCT((economics!$AG$2:$AG$167=$B42)*(economics!$D$2:$D$167="process")*economics!$AH$2:$AH$167*(_xlfn.NORM.DIST(BZ$3,economics!$AK$2:$AK$167,economics!$AJ$2:$AJ$167,TRUE)-_xlfn.NORM.DIST(BZ$30,economics!$AK$2:$AK$167,economics!$AJ$2:$AJ$167,TRUE))*economics!$AM$2:$AM$167))/(SUMPRODUCT((economics!$AG$2:$AG$167=$B42)*(economics!$D$2:$D$167="process")*economics!$AH$2:$AH$167*(_xlfn.NORM.DIST(BZ$3,economics!$AK$2:$AK$167,economics!$AJ$2:$AJ$167,TRUE)-_xlfn.NORM.DIST(BZ$30,economics!$AK$2:$AK$167,economics!$AJ$2:$AJ$167,TRUE)))),"")</f>
        <v/>
      </c>
      <c r="CA42">
        <f t="array" ref="CA42">IFERROR((SUMPRODUCT((economics!$AG$2:$AG$167=$B42)*(economics!$D$2:$D$167="process")*economics!$AH$2:$AH$167*(_xlfn.NORM.DIST(CA$3,economics!$AK$2:$AK$167,economics!$AJ$2:$AJ$167,TRUE)-_xlfn.NORM.DIST(CA$30,economics!$AK$2:$AK$167,economics!$AJ$2:$AJ$167,TRUE))*economics!$AM$2:$AM$167))/(SUMPRODUCT((economics!$AG$2:$AG$167=$B42)*(economics!$D$2:$D$167="process")*economics!$AH$2:$AH$167*(_xlfn.NORM.DIST(CA$3,economics!$AK$2:$AK$167,economics!$AJ$2:$AJ$167,TRUE)-_xlfn.NORM.DIST(CA$30,economics!$AK$2:$AK$167,economics!$AJ$2:$AJ$167,TRUE)))),"")</f>
        <v/>
      </c>
      <c r="CB42">
        <f t="array" ref="CB42">IFERROR((SUMPRODUCT((economics!$AG$2:$AG$167=$B42)*(economics!$D$2:$D$167="process")*economics!$AH$2:$AH$167*(_xlfn.NORM.DIST(CB$3,economics!$AK$2:$AK$167,economics!$AJ$2:$AJ$167,TRUE)-_xlfn.NORM.DIST(CB$30,economics!$AK$2:$AK$167,economics!$AJ$2:$AJ$167,TRUE))*economics!$AM$2:$AM$167))/(SUMPRODUCT((economics!$AG$2:$AG$167=$B42)*(economics!$D$2:$D$167="process")*economics!$AH$2:$AH$167*(_xlfn.NORM.DIST(CB$3,economics!$AK$2:$AK$167,economics!$AJ$2:$AJ$167,TRUE)-_xlfn.NORM.DIST(CB$30,economics!$AK$2:$AK$167,economics!$AJ$2:$AJ$167,TRUE)))),"")</f>
        <v/>
      </c>
      <c r="CC42">
        <f t="array" ref="CC42">IFERROR((SUMPRODUCT((economics!$AG$2:$AG$167=$B42)*(economics!$D$2:$D$167="process")*economics!$AH$2:$AH$167*(_xlfn.NORM.DIST(CC$3,economics!$AK$2:$AK$167,economics!$AJ$2:$AJ$167,TRUE)-_xlfn.NORM.DIST(CC$30,economics!$AK$2:$AK$167,economics!$AJ$2:$AJ$167,TRUE))*economics!$AM$2:$AM$167))/(SUMPRODUCT((economics!$AG$2:$AG$167=$B42)*(economics!$D$2:$D$167="process")*economics!$AH$2:$AH$167*(_xlfn.NORM.DIST(CC$3,economics!$AK$2:$AK$167,economics!$AJ$2:$AJ$167,TRUE)-_xlfn.NORM.DIST(CC$30,economics!$AK$2:$AK$167,economics!$AJ$2:$AJ$167,TRUE)))),"")</f>
        <v/>
      </c>
      <c r="CD42">
        <f t="array" ref="CD42">IFERROR((SUMPRODUCT((economics!$AG$2:$AG$167=$B42)*(economics!$D$2:$D$167="process")*economics!$AH$2:$AH$167*(_xlfn.NORM.DIST(CD$3,economics!$AK$2:$AK$167,economics!$AJ$2:$AJ$167,TRUE)-_xlfn.NORM.DIST(CD$30,economics!$AK$2:$AK$167,economics!$AJ$2:$AJ$167,TRUE))*economics!$AM$2:$AM$167))/(SUMPRODUCT((economics!$AG$2:$AG$167=$B42)*(economics!$D$2:$D$167="process")*economics!$AH$2:$AH$167*(_xlfn.NORM.DIST(CD$3,economics!$AK$2:$AK$167,economics!$AJ$2:$AJ$167,TRUE)-_xlfn.NORM.DIST(CD$30,economics!$AK$2:$AK$167,economics!$AJ$2:$AJ$167,TRUE)))),"")</f>
        <v/>
      </c>
      <c r="CE42">
        <f t="array" ref="CE42">IFERROR((SUMPRODUCT((economics!$AG$2:$AG$167=$B42)*(economics!$D$2:$D$167="process")*economics!$AH$2:$AH$167*(_xlfn.NORM.DIST(CE$3,economics!$AK$2:$AK$167,economics!$AJ$2:$AJ$167,TRUE)-_xlfn.NORM.DIST(CE$30,economics!$AK$2:$AK$167,economics!$AJ$2:$AJ$167,TRUE))*economics!$AM$2:$AM$167))/(SUMPRODUCT((economics!$AG$2:$AG$167=$B42)*(economics!$D$2:$D$167="process")*economics!$AH$2:$AH$167*(_xlfn.NORM.DIST(CE$3,economics!$AK$2:$AK$167,economics!$AJ$2:$AJ$167,TRUE)-_xlfn.NORM.DIST(CE$30,economics!$AK$2:$AK$167,economics!$AJ$2:$AJ$167,TRUE)))),"")</f>
        <v/>
      </c>
      <c r="CF42">
        <f t="array" ref="CF42">IFERROR((SUMPRODUCT((economics!$AG$2:$AG$167=$B42)*(economics!$D$2:$D$167="process")*economics!$AH$2:$AH$167*(_xlfn.NORM.DIST(CF$3,economics!$AK$2:$AK$167,economics!$AJ$2:$AJ$167,TRUE)-_xlfn.NORM.DIST(CF$30,economics!$AK$2:$AK$167,economics!$AJ$2:$AJ$167,TRUE))*economics!$AM$2:$AM$167))/(SUMPRODUCT((economics!$AG$2:$AG$167=$B42)*(economics!$D$2:$D$167="process")*economics!$AH$2:$AH$167*(_xlfn.NORM.DIST(CF$3,economics!$AK$2:$AK$167,economics!$AJ$2:$AJ$167,TRUE)-_xlfn.NORM.DIST(CF$30,economics!$AK$2:$AK$167,economics!$AJ$2:$AJ$167,TRUE)))),"")</f>
        <v/>
      </c>
      <c r="CG42">
        <f t="array" ref="CG42">IFERROR((SUMPRODUCT((economics!$AG$2:$AG$167=$B42)*(economics!$D$2:$D$167="process")*economics!$AH$2:$AH$167*(_xlfn.NORM.DIST(CG$3,economics!$AK$2:$AK$167,economics!$AJ$2:$AJ$167,TRUE)-_xlfn.NORM.DIST(CG$30,economics!$AK$2:$AK$167,economics!$AJ$2:$AJ$167,TRUE))*economics!$AM$2:$AM$167))/(SUMPRODUCT((economics!$AG$2:$AG$167=$B42)*(economics!$D$2:$D$167="process")*economics!$AH$2:$AH$167*(_xlfn.NORM.DIST(CG$3,economics!$AK$2:$AK$167,economics!$AJ$2:$AJ$167,TRUE)-_xlfn.NORM.DIST(CG$30,economics!$AK$2:$AK$167,economics!$AJ$2:$AJ$167,TRUE)))),"")</f>
        <v/>
      </c>
      <c r="CH42">
        <f t="array" ref="CH42">IFERROR((SUMPRODUCT((economics!$AG$2:$AG$167=$B42)*(economics!$D$2:$D$167="process")*economics!$AH$2:$AH$167*(_xlfn.NORM.DIST(CH$3,economics!$AK$2:$AK$167,economics!$AJ$2:$AJ$167,TRUE)-_xlfn.NORM.DIST(CH$30,economics!$AK$2:$AK$167,economics!$AJ$2:$AJ$167,TRUE))*economics!$AM$2:$AM$167))/(SUMPRODUCT((economics!$AG$2:$AG$167=$B42)*(economics!$D$2:$D$167="process")*economics!$AH$2:$AH$167*(_xlfn.NORM.DIST(CH$3,economics!$AK$2:$AK$167,economics!$AJ$2:$AJ$167,TRUE)-_xlfn.NORM.DIST(CH$30,economics!$AK$2:$AK$167,economics!$AJ$2:$AJ$167,TRUE)))),"")</f>
        <v/>
      </c>
    </row>
    <row r="43">
      <c r="A43">
        <f>A14</f>
        <v/>
      </c>
      <c r="B43">
        <f>B14</f>
        <v/>
      </c>
      <c r="E43">
        <f t="array" ref="E43">IFERROR((SUMPRODUCT((economics!$AG$2:$AG$167=$B43)*(economics!$D$2:$D$167="process")*economics!$AH$2:$AH$167*(_xlfn.NORM.DIST(E$3,economics!$AK$2:$AK$167,economics!$AJ$2:$AJ$167,TRUE)-_xlfn.NORM.DIST(E$30,economics!$AK$2:$AK$167,economics!$AJ$2:$AJ$167,TRUE))*economics!$AM$2:$AM$167))/(SUMPRODUCT((economics!$AG$2:$AG$167=$B43)*(economics!$D$2:$D$167="process")*economics!$AH$2:$AH$167*(_xlfn.NORM.DIST(E$3,economics!$AK$2:$AK$167,economics!$AJ$2:$AJ$167,TRUE)-_xlfn.NORM.DIST(E$30,economics!$AK$2:$AK$167,economics!$AJ$2:$AJ$167,TRUE)))),"")</f>
        <v/>
      </c>
      <c r="F43">
        <f t="array" ref="F43">IFERROR((SUMPRODUCT((economics!$AG$2:$AG$167=$B43)*(economics!$D$2:$D$167="process")*economics!$AH$2:$AH$167*(_xlfn.NORM.DIST(F$3,economics!$AK$2:$AK$167,economics!$AJ$2:$AJ$167,TRUE)-_xlfn.NORM.DIST(F$30,economics!$AK$2:$AK$167,economics!$AJ$2:$AJ$167,TRUE))*economics!$AM$2:$AM$167))/(SUMPRODUCT((economics!$AG$2:$AG$167=$B43)*(economics!$D$2:$D$167="process")*economics!$AH$2:$AH$167*(_xlfn.NORM.DIST(F$3,economics!$AK$2:$AK$167,economics!$AJ$2:$AJ$167,TRUE)-_xlfn.NORM.DIST(F$30,economics!$AK$2:$AK$167,economics!$AJ$2:$AJ$167,TRUE)))),"")</f>
        <v/>
      </c>
      <c r="G43">
        <f t="array" ref="G43">IFERROR((SUMPRODUCT((economics!$AG$2:$AG$167=$B43)*(economics!$D$2:$D$167="process")*economics!$AH$2:$AH$167*(_xlfn.NORM.DIST(G$3,economics!$AK$2:$AK$167,economics!$AJ$2:$AJ$167,TRUE)-_xlfn.NORM.DIST(G$30,economics!$AK$2:$AK$167,economics!$AJ$2:$AJ$167,TRUE))*economics!$AM$2:$AM$167))/(SUMPRODUCT((economics!$AG$2:$AG$167=$B43)*(economics!$D$2:$D$167="process")*economics!$AH$2:$AH$167*(_xlfn.NORM.DIST(G$3,economics!$AK$2:$AK$167,economics!$AJ$2:$AJ$167,TRUE)-_xlfn.NORM.DIST(G$30,economics!$AK$2:$AK$167,economics!$AJ$2:$AJ$167,TRUE)))),"")</f>
        <v/>
      </c>
      <c r="H43">
        <f t="array" ref="H43">IFERROR((SUMPRODUCT((economics!$AG$2:$AG$167=$B43)*(economics!$D$2:$D$167="process")*economics!$AH$2:$AH$167*(_xlfn.NORM.DIST(H$3,economics!$AK$2:$AK$167,economics!$AJ$2:$AJ$167,TRUE)-_xlfn.NORM.DIST(H$30,economics!$AK$2:$AK$167,economics!$AJ$2:$AJ$167,TRUE))*economics!$AM$2:$AM$167))/(SUMPRODUCT((economics!$AG$2:$AG$167=$B43)*(economics!$D$2:$D$167="process")*economics!$AH$2:$AH$167*(_xlfn.NORM.DIST(H$3,economics!$AK$2:$AK$167,economics!$AJ$2:$AJ$167,TRUE)-_xlfn.NORM.DIST(H$30,economics!$AK$2:$AK$167,economics!$AJ$2:$AJ$167,TRUE)))),"")</f>
        <v/>
      </c>
      <c r="I43">
        <f t="array" ref="I43">IFERROR((SUMPRODUCT((economics!$AG$2:$AG$167=$B43)*(economics!$D$2:$D$167="process")*economics!$AH$2:$AH$167*(_xlfn.NORM.DIST(I$3,economics!$AK$2:$AK$167,economics!$AJ$2:$AJ$167,TRUE)-_xlfn.NORM.DIST(I$30,economics!$AK$2:$AK$167,economics!$AJ$2:$AJ$167,TRUE))*economics!$AM$2:$AM$167))/(SUMPRODUCT((economics!$AG$2:$AG$167=$B43)*(economics!$D$2:$D$167="process")*economics!$AH$2:$AH$167*(_xlfn.NORM.DIST(I$3,economics!$AK$2:$AK$167,economics!$AJ$2:$AJ$167,TRUE)-_xlfn.NORM.DIST(I$30,economics!$AK$2:$AK$167,economics!$AJ$2:$AJ$167,TRUE)))),"")</f>
        <v/>
      </c>
      <c r="J43">
        <f t="array" ref="J43">IFERROR((SUMPRODUCT((economics!$AG$2:$AG$167=$B43)*(economics!$D$2:$D$167="process")*economics!$AH$2:$AH$167*(_xlfn.NORM.DIST(J$3,economics!$AK$2:$AK$167,economics!$AJ$2:$AJ$167,TRUE)-_xlfn.NORM.DIST(J$30,economics!$AK$2:$AK$167,economics!$AJ$2:$AJ$167,TRUE))*economics!$AM$2:$AM$167))/(SUMPRODUCT((economics!$AG$2:$AG$167=$B43)*(economics!$D$2:$D$167="process")*economics!$AH$2:$AH$167*(_xlfn.NORM.DIST(J$3,economics!$AK$2:$AK$167,economics!$AJ$2:$AJ$167,TRUE)-_xlfn.NORM.DIST(J$30,economics!$AK$2:$AK$167,economics!$AJ$2:$AJ$167,TRUE)))),"")</f>
        <v/>
      </c>
      <c r="K43">
        <f t="array" ref="K43">IFERROR((SUMPRODUCT((economics!$AG$2:$AG$167=$B43)*(economics!$D$2:$D$167="process")*economics!$AH$2:$AH$167*(_xlfn.NORM.DIST(K$3,economics!$AK$2:$AK$167,economics!$AJ$2:$AJ$167,TRUE)-_xlfn.NORM.DIST(K$30,economics!$AK$2:$AK$167,economics!$AJ$2:$AJ$167,TRUE))*economics!$AM$2:$AM$167))/(SUMPRODUCT((economics!$AG$2:$AG$167=$B43)*(economics!$D$2:$D$167="process")*economics!$AH$2:$AH$167*(_xlfn.NORM.DIST(K$3,economics!$AK$2:$AK$167,economics!$AJ$2:$AJ$167,TRUE)-_xlfn.NORM.DIST(K$30,economics!$AK$2:$AK$167,economics!$AJ$2:$AJ$167,TRUE)))),"")</f>
        <v/>
      </c>
      <c r="L43">
        <f t="array" ref="L43">IFERROR((SUMPRODUCT((economics!$AG$2:$AG$167=$B43)*(economics!$D$2:$D$167="process")*economics!$AH$2:$AH$167*(_xlfn.NORM.DIST(L$3,economics!$AK$2:$AK$167,economics!$AJ$2:$AJ$167,TRUE)-_xlfn.NORM.DIST(L$30,economics!$AK$2:$AK$167,economics!$AJ$2:$AJ$167,TRUE))*economics!$AM$2:$AM$167))/(SUMPRODUCT((economics!$AG$2:$AG$167=$B43)*(economics!$D$2:$D$167="process")*economics!$AH$2:$AH$167*(_xlfn.NORM.DIST(L$3,economics!$AK$2:$AK$167,economics!$AJ$2:$AJ$167,TRUE)-_xlfn.NORM.DIST(L$30,economics!$AK$2:$AK$167,economics!$AJ$2:$AJ$167,TRUE)))),"")</f>
        <v/>
      </c>
      <c r="M43">
        <f t="array" ref="M43">IFERROR((SUMPRODUCT((economics!$AG$2:$AG$167=$B43)*(economics!$D$2:$D$167="process")*economics!$AH$2:$AH$167*(_xlfn.NORM.DIST(M$3,economics!$AK$2:$AK$167,economics!$AJ$2:$AJ$167,TRUE)-_xlfn.NORM.DIST(M$30,economics!$AK$2:$AK$167,economics!$AJ$2:$AJ$167,TRUE))*economics!$AM$2:$AM$167))/(SUMPRODUCT((economics!$AG$2:$AG$167=$B43)*(economics!$D$2:$D$167="process")*economics!$AH$2:$AH$167*(_xlfn.NORM.DIST(M$3,economics!$AK$2:$AK$167,economics!$AJ$2:$AJ$167,TRUE)-_xlfn.NORM.DIST(M$30,economics!$AK$2:$AK$167,economics!$AJ$2:$AJ$167,TRUE)))),"")</f>
        <v/>
      </c>
      <c r="N43">
        <f t="array" ref="N43">IFERROR((SUMPRODUCT((economics!$AG$2:$AG$167=$B43)*(economics!$D$2:$D$167="process")*economics!$AH$2:$AH$167*(_xlfn.NORM.DIST(N$3,economics!$AK$2:$AK$167,economics!$AJ$2:$AJ$167,TRUE)-_xlfn.NORM.DIST(N$30,economics!$AK$2:$AK$167,economics!$AJ$2:$AJ$167,TRUE))*economics!$AM$2:$AM$167))/(SUMPRODUCT((economics!$AG$2:$AG$167=$B43)*(economics!$D$2:$D$167="process")*economics!$AH$2:$AH$167*(_xlfn.NORM.DIST(N$3,economics!$AK$2:$AK$167,economics!$AJ$2:$AJ$167,TRUE)-_xlfn.NORM.DIST(N$30,economics!$AK$2:$AK$167,economics!$AJ$2:$AJ$167,TRUE)))),"")</f>
        <v/>
      </c>
      <c r="O43">
        <f t="array" ref="O43">IFERROR((SUMPRODUCT((economics!$AG$2:$AG$167=$B43)*(economics!$D$2:$D$167="process")*economics!$AH$2:$AH$167*(_xlfn.NORM.DIST(O$3,economics!$AK$2:$AK$167,economics!$AJ$2:$AJ$167,TRUE)-_xlfn.NORM.DIST(O$30,economics!$AK$2:$AK$167,economics!$AJ$2:$AJ$167,TRUE))*economics!$AM$2:$AM$167))/(SUMPRODUCT((economics!$AG$2:$AG$167=$B43)*(economics!$D$2:$D$167="process")*economics!$AH$2:$AH$167*(_xlfn.NORM.DIST(O$3,economics!$AK$2:$AK$167,economics!$AJ$2:$AJ$167,TRUE)-_xlfn.NORM.DIST(O$30,economics!$AK$2:$AK$167,economics!$AJ$2:$AJ$167,TRUE)))),"")</f>
        <v/>
      </c>
      <c r="P43">
        <f t="array" ref="P43">IFERROR((SUMPRODUCT((economics!$AG$2:$AG$167=$B43)*(economics!$D$2:$D$167="process")*economics!$AH$2:$AH$167*(_xlfn.NORM.DIST(P$3,economics!$AK$2:$AK$167,economics!$AJ$2:$AJ$167,TRUE)-_xlfn.NORM.DIST(P$30,economics!$AK$2:$AK$167,economics!$AJ$2:$AJ$167,TRUE))*economics!$AM$2:$AM$167))/(SUMPRODUCT((economics!$AG$2:$AG$167=$B43)*(economics!$D$2:$D$167="process")*economics!$AH$2:$AH$167*(_xlfn.NORM.DIST(P$3,economics!$AK$2:$AK$167,economics!$AJ$2:$AJ$167,TRUE)-_xlfn.NORM.DIST(P$30,economics!$AK$2:$AK$167,economics!$AJ$2:$AJ$167,TRUE)))),"")</f>
        <v/>
      </c>
      <c r="Q43">
        <f t="array" ref="Q43">IFERROR((SUMPRODUCT((economics!$AG$2:$AG$167=$B43)*(economics!$D$2:$D$167="process")*economics!$AH$2:$AH$167*(_xlfn.NORM.DIST(Q$3,economics!$AK$2:$AK$167,economics!$AJ$2:$AJ$167,TRUE)-_xlfn.NORM.DIST(Q$30,economics!$AK$2:$AK$167,economics!$AJ$2:$AJ$167,TRUE))*economics!$AM$2:$AM$167))/(SUMPRODUCT((economics!$AG$2:$AG$167=$B43)*(economics!$D$2:$D$167="process")*economics!$AH$2:$AH$167*(_xlfn.NORM.DIST(Q$3,economics!$AK$2:$AK$167,economics!$AJ$2:$AJ$167,TRUE)-_xlfn.NORM.DIST(Q$30,economics!$AK$2:$AK$167,economics!$AJ$2:$AJ$167,TRUE)))),"")</f>
        <v/>
      </c>
      <c r="R43">
        <f t="array" ref="R43">IFERROR((SUMPRODUCT((economics!$AG$2:$AG$167=$B43)*(economics!$D$2:$D$167="process")*economics!$AH$2:$AH$167*(_xlfn.NORM.DIST(R$3,economics!$AK$2:$AK$167,economics!$AJ$2:$AJ$167,TRUE)-_xlfn.NORM.DIST(R$30,economics!$AK$2:$AK$167,economics!$AJ$2:$AJ$167,TRUE))*economics!$AM$2:$AM$167))/(SUMPRODUCT((economics!$AG$2:$AG$167=$B43)*(economics!$D$2:$D$167="process")*economics!$AH$2:$AH$167*(_xlfn.NORM.DIST(R$3,economics!$AK$2:$AK$167,economics!$AJ$2:$AJ$167,TRUE)-_xlfn.NORM.DIST(R$30,economics!$AK$2:$AK$167,economics!$AJ$2:$AJ$167,TRUE)))),"")</f>
        <v/>
      </c>
      <c r="S43">
        <f t="array" ref="S43">IFERROR((SUMPRODUCT((economics!$AG$2:$AG$167=$B43)*(economics!$D$2:$D$167="process")*economics!$AH$2:$AH$167*(_xlfn.NORM.DIST(S$3,economics!$AK$2:$AK$167,economics!$AJ$2:$AJ$167,TRUE)-_xlfn.NORM.DIST(S$30,economics!$AK$2:$AK$167,economics!$AJ$2:$AJ$167,TRUE))*economics!$AM$2:$AM$167))/(SUMPRODUCT((economics!$AG$2:$AG$167=$B43)*(economics!$D$2:$D$167="process")*economics!$AH$2:$AH$167*(_xlfn.NORM.DIST(S$3,economics!$AK$2:$AK$167,economics!$AJ$2:$AJ$167,TRUE)-_xlfn.NORM.DIST(S$30,economics!$AK$2:$AK$167,economics!$AJ$2:$AJ$167,TRUE)))),"")</f>
        <v/>
      </c>
      <c r="T43">
        <f t="array" ref="T43">IFERROR((SUMPRODUCT((economics!$AG$2:$AG$167=$B43)*(economics!$D$2:$D$167="process")*economics!$AH$2:$AH$167*(_xlfn.NORM.DIST(T$3,economics!$AK$2:$AK$167,economics!$AJ$2:$AJ$167,TRUE)-_xlfn.NORM.DIST(T$30,economics!$AK$2:$AK$167,economics!$AJ$2:$AJ$167,TRUE))*economics!$AM$2:$AM$167))/(SUMPRODUCT((economics!$AG$2:$AG$167=$B43)*(economics!$D$2:$D$167="process")*economics!$AH$2:$AH$167*(_xlfn.NORM.DIST(T$3,economics!$AK$2:$AK$167,economics!$AJ$2:$AJ$167,TRUE)-_xlfn.NORM.DIST(T$30,economics!$AK$2:$AK$167,economics!$AJ$2:$AJ$167,TRUE)))),"")</f>
        <v/>
      </c>
      <c r="U43">
        <f t="array" ref="U43">IFERROR((SUMPRODUCT((economics!$AG$2:$AG$167=$B43)*(economics!$D$2:$D$167="process")*economics!$AH$2:$AH$167*(_xlfn.NORM.DIST(U$3,economics!$AK$2:$AK$167,economics!$AJ$2:$AJ$167,TRUE)-_xlfn.NORM.DIST(U$30,economics!$AK$2:$AK$167,economics!$AJ$2:$AJ$167,TRUE))*economics!$AM$2:$AM$167))/(SUMPRODUCT((economics!$AG$2:$AG$167=$B43)*(economics!$D$2:$D$167="process")*economics!$AH$2:$AH$167*(_xlfn.NORM.DIST(U$3,economics!$AK$2:$AK$167,economics!$AJ$2:$AJ$167,TRUE)-_xlfn.NORM.DIST(U$30,economics!$AK$2:$AK$167,economics!$AJ$2:$AJ$167,TRUE)))),"")</f>
        <v/>
      </c>
      <c r="V43">
        <f t="array" ref="V43">IFERROR((SUMPRODUCT((economics!$AG$2:$AG$167=$B43)*(economics!$D$2:$D$167="process")*economics!$AH$2:$AH$167*(_xlfn.NORM.DIST(V$3,economics!$AK$2:$AK$167,economics!$AJ$2:$AJ$167,TRUE)-_xlfn.NORM.DIST(V$30,economics!$AK$2:$AK$167,economics!$AJ$2:$AJ$167,TRUE))*economics!$AM$2:$AM$167))/(SUMPRODUCT((economics!$AG$2:$AG$167=$B43)*(economics!$D$2:$D$167="process")*economics!$AH$2:$AH$167*(_xlfn.NORM.DIST(V$3,economics!$AK$2:$AK$167,economics!$AJ$2:$AJ$167,TRUE)-_xlfn.NORM.DIST(V$30,economics!$AK$2:$AK$167,economics!$AJ$2:$AJ$167,TRUE)))),"")</f>
        <v/>
      </c>
      <c r="W43">
        <f t="array" ref="W43">IFERROR((SUMPRODUCT((economics!$AG$2:$AG$167=$B43)*(economics!$D$2:$D$167="process")*economics!$AH$2:$AH$167*(_xlfn.NORM.DIST(W$3,economics!$AK$2:$AK$167,economics!$AJ$2:$AJ$167,TRUE)-_xlfn.NORM.DIST(W$30,economics!$AK$2:$AK$167,economics!$AJ$2:$AJ$167,TRUE))*economics!$AM$2:$AM$167))/(SUMPRODUCT((economics!$AG$2:$AG$167=$B43)*(economics!$D$2:$D$167="process")*economics!$AH$2:$AH$167*(_xlfn.NORM.DIST(W$3,economics!$AK$2:$AK$167,economics!$AJ$2:$AJ$167,TRUE)-_xlfn.NORM.DIST(W$30,economics!$AK$2:$AK$167,economics!$AJ$2:$AJ$167,TRUE)))),"")</f>
        <v/>
      </c>
      <c r="X43">
        <f t="array" ref="X43">IFERROR((SUMPRODUCT((economics!$AG$2:$AG$167=$B43)*(economics!$D$2:$D$167="process")*economics!$AH$2:$AH$167*(_xlfn.NORM.DIST(X$3,economics!$AK$2:$AK$167,economics!$AJ$2:$AJ$167,TRUE)-_xlfn.NORM.DIST(X$30,economics!$AK$2:$AK$167,economics!$AJ$2:$AJ$167,TRUE))*economics!$AM$2:$AM$167))/(SUMPRODUCT((economics!$AG$2:$AG$167=$B43)*(economics!$D$2:$D$167="process")*economics!$AH$2:$AH$167*(_xlfn.NORM.DIST(X$3,economics!$AK$2:$AK$167,economics!$AJ$2:$AJ$167,TRUE)-_xlfn.NORM.DIST(X$30,economics!$AK$2:$AK$167,economics!$AJ$2:$AJ$167,TRUE)))),"")</f>
        <v/>
      </c>
      <c r="Y43">
        <f t="array" ref="Y43">IFERROR((SUMPRODUCT((economics!$AG$2:$AG$167=$B43)*(economics!$D$2:$D$167="process")*economics!$AH$2:$AH$167*(_xlfn.NORM.DIST(Y$3,economics!$AK$2:$AK$167,economics!$AJ$2:$AJ$167,TRUE)-_xlfn.NORM.DIST(Y$30,economics!$AK$2:$AK$167,economics!$AJ$2:$AJ$167,TRUE))*economics!$AM$2:$AM$167))/(SUMPRODUCT((economics!$AG$2:$AG$167=$B43)*(economics!$D$2:$D$167="process")*economics!$AH$2:$AH$167*(_xlfn.NORM.DIST(Y$3,economics!$AK$2:$AK$167,economics!$AJ$2:$AJ$167,TRUE)-_xlfn.NORM.DIST(Y$30,economics!$AK$2:$AK$167,economics!$AJ$2:$AJ$167,TRUE)))),"")</f>
        <v/>
      </c>
      <c r="Z43">
        <f t="array" ref="Z43">IFERROR((SUMPRODUCT((economics!$AG$2:$AG$167=$B43)*(economics!$D$2:$D$167="process")*economics!$AH$2:$AH$167*(_xlfn.NORM.DIST(Z$3,economics!$AK$2:$AK$167,economics!$AJ$2:$AJ$167,TRUE)-_xlfn.NORM.DIST(Z$30,economics!$AK$2:$AK$167,economics!$AJ$2:$AJ$167,TRUE))*economics!$AM$2:$AM$167))/(SUMPRODUCT((economics!$AG$2:$AG$167=$B43)*(economics!$D$2:$D$167="process")*economics!$AH$2:$AH$167*(_xlfn.NORM.DIST(Z$3,economics!$AK$2:$AK$167,economics!$AJ$2:$AJ$167,TRUE)-_xlfn.NORM.DIST(Z$30,economics!$AK$2:$AK$167,economics!$AJ$2:$AJ$167,TRUE)))),"")</f>
        <v/>
      </c>
      <c r="AA43">
        <f t="array" ref="AA43">IFERROR((SUMPRODUCT((economics!$AG$2:$AG$167=$B43)*(economics!$D$2:$D$167="process")*economics!$AH$2:$AH$167*(_xlfn.NORM.DIST(AA$3,economics!$AK$2:$AK$167,economics!$AJ$2:$AJ$167,TRUE)-_xlfn.NORM.DIST(AA$30,economics!$AK$2:$AK$167,economics!$AJ$2:$AJ$167,TRUE))*economics!$AM$2:$AM$167))/(SUMPRODUCT((economics!$AG$2:$AG$167=$B43)*(economics!$D$2:$D$167="process")*economics!$AH$2:$AH$167*(_xlfn.NORM.DIST(AA$3,economics!$AK$2:$AK$167,economics!$AJ$2:$AJ$167,TRUE)-_xlfn.NORM.DIST(AA$30,economics!$AK$2:$AK$167,economics!$AJ$2:$AJ$167,TRUE)))),"")</f>
        <v/>
      </c>
      <c r="AB43">
        <f t="array" ref="AB43">IFERROR((SUMPRODUCT((economics!$AG$2:$AG$167=$B43)*(economics!$D$2:$D$167="process")*economics!$AH$2:$AH$167*(_xlfn.NORM.DIST(AB$3,economics!$AK$2:$AK$167,economics!$AJ$2:$AJ$167,TRUE)-_xlfn.NORM.DIST(AB$30,economics!$AK$2:$AK$167,economics!$AJ$2:$AJ$167,TRUE))*economics!$AM$2:$AM$167))/(SUMPRODUCT((economics!$AG$2:$AG$167=$B43)*(economics!$D$2:$D$167="process")*economics!$AH$2:$AH$167*(_xlfn.NORM.DIST(AB$3,economics!$AK$2:$AK$167,economics!$AJ$2:$AJ$167,TRUE)-_xlfn.NORM.DIST(AB$30,economics!$AK$2:$AK$167,economics!$AJ$2:$AJ$167,TRUE)))),"")</f>
        <v/>
      </c>
      <c r="AC43">
        <f t="array" ref="AC43">IFERROR((SUMPRODUCT((economics!$AG$2:$AG$167=$B43)*(economics!$D$2:$D$167="process")*economics!$AH$2:$AH$167*(_xlfn.NORM.DIST(AC$3,economics!$AK$2:$AK$167,economics!$AJ$2:$AJ$167,TRUE)-_xlfn.NORM.DIST(AC$30,economics!$AK$2:$AK$167,economics!$AJ$2:$AJ$167,TRUE))*economics!$AM$2:$AM$167))/(SUMPRODUCT((economics!$AG$2:$AG$167=$B43)*(economics!$D$2:$D$167="process")*economics!$AH$2:$AH$167*(_xlfn.NORM.DIST(AC$3,economics!$AK$2:$AK$167,economics!$AJ$2:$AJ$167,TRUE)-_xlfn.NORM.DIST(AC$30,economics!$AK$2:$AK$167,economics!$AJ$2:$AJ$167,TRUE)))),"")</f>
        <v/>
      </c>
      <c r="AD43">
        <f t="array" ref="AD43">IFERROR((SUMPRODUCT((economics!$AG$2:$AG$167=$B43)*(economics!$D$2:$D$167="process")*economics!$AH$2:$AH$167*(_xlfn.NORM.DIST(AD$3,economics!$AK$2:$AK$167,economics!$AJ$2:$AJ$167,TRUE)-_xlfn.NORM.DIST(AD$30,economics!$AK$2:$AK$167,economics!$AJ$2:$AJ$167,TRUE))*economics!$AM$2:$AM$167))/(SUMPRODUCT((economics!$AG$2:$AG$167=$B43)*(economics!$D$2:$D$167="process")*economics!$AH$2:$AH$167*(_xlfn.NORM.DIST(AD$3,economics!$AK$2:$AK$167,economics!$AJ$2:$AJ$167,TRUE)-_xlfn.NORM.DIST(AD$30,economics!$AK$2:$AK$167,economics!$AJ$2:$AJ$167,TRUE)))),"")</f>
        <v/>
      </c>
      <c r="AE43">
        <f t="array" ref="AE43">IFERROR((SUMPRODUCT((economics!$AG$2:$AG$167=$B43)*(economics!$D$2:$D$167="process")*economics!$AH$2:$AH$167*(_xlfn.NORM.DIST(AE$3,economics!$AK$2:$AK$167,economics!$AJ$2:$AJ$167,TRUE)-_xlfn.NORM.DIST(AE$30,economics!$AK$2:$AK$167,economics!$AJ$2:$AJ$167,TRUE))*economics!$AM$2:$AM$167))/(SUMPRODUCT((economics!$AG$2:$AG$167=$B43)*(economics!$D$2:$D$167="process")*economics!$AH$2:$AH$167*(_xlfn.NORM.DIST(AE$3,economics!$AK$2:$AK$167,economics!$AJ$2:$AJ$167,TRUE)-_xlfn.NORM.DIST(AE$30,economics!$AK$2:$AK$167,economics!$AJ$2:$AJ$167,TRUE)))),"")</f>
        <v/>
      </c>
      <c r="AF43">
        <f t="array" ref="AF43">IFERROR((SUMPRODUCT((economics!$AG$2:$AG$167=$B43)*(economics!$D$2:$D$167="process")*economics!$AH$2:$AH$167*(_xlfn.NORM.DIST(AF$3,economics!$AK$2:$AK$167,economics!$AJ$2:$AJ$167,TRUE)-_xlfn.NORM.DIST(AF$30,economics!$AK$2:$AK$167,economics!$AJ$2:$AJ$167,TRUE))*economics!$AM$2:$AM$167))/(SUMPRODUCT((economics!$AG$2:$AG$167=$B43)*(economics!$D$2:$D$167="process")*economics!$AH$2:$AH$167*(_xlfn.NORM.DIST(AF$3,economics!$AK$2:$AK$167,economics!$AJ$2:$AJ$167,TRUE)-_xlfn.NORM.DIST(AF$30,economics!$AK$2:$AK$167,economics!$AJ$2:$AJ$167,TRUE)))),"")</f>
        <v/>
      </c>
      <c r="AG43">
        <f t="array" ref="AG43">IFERROR((SUMPRODUCT((economics!$AG$2:$AG$167=$B43)*(economics!$D$2:$D$167="process")*economics!$AH$2:$AH$167*(_xlfn.NORM.DIST(AG$3,economics!$AK$2:$AK$167,economics!$AJ$2:$AJ$167,TRUE)-_xlfn.NORM.DIST(AG$30,economics!$AK$2:$AK$167,economics!$AJ$2:$AJ$167,TRUE))*economics!$AM$2:$AM$167))/(SUMPRODUCT((economics!$AG$2:$AG$167=$B43)*(economics!$D$2:$D$167="process")*economics!$AH$2:$AH$167*(_xlfn.NORM.DIST(AG$3,economics!$AK$2:$AK$167,economics!$AJ$2:$AJ$167,TRUE)-_xlfn.NORM.DIST(AG$30,economics!$AK$2:$AK$167,economics!$AJ$2:$AJ$167,TRUE)))),"")</f>
        <v/>
      </c>
      <c r="AH43">
        <f t="array" ref="AH43">IFERROR((SUMPRODUCT((economics!$AG$2:$AG$167=$B43)*(economics!$D$2:$D$167="process")*economics!$AH$2:$AH$167*(_xlfn.NORM.DIST(AH$3,economics!$AK$2:$AK$167,economics!$AJ$2:$AJ$167,TRUE)-_xlfn.NORM.DIST(AH$30,economics!$AK$2:$AK$167,economics!$AJ$2:$AJ$167,TRUE))*economics!$AM$2:$AM$167))/(SUMPRODUCT((economics!$AG$2:$AG$167=$B43)*(economics!$D$2:$D$167="process")*economics!$AH$2:$AH$167*(_xlfn.NORM.DIST(AH$3,economics!$AK$2:$AK$167,economics!$AJ$2:$AJ$167,TRUE)-_xlfn.NORM.DIST(AH$30,economics!$AK$2:$AK$167,economics!$AJ$2:$AJ$167,TRUE)))),"")</f>
        <v/>
      </c>
      <c r="AI43">
        <f t="array" ref="AI43">IFERROR((SUMPRODUCT((economics!$AG$2:$AG$167=$B43)*(economics!$D$2:$D$167="process")*economics!$AH$2:$AH$167*(_xlfn.NORM.DIST(AI$3,economics!$AK$2:$AK$167,economics!$AJ$2:$AJ$167,TRUE)-_xlfn.NORM.DIST(AI$30,economics!$AK$2:$AK$167,economics!$AJ$2:$AJ$167,TRUE))*economics!$AM$2:$AM$167))/(SUMPRODUCT((economics!$AG$2:$AG$167=$B43)*(economics!$D$2:$D$167="process")*economics!$AH$2:$AH$167*(_xlfn.NORM.DIST(AI$3,economics!$AK$2:$AK$167,economics!$AJ$2:$AJ$167,TRUE)-_xlfn.NORM.DIST(AI$30,economics!$AK$2:$AK$167,economics!$AJ$2:$AJ$167,TRUE)))),"")</f>
        <v/>
      </c>
      <c r="AJ43">
        <f t="array" ref="AJ43">IFERROR((SUMPRODUCT((economics!$AG$2:$AG$167=$B43)*(economics!$D$2:$D$167="process")*economics!$AH$2:$AH$167*(_xlfn.NORM.DIST(AJ$3,economics!$AK$2:$AK$167,economics!$AJ$2:$AJ$167,TRUE)-_xlfn.NORM.DIST(AJ$30,economics!$AK$2:$AK$167,economics!$AJ$2:$AJ$167,TRUE))*economics!$AM$2:$AM$167))/(SUMPRODUCT((economics!$AG$2:$AG$167=$B43)*(economics!$D$2:$D$167="process")*economics!$AH$2:$AH$167*(_xlfn.NORM.DIST(AJ$3,economics!$AK$2:$AK$167,economics!$AJ$2:$AJ$167,TRUE)-_xlfn.NORM.DIST(AJ$30,economics!$AK$2:$AK$167,economics!$AJ$2:$AJ$167,TRUE)))),"")</f>
        <v/>
      </c>
      <c r="AK43">
        <f t="array" ref="AK43">IFERROR((SUMPRODUCT((economics!$AG$2:$AG$167=$B43)*(economics!$D$2:$D$167="process")*economics!$AH$2:$AH$167*(_xlfn.NORM.DIST(AK$3,economics!$AK$2:$AK$167,economics!$AJ$2:$AJ$167,TRUE)-_xlfn.NORM.DIST(AK$30,economics!$AK$2:$AK$167,economics!$AJ$2:$AJ$167,TRUE))*economics!$AM$2:$AM$167))/(SUMPRODUCT((economics!$AG$2:$AG$167=$B43)*(economics!$D$2:$D$167="process")*economics!$AH$2:$AH$167*(_xlfn.NORM.DIST(AK$3,economics!$AK$2:$AK$167,economics!$AJ$2:$AJ$167,TRUE)-_xlfn.NORM.DIST(AK$30,economics!$AK$2:$AK$167,economics!$AJ$2:$AJ$167,TRUE)))),"")</f>
        <v/>
      </c>
      <c r="AL43">
        <f t="array" ref="AL43">IFERROR((SUMPRODUCT((economics!$AG$2:$AG$167=$B43)*(economics!$D$2:$D$167="process")*economics!$AH$2:$AH$167*(_xlfn.NORM.DIST(AL$3,economics!$AK$2:$AK$167,economics!$AJ$2:$AJ$167,TRUE)-_xlfn.NORM.DIST(AL$30,economics!$AK$2:$AK$167,economics!$AJ$2:$AJ$167,TRUE))*economics!$AM$2:$AM$167))/(SUMPRODUCT((economics!$AG$2:$AG$167=$B43)*(economics!$D$2:$D$167="process")*economics!$AH$2:$AH$167*(_xlfn.NORM.DIST(AL$3,economics!$AK$2:$AK$167,economics!$AJ$2:$AJ$167,TRUE)-_xlfn.NORM.DIST(AL$30,economics!$AK$2:$AK$167,economics!$AJ$2:$AJ$167,TRUE)))),"")</f>
        <v/>
      </c>
      <c r="AM43">
        <f t="array" ref="AM43">IFERROR((SUMPRODUCT((economics!$AG$2:$AG$167=$B43)*(economics!$D$2:$D$167="process")*economics!$AH$2:$AH$167*(_xlfn.NORM.DIST(AM$3,economics!$AK$2:$AK$167,economics!$AJ$2:$AJ$167,TRUE)-_xlfn.NORM.DIST(AM$30,economics!$AK$2:$AK$167,economics!$AJ$2:$AJ$167,TRUE))*economics!$AM$2:$AM$167))/(SUMPRODUCT((economics!$AG$2:$AG$167=$B43)*(economics!$D$2:$D$167="process")*economics!$AH$2:$AH$167*(_xlfn.NORM.DIST(AM$3,economics!$AK$2:$AK$167,economics!$AJ$2:$AJ$167,TRUE)-_xlfn.NORM.DIST(AM$30,economics!$AK$2:$AK$167,economics!$AJ$2:$AJ$167,TRUE)))),"")</f>
        <v/>
      </c>
      <c r="AN43">
        <f t="array" ref="AN43">IFERROR((SUMPRODUCT((economics!$AG$2:$AG$167=$B43)*(economics!$D$2:$D$167="process")*economics!$AH$2:$AH$167*(_xlfn.NORM.DIST(AN$3,economics!$AK$2:$AK$167,economics!$AJ$2:$AJ$167,TRUE)-_xlfn.NORM.DIST(AN$30,economics!$AK$2:$AK$167,economics!$AJ$2:$AJ$167,TRUE))*economics!$AM$2:$AM$167))/(SUMPRODUCT((economics!$AG$2:$AG$167=$B43)*(economics!$D$2:$D$167="process")*economics!$AH$2:$AH$167*(_xlfn.NORM.DIST(AN$3,economics!$AK$2:$AK$167,economics!$AJ$2:$AJ$167,TRUE)-_xlfn.NORM.DIST(AN$30,economics!$AK$2:$AK$167,economics!$AJ$2:$AJ$167,TRUE)))),"")</f>
        <v/>
      </c>
      <c r="AO43">
        <f t="array" ref="AO43">IFERROR((SUMPRODUCT((economics!$AG$2:$AG$167=$B43)*(economics!$D$2:$D$167="process")*economics!$AH$2:$AH$167*(_xlfn.NORM.DIST(AO$3,economics!$AK$2:$AK$167,economics!$AJ$2:$AJ$167,TRUE)-_xlfn.NORM.DIST(AO$30,economics!$AK$2:$AK$167,economics!$AJ$2:$AJ$167,TRUE))*economics!$AM$2:$AM$167))/(SUMPRODUCT((economics!$AG$2:$AG$167=$B43)*(economics!$D$2:$D$167="process")*economics!$AH$2:$AH$167*(_xlfn.NORM.DIST(AO$3,economics!$AK$2:$AK$167,economics!$AJ$2:$AJ$167,TRUE)-_xlfn.NORM.DIST(AO$30,economics!$AK$2:$AK$167,economics!$AJ$2:$AJ$167,TRUE)))),"")</f>
        <v/>
      </c>
      <c r="AP43">
        <f t="array" ref="AP43">IFERROR((SUMPRODUCT((economics!$AG$2:$AG$167=$B43)*(economics!$D$2:$D$167="process")*economics!$AH$2:$AH$167*(_xlfn.NORM.DIST(AP$3,economics!$AK$2:$AK$167,economics!$AJ$2:$AJ$167,TRUE)-_xlfn.NORM.DIST(AP$30,economics!$AK$2:$AK$167,economics!$AJ$2:$AJ$167,TRUE))*economics!$AM$2:$AM$167))/(SUMPRODUCT((economics!$AG$2:$AG$167=$B43)*(economics!$D$2:$D$167="process")*economics!$AH$2:$AH$167*(_xlfn.NORM.DIST(AP$3,economics!$AK$2:$AK$167,economics!$AJ$2:$AJ$167,TRUE)-_xlfn.NORM.DIST(AP$30,economics!$AK$2:$AK$167,economics!$AJ$2:$AJ$167,TRUE)))),"")</f>
        <v/>
      </c>
      <c r="AQ43">
        <f t="array" ref="AQ43">IFERROR((SUMPRODUCT((economics!$AG$2:$AG$167=$B43)*(economics!$D$2:$D$167="process")*economics!$AH$2:$AH$167*(_xlfn.NORM.DIST(AQ$3,economics!$AK$2:$AK$167,economics!$AJ$2:$AJ$167,TRUE)-_xlfn.NORM.DIST(AQ$30,economics!$AK$2:$AK$167,economics!$AJ$2:$AJ$167,TRUE))*economics!$AM$2:$AM$167))/(SUMPRODUCT((economics!$AG$2:$AG$167=$B43)*(economics!$D$2:$D$167="process")*economics!$AH$2:$AH$167*(_xlfn.NORM.DIST(AQ$3,economics!$AK$2:$AK$167,economics!$AJ$2:$AJ$167,TRUE)-_xlfn.NORM.DIST(AQ$30,economics!$AK$2:$AK$167,economics!$AJ$2:$AJ$167,TRUE)))),"")</f>
        <v/>
      </c>
      <c r="AR43">
        <f t="array" ref="AR43">IFERROR((SUMPRODUCT((economics!$AG$2:$AG$167=$B43)*(economics!$D$2:$D$167="process")*economics!$AH$2:$AH$167*(_xlfn.NORM.DIST(AR$3,economics!$AK$2:$AK$167,economics!$AJ$2:$AJ$167,TRUE)-_xlfn.NORM.DIST(AR$30,economics!$AK$2:$AK$167,economics!$AJ$2:$AJ$167,TRUE))*economics!$AM$2:$AM$167))/(SUMPRODUCT((economics!$AG$2:$AG$167=$B43)*(economics!$D$2:$D$167="process")*economics!$AH$2:$AH$167*(_xlfn.NORM.DIST(AR$3,economics!$AK$2:$AK$167,economics!$AJ$2:$AJ$167,TRUE)-_xlfn.NORM.DIST(AR$30,economics!$AK$2:$AK$167,economics!$AJ$2:$AJ$167,TRUE)))),"")</f>
        <v/>
      </c>
      <c r="AS43">
        <f t="array" ref="AS43">IFERROR((SUMPRODUCT((economics!$AG$2:$AG$167=$B43)*(economics!$D$2:$D$167="process")*economics!$AH$2:$AH$167*(_xlfn.NORM.DIST(AS$3,economics!$AK$2:$AK$167,economics!$AJ$2:$AJ$167,TRUE)-_xlfn.NORM.DIST(AS$30,economics!$AK$2:$AK$167,economics!$AJ$2:$AJ$167,TRUE))*economics!$AM$2:$AM$167))/(SUMPRODUCT((economics!$AG$2:$AG$167=$B43)*(economics!$D$2:$D$167="process")*economics!$AH$2:$AH$167*(_xlfn.NORM.DIST(AS$3,economics!$AK$2:$AK$167,economics!$AJ$2:$AJ$167,TRUE)-_xlfn.NORM.DIST(AS$30,economics!$AK$2:$AK$167,economics!$AJ$2:$AJ$167,TRUE)))),"")</f>
        <v/>
      </c>
      <c r="AT43">
        <f t="array" ref="AT43">IFERROR((SUMPRODUCT((economics!$AG$2:$AG$167=$B43)*(economics!$D$2:$D$167="process")*economics!$AH$2:$AH$167*(_xlfn.NORM.DIST(AT$3,economics!$AK$2:$AK$167,economics!$AJ$2:$AJ$167,TRUE)-_xlfn.NORM.DIST(AT$30,economics!$AK$2:$AK$167,economics!$AJ$2:$AJ$167,TRUE))*economics!$AM$2:$AM$167))/(SUMPRODUCT((economics!$AG$2:$AG$167=$B43)*(economics!$D$2:$D$167="process")*economics!$AH$2:$AH$167*(_xlfn.NORM.DIST(AT$3,economics!$AK$2:$AK$167,economics!$AJ$2:$AJ$167,TRUE)-_xlfn.NORM.DIST(AT$30,economics!$AK$2:$AK$167,economics!$AJ$2:$AJ$167,TRUE)))),"")</f>
        <v/>
      </c>
      <c r="AU43">
        <f t="array" ref="AU43">IFERROR((SUMPRODUCT((economics!$AG$2:$AG$167=$B43)*(economics!$D$2:$D$167="process")*economics!$AH$2:$AH$167*(_xlfn.NORM.DIST(AU$3,economics!$AK$2:$AK$167,economics!$AJ$2:$AJ$167,TRUE)-_xlfn.NORM.DIST(AU$30,economics!$AK$2:$AK$167,economics!$AJ$2:$AJ$167,TRUE))*economics!$AM$2:$AM$167))/(SUMPRODUCT((economics!$AG$2:$AG$167=$B43)*(economics!$D$2:$D$167="process")*economics!$AH$2:$AH$167*(_xlfn.NORM.DIST(AU$3,economics!$AK$2:$AK$167,economics!$AJ$2:$AJ$167,TRUE)-_xlfn.NORM.DIST(AU$30,economics!$AK$2:$AK$167,economics!$AJ$2:$AJ$167,TRUE)))),"")</f>
        <v/>
      </c>
      <c r="AV43">
        <f t="array" ref="AV43">IFERROR((SUMPRODUCT((economics!$AG$2:$AG$167=$B43)*(economics!$D$2:$D$167="process")*economics!$AH$2:$AH$167*(_xlfn.NORM.DIST(AV$3,economics!$AK$2:$AK$167,economics!$AJ$2:$AJ$167,TRUE)-_xlfn.NORM.DIST(AV$30,economics!$AK$2:$AK$167,economics!$AJ$2:$AJ$167,TRUE))*economics!$AM$2:$AM$167))/(SUMPRODUCT((economics!$AG$2:$AG$167=$B43)*(economics!$D$2:$D$167="process")*economics!$AH$2:$AH$167*(_xlfn.NORM.DIST(AV$3,economics!$AK$2:$AK$167,economics!$AJ$2:$AJ$167,TRUE)-_xlfn.NORM.DIST(AV$30,economics!$AK$2:$AK$167,economics!$AJ$2:$AJ$167,TRUE)))),"")</f>
        <v/>
      </c>
      <c r="AW43">
        <f t="array" ref="AW43">IFERROR((SUMPRODUCT((economics!$AG$2:$AG$167=$B43)*(economics!$D$2:$D$167="process")*economics!$AH$2:$AH$167*(_xlfn.NORM.DIST(AW$3,economics!$AK$2:$AK$167,economics!$AJ$2:$AJ$167,TRUE)-_xlfn.NORM.DIST(AW$30,economics!$AK$2:$AK$167,economics!$AJ$2:$AJ$167,TRUE))*economics!$AM$2:$AM$167))/(SUMPRODUCT((economics!$AG$2:$AG$167=$B43)*(economics!$D$2:$D$167="process")*economics!$AH$2:$AH$167*(_xlfn.NORM.DIST(AW$3,economics!$AK$2:$AK$167,economics!$AJ$2:$AJ$167,TRUE)-_xlfn.NORM.DIST(AW$30,economics!$AK$2:$AK$167,economics!$AJ$2:$AJ$167,TRUE)))),"")</f>
        <v/>
      </c>
      <c r="AX43">
        <f t="array" ref="AX43">IFERROR((SUMPRODUCT((economics!$AG$2:$AG$167=$B43)*(economics!$D$2:$D$167="process")*economics!$AH$2:$AH$167*(_xlfn.NORM.DIST(AX$3,economics!$AK$2:$AK$167,economics!$AJ$2:$AJ$167,TRUE)-_xlfn.NORM.DIST(AX$30,economics!$AK$2:$AK$167,economics!$AJ$2:$AJ$167,TRUE))*economics!$AM$2:$AM$167))/(SUMPRODUCT((economics!$AG$2:$AG$167=$B43)*(economics!$D$2:$D$167="process")*economics!$AH$2:$AH$167*(_xlfn.NORM.DIST(AX$3,economics!$AK$2:$AK$167,economics!$AJ$2:$AJ$167,TRUE)-_xlfn.NORM.DIST(AX$30,economics!$AK$2:$AK$167,economics!$AJ$2:$AJ$167,TRUE)))),"")</f>
        <v/>
      </c>
      <c r="AY43">
        <f t="array" ref="AY43">IFERROR((SUMPRODUCT((economics!$AG$2:$AG$167=$B43)*(economics!$D$2:$D$167="process")*economics!$AH$2:$AH$167*(_xlfn.NORM.DIST(AY$3,economics!$AK$2:$AK$167,economics!$AJ$2:$AJ$167,TRUE)-_xlfn.NORM.DIST(AY$30,economics!$AK$2:$AK$167,economics!$AJ$2:$AJ$167,TRUE))*economics!$AM$2:$AM$167))/(SUMPRODUCT((economics!$AG$2:$AG$167=$B43)*(economics!$D$2:$D$167="process")*economics!$AH$2:$AH$167*(_xlfn.NORM.DIST(AY$3,economics!$AK$2:$AK$167,economics!$AJ$2:$AJ$167,TRUE)-_xlfn.NORM.DIST(AY$30,economics!$AK$2:$AK$167,economics!$AJ$2:$AJ$167,TRUE)))),"")</f>
        <v/>
      </c>
      <c r="AZ43">
        <f t="array" ref="AZ43">IFERROR((SUMPRODUCT((economics!$AG$2:$AG$167=$B43)*(economics!$D$2:$D$167="process")*economics!$AH$2:$AH$167*(_xlfn.NORM.DIST(AZ$3,economics!$AK$2:$AK$167,economics!$AJ$2:$AJ$167,TRUE)-_xlfn.NORM.DIST(AZ$30,economics!$AK$2:$AK$167,economics!$AJ$2:$AJ$167,TRUE))*economics!$AM$2:$AM$167))/(SUMPRODUCT((economics!$AG$2:$AG$167=$B43)*(economics!$D$2:$D$167="process")*economics!$AH$2:$AH$167*(_xlfn.NORM.DIST(AZ$3,economics!$AK$2:$AK$167,economics!$AJ$2:$AJ$167,TRUE)-_xlfn.NORM.DIST(AZ$30,economics!$AK$2:$AK$167,economics!$AJ$2:$AJ$167,TRUE)))),"")</f>
        <v/>
      </c>
      <c r="BA43">
        <f t="array" ref="BA43">IFERROR((SUMPRODUCT((economics!$AG$2:$AG$167=$B43)*(economics!$D$2:$D$167="process")*economics!$AH$2:$AH$167*(_xlfn.NORM.DIST(BA$3,economics!$AK$2:$AK$167,economics!$AJ$2:$AJ$167,TRUE)-_xlfn.NORM.DIST(BA$30,economics!$AK$2:$AK$167,economics!$AJ$2:$AJ$167,TRUE))*economics!$AM$2:$AM$167))/(SUMPRODUCT((economics!$AG$2:$AG$167=$B43)*(economics!$D$2:$D$167="process")*economics!$AH$2:$AH$167*(_xlfn.NORM.DIST(BA$3,economics!$AK$2:$AK$167,economics!$AJ$2:$AJ$167,TRUE)-_xlfn.NORM.DIST(BA$30,economics!$AK$2:$AK$167,economics!$AJ$2:$AJ$167,TRUE)))),"")</f>
        <v/>
      </c>
      <c r="BB43">
        <f t="array" ref="BB43">IFERROR((SUMPRODUCT((economics!$AG$2:$AG$167=$B43)*(economics!$D$2:$D$167="process")*economics!$AH$2:$AH$167*(_xlfn.NORM.DIST(BB$3,economics!$AK$2:$AK$167,economics!$AJ$2:$AJ$167,TRUE)-_xlfn.NORM.DIST(BB$30,economics!$AK$2:$AK$167,economics!$AJ$2:$AJ$167,TRUE))*economics!$AM$2:$AM$167))/(SUMPRODUCT((economics!$AG$2:$AG$167=$B43)*(economics!$D$2:$D$167="process")*economics!$AH$2:$AH$167*(_xlfn.NORM.DIST(BB$3,economics!$AK$2:$AK$167,economics!$AJ$2:$AJ$167,TRUE)-_xlfn.NORM.DIST(BB$30,economics!$AK$2:$AK$167,economics!$AJ$2:$AJ$167,TRUE)))),"")</f>
        <v/>
      </c>
      <c r="BC43">
        <f t="array" ref="BC43">IFERROR((SUMPRODUCT((economics!$AG$2:$AG$167=$B43)*(economics!$D$2:$D$167="process")*economics!$AH$2:$AH$167*(_xlfn.NORM.DIST(BC$3,economics!$AK$2:$AK$167,economics!$AJ$2:$AJ$167,TRUE)-_xlfn.NORM.DIST(BC$30,economics!$AK$2:$AK$167,economics!$AJ$2:$AJ$167,TRUE))*economics!$AM$2:$AM$167))/(SUMPRODUCT((economics!$AG$2:$AG$167=$B43)*(economics!$D$2:$D$167="process")*economics!$AH$2:$AH$167*(_xlfn.NORM.DIST(BC$3,economics!$AK$2:$AK$167,economics!$AJ$2:$AJ$167,TRUE)-_xlfn.NORM.DIST(BC$30,economics!$AK$2:$AK$167,economics!$AJ$2:$AJ$167,TRUE)))),"")</f>
        <v/>
      </c>
      <c r="BD43">
        <f t="array" ref="BD43">IFERROR((SUMPRODUCT((economics!$AG$2:$AG$167=$B43)*(economics!$D$2:$D$167="process")*economics!$AH$2:$AH$167*(_xlfn.NORM.DIST(BD$3,economics!$AK$2:$AK$167,economics!$AJ$2:$AJ$167,TRUE)-_xlfn.NORM.DIST(BD$30,economics!$AK$2:$AK$167,economics!$AJ$2:$AJ$167,TRUE))*economics!$AM$2:$AM$167))/(SUMPRODUCT((economics!$AG$2:$AG$167=$B43)*(economics!$D$2:$D$167="process")*economics!$AH$2:$AH$167*(_xlfn.NORM.DIST(BD$3,economics!$AK$2:$AK$167,economics!$AJ$2:$AJ$167,TRUE)-_xlfn.NORM.DIST(BD$30,economics!$AK$2:$AK$167,economics!$AJ$2:$AJ$167,TRUE)))),"")</f>
        <v/>
      </c>
      <c r="BE43">
        <f t="array" ref="BE43">IFERROR((SUMPRODUCT((economics!$AG$2:$AG$167=$B43)*(economics!$D$2:$D$167="process")*economics!$AH$2:$AH$167*(_xlfn.NORM.DIST(BE$3,economics!$AK$2:$AK$167,economics!$AJ$2:$AJ$167,TRUE)-_xlfn.NORM.DIST(BE$30,economics!$AK$2:$AK$167,economics!$AJ$2:$AJ$167,TRUE))*economics!$AM$2:$AM$167))/(SUMPRODUCT((economics!$AG$2:$AG$167=$B43)*(economics!$D$2:$D$167="process")*economics!$AH$2:$AH$167*(_xlfn.NORM.DIST(BE$3,economics!$AK$2:$AK$167,economics!$AJ$2:$AJ$167,TRUE)-_xlfn.NORM.DIST(BE$30,economics!$AK$2:$AK$167,economics!$AJ$2:$AJ$167,TRUE)))),"")</f>
        <v/>
      </c>
      <c r="BF43">
        <f t="array" ref="BF43">IFERROR((SUMPRODUCT((economics!$AG$2:$AG$167=$B43)*(economics!$D$2:$D$167="process")*economics!$AH$2:$AH$167*(_xlfn.NORM.DIST(BF$3,economics!$AK$2:$AK$167,economics!$AJ$2:$AJ$167,TRUE)-_xlfn.NORM.DIST(BF$30,economics!$AK$2:$AK$167,economics!$AJ$2:$AJ$167,TRUE))*economics!$AM$2:$AM$167))/(SUMPRODUCT((economics!$AG$2:$AG$167=$B43)*(economics!$D$2:$D$167="process")*economics!$AH$2:$AH$167*(_xlfn.NORM.DIST(BF$3,economics!$AK$2:$AK$167,economics!$AJ$2:$AJ$167,TRUE)-_xlfn.NORM.DIST(BF$30,economics!$AK$2:$AK$167,economics!$AJ$2:$AJ$167,TRUE)))),"")</f>
        <v/>
      </c>
      <c r="BG43">
        <f t="array" ref="BG43">IFERROR((SUMPRODUCT((economics!$AG$2:$AG$167=$B43)*(economics!$D$2:$D$167="process")*economics!$AH$2:$AH$167*(_xlfn.NORM.DIST(BG$3,economics!$AK$2:$AK$167,economics!$AJ$2:$AJ$167,TRUE)-_xlfn.NORM.DIST(BG$30,economics!$AK$2:$AK$167,economics!$AJ$2:$AJ$167,TRUE))*economics!$AM$2:$AM$167))/(SUMPRODUCT((economics!$AG$2:$AG$167=$B43)*(economics!$D$2:$D$167="process")*economics!$AH$2:$AH$167*(_xlfn.NORM.DIST(BG$3,economics!$AK$2:$AK$167,economics!$AJ$2:$AJ$167,TRUE)-_xlfn.NORM.DIST(BG$30,economics!$AK$2:$AK$167,economics!$AJ$2:$AJ$167,TRUE)))),"")</f>
        <v/>
      </c>
      <c r="BH43">
        <f t="array" ref="BH43">IFERROR((SUMPRODUCT((economics!$AG$2:$AG$167=$B43)*(economics!$D$2:$D$167="process")*economics!$AH$2:$AH$167*(_xlfn.NORM.DIST(BH$3,economics!$AK$2:$AK$167,economics!$AJ$2:$AJ$167,TRUE)-_xlfn.NORM.DIST(BH$30,economics!$AK$2:$AK$167,economics!$AJ$2:$AJ$167,TRUE))*economics!$AM$2:$AM$167))/(SUMPRODUCT((economics!$AG$2:$AG$167=$B43)*(economics!$D$2:$D$167="process")*economics!$AH$2:$AH$167*(_xlfn.NORM.DIST(BH$3,economics!$AK$2:$AK$167,economics!$AJ$2:$AJ$167,TRUE)-_xlfn.NORM.DIST(BH$30,economics!$AK$2:$AK$167,economics!$AJ$2:$AJ$167,TRUE)))),"")</f>
        <v/>
      </c>
      <c r="BI43">
        <f t="array" ref="BI43">IFERROR((SUMPRODUCT((economics!$AG$2:$AG$167=$B43)*(economics!$D$2:$D$167="process")*economics!$AH$2:$AH$167*(_xlfn.NORM.DIST(BI$3,economics!$AK$2:$AK$167,economics!$AJ$2:$AJ$167,TRUE)-_xlfn.NORM.DIST(BI$30,economics!$AK$2:$AK$167,economics!$AJ$2:$AJ$167,TRUE))*economics!$AM$2:$AM$167))/(SUMPRODUCT((economics!$AG$2:$AG$167=$B43)*(economics!$D$2:$D$167="process")*economics!$AH$2:$AH$167*(_xlfn.NORM.DIST(BI$3,economics!$AK$2:$AK$167,economics!$AJ$2:$AJ$167,TRUE)-_xlfn.NORM.DIST(BI$30,economics!$AK$2:$AK$167,economics!$AJ$2:$AJ$167,TRUE)))),"")</f>
        <v/>
      </c>
      <c r="BJ43">
        <f t="array" ref="BJ43">IFERROR((SUMPRODUCT((economics!$AG$2:$AG$167=$B43)*(economics!$D$2:$D$167="process")*economics!$AH$2:$AH$167*(_xlfn.NORM.DIST(BJ$3,economics!$AK$2:$AK$167,economics!$AJ$2:$AJ$167,TRUE)-_xlfn.NORM.DIST(BJ$30,economics!$AK$2:$AK$167,economics!$AJ$2:$AJ$167,TRUE))*economics!$AM$2:$AM$167))/(SUMPRODUCT((economics!$AG$2:$AG$167=$B43)*(economics!$D$2:$D$167="process")*economics!$AH$2:$AH$167*(_xlfn.NORM.DIST(BJ$3,economics!$AK$2:$AK$167,economics!$AJ$2:$AJ$167,TRUE)-_xlfn.NORM.DIST(BJ$30,economics!$AK$2:$AK$167,economics!$AJ$2:$AJ$167,TRUE)))),"")</f>
        <v/>
      </c>
      <c r="BK43">
        <f t="array" ref="BK43">IFERROR((SUMPRODUCT((economics!$AG$2:$AG$167=$B43)*(economics!$D$2:$D$167="process")*economics!$AH$2:$AH$167*(_xlfn.NORM.DIST(BK$3,economics!$AK$2:$AK$167,economics!$AJ$2:$AJ$167,TRUE)-_xlfn.NORM.DIST(BK$30,economics!$AK$2:$AK$167,economics!$AJ$2:$AJ$167,TRUE))*economics!$AM$2:$AM$167))/(SUMPRODUCT((economics!$AG$2:$AG$167=$B43)*(economics!$D$2:$D$167="process")*economics!$AH$2:$AH$167*(_xlfn.NORM.DIST(BK$3,economics!$AK$2:$AK$167,economics!$AJ$2:$AJ$167,TRUE)-_xlfn.NORM.DIST(BK$30,economics!$AK$2:$AK$167,economics!$AJ$2:$AJ$167,TRUE)))),"")</f>
        <v/>
      </c>
      <c r="BL43">
        <f t="array" ref="BL43">IFERROR((SUMPRODUCT((economics!$AG$2:$AG$167=$B43)*(economics!$D$2:$D$167="process")*economics!$AH$2:$AH$167*(_xlfn.NORM.DIST(BL$3,economics!$AK$2:$AK$167,economics!$AJ$2:$AJ$167,TRUE)-_xlfn.NORM.DIST(BL$30,economics!$AK$2:$AK$167,economics!$AJ$2:$AJ$167,TRUE))*economics!$AM$2:$AM$167))/(SUMPRODUCT((economics!$AG$2:$AG$167=$B43)*(economics!$D$2:$D$167="process")*economics!$AH$2:$AH$167*(_xlfn.NORM.DIST(BL$3,economics!$AK$2:$AK$167,economics!$AJ$2:$AJ$167,TRUE)-_xlfn.NORM.DIST(BL$30,economics!$AK$2:$AK$167,economics!$AJ$2:$AJ$167,TRUE)))),"")</f>
        <v/>
      </c>
      <c r="BM43">
        <f t="array" ref="BM43">IFERROR((SUMPRODUCT((economics!$AG$2:$AG$167=$B43)*(economics!$D$2:$D$167="process")*economics!$AH$2:$AH$167*(_xlfn.NORM.DIST(BM$3,economics!$AK$2:$AK$167,economics!$AJ$2:$AJ$167,TRUE)-_xlfn.NORM.DIST(BM$30,economics!$AK$2:$AK$167,economics!$AJ$2:$AJ$167,TRUE))*economics!$AM$2:$AM$167))/(SUMPRODUCT((economics!$AG$2:$AG$167=$B43)*(economics!$D$2:$D$167="process")*economics!$AH$2:$AH$167*(_xlfn.NORM.DIST(BM$3,economics!$AK$2:$AK$167,economics!$AJ$2:$AJ$167,TRUE)-_xlfn.NORM.DIST(BM$30,economics!$AK$2:$AK$167,economics!$AJ$2:$AJ$167,TRUE)))),"")</f>
        <v/>
      </c>
      <c r="BN43">
        <f t="array" ref="BN43">IFERROR((SUMPRODUCT((economics!$AG$2:$AG$167=$B43)*(economics!$D$2:$D$167="process")*economics!$AH$2:$AH$167*(_xlfn.NORM.DIST(BN$3,economics!$AK$2:$AK$167,economics!$AJ$2:$AJ$167,TRUE)-_xlfn.NORM.DIST(BN$30,economics!$AK$2:$AK$167,economics!$AJ$2:$AJ$167,TRUE))*economics!$AM$2:$AM$167))/(SUMPRODUCT((economics!$AG$2:$AG$167=$B43)*(economics!$D$2:$D$167="process")*economics!$AH$2:$AH$167*(_xlfn.NORM.DIST(BN$3,economics!$AK$2:$AK$167,economics!$AJ$2:$AJ$167,TRUE)-_xlfn.NORM.DIST(BN$30,economics!$AK$2:$AK$167,economics!$AJ$2:$AJ$167,TRUE)))),"")</f>
        <v/>
      </c>
      <c r="BO43">
        <f t="array" ref="BO43">IFERROR((SUMPRODUCT((economics!$AG$2:$AG$167=$B43)*(economics!$D$2:$D$167="process")*economics!$AH$2:$AH$167*(_xlfn.NORM.DIST(BO$3,economics!$AK$2:$AK$167,economics!$AJ$2:$AJ$167,TRUE)-_xlfn.NORM.DIST(BO$30,economics!$AK$2:$AK$167,economics!$AJ$2:$AJ$167,TRUE))*economics!$AM$2:$AM$167))/(SUMPRODUCT((economics!$AG$2:$AG$167=$B43)*(economics!$D$2:$D$167="process")*economics!$AH$2:$AH$167*(_xlfn.NORM.DIST(BO$3,economics!$AK$2:$AK$167,economics!$AJ$2:$AJ$167,TRUE)-_xlfn.NORM.DIST(BO$30,economics!$AK$2:$AK$167,economics!$AJ$2:$AJ$167,TRUE)))),"")</f>
        <v/>
      </c>
      <c r="BP43">
        <f t="array" ref="BP43">IFERROR((SUMPRODUCT((economics!$AG$2:$AG$167=$B43)*(economics!$D$2:$D$167="process")*economics!$AH$2:$AH$167*(_xlfn.NORM.DIST(BP$3,economics!$AK$2:$AK$167,economics!$AJ$2:$AJ$167,TRUE)-_xlfn.NORM.DIST(BP$30,economics!$AK$2:$AK$167,economics!$AJ$2:$AJ$167,TRUE))*economics!$AM$2:$AM$167))/(SUMPRODUCT((economics!$AG$2:$AG$167=$B43)*(economics!$D$2:$D$167="process")*economics!$AH$2:$AH$167*(_xlfn.NORM.DIST(BP$3,economics!$AK$2:$AK$167,economics!$AJ$2:$AJ$167,TRUE)-_xlfn.NORM.DIST(BP$30,economics!$AK$2:$AK$167,economics!$AJ$2:$AJ$167,TRUE)))),"")</f>
        <v/>
      </c>
      <c r="BQ43">
        <f t="array" ref="BQ43">IFERROR((SUMPRODUCT((economics!$AG$2:$AG$167=$B43)*(economics!$D$2:$D$167="process")*economics!$AH$2:$AH$167*(_xlfn.NORM.DIST(BQ$3,economics!$AK$2:$AK$167,economics!$AJ$2:$AJ$167,TRUE)-_xlfn.NORM.DIST(BQ$30,economics!$AK$2:$AK$167,economics!$AJ$2:$AJ$167,TRUE))*economics!$AM$2:$AM$167))/(SUMPRODUCT((economics!$AG$2:$AG$167=$B43)*(economics!$D$2:$D$167="process")*economics!$AH$2:$AH$167*(_xlfn.NORM.DIST(BQ$3,economics!$AK$2:$AK$167,economics!$AJ$2:$AJ$167,TRUE)-_xlfn.NORM.DIST(BQ$30,economics!$AK$2:$AK$167,economics!$AJ$2:$AJ$167,TRUE)))),"")</f>
        <v/>
      </c>
      <c r="BR43">
        <f t="array" ref="BR43">IFERROR((SUMPRODUCT((economics!$AG$2:$AG$167=$B43)*(economics!$D$2:$D$167="process")*economics!$AH$2:$AH$167*(_xlfn.NORM.DIST(BR$3,economics!$AK$2:$AK$167,economics!$AJ$2:$AJ$167,TRUE)-_xlfn.NORM.DIST(BR$30,economics!$AK$2:$AK$167,economics!$AJ$2:$AJ$167,TRUE))*economics!$AM$2:$AM$167))/(SUMPRODUCT((economics!$AG$2:$AG$167=$B43)*(economics!$D$2:$D$167="process")*economics!$AH$2:$AH$167*(_xlfn.NORM.DIST(BR$3,economics!$AK$2:$AK$167,economics!$AJ$2:$AJ$167,TRUE)-_xlfn.NORM.DIST(BR$30,economics!$AK$2:$AK$167,economics!$AJ$2:$AJ$167,TRUE)))),"")</f>
        <v/>
      </c>
      <c r="BS43">
        <f t="array" ref="BS43">IFERROR((SUMPRODUCT((economics!$AG$2:$AG$167=$B43)*(economics!$D$2:$D$167="process")*economics!$AH$2:$AH$167*(_xlfn.NORM.DIST(BS$3,economics!$AK$2:$AK$167,economics!$AJ$2:$AJ$167,TRUE)-_xlfn.NORM.DIST(BS$30,economics!$AK$2:$AK$167,economics!$AJ$2:$AJ$167,TRUE))*economics!$AM$2:$AM$167))/(SUMPRODUCT((economics!$AG$2:$AG$167=$B43)*(economics!$D$2:$D$167="process")*economics!$AH$2:$AH$167*(_xlfn.NORM.DIST(BS$3,economics!$AK$2:$AK$167,economics!$AJ$2:$AJ$167,TRUE)-_xlfn.NORM.DIST(BS$30,economics!$AK$2:$AK$167,economics!$AJ$2:$AJ$167,TRUE)))),"")</f>
        <v/>
      </c>
      <c r="BT43">
        <f t="array" ref="BT43">IFERROR((SUMPRODUCT((economics!$AG$2:$AG$167=$B43)*(economics!$D$2:$D$167="process")*economics!$AH$2:$AH$167*(_xlfn.NORM.DIST(BT$3,economics!$AK$2:$AK$167,economics!$AJ$2:$AJ$167,TRUE)-_xlfn.NORM.DIST(BT$30,economics!$AK$2:$AK$167,economics!$AJ$2:$AJ$167,TRUE))*economics!$AM$2:$AM$167))/(SUMPRODUCT((economics!$AG$2:$AG$167=$B43)*(economics!$D$2:$D$167="process")*economics!$AH$2:$AH$167*(_xlfn.NORM.DIST(BT$3,economics!$AK$2:$AK$167,economics!$AJ$2:$AJ$167,TRUE)-_xlfn.NORM.DIST(BT$30,economics!$AK$2:$AK$167,economics!$AJ$2:$AJ$167,TRUE)))),"")</f>
        <v/>
      </c>
      <c r="BU43">
        <f t="array" ref="BU43">IFERROR((SUMPRODUCT((economics!$AG$2:$AG$167=$B43)*(economics!$D$2:$D$167="process")*economics!$AH$2:$AH$167*(_xlfn.NORM.DIST(BU$3,economics!$AK$2:$AK$167,economics!$AJ$2:$AJ$167,TRUE)-_xlfn.NORM.DIST(BU$30,economics!$AK$2:$AK$167,economics!$AJ$2:$AJ$167,TRUE))*economics!$AM$2:$AM$167))/(SUMPRODUCT((economics!$AG$2:$AG$167=$B43)*(economics!$D$2:$D$167="process")*economics!$AH$2:$AH$167*(_xlfn.NORM.DIST(BU$3,economics!$AK$2:$AK$167,economics!$AJ$2:$AJ$167,TRUE)-_xlfn.NORM.DIST(BU$30,economics!$AK$2:$AK$167,economics!$AJ$2:$AJ$167,TRUE)))),"")</f>
        <v/>
      </c>
      <c r="BV43">
        <f t="array" ref="BV43">IFERROR((SUMPRODUCT((economics!$AG$2:$AG$167=$B43)*(economics!$D$2:$D$167="process")*economics!$AH$2:$AH$167*(_xlfn.NORM.DIST(BV$3,economics!$AK$2:$AK$167,economics!$AJ$2:$AJ$167,TRUE)-_xlfn.NORM.DIST(BV$30,economics!$AK$2:$AK$167,economics!$AJ$2:$AJ$167,TRUE))*economics!$AM$2:$AM$167))/(SUMPRODUCT((economics!$AG$2:$AG$167=$B43)*(economics!$D$2:$D$167="process")*economics!$AH$2:$AH$167*(_xlfn.NORM.DIST(BV$3,economics!$AK$2:$AK$167,economics!$AJ$2:$AJ$167,TRUE)-_xlfn.NORM.DIST(BV$30,economics!$AK$2:$AK$167,economics!$AJ$2:$AJ$167,TRUE)))),"")</f>
        <v/>
      </c>
      <c r="BW43">
        <f t="array" ref="BW43">IFERROR((SUMPRODUCT((economics!$AG$2:$AG$167=$B43)*(economics!$D$2:$D$167="process")*economics!$AH$2:$AH$167*(_xlfn.NORM.DIST(BW$3,economics!$AK$2:$AK$167,economics!$AJ$2:$AJ$167,TRUE)-_xlfn.NORM.DIST(BW$30,economics!$AK$2:$AK$167,economics!$AJ$2:$AJ$167,TRUE))*economics!$AM$2:$AM$167))/(SUMPRODUCT((economics!$AG$2:$AG$167=$B43)*(economics!$D$2:$D$167="process")*economics!$AH$2:$AH$167*(_xlfn.NORM.DIST(BW$3,economics!$AK$2:$AK$167,economics!$AJ$2:$AJ$167,TRUE)-_xlfn.NORM.DIST(BW$30,economics!$AK$2:$AK$167,economics!$AJ$2:$AJ$167,TRUE)))),"")</f>
        <v/>
      </c>
      <c r="BX43">
        <f t="array" ref="BX43">IFERROR((SUMPRODUCT((economics!$AG$2:$AG$167=$B43)*(economics!$D$2:$D$167="process")*economics!$AH$2:$AH$167*(_xlfn.NORM.DIST(BX$3,economics!$AK$2:$AK$167,economics!$AJ$2:$AJ$167,TRUE)-_xlfn.NORM.DIST(BX$30,economics!$AK$2:$AK$167,economics!$AJ$2:$AJ$167,TRUE))*economics!$AM$2:$AM$167))/(SUMPRODUCT((economics!$AG$2:$AG$167=$B43)*(economics!$D$2:$D$167="process")*economics!$AH$2:$AH$167*(_xlfn.NORM.DIST(BX$3,economics!$AK$2:$AK$167,economics!$AJ$2:$AJ$167,TRUE)-_xlfn.NORM.DIST(BX$30,economics!$AK$2:$AK$167,economics!$AJ$2:$AJ$167,TRUE)))),"")</f>
        <v/>
      </c>
      <c r="BY43">
        <f t="array" ref="BY43">IFERROR((SUMPRODUCT((economics!$AG$2:$AG$167=$B43)*(economics!$D$2:$D$167="process")*economics!$AH$2:$AH$167*(_xlfn.NORM.DIST(BY$3,economics!$AK$2:$AK$167,economics!$AJ$2:$AJ$167,TRUE)-_xlfn.NORM.DIST(BY$30,economics!$AK$2:$AK$167,economics!$AJ$2:$AJ$167,TRUE))*economics!$AM$2:$AM$167))/(SUMPRODUCT((economics!$AG$2:$AG$167=$B43)*(economics!$D$2:$D$167="process")*economics!$AH$2:$AH$167*(_xlfn.NORM.DIST(BY$3,economics!$AK$2:$AK$167,economics!$AJ$2:$AJ$167,TRUE)-_xlfn.NORM.DIST(BY$30,economics!$AK$2:$AK$167,economics!$AJ$2:$AJ$167,TRUE)))),"")</f>
        <v/>
      </c>
      <c r="BZ43">
        <f t="array" ref="BZ43">IFERROR((SUMPRODUCT((economics!$AG$2:$AG$167=$B43)*(economics!$D$2:$D$167="process")*economics!$AH$2:$AH$167*(_xlfn.NORM.DIST(BZ$3,economics!$AK$2:$AK$167,economics!$AJ$2:$AJ$167,TRUE)-_xlfn.NORM.DIST(BZ$30,economics!$AK$2:$AK$167,economics!$AJ$2:$AJ$167,TRUE))*economics!$AM$2:$AM$167))/(SUMPRODUCT((economics!$AG$2:$AG$167=$B43)*(economics!$D$2:$D$167="process")*economics!$AH$2:$AH$167*(_xlfn.NORM.DIST(BZ$3,economics!$AK$2:$AK$167,economics!$AJ$2:$AJ$167,TRUE)-_xlfn.NORM.DIST(BZ$30,economics!$AK$2:$AK$167,economics!$AJ$2:$AJ$167,TRUE)))),"")</f>
        <v/>
      </c>
      <c r="CA43">
        <f t="array" ref="CA43">IFERROR((SUMPRODUCT((economics!$AG$2:$AG$167=$B43)*(economics!$D$2:$D$167="process")*economics!$AH$2:$AH$167*(_xlfn.NORM.DIST(CA$3,economics!$AK$2:$AK$167,economics!$AJ$2:$AJ$167,TRUE)-_xlfn.NORM.DIST(CA$30,economics!$AK$2:$AK$167,economics!$AJ$2:$AJ$167,TRUE))*economics!$AM$2:$AM$167))/(SUMPRODUCT((economics!$AG$2:$AG$167=$B43)*(economics!$D$2:$D$167="process")*economics!$AH$2:$AH$167*(_xlfn.NORM.DIST(CA$3,economics!$AK$2:$AK$167,economics!$AJ$2:$AJ$167,TRUE)-_xlfn.NORM.DIST(CA$30,economics!$AK$2:$AK$167,economics!$AJ$2:$AJ$167,TRUE)))),"")</f>
        <v/>
      </c>
      <c r="CB43">
        <f t="array" ref="CB43">IFERROR((SUMPRODUCT((economics!$AG$2:$AG$167=$B43)*(economics!$D$2:$D$167="process")*economics!$AH$2:$AH$167*(_xlfn.NORM.DIST(CB$3,economics!$AK$2:$AK$167,economics!$AJ$2:$AJ$167,TRUE)-_xlfn.NORM.DIST(CB$30,economics!$AK$2:$AK$167,economics!$AJ$2:$AJ$167,TRUE))*economics!$AM$2:$AM$167))/(SUMPRODUCT((economics!$AG$2:$AG$167=$B43)*(economics!$D$2:$D$167="process")*economics!$AH$2:$AH$167*(_xlfn.NORM.DIST(CB$3,economics!$AK$2:$AK$167,economics!$AJ$2:$AJ$167,TRUE)-_xlfn.NORM.DIST(CB$30,economics!$AK$2:$AK$167,economics!$AJ$2:$AJ$167,TRUE)))),"")</f>
        <v/>
      </c>
      <c r="CC43">
        <f t="array" ref="CC43">IFERROR((SUMPRODUCT((economics!$AG$2:$AG$167=$B43)*(economics!$D$2:$D$167="process")*economics!$AH$2:$AH$167*(_xlfn.NORM.DIST(CC$3,economics!$AK$2:$AK$167,economics!$AJ$2:$AJ$167,TRUE)-_xlfn.NORM.DIST(CC$30,economics!$AK$2:$AK$167,economics!$AJ$2:$AJ$167,TRUE))*economics!$AM$2:$AM$167))/(SUMPRODUCT((economics!$AG$2:$AG$167=$B43)*(economics!$D$2:$D$167="process")*economics!$AH$2:$AH$167*(_xlfn.NORM.DIST(CC$3,economics!$AK$2:$AK$167,economics!$AJ$2:$AJ$167,TRUE)-_xlfn.NORM.DIST(CC$30,economics!$AK$2:$AK$167,economics!$AJ$2:$AJ$167,TRUE)))),"")</f>
        <v/>
      </c>
      <c r="CD43">
        <f t="array" ref="CD43">IFERROR((SUMPRODUCT((economics!$AG$2:$AG$167=$B43)*(economics!$D$2:$D$167="process")*economics!$AH$2:$AH$167*(_xlfn.NORM.DIST(CD$3,economics!$AK$2:$AK$167,economics!$AJ$2:$AJ$167,TRUE)-_xlfn.NORM.DIST(CD$30,economics!$AK$2:$AK$167,economics!$AJ$2:$AJ$167,TRUE))*economics!$AM$2:$AM$167))/(SUMPRODUCT((economics!$AG$2:$AG$167=$B43)*(economics!$D$2:$D$167="process")*economics!$AH$2:$AH$167*(_xlfn.NORM.DIST(CD$3,economics!$AK$2:$AK$167,economics!$AJ$2:$AJ$167,TRUE)-_xlfn.NORM.DIST(CD$30,economics!$AK$2:$AK$167,economics!$AJ$2:$AJ$167,TRUE)))),"")</f>
        <v/>
      </c>
      <c r="CE43">
        <f t="array" ref="CE43">IFERROR((SUMPRODUCT((economics!$AG$2:$AG$167=$B43)*(economics!$D$2:$D$167="process")*economics!$AH$2:$AH$167*(_xlfn.NORM.DIST(CE$3,economics!$AK$2:$AK$167,economics!$AJ$2:$AJ$167,TRUE)-_xlfn.NORM.DIST(CE$30,economics!$AK$2:$AK$167,economics!$AJ$2:$AJ$167,TRUE))*economics!$AM$2:$AM$167))/(SUMPRODUCT((economics!$AG$2:$AG$167=$B43)*(economics!$D$2:$D$167="process")*economics!$AH$2:$AH$167*(_xlfn.NORM.DIST(CE$3,economics!$AK$2:$AK$167,economics!$AJ$2:$AJ$167,TRUE)-_xlfn.NORM.DIST(CE$30,economics!$AK$2:$AK$167,economics!$AJ$2:$AJ$167,TRUE)))),"")</f>
        <v/>
      </c>
      <c r="CF43">
        <f t="array" ref="CF43">IFERROR((SUMPRODUCT((economics!$AG$2:$AG$167=$B43)*(economics!$D$2:$D$167="process")*economics!$AH$2:$AH$167*(_xlfn.NORM.DIST(CF$3,economics!$AK$2:$AK$167,economics!$AJ$2:$AJ$167,TRUE)-_xlfn.NORM.DIST(CF$30,economics!$AK$2:$AK$167,economics!$AJ$2:$AJ$167,TRUE))*economics!$AM$2:$AM$167))/(SUMPRODUCT((economics!$AG$2:$AG$167=$B43)*(economics!$D$2:$D$167="process")*economics!$AH$2:$AH$167*(_xlfn.NORM.DIST(CF$3,economics!$AK$2:$AK$167,economics!$AJ$2:$AJ$167,TRUE)-_xlfn.NORM.DIST(CF$30,economics!$AK$2:$AK$167,economics!$AJ$2:$AJ$167,TRUE)))),"")</f>
        <v/>
      </c>
      <c r="CG43">
        <f t="array" ref="CG43">IFERROR((SUMPRODUCT((economics!$AG$2:$AG$167=$B43)*(economics!$D$2:$D$167="process")*economics!$AH$2:$AH$167*(_xlfn.NORM.DIST(CG$3,economics!$AK$2:$AK$167,economics!$AJ$2:$AJ$167,TRUE)-_xlfn.NORM.DIST(CG$30,economics!$AK$2:$AK$167,economics!$AJ$2:$AJ$167,TRUE))*economics!$AM$2:$AM$167))/(SUMPRODUCT((economics!$AG$2:$AG$167=$B43)*(economics!$D$2:$D$167="process")*economics!$AH$2:$AH$167*(_xlfn.NORM.DIST(CG$3,economics!$AK$2:$AK$167,economics!$AJ$2:$AJ$167,TRUE)-_xlfn.NORM.DIST(CG$30,economics!$AK$2:$AK$167,economics!$AJ$2:$AJ$167,TRUE)))),"")</f>
        <v/>
      </c>
      <c r="CH43">
        <f t="array" ref="CH43">IFERROR((SUMPRODUCT((economics!$AG$2:$AG$167=$B43)*(economics!$D$2:$D$167="process")*economics!$AH$2:$AH$167*(_xlfn.NORM.DIST(CH$3,economics!$AK$2:$AK$167,economics!$AJ$2:$AJ$167,TRUE)-_xlfn.NORM.DIST(CH$30,economics!$AK$2:$AK$167,economics!$AJ$2:$AJ$167,TRUE))*economics!$AM$2:$AM$167))/(SUMPRODUCT((economics!$AG$2:$AG$167=$B43)*(economics!$D$2:$D$167="process")*economics!$AH$2:$AH$167*(_xlfn.NORM.DIST(CH$3,economics!$AK$2:$AK$167,economics!$AJ$2:$AJ$167,TRUE)-_xlfn.NORM.DIST(CH$30,economics!$AK$2:$AK$167,economics!$AJ$2:$AJ$167,TRUE)))),"")</f>
        <v/>
      </c>
    </row>
    <row r="44">
      <c r="A44">
        <f>A15</f>
        <v/>
      </c>
      <c r="B44">
        <f>B15</f>
        <v/>
      </c>
      <c r="E44">
        <f t="array" ref="E44">IFERROR((SUMPRODUCT((economics!$AG$2:$AG$167=$B44)*(economics!$D$2:$D$167="process")*economics!$AH$2:$AH$167*(_xlfn.NORM.DIST(E$3,economics!$AK$2:$AK$167,economics!$AJ$2:$AJ$167,TRUE)-_xlfn.NORM.DIST(E$30,economics!$AK$2:$AK$167,economics!$AJ$2:$AJ$167,TRUE))*economics!$AM$2:$AM$167))/(SUMPRODUCT((economics!$AG$2:$AG$167=$B44)*(economics!$D$2:$D$167="process")*economics!$AH$2:$AH$167*(_xlfn.NORM.DIST(E$3,economics!$AK$2:$AK$167,economics!$AJ$2:$AJ$167,TRUE)-_xlfn.NORM.DIST(E$30,economics!$AK$2:$AK$167,economics!$AJ$2:$AJ$167,TRUE)))),"")</f>
        <v/>
      </c>
      <c r="F44">
        <f t="array" ref="F44">IFERROR((SUMPRODUCT((economics!$AG$2:$AG$167=$B44)*(economics!$D$2:$D$167="process")*economics!$AH$2:$AH$167*(_xlfn.NORM.DIST(F$3,economics!$AK$2:$AK$167,economics!$AJ$2:$AJ$167,TRUE)-_xlfn.NORM.DIST(F$30,economics!$AK$2:$AK$167,economics!$AJ$2:$AJ$167,TRUE))*economics!$AM$2:$AM$167))/(SUMPRODUCT((economics!$AG$2:$AG$167=$B44)*(economics!$D$2:$D$167="process")*economics!$AH$2:$AH$167*(_xlfn.NORM.DIST(F$3,economics!$AK$2:$AK$167,economics!$AJ$2:$AJ$167,TRUE)-_xlfn.NORM.DIST(F$30,economics!$AK$2:$AK$167,economics!$AJ$2:$AJ$167,TRUE)))),"")</f>
        <v/>
      </c>
      <c r="G44">
        <f t="array" ref="G44">IFERROR((SUMPRODUCT((economics!$AG$2:$AG$167=$B44)*(economics!$D$2:$D$167="process")*economics!$AH$2:$AH$167*(_xlfn.NORM.DIST(G$3,economics!$AK$2:$AK$167,economics!$AJ$2:$AJ$167,TRUE)-_xlfn.NORM.DIST(G$30,economics!$AK$2:$AK$167,economics!$AJ$2:$AJ$167,TRUE))*economics!$AM$2:$AM$167))/(SUMPRODUCT((economics!$AG$2:$AG$167=$B44)*(economics!$D$2:$D$167="process")*economics!$AH$2:$AH$167*(_xlfn.NORM.DIST(G$3,economics!$AK$2:$AK$167,economics!$AJ$2:$AJ$167,TRUE)-_xlfn.NORM.DIST(G$30,economics!$AK$2:$AK$167,economics!$AJ$2:$AJ$167,TRUE)))),"")</f>
        <v/>
      </c>
      <c r="H44">
        <f t="array" ref="H44">IFERROR((SUMPRODUCT((economics!$AG$2:$AG$167=$B44)*(economics!$D$2:$D$167="process")*economics!$AH$2:$AH$167*(_xlfn.NORM.DIST(H$3,economics!$AK$2:$AK$167,economics!$AJ$2:$AJ$167,TRUE)-_xlfn.NORM.DIST(H$30,economics!$AK$2:$AK$167,economics!$AJ$2:$AJ$167,TRUE))*economics!$AM$2:$AM$167))/(SUMPRODUCT((economics!$AG$2:$AG$167=$B44)*(economics!$D$2:$D$167="process")*economics!$AH$2:$AH$167*(_xlfn.NORM.DIST(H$3,economics!$AK$2:$AK$167,economics!$AJ$2:$AJ$167,TRUE)-_xlfn.NORM.DIST(H$30,economics!$AK$2:$AK$167,economics!$AJ$2:$AJ$167,TRUE)))),"")</f>
        <v/>
      </c>
      <c r="I44">
        <f t="array" ref="I44">IFERROR((SUMPRODUCT((economics!$AG$2:$AG$167=$B44)*(economics!$D$2:$D$167="process")*economics!$AH$2:$AH$167*(_xlfn.NORM.DIST(I$3,economics!$AK$2:$AK$167,economics!$AJ$2:$AJ$167,TRUE)-_xlfn.NORM.DIST(I$30,economics!$AK$2:$AK$167,economics!$AJ$2:$AJ$167,TRUE))*economics!$AM$2:$AM$167))/(SUMPRODUCT((economics!$AG$2:$AG$167=$B44)*(economics!$D$2:$D$167="process")*economics!$AH$2:$AH$167*(_xlfn.NORM.DIST(I$3,economics!$AK$2:$AK$167,economics!$AJ$2:$AJ$167,TRUE)-_xlfn.NORM.DIST(I$30,economics!$AK$2:$AK$167,economics!$AJ$2:$AJ$167,TRUE)))),"")</f>
        <v/>
      </c>
      <c r="J44">
        <f t="array" ref="J44">IFERROR((SUMPRODUCT((economics!$AG$2:$AG$167=$B44)*(economics!$D$2:$D$167="process")*economics!$AH$2:$AH$167*(_xlfn.NORM.DIST(J$3,economics!$AK$2:$AK$167,economics!$AJ$2:$AJ$167,TRUE)-_xlfn.NORM.DIST(J$30,economics!$AK$2:$AK$167,economics!$AJ$2:$AJ$167,TRUE))*economics!$AM$2:$AM$167))/(SUMPRODUCT((economics!$AG$2:$AG$167=$B44)*(economics!$D$2:$D$167="process")*economics!$AH$2:$AH$167*(_xlfn.NORM.DIST(J$3,economics!$AK$2:$AK$167,economics!$AJ$2:$AJ$167,TRUE)-_xlfn.NORM.DIST(J$30,economics!$AK$2:$AK$167,economics!$AJ$2:$AJ$167,TRUE)))),"")</f>
        <v/>
      </c>
      <c r="K44">
        <f t="array" ref="K44">IFERROR((SUMPRODUCT((economics!$AG$2:$AG$167=$B44)*(economics!$D$2:$D$167="process")*economics!$AH$2:$AH$167*(_xlfn.NORM.DIST(K$3,economics!$AK$2:$AK$167,economics!$AJ$2:$AJ$167,TRUE)-_xlfn.NORM.DIST(K$30,economics!$AK$2:$AK$167,economics!$AJ$2:$AJ$167,TRUE))*economics!$AM$2:$AM$167))/(SUMPRODUCT((economics!$AG$2:$AG$167=$B44)*(economics!$D$2:$D$167="process")*economics!$AH$2:$AH$167*(_xlfn.NORM.DIST(K$3,economics!$AK$2:$AK$167,economics!$AJ$2:$AJ$167,TRUE)-_xlfn.NORM.DIST(K$30,economics!$AK$2:$AK$167,economics!$AJ$2:$AJ$167,TRUE)))),"")</f>
        <v/>
      </c>
      <c r="L44">
        <f t="array" ref="L44">IFERROR((SUMPRODUCT((economics!$AG$2:$AG$167=$B44)*(economics!$D$2:$D$167="process")*economics!$AH$2:$AH$167*(_xlfn.NORM.DIST(L$3,economics!$AK$2:$AK$167,economics!$AJ$2:$AJ$167,TRUE)-_xlfn.NORM.DIST(L$30,economics!$AK$2:$AK$167,economics!$AJ$2:$AJ$167,TRUE))*economics!$AM$2:$AM$167))/(SUMPRODUCT((economics!$AG$2:$AG$167=$B44)*(economics!$D$2:$D$167="process")*economics!$AH$2:$AH$167*(_xlfn.NORM.DIST(L$3,economics!$AK$2:$AK$167,economics!$AJ$2:$AJ$167,TRUE)-_xlfn.NORM.DIST(L$30,economics!$AK$2:$AK$167,economics!$AJ$2:$AJ$167,TRUE)))),"")</f>
        <v/>
      </c>
      <c r="M44">
        <f t="array" ref="M44">IFERROR((SUMPRODUCT((economics!$AG$2:$AG$167=$B44)*(economics!$D$2:$D$167="process")*economics!$AH$2:$AH$167*(_xlfn.NORM.DIST(M$3,economics!$AK$2:$AK$167,economics!$AJ$2:$AJ$167,TRUE)-_xlfn.NORM.DIST(M$30,economics!$AK$2:$AK$167,economics!$AJ$2:$AJ$167,TRUE))*economics!$AM$2:$AM$167))/(SUMPRODUCT((economics!$AG$2:$AG$167=$B44)*(economics!$D$2:$D$167="process")*economics!$AH$2:$AH$167*(_xlfn.NORM.DIST(M$3,economics!$AK$2:$AK$167,economics!$AJ$2:$AJ$167,TRUE)-_xlfn.NORM.DIST(M$30,economics!$AK$2:$AK$167,economics!$AJ$2:$AJ$167,TRUE)))),"")</f>
        <v/>
      </c>
      <c r="N44">
        <f t="array" ref="N44">IFERROR((SUMPRODUCT((economics!$AG$2:$AG$167=$B44)*(economics!$D$2:$D$167="process")*economics!$AH$2:$AH$167*(_xlfn.NORM.DIST(N$3,economics!$AK$2:$AK$167,economics!$AJ$2:$AJ$167,TRUE)-_xlfn.NORM.DIST(N$30,economics!$AK$2:$AK$167,economics!$AJ$2:$AJ$167,TRUE))*economics!$AM$2:$AM$167))/(SUMPRODUCT((economics!$AG$2:$AG$167=$B44)*(economics!$D$2:$D$167="process")*economics!$AH$2:$AH$167*(_xlfn.NORM.DIST(N$3,economics!$AK$2:$AK$167,economics!$AJ$2:$AJ$167,TRUE)-_xlfn.NORM.DIST(N$30,economics!$AK$2:$AK$167,economics!$AJ$2:$AJ$167,TRUE)))),"")</f>
        <v/>
      </c>
      <c r="O44">
        <f t="array" ref="O44">IFERROR((SUMPRODUCT((economics!$AG$2:$AG$167=$B44)*(economics!$D$2:$D$167="process")*economics!$AH$2:$AH$167*(_xlfn.NORM.DIST(O$3,economics!$AK$2:$AK$167,economics!$AJ$2:$AJ$167,TRUE)-_xlfn.NORM.DIST(O$30,economics!$AK$2:$AK$167,economics!$AJ$2:$AJ$167,TRUE))*economics!$AM$2:$AM$167))/(SUMPRODUCT((economics!$AG$2:$AG$167=$B44)*(economics!$D$2:$D$167="process")*economics!$AH$2:$AH$167*(_xlfn.NORM.DIST(O$3,economics!$AK$2:$AK$167,economics!$AJ$2:$AJ$167,TRUE)-_xlfn.NORM.DIST(O$30,economics!$AK$2:$AK$167,economics!$AJ$2:$AJ$167,TRUE)))),"")</f>
        <v/>
      </c>
      <c r="P44">
        <f t="array" ref="P44">IFERROR((SUMPRODUCT((economics!$AG$2:$AG$167=$B44)*(economics!$D$2:$D$167="process")*economics!$AH$2:$AH$167*(_xlfn.NORM.DIST(P$3,economics!$AK$2:$AK$167,economics!$AJ$2:$AJ$167,TRUE)-_xlfn.NORM.DIST(P$30,economics!$AK$2:$AK$167,economics!$AJ$2:$AJ$167,TRUE))*economics!$AM$2:$AM$167))/(SUMPRODUCT((economics!$AG$2:$AG$167=$B44)*(economics!$D$2:$D$167="process")*economics!$AH$2:$AH$167*(_xlfn.NORM.DIST(P$3,economics!$AK$2:$AK$167,economics!$AJ$2:$AJ$167,TRUE)-_xlfn.NORM.DIST(P$30,economics!$AK$2:$AK$167,economics!$AJ$2:$AJ$167,TRUE)))),"")</f>
        <v/>
      </c>
      <c r="Q44">
        <f t="array" ref="Q44">IFERROR((SUMPRODUCT((economics!$AG$2:$AG$167=$B44)*(economics!$D$2:$D$167="process")*economics!$AH$2:$AH$167*(_xlfn.NORM.DIST(Q$3,economics!$AK$2:$AK$167,economics!$AJ$2:$AJ$167,TRUE)-_xlfn.NORM.DIST(Q$30,economics!$AK$2:$AK$167,economics!$AJ$2:$AJ$167,TRUE))*economics!$AM$2:$AM$167))/(SUMPRODUCT((economics!$AG$2:$AG$167=$B44)*(economics!$D$2:$D$167="process")*economics!$AH$2:$AH$167*(_xlfn.NORM.DIST(Q$3,economics!$AK$2:$AK$167,economics!$AJ$2:$AJ$167,TRUE)-_xlfn.NORM.DIST(Q$30,economics!$AK$2:$AK$167,economics!$AJ$2:$AJ$167,TRUE)))),"")</f>
        <v/>
      </c>
      <c r="R44">
        <f t="array" ref="R44">IFERROR((SUMPRODUCT((economics!$AG$2:$AG$167=$B44)*(economics!$D$2:$D$167="process")*economics!$AH$2:$AH$167*(_xlfn.NORM.DIST(R$3,economics!$AK$2:$AK$167,economics!$AJ$2:$AJ$167,TRUE)-_xlfn.NORM.DIST(R$30,economics!$AK$2:$AK$167,economics!$AJ$2:$AJ$167,TRUE))*economics!$AM$2:$AM$167))/(SUMPRODUCT((economics!$AG$2:$AG$167=$B44)*(economics!$D$2:$D$167="process")*economics!$AH$2:$AH$167*(_xlfn.NORM.DIST(R$3,economics!$AK$2:$AK$167,economics!$AJ$2:$AJ$167,TRUE)-_xlfn.NORM.DIST(R$30,economics!$AK$2:$AK$167,economics!$AJ$2:$AJ$167,TRUE)))),"")</f>
        <v/>
      </c>
      <c r="S44">
        <f t="array" ref="S44">IFERROR((SUMPRODUCT((economics!$AG$2:$AG$167=$B44)*(economics!$D$2:$D$167="process")*economics!$AH$2:$AH$167*(_xlfn.NORM.DIST(S$3,economics!$AK$2:$AK$167,economics!$AJ$2:$AJ$167,TRUE)-_xlfn.NORM.DIST(S$30,economics!$AK$2:$AK$167,economics!$AJ$2:$AJ$167,TRUE))*economics!$AM$2:$AM$167))/(SUMPRODUCT((economics!$AG$2:$AG$167=$B44)*(economics!$D$2:$D$167="process")*economics!$AH$2:$AH$167*(_xlfn.NORM.DIST(S$3,economics!$AK$2:$AK$167,economics!$AJ$2:$AJ$167,TRUE)-_xlfn.NORM.DIST(S$30,economics!$AK$2:$AK$167,economics!$AJ$2:$AJ$167,TRUE)))),"")</f>
        <v/>
      </c>
      <c r="T44">
        <f t="array" ref="T44">IFERROR((SUMPRODUCT((economics!$AG$2:$AG$167=$B44)*(economics!$D$2:$D$167="process")*economics!$AH$2:$AH$167*(_xlfn.NORM.DIST(T$3,economics!$AK$2:$AK$167,economics!$AJ$2:$AJ$167,TRUE)-_xlfn.NORM.DIST(T$30,economics!$AK$2:$AK$167,economics!$AJ$2:$AJ$167,TRUE))*economics!$AM$2:$AM$167))/(SUMPRODUCT((economics!$AG$2:$AG$167=$B44)*(economics!$D$2:$D$167="process")*economics!$AH$2:$AH$167*(_xlfn.NORM.DIST(T$3,economics!$AK$2:$AK$167,economics!$AJ$2:$AJ$167,TRUE)-_xlfn.NORM.DIST(T$30,economics!$AK$2:$AK$167,economics!$AJ$2:$AJ$167,TRUE)))),"")</f>
        <v/>
      </c>
      <c r="U44">
        <f t="array" ref="U44">IFERROR((SUMPRODUCT((economics!$AG$2:$AG$167=$B44)*(economics!$D$2:$D$167="process")*economics!$AH$2:$AH$167*(_xlfn.NORM.DIST(U$3,economics!$AK$2:$AK$167,economics!$AJ$2:$AJ$167,TRUE)-_xlfn.NORM.DIST(U$30,economics!$AK$2:$AK$167,economics!$AJ$2:$AJ$167,TRUE))*economics!$AM$2:$AM$167))/(SUMPRODUCT((economics!$AG$2:$AG$167=$B44)*(economics!$D$2:$D$167="process")*economics!$AH$2:$AH$167*(_xlfn.NORM.DIST(U$3,economics!$AK$2:$AK$167,economics!$AJ$2:$AJ$167,TRUE)-_xlfn.NORM.DIST(U$30,economics!$AK$2:$AK$167,economics!$AJ$2:$AJ$167,TRUE)))),"")</f>
        <v/>
      </c>
      <c r="V44">
        <f t="array" ref="V44">IFERROR((SUMPRODUCT((economics!$AG$2:$AG$167=$B44)*(economics!$D$2:$D$167="process")*economics!$AH$2:$AH$167*(_xlfn.NORM.DIST(V$3,economics!$AK$2:$AK$167,economics!$AJ$2:$AJ$167,TRUE)-_xlfn.NORM.DIST(V$30,economics!$AK$2:$AK$167,economics!$AJ$2:$AJ$167,TRUE))*economics!$AM$2:$AM$167))/(SUMPRODUCT((economics!$AG$2:$AG$167=$B44)*(economics!$D$2:$D$167="process")*economics!$AH$2:$AH$167*(_xlfn.NORM.DIST(V$3,economics!$AK$2:$AK$167,economics!$AJ$2:$AJ$167,TRUE)-_xlfn.NORM.DIST(V$30,economics!$AK$2:$AK$167,economics!$AJ$2:$AJ$167,TRUE)))),"")</f>
        <v/>
      </c>
      <c r="W44">
        <f t="array" ref="W44">IFERROR((SUMPRODUCT((economics!$AG$2:$AG$167=$B44)*(economics!$D$2:$D$167="process")*economics!$AH$2:$AH$167*(_xlfn.NORM.DIST(W$3,economics!$AK$2:$AK$167,economics!$AJ$2:$AJ$167,TRUE)-_xlfn.NORM.DIST(W$30,economics!$AK$2:$AK$167,economics!$AJ$2:$AJ$167,TRUE))*economics!$AM$2:$AM$167))/(SUMPRODUCT((economics!$AG$2:$AG$167=$B44)*(economics!$D$2:$D$167="process")*economics!$AH$2:$AH$167*(_xlfn.NORM.DIST(W$3,economics!$AK$2:$AK$167,economics!$AJ$2:$AJ$167,TRUE)-_xlfn.NORM.DIST(W$30,economics!$AK$2:$AK$167,economics!$AJ$2:$AJ$167,TRUE)))),"")</f>
        <v/>
      </c>
      <c r="X44">
        <f t="array" ref="X44">IFERROR((SUMPRODUCT((economics!$AG$2:$AG$167=$B44)*(economics!$D$2:$D$167="process")*economics!$AH$2:$AH$167*(_xlfn.NORM.DIST(X$3,economics!$AK$2:$AK$167,economics!$AJ$2:$AJ$167,TRUE)-_xlfn.NORM.DIST(X$30,economics!$AK$2:$AK$167,economics!$AJ$2:$AJ$167,TRUE))*economics!$AM$2:$AM$167))/(SUMPRODUCT((economics!$AG$2:$AG$167=$B44)*(economics!$D$2:$D$167="process")*economics!$AH$2:$AH$167*(_xlfn.NORM.DIST(X$3,economics!$AK$2:$AK$167,economics!$AJ$2:$AJ$167,TRUE)-_xlfn.NORM.DIST(X$30,economics!$AK$2:$AK$167,economics!$AJ$2:$AJ$167,TRUE)))),"")</f>
        <v/>
      </c>
      <c r="Y44">
        <f t="array" ref="Y44">IFERROR((SUMPRODUCT((economics!$AG$2:$AG$167=$B44)*(economics!$D$2:$D$167="process")*economics!$AH$2:$AH$167*(_xlfn.NORM.DIST(Y$3,economics!$AK$2:$AK$167,economics!$AJ$2:$AJ$167,TRUE)-_xlfn.NORM.DIST(Y$30,economics!$AK$2:$AK$167,economics!$AJ$2:$AJ$167,TRUE))*economics!$AM$2:$AM$167))/(SUMPRODUCT((economics!$AG$2:$AG$167=$B44)*(economics!$D$2:$D$167="process")*economics!$AH$2:$AH$167*(_xlfn.NORM.DIST(Y$3,economics!$AK$2:$AK$167,economics!$AJ$2:$AJ$167,TRUE)-_xlfn.NORM.DIST(Y$30,economics!$AK$2:$AK$167,economics!$AJ$2:$AJ$167,TRUE)))),"")</f>
        <v/>
      </c>
      <c r="Z44">
        <f t="array" ref="Z44">IFERROR((SUMPRODUCT((economics!$AG$2:$AG$167=$B44)*(economics!$D$2:$D$167="process")*economics!$AH$2:$AH$167*(_xlfn.NORM.DIST(Z$3,economics!$AK$2:$AK$167,economics!$AJ$2:$AJ$167,TRUE)-_xlfn.NORM.DIST(Z$30,economics!$AK$2:$AK$167,economics!$AJ$2:$AJ$167,TRUE))*economics!$AM$2:$AM$167))/(SUMPRODUCT((economics!$AG$2:$AG$167=$B44)*(economics!$D$2:$D$167="process")*economics!$AH$2:$AH$167*(_xlfn.NORM.DIST(Z$3,economics!$AK$2:$AK$167,economics!$AJ$2:$AJ$167,TRUE)-_xlfn.NORM.DIST(Z$30,economics!$AK$2:$AK$167,economics!$AJ$2:$AJ$167,TRUE)))),"")</f>
        <v/>
      </c>
      <c r="AA44">
        <f t="array" ref="AA44">IFERROR((SUMPRODUCT((economics!$AG$2:$AG$167=$B44)*(economics!$D$2:$D$167="process")*economics!$AH$2:$AH$167*(_xlfn.NORM.DIST(AA$3,economics!$AK$2:$AK$167,economics!$AJ$2:$AJ$167,TRUE)-_xlfn.NORM.DIST(AA$30,economics!$AK$2:$AK$167,economics!$AJ$2:$AJ$167,TRUE))*economics!$AM$2:$AM$167))/(SUMPRODUCT((economics!$AG$2:$AG$167=$B44)*(economics!$D$2:$D$167="process")*economics!$AH$2:$AH$167*(_xlfn.NORM.DIST(AA$3,economics!$AK$2:$AK$167,economics!$AJ$2:$AJ$167,TRUE)-_xlfn.NORM.DIST(AA$30,economics!$AK$2:$AK$167,economics!$AJ$2:$AJ$167,TRUE)))),"")</f>
        <v/>
      </c>
      <c r="AB44">
        <f t="array" ref="AB44">IFERROR((SUMPRODUCT((economics!$AG$2:$AG$167=$B44)*(economics!$D$2:$D$167="process")*economics!$AH$2:$AH$167*(_xlfn.NORM.DIST(AB$3,economics!$AK$2:$AK$167,economics!$AJ$2:$AJ$167,TRUE)-_xlfn.NORM.DIST(AB$30,economics!$AK$2:$AK$167,economics!$AJ$2:$AJ$167,TRUE))*economics!$AM$2:$AM$167))/(SUMPRODUCT((economics!$AG$2:$AG$167=$B44)*(economics!$D$2:$D$167="process")*economics!$AH$2:$AH$167*(_xlfn.NORM.DIST(AB$3,economics!$AK$2:$AK$167,economics!$AJ$2:$AJ$167,TRUE)-_xlfn.NORM.DIST(AB$30,economics!$AK$2:$AK$167,economics!$AJ$2:$AJ$167,TRUE)))),"")</f>
        <v/>
      </c>
      <c r="AC44">
        <f t="array" ref="AC44">IFERROR((SUMPRODUCT((economics!$AG$2:$AG$167=$B44)*(economics!$D$2:$D$167="process")*economics!$AH$2:$AH$167*(_xlfn.NORM.DIST(AC$3,economics!$AK$2:$AK$167,economics!$AJ$2:$AJ$167,TRUE)-_xlfn.NORM.DIST(AC$30,economics!$AK$2:$AK$167,economics!$AJ$2:$AJ$167,TRUE))*economics!$AM$2:$AM$167))/(SUMPRODUCT((economics!$AG$2:$AG$167=$B44)*(economics!$D$2:$D$167="process")*economics!$AH$2:$AH$167*(_xlfn.NORM.DIST(AC$3,economics!$AK$2:$AK$167,economics!$AJ$2:$AJ$167,TRUE)-_xlfn.NORM.DIST(AC$30,economics!$AK$2:$AK$167,economics!$AJ$2:$AJ$167,TRUE)))),"")</f>
        <v/>
      </c>
      <c r="AD44">
        <f t="array" ref="AD44">IFERROR((SUMPRODUCT((economics!$AG$2:$AG$167=$B44)*(economics!$D$2:$D$167="process")*economics!$AH$2:$AH$167*(_xlfn.NORM.DIST(AD$3,economics!$AK$2:$AK$167,economics!$AJ$2:$AJ$167,TRUE)-_xlfn.NORM.DIST(AD$30,economics!$AK$2:$AK$167,economics!$AJ$2:$AJ$167,TRUE))*economics!$AM$2:$AM$167))/(SUMPRODUCT((economics!$AG$2:$AG$167=$B44)*(economics!$D$2:$D$167="process")*economics!$AH$2:$AH$167*(_xlfn.NORM.DIST(AD$3,economics!$AK$2:$AK$167,economics!$AJ$2:$AJ$167,TRUE)-_xlfn.NORM.DIST(AD$30,economics!$AK$2:$AK$167,economics!$AJ$2:$AJ$167,TRUE)))),"")</f>
        <v/>
      </c>
      <c r="AE44">
        <f t="array" ref="AE44">IFERROR((SUMPRODUCT((economics!$AG$2:$AG$167=$B44)*(economics!$D$2:$D$167="process")*economics!$AH$2:$AH$167*(_xlfn.NORM.DIST(AE$3,economics!$AK$2:$AK$167,economics!$AJ$2:$AJ$167,TRUE)-_xlfn.NORM.DIST(AE$30,economics!$AK$2:$AK$167,economics!$AJ$2:$AJ$167,TRUE))*economics!$AM$2:$AM$167))/(SUMPRODUCT((economics!$AG$2:$AG$167=$B44)*(economics!$D$2:$D$167="process")*economics!$AH$2:$AH$167*(_xlfn.NORM.DIST(AE$3,economics!$AK$2:$AK$167,economics!$AJ$2:$AJ$167,TRUE)-_xlfn.NORM.DIST(AE$30,economics!$AK$2:$AK$167,economics!$AJ$2:$AJ$167,TRUE)))),"")</f>
        <v/>
      </c>
      <c r="AF44">
        <f t="array" ref="AF44">IFERROR((SUMPRODUCT((economics!$AG$2:$AG$167=$B44)*(economics!$D$2:$D$167="process")*economics!$AH$2:$AH$167*(_xlfn.NORM.DIST(AF$3,economics!$AK$2:$AK$167,economics!$AJ$2:$AJ$167,TRUE)-_xlfn.NORM.DIST(AF$30,economics!$AK$2:$AK$167,economics!$AJ$2:$AJ$167,TRUE))*economics!$AM$2:$AM$167))/(SUMPRODUCT((economics!$AG$2:$AG$167=$B44)*(economics!$D$2:$D$167="process")*economics!$AH$2:$AH$167*(_xlfn.NORM.DIST(AF$3,economics!$AK$2:$AK$167,economics!$AJ$2:$AJ$167,TRUE)-_xlfn.NORM.DIST(AF$30,economics!$AK$2:$AK$167,economics!$AJ$2:$AJ$167,TRUE)))),"")</f>
        <v/>
      </c>
      <c r="AG44">
        <f t="array" ref="AG44">IFERROR((SUMPRODUCT((economics!$AG$2:$AG$167=$B44)*(economics!$D$2:$D$167="process")*economics!$AH$2:$AH$167*(_xlfn.NORM.DIST(AG$3,economics!$AK$2:$AK$167,economics!$AJ$2:$AJ$167,TRUE)-_xlfn.NORM.DIST(AG$30,economics!$AK$2:$AK$167,economics!$AJ$2:$AJ$167,TRUE))*economics!$AM$2:$AM$167))/(SUMPRODUCT((economics!$AG$2:$AG$167=$B44)*(economics!$D$2:$D$167="process")*economics!$AH$2:$AH$167*(_xlfn.NORM.DIST(AG$3,economics!$AK$2:$AK$167,economics!$AJ$2:$AJ$167,TRUE)-_xlfn.NORM.DIST(AG$30,economics!$AK$2:$AK$167,economics!$AJ$2:$AJ$167,TRUE)))),"")</f>
        <v/>
      </c>
      <c r="AH44">
        <f t="array" ref="AH44">IFERROR((SUMPRODUCT((economics!$AG$2:$AG$167=$B44)*(economics!$D$2:$D$167="process")*economics!$AH$2:$AH$167*(_xlfn.NORM.DIST(AH$3,economics!$AK$2:$AK$167,economics!$AJ$2:$AJ$167,TRUE)-_xlfn.NORM.DIST(AH$30,economics!$AK$2:$AK$167,economics!$AJ$2:$AJ$167,TRUE))*economics!$AM$2:$AM$167))/(SUMPRODUCT((economics!$AG$2:$AG$167=$B44)*(economics!$D$2:$D$167="process")*economics!$AH$2:$AH$167*(_xlfn.NORM.DIST(AH$3,economics!$AK$2:$AK$167,economics!$AJ$2:$AJ$167,TRUE)-_xlfn.NORM.DIST(AH$30,economics!$AK$2:$AK$167,economics!$AJ$2:$AJ$167,TRUE)))),"")</f>
        <v/>
      </c>
      <c r="AI44">
        <f t="array" ref="AI44">IFERROR((SUMPRODUCT((economics!$AG$2:$AG$167=$B44)*(economics!$D$2:$D$167="process")*economics!$AH$2:$AH$167*(_xlfn.NORM.DIST(AI$3,economics!$AK$2:$AK$167,economics!$AJ$2:$AJ$167,TRUE)-_xlfn.NORM.DIST(AI$30,economics!$AK$2:$AK$167,economics!$AJ$2:$AJ$167,TRUE))*economics!$AM$2:$AM$167))/(SUMPRODUCT((economics!$AG$2:$AG$167=$B44)*(economics!$D$2:$D$167="process")*economics!$AH$2:$AH$167*(_xlfn.NORM.DIST(AI$3,economics!$AK$2:$AK$167,economics!$AJ$2:$AJ$167,TRUE)-_xlfn.NORM.DIST(AI$30,economics!$AK$2:$AK$167,economics!$AJ$2:$AJ$167,TRUE)))),"")</f>
        <v/>
      </c>
      <c r="AJ44">
        <f t="array" ref="AJ44">IFERROR((SUMPRODUCT((economics!$AG$2:$AG$167=$B44)*(economics!$D$2:$D$167="process")*economics!$AH$2:$AH$167*(_xlfn.NORM.DIST(AJ$3,economics!$AK$2:$AK$167,economics!$AJ$2:$AJ$167,TRUE)-_xlfn.NORM.DIST(AJ$30,economics!$AK$2:$AK$167,economics!$AJ$2:$AJ$167,TRUE))*economics!$AM$2:$AM$167))/(SUMPRODUCT((economics!$AG$2:$AG$167=$B44)*(economics!$D$2:$D$167="process")*economics!$AH$2:$AH$167*(_xlfn.NORM.DIST(AJ$3,economics!$AK$2:$AK$167,economics!$AJ$2:$AJ$167,TRUE)-_xlfn.NORM.DIST(AJ$30,economics!$AK$2:$AK$167,economics!$AJ$2:$AJ$167,TRUE)))),"")</f>
        <v/>
      </c>
      <c r="AK44">
        <f t="array" ref="AK44">IFERROR((SUMPRODUCT((economics!$AG$2:$AG$167=$B44)*(economics!$D$2:$D$167="process")*economics!$AH$2:$AH$167*(_xlfn.NORM.DIST(AK$3,economics!$AK$2:$AK$167,economics!$AJ$2:$AJ$167,TRUE)-_xlfn.NORM.DIST(AK$30,economics!$AK$2:$AK$167,economics!$AJ$2:$AJ$167,TRUE))*economics!$AM$2:$AM$167))/(SUMPRODUCT((economics!$AG$2:$AG$167=$B44)*(economics!$D$2:$D$167="process")*economics!$AH$2:$AH$167*(_xlfn.NORM.DIST(AK$3,economics!$AK$2:$AK$167,economics!$AJ$2:$AJ$167,TRUE)-_xlfn.NORM.DIST(AK$30,economics!$AK$2:$AK$167,economics!$AJ$2:$AJ$167,TRUE)))),"")</f>
        <v/>
      </c>
      <c r="AL44">
        <f t="array" ref="AL44">IFERROR((SUMPRODUCT((economics!$AG$2:$AG$167=$B44)*(economics!$D$2:$D$167="process")*economics!$AH$2:$AH$167*(_xlfn.NORM.DIST(AL$3,economics!$AK$2:$AK$167,economics!$AJ$2:$AJ$167,TRUE)-_xlfn.NORM.DIST(AL$30,economics!$AK$2:$AK$167,economics!$AJ$2:$AJ$167,TRUE))*economics!$AM$2:$AM$167))/(SUMPRODUCT((economics!$AG$2:$AG$167=$B44)*(economics!$D$2:$D$167="process")*economics!$AH$2:$AH$167*(_xlfn.NORM.DIST(AL$3,economics!$AK$2:$AK$167,economics!$AJ$2:$AJ$167,TRUE)-_xlfn.NORM.DIST(AL$30,economics!$AK$2:$AK$167,economics!$AJ$2:$AJ$167,TRUE)))),"")</f>
        <v/>
      </c>
      <c r="AM44">
        <f t="array" ref="AM44">IFERROR((SUMPRODUCT((economics!$AG$2:$AG$167=$B44)*(economics!$D$2:$D$167="process")*economics!$AH$2:$AH$167*(_xlfn.NORM.DIST(AM$3,economics!$AK$2:$AK$167,economics!$AJ$2:$AJ$167,TRUE)-_xlfn.NORM.DIST(AM$30,economics!$AK$2:$AK$167,economics!$AJ$2:$AJ$167,TRUE))*economics!$AM$2:$AM$167))/(SUMPRODUCT((economics!$AG$2:$AG$167=$B44)*(economics!$D$2:$D$167="process")*economics!$AH$2:$AH$167*(_xlfn.NORM.DIST(AM$3,economics!$AK$2:$AK$167,economics!$AJ$2:$AJ$167,TRUE)-_xlfn.NORM.DIST(AM$30,economics!$AK$2:$AK$167,economics!$AJ$2:$AJ$167,TRUE)))),"")</f>
        <v/>
      </c>
      <c r="AN44">
        <f t="array" ref="AN44">IFERROR((SUMPRODUCT((economics!$AG$2:$AG$167=$B44)*(economics!$D$2:$D$167="process")*economics!$AH$2:$AH$167*(_xlfn.NORM.DIST(AN$3,economics!$AK$2:$AK$167,economics!$AJ$2:$AJ$167,TRUE)-_xlfn.NORM.DIST(AN$30,economics!$AK$2:$AK$167,economics!$AJ$2:$AJ$167,TRUE))*economics!$AM$2:$AM$167))/(SUMPRODUCT((economics!$AG$2:$AG$167=$B44)*(economics!$D$2:$D$167="process")*economics!$AH$2:$AH$167*(_xlfn.NORM.DIST(AN$3,economics!$AK$2:$AK$167,economics!$AJ$2:$AJ$167,TRUE)-_xlfn.NORM.DIST(AN$30,economics!$AK$2:$AK$167,economics!$AJ$2:$AJ$167,TRUE)))),"")</f>
        <v/>
      </c>
      <c r="AO44">
        <f t="array" ref="AO44">IFERROR((SUMPRODUCT((economics!$AG$2:$AG$167=$B44)*(economics!$D$2:$D$167="process")*economics!$AH$2:$AH$167*(_xlfn.NORM.DIST(AO$3,economics!$AK$2:$AK$167,economics!$AJ$2:$AJ$167,TRUE)-_xlfn.NORM.DIST(AO$30,economics!$AK$2:$AK$167,economics!$AJ$2:$AJ$167,TRUE))*economics!$AM$2:$AM$167))/(SUMPRODUCT((economics!$AG$2:$AG$167=$B44)*(economics!$D$2:$D$167="process")*economics!$AH$2:$AH$167*(_xlfn.NORM.DIST(AO$3,economics!$AK$2:$AK$167,economics!$AJ$2:$AJ$167,TRUE)-_xlfn.NORM.DIST(AO$30,economics!$AK$2:$AK$167,economics!$AJ$2:$AJ$167,TRUE)))),"")</f>
        <v/>
      </c>
      <c r="AP44">
        <f t="array" ref="AP44">IFERROR((SUMPRODUCT((economics!$AG$2:$AG$167=$B44)*(economics!$D$2:$D$167="process")*economics!$AH$2:$AH$167*(_xlfn.NORM.DIST(AP$3,economics!$AK$2:$AK$167,economics!$AJ$2:$AJ$167,TRUE)-_xlfn.NORM.DIST(AP$30,economics!$AK$2:$AK$167,economics!$AJ$2:$AJ$167,TRUE))*economics!$AM$2:$AM$167))/(SUMPRODUCT((economics!$AG$2:$AG$167=$B44)*(economics!$D$2:$D$167="process")*economics!$AH$2:$AH$167*(_xlfn.NORM.DIST(AP$3,economics!$AK$2:$AK$167,economics!$AJ$2:$AJ$167,TRUE)-_xlfn.NORM.DIST(AP$30,economics!$AK$2:$AK$167,economics!$AJ$2:$AJ$167,TRUE)))),"")</f>
        <v/>
      </c>
      <c r="AQ44">
        <f t="array" ref="AQ44">IFERROR((SUMPRODUCT((economics!$AG$2:$AG$167=$B44)*(economics!$D$2:$D$167="process")*economics!$AH$2:$AH$167*(_xlfn.NORM.DIST(AQ$3,economics!$AK$2:$AK$167,economics!$AJ$2:$AJ$167,TRUE)-_xlfn.NORM.DIST(AQ$30,economics!$AK$2:$AK$167,economics!$AJ$2:$AJ$167,TRUE))*economics!$AM$2:$AM$167))/(SUMPRODUCT((economics!$AG$2:$AG$167=$B44)*(economics!$D$2:$D$167="process")*economics!$AH$2:$AH$167*(_xlfn.NORM.DIST(AQ$3,economics!$AK$2:$AK$167,economics!$AJ$2:$AJ$167,TRUE)-_xlfn.NORM.DIST(AQ$30,economics!$AK$2:$AK$167,economics!$AJ$2:$AJ$167,TRUE)))),"")</f>
        <v/>
      </c>
      <c r="AR44">
        <f t="array" ref="AR44">IFERROR((SUMPRODUCT((economics!$AG$2:$AG$167=$B44)*(economics!$D$2:$D$167="process")*economics!$AH$2:$AH$167*(_xlfn.NORM.DIST(AR$3,economics!$AK$2:$AK$167,economics!$AJ$2:$AJ$167,TRUE)-_xlfn.NORM.DIST(AR$30,economics!$AK$2:$AK$167,economics!$AJ$2:$AJ$167,TRUE))*economics!$AM$2:$AM$167))/(SUMPRODUCT((economics!$AG$2:$AG$167=$B44)*(economics!$D$2:$D$167="process")*economics!$AH$2:$AH$167*(_xlfn.NORM.DIST(AR$3,economics!$AK$2:$AK$167,economics!$AJ$2:$AJ$167,TRUE)-_xlfn.NORM.DIST(AR$30,economics!$AK$2:$AK$167,economics!$AJ$2:$AJ$167,TRUE)))),"")</f>
        <v/>
      </c>
      <c r="AS44">
        <f t="array" ref="AS44">IFERROR((SUMPRODUCT((economics!$AG$2:$AG$167=$B44)*(economics!$D$2:$D$167="process")*economics!$AH$2:$AH$167*(_xlfn.NORM.DIST(AS$3,economics!$AK$2:$AK$167,economics!$AJ$2:$AJ$167,TRUE)-_xlfn.NORM.DIST(AS$30,economics!$AK$2:$AK$167,economics!$AJ$2:$AJ$167,TRUE))*economics!$AM$2:$AM$167))/(SUMPRODUCT((economics!$AG$2:$AG$167=$B44)*(economics!$D$2:$D$167="process")*economics!$AH$2:$AH$167*(_xlfn.NORM.DIST(AS$3,economics!$AK$2:$AK$167,economics!$AJ$2:$AJ$167,TRUE)-_xlfn.NORM.DIST(AS$30,economics!$AK$2:$AK$167,economics!$AJ$2:$AJ$167,TRUE)))),"")</f>
        <v/>
      </c>
      <c r="AT44">
        <f t="array" ref="AT44">IFERROR((SUMPRODUCT((economics!$AG$2:$AG$167=$B44)*(economics!$D$2:$D$167="process")*economics!$AH$2:$AH$167*(_xlfn.NORM.DIST(AT$3,economics!$AK$2:$AK$167,economics!$AJ$2:$AJ$167,TRUE)-_xlfn.NORM.DIST(AT$30,economics!$AK$2:$AK$167,economics!$AJ$2:$AJ$167,TRUE))*economics!$AM$2:$AM$167))/(SUMPRODUCT((economics!$AG$2:$AG$167=$B44)*(economics!$D$2:$D$167="process")*economics!$AH$2:$AH$167*(_xlfn.NORM.DIST(AT$3,economics!$AK$2:$AK$167,economics!$AJ$2:$AJ$167,TRUE)-_xlfn.NORM.DIST(AT$30,economics!$AK$2:$AK$167,economics!$AJ$2:$AJ$167,TRUE)))),"")</f>
        <v/>
      </c>
      <c r="AU44">
        <f t="array" ref="AU44">IFERROR((SUMPRODUCT((economics!$AG$2:$AG$167=$B44)*(economics!$D$2:$D$167="process")*economics!$AH$2:$AH$167*(_xlfn.NORM.DIST(AU$3,economics!$AK$2:$AK$167,economics!$AJ$2:$AJ$167,TRUE)-_xlfn.NORM.DIST(AU$30,economics!$AK$2:$AK$167,economics!$AJ$2:$AJ$167,TRUE))*economics!$AM$2:$AM$167))/(SUMPRODUCT((economics!$AG$2:$AG$167=$B44)*(economics!$D$2:$D$167="process")*economics!$AH$2:$AH$167*(_xlfn.NORM.DIST(AU$3,economics!$AK$2:$AK$167,economics!$AJ$2:$AJ$167,TRUE)-_xlfn.NORM.DIST(AU$30,economics!$AK$2:$AK$167,economics!$AJ$2:$AJ$167,TRUE)))),"")</f>
        <v/>
      </c>
      <c r="AV44">
        <f t="array" ref="AV44">IFERROR((SUMPRODUCT((economics!$AG$2:$AG$167=$B44)*(economics!$D$2:$D$167="process")*economics!$AH$2:$AH$167*(_xlfn.NORM.DIST(AV$3,economics!$AK$2:$AK$167,economics!$AJ$2:$AJ$167,TRUE)-_xlfn.NORM.DIST(AV$30,economics!$AK$2:$AK$167,economics!$AJ$2:$AJ$167,TRUE))*economics!$AM$2:$AM$167))/(SUMPRODUCT((economics!$AG$2:$AG$167=$B44)*(economics!$D$2:$D$167="process")*economics!$AH$2:$AH$167*(_xlfn.NORM.DIST(AV$3,economics!$AK$2:$AK$167,economics!$AJ$2:$AJ$167,TRUE)-_xlfn.NORM.DIST(AV$30,economics!$AK$2:$AK$167,economics!$AJ$2:$AJ$167,TRUE)))),"")</f>
        <v/>
      </c>
      <c r="AW44">
        <f t="array" ref="AW44">IFERROR((SUMPRODUCT((economics!$AG$2:$AG$167=$B44)*(economics!$D$2:$D$167="process")*economics!$AH$2:$AH$167*(_xlfn.NORM.DIST(AW$3,economics!$AK$2:$AK$167,economics!$AJ$2:$AJ$167,TRUE)-_xlfn.NORM.DIST(AW$30,economics!$AK$2:$AK$167,economics!$AJ$2:$AJ$167,TRUE))*economics!$AM$2:$AM$167))/(SUMPRODUCT((economics!$AG$2:$AG$167=$B44)*(economics!$D$2:$D$167="process")*economics!$AH$2:$AH$167*(_xlfn.NORM.DIST(AW$3,economics!$AK$2:$AK$167,economics!$AJ$2:$AJ$167,TRUE)-_xlfn.NORM.DIST(AW$30,economics!$AK$2:$AK$167,economics!$AJ$2:$AJ$167,TRUE)))),"")</f>
        <v/>
      </c>
      <c r="AX44">
        <f t="array" ref="AX44">IFERROR((SUMPRODUCT((economics!$AG$2:$AG$167=$B44)*(economics!$D$2:$D$167="process")*economics!$AH$2:$AH$167*(_xlfn.NORM.DIST(AX$3,economics!$AK$2:$AK$167,economics!$AJ$2:$AJ$167,TRUE)-_xlfn.NORM.DIST(AX$30,economics!$AK$2:$AK$167,economics!$AJ$2:$AJ$167,TRUE))*economics!$AM$2:$AM$167))/(SUMPRODUCT((economics!$AG$2:$AG$167=$B44)*(economics!$D$2:$D$167="process")*economics!$AH$2:$AH$167*(_xlfn.NORM.DIST(AX$3,economics!$AK$2:$AK$167,economics!$AJ$2:$AJ$167,TRUE)-_xlfn.NORM.DIST(AX$30,economics!$AK$2:$AK$167,economics!$AJ$2:$AJ$167,TRUE)))),"")</f>
        <v/>
      </c>
      <c r="AY44">
        <f t="array" ref="AY44">IFERROR((SUMPRODUCT((economics!$AG$2:$AG$167=$B44)*(economics!$D$2:$D$167="process")*economics!$AH$2:$AH$167*(_xlfn.NORM.DIST(AY$3,economics!$AK$2:$AK$167,economics!$AJ$2:$AJ$167,TRUE)-_xlfn.NORM.DIST(AY$30,economics!$AK$2:$AK$167,economics!$AJ$2:$AJ$167,TRUE))*economics!$AM$2:$AM$167))/(SUMPRODUCT((economics!$AG$2:$AG$167=$B44)*(economics!$D$2:$D$167="process")*economics!$AH$2:$AH$167*(_xlfn.NORM.DIST(AY$3,economics!$AK$2:$AK$167,economics!$AJ$2:$AJ$167,TRUE)-_xlfn.NORM.DIST(AY$30,economics!$AK$2:$AK$167,economics!$AJ$2:$AJ$167,TRUE)))),"")</f>
        <v/>
      </c>
      <c r="AZ44">
        <f t="array" ref="AZ44">IFERROR((SUMPRODUCT((economics!$AG$2:$AG$167=$B44)*(economics!$D$2:$D$167="process")*economics!$AH$2:$AH$167*(_xlfn.NORM.DIST(AZ$3,economics!$AK$2:$AK$167,economics!$AJ$2:$AJ$167,TRUE)-_xlfn.NORM.DIST(AZ$30,economics!$AK$2:$AK$167,economics!$AJ$2:$AJ$167,TRUE))*economics!$AM$2:$AM$167))/(SUMPRODUCT((economics!$AG$2:$AG$167=$B44)*(economics!$D$2:$D$167="process")*economics!$AH$2:$AH$167*(_xlfn.NORM.DIST(AZ$3,economics!$AK$2:$AK$167,economics!$AJ$2:$AJ$167,TRUE)-_xlfn.NORM.DIST(AZ$30,economics!$AK$2:$AK$167,economics!$AJ$2:$AJ$167,TRUE)))),"")</f>
        <v/>
      </c>
      <c r="BA44">
        <f t="array" ref="BA44">IFERROR((SUMPRODUCT((economics!$AG$2:$AG$167=$B44)*(economics!$D$2:$D$167="process")*economics!$AH$2:$AH$167*(_xlfn.NORM.DIST(BA$3,economics!$AK$2:$AK$167,economics!$AJ$2:$AJ$167,TRUE)-_xlfn.NORM.DIST(BA$30,economics!$AK$2:$AK$167,economics!$AJ$2:$AJ$167,TRUE))*economics!$AM$2:$AM$167))/(SUMPRODUCT((economics!$AG$2:$AG$167=$B44)*(economics!$D$2:$D$167="process")*economics!$AH$2:$AH$167*(_xlfn.NORM.DIST(BA$3,economics!$AK$2:$AK$167,economics!$AJ$2:$AJ$167,TRUE)-_xlfn.NORM.DIST(BA$30,economics!$AK$2:$AK$167,economics!$AJ$2:$AJ$167,TRUE)))),"")</f>
        <v/>
      </c>
      <c r="BB44">
        <f t="array" ref="BB44">IFERROR((SUMPRODUCT((economics!$AG$2:$AG$167=$B44)*(economics!$D$2:$D$167="process")*economics!$AH$2:$AH$167*(_xlfn.NORM.DIST(BB$3,economics!$AK$2:$AK$167,economics!$AJ$2:$AJ$167,TRUE)-_xlfn.NORM.DIST(BB$30,economics!$AK$2:$AK$167,economics!$AJ$2:$AJ$167,TRUE))*economics!$AM$2:$AM$167))/(SUMPRODUCT((economics!$AG$2:$AG$167=$B44)*(economics!$D$2:$D$167="process")*economics!$AH$2:$AH$167*(_xlfn.NORM.DIST(BB$3,economics!$AK$2:$AK$167,economics!$AJ$2:$AJ$167,TRUE)-_xlfn.NORM.DIST(BB$30,economics!$AK$2:$AK$167,economics!$AJ$2:$AJ$167,TRUE)))),"")</f>
        <v/>
      </c>
      <c r="BC44">
        <f t="array" ref="BC44">IFERROR((SUMPRODUCT((economics!$AG$2:$AG$167=$B44)*(economics!$D$2:$D$167="process")*economics!$AH$2:$AH$167*(_xlfn.NORM.DIST(BC$3,economics!$AK$2:$AK$167,economics!$AJ$2:$AJ$167,TRUE)-_xlfn.NORM.DIST(BC$30,economics!$AK$2:$AK$167,economics!$AJ$2:$AJ$167,TRUE))*economics!$AM$2:$AM$167))/(SUMPRODUCT((economics!$AG$2:$AG$167=$B44)*(economics!$D$2:$D$167="process")*economics!$AH$2:$AH$167*(_xlfn.NORM.DIST(BC$3,economics!$AK$2:$AK$167,economics!$AJ$2:$AJ$167,TRUE)-_xlfn.NORM.DIST(BC$30,economics!$AK$2:$AK$167,economics!$AJ$2:$AJ$167,TRUE)))),"")</f>
        <v/>
      </c>
      <c r="BD44">
        <f t="array" ref="BD44">IFERROR((SUMPRODUCT((economics!$AG$2:$AG$167=$B44)*(economics!$D$2:$D$167="process")*economics!$AH$2:$AH$167*(_xlfn.NORM.DIST(BD$3,economics!$AK$2:$AK$167,economics!$AJ$2:$AJ$167,TRUE)-_xlfn.NORM.DIST(BD$30,economics!$AK$2:$AK$167,economics!$AJ$2:$AJ$167,TRUE))*economics!$AM$2:$AM$167))/(SUMPRODUCT((economics!$AG$2:$AG$167=$B44)*(economics!$D$2:$D$167="process")*economics!$AH$2:$AH$167*(_xlfn.NORM.DIST(BD$3,economics!$AK$2:$AK$167,economics!$AJ$2:$AJ$167,TRUE)-_xlfn.NORM.DIST(BD$30,economics!$AK$2:$AK$167,economics!$AJ$2:$AJ$167,TRUE)))),"")</f>
        <v/>
      </c>
      <c r="BE44">
        <f t="array" ref="BE44">IFERROR((SUMPRODUCT((economics!$AG$2:$AG$167=$B44)*(economics!$D$2:$D$167="process")*economics!$AH$2:$AH$167*(_xlfn.NORM.DIST(BE$3,economics!$AK$2:$AK$167,economics!$AJ$2:$AJ$167,TRUE)-_xlfn.NORM.DIST(BE$30,economics!$AK$2:$AK$167,economics!$AJ$2:$AJ$167,TRUE))*economics!$AM$2:$AM$167))/(SUMPRODUCT((economics!$AG$2:$AG$167=$B44)*(economics!$D$2:$D$167="process")*economics!$AH$2:$AH$167*(_xlfn.NORM.DIST(BE$3,economics!$AK$2:$AK$167,economics!$AJ$2:$AJ$167,TRUE)-_xlfn.NORM.DIST(BE$30,economics!$AK$2:$AK$167,economics!$AJ$2:$AJ$167,TRUE)))),"")</f>
        <v/>
      </c>
      <c r="BF44">
        <f t="array" ref="BF44">IFERROR((SUMPRODUCT((economics!$AG$2:$AG$167=$B44)*(economics!$D$2:$D$167="process")*economics!$AH$2:$AH$167*(_xlfn.NORM.DIST(BF$3,economics!$AK$2:$AK$167,economics!$AJ$2:$AJ$167,TRUE)-_xlfn.NORM.DIST(BF$30,economics!$AK$2:$AK$167,economics!$AJ$2:$AJ$167,TRUE))*economics!$AM$2:$AM$167))/(SUMPRODUCT((economics!$AG$2:$AG$167=$B44)*(economics!$D$2:$D$167="process")*economics!$AH$2:$AH$167*(_xlfn.NORM.DIST(BF$3,economics!$AK$2:$AK$167,economics!$AJ$2:$AJ$167,TRUE)-_xlfn.NORM.DIST(BF$30,economics!$AK$2:$AK$167,economics!$AJ$2:$AJ$167,TRUE)))),"")</f>
        <v/>
      </c>
      <c r="BG44">
        <f t="array" ref="BG44">IFERROR((SUMPRODUCT((economics!$AG$2:$AG$167=$B44)*(economics!$D$2:$D$167="process")*economics!$AH$2:$AH$167*(_xlfn.NORM.DIST(BG$3,economics!$AK$2:$AK$167,economics!$AJ$2:$AJ$167,TRUE)-_xlfn.NORM.DIST(BG$30,economics!$AK$2:$AK$167,economics!$AJ$2:$AJ$167,TRUE))*economics!$AM$2:$AM$167))/(SUMPRODUCT((economics!$AG$2:$AG$167=$B44)*(economics!$D$2:$D$167="process")*economics!$AH$2:$AH$167*(_xlfn.NORM.DIST(BG$3,economics!$AK$2:$AK$167,economics!$AJ$2:$AJ$167,TRUE)-_xlfn.NORM.DIST(BG$30,economics!$AK$2:$AK$167,economics!$AJ$2:$AJ$167,TRUE)))),"")</f>
        <v/>
      </c>
      <c r="BH44">
        <f t="array" ref="BH44">IFERROR((SUMPRODUCT((economics!$AG$2:$AG$167=$B44)*(economics!$D$2:$D$167="process")*economics!$AH$2:$AH$167*(_xlfn.NORM.DIST(BH$3,economics!$AK$2:$AK$167,economics!$AJ$2:$AJ$167,TRUE)-_xlfn.NORM.DIST(BH$30,economics!$AK$2:$AK$167,economics!$AJ$2:$AJ$167,TRUE))*economics!$AM$2:$AM$167))/(SUMPRODUCT((economics!$AG$2:$AG$167=$B44)*(economics!$D$2:$D$167="process")*economics!$AH$2:$AH$167*(_xlfn.NORM.DIST(BH$3,economics!$AK$2:$AK$167,economics!$AJ$2:$AJ$167,TRUE)-_xlfn.NORM.DIST(BH$30,economics!$AK$2:$AK$167,economics!$AJ$2:$AJ$167,TRUE)))),"")</f>
        <v/>
      </c>
      <c r="BI44">
        <f t="array" ref="BI44">IFERROR((SUMPRODUCT((economics!$AG$2:$AG$167=$B44)*(economics!$D$2:$D$167="process")*economics!$AH$2:$AH$167*(_xlfn.NORM.DIST(BI$3,economics!$AK$2:$AK$167,economics!$AJ$2:$AJ$167,TRUE)-_xlfn.NORM.DIST(BI$30,economics!$AK$2:$AK$167,economics!$AJ$2:$AJ$167,TRUE))*economics!$AM$2:$AM$167))/(SUMPRODUCT((economics!$AG$2:$AG$167=$B44)*(economics!$D$2:$D$167="process")*economics!$AH$2:$AH$167*(_xlfn.NORM.DIST(BI$3,economics!$AK$2:$AK$167,economics!$AJ$2:$AJ$167,TRUE)-_xlfn.NORM.DIST(BI$30,economics!$AK$2:$AK$167,economics!$AJ$2:$AJ$167,TRUE)))),"")</f>
        <v/>
      </c>
      <c r="BJ44">
        <f t="array" ref="BJ44">IFERROR((SUMPRODUCT((economics!$AG$2:$AG$167=$B44)*(economics!$D$2:$D$167="process")*economics!$AH$2:$AH$167*(_xlfn.NORM.DIST(BJ$3,economics!$AK$2:$AK$167,economics!$AJ$2:$AJ$167,TRUE)-_xlfn.NORM.DIST(BJ$30,economics!$AK$2:$AK$167,economics!$AJ$2:$AJ$167,TRUE))*economics!$AM$2:$AM$167))/(SUMPRODUCT((economics!$AG$2:$AG$167=$B44)*(economics!$D$2:$D$167="process")*economics!$AH$2:$AH$167*(_xlfn.NORM.DIST(BJ$3,economics!$AK$2:$AK$167,economics!$AJ$2:$AJ$167,TRUE)-_xlfn.NORM.DIST(BJ$30,economics!$AK$2:$AK$167,economics!$AJ$2:$AJ$167,TRUE)))),"")</f>
        <v/>
      </c>
      <c r="BK44">
        <f t="array" ref="BK44">IFERROR((SUMPRODUCT((economics!$AG$2:$AG$167=$B44)*(economics!$D$2:$D$167="process")*economics!$AH$2:$AH$167*(_xlfn.NORM.DIST(BK$3,economics!$AK$2:$AK$167,economics!$AJ$2:$AJ$167,TRUE)-_xlfn.NORM.DIST(BK$30,economics!$AK$2:$AK$167,economics!$AJ$2:$AJ$167,TRUE))*economics!$AM$2:$AM$167))/(SUMPRODUCT((economics!$AG$2:$AG$167=$B44)*(economics!$D$2:$D$167="process")*economics!$AH$2:$AH$167*(_xlfn.NORM.DIST(BK$3,economics!$AK$2:$AK$167,economics!$AJ$2:$AJ$167,TRUE)-_xlfn.NORM.DIST(BK$30,economics!$AK$2:$AK$167,economics!$AJ$2:$AJ$167,TRUE)))),"")</f>
        <v/>
      </c>
      <c r="BL44">
        <f t="array" ref="BL44">IFERROR((SUMPRODUCT((economics!$AG$2:$AG$167=$B44)*(economics!$D$2:$D$167="process")*economics!$AH$2:$AH$167*(_xlfn.NORM.DIST(BL$3,economics!$AK$2:$AK$167,economics!$AJ$2:$AJ$167,TRUE)-_xlfn.NORM.DIST(BL$30,economics!$AK$2:$AK$167,economics!$AJ$2:$AJ$167,TRUE))*economics!$AM$2:$AM$167))/(SUMPRODUCT((economics!$AG$2:$AG$167=$B44)*(economics!$D$2:$D$167="process")*economics!$AH$2:$AH$167*(_xlfn.NORM.DIST(BL$3,economics!$AK$2:$AK$167,economics!$AJ$2:$AJ$167,TRUE)-_xlfn.NORM.DIST(BL$30,economics!$AK$2:$AK$167,economics!$AJ$2:$AJ$167,TRUE)))),"")</f>
        <v/>
      </c>
      <c r="BM44">
        <f t="array" ref="BM44">IFERROR((SUMPRODUCT((economics!$AG$2:$AG$167=$B44)*(economics!$D$2:$D$167="process")*economics!$AH$2:$AH$167*(_xlfn.NORM.DIST(BM$3,economics!$AK$2:$AK$167,economics!$AJ$2:$AJ$167,TRUE)-_xlfn.NORM.DIST(BM$30,economics!$AK$2:$AK$167,economics!$AJ$2:$AJ$167,TRUE))*economics!$AM$2:$AM$167))/(SUMPRODUCT((economics!$AG$2:$AG$167=$B44)*(economics!$D$2:$D$167="process")*economics!$AH$2:$AH$167*(_xlfn.NORM.DIST(BM$3,economics!$AK$2:$AK$167,economics!$AJ$2:$AJ$167,TRUE)-_xlfn.NORM.DIST(BM$30,economics!$AK$2:$AK$167,economics!$AJ$2:$AJ$167,TRUE)))),"")</f>
        <v/>
      </c>
      <c r="BN44">
        <f t="array" ref="BN44">IFERROR((SUMPRODUCT((economics!$AG$2:$AG$167=$B44)*(economics!$D$2:$D$167="process")*economics!$AH$2:$AH$167*(_xlfn.NORM.DIST(BN$3,economics!$AK$2:$AK$167,economics!$AJ$2:$AJ$167,TRUE)-_xlfn.NORM.DIST(BN$30,economics!$AK$2:$AK$167,economics!$AJ$2:$AJ$167,TRUE))*economics!$AM$2:$AM$167))/(SUMPRODUCT((economics!$AG$2:$AG$167=$B44)*(economics!$D$2:$D$167="process")*economics!$AH$2:$AH$167*(_xlfn.NORM.DIST(BN$3,economics!$AK$2:$AK$167,economics!$AJ$2:$AJ$167,TRUE)-_xlfn.NORM.DIST(BN$30,economics!$AK$2:$AK$167,economics!$AJ$2:$AJ$167,TRUE)))),"")</f>
        <v/>
      </c>
      <c r="BO44">
        <f t="array" ref="BO44">IFERROR((SUMPRODUCT((economics!$AG$2:$AG$167=$B44)*(economics!$D$2:$D$167="process")*economics!$AH$2:$AH$167*(_xlfn.NORM.DIST(BO$3,economics!$AK$2:$AK$167,economics!$AJ$2:$AJ$167,TRUE)-_xlfn.NORM.DIST(BO$30,economics!$AK$2:$AK$167,economics!$AJ$2:$AJ$167,TRUE))*economics!$AM$2:$AM$167))/(SUMPRODUCT((economics!$AG$2:$AG$167=$B44)*(economics!$D$2:$D$167="process")*economics!$AH$2:$AH$167*(_xlfn.NORM.DIST(BO$3,economics!$AK$2:$AK$167,economics!$AJ$2:$AJ$167,TRUE)-_xlfn.NORM.DIST(BO$30,economics!$AK$2:$AK$167,economics!$AJ$2:$AJ$167,TRUE)))),"")</f>
        <v/>
      </c>
      <c r="BP44">
        <f t="array" ref="BP44">IFERROR((SUMPRODUCT((economics!$AG$2:$AG$167=$B44)*(economics!$D$2:$D$167="process")*economics!$AH$2:$AH$167*(_xlfn.NORM.DIST(BP$3,economics!$AK$2:$AK$167,economics!$AJ$2:$AJ$167,TRUE)-_xlfn.NORM.DIST(BP$30,economics!$AK$2:$AK$167,economics!$AJ$2:$AJ$167,TRUE))*economics!$AM$2:$AM$167))/(SUMPRODUCT((economics!$AG$2:$AG$167=$B44)*(economics!$D$2:$D$167="process")*economics!$AH$2:$AH$167*(_xlfn.NORM.DIST(BP$3,economics!$AK$2:$AK$167,economics!$AJ$2:$AJ$167,TRUE)-_xlfn.NORM.DIST(BP$30,economics!$AK$2:$AK$167,economics!$AJ$2:$AJ$167,TRUE)))),"")</f>
        <v/>
      </c>
      <c r="BQ44">
        <f t="array" ref="BQ44">IFERROR((SUMPRODUCT((economics!$AG$2:$AG$167=$B44)*(economics!$D$2:$D$167="process")*economics!$AH$2:$AH$167*(_xlfn.NORM.DIST(BQ$3,economics!$AK$2:$AK$167,economics!$AJ$2:$AJ$167,TRUE)-_xlfn.NORM.DIST(BQ$30,economics!$AK$2:$AK$167,economics!$AJ$2:$AJ$167,TRUE))*economics!$AM$2:$AM$167))/(SUMPRODUCT((economics!$AG$2:$AG$167=$B44)*(economics!$D$2:$D$167="process")*economics!$AH$2:$AH$167*(_xlfn.NORM.DIST(BQ$3,economics!$AK$2:$AK$167,economics!$AJ$2:$AJ$167,TRUE)-_xlfn.NORM.DIST(BQ$30,economics!$AK$2:$AK$167,economics!$AJ$2:$AJ$167,TRUE)))),"")</f>
        <v/>
      </c>
      <c r="BR44">
        <f t="array" ref="BR44">IFERROR((SUMPRODUCT((economics!$AG$2:$AG$167=$B44)*(economics!$D$2:$D$167="process")*economics!$AH$2:$AH$167*(_xlfn.NORM.DIST(BR$3,economics!$AK$2:$AK$167,economics!$AJ$2:$AJ$167,TRUE)-_xlfn.NORM.DIST(BR$30,economics!$AK$2:$AK$167,economics!$AJ$2:$AJ$167,TRUE))*economics!$AM$2:$AM$167))/(SUMPRODUCT((economics!$AG$2:$AG$167=$B44)*(economics!$D$2:$D$167="process")*economics!$AH$2:$AH$167*(_xlfn.NORM.DIST(BR$3,economics!$AK$2:$AK$167,economics!$AJ$2:$AJ$167,TRUE)-_xlfn.NORM.DIST(BR$30,economics!$AK$2:$AK$167,economics!$AJ$2:$AJ$167,TRUE)))),"")</f>
        <v/>
      </c>
      <c r="BS44">
        <f t="array" ref="BS44">IFERROR((SUMPRODUCT((economics!$AG$2:$AG$167=$B44)*(economics!$D$2:$D$167="process")*economics!$AH$2:$AH$167*(_xlfn.NORM.DIST(BS$3,economics!$AK$2:$AK$167,economics!$AJ$2:$AJ$167,TRUE)-_xlfn.NORM.DIST(BS$30,economics!$AK$2:$AK$167,economics!$AJ$2:$AJ$167,TRUE))*economics!$AM$2:$AM$167))/(SUMPRODUCT((economics!$AG$2:$AG$167=$B44)*(economics!$D$2:$D$167="process")*economics!$AH$2:$AH$167*(_xlfn.NORM.DIST(BS$3,economics!$AK$2:$AK$167,economics!$AJ$2:$AJ$167,TRUE)-_xlfn.NORM.DIST(BS$30,economics!$AK$2:$AK$167,economics!$AJ$2:$AJ$167,TRUE)))),"")</f>
        <v/>
      </c>
      <c r="BT44">
        <f t="array" ref="BT44">IFERROR((SUMPRODUCT((economics!$AG$2:$AG$167=$B44)*(economics!$D$2:$D$167="process")*economics!$AH$2:$AH$167*(_xlfn.NORM.DIST(BT$3,economics!$AK$2:$AK$167,economics!$AJ$2:$AJ$167,TRUE)-_xlfn.NORM.DIST(BT$30,economics!$AK$2:$AK$167,economics!$AJ$2:$AJ$167,TRUE))*economics!$AM$2:$AM$167))/(SUMPRODUCT((economics!$AG$2:$AG$167=$B44)*(economics!$D$2:$D$167="process")*economics!$AH$2:$AH$167*(_xlfn.NORM.DIST(BT$3,economics!$AK$2:$AK$167,economics!$AJ$2:$AJ$167,TRUE)-_xlfn.NORM.DIST(BT$30,economics!$AK$2:$AK$167,economics!$AJ$2:$AJ$167,TRUE)))),"")</f>
        <v/>
      </c>
      <c r="BU44">
        <f t="array" ref="BU44">IFERROR((SUMPRODUCT((economics!$AG$2:$AG$167=$B44)*(economics!$D$2:$D$167="process")*economics!$AH$2:$AH$167*(_xlfn.NORM.DIST(BU$3,economics!$AK$2:$AK$167,economics!$AJ$2:$AJ$167,TRUE)-_xlfn.NORM.DIST(BU$30,economics!$AK$2:$AK$167,economics!$AJ$2:$AJ$167,TRUE))*economics!$AM$2:$AM$167))/(SUMPRODUCT((economics!$AG$2:$AG$167=$B44)*(economics!$D$2:$D$167="process")*economics!$AH$2:$AH$167*(_xlfn.NORM.DIST(BU$3,economics!$AK$2:$AK$167,economics!$AJ$2:$AJ$167,TRUE)-_xlfn.NORM.DIST(BU$30,economics!$AK$2:$AK$167,economics!$AJ$2:$AJ$167,TRUE)))),"")</f>
        <v/>
      </c>
      <c r="BV44">
        <f t="array" ref="BV44">IFERROR((SUMPRODUCT((economics!$AG$2:$AG$167=$B44)*(economics!$D$2:$D$167="process")*economics!$AH$2:$AH$167*(_xlfn.NORM.DIST(BV$3,economics!$AK$2:$AK$167,economics!$AJ$2:$AJ$167,TRUE)-_xlfn.NORM.DIST(BV$30,economics!$AK$2:$AK$167,economics!$AJ$2:$AJ$167,TRUE))*economics!$AM$2:$AM$167))/(SUMPRODUCT((economics!$AG$2:$AG$167=$B44)*(economics!$D$2:$D$167="process")*economics!$AH$2:$AH$167*(_xlfn.NORM.DIST(BV$3,economics!$AK$2:$AK$167,economics!$AJ$2:$AJ$167,TRUE)-_xlfn.NORM.DIST(BV$30,economics!$AK$2:$AK$167,economics!$AJ$2:$AJ$167,TRUE)))),"")</f>
        <v/>
      </c>
      <c r="BW44">
        <f t="array" ref="BW44">IFERROR((SUMPRODUCT((economics!$AG$2:$AG$167=$B44)*(economics!$D$2:$D$167="process")*economics!$AH$2:$AH$167*(_xlfn.NORM.DIST(BW$3,economics!$AK$2:$AK$167,economics!$AJ$2:$AJ$167,TRUE)-_xlfn.NORM.DIST(BW$30,economics!$AK$2:$AK$167,economics!$AJ$2:$AJ$167,TRUE))*economics!$AM$2:$AM$167))/(SUMPRODUCT((economics!$AG$2:$AG$167=$B44)*(economics!$D$2:$D$167="process")*economics!$AH$2:$AH$167*(_xlfn.NORM.DIST(BW$3,economics!$AK$2:$AK$167,economics!$AJ$2:$AJ$167,TRUE)-_xlfn.NORM.DIST(BW$30,economics!$AK$2:$AK$167,economics!$AJ$2:$AJ$167,TRUE)))),"")</f>
        <v/>
      </c>
      <c r="BX44">
        <f t="array" ref="BX44">IFERROR((SUMPRODUCT((economics!$AG$2:$AG$167=$B44)*(economics!$D$2:$D$167="process")*economics!$AH$2:$AH$167*(_xlfn.NORM.DIST(BX$3,economics!$AK$2:$AK$167,economics!$AJ$2:$AJ$167,TRUE)-_xlfn.NORM.DIST(BX$30,economics!$AK$2:$AK$167,economics!$AJ$2:$AJ$167,TRUE))*economics!$AM$2:$AM$167))/(SUMPRODUCT((economics!$AG$2:$AG$167=$B44)*(economics!$D$2:$D$167="process")*economics!$AH$2:$AH$167*(_xlfn.NORM.DIST(BX$3,economics!$AK$2:$AK$167,economics!$AJ$2:$AJ$167,TRUE)-_xlfn.NORM.DIST(BX$30,economics!$AK$2:$AK$167,economics!$AJ$2:$AJ$167,TRUE)))),"")</f>
        <v/>
      </c>
      <c r="BY44">
        <f t="array" ref="BY44">IFERROR((SUMPRODUCT((economics!$AG$2:$AG$167=$B44)*(economics!$D$2:$D$167="process")*economics!$AH$2:$AH$167*(_xlfn.NORM.DIST(BY$3,economics!$AK$2:$AK$167,economics!$AJ$2:$AJ$167,TRUE)-_xlfn.NORM.DIST(BY$30,economics!$AK$2:$AK$167,economics!$AJ$2:$AJ$167,TRUE))*economics!$AM$2:$AM$167))/(SUMPRODUCT((economics!$AG$2:$AG$167=$B44)*(economics!$D$2:$D$167="process")*economics!$AH$2:$AH$167*(_xlfn.NORM.DIST(BY$3,economics!$AK$2:$AK$167,economics!$AJ$2:$AJ$167,TRUE)-_xlfn.NORM.DIST(BY$30,economics!$AK$2:$AK$167,economics!$AJ$2:$AJ$167,TRUE)))),"")</f>
        <v/>
      </c>
      <c r="BZ44">
        <f t="array" ref="BZ44">IFERROR((SUMPRODUCT((economics!$AG$2:$AG$167=$B44)*(economics!$D$2:$D$167="process")*economics!$AH$2:$AH$167*(_xlfn.NORM.DIST(BZ$3,economics!$AK$2:$AK$167,economics!$AJ$2:$AJ$167,TRUE)-_xlfn.NORM.DIST(BZ$30,economics!$AK$2:$AK$167,economics!$AJ$2:$AJ$167,TRUE))*economics!$AM$2:$AM$167))/(SUMPRODUCT((economics!$AG$2:$AG$167=$B44)*(economics!$D$2:$D$167="process")*economics!$AH$2:$AH$167*(_xlfn.NORM.DIST(BZ$3,economics!$AK$2:$AK$167,economics!$AJ$2:$AJ$167,TRUE)-_xlfn.NORM.DIST(BZ$30,economics!$AK$2:$AK$167,economics!$AJ$2:$AJ$167,TRUE)))),"")</f>
        <v/>
      </c>
      <c r="CA44">
        <f t="array" ref="CA44">IFERROR((SUMPRODUCT((economics!$AG$2:$AG$167=$B44)*(economics!$D$2:$D$167="process")*economics!$AH$2:$AH$167*(_xlfn.NORM.DIST(CA$3,economics!$AK$2:$AK$167,economics!$AJ$2:$AJ$167,TRUE)-_xlfn.NORM.DIST(CA$30,economics!$AK$2:$AK$167,economics!$AJ$2:$AJ$167,TRUE))*economics!$AM$2:$AM$167))/(SUMPRODUCT((economics!$AG$2:$AG$167=$B44)*(economics!$D$2:$D$167="process")*economics!$AH$2:$AH$167*(_xlfn.NORM.DIST(CA$3,economics!$AK$2:$AK$167,economics!$AJ$2:$AJ$167,TRUE)-_xlfn.NORM.DIST(CA$30,economics!$AK$2:$AK$167,economics!$AJ$2:$AJ$167,TRUE)))),"")</f>
        <v/>
      </c>
      <c r="CB44">
        <f t="array" ref="CB44">IFERROR((SUMPRODUCT((economics!$AG$2:$AG$167=$B44)*(economics!$D$2:$D$167="process")*economics!$AH$2:$AH$167*(_xlfn.NORM.DIST(CB$3,economics!$AK$2:$AK$167,economics!$AJ$2:$AJ$167,TRUE)-_xlfn.NORM.DIST(CB$30,economics!$AK$2:$AK$167,economics!$AJ$2:$AJ$167,TRUE))*economics!$AM$2:$AM$167))/(SUMPRODUCT((economics!$AG$2:$AG$167=$B44)*(economics!$D$2:$D$167="process")*economics!$AH$2:$AH$167*(_xlfn.NORM.DIST(CB$3,economics!$AK$2:$AK$167,economics!$AJ$2:$AJ$167,TRUE)-_xlfn.NORM.DIST(CB$30,economics!$AK$2:$AK$167,economics!$AJ$2:$AJ$167,TRUE)))),"")</f>
        <v/>
      </c>
      <c r="CC44">
        <f t="array" ref="CC44">IFERROR((SUMPRODUCT((economics!$AG$2:$AG$167=$B44)*(economics!$D$2:$D$167="process")*economics!$AH$2:$AH$167*(_xlfn.NORM.DIST(CC$3,economics!$AK$2:$AK$167,economics!$AJ$2:$AJ$167,TRUE)-_xlfn.NORM.DIST(CC$30,economics!$AK$2:$AK$167,economics!$AJ$2:$AJ$167,TRUE))*economics!$AM$2:$AM$167))/(SUMPRODUCT((economics!$AG$2:$AG$167=$B44)*(economics!$D$2:$D$167="process")*economics!$AH$2:$AH$167*(_xlfn.NORM.DIST(CC$3,economics!$AK$2:$AK$167,economics!$AJ$2:$AJ$167,TRUE)-_xlfn.NORM.DIST(CC$30,economics!$AK$2:$AK$167,economics!$AJ$2:$AJ$167,TRUE)))),"")</f>
        <v/>
      </c>
      <c r="CD44">
        <f t="array" ref="CD44">IFERROR((SUMPRODUCT((economics!$AG$2:$AG$167=$B44)*(economics!$D$2:$D$167="process")*economics!$AH$2:$AH$167*(_xlfn.NORM.DIST(CD$3,economics!$AK$2:$AK$167,economics!$AJ$2:$AJ$167,TRUE)-_xlfn.NORM.DIST(CD$30,economics!$AK$2:$AK$167,economics!$AJ$2:$AJ$167,TRUE))*economics!$AM$2:$AM$167))/(SUMPRODUCT((economics!$AG$2:$AG$167=$B44)*(economics!$D$2:$D$167="process")*economics!$AH$2:$AH$167*(_xlfn.NORM.DIST(CD$3,economics!$AK$2:$AK$167,economics!$AJ$2:$AJ$167,TRUE)-_xlfn.NORM.DIST(CD$30,economics!$AK$2:$AK$167,economics!$AJ$2:$AJ$167,TRUE)))),"")</f>
        <v/>
      </c>
      <c r="CE44">
        <f t="array" ref="CE44">IFERROR((SUMPRODUCT((economics!$AG$2:$AG$167=$B44)*(economics!$D$2:$D$167="process")*economics!$AH$2:$AH$167*(_xlfn.NORM.DIST(CE$3,economics!$AK$2:$AK$167,economics!$AJ$2:$AJ$167,TRUE)-_xlfn.NORM.DIST(CE$30,economics!$AK$2:$AK$167,economics!$AJ$2:$AJ$167,TRUE))*economics!$AM$2:$AM$167))/(SUMPRODUCT((economics!$AG$2:$AG$167=$B44)*(economics!$D$2:$D$167="process")*economics!$AH$2:$AH$167*(_xlfn.NORM.DIST(CE$3,economics!$AK$2:$AK$167,economics!$AJ$2:$AJ$167,TRUE)-_xlfn.NORM.DIST(CE$30,economics!$AK$2:$AK$167,economics!$AJ$2:$AJ$167,TRUE)))),"")</f>
        <v/>
      </c>
      <c r="CF44">
        <f t="array" ref="CF44">IFERROR((SUMPRODUCT((economics!$AG$2:$AG$167=$B44)*(economics!$D$2:$D$167="process")*economics!$AH$2:$AH$167*(_xlfn.NORM.DIST(CF$3,economics!$AK$2:$AK$167,economics!$AJ$2:$AJ$167,TRUE)-_xlfn.NORM.DIST(CF$30,economics!$AK$2:$AK$167,economics!$AJ$2:$AJ$167,TRUE))*economics!$AM$2:$AM$167))/(SUMPRODUCT((economics!$AG$2:$AG$167=$B44)*(economics!$D$2:$D$167="process")*economics!$AH$2:$AH$167*(_xlfn.NORM.DIST(CF$3,economics!$AK$2:$AK$167,economics!$AJ$2:$AJ$167,TRUE)-_xlfn.NORM.DIST(CF$30,economics!$AK$2:$AK$167,economics!$AJ$2:$AJ$167,TRUE)))),"")</f>
        <v/>
      </c>
      <c r="CG44">
        <f t="array" ref="CG44">IFERROR((SUMPRODUCT((economics!$AG$2:$AG$167=$B44)*(economics!$D$2:$D$167="process")*economics!$AH$2:$AH$167*(_xlfn.NORM.DIST(CG$3,economics!$AK$2:$AK$167,economics!$AJ$2:$AJ$167,TRUE)-_xlfn.NORM.DIST(CG$30,economics!$AK$2:$AK$167,economics!$AJ$2:$AJ$167,TRUE))*economics!$AM$2:$AM$167))/(SUMPRODUCT((economics!$AG$2:$AG$167=$B44)*(economics!$D$2:$D$167="process")*economics!$AH$2:$AH$167*(_xlfn.NORM.DIST(CG$3,economics!$AK$2:$AK$167,economics!$AJ$2:$AJ$167,TRUE)-_xlfn.NORM.DIST(CG$30,economics!$AK$2:$AK$167,economics!$AJ$2:$AJ$167,TRUE)))),"")</f>
        <v/>
      </c>
      <c r="CH44">
        <f t="array" ref="CH44">IFERROR((SUMPRODUCT((economics!$AG$2:$AG$167=$B44)*(economics!$D$2:$D$167="process")*economics!$AH$2:$AH$167*(_xlfn.NORM.DIST(CH$3,economics!$AK$2:$AK$167,economics!$AJ$2:$AJ$167,TRUE)-_xlfn.NORM.DIST(CH$30,economics!$AK$2:$AK$167,economics!$AJ$2:$AJ$167,TRUE))*economics!$AM$2:$AM$167))/(SUMPRODUCT((economics!$AG$2:$AG$167=$B44)*(economics!$D$2:$D$167="process")*economics!$AH$2:$AH$167*(_xlfn.NORM.DIST(CH$3,economics!$AK$2:$AK$167,economics!$AJ$2:$AJ$167,TRUE)-_xlfn.NORM.DIST(CH$30,economics!$AK$2:$AK$167,economics!$AJ$2:$AJ$167,TRUE)))),"")</f>
        <v/>
      </c>
    </row>
    <row r="45">
      <c r="A45">
        <f>A16</f>
        <v/>
      </c>
      <c r="B45">
        <f>B16</f>
        <v/>
      </c>
      <c r="E45">
        <f t="array" ref="E45">IFERROR((SUMPRODUCT((economics!$AG$2:$AG$167=$B45)*(economics!$D$2:$D$167="process")*economics!$AH$2:$AH$167*(_xlfn.NORM.DIST(E$3,economics!$AK$2:$AK$167,economics!$AJ$2:$AJ$167,TRUE)-_xlfn.NORM.DIST(E$30,economics!$AK$2:$AK$167,economics!$AJ$2:$AJ$167,TRUE))*economics!$AM$2:$AM$167))/(SUMPRODUCT((economics!$AG$2:$AG$167=$B45)*(economics!$D$2:$D$167="process")*economics!$AH$2:$AH$167*(_xlfn.NORM.DIST(E$3,economics!$AK$2:$AK$167,economics!$AJ$2:$AJ$167,TRUE)-_xlfn.NORM.DIST(E$30,economics!$AK$2:$AK$167,economics!$AJ$2:$AJ$167,TRUE)))),"")</f>
        <v/>
      </c>
      <c r="F45">
        <f t="array" ref="F45">IFERROR((SUMPRODUCT((economics!$AG$2:$AG$167=$B45)*(economics!$D$2:$D$167="process")*economics!$AH$2:$AH$167*(_xlfn.NORM.DIST(F$3,economics!$AK$2:$AK$167,economics!$AJ$2:$AJ$167,TRUE)-_xlfn.NORM.DIST(F$30,economics!$AK$2:$AK$167,economics!$AJ$2:$AJ$167,TRUE))*economics!$AM$2:$AM$167))/(SUMPRODUCT((economics!$AG$2:$AG$167=$B45)*(economics!$D$2:$D$167="process")*economics!$AH$2:$AH$167*(_xlfn.NORM.DIST(F$3,economics!$AK$2:$AK$167,economics!$AJ$2:$AJ$167,TRUE)-_xlfn.NORM.DIST(F$30,economics!$AK$2:$AK$167,economics!$AJ$2:$AJ$167,TRUE)))),"")</f>
        <v/>
      </c>
      <c r="G45">
        <f t="array" ref="G45">IFERROR((SUMPRODUCT((economics!$AG$2:$AG$167=$B45)*(economics!$D$2:$D$167="process")*economics!$AH$2:$AH$167*(_xlfn.NORM.DIST(G$3,economics!$AK$2:$AK$167,economics!$AJ$2:$AJ$167,TRUE)-_xlfn.NORM.DIST(G$30,economics!$AK$2:$AK$167,economics!$AJ$2:$AJ$167,TRUE))*economics!$AM$2:$AM$167))/(SUMPRODUCT((economics!$AG$2:$AG$167=$B45)*(economics!$D$2:$D$167="process")*economics!$AH$2:$AH$167*(_xlfn.NORM.DIST(G$3,economics!$AK$2:$AK$167,economics!$AJ$2:$AJ$167,TRUE)-_xlfn.NORM.DIST(G$30,economics!$AK$2:$AK$167,economics!$AJ$2:$AJ$167,TRUE)))),"")</f>
        <v/>
      </c>
      <c r="H45">
        <f t="array" ref="H45">IFERROR((SUMPRODUCT((economics!$AG$2:$AG$167=$B45)*(economics!$D$2:$D$167="process")*economics!$AH$2:$AH$167*(_xlfn.NORM.DIST(H$3,economics!$AK$2:$AK$167,economics!$AJ$2:$AJ$167,TRUE)-_xlfn.NORM.DIST(H$30,economics!$AK$2:$AK$167,economics!$AJ$2:$AJ$167,TRUE))*economics!$AM$2:$AM$167))/(SUMPRODUCT((economics!$AG$2:$AG$167=$B45)*(economics!$D$2:$D$167="process")*economics!$AH$2:$AH$167*(_xlfn.NORM.DIST(H$3,economics!$AK$2:$AK$167,economics!$AJ$2:$AJ$167,TRUE)-_xlfn.NORM.DIST(H$30,economics!$AK$2:$AK$167,economics!$AJ$2:$AJ$167,TRUE)))),"")</f>
        <v/>
      </c>
      <c r="I45">
        <f t="array" ref="I45">IFERROR((SUMPRODUCT((economics!$AG$2:$AG$167=$B45)*(economics!$D$2:$D$167="process")*economics!$AH$2:$AH$167*(_xlfn.NORM.DIST(I$3,economics!$AK$2:$AK$167,economics!$AJ$2:$AJ$167,TRUE)-_xlfn.NORM.DIST(I$30,economics!$AK$2:$AK$167,economics!$AJ$2:$AJ$167,TRUE))*economics!$AM$2:$AM$167))/(SUMPRODUCT((economics!$AG$2:$AG$167=$B45)*(economics!$D$2:$D$167="process")*economics!$AH$2:$AH$167*(_xlfn.NORM.DIST(I$3,economics!$AK$2:$AK$167,economics!$AJ$2:$AJ$167,TRUE)-_xlfn.NORM.DIST(I$30,economics!$AK$2:$AK$167,economics!$AJ$2:$AJ$167,TRUE)))),"")</f>
        <v/>
      </c>
      <c r="J45">
        <f t="array" ref="J45">IFERROR((SUMPRODUCT((economics!$AG$2:$AG$167=$B45)*(economics!$D$2:$D$167="process")*economics!$AH$2:$AH$167*(_xlfn.NORM.DIST(J$3,economics!$AK$2:$AK$167,economics!$AJ$2:$AJ$167,TRUE)-_xlfn.NORM.DIST(J$30,economics!$AK$2:$AK$167,economics!$AJ$2:$AJ$167,TRUE))*economics!$AM$2:$AM$167))/(SUMPRODUCT((economics!$AG$2:$AG$167=$B45)*(economics!$D$2:$D$167="process")*economics!$AH$2:$AH$167*(_xlfn.NORM.DIST(J$3,economics!$AK$2:$AK$167,economics!$AJ$2:$AJ$167,TRUE)-_xlfn.NORM.DIST(J$30,economics!$AK$2:$AK$167,economics!$AJ$2:$AJ$167,TRUE)))),"")</f>
        <v/>
      </c>
      <c r="K45">
        <f t="array" ref="K45">IFERROR((SUMPRODUCT((economics!$AG$2:$AG$167=$B45)*(economics!$D$2:$D$167="process")*economics!$AH$2:$AH$167*(_xlfn.NORM.DIST(K$3,economics!$AK$2:$AK$167,economics!$AJ$2:$AJ$167,TRUE)-_xlfn.NORM.DIST(K$30,economics!$AK$2:$AK$167,economics!$AJ$2:$AJ$167,TRUE))*economics!$AM$2:$AM$167))/(SUMPRODUCT((economics!$AG$2:$AG$167=$B45)*(economics!$D$2:$D$167="process")*economics!$AH$2:$AH$167*(_xlfn.NORM.DIST(K$3,economics!$AK$2:$AK$167,economics!$AJ$2:$AJ$167,TRUE)-_xlfn.NORM.DIST(K$30,economics!$AK$2:$AK$167,economics!$AJ$2:$AJ$167,TRUE)))),"")</f>
        <v/>
      </c>
      <c r="L45">
        <f t="array" ref="L45">IFERROR((SUMPRODUCT((economics!$AG$2:$AG$167=$B45)*(economics!$D$2:$D$167="process")*economics!$AH$2:$AH$167*(_xlfn.NORM.DIST(L$3,economics!$AK$2:$AK$167,economics!$AJ$2:$AJ$167,TRUE)-_xlfn.NORM.DIST(L$30,economics!$AK$2:$AK$167,economics!$AJ$2:$AJ$167,TRUE))*economics!$AM$2:$AM$167))/(SUMPRODUCT((economics!$AG$2:$AG$167=$B45)*(economics!$D$2:$D$167="process")*economics!$AH$2:$AH$167*(_xlfn.NORM.DIST(L$3,economics!$AK$2:$AK$167,economics!$AJ$2:$AJ$167,TRUE)-_xlfn.NORM.DIST(L$30,economics!$AK$2:$AK$167,economics!$AJ$2:$AJ$167,TRUE)))),"")</f>
        <v/>
      </c>
      <c r="M45">
        <f t="array" ref="M45">IFERROR((SUMPRODUCT((economics!$AG$2:$AG$167=$B45)*(economics!$D$2:$D$167="process")*economics!$AH$2:$AH$167*(_xlfn.NORM.DIST(M$3,economics!$AK$2:$AK$167,economics!$AJ$2:$AJ$167,TRUE)-_xlfn.NORM.DIST(M$30,economics!$AK$2:$AK$167,economics!$AJ$2:$AJ$167,TRUE))*economics!$AM$2:$AM$167))/(SUMPRODUCT((economics!$AG$2:$AG$167=$B45)*(economics!$D$2:$D$167="process")*economics!$AH$2:$AH$167*(_xlfn.NORM.DIST(M$3,economics!$AK$2:$AK$167,economics!$AJ$2:$AJ$167,TRUE)-_xlfn.NORM.DIST(M$30,economics!$AK$2:$AK$167,economics!$AJ$2:$AJ$167,TRUE)))),"")</f>
        <v/>
      </c>
      <c r="N45">
        <f t="array" ref="N45">IFERROR((SUMPRODUCT((economics!$AG$2:$AG$167=$B45)*(economics!$D$2:$D$167="process")*economics!$AH$2:$AH$167*(_xlfn.NORM.DIST(N$3,economics!$AK$2:$AK$167,economics!$AJ$2:$AJ$167,TRUE)-_xlfn.NORM.DIST(N$30,economics!$AK$2:$AK$167,economics!$AJ$2:$AJ$167,TRUE))*economics!$AM$2:$AM$167))/(SUMPRODUCT((economics!$AG$2:$AG$167=$B45)*(economics!$D$2:$D$167="process")*economics!$AH$2:$AH$167*(_xlfn.NORM.DIST(N$3,economics!$AK$2:$AK$167,economics!$AJ$2:$AJ$167,TRUE)-_xlfn.NORM.DIST(N$30,economics!$AK$2:$AK$167,economics!$AJ$2:$AJ$167,TRUE)))),"")</f>
        <v/>
      </c>
      <c r="O45">
        <f t="array" ref="O45">IFERROR((SUMPRODUCT((economics!$AG$2:$AG$167=$B45)*(economics!$D$2:$D$167="process")*economics!$AH$2:$AH$167*(_xlfn.NORM.DIST(O$3,economics!$AK$2:$AK$167,economics!$AJ$2:$AJ$167,TRUE)-_xlfn.NORM.DIST(O$30,economics!$AK$2:$AK$167,economics!$AJ$2:$AJ$167,TRUE))*economics!$AM$2:$AM$167))/(SUMPRODUCT((economics!$AG$2:$AG$167=$B45)*(economics!$D$2:$D$167="process")*economics!$AH$2:$AH$167*(_xlfn.NORM.DIST(O$3,economics!$AK$2:$AK$167,economics!$AJ$2:$AJ$167,TRUE)-_xlfn.NORM.DIST(O$30,economics!$AK$2:$AK$167,economics!$AJ$2:$AJ$167,TRUE)))),"")</f>
        <v/>
      </c>
      <c r="P45">
        <f t="array" ref="P45">IFERROR((SUMPRODUCT((economics!$AG$2:$AG$167=$B45)*(economics!$D$2:$D$167="process")*economics!$AH$2:$AH$167*(_xlfn.NORM.DIST(P$3,economics!$AK$2:$AK$167,economics!$AJ$2:$AJ$167,TRUE)-_xlfn.NORM.DIST(P$30,economics!$AK$2:$AK$167,economics!$AJ$2:$AJ$167,TRUE))*economics!$AM$2:$AM$167))/(SUMPRODUCT((economics!$AG$2:$AG$167=$B45)*(economics!$D$2:$D$167="process")*economics!$AH$2:$AH$167*(_xlfn.NORM.DIST(P$3,economics!$AK$2:$AK$167,economics!$AJ$2:$AJ$167,TRUE)-_xlfn.NORM.DIST(P$30,economics!$AK$2:$AK$167,economics!$AJ$2:$AJ$167,TRUE)))),"")</f>
        <v/>
      </c>
      <c r="Q45">
        <f t="array" ref="Q45">IFERROR((SUMPRODUCT((economics!$AG$2:$AG$167=$B45)*(economics!$D$2:$D$167="process")*economics!$AH$2:$AH$167*(_xlfn.NORM.DIST(Q$3,economics!$AK$2:$AK$167,economics!$AJ$2:$AJ$167,TRUE)-_xlfn.NORM.DIST(Q$30,economics!$AK$2:$AK$167,economics!$AJ$2:$AJ$167,TRUE))*economics!$AM$2:$AM$167))/(SUMPRODUCT((economics!$AG$2:$AG$167=$B45)*(economics!$D$2:$D$167="process")*economics!$AH$2:$AH$167*(_xlfn.NORM.DIST(Q$3,economics!$AK$2:$AK$167,economics!$AJ$2:$AJ$167,TRUE)-_xlfn.NORM.DIST(Q$30,economics!$AK$2:$AK$167,economics!$AJ$2:$AJ$167,TRUE)))),"")</f>
        <v/>
      </c>
      <c r="R45">
        <f t="array" ref="R45">IFERROR((SUMPRODUCT((economics!$AG$2:$AG$167=$B45)*(economics!$D$2:$D$167="process")*economics!$AH$2:$AH$167*(_xlfn.NORM.DIST(R$3,economics!$AK$2:$AK$167,economics!$AJ$2:$AJ$167,TRUE)-_xlfn.NORM.DIST(R$30,economics!$AK$2:$AK$167,economics!$AJ$2:$AJ$167,TRUE))*economics!$AM$2:$AM$167))/(SUMPRODUCT((economics!$AG$2:$AG$167=$B45)*(economics!$D$2:$D$167="process")*economics!$AH$2:$AH$167*(_xlfn.NORM.DIST(R$3,economics!$AK$2:$AK$167,economics!$AJ$2:$AJ$167,TRUE)-_xlfn.NORM.DIST(R$30,economics!$AK$2:$AK$167,economics!$AJ$2:$AJ$167,TRUE)))),"")</f>
        <v/>
      </c>
      <c r="S45">
        <f t="array" ref="S45">IFERROR((SUMPRODUCT((economics!$AG$2:$AG$167=$B45)*(economics!$D$2:$D$167="process")*economics!$AH$2:$AH$167*(_xlfn.NORM.DIST(S$3,economics!$AK$2:$AK$167,economics!$AJ$2:$AJ$167,TRUE)-_xlfn.NORM.DIST(S$30,economics!$AK$2:$AK$167,economics!$AJ$2:$AJ$167,TRUE))*economics!$AM$2:$AM$167))/(SUMPRODUCT((economics!$AG$2:$AG$167=$B45)*(economics!$D$2:$D$167="process")*economics!$AH$2:$AH$167*(_xlfn.NORM.DIST(S$3,economics!$AK$2:$AK$167,economics!$AJ$2:$AJ$167,TRUE)-_xlfn.NORM.DIST(S$30,economics!$AK$2:$AK$167,economics!$AJ$2:$AJ$167,TRUE)))),"")</f>
        <v/>
      </c>
      <c r="T45">
        <f t="array" ref="T45">IFERROR((SUMPRODUCT((economics!$AG$2:$AG$167=$B45)*(economics!$D$2:$D$167="process")*economics!$AH$2:$AH$167*(_xlfn.NORM.DIST(T$3,economics!$AK$2:$AK$167,economics!$AJ$2:$AJ$167,TRUE)-_xlfn.NORM.DIST(T$30,economics!$AK$2:$AK$167,economics!$AJ$2:$AJ$167,TRUE))*economics!$AM$2:$AM$167))/(SUMPRODUCT((economics!$AG$2:$AG$167=$B45)*(economics!$D$2:$D$167="process")*economics!$AH$2:$AH$167*(_xlfn.NORM.DIST(T$3,economics!$AK$2:$AK$167,economics!$AJ$2:$AJ$167,TRUE)-_xlfn.NORM.DIST(T$30,economics!$AK$2:$AK$167,economics!$AJ$2:$AJ$167,TRUE)))),"")</f>
        <v/>
      </c>
      <c r="U45">
        <f t="array" ref="U45">IFERROR((SUMPRODUCT((economics!$AG$2:$AG$167=$B45)*(economics!$D$2:$D$167="process")*economics!$AH$2:$AH$167*(_xlfn.NORM.DIST(U$3,economics!$AK$2:$AK$167,economics!$AJ$2:$AJ$167,TRUE)-_xlfn.NORM.DIST(U$30,economics!$AK$2:$AK$167,economics!$AJ$2:$AJ$167,TRUE))*economics!$AM$2:$AM$167))/(SUMPRODUCT((economics!$AG$2:$AG$167=$B45)*(economics!$D$2:$D$167="process")*economics!$AH$2:$AH$167*(_xlfn.NORM.DIST(U$3,economics!$AK$2:$AK$167,economics!$AJ$2:$AJ$167,TRUE)-_xlfn.NORM.DIST(U$30,economics!$AK$2:$AK$167,economics!$AJ$2:$AJ$167,TRUE)))),"")</f>
        <v/>
      </c>
      <c r="V45">
        <f t="array" ref="V45">IFERROR((SUMPRODUCT((economics!$AG$2:$AG$167=$B45)*(economics!$D$2:$D$167="process")*economics!$AH$2:$AH$167*(_xlfn.NORM.DIST(V$3,economics!$AK$2:$AK$167,economics!$AJ$2:$AJ$167,TRUE)-_xlfn.NORM.DIST(V$30,economics!$AK$2:$AK$167,economics!$AJ$2:$AJ$167,TRUE))*economics!$AM$2:$AM$167))/(SUMPRODUCT((economics!$AG$2:$AG$167=$B45)*(economics!$D$2:$D$167="process")*economics!$AH$2:$AH$167*(_xlfn.NORM.DIST(V$3,economics!$AK$2:$AK$167,economics!$AJ$2:$AJ$167,TRUE)-_xlfn.NORM.DIST(V$30,economics!$AK$2:$AK$167,economics!$AJ$2:$AJ$167,TRUE)))),"")</f>
        <v/>
      </c>
      <c r="W45">
        <f t="array" ref="W45">IFERROR((SUMPRODUCT((economics!$AG$2:$AG$167=$B45)*(economics!$D$2:$D$167="process")*economics!$AH$2:$AH$167*(_xlfn.NORM.DIST(W$3,economics!$AK$2:$AK$167,economics!$AJ$2:$AJ$167,TRUE)-_xlfn.NORM.DIST(W$30,economics!$AK$2:$AK$167,economics!$AJ$2:$AJ$167,TRUE))*economics!$AM$2:$AM$167))/(SUMPRODUCT((economics!$AG$2:$AG$167=$B45)*(economics!$D$2:$D$167="process")*economics!$AH$2:$AH$167*(_xlfn.NORM.DIST(W$3,economics!$AK$2:$AK$167,economics!$AJ$2:$AJ$167,TRUE)-_xlfn.NORM.DIST(W$30,economics!$AK$2:$AK$167,economics!$AJ$2:$AJ$167,TRUE)))),"")</f>
        <v/>
      </c>
      <c r="X45">
        <f t="array" ref="X45">IFERROR((SUMPRODUCT((economics!$AG$2:$AG$167=$B45)*(economics!$D$2:$D$167="process")*economics!$AH$2:$AH$167*(_xlfn.NORM.DIST(X$3,economics!$AK$2:$AK$167,economics!$AJ$2:$AJ$167,TRUE)-_xlfn.NORM.DIST(X$30,economics!$AK$2:$AK$167,economics!$AJ$2:$AJ$167,TRUE))*economics!$AM$2:$AM$167))/(SUMPRODUCT((economics!$AG$2:$AG$167=$B45)*(economics!$D$2:$D$167="process")*economics!$AH$2:$AH$167*(_xlfn.NORM.DIST(X$3,economics!$AK$2:$AK$167,economics!$AJ$2:$AJ$167,TRUE)-_xlfn.NORM.DIST(X$30,economics!$AK$2:$AK$167,economics!$AJ$2:$AJ$167,TRUE)))),"")</f>
        <v/>
      </c>
      <c r="Y45">
        <f t="array" ref="Y45">IFERROR((SUMPRODUCT((economics!$AG$2:$AG$167=$B45)*(economics!$D$2:$D$167="process")*economics!$AH$2:$AH$167*(_xlfn.NORM.DIST(Y$3,economics!$AK$2:$AK$167,economics!$AJ$2:$AJ$167,TRUE)-_xlfn.NORM.DIST(Y$30,economics!$AK$2:$AK$167,economics!$AJ$2:$AJ$167,TRUE))*economics!$AM$2:$AM$167))/(SUMPRODUCT((economics!$AG$2:$AG$167=$B45)*(economics!$D$2:$D$167="process")*economics!$AH$2:$AH$167*(_xlfn.NORM.DIST(Y$3,economics!$AK$2:$AK$167,economics!$AJ$2:$AJ$167,TRUE)-_xlfn.NORM.DIST(Y$30,economics!$AK$2:$AK$167,economics!$AJ$2:$AJ$167,TRUE)))),"")</f>
        <v/>
      </c>
      <c r="Z45">
        <f t="array" ref="Z45">IFERROR((SUMPRODUCT((economics!$AG$2:$AG$167=$B45)*(economics!$D$2:$D$167="process")*economics!$AH$2:$AH$167*(_xlfn.NORM.DIST(Z$3,economics!$AK$2:$AK$167,economics!$AJ$2:$AJ$167,TRUE)-_xlfn.NORM.DIST(Z$30,economics!$AK$2:$AK$167,economics!$AJ$2:$AJ$167,TRUE))*economics!$AM$2:$AM$167))/(SUMPRODUCT((economics!$AG$2:$AG$167=$B45)*(economics!$D$2:$D$167="process")*economics!$AH$2:$AH$167*(_xlfn.NORM.DIST(Z$3,economics!$AK$2:$AK$167,economics!$AJ$2:$AJ$167,TRUE)-_xlfn.NORM.DIST(Z$30,economics!$AK$2:$AK$167,economics!$AJ$2:$AJ$167,TRUE)))),"")</f>
        <v/>
      </c>
      <c r="AA45">
        <f t="array" ref="AA45">IFERROR((SUMPRODUCT((economics!$AG$2:$AG$167=$B45)*(economics!$D$2:$D$167="process")*economics!$AH$2:$AH$167*(_xlfn.NORM.DIST(AA$3,economics!$AK$2:$AK$167,economics!$AJ$2:$AJ$167,TRUE)-_xlfn.NORM.DIST(AA$30,economics!$AK$2:$AK$167,economics!$AJ$2:$AJ$167,TRUE))*economics!$AM$2:$AM$167))/(SUMPRODUCT((economics!$AG$2:$AG$167=$B45)*(economics!$D$2:$D$167="process")*economics!$AH$2:$AH$167*(_xlfn.NORM.DIST(AA$3,economics!$AK$2:$AK$167,economics!$AJ$2:$AJ$167,TRUE)-_xlfn.NORM.DIST(AA$30,economics!$AK$2:$AK$167,economics!$AJ$2:$AJ$167,TRUE)))),"")</f>
        <v/>
      </c>
      <c r="AB45">
        <f t="array" ref="AB45">IFERROR((SUMPRODUCT((economics!$AG$2:$AG$167=$B45)*(economics!$D$2:$D$167="process")*economics!$AH$2:$AH$167*(_xlfn.NORM.DIST(AB$3,economics!$AK$2:$AK$167,economics!$AJ$2:$AJ$167,TRUE)-_xlfn.NORM.DIST(AB$30,economics!$AK$2:$AK$167,economics!$AJ$2:$AJ$167,TRUE))*economics!$AM$2:$AM$167))/(SUMPRODUCT((economics!$AG$2:$AG$167=$B45)*(economics!$D$2:$D$167="process")*economics!$AH$2:$AH$167*(_xlfn.NORM.DIST(AB$3,economics!$AK$2:$AK$167,economics!$AJ$2:$AJ$167,TRUE)-_xlfn.NORM.DIST(AB$30,economics!$AK$2:$AK$167,economics!$AJ$2:$AJ$167,TRUE)))),"")</f>
        <v/>
      </c>
      <c r="AC45">
        <f t="array" ref="AC45">IFERROR((SUMPRODUCT((economics!$AG$2:$AG$167=$B45)*(economics!$D$2:$D$167="process")*economics!$AH$2:$AH$167*(_xlfn.NORM.DIST(AC$3,economics!$AK$2:$AK$167,economics!$AJ$2:$AJ$167,TRUE)-_xlfn.NORM.DIST(AC$30,economics!$AK$2:$AK$167,economics!$AJ$2:$AJ$167,TRUE))*economics!$AM$2:$AM$167))/(SUMPRODUCT((economics!$AG$2:$AG$167=$B45)*(economics!$D$2:$D$167="process")*economics!$AH$2:$AH$167*(_xlfn.NORM.DIST(AC$3,economics!$AK$2:$AK$167,economics!$AJ$2:$AJ$167,TRUE)-_xlfn.NORM.DIST(AC$30,economics!$AK$2:$AK$167,economics!$AJ$2:$AJ$167,TRUE)))),"")</f>
        <v/>
      </c>
      <c r="AD45">
        <f t="array" ref="AD45">IFERROR((SUMPRODUCT((economics!$AG$2:$AG$167=$B45)*(economics!$D$2:$D$167="process")*economics!$AH$2:$AH$167*(_xlfn.NORM.DIST(AD$3,economics!$AK$2:$AK$167,economics!$AJ$2:$AJ$167,TRUE)-_xlfn.NORM.DIST(AD$30,economics!$AK$2:$AK$167,economics!$AJ$2:$AJ$167,TRUE))*economics!$AM$2:$AM$167))/(SUMPRODUCT((economics!$AG$2:$AG$167=$B45)*(economics!$D$2:$D$167="process")*economics!$AH$2:$AH$167*(_xlfn.NORM.DIST(AD$3,economics!$AK$2:$AK$167,economics!$AJ$2:$AJ$167,TRUE)-_xlfn.NORM.DIST(AD$30,economics!$AK$2:$AK$167,economics!$AJ$2:$AJ$167,TRUE)))),"")</f>
        <v/>
      </c>
      <c r="AE45">
        <f t="array" ref="AE45">IFERROR((SUMPRODUCT((economics!$AG$2:$AG$167=$B45)*(economics!$D$2:$D$167="process")*economics!$AH$2:$AH$167*(_xlfn.NORM.DIST(AE$3,economics!$AK$2:$AK$167,economics!$AJ$2:$AJ$167,TRUE)-_xlfn.NORM.DIST(AE$30,economics!$AK$2:$AK$167,economics!$AJ$2:$AJ$167,TRUE))*economics!$AM$2:$AM$167))/(SUMPRODUCT((economics!$AG$2:$AG$167=$B45)*(economics!$D$2:$D$167="process")*economics!$AH$2:$AH$167*(_xlfn.NORM.DIST(AE$3,economics!$AK$2:$AK$167,economics!$AJ$2:$AJ$167,TRUE)-_xlfn.NORM.DIST(AE$30,economics!$AK$2:$AK$167,economics!$AJ$2:$AJ$167,TRUE)))),"")</f>
        <v/>
      </c>
      <c r="AF45">
        <f t="array" ref="AF45">IFERROR((SUMPRODUCT((economics!$AG$2:$AG$167=$B45)*(economics!$D$2:$D$167="process")*economics!$AH$2:$AH$167*(_xlfn.NORM.DIST(AF$3,economics!$AK$2:$AK$167,economics!$AJ$2:$AJ$167,TRUE)-_xlfn.NORM.DIST(AF$30,economics!$AK$2:$AK$167,economics!$AJ$2:$AJ$167,TRUE))*economics!$AM$2:$AM$167))/(SUMPRODUCT((economics!$AG$2:$AG$167=$B45)*(economics!$D$2:$D$167="process")*economics!$AH$2:$AH$167*(_xlfn.NORM.DIST(AF$3,economics!$AK$2:$AK$167,economics!$AJ$2:$AJ$167,TRUE)-_xlfn.NORM.DIST(AF$30,economics!$AK$2:$AK$167,economics!$AJ$2:$AJ$167,TRUE)))),"")</f>
        <v/>
      </c>
      <c r="AG45">
        <f t="array" ref="AG45">IFERROR((SUMPRODUCT((economics!$AG$2:$AG$167=$B45)*(economics!$D$2:$D$167="process")*economics!$AH$2:$AH$167*(_xlfn.NORM.DIST(AG$3,economics!$AK$2:$AK$167,economics!$AJ$2:$AJ$167,TRUE)-_xlfn.NORM.DIST(AG$30,economics!$AK$2:$AK$167,economics!$AJ$2:$AJ$167,TRUE))*economics!$AM$2:$AM$167))/(SUMPRODUCT((economics!$AG$2:$AG$167=$B45)*(economics!$D$2:$D$167="process")*economics!$AH$2:$AH$167*(_xlfn.NORM.DIST(AG$3,economics!$AK$2:$AK$167,economics!$AJ$2:$AJ$167,TRUE)-_xlfn.NORM.DIST(AG$30,economics!$AK$2:$AK$167,economics!$AJ$2:$AJ$167,TRUE)))),"")</f>
        <v/>
      </c>
      <c r="AH45">
        <f t="array" ref="AH45">IFERROR((SUMPRODUCT((economics!$AG$2:$AG$167=$B45)*(economics!$D$2:$D$167="process")*economics!$AH$2:$AH$167*(_xlfn.NORM.DIST(AH$3,economics!$AK$2:$AK$167,economics!$AJ$2:$AJ$167,TRUE)-_xlfn.NORM.DIST(AH$30,economics!$AK$2:$AK$167,economics!$AJ$2:$AJ$167,TRUE))*economics!$AM$2:$AM$167))/(SUMPRODUCT((economics!$AG$2:$AG$167=$B45)*(economics!$D$2:$D$167="process")*economics!$AH$2:$AH$167*(_xlfn.NORM.DIST(AH$3,economics!$AK$2:$AK$167,economics!$AJ$2:$AJ$167,TRUE)-_xlfn.NORM.DIST(AH$30,economics!$AK$2:$AK$167,economics!$AJ$2:$AJ$167,TRUE)))),"")</f>
        <v/>
      </c>
      <c r="AI45">
        <f t="array" ref="AI45">IFERROR((SUMPRODUCT((economics!$AG$2:$AG$167=$B45)*(economics!$D$2:$D$167="process")*economics!$AH$2:$AH$167*(_xlfn.NORM.DIST(AI$3,economics!$AK$2:$AK$167,economics!$AJ$2:$AJ$167,TRUE)-_xlfn.NORM.DIST(AI$30,economics!$AK$2:$AK$167,economics!$AJ$2:$AJ$167,TRUE))*economics!$AM$2:$AM$167))/(SUMPRODUCT((economics!$AG$2:$AG$167=$B45)*(economics!$D$2:$D$167="process")*economics!$AH$2:$AH$167*(_xlfn.NORM.DIST(AI$3,economics!$AK$2:$AK$167,economics!$AJ$2:$AJ$167,TRUE)-_xlfn.NORM.DIST(AI$30,economics!$AK$2:$AK$167,economics!$AJ$2:$AJ$167,TRUE)))),"")</f>
        <v/>
      </c>
      <c r="AJ45">
        <f t="array" ref="AJ45">IFERROR((SUMPRODUCT((economics!$AG$2:$AG$167=$B45)*(economics!$D$2:$D$167="process")*economics!$AH$2:$AH$167*(_xlfn.NORM.DIST(AJ$3,economics!$AK$2:$AK$167,economics!$AJ$2:$AJ$167,TRUE)-_xlfn.NORM.DIST(AJ$30,economics!$AK$2:$AK$167,economics!$AJ$2:$AJ$167,TRUE))*economics!$AM$2:$AM$167))/(SUMPRODUCT((economics!$AG$2:$AG$167=$B45)*(economics!$D$2:$D$167="process")*economics!$AH$2:$AH$167*(_xlfn.NORM.DIST(AJ$3,economics!$AK$2:$AK$167,economics!$AJ$2:$AJ$167,TRUE)-_xlfn.NORM.DIST(AJ$30,economics!$AK$2:$AK$167,economics!$AJ$2:$AJ$167,TRUE)))),"")</f>
        <v/>
      </c>
      <c r="AK45">
        <f t="array" ref="AK45">IFERROR((SUMPRODUCT((economics!$AG$2:$AG$167=$B45)*(economics!$D$2:$D$167="process")*economics!$AH$2:$AH$167*(_xlfn.NORM.DIST(AK$3,economics!$AK$2:$AK$167,economics!$AJ$2:$AJ$167,TRUE)-_xlfn.NORM.DIST(AK$30,economics!$AK$2:$AK$167,economics!$AJ$2:$AJ$167,TRUE))*economics!$AM$2:$AM$167))/(SUMPRODUCT((economics!$AG$2:$AG$167=$B45)*(economics!$D$2:$D$167="process")*economics!$AH$2:$AH$167*(_xlfn.NORM.DIST(AK$3,economics!$AK$2:$AK$167,economics!$AJ$2:$AJ$167,TRUE)-_xlfn.NORM.DIST(AK$30,economics!$AK$2:$AK$167,economics!$AJ$2:$AJ$167,TRUE)))),"")</f>
        <v/>
      </c>
      <c r="AL45">
        <f t="array" ref="AL45">IFERROR((SUMPRODUCT((economics!$AG$2:$AG$167=$B45)*(economics!$D$2:$D$167="process")*economics!$AH$2:$AH$167*(_xlfn.NORM.DIST(AL$3,economics!$AK$2:$AK$167,economics!$AJ$2:$AJ$167,TRUE)-_xlfn.NORM.DIST(AL$30,economics!$AK$2:$AK$167,economics!$AJ$2:$AJ$167,TRUE))*economics!$AM$2:$AM$167))/(SUMPRODUCT((economics!$AG$2:$AG$167=$B45)*(economics!$D$2:$D$167="process")*economics!$AH$2:$AH$167*(_xlfn.NORM.DIST(AL$3,economics!$AK$2:$AK$167,economics!$AJ$2:$AJ$167,TRUE)-_xlfn.NORM.DIST(AL$30,economics!$AK$2:$AK$167,economics!$AJ$2:$AJ$167,TRUE)))),"")</f>
        <v/>
      </c>
      <c r="AM45">
        <f t="array" ref="AM45">IFERROR((SUMPRODUCT((economics!$AG$2:$AG$167=$B45)*(economics!$D$2:$D$167="process")*economics!$AH$2:$AH$167*(_xlfn.NORM.DIST(AM$3,economics!$AK$2:$AK$167,economics!$AJ$2:$AJ$167,TRUE)-_xlfn.NORM.DIST(AM$30,economics!$AK$2:$AK$167,economics!$AJ$2:$AJ$167,TRUE))*economics!$AM$2:$AM$167))/(SUMPRODUCT((economics!$AG$2:$AG$167=$B45)*(economics!$D$2:$D$167="process")*economics!$AH$2:$AH$167*(_xlfn.NORM.DIST(AM$3,economics!$AK$2:$AK$167,economics!$AJ$2:$AJ$167,TRUE)-_xlfn.NORM.DIST(AM$30,economics!$AK$2:$AK$167,economics!$AJ$2:$AJ$167,TRUE)))),"")</f>
        <v/>
      </c>
      <c r="AN45">
        <f t="array" ref="AN45">IFERROR((SUMPRODUCT((economics!$AG$2:$AG$167=$B45)*(economics!$D$2:$D$167="process")*economics!$AH$2:$AH$167*(_xlfn.NORM.DIST(AN$3,economics!$AK$2:$AK$167,economics!$AJ$2:$AJ$167,TRUE)-_xlfn.NORM.DIST(AN$30,economics!$AK$2:$AK$167,economics!$AJ$2:$AJ$167,TRUE))*economics!$AM$2:$AM$167))/(SUMPRODUCT((economics!$AG$2:$AG$167=$B45)*(economics!$D$2:$D$167="process")*economics!$AH$2:$AH$167*(_xlfn.NORM.DIST(AN$3,economics!$AK$2:$AK$167,economics!$AJ$2:$AJ$167,TRUE)-_xlfn.NORM.DIST(AN$30,economics!$AK$2:$AK$167,economics!$AJ$2:$AJ$167,TRUE)))),"")</f>
        <v/>
      </c>
      <c r="AO45">
        <f t="array" ref="AO45">IFERROR((SUMPRODUCT((economics!$AG$2:$AG$167=$B45)*(economics!$D$2:$D$167="process")*economics!$AH$2:$AH$167*(_xlfn.NORM.DIST(AO$3,economics!$AK$2:$AK$167,economics!$AJ$2:$AJ$167,TRUE)-_xlfn.NORM.DIST(AO$30,economics!$AK$2:$AK$167,economics!$AJ$2:$AJ$167,TRUE))*economics!$AM$2:$AM$167))/(SUMPRODUCT((economics!$AG$2:$AG$167=$B45)*(economics!$D$2:$D$167="process")*economics!$AH$2:$AH$167*(_xlfn.NORM.DIST(AO$3,economics!$AK$2:$AK$167,economics!$AJ$2:$AJ$167,TRUE)-_xlfn.NORM.DIST(AO$30,economics!$AK$2:$AK$167,economics!$AJ$2:$AJ$167,TRUE)))),"")</f>
        <v/>
      </c>
      <c r="AP45">
        <f t="array" ref="AP45">IFERROR((SUMPRODUCT((economics!$AG$2:$AG$167=$B45)*(economics!$D$2:$D$167="process")*economics!$AH$2:$AH$167*(_xlfn.NORM.DIST(AP$3,economics!$AK$2:$AK$167,economics!$AJ$2:$AJ$167,TRUE)-_xlfn.NORM.DIST(AP$30,economics!$AK$2:$AK$167,economics!$AJ$2:$AJ$167,TRUE))*economics!$AM$2:$AM$167))/(SUMPRODUCT((economics!$AG$2:$AG$167=$B45)*(economics!$D$2:$D$167="process")*economics!$AH$2:$AH$167*(_xlfn.NORM.DIST(AP$3,economics!$AK$2:$AK$167,economics!$AJ$2:$AJ$167,TRUE)-_xlfn.NORM.DIST(AP$30,economics!$AK$2:$AK$167,economics!$AJ$2:$AJ$167,TRUE)))),"")</f>
        <v/>
      </c>
      <c r="AQ45">
        <f t="array" ref="AQ45">IFERROR((SUMPRODUCT((economics!$AG$2:$AG$167=$B45)*(economics!$D$2:$D$167="process")*economics!$AH$2:$AH$167*(_xlfn.NORM.DIST(AQ$3,economics!$AK$2:$AK$167,economics!$AJ$2:$AJ$167,TRUE)-_xlfn.NORM.DIST(AQ$30,economics!$AK$2:$AK$167,economics!$AJ$2:$AJ$167,TRUE))*economics!$AM$2:$AM$167))/(SUMPRODUCT((economics!$AG$2:$AG$167=$B45)*(economics!$D$2:$D$167="process")*economics!$AH$2:$AH$167*(_xlfn.NORM.DIST(AQ$3,economics!$AK$2:$AK$167,economics!$AJ$2:$AJ$167,TRUE)-_xlfn.NORM.DIST(AQ$30,economics!$AK$2:$AK$167,economics!$AJ$2:$AJ$167,TRUE)))),"")</f>
        <v/>
      </c>
      <c r="AR45">
        <f t="array" ref="AR45">IFERROR((SUMPRODUCT((economics!$AG$2:$AG$167=$B45)*(economics!$D$2:$D$167="process")*economics!$AH$2:$AH$167*(_xlfn.NORM.DIST(AR$3,economics!$AK$2:$AK$167,economics!$AJ$2:$AJ$167,TRUE)-_xlfn.NORM.DIST(AR$30,economics!$AK$2:$AK$167,economics!$AJ$2:$AJ$167,TRUE))*economics!$AM$2:$AM$167))/(SUMPRODUCT((economics!$AG$2:$AG$167=$B45)*(economics!$D$2:$D$167="process")*economics!$AH$2:$AH$167*(_xlfn.NORM.DIST(AR$3,economics!$AK$2:$AK$167,economics!$AJ$2:$AJ$167,TRUE)-_xlfn.NORM.DIST(AR$30,economics!$AK$2:$AK$167,economics!$AJ$2:$AJ$167,TRUE)))),"")</f>
        <v/>
      </c>
      <c r="AS45">
        <f t="array" ref="AS45">IFERROR((SUMPRODUCT((economics!$AG$2:$AG$167=$B45)*(economics!$D$2:$D$167="process")*economics!$AH$2:$AH$167*(_xlfn.NORM.DIST(AS$3,economics!$AK$2:$AK$167,economics!$AJ$2:$AJ$167,TRUE)-_xlfn.NORM.DIST(AS$30,economics!$AK$2:$AK$167,economics!$AJ$2:$AJ$167,TRUE))*economics!$AM$2:$AM$167))/(SUMPRODUCT((economics!$AG$2:$AG$167=$B45)*(economics!$D$2:$D$167="process")*economics!$AH$2:$AH$167*(_xlfn.NORM.DIST(AS$3,economics!$AK$2:$AK$167,economics!$AJ$2:$AJ$167,TRUE)-_xlfn.NORM.DIST(AS$30,economics!$AK$2:$AK$167,economics!$AJ$2:$AJ$167,TRUE)))),"")</f>
        <v/>
      </c>
      <c r="AT45">
        <f t="array" ref="AT45">IFERROR((SUMPRODUCT((economics!$AG$2:$AG$167=$B45)*(economics!$D$2:$D$167="process")*economics!$AH$2:$AH$167*(_xlfn.NORM.DIST(AT$3,economics!$AK$2:$AK$167,economics!$AJ$2:$AJ$167,TRUE)-_xlfn.NORM.DIST(AT$30,economics!$AK$2:$AK$167,economics!$AJ$2:$AJ$167,TRUE))*economics!$AM$2:$AM$167))/(SUMPRODUCT((economics!$AG$2:$AG$167=$B45)*(economics!$D$2:$D$167="process")*economics!$AH$2:$AH$167*(_xlfn.NORM.DIST(AT$3,economics!$AK$2:$AK$167,economics!$AJ$2:$AJ$167,TRUE)-_xlfn.NORM.DIST(AT$30,economics!$AK$2:$AK$167,economics!$AJ$2:$AJ$167,TRUE)))),"")</f>
        <v/>
      </c>
      <c r="AU45">
        <f t="array" ref="AU45">IFERROR((SUMPRODUCT((economics!$AG$2:$AG$167=$B45)*(economics!$D$2:$D$167="process")*economics!$AH$2:$AH$167*(_xlfn.NORM.DIST(AU$3,economics!$AK$2:$AK$167,economics!$AJ$2:$AJ$167,TRUE)-_xlfn.NORM.DIST(AU$30,economics!$AK$2:$AK$167,economics!$AJ$2:$AJ$167,TRUE))*economics!$AM$2:$AM$167))/(SUMPRODUCT((economics!$AG$2:$AG$167=$B45)*(economics!$D$2:$D$167="process")*economics!$AH$2:$AH$167*(_xlfn.NORM.DIST(AU$3,economics!$AK$2:$AK$167,economics!$AJ$2:$AJ$167,TRUE)-_xlfn.NORM.DIST(AU$30,economics!$AK$2:$AK$167,economics!$AJ$2:$AJ$167,TRUE)))),"")</f>
        <v/>
      </c>
      <c r="AV45">
        <f t="array" ref="AV45">IFERROR((SUMPRODUCT((economics!$AG$2:$AG$167=$B45)*(economics!$D$2:$D$167="process")*economics!$AH$2:$AH$167*(_xlfn.NORM.DIST(AV$3,economics!$AK$2:$AK$167,economics!$AJ$2:$AJ$167,TRUE)-_xlfn.NORM.DIST(AV$30,economics!$AK$2:$AK$167,economics!$AJ$2:$AJ$167,TRUE))*economics!$AM$2:$AM$167))/(SUMPRODUCT((economics!$AG$2:$AG$167=$B45)*(economics!$D$2:$D$167="process")*economics!$AH$2:$AH$167*(_xlfn.NORM.DIST(AV$3,economics!$AK$2:$AK$167,economics!$AJ$2:$AJ$167,TRUE)-_xlfn.NORM.DIST(AV$30,economics!$AK$2:$AK$167,economics!$AJ$2:$AJ$167,TRUE)))),"")</f>
        <v/>
      </c>
      <c r="AW45">
        <f t="array" ref="AW45">IFERROR((SUMPRODUCT((economics!$AG$2:$AG$167=$B45)*(economics!$D$2:$D$167="process")*economics!$AH$2:$AH$167*(_xlfn.NORM.DIST(AW$3,economics!$AK$2:$AK$167,economics!$AJ$2:$AJ$167,TRUE)-_xlfn.NORM.DIST(AW$30,economics!$AK$2:$AK$167,economics!$AJ$2:$AJ$167,TRUE))*economics!$AM$2:$AM$167))/(SUMPRODUCT((economics!$AG$2:$AG$167=$B45)*(economics!$D$2:$D$167="process")*economics!$AH$2:$AH$167*(_xlfn.NORM.DIST(AW$3,economics!$AK$2:$AK$167,economics!$AJ$2:$AJ$167,TRUE)-_xlfn.NORM.DIST(AW$30,economics!$AK$2:$AK$167,economics!$AJ$2:$AJ$167,TRUE)))),"")</f>
        <v/>
      </c>
      <c r="AX45">
        <f t="array" ref="AX45">IFERROR((SUMPRODUCT((economics!$AG$2:$AG$167=$B45)*(economics!$D$2:$D$167="process")*economics!$AH$2:$AH$167*(_xlfn.NORM.DIST(AX$3,economics!$AK$2:$AK$167,economics!$AJ$2:$AJ$167,TRUE)-_xlfn.NORM.DIST(AX$30,economics!$AK$2:$AK$167,economics!$AJ$2:$AJ$167,TRUE))*economics!$AM$2:$AM$167))/(SUMPRODUCT((economics!$AG$2:$AG$167=$B45)*(economics!$D$2:$D$167="process")*economics!$AH$2:$AH$167*(_xlfn.NORM.DIST(AX$3,economics!$AK$2:$AK$167,economics!$AJ$2:$AJ$167,TRUE)-_xlfn.NORM.DIST(AX$30,economics!$AK$2:$AK$167,economics!$AJ$2:$AJ$167,TRUE)))),"")</f>
        <v/>
      </c>
      <c r="AY45">
        <f t="array" ref="AY45">IFERROR((SUMPRODUCT((economics!$AG$2:$AG$167=$B45)*(economics!$D$2:$D$167="process")*economics!$AH$2:$AH$167*(_xlfn.NORM.DIST(AY$3,economics!$AK$2:$AK$167,economics!$AJ$2:$AJ$167,TRUE)-_xlfn.NORM.DIST(AY$30,economics!$AK$2:$AK$167,economics!$AJ$2:$AJ$167,TRUE))*economics!$AM$2:$AM$167))/(SUMPRODUCT((economics!$AG$2:$AG$167=$B45)*(economics!$D$2:$D$167="process")*economics!$AH$2:$AH$167*(_xlfn.NORM.DIST(AY$3,economics!$AK$2:$AK$167,economics!$AJ$2:$AJ$167,TRUE)-_xlfn.NORM.DIST(AY$30,economics!$AK$2:$AK$167,economics!$AJ$2:$AJ$167,TRUE)))),"")</f>
        <v/>
      </c>
      <c r="AZ45">
        <f t="array" ref="AZ45">IFERROR((SUMPRODUCT((economics!$AG$2:$AG$167=$B45)*(economics!$D$2:$D$167="process")*economics!$AH$2:$AH$167*(_xlfn.NORM.DIST(AZ$3,economics!$AK$2:$AK$167,economics!$AJ$2:$AJ$167,TRUE)-_xlfn.NORM.DIST(AZ$30,economics!$AK$2:$AK$167,economics!$AJ$2:$AJ$167,TRUE))*economics!$AM$2:$AM$167))/(SUMPRODUCT((economics!$AG$2:$AG$167=$B45)*(economics!$D$2:$D$167="process")*economics!$AH$2:$AH$167*(_xlfn.NORM.DIST(AZ$3,economics!$AK$2:$AK$167,economics!$AJ$2:$AJ$167,TRUE)-_xlfn.NORM.DIST(AZ$30,economics!$AK$2:$AK$167,economics!$AJ$2:$AJ$167,TRUE)))),"")</f>
        <v/>
      </c>
      <c r="BA45">
        <f t="array" ref="BA45">IFERROR((SUMPRODUCT((economics!$AG$2:$AG$167=$B45)*(economics!$D$2:$D$167="process")*economics!$AH$2:$AH$167*(_xlfn.NORM.DIST(BA$3,economics!$AK$2:$AK$167,economics!$AJ$2:$AJ$167,TRUE)-_xlfn.NORM.DIST(BA$30,economics!$AK$2:$AK$167,economics!$AJ$2:$AJ$167,TRUE))*economics!$AM$2:$AM$167))/(SUMPRODUCT((economics!$AG$2:$AG$167=$B45)*(economics!$D$2:$D$167="process")*economics!$AH$2:$AH$167*(_xlfn.NORM.DIST(BA$3,economics!$AK$2:$AK$167,economics!$AJ$2:$AJ$167,TRUE)-_xlfn.NORM.DIST(BA$30,economics!$AK$2:$AK$167,economics!$AJ$2:$AJ$167,TRUE)))),"")</f>
        <v/>
      </c>
      <c r="BB45">
        <f t="array" ref="BB45">IFERROR((SUMPRODUCT((economics!$AG$2:$AG$167=$B45)*(economics!$D$2:$D$167="process")*economics!$AH$2:$AH$167*(_xlfn.NORM.DIST(BB$3,economics!$AK$2:$AK$167,economics!$AJ$2:$AJ$167,TRUE)-_xlfn.NORM.DIST(BB$30,economics!$AK$2:$AK$167,economics!$AJ$2:$AJ$167,TRUE))*economics!$AM$2:$AM$167))/(SUMPRODUCT((economics!$AG$2:$AG$167=$B45)*(economics!$D$2:$D$167="process")*economics!$AH$2:$AH$167*(_xlfn.NORM.DIST(BB$3,economics!$AK$2:$AK$167,economics!$AJ$2:$AJ$167,TRUE)-_xlfn.NORM.DIST(BB$30,economics!$AK$2:$AK$167,economics!$AJ$2:$AJ$167,TRUE)))),"")</f>
        <v/>
      </c>
      <c r="BC45">
        <f t="array" ref="BC45">IFERROR((SUMPRODUCT((economics!$AG$2:$AG$167=$B45)*(economics!$D$2:$D$167="process")*economics!$AH$2:$AH$167*(_xlfn.NORM.DIST(BC$3,economics!$AK$2:$AK$167,economics!$AJ$2:$AJ$167,TRUE)-_xlfn.NORM.DIST(BC$30,economics!$AK$2:$AK$167,economics!$AJ$2:$AJ$167,TRUE))*economics!$AM$2:$AM$167))/(SUMPRODUCT((economics!$AG$2:$AG$167=$B45)*(economics!$D$2:$D$167="process")*economics!$AH$2:$AH$167*(_xlfn.NORM.DIST(BC$3,economics!$AK$2:$AK$167,economics!$AJ$2:$AJ$167,TRUE)-_xlfn.NORM.DIST(BC$30,economics!$AK$2:$AK$167,economics!$AJ$2:$AJ$167,TRUE)))),"")</f>
        <v/>
      </c>
      <c r="BD45">
        <f t="array" ref="BD45">IFERROR((SUMPRODUCT((economics!$AG$2:$AG$167=$B45)*(economics!$D$2:$D$167="process")*economics!$AH$2:$AH$167*(_xlfn.NORM.DIST(BD$3,economics!$AK$2:$AK$167,economics!$AJ$2:$AJ$167,TRUE)-_xlfn.NORM.DIST(BD$30,economics!$AK$2:$AK$167,economics!$AJ$2:$AJ$167,TRUE))*economics!$AM$2:$AM$167))/(SUMPRODUCT((economics!$AG$2:$AG$167=$B45)*(economics!$D$2:$D$167="process")*economics!$AH$2:$AH$167*(_xlfn.NORM.DIST(BD$3,economics!$AK$2:$AK$167,economics!$AJ$2:$AJ$167,TRUE)-_xlfn.NORM.DIST(BD$30,economics!$AK$2:$AK$167,economics!$AJ$2:$AJ$167,TRUE)))),"")</f>
        <v/>
      </c>
      <c r="BE45">
        <f t="array" ref="BE45">IFERROR((SUMPRODUCT((economics!$AG$2:$AG$167=$B45)*(economics!$D$2:$D$167="process")*economics!$AH$2:$AH$167*(_xlfn.NORM.DIST(BE$3,economics!$AK$2:$AK$167,economics!$AJ$2:$AJ$167,TRUE)-_xlfn.NORM.DIST(BE$30,economics!$AK$2:$AK$167,economics!$AJ$2:$AJ$167,TRUE))*economics!$AM$2:$AM$167))/(SUMPRODUCT((economics!$AG$2:$AG$167=$B45)*(economics!$D$2:$D$167="process")*economics!$AH$2:$AH$167*(_xlfn.NORM.DIST(BE$3,economics!$AK$2:$AK$167,economics!$AJ$2:$AJ$167,TRUE)-_xlfn.NORM.DIST(BE$30,economics!$AK$2:$AK$167,economics!$AJ$2:$AJ$167,TRUE)))),"")</f>
        <v/>
      </c>
      <c r="BF45">
        <f t="array" ref="BF45">IFERROR((SUMPRODUCT((economics!$AG$2:$AG$167=$B45)*(economics!$D$2:$D$167="process")*economics!$AH$2:$AH$167*(_xlfn.NORM.DIST(BF$3,economics!$AK$2:$AK$167,economics!$AJ$2:$AJ$167,TRUE)-_xlfn.NORM.DIST(BF$30,economics!$AK$2:$AK$167,economics!$AJ$2:$AJ$167,TRUE))*economics!$AM$2:$AM$167))/(SUMPRODUCT((economics!$AG$2:$AG$167=$B45)*(economics!$D$2:$D$167="process")*economics!$AH$2:$AH$167*(_xlfn.NORM.DIST(BF$3,economics!$AK$2:$AK$167,economics!$AJ$2:$AJ$167,TRUE)-_xlfn.NORM.DIST(BF$30,economics!$AK$2:$AK$167,economics!$AJ$2:$AJ$167,TRUE)))),"")</f>
        <v/>
      </c>
      <c r="BG45">
        <f t="array" ref="BG45">IFERROR((SUMPRODUCT((economics!$AG$2:$AG$167=$B45)*(economics!$D$2:$D$167="process")*economics!$AH$2:$AH$167*(_xlfn.NORM.DIST(BG$3,economics!$AK$2:$AK$167,economics!$AJ$2:$AJ$167,TRUE)-_xlfn.NORM.DIST(BG$30,economics!$AK$2:$AK$167,economics!$AJ$2:$AJ$167,TRUE))*economics!$AM$2:$AM$167))/(SUMPRODUCT((economics!$AG$2:$AG$167=$B45)*(economics!$D$2:$D$167="process")*economics!$AH$2:$AH$167*(_xlfn.NORM.DIST(BG$3,economics!$AK$2:$AK$167,economics!$AJ$2:$AJ$167,TRUE)-_xlfn.NORM.DIST(BG$30,economics!$AK$2:$AK$167,economics!$AJ$2:$AJ$167,TRUE)))),"")</f>
        <v/>
      </c>
      <c r="BH45">
        <f t="array" ref="BH45">IFERROR((SUMPRODUCT((economics!$AG$2:$AG$167=$B45)*(economics!$D$2:$D$167="process")*economics!$AH$2:$AH$167*(_xlfn.NORM.DIST(BH$3,economics!$AK$2:$AK$167,economics!$AJ$2:$AJ$167,TRUE)-_xlfn.NORM.DIST(BH$30,economics!$AK$2:$AK$167,economics!$AJ$2:$AJ$167,TRUE))*economics!$AM$2:$AM$167))/(SUMPRODUCT((economics!$AG$2:$AG$167=$B45)*(economics!$D$2:$D$167="process")*economics!$AH$2:$AH$167*(_xlfn.NORM.DIST(BH$3,economics!$AK$2:$AK$167,economics!$AJ$2:$AJ$167,TRUE)-_xlfn.NORM.DIST(BH$30,economics!$AK$2:$AK$167,economics!$AJ$2:$AJ$167,TRUE)))),"")</f>
        <v/>
      </c>
      <c r="BI45">
        <f t="array" ref="BI45">IFERROR((SUMPRODUCT((economics!$AG$2:$AG$167=$B45)*(economics!$D$2:$D$167="process")*economics!$AH$2:$AH$167*(_xlfn.NORM.DIST(BI$3,economics!$AK$2:$AK$167,economics!$AJ$2:$AJ$167,TRUE)-_xlfn.NORM.DIST(BI$30,economics!$AK$2:$AK$167,economics!$AJ$2:$AJ$167,TRUE))*economics!$AM$2:$AM$167))/(SUMPRODUCT((economics!$AG$2:$AG$167=$B45)*(economics!$D$2:$D$167="process")*economics!$AH$2:$AH$167*(_xlfn.NORM.DIST(BI$3,economics!$AK$2:$AK$167,economics!$AJ$2:$AJ$167,TRUE)-_xlfn.NORM.DIST(BI$30,economics!$AK$2:$AK$167,economics!$AJ$2:$AJ$167,TRUE)))),"")</f>
        <v/>
      </c>
      <c r="BJ45">
        <f t="array" ref="BJ45">IFERROR((SUMPRODUCT((economics!$AG$2:$AG$167=$B45)*(economics!$D$2:$D$167="process")*economics!$AH$2:$AH$167*(_xlfn.NORM.DIST(BJ$3,economics!$AK$2:$AK$167,economics!$AJ$2:$AJ$167,TRUE)-_xlfn.NORM.DIST(BJ$30,economics!$AK$2:$AK$167,economics!$AJ$2:$AJ$167,TRUE))*economics!$AM$2:$AM$167))/(SUMPRODUCT((economics!$AG$2:$AG$167=$B45)*(economics!$D$2:$D$167="process")*economics!$AH$2:$AH$167*(_xlfn.NORM.DIST(BJ$3,economics!$AK$2:$AK$167,economics!$AJ$2:$AJ$167,TRUE)-_xlfn.NORM.DIST(BJ$30,economics!$AK$2:$AK$167,economics!$AJ$2:$AJ$167,TRUE)))),"")</f>
        <v/>
      </c>
      <c r="BK45">
        <f t="array" ref="BK45">IFERROR((SUMPRODUCT((economics!$AG$2:$AG$167=$B45)*(economics!$D$2:$D$167="process")*economics!$AH$2:$AH$167*(_xlfn.NORM.DIST(BK$3,economics!$AK$2:$AK$167,economics!$AJ$2:$AJ$167,TRUE)-_xlfn.NORM.DIST(BK$30,economics!$AK$2:$AK$167,economics!$AJ$2:$AJ$167,TRUE))*economics!$AM$2:$AM$167))/(SUMPRODUCT((economics!$AG$2:$AG$167=$B45)*(economics!$D$2:$D$167="process")*economics!$AH$2:$AH$167*(_xlfn.NORM.DIST(BK$3,economics!$AK$2:$AK$167,economics!$AJ$2:$AJ$167,TRUE)-_xlfn.NORM.DIST(BK$30,economics!$AK$2:$AK$167,economics!$AJ$2:$AJ$167,TRUE)))),"")</f>
        <v/>
      </c>
      <c r="BL45">
        <f t="array" ref="BL45">IFERROR((SUMPRODUCT((economics!$AG$2:$AG$167=$B45)*(economics!$D$2:$D$167="process")*economics!$AH$2:$AH$167*(_xlfn.NORM.DIST(BL$3,economics!$AK$2:$AK$167,economics!$AJ$2:$AJ$167,TRUE)-_xlfn.NORM.DIST(BL$30,economics!$AK$2:$AK$167,economics!$AJ$2:$AJ$167,TRUE))*economics!$AM$2:$AM$167))/(SUMPRODUCT((economics!$AG$2:$AG$167=$B45)*(economics!$D$2:$D$167="process")*economics!$AH$2:$AH$167*(_xlfn.NORM.DIST(BL$3,economics!$AK$2:$AK$167,economics!$AJ$2:$AJ$167,TRUE)-_xlfn.NORM.DIST(BL$30,economics!$AK$2:$AK$167,economics!$AJ$2:$AJ$167,TRUE)))),"")</f>
        <v/>
      </c>
      <c r="BM45">
        <f t="array" ref="BM45">IFERROR((SUMPRODUCT((economics!$AG$2:$AG$167=$B45)*(economics!$D$2:$D$167="process")*economics!$AH$2:$AH$167*(_xlfn.NORM.DIST(BM$3,economics!$AK$2:$AK$167,economics!$AJ$2:$AJ$167,TRUE)-_xlfn.NORM.DIST(BM$30,economics!$AK$2:$AK$167,economics!$AJ$2:$AJ$167,TRUE))*economics!$AM$2:$AM$167))/(SUMPRODUCT((economics!$AG$2:$AG$167=$B45)*(economics!$D$2:$D$167="process")*economics!$AH$2:$AH$167*(_xlfn.NORM.DIST(BM$3,economics!$AK$2:$AK$167,economics!$AJ$2:$AJ$167,TRUE)-_xlfn.NORM.DIST(BM$30,economics!$AK$2:$AK$167,economics!$AJ$2:$AJ$167,TRUE)))),"")</f>
        <v/>
      </c>
      <c r="BN45">
        <f t="array" ref="BN45">IFERROR((SUMPRODUCT((economics!$AG$2:$AG$167=$B45)*(economics!$D$2:$D$167="process")*economics!$AH$2:$AH$167*(_xlfn.NORM.DIST(BN$3,economics!$AK$2:$AK$167,economics!$AJ$2:$AJ$167,TRUE)-_xlfn.NORM.DIST(BN$30,economics!$AK$2:$AK$167,economics!$AJ$2:$AJ$167,TRUE))*economics!$AM$2:$AM$167))/(SUMPRODUCT((economics!$AG$2:$AG$167=$B45)*(economics!$D$2:$D$167="process")*economics!$AH$2:$AH$167*(_xlfn.NORM.DIST(BN$3,economics!$AK$2:$AK$167,economics!$AJ$2:$AJ$167,TRUE)-_xlfn.NORM.DIST(BN$30,economics!$AK$2:$AK$167,economics!$AJ$2:$AJ$167,TRUE)))),"")</f>
        <v/>
      </c>
      <c r="BO45">
        <f t="array" ref="BO45">IFERROR((SUMPRODUCT((economics!$AG$2:$AG$167=$B45)*(economics!$D$2:$D$167="process")*economics!$AH$2:$AH$167*(_xlfn.NORM.DIST(BO$3,economics!$AK$2:$AK$167,economics!$AJ$2:$AJ$167,TRUE)-_xlfn.NORM.DIST(BO$30,economics!$AK$2:$AK$167,economics!$AJ$2:$AJ$167,TRUE))*economics!$AM$2:$AM$167))/(SUMPRODUCT((economics!$AG$2:$AG$167=$B45)*(economics!$D$2:$D$167="process")*economics!$AH$2:$AH$167*(_xlfn.NORM.DIST(BO$3,economics!$AK$2:$AK$167,economics!$AJ$2:$AJ$167,TRUE)-_xlfn.NORM.DIST(BO$30,economics!$AK$2:$AK$167,economics!$AJ$2:$AJ$167,TRUE)))),"")</f>
        <v/>
      </c>
      <c r="BP45">
        <f t="array" ref="BP45">IFERROR((SUMPRODUCT((economics!$AG$2:$AG$167=$B45)*(economics!$D$2:$D$167="process")*economics!$AH$2:$AH$167*(_xlfn.NORM.DIST(BP$3,economics!$AK$2:$AK$167,economics!$AJ$2:$AJ$167,TRUE)-_xlfn.NORM.DIST(BP$30,economics!$AK$2:$AK$167,economics!$AJ$2:$AJ$167,TRUE))*economics!$AM$2:$AM$167))/(SUMPRODUCT((economics!$AG$2:$AG$167=$B45)*(economics!$D$2:$D$167="process")*economics!$AH$2:$AH$167*(_xlfn.NORM.DIST(BP$3,economics!$AK$2:$AK$167,economics!$AJ$2:$AJ$167,TRUE)-_xlfn.NORM.DIST(BP$30,economics!$AK$2:$AK$167,economics!$AJ$2:$AJ$167,TRUE)))),"")</f>
        <v/>
      </c>
      <c r="BQ45">
        <f t="array" ref="BQ45">IFERROR((SUMPRODUCT((economics!$AG$2:$AG$167=$B45)*(economics!$D$2:$D$167="process")*economics!$AH$2:$AH$167*(_xlfn.NORM.DIST(BQ$3,economics!$AK$2:$AK$167,economics!$AJ$2:$AJ$167,TRUE)-_xlfn.NORM.DIST(BQ$30,economics!$AK$2:$AK$167,economics!$AJ$2:$AJ$167,TRUE))*economics!$AM$2:$AM$167))/(SUMPRODUCT((economics!$AG$2:$AG$167=$B45)*(economics!$D$2:$D$167="process")*economics!$AH$2:$AH$167*(_xlfn.NORM.DIST(BQ$3,economics!$AK$2:$AK$167,economics!$AJ$2:$AJ$167,TRUE)-_xlfn.NORM.DIST(BQ$30,economics!$AK$2:$AK$167,economics!$AJ$2:$AJ$167,TRUE)))),"")</f>
        <v/>
      </c>
      <c r="BR45">
        <f t="array" ref="BR45">IFERROR((SUMPRODUCT((economics!$AG$2:$AG$167=$B45)*(economics!$D$2:$D$167="process")*economics!$AH$2:$AH$167*(_xlfn.NORM.DIST(BR$3,economics!$AK$2:$AK$167,economics!$AJ$2:$AJ$167,TRUE)-_xlfn.NORM.DIST(BR$30,economics!$AK$2:$AK$167,economics!$AJ$2:$AJ$167,TRUE))*economics!$AM$2:$AM$167))/(SUMPRODUCT((economics!$AG$2:$AG$167=$B45)*(economics!$D$2:$D$167="process")*economics!$AH$2:$AH$167*(_xlfn.NORM.DIST(BR$3,economics!$AK$2:$AK$167,economics!$AJ$2:$AJ$167,TRUE)-_xlfn.NORM.DIST(BR$30,economics!$AK$2:$AK$167,economics!$AJ$2:$AJ$167,TRUE)))),"")</f>
        <v/>
      </c>
      <c r="BS45">
        <f t="array" ref="BS45">IFERROR((SUMPRODUCT((economics!$AG$2:$AG$167=$B45)*(economics!$D$2:$D$167="process")*economics!$AH$2:$AH$167*(_xlfn.NORM.DIST(BS$3,economics!$AK$2:$AK$167,economics!$AJ$2:$AJ$167,TRUE)-_xlfn.NORM.DIST(BS$30,economics!$AK$2:$AK$167,economics!$AJ$2:$AJ$167,TRUE))*economics!$AM$2:$AM$167))/(SUMPRODUCT((economics!$AG$2:$AG$167=$B45)*(economics!$D$2:$D$167="process")*economics!$AH$2:$AH$167*(_xlfn.NORM.DIST(BS$3,economics!$AK$2:$AK$167,economics!$AJ$2:$AJ$167,TRUE)-_xlfn.NORM.DIST(BS$30,economics!$AK$2:$AK$167,economics!$AJ$2:$AJ$167,TRUE)))),"")</f>
        <v/>
      </c>
      <c r="BT45">
        <f t="array" ref="BT45">IFERROR((SUMPRODUCT((economics!$AG$2:$AG$167=$B45)*(economics!$D$2:$D$167="process")*economics!$AH$2:$AH$167*(_xlfn.NORM.DIST(BT$3,economics!$AK$2:$AK$167,economics!$AJ$2:$AJ$167,TRUE)-_xlfn.NORM.DIST(BT$30,economics!$AK$2:$AK$167,economics!$AJ$2:$AJ$167,TRUE))*economics!$AM$2:$AM$167))/(SUMPRODUCT((economics!$AG$2:$AG$167=$B45)*(economics!$D$2:$D$167="process")*economics!$AH$2:$AH$167*(_xlfn.NORM.DIST(BT$3,economics!$AK$2:$AK$167,economics!$AJ$2:$AJ$167,TRUE)-_xlfn.NORM.DIST(BT$30,economics!$AK$2:$AK$167,economics!$AJ$2:$AJ$167,TRUE)))),"")</f>
        <v/>
      </c>
      <c r="BU45">
        <f t="array" ref="BU45">IFERROR((SUMPRODUCT((economics!$AG$2:$AG$167=$B45)*(economics!$D$2:$D$167="process")*economics!$AH$2:$AH$167*(_xlfn.NORM.DIST(BU$3,economics!$AK$2:$AK$167,economics!$AJ$2:$AJ$167,TRUE)-_xlfn.NORM.DIST(BU$30,economics!$AK$2:$AK$167,economics!$AJ$2:$AJ$167,TRUE))*economics!$AM$2:$AM$167))/(SUMPRODUCT((economics!$AG$2:$AG$167=$B45)*(economics!$D$2:$D$167="process")*economics!$AH$2:$AH$167*(_xlfn.NORM.DIST(BU$3,economics!$AK$2:$AK$167,economics!$AJ$2:$AJ$167,TRUE)-_xlfn.NORM.DIST(BU$30,economics!$AK$2:$AK$167,economics!$AJ$2:$AJ$167,TRUE)))),"")</f>
        <v/>
      </c>
      <c r="BV45">
        <f t="array" ref="BV45">IFERROR((SUMPRODUCT((economics!$AG$2:$AG$167=$B45)*(economics!$D$2:$D$167="process")*economics!$AH$2:$AH$167*(_xlfn.NORM.DIST(BV$3,economics!$AK$2:$AK$167,economics!$AJ$2:$AJ$167,TRUE)-_xlfn.NORM.DIST(BV$30,economics!$AK$2:$AK$167,economics!$AJ$2:$AJ$167,TRUE))*economics!$AM$2:$AM$167))/(SUMPRODUCT((economics!$AG$2:$AG$167=$B45)*(economics!$D$2:$D$167="process")*economics!$AH$2:$AH$167*(_xlfn.NORM.DIST(BV$3,economics!$AK$2:$AK$167,economics!$AJ$2:$AJ$167,TRUE)-_xlfn.NORM.DIST(BV$30,economics!$AK$2:$AK$167,economics!$AJ$2:$AJ$167,TRUE)))),"")</f>
        <v/>
      </c>
      <c r="BW45">
        <f t="array" ref="BW45">IFERROR((SUMPRODUCT((economics!$AG$2:$AG$167=$B45)*(economics!$D$2:$D$167="process")*economics!$AH$2:$AH$167*(_xlfn.NORM.DIST(BW$3,economics!$AK$2:$AK$167,economics!$AJ$2:$AJ$167,TRUE)-_xlfn.NORM.DIST(BW$30,economics!$AK$2:$AK$167,economics!$AJ$2:$AJ$167,TRUE))*economics!$AM$2:$AM$167))/(SUMPRODUCT((economics!$AG$2:$AG$167=$B45)*(economics!$D$2:$D$167="process")*economics!$AH$2:$AH$167*(_xlfn.NORM.DIST(BW$3,economics!$AK$2:$AK$167,economics!$AJ$2:$AJ$167,TRUE)-_xlfn.NORM.DIST(BW$30,economics!$AK$2:$AK$167,economics!$AJ$2:$AJ$167,TRUE)))),"")</f>
        <v/>
      </c>
      <c r="BX45">
        <f t="array" ref="BX45">IFERROR((SUMPRODUCT((economics!$AG$2:$AG$167=$B45)*(economics!$D$2:$D$167="process")*economics!$AH$2:$AH$167*(_xlfn.NORM.DIST(BX$3,economics!$AK$2:$AK$167,economics!$AJ$2:$AJ$167,TRUE)-_xlfn.NORM.DIST(BX$30,economics!$AK$2:$AK$167,economics!$AJ$2:$AJ$167,TRUE))*economics!$AM$2:$AM$167))/(SUMPRODUCT((economics!$AG$2:$AG$167=$B45)*(economics!$D$2:$D$167="process")*economics!$AH$2:$AH$167*(_xlfn.NORM.DIST(BX$3,economics!$AK$2:$AK$167,economics!$AJ$2:$AJ$167,TRUE)-_xlfn.NORM.DIST(BX$30,economics!$AK$2:$AK$167,economics!$AJ$2:$AJ$167,TRUE)))),"")</f>
        <v/>
      </c>
      <c r="BY45">
        <f t="array" ref="BY45">IFERROR((SUMPRODUCT((economics!$AG$2:$AG$167=$B45)*(economics!$D$2:$D$167="process")*economics!$AH$2:$AH$167*(_xlfn.NORM.DIST(BY$3,economics!$AK$2:$AK$167,economics!$AJ$2:$AJ$167,TRUE)-_xlfn.NORM.DIST(BY$30,economics!$AK$2:$AK$167,economics!$AJ$2:$AJ$167,TRUE))*economics!$AM$2:$AM$167))/(SUMPRODUCT((economics!$AG$2:$AG$167=$B45)*(economics!$D$2:$D$167="process")*economics!$AH$2:$AH$167*(_xlfn.NORM.DIST(BY$3,economics!$AK$2:$AK$167,economics!$AJ$2:$AJ$167,TRUE)-_xlfn.NORM.DIST(BY$30,economics!$AK$2:$AK$167,economics!$AJ$2:$AJ$167,TRUE)))),"")</f>
        <v/>
      </c>
      <c r="BZ45">
        <f t="array" ref="BZ45">IFERROR((SUMPRODUCT((economics!$AG$2:$AG$167=$B45)*(economics!$D$2:$D$167="process")*economics!$AH$2:$AH$167*(_xlfn.NORM.DIST(BZ$3,economics!$AK$2:$AK$167,economics!$AJ$2:$AJ$167,TRUE)-_xlfn.NORM.DIST(BZ$30,economics!$AK$2:$AK$167,economics!$AJ$2:$AJ$167,TRUE))*economics!$AM$2:$AM$167))/(SUMPRODUCT((economics!$AG$2:$AG$167=$B45)*(economics!$D$2:$D$167="process")*economics!$AH$2:$AH$167*(_xlfn.NORM.DIST(BZ$3,economics!$AK$2:$AK$167,economics!$AJ$2:$AJ$167,TRUE)-_xlfn.NORM.DIST(BZ$30,economics!$AK$2:$AK$167,economics!$AJ$2:$AJ$167,TRUE)))),"")</f>
        <v/>
      </c>
      <c r="CA45">
        <f t="array" ref="CA45">IFERROR((SUMPRODUCT((economics!$AG$2:$AG$167=$B45)*(economics!$D$2:$D$167="process")*economics!$AH$2:$AH$167*(_xlfn.NORM.DIST(CA$3,economics!$AK$2:$AK$167,economics!$AJ$2:$AJ$167,TRUE)-_xlfn.NORM.DIST(CA$30,economics!$AK$2:$AK$167,economics!$AJ$2:$AJ$167,TRUE))*economics!$AM$2:$AM$167))/(SUMPRODUCT((economics!$AG$2:$AG$167=$B45)*(economics!$D$2:$D$167="process")*economics!$AH$2:$AH$167*(_xlfn.NORM.DIST(CA$3,economics!$AK$2:$AK$167,economics!$AJ$2:$AJ$167,TRUE)-_xlfn.NORM.DIST(CA$30,economics!$AK$2:$AK$167,economics!$AJ$2:$AJ$167,TRUE)))),"")</f>
        <v/>
      </c>
      <c r="CB45">
        <f t="array" ref="CB45">IFERROR((SUMPRODUCT((economics!$AG$2:$AG$167=$B45)*(economics!$D$2:$D$167="process")*economics!$AH$2:$AH$167*(_xlfn.NORM.DIST(CB$3,economics!$AK$2:$AK$167,economics!$AJ$2:$AJ$167,TRUE)-_xlfn.NORM.DIST(CB$30,economics!$AK$2:$AK$167,economics!$AJ$2:$AJ$167,TRUE))*economics!$AM$2:$AM$167))/(SUMPRODUCT((economics!$AG$2:$AG$167=$B45)*(economics!$D$2:$D$167="process")*economics!$AH$2:$AH$167*(_xlfn.NORM.DIST(CB$3,economics!$AK$2:$AK$167,economics!$AJ$2:$AJ$167,TRUE)-_xlfn.NORM.DIST(CB$30,economics!$AK$2:$AK$167,economics!$AJ$2:$AJ$167,TRUE)))),"")</f>
        <v/>
      </c>
      <c r="CC45">
        <f t="array" ref="CC45">IFERROR((SUMPRODUCT((economics!$AG$2:$AG$167=$B45)*(economics!$D$2:$D$167="process")*economics!$AH$2:$AH$167*(_xlfn.NORM.DIST(CC$3,economics!$AK$2:$AK$167,economics!$AJ$2:$AJ$167,TRUE)-_xlfn.NORM.DIST(CC$30,economics!$AK$2:$AK$167,economics!$AJ$2:$AJ$167,TRUE))*economics!$AM$2:$AM$167))/(SUMPRODUCT((economics!$AG$2:$AG$167=$B45)*(economics!$D$2:$D$167="process")*economics!$AH$2:$AH$167*(_xlfn.NORM.DIST(CC$3,economics!$AK$2:$AK$167,economics!$AJ$2:$AJ$167,TRUE)-_xlfn.NORM.DIST(CC$30,economics!$AK$2:$AK$167,economics!$AJ$2:$AJ$167,TRUE)))),"")</f>
        <v/>
      </c>
      <c r="CD45">
        <f t="array" ref="CD45">IFERROR((SUMPRODUCT((economics!$AG$2:$AG$167=$B45)*(economics!$D$2:$D$167="process")*economics!$AH$2:$AH$167*(_xlfn.NORM.DIST(CD$3,economics!$AK$2:$AK$167,economics!$AJ$2:$AJ$167,TRUE)-_xlfn.NORM.DIST(CD$30,economics!$AK$2:$AK$167,economics!$AJ$2:$AJ$167,TRUE))*economics!$AM$2:$AM$167))/(SUMPRODUCT((economics!$AG$2:$AG$167=$B45)*(economics!$D$2:$D$167="process")*economics!$AH$2:$AH$167*(_xlfn.NORM.DIST(CD$3,economics!$AK$2:$AK$167,economics!$AJ$2:$AJ$167,TRUE)-_xlfn.NORM.DIST(CD$30,economics!$AK$2:$AK$167,economics!$AJ$2:$AJ$167,TRUE)))),"")</f>
        <v/>
      </c>
      <c r="CE45">
        <f t="array" ref="CE45">IFERROR((SUMPRODUCT((economics!$AG$2:$AG$167=$B45)*(economics!$D$2:$D$167="process")*economics!$AH$2:$AH$167*(_xlfn.NORM.DIST(CE$3,economics!$AK$2:$AK$167,economics!$AJ$2:$AJ$167,TRUE)-_xlfn.NORM.DIST(CE$30,economics!$AK$2:$AK$167,economics!$AJ$2:$AJ$167,TRUE))*economics!$AM$2:$AM$167))/(SUMPRODUCT((economics!$AG$2:$AG$167=$B45)*(economics!$D$2:$D$167="process")*economics!$AH$2:$AH$167*(_xlfn.NORM.DIST(CE$3,economics!$AK$2:$AK$167,economics!$AJ$2:$AJ$167,TRUE)-_xlfn.NORM.DIST(CE$30,economics!$AK$2:$AK$167,economics!$AJ$2:$AJ$167,TRUE)))),"")</f>
        <v/>
      </c>
      <c r="CF45">
        <f t="array" ref="CF45">IFERROR((SUMPRODUCT((economics!$AG$2:$AG$167=$B45)*(economics!$D$2:$D$167="process")*economics!$AH$2:$AH$167*(_xlfn.NORM.DIST(CF$3,economics!$AK$2:$AK$167,economics!$AJ$2:$AJ$167,TRUE)-_xlfn.NORM.DIST(CF$30,economics!$AK$2:$AK$167,economics!$AJ$2:$AJ$167,TRUE))*economics!$AM$2:$AM$167))/(SUMPRODUCT((economics!$AG$2:$AG$167=$B45)*(economics!$D$2:$D$167="process")*economics!$AH$2:$AH$167*(_xlfn.NORM.DIST(CF$3,economics!$AK$2:$AK$167,economics!$AJ$2:$AJ$167,TRUE)-_xlfn.NORM.DIST(CF$30,economics!$AK$2:$AK$167,economics!$AJ$2:$AJ$167,TRUE)))),"")</f>
        <v/>
      </c>
      <c r="CG45">
        <f t="array" ref="CG45">IFERROR((SUMPRODUCT((economics!$AG$2:$AG$167=$B45)*(economics!$D$2:$D$167="process")*economics!$AH$2:$AH$167*(_xlfn.NORM.DIST(CG$3,economics!$AK$2:$AK$167,economics!$AJ$2:$AJ$167,TRUE)-_xlfn.NORM.DIST(CG$30,economics!$AK$2:$AK$167,economics!$AJ$2:$AJ$167,TRUE))*economics!$AM$2:$AM$167))/(SUMPRODUCT((economics!$AG$2:$AG$167=$B45)*(economics!$D$2:$D$167="process")*economics!$AH$2:$AH$167*(_xlfn.NORM.DIST(CG$3,economics!$AK$2:$AK$167,economics!$AJ$2:$AJ$167,TRUE)-_xlfn.NORM.DIST(CG$30,economics!$AK$2:$AK$167,economics!$AJ$2:$AJ$167,TRUE)))),"")</f>
        <v/>
      </c>
      <c r="CH45">
        <f t="array" ref="CH45">IFERROR((SUMPRODUCT((economics!$AG$2:$AG$167=$B45)*(economics!$D$2:$D$167="process")*economics!$AH$2:$AH$167*(_xlfn.NORM.DIST(CH$3,economics!$AK$2:$AK$167,economics!$AJ$2:$AJ$167,TRUE)-_xlfn.NORM.DIST(CH$30,economics!$AK$2:$AK$167,economics!$AJ$2:$AJ$167,TRUE))*economics!$AM$2:$AM$167))/(SUMPRODUCT((economics!$AG$2:$AG$167=$B45)*(economics!$D$2:$D$167="process")*economics!$AH$2:$AH$167*(_xlfn.NORM.DIST(CH$3,economics!$AK$2:$AK$167,economics!$AJ$2:$AJ$167,TRUE)-_xlfn.NORM.DIST(CH$30,economics!$AK$2:$AK$167,economics!$AJ$2:$AJ$167,TRUE)))),"")</f>
        <v/>
      </c>
    </row>
    <row r="46">
      <c r="A46">
        <f>A17</f>
        <v/>
      </c>
      <c r="B46">
        <f>B17</f>
        <v/>
      </c>
      <c r="E46">
        <f t="array" ref="E46">IFERROR((SUMPRODUCT((economics!$AG$2:$AG$167=$B46)*(economics!$D$2:$D$167="process")*economics!$AH$2:$AH$167*(_xlfn.NORM.DIST(E$3,economics!$AK$2:$AK$167,economics!$AJ$2:$AJ$167,TRUE)-_xlfn.NORM.DIST(E$30,economics!$AK$2:$AK$167,economics!$AJ$2:$AJ$167,TRUE))*economics!$AM$2:$AM$167))/(SUMPRODUCT((economics!$AG$2:$AG$167=$B46)*(economics!$D$2:$D$167="process")*economics!$AH$2:$AH$167*(_xlfn.NORM.DIST(E$3,economics!$AK$2:$AK$167,economics!$AJ$2:$AJ$167,TRUE)-_xlfn.NORM.DIST(E$30,economics!$AK$2:$AK$167,economics!$AJ$2:$AJ$167,TRUE)))),"")</f>
        <v/>
      </c>
      <c r="F46">
        <f t="array" ref="F46">IFERROR((SUMPRODUCT((economics!$AG$2:$AG$167=$B46)*(economics!$D$2:$D$167="process")*economics!$AH$2:$AH$167*(_xlfn.NORM.DIST(F$3,economics!$AK$2:$AK$167,economics!$AJ$2:$AJ$167,TRUE)-_xlfn.NORM.DIST(F$30,economics!$AK$2:$AK$167,economics!$AJ$2:$AJ$167,TRUE))*economics!$AM$2:$AM$167))/(SUMPRODUCT((economics!$AG$2:$AG$167=$B46)*(economics!$D$2:$D$167="process")*economics!$AH$2:$AH$167*(_xlfn.NORM.DIST(F$3,economics!$AK$2:$AK$167,economics!$AJ$2:$AJ$167,TRUE)-_xlfn.NORM.DIST(F$30,economics!$AK$2:$AK$167,economics!$AJ$2:$AJ$167,TRUE)))),"")</f>
        <v/>
      </c>
      <c r="G46">
        <f t="array" ref="G46">IFERROR((SUMPRODUCT((economics!$AG$2:$AG$167=$B46)*(economics!$D$2:$D$167="process")*economics!$AH$2:$AH$167*(_xlfn.NORM.DIST(G$3,economics!$AK$2:$AK$167,economics!$AJ$2:$AJ$167,TRUE)-_xlfn.NORM.DIST(G$30,economics!$AK$2:$AK$167,economics!$AJ$2:$AJ$167,TRUE))*economics!$AM$2:$AM$167))/(SUMPRODUCT((economics!$AG$2:$AG$167=$B46)*(economics!$D$2:$D$167="process")*economics!$AH$2:$AH$167*(_xlfn.NORM.DIST(G$3,economics!$AK$2:$AK$167,economics!$AJ$2:$AJ$167,TRUE)-_xlfn.NORM.DIST(G$30,economics!$AK$2:$AK$167,economics!$AJ$2:$AJ$167,TRUE)))),"")</f>
        <v/>
      </c>
      <c r="H46">
        <f t="array" ref="H46">IFERROR((SUMPRODUCT((economics!$AG$2:$AG$167=$B46)*(economics!$D$2:$D$167="process")*economics!$AH$2:$AH$167*(_xlfn.NORM.DIST(H$3,economics!$AK$2:$AK$167,economics!$AJ$2:$AJ$167,TRUE)-_xlfn.NORM.DIST(H$30,economics!$AK$2:$AK$167,economics!$AJ$2:$AJ$167,TRUE))*economics!$AM$2:$AM$167))/(SUMPRODUCT((economics!$AG$2:$AG$167=$B46)*(economics!$D$2:$D$167="process")*economics!$AH$2:$AH$167*(_xlfn.NORM.DIST(H$3,economics!$AK$2:$AK$167,economics!$AJ$2:$AJ$167,TRUE)-_xlfn.NORM.DIST(H$30,economics!$AK$2:$AK$167,economics!$AJ$2:$AJ$167,TRUE)))),"")</f>
        <v/>
      </c>
      <c r="I46">
        <f t="array" ref="I46">IFERROR((SUMPRODUCT((economics!$AG$2:$AG$167=$B46)*(economics!$D$2:$D$167="process")*economics!$AH$2:$AH$167*(_xlfn.NORM.DIST(I$3,economics!$AK$2:$AK$167,economics!$AJ$2:$AJ$167,TRUE)-_xlfn.NORM.DIST(I$30,economics!$AK$2:$AK$167,economics!$AJ$2:$AJ$167,TRUE))*economics!$AM$2:$AM$167))/(SUMPRODUCT((economics!$AG$2:$AG$167=$B46)*(economics!$D$2:$D$167="process")*economics!$AH$2:$AH$167*(_xlfn.NORM.DIST(I$3,economics!$AK$2:$AK$167,economics!$AJ$2:$AJ$167,TRUE)-_xlfn.NORM.DIST(I$30,economics!$AK$2:$AK$167,economics!$AJ$2:$AJ$167,TRUE)))),"")</f>
        <v/>
      </c>
      <c r="J46">
        <f t="array" ref="J46">IFERROR((SUMPRODUCT((economics!$AG$2:$AG$167=$B46)*(economics!$D$2:$D$167="process")*economics!$AH$2:$AH$167*(_xlfn.NORM.DIST(J$3,economics!$AK$2:$AK$167,economics!$AJ$2:$AJ$167,TRUE)-_xlfn.NORM.DIST(J$30,economics!$AK$2:$AK$167,economics!$AJ$2:$AJ$167,TRUE))*economics!$AM$2:$AM$167))/(SUMPRODUCT((economics!$AG$2:$AG$167=$B46)*(economics!$D$2:$D$167="process")*economics!$AH$2:$AH$167*(_xlfn.NORM.DIST(J$3,economics!$AK$2:$AK$167,economics!$AJ$2:$AJ$167,TRUE)-_xlfn.NORM.DIST(J$30,economics!$AK$2:$AK$167,economics!$AJ$2:$AJ$167,TRUE)))),"")</f>
        <v/>
      </c>
      <c r="K46">
        <f t="array" ref="K46">IFERROR((SUMPRODUCT((economics!$AG$2:$AG$167=$B46)*(economics!$D$2:$D$167="process")*economics!$AH$2:$AH$167*(_xlfn.NORM.DIST(K$3,economics!$AK$2:$AK$167,economics!$AJ$2:$AJ$167,TRUE)-_xlfn.NORM.DIST(K$30,economics!$AK$2:$AK$167,economics!$AJ$2:$AJ$167,TRUE))*economics!$AM$2:$AM$167))/(SUMPRODUCT((economics!$AG$2:$AG$167=$B46)*(economics!$D$2:$D$167="process")*economics!$AH$2:$AH$167*(_xlfn.NORM.DIST(K$3,economics!$AK$2:$AK$167,economics!$AJ$2:$AJ$167,TRUE)-_xlfn.NORM.DIST(K$30,economics!$AK$2:$AK$167,economics!$AJ$2:$AJ$167,TRUE)))),"")</f>
        <v/>
      </c>
      <c r="L46">
        <f t="array" ref="L46">IFERROR((SUMPRODUCT((economics!$AG$2:$AG$167=$B46)*(economics!$D$2:$D$167="process")*economics!$AH$2:$AH$167*(_xlfn.NORM.DIST(L$3,economics!$AK$2:$AK$167,economics!$AJ$2:$AJ$167,TRUE)-_xlfn.NORM.DIST(L$30,economics!$AK$2:$AK$167,economics!$AJ$2:$AJ$167,TRUE))*economics!$AM$2:$AM$167))/(SUMPRODUCT((economics!$AG$2:$AG$167=$B46)*(economics!$D$2:$D$167="process")*economics!$AH$2:$AH$167*(_xlfn.NORM.DIST(L$3,economics!$AK$2:$AK$167,economics!$AJ$2:$AJ$167,TRUE)-_xlfn.NORM.DIST(L$30,economics!$AK$2:$AK$167,economics!$AJ$2:$AJ$167,TRUE)))),"")</f>
        <v/>
      </c>
      <c r="M46">
        <f t="array" ref="M46">IFERROR((SUMPRODUCT((economics!$AG$2:$AG$167=$B46)*(economics!$D$2:$D$167="process")*economics!$AH$2:$AH$167*(_xlfn.NORM.DIST(M$3,economics!$AK$2:$AK$167,economics!$AJ$2:$AJ$167,TRUE)-_xlfn.NORM.DIST(M$30,economics!$AK$2:$AK$167,economics!$AJ$2:$AJ$167,TRUE))*economics!$AM$2:$AM$167))/(SUMPRODUCT((economics!$AG$2:$AG$167=$B46)*(economics!$D$2:$D$167="process")*economics!$AH$2:$AH$167*(_xlfn.NORM.DIST(M$3,economics!$AK$2:$AK$167,economics!$AJ$2:$AJ$167,TRUE)-_xlfn.NORM.DIST(M$30,economics!$AK$2:$AK$167,economics!$AJ$2:$AJ$167,TRUE)))),"")</f>
        <v/>
      </c>
      <c r="N46">
        <f t="array" ref="N46">IFERROR((SUMPRODUCT((economics!$AG$2:$AG$167=$B46)*(economics!$D$2:$D$167="process")*economics!$AH$2:$AH$167*(_xlfn.NORM.DIST(N$3,economics!$AK$2:$AK$167,economics!$AJ$2:$AJ$167,TRUE)-_xlfn.NORM.DIST(N$30,economics!$AK$2:$AK$167,economics!$AJ$2:$AJ$167,TRUE))*economics!$AM$2:$AM$167))/(SUMPRODUCT((economics!$AG$2:$AG$167=$B46)*(economics!$D$2:$D$167="process")*economics!$AH$2:$AH$167*(_xlfn.NORM.DIST(N$3,economics!$AK$2:$AK$167,economics!$AJ$2:$AJ$167,TRUE)-_xlfn.NORM.DIST(N$30,economics!$AK$2:$AK$167,economics!$AJ$2:$AJ$167,TRUE)))),"")</f>
        <v/>
      </c>
      <c r="O46">
        <f t="array" ref="O46">IFERROR((SUMPRODUCT((economics!$AG$2:$AG$167=$B46)*(economics!$D$2:$D$167="process")*economics!$AH$2:$AH$167*(_xlfn.NORM.DIST(O$3,economics!$AK$2:$AK$167,economics!$AJ$2:$AJ$167,TRUE)-_xlfn.NORM.DIST(O$30,economics!$AK$2:$AK$167,economics!$AJ$2:$AJ$167,TRUE))*economics!$AM$2:$AM$167))/(SUMPRODUCT((economics!$AG$2:$AG$167=$B46)*(economics!$D$2:$D$167="process")*economics!$AH$2:$AH$167*(_xlfn.NORM.DIST(O$3,economics!$AK$2:$AK$167,economics!$AJ$2:$AJ$167,TRUE)-_xlfn.NORM.DIST(O$30,economics!$AK$2:$AK$167,economics!$AJ$2:$AJ$167,TRUE)))),"")</f>
        <v/>
      </c>
      <c r="P46">
        <f t="array" ref="P46">IFERROR((SUMPRODUCT((economics!$AG$2:$AG$167=$B46)*(economics!$D$2:$D$167="process")*economics!$AH$2:$AH$167*(_xlfn.NORM.DIST(P$3,economics!$AK$2:$AK$167,economics!$AJ$2:$AJ$167,TRUE)-_xlfn.NORM.DIST(P$30,economics!$AK$2:$AK$167,economics!$AJ$2:$AJ$167,TRUE))*economics!$AM$2:$AM$167))/(SUMPRODUCT((economics!$AG$2:$AG$167=$B46)*(economics!$D$2:$D$167="process")*economics!$AH$2:$AH$167*(_xlfn.NORM.DIST(P$3,economics!$AK$2:$AK$167,economics!$AJ$2:$AJ$167,TRUE)-_xlfn.NORM.DIST(P$30,economics!$AK$2:$AK$167,economics!$AJ$2:$AJ$167,TRUE)))),"")</f>
        <v/>
      </c>
      <c r="Q46">
        <f t="array" ref="Q46">IFERROR((SUMPRODUCT((economics!$AG$2:$AG$167=$B46)*(economics!$D$2:$D$167="process")*economics!$AH$2:$AH$167*(_xlfn.NORM.DIST(Q$3,economics!$AK$2:$AK$167,economics!$AJ$2:$AJ$167,TRUE)-_xlfn.NORM.DIST(Q$30,economics!$AK$2:$AK$167,economics!$AJ$2:$AJ$167,TRUE))*economics!$AM$2:$AM$167))/(SUMPRODUCT((economics!$AG$2:$AG$167=$B46)*(economics!$D$2:$D$167="process")*economics!$AH$2:$AH$167*(_xlfn.NORM.DIST(Q$3,economics!$AK$2:$AK$167,economics!$AJ$2:$AJ$167,TRUE)-_xlfn.NORM.DIST(Q$30,economics!$AK$2:$AK$167,economics!$AJ$2:$AJ$167,TRUE)))),"")</f>
        <v/>
      </c>
      <c r="R46">
        <f t="array" ref="R46">IFERROR((SUMPRODUCT((economics!$AG$2:$AG$167=$B46)*(economics!$D$2:$D$167="process")*economics!$AH$2:$AH$167*(_xlfn.NORM.DIST(R$3,economics!$AK$2:$AK$167,economics!$AJ$2:$AJ$167,TRUE)-_xlfn.NORM.DIST(R$30,economics!$AK$2:$AK$167,economics!$AJ$2:$AJ$167,TRUE))*economics!$AM$2:$AM$167))/(SUMPRODUCT((economics!$AG$2:$AG$167=$B46)*(economics!$D$2:$D$167="process")*economics!$AH$2:$AH$167*(_xlfn.NORM.DIST(R$3,economics!$AK$2:$AK$167,economics!$AJ$2:$AJ$167,TRUE)-_xlfn.NORM.DIST(R$30,economics!$AK$2:$AK$167,economics!$AJ$2:$AJ$167,TRUE)))),"")</f>
        <v/>
      </c>
      <c r="S46">
        <f t="array" ref="S46">IFERROR((SUMPRODUCT((economics!$AG$2:$AG$167=$B46)*(economics!$D$2:$D$167="process")*economics!$AH$2:$AH$167*(_xlfn.NORM.DIST(S$3,economics!$AK$2:$AK$167,economics!$AJ$2:$AJ$167,TRUE)-_xlfn.NORM.DIST(S$30,economics!$AK$2:$AK$167,economics!$AJ$2:$AJ$167,TRUE))*economics!$AM$2:$AM$167))/(SUMPRODUCT((economics!$AG$2:$AG$167=$B46)*(economics!$D$2:$D$167="process")*economics!$AH$2:$AH$167*(_xlfn.NORM.DIST(S$3,economics!$AK$2:$AK$167,economics!$AJ$2:$AJ$167,TRUE)-_xlfn.NORM.DIST(S$30,economics!$AK$2:$AK$167,economics!$AJ$2:$AJ$167,TRUE)))),"")</f>
        <v/>
      </c>
      <c r="T46">
        <f t="array" ref="T46">IFERROR((SUMPRODUCT((economics!$AG$2:$AG$167=$B46)*(economics!$D$2:$D$167="process")*economics!$AH$2:$AH$167*(_xlfn.NORM.DIST(T$3,economics!$AK$2:$AK$167,economics!$AJ$2:$AJ$167,TRUE)-_xlfn.NORM.DIST(T$30,economics!$AK$2:$AK$167,economics!$AJ$2:$AJ$167,TRUE))*economics!$AM$2:$AM$167))/(SUMPRODUCT((economics!$AG$2:$AG$167=$B46)*(economics!$D$2:$D$167="process")*economics!$AH$2:$AH$167*(_xlfn.NORM.DIST(T$3,economics!$AK$2:$AK$167,economics!$AJ$2:$AJ$167,TRUE)-_xlfn.NORM.DIST(T$30,economics!$AK$2:$AK$167,economics!$AJ$2:$AJ$167,TRUE)))),"")</f>
        <v/>
      </c>
      <c r="U46">
        <f t="array" ref="U46">IFERROR((SUMPRODUCT((economics!$AG$2:$AG$167=$B46)*(economics!$D$2:$D$167="process")*economics!$AH$2:$AH$167*(_xlfn.NORM.DIST(U$3,economics!$AK$2:$AK$167,economics!$AJ$2:$AJ$167,TRUE)-_xlfn.NORM.DIST(U$30,economics!$AK$2:$AK$167,economics!$AJ$2:$AJ$167,TRUE))*economics!$AM$2:$AM$167))/(SUMPRODUCT((economics!$AG$2:$AG$167=$B46)*(economics!$D$2:$D$167="process")*economics!$AH$2:$AH$167*(_xlfn.NORM.DIST(U$3,economics!$AK$2:$AK$167,economics!$AJ$2:$AJ$167,TRUE)-_xlfn.NORM.DIST(U$30,economics!$AK$2:$AK$167,economics!$AJ$2:$AJ$167,TRUE)))),"")</f>
        <v/>
      </c>
      <c r="V46">
        <f t="array" ref="V46">IFERROR((SUMPRODUCT((economics!$AG$2:$AG$167=$B46)*(economics!$D$2:$D$167="process")*economics!$AH$2:$AH$167*(_xlfn.NORM.DIST(V$3,economics!$AK$2:$AK$167,economics!$AJ$2:$AJ$167,TRUE)-_xlfn.NORM.DIST(V$30,economics!$AK$2:$AK$167,economics!$AJ$2:$AJ$167,TRUE))*economics!$AM$2:$AM$167))/(SUMPRODUCT((economics!$AG$2:$AG$167=$B46)*(economics!$D$2:$D$167="process")*economics!$AH$2:$AH$167*(_xlfn.NORM.DIST(V$3,economics!$AK$2:$AK$167,economics!$AJ$2:$AJ$167,TRUE)-_xlfn.NORM.DIST(V$30,economics!$AK$2:$AK$167,economics!$AJ$2:$AJ$167,TRUE)))),"")</f>
        <v/>
      </c>
      <c r="W46">
        <f t="array" ref="W46">IFERROR((SUMPRODUCT((economics!$AG$2:$AG$167=$B46)*(economics!$D$2:$D$167="process")*economics!$AH$2:$AH$167*(_xlfn.NORM.DIST(W$3,economics!$AK$2:$AK$167,economics!$AJ$2:$AJ$167,TRUE)-_xlfn.NORM.DIST(W$30,economics!$AK$2:$AK$167,economics!$AJ$2:$AJ$167,TRUE))*economics!$AM$2:$AM$167))/(SUMPRODUCT((economics!$AG$2:$AG$167=$B46)*(economics!$D$2:$D$167="process")*economics!$AH$2:$AH$167*(_xlfn.NORM.DIST(W$3,economics!$AK$2:$AK$167,economics!$AJ$2:$AJ$167,TRUE)-_xlfn.NORM.DIST(W$30,economics!$AK$2:$AK$167,economics!$AJ$2:$AJ$167,TRUE)))),"")</f>
        <v/>
      </c>
      <c r="X46">
        <f t="array" ref="X46">IFERROR((SUMPRODUCT((economics!$AG$2:$AG$167=$B46)*(economics!$D$2:$D$167="process")*economics!$AH$2:$AH$167*(_xlfn.NORM.DIST(X$3,economics!$AK$2:$AK$167,economics!$AJ$2:$AJ$167,TRUE)-_xlfn.NORM.DIST(X$30,economics!$AK$2:$AK$167,economics!$AJ$2:$AJ$167,TRUE))*economics!$AM$2:$AM$167))/(SUMPRODUCT((economics!$AG$2:$AG$167=$B46)*(economics!$D$2:$D$167="process")*economics!$AH$2:$AH$167*(_xlfn.NORM.DIST(X$3,economics!$AK$2:$AK$167,economics!$AJ$2:$AJ$167,TRUE)-_xlfn.NORM.DIST(X$30,economics!$AK$2:$AK$167,economics!$AJ$2:$AJ$167,TRUE)))),"")</f>
        <v/>
      </c>
      <c r="Y46">
        <f t="array" ref="Y46">IFERROR((SUMPRODUCT((economics!$AG$2:$AG$167=$B46)*(economics!$D$2:$D$167="process")*economics!$AH$2:$AH$167*(_xlfn.NORM.DIST(Y$3,economics!$AK$2:$AK$167,economics!$AJ$2:$AJ$167,TRUE)-_xlfn.NORM.DIST(Y$30,economics!$AK$2:$AK$167,economics!$AJ$2:$AJ$167,TRUE))*economics!$AM$2:$AM$167))/(SUMPRODUCT((economics!$AG$2:$AG$167=$B46)*(economics!$D$2:$D$167="process")*economics!$AH$2:$AH$167*(_xlfn.NORM.DIST(Y$3,economics!$AK$2:$AK$167,economics!$AJ$2:$AJ$167,TRUE)-_xlfn.NORM.DIST(Y$30,economics!$AK$2:$AK$167,economics!$AJ$2:$AJ$167,TRUE)))),"")</f>
        <v/>
      </c>
      <c r="Z46">
        <f t="array" ref="Z46">IFERROR((SUMPRODUCT((economics!$AG$2:$AG$167=$B46)*(economics!$D$2:$D$167="process")*economics!$AH$2:$AH$167*(_xlfn.NORM.DIST(Z$3,economics!$AK$2:$AK$167,economics!$AJ$2:$AJ$167,TRUE)-_xlfn.NORM.DIST(Z$30,economics!$AK$2:$AK$167,economics!$AJ$2:$AJ$167,TRUE))*economics!$AM$2:$AM$167))/(SUMPRODUCT((economics!$AG$2:$AG$167=$B46)*(economics!$D$2:$D$167="process")*economics!$AH$2:$AH$167*(_xlfn.NORM.DIST(Z$3,economics!$AK$2:$AK$167,economics!$AJ$2:$AJ$167,TRUE)-_xlfn.NORM.DIST(Z$30,economics!$AK$2:$AK$167,economics!$AJ$2:$AJ$167,TRUE)))),"")</f>
        <v/>
      </c>
      <c r="AA46">
        <f t="array" ref="AA46">IFERROR((SUMPRODUCT((economics!$AG$2:$AG$167=$B46)*(economics!$D$2:$D$167="process")*economics!$AH$2:$AH$167*(_xlfn.NORM.DIST(AA$3,economics!$AK$2:$AK$167,economics!$AJ$2:$AJ$167,TRUE)-_xlfn.NORM.DIST(AA$30,economics!$AK$2:$AK$167,economics!$AJ$2:$AJ$167,TRUE))*economics!$AM$2:$AM$167))/(SUMPRODUCT((economics!$AG$2:$AG$167=$B46)*(economics!$D$2:$D$167="process")*economics!$AH$2:$AH$167*(_xlfn.NORM.DIST(AA$3,economics!$AK$2:$AK$167,economics!$AJ$2:$AJ$167,TRUE)-_xlfn.NORM.DIST(AA$30,economics!$AK$2:$AK$167,economics!$AJ$2:$AJ$167,TRUE)))),"")</f>
        <v/>
      </c>
      <c r="AB46">
        <f t="array" ref="AB46">IFERROR((SUMPRODUCT((economics!$AG$2:$AG$167=$B46)*(economics!$D$2:$D$167="process")*economics!$AH$2:$AH$167*(_xlfn.NORM.DIST(AB$3,economics!$AK$2:$AK$167,economics!$AJ$2:$AJ$167,TRUE)-_xlfn.NORM.DIST(AB$30,economics!$AK$2:$AK$167,economics!$AJ$2:$AJ$167,TRUE))*economics!$AM$2:$AM$167))/(SUMPRODUCT((economics!$AG$2:$AG$167=$B46)*(economics!$D$2:$D$167="process")*economics!$AH$2:$AH$167*(_xlfn.NORM.DIST(AB$3,economics!$AK$2:$AK$167,economics!$AJ$2:$AJ$167,TRUE)-_xlfn.NORM.DIST(AB$30,economics!$AK$2:$AK$167,economics!$AJ$2:$AJ$167,TRUE)))),"")</f>
        <v/>
      </c>
      <c r="AC46">
        <f t="array" ref="AC46">IFERROR((SUMPRODUCT((economics!$AG$2:$AG$167=$B46)*(economics!$D$2:$D$167="process")*economics!$AH$2:$AH$167*(_xlfn.NORM.DIST(AC$3,economics!$AK$2:$AK$167,economics!$AJ$2:$AJ$167,TRUE)-_xlfn.NORM.DIST(AC$30,economics!$AK$2:$AK$167,economics!$AJ$2:$AJ$167,TRUE))*economics!$AM$2:$AM$167))/(SUMPRODUCT((economics!$AG$2:$AG$167=$B46)*(economics!$D$2:$D$167="process")*economics!$AH$2:$AH$167*(_xlfn.NORM.DIST(AC$3,economics!$AK$2:$AK$167,economics!$AJ$2:$AJ$167,TRUE)-_xlfn.NORM.DIST(AC$30,economics!$AK$2:$AK$167,economics!$AJ$2:$AJ$167,TRUE)))),"")</f>
        <v/>
      </c>
      <c r="AD46">
        <f t="array" ref="AD46">IFERROR((SUMPRODUCT((economics!$AG$2:$AG$167=$B46)*(economics!$D$2:$D$167="process")*economics!$AH$2:$AH$167*(_xlfn.NORM.DIST(AD$3,economics!$AK$2:$AK$167,economics!$AJ$2:$AJ$167,TRUE)-_xlfn.NORM.DIST(AD$30,economics!$AK$2:$AK$167,economics!$AJ$2:$AJ$167,TRUE))*economics!$AM$2:$AM$167))/(SUMPRODUCT((economics!$AG$2:$AG$167=$B46)*(economics!$D$2:$D$167="process")*economics!$AH$2:$AH$167*(_xlfn.NORM.DIST(AD$3,economics!$AK$2:$AK$167,economics!$AJ$2:$AJ$167,TRUE)-_xlfn.NORM.DIST(AD$30,economics!$AK$2:$AK$167,economics!$AJ$2:$AJ$167,TRUE)))),"")</f>
        <v/>
      </c>
      <c r="AE46">
        <f t="array" ref="AE46">IFERROR((SUMPRODUCT((economics!$AG$2:$AG$167=$B46)*(economics!$D$2:$D$167="process")*economics!$AH$2:$AH$167*(_xlfn.NORM.DIST(AE$3,economics!$AK$2:$AK$167,economics!$AJ$2:$AJ$167,TRUE)-_xlfn.NORM.DIST(AE$30,economics!$AK$2:$AK$167,economics!$AJ$2:$AJ$167,TRUE))*economics!$AM$2:$AM$167))/(SUMPRODUCT((economics!$AG$2:$AG$167=$B46)*(economics!$D$2:$D$167="process")*economics!$AH$2:$AH$167*(_xlfn.NORM.DIST(AE$3,economics!$AK$2:$AK$167,economics!$AJ$2:$AJ$167,TRUE)-_xlfn.NORM.DIST(AE$30,economics!$AK$2:$AK$167,economics!$AJ$2:$AJ$167,TRUE)))),"")</f>
        <v/>
      </c>
      <c r="AF46">
        <f t="array" ref="AF46">IFERROR((SUMPRODUCT((economics!$AG$2:$AG$167=$B46)*(economics!$D$2:$D$167="process")*economics!$AH$2:$AH$167*(_xlfn.NORM.DIST(AF$3,economics!$AK$2:$AK$167,economics!$AJ$2:$AJ$167,TRUE)-_xlfn.NORM.DIST(AF$30,economics!$AK$2:$AK$167,economics!$AJ$2:$AJ$167,TRUE))*economics!$AM$2:$AM$167))/(SUMPRODUCT((economics!$AG$2:$AG$167=$B46)*(economics!$D$2:$D$167="process")*economics!$AH$2:$AH$167*(_xlfn.NORM.DIST(AF$3,economics!$AK$2:$AK$167,economics!$AJ$2:$AJ$167,TRUE)-_xlfn.NORM.DIST(AF$30,economics!$AK$2:$AK$167,economics!$AJ$2:$AJ$167,TRUE)))),"")</f>
        <v/>
      </c>
      <c r="AG46">
        <f t="array" ref="AG46">IFERROR((SUMPRODUCT((economics!$AG$2:$AG$167=$B46)*(economics!$D$2:$D$167="process")*economics!$AH$2:$AH$167*(_xlfn.NORM.DIST(AG$3,economics!$AK$2:$AK$167,economics!$AJ$2:$AJ$167,TRUE)-_xlfn.NORM.DIST(AG$30,economics!$AK$2:$AK$167,economics!$AJ$2:$AJ$167,TRUE))*economics!$AM$2:$AM$167))/(SUMPRODUCT((economics!$AG$2:$AG$167=$B46)*(economics!$D$2:$D$167="process")*economics!$AH$2:$AH$167*(_xlfn.NORM.DIST(AG$3,economics!$AK$2:$AK$167,economics!$AJ$2:$AJ$167,TRUE)-_xlfn.NORM.DIST(AG$30,economics!$AK$2:$AK$167,economics!$AJ$2:$AJ$167,TRUE)))),"")</f>
        <v/>
      </c>
      <c r="AH46">
        <f t="array" ref="AH46">IFERROR((SUMPRODUCT((economics!$AG$2:$AG$167=$B46)*(economics!$D$2:$D$167="process")*economics!$AH$2:$AH$167*(_xlfn.NORM.DIST(AH$3,economics!$AK$2:$AK$167,economics!$AJ$2:$AJ$167,TRUE)-_xlfn.NORM.DIST(AH$30,economics!$AK$2:$AK$167,economics!$AJ$2:$AJ$167,TRUE))*economics!$AM$2:$AM$167))/(SUMPRODUCT((economics!$AG$2:$AG$167=$B46)*(economics!$D$2:$D$167="process")*economics!$AH$2:$AH$167*(_xlfn.NORM.DIST(AH$3,economics!$AK$2:$AK$167,economics!$AJ$2:$AJ$167,TRUE)-_xlfn.NORM.DIST(AH$30,economics!$AK$2:$AK$167,economics!$AJ$2:$AJ$167,TRUE)))),"")</f>
        <v/>
      </c>
      <c r="AI46">
        <f t="array" ref="AI46">IFERROR((SUMPRODUCT((economics!$AG$2:$AG$167=$B46)*(economics!$D$2:$D$167="process")*economics!$AH$2:$AH$167*(_xlfn.NORM.DIST(AI$3,economics!$AK$2:$AK$167,economics!$AJ$2:$AJ$167,TRUE)-_xlfn.NORM.DIST(AI$30,economics!$AK$2:$AK$167,economics!$AJ$2:$AJ$167,TRUE))*economics!$AM$2:$AM$167))/(SUMPRODUCT((economics!$AG$2:$AG$167=$B46)*(economics!$D$2:$D$167="process")*economics!$AH$2:$AH$167*(_xlfn.NORM.DIST(AI$3,economics!$AK$2:$AK$167,economics!$AJ$2:$AJ$167,TRUE)-_xlfn.NORM.DIST(AI$30,economics!$AK$2:$AK$167,economics!$AJ$2:$AJ$167,TRUE)))),"")</f>
        <v/>
      </c>
      <c r="AJ46">
        <f t="array" ref="AJ46">IFERROR((SUMPRODUCT((economics!$AG$2:$AG$167=$B46)*(economics!$D$2:$D$167="process")*economics!$AH$2:$AH$167*(_xlfn.NORM.DIST(AJ$3,economics!$AK$2:$AK$167,economics!$AJ$2:$AJ$167,TRUE)-_xlfn.NORM.DIST(AJ$30,economics!$AK$2:$AK$167,economics!$AJ$2:$AJ$167,TRUE))*economics!$AM$2:$AM$167))/(SUMPRODUCT((economics!$AG$2:$AG$167=$B46)*(economics!$D$2:$D$167="process")*economics!$AH$2:$AH$167*(_xlfn.NORM.DIST(AJ$3,economics!$AK$2:$AK$167,economics!$AJ$2:$AJ$167,TRUE)-_xlfn.NORM.DIST(AJ$30,economics!$AK$2:$AK$167,economics!$AJ$2:$AJ$167,TRUE)))),"")</f>
        <v/>
      </c>
      <c r="AK46">
        <f t="array" ref="AK46">IFERROR((SUMPRODUCT((economics!$AG$2:$AG$167=$B46)*(economics!$D$2:$D$167="process")*economics!$AH$2:$AH$167*(_xlfn.NORM.DIST(AK$3,economics!$AK$2:$AK$167,economics!$AJ$2:$AJ$167,TRUE)-_xlfn.NORM.DIST(AK$30,economics!$AK$2:$AK$167,economics!$AJ$2:$AJ$167,TRUE))*economics!$AM$2:$AM$167))/(SUMPRODUCT((economics!$AG$2:$AG$167=$B46)*(economics!$D$2:$D$167="process")*economics!$AH$2:$AH$167*(_xlfn.NORM.DIST(AK$3,economics!$AK$2:$AK$167,economics!$AJ$2:$AJ$167,TRUE)-_xlfn.NORM.DIST(AK$30,economics!$AK$2:$AK$167,economics!$AJ$2:$AJ$167,TRUE)))),"")</f>
        <v/>
      </c>
      <c r="AL46">
        <f t="array" ref="AL46">IFERROR((SUMPRODUCT((economics!$AG$2:$AG$167=$B46)*(economics!$D$2:$D$167="process")*economics!$AH$2:$AH$167*(_xlfn.NORM.DIST(AL$3,economics!$AK$2:$AK$167,economics!$AJ$2:$AJ$167,TRUE)-_xlfn.NORM.DIST(AL$30,economics!$AK$2:$AK$167,economics!$AJ$2:$AJ$167,TRUE))*economics!$AM$2:$AM$167))/(SUMPRODUCT((economics!$AG$2:$AG$167=$B46)*(economics!$D$2:$D$167="process")*economics!$AH$2:$AH$167*(_xlfn.NORM.DIST(AL$3,economics!$AK$2:$AK$167,economics!$AJ$2:$AJ$167,TRUE)-_xlfn.NORM.DIST(AL$30,economics!$AK$2:$AK$167,economics!$AJ$2:$AJ$167,TRUE)))),"")</f>
        <v/>
      </c>
      <c r="AM46">
        <f t="array" ref="AM46">IFERROR((SUMPRODUCT((economics!$AG$2:$AG$167=$B46)*(economics!$D$2:$D$167="process")*economics!$AH$2:$AH$167*(_xlfn.NORM.DIST(AM$3,economics!$AK$2:$AK$167,economics!$AJ$2:$AJ$167,TRUE)-_xlfn.NORM.DIST(AM$30,economics!$AK$2:$AK$167,economics!$AJ$2:$AJ$167,TRUE))*economics!$AM$2:$AM$167))/(SUMPRODUCT((economics!$AG$2:$AG$167=$B46)*(economics!$D$2:$D$167="process")*economics!$AH$2:$AH$167*(_xlfn.NORM.DIST(AM$3,economics!$AK$2:$AK$167,economics!$AJ$2:$AJ$167,TRUE)-_xlfn.NORM.DIST(AM$30,economics!$AK$2:$AK$167,economics!$AJ$2:$AJ$167,TRUE)))),"")</f>
        <v/>
      </c>
      <c r="AN46">
        <f t="array" ref="AN46">IFERROR((SUMPRODUCT((economics!$AG$2:$AG$167=$B46)*(economics!$D$2:$D$167="process")*economics!$AH$2:$AH$167*(_xlfn.NORM.DIST(AN$3,economics!$AK$2:$AK$167,economics!$AJ$2:$AJ$167,TRUE)-_xlfn.NORM.DIST(AN$30,economics!$AK$2:$AK$167,economics!$AJ$2:$AJ$167,TRUE))*economics!$AM$2:$AM$167))/(SUMPRODUCT((economics!$AG$2:$AG$167=$B46)*(economics!$D$2:$D$167="process")*economics!$AH$2:$AH$167*(_xlfn.NORM.DIST(AN$3,economics!$AK$2:$AK$167,economics!$AJ$2:$AJ$167,TRUE)-_xlfn.NORM.DIST(AN$30,economics!$AK$2:$AK$167,economics!$AJ$2:$AJ$167,TRUE)))),"")</f>
        <v/>
      </c>
      <c r="AO46">
        <f t="array" ref="AO46">IFERROR((SUMPRODUCT((economics!$AG$2:$AG$167=$B46)*(economics!$D$2:$D$167="process")*economics!$AH$2:$AH$167*(_xlfn.NORM.DIST(AO$3,economics!$AK$2:$AK$167,economics!$AJ$2:$AJ$167,TRUE)-_xlfn.NORM.DIST(AO$30,economics!$AK$2:$AK$167,economics!$AJ$2:$AJ$167,TRUE))*economics!$AM$2:$AM$167))/(SUMPRODUCT((economics!$AG$2:$AG$167=$B46)*(economics!$D$2:$D$167="process")*economics!$AH$2:$AH$167*(_xlfn.NORM.DIST(AO$3,economics!$AK$2:$AK$167,economics!$AJ$2:$AJ$167,TRUE)-_xlfn.NORM.DIST(AO$30,economics!$AK$2:$AK$167,economics!$AJ$2:$AJ$167,TRUE)))),"")</f>
        <v/>
      </c>
      <c r="AP46">
        <f t="array" ref="AP46">IFERROR((SUMPRODUCT((economics!$AG$2:$AG$167=$B46)*(economics!$D$2:$D$167="process")*economics!$AH$2:$AH$167*(_xlfn.NORM.DIST(AP$3,economics!$AK$2:$AK$167,economics!$AJ$2:$AJ$167,TRUE)-_xlfn.NORM.DIST(AP$30,economics!$AK$2:$AK$167,economics!$AJ$2:$AJ$167,TRUE))*economics!$AM$2:$AM$167))/(SUMPRODUCT((economics!$AG$2:$AG$167=$B46)*(economics!$D$2:$D$167="process")*economics!$AH$2:$AH$167*(_xlfn.NORM.DIST(AP$3,economics!$AK$2:$AK$167,economics!$AJ$2:$AJ$167,TRUE)-_xlfn.NORM.DIST(AP$30,economics!$AK$2:$AK$167,economics!$AJ$2:$AJ$167,TRUE)))),"")</f>
        <v/>
      </c>
      <c r="AQ46">
        <f t="array" ref="AQ46">IFERROR((SUMPRODUCT((economics!$AG$2:$AG$167=$B46)*(economics!$D$2:$D$167="process")*economics!$AH$2:$AH$167*(_xlfn.NORM.DIST(AQ$3,economics!$AK$2:$AK$167,economics!$AJ$2:$AJ$167,TRUE)-_xlfn.NORM.DIST(AQ$30,economics!$AK$2:$AK$167,economics!$AJ$2:$AJ$167,TRUE))*economics!$AM$2:$AM$167))/(SUMPRODUCT((economics!$AG$2:$AG$167=$B46)*(economics!$D$2:$D$167="process")*economics!$AH$2:$AH$167*(_xlfn.NORM.DIST(AQ$3,economics!$AK$2:$AK$167,economics!$AJ$2:$AJ$167,TRUE)-_xlfn.NORM.DIST(AQ$30,economics!$AK$2:$AK$167,economics!$AJ$2:$AJ$167,TRUE)))),"")</f>
        <v/>
      </c>
      <c r="AR46">
        <f t="array" ref="AR46">IFERROR((SUMPRODUCT((economics!$AG$2:$AG$167=$B46)*(economics!$D$2:$D$167="process")*economics!$AH$2:$AH$167*(_xlfn.NORM.DIST(AR$3,economics!$AK$2:$AK$167,economics!$AJ$2:$AJ$167,TRUE)-_xlfn.NORM.DIST(AR$30,economics!$AK$2:$AK$167,economics!$AJ$2:$AJ$167,TRUE))*economics!$AM$2:$AM$167))/(SUMPRODUCT((economics!$AG$2:$AG$167=$B46)*(economics!$D$2:$D$167="process")*economics!$AH$2:$AH$167*(_xlfn.NORM.DIST(AR$3,economics!$AK$2:$AK$167,economics!$AJ$2:$AJ$167,TRUE)-_xlfn.NORM.DIST(AR$30,economics!$AK$2:$AK$167,economics!$AJ$2:$AJ$167,TRUE)))),"")</f>
        <v/>
      </c>
      <c r="AS46">
        <f t="array" ref="AS46">IFERROR((SUMPRODUCT((economics!$AG$2:$AG$167=$B46)*(economics!$D$2:$D$167="process")*economics!$AH$2:$AH$167*(_xlfn.NORM.DIST(AS$3,economics!$AK$2:$AK$167,economics!$AJ$2:$AJ$167,TRUE)-_xlfn.NORM.DIST(AS$30,economics!$AK$2:$AK$167,economics!$AJ$2:$AJ$167,TRUE))*economics!$AM$2:$AM$167))/(SUMPRODUCT((economics!$AG$2:$AG$167=$B46)*(economics!$D$2:$D$167="process")*economics!$AH$2:$AH$167*(_xlfn.NORM.DIST(AS$3,economics!$AK$2:$AK$167,economics!$AJ$2:$AJ$167,TRUE)-_xlfn.NORM.DIST(AS$30,economics!$AK$2:$AK$167,economics!$AJ$2:$AJ$167,TRUE)))),"")</f>
        <v/>
      </c>
      <c r="AT46">
        <f t="array" ref="AT46">IFERROR((SUMPRODUCT((economics!$AG$2:$AG$167=$B46)*(economics!$D$2:$D$167="process")*economics!$AH$2:$AH$167*(_xlfn.NORM.DIST(AT$3,economics!$AK$2:$AK$167,economics!$AJ$2:$AJ$167,TRUE)-_xlfn.NORM.DIST(AT$30,economics!$AK$2:$AK$167,economics!$AJ$2:$AJ$167,TRUE))*economics!$AM$2:$AM$167))/(SUMPRODUCT((economics!$AG$2:$AG$167=$B46)*(economics!$D$2:$D$167="process")*economics!$AH$2:$AH$167*(_xlfn.NORM.DIST(AT$3,economics!$AK$2:$AK$167,economics!$AJ$2:$AJ$167,TRUE)-_xlfn.NORM.DIST(AT$30,economics!$AK$2:$AK$167,economics!$AJ$2:$AJ$167,TRUE)))),"")</f>
        <v/>
      </c>
      <c r="AU46">
        <f t="array" ref="AU46">IFERROR((SUMPRODUCT((economics!$AG$2:$AG$167=$B46)*(economics!$D$2:$D$167="process")*economics!$AH$2:$AH$167*(_xlfn.NORM.DIST(AU$3,economics!$AK$2:$AK$167,economics!$AJ$2:$AJ$167,TRUE)-_xlfn.NORM.DIST(AU$30,economics!$AK$2:$AK$167,economics!$AJ$2:$AJ$167,TRUE))*economics!$AM$2:$AM$167))/(SUMPRODUCT((economics!$AG$2:$AG$167=$B46)*(economics!$D$2:$D$167="process")*economics!$AH$2:$AH$167*(_xlfn.NORM.DIST(AU$3,economics!$AK$2:$AK$167,economics!$AJ$2:$AJ$167,TRUE)-_xlfn.NORM.DIST(AU$30,economics!$AK$2:$AK$167,economics!$AJ$2:$AJ$167,TRUE)))),"")</f>
        <v/>
      </c>
      <c r="AV46">
        <f t="array" ref="AV46">IFERROR((SUMPRODUCT((economics!$AG$2:$AG$167=$B46)*(economics!$D$2:$D$167="process")*economics!$AH$2:$AH$167*(_xlfn.NORM.DIST(AV$3,economics!$AK$2:$AK$167,economics!$AJ$2:$AJ$167,TRUE)-_xlfn.NORM.DIST(AV$30,economics!$AK$2:$AK$167,economics!$AJ$2:$AJ$167,TRUE))*economics!$AM$2:$AM$167))/(SUMPRODUCT((economics!$AG$2:$AG$167=$B46)*(economics!$D$2:$D$167="process")*economics!$AH$2:$AH$167*(_xlfn.NORM.DIST(AV$3,economics!$AK$2:$AK$167,economics!$AJ$2:$AJ$167,TRUE)-_xlfn.NORM.DIST(AV$30,economics!$AK$2:$AK$167,economics!$AJ$2:$AJ$167,TRUE)))),"")</f>
        <v/>
      </c>
      <c r="AW46">
        <f t="array" ref="AW46">IFERROR((SUMPRODUCT((economics!$AG$2:$AG$167=$B46)*(economics!$D$2:$D$167="process")*economics!$AH$2:$AH$167*(_xlfn.NORM.DIST(AW$3,economics!$AK$2:$AK$167,economics!$AJ$2:$AJ$167,TRUE)-_xlfn.NORM.DIST(AW$30,economics!$AK$2:$AK$167,economics!$AJ$2:$AJ$167,TRUE))*economics!$AM$2:$AM$167))/(SUMPRODUCT((economics!$AG$2:$AG$167=$B46)*(economics!$D$2:$D$167="process")*economics!$AH$2:$AH$167*(_xlfn.NORM.DIST(AW$3,economics!$AK$2:$AK$167,economics!$AJ$2:$AJ$167,TRUE)-_xlfn.NORM.DIST(AW$30,economics!$AK$2:$AK$167,economics!$AJ$2:$AJ$167,TRUE)))),"")</f>
        <v/>
      </c>
      <c r="AX46">
        <f t="array" ref="AX46">IFERROR((SUMPRODUCT((economics!$AG$2:$AG$167=$B46)*(economics!$D$2:$D$167="process")*economics!$AH$2:$AH$167*(_xlfn.NORM.DIST(AX$3,economics!$AK$2:$AK$167,economics!$AJ$2:$AJ$167,TRUE)-_xlfn.NORM.DIST(AX$30,economics!$AK$2:$AK$167,economics!$AJ$2:$AJ$167,TRUE))*economics!$AM$2:$AM$167))/(SUMPRODUCT((economics!$AG$2:$AG$167=$B46)*(economics!$D$2:$D$167="process")*economics!$AH$2:$AH$167*(_xlfn.NORM.DIST(AX$3,economics!$AK$2:$AK$167,economics!$AJ$2:$AJ$167,TRUE)-_xlfn.NORM.DIST(AX$30,economics!$AK$2:$AK$167,economics!$AJ$2:$AJ$167,TRUE)))),"")</f>
        <v/>
      </c>
      <c r="AY46">
        <f t="array" ref="AY46">IFERROR((SUMPRODUCT((economics!$AG$2:$AG$167=$B46)*(economics!$D$2:$D$167="process")*economics!$AH$2:$AH$167*(_xlfn.NORM.DIST(AY$3,economics!$AK$2:$AK$167,economics!$AJ$2:$AJ$167,TRUE)-_xlfn.NORM.DIST(AY$30,economics!$AK$2:$AK$167,economics!$AJ$2:$AJ$167,TRUE))*economics!$AM$2:$AM$167))/(SUMPRODUCT((economics!$AG$2:$AG$167=$B46)*(economics!$D$2:$D$167="process")*economics!$AH$2:$AH$167*(_xlfn.NORM.DIST(AY$3,economics!$AK$2:$AK$167,economics!$AJ$2:$AJ$167,TRUE)-_xlfn.NORM.DIST(AY$30,economics!$AK$2:$AK$167,economics!$AJ$2:$AJ$167,TRUE)))),"")</f>
        <v/>
      </c>
      <c r="AZ46">
        <f t="array" ref="AZ46">IFERROR((SUMPRODUCT((economics!$AG$2:$AG$167=$B46)*(economics!$D$2:$D$167="process")*economics!$AH$2:$AH$167*(_xlfn.NORM.DIST(AZ$3,economics!$AK$2:$AK$167,economics!$AJ$2:$AJ$167,TRUE)-_xlfn.NORM.DIST(AZ$30,economics!$AK$2:$AK$167,economics!$AJ$2:$AJ$167,TRUE))*economics!$AM$2:$AM$167))/(SUMPRODUCT((economics!$AG$2:$AG$167=$B46)*(economics!$D$2:$D$167="process")*economics!$AH$2:$AH$167*(_xlfn.NORM.DIST(AZ$3,economics!$AK$2:$AK$167,economics!$AJ$2:$AJ$167,TRUE)-_xlfn.NORM.DIST(AZ$30,economics!$AK$2:$AK$167,economics!$AJ$2:$AJ$167,TRUE)))),"")</f>
        <v/>
      </c>
      <c r="BA46">
        <f t="array" ref="BA46">IFERROR((SUMPRODUCT((economics!$AG$2:$AG$167=$B46)*(economics!$D$2:$D$167="process")*economics!$AH$2:$AH$167*(_xlfn.NORM.DIST(BA$3,economics!$AK$2:$AK$167,economics!$AJ$2:$AJ$167,TRUE)-_xlfn.NORM.DIST(BA$30,economics!$AK$2:$AK$167,economics!$AJ$2:$AJ$167,TRUE))*economics!$AM$2:$AM$167))/(SUMPRODUCT((economics!$AG$2:$AG$167=$B46)*(economics!$D$2:$D$167="process")*economics!$AH$2:$AH$167*(_xlfn.NORM.DIST(BA$3,economics!$AK$2:$AK$167,economics!$AJ$2:$AJ$167,TRUE)-_xlfn.NORM.DIST(BA$30,economics!$AK$2:$AK$167,economics!$AJ$2:$AJ$167,TRUE)))),"")</f>
        <v/>
      </c>
      <c r="BB46">
        <f t="array" ref="BB46">IFERROR((SUMPRODUCT((economics!$AG$2:$AG$167=$B46)*(economics!$D$2:$D$167="process")*economics!$AH$2:$AH$167*(_xlfn.NORM.DIST(BB$3,economics!$AK$2:$AK$167,economics!$AJ$2:$AJ$167,TRUE)-_xlfn.NORM.DIST(BB$30,economics!$AK$2:$AK$167,economics!$AJ$2:$AJ$167,TRUE))*economics!$AM$2:$AM$167))/(SUMPRODUCT((economics!$AG$2:$AG$167=$B46)*(economics!$D$2:$D$167="process")*economics!$AH$2:$AH$167*(_xlfn.NORM.DIST(BB$3,economics!$AK$2:$AK$167,economics!$AJ$2:$AJ$167,TRUE)-_xlfn.NORM.DIST(BB$30,economics!$AK$2:$AK$167,economics!$AJ$2:$AJ$167,TRUE)))),"")</f>
        <v/>
      </c>
      <c r="BC46">
        <f t="array" ref="BC46">IFERROR((SUMPRODUCT((economics!$AG$2:$AG$167=$B46)*(economics!$D$2:$D$167="process")*economics!$AH$2:$AH$167*(_xlfn.NORM.DIST(BC$3,economics!$AK$2:$AK$167,economics!$AJ$2:$AJ$167,TRUE)-_xlfn.NORM.DIST(BC$30,economics!$AK$2:$AK$167,economics!$AJ$2:$AJ$167,TRUE))*economics!$AM$2:$AM$167))/(SUMPRODUCT((economics!$AG$2:$AG$167=$B46)*(economics!$D$2:$D$167="process")*economics!$AH$2:$AH$167*(_xlfn.NORM.DIST(BC$3,economics!$AK$2:$AK$167,economics!$AJ$2:$AJ$167,TRUE)-_xlfn.NORM.DIST(BC$30,economics!$AK$2:$AK$167,economics!$AJ$2:$AJ$167,TRUE)))),"")</f>
        <v/>
      </c>
      <c r="BD46">
        <f t="array" ref="BD46">IFERROR((SUMPRODUCT((economics!$AG$2:$AG$167=$B46)*(economics!$D$2:$D$167="process")*economics!$AH$2:$AH$167*(_xlfn.NORM.DIST(BD$3,economics!$AK$2:$AK$167,economics!$AJ$2:$AJ$167,TRUE)-_xlfn.NORM.DIST(BD$30,economics!$AK$2:$AK$167,economics!$AJ$2:$AJ$167,TRUE))*economics!$AM$2:$AM$167))/(SUMPRODUCT((economics!$AG$2:$AG$167=$B46)*(economics!$D$2:$D$167="process")*economics!$AH$2:$AH$167*(_xlfn.NORM.DIST(BD$3,economics!$AK$2:$AK$167,economics!$AJ$2:$AJ$167,TRUE)-_xlfn.NORM.DIST(BD$30,economics!$AK$2:$AK$167,economics!$AJ$2:$AJ$167,TRUE)))),"")</f>
        <v/>
      </c>
      <c r="BE46">
        <f t="array" ref="BE46">IFERROR((SUMPRODUCT((economics!$AG$2:$AG$167=$B46)*(economics!$D$2:$D$167="process")*economics!$AH$2:$AH$167*(_xlfn.NORM.DIST(BE$3,economics!$AK$2:$AK$167,economics!$AJ$2:$AJ$167,TRUE)-_xlfn.NORM.DIST(BE$30,economics!$AK$2:$AK$167,economics!$AJ$2:$AJ$167,TRUE))*economics!$AM$2:$AM$167))/(SUMPRODUCT((economics!$AG$2:$AG$167=$B46)*(economics!$D$2:$D$167="process")*economics!$AH$2:$AH$167*(_xlfn.NORM.DIST(BE$3,economics!$AK$2:$AK$167,economics!$AJ$2:$AJ$167,TRUE)-_xlfn.NORM.DIST(BE$30,economics!$AK$2:$AK$167,economics!$AJ$2:$AJ$167,TRUE)))),"")</f>
        <v/>
      </c>
      <c r="BF46">
        <f t="array" ref="BF46">IFERROR((SUMPRODUCT((economics!$AG$2:$AG$167=$B46)*(economics!$D$2:$D$167="process")*economics!$AH$2:$AH$167*(_xlfn.NORM.DIST(BF$3,economics!$AK$2:$AK$167,economics!$AJ$2:$AJ$167,TRUE)-_xlfn.NORM.DIST(BF$30,economics!$AK$2:$AK$167,economics!$AJ$2:$AJ$167,TRUE))*economics!$AM$2:$AM$167))/(SUMPRODUCT((economics!$AG$2:$AG$167=$B46)*(economics!$D$2:$D$167="process")*economics!$AH$2:$AH$167*(_xlfn.NORM.DIST(BF$3,economics!$AK$2:$AK$167,economics!$AJ$2:$AJ$167,TRUE)-_xlfn.NORM.DIST(BF$30,economics!$AK$2:$AK$167,economics!$AJ$2:$AJ$167,TRUE)))),"")</f>
        <v/>
      </c>
      <c r="BG46">
        <f t="array" ref="BG46">IFERROR((SUMPRODUCT((economics!$AG$2:$AG$167=$B46)*(economics!$D$2:$D$167="process")*economics!$AH$2:$AH$167*(_xlfn.NORM.DIST(BG$3,economics!$AK$2:$AK$167,economics!$AJ$2:$AJ$167,TRUE)-_xlfn.NORM.DIST(BG$30,economics!$AK$2:$AK$167,economics!$AJ$2:$AJ$167,TRUE))*economics!$AM$2:$AM$167))/(SUMPRODUCT((economics!$AG$2:$AG$167=$B46)*(economics!$D$2:$D$167="process")*economics!$AH$2:$AH$167*(_xlfn.NORM.DIST(BG$3,economics!$AK$2:$AK$167,economics!$AJ$2:$AJ$167,TRUE)-_xlfn.NORM.DIST(BG$30,economics!$AK$2:$AK$167,economics!$AJ$2:$AJ$167,TRUE)))),"")</f>
        <v/>
      </c>
      <c r="BH46">
        <f t="array" ref="BH46">IFERROR((SUMPRODUCT((economics!$AG$2:$AG$167=$B46)*(economics!$D$2:$D$167="process")*economics!$AH$2:$AH$167*(_xlfn.NORM.DIST(BH$3,economics!$AK$2:$AK$167,economics!$AJ$2:$AJ$167,TRUE)-_xlfn.NORM.DIST(BH$30,economics!$AK$2:$AK$167,economics!$AJ$2:$AJ$167,TRUE))*economics!$AM$2:$AM$167))/(SUMPRODUCT((economics!$AG$2:$AG$167=$B46)*(economics!$D$2:$D$167="process")*economics!$AH$2:$AH$167*(_xlfn.NORM.DIST(BH$3,economics!$AK$2:$AK$167,economics!$AJ$2:$AJ$167,TRUE)-_xlfn.NORM.DIST(BH$30,economics!$AK$2:$AK$167,economics!$AJ$2:$AJ$167,TRUE)))),"")</f>
        <v/>
      </c>
      <c r="BI46">
        <f t="array" ref="BI46">IFERROR((SUMPRODUCT((economics!$AG$2:$AG$167=$B46)*(economics!$D$2:$D$167="process")*economics!$AH$2:$AH$167*(_xlfn.NORM.DIST(BI$3,economics!$AK$2:$AK$167,economics!$AJ$2:$AJ$167,TRUE)-_xlfn.NORM.DIST(BI$30,economics!$AK$2:$AK$167,economics!$AJ$2:$AJ$167,TRUE))*economics!$AM$2:$AM$167))/(SUMPRODUCT((economics!$AG$2:$AG$167=$B46)*(economics!$D$2:$D$167="process")*economics!$AH$2:$AH$167*(_xlfn.NORM.DIST(BI$3,economics!$AK$2:$AK$167,economics!$AJ$2:$AJ$167,TRUE)-_xlfn.NORM.DIST(BI$30,economics!$AK$2:$AK$167,economics!$AJ$2:$AJ$167,TRUE)))),"")</f>
        <v/>
      </c>
      <c r="BJ46">
        <f t="array" ref="BJ46">IFERROR((SUMPRODUCT((economics!$AG$2:$AG$167=$B46)*(economics!$D$2:$D$167="process")*economics!$AH$2:$AH$167*(_xlfn.NORM.DIST(BJ$3,economics!$AK$2:$AK$167,economics!$AJ$2:$AJ$167,TRUE)-_xlfn.NORM.DIST(BJ$30,economics!$AK$2:$AK$167,economics!$AJ$2:$AJ$167,TRUE))*economics!$AM$2:$AM$167))/(SUMPRODUCT((economics!$AG$2:$AG$167=$B46)*(economics!$D$2:$D$167="process")*economics!$AH$2:$AH$167*(_xlfn.NORM.DIST(BJ$3,economics!$AK$2:$AK$167,economics!$AJ$2:$AJ$167,TRUE)-_xlfn.NORM.DIST(BJ$30,economics!$AK$2:$AK$167,economics!$AJ$2:$AJ$167,TRUE)))),"")</f>
        <v/>
      </c>
      <c r="BK46">
        <f t="array" ref="BK46">IFERROR((SUMPRODUCT((economics!$AG$2:$AG$167=$B46)*(economics!$D$2:$D$167="process")*economics!$AH$2:$AH$167*(_xlfn.NORM.DIST(BK$3,economics!$AK$2:$AK$167,economics!$AJ$2:$AJ$167,TRUE)-_xlfn.NORM.DIST(BK$30,economics!$AK$2:$AK$167,economics!$AJ$2:$AJ$167,TRUE))*economics!$AM$2:$AM$167))/(SUMPRODUCT((economics!$AG$2:$AG$167=$B46)*(economics!$D$2:$D$167="process")*economics!$AH$2:$AH$167*(_xlfn.NORM.DIST(BK$3,economics!$AK$2:$AK$167,economics!$AJ$2:$AJ$167,TRUE)-_xlfn.NORM.DIST(BK$30,economics!$AK$2:$AK$167,economics!$AJ$2:$AJ$167,TRUE)))),"")</f>
        <v/>
      </c>
      <c r="BL46">
        <f t="array" ref="BL46">IFERROR((SUMPRODUCT((economics!$AG$2:$AG$167=$B46)*(economics!$D$2:$D$167="process")*economics!$AH$2:$AH$167*(_xlfn.NORM.DIST(BL$3,economics!$AK$2:$AK$167,economics!$AJ$2:$AJ$167,TRUE)-_xlfn.NORM.DIST(BL$30,economics!$AK$2:$AK$167,economics!$AJ$2:$AJ$167,TRUE))*economics!$AM$2:$AM$167))/(SUMPRODUCT((economics!$AG$2:$AG$167=$B46)*(economics!$D$2:$D$167="process")*economics!$AH$2:$AH$167*(_xlfn.NORM.DIST(BL$3,economics!$AK$2:$AK$167,economics!$AJ$2:$AJ$167,TRUE)-_xlfn.NORM.DIST(BL$30,economics!$AK$2:$AK$167,economics!$AJ$2:$AJ$167,TRUE)))),"")</f>
        <v/>
      </c>
      <c r="BM46">
        <f t="array" ref="BM46">IFERROR((SUMPRODUCT((economics!$AG$2:$AG$167=$B46)*(economics!$D$2:$D$167="process")*economics!$AH$2:$AH$167*(_xlfn.NORM.DIST(BM$3,economics!$AK$2:$AK$167,economics!$AJ$2:$AJ$167,TRUE)-_xlfn.NORM.DIST(BM$30,economics!$AK$2:$AK$167,economics!$AJ$2:$AJ$167,TRUE))*economics!$AM$2:$AM$167))/(SUMPRODUCT((economics!$AG$2:$AG$167=$B46)*(economics!$D$2:$D$167="process")*economics!$AH$2:$AH$167*(_xlfn.NORM.DIST(BM$3,economics!$AK$2:$AK$167,economics!$AJ$2:$AJ$167,TRUE)-_xlfn.NORM.DIST(BM$30,economics!$AK$2:$AK$167,economics!$AJ$2:$AJ$167,TRUE)))),"")</f>
        <v/>
      </c>
      <c r="BN46">
        <f t="array" ref="BN46">IFERROR((SUMPRODUCT((economics!$AG$2:$AG$167=$B46)*(economics!$D$2:$D$167="process")*economics!$AH$2:$AH$167*(_xlfn.NORM.DIST(BN$3,economics!$AK$2:$AK$167,economics!$AJ$2:$AJ$167,TRUE)-_xlfn.NORM.DIST(BN$30,economics!$AK$2:$AK$167,economics!$AJ$2:$AJ$167,TRUE))*economics!$AM$2:$AM$167))/(SUMPRODUCT((economics!$AG$2:$AG$167=$B46)*(economics!$D$2:$D$167="process")*economics!$AH$2:$AH$167*(_xlfn.NORM.DIST(BN$3,economics!$AK$2:$AK$167,economics!$AJ$2:$AJ$167,TRUE)-_xlfn.NORM.DIST(BN$30,economics!$AK$2:$AK$167,economics!$AJ$2:$AJ$167,TRUE)))),"")</f>
        <v/>
      </c>
      <c r="BO46">
        <f t="array" ref="BO46">IFERROR((SUMPRODUCT((economics!$AG$2:$AG$167=$B46)*(economics!$D$2:$D$167="process")*economics!$AH$2:$AH$167*(_xlfn.NORM.DIST(BO$3,economics!$AK$2:$AK$167,economics!$AJ$2:$AJ$167,TRUE)-_xlfn.NORM.DIST(BO$30,economics!$AK$2:$AK$167,economics!$AJ$2:$AJ$167,TRUE))*economics!$AM$2:$AM$167))/(SUMPRODUCT((economics!$AG$2:$AG$167=$B46)*(economics!$D$2:$D$167="process")*economics!$AH$2:$AH$167*(_xlfn.NORM.DIST(BO$3,economics!$AK$2:$AK$167,economics!$AJ$2:$AJ$167,TRUE)-_xlfn.NORM.DIST(BO$30,economics!$AK$2:$AK$167,economics!$AJ$2:$AJ$167,TRUE)))),"")</f>
        <v/>
      </c>
      <c r="BP46">
        <f t="array" ref="BP46">IFERROR((SUMPRODUCT((economics!$AG$2:$AG$167=$B46)*(economics!$D$2:$D$167="process")*economics!$AH$2:$AH$167*(_xlfn.NORM.DIST(BP$3,economics!$AK$2:$AK$167,economics!$AJ$2:$AJ$167,TRUE)-_xlfn.NORM.DIST(BP$30,economics!$AK$2:$AK$167,economics!$AJ$2:$AJ$167,TRUE))*economics!$AM$2:$AM$167))/(SUMPRODUCT((economics!$AG$2:$AG$167=$B46)*(economics!$D$2:$D$167="process")*economics!$AH$2:$AH$167*(_xlfn.NORM.DIST(BP$3,economics!$AK$2:$AK$167,economics!$AJ$2:$AJ$167,TRUE)-_xlfn.NORM.DIST(BP$30,economics!$AK$2:$AK$167,economics!$AJ$2:$AJ$167,TRUE)))),"")</f>
        <v/>
      </c>
      <c r="BQ46">
        <f t="array" ref="BQ46">IFERROR((SUMPRODUCT((economics!$AG$2:$AG$167=$B46)*(economics!$D$2:$D$167="process")*economics!$AH$2:$AH$167*(_xlfn.NORM.DIST(BQ$3,economics!$AK$2:$AK$167,economics!$AJ$2:$AJ$167,TRUE)-_xlfn.NORM.DIST(BQ$30,economics!$AK$2:$AK$167,economics!$AJ$2:$AJ$167,TRUE))*economics!$AM$2:$AM$167))/(SUMPRODUCT((economics!$AG$2:$AG$167=$B46)*(economics!$D$2:$D$167="process")*economics!$AH$2:$AH$167*(_xlfn.NORM.DIST(BQ$3,economics!$AK$2:$AK$167,economics!$AJ$2:$AJ$167,TRUE)-_xlfn.NORM.DIST(BQ$30,economics!$AK$2:$AK$167,economics!$AJ$2:$AJ$167,TRUE)))),"")</f>
        <v/>
      </c>
      <c r="BR46">
        <f t="array" ref="BR46">IFERROR((SUMPRODUCT((economics!$AG$2:$AG$167=$B46)*(economics!$D$2:$D$167="process")*economics!$AH$2:$AH$167*(_xlfn.NORM.DIST(BR$3,economics!$AK$2:$AK$167,economics!$AJ$2:$AJ$167,TRUE)-_xlfn.NORM.DIST(BR$30,economics!$AK$2:$AK$167,economics!$AJ$2:$AJ$167,TRUE))*economics!$AM$2:$AM$167))/(SUMPRODUCT((economics!$AG$2:$AG$167=$B46)*(economics!$D$2:$D$167="process")*economics!$AH$2:$AH$167*(_xlfn.NORM.DIST(BR$3,economics!$AK$2:$AK$167,economics!$AJ$2:$AJ$167,TRUE)-_xlfn.NORM.DIST(BR$30,economics!$AK$2:$AK$167,economics!$AJ$2:$AJ$167,TRUE)))),"")</f>
        <v/>
      </c>
      <c r="BS46">
        <f t="array" ref="BS46">IFERROR((SUMPRODUCT((economics!$AG$2:$AG$167=$B46)*(economics!$D$2:$D$167="process")*economics!$AH$2:$AH$167*(_xlfn.NORM.DIST(BS$3,economics!$AK$2:$AK$167,economics!$AJ$2:$AJ$167,TRUE)-_xlfn.NORM.DIST(BS$30,economics!$AK$2:$AK$167,economics!$AJ$2:$AJ$167,TRUE))*economics!$AM$2:$AM$167))/(SUMPRODUCT((economics!$AG$2:$AG$167=$B46)*(economics!$D$2:$D$167="process")*economics!$AH$2:$AH$167*(_xlfn.NORM.DIST(BS$3,economics!$AK$2:$AK$167,economics!$AJ$2:$AJ$167,TRUE)-_xlfn.NORM.DIST(BS$30,economics!$AK$2:$AK$167,economics!$AJ$2:$AJ$167,TRUE)))),"")</f>
        <v/>
      </c>
      <c r="BT46">
        <f t="array" ref="BT46">IFERROR((SUMPRODUCT((economics!$AG$2:$AG$167=$B46)*(economics!$D$2:$D$167="process")*economics!$AH$2:$AH$167*(_xlfn.NORM.DIST(BT$3,economics!$AK$2:$AK$167,economics!$AJ$2:$AJ$167,TRUE)-_xlfn.NORM.DIST(BT$30,economics!$AK$2:$AK$167,economics!$AJ$2:$AJ$167,TRUE))*economics!$AM$2:$AM$167))/(SUMPRODUCT((economics!$AG$2:$AG$167=$B46)*(economics!$D$2:$D$167="process")*economics!$AH$2:$AH$167*(_xlfn.NORM.DIST(BT$3,economics!$AK$2:$AK$167,economics!$AJ$2:$AJ$167,TRUE)-_xlfn.NORM.DIST(BT$30,economics!$AK$2:$AK$167,economics!$AJ$2:$AJ$167,TRUE)))),"")</f>
        <v/>
      </c>
      <c r="BU46">
        <f t="array" ref="BU46">IFERROR((SUMPRODUCT((economics!$AG$2:$AG$167=$B46)*(economics!$D$2:$D$167="process")*economics!$AH$2:$AH$167*(_xlfn.NORM.DIST(BU$3,economics!$AK$2:$AK$167,economics!$AJ$2:$AJ$167,TRUE)-_xlfn.NORM.DIST(BU$30,economics!$AK$2:$AK$167,economics!$AJ$2:$AJ$167,TRUE))*economics!$AM$2:$AM$167))/(SUMPRODUCT((economics!$AG$2:$AG$167=$B46)*(economics!$D$2:$D$167="process")*economics!$AH$2:$AH$167*(_xlfn.NORM.DIST(BU$3,economics!$AK$2:$AK$167,economics!$AJ$2:$AJ$167,TRUE)-_xlfn.NORM.DIST(BU$30,economics!$AK$2:$AK$167,economics!$AJ$2:$AJ$167,TRUE)))),"")</f>
        <v/>
      </c>
      <c r="BV46">
        <f t="array" ref="BV46">IFERROR((SUMPRODUCT((economics!$AG$2:$AG$167=$B46)*(economics!$D$2:$D$167="process")*economics!$AH$2:$AH$167*(_xlfn.NORM.DIST(BV$3,economics!$AK$2:$AK$167,economics!$AJ$2:$AJ$167,TRUE)-_xlfn.NORM.DIST(BV$30,economics!$AK$2:$AK$167,economics!$AJ$2:$AJ$167,TRUE))*economics!$AM$2:$AM$167))/(SUMPRODUCT((economics!$AG$2:$AG$167=$B46)*(economics!$D$2:$D$167="process")*economics!$AH$2:$AH$167*(_xlfn.NORM.DIST(BV$3,economics!$AK$2:$AK$167,economics!$AJ$2:$AJ$167,TRUE)-_xlfn.NORM.DIST(BV$30,economics!$AK$2:$AK$167,economics!$AJ$2:$AJ$167,TRUE)))),"")</f>
        <v/>
      </c>
      <c r="BW46">
        <f t="array" ref="BW46">IFERROR((SUMPRODUCT((economics!$AG$2:$AG$167=$B46)*(economics!$D$2:$D$167="process")*economics!$AH$2:$AH$167*(_xlfn.NORM.DIST(BW$3,economics!$AK$2:$AK$167,economics!$AJ$2:$AJ$167,TRUE)-_xlfn.NORM.DIST(BW$30,economics!$AK$2:$AK$167,economics!$AJ$2:$AJ$167,TRUE))*economics!$AM$2:$AM$167))/(SUMPRODUCT((economics!$AG$2:$AG$167=$B46)*(economics!$D$2:$D$167="process")*economics!$AH$2:$AH$167*(_xlfn.NORM.DIST(BW$3,economics!$AK$2:$AK$167,economics!$AJ$2:$AJ$167,TRUE)-_xlfn.NORM.DIST(BW$30,economics!$AK$2:$AK$167,economics!$AJ$2:$AJ$167,TRUE)))),"")</f>
        <v/>
      </c>
      <c r="BX46">
        <f t="array" ref="BX46">IFERROR((SUMPRODUCT((economics!$AG$2:$AG$167=$B46)*(economics!$D$2:$D$167="process")*economics!$AH$2:$AH$167*(_xlfn.NORM.DIST(BX$3,economics!$AK$2:$AK$167,economics!$AJ$2:$AJ$167,TRUE)-_xlfn.NORM.DIST(BX$30,economics!$AK$2:$AK$167,economics!$AJ$2:$AJ$167,TRUE))*economics!$AM$2:$AM$167))/(SUMPRODUCT((economics!$AG$2:$AG$167=$B46)*(economics!$D$2:$D$167="process")*economics!$AH$2:$AH$167*(_xlfn.NORM.DIST(BX$3,economics!$AK$2:$AK$167,economics!$AJ$2:$AJ$167,TRUE)-_xlfn.NORM.DIST(BX$30,economics!$AK$2:$AK$167,economics!$AJ$2:$AJ$167,TRUE)))),"")</f>
        <v/>
      </c>
      <c r="BY46">
        <f t="array" ref="BY46">IFERROR((SUMPRODUCT((economics!$AG$2:$AG$167=$B46)*(economics!$D$2:$D$167="process")*economics!$AH$2:$AH$167*(_xlfn.NORM.DIST(BY$3,economics!$AK$2:$AK$167,economics!$AJ$2:$AJ$167,TRUE)-_xlfn.NORM.DIST(BY$30,economics!$AK$2:$AK$167,economics!$AJ$2:$AJ$167,TRUE))*economics!$AM$2:$AM$167))/(SUMPRODUCT((economics!$AG$2:$AG$167=$B46)*(economics!$D$2:$D$167="process")*economics!$AH$2:$AH$167*(_xlfn.NORM.DIST(BY$3,economics!$AK$2:$AK$167,economics!$AJ$2:$AJ$167,TRUE)-_xlfn.NORM.DIST(BY$30,economics!$AK$2:$AK$167,economics!$AJ$2:$AJ$167,TRUE)))),"")</f>
        <v/>
      </c>
      <c r="BZ46">
        <f t="array" ref="BZ46">IFERROR((SUMPRODUCT((economics!$AG$2:$AG$167=$B46)*(economics!$D$2:$D$167="process")*economics!$AH$2:$AH$167*(_xlfn.NORM.DIST(BZ$3,economics!$AK$2:$AK$167,economics!$AJ$2:$AJ$167,TRUE)-_xlfn.NORM.DIST(BZ$30,economics!$AK$2:$AK$167,economics!$AJ$2:$AJ$167,TRUE))*economics!$AM$2:$AM$167))/(SUMPRODUCT((economics!$AG$2:$AG$167=$B46)*(economics!$D$2:$D$167="process")*economics!$AH$2:$AH$167*(_xlfn.NORM.DIST(BZ$3,economics!$AK$2:$AK$167,economics!$AJ$2:$AJ$167,TRUE)-_xlfn.NORM.DIST(BZ$30,economics!$AK$2:$AK$167,economics!$AJ$2:$AJ$167,TRUE)))),"")</f>
        <v/>
      </c>
      <c r="CA46">
        <f t="array" ref="CA46">IFERROR((SUMPRODUCT((economics!$AG$2:$AG$167=$B46)*(economics!$D$2:$D$167="process")*economics!$AH$2:$AH$167*(_xlfn.NORM.DIST(CA$3,economics!$AK$2:$AK$167,economics!$AJ$2:$AJ$167,TRUE)-_xlfn.NORM.DIST(CA$30,economics!$AK$2:$AK$167,economics!$AJ$2:$AJ$167,TRUE))*economics!$AM$2:$AM$167))/(SUMPRODUCT((economics!$AG$2:$AG$167=$B46)*(economics!$D$2:$D$167="process")*economics!$AH$2:$AH$167*(_xlfn.NORM.DIST(CA$3,economics!$AK$2:$AK$167,economics!$AJ$2:$AJ$167,TRUE)-_xlfn.NORM.DIST(CA$30,economics!$AK$2:$AK$167,economics!$AJ$2:$AJ$167,TRUE)))),"")</f>
        <v/>
      </c>
      <c r="CB46">
        <f t="array" ref="CB46">IFERROR((SUMPRODUCT((economics!$AG$2:$AG$167=$B46)*(economics!$D$2:$D$167="process")*economics!$AH$2:$AH$167*(_xlfn.NORM.DIST(CB$3,economics!$AK$2:$AK$167,economics!$AJ$2:$AJ$167,TRUE)-_xlfn.NORM.DIST(CB$30,economics!$AK$2:$AK$167,economics!$AJ$2:$AJ$167,TRUE))*economics!$AM$2:$AM$167))/(SUMPRODUCT((economics!$AG$2:$AG$167=$B46)*(economics!$D$2:$D$167="process")*economics!$AH$2:$AH$167*(_xlfn.NORM.DIST(CB$3,economics!$AK$2:$AK$167,economics!$AJ$2:$AJ$167,TRUE)-_xlfn.NORM.DIST(CB$30,economics!$AK$2:$AK$167,economics!$AJ$2:$AJ$167,TRUE)))),"")</f>
        <v/>
      </c>
      <c r="CC46">
        <f t="array" ref="CC46">IFERROR((SUMPRODUCT((economics!$AG$2:$AG$167=$B46)*(economics!$D$2:$D$167="process")*economics!$AH$2:$AH$167*(_xlfn.NORM.DIST(CC$3,economics!$AK$2:$AK$167,economics!$AJ$2:$AJ$167,TRUE)-_xlfn.NORM.DIST(CC$30,economics!$AK$2:$AK$167,economics!$AJ$2:$AJ$167,TRUE))*economics!$AM$2:$AM$167))/(SUMPRODUCT((economics!$AG$2:$AG$167=$B46)*(economics!$D$2:$D$167="process")*economics!$AH$2:$AH$167*(_xlfn.NORM.DIST(CC$3,economics!$AK$2:$AK$167,economics!$AJ$2:$AJ$167,TRUE)-_xlfn.NORM.DIST(CC$30,economics!$AK$2:$AK$167,economics!$AJ$2:$AJ$167,TRUE)))),"")</f>
        <v/>
      </c>
      <c r="CD46">
        <f t="array" ref="CD46">IFERROR((SUMPRODUCT((economics!$AG$2:$AG$167=$B46)*(economics!$D$2:$D$167="process")*economics!$AH$2:$AH$167*(_xlfn.NORM.DIST(CD$3,economics!$AK$2:$AK$167,economics!$AJ$2:$AJ$167,TRUE)-_xlfn.NORM.DIST(CD$30,economics!$AK$2:$AK$167,economics!$AJ$2:$AJ$167,TRUE))*economics!$AM$2:$AM$167))/(SUMPRODUCT((economics!$AG$2:$AG$167=$B46)*(economics!$D$2:$D$167="process")*economics!$AH$2:$AH$167*(_xlfn.NORM.DIST(CD$3,economics!$AK$2:$AK$167,economics!$AJ$2:$AJ$167,TRUE)-_xlfn.NORM.DIST(CD$30,economics!$AK$2:$AK$167,economics!$AJ$2:$AJ$167,TRUE)))),"")</f>
        <v/>
      </c>
      <c r="CE46">
        <f t="array" ref="CE46">IFERROR((SUMPRODUCT((economics!$AG$2:$AG$167=$B46)*(economics!$D$2:$D$167="process")*economics!$AH$2:$AH$167*(_xlfn.NORM.DIST(CE$3,economics!$AK$2:$AK$167,economics!$AJ$2:$AJ$167,TRUE)-_xlfn.NORM.DIST(CE$30,economics!$AK$2:$AK$167,economics!$AJ$2:$AJ$167,TRUE))*economics!$AM$2:$AM$167))/(SUMPRODUCT((economics!$AG$2:$AG$167=$B46)*(economics!$D$2:$D$167="process")*economics!$AH$2:$AH$167*(_xlfn.NORM.DIST(CE$3,economics!$AK$2:$AK$167,economics!$AJ$2:$AJ$167,TRUE)-_xlfn.NORM.DIST(CE$30,economics!$AK$2:$AK$167,economics!$AJ$2:$AJ$167,TRUE)))),"")</f>
        <v/>
      </c>
      <c r="CF46">
        <f t="array" ref="CF46">IFERROR((SUMPRODUCT((economics!$AG$2:$AG$167=$B46)*(economics!$D$2:$D$167="process")*economics!$AH$2:$AH$167*(_xlfn.NORM.DIST(CF$3,economics!$AK$2:$AK$167,economics!$AJ$2:$AJ$167,TRUE)-_xlfn.NORM.DIST(CF$30,economics!$AK$2:$AK$167,economics!$AJ$2:$AJ$167,TRUE))*economics!$AM$2:$AM$167))/(SUMPRODUCT((economics!$AG$2:$AG$167=$B46)*(economics!$D$2:$D$167="process")*economics!$AH$2:$AH$167*(_xlfn.NORM.DIST(CF$3,economics!$AK$2:$AK$167,economics!$AJ$2:$AJ$167,TRUE)-_xlfn.NORM.DIST(CF$30,economics!$AK$2:$AK$167,economics!$AJ$2:$AJ$167,TRUE)))),"")</f>
        <v/>
      </c>
      <c r="CG46">
        <f t="array" ref="CG46">IFERROR((SUMPRODUCT((economics!$AG$2:$AG$167=$B46)*(economics!$D$2:$D$167="process")*economics!$AH$2:$AH$167*(_xlfn.NORM.DIST(CG$3,economics!$AK$2:$AK$167,economics!$AJ$2:$AJ$167,TRUE)-_xlfn.NORM.DIST(CG$30,economics!$AK$2:$AK$167,economics!$AJ$2:$AJ$167,TRUE))*economics!$AM$2:$AM$167))/(SUMPRODUCT((economics!$AG$2:$AG$167=$B46)*(economics!$D$2:$D$167="process")*economics!$AH$2:$AH$167*(_xlfn.NORM.DIST(CG$3,economics!$AK$2:$AK$167,economics!$AJ$2:$AJ$167,TRUE)-_xlfn.NORM.DIST(CG$30,economics!$AK$2:$AK$167,economics!$AJ$2:$AJ$167,TRUE)))),"")</f>
        <v/>
      </c>
      <c r="CH46">
        <f t="array" ref="CH46">IFERROR((SUMPRODUCT((economics!$AG$2:$AG$167=$B46)*(economics!$D$2:$D$167="process")*economics!$AH$2:$AH$167*(_xlfn.NORM.DIST(CH$3,economics!$AK$2:$AK$167,economics!$AJ$2:$AJ$167,TRUE)-_xlfn.NORM.DIST(CH$30,economics!$AK$2:$AK$167,economics!$AJ$2:$AJ$167,TRUE))*economics!$AM$2:$AM$167))/(SUMPRODUCT((economics!$AG$2:$AG$167=$B46)*(economics!$D$2:$D$167="process")*economics!$AH$2:$AH$167*(_xlfn.NORM.DIST(CH$3,economics!$AK$2:$AK$167,economics!$AJ$2:$AJ$167,TRUE)-_xlfn.NORM.DIST(CH$30,economics!$AK$2:$AK$167,economics!$AJ$2:$AJ$167,TRUE)))),"")</f>
        <v/>
      </c>
    </row>
    <row r="47">
      <c r="A47">
        <f>A18</f>
        <v/>
      </c>
      <c r="B47">
        <f>B18</f>
        <v/>
      </c>
      <c r="E47">
        <f t="array" ref="E47">IFERROR((SUMPRODUCT((economics!$AG$2:$AG$167=$B47)*(economics!$D$2:$D$167="process")*economics!$AH$2:$AH$167*(_xlfn.NORM.DIST(E$3,economics!$AK$2:$AK$167,economics!$AJ$2:$AJ$167,TRUE)-_xlfn.NORM.DIST(E$30,economics!$AK$2:$AK$167,economics!$AJ$2:$AJ$167,TRUE))*economics!$AM$2:$AM$167))/(SUMPRODUCT((economics!$AG$2:$AG$167=$B47)*(economics!$D$2:$D$167="process")*economics!$AH$2:$AH$167*(_xlfn.NORM.DIST(E$3,economics!$AK$2:$AK$167,economics!$AJ$2:$AJ$167,TRUE)-_xlfn.NORM.DIST(E$30,economics!$AK$2:$AK$167,economics!$AJ$2:$AJ$167,TRUE)))),"")</f>
        <v/>
      </c>
      <c r="F47">
        <f t="array" ref="F47">IFERROR((SUMPRODUCT((economics!$AG$2:$AG$167=$B47)*(economics!$D$2:$D$167="process")*economics!$AH$2:$AH$167*(_xlfn.NORM.DIST(F$3,economics!$AK$2:$AK$167,economics!$AJ$2:$AJ$167,TRUE)-_xlfn.NORM.DIST(F$30,economics!$AK$2:$AK$167,economics!$AJ$2:$AJ$167,TRUE))*economics!$AM$2:$AM$167))/(SUMPRODUCT((economics!$AG$2:$AG$167=$B47)*(economics!$D$2:$D$167="process")*economics!$AH$2:$AH$167*(_xlfn.NORM.DIST(F$3,economics!$AK$2:$AK$167,economics!$AJ$2:$AJ$167,TRUE)-_xlfn.NORM.DIST(F$30,economics!$AK$2:$AK$167,economics!$AJ$2:$AJ$167,TRUE)))),"")</f>
        <v/>
      </c>
      <c r="G47">
        <f t="array" ref="G47">IFERROR((SUMPRODUCT((economics!$AG$2:$AG$167=$B47)*(economics!$D$2:$D$167="process")*economics!$AH$2:$AH$167*(_xlfn.NORM.DIST(G$3,economics!$AK$2:$AK$167,economics!$AJ$2:$AJ$167,TRUE)-_xlfn.NORM.DIST(G$30,economics!$AK$2:$AK$167,economics!$AJ$2:$AJ$167,TRUE))*economics!$AM$2:$AM$167))/(SUMPRODUCT((economics!$AG$2:$AG$167=$B47)*(economics!$D$2:$D$167="process")*economics!$AH$2:$AH$167*(_xlfn.NORM.DIST(G$3,economics!$AK$2:$AK$167,economics!$AJ$2:$AJ$167,TRUE)-_xlfn.NORM.DIST(G$30,economics!$AK$2:$AK$167,economics!$AJ$2:$AJ$167,TRUE)))),"")</f>
        <v/>
      </c>
      <c r="H47">
        <f t="array" ref="H47">IFERROR((SUMPRODUCT((economics!$AG$2:$AG$167=$B47)*(economics!$D$2:$D$167="process")*economics!$AH$2:$AH$167*(_xlfn.NORM.DIST(H$3,economics!$AK$2:$AK$167,economics!$AJ$2:$AJ$167,TRUE)-_xlfn.NORM.DIST(H$30,economics!$AK$2:$AK$167,economics!$AJ$2:$AJ$167,TRUE))*economics!$AM$2:$AM$167))/(SUMPRODUCT((economics!$AG$2:$AG$167=$B47)*(economics!$D$2:$D$167="process")*economics!$AH$2:$AH$167*(_xlfn.NORM.DIST(H$3,economics!$AK$2:$AK$167,economics!$AJ$2:$AJ$167,TRUE)-_xlfn.NORM.DIST(H$30,economics!$AK$2:$AK$167,economics!$AJ$2:$AJ$167,TRUE)))),"")</f>
        <v/>
      </c>
      <c r="I47">
        <f t="array" ref="I47">IFERROR((SUMPRODUCT((economics!$AG$2:$AG$167=$B47)*(economics!$D$2:$D$167="process")*economics!$AH$2:$AH$167*(_xlfn.NORM.DIST(I$3,economics!$AK$2:$AK$167,economics!$AJ$2:$AJ$167,TRUE)-_xlfn.NORM.DIST(I$30,economics!$AK$2:$AK$167,economics!$AJ$2:$AJ$167,TRUE))*economics!$AM$2:$AM$167))/(SUMPRODUCT((economics!$AG$2:$AG$167=$B47)*(economics!$D$2:$D$167="process")*economics!$AH$2:$AH$167*(_xlfn.NORM.DIST(I$3,economics!$AK$2:$AK$167,economics!$AJ$2:$AJ$167,TRUE)-_xlfn.NORM.DIST(I$30,economics!$AK$2:$AK$167,economics!$AJ$2:$AJ$167,TRUE)))),"")</f>
        <v/>
      </c>
      <c r="J47">
        <f t="array" ref="J47">IFERROR((SUMPRODUCT((economics!$AG$2:$AG$167=$B47)*(economics!$D$2:$D$167="process")*economics!$AH$2:$AH$167*(_xlfn.NORM.DIST(J$3,economics!$AK$2:$AK$167,economics!$AJ$2:$AJ$167,TRUE)-_xlfn.NORM.DIST(J$30,economics!$AK$2:$AK$167,economics!$AJ$2:$AJ$167,TRUE))*economics!$AM$2:$AM$167))/(SUMPRODUCT((economics!$AG$2:$AG$167=$B47)*(economics!$D$2:$D$167="process")*economics!$AH$2:$AH$167*(_xlfn.NORM.DIST(J$3,economics!$AK$2:$AK$167,economics!$AJ$2:$AJ$167,TRUE)-_xlfn.NORM.DIST(J$30,economics!$AK$2:$AK$167,economics!$AJ$2:$AJ$167,TRUE)))),"")</f>
        <v/>
      </c>
      <c r="K47">
        <f t="array" ref="K47">IFERROR((SUMPRODUCT((economics!$AG$2:$AG$167=$B47)*(economics!$D$2:$D$167="process")*economics!$AH$2:$AH$167*(_xlfn.NORM.DIST(K$3,economics!$AK$2:$AK$167,economics!$AJ$2:$AJ$167,TRUE)-_xlfn.NORM.DIST(K$30,economics!$AK$2:$AK$167,economics!$AJ$2:$AJ$167,TRUE))*economics!$AM$2:$AM$167))/(SUMPRODUCT((economics!$AG$2:$AG$167=$B47)*(economics!$D$2:$D$167="process")*economics!$AH$2:$AH$167*(_xlfn.NORM.DIST(K$3,economics!$AK$2:$AK$167,economics!$AJ$2:$AJ$167,TRUE)-_xlfn.NORM.DIST(K$30,economics!$AK$2:$AK$167,economics!$AJ$2:$AJ$167,TRUE)))),"")</f>
        <v/>
      </c>
      <c r="L47">
        <f t="array" ref="L47">IFERROR((SUMPRODUCT((economics!$AG$2:$AG$167=$B47)*(economics!$D$2:$D$167="process")*economics!$AH$2:$AH$167*(_xlfn.NORM.DIST(L$3,economics!$AK$2:$AK$167,economics!$AJ$2:$AJ$167,TRUE)-_xlfn.NORM.DIST(L$30,economics!$AK$2:$AK$167,economics!$AJ$2:$AJ$167,TRUE))*economics!$AM$2:$AM$167))/(SUMPRODUCT((economics!$AG$2:$AG$167=$B47)*(economics!$D$2:$D$167="process")*economics!$AH$2:$AH$167*(_xlfn.NORM.DIST(L$3,economics!$AK$2:$AK$167,economics!$AJ$2:$AJ$167,TRUE)-_xlfn.NORM.DIST(L$30,economics!$AK$2:$AK$167,economics!$AJ$2:$AJ$167,TRUE)))),"")</f>
        <v/>
      </c>
      <c r="M47">
        <f t="array" ref="M47">IFERROR((SUMPRODUCT((economics!$AG$2:$AG$167=$B47)*(economics!$D$2:$D$167="process")*economics!$AH$2:$AH$167*(_xlfn.NORM.DIST(M$3,economics!$AK$2:$AK$167,economics!$AJ$2:$AJ$167,TRUE)-_xlfn.NORM.DIST(M$30,economics!$AK$2:$AK$167,economics!$AJ$2:$AJ$167,TRUE))*economics!$AM$2:$AM$167))/(SUMPRODUCT((economics!$AG$2:$AG$167=$B47)*(economics!$D$2:$D$167="process")*economics!$AH$2:$AH$167*(_xlfn.NORM.DIST(M$3,economics!$AK$2:$AK$167,economics!$AJ$2:$AJ$167,TRUE)-_xlfn.NORM.DIST(M$30,economics!$AK$2:$AK$167,economics!$AJ$2:$AJ$167,TRUE)))),"")</f>
        <v/>
      </c>
      <c r="N47">
        <f t="array" ref="N47">IFERROR((SUMPRODUCT((economics!$AG$2:$AG$167=$B47)*(economics!$D$2:$D$167="process")*economics!$AH$2:$AH$167*(_xlfn.NORM.DIST(N$3,economics!$AK$2:$AK$167,economics!$AJ$2:$AJ$167,TRUE)-_xlfn.NORM.DIST(N$30,economics!$AK$2:$AK$167,economics!$AJ$2:$AJ$167,TRUE))*economics!$AM$2:$AM$167))/(SUMPRODUCT((economics!$AG$2:$AG$167=$B47)*(economics!$D$2:$D$167="process")*economics!$AH$2:$AH$167*(_xlfn.NORM.DIST(N$3,economics!$AK$2:$AK$167,economics!$AJ$2:$AJ$167,TRUE)-_xlfn.NORM.DIST(N$30,economics!$AK$2:$AK$167,economics!$AJ$2:$AJ$167,TRUE)))),"")</f>
        <v/>
      </c>
      <c r="O47">
        <f t="array" ref="O47">IFERROR((SUMPRODUCT((economics!$AG$2:$AG$167=$B47)*(economics!$D$2:$D$167="process")*economics!$AH$2:$AH$167*(_xlfn.NORM.DIST(O$3,economics!$AK$2:$AK$167,economics!$AJ$2:$AJ$167,TRUE)-_xlfn.NORM.DIST(O$30,economics!$AK$2:$AK$167,economics!$AJ$2:$AJ$167,TRUE))*economics!$AM$2:$AM$167))/(SUMPRODUCT((economics!$AG$2:$AG$167=$B47)*(economics!$D$2:$D$167="process")*economics!$AH$2:$AH$167*(_xlfn.NORM.DIST(O$3,economics!$AK$2:$AK$167,economics!$AJ$2:$AJ$167,TRUE)-_xlfn.NORM.DIST(O$30,economics!$AK$2:$AK$167,economics!$AJ$2:$AJ$167,TRUE)))),"")</f>
        <v/>
      </c>
      <c r="P47">
        <f t="array" ref="P47">IFERROR((SUMPRODUCT((economics!$AG$2:$AG$167=$B47)*(economics!$D$2:$D$167="process")*economics!$AH$2:$AH$167*(_xlfn.NORM.DIST(P$3,economics!$AK$2:$AK$167,economics!$AJ$2:$AJ$167,TRUE)-_xlfn.NORM.DIST(P$30,economics!$AK$2:$AK$167,economics!$AJ$2:$AJ$167,TRUE))*economics!$AM$2:$AM$167))/(SUMPRODUCT((economics!$AG$2:$AG$167=$B47)*(economics!$D$2:$D$167="process")*economics!$AH$2:$AH$167*(_xlfn.NORM.DIST(P$3,economics!$AK$2:$AK$167,economics!$AJ$2:$AJ$167,TRUE)-_xlfn.NORM.DIST(P$30,economics!$AK$2:$AK$167,economics!$AJ$2:$AJ$167,TRUE)))),"")</f>
        <v/>
      </c>
      <c r="Q47">
        <f t="array" ref="Q47">IFERROR((SUMPRODUCT((economics!$AG$2:$AG$167=$B47)*(economics!$D$2:$D$167="process")*economics!$AH$2:$AH$167*(_xlfn.NORM.DIST(Q$3,economics!$AK$2:$AK$167,economics!$AJ$2:$AJ$167,TRUE)-_xlfn.NORM.DIST(Q$30,economics!$AK$2:$AK$167,economics!$AJ$2:$AJ$167,TRUE))*economics!$AM$2:$AM$167))/(SUMPRODUCT((economics!$AG$2:$AG$167=$B47)*(economics!$D$2:$D$167="process")*economics!$AH$2:$AH$167*(_xlfn.NORM.DIST(Q$3,economics!$AK$2:$AK$167,economics!$AJ$2:$AJ$167,TRUE)-_xlfn.NORM.DIST(Q$30,economics!$AK$2:$AK$167,economics!$AJ$2:$AJ$167,TRUE)))),"")</f>
        <v/>
      </c>
      <c r="R47">
        <f t="array" ref="R47">IFERROR((SUMPRODUCT((economics!$AG$2:$AG$167=$B47)*(economics!$D$2:$D$167="process")*economics!$AH$2:$AH$167*(_xlfn.NORM.DIST(R$3,economics!$AK$2:$AK$167,economics!$AJ$2:$AJ$167,TRUE)-_xlfn.NORM.DIST(R$30,economics!$AK$2:$AK$167,economics!$AJ$2:$AJ$167,TRUE))*economics!$AM$2:$AM$167))/(SUMPRODUCT((economics!$AG$2:$AG$167=$B47)*(economics!$D$2:$D$167="process")*economics!$AH$2:$AH$167*(_xlfn.NORM.DIST(R$3,economics!$AK$2:$AK$167,economics!$AJ$2:$AJ$167,TRUE)-_xlfn.NORM.DIST(R$30,economics!$AK$2:$AK$167,economics!$AJ$2:$AJ$167,TRUE)))),"")</f>
        <v/>
      </c>
      <c r="S47">
        <f t="array" ref="S47">IFERROR((SUMPRODUCT((economics!$AG$2:$AG$167=$B47)*(economics!$D$2:$D$167="process")*economics!$AH$2:$AH$167*(_xlfn.NORM.DIST(S$3,economics!$AK$2:$AK$167,economics!$AJ$2:$AJ$167,TRUE)-_xlfn.NORM.DIST(S$30,economics!$AK$2:$AK$167,economics!$AJ$2:$AJ$167,TRUE))*economics!$AM$2:$AM$167))/(SUMPRODUCT((economics!$AG$2:$AG$167=$B47)*(economics!$D$2:$D$167="process")*economics!$AH$2:$AH$167*(_xlfn.NORM.DIST(S$3,economics!$AK$2:$AK$167,economics!$AJ$2:$AJ$167,TRUE)-_xlfn.NORM.DIST(S$30,economics!$AK$2:$AK$167,economics!$AJ$2:$AJ$167,TRUE)))),"")</f>
        <v/>
      </c>
      <c r="T47">
        <f t="array" ref="T47">IFERROR((SUMPRODUCT((economics!$AG$2:$AG$167=$B47)*(economics!$D$2:$D$167="process")*economics!$AH$2:$AH$167*(_xlfn.NORM.DIST(T$3,economics!$AK$2:$AK$167,economics!$AJ$2:$AJ$167,TRUE)-_xlfn.NORM.DIST(T$30,economics!$AK$2:$AK$167,economics!$AJ$2:$AJ$167,TRUE))*economics!$AM$2:$AM$167))/(SUMPRODUCT((economics!$AG$2:$AG$167=$B47)*(economics!$D$2:$D$167="process")*economics!$AH$2:$AH$167*(_xlfn.NORM.DIST(T$3,economics!$AK$2:$AK$167,economics!$AJ$2:$AJ$167,TRUE)-_xlfn.NORM.DIST(T$30,economics!$AK$2:$AK$167,economics!$AJ$2:$AJ$167,TRUE)))),"")</f>
        <v/>
      </c>
      <c r="U47">
        <f t="array" ref="U47">IFERROR((SUMPRODUCT((economics!$AG$2:$AG$167=$B47)*(economics!$D$2:$D$167="process")*economics!$AH$2:$AH$167*(_xlfn.NORM.DIST(U$3,economics!$AK$2:$AK$167,economics!$AJ$2:$AJ$167,TRUE)-_xlfn.NORM.DIST(U$30,economics!$AK$2:$AK$167,economics!$AJ$2:$AJ$167,TRUE))*economics!$AM$2:$AM$167))/(SUMPRODUCT((economics!$AG$2:$AG$167=$B47)*(economics!$D$2:$D$167="process")*economics!$AH$2:$AH$167*(_xlfn.NORM.DIST(U$3,economics!$AK$2:$AK$167,economics!$AJ$2:$AJ$167,TRUE)-_xlfn.NORM.DIST(U$30,economics!$AK$2:$AK$167,economics!$AJ$2:$AJ$167,TRUE)))),"")</f>
        <v/>
      </c>
      <c r="V47">
        <f t="array" ref="V47">IFERROR((SUMPRODUCT((economics!$AG$2:$AG$167=$B47)*(economics!$D$2:$D$167="process")*economics!$AH$2:$AH$167*(_xlfn.NORM.DIST(V$3,economics!$AK$2:$AK$167,economics!$AJ$2:$AJ$167,TRUE)-_xlfn.NORM.DIST(V$30,economics!$AK$2:$AK$167,economics!$AJ$2:$AJ$167,TRUE))*economics!$AM$2:$AM$167))/(SUMPRODUCT((economics!$AG$2:$AG$167=$B47)*(economics!$D$2:$D$167="process")*economics!$AH$2:$AH$167*(_xlfn.NORM.DIST(V$3,economics!$AK$2:$AK$167,economics!$AJ$2:$AJ$167,TRUE)-_xlfn.NORM.DIST(V$30,economics!$AK$2:$AK$167,economics!$AJ$2:$AJ$167,TRUE)))),"")</f>
        <v/>
      </c>
      <c r="W47">
        <f t="array" ref="W47">IFERROR((SUMPRODUCT((economics!$AG$2:$AG$167=$B47)*(economics!$D$2:$D$167="process")*economics!$AH$2:$AH$167*(_xlfn.NORM.DIST(W$3,economics!$AK$2:$AK$167,economics!$AJ$2:$AJ$167,TRUE)-_xlfn.NORM.DIST(W$30,economics!$AK$2:$AK$167,economics!$AJ$2:$AJ$167,TRUE))*economics!$AM$2:$AM$167))/(SUMPRODUCT((economics!$AG$2:$AG$167=$B47)*(economics!$D$2:$D$167="process")*economics!$AH$2:$AH$167*(_xlfn.NORM.DIST(W$3,economics!$AK$2:$AK$167,economics!$AJ$2:$AJ$167,TRUE)-_xlfn.NORM.DIST(W$30,economics!$AK$2:$AK$167,economics!$AJ$2:$AJ$167,TRUE)))),"")</f>
        <v/>
      </c>
      <c r="X47">
        <f t="array" ref="X47">IFERROR((SUMPRODUCT((economics!$AG$2:$AG$167=$B47)*(economics!$D$2:$D$167="process")*economics!$AH$2:$AH$167*(_xlfn.NORM.DIST(X$3,economics!$AK$2:$AK$167,economics!$AJ$2:$AJ$167,TRUE)-_xlfn.NORM.DIST(X$30,economics!$AK$2:$AK$167,economics!$AJ$2:$AJ$167,TRUE))*economics!$AM$2:$AM$167))/(SUMPRODUCT((economics!$AG$2:$AG$167=$B47)*(economics!$D$2:$D$167="process")*economics!$AH$2:$AH$167*(_xlfn.NORM.DIST(X$3,economics!$AK$2:$AK$167,economics!$AJ$2:$AJ$167,TRUE)-_xlfn.NORM.DIST(X$30,economics!$AK$2:$AK$167,economics!$AJ$2:$AJ$167,TRUE)))),"")</f>
        <v/>
      </c>
      <c r="Y47">
        <f t="array" ref="Y47">IFERROR((SUMPRODUCT((economics!$AG$2:$AG$167=$B47)*(economics!$D$2:$D$167="process")*economics!$AH$2:$AH$167*(_xlfn.NORM.DIST(Y$3,economics!$AK$2:$AK$167,economics!$AJ$2:$AJ$167,TRUE)-_xlfn.NORM.DIST(Y$30,economics!$AK$2:$AK$167,economics!$AJ$2:$AJ$167,TRUE))*economics!$AM$2:$AM$167))/(SUMPRODUCT((economics!$AG$2:$AG$167=$B47)*(economics!$D$2:$D$167="process")*economics!$AH$2:$AH$167*(_xlfn.NORM.DIST(Y$3,economics!$AK$2:$AK$167,economics!$AJ$2:$AJ$167,TRUE)-_xlfn.NORM.DIST(Y$30,economics!$AK$2:$AK$167,economics!$AJ$2:$AJ$167,TRUE)))),"")</f>
        <v/>
      </c>
      <c r="Z47">
        <f t="array" ref="Z47">IFERROR((SUMPRODUCT((economics!$AG$2:$AG$167=$B47)*(economics!$D$2:$D$167="process")*economics!$AH$2:$AH$167*(_xlfn.NORM.DIST(Z$3,economics!$AK$2:$AK$167,economics!$AJ$2:$AJ$167,TRUE)-_xlfn.NORM.DIST(Z$30,economics!$AK$2:$AK$167,economics!$AJ$2:$AJ$167,TRUE))*economics!$AM$2:$AM$167))/(SUMPRODUCT((economics!$AG$2:$AG$167=$B47)*(economics!$D$2:$D$167="process")*economics!$AH$2:$AH$167*(_xlfn.NORM.DIST(Z$3,economics!$AK$2:$AK$167,economics!$AJ$2:$AJ$167,TRUE)-_xlfn.NORM.DIST(Z$30,economics!$AK$2:$AK$167,economics!$AJ$2:$AJ$167,TRUE)))),"")</f>
        <v/>
      </c>
      <c r="AA47">
        <f t="array" ref="AA47">IFERROR((SUMPRODUCT((economics!$AG$2:$AG$167=$B47)*(economics!$D$2:$D$167="process")*economics!$AH$2:$AH$167*(_xlfn.NORM.DIST(AA$3,economics!$AK$2:$AK$167,economics!$AJ$2:$AJ$167,TRUE)-_xlfn.NORM.DIST(AA$30,economics!$AK$2:$AK$167,economics!$AJ$2:$AJ$167,TRUE))*economics!$AM$2:$AM$167))/(SUMPRODUCT((economics!$AG$2:$AG$167=$B47)*(economics!$D$2:$D$167="process")*economics!$AH$2:$AH$167*(_xlfn.NORM.DIST(AA$3,economics!$AK$2:$AK$167,economics!$AJ$2:$AJ$167,TRUE)-_xlfn.NORM.DIST(AA$30,economics!$AK$2:$AK$167,economics!$AJ$2:$AJ$167,TRUE)))),"")</f>
        <v/>
      </c>
      <c r="AB47">
        <f t="array" ref="AB47">IFERROR((SUMPRODUCT((economics!$AG$2:$AG$167=$B47)*(economics!$D$2:$D$167="process")*economics!$AH$2:$AH$167*(_xlfn.NORM.DIST(AB$3,economics!$AK$2:$AK$167,economics!$AJ$2:$AJ$167,TRUE)-_xlfn.NORM.DIST(AB$30,economics!$AK$2:$AK$167,economics!$AJ$2:$AJ$167,TRUE))*economics!$AM$2:$AM$167))/(SUMPRODUCT((economics!$AG$2:$AG$167=$B47)*(economics!$D$2:$D$167="process")*economics!$AH$2:$AH$167*(_xlfn.NORM.DIST(AB$3,economics!$AK$2:$AK$167,economics!$AJ$2:$AJ$167,TRUE)-_xlfn.NORM.DIST(AB$30,economics!$AK$2:$AK$167,economics!$AJ$2:$AJ$167,TRUE)))),"")</f>
        <v/>
      </c>
      <c r="AC47">
        <f t="array" ref="AC47">IFERROR((SUMPRODUCT((economics!$AG$2:$AG$167=$B47)*(economics!$D$2:$D$167="process")*economics!$AH$2:$AH$167*(_xlfn.NORM.DIST(AC$3,economics!$AK$2:$AK$167,economics!$AJ$2:$AJ$167,TRUE)-_xlfn.NORM.DIST(AC$30,economics!$AK$2:$AK$167,economics!$AJ$2:$AJ$167,TRUE))*economics!$AM$2:$AM$167))/(SUMPRODUCT((economics!$AG$2:$AG$167=$B47)*(economics!$D$2:$D$167="process")*economics!$AH$2:$AH$167*(_xlfn.NORM.DIST(AC$3,economics!$AK$2:$AK$167,economics!$AJ$2:$AJ$167,TRUE)-_xlfn.NORM.DIST(AC$30,economics!$AK$2:$AK$167,economics!$AJ$2:$AJ$167,TRUE)))),"")</f>
        <v/>
      </c>
      <c r="AD47">
        <f t="array" ref="AD47">IFERROR((SUMPRODUCT((economics!$AG$2:$AG$167=$B47)*(economics!$D$2:$D$167="process")*economics!$AH$2:$AH$167*(_xlfn.NORM.DIST(AD$3,economics!$AK$2:$AK$167,economics!$AJ$2:$AJ$167,TRUE)-_xlfn.NORM.DIST(AD$30,economics!$AK$2:$AK$167,economics!$AJ$2:$AJ$167,TRUE))*economics!$AM$2:$AM$167))/(SUMPRODUCT((economics!$AG$2:$AG$167=$B47)*(economics!$D$2:$D$167="process")*economics!$AH$2:$AH$167*(_xlfn.NORM.DIST(AD$3,economics!$AK$2:$AK$167,economics!$AJ$2:$AJ$167,TRUE)-_xlfn.NORM.DIST(AD$30,economics!$AK$2:$AK$167,economics!$AJ$2:$AJ$167,TRUE)))),"")</f>
        <v/>
      </c>
      <c r="AE47">
        <f t="array" ref="AE47">IFERROR((SUMPRODUCT((economics!$AG$2:$AG$167=$B47)*(economics!$D$2:$D$167="process")*economics!$AH$2:$AH$167*(_xlfn.NORM.DIST(AE$3,economics!$AK$2:$AK$167,economics!$AJ$2:$AJ$167,TRUE)-_xlfn.NORM.DIST(AE$30,economics!$AK$2:$AK$167,economics!$AJ$2:$AJ$167,TRUE))*economics!$AM$2:$AM$167))/(SUMPRODUCT((economics!$AG$2:$AG$167=$B47)*(economics!$D$2:$D$167="process")*economics!$AH$2:$AH$167*(_xlfn.NORM.DIST(AE$3,economics!$AK$2:$AK$167,economics!$AJ$2:$AJ$167,TRUE)-_xlfn.NORM.DIST(AE$30,economics!$AK$2:$AK$167,economics!$AJ$2:$AJ$167,TRUE)))),"")</f>
        <v/>
      </c>
      <c r="AF47">
        <f t="array" ref="AF47">IFERROR((SUMPRODUCT((economics!$AG$2:$AG$167=$B47)*(economics!$D$2:$D$167="process")*economics!$AH$2:$AH$167*(_xlfn.NORM.DIST(AF$3,economics!$AK$2:$AK$167,economics!$AJ$2:$AJ$167,TRUE)-_xlfn.NORM.DIST(AF$30,economics!$AK$2:$AK$167,economics!$AJ$2:$AJ$167,TRUE))*economics!$AM$2:$AM$167))/(SUMPRODUCT((economics!$AG$2:$AG$167=$B47)*(economics!$D$2:$D$167="process")*economics!$AH$2:$AH$167*(_xlfn.NORM.DIST(AF$3,economics!$AK$2:$AK$167,economics!$AJ$2:$AJ$167,TRUE)-_xlfn.NORM.DIST(AF$30,economics!$AK$2:$AK$167,economics!$AJ$2:$AJ$167,TRUE)))),"")</f>
        <v/>
      </c>
      <c r="AG47">
        <f t="array" ref="AG47">IFERROR((SUMPRODUCT((economics!$AG$2:$AG$167=$B47)*(economics!$D$2:$D$167="process")*economics!$AH$2:$AH$167*(_xlfn.NORM.DIST(AG$3,economics!$AK$2:$AK$167,economics!$AJ$2:$AJ$167,TRUE)-_xlfn.NORM.DIST(AG$30,economics!$AK$2:$AK$167,economics!$AJ$2:$AJ$167,TRUE))*economics!$AM$2:$AM$167))/(SUMPRODUCT((economics!$AG$2:$AG$167=$B47)*(economics!$D$2:$D$167="process")*economics!$AH$2:$AH$167*(_xlfn.NORM.DIST(AG$3,economics!$AK$2:$AK$167,economics!$AJ$2:$AJ$167,TRUE)-_xlfn.NORM.DIST(AG$30,economics!$AK$2:$AK$167,economics!$AJ$2:$AJ$167,TRUE)))),"")</f>
        <v/>
      </c>
      <c r="AH47">
        <f t="array" ref="AH47">IFERROR((SUMPRODUCT((economics!$AG$2:$AG$167=$B47)*(economics!$D$2:$D$167="process")*economics!$AH$2:$AH$167*(_xlfn.NORM.DIST(AH$3,economics!$AK$2:$AK$167,economics!$AJ$2:$AJ$167,TRUE)-_xlfn.NORM.DIST(AH$30,economics!$AK$2:$AK$167,economics!$AJ$2:$AJ$167,TRUE))*economics!$AM$2:$AM$167))/(SUMPRODUCT((economics!$AG$2:$AG$167=$B47)*(economics!$D$2:$D$167="process")*economics!$AH$2:$AH$167*(_xlfn.NORM.DIST(AH$3,economics!$AK$2:$AK$167,economics!$AJ$2:$AJ$167,TRUE)-_xlfn.NORM.DIST(AH$30,economics!$AK$2:$AK$167,economics!$AJ$2:$AJ$167,TRUE)))),"")</f>
        <v/>
      </c>
      <c r="AI47">
        <f t="array" ref="AI47">IFERROR((SUMPRODUCT((economics!$AG$2:$AG$167=$B47)*(economics!$D$2:$D$167="process")*economics!$AH$2:$AH$167*(_xlfn.NORM.DIST(AI$3,economics!$AK$2:$AK$167,economics!$AJ$2:$AJ$167,TRUE)-_xlfn.NORM.DIST(AI$30,economics!$AK$2:$AK$167,economics!$AJ$2:$AJ$167,TRUE))*economics!$AM$2:$AM$167))/(SUMPRODUCT((economics!$AG$2:$AG$167=$B47)*(economics!$D$2:$D$167="process")*economics!$AH$2:$AH$167*(_xlfn.NORM.DIST(AI$3,economics!$AK$2:$AK$167,economics!$AJ$2:$AJ$167,TRUE)-_xlfn.NORM.DIST(AI$30,economics!$AK$2:$AK$167,economics!$AJ$2:$AJ$167,TRUE)))),"")</f>
        <v/>
      </c>
      <c r="AJ47">
        <f t="array" ref="AJ47">IFERROR((SUMPRODUCT((economics!$AG$2:$AG$167=$B47)*(economics!$D$2:$D$167="process")*economics!$AH$2:$AH$167*(_xlfn.NORM.DIST(AJ$3,economics!$AK$2:$AK$167,economics!$AJ$2:$AJ$167,TRUE)-_xlfn.NORM.DIST(AJ$30,economics!$AK$2:$AK$167,economics!$AJ$2:$AJ$167,TRUE))*economics!$AM$2:$AM$167))/(SUMPRODUCT((economics!$AG$2:$AG$167=$B47)*(economics!$D$2:$D$167="process")*economics!$AH$2:$AH$167*(_xlfn.NORM.DIST(AJ$3,economics!$AK$2:$AK$167,economics!$AJ$2:$AJ$167,TRUE)-_xlfn.NORM.DIST(AJ$30,economics!$AK$2:$AK$167,economics!$AJ$2:$AJ$167,TRUE)))),"")</f>
        <v/>
      </c>
      <c r="AK47">
        <f t="array" ref="AK47">IFERROR((SUMPRODUCT((economics!$AG$2:$AG$167=$B47)*(economics!$D$2:$D$167="process")*economics!$AH$2:$AH$167*(_xlfn.NORM.DIST(AK$3,economics!$AK$2:$AK$167,economics!$AJ$2:$AJ$167,TRUE)-_xlfn.NORM.DIST(AK$30,economics!$AK$2:$AK$167,economics!$AJ$2:$AJ$167,TRUE))*economics!$AM$2:$AM$167))/(SUMPRODUCT((economics!$AG$2:$AG$167=$B47)*(economics!$D$2:$D$167="process")*economics!$AH$2:$AH$167*(_xlfn.NORM.DIST(AK$3,economics!$AK$2:$AK$167,economics!$AJ$2:$AJ$167,TRUE)-_xlfn.NORM.DIST(AK$30,economics!$AK$2:$AK$167,economics!$AJ$2:$AJ$167,TRUE)))),"")</f>
        <v/>
      </c>
      <c r="AL47">
        <f t="array" ref="AL47">IFERROR((SUMPRODUCT((economics!$AG$2:$AG$167=$B47)*(economics!$D$2:$D$167="process")*economics!$AH$2:$AH$167*(_xlfn.NORM.DIST(AL$3,economics!$AK$2:$AK$167,economics!$AJ$2:$AJ$167,TRUE)-_xlfn.NORM.DIST(AL$30,economics!$AK$2:$AK$167,economics!$AJ$2:$AJ$167,TRUE))*economics!$AM$2:$AM$167))/(SUMPRODUCT((economics!$AG$2:$AG$167=$B47)*(economics!$D$2:$D$167="process")*economics!$AH$2:$AH$167*(_xlfn.NORM.DIST(AL$3,economics!$AK$2:$AK$167,economics!$AJ$2:$AJ$167,TRUE)-_xlfn.NORM.DIST(AL$30,economics!$AK$2:$AK$167,economics!$AJ$2:$AJ$167,TRUE)))),"")</f>
        <v/>
      </c>
      <c r="AM47">
        <f t="array" ref="AM47">IFERROR((SUMPRODUCT((economics!$AG$2:$AG$167=$B47)*(economics!$D$2:$D$167="process")*economics!$AH$2:$AH$167*(_xlfn.NORM.DIST(AM$3,economics!$AK$2:$AK$167,economics!$AJ$2:$AJ$167,TRUE)-_xlfn.NORM.DIST(AM$30,economics!$AK$2:$AK$167,economics!$AJ$2:$AJ$167,TRUE))*economics!$AM$2:$AM$167))/(SUMPRODUCT((economics!$AG$2:$AG$167=$B47)*(economics!$D$2:$D$167="process")*economics!$AH$2:$AH$167*(_xlfn.NORM.DIST(AM$3,economics!$AK$2:$AK$167,economics!$AJ$2:$AJ$167,TRUE)-_xlfn.NORM.DIST(AM$30,economics!$AK$2:$AK$167,economics!$AJ$2:$AJ$167,TRUE)))),"")</f>
        <v/>
      </c>
      <c r="AN47">
        <f t="array" ref="AN47">IFERROR((SUMPRODUCT((economics!$AG$2:$AG$167=$B47)*(economics!$D$2:$D$167="process")*economics!$AH$2:$AH$167*(_xlfn.NORM.DIST(AN$3,economics!$AK$2:$AK$167,economics!$AJ$2:$AJ$167,TRUE)-_xlfn.NORM.DIST(AN$30,economics!$AK$2:$AK$167,economics!$AJ$2:$AJ$167,TRUE))*economics!$AM$2:$AM$167))/(SUMPRODUCT((economics!$AG$2:$AG$167=$B47)*(economics!$D$2:$D$167="process")*economics!$AH$2:$AH$167*(_xlfn.NORM.DIST(AN$3,economics!$AK$2:$AK$167,economics!$AJ$2:$AJ$167,TRUE)-_xlfn.NORM.DIST(AN$30,economics!$AK$2:$AK$167,economics!$AJ$2:$AJ$167,TRUE)))),"")</f>
        <v/>
      </c>
      <c r="AO47">
        <f t="array" ref="AO47">IFERROR((SUMPRODUCT((economics!$AG$2:$AG$167=$B47)*(economics!$D$2:$D$167="process")*economics!$AH$2:$AH$167*(_xlfn.NORM.DIST(AO$3,economics!$AK$2:$AK$167,economics!$AJ$2:$AJ$167,TRUE)-_xlfn.NORM.DIST(AO$30,economics!$AK$2:$AK$167,economics!$AJ$2:$AJ$167,TRUE))*economics!$AM$2:$AM$167))/(SUMPRODUCT((economics!$AG$2:$AG$167=$B47)*(economics!$D$2:$D$167="process")*economics!$AH$2:$AH$167*(_xlfn.NORM.DIST(AO$3,economics!$AK$2:$AK$167,economics!$AJ$2:$AJ$167,TRUE)-_xlfn.NORM.DIST(AO$30,economics!$AK$2:$AK$167,economics!$AJ$2:$AJ$167,TRUE)))),"")</f>
        <v/>
      </c>
      <c r="AP47">
        <f t="array" ref="AP47">IFERROR((SUMPRODUCT((economics!$AG$2:$AG$167=$B47)*(economics!$D$2:$D$167="process")*economics!$AH$2:$AH$167*(_xlfn.NORM.DIST(AP$3,economics!$AK$2:$AK$167,economics!$AJ$2:$AJ$167,TRUE)-_xlfn.NORM.DIST(AP$30,economics!$AK$2:$AK$167,economics!$AJ$2:$AJ$167,TRUE))*economics!$AM$2:$AM$167))/(SUMPRODUCT((economics!$AG$2:$AG$167=$B47)*(economics!$D$2:$D$167="process")*economics!$AH$2:$AH$167*(_xlfn.NORM.DIST(AP$3,economics!$AK$2:$AK$167,economics!$AJ$2:$AJ$167,TRUE)-_xlfn.NORM.DIST(AP$30,economics!$AK$2:$AK$167,economics!$AJ$2:$AJ$167,TRUE)))),"")</f>
        <v/>
      </c>
      <c r="AQ47">
        <f t="array" ref="AQ47">IFERROR((SUMPRODUCT((economics!$AG$2:$AG$167=$B47)*(economics!$D$2:$D$167="process")*economics!$AH$2:$AH$167*(_xlfn.NORM.DIST(AQ$3,economics!$AK$2:$AK$167,economics!$AJ$2:$AJ$167,TRUE)-_xlfn.NORM.DIST(AQ$30,economics!$AK$2:$AK$167,economics!$AJ$2:$AJ$167,TRUE))*economics!$AM$2:$AM$167))/(SUMPRODUCT((economics!$AG$2:$AG$167=$B47)*(economics!$D$2:$D$167="process")*economics!$AH$2:$AH$167*(_xlfn.NORM.DIST(AQ$3,economics!$AK$2:$AK$167,economics!$AJ$2:$AJ$167,TRUE)-_xlfn.NORM.DIST(AQ$30,economics!$AK$2:$AK$167,economics!$AJ$2:$AJ$167,TRUE)))),"")</f>
        <v/>
      </c>
      <c r="AR47">
        <f t="array" ref="AR47">IFERROR((SUMPRODUCT((economics!$AG$2:$AG$167=$B47)*(economics!$D$2:$D$167="process")*economics!$AH$2:$AH$167*(_xlfn.NORM.DIST(AR$3,economics!$AK$2:$AK$167,economics!$AJ$2:$AJ$167,TRUE)-_xlfn.NORM.DIST(AR$30,economics!$AK$2:$AK$167,economics!$AJ$2:$AJ$167,TRUE))*economics!$AM$2:$AM$167))/(SUMPRODUCT((economics!$AG$2:$AG$167=$B47)*(economics!$D$2:$D$167="process")*economics!$AH$2:$AH$167*(_xlfn.NORM.DIST(AR$3,economics!$AK$2:$AK$167,economics!$AJ$2:$AJ$167,TRUE)-_xlfn.NORM.DIST(AR$30,economics!$AK$2:$AK$167,economics!$AJ$2:$AJ$167,TRUE)))),"")</f>
        <v/>
      </c>
      <c r="AS47">
        <f t="array" ref="AS47">IFERROR((SUMPRODUCT((economics!$AG$2:$AG$167=$B47)*(economics!$D$2:$D$167="process")*economics!$AH$2:$AH$167*(_xlfn.NORM.DIST(AS$3,economics!$AK$2:$AK$167,economics!$AJ$2:$AJ$167,TRUE)-_xlfn.NORM.DIST(AS$30,economics!$AK$2:$AK$167,economics!$AJ$2:$AJ$167,TRUE))*economics!$AM$2:$AM$167))/(SUMPRODUCT((economics!$AG$2:$AG$167=$B47)*(economics!$D$2:$D$167="process")*economics!$AH$2:$AH$167*(_xlfn.NORM.DIST(AS$3,economics!$AK$2:$AK$167,economics!$AJ$2:$AJ$167,TRUE)-_xlfn.NORM.DIST(AS$30,economics!$AK$2:$AK$167,economics!$AJ$2:$AJ$167,TRUE)))),"")</f>
        <v/>
      </c>
      <c r="AT47">
        <f t="array" ref="AT47">IFERROR((SUMPRODUCT((economics!$AG$2:$AG$167=$B47)*(economics!$D$2:$D$167="process")*economics!$AH$2:$AH$167*(_xlfn.NORM.DIST(AT$3,economics!$AK$2:$AK$167,economics!$AJ$2:$AJ$167,TRUE)-_xlfn.NORM.DIST(AT$30,economics!$AK$2:$AK$167,economics!$AJ$2:$AJ$167,TRUE))*economics!$AM$2:$AM$167))/(SUMPRODUCT((economics!$AG$2:$AG$167=$B47)*(economics!$D$2:$D$167="process")*economics!$AH$2:$AH$167*(_xlfn.NORM.DIST(AT$3,economics!$AK$2:$AK$167,economics!$AJ$2:$AJ$167,TRUE)-_xlfn.NORM.DIST(AT$30,economics!$AK$2:$AK$167,economics!$AJ$2:$AJ$167,TRUE)))),"")</f>
        <v/>
      </c>
      <c r="AU47">
        <f t="array" ref="AU47">IFERROR((SUMPRODUCT((economics!$AG$2:$AG$167=$B47)*(economics!$D$2:$D$167="process")*economics!$AH$2:$AH$167*(_xlfn.NORM.DIST(AU$3,economics!$AK$2:$AK$167,economics!$AJ$2:$AJ$167,TRUE)-_xlfn.NORM.DIST(AU$30,economics!$AK$2:$AK$167,economics!$AJ$2:$AJ$167,TRUE))*economics!$AM$2:$AM$167))/(SUMPRODUCT((economics!$AG$2:$AG$167=$B47)*(economics!$D$2:$D$167="process")*economics!$AH$2:$AH$167*(_xlfn.NORM.DIST(AU$3,economics!$AK$2:$AK$167,economics!$AJ$2:$AJ$167,TRUE)-_xlfn.NORM.DIST(AU$30,economics!$AK$2:$AK$167,economics!$AJ$2:$AJ$167,TRUE)))),"")</f>
        <v/>
      </c>
      <c r="AV47">
        <f t="array" ref="AV47">IFERROR((SUMPRODUCT((economics!$AG$2:$AG$167=$B47)*(economics!$D$2:$D$167="process")*economics!$AH$2:$AH$167*(_xlfn.NORM.DIST(AV$3,economics!$AK$2:$AK$167,economics!$AJ$2:$AJ$167,TRUE)-_xlfn.NORM.DIST(AV$30,economics!$AK$2:$AK$167,economics!$AJ$2:$AJ$167,TRUE))*economics!$AM$2:$AM$167))/(SUMPRODUCT((economics!$AG$2:$AG$167=$B47)*(economics!$D$2:$D$167="process")*economics!$AH$2:$AH$167*(_xlfn.NORM.DIST(AV$3,economics!$AK$2:$AK$167,economics!$AJ$2:$AJ$167,TRUE)-_xlfn.NORM.DIST(AV$30,economics!$AK$2:$AK$167,economics!$AJ$2:$AJ$167,TRUE)))),"")</f>
        <v/>
      </c>
      <c r="AW47">
        <f t="array" ref="AW47">IFERROR((SUMPRODUCT((economics!$AG$2:$AG$167=$B47)*(economics!$D$2:$D$167="process")*economics!$AH$2:$AH$167*(_xlfn.NORM.DIST(AW$3,economics!$AK$2:$AK$167,economics!$AJ$2:$AJ$167,TRUE)-_xlfn.NORM.DIST(AW$30,economics!$AK$2:$AK$167,economics!$AJ$2:$AJ$167,TRUE))*economics!$AM$2:$AM$167))/(SUMPRODUCT((economics!$AG$2:$AG$167=$B47)*(economics!$D$2:$D$167="process")*economics!$AH$2:$AH$167*(_xlfn.NORM.DIST(AW$3,economics!$AK$2:$AK$167,economics!$AJ$2:$AJ$167,TRUE)-_xlfn.NORM.DIST(AW$30,economics!$AK$2:$AK$167,economics!$AJ$2:$AJ$167,TRUE)))),"")</f>
        <v/>
      </c>
      <c r="AX47">
        <f t="array" ref="AX47">IFERROR((SUMPRODUCT((economics!$AG$2:$AG$167=$B47)*(economics!$D$2:$D$167="process")*economics!$AH$2:$AH$167*(_xlfn.NORM.DIST(AX$3,economics!$AK$2:$AK$167,economics!$AJ$2:$AJ$167,TRUE)-_xlfn.NORM.DIST(AX$30,economics!$AK$2:$AK$167,economics!$AJ$2:$AJ$167,TRUE))*economics!$AM$2:$AM$167))/(SUMPRODUCT((economics!$AG$2:$AG$167=$B47)*(economics!$D$2:$D$167="process")*economics!$AH$2:$AH$167*(_xlfn.NORM.DIST(AX$3,economics!$AK$2:$AK$167,economics!$AJ$2:$AJ$167,TRUE)-_xlfn.NORM.DIST(AX$30,economics!$AK$2:$AK$167,economics!$AJ$2:$AJ$167,TRUE)))),"")</f>
        <v/>
      </c>
      <c r="AY47">
        <f t="array" ref="AY47">IFERROR((SUMPRODUCT((economics!$AG$2:$AG$167=$B47)*(economics!$D$2:$D$167="process")*economics!$AH$2:$AH$167*(_xlfn.NORM.DIST(AY$3,economics!$AK$2:$AK$167,economics!$AJ$2:$AJ$167,TRUE)-_xlfn.NORM.DIST(AY$30,economics!$AK$2:$AK$167,economics!$AJ$2:$AJ$167,TRUE))*economics!$AM$2:$AM$167))/(SUMPRODUCT((economics!$AG$2:$AG$167=$B47)*(economics!$D$2:$D$167="process")*economics!$AH$2:$AH$167*(_xlfn.NORM.DIST(AY$3,economics!$AK$2:$AK$167,economics!$AJ$2:$AJ$167,TRUE)-_xlfn.NORM.DIST(AY$30,economics!$AK$2:$AK$167,economics!$AJ$2:$AJ$167,TRUE)))),"")</f>
        <v/>
      </c>
      <c r="AZ47">
        <f t="array" ref="AZ47">IFERROR((SUMPRODUCT((economics!$AG$2:$AG$167=$B47)*(economics!$D$2:$D$167="process")*economics!$AH$2:$AH$167*(_xlfn.NORM.DIST(AZ$3,economics!$AK$2:$AK$167,economics!$AJ$2:$AJ$167,TRUE)-_xlfn.NORM.DIST(AZ$30,economics!$AK$2:$AK$167,economics!$AJ$2:$AJ$167,TRUE))*economics!$AM$2:$AM$167))/(SUMPRODUCT((economics!$AG$2:$AG$167=$B47)*(economics!$D$2:$D$167="process")*economics!$AH$2:$AH$167*(_xlfn.NORM.DIST(AZ$3,economics!$AK$2:$AK$167,economics!$AJ$2:$AJ$167,TRUE)-_xlfn.NORM.DIST(AZ$30,economics!$AK$2:$AK$167,economics!$AJ$2:$AJ$167,TRUE)))),"")</f>
        <v/>
      </c>
      <c r="BA47">
        <f t="array" ref="BA47">IFERROR((SUMPRODUCT((economics!$AG$2:$AG$167=$B47)*(economics!$D$2:$D$167="process")*economics!$AH$2:$AH$167*(_xlfn.NORM.DIST(BA$3,economics!$AK$2:$AK$167,economics!$AJ$2:$AJ$167,TRUE)-_xlfn.NORM.DIST(BA$30,economics!$AK$2:$AK$167,economics!$AJ$2:$AJ$167,TRUE))*economics!$AM$2:$AM$167))/(SUMPRODUCT((economics!$AG$2:$AG$167=$B47)*(economics!$D$2:$D$167="process")*economics!$AH$2:$AH$167*(_xlfn.NORM.DIST(BA$3,economics!$AK$2:$AK$167,economics!$AJ$2:$AJ$167,TRUE)-_xlfn.NORM.DIST(BA$30,economics!$AK$2:$AK$167,economics!$AJ$2:$AJ$167,TRUE)))),"")</f>
        <v/>
      </c>
      <c r="BB47">
        <f t="array" ref="BB47">IFERROR((SUMPRODUCT((economics!$AG$2:$AG$167=$B47)*(economics!$D$2:$D$167="process")*economics!$AH$2:$AH$167*(_xlfn.NORM.DIST(BB$3,economics!$AK$2:$AK$167,economics!$AJ$2:$AJ$167,TRUE)-_xlfn.NORM.DIST(BB$30,economics!$AK$2:$AK$167,economics!$AJ$2:$AJ$167,TRUE))*economics!$AM$2:$AM$167))/(SUMPRODUCT((economics!$AG$2:$AG$167=$B47)*(economics!$D$2:$D$167="process")*economics!$AH$2:$AH$167*(_xlfn.NORM.DIST(BB$3,economics!$AK$2:$AK$167,economics!$AJ$2:$AJ$167,TRUE)-_xlfn.NORM.DIST(BB$30,economics!$AK$2:$AK$167,economics!$AJ$2:$AJ$167,TRUE)))),"")</f>
        <v/>
      </c>
      <c r="BC47">
        <f t="array" ref="BC47">IFERROR((SUMPRODUCT((economics!$AG$2:$AG$167=$B47)*(economics!$D$2:$D$167="process")*economics!$AH$2:$AH$167*(_xlfn.NORM.DIST(BC$3,economics!$AK$2:$AK$167,economics!$AJ$2:$AJ$167,TRUE)-_xlfn.NORM.DIST(BC$30,economics!$AK$2:$AK$167,economics!$AJ$2:$AJ$167,TRUE))*economics!$AM$2:$AM$167))/(SUMPRODUCT((economics!$AG$2:$AG$167=$B47)*(economics!$D$2:$D$167="process")*economics!$AH$2:$AH$167*(_xlfn.NORM.DIST(BC$3,economics!$AK$2:$AK$167,economics!$AJ$2:$AJ$167,TRUE)-_xlfn.NORM.DIST(BC$30,economics!$AK$2:$AK$167,economics!$AJ$2:$AJ$167,TRUE)))),"")</f>
        <v/>
      </c>
      <c r="BD47">
        <f t="array" ref="BD47">IFERROR((SUMPRODUCT((economics!$AG$2:$AG$167=$B47)*(economics!$D$2:$D$167="process")*economics!$AH$2:$AH$167*(_xlfn.NORM.DIST(BD$3,economics!$AK$2:$AK$167,economics!$AJ$2:$AJ$167,TRUE)-_xlfn.NORM.DIST(BD$30,economics!$AK$2:$AK$167,economics!$AJ$2:$AJ$167,TRUE))*economics!$AM$2:$AM$167))/(SUMPRODUCT((economics!$AG$2:$AG$167=$B47)*(economics!$D$2:$D$167="process")*economics!$AH$2:$AH$167*(_xlfn.NORM.DIST(BD$3,economics!$AK$2:$AK$167,economics!$AJ$2:$AJ$167,TRUE)-_xlfn.NORM.DIST(BD$30,economics!$AK$2:$AK$167,economics!$AJ$2:$AJ$167,TRUE)))),"")</f>
        <v/>
      </c>
      <c r="BE47">
        <f t="array" ref="BE47">IFERROR((SUMPRODUCT((economics!$AG$2:$AG$167=$B47)*(economics!$D$2:$D$167="process")*economics!$AH$2:$AH$167*(_xlfn.NORM.DIST(BE$3,economics!$AK$2:$AK$167,economics!$AJ$2:$AJ$167,TRUE)-_xlfn.NORM.DIST(BE$30,economics!$AK$2:$AK$167,economics!$AJ$2:$AJ$167,TRUE))*economics!$AM$2:$AM$167))/(SUMPRODUCT((economics!$AG$2:$AG$167=$B47)*(economics!$D$2:$D$167="process")*economics!$AH$2:$AH$167*(_xlfn.NORM.DIST(BE$3,economics!$AK$2:$AK$167,economics!$AJ$2:$AJ$167,TRUE)-_xlfn.NORM.DIST(BE$30,economics!$AK$2:$AK$167,economics!$AJ$2:$AJ$167,TRUE)))),"")</f>
        <v/>
      </c>
      <c r="BF47">
        <f t="array" ref="BF47">IFERROR((SUMPRODUCT((economics!$AG$2:$AG$167=$B47)*(economics!$D$2:$D$167="process")*economics!$AH$2:$AH$167*(_xlfn.NORM.DIST(BF$3,economics!$AK$2:$AK$167,economics!$AJ$2:$AJ$167,TRUE)-_xlfn.NORM.DIST(BF$30,economics!$AK$2:$AK$167,economics!$AJ$2:$AJ$167,TRUE))*economics!$AM$2:$AM$167))/(SUMPRODUCT((economics!$AG$2:$AG$167=$B47)*(economics!$D$2:$D$167="process")*economics!$AH$2:$AH$167*(_xlfn.NORM.DIST(BF$3,economics!$AK$2:$AK$167,economics!$AJ$2:$AJ$167,TRUE)-_xlfn.NORM.DIST(BF$30,economics!$AK$2:$AK$167,economics!$AJ$2:$AJ$167,TRUE)))),"")</f>
        <v/>
      </c>
      <c r="BG47">
        <f t="array" ref="BG47">IFERROR((SUMPRODUCT((economics!$AG$2:$AG$167=$B47)*(economics!$D$2:$D$167="process")*economics!$AH$2:$AH$167*(_xlfn.NORM.DIST(BG$3,economics!$AK$2:$AK$167,economics!$AJ$2:$AJ$167,TRUE)-_xlfn.NORM.DIST(BG$30,economics!$AK$2:$AK$167,economics!$AJ$2:$AJ$167,TRUE))*economics!$AM$2:$AM$167))/(SUMPRODUCT((economics!$AG$2:$AG$167=$B47)*(economics!$D$2:$D$167="process")*economics!$AH$2:$AH$167*(_xlfn.NORM.DIST(BG$3,economics!$AK$2:$AK$167,economics!$AJ$2:$AJ$167,TRUE)-_xlfn.NORM.DIST(BG$30,economics!$AK$2:$AK$167,economics!$AJ$2:$AJ$167,TRUE)))),"")</f>
        <v/>
      </c>
      <c r="BH47">
        <f t="array" ref="BH47">IFERROR((SUMPRODUCT((economics!$AG$2:$AG$167=$B47)*(economics!$D$2:$D$167="process")*economics!$AH$2:$AH$167*(_xlfn.NORM.DIST(BH$3,economics!$AK$2:$AK$167,economics!$AJ$2:$AJ$167,TRUE)-_xlfn.NORM.DIST(BH$30,economics!$AK$2:$AK$167,economics!$AJ$2:$AJ$167,TRUE))*economics!$AM$2:$AM$167))/(SUMPRODUCT((economics!$AG$2:$AG$167=$B47)*(economics!$D$2:$D$167="process")*economics!$AH$2:$AH$167*(_xlfn.NORM.DIST(BH$3,economics!$AK$2:$AK$167,economics!$AJ$2:$AJ$167,TRUE)-_xlfn.NORM.DIST(BH$30,economics!$AK$2:$AK$167,economics!$AJ$2:$AJ$167,TRUE)))),"")</f>
        <v/>
      </c>
      <c r="BI47">
        <f t="array" ref="BI47">IFERROR((SUMPRODUCT((economics!$AG$2:$AG$167=$B47)*(economics!$D$2:$D$167="process")*economics!$AH$2:$AH$167*(_xlfn.NORM.DIST(BI$3,economics!$AK$2:$AK$167,economics!$AJ$2:$AJ$167,TRUE)-_xlfn.NORM.DIST(BI$30,economics!$AK$2:$AK$167,economics!$AJ$2:$AJ$167,TRUE))*economics!$AM$2:$AM$167))/(SUMPRODUCT((economics!$AG$2:$AG$167=$B47)*(economics!$D$2:$D$167="process")*economics!$AH$2:$AH$167*(_xlfn.NORM.DIST(BI$3,economics!$AK$2:$AK$167,economics!$AJ$2:$AJ$167,TRUE)-_xlfn.NORM.DIST(BI$30,economics!$AK$2:$AK$167,economics!$AJ$2:$AJ$167,TRUE)))),"")</f>
        <v/>
      </c>
      <c r="BJ47">
        <f t="array" ref="BJ47">IFERROR((SUMPRODUCT((economics!$AG$2:$AG$167=$B47)*(economics!$D$2:$D$167="process")*economics!$AH$2:$AH$167*(_xlfn.NORM.DIST(BJ$3,economics!$AK$2:$AK$167,economics!$AJ$2:$AJ$167,TRUE)-_xlfn.NORM.DIST(BJ$30,economics!$AK$2:$AK$167,economics!$AJ$2:$AJ$167,TRUE))*economics!$AM$2:$AM$167))/(SUMPRODUCT((economics!$AG$2:$AG$167=$B47)*(economics!$D$2:$D$167="process")*economics!$AH$2:$AH$167*(_xlfn.NORM.DIST(BJ$3,economics!$AK$2:$AK$167,economics!$AJ$2:$AJ$167,TRUE)-_xlfn.NORM.DIST(BJ$30,economics!$AK$2:$AK$167,economics!$AJ$2:$AJ$167,TRUE)))),"")</f>
        <v/>
      </c>
      <c r="BK47">
        <f t="array" ref="BK47">IFERROR((SUMPRODUCT((economics!$AG$2:$AG$167=$B47)*(economics!$D$2:$D$167="process")*economics!$AH$2:$AH$167*(_xlfn.NORM.DIST(BK$3,economics!$AK$2:$AK$167,economics!$AJ$2:$AJ$167,TRUE)-_xlfn.NORM.DIST(BK$30,economics!$AK$2:$AK$167,economics!$AJ$2:$AJ$167,TRUE))*economics!$AM$2:$AM$167))/(SUMPRODUCT((economics!$AG$2:$AG$167=$B47)*(economics!$D$2:$D$167="process")*economics!$AH$2:$AH$167*(_xlfn.NORM.DIST(BK$3,economics!$AK$2:$AK$167,economics!$AJ$2:$AJ$167,TRUE)-_xlfn.NORM.DIST(BK$30,economics!$AK$2:$AK$167,economics!$AJ$2:$AJ$167,TRUE)))),"")</f>
        <v/>
      </c>
      <c r="BL47">
        <f t="array" ref="BL47">IFERROR((SUMPRODUCT((economics!$AG$2:$AG$167=$B47)*(economics!$D$2:$D$167="process")*economics!$AH$2:$AH$167*(_xlfn.NORM.DIST(BL$3,economics!$AK$2:$AK$167,economics!$AJ$2:$AJ$167,TRUE)-_xlfn.NORM.DIST(BL$30,economics!$AK$2:$AK$167,economics!$AJ$2:$AJ$167,TRUE))*economics!$AM$2:$AM$167))/(SUMPRODUCT((economics!$AG$2:$AG$167=$B47)*(economics!$D$2:$D$167="process")*economics!$AH$2:$AH$167*(_xlfn.NORM.DIST(BL$3,economics!$AK$2:$AK$167,economics!$AJ$2:$AJ$167,TRUE)-_xlfn.NORM.DIST(BL$30,economics!$AK$2:$AK$167,economics!$AJ$2:$AJ$167,TRUE)))),"")</f>
        <v/>
      </c>
      <c r="BM47">
        <f t="array" ref="BM47">IFERROR((SUMPRODUCT((economics!$AG$2:$AG$167=$B47)*(economics!$D$2:$D$167="process")*economics!$AH$2:$AH$167*(_xlfn.NORM.DIST(BM$3,economics!$AK$2:$AK$167,economics!$AJ$2:$AJ$167,TRUE)-_xlfn.NORM.DIST(BM$30,economics!$AK$2:$AK$167,economics!$AJ$2:$AJ$167,TRUE))*economics!$AM$2:$AM$167))/(SUMPRODUCT((economics!$AG$2:$AG$167=$B47)*(economics!$D$2:$D$167="process")*economics!$AH$2:$AH$167*(_xlfn.NORM.DIST(BM$3,economics!$AK$2:$AK$167,economics!$AJ$2:$AJ$167,TRUE)-_xlfn.NORM.DIST(BM$30,economics!$AK$2:$AK$167,economics!$AJ$2:$AJ$167,TRUE)))),"")</f>
        <v/>
      </c>
      <c r="BN47">
        <f t="array" ref="BN47">IFERROR((SUMPRODUCT((economics!$AG$2:$AG$167=$B47)*(economics!$D$2:$D$167="process")*economics!$AH$2:$AH$167*(_xlfn.NORM.DIST(BN$3,economics!$AK$2:$AK$167,economics!$AJ$2:$AJ$167,TRUE)-_xlfn.NORM.DIST(BN$30,economics!$AK$2:$AK$167,economics!$AJ$2:$AJ$167,TRUE))*economics!$AM$2:$AM$167))/(SUMPRODUCT((economics!$AG$2:$AG$167=$B47)*(economics!$D$2:$D$167="process")*economics!$AH$2:$AH$167*(_xlfn.NORM.DIST(BN$3,economics!$AK$2:$AK$167,economics!$AJ$2:$AJ$167,TRUE)-_xlfn.NORM.DIST(BN$30,economics!$AK$2:$AK$167,economics!$AJ$2:$AJ$167,TRUE)))),"")</f>
        <v/>
      </c>
      <c r="BO47">
        <f t="array" ref="BO47">IFERROR((SUMPRODUCT((economics!$AG$2:$AG$167=$B47)*(economics!$D$2:$D$167="process")*economics!$AH$2:$AH$167*(_xlfn.NORM.DIST(BO$3,economics!$AK$2:$AK$167,economics!$AJ$2:$AJ$167,TRUE)-_xlfn.NORM.DIST(BO$30,economics!$AK$2:$AK$167,economics!$AJ$2:$AJ$167,TRUE))*economics!$AM$2:$AM$167))/(SUMPRODUCT((economics!$AG$2:$AG$167=$B47)*(economics!$D$2:$D$167="process")*economics!$AH$2:$AH$167*(_xlfn.NORM.DIST(BO$3,economics!$AK$2:$AK$167,economics!$AJ$2:$AJ$167,TRUE)-_xlfn.NORM.DIST(BO$30,economics!$AK$2:$AK$167,economics!$AJ$2:$AJ$167,TRUE)))),"")</f>
        <v/>
      </c>
      <c r="BP47">
        <f t="array" ref="BP47">IFERROR((SUMPRODUCT((economics!$AG$2:$AG$167=$B47)*(economics!$D$2:$D$167="process")*economics!$AH$2:$AH$167*(_xlfn.NORM.DIST(BP$3,economics!$AK$2:$AK$167,economics!$AJ$2:$AJ$167,TRUE)-_xlfn.NORM.DIST(BP$30,economics!$AK$2:$AK$167,economics!$AJ$2:$AJ$167,TRUE))*economics!$AM$2:$AM$167))/(SUMPRODUCT((economics!$AG$2:$AG$167=$B47)*(economics!$D$2:$D$167="process")*economics!$AH$2:$AH$167*(_xlfn.NORM.DIST(BP$3,economics!$AK$2:$AK$167,economics!$AJ$2:$AJ$167,TRUE)-_xlfn.NORM.DIST(BP$30,economics!$AK$2:$AK$167,economics!$AJ$2:$AJ$167,TRUE)))),"")</f>
        <v/>
      </c>
      <c r="BQ47">
        <f t="array" ref="BQ47">IFERROR((SUMPRODUCT((economics!$AG$2:$AG$167=$B47)*(economics!$D$2:$D$167="process")*economics!$AH$2:$AH$167*(_xlfn.NORM.DIST(BQ$3,economics!$AK$2:$AK$167,economics!$AJ$2:$AJ$167,TRUE)-_xlfn.NORM.DIST(BQ$30,economics!$AK$2:$AK$167,economics!$AJ$2:$AJ$167,TRUE))*economics!$AM$2:$AM$167))/(SUMPRODUCT((economics!$AG$2:$AG$167=$B47)*(economics!$D$2:$D$167="process")*economics!$AH$2:$AH$167*(_xlfn.NORM.DIST(BQ$3,economics!$AK$2:$AK$167,economics!$AJ$2:$AJ$167,TRUE)-_xlfn.NORM.DIST(BQ$30,economics!$AK$2:$AK$167,economics!$AJ$2:$AJ$167,TRUE)))),"")</f>
        <v/>
      </c>
      <c r="BR47">
        <f t="array" ref="BR47">IFERROR((SUMPRODUCT((economics!$AG$2:$AG$167=$B47)*(economics!$D$2:$D$167="process")*economics!$AH$2:$AH$167*(_xlfn.NORM.DIST(BR$3,economics!$AK$2:$AK$167,economics!$AJ$2:$AJ$167,TRUE)-_xlfn.NORM.DIST(BR$30,economics!$AK$2:$AK$167,economics!$AJ$2:$AJ$167,TRUE))*economics!$AM$2:$AM$167))/(SUMPRODUCT((economics!$AG$2:$AG$167=$B47)*(economics!$D$2:$D$167="process")*economics!$AH$2:$AH$167*(_xlfn.NORM.DIST(BR$3,economics!$AK$2:$AK$167,economics!$AJ$2:$AJ$167,TRUE)-_xlfn.NORM.DIST(BR$30,economics!$AK$2:$AK$167,economics!$AJ$2:$AJ$167,TRUE)))),"")</f>
        <v/>
      </c>
      <c r="BS47">
        <f t="array" ref="BS47">IFERROR((SUMPRODUCT((economics!$AG$2:$AG$167=$B47)*(economics!$D$2:$D$167="process")*economics!$AH$2:$AH$167*(_xlfn.NORM.DIST(BS$3,economics!$AK$2:$AK$167,economics!$AJ$2:$AJ$167,TRUE)-_xlfn.NORM.DIST(BS$30,economics!$AK$2:$AK$167,economics!$AJ$2:$AJ$167,TRUE))*economics!$AM$2:$AM$167))/(SUMPRODUCT((economics!$AG$2:$AG$167=$B47)*(economics!$D$2:$D$167="process")*economics!$AH$2:$AH$167*(_xlfn.NORM.DIST(BS$3,economics!$AK$2:$AK$167,economics!$AJ$2:$AJ$167,TRUE)-_xlfn.NORM.DIST(BS$30,economics!$AK$2:$AK$167,economics!$AJ$2:$AJ$167,TRUE)))),"")</f>
        <v/>
      </c>
      <c r="BT47">
        <f t="array" ref="BT47">IFERROR((SUMPRODUCT((economics!$AG$2:$AG$167=$B47)*(economics!$D$2:$D$167="process")*economics!$AH$2:$AH$167*(_xlfn.NORM.DIST(BT$3,economics!$AK$2:$AK$167,economics!$AJ$2:$AJ$167,TRUE)-_xlfn.NORM.DIST(BT$30,economics!$AK$2:$AK$167,economics!$AJ$2:$AJ$167,TRUE))*economics!$AM$2:$AM$167))/(SUMPRODUCT((economics!$AG$2:$AG$167=$B47)*(economics!$D$2:$D$167="process")*economics!$AH$2:$AH$167*(_xlfn.NORM.DIST(BT$3,economics!$AK$2:$AK$167,economics!$AJ$2:$AJ$167,TRUE)-_xlfn.NORM.DIST(BT$30,economics!$AK$2:$AK$167,economics!$AJ$2:$AJ$167,TRUE)))),"")</f>
        <v/>
      </c>
      <c r="BU47">
        <f t="array" ref="BU47">IFERROR((SUMPRODUCT((economics!$AG$2:$AG$167=$B47)*(economics!$D$2:$D$167="process")*economics!$AH$2:$AH$167*(_xlfn.NORM.DIST(BU$3,economics!$AK$2:$AK$167,economics!$AJ$2:$AJ$167,TRUE)-_xlfn.NORM.DIST(BU$30,economics!$AK$2:$AK$167,economics!$AJ$2:$AJ$167,TRUE))*economics!$AM$2:$AM$167))/(SUMPRODUCT((economics!$AG$2:$AG$167=$B47)*(economics!$D$2:$D$167="process")*economics!$AH$2:$AH$167*(_xlfn.NORM.DIST(BU$3,economics!$AK$2:$AK$167,economics!$AJ$2:$AJ$167,TRUE)-_xlfn.NORM.DIST(BU$30,economics!$AK$2:$AK$167,economics!$AJ$2:$AJ$167,TRUE)))),"")</f>
        <v/>
      </c>
      <c r="BV47">
        <f t="array" ref="BV47">IFERROR((SUMPRODUCT((economics!$AG$2:$AG$167=$B47)*(economics!$D$2:$D$167="process")*economics!$AH$2:$AH$167*(_xlfn.NORM.DIST(BV$3,economics!$AK$2:$AK$167,economics!$AJ$2:$AJ$167,TRUE)-_xlfn.NORM.DIST(BV$30,economics!$AK$2:$AK$167,economics!$AJ$2:$AJ$167,TRUE))*economics!$AM$2:$AM$167))/(SUMPRODUCT((economics!$AG$2:$AG$167=$B47)*(economics!$D$2:$D$167="process")*economics!$AH$2:$AH$167*(_xlfn.NORM.DIST(BV$3,economics!$AK$2:$AK$167,economics!$AJ$2:$AJ$167,TRUE)-_xlfn.NORM.DIST(BV$30,economics!$AK$2:$AK$167,economics!$AJ$2:$AJ$167,TRUE)))),"")</f>
        <v/>
      </c>
      <c r="BW47">
        <f t="array" ref="BW47">IFERROR((SUMPRODUCT((economics!$AG$2:$AG$167=$B47)*(economics!$D$2:$D$167="process")*economics!$AH$2:$AH$167*(_xlfn.NORM.DIST(BW$3,economics!$AK$2:$AK$167,economics!$AJ$2:$AJ$167,TRUE)-_xlfn.NORM.DIST(BW$30,economics!$AK$2:$AK$167,economics!$AJ$2:$AJ$167,TRUE))*economics!$AM$2:$AM$167))/(SUMPRODUCT((economics!$AG$2:$AG$167=$B47)*(economics!$D$2:$D$167="process")*economics!$AH$2:$AH$167*(_xlfn.NORM.DIST(BW$3,economics!$AK$2:$AK$167,economics!$AJ$2:$AJ$167,TRUE)-_xlfn.NORM.DIST(BW$30,economics!$AK$2:$AK$167,economics!$AJ$2:$AJ$167,TRUE)))),"")</f>
        <v/>
      </c>
      <c r="BX47">
        <f t="array" ref="BX47">IFERROR((SUMPRODUCT((economics!$AG$2:$AG$167=$B47)*(economics!$D$2:$D$167="process")*economics!$AH$2:$AH$167*(_xlfn.NORM.DIST(BX$3,economics!$AK$2:$AK$167,economics!$AJ$2:$AJ$167,TRUE)-_xlfn.NORM.DIST(BX$30,economics!$AK$2:$AK$167,economics!$AJ$2:$AJ$167,TRUE))*economics!$AM$2:$AM$167))/(SUMPRODUCT((economics!$AG$2:$AG$167=$B47)*(economics!$D$2:$D$167="process")*economics!$AH$2:$AH$167*(_xlfn.NORM.DIST(BX$3,economics!$AK$2:$AK$167,economics!$AJ$2:$AJ$167,TRUE)-_xlfn.NORM.DIST(BX$30,economics!$AK$2:$AK$167,economics!$AJ$2:$AJ$167,TRUE)))),"")</f>
        <v/>
      </c>
      <c r="BY47">
        <f t="array" ref="BY47">IFERROR((SUMPRODUCT((economics!$AG$2:$AG$167=$B47)*(economics!$D$2:$D$167="process")*economics!$AH$2:$AH$167*(_xlfn.NORM.DIST(BY$3,economics!$AK$2:$AK$167,economics!$AJ$2:$AJ$167,TRUE)-_xlfn.NORM.DIST(BY$30,economics!$AK$2:$AK$167,economics!$AJ$2:$AJ$167,TRUE))*economics!$AM$2:$AM$167))/(SUMPRODUCT((economics!$AG$2:$AG$167=$B47)*(economics!$D$2:$D$167="process")*economics!$AH$2:$AH$167*(_xlfn.NORM.DIST(BY$3,economics!$AK$2:$AK$167,economics!$AJ$2:$AJ$167,TRUE)-_xlfn.NORM.DIST(BY$30,economics!$AK$2:$AK$167,economics!$AJ$2:$AJ$167,TRUE)))),"")</f>
        <v/>
      </c>
      <c r="BZ47">
        <f t="array" ref="BZ47">IFERROR((SUMPRODUCT((economics!$AG$2:$AG$167=$B47)*(economics!$D$2:$D$167="process")*economics!$AH$2:$AH$167*(_xlfn.NORM.DIST(BZ$3,economics!$AK$2:$AK$167,economics!$AJ$2:$AJ$167,TRUE)-_xlfn.NORM.DIST(BZ$30,economics!$AK$2:$AK$167,economics!$AJ$2:$AJ$167,TRUE))*economics!$AM$2:$AM$167))/(SUMPRODUCT((economics!$AG$2:$AG$167=$B47)*(economics!$D$2:$D$167="process")*economics!$AH$2:$AH$167*(_xlfn.NORM.DIST(BZ$3,economics!$AK$2:$AK$167,economics!$AJ$2:$AJ$167,TRUE)-_xlfn.NORM.DIST(BZ$30,economics!$AK$2:$AK$167,economics!$AJ$2:$AJ$167,TRUE)))),"")</f>
        <v/>
      </c>
      <c r="CA47">
        <f t="array" ref="CA47">IFERROR((SUMPRODUCT((economics!$AG$2:$AG$167=$B47)*(economics!$D$2:$D$167="process")*economics!$AH$2:$AH$167*(_xlfn.NORM.DIST(CA$3,economics!$AK$2:$AK$167,economics!$AJ$2:$AJ$167,TRUE)-_xlfn.NORM.DIST(CA$30,economics!$AK$2:$AK$167,economics!$AJ$2:$AJ$167,TRUE))*economics!$AM$2:$AM$167))/(SUMPRODUCT((economics!$AG$2:$AG$167=$B47)*(economics!$D$2:$D$167="process")*economics!$AH$2:$AH$167*(_xlfn.NORM.DIST(CA$3,economics!$AK$2:$AK$167,economics!$AJ$2:$AJ$167,TRUE)-_xlfn.NORM.DIST(CA$30,economics!$AK$2:$AK$167,economics!$AJ$2:$AJ$167,TRUE)))),"")</f>
        <v/>
      </c>
      <c r="CB47">
        <f t="array" ref="CB47">IFERROR((SUMPRODUCT((economics!$AG$2:$AG$167=$B47)*(economics!$D$2:$D$167="process")*economics!$AH$2:$AH$167*(_xlfn.NORM.DIST(CB$3,economics!$AK$2:$AK$167,economics!$AJ$2:$AJ$167,TRUE)-_xlfn.NORM.DIST(CB$30,economics!$AK$2:$AK$167,economics!$AJ$2:$AJ$167,TRUE))*economics!$AM$2:$AM$167))/(SUMPRODUCT((economics!$AG$2:$AG$167=$B47)*(economics!$D$2:$D$167="process")*economics!$AH$2:$AH$167*(_xlfn.NORM.DIST(CB$3,economics!$AK$2:$AK$167,economics!$AJ$2:$AJ$167,TRUE)-_xlfn.NORM.DIST(CB$30,economics!$AK$2:$AK$167,economics!$AJ$2:$AJ$167,TRUE)))),"")</f>
        <v/>
      </c>
      <c r="CC47">
        <f t="array" ref="CC47">IFERROR((SUMPRODUCT((economics!$AG$2:$AG$167=$B47)*(economics!$D$2:$D$167="process")*economics!$AH$2:$AH$167*(_xlfn.NORM.DIST(CC$3,economics!$AK$2:$AK$167,economics!$AJ$2:$AJ$167,TRUE)-_xlfn.NORM.DIST(CC$30,economics!$AK$2:$AK$167,economics!$AJ$2:$AJ$167,TRUE))*economics!$AM$2:$AM$167))/(SUMPRODUCT((economics!$AG$2:$AG$167=$B47)*(economics!$D$2:$D$167="process")*economics!$AH$2:$AH$167*(_xlfn.NORM.DIST(CC$3,economics!$AK$2:$AK$167,economics!$AJ$2:$AJ$167,TRUE)-_xlfn.NORM.DIST(CC$30,economics!$AK$2:$AK$167,economics!$AJ$2:$AJ$167,TRUE)))),"")</f>
        <v/>
      </c>
      <c r="CD47">
        <f t="array" ref="CD47">IFERROR((SUMPRODUCT((economics!$AG$2:$AG$167=$B47)*(economics!$D$2:$D$167="process")*economics!$AH$2:$AH$167*(_xlfn.NORM.DIST(CD$3,economics!$AK$2:$AK$167,economics!$AJ$2:$AJ$167,TRUE)-_xlfn.NORM.DIST(CD$30,economics!$AK$2:$AK$167,economics!$AJ$2:$AJ$167,TRUE))*economics!$AM$2:$AM$167))/(SUMPRODUCT((economics!$AG$2:$AG$167=$B47)*(economics!$D$2:$D$167="process")*economics!$AH$2:$AH$167*(_xlfn.NORM.DIST(CD$3,economics!$AK$2:$AK$167,economics!$AJ$2:$AJ$167,TRUE)-_xlfn.NORM.DIST(CD$30,economics!$AK$2:$AK$167,economics!$AJ$2:$AJ$167,TRUE)))),"")</f>
        <v/>
      </c>
      <c r="CE47">
        <f t="array" ref="CE47">IFERROR((SUMPRODUCT((economics!$AG$2:$AG$167=$B47)*(economics!$D$2:$D$167="process")*economics!$AH$2:$AH$167*(_xlfn.NORM.DIST(CE$3,economics!$AK$2:$AK$167,economics!$AJ$2:$AJ$167,TRUE)-_xlfn.NORM.DIST(CE$30,economics!$AK$2:$AK$167,economics!$AJ$2:$AJ$167,TRUE))*economics!$AM$2:$AM$167))/(SUMPRODUCT((economics!$AG$2:$AG$167=$B47)*(economics!$D$2:$D$167="process")*economics!$AH$2:$AH$167*(_xlfn.NORM.DIST(CE$3,economics!$AK$2:$AK$167,economics!$AJ$2:$AJ$167,TRUE)-_xlfn.NORM.DIST(CE$30,economics!$AK$2:$AK$167,economics!$AJ$2:$AJ$167,TRUE)))),"")</f>
        <v/>
      </c>
      <c r="CF47">
        <f t="array" ref="CF47">IFERROR((SUMPRODUCT((economics!$AG$2:$AG$167=$B47)*(economics!$D$2:$D$167="process")*economics!$AH$2:$AH$167*(_xlfn.NORM.DIST(CF$3,economics!$AK$2:$AK$167,economics!$AJ$2:$AJ$167,TRUE)-_xlfn.NORM.DIST(CF$30,economics!$AK$2:$AK$167,economics!$AJ$2:$AJ$167,TRUE))*economics!$AM$2:$AM$167))/(SUMPRODUCT((economics!$AG$2:$AG$167=$B47)*(economics!$D$2:$D$167="process")*economics!$AH$2:$AH$167*(_xlfn.NORM.DIST(CF$3,economics!$AK$2:$AK$167,economics!$AJ$2:$AJ$167,TRUE)-_xlfn.NORM.DIST(CF$30,economics!$AK$2:$AK$167,economics!$AJ$2:$AJ$167,TRUE)))),"")</f>
        <v/>
      </c>
      <c r="CG47">
        <f t="array" ref="CG47">IFERROR((SUMPRODUCT((economics!$AG$2:$AG$167=$B47)*(economics!$D$2:$D$167="process")*economics!$AH$2:$AH$167*(_xlfn.NORM.DIST(CG$3,economics!$AK$2:$AK$167,economics!$AJ$2:$AJ$167,TRUE)-_xlfn.NORM.DIST(CG$30,economics!$AK$2:$AK$167,economics!$AJ$2:$AJ$167,TRUE))*economics!$AM$2:$AM$167))/(SUMPRODUCT((economics!$AG$2:$AG$167=$B47)*(economics!$D$2:$D$167="process")*economics!$AH$2:$AH$167*(_xlfn.NORM.DIST(CG$3,economics!$AK$2:$AK$167,economics!$AJ$2:$AJ$167,TRUE)-_xlfn.NORM.DIST(CG$30,economics!$AK$2:$AK$167,economics!$AJ$2:$AJ$167,TRUE)))),"")</f>
        <v/>
      </c>
      <c r="CH47">
        <f t="array" ref="CH47">IFERROR((SUMPRODUCT((economics!$AG$2:$AG$167=$B47)*(economics!$D$2:$D$167="process")*economics!$AH$2:$AH$167*(_xlfn.NORM.DIST(CH$3,economics!$AK$2:$AK$167,economics!$AJ$2:$AJ$167,TRUE)-_xlfn.NORM.DIST(CH$30,economics!$AK$2:$AK$167,economics!$AJ$2:$AJ$167,TRUE))*economics!$AM$2:$AM$167))/(SUMPRODUCT((economics!$AG$2:$AG$167=$B47)*(economics!$D$2:$D$167="process")*economics!$AH$2:$AH$167*(_xlfn.NORM.DIST(CH$3,economics!$AK$2:$AK$167,economics!$AJ$2:$AJ$167,TRUE)-_xlfn.NORM.DIST(CH$30,economics!$AK$2:$AK$167,economics!$AJ$2:$AJ$167,TRUE)))),"")</f>
        <v/>
      </c>
    </row>
    <row r="48">
      <c r="A48">
        <f>A19</f>
        <v/>
      </c>
      <c r="B48">
        <f>B19</f>
        <v/>
      </c>
      <c r="E48">
        <f t="array" ref="E48">IFERROR((SUMPRODUCT((economics!$AG$2:$AG$167=$B48)*(economics!$D$2:$D$167="process")*economics!$AH$2:$AH$167*(_xlfn.NORM.DIST(E$3,economics!$AK$2:$AK$167,economics!$AJ$2:$AJ$167,TRUE)-_xlfn.NORM.DIST(E$30,economics!$AK$2:$AK$167,economics!$AJ$2:$AJ$167,TRUE))*economics!$AM$2:$AM$167))/(SUMPRODUCT((economics!$AG$2:$AG$167=$B48)*(economics!$D$2:$D$167="process")*economics!$AH$2:$AH$167*(_xlfn.NORM.DIST(E$3,economics!$AK$2:$AK$167,economics!$AJ$2:$AJ$167,TRUE)-_xlfn.NORM.DIST(E$30,economics!$AK$2:$AK$167,economics!$AJ$2:$AJ$167,TRUE)))),"")</f>
        <v/>
      </c>
      <c r="F48">
        <f t="array" ref="F48">IFERROR((SUMPRODUCT((economics!$AG$2:$AG$167=$B48)*(economics!$D$2:$D$167="process")*economics!$AH$2:$AH$167*(_xlfn.NORM.DIST(F$3,economics!$AK$2:$AK$167,economics!$AJ$2:$AJ$167,TRUE)-_xlfn.NORM.DIST(F$30,economics!$AK$2:$AK$167,economics!$AJ$2:$AJ$167,TRUE))*economics!$AM$2:$AM$167))/(SUMPRODUCT((economics!$AG$2:$AG$167=$B48)*(economics!$D$2:$D$167="process")*economics!$AH$2:$AH$167*(_xlfn.NORM.DIST(F$3,economics!$AK$2:$AK$167,economics!$AJ$2:$AJ$167,TRUE)-_xlfn.NORM.DIST(F$30,economics!$AK$2:$AK$167,economics!$AJ$2:$AJ$167,TRUE)))),"")</f>
        <v/>
      </c>
      <c r="G48">
        <f t="array" ref="G48">IFERROR((SUMPRODUCT((economics!$AG$2:$AG$167=$B48)*(economics!$D$2:$D$167="process")*economics!$AH$2:$AH$167*(_xlfn.NORM.DIST(G$3,economics!$AK$2:$AK$167,economics!$AJ$2:$AJ$167,TRUE)-_xlfn.NORM.DIST(G$30,economics!$AK$2:$AK$167,economics!$AJ$2:$AJ$167,TRUE))*economics!$AM$2:$AM$167))/(SUMPRODUCT((economics!$AG$2:$AG$167=$B48)*(economics!$D$2:$D$167="process")*economics!$AH$2:$AH$167*(_xlfn.NORM.DIST(G$3,economics!$AK$2:$AK$167,economics!$AJ$2:$AJ$167,TRUE)-_xlfn.NORM.DIST(G$30,economics!$AK$2:$AK$167,economics!$AJ$2:$AJ$167,TRUE)))),"")</f>
        <v/>
      </c>
      <c r="H48">
        <f t="array" ref="H48">IFERROR((SUMPRODUCT((economics!$AG$2:$AG$167=$B48)*(economics!$D$2:$D$167="process")*economics!$AH$2:$AH$167*(_xlfn.NORM.DIST(H$3,economics!$AK$2:$AK$167,economics!$AJ$2:$AJ$167,TRUE)-_xlfn.NORM.DIST(H$30,economics!$AK$2:$AK$167,economics!$AJ$2:$AJ$167,TRUE))*economics!$AM$2:$AM$167))/(SUMPRODUCT((economics!$AG$2:$AG$167=$B48)*(economics!$D$2:$D$167="process")*economics!$AH$2:$AH$167*(_xlfn.NORM.DIST(H$3,economics!$AK$2:$AK$167,economics!$AJ$2:$AJ$167,TRUE)-_xlfn.NORM.DIST(H$30,economics!$AK$2:$AK$167,economics!$AJ$2:$AJ$167,TRUE)))),"")</f>
        <v/>
      </c>
      <c r="I48">
        <f t="array" ref="I48">IFERROR((SUMPRODUCT((economics!$AG$2:$AG$167=$B48)*(economics!$D$2:$D$167="process")*economics!$AH$2:$AH$167*(_xlfn.NORM.DIST(I$3,economics!$AK$2:$AK$167,economics!$AJ$2:$AJ$167,TRUE)-_xlfn.NORM.DIST(I$30,economics!$AK$2:$AK$167,economics!$AJ$2:$AJ$167,TRUE))*economics!$AM$2:$AM$167))/(SUMPRODUCT((economics!$AG$2:$AG$167=$B48)*(economics!$D$2:$D$167="process")*economics!$AH$2:$AH$167*(_xlfn.NORM.DIST(I$3,economics!$AK$2:$AK$167,economics!$AJ$2:$AJ$167,TRUE)-_xlfn.NORM.DIST(I$30,economics!$AK$2:$AK$167,economics!$AJ$2:$AJ$167,TRUE)))),"")</f>
        <v/>
      </c>
      <c r="J48">
        <f t="array" ref="J48">IFERROR((SUMPRODUCT((economics!$AG$2:$AG$167=$B48)*(economics!$D$2:$D$167="process")*economics!$AH$2:$AH$167*(_xlfn.NORM.DIST(J$3,economics!$AK$2:$AK$167,economics!$AJ$2:$AJ$167,TRUE)-_xlfn.NORM.DIST(J$30,economics!$AK$2:$AK$167,economics!$AJ$2:$AJ$167,TRUE))*economics!$AM$2:$AM$167))/(SUMPRODUCT((economics!$AG$2:$AG$167=$B48)*(economics!$D$2:$D$167="process")*economics!$AH$2:$AH$167*(_xlfn.NORM.DIST(J$3,economics!$AK$2:$AK$167,economics!$AJ$2:$AJ$167,TRUE)-_xlfn.NORM.DIST(J$30,economics!$AK$2:$AK$167,economics!$AJ$2:$AJ$167,TRUE)))),"")</f>
        <v/>
      </c>
      <c r="K48">
        <f t="array" ref="K48">IFERROR((SUMPRODUCT((economics!$AG$2:$AG$167=$B48)*(economics!$D$2:$D$167="process")*economics!$AH$2:$AH$167*(_xlfn.NORM.DIST(K$3,economics!$AK$2:$AK$167,economics!$AJ$2:$AJ$167,TRUE)-_xlfn.NORM.DIST(K$30,economics!$AK$2:$AK$167,economics!$AJ$2:$AJ$167,TRUE))*economics!$AM$2:$AM$167))/(SUMPRODUCT((economics!$AG$2:$AG$167=$B48)*(economics!$D$2:$D$167="process")*economics!$AH$2:$AH$167*(_xlfn.NORM.DIST(K$3,economics!$AK$2:$AK$167,economics!$AJ$2:$AJ$167,TRUE)-_xlfn.NORM.DIST(K$30,economics!$AK$2:$AK$167,economics!$AJ$2:$AJ$167,TRUE)))),"")</f>
        <v/>
      </c>
      <c r="L48">
        <f t="array" ref="L48">IFERROR((SUMPRODUCT((economics!$AG$2:$AG$167=$B48)*(economics!$D$2:$D$167="process")*economics!$AH$2:$AH$167*(_xlfn.NORM.DIST(L$3,economics!$AK$2:$AK$167,economics!$AJ$2:$AJ$167,TRUE)-_xlfn.NORM.DIST(L$30,economics!$AK$2:$AK$167,economics!$AJ$2:$AJ$167,TRUE))*economics!$AM$2:$AM$167))/(SUMPRODUCT((economics!$AG$2:$AG$167=$B48)*(economics!$D$2:$D$167="process")*economics!$AH$2:$AH$167*(_xlfn.NORM.DIST(L$3,economics!$AK$2:$AK$167,economics!$AJ$2:$AJ$167,TRUE)-_xlfn.NORM.DIST(L$30,economics!$AK$2:$AK$167,economics!$AJ$2:$AJ$167,TRUE)))),"")</f>
        <v/>
      </c>
      <c r="M48">
        <f t="array" ref="M48">IFERROR((SUMPRODUCT((economics!$AG$2:$AG$167=$B48)*(economics!$D$2:$D$167="process")*economics!$AH$2:$AH$167*(_xlfn.NORM.DIST(M$3,economics!$AK$2:$AK$167,economics!$AJ$2:$AJ$167,TRUE)-_xlfn.NORM.DIST(M$30,economics!$AK$2:$AK$167,economics!$AJ$2:$AJ$167,TRUE))*economics!$AM$2:$AM$167))/(SUMPRODUCT((economics!$AG$2:$AG$167=$B48)*(economics!$D$2:$D$167="process")*economics!$AH$2:$AH$167*(_xlfn.NORM.DIST(M$3,economics!$AK$2:$AK$167,economics!$AJ$2:$AJ$167,TRUE)-_xlfn.NORM.DIST(M$30,economics!$AK$2:$AK$167,economics!$AJ$2:$AJ$167,TRUE)))),"")</f>
        <v/>
      </c>
      <c r="N48">
        <f t="array" ref="N48">IFERROR((SUMPRODUCT((economics!$AG$2:$AG$167=$B48)*(economics!$D$2:$D$167="process")*economics!$AH$2:$AH$167*(_xlfn.NORM.DIST(N$3,economics!$AK$2:$AK$167,economics!$AJ$2:$AJ$167,TRUE)-_xlfn.NORM.DIST(N$30,economics!$AK$2:$AK$167,economics!$AJ$2:$AJ$167,TRUE))*economics!$AM$2:$AM$167))/(SUMPRODUCT((economics!$AG$2:$AG$167=$B48)*(economics!$D$2:$D$167="process")*economics!$AH$2:$AH$167*(_xlfn.NORM.DIST(N$3,economics!$AK$2:$AK$167,economics!$AJ$2:$AJ$167,TRUE)-_xlfn.NORM.DIST(N$30,economics!$AK$2:$AK$167,economics!$AJ$2:$AJ$167,TRUE)))),"")</f>
        <v/>
      </c>
      <c r="O48">
        <f t="array" ref="O48">IFERROR((SUMPRODUCT((economics!$AG$2:$AG$167=$B48)*(economics!$D$2:$D$167="process")*economics!$AH$2:$AH$167*(_xlfn.NORM.DIST(O$3,economics!$AK$2:$AK$167,economics!$AJ$2:$AJ$167,TRUE)-_xlfn.NORM.DIST(O$30,economics!$AK$2:$AK$167,economics!$AJ$2:$AJ$167,TRUE))*economics!$AM$2:$AM$167))/(SUMPRODUCT((economics!$AG$2:$AG$167=$B48)*(economics!$D$2:$D$167="process")*economics!$AH$2:$AH$167*(_xlfn.NORM.DIST(O$3,economics!$AK$2:$AK$167,economics!$AJ$2:$AJ$167,TRUE)-_xlfn.NORM.DIST(O$30,economics!$AK$2:$AK$167,economics!$AJ$2:$AJ$167,TRUE)))),"")</f>
        <v/>
      </c>
      <c r="P48">
        <f t="array" ref="P48">IFERROR((SUMPRODUCT((economics!$AG$2:$AG$167=$B48)*(economics!$D$2:$D$167="process")*economics!$AH$2:$AH$167*(_xlfn.NORM.DIST(P$3,economics!$AK$2:$AK$167,economics!$AJ$2:$AJ$167,TRUE)-_xlfn.NORM.DIST(P$30,economics!$AK$2:$AK$167,economics!$AJ$2:$AJ$167,TRUE))*economics!$AM$2:$AM$167))/(SUMPRODUCT((economics!$AG$2:$AG$167=$B48)*(economics!$D$2:$D$167="process")*economics!$AH$2:$AH$167*(_xlfn.NORM.DIST(P$3,economics!$AK$2:$AK$167,economics!$AJ$2:$AJ$167,TRUE)-_xlfn.NORM.DIST(P$30,economics!$AK$2:$AK$167,economics!$AJ$2:$AJ$167,TRUE)))),"")</f>
        <v/>
      </c>
      <c r="Q48">
        <f t="array" ref="Q48">IFERROR((SUMPRODUCT((economics!$AG$2:$AG$167=$B48)*(economics!$D$2:$D$167="process")*economics!$AH$2:$AH$167*(_xlfn.NORM.DIST(Q$3,economics!$AK$2:$AK$167,economics!$AJ$2:$AJ$167,TRUE)-_xlfn.NORM.DIST(Q$30,economics!$AK$2:$AK$167,economics!$AJ$2:$AJ$167,TRUE))*economics!$AM$2:$AM$167))/(SUMPRODUCT((economics!$AG$2:$AG$167=$B48)*(economics!$D$2:$D$167="process")*economics!$AH$2:$AH$167*(_xlfn.NORM.DIST(Q$3,economics!$AK$2:$AK$167,economics!$AJ$2:$AJ$167,TRUE)-_xlfn.NORM.DIST(Q$30,economics!$AK$2:$AK$167,economics!$AJ$2:$AJ$167,TRUE)))),"")</f>
        <v/>
      </c>
      <c r="R48">
        <f t="array" ref="R48">IFERROR((SUMPRODUCT((economics!$AG$2:$AG$167=$B48)*(economics!$D$2:$D$167="process")*economics!$AH$2:$AH$167*(_xlfn.NORM.DIST(R$3,economics!$AK$2:$AK$167,economics!$AJ$2:$AJ$167,TRUE)-_xlfn.NORM.DIST(R$30,economics!$AK$2:$AK$167,economics!$AJ$2:$AJ$167,TRUE))*economics!$AM$2:$AM$167))/(SUMPRODUCT((economics!$AG$2:$AG$167=$B48)*(economics!$D$2:$D$167="process")*economics!$AH$2:$AH$167*(_xlfn.NORM.DIST(R$3,economics!$AK$2:$AK$167,economics!$AJ$2:$AJ$167,TRUE)-_xlfn.NORM.DIST(R$30,economics!$AK$2:$AK$167,economics!$AJ$2:$AJ$167,TRUE)))),"")</f>
        <v/>
      </c>
      <c r="S48">
        <f t="array" ref="S48">IFERROR((SUMPRODUCT((economics!$AG$2:$AG$167=$B48)*(economics!$D$2:$D$167="process")*economics!$AH$2:$AH$167*(_xlfn.NORM.DIST(S$3,economics!$AK$2:$AK$167,economics!$AJ$2:$AJ$167,TRUE)-_xlfn.NORM.DIST(S$30,economics!$AK$2:$AK$167,economics!$AJ$2:$AJ$167,TRUE))*economics!$AM$2:$AM$167))/(SUMPRODUCT((economics!$AG$2:$AG$167=$B48)*(economics!$D$2:$D$167="process")*economics!$AH$2:$AH$167*(_xlfn.NORM.DIST(S$3,economics!$AK$2:$AK$167,economics!$AJ$2:$AJ$167,TRUE)-_xlfn.NORM.DIST(S$30,economics!$AK$2:$AK$167,economics!$AJ$2:$AJ$167,TRUE)))),"")</f>
        <v/>
      </c>
      <c r="T48">
        <f t="array" ref="T48">IFERROR((SUMPRODUCT((economics!$AG$2:$AG$167=$B48)*(economics!$D$2:$D$167="process")*economics!$AH$2:$AH$167*(_xlfn.NORM.DIST(T$3,economics!$AK$2:$AK$167,economics!$AJ$2:$AJ$167,TRUE)-_xlfn.NORM.DIST(T$30,economics!$AK$2:$AK$167,economics!$AJ$2:$AJ$167,TRUE))*economics!$AM$2:$AM$167))/(SUMPRODUCT((economics!$AG$2:$AG$167=$B48)*(economics!$D$2:$D$167="process")*economics!$AH$2:$AH$167*(_xlfn.NORM.DIST(T$3,economics!$AK$2:$AK$167,economics!$AJ$2:$AJ$167,TRUE)-_xlfn.NORM.DIST(T$30,economics!$AK$2:$AK$167,economics!$AJ$2:$AJ$167,TRUE)))),"")</f>
        <v/>
      </c>
      <c r="U48">
        <f t="array" ref="U48">IFERROR((SUMPRODUCT((economics!$AG$2:$AG$167=$B48)*(economics!$D$2:$D$167="process")*economics!$AH$2:$AH$167*(_xlfn.NORM.DIST(U$3,economics!$AK$2:$AK$167,economics!$AJ$2:$AJ$167,TRUE)-_xlfn.NORM.DIST(U$30,economics!$AK$2:$AK$167,economics!$AJ$2:$AJ$167,TRUE))*economics!$AM$2:$AM$167))/(SUMPRODUCT((economics!$AG$2:$AG$167=$B48)*(economics!$D$2:$D$167="process")*economics!$AH$2:$AH$167*(_xlfn.NORM.DIST(U$3,economics!$AK$2:$AK$167,economics!$AJ$2:$AJ$167,TRUE)-_xlfn.NORM.DIST(U$30,economics!$AK$2:$AK$167,economics!$AJ$2:$AJ$167,TRUE)))),"")</f>
        <v/>
      </c>
      <c r="V48">
        <f t="array" ref="V48">IFERROR((SUMPRODUCT((economics!$AG$2:$AG$167=$B48)*(economics!$D$2:$D$167="process")*economics!$AH$2:$AH$167*(_xlfn.NORM.DIST(V$3,economics!$AK$2:$AK$167,economics!$AJ$2:$AJ$167,TRUE)-_xlfn.NORM.DIST(V$30,economics!$AK$2:$AK$167,economics!$AJ$2:$AJ$167,TRUE))*economics!$AM$2:$AM$167))/(SUMPRODUCT((economics!$AG$2:$AG$167=$B48)*(economics!$D$2:$D$167="process")*economics!$AH$2:$AH$167*(_xlfn.NORM.DIST(V$3,economics!$AK$2:$AK$167,economics!$AJ$2:$AJ$167,TRUE)-_xlfn.NORM.DIST(V$30,economics!$AK$2:$AK$167,economics!$AJ$2:$AJ$167,TRUE)))),"")</f>
        <v/>
      </c>
      <c r="W48">
        <f t="array" ref="W48">IFERROR((SUMPRODUCT((economics!$AG$2:$AG$167=$B48)*(economics!$D$2:$D$167="process")*economics!$AH$2:$AH$167*(_xlfn.NORM.DIST(W$3,economics!$AK$2:$AK$167,economics!$AJ$2:$AJ$167,TRUE)-_xlfn.NORM.DIST(W$30,economics!$AK$2:$AK$167,economics!$AJ$2:$AJ$167,TRUE))*economics!$AM$2:$AM$167))/(SUMPRODUCT((economics!$AG$2:$AG$167=$B48)*(economics!$D$2:$D$167="process")*economics!$AH$2:$AH$167*(_xlfn.NORM.DIST(W$3,economics!$AK$2:$AK$167,economics!$AJ$2:$AJ$167,TRUE)-_xlfn.NORM.DIST(W$30,economics!$AK$2:$AK$167,economics!$AJ$2:$AJ$167,TRUE)))),"")</f>
        <v/>
      </c>
      <c r="X48">
        <f t="array" ref="X48">IFERROR((SUMPRODUCT((economics!$AG$2:$AG$167=$B48)*(economics!$D$2:$D$167="process")*economics!$AH$2:$AH$167*(_xlfn.NORM.DIST(X$3,economics!$AK$2:$AK$167,economics!$AJ$2:$AJ$167,TRUE)-_xlfn.NORM.DIST(X$30,economics!$AK$2:$AK$167,economics!$AJ$2:$AJ$167,TRUE))*economics!$AM$2:$AM$167))/(SUMPRODUCT((economics!$AG$2:$AG$167=$B48)*(economics!$D$2:$D$167="process")*economics!$AH$2:$AH$167*(_xlfn.NORM.DIST(X$3,economics!$AK$2:$AK$167,economics!$AJ$2:$AJ$167,TRUE)-_xlfn.NORM.DIST(X$30,economics!$AK$2:$AK$167,economics!$AJ$2:$AJ$167,TRUE)))),"")</f>
        <v/>
      </c>
      <c r="Y48">
        <f t="array" ref="Y48">IFERROR((SUMPRODUCT((economics!$AG$2:$AG$167=$B48)*(economics!$D$2:$D$167="process")*economics!$AH$2:$AH$167*(_xlfn.NORM.DIST(Y$3,economics!$AK$2:$AK$167,economics!$AJ$2:$AJ$167,TRUE)-_xlfn.NORM.DIST(Y$30,economics!$AK$2:$AK$167,economics!$AJ$2:$AJ$167,TRUE))*economics!$AM$2:$AM$167))/(SUMPRODUCT((economics!$AG$2:$AG$167=$B48)*(economics!$D$2:$D$167="process")*economics!$AH$2:$AH$167*(_xlfn.NORM.DIST(Y$3,economics!$AK$2:$AK$167,economics!$AJ$2:$AJ$167,TRUE)-_xlfn.NORM.DIST(Y$30,economics!$AK$2:$AK$167,economics!$AJ$2:$AJ$167,TRUE)))),"")</f>
        <v/>
      </c>
      <c r="Z48">
        <f t="array" ref="Z48">IFERROR((SUMPRODUCT((economics!$AG$2:$AG$167=$B48)*(economics!$D$2:$D$167="process")*economics!$AH$2:$AH$167*(_xlfn.NORM.DIST(Z$3,economics!$AK$2:$AK$167,economics!$AJ$2:$AJ$167,TRUE)-_xlfn.NORM.DIST(Z$30,economics!$AK$2:$AK$167,economics!$AJ$2:$AJ$167,TRUE))*economics!$AM$2:$AM$167))/(SUMPRODUCT((economics!$AG$2:$AG$167=$B48)*(economics!$D$2:$D$167="process")*economics!$AH$2:$AH$167*(_xlfn.NORM.DIST(Z$3,economics!$AK$2:$AK$167,economics!$AJ$2:$AJ$167,TRUE)-_xlfn.NORM.DIST(Z$30,economics!$AK$2:$AK$167,economics!$AJ$2:$AJ$167,TRUE)))),"")</f>
        <v/>
      </c>
      <c r="AA48">
        <f t="array" ref="AA48">IFERROR((SUMPRODUCT((economics!$AG$2:$AG$167=$B48)*(economics!$D$2:$D$167="process")*economics!$AH$2:$AH$167*(_xlfn.NORM.DIST(AA$3,economics!$AK$2:$AK$167,economics!$AJ$2:$AJ$167,TRUE)-_xlfn.NORM.DIST(AA$30,economics!$AK$2:$AK$167,economics!$AJ$2:$AJ$167,TRUE))*economics!$AM$2:$AM$167))/(SUMPRODUCT((economics!$AG$2:$AG$167=$B48)*(economics!$D$2:$D$167="process")*economics!$AH$2:$AH$167*(_xlfn.NORM.DIST(AA$3,economics!$AK$2:$AK$167,economics!$AJ$2:$AJ$167,TRUE)-_xlfn.NORM.DIST(AA$30,economics!$AK$2:$AK$167,economics!$AJ$2:$AJ$167,TRUE)))),"")</f>
        <v/>
      </c>
      <c r="AB48">
        <f t="array" ref="AB48">IFERROR((SUMPRODUCT((economics!$AG$2:$AG$167=$B48)*(economics!$D$2:$D$167="process")*economics!$AH$2:$AH$167*(_xlfn.NORM.DIST(AB$3,economics!$AK$2:$AK$167,economics!$AJ$2:$AJ$167,TRUE)-_xlfn.NORM.DIST(AB$30,economics!$AK$2:$AK$167,economics!$AJ$2:$AJ$167,TRUE))*economics!$AM$2:$AM$167))/(SUMPRODUCT((economics!$AG$2:$AG$167=$B48)*(economics!$D$2:$D$167="process")*economics!$AH$2:$AH$167*(_xlfn.NORM.DIST(AB$3,economics!$AK$2:$AK$167,economics!$AJ$2:$AJ$167,TRUE)-_xlfn.NORM.DIST(AB$30,economics!$AK$2:$AK$167,economics!$AJ$2:$AJ$167,TRUE)))),"")</f>
        <v/>
      </c>
      <c r="AC48">
        <f t="array" ref="AC48">IFERROR((SUMPRODUCT((economics!$AG$2:$AG$167=$B48)*(economics!$D$2:$D$167="process")*economics!$AH$2:$AH$167*(_xlfn.NORM.DIST(AC$3,economics!$AK$2:$AK$167,economics!$AJ$2:$AJ$167,TRUE)-_xlfn.NORM.DIST(AC$30,economics!$AK$2:$AK$167,economics!$AJ$2:$AJ$167,TRUE))*economics!$AM$2:$AM$167))/(SUMPRODUCT((economics!$AG$2:$AG$167=$B48)*(economics!$D$2:$D$167="process")*economics!$AH$2:$AH$167*(_xlfn.NORM.DIST(AC$3,economics!$AK$2:$AK$167,economics!$AJ$2:$AJ$167,TRUE)-_xlfn.NORM.DIST(AC$30,economics!$AK$2:$AK$167,economics!$AJ$2:$AJ$167,TRUE)))),"")</f>
        <v/>
      </c>
      <c r="AD48">
        <f t="array" ref="AD48">IFERROR((SUMPRODUCT((economics!$AG$2:$AG$167=$B48)*(economics!$D$2:$D$167="process")*economics!$AH$2:$AH$167*(_xlfn.NORM.DIST(AD$3,economics!$AK$2:$AK$167,economics!$AJ$2:$AJ$167,TRUE)-_xlfn.NORM.DIST(AD$30,economics!$AK$2:$AK$167,economics!$AJ$2:$AJ$167,TRUE))*economics!$AM$2:$AM$167))/(SUMPRODUCT((economics!$AG$2:$AG$167=$B48)*(economics!$D$2:$D$167="process")*economics!$AH$2:$AH$167*(_xlfn.NORM.DIST(AD$3,economics!$AK$2:$AK$167,economics!$AJ$2:$AJ$167,TRUE)-_xlfn.NORM.DIST(AD$30,economics!$AK$2:$AK$167,economics!$AJ$2:$AJ$167,TRUE)))),"")</f>
        <v/>
      </c>
      <c r="AE48">
        <f t="array" ref="AE48">IFERROR((SUMPRODUCT((economics!$AG$2:$AG$167=$B48)*(economics!$D$2:$D$167="process")*economics!$AH$2:$AH$167*(_xlfn.NORM.DIST(AE$3,economics!$AK$2:$AK$167,economics!$AJ$2:$AJ$167,TRUE)-_xlfn.NORM.DIST(AE$30,economics!$AK$2:$AK$167,economics!$AJ$2:$AJ$167,TRUE))*economics!$AM$2:$AM$167))/(SUMPRODUCT((economics!$AG$2:$AG$167=$B48)*(economics!$D$2:$D$167="process")*economics!$AH$2:$AH$167*(_xlfn.NORM.DIST(AE$3,economics!$AK$2:$AK$167,economics!$AJ$2:$AJ$167,TRUE)-_xlfn.NORM.DIST(AE$30,economics!$AK$2:$AK$167,economics!$AJ$2:$AJ$167,TRUE)))),"")</f>
        <v/>
      </c>
      <c r="AF48">
        <f t="array" ref="AF48">IFERROR((SUMPRODUCT((economics!$AG$2:$AG$167=$B48)*(economics!$D$2:$D$167="process")*economics!$AH$2:$AH$167*(_xlfn.NORM.DIST(AF$3,economics!$AK$2:$AK$167,economics!$AJ$2:$AJ$167,TRUE)-_xlfn.NORM.DIST(AF$30,economics!$AK$2:$AK$167,economics!$AJ$2:$AJ$167,TRUE))*economics!$AM$2:$AM$167))/(SUMPRODUCT((economics!$AG$2:$AG$167=$B48)*(economics!$D$2:$D$167="process")*economics!$AH$2:$AH$167*(_xlfn.NORM.DIST(AF$3,economics!$AK$2:$AK$167,economics!$AJ$2:$AJ$167,TRUE)-_xlfn.NORM.DIST(AF$30,economics!$AK$2:$AK$167,economics!$AJ$2:$AJ$167,TRUE)))),"")</f>
        <v/>
      </c>
      <c r="AG48">
        <f t="array" ref="AG48">IFERROR((SUMPRODUCT((economics!$AG$2:$AG$167=$B48)*(economics!$D$2:$D$167="process")*economics!$AH$2:$AH$167*(_xlfn.NORM.DIST(AG$3,economics!$AK$2:$AK$167,economics!$AJ$2:$AJ$167,TRUE)-_xlfn.NORM.DIST(AG$30,economics!$AK$2:$AK$167,economics!$AJ$2:$AJ$167,TRUE))*economics!$AM$2:$AM$167))/(SUMPRODUCT((economics!$AG$2:$AG$167=$B48)*(economics!$D$2:$D$167="process")*economics!$AH$2:$AH$167*(_xlfn.NORM.DIST(AG$3,economics!$AK$2:$AK$167,economics!$AJ$2:$AJ$167,TRUE)-_xlfn.NORM.DIST(AG$30,economics!$AK$2:$AK$167,economics!$AJ$2:$AJ$167,TRUE)))),"")</f>
        <v/>
      </c>
      <c r="AH48">
        <f t="array" ref="AH48">IFERROR((SUMPRODUCT((economics!$AG$2:$AG$167=$B48)*(economics!$D$2:$D$167="process")*economics!$AH$2:$AH$167*(_xlfn.NORM.DIST(AH$3,economics!$AK$2:$AK$167,economics!$AJ$2:$AJ$167,TRUE)-_xlfn.NORM.DIST(AH$30,economics!$AK$2:$AK$167,economics!$AJ$2:$AJ$167,TRUE))*economics!$AM$2:$AM$167))/(SUMPRODUCT((economics!$AG$2:$AG$167=$B48)*(economics!$D$2:$D$167="process")*economics!$AH$2:$AH$167*(_xlfn.NORM.DIST(AH$3,economics!$AK$2:$AK$167,economics!$AJ$2:$AJ$167,TRUE)-_xlfn.NORM.DIST(AH$30,economics!$AK$2:$AK$167,economics!$AJ$2:$AJ$167,TRUE)))),"")</f>
        <v/>
      </c>
      <c r="AI48">
        <f t="array" ref="AI48">IFERROR((SUMPRODUCT((economics!$AG$2:$AG$167=$B48)*(economics!$D$2:$D$167="process")*economics!$AH$2:$AH$167*(_xlfn.NORM.DIST(AI$3,economics!$AK$2:$AK$167,economics!$AJ$2:$AJ$167,TRUE)-_xlfn.NORM.DIST(AI$30,economics!$AK$2:$AK$167,economics!$AJ$2:$AJ$167,TRUE))*economics!$AM$2:$AM$167))/(SUMPRODUCT((economics!$AG$2:$AG$167=$B48)*(economics!$D$2:$D$167="process")*economics!$AH$2:$AH$167*(_xlfn.NORM.DIST(AI$3,economics!$AK$2:$AK$167,economics!$AJ$2:$AJ$167,TRUE)-_xlfn.NORM.DIST(AI$30,economics!$AK$2:$AK$167,economics!$AJ$2:$AJ$167,TRUE)))),"")</f>
        <v/>
      </c>
      <c r="AJ48">
        <f t="array" ref="AJ48">IFERROR((SUMPRODUCT((economics!$AG$2:$AG$167=$B48)*(economics!$D$2:$D$167="process")*economics!$AH$2:$AH$167*(_xlfn.NORM.DIST(AJ$3,economics!$AK$2:$AK$167,economics!$AJ$2:$AJ$167,TRUE)-_xlfn.NORM.DIST(AJ$30,economics!$AK$2:$AK$167,economics!$AJ$2:$AJ$167,TRUE))*economics!$AM$2:$AM$167))/(SUMPRODUCT((economics!$AG$2:$AG$167=$B48)*(economics!$D$2:$D$167="process")*economics!$AH$2:$AH$167*(_xlfn.NORM.DIST(AJ$3,economics!$AK$2:$AK$167,economics!$AJ$2:$AJ$167,TRUE)-_xlfn.NORM.DIST(AJ$30,economics!$AK$2:$AK$167,economics!$AJ$2:$AJ$167,TRUE)))),"")</f>
        <v/>
      </c>
      <c r="AK48">
        <f t="array" ref="AK48">IFERROR((SUMPRODUCT((economics!$AG$2:$AG$167=$B48)*(economics!$D$2:$D$167="process")*economics!$AH$2:$AH$167*(_xlfn.NORM.DIST(AK$3,economics!$AK$2:$AK$167,economics!$AJ$2:$AJ$167,TRUE)-_xlfn.NORM.DIST(AK$30,economics!$AK$2:$AK$167,economics!$AJ$2:$AJ$167,TRUE))*economics!$AM$2:$AM$167))/(SUMPRODUCT((economics!$AG$2:$AG$167=$B48)*(economics!$D$2:$D$167="process")*economics!$AH$2:$AH$167*(_xlfn.NORM.DIST(AK$3,economics!$AK$2:$AK$167,economics!$AJ$2:$AJ$167,TRUE)-_xlfn.NORM.DIST(AK$30,economics!$AK$2:$AK$167,economics!$AJ$2:$AJ$167,TRUE)))),"")</f>
        <v/>
      </c>
      <c r="AL48">
        <f t="array" ref="AL48">IFERROR((SUMPRODUCT((economics!$AG$2:$AG$167=$B48)*(economics!$D$2:$D$167="process")*economics!$AH$2:$AH$167*(_xlfn.NORM.DIST(AL$3,economics!$AK$2:$AK$167,economics!$AJ$2:$AJ$167,TRUE)-_xlfn.NORM.DIST(AL$30,economics!$AK$2:$AK$167,economics!$AJ$2:$AJ$167,TRUE))*economics!$AM$2:$AM$167))/(SUMPRODUCT((economics!$AG$2:$AG$167=$B48)*(economics!$D$2:$D$167="process")*economics!$AH$2:$AH$167*(_xlfn.NORM.DIST(AL$3,economics!$AK$2:$AK$167,economics!$AJ$2:$AJ$167,TRUE)-_xlfn.NORM.DIST(AL$30,economics!$AK$2:$AK$167,economics!$AJ$2:$AJ$167,TRUE)))),"")</f>
        <v/>
      </c>
      <c r="AM48">
        <f t="array" ref="AM48">IFERROR((SUMPRODUCT((economics!$AG$2:$AG$167=$B48)*(economics!$D$2:$D$167="process")*economics!$AH$2:$AH$167*(_xlfn.NORM.DIST(AM$3,economics!$AK$2:$AK$167,economics!$AJ$2:$AJ$167,TRUE)-_xlfn.NORM.DIST(AM$30,economics!$AK$2:$AK$167,economics!$AJ$2:$AJ$167,TRUE))*economics!$AM$2:$AM$167))/(SUMPRODUCT((economics!$AG$2:$AG$167=$B48)*(economics!$D$2:$D$167="process")*economics!$AH$2:$AH$167*(_xlfn.NORM.DIST(AM$3,economics!$AK$2:$AK$167,economics!$AJ$2:$AJ$167,TRUE)-_xlfn.NORM.DIST(AM$30,economics!$AK$2:$AK$167,economics!$AJ$2:$AJ$167,TRUE)))),"")</f>
        <v/>
      </c>
      <c r="AN48">
        <f t="array" ref="AN48">IFERROR((SUMPRODUCT((economics!$AG$2:$AG$167=$B48)*(economics!$D$2:$D$167="process")*economics!$AH$2:$AH$167*(_xlfn.NORM.DIST(AN$3,economics!$AK$2:$AK$167,economics!$AJ$2:$AJ$167,TRUE)-_xlfn.NORM.DIST(AN$30,economics!$AK$2:$AK$167,economics!$AJ$2:$AJ$167,TRUE))*economics!$AM$2:$AM$167))/(SUMPRODUCT((economics!$AG$2:$AG$167=$B48)*(economics!$D$2:$D$167="process")*economics!$AH$2:$AH$167*(_xlfn.NORM.DIST(AN$3,economics!$AK$2:$AK$167,economics!$AJ$2:$AJ$167,TRUE)-_xlfn.NORM.DIST(AN$30,economics!$AK$2:$AK$167,economics!$AJ$2:$AJ$167,TRUE)))),"")</f>
        <v/>
      </c>
      <c r="AO48">
        <f t="array" ref="AO48">IFERROR((SUMPRODUCT((economics!$AG$2:$AG$167=$B48)*(economics!$D$2:$D$167="process")*economics!$AH$2:$AH$167*(_xlfn.NORM.DIST(AO$3,economics!$AK$2:$AK$167,economics!$AJ$2:$AJ$167,TRUE)-_xlfn.NORM.DIST(AO$30,economics!$AK$2:$AK$167,economics!$AJ$2:$AJ$167,TRUE))*economics!$AM$2:$AM$167))/(SUMPRODUCT((economics!$AG$2:$AG$167=$B48)*(economics!$D$2:$D$167="process")*economics!$AH$2:$AH$167*(_xlfn.NORM.DIST(AO$3,economics!$AK$2:$AK$167,economics!$AJ$2:$AJ$167,TRUE)-_xlfn.NORM.DIST(AO$30,economics!$AK$2:$AK$167,economics!$AJ$2:$AJ$167,TRUE)))),"")</f>
        <v/>
      </c>
      <c r="AP48">
        <f t="array" ref="AP48">IFERROR((SUMPRODUCT((economics!$AG$2:$AG$167=$B48)*(economics!$D$2:$D$167="process")*economics!$AH$2:$AH$167*(_xlfn.NORM.DIST(AP$3,economics!$AK$2:$AK$167,economics!$AJ$2:$AJ$167,TRUE)-_xlfn.NORM.DIST(AP$30,economics!$AK$2:$AK$167,economics!$AJ$2:$AJ$167,TRUE))*economics!$AM$2:$AM$167))/(SUMPRODUCT((economics!$AG$2:$AG$167=$B48)*(economics!$D$2:$D$167="process")*economics!$AH$2:$AH$167*(_xlfn.NORM.DIST(AP$3,economics!$AK$2:$AK$167,economics!$AJ$2:$AJ$167,TRUE)-_xlfn.NORM.DIST(AP$30,economics!$AK$2:$AK$167,economics!$AJ$2:$AJ$167,TRUE)))),"")</f>
        <v/>
      </c>
      <c r="AQ48">
        <f t="array" ref="AQ48">IFERROR((SUMPRODUCT((economics!$AG$2:$AG$167=$B48)*(economics!$D$2:$D$167="process")*economics!$AH$2:$AH$167*(_xlfn.NORM.DIST(AQ$3,economics!$AK$2:$AK$167,economics!$AJ$2:$AJ$167,TRUE)-_xlfn.NORM.DIST(AQ$30,economics!$AK$2:$AK$167,economics!$AJ$2:$AJ$167,TRUE))*economics!$AM$2:$AM$167))/(SUMPRODUCT((economics!$AG$2:$AG$167=$B48)*(economics!$D$2:$D$167="process")*economics!$AH$2:$AH$167*(_xlfn.NORM.DIST(AQ$3,economics!$AK$2:$AK$167,economics!$AJ$2:$AJ$167,TRUE)-_xlfn.NORM.DIST(AQ$30,economics!$AK$2:$AK$167,economics!$AJ$2:$AJ$167,TRUE)))),"")</f>
        <v/>
      </c>
      <c r="AR48">
        <f t="array" ref="AR48">IFERROR((SUMPRODUCT((economics!$AG$2:$AG$167=$B48)*(economics!$D$2:$D$167="process")*economics!$AH$2:$AH$167*(_xlfn.NORM.DIST(AR$3,economics!$AK$2:$AK$167,economics!$AJ$2:$AJ$167,TRUE)-_xlfn.NORM.DIST(AR$30,economics!$AK$2:$AK$167,economics!$AJ$2:$AJ$167,TRUE))*economics!$AM$2:$AM$167))/(SUMPRODUCT((economics!$AG$2:$AG$167=$B48)*(economics!$D$2:$D$167="process")*economics!$AH$2:$AH$167*(_xlfn.NORM.DIST(AR$3,economics!$AK$2:$AK$167,economics!$AJ$2:$AJ$167,TRUE)-_xlfn.NORM.DIST(AR$30,economics!$AK$2:$AK$167,economics!$AJ$2:$AJ$167,TRUE)))),"")</f>
        <v/>
      </c>
      <c r="AS48">
        <f t="array" ref="AS48">IFERROR((SUMPRODUCT((economics!$AG$2:$AG$167=$B48)*(economics!$D$2:$D$167="process")*economics!$AH$2:$AH$167*(_xlfn.NORM.DIST(AS$3,economics!$AK$2:$AK$167,economics!$AJ$2:$AJ$167,TRUE)-_xlfn.NORM.DIST(AS$30,economics!$AK$2:$AK$167,economics!$AJ$2:$AJ$167,TRUE))*economics!$AM$2:$AM$167))/(SUMPRODUCT((economics!$AG$2:$AG$167=$B48)*(economics!$D$2:$D$167="process")*economics!$AH$2:$AH$167*(_xlfn.NORM.DIST(AS$3,economics!$AK$2:$AK$167,economics!$AJ$2:$AJ$167,TRUE)-_xlfn.NORM.DIST(AS$30,economics!$AK$2:$AK$167,economics!$AJ$2:$AJ$167,TRUE)))),"")</f>
        <v/>
      </c>
      <c r="AT48">
        <f t="array" ref="AT48">IFERROR((SUMPRODUCT((economics!$AG$2:$AG$167=$B48)*(economics!$D$2:$D$167="process")*economics!$AH$2:$AH$167*(_xlfn.NORM.DIST(AT$3,economics!$AK$2:$AK$167,economics!$AJ$2:$AJ$167,TRUE)-_xlfn.NORM.DIST(AT$30,economics!$AK$2:$AK$167,economics!$AJ$2:$AJ$167,TRUE))*economics!$AM$2:$AM$167))/(SUMPRODUCT((economics!$AG$2:$AG$167=$B48)*(economics!$D$2:$D$167="process")*economics!$AH$2:$AH$167*(_xlfn.NORM.DIST(AT$3,economics!$AK$2:$AK$167,economics!$AJ$2:$AJ$167,TRUE)-_xlfn.NORM.DIST(AT$30,economics!$AK$2:$AK$167,economics!$AJ$2:$AJ$167,TRUE)))),"")</f>
        <v/>
      </c>
      <c r="AU48">
        <f t="array" ref="AU48">IFERROR((SUMPRODUCT((economics!$AG$2:$AG$167=$B48)*(economics!$D$2:$D$167="process")*economics!$AH$2:$AH$167*(_xlfn.NORM.DIST(AU$3,economics!$AK$2:$AK$167,economics!$AJ$2:$AJ$167,TRUE)-_xlfn.NORM.DIST(AU$30,economics!$AK$2:$AK$167,economics!$AJ$2:$AJ$167,TRUE))*economics!$AM$2:$AM$167))/(SUMPRODUCT((economics!$AG$2:$AG$167=$B48)*(economics!$D$2:$D$167="process")*economics!$AH$2:$AH$167*(_xlfn.NORM.DIST(AU$3,economics!$AK$2:$AK$167,economics!$AJ$2:$AJ$167,TRUE)-_xlfn.NORM.DIST(AU$30,economics!$AK$2:$AK$167,economics!$AJ$2:$AJ$167,TRUE)))),"")</f>
        <v/>
      </c>
      <c r="AV48">
        <f t="array" ref="AV48">IFERROR((SUMPRODUCT((economics!$AG$2:$AG$167=$B48)*(economics!$D$2:$D$167="process")*economics!$AH$2:$AH$167*(_xlfn.NORM.DIST(AV$3,economics!$AK$2:$AK$167,economics!$AJ$2:$AJ$167,TRUE)-_xlfn.NORM.DIST(AV$30,economics!$AK$2:$AK$167,economics!$AJ$2:$AJ$167,TRUE))*economics!$AM$2:$AM$167))/(SUMPRODUCT((economics!$AG$2:$AG$167=$B48)*(economics!$D$2:$D$167="process")*economics!$AH$2:$AH$167*(_xlfn.NORM.DIST(AV$3,economics!$AK$2:$AK$167,economics!$AJ$2:$AJ$167,TRUE)-_xlfn.NORM.DIST(AV$30,economics!$AK$2:$AK$167,economics!$AJ$2:$AJ$167,TRUE)))),"")</f>
        <v/>
      </c>
      <c r="AW48">
        <f t="array" ref="AW48">IFERROR((SUMPRODUCT((economics!$AG$2:$AG$167=$B48)*(economics!$D$2:$D$167="process")*economics!$AH$2:$AH$167*(_xlfn.NORM.DIST(AW$3,economics!$AK$2:$AK$167,economics!$AJ$2:$AJ$167,TRUE)-_xlfn.NORM.DIST(AW$30,economics!$AK$2:$AK$167,economics!$AJ$2:$AJ$167,TRUE))*economics!$AM$2:$AM$167))/(SUMPRODUCT((economics!$AG$2:$AG$167=$B48)*(economics!$D$2:$D$167="process")*economics!$AH$2:$AH$167*(_xlfn.NORM.DIST(AW$3,economics!$AK$2:$AK$167,economics!$AJ$2:$AJ$167,TRUE)-_xlfn.NORM.DIST(AW$30,economics!$AK$2:$AK$167,economics!$AJ$2:$AJ$167,TRUE)))),"")</f>
        <v/>
      </c>
      <c r="AX48">
        <f t="array" ref="AX48">IFERROR((SUMPRODUCT((economics!$AG$2:$AG$167=$B48)*(economics!$D$2:$D$167="process")*economics!$AH$2:$AH$167*(_xlfn.NORM.DIST(AX$3,economics!$AK$2:$AK$167,economics!$AJ$2:$AJ$167,TRUE)-_xlfn.NORM.DIST(AX$30,economics!$AK$2:$AK$167,economics!$AJ$2:$AJ$167,TRUE))*economics!$AM$2:$AM$167))/(SUMPRODUCT((economics!$AG$2:$AG$167=$B48)*(economics!$D$2:$D$167="process")*economics!$AH$2:$AH$167*(_xlfn.NORM.DIST(AX$3,economics!$AK$2:$AK$167,economics!$AJ$2:$AJ$167,TRUE)-_xlfn.NORM.DIST(AX$30,economics!$AK$2:$AK$167,economics!$AJ$2:$AJ$167,TRUE)))),"")</f>
        <v/>
      </c>
      <c r="AY48">
        <f t="array" ref="AY48">IFERROR((SUMPRODUCT((economics!$AG$2:$AG$167=$B48)*(economics!$D$2:$D$167="process")*economics!$AH$2:$AH$167*(_xlfn.NORM.DIST(AY$3,economics!$AK$2:$AK$167,economics!$AJ$2:$AJ$167,TRUE)-_xlfn.NORM.DIST(AY$30,economics!$AK$2:$AK$167,economics!$AJ$2:$AJ$167,TRUE))*economics!$AM$2:$AM$167))/(SUMPRODUCT((economics!$AG$2:$AG$167=$B48)*(economics!$D$2:$D$167="process")*economics!$AH$2:$AH$167*(_xlfn.NORM.DIST(AY$3,economics!$AK$2:$AK$167,economics!$AJ$2:$AJ$167,TRUE)-_xlfn.NORM.DIST(AY$30,economics!$AK$2:$AK$167,economics!$AJ$2:$AJ$167,TRUE)))),"")</f>
        <v/>
      </c>
      <c r="AZ48">
        <f t="array" ref="AZ48">IFERROR((SUMPRODUCT((economics!$AG$2:$AG$167=$B48)*(economics!$D$2:$D$167="process")*economics!$AH$2:$AH$167*(_xlfn.NORM.DIST(AZ$3,economics!$AK$2:$AK$167,economics!$AJ$2:$AJ$167,TRUE)-_xlfn.NORM.DIST(AZ$30,economics!$AK$2:$AK$167,economics!$AJ$2:$AJ$167,TRUE))*economics!$AM$2:$AM$167))/(SUMPRODUCT((economics!$AG$2:$AG$167=$B48)*(economics!$D$2:$D$167="process")*economics!$AH$2:$AH$167*(_xlfn.NORM.DIST(AZ$3,economics!$AK$2:$AK$167,economics!$AJ$2:$AJ$167,TRUE)-_xlfn.NORM.DIST(AZ$30,economics!$AK$2:$AK$167,economics!$AJ$2:$AJ$167,TRUE)))),"")</f>
        <v/>
      </c>
      <c r="BA48">
        <f t="array" ref="BA48">IFERROR((SUMPRODUCT((economics!$AG$2:$AG$167=$B48)*(economics!$D$2:$D$167="process")*economics!$AH$2:$AH$167*(_xlfn.NORM.DIST(BA$3,economics!$AK$2:$AK$167,economics!$AJ$2:$AJ$167,TRUE)-_xlfn.NORM.DIST(BA$30,economics!$AK$2:$AK$167,economics!$AJ$2:$AJ$167,TRUE))*economics!$AM$2:$AM$167))/(SUMPRODUCT((economics!$AG$2:$AG$167=$B48)*(economics!$D$2:$D$167="process")*economics!$AH$2:$AH$167*(_xlfn.NORM.DIST(BA$3,economics!$AK$2:$AK$167,economics!$AJ$2:$AJ$167,TRUE)-_xlfn.NORM.DIST(BA$30,economics!$AK$2:$AK$167,economics!$AJ$2:$AJ$167,TRUE)))),"")</f>
        <v/>
      </c>
      <c r="BB48">
        <f t="array" ref="BB48">IFERROR((SUMPRODUCT((economics!$AG$2:$AG$167=$B48)*(economics!$D$2:$D$167="process")*economics!$AH$2:$AH$167*(_xlfn.NORM.DIST(BB$3,economics!$AK$2:$AK$167,economics!$AJ$2:$AJ$167,TRUE)-_xlfn.NORM.DIST(BB$30,economics!$AK$2:$AK$167,economics!$AJ$2:$AJ$167,TRUE))*economics!$AM$2:$AM$167))/(SUMPRODUCT((economics!$AG$2:$AG$167=$B48)*(economics!$D$2:$D$167="process")*economics!$AH$2:$AH$167*(_xlfn.NORM.DIST(BB$3,economics!$AK$2:$AK$167,economics!$AJ$2:$AJ$167,TRUE)-_xlfn.NORM.DIST(BB$30,economics!$AK$2:$AK$167,economics!$AJ$2:$AJ$167,TRUE)))),"")</f>
        <v/>
      </c>
      <c r="BC48">
        <f t="array" ref="BC48">IFERROR((SUMPRODUCT((economics!$AG$2:$AG$167=$B48)*(economics!$D$2:$D$167="process")*economics!$AH$2:$AH$167*(_xlfn.NORM.DIST(BC$3,economics!$AK$2:$AK$167,economics!$AJ$2:$AJ$167,TRUE)-_xlfn.NORM.DIST(BC$30,economics!$AK$2:$AK$167,economics!$AJ$2:$AJ$167,TRUE))*economics!$AM$2:$AM$167))/(SUMPRODUCT((economics!$AG$2:$AG$167=$B48)*(economics!$D$2:$D$167="process")*economics!$AH$2:$AH$167*(_xlfn.NORM.DIST(BC$3,economics!$AK$2:$AK$167,economics!$AJ$2:$AJ$167,TRUE)-_xlfn.NORM.DIST(BC$30,economics!$AK$2:$AK$167,economics!$AJ$2:$AJ$167,TRUE)))),"")</f>
        <v/>
      </c>
      <c r="BD48">
        <f t="array" ref="BD48">IFERROR((SUMPRODUCT((economics!$AG$2:$AG$167=$B48)*(economics!$D$2:$D$167="process")*economics!$AH$2:$AH$167*(_xlfn.NORM.DIST(BD$3,economics!$AK$2:$AK$167,economics!$AJ$2:$AJ$167,TRUE)-_xlfn.NORM.DIST(BD$30,economics!$AK$2:$AK$167,economics!$AJ$2:$AJ$167,TRUE))*economics!$AM$2:$AM$167))/(SUMPRODUCT((economics!$AG$2:$AG$167=$B48)*(economics!$D$2:$D$167="process")*economics!$AH$2:$AH$167*(_xlfn.NORM.DIST(BD$3,economics!$AK$2:$AK$167,economics!$AJ$2:$AJ$167,TRUE)-_xlfn.NORM.DIST(BD$30,economics!$AK$2:$AK$167,economics!$AJ$2:$AJ$167,TRUE)))),"")</f>
        <v/>
      </c>
      <c r="BE48">
        <f t="array" ref="BE48">IFERROR((SUMPRODUCT((economics!$AG$2:$AG$167=$B48)*(economics!$D$2:$D$167="process")*economics!$AH$2:$AH$167*(_xlfn.NORM.DIST(BE$3,economics!$AK$2:$AK$167,economics!$AJ$2:$AJ$167,TRUE)-_xlfn.NORM.DIST(BE$30,economics!$AK$2:$AK$167,economics!$AJ$2:$AJ$167,TRUE))*economics!$AM$2:$AM$167))/(SUMPRODUCT((economics!$AG$2:$AG$167=$B48)*(economics!$D$2:$D$167="process")*economics!$AH$2:$AH$167*(_xlfn.NORM.DIST(BE$3,economics!$AK$2:$AK$167,economics!$AJ$2:$AJ$167,TRUE)-_xlfn.NORM.DIST(BE$30,economics!$AK$2:$AK$167,economics!$AJ$2:$AJ$167,TRUE)))),"")</f>
        <v/>
      </c>
      <c r="BF48">
        <f t="array" ref="BF48">IFERROR((SUMPRODUCT((economics!$AG$2:$AG$167=$B48)*(economics!$D$2:$D$167="process")*economics!$AH$2:$AH$167*(_xlfn.NORM.DIST(BF$3,economics!$AK$2:$AK$167,economics!$AJ$2:$AJ$167,TRUE)-_xlfn.NORM.DIST(BF$30,economics!$AK$2:$AK$167,economics!$AJ$2:$AJ$167,TRUE))*economics!$AM$2:$AM$167))/(SUMPRODUCT((economics!$AG$2:$AG$167=$B48)*(economics!$D$2:$D$167="process")*economics!$AH$2:$AH$167*(_xlfn.NORM.DIST(BF$3,economics!$AK$2:$AK$167,economics!$AJ$2:$AJ$167,TRUE)-_xlfn.NORM.DIST(BF$30,economics!$AK$2:$AK$167,economics!$AJ$2:$AJ$167,TRUE)))),"")</f>
        <v/>
      </c>
      <c r="BG48">
        <f t="array" ref="BG48">IFERROR((SUMPRODUCT((economics!$AG$2:$AG$167=$B48)*(economics!$D$2:$D$167="process")*economics!$AH$2:$AH$167*(_xlfn.NORM.DIST(BG$3,economics!$AK$2:$AK$167,economics!$AJ$2:$AJ$167,TRUE)-_xlfn.NORM.DIST(BG$30,economics!$AK$2:$AK$167,economics!$AJ$2:$AJ$167,TRUE))*economics!$AM$2:$AM$167))/(SUMPRODUCT((economics!$AG$2:$AG$167=$B48)*(economics!$D$2:$D$167="process")*economics!$AH$2:$AH$167*(_xlfn.NORM.DIST(BG$3,economics!$AK$2:$AK$167,economics!$AJ$2:$AJ$167,TRUE)-_xlfn.NORM.DIST(BG$30,economics!$AK$2:$AK$167,economics!$AJ$2:$AJ$167,TRUE)))),"")</f>
        <v/>
      </c>
      <c r="BH48">
        <f t="array" ref="BH48">IFERROR((SUMPRODUCT((economics!$AG$2:$AG$167=$B48)*(economics!$D$2:$D$167="process")*economics!$AH$2:$AH$167*(_xlfn.NORM.DIST(BH$3,economics!$AK$2:$AK$167,economics!$AJ$2:$AJ$167,TRUE)-_xlfn.NORM.DIST(BH$30,economics!$AK$2:$AK$167,economics!$AJ$2:$AJ$167,TRUE))*economics!$AM$2:$AM$167))/(SUMPRODUCT((economics!$AG$2:$AG$167=$B48)*(economics!$D$2:$D$167="process")*economics!$AH$2:$AH$167*(_xlfn.NORM.DIST(BH$3,economics!$AK$2:$AK$167,economics!$AJ$2:$AJ$167,TRUE)-_xlfn.NORM.DIST(BH$30,economics!$AK$2:$AK$167,economics!$AJ$2:$AJ$167,TRUE)))),"")</f>
        <v/>
      </c>
      <c r="BI48">
        <f t="array" ref="BI48">IFERROR((SUMPRODUCT((economics!$AG$2:$AG$167=$B48)*(economics!$D$2:$D$167="process")*economics!$AH$2:$AH$167*(_xlfn.NORM.DIST(BI$3,economics!$AK$2:$AK$167,economics!$AJ$2:$AJ$167,TRUE)-_xlfn.NORM.DIST(BI$30,economics!$AK$2:$AK$167,economics!$AJ$2:$AJ$167,TRUE))*economics!$AM$2:$AM$167))/(SUMPRODUCT((economics!$AG$2:$AG$167=$B48)*(economics!$D$2:$D$167="process")*economics!$AH$2:$AH$167*(_xlfn.NORM.DIST(BI$3,economics!$AK$2:$AK$167,economics!$AJ$2:$AJ$167,TRUE)-_xlfn.NORM.DIST(BI$30,economics!$AK$2:$AK$167,economics!$AJ$2:$AJ$167,TRUE)))),"")</f>
        <v/>
      </c>
      <c r="BJ48">
        <f t="array" ref="BJ48">IFERROR((SUMPRODUCT((economics!$AG$2:$AG$167=$B48)*(economics!$D$2:$D$167="process")*economics!$AH$2:$AH$167*(_xlfn.NORM.DIST(BJ$3,economics!$AK$2:$AK$167,economics!$AJ$2:$AJ$167,TRUE)-_xlfn.NORM.DIST(BJ$30,economics!$AK$2:$AK$167,economics!$AJ$2:$AJ$167,TRUE))*economics!$AM$2:$AM$167))/(SUMPRODUCT((economics!$AG$2:$AG$167=$B48)*(economics!$D$2:$D$167="process")*economics!$AH$2:$AH$167*(_xlfn.NORM.DIST(BJ$3,economics!$AK$2:$AK$167,economics!$AJ$2:$AJ$167,TRUE)-_xlfn.NORM.DIST(BJ$30,economics!$AK$2:$AK$167,economics!$AJ$2:$AJ$167,TRUE)))),"")</f>
        <v/>
      </c>
      <c r="BK48">
        <f t="array" ref="BK48">IFERROR((SUMPRODUCT((economics!$AG$2:$AG$167=$B48)*(economics!$D$2:$D$167="process")*economics!$AH$2:$AH$167*(_xlfn.NORM.DIST(BK$3,economics!$AK$2:$AK$167,economics!$AJ$2:$AJ$167,TRUE)-_xlfn.NORM.DIST(BK$30,economics!$AK$2:$AK$167,economics!$AJ$2:$AJ$167,TRUE))*economics!$AM$2:$AM$167))/(SUMPRODUCT((economics!$AG$2:$AG$167=$B48)*(economics!$D$2:$D$167="process")*economics!$AH$2:$AH$167*(_xlfn.NORM.DIST(BK$3,economics!$AK$2:$AK$167,economics!$AJ$2:$AJ$167,TRUE)-_xlfn.NORM.DIST(BK$30,economics!$AK$2:$AK$167,economics!$AJ$2:$AJ$167,TRUE)))),"")</f>
        <v/>
      </c>
      <c r="BL48">
        <f t="array" ref="BL48">IFERROR((SUMPRODUCT((economics!$AG$2:$AG$167=$B48)*(economics!$D$2:$D$167="process")*economics!$AH$2:$AH$167*(_xlfn.NORM.DIST(BL$3,economics!$AK$2:$AK$167,economics!$AJ$2:$AJ$167,TRUE)-_xlfn.NORM.DIST(BL$30,economics!$AK$2:$AK$167,economics!$AJ$2:$AJ$167,TRUE))*economics!$AM$2:$AM$167))/(SUMPRODUCT((economics!$AG$2:$AG$167=$B48)*(economics!$D$2:$D$167="process")*economics!$AH$2:$AH$167*(_xlfn.NORM.DIST(BL$3,economics!$AK$2:$AK$167,economics!$AJ$2:$AJ$167,TRUE)-_xlfn.NORM.DIST(BL$30,economics!$AK$2:$AK$167,economics!$AJ$2:$AJ$167,TRUE)))),"")</f>
        <v/>
      </c>
      <c r="BM48">
        <f t="array" ref="BM48">IFERROR((SUMPRODUCT((economics!$AG$2:$AG$167=$B48)*(economics!$D$2:$D$167="process")*economics!$AH$2:$AH$167*(_xlfn.NORM.DIST(BM$3,economics!$AK$2:$AK$167,economics!$AJ$2:$AJ$167,TRUE)-_xlfn.NORM.DIST(BM$30,economics!$AK$2:$AK$167,economics!$AJ$2:$AJ$167,TRUE))*economics!$AM$2:$AM$167))/(SUMPRODUCT((economics!$AG$2:$AG$167=$B48)*(economics!$D$2:$D$167="process")*economics!$AH$2:$AH$167*(_xlfn.NORM.DIST(BM$3,economics!$AK$2:$AK$167,economics!$AJ$2:$AJ$167,TRUE)-_xlfn.NORM.DIST(BM$30,economics!$AK$2:$AK$167,economics!$AJ$2:$AJ$167,TRUE)))),"")</f>
        <v/>
      </c>
      <c r="BN48">
        <f t="array" ref="BN48">IFERROR((SUMPRODUCT((economics!$AG$2:$AG$167=$B48)*(economics!$D$2:$D$167="process")*economics!$AH$2:$AH$167*(_xlfn.NORM.DIST(BN$3,economics!$AK$2:$AK$167,economics!$AJ$2:$AJ$167,TRUE)-_xlfn.NORM.DIST(BN$30,economics!$AK$2:$AK$167,economics!$AJ$2:$AJ$167,TRUE))*economics!$AM$2:$AM$167))/(SUMPRODUCT((economics!$AG$2:$AG$167=$B48)*(economics!$D$2:$D$167="process")*economics!$AH$2:$AH$167*(_xlfn.NORM.DIST(BN$3,economics!$AK$2:$AK$167,economics!$AJ$2:$AJ$167,TRUE)-_xlfn.NORM.DIST(BN$30,economics!$AK$2:$AK$167,economics!$AJ$2:$AJ$167,TRUE)))),"")</f>
        <v/>
      </c>
      <c r="BO48">
        <f t="array" ref="BO48">IFERROR((SUMPRODUCT((economics!$AG$2:$AG$167=$B48)*(economics!$D$2:$D$167="process")*economics!$AH$2:$AH$167*(_xlfn.NORM.DIST(BO$3,economics!$AK$2:$AK$167,economics!$AJ$2:$AJ$167,TRUE)-_xlfn.NORM.DIST(BO$30,economics!$AK$2:$AK$167,economics!$AJ$2:$AJ$167,TRUE))*economics!$AM$2:$AM$167))/(SUMPRODUCT((economics!$AG$2:$AG$167=$B48)*(economics!$D$2:$D$167="process")*economics!$AH$2:$AH$167*(_xlfn.NORM.DIST(BO$3,economics!$AK$2:$AK$167,economics!$AJ$2:$AJ$167,TRUE)-_xlfn.NORM.DIST(BO$30,economics!$AK$2:$AK$167,economics!$AJ$2:$AJ$167,TRUE)))),"")</f>
        <v/>
      </c>
      <c r="BP48">
        <f t="array" ref="BP48">IFERROR((SUMPRODUCT((economics!$AG$2:$AG$167=$B48)*(economics!$D$2:$D$167="process")*economics!$AH$2:$AH$167*(_xlfn.NORM.DIST(BP$3,economics!$AK$2:$AK$167,economics!$AJ$2:$AJ$167,TRUE)-_xlfn.NORM.DIST(BP$30,economics!$AK$2:$AK$167,economics!$AJ$2:$AJ$167,TRUE))*economics!$AM$2:$AM$167))/(SUMPRODUCT((economics!$AG$2:$AG$167=$B48)*(economics!$D$2:$D$167="process")*economics!$AH$2:$AH$167*(_xlfn.NORM.DIST(BP$3,economics!$AK$2:$AK$167,economics!$AJ$2:$AJ$167,TRUE)-_xlfn.NORM.DIST(BP$30,economics!$AK$2:$AK$167,economics!$AJ$2:$AJ$167,TRUE)))),"")</f>
        <v/>
      </c>
      <c r="BQ48">
        <f t="array" ref="BQ48">IFERROR((SUMPRODUCT((economics!$AG$2:$AG$167=$B48)*(economics!$D$2:$D$167="process")*economics!$AH$2:$AH$167*(_xlfn.NORM.DIST(BQ$3,economics!$AK$2:$AK$167,economics!$AJ$2:$AJ$167,TRUE)-_xlfn.NORM.DIST(BQ$30,economics!$AK$2:$AK$167,economics!$AJ$2:$AJ$167,TRUE))*economics!$AM$2:$AM$167))/(SUMPRODUCT((economics!$AG$2:$AG$167=$B48)*(economics!$D$2:$D$167="process")*economics!$AH$2:$AH$167*(_xlfn.NORM.DIST(BQ$3,economics!$AK$2:$AK$167,economics!$AJ$2:$AJ$167,TRUE)-_xlfn.NORM.DIST(BQ$30,economics!$AK$2:$AK$167,economics!$AJ$2:$AJ$167,TRUE)))),"")</f>
        <v/>
      </c>
      <c r="BR48">
        <f t="array" ref="BR48">IFERROR((SUMPRODUCT((economics!$AG$2:$AG$167=$B48)*(economics!$D$2:$D$167="process")*economics!$AH$2:$AH$167*(_xlfn.NORM.DIST(BR$3,economics!$AK$2:$AK$167,economics!$AJ$2:$AJ$167,TRUE)-_xlfn.NORM.DIST(BR$30,economics!$AK$2:$AK$167,economics!$AJ$2:$AJ$167,TRUE))*economics!$AM$2:$AM$167))/(SUMPRODUCT((economics!$AG$2:$AG$167=$B48)*(economics!$D$2:$D$167="process")*economics!$AH$2:$AH$167*(_xlfn.NORM.DIST(BR$3,economics!$AK$2:$AK$167,economics!$AJ$2:$AJ$167,TRUE)-_xlfn.NORM.DIST(BR$30,economics!$AK$2:$AK$167,economics!$AJ$2:$AJ$167,TRUE)))),"")</f>
        <v/>
      </c>
      <c r="BS48">
        <f t="array" ref="BS48">IFERROR((SUMPRODUCT((economics!$AG$2:$AG$167=$B48)*(economics!$D$2:$D$167="process")*economics!$AH$2:$AH$167*(_xlfn.NORM.DIST(BS$3,economics!$AK$2:$AK$167,economics!$AJ$2:$AJ$167,TRUE)-_xlfn.NORM.DIST(BS$30,economics!$AK$2:$AK$167,economics!$AJ$2:$AJ$167,TRUE))*economics!$AM$2:$AM$167))/(SUMPRODUCT((economics!$AG$2:$AG$167=$B48)*(economics!$D$2:$D$167="process")*economics!$AH$2:$AH$167*(_xlfn.NORM.DIST(BS$3,economics!$AK$2:$AK$167,economics!$AJ$2:$AJ$167,TRUE)-_xlfn.NORM.DIST(BS$30,economics!$AK$2:$AK$167,economics!$AJ$2:$AJ$167,TRUE)))),"")</f>
        <v/>
      </c>
      <c r="BT48">
        <f t="array" ref="BT48">IFERROR((SUMPRODUCT((economics!$AG$2:$AG$167=$B48)*(economics!$D$2:$D$167="process")*economics!$AH$2:$AH$167*(_xlfn.NORM.DIST(BT$3,economics!$AK$2:$AK$167,economics!$AJ$2:$AJ$167,TRUE)-_xlfn.NORM.DIST(BT$30,economics!$AK$2:$AK$167,economics!$AJ$2:$AJ$167,TRUE))*economics!$AM$2:$AM$167))/(SUMPRODUCT((economics!$AG$2:$AG$167=$B48)*(economics!$D$2:$D$167="process")*economics!$AH$2:$AH$167*(_xlfn.NORM.DIST(BT$3,economics!$AK$2:$AK$167,economics!$AJ$2:$AJ$167,TRUE)-_xlfn.NORM.DIST(BT$30,economics!$AK$2:$AK$167,economics!$AJ$2:$AJ$167,TRUE)))),"")</f>
        <v/>
      </c>
      <c r="BU48">
        <f t="array" ref="BU48">IFERROR((SUMPRODUCT((economics!$AG$2:$AG$167=$B48)*(economics!$D$2:$D$167="process")*economics!$AH$2:$AH$167*(_xlfn.NORM.DIST(BU$3,economics!$AK$2:$AK$167,economics!$AJ$2:$AJ$167,TRUE)-_xlfn.NORM.DIST(BU$30,economics!$AK$2:$AK$167,economics!$AJ$2:$AJ$167,TRUE))*economics!$AM$2:$AM$167))/(SUMPRODUCT((economics!$AG$2:$AG$167=$B48)*(economics!$D$2:$D$167="process")*economics!$AH$2:$AH$167*(_xlfn.NORM.DIST(BU$3,economics!$AK$2:$AK$167,economics!$AJ$2:$AJ$167,TRUE)-_xlfn.NORM.DIST(BU$30,economics!$AK$2:$AK$167,economics!$AJ$2:$AJ$167,TRUE)))),"")</f>
        <v/>
      </c>
      <c r="BV48">
        <f t="array" ref="BV48">IFERROR((SUMPRODUCT((economics!$AG$2:$AG$167=$B48)*(economics!$D$2:$D$167="process")*economics!$AH$2:$AH$167*(_xlfn.NORM.DIST(BV$3,economics!$AK$2:$AK$167,economics!$AJ$2:$AJ$167,TRUE)-_xlfn.NORM.DIST(BV$30,economics!$AK$2:$AK$167,economics!$AJ$2:$AJ$167,TRUE))*economics!$AM$2:$AM$167))/(SUMPRODUCT((economics!$AG$2:$AG$167=$B48)*(economics!$D$2:$D$167="process")*economics!$AH$2:$AH$167*(_xlfn.NORM.DIST(BV$3,economics!$AK$2:$AK$167,economics!$AJ$2:$AJ$167,TRUE)-_xlfn.NORM.DIST(BV$30,economics!$AK$2:$AK$167,economics!$AJ$2:$AJ$167,TRUE)))),"")</f>
        <v/>
      </c>
      <c r="BW48">
        <f t="array" ref="BW48">IFERROR((SUMPRODUCT((economics!$AG$2:$AG$167=$B48)*(economics!$D$2:$D$167="process")*economics!$AH$2:$AH$167*(_xlfn.NORM.DIST(BW$3,economics!$AK$2:$AK$167,economics!$AJ$2:$AJ$167,TRUE)-_xlfn.NORM.DIST(BW$30,economics!$AK$2:$AK$167,economics!$AJ$2:$AJ$167,TRUE))*economics!$AM$2:$AM$167))/(SUMPRODUCT((economics!$AG$2:$AG$167=$B48)*(economics!$D$2:$D$167="process")*economics!$AH$2:$AH$167*(_xlfn.NORM.DIST(BW$3,economics!$AK$2:$AK$167,economics!$AJ$2:$AJ$167,TRUE)-_xlfn.NORM.DIST(BW$30,economics!$AK$2:$AK$167,economics!$AJ$2:$AJ$167,TRUE)))),"")</f>
        <v/>
      </c>
      <c r="BX48">
        <f t="array" ref="BX48">IFERROR((SUMPRODUCT((economics!$AG$2:$AG$167=$B48)*(economics!$D$2:$D$167="process")*economics!$AH$2:$AH$167*(_xlfn.NORM.DIST(BX$3,economics!$AK$2:$AK$167,economics!$AJ$2:$AJ$167,TRUE)-_xlfn.NORM.DIST(BX$30,economics!$AK$2:$AK$167,economics!$AJ$2:$AJ$167,TRUE))*economics!$AM$2:$AM$167))/(SUMPRODUCT((economics!$AG$2:$AG$167=$B48)*(economics!$D$2:$D$167="process")*economics!$AH$2:$AH$167*(_xlfn.NORM.DIST(BX$3,economics!$AK$2:$AK$167,economics!$AJ$2:$AJ$167,TRUE)-_xlfn.NORM.DIST(BX$30,economics!$AK$2:$AK$167,economics!$AJ$2:$AJ$167,TRUE)))),"")</f>
        <v/>
      </c>
      <c r="BY48">
        <f t="array" ref="BY48">IFERROR((SUMPRODUCT((economics!$AG$2:$AG$167=$B48)*(economics!$D$2:$D$167="process")*economics!$AH$2:$AH$167*(_xlfn.NORM.DIST(BY$3,economics!$AK$2:$AK$167,economics!$AJ$2:$AJ$167,TRUE)-_xlfn.NORM.DIST(BY$30,economics!$AK$2:$AK$167,economics!$AJ$2:$AJ$167,TRUE))*economics!$AM$2:$AM$167))/(SUMPRODUCT((economics!$AG$2:$AG$167=$B48)*(economics!$D$2:$D$167="process")*economics!$AH$2:$AH$167*(_xlfn.NORM.DIST(BY$3,economics!$AK$2:$AK$167,economics!$AJ$2:$AJ$167,TRUE)-_xlfn.NORM.DIST(BY$30,economics!$AK$2:$AK$167,economics!$AJ$2:$AJ$167,TRUE)))),"")</f>
        <v/>
      </c>
      <c r="BZ48">
        <f t="array" ref="BZ48">IFERROR((SUMPRODUCT((economics!$AG$2:$AG$167=$B48)*(economics!$D$2:$D$167="process")*economics!$AH$2:$AH$167*(_xlfn.NORM.DIST(BZ$3,economics!$AK$2:$AK$167,economics!$AJ$2:$AJ$167,TRUE)-_xlfn.NORM.DIST(BZ$30,economics!$AK$2:$AK$167,economics!$AJ$2:$AJ$167,TRUE))*economics!$AM$2:$AM$167))/(SUMPRODUCT((economics!$AG$2:$AG$167=$B48)*(economics!$D$2:$D$167="process")*economics!$AH$2:$AH$167*(_xlfn.NORM.DIST(BZ$3,economics!$AK$2:$AK$167,economics!$AJ$2:$AJ$167,TRUE)-_xlfn.NORM.DIST(BZ$30,economics!$AK$2:$AK$167,economics!$AJ$2:$AJ$167,TRUE)))),"")</f>
        <v/>
      </c>
      <c r="CA48">
        <f t="array" ref="CA48">IFERROR((SUMPRODUCT((economics!$AG$2:$AG$167=$B48)*(economics!$D$2:$D$167="process")*economics!$AH$2:$AH$167*(_xlfn.NORM.DIST(CA$3,economics!$AK$2:$AK$167,economics!$AJ$2:$AJ$167,TRUE)-_xlfn.NORM.DIST(CA$30,economics!$AK$2:$AK$167,economics!$AJ$2:$AJ$167,TRUE))*economics!$AM$2:$AM$167))/(SUMPRODUCT((economics!$AG$2:$AG$167=$B48)*(economics!$D$2:$D$167="process")*economics!$AH$2:$AH$167*(_xlfn.NORM.DIST(CA$3,economics!$AK$2:$AK$167,economics!$AJ$2:$AJ$167,TRUE)-_xlfn.NORM.DIST(CA$30,economics!$AK$2:$AK$167,economics!$AJ$2:$AJ$167,TRUE)))),"")</f>
        <v/>
      </c>
      <c r="CB48">
        <f t="array" ref="CB48">IFERROR((SUMPRODUCT((economics!$AG$2:$AG$167=$B48)*(economics!$D$2:$D$167="process")*economics!$AH$2:$AH$167*(_xlfn.NORM.DIST(CB$3,economics!$AK$2:$AK$167,economics!$AJ$2:$AJ$167,TRUE)-_xlfn.NORM.DIST(CB$30,economics!$AK$2:$AK$167,economics!$AJ$2:$AJ$167,TRUE))*economics!$AM$2:$AM$167))/(SUMPRODUCT((economics!$AG$2:$AG$167=$B48)*(economics!$D$2:$D$167="process")*economics!$AH$2:$AH$167*(_xlfn.NORM.DIST(CB$3,economics!$AK$2:$AK$167,economics!$AJ$2:$AJ$167,TRUE)-_xlfn.NORM.DIST(CB$30,economics!$AK$2:$AK$167,economics!$AJ$2:$AJ$167,TRUE)))),"")</f>
        <v/>
      </c>
      <c r="CC48">
        <f t="array" ref="CC48">IFERROR((SUMPRODUCT((economics!$AG$2:$AG$167=$B48)*(economics!$D$2:$D$167="process")*economics!$AH$2:$AH$167*(_xlfn.NORM.DIST(CC$3,economics!$AK$2:$AK$167,economics!$AJ$2:$AJ$167,TRUE)-_xlfn.NORM.DIST(CC$30,economics!$AK$2:$AK$167,economics!$AJ$2:$AJ$167,TRUE))*economics!$AM$2:$AM$167))/(SUMPRODUCT((economics!$AG$2:$AG$167=$B48)*(economics!$D$2:$D$167="process")*economics!$AH$2:$AH$167*(_xlfn.NORM.DIST(CC$3,economics!$AK$2:$AK$167,economics!$AJ$2:$AJ$167,TRUE)-_xlfn.NORM.DIST(CC$30,economics!$AK$2:$AK$167,economics!$AJ$2:$AJ$167,TRUE)))),"")</f>
        <v/>
      </c>
      <c r="CD48">
        <f t="array" ref="CD48">IFERROR((SUMPRODUCT((economics!$AG$2:$AG$167=$B48)*(economics!$D$2:$D$167="process")*economics!$AH$2:$AH$167*(_xlfn.NORM.DIST(CD$3,economics!$AK$2:$AK$167,economics!$AJ$2:$AJ$167,TRUE)-_xlfn.NORM.DIST(CD$30,economics!$AK$2:$AK$167,economics!$AJ$2:$AJ$167,TRUE))*economics!$AM$2:$AM$167))/(SUMPRODUCT((economics!$AG$2:$AG$167=$B48)*(economics!$D$2:$D$167="process")*economics!$AH$2:$AH$167*(_xlfn.NORM.DIST(CD$3,economics!$AK$2:$AK$167,economics!$AJ$2:$AJ$167,TRUE)-_xlfn.NORM.DIST(CD$30,economics!$AK$2:$AK$167,economics!$AJ$2:$AJ$167,TRUE)))),"")</f>
        <v/>
      </c>
      <c r="CE48">
        <f t="array" ref="CE48">IFERROR((SUMPRODUCT((economics!$AG$2:$AG$167=$B48)*(economics!$D$2:$D$167="process")*economics!$AH$2:$AH$167*(_xlfn.NORM.DIST(CE$3,economics!$AK$2:$AK$167,economics!$AJ$2:$AJ$167,TRUE)-_xlfn.NORM.DIST(CE$30,economics!$AK$2:$AK$167,economics!$AJ$2:$AJ$167,TRUE))*economics!$AM$2:$AM$167))/(SUMPRODUCT((economics!$AG$2:$AG$167=$B48)*(economics!$D$2:$D$167="process")*economics!$AH$2:$AH$167*(_xlfn.NORM.DIST(CE$3,economics!$AK$2:$AK$167,economics!$AJ$2:$AJ$167,TRUE)-_xlfn.NORM.DIST(CE$30,economics!$AK$2:$AK$167,economics!$AJ$2:$AJ$167,TRUE)))),"")</f>
        <v/>
      </c>
      <c r="CF48">
        <f t="array" ref="CF48">IFERROR((SUMPRODUCT((economics!$AG$2:$AG$167=$B48)*(economics!$D$2:$D$167="process")*economics!$AH$2:$AH$167*(_xlfn.NORM.DIST(CF$3,economics!$AK$2:$AK$167,economics!$AJ$2:$AJ$167,TRUE)-_xlfn.NORM.DIST(CF$30,economics!$AK$2:$AK$167,economics!$AJ$2:$AJ$167,TRUE))*economics!$AM$2:$AM$167))/(SUMPRODUCT((economics!$AG$2:$AG$167=$B48)*(economics!$D$2:$D$167="process")*economics!$AH$2:$AH$167*(_xlfn.NORM.DIST(CF$3,economics!$AK$2:$AK$167,economics!$AJ$2:$AJ$167,TRUE)-_xlfn.NORM.DIST(CF$30,economics!$AK$2:$AK$167,economics!$AJ$2:$AJ$167,TRUE)))),"")</f>
        <v/>
      </c>
      <c r="CG48">
        <f t="array" ref="CG48">IFERROR((SUMPRODUCT((economics!$AG$2:$AG$167=$B48)*(economics!$D$2:$D$167="process")*economics!$AH$2:$AH$167*(_xlfn.NORM.DIST(CG$3,economics!$AK$2:$AK$167,economics!$AJ$2:$AJ$167,TRUE)-_xlfn.NORM.DIST(CG$30,economics!$AK$2:$AK$167,economics!$AJ$2:$AJ$167,TRUE))*economics!$AM$2:$AM$167))/(SUMPRODUCT((economics!$AG$2:$AG$167=$B48)*(economics!$D$2:$D$167="process")*economics!$AH$2:$AH$167*(_xlfn.NORM.DIST(CG$3,economics!$AK$2:$AK$167,economics!$AJ$2:$AJ$167,TRUE)-_xlfn.NORM.DIST(CG$30,economics!$AK$2:$AK$167,economics!$AJ$2:$AJ$167,TRUE)))),"")</f>
        <v/>
      </c>
      <c r="CH48">
        <f t="array" ref="CH48">IFERROR((SUMPRODUCT((economics!$AG$2:$AG$167=$B48)*(economics!$D$2:$D$167="process")*economics!$AH$2:$AH$167*(_xlfn.NORM.DIST(CH$3,economics!$AK$2:$AK$167,economics!$AJ$2:$AJ$167,TRUE)-_xlfn.NORM.DIST(CH$30,economics!$AK$2:$AK$167,economics!$AJ$2:$AJ$167,TRUE))*economics!$AM$2:$AM$167))/(SUMPRODUCT((economics!$AG$2:$AG$167=$B48)*(economics!$D$2:$D$167="process")*economics!$AH$2:$AH$167*(_xlfn.NORM.DIST(CH$3,economics!$AK$2:$AK$167,economics!$AJ$2:$AJ$167,TRUE)-_xlfn.NORM.DIST(CH$30,economics!$AK$2:$AK$167,economics!$AJ$2:$AJ$167,TRUE)))),"")</f>
        <v/>
      </c>
    </row>
    <row r="49">
      <c r="A49">
        <f>A20</f>
        <v/>
      </c>
      <c r="B49">
        <f>B20</f>
        <v/>
      </c>
      <c r="E49">
        <f t="array" ref="E49">IFERROR((SUMPRODUCT((economics!$AG$2:$AG$167=$B49)*(economics!$D$2:$D$167="process")*economics!$AH$2:$AH$167*(_xlfn.NORM.DIST(E$3,economics!$AK$2:$AK$167,economics!$AJ$2:$AJ$167,TRUE)-_xlfn.NORM.DIST(E$30,economics!$AK$2:$AK$167,economics!$AJ$2:$AJ$167,TRUE))*economics!$AM$2:$AM$167))/(SUMPRODUCT((economics!$AG$2:$AG$167=$B49)*(economics!$D$2:$D$167="process")*economics!$AH$2:$AH$167*(_xlfn.NORM.DIST(E$3,economics!$AK$2:$AK$167,economics!$AJ$2:$AJ$167,TRUE)-_xlfn.NORM.DIST(E$30,economics!$AK$2:$AK$167,economics!$AJ$2:$AJ$167,TRUE)))),"")</f>
        <v/>
      </c>
      <c r="F49">
        <f t="array" ref="F49">IFERROR((SUMPRODUCT((economics!$AG$2:$AG$167=$B49)*(economics!$D$2:$D$167="process")*economics!$AH$2:$AH$167*(_xlfn.NORM.DIST(F$3,economics!$AK$2:$AK$167,economics!$AJ$2:$AJ$167,TRUE)-_xlfn.NORM.DIST(F$30,economics!$AK$2:$AK$167,economics!$AJ$2:$AJ$167,TRUE))*economics!$AM$2:$AM$167))/(SUMPRODUCT((economics!$AG$2:$AG$167=$B49)*(economics!$D$2:$D$167="process")*economics!$AH$2:$AH$167*(_xlfn.NORM.DIST(F$3,economics!$AK$2:$AK$167,economics!$AJ$2:$AJ$167,TRUE)-_xlfn.NORM.DIST(F$30,economics!$AK$2:$AK$167,economics!$AJ$2:$AJ$167,TRUE)))),"")</f>
        <v/>
      </c>
      <c r="G49">
        <f t="array" ref="G49">IFERROR((SUMPRODUCT((economics!$AG$2:$AG$167=$B49)*(economics!$D$2:$D$167="process")*economics!$AH$2:$AH$167*(_xlfn.NORM.DIST(G$3,economics!$AK$2:$AK$167,economics!$AJ$2:$AJ$167,TRUE)-_xlfn.NORM.DIST(G$30,economics!$AK$2:$AK$167,economics!$AJ$2:$AJ$167,TRUE))*economics!$AM$2:$AM$167))/(SUMPRODUCT((economics!$AG$2:$AG$167=$B49)*(economics!$D$2:$D$167="process")*economics!$AH$2:$AH$167*(_xlfn.NORM.DIST(G$3,economics!$AK$2:$AK$167,economics!$AJ$2:$AJ$167,TRUE)-_xlfn.NORM.DIST(G$30,economics!$AK$2:$AK$167,economics!$AJ$2:$AJ$167,TRUE)))),"")</f>
        <v/>
      </c>
      <c r="H49">
        <f t="array" ref="H49">IFERROR((SUMPRODUCT((economics!$AG$2:$AG$167=$B49)*(economics!$D$2:$D$167="process")*economics!$AH$2:$AH$167*(_xlfn.NORM.DIST(H$3,economics!$AK$2:$AK$167,economics!$AJ$2:$AJ$167,TRUE)-_xlfn.NORM.DIST(H$30,economics!$AK$2:$AK$167,economics!$AJ$2:$AJ$167,TRUE))*economics!$AM$2:$AM$167))/(SUMPRODUCT((economics!$AG$2:$AG$167=$B49)*(economics!$D$2:$D$167="process")*economics!$AH$2:$AH$167*(_xlfn.NORM.DIST(H$3,economics!$AK$2:$AK$167,economics!$AJ$2:$AJ$167,TRUE)-_xlfn.NORM.DIST(H$30,economics!$AK$2:$AK$167,economics!$AJ$2:$AJ$167,TRUE)))),"")</f>
        <v/>
      </c>
      <c r="I49">
        <f t="array" ref="I49">IFERROR((SUMPRODUCT((economics!$AG$2:$AG$167=$B49)*(economics!$D$2:$D$167="process")*economics!$AH$2:$AH$167*(_xlfn.NORM.DIST(I$3,economics!$AK$2:$AK$167,economics!$AJ$2:$AJ$167,TRUE)-_xlfn.NORM.DIST(I$30,economics!$AK$2:$AK$167,economics!$AJ$2:$AJ$167,TRUE))*economics!$AM$2:$AM$167))/(SUMPRODUCT((economics!$AG$2:$AG$167=$B49)*(economics!$D$2:$D$167="process")*economics!$AH$2:$AH$167*(_xlfn.NORM.DIST(I$3,economics!$AK$2:$AK$167,economics!$AJ$2:$AJ$167,TRUE)-_xlfn.NORM.DIST(I$30,economics!$AK$2:$AK$167,economics!$AJ$2:$AJ$167,TRUE)))),"")</f>
        <v/>
      </c>
      <c r="J49">
        <f t="array" ref="J49">IFERROR((SUMPRODUCT((economics!$AG$2:$AG$167=$B49)*(economics!$D$2:$D$167="process")*economics!$AH$2:$AH$167*(_xlfn.NORM.DIST(J$3,economics!$AK$2:$AK$167,economics!$AJ$2:$AJ$167,TRUE)-_xlfn.NORM.DIST(J$30,economics!$AK$2:$AK$167,economics!$AJ$2:$AJ$167,TRUE))*economics!$AM$2:$AM$167))/(SUMPRODUCT((economics!$AG$2:$AG$167=$B49)*(economics!$D$2:$D$167="process")*economics!$AH$2:$AH$167*(_xlfn.NORM.DIST(J$3,economics!$AK$2:$AK$167,economics!$AJ$2:$AJ$167,TRUE)-_xlfn.NORM.DIST(J$30,economics!$AK$2:$AK$167,economics!$AJ$2:$AJ$167,TRUE)))),"")</f>
        <v/>
      </c>
      <c r="K49">
        <f t="array" ref="K49">IFERROR((SUMPRODUCT((economics!$AG$2:$AG$167=$B49)*(economics!$D$2:$D$167="process")*economics!$AH$2:$AH$167*(_xlfn.NORM.DIST(K$3,economics!$AK$2:$AK$167,economics!$AJ$2:$AJ$167,TRUE)-_xlfn.NORM.DIST(K$30,economics!$AK$2:$AK$167,economics!$AJ$2:$AJ$167,TRUE))*economics!$AM$2:$AM$167))/(SUMPRODUCT((economics!$AG$2:$AG$167=$B49)*(economics!$D$2:$D$167="process")*economics!$AH$2:$AH$167*(_xlfn.NORM.DIST(K$3,economics!$AK$2:$AK$167,economics!$AJ$2:$AJ$167,TRUE)-_xlfn.NORM.DIST(K$30,economics!$AK$2:$AK$167,economics!$AJ$2:$AJ$167,TRUE)))),"")</f>
        <v/>
      </c>
      <c r="L49">
        <f t="array" ref="L49">IFERROR((SUMPRODUCT((economics!$AG$2:$AG$167=$B49)*(economics!$D$2:$D$167="process")*economics!$AH$2:$AH$167*(_xlfn.NORM.DIST(L$3,economics!$AK$2:$AK$167,economics!$AJ$2:$AJ$167,TRUE)-_xlfn.NORM.DIST(L$30,economics!$AK$2:$AK$167,economics!$AJ$2:$AJ$167,TRUE))*economics!$AM$2:$AM$167))/(SUMPRODUCT((economics!$AG$2:$AG$167=$B49)*(economics!$D$2:$D$167="process")*economics!$AH$2:$AH$167*(_xlfn.NORM.DIST(L$3,economics!$AK$2:$AK$167,economics!$AJ$2:$AJ$167,TRUE)-_xlfn.NORM.DIST(L$30,economics!$AK$2:$AK$167,economics!$AJ$2:$AJ$167,TRUE)))),"")</f>
        <v/>
      </c>
      <c r="M49">
        <f t="array" ref="M49">IFERROR((SUMPRODUCT((economics!$AG$2:$AG$167=$B49)*(economics!$D$2:$D$167="process")*economics!$AH$2:$AH$167*(_xlfn.NORM.DIST(M$3,economics!$AK$2:$AK$167,economics!$AJ$2:$AJ$167,TRUE)-_xlfn.NORM.DIST(M$30,economics!$AK$2:$AK$167,economics!$AJ$2:$AJ$167,TRUE))*economics!$AM$2:$AM$167))/(SUMPRODUCT((economics!$AG$2:$AG$167=$B49)*(economics!$D$2:$D$167="process")*economics!$AH$2:$AH$167*(_xlfn.NORM.DIST(M$3,economics!$AK$2:$AK$167,economics!$AJ$2:$AJ$167,TRUE)-_xlfn.NORM.DIST(M$30,economics!$AK$2:$AK$167,economics!$AJ$2:$AJ$167,TRUE)))),"")</f>
        <v/>
      </c>
      <c r="N49">
        <f t="array" ref="N49">IFERROR((SUMPRODUCT((economics!$AG$2:$AG$167=$B49)*(economics!$D$2:$D$167="process")*economics!$AH$2:$AH$167*(_xlfn.NORM.DIST(N$3,economics!$AK$2:$AK$167,economics!$AJ$2:$AJ$167,TRUE)-_xlfn.NORM.DIST(N$30,economics!$AK$2:$AK$167,economics!$AJ$2:$AJ$167,TRUE))*economics!$AM$2:$AM$167))/(SUMPRODUCT((economics!$AG$2:$AG$167=$B49)*(economics!$D$2:$D$167="process")*economics!$AH$2:$AH$167*(_xlfn.NORM.DIST(N$3,economics!$AK$2:$AK$167,economics!$AJ$2:$AJ$167,TRUE)-_xlfn.NORM.DIST(N$30,economics!$AK$2:$AK$167,economics!$AJ$2:$AJ$167,TRUE)))),"")</f>
        <v/>
      </c>
      <c r="O49">
        <f t="array" ref="O49">IFERROR((SUMPRODUCT((economics!$AG$2:$AG$167=$B49)*(economics!$D$2:$D$167="process")*economics!$AH$2:$AH$167*(_xlfn.NORM.DIST(O$3,economics!$AK$2:$AK$167,economics!$AJ$2:$AJ$167,TRUE)-_xlfn.NORM.DIST(O$30,economics!$AK$2:$AK$167,economics!$AJ$2:$AJ$167,TRUE))*economics!$AM$2:$AM$167))/(SUMPRODUCT((economics!$AG$2:$AG$167=$B49)*(economics!$D$2:$D$167="process")*economics!$AH$2:$AH$167*(_xlfn.NORM.DIST(O$3,economics!$AK$2:$AK$167,economics!$AJ$2:$AJ$167,TRUE)-_xlfn.NORM.DIST(O$30,economics!$AK$2:$AK$167,economics!$AJ$2:$AJ$167,TRUE)))),"")</f>
        <v/>
      </c>
      <c r="P49">
        <f t="array" ref="P49">IFERROR((SUMPRODUCT((economics!$AG$2:$AG$167=$B49)*(economics!$D$2:$D$167="process")*economics!$AH$2:$AH$167*(_xlfn.NORM.DIST(P$3,economics!$AK$2:$AK$167,economics!$AJ$2:$AJ$167,TRUE)-_xlfn.NORM.DIST(P$30,economics!$AK$2:$AK$167,economics!$AJ$2:$AJ$167,TRUE))*economics!$AM$2:$AM$167))/(SUMPRODUCT((economics!$AG$2:$AG$167=$B49)*(economics!$D$2:$D$167="process")*economics!$AH$2:$AH$167*(_xlfn.NORM.DIST(P$3,economics!$AK$2:$AK$167,economics!$AJ$2:$AJ$167,TRUE)-_xlfn.NORM.DIST(P$30,economics!$AK$2:$AK$167,economics!$AJ$2:$AJ$167,TRUE)))),"")</f>
        <v/>
      </c>
      <c r="Q49">
        <f t="array" ref="Q49">IFERROR((SUMPRODUCT((economics!$AG$2:$AG$167=$B49)*(economics!$D$2:$D$167="process")*economics!$AH$2:$AH$167*(_xlfn.NORM.DIST(Q$3,economics!$AK$2:$AK$167,economics!$AJ$2:$AJ$167,TRUE)-_xlfn.NORM.DIST(Q$30,economics!$AK$2:$AK$167,economics!$AJ$2:$AJ$167,TRUE))*economics!$AM$2:$AM$167))/(SUMPRODUCT((economics!$AG$2:$AG$167=$B49)*(economics!$D$2:$D$167="process")*economics!$AH$2:$AH$167*(_xlfn.NORM.DIST(Q$3,economics!$AK$2:$AK$167,economics!$AJ$2:$AJ$167,TRUE)-_xlfn.NORM.DIST(Q$30,economics!$AK$2:$AK$167,economics!$AJ$2:$AJ$167,TRUE)))),"")</f>
        <v/>
      </c>
      <c r="R49">
        <f t="array" ref="R49">IFERROR((SUMPRODUCT((economics!$AG$2:$AG$167=$B49)*(economics!$D$2:$D$167="process")*economics!$AH$2:$AH$167*(_xlfn.NORM.DIST(R$3,economics!$AK$2:$AK$167,economics!$AJ$2:$AJ$167,TRUE)-_xlfn.NORM.DIST(R$30,economics!$AK$2:$AK$167,economics!$AJ$2:$AJ$167,TRUE))*economics!$AM$2:$AM$167))/(SUMPRODUCT((economics!$AG$2:$AG$167=$B49)*(economics!$D$2:$D$167="process")*economics!$AH$2:$AH$167*(_xlfn.NORM.DIST(R$3,economics!$AK$2:$AK$167,economics!$AJ$2:$AJ$167,TRUE)-_xlfn.NORM.DIST(R$30,economics!$AK$2:$AK$167,economics!$AJ$2:$AJ$167,TRUE)))),"")</f>
        <v/>
      </c>
      <c r="S49">
        <f t="array" ref="S49">IFERROR((SUMPRODUCT((economics!$AG$2:$AG$167=$B49)*(economics!$D$2:$D$167="process")*economics!$AH$2:$AH$167*(_xlfn.NORM.DIST(S$3,economics!$AK$2:$AK$167,economics!$AJ$2:$AJ$167,TRUE)-_xlfn.NORM.DIST(S$30,economics!$AK$2:$AK$167,economics!$AJ$2:$AJ$167,TRUE))*economics!$AM$2:$AM$167))/(SUMPRODUCT((economics!$AG$2:$AG$167=$B49)*(economics!$D$2:$D$167="process")*economics!$AH$2:$AH$167*(_xlfn.NORM.DIST(S$3,economics!$AK$2:$AK$167,economics!$AJ$2:$AJ$167,TRUE)-_xlfn.NORM.DIST(S$30,economics!$AK$2:$AK$167,economics!$AJ$2:$AJ$167,TRUE)))),"")</f>
        <v/>
      </c>
      <c r="T49">
        <f t="array" ref="T49">IFERROR((SUMPRODUCT((economics!$AG$2:$AG$167=$B49)*(economics!$D$2:$D$167="process")*economics!$AH$2:$AH$167*(_xlfn.NORM.DIST(T$3,economics!$AK$2:$AK$167,economics!$AJ$2:$AJ$167,TRUE)-_xlfn.NORM.DIST(T$30,economics!$AK$2:$AK$167,economics!$AJ$2:$AJ$167,TRUE))*economics!$AM$2:$AM$167))/(SUMPRODUCT((economics!$AG$2:$AG$167=$B49)*(economics!$D$2:$D$167="process")*economics!$AH$2:$AH$167*(_xlfn.NORM.DIST(T$3,economics!$AK$2:$AK$167,economics!$AJ$2:$AJ$167,TRUE)-_xlfn.NORM.DIST(T$30,economics!$AK$2:$AK$167,economics!$AJ$2:$AJ$167,TRUE)))),"")</f>
        <v/>
      </c>
      <c r="U49">
        <f t="array" ref="U49">IFERROR((SUMPRODUCT((economics!$AG$2:$AG$167=$B49)*(economics!$D$2:$D$167="process")*economics!$AH$2:$AH$167*(_xlfn.NORM.DIST(U$3,economics!$AK$2:$AK$167,economics!$AJ$2:$AJ$167,TRUE)-_xlfn.NORM.DIST(U$30,economics!$AK$2:$AK$167,economics!$AJ$2:$AJ$167,TRUE))*economics!$AM$2:$AM$167))/(SUMPRODUCT((economics!$AG$2:$AG$167=$B49)*(economics!$D$2:$D$167="process")*economics!$AH$2:$AH$167*(_xlfn.NORM.DIST(U$3,economics!$AK$2:$AK$167,economics!$AJ$2:$AJ$167,TRUE)-_xlfn.NORM.DIST(U$30,economics!$AK$2:$AK$167,economics!$AJ$2:$AJ$167,TRUE)))),"")</f>
        <v/>
      </c>
      <c r="V49">
        <f t="array" ref="V49">IFERROR((SUMPRODUCT((economics!$AG$2:$AG$167=$B49)*(economics!$D$2:$D$167="process")*economics!$AH$2:$AH$167*(_xlfn.NORM.DIST(V$3,economics!$AK$2:$AK$167,economics!$AJ$2:$AJ$167,TRUE)-_xlfn.NORM.DIST(V$30,economics!$AK$2:$AK$167,economics!$AJ$2:$AJ$167,TRUE))*economics!$AM$2:$AM$167))/(SUMPRODUCT((economics!$AG$2:$AG$167=$B49)*(economics!$D$2:$D$167="process")*economics!$AH$2:$AH$167*(_xlfn.NORM.DIST(V$3,economics!$AK$2:$AK$167,economics!$AJ$2:$AJ$167,TRUE)-_xlfn.NORM.DIST(V$30,economics!$AK$2:$AK$167,economics!$AJ$2:$AJ$167,TRUE)))),"")</f>
        <v/>
      </c>
      <c r="W49">
        <f t="array" ref="W49">IFERROR((SUMPRODUCT((economics!$AG$2:$AG$167=$B49)*(economics!$D$2:$D$167="process")*economics!$AH$2:$AH$167*(_xlfn.NORM.DIST(W$3,economics!$AK$2:$AK$167,economics!$AJ$2:$AJ$167,TRUE)-_xlfn.NORM.DIST(W$30,economics!$AK$2:$AK$167,economics!$AJ$2:$AJ$167,TRUE))*economics!$AM$2:$AM$167))/(SUMPRODUCT((economics!$AG$2:$AG$167=$B49)*(economics!$D$2:$D$167="process")*economics!$AH$2:$AH$167*(_xlfn.NORM.DIST(W$3,economics!$AK$2:$AK$167,economics!$AJ$2:$AJ$167,TRUE)-_xlfn.NORM.DIST(W$30,economics!$AK$2:$AK$167,economics!$AJ$2:$AJ$167,TRUE)))),"")</f>
        <v/>
      </c>
      <c r="X49">
        <f t="array" ref="X49">IFERROR((SUMPRODUCT((economics!$AG$2:$AG$167=$B49)*(economics!$D$2:$D$167="process")*economics!$AH$2:$AH$167*(_xlfn.NORM.DIST(X$3,economics!$AK$2:$AK$167,economics!$AJ$2:$AJ$167,TRUE)-_xlfn.NORM.DIST(X$30,economics!$AK$2:$AK$167,economics!$AJ$2:$AJ$167,TRUE))*economics!$AM$2:$AM$167))/(SUMPRODUCT((economics!$AG$2:$AG$167=$B49)*(economics!$D$2:$D$167="process")*economics!$AH$2:$AH$167*(_xlfn.NORM.DIST(X$3,economics!$AK$2:$AK$167,economics!$AJ$2:$AJ$167,TRUE)-_xlfn.NORM.DIST(X$30,economics!$AK$2:$AK$167,economics!$AJ$2:$AJ$167,TRUE)))),"")</f>
        <v/>
      </c>
      <c r="Y49">
        <f t="array" ref="Y49">IFERROR((SUMPRODUCT((economics!$AG$2:$AG$167=$B49)*(economics!$D$2:$D$167="process")*economics!$AH$2:$AH$167*(_xlfn.NORM.DIST(Y$3,economics!$AK$2:$AK$167,economics!$AJ$2:$AJ$167,TRUE)-_xlfn.NORM.DIST(Y$30,economics!$AK$2:$AK$167,economics!$AJ$2:$AJ$167,TRUE))*economics!$AM$2:$AM$167))/(SUMPRODUCT((economics!$AG$2:$AG$167=$B49)*(economics!$D$2:$D$167="process")*economics!$AH$2:$AH$167*(_xlfn.NORM.DIST(Y$3,economics!$AK$2:$AK$167,economics!$AJ$2:$AJ$167,TRUE)-_xlfn.NORM.DIST(Y$30,economics!$AK$2:$AK$167,economics!$AJ$2:$AJ$167,TRUE)))),"")</f>
        <v/>
      </c>
      <c r="Z49">
        <f t="array" ref="Z49">IFERROR((SUMPRODUCT((economics!$AG$2:$AG$167=$B49)*(economics!$D$2:$D$167="process")*economics!$AH$2:$AH$167*(_xlfn.NORM.DIST(Z$3,economics!$AK$2:$AK$167,economics!$AJ$2:$AJ$167,TRUE)-_xlfn.NORM.DIST(Z$30,economics!$AK$2:$AK$167,economics!$AJ$2:$AJ$167,TRUE))*economics!$AM$2:$AM$167))/(SUMPRODUCT((economics!$AG$2:$AG$167=$B49)*(economics!$D$2:$D$167="process")*economics!$AH$2:$AH$167*(_xlfn.NORM.DIST(Z$3,economics!$AK$2:$AK$167,economics!$AJ$2:$AJ$167,TRUE)-_xlfn.NORM.DIST(Z$30,economics!$AK$2:$AK$167,economics!$AJ$2:$AJ$167,TRUE)))),"")</f>
        <v/>
      </c>
      <c r="AA49">
        <f t="array" ref="AA49">IFERROR((SUMPRODUCT((economics!$AG$2:$AG$167=$B49)*(economics!$D$2:$D$167="process")*economics!$AH$2:$AH$167*(_xlfn.NORM.DIST(AA$3,economics!$AK$2:$AK$167,economics!$AJ$2:$AJ$167,TRUE)-_xlfn.NORM.DIST(AA$30,economics!$AK$2:$AK$167,economics!$AJ$2:$AJ$167,TRUE))*economics!$AM$2:$AM$167))/(SUMPRODUCT((economics!$AG$2:$AG$167=$B49)*(economics!$D$2:$D$167="process")*economics!$AH$2:$AH$167*(_xlfn.NORM.DIST(AA$3,economics!$AK$2:$AK$167,economics!$AJ$2:$AJ$167,TRUE)-_xlfn.NORM.DIST(AA$30,economics!$AK$2:$AK$167,economics!$AJ$2:$AJ$167,TRUE)))),"")</f>
        <v/>
      </c>
      <c r="AB49">
        <f t="array" ref="AB49">IFERROR((SUMPRODUCT((economics!$AG$2:$AG$167=$B49)*(economics!$D$2:$D$167="process")*economics!$AH$2:$AH$167*(_xlfn.NORM.DIST(AB$3,economics!$AK$2:$AK$167,economics!$AJ$2:$AJ$167,TRUE)-_xlfn.NORM.DIST(AB$30,economics!$AK$2:$AK$167,economics!$AJ$2:$AJ$167,TRUE))*economics!$AM$2:$AM$167))/(SUMPRODUCT((economics!$AG$2:$AG$167=$B49)*(economics!$D$2:$D$167="process")*economics!$AH$2:$AH$167*(_xlfn.NORM.DIST(AB$3,economics!$AK$2:$AK$167,economics!$AJ$2:$AJ$167,TRUE)-_xlfn.NORM.DIST(AB$30,economics!$AK$2:$AK$167,economics!$AJ$2:$AJ$167,TRUE)))),"")</f>
        <v/>
      </c>
      <c r="AC49">
        <f t="array" ref="AC49">IFERROR((SUMPRODUCT((economics!$AG$2:$AG$167=$B49)*(economics!$D$2:$D$167="process")*economics!$AH$2:$AH$167*(_xlfn.NORM.DIST(AC$3,economics!$AK$2:$AK$167,economics!$AJ$2:$AJ$167,TRUE)-_xlfn.NORM.DIST(AC$30,economics!$AK$2:$AK$167,economics!$AJ$2:$AJ$167,TRUE))*economics!$AM$2:$AM$167))/(SUMPRODUCT((economics!$AG$2:$AG$167=$B49)*(economics!$D$2:$D$167="process")*economics!$AH$2:$AH$167*(_xlfn.NORM.DIST(AC$3,economics!$AK$2:$AK$167,economics!$AJ$2:$AJ$167,TRUE)-_xlfn.NORM.DIST(AC$30,economics!$AK$2:$AK$167,economics!$AJ$2:$AJ$167,TRUE)))),"")</f>
        <v/>
      </c>
      <c r="AD49">
        <f t="array" ref="AD49">IFERROR((SUMPRODUCT((economics!$AG$2:$AG$167=$B49)*(economics!$D$2:$D$167="process")*economics!$AH$2:$AH$167*(_xlfn.NORM.DIST(AD$3,economics!$AK$2:$AK$167,economics!$AJ$2:$AJ$167,TRUE)-_xlfn.NORM.DIST(AD$30,economics!$AK$2:$AK$167,economics!$AJ$2:$AJ$167,TRUE))*economics!$AM$2:$AM$167))/(SUMPRODUCT((economics!$AG$2:$AG$167=$B49)*(economics!$D$2:$D$167="process")*economics!$AH$2:$AH$167*(_xlfn.NORM.DIST(AD$3,economics!$AK$2:$AK$167,economics!$AJ$2:$AJ$167,TRUE)-_xlfn.NORM.DIST(AD$30,economics!$AK$2:$AK$167,economics!$AJ$2:$AJ$167,TRUE)))),"")</f>
        <v/>
      </c>
      <c r="AE49">
        <f t="array" ref="AE49">IFERROR((SUMPRODUCT((economics!$AG$2:$AG$167=$B49)*(economics!$D$2:$D$167="process")*economics!$AH$2:$AH$167*(_xlfn.NORM.DIST(AE$3,economics!$AK$2:$AK$167,economics!$AJ$2:$AJ$167,TRUE)-_xlfn.NORM.DIST(AE$30,economics!$AK$2:$AK$167,economics!$AJ$2:$AJ$167,TRUE))*economics!$AM$2:$AM$167))/(SUMPRODUCT((economics!$AG$2:$AG$167=$B49)*(economics!$D$2:$D$167="process")*economics!$AH$2:$AH$167*(_xlfn.NORM.DIST(AE$3,economics!$AK$2:$AK$167,economics!$AJ$2:$AJ$167,TRUE)-_xlfn.NORM.DIST(AE$30,economics!$AK$2:$AK$167,economics!$AJ$2:$AJ$167,TRUE)))),"")</f>
        <v/>
      </c>
      <c r="AF49">
        <f t="array" ref="AF49">IFERROR((SUMPRODUCT((economics!$AG$2:$AG$167=$B49)*(economics!$D$2:$D$167="process")*economics!$AH$2:$AH$167*(_xlfn.NORM.DIST(AF$3,economics!$AK$2:$AK$167,economics!$AJ$2:$AJ$167,TRUE)-_xlfn.NORM.DIST(AF$30,economics!$AK$2:$AK$167,economics!$AJ$2:$AJ$167,TRUE))*economics!$AM$2:$AM$167))/(SUMPRODUCT((economics!$AG$2:$AG$167=$B49)*(economics!$D$2:$D$167="process")*economics!$AH$2:$AH$167*(_xlfn.NORM.DIST(AF$3,economics!$AK$2:$AK$167,economics!$AJ$2:$AJ$167,TRUE)-_xlfn.NORM.DIST(AF$30,economics!$AK$2:$AK$167,economics!$AJ$2:$AJ$167,TRUE)))),"")</f>
        <v/>
      </c>
      <c r="AG49">
        <f t="array" ref="AG49">IFERROR((SUMPRODUCT((economics!$AG$2:$AG$167=$B49)*(economics!$D$2:$D$167="process")*economics!$AH$2:$AH$167*(_xlfn.NORM.DIST(AG$3,economics!$AK$2:$AK$167,economics!$AJ$2:$AJ$167,TRUE)-_xlfn.NORM.DIST(AG$30,economics!$AK$2:$AK$167,economics!$AJ$2:$AJ$167,TRUE))*economics!$AM$2:$AM$167))/(SUMPRODUCT((economics!$AG$2:$AG$167=$B49)*(economics!$D$2:$D$167="process")*economics!$AH$2:$AH$167*(_xlfn.NORM.DIST(AG$3,economics!$AK$2:$AK$167,economics!$AJ$2:$AJ$167,TRUE)-_xlfn.NORM.DIST(AG$30,economics!$AK$2:$AK$167,economics!$AJ$2:$AJ$167,TRUE)))),"")</f>
        <v/>
      </c>
      <c r="AH49">
        <f t="array" ref="AH49">IFERROR((SUMPRODUCT((economics!$AG$2:$AG$167=$B49)*(economics!$D$2:$D$167="process")*economics!$AH$2:$AH$167*(_xlfn.NORM.DIST(AH$3,economics!$AK$2:$AK$167,economics!$AJ$2:$AJ$167,TRUE)-_xlfn.NORM.DIST(AH$30,economics!$AK$2:$AK$167,economics!$AJ$2:$AJ$167,TRUE))*economics!$AM$2:$AM$167))/(SUMPRODUCT((economics!$AG$2:$AG$167=$B49)*(economics!$D$2:$D$167="process")*economics!$AH$2:$AH$167*(_xlfn.NORM.DIST(AH$3,economics!$AK$2:$AK$167,economics!$AJ$2:$AJ$167,TRUE)-_xlfn.NORM.DIST(AH$30,economics!$AK$2:$AK$167,economics!$AJ$2:$AJ$167,TRUE)))),"")</f>
        <v/>
      </c>
      <c r="AI49">
        <f t="array" ref="AI49">IFERROR((SUMPRODUCT((economics!$AG$2:$AG$167=$B49)*(economics!$D$2:$D$167="process")*economics!$AH$2:$AH$167*(_xlfn.NORM.DIST(AI$3,economics!$AK$2:$AK$167,economics!$AJ$2:$AJ$167,TRUE)-_xlfn.NORM.DIST(AI$30,economics!$AK$2:$AK$167,economics!$AJ$2:$AJ$167,TRUE))*economics!$AM$2:$AM$167))/(SUMPRODUCT((economics!$AG$2:$AG$167=$B49)*(economics!$D$2:$D$167="process")*economics!$AH$2:$AH$167*(_xlfn.NORM.DIST(AI$3,economics!$AK$2:$AK$167,economics!$AJ$2:$AJ$167,TRUE)-_xlfn.NORM.DIST(AI$30,economics!$AK$2:$AK$167,economics!$AJ$2:$AJ$167,TRUE)))),"")</f>
        <v/>
      </c>
      <c r="AJ49">
        <f t="array" ref="AJ49">IFERROR((SUMPRODUCT((economics!$AG$2:$AG$167=$B49)*(economics!$D$2:$D$167="process")*economics!$AH$2:$AH$167*(_xlfn.NORM.DIST(AJ$3,economics!$AK$2:$AK$167,economics!$AJ$2:$AJ$167,TRUE)-_xlfn.NORM.DIST(AJ$30,economics!$AK$2:$AK$167,economics!$AJ$2:$AJ$167,TRUE))*economics!$AM$2:$AM$167))/(SUMPRODUCT((economics!$AG$2:$AG$167=$B49)*(economics!$D$2:$D$167="process")*economics!$AH$2:$AH$167*(_xlfn.NORM.DIST(AJ$3,economics!$AK$2:$AK$167,economics!$AJ$2:$AJ$167,TRUE)-_xlfn.NORM.DIST(AJ$30,economics!$AK$2:$AK$167,economics!$AJ$2:$AJ$167,TRUE)))),"")</f>
        <v/>
      </c>
      <c r="AK49">
        <f t="array" ref="AK49">IFERROR((SUMPRODUCT((economics!$AG$2:$AG$167=$B49)*(economics!$D$2:$D$167="process")*economics!$AH$2:$AH$167*(_xlfn.NORM.DIST(AK$3,economics!$AK$2:$AK$167,economics!$AJ$2:$AJ$167,TRUE)-_xlfn.NORM.DIST(AK$30,economics!$AK$2:$AK$167,economics!$AJ$2:$AJ$167,TRUE))*economics!$AM$2:$AM$167))/(SUMPRODUCT((economics!$AG$2:$AG$167=$B49)*(economics!$D$2:$D$167="process")*economics!$AH$2:$AH$167*(_xlfn.NORM.DIST(AK$3,economics!$AK$2:$AK$167,economics!$AJ$2:$AJ$167,TRUE)-_xlfn.NORM.DIST(AK$30,economics!$AK$2:$AK$167,economics!$AJ$2:$AJ$167,TRUE)))),"")</f>
        <v/>
      </c>
      <c r="AL49">
        <f t="array" ref="AL49">IFERROR((SUMPRODUCT((economics!$AG$2:$AG$167=$B49)*(economics!$D$2:$D$167="process")*economics!$AH$2:$AH$167*(_xlfn.NORM.DIST(AL$3,economics!$AK$2:$AK$167,economics!$AJ$2:$AJ$167,TRUE)-_xlfn.NORM.DIST(AL$30,economics!$AK$2:$AK$167,economics!$AJ$2:$AJ$167,TRUE))*economics!$AM$2:$AM$167))/(SUMPRODUCT((economics!$AG$2:$AG$167=$B49)*(economics!$D$2:$D$167="process")*economics!$AH$2:$AH$167*(_xlfn.NORM.DIST(AL$3,economics!$AK$2:$AK$167,economics!$AJ$2:$AJ$167,TRUE)-_xlfn.NORM.DIST(AL$30,economics!$AK$2:$AK$167,economics!$AJ$2:$AJ$167,TRUE)))),"")</f>
        <v/>
      </c>
      <c r="AM49">
        <f t="array" ref="AM49">IFERROR((SUMPRODUCT((economics!$AG$2:$AG$167=$B49)*(economics!$D$2:$D$167="process")*economics!$AH$2:$AH$167*(_xlfn.NORM.DIST(AM$3,economics!$AK$2:$AK$167,economics!$AJ$2:$AJ$167,TRUE)-_xlfn.NORM.DIST(AM$30,economics!$AK$2:$AK$167,economics!$AJ$2:$AJ$167,TRUE))*economics!$AM$2:$AM$167))/(SUMPRODUCT((economics!$AG$2:$AG$167=$B49)*(economics!$D$2:$D$167="process")*economics!$AH$2:$AH$167*(_xlfn.NORM.DIST(AM$3,economics!$AK$2:$AK$167,economics!$AJ$2:$AJ$167,TRUE)-_xlfn.NORM.DIST(AM$30,economics!$AK$2:$AK$167,economics!$AJ$2:$AJ$167,TRUE)))),"")</f>
        <v/>
      </c>
      <c r="AN49">
        <f t="array" ref="AN49">IFERROR((SUMPRODUCT((economics!$AG$2:$AG$167=$B49)*(economics!$D$2:$D$167="process")*economics!$AH$2:$AH$167*(_xlfn.NORM.DIST(AN$3,economics!$AK$2:$AK$167,economics!$AJ$2:$AJ$167,TRUE)-_xlfn.NORM.DIST(AN$30,economics!$AK$2:$AK$167,economics!$AJ$2:$AJ$167,TRUE))*economics!$AM$2:$AM$167))/(SUMPRODUCT((economics!$AG$2:$AG$167=$B49)*(economics!$D$2:$D$167="process")*economics!$AH$2:$AH$167*(_xlfn.NORM.DIST(AN$3,economics!$AK$2:$AK$167,economics!$AJ$2:$AJ$167,TRUE)-_xlfn.NORM.DIST(AN$30,economics!$AK$2:$AK$167,economics!$AJ$2:$AJ$167,TRUE)))),"")</f>
        <v/>
      </c>
      <c r="AO49">
        <f t="array" ref="AO49">IFERROR((SUMPRODUCT((economics!$AG$2:$AG$167=$B49)*(economics!$D$2:$D$167="process")*economics!$AH$2:$AH$167*(_xlfn.NORM.DIST(AO$3,economics!$AK$2:$AK$167,economics!$AJ$2:$AJ$167,TRUE)-_xlfn.NORM.DIST(AO$30,economics!$AK$2:$AK$167,economics!$AJ$2:$AJ$167,TRUE))*economics!$AM$2:$AM$167))/(SUMPRODUCT((economics!$AG$2:$AG$167=$B49)*(economics!$D$2:$D$167="process")*economics!$AH$2:$AH$167*(_xlfn.NORM.DIST(AO$3,economics!$AK$2:$AK$167,economics!$AJ$2:$AJ$167,TRUE)-_xlfn.NORM.DIST(AO$30,economics!$AK$2:$AK$167,economics!$AJ$2:$AJ$167,TRUE)))),"")</f>
        <v/>
      </c>
      <c r="AP49">
        <f t="array" ref="AP49">IFERROR((SUMPRODUCT((economics!$AG$2:$AG$167=$B49)*(economics!$D$2:$D$167="process")*economics!$AH$2:$AH$167*(_xlfn.NORM.DIST(AP$3,economics!$AK$2:$AK$167,economics!$AJ$2:$AJ$167,TRUE)-_xlfn.NORM.DIST(AP$30,economics!$AK$2:$AK$167,economics!$AJ$2:$AJ$167,TRUE))*economics!$AM$2:$AM$167))/(SUMPRODUCT((economics!$AG$2:$AG$167=$B49)*(economics!$D$2:$D$167="process")*economics!$AH$2:$AH$167*(_xlfn.NORM.DIST(AP$3,economics!$AK$2:$AK$167,economics!$AJ$2:$AJ$167,TRUE)-_xlfn.NORM.DIST(AP$30,economics!$AK$2:$AK$167,economics!$AJ$2:$AJ$167,TRUE)))),"")</f>
        <v/>
      </c>
      <c r="AQ49">
        <f t="array" ref="AQ49">IFERROR((SUMPRODUCT((economics!$AG$2:$AG$167=$B49)*(economics!$D$2:$D$167="process")*economics!$AH$2:$AH$167*(_xlfn.NORM.DIST(AQ$3,economics!$AK$2:$AK$167,economics!$AJ$2:$AJ$167,TRUE)-_xlfn.NORM.DIST(AQ$30,economics!$AK$2:$AK$167,economics!$AJ$2:$AJ$167,TRUE))*economics!$AM$2:$AM$167))/(SUMPRODUCT((economics!$AG$2:$AG$167=$B49)*(economics!$D$2:$D$167="process")*economics!$AH$2:$AH$167*(_xlfn.NORM.DIST(AQ$3,economics!$AK$2:$AK$167,economics!$AJ$2:$AJ$167,TRUE)-_xlfn.NORM.DIST(AQ$30,economics!$AK$2:$AK$167,economics!$AJ$2:$AJ$167,TRUE)))),"")</f>
        <v/>
      </c>
      <c r="AR49">
        <f t="array" ref="AR49">IFERROR((SUMPRODUCT((economics!$AG$2:$AG$167=$B49)*(economics!$D$2:$D$167="process")*economics!$AH$2:$AH$167*(_xlfn.NORM.DIST(AR$3,economics!$AK$2:$AK$167,economics!$AJ$2:$AJ$167,TRUE)-_xlfn.NORM.DIST(AR$30,economics!$AK$2:$AK$167,economics!$AJ$2:$AJ$167,TRUE))*economics!$AM$2:$AM$167))/(SUMPRODUCT((economics!$AG$2:$AG$167=$B49)*(economics!$D$2:$D$167="process")*economics!$AH$2:$AH$167*(_xlfn.NORM.DIST(AR$3,economics!$AK$2:$AK$167,economics!$AJ$2:$AJ$167,TRUE)-_xlfn.NORM.DIST(AR$30,economics!$AK$2:$AK$167,economics!$AJ$2:$AJ$167,TRUE)))),"")</f>
        <v/>
      </c>
      <c r="AS49">
        <f t="array" ref="AS49">IFERROR((SUMPRODUCT((economics!$AG$2:$AG$167=$B49)*(economics!$D$2:$D$167="process")*economics!$AH$2:$AH$167*(_xlfn.NORM.DIST(AS$3,economics!$AK$2:$AK$167,economics!$AJ$2:$AJ$167,TRUE)-_xlfn.NORM.DIST(AS$30,economics!$AK$2:$AK$167,economics!$AJ$2:$AJ$167,TRUE))*economics!$AM$2:$AM$167))/(SUMPRODUCT((economics!$AG$2:$AG$167=$B49)*(economics!$D$2:$D$167="process")*economics!$AH$2:$AH$167*(_xlfn.NORM.DIST(AS$3,economics!$AK$2:$AK$167,economics!$AJ$2:$AJ$167,TRUE)-_xlfn.NORM.DIST(AS$30,economics!$AK$2:$AK$167,economics!$AJ$2:$AJ$167,TRUE)))),"")</f>
        <v/>
      </c>
      <c r="AT49">
        <f t="array" ref="AT49">IFERROR((SUMPRODUCT((economics!$AG$2:$AG$167=$B49)*(economics!$D$2:$D$167="process")*economics!$AH$2:$AH$167*(_xlfn.NORM.DIST(AT$3,economics!$AK$2:$AK$167,economics!$AJ$2:$AJ$167,TRUE)-_xlfn.NORM.DIST(AT$30,economics!$AK$2:$AK$167,economics!$AJ$2:$AJ$167,TRUE))*economics!$AM$2:$AM$167))/(SUMPRODUCT((economics!$AG$2:$AG$167=$B49)*(economics!$D$2:$D$167="process")*economics!$AH$2:$AH$167*(_xlfn.NORM.DIST(AT$3,economics!$AK$2:$AK$167,economics!$AJ$2:$AJ$167,TRUE)-_xlfn.NORM.DIST(AT$30,economics!$AK$2:$AK$167,economics!$AJ$2:$AJ$167,TRUE)))),"")</f>
        <v/>
      </c>
      <c r="AU49">
        <f t="array" ref="AU49">IFERROR((SUMPRODUCT((economics!$AG$2:$AG$167=$B49)*(economics!$D$2:$D$167="process")*economics!$AH$2:$AH$167*(_xlfn.NORM.DIST(AU$3,economics!$AK$2:$AK$167,economics!$AJ$2:$AJ$167,TRUE)-_xlfn.NORM.DIST(AU$30,economics!$AK$2:$AK$167,economics!$AJ$2:$AJ$167,TRUE))*economics!$AM$2:$AM$167))/(SUMPRODUCT((economics!$AG$2:$AG$167=$B49)*(economics!$D$2:$D$167="process")*economics!$AH$2:$AH$167*(_xlfn.NORM.DIST(AU$3,economics!$AK$2:$AK$167,economics!$AJ$2:$AJ$167,TRUE)-_xlfn.NORM.DIST(AU$30,economics!$AK$2:$AK$167,economics!$AJ$2:$AJ$167,TRUE)))),"")</f>
        <v/>
      </c>
      <c r="AV49">
        <f t="array" ref="AV49">IFERROR((SUMPRODUCT((economics!$AG$2:$AG$167=$B49)*(economics!$D$2:$D$167="process")*economics!$AH$2:$AH$167*(_xlfn.NORM.DIST(AV$3,economics!$AK$2:$AK$167,economics!$AJ$2:$AJ$167,TRUE)-_xlfn.NORM.DIST(AV$30,economics!$AK$2:$AK$167,economics!$AJ$2:$AJ$167,TRUE))*economics!$AM$2:$AM$167))/(SUMPRODUCT((economics!$AG$2:$AG$167=$B49)*(economics!$D$2:$D$167="process")*economics!$AH$2:$AH$167*(_xlfn.NORM.DIST(AV$3,economics!$AK$2:$AK$167,economics!$AJ$2:$AJ$167,TRUE)-_xlfn.NORM.DIST(AV$30,economics!$AK$2:$AK$167,economics!$AJ$2:$AJ$167,TRUE)))),"")</f>
        <v/>
      </c>
      <c r="AW49">
        <f t="array" ref="AW49">IFERROR((SUMPRODUCT((economics!$AG$2:$AG$167=$B49)*(economics!$D$2:$D$167="process")*economics!$AH$2:$AH$167*(_xlfn.NORM.DIST(AW$3,economics!$AK$2:$AK$167,economics!$AJ$2:$AJ$167,TRUE)-_xlfn.NORM.DIST(AW$30,economics!$AK$2:$AK$167,economics!$AJ$2:$AJ$167,TRUE))*economics!$AM$2:$AM$167))/(SUMPRODUCT((economics!$AG$2:$AG$167=$B49)*(economics!$D$2:$D$167="process")*economics!$AH$2:$AH$167*(_xlfn.NORM.DIST(AW$3,economics!$AK$2:$AK$167,economics!$AJ$2:$AJ$167,TRUE)-_xlfn.NORM.DIST(AW$30,economics!$AK$2:$AK$167,economics!$AJ$2:$AJ$167,TRUE)))),"")</f>
        <v/>
      </c>
      <c r="AX49">
        <f t="array" ref="AX49">IFERROR((SUMPRODUCT((economics!$AG$2:$AG$167=$B49)*(economics!$D$2:$D$167="process")*economics!$AH$2:$AH$167*(_xlfn.NORM.DIST(AX$3,economics!$AK$2:$AK$167,economics!$AJ$2:$AJ$167,TRUE)-_xlfn.NORM.DIST(AX$30,economics!$AK$2:$AK$167,economics!$AJ$2:$AJ$167,TRUE))*economics!$AM$2:$AM$167))/(SUMPRODUCT((economics!$AG$2:$AG$167=$B49)*(economics!$D$2:$D$167="process")*economics!$AH$2:$AH$167*(_xlfn.NORM.DIST(AX$3,economics!$AK$2:$AK$167,economics!$AJ$2:$AJ$167,TRUE)-_xlfn.NORM.DIST(AX$30,economics!$AK$2:$AK$167,economics!$AJ$2:$AJ$167,TRUE)))),"")</f>
        <v/>
      </c>
      <c r="AY49">
        <f t="array" ref="AY49">IFERROR((SUMPRODUCT((economics!$AG$2:$AG$167=$B49)*(economics!$D$2:$D$167="process")*economics!$AH$2:$AH$167*(_xlfn.NORM.DIST(AY$3,economics!$AK$2:$AK$167,economics!$AJ$2:$AJ$167,TRUE)-_xlfn.NORM.DIST(AY$30,economics!$AK$2:$AK$167,economics!$AJ$2:$AJ$167,TRUE))*economics!$AM$2:$AM$167))/(SUMPRODUCT((economics!$AG$2:$AG$167=$B49)*(economics!$D$2:$D$167="process")*economics!$AH$2:$AH$167*(_xlfn.NORM.DIST(AY$3,economics!$AK$2:$AK$167,economics!$AJ$2:$AJ$167,TRUE)-_xlfn.NORM.DIST(AY$30,economics!$AK$2:$AK$167,economics!$AJ$2:$AJ$167,TRUE)))),"")</f>
        <v/>
      </c>
      <c r="AZ49">
        <f t="array" ref="AZ49">IFERROR((SUMPRODUCT((economics!$AG$2:$AG$167=$B49)*(economics!$D$2:$D$167="process")*economics!$AH$2:$AH$167*(_xlfn.NORM.DIST(AZ$3,economics!$AK$2:$AK$167,economics!$AJ$2:$AJ$167,TRUE)-_xlfn.NORM.DIST(AZ$30,economics!$AK$2:$AK$167,economics!$AJ$2:$AJ$167,TRUE))*economics!$AM$2:$AM$167))/(SUMPRODUCT((economics!$AG$2:$AG$167=$B49)*(economics!$D$2:$D$167="process")*economics!$AH$2:$AH$167*(_xlfn.NORM.DIST(AZ$3,economics!$AK$2:$AK$167,economics!$AJ$2:$AJ$167,TRUE)-_xlfn.NORM.DIST(AZ$30,economics!$AK$2:$AK$167,economics!$AJ$2:$AJ$167,TRUE)))),"")</f>
        <v/>
      </c>
      <c r="BA49">
        <f t="array" ref="BA49">IFERROR((SUMPRODUCT((economics!$AG$2:$AG$167=$B49)*(economics!$D$2:$D$167="process")*economics!$AH$2:$AH$167*(_xlfn.NORM.DIST(BA$3,economics!$AK$2:$AK$167,economics!$AJ$2:$AJ$167,TRUE)-_xlfn.NORM.DIST(BA$30,economics!$AK$2:$AK$167,economics!$AJ$2:$AJ$167,TRUE))*economics!$AM$2:$AM$167))/(SUMPRODUCT((economics!$AG$2:$AG$167=$B49)*(economics!$D$2:$D$167="process")*economics!$AH$2:$AH$167*(_xlfn.NORM.DIST(BA$3,economics!$AK$2:$AK$167,economics!$AJ$2:$AJ$167,TRUE)-_xlfn.NORM.DIST(BA$30,economics!$AK$2:$AK$167,economics!$AJ$2:$AJ$167,TRUE)))),"")</f>
        <v/>
      </c>
      <c r="BB49">
        <f t="array" ref="BB49">IFERROR((SUMPRODUCT((economics!$AG$2:$AG$167=$B49)*(economics!$D$2:$D$167="process")*economics!$AH$2:$AH$167*(_xlfn.NORM.DIST(BB$3,economics!$AK$2:$AK$167,economics!$AJ$2:$AJ$167,TRUE)-_xlfn.NORM.DIST(BB$30,economics!$AK$2:$AK$167,economics!$AJ$2:$AJ$167,TRUE))*economics!$AM$2:$AM$167))/(SUMPRODUCT((economics!$AG$2:$AG$167=$B49)*(economics!$D$2:$D$167="process")*economics!$AH$2:$AH$167*(_xlfn.NORM.DIST(BB$3,economics!$AK$2:$AK$167,economics!$AJ$2:$AJ$167,TRUE)-_xlfn.NORM.DIST(BB$30,economics!$AK$2:$AK$167,economics!$AJ$2:$AJ$167,TRUE)))),"")</f>
        <v/>
      </c>
      <c r="BC49">
        <f t="array" ref="BC49">IFERROR((SUMPRODUCT((economics!$AG$2:$AG$167=$B49)*(economics!$D$2:$D$167="process")*economics!$AH$2:$AH$167*(_xlfn.NORM.DIST(BC$3,economics!$AK$2:$AK$167,economics!$AJ$2:$AJ$167,TRUE)-_xlfn.NORM.DIST(BC$30,economics!$AK$2:$AK$167,economics!$AJ$2:$AJ$167,TRUE))*economics!$AM$2:$AM$167))/(SUMPRODUCT((economics!$AG$2:$AG$167=$B49)*(economics!$D$2:$D$167="process")*economics!$AH$2:$AH$167*(_xlfn.NORM.DIST(BC$3,economics!$AK$2:$AK$167,economics!$AJ$2:$AJ$167,TRUE)-_xlfn.NORM.DIST(BC$30,economics!$AK$2:$AK$167,economics!$AJ$2:$AJ$167,TRUE)))),"")</f>
        <v/>
      </c>
      <c r="BD49">
        <f t="array" ref="BD49">IFERROR((SUMPRODUCT((economics!$AG$2:$AG$167=$B49)*(economics!$D$2:$D$167="process")*economics!$AH$2:$AH$167*(_xlfn.NORM.DIST(BD$3,economics!$AK$2:$AK$167,economics!$AJ$2:$AJ$167,TRUE)-_xlfn.NORM.DIST(BD$30,economics!$AK$2:$AK$167,economics!$AJ$2:$AJ$167,TRUE))*economics!$AM$2:$AM$167))/(SUMPRODUCT((economics!$AG$2:$AG$167=$B49)*(economics!$D$2:$D$167="process")*economics!$AH$2:$AH$167*(_xlfn.NORM.DIST(BD$3,economics!$AK$2:$AK$167,economics!$AJ$2:$AJ$167,TRUE)-_xlfn.NORM.DIST(BD$30,economics!$AK$2:$AK$167,economics!$AJ$2:$AJ$167,TRUE)))),"")</f>
        <v/>
      </c>
      <c r="BE49">
        <f t="array" ref="BE49">IFERROR((SUMPRODUCT((economics!$AG$2:$AG$167=$B49)*(economics!$D$2:$D$167="process")*economics!$AH$2:$AH$167*(_xlfn.NORM.DIST(BE$3,economics!$AK$2:$AK$167,economics!$AJ$2:$AJ$167,TRUE)-_xlfn.NORM.DIST(BE$30,economics!$AK$2:$AK$167,economics!$AJ$2:$AJ$167,TRUE))*economics!$AM$2:$AM$167))/(SUMPRODUCT((economics!$AG$2:$AG$167=$B49)*(economics!$D$2:$D$167="process")*economics!$AH$2:$AH$167*(_xlfn.NORM.DIST(BE$3,economics!$AK$2:$AK$167,economics!$AJ$2:$AJ$167,TRUE)-_xlfn.NORM.DIST(BE$30,economics!$AK$2:$AK$167,economics!$AJ$2:$AJ$167,TRUE)))),"")</f>
        <v/>
      </c>
      <c r="BF49">
        <f t="array" ref="BF49">IFERROR((SUMPRODUCT((economics!$AG$2:$AG$167=$B49)*(economics!$D$2:$D$167="process")*economics!$AH$2:$AH$167*(_xlfn.NORM.DIST(BF$3,economics!$AK$2:$AK$167,economics!$AJ$2:$AJ$167,TRUE)-_xlfn.NORM.DIST(BF$30,economics!$AK$2:$AK$167,economics!$AJ$2:$AJ$167,TRUE))*economics!$AM$2:$AM$167))/(SUMPRODUCT((economics!$AG$2:$AG$167=$B49)*(economics!$D$2:$D$167="process")*economics!$AH$2:$AH$167*(_xlfn.NORM.DIST(BF$3,economics!$AK$2:$AK$167,economics!$AJ$2:$AJ$167,TRUE)-_xlfn.NORM.DIST(BF$30,economics!$AK$2:$AK$167,economics!$AJ$2:$AJ$167,TRUE)))),"")</f>
        <v/>
      </c>
      <c r="BG49">
        <f t="array" ref="BG49">IFERROR((SUMPRODUCT((economics!$AG$2:$AG$167=$B49)*(economics!$D$2:$D$167="process")*economics!$AH$2:$AH$167*(_xlfn.NORM.DIST(BG$3,economics!$AK$2:$AK$167,economics!$AJ$2:$AJ$167,TRUE)-_xlfn.NORM.DIST(BG$30,economics!$AK$2:$AK$167,economics!$AJ$2:$AJ$167,TRUE))*economics!$AM$2:$AM$167))/(SUMPRODUCT((economics!$AG$2:$AG$167=$B49)*(economics!$D$2:$D$167="process")*economics!$AH$2:$AH$167*(_xlfn.NORM.DIST(BG$3,economics!$AK$2:$AK$167,economics!$AJ$2:$AJ$167,TRUE)-_xlfn.NORM.DIST(BG$30,economics!$AK$2:$AK$167,economics!$AJ$2:$AJ$167,TRUE)))),"")</f>
        <v/>
      </c>
      <c r="BH49">
        <f t="array" ref="BH49">IFERROR((SUMPRODUCT((economics!$AG$2:$AG$167=$B49)*(economics!$D$2:$D$167="process")*economics!$AH$2:$AH$167*(_xlfn.NORM.DIST(BH$3,economics!$AK$2:$AK$167,economics!$AJ$2:$AJ$167,TRUE)-_xlfn.NORM.DIST(BH$30,economics!$AK$2:$AK$167,economics!$AJ$2:$AJ$167,TRUE))*economics!$AM$2:$AM$167))/(SUMPRODUCT((economics!$AG$2:$AG$167=$B49)*(economics!$D$2:$D$167="process")*economics!$AH$2:$AH$167*(_xlfn.NORM.DIST(BH$3,economics!$AK$2:$AK$167,economics!$AJ$2:$AJ$167,TRUE)-_xlfn.NORM.DIST(BH$30,economics!$AK$2:$AK$167,economics!$AJ$2:$AJ$167,TRUE)))),"")</f>
        <v/>
      </c>
      <c r="BI49">
        <f t="array" ref="BI49">IFERROR((SUMPRODUCT((economics!$AG$2:$AG$167=$B49)*(economics!$D$2:$D$167="process")*economics!$AH$2:$AH$167*(_xlfn.NORM.DIST(BI$3,economics!$AK$2:$AK$167,economics!$AJ$2:$AJ$167,TRUE)-_xlfn.NORM.DIST(BI$30,economics!$AK$2:$AK$167,economics!$AJ$2:$AJ$167,TRUE))*economics!$AM$2:$AM$167))/(SUMPRODUCT((economics!$AG$2:$AG$167=$B49)*(economics!$D$2:$D$167="process")*economics!$AH$2:$AH$167*(_xlfn.NORM.DIST(BI$3,economics!$AK$2:$AK$167,economics!$AJ$2:$AJ$167,TRUE)-_xlfn.NORM.DIST(BI$30,economics!$AK$2:$AK$167,economics!$AJ$2:$AJ$167,TRUE)))),"")</f>
        <v/>
      </c>
      <c r="BJ49">
        <f t="array" ref="BJ49">IFERROR((SUMPRODUCT((economics!$AG$2:$AG$167=$B49)*(economics!$D$2:$D$167="process")*economics!$AH$2:$AH$167*(_xlfn.NORM.DIST(BJ$3,economics!$AK$2:$AK$167,economics!$AJ$2:$AJ$167,TRUE)-_xlfn.NORM.DIST(BJ$30,economics!$AK$2:$AK$167,economics!$AJ$2:$AJ$167,TRUE))*economics!$AM$2:$AM$167))/(SUMPRODUCT((economics!$AG$2:$AG$167=$B49)*(economics!$D$2:$D$167="process")*economics!$AH$2:$AH$167*(_xlfn.NORM.DIST(BJ$3,economics!$AK$2:$AK$167,economics!$AJ$2:$AJ$167,TRUE)-_xlfn.NORM.DIST(BJ$30,economics!$AK$2:$AK$167,economics!$AJ$2:$AJ$167,TRUE)))),"")</f>
        <v/>
      </c>
      <c r="BK49">
        <f t="array" ref="BK49">IFERROR((SUMPRODUCT((economics!$AG$2:$AG$167=$B49)*(economics!$D$2:$D$167="process")*economics!$AH$2:$AH$167*(_xlfn.NORM.DIST(BK$3,economics!$AK$2:$AK$167,economics!$AJ$2:$AJ$167,TRUE)-_xlfn.NORM.DIST(BK$30,economics!$AK$2:$AK$167,economics!$AJ$2:$AJ$167,TRUE))*economics!$AM$2:$AM$167))/(SUMPRODUCT((economics!$AG$2:$AG$167=$B49)*(economics!$D$2:$D$167="process")*economics!$AH$2:$AH$167*(_xlfn.NORM.DIST(BK$3,economics!$AK$2:$AK$167,economics!$AJ$2:$AJ$167,TRUE)-_xlfn.NORM.DIST(BK$30,economics!$AK$2:$AK$167,economics!$AJ$2:$AJ$167,TRUE)))),"")</f>
        <v/>
      </c>
      <c r="BL49">
        <f t="array" ref="BL49">IFERROR((SUMPRODUCT((economics!$AG$2:$AG$167=$B49)*(economics!$D$2:$D$167="process")*economics!$AH$2:$AH$167*(_xlfn.NORM.DIST(BL$3,economics!$AK$2:$AK$167,economics!$AJ$2:$AJ$167,TRUE)-_xlfn.NORM.DIST(BL$30,economics!$AK$2:$AK$167,economics!$AJ$2:$AJ$167,TRUE))*economics!$AM$2:$AM$167))/(SUMPRODUCT((economics!$AG$2:$AG$167=$B49)*(economics!$D$2:$D$167="process")*economics!$AH$2:$AH$167*(_xlfn.NORM.DIST(BL$3,economics!$AK$2:$AK$167,economics!$AJ$2:$AJ$167,TRUE)-_xlfn.NORM.DIST(BL$30,economics!$AK$2:$AK$167,economics!$AJ$2:$AJ$167,TRUE)))),"")</f>
        <v/>
      </c>
      <c r="BM49">
        <f t="array" ref="BM49">IFERROR((SUMPRODUCT((economics!$AG$2:$AG$167=$B49)*(economics!$D$2:$D$167="process")*economics!$AH$2:$AH$167*(_xlfn.NORM.DIST(BM$3,economics!$AK$2:$AK$167,economics!$AJ$2:$AJ$167,TRUE)-_xlfn.NORM.DIST(BM$30,economics!$AK$2:$AK$167,economics!$AJ$2:$AJ$167,TRUE))*economics!$AM$2:$AM$167))/(SUMPRODUCT((economics!$AG$2:$AG$167=$B49)*(economics!$D$2:$D$167="process")*economics!$AH$2:$AH$167*(_xlfn.NORM.DIST(BM$3,economics!$AK$2:$AK$167,economics!$AJ$2:$AJ$167,TRUE)-_xlfn.NORM.DIST(BM$30,economics!$AK$2:$AK$167,economics!$AJ$2:$AJ$167,TRUE)))),"")</f>
        <v/>
      </c>
      <c r="BN49">
        <f t="array" ref="BN49">IFERROR((SUMPRODUCT((economics!$AG$2:$AG$167=$B49)*(economics!$D$2:$D$167="process")*economics!$AH$2:$AH$167*(_xlfn.NORM.DIST(BN$3,economics!$AK$2:$AK$167,economics!$AJ$2:$AJ$167,TRUE)-_xlfn.NORM.DIST(BN$30,economics!$AK$2:$AK$167,economics!$AJ$2:$AJ$167,TRUE))*economics!$AM$2:$AM$167))/(SUMPRODUCT((economics!$AG$2:$AG$167=$B49)*(economics!$D$2:$D$167="process")*economics!$AH$2:$AH$167*(_xlfn.NORM.DIST(BN$3,economics!$AK$2:$AK$167,economics!$AJ$2:$AJ$167,TRUE)-_xlfn.NORM.DIST(BN$30,economics!$AK$2:$AK$167,economics!$AJ$2:$AJ$167,TRUE)))),"")</f>
        <v/>
      </c>
      <c r="BO49">
        <f t="array" ref="BO49">IFERROR((SUMPRODUCT((economics!$AG$2:$AG$167=$B49)*(economics!$D$2:$D$167="process")*economics!$AH$2:$AH$167*(_xlfn.NORM.DIST(BO$3,economics!$AK$2:$AK$167,economics!$AJ$2:$AJ$167,TRUE)-_xlfn.NORM.DIST(BO$30,economics!$AK$2:$AK$167,economics!$AJ$2:$AJ$167,TRUE))*economics!$AM$2:$AM$167))/(SUMPRODUCT((economics!$AG$2:$AG$167=$B49)*(economics!$D$2:$D$167="process")*economics!$AH$2:$AH$167*(_xlfn.NORM.DIST(BO$3,economics!$AK$2:$AK$167,economics!$AJ$2:$AJ$167,TRUE)-_xlfn.NORM.DIST(BO$30,economics!$AK$2:$AK$167,economics!$AJ$2:$AJ$167,TRUE)))),"")</f>
        <v/>
      </c>
      <c r="BP49">
        <f t="array" ref="BP49">IFERROR((SUMPRODUCT((economics!$AG$2:$AG$167=$B49)*(economics!$D$2:$D$167="process")*economics!$AH$2:$AH$167*(_xlfn.NORM.DIST(BP$3,economics!$AK$2:$AK$167,economics!$AJ$2:$AJ$167,TRUE)-_xlfn.NORM.DIST(BP$30,economics!$AK$2:$AK$167,economics!$AJ$2:$AJ$167,TRUE))*economics!$AM$2:$AM$167))/(SUMPRODUCT((economics!$AG$2:$AG$167=$B49)*(economics!$D$2:$D$167="process")*economics!$AH$2:$AH$167*(_xlfn.NORM.DIST(BP$3,economics!$AK$2:$AK$167,economics!$AJ$2:$AJ$167,TRUE)-_xlfn.NORM.DIST(BP$30,economics!$AK$2:$AK$167,economics!$AJ$2:$AJ$167,TRUE)))),"")</f>
        <v/>
      </c>
      <c r="BQ49">
        <f t="array" ref="BQ49">IFERROR((SUMPRODUCT((economics!$AG$2:$AG$167=$B49)*(economics!$D$2:$D$167="process")*economics!$AH$2:$AH$167*(_xlfn.NORM.DIST(BQ$3,economics!$AK$2:$AK$167,economics!$AJ$2:$AJ$167,TRUE)-_xlfn.NORM.DIST(BQ$30,economics!$AK$2:$AK$167,economics!$AJ$2:$AJ$167,TRUE))*economics!$AM$2:$AM$167))/(SUMPRODUCT((economics!$AG$2:$AG$167=$B49)*(economics!$D$2:$D$167="process")*economics!$AH$2:$AH$167*(_xlfn.NORM.DIST(BQ$3,economics!$AK$2:$AK$167,economics!$AJ$2:$AJ$167,TRUE)-_xlfn.NORM.DIST(BQ$30,economics!$AK$2:$AK$167,economics!$AJ$2:$AJ$167,TRUE)))),"")</f>
        <v/>
      </c>
      <c r="BR49">
        <f t="array" ref="BR49">IFERROR((SUMPRODUCT((economics!$AG$2:$AG$167=$B49)*(economics!$D$2:$D$167="process")*economics!$AH$2:$AH$167*(_xlfn.NORM.DIST(BR$3,economics!$AK$2:$AK$167,economics!$AJ$2:$AJ$167,TRUE)-_xlfn.NORM.DIST(BR$30,economics!$AK$2:$AK$167,economics!$AJ$2:$AJ$167,TRUE))*economics!$AM$2:$AM$167))/(SUMPRODUCT((economics!$AG$2:$AG$167=$B49)*(economics!$D$2:$D$167="process")*economics!$AH$2:$AH$167*(_xlfn.NORM.DIST(BR$3,economics!$AK$2:$AK$167,economics!$AJ$2:$AJ$167,TRUE)-_xlfn.NORM.DIST(BR$30,economics!$AK$2:$AK$167,economics!$AJ$2:$AJ$167,TRUE)))),"")</f>
        <v/>
      </c>
      <c r="BS49">
        <f t="array" ref="BS49">IFERROR((SUMPRODUCT((economics!$AG$2:$AG$167=$B49)*(economics!$D$2:$D$167="process")*economics!$AH$2:$AH$167*(_xlfn.NORM.DIST(BS$3,economics!$AK$2:$AK$167,economics!$AJ$2:$AJ$167,TRUE)-_xlfn.NORM.DIST(BS$30,economics!$AK$2:$AK$167,economics!$AJ$2:$AJ$167,TRUE))*economics!$AM$2:$AM$167))/(SUMPRODUCT((economics!$AG$2:$AG$167=$B49)*(economics!$D$2:$D$167="process")*economics!$AH$2:$AH$167*(_xlfn.NORM.DIST(BS$3,economics!$AK$2:$AK$167,economics!$AJ$2:$AJ$167,TRUE)-_xlfn.NORM.DIST(BS$30,economics!$AK$2:$AK$167,economics!$AJ$2:$AJ$167,TRUE)))),"")</f>
        <v/>
      </c>
      <c r="BT49">
        <f t="array" ref="BT49">IFERROR((SUMPRODUCT((economics!$AG$2:$AG$167=$B49)*(economics!$D$2:$D$167="process")*economics!$AH$2:$AH$167*(_xlfn.NORM.DIST(BT$3,economics!$AK$2:$AK$167,economics!$AJ$2:$AJ$167,TRUE)-_xlfn.NORM.DIST(BT$30,economics!$AK$2:$AK$167,economics!$AJ$2:$AJ$167,TRUE))*economics!$AM$2:$AM$167))/(SUMPRODUCT((economics!$AG$2:$AG$167=$B49)*(economics!$D$2:$D$167="process")*economics!$AH$2:$AH$167*(_xlfn.NORM.DIST(BT$3,economics!$AK$2:$AK$167,economics!$AJ$2:$AJ$167,TRUE)-_xlfn.NORM.DIST(BT$30,economics!$AK$2:$AK$167,economics!$AJ$2:$AJ$167,TRUE)))),"")</f>
        <v/>
      </c>
      <c r="BU49">
        <f t="array" ref="BU49">IFERROR((SUMPRODUCT((economics!$AG$2:$AG$167=$B49)*(economics!$D$2:$D$167="process")*economics!$AH$2:$AH$167*(_xlfn.NORM.DIST(BU$3,economics!$AK$2:$AK$167,economics!$AJ$2:$AJ$167,TRUE)-_xlfn.NORM.DIST(BU$30,economics!$AK$2:$AK$167,economics!$AJ$2:$AJ$167,TRUE))*economics!$AM$2:$AM$167))/(SUMPRODUCT((economics!$AG$2:$AG$167=$B49)*(economics!$D$2:$D$167="process")*economics!$AH$2:$AH$167*(_xlfn.NORM.DIST(BU$3,economics!$AK$2:$AK$167,economics!$AJ$2:$AJ$167,TRUE)-_xlfn.NORM.DIST(BU$30,economics!$AK$2:$AK$167,economics!$AJ$2:$AJ$167,TRUE)))),"")</f>
        <v/>
      </c>
      <c r="BV49">
        <f t="array" ref="BV49">IFERROR((SUMPRODUCT((economics!$AG$2:$AG$167=$B49)*(economics!$D$2:$D$167="process")*economics!$AH$2:$AH$167*(_xlfn.NORM.DIST(BV$3,economics!$AK$2:$AK$167,economics!$AJ$2:$AJ$167,TRUE)-_xlfn.NORM.DIST(BV$30,economics!$AK$2:$AK$167,economics!$AJ$2:$AJ$167,TRUE))*economics!$AM$2:$AM$167))/(SUMPRODUCT((economics!$AG$2:$AG$167=$B49)*(economics!$D$2:$D$167="process")*economics!$AH$2:$AH$167*(_xlfn.NORM.DIST(BV$3,economics!$AK$2:$AK$167,economics!$AJ$2:$AJ$167,TRUE)-_xlfn.NORM.DIST(BV$30,economics!$AK$2:$AK$167,economics!$AJ$2:$AJ$167,TRUE)))),"")</f>
        <v/>
      </c>
      <c r="BW49">
        <f t="array" ref="BW49">IFERROR((SUMPRODUCT((economics!$AG$2:$AG$167=$B49)*(economics!$D$2:$D$167="process")*economics!$AH$2:$AH$167*(_xlfn.NORM.DIST(BW$3,economics!$AK$2:$AK$167,economics!$AJ$2:$AJ$167,TRUE)-_xlfn.NORM.DIST(BW$30,economics!$AK$2:$AK$167,economics!$AJ$2:$AJ$167,TRUE))*economics!$AM$2:$AM$167))/(SUMPRODUCT((economics!$AG$2:$AG$167=$B49)*(economics!$D$2:$D$167="process")*economics!$AH$2:$AH$167*(_xlfn.NORM.DIST(BW$3,economics!$AK$2:$AK$167,economics!$AJ$2:$AJ$167,TRUE)-_xlfn.NORM.DIST(BW$30,economics!$AK$2:$AK$167,economics!$AJ$2:$AJ$167,TRUE)))),"")</f>
        <v/>
      </c>
      <c r="BX49">
        <f t="array" ref="BX49">IFERROR((SUMPRODUCT((economics!$AG$2:$AG$167=$B49)*(economics!$D$2:$D$167="process")*economics!$AH$2:$AH$167*(_xlfn.NORM.DIST(BX$3,economics!$AK$2:$AK$167,economics!$AJ$2:$AJ$167,TRUE)-_xlfn.NORM.DIST(BX$30,economics!$AK$2:$AK$167,economics!$AJ$2:$AJ$167,TRUE))*economics!$AM$2:$AM$167))/(SUMPRODUCT((economics!$AG$2:$AG$167=$B49)*(economics!$D$2:$D$167="process")*economics!$AH$2:$AH$167*(_xlfn.NORM.DIST(BX$3,economics!$AK$2:$AK$167,economics!$AJ$2:$AJ$167,TRUE)-_xlfn.NORM.DIST(BX$30,economics!$AK$2:$AK$167,economics!$AJ$2:$AJ$167,TRUE)))),"")</f>
        <v/>
      </c>
      <c r="BY49">
        <f t="array" ref="BY49">IFERROR((SUMPRODUCT((economics!$AG$2:$AG$167=$B49)*(economics!$D$2:$D$167="process")*economics!$AH$2:$AH$167*(_xlfn.NORM.DIST(BY$3,economics!$AK$2:$AK$167,economics!$AJ$2:$AJ$167,TRUE)-_xlfn.NORM.DIST(BY$30,economics!$AK$2:$AK$167,economics!$AJ$2:$AJ$167,TRUE))*economics!$AM$2:$AM$167))/(SUMPRODUCT((economics!$AG$2:$AG$167=$B49)*(economics!$D$2:$D$167="process")*economics!$AH$2:$AH$167*(_xlfn.NORM.DIST(BY$3,economics!$AK$2:$AK$167,economics!$AJ$2:$AJ$167,TRUE)-_xlfn.NORM.DIST(BY$30,economics!$AK$2:$AK$167,economics!$AJ$2:$AJ$167,TRUE)))),"")</f>
        <v/>
      </c>
      <c r="BZ49">
        <f t="array" ref="BZ49">IFERROR((SUMPRODUCT((economics!$AG$2:$AG$167=$B49)*(economics!$D$2:$D$167="process")*economics!$AH$2:$AH$167*(_xlfn.NORM.DIST(BZ$3,economics!$AK$2:$AK$167,economics!$AJ$2:$AJ$167,TRUE)-_xlfn.NORM.DIST(BZ$30,economics!$AK$2:$AK$167,economics!$AJ$2:$AJ$167,TRUE))*economics!$AM$2:$AM$167))/(SUMPRODUCT((economics!$AG$2:$AG$167=$B49)*(economics!$D$2:$D$167="process")*economics!$AH$2:$AH$167*(_xlfn.NORM.DIST(BZ$3,economics!$AK$2:$AK$167,economics!$AJ$2:$AJ$167,TRUE)-_xlfn.NORM.DIST(BZ$30,economics!$AK$2:$AK$167,economics!$AJ$2:$AJ$167,TRUE)))),"")</f>
        <v/>
      </c>
      <c r="CA49">
        <f t="array" ref="CA49">IFERROR((SUMPRODUCT((economics!$AG$2:$AG$167=$B49)*(economics!$D$2:$D$167="process")*economics!$AH$2:$AH$167*(_xlfn.NORM.DIST(CA$3,economics!$AK$2:$AK$167,economics!$AJ$2:$AJ$167,TRUE)-_xlfn.NORM.DIST(CA$30,economics!$AK$2:$AK$167,economics!$AJ$2:$AJ$167,TRUE))*economics!$AM$2:$AM$167))/(SUMPRODUCT((economics!$AG$2:$AG$167=$B49)*(economics!$D$2:$D$167="process")*economics!$AH$2:$AH$167*(_xlfn.NORM.DIST(CA$3,economics!$AK$2:$AK$167,economics!$AJ$2:$AJ$167,TRUE)-_xlfn.NORM.DIST(CA$30,economics!$AK$2:$AK$167,economics!$AJ$2:$AJ$167,TRUE)))),"")</f>
        <v/>
      </c>
      <c r="CB49">
        <f t="array" ref="CB49">IFERROR((SUMPRODUCT((economics!$AG$2:$AG$167=$B49)*(economics!$D$2:$D$167="process")*economics!$AH$2:$AH$167*(_xlfn.NORM.DIST(CB$3,economics!$AK$2:$AK$167,economics!$AJ$2:$AJ$167,TRUE)-_xlfn.NORM.DIST(CB$30,economics!$AK$2:$AK$167,economics!$AJ$2:$AJ$167,TRUE))*economics!$AM$2:$AM$167))/(SUMPRODUCT((economics!$AG$2:$AG$167=$B49)*(economics!$D$2:$D$167="process")*economics!$AH$2:$AH$167*(_xlfn.NORM.DIST(CB$3,economics!$AK$2:$AK$167,economics!$AJ$2:$AJ$167,TRUE)-_xlfn.NORM.DIST(CB$30,economics!$AK$2:$AK$167,economics!$AJ$2:$AJ$167,TRUE)))),"")</f>
        <v/>
      </c>
      <c r="CC49">
        <f t="array" ref="CC49">IFERROR((SUMPRODUCT((economics!$AG$2:$AG$167=$B49)*(economics!$D$2:$D$167="process")*economics!$AH$2:$AH$167*(_xlfn.NORM.DIST(CC$3,economics!$AK$2:$AK$167,economics!$AJ$2:$AJ$167,TRUE)-_xlfn.NORM.DIST(CC$30,economics!$AK$2:$AK$167,economics!$AJ$2:$AJ$167,TRUE))*economics!$AM$2:$AM$167))/(SUMPRODUCT((economics!$AG$2:$AG$167=$B49)*(economics!$D$2:$D$167="process")*economics!$AH$2:$AH$167*(_xlfn.NORM.DIST(CC$3,economics!$AK$2:$AK$167,economics!$AJ$2:$AJ$167,TRUE)-_xlfn.NORM.DIST(CC$30,economics!$AK$2:$AK$167,economics!$AJ$2:$AJ$167,TRUE)))),"")</f>
        <v/>
      </c>
      <c r="CD49">
        <f t="array" ref="CD49">IFERROR((SUMPRODUCT((economics!$AG$2:$AG$167=$B49)*(economics!$D$2:$D$167="process")*economics!$AH$2:$AH$167*(_xlfn.NORM.DIST(CD$3,economics!$AK$2:$AK$167,economics!$AJ$2:$AJ$167,TRUE)-_xlfn.NORM.DIST(CD$30,economics!$AK$2:$AK$167,economics!$AJ$2:$AJ$167,TRUE))*economics!$AM$2:$AM$167))/(SUMPRODUCT((economics!$AG$2:$AG$167=$B49)*(economics!$D$2:$D$167="process")*economics!$AH$2:$AH$167*(_xlfn.NORM.DIST(CD$3,economics!$AK$2:$AK$167,economics!$AJ$2:$AJ$167,TRUE)-_xlfn.NORM.DIST(CD$30,economics!$AK$2:$AK$167,economics!$AJ$2:$AJ$167,TRUE)))),"")</f>
        <v/>
      </c>
      <c r="CE49">
        <f t="array" ref="CE49">IFERROR((SUMPRODUCT((economics!$AG$2:$AG$167=$B49)*(economics!$D$2:$D$167="process")*economics!$AH$2:$AH$167*(_xlfn.NORM.DIST(CE$3,economics!$AK$2:$AK$167,economics!$AJ$2:$AJ$167,TRUE)-_xlfn.NORM.DIST(CE$30,economics!$AK$2:$AK$167,economics!$AJ$2:$AJ$167,TRUE))*economics!$AM$2:$AM$167))/(SUMPRODUCT((economics!$AG$2:$AG$167=$B49)*(economics!$D$2:$D$167="process")*economics!$AH$2:$AH$167*(_xlfn.NORM.DIST(CE$3,economics!$AK$2:$AK$167,economics!$AJ$2:$AJ$167,TRUE)-_xlfn.NORM.DIST(CE$30,economics!$AK$2:$AK$167,economics!$AJ$2:$AJ$167,TRUE)))),"")</f>
        <v/>
      </c>
      <c r="CF49">
        <f t="array" ref="CF49">IFERROR((SUMPRODUCT((economics!$AG$2:$AG$167=$B49)*(economics!$D$2:$D$167="process")*economics!$AH$2:$AH$167*(_xlfn.NORM.DIST(CF$3,economics!$AK$2:$AK$167,economics!$AJ$2:$AJ$167,TRUE)-_xlfn.NORM.DIST(CF$30,economics!$AK$2:$AK$167,economics!$AJ$2:$AJ$167,TRUE))*economics!$AM$2:$AM$167))/(SUMPRODUCT((economics!$AG$2:$AG$167=$B49)*(economics!$D$2:$D$167="process")*economics!$AH$2:$AH$167*(_xlfn.NORM.DIST(CF$3,economics!$AK$2:$AK$167,economics!$AJ$2:$AJ$167,TRUE)-_xlfn.NORM.DIST(CF$30,economics!$AK$2:$AK$167,economics!$AJ$2:$AJ$167,TRUE)))),"")</f>
        <v/>
      </c>
      <c r="CG49">
        <f t="array" ref="CG49">IFERROR((SUMPRODUCT((economics!$AG$2:$AG$167=$B49)*(economics!$D$2:$D$167="process")*economics!$AH$2:$AH$167*(_xlfn.NORM.DIST(CG$3,economics!$AK$2:$AK$167,economics!$AJ$2:$AJ$167,TRUE)-_xlfn.NORM.DIST(CG$30,economics!$AK$2:$AK$167,economics!$AJ$2:$AJ$167,TRUE))*economics!$AM$2:$AM$167))/(SUMPRODUCT((economics!$AG$2:$AG$167=$B49)*(economics!$D$2:$D$167="process")*economics!$AH$2:$AH$167*(_xlfn.NORM.DIST(CG$3,economics!$AK$2:$AK$167,economics!$AJ$2:$AJ$167,TRUE)-_xlfn.NORM.DIST(CG$30,economics!$AK$2:$AK$167,economics!$AJ$2:$AJ$167,TRUE)))),"")</f>
        <v/>
      </c>
      <c r="CH49">
        <f t="array" ref="CH49">IFERROR((SUMPRODUCT((economics!$AG$2:$AG$167=$B49)*(economics!$D$2:$D$167="process")*economics!$AH$2:$AH$167*(_xlfn.NORM.DIST(CH$3,economics!$AK$2:$AK$167,economics!$AJ$2:$AJ$167,TRUE)-_xlfn.NORM.DIST(CH$30,economics!$AK$2:$AK$167,economics!$AJ$2:$AJ$167,TRUE))*economics!$AM$2:$AM$167))/(SUMPRODUCT((economics!$AG$2:$AG$167=$B49)*(economics!$D$2:$D$167="process")*economics!$AH$2:$AH$167*(_xlfn.NORM.DIST(CH$3,economics!$AK$2:$AK$167,economics!$AJ$2:$AJ$167,TRUE)-_xlfn.NORM.DIST(CH$30,economics!$AK$2:$AK$167,economics!$AJ$2:$AJ$167,TRUE)))),"")</f>
        <v/>
      </c>
    </row>
    <row r="50">
      <c r="A50">
        <f>A21</f>
        <v/>
      </c>
      <c r="B50">
        <f>B21</f>
        <v/>
      </c>
      <c r="E50">
        <f t="array" ref="E50">IFERROR((SUMPRODUCT((economics!$AG$2:$AG$167=$B50)*(economics!$D$2:$D$167="process")*economics!$AH$2:$AH$167*(_xlfn.NORM.DIST(E$3,economics!$AK$2:$AK$167,economics!$AJ$2:$AJ$167,TRUE)-_xlfn.NORM.DIST(E$30,economics!$AK$2:$AK$167,economics!$AJ$2:$AJ$167,TRUE))*economics!$AM$2:$AM$167))/(SUMPRODUCT((economics!$AG$2:$AG$167=$B50)*(economics!$D$2:$D$167="process")*economics!$AH$2:$AH$167*(_xlfn.NORM.DIST(E$3,economics!$AK$2:$AK$167,economics!$AJ$2:$AJ$167,TRUE)-_xlfn.NORM.DIST(E$30,economics!$AK$2:$AK$167,economics!$AJ$2:$AJ$167,TRUE)))),"")</f>
        <v/>
      </c>
      <c r="F50">
        <f t="array" ref="F50">IFERROR((SUMPRODUCT((economics!$AG$2:$AG$167=$B50)*(economics!$D$2:$D$167="process")*economics!$AH$2:$AH$167*(_xlfn.NORM.DIST(F$3,economics!$AK$2:$AK$167,economics!$AJ$2:$AJ$167,TRUE)-_xlfn.NORM.DIST(F$30,economics!$AK$2:$AK$167,economics!$AJ$2:$AJ$167,TRUE))*economics!$AM$2:$AM$167))/(SUMPRODUCT((economics!$AG$2:$AG$167=$B50)*(economics!$D$2:$D$167="process")*economics!$AH$2:$AH$167*(_xlfn.NORM.DIST(F$3,economics!$AK$2:$AK$167,economics!$AJ$2:$AJ$167,TRUE)-_xlfn.NORM.DIST(F$30,economics!$AK$2:$AK$167,economics!$AJ$2:$AJ$167,TRUE)))),"")</f>
        <v/>
      </c>
      <c r="G50">
        <f t="array" ref="G50">IFERROR((SUMPRODUCT((economics!$AG$2:$AG$167=$B50)*(economics!$D$2:$D$167="process")*economics!$AH$2:$AH$167*(_xlfn.NORM.DIST(G$3,economics!$AK$2:$AK$167,economics!$AJ$2:$AJ$167,TRUE)-_xlfn.NORM.DIST(G$30,economics!$AK$2:$AK$167,economics!$AJ$2:$AJ$167,TRUE))*economics!$AM$2:$AM$167))/(SUMPRODUCT((economics!$AG$2:$AG$167=$B50)*(economics!$D$2:$D$167="process")*economics!$AH$2:$AH$167*(_xlfn.NORM.DIST(G$3,economics!$AK$2:$AK$167,economics!$AJ$2:$AJ$167,TRUE)-_xlfn.NORM.DIST(G$30,economics!$AK$2:$AK$167,economics!$AJ$2:$AJ$167,TRUE)))),"")</f>
        <v/>
      </c>
      <c r="H50">
        <f t="array" ref="H50">IFERROR((SUMPRODUCT((economics!$AG$2:$AG$167=$B50)*(economics!$D$2:$D$167="process")*economics!$AH$2:$AH$167*(_xlfn.NORM.DIST(H$3,economics!$AK$2:$AK$167,economics!$AJ$2:$AJ$167,TRUE)-_xlfn.NORM.DIST(H$30,economics!$AK$2:$AK$167,economics!$AJ$2:$AJ$167,TRUE))*economics!$AM$2:$AM$167))/(SUMPRODUCT((economics!$AG$2:$AG$167=$B50)*(economics!$D$2:$D$167="process")*economics!$AH$2:$AH$167*(_xlfn.NORM.DIST(H$3,economics!$AK$2:$AK$167,economics!$AJ$2:$AJ$167,TRUE)-_xlfn.NORM.DIST(H$30,economics!$AK$2:$AK$167,economics!$AJ$2:$AJ$167,TRUE)))),"")</f>
        <v/>
      </c>
      <c r="I50">
        <f t="array" ref="I50">IFERROR((SUMPRODUCT((economics!$AG$2:$AG$167=$B50)*(economics!$D$2:$D$167="process")*economics!$AH$2:$AH$167*(_xlfn.NORM.DIST(I$3,economics!$AK$2:$AK$167,economics!$AJ$2:$AJ$167,TRUE)-_xlfn.NORM.DIST(I$30,economics!$AK$2:$AK$167,economics!$AJ$2:$AJ$167,TRUE))*economics!$AM$2:$AM$167))/(SUMPRODUCT((economics!$AG$2:$AG$167=$B50)*(economics!$D$2:$D$167="process")*economics!$AH$2:$AH$167*(_xlfn.NORM.DIST(I$3,economics!$AK$2:$AK$167,economics!$AJ$2:$AJ$167,TRUE)-_xlfn.NORM.DIST(I$30,economics!$AK$2:$AK$167,economics!$AJ$2:$AJ$167,TRUE)))),"")</f>
        <v/>
      </c>
      <c r="J50">
        <f t="array" ref="J50">IFERROR((SUMPRODUCT((economics!$AG$2:$AG$167=$B50)*(economics!$D$2:$D$167="process")*economics!$AH$2:$AH$167*(_xlfn.NORM.DIST(J$3,economics!$AK$2:$AK$167,economics!$AJ$2:$AJ$167,TRUE)-_xlfn.NORM.DIST(J$30,economics!$AK$2:$AK$167,economics!$AJ$2:$AJ$167,TRUE))*economics!$AM$2:$AM$167))/(SUMPRODUCT((economics!$AG$2:$AG$167=$B50)*(economics!$D$2:$D$167="process")*economics!$AH$2:$AH$167*(_xlfn.NORM.DIST(J$3,economics!$AK$2:$AK$167,economics!$AJ$2:$AJ$167,TRUE)-_xlfn.NORM.DIST(J$30,economics!$AK$2:$AK$167,economics!$AJ$2:$AJ$167,TRUE)))),"")</f>
        <v/>
      </c>
      <c r="K50">
        <f t="array" ref="K50">IFERROR((SUMPRODUCT((economics!$AG$2:$AG$167=$B50)*(economics!$D$2:$D$167="process")*economics!$AH$2:$AH$167*(_xlfn.NORM.DIST(K$3,economics!$AK$2:$AK$167,economics!$AJ$2:$AJ$167,TRUE)-_xlfn.NORM.DIST(K$30,economics!$AK$2:$AK$167,economics!$AJ$2:$AJ$167,TRUE))*economics!$AM$2:$AM$167))/(SUMPRODUCT((economics!$AG$2:$AG$167=$B50)*(economics!$D$2:$D$167="process")*economics!$AH$2:$AH$167*(_xlfn.NORM.DIST(K$3,economics!$AK$2:$AK$167,economics!$AJ$2:$AJ$167,TRUE)-_xlfn.NORM.DIST(K$30,economics!$AK$2:$AK$167,economics!$AJ$2:$AJ$167,TRUE)))),"")</f>
        <v/>
      </c>
      <c r="L50">
        <f t="array" ref="L50">IFERROR((SUMPRODUCT((economics!$AG$2:$AG$167=$B50)*(economics!$D$2:$D$167="process")*economics!$AH$2:$AH$167*(_xlfn.NORM.DIST(L$3,economics!$AK$2:$AK$167,economics!$AJ$2:$AJ$167,TRUE)-_xlfn.NORM.DIST(L$30,economics!$AK$2:$AK$167,economics!$AJ$2:$AJ$167,TRUE))*economics!$AM$2:$AM$167))/(SUMPRODUCT((economics!$AG$2:$AG$167=$B50)*(economics!$D$2:$D$167="process")*economics!$AH$2:$AH$167*(_xlfn.NORM.DIST(L$3,economics!$AK$2:$AK$167,economics!$AJ$2:$AJ$167,TRUE)-_xlfn.NORM.DIST(L$30,economics!$AK$2:$AK$167,economics!$AJ$2:$AJ$167,TRUE)))),"")</f>
        <v/>
      </c>
      <c r="M50">
        <f t="array" ref="M50">IFERROR((SUMPRODUCT((economics!$AG$2:$AG$167=$B50)*(economics!$D$2:$D$167="process")*economics!$AH$2:$AH$167*(_xlfn.NORM.DIST(M$3,economics!$AK$2:$AK$167,economics!$AJ$2:$AJ$167,TRUE)-_xlfn.NORM.DIST(M$30,economics!$AK$2:$AK$167,economics!$AJ$2:$AJ$167,TRUE))*economics!$AM$2:$AM$167))/(SUMPRODUCT((economics!$AG$2:$AG$167=$B50)*(economics!$D$2:$D$167="process")*economics!$AH$2:$AH$167*(_xlfn.NORM.DIST(M$3,economics!$AK$2:$AK$167,economics!$AJ$2:$AJ$167,TRUE)-_xlfn.NORM.DIST(M$30,economics!$AK$2:$AK$167,economics!$AJ$2:$AJ$167,TRUE)))),"")</f>
        <v/>
      </c>
      <c r="N50">
        <f t="array" ref="N50">IFERROR((SUMPRODUCT((economics!$AG$2:$AG$167=$B50)*(economics!$D$2:$D$167="process")*economics!$AH$2:$AH$167*(_xlfn.NORM.DIST(N$3,economics!$AK$2:$AK$167,economics!$AJ$2:$AJ$167,TRUE)-_xlfn.NORM.DIST(N$30,economics!$AK$2:$AK$167,economics!$AJ$2:$AJ$167,TRUE))*economics!$AM$2:$AM$167))/(SUMPRODUCT((economics!$AG$2:$AG$167=$B50)*(economics!$D$2:$D$167="process")*economics!$AH$2:$AH$167*(_xlfn.NORM.DIST(N$3,economics!$AK$2:$AK$167,economics!$AJ$2:$AJ$167,TRUE)-_xlfn.NORM.DIST(N$30,economics!$AK$2:$AK$167,economics!$AJ$2:$AJ$167,TRUE)))),"")</f>
        <v/>
      </c>
      <c r="O50">
        <f t="array" ref="O50">IFERROR((SUMPRODUCT((economics!$AG$2:$AG$167=$B50)*(economics!$D$2:$D$167="process")*economics!$AH$2:$AH$167*(_xlfn.NORM.DIST(O$3,economics!$AK$2:$AK$167,economics!$AJ$2:$AJ$167,TRUE)-_xlfn.NORM.DIST(O$30,economics!$AK$2:$AK$167,economics!$AJ$2:$AJ$167,TRUE))*economics!$AM$2:$AM$167))/(SUMPRODUCT((economics!$AG$2:$AG$167=$B50)*(economics!$D$2:$D$167="process")*economics!$AH$2:$AH$167*(_xlfn.NORM.DIST(O$3,economics!$AK$2:$AK$167,economics!$AJ$2:$AJ$167,TRUE)-_xlfn.NORM.DIST(O$30,economics!$AK$2:$AK$167,economics!$AJ$2:$AJ$167,TRUE)))),"")</f>
        <v/>
      </c>
      <c r="P50">
        <f t="array" ref="P50">IFERROR((SUMPRODUCT((economics!$AG$2:$AG$167=$B50)*(economics!$D$2:$D$167="process")*economics!$AH$2:$AH$167*(_xlfn.NORM.DIST(P$3,economics!$AK$2:$AK$167,economics!$AJ$2:$AJ$167,TRUE)-_xlfn.NORM.DIST(P$30,economics!$AK$2:$AK$167,economics!$AJ$2:$AJ$167,TRUE))*economics!$AM$2:$AM$167))/(SUMPRODUCT((economics!$AG$2:$AG$167=$B50)*(economics!$D$2:$D$167="process")*economics!$AH$2:$AH$167*(_xlfn.NORM.DIST(P$3,economics!$AK$2:$AK$167,economics!$AJ$2:$AJ$167,TRUE)-_xlfn.NORM.DIST(P$30,economics!$AK$2:$AK$167,economics!$AJ$2:$AJ$167,TRUE)))),"")</f>
        <v/>
      </c>
      <c r="Q50">
        <f t="array" ref="Q50">IFERROR((SUMPRODUCT((economics!$AG$2:$AG$167=$B50)*(economics!$D$2:$D$167="process")*economics!$AH$2:$AH$167*(_xlfn.NORM.DIST(Q$3,economics!$AK$2:$AK$167,economics!$AJ$2:$AJ$167,TRUE)-_xlfn.NORM.DIST(Q$30,economics!$AK$2:$AK$167,economics!$AJ$2:$AJ$167,TRUE))*economics!$AM$2:$AM$167))/(SUMPRODUCT((economics!$AG$2:$AG$167=$B50)*(economics!$D$2:$D$167="process")*economics!$AH$2:$AH$167*(_xlfn.NORM.DIST(Q$3,economics!$AK$2:$AK$167,economics!$AJ$2:$AJ$167,TRUE)-_xlfn.NORM.DIST(Q$30,economics!$AK$2:$AK$167,economics!$AJ$2:$AJ$167,TRUE)))),"")</f>
        <v/>
      </c>
      <c r="R50">
        <f t="array" ref="R50">IFERROR((SUMPRODUCT((economics!$AG$2:$AG$167=$B50)*(economics!$D$2:$D$167="process")*economics!$AH$2:$AH$167*(_xlfn.NORM.DIST(R$3,economics!$AK$2:$AK$167,economics!$AJ$2:$AJ$167,TRUE)-_xlfn.NORM.DIST(R$30,economics!$AK$2:$AK$167,economics!$AJ$2:$AJ$167,TRUE))*economics!$AM$2:$AM$167))/(SUMPRODUCT((economics!$AG$2:$AG$167=$B50)*(economics!$D$2:$D$167="process")*economics!$AH$2:$AH$167*(_xlfn.NORM.DIST(R$3,economics!$AK$2:$AK$167,economics!$AJ$2:$AJ$167,TRUE)-_xlfn.NORM.DIST(R$30,economics!$AK$2:$AK$167,economics!$AJ$2:$AJ$167,TRUE)))),"")</f>
        <v/>
      </c>
      <c r="S50">
        <f t="array" ref="S50">IFERROR((SUMPRODUCT((economics!$AG$2:$AG$167=$B50)*(economics!$D$2:$D$167="process")*economics!$AH$2:$AH$167*(_xlfn.NORM.DIST(S$3,economics!$AK$2:$AK$167,economics!$AJ$2:$AJ$167,TRUE)-_xlfn.NORM.DIST(S$30,economics!$AK$2:$AK$167,economics!$AJ$2:$AJ$167,TRUE))*economics!$AM$2:$AM$167))/(SUMPRODUCT((economics!$AG$2:$AG$167=$B50)*(economics!$D$2:$D$167="process")*economics!$AH$2:$AH$167*(_xlfn.NORM.DIST(S$3,economics!$AK$2:$AK$167,economics!$AJ$2:$AJ$167,TRUE)-_xlfn.NORM.DIST(S$30,economics!$AK$2:$AK$167,economics!$AJ$2:$AJ$167,TRUE)))),"")</f>
        <v/>
      </c>
      <c r="T50">
        <f t="array" ref="T50">IFERROR((SUMPRODUCT((economics!$AG$2:$AG$167=$B50)*(economics!$D$2:$D$167="process")*economics!$AH$2:$AH$167*(_xlfn.NORM.DIST(T$3,economics!$AK$2:$AK$167,economics!$AJ$2:$AJ$167,TRUE)-_xlfn.NORM.DIST(T$30,economics!$AK$2:$AK$167,economics!$AJ$2:$AJ$167,TRUE))*economics!$AM$2:$AM$167))/(SUMPRODUCT((economics!$AG$2:$AG$167=$B50)*(economics!$D$2:$D$167="process")*economics!$AH$2:$AH$167*(_xlfn.NORM.DIST(T$3,economics!$AK$2:$AK$167,economics!$AJ$2:$AJ$167,TRUE)-_xlfn.NORM.DIST(T$30,economics!$AK$2:$AK$167,economics!$AJ$2:$AJ$167,TRUE)))),"")</f>
        <v/>
      </c>
      <c r="U50">
        <f t="array" ref="U50">IFERROR((SUMPRODUCT((economics!$AG$2:$AG$167=$B50)*(economics!$D$2:$D$167="process")*economics!$AH$2:$AH$167*(_xlfn.NORM.DIST(U$3,economics!$AK$2:$AK$167,economics!$AJ$2:$AJ$167,TRUE)-_xlfn.NORM.DIST(U$30,economics!$AK$2:$AK$167,economics!$AJ$2:$AJ$167,TRUE))*economics!$AM$2:$AM$167))/(SUMPRODUCT((economics!$AG$2:$AG$167=$B50)*(economics!$D$2:$D$167="process")*economics!$AH$2:$AH$167*(_xlfn.NORM.DIST(U$3,economics!$AK$2:$AK$167,economics!$AJ$2:$AJ$167,TRUE)-_xlfn.NORM.DIST(U$30,economics!$AK$2:$AK$167,economics!$AJ$2:$AJ$167,TRUE)))),"")</f>
        <v/>
      </c>
      <c r="V50">
        <f t="array" ref="V50">IFERROR((SUMPRODUCT((economics!$AG$2:$AG$167=$B50)*(economics!$D$2:$D$167="process")*economics!$AH$2:$AH$167*(_xlfn.NORM.DIST(V$3,economics!$AK$2:$AK$167,economics!$AJ$2:$AJ$167,TRUE)-_xlfn.NORM.DIST(V$30,economics!$AK$2:$AK$167,economics!$AJ$2:$AJ$167,TRUE))*economics!$AM$2:$AM$167))/(SUMPRODUCT((economics!$AG$2:$AG$167=$B50)*(economics!$D$2:$D$167="process")*economics!$AH$2:$AH$167*(_xlfn.NORM.DIST(V$3,economics!$AK$2:$AK$167,economics!$AJ$2:$AJ$167,TRUE)-_xlfn.NORM.DIST(V$30,economics!$AK$2:$AK$167,economics!$AJ$2:$AJ$167,TRUE)))),"")</f>
        <v/>
      </c>
      <c r="W50">
        <f t="array" ref="W50">IFERROR((SUMPRODUCT((economics!$AG$2:$AG$167=$B50)*(economics!$D$2:$D$167="process")*economics!$AH$2:$AH$167*(_xlfn.NORM.DIST(W$3,economics!$AK$2:$AK$167,economics!$AJ$2:$AJ$167,TRUE)-_xlfn.NORM.DIST(W$30,economics!$AK$2:$AK$167,economics!$AJ$2:$AJ$167,TRUE))*economics!$AM$2:$AM$167))/(SUMPRODUCT((economics!$AG$2:$AG$167=$B50)*(economics!$D$2:$D$167="process")*economics!$AH$2:$AH$167*(_xlfn.NORM.DIST(W$3,economics!$AK$2:$AK$167,economics!$AJ$2:$AJ$167,TRUE)-_xlfn.NORM.DIST(W$30,economics!$AK$2:$AK$167,economics!$AJ$2:$AJ$167,TRUE)))),"")</f>
        <v/>
      </c>
      <c r="X50">
        <f t="array" ref="X50">IFERROR((SUMPRODUCT((economics!$AG$2:$AG$167=$B50)*(economics!$D$2:$D$167="process")*economics!$AH$2:$AH$167*(_xlfn.NORM.DIST(X$3,economics!$AK$2:$AK$167,economics!$AJ$2:$AJ$167,TRUE)-_xlfn.NORM.DIST(X$30,economics!$AK$2:$AK$167,economics!$AJ$2:$AJ$167,TRUE))*economics!$AM$2:$AM$167))/(SUMPRODUCT((economics!$AG$2:$AG$167=$B50)*(economics!$D$2:$D$167="process")*economics!$AH$2:$AH$167*(_xlfn.NORM.DIST(X$3,economics!$AK$2:$AK$167,economics!$AJ$2:$AJ$167,TRUE)-_xlfn.NORM.DIST(X$30,economics!$AK$2:$AK$167,economics!$AJ$2:$AJ$167,TRUE)))),"")</f>
        <v/>
      </c>
      <c r="Y50">
        <f t="array" ref="Y50">IFERROR((SUMPRODUCT((economics!$AG$2:$AG$167=$B50)*(economics!$D$2:$D$167="process")*economics!$AH$2:$AH$167*(_xlfn.NORM.DIST(Y$3,economics!$AK$2:$AK$167,economics!$AJ$2:$AJ$167,TRUE)-_xlfn.NORM.DIST(Y$30,economics!$AK$2:$AK$167,economics!$AJ$2:$AJ$167,TRUE))*economics!$AM$2:$AM$167))/(SUMPRODUCT((economics!$AG$2:$AG$167=$B50)*(economics!$D$2:$D$167="process")*economics!$AH$2:$AH$167*(_xlfn.NORM.DIST(Y$3,economics!$AK$2:$AK$167,economics!$AJ$2:$AJ$167,TRUE)-_xlfn.NORM.DIST(Y$30,economics!$AK$2:$AK$167,economics!$AJ$2:$AJ$167,TRUE)))),"")</f>
        <v/>
      </c>
      <c r="Z50">
        <f t="array" ref="Z50">IFERROR((SUMPRODUCT((economics!$AG$2:$AG$167=$B50)*(economics!$D$2:$D$167="process")*economics!$AH$2:$AH$167*(_xlfn.NORM.DIST(Z$3,economics!$AK$2:$AK$167,economics!$AJ$2:$AJ$167,TRUE)-_xlfn.NORM.DIST(Z$30,economics!$AK$2:$AK$167,economics!$AJ$2:$AJ$167,TRUE))*economics!$AM$2:$AM$167))/(SUMPRODUCT((economics!$AG$2:$AG$167=$B50)*(economics!$D$2:$D$167="process")*economics!$AH$2:$AH$167*(_xlfn.NORM.DIST(Z$3,economics!$AK$2:$AK$167,economics!$AJ$2:$AJ$167,TRUE)-_xlfn.NORM.DIST(Z$30,economics!$AK$2:$AK$167,economics!$AJ$2:$AJ$167,TRUE)))),"")</f>
        <v/>
      </c>
      <c r="AA50">
        <f t="array" ref="AA50">IFERROR((SUMPRODUCT((economics!$AG$2:$AG$167=$B50)*(economics!$D$2:$D$167="process")*economics!$AH$2:$AH$167*(_xlfn.NORM.DIST(AA$3,economics!$AK$2:$AK$167,economics!$AJ$2:$AJ$167,TRUE)-_xlfn.NORM.DIST(AA$30,economics!$AK$2:$AK$167,economics!$AJ$2:$AJ$167,TRUE))*economics!$AM$2:$AM$167))/(SUMPRODUCT((economics!$AG$2:$AG$167=$B50)*(economics!$D$2:$D$167="process")*economics!$AH$2:$AH$167*(_xlfn.NORM.DIST(AA$3,economics!$AK$2:$AK$167,economics!$AJ$2:$AJ$167,TRUE)-_xlfn.NORM.DIST(AA$30,economics!$AK$2:$AK$167,economics!$AJ$2:$AJ$167,TRUE)))),"")</f>
        <v/>
      </c>
      <c r="AB50">
        <f t="array" ref="AB50">IFERROR((SUMPRODUCT((economics!$AG$2:$AG$167=$B50)*(economics!$D$2:$D$167="process")*economics!$AH$2:$AH$167*(_xlfn.NORM.DIST(AB$3,economics!$AK$2:$AK$167,economics!$AJ$2:$AJ$167,TRUE)-_xlfn.NORM.DIST(AB$30,economics!$AK$2:$AK$167,economics!$AJ$2:$AJ$167,TRUE))*economics!$AM$2:$AM$167))/(SUMPRODUCT((economics!$AG$2:$AG$167=$B50)*(economics!$D$2:$D$167="process")*economics!$AH$2:$AH$167*(_xlfn.NORM.DIST(AB$3,economics!$AK$2:$AK$167,economics!$AJ$2:$AJ$167,TRUE)-_xlfn.NORM.DIST(AB$30,economics!$AK$2:$AK$167,economics!$AJ$2:$AJ$167,TRUE)))),"")</f>
        <v/>
      </c>
      <c r="AC50">
        <f t="array" ref="AC50">IFERROR((SUMPRODUCT((economics!$AG$2:$AG$167=$B50)*(economics!$D$2:$D$167="process")*economics!$AH$2:$AH$167*(_xlfn.NORM.DIST(AC$3,economics!$AK$2:$AK$167,economics!$AJ$2:$AJ$167,TRUE)-_xlfn.NORM.DIST(AC$30,economics!$AK$2:$AK$167,economics!$AJ$2:$AJ$167,TRUE))*economics!$AM$2:$AM$167))/(SUMPRODUCT((economics!$AG$2:$AG$167=$B50)*(economics!$D$2:$D$167="process")*economics!$AH$2:$AH$167*(_xlfn.NORM.DIST(AC$3,economics!$AK$2:$AK$167,economics!$AJ$2:$AJ$167,TRUE)-_xlfn.NORM.DIST(AC$30,economics!$AK$2:$AK$167,economics!$AJ$2:$AJ$167,TRUE)))),"")</f>
        <v/>
      </c>
      <c r="AD50">
        <f t="array" ref="AD50">IFERROR((SUMPRODUCT((economics!$AG$2:$AG$167=$B50)*(economics!$D$2:$D$167="process")*economics!$AH$2:$AH$167*(_xlfn.NORM.DIST(AD$3,economics!$AK$2:$AK$167,economics!$AJ$2:$AJ$167,TRUE)-_xlfn.NORM.DIST(AD$30,economics!$AK$2:$AK$167,economics!$AJ$2:$AJ$167,TRUE))*economics!$AM$2:$AM$167))/(SUMPRODUCT((economics!$AG$2:$AG$167=$B50)*(economics!$D$2:$D$167="process")*economics!$AH$2:$AH$167*(_xlfn.NORM.DIST(AD$3,economics!$AK$2:$AK$167,economics!$AJ$2:$AJ$167,TRUE)-_xlfn.NORM.DIST(AD$30,economics!$AK$2:$AK$167,economics!$AJ$2:$AJ$167,TRUE)))),"")</f>
        <v/>
      </c>
      <c r="AE50">
        <f t="array" ref="AE50">IFERROR((SUMPRODUCT((economics!$AG$2:$AG$167=$B50)*(economics!$D$2:$D$167="process")*economics!$AH$2:$AH$167*(_xlfn.NORM.DIST(AE$3,economics!$AK$2:$AK$167,economics!$AJ$2:$AJ$167,TRUE)-_xlfn.NORM.DIST(AE$30,economics!$AK$2:$AK$167,economics!$AJ$2:$AJ$167,TRUE))*economics!$AM$2:$AM$167))/(SUMPRODUCT((economics!$AG$2:$AG$167=$B50)*(economics!$D$2:$D$167="process")*economics!$AH$2:$AH$167*(_xlfn.NORM.DIST(AE$3,economics!$AK$2:$AK$167,economics!$AJ$2:$AJ$167,TRUE)-_xlfn.NORM.DIST(AE$30,economics!$AK$2:$AK$167,economics!$AJ$2:$AJ$167,TRUE)))),"")</f>
        <v/>
      </c>
      <c r="AF50">
        <f t="array" ref="AF50">IFERROR((SUMPRODUCT((economics!$AG$2:$AG$167=$B50)*(economics!$D$2:$D$167="process")*economics!$AH$2:$AH$167*(_xlfn.NORM.DIST(AF$3,economics!$AK$2:$AK$167,economics!$AJ$2:$AJ$167,TRUE)-_xlfn.NORM.DIST(AF$30,economics!$AK$2:$AK$167,economics!$AJ$2:$AJ$167,TRUE))*economics!$AM$2:$AM$167))/(SUMPRODUCT((economics!$AG$2:$AG$167=$B50)*(economics!$D$2:$D$167="process")*economics!$AH$2:$AH$167*(_xlfn.NORM.DIST(AF$3,economics!$AK$2:$AK$167,economics!$AJ$2:$AJ$167,TRUE)-_xlfn.NORM.DIST(AF$30,economics!$AK$2:$AK$167,economics!$AJ$2:$AJ$167,TRUE)))),"")</f>
        <v/>
      </c>
      <c r="AG50">
        <f t="array" ref="AG50">IFERROR((SUMPRODUCT((economics!$AG$2:$AG$167=$B50)*(economics!$D$2:$D$167="process")*economics!$AH$2:$AH$167*(_xlfn.NORM.DIST(AG$3,economics!$AK$2:$AK$167,economics!$AJ$2:$AJ$167,TRUE)-_xlfn.NORM.DIST(AG$30,economics!$AK$2:$AK$167,economics!$AJ$2:$AJ$167,TRUE))*economics!$AM$2:$AM$167))/(SUMPRODUCT((economics!$AG$2:$AG$167=$B50)*(economics!$D$2:$D$167="process")*economics!$AH$2:$AH$167*(_xlfn.NORM.DIST(AG$3,economics!$AK$2:$AK$167,economics!$AJ$2:$AJ$167,TRUE)-_xlfn.NORM.DIST(AG$30,economics!$AK$2:$AK$167,economics!$AJ$2:$AJ$167,TRUE)))),"")</f>
        <v/>
      </c>
      <c r="AH50">
        <f t="array" ref="AH50">IFERROR((SUMPRODUCT((economics!$AG$2:$AG$167=$B50)*(economics!$D$2:$D$167="process")*economics!$AH$2:$AH$167*(_xlfn.NORM.DIST(AH$3,economics!$AK$2:$AK$167,economics!$AJ$2:$AJ$167,TRUE)-_xlfn.NORM.DIST(AH$30,economics!$AK$2:$AK$167,economics!$AJ$2:$AJ$167,TRUE))*economics!$AM$2:$AM$167))/(SUMPRODUCT((economics!$AG$2:$AG$167=$B50)*(economics!$D$2:$D$167="process")*economics!$AH$2:$AH$167*(_xlfn.NORM.DIST(AH$3,economics!$AK$2:$AK$167,economics!$AJ$2:$AJ$167,TRUE)-_xlfn.NORM.DIST(AH$30,economics!$AK$2:$AK$167,economics!$AJ$2:$AJ$167,TRUE)))),"")</f>
        <v/>
      </c>
      <c r="AI50">
        <f t="array" ref="AI50">IFERROR((SUMPRODUCT((economics!$AG$2:$AG$167=$B50)*(economics!$D$2:$D$167="process")*economics!$AH$2:$AH$167*(_xlfn.NORM.DIST(AI$3,economics!$AK$2:$AK$167,economics!$AJ$2:$AJ$167,TRUE)-_xlfn.NORM.DIST(AI$30,economics!$AK$2:$AK$167,economics!$AJ$2:$AJ$167,TRUE))*economics!$AM$2:$AM$167))/(SUMPRODUCT((economics!$AG$2:$AG$167=$B50)*(economics!$D$2:$D$167="process")*economics!$AH$2:$AH$167*(_xlfn.NORM.DIST(AI$3,economics!$AK$2:$AK$167,economics!$AJ$2:$AJ$167,TRUE)-_xlfn.NORM.DIST(AI$30,economics!$AK$2:$AK$167,economics!$AJ$2:$AJ$167,TRUE)))),"")</f>
        <v/>
      </c>
      <c r="AJ50">
        <f t="array" ref="AJ50">IFERROR((SUMPRODUCT((economics!$AG$2:$AG$167=$B50)*(economics!$D$2:$D$167="process")*economics!$AH$2:$AH$167*(_xlfn.NORM.DIST(AJ$3,economics!$AK$2:$AK$167,economics!$AJ$2:$AJ$167,TRUE)-_xlfn.NORM.DIST(AJ$30,economics!$AK$2:$AK$167,economics!$AJ$2:$AJ$167,TRUE))*economics!$AM$2:$AM$167))/(SUMPRODUCT((economics!$AG$2:$AG$167=$B50)*(economics!$D$2:$D$167="process")*economics!$AH$2:$AH$167*(_xlfn.NORM.DIST(AJ$3,economics!$AK$2:$AK$167,economics!$AJ$2:$AJ$167,TRUE)-_xlfn.NORM.DIST(AJ$30,economics!$AK$2:$AK$167,economics!$AJ$2:$AJ$167,TRUE)))),"")</f>
        <v/>
      </c>
      <c r="AK50">
        <f t="array" ref="AK50">IFERROR((SUMPRODUCT((economics!$AG$2:$AG$167=$B50)*(economics!$D$2:$D$167="process")*economics!$AH$2:$AH$167*(_xlfn.NORM.DIST(AK$3,economics!$AK$2:$AK$167,economics!$AJ$2:$AJ$167,TRUE)-_xlfn.NORM.DIST(AK$30,economics!$AK$2:$AK$167,economics!$AJ$2:$AJ$167,TRUE))*economics!$AM$2:$AM$167))/(SUMPRODUCT((economics!$AG$2:$AG$167=$B50)*(economics!$D$2:$D$167="process")*economics!$AH$2:$AH$167*(_xlfn.NORM.DIST(AK$3,economics!$AK$2:$AK$167,economics!$AJ$2:$AJ$167,TRUE)-_xlfn.NORM.DIST(AK$30,economics!$AK$2:$AK$167,economics!$AJ$2:$AJ$167,TRUE)))),"")</f>
        <v/>
      </c>
      <c r="AL50">
        <f t="array" ref="AL50">IFERROR((SUMPRODUCT((economics!$AG$2:$AG$167=$B50)*(economics!$D$2:$D$167="process")*economics!$AH$2:$AH$167*(_xlfn.NORM.DIST(AL$3,economics!$AK$2:$AK$167,economics!$AJ$2:$AJ$167,TRUE)-_xlfn.NORM.DIST(AL$30,economics!$AK$2:$AK$167,economics!$AJ$2:$AJ$167,TRUE))*economics!$AM$2:$AM$167))/(SUMPRODUCT((economics!$AG$2:$AG$167=$B50)*(economics!$D$2:$D$167="process")*economics!$AH$2:$AH$167*(_xlfn.NORM.DIST(AL$3,economics!$AK$2:$AK$167,economics!$AJ$2:$AJ$167,TRUE)-_xlfn.NORM.DIST(AL$30,economics!$AK$2:$AK$167,economics!$AJ$2:$AJ$167,TRUE)))),"")</f>
        <v/>
      </c>
      <c r="AM50">
        <f t="array" ref="AM50">IFERROR((SUMPRODUCT((economics!$AG$2:$AG$167=$B50)*(economics!$D$2:$D$167="process")*economics!$AH$2:$AH$167*(_xlfn.NORM.DIST(AM$3,economics!$AK$2:$AK$167,economics!$AJ$2:$AJ$167,TRUE)-_xlfn.NORM.DIST(AM$30,economics!$AK$2:$AK$167,economics!$AJ$2:$AJ$167,TRUE))*economics!$AM$2:$AM$167))/(SUMPRODUCT((economics!$AG$2:$AG$167=$B50)*(economics!$D$2:$D$167="process")*economics!$AH$2:$AH$167*(_xlfn.NORM.DIST(AM$3,economics!$AK$2:$AK$167,economics!$AJ$2:$AJ$167,TRUE)-_xlfn.NORM.DIST(AM$30,economics!$AK$2:$AK$167,economics!$AJ$2:$AJ$167,TRUE)))),"")</f>
        <v/>
      </c>
      <c r="AN50">
        <f t="array" ref="AN50">IFERROR((SUMPRODUCT((economics!$AG$2:$AG$167=$B50)*(economics!$D$2:$D$167="process")*economics!$AH$2:$AH$167*(_xlfn.NORM.DIST(AN$3,economics!$AK$2:$AK$167,economics!$AJ$2:$AJ$167,TRUE)-_xlfn.NORM.DIST(AN$30,economics!$AK$2:$AK$167,economics!$AJ$2:$AJ$167,TRUE))*economics!$AM$2:$AM$167))/(SUMPRODUCT((economics!$AG$2:$AG$167=$B50)*(economics!$D$2:$D$167="process")*economics!$AH$2:$AH$167*(_xlfn.NORM.DIST(AN$3,economics!$AK$2:$AK$167,economics!$AJ$2:$AJ$167,TRUE)-_xlfn.NORM.DIST(AN$30,economics!$AK$2:$AK$167,economics!$AJ$2:$AJ$167,TRUE)))),"")</f>
        <v/>
      </c>
      <c r="AO50">
        <f t="array" ref="AO50">IFERROR((SUMPRODUCT((economics!$AG$2:$AG$167=$B50)*(economics!$D$2:$D$167="process")*economics!$AH$2:$AH$167*(_xlfn.NORM.DIST(AO$3,economics!$AK$2:$AK$167,economics!$AJ$2:$AJ$167,TRUE)-_xlfn.NORM.DIST(AO$30,economics!$AK$2:$AK$167,economics!$AJ$2:$AJ$167,TRUE))*economics!$AM$2:$AM$167))/(SUMPRODUCT((economics!$AG$2:$AG$167=$B50)*(economics!$D$2:$D$167="process")*economics!$AH$2:$AH$167*(_xlfn.NORM.DIST(AO$3,economics!$AK$2:$AK$167,economics!$AJ$2:$AJ$167,TRUE)-_xlfn.NORM.DIST(AO$30,economics!$AK$2:$AK$167,economics!$AJ$2:$AJ$167,TRUE)))),"")</f>
        <v/>
      </c>
      <c r="AP50">
        <f t="array" ref="AP50">IFERROR((SUMPRODUCT((economics!$AG$2:$AG$167=$B50)*(economics!$D$2:$D$167="process")*economics!$AH$2:$AH$167*(_xlfn.NORM.DIST(AP$3,economics!$AK$2:$AK$167,economics!$AJ$2:$AJ$167,TRUE)-_xlfn.NORM.DIST(AP$30,economics!$AK$2:$AK$167,economics!$AJ$2:$AJ$167,TRUE))*economics!$AM$2:$AM$167))/(SUMPRODUCT((economics!$AG$2:$AG$167=$B50)*(economics!$D$2:$D$167="process")*economics!$AH$2:$AH$167*(_xlfn.NORM.DIST(AP$3,economics!$AK$2:$AK$167,economics!$AJ$2:$AJ$167,TRUE)-_xlfn.NORM.DIST(AP$30,economics!$AK$2:$AK$167,economics!$AJ$2:$AJ$167,TRUE)))),"")</f>
        <v/>
      </c>
      <c r="AQ50">
        <f t="array" ref="AQ50">IFERROR((SUMPRODUCT((economics!$AG$2:$AG$167=$B50)*(economics!$D$2:$D$167="process")*economics!$AH$2:$AH$167*(_xlfn.NORM.DIST(AQ$3,economics!$AK$2:$AK$167,economics!$AJ$2:$AJ$167,TRUE)-_xlfn.NORM.DIST(AQ$30,economics!$AK$2:$AK$167,economics!$AJ$2:$AJ$167,TRUE))*economics!$AM$2:$AM$167))/(SUMPRODUCT((economics!$AG$2:$AG$167=$B50)*(economics!$D$2:$D$167="process")*economics!$AH$2:$AH$167*(_xlfn.NORM.DIST(AQ$3,economics!$AK$2:$AK$167,economics!$AJ$2:$AJ$167,TRUE)-_xlfn.NORM.DIST(AQ$30,economics!$AK$2:$AK$167,economics!$AJ$2:$AJ$167,TRUE)))),"")</f>
        <v/>
      </c>
      <c r="AR50">
        <f t="array" ref="AR50">IFERROR((SUMPRODUCT((economics!$AG$2:$AG$167=$B50)*(economics!$D$2:$D$167="process")*economics!$AH$2:$AH$167*(_xlfn.NORM.DIST(AR$3,economics!$AK$2:$AK$167,economics!$AJ$2:$AJ$167,TRUE)-_xlfn.NORM.DIST(AR$30,economics!$AK$2:$AK$167,economics!$AJ$2:$AJ$167,TRUE))*economics!$AM$2:$AM$167))/(SUMPRODUCT((economics!$AG$2:$AG$167=$B50)*(economics!$D$2:$D$167="process")*economics!$AH$2:$AH$167*(_xlfn.NORM.DIST(AR$3,economics!$AK$2:$AK$167,economics!$AJ$2:$AJ$167,TRUE)-_xlfn.NORM.DIST(AR$30,economics!$AK$2:$AK$167,economics!$AJ$2:$AJ$167,TRUE)))),"")</f>
        <v/>
      </c>
      <c r="AS50">
        <f t="array" ref="AS50">IFERROR((SUMPRODUCT((economics!$AG$2:$AG$167=$B50)*(economics!$D$2:$D$167="process")*economics!$AH$2:$AH$167*(_xlfn.NORM.DIST(AS$3,economics!$AK$2:$AK$167,economics!$AJ$2:$AJ$167,TRUE)-_xlfn.NORM.DIST(AS$30,economics!$AK$2:$AK$167,economics!$AJ$2:$AJ$167,TRUE))*economics!$AM$2:$AM$167))/(SUMPRODUCT((economics!$AG$2:$AG$167=$B50)*(economics!$D$2:$D$167="process")*economics!$AH$2:$AH$167*(_xlfn.NORM.DIST(AS$3,economics!$AK$2:$AK$167,economics!$AJ$2:$AJ$167,TRUE)-_xlfn.NORM.DIST(AS$30,economics!$AK$2:$AK$167,economics!$AJ$2:$AJ$167,TRUE)))),"")</f>
        <v/>
      </c>
      <c r="AT50">
        <f t="array" ref="AT50">IFERROR((SUMPRODUCT((economics!$AG$2:$AG$167=$B50)*(economics!$D$2:$D$167="process")*economics!$AH$2:$AH$167*(_xlfn.NORM.DIST(AT$3,economics!$AK$2:$AK$167,economics!$AJ$2:$AJ$167,TRUE)-_xlfn.NORM.DIST(AT$30,economics!$AK$2:$AK$167,economics!$AJ$2:$AJ$167,TRUE))*economics!$AM$2:$AM$167))/(SUMPRODUCT((economics!$AG$2:$AG$167=$B50)*(economics!$D$2:$D$167="process")*economics!$AH$2:$AH$167*(_xlfn.NORM.DIST(AT$3,economics!$AK$2:$AK$167,economics!$AJ$2:$AJ$167,TRUE)-_xlfn.NORM.DIST(AT$30,economics!$AK$2:$AK$167,economics!$AJ$2:$AJ$167,TRUE)))),"")</f>
        <v/>
      </c>
      <c r="AU50">
        <f t="array" ref="AU50">IFERROR((SUMPRODUCT((economics!$AG$2:$AG$167=$B50)*(economics!$D$2:$D$167="process")*economics!$AH$2:$AH$167*(_xlfn.NORM.DIST(AU$3,economics!$AK$2:$AK$167,economics!$AJ$2:$AJ$167,TRUE)-_xlfn.NORM.DIST(AU$30,economics!$AK$2:$AK$167,economics!$AJ$2:$AJ$167,TRUE))*economics!$AM$2:$AM$167))/(SUMPRODUCT((economics!$AG$2:$AG$167=$B50)*(economics!$D$2:$D$167="process")*economics!$AH$2:$AH$167*(_xlfn.NORM.DIST(AU$3,economics!$AK$2:$AK$167,economics!$AJ$2:$AJ$167,TRUE)-_xlfn.NORM.DIST(AU$30,economics!$AK$2:$AK$167,economics!$AJ$2:$AJ$167,TRUE)))),"")</f>
        <v/>
      </c>
      <c r="AV50">
        <f t="array" ref="AV50">IFERROR((SUMPRODUCT((economics!$AG$2:$AG$167=$B50)*(economics!$D$2:$D$167="process")*economics!$AH$2:$AH$167*(_xlfn.NORM.DIST(AV$3,economics!$AK$2:$AK$167,economics!$AJ$2:$AJ$167,TRUE)-_xlfn.NORM.DIST(AV$30,economics!$AK$2:$AK$167,economics!$AJ$2:$AJ$167,TRUE))*economics!$AM$2:$AM$167))/(SUMPRODUCT((economics!$AG$2:$AG$167=$B50)*(economics!$D$2:$D$167="process")*economics!$AH$2:$AH$167*(_xlfn.NORM.DIST(AV$3,economics!$AK$2:$AK$167,economics!$AJ$2:$AJ$167,TRUE)-_xlfn.NORM.DIST(AV$30,economics!$AK$2:$AK$167,economics!$AJ$2:$AJ$167,TRUE)))),"")</f>
        <v/>
      </c>
      <c r="AW50">
        <f t="array" ref="AW50">IFERROR((SUMPRODUCT((economics!$AG$2:$AG$167=$B50)*(economics!$D$2:$D$167="process")*economics!$AH$2:$AH$167*(_xlfn.NORM.DIST(AW$3,economics!$AK$2:$AK$167,economics!$AJ$2:$AJ$167,TRUE)-_xlfn.NORM.DIST(AW$30,economics!$AK$2:$AK$167,economics!$AJ$2:$AJ$167,TRUE))*economics!$AM$2:$AM$167))/(SUMPRODUCT((economics!$AG$2:$AG$167=$B50)*(economics!$D$2:$D$167="process")*economics!$AH$2:$AH$167*(_xlfn.NORM.DIST(AW$3,economics!$AK$2:$AK$167,economics!$AJ$2:$AJ$167,TRUE)-_xlfn.NORM.DIST(AW$30,economics!$AK$2:$AK$167,economics!$AJ$2:$AJ$167,TRUE)))),"")</f>
        <v/>
      </c>
      <c r="AX50">
        <f t="array" ref="AX50">IFERROR((SUMPRODUCT((economics!$AG$2:$AG$167=$B50)*(economics!$D$2:$D$167="process")*economics!$AH$2:$AH$167*(_xlfn.NORM.DIST(AX$3,economics!$AK$2:$AK$167,economics!$AJ$2:$AJ$167,TRUE)-_xlfn.NORM.DIST(AX$30,economics!$AK$2:$AK$167,economics!$AJ$2:$AJ$167,TRUE))*economics!$AM$2:$AM$167))/(SUMPRODUCT((economics!$AG$2:$AG$167=$B50)*(economics!$D$2:$D$167="process")*economics!$AH$2:$AH$167*(_xlfn.NORM.DIST(AX$3,economics!$AK$2:$AK$167,economics!$AJ$2:$AJ$167,TRUE)-_xlfn.NORM.DIST(AX$30,economics!$AK$2:$AK$167,economics!$AJ$2:$AJ$167,TRUE)))),"")</f>
        <v/>
      </c>
      <c r="AY50">
        <f t="array" ref="AY50">IFERROR((SUMPRODUCT((economics!$AG$2:$AG$167=$B50)*(economics!$D$2:$D$167="process")*economics!$AH$2:$AH$167*(_xlfn.NORM.DIST(AY$3,economics!$AK$2:$AK$167,economics!$AJ$2:$AJ$167,TRUE)-_xlfn.NORM.DIST(AY$30,economics!$AK$2:$AK$167,economics!$AJ$2:$AJ$167,TRUE))*economics!$AM$2:$AM$167))/(SUMPRODUCT((economics!$AG$2:$AG$167=$B50)*(economics!$D$2:$D$167="process")*economics!$AH$2:$AH$167*(_xlfn.NORM.DIST(AY$3,economics!$AK$2:$AK$167,economics!$AJ$2:$AJ$167,TRUE)-_xlfn.NORM.DIST(AY$30,economics!$AK$2:$AK$167,economics!$AJ$2:$AJ$167,TRUE)))),"")</f>
        <v/>
      </c>
      <c r="AZ50">
        <f t="array" ref="AZ50">IFERROR((SUMPRODUCT((economics!$AG$2:$AG$167=$B50)*(economics!$D$2:$D$167="process")*economics!$AH$2:$AH$167*(_xlfn.NORM.DIST(AZ$3,economics!$AK$2:$AK$167,economics!$AJ$2:$AJ$167,TRUE)-_xlfn.NORM.DIST(AZ$30,economics!$AK$2:$AK$167,economics!$AJ$2:$AJ$167,TRUE))*economics!$AM$2:$AM$167))/(SUMPRODUCT((economics!$AG$2:$AG$167=$B50)*(economics!$D$2:$D$167="process")*economics!$AH$2:$AH$167*(_xlfn.NORM.DIST(AZ$3,economics!$AK$2:$AK$167,economics!$AJ$2:$AJ$167,TRUE)-_xlfn.NORM.DIST(AZ$30,economics!$AK$2:$AK$167,economics!$AJ$2:$AJ$167,TRUE)))),"")</f>
        <v/>
      </c>
      <c r="BA50">
        <f t="array" ref="BA50">IFERROR((SUMPRODUCT((economics!$AG$2:$AG$167=$B50)*(economics!$D$2:$D$167="process")*economics!$AH$2:$AH$167*(_xlfn.NORM.DIST(BA$3,economics!$AK$2:$AK$167,economics!$AJ$2:$AJ$167,TRUE)-_xlfn.NORM.DIST(BA$30,economics!$AK$2:$AK$167,economics!$AJ$2:$AJ$167,TRUE))*economics!$AM$2:$AM$167))/(SUMPRODUCT((economics!$AG$2:$AG$167=$B50)*(economics!$D$2:$D$167="process")*economics!$AH$2:$AH$167*(_xlfn.NORM.DIST(BA$3,economics!$AK$2:$AK$167,economics!$AJ$2:$AJ$167,TRUE)-_xlfn.NORM.DIST(BA$30,economics!$AK$2:$AK$167,economics!$AJ$2:$AJ$167,TRUE)))),"")</f>
        <v/>
      </c>
      <c r="BB50">
        <f t="array" ref="BB50">IFERROR((SUMPRODUCT((economics!$AG$2:$AG$167=$B50)*(economics!$D$2:$D$167="process")*economics!$AH$2:$AH$167*(_xlfn.NORM.DIST(BB$3,economics!$AK$2:$AK$167,economics!$AJ$2:$AJ$167,TRUE)-_xlfn.NORM.DIST(BB$30,economics!$AK$2:$AK$167,economics!$AJ$2:$AJ$167,TRUE))*economics!$AM$2:$AM$167))/(SUMPRODUCT((economics!$AG$2:$AG$167=$B50)*(economics!$D$2:$D$167="process")*economics!$AH$2:$AH$167*(_xlfn.NORM.DIST(BB$3,economics!$AK$2:$AK$167,economics!$AJ$2:$AJ$167,TRUE)-_xlfn.NORM.DIST(BB$30,economics!$AK$2:$AK$167,economics!$AJ$2:$AJ$167,TRUE)))),"")</f>
        <v/>
      </c>
      <c r="BC50">
        <f t="array" ref="BC50">IFERROR((SUMPRODUCT((economics!$AG$2:$AG$167=$B50)*(economics!$D$2:$D$167="process")*economics!$AH$2:$AH$167*(_xlfn.NORM.DIST(BC$3,economics!$AK$2:$AK$167,economics!$AJ$2:$AJ$167,TRUE)-_xlfn.NORM.DIST(BC$30,economics!$AK$2:$AK$167,economics!$AJ$2:$AJ$167,TRUE))*economics!$AM$2:$AM$167))/(SUMPRODUCT((economics!$AG$2:$AG$167=$B50)*(economics!$D$2:$D$167="process")*economics!$AH$2:$AH$167*(_xlfn.NORM.DIST(BC$3,economics!$AK$2:$AK$167,economics!$AJ$2:$AJ$167,TRUE)-_xlfn.NORM.DIST(BC$30,economics!$AK$2:$AK$167,economics!$AJ$2:$AJ$167,TRUE)))),"")</f>
        <v/>
      </c>
      <c r="BD50">
        <f t="array" ref="BD50">IFERROR((SUMPRODUCT((economics!$AG$2:$AG$167=$B50)*(economics!$D$2:$D$167="process")*economics!$AH$2:$AH$167*(_xlfn.NORM.DIST(BD$3,economics!$AK$2:$AK$167,economics!$AJ$2:$AJ$167,TRUE)-_xlfn.NORM.DIST(BD$30,economics!$AK$2:$AK$167,economics!$AJ$2:$AJ$167,TRUE))*economics!$AM$2:$AM$167))/(SUMPRODUCT((economics!$AG$2:$AG$167=$B50)*(economics!$D$2:$D$167="process")*economics!$AH$2:$AH$167*(_xlfn.NORM.DIST(BD$3,economics!$AK$2:$AK$167,economics!$AJ$2:$AJ$167,TRUE)-_xlfn.NORM.DIST(BD$30,economics!$AK$2:$AK$167,economics!$AJ$2:$AJ$167,TRUE)))),"")</f>
        <v/>
      </c>
      <c r="BE50">
        <f t="array" ref="BE50">IFERROR((SUMPRODUCT((economics!$AG$2:$AG$167=$B50)*(economics!$D$2:$D$167="process")*economics!$AH$2:$AH$167*(_xlfn.NORM.DIST(BE$3,economics!$AK$2:$AK$167,economics!$AJ$2:$AJ$167,TRUE)-_xlfn.NORM.DIST(BE$30,economics!$AK$2:$AK$167,economics!$AJ$2:$AJ$167,TRUE))*economics!$AM$2:$AM$167))/(SUMPRODUCT((economics!$AG$2:$AG$167=$B50)*(economics!$D$2:$D$167="process")*economics!$AH$2:$AH$167*(_xlfn.NORM.DIST(BE$3,economics!$AK$2:$AK$167,economics!$AJ$2:$AJ$167,TRUE)-_xlfn.NORM.DIST(BE$30,economics!$AK$2:$AK$167,economics!$AJ$2:$AJ$167,TRUE)))),"")</f>
        <v/>
      </c>
      <c r="BF50">
        <f t="array" ref="BF50">IFERROR((SUMPRODUCT((economics!$AG$2:$AG$167=$B50)*(economics!$D$2:$D$167="process")*economics!$AH$2:$AH$167*(_xlfn.NORM.DIST(BF$3,economics!$AK$2:$AK$167,economics!$AJ$2:$AJ$167,TRUE)-_xlfn.NORM.DIST(BF$30,economics!$AK$2:$AK$167,economics!$AJ$2:$AJ$167,TRUE))*economics!$AM$2:$AM$167))/(SUMPRODUCT((economics!$AG$2:$AG$167=$B50)*(economics!$D$2:$D$167="process")*economics!$AH$2:$AH$167*(_xlfn.NORM.DIST(BF$3,economics!$AK$2:$AK$167,economics!$AJ$2:$AJ$167,TRUE)-_xlfn.NORM.DIST(BF$30,economics!$AK$2:$AK$167,economics!$AJ$2:$AJ$167,TRUE)))),"")</f>
        <v/>
      </c>
      <c r="BG50">
        <f t="array" ref="BG50">IFERROR((SUMPRODUCT((economics!$AG$2:$AG$167=$B50)*(economics!$D$2:$D$167="process")*economics!$AH$2:$AH$167*(_xlfn.NORM.DIST(BG$3,economics!$AK$2:$AK$167,economics!$AJ$2:$AJ$167,TRUE)-_xlfn.NORM.DIST(BG$30,economics!$AK$2:$AK$167,economics!$AJ$2:$AJ$167,TRUE))*economics!$AM$2:$AM$167))/(SUMPRODUCT((economics!$AG$2:$AG$167=$B50)*(economics!$D$2:$D$167="process")*economics!$AH$2:$AH$167*(_xlfn.NORM.DIST(BG$3,economics!$AK$2:$AK$167,economics!$AJ$2:$AJ$167,TRUE)-_xlfn.NORM.DIST(BG$30,economics!$AK$2:$AK$167,economics!$AJ$2:$AJ$167,TRUE)))),"")</f>
        <v/>
      </c>
      <c r="BH50">
        <f t="array" ref="BH50">IFERROR((SUMPRODUCT((economics!$AG$2:$AG$167=$B50)*(economics!$D$2:$D$167="process")*economics!$AH$2:$AH$167*(_xlfn.NORM.DIST(BH$3,economics!$AK$2:$AK$167,economics!$AJ$2:$AJ$167,TRUE)-_xlfn.NORM.DIST(BH$30,economics!$AK$2:$AK$167,economics!$AJ$2:$AJ$167,TRUE))*economics!$AM$2:$AM$167))/(SUMPRODUCT((economics!$AG$2:$AG$167=$B50)*(economics!$D$2:$D$167="process")*economics!$AH$2:$AH$167*(_xlfn.NORM.DIST(BH$3,economics!$AK$2:$AK$167,economics!$AJ$2:$AJ$167,TRUE)-_xlfn.NORM.DIST(BH$30,economics!$AK$2:$AK$167,economics!$AJ$2:$AJ$167,TRUE)))),"")</f>
        <v/>
      </c>
      <c r="BI50">
        <f t="array" ref="BI50">IFERROR((SUMPRODUCT((economics!$AG$2:$AG$167=$B50)*(economics!$D$2:$D$167="process")*economics!$AH$2:$AH$167*(_xlfn.NORM.DIST(BI$3,economics!$AK$2:$AK$167,economics!$AJ$2:$AJ$167,TRUE)-_xlfn.NORM.DIST(BI$30,economics!$AK$2:$AK$167,economics!$AJ$2:$AJ$167,TRUE))*economics!$AM$2:$AM$167))/(SUMPRODUCT((economics!$AG$2:$AG$167=$B50)*(economics!$D$2:$D$167="process")*economics!$AH$2:$AH$167*(_xlfn.NORM.DIST(BI$3,economics!$AK$2:$AK$167,economics!$AJ$2:$AJ$167,TRUE)-_xlfn.NORM.DIST(BI$30,economics!$AK$2:$AK$167,economics!$AJ$2:$AJ$167,TRUE)))),"")</f>
        <v/>
      </c>
      <c r="BJ50">
        <f t="array" ref="BJ50">IFERROR((SUMPRODUCT((economics!$AG$2:$AG$167=$B50)*(economics!$D$2:$D$167="process")*economics!$AH$2:$AH$167*(_xlfn.NORM.DIST(BJ$3,economics!$AK$2:$AK$167,economics!$AJ$2:$AJ$167,TRUE)-_xlfn.NORM.DIST(BJ$30,economics!$AK$2:$AK$167,economics!$AJ$2:$AJ$167,TRUE))*economics!$AM$2:$AM$167))/(SUMPRODUCT((economics!$AG$2:$AG$167=$B50)*(economics!$D$2:$D$167="process")*economics!$AH$2:$AH$167*(_xlfn.NORM.DIST(BJ$3,economics!$AK$2:$AK$167,economics!$AJ$2:$AJ$167,TRUE)-_xlfn.NORM.DIST(BJ$30,economics!$AK$2:$AK$167,economics!$AJ$2:$AJ$167,TRUE)))),"")</f>
        <v/>
      </c>
      <c r="BK50">
        <f t="array" ref="BK50">IFERROR((SUMPRODUCT((economics!$AG$2:$AG$167=$B50)*(economics!$D$2:$D$167="process")*economics!$AH$2:$AH$167*(_xlfn.NORM.DIST(BK$3,economics!$AK$2:$AK$167,economics!$AJ$2:$AJ$167,TRUE)-_xlfn.NORM.DIST(BK$30,economics!$AK$2:$AK$167,economics!$AJ$2:$AJ$167,TRUE))*economics!$AM$2:$AM$167))/(SUMPRODUCT((economics!$AG$2:$AG$167=$B50)*(economics!$D$2:$D$167="process")*economics!$AH$2:$AH$167*(_xlfn.NORM.DIST(BK$3,economics!$AK$2:$AK$167,economics!$AJ$2:$AJ$167,TRUE)-_xlfn.NORM.DIST(BK$30,economics!$AK$2:$AK$167,economics!$AJ$2:$AJ$167,TRUE)))),"")</f>
        <v/>
      </c>
      <c r="BL50">
        <f t="array" ref="BL50">IFERROR((SUMPRODUCT((economics!$AG$2:$AG$167=$B50)*(economics!$D$2:$D$167="process")*economics!$AH$2:$AH$167*(_xlfn.NORM.DIST(BL$3,economics!$AK$2:$AK$167,economics!$AJ$2:$AJ$167,TRUE)-_xlfn.NORM.DIST(BL$30,economics!$AK$2:$AK$167,economics!$AJ$2:$AJ$167,TRUE))*economics!$AM$2:$AM$167))/(SUMPRODUCT((economics!$AG$2:$AG$167=$B50)*(economics!$D$2:$D$167="process")*economics!$AH$2:$AH$167*(_xlfn.NORM.DIST(BL$3,economics!$AK$2:$AK$167,economics!$AJ$2:$AJ$167,TRUE)-_xlfn.NORM.DIST(BL$30,economics!$AK$2:$AK$167,economics!$AJ$2:$AJ$167,TRUE)))),"")</f>
        <v/>
      </c>
      <c r="BM50">
        <f t="array" ref="BM50">IFERROR((SUMPRODUCT((economics!$AG$2:$AG$167=$B50)*(economics!$D$2:$D$167="process")*economics!$AH$2:$AH$167*(_xlfn.NORM.DIST(BM$3,economics!$AK$2:$AK$167,economics!$AJ$2:$AJ$167,TRUE)-_xlfn.NORM.DIST(BM$30,economics!$AK$2:$AK$167,economics!$AJ$2:$AJ$167,TRUE))*economics!$AM$2:$AM$167))/(SUMPRODUCT((economics!$AG$2:$AG$167=$B50)*(economics!$D$2:$D$167="process")*economics!$AH$2:$AH$167*(_xlfn.NORM.DIST(BM$3,economics!$AK$2:$AK$167,economics!$AJ$2:$AJ$167,TRUE)-_xlfn.NORM.DIST(BM$30,economics!$AK$2:$AK$167,economics!$AJ$2:$AJ$167,TRUE)))),"")</f>
        <v/>
      </c>
      <c r="BN50">
        <f t="array" ref="BN50">IFERROR((SUMPRODUCT((economics!$AG$2:$AG$167=$B50)*(economics!$D$2:$D$167="process")*economics!$AH$2:$AH$167*(_xlfn.NORM.DIST(BN$3,economics!$AK$2:$AK$167,economics!$AJ$2:$AJ$167,TRUE)-_xlfn.NORM.DIST(BN$30,economics!$AK$2:$AK$167,economics!$AJ$2:$AJ$167,TRUE))*economics!$AM$2:$AM$167))/(SUMPRODUCT((economics!$AG$2:$AG$167=$B50)*(economics!$D$2:$D$167="process")*economics!$AH$2:$AH$167*(_xlfn.NORM.DIST(BN$3,economics!$AK$2:$AK$167,economics!$AJ$2:$AJ$167,TRUE)-_xlfn.NORM.DIST(BN$30,economics!$AK$2:$AK$167,economics!$AJ$2:$AJ$167,TRUE)))),"")</f>
        <v/>
      </c>
      <c r="BO50">
        <f t="array" ref="BO50">IFERROR((SUMPRODUCT((economics!$AG$2:$AG$167=$B50)*(economics!$D$2:$D$167="process")*economics!$AH$2:$AH$167*(_xlfn.NORM.DIST(BO$3,economics!$AK$2:$AK$167,economics!$AJ$2:$AJ$167,TRUE)-_xlfn.NORM.DIST(BO$30,economics!$AK$2:$AK$167,economics!$AJ$2:$AJ$167,TRUE))*economics!$AM$2:$AM$167))/(SUMPRODUCT((economics!$AG$2:$AG$167=$B50)*(economics!$D$2:$D$167="process")*economics!$AH$2:$AH$167*(_xlfn.NORM.DIST(BO$3,economics!$AK$2:$AK$167,economics!$AJ$2:$AJ$167,TRUE)-_xlfn.NORM.DIST(BO$30,economics!$AK$2:$AK$167,economics!$AJ$2:$AJ$167,TRUE)))),"")</f>
        <v/>
      </c>
      <c r="BP50">
        <f t="array" ref="BP50">IFERROR((SUMPRODUCT((economics!$AG$2:$AG$167=$B50)*(economics!$D$2:$D$167="process")*economics!$AH$2:$AH$167*(_xlfn.NORM.DIST(BP$3,economics!$AK$2:$AK$167,economics!$AJ$2:$AJ$167,TRUE)-_xlfn.NORM.DIST(BP$30,economics!$AK$2:$AK$167,economics!$AJ$2:$AJ$167,TRUE))*economics!$AM$2:$AM$167))/(SUMPRODUCT((economics!$AG$2:$AG$167=$B50)*(economics!$D$2:$D$167="process")*economics!$AH$2:$AH$167*(_xlfn.NORM.DIST(BP$3,economics!$AK$2:$AK$167,economics!$AJ$2:$AJ$167,TRUE)-_xlfn.NORM.DIST(BP$30,economics!$AK$2:$AK$167,economics!$AJ$2:$AJ$167,TRUE)))),"")</f>
        <v/>
      </c>
      <c r="BQ50">
        <f t="array" ref="BQ50">IFERROR((SUMPRODUCT((economics!$AG$2:$AG$167=$B50)*(economics!$D$2:$D$167="process")*economics!$AH$2:$AH$167*(_xlfn.NORM.DIST(BQ$3,economics!$AK$2:$AK$167,economics!$AJ$2:$AJ$167,TRUE)-_xlfn.NORM.DIST(BQ$30,economics!$AK$2:$AK$167,economics!$AJ$2:$AJ$167,TRUE))*economics!$AM$2:$AM$167))/(SUMPRODUCT((economics!$AG$2:$AG$167=$B50)*(economics!$D$2:$D$167="process")*economics!$AH$2:$AH$167*(_xlfn.NORM.DIST(BQ$3,economics!$AK$2:$AK$167,economics!$AJ$2:$AJ$167,TRUE)-_xlfn.NORM.DIST(BQ$30,economics!$AK$2:$AK$167,economics!$AJ$2:$AJ$167,TRUE)))),"")</f>
        <v/>
      </c>
      <c r="BR50">
        <f t="array" ref="BR50">IFERROR((SUMPRODUCT((economics!$AG$2:$AG$167=$B50)*(economics!$D$2:$D$167="process")*economics!$AH$2:$AH$167*(_xlfn.NORM.DIST(BR$3,economics!$AK$2:$AK$167,economics!$AJ$2:$AJ$167,TRUE)-_xlfn.NORM.DIST(BR$30,economics!$AK$2:$AK$167,economics!$AJ$2:$AJ$167,TRUE))*economics!$AM$2:$AM$167))/(SUMPRODUCT((economics!$AG$2:$AG$167=$B50)*(economics!$D$2:$D$167="process")*economics!$AH$2:$AH$167*(_xlfn.NORM.DIST(BR$3,economics!$AK$2:$AK$167,economics!$AJ$2:$AJ$167,TRUE)-_xlfn.NORM.DIST(BR$30,economics!$AK$2:$AK$167,economics!$AJ$2:$AJ$167,TRUE)))),"")</f>
        <v/>
      </c>
      <c r="BS50">
        <f t="array" ref="BS50">IFERROR((SUMPRODUCT((economics!$AG$2:$AG$167=$B50)*(economics!$D$2:$D$167="process")*economics!$AH$2:$AH$167*(_xlfn.NORM.DIST(BS$3,economics!$AK$2:$AK$167,economics!$AJ$2:$AJ$167,TRUE)-_xlfn.NORM.DIST(BS$30,economics!$AK$2:$AK$167,economics!$AJ$2:$AJ$167,TRUE))*economics!$AM$2:$AM$167))/(SUMPRODUCT((economics!$AG$2:$AG$167=$B50)*(economics!$D$2:$D$167="process")*economics!$AH$2:$AH$167*(_xlfn.NORM.DIST(BS$3,economics!$AK$2:$AK$167,economics!$AJ$2:$AJ$167,TRUE)-_xlfn.NORM.DIST(BS$30,economics!$AK$2:$AK$167,economics!$AJ$2:$AJ$167,TRUE)))),"")</f>
        <v/>
      </c>
      <c r="BT50">
        <f t="array" ref="BT50">IFERROR((SUMPRODUCT((economics!$AG$2:$AG$167=$B50)*(economics!$D$2:$D$167="process")*economics!$AH$2:$AH$167*(_xlfn.NORM.DIST(BT$3,economics!$AK$2:$AK$167,economics!$AJ$2:$AJ$167,TRUE)-_xlfn.NORM.DIST(BT$30,economics!$AK$2:$AK$167,economics!$AJ$2:$AJ$167,TRUE))*economics!$AM$2:$AM$167))/(SUMPRODUCT((economics!$AG$2:$AG$167=$B50)*(economics!$D$2:$D$167="process")*economics!$AH$2:$AH$167*(_xlfn.NORM.DIST(BT$3,economics!$AK$2:$AK$167,economics!$AJ$2:$AJ$167,TRUE)-_xlfn.NORM.DIST(BT$30,economics!$AK$2:$AK$167,economics!$AJ$2:$AJ$167,TRUE)))),"")</f>
        <v/>
      </c>
      <c r="BU50">
        <f t="array" ref="BU50">IFERROR((SUMPRODUCT((economics!$AG$2:$AG$167=$B50)*(economics!$D$2:$D$167="process")*economics!$AH$2:$AH$167*(_xlfn.NORM.DIST(BU$3,economics!$AK$2:$AK$167,economics!$AJ$2:$AJ$167,TRUE)-_xlfn.NORM.DIST(BU$30,economics!$AK$2:$AK$167,economics!$AJ$2:$AJ$167,TRUE))*economics!$AM$2:$AM$167))/(SUMPRODUCT((economics!$AG$2:$AG$167=$B50)*(economics!$D$2:$D$167="process")*economics!$AH$2:$AH$167*(_xlfn.NORM.DIST(BU$3,economics!$AK$2:$AK$167,economics!$AJ$2:$AJ$167,TRUE)-_xlfn.NORM.DIST(BU$30,economics!$AK$2:$AK$167,economics!$AJ$2:$AJ$167,TRUE)))),"")</f>
        <v/>
      </c>
      <c r="BV50">
        <f t="array" ref="BV50">IFERROR((SUMPRODUCT((economics!$AG$2:$AG$167=$B50)*(economics!$D$2:$D$167="process")*economics!$AH$2:$AH$167*(_xlfn.NORM.DIST(BV$3,economics!$AK$2:$AK$167,economics!$AJ$2:$AJ$167,TRUE)-_xlfn.NORM.DIST(BV$30,economics!$AK$2:$AK$167,economics!$AJ$2:$AJ$167,TRUE))*economics!$AM$2:$AM$167))/(SUMPRODUCT((economics!$AG$2:$AG$167=$B50)*(economics!$D$2:$D$167="process")*economics!$AH$2:$AH$167*(_xlfn.NORM.DIST(BV$3,economics!$AK$2:$AK$167,economics!$AJ$2:$AJ$167,TRUE)-_xlfn.NORM.DIST(BV$30,economics!$AK$2:$AK$167,economics!$AJ$2:$AJ$167,TRUE)))),"")</f>
        <v/>
      </c>
      <c r="BW50">
        <f t="array" ref="BW50">IFERROR((SUMPRODUCT((economics!$AG$2:$AG$167=$B50)*(economics!$D$2:$D$167="process")*economics!$AH$2:$AH$167*(_xlfn.NORM.DIST(BW$3,economics!$AK$2:$AK$167,economics!$AJ$2:$AJ$167,TRUE)-_xlfn.NORM.DIST(BW$30,economics!$AK$2:$AK$167,economics!$AJ$2:$AJ$167,TRUE))*economics!$AM$2:$AM$167))/(SUMPRODUCT((economics!$AG$2:$AG$167=$B50)*(economics!$D$2:$D$167="process")*economics!$AH$2:$AH$167*(_xlfn.NORM.DIST(BW$3,economics!$AK$2:$AK$167,economics!$AJ$2:$AJ$167,TRUE)-_xlfn.NORM.DIST(BW$30,economics!$AK$2:$AK$167,economics!$AJ$2:$AJ$167,TRUE)))),"")</f>
        <v/>
      </c>
      <c r="BX50">
        <f t="array" ref="BX50">IFERROR((SUMPRODUCT((economics!$AG$2:$AG$167=$B50)*(economics!$D$2:$D$167="process")*economics!$AH$2:$AH$167*(_xlfn.NORM.DIST(BX$3,economics!$AK$2:$AK$167,economics!$AJ$2:$AJ$167,TRUE)-_xlfn.NORM.DIST(BX$30,economics!$AK$2:$AK$167,economics!$AJ$2:$AJ$167,TRUE))*economics!$AM$2:$AM$167))/(SUMPRODUCT((economics!$AG$2:$AG$167=$B50)*(economics!$D$2:$D$167="process")*economics!$AH$2:$AH$167*(_xlfn.NORM.DIST(BX$3,economics!$AK$2:$AK$167,economics!$AJ$2:$AJ$167,TRUE)-_xlfn.NORM.DIST(BX$30,economics!$AK$2:$AK$167,economics!$AJ$2:$AJ$167,TRUE)))),"")</f>
        <v/>
      </c>
      <c r="BY50">
        <f t="array" ref="BY50">IFERROR((SUMPRODUCT((economics!$AG$2:$AG$167=$B50)*(economics!$D$2:$D$167="process")*economics!$AH$2:$AH$167*(_xlfn.NORM.DIST(BY$3,economics!$AK$2:$AK$167,economics!$AJ$2:$AJ$167,TRUE)-_xlfn.NORM.DIST(BY$30,economics!$AK$2:$AK$167,economics!$AJ$2:$AJ$167,TRUE))*economics!$AM$2:$AM$167))/(SUMPRODUCT((economics!$AG$2:$AG$167=$B50)*(economics!$D$2:$D$167="process")*economics!$AH$2:$AH$167*(_xlfn.NORM.DIST(BY$3,economics!$AK$2:$AK$167,economics!$AJ$2:$AJ$167,TRUE)-_xlfn.NORM.DIST(BY$30,economics!$AK$2:$AK$167,economics!$AJ$2:$AJ$167,TRUE)))),"")</f>
        <v/>
      </c>
      <c r="BZ50">
        <f t="array" ref="BZ50">IFERROR((SUMPRODUCT((economics!$AG$2:$AG$167=$B50)*(economics!$D$2:$D$167="process")*economics!$AH$2:$AH$167*(_xlfn.NORM.DIST(BZ$3,economics!$AK$2:$AK$167,economics!$AJ$2:$AJ$167,TRUE)-_xlfn.NORM.DIST(BZ$30,economics!$AK$2:$AK$167,economics!$AJ$2:$AJ$167,TRUE))*economics!$AM$2:$AM$167))/(SUMPRODUCT((economics!$AG$2:$AG$167=$B50)*(economics!$D$2:$D$167="process")*economics!$AH$2:$AH$167*(_xlfn.NORM.DIST(BZ$3,economics!$AK$2:$AK$167,economics!$AJ$2:$AJ$167,TRUE)-_xlfn.NORM.DIST(BZ$30,economics!$AK$2:$AK$167,economics!$AJ$2:$AJ$167,TRUE)))),"")</f>
        <v/>
      </c>
      <c r="CA50">
        <f t="array" ref="CA50">IFERROR((SUMPRODUCT((economics!$AG$2:$AG$167=$B50)*(economics!$D$2:$D$167="process")*economics!$AH$2:$AH$167*(_xlfn.NORM.DIST(CA$3,economics!$AK$2:$AK$167,economics!$AJ$2:$AJ$167,TRUE)-_xlfn.NORM.DIST(CA$30,economics!$AK$2:$AK$167,economics!$AJ$2:$AJ$167,TRUE))*economics!$AM$2:$AM$167))/(SUMPRODUCT((economics!$AG$2:$AG$167=$B50)*(economics!$D$2:$D$167="process")*economics!$AH$2:$AH$167*(_xlfn.NORM.DIST(CA$3,economics!$AK$2:$AK$167,economics!$AJ$2:$AJ$167,TRUE)-_xlfn.NORM.DIST(CA$30,economics!$AK$2:$AK$167,economics!$AJ$2:$AJ$167,TRUE)))),"")</f>
        <v/>
      </c>
      <c r="CB50">
        <f t="array" ref="CB50">IFERROR((SUMPRODUCT((economics!$AG$2:$AG$167=$B50)*(economics!$D$2:$D$167="process")*economics!$AH$2:$AH$167*(_xlfn.NORM.DIST(CB$3,economics!$AK$2:$AK$167,economics!$AJ$2:$AJ$167,TRUE)-_xlfn.NORM.DIST(CB$30,economics!$AK$2:$AK$167,economics!$AJ$2:$AJ$167,TRUE))*economics!$AM$2:$AM$167))/(SUMPRODUCT((economics!$AG$2:$AG$167=$B50)*(economics!$D$2:$D$167="process")*economics!$AH$2:$AH$167*(_xlfn.NORM.DIST(CB$3,economics!$AK$2:$AK$167,economics!$AJ$2:$AJ$167,TRUE)-_xlfn.NORM.DIST(CB$30,economics!$AK$2:$AK$167,economics!$AJ$2:$AJ$167,TRUE)))),"")</f>
        <v/>
      </c>
      <c r="CC50">
        <f t="array" ref="CC50">IFERROR((SUMPRODUCT((economics!$AG$2:$AG$167=$B50)*(economics!$D$2:$D$167="process")*economics!$AH$2:$AH$167*(_xlfn.NORM.DIST(CC$3,economics!$AK$2:$AK$167,economics!$AJ$2:$AJ$167,TRUE)-_xlfn.NORM.DIST(CC$30,economics!$AK$2:$AK$167,economics!$AJ$2:$AJ$167,TRUE))*economics!$AM$2:$AM$167))/(SUMPRODUCT((economics!$AG$2:$AG$167=$B50)*(economics!$D$2:$D$167="process")*economics!$AH$2:$AH$167*(_xlfn.NORM.DIST(CC$3,economics!$AK$2:$AK$167,economics!$AJ$2:$AJ$167,TRUE)-_xlfn.NORM.DIST(CC$30,economics!$AK$2:$AK$167,economics!$AJ$2:$AJ$167,TRUE)))),"")</f>
        <v/>
      </c>
      <c r="CD50">
        <f t="array" ref="CD50">IFERROR((SUMPRODUCT((economics!$AG$2:$AG$167=$B50)*(economics!$D$2:$D$167="process")*economics!$AH$2:$AH$167*(_xlfn.NORM.DIST(CD$3,economics!$AK$2:$AK$167,economics!$AJ$2:$AJ$167,TRUE)-_xlfn.NORM.DIST(CD$30,economics!$AK$2:$AK$167,economics!$AJ$2:$AJ$167,TRUE))*economics!$AM$2:$AM$167))/(SUMPRODUCT((economics!$AG$2:$AG$167=$B50)*(economics!$D$2:$D$167="process")*economics!$AH$2:$AH$167*(_xlfn.NORM.DIST(CD$3,economics!$AK$2:$AK$167,economics!$AJ$2:$AJ$167,TRUE)-_xlfn.NORM.DIST(CD$30,economics!$AK$2:$AK$167,economics!$AJ$2:$AJ$167,TRUE)))),"")</f>
        <v/>
      </c>
      <c r="CE50">
        <f t="array" ref="CE50">IFERROR((SUMPRODUCT((economics!$AG$2:$AG$167=$B50)*(economics!$D$2:$D$167="process")*economics!$AH$2:$AH$167*(_xlfn.NORM.DIST(CE$3,economics!$AK$2:$AK$167,economics!$AJ$2:$AJ$167,TRUE)-_xlfn.NORM.DIST(CE$30,economics!$AK$2:$AK$167,economics!$AJ$2:$AJ$167,TRUE))*economics!$AM$2:$AM$167))/(SUMPRODUCT((economics!$AG$2:$AG$167=$B50)*(economics!$D$2:$D$167="process")*economics!$AH$2:$AH$167*(_xlfn.NORM.DIST(CE$3,economics!$AK$2:$AK$167,economics!$AJ$2:$AJ$167,TRUE)-_xlfn.NORM.DIST(CE$30,economics!$AK$2:$AK$167,economics!$AJ$2:$AJ$167,TRUE)))),"")</f>
        <v/>
      </c>
      <c r="CF50">
        <f t="array" ref="CF50">IFERROR((SUMPRODUCT((economics!$AG$2:$AG$167=$B50)*(economics!$D$2:$D$167="process")*economics!$AH$2:$AH$167*(_xlfn.NORM.DIST(CF$3,economics!$AK$2:$AK$167,economics!$AJ$2:$AJ$167,TRUE)-_xlfn.NORM.DIST(CF$30,economics!$AK$2:$AK$167,economics!$AJ$2:$AJ$167,TRUE))*economics!$AM$2:$AM$167))/(SUMPRODUCT((economics!$AG$2:$AG$167=$B50)*(economics!$D$2:$D$167="process")*economics!$AH$2:$AH$167*(_xlfn.NORM.DIST(CF$3,economics!$AK$2:$AK$167,economics!$AJ$2:$AJ$167,TRUE)-_xlfn.NORM.DIST(CF$30,economics!$AK$2:$AK$167,economics!$AJ$2:$AJ$167,TRUE)))),"")</f>
        <v/>
      </c>
      <c r="CG50">
        <f t="array" ref="CG50">IFERROR((SUMPRODUCT((economics!$AG$2:$AG$167=$B50)*(economics!$D$2:$D$167="process")*economics!$AH$2:$AH$167*(_xlfn.NORM.DIST(CG$3,economics!$AK$2:$AK$167,economics!$AJ$2:$AJ$167,TRUE)-_xlfn.NORM.DIST(CG$30,economics!$AK$2:$AK$167,economics!$AJ$2:$AJ$167,TRUE))*economics!$AM$2:$AM$167))/(SUMPRODUCT((economics!$AG$2:$AG$167=$B50)*(economics!$D$2:$D$167="process")*economics!$AH$2:$AH$167*(_xlfn.NORM.DIST(CG$3,economics!$AK$2:$AK$167,economics!$AJ$2:$AJ$167,TRUE)-_xlfn.NORM.DIST(CG$30,economics!$AK$2:$AK$167,economics!$AJ$2:$AJ$167,TRUE)))),"")</f>
        <v/>
      </c>
      <c r="CH50">
        <f t="array" ref="CH50">IFERROR((SUMPRODUCT((economics!$AG$2:$AG$167=$B50)*(economics!$D$2:$D$167="process")*economics!$AH$2:$AH$167*(_xlfn.NORM.DIST(CH$3,economics!$AK$2:$AK$167,economics!$AJ$2:$AJ$167,TRUE)-_xlfn.NORM.DIST(CH$30,economics!$AK$2:$AK$167,economics!$AJ$2:$AJ$167,TRUE))*economics!$AM$2:$AM$167))/(SUMPRODUCT((economics!$AG$2:$AG$167=$B50)*(economics!$D$2:$D$167="process")*economics!$AH$2:$AH$167*(_xlfn.NORM.DIST(CH$3,economics!$AK$2:$AK$167,economics!$AJ$2:$AJ$167,TRUE)-_xlfn.NORM.DIST(CH$30,economics!$AK$2:$AK$167,economics!$AJ$2:$AJ$167,TRUE)))),"")</f>
        <v/>
      </c>
    </row>
    <row r="51">
      <c r="A51">
        <f>A22</f>
        <v/>
      </c>
      <c r="B51">
        <f>B22</f>
        <v/>
      </c>
      <c r="E51">
        <f t="array" ref="E51">IFERROR((SUMPRODUCT((economics!$AG$2:$AG$167=$B51)*(economics!$D$2:$D$167="process")*economics!$AH$2:$AH$167*(_xlfn.NORM.DIST(E$3,economics!$AK$2:$AK$167,economics!$AJ$2:$AJ$167,TRUE)-_xlfn.NORM.DIST(E$30,economics!$AK$2:$AK$167,economics!$AJ$2:$AJ$167,TRUE))*economics!$AM$2:$AM$167))/(SUMPRODUCT((economics!$AG$2:$AG$167=$B51)*(economics!$D$2:$D$167="process")*economics!$AH$2:$AH$167*(_xlfn.NORM.DIST(E$3,economics!$AK$2:$AK$167,economics!$AJ$2:$AJ$167,TRUE)-_xlfn.NORM.DIST(E$30,economics!$AK$2:$AK$167,economics!$AJ$2:$AJ$167,TRUE)))),"")</f>
        <v/>
      </c>
      <c r="F51">
        <f t="array" ref="F51">IFERROR((SUMPRODUCT((economics!$AG$2:$AG$167=$B51)*(economics!$D$2:$D$167="process")*economics!$AH$2:$AH$167*(_xlfn.NORM.DIST(F$3,economics!$AK$2:$AK$167,economics!$AJ$2:$AJ$167,TRUE)-_xlfn.NORM.DIST(F$30,economics!$AK$2:$AK$167,economics!$AJ$2:$AJ$167,TRUE))*economics!$AM$2:$AM$167))/(SUMPRODUCT((economics!$AG$2:$AG$167=$B51)*(economics!$D$2:$D$167="process")*economics!$AH$2:$AH$167*(_xlfn.NORM.DIST(F$3,economics!$AK$2:$AK$167,economics!$AJ$2:$AJ$167,TRUE)-_xlfn.NORM.DIST(F$30,economics!$AK$2:$AK$167,economics!$AJ$2:$AJ$167,TRUE)))),"")</f>
        <v/>
      </c>
      <c r="G51">
        <f t="array" ref="G51">IFERROR((SUMPRODUCT((economics!$AG$2:$AG$167=$B51)*(economics!$D$2:$D$167="process")*economics!$AH$2:$AH$167*(_xlfn.NORM.DIST(G$3,economics!$AK$2:$AK$167,economics!$AJ$2:$AJ$167,TRUE)-_xlfn.NORM.DIST(G$30,economics!$AK$2:$AK$167,economics!$AJ$2:$AJ$167,TRUE))*economics!$AM$2:$AM$167))/(SUMPRODUCT((economics!$AG$2:$AG$167=$B51)*(economics!$D$2:$D$167="process")*economics!$AH$2:$AH$167*(_xlfn.NORM.DIST(G$3,economics!$AK$2:$AK$167,economics!$AJ$2:$AJ$167,TRUE)-_xlfn.NORM.DIST(G$30,economics!$AK$2:$AK$167,economics!$AJ$2:$AJ$167,TRUE)))),"")</f>
        <v/>
      </c>
      <c r="H51">
        <f t="array" ref="H51">IFERROR((SUMPRODUCT((economics!$AG$2:$AG$167=$B51)*(economics!$D$2:$D$167="process")*economics!$AH$2:$AH$167*(_xlfn.NORM.DIST(H$3,economics!$AK$2:$AK$167,economics!$AJ$2:$AJ$167,TRUE)-_xlfn.NORM.DIST(H$30,economics!$AK$2:$AK$167,economics!$AJ$2:$AJ$167,TRUE))*economics!$AM$2:$AM$167))/(SUMPRODUCT((economics!$AG$2:$AG$167=$B51)*(economics!$D$2:$D$167="process")*economics!$AH$2:$AH$167*(_xlfn.NORM.DIST(H$3,economics!$AK$2:$AK$167,economics!$AJ$2:$AJ$167,TRUE)-_xlfn.NORM.DIST(H$30,economics!$AK$2:$AK$167,economics!$AJ$2:$AJ$167,TRUE)))),"")</f>
        <v/>
      </c>
      <c r="I51">
        <f t="array" ref="I51">IFERROR((SUMPRODUCT((economics!$AG$2:$AG$167=$B51)*(economics!$D$2:$D$167="process")*economics!$AH$2:$AH$167*(_xlfn.NORM.DIST(I$3,economics!$AK$2:$AK$167,economics!$AJ$2:$AJ$167,TRUE)-_xlfn.NORM.DIST(I$30,economics!$AK$2:$AK$167,economics!$AJ$2:$AJ$167,TRUE))*economics!$AM$2:$AM$167))/(SUMPRODUCT((economics!$AG$2:$AG$167=$B51)*(economics!$D$2:$D$167="process")*economics!$AH$2:$AH$167*(_xlfn.NORM.DIST(I$3,economics!$AK$2:$AK$167,economics!$AJ$2:$AJ$167,TRUE)-_xlfn.NORM.DIST(I$30,economics!$AK$2:$AK$167,economics!$AJ$2:$AJ$167,TRUE)))),"")</f>
        <v/>
      </c>
      <c r="J51">
        <f t="array" ref="J51">IFERROR((SUMPRODUCT((economics!$AG$2:$AG$167=$B51)*(economics!$D$2:$D$167="process")*economics!$AH$2:$AH$167*(_xlfn.NORM.DIST(J$3,economics!$AK$2:$AK$167,economics!$AJ$2:$AJ$167,TRUE)-_xlfn.NORM.DIST(J$30,economics!$AK$2:$AK$167,economics!$AJ$2:$AJ$167,TRUE))*economics!$AM$2:$AM$167))/(SUMPRODUCT((economics!$AG$2:$AG$167=$B51)*(economics!$D$2:$D$167="process")*economics!$AH$2:$AH$167*(_xlfn.NORM.DIST(J$3,economics!$AK$2:$AK$167,economics!$AJ$2:$AJ$167,TRUE)-_xlfn.NORM.DIST(J$30,economics!$AK$2:$AK$167,economics!$AJ$2:$AJ$167,TRUE)))),"")</f>
        <v/>
      </c>
      <c r="K51">
        <f t="array" ref="K51">IFERROR((SUMPRODUCT((economics!$AG$2:$AG$167=$B51)*(economics!$D$2:$D$167="process")*economics!$AH$2:$AH$167*(_xlfn.NORM.DIST(K$3,economics!$AK$2:$AK$167,economics!$AJ$2:$AJ$167,TRUE)-_xlfn.NORM.DIST(K$30,economics!$AK$2:$AK$167,economics!$AJ$2:$AJ$167,TRUE))*economics!$AM$2:$AM$167))/(SUMPRODUCT((economics!$AG$2:$AG$167=$B51)*(economics!$D$2:$D$167="process")*economics!$AH$2:$AH$167*(_xlfn.NORM.DIST(K$3,economics!$AK$2:$AK$167,economics!$AJ$2:$AJ$167,TRUE)-_xlfn.NORM.DIST(K$30,economics!$AK$2:$AK$167,economics!$AJ$2:$AJ$167,TRUE)))),"")</f>
        <v/>
      </c>
      <c r="L51">
        <f t="array" ref="L51">IFERROR((SUMPRODUCT((economics!$AG$2:$AG$167=$B51)*(economics!$D$2:$D$167="process")*economics!$AH$2:$AH$167*(_xlfn.NORM.DIST(L$3,economics!$AK$2:$AK$167,economics!$AJ$2:$AJ$167,TRUE)-_xlfn.NORM.DIST(L$30,economics!$AK$2:$AK$167,economics!$AJ$2:$AJ$167,TRUE))*economics!$AM$2:$AM$167))/(SUMPRODUCT((economics!$AG$2:$AG$167=$B51)*(economics!$D$2:$D$167="process")*economics!$AH$2:$AH$167*(_xlfn.NORM.DIST(L$3,economics!$AK$2:$AK$167,economics!$AJ$2:$AJ$167,TRUE)-_xlfn.NORM.DIST(L$30,economics!$AK$2:$AK$167,economics!$AJ$2:$AJ$167,TRUE)))),"")</f>
        <v/>
      </c>
      <c r="M51">
        <f t="array" ref="M51">IFERROR((SUMPRODUCT((economics!$AG$2:$AG$167=$B51)*(economics!$D$2:$D$167="process")*economics!$AH$2:$AH$167*(_xlfn.NORM.DIST(M$3,economics!$AK$2:$AK$167,economics!$AJ$2:$AJ$167,TRUE)-_xlfn.NORM.DIST(M$30,economics!$AK$2:$AK$167,economics!$AJ$2:$AJ$167,TRUE))*economics!$AM$2:$AM$167))/(SUMPRODUCT((economics!$AG$2:$AG$167=$B51)*(economics!$D$2:$D$167="process")*economics!$AH$2:$AH$167*(_xlfn.NORM.DIST(M$3,economics!$AK$2:$AK$167,economics!$AJ$2:$AJ$167,TRUE)-_xlfn.NORM.DIST(M$30,economics!$AK$2:$AK$167,economics!$AJ$2:$AJ$167,TRUE)))),"")</f>
        <v/>
      </c>
      <c r="N51">
        <f t="array" ref="N51">IFERROR((SUMPRODUCT((economics!$AG$2:$AG$167=$B51)*(economics!$D$2:$D$167="process")*economics!$AH$2:$AH$167*(_xlfn.NORM.DIST(N$3,economics!$AK$2:$AK$167,economics!$AJ$2:$AJ$167,TRUE)-_xlfn.NORM.DIST(N$30,economics!$AK$2:$AK$167,economics!$AJ$2:$AJ$167,TRUE))*economics!$AM$2:$AM$167))/(SUMPRODUCT((economics!$AG$2:$AG$167=$B51)*(economics!$D$2:$D$167="process")*economics!$AH$2:$AH$167*(_xlfn.NORM.DIST(N$3,economics!$AK$2:$AK$167,economics!$AJ$2:$AJ$167,TRUE)-_xlfn.NORM.DIST(N$30,economics!$AK$2:$AK$167,economics!$AJ$2:$AJ$167,TRUE)))),"")</f>
        <v/>
      </c>
      <c r="O51">
        <f t="array" ref="O51">IFERROR((SUMPRODUCT((economics!$AG$2:$AG$167=$B51)*(economics!$D$2:$D$167="process")*economics!$AH$2:$AH$167*(_xlfn.NORM.DIST(O$3,economics!$AK$2:$AK$167,economics!$AJ$2:$AJ$167,TRUE)-_xlfn.NORM.DIST(O$30,economics!$AK$2:$AK$167,economics!$AJ$2:$AJ$167,TRUE))*economics!$AM$2:$AM$167))/(SUMPRODUCT((economics!$AG$2:$AG$167=$B51)*(economics!$D$2:$D$167="process")*economics!$AH$2:$AH$167*(_xlfn.NORM.DIST(O$3,economics!$AK$2:$AK$167,economics!$AJ$2:$AJ$167,TRUE)-_xlfn.NORM.DIST(O$30,economics!$AK$2:$AK$167,economics!$AJ$2:$AJ$167,TRUE)))),"")</f>
        <v/>
      </c>
      <c r="P51">
        <f t="array" ref="P51">IFERROR((SUMPRODUCT((economics!$AG$2:$AG$167=$B51)*(economics!$D$2:$D$167="process")*economics!$AH$2:$AH$167*(_xlfn.NORM.DIST(P$3,economics!$AK$2:$AK$167,economics!$AJ$2:$AJ$167,TRUE)-_xlfn.NORM.DIST(P$30,economics!$AK$2:$AK$167,economics!$AJ$2:$AJ$167,TRUE))*economics!$AM$2:$AM$167))/(SUMPRODUCT((economics!$AG$2:$AG$167=$B51)*(economics!$D$2:$D$167="process")*economics!$AH$2:$AH$167*(_xlfn.NORM.DIST(P$3,economics!$AK$2:$AK$167,economics!$AJ$2:$AJ$167,TRUE)-_xlfn.NORM.DIST(P$30,economics!$AK$2:$AK$167,economics!$AJ$2:$AJ$167,TRUE)))),"")</f>
        <v/>
      </c>
      <c r="Q51">
        <f t="array" ref="Q51">IFERROR((SUMPRODUCT((economics!$AG$2:$AG$167=$B51)*(economics!$D$2:$D$167="process")*economics!$AH$2:$AH$167*(_xlfn.NORM.DIST(Q$3,economics!$AK$2:$AK$167,economics!$AJ$2:$AJ$167,TRUE)-_xlfn.NORM.DIST(Q$30,economics!$AK$2:$AK$167,economics!$AJ$2:$AJ$167,TRUE))*economics!$AM$2:$AM$167))/(SUMPRODUCT((economics!$AG$2:$AG$167=$B51)*(economics!$D$2:$D$167="process")*economics!$AH$2:$AH$167*(_xlfn.NORM.DIST(Q$3,economics!$AK$2:$AK$167,economics!$AJ$2:$AJ$167,TRUE)-_xlfn.NORM.DIST(Q$30,economics!$AK$2:$AK$167,economics!$AJ$2:$AJ$167,TRUE)))),"")</f>
        <v/>
      </c>
      <c r="R51">
        <f t="array" ref="R51">IFERROR((SUMPRODUCT((economics!$AG$2:$AG$167=$B51)*(economics!$D$2:$D$167="process")*economics!$AH$2:$AH$167*(_xlfn.NORM.DIST(R$3,economics!$AK$2:$AK$167,economics!$AJ$2:$AJ$167,TRUE)-_xlfn.NORM.DIST(R$30,economics!$AK$2:$AK$167,economics!$AJ$2:$AJ$167,TRUE))*economics!$AM$2:$AM$167))/(SUMPRODUCT((economics!$AG$2:$AG$167=$B51)*(economics!$D$2:$D$167="process")*economics!$AH$2:$AH$167*(_xlfn.NORM.DIST(R$3,economics!$AK$2:$AK$167,economics!$AJ$2:$AJ$167,TRUE)-_xlfn.NORM.DIST(R$30,economics!$AK$2:$AK$167,economics!$AJ$2:$AJ$167,TRUE)))),"")</f>
        <v/>
      </c>
      <c r="S51">
        <f t="array" ref="S51">IFERROR((SUMPRODUCT((economics!$AG$2:$AG$167=$B51)*(economics!$D$2:$D$167="process")*economics!$AH$2:$AH$167*(_xlfn.NORM.DIST(S$3,economics!$AK$2:$AK$167,economics!$AJ$2:$AJ$167,TRUE)-_xlfn.NORM.DIST(S$30,economics!$AK$2:$AK$167,economics!$AJ$2:$AJ$167,TRUE))*economics!$AM$2:$AM$167))/(SUMPRODUCT((economics!$AG$2:$AG$167=$B51)*(economics!$D$2:$D$167="process")*economics!$AH$2:$AH$167*(_xlfn.NORM.DIST(S$3,economics!$AK$2:$AK$167,economics!$AJ$2:$AJ$167,TRUE)-_xlfn.NORM.DIST(S$30,economics!$AK$2:$AK$167,economics!$AJ$2:$AJ$167,TRUE)))),"")</f>
        <v/>
      </c>
      <c r="T51">
        <f t="array" ref="T51">IFERROR((SUMPRODUCT((economics!$AG$2:$AG$167=$B51)*(economics!$D$2:$D$167="process")*economics!$AH$2:$AH$167*(_xlfn.NORM.DIST(T$3,economics!$AK$2:$AK$167,economics!$AJ$2:$AJ$167,TRUE)-_xlfn.NORM.DIST(T$30,economics!$AK$2:$AK$167,economics!$AJ$2:$AJ$167,TRUE))*economics!$AM$2:$AM$167))/(SUMPRODUCT((economics!$AG$2:$AG$167=$B51)*(economics!$D$2:$D$167="process")*economics!$AH$2:$AH$167*(_xlfn.NORM.DIST(T$3,economics!$AK$2:$AK$167,economics!$AJ$2:$AJ$167,TRUE)-_xlfn.NORM.DIST(T$30,economics!$AK$2:$AK$167,economics!$AJ$2:$AJ$167,TRUE)))),"")</f>
        <v/>
      </c>
      <c r="U51">
        <f t="array" ref="U51">IFERROR((SUMPRODUCT((economics!$AG$2:$AG$167=$B51)*(economics!$D$2:$D$167="process")*economics!$AH$2:$AH$167*(_xlfn.NORM.DIST(U$3,economics!$AK$2:$AK$167,economics!$AJ$2:$AJ$167,TRUE)-_xlfn.NORM.DIST(U$30,economics!$AK$2:$AK$167,economics!$AJ$2:$AJ$167,TRUE))*economics!$AM$2:$AM$167))/(SUMPRODUCT((economics!$AG$2:$AG$167=$B51)*(economics!$D$2:$D$167="process")*economics!$AH$2:$AH$167*(_xlfn.NORM.DIST(U$3,economics!$AK$2:$AK$167,economics!$AJ$2:$AJ$167,TRUE)-_xlfn.NORM.DIST(U$30,economics!$AK$2:$AK$167,economics!$AJ$2:$AJ$167,TRUE)))),"")</f>
        <v/>
      </c>
      <c r="V51">
        <f t="array" ref="V51">IFERROR((SUMPRODUCT((economics!$AG$2:$AG$167=$B51)*(economics!$D$2:$D$167="process")*economics!$AH$2:$AH$167*(_xlfn.NORM.DIST(V$3,economics!$AK$2:$AK$167,economics!$AJ$2:$AJ$167,TRUE)-_xlfn.NORM.DIST(V$30,economics!$AK$2:$AK$167,economics!$AJ$2:$AJ$167,TRUE))*economics!$AM$2:$AM$167))/(SUMPRODUCT((economics!$AG$2:$AG$167=$B51)*(economics!$D$2:$D$167="process")*economics!$AH$2:$AH$167*(_xlfn.NORM.DIST(V$3,economics!$AK$2:$AK$167,economics!$AJ$2:$AJ$167,TRUE)-_xlfn.NORM.DIST(V$30,economics!$AK$2:$AK$167,economics!$AJ$2:$AJ$167,TRUE)))),"")</f>
        <v/>
      </c>
      <c r="W51">
        <f t="array" ref="W51">IFERROR((SUMPRODUCT((economics!$AG$2:$AG$167=$B51)*(economics!$D$2:$D$167="process")*economics!$AH$2:$AH$167*(_xlfn.NORM.DIST(W$3,economics!$AK$2:$AK$167,economics!$AJ$2:$AJ$167,TRUE)-_xlfn.NORM.DIST(W$30,economics!$AK$2:$AK$167,economics!$AJ$2:$AJ$167,TRUE))*economics!$AM$2:$AM$167))/(SUMPRODUCT((economics!$AG$2:$AG$167=$B51)*(economics!$D$2:$D$167="process")*economics!$AH$2:$AH$167*(_xlfn.NORM.DIST(W$3,economics!$AK$2:$AK$167,economics!$AJ$2:$AJ$167,TRUE)-_xlfn.NORM.DIST(W$30,economics!$AK$2:$AK$167,economics!$AJ$2:$AJ$167,TRUE)))),"")</f>
        <v/>
      </c>
      <c r="X51">
        <f t="array" ref="X51">IFERROR((SUMPRODUCT((economics!$AG$2:$AG$167=$B51)*(economics!$D$2:$D$167="process")*economics!$AH$2:$AH$167*(_xlfn.NORM.DIST(X$3,economics!$AK$2:$AK$167,economics!$AJ$2:$AJ$167,TRUE)-_xlfn.NORM.DIST(X$30,economics!$AK$2:$AK$167,economics!$AJ$2:$AJ$167,TRUE))*economics!$AM$2:$AM$167))/(SUMPRODUCT((economics!$AG$2:$AG$167=$B51)*(economics!$D$2:$D$167="process")*economics!$AH$2:$AH$167*(_xlfn.NORM.DIST(X$3,economics!$AK$2:$AK$167,economics!$AJ$2:$AJ$167,TRUE)-_xlfn.NORM.DIST(X$30,economics!$AK$2:$AK$167,economics!$AJ$2:$AJ$167,TRUE)))),"")</f>
        <v/>
      </c>
      <c r="Y51">
        <f t="array" ref="Y51">IFERROR((SUMPRODUCT((economics!$AG$2:$AG$167=$B51)*(economics!$D$2:$D$167="process")*economics!$AH$2:$AH$167*(_xlfn.NORM.DIST(Y$3,economics!$AK$2:$AK$167,economics!$AJ$2:$AJ$167,TRUE)-_xlfn.NORM.DIST(Y$30,economics!$AK$2:$AK$167,economics!$AJ$2:$AJ$167,TRUE))*economics!$AM$2:$AM$167))/(SUMPRODUCT((economics!$AG$2:$AG$167=$B51)*(economics!$D$2:$D$167="process")*economics!$AH$2:$AH$167*(_xlfn.NORM.DIST(Y$3,economics!$AK$2:$AK$167,economics!$AJ$2:$AJ$167,TRUE)-_xlfn.NORM.DIST(Y$30,economics!$AK$2:$AK$167,economics!$AJ$2:$AJ$167,TRUE)))),"")</f>
        <v/>
      </c>
      <c r="Z51">
        <f t="array" ref="Z51">IFERROR((SUMPRODUCT((economics!$AG$2:$AG$167=$B51)*(economics!$D$2:$D$167="process")*economics!$AH$2:$AH$167*(_xlfn.NORM.DIST(Z$3,economics!$AK$2:$AK$167,economics!$AJ$2:$AJ$167,TRUE)-_xlfn.NORM.DIST(Z$30,economics!$AK$2:$AK$167,economics!$AJ$2:$AJ$167,TRUE))*economics!$AM$2:$AM$167))/(SUMPRODUCT((economics!$AG$2:$AG$167=$B51)*(economics!$D$2:$D$167="process")*economics!$AH$2:$AH$167*(_xlfn.NORM.DIST(Z$3,economics!$AK$2:$AK$167,economics!$AJ$2:$AJ$167,TRUE)-_xlfn.NORM.DIST(Z$30,economics!$AK$2:$AK$167,economics!$AJ$2:$AJ$167,TRUE)))),"")</f>
        <v/>
      </c>
      <c r="AA51">
        <f t="array" ref="AA51">IFERROR((SUMPRODUCT((economics!$AG$2:$AG$167=$B51)*(economics!$D$2:$D$167="process")*economics!$AH$2:$AH$167*(_xlfn.NORM.DIST(AA$3,economics!$AK$2:$AK$167,economics!$AJ$2:$AJ$167,TRUE)-_xlfn.NORM.DIST(AA$30,economics!$AK$2:$AK$167,economics!$AJ$2:$AJ$167,TRUE))*economics!$AM$2:$AM$167))/(SUMPRODUCT((economics!$AG$2:$AG$167=$B51)*(economics!$D$2:$D$167="process")*economics!$AH$2:$AH$167*(_xlfn.NORM.DIST(AA$3,economics!$AK$2:$AK$167,economics!$AJ$2:$AJ$167,TRUE)-_xlfn.NORM.DIST(AA$30,economics!$AK$2:$AK$167,economics!$AJ$2:$AJ$167,TRUE)))),"")</f>
        <v/>
      </c>
      <c r="AB51">
        <f t="array" ref="AB51">IFERROR((SUMPRODUCT((economics!$AG$2:$AG$167=$B51)*(economics!$D$2:$D$167="process")*economics!$AH$2:$AH$167*(_xlfn.NORM.DIST(AB$3,economics!$AK$2:$AK$167,economics!$AJ$2:$AJ$167,TRUE)-_xlfn.NORM.DIST(AB$30,economics!$AK$2:$AK$167,economics!$AJ$2:$AJ$167,TRUE))*economics!$AM$2:$AM$167))/(SUMPRODUCT((economics!$AG$2:$AG$167=$B51)*(economics!$D$2:$D$167="process")*economics!$AH$2:$AH$167*(_xlfn.NORM.DIST(AB$3,economics!$AK$2:$AK$167,economics!$AJ$2:$AJ$167,TRUE)-_xlfn.NORM.DIST(AB$30,economics!$AK$2:$AK$167,economics!$AJ$2:$AJ$167,TRUE)))),"")</f>
        <v/>
      </c>
      <c r="AC51">
        <f t="array" ref="AC51">IFERROR((SUMPRODUCT((economics!$AG$2:$AG$167=$B51)*(economics!$D$2:$D$167="process")*economics!$AH$2:$AH$167*(_xlfn.NORM.DIST(AC$3,economics!$AK$2:$AK$167,economics!$AJ$2:$AJ$167,TRUE)-_xlfn.NORM.DIST(AC$30,economics!$AK$2:$AK$167,economics!$AJ$2:$AJ$167,TRUE))*economics!$AM$2:$AM$167))/(SUMPRODUCT((economics!$AG$2:$AG$167=$B51)*(economics!$D$2:$D$167="process")*economics!$AH$2:$AH$167*(_xlfn.NORM.DIST(AC$3,economics!$AK$2:$AK$167,economics!$AJ$2:$AJ$167,TRUE)-_xlfn.NORM.DIST(AC$30,economics!$AK$2:$AK$167,economics!$AJ$2:$AJ$167,TRUE)))),"")</f>
        <v/>
      </c>
      <c r="AD51">
        <f t="array" ref="AD51">IFERROR((SUMPRODUCT((economics!$AG$2:$AG$167=$B51)*(economics!$D$2:$D$167="process")*economics!$AH$2:$AH$167*(_xlfn.NORM.DIST(AD$3,economics!$AK$2:$AK$167,economics!$AJ$2:$AJ$167,TRUE)-_xlfn.NORM.DIST(AD$30,economics!$AK$2:$AK$167,economics!$AJ$2:$AJ$167,TRUE))*economics!$AM$2:$AM$167))/(SUMPRODUCT((economics!$AG$2:$AG$167=$B51)*(economics!$D$2:$D$167="process")*economics!$AH$2:$AH$167*(_xlfn.NORM.DIST(AD$3,economics!$AK$2:$AK$167,economics!$AJ$2:$AJ$167,TRUE)-_xlfn.NORM.DIST(AD$30,economics!$AK$2:$AK$167,economics!$AJ$2:$AJ$167,TRUE)))),"")</f>
        <v/>
      </c>
      <c r="AE51">
        <f t="array" ref="AE51">IFERROR((SUMPRODUCT((economics!$AG$2:$AG$167=$B51)*(economics!$D$2:$D$167="process")*economics!$AH$2:$AH$167*(_xlfn.NORM.DIST(AE$3,economics!$AK$2:$AK$167,economics!$AJ$2:$AJ$167,TRUE)-_xlfn.NORM.DIST(AE$30,economics!$AK$2:$AK$167,economics!$AJ$2:$AJ$167,TRUE))*economics!$AM$2:$AM$167))/(SUMPRODUCT((economics!$AG$2:$AG$167=$B51)*(economics!$D$2:$D$167="process")*economics!$AH$2:$AH$167*(_xlfn.NORM.DIST(AE$3,economics!$AK$2:$AK$167,economics!$AJ$2:$AJ$167,TRUE)-_xlfn.NORM.DIST(AE$30,economics!$AK$2:$AK$167,economics!$AJ$2:$AJ$167,TRUE)))),"")</f>
        <v/>
      </c>
      <c r="AF51">
        <f t="array" ref="AF51">IFERROR((SUMPRODUCT((economics!$AG$2:$AG$167=$B51)*(economics!$D$2:$D$167="process")*economics!$AH$2:$AH$167*(_xlfn.NORM.DIST(AF$3,economics!$AK$2:$AK$167,economics!$AJ$2:$AJ$167,TRUE)-_xlfn.NORM.DIST(AF$30,economics!$AK$2:$AK$167,economics!$AJ$2:$AJ$167,TRUE))*economics!$AM$2:$AM$167))/(SUMPRODUCT((economics!$AG$2:$AG$167=$B51)*(economics!$D$2:$D$167="process")*economics!$AH$2:$AH$167*(_xlfn.NORM.DIST(AF$3,economics!$AK$2:$AK$167,economics!$AJ$2:$AJ$167,TRUE)-_xlfn.NORM.DIST(AF$30,economics!$AK$2:$AK$167,economics!$AJ$2:$AJ$167,TRUE)))),"")</f>
        <v/>
      </c>
      <c r="AG51">
        <f t="array" ref="AG51">IFERROR((SUMPRODUCT((economics!$AG$2:$AG$167=$B51)*(economics!$D$2:$D$167="process")*economics!$AH$2:$AH$167*(_xlfn.NORM.DIST(AG$3,economics!$AK$2:$AK$167,economics!$AJ$2:$AJ$167,TRUE)-_xlfn.NORM.DIST(AG$30,economics!$AK$2:$AK$167,economics!$AJ$2:$AJ$167,TRUE))*economics!$AM$2:$AM$167))/(SUMPRODUCT((economics!$AG$2:$AG$167=$B51)*(economics!$D$2:$D$167="process")*economics!$AH$2:$AH$167*(_xlfn.NORM.DIST(AG$3,economics!$AK$2:$AK$167,economics!$AJ$2:$AJ$167,TRUE)-_xlfn.NORM.DIST(AG$30,economics!$AK$2:$AK$167,economics!$AJ$2:$AJ$167,TRUE)))),"")</f>
        <v/>
      </c>
      <c r="AH51">
        <f t="array" ref="AH51">IFERROR((SUMPRODUCT((economics!$AG$2:$AG$167=$B51)*(economics!$D$2:$D$167="process")*economics!$AH$2:$AH$167*(_xlfn.NORM.DIST(AH$3,economics!$AK$2:$AK$167,economics!$AJ$2:$AJ$167,TRUE)-_xlfn.NORM.DIST(AH$30,economics!$AK$2:$AK$167,economics!$AJ$2:$AJ$167,TRUE))*economics!$AM$2:$AM$167))/(SUMPRODUCT((economics!$AG$2:$AG$167=$B51)*(economics!$D$2:$D$167="process")*economics!$AH$2:$AH$167*(_xlfn.NORM.DIST(AH$3,economics!$AK$2:$AK$167,economics!$AJ$2:$AJ$167,TRUE)-_xlfn.NORM.DIST(AH$30,economics!$AK$2:$AK$167,economics!$AJ$2:$AJ$167,TRUE)))),"")</f>
        <v/>
      </c>
      <c r="AI51">
        <f t="array" ref="AI51">IFERROR((SUMPRODUCT((economics!$AG$2:$AG$167=$B51)*(economics!$D$2:$D$167="process")*economics!$AH$2:$AH$167*(_xlfn.NORM.DIST(AI$3,economics!$AK$2:$AK$167,economics!$AJ$2:$AJ$167,TRUE)-_xlfn.NORM.DIST(AI$30,economics!$AK$2:$AK$167,economics!$AJ$2:$AJ$167,TRUE))*economics!$AM$2:$AM$167))/(SUMPRODUCT((economics!$AG$2:$AG$167=$B51)*(economics!$D$2:$D$167="process")*economics!$AH$2:$AH$167*(_xlfn.NORM.DIST(AI$3,economics!$AK$2:$AK$167,economics!$AJ$2:$AJ$167,TRUE)-_xlfn.NORM.DIST(AI$30,economics!$AK$2:$AK$167,economics!$AJ$2:$AJ$167,TRUE)))),"")</f>
        <v/>
      </c>
      <c r="AJ51">
        <f t="array" ref="AJ51">IFERROR((SUMPRODUCT((economics!$AG$2:$AG$167=$B51)*(economics!$D$2:$D$167="process")*economics!$AH$2:$AH$167*(_xlfn.NORM.DIST(AJ$3,economics!$AK$2:$AK$167,economics!$AJ$2:$AJ$167,TRUE)-_xlfn.NORM.DIST(AJ$30,economics!$AK$2:$AK$167,economics!$AJ$2:$AJ$167,TRUE))*economics!$AM$2:$AM$167))/(SUMPRODUCT((economics!$AG$2:$AG$167=$B51)*(economics!$D$2:$D$167="process")*economics!$AH$2:$AH$167*(_xlfn.NORM.DIST(AJ$3,economics!$AK$2:$AK$167,economics!$AJ$2:$AJ$167,TRUE)-_xlfn.NORM.DIST(AJ$30,economics!$AK$2:$AK$167,economics!$AJ$2:$AJ$167,TRUE)))),"")</f>
        <v/>
      </c>
      <c r="AK51">
        <f t="array" ref="AK51">IFERROR((SUMPRODUCT((economics!$AG$2:$AG$167=$B51)*(economics!$D$2:$D$167="process")*economics!$AH$2:$AH$167*(_xlfn.NORM.DIST(AK$3,economics!$AK$2:$AK$167,economics!$AJ$2:$AJ$167,TRUE)-_xlfn.NORM.DIST(AK$30,economics!$AK$2:$AK$167,economics!$AJ$2:$AJ$167,TRUE))*economics!$AM$2:$AM$167))/(SUMPRODUCT((economics!$AG$2:$AG$167=$B51)*(economics!$D$2:$D$167="process")*economics!$AH$2:$AH$167*(_xlfn.NORM.DIST(AK$3,economics!$AK$2:$AK$167,economics!$AJ$2:$AJ$167,TRUE)-_xlfn.NORM.DIST(AK$30,economics!$AK$2:$AK$167,economics!$AJ$2:$AJ$167,TRUE)))),"")</f>
        <v/>
      </c>
      <c r="AL51">
        <f t="array" ref="AL51">IFERROR((SUMPRODUCT((economics!$AG$2:$AG$167=$B51)*(economics!$D$2:$D$167="process")*economics!$AH$2:$AH$167*(_xlfn.NORM.DIST(AL$3,economics!$AK$2:$AK$167,economics!$AJ$2:$AJ$167,TRUE)-_xlfn.NORM.DIST(AL$30,economics!$AK$2:$AK$167,economics!$AJ$2:$AJ$167,TRUE))*economics!$AM$2:$AM$167))/(SUMPRODUCT((economics!$AG$2:$AG$167=$B51)*(economics!$D$2:$D$167="process")*economics!$AH$2:$AH$167*(_xlfn.NORM.DIST(AL$3,economics!$AK$2:$AK$167,economics!$AJ$2:$AJ$167,TRUE)-_xlfn.NORM.DIST(AL$30,economics!$AK$2:$AK$167,economics!$AJ$2:$AJ$167,TRUE)))),"")</f>
        <v/>
      </c>
      <c r="AM51">
        <f t="array" ref="AM51">IFERROR((SUMPRODUCT((economics!$AG$2:$AG$167=$B51)*(economics!$D$2:$D$167="process")*economics!$AH$2:$AH$167*(_xlfn.NORM.DIST(AM$3,economics!$AK$2:$AK$167,economics!$AJ$2:$AJ$167,TRUE)-_xlfn.NORM.DIST(AM$30,economics!$AK$2:$AK$167,economics!$AJ$2:$AJ$167,TRUE))*economics!$AM$2:$AM$167))/(SUMPRODUCT((economics!$AG$2:$AG$167=$B51)*(economics!$D$2:$D$167="process")*economics!$AH$2:$AH$167*(_xlfn.NORM.DIST(AM$3,economics!$AK$2:$AK$167,economics!$AJ$2:$AJ$167,TRUE)-_xlfn.NORM.DIST(AM$30,economics!$AK$2:$AK$167,economics!$AJ$2:$AJ$167,TRUE)))),"")</f>
        <v/>
      </c>
      <c r="AN51">
        <f t="array" ref="AN51">IFERROR((SUMPRODUCT((economics!$AG$2:$AG$167=$B51)*(economics!$D$2:$D$167="process")*economics!$AH$2:$AH$167*(_xlfn.NORM.DIST(AN$3,economics!$AK$2:$AK$167,economics!$AJ$2:$AJ$167,TRUE)-_xlfn.NORM.DIST(AN$30,economics!$AK$2:$AK$167,economics!$AJ$2:$AJ$167,TRUE))*economics!$AM$2:$AM$167))/(SUMPRODUCT((economics!$AG$2:$AG$167=$B51)*(economics!$D$2:$D$167="process")*economics!$AH$2:$AH$167*(_xlfn.NORM.DIST(AN$3,economics!$AK$2:$AK$167,economics!$AJ$2:$AJ$167,TRUE)-_xlfn.NORM.DIST(AN$30,economics!$AK$2:$AK$167,economics!$AJ$2:$AJ$167,TRUE)))),"")</f>
        <v/>
      </c>
      <c r="AO51">
        <f t="array" ref="AO51">IFERROR((SUMPRODUCT((economics!$AG$2:$AG$167=$B51)*(economics!$D$2:$D$167="process")*economics!$AH$2:$AH$167*(_xlfn.NORM.DIST(AO$3,economics!$AK$2:$AK$167,economics!$AJ$2:$AJ$167,TRUE)-_xlfn.NORM.DIST(AO$30,economics!$AK$2:$AK$167,economics!$AJ$2:$AJ$167,TRUE))*economics!$AM$2:$AM$167))/(SUMPRODUCT((economics!$AG$2:$AG$167=$B51)*(economics!$D$2:$D$167="process")*economics!$AH$2:$AH$167*(_xlfn.NORM.DIST(AO$3,economics!$AK$2:$AK$167,economics!$AJ$2:$AJ$167,TRUE)-_xlfn.NORM.DIST(AO$30,economics!$AK$2:$AK$167,economics!$AJ$2:$AJ$167,TRUE)))),"")</f>
        <v/>
      </c>
      <c r="AP51">
        <f t="array" ref="AP51">IFERROR((SUMPRODUCT((economics!$AG$2:$AG$167=$B51)*(economics!$D$2:$D$167="process")*economics!$AH$2:$AH$167*(_xlfn.NORM.DIST(AP$3,economics!$AK$2:$AK$167,economics!$AJ$2:$AJ$167,TRUE)-_xlfn.NORM.DIST(AP$30,economics!$AK$2:$AK$167,economics!$AJ$2:$AJ$167,TRUE))*economics!$AM$2:$AM$167))/(SUMPRODUCT((economics!$AG$2:$AG$167=$B51)*(economics!$D$2:$D$167="process")*economics!$AH$2:$AH$167*(_xlfn.NORM.DIST(AP$3,economics!$AK$2:$AK$167,economics!$AJ$2:$AJ$167,TRUE)-_xlfn.NORM.DIST(AP$30,economics!$AK$2:$AK$167,economics!$AJ$2:$AJ$167,TRUE)))),"")</f>
        <v/>
      </c>
      <c r="AQ51">
        <f t="array" ref="AQ51">IFERROR((SUMPRODUCT((economics!$AG$2:$AG$167=$B51)*(economics!$D$2:$D$167="process")*economics!$AH$2:$AH$167*(_xlfn.NORM.DIST(AQ$3,economics!$AK$2:$AK$167,economics!$AJ$2:$AJ$167,TRUE)-_xlfn.NORM.DIST(AQ$30,economics!$AK$2:$AK$167,economics!$AJ$2:$AJ$167,TRUE))*economics!$AM$2:$AM$167))/(SUMPRODUCT((economics!$AG$2:$AG$167=$B51)*(economics!$D$2:$D$167="process")*economics!$AH$2:$AH$167*(_xlfn.NORM.DIST(AQ$3,economics!$AK$2:$AK$167,economics!$AJ$2:$AJ$167,TRUE)-_xlfn.NORM.DIST(AQ$30,economics!$AK$2:$AK$167,economics!$AJ$2:$AJ$167,TRUE)))),"")</f>
        <v/>
      </c>
      <c r="AR51">
        <f t="array" ref="AR51">IFERROR((SUMPRODUCT((economics!$AG$2:$AG$167=$B51)*(economics!$D$2:$D$167="process")*economics!$AH$2:$AH$167*(_xlfn.NORM.DIST(AR$3,economics!$AK$2:$AK$167,economics!$AJ$2:$AJ$167,TRUE)-_xlfn.NORM.DIST(AR$30,economics!$AK$2:$AK$167,economics!$AJ$2:$AJ$167,TRUE))*economics!$AM$2:$AM$167))/(SUMPRODUCT((economics!$AG$2:$AG$167=$B51)*(economics!$D$2:$D$167="process")*economics!$AH$2:$AH$167*(_xlfn.NORM.DIST(AR$3,economics!$AK$2:$AK$167,economics!$AJ$2:$AJ$167,TRUE)-_xlfn.NORM.DIST(AR$30,economics!$AK$2:$AK$167,economics!$AJ$2:$AJ$167,TRUE)))),"")</f>
        <v/>
      </c>
      <c r="AS51">
        <f t="array" ref="AS51">IFERROR((SUMPRODUCT((economics!$AG$2:$AG$167=$B51)*(economics!$D$2:$D$167="process")*economics!$AH$2:$AH$167*(_xlfn.NORM.DIST(AS$3,economics!$AK$2:$AK$167,economics!$AJ$2:$AJ$167,TRUE)-_xlfn.NORM.DIST(AS$30,economics!$AK$2:$AK$167,economics!$AJ$2:$AJ$167,TRUE))*economics!$AM$2:$AM$167))/(SUMPRODUCT((economics!$AG$2:$AG$167=$B51)*(economics!$D$2:$D$167="process")*economics!$AH$2:$AH$167*(_xlfn.NORM.DIST(AS$3,economics!$AK$2:$AK$167,economics!$AJ$2:$AJ$167,TRUE)-_xlfn.NORM.DIST(AS$30,economics!$AK$2:$AK$167,economics!$AJ$2:$AJ$167,TRUE)))),"")</f>
        <v/>
      </c>
      <c r="AT51">
        <f t="array" ref="AT51">IFERROR((SUMPRODUCT((economics!$AG$2:$AG$167=$B51)*(economics!$D$2:$D$167="process")*economics!$AH$2:$AH$167*(_xlfn.NORM.DIST(AT$3,economics!$AK$2:$AK$167,economics!$AJ$2:$AJ$167,TRUE)-_xlfn.NORM.DIST(AT$30,economics!$AK$2:$AK$167,economics!$AJ$2:$AJ$167,TRUE))*economics!$AM$2:$AM$167))/(SUMPRODUCT((economics!$AG$2:$AG$167=$B51)*(economics!$D$2:$D$167="process")*economics!$AH$2:$AH$167*(_xlfn.NORM.DIST(AT$3,economics!$AK$2:$AK$167,economics!$AJ$2:$AJ$167,TRUE)-_xlfn.NORM.DIST(AT$30,economics!$AK$2:$AK$167,economics!$AJ$2:$AJ$167,TRUE)))),"")</f>
        <v/>
      </c>
      <c r="AU51">
        <f t="array" ref="AU51">IFERROR((SUMPRODUCT((economics!$AG$2:$AG$167=$B51)*(economics!$D$2:$D$167="process")*economics!$AH$2:$AH$167*(_xlfn.NORM.DIST(AU$3,economics!$AK$2:$AK$167,economics!$AJ$2:$AJ$167,TRUE)-_xlfn.NORM.DIST(AU$30,economics!$AK$2:$AK$167,economics!$AJ$2:$AJ$167,TRUE))*economics!$AM$2:$AM$167))/(SUMPRODUCT((economics!$AG$2:$AG$167=$B51)*(economics!$D$2:$D$167="process")*economics!$AH$2:$AH$167*(_xlfn.NORM.DIST(AU$3,economics!$AK$2:$AK$167,economics!$AJ$2:$AJ$167,TRUE)-_xlfn.NORM.DIST(AU$30,economics!$AK$2:$AK$167,economics!$AJ$2:$AJ$167,TRUE)))),"")</f>
        <v/>
      </c>
      <c r="AV51">
        <f t="array" ref="AV51">IFERROR((SUMPRODUCT((economics!$AG$2:$AG$167=$B51)*(economics!$D$2:$D$167="process")*economics!$AH$2:$AH$167*(_xlfn.NORM.DIST(AV$3,economics!$AK$2:$AK$167,economics!$AJ$2:$AJ$167,TRUE)-_xlfn.NORM.DIST(AV$30,economics!$AK$2:$AK$167,economics!$AJ$2:$AJ$167,TRUE))*economics!$AM$2:$AM$167))/(SUMPRODUCT((economics!$AG$2:$AG$167=$B51)*(economics!$D$2:$D$167="process")*economics!$AH$2:$AH$167*(_xlfn.NORM.DIST(AV$3,economics!$AK$2:$AK$167,economics!$AJ$2:$AJ$167,TRUE)-_xlfn.NORM.DIST(AV$30,economics!$AK$2:$AK$167,economics!$AJ$2:$AJ$167,TRUE)))),"")</f>
        <v/>
      </c>
      <c r="AW51">
        <f t="array" ref="AW51">IFERROR((SUMPRODUCT((economics!$AG$2:$AG$167=$B51)*(economics!$D$2:$D$167="process")*economics!$AH$2:$AH$167*(_xlfn.NORM.DIST(AW$3,economics!$AK$2:$AK$167,economics!$AJ$2:$AJ$167,TRUE)-_xlfn.NORM.DIST(AW$30,economics!$AK$2:$AK$167,economics!$AJ$2:$AJ$167,TRUE))*economics!$AM$2:$AM$167))/(SUMPRODUCT((economics!$AG$2:$AG$167=$B51)*(economics!$D$2:$D$167="process")*economics!$AH$2:$AH$167*(_xlfn.NORM.DIST(AW$3,economics!$AK$2:$AK$167,economics!$AJ$2:$AJ$167,TRUE)-_xlfn.NORM.DIST(AW$30,economics!$AK$2:$AK$167,economics!$AJ$2:$AJ$167,TRUE)))),"")</f>
        <v/>
      </c>
      <c r="AX51">
        <f t="array" ref="AX51">IFERROR((SUMPRODUCT((economics!$AG$2:$AG$167=$B51)*(economics!$D$2:$D$167="process")*economics!$AH$2:$AH$167*(_xlfn.NORM.DIST(AX$3,economics!$AK$2:$AK$167,economics!$AJ$2:$AJ$167,TRUE)-_xlfn.NORM.DIST(AX$30,economics!$AK$2:$AK$167,economics!$AJ$2:$AJ$167,TRUE))*economics!$AM$2:$AM$167))/(SUMPRODUCT((economics!$AG$2:$AG$167=$B51)*(economics!$D$2:$D$167="process")*economics!$AH$2:$AH$167*(_xlfn.NORM.DIST(AX$3,economics!$AK$2:$AK$167,economics!$AJ$2:$AJ$167,TRUE)-_xlfn.NORM.DIST(AX$30,economics!$AK$2:$AK$167,economics!$AJ$2:$AJ$167,TRUE)))),"")</f>
        <v/>
      </c>
      <c r="AY51">
        <f t="array" ref="AY51">IFERROR((SUMPRODUCT((economics!$AG$2:$AG$167=$B51)*(economics!$D$2:$D$167="process")*economics!$AH$2:$AH$167*(_xlfn.NORM.DIST(AY$3,economics!$AK$2:$AK$167,economics!$AJ$2:$AJ$167,TRUE)-_xlfn.NORM.DIST(AY$30,economics!$AK$2:$AK$167,economics!$AJ$2:$AJ$167,TRUE))*economics!$AM$2:$AM$167))/(SUMPRODUCT((economics!$AG$2:$AG$167=$B51)*(economics!$D$2:$D$167="process")*economics!$AH$2:$AH$167*(_xlfn.NORM.DIST(AY$3,economics!$AK$2:$AK$167,economics!$AJ$2:$AJ$167,TRUE)-_xlfn.NORM.DIST(AY$30,economics!$AK$2:$AK$167,economics!$AJ$2:$AJ$167,TRUE)))),"")</f>
        <v/>
      </c>
      <c r="AZ51">
        <f t="array" ref="AZ51">IFERROR((SUMPRODUCT((economics!$AG$2:$AG$167=$B51)*(economics!$D$2:$D$167="process")*economics!$AH$2:$AH$167*(_xlfn.NORM.DIST(AZ$3,economics!$AK$2:$AK$167,economics!$AJ$2:$AJ$167,TRUE)-_xlfn.NORM.DIST(AZ$30,economics!$AK$2:$AK$167,economics!$AJ$2:$AJ$167,TRUE))*economics!$AM$2:$AM$167))/(SUMPRODUCT((economics!$AG$2:$AG$167=$B51)*(economics!$D$2:$D$167="process")*economics!$AH$2:$AH$167*(_xlfn.NORM.DIST(AZ$3,economics!$AK$2:$AK$167,economics!$AJ$2:$AJ$167,TRUE)-_xlfn.NORM.DIST(AZ$30,economics!$AK$2:$AK$167,economics!$AJ$2:$AJ$167,TRUE)))),"")</f>
        <v/>
      </c>
      <c r="BA51">
        <f t="array" ref="BA51">IFERROR((SUMPRODUCT((economics!$AG$2:$AG$167=$B51)*(economics!$D$2:$D$167="process")*economics!$AH$2:$AH$167*(_xlfn.NORM.DIST(BA$3,economics!$AK$2:$AK$167,economics!$AJ$2:$AJ$167,TRUE)-_xlfn.NORM.DIST(BA$30,economics!$AK$2:$AK$167,economics!$AJ$2:$AJ$167,TRUE))*economics!$AM$2:$AM$167))/(SUMPRODUCT((economics!$AG$2:$AG$167=$B51)*(economics!$D$2:$D$167="process")*economics!$AH$2:$AH$167*(_xlfn.NORM.DIST(BA$3,economics!$AK$2:$AK$167,economics!$AJ$2:$AJ$167,TRUE)-_xlfn.NORM.DIST(BA$30,economics!$AK$2:$AK$167,economics!$AJ$2:$AJ$167,TRUE)))),"")</f>
        <v/>
      </c>
      <c r="BB51">
        <f t="array" ref="BB51">IFERROR((SUMPRODUCT((economics!$AG$2:$AG$167=$B51)*(economics!$D$2:$D$167="process")*economics!$AH$2:$AH$167*(_xlfn.NORM.DIST(BB$3,economics!$AK$2:$AK$167,economics!$AJ$2:$AJ$167,TRUE)-_xlfn.NORM.DIST(BB$30,economics!$AK$2:$AK$167,economics!$AJ$2:$AJ$167,TRUE))*economics!$AM$2:$AM$167))/(SUMPRODUCT((economics!$AG$2:$AG$167=$B51)*(economics!$D$2:$D$167="process")*economics!$AH$2:$AH$167*(_xlfn.NORM.DIST(BB$3,economics!$AK$2:$AK$167,economics!$AJ$2:$AJ$167,TRUE)-_xlfn.NORM.DIST(BB$30,economics!$AK$2:$AK$167,economics!$AJ$2:$AJ$167,TRUE)))),"")</f>
        <v/>
      </c>
      <c r="BC51">
        <f t="array" ref="BC51">IFERROR((SUMPRODUCT((economics!$AG$2:$AG$167=$B51)*(economics!$D$2:$D$167="process")*economics!$AH$2:$AH$167*(_xlfn.NORM.DIST(BC$3,economics!$AK$2:$AK$167,economics!$AJ$2:$AJ$167,TRUE)-_xlfn.NORM.DIST(BC$30,economics!$AK$2:$AK$167,economics!$AJ$2:$AJ$167,TRUE))*economics!$AM$2:$AM$167))/(SUMPRODUCT((economics!$AG$2:$AG$167=$B51)*(economics!$D$2:$D$167="process")*economics!$AH$2:$AH$167*(_xlfn.NORM.DIST(BC$3,economics!$AK$2:$AK$167,economics!$AJ$2:$AJ$167,TRUE)-_xlfn.NORM.DIST(BC$30,economics!$AK$2:$AK$167,economics!$AJ$2:$AJ$167,TRUE)))),"")</f>
        <v/>
      </c>
      <c r="BD51">
        <f t="array" ref="BD51">IFERROR((SUMPRODUCT((economics!$AG$2:$AG$167=$B51)*(economics!$D$2:$D$167="process")*economics!$AH$2:$AH$167*(_xlfn.NORM.DIST(BD$3,economics!$AK$2:$AK$167,economics!$AJ$2:$AJ$167,TRUE)-_xlfn.NORM.DIST(BD$30,economics!$AK$2:$AK$167,economics!$AJ$2:$AJ$167,TRUE))*economics!$AM$2:$AM$167))/(SUMPRODUCT((economics!$AG$2:$AG$167=$B51)*(economics!$D$2:$D$167="process")*economics!$AH$2:$AH$167*(_xlfn.NORM.DIST(BD$3,economics!$AK$2:$AK$167,economics!$AJ$2:$AJ$167,TRUE)-_xlfn.NORM.DIST(BD$30,economics!$AK$2:$AK$167,economics!$AJ$2:$AJ$167,TRUE)))),"")</f>
        <v/>
      </c>
      <c r="BE51">
        <f t="array" ref="BE51">IFERROR((SUMPRODUCT((economics!$AG$2:$AG$167=$B51)*(economics!$D$2:$D$167="process")*economics!$AH$2:$AH$167*(_xlfn.NORM.DIST(BE$3,economics!$AK$2:$AK$167,economics!$AJ$2:$AJ$167,TRUE)-_xlfn.NORM.DIST(BE$30,economics!$AK$2:$AK$167,economics!$AJ$2:$AJ$167,TRUE))*economics!$AM$2:$AM$167))/(SUMPRODUCT((economics!$AG$2:$AG$167=$B51)*(economics!$D$2:$D$167="process")*economics!$AH$2:$AH$167*(_xlfn.NORM.DIST(BE$3,economics!$AK$2:$AK$167,economics!$AJ$2:$AJ$167,TRUE)-_xlfn.NORM.DIST(BE$30,economics!$AK$2:$AK$167,economics!$AJ$2:$AJ$167,TRUE)))),"")</f>
        <v/>
      </c>
      <c r="BF51">
        <f t="array" ref="BF51">IFERROR((SUMPRODUCT((economics!$AG$2:$AG$167=$B51)*(economics!$D$2:$D$167="process")*economics!$AH$2:$AH$167*(_xlfn.NORM.DIST(BF$3,economics!$AK$2:$AK$167,economics!$AJ$2:$AJ$167,TRUE)-_xlfn.NORM.DIST(BF$30,economics!$AK$2:$AK$167,economics!$AJ$2:$AJ$167,TRUE))*economics!$AM$2:$AM$167))/(SUMPRODUCT((economics!$AG$2:$AG$167=$B51)*(economics!$D$2:$D$167="process")*economics!$AH$2:$AH$167*(_xlfn.NORM.DIST(BF$3,economics!$AK$2:$AK$167,economics!$AJ$2:$AJ$167,TRUE)-_xlfn.NORM.DIST(BF$30,economics!$AK$2:$AK$167,economics!$AJ$2:$AJ$167,TRUE)))),"")</f>
        <v/>
      </c>
      <c r="BG51">
        <f t="array" ref="BG51">IFERROR((SUMPRODUCT((economics!$AG$2:$AG$167=$B51)*(economics!$D$2:$D$167="process")*economics!$AH$2:$AH$167*(_xlfn.NORM.DIST(BG$3,economics!$AK$2:$AK$167,economics!$AJ$2:$AJ$167,TRUE)-_xlfn.NORM.DIST(BG$30,economics!$AK$2:$AK$167,economics!$AJ$2:$AJ$167,TRUE))*economics!$AM$2:$AM$167))/(SUMPRODUCT((economics!$AG$2:$AG$167=$B51)*(economics!$D$2:$D$167="process")*economics!$AH$2:$AH$167*(_xlfn.NORM.DIST(BG$3,economics!$AK$2:$AK$167,economics!$AJ$2:$AJ$167,TRUE)-_xlfn.NORM.DIST(BG$30,economics!$AK$2:$AK$167,economics!$AJ$2:$AJ$167,TRUE)))),"")</f>
        <v/>
      </c>
      <c r="BH51">
        <f t="array" ref="BH51">IFERROR((SUMPRODUCT((economics!$AG$2:$AG$167=$B51)*(economics!$D$2:$D$167="process")*economics!$AH$2:$AH$167*(_xlfn.NORM.DIST(BH$3,economics!$AK$2:$AK$167,economics!$AJ$2:$AJ$167,TRUE)-_xlfn.NORM.DIST(BH$30,economics!$AK$2:$AK$167,economics!$AJ$2:$AJ$167,TRUE))*economics!$AM$2:$AM$167))/(SUMPRODUCT((economics!$AG$2:$AG$167=$B51)*(economics!$D$2:$D$167="process")*economics!$AH$2:$AH$167*(_xlfn.NORM.DIST(BH$3,economics!$AK$2:$AK$167,economics!$AJ$2:$AJ$167,TRUE)-_xlfn.NORM.DIST(BH$30,economics!$AK$2:$AK$167,economics!$AJ$2:$AJ$167,TRUE)))),"")</f>
        <v/>
      </c>
      <c r="BI51">
        <f t="array" ref="BI51">IFERROR((SUMPRODUCT((economics!$AG$2:$AG$167=$B51)*(economics!$D$2:$D$167="process")*economics!$AH$2:$AH$167*(_xlfn.NORM.DIST(BI$3,economics!$AK$2:$AK$167,economics!$AJ$2:$AJ$167,TRUE)-_xlfn.NORM.DIST(BI$30,economics!$AK$2:$AK$167,economics!$AJ$2:$AJ$167,TRUE))*economics!$AM$2:$AM$167))/(SUMPRODUCT((economics!$AG$2:$AG$167=$B51)*(economics!$D$2:$D$167="process")*economics!$AH$2:$AH$167*(_xlfn.NORM.DIST(BI$3,economics!$AK$2:$AK$167,economics!$AJ$2:$AJ$167,TRUE)-_xlfn.NORM.DIST(BI$30,economics!$AK$2:$AK$167,economics!$AJ$2:$AJ$167,TRUE)))),"")</f>
        <v/>
      </c>
      <c r="BJ51">
        <f t="array" ref="BJ51">IFERROR((SUMPRODUCT((economics!$AG$2:$AG$167=$B51)*(economics!$D$2:$D$167="process")*economics!$AH$2:$AH$167*(_xlfn.NORM.DIST(BJ$3,economics!$AK$2:$AK$167,economics!$AJ$2:$AJ$167,TRUE)-_xlfn.NORM.DIST(BJ$30,economics!$AK$2:$AK$167,economics!$AJ$2:$AJ$167,TRUE))*economics!$AM$2:$AM$167))/(SUMPRODUCT((economics!$AG$2:$AG$167=$B51)*(economics!$D$2:$D$167="process")*economics!$AH$2:$AH$167*(_xlfn.NORM.DIST(BJ$3,economics!$AK$2:$AK$167,economics!$AJ$2:$AJ$167,TRUE)-_xlfn.NORM.DIST(BJ$30,economics!$AK$2:$AK$167,economics!$AJ$2:$AJ$167,TRUE)))),"")</f>
        <v/>
      </c>
      <c r="BK51">
        <f t="array" ref="BK51">IFERROR((SUMPRODUCT((economics!$AG$2:$AG$167=$B51)*(economics!$D$2:$D$167="process")*economics!$AH$2:$AH$167*(_xlfn.NORM.DIST(BK$3,economics!$AK$2:$AK$167,economics!$AJ$2:$AJ$167,TRUE)-_xlfn.NORM.DIST(BK$30,economics!$AK$2:$AK$167,economics!$AJ$2:$AJ$167,TRUE))*economics!$AM$2:$AM$167))/(SUMPRODUCT((economics!$AG$2:$AG$167=$B51)*(economics!$D$2:$D$167="process")*economics!$AH$2:$AH$167*(_xlfn.NORM.DIST(BK$3,economics!$AK$2:$AK$167,economics!$AJ$2:$AJ$167,TRUE)-_xlfn.NORM.DIST(BK$30,economics!$AK$2:$AK$167,economics!$AJ$2:$AJ$167,TRUE)))),"")</f>
        <v/>
      </c>
      <c r="BL51">
        <f t="array" ref="BL51">IFERROR((SUMPRODUCT((economics!$AG$2:$AG$167=$B51)*(economics!$D$2:$D$167="process")*economics!$AH$2:$AH$167*(_xlfn.NORM.DIST(BL$3,economics!$AK$2:$AK$167,economics!$AJ$2:$AJ$167,TRUE)-_xlfn.NORM.DIST(BL$30,economics!$AK$2:$AK$167,economics!$AJ$2:$AJ$167,TRUE))*economics!$AM$2:$AM$167))/(SUMPRODUCT((economics!$AG$2:$AG$167=$B51)*(economics!$D$2:$D$167="process")*economics!$AH$2:$AH$167*(_xlfn.NORM.DIST(BL$3,economics!$AK$2:$AK$167,economics!$AJ$2:$AJ$167,TRUE)-_xlfn.NORM.DIST(BL$30,economics!$AK$2:$AK$167,economics!$AJ$2:$AJ$167,TRUE)))),"")</f>
        <v/>
      </c>
      <c r="BM51">
        <f t="array" ref="BM51">IFERROR((SUMPRODUCT((economics!$AG$2:$AG$167=$B51)*(economics!$D$2:$D$167="process")*economics!$AH$2:$AH$167*(_xlfn.NORM.DIST(BM$3,economics!$AK$2:$AK$167,economics!$AJ$2:$AJ$167,TRUE)-_xlfn.NORM.DIST(BM$30,economics!$AK$2:$AK$167,economics!$AJ$2:$AJ$167,TRUE))*economics!$AM$2:$AM$167))/(SUMPRODUCT((economics!$AG$2:$AG$167=$B51)*(economics!$D$2:$D$167="process")*economics!$AH$2:$AH$167*(_xlfn.NORM.DIST(BM$3,economics!$AK$2:$AK$167,economics!$AJ$2:$AJ$167,TRUE)-_xlfn.NORM.DIST(BM$30,economics!$AK$2:$AK$167,economics!$AJ$2:$AJ$167,TRUE)))),"")</f>
        <v/>
      </c>
      <c r="BN51">
        <f t="array" ref="BN51">IFERROR((SUMPRODUCT((economics!$AG$2:$AG$167=$B51)*(economics!$D$2:$D$167="process")*economics!$AH$2:$AH$167*(_xlfn.NORM.DIST(BN$3,economics!$AK$2:$AK$167,economics!$AJ$2:$AJ$167,TRUE)-_xlfn.NORM.DIST(BN$30,economics!$AK$2:$AK$167,economics!$AJ$2:$AJ$167,TRUE))*economics!$AM$2:$AM$167))/(SUMPRODUCT((economics!$AG$2:$AG$167=$B51)*(economics!$D$2:$D$167="process")*economics!$AH$2:$AH$167*(_xlfn.NORM.DIST(BN$3,economics!$AK$2:$AK$167,economics!$AJ$2:$AJ$167,TRUE)-_xlfn.NORM.DIST(BN$30,economics!$AK$2:$AK$167,economics!$AJ$2:$AJ$167,TRUE)))),"")</f>
        <v/>
      </c>
      <c r="BO51">
        <f t="array" ref="BO51">IFERROR((SUMPRODUCT((economics!$AG$2:$AG$167=$B51)*(economics!$D$2:$D$167="process")*economics!$AH$2:$AH$167*(_xlfn.NORM.DIST(BO$3,economics!$AK$2:$AK$167,economics!$AJ$2:$AJ$167,TRUE)-_xlfn.NORM.DIST(BO$30,economics!$AK$2:$AK$167,economics!$AJ$2:$AJ$167,TRUE))*economics!$AM$2:$AM$167))/(SUMPRODUCT((economics!$AG$2:$AG$167=$B51)*(economics!$D$2:$D$167="process")*economics!$AH$2:$AH$167*(_xlfn.NORM.DIST(BO$3,economics!$AK$2:$AK$167,economics!$AJ$2:$AJ$167,TRUE)-_xlfn.NORM.DIST(BO$30,economics!$AK$2:$AK$167,economics!$AJ$2:$AJ$167,TRUE)))),"")</f>
        <v/>
      </c>
      <c r="BP51">
        <f t="array" ref="BP51">IFERROR((SUMPRODUCT((economics!$AG$2:$AG$167=$B51)*(economics!$D$2:$D$167="process")*economics!$AH$2:$AH$167*(_xlfn.NORM.DIST(BP$3,economics!$AK$2:$AK$167,economics!$AJ$2:$AJ$167,TRUE)-_xlfn.NORM.DIST(BP$30,economics!$AK$2:$AK$167,economics!$AJ$2:$AJ$167,TRUE))*economics!$AM$2:$AM$167))/(SUMPRODUCT((economics!$AG$2:$AG$167=$B51)*(economics!$D$2:$D$167="process")*economics!$AH$2:$AH$167*(_xlfn.NORM.DIST(BP$3,economics!$AK$2:$AK$167,economics!$AJ$2:$AJ$167,TRUE)-_xlfn.NORM.DIST(BP$30,economics!$AK$2:$AK$167,economics!$AJ$2:$AJ$167,TRUE)))),"")</f>
        <v/>
      </c>
      <c r="BQ51">
        <f t="array" ref="BQ51">IFERROR((SUMPRODUCT((economics!$AG$2:$AG$167=$B51)*(economics!$D$2:$D$167="process")*economics!$AH$2:$AH$167*(_xlfn.NORM.DIST(BQ$3,economics!$AK$2:$AK$167,economics!$AJ$2:$AJ$167,TRUE)-_xlfn.NORM.DIST(BQ$30,economics!$AK$2:$AK$167,economics!$AJ$2:$AJ$167,TRUE))*economics!$AM$2:$AM$167))/(SUMPRODUCT((economics!$AG$2:$AG$167=$B51)*(economics!$D$2:$D$167="process")*economics!$AH$2:$AH$167*(_xlfn.NORM.DIST(BQ$3,economics!$AK$2:$AK$167,economics!$AJ$2:$AJ$167,TRUE)-_xlfn.NORM.DIST(BQ$30,economics!$AK$2:$AK$167,economics!$AJ$2:$AJ$167,TRUE)))),"")</f>
        <v/>
      </c>
      <c r="BR51">
        <f t="array" ref="BR51">IFERROR((SUMPRODUCT((economics!$AG$2:$AG$167=$B51)*(economics!$D$2:$D$167="process")*economics!$AH$2:$AH$167*(_xlfn.NORM.DIST(BR$3,economics!$AK$2:$AK$167,economics!$AJ$2:$AJ$167,TRUE)-_xlfn.NORM.DIST(BR$30,economics!$AK$2:$AK$167,economics!$AJ$2:$AJ$167,TRUE))*economics!$AM$2:$AM$167))/(SUMPRODUCT((economics!$AG$2:$AG$167=$B51)*(economics!$D$2:$D$167="process")*economics!$AH$2:$AH$167*(_xlfn.NORM.DIST(BR$3,economics!$AK$2:$AK$167,economics!$AJ$2:$AJ$167,TRUE)-_xlfn.NORM.DIST(BR$30,economics!$AK$2:$AK$167,economics!$AJ$2:$AJ$167,TRUE)))),"")</f>
        <v/>
      </c>
      <c r="BS51">
        <f t="array" ref="BS51">IFERROR((SUMPRODUCT((economics!$AG$2:$AG$167=$B51)*(economics!$D$2:$D$167="process")*economics!$AH$2:$AH$167*(_xlfn.NORM.DIST(BS$3,economics!$AK$2:$AK$167,economics!$AJ$2:$AJ$167,TRUE)-_xlfn.NORM.DIST(BS$30,economics!$AK$2:$AK$167,economics!$AJ$2:$AJ$167,TRUE))*economics!$AM$2:$AM$167))/(SUMPRODUCT((economics!$AG$2:$AG$167=$B51)*(economics!$D$2:$D$167="process")*economics!$AH$2:$AH$167*(_xlfn.NORM.DIST(BS$3,economics!$AK$2:$AK$167,economics!$AJ$2:$AJ$167,TRUE)-_xlfn.NORM.DIST(BS$30,economics!$AK$2:$AK$167,economics!$AJ$2:$AJ$167,TRUE)))),"")</f>
        <v/>
      </c>
      <c r="BT51">
        <f t="array" ref="BT51">IFERROR((SUMPRODUCT((economics!$AG$2:$AG$167=$B51)*(economics!$D$2:$D$167="process")*economics!$AH$2:$AH$167*(_xlfn.NORM.DIST(BT$3,economics!$AK$2:$AK$167,economics!$AJ$2:$AJ$167,TRUE)-_xlfn.NORM.DIST(BT$30,economics!$AK$2:$AK$167,economics!$AJ$2:$AJ$167,TRUE))*economics!$AM$2:$AM$167))/(SUMPRODUCT((economics!$AG$2:$AG$167=$B51)*(economics!$D$2:$D$167="process")*economics!$AH$2:$AH$167*(_xlfn.NORM.DIST(BT$3,economics!$AK$2:$AK$167,economics!$AJ$2:$AJ$167,TRUE)-_xlfn.NORM.DIST(BT$30,economics!$AK$2:$AK$167,economics!$AJ$2:$AJ$167,TRUE)))),"")</f>
        <v/>
      </c>
      <c r="BU51">
        <f t="array" ref="BU51">IFERROR((SUMPRODUCT((economics!$AG$2:$AG$167=$B51)*(economics!$D$2:$D$167="process")*economics!$AH$2:$AH$167*(_xlfn.NORM.DIST(BU$3,economics!$AK$2:$AK$167,economics!$AJ$2:$AJ$167,TRUE)-_xlfn.NORM.DIST(BU$30,economics!$AK$2:$AK$167,economics!$AJ$2:$AJ$167,TRUE))*economics!$AM$2:$AM$167))/(SUMPRODUCT((economics!$AG$2:$AG$167=$B51)*(economics!$D$2:$D$167="process")*economics!$AH$2:$AH$167*(_xlfn.NORM.DIST(BU$3,economics!$AK$2:$AK$167,economics!$AJ$2:$AJ$167,TRUE)-_xlfn.NORM.DIST(BU$30,economics!$AK$2:$AK$167,economics!$AJ$2:$AJ$167,TRUE)))),"")</f>
        <v/>
      </c>
      <c r="BV51">
        <f t="array" ref="BV51">IFERROR((SUMPRODUCT((economics!$AG$2:$AG$167=$B51)*(economics!$D$2:$D$167="process")*economics!$AH$2:$AH$167*(_xlfn.NORM.DIST(BV$3,economics!$AK$2:$AK$167,economics!$AJ$2:$AJ$167,TRUE)-_xlfn.NORM.DIST(BV$30,economics!$AK$2:$AK$167,economics!$AJ$2:$AJ$167,TRUE))*economics!$AM$2:$AM$167))/(SUMPRODUCT((economics!$AG$2:$AG$167=$B51)*(economics!$D$2:$D$167="process")*economics!$AH$2:$AH$167*(_xlfn.NORM.DIST(BV$3,economics!$AK$2:$AK$167,economics!$AJ$2:$AJ$167,TRUE)-_xlfn.NORM.DIST(BV$30,economics!$AK$2:$AK$167,economics!$AJ$2:$AJ$167,TRUE)))),"")</f>
        <v/>
      </c>
      <c r="BW51">
        <f t="array" ref="BW51">IFERROR((SUMPRODUCT((economics!$AG$2:$AG$167=$B51)*(economics!$D$2:$D$167="process")*economics!$AH$2:$AH$167*(_xlfn.NORM.DIST(BW$3,economics!$AK$2:$AK$167,economics!$AJ$2:$AJ$167,TRUE)-_xlfn.NORM.DIST(BW$30,economics!$AK$2:$AK$167,economics!$AJ$2:$AJ$167,TRUE))*economics!$AM$2:$AM$167))/(SUMPRODUCT((economics!$AG$2:$AG$167=$B51)*(economics!$D$2:$D$167="process")*economics!$AH$2:$AH$167*(_xlfn.NORM.DIST(BW$3,economics!$AK$2:$AK$167,economics!$AJ$2:$AJ$167,TRUE)-_xlfn.NORM.DIST(BW$30,economics!$AK$2:$AK$167,economics!$AJ$2:$AJ$167,TRUE)))),"")</f>
        <v/>
      </c>
      <c r="BX51">
        <f t="array" ref="BX51">IFERROR((SUMPRODUCT((economics!$AG$2:$AG$167=$B51)*(economics!$D$2:$D$167="process")*economics!$AH$2:$AH$167*(_xlfn.NORM.DIST(BX$3,economics!$AK$2:$AK$167,economics!$AJ$2:$AJ$167,TRUE)-_xlfn.NORM.DIST(BX$30,economics!$AK$2:$AK$167,economics!$AJ$2:$AJ$167,TRUE))*economics!$AM$2:$AM$167))/(SUMPRODUCT((economics!$AG$2:$AG$167=$B51)*(economics!$D$2:$D$167="process")*economics!$AH$2:$AH$167*(_xlfn.NORM.DIST(BX$3,economics!$AK$2:$AK$167,economics!$AJ$2:$AJ$167,TRUE)-_xlfn.NORM.DIST(BX$30,economics!$AK$2:$AK$167,economics!$AJ$2:$AJ$167,TRUE)))),"")</f>
        <v/>
      </c>
      <c r="BY51">
        <f t="array" ref="BY51">IFERROR((SUMPRODUCT((economics!$AG$2:$AG$167=$B51)*(economics!$D$2:$D$167="process")*economics!$AH$2:$AH$167*(_xlfn.NORM.DIST(BY$3,economics!$AK$2:$AK$167,economics!$AJ$2:$AJ$167,TRUE)-_xlfn.NORM.DIST(BY$30,economics!$AK$2:$AK$167,economics!$AJ$2:$AJ$167,TRUE))*economics!$AM$2:$AM$167))/(SUMPRODUCT((economics!$AG$2:$AG$167=$B51)*(economics!$D$2:$D$167="process")*economics!$AH$2:$AH$167*(_xlfn.NORM.DIST(BY$3,economics!$AK$2:$AK$167,economics!$AJ$2:$AJ$167,TRUE)-_xlfn.NORM.DIST(BY$30,economics!$AK$2:$AK$167,economics!$AJ$2:$AJ$167,TRUE)))),"")</f>
        <v/>
      </c>
      <c r="BZ51">
        <f t="array" ref="BZ51">IFERROR((SUMPRODUCT((economics!$AG$2:$AG$167=$B51)*(economics!$D$2:$D$167="process")*economics!$AH$2:$AH$167*(_xlfn.NORM.DIST(BZ$3,economics!$AK$2:$AK$167,economics!$AJ$2:$AJ$167,TRUE)-_xlfn.NORM.DIST(BZ$30,economics!$AK$2:$AK$167,economics!$AJ$2:$AJ$167,TRUE))*economics!$AM$2:$AM$167))/(SUMPRODUCT((economics!$AG$2:$AG$167=$B51)*(economics!$D$2:$D$167="process")*economics!$AH$2:$AH$167*(_xlfn.NORM.DIST(BZ$3,economics!$AK$2:$AK$167,economics!$AJ$2:$AJ$167,TRUE)-_xlfn.NORM.DIST(BZ$30,economics!$AK$2:$AK$167,economics!$AJ$2:$AJ$167,TRUE)))),"")</f>
        <v/>
      </c>
      <c r="CA51">
        <f t="array" ref="CA51">IFERROR((SUMPRODUCT((economics!$AG$2:$AG$167=$B51)*(economics!$D$2:$D$167="process")*economics!$AH$2:$AH$167*(_xlfn.NORM.DIST(CA$3,economics!$AK$2:$AK$167,economics!$AJ$2:$AJ$167,TRUE)-_xlfn.NORM.DIST(CA$30,economics!$AK$2:$AK$167,economics!$AJ$2:$AJ$167,TRUE))*economics!$AM$2:$AM$167))/(SUMPRODUCT((economics!$AG$2:$AG$167=$B51)*(economics!$D$2:$D$167="process")*economics!$AH$2:$AH$167*(_xlfn.NORM.DIST(CA$3,economics!$AK$2:$AK$167,economics!$AJ$2:$AJ$167,TRUE)-_xlfn.NORM.DIST(CA$30,economics!$AK$2:$AK$167,economics!$AJ$2:$AJ$167,TRUE)))),"")</f>
        <v/>
      </c>
      <c r="CB51">
        <f t="array" ref="CB51">IFERROR((SUMPRODUCT((economics!$AG$2:$AG$167=$B51)*(economics!$D$2:$D$167="process")*economics!$AH$2:$AH$167*(_xlfn.NORM.DIST(CB$3,economics!$AK$2:$AK$167,economics!$AJ$2:$AJ$167,TRUE)-_xlfn.NORM.DIST(CB$30,economics!$AK$2:$AK$167,economics!$AJ$2:$AJ$167,TRUE))*economics!$AM$2:$AM$167))/(SUMPRODUCT((economics!$AG$2:$AG$167=$B51)*(economics!$D$2:$D$167="process")*economics!$AH$2:$AH$167*(_xlfn.NORM.DIST(CB$3,economics!$AK$2:$AK$167,economics!$AJ$2:$AJ$167,TRUE)-_xlfn.NORM.DIST(CB$30,economics!$AK$2:$AK$167,economics!$AJ$2:$AJ$167,TRUE)))),"")</f>
        <v/>
      </c>
      <c r="CC51">
        <f t="array" ref="CC51">IFERROR((SUMPRODUCT((economics!$AG$2:$AG$167=$B51)*(economics!$D$2:$D$167="process")*economics!$AH$2:$AH$167*(_xlfn.NORM.DIST(CC$3,economics!$AK$2:$AK$167,economics!$AJ$2:$AJ$167,TRUE)-_xlfn.NORM.DIST(CC$30,economics!$AK$2:$AK$167,economics!$AJ$2:$AJ$167,TRUE))*economics!$AM$2:$AM$167))/(SUMPRODUCT((economics!$AG$2:$AG$167=$B51)*(economics!$D$2:$D$167="process")*economics!$AH$2:$AH$167*(_xlfn.NORM.DIST(CC$3,economics!$AK$2:$AK$167,economics!$AJ$2:$AJ$167,TRUE)-_xlfn.NORM.DIST(CC$30,economics!$AK$2:$AK$167,economics!$AJ$2:$AJ$167,TRUE)))),"")</f>
        <v/>
      </c>
      <c r="CD51">
        <f t="array" ref="CD51">IFERROR((SUMPRODUCT((economics!$AG$2:$AG$167=$B51)*(economics!$D$2:$D$167="process")*economics!$AH$2:$AH$167*(_xlfn.NORM.DIST(CD$3,economics!$AK$2:$AK$167,economics!$AJ$2:$AJ$167,TRUE)-_xlfn.NORM.DIST(CD$30,economics!$AK$2:$AK$167,economics!$AJ$2:$AJ$167,TRUE))*economics!$AM$2:$AM$167))/(SUMPRODUCT((economics!$AG$2:$AG$167=$B51)*(economics!$D$2:$D$167="process")*economics!$AH$2:$AH$167*(_xlfn.NORM.DIST(CD$3,economics!$AK$2:$AK$167,economics!$AJ$2:$AJ$167,TRUE)-_xlfn.NORM.DIST(CD$30,economics!$AK$2:$AK$167,economics!$AJ$2:$AJ$167,TRUE)))),"")</f>
        <v/>
      </c>
      <c r="CE51">
        <f t="array" ref="CE51">IFERROR((SUMPRODUCT((economics!$AG$2:$AG$167=$B51)*(economics!$D$2:$D$167="process")*economics!$AH$2:$AH$167*(_xlfn.NORM.DIST(CE$3,economics!$AK$2:$AK$167,economics!$AJ$2:$AJ$167,TRUE)-_xlfn.NORM.DIST(CE$30,economics!$AK$2:$AK$167,economics!$AJ$2:$AJ$167,TRUE))*economics!$AM$2:$AM$167))/(SUMPRODUCT((economics!$AG$2:$AG$167=$B51)*(economics!$D$2:$D$167="process")*economics!$AH$2:$AH$167*(_xlfn.NORM.DIST(CE$3,economics!$AK$2:$AK$167,economics!$AJ$2:$AJ$167,TRUE)-_xlfn.NORM.DIST(CE$30,economics!$AK$2:$AK$167,economics!$AJ$2:$AJ$167,TRUE)))),"")</f>
        <v/>
      </c>
      <c r="CF51">
        <f t="array" ref="CF51">IFERROR((SUMPRODUCT((economics!$AG$2:$AG$167=$B51)*(economics!$D$2:$D$167="process")*economics!$AH$2:$AH$167*(_xlfn.NORM.DIST(CF$3,economics!$AK$2:$AK$167,economics!$AJ$2:$AJ$167,TRUE)-_xlfn.NORM.DIST(CF$30,economics!$AK$2:$AK$167,economics!$AJ$2:$AJ$167,TRUE))*economics!$AM$2:$AM$167))/(SUMPRODUCT((economics!$AG$2:$AG$167=$B51)*(economics!$D$2:$D$167="process")*economics!$AH$2:$AH$167*(_xlfn.NORM.DIST(CF$3,economics!$AK$2:$AK$167,economics!$AJ$2:$AJ$167,TRUE)-_xlfn.NORM.DIST(CF$30,economics!$AK$2:$AK$167,economics!$AJ$2:$AJ$167,TRUE)))),"")</f>
        <v/>
      </c>
      <c r="CG51">
        <f t="array" ref="CG51">IFERROR((SUMPRODUCT((economics!$AG$2:$AG$167=$B51)*(economics!$D$2:$D$167="process")*economics!$AH$2:$AH$167*(_xlfn.NORM.DIST(CG$3,economics!$AK$2:$AK$167,economics!$AJ$2:$AJ$167,TRUE)-_xlfn.NORM.DIST(CG$30,economics!$AK$2:$AK$167,economics!$AJ$2:$AJ$167,TRUE))*economics!$AM$2:$AM$167))/(SUMPRODUCT((economics!$AG$2:$AG$167=$B51)*(economics!$D$2:$D$167="process")*economics!$AH$2:$AH$167*(_xlfn.NORM.DIST(CG$3,economics!$AK$2:$AK$167,economics!$AJ$2:$AJ$167,TRUE)-_xlfn.NORM.DIST(CG$30,economics!$AK$2:$AK$167,economics!$AJ$2:$AJ$167,TRUE)))),"")</f>
        <v/>
      </c>
      <c r="CH51">
        <f t="array" ref="CH51">IFERROR((SUMPRODUCT((economics!$AG$2:$AG$167=$B51)*(economics!$D$2:$D$167="process")*economics!$AH$2:$AH$167*(_xlfn.NORM.DIST(CH$3,economics!$AK$2:$AK$167,economics!$AJ$2:$AJ$167,TRUE)-_xlfn.NORM.DIST(CH$30,economics!$AK$2:$AK$167,economics!$AJ$2:$AJ$167,TRUE))*economics!$AM$2:$AM$167))/(SUMPRODUCT((economics!$AG$2:$AG$167=$B51)*(economics!$D$2:$D$167="process")*economics!$AH$2:$AH$167*(_xlfn.NORM.DIST(CH$3,economics!$AK$2:$AK$167,economics!$AJ$2:$AJ$167,TRUE)-_xlfn.NORM.DIST(CH$30,economics!$AK$2:$AK$167,economics!$AJ$2:$AJ$167,TRUE)))),"")</f>
        <v/>
      </c>
    </row>
    <row r="52">
      <c r="A52">
        <f>A23</f>
        <v/>
      </c>
      <c r="B52">
        <f>B23</f>
        <v/>
      </c>
      <c r="E52">
        <f t="array" ref="E52">IFERROR((SUMPRODUCT((economics!$AG$2:$AG$167=$B52)*(economics!$D$2:$D$167="process")*economics!$AH$2:$AH$167*(_xlfn.NORM.DIST(E$3,economics!$AK$2:$AK$167,economics!$AJ$2:$AJ$167,TRUE)-_xlfn.NORM.DIST(E$30,economics!$AK$2:$AK$167,economics!$AJ$2:$AJ$167,TRUE))*economics!$AM$2:$AM$167))/(SUMPRODUCT((economics!$AG$2:$AG$167=$B52)*(economics!$D$2:$D$167="process")*economics!$AH$2:$AH$167*(_xlfn.NORM.DIST(E$3,economics!$AK$2:$AK$167,economics!$AJ$2:$AJ$167,TRUE)-_xlfn.NORM.DIST(E$30,economics!$AK$2:$AK$167,economics!$AJ$2:$AJ$167,TRUE)))),"")</f>
        <v/>
      </c>
      <c r="F52">
        <f t="array" ref="F52">IFERROR((SUMPRODUCT((economics!$AG$2:$AG$167=$B52)*(economics!$D$2:$D$167="process")*economics!$AH$2:$AH$167*(_xlfn.NORM.DIST(F$3,economics!$AK$2:$AK$167,economics!$AJ$2:$AJ$167,TRUE)-_xlfn.NORM.DIST(F$30,economics!$AK$2:$AK$167,economics!$AJ$2:$AJ$167,TRUE))*economics!$AM$2:$AM$167))/(SUMPRODUCT((economics!$AG$2:$AG$167=$B52)*(economics!$D$2:$D$167="process")*economics!$AH$2:$AH$167*(_xlfn.NORM.DIST(F$3,economics!$AK$2:$AK$167,economics!$AJ$2:$AJ$167,TRUE)-_xlfn.NORM.DIST(F$30,economics!$AK$2:$AK$167,economics!$AJ$2:$AJ$167,TRUE)))),"")</f>
        <v/>
      </c>
      <c r="G52">
        <f t="array" ref="G52">IFERROR((SUMPRODUCT((economics!$AG$2:$AG$167=$B52)*(economics!$D$2:$D$167="process")*economics!$AH$2:$AH$167*(_xlfn.NORM.DIST(G$3,economics!$AK$2:$AK$167,economics!$AJ$2:$AJ$167,TRUE)-_xlfn.NORM.DIST(G$30,economics!$AK$2:$AK$167,economics!$AJ$2:$AJ$167,TRUE))*economics!$AM$2:$AM$167))/(SUMPRODUCT((economics!$AG$2:$AG$167=$B52)*(economics!$D$2:$D$167="process")*economics!$AH$2:$AH$167*(_xlfn.NORM.DIST(G$3,economics!$AK$2:$AK$167,economics!$AJ$2:$AJ$167,TRUE)-_xlfn.NORM.DIST(G$30,economics!$AK$2:$AK$167,economics!$AJ$2:$AJ$167,TRUE)))),"")</f>
        <v/>
      </c>
      <c r="H52">
        <f t="array" ref="H52">IFERROR((SUMPRODUCT((economics!$AG$2:$AG$167=$B52)*(economics!$D$2:$D$167="process")*economics!$AH$2:$AH$167*(_xlfn.NORM.DIST(H$3,economics!$AK$2:$AK$167,economics!$AJ$2:$AJ$167,TRUE)-_xlfn.NORM.DIST(H$30,economics!$AK$2:$AK$167,economics!$AJ$2:$AJ$167,TRUE))*economics!$AM$2:$AM$167))/(SUMPRODUCT((economics!$AG$2:$AG$167=$B52)*(economics!$D$2:$D$167="process")*economics!$AH$2:$AH$167*(_xlfn.NORM.DIST(H$3,economics!$AK$2:$AK$167,economics!$AJ$2:$AJ$167,TRUE)-_xlfn.NORM.DIST(H$30,economics!$AK$2:$AK$167,economics!$AJ$2:$AJ$167,TRUE)))),"")</f>
        <v/>
      </c>
      <c r="I52">
        <f t="array" ref="I52">IFERROR((SUMPRODUCT((economics!$AG$2:$AG$167=$B52)*(economics!$D$2:$D$167="process")*economics!$AH$2:$AH$167*(_xlfn.NORM.DIST(I$3,economics!$AK$2:$AK$167,economics!$AJ$2:$AJ$167,TRUE)-_xlfn.NORM.DIST(I$30,economics!$AK$2:$AK$167,economics!$AJ$2:$AJ$167,TRUE))*economics!$AM$2:$AM$167))/(SUMPRODUCT((economics!$AG$2:$AG$167=$B52)*(economics!$D$2:$D$167="process")*economics!$AH$2:$AH$167*(_xlfn.NORM.DIST(I$3,economics!$AK$2:$AK$167,economics!$AJ$2:$AJ$167,TRUE)-_xlfn.NORM.DIST(I$30,economics!$AK$2:$AK$167,economics!$AJ$2:$AJ$167,TRUE)))),"")</f>
        <v/>
      </c>
      <c r="J52">
        <f t="array" ref="J52">IFERROR((SUMPRODUCT((economics!$AG$2:$AG$167=$B52)*(economics!$D$2:$D$167="process")*economics!$AH$2:$AH$167*(_xlfn.NORM.DIST(J$3,economics!$AK$2:$AK$167,economics!$AJ$2:$AJ$167,TRUE)-_xlfn.NORM.DIST(J$30,economics!$AK$2:$AK$167,economics!$AJ$2:$AJ$167,TRUE))*economics!$AM$2:$AM$167))/(SUMPRODUCT((economics!$AG$2:$AG$167=$B52)*(economics!$D$2:$D$167="process")*economics!$AH$2:$AH$167*(_xlfn.NORM.DIST(J$3,economics!$AK$2:$AK$167,economics!$AJ$2:$AJ$167,TRUE)-_xlfn.NORM.DIST(J$30,economics!$AK$2:$AK$167,economics!$AJ$2:$AJ$167,TRUE)))),"")</f>
        <v/>
      </c>
      <c r="K52">
        <f t="array" ref="K52">IFERROR((SUMPRODUCT((economics!$AG$2:$AG$167=$B52)*(economics!$D$2:$D$167="process")*economics!$AH$2:$AH$167*(_xlfn.NORM.DIST(K$3,economics!$AK$2:$AK$167,economics!$AJ$2:$AJ$167,TRUE)-_xlfn.NORM.DIST(K$30,economics!$AK$2:$AK$167,economics!$AJ$2:$AJ$167,TRUE))*economics!$AM$2:$AM$167))/(SUMPRODUCT((economics!$AG$2:$AG$167=$B52)*(economics!$D$2:$D$167="process")*economics!$AH$2:$AH$167*(_xlfn.NORM.DIST(K$3,economics!$AK$2:$AK$167,economics!$AJ$2:$AJ$167,TRUE)-_xlfn.NORM.DIST(K$30,economics!$AK$2:$AK$167,economics!$AJ$2:$AJ$167,TRUE)))),"")</f>
        <v/>
      </c>
      <c r="L52">
        <f t="array" ref="L52">IFERROR((SUMPRODUCT((economics!$AG$2:$AG$167=$B52)*(economics!$D$2:$D$167="process")*economics!$AH$2:$AH$167*(_xlfn.NORM.DIST(L$3,economics!$AK$2:$AK$167,economics!$AJ$2:$AJ$167,TRUE)-_xlfn.NORM.DIST(L$30,economics!$AK$2:$AK$167,economics!$AJ$2:$AJ$167,TRUE))*economics!$AM$2:$AM$167))/(SUMPRODUCT((economics!$AG$2:$AG$167=$B52)*(economics!$D$2:$D$167="process")*economics!$AH$2:$AH$167*(_xlfn.NORM.DIST(L$3,economics!$AK$2:$AK$167,economics!$AJ$2:$AJ$167,TRUE)-_xlfn.NORM.DIST(L$30,economics!$AK$2:$AK$167,economics!$AJ$2:$AJ$167,TRUE)))),"")</f>
        <v/>
      </c>
      <c r="M52">
        <f t="array" ref="M52">IFERROR((SUMPRODUCT((economics!$AG$2:$AG$167=$B52)*(economics!$D$2:$D$167="process")*economics!$AH$2:$AH$167*(_xlfn.NORM.DIST(M$3,economics!$AK$2:$AK$167,economics!$AJ$2:$AJ$167,TRUE)-_xlfn.NORM.DIST(M$30,economics!$AK$2:$AK$167,economics!$AJ$2:$AJ$167,TRUE))*economics!$AM$2:$AM$167))/(SUMPRODUCT((economics!$AG$2:$AG$167=$B52)*(economics!$D$2:$D$167="process")*economics!$AH$2:$AH$167*(_xlfn.NORM.DIST(M$3,economics!$AK$2:$AK$167,economics!$AJ$2:$AJ$167,TRUE)-_xlfn.NORM.DIST(M$30,economics!$AK$2:$AK$167,economics!$AJ$2:$AJ$167,TRUE)))),"")</f>
        <v/>
      </c>
      <c r="N52">
        <f t="array" ref="N52">IFERROR((SUMPRODUCT((economics!$AG$2:$AG$167=$B52)*(economics!$D$2:$D$167="process")*economics!$AH$2:$AH$167*(_xlfn.NORM.DIST(N$3,economics!$AK$2:$AK$167,economics!$AJ$2:$AJ$167,TRUE)-_xlfn.NORM.DIST(N$30,economics!$AK$2:$AK$167,economics!$AJ$2:$AJ$167,TRUE))*economics!$AM$2:$AM$167))/(SUMPRODUCT((economics!$AG$2:$AG$167=$B52)*(economics!$D$2:$D$167="process")*economics!$AH$2:$AH$167*(_xlfn.NORM.DIST(N$3,economics!$AK$2:$AK$167,economics!$AJ$2:$AJ$167,TRUE)-_xlfn.NORM.DIST(N$30,economics!$AK$2:$AK$167,economics!$AJ$2:$AJ$167,TRUE)))),"")</f>
        <v/>
      </c>
      <c r="O52">
        <f t="array" ref="O52">IFERROR((SUMPRODUCT((economics!$AG$2:$AG$167=$B52)*(economics!$D$2:$D$167="process")*economics!$AH$2:$AH$167*(_xlfn.NORM.DIST(O$3,economics!$AK$2:$AK$167,economics!$AJ$2:$AJ$167,TRUE)-_xlfn.NORM.DIST(O$30,economics!$AK$2:$AK$167,economics!$AJ$2:$AJ$167,TRUE))*economics!$AM$2:$AM$167))/(SUMPRODUCT((economics!$AG$2:$AG$167=$B52)*(economics!$D$2:$D$167="process")*economics!$AH$2:$AH$167*(_xlfn.NORM.DIST(O$3,economics!$AK$2:$AK$167,economics!$AJ$2:$AJ$167,TRUE)-_xlfn.NORM.DIST(O$30,economics!$AK$2:$AK$167,economics!$AJ$2:$AJ$167,TRUE)))),"")</f>
        <v/>
      </c>
      <c r="P52">
        <f t="array" ref="P52">IFERROR((SUMPRODUCT((economics!$AG$2:$AG$167=$B52)*(economics!$D$2:$D$167="process")*economics!$AH$2:$AH$167*(_xlfn.NORM.DIST(P$3,economics!$AK$2:$AK$167,economics!$AJ$2:$AJ$167,TRUE)-_xlfn.NORM.DIST(P$30,economics!$AK$2:$AK$167,economics!$AJ$2:$AJ$167,TRUE))*economics!$AM$2:$AM$167))/(SUMPRODUCT((economics!$AG$2:$AG$167=$B52)*(economics!$D$2:$D$167="process")*economics!$AH$2:$AH$167*(_xlfn.NORM.DIST(P$3,economics!$AK$2:$AK$167,economics!$AJ$2:$AJ$167,TRUE)-_xlfn.NORM.DIST(P$30,economics!$AK$2:$AK$167,economics!$AJ$2:$AJ$167,TRUE)))),"")</f>
        <v/>
      </c>
      <c r="Q52">
        <f t="array" ref="Q52">IFERROR((SUMPRODUCT((economics!$AG$2:$AG$167=$B52)*(economics!$D$2:$D$167="process")*economics!$AH$2:$AH$167*(_xlfn.NORM.DIST(Q$3,economics!$AK$2:$AK$167,economics!$AJ$2:$AJ$167,TRUE)-_xlfn.NORM.DIST(Q$30,economics!$AK$2:$AK$167,economics!$AJ$2:$AJ$167,TRUE))*economics!$AM$2:$AM$167))/(SUMPRODUCT((economics!$AG$2:$AG$167=$B52)*(economics!$D$2:$D$167="process")*economics!$AH$2:$AH$167*(_xlfn.NORM.DIST(Q$3,economics!$AK$2:$AK$167,economics!$AJ$2:$AJ$167,TRUE)-_xlfn.NORM.DIST(Q$30,economics!$AK$2:$AK$167,economics!$AJ$2:$AJ$167,TRUE)))),"")</f>
        <v/>
      </c>
      <c r="R52">
        <f t="array" ref="R52">IFERROR((SUMPRODUCT((economics!$AG$2:$AG$167=$B52)*(economics!$D$2:$D$167="process")*economics!$AH$2:$AH$167*(_xlfn.NORM.DIST(R$3,economics!$AK$2:$AK$167,economics!$AJ$2:$AJ$167,TRUE)-_xlfn.NORM.DIST(R$30,economics!$AK$2:$AK$167,economics!$AJ$2:$AJ$167,TRUE))*economics!$AM$2:$AM$167))/(SUMPRODUCT((economics!$AG$2:$AG$167=$B52)*(economics!$D$2:$D$167="process")*economics!$AH$2:$AH$167*(_xlfn.NORM.DIST(R$3,economics!$AK$2:$AK$167,economics!$AJ$2:$AJ$167,TRUE)-_xlfn.NORM.DIST(R$30,economics!$AK$2:$AK$167,economics!$AJ$2:$AJ$167,TRUE)))),"")</f>
        <v/>
      </c>
      <c r="S52">
        <f t="array" ref="S52">IFERROR((SUMPRODUCT((economics!$AG$2:$AG$167=$B52)*(economics!$D$2:$D$167="process")*economics!$AH$2:$AH$167*(_xlfn.NORM.DIST(S$3,economics!$AK$2:$AK$167,economics!$AJ$2:$AJ$167,TRUE)-_xlfn.NORM.DIST(S$30,economics!$AK$2:$AK$167,economics!$AJ$2:$AJ$167,TRUE))*economics!$AM$2:$AM$167))/(SUMPRODUCT((economics!$AG$2:$AG$167=$B52)*(economics!$D$2:$D$167="process")*economics!$AH$2:$AH$167*(_xlfn.NORM.DIST(S$3,economics!$AK$2:$AK$167,economics!$AJ$2:$AJ$167,TRUE)-_xlfn.NORM.DIST(S$30,economics!$AK$2:$AK$167,economics!$AJ$2:$AJ$167,TRUE)))),"")</f>
        <v/>
      </c>
      <c r="T52">
        <f t="array" ref="T52">IFERROR((SUMPRODUCT((economics!$AG$2:$AG$167=$B52)*(economics!$D$2:$D$167="process")*economics!$AH$2:$AH$167*(_xlfn.NORM.DIST(T$3,economics!$AK$2:$AK$167,economics!$AJ$2:$AJ$167,TRUE)-_xlfn.NORM.DIST(T$30,economics!$AK$2:$AK$167,economics!$AJ$2:$AJ$167,TRUE))*economics!$AM$2:$AM$167))/(SUMPRODUCT((economics!$AG$2:$AG$167=$B52)*(economics!$D$2:$D$167="process")*economics!$AH$2:$AH$167*(_xlfn.NORM.DIST(T$3,economics!$AK$2:$AK$167,economics!$AJ$2:$AJ$167,TRUE)-_xlfn.NORM.DIST(T$30,economics!$AK$2:$AK$167,economics!$AJ$2:$AJ$167,TRUE)))),"")</f>
        <v/>
      </c>
      <c r="U52">
        <f t="array" ref="U52">IFERROR((SUMPRODUCT((economics!$AG$2:$AG$167=$B52)*(economics!$D$2:$D$167="process")*economics!$AH$2:$AH$167*(_xlfn.NORM.DIST(U$3,economics!$AK$2:$AK$167,economics!$AJ$2:$AJ$167,TRUE)-_xlfn.NORM.DIST(U$30,economics!$AK$2:$AK$167,economics!$AJ$2:$AJ$167,TRUE))*economics!$AM$2:$AM$167))/(SUMPRODUCT((economics!$AG$2:$AG$167=$B52)*(economics!$D$2:$D$167="process")*economics!$AH$2:$AH$167*(_xlfn.NORM.DIST(U$3,economics!$AK$2:$AK$167,economics!$AJ$2:$AJ$167,TRUE)-_xlfn.NORM.DIST(U$30,economics!$AK$2:$AK$167,economics!$AJ$2:$AJ$167,TRUE)))),"")</f>
        <v/>
      </c>
      <c r="V52">
        <f t="array" ref="V52">IFERROR((SUMPRODUCT((economics!$AG$2:$AG$167=$B52)*(economics!$D$2:$D$167="process")*economics!$AH$2:$AH$167*(_xlfn.NORM.DIST(V$3,economics!$AK$2:$AK$167,economics!$AJ$2:$AJ$167,TRUE)-_xlfn.NORM.DIST(V$30,economics!$AK$2:$AK$167,economics!$AJ$2:$AJ$167,TRUE))*economics!$AM$2:$AM$167))/(SUMPRODUCT((economics!$AG$2:$AG$167=$B52)*(economics!$D$2:$D$167="process")*economics!$AH$2:$AH$167*(_xlfn.NORM.DIST(V$3,economics!$AK$2:$AK$167,economics!$AJ$2:$AJ$167,TRUE)-_xlfn.NORM.DIST(V$30,economics!$AK$2:$AK$167,economics!$AJ$2:$AJ$167,TRUE)))),"")</f>
        <v/>
      </c>
      <c r="W52">
        <f t="array" ref="W52">IFERROR((SUMPRODUCT((economics!$AG$2:$AG$167=$B52)*(economics!$D$2:$D$167="process")*economics!$AH$2:$AH$167*(_xlfn.NORM.DIST(W$3,economics!$AK$2:$AK$167,economics!$AJ$2:$AJ$167,TRUE)-_xlfn.NORM.DIST(W$30,economics!$AK$2:$AK$167,economics!$AJ$2:$AJ$167,TRUE))*economics!$AM$2:$AM$167))/(SUMPRODUCT((economics!$AG$2:$AG$167=$B52)*(economics!$D$2:$D$167="process")*economics!$AH$2:$AH$167*(_xlfn.NORM.DIST(W$3,economics!$AK$2:$AK$167,economics!$AJ$2:$AJ$167,TRUE)-_xlfn.NORM.DIST(W$30,economics!$AK$2:$AK$167,economics!$AJ$2:$AJ$167,TRUE)))),"")</f>
        <v/>
      </c>
      <c r="X52">
        <f t="array" ref="X52">IFERROR((SUMPRODUCT((economics!$AG$2:$AG$167=$B52)*(economics!$D$2:$D$167="process")*economics!$AH$2:$AH$167*(_xlfn.NORM.DIST(X$3,economics!$AK$2:$AK$167,economics!$AJ$2:$AJ$167,TRUE)-_xlfn.NORM.DIST(X$30,economics!$AK$2:$AK$167,economics!$AJ$2:$AJ$167,TRUE))*economics!$AM$2:$AM$167))/(SUMPRODUCT((economics!$AG$2:$AG$167=$B52)*(economics!$D$2:$D$167="process")*economics!$AH$2:$AH$167*(_xlfn.NORM.DIST(X$3,economics!$AK$2:$AK$167,economics!$AJ$2:$AJ$167,TRUE)-_xlfn.NORM.DIST(X$30,economics!$AK$2:$AK$167,economics!$AJ$2:$AJ$167,TRUE)))),"")</f>
        <v/>
      </c>
      <c r="Y52">
        <f t="array" ref="Y52">IFERROR((SUMPRODUCT((economics!$AG$2:$AG$167=$B52)*(economics!$D$2:$D$167="process")*economics!$AH$2:$AH$167*(_xlfn.NORM.DIST(Y$3,economics!$AK$2:$AK$167,economics!$AJ$2:$AJ$167,TRUE)-_xlfn.NORM.DIST(Y$30,economics!$AK$2:$AK$167,economics!$AJ$2:$AJ$167,TRUE))*economics!$AM$2:$AM$167))/(SUMPRODUCT((economics!$AG$2:$AG$167=$B52)*(economics!$D$2:$D$167="process")*economics!$AH$2:$AH$167*(_xlfn.NORM.DIST(Y$3,economics!$AK$2:$AK$167,economics!$AJ$2:$AJ$167,TRUE)-_xlfn.NORM.DIST(Y$30,economics!$AK$2:$AK$167,economics!$AJ$2:$AJ$167,TRUE)))),"")</f>
        <v/>
      </c>
      <c r="Z52">
        <f t="array" ref="Z52">IFERROR((SUMPRODUCT((economics!$AG$2:$AG$167=$B52)*(economics!$D$2:$D$167="process")*economics!$AH$2:$AH$167*(_xlfn.NORM.DIST(Z$3,economics!$AK$2:$AK$167,economics!$AJ$2:$AJ$167,TRUE)-_xlfn.NORM.DIST(Z$30,economics!$AK$2:$AK$167,economics!$AJ$2:$AJ$167,TRUE))*economics!$AM$2:$AM$167))/(SUMPRODUCT((economics!$AG$2:$AG$167=$B52)*(economics!$D$2:$D$167="process")*economics!$AH$2:$AH$167*(_xlfn.NORM.DIST(Z$3,economics!$AK$2:$AK$167,economics!$AJ$2:$AJ$167,TRUE)-_xlfn.NORM.DIST(Z$30,economics!$AK$2:$AK$167,economics!$AJ$2:$AJ$167,TRUE)))),"")</f>
        <v/>
      </c>
      <c r="AA52">
        <f t="array" ref="AA52">IFERROR((SUMPRODUCT((economics!$AG$2:$AG$167=$B52)*(economics!$D$2:$D$167="process")*economics!$AH$2:$AH$167*(_xlfn.NORM.DIST(AA$3,economics!$AK$2:$AK$167,economics!$AJ$2:$AJ$167,TRUE)-_xlfn.NORM.DIST(AA$30,economics!$AK$2:$AK$167,economics!$AJ$2:$AJ$167,TRUE))*economics!$AM$2:$AM$167))/(SUMPRODUCT((economics!$AG$2:$AG$167=$B52)*(economics!$D$2:$D$167="process")*economics!$AH$2:$AH$167*(_xlfn.NORM.DIST(AA$3,economics!$AK$2:$AK$167,economics!$AJ$2:$AJ$167,TRUE)-_xlfn.NORM.DIST(AA$30,economics!$AK$2:$AK$167,economics!$AJ$2:$AJ$167,TRUE)))),"")</f>
        <v/>
      </c>
      <c r="AB52">
        <f t="array" ref="AB52">IFERROR((SUMPRODUCT((economics!$AG$2:$AG$167=$B52)*(economics!$D$2:$D$167="process")*economics!$AH$2:$AH$167*(_xlfn.NORM.DIST(AB$3,economics!$AK$2:$AK$167,economics!$AJ$2:$AJ$167,TRUE)-_xlfn.NORM.DIST(AB$30,economics!$AK$2:$AK$167,economics!$AJ$2:$AJ$167,TRUE))*economics!$AM$2:$AM$167))/(SUMPRODUCT((economics!$AG$2:$AG$167=$B52)*(economics!$D$2:$D$167="process")*economics!$AH$2:$AH$167*(_xlfn.NORM.DIST(AB$3,economics!$AK$2:$AK$167,economics!$AJ$2:$AJ$167,TRUE)-_xlfn.NORM.DIST(AB$30,economics!$AK$2:$AK$167,economics!$AJ$2:$AJ$167,TRUE)))),"")</f>
        <v/>
      </c>
      <c r="AC52">
        <f t="array" ref="AC52">IFERROR((SUMPRODUCT((economics!$AG$2:$AG$167=$B52)*(economics!$D$2:$D$167="process")*economics!$AH$2:$AH$167*(_xlfn.NORM.DIST(AC$3,economics!$AK$2:$AK$167,economics!$AJ$2:$AJ$167,TRUE)-_xlfn.NORM.DIST(AC$30,economics!$AK$2:$AK$167,economics!$AJ$2:$AJ$167,TRUE))*economics!$AM$2:$AM$167))/(SUMPRODUCT((economics!$AG$2:$AG$167=$B52)*(economics!$D$2:$D$167="process")*economics!$AH$2:$AH$167*(_xlfn.NORM.DIST(AC$3,economics!$AK$2:$AK$167,economics!$AJ$2:$AJ$167,TRUE)-_xlfn.NORM.DIST(AC$30,economics!$AK$2:$AK$167,economics!$AJ$2:$AJ$167,TRUE)))),"")</f>
        <v/>
      </c>
      <c r="AD52">
        <f t="array" ref="AD52">IFERROR((SUMPRODUCT((economics!$AG$2:$AG$167=$B52)*(economics!$D$2:$D$167="process")*economics!$AH$2:$AH$167*(_xlfn.NORM.DIST(AD$3,economics!$AK$2:$AK$167,economics!$AJ$2:$AJ$167,TRUE)-_xlfn.NORM.DIST(AD$30,economics!$AK$2:$AK$167,economics!$AJ$2:$AJ$167,TRUE))*economics!$AM$2:$AM$167))/(SUMPRODUCT((economics!$AG$2:$AG$167=$B52)*(economics!$D$2:$D$167="process")*economics!$AH$2:$AH$167*(_xlfn.NORM.DIST(AD$3,economics!$AK$2:$AK$167,economics!$AJ$2:$AJ$167,TRUE)-_xlfn.NORM.DIST(AD$30,economics!$AK$2:$AK$167,economics!$AJ$2:$AJ$167,TRUE)))),"")</f>
        <v/>
      </c>
      <c r="AE52">
        <f t="array" ref="AE52">IFERROR((SUMPRODUCT((economics!$AG$2:$AG$167=$B52)*(economics!$D$2:$D$167="process")*economics!$AH$2:$AH$167*(_xlfn.NORM.DIST(AE$3,economics!$AK$2:$AK$167,economics!$AJ$2:$AJ$167,TRUE)-_xlfn.NORM.DIST(AE$30,economics!$AK$2:$AK$167,economics!$AJ$2:$AJ$167,TRUE))*economics!$AM$2:$AM$167))/(SUMPRODUCT((economics!$AG$2:$AG$167=$B52)*(economics!$D$2:$D$167="process")*economics!$AH$2:$AH$167*(_xlfn.NORM.DIST(AE$3,economics!$AK$2:$AK$167,economics!$AJ$2:$AJ$167,TRUE)-_xlfn.NORM.DIST(AE$30,economics!$AK$2:$AK$167,economics!$AJ$2:$AJ$167,TRUE)))),"")</f>
        <v/>
      </c>
      <c r="AF52">
        <f t="array" ref="AF52">IFERROR((SUMPRODUCT((economics!$AG$2:$AG$167=$B52)*(economics!$D$2:$D$167="process")*economics!$AH$2:$AH$167*(_xlfn.NORM.DIST(AF$3,economics!$AK$2:$AK$167,economics!$AJ$2:$AJ$167,TRUE)-_xlfn.NORM.DIST(AF$30,economics!$AK$2:$AK$167,economics!$AJ$2:$AJ$167,TRUE))*economics!$AM$2:$AM$167))/(SUMPRODUCT((economics!$AG$2:$AG$167=$B52)*(economics!$D$2:$D$167="process")*economics!$AH$2:$AH$167*(_xlfn.NORM.DIST(AF$3,economics!$AK$2:$AK$167,economics!$AJ$2:$AJ$167,TRUE)-_xlfn.NORM.DIST(AF$30,economics!$AK$2:$AK$167,economics!$AJ$2:$AJ$167,TRUE)))),"")</f>
        <v/>
      </c>
      <c r="AG52">
        <f t="array" ref="AG52">IFERROR((SUMPRODUCT((economics!$AG$2:$AG$167=$B52)*(economics!$D$2:$D$167="process")*economics!$AH$2:$AH$167*(_xlfn.NORM.DIST(AG$3,economics!$AK$2:$AK$167,economics!$AJ$2:$AJ$167,TRUE)-_xlfn.NORM.DIST(AG$30,economics!$AK$2:$AK$167,economics!$AJ$2:$AJ$167,TRUE))*economics!$AM$2:$AM$167))/(SUMPRODUCT((economics!$AG$2:$AG$167=$B52)*(economics!$D$2:$D$167="process")*economics!$AH$2:$AH$167*(_xlfn.NORM.DIST(AG$3,economics!$AK$2:$AK$167,economics!$AJ$2:$AJ$167,TRUE)-_xlfn.NORM.DIST(AG$30,economics!$AK$2:$AK$167,economics!$AJ$2:$AJ$167,TRUE)))),"")</f>
        <v/>
      </c>
      <c r="AH52">
        <f t="array" ref="AH52">IFERROR((SUMPRODUCT((economics!$AG$2:$AG$167=$B52)*(economics!$D$2:$D$167="process")*economics!$AH$2:$AH$167*(_xlfn.NORM.DIST(AH$3,economics!$AK$2:$AK$167,economics!$AJ$2:$AJ$167,TRUE)-_xlfn.NORM.DIST(AH$30,economics!$AK$2:$AK$167,economics!$AJ$2:$AJ$167,TRUE))*economics!$AM$2:$AM$167))/(SUMPRODUCT((economics!$AG$2:$AG$167=$B52)*(economics!$D$2:$D$167="process")*economics!$AH$2:$AH$167*(_xlfn.NORM.DIST(AH$3,economics!$AK$2:$AK$167,economics!$AJ$2:$AJ$167,TRUE)-_xlfn.NORM.DIST(AH$30,economics!$AK$2:$AK$167,economics!$AJ$2:$AJ$167,TRUE)))),"")</f>
        <v/>
      </c>
      <c r="AI52">
        <f t="array" ref="AI52">IFERROR((SUMPRODUCT((economics!$AG$2:$AG$167=$B52)*(economics!$D$2:$D$167="process")*economics!$AH$2:$AH$167*(_xlfn.NORM.DIST(AI$3,economics!$AK$2:$AK$167,economics!$AJ$2:$AJ$167,TRUE)-_xlfn.NORM.DIST(AI$30,economics!$AK$2:$AK$167,economics!$AJ$2:$AJ$167,TRUE))*economics!$AM$2:$AM$167))/(SUMPRODUCT((economics!$AG$2:$AG$167=$B52)*(economics!$D$2:$D$167="process")*economics!$AH$2:$AH$167*(_xlfn.NORM.DIST(AI$3,economics!$AK$2:$AK$167,economics!$AJ$2:$AJ$167,TRUE)-_xlfn.NORM.DIST(AI$30,economics!$AK$2:$AK$167,economics!$AJ$2:$AJ$167,TRUE)))),"")</f>
        <v/>
      </c>
      <c r="AJ52">
        <f t="array" ref="AJ52">IFERROR((SUMPRODUCT((economics!$AG$2:$AG$167=$B52)*(economics!$D$2:$D$167="process")*economics!$AH$2:$AH$167*(_xlfn.NORM.DIST(AJ$3,economics!$AK$2:$AK$167,economics!$AJ$2:$AJ$167,TRUE)-_xlfn.NORM.DIST(AJ$30,economics!$AK$2:$AK$167,economics!$AJ$2:$AJ$167,TRUE))*economics!$AM$2:$AM$167))/(SUMPRODUCT((economics!$AG$2:$AG$167=$B52)*(economics!$D$2:$D$167="process")*economics!$AH$2:$AH$167*(_xlfn.NORM.DIST(AJ$3,economics!$AK$2:$AK$167,economics!$AJ$2:$AJ$167,TRUE)-_xlfn.NORM.DIST(AJ$30,economics!$AK$2:$AK$167,economics!$AJ$2:$AJ$167,TRUE)))),"")</f>
        <v/>
      </c>
      <c r="AK52">
        <f t="array" ref="AK52">IFERROR((SUMPRODUCT((economics!$AG$2:$AG$167=$B52)*(economics!$D$2:$D$167="process")*economics!$AH$2:$AH$167*(_xlfn.NORM.DIST(AK$3,economics!$AK$2:$AK$167,economics!$AJ$2:$AJ$167,TRUE)-_xlfn.NORM.DIST(AK$30,economics!$AK$2:$AK$167,economics!$AJ$2:$AJ$167,TRUE))*economics!$AM$2:$AM$167))/(SUMPRODUCT((economics!$AG$2:$AG$167=$B52)*(economics!$D$2:$D$167="process")*economics!$AH$2:$AH$167*(_xlfn.NORM.DIST(AK$3,economics!$AK$2:$AK$167,economics!$AJ$2:$AJ$167,TRUE)-_xlfn.NORM.DIST(AK$30,economics!$AK$2:$AK$167,economics!$AJ$2:$AJ$167,TRUE)))),"")</f>
        <v/>
      </c>
      <c r="AL52">
        <f t="array" ref="AL52">IFERROR((SUMPRODUCT((economics!$AG$2:$AG$167=$B52)*(economics!$D$2:$D$167="process")*economics!$AH$2:$AH$167*(_xlfn.NORM.DIST(AL$3,economics!$AK$2:$AK$167,economics!$AJ$2:$AJ$167,TRUE)-_xlfn.NORM.DIST(AL$30,economics!$AK$2:$AK$167,economics!$AJ$2:$AJ$167,TRUE))*economics!$AM$2:$AM$167))/(SUMPRODUCT((economics!$AG$2:$AG$167=$B52)*(economics!$D$2:$D$167="process")*economics!$AH$2:$AH$167*(_xlfn.NORM.DIST(AL$3,economics!$AK$2:$AK$167,economics!$AJ$2:$AJ$167,TRUE)-_xlfn.NORM.DIST(AL$30,economics!$AK$2:$AK$167,economics!$AJ$2:$AJ$167,TRUE)))),"")</f>
        <v/>
      </c>
      <c r="AM52">
        <f t="array" ref="AM52">IFERROR((SUMPRODUCT((economics!$AG$2:$AG$167=$B52)*(economics!$D$2:$D$167="process")*economics!$AH$2:$AH$167*(_xlfn.NORM.DIST(AM$3,economics!$AK$2:$AK$167,economics!$AJ$2:$AJ$167,TRUE)-_xlfn.NORM.DIST(AM$30,economics!$AK$2:$AK$167,economics!$AJ$2:$AJ$167,TRUE))*economics!$AM$2:$AM$167))/(SUMPRODUCT((economics!$AG$2:$AG$167=$B52)*(economics!$D$2:$D$167="process")*economics!$AH$2:$AH$167*(_xlfn.NORM.DIST(AM$3,economics!$AK$2:$AK$167,economics!$AJ$2:$AJ$167,TRUE)-_xlfn.NORM.DIST(AM$30,economics!$AK$2:$AK$167,economics!$AJ$2:$AJ$167,TRUE)))),"")</f>
        <v/>
      </c>
      <c r="AN52">
        <f t="array" ref="AN52">IFERROR((SUMPRODUCT((economics!$AG$2:$AG$167=$B52)*(economics!$D$2:$D$167="process")*economics!$AH$2:$AH$167*(_xlfn.NORM.DIST(AN$3,economics!$AK$2:$AK$167,economics!$AJ$2:$AJ$167,TRUE)-_xlfn.NORM.DIST(AN$30,economics!$AK$2:$AK$167,economics!$AJ$2:$AJ$167,TRUE))*economics!$AM$2:$AM$167))/(SUMPRODUCT((economics!$AG$2:$AG$167=$B52)*(economics!$D$2:$D$167="process")*economics!$AH$2:$AH$167*(_xlfn.NORM.DIST(AN$3,economics!$AK$2:$AK$167,economics!$AJ$2:$AJ$167,TRUE)-_xlfn.NORM.DIST(AN$30,economics!$AK$2:$AK$167,economics!$AJ$2:$AJ$167,TRUE)))),"")</f>
        <v/>
      </c>
      <c r="AO52">
        <f t="array" ref="AO52">IFERROR((SUMPRODUCT((economics!$AG$2:$AG$167=$B52)*(economics!$D$2:$D$167="process")*economics!$AH$2:$AH$167*(_xlfn.NORM.DIST(AO$3,economics!$AK$2:$AK$167,economics!$AJ$2:$AJ$167,TRUE)-_xlfn.NORM.DIST(AO$30,economics!$AK$2:$AK$167,economics!$AJ$2:$AJ$167,TRUE))*economics!$AM$2:$AM$167))/(SUMPRODUCT((economics!$AG$2:$AG$167=$B52)*(economics!$D$2:$D$167="process")*economics!$AH$2:$AH$167*(_xlfn.NORM.DIST(AO$3,economics!$AK$2:$AK$167,economics!$AJ$2:$AJ$167,TRUE)-_xlfn.NORM.DIST(AO$30,economics!$AK$2:$AK$167,economics!$AJ$2:$AJ$167,TRUE)))),"")</f>
        <v/>
      </c>
      <c r="AP52">
        <f t="array" ref="AP52">IFERROR((SUMPRODUCT((economics!$AG$2:$AG$167=$B52)*(economics!$D$2:$D$167="process")*economics!$AH$2:$AH$167*(_xlfn.NORM.DIST(AP$3,economics!$AK$2:$AK$167,economics!$AJ$2:$AJ$167,TRUE)-_xlfn.NORM.DIST(AP$30,economics!$AK$2:$AK$167,economics!$AJ$2:$AJ$167,TRUE))*economics!$AM$2:$AM$167))/(SUMPRODUCT((economics!$AG$2:$AG$167=$B52)*(economics!$D$2:$D$167="process")*economics!$AH$2:$AH$167*(_xlfn.NORM.DIST(AP$3,economics!$AK$2:$AK$167,economics!$AJ$2:$AJ$167,TRUE)-_xlfn.NORM.DIST(AP$30,economics!$AK$2:$AK$167,economics!$AJ$2:$AJ$167,TRUE)))),"")</f>
        <v/>
      </c>
      <c r="AQ52">
        <f t="array" ref="AQ52">IFERROR((SUMPRODUCT((economics!$AG$2:$AG$167=$B52)*(economics!$D$2:$D$167="process")*economics!$AH$2:$AH$167*(_xlfn.NORM.DIST(AQ$3,economics!$AK$2:$AK$167,economics!$AJ$2:$AJ$167,TRUE)-_xlfn.NORM.DIST(AQ$30,economics!$AK$2:$AK$167,economics!$AJ$2:$AJ$167,TRUE))*economics!$AM$2:$AM$167))/(SUMPRODUCT((economics!$AG$2:$AG$167=$B52)*(economics!$D$2:$D$167="process")*economics!$AH$2:$AH$167*(_xlfn.NORM.DIST(AQ$3,economics!$AK$2:$AK$167,economics!$AJ$2:$AJ$167,TRUE)-_xlfn.NORM.DIST(AQ$30,economics!$AK$2:$AK$167,economics!$AJ$2:$AJ$167,TRUE)))),"")</f>
        <v/>
      </c>
      <c r="AR52">
        <f t="array" ref="AR52">IFERROR((SUMPRODUCT((economics!$AG$2:$AG$167=$B52)*(economics!$D$2:$D$167="process")*economics!$AH$2:$AH$167*(_xlfn.NORM.DIST(AR$3,economics!$AK$2:$AK$167,economics!$AJ$2:$AJ$167,TRUE)-_xlfn.NORM.DIST(AR$30,economics!$AK$2:$AK$167,economics!$AJ$2:$AJ$167,TRUE))*economics!$AM$2:$AM$167))/(SUMPRODUCT((economics!$AG$2:$AG$167=$B52)*(economics!$D$2:$D$167="process")*economics!$AH$2:$AH$167*(_xlfn.NORM.DIST(AR$3,economics!$AK$2:$AK$167,economics!$AJ$2:$AJ$167,TRUE)-_xlfn.NORM.DIST(AR$30,economics!$AK$2:$AK$167,economics!$AJ$2:$AJ$167,TRUE)))),"")</f>
        <v/>
      </c>
      <c r="AS52">
        <f t="array" ref="AS52">IFERROR((SUMPRODUCT((economics!$AG$2:$AG$167=$B52)*(economics!$D$2:$D$167="process")*economics!$AH$2:$AH$167*(_xlfn.NORM.DIST(AS$3,economics!$AK$2:$AK$167,economics!$AJ$2:$AJ$167,TRUE)-_xlfn.NORM.DIST(AS$30,economics!$AK$2:$AK$167,economics!$AJ$2:$AJ$167,TRUE))*economics!$AM$2:$AM$167))/(SUMPRODUCT((economics!$AG$2:$AG$167=$B52)*(economics!$D$2:$D$167="process")*economics!$AH$2:$AH$167*(_xlfn.NORM.DIST(AS$3,economics!$AK$2:$AK$167,economics!$AJ$2:$AJ$167,TRUE)-_xlfn.NORM.DIST(AS$30,economics!$AK$2:$AK$167,economics!$AJ$2:$AJ$167,TRUE)))),"")</f>
        <v/>
      </c>
      <c r="AT52">
        <f t="array" ref="AT52">IFERROR((SUMPRODUCT((economics!$AG$2:$AG$167=$B52)*(economics!$D$2:$D$167="process")*economics!$AH$2:$AH$167*(_xlfn.NORM.DIST(AT$3,economics!$AK$2:$AK$167,economics!$AJ$2:$AJ$167,TRUE)-_xlfn.NORM.DIST(AT$30,economics!$AK$2:$AK$167,economics!$AJ$2:$AJ$167,TRUE))*economics!$AM$2:$AM$167))/(SUMPRODUCT((economics!$AG$2:$AG$167=$B52)*(economics!$D$2:$D$167="process")*economics!$AH$2:$AH$167*(_xlfn.NORM.DIST(AT$3,economics!$AK$2:$AK$167,economics!$AJ$2:$AJ$167,TRUE)-_xlfn.NORM.DIST(AT$30,economics!$AK$2:$AK$167,economics!$AJ$2:$AJ$167,TRUE)))),"")</f>
        <v/>
      </c>
      <c r="AU52">
        <f t="array" ref="AU52">IFERROR((SUMPRODUCT((economics!$AG$2:$AG$167=$B52)*(economics!$D$2:$D$167="process")*economics!$AH$2:$AH$167*(_xlfn.NORM.DIST(AU$3,economics!$AK$2:$AK$167,economics!$AJ$2:$AJ$167,TRUE)-_xlfn.NORM.DIST(AU$30,economics!$AK$2:$AK$167,economics!$AJ$2:$AJ$167,TRUE))*economics!$AM$2:$AM$167))/(SUMPRODUCT((economics!$AG$2:$AG$167=$B52)*(economics!$D$2:$D$167="process")*economics!$AH$2:$AH$167*(_xlfn.NORM.DIST(AU$3,economics!$AK$2:$AK$167,economics!$AJ$2:$AJ$167,TRUE)-_xlfn.NORM.DIST(AU$30,economics!$AK$2:$AK$167,economics!$AJ$2:$AJ$167,TRUE)))),"")</f>
        <v/>
      </c>
      <c r="AV52">
        <f t="array" ref="AV52">IFERROR((SUMPRODUCT((economics!$AG$2:$AG$167=$B52)*(economics!$D$2:$D$167="process")*economics!$AH$2:$AH$167*(_xlfn.NORM.DIST(AV$3,economics!$AK$2:$AK$167,economics!$AJ$2:$AJ$167,TRUE)-_xlfn.NORM.DIST(AV$30,economics!$AK$2:$AK$167,economics!$AJ$2:$AJ$167,TRUE))*economics!$AM$2:$AM$167))/(SUMPRODUCT((economics!$AG$2:$AG$167=$B52)*(economics!$D$2:$D$167="process")*economics!$AH$2:$AH$167*(_xlfn.NORM.DIST(AV$3,economics!$AK$2:$AK$167,economics!$AJ$2:$AJ$167,TRUE)-_xlfn.NORM.DIST(AV$30,economics!$AK$2:$AK$167,economics!$AJ$2:$AJ$167,TRUE)))),"")</f>
        <v/>
      </c>
      <c r="AW52">
        <f t="array" ref="AW52">IFERROR((SUMPRODUCT((economics!$AG$2:$AG$167=$B52)*(economics!$D$2:$D$167="process")*economics!$AH$2:$AH$167*(_xlfn.NORM.DIST(AW$3,economics!$AK$2:$AK$167,economics!$AJ$2:$AJ$167,TRUE)-_xlfn.NORM.DIST(AW$30,economics!$AK$2:$AK$167,economics!$AJ$2:$AJ$167,TRUE))*economics!$AM$2:$AM$167))/(SUMPRODUCT((economics!$AG$2:$AG$167=$B52)*(economics!$D$2:$D$167="process")*economics!$AH$2:$AH$167*(_xlfn.NORM.DIST(AW$3,economics!$AK$2:$AK$167,economics!$AJ$2:$AJ$167,TRUE)-_xlfn.NORM.DIST(AW$30,economics!$AK$2:$AK$167,economics!$AJ$2:$AJ$167,TRUE)))),"")</f>
        <v/>
      </c>
      <c r="AX52">
        <f t="array" ref="AX52">IFERROR((SUMPRODUCT((economics!$AG$2:$AG$167=$B52)*(economics!$D$2:$D$167="process")*economics!$AH$2:$AH$167*(_xlfn.NORM.DIST(AX$3,economics!$AK$2:$AK$167,economics!$AJ$2:$AJ$167,TRUE)-_xlfn.NORM.DIST(AX$30,economics!$AK$2:$AK$167,economics!$AJ$2:$AJ$167,TRUE))*economics!$AM$2:$AM$167))/(SUMPRODUCT((economics!$AG$2:$AG$167=$B52)*(economics!$D$2:$D$167="process")*economics!$AH$2:$AH$167*(_xlfn.NORM.DIST(AX$3,economics!$AK$2:$AK$167,economics!$AJ$2:$AJ$167,TRUE)-_xlfn.NORM.DIST(AX$30,economics!$AK$2:$AK$167,economics!$AJ$2:$AJ$167,TRUE)))),"")</f>
        <v/>
      </c>
      <c r="AY52">
        <f t="array" ref="AY52">IFERROR((SUMPRODUCT((economics!$AG$2:$AG$167=$B52)*(economics!$D$2:$D$167="process")*economics!$AH$2:$AH$167*(_xlfn.NORM.DIST(AY$3,economics!$AK$2:$AK$167,economics!$AJ$2:$AJ$167,TRUE)-_xlfn.NORM.DIST(AY$30,economics!$AK$2:$AK$167,economics!$AJ$2:$AJ$167,TRUE))*economics!$AM$2:$AM$167))/(SUMPRODUCT((economics!$AG$2:$AG$167=$B52)*(economics!$D$2:$D$167="process")*economics!$AH$2:$AH$167*(_xlfn.NORM.DIST(AY$3,economics!$AK$2:$AK$167,economics!$AJ$2:$AJ$167,TRUE)-_xlfn.NORM.DIST(AY$30,economics!$AK$2:$AK$167,economics!$AJ$2:$AJ$167,TRUE)))),"")</f>
        <v/>
      </c>
      <c r="AZ52">
        <f t="array" ref="AZ52">IFERROR((SUMPRODUCT((economics!$AG$2:$AG$167=$B52)*(economics!$D$2:$D$167="process")*economics!$AH$2:$AH$167*(_xlfn.NORM.DIST(AZ$3,economics!$AK$2:$AK$167,economics!$AJ$2:$AJ$167,TRUE)-_xlfn.NORM.DIST(AZ$30,economics!$AK$2:$AK$167,economics!$AJ$2:$AJ$167,TRUE))*economics!$AM$2:$AM$167))/(SUMPRODUCT((economics!$AG$2:$AG$167=$B52)*(economics!$D$2:$D$167="process")*economics!$AH$2:$AH$167*(_xlfn.NORM.DIST(AZ$3,economics!$AK$2:$AK$167,economics!$AJ$2:$AJ$167,TRUE)-_xlfn.NORM.DIST(AZ$30,economics!$AK$2:$AK$167,economics!$AJ$2:$AJ$167,TRUE)))),"")</f>
        <v/>
      </c>
      <c r="BA52">
        <f t="array" ref="BA52">IFERROR((SUMPRODUCT((economics!$AG$2:$AG$167=$B52)*(economics!$D$2:$D$167="process")*economics!$AH$2:$AH$167*(_xlfn.NORM.DIST(BA$3,economics!$AK$2:$AK$167,economics!$AJ$2:$AJ$167,TRUE)-_xlfn.NORM.DIST(BA$30,economics!$AK$2:$AK$167,economics!$AJ$2:$AJ$167,TRUE))*economics!$AM$2:$AM$167))/(SUMPRODUCT((economics!$AG$2:$AG$167=$B52)*(economics!$D$2:$D$167="process")*economics!$AH$2:$AH$167*(_xlfn.NORM.DIST(BA$3,economics!$AK$2:$AK$167,economics!$AJ$2:$AJ$167,TRUE)-_xlfn.NORM.DIST(BA$30,economics!$AK$2:$AK$167,economics!$AJ$2:$AJ$167,TRUE)))),"")</f>
        <v/>
      </c>
      <c r="BB52">
        <f t="array" ref="BB52">IFERROR((SUMPRODUCT((economics!$AG$2:$AG$167=$B52)*(economics!$D$2:$D$167="process")*economics!$AH$2:$AH$167*(_xlfn.NORM.DIST(BB$3,economics!$AK$2:$AK$167,economics!$AJ$2:$AJ$167,TRUE)-_xlfn.NORM.DIST(BB$30,economics!$AK$2:$AK$167,economics!$AJ$2:$AJ$167,TRUE))*economics!$AM$2:$AM$167))/(SUMPRODUCT((economics!$AG$2:$AG$167=$B52)*(economics!$D$2:$D$167="process")*economics!$AH$2:$AH$167*(_xlfn.NORM.DIST(BB$3,economics!$AK$2:$AK$167,economics!$AJ$2:$AJ$167,TRUE)-_xlfn.NORM.DIST(BB$30,economics!$AK$2:$AK$167,economics!$AJ$2:$AJ$167,TRUE)))),"")</f>
        <v/>
      </c>
      <c r="BC52">
        <f t="array" ref="BC52">IFERROR((SUMPRODUCT((economics!$AG$2:$AG$167=$B52)*(economics!$D$2:$D$167="process")*economics!$AH$2:$AH$167*(_xlfn.NORM.DIST(BC$3,economics!$AK$2:$AK$167,economics!$AJ$2:$AJ$167,TRUE)-_xlfn.NORM.DIST(BC$30,economics!$AK$2:$AK$167,economics!$AJ$2:$AJ$167,TRUE))*economics!$AM$2:$AM$167))/(SUMPRODUCT((economics!$AG$2:$AG$167=$B52)*(economics!$D$2:$D$167="process")*economics!$AH$2:$AH$167*(_xlfn.NORM.DIST(BC$3,economics!$AK$2:$AK$167,economics!$AJ$2:$AJ$167,TRUE)-_xlfn.NORM.DIST(BC$30,economics!$AK$2:$AK$167,economics!$AJ$2:$AJ$167,TRUE)))),"")</f>
        <v/>
      </c>
      <c r="BD52">
        <f t="array" ref="BD52">IFERROR((SUMPRODUCT((economics!$AG$2:$AG$167=$B52)*(economics!$D$2:$D$167="process")*economics!$AH$2:$AH$167*(_xlfn.NORM.DIST(BD$3,economics!$AK$2:$AK$167,economics!$AJ$2:$AJ$167,TRUE)-_xlfn.NORM.DIST(BD$30,economics!$AK$2:$AK$167,economics!$AJ$2:$AJ$167,TRUE))*economics!$AM$2:$AM$167))/(SUMPRODUCT((economics!$AG$2:$AG$167=$B52)*(economics!$D$2:$D$167="process")*economics!$AH$2:$AH$167*(_xlfn.NORM.DIST(BD$3,economics!$AK$2:$AK$167,economics!$AJ$2:$AJ$167,TRUE)-_xlfn.NORM.DIST(BD$30,economics!$AK$2:$AK$167,economics!$AJ$2:$AJ$167,TRUE)))),"")</f>
        <v/>
      </c>
      <c r="BE52">
        <f t="array" ref="BE52">IFERROR((SUMPRODUCT((economics!$AG$2:$AG$167=$B52)*(economics!$D$2:$D$167="process")*economics!$AH$2:$AH$167*(_xlfn.NORM.DIST(BE$3,economics!$AK$2:$AK$167,economics!$AJ$2:$AJ$167,TRUE)-_xlfn.NORM.DIST(BE$30,economics!$AK$2:$AK$167,economics!$AJ$2:$AJ$167,TRUE))*economics!$AM$2:$AM$167))/(SUMPRODUCT((economics!$AG$2:$AG$167=$B52)*(economics!$D$2:$D$167="process")*economics!$AH$2:$AH$167*(_xlfn.NORM.DIST(BE$3,economics!$AK$2:$AK$167,economics!$AJ$2:$AJ$167,TRUE)-_xlfn.NORM.DIST(BE$30,economics!$AK$2:$AK$167,economics!$AJ$2:$AJ$167,TRUE)))),"")</f>
        <v/>
      </c>
      <c r="BF52">
        <f t="array" ref="BF52">IFERROR((SUMPRODUCT((economics!$AG$2:$AG$167=$B52)*(economics!$D$2:$D$167="process")*economics!$AH$2:$AH$167*(_xlfn.NORM.DIST(BF$3,economics!$AK$2:$AK$167,economics!$AJ$2:$AJ$167,TRUE)-_xlfn.NORM.DIST(BF$30,economics!$AK$2:$AK$167,economics!$AJ$2:$AJ$167,TRUE))*economics!$AM$2:$AM$167))/(SUMPRODUCT((economics!$AG$2:$AG$167=$B52)*(economics!$D$2:$D$167="process")*economics!$AH$2:$AH$167*(_xlfn.NORM.DIST(BF$3,economics!$AK$2:$AK$167,economics!$AJ$2:$AJ$167,TRUE)-_xlfn.NORM.DIST(BF$30,economics!$AK$2:$AK$167,economics!$AJ$2:$AJ$167,TRUE)))),"")</f>
        <v/>
      </c>
      <c r="BG52">
        <f t="array" ref="BG52">IFERROR((SUMPRODUCT((economics!$AG$2:$AG$167=$B52)*(economics!$D$2:$D$167="process")*economics!$AH$2:$AH$167*(_xlfn.NORM.DIST(BG$3,economics!$AK$2:$AK$167,economics!$AJ$2:$AJ$167,TRUE)-_xlfn.NORM.DIST(BG$30,economics!$AK$2:$AK$167,economics!$AJ$2:$AJ$167,TRUE))*economics!$AM$2:$AM$167))/(SUMPRODUCT((economics!$AG$2:$AG$167=$B52)*(economics!$D$2:$D$167="process")*economics!$AH$2:$AH$167*(_xlfn.NORM.DIST(BG$3,economics!$AK$2:$AK$167,economics!$AJ$2:$AJ$167,TRUE)-_xlfn.NORM.DIST(BG$30,economics!$AK$2:$AK$167,economics!$AJ$2:$AJ$167,TRUE)))),"")</f>
        <v/>
      </c>
      <c r="BH52">
        <f t="array" ref="BH52">IFERROR((SUMPRODUCT((economics!$AG$2:$AG$167=$B52)*(economics!$D$2:$D$167="process")*economics!$AH$2:$AH$167*(_xlfn.NORM.DIST(BH$3,economics!$AK$2:$AK$167,economics!$AJ$2:$AJ$167,TRUE)-_xlfn.NORM.DIST(BH$30,economics!$AK$2:$AK$167,economics!$AJ$2:$AJ$167,TRUE))*economics!$AM$2:$AM$167))/(SUMPRODUCT((economics!$AG$2:$AG$167=$B52)*(economics!$D$2:$D$167="process")*economics!$AH$2:$AH$167*(_xlfn.NORM.DIST(BH$3,economics!$AK$2:$AK$167,economics!$AJ$2:$AJ$167,TRUE)-_xlfn.NORM.DIST(BH$30,economics!$AK$2:$AK$167,economics!$AJ$2:$AJ$167,TRUE)))),"")</f>
        <v/>
      </c>
      <c r="BI52">
        <f t="array" ref="BI52">IFERROR((SUMPRODUCT((economics!$AG$2:$AG$167=$B52)*(economics!$D$2:$D$167="process")*economics!$AH$2:$AH$167*(_xlfn.NORM.DIST(BI$3,economics!$AK$2:$AK$167,economics!$AJ$2:$AJ$167,TRUE)-_xlfn.NORM.DIST(BI$30,economics!$AK$2:$AK$167,economics!$AJ$2:$AJ$167,TRUE))*economics!$AM$2:$AM$167))/(SUMPRODUCT((economics!$AG$2:$AG$167=$B52)*(economics!$D$2:$D$167="process")*economics!$AH$2:$AH$167*(_xlfn.NORM.DIST(BI$3,economics!$AK$2:$AK$167,economics!$AJ$2:$AJ$167,TRUE)-_xlfn.NORM.DIST(BI$30,economics!$AK$2:$AK$167,economics!$AJ$2:$AJ$167,TRUE)))),"")</f>
        <v/>
      </c>
      <c r="BJ52">
        <f t="array" ref="BJ52">IFERROR((SUMPRODUCT((economics!$AG$2:$AG$167=$B52)*(economics!$D$2:$D$167="process")*economics!$AH$2:$AH$167*(_xlfn.NORM.DIST(BJ$3,economics!$AK$2:$AK$167,economics!$AJ$2:$AJ$167,TRUE)-_xlfn.NORM.DIST(BJ$30,economics!$AK$2:$AK$167,economics!$AJ$2:$AJ$167,TRUE))*economics!$AM$2:$AM$167))/(SUMPRODUCT((economics!$AG$2:$AG$167=$B52)*(economics!$D$2:$D$167="process")*economics!$AH$2:$AH$167*(_xlfn.NORM.DIST(BJ$3,economics!$AK$2:$AK$167,economics!$AJ$2:$AJ$167,TRUE)-_xlfn.NORM.DIST(BJ$30,economics!$AK$2:$AK$167,economics!$AJ$2:$AJ$167,TRUE)))),"")</f>
        <v/>
      </c>
      <c r="BK52">
        <f t="array" ref="BK52">IFERROR((SUMPRODUCT((economics!$AG$2:$AG$167=$B52)*(economics!$D$2:$D$167="process")*economics!$AH$2:$AH$167*(_xlfn.NORM.DIST(BK$3,economics!$AK$2:$AK$167,economics!$AJ$2:$AJ$167,TRUE)-_xlfn.NORM.DIST(BK$30,economics!$AK$2:$AK$167,economics!$AJ$2:$AJ$167,TRUE))*economics!$AM$2:$AM$167))/(SUMPRODUCT((economics!$AG$2:$AG$167=$B52)*(economics!$D$2:$D$167="process")*economics!$AH$2:$AH$167*(_xlfn.NORM.DIST(BK$3,economics!$AK$2:$AK$167,economics!$AJ$2:$AJ$167,TRUE)-_xlfn.NORM.DIST(BK$30,economics!$AK$2:$AK$167,economics!$AJ$2:$AJ$167,TRUE)))),"")</f>
        <v/>
      </c>
      <c r="BL52">
        <f t="array" ref="BL52">IFERROR((SUMPRODUCT((economics!$AG$2:$AG$167=$B52)*(economics!$D$2:$D$167="process")*economics!$AH$2:$AH$167*(_xlfn.NORM.DIST(BL$3,economics!$AK$2:$AK$167,economics!$AJ$2:$AJ$167,TRUE)-_xlfn.NORM.DIST(BL$30,economics!$AK$2:$AK$167,economics!$AJ$2:$AJ$167,TRUE))*economics!$AM$2:$AM$167))/(SUMPRODUCT((economics!$AG$2:$AG$167=$B52)*(economics!$D$2:$D$167="process")*economics!$AH$2:$AH$167*(_xlfn.NORM.DIST(BL$3,economics!$AK$2:$AK$167,economics!$AJ$2:$AJ$167,TRUE)-_xlfn.NORM.DIST(BL$30,economics!$AK$2:$AK$167,economics!$AJ$2:$AJ$167,TRUE)))),"")</f>
        <v/>
      </c>
      <c r="BM52">
        <f t="array" ref="BM52">IFERROR((SUMPRODUCT((economics!$AG$2:$AG$167=$B52)*(economics!$D$2:$D$167="process")*economics!$AH$2:$AH$167*(_xlfn.NORM.DIST(BM$3,economics!$AK$2:$AK$167,economics!$AJ$2:$AJ$167,TRUE)-_xlfn.NORM.DIST(BM$30,economics!$AK$2:$AK$167,economics!$AJ$2:$AJ$167,TRUE))*economics!$AM$2:$AM$167))/(SUMPRODUCT((economics!$AG$2:$AG$167=$B52)*(economics!$D$2:$D$167="process")*economics!$AH$2:$AH$167*(_xlfn.NORM.DIST(BM$3,economics!$AK$2:$AK$167,economics!$AJ$2:$AJ$167,TRUE)-_xlfn.NORM.DIST(BM$30,economics!$AK$2:$AK$167,economics!$AJ$2:$AJ$167,TRUE)))),"")</f>
        <v/>
      </c>
      <c r="BN52">
        <f t="array" ref="BN52">IFERROR((SUMPRODUCT((economics!$AG$2:$AG$167=$B52)*(economics!$D$2:$D$167="process")*economics!$AH$2:$AH$167*(_xlfn.NORM.DIST(BN$3,economics!$AK$2:$AK$167,economics!$AJ$2:$AJ$167,TRUE)-_xlfn.NORM.DIST(BN$30,economics!$AK$2:$AK$167,economics!$AJ$2:$AJ$167,TRUE))*economics!$AM$2:$AM$167))/(SUMPRODUCT((economics!$AG$2:$AG$167=$B52)*(economics!$D$2:$D$167="process")*economics!$AH$2:$AH$167*(_xlfn.NORM.DIST(BN$3,economics!$AK$2:$AK$167,economics!$AJ$2:$AJ$167,TRUE)-_xlfn.NORM.DIST(BN$30,economics!$AK$2:$AK$167,economics!$AJ$2:$AJ$167,TRUE)))),"")</f>
        <v/>
      </c>
      <c r="BO52">
        <f t="array" ref="BO52">IFERROR((SUMPRODUCT((economics!$AG$2:$AG$167=$B52)*(economics!$D$2:$D$167="process")*economics!$AH$2:$AH$167*(_xlfn.NORM.DIST(BO$3,economics!$AK$2:$AK$167,economics!$AJ$2:$AJ$167,TRUE)-_xlfn.NORM.DIST(BO$30,economics!$AK$2:$AK$167,economics!$AJ$2:$AJ$167,TRUE))*economics!$AM$2:$AM$167))/(SUMPRODUCT((economics!$AG$2:$AG$167=$B52)*(economics!$D$2:$D$167="process")*economics!$AH$2:$AH$167*(_xlfn.NORM.DIST(BO$3,economics!$AK$2:$AK$167,economics!$AJ$2:$AJ$167,TRUE)-_xlfn.NORM.DIST(BO$30,economics!$AK$2:$AK$167,economics!$AJ$2:$AJ$167,TRUE)))),"")</f>
        <v/>
      </c>
      <c r="BP52">
        <f t="array" ref="BP52">IFERROR((SUMPRODUCT((economics!$AG$2:$AG$167=$B52)*(economics!$D$2:$D$167="process")*economics!$AH$2:$AH$167*(_xlfn.NORM.DIST(BP$3,economics!$AK$2:$AK$167,economics!$AJ$2:$AJ$167,TRUE)-_xlfn.NORM.DIST(BP$30,economics!$AK$2:$AK$167,economics!$AJ$2:$AJ$167,TRUE))*economics!$AM$2:$AM$167))/(SUMPRODUCT((economics!$AG$2:$AG$167=$B52)*(economics!$D$2:$D$167="process")*economics!$AH$2:$AH$167*(_xlfn.NORM.DIST(BP$3,economics!$AK$2:$AK$167,economics!$AJ$2:$AJ$167,TRUE)-_xlfn.NORM.DIST(BP$30,economics!$AK$2:$AK$167,economics!$AJ$2:$AJ$167,TRUE)))),"")</f>
        <v/>
      </c>
      <c r="BQ52">
        <f t="array" ref="BQ52">IFERROR((SUMPRODUCT((economics!$AG$2:$AG$167=$B52)*(economics!$D$2:$D$167="process")*economics!$AH$2:$AH$167*(_xlfn.NORM.DIST(BQ$3,economics!$AK$2:$AK$167,economics!$AJ$2:$AJ$167,TRUE)-_xlfn.NORM.DIST(BQ$30,economics!$AK$2:$AK$167,economics!$AJ$2:$AJ$167,TRUE))*economics!$AM$2:$AM$167))/(SUMPRODUCT((economics!$AG$2:$AG$167=$B52)*(economics!$D$2:$D$167="process")*economics!$AH$2:$AH$167*(_xlfn.NORM.DIST(BQ$3,economics!$AK$2:$AK$167,economics!$AJ$2:$AJ$167,TRUE)-_xlfn.NORM.DIST(BQ$30,economics!$AK$2:$AK$167,economics!$AJ$2:$AJ$167,TRUE)))),"")</f>
        <v/>
      </c>
      <c r="BR52">
        <f t="array" ref="BR52">IFERROR((SUMPRODUCT((economics!$AG$2:$AG$167=$B52)*(economics!$D$2:$D$167="process")*economics!$AH$2:$AH$167*(_xlfn.NORM.DIST(BR$3,economics!$AK$2:$AK$167,economics!$AJ$2:$AJ$167,TRUE)-_xlfn.NORM.DIST(BR$30,economics!$AK$2:$AK$167,economics!$AJ$2:$AJ$167,TRUE))*economics!$AM$2:$AM$167))/(SUMPRODUCT((economics!$AG$2:$AG$167=$B52)*(economics!$D$2:$D$167="process")*economics!$AH$2:$AH$167*(_xlfn.NORM.DIST(BR$3,economics!$AK$2:$AK$167,economics!$AJ$2:$AJ$167,TRUE)-_xlfn.NORM.DIST(BR$30,economics!$AK$2:$AK$167,economics!$AJ$2:$AJ$167,TRUE)))),"")</f>
        <v/>
      </c>
      <c r="BS52">
        <f t="array" ref="BS52">IFERROR((SUMPRODUCT((economics!$AG$2:$AG$167=$B52)*(economics!$D$2:$D$167="process")*economics!$AH$2:$AH$167*(_xlfn.NORM.DIST(BS$3,economics!$AK$2:$AK$167,economics!$AJ$2:$AJ$167,TRUE)-_xlfn.NORM.DIST(BS$30,economics!$AK$2:$AK$167,economics!$AJ$2:$AJ$167,TRUE))*economics!$AM$2:$AM$167))/(SUMPRODUCT((economics!$AG$2:$AG$167=$B52)*(economics!$D$2:$D$167="process")*economics!$AH$2:$AH$167*(_xlfn.NORM.DIST(BS$3,economics!$AK$2:$AK$167,economics!$AJ$2:$AJ$167,TRUE)-_xlfn.NORM.DIST(BS$30,economics!$AK$2:$AK$167,economics!$AJ$2:$AJ$167,TRUE)))),"")</f>
        <v/>
      </c>
      <c r="BT52">
        <f t="array" ref="BT52">IFERROR((SUMPRODUCT((economics!$AG$2:$AG$167=$B52)*(economics!$D$2:$D$167="process")*economics!$AH$2:$AH$167*(_xlfn.NORM.DIST(BT$3,economics!$AK$2:$AK$167,economics!$AJ$2:$AJ$167,TRUE)-_xlfn.NORM.DIST(BT$30,economics!$AK$2:$AK$167,economics!$AJ$2:$AJ$167,TRUE))*economics!$AM$2:$AM$167))/(SUMPRODUCT((economics!$AG$2:$AG$167=$B52)*(economics!$D$2:$D$167="process")*economics!$AH$2:$AH$167*(_xlfn.NORM.DIST(BT$3,economics!$AK$2:$AK$167,economics!$AJ$2:$AJ$167,TRUE)-_xlfn.NORM.DIST(BT$30,economics!$AK$2:$AK$167,economics!$AJ$2:$AJ$167,TRUE)))),"")</f>
        <v/>
      </c>
      <c r="BU52">
        <f t="array" ref="BU52">IFERROR((SUMPRODUCT((economics!$AG$2:$AG$167=$B52)*(economics!$D$2:$D$167="process")*economics!$AH$2:$AH$167*(_xlfn.NORM.DIST(BU$3,economics!$AK$2:$AK$167,economics!$AJ$2:$AJ$167,TRUE)-_xlfn.NORM.DIST(BU$30,economics!$AK$2:$AK$167,economics!$AJ$2:$AJ$167,TRUE))*economics!$AM$2:$AM$167))/(SUMPRODUCT((economics!$AG$2:$AG$167=$B52)*(economics!$D$2:$D$167="process")*economics!$AH$2:$AH$167*(_xlfn.NORM.DIST(BU$3,economics!$AK$2:$AK$167,economics!$AJ$2:$AJ$167,TRUE)-_xlfn.NORM.DIST(BU$30,economics!$AK$2:$AK$167,economics!$AJ$2:$AJ$167,TRUE)))),"")</f>
        <v/>
      </c>
      <c r="BV52">
        <f t="array" ref="BV52">IFERROR((SUMPRODUCT((economics!$AG$2:$AG$167=$B52)*(economics!$D$2:$D$167="process")*economics!$AH$2:$AH$167*(_xlfn.NORM.DIST(BV$3,economics!$AK$2:$AK$167,economics!$AJ$2:$AJ$167,TRUE)-_xlfn.NORM.DIST(BV$30,economics!$AK$2:$AK$167,economics!$AJ$2:$AJ$167,TRUE))*economics!$AM$2:$AM$167))/(SUMPRODUCT((economics!$AG$2:$AG$167=$B52)*(economics!$D$2:$D$167="process")*economics!$AH$2:$AH$167*(_xlfn.NORM.DIST(BV$3,economics!$AK$2:$AK$167,economics!$AJ$2:$AJ$167,TRUE)-_xlfn.NORM.DIST(BV$30,economics!$AK$2:$AK$167,economics!$AJ$2:$AJ$167,TRUE)))),"")</f>
        <v/>
      </c>
      <c r="BW52">
        <f t="array" ref="BW52">IFERROR((SUMPRODUCT((economics!$AG$2:$AG$167=$B52)*(economics!$D$2:$D$167="process")*economics!$AH$2:$AH$167*(_xlfn.NORM.DIST(BW$3,economics!$AK$2:$AK$167,economics!$AJ$2:$AJ$167,TRUE)-_xlfn.NORM.DIST(BW$30,economics!$AK$2:$AK$167,economics!$AJ$2:$AJ$167,TRUE))*economics!$AM$2:$AM$167))/(SUMPRODUCT((economics!$AG$2:$AG$167=$B52)*(economics!$D$2:$D$167="process")*economics!$AH$2:$AH$167*(_xlfn.NORM.DIST(BW$3,economics!$AK$2:$AK$167,economics!$AJ$2:$AJ$167,TRUE)-_xlfn.NORM.DIST(BW$30,economics!$AK$2:$AK$167,economics!$AJ$2:$AJ$167,TRUE)))),"")</f>
        <v/>
      </c>
      <c r="BX52">
        <f t="array" ref="BX52">IFERROR((SUMPRODUCT((economics!$AG$2:$AG$167=$B52)*(economics!$D$2:$D$167="process")*economics!$AH$2:$AH$167*(_xlfn.NORM.DIST(BX$3,economics!$AK$2:$AK$167,economics!$AJ$2:$AJ$167,TRUE)-_xlfn.NORM.DIST(BX$30,economics!$AK$2:$AK$167,economics!$AJ$2:$AJ$167,TRUE))*economics!$AM$2:$AM$167))/(SUMPRODUCT((economics!$AG$2:$AG$167=$B52)*(economics!$D$2:$D$167="process")*economics!$AH$2:$AH$167*(_xlfn.NORM.DIST(BX$3,economics!$AK$2:$AK$167,economics!$AJ$2:$AJ$167,TRUE)-_xlfn.NORM.DIST(BX$30,economics!$AK$2:$AK$167,economics!$AJ$2:$AJ$167,TRUE)))),"")</f>
        <v/>
      </c>
      <c r="BY52">
        <f t="array" ref="BY52">IFERROR((SUMPRODUCT((economics!$AG$2:$AG$167=$B52)*(economics!$D$2:$D$167="process")*economics!$AH$2:$AH$167*(_xlfn.NORM.DIST(BY$3,economics!$AK$2:$AK$167,economics!$AJ$2:$AJ$167,TRUE)-_xlfn.NORM.DIST(BY$30,economics!$AK$2:$AK$167,economics!$AJ$2:$AJ$167,TRUE))*economics!$AM$2:$AM$167))/(SUMPRODUCT((economics!$AG$2:$AG$167=$B52)*(economics!$D$2:$D$167="process")*economics!$AH$2:$AH$167*(_xlfn.NORM.DIST(BY$3,economics!$AK$2:$AK$167,economics!$AJ$2:$AJ$167,TRUE)-_xlfn.NORM.DIST(BY$30,economics!$AK$2:$AK$167,economics!$AJ$2:$AJ$167,TRUE)))),"")</f>
        <v/>
      </c>
      <c r="BZ52">
        <f t="array" ref="BZ52">IFERROR((SUMPRODUCT((economics!$AG$2:$AG$167=$B52)*(economics!$D$2:$D$167="process")*economics!$AH$2:$AH$167*(_xlfn.NORM.DIST(BZ$3,economics!$AK$2:$AK$167,economics!$AJ$2:$AJ$167,TRUE)-_xlfn.NORM.DIST(BZ$30,economics!$AK$2:$AK$167,economics!$AJ$2:$AJ$167,TRUE))*economics!$AM$2:$AM$167))/(SUMPRODUCT((economics!$AG$2:$AG$167=$B52)*(economics!$D$2:$D$167="process")*economics!$AH$2:$AH$167*(_xlfn.NORM.DIST(BZ$3,economics!$AK$2:$AK$167,economics!$AJ$2:$AJ$167,TRUE)-_xlfn.NORM.DIST(BZ$30,economics!$AK$2:$AK$167,economics!$AJ$2:$AJ$167,TRUE)))),"")</f>
        <v/>
      </c>
      <c r="CA52">
        <f t="array" ref="CA52">IFERROR((SUMPRODUCT((economics!$AG$2:$AG$167=$B52)*(economics!$D$2:$D$167="process")*economics!$AH$2:$AH$167*(_xlfn.NORM.DIST(CA$3,economics!$AK$2:$AK$167,economics!$AJ$2:$AJ$167,TRUE)-_xlfn.NORM.DIST(CA$30,economics!$AK$2:$AK$167,economics!$AJ$2:$AJ$167,TRUE))*economics!$AM$2:$AM$167))/(SUMPRODUCT((economics!$AG$2:$AG$167=$B52)*(economics!$D$2:$D$167="process")*economics!$AH$2:$AH$167*(_xlfn.NORM.DIST(CA$3,economics!$AK$2:$AK$167,economics!$AJ$2:$AJ$167,TRUE)-_xlfn.NORM.DIST(CA$30,economics!$AK$2:$AK$167,economics!$AJ$2:$AJ$167,TRUE)))),"")</f>
        <v/>
      </c>
      <c r="CB52">
        <f t="array" ref="CB52">IFERROR((SUMPRODUCT((economics!$AG$2:$AG$167=$B52)*(economics!$D$2:$D$167="process")*economics!$AH$2:$AH$167*(_xlfn.NORM.DIST(CB$3,economics!$AK$2:$AK$167,economics!$AJ$2:$AJ$167,TRUE)-_xlfn.NORM.DIST(CB$30,economics!$AK$2:$AK$167,economics!$AJ$2:$AJ$167,TRUE))*economics!$AM$2:$AM$167))/(SUMPRODUCT((economics!$AG$2:$AG$167=$B52)*(economics!$D$2:$D$167="process")*economics!$AH$2:$AH$167*(_xlfn.NORM.DIST(CB$3,economics!$AK$2:$AK$167,economics!$AJ$2:$AJ$167,TRUE)-_xlfn.NORM.DIST(CB$30,economics!$AK$2:$AK$167,economics!$AJ$2:$AJ$167,TRUE)))),"")</f>
        <v/>
      </c>
      <c r="CC52">
        <f t="array" ref="CC52">IFERROR((SUMPRODUCT((economics!$AG$2:$AG$167=$B52)*(economics!$D$2:$D$167="process")*economics!$AH$2:$AH$167*(_xlfn.NORM.DIST(CC$3,economics!$AK$2:$AK$167,economics!$AJ$2:$AJ$167,TRUE)-_xlfn.NORM.DIST(CC$30,economics!$AK$2:$AK$167,economics!$AJ$2:$AJ$167,TRUE))*economics!$AM$2:$AM$167))/(SUMPRODUCT((economics!$AG$2:$AG$167=$B52)*(economics!$D$2:$D$167="process")*economics!$AH$2:$AH$167*(_xlfn.NORM.DIST(CC$3,economics!$AK$2:$AK$167,economics!$AJ$2:$AJ$167,TRUE)-_xlfn.NORM.DIST(CC$30,economics!$AK$2:$AK$167,economics!$AJ$2:$AJ$167,TRUE)))),"")</f>
        <v/>
      </c>
      <c r="CD52">
        <f t="array" ref="CD52">IFERROR((SUMPRODUCT((economics!$AG$2:$AG$167=$B52)*(economics!$D$2:$D$167="process")*economics!$AH$2:$AH$167*(_xlfn.NORM.DIST(CD$3,economics!$AK$2:$AK$167,economics!$AJ$2:$AJ$167,TRUE)-_xlfn.NORM.DIST(CD$30,economics!$AK$2:$AK$167,economics!$AJ$2:$AJ$167,TRUE))*economics!$AM$2:$AM$167))/(SUMPRODUCT((economics!$AG$2:$AG$167=$B52)*(economics!$D$2:$D$167="process")*economics!$AH$2:$AH$167*(_xlfn.NORM.DIST(CD$3,economics!$AK$2:$AK$167,economics!$AJ$2:$AJ$167,TRUE)-_xlfn.NORM.DIST(CD$30,economics!$AK$2:$AK$167,economics!$AJ$2:$AJ$167,TRUE)))),"")</f>
        <v/>
      </c>
      <c r="CE52">
        <f t="array" ref="CE52">IFERROR((SUMPRODUCT((economics!$AG$2:$AG$167=$B52)*(economics!$D$2:$D$167="process")*economics!$AH$2:$AH$167*(_xlfn.NORM.DIST(CE$3,economics!$AK$2:$AK$167,economics!$AJ$2:$AJ$167,TRUE)-_xlfn.NORM.DIST(CE$30,economics!$AK$2:$AK$167,economics!$AJ$2:$AJ$167,TRUE))*economics!$AM$2:$AM$167))/(SUMPRODUCT((economics!$AG$2:$AG$167=$B52)*(economics!$D$2:$D$167="process")*economics!$AH$2:$AH$167*(_xlfn.NORM.DIST(CE$3,economics!$AK$2:$AK$167,economics!$AJ$2:$AJ$167,TRUE)-_xlfn.NORM.DIST(CE$30,economics!$AK$2:$AK$167,economics!$AJ$2:$AJ$167,TRUE)))),"")</f>
        <v/>
      </c>
      <c r="CF52">
        <f t="array" ref="CF52">IFERROR((SUMPRODUCT((economics!$AG$2:$AG$167=$B52)*(economics!$D$2:$D$167="process")*economics!$AH$2:$AH$167*(_xlfn.NORM.DIST(CF$3,economics!$AK$2:$AK$167,economics!$AJ$2:$AJ$167,TRUE)-_xlfn.NORM.DIST(CF$30,economics!$AK$2:$AK$167,economics!$AJ$2:$AJ$167,TRUE))*economics!$AM$2:$AM$167))/(SUMPRODUCT((economics!$AG$2:$AG$167=$B52)*(economics!$D$2:$D$167="process")*economics!$AH$2:$AH$167*(_xlfn.NORM.DIST(CF$3,economics!$AK$2:$AK$167,economics!$AJ$2:$AJ$167,TRUE)-_xlfn.NORM.DIST(CF$30,economics!$AK$2:$AK$167,economics!$AJ$2:$AJ$167,TRUE)))),"")</f>
        <v/>
      </c>
      <c r="CG52">
        <f t="array" ref="CG52">IFERROR((SUMPRODUCT((economics!$AG$2:$AG$167=$B52)*(economics!$D$2:$D$167="process")*economics!$AH$2:$AH$167*(_xlfn.NORM.DIST(CG$3,economics!$AK$2:$AK$167,economics!$AJ$2:$AJ$167,TRUE)-_xlfn.NORM.DIST(CG$30,economics!$AK$2:$AK$167,economics!$AJ$2:$AJ$167,TRUE))*economics!$AM$2:$AM$167))/(SUMPRODUCT((economics!$AG$2:$AG$167=$B52)*(economics!$D$2:$D$167="process")*economics!$AH$2:$AH$167*(_xlfn.NORM.DIST(CG$3,economics!$AK$2:$AK$167,economics!$AJ$2:$AJ$167,TRUE)-_xlfn.NORM.DIST(CG$30,economics!$AK$2:$AK$167,economics!$AJ$2:$AJ$167,TRUE)))),"")</f>
        <v/>
      </c>
      <c r="CH52">
        <f t="array" ref="CH52">IFERROR((SUMPRODUCT((economics!$AG$2:$AG$167=$B52)*(economics!$D$2:$D$167="process")*economics!$AH$2:$AH$167*(_xlfn.NORM.DIST(CH$3,economics!$AK$2:$AK$167,economics!$AJ$2:$AJ$167,TRUE)-_xlfn.NORM.DIST(CH$30,economics!$AK$2:$AK$167,economics!$AJ$2:$AJ$167,TRUE))*economics!$AM$2:$AM$167))/(SUMPRODUCT((economics!$AG$2:$AG$167=$B52)*(economics!$D$2:$D$167="process")*economics!$AH$2:$AH$167*(_xlfn.NORM.DIST(CH$3,economics!$AK$2:$AK$167,economics!$AJ$2:$AJ$167,TRUE)-_xlfn.NORM.DIST(CH$30,economics!$AK$2:$AK$167,economics!$AJ$2:$AJ$167,TRUE)))),"")</f>
        <v/>
      </c>
    </row>
    <row r="53">
      <c r="A53">
        <f>A24</f>
        <v/>
      </c>
      <c r="B53">
        <f>B24</f>
        <v/>
      </c>
      <c r="E53">
        <f t="array" ref="E53">IFERROR((SUMPRODUCT((economics!$AG$2:$AG$167=$B53)*(economics!$D$2:$D$167="process")*economics!$AH$2:$AH$167*(_xlfn.NORM.DIST(E$3,economics!$AK$2:$AK$167,economics!$AJ$2:$AJ$167,TRUE)-_xlfn.NORM.DIST(E$30,economics!$AK$2:$AK$167,economics!$AJ$2:$AJ$167,TRUE))*economics!$AM$2:$AM$167))/(SUMPRODUCT((economics!$AG$2:$AG$167=$B53)*(economics!$D$2:$D$167="process")*economics!$AH$2:$AH$167*(_xlfn.NORM.DIST(E$3,economics!$AK$2:$AK$167,economics!$AJ$2:$AJ$167,TRUE)-_xlfn.NORM.DIST(E$30,economics!$AK$2:$AK$167,economics!$AJ$2:$AJ$167,TRUE)))),"")</f>
        <v/>
      </c>
      <c r="F53">
        <f t="array" ref="F53">IFERROR((SUMPRODUCT((economics!$AG$2:$AG$167=$B53)*(economics!$D$2:$D$167="process")*economics!$AH$2:$AH$167*(_xlfn.NORM.DIST(F$3,economics!$AK$2:$AK$167,economics!$AJ$2:$AJ$167,TRUE)-_xlfn.NORM.DIST(F$30,economics!$AK$2:$AK$167,economics!$AJ$2:$AJ$167,TRUE))*economics!$AM$2:$AM$167))/(SUMPRODUCT((economics!$AG$2:$AG$167=$B53)*(economics!$D$2:$D$167="process")*economics!$AH$2:$AH$167*(_xlfn.NORM.DIST(F$3,economics!$AK$2:$AK$167,economics!$AJ$2:$AJ$167,TRUE)-_xlfn.NORM.DIST(F$30,economics!$AK$2:$AK$167,economics!$AJ$2:$AJ$167,TRUE)))),"")</f>
        <v/>
      </c>
      <c r="G53">
        <f t="array" ref="G53">IFERROR((SUMPRODUCT((economics!$AG$2:$AG$167=$B53)*(economics!$D$2:$D$167="process")*economics!$AH$2:$AH$167*(_xlfn.NORM.DIST(G$3,economics!$AK$2:$AK$167,economics!$AJ$2:$AJ$167,TRUE)-_xlfn.NORM.DIST(G$30,economics!$AK$2:$AK$167,economics!$AJ$2:$AJ$167,TRUE))*economics!$AM$2:$AM$167))/(SUMPRODUCT((economics!$AG$2:$AG$167=$B53)*(economics!$D$2:$D$167="process")*economics!$AH$2:$AH$167*(_xlfn.NORM.DIST(G$3,economics!$AK$2:$AK$167,economics!$AJ$2:$AJ$167,TRUE)-_xlfn.NORM.DIST(G$30,economics!$AK$2:$AK$167,economics!$AJ$2:$AJ$167,TRUE)))),"")</f>
        <v/>
      </c>
      <c r="H53">
        <f t="array" ref="H53">IFERROR((SUMPRODUCT((economics!$AG$2:$AG$167=$B53)*(economics!$D$2:$D$167="process")*economics!$AH$2:$AH$167*(_xlfn.NORM.DIST(H$3,economics!$AK$2:$AK$167,economics!$AJ$2:$AJ$167,TRUE)-_xlfn.NORM.DIST(H$30,economics!$AK$2:$AK$167,economics!$AJ$2:$AJ$167,TRUE))*economics!$AM$2:$AM$167))/(SUMPRODUCT((economics!$AG$2:$AG$167=$B53)*(economics!$D$2:$D$167="process")*economics!$AH$2:$AH$167*(_xlfn.NORM.DIST(H$3,economics!$AK$2:$AK$167,economics!$AJ$2:$AJ$167,TRUE)-_xlfn.NORM.DIST(H$30,economics!$AK$2:$AK$167,economics!$AJ$2:$AJ$167,TRUE)))),"")</f>
        <v/>
      </c>
      <c r="I53">
        <f t="array" ref="I53">IFERROR((SUMPRODUCT((economics!$AG$2:$AG$167=$B53)*(economics!$D$2:$D$167="process")*economics!$AH$2:$AH$167*(_xlfn.NORM.DIST(I$3,economics!$AK$2:$AK$167,economics!$AJ$2:$AJ$167,TRUE)-_xlfn.NORM.DIST(I$30,economics!$AK$2:$AK$167,economics!$AJ$2:$AJ$167,TRUE))*economics!$AM$2:$AM$167))/(SUMPRODUCT((economics!$AG$2:$AG$167=$B53)*(economics!$D$2:$D$167="process")*economics!$AH$2:$AH$167*(_xlfn.NORM.DIST(I$3,economics!$AK$2:$AK$167,economics!$AJ$2:$AJ$167,TRUE)-_xlfn.NORM.DIST(I$30,economics!$AK$2:$AK$167,economics!$AJ$2:$AJ$167,TRUE)))),"")</f>
        <v/>
      </c>
      <c r="J53">
        <f t="array" ref="J53">IFERROR((SUMPRODUCT((economics!$AG$2:$AG$167=$B53)*(economics!$D$2:$D$167="process")*economics!$AH$2:$AH$167*(_xlfn.NORM.DIST(J$3,economics!$AK$2:$AK$167,economics!$AJ$2:$AJ$167,TRUE)-_xlfn.NORM.DIST(J$30,economics!$AK$2:$AK$167,economics!$AJ$2:$AJ$167,TRUE))*economics!$AM$2:$AM$167))/(SUMPRODUCT((economics!$AG$2:$AG$167=$B53)*(economics!$D$2:$D$167="process")*economics!$AH$2:$AH$167*(_xlfn.NORM.DIST(J$3,economics!$AK$2:$AK$167,economics!$AJ$2:$AJ$167,TRUE)-_xlfn.NORM.DIST(J$30,economics!$AK$2:$AK$167,economics!$AJ$2:$AJ$167,TRUE)))),"")</f>
        <v/>
      </c>
      <c r="K53">
        <f t="array" ref="K53">IFERROR((SUMPRODUCT((economics!$AG$2:$AG$167=$B53)*(economics!$D$2:$D$167="process")*economics!$AH$2:$AH$167*(_xlfn.NORM.DIST(K$3,economics!$AK$2:$AK$167,economics!$AJ$2:$AJ$167,TRUE)-_xlfn.NORM.DIST(K$30,economics!$AK$2:$AK$167,economics!$AJ$2:$AJ$167,TRUE))*economics!$AM$2:$AM$167))/(SUMPRODUCT((economics!$AG$2:$AG$167=$B53)*(economics!$D$2:$D$167="process")*economics!$AH$2:$AH$167*(_xlfn.NORM.DIST(K$3,economics!$AK$2:$AK$167,economics!$AJ$2:$AJ$167,TRUE)-_xlfn.NORM.DIST(K$30,economics!$AK$2:$AK$167,economics!$AJ$2:$AJ$167,TRUE)))),"")</f>
        <v/>
      </c>
      <c r="L53">
        <f t="array" ref="L53">IFERROR((SUMPRODUCT((economics!$AG$2:$AG$167=$B53)*(economics!$D$2:$D$167="process")*economics!$AH$2:$AH$167*(_xlfn.NORM.DIST(L$3,economics!$AK$2:$AK$167,economics!$AJ$2:$AJ$167,TRUE)-_xlfn.NORM.DIST(L$30,economics!$AK$2:$AK$167,economics!$AJ$2:$AJ$167,TRUE))*economics!$AM$2:$AM$167))/(SUMPRODUCT((economics!$AG$2:$AG$167=$B53)*(economics!$D$2:$D$167="process")*economics!$AH$2:$AH$167*(_xlfn.NORM.DIST(L$3,economics!$AK$2:$AK$167,economics!$AJ$2:$AJ$167,TRUE)-_xlfn.NORM.DIST(L$30,economics!$AK$2:$AK$167,economics!$AJ$2:$AJ$167,TRUE)))),"")</f>
        <v/>
      </c>
      <c r="M53">
        <f t="array" ref="M53">IFERROR((SUMPRODUCT((economics!$AG$2:$AG$167=$B53)*(economics!$D$2:$D$167="process")*economics!$AH$2:$AH$167*(_xlfn.NORM.DIST(M$3,economics!$AK$2:$AK$167,economics!$AJ$2:$AJ$167,TRUE)-_xlfn.NORM.DIST(M$30,economics!$AK$2:$AK$167,economics!$AJ$2:$AJ$167,TRUE))*economics!$AM$2:$AM$167))/(SUMPRODUCT((economics!$AG$2:$AG$167=$B53)*(economics!$D$2:$D$167="process")*economics!$AH$2:$AH$167*(_xlfn.NORM.DIST(M$3,economics!$AK$2:$AK$167,economics!$AJ$2:$AJ$167,TRUE)-_xlfn.NORM.DIST(M$30,economics!$AK$2:$AK$167,economics!$AJ$2:$AJ$167,TRUE)))),"")</f>
        <v/>
      </c>
      <c r="N53">
        <f t="array" ref="N53">IFERROR((SUMPRODUCT((economics!$AG$2:$AG$167=$B53)*(economics!$D$2:$D$167="process")*economics!$AH$2:$AH$167*(_xlfn.NORM.DIST(N$3,economics!$AK$2:$AK$167,economics!$AJ$2:$AJ$167,TRUE)-_xlfn.NORM.DIST(N$30,economics!$AK$2:$AK$167,economics!$AJ$2:$AJ$167,TRUE))*economics!$AM$2:$AM$167))/(SUMPRODUCT((economics!$AG$2:$AG$167=$B53)*(economics!$D$2:$D$167="process")*economics!$AH$2:$AH$167*(_xlfn.NORM.DIST(N$3,economics!$AK$2:$AK$167,economics!$AJ$2:$AJ$167,TRUE)-_xlfn.NORM.DIST(N$30,economics!$AK$2:$AK$167,economics!$AJ$2:$AJ$167,TRUE)))),"")</f>
        <v/>
      </c>
      <c r="O53">
        <f t="array" ref="O53">IFERROR((SUMPRODUCT((economics!$AG$2:$AG$167=$B53)*(economics!$D$2:$D$167="process")*economics!$AH$2:$AH$167*(_xlfn.NORM.DIST(O$3,economics!$AK$2:$AK$167,economics!$AJ$2:$AJ$167,TRUE)-_xlfn.NORM.DIST(O$30,economics!$AK$2:$AK$167,economics!$AJ$2:$AJ$167,TRUE))*economics!$AM$2:$AM$167))/(SUMPRODUCT((economics!$AG$2:$AG$167=$B53)*(economics!$D$2:$D$167="process")*economics!$AH$2:$AH$167*(_xlfn.NORM.DIST(O$3,economics!$AK$2:$AK$167,economics!$AJ$2:$AJ$167,TRUE)-_xlfn.NORM.DIST(O$30,economics!$AK$2:$AK$167,economics!$AJ$2:$AJ$167,TRUE)))),"")</f>
        <v/>
      </c>
      <c r="P53">
        <f t="array" ref="P53">IFERROR((SUMPRODUCT((economics!$AG$2:$AG$167=$B53)*(economics!$D$2:$D$167="process")*economics!$AH$2:$AH$167*(_xlfn.NORM.DIST(P$3,economics!$AK$2:$AK$167,economics!$AJ$2:$AJ$167,TRUE)-_xlfn.NORM.DIST(P$30,economics!$AK$2:$AK$167,economics!$AJ$2:$AJ$167,TRUE))*economics!$AM$2:$AM$167))/(SUMPRODUCT((economics!$AG$2:$AG$167=$B53)*(economics!$D$2:$D$167="process")*economics!$AH$2:$AH$167*(_xlfn.NORM.DIST(P$3,economics!$AK$2:$AK$167,economics!$AJ$2:$AJ$167,TRUE)-_xlfn.NORM.DIST(P$30,economics!$AK$2:$AK$167,economics!$AJ$2:$AJ$167,TRUE)))),"")</f>
        <v/>
      </c>
      <c r="Q53">
        <f t="array" ref="Q53">IFERROR((SUMPRODUCT((economics!$AG$2:$AG$167=$B53)*(economics!$D$2:$D$167="process")*economics!$AH$2:$AH$167*(_xlfn.NORM.DIST(Q$3,economics!$AK$2:$AK$167,economics!$AJ$2:$AJ$167,TRUE)-_xlfn.NORM.DIST(Q$30,economics!$AK$2:$AK$167,economics!$AJ$2:$AJ$167,TRUE))*economics!$AM$2:$AM$167))/(SUMPRODUCT((economics!$AG$2:$AG$167=$B53)*(economics!$D$2:$D$167="process")*economics!$AH$2:$AH$167*(_xlfn.NORM.DIST(Q$3,economics!$AK$2:$AK$167,economics!$AJ$2:$AJ$167,TRUE)-_xlfn.NORM.DIST(Q$30,economics!$AK$2:$AK$167,economics!$AJ$2:$AJ$167,TRUE)))),"")</f>
        <v/>
      </c>
      <c r="R53">
        <f t="array" ref="R53">IFERROR((SUMPRODUCT((economics!$AG$2:$AG$167=$B53)*(economics!$D$2:$D$167="process")*economics!$AH$2:$AH$167*(_xlfn.NORM.DIST(R$3,economics!$AK$2:$AK$167,economics!$AJ$2:$AJ$167,TRUE)-_xlfn.NORM.DIST(R$30,economics!$AK$2:$AK$167,economics!$AJ$2:$AJ$167,TRUE))*economics!$AM$2:$AM$167))/(SUMPRODUCT((economics!$AG$2:$AG$167=$B53)*(economics!$D$2:$D$167="process")*economics!$AH$2:$AH$167*(_xlfn.NORM.DIST(R$3,economics!$AK$2:$AK$167,economics!$AJ$2:$AJ$167,TRUE)-_xlfn.NORM.DIST(R$30,economics!$AK$2:$AK$167,economics!$AJ$2:$AJ$167,TRUE)))),"")</f>
        <v/>
      </c>
      <c r="S53">
        <f t="array" ref="S53">IFERROR((SUMPRODUCT((economics!$AG$2:$AG$167=$B53)*(economics!$D$2:$D$167="process")*economics!$AH$2:$AH$167*(_xlfn.NORM.DIST(S$3,economics!$AK$2:$AK$167,economics!$AJ$2:$AJ$167,TRUE)-_xlfn.NORM.DIST(S$30,economics!$AK$2:$AK$167,economics!$AJ$2:$AJ$167,TRUE))*economics!$AM$2:$AM$167))/(SUMPRODUCT((economics!$AG$2:$AG$167=$B53)*(economics!$D$2:$D$167="process")*economics!$AH$2:$AH$167*(_xlfn.NORM.DIST(S$3,economics!$AK$2:$AK$167,economics!$AJ$2:$AJ$167,TRUE)-_xlfn.NORM.DIST(S$30,economics!$AK$2:$AK$167,economics!$AJ$2:$AJ$167,TRUE)))),"")</f>
        <v/>
      </c>
      <c r="T53">
        <f t="array" ref="T53">IFERROR((SUMPRODUCT((economics!$AG$2:$AG$167=$B53)*(economics!$D$2:$D$167="process")*economics!$AH$2:$AH$167*(_xlfn.NORM.DIST(T$3,economics!$AK$2:$AK$167,economics!$AJ$2:$AJ$167,TRUE)-_xlfn.NORM.DIST(T$30,economics!$AK$2:$AK$167,economics!$AJ$2:$AJ$167,TRUE))*economics!$AM$2:$AM$167))/(SUMPRODUCT((economics!$AG$2:$AG$167=$B53)*(economics!$D$2:$D$167="process")*economics!$AH$2:$AH$167*(_xlfn.NORM.DIST(T$3,economics!$AK$2:$AK$167,economics!$AJ$2:$AJ$167,TRUE)-_xlfn.NORM.DIST(T$30,economics!$AK$2:$AK$167,economics!$AJ$2:$AJ$167,TRUE)))),"")</f>
        <v/>
      </c>
      <c r="U53">
        <f t="array" ref="U53">IFERROR((SUMPRODUCT((economics!$AG$2:$AG$167=$B53)*(economics!$D$2:$D$167="process")*economics!$AH$2:$AH$167*(_xlfn.NORM.DIST(U$3,economics!$AK$2:$AK$167,economics!$AJ$2:$AJ$167,TRUE)-_xlfn.NORM.DIST(U$30,economics!$AK$2:$AK$167,economics!$AJ$2:$AJ$167,TRUE))*economics!$AM$2:$AM$167))/(SUMPRODUCT((economics!$AG$2:$AG$167=$B53)*(economics!$D$2:$D$167="process")*economics!$AH$2:$AH$167*(_xlfn.NORM.DIST(U$3,economics!$AK$2:$AK$167,economics!$AJ$2:$AJ$167,TRUE)-_xlfn.NORM.DIST(U$30,economics!$AK$2:$AK$167,economics!$AJ$2:$AJ$167,TRUE)))),"")</f>
        <v/>
      </c>
      <c r="V53">
        <f t="array" ref="V53">IFERROR((SUMPRODUCT((economics!$AG$2:$AG$167=$B53)*(economics!$D$2:$D$167="process")*economics!$AH$2:$AH$167*(_xlfn.NORM.DIST(V$3,economics!$AK$2:$AK$167,economics!$AJ$2:$AJ$167,TRUE)-_xlfn.NORM.DIST(V$30,economics!$AK$2:$AK$167,economics!$AJ$2:$AJ$167,TRUE))*economics!$AM$2:$AM$167))/(SUMPRODUCT((economics!$AG$2:$AG$167=$B53)*(economics!$D$2:$D$167="process")*economics!$AH$2:$AH$167*(_xlfn.NORM.DIST(V$3,economics!$AK$2:$AK$167,economics!$AJ$2:$AJ$167,TRUE)-_xlfn.NORM.DIST(V$30,economics!$AK$2:$AK$167,economics!$AJ$2:$AJ$167,TRUE)))),"")</f>
        <v/>
      </c>
      <c r="W53">
        <f t="array" ref="W53">IFERROR((SUMPRODUCT((economics!$AG$2:$AG$167=$B53)*(economics!$D$2:$D$167="process")*economics!$AH$2:$AH$167*(_xlfn.NORM.DIST(W$3,economics!$AK$2:$AK$167,economics!$AJ$2:$AJ$167,TRUE)-_xlfn.NORM.DIST(W$30,economics!$AK$2:$AK$167,economics!$AJ$2:$AJ$167,TRUE))*economics!$AM$2:$AM$167))/(SUMPRODUCT((economics!$AG$2:$AG$167=$B53)*(economics!$D$2:$D$167="process")*economics!$AH$2:$AH$167*(_xlfn.NORM.DIST(W$3,economics!$AK$2:$AK$167,economics!$AJ$2:$AJ$167,TRUE)-_xlfn.NORM.DIST(W$30,economics!$AK$2:$AK$167,economics!$AJ$2:$AJ$167,TRUE)))),"")</f>
        <v/>
      </c>
      <c r="X53">
        <f t="array" ref="X53">IFERROR((SUMPRODUCT((economics!$AG$2:$AG$167=$B53)*(economics!$D$2:$D$167="process")*economics!$AH$2:$AH$167*(_xlfn.NORM.DIST(X$3,economics!$AK$2:$AK$167,economics!$AJ$2:$AJ$167,TRUE)-_xlfn.NORM.DIST(X$30,economics!$AK$2:$AK$167,economics!$AJ$2:$AJ$167,TRUE))*economics!$AM$2:$AM$167))/(SUMPRODUCT((economics!$AG$2:$AG$167=$B53)*(economics!$D$2:$D$167="process")*economics!$AH$2:$AH$167*(_xlfn.NORM.DIST(X$3,economics!$AK$2:$AK$167,economics!$AJ$2:$AJ$167,TRUE)-_xlfn.NORM.DIST(X$30,economics!$AK$2:$AK$167,economics!$AJ$2:$AJ$167,TRUE)))),"")</f>
        <v/>
      </c>
      <c r="Y53">
        <f t="array" ref="Y53">IFERROR((SUMPRODUCT((economics!$AG$2:$AG$167=$B53)*(economics!$D$2:$D$167="process")*economics!$AH$2:$AH$167*(_xlfn.NORM.DIST(Y$3,economics!$AK$2:$AK$167,economics!$AJ$2:$AJ$167,TRUE)-_xlfn.NORM.DIST(Y$30,economics!$AK$2:$AK$167,economics!$AJ$2:$AJ$167,TRUE))*economics!$AM$2:$AM$167))/(SUMPRODUCT((economics!$AG$2:$AG$167=$B53)*(economics!$D$2:$D$167="process")*economics!$AH$2:$AH$167*(_xlfn.NORM.DIST(Y$3,economics!$AK$2:$AK$167,economics!$AJ$2:$AJ$167,TRUE)-_xlfn.NORM.DIST(Y$30,economics!$AK$2:$AK$167,economics!$AJ$2:$AJ$167,TRUE)))),"")</f>
        <v/>
      </c>
      <c r="Z53">
        <f t="array" ref="Z53">IFERROR((SUMPRODUCT((economics!$AG$2:$AG$167=$B53)*(economics!$D$2:$D$167="process")*economics!$AH$2:$AH$167*(_xlfn.NORM.DIST(Z$3,economics!$AK$2:$AK$167,economics!$AJ$2:$AJ$167,TRUE)-_xlfn.NORM.DIST(Z$30,economics!$AK$2:$AK$167,economics!$AJ$2:$AJ$167,TRUE))*economics!$AM$2:$AM$167))/(SUMPRODUCT((economics!$AG$2:$AG$167=$B53)*(economics!$D$2:$D$167="process")*economics!$AH$2:$AH$167*(_xlfn.NORM.DIST(Z$3,economics!$AK$2:$AK$167,economics!$AJ$2:$AJ$167,TRUE)-_xlfn.NORM.DIST(Z$30,economics!$AK$2:$AK$167,economics!$AJ$2:$AJ$167,TRUE)))),"")</f>
        <v/>
      </c>
      <c r="AA53">
        <f t="array" ref="AA53">IFERROR((SUMPRODUCT((economics!$AG$2:$AG$167=$B53)*(economics!$D$2:$D$167="process")*economics!$AH$2:$AH$167*(_xlfn.NORM.DIST(AA$3,economics!$AK$2:$AK$167,economics!$AJ$2:$AJ$167,TRUE)-_xlfn.NORM.DIST(AA$30,economics!$AK$2:$AK$167,economics!$AJ$2:$AJ$167,TRUE))*economics!$AM$2:$AM$167))/(SUMPRODUCT((economics!$AG$2:$AG$167=$B53)*(economics!$D$2:$D$167="process")*economics!$AH$2:$AH$167*(_xlfn.NORM.DIST(AA$3,economics!$AK$2:$AK$167,economics!$AJ$2:$AJ$167,TRUE)-_xlfn.NORM.DIST(AA$30,economics!$AK$2:$AK$167,economics!$AJ$2:$AJ$167,TRUE)))),"")</f>
        <v/>
      </c>
      <c r="AB53">
        <f t="array" ref="AB53">IFERROR((SUMPRODUCT((economics!$AG$2:$AG$167=$B53)*(economics!$D$2:$D$167="process")*economics!$AH$2:$AH$167*(_xlfn.NORM.DIST(AB$3,economics!$AK$2:$AK$167,economics!$AJ$2:$AJ$167,TRUE)-_xlfn.NORM.DIST(AB$30,economics!$AK$2:$AK$167,economics!$AJ$2:$AJ$167,TRUE))*economics!$AM$2:$AM$167))/(SUMPRODUCT((economics!$AG$2:$AG$167=$B53)*(economics!$D$2:$D$167="process")*economics!$AH$2:$AH$167*(_xlfn.NORM.DIST(AB$3,economics!$AK$2:$AK$167,economics!$AJ$2:$AJ$167,TRUE)-_xlfn.NORM.DIST(AB$30,economics!$AK$2:$AK$167,economics!$AJ$2:$AJ$167,TRUE)))),"")</f>
        <v/>
      </c>
      <c r="AC53">
        <f t="array" ref="AC53">IFERROR((SUMPRODUCT((economics!$AG$2:$AG$167=$B53)*(economics!$D$2:$D$167="process")*economics!$AH$2:$AH$167*(_xlfn.NORM.DIST(AC$3,economics!$AK$2:$AK$167,economics!$AJ$2:$AJ$167,TRUE)-_xlfn.NORM.DIST(AC$30,economics!$AK$2:$AK$167,economics!$AJ$2:$AJ$167,TRUE))*economics!$AM$2:$AM$167))/(SUMPRODUCT((economics!$AG$2:$AG$167=$B53)*(economics!$D$2:$D$167="process")*economics!$AH$2:$AH$167*(_xlfn.NORM.DIST(AC$3,economics!$AK$2:$AK$167,economics!$AJ$2:$AJ$167,TRUE)-_xlfn.NORM.DIST(AC$30,economics!$AK$2:$AK$167,economics!$AJ$2:$AJ$167,TRUE)))),"")</f>
        <v/>
      </c>
      <c r="AD53">
        <f t="array" ref="AD53">IFERROR((SUMPRODUCT((economics!$AG$2:$AG$167=$B53)*(economics!$D$2:$D$167="process")*economics!$AH$2:$AH$167*(_xlfn.NORM.DIST(AD$3,economics!$AK$2:$AK$167,economics!$AJ$2:$AJ$167,TRUE)-_xlfn.NORM.DIST(AD$30,economics!$AK$2:$AK$167,economics!$AJ$2:$AJ$167,TRUE))*economics!$AM$2:$AM$167))/(SUMPRODUCT((economics!$AG$2:$AG$167=$B53)*(economics!$D$2:$D$167="process")*economics!$AH$2:$AH$167*(_xlfn.NORM.DIST(AD$3,economics!$AK$2:$AK$167,economics!$AJ$2:$AJ$167,TRUE)-_xlfn.NORM.DIST(AD$30,economics!$AK$2:$AK$167,economics!$AJ$2:$AJ$167,TRUE)))),"")</f>
        <v/>
      </c>
      <c r="AE53">
        <f t="array" ref="AE53">IFERROR((SUMPRODUCT((economics!$AG$2:$AG$167=$B53)*(economics!$D$2:$D$167="process")*economics!$AH$2:$AH$167*(_xlfn.NORM.DIST(AE$3,economics!$AK$2:$AK$167,economics!$AJ$2:$AJ$167,TRUE)-_xlfn.NORM.DIST(AE$30,economics!$AK$2:$AK$167,economics!$AJ$2:$AJ$167,TRUE))*economics!$AM$2:$AM$167))/(SUMPRODUCT((economics!$AG$2:$AG$167=$B53)*(economics!$D$2:$D$167="process")*economics!$AH$2:$AH$167*(_xlfn.NORM.DIST(AE$3,economics!$AK$2:$AK$167,economics!$AJ$2:$AJ$167,TRUE)-_xlfn.NORM.DIST(AE$30,economics!$AK$2:$AK$167,economics!$AJ$2:$AJ$167,TRUE)))),"")</f>
        <v/>
      </c>
      <c r="AF53">
        <f t="array" ref="AF53">IFERROR((SUMPRODUCT((economics!$AG$2:$AG$167=$B53)*(economics!$D$2:$D$167="process")*economics!$AH$2:$AH$167*(_xlfn.NORM.DIST(AF$3,economics!$AK$2:$AK$167,economics!$AJ$2:$AJ$167,TRUE)-_xlfn.NORM.DIST(AF$30,economics!$AK$2:$AK$167,economics!$AJ$2:$AJ$167,TRUE))*economics!$AM$2:$AM$167))/(SUMPRODUCT((economics!$AG$2:$AG$167=$B53)*(economics!$D$2:$D$167="process")*economics!$AH$2:$AH$167*(_xlfn.NORM.DIST(AF$3,economics!$AK$2:$AK$167,economics!$AJ$2:$AJ$167,TRUE)-_xlfn.NORM.DIST(AF$30,economics!$AK$2:$AK$167,economics!$AJ$2:$AJ$167,TRUE)))),"")</f>
        <v/>
      </c>
      <c r="AG53">
        <f t="array" ref="AG53">IFERROR((SUMPRODUCT((economics!$AG$2:$AG$167=$B53)*(economics!$D$2:$D$167="process")*economics!$AH$2:$AH$167*(_xlfn.NORM.DIST(AG$3,economics!$AK$2:$AK$167,economics!$AJ$2:$AJ$167,TRUE)-_xlfn.NORM.DIST(AG$30,economics!$AK$2:$AK$167,economics!$AJ$2:$AJ$167,TRUE))*economics!$AM$2:$AM$167))/(SUMPRODUCT((economics!$AG$2:$AG$167=$B53)*(economics!$D$2:$D$167="process")*economics!$AH$2:$AH$167*(_xlfn.NORM.DIST(AG$3,economics!$AK$2:$AK$167,economics!$AJ$2:$AJ$167,TRUE)-_xlfn.NORM.DIST(AG$30,economics!$AK$2:$AK$167,economics!$AJ$2:$AJ$167,TRUE)))),"")</f>
        <v/>
      </c>
      <c r="AH53">
        <f t="array" ref="AH53">IFERROR((SUMPRODUCT((economics!$AG$2:$AG$167=$B53)*(economics!$D$2:$D$167="process")*economics!$AH$2:$AH$167*(_xlfn.NORM.DIST(AH$3,economics!$AK$2:$AK$167,economics!$AJ$2:$AJ$167,TRUE)-_xlfn.NORM.DIST(AH$30,economics!$AK$2:$AK$167,economics!$AJ$2:$AJ$167,TRUE))*economics!$AM$2:$AM$167))/(SUMPRODUCT((economics!$AG$2:$AG$167=$B53)*(economics!$D$2:$D$167="process")*economics!$AH$2:$AH$167*(_xlfn.NORM.DIST(AH$3,economics!$AK$2:$AK$167,economics!$AJ$2:$AJ$167,TRUE)-_xlfn.NORM.DIST(AH$30,economics!$AK$2:$AK$167,economics!$AJ$2:$AJ$167,TRUE)))),"")</f>
        <v/>
      </c>
      <c r="AI53">
        <f t="array" ref="AI53">IFERROR((SUMPRODUCT((economics!$AG$2:$AG$167=$B53)*(economics!$D$2:$D$167="process")*economics!$AH$2:$AH$167*(_xlfn.NORM.DIST(AI$3,economics!$AK$2:$AK$167,economics!$AJ$2:$AJ$167,TRUE)-_xlfn.NORM.DIST(AI$30,economics!$AK$2:$AK$167,economics!$AJ$2:$AJ$167,TRUE))*economics!$AM$2:$AM$167))/(SUMPRODUCT((economics!$AG$2:$AG$167=$B53)*(economics!$D$2:$D$167="process")*economics!$AH$2:$AH$167*(_xlfn.NORM.DIST(AI$3,economics!$AK$2:$AK$167,economics!$AJ$2:$AJ$167,TRUE)-_xlfn.NORM.DIST(AI$30,economics!$AK$2:$AK$167,economics!$AJ$2:$AJ$167,TRUE)))),"")</f>
        <v/>
      </c>
      <c r="AJ53">
        <f t="array" ref="AJ53">IFERROR((SUMPRODUCT((economics!$AG$2:$AG$167=$B53)*(economics!$D$2:$D$167="process")*economics!$AH$2:$AH$167*(_xlfn.NORM.DIST(AJ$3,economics!$AK$2:$AK$167,economics!$AJ$2:$AJ$167,TRUE)-_xlfn.NORM.DIST(AJ$30,economics!$AK$2:$AK$167,economics!$AJ$2:$AJ$167,TRUE))*economics!$AM$2:$AM$167))/(SUMPRODUCT((economics!$AG$2:$AG$167=$B53)*(economics!$D$2:$D$167="process")*economics!$AH$2:$AH$167*(_xlfn.NORM.DIST(AJ$3,economics!$AK$2:$AK$167,economics!$AJ$2:$AJ$167,TRUE)-_xlfn.NORM.DIST(AJ$30,economics!$AK$2:$AK$167,economics!$AJ$2:$AJ$167,TRUE)))),"")</f>
        <v/>
      </c>
      <c r="AK53">
        <f t="array" ref="AK53">IFERROR((SUMPRODUCT((economics!$AG$2:$AG$167=$B53)*(economics!$D$2:$D$167="process")*economics!$AH$2:$AH$167*(_xlfn.NORM.DIST(AK$3,economics!$AK$2:$AK$167,economics!$AJ$2:$AJ$167,TRUE)-_xlfn.NORM.DIST(AK$30,economics!$AK$2:$AK$167,economics!$AJ$2:$AJ$167,TRUE))*economics!$AM$2:$AM$167))/(SUMPRODUCT((economics!$AG$2:$AG$167=$B53)*(economics!$D$2:$D$167="process")*economics!$AH$2:$AH$167*(_xlfn.NORM.DIST(AK$3,economics!$AK$2:$AK$167,economics!$AJ$2:$AJ$167,TRUE)-_xlfn.NORM.DIST(AK$30,economics!$AK$2:$AK$167,economics!$AJ$2:$AJ$167,TRUE)))),"")</f>
        <v/>
      </c>
      <c r="AL53">
        <f t="array" ref="AL53">IFERROR((SUMPRODUCT((economics!$AG$2:$AG$167=$B53)*(economics!$D$2:$D$167="process")*economics!$AH$2:$AH$167*(_xlfn.NORM.DIST(AL$3,economics!$AK$2:$AK$167,economics!$AJ$2:$AJ$167,TRUE)-_xlfn.NORM.DIST(AL$30,economics!$AK$2:$AK$167,economics!$AJ$2:$AJ$167,TRUE))*economics!$AM$2:$AM$167))/(SUMPRODUCT((economics!$AG$2:$AG$167=$B53)*(economics!$D$2:$D$167="process")*economics!$AH$2:$AH$167*(_xlfn.NORM.DIST(AL$3,economics!$AK$2:$AK$167,economics!$AJ$2:$AJ$167,TRUE)-_xlfn.NORM.DIST(AL$30,economics!$AK$2:$AK$167,economics!$AJ$2:$AJ$167,TRUE)))),"")</f>
        <v/>
      </c>
      <c r="AM53">
        <f t="array" ref="AM53">IFERROR((SUMPRODUCT((economics!$AG$2:$AG$167=$B53)*(economics!$D$2:$D$167="process")*economics!$AH$2:$AH$167*(_xlfn.NORM.DIST(AM$3,economics!$AK$2:$AK$167,economics!$AJ$2:$AJ$167,TRUE)-_xlfn.NORM.DIST(AM$30,economics!$AK$2:$AK$167,economics!$AJ$2:$AJ$167,TRUE))*economics!$AM$2:$AM$167))/(SUMPRODUCT((economics!$AG$2:$AG$167=$B53)*(economics!$D$2:$D$167="process")*economics!$AH$2:$AH$167*(_xlfn.NORM.DIST(AM$3,economics!$AK$2:$AK$167,economics!$AJ$2:$AJ$167,TRUE)-_xlfn.NORM.DIST(AM$30,economics!$AK$2:$AK$167,economics!$AJ$2:$AJ$167,TRUE)))),"")</f>
        <v/>
      </c>
      <c r="AN53">
        <f t="array" ref="AN53">IFERROR((SUMPRODUCT((economics!$AG$2:$AG$167=$B53)*(economics!$D$2:$D$167="process")*economics!$AH$2:$AH$167*(_xlfn.NORM.DIST(AN$3,economics!$AK$2:$AK$167,economics!$AJ$2:$AJ$167,TRUE)-_xlfn.NORM.DIST(AN$30,economics!$AK$2:$AK$167,economics!$AJ$2:$AJ$167,TRUE))*economics!$AM$2:$AM$167))/(SUMPRODUCT((economics!$AG$2:$AG$167=$B53)*(economics!$D$2:$D$167="process")*economics!$AH$2:$AH$167*(_xlfn.NORM.DIST(AN$3,economics!$AK$2:$AK$167,economics!$AJ$2:$AJ$167,TRUE)-_xlfn.NORM.DIST(AN$30,economics!$AK$2:$AK$167,economics!$AJ$2:$AJ$167,TRUE)))),"")</f>
        <v/>
      </c>
      <c r="AO53">
        <f t="array" ref="AO53">IFERROR((SUMPRODUCT((economics!$AG$2:$AG$167=$B53)*(economics!$D$2:$D$167="process")*economics!$AH$2:$AH$167*(_xlfn.NORM.DIST(AO$3,economics!$AK$2:$AK$167,economics!$AJ$2:$AJ$167,TRUE)-_xlfn.NORM.DIST(AO$30,economics!$AK$2:$AK$167,economics!$AJ$2:$AJ$167,TRUE))*economics!$AM$2:$AM$167))/(SUMPRODUCT((economics!$AG$2:$AG$167=$B53)*(economics!$D$2:$D$167="process")*economics!$AH$2:$AH$167*(_xlfn.NORM.DIST(AO$3,economics!$AK$2:$AK$167,economics!$AJ$2:$AJ$167,TRUE)-_xlfn.NORM.DIST(AO$30,economics!$AK$2:$AK$167,economics!$AJ$2:$AJ$167,TRUE)))),"")</f>
        <v/>
      </c>
      <c r="AP53">
        <f t="array" ref="AP53">IFERROR((SUMPRODUCT((economics!$AG$2:$AG$167=$B53)*(economics!$D$2:$D$167="process")*economics!$AH$2:$AH$167*(_xlfn.NORM.DIST(AP$3,economics!$AK$2:$AK$167,economics!$AJ$2:$AJ$167,TRUE)-_xlfn.NORM.DIST(AP$30,economics!$AK$2:$AK$167,economics!$AJ$2:$AJ$167,TRUE))*economics!$AM$2:$AM$167))/(SUMPRODUCT((economics!$AG$2:$AG$167=$B53)*(economics!$D$2:$D$167="process")*economics!$AH$2:$AH$167*(_xlfn.NORM.DIST(AP$3,economics!$AK$2:$AK$167,economics!$AJ$2:$AJ$167,TRUE)-_xlfn.NORM.DIST(AP$30,economics!$AK$2:$AK$167,economics!$AJ$2:$AJ$167,TRUE)))),"")</f>
        <v/>
      </c>
      <c r="AQ53">
        <f t="array" ref="AQ53">IFERROR((SUMPRODUCT((economics!$AG$2:$AG$167=$B53)*(economics!$D$2:$D$167="process")*economics!$AH$2:$AH$167*(_xlfn.NORM.DIST(AQ$3,economics!$AK$2:$AK$167,economics!$AJ$2:$AJ$167,TRUE)-_xlfn.NORM.DIST(AQ$30,economics!$AK$2:$AK$167,economics!$AJ$2:$AJ$167,TRUE))*economics!$AM$2:$AM$167))/(SUMPRODUCT((economics!$AG$2:$AG$167=$B53)*(economics!$D$2:$D$167="process")*economics!$AH$2:$AH$167*(_xlfn.NORM.DIST(AQ$3,economics!$AK$2:$AK$167,economics!$AJ$2:$AJ$167,TRUE)-_xlfn.NORM.DIST(AQ$30,economics!$AK$2:$AK$167,economics!$AJ$2:$AJ$167,TRUE)))),"")</f>
        <v/>
      </c>
      <c r="AR53">
        <f t="array" ref="AR53">IFERROR((SUMPRODUCT((economics!$AG$2:$AG$167=$B53)*(economics!$D$2:$D$167="process")*economics!$AH$2:$AH$167*(_xlfn.NORM.DIST(AR$3,economics!$AK$2:$AK$167,economics!$AJ$2:$AJ$167,TRUE)-_xlfn.NORM.DIST(AR$30,economics!$AK$2:$AK$167,economics!$AJ$2:$AJ$167,TRUE))*economics!$AM$2:$AM$167))/(SUMPRODUCT((economics!$AG$2:$AG$167=$B53)*(economics!$D$2:$D$167="process")*economics!$AH$2:$AH$167*(_xlfn.NORM.DIST(AR$3,economics!$AK$2:$AK$167,economics!$AJ$2:$AJ$167,TRUE)-_xlfn.NORM.DIST(AR$30,economics!$AK$2:$AK$167,economics!$AJ$2:$AJ$167,TRUE)))),"")</f>
        <v/>
      </c>
      <c r="AS53">
        <f t="array" ref="AS53">IFERROR((SUMPRODUCT((economics!$AG$2:$AG$167=$B53)*(economics!$D$2:$D$167="process")*economics!$AH$2:$AH$167*(_xlfn.NORM.DIST(AS$3,economics!$AK$2:$AK$167,economics!$AJ$2:$AJ$167,TRUE)-_xlfn.NORM.DIST(AS$30,economics!$AK$2:$AK$167,economics!$AJ$2:$AJ$167,TRUE))*economics!$AM$2:$AM$167))/(SUMPRODUCT((economics!$AG$2:$AG$167=$B53)*(economics!$D$2:$D$167="process")*economics!$AH$2:$AH$167*(_xlfn.NORM.DIST(AS$3,economics!$AK$2:$AK$167,economics!$AJ$2:$AJ$167,TRUE)-_xlfn.NORM.DIST(AS$30,economics!$AK$2:$AK$167,economics!$AJ$2:$AJ$167,TRUE)))),"")</f>
        <v/>
      </c>
      <c r="AT53">
        <f t="array" ref="AT53">IFERROR((SUMPRODUCT((economics!$AG$2:$AG$167=$B53)*(economics!$D$2:$D$167="process")*economics!$AH$2:$AH$167*(_xlfn.NORM.DIST(AT$3,economics!$AK$2:$AK$167,economics!$AJ$2:$AJ$167,TRUE)-_xlfn.NORM.DIST(AT$30,economics!$AK$2:$AK$167,economics!$AJ$2:$AJ$167,TRUE))*economics!$AM$2:$AM$167))/(SUMPRODUCT((economics!$AG$2:$AG$167=$B53)*(economics!$D$2:$D$167="process")*economics!$AH$2:$AH$167*(_xlfn.NORM.DIST(AT$3,economics!$AK$2:$AK$167,economics!$AJ$2:$AJ$167,TRUE)-_xlfn.NORM.DIST(AT$30,economics!$AK$2:$AK$167,economics!$AJ$2:$AJ$167,TRUE)))),"")</f>
        <v/>
      </c>
      <c r="AU53">
        <f t="array" ref="AU53">IFERROR((SUMPRODUCT((economics!$AG$2:$AG$167=$B53)*(economics!$D$2:$D$167="process")*economics!$AH$2:$AH$167*(_xlfn.NORM.DIST(AU$3,economics!$AK$2:$AK$167,economics!$AJ$2:$AJ$167,TRUE)-_xlfn.NORM.DIST(AU$30,economics!$AK$2:$AK$167,economics!$AJ$2:$AJ$167,TRUE))*economics!$AM$2:$AM$167))/(SUMPRODUCT((economics!$AG$2:$AG$167=$B53)*(economics!$D$2:$D$167="process")*economics!$AH$2:$AH$167*(_xlfn.NORM.DIST(AU$3,economics!$AK$2:$AK$167,economics!$AJ$2:$AJ$167,TRUE)-_xlfn.NORM.DIST(AU$30,economics!$AK$2:$AK$167,economics!$AJ$2:$AJ$167,TRUE)))),"")</f>
        <v/>
      </c>
      <c r="AV53">
        <f t="array" ref="AV53">IFERROR((SUMPRODUCT((economics!$AG$2:$AG$167=$B53)*(economics!$D$2:$D$167="process")*economics!$AH$2:$AH$167*(_xlfn.NORM.DIST(AV$3,economics!$AK$2:$AK$167,economics!$AJ$2:$AJ$167,TRUE)-_xlfn.NORM.DIST(AV$30,economics!$AK$2:$AK$167,economics!$AJ$2:$AJ$167,TRUE))*economics!$AM$2:$AM$167))/(SUMPRODUCT((economics!$AG$2:$AG$167=$B53)*(economics!$D$2:$D$167="process")*economics!$AH$2:$AH$167*(_xlfn.NORM.DIST(AV$3,economics!$AK$2:$AK$167,economics!$AJ$2:$AJ$167,TRUE)-_xlfn.NORM.DIST(AV$30,economics!$AK$2:$AK$167,economics!$AJ$2:$AJ$167,TRUE)))),"")</f>
        <v/>
      </c>
      <c r="AW53">
        <f t="array" ref="AW53">IFERROR((SUMPRODUCT((economics!$AG$2:$AG$167=$B53)*(economics!$D$2:$D$167="process")*economics!$AH$2:$AH$167*(_xlfn.NORM.DIST(AW$3,economics!$AK$2:$AK$167,economics!$AJ$2:$AJ$167,TRUE)-_xlfn.NORM.DIST(AW$30,economics!$AK$2:$AK$167,economics!$AJ$2:$AJ$167,TRUE))*economics!$AM$2:$AM$167))/(SUMPRODUCT((economics!$AG$2:$AG$167=$B53)*(economics!$D$2:$D$167="process")*economics!$AH$2:$AH$167*(_xlfn.NORM.DIST(AW$3,economics!$AK$2:$AK$167,economics!$AJ$2:$AJ$167,TRUE)-_xlfn.NORM.DIST(AW$30,economics!$AK$2:$AK$167,economics!$AJ$2:$AJ$167,TRUE)))),"")</f>
        <v/>
      </c>
      <c r="AX53">
        <f t="array" ref="AX53">IFERROR((SUMPRODUCT((economics!$AG$2:$AG$167=$B53)*(economics!$D$2:$D$167="process")*economics!$AH$2:$AH$167*(_xlfn.NORM.DIST(AX$3,economics!$AK$2:$AK$167,economics!$AJ$2:$AJ$167,TRUE)-_xlfn.NORM.DIST(AX$30,economics!$AK$2:$AK$167,economics!$AJ$2:$AJ$167,TRUE))*economics!$AM$2:$AM$167))/(SUMPRODUCT((economics!$AG$2:$AG$167=$B53)*(economics!$D$2:$D$167="process")*economics!$AH$2:$AH$167*(_xlfn.NORM.DIST(AX$3,economics!$AK$2:$AK$167,economics!$AJ$2:$AJ$167,TRUE)-_xlfn.NORM.DIST(AX$30,economics!$AK$2:$AK$167,economics!$AJ$2:$AJ$167,TRUE)))),"")</f>
        <v/>
      </c>
      <c r="AY53">
        <f t="array" ref="AY53">IFERROR((SUMPRODUCT((economics!$AG$2:$AG$167=$B53)*(economics!$D$2:$D$167="process")*economics!$AH$2:$AH$167*(_xlfn.NORM.DIST(AY$3,economics!$AK$2:$AK$167,economics!$AJ$2:$AJ$167,TRUE)-_xlfn.NORM.DIST(AY$30,economics!$AK$2:$AK$167,economics!$AJ$2:$AJ$167,TRUE))*economics!$AM$2:$AM$167))/(SUMPRODUCT((economics!$AG$2:$AG$167=$B53)*(economics!$D$2:$D$167="process")*economics!$AH$2:$AH$167*(_xlfn.NORM.DIST(AY$3,economics!$AK$2:$AK$167,economics!$AJ$2:$AJ$167,TRUE)-_xlfn.NORM.DIST(AY$30,economics!$AK$2:$AK$167,economics!$AJ$2:$AJ$167,TRUE)))),"")</f>
        <v/>
      </c>
      <c r="AZ53">
        <f t="array" ref="AZ53">IFERROR((SUMPRODUCT((economics!$AG$2:$AG$167=$B53)*(economics!$D$2:$D$167="process")*economics!$AH$2:$AH$167*(_xlfn.NORM.DIST(AZ$3,economics!$AK$2:$AK$167,economics!$AJ$2:$AJ$167,TRUE)-_xlfn.NORM.DIST(AZ$30,economics!$AK$2:$AK$167,economics!$AJ$2:$AJ$167,TRUE))*economics!$AM$2:$AM$167))/(SUMPRODUCT((economics!$AG$2:$AG$167=$B53)*(economics!$D$2:$D$167="process")*economics!$AH$2:$AH$167*(_xlfn.NORM.DIST(AZ$3,economics!$AK$2:$AK$167,economics!$AJ$2:$AJ$167,TRUE)-_xlfn.NORM.DIST(AZ$30,economics!$AK$2:$AK$167,economics!$AJ$2:$AJ$167,TRUE)))),"")</f>
        <v/>
      </c>
      <c r="BA53">
        <f t="array" ref="BA53">IFERROR((SUMPRODUCT((economics!$AG$2:$AG$167=$B53)*(economics!$D$2:$D$167="process")*economics!$AH$2:$AH$167*(_xlfn.NORM.DIST(BA$3,economics!$AK$2:$AK$167,economics!$AJ$2:$AJ$167,TRUE)-_xlfn.NORM.DIST(BA$30,economics!$AK$2:$AK$167,economics!$AJ$2:$AJ$167,TRUE))*economics!$AM$2:$AM$167))/(SUMPRODUCT((economics!$AG$2:$AG$167=$B53)*(economics!$D$2:$D$167="process")*economics!$AH$2:$AH$167*(_xlfn.NORM.DIST(BA$3,economics!$AK$2:$AK$167,economics!$AJ$2:$AJ$167,TRUE)-_xlfn.NORM.DIST(BA$30,economics!$AK$2:$AK$167,economics!$AJ$2:$AJ$167,TRUE)))),"")</f>
        <v/>
      </c>
      <c r="BB53">
        <f t="array" ref="BB53">IFERROR((SUMPRODUCT((economics!$AG$2:$AG$167=$B53)*(economics!$D$2:$D$167="process")*economics!$AH$2:$AH$167*(_xlfn.NORM.DIST(BB$3,economics!$AK$2:$AK$167,economics!$AJ$2:$AJ$167,TRUE)-_xlfn.NORM.DIST(BB$30,economics!$AK$2:$AK$167,economics!$AJ$2:$AJ$167,TRUE))*economics!$AM$2:$AM$167))/(SUMPRODUCT((economics!$AG$2:$AG$167=$B53)*(economics!$D$2:$D$167="process")*economics!$AH$2:$AH$167*(_xlfn.NORM.DIST(BB$3,economics!$AK$2:$AK$167,economics!$AJ$2:$AJ$167,TRUE)-_xlfn.NORM.DIST(BB$30,economics!$AK$2:$AK$167,economics!$AJ$2:$AJ$167,TRUE)))),"")</f>
        <v/>
      </c>
      <c r="BC53">
        <f t="array" ref="BC53">IFERROR((SUMPRODUCT((economics!$AG$2:$AG$167=$B53)*(economics!$D$2:$D$167="process")*economics!$AH$2:$AH$167*(_xlfn.NORM.DIST(BC$3,economics!$AK$2:$AK$167,economics!$AJ$2:$AJ$167,TRUE)-_xlfn.NORM.DIST(BC$30,economics!$AK$2:$AK$167,economics!$AJ$2:$AJ$167,TRUE))*economics!$AM$2:$AM$167))/(SUMPRODUCT((economics!$AG$2:$AG$167=$B53)*(economics!$D$2:$D$167="process")*economics!$AH$2:$AH$167*(_xlfn.NORM.DIST(BC$3,economics!$AK$2:$AK$167,economics!$AJ$2:$AJ$167,TRUE)-_xlfn.NORM.DIST(BC$30,economics!$AK$2:$AK$167,economics!$AJ$2:$AJ$167,TRUE)))),"")</f>
        <v/>
      </c>
      <c r="BD53">
        <f t="array" ref="BD53">IFERROR((SUMPRODUCT((economics!$AG$2:$AG$167=$B53)*(economics!$D$2:$D$167="process")*economics!$AH$2:$AH$167*(_xlfn.NORM.DIST(BD$3,economics!$AK$2:$AK$167,economics!$AJ$2:$AJ$167,TRUE)-_xlfn.NORM.DIST(BD$30,economics!$AK$2:$AK$167,economics!$AJ$2:$AJ$167,TRUE))*economics!$AM$2:$AM$167))/(SUMPRODUCT((economics!$AG$2:$AG$167=$B53)*(economics!$D$2:$D$167="process")*economics!$AH$2:$AH$167*(_xlfn.NORM.DIST(BD$3,economics!$AK$2:$AK$167,economics!$AJ$2:$AJ$167,TRUE)-_xlfn.NORM.DIST(BD$30,economics!$AK$2:$AK$167,economics!$AJ$2:$AJ$167,TRUE)))),"")</f>
        <v/>
      </c>
      <c r="BE53">
        <f t="array" ref="BE53">IFERROR((SUMPRODUCT((economics!$AG$2:$AG$167=$B53)*(economics!$D$2:$D$167="process")*economics!$AH$2:$AH$167*(_xlfn.NORM.DIST(BE$3,economics!$AK$2:$AK$167,economics!$AJ$2:$AJ$167,TRUE)-_xlfn.NORM.DIST(BE$30,economics!$AK$2:$AK$167,economics!$AJ$2:$AJ$167,TRUE))*economics!$AM$2:$AM$167))/(SUMPRODUCT((economics!$AG$2:$AG$167=$B53)*(economics!$D$2:$D$167="process")*economics!$AH$2:$AH$167*(_xlfn.NORM.DIST(BE$3,economics!$AK$2:$AK$167,economics!$AJ$2:$AJ$167,TRUE)-_xlfn.NORM.DIST(BE$30,economics!$AK$2:$AK$167,economics!$AJ$2:$AJ$167,TRUE)))),"")</f>
        <v/>
      </c>
      <c r="BF53">
        <f t="array" ref="BF53">IFERROR((SUMPRODUCT((economics!$AG$2:$AG$167=$B53)*(economics!$D$2:$D$167="process")*economics!$AH$2:$AH$167*(_xlfn.NORM.DIST(BF$3,economics!$AK$2:$AK$167,economics!$AJ$2:$AJ$167,TRUE)-_xlfn.NORM.DIST(BF$30,economics!$AK$2:$AK$167,economics!$AJ$2:$AJ$167,TRUE))*economics!$AM$2:$AM$167))/(SUMPRODUCT((economics!$AG$2:$AG$167=$B53)*(economics!$D$2:$D$167="process")*economics!$AH$2:$AH$167*(_xlfn.NORM.DIST(BF$3,economics!$AK$2:$AK$167,economics!$AJ$2:$AJ$167,TRUE)-_xlfn.NORM.DIST(BF$30,economics!$AK$2:$AK$167,economics!$AJ$2:$AJ$167,TRUE)))),"")</f>
        <v/>
      </c>
      <c r="BG53">
        <f t="array" ref="BG53">IFERROR((SUMPRODUCT((economics!$AG$2:$AG$167=$B53)*(economics!$D$2:$D$167="process")*economics!$AH$2:$AH$167*(_xlfn.NORM.DIST(BG$3,economics!$AK$2:$AK$167,economics!$AJ$2:$AJ$167,TRUE)-_xlfn.NORM.DIST(BG$30,economics!$AK$2:$AK$167,economics!$AJ$2:$AJ$167,TRUE))*economics!$AM$2:$AM$167))/(SUMPRODUCT((economics!$AG$2:$AG$167=$B53)*(economics!$D$2:$D$167="process")*economics!$AH$2:$AH$167*(_xlfn.NORM.DIST(BG$3,economics!$AK$2:$AK$167,economics!$AJ$2:$AJ$167,TRUE)-_xlfn.NORM.DIST(BG$30,economics!$AK$2:$AK$167,economics!$AJ$2:$AJ$167,TRUE)))),"")</f>
        <v/>
      </c>
      <c r="BH53">
        <f t="array" ref="BH53">IFERROR((SUMPRODUCT((economics!$AG$2:$AG$167=$B53)*(economics!$D$2:$D$167="process")*economics!$AH$2:$AH$167*(_xlfn.NORM.DIST(BH$3,economics!$AK$2:$AK$167,economics!$AJ$2:$AJ$167,TRUE)-_xlfn.NORM.DIST(BH$30,economics!$AK$2:$AK$167,economics!$AJ$2:$AJ$167,TRUE))*economics!$AM$2:$AM$167))/(SUMPRODUCT((economics!$AG$2:$AG$167=$B53)*(economics!$D$2:$D$167="process")*economics!$AH$2:$AH$167*(_xlfn.NORM.DIST(BH$3,economics!$AK$2:$AK$167,economics!$AJ$2:$AJ$167,TRUE)-_xlfn.NORM.DIST(BH$30,economics!$AK$2:$AK$167,economics!$AJ$2:$AJ$167,TRUE)))),"")</f>
        <v/>
      </c>
      <c r="BI53">
        <f t="array" ref="BI53">IFERROR((SUMPRODUCT((economics!$AG$2:$AG$167=$B53)*(economics!$D$2:$D$167="process")*economics!$AH$2:$AH$167*(_xlfn.NORM.DIST(BI$3,economics!$AK$2:$AK$167,economics!$AJ$2:$AJ$167,TRUE)-_xlfn.NORM.DIST(BI$30,economics!$AK$2:$AK$167,economics!$AJ$2:$AJ$167,TRUE))*economics!$AM$2:$AM$167))/(SUMPRODUCT((economics!$AG$2:$AG$167=$B53)*(economics!$D$2:$D$167="process")*economics!$AH$2:$AH$167*(_xlfn.NORM.DIST(BI$3,economics!$AK$2:$AK$167,economics!$AJ$2:$AJ$167,TRUE)-_xlfn.NORM.DIST(BI$30,economics!$AK$2:$AK$167,economics!$AJ$2:$AJ$167,TRUE)))),"")</f>
        <v/>
      </c>
      <c r="BJ53">
        <f t="array" ref="BJ53">IFERROR((SUMPRODUCT((economics!$AG$2:$AG$167=$B53)*(economics!$D$2:$D$167="process")*economics!$AH$2:$AH$167*(_xlfn.NORM.DIST(BJ$3,economics!$AK$2:$AK$167,economics!$AJ$2:$AJ$167,TRUE)-_xlfn.NORM.DIST(BJ$30,economics!$AK$2:$AK$167,economics!$AJ$2:$AJ$167,TRUE))*economics!$AM$2:$AM$167))/(SUMPRODUCT((economics!$AG$2:$AG$167=$B53)*(economics!$D$2:$D$167="process")*economics!$AH$2:$AH$167*(_xlfn.NORM.DIST(BJ$3,economics!$AK$2:$AK$167,economics!$AJ$2:$AJ$167,TRUE)-_xlfn.NORM.DIST(BJ$30,economics!$AK$2:$AK$167,economics!$AJ$2:$AJ$167,TRUE)))),"")</f>
        <v/>
      </c>
      <c r="BK53">
        <f t="array" ref="BK53">IFERROR((SUMPRODUCT((economics!$AG$2:$AG$167=$B53)*(economics!$D$2:$D$167="process")*economics!$AH$2:$AH$167*(_xlfn.NORM.DIST(BK$3,economics!$AK$2:$AK$167,economics!$AJ$2:$AJ$167,TRUE)-_xlfn.NORM.DIST(BK$30,economics!$AK$2:$AK$167,economics!$AJ$2:$AJ$167,TRUE))*economics!$AM$2:$AM$167))/(SUMPRODUCT((economics!$AG$2:$AG$167=$B53)*(economics!$D$2:$D$167="process")*economics!$AH$2:$AH$167*(_xlfn.NORM.DIST(BK$3,economics!$AK$2:$AK$167,economics!$AJ$2:$AJ$167,TRUE)-_xlfn.NORM.DIST(BK$30,economics!$AK$2:$AK$167,economics!$AJ$2:$AJ$167,TRUE)))),"")</f>
        <v/>
      </c>
      <c r="BL53">
        <f t="array" ref="BL53">IFERROR((SUMPRODUCT((economics!$AG$2:$AG$167=$B53)*(economics!$D$2:$D$167="process")*economics!$AH$2:$AH$167*(_xlfn.NORM.DIST(BL$3,economics!$AK$2:$AK$167,economics!$AJ$2:$AJ$167,TRUE)-_xlfn.NORM.DIST(BL$30,economics!$AK$2:$AK$167,economics!$AJ$2:$AJ$167,TRUE))*economics!$AM$2:$AM$167))/(SUMPRODUCT((economics!$AG$2:$AG$167=$B53)*(economics!$D$2:$D$167="process")*economics!$AH$2:$AH$167*(_xlfn.NORM.DIST(BL$3,economics!$AK$2:$AK$167,economics!$AJ$2:$AJ$167,TRUE)-_xlfn.NORM.DIST(BL$30,economics!$AK$2:$AK$167,economics!$AJ$2:$AJ$167,TRUE)))),"")</f>
        <v/>
      </c>
      <c r="BM53">
        <f t="array" ref="BM53">IFERROR((SUMPRODUCT((economics!$AG$2:$AG$167=$B53)*(economics!$D$2:$D$167="process")*economics!$AH$2:$AH$167*(_xlfn.NORM.DIST(BM$3,economics!$AK$2:$AK$167,economics!$AJ$2:$AJ$167,TRUE)-_xlfn.NORM.DIST(BM$30,economics!$AK$2:$AK$167,economics!$AJ$2:$AJ$167,TRUE))*economics!$AM$2:$AM$167))/(SUMPRODUCT((economics!$AG$2:$AG$167=$B53)*(economics!$D$2:$D$167="process")*economics!$AH$2:$AH$167*(_xlfn.NORM.DIST(BM$3,economics!$AK$2:$AK$167,economics!$AJ$2:$AJ$167,TRUE)-_xlfn.NORM.DIST(BM$30,economics!$AK$2:$AK$167,economics!$AJ$2:$AJ$167,TRUE)))),"")</f>
        <v/>
      </c>
      <c r="BN53">
        <f t="array" ref="BN53">IFERROR((SUMPRODUCT((economics!$AG$2:$AG$167=$B53)*(economics!$D$2:$D$167="process")*economics!$AH$2:$AH$167*(_xlfn.NORM.DIST(BN$3,economics!$AK$2:$AK$167,economics!$AJ$2:$AJ$167,TRUE)-_xlfn.NORM.DIST(BN$30,economics!$AK$2:$AK$167,economics!$AJ$2:$AJ$167,TRUE))*economics!$AM$2:$AM$167))/(SUMPRODUCT((economics!$AG$2:$AG$167=$B53)*(economics!$D$2:$D$167="process")*economics!$AH$2:$AH$167*(_xlfn.NORM.DIST(BN$3,economics!$AK$2:$AK$167,economics!$AJ$2:$AJ$167,TRUE)-_xlfn.NORM.DIST(BN$30,economics!$AK$2:$AK$167,economics!$AJ$2:$AJ$167,TRUE)))),"")</f>
        <v/>
      </c>
      <c r="BO53">
        <f t="array" ref="BO53">IFERROR((SUMPRODUCT((economics!$AG$2:$AG$167=$B53)*(economics!$D$2:$D$167="process")*economics!$AH$2:$AH$167*(_xlfn.NORM.DIST(BO$3,economics!$AK$2:$AK$167,economics!$AJ$2:$AJ$167,TRUE)-_xlfn.NORM.DIST(BO$30,economics!$AK$2:$AK$167,economics!$AJ$2:$AJ$167,TRUE))*economics!$AM$2:$AM$167))/(SUMPRODUCT((economics!$AG$2:$AG$167=$B53)*(economics!$D$2:$D$167="process")*economics!$AH$2:$AH$167*(_xlfn.NORM.DIST(BO$3,economics!$AK$2:$AK$167,economics!$AJ$2:$AJ$167,TRUE)-_xlfn.NORM.DIST(BO$30,economics!$AK$2:$AK$167,economics!$AJ$2:$AJ$167,TRUE)))),"")</f>
        <v/>
      </c>
      <c r="BP53">
        <f t="array" ref="BP53">IFERROR((SUMPRODUCT((economics!$AG$2:$AG$167=$B53)*(economics!$D$2:$D$167="process")*economics!$AH$2:$AH$167*(_xlfn.NORM.DIST(BP$3,economics!$AK$2:$AK$167,economics!$AJ$2:$AJ$167,TRUE)-_xlfn.NORM.DIST(BP$30,economics!$AK$2:$AK$167,economics!$AJ$2:$AJ$167,TRUE))*economics!$AM$2:$AM$167))/(SUMPRODUCT((economics!$AG$2:$AG$167=$B53)*(economics!$D$2:$D$167="process")*economics!$AH$2:$AH$167*(_xlfn.NORM.DIST(BP$3,economics!$AK$2:$AK$167,economics!$AJ$2:$AJ$167,TRUE)-_xlfn.NORM.DIST(BP$30,economics!$AK$2:$AK$167,economics!$AJ$2:$AJ$167,TRUE)))),"")</f>
        <v/>
      </c>
      <c r="BQ53">
        <f t="array" ref="BQ53">IFERROR((SUMPRODUCT((economics!$AG$2:$AG$167=$B53)*(economics!$D$2:$D$167="process")*economics!$AH$2:$AH$167*(_xlfn.NORM.DIST(BQ$3,economics!$AK$2:$AK$167,economics!$AJ$2:$AJ$167,TRUE)-_xlfn.NORM.DIST(BQ$30,economics!$AK$2:$AK$167,economics!$AJ$2:$AJ$167,TRUE))*economics!$AM$2:$AM$167))/(SUMPRODUCT((economics!$AG$2:$AG$167=$B53)*(economics!$D$2:$D$167="process")*economics!$AH$2:$AH$167*(_xlfn.NORM.DIST(BQ$3,economics!$AK$2:$AK$167,economics!$AJ$2:$AJ$167,TRUE)-_xlfn.NORM.DIST(BQ$30,economics!$AK$2:$AK$167,economics!$AJ$2:$AJ$167,TRUE)))),"")</f>
        <v/>
      </c>
      <c r="BR53">
        <f t="array" ref="BR53">IFERROR((SUMPRODUCT((economics!$AG$2:$AG$167=$B53)*(economics!$D$2:$D$167="process")*economics!$AH$2:$AH$167*(_xlfn.NORM.DIST(BR$3,economics!$AK$2:$AK$167,economics!$AJ$2:$AJ$167,TRUE)-_xlfn.NORM.DIST(BR$30,economics!$AK$2:$AK$167,economics!$AJ$2:$AJ$167,TRUE))*economics!$AM$2:$AM$167))/(SUMPRODUCT((economics!$AG$2:$AG$167=$B53)*(economics!$D$2:$D$167="process")*economics!$AH$2:$AH$167*(_xlfn.NORM.DIST(BR$3,economics!$AK$2:$AK$167,economics!$AJ$2:$AJ$167,TRUE)-_xlfn.NORM.DIST(BR$30,economics!$AK$2:$AK$167,economics!$AJ$2:$AJ$167,TRUE)))),"")</f>
        <v/>
      </c>
      <c r="BS53">
        <f t="array" ref="BS53">IFERROR((SUMPRODUCT((economics!$AG$2:$AG$167=$B53)*(economics!$D$2:$D$167="process")*economics!$AH$2:$AH$167*(_xlfn.NORM.DIST(BS$3,economics!$AK$2:$AK$167,economics!$AJ$2:$AJ$167,TRUE)-_xlfn.NORM.DIST(BS$30,economics!$AK$2:$AK$167,economics!$AJ$2:$AJ$167,TRUE))*economics!$AM$2:$AM$167))/(SUMPRODUCT((economics!$AG$2:$AG$167=$B53)*(economics!$D$2:$D$167="process")*economics!$AH$2:$AH$167*(_xlfn.NORM.DIST(BS$3,economics!$AK$2:$AK$167,economics!$AJ$2:$AJ$167,TRUE)-_xlfn.NORM.DIST(BS$30,economics!$AK$2:$AK$167,economics!$AJ$2:$AJ$167,TRUE)))),"")</f>
        <v/>
      </c>
      <c r="BT53">
        <f t="array" ref="BT53">IFERROR((SUMPRODUCT((economics!$AG$2:$AG$167=$B53)*(economics!$D$2:$D$167="process")*economics!$AH$2:$AH$167*(_xlfn.NORM.DIST(BT$3,economics!$AK$2:$AK$167,economics!$AJ$2:$AJ$167,TRUE)-_xlfn.NORM.DIST(BT$30,economics!$AK$2:$AK$167,economics!$AJ$2:$AJ$167,TRUE))*economics!$AM$2:$AM$167))/(SUMPRODUCT((economics!$AG$2:$AG$167=$B53)*(economics!$D$2:$D$167="process")*economics!$AH$2:$AH$167*(_xlfn.NORM.DIST(BT$3,economics!$AK$2:$AK$167,economics!$AJ$2:$AJ$167,TRUE)-_xlfn.NORM.DIST(BT$30,economics!$AK$2:$AK$167,economics!$AJ$2:$AJ$167,TRUE)))),"")</f>
        <v/>
      </c>
      <c r="BU53">
        <f t="array" ref="BU53">IFERROR((SUMPRODUCT((economics!$AG$2:$AG$167=$B53)*(economics!$D$2:$D$167="process")*economics!$AH$2:$AH$167*(_xlfn.NORM.DIST(BU$3,economics!$AK$2:$AK$167,economics!$AJ$2:$AJ$167,TRUE)-_xlfn.NORM.DIST(BU$30,economics!$AK$2:$AK$167,economics!$AJ$2:$AJ$167,TRUE))*economics!$AM$2:$AM$167))/(SUMPRODUCT((economics!$AG$2:$AG$167=$B53)*(economics!$D$2:$D$167="process")*economics!$AH$2:$AH$167*(_xlfn.NORM.DIST(BU$3,economics!$AK$2:$AK$167,economics!$AJ$2:$AJ$167,TRUE)-_xlfn.NORM.DIST(BU$30,economics!$AK$2:$AK$167,economics!$AJ$2:$AJ$167,TRUE)))),"")</f>
        <v/>
      </c>
      <c r="BV53">
        <f t="array" ref="BV53">IFERROR((SUMPRODUCT((economics!$AG$2:$AG$167=$B53)*(economics!$D$2:$D$167="process")*economics!$AH$2:$AH$167*(_xlfn.NORM.DIST(BV$3,economics!$AK$2:$AK$167,economics!$AJ$2:$AJ$167,TRUE)-_xlfn.NORM.DIST(BV$30,economics!$AK$2:$AK$167,economics!$AJ$2:$AJ$167,TRUE))*economics!$AM$2:$AM$167))/(SUMPRODUCT((economics!$AG$2:$AG$167=$B53)*(economics!$D$2:$D$167="process")*economics!$AH$2:$AH$167*(_xlfn.NORM.DIST(BV$3,economics!$AK$2:$AK$167,economics!$AJ$2:$AJ$167,TRUE)-_xlfn.NORM.DIST(BV$30,economics!$AK$2:$AK$167,economics!$AJ$2:$AJ$167,TRUE)))),"")</f>
        <v/>
      </c>
      <c r="BW53">
        <f t="array" ref="BW53">IFERROR((SUMPRODUCT((economics!$AG$2:$AG$167=$B53)*(economics!$D$2:$D$167="process")*economics!$AH$2:$AH$167*(_xlfn.NORM.DIST(BW$3,economics!$AK$2:$AK$167,economics!$AJ$2:$AJ$167,TRUE)-_xlfn.NORM.DIST(BW$30,economics!$AK$2:$AK$167,economics!$AJ$2:$AJ$167,TRUE))*economics!$AM$2:$AM$167))/(SUMPRODUCT((economics!$AG$2:$AG$167=$B53)*(economics!$D$2:$D$167="process")*economics!$AH$2:$AH$167*(_xlfn.NORM.DIST(BW$3,economics!$AK$2:$AK$167,economics!$AJ$2:$AJ$167,TRUE)-_xlfn.NORM.DIST(BW$30,economics!$AK$2:$AK$167,economics!$AJ$2:$AJ$167,TRUE)))),"")</f>
        <v/>
      </c>
      <c r="BX53">
        <f t="array" ref="BX53">IFERROR((SUMPRODUCT((economics!$AG$2:$AG$167=$B53)*(economics!$D$2:$D$167="process")*economics!$AH$2:$AH$167*(_xlfn.NORM.DIST(BX$3,economics!$AK$2:$AK$167,economics!$AJ$2:$AJ$167,TRUE)-_xlfn.NORM.DIST(BX$30,economics!$AK$2:$AK$167,economics!$AJ$2:$AJ$167,TRUE))*economics!$AM$2:$AM$167))/(SUMPRODUCT((economics!$AG$2:$AG$167=$B53)*(economics!$D$2:$D$167="process")*economics!$AH$2:$AH$167*(_xlfn.NORM.DIST(BX$3,economics!$AK$2:$AK$167,economics!$AJ$2:$AJ$167,TRUE)-_xlfn.NORM.DIST(BX$30,economics!$AK$2:$AK$167,economics!$AJ$2:$AJ$167,TRUE)))),"")</f>
        <v/>
      </c>
      <c r="BY53">
        <f t="array" ref="BY53">IFERROR((SUMPRODUCT((economics!$AG$2:$AG$167=$B53)*(economics!$D$2:$D$167="process")*economics!$AH$2:$AH$167*(_xlfn.NORM.DIST(BY$3,economics!$AK$2:$AK$167,economics!$AJ$2:$AJ$167,TRUE)-_xlfn.NORM.DIST(BY$30,economics!$AK$2:$AK$167,economics!$AJ$2:$AJ$167,TRUE))*economics!$AM$2:$AM$167))/(SUMPRODUCT((economics!$AG$2:$AG$167=$B53)*(economics!$D$2:$D$167="process")*economics!$AH$2:$AH$167*(_xlfn.NORM.DIST(BY$3,economics!$AK$2:$AK$167,economics!$AJ$2:$AJ$167,TRUE)-_xlfn.NORM.DIST(BY$30,economics!$AK$2:$AK$167,economics!$AJ$2:$AJ$167,TRUE)))),"")</f>
        <v/>
      </c>
      <c r="BZ53">
        <f t="array" ref="BZ53">IFERROR((SUMPRODUCT((economics!$AG$2:$AG$167=$B53)*(economics!$D$2:$D$167="process")*economics!$AH$2:$AH$167*(_xlfn.NORM.DIST(BZ$3,economics!$AK$2:$AK$167,economics!$AJ$2:$AJ$167,TRUE)-_xlfn.NORM.DIST(BZ$30,economics!$AK$2:$AK$167,economics!$AJ$2:$AJ$167,TRUE))*economics!$AM$2:$AM$167))/(SUMPRODUCT((economics!$AG$2:$AG$167=$B53)*(economics!$D$2:$D$167="process")*economics!$AH$2:$AH$167*(_xlfn.NORM.DIST(BZ$3,economics!$AK$2:$AK$167,economics!$AJ$2:$AJ$167,TRUE)-_xlfn.NORM.DIST(BZ$30,economics!$AK$2:$AK$167,economics!$AJ$2:$AJ$167,TRUE)))),"")</f>
        <v/>
      </c>
      <c r="CA53">
        <f t="array" ref="CA53">IFERROR((SUMPRODUCT((economics!$AG$2:$AG$167=$B53)*(economics!$D$2:$D$167="process")*economics!$AH$2:$AH$167*(_xlfn.NORM.DIST(CA$3,economics!$AK$2:$AK$167,economics!$AJ$2:$AJ$167,TRUE)-_xlfn.NORM.DIST(CA$30,economics!$AK$2:$AK$167,economics!$AJ$2:$AJ$167,TRUE))*economics!$AM$2:$AM$167))/(SUMPRODUCT((economics!$AG$2:$AG$167=$B53)*(economics!$D$2:$D$167="process")*economics!$AH$2:$AH$167*(_xlfn.NORM.DIST(CA$3,economics!$AK$2:$AK$167,economics!$AJ$2:$AJ$167,TRUE)-_xlfn.NORM.DIST(CA$30,economics!$AK$2:$AK$167,economics!$AJ$2:$AJ$167,TRUE)))),"")</f>
        <v/>
      </c>
      <c r="CB53">
        <f t="array" ref="CB53">IFERROR((SUMPRODUCT((economics!$AG$2:$AG$167=$B53)*(economics!$D$2:$D$167="process")*economics!$AH$2:$AH$167*(_xlfn.NORM.DIST(CB$3,economics!$AK$2:$AK$167,economics!$AJ$2:$AJ$167,TRUE)-_xlfn.NORM.DIST(CB$30,economics!$AK$2:$AK$167,economics!$AJ$2:$AJ$167,TRUE))*economics!$AM$2:$AM$167))/(SUMPRODUCT((economics!$AG$2:$AG$167=$B53)*(economics!$D$2:$D$167="process")*economics!$AH$2:$AH$167*(_xlfn.NORM.DIST(CB$3,economics!$AK$2:$AK$167,economics!$AJ$2:$AJ$167,TRUE)-_xlfn.NORM.DIST(CB$30,economics!$AK$2:$AK$167,economics!$AJ$2:$AJ$167,TRUE)))),"")</f>
        <v/>
      </c>
      <c r="CC53">
        <f t="array" ref="CC53">IFERROR((SUMPRODUCT((economics!$AG$2:$AG$167=$B53)*(economics!$D$2:$D$167="process")*economics!$AH$2:$AH$167*(_xlfn.NORM.DIST(CC$3,economics!$AK$2:$AK$167,economics!$AJ$2:$AJ$167,TRUE)-_xlfn.NORM.DIST(CC$30,economics!$AK$2:$AK$167,economics!$AJ$2:$AJ$167,TRUE))*economics!$AM$2:$AM$167))/(SUMPRODUCT((economics!$AG$2:$AG$167=$B53)*(economics!$D$2:$D$167="process")*economics!$AH$2:$AH$167*(_xlfn.NORM.DIST(CC$3,economics!$AK$2:$AK$167,economics!$AJ$2:$AJ$167,TRUE)-_xlfn.NORM.DIST(CC$30,economics!$AK$2:$AK$167,economics!$AJ$2:$AJ$167,TRUE)))),"")</f>
        <v/>
      </c>
      <c r="CD53">
        <f t="array" ref="CD53">IFERROR((SUMPRODUCT((economics!$AG$2:$AG$167=$B53)*(economics!$D$2:$D$167="process")*economics!$AH$2:$AH$167*(_xlfn.NORM.DIST(CD$3,economics!$AK$2:$AK$167,economics!$AJ$2:$AJ$167,TRUE)-_xlfn.NORM.DIST(CD$30,economics!$AK$2:$AK$167,economics!$AJ$2:$AJ$167,TRUE))*economics!$AM$2:$AM$167))/(SUMPRODUCT((economics!$AG$2:$AG$167=$B53)*(economics!$D$2:$D$167="process")*economics!$AH$2:$AH$167*(_xlfn.NORM.DIST(CD$3,economics!$AK$2:$AK$167,economics!$AJ$2:$AJ$167,TRUE)-_xlfn.NORM.DIST(CD$30,economics!$AK$2:$AK$167,economics!$AJ$2:$AJ$167,TRUE)))),"")</f>
        <v/>
      </c>
      <c r="CE53">
        <f t="array" ref="CE53">IFERROR((SUMPRODUCT((economics!$AG$2:$AG$167=$B53)*(economics!$D$2:$D$167="process")*economics!$AH$2:$AH$167*(_xlfn.NORM.DIST(CE$3,economics!$AK$2:$AK$167,economics!$AJ$2:$AJ$167,TRUE)-_xlfn.NORM.DIST(CE$30,economics!$AK$2:$AK$167,economics!$AJ$2:$AJ$167,TRUE))*economics!$AM$2:$AM$167))/(SUMPRODUCT((economics!$AG$2:$AG$167=$B53)*(economics!$D$2:$D$167="process")*economics!$AH$2:$AH$167*(_xlfn.NORM.DIST(CE$3,economics!$AK$2:$AK$167,economics!$AJ$2:$AJ$167,TRUE)-_xlfn.NORM.DIST(CE$30,economics!$AK$2:$AK$167,economics!$AJ$2:$AJ$167,TRUE)))),"")</f>
        <v/>
      </c>
      <c r="CF53">
        <f t="array" ref="CF53">IFERROR((SUMPRODUCT((economics!$AG$2:$AG$167=$B53)*(economics!$D$2:$D$167="process")*economics!$AH$2:$AH$167*(_xlfn.NORM.DIST(CF$3,economics!$AK$2:$AK$167,economics!$AJ$2:$AJ$167,TRUE)-_xlfn.NORM.DIST(CF$30,economics!$AK$2:$AK$167,economics!$AJ$2:$AJ$167,TRUE))*economics!$AM$2:$AM$167))/(SUMPRODUCT((economics!$AG$2:$AG$167=$B53)*(economics!$D$2:$D$167="process")*economics!$AH$2:$AH$167*(_xlfn.NORM.DIST(CF$3,economics!$AK$2:$AK$167,economics!$AJ$2:$AJ$167,TRUE)-_xlfn.NORM.DIST(CF$30,economics!$AK$2:$AK$167,economics!$AJ$2:$AJ$167,TRUE)))),"")</f>
        <v/>
      </c>
      <c r="CG53">
        <f t="array" ref="CG53">IFERROR((SUMPRODUCT((economics!$AG$2:$AG$167=$B53)*(economics!$D$2:$D$167="process")*economics!$AH$2:$AH$167*(_xlfn.NORM.DIST(CG$3,economics!$AK$2:$AK$167,economics!$AJ$2:$AJ$167,TRUE)-_xlfn.NORM.DIST(CG$30,economics!$AK$2:$AK$167,economics!$AJ$2:$AJ$167,TRUE))*economics!$AM$2:$AM$167))/(SUMPRODUCT((economics!$AG$2:$AG$167=$B53)*(economics!$D$2:$D$167="process")*economics!$AH$2:$AH$167*(_xlfn.NORM.DIST(CG$3,economics!$AK$2:$AK$167,economics!$AJ$2:$AJ$167,TRUE)-_xlfn.NORM.DIST(CG$30,economics!$AK$2:$AK$167,economics!$AJ$2:$AJ$167,TRUE)))),"")</f>
        <v/>
      </c>
      <c r="CH53">
        <f t="array" ref="CH53">IFERROR((SUMPRODUCT((economics!$AG$2:$AG$167=$B53)*(economics!$D$2:$D$167="process")*economics!$AH$2:$AH$167*(_xlfn.NORM.DIST(CH$3,economics!$AK$2:$AK$167,economics!$AJ$2:$AJ$167,TRUE)-_xlfn.NORM.DIST(CH$30,economics!$AK$2:$AK$167,economics!$AJ$2:$AJ$167,TRUE))*economics!$AM$2:$AM$167))/(SUMPRODUCT((economics!$AG$2:$AG$167=$B53)*(economics!$D$2:$D$167="process")*economics!$AH$2:$AH$167*(_xlfn.NORM.DIST(CH$3,economics!$AK$2:$AK$167,economics!$AJ$2:$AJ$167,TRUE)-_xlfn.NORM.DIST(CH$30,economics!$AK$2:$AK$167,economics!$AJ$2:$AJ$167,TRUE)))),"")</f>
        <v/>
      </c>
    </row>
    <row r="54">
      <c r="A54">
        <f>A25</f>
        <v/>
      </c>
      <c r="B54">
        <f>B25</f>
        <v/>
      </c>
      <c r="E54">
        <f t="array" ref="E54">IFERROR((SUMPRODUCT((economics!$AG$2:$AG$167=$B54)*(economics!$D$2:$D$167="process")*economics!$AH$2:$AH$167*(_xlfn.NORM.DIST(E$3,economics!$AK$2:$AK$167,economics!$AJ$2:$AJ$167,TRUE)-_xlfn.NORM.DIST(E$30,economics!$AK$2:$AK$167,economics!$AJ$2:$AJ$167,TRUE))*economics!$AM$2:$AM$167))/(SUMPRODUCT((economics!$AG$2:$AG$167=$B54)*(economics!$D$2:$D$167="process")*economics!$AH$2:$AH$167*(_xlfn.NORM.DIST(E$3,economics!$AK$2:$AK$167,economics!$AJ$2:$AJ$167,TRUE)-_xlfn.NORM.DIST(E$30,economics!$AK$2:$AK$167,economics!$AJ$2:$AJ$167,TRUE)))),"")</f>
        <v/>
      </c>
      <c r="F54">
        <f t="array" ref="F54">IFERROR((SUMPRODUCT((economics!$AG$2:$AG$167=$B54)*(economics!$D$2:$D$167="process")*economics!$AH$2:$AH$167*(_xlfn.NORM.DIST(F$3,economics!$AK$2:$AK$167,economics!$AJ$2:$AJ$167,TRUE)-_xlfn.NORM.DIST(F$30,economics!$AK$2:$AK$167,economics!$AJ$2:$AJ$167,TRUE))*economics!$AM$2:$AM$167))/(SUMPRODUCT((economics!$AG$2:$AG$167=$B54)*(economics!$D$2:$D$167="process")*economics!$AH$2:$AH$167*(_xlfn.NORM.DIST(F$3,economics!$AK$2:$AK$167,economics!$AJ$2:$AJ$167,TRUE)-_xlfn.NORM.DIST(F$30,economics!$AK$2:$AK$167,economics!$AJ$2:$AJ$167,TRUE)))),"")</f>
        <v/>
      </c>
      <c r="G54">
        <f t="array" ref="G54">IFERROR((SUMPRODUCT((economics!$AG$2:$AG$167=$B54)*(economics!$D$2:$D$167="process")*economics!$AH$2:$AH$167*(_xlfn.NORM.DIST(G$3,economics!$AK$2:$AK$167,economics!$AJ$2:$AJ$167,TRUE)-_xlfn.NORM.DIST(G$30,economics!$AK$2:$AK$167,economics!$AJ$2:$AJ$167,TRUE))*economics!$AM$2:$AM$167))/(SUMPRODUCT((economics!$AG$2:$AG$167=$B54)*(economics!$D$2:$D$167="process")*economics!$AH$2:$AH$167*(_xlfn.NORM.DIST(G$3,economics!$AK$2:$AK$167,economics!$AJ$2:$AJ$167,TRUE)-_xlfn.NORM.DIST(G$30,economics!$AK$2:$AK$167,economics!$AJ$2:$AJ$167,TRUE)))),"")</f>
        <v/>
      </c>
      <c r="H54">
        <f t="array" ref="H54">IFERROR((SUMPRODUCT((economics!$AG$2:$AG$167=$B54)*(economics!$D$2:$D$167="process")*economics!$AH$2:$AH$167*(_xlfn.NORM.DIST(H$3,economics!$AK$2:$AK$167,economics!$AJ$2:$AJ$167,TRUE)-_xlfn.NORM.DIST(H$30,economics!$AK$2:$AK$167,economics!$AJ$2:$AJ$167,TRUE))*economics!$AM$2:$AM$167))/(SUMPRODUCT((economics!$AG$2:$AG$167=$B54)*(economics!$D$2:$D$167="process")*economics!$AH$2:$AH$167*(_xlfn.NORM.DIST(H$3,economics!$AK$2:$AK$167,economics!$AJ$2:$AJ$167,TRUE)-_xlfn.NORM.DIST(H$30,economics!$AK$2:$AK$167,economics!$AJ$2:$AJ$167,TRUE)))),"")</f>
        <v/>
      </c>
      <c r="I54">
        <f t="array" ref="I54">IFERROR((SUMPRODUCT((economics!$AG$2:$AG$167=$B54)*(economics!$D$2:$D$167="process")*economics!$AH$2:$AH$167*(_xlfn.NORM.DIST(I$3,economics!$AK$2:$AK$167,economics!$AJ$2:$AJ$167,TRUE)-_xlfn.NORM.DIST(I$30,economics!$AK$2:$AK$167,economics!$AJ$2:$AJ$167,TRUE))*economics!$AM$2:$AM$167))/(SUMPRODUCT((economics!$AG$2:$AG$167=$B54)*(economics!$D$2:$D$167="process")*economics!$AH$2:$AH$167*(_xlfn.NORM.DIST(I$3,economics!$AK$2:$AK$167,economics!$AJ$2:$AJ$167,TRUE)-_xlfn.NORM.DIST(I$30,economics!$AK$2:$AK$167,economics!$AJ$2:$AJ$167,TRUE)))),"")</f>
        <v/>
      </c>
      <c r="J54">
        <f t="array" ref="J54">IFERROR((SUMPRODUCT((economics!$AG$2:$AG$167=$B54)*(economics!$D$2:$D$167="process")*economics!$AH$2:$AH$167*(_xlfn.NORM.DIST(J$3,economics!$AK$2:$AK$167,economics!$AJ$2:$AJ$167,TRUE)-_xlfn.NORM.DIST(J$30,economics!$AK$2:$AK$167,economics!$AJ$2:$AJ$167,TRUE))*economics!$AM$2:$AM$167))/(SUMPRODUCT((economics!$AG$2:$AG$167=$B54)*(economics!$D$2:$D$167="process")*economics!$AH$2:$AH$167*(_xlfn.NORM.DIST(J$3,economics!$AK$2:$AK$167,economics!$AJ$2:$AJ$167,TRUE)-_xlfn.NORM.DIST(J$30,economics!$AK$2:$AK$167,economics!$AJ$2:$AJ$167,TRUE)))),"")</f>
        <v/>
      </c>
      <c r="K54">
        <f t="array" ref="K54">IFERROR((SUMPRODUCT((economics!$AG$2:$AG$167=$B54)*(economics!$D$2:$D$167="process")*economics!$AH$2:$AH$167*(_xlfn.NORM.DIST(K$3,economics!$AK$2:$AK$167,economics!$AJ$2:$AJ$167,TRUE)-_xlfn.NORM.DIST(K$30,economics!$AK$2:$AK$167,economics!$AJ$2:$AJ$167,TRUE))*economics!$AM$2:$AM$167))/(SUMPRODUCT((economics!$AG$2:$AG$167=$B54)*(economics!$D$2:$D$167="process")*economics!$AH$2:$AH$167*(_xlfn.NORM.DIST(K$3,economics!$AK$2:$AK$167,economics!$AJ$2:$AJ$167,TRUE)-_xlfn.NORM.DIST(K$30,economics!$AK$2:$AK$167,economics!$AJ$2:$AJ$167,TRUE)))),"")</f>
        <v/>
      </c>
      <c r="L54">
        <f t="array" ref="L54">IFERROR((SUMPRODUCT((economics!$AG$2:$AG$167=$B54)*(economics!$D$2:$D$167="process")*economics!$AH$2:$AH$167*(_xlfn.NORM.DIST(L$3,economics!$AK$2:$AK$167,economics!$AJ$2:$AJ$167,TRUE)-_xlfn.NORM.DIST(L$30,economics!$AK$2:$AK$167,economics!$AJ$2:$AJ$167,TRUE))*economics!$AM$2:$AM$167))/(SUMPRODUCT((economics!$AG$2:$AG$167=$B54)*(economics!$D$2:$D$167="process")*economics!$AH$2:$AH$167*(_xlfn.NORM.DIST(L$3,economics!$AK$2:$AK$167,economics!$AJ$2:$AJ$167,TRUE)-_xlfn.NORM.DIST(L$30,economics!$AK$2:$AK$167,economics!$AJ$2:$AJ$167,TRUE)))),"")</f>
        <v/>
      </c>
      <c r="M54">
        <f t="array" ref="M54">IFERROR((SUMPRODUCT((economics!$AG$2:$AG$167=$B54)*(economics!$D$2:$D$167="process")*economics!$AH$2:$AH$167*(_xlfn.NORM.DIST(M$3,economics!$AK$2:$AK$167,economics!$AJ$2:$AJ$167,TRUE)-_xlfn.NORM.DIST(M$30,economics!$AK$2:$AK$167,economics!$AJ$2:$AJ$167,TRUE))*economics!$AM$2:$AM$167))/(SUMPRODUCT((economics!$AG$2:$AG$167=$B54)*(economics!$D$2:$D$167="process")*economics!$AH$2:$AH$167*(_xlfn.NORM.DIST(M$3,economics!$AK$2:$AK$167,economics!$AJ$2:$AJ$167,TRUE)-_xlfn.NORM.DIST(M$30,economics!$AK$2:$AK$167,economics!$AJ$2:$AJ$167,TRUE)))),"")</f>
        <v/>
      </c>
      <c r="N54">
        <f t="array" ref="N54">IFERROR((SUMPRODUCT((economics!$AG$2:$AG$167=$B54)*(economics!$D$2:$D$167="process")*economics!$AH$2:$AH$167*(_xlfn.NORM.DIST(N$3,economics!$AK$2:$AK$167,economics!$AJ$2:$AJ$167,TRUE)-_xlfn.NORM.DIST(N$30,economics!$AK$2:$AK$167,economics!$AJ$2:$AJ$167,TRUE))*economics!$AM$2:$AM$167))/(SUMPRODUCT((economics!$AG$2:$AG$167=$B54)*(economics!$D$2:$D$167="process")*economics!$AH$2:$AH$167*(_xlfn.NORM.DIST(N$3,economics!$AK$2:$AK$167,economics!$AJ$2:$AJ$167,TRUE)-_xlfn.NORM.DIST(N$30,economics!$AK$2:$AK$167,economics!$AJ$2:$AJ$167,TRUE)))),"")</f>
        <v/>
      </c>
      <c r="O54">
        <f t="array" ref="O54">IFERROR((SUMPRODUCT((economics!$AG$2:$AG$167=$B54)*(economics!$D$2:$D$167="process")*economics!$AH$2:$AH$167*(_xlfn.NORM.DIST(O$3,economics!$AK$2:$AK$167,economics!$AJ$2:$AJ$167,TRUE)-_xlfn.NORM.DIST(O$30,economics!$AK$2:$AK$167,economics!$AJ$2:$AJ$167,TRUE))*economics!$AM$2:$AM$167))/(SUMPRODUCT((economics!$AG$2:$AG$167=$B54)*(economics!$D$2:$D$167="process")*economics!$AH$2:$AH$167*(_xlfn.NORM.DIST(O$3,economics!$AK$2:$AK$167,economics!$AJ$2:$AJ$167,TRUE)-_xlfn.NORM.DIST(O$30,economics!$AK$2:$AK$167,economics!$AJ$2:$AJ$167,TRUE)))),"")</f>
        <v/>
      </c>
      <c r="P54">
        <f t="array" ref="P54">IFERROR((SUMPRODUCT((economics!$AG$2:$AG$167=$B54)*(economics!$D$2:$D$167="process")*economics!$AH$2:$AH$167*(_xlfn.NORM.DIST(P$3,economics!$AK$2:$AK$167,economics!$AJ$2:$AJ$167,TRUE)-_xlfn.NORM.DIST(P$30,economics!$AK$2:$AK$167,economics!$AJ$2:$AJ$167,TRUE))*economics!$AM$2:$AM$167))/(SUMPRODUCT((economics!$AG$2:$AG$167=$B54)*(economics!$D$2:$D$167="process")*economics!$AH$2:$AH$167*(_xlfn.NORM.DIST(P$3,economics!$AK$2:$AK$167,economics!$AJ$2:$AJ$167,TRUE)-_xlfn.NORM.DIST(P$30,economics!$AK$2:$AK$167,economics!$AJ$2:$AJ$167,TRUE)))),"")</f>
        <v/>
      </c>
      <c r="Q54">
        <f t="array" ref="Q54">IFERROR((SUMPRODUCT((economics!$AG$2:$AG$167=$B54)*(economics!$D$2:$D$167="process")*economics!$AH$2:$AH$167*(_xlfn.NORM.DIST(Q$3,economics!$AK$2:$AK$167,economics!$AJ$2:$AJ$167,TRUE)-_xlfn.NORM.DIST(Q$30,economics!$AK$2:$AK$167,economics!$AJ$2:$AJ$167,TRUE))*economics!$AM$2:$AM$167))/(SUMPRODUCT((economics!$AG$2:$AG$167=$B54)*(economics!$D$2:$D$167="process")*economics!$AH$2:$AH$167*(_xlfn.NORM.DIST(Q$3,economics!$AK$2:$AK$167,economics!$AJ$2:$AJ$167,TRUE)-_xlfn.NORM.DIST(Q$30,economics!$AK$2:$AK$167,economics!$AJ$2:$AJ$167,TRUE)))),"")</f>
        <v/>
      </c>
      <c r="R54">
        <f t="array" ref="R54">IFERROR((SUMPRODUCT((economics!$AG$2:$AG$167=$B54)*(economics!$D$2:$D$167="process")*economics!$AH$2:$AH$167*(_xlfn.NORM.DIST(R$3,economics!$AK$2:$AK$167,economics!$AJ$2:$AJ$167,TRUE)-_xlfn.NORM.DIST(R$30,economics!$AK$2:$AK$167,economics!$AJ$2:$AJ$167,TRUE))*economics!$AM$2:$AM$167))/(SUMPRODUCT((economics!$AG$2:$AG$167=$B54)*(economics!$D$2:$D$167="process")*economics!$AH$2:$AH$167*(_xlfn.NORM.DIST(R$3,economics!$AK$2:$AK$167,economics!$AJ$2:$AJ$167,TRUE)-_xlfn.NORM.DIST(R$30,economics!$AK$2:$AK$167,economics!$AJ$2:$AJ$167,TRUE)))),"")</f>
        <v/>
      </c>
      <c r="S54">
        <f t="array" ref="S54">IFERROR((SUMPRODUCT((economics!$AG$2:$AG$167=$B54)*(economics!$D$2:$D$167="process")*economics!$AH$2:$AH$167*(_xlfn.NORM.DIST(S$3,economics!$AK$2:$AK$167,economics!$AJ$2:$AJ$167,TRUE)-_xlfn.NORM.DIST(S$30,economics!$AK$2:$AK$167,economics!$AJ$2:$AJ$167,TRUE))*economics!$AM$2:$AM$167))/(SUMPRODUCT((economics!$AG$2:$AG$167=$B54)*(economics!$D$2:$D$167="process")*economics!$AH$2:$AH$167*(_xlfn.NORM.DIST(S$3,economics!$AK$2:$AK$167,economics!$AJ$2:$AJ$167,TRUE)-_xlfn.NORM.DIST(S$30,economics!$AK$2:$AK$167,economics!$AJ$2:$AJ$167,TRUE)))),"")</f>
        <v/>
      </c>
      <c r="T54">
        <f t="array" ref="T54">IFERROR((SUMPRODUCT((economics!$AG$2:$AG$167=$B54)*(economics!$D$2:$D$167="process")*economics!$AH$2:$AH$167*(_xlfn.NORM.DIST(T$3,economics!$AK$2:$AK$167,economics!$AJ$2:$AJ$167,TRUE)-_xlfn.NORM.DIST(T$30,economics!$AK$2:$AK$167,economics!$AJ$2:$AJ$167,TRUE))*economics!$AM$2:$AM$167))/(SUMPRODUCT((economics!$AG$2:$AG$167=$B54)*(economics!$D$2:$D$167="process")*economics!$AH$2:$AH$167*(_xlfn.NORM.DIST(T$3,economics!$AK$2:$AK$167,economics!$AJ$2:$AJ$167,TRUE)-_xlfn.NORM.DIST(T$30,economics!$AK$2:$AK$167,economics!$AJ$2:$AJ$167,TRUE)))),"")</f>
        <v/>
      </c>
      <c r="U54">
        <f t="array" ref="U54">IFERROR((SUMPRODUCT((economics!$AG$2:$AG$167=$B54)*(economics!$D$2:$D$167="process")*economics!$AH$2:$AH$167*(_xlfn.NORM.DIST(U$3,economics!$AK$2:$AK$167,economics!$AJ$2:$AJ$167,TRUE)-_xlfn.NORM.DIST(U$30,economics!$AK$2:$AK$167,economics!$AJ$2:$AJ$167,TRUE))*economics!$AM$2:$AM$167))/(SUMPRODUCT((economics!$AG$2:$AG$167=$B54)*(economics!$D$2:$D$167="process")*economics!$AH$2:$AH$167*(_xlfn.NORM.DIST(U$3,economics!$AK$2:$AK$167,economics!$AJ$2:$AJ$167,TRUE)-_xlfn.NORM.DIST(U$30,economics!$AK$2:$AK$167,economics!$AJ$2:$AJ$167,TRUE)))),"")</f>
        <v/>
      </c>
      <c r="V54">
        <f t="array" ref="V54">IFERROR((SUMPRODUCT((economics!$AG$2:$AG$167=$B54)*(economics!$D$2:$D$167="process")*economics!$AH$2:$AH$167*(_xlfn.NORM.DIST(V$3,economics!$AK$2:$AK$167,economics!$AJ$2:$AJ$167,TRUE)-_xlfn.NORM.DIST(V$30,economics!$AK$2:$AK$167,economics!$AJ$2:$AJ$167,TRUE))*economics!$AM$2:$AM$167))/(SUMPRODUCT((economics!$AG$2:$AG$167=$B54)*(economics!$D$2:$D$167="process")*economics!$AH$2:$AH$167*(_xlfn.NORM.DIST(V$3,economics!$AK$2:$AK$167,economics!$AJ$2:$AJ$167,TRUE)-_xlfn.NORM.DIST(V$30,economics!$AK$2:$AK$167,economics!$AJ$2:$AJ$167,TRUE)))),"")</f>
        <v/>
      </c>
      <c r="W54">
        <f t="array" ref="W54">IFERROR((SUMPRODUCT((economics!$AG$2:$AG$167=$B54)*(economics!$D$2:$D$167="process")*economics!$AH$2:$AH$167*(_xlfn.NORM.DIST(W$3,economics!$AK$2:$AK$167,economics!$AJ$2:$AJ$167,TRUE)-_xlfn.NORM.DIST(W$30,economics!$AK$2:$AK$167,economics!$AJ$2:$AJ$167,TRUE))*economics!$AM$2:$AM$167))/(SUMPRODUCT((economics!$AG$2:$AG$167=$B54)*(economics!$D$2:$D$167="process")*economics!$AH$2:$AH$167*(_xlfn.NORM.DIST(W$3,economics!$AK$2:$AK$167,economics!$AJ$2:$AJ$167,TRUE)-_xlfn.NORM.DIST(W$30,economics!$AK$2:$AK$167,economics!$AJ$2:$AJ$167,TRUE)))),"")</f>
        <v/>
      </c>
      <c r="X54">
        <f t="array" ref="X54">IFERROR((SUMPRODUCT((economics!$AG$2:$AG$167=$B54)*(economics!$D$2:$D$167="process")*economics!$AH$2:$AH$167*(_xlfn.NORM.DIST(X$3,economics!$AK$2:$AK$167,economics!$AJ$2:$AJ$167,TRUE)-_xlfn.NORM.DIST(X$30,economics!$AK$2:$AK$167,economics!$AJ$2:$AJ$167,TRUE))*economics!$AM$2:$AM$167))/(SUMPRODUCT((economics!$AG$2:$AG$167=$B54)*(economics!$D$2:$D$167="process")*economics!$AH$2:$AH$167*(_xlfn.NORM.DIST(X$3,economics!$AK$2:$AK$167,economics!$AJ$2:$AJ$167,TRUE)-_xlfn.NORM.DIST(X$30,economics!$AK$2:$AK$167,economics!$AJ$2:$AJ$167,TRUE)))),"")</f>
        <v/>
      </c>
      <c r="Y54">
        <f t="array" ref="Y54">IFERROR((SUMPRODUCT((economics!$AG$2:$AG$167=$B54)*(economics!$D$2:$D$167="process")*economics!$AH$2:$AH$167*(_xlfn.NORM.DIST(Y$3,economics!$AK$2:$AK$167,economics!$AJ$2:$AJ$167,TRUE)-_xlfn.NORM.DIST(Y$30,economics!$AK$2:$AK$167,economics!$AJ$2:$AJ$167,TRUE))*economics!$AM$2:$AM$167))/(SUMPRODUCT((economics!$AG$2:$AG$167=$B54)*(economics!$D$2:$D$167="process")*economics!$AH$2:$AH$167*(_xlfn.NORM.DIST(Y$3,economics!$AK$2:$AK$167,economics!$AJ$2:$AJ$167,TRUE)-_xlfn.NORM.DIST(Y$30,economics!$AK$2:$AK$167,economics!$AJ$2:$AJ$167,TRUE)))),"")</f>
        <v/>
      </c>
      <c r="Z54">
        <f t="array" ref="Z54">IFERROR((SUMPRODUCT((economics!$AG$2:$AG$167=$B54)*(economics!$D$2:$D$167="process")*economics!$AH$2:$AH$167*(_xlfn.NORM.DIST(Z$3,economics!$AK$2:$AK$167,economics!$AJ$2:$AJ$167,TRUE)-_xlfn.NORM.DIST(Z$30,economics!$AK$2:$AK$167,economics!$AJ$2:$AJ$167,TRUE))*economics!$AM$2:$AM$167))/(SUMPRODUCT((economics!$AG$2:$AG$167=$B54)*(economics!$D$2:$D$167="process")*economics!$AH$2:$AH$167*(_xlfn.NORM.DIST(Z$3,economics!$AK$2:$AK$167,economics!$AJ$2:$AJ$167,TRUE)-_xlfn.NORM.DIST(Z$30,economics!$AK$2:$AK$167,economics!$AJ$2:$AJ$167,TRUE)))),"")</f>
        <v/>
      </c>
      <c r="AA54">
        <f t="array" ref="AA54">IFERROR((SUMPRODUCT((economics!$AG$2:$AG$167=$B54)*(economics!$D$2:$D$167="process")*economics!$AH$2:$AH$167*(_xlfn.NORM.DIST(AA$3,economics!$AK$2:$AK$167,economics!$AJ$2:$AJ$167,TRUE)-_xlfn.NORM.DIST(AA$30,economics!$AK$2:$AK$167,economics!$AJ$2:$AJ$167,TRUE))*economics!$AM$2:$AM$167))/(SUMPRODUCT((economics!$AG$2:$AG$167=$B54)*(economics!$D$2:$D$167="process")*economics!$AH$2:$AH$167*(_xlfn.NORM.DIST(AA$3,economics!$AK$2:$AK$167,economics!$AJ$2:$AJ$167,TRUE)-_xlfn.NORM.DIST(AA$30,economics!$AK$2:$AK$167,economics!$AJ$2:$AJ$167,TRUE)))),"")</f>
        <v/>
      </c>
      <c r="AB54">
        <f t="array" ref="AB54">IFERROR((SUMPRODUCT((economics!$AG$2:$AG$167=$B54)*(economics!$D$2:$D$167="process")*economics!$AH$2:$AH$167*(_xlfn.NORM.DIST(AB$3,economics!$AK$2:$AK$167,economics!$AJ$2:$AJ$167,TRUE)-_xlfn.NORM.DIST(AB$30,economics!$AK$2:$AK$167,economics!$AJ$2:$AJ$167,TRUE))*economics!$AM$2:$AM$167))/(SUMPRODUCT((economics!$AG$2:$AG$167=$B54)*(economics!$D$2:$D$167="process")*economics!$AH$2:$AH$167*(_xlfn.NORM.DIST(AB$3,economics!$AK$2:$AK$167,economics!$AJ$2:$AJ$167,TRUE)-_xlfn.NORM.DIST(AB$30,economics!$AK$2:$AK$167,economics!$AJ$2:$AJ$167,TRUE)))),"")</f>
        <v/>
      </c>
      <c r="AC54">
        <f t="array" ref="AC54">IFERROR((SUMPRODUCT((economics!$AG$2:$AG$167=$B54)*(economics!$D$2:$D$167="process")*economics!$AH$2:$AH$167*(_xlfn.NORM.DIST(AC$3,economics!$AK$2:$AK$167,economics!$AJ$2:$AJ$167,TRUE)-_xlfn.NORM.DIST(AC$30,economics!$AK$2:$AK$167,economics!$AJ$2:$AJ$167,TRUE))*economics!$AM$2:$AM$167))/(SUMPRODUCT((economics!$AG$2:$AG$167=$B54)*(economics!$D$2:$D$167="process")*economics!$AH$2:$AH$167*(_xlfn.NORM.DIST(AC$3,economics!$AK$2:$AK$167,economics!$AJ$2:$AJ$167,TRUE)-_xlfn.NORM.DIST(AC$30,economics!$AK$2:$AK$167,economics!$AJ$2:$AJ$167,TRUE)))),"")</f>
        <v/>
      </c>
      <c r="AD54">
        <f t="array" ref="AD54">IFERROR((SUMPRODUCT((economics!$AG$2:$AG$167=$B54)*(economics!$D$2:$D$167="process")*economics!$AH$2:$AH$167*(_xlfn.NORM.DIST(AD$3,economics!$AK$2:$AK$167,economics!$AJ$2:$AJ$167,TRUE)-_xlfn.NORM.DIST(AD$30,economics!$AK$2:$AK$167,economics!$AJ$2:$AJ$167,TRUE))*economics!$AM$2:$AM$167))/(SUMPRODUCT((economics!$AG$2:$AG$167=$B54)*(economics!$D$2:$D$167="process")*economics!$AH$2:$AH$167*(_xlfn.NORM.DIST(AD$3,economics!$AK$2:$AK$167,economics!$AJ$2:$AJ$167,TRUE)-_xlfn.NORM.DIST(AD$30,economics!$AK$2:$AK$167,economics!$AJ$2:$AJ$167,TRUE)))),"")</f>
        <v/>
      </c>
      <c r="AE54">
        <f t="array" ref="AE54">IFERROR((SUMPRODUCT((economics!$AG$2:$AG$167=$B54)*(economics!$D$2:$D$167="process")*economics!$AH$2:$AH$167*(_xlfn.NORM.DIST(AE$3,economics!$AK$2:$AK$167,economics!$AJ$2:$AJ$167,TRUE)-_xlfn.NORM.DIST(AE$30,economics!$AK$2:$AK$167,economics!$AJ$2:$AJ$167,TRUE))*economics!$AM$2:$AM$167))/(SUMPRODUCT((economics!$AG$2:$AG$167=$B54)*(economics!$D$2:$D$167="process")*economics!$AH$2:$AH$167*(_xlfn.NORM.DIST(AE$3,economics!$AK$2:$AK$167,economics!$AJ$2:$AJ$167,TRUE)-_xlfn.NORM.DIST(AE$30,economics!$AK$2:$AK$167,economics!$AJ$2:$AJ$167,TRUE)))),"")</f>
        <v/>
      </c>
      <c r="AF54">
        <f t="array" ref="AF54">IFERROR((SUMPRODUCT((economics!$AG$2:$AG$167=$B54)*(economics!$D$2:$D$167="process")*economics!$AH$2:$AH$167*(_xlfn.NORM.DIST(AF$3,economics!$AK$2:$AK$167,economics!$AJ$2:$AJ$167,TRUE)-_xlfn.NORM.DIST(AF$30,economics!$AK$2:$AK$167,economics!$AJ$2:$AJ$167,TRUE))*economics!$AM$2:$AM$167))/(SUMPRODUCT((economics!$AG$2:$AG$167=$B54)*(economics!$D$2:$D$167="process")*economics!$AH$2:$AH$167*(_xlfn.NORM.DIST(AF$3,economics!$AK$2:$AK$167,economics!$AJ$2:$AJ$167,TRUE)-_xlfn.NORM.DIST(AF$30,economics!$AK$2:$AK$167,economics!$AJ$2:$AJ$167,TRUE)))),"")</f>
        <v/>
      </c>
      <c r="AG54">
        <f t="array" ref="AG54">IFERROR((SUMPRODUCT((economics!$AG$2:$AG$167=$B54)*(economics!$D$2:$D$167="process")*economics!$AH$2:$AH$167*(_xlfn.NORM.DIST(AG$3,economics!$AK$2:$AK$167,economics!$AJ$2:$AJ$167,TRUE)-_xlfn.NORM.DIST(AG$30,economics!$AK$2:$AK$167,economics!$AJ$2:$AJ$167,TRUE))*economics!$AM$2:$AM$167))/(SUMPRODUCT((economics!$AG$2:$AG$167=$B54)*(economics!$D$2:$D$167="process")*economics!$AH$2:$AH$167*(_xlfn.NORM.DIST(AG$3,economics!$AK$2:$AK$167,economics!$AJ$2:$AJ$167,TRUE)-_xlfn.NORM.DIST(AG$30,economics!$AK$2:$AK$167,economics!$AJ$2:$AJ$167,TRUE)))),"")</f>
        <v/>
      </c>
      <c r="AH54">
        <f t="array" ref="AH54">IFERROR((SUMPRODUCT((economics!$AG$2:$AG$167=$B54)*(economics!$D$2:$D$167="process")*economics!$AH$2:$AH$167*(_xlfn.NORM.DIST(AH$3,economics!$AK$2:$AK$167,economics!$AJ$2:$AJ$167,TRUE)-_xlfn.NORM.DIST(AH$30,economics!$AK$2:$AK$167,economics!$AJ$2:$AJ$167,TRUE))*economics!$AM$2:$AM$167))/(SUMPRODUCT((economics!$AG$2:$AG$167=$B54)*(economics!$D$2:$D$167="process")*economics!$AH$2:$AH$167*(_xlfn.NORM.DIST(AH$3,economics!$AK$2:$AK$167,economics!$AJ$2:$AJ$167,TRUE)-_xlfn.NORM.DIST(AH$30,economics!$AK$2:$AK$167,economics!$AJ$2:$AJ$167,TRUE)))),"")</f>
        <v/>
      </c>
      <c r="AI54">
        <f t="array" ref="AI54">IFERROR((SUMPRODUCT((economics!$AG$2:$AG$167=$B54)*(economics!$D$2:$D$167="process")*economics!$AH$2:$AH$167*(_xlfn.NORM.DIST(AI$3,economics!$AK$2:$AK$167,economics!$AJ$2:$AJ$167,TRUE)-_xlfn.NORM.DIST(AI$30,economics!$AK$2:$AK$167,economics!$AJ$2:$AJ$167,TRUE))*economics!$AM$2:$AM$167))/(SUMPRODUCT((economics!$AG$2:$AG$167=$B54)*(economics!$D$2:$D$167="process")*economics!$AH$2:$AH$167*(_xlfn.NORM.DIST(AI$3,economics!$AK$2:$AK$167,economics!$AJ$2:$AJ$167,TRUE)-_xlfn.NORM.DIST(AI$30,economics!$AK$2:$AK$167,economics!$AJ$2:$AJ$167,TRUE)))),"")</f>
        <v/>
      </c>
      <c r="AJ54">
        <f t="array" ref="AJ54">IFERROR((SUMPRODUCT((economics!$AG$2:$AG$167=$B54)*(economics!$D$2:$D$167="process")*economics!$AH$2:$AH$167*(_xlfn.NORM.DIST(AJ$3,economics!$AK$2:$AK$167,economics!$AJ$2:$AJ$167,TRUE)-_xlfn.NORM.DIST(AJ$30,economics!$AK$2:$AK$167,economics!$AJ$2:$AJ$167,TRUE))*economics!$AM$2:$AM$167))/(SUMPRODUCT((economics!$AG$2:$AG$167=$B54)*(economics!$D$2:$D$167="process")*economics!$AH$2:$AH$167*(_xlfn.NORM.DIST(AJ$3,economics!$AK$2:$AK$167,economics!$AJ$2:$AJ$167,TRUE)-_xlfn.NORM.DIST(AJ$30,economics!$AK$2:$AK$167,economics!$AJ$2:$AJ$167,TRUE)))),"")</f>
        <v/>
      </c>
      <c r="AK54">
        <f t="array" ref="AK54">IFERROR((SUMPRODUCT((economics!$AG$2:$AG$167=$B54)*(economics!$D$2:$D$167="process")*economics!$AH$2:$AH$167*(_xlfn.NORM.DIST(AK$3,economics!$AK$2:$AK$167,economics!$AJ$2:$AJ$167,TRUE)-_xlfn.NORM.DIST(AK$30,economics!$AK$2:$AK$167,economics!$AJ$2:$AJ$167,TRUE))*economics!$AM$2:$AM$167))/(SUMPRODUCT((economics!$AG$2:$AG$167=$B54)*(economics!$D$2:$D$167="process")*economics!$AH$2:$AH$167*(_xlfn.NORM.DIST(AK$3,economics!$AK$2:$AK$167,economics!$AJ$2:$AJ$167,TRUE)-_xlfn.NORM.DIST(AK$30,economics!$AK$2:$AK$167,economics!$AJ$2:$AJ$167,TRUE)))),"")</f>
        <v/>
      </c>
      <c r="AL54">
        <f t="array" ref="AL54">IFERROR((SUMPRODUCT((economics!$AG$2:$AG$167=$B54)*(economics!$D$2:$D$167="process")*economics!$AH$2:$AH$167*(_xlfn.NORM.DIST(AL$3,economics!$AK$2:$AK$167,economics!$AJ$2:$AJ$167,TRUE)-_xlfn.NORM.DIST(AL$30,economics!$AK$2:$AK$167,economics!$AJ$2:$AJ$167,TRUE))*economics!$AM$2:$AM$167))/(SUMPRODUCT((economics!$AG$2:$AG$167=$B54)*(economics!$D$2:$D$167="process")*economics!$AH$2:$AH$167*(_xlfn.NORM.DIST(AL$3,economics!$AK$2:$AK$167,economics!$AJ$2:$AJ$167,TRUE)-_xlfn.NORM.DIST(AL$30,economics!$AK$2:$AK$167,economics!$AJ$2:$AJ$167,TRUE)))),"")</f>
        <v/>
      </c>
      <c r="AM54">
        <f t="array" ref="AM54">IFERROR((SUMPRODUCT((economics!$AG$2:$AG$167=$B54)*(economics!$D$2:$D$167="process")*economics!$AH$2:$AH$167*(_xlfn.NORM.DIST(AM$3,economics!$AK$2:$AK$167,economics!$AJ$2:$AJ$167,TRUE)-_xlfn.NORM.DIST(AM$30,economics!$AK$2:$AK$167,economics!$AJ$2:$AJ$167,TRUE))*economics!$AM$2:$AM$167))/(SUMPRODUCT((economics!$AG$2:$AG$167=$B54)*(economics!$D$2:$D$167="process")*economics!$AH$2:$AH$167*(_xlfn.NORM.DIST(AM$3,economics!$AK$2:$AK$167,economics!$AJ$2:$AJ$167,TRUE)-_xlfn.NORM.DIST(AM$30,economics!$AK$2:$AK$167,economics!$AJ$2:$AJ$167,TRUE)))),"")</f>
        <v/>
      </c>
      <c r="AN54">
        <f t="array" ref="AN54">IFERROR((SUMPRODUCT((economics!$AG$2:$AG$167=$B54)*(economics!$D$2:$D$167="process")*economics!$AH$2:$AH$167*(_xlfn.NORM.DIST(AN$3,economics!$AK$2:$AK$167,economics!$AJ$2:$AJ$167,TRUE)-_xlfn.NORM.DIST(AN$30,economics!$AK$2:$AK$167,economics!$AJ$2:$AJ$167,TRUE))*economics!$AM$2:$AM$167))/(SUMPRODUCT((economics!$AG$2:$AG$167=$B54)*(economics!$D$2:$D$167="process")*economics!$AH$2:$AH$167*(_xlfn.NORM.DIST(AN$3,economics!$AK$2:$AK$167,economics!$AJ$2:$AJ$167,TRUE)-_xlfn.NORM.DIST(AN$30,economics!$AK$2:$AK$167,economics!$AJ$2:$AJ$167,TRUE)))),"")</f>
        <v/>
      </c>
      <c r="AO54">
        <f t="array" ref="AO54">IFERROR((SUMPRODUCT((economics!$AG$2:$AG$167=$B54)*(economics!$D$2:$D$167="process")*economics!$AH$2:$AH$167*(_xlfn.NORM.DIST(AO$3,economics!$AK$2:$AK$167,economics!$AJ$2:$AJ$167,TRUE)-_xlfn.NORM.DIST(AO$30,economics!$AK$2:$AK$167,economics!$AJ$2:$AJ$167,TRUE))*economics!$AM$2:$AM$167))/(SUMPRODUCT((economics!$AG$2:$AG$167=$B54)*(economics!$D$2:$D$167="process")*economics!$AH$2:$AH$167*(_xlfn.NORM.DIST(AO$3,economics!$AK$2:$AK$167,economics!$AJ$2:$AJ$167,TRUE)-_xlfn.NORM.DIST(AO$30,economics!$AK$2:$AK$167,economics!$AJ$2:$AJ$167,TRUE)))),"")</f>
        <v/>
      </c>
      <c r="AP54">
        <f t="array" ref="AP54">IFERROR((SUMPRODUCT((economics!$AG$2:$AG$167=$B54)*(economics!$D$2:$D$167="process")*economics!$AH$2:$AH$167*(_xlfn.NORM.DIST(AP$3,economics!$AK$2:$AK$167,economics!$AJ$2:$AJ$167,TRUE)-_xlfn.NORM.DIST(AP$30,economics!$AK$2:$AK$167,economics!$AJ$2:$AJ$167,TRUE))*economics!$AM$2:$AM$167))/(SUMPRODUCT((economics!$AG$2:$AG$167=$B54)*(economics!$D$2:$D$167="process")*economics!$AH$2:$AH$167*(_xlfn.NORM.DIST(AP$3,economics!$AK$2:$AK$167,economics!$AJ$2:$AJ$167,TRUE)-_xlfn.NORM.DIST(AP$30,economics!$AK$2:$AK$167,economics!$AJ$2:$AJ$167,TRUE)))),"")</f>
        <v/>
      </c>
      <c r="AQ54">
        <f t="array" ref="AQ54">IFERROR((SUMPRODUCT((economics!$AG$2:$AG$167=$B54)*(economics!$D$2:$D$167="process")*economics!$AH$2:$AH$167*(_xlfn.NORM.DIST(AQ$3,economics!$AK$2:$AK$167,economics!$AJ$2:$AJ$167,TRUE)-_xlfn.NORM.DIST(AQ$30,economics!$AK$2:$AK$167,economics!$AJ$2:$AJ$167,TRUE))*economics!$AM$2:$AM$167))/(SUMPRODUCT((economics!$AG$2:$AG$167=$B54)*(economics!$D$2:$D$167="process")*economics!$AH$2:$AH$167*(_xlfn.NORM.DIST(AQ$3,economics!$AK$2:$AK$167,economics!$AJ$2:$AJ$167,TRUE)-_xlfn.NORM.DIST(AQ$30,economics!$AK$2:$AK$167,economics!$AJ$2:$AJ$167,TRUE)))),"")</f>
        <v/>
      </c>
      <c r="AR54">
        <f t="array" ref="AR54">IFERROR((SUMPRODUCT((economics!$AG$2:$AG$167=$B54)*(economics!$D$2:$D$167="process")*economics!$AH$2:$AH$167*(_xlfn.NORM.DIST(AR$3,economics!$AK$2:$AK$167,economics!$AJ$2:$AJ$167,TRUE)-_xlfn.NORM.DIST(AR$30,economics!$AK$2:$AK$167,economics!$AJ$2:$AJ$167,TRUE))*economics!$AM$2:$AM$167))/(SUMPRODUCT((economics!$AG$2:$AG$167=$B54)*(economics!$D$2:$D$167="process")*economics!$AH$2:$AH$167*(_xlfn.NORM.DIST(AR$3,economics!$AK$2:$AK$167,economics!$AJ$2:$AJ$167,TRUE)-_xlfn.NORM.DIST(AR$30,economics!$AK$2:$AK$167,economics!$AJ$2:$AJ$167,TRUE)))),"")</f>
        <v/>
      </c>
      <c r="AS54">
        <f t="array" ref="AS54">IFERROR((SUMPRODUCT((economics!$AG$2:$AG$167=$B54)*(economics!$D$2:$D$167="process")*economics!$AH$2:$AH$167*(_xlfn.NORM.DIST(AS$3,economics!$AK$2:$AK$167,economics!$AJ$2:$AJ$167,TRUE)-_xlfn.NORM.DIST(AS$30,economics!$AK$2:$AK$167,economics!$AJ$2:$AJ$167,TRUE))*economics!$AM$2:$AM$167))/(SUMPRODUCT((economics!$AG$2:$AG$167=$B54)*(economics!$D$2:$D$167="process")*economics!$AH$2:$AH$167*(_xlfn.NORM.DIST(AS$3,economics!$AK$2:$AK$167,economics!$AJ$2:$AJ$167,TRUE)-_xlfn.NORM.DIST(AS$30,economics!$AK$2:$AK$167,economics!$AJ$2:$AJ$167,TRUE)))),"")</f>
        <v/>
      </c>
      <c r="AT54">
        <f t="array" ref="AT54">IFERROR((SUMPRODUCT((economics!$AG$2:$AG$167=$B54)*(economics!$D$2:$D$167="process")*economics!$AH$2:$AH$167*(_xlfn.NORM.DIST(AT$3,economics!$AK$2:$AK$167,economics!$AJ$2:$AJ$167,TRUE)-_xlfn.NORM.DIST(AT$30,economics!$AK$2:$AK$167,economics!$AJ$2:$AJ$167,TRUE))*economics!$AM$2:$AM$167))/(SUMPRODUCT((economics!$AG$2:$AG$167=$B54)*(economics!$D$2:$D$167="process")*economics!$AH$2:$AH$167*(_xlfn.NORM.DIST(AT$3,economics!$AK$2:$AK$167,economics!$AJ$2:$AJ$167,TRUE)-_xlfn.NORM.DIST(AT$30,economics!$AK$2:$AK$167,economics!$AJ$2:$AJ$167,TRUE)))),"")</f>
        <v/>
      </c>
      <c r="AU54">
        <f t="array" ref="AU54">IFERROR((SUMPRODUCT((economics!$AG$2:$AG$167=$B54)*(economics!$D$2:$D$167="process")*economics!$AH$2:$AH$167*(_xlfn.NORM.DIST(AU$3,economics!$AK$2:$AK$167,economics!$AJ$2:$AJ$167,TRUE)-_xlfn.NORM.DIST(AU$30,economics!$AK$2:$AK$167,economics!$AJ$2:$AJ$167,TRUE))*economics!$AM$2:$AM$167))/(SUMPRODUCT((economics!$AG$2:$AG$167=$B54)*(economics!$D$2:$D$167="process")*economics!$AH$2:$AH$167*(_xlfn.NORM.DIST(AU$3,economics!$AK$2:$AK$167,economics!$AJ$2:$AJ$167,TRUE)-_xlfn.NORM.DIST(AU$30,economics!$AK$2:$AK$167,economics!$AJ$2:$AJ$167,TRUE)))),"")</f>
        <v/>
      </c>
      <c r="AV54">
        <f t="array" ref="AV54">IFERROR((SUMPRODUCT((economics!$AG$2:$AG$167=$B54)*(economics!$D$2:$D$167="process")*economics!$AH$2:$AH$167*(_xlfn.NORM.DIST(AV$3,economics!$AK$2:$AK$167,economics!$AJ$2:$AJ$167,TRUE)-_xlfn.NORM.DIST(AV$30,economics!$AK$2:$AK$167,economics!$AJ$2:$AJ$167,TRUE))*economics!$AM$2:$AM$167))/(SUMPRODUCT((economics!$AG$2:$AG$167=$B54)*(economics!$D$2:$D$167="process")*economics!$AH$2:$AH$167*(_xlfn.NORM.DIST(AV$3,economics!$AK$2:$AK$167,economics!$AJ$2:$AJ$167,TRUE)-_xlfn.NORM.DIST(AV$30,economics!$AK$2:$AK$167,economics!$AJ$2:$AJ$167,TRUE)))),"")</f>
        <v/>
      </c>
      <c r="AW54">
        <f t="array" ref="AW54">IFERROR((SUMPRODUCT((economics!$AG$2:$AG$167=$B54)*(economics!$D$2:$D$167="process")*economics!$AH$2:$AH$167*(_xlfn.NORM.DIST(AW$3,economics!$AK$2:$AK$167,economics!$AJ$2:$AJ$167,TRUE)-_xlfn.NORM.DIST(AW$30,economics!$AK$2:$AK$167,economics!$AJ$2:$AJ$167,TRUE))*economics!$AM$2:$AM$167))/(SUMPRODUCT((economics!$AG$2:$AG$167=$B54)*(economics!$D$2:$D$167="process")*economics!$AH$2:$AH$167*(_xlfn.NORM.DIST(AW$3,economics!$AK$2:$AK$167,economics!$AJ$2:$AJ$167,TRUE)-_xlfn.NORM.DIST(AW$30,economics!$AK$2:$AK$167,economics!$AJ$2:$AJ$167,TRUE)))),"")</f>
        <v/>
      </c>
      <c r="AX54">
        <f t="array" ref="AX54">IFERROR((SUMPRODUCT((economics!$AG$2:$AG$167=$B54)*(economics!$D$2:$D$167="process")*economics!$AH$2:$AH$167*(_xlfn.NORM.DIST(AX$3,economics!$AK$2:$AK$167,economics!$AJ$2:$AJ$167,TRUE)-_xlfn.NORM.DIST(AX$30,economics!$AK$2:$AK$167,economics!$AJ$2:$AJ$167,TRUE))*economics!$AM$2:$AM$167))/(SUMPRODUCT((economics!$AG$2:$AG$167=$B54)*(economics!$D$2:$D$167="process")*economics!$AH$2:$AH$167*(_xlfn.NORM.DIST(AX$3,economics!$AK$2:$AK$167,economics!$AJ$2:$AJ$167,TRUE)-_xlfn.NORM.DIST(AX$30,economics!$AK$2:$AK$167,economics!$AJ$2:$AJ$167,TRUE)))),"")</f>
        <v/>
      </c>
      <c r="AY54">
        <f t="array" ref="AY54">IFERROR((SUMPRODUCT((economics!$AG$2:$AG$167=$B54)*(economics!$D$2:$D$167="process")*economics!$AH$2:$AH$167*(_xlfn.NORM.DIST(AY$3,economics!$AK$2:$AK$167,economics!$AJ$2:$AJ$167,TRUE)-_xlfn.NORM.DIST(AY$30,economics!$AK$2:$AK$167,economics!$AJ$2:$AJ$167,TRUE))*economics!$AM$2:$AM$167))/(SUMPRODUCT((economics!$AG$2:$AG$167=$B54)*(economics!$D$2:$D$167="process")*economics!$AH$2:$AH$167*(_xlfn.NORM.DIST(AY$3,economics!$AK$2:$AK$167,economics!$AJ$2:$AJ$167,TRUE)-_xlfn.NORM.DIST(AY$30,economics!$AK$2:$AK$167,economics!$AJ$2:$AJ$167,TRUE)))),"")</f>
        <v/>
      </c>
      <c r="AZ54">
        <f t="array" ref="AZ54">IFERROR((SUMPRODUCT((economics!$AG$2:$AG$167=$B54)*(economics!$D$2:$D$167="process")*economics!$AH$2:$AH$167*(_xlfn.NORM.DIST(AZ$3,economics!$AK$2:$AK$167,economics!$AJ$2:$AJ$167,TRUE)-_xlfn.NORM.DIST(AZ$30,economics!$AK$2:$AK$167,economics!$AJ$2:$AJ$167,TRUE))*economics!$AM$2:$AM$167))/(SUMPRODUCT((economics!$AG$2:$AG$167=$B54)*(economics!$D$2:$D$167="process")*economics!$AH$2:$AH$167*(_xlfn.NORM.DIST(AZ$3,economics!$AK$2:$AK$167,economics!$AJ$2:$AJ$167,TRUE)-_xlfn.NORM.DIST(AZ$30,economics!$AK$2:$AK$167,economics!$AJ$2:$AJ$167,TRUE)))),"")</f>
        <v/>
      </c>
      <c r="BA54">
        <f t="array" ref="BA54">IFERROR((SUMPRODUCT((economics!$AG$2:$AG$167=$B54)*(economics!$D$2:$D$167="process")*economics!$AH$2:$AH$167*(_xlfn.NORM.DIST(BA$3,economics!$AK$2:$AK$167,economics!$AJ$2:$AJ$167,TRUE)-_xlfn.NORM.DIST(BA$30,economics!$AK$2:$AK$167,economics!$AJ$2:$AJ$167,TRUE))*economics!$AM$2:$AM$167))/(SUMPRODUCT((economics!$AG$2:$AG$167=$B54)*(economics!$D$2:$D$167="process")*economics!$AH$2:$AH$167*(_xlfn.NORM.DIST(BA$3,economics!$AK$2:$AK$167,economics!$AJ$2:$AJ$167,TRUE)-_xlfn.NORM.DIST(BA$30,economics!$AK$2:$AK$167,economics!$AJ$2:$AJ$167,TRUE)))),"")</f>
        <v/>
      </c>
      <c r="BB54">
        <f t="array" ref="BB54">IFERROR((SUMPRODUCT((economics!$AG$2:$AG$167=$B54)*(economics!$D$2:$D$167="process")*economics!$AH$2:$AH$167*(_xlfn.NORM.DIST(BB$3,economics!$AK$2:$AK$167,economics!$AJ$2:$AJ$167,TRUE)-_xlfn.NORM.DIST(BB$30,economics!$AK$2:$AK$167,economics!$AJ$2:$AJ$167,TRUE))*economics!$AM$2:$AM$167))/(SUMPRODUCT((economics!$AG$2:$AG$167=$B54)*(economics!$D$2:$D$167="process")*economics!$AH$2:$AH$167*(_xlfn.NORM.DIST(BB$3,economics!$AK$2:$AK$167,economics!$AJ$2:$AJ$167,TRUE)-_xlfn.NORM.DIST(BB$30,economics!$AK$2:$AK$167,economics!$AJ$2:$AJ$167,TRUE)))),"")</f>
        <v/>
      </c>
      <c r="BC54">
        <f t="array" ref="BC54">IFERROR((SUMPRODUCT((economics!$AG$2:$AG$167=$B54)*(economics!$D$2:$D$167="process")*economics!$AH$2:$AH$167*(_xlfn.NORM.DIST(BC$3,economics!$AK$2:$AK$167,economics!$AJ$2:$AJ$167,TRUE)-_xlfn.NORM.DIST(BC$30,economics!$AK$2:$AK$167,economics!$AJ$2:$AJ$167,TRUE))*economics!$AM$2:$AM$167))/(SUMPRODUCT((economics!$AG$2:$AG$167=$B54)*(economics!$D$2:$D$167="process")*economics!$AH$2:$AH$167*(_xlfn.NORM.DIST(BC$3,economics!$AK$2:$AK$167,economics!$AJ$2:$AJ$167,TRUE)-_xlfn.NORM.DIST(BC$30,economics!$AK$2:$AK$167,economics!$AJ$2:$AJ$167,TRUE)))),"")</f>
        <v/>
      </c>
      <c r="BD54">
        <f t="array" ref="BD54">IFERROR((SUMPRODUCT((economics!$AG$2:$AG$167=$B54)*(economics!$D$2:$D$167="process")*economics!$AH$2:$AH$167*(_xlfn.NORM.DIST(BD$3,economics!$AK$2:$AK$167,economics!$AJ$2:$AJ$167,TRUE)-_xlfn.NORM.DIST(BD$30,economics!$AK$2:$AK$167,economics!$AJ$2:$AJ$167,TRUE))*economics!$AM$2:$AM$167))/(SUMPRODUCT((economics!$AG$2:$AG$167=$B54)*(economics!$D$2:$D$167="process")*economics!$AH$2:$AH$167*(_xlfn.NORM.DIST(BD$3,economics!$AK$2:$AK$167,economics!$AJ$2:$AJ$167,TRUE)-_xlfn.NORM.DIST(BD$30,economics!$AK$2:$AK$167,economics!$AJ$2:$AJ$167,TRUE)))),"")</f>
        <v/>
      </c>
      <c r="BE54">
        <f t="array" ref="BE54">IFERROR((SUMPRODUCT((economics!$AG$2:$AG$167=$B54)*(economics!$D$2:$D$167="process")*economics!$AH$2:$AH$167*(_xlfn.NORM.DIST(BE$3,economics!$AK$2:$AK$167,economics!$AJ$2:$AJ$167,TRUE)-_xlfn.NORM.DIST(BE$30,economics!$AK$2:$AK$167,economics!$AJ$2:$AJ$167,TRUE))*economics!$AM$2:$AM$167))/(SUMPRODUCT((economics!$AG$2:$AG$167=$B54)*(economics!$D$2:$D$167="process")*economics!$AH$2:$AH$167*(_xlfn.NORM.DIST(BE$3,economics!$AK$2:$AK$167,economics!$AJ$2:$AJ$167,TRUE)-_xlfn.NORM.DIST(BE$30,economics!$AK$2:$AK$167,economics!$AJ$2:$AJ$167,TRUE)))),"")</f>
        <v/>
      </c>
      <c r="BF54">
        <f t="array" ref="BF54">IFERROR((SUMPRODUCT((economics!$AG$2:$AG$167=$B54)*(economics!$D$2:$D$167="process")*economics!$AH$2:$AH$167*(_xlfn.NORM.DIST(BF$3,economics!$AK$2:$AK$167,economics!$AJ$2:$AJ$167,TRUE)-_xlfn.NORM.DIST(BF$30,economics!$AK$2:$AK$167,economics!$AJ$2:$AJ$167,TRUE))*economics!$AM$2:$AM$167))/(SUMPRODUCT((economics!$AG$2:$AG$167=$B54)*(economics!$D$2:$D$167="process")*economics!$AH$2:$AH$167*(_xlfn.NORM.DIST(BF$3,economics!$AK$2:$AK$167,economics!$AJ$2:$AJ$167,TRUE)-_xlfn.NORM.DIST(BF$30,economics!$AK$2:$AK$167,economics!$AJ$2:$AJ$167,TRUE)))),"")</f>
        <v/>
      </c>
      <c r="BG54">
        <f t="array" ref="BG54">IFERROR((SUMPRODUCT((economics!$AG$2:$AG$167=$B54)*(economics!$D$2:$D$167="process")*economics!$AH$2:$AH$167*(_xlfn.NORM.DIST(BG$3,economics!$AK$2:$AK$167,economics!$AJ$2:$AJ$167,TRUE)-_xlfn.NORM.DIST(BG$30,economics!$AK$2:$AK$167,economics!$AJ$2:$AJ$167,TRUE))*economics!$AM$2:$AM$167))/(SUMPRODUCT((economics!$AG$2:$AG$167=$B54)*(economics!$D$2:$D$167="process")*economics!$AH$2:$AH$167*(_xlfn.NORM.DIST(BG$3,economics!$AK$2:$AK$167,economics!$AJ$2:$AJ$167,TRUE)-_xlfn.NORM.DIST(BG$30,economics!$AK$2:$AK$167,economics!$AJ$2:$AJ$167,TRUE)))),"")</f>
        <v/>
      </c>
      <c r="BH54">
        <f t="array" ref="BH54">IFERROR((SUMPRODUCT((economics!$AG$2:$AG$167=$B54)*(economics!$D$2:$D$167="process")*economics!$AH$2:$AH$167*(_xlfn.NORM.DIST(BH$3,economics!$AK$2:$AK$167,economics!$AJ$2:$AJ$167,TRUE)-_xlfn.NORM.DIST(BH$30,economics!$AK$2:$AK$167,economics!$AJ$2:$AJ$167,TRUE))*economics!$AM$2:$AM$167))/(SUMPRODUCT((economics!$AG$2:$AG$167=$B54)*(economics!$D$2:$D$167="process")*economics!$AH$2:$AH$167*(_xlfn.NORM.DIST(BH$3,economics!$AK$2:$AK$167,economics!$AJ$2:$AJ$167,TRUE)-_xlfn.NORM.DIST(BH$30,economics!$AK$2:$AK$167,economics!$AJ$2:$AJ$167,TRUE)))),"")</f>
        <v/>
      </c>
      <c r="BI54">
        <f t="array" ref="BI54">IFERROR((SUMPRODUCT((economics!$AG$2:$AG$167=$B54)*(economics!$D$2:$D$167="process")*economics!$AH$2:$AH$167*(_xlfn.NORM.DIST(BI$3,economics!$AK$2:$AK$167,economics!$AJ$2:$AJ$167,TRUE)-_xlfn.NORM.DIST(BI$30,economics!$AK$2:$AK$167,economics!$AJ$2:$AJ$167,TRUE))*economics!$AM$2:$AM$167))/(SUMPRODUCT((economics!$AG$2:$AG$167=$B54)*(economics!$D$2:$D$167="process")*economics!$AH$2:$AH$167*(_xlfn.NORM.DIST(BI$3,economics!$AK$2:$AK$167,economics!$AJ$2:$AJ$167,TRUE)-_xlfn.NORM.DIST(BI$30,economics!$AK$2:$AK$167,economics!$AJ$2:$AJ$167,TRUE)))),"")</f>
        <v/>
      </c>
      <c r="BJ54">
        <f t="array" ref="BJ54">IFERROR((SUMPRODUCT((economics!$AG$2:$AG$167=$B54)*(economics!$D$2:$D$167="process")*economics!$AH$2:$AH$167*(_xlfn.NORM.DIST(BJ$3,economics!$AK$2:$AK$167,economics!$AJ$2:$AJ$167,TRUE)-_xlfn.NORM.DIST(BJ$30,economics!$AK$2:$AK$167,economics!$AJ$2:$AJ$167,TRUE))*economics!$AM$2:$AM$167))/(SUMPRODUCT((economics!$AG$2:$AG$167=$B54)*(economics!$D$2:$D$167="process")*economics!$AH$2:$AH$167*(_xlfn.NORM.DIST(BJ$3,economics!$AK$2:$AK$167,economics!$AJ$2:$AJ$167,TRUE)-_xlfn.NORM.DIST(BJ$30,economics!$AK$2:$AK$167,economics!$AJ$2:$AJ$167,TRUE)))),"")</f>
        <v/>
      </c>
      <c r="BK54">
        <f t="array" ref="BK54">IFERROR((SUMPRODUCT((economics!$AG$2:$AG$167=$B54)*(economics!$D$2:$D$167="process")*economics!$AH$2:$AH$167*(_xlfn.NORM.DIST(BK$3,economics!$AK$2:$AK$167,economics!$AJ$2:$AJ$167,TRUE)-_xlfn.NORM.DIST(BK$30,economics!$AK$2:$AK$167,economics!$AJ$2:$AJ$167,TRUE))*economics!$AM$2:$AM$167))/(SUMPRODUCT((economics!$AG$2:$AG$167=$B54)*(economics!$D$2:$D$167="process")*economics!$AH$2:$AH$167*(_xlfn.NORM.DIST(BK$3,economics!$AK$2:$AK$167,economics!$AJ$2:$AJ$167,TRUE)-_xlfn.NORM.DIST(BK$30,economics!$AK$2:$AK$167,economics!$AJ$2:$AJ$167,TRUE)))),"")</f>
        <v/>
      </c>
      <c r="BL54">
        <f t="array" ref="BL54">IFERROR((SUMPRODUCT((economics!$AG$2:$AG$167=$B54)*(economics!$D$2:$D$167="process")*economics!$AH$2:$AH$167*(_xlfn.NORM.DIST(BL$3,economics!$AK$2:$AK$167,economics!$AJ$2:$AJ$167,TRUE)-_xlfn.NORM.DIST(BL$30,economics!$AK$2:$AK$167,economics!$AJ$2:$AJ$167,TRUE))*economics!$AM$2:$AM$167))/(SUMPRODUCT((economics!$AG$2:$AG$167=$B54)*(economics!$D$2:$D$167="process")*economics!$AH$2:$AH$167*(_xlfn.NORM.DIST(BL$3,economics!$AK$2:$AK$167,economics!$AJ$2:$AJ$167,TRUE)-_xlfn.NORM.DIST(BL$30,economics!$AK$2:$AK$167,economics!$AJ$2:$AJ$167,TRUE)))),"")</f>
        <v/>
      </c>
      <c r="BM54">
        <f t="array" ref="BM54">IFERROR((SUMPRODUCT((economics!$AG$2:$AG$167=$B54)*(economics!$D$2:$D$167="process")*economics!$AH$2:$AH$167*(_xlfn.NORM.DIST(BM$3,economics!$AK$2:$AK$167,economics!$AJ$2:$AJ$167,TRUE)-_xlfn.NORM.DIST(BM$30,economics!$AK$2:$AK$167,economics!$AJ$2:$AJ$167,TRUE))*economics!$AM$2:$AM$167))/(SUMPRODUCT((economics!$AG$2:$AG$167=$B54)*(economics!$D$2:$D$167="process")*economics!$AH$2:$AH$167*(_xlfn.NORM.DIST(BM$3,economics!$AK$2:$AK$167,economics!$AJ$2:$AJ$167,TRUE)-_xlfn.NORM.DIST(BM$30,economics!$AK$2:$AK$167,economics!$AJ$2:$AJ$167,TRUE)))),"")</f>
        <v/>
      </c>
      <c r="BN54">
        <f t="array" ref="BN54">IFERROR((SUMPRODUCT((economics!$AG$2:$AG$167=$B54)*(economics!$D$2:$D$167="process")*economics!$AH$2:$AH$167*(_xlfn.NORM.DIST(BN$3,economics!$AK$2:$AK$167,economics!$AJ$2:$AJ$167,TRUE)-_xlfn.NORM.DIST(BN$30,economics!$AK$2:$AK$167,economics!$AJ$2:$AJ$167,TRUE))*economics!$AM$2:$AM$167))/(SUMPRODUCT((economics!$AG$2:$AG$167=$B54)*(economics!$D$2:$D$167="process")*economics!$AH$2:$AH$167*(_xlfn.NORM.DIST(BN$3,economics!$AK$2:$AK$167,economics!$AJ$2:$AJ$167,TRUE)-_xlfn.NORM.DIST(BN$30,economics!$AK$2:$AK$167,economics!$AJ$2:$AJ$167,TRUE)))),"")</f>
        <v/>
      </c>
      <c r="BO54">
        <f t="array" ref="BO54">IFERROR((SUMPRODUCT((economics!$AG$2:$AG$167=$B54)*(economics!$D$2:$D$167="process")*economics!$AH$2:$AH$167*(_xlfn.NORM.DIST(BO$3,economics!$AK$2:$AK$167,economics!$AJ$2:$AJ$167,TRUE)-_xlfn.NORM.DIST(BO$30,economics!$AK$2:$AK$167,economics!$AJ$2:$AJ$167,TRUE))*economics!$AM$2:$AM$167))/(SUMPRODUCT((economics!$AG$2:$AG$167=$B54)*(economics!$D$2:$D$167="process")*economics!$AH$2:$AH$167*(_xlfn.NORM.DIST(BO$3,economics!$AK$2:$AK$167,economics!$AJ$2:$AJ$167,TRUE)-_xlfn.NORM.DIST(BO$30,economics!$AK$2:$AK$167,economics!$AJ$2:$AJ$167,TRUE)))),"")</f>
        <v/>
      </c>
      <c r="BP54">
        <f t="array" ref="BP54">IFERROR((SUMPRODUCT((economics!$AG$2:$AG$167=$B54)*(economics!$D$2:$D$167="process")*economics!$AH$2:$AH$167*(_xlfn.NORM.DIST(BP$3,economics!$AK$2:$AK$167,economics!$AJ$2:$AJ$167,TRUE)-_xlfn.NORM.DIST(BP$30,economics!$AK$2:$AK$167,economics!$AJ$2:$AJ$167,TRUE))*economics!$AM$2:$AM$167))/(SUMPRODUCT((economics!$AG$2:$AG$167=$B54)*(economics!$D$2:$D$167="process")*economics!$AH$2:$AH$167*(_xlfn.NORM.DIST(BP$3,economics!$AK$2:$AK$167,economics!$AJ$2:$AJ$167,TRUE)-_xlfn.NORM.DIST(BP$30,economics!$AK$2:$AK$167,economics!$AJ$2:$AJ$167,TRUE)))),"")</f>
        <v/>
      </c>
      <c r="BQ54">
        <f t="array" ref="BQ54">IFERROR((SUMPRODUCT((economics!$AG$2:$AG$167=$B54)*(economics!$D$2:$D$167="process")*economics!$AH$2:$AH$167*(_xlfn.NORM.DIST(BQ$3,economics!$AK$2:$AK$167,economics!$AJ$2:$AJ$167,TRUE)-_xlfn.NORM.DIST(BQ$30,economics!$AK$2:$AK$167,economics!$AJ$2:$AJ$167,TRUE))*economics!$AM$2:$AM$167))/(SUMPRODUCT((economics!$AG$2:$AG$167=$B54)*(economics!$D$2:$D$167="process")*economics!$AH$2:$AH$167*(_xlfn.NORM.DIST(BQ$3,economics!$AK$2:$AK$167,economics!$AJ$2:$AJ$167,TRUE)-_xlfn.NORM.DIST(BQ$30,economics!$AK$2:$AK$167,economics!$AJ$2:$AJ$167,TRUE)))),"")</f>
        <v/>
      </c>
      <c r="BR54">
        <f t="array" ref="BR54">IFERROR((SUMPRODUCT((economics!$AG$2:$AG$167=$B54)*(economics!$D$2:$D$167="process")*economics!$AH$2:$AH$167*(_xlfn.NORM.DIST(BR$3,economics!$AK$2:$AK$167,economics!$AJ$2:$AJ$167,TRUE)-_xlfn.NORM.DIST(BR$30,economics!$AK$2:$AK$167,economics!$AJ$2:$AJ$167,TRUE))*economics!$AM$2:$AM$167))/(SUMPRODUCT((economics!$AG$2:$AG$167=$B54)*(economics!$D$2:$D$167="process")*economics!$AH$2:$AH$167*(_xlfn.NORM.DIST(BR$3,economics!$AK$2:$AK$167,economics!$AJ$2:$AJ$167,TRUE)-_xlfn.NORM.DIST(BR$30,economics!$AK$2:$AK$167,economics!$AJ$2:$AJ$167,TRUE)))),"")</f>
        <v/>
      </c>
      <c r="BS54">
        <f t="array" ref="BS54">IFERROR((SUMPRODUCT((economics!$AG$2:$AG$167=$B54)*(economics!$D$2:$D$167="process")*economics!$AH$2:$AH$167*(_xlfn.NORM.DIST(BS$3,economics!$AK$2:$AK$167,economics!$AJ$2:$AJ$167,TRUE)-_xlfn.NORM.DIST(BS$30,economics!$AK$2:$AK$167,economics!$AJ$2:$AJ$167,TRUE))*economics!$AM$2:$AM$167))/(SUMPRODUCT((economics!$AG$2:$AG$167=$B54)*(economics!$D$2:$D$167="process")*economics!$AH$2:$AH$167*(_xlfn.NORM.DIST(BS$3,economics!$AK$2:$AK$167,economics!$AJ$2:$AJ$167,TRUE)-_xlfn.NORM.DIST(BS$30,economics!$AK$2:$AK$167,economics!$AJ$2:$AJ$167,TRUE)))),"")</f>
        <v/>
      </c>
      <c r="BT54">
        <f t="array" ref="BT54">IFERROR((SUMPRODUCT((economics!$AG$2:$AG$167=$B54)*(economics!$D$2:$D$167="process")*economics!$AH$2:$AH$167*(_xlfn.NORM.DIST(BT$3,economics!$AK$2:$AK$167,economics!$AJ$2:$AJ$167,TRUE)-_xlfn.NORM.DIST(BT$30,economics!$AK$2:$AK$167,economics!$AJ$2:$AJ$167,TRUE))*economics!$AM$2:$AM$167))/(SUMPRODUCT((economics!$AG$2:$AG$167=$B54)*(economics!$D$2:$D$167="process")*economics!$AH$2:$AH$167*(_xlfn.NORM.DIST(BT$3,economics!$AK$2:$AK$167,economics!$AJ$2:$AJ$167,TRUE)-_xlfn.NORM.DIST(BT$30,economics!$AK$2:$AK$167,economics!$AJ$2:$AJ$167,TRUE)))),"")</f>
        <v/>
      </c>
      <c r="BU54">
        <f t="array" ref="BU54">IFERROR((SUMPRODUCT((economics!$AG$2:$AG$167=$B54)*(economics!$D$2:$D$167="process")*economics!$AH$2:$AH$167*(_xlfn.NORM.DIST(BU$3,economics!$AK$2:$AK$167,economics!$AJ$2:$AJ$167,TRUE)-_xlfn.NORM.DIST(BU$30,economics!$AK$2:$AK$167,economics!$AJ$2:$AJ$167,TRUE))*economics!$AM$2:$AM$167))/(SUMPRODUCT((economics!$AG$2:$AG$167=$B54)*(economics!$D$2:$D$167="process")*economics!$AH$2:$AH$167*(_xlfn.NORM.DIST(BU$3,economics!$AK$2:$AK$167,economics!$AJ$2:$AJ$167,TRUE)-_xlfn.NORM.DIST(BU$30,economics!$AK$2:$AK$167,economics!$AJ$2:$AJ$167,TRUE)))),"")</f>
        <v/>
      </c>
      <c r="BV54">
        <f t="array" ref="BV54">IFERROR((SUMPRODUCT((economics!$AG$2:$AG$167=$B54)*(economics!$D$2:$D$167="process")*economics!$AH$2:$AH$167*(_xlfn.NORM.DIST(BV$3,economics!$AK$2:$AK$167,economics!$AJ$2:$AJ$167,TRUE)-_xlfn.NORM.DIST(BV$30,economics!$AK$2:$AK$167,economics!$AJ$2:$AJ$167,TRUE))*economics!$AM$2:$AM$167))/(SUMPRODUCT((economics!$AG$2:$AG$167=$B54)*(economics!$D$2:$D$167="process")*economics!$AH$2:$AH$167*(_xlfn.NORM.DIST(BV$3,economics!$AK$2:$AK$167,economics!$AJ$2:$AJ$167,TRUE)-_xlfn.NORM.DIST(BV$30,economics!$AK$2:$AK$167,economics!$AJ$2:$AJ$167,TRUE)))),"")</f>
        <v/>
      </c>
      <c r="BW54">
        <f t="array" ref="BW54">IFERROR((SUMPRODUCT((economics!$AG$2:$AG$167=$B54)*(economics!$D$2:$D$167="process")*economics!$AH$2:$AH$167*(_xlfn.NORM.DIST(BW$3,economics!$AK$2:$AK$167,economics!$AJ$2:$AJ$167,TRUE)-_xlfn.NORM.DIST(BW$30,economics!$AK$2:$AK$167,economics!$AJ$2:$AJ$167,TRUE))*economics!$AM$2:$AM$167))/(SUMPRODUCT((economics!$AG$2:$AG$167=$B54)*(economics!$D$2:$D$167="process")*economics!$AH$2:$AH$167*(_xlfn.NORM.DIST(BW$3,economics!$AK$2:$AK$167,economics!$AJ$2:$AJ$167,TRUE)-_xlfn.NORM.DIST(BW$30,economics!$AK$2:$AK$167,economics!$AJ$2:$AJ$167,TRUE)))),"")</f>
        <v/>
      </c>
      <c r="BX54">
        <f t="array" ref="BX54">IFERROR((SUMPRODUCT((economics!$AG$2:$AG$167=$B54)*(economics!$D$2:$D$167="process")*economics!$AH$2:$AH$167*(_xlfn.NORM.DIST(BX$3,economics!$AK$2:$AK$167,economics!$AJ$2:$AJ$167,TRUE)-_xlfn.NORM.DIST(BX$30,economics!$AK$2:$AK$167,economics!$AJ$2:$AJ$167,TRUE))*economics!$AM$2:$AM$167))/(SUMPRODUCT((economics!$AG$2:$AG$167=$B54)*(economics!$D$2:$D$167="process")*economics!$AH$2:$AH$167*(_xlfn.NORM.DIST(BX$3,economics!$AK$2:$AK$167,economics!$AJ$2:$AJ$167,TRUE)-_xlfn.NORM.DIST(BX$30,economics!$AK$2:$AK$167,economics!$AJ$2:$AJ$167,TRUE)))),"")</f>
        <v/>
      </c>
      <c r="BY54">
        <f t="array" ref="BY54">IFERROR((SUMPRODUCT((economics!$AG$2:$AG$167=$B54)*(economics!$D$2:$D$167="process")*economics!$AH$2:$AH$167*(_xlfn.NORM.DIST(BY$3,economics!$AK$2:$AK$167,economics!$AJ$2:$AJ$167,TRUE)-_xlfn.NORM.DIST(BY$30,economics!$AK$2:$AK$167,economics!$AJ$2:$AJ$167,TRUE))*economics!$AM$2:$AM$167))/(SUMPRODUCT((economics!$AG$2:$AG$167=$B54)*(economics!$D$2:$D$167="process")*economics!$AH$2:$AH$167*(_xlfn.NORM.DIST(BY$3,economics!$AK$2:$AK$167,economics!$AJ$2:$AJ$167,TRUE)-_xlfn.NORM.DIST(BY$30,economics!$AK$2:$AK$167,economics!$AJ$2:$AJ$167,TRUE)))),"")</f>
        <v/>
      </c>
      <c r="BZ54">
        <f t="array" ref="BZ54">IFERROR((SUMPRODUCT((economics!$AG$2:$AG$167=$B54)*(economics!$D$2:$D$167="process")*economics!$AH$2:$AH$167*(_xlfn.NORM.DIST(BZ$3,economics!$AK$2:$AK$167,economics!$AJ$2:$AJ$167,TRUE)-_xlfn.NORM.DIST(BZ$30,economics!$AK$2:$AK$167,economics!$AJ$2:$AJ$167,TRUE))*economics!$AM$2:$AM$167))/(SUMPRODUCT((economics!$AG$2:$AG$167=$B54)*(economics!$D$2:$D$167="process")*economics!$AH$2:$AH$167*(_xlfn.NORM.DIST(BZ$3,economics!$AK$2:$AK$167,economics!$AJ$2:$AJ$167,TRUE)-_xlfn.NORM.DIST(BZ$30,economics!$AK$2:$AK$167,economics!$AJ$2:$AJ$167,TRUE)))),"")</f>
        <v/>
      </c>
      <c r="CA54">
        <f t="array" ref="CA54">IFERROR((SUMPRODUCT((economics!$AG$2:$AG$167=$B54)*(economics!$D$2:$D$167="process")*economics!$AH$2:$AH$167*(_xlfn.NORM.DIST(CA$3,economics!$AK$2:$AK$167,economics!$AJ$2:$AJ$167,TRUE)-_xlfn.NORM.DIST(CA$30,economics!$AK$2:$AK$167,economics!$AJ$2:$AJ$167,TRUE))*economics!$AM$2:$AM$167))/(SUMPRODUCT((economics!$AG$2:$AG$167=$B54)*(economics!$D$2:$D$167="process")*economics!$AH$2:$AH$167*(_xlfn.NORM.DIST(CA$3,economics!$AK$2:$AK$167,economics!$AJ$2:$AJ$167,TRUE)-_xlfn.NORM.DIST(CA$30,economics!$AK$2:$AK$167,economics!$AJ$2:$AJ$167,TRUE)))),"")</f>
        <v/>
      </c>
      <c r="CB54">
        <f t="array" ref="CB54">IFERROR((SUMPRODUCT((economics!$AG$2:$AG$167=$B54)*(economics!$D$2:$D$167="process")*economics!$AH$2:$AH$167*(_xlfn.NORM.DIST(CB$3,economics!$AK$2:$AK$167,economics!$AJ$2:$AJ$167,TRUE)-_xlfn.NORM.DIST(CB$30,economics!$AK$2:$AK$167,economics!$AJ$2:$AJ$167,TRUE))*economics!$AM$2:$AM$167))/(SUMPRODUCT((economics!$AG$2:$AG$167=$B54)*(economics!$D$2:$D$167="process")*economics!$AH$2:$AH$167*(_xlfn.NORM.DIST(CB$3,economics!$AK$2:$AK$167,economics!$AJ$2:$AJ$167,TRUE)-_xlfn.NORM.DIST(CB$30,economics!$AK$2:$AK$167,economics!$AJ$2:$AJ$167,TRUE)))),"")</f>
        <v/>
      </c>
      <c r="CC54">
        <f t="array" ref="CC54">IFERROR((SUMPRODUCT((economics!$AG$2:$AG$167=$B54)*(economics!$D$2:$D$167="process")*economics!$AH$2:$AH$167*(_xlfn.NORM.DIST(CC$3,economics!$AK$2:$AK$167,economics!$AJ$2:$AJ$167,TRUE)-_xlfn.NORM.DIST(CC$30,economics!$AK$2:$AK$167,economics!$AJ$2:$AJ$167,TRUE))*economics!$AM$2:$AM$167))/(SUMPRODUCT((economics!$AG$2:$AG$167=$B54)*(economics!$D$2:$D$167="process")*economics!$AH$2:$AH$167*(_xlfn.NORM.DIST(CC$3,economics!$AK$2:$AK$167,economics!$AJ$2:$AJ$167,TRUE)-_xlfn.NORM.DIST(CC$30,economics!$AK$2:$AK$167,economics!$AJ$2:$AJ$167,TRUE)))),"")</f>
        <v/>
      </c>
      <c r="CD54">
        <f t="array" ref="CD54">IFERROR((SUMPRODUCT((economics!$AG$2:$AG$167=$B54)*(economics!$D$2:$D$167="process")*economics!$AH$2:$AH$167*(_xlfn.NORM.DIST(CD$3,economics!$AK$2:$AK$167,economics!$AJ$2:$AJ$167,TRUE)-_xlfn.NORM.DIST(CD$30,economics!$AK$2:$AK$167,economics!$AJ$2:$AJ$167,TRUE))*economics!$AM$2:$AM$167))/(SUMPRODUCT((economics!$AG$2:$AG$167=$B54)*(economics!$D$2:$D$167="process")*economics!$AH$2:$AH$167*(_xlfn.NORM.DIST(CD$3,economics!$AK$2:$AK$167,economics!$AJ$2:$AJ$167,TRUE)-_xlfn.NORM.DIST(CD$30,economics!$AK$2:$AK$167,economics!$AJ$2:$AJ$167,TRUE)))),"")</f>
        <v/>
      </c>
      <c r="CE54">
        <f t="array" ref="CE54">IFERROR((SUMPRODUCT((economics!$AG$2:$AG$167=$B54)*(economics!$D$2:$D$167="process")*economics!$AH$2:$AH$167*(_xlfn.NORM.DIST(CE$3,economics!$AK$2:$AK$167,economics!$AJ$2:$AJ$167,TRUE)-_xlfn.NORM.DIST(CE$30,economics!$AK$2:$AK$167,economics!$AJ$2:$AJ$167,TRUE))*economics!$AM$2:$AM$167))/(SUMPRODUCT((economics!$AG$2:$AG$167=$B54)*(economics!$D$2:$D$167="process")*economics!$AH$2:$AH$167*(_xlfn.NORM.DIST(CE$3,economics!$AK$2:$AK$167,economics!$AJ$2:$AJ$167,TRUE)-_xlfn.NORM.DIST(CE$30,economics!$AK$2:$AK$167,economics!$AJ$2:$AJ$167,TRUE)))),"")</f>
        <v/>
      </c>
      <c r="CF54">
        <f t="array" ref="CF54">IFERROR((SUMPRODUCT((economics!$AG$2:$AG$167=$B54)*(economics!$D$2:$D$167="process")*economics!$AH$2:$AH$167*(_xlfn.NORM.DIST(CF$3,economics!$AK$2:$AK$167,economics!$AJ$2:$AJ$167,TRUE)-_xlfn.NORM.DIST(CF$30,economics!$AK$2:$AK$167,economics!$AJ$2:$AJ$167,TRUE))*economics!$AM$2:$AM$167))/(SUMPRODUCT((economics!$AG$2:$AG$167=$B54)*(economics!$D$2:$D$167="process")*economics!$AH$2:$AH$167*(_xlfn.NORM.DIST(CF$3,economics!$AK$2:$AK$167,economics!$AJ$2:$AJ$167,TRUE)-_xlfn.NORM.DIST(CF$30,economics!$AK$2:$AK$167,economics!$AJ$2:$AJ$167,TRUE)))),"")</f>
        <v/>
      </c>
      <c r="CG54">
        <f t="array" ref="CG54">IFERROR((SUMPRODUCT((economics!$AG$2:$AG$167=$B54)*(economics!$D$2:$D$167="process")*economics!$AH$2:$AH$167*(_xlfn.NORM.DIST(CG$3,economics!$AK$2:$AK$167,economics!$AJ$2:$AJ$167,TRUE)-_xlfn.NORM.DIST(CG$30,economics!$AK$2:$AK$167,economics!$AJ$2:$AJ$167,TRUE))*economics!$AM$2:$AM$167))/(SUMPRODUCT((economics!$AG$2:$AG$167=$B54)*(economics!$D$2:$D$167="process")*economics!$AH$2:$AH$167*(_xlfn.NORM.DIST(CG$3,economics!$AK$2:$AK$167,economics!$AJ$2:$AJ$167,TRUE)-_xlfn.NORM.DIST(CG$30,economics!$AK$2:$AK$167,economics!$AJ$2:$AJ$167,TRUE)))),"")</f>
        <v/>
      </c>
      <c r="CH54">
        <f t="array" ref="CH54">IFERROR((SUMPRODUCT((economics!$AG$2:$AG$167=$B54)*(economics!$D$2:$D$167="process")*economics!$AH$2:$AH$167*(_xlfn.NORM.DIST(CH$3,economics!$AK$2:$AK$167,economics!$AJ$2:$AJ$167,TRUE)-_xlfn.NORM.DIST(CH$30,economics!$AK$2:$AK$167,economics!$AJ$2:$AJ$167,TRUE))*economics!$AM$2:$AM$167))/(SUMPRODUCT((economics!$AG$2:$AG$167=$B54)*(economics!$D$2:$D$167="process")*economics!$AH$2:$AH$167*(_xlfn.NORM.DIST(CH$3,economics!$AK$2:$AK$167,economics!$AJ$2:$AJ$167,TRUE)-_xlfn.NORM.DIST(CH$30,economics!$AK$2:$AK$167,economics!$AJ$2:$AJ$167,TRUE)))),"")</f>
        <v/>
      </c>
    </row>
    <row r="55">
      <c r="A55">
        <f>A26</f>
        <v/>
      </c>
      <c r="B55">
        <f>B26</f>
        <v/>
      </c>
      <c r="E55">
        <f t="array" ref="E55">IFERROR((SUMPRODUCT((economics!$AG$2:$AG$167=$B55)*(economics!$D$2:$D$167="process")*economics!$AH$2:$AH$167*(_xlfn.NORM.DIST(E$3,economics!$AK$2:$AK$167,economics!$AJ$2:$AJ$167,TRUE)-_xlfn.NORM.DIST(E$30,economics!$AK$2:$AK$167,economics!$AJ$2:$AJ$167,TRUE))*economics!$AM$2:$AM$167))/(SUMPRODUCT((economics!$AG$2:$AG$167=$B55)*(economics!$D$2:$D$167="process")*economics!$AH$2:$AH$167*(_xlfn.NORM.DIST(E$3,economics!$AK$2:$AK$167,economics!$AJ$2:$AJ$167,TRUE)-_xlfn.NORM.DIST(E$30,economics!$AK$2:$AK$167,economics!$AJ$2:$AJ$167,TRUE)))),"")</f>
        <v/>
      </c>
      <c r="F55">
        <f t="array" ref="F55">IFERROR((SUMPRODUCT((economics!$AG$2:$AG$167=$B55)*(economics!$D$2:$D$167="process")*economics!$AH$2:$AH$167*(_xlfn.NORM.DIST(F$3,economics!$AK$2:$AK$167,economics!$AJ$2:$AJ$167,TRUE)-_xlfn.NORM.DIST(F$30,economics!$AK$2:$AK$167,economics!$AJ$2:$AJ$167,TRUE))*economics!$AM$2:$AM$167))/(SUMPRODUCT((economics!$AG$2:$AG$167=$B55)*(economics!$D$2:$D$167="process")*economics!$AH$2:$AH$167*(_xlfn.NORM.DIST(F$3,economics!$AK$2:$AK$167,economics!$AJ$2:$AJ$167,TRUE)-_xlfn.NORM.DIST(F$30,economics!$AK$2:$AK$167,economics!$AJ$2:$AJ$167,TRUE)))),"")</f>
        <v/>
      </c>
      <c r="G55">
        <f t="array" ref="G55">IFERROR((SUMPRODUCT((economics!$AG$2:$AG$167=$B55)*(economics!$D$2:$D$167="process")*economics!$AH$2:$AH$167*(_xlfn.NORM.DIST(G$3,economics!$AK$2:$AK$167,economics!$AJ$2:$AJ$167,TRUE)-_xlfn.NORM.DIST(G$30,economics!$AK$2:$AK$167,economics!$AJ$2:$AJ$167,TRUE))*economics!$AM$2:$AM$167))/(SUMPRODUCT((economics!$AG$2:$AG$167=$B55)*(economics!$D$2:$D$167="process")*economics!$AH$2:$AH$167*(_xlfn.NORM.DIST(G$3,economics!$AK$2:$AK$167,economics!$AJ$2:$AJ$167,TRUE)-_xlfn.NORM.DIST(G$30,economics!$AK$2:$AK$167,economics!$AJ$2:$AJ$167,TRUE)))),"")</f>
        <v/>
      </c>
      <c r="H55">
        <f t="array" ref="H55">IFERROR((SUMPRODUCT((economics!$AG$2:$AG$167=$B55)*(economics!$D$2:$D$167="process")*economics!$AH$2:$AH$167*(_xlfn.NORM.DIST(H$3,economics!$AK$2:$AK$167,economics!$AJ$2:$AJ$167,TRUE)-_xlfn.NORM.DIST(H$30,economics!$AK$2:$AK$167,economics!$AJ$2:$AJ$167,TRUE))*economics!$AM$2:$AM$167))/(SUMPRODUCT((economics!$AG$2:$AG$167=$B55)*(economics!$D$2:$D$167="process")*economics!$AH$2:$AH$167*(_xlfn.NORM.DIST(H$3,economics!$AK$2:$AK$167,economics!$AJ$2:$AJ$167,TRUE)-_xlfn.NORM.DIST(H$30,economics!$AK$2:$AK$167,economics!$AJ$2:$AJ$167,TRUE)))),"")</f>
        <v/>
      </c>
      <c r="I55">
        <f t="array" ref="I55">IFERROR((SUMPRODUCT((economics!$AG$2:$AG$167=$B55)*(economics!$D$2:$D$167="process")*economics!$AH$2:$AH$167*(_xlfn.NORM.DIST(I$3,economics!$AK$2:$AK$167,economics!$AJ$2:$AJ$167,TRUE)-_xlfn.NORM.DIST(I$30,economics!$AK$2:$AK$167,economics!$AJ$2:$AJ$167,TRUE))*economics!$AM$2:$AM$167))/(SUMPRODUCT((economics!$AG$2:$AG$167=$B55)*(economics!$D$2:$D$167="process")*economics!$AH$2:$AH$167*(_xlfn.NORM.DIST(I$3,economics!$AK$2:$AK$167,economics!$AJ$2:$AJ$167,TRUE)-_xlfn.NORM.DIST(I$30,economics!$AK$2:$AK$167,economics!$AJ$2:$AJ$167,TRUE)))),"")</f>
        <v/>
      </c>
      <c r="J55">
        <f t="array" ref="J55">IFERROR((SUMPRODUCT((economics!$AG$2:$AG$167=$B55)*(economics!$D$2:$D$167="process")*economics!$AH$2:$AH$167*(_xlfn.NORM.DIST(J$3,economics!$AK$2:$AK$167,economics!$AJ$2:$AJ$167,TRUE)-_xlfn.NORM.DIST(J$30,economics!$AK$2:$AK$167,economics!$AJ$2:$AJ$167,TRUE))*economics!$AM$2:$AM$167))/(SUMPRODUCT((economics!$AG$2:$AG$167=$B55)*(economics!$D$2:$D$167="process")*economics!$AH$2:$AH$167*(_xlfn.NORM.DIST(J$3,economics!$AK$2:$AK$167,economics!$AJ$2:$AJ$167,TRUE)-_xlfn.NORM.DIST(J$30,economics!$AK$2:$AK$167,economics!$AJ$2:$AJ$167,TRUE)))),"")</f>
        <v/>
      </c>
      <c r="K55">
        <f t="array" ref="K55">IFERROR((SUMPRODUCT((economics!$AG$2:$AG$167=$B55)*(economics!$D$2:$D$167="process")*economics!$AH$2:$AH$167*(_xlfn.NORM.DIST(K$3,economics!$AK$2:$AK$167,economics!$AJ$2:$AJ$167,TRUE)-_xlfn.NORM.DIST(K$30,economics!$AK$2:$AK$167,economics!$AJ$2:$AJ$167,TRUE))*economics!$AM$2:$AM$167))/(SUMPRODUCT((economics!$AG$2:$AG$167=$B55)*(economics!$D$2:$D$167="process")*economics!$AH$2:$AH$167*(_xlfn.NORM.DIST(K$3,economics!$AK$2:$AK$167,economics!$AJ$2:$AJ$167,TRUE)-_xlfn.NORM.DIST(K$30,economics!$AK$2:$AK$167,economics!$AJ$2:$AJ$167,TRUE)))),"")</f>
        <v/>
      </c>
      <c r="L55">
        <f t="array" ref="L55">IFERROR((SUMPRODUCT((economics!$AG$2:$AG$167=$B55)*(economics!$D$2:$D$167="process")*economics!$AH$2:$AH$167*(_xlfn.NORM.DIST(L$3,economics!$AK$2:$AK$167,economics!$AJ$2:$AJ$167,TRUE)-_xlfn.NORM.DIST(L$30,economics!$AK$2:$AK$167,economics!$AJ$2:$AJ$167,TRUE))*economics!$AM$2:$AM$167))/(SUMPRODUCT((economics!$AG$2:$AG$167=$B55)*(economics!$D$2:$D$167="process")*economics!$AH$2:$AH$167*(_xlfn.NORM.DIST(L$3,economics!$AK$2:$AK$167,economics!$AJ$2:$AJ$167,TRUE)-_xlfn.NORM.DIST(L$30,economics!$AK$2:$AK$167,economics!$AJ$2:$AJ$167,TRUE)))),"")</f>
        <v/>
      </c>
      <c r="M55">
        <f t="array" ref="M55">IFERROR((SUMPRODUCT((economics!$AG$2:$AG$167=$B55)*(economics!$D$2:$D$167="process")*economics!$AH$2:$AH$167*(_xlfn.NORM.DIST(M$3,economics!$AK$2:$AK$167,economics!$AJ$2:$AJ$167,TRUE)-_xlfn.NORM.DIST(M$30,economics!$AK$2:$AK$167,economics!$AJ$2:$AJ$167,TRUE))*economics!$AM$2:$AM$167))/(SUMPRODUCT((economics!$AG$2:$AG$167=$B55)*(economics!$D$2:$D$167="process")*economics!$AH$2:$AH$167*(_xlfn.NORM.DIST(M$3,economics!$AK$2:$AK$167,economics!$AJ$2:$AJ$167,TRUE)-_xlfn.NORM.DIST(M$30,economics!$AK$2:$AK$167,economics!$AJ$2:$AJ$167,TRUE)))),"")</f>
        <v/>
      </c>
      <c r="N55">
        <f t="array" ref="N55">IFERROR((SUMPRODUCT((economics!$AG$2:$AG$167=$B55)*(economics!$D$2:$D$167="process")*economics!$AH$2:$AH$167*(_xlfn.NORM.DIST(N$3,economics!$AK$2:$AK$167,economics!$AJ$2:$AJ$167,TRUE)-_xlfn.NORM.DIST(N$30,economics!$AK$2:$AK$167,economics!$AJ$2:$AJ$167,TRUE))*economics!$AM$2:$AM$167))/(SUMPRODUCT((economics!$AG$2:$AG$167=$B55)*(economics!$D$2:$D$167="process")*economics!$AH$2:$AH$167*(_xlfn.NORM.DIST(N$3,economics!$AK$2:$AK$167,economics!$AJ$2:$AJ$167,TRUE)-_xlfn.NORM.DIST(N$30,economics!$AK$2:$AK$167,economics!$AJ$2:$AJ$167,TRUE)))),"")</f>
        <v/>
      </c>
      <c r="O55">
        <f t="array" ref="O55">IFERROR((SUMPRODUCT((economics!$AG$2:$AG$167=$B55)*(economics!$D$2:$D$167="process")*economics!$AH$2:$AH$167*(_xlfn.NORM.DIST(O$3,economics!$AK$2:$AK$167,economics!$AJ$2:$AJ$167,TRUE)-_xlfn.NORM.DIST(O$30,economics!$AK$2:$AK$167,economics!$AJ$2:$AJ$167,TRUE))*economics!$AM$2:$AM$167))/(SUMPRODUCT((economics!$AG$2:$AG$167=$B55)*(economics!$D$2:$D$167="process")*economics!$AH$2:$AH$167*(_xlfn.NORM.DIST(O$3,economics!$AK$2:$AK$167,economics!$AJ$2:$AJ$167,TRUE)-_xlfn.NORM.DIST(O$30,economics!$AK$2:$AK$167,economics!$AJ$2:$AJ$167,TRUE)))),"")</f>
        <v/>
      </c>
      <c r="P55">
        <f t="array" ref="P55">IFERROR((SUMPRODUCT((economics!$AG$2:$AG$167=$B55)*(economics!$D$2:$D$167="process")*economics!$AH$2:$AH$167*(_xlfn.NORM.DIST(P$3,economics!$AK$2:$AK$167,economics!$AJ$2:$AJ$167,TRUE)-_xlfn.NORM.DIST(P$30,economics!$AK$2:$AK$167,economics!$AJ$2:$AJ$167,TRUE))*economics!$AM$2:$AM$167))/(SUMPRODUCT((economics!$AG$2:$AG$167=$B55)*(economics!$D$2:$D$167="process")*economics!$AH$2:$AH$167*(_xlfn.NORM.DIST(P$3,economics!$AK$2:$AK$167,economics!$AJ$2:$AJ$167,TRUE)-_xlfn.NORM.DIST(P$30,economics!$AK$2:$AK$167,economics!$AJ$2:$AJ$167,TRUE)))),"")</f>
        <v/>
      </c>
      <c r="Q55">
        <f t="array" ref="Q55">IFERROR((SUMPRODUCT((economics!$AG$2:$AG$167=$B55)*(economics!$D$2:$D$167="process")*economics!$AH$2:$AH$167*(_xlfn.NORM.DIST(Q$3,economics!$AK$2:$AK$167,economics!$AJ$2:$AJ$167,TRUE)-_xlfn.NORM.DIST(Q$30,economics!$AK$2:$AK$167,economics!$AJ$2:$AJ$167,TRUE))*economics!$AM$2:$AM$167))/(SUMPRODUCT((economics!$AG$2:$AG$167=$B55)*(economics!$D$2:$D$167="process")*economics!$AH$2:$AH$167*(_xlfn.NORM.DIST(Q$3,economics!$AK$2:$AK$167,economics!$AJ$2:$AJ$167,TRUE)-_xlfn.NORM.DIST(Q$30,economics!$AK$2:$AK$167,economics!$AJ$2:$AJ$167,TRUE)))),"")</f>
        <v/>
      </c>
      <c r="R55">
        <f t="array" ref="R55">IFERROR((SUMPRODUCT((economics!$AG$2:$AG$167=$B55)*(economics!$D$2:$D$167="process")*economics!$AH$2:$AH$167*(_xlfn.NORM.DIST(R$3,economics!$AK$2:$AK$167,economics!$AJ$2:$AJ$167,TRUE)-_xlfn.NORM.DIST(R$30,economics!$AK$2:$AK$167,economics!$AJ$2:$AJ$167,TRUE))*economics!$AM$2:$AM$167))/(SUMPRODUCT((economics!$AG$2:$AG$167=$B55)*(economics!$D$2:$D$167="process")*economics!$AH$2:$AH$167*(_xlfn.NORM.DIST(R$3,economics!$AK$2:$AK$167,economics!$AJ$2:$AJ$167,TRUE)-_xlfn.NORM.DIST(R$30,economics!$AK$2:$AK$167,economics!$AJ$2:$AJ$167,TRUE)))),"")</f>
        <v/>
      </c>
      <c r="S55">
        <f t="array" ref="S55">IFERROR((SUMPRODUCT((economics!$AG$2:$AG$167=$B55)*(economics!$D$2:$D$167="process")*economics!$AH$2:$AH$167*(_xlfn.NORM.DIST(S$3,economics!$AK$2:$AK$167,economics!$AJ$2:$AJ$167,TRUE)-_xlfn.NORM.DIST(S$30,economics!$AK$2:$AK$167,economics!$AJ$2:$AJ$167,TRUE))*economics!$AM$2:$AM$167))/(SUMPRODUCT((economics!$AG$2:$AG$167=$B55)*(economics!$D$2:$D$167="process")*economics!$AH$2:$AH$167*(_xlfn.NORM.DIST(S$3,economics!$AK$2:$AK$167,economics!$AJ$2:$AJ$167,TRUE)-_xlfn.NORM.DIST(S$30,economics!$AK$2:$AK$167,economics!$AJ$2:$AJ$167,TRUE)))),"")</f>
        <v/>
      </c>
      <c r="T55">
        <f t="array" ref="T55">IFERROR((SUMPRODUCT((economics!$AG$2:$AG$167=$B55)*(economics!$D$2:$D$167="process")*economics!$AH$2:$AH$167*(_xlfn.NORM.DIST(T$3,economics!$AK$2:$AK$167,economics!$AJ$2:$AJ$167,TRUE)-_xlfn.NORM.DIST(T$30,economics!$AK$2:$AK$167,economics!$AJ$2:$AJ$167,TRUE))*economics!$AM$2:$AM$167))/(SUMPRODUCT((economics!$AG$2:$AG$167=$B55)*(economics!$D$2:$D$167="process")*economics!$AH$2:$AH$167*(_xlfn.NORM.DIST(T$3,economics!$AK$2:$AK$167,economics!$AJ$2:$AJ$167,TRUE)-_xlfn.NORM.DIST(T$30,economics!$AK$2:$AK$167,economics!$AJ$2:$AJ$167,TRUE)))),"")</f>
        <v/>
      </c>
      <c r="U55">
        <f t="array" ref="U55">IFERROR((SUMPRODUCT((economics!$AG$2:$AG$167=$B55)*(economics!$D$2:$D$167="process")*economics!$AH$2:$AH$167*(_xlfn.NORM.DIST(U$3,economics!$AK$2:$AK$167,economics!$AJ$2:$AJ$167,TRUE)-_xlfn.NORM.DIST(U$30,economics!$AK$2:$AK$167,economics!$AJ$2:$AJ$167,TRUE))*economics!$AM$2:$AM$167))/(SUMPRODUCT((economics!$AG$2:$AG$167=$B55)*(economics!$D$2:$D$167="process")*economics!$AH$2:$AH$167*(_xlfn.NORM.DIST(U$3,economics!$AK$2:$AK$167,economics!$AJ$2:$AJ$167,TRUE)-_xlfn.NORM.DIST(U$30,economics!$AK$2:$AK$167,economics!$AJ$2:$AJ$167,TRUE)))),"")</f>
        <v/>
      </c>
      <c r="V55">
        <f t="array" ref="V55">IFERROR((SUMPRODUCT((economics!$AG$2:$AG$167=$B55)*(economics!$D$2:$D$167="process")*economics!$AH$2:$AH$167*(_xlfn.NORM.DIST(V$3,economics!$AK$2:$AK$167,economics!$AJ$2:$AJ$167,TRUE)-_xlfn.NORM.DIST(V$30,economics!$AK$2:$AK$167,economics!$AJ$2:$AJ$167,TRUE))*economics!$AM$2:$AM$167))/(SUMPRODUCT((economics!$AG$2:$AG$167=$B55)*(economics!$D$2:$D$167="process")*economics!$AH$2:$AH$167*(_xlfn.NORM.DIST(V$3,economics!$AK$2:$AK$167,economics!$AJ$2:$AJ$167,TRUE)-_xlfn.NORM.DIST(V$30,economics!$AK$2:$AK$167,economics!$AJ$2:$AJ$167,TRUE)))),"")</f>
        <v/>
      </c>
      <c r="W55">
        <f t="array" ref="W55">IFERROR((SUMPRODUCT((economics!$AG$2:$AG$167=$B55)*(economics!$D$2:$D$167="process")*economics!$AH$2:$AH$167*(_xlfn.NORM.DIST(W$3,economics!$AK$2:$AK$167,economics!$AJ$2:$AJ$167,TRUE)-_xlfn.NORM.DIST(W$30,economics!$AK$2:$AK$167,economics!$AJ$2:$AJ$167,TRUE))*economics!$AM$2:$AM$167))/(SUMPRODUCT((economics!$AG$2:$AG$167=$B55)*(economics!$D$2:$D$167="process")*economics!$AH$2:$AH$167*(_xlfn.NORM.DIST(W$3,economics!$AK$2:$AK$167,economics!$AJ$2:$AJ$167,TRUE)-_xlfn.NORM.DIST(W$30,economics!$AK$2:$AK$167,economics!$AJ$2:$AJ$167,TRUE)))),"")</f>
        <v/>
      </c>
      <c r="X55">
        <f t="array" ref="X55">IFERROR((SUMPRODUCT((economics!$AG$2:$AG$167=$B55)*(economics!$D$2:$D$167="process")*economics!$AH$2:$AH$167*(_xlfn.NORM.DIST(X$3,economics!$AK$2:$AK$167,economics!$AJ$2:$AJ$167,TRUE)-_xlfn.NORM.DIST(X$30,economics!$AK$2:$AK$167,economics!$AJ$2:$AJ$167,TRUE))*economics!$AM$2:$AM$167))/(SUMPRODUCT((economics!$AG$2:$AG$167=$B55)*(economics!$D$2:$D$167="process")*economics!$AH$2:$AH$167*(_xlfn.NORM.DIST(X$3,economics!$AK$2:$AK$167,economics!$AJ$2:$AJ$167,TRUE)-_xlfn.NORM.DIST(X$30,economics!$AK$2:$AK$167,economics!$AJ$2:$AJ$167,TRUE)))),"")</f>
        <v/>
      </c>
      <c r="Y55">
        <f t="array" ref="Y55">IFERROR((SUMPRODUCT((economics!$AG$2:$AG$167=$B55)*(economics!$D$2:$D$167="process")*economics!$AH$2:$AH$167*(_xlfn.NORM.DIST(Y$3,economics!$AK$2:$AK$167,economics!$AJ$2:$AJ$167,TRUE)-_xlfn.NORM.DIST(Y$30,economics!$AK$2:$AK$167,economics!$AJ$2:$AJ$167,TRUE))*economics!$AM$2:$AM$167))/(SUMPRODUCT((economics!$AG$2:$AG$167=$B55)*(economics!$D$2:$D$167="process")*economics!$AH$2:$AH$167*(_xlfn.NORM.DIST(Y$3,economics!$AK$2:$AK$167,economics!$AJ$2:$AJ$167,TRUE)-_xlfn.NORM.DIST(Y$30,economics!$AK$2:$AK$167,economics!$AJ$2:$AJ$167,TRUE)))),"")</f>
        <v/>
      </c>
      <c r="Z55">
        <f t="array" ref="Z55">IFERROR((SUMPRODUCT((economics!$AG$2:$AG$167=$B55)*(economics!$D$2:$D$167="process")*economics!$AH$2:$AH$167*(_xlfn.NORM.DIST(Z$3,economics!$AK$2:$AK$167,economics!$AJ$2:$AJ$167,TRUE)-_xlfn.NORM.DIST(Z$30,economics!$AK$2:$AK$167,economics!$AJ$2:$AJ$167,TRUE))*economics!$AM$2:$AM$167))/(SUMPRODUCT((economics!$AG$2:$AG$167=$B55)*(economics!$D$2:$D$167="process")*economics!$AH$2:$AH$167*(_xlfn.NORM.DIST(Z$3,economics!$AK$2:$AK$167,economics!$AJ$2:$AJ$167,TRUE)-_xlfn.NORM.DIST(Z$30,economics!$AK$2:$AK$167,economics!$AJ$2:$AJ$167,TRUE)))),"")</f>
        <v/>
      </c>
      <c r="AA55">
        <f t="array" ref="AA55">IFERROR((SUMPRODUCT((economics!$AG$2:$AG$167=$B55)*(economics!$D$2:$D$167="process")*economics!$AH$2:$AH$167*(_xlfn.NORM.DIST(AA$3,economics!$AK$2:$AK$167,economics!$AJ$2:$AJ$167,TRUE)-_xlfn.NORM.DIST(AA$30,economics!$AK$2:$AK$167,economics!$AJ$2:$AJ$167,TRUE))*economics!$AM$2:$AM$167))/(SUMPRODUCT((economics!$AG$2:$AG$167=$B55)*(economics!$D$2:$D$167="process")*economics!$AH$2:$AH$167*(_xlfn.NORM.DIST(AA$3,economics!$AK$2:$AK$167,economics!$AJ$2:$AJ$167,TRUE)-_xlfn.NORM.DIST(AA$30,economics!$AK$2:$AK$167,economics!$AJ$2:$AJ$167,TRUE)))),"")</f>
        <v/>
      </c>
      <c r="AB55">
        <f t="array" ref="AB55">IFERROR((SUMPRODUCT((economics!$AG$2:$AG$167=$B55)*(economics!$D$2:$D$167="process")*economics!$AH$2:$AH$167*(_xlfn.NORM.DIST(AB$3,economics!$AK$2:$AK$167,economics!$AJ$2:$AJ$167,TRUE)-_xlfn.NORM.DIST(AB$30,economics!$AK$2:$AK$167,economics!$AJ$2:$AJ$167,TRUE))*economics!$AM$2:$AM$167))/(SUMPRODUCT((economics!$AG$2:$AG$167=$B55)*(economics!$D$2:$D$167="process")*economics!$AH$2:$AH$167*(_xlfn.NORM.DIST(AB$3,economics!$AK$2:$AK$167,economics!$AJ$2:$AJ$167,TRUE)-_xlfn.NORM.DIST(AB$30,economics!$AK$2:$AK$167,economics!$AJ$2:$AJ$167,TRUE)))),"")</f>
        <v/>
      </c>
      <c r="AC55">
        <f t="array" ref="AC55">IFERROR((SUMPRODUCT((economics!$AG$2:$AG$167=$B55)*(economics!$D$2:$D$167="process")*economics!$AH$2:$AH$167*(_xlfn.NORM.DIST(AC$3,economics!$AK$2:$AK$167,economics!$AJ$2:$AJ$167,TRUE)-_xlfn.NORM.DIST(AC$30,economics!$AK$2:$AK$167,economics!$AJ$2:$AJ$167,TRUE))*economics!$AM$2:$AM$167))/(SUMPRODUCT((economics!$AG$2:$AG$167=$B55)*(economics!$D$2:$D$167="process")*economics!$AH$2:$AH$167*(_xlfn.NORM.DIST(AC$3,economics!$AK$2:$AK$167,economics!$AJ$2:$AJ$167,TRUE)-_xlfn.NORM.DIST(AC$30,economics!$AK$2:$AK$167,economics!$AJ$2:$AJ$167,TRUE)))),"")</f>
        <v/>
      </c>
      <c r="AD55">
        <f t="array" ref="AD55">IFERROR((SUMPRODUCT((economics!$AG$2:$AG$167=$B55)*(economics!$D$2:$D$167="process")*economics!$AH$2:$AH$167*(_xlfn.NORM.DIST(AD$3,economics!$AK$2:$AK$167,economics!$AJ$2:$AJ$167,TRUE)-_xlfn.NORM.DIST(AD$30,economics!$AK$2:$AK$167,economics!$AJ$2:$AJ$167,TRUE))*economics!$AM$2:$AM$167))/(SUMPRODUCT((economics!$AG$2:$AG$167=$B55)*(economics!$D$2:$D$167="process")*economics!$AH$2:$AH$167*(_xlfn.NORM.DIST(AD$3,economics!$AK$2:$AK$167,economics!$AJ$2:$AJ$167,TRUE)-_xlfn.NORM.DIST(AD$30,economics!$AK$2:$AK$167,economics!$AJ$2:$AJ$167,TRUE)))),"")</f>
        <v/>
      </c>
      <c r="AE55">
        <f t="array" ref="AE55">IFERROR((SUMPRODUCT((economics!$AG$2:$AG$167=$B55)*(economics!$D$2:$D$167="process")*economics!$AH$2:$AH$167*(_xlfn.NORM.DIST(AE$3,economics!$AK$2:$AK$167,economics!$AJ$2:$AJ$167,TRUE)-_xlfn.NORM.DIST(AE$30,economics!$AK$2:$AK$167,economics!$AJ$2:$AJ$167,TRUE))*economics!$AM$2:$AM$167))/(SUMPRODUCT((economics!$AG$2:$AG$167=$B55)*(economics!$D$2:$D$167="process")*economics!$AH$2:$AH$167*(_xlfn.NORM.DIST(AE$3,economics!$AK$2:$AK$167,economics!$AJ$2:$AJ$167,TRUE)-_xlfn.NORM.DIST(AE$30,economics!$AK$2:$AK$167,economics!$AJ$2:$AJ$167,TRUE)))),"")</f>
        <v/>
      </c>
      <c r="AF55">
        <f t="array" ref="AF55">IFERROR((SUMPRODUCT((economics!$AG$2:$AG$167=$B55)*(economics!$D$2:$D$167="process")*economics!$AH$2:$AH$167*(_xlfn.NORM.DIST(AF$3,economics!$AK$2:$AK$167,economics!$AJ$2:$AJ$167,TRUE)-_xlfn.NORM.DIST(AF$30,economics!$AK$2:$AK$167,economics!$AJ$2:$AJ$167,TRUE))*economics!$AM$2:$AM$167))/(SUMPRODUCT((economics!$AG$2:$AG$167=$B55)*(economics!$D$2:$D$167="process")*economics!$AH$2:$AH$167*(_xlfn.NORM.DIST(AF$3,economics!$AK$2:$AK$167,economics!$AJ$2:$AJ$167,TRUE)-_xlfn.NORM.DIST(AF$30,economics!$AK$2:$AK$167,economics!$AJ$2:$AJ$167,TRUE)))),"")</f>
        <v/>
      </c>
      <c r="AG55">
        <f t="array" ref="AG55">IFERROR((SUMPRODUCT((economics!$AG$2:$AG$167=$B55)*(economics!$D$2:$D$167="process")*economics!$AH$2:$AH$167*(_xlfn.NORM.DIST(AG$3,economics!$AK$2:$AK$167,economics!$AJ$2:$AJ$167,TRUE)-_xlfn.NORM.DIST(AG$30,economics!$AK$2:$AK$167,economics!$AJ$2:$AJ$167,TRUE))*economics!$AM$2:$AM$167))/(SUMPRODUCT((economics!$AG$2:$AG$167=$B55)*(economics!$D$2:$D$167="process")*economics!$AH$2:$AH$167*(_xlfn.NORM.DIST(AG$3,economics!$AK$2:$AK$167,economics!$AJ$2:$AJ$167,TRUE)-_xlfn.NORM.DIST(AG$30,economics!$AK$2:$AK$167,economics!$AJ$2:$AJ$167,TRUE)))),"")</f>
        <v/>
      </c>
      <c r="AH55">
        <f t="array" ref="AH55">IFERROR((SUMPRODUCT((economics!$AG$2:$AG$167=$B55)*(economics!$D$2:$D$167="process")*economics!$AH$2:$AH$167*(_xlfn.NORM.DIST(AH$3,economics!$AK$2:$AK$167,economics!$AJ$2:$AJ$167,TRUE)-_xlfn.NORM.DIST(AH$30,economics!$AK$2:$AK$167,economics!$AJ$2:$AJ$167,TRUE))*economics!$AM$2:$AM$167))/(SUMPRODUCT((economics!$AG$2:$AG$167=$B55)*(economics!$D$2:$D$167="process")*economics!$AH$2:$AH$167*(_xlfn.NORM.DIST(AH$3,economics!$AK$2:$AK$167,economics!$AJ$2:$AJ$167,TRUE)-_xlfn.NORM.DIST(AH$30,economics!$AK$2:$AK$167,economics!$AJ$2:$AJ$167,TRUE)))),"")</f>
        <v/>
      </c>
      <c r="AI55">
        <f t="array" ref="AI55">IFERROR((SUMPRODUCT((economics!$AG$2:$AG$167=$B55)*(economics!$D$2:$D$167="process")*economics!$AH$2:$AH$167*(_xlfn.NORM.DIST(AI$3,economics!$AK$2:$AK$167,economics!$AJ$2:$AJ$167,TRUE)-_xlfn.NORM.DIST(AI$30,economics!$AK$2:$AK$167,economics!$AJ$2:$AJ$167,TRUE))*economics!$AM$2:$AM$167))/(SUMPRODUCT((economics!$AG$2:$AG$167=$B55)*(economics!$D$2:$D$167="process")*economics!$AH$2:$AH$167*(_xlfn.NORM.DIST(AI$3,economics!$AK$2:$AK$167,economics!$AJ$2:$AJ$167,TRUE)-_xlfn.NORM.DIST(AI$30,economics!$AK$2:$AK$167,economics!$AJ$2:$AJ$167,TRUE)))),"")</f>
        <v/>
      </c>
      <c r="AJ55">
        <f t="array" ref="AJ55">IFERROR((SUMPRODUCT((economics!$AG$2:$AG$167=$B55)*(economics!$D$2:$D$167="process")*economics!$AH$2:$AH$167*(_xlfn.NORM.DIST(AJ$3,economics!$AK$2:$AK$167,economics!$AJ$2:$AJ$167,TRUE)-_xlfn.NORM.DIST(AJ$30,economics!$AK$2:$AK$167,economics!$AJ$2:$AJ$167,TRUE))*economics!$AM$2:$AM$167))/(SUMPRODUCT((economics!$AG$2:$AG$167=$B55)*(economics!$D$2:$D$167="process")*economics!$AH$2:$AH$167*(_xlfn.NORM.DIST(AJ$3,economics!$AK$2:$AK$167,economics!$AJ$2:$AJ$167,TRUE)-_xlfn.NORM.DIST(AJ$30,economics!$AK$2:$AK$167,economics!$AJ$2:$AJ$167,TRUE)))),"")</f>
        <v/>
      </c>
      <c r="AK55">
        <f t="array" ref="AK55">IFERROR((SUMPRODUCT((economics!$AG$2:$AG$167=$B55)*(economics!$D$2:$D$167="process")*economics!$AH$2:$AH$167*(_xlfn.NORM.DIST(AK$3,economics!$AK$2:$AK$167,economics!$AJ$2:$AJ$167,TRUE)-_xlfn.NORM.DIST(AK$30,economics!$AK$2:$AK$167,economics!$AJ$2:$AJ$167,TRUE))*economics!$AM$2:$AM$167))/(SUMPRODUCT((economics!$AG$2:$AG$167=$B55)*(economics!$D$2:$D$167="process")*economics!$AH$2:$AH$167*(_xlfn.NORM.DIST(AK$3,economics!$AK$2:$AK$167,economics!$AJ$2:$AJ$167,TRUE)-_xlfn.NORM.DIST(AK$30,economics!$AK$2:$AK$167,economics!$AJ$2:$AJ$167,TRUE)))),"")</f>
        <v/>
      </c>
      <c r="AL55">
        <f t="array" ref="AL55">IFERROR((SUMPRODUCT((economics!$AG$2:$AG$167=$B55)*(economics!$D$2:$D$167="process")*economics!$AH$2:$AH$167*(_xlfn.NORM.DIST(AL$3,economics!$AK$2:$AK$167,economics!$AJ$2:$AJ$167,TRUE)-_xlfn.NORM.DIST(AL$30,economics!$AK$2:$AK$167,economics!$AJ$2:$AJ$167,TRUE))*economics!$AM$2:$AM$167))/(SUMPRODUCT((economics!$AG$2:$AG$167=$B55)*(economics!$D$2:$D$167="process")*economics!$AH$2:$AH$167*(_xlfn.NORM.DIST(AL$3,economics!$AK$2:$AK$167,economics!$AJ$2:$AJ$167,TRUE)-_xlfn.NORM.DIST(AL$30,economics!$AK$2:$AK$167,economics!$AJ$2:$AJ$167,TRUE)))),"")</f>
        <v/>
      </c>
      <c r="AM55">
        <f t="array" ref="AM55">IFERROR((SUMPRODUCT((economics!$AG$2:$AG$167=$B55)*(economics!$D$2:$D$167="process")*economics!$AH$2:$AH$167*(_xlfn.NORM.DIST(AM$3,economics!$AK$2:$AK$167,economics!$AJ$2:$AJ$167,TRUE)-_xlfn.NORM.DIST(AM$30,economics!$AK$2:$AK$167,economics!$AJ$2:$AJ$167,TRUE))*economics!$AM$2:$AM$167))/(SUMPRODUCT((economics!$AG$2:$AG$167=$B55)*(economics!$D$2:$D$167="process")*economics!$AH$2:$AH$167*(_xlfn.NORM.DIST(AM$3,economics!$AK$2:$AK$167,economics!$AJ$2:$AJ$167,TRUE)-_xlfn.NORM.DIST(AM$30,economics!$AK$2:$AK$167,economics!$AJ$2:$AJ$167,TRUE)))),"")</f>
        <v/>
      </c>
      <c r="AN55">
        <f t="array" ref="AN55">IFERROR((SUMPRODUCT((economics!$AG$2:$AG$167=$B55)*(economics!$D$2:$D$167="process")*economics!$AH$2:$AH$167*(_xlfn.NORM.DIST(AN$3,economics!$AK$2:$AK$167,economics!$AJ$2:$AJ$167,TRUE)-_xlfn.NORM.DIST(AN$30,economics!$AK$2:$AK$167,economics!$AJ$2:$AJ$167,TRUE))*economics!$AM$2:$AM$167))/(SUMPRODUCT((economics!$AG$2:$AG$167=$B55)*(economics!$D$2:$D$167="process")*economics!$AH$2:$AH$167*(_xlfn.NORM.DIST(AN$3,economics!$AK$2:$AK$167,economics!$AJ$2:$AJ$167,TRUE)-_xlfn.NORM.DIST(AN$30,economics!$AK$2:$AK$167,economics!$AJ$2:$AJ$167,TRUE)))),"")</f>
        <v/>
      </c>
      <c r="AO55">
        <f t="array" ref="AO55">IFERROR((SUMPRODUCT((economics!$AG$2:$AG$167=$B55)*(economics!$D$2:$D$167="process")*economics!$AH$2:$AH$167*(_xlfn.NORM.DIST(AO$3,economics!$AK$2:$AK$167,economics!$AJ$2:$AJ$167,TRUE)-_xlfn.NORM.DIST(AO$30,economics!$AK$2:$AK$167,economics!$AJ$2:$AJ$167,TRUE))*economics!$AM$2:$AM$167))/(SUMPRODUCT((economics!$AG$2:$AG$167=$B55)*(economics!$D$2:$D$167="process")*economics!$AH$2:$AH$167*(_xlfn.NORM.DIST(AO$3,economics!$AK$2:$AK$167,economics!$AJ$2:$AJ$167,TRUE)-_xlfn.NORM.DIST(AO$30,economics!$AK$2:$AK$167,economics!$AJ$2:$AJ$167,TRUE)))),"")</f>
        <v/>
      </c>
      <c r="AP55">
        <f t="array" ref="AP55">IFERROR((SUMPRODUCT((economics!$AG$2:$AG$167=$B55)*(economics!$D$2:$D$167="process")*economics!$AH$2:$AH$167*(_xlfn.NORM.DIST(AP$3,economics!$AK$2:$AK$167,economics!$AJ$2:$AJ$167,TRUE)-_xlfn.NORM.DIST(AP$30,economics!$AK$2:$AK$167,economics!$AJ$2:$AJ$167,TRUE))*economics!$AM$2:$AM$167))/(SUMPRODUCT((economics!$AG$2:$AG$167=$B55)*(economics!$D$2:$D$167="process")*economics!$AH$2:$AH$167*(_xlfn.NORM.DIST(AP$3,economics!$AK$2:$AK$167,economics!$AJ$2:$AJ$167,TRUE)-_xlfn.NORM.DIST(AP$30,economics!$AK$2:$AK$167,economics!$AJ$2:$AJ$167,TRUE)))),"")</f>
        <v/>
      </c>
      <c r="AQ55">
        <f t="array" ref="AQ55">IFERROR((SUMPRODUCT((economics!$AG$2:$AG$167=$B55)*(economics!$D$2:$D$167="process")*economics!$AH$2:$AH$167*(_xlfn.NORM.DIST(AQ$3,economics!$AK$2:$AK$167,economics!$AJ$2:$AJ$167,TRUE)-_xlfn.NORM.DIST(AQ$30,economics!$AK$2:$AK$167,economics!$AJ$2:$AJ$167,TRUE))*economics!$AM$2:$AM$167))/(SUMPRODUCT((economics!$AG$2:$AG$167=$B55)*(economics!$D$2:$D$167="process")*economics!$AH$2:$AH$167*(_xlfn.NORM.DIST(AQ$3,economics!$AK$2:$AK$167,economics!$AJ$2:$AJ$167,TRUE)-_xlfn.NORM.DIST(AQ$30,economics!$AK$2:$AK$167,economics!$AJ$2:$AJ$167,TRUE)))),"")</f>
        <v/>
      </c>
      <c r="AR55">
        <f t="array" ref="AR55">IFERROR((SUMPRODUCT((economics!$AG$2:$AG$167=$B55)*(economics!$D$2:$D$167="process")*economics!$AH$2:$AH$167*(_xlfn.NORM.DIST(AR$3,economics!$AK$2:$AK$167,economics!$AJ$2:$AJ$167,TRUE)-_xlfn.NORM.DIST(AR$30,economics!$AK$2:$AK$167,economics!$AJ$2:$AJ$167,TRUE))*economics!$AM$2:$AM$167))/(SUMPRODUCT((economics!$AG$2:$AG$167=$B55)*(economics!$D$2:$D$167="process")*economics!$AH$2:$AH$167*(_xlfn.NORM.DIST(AR$3,economics!$AK$2:$AK$167,economics!$AJ$2:$AJ$167,TRUE)-_xlfn.NORM.DIST(AR$30,economics!$AK$2:$AK$167,economics!$AJ$2:$AJ$167,TRUE)))),"")</f>
        <v/>
      </c>
      <c r="AS55">
        <f t="array" ref="AS55">IFERROR((SUMPRODUCT((economics!$AG$2:$AG$167=$B55)*(economics!$D$2:$D$167="process")*economics!$AH$2:$AH$167*(_xlfn.NORM.DIST(AS$3,economics!$AK$2:$AK$167,economics!$AJ$2:$AJ$167,TRUE)-_xlfn.NORM.DIST(AS$30,economics!$AK$2:$AK$167,economics!$AJ$2:$AJ$167,TRUE))*economics!$AM$2:$AM$167))/(SUMPRODUCT((economics!$AG$2:$AG$167=$B55)*(economics!$D$2:$D$167="process")*economics!$AH$2:$AH$167*(_xlfn.NORM.DIST(AS$3,economics!$AK$2:$AK$167,economics!$AJ$2:$AJ$167,TRUE)-_xlfn.NORM.DIST(AS$30,economics!$AK$2:$AK$167,economics!$AJ$2:$AJ$167,TRUE)))),"")</f>
        <v/>
      </c>
      <c r="AT55">
        <f t="array" ref="AT55">IFERROR((SUMPRODUCT((economics!$AG$2:$AG$167=$B55)*(economics!$D$2:$D$167="process")*economics!$AH$2:$AH$167*(_xlfn.NORM.DIST(AT$3,economics!$AK$2:$AK$167,economics!$AJ$2:$AJ$167,TRUE)-_xlfn.NORM.DIST(AT$30,economics!$AK$2:$AK$167,economics!$AJ$2:$AJ$167,TRUE))*economics!$AM$2:$AM$167))/(SUMPRODUCT((economics!$AG$2:$AG$167=$B55)*(economics!$D$2:$D$167="process")*economics!$AH$2:$AH$167*(_xlfn.NORM.DIST(AT$3,economics!$AK$2:$AK$167,economics!$AJ$2:$AJ$167,TRUE)-_xlfn.NORM.DIST(AT$30,economics!$AK$2:$AK$167,economics!$AJ$2:$AJ$167,TRUE)))),"")</f>
        <v/>
      </c>
      <c r="AU55">
        <f t="array" ref="AU55">IFERROR((SUMPRODUCT((economics!$AG$2:$AG$167=$B55)*(economics!$D$2:$D$167="process")*economics!$AH$2:$AH$167*(_xlfn.NORM.DIST(AU$3,economics!$AK$2:$AK$167,economics!$AJ$2:$AJ$167,TRUE)-_xlfn.NORM.DIST(AU$30,economics!$AK$2:$AK$167,economics!$AJ$2:$AJ$167,TRUE))*economics!$AM$2:$AM$167))/(SUMPRODUCT((economics!$AG$2:$AG$167=$B55)*(economics!$D$2:$D$167="process")*economics!$AH$2:$AH$167*(_xlfn.NORM.DIST(AU$3,economics!$AK$2:$AK$167,economics!$AJ$2:$AJ$167,TRUE)-_xlfn.NORM.DIST(AU$30,economics!$AK$2:$AK$167,economics!$AJ$2:$AJ$167,TRUE)))),"")</f>
        <v/>
      </c>
      <c r="AV55">
        <f t="array" ref="AV55">IFERROR((SUMPRODUCT((economics!$AG$2:$AG$167=$B55)*(economics!$D$2:$D$167="process")*economics!$AH$2:$AH$167*(_xlfn.NORM.DIST(AV$3,economics!$AK$2:$AK$167,economics!$AJ$2:$AJ$167,TRUE)-_xlfn.NORM.DIST(AV$30,economics!$AK$2:$AK$167,economics!$AJ$2:$AJ$167,TRUE))*economics!$AM$2:$AM$167))/(SUMPRODUCT((economics!$AG$2:$AG$167=$B55)*(economics!$D$2:$D$167="process")*economics!$AH$2:$AH$167*(_xlfn.NORM.DIST(AV$3,economics!$AK$2:$AK$167,economics!$AJ$2:$AJ$167,TRUE)-_xlfn.NORM.DIST(AV$30,economics!$AK$2:$AK$167,economics!$AJ$2:$AJ$167,TRUE)))),"")</f>
        <v/>
      </c>
      <c r="AW55">
        <f t="array" ref="AW55">IFERROR((SUMPRODUCT((economics!$AG$2:$AG$167=$B55)*(economics!$D$2:$D$167="process")*economics!$AH$2:$AH$167*(_xlfn.NORM.DIST(AW$3,economics!$AK$2:$AK$167,economics!$AJ$2:$AJ$167,TRUE)-_xlfn.NORM.DIST(AW$30,economics!$AK$2:$AK$167,economics!$AJ$2:$AJ$167,TRUE))*economics!$AM$2:$AM$167))/(SUMPRODUCT((economics!$AG$2:$AG$167=$B55)*(economics!$D$2:$D$167="process")*economics!$AH$2:$AH$167*(_xlfn.NORM.DIST(AW$3,economics!$AK$2:$AK$167,economics!$AJ$2:$AJ$167,TRUE)-_xlfn.NORM.DIST(AW$30,economics!$AK$2:$AK$167,economics!$AJ$2:$AJ$167,TRUE)))),"")</f>
        <v/>
      </c>
      <c r="AX55">
        <f t="array" ref="AX55">IFERROR((SUMPRODUCT((economics!$AG$2:$AG$167=$B55)*(economics!$D$2:$D$167="process")*economics!$AH$2:$AH$167*(_xlfn.NORM.DIST(AX$3,economics!$AK$2:$AK$167,economics!$AJ$2:$AJ$167,TRUE)-_xlfn.NORM.DIST(AX$30,economics!$AK$2:$AK$167,economics!$AJ$2:$AJ$167,TRUE))*economics!$AM$2:$AM$167))/(SUMPRODUCT((economics!$AG$2:$AG$167=$B55)*(economics!$D$2:$D$167="process")*economics!$AH$2:$AH$167*(_xlfn.NORM.DIST(AX$3,economics!$AK$2:$AK$167,economics!$AJ$2:$AJ$167,TRUE)-_xlfn.NORM.DIST(AX$30,economics!$AK$2:$AK$167,economics!$AJ$2:$AJ$167,TRUE)))),"")</f>
        <v/>
      </c>
      <c r="AY55">
        <f t="array" ref="AY55">IFERROR((SUMPRODUCT((economics!$AG$2:$AG$167=$B55)*(economics!$D$2:$D$167="process")*economics!$AH$2:$AH$167*(_xlfn.NORM.DIST(AY$3,economics!$AK$2:$AK$167,economics!$AJ$2:$AJ$167,TRUE)-_xlfn.NORM.DIST(AY$30,economics!$AK$2:$AK$167,economics!$AJ$2:$AJ$167,TRUE))*economics!$AM$2:$AM$167))/(SUMPRODUCT((economics!$AG$2:$AG$167=$B55)*(economics!$D$2:$D$167="process")*economics!$AH$2:$AH$167*(_xlfn.NORM.DIST(AY$3,economics!$AK$2:$AK$167,economics!$AJ$2:$AJ$167,TRUE)-_xlfn.NORM.DIST(AY$30,economics!$AK$2:$AK$167,economics!$AJ$2:$AJ$167,TRUE)))),"")</f>
        <v/>
      </c>
      <c r="AZ55">
        <f t="array" ref="AZ55">IFERROR((SUMPRODUCT((economics!$AG$2:$AG$167=$B55)*(economics!$D$2:$D$167="process")*economics!$AH$2:$AH$167*(_xlfn.NORM.DIST(AZ$3,economics!$AK$2:$AK$167,economics!$AJ$2:$AJ$167,TRUE)-_xlfn.NORM.DIST(AZ$30,economics!$AK$2:$AK$167,economics!$AJ$2:$AJ$167,TRUE))*economics!$AM$2:$AM$167))/(SUMPRODUCT((economics!$AG$2:$AG$167=$B55)*(economics!$D$2:$D$167="process")*economics!$AH$2:$AH$167*(_xlfn.NORM.DIST(AZ$3,economics!$AK$2:$AK$167,economics!$AJ$2:$AJ$167,TRUE)-_xlfn.NORM.DIST(AZ$30,economics!$AK$2:$AK$167,economics!$AJ$2:$AJ$167,TRUE)))),"")</f>
        <v/>
      </c>
      <c r="BA55">
        <f t="array" ref="BA55">IFERROR((SUMPRODUCT((economics!$AG$2:$AG$167=$B55)*(economics!$D$2:$D$167="process")*economics!$AH$2:$AH$167*(_xlfn.NORM.DIST(BA$3,economics!$AK$2:$AK$167,economics!$AJ$2:$AJ$167,TRUE)-_xlfn.NORM.DIST(BA$30,economics!$AK$2:$AK$167,economics!$AJ$2:$AJ$167,TRUE))*economics!$AM$2:$AM$167))/(SUMPRODUCT((economics!$AG$2:$AG$167=$B55)*(economics!$D$2:$D$167="process")*economics!$AH$2:$AH$167*(_xlfn.NORM.DIST(BA$3,economics!$AK$2:$AK$167,economics!$AJ$2:$AJ$167,TRUE)-_xlfn.NORM.DIST(BA$30,economics!$AK$2:$AK$167,economics!$AJ$2:$AJ$167,TRUE)))),"")</f>
        <v/>
      </c>
      <c r="BB55">
        <f t="array" ref="BB55">IFERROR((SUMPRODUCT((economics!$AG$2:$AG$167=$B55)*(economics!$D$2:$D$167="process")*economics!$AH$2:$AH$167*(_xlfn.NORM.DIST(BB$3,economics!$AK$2:$AK$167,economics!$AJ$2:$AJ$167,TRUE)-_xlfn.NORM.DIST(BB$30,economics!$AK$2:$AK$167,economics!$AJ$2:$AJ$167,TRUE))*economics!$AM$2:$AM$167))/(SUMPRODUCT((economics!$AG$2:$AG$167=$B55)*(economics!$D$2:$D$167="process")*economics!$AH$2:$AH$167*(_xlfn.NORM.DIST(BB$3,economics!$AK$2:$AK$167,economics!$AJ$2:$AJ$167,TRUE)-_xlfn.NORM.DIST(BB$30,economics!$AK$2:$AK$167,economics!$AJ$2:$AJ$167,TRUE)))),"")</f>
        <v/>
      </c>
      <c r="BC55">
        <f t="array" ref="BC55">IFERROR((SUMPRODUCT((economics!$AG$2:$AG$167=$B55)*(economics!$D$2:$D$167="process")*economics!$AH$2:$AH$167*(_xlfn.NORM.DIST(BC$3,economics!$AK$2:$AK$167,economics!$AJ$2:$AJ$167,TRUE)-_xlfn.NORM.DIST(BC$30,economics!$AK$2:$AK$167,economics!$AJ$2:$AJ$167,TRUE))*economics!$AM$2:$AM$167))/(SUMPRODUCT((economics!$AG$2:$AG$167=$B55)*(economics!$D$2:$D$167="process")*economics!$AH$2:$AH$167*(_xlfn.NORM.DIST(BC$3,economics!$AK$2:$AK$167,economics!$AJ$2:$AJ$167,TRUE)-_xlfn.NORM.DIST(BC$30,economics!$AK$2:$AK$167,economics!$AJ$2:$AJ$167,TRUE)))),"")</f>
        <v/>
      </c>
      <c r="BD55">
        <f t="array" ref="BD55">IFERROR((SUMPRODUCT((economics!$AG$2:$AG$167=$B55)*(economics!$D$2:$D$167="process")*economics!$AH$2:$AH$167*(_xlfn.NORM.DIST(BD$3,economics!$AK$2:$AK$167,economics!$AJ$2:$AJ$167,TRUE)-_xlfn.NORM.DIST(BD$30,economics!$AK$2:$AK$167,economics!$AJ$2:$AJ$167,TRUE))*economics!$AM$2:$AM$167))/(SUMPRODUCT((economics!$AG$2:$AG$167=$B55)*(economics!$D$2:$D$167="process")*economics!$AH$2:$AH$167*(_xlfn.NORM.DIST(BD$3,economics!$AK$2:$AK$167,economics!$AJ$2:$AJ$167,TRUE)-_xlfn.NORM.DIST(BD$30,economics!$AK$2:$AK$167,economics!$AJ$2:$AJ$167,TRUE)))),"")</f>
        <v/>
      </c>
      <c r="BE55">
        <f t="array" ref="BE55">IFERROR((SUMPRODUCT((economics!$AG$2:$AG$167=$B55)*(economics!$D$2:$D$167="process")*economics!$AH$2:$AH$167*(_xlfn.NORM.DIST(BE$3,economics!$AK$2:$AK$167,economics!$AJ$2:$AJ$167,TRUE)-_xlfn.NORM.DIST(BE$30,economics!$AK$2:$AK$167,economics!$AJ$2:$AJ$167,TRUE))*economics!$AM$2:$AM$167))/(SUMPRODUCT((economics!$AG$2:$AG$167=$B55)*(economics!$D$2:$D$167="process")*economics!$AH$2:$AH$167*(_xlfn.NORM.DIST(BE$3,economics!$AK$2:$AK$167,economics!$AJ$2:$AJ$167,TRUE)-_xlfn.NORM.DIST(BE$30,economics!$AK$2:$AK$167,economics!$AJ$2:$AJ$167,TRUE)))),"")</f>
        <v/>
      </c>
      <c r="BF55">
        <f t="array" ref="BF55">IFERROR((SUMPRODUCT((economics!$AG$2:$AG$167=$B55)*(economics!$D$2:$D$167="process")*economics!$AH$2:$AH$167*(_xlfn.NORM.DIST(BF$3,economics!$AK$2:$AK$167,economics!$AJ$2:$AJ$167,TRUE)-_xlfn.NORM.DIST(BF$30,economics!$AK$2:$AK$167,economics!$AJ$2:$AJ$167,TRUE))*economics!$AM$2:$AM$167))/(SUMPRODUCT((economics!$AG$2:$AG$167=$B55)*(economics!$D$2:$D$167="process")*economics!$AH$2:$AH$167*(_xlfn.NORM.DIST(BF$3,economics!$AK$2:$AK$167,economics!$AJ$2:$AJ$167,TRUE)-_xlfn.NORM.DIST(BF$30,economics!$AK$2:$AK$167,economics!$AJ$2:$AJ$167,TRUE)))),"")</f>
        <v/>
      </c>
      <c r="BG55">
        <f t="array" ref="BG55">IFERROR((SUMPRODUCT((economics!$AG$2:$AG$167=$B55)*(economics!$D$2:$D$167="process")*economics!$AH$2:$AH$167*(_xlfn.NORM.DIST(BG$3,economics!$AK$2:$AK$167,economics!$AJ$2:$AJ$167,TRUE)-_xlfn.NORM.DIST(BG$30,economics!$AK$2:$AK$167,economics!$AJ$2:$AJ$167,TRUE))*economics!$AM$2:$AM$167))/(SUMPRODUCT((economics!$AG$2:$AG$167=$B55)*(economics!$D$2:$D$167="process")*economics!$AH$2:$AH$167*(_xlfn.NORM.DIST(BG$3,economics!$AK$2:$AK$167,economics!$AJ$2:$AJ$167,TRUE)-_xlfn.NORM.DIST(BG$30,economics!$AK$2:$AK$167,economics!$AJ$2:$AJ$167,TRUE)))),"")</f>
        <v/>
      </c>
      <c r="BH55">
        <f t="array" ref="BH55">IFERROR((SUMPRODUCT((economics!$AG$2:$AG$167=$B55)*(economics!$D$2:$D$167="process")*economics!$AH$2:$AH$167*(_xlfn.NORM.DIST(BH$3,economics!$AK$2:$AK$167,economics!$AJ$2:$AJ$167,TRUE)-_xlfn.NORM.DIST(BH$30,economics!$AK$2:$AK$167,economics!$AJ$2:$AJ$167,TRUE))*economics!$AM$2:$AM$167))/(SUMPRODUCT((economics!$AG$2:$AG$167=$B55)*(economics!$D$2:$D$167="process")*economics!$AH$2:$AH$167*(_xlfn.NORM.DIST(BH$3,economics!$AK$2:$AK$167,economics!$AJ$2:$AJ$167,TRUE)-_xlfn.NORM.DIST(BH$30,economics!$AK$2:$AK$167,economics!$AJ$2:$AJ$167,TRUE)))),"")</f>
        <v/>
      </c>
      <c r="BI55">
        <f t="array" ref="BI55">IFERROR((SUMPRODUCT((economics!$AG$2:$AG$167=$B55)*(economics!$D$2:$D$167="process")*economics!$AH$2:$AH$167*(_xlfn.NORM.DIST(BI$3,economics!$AK$2:$AK$167,economics!$AJ$2:$AJ$167,TRUE)-_xlfn.NORM.DIST(BI$30,economics!$AK$2:$AK$167,economics!$AJ$2:$AJ$167,TRUE))*economics!$AM$2:$AM$167))/(SUMPRODUCT((economics!$AG$2:$AG$167=$B55)*(economics!$D$2:$D$167="process")*economics!$AH$2:$AH$167*(_xlfn.NORM.DIST(BI$3,economics!$AK$2:$AK$167,economics!$AJ$2:$AJ$167,TRUE)-_xlfn.NORM.DIST(BI$30,economics!$AK$2:$AK$167,economics!$AJ$2:$AJ$167,TRUE)))),"")</f>
        <v/>
      </c>
      <c r="BJ55">
        <f t="array" ref="BJ55">IFERROR((SUMPRODUCT((economics!$AG$2:$AG$167=$B55)*(economics!$D$2:$D$167="process")*economics!$AH$2:$AH$167*(_xlfn.NORM.DIST(BJ$3,economics!$AK$2:$AK$167,economics!$AJ$2:$AJ$167,TRUE)-_xlfn.NORM.DIST(BJ$30,economics!$AK$2:$AK$167,economics!$AJ$2:$AJ$167,TRUE))*economics!$AM$2:$AM$167))/(SUMPRODUCT((economics!$AG$2:$AG$167=$B55)*(economics!$D$2:$D$167="process")*economics!$AH$2:$AH$167*(_xlfn.NORM.DIST(BJ$3,economics!$AK$2:$AK$167,economics!$AJ$2:$AJ$167,TRUE)-_xlfn.NORM.DIST(BJ$30,economics!$AK$2:$AK$167,economics!$AJ$2:$AJ$167,TRUE)))),"")</f>
        <v/>
      </c>
      <c r="BK55">
        <f t="array" ref="BK55">IFERROR((SUMPRODUCT((economics!$AG$2:$AG$167=$B55)*(economics!$D$2:$D$167="process")*economics!$AH$2:$AH$167*(_xlfn.NORM.DIST(BK$3,economics!$AK$2:$AK$167,economics!$AJ$2:$AJ$167,TRUE)-_xlfn.NORM.DIST(BK$30,economics!$AK$2:$AK$167,economics!$AJ$2:$AJ$167,TRUE))*economics!$AM$2:$AM$167))/(SUMPRODUCT((economics!$AG$2:$AG$167=$B55)*(economics!$D$2:$D$167="process")*economics!$AH$2:$AH$167*(_xlfn.NORM.DIST(BK$3,economics!$AK$2:$AK$167,economics!$AJ$2:$AJ$167,TRUE)-_xlfn.NORM.DIST(BK$30,economics!$AK$2:$AK$167,economics!$AJ$2:$AJ$167,TRUE)))),"")</f>
        <v/>
      </c>
      <c r="BL55">
        <f t="array" ref="BL55">IFERROR((SUMPRODUCT((economics!$AG$2:$AG$167=$B55)*(economics!$D$2:$D$167="process")*economics!$AH$2:$AH$167*(_xlfn.NORM.DIST(BL$3,economics!$AK$2:$AK$167,economics!$AJ$2:$AJ$167,TRUE)-_xlfn.NORM.DIST(BL$30,economics!$AK$2:$AK$167,economics!$AJ$2:$AJ$167,TRUE))*economics!$AM$2:$AM$167))/(SUMPRODUCT((economics!$AG$2:$AG$167=$B55)*(economics!$D$2:$D$167="process")*economics!$AH$2:$AH$167*(_xlfn.NORM.DIST(BL$3,economics!$AK$2:$AK$167,economics!$AJ$2:$AJ$167,TRUE)-_xlfn.NORM.DIST(BL$30,economics!$AK$2:$AK$167,economics!$AJ$2:$AJ$167,TRUE)))),"")</f>
        <v/>
      </c>
      <c r="BM55">
        <f t="array" ref="BM55">IFERROR((SUMPRODUCT((economics!$AG$2:$AG$167=$B55)*(economics!$D$2:$D$167="process")*economics!$AH$2:$AH$167*(_xlfn.NORM.DIST(BM$3,economics!$AK$2:$AK$167,economics!$AJ$2:$AJ$167,TRUE)-_xlfn.NORM.DIST(BM$30,economics!$AK$2:$AK$167,economics!$AJ$2:$AJ$167,TRUE))*economics!$AM$2:$AM$167))/(SUMPRODUCT((economics!$AG$2:$AG$167=$B55)*(economics!$D$2:$D$167="process")*economics!$AH$2:$AH$167*(_xlfn.NORM.DIST(BM$3,economics!$AK$2:$AK$167,economics!$AJ$2:$AJ$167,TRUE)-_xlfn.NORM.DIST(BM$30,economics!$AK$2:$AK$167,economics!$AJ$2:$AJ$167,TRUE)))),"")</f>
        <v/>
      </c>
      <c r="BN55">
        <f t="array" ref="BN55">IFERROR((SUMPRODUCT((economics!$AG$2:$AG$167=$B55)*(economics!$D$2:$D$167="process")*economics!$AH$2:$AH$167*(_xlfn.NORM.DIST(BN$3,economics!$AK$2:$AK$167,economics!$AJ$2:$AJ$167,TRUE)-_xlfn.NORM.DIST(BN$30,economics!$AK$2:$AK$167,economics!$AJ$2:$AJ$167,TRUE))*economics!$AM$2:$AM$167))/(SUMPRODUCT((economics!$AG$2:$AG$167=$B55)*(economics!$D$2:$D$167="process")*economics!$AH$2:$AH$167*(_xlfn.NORM.DIST(BN$3,economics!$AK$2:$AK$167,economics!$AJ$2:$AJ$167,TRUE)-_xlfn.NORM.DIST(BN$30,economics!$AK$2:$AK$167,economics!$AJ$2:$AJ$167,TRUE)))),"")</f>
        <v/>
      </c>
      <c r="BO55">
        <f t="array" ref="BO55">IFERROR((SUMPRODUCT((economics!$AG$2:$AG$167=$B55)*(economics!$D$2:$D$167="process")*economics!$AH$2:$AH$167*(_xlfn.NORM.DIST(BO$3,economics!$AK$2:$AK$167,economics!$AJ$2:$AJ$167,TRUE)-_xlfn.NORM.DIST(BO$30,economics!$AK$2:$AK$167,economics!$AJ$2:$AJ$167,TRUE))*economics!$AM$2:$AM$167))/(SUMPRODUCT((economics!$AG$2:$AG$167=$B55)*(economics!$D$2:$D$167="process")*economics!$AH$2:$AH$167*(_xlfn.NORM.DIST(BO$3,economics!$AK$2:$AK$167,economics!$AJ$2:$AJ$167,TRUE)-_xlfn.NORM.DIST(BO$30,economics!$AK$2:$AK$167,economics!$AJ$2:$AJ$167,TRUE)))),"")</f>
        <v/>
      </c>
      <c r="BP55">
        <f t="array" ref="BP55">IFERROR((SUMPRODUCT((economics!$AG$2:$AG$167=$B55)*(economics!$D$2:$D$167="process")*economics!$AH$2:$AH$167*(_xlfn.NORM.DIST(BP$3,economics!$AK$2:$AK$167,economics!$AJ$2:$AJ$167,TRUE)-_xlfn.NORM.DIST(BP$30,economics!$AK$2:$AK$167,economics!$AJ$2:$AJ$167,TRUE))*economics!$AM$2:$AM$167))/(SUMPRODUCT((economics!$AG$2:$AG$167=$B55)*(economics!$D$2:$D$167="process")*economics!$AH$2:$AH$167*(_xlfn.NORM.DIST(BP$3,economics!$AK$2:$AK$167,economics!$AJ$2:$AJ$167,TRUE)-_xlfn.NORM.DIST(BP$30,economics!$AK$2:$AK$167,economics!$AJ$2:$AJ$167,TRUE)))),"")</f>
        <v/>
      </c>
      <c r="BQ55">
        <f t="array" ref="BQ55">IFERROR((SUMPRODUCT((economics!$AG$2:$AG$167=$B55)*(economics!$D$2:$D$167="process")*economics!$AH$2:$AH$167*(_xlfn.NORM.DIST(BQ$3,economics!$AK$2:$AK$167,economics!$AJ$2:$AJ$167,TRUE)-_xlfn.NORM.DIST(BQ$30,economics!$AK$2:$AK$167,economics!$AJ$2:$AJ$167,TRUE))*economics!$AM$2:$AM$167))/(SUMPRODUCT((economics!$AG$2:$AG$167=$B55)*(economics!$D$2:$D$167="process")*economics!$AH$2:$AH$167*(_xlfn.NORM.DIST(BQ$3,economics!$AK$2:$AK$167,economics!$AJ$2:$AJ$167,TRUE)-_xlfn.NORM.DIST(BQ$30,economics!$AK$2:$AK$167,economics!$AJ$2:$AJ$167,TRUE)))),"")</f>
        <v/>
      </c>
      <c r="BR55">
        <f t="array" ref="BR55">IFERROR((SUMPRODUCT((economics!$AG$2:$AG$167=$B55)*(economics!$D$2:$D$167="process")*economics!$AH$2:$AH$167*(_xlfn.NORM.DIST(BR$3,economics!$AK$2:$AK$167,economics!$AJ$2:$AJ$167,TRUE)-_xlfn.NORM.DIST(BR$30,economics!$AK$2:$AK$167,economics!$AJ$2:$AJ$167,TRUE))*economics!$AM$2:$AM$167))/(SUMPRODUCT((economics!$AG$2:$AG$167=$B55)*(economics!$D$2:$D$167="process")*economics!$AH$2:$AH$167*(_xlfn.NORM.DIST(BR$3,economics!$AK$2:$AK$167,economics!$AJ$2:$AJ$167,TRUE)-_xlfn.NORM.DIST(BR$30,economics!$AK$2:$AK$167,economics!$AJ$2:$AJ$167,TRUE)))),"")</f>
        <v/>
      </c>
      <c r="BS55">
        <f t="array" ref="BS55">IFERROR((SUMPRODUCT((economics!$AG$2:$AG$167=$B55)*(economics!$D$2:$D$167="process")*economics!$AH$2:$AH$167*(_xlfn.NORM.DIST(BS$3,economics!$AK$2:$AK$167,economics!$AJ$2:$AJ$167,TRUE)-_xlfn.NORM.DIST(BS$30,economics!$AK$2:$AK$167,economics!$AJ$2:$AJ$167,TRUE))*economics!$AM$2:$AM$167))/(SUMPRODUCT((economics!$AG$2:$AG$167=$B55)*(economics!$D$2:$D$167="process")*economics!$AH$2:$AH$167*(_xlfn.NORM.DIST(BS$3,economics!$AK$2:$AK$167,economics!$AJ$2:$AJ$167,TRUE)-_xlfn.NORM.DIST(BS$30,economics!$AK$2:$AK$167,economics!$AJ$2:$AJ$167,TRUE)))),"")</f>
        <v/>
      </c>
      <c r="BT55">
        <f t="array" ref="BT55">IFERROR((SUMPRODUCT((economics!$AG$2:$AG$167=$B55)*(economics!$D$2:$D$167="process")*economics!$AH$2:$AH$167*(_xlfn.NORM.DIST(BT$3,economics!$AK$2:$AK$167,economics!$AJ$2:$AJ$167,TRUE)-_xlfn.NORM.DIST(BT$30,economics!$AK$2:$AK$167,economics!$AJ$2:$AJ$167,TRUE))*economics!$AM$2:$AM$167))/(SUMPRODUCT((economics!$AG$2:$AG$167=$B55)*(economics!$D$2:$D$167="process")*economics!$AH$2:$AH$167*(_xlfn.NORM.DIST(BT$3,economics!$AK$2:$AK$167,economics!$AJ$2:$AJ$167,TRUE)-_xlfn.NORM.DIST(BT$30,economics!$AK$2:$AK$167,economics!$AJ$2:$AJ$167,TRUE)))),"")</f>
        <v/>
      </c>
      <c r="BU55">
        <f t="array" ref="BU55">IFERROR((SUMPRODUCT((economics!$AG$2:$AG$167=$B55)*(economics!$D$2:$D$167="process")*economics!$AH$2:$AH$167*(_xlfn.NORM.DIST(BU$3,economics!$AK$2:$AK$167,economics!$AJ$2:$AJ$167,TRUE)-_xlfn.NORM.DIST(BU$30,economics!$AK$2:$AK$167,economics!$AJ$2:$AJ$167,TRUE))*economics!$AM$2:$AM$167))/(SUMPRODUCT((economics!$AG$2:$AG$167=$B55)*(economics!$D$2:$D$167="process")*economics!$AH$2:$AH$167*(_xlfn.NORM.DIST(BU$3,economics!$AK$2:$AK$167,economics!$AJ$2:$AJ$167,TRUE)-_xlfn.NORM.DIST(BU$30,economics!$AK$2:$AK$167,economics!$AJ$2:$AJ$167,TRUE)))),"")</f>
        <v/>
      </c>
      <c r="BV55">
        <f t="array" ref="BV55">IFERROR((SUMPRODUCT((economics!$AG$2:$AG$167=$B55)*(economics!$D$2:$D$167="process")*economics!$AH$2:$AH$167*(_xlfn.NORM.DIST(BV$3,economics!$AK$2:$AK$167,economics!$AJ$2:$AJ$167,TRUE)-_xlfn.NORM.DIST(BV$30,economics!$AK$2:$AK$167,economics!$AJ$2:$AJ$167,TRUE))*economics!$AM$2:$AM$167))/(SUMPRODUCT((economics!$AG$2:$AG$167=$B55)*(economics!$D$2:$D$167="process")*economics!$AH$2:$AH$167*(_xlfn.NORM.DIST(BV$3,economics!$AK$2:$AK$167,economics!$AJ$2:$AJ$167,TRUE)-_xlfn.NORM.DIST(BV$30,economics!$AK$2:$AK$167,economics!$AJ$2:$AJ$167,TRUE)))),"")</f>
        <v/>
      </c>
      <c r="BW55">
        <f t="array" ref="BW55">IFERROR((SUMPRODUCT((economics!$AG$2:$AG$167=$B55)*(economics!$D$2:$D$167="process")*economics!$AH$2:$AH$167*(_xlfn.NORM.DIST(BW$3,economics!$AK$2:$AK$167,economics!$AJ$2:$AJ$167,TRUE)-_xlfn.NORM.DIST(BW$30,economics!$AK$2:$AK$167,economics!$AJ$2:$AJ$167,TRUE))*economics!$AM$2:$AM$167))/(SUMPRODUCT((economics!$AG$2:$AG$167=$B55)*(economics!$D$2:$D$167="process")*economics!$AH$2:$AH$167*(_xlfn.NORM.DIST(BW$3,economics!$AK$2:$AK$167,economics!$AJ$2:$AJ$167,TRUE)-_xlfn.NORM.DIST(BW$30,economics!$AK$2:$AK$167,economics!$AJ$2:$AJ$167,TRUE)))),"")</f>
        <v/>
      </c>
      <c r="BX55">
        <f t="array" ref="BX55">IFERROR((SUMPRODUCT((economics!$AG$2:$AG$167=$B55)*(economics!$D$2:$D$167="process")*economics!$AH$2:$AH$167*(_xlfn.NORM.DIST(BX$3,economics!$AK$2:$AK$167,economics!$AJ$2:$AJ$167,TRUE)-_xlfn.NORM.DIST(BX$30,economics!$AK$2:$AK$167,economics!$AJ$2:$AJ$167,TRUE))*economics!$AM$2:$AM$167))/(SUMPRODUCT((economics!$AG$2:$AG$167=$B55)*(economics!$D$2:$D$167="process")*economics!$AH$2:$AH$167*(_xlfn.NORM.DIST(BX$3,economics!$AK$2:$AK$167,economics!$AJ$2:$AJ$167,TRUE)-_xlfn.NORM.DIST(BX$30,economics!$AK$2:$AK$167,economics!$AJ$2:$AJ$167,TRUE)))),"")</f>
        <v/>
      </c>
      <c r="BY55">
        <f t="array" ref="BY55">IFERROR((SUMPRODUCT((economics!$AG$2:$AG$167=$B55)*(economics!$D$2:$D$167="process")*economics!$AH$2:$AH$167*(_xlfn.NORM.DIST(BY$3,economics!$AK$2:$AK$167,economics!$AJ$2:$AJ$167,TRUE)-_xlfn.NORM.DIST(BY$30,economics!$AK$2:$AK$167,economics!$AJ$2:$AJ$167,TRUE))*economics!$AM$2:$AM$167))/(SUMPRODUCT((economics!$AG$2:$AG$167=$B55)*(economics!$D$2:$D$167="process")*economics!$AH$2:$AH$167*(_xlfn.NORM.DIST(BY$3,economics!$AK$2:$AK$167,economics!$AJ$2:$AJ$167,TRUE)-_xlfn.NORM.DIST(BY$30,economics!$AK$2:$AK$167,economics!$AJ$2:$AJ$167,TRUE)))),"")</f>
        <v/>
      </c>
      <c r="BZ55">
        <f t="array" ref="BZ55">IFERROR((SUMPRODUCT((economics!$AG$2:$AG$167=$B55)*(economics!$D$2:$D$167="process")*economics!$AH$2:$AH$167*(_xlfn.NORM.DIST(BZ$3,economics!$AK$2:$AK$167,economics!$AJ$2:$AJ$167,TRUE)-_xlfn.NORM.DIST(BZ$30,economics!$AK$2:$AK$167,economics!$AJ$2:$AJ$167,TRUE))*economics!$AM$2:$AM$167))/(SUMPRODUCT((economics!$AG$2:$AG$167=$B55)*(economics!$D$2:$D$167="process")*economics!$AH$2:$AH$167*(_xlfn.NORM.DIST(BZ$3,economics!$AK$2:$AK$167,economics!$AJ$2:$AJ$167,TRUE)-_xlfn.NORM.DIST(BZ$30,economics!$AK$2:$AK$167,economics!$AJ$2:$AJ$167,TRUE)))),"")</f>
        <v/>
      </c>
      <c r="CA55">
        <f t="array" ref="CA55">IFERROR((SUMPRODUCT((economics!$AG$2:$AG$167=$B55)*(economics!$D$2:$D$167="process")*economics!$AH$2:$AH$167*(_xlfn.NORM.DIST(CA$3,economics!$AK$2:$AK$167,economics!$AJ$2:$AJ$167,TRUE)-_xlfn.NORM.DIST(CA$30,economics!$AK$2:$AK$167,economics!$AJ$2:$AJ$167,TRUE))*economics!$AM$2:$AM$167))/(SUMPRODUCT((economics!$AG$2:$AG$167=$B55)*(economics!$D$2:$D$167="process")*economics!$AH$2:$AH$167*(_xlfn.NORM.DIST(CA$3,economics!$AK$2:$AK$167,economics!$AJ$2:$AJ$167,TRUE)-_xlfn.NORM.DIST(CA$30,economics!$AK$2:$AK$167,economics!$AJ$2:$AJ$167,TRUE)))),"")</f>
        <v/>
      </c>
      <c r="CB55">
        <f t="array" ref="CB55">IFERROR((SUMPRODUCT((economics!$AG$2:$AG$167=$B55)*(economics!$D$2:$D$167="process")*economics!$AH$2:$AH$167*(_xlfn.NORM.DIST(CB$3,economics!$AK$2:$AK$167,economics!$AJ$2:$AJ$167,TRUE)-_xlfn.NORM.DIST(CB$30,economics!$AK$2:$AK$167,economics!$AJ$2:$AJ$167,TRUE))*economics!$AM$2:$AM$167))/(SUMPRODUCT((economics!$AG$2:$AG$167=$B55)*(economics!$D$2:$D$167="process")*economics!$AH$2:$AH$167*(_xlfn.NORM.DIST(CB$3,economics!$AK$2:$AK$167,economics!$AJ$2:$AJ$167,TRUE)-_xlfn.NORM.DIST(CB$30,economics!$AK$2:$AK$167,economics!$AJ$2:$AJ$167,TRUE)))),"")</f>
        <v/>
      </c>
      <c r="CC55">
        <f t="array" ref="CC55">IFERROR((SUMPRODUCT((economics!$AG$2:$AG$167=$B55)*(economics!$D$2:$D$167="process")*economics!$AH$2:$AH$167*(_xlfn.NORM.DIST(CC$3,economics!$AK$2:$AK$167,economics!$AJ$2:$AJ$167,TRUE)-_xlfn.NORM.DIST(CC$30,economics!$AK$2:$AK$167,economics!$AJ$2:$AJ$167,TRUE))*economics!$AM$2:$AM$167))/(SUMPRODUCT((economics!$AG$2:$AG$167=$B55)*(economics!$D$2:$D$167="process")*economics!$AH$2:$AH$167*(_xlfn.NORM.DIST(CC$3,economics!$AK$2:$AK$167,economics!$AJ$2:$AJ$167,TRUE)-_xlfn.NORM.DIST(CC$30,economics!$AK$2:$AK$167,economics!$AJ$2:$AJ$167,TRUE)))),"")</f>
        <v/>
      </c>
      <c r="CD55">
        <f t="array" ref="CD55">IFERROR((SUMPRODUCT((economics!$AG$2:$AG$167=$B55)*(economics!$D$2:$D$167="process")*economics!$AH$2:$AH$167*(_xlfn.NORM.DIST(CD$3,economics!$AK$2:$AK$167,economics!$AJ$2:$AJ$167,TRUE)-_xlfn.NORM.DIST(CD$30,economics!$AK$2:$AK$167,economics!$AJ$2:$AJ$167,TRUE))*economics!$AM$2:$AM$167))/(SUMPRODUCT((economics!$AG$2:$AG$167=$B55)*(economics!$D$2:$D$167="process")*economics!$AH$2:$AH$167*(_xlfn.NORM.DIST(CD$3,economics!$AK$2:$AK$167,economics!$AJ$2:$AJ$167,TRUE)-_xlfn.NORM.DIST(CD$30,economics!$AK$2:$AK$167,economics!$AJ$2:$AJ$167,TRUE)))),"")</f>
        <v/>
      </c>
      <c r="CE55">
        <f t="array" ref="CE55">IFERROR((SUMPRODUCT((economics!$AG$2:$AG$167=$B55)*(economics!$D$2:$D$167="process")*economics!$AH$2:$AH$167*(_xlfn.NORM.DIST(CE$3,economics!$AK$2:$AK$167,economics!$AJ$2:$AJ$167,TRUE)-_xlfn.NORM.DIST(CE$30,economics!$AK$2:$AK$167,economics!$AJ$2:$AJ$167,TRUE))*economics!$AM$2:$AM$167))/(SUMPRODUCT((economics!$AG$2:$AG$167=$B55)*(economics!$D$2:$D$167="process")*economics!$AH$2:$AH$167*(_xlfn.NORM.DIST(CE$3,economics!$AK$2:$AK$167,economics!$AJ$2:$AJ$167,TRUE)-_xlfn.NORM.DIST(CE$30,economics!$AK$2:$AK$167,economics!$AJ$2:$AJ$167,TRUE)))),"")</f>
        <v/>
      </c>
      <c r="CF55">
        <f t="array" ref="CF55">IFERROR((SUMPRODUCT((economics!$AG$2:$AG$167=$B55)*(economics!$D$2:$D$167="process")*economics!$AH$2:$AH$167*(_xlfn.NORM.DIST(CF$3,economics!$AK$2:$AK$167,economics!$AJ$2:$AJ$167,TRUE)-_xlfn.NORM.DIST(CF$30,economics!$AK$2:$AK$167,economics!$AJ$2:$AJ$167,TRUE))*economics!$AM$2:$AM$167))/(SUMPRODUCT((economics!$AG$2:$AG$167=$B55)*(economics!$D$2:$D$167="process")*economics!$AH$2:$AH$167*(_xlfn.NORM.DIST(CF$3,economics!$AK$2:$AK$167,economics!$AJ$2:$AJ$167,TRUE)-_xlfn.NORM.DIST(CF$30,economics!$AK$2:$AK$167,economics!$AJ$2:$AJ$167,TRUE)))),"")</f>
        <v/>
      </c>
      <c r="CG55">
        <f t="array" ref="CG55">IFERROR((SUMPRODUCT((economics!$AG$2:$AG$167=$B55)*(economics!$D$2:$D$167="process")*economics!$AH$2:$AH$167*(_xlfn.NORM.DIST(CG$3,economics!$AK$2:$AK$167,economics!$AJ$2:$AJ$167,TRUE)-_xlfn.NORM.DIST(CG$30,economics!$AK$2:$AK$167,economics!$AJ$2:$AJ$167,TRUE))*economics!$AM$2:$AM$167))/(SUMPRODUCT((economics!$AG$2:$AG$167=$B55)*(economics!$D$2:$D$167="process")*economics!$AH$2:$AH$167*(_xlfn.NORM.DIST(CG$3,economics!$AK$2:$AK$167,economics!$AJ$2:$AJ$167,TRUE)-_xlfn.NORM.DIST(CG$30,economics!$AK$2:$AK$167,economics!$AJ$2:$AJ$167,TRUE)))),"")</f>
        <v/>
      </c>
      <c r="CH55">
        <f t="array" ref="CH55">IFERROR((SUMPRODUCT((economics!$AG$2:$AG$167=$B55)*(economics!$D$2:$D$167="process")*economics!$AH$2:$AH$167*(_xlfn.NORM.DIST(CH$3,economics!$AK$2:$AK$167,economics!$AJ$2:$AJ$167,TRUE)-_xlfn.NORM.DIST(CH$30,economics!$AK$2:$AK$167,economics!$AJ$2:$AJ$167,TRUE))*economics!$AM$2:$AM$167))/(SUMPRODUCT((economics!$AG$2:$AG$167=$B55)*(economics!$D$2:$D$167="process")*economics!$AH$2:$AH$167*(_xlfn.NORM.DIST(CH$3,economics!$AK$2:$AK$167,economics!$AJ$2:$AJ$167,TRUE)-_xlfn.NORM.DIST(CH$30,economics!$AK$2:$AK$167,economics!$AJ$2:$AJ$167,TRUE)))),"")</f>
        <v/>
      </c>
    </row>
    <row r="56">
      <c r="A56">
        <f>A27</f>
        <v/>
      </c>
      <c r="B56">
        <f>B27</f>
        <v/>
      </c>
      <c r="E56">
        <f t="array" ref="E56">IFERROR((SUMPRODUCT((economics!$AG$2:$AG$167=$B56)*(economics!$D$2:$D$167="process")*economics!$AH$2:$AH$167*(_xlfn.NORM.DIST(E$3,economics!$AK$2:$AK$167,economics!$AJ$2:$AJ$167,TRUE)-_xlfn.NORM.DIST(E$30,economics!$AK$2:$AK$167,economics!$AJ$2:$AJ$167,TRUE))*economics!$AM$2:$AM$167))/(SUMPRODUCT((economics!$AG$2:$AG$167=$B56)*(economics!$D$2:$D$167="process")*economics!$AH$2:$AH$167*(_xlfn.NORM.DIST(E$3,economics!$AK$2:$AK$167,economics!$AJ$2:$AJ$167,TRUE)-_xlfn.NORM.DIST(E$30,economics!$AK$2:$AK$167,economics!$AJ$2:$AJ$167,TRUE)))),"")</f>
        <v/>
      </c>
      <c r="F56">
        <f t="array" ref="F56">IFERROR((SUMPRODUCT((economics!$AG$2:$AG$167=$B56)*(economics!$D$2:$D$167="process")*economics!$AH$2:$AH$167*(_xlfn.NORM.DIST(F$3,economics!$AK$2:$AK$167,economics!$AJ$2:$AJ$167,TRUE)-_xlfn.NORM.DIST(F$30,economics!$AK$2:$AK$167,economics!$AJ$2:$AJ$167,TRUE))*economics!$AM$2:$AM$167))/(SUMPRODUCT((economics!$AG$2:$AG$167=$B56)*(economics!$D$2:$D$167="process")*economics!$AH$2:$AH$167*(_xlfn.NORM.DIST(F$3,economics!$AK$2:$AK$167,economics!$AJ$2:$AJ$167,TRUE)-_xlfn.NORM.DIST(F$30,economics!$AK$2:$AK$167,economics!$AJ$2:$AJ$167,TRUE)))),"")</f>
        <v/>
      </c>
      <c r="G56">
        <f t="array" ref="G56">IFERROR((SUMPRODUCT((economics!$AG$2:$AG$167=$B56)*(economics!$D$2:$D$167="process")*economics!$AH$2:$AH$167*(_xlfn.NORM.DIST(G$3,economics!$AK$2:$AK$167,economics!$AJ$2:$AJ$167,TRUE)-_xlfn.NORM.DIST(G$30,economics!$AK$2:$AK$167,economics!$AJ$2:$AJ$167,TRUE))*economics!$AM$2:$AM$167))/(SUMPRODUCT((economics!$AG$2:$AG$167=$B56)*(economics!$D$2:$D$167="process")*economics!$AH$2:$AH$167*(_xlfn.NORM.DIST(G$3,economics!$AK$2:$AK$167,economics!$AJ$2:$AJ$167,TRUE)-_xlfn.NORM.DIST(G$30,economics!$AK$2:$AK$167,economics!$AJ$2:$AJ$167,TRUE)))),"")</f>
        <v/>
      </c>
      <c r="H56">
        <f t="array" ref="H56">IFERROR((SUMPRODUCT((economics!$AG$2:$AG$167=$B56)*(economics!$D$2:$D$167="process")*economics!$AH$2:$AH$167*(_xlfn.NORM.DIST(H$3,economics!$AK$2:$AK$167,economics!$AJ$2:$AJ$167,TRUE)-_xlfn.NORM.DIST(H$30,economics!$AK$2:$AK$167,economics!$AJ$2:$AJ$167,TRUE))*economics!$AM$2:$AM$167))/(SUMPRODUCT((economics!$AG$2:$AG$167=$B56)*(economics!$D$2:$D$167="process")*economics!$AH$2:$AH$167*(_xlfn.NORM.DIST(H$3,economics!$AK$2:$AK$167,economics!$AJ$2:$AJ$167,TRUE)-_xlfn.NORM.DIST(H$30,economics!$AK$2:$AK$167,economics!$AJ$2:$AJ$167,TRUE)))),"")</f>
        <v/>
      </c>
      <c r="I56">
        <f t="array" ref="I56">IFERROR((SUMPRODUCT((economics!$AG$2:$AG$167=$B56)*(economics!$D$2:$D$167="process")*economics!$AH$2:$AH$167*(_xlfn.NORM.DIST(I$3,economics!$AK$2:$AK$167,economics!$AJ$2:$AJ$167,TRUE)-_xlfn.NORM.DIST(I$30,economics!$AK$2:$AK$167,economics!$AJ$2:$AJ$167,TRUE))*economics!$AM$2:$AM$167))/(SUMPRODUCT((economics!$AG$2:$AG$167=$B56)*(economics!$D$2:$D$167="process")*economics!$AH$2:$AH$167*(_xlfn.NORM.DIST(I$3,economics!$AK$2:$AK$167,economics!$AJ$2:$AJ$167,TRUE)-_xlfn.NORM.DIST(I$30,economics!$AK$2:$AK$167,economics!$AJ$2:$AJ$167,TRUE)))),"")</f>
        <v/>
      </c>
      <c r="J56">
        <f t="array" ref="J56">IFERROR((SUMPRODUCT((economics!$AG$2:$AG$167=$B56)*(economics!$D$2:$D$167="process")*economics!$AH$2:$AH$167*(_xlfn.NORM.DIST(J$3,economics!$AK$2:$AK$167,economics!$AJ$2:$AJ$167,TRUE)-_xlfn.NORM.DIST(J$30,economics!$AK$2:$AK$167,economics!$AJ$2:$AJ$167,TRUE))*economics!$AM$2:$AM$167))/(SUMPRODUCT((economics!$AG$2:$AG$167=$B56)*(economics!$D$2:$D$167="process")*economics!$AH$2:$AH$167*(_xlfn.NORM.DIST(J$3,economics!$AK$2:$AK$167,economics!$AJ$2:$AJ$167,TRUE)-_xlfn.NORM.DIST(J$30,economics!$AK$2:$AK$167,economics!$AJ$2:$AJ$167,TRUE)))),"")</f>
        <v/>
      </c>
      <c r="K56">
        <f t="array" ref="K56">IFERROR((SUMPRODUCT((economics!$AG$2:$AG$167=$B56)*(economics!$D$2:$D$167="process")*economics!$AH$2:$AH$167*(_xlfn.NORM.DIST(K$3,economics!$AK$2:$AK$167,economics!$AJ$2:$AJ$167,TRUE)-_xlfn.NORM.DIST(K$30,economics!$AK$2:$AK$167,economics!$AJ$2:$AJ$167,TRUE))*economics!$AM$2:$AM$167))/(SUMPRODUCT((economics!$AG$2:$AG$167=$B56)*(economics!$D$2:$D$167="process")*economics!$AH$2:$AH$167*(_xlfn.NORM.DIST(K$3,economics!$AK$2:$AK$167,economics!$AJ$2:$AJ$167,TRUE)-_xlfn.NORM.DIST(K$30,economics!$AK$2:$AK$167,economics!$AJ$2:$AJ$167,TRUE)))),"")</f>
        <v/>
      </c>
      <c r="L56">
        <f t="array" ref="L56">IFERROR((SUMPRODUCT((economics!$AG$2:$AG$167=$B56)*(economics!$D$2:$D$167="process")*economics!$AH$2:$AH$167*(_xlfn.NORM.DIST(L$3,economics!$AK$2:$AK$167,economics!$AJ$2:$AJ$167,TRUE)-_xlfn.NORM.DIST(L$30,economics!$AK$2:$AK$167,economics!$AJ$2:$AJ$167,TRUE))*economics!$AM$2:$AM$167))/(SUMPRODUCT((economics!$AG$2:$AG$167=$B56)*(economics!$D$2:$D$167="process")*economics!$AH$2:$AH$167*(_xlfn.NORM.DIST(L$3,economics!$AK$2:$AK$167,economics!$AJ$2:$AJ$167,TRUE)-_xlfn.NORM.DIST(L$30,economics!$AK$2:$AK$167,economics!$AJ$2:$AJ$167,TRUE)))),"")</f>
        <v/>
      </c>
      <c r="M56">
        <f t="array" ref="M56">IFERROR((SUMPRODUCT((economics!$AG$2:$AG$167=$B56)*(economics!$D$2:$D$167="process")*economics!$AH$2:$AH$167*(_xlfn.NORM.DIST(M$3,economics!$AK$2:$AK$167,economics!$AJ$2:$AJ$167,TRUE)-_xlfn.NORM.DIST(M$30,economics!$AK$2:$AK$167,economics!$AJ$2:$AJ$167,TRUE))*economics!$AM$2:$AM$167))/(SUMPRODUCT((economics!$AG$2:$AG$167=$B56)*(economics!$D$2:$D$167="process")*economics!$AH$2:$AH$167*(_xlfn.NORM.DIST(M$3,economics!$AK$2:$AK$167,economics!$AJ$2:$AJ$167,TRUE)-_xlfn.NORM.DIST(M$30,economics!$AK$2:$AK$167,economics!$AJ$2:$AJ$167,TRUE)))),"")</f>
        <v/>
      </c>
      <c r="N56">
        <f t="array" ref="N56">IFERROR((SUMPRODUCT((economics!$AG$2:$AG$167=$B56)*(economics!$D$2:$D$167="process")*economics!$AH$2:$AH$167*(_xlfn.NORM.DIST(N$3,economics!$AK$2:$AK$167,economics!$AJ$2:$AJ$167,TRUE)-_xlfn.NORM.DIST(N$30,economics!$AK$2:$AK$167,economics!$AJ$2:$AJ$167,TRUE))*economics!$AM$2:$AM$167))/(SUMPRODUCT((economics!$AG$2:$AG$167=$B56)*(economics!$D$2:$D$167="process")*economics!$AH$2:$AH$167*(_xlfn.NORM.DIST(N$3,economics!$AK$2:$AK$167,economics!$AJ$2:$AJ$167,TRUE)-_xlfn.NORM.DIST(N$30,economics!$AK$2:$AK$167,economics!$AJ$2:$AJ$167,TRUE)))),"")</f>
        <v/>
      </c>
      <c r="O56">
        <f t="array" ref="O56">IFERROR((SUMPRODUCT((economics!$AG$2:$AG$167=$B56)*(economics!$D$2:$D$167="process")*economics!$AH$2:$AH$167*(_xlfn.NORM.DIST(O$3,economics!$AK$2:$AK$167,economics!$AJ$2:$AJ$167,TRUE)-_xlfn.NORM.DIST(O$30,economics!$AK$2:$AK$167,economics!$AJ$2:$AJ$167,TRUE))*economics!$AM$2:$AM$167))/(SUMPRODUCT((economics!$AG$2:$AG$167=$B56)*(economics!$D$2:$D$167="process")*economics!$AH$2:$AH$167*(_xlfn.NORM.DIST(O$3,economics!$AK$2:$AK$167,economics!$AJ$2:$AJ$167,TRUE)-_xlfn.NORM.DIST(O$30,economics!$AK$2:$AK$167,economics!$AJ$2:$AJ$167,TRUE)))),"")</f>
        <v/>
      </c>
      <c r="P56">
        <f t="array" ref="P56">IFERROR((SUMPRODUCT((economics!$AG$2:$AG$167=$B56)*(economics!$D$2:$D$167="process")*economics!$AH$2:$AH$167*(_xlfn.NORM.DIST(P$3,economics!$AK$2:$AK$167,economics!$AJ$2:$AJ$167,TRUE)-_xlfn.NORM.DIST(P$30,economics!$AK$2:$AK$167,economics!$AJ$2:$AJ$167,TRUE))*economics!$AM$2:$AM$167))/(SUMPRODUCT((economics!$AG$2:$AG$167=$B56)*(economics!$D$2:$D$167="process")*economics!$AH$2:$AH$167*(_xlfn.NORM.DIST(P$3,economics!$AK$2:$AK$167,economics!$AJ$2:$AJ$167,TRUE)-_xlfn.NORM.DIST(P$30,economics!$AK$2:$AK$167,economics!$AJ$2:$AJ$167,TRUE)))),"")</f>
        <v/>
      </c>
      <c r="Q56">
        <f t="array" ref="Q56">IFERROR((SUMPRODUCT((economics!$AG$2:$AG$167=$B56)*(economics!$D$2:$D$167="process")*economics!$AH$2:$AH$167*(_xlfn.NORM.DIST(Q$3,economics!$AK$2:$AK$167,economics!$AJ$2:$AJ$167,TRUE)-_xlfn.NORM.DIST(Q$30,economics!$AK$2:$AK$167,economics!$AJ$2:$AJ$167,TRUE))*economics!$AM$2:$AM$167))/(SUMPRODUCT((economics!$AG$2:$AG$167=$B56)*(economics!$D$2:$D$167="process")*economics!$AH$2:$AH$167*(_xlfn.NORM.DIST(Q$3,economics!$AK$2:$AK$167,economics!$AJ$2:$AJ$167,TRUE)-_xlfn.NORM.DIST(Q$30,economics!$AK$2:$AK$167,economics!$AJ$2:$AJ$167,TRUE)))),"")</f>
        <v/>
      </c>
      <c r="R56">
        <f t="array" ref="R56">IFERROR((SUMPRODUCT((economics!$AG$2:$AG$167=$B56)*(economics!$D$2:$D$167="process")*economics!$AH$2:$AH$167*(_xlfn.NORM.DIST(R$3,economics!$AK$2:$AK$167,economics!$AJ$2:$AJ$167,TRUE)-_xlfn.NORM.DIST(R$30,economics!$AK$2:$AK$167,economics!$AJ$2:$AJ$167,TRUE))*economics!$AM$2:$AM$167))/(SUMPRODUCT((economics!$AG$2:$AG$167=$B56)*(economics!$D$2:$D$167="process")*economics!$AH$2:$AH$167*(_xlfn.NORM.DIST(R$3,economics!$AK$2:$AK$167,economics!$AJ$2:$AJ$167,TRUE)-_xlfn.NORM.DIST(R$30,economics!$AK$2:$AK$167,economics!$AJ$2:$AJ$167,TRUE)))),"")</f>
        <v/>
      </c>
      <c r="S56">
        <f t="array" ref="S56">IFERROR((SUMPRODUCT((economics!$AG$2:$AG$167=$B56)*(economics!$D$2:$D$167="process")*economics!$AH$2:$AH$167*(_xlfn.NORM.DIST(S$3,economics!$AK$2:$AK$167,economics!$AJ$2:$AJ$167,TRUE)-_xlfn.NORM.DIST(S$30,economics!$AK$2:$AK$167,economics!$AJ$2:$AJ$167,TRUE))*economics!$AM$2:$AM$167))/(SUMPRODUCT((economics!$AG$2:$AG$167=$B56)*(economics!$D$2:$D$167="process")*economics!$AH$2:$AH$167*(_xlfn.NORM.DIST(S$3,economics!$AK$2:$AK$167,economics!$AJ$2:$AJ$167,TRUE)-_xlfn.NORM.DIST(S$30,economics!$AK$2:$AK$167,economics!$AJ$2:$AJ$167,TRUE)))),"")</f>
        <v/>
      </c>
      <c r="T56">
        <f t="array" ref="T56">IFERROR((SUMPRODUCT((economics!$AG$2:$AG$167=$B56)*(economics!$D$2:$D$167="process")*economics!$AH$2:$AH$167*(_xlfn.NORM.DIST(T$3,economics!$AK$2:$AK$167,economics!$AJ$2:$AJ$167,TRUE)-_xlfn.NORM.DIST(T$30,economics!$AK$2:$AK$167,economics!$AJ$2:$AJ$167,TRUE))*economics!$AM$2:$AM$167))/(SUMPRODUCT((economics!$AG$2:$AG$167=$B56)*(economics!$D$2:$D$167="process")*economics!$AH$2:$AH$167*(_xlfn.NORM.DIST(T$3,economics!$AK$2:$AK$167,economics!$AJ$2:$AJ$167,TRUE)-_xlfn.NORM.DIST(T$30,economics!$AK$2:$AK$167,economics!$AJ$2:$AJ$167,TRUE)))),"")</f>
        <v/>
      </c>
      <c r="U56">
        <f t="array" ref="U56">IFERROR((SUMPRODUCT((economics!$AG$2:$AG$167=$B56)*(economics!$D$2:$D$167="process")*economics!$AH$2:$AH$167*(_xlfn.NORM.DIST(U$3,economics!$AK$2:$AK$167,economics!$AJ$2:$AJ$167,TRUE)-_xlfn.NORM.DIST(U$30,economics!$AK$2:$AK$167,economics!$AJ$2:$AJ$167,TRUE))*economics!$AM$2:$AM$167))/(SUMPRODUCT((economics!$AG$2:$AG$167=$B56)*(economics!$D$2:$D$167="process")*economics!$AH$2:$AH$167*(_xlfn.NORM.DIST(U$3,economics!$AK$2:$AK$167,economics!$AJ$2:$AJ$167,TRUE)-_xlfn.NORM.DIST(U$30,economics!$AK$2:$AK$167,economics!$AJ$2:$AJ$167,TRUE)))),"")</f>
        <v/>
      </c>
      <c r="V56">
        <f t="array" ref="V56">IFERROR((SUMPRODUCT((economics!$AG$2:$AG$167=$B56)*(economics!$D$2:$D$167="process")*economics!$AH$2:$AH$167*(_xlfn.NORM.DIST(V$3,economics!$AK$2:$AK$167,economics!$AJ$2:$AJ$167,TRUE)-_xlfn.NORM.DIST(V$30,economics!$AK$2:$AK$167,economics!$AJ$2:$AJ$167,TRUE))*economics!$AM$2:$AM$167))/(SUMPRODUCT((economics!$AG$2:$AG$167=$B56)*(economics!$D$2:$D$167="process")*economics!$AH$2:$AH$167*(_xlfn.NORM.DIST(V$3,economics!$AK$2:$AK$167,economics!$AJ$2:$AJ$167,TRUE)-_xlfn.NORM.DIST(V$30,economics!$AK$2:$AK$167,economics!$AJ$2:$AJ$167,TRUE)))),"")</f>
        <v/>
      </c>
      <c r="W56">
        <f t="array" ref="W56">IFERROR((SUMPRODUCT((economics!$AG$2:$AG$167=$B56)*(economics!$D$2:$D$167="process")*economics!$AH$2:$AH$167*(_xlfn.NORM.DIST(W$3,economics!$AK$2:$AK$167,economics!$AJ$2:$AJ$167,TRUE)-_xlfn.NORM.DIST(W$30,economics!$AK$2:$AK$167,economics!$AJ$2:$AJ$167,TRUE))*economics!$AM$2:$AM$167))/(SUMPRODUCT((economics!$AG$2:$AG$167=$B56)*(economics!$D$2:$D$167="process")*economics!$AH$2:$AH$167*(_xlfn.NORM.DIST(W$3,economics!$AK$2:$AK$167,economics!$AJ$2:$AJ$167,TRUE)-_xlfn.NORM.DIST(W$30,economics!$AK$2:$AK$167,economics!$AJ$2:$AJ$167,TRUE)))),"")</f>
        <v/>
      </c>
      <c r="X56">
        <f t="array" ref="X56">IFERROR((SUMPRODUCT((economics!$AG$2:$AG$167=$B56)*(economics!$D$2:$D$167="process")*economics!$AH$2:$AH$167*(_xlfn.NORM.DIST(X$3,economics!$AK$2:$AK$167,economics!$AJ$2:$AJ$167,TRUE)-_xlfn.NORM.DIST(X$30,economics!$AK$2:$AK$167,economics!$AJ$2:$AJ$167,TRUE))*economics!$AM$2:$AM$167))/(SUMPRODUCT((economics!$AG$2:$AG$167=$B56)*(economics!$D$2:$D$167="process")*economics!$AH$2:$AH$167*(_xlfn.NORM.DIST(X$3,economics!$AK$2:$AK$167,economics!$AJ$2:$AJ$167,TRUE)-_xlfn.NORM.DIST(X$30,economics!$AK$2:$AK$167,economics!$AJ$2:$AJ$167,TRUE)))),"")</f>
        <v/>
      </c>
      <c r="Y56">
        <f t="array" ref="Y56">IFERROR((SUMPRODUCT((economics!$AG$2:$AG$167=$B56)*(economics!$D$2:$D$167="process")*economics!$AH$2:$AH$167*(_xlfn.NORM.DIST(Y$3,economics!$AK$2:$AK$167,economics!$AJ$2:$AJ$167,TRUE)-_xlfn.NORM.DIST(Y$30,economics!$AK$2:$AK$167,economics!$AJ$2:$AJ$167,TRUE))*economics!$AM$2:$AM$167))/(SUMPRODUCT((economics!$AG$2:$AG$167=$B56)*(economics!$D$2:$D$167="process")*economics!$AH$2:$AH$167*(_xlfn.NORM.DIST(Y$3,economics!$AK$2:$AK$167,economics!$AJ$2:$AJ$167,TRUE)-_xlfn.NORM.DIST(Y$30,economics!$AK$2:$AK$167,economics!$AJ$2:$AJ$167,TRUE)))),"")</f>
        <v/>
      </c>
      <c r="Z56">
        <f t="array" ref="Z56">IFERROR((SUMPRODUCT((economics!$AG$2:$AG$167=$B56)*(economics!$D$2:$D$167="process")*economics!$AH$2:$AH$167*(_xlfn.NORM.DIST(Z$3,economics!$AK$2:$AK$167,economics!$AJ$2:$AJ$167,TRUE)-_xlfn.NORM.DIST(Z$30,economics!$AK$2:$AK$167,economics!$AJ$2:$AJ$167,TRUE))*economics!$AM$2:$AM$167))/(SUMPRODUCT((economics!$AG$2:$AG$167=$B56)*(economics!$D$2:$D$167="process")*economics!$AH$2:$AH$167*(_xlfn.NORM.DIST(Z$3,economics!$AK$2:$AK$167,economics!$AJ$2:$AJ$167,TRUE)-_xlfn.NORM.DIST(Z$30,economics!$AK$2:$AK$167,economics!$AJ$2:$AJ$167,TRUE)))),"")</f>
        <v/>
      </c>
      <c r="AA56">
        <f t="array" ref="AA56">IFERROR((SUMPRODUCT((economics!$AG$2:$AG$167=$B56)*(economics!$D$2:$D$167="process")*economics!$AH$2:$AH$167*(_xlfn.NORM.DIST(AA$3,economics!$AK$2:$AK$167,economics!$AJ$2:$AJ$167,TRUE)-_xlfn.NORM.DIST(AA$30,economics!$AK$2:$AK$167,economics!$AJ$2:$AJ$167,TRUE))*economics!$AM$2:$AM$167))/(SUMPRODUCT((economics!$AG$2:$AG$167=$B56)*(economics!$D$2:$D$167="process")*economics!$AH$2:$AH$167*(_xlfn.NORM.DIST(AA$3,economics!$AK$2:$AK$167,economics!$AJ$2:$AJ$167,TRUE)-_xlfn.NORM.DIST(AA$30,economics!$AK$2:$AK$167,economics!$AJ$2:$AJ$167,TRUE)))),"")</f>
        <v/>
      </c>
      <c r="AB56">
        <f t="array" ref="AB56">IFERROR((SUMPRODUCT((economics!$AG$2:$AG$167=$B56)*(economics!$D$2:$D$167="process")*economics!$AH$2:$AH$167*(_xlfn.NORM.DIST(AB$3,economics!$AK$2:$AK$167,economics!$AJ$2:$AJ$167,TRUE)-_xlfn.NORM.DIST(AB$30,economics!$AK$2:$AK$167,economics!$AJ$2:$AJ$167,TRUE))*economics!$AM$2:$AM$167))/(SUMPRODUCT((economics!$AG$2:$AG$167=$B56)*(economics!$D$2:$D$167="process")*economics!$AH$2:$AH$167*(_xlfn.NORM.DIST(AB$3,economics!$AK$2:$AK$167,economics!$AJ$2:$AJ$167,TRUE)-_xlfn.NORM.DIST(AB$30,economics!$AK$2:$AK$167,economics!$AJ$2:$AJ$167,TRUE)))),"")</f>
        <v/>
      </c>
      <c r="AC56">
        <f t="array" ref="AC56">IFERROR((SUMPRODUCT((economics!$AG$2:$AG$167=$B56)*(economics!$D$2:$D$167="process")*economics!$AH$2:$AH$167*(_xlfn.NORM.DIST(AC$3,economics!$AK$2:$AK$167,economics!$AJ$2:$AJ$167,TRUE)-_xlfn.NORM.DIST(AC$30,economics!$AK$2:$AK$167,economics!$AJ$2:$AJ$167,TRUE))*economics!$AM$2:$AM$167))/(SUMPRODUCT((economics!$AG$2:$AG$167=$B56)*(economics!$D$2:$D$167="process")*economics!$AH$2:$AH$167*(_xlfn.NORM.DIST(AC$3,economics!$AK$2:$AK$167,economics!$AJ$2:$AJ$167,TRUE)-_xlfn.NORM.DIST(AC$30,economics!$AK$2:$AK$167,economics!$AJ$2:$AJ$167,TRUE)))),"")</f>
        <v/>
      </c>
      <c r="AD56">
        <f t="array" ref="AD56">IFERROR((SUMPRODUCT((economics!$AG$2:$AG$167=$B56)*(economics!$D$2:$D$167="process")*economics!$AH$2:$AH$167*(_xlfn.NORM.DIST(AD$3,economics!$AK$2:$AK$167,economics!$AJ$2:$AJ$167,TRUE)-_xlfn.NORM.DIST(AD$30,economics!$AK$2:$AK$167,economics!$AJ$2:$AJ$167,TRUE))*economics!$AM$2:$AM$167))/(SUMPRODUCT((economics!$AG$2:$AG$167=$B56)*(economics!$D$2:$D$167="process")*economics!$AH$2:$AH$167*(_xlfn.NORM.DIST(AD$3,economics!$AK$2:$AK$167,economics!$AJ$2:$AJ$167,TRUE)-_xlfn.NORM.DIST(AD$30,economics!$AK$2:$AK$167,economics!$AJ$2:$AJ$167,TRUE)))),"")</f>
        <v/>
      </c>
      <c r="AE56">
        <f t="array" ref="AE56">IFERROR((SUMPRODUCT((economics!$AG$2:$AG$167=$B56)*(economics!$D$2:$D$167="process")*economics!$AH$2:$AH$167*(_xlfn.NORM.DIST(AE$3,economics!$AK$2:$AK$167,economics!$AJ$2:$AJ$167,TRUE)-_xlfn.NORM.DIST(AE$30,economics!$AK$2:$AK$167,economics!$AJ$2:$AJ$167,TRUE))*economics!$AM$2:$AM$167))/(SUMPRODUCT((economics!$AG$2:$AG$167=$B56)*(economics!$D$2:$D$167="process")*economics!$AH$2:$AH$167*(_xlfn.NORM.DIST(AE$3,economics!$AK$2:$AK$167,economics!$AJ$2:$AJ$167,TRUE)-_xlfn.NORM.DIST(AE$30,economics!$AK$2:$AK$167,economics!$AJ$2:$AJ$167,TRUE)))),"")</f>
        <v/>
      </c>
      <c r="AF56">
        <f t="array" ref="AF56">IFERROR((SUMPRODUCT((economics!$AG$2:$AG$167=$B56)*(economics!$D$2:$D$167="process")*economics!$AH$2:$AH$167*(_xlfn.NORM.DIST(AF$3,economics!$AK$2:$AK$167,economics!$AJ$2:$AJ$167,TRUE)-_xlfn.NORM.DIST(AF$30,economics!$AK$2:$AK$167,economics!$AJ$2:$AJ$167,TRUE))*economics!$AM$2:$AM$167))/(SUMPRODUCT((economics!$AG$2:$AG$167=$B56)*(economics!$D$2:$D$167="process")*economics!$AH$2:$AH$167*(_xlfn.NORM.DIST(AF$3,economics!$AK$2:$AK$167,economics!$AJ$2:$AJ$167,TRUE)-_xlfn.NORM.DIST(AF$30,economics!$AK$2:$AK$167,economics!$AJ$2:$AJ$167,TRUE)))),"")</f>
        <v/>
      </c>
      <c r="AG56">
        <f t="array" ref="AG56">IFERROR((SUMPRODUCT((economics!$AG$2:$AG$167=$B56)*(economics!$D$2:$D$167="process")*economics!$AH$2:$AH$167*(_xlfn.NORM.DIST(AG$3,economics!$AK$2:$AK$167,economics!$AJ$2:$AJ$167,TRUE)-_xlfn.NORM.DIST(AG$30,economics!$AK$2:$AK$167,economics!$AJ$2:$AJ$167,TRUE))*economics!$AM$2:$AM$167))/(SUMPRODUCT((economics!$AG$2:$AG$167=$B56)*(economics!$D$2:$D$167="process")*economics!$AH$2:$AH$167*(_xlfn.NORM.DIST(AG$3,economics!$AK$2:$AK$167,economics!$AJ$2:$AJ$167,TRUE)-_xlfn.NORM.DIST(AG$30,economics!$AK$2:$AK$167,economics!$AJ$2:$AJ$167,TRUE)))),"")</f>
        <v/>
      </c>
      <c r="AH56">
        <f t="array" ref="AH56">IFERROR((SUMPRODUCT((economics!$AG$2:$AG$167=$B56)*(economics!$D$2:$D$167="process")*economics!$AH$2:$AH$167*(_xlfn.NORM.DIST(AH$3,economics!$AK$2:$AK$167,economics!$AJ$2:$AJ$167,TRUE)-_xlfn.NORM.DIST(AH$30,economics!$AK$2:$AK$167,economics!$AJ$2:$AJ$167,TRUE))*economics!$AM$2:$AM$167))/(SUMPRODUCT((economics!$AG$2:$AG$167=$B56)*(economics!$D$2:$D$167="process")*economics!$AH$2:$AH$167*(_xlfn.NORM.DIST(AH$3,economics!$AK$2:$AK$167,economics!$AJ$2:$AJ$167,TRUE)-_xlfn.NORM.DIST(AH$30,economics!$AK$2:$AK$167,economics!$AJ$2:$AJ$167,TRUE)))),"")</f>
        <v/>
      </c>
      <c r="AI56">
        <f t="array" ref="AI56">IFERROR((SUMPRODUCT((economics!$AG$2:$AG$167=$B56)*(economics!$D$2:$D$167="process")*economics!$AH$2:$AH$167*(_xlfn.NORM.DIST(AI$3,economics!$AK$2:$AK$167,economics!$AJ$2:$AJ$167,TRUE)-_xlfn.NORM.DIST(AI$30,economics!$AK$2:$AK$167,economics!$AJ$2:$AJ$167,TRUE))*economics!$AM$2:$AM$167))/(SUMPRODUCT((economics!$AG$2:$AG$167=$B56)*(economics!$D$2:$D$167="process")*economics!$AH$2:$AH$167*(_xlfn.NORM.DIST(AI$3,economics!$AK$2:$AK$167,economics!$AJ$2:$AJ$167,TRUE)-_xlfn.NORM.DIST(AI$30,economics!$AK$2:$AK$167,economics!$AJ$2:$AJ$167,TRUE)))),"")</f>
        <v/>
      </c>
      <c r="AJ56">
        <f t="array" ref="AJ56">IFERROR((SUMPRODUCT((economics!$AG$2:$AG$167=$B56)*(economics!$D$2:$D$167="process")*economics!$AH$2:$AH$167*(_xlfn.NORM.DIST(AJ$3,economics!$AK$2:$AK$167,economics!$AJ$2:$AJ$167,TRUE)-_xlfn.NORM.DIST(AJ$30,economics!$AK$2:$AK$167,economics!$AJ$2:$AJ$167,TRUE))*economics!$AM$2:$AM$167))/(SUMPRODUCT((economics!$AG$2:$AG$167=$B56)*(economics!$D$2:$D$167="process")*economics!$AH$2:$AH$167*(_xlfn.NORM.DIST(AJ$3,economics!$AK$2:$AK$167,economics!$AJ$2:$AJ$167,TRUE)-_xlfn.NORM.DIST(AJ$30,economics!$AK$2:$AK$167,economics!$AJ$2:$AJ$167,TRUE)))),"")</f>
        <v/>
      </c>
      <c r="AK56">
        <f t="array" ref="AK56">IFERROR((SUMPRODUCT((economics!$AG$2:$AG$167=$B56)*(economics!$D$2:$D$167="process")*economics!$AH$2:$AH$167*(_xlfn.NORM.DIST(AK$3,economics!$AK$2:$AK$167,economics!$AJ$2:$AJ$167,TRUE)-_xlfn.NORM.DIST(AK$30,economics!$AK$2:$AK$167,economics!$AJ$2:$AJ$167,TRUE))*economics!$AM$2:$AM$167))/(SUMPRODUCT((economics!$AG$2:$AG$167=$B56)*(economics!$D$2:$D$167="process")*economics!$AH$2:$AH$167*(_xlfn.NORM.DIST(AK$3,economics!$AK$2:$AK$167,economics!$AJ$2:$AJ$167,TRUE)-_xlfn.NORM.DIST(AK$30,economics!$AK$2:$AK$167,economics!$AJ$2:$AJ$167,TRUE)))),"")</f>
        <v/>
      </c>
      <c r="AL56">
        <f t="array" ref="AL56">IFERROR((SUMPRODUCT((economics!$AG$2:$AG$167=$B56)*(economics!$D$2:$D$167="process")*economics!$AH$2:$AH$167*(_xlfn.NORM.DIST(AL$3,economics!$AK$2:$AK$167,economics!$AJ$2:$AJ$167,TRUE)-_xlfn.NORM.DIST(AL$30,economics!$AK$2:$AK$167,economics!$AJ$2:$AJ$167,TRUE))*economics!$AM$2:$AM$167))/(SUMPRODUCT((economics!$AG$2:$AG$167=$B56)*(economics!$D$2:$D$167="process")*economics!$AH$2:$AH$167*(_xlfn.NORM.DIST(AL$3,economics!$AK$2:$AK$167,economics!$AJ$2:$AJ$167,TRUE)-_xlfn.NORM.DIST(AL$30,economics!$AK$2:$AK$167,economics!$AJ$2:$AJ$167,TRUE)))),"")</f>
        <v/>
      </c>
      <c r="AM56">
        <f t="array" ref="AM56">IFERROR((SUMPRODUCT((economics!$AG$2:$AG$167=$B56)*(economics!$D$2:$D$167="process")*economics!$AH$2:$AH$167*(_xlfn.NORM.DIST(AM$3,economics!$AK$2:$AK$167,economics!$AJ$2:$AJ$167,TRUE)-_xlfn.NORM.DIST(AM$30,economics!$AK$2:$AK$167,economics!$AJ$2:$AJ$167,TRUE))*economics!$AM$2:$AM$167))/(SUMPRODUCT((economics!$AG$2:$AG$167=$B56)*(economics!$D$2:$D$167="process")*economics!$AH$2:$AH$167*(_xlfn.NORM.DIST(AM$3,economics!$AK$2:$AK$167,economics!$AJ$2:$AJ$167,TRUE)-_xlfn.NORM.DIST(AM$30,economics!$AK$2:$AK$167,economics!$AJ$2:$AJ$167,TRUE)))),"")</f>
        <v/>
      </c>
      <c r="AN56">
        <f t="array" ref="AN56">IFERROR((SUMPRODUCT((economics!$AG$2:$AG$167=$B56)*(economics!$D$2:$D$167="process")*economics!$AH$2:$AH$167*(_xlfn.NORM.DIST(AN$3,economics!$AK$2:$AK$167,economics!$AJ$2:$AJ$167,TRUE)-_xlfn.NORM.DIST(AN$30,economics!$AK$2:$AK$167,economics!$AJ$2:$AJ$167,TRUE))*economics!$AM$2:$AM$167))/(SUMPRODUCT((economics!$AG$2:$AG$167=$B56)*(economics!$D$2:$D$167="process")*economics!$AH$2:$AH$167*(_xlfn.NORM.DIST(AN$3,economics!$AK$2:$AK$167,economics!$AJ$2:$AJ$167,TRUE)-_xlfn.NORM.DIST(AN$30,economics!$AK$2:$AK$167,economics!$AJ$2:$AJ$167,TRUE)))),"")</f>
        <v/>
      </c>
      <c r="AO56">
        <f t="array" ref="AO56">IFERROR((SUMPRODUCT((economics!$AG$2:$AG$167=$B56)*(economics!$D$2:$D$167="process")*economics!$AH$2:$AH$167*(_xlfn.NORM.DIST(AO$3,economics!$AK$2:$AK$167,economics!$AJ$2:$AJ$167,TRUE)-_xlfn.NORM.DIST(AO$30,economics!$AK$2:$AK$167,economics!$AJ$2:$AJ$167,TRUE))*economics!$AM$2:$AM$167))/(SUMPRODUCT((economics!$AG$2:$AG$167=$B56)*(economics!$D$2:$D$167="process")*economics!$AH$2:$AH$167*(_xlfn.NORM.DIST(AO$3,economics!$AK$2:$AK$167,economics!$AJ$2:$AJ$167,TRUE)-_xlfn.NORM.DIST(AO$30,economics!$AK$2:$AK$167,economics!$AJ$2:$AJ$167,TRUE)))),"")</f>
        <v/>
      </c>
      <c r="AP56">
        <f t="array" ref="AP56">IFERROR((SUMPRODUCT((economics!$AG$2:$AG$167=$B56)*(economics!$D$2:$D$167="process")*economics!$AH$2:$AH$167*(_xlfn.NORM.DIST(AP$3,economics!$AK$2:$AK$167,economics!$AJ$2:$AJ$167,TRUE)-_xlfn.NORM.DIST(AP$30,economics!$AK$2:$AK$167,economics!$AJ$2:$AJ$167,TRUE))*economics!$AM$2:$AM$167))/(SUMPRODUCT((economics!$AG$2:$AG$167=$B56)*(economics!$D$2:$D$167="process")*economics!$AH$2:$AH$167*(_xlfn.NORM.DIST(AP$3,economics!$AK$2:$AK$167,economics!$AJ$2:$AJ$167,TRUE)-_xlfn.NORM.DIST(AP$30,economics!$AK$2:$AK$167,economics!$AJ$2:$AJ$167,TRUE)))),"")</f>
        <v/>
      </c>
      <c r="AQ56">
        <f t="array" ref="AQ56">IFERROR((SUMPRODUCT((economics!$AG$2:$AG$167=$B56)*(economics!$D$2:$D$167="process")*economics!$AH$2:$AH$167*(_xlfn.NORM.DIST(AQ$3,economics!$AK$2:$AK$167,economics!$AJ$2:$AJ$167,TRUE)-_xlfn.NORM.DIST(AQ$30,economics!$AK$2:$AK$167,economics!$AJ$2:$AJ$167,TRUE))*economics!$AM$2:$AM$167))/(SUMPRODUCT((economics!$AG$2:$AG$167=$B56)*(economics!$D$2:$D$167="process")*economics!$AH$2:$AH$167*(_xlfn.NORM.DIST(AQ$3,economics!$AK$2:$AK$167,economics!$AJ$2:$AJ$167,TRUE)-_xlfn.NORM.DIST(AQ$30,economics!$AK$2:$AK$167,economics!$AJ$2:$AJ$167,TRUE)))),"")</f>
        <v/>
      </c>
      <c r="AR56">
        <f t="array" ref="AR56">IFERROR((SUMPRODUCT((economics!$AG$2:$AG$167=$B56)*(economics!$D$2:$D$167="process")*economics!$AH$2:$AH$167*(_xlfn.NORM.DIST(AR$3,economics!$AK$2:$AK$167,economics!$AJ$2:$AJ$167,TRUE)-_xlfn.NORM.DIST(AR$30,economics!$AK$2:$AK$167,economics!$AJ$2:$AJ$167,TRUE))*economics!$AM$2:$AM$167))/(SUMPRODUCT((economics!$AG$2:$AG$167=$B56)*(economics!$D$2:$D$167="process")*economics!$AH$2:$AH$167*(_xlfn.NORM.DIST(AR$3,economics!$AK$2:$AK$167,economics!$AJ$2:$AJ$167,TRUE)-_xlfn.NORM.DIST(AR$30,economics!$AK$2:$AK$167,economics!$AJ$2:$AJ$167,TRUE)))),"")</f>
        <v/>
      </c>
      <c r="AS56">
        <f t="array" ref="AS56">IFERROR((SUMPRODUCT((economics!$AG$2:$AG$167=$B56)*(economics!$D$2:$D$167="process")*economics!$AH$2:$AH$167*(_xlfn.NORM.DIST(AS$3,economics!$AK$2:$AK$167,economics!$AJ$2:$AJ$167,TRUE)-_xlfn.NORM.DIST(AS$30,economics!$AK$2:$AK$167,economics!$AJ$2:$AJ$167,TRUE))*economics!$AM$2:$AM$167))/(SUMPRODUCT((economics!$AG$2:$AG$167=$B56)*(economics!$D$2:$D$167="process")*economics!$AH$2:$AH$167*(_xlfn.NORM.DIST(AS$3,economics!$AK$2:$AK$167,economics!$AJ$2:$AJ$167,TRUE)-_xlfn.NORM.DIST(AS$30,economics!$AK$2:$AK$167,economics!$AJ$2:$AJ$167,TRUE)))),"")</f>
        <v/>
      </c>
      <c r="AT56">
        <f t="array" ref="AT56">IFERROR((SUMPRODUCT((economics!$AG$2:$AG$167=$B56)*(economics!$D$2:$D$167="process")*economics!$AH$2:$AH$167*(_xlfn.NORM.DIST(AT$3,economics!$AK$2:$AK$167,economics!$AJ$2:$AJ$167,TRUE)-_xlfn.NORM.DIST(AT$30,economics!$AK$2:$AK$167,economics!$AJ$2:$AJ$167,TRUE))*economics!$AM$2:$AM$167))/(SUMPRODUCT((economics!$AG$2:$AG$167=$B56)*(economics!$D$2:$D$167="process")*economics!$AH$2:$AH$167*(_xlfn.NORM.DIST(AT$3,economics!$AK$2:$AK$167,economics!$AJ$2:$AJ$167,TRUE)-_xlfn.NORM.DIST(AT$30,economics!$AK$2:$AK$167,economics!$AJ$2:$AJ$167,TRUE)))),"")</f>
        <v/>
      </c>
      <c r="AU56">
        <f t="array" ref="AU56">IFERROR((SUMPRODUCT((economics!$AG$2:$AG$167=$B56)*(economics!$D$2:$D$167="process")*economics!$AH$2:$AH$167*(_xlfn.NORM.DIST(AU$3,economics!$AK$2:$AK$167,economics!$AJ$2:$AJ$167,TRUE)-_xlfn.NORM.DIST(AU$30,economics!$AK$2:$AK$167,economics!$AJ$2:$AJ$167,TRUE))*economics!$AM$2:$AM$167))/(SUMPRODUCT((economics!$AG$2:$AG$167=$B56)*(economics!$D$2:$D$167="process")*economics!$AH$2:$AH$167*(_xlfn.NORM.DIST(AU$3,economics!$AK$2:$AK$167,economics!$AJ$2:$AJ$167,TRUE)-_xlfn.NORM.DIST(AU$30,economics!$AK$2:$AK$167,economics!$AJ$2:$AJ$167,TRUE)))),"")</f>
        <v/>
      </c>
      <c r="AV56">
        <f t="array" ref="AV56">IFERROR((SUMPRODUCT((economics!$AG$2:$AG$167=$B56)*(economics!$D$2:$D$167="process")*economics!$AH$2:$AH$167*(_xlfn.NORM.DIST(AV$3,economics!$AK$2:$AK$167,economics!$AJ$2:$AJ$167,TRUE)-_xlfn.NORM.DIST(AV$30,economics!$AK$2:$AK$167,economics!$AJ$2:$AJ$167,TRUE))*economics!$AM$2:$AM$167))/(SUMPRODUCT((economics!$AG$2:$AG$167=$B56)*(economics!$D$2:$D$167="process")*economics!$AH$2:$AH$167*(_xlfn.NORM.DIST(AV$3,economics!$AK$2:$AK$167,economics!$AJ$2:$AJ$167,TRUE)-_xlfn.NORM.DIST(AV$30,economics!$AK$2:$AK$167,economics!$AJ$2:$AJ$167,TRUE)))),"")</f>
        <v/>
      </c>
      <c r="AW56">
        <f t="array" ref="AW56">IFERROR((SUMPRODUCT((economics!$AG$2:$AG$167=$B56)*(economics!$D$2:$D$167="process")*economics!$AH$2:$AH$167*(_xlfn.NORM.DIST(AW$3,economics!$AK$2:$AK$167,economics!$AJ$2:$AJ$167,TRUE)-_xlfn.NORM.DIST(AW$30,economics!$AK$2:$AK$167,economics!$AJ$2:$AJ$167,TRUE))*economics!$AM$2:$AM$167))/(SUMPRODUCT((economics!$AG$2:$AG$167=$B56)*(economics!$D$2:$D$167="process")*economics!$AH$2:$AH$167*(_xlfn.NORM.DIST(AW$3,economics!$AK$2:$AK$167,economics!$AJ$2:$AJ$167,TRUE)-_xlfn.NORM.DIST(AW$30,economics!$AK$2:$AK$167,economics!$AJ$2:$AJ$167,TRUE)))),"")</f>
        <v/>
      </c>
      <c r="AX56">
        <f t="array" ref="AX56">IFERROR((SUMPRODUCT((economics!$AG$2:$AG$167=$B56)*(economics!$D$2:$D$167="process")*economics!$AH$2:$AH$167*(_xlfn.NORM.DIST(AX$3,economics!$AK$2:$AK$167,economics!$AJ$2:$AJ$167,TRUE)-_xlfn.NORM.DIST(AX$30,economics!$AK$2:$AK$167,economics!$AJ$2:$AJ$167,TRUE))*economics!$AM$2:$AM$167))/(SUMPRODUCT((economics!$AG$2:$AG$167=$B56)*(economics!$D$2:$D$167="process")*economics!$AH$2:$AH$167*(_xlfn.NORM.DIST(AX$3,economics!$AK$2:$AK$167,economics!$AJ$2:$AJ$167,TRUE)-_xlfn.NORM.DIST(AX$30,economics!$AK$2:$AK$167,economics!$AJ$2:$AJ$167,TRUE)))),"")</f>
        <v/>
      </c>
      <c r="AY56">
        <f t="array" ref="AY56">IFERROR((SUMPRODUCT((economics!$AG$2:$AG$167=$B56)*(economics!$D$2:$D$167="process")*economics!$AH$2:$AH$167*(_xlfn.NORM.DIST(AY$3,economics!$AK$2:$AK$167,economics!$AJ$2:$AJ$167,TRUE)-_xlfn.NORM.DIST(AY$30,economics!$AK$2:$AK$167,economics!$AJ$2:$AJ$167,TRUE))*economics!$AM$2:$AM$167))/(SUMPRODUCT((economics!$AG$2:$AG$167=$B56)*(economics!$D$2:$D$167="process")*economics!$AH$2:$AH$167*(_xlfn.NORM.DIST(AY$3,economics!$AK$2:$AK$167,economics!$AJ$2:$AJ$167,TRUE)-_xlfn.NORM.DIST(AY$30,economics!$AK$2:$AK$167,economics!$AJ$2:$AJ$167,TRUE)))),"")</f>
        <v/>
      </c>
      <c r="AZ56">
        <f t="array" ref="AZ56">IFERROR((SUMPRODUCT((economics!$AG$2:$AG$167=$B56)*(economics!$D$2:$D$167="process")*economics!$AH$2:$AH$167*(_xlfn.NORM.DIST(AZ$3,economics!$AK$2:$AK$167,economics!$AJ$2:$AJ$167,TRUE)-_xlfn.NORM.DIST(AZ$30,economics!$AK$2:$AK$167,economics!$AJ$2:$AJ$167,TRUE))*economics!$AM$2:$AM$167))/(SUMPRODUCT((economics!$AG$2:$AG$167=$B56)*(economics!$D$2:$D$167="process")*economics!$AH$2:$AH$167*(_xlfn.NORM.DIST(AZ$3,economics!$AK$2:$AK$167,economics!$AJ$2:$AJ$167,TRUE)-_xlfn.NORM.DIST(AZ$30,economics!$AK$2:$AK$167,economics!$AJ$2:$AJ$167,TRUE)))),"")</f>
        <v/>
      </c>
      <c r="BA56">
        <f t="array" ref="BA56">IFERROR((SUMPRODUCT((economics!$AG$2:$AG$167=$B56)*(economics!$D$2:$D$167="process")*economics!$AH$2:$AH$167*(_xlfn.NORM.DIST(BA$3,economics!$AK$2:$AK$167,economics!$AJ$2:$AJ$167,TRUE)-_xlfn.NORM.DIST(BA$30,economics!$AK$2:$AK$167,economics!$AJ$2:$AJ$167,TRUE))*economics!$AM$2:$AM$167))/(SUMPRODUCT((economics!$AG$2:$AG$167=$B56)*(economics!$D$2:$D$167="process")*economics!$AH$2:$AH$167*(_xlfn.NORM.DIST(BA$3,economics!$AK$2:$AK$167,economics!$AJ$2:$AJ$167,TRUE)-_xlfn.NORM.DIST(BA$30,economics!$AK$2:$AK$167,economics!$AJ$2:$AJ$167,TRUE)))),"")</f>
        <v/>
      </c>
      <c r="BB56">
        <f t="array" ref="BB56">IFERROR((SUMPRODUCT((economics!$AG$2:$AG$167=$B56)*(economics!$D$2:$D$167="process")*economics!$AH$2:$AH$167*(_xlfn.NORM.DIST(BB$3,economics!$AK$2:$AK$167,economics!$AJ$2:$AJ$167,TRUE)-_xlfn.NORM.DIST(BB$30,economics!$AK$2:$AK$167,economics!$AJ$2:$AJ$167,TRUE))*economics!$AM$2:$AM$167))/(SUMPRODUCT((economics!$AG$2:$AG$167=$B56)*(economics!$D$2:$D$167="process")*economics!$AH$2:$AH$167*(_xlfn.NORM.DIST(BB$3,economics!$AK$2:$AK$167,economics!$AJ$2:$AJ$167,TRUE)-_xlfn.NORM.DIST(BB$30,economics!$AK$2:$AK$167,economics!$AJ$2:$AJ$167,TRUE)))),"")</f>
        <v/>
      </c>
      <c r="BC56">
        <f t="array" ref="BC56">IFERROR((SUMPRODUCT((economics!$AG$2:$AG$167=$B56)*(economics!$D$2:$D$167="process")*economics!$AH$2:$AH$167*(_xlfn.NORM.DIST(BC$3,economics!$AK$2:$AK$167,economics!$AJ$2:$AJ$167,TRUE)-_xlfn.NORM.DIST(BC$30,economics!$AK$2:$AK$167,economics!$AJ$2:$AJ$167,TRUE))*economics!$AM$2:$AM$167))/(SUMPRODUCT((economics!$AG$2:$AG$167=$B56)*(economics!$D$2:$D$167="process")*economics!$AH$2:$AH$167*(_xlfn.NORM.DIST(BC$3,economics!$AK$2:$AK$167,economics!$AJ$2:$AJ$167,TRUE)-_xlfn.NORM.DIST(BC$30,economics!$AK$2:$AK$167,economics!$AJ$2:$AJ$167,TRUE)))),"")</f>
        <v/>
      </c>
      <c r="BD56">
        <f t="array" ref="BD56">IFERROR((SUMPRODUCT((economics!$AG$2:$AG$167=$B56)*(economics!$D$2:$D$167="process")*economics!$AH$2:$AH$167*(_xlfn.NORM.DIST(BD$3,economics!$AK$2:$AK$167,economics!$AJ$2:$AJ$167,TRUE)-_xlfn.NORM.DIST(BD$30,economics!$AK$2:$AK$167,economics!$AJ$2:$AJ$167,TRUE))*economics!$AM$2:$AM$167))/(SUMPRODUCT((economics!$AG$2:$AG$167=$B56)*(economics!$D$2:$D$167="process")*economics!$AH$2:$AH$167*(_xlfn.NORM.DIST(BD$3,economics!$AK$2:$AK$167,economics!$AJ$2:$AJ$167,TRUE)-_xlfn.NORM.DIST(BD$30,economics!$AK$2:$AK$167,economics!$AJ$2:$AJ$167,TRUE)))),"")</f>
        <v/>
      </c>
      <c r="BE56">
        <f t="array" ref="BE56">IFERROR((SUMPRODUCT((economics!$AG$2:$AG$167=$B56)*(economics!$D$2:$D$167="process")*economics!$AH$2:$AH$167*(_xlfn.NORM.DIST(BE$3,economics!$AK$2:$AK$167,economics!$AJ$2:$AJ$167,TRUE)-_xlfn.NORM.DIST(BE$30,economics!$AK$2:$AK$167,economics!$AJ$2:$AJ$167,TRUE))*economics!$AM$2:$AM$167))/(SUMPRODUCT((economics!$AG$2:$AG$167=$B56)*(economics!$D$2:$D$167="process")*economics!$AH$2:$AH$167*(_xlfn.NORM.DIST(BE$3,economics!$AK$2:$AK$167,economics!$AJ$2:$AJ$167,TRUE)-_xlfn.NORM.DIST(BE$30,economics!$AK$2:$AK$167,economics!$AJ$2:$AJ$167,TRUE)))),"")</f>
        <v/>
      </c>
      <c r="BF56">
        <f t="array" ref="BF56">IFERROR((SUMPRODUCT((economics!$AG$2:$AG$167=$B56)*(economics!$D$2:$D$167="process")*economics!$AH$2:$AH$167*(_xlfn.NORM.DIST(BF$3,economics!$AK$2:$AK$167,economics!$AJ$2:$AJ$167,TRUE)-_xlfn.NORM.DIST(BF$30,economics!$AK$2:$AK$167,economics!$AJ$2:$AJ$167,TRUE))*economics!$AM$2:$AM$167))/(SUMPRODUCT((economics!$AG$2:$AG$167=$B56)*(economics!$D$2:$D$167="process")*economics!$AH$2:$AH$167*(_xlfn.NORM.DIST(BF$3,economics!$AK$2:$AK$167,economics!$AJ$2:$AJ$167,TRUE)-_xlfn.NORM.DIST(BF$30,economics!$AK$2:$AK$167,economics!$AJ$2:$AJ$167,TRUE)))),"")</f>
        <v/>
      </c>
      <c r="BG56">
        <f t="array" ref="BG56">IFERROR((SUMPRODUCT((economics!$AG$2:$AG$167=$B56)*(economics!$D$2:$D$167="process")*economics!$AH$2:$AH$167*(_xlfn.NORM.DIST(BG$3,economics!$AK$2:$AK$167,economics!$AJ$2:$AJ$167,TRUE)-_xlfn.NORM.DIST(BG$30,economics!$AK$2:$AK$167,economics!$AJ$2:$AJ$167,TRUE))*economics!$AM$2:$AM$167))/(SUMPRODUCT((economics!$AG$2:$AG$167=$B56)*(economics!$D$2:$D$167="process")*economics!$AH$2:$AH$167*(_xlfn.NORM.DIST(BG$3,economics!$AK$2:$AK$167,economics!$AJ$2:$AJ$167,TRUE)-_xlfn.NORM.DIST(BG$30,economics!$AK$2:$AK$167,economics!$AJ$2:$AJ$167,TRUE)))),"")</f>
        <v/>
      </c>
      <c r="BH56">
        <f t="array" ref="BH56">IFERROR((SUMPRODUCT((economics!$AG$2:$AG$167=$B56)*(economics!$D$2:$D$167="process")*economics!$AH$2:$AH$167*(_xlfn.NORM.DIST(BH$3,economics!$AK$2:$AK$167,economics!$AJ$2:$AJ$167,TRUE)-_xlfn.NORM.DIST(BH$30,economics!$AK$2:$AK$167,economics!$AJ$2:$AJ$167,TRUE))*economics!$AM$2:$AM$167))/(SUMPRODUCT((economics!$AG$2:$AG$167=$B56)*(economics!$D$2:$D$167="process")*economics!$AH$2:$AH$167*(_xlfn.NORM.DIST(BH$3,economics!$AK$2:$AK$167,economics!$AJ$2:$AJ$167,TRUE)-_xlfn.NORM.DIST(BH$30,economics!$AK$2:$AK$167,economics!$AJ$2:$AJ$167,TRUE)))),"")</f>
        <v/>
      </c>
      <c r="BI56">
        <f t="array" ref="BI56">IFERROR((SUMPRODUCT((economics!$AG$2:$AG$167=$B56)*(economics!$D$2:$D$167="process")*economics!$AH$2:$AH$167*(_xlfn.NORM.DIST(BI$3,economics!$AK$2:$AK$167,economics!$AJ$2:$AJ$167,TRUE)-_xlfn.NORM.DIST(BI$30,economics!$AK$2:$AK$167,economics!$AJ$2:$AJ$167,TRUE))*economics!$AM$2:$AM$167))/(SUMPRODUCT((economics!$AG$2:$AG$167=$B56)*(economics!$D$2:$D$167="process")*economics!$AH$2:$AH$167*(_xlfn.NORM.DIST(BI$3,economics!$AK$2:$AK$167,economics!$AJ$2:$AJ$167,TRUE)-_xlfn.NORM.DIST(BI$30,economics!$AK$2:$AK$167,economics!$AJ$2:$AJ$167,TRUE)))),"")</f>
        <v/>
      </c>
      <c r="BJ56">
        <f t="array" ref="BJ56">IFERROR((SUMPRODUCT((economics!$AG$2:$AG$167=$B56)*(economics!$D$2:$D$167="process")*economics!$AH$2:$AH$167*(_xlfn.NORM.DIST(BJ$3,economics!$AK$2:$AK$167,economics!$AJ$2:$AJ$167,TRUE)-_xlfn.NORM.DIST(BJ$30,economics!$AK$2:$AK$167,economics!$AJ$2:$AJ$167,TRUE))*economics!$AM$2:$AM$167))/(SUMPRODUCT((economics!$AG$2:$AG$167=$B56)*(economics!$D$2:$D$167="process")*economics!$AH$2:$AH$167*(_xlfn.NORM.DIST(BJ$3,economics!$AK$2:$AK$167,economics!$AJ$2:$AJ$167,TRUE)-_xlfn.NORM.DIST(BJ$30,economics!$AK$2:$AK$167,economics!$AJ$2:$AJ$167,TRUE)))),"")</f>
        <v/>
      </c>
      <c r="BK56">
        <f t="array" ref="BK56">IFERROR((SUMPRODUCT((economics!$AG$2:$AG$167=$B56)*(economics!$D$2:$D$167="process")*economics!$AH$2:$AH$167*(_xlfn.NORM.DIST(BK$3,economics!$AK$2:$AK$167,economics!$AJ$2:$AJ$167,TRUE)-_xlfn.NORM.DIST(BK$30,economics!$AK$2:$AK$167,economics!$AJ$2:$AJ$167,TRUE))*economics!$AM$2:$AM$167))/(SUMPRODUCT((economics!$AG$2:$AG$167=$B56)*(economics!$D$2:$D$167="process")*economics!$AH$2:$AH$167*(_xlfn.NORM.DIST(BK$3,economics!$AK$2:$AK$167,economics!$AJ$2:$AJ$167,TRUE)-_xlfn.NORM.DIST(BK$30,economics!$AK$2:$AK$167,economics!$AJ$2:$AJ$167,TRUE)))),"")</f>
        <v/>
      </c>
      <c r="BL56">
        <f t="array" ref="BL56">IFERROR((SUMPRODUCT((economics!$AG$2:$AG$167=$B56)*(economics!$D$2:$D$167="process")*economics!$AH$2:$AH$167*(_xlfn.NORM.DIST(BL$3,economics!$AK$2:$AK$167,economics!$AJ$2:$AJ$167,TRUE)-_xlfn.NORM.DIST(BL$30,economics!$AK$2:$AK$167,economics!$AJ$2:$AJ$167,TRUE))*economics!$AM$2:$AM$167))/(SUMPRODUCT((economics!$AG$2:$AG$167=$B56)*(economics!$D$2:$D$167="process")*economics!$AH$2:$AH$167*(_xlfn.NORM.DIST(BL$3,economics!$AK$2:$AK$167,economics!$AJ$2:$AJ$167,TRUE)-_xlfn.NORM.DIST(BL$30,economics!$AK$2:$AK$167,economics!$AJ$2:$AJ$167,TRUE)))),"")</f>
        <v/>
      </c>
      <c r="BM56">
        <f t="array" ref="BM56">IFERROR((SUMPRODUCT((economics!$AG$2:$AG$167=$B56)*(economics!$D$2:$D$167="process")*economics!$AH$2:$AH$167*(_xlfn.NORM.DIST(BM$3,economics!$AK$2:$AK$167,economics!$AJ$2:$AJ$167,TRUE)-_xlfn.NORM.DIST(BM$30,economics!$AK$2:$AK$167,economics!$AJ$2:$AJ$167,TRUE))*economics!$AM$2:$AM$167))/(SUMPRODUCT((economics!$AG$2:$AG$167=$B56)*(economics!$D$2:$D$167="process")*economics!$AH$2:$AH$167*(_xlfn.NORM.DIST(BM$3,economics!$AK$2:$AK$167,economics!$AJ$2:$AJ$167,TRUE)-_xlfn.NORM.DIST(BM$30,economics!$AK$2:$AK$167,economics!$AJ$2:$AJ$167,TRUE)))),"")</f>
        <v/>
      </c>
      <c r="BN56">
        <f t="array" ref="BN56">IFERROR((SUMPRODUCT((economics!$AG$2:$AG$167=$B56)*(economics!$D$2:$D$167="process")*economics!$AH$2:$AH$167*(_xlfn.NORM.DIST(BN$3,economics!$AK$2:$AK$167,economics!$AJ$2:$AJ$167,TRUE)-_xlfn.NORM.DIST(BN$30,economics!$AK$2:$AK$167,economics!$AJ$2:$AJ$167,TRUE))*economics!$AM$2:$AM$167))/(SUMPRODUCT((economics!$AG$2:$AG$167=$B56)*(economics!$D$2:$D$167="process")*economics!$AH$2:$AH$167*(_xlfn.NORM.DIST(BN$3,economics!$AK$2:$AK$167,economics!$AJ$2:$AJ$167,TRUE)-_xlfn.NORM.DIST(BN$30,economics!$AK$2:$AK$167,economics!$AJ$2:$AJ$167,TRUE)))),"")</f>
        <v/>
      </c>
      <c r="BO56">
        <f t="array" ref="BO56">IFERROR((SUMPRODUCT((economics!$AG$2:$AG$167=$B56)*(economics!$D$2:$D$167="process")*economics!$AH$2:$AH$167*(_xlfn.NORM.DIST(BO$3,economics!$AK$2:$AK$167,economics!$AJ$2:$AJ$167,TRUE)-_xlfn.NORM.DIST(BO$30,economics!$AK$2:$AK$167,economics!$AJ$2:$AJ$167,TRUE))*economics!$AM$2:$AM$167))/(SUMPRODUCT((economics!$AG$2:$AG$167=$B56)*(economics!$D$2:$D$167="process")*economics!$AH$2:$AH$167*(_xlfn.NORM.DIST(BO$3,economics!$AK$2:$AK$167,economics!$AJ$2:$AJ$167,TRUE)-_xlfn.NORM.DIST(BO$30,economics!$AK$2:$AK$167,economics!$AJ$2:$AJ$167,TRUE)))),"")</f>
        <v/>
      </c>
      <c r="BP56">
        <f t="array" ref="BP56">IFERROR((SUMPRODUCT((economics!$AG$2:$AG$167=$B56)*(economics!$D$2:$D$167="process")*economics!$AH$2:$AH$167*(_xlfn.NORM.DIST(BP$3,economics!$AK$2:$AK$167,economics!$AJ$2:$AJ$167,TRUE)-_xlfn.NORM.DIST(BP$30,economics!$AK$2:$AK$167,economics!$AJ$2:$AJ$167,TRUE))*economics!$AM$2:$AM$167))/(SUMPRODUCT((economics!$AG$2:$AG$167=$B56)*(economics!$D$2:$D$167="process")*economics!$AH$2:$AH$167*(_xlfn.NORM.DIST(BP$3,economics!$AK$2:$AK$167,economics!$AJ$2:$AJ$167,TRUE)-_xlfn.NORM.DIST(BP$30,economics!$AK$2:$AK$167,economics!$AJ$2:$AJ$167,TRUE)))),"")</f>
        <v/>
      </c>
      <c r="BQ56">
        <f t="array" ref="BQ56">IFERROR((SUMPRODUCT((economics!$AG$2:$AG$167=$B56)*(economics!$D$2:$D$167="process")*economics!$AH$2:$AH$167*(_xlfn.NORM.DIST(BQ$3,economics!$AK$2:$AK$167,economics!$AJ$2:$AJ$167,TRUE)-_xlfn.NORM.DIST(BQ$30,economics!$AK$2:$AK$167,economics!$AJ$2:$AJ$167,TRUE))*economics!$AM$2:$AM$167))/(SUMPRODUCT((economics!$AG$2:$AG$167=$B56)*(economics!$D$2:$D$167="process")*economics!$AH$2:$AH$167*(_xlfn.NORM.DIST(BQ$3,economics!$AK$2:$AK$167,economics!$AJ$2:$AJ$167,TRUE)-_xlfn.NORM.DIST(BQ$30,economics!$AK$2:$AK$167,economics!$AJ$2:$AJ$167,TRUE)))),"")</f>
        <v/>
      </c>
      <c r="BR56">
        <f t="array" ref="BR56">IFERROR((SUMPRODUCT((economics!$AG$2:$AG$167=$B56)*(economics!$D$2:$D$167="process")*economics!$AH$2:$AH$167*(_xlfn.NORM.DIST(BR$3,economics!$AK$2:$AK$167,economics!$AJ$2:$AJ$167,TRUE)-_xlfn.NORM.DIST(BR$30,economics!$AK$2:$AK$167,economics!$AJ$2:$AJ$167,TRUE))*economics!$AM$2:$AM$167))/(SUMPRODUCT((economics!$AG$2:$AG$167=$B56)*(economics!$D$2:$D$167="process")*economics!$AH$2:$AH$167*(_xlfn.NORM.DIST(BR$3,economics!$AK$2:$AK$167,economics!$AJ$2:$AJ$167,TRUE)-_xlfn.NORM.DIST(BR$30,economics!$AK$2:$AK$167,economics!$AJ$2:$AJ$167,TRUE)))),"")</f>
        <v/>
      </c>
      <c r="BS56">
        <f t="array" ref="BS56">IFERROR((SUMPRODUCT((economics!$AG$2:$AG$167=$B56)*(economics!$D$2:$D$167="process")*economics!$AH$2:$AH$167*(_xlfn.NORM.DIST(BS$3,economics!$AK$2:$AK$167,economics!$AJ$2:$AJ$167,TRUE)-_xlfn.NORM.DIST(BS$30,economics!$AK$2:$AK$167,economics!$AJ$2:$AJ$167,TRUE))*economics!$AM$2:$AM$167))/(SUMPRODUCT((economics!$AG$2:$AG$167=$B56)*(economics!$D$2:$D$167="process")*economics!$AH$2:$AH$167*(_xlfn.NORM.DIST(BS$3,economics!$AK$2:$AK$167,economics!$AJ$2:$AJ$167,TRUE)-_xlfn.NORM.DIST(BS$30,economics!$AK$2:$AK$167,economics!$AJ$2:$AJ$167,TRUE)))),"")</f>
        <v/>
      </c>
      <c r="BT56">
        <f t="array" ref="BT56">IFERROR((SUMPRODUCT((economics!$AG$2:$AG$167=$B56)*(economics!$D$2:$D$167="process")*economics!$AH$2:$AH$167*(_xlfn.NORM.DIST(BT$3,economics!$AK$2:$AK$167,economics!$AJ$2:$AJ$167,TRUE)-_xlfn.NORM.DIST(BT$30,economics!$AK$2:$AK$167,economics!$AJ$2:$AJ$167,TRUE))*economics!$AM$2:$AM$167))/(SUMPRODUCT((economics!$AG$2:$AG$167=$B56)*(economics!$D$2:$D$167="process")*economics!$AH$2:$AH$167*(_xlfn.NORM.DIST(BT$3,economics!$AK$2:$AK$167,economics!$AJ$2:$AJ$167,TRUE)-_xlfn.NORM.DIST(BT$30,economics!$AK$2:$AK$167,economics!$AJ$2:$AJ$167,TRUE)))),"")</f>
        <v/>
      </c>
      <c r="BU56">
        <f t="array" ref="BU56">IFERROR((SUMPRODUCT((economics!$AG$2:$AG$167=$B56)*(economics!$D$2:$D$167="process")*economics!$AH$2:$AH$167*(_xlfn.NORM.DIST(BU$3,economics!$AK$2:$AK$167,economics!$AJ$2:$AJ$167,TRUE)-_xlfn.NORM.DIST(BU$30,economics!$AK$2:$AK$167,economics!$AJ$2:$AJ$167,TRUE))*economics!$AM$2:$AM$167))/(SUMPRODUCT((economics!$AG$2:$AG$167=$B56)*(economics!$D$2:$D$167="process")*economics!$AH$2:$AH$167*(_xlfn.NORM.DIST(BU$3,economics!$AK$2:$AK$167,economics!$AJ$2:$AJ$167,TRUE)-_xlfn.NORM.DIST(BU$30,economics!$AK$2:$AK$167,economics!$AJ$2:$AJ$167,TRUE)))),"")</f>
        <v/>
      </c>
      <c r="BV56">
        <f t="array" ref="BV56">IFERROR((SUMPRODUCT((economics!$AG$2:$AG$167=$B56)*(economics!$D$2:$D$167="process")*economics!$AH$2:$AH$167*(_xlfn.NORM.DIST(BV$3,economics!$AK$2:$AK$167,economics!$AJ$2:$AJ$167,TRUE)-_xlfn.NORM.DIST(BV$30,economics!$AK$2:$AK$167,economics!$AJ$2:$AJ$167,TRUE))*economics!$AM$2:$AM$167))/(SUMPRODUCT((economics!$AG$2:$AG$167=$B56)*(economics!$D$2:$D$167="process")*economics!$AH$2:$AH$167*(_xlfn.NORM.DIST(BV$3,economics!$AK$2:$AK$167,economics!$AJ$2:$AJ$167,TRUE)-_xlfn.NORM.DIST(BV$30,economics!$AK$2:$AK$167,economics!$AJ$2:$AJ$167,TRUE)))),"")</f>
        <v/>
      </c>
      <c r="BW56">
        <f t="array" ref="BW56">IFERROR((SUMPRODUCT((economics!$AG$2:$AG$167=$B56)*(economics!$D$2:$D$167="process")*economics!$AH$2:$AH$167*(_xlfn.NORM.DIST(BW$3,economics!$AK$2:$AK$167,economics!$AJ$2:$AJ$167,TRUE)-_xlfn.NORM.DIST(BW$30,economics!$AK$2:$AK$167,economics!$AJ$2:$AJ$167,TRUE))*economics!$AM$2:$AM$167))/(SUMPRODUCT((economics!$AG$2:$AG$167=$B56)*(economics!$D$2:$D$167="process")*economics!$AH$2:$AH$167*(_xlfn.NORM.DIST(BW$3,economics!$AK$2:$AK$167,economics!$AJ$2:$AJ$167,TRUE)-_xlfn.NORM.DIST(BW$30,economics!$AK$2:$AK$167,economics!$AJ$2:$AJ$167,TRUE)))),"")</f>
        <v/>
      </c>
      <c r="BX56">
        <f t="array" ref="BX56">IFERROR((SUMPRODUCT((economics!$AG$2:$AG$167=$B56)*(economics!$D$2:$D$167="process")*economics!$AH$2:$AH$167*(_xlfn.NORM.DIST(BX$3,economics!$AK$2:$AK$167,economics!$AJ$2:$AJ$167,TRUE)-_xlfn.NORM.DIST(BX$30,economics!$AK$2:$AK$167,economics!$AJ$2:$AJ$167,TRUE))*economics!$AM$2:$AM$167))/(SUMPRODUCT((economics!$AG$2:$AG$167=$B56)*(economics!$D$2:$D$167="process")*economics!$AH$2:$AH$167*(_xlfn.NORM.DIST(BX$3,economics!$AK$2:$AK$167,economics!$AJ$2:$AJ$167,TRUE)-_xlfn.NORM.DIST(BX$30,economics!$AK$2:$AK$167,economics!$AJ$2:$AJ$167,TRUE)))),"")</f>
        <v/>
      </c>
      <c r="BY56">
        <f t="array" ref="BY56">IFERROR((SUMPRODUCT((economics!$AG$2:$AG$167=$B56)*(economics!$D$2:$D$167="process")*economics!$AH$2:$AH$167*(_xlfn.NORM.DIST(BY$3,economics!$AK$2:$AK$167,economics!$AJ$2:$AJ$167,TRUE)-_xlfn.NORM.DIST(BY$30,economics!$AK$2:$AK$167,economics!$AJ$2:$AJ$167,TRUE))*economics!$AM$2:$AM$167))/(SUMPRODUCT((economics!$AG$2:$AG$167=$B56)*(economics!$D$2:$D$167="process")*economics!$AH$2:$AH$167*(_xlfn.NORM.DIST(BY$3,economics!$AK$2:$AK$167,economics!$AJ$2:$AJ$167,TRUE)-_xlfn.NORM.DIST(BY$30,economics!$AK$2:$AK$167,economics!$AJ$2:$AJ$167,TRUE)))),"")</f>
        <v/>
      </c>
      <c r="BZ56">
        <f t="array" ref="BZ56">IFERROR((SUMPRODUCT((economics!$AG$2:$AG$167=$B56)*(economics!$D$2:$D$167="process")*economics!$AH$2:$AH$167*(_xlfn.NORM.DIST(BZ$3,economics!$AK$2:$AK$167,economics!$AJ$2:$AJ$167,TRUE)-_xlfn.NORM.DIST(BZ$30,economics!$AK$2:$AK$167,economics!$AJ$2:$AJ$167,TRUE))*economics!$AM$2:$AM$167))/(SUMPRODUCT((economics!$AG$2:$AG$167=$B56)*(economics!$D$2:$D$167="process")*economics!$AH$2:$AH$167*(_xlfn.NORM.DIST(BZ$3,economics!$AK$2:$AK$167,economics!$AJ$2:$AJ$167,TRUE)-_xlfn.NORM.DIST(BZ$30,economics!$AK$2:$AK$167,economics!$AJ$2:$AJ$167,TRUE)))),"")</f>
        <v/>
      </c>
      <c r="CA56">
        <f t="array" ref="CA56">IFERROR((SUMPRODUCT((economics!$AG$2:$AG$167=$B56)*(economics!$D$2:$D$167="process")*economics!$AH$2:$AH$167*(_xlfn.NORM.DIST(CA$3,economics!$AK$2:$AK$167,economics!$AJ$2:$AJ$167,TRUE)-_xlfn.NORM.DIST(CA$30,economics!$AK$2:$AK$167,economics!$AJ$2:$AJ$167,TRUE))*economics!$AM$2:$AM$167))/(SUMPRODUCT((economics!$AG$2:$AG$167=$B56)*(economics!$D$2:$D$167="process")*economics!$AH$2:$AH$167*(_xlfn.NORM.DIST(CA$3,economics!$AK$2:$AK$167,economics!$AJ$2:$AJ$167,TRUE)-_xlfn.NORM.DIST(CA$30,economics!$AK$2:$AK$167,economics!$AJ$2:$AJ$167,TRUE)))),"")</f>
        <v/>
      </c>
      <c r="CB56">
        <f t="array" ref="CB56">IFERROR((SUMPRODUCT((economics!$AG$2:$AG$167=$B56)*(economics!$D$2:$D$167="process")*economics!$AH$2:$AH$167*(_xlfn.NORM.DIST(CB$3,economics!$AK$2:$AK$167,economics!$AJ$2:$AJ$167,TRUE)-_xlfn.NORM.DIST(CB$30,economics!$AK$2:$AK$167,economics!$AJ$2:$AJ$167,TRUE))*economics!$AM$2:$AM$167))/(SUMPRODUCT((economics!$AG$2:$AG$167=$B56)*(economics!$D$2:$D$167="process")*economics!$AH$2:$AH$167*(_xlfn.NORM.DIST(CB$3,economics!$AK$2:$AK$167,economics!$AJ$2:$AJ$167,TRUE)-_xlfn.NORM.DIST(CB$30,economics!$AK$2:$AK$167,economics!$AJ$2:$AJ$167,TRUE)))),"")</f>
        <v/>
      </c>
      <c r="CC56">
        <f t="array" ref="CC56">IFERROR((SUMPRODUCT((economics!$AG$2:$AG$167=$B56)*(economics!$D$2:$D$167="process")*economics!$AH$2:$AH$167*(_xlfn.NORM.DIST(CC$3,economics!$AK$2:$AK$167,economics!$AJ$2:$AJ$167,TRUE)-_xlfn.NORM.DIST(CC$30,economics!$AK$2:$AK$167,economics!$AJ$2:$AJ$167,TRUE))*economics!$AM$2:$AM$167))/(SUMPRODUCT((economics!$AG$2:$AG$167=$B56)*(economics!$D$2:$D$167="process")*economics!$AH$2:$AH$167*(_xlfn.NORM.DIST(CC$3,economics!$AK$2:$AK$167,economics!$AJ$2:$AJ$167,TRUE)-_xlfn.NORM.DIST(CC$30,economics!$AK$2:$AK$167,economics!$AJ$2:$AJ$167,TRUE)))),"")</f>
        <v/>
      </c>
      <c r="CD56">
        <f t="array" ref="CD56">IFERROR((SUMPRODUCT((economics!$AG$2:$AG$167=$B56)*(economics!$D$2:$D$167="process")*economics!$AH$2:$AH$167*(_xlfn.NORM.DIST(CD$3,economics!$AK$2:$AK$167,economics!$AJ$2:$AJ$167,TRUE)-_xlfn.NORM.DIST(CD$30,economics!$AK$2:$AK$167,economics!$AJ$2:$AJ$167,TRUE))*economics!$AM$2:$AM$167))/(SUMPRODUCT((economics!$AG$2:$AG$167=$B56)*(economics!$D$2:$D$167="process")*economics!$AH$2:$AH$167*(_xlfn.NORM.DIST(CD$3,economics!$AK$2:$AK$167,economics!$AJ$2:$AJ$167,TRUE)-_xlfn.NORM.DIST(CD$30,economics!$AK$2:$AK$167,economics!$AJ$2:$AJ$167,TRUE)))),"")</f>
        <v/>
      </c>
      <c r="CE56">
        <f t="array" ref="CE56">IFERROR((SUMPRODUCT((economics!$AG$2:$AG$167=$B56)*(economics!$D$2:$D$167="process")*economics!$AH$2:$AH$167*(_xlfn.NORM.DIST(CE$3,economics!$AK$2:$AK$167,economics!$AJ$2:$AJ$167,TRUE)-_xlfn.NORM.DIST(CE$30,economics!$AK$2:$AK$167,economics!$AJ$2:$AJ$167,TRUE))*economics!$AM$2:$AM$167))/(SUMPRODUCT((economics!$AG$2:$AG$167=$B56)*(economics!$D$2:$D$167="process")*economics!$AH$2:$AH$167*(_xlfn.NORM.DIST(CE$3,economics!$AK$2:$AK$167,economics!$AJ$2:$AJ$167,TRUE)-_xlfn.NORM.DIST(CE$30,economics!$AK$2:$AK$167,economics!$AJ$2:$AJ$167,TRUE)))),"")</f>
        <v/>
      </c>
      <c r="CF56">
        <f t="array" ref="CF56">IFERROR((SUMPRODUCT((economics!$AG$2:$AG$167=$B56)*(economics!$D$2:$D$167="process")*economics!$AH$2:$AH$167*(_xlfn.NORM.DIST(CF$3,economics!$AK$2:$AK$167,economics!$AJ$2:$AJ$167,TRUE)-_xlfn.NORM.DIST(CF$30,economics!$AK$2:$AK$167,economics!$AJ$2:$AJ$167,TRUE))*economics!$AM$2:$AM$167))/(SUMPRODUCT((economics!$AG$2:$AG$167=$B56)*(economics!$D$2:$D$167="process")*economics!$AH$2:$AH$167*(_xlfn.NORM.DIST(CF$3,economics!$AK$2:$AK$167,economics!$AJ$2:$AJ$167,TRUE)-_xlfn.NORM.DIST(CF$30,economics!$AK$2:$AK$167,economics!$AJ$2:$AJ$167,TRUE)))),"")</f>
        <v/>
      </c>
      <c r="CG56">
        <f t="array" ref="CG56">IFERROR((SUMPRODUCT((economics!$AG$2:$AG$167=$B56)*(economics!$D$2:$D$167="process")*economics!$AH$2:$AH$167*(_xlfn.NORM.DIST(CG$3,economics!$AK$2:$AK$167,economics!$AJ$2:$AJ$167,TRUE)-_xlfn.NORM.DIST(CG$30,economics!$AK$2:$AK$167,economics!$AJ$2:$AJ$167,TRUE))*economics!$AM$2:$AM$167))/(SUMPRODUCT((economics!$AG$2:$AG$167=$B56)*(economics!$D$2:$D$167="process")*economics!$AH$2:$AH$167*(_xlfn.NORM.DIST(CG$3,economics!$AK$2:$AK$167,economics!$AJ$2:$AJ$167,TRUE)-_xlfn.NORM.DIST(CG$30,economics!$AK$2:$AK$167,economics!$AJ$2:$AJ$167,TRUE)))),"")</f>
        <v/>
      </c>
      <c r="CH56">
        <f t="array" ref="CH56">IFERROR((SUMPRODUCT((economics!$AG$2:$AG$167=$B56)*(economics!$D$2:$D$167="process")*economics!$AH$2:$AH$167*(_xlfn.NORM.DIST(CH$3,economics!$AK$2:$AK$167,economics!$AJ$2:$AJ$167,TRUE)-_xlfn.NORM.DIST(CH$30,economics!$AK$2:$AK$167,economics!$AJ$2:$AJ$167,TRUE))*economics!$AM$2:$AM$167))/(SUMPRODUCT((economics!$AG$2:$AG$167=$B56)*(economics!$D$2:$D$167="process")*economics!$AH$2:$AH$167*(_xlfn.NORM.DIST(CH$3,economics!$AK$2:$AK$167,economics!$AJ$2:$AJ$167,TRUE)-_xlfn.NORM.DIST(CH$30,economics!$AK$2:$AK$167,economics!$AJ$2:$AJ$167,TRUE)))),"")</f>
        <v/>
      </c>
    </row>
    <row r="57">
      <c r="A57">
        <f>A28</f>
        <v/>
      </c>
      <c r="B57">
        <f>B28</f>
        <v/>
      </c>
      <c r="E57">
        <f t="array" ref="E57">IFERROR((SUMPRODUCT((economics!$AG$2:$AG$167=$B57)*(economics!$D$2:$D$167="process")*economics!$AH$2:$AH$167*(_xlfn.NORM.DIST(E$3,economics!$AK$2:$AK$167,economics!$AJ$2:$AJ$167,TRUE)-_xlfn.NORM.DIST(E$30,economics!$AK$2:$AK$167,economics!$AJ$2:$AJ$167,TRUE))*economics!$AM$2:$AM$167))/(SUMPRODUCT((economics!$AG$2:$AG$167=$B57)*(economics!$D$2:$D$167="process")*economics!$AH$2:$AH$167*(_xlfn.NORM.DIST(E$3,economics!$AK$2:$AK$167,economics!$AJ$2:$AJ$167,TRUE)-_xlfn.NORM.DIST(E$30,economics!$AK$2:$AK$167,economics!$AJ$2:$AJ$167,TRUE)))),"")</f>
        <v/>
      </c>
      <c r="F57">
        <f t="array" ref="F57">IFERROR((SUMPRODUCT((economics!$AG$2:$AG$167=$B57)*(economics!$D$2:$D$167="process")*economics!$AH$2:$AH$167*(_xlfn.NORM.DIST(F$3,economics!$AK$2:$AK$167,economics!$AJ$2:$AJ$167,TRUE)-_xlfn.NORM.DIST(F$30,economics!$AK$2:$AK$167,economics!$AJ$2:$AJ$167,TRUE))*economics!$AM$2:$AM$167))/(SUMPRODUCT((economics!$AG$2:$AG$167=$B57)*(economics!$D$2:$D$167="process")*economics!$AH$2:$AH$167*(_xlfn.NORM.DIST(F$3,economics!$AK$2:$AK$167,economics!$AJ$2:$AJ$167,TRUE)-_xlfn.NORM.DIST(F$30,economics!$AK$2:$AK$167,economics!$AJ$2:$AJ$167,TRUE)))),"")</f>
        <v/>
      </c>
      <c r="G57">
        <f t="array" ref="G57">IFERROR((SUMPRODUCT((economics!$AG$2:$AG$167=$B57)*(economics!$D$2:$D$167="process")*economics!$AH$2:$AH$167*(_xlfn.NORM.DIST(G$3,economics!$AK$2:$AK$167,economics!$AJ$2:$AJ$167,TRUE)-_xlfn.NORM.DIST(G$30,economics!$AK$2:$AK$167,economics!$AJ$2:$AJ$167,TRUE))*economics!$AM$2:$AM$167))/(SUMPRODUCT((economics!$AG$2:$AG$167=$B57)*(economics!$D$2:$D$167="process")*economics!$AH$2:$AH$167*(_xlfn.NORM.DIST(G$3,economics!$AK$2:$AK$167,economics!$AJ$2:$AJ$167,TRUE)-_xlfn.NORM.DIST(G$30,economics!$AK$2:$AK$167,economics!$AJ$2:$AJ$167,TRUE)))),"")</f>
        <v/>
      </c>
      <c r="H57">
        <f t="array" ref="H57">IFERROR((SUMPRODUCT((economics!$AG$2:$AG$167=$B57)*(economics!$D$2:$D$167="process")*economics!$AH$2:$AH$167*(_xlfn.NORM.DIST(H$3,economics!$AK$2:$AK$167,economics!$AJ$2:$AJ$167,TRUE)-_xlfn.NORM.DIST(H$30,economics!$AK$2:$AK$167,economics!$AJ$2:$AJ$167,TRUE))*economics!$AM$2:$AM$167))/(SUMPRODUCT((economics!$AG$2:$AG$167=$B57)*(economics!$D$2:$D$167="process")*economics!$AH$2:$AH$167*(_xlfn.NORM.DIST(H$3,economics!$AK$2:$AK$167,economics!$AJ$2:$AJ$167,TRUE)-_xlfn.NORM.DIST(H$30,economics!$AK$2:$AK$167,economics!$AJ$2:$AJ$167,TRUE)))),"")</f>
        <v/>
      </c>
      <c r="I57">
        <f t="array" ref="I57">IFERROR((SUMPRODUCT((economics!$AG$2:$AG$167=$B57)*(economics!$D$2:$D$167="process")*economics!$AH$2:$AH$167*(_xlfn.NORM.DIST(I$3,economics!$AK$2:$AK$167,economics!$AJ$2:$AJ$167,TRUE)-_xlfn.NORM.DIST(I$30,economics!$AK$2:$AK$167,economics!$AJ$2:$AJ$167,TRUE))*economics!$AM$2:$AM$167))/(SUMPRODUCT((economics!$AG$2:$AG$167=$B57)*(economics!$D$2:$D$167="process")*economics!$AH$2:$AH$167*(_xlfn.NORM.DIST(I$3,economics!$AK$2:$AK$167,economics!$AJ$2:$AJ$167,TRUE)-_xlfn.NORM.DIST(I$30,economics!$AK$2:$AK$167,economics!$AJ$2:$AJ$167,TRUE)))),"")</f>
        <v/>
      </c>
      <c r="J57">
        <f t="array" ref="J57">IFERROR((SUMPRODUCT((economics!$AG$2:$AG$167=$B57)*(economics!$D$2:$D$167="process")*economics!$AH$2:$AH$167*(_xlfn.NORM.DIST(J$3,economics!$AK$2:$AK$167,economics!$AJ$2:$AJ$167,TRUE)-_xlfn.NORM.DIST(J$30,economics!$AK$2:$AK$167,economics!$AJ$2:$AJ$167,TRUE))*economics!$AM$2:$AM$167))/(SUMPRODUCT((economics!$AG$2:$AG$167=$B57)*(economics!$D$2:$D$167="process")*economics!$AH$2:$AH$167*(_xlfn.NORM.DIST(J$3,economics!$AK$2:$AK$167,economics!$AJ$2:$AJ$167,TRUE)-_xlfn.NORM.DIST(J$30,economics!$AK$2:$AK$167,economics!$AJ$2:$AJ$167,TRUE)))),"")</f>
        <v/>
      </c>
      <c r="K57">
        <f t="array" ref="K57">IFERROR((SUMPRODUCT((economics!$AG$2:$AG$167=$B57)*(economics!$D$2:$D$167="process")*economics!$AH$2:$AH$167*(_xlfn.NORM.DIST(K$3,economics!$AK$2:$AK$167,economics!$AJ$2:$AJ$167,TRUE)-_xlfn.NORM.DIST(K$30,economics!$AK$2:$AK$167,economics!$AJ$2:$AJ$167,TRUE))*economics!$AM$2:$AM$167))/(SUMPRODUCT((economics!$AG$2:$AG$167=$B57)*(economics!$D$2:$D$167="process")*economics!$AH$2:$AH$167*(_xlfn.NORM.DIST(K$3,economics!$AK$2:$AK$167,economics!$AJ$2:$AJ$167,TRUE)-_xlfn.NORM.DIST(K$30,economics!$AK$2:$AK$167,economics!$AJ$2:$AJ$167,TRUE)))),"")</f>
        <v/>
      </c>
      <c r="L57">
        <f t="array" ref="L57">IFERROR((SUMPRODUCT((economics!$AG$2:$AG$167=$B57)*(economics!$D$2:$D$167="process")*economics!$AH$2:$AH$167*(_xlfn.NORM.DIST(L$3,economics!$AK$2:$AK$167,economics!$AJ$2:$AJ$167,TRUE)-_xlfn.NORM.DIST(L$30,economics!$AK$2:$AK$167,economics!$AJ$2:$AJ$167,TRUE))*economics!$AM$2:$AM$167))/(SUMPRODUCT((economics!$AG$2:$AG$167=$B57)*(economics!$D$2:$D$167="process")*economics!$AH$2:$AH$167*(_xlfn.NORM.DIST(L$3,economics!$AK$2:$AK$167,economics!$AJ$2:$AJ$167,TRUE)-_xlfn.NORM.DIST(L$30,economics!$AK$2:$AK$167,economics!$AJ$2:$AJ$167,TRUE)))),"")</f>
        <v/>
      </c>
      <c r="M57">
        <f t="array" ref="M57">IFERROR((SUMPRODUCT((economics!$AG$2:$AG$167=$B57)*(economics!$D$2:$D$167="process")*economics!$AH$2:$AH$167*(_xlfn.NORM.DIST(M$3,economics!$AK$2:$AK$167,economics!$AJ$2:$AJ$167,TRUE)-_xlfn.NORM.DIST(M$30,economics!$AK$2:$AK$167,economics!$AJ$2:$AJ$167,TRUE))*economics!$AM$2:$AM$167))/(SUMPRODUCT((economics!$AG$2:$AG$167=$B57)*(economics!$D$2:$D$167="process")*economics!$AH$2:$AH$167*(_xlfn.NORM.DIST(M$3,economics!$AK$2:$AK$167,economics!$AJ$2:$AJ$167,TRUE)-_xlfn.NORM.DIST(M$30,economics!$AK$2:$AK$167,economics!$AJ$2:$AJ$167,TRUE)))),"")</f>
        <v/>
      </c>
      <c r="N57">
        <f t="array" ref="N57">IFERROR((SUMPRODUCT((economics!$AG$2:$AG$167=$B57)*(economics!$D$2:$D$167="process")*economics!$AH$2:$AH$167*(_xlfn.NORM.DIST(N$3,economics!$AK$2:$AK$167,economics!$AJ$2:$AJ$167,TRUE)-_xlfn.NORM.DIST(N$30,economics!$AK$2:$AK$167,economics!$AJ$2:$AJ$167,TRUE))*economics!$AM$2:$AM$167))/(SUMPRODUCT((economics!$AG$2:$AG$167=$B57)*(economics!$D$2:$D$167="process")*economics!$AH$2:$AH$167*(_xlfn.NORM.DIST(N$3,economics!$AK$2:$AK$167,economics!$AJ$2:$AJ$167,TRUE)-_xlfn.NORM.DIST(N$30,economics!$AK$2:$AK$167,economics!$AJ$2:$AJ$167,TRUE)))),"")</f>
        <v/>
      </c>
      <c r="O57">
        <f t="array" ref="O57">IFERROR((SUMPRODUCT((economics!$AG$2:$AG$167=$B57)*(economics!$D$2:$D$167="process")*economics!$AH$2:$AH$167*(_xlfn.NORM.DIST(O$3,economics!$AK$2:$AK$167,economics!$AJ$2:$AJ$167,TRUE)-_xlfn.NORM.DIST(O$30,economics!$AK$2:$AK$167,economics!$AJ$2:$AJ$167,TRUE))*economics!$AM$2:$AM$167))/(SUMPRODUCT((economics!$AG$2:$AG$167=$B57)*(economics!$D$2:$D$167="process")*economics!$AH$2:$AH$167*(_xlfn.NORM.DIST(O$3,economics!$AK$2:$AK$167,economics!$AJ$2:$AJ$167,TRUE)-_xlfn.NORM.DIST(O$30,economics!$AK$2:$AK$167,economics!$AJ$2:$AJ$167,TRUE)))),"")</f>
        <v/>
      </c>
      <c r="P57">
        <f t="array" ref="P57">IFERROR((SUMPRODUCT((economics!$AG$2:$AG$167=$B57)*(economics!$D$2:$D$167="process")*economics!$AH$2:$AH$167*(_xlfn.NORM.DIST(P$3,economics!$AK$2:$AK$167,economics!$AJ$2:$AJ$167,TRUE)-_xlfn.NORM.DIST(P$30,economics!$AK$2:$AK$167,economics!$AJ$2:$AJ$167,TRUE))*economics!$AM$2:$AM$167))/(SUMPRODUCT((economics!$AG$2:$AG$167=$B57)*(economics!$D$2:$D$167="process")*economics!$AH$2:$AH$167*(_xlfn.NORM.DIST(P$3,economics!$AK$2:$AK$167,economics!$AJ$2:$AJ$167,TRUE)-_xlfn.NORM.DIST(P$30,economics!$AK$2:$AK$167,economics!$AJ$2:$AJ$167,TRUE)))),"")</f>
        <v/>
      </c>
      <c r="Q57">
        <f t="array" ref="Q57">IFERROR((SUMPRODUCT((economics!$AG$2:$AG$167=$B57)*(economics!$D$2:$D$167="process")*economics!$AH$2:$AH$167*(_xlfn.NORM.DIST(Q$3,economics!$AK$2:$AK$167,economics!$AJ$2:$AJ$167,TRUE)-_xlfn.NORM.DIST(Q$30,economics!$AK$2:$AK$167,economics!$AJ$2:$AJ$167,TRUE))*economics!$AM$2:$AM$167))/(SUMPRODUCT((economics!$AG$2:$AG$167=$B57)*(economics!$D$2:$D$167="process")*economics!$AH$2:$AH$167*(_xlfn.NORM.DIST(Q$3,economics!$AK$2:$AK$167,economics!$AJ$2:$AJ$167,TRUE)-_xlfn.NORM.DIST(Q$30,economics!$AK$2:$AK$167,economics!$AJ$2:$AJ$167,TRUE)))),"")</f>
        <v/>
      </c>
      <c r="R57">
        <f t="array" ref="R57">IFERROR((SUMPRODUCT((economics!$AG$2:$AG$167=$B57)*(economics!$D$2:$D$167="process")*economics!$AH$2:$AH$167*(_xlfn.NORM.DIST(R$3,economics!$AK$2:$AK$167,economics!$AJ$2:$AJ$167,TRUE)-_xlfn.NORM.DIST(R$30,economics!$AK$2:$AK$167,economics!$AJ$2:$AJ$167,TRUE))*economics!$AM$2:$AM$167))/(SUMPRODUCT((economics!$AG$2:$AG$167=$B57)*(economics!$D$2:$D$167="process")*economics!$AH$2:$AH$167*(_xlfn.NORM.DIST(R$3,economics!$AK$2:$AK$167,economics!$AJ$2:$AJ$167,TRUE)-_xlfn.NORM.DIST(R$30,economics!$AK$2:$AK$167,economics!$AJ$2:$AJ$167,TRUE)))),"")</f>
        <v/>
      </c>
      <c r="S57">
        <f t="array" ref="S57">IFERROR((SUMPRODUCT((economics!$AG$2:$AG$167=$B57)*(economics!$D$2:$D$167="process")*economics!$AH$2:$AH$167*(_xlfn.NORM.DIST(S$3,economics!$AK$2:$AK$167,economics!$AJ$2:$AJ$167,TRUE)-_xlfn.NORM.DIST(S$30,economics!$AK$2:$AK$167,economics!$AJ$2:$AJ$167,TRUE))*economics!$AM$2:$AM$167))/(SUMPRODUCT((economics!$AG$2:$AG$167=$B57)*(economics!$D$2:$D$167="process")*economics!$AH$2:$AH$167*(_xlfn.NORM.DIST(S$3,economics!$AK$2:$AK$167,economics!$AJ$2:$AJ$167,TRUE)-_xlfn.NORM.DIST(S$30,economics!$AK$2:$AK$167,economics!$AJ$2:$AJ$167,TRUE)))),"")</f>
        <v/>
      </c>
      <c r="T57">
        <f t="array" ref="T57">IFERROR((SUMPRODUCT((economics!$AG$2:$AG$167=$B57)*(economics!$D$2:$D$167="process")*economics!$AH$2:$AH$167*(_xlfn.NORM.DIST(T$3,economics!$AK$2:$AK$167,economics!$AJ$2:$AJ$167,TRUE)-_xlfn.NORM.DIST(T$30,economics!$AK$2:$AK$167,economics!$AJ$2:$AJ$167,TRUE))*economics!$AM$2:$AM$167))/(SUMPRODUCT((economics!$AG$2:$AG$167=$B57)*(economics!$D$2:$D$167="process")*economics!$AH$2:$AH$167*(_xlfn.NORM.DIST(T$3,economics!$AK$2:$AK$167,economics!$AJ$2:$AJ$167,TRUE)-_xlfn.NORM.DIST(T$30,economics!$AK$2:$AK$167,economics!$AJ$2:$AJ$167,TRUE)))),"")</f>
        <v/>
      </c>
      <c r="U57">
        <f t="array" ref="U57">IFERROR((SUMPRODUCT((economics!$AG$2:$AG$167=$B57)*(economics!$D$2:$D$167="process")*economics!$AH$2:$AH$167*(_xlfn.NORM.DIST(U$3,economics!$AK$2:$AK$167,economics!$AJ$2:$AJ$167,TRUE)-_xlfn.NORM.DIST(U$30,economics!$AK$2:$AK$167,economics!$AJ$2:$AJ$167,TRUE))*economics!$AM$2:$AM$167))/(SUMPRODUCT((economics!$AG$2:$AG$167=$B57)*(economics!$D$2:$D$167="process")*economics!$AH$2:$AH$167*(_xlfn.NORM.DIST(U$3,economics!$AK$2:$AK$167,economics!$AJ$2:$AJ$167,TRUE)-_xlfn.NORM.DIST(U$30,economics!$AK$2:$AK$167,economics!$AJ$2:$AJ$167,TRUE)))),"")</f>
        <v/>
      </c>
      <c r="V57">
        <f t="array" ref="V57">IFERROR((SUMPRODUCT((economics!$AG$2:$AG$167=$B57)*(economics!$D$2:$D$167="process")*economics!$AH$2:$AH$167*(_xlfn.NORM.DIST(V$3,economics!$AK$2:$AK$167,economics!$AJ$2:$AJ$167,TRUE)-_xlfn.NORM.DIST(V$30,economics!$AK$2:$AK$167,economics!$AJ$2:$AJ$167,TRUE))*economics!$AM$2:$AM$167))/(SUMPRODUCT((economics!$AG$2:$AG$167=$B57)*(economics!$D$2:$D$167="process")*economics!$AH$2:$AH$167*(_xlfn.NORM.DIST(V$3,economics!$AK$2:$AK$167,economics!$AJ$2:$AJ$167,TRUE)-_xlfn.NORM.DIST(V$30,economics!$AK$2:$AK$167,economics!$AJ$2:$AJ$167,TRUE)))),"")</f>
        <v/>
      </c>
      <c r="W57">
        <f t="array" ref="W57">IFERROR((SUMPRODUCT((economics!$AG$2:$AG$167=$B57)*(economics!$D$2:$D$167="process")*economics!$AH$2:$AH$167*(_xlfn.NORM.DIST(W$3,economics!$AK$2:$AK$167,economics!$AJ$2:$AJ$167,TRUE)-_xlfn.NORM.DIST(W$30,economics!$AK$2:$AK$167,economics!$AJ$2:$AJ$167,TRUE))*economics!$AM$2:$AM$167))/(SUMPRODUCT((economics!$AG$2:$AG$167=$B57)*(economics!$D$2:$D$167="process")*economics!$AH$2:$AH$167*(_xlfn.NORM.DIST(W$3,economics!$AK$2:$AK$167,economics!$AJ$2:$AJ$167,TRUE)-_xlfn.NORM.DIST(W$30,economics!$AK$2:$AK$167,economics!$AJ$2:$AJ$167,TRUE)))),"")</f>
        <v/>
      </c>
      <c r="X57">
        <f t="array" ref="X57">IFERROR((SUMPRODUCT((economics!$AG$2:$AG$167=$B57)*(economics!$D$2:$D$167="process")*economics!$AH$2:$AH$167*(_xlfn.NORM.DIST(X$3,economics!$AK$2:$AK$167,economics!$AJ$2:$AJ$167,TRUE)-_xlfn.NORM.DIST(X$30,economics!$AK$2:$AK$167,economics!$AJ$2:$AJ$167,TRUE))*economics!$AM$2:$AM$167))/(SUMPRODUCT((economics!$AG$2:$AG$167=$B57)*(economics!$D$2:$D$167="process")*economics!$AH$2:$AH$167*(_xlfn.NORM.DIST(X$3,economics!$AK$2:$AK$167,economics!$AJ$2:$AJ$167,TRUE)-_xlfn.NORM.DIST(X$30,economics!$AK$2:$AK$167,economics!$AJ$2:$AJ$167,TRUE)))),"")</f>
        <v/>
      </c>
      <c r="Y57">
        <f t="array" ref="Y57">IFERROR((SUMPRODUCT((economics!$AG$2:$AG$167=$B57)*(economics!$D$2:$D$167="process")*economics!$AH$2:$AH$167*(_xlfn.NORM.DIST(Y$3,economics!$AK$2:$AK$167,economics!$AJ$2:$AJ$167,TRUE)-_xlfn.NORM.DIST(Y$30,economics!$AK$2:$AK$167,economics!$AJ$2:$AJ$167,TRUE))*economics!$AM$2:$AM$167))/(SUMPRODUCT((economics!$AG$2:$AG$167=$B57)*(economics!$D$2:$D$167="process")*economics!$AH$2:$AH$167*(_xlfn.NORM.DIST(Y$3,economics!$AK$2:$AK$167,economics!$AJ$2:$AJ$167,TRUE)-_xlfn.NORM.DIST(Y$30,economics!$AK$2:$AK$167,economics!$AJ$2:$AJ$167,TRUE)))),"")</f>
        <v/>
      </c>
      <c r="Z57">
        <f t="array" ref="Z57">IFERROR((SUMPRODUCT((economics!$AG$2:$AG$167=$B57)*(economics!$D$2:$D$167="process")*economics!$AH$2:$AH$167*(_xlfn.NORM.DIST(Z$3,economics!$AK$2:$AK$167,economics!$AJ$2:$AJ$167,TRUE)-_xlfn.NORM.DIST(Z$30,economics!$AK$2:$AK$167,economics!$AJ$2:$AJ$167,TRUE))*economics!$AM$2:$AM$167))/(SUMPRODUCT((economics!$AG$2:$AG$167=$B57)*(economics!$D$2:$D$167="process")*economics!$AH$2:$AH$167*(_xlfn.NORM.DIST(Z$3,economics!$AK$2:$AK$167,economics!$AJ$2:$AJ$167,TRUE)-_xlfn.NORM.DIST(Z$30,economics!$AK$2:$AK$167,economics!$AJ$2:$AJ$167,TRUE)))),"")</f>
        <v/>
      </c>
      <c r="AA57">
        <f t="array" ref="AA57">IFERROR((SUMPRODUCT((economics!$AG$2:$AG$167=$B57)*(economics!$D$2:$D$167="process")*economics!$AH$2:$AH$167*(_xlfn.NORM.DIST(AA$3,economics!$AK$2:$AK$167,economics!$AJ$2:$AJ$167,TRUE)-_xlfn.NORM.DIST(AA$30,economics!$AK$2:$AK$167,economics!$AJ$2:$AJ$167,TRUE))*economics!$AM$2:$AM$167))/(SUMPRODUCT((economics!$AG$2:$AG$167=$B57)*(economics!$D$2:$D$167="process")*economics!$AH$2:$AH$167*(_xlfn.NORM.DIST(AA$3,economics!$AK$2:$AK$167,economics!$AJ$2:$AJ$167,TRUE)-_xlfn.NORM.DIST(AA$30,economics!$AK$2:$AK$167,economics!$AJ$2:$AJ$167,TRUE)))),"")</f>
        <v/>
      </c>
      <c r="AB57">
        <f t="array" ref="AB57">IFERROR((SUMPRODUCT((economics!$AG$2:$AG$167=$B57)*(economics!$D$2:$D$167="process")*economics!$AH$2:$AH$167*(_xlfn.NORM.DIST(AB$3,economics!$AK$2:$AK$167,economics!$AJ$2:$AJ$167,TRUE)-_xlfn.NORM.DIST(AB$30,economics!$AK$2:$AK$167,economics!$AJ$2:$AJ$167,TRUE))*economics!$AM$2:$AM$167))/(SUMPRODUCT((economics!$AG$2:$AG$167=$B57)*(economics!$D$2:$D$167="process")*economics!$AH$2:$AH$167*(_xlfn.NORM.DIST(AB$3,economics!$AK$2:$AK$167,economics!$AJ$2:$AJ$167,TRUE)-_xlfn.NORM.DIST(AB$30,economics!$AK$2:$AK$167,economics!$AJ$2:$AJ$167,TRUE)))),"")</f>
        <v/>
      </c>
      <c r="AC57">
        <f t="array" ref="AC57">IFERROR((SUMPRODUCT((economics!$AG$2:$AG$167=$B57)*(economics!$D$2:$D$167="process")*economics!$AH$2:$AH$167*(_xlfn.NORM.DIST(AC$3,economics!$AK$2:$AK$167,economics!$AJ$2:$AJ$167,TRUE)-_xlfn.NORM.DIST(AC$30,economics!$AK$2:$AK$167,economics!$AJ$2:$AJ$167,TRUE))*economics!$AM$2:$AM$167))/(SUMPRODUCT((economics!$AG$2:$AG$167=$B57)*(economics!$D$2:$D$167="process")*economics!$AH$2:$AH$167*(_xlfn.NORM.DIST(AC$3,economics!$AK$2:$AK$167,economics!$AJ$2:$AJ$167,TRUE)-_xlfn.NORM.DIST(AC$30,economics!$AK$2:$AK$167,economics!$AJ$2:$AJ$167,TRUE)))),"")</f>
        <v/>
      </c>
      <c r="AD57">
        <f t="array" ref="AD57">IFERROR((SUMPRODUCT((economics!$AG$2:$AG$167=$B57)*(economics!$D$2:$D$167="process")*economics!$AH$2:$AH$167*(_xlfn.NORM.DIST(AD$3,economics!$AK$2:$AK$167,economics!$AJ$2:$AJ$167,TRUE)-_xlfn.NORM.DIST(AD$30,economics!$AK$2:$AK$167,economics!$AJ$2:$AJ$167,TRUE))*economics!$AM$2:$AM$167))/(SUMPRODUCT((economics!$AG$2:$AG$167=$B57)*(economics!$D$2:$D$167="process")*economics!$AH$2:$AH$167*(_xlfn.NORM.DIST(AD$3,economics!$AK$2:$AK$167,economics!$AJ$2:$AJ$167,TRUE)-_xlfn.NORM.DIST(AD$30,economics!$AK$2:$AK$167,economics!$AJ$2:$AJ$167,TRUE)))),"")</f>
        <v/>
      </c>
      <c r="AE57">
        <f t="array" ref="AE57">IFERROR((SUMPRODUCT((economics!$AG$2:$AG$167=$B57)*(economics!$D$2:$D$167="process")*economics!$AH$2:$AH$167*(_xlfn.NORM.DIST(AE$3,economics!$AK$2:$AK$167,economics!$AJ$2:$AJ$167,TRUE)-_xlfn.NORM.DIST(AE$30,economics!$AK$2:$AK$167,economics!$AJ$2:$AJ$167,TRUE))*economics!$AM$2:$AM$167))/(SUMPRODUCT((economics!$AG$2:$AG$167=$B57)*(economics!$D$2:$D$167="process")*economics!$AH$2:$AH$167*(_xlfn.NORM.DIST(AE$3,economics!$AK$2:$AK$167,economics!$AJ$2:$AJ$167,TRUE)-_xlfn.NORM.DIST(AE$30,economics!$AK$2:$AK$167,economics!$AJ$2:$AJ$167,TRUE)))),"")</f>
        <v/>
      </c>
      <c r="AF57">
        <f t="array" ref="AF57">IFERROR((SUMPRODUCT((economics!$AG$2:$AG$167=$B57)*(economics!$D$2:$D$167="process")*economics!$AH$2:$AH$167*(_xlfn.NORM.DIST(AF$3,economics!$AK$2:$AK$167,economics!$AJ$2:$AJ$167,TRUE)-_xlfn.NORM.DIST(AF$30,economics!$AK$2:$AK$167,economics!$AJ$2:$AJ$167,TRUE))*economics!$AM$2:$AM$167))/(SUMPRODUCT((economics!$AG$2:$AG$167=$B57)*(economics!$D$2:$D$167="process")*economics!$AH$2:$AH$167*(_xlfn.NORM.DIST(AF$3,economics!$AK$2:$AK$167,economics!$AJ$2:$AJ$167,TRUE)-_xlfn.NORM.DIST(AF$30,economics!$AK$2:$AK$167,economics!$AJ$2:$AJ$167,TRUE)))),"")</f>
        <v/>
      </c>
      <c r="AG57">
        <f t="array" ref="AG57">IFERROR((SUMPRODUCT((economics!$AG$2:$AG$167=$B57)*(economics!$D$2:$D$167="process")*economics!$AH$2:$AH$167*(_xlfn.NORM.DIST(AG$3,economics!$AK$2:$AK$167,economics!$AJ$2:$AJ$167,TRUE)-_xlfn.NORM.DIST(AG$30,economics!$AK$2:$AK$167,economics!$AJ$2:$AJ$167,TRUE))*economics!$AM$2:$AM$167))/(SUMPRODUCT((economics!$AG$2:$AG$167=$B57)*(economics!$D$2:$D$167="process")*economics!$AH$2:$AH$167*(_xlfn.NORM.DIST(AG$3,economics!$AK$2:$AK$167,economics!$AJ$2:$AJ$167,TRUE)-_xlfn.NORM.DIST(AG$30,economics!$AK$2:$AK$167,economics!$AJ$2:$AJ$167,TRUE)))),"")</f>
        <v/>
      </c>
      <c r="AH57">
        <f t="array" ref="AH57">IFERROR((SUMPRODUCT((economics!$AG$2:$AG$167=$B57)*(economics!$D$2:$D$167="process")*economics!$AH$2:$AH$167*(_xlfn.NORM.DIST(AH$3,economics!$AK$2:$AK$167,economics!$AJ$2:$AJ$167,TRUE)-_xlfn.NORM.DIST(AH$30,economics!$AK$2:$AK$167,economics!$AJ$2:$AJ$167,TRUE))*economics!$AM$2:$AM$167))/(SUMPRODUCT((economics!$AG$2:$AG$167=$B57)*(economics!$D$2:$D$167="process")*economics!$AH$2:$AH$167*(_xlfn.NORM.DIST(AH$3,economics!$AK$2:$AK$167,economics!$AJ$2:$AJ$167,TRUE)-_xlfn.NORM.DIST(AH$30,economics!$AK$2:$AK$167,economics!$AJ$2:$AJ$167,TRUE)))),"")</f>
        <v/>
      </c>
      <c r="AI57">
        <f t="array" ref="AI57">IFERROR((SUMPRODUCT((economics!$AG$2:$AG$167=$B57)*(economics!$D$2:$D$167="process")*economics!$AH$2:$AH$167*(_xlfn.NORM.DIST(AI$3,economics!$AK$2:$AK$167,economics!$AJ$2:$AJ$167,TRUE)-_xlfn.NORM.DIST(AI$30,economics!$AK$2:$AK$167,economics!$AJ$2:$AJ$167,TRUE))*economics!$AM$2:$AM$167))/(SUMPRODUCT((economics!$AG$2:$AG$167=$B57)*(economics!$D$2:$D$167="process")*economics!$AH$2:$AH$167*(_xlfn.NORM.DIST(AI$3,economics!$AK$2:$AK$167,economics!$AJ$2:$AJ$167,TRUE)-_xlfn.NORM.DIST(AI$30,economics!$AK$2:$AK$167,economics!$AJ$2:$AJ$167,TRUE)))),"")</f>
        <v/>
      </c>
      <c r="AJ57">
        <f t="array" ref="AJ57">IFERROR((SUMPRODUCT((economics!$AG$2:$AG$167=$B57)*(economics!$D$2:$D$167="process")*economics!$AH$2:$AH$167*(_xlfn.NORM.DIST(AJ$3,economics!$AK$2:$AK$167,economics!$AJ$2:$AJ$167,TRUE)-_xlfn.NORM.DIST(AJ$30,economics!$AK$2:$AK$167,economics!$AJ$2:$AJ$167,TRUE))*economics!$AM$2:$AM$167))/(SUMPRODUCT((economics!$AG$2:$AG$167=$B57)*(economics!$D$2:$D$167="process")*economics!$AH$2:$AH$167*(_xlfn.NORM.DIST(AJ$3,economics!$AK$2:$AK$167,economics!$AJ$2:$AJ$167,TRUE)-_xlfn.NORM.DIST(AJ$30,economics!$AK$2:$AK$167,economics!$AJ$2:$AJ$167,TRUE)))),"")</f>
        <v/>
      </c>
      <c r="AK57">
        <f t="array" ref="AK57">IFERROR((SUMPRODUCT((economics!$AG$2:$AG$167=$B57)*(economics!$D$2:$D$167="process")*economics!$AH$2:$AH$167*(_xlfn.NORM.DIST(AK$3,economics!$AK$2:$AK$167,economics!$AJ$2:$AJ$167,TRUE)-_xlfn.NORM.DIST(AK$30,economics!$AK$2:$AK$167,economics!$AJ$2:$AJ$167,TRUE))*economics!$AM$2:$AM$167))/(SUMPRODUCT((economics!$AG$2:$AG$167=$B57)*(economics!$D$2:$D$167="process")*economics!$AH$2:$AH$167*(_xlfn.NORM.DIST(AK$3,economics!$AK$2:$AK$167,economics!$AJ$2:$AJ$167,TRUE)-_xlfn.NORM.DIST(AK$30,economics!$AK$2:$AK$167,economics!$AJ$2:$AJ$167,TRUE)))),"")</f>
        <v/>
      </c>
      <c r="AL57">
        <f t="array" ref="AL57">IFERROR((SUMPRODUCT((economics!$AG$2:$AG$167=$B57)*(economics!$D$2:$D$167="process")*economics!$AH$2:$AH$167*(_xlfn.NORM.DIST(AL$3,economics!$AK$2:$AK$167,economics!$AJ$2:$AJ$167,TRUE)-_xlfn.NORM.DIST(AL$30,economics!$AK$2:$AK$167,economics!$AJ$2:$AJ$167,TRUE))*economics!$AM$2:$AM$167))/(SUMPRODUCT((economics!$AG$2:$AG$167=$B57)*(economics!$D$2:$D$167="process")*economics!$AH$2:$AH$167*(_xlfn.NORM.DIST(AL$3,economics!$AK$2:$AK$167,economics!$AJ$2:$AJ$167,TRUE)-_xlfn.NORM.DIST(AL$30,economics!$AK$2:$AK$167,economics!$AJ$2:$AJ$167,TRUE)))),"")</f>
        <v/>
      </c>
      <c r="AM57">
        <f t="array" ref="AM57">IFERROR((SUMPRODUCT((economics!$AG$2:$AG$167=$B57)*(economics!$D$2:$D$167="process")*economics!$AH$2:$AH$167*(_xlfn.NORM.DIST(AM$3,economics!$AK$2:$AK$167,economics!$AJ$2:$AJ$167,TRUE)-_xlfn.NORM.DIST(AM$30,economics!$AK$2:$AK$167,economics!$AJ$2:$AJ$167,TRUE))*economics!$AM$2:$AM$167))/(SUMPRODUCT((economics!$AG$2:$AG$167=$B57)*(economics!$D$2:$D$167="process")*economics!$AH$2:$AH$167*(_xlfn.NORM.DIST(AM$3,economics!$AK$2:$AK$167,economics!$AJ$2:$AJ$167,TRUE)-_xlfn.NORM.DIST(AM$30,economics!$AK$2:$AK$167,economics!$AJ$2:$AJ$167,TRUE)))),"")</f>
        <v/>
      </c>
      <c r="AN57">
        <f t="array" ref="AN57">IFERROR((SUMPRODUCT((economics!$AG$2:$AG$167=$B57)*(economics!$D$2:$D$167="process")*economics!$AH$2:$AH$167*(_xlfn.NORM.DIST(AN$3,economics!$AK$2:$AK$167,economics!$AJ$2:$AJ$167,TRUE)-_xlfn.NORM.DIST(AN$30,economics!$AK$2:$AK$167,economics!$AJ$2:$AJ$167,TRUE))*economics!$AM$2:$AM$167))/(SUMPRODUCT((economics!$AG$2:$AG$167=$B57)*(economics!$D$2:$D$167="process")*economics!$AH$2:$AH$167*(_xlfn.NORM.DIST(AN$3,economics!$AK$2:$AK$167,economics!$AJ$2:$AJ$167,TRUE)-_xlfn.NORM.DIST(AN$30,economics!$AK$2:$AK$167,economics!$AJ$2:$AJ$167,TRUE)))),"")</f>
        <v/>
      </c>
      <c r="AO57">
        <f t="array" ref="AO57">IFERROR((SUMPRODUCT((economics!$AG$2:$AG$167=$B57)*(economics!$D$2:$D$167="process")*economics!$AH$2:$AH$167*(_xlfn.NORM.DIST(AO$3,economics!$AK$2:$AK$167,economics!$AJ$2:$AJ$167,TRUE)-_xlfn.NORM.DIST(AO$30,economics!$AK$2:$AK$167,economics!$AJ$2:$AJ$167,TRUE))*economics!$AM$2:$AM$167))/(SUMPRODUCT((economics!$AG$2:$AG$167=$B57)*(economics!$D$2:$D$167="process")*economics!$AH$2:$AH$167*(_xlfn.NORM.DIST(AO$3,economics!$AK$2:$AK$167,economics!$AJ$2:$AJ$167,TRUE)-_xlfn.NORM.DIST(AO$30,economics!$AK$2:$AK$167,economics!$AJ$2:$AJ$167,TRUE)))),"")</f>
        <v/>
      </c>
      <c r="AP57">
        <f t="array" ref="AP57">IFERROR((SUMPRODUCT((economics!$AG$2:$AG$167=$B57)*(economics!$D$2:$D$167="process")*economics!$AH$2:$AH$167*(_xlfn.NORM.DIST(AP$3,economics!$AK$2:$AK$167,economics!$AJ$2:$AJ$167,TRUE)-_xlfn.NORM.DIST(AP$30,economics!$AK$2:$AK$167,economics!$AJ$2:$AJ$167,TRUE))*economics!$AM$2:$AM$167))/(SUMPRODUCT((economics!$AG$2:$AG$167=$B57)*(economics!$D$2:$D$167="process")*economics!$AH$2:$AH$167*(_xlfn.NORM.DIST(AP$3,economics!$AK$2:$AK$167,economics!$AJ$2:$AJ$167,TRUE)-_xlfn.NORM.DIST(AP$30,economics!$AK$2:$AK$167,economics!$AJ$2:$AJ$167,TRUE)))),"")</f>
        <v/>
      </c>
      <c r="AQ57">
        <f t="array" ref="AQ57">IFERROR((SUMPRODUCT((economics!$AG$2:$AG$167=$B57)*(economics!$D$2:$D$167="process")*economics!$AH$2:$AH$167*(_xlfn.NORM.DIST(AQ$3,economics!$AK$2:$AK$167,economics!$AJ$2:$AJ$167,TRUE)-_xlfn.NORM.DIST(AQ$30,economics!$AK$2:$AK$167,economics!$AJ$2:$AJ$167,TRUE))*economics!$AM$2:$AM$167))/(SUMPRODUCT((economics!$AG$2:$AG$167=$B57)*(economics!$D$2:$D$167="process")*economics!$AH$2:$AH$167*(_xlfn.NORM.DIST(AQ$3,economics!$AK$2:$AK$167,economics!$AJ$2:$AJ$167,TRUE)-_xlfn.NORM.DIST(AQ$30,economics!$AK$2:$AK$167,economics!$AJ$2:$AJ$167,TRUE)))),"")</f>
        <v/>
      </c>
      <c r="AR57">
        <f t="array" ref="AR57">IFERROR((SUMPRODUCT((economics!$AG$2:$AG$167=$B57)*(economics!$D$2:$D$167="process")*economics!$AH$2:$AH$167*(_xlfn.NORM.DIST(AR$3,economics!$AK$2:$AK$167,economics!$AJ$2:$AJ$167,TRUE)-_xlfn.NORM.DIST(AR$30,economics!$AK$2:$AK$167,economics!$AJ$2:$AJ$167,TRUE))*economics!$AM$2:$AM$167))/(SUMPRODUCT((economics!$AG$2:$AG$167=$B57)*(economics!$D$2:$D$167="process")*economics!$AH$2:$AH$167*(_xlfn.NORM.DIST(AR$3,economics!$AK$2:$AK$167,economics!$AJ$2:$AJ$167,TRUE)-_xlfn.NORM.DIST(AR$30,economics!$AK$2:$AK$167,economics!$AJ$2:$AJ$167,TRUE)))),"")</f>
        <v/>
      </c>
      <c r="AS57">
        <f t="array" ref="AS57">IFERROR((SUMPRODUCT((economics!$AG$2:$AG$167=$B57)*(economics!$D$2:$D$167="process")*economics!$AH$2:$AH$167*(_xlfn.NORM.DIST(AS$3,economics!$AK$2:$AK$167,economics!$AJ$2:$AJ$167,TRUE)-_xlfn.NORM.DIST(AS$30,economics!$AK$2:$AK$167,economics!$AJ$2:$AJ$167,TRUE))*economics!$AM$2:$AM$167))/(SUMPRODUCT((economics!$AG$2:$AG$167=$B57)*(economics!$D$2:$D$167="process")*economics!$AH$2:$AH$167*(_xlfn.NORM.DIST(AS$3,economics!$AK$2:$AK$167,economics!$AJ$2:$AJ$167,TRUE)-_xlfn.NORM.DIST(AS$30,economics!$AK$2:$AK$167,economics!$AJ$2:$AJ$167,TRUE)))),"")</f>
        <v/>
      </c>
      <c r="AT57">
        <f t="array" ref="AT57">IFERROR((SUMPRODUCT((economics!$AG$2:$AG$167=$B57)*(economics!$D$2:$D$167="process")*economics!$AH$2:$AH$167*(_xlfn.NORM.DIST(AT$3,economics!$AK$2:$AK$167,economics!$AJ$2:$AJ$167,TRUE)-_xlfn.NORM.DIST(AT$30,economics!$AK$2:$AK$167,economics!$AJ$2:$AJ$167,TRUE))*economics!$AM$2:$AM$167))/(SUMPRODUCT((economics!$AG$2:$AG$167=$B57)*(economics!$D$2:$D$167="process")*economics!$AH$2:$AH$167*(_xlfn.NORM.DIST(AT$3,economics!$AK$2:$AK$167,economics!$AJ$2:$AJ$167,TRUE)-_xlfn.NORM.DIST(AT$30,economics!$AK$2:$AK$167,economics!$AJ$2:$AJ$167,TRUE)))),"")</f>
        <v/>
      </c>
      <c r="AU57">
        <f t="array" ref="AU57">IFERROR((SUMPRODUCT((economics!$AG$2:$AG$167=$B57)*(economics!$D$2:$D$167="process")*economics!$AH$2:$AH$167*(_xlfn.NORM.DIST(AU$3,economics!$AK$2:$AK$167,economics!$AJ$2:$AJ$167,TRUE)-_xlfn.NORM.DIST(AU$30,economics!$AK$2:$AK$167,economics!$AJ$2:$AJ$167,TRUE))*economics!$AM$2:$AM$167))/(SUMPRODUCT((economics!$AG$2:$AG$167=$B57)*(economics!$D$2:$D$167="process")*economics!$AH$2:$AH$167*(_xlfn.NORM.DIST(AU$3,economics!$AK$2:$AK$167,economics!$AJ$2:$AJ$167,TRUE)-_xlfn.NORM.DIST(AU$30,economics!$AK$2:$AK$167,economics!$AJ$2:$AJ$167,TRUE)))),"")</f>
        <v/>
      </c>
      <c r="AV57">
        <f t="array" ref="AV57">IFERROR((SUMPRODUCT((economics!$AG$2:$AG$167=$B57)*(economics!$D$2:$D$167="process")*economics!$AH$2:$AH$167*(_xlfn.NORM.DIST(AV$3,economics!$AK$2:$AK$167,economics!$AJ$2:$AJ$167,TRUE)-_xlfn.NORM.DIST(AV$30,economics!$AK$2:$AK$167,economics!$AJ$2:$AJ$167,TRUE))*economics!$AM$2:$AM$167))/(SUMPRODUCT((economics!$AG$2:$AG$167=$B57)*(economics!$D$2:$D$167="process")*economics!$AH$2:$AH$167*(_xlfn.NORM.DIST(AV$3,economics!$AK$2:$AK$167,economics!$AJ$2:$AJ$167,TRUE)-_xlfn.NORM.DIST(AV$30,economics!$AK$2:$AK$167,economics!$AJ$2:$AJ$167,TRUE)))),"")</f>
        <v/>
      </c>
      <c r="AW57">
        <f t="array" ref="AW57">IFERROR((SUMPRODUCT((economics!$AG$2:$AG$167=$B57)*(economics!$D$2:$D$167="process")*economics!$AH$2:$AH$167*(_xlfn.NORM.DIST(AW$3,economics!$AK$2:$AK$167,economics!$AJ$2:$AJ$167,TRUE)-_xlfn.NORM.DIST(AW$30,economics!$AK$2:$AK$167,economics!$AJ$2:$AJ$167,TRUE))*economics!$AM$2:$AM$167))/(SUMPRODUCT((economics!$AG$2:$AG$167=$B57)*(economics!$D$2:$D$167="process")*economics!$AH$2:$AH$167*(_xlfn.NORM.DIST(AW$3,economics!$AK$2:$AK$167,economics!$AJ$2:$AJ$167,TRUE)-_xlfn.NORM.DIST(AW$30,economics!$AK$2:$AK$167,economics!$AJ$2:$AJ$167,TRUE)))),"")</f>
        <v/>
      </c>
      <c r="AX57">
        <f t="array" ref="AX57">IFERROR((SUMPRODUCT((economics!$AG$2:$AG$167=$B57)*(economics!$D$2:$D$167="process")*economics!$AH$2:$AH$167*(_xlfn.NORM.DIST(AX$3,economics!$AK$2:$AK$167,economics!$AJ$2:$AJ$167,TRUE)-_xlfn.NORM.DIST(AX$30,economics!$AK$2:$AK$167,economics!$AJ$2:$AJ$167,TRUE))*economics!$AM$2:$AM$167))/(SUMPRODUCT((economics!$AG$2:$AG$167=$B57)*(economics!$D$2:$D$167="process")*economics!$AH$2:$AH$167*(_xlfn.NORM.DIST(AX$3,economics!$AK$2:$AK$167,economics!$AJ$2:$AJ$167,TRUE)-_xlfn.NORM.DIST(AX$30,economics!$AK$2:$AK$167,economics!$AJ$2:$AJ$167,TRUE)))),"")</f>
        <v/>
      </c>
      <c r="AY57">
        <f t="array" ref="AY57">IFERROR((SUMPRODUCT((economics!$AG$2:$AG$167=$B57)*(economics!$D$2:$D$167="process")*economics!$AH$2:$AH$167*(_xlfn.NORM.DIST(AY$3,economics!$AK$2:$AK$167,economics!$AJ$2:$AJ$167,TRUE)-_xlfn.NORM.DIST(AY$30,economics!$AK$2:$AK$167,economics!$AJ$2:$AJ$167,TRUE))*economics!$AM$2:$AM$167))/(SUMPRODUCT((economics!$AG$2:$AG$167=$B57)*(economics!$D$2:$D$167="process")*economics!$AH$2:$AH$167*(_xlfn.NORM.DIST(AY$3,economics!$AK$2:$AK$167,economics!$AJ$2:$AJ$167,TRUE)-_xlfn.NORM.DIST(AY$30,economics!$AK$2:$AK$167,economics!$AJ$2:$AJ$167,TRUE)))),"")</f>
        <v/>
      </c>
      <c r="AZ57">
        <f t="array" ref="AZ57">IFERROR((SUMPRODUCT((economics!$AG$2:$AG$167=$B57)*(economics!$D$2:$D$167="process")*economics!$AH$2:$AH$167*(_xlfn.NORM.DIST(AZ$3,economics!$AK$2:$AK$167,economics!$AJ$2:$AJ$167,TRUE)-_xlfn.NORM.DIST(AZ$30,economics!$AK$2:$AK$167,economics!$AJ$2:$AJ$167,TRUE))*economics!$AM$2:$AM$167))/(SUMPRODUCT((economics!$AG$2:$AG$167=$B57)*(economics!$D$2:$D$167="process")*economics!$AH$2:$AH$167*(_xlfn.NORM.DIST(AZ$3,economics!$AK$2:$AK$167,economics!$AJ$2:$AJ$167,TRUE)-_xlfn.NORM.DIST(AZ$30,economics!$AK$2:$AK$167,economics!$AJ$2:$AJ$167,TRUE)))),"")</f>
        <v/>
      </c>
      <c r="BA57">
        <f t="array" ref="BA57">IFERROR((SUMPRODUCT((economics!$AG$2:$AG$167=$B57)*(economics!$D$2:$D$167="process")*economics!$AH$2:$AH$167*(_xlfn.NORM.DIST(BA$3,economics!$AK$2:$AK$167,economics!$AJ$2:$AJ$167,TRUE)-_xlfn.NORM.DIST(BA$30,economics!$AK$2:$AK$167,economics!$AJ$2:$AJ$167,TRUE))*economics!$AM$2:$AM$167))/(SUMPRODUCT((economics!$AG$2:$AG$167=$B57)*(economics!$D$2:$D$167="process")*economics!$AH$2:$AH$167*(_xlfn.NORM.DIST(BA$3,economics!$AK$2:$AK$167,economics!$AJ$2:$AJ$167,TRUE)-_xlfn.NORM.DIST(BA$30,economics!$AK$2:$AK$167,economics!$AJ$2:$AJ$167,TRUE)))),"")</f>
        <v/>
      </c>
      <c r="BB57">
        <f t="array" ref="BB57">IFERROR((SUMPRODUCT((economics!$AG$2:$AG$167=$B57)*(economics!$D$2:$D$167="process")*economics!$AH$2:$AH$167*(_xlfn.NORM.DIST(BB$3,economics!$AK$2:$AK$167,economics!$AJ$2:$AJ$167,TRUE)-_xlfn.NORM.DIST(BB$30,economics!$AK$2:$AK$167,economics!$AJ$2:$AJ$167,TRUE))*economics!$AM$2:$AM$167))/(SUMPRODUCT((economics!$AG$2:$AG$167=$B57)*(economics!$D$2:$D$167="process")*economics!$AH$2:$AH$167*(_xlfn.NORM.DIST(BB$3,economics!$AK$2:$AK$167,economics!$AJ$2:$AJ$167,TRUE)-_xlfn.NORM.DIST(BB$30,economics!$AK$2:$AK$167,economics!$AJ$2:$AJ$167,TRUE)))),"")</f>
        <v/>
      </c>
      <c r="BC57">
        <f t="array" ref="BC57">IFERROR((SUMPRODUCT((economics!$AG$2:$AG$167=$B57)*(economics!$D$2:$D$167="process")*economics!$AH$2:$AH$167*(_xlfn.NORM.DIST(BC$3,economics!$AK$2:$AK$167,economics!$AJ$2:$AJ$167,TRUE)-_xlfn.NORM.DIST(BC$30,economics!$AK$2:$AK$167,economics!$AJ$2:$AJ$167,TRUE))*economics!$AM$2:$AM$167))/(SUMPRODUCT((economics!$AG$2:$AG$167=$B57)*(economics!$D$2:$D$167="process")*economics!$AH$2:$AH$167*(_xlfn.NORM.DIST(BC$3,economics!$AK$2:$AK$167,economics!$AJ$2:$AJ$167,TRUE)-_xlfn.NORM.DIST(BC$30,economics!$AK$2:$AK$167,economics!$AJ$2:$AJ$167,TRUE)))),"")</f>
        <v/>
      </c>
      <c r="BD57">
        <f t="array" ref="BD57">IFERROR((SUMPRODUCT((economics!$AG$2:$AG$167=$B57)*(economics!$D$2:$D$167="process")*economics!$AH$2:$AH$167*(_xlfn.NORM.DIST(BD$3,economics!$AK$2:$AK$167,economics!$AJ$2:$AJ$167,TRUE)-_xlfn.NORM.DIST(BD$30,economics!$AK$2:$AK$167,economics!$AJ$2:$AJ$167,TRUE))*economics!$AM$2:$AM$167))/(SUMPRODUCT((economics!$AG$2:$AG$167=$B57)*(economics!$D$2:$D$167="process")*economics!$AH$2:$AH$167*(_xlfn.NORM.DIST(BD$3,economics!$AK$2:$AK$167,economics!$AJ$2:$AJ$167,TRUE)-_xlfn.NORM.DIST(BD$30,economics!$AK$2:$AK$167,economics!$AJ$2:$AJ$167,TRUE)))),"")</f>
        <v/>
      </c>
      <c r="BE57">
        <f t="array" ref="BE57">IFERROR((SUMPRODUCT((economics!$AG$2:$AG$167=$B57)*(economics!$D$2:$D$167="process")*economics!$AH$2:$AH$167*(_xlfn.NORM.DIST(BE$3,economics!$AK$2:$AK$167,economics!$AJ$2:$AJ$167,TRUE)-_xlfn.NORM.DIST(BE$30,economics!$AK$2:$AK$167,economics!$AJ$2:$AJ$167,TRUE))*economics!$AM$2:$AM$167))/(SUMPRODUCT((economics!$AG$2:$AG$167=$B57)*(economics!$D$2:$D$167="process")*economics!$AH$2:$AH$167*(_xlfn.NORM.DIST(BE$3,economics!$AK$2:$AK$167,economics!$AJ$2:$AJ$167,TRUE)-_xlfn.NORM.DIST(BE$30,economics!$AK$2:$AK$167,economics!$AJ$2:$AJ$167,TRUE)))),"")</f>
        <v/>
      </c>
      <c r="BF57">
        <f t="array" ref="BF57">IFERROR((SUMPRODUCT((economics!$AG$2:$AG$167=$B57)*(economics!$D$2:$D$167="process")*economics!$AH$2:$AH$167*(_xlfn.NORM.DIST(BF$3,economics!$AK$2:$AK$167,economics!$AJ$2:$AJ$167,TRUE)-_xlfn.NORM.DIST(BF$30,economics!$AK$2:$AK$167,economics!$AJ$2:$AJ$167,TRUE))*economics!$AM$2:$AM$167))/(SUMPRODUCT((economics!$AG$2:$AG$167=$B57)*(economics!$D$2:$D$167="process")*economics!$AH$2:$AH$167*(_xlfn.NORM.DIST(BF$3,economics!$AK$2:$AK$167,economics!$AJ$2:$AJ$167,TRUE)-_xlfn.NORM.DIST(BF$30,economics!$AK$2:$AK$167,economics!$AJ$2:$AJ$167,TRUE)))),"")</f>
        <v/>
      </c>
      <c r="BG57">
        <f t="array" ref="BG57">IFERROR((SUMPRODUCT((economics!$AG$2:$AG$167=$B57)*(economics!$D$2:$D$167="process")*economics!$AH$2:$AH$167*(_xlfn.NORM.DIST(BG$3,economics!$AK$2:$AK$167,economics!$AJ$2:$AJ$167,TRUE)-_xlfn.NORM.DIST(BG$30,economics!$AK$2:$AK$167,economics!$AJ$2:$AJ$167,TRUE))*economics!$AM$2:$AM$167))/(SUMPRODUCT((economics!$AG$2:$AG$167=$B57)*(economics!$D$2:$D$167="process")*economics!$AH$2:$AH$167*(_xlfn.NORM.DIST(BG$3,economics!$AK$2:$AK$167,economics!$AJ$2:$AJ$167,TRUE)-_xlfn.NORM.DIST(BG$30,economics!$AK$2:$AK$167,economics!$AJ$2:$AJ$167,TRUE)))),"")</f>
        <v/>
      </c>
      <c r="BH57">
        <f t="array" ref="BH57">IFERROR((SUMPRODUCT((economics!$AG$2:$AG$167=$B57)*(economics!$D$2:$D$167="process")*economics!$AH$2:$AH$167*(_xlfn.NORM.DIST(BH$3,economics!$AK$2:$AK$167,economics!$AJ$2:$AJ$167,TRUE)-_xlfn.NORM.DIST(BH$30,economics!$AK$2:$AK$167,economics!$AJ$2:$AJ$167,TRUE))*economics!$AM$2:$AM$167))/(SUMPRODUCT((economics!$AG$2:$AG$167=$B57)*(economics!$D$2:$D$167="process")*economics!$AH$2:$AH$167*(_xlfn.NORM.DIST(BH$3,economics!$AK$2:$AK$167,economics!$AJ$2:$AJ$167,TRUE)-_xlfn.NORM.DIST(BH$30,economics!$AK$2:$AK$167,economics!$AJ$2:$AJ$167,TRUE)))),"")</f>
        <v/>
      </c>
      <c r="BI57">
        <f t="array" ref="BI57">IFERROR((SUMPRODUCT((economics!$AG$2:$AG$167=$B57)*(economics!$D$2:$D$167="process")*economics!$AH$2:$AH$167*(_xlfn.NORM.DIST(BI$3,economics!$AK$2:$AK$167,economics!$AJ$2:$AJ$167,TRUE)-_xlfn.NORM.DIST(BI$30,economics!$AK$2:$AK$167,economics!$AJ$2:$AJ$167,TRUE))*economics!$AM$2:$AM$167))/(SUMPRODUCT((economics!$AG$2:$AG$167=$B57)*(economics!$D$2:$D$167="process")*economics!$AH$2:$AH$167*(_xlfn.NORM.DIST(BI$3,economics!$AK$2:$AK$167,economics!$AJ$2:$AJ$167,TRUE)-_xlfn.NORM.DIST(BI$30,economics!$AK$2:$AK$167,economics!$AJ$2:$AJ$167,TRUE)))),"")</f>
        <v/>
      </c>
      <c r="BJ57">
        <f t="array" ref="BJ57">IFERROR((SUMPRODUCT((economics!$AG$2:$AG$167=$B57)*(economics!$D$2:$D$167="process")*economics!$AH$2:$AH$167*(_xlfn.NORM.DIST(BJ$3,economics!$AK$2:$AK$167,economics!$AJ$2:$AJ$167,TRUE)-_xlfn.NORM.DIST(BJ$30,economics!$AK$2:$AK$167,economics!$AJ$2:$AJ$167,TRUE))*economics!$AM$2:$AM$167))/(SUMPRODUCT((economics!$AG$2:$AG$167=$B57)*(economics!$D$2:$D$167="process")*economics!$AH$2:$AH$167*(_xlfn.NORM.DIST(BJ$3,economics!$AK$2:$AK$167,economics!$AJ$2:$AJ$167,TRUE)-_xlfn.NORM.DIST(BJ$30,economics!$AK$2:$AK$167,economics!$AJ$2:$AJ$167,TRUE)))),"")</f>
        <v/>
      </c>
      <c r="BK57">
        <f t="array" ref="BK57">IFERROR((SUMPRODUCT((economics!$AG$2:$AG$167=$B57)*(economics!$D$2:$D$167="process")*economics!$AH$2:$AH$167*(_xlfn.NORM.DIST(BK$3,economics!$AK$2:$AK$167,economics!$AJ$2:$AJ$167,TRUE)-_xlfn.NORM.DIST(BK$30,economics!$AK$2:$AK$167,economics!$AJ$2:$AJ$167,TRUE))*economics!$AM$2:$AM$167))/(SUMPRODUCT((economics!$AG$2:$AG$167=$B57)*(economics!$D$2:$D$167="process")*economics!$AH$2:$AH$167*(_xlfn.NORM.DIST(BK$3,economics!$AK$2:$AK$167,economics!$AJ$2:$AJ$167,TRUE)-_xlfn.NORM.DIST(BK$30,economics!$AK$2:$AK$167,economics!$AJ$2:$AJ$167,TRUE)))),"")</f>
        <v/>
      </c>
      <c r="BL57">
        <f t="array" ref="BL57">IFERROR((SUMPRODUCT((economics!$AG$2:$AG$167=$B57)*(economics!$D$2:$D$167="process")*economics!$AH$2:$AH$167*(_xlfn.NORM.DIST(BL$3,economics!$AK$2:$AK$167,economics!$AJ$2:$AJ$167,TRUE)-_xlfn.NORM.DIST(BL$30,economics!$AK$2:$AK$167,economics!$AJ$2:$AJ$167,TRUE))*economics!$AM$2:$AM$167))/(SUMPRODUCT((economics!$AG$2:$AG$167=$B57)*(economics!$D$2:$D$167="process")*economics!$AH$2:$AH$167*(_xlfn.NORM.DIST(BL$3,economics!$AK$2:$AK$167,economics!$AJ$2:$AJ$167,TRUE)-_xlfn.NORM.DIST(BL$30,economics!$AK$2:$AK$167,economics!$AJ$2:$AJ$167,TRUE)))),"")</f>
        <v/>
      </c>
      <c r="BM57">
        <f t="array" ref="BM57">IFERROR((SUMPRODUCT((economics!$AG$2:$AG$167=$B57)*(economics!$D$2:$D$167="process")*economics!$AH$2:$AH$167*(_xlfn.NORM.DIST(BM$3,economics!$AK$2:$AK$167,economics!$AJ$2:$AJ$167,TRUE)-_xlfn.NORM.DIST(BM$30,economics!$AK$2:$AK$167,economics!$AJ$2:$AJ$167,TRUE))*economics!$AM$2:$AM$167))/(SUMPRODUCT((economics!$AG$2:$AG$167=$B57)*(economics!$D$2:$D$167="process")*economics!$AH$2:$AH$167*(_xlfn.NORM.DIST(BM$3,economics!$AK$2:$AK$167,economics!$AJ$2:$AJ$167,TRUE)-_xlfn.NORM.DIST(BM$30,economics!$AK$2:$AK$167,economics!$AJ$2:$AJ$167,TRUE)))),"")</f>
        <v/>
      </c>
      <c r="BN57">
        <f t="array" ref="BN57">IFERROR((SUMPRODUCT((economics!$AG$2:$AG$167=$B57)*(economics!$D$2:$D$167="process")*economics!$AH$2:$AH$167*(_xlfn.NORM.DIST(BN$3,economics!$AK$2:$AK$167,economics!$AJ$2:$AJ$167,TRUE)-_xlfn.NORM.DIST(BN$30,economics!$AK$2:$AK$167,economics!$AJ$2:$AJ$167,TRUE))*economics!$AM$2:$AM$167))/(SUMPRODUCT((economics!$AG$2:$AG$167=$B57)*(economics!$D$2:$D$167="process")*economics!$AH$2:$AH$167*(_xlfn.NORM.DIST(BN$3,economics!$AK$2:$AK$167,economics!$AJ$2:$AJ$167,TRUE)-_xlfn.NORM.DIST(BN$30,economics!$AK$2:$AK$167,economics!$AJ$2:$AJ$167,TRUE)))),"")</f>
        <v/>
      </c>
      <c r="BO57">
        <f t="array" ref="BO57">IFERROR((SUMPRODUCT((economics!$AG$2:$AG$167=$B57)*(economics!$D$2:$D$167="process")*economics!$AH$2:$AH$167*(_xlfn.NORM.DIST(BO$3,economics!$AK$2:$AK$167,economics!$AJ$2:$AJ$167,TRUE)-_xlfn.NORM.DIST(BO$30,economics!$AK$2:$AK$167,economics!$AJ$2:$AJ$167,TRUE))*economics!$AM$2:$AM$167))/(SUMPRODUCT((economics!$AG$2:$AG$167=$B57)*(economics!$D$2:$D$167="process")*economics!$AH$2:$AH$167*(_xlfn.NORM.DIST(BO$3,economics!$AK$2:$AK$167,economics!$AJ$2:$AJ$167,TRUE)-_xlfn.NORM.DIST(BO$30,economics!$AK$2:$AK$167,economics!$AJ$2:$AJ$167,TRUE)))),"")</f>
        <v/>
      </c>
      <c r="BP57">
        <f t="array" ref="BP57">IFERROR((SUMPRODUCT((economics!$AG$2:$AG$167=$B57)*(economics!$D$2:$D$167="process")*economics!$AH$2:$AH$167*(_xlfn.NORM.DIST(BP$3,economics!$AK$2:$AK$167,economics!$AJ$2:$AJ$167,TRUE)-_xlfn.NORM.DIST(BP$30,economics!$AK$2:$AK$167,economics!$AJ$2:$AJ$167,TRUE))*economics!$AM$2:$AM$167))/(SUMPRODUCT((economics!$AG$2:$AG$167=$B57)*(economics!$D$2:$D$167="process")*economics!$AH$2:$AH$167*(_xlfn.NORM.DIST(BP$3,economics!$AK$2:$AK$167,economics!$AJ$2:$AJ$167,TRUE)-_xlfn.NORM.DIST(BP$30,economics!$AK$2:$AK$167,economics!$AJ$2:$AJ$167,TRUE)))),"")</f>
        <v/>
      </c>
      <c r="BQ57">
        <f t="array" ref="BQ57">IFERROR((SUMPRODUCT((economics!$AG$2:$AG$167=$B57)*(economics!$D$2:$D$167="process")*economics!$AH$2:$AH$167*(_xlfn.NORM.DIST(BQ$3,economics!$AK$2:$AK$167,economics!$AJ$2:$AJ$167,TRUE)-_xlfn.NORM.DIST(BQ$30,economics!$AK$2:$AK$167,economics!$AJ$2:$AJ$167,TRUE))*economics!$AM$2:$AM$167))/(SUMPRODUCT((economics!$AG$2:$AG$167=$B57)*(economics!$D$2:$D$167="process")*economics!$AH$2:$AH$167*(_xlfn.NORM.DIST(BQ$3,economics!$AK$2:$AK$167,economics!$AJ$2:$AJ$167,TRUE)-_xlfn.NORM.DIST(BQ$30,economics!$AK$2:$AK$167,economics!$AJ$2:$AJ$167,TRUE)))),"")</f>
        <v/>
      </c>
      <c r="BR57">
        <f t="array" ref="BR57">IFERROR((SUMPRODUCT((economics!$AG$2:$AG$167=$B57)*(economics!$D$2:$D$167="process")*economics!$AH$2:$AH$167*(_xlfn.NORM.DIST(BR$3,economics!$AK$2:$AK$167,economics!$AJ$2:$AJ$167,TRUE)-_xlfn.NORM.DIST(BR$30,economics!$AK$2:$AK$167,economics!$AJ$2:$AJ$167,TRUE))*economics!$AM$2:$AM$167))/(SUMPRODUCT((economics!$AG$2:$AG$167=$B57)*(economics!$D$2:$D$167="process")*economics!$AH$2:$AH$167*(_xlfn.NORM.DIST(BR$3,economics!$AK$2:$AK$167,economics!$AJ$2:$AJ$167,TRUE)-_xlfn.NORM.DIST(BR$30,economics!$AK$2:$AK$167,economics!$AJ$2:$AJ$167,TRUE)))),"")</f>
        <v/>
      </c>
      <c r="BS57">
        <f t="array" ref="BS57">IFERROR((SUMPRODUCT((economics!$AG$2:$AG$167=$B57)*(economics!$D$2:$D$167="process")*economics!$AH$2:$AH$167*(_xlfn.NORM.DIST(BS$3,economics!$AK$2:$AK$167,economics!$AJ$2:$AJ$167,TRUE)-_xlfn.NORM.DIST(BS$30,economics!$AK$2:$AK$167,economics!$AJ$2:$AJ$167,TRUE))*economics!$AM$2:$AM$167))/(SUMPRODUCT((economics!$AG$2:$AG$167=$B57)*(economics!$D$2:$D$167="process")*economics!$AH$2:$AH$167*(_xlfn.NORM.DIST(BS$3,economics!$AK$2:$AK$167,economics!$AJ$2:$AJ$167,TRUE)-_xlfn.NORM.DIST(BS$30,economics!$AK$2:$AK$167,economics!$AJ$2:$AJ$167,TRUE)))),"")</f>
        <v/>
      </c>
      <c r="BT57">
        <f t="array" ref="BT57">IFERROR((SUMPRODUCT((economics!$AG$2:$AG$167=$B57)*(economics!$D$2:$D$167="process")*economics!$AH$2:$AH$167*(_xlfn.NORM.DIST(BT$3,economics!$AK$2:$AK$167,economics!$AJ$2:$AJ$167,TRUE)-_xlfn.NORM.DIST(BT$30,economics!$AK$2:$AK$167,economics!$AJ$2:$AJ$167,TRUE))*economics!$AM$2:$AM$167))/(SUMPRODUCT((economics!$AG$2:$AG$167=$B57)*(economics!$D$2:$D$167="process")*economics!$AH$2:$AH$167*(_xlfn.NORM.DIST(BT$3,economics!$AK$2:$AK$167,economics!$AJ$2:$AJ$167,TRUE)-_xlfn.NORM.DIST(BT$30,economics!$AK$2:$AK$167,economics!$AJ$2:$AJ$167,TRUE)))),"")</f>
        <v/>
      </c>
      <c r="BU57">
        <f t="array" ref="BU57">IFERROR((SUMPRODUCT((economics!$AG$2:$AG$167=$B57)*(economics!$D$2:$D$167="process")*economics!$AH$2:$AH$167*(_xlfn.NORM.DIST(BU$3,economics!$AK$2:$AK$167,economics!$AJ$2:$AJ$167,TRUE)-_xlfn.NORM.DIST(BU$30,economics!$AK$2:$AK$167,economics!$AJ$2:$AJ$167,TRUE))*economics!$AM$2:$AM$167))/(SUMPRODUCT((economics!$AG$2:$AG$167=$B57)*(economics!$D$2:$D$167="process")*economics!$AH$2:$AH$167*(_xlfn.NORM.DIST(BU$3,economics!$AK$2:$AK$167,economics!$AJ$2:$AJ$167,TRUE)-_xlfn.NORM.DIST(BU$30,economics!$AK$2:$AK$167,economics!$AJ$2:$AJ$167,TRUE)))),"")</f>
        <v/>
      </c>
      <c r="BV57">
        <f t="array" ref="BV57">IFERROR((SUMPRODUCT((economics!$AG$2:$AG$167=$B57)*(economics!$D$2:$D$167="process")*economics!$AH$2:$AH$167*(_xlfn.NORM.DIST(BV$3,economics!$AK$2:$AK$167,economics!$AJ$2:$AJ$167,TRUE)-_xlfn.NORM.DIST(BV$30,economics!$AK$2:$AK$167,economics!$AJ$2:$AJ$167,TRUE))*economics!$AM$2:$AM$167))/(SUMPRODUCT((economics!$AG$2:$AG$167=$B57)*(economics!$D$2:$D$167="process")*economics!$AH$2:$AH$167*(_xlfn.NORM.DIST(BV$3,economics!$AK$2:$AK$167,economics!$AJ$2:$AJ$167,TRUE)-_xlfn.NORM.DIST(BV$30,economics!$AK$2:$AK$167,economics!$AJ$2:$AJ$167,TRUE)))),"")</f>
        <v/>
      </c>
      <c r="BW57">
        <f t="array" ref="BW57">IFERROR((SUMPRODUCT((economics!$AG$2:$AG$167=$B57)*(economics!$D$2:$D$167="process")*economics!$AH$2:$AH$167*(_xlfn.NORM.DIST(BW$3,economics!$AK$2:$AK$167,economics!$AJ$2:$AJ$167,TRUE)-_xlfn.NORM.DIST(BW$30,economics!$AK$2:$AK$167,economics!$AJ$2:$AJ$167,TRUE))*economics!$AM$2:$AM$167))/(SUMPRODUCT((economics!$AG$2:$AG$167=$B57)*(economics!$D$2:$D$167="process")*economics!$AH$2:$AH$167*(_xlfn.NORM.DIST(BW$3,economics!$AK$2:$AK$167,economics!$AJ$2:$AJ$167,TRUE)-_xlfn.NORM.DIST(BW$30,economics!$AK$2:$AK$167,economics!$AJ$2:$AJ$167,TRUE)))),"")</f>
        <v/>
      </c>
      <c r="BX57">
        <f t="array" ref="BX57">IFERROR((SUMPRODUCT((economics!$AG$2:$AG$167=$B57)*(economics!$D$2:$D$167="process")*economics!$AH$2:$AH$167*(_xlfn.NORM.DIST(BX$3,economics!$AK$2:$AK$167,economics!$AJ$2:$AJ$167,TRUE)-_xlfn.NORM.DIST(BX$30,economics!$AK$2:$AK$167,economics!$AJ$2:$AJ$167,TRUE))*economics!$AM$2:$AM$167))/(SUMPRODUCT((economics!$AG$2:$AG$167=$B57)*(economics!$D$2:$D$167="process")*economics!$AH$2:$AH$167*(_xlfn.NORM.DIST(BX$3,economics!$AK$2:$AK$167,economics!$AJ$2:$AJ$167,TRUE)-_xlfn.NORM.DIST(BX$30,economics!$AK$2:$AK$167,economics!$AJ$2:$AJ$167,TRUE)))),"")</f>
        <v/>
      </c>
      <c r="BY57">
        <f t="array" ref="BY57">IFERROR((SUMPRODUCT((economics!$AG$2:$AG$167=$B57)*(economics!$D$2:$D$167="process")*economics!$AH$2:$AH$167*(_xlfn.NORM.DIST(BY$3,economics!$AK$2:$AK$167,economics!$AJ$2:$AJ$167,TRUE)-_xlfn.NORM.DIST(BY$30,economics!$AK$2:$AK$167,economics!$AJ$2:$AJ$167,TRUE))*economics!$AM$2:$AM$167))/(SUMPRODUCT((economics!$AG$2:$AG$167=$B57)*(economics!$D$2:$D$167="process")*economics!$AH$2:$AH$167*(_xlfn.NORM.DIST(BY$3,economics!$AK$2:$AK$167,economics!$AJ$2:$AJ$167,TRUE)-_xlfn.NORM.DIST(BY$30,economics!$AK$2:$AK$167,economics!$AJ$2:$AJ$167,TRUE)))),"")</f>
        <v/>
      </c>
      <c r="BZ57">
        <f t="array" ref="BZ57">IFERROR((SUMPRODUCT((economics!$AG$2:$AG$167=$B57)*(economics!$D$2:$D$167="process")*economics!$AH$2:$AH$167*(_xlfn.NORM.DIST(BZ$3,economics!$AK$2:$AK$167,economics!$AJ$2:$AJ$167,TRUE)-_xlfn.NORM.DIST(BZ$30,economics!$AK$2:$AK$167,economics!$AJ$2:$AJ$167,TRUE))*economics!$AM$2:$AM$167))/(SUMPRODUCT((economics!$AG$2:$AG$167=$B57)*(economics!$D$2:$D$167="process")*economics!$AH$2:$AH$167*(_xlfn.NORM.DIST(BZ$3,economics!$AK$2:$AK$167,economics!$AJ$2:$AJ$167,TRUE)-_xlfn.NORM.DIST(BZ$30,economics!$AK$2:$AK$167,economics!$AJ$2:$AJ$167,TRUE)))),"")</f>
        <v/>
      </c>
      <c r="CA57">
        <f t="array" ref="CA57">IFERROR((SUMPRODUCT((economics!$AG$2:$AG$167=$B57)*(economics!$D$2:$D$167="process")*economics!$AH$2:$AH$167*(_xlfn.NORM.DIST(CA$3,economics!$AK$2:$AK$167,economics!$AJ$2:$AJ$167,TRUE)-_xlfn.NORM.DIST(CA$30,economics!$AK$2:$AK$167,economics!$AJ$2:$AJ$167,TRUE))*economics!$AM$2:$AM$167))/(SUMPRODUCT((economics!$AG$2:$AG$167=$B57)*(economics!$D$2:$D$167="process")*economics!$AH$2:$AH$167*(_xlfn.NORM.DIST(CA$3,economics!$AK$2:$AK$167,economics!$AJ$2:$AJ$167,TRUE)-_xlfn.NORM.DIST(CA$30,economics!$AK$2:$AK$167,economics!$AJ$2:$AJ$167,TRUE)))),"")</f>
        <v/>
      </c>
      <c r="CB57">
        <f t="array" ref="CB57">IFERROR((SUMPRODUCT((economics!$AG$2:$AG$167=$B57)*(economics!$D$2:$D$167="process")*economics!$AH$2:$AH$167*(_xlfn.NORM.DIST(CB$3,economics!$AK$2:$AK$167,economics!$AJ$2:$AJ$167,TRUE)-_xlfn.NORM.DIST(CB$30,economics!$AK$2:$AK$167,economics!$AJ$2:$AJ$167,TRUE))*economics!$AM$2:$AM$167))/(SUMPRODUCT((economics!$AG$2:$AG$167=$B57)*(economics!$D$2:$D$167="process")*economics!$AH$2:$AH$167*(_xlfn.NORM.DIST(CB$3,economics!$AK$2:$AK$167,economics!$AJ$2:$AJ$167,TRUE)-_xlfn.NORM.DIST(CB$30,economics!$AK$2:$AK$167,economics!$AJ$2:$AJ$167,TRUE)))),"")</f>
        <v/>
      </c>
      <c r="CC57">
        <f t="array" ref="CC57">IFERROR((SUMPRODUCT((economics!$AG$2:$AG$167=$B57)*(economics!$D$2:$D$167="process")*economics!$AH$2:$AH$167*(_xlfn.NORM.DIST(CC$3,economics!$AK$2:$AK$167,economics!$AJ$2:$AJ$167,TRUE)-_xlfn.NORM.DIST(CC$30,economics!$AK$2:$AK$167,economics!$AJ$2:$AJ$167,TRUE))*economics!$AM$2:$AM$167))/(SUMPRODUCT((economics!$AG$2:$AG$167=$B57)*(economics!$D$2:$D$167="process")*economics!$AH$2:$AH$167*(_xlfn.NORM.DIST(CC$3,economics!$AK$2:$AK$167,economics!$AJ$2:$AJ$167,TRUE)-_xlfn.NORM.DIST(CC$30,economics!$AK$2:$AK$167,economics!$AJ$2:$AJ$167,TRUE)))),"")</f>
        <v/>
      </c>
      <c r="CD57">
        <f t="array" ref="CD57">IFERROR((SUMPRODUCT((economics!$AG$2:$AG$167=$B57)*(economics!$D$2:$D$167="process")*economics!$AH$2:$AH$167*(_xlfn.NORM.DIST(CD$3,economics!$AK$2:$AK$167,economics!$AJ$2:$AJ$167,TRUE)-_xlfn.NORM.DIST(CD$30,economics!$AK$2:$AK$167,economics!$AJ$2:$AJ$167,TRUE))*economics!$AM$2:$AM$167))/(SUMPRODUCT((economics!$AG$2:$AG$167=$B57)*(economics!$D$2:$D$167="process")*economics!$AH$2:$AH$167*(_xlfn.NORM.DIST(CD$3,economics!$AK$2:$AK$167,economics!$AJ$2:$AJ$167,TRUE)-_xlfn.NORM.DIST(CD$30,economics!$AK$2:$AK$167,economics!$AJ$2:$AJ$167,TRUE)))),"")</f>
        <v/>
      </c>
      <c r="CE57">
        <f t="array" ref="CE57">IFERROR((SUMPRODUCT((economics!$AG$2:$AG$167=$B57)*(economics!$D$2:$D$167="process")*economics!$AH$2:$AH$167*(_xlfn.NORM.DIST(CE$3,economics!$AK$2:$AK$167,economics!$AJ$2:$AJ$167,TRUE)-_xlfn.NORM.DIST(CE$30,economics!$AK$2:$AK$167,economics!$AJ$2:$AJ$167,TRUE))*economics!$AM$2:$AM$167))/(SUMPRODUCT((economics!$AG$2:$AG$167=$B57)*(economics!$D$2:$D$167="process")*economics!$AH$2:$AH$167*(_xlfn.NORM.DIST(CE$3,economics!$AK$2:$AK$167,economics!$AJ$2:$AJ$167,TRUE)-_xlfn.NORM.DIST(CE$30,economics!$AK$2:$AK$167,economics!$AJ$2:$AJ$167,TRUE)))),"")</f>
        <v/>
      </c>
      <c r="CF57">
        <f t="array" ref="CF57">IFERROR((SUMPRODUCT((economics!$AG$2:$AG$167=$B57)*(economics!$D$2:$D$167="process")*economics!$AH$2:$AH$167*(_xlfn.NORM.DIST(CF$3,economics!$AK$2:$AK$167,economics!$AJ$2:$AJ$167,TRUE)-_xlfn.NORM.DIST(CF$30,economics!$AK$2:$AK$167,economics!$AJ$2:$AJ$167,TRUE))*economics!$AM$2:$AM$167))/(SUMPRODUCT((economics!$AG$2:$AG$167=$B57)*(economics!$D$2:$D$167="process")*economics!$AH$2:$AH$167*(_xlfn.NORM.DIST(CF$3,economics!$AK$2:$AK$167,economics!$AJ$2:$AJ$167,TRUE)-_xlfn.NORM.DIST(CF$30,economics!$AK$2:$AK$167,economics!$AJ$2:$AJ$167,TRUE)))),"")</f>
        <v/>
      </c>
      <c r="CG57">
        <f t="array" ref="CG57">IFERROR((SUMPRODUCT((economics!$AG$2:$AG$167=$B57)*(economics!$D$2:$D$167="process")*economics!$AH$2:$AH$167*(_xlfn.NORM.DIST(CG$3,economics!$AK$2:$AK$167,economics!$AJ$2:$AJ$167,TRUE)-_xlfn.NORM.DIST(CG$30,economics!$AK$2:$AK$167,economics!$AJ$2:$AJ$167,TRUE))*economics!$AM$2:$AM$167))/(SUMPRODUCT((economics!$AG$2:$AG$167=$B57)*(economics!$D$2:$D$167="process")*economics!$AH$2:$AH$167*(_xlfn.NORM.DIST(CG$3,economics!$AK$2:$AK$167,economics!$AJ$2:$AJ$167,TRUE)-_xlfn.NORM.DIST(CG$30,economics!$AK$2:$AK$167,economics!$AJ$2:$AJ$167,TRUE)))),"")</f>
        <v/>
      </c>
      <c r="CH57">
        <f t="array" ref="CH57">IFERROR((SUMPRODUCT((economics!$AG$2:$AG$167=$B57)*(economics!$D$2:$D$167="process")*economics!$AH$2:$AH$167*(_xlfn.NORM.DIST(CH$3,economics!$AK$2:$AK$167,economics!$AJ$2:$AJ$167,TRUE)-_xlfn.NORM.DIST(CH$30,economics!$AK$2:$AK$167,economics!$AJ$2:$AJ$167,TRUE))*economics!$AM$2:$AM$167))/(SUMPRODUCT((economics!$AG$2:$AG$167=$B57)*(economics!$D$2:$D$167="process")*economics!$AH$2:$AH$167*(_xlfn.NORM.DIST(CH$3,economics!$AK$2:$AK$167,economics!$AJ$2:$AJ$167,TRUE)-_xlfn.NORM.DIST(CH$30,economics!$AK$2:$AK$167,economics!$AJ$2:$AJ$167,TRUE)))),"")</f>
        <v/>
      </c>
    </row>
    <row r="59">
      <c r="A59" s="1" t="inlineStr">
        <is>
          <t>CHECK: bins with incremental reduction but NO capex intensity (must be 0)</t>
        </is>
      </c>
      <c r="B59">
        <f t="array" ref="B59">SUMPRODUCT((E4:E28&gt;0.000000001)*(E33:E57=""))+SUMPRODUCT(((F4:CH28-E4:CG28)&gt;0.000000001)*(F33:CH57=""))</f>
        <v/>
      </c>
      <c r="C59">
        <f>IF(B59=0,"ok","FAIL")</f>
        <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H59"/>
  <sheetViews>
    <sheetView workbookViewId="0">
      <pane xSplit="4" ySplit="3" topLeftCell="E31" activePane="bottomRight" state="frozen"/>
      <selection pane="topRight" activeCell="E1" sqref="E1"/>
      <selection pane="bottomLeft" activeCell="A4" sqref="A4"/>
      <selection pane="bottomRight" activeCell="M36" sqref="M36"/>
    </sheetView>
  </sheetViews>
  <sheetFormatPr baseColWidth="8" defaultRowHeight="14.5"/>
  <sheetData>
    <row r="1">
      <c r="A1" s="1" t="inlineStr">
        <is>
          <t>elec-whr — cumulative % reduction (system WHR, elec carrier). Rows=canonical WHRPbI industries; cols=CCE bins ($/MMBtu). No Bianchi fill.</t>
        </is>
      </c>
    </row>
    <row r="3">
      <c r="A3" s="1" t="inlineStr">
        <is>
          <t>Industry</t>
        </is>
      </c>
      <c r="B3" s="1" t="inlineStr">
        <is>
          <t>code</t>
        </is>
      </c>
      <c r="C3" s="1" t="inlineStr">
        <is>
          <t>Bianchi pot.</t>
        </is>
      </c>
      <c r="D3" s="1" t="inlineStr">
        <is>
          <t>covered</t>
        </is>
      </c>
      <c r="E3" s="7" t="n">
        <v>0</v>
      </c>
      <c r="F3" s="7" t="n">
        <v>0.25</v>
      </c>
      <c r="G3" s="7" t="n">
        <v>0.5</v>
      </c>
      <c r="H3" s="7" t="n">
        <v>0.75</v>
      </c>
      <c r="I3" s="7" t="n">
        <v>1</v>
      </c>
      <c r="J3" s="7" t="n">
        <v>1.25</v>
      </c>
      <c r="K3" s="7" t="n">
        <v>1.5</v>
      </c>
      <c r="L3" s="7" t="n">
        <v>1.75</v>
      </c>
      <c r="M3" s="7" t="n">
        <v>2</v>
      </c>
      <c r="N3" s="7" t="n">
        <v>2.25</v>
      </c>
      <c r="O3" s="7" t="n">
        <v>2.5</v>
      </c>
      <c r="P3" s="7" t="n">
        <v>2.75</v>
      </c>
      <c r="Q3" s="7" t="n">
        <v>3</v>
      </c>
      <c r="R3" s="7" t="n">
        <v>3.25</v>
      </c>
      <c r="S3" s="7" t="n">
        <v>3.5</v>
      </c>
      <c r="T3" s="7" t="n">
        <v>3.75</v>
      </c>
      <c r="U3" s="7" t="n">
        <v>4</v>
      </c>
      <c r="V3" s="7" t="n">
        <v>4.25</v>
      </c>
      <c r="W3" s="7" t="n">
        <v>4.5</v>
      </c>
      <c r="X3" s="7" t="n">
        <v>4.75</v>
      </c>
      <c r="Y3" s="7" t="n">
        <v>5</v>
      </c>
      <c r="Z3" s="7" t="n">
        <v>5.25</v>
      </c>
      <c r="AA3" s="7" t="n">
        <v>5.5</v>
      </c>
      <c r="AB3" s="7" t="n">
        <v>5.75</v>
      </c>
      <c r="AC3" s="7" t="n">
        <v>6</v>
      </c>
      <c r="AD3" s="7" t="n">
        <v>6.25</v>
      </c>
      <c r="AE3" s="7" t="n">
        <v>6.5</v>
      </c>
      <c r="AF3" s="7" t="n">
        <v>6.75</v>
      </c>
      <c r="AG3" s="7" t="n">
        <v>7</v>
      </c>
      <c r="AH3" s="7" t="n">
        <v>7.25</v>
      </c>
      <c r="AI3" s="7" t="n">
        <v>7.5</v>
      </c>
      <c r="AJ3" s="7" t="n">
        <v>7.75</v>
      </c>
      <c r="AK3" s="7" t="n">
        <v>8</v>
      </c>
      <c r="AL3" s="7" t="n">
        <v>8.25</v>
      </c>
      <c r="AM3" s="7" t="n">
        <v>8.5</v>
      </c>
      <c r="AN3" s="7" t="n">
        <v>8.75</v>
      </c>
      <c r="AO3" s="7" t="n">
        <v>9</v>
      </c>
      <c r="AP3" s="7" t="n">
        <v>9.25</v>
      </c>
      <c r="AQ3" s="7" t="n">
        <v>9.5</v>
      </c>
      <c r="AR3" s="7" t="n">
        <v>9.75</v>
      </c>
      <c r="AS3" s="7" t="n">
        <v>10</v>
      </c>
      <c r="AT3" s="7" t="n">
        <v>10.25</v>
      </c>
      <c r="AU3" s="7" t="n">
        <v>10.5</v>
      </c>
      <c r="AV3" s="7" t="n">
        <v>10.75</v>
      </c>
      <c r="AW3" s="7" t="n">
        <v>11</v>
      </c>
      <c r="AX3" s="7" t="n">
        <v>11.25</v>
      </c>
      <c r="AY3" s="7" t="n">
        <v>11.5</v>
      </c>
      <c r="AZ3" s="7" t="n">
        <v>11.75</v>
      </c>
      <c r="BA3" s="7" t="n">
        <v>12</v>
      </c>
      <c r="BB3" s="7" t="n">
        <v>12.25</v>
      </c>
      <c r="BC3" s="7" t="n">
        <v>12.5</v>
      </c>
      <c r="BD3" s="7" t="n">
        <v>12.75</v>
      </c>
      <c r="BE3" s="7" t="n">
        <v>13</v>
      </c>
      <c r="BF3" s="7" t="n">
        <v>13.25</v>
      </c>
      <c r="BG3" s="7" t="n">
        <v>13.5</v>
      </c>
      <c r="BH3" s="7" t="n">
        <v>13.75</v>
      </c>
      <c r="BI3" s="7" t="n">
        <v>14</v>
      </c>
      <c r="BJ3" s="7" t="n">
        <v>14.25</v>
      </c>
      <c r="BK3" s="7" t="n">
        <v>14.5</v>
      </c>
      <c r="BL3" s="7" t="n">
        <v>14.75</v>
      </c>
      <c r="BM3" s="7" t="n">
        <v>15</v>
      </c>
      <c r="BN3" s="7" t="n">
        <v>15.25</v>
      </c>
      <c r="BO3" s="7" t="n">
        <v>15.5</v>
      </c>
      <c r="BP3" s="7" t="n">
        <v>15.75</v>
      </c>
      <c r="BQ3" s="7" t="n">
        <v>16</v>
      </c>
      <c r="BR3" s="7" t="n">
        <v>16.25</v>
      </c>
      <c r="BS3" s="7" t="n">
        <v>16.5</v>
      </c>
      <c r="BT3" s="7" t="n">
        <v>16.75</v>
      </c>
      <c r="BU3" s="7" t="n">
        <v>17</v>
      </c>
      <c r="BV3" s="7" t="n">
        <v>17.25</v>
      </c>
      <c r="BW3" s="7" t="n">
        <v>17.5</v>
      </c>
      <c r="BX3" s="7" t="n">
        <v>17.75</v>
      </c>
      <c r="BY3" s="7" t="n">
        <v>18</v>
      </c>
      <c r="BZ3" s="7" t="n">
        <v>18.25</v>
      </c>
      <c r="CA3" s="7" t="n">
        <v>18.5</v>
      </c>
      <c r="CB3" s="7" t="n">
        <v>18.75</v>
      </c>
      <c r="CC3" s="7" t="n">
        <v>19</v>
      </c>
      <c r="CD3" s="7" t="n">
        <v>19.25</v>
      </c>
      <c r="CE3" s="7" t="n">
        <v>19.5</v>
      </c>
      <c r="CF3" s="7" t="n">
        <v>19.75</v>
      </c>
      <c r="CG3" s="7" t="n">
        <v>20</v>
      </c>
      <c r="CH3" s="7" t="n">
        <v>99999</v>
      </c>
    </row>
    <row r="4">
      <c r="A4">
        <f>WHRPbI!A2</f>
        <v/>
      </c>
      <c r="B4" t="inlineStr">
        <is>
          <t>01T03</t>
        </is>
      </c>
      <c r="C4" s="68">
        <f>WHRPbI!B2</f>
        <v/>
      </c>
      <c r="D4">
        <f>ISNUMBER(MATCH($B4,'energy base (MECS)'!$K$4:$K$9,0))</f>
        <v/>
      </c>
      <c r="E4" s="68">
        <f t="array" ref="E4">IF($D4,SUMPRODUCT((economics!$AG$2:$AG$167=$B4)*(economics!$D$2:$D$167="whr")*economics!$AI$2:$AI$167*_xlfn.NORM.DIST(E$3,economics!$AK$2:$AK$167,economics!$AJ$2:$AJ$167,TRUE)),0)</f>
        <v/>
      </c>
      <c r="F4" s="68">
        <f t="array" ref="F4">IF($D4,SUMPRODUCT((economics!$AG$2:$AG$167=$B4)*(economics!$D$2:$D$167="whr")*economics!$AI$2:$AI$167*_xlfn.NORM.DIST(F$3,economics!$AK$2:$AK$167,economics!$AJ$2:$AJ$167,TRUE)),0)</f>
        <v/>
      </c>
      <c r="G4" s="68">
        <f t="array" ref="G4">IF($D4,SUMPRODUCT((economics!$AG$2:$AG$167=$B4)*(economics!$D$2:$D$167="whr")*economics!$AI$2:$AI$167*_xlfn.NORM.DIST(G$3,economics!$AK$2:$AK$167,economics!$AJ$2:$AJ$167,TRUE)),0)</f>
        <v/>
      </c>
      <c r="H4" s="68">
        <f t="array" ref="H4">IF($D4,SUMPRODUCT((economics!$AG$2:$AG$167=$B4)*(economics!$D$2:$D$167="whr")*economics!$AI$2:$AI$167*_xlfn.NORM.DIST(H$3,economics!$AK$2:$AK$167,economics!$AJ$2:$AJ$167,TRUE)),0)</f>
        <v/>
      </c>
      <c r="I4" s="68">
        <f t="array" ref="I4">IF($D4,SUMPRODUCT((economics!$AG$2:$AG$167=$B4)*(economics!$D$2:$D$167="whr")*economics!$AI$2:$AI$167*_xlfn.NORM.DIST(I$3,economics!$AK$2:$AK$167,economics!$AJ$2:$AJ$167,TRUE)),0)</f>
        <v/>
      </c>
      <c r="J4" s="68">
        <f t="array" ref="J4">IF($D4,SUMPRODUCT((economics!$AG$2:$AG$167=$B4)*(economics!$D$2:$D$167="whr")*economics!$AI$2:$AI$167*_xlfn.NORM.DIST(J$3,economics!$AK$2:$AK$167,economics!$AJ$2:$AJ$167,TRUE)),0)</f>
        <v/>
      </c>
      <c r="K4" s="68">
        <f t="array" ref="K4">IF($D4,SUMPRODUCT((economics!$AG$2:$AG$167=$B4)*(economics!$D$2:$D$167="whr")*economics!$AI$2:$AI$167*_xlfn.NORM.DIST(K$3,economics!$AK$2:$AK$167,economics!$AJ$2:$AJ$167,TRUE)),0)</f>
        <v/>
      </c>
      <c r="L4" s="68">
        <f t="array" ref="L4">IF($D4,SUMPRODUCT((economics!$AG$2:$AG$167=$B4)*(economics!$D$2:$D$167="whr")*economics!$AI$2:$AI$167*_xlfn.NORM.DIST(L$3,economics!$AK$2:$AK$167,economics!$AJ$2:$AJ$167,TRUE)),0)</f>
        <v/>
      </c>
      <c r="M4" s="68">
        <f t="array" ref="M4">IF($D4,SUMPRODUCT((economics!$AG$2:$AG$167=$B4)*(economics!$D$2:$D$167="whr")*economics!$AI$2:$AI$167*_xlfn.NORM.DIST(M$3,economics!$AK$2:$AK$167,economics!$AJ$2:$AJ$167,TRUE)),0)</f>
        <v/>
      </c>
      <c r="N4" s="68">
        <f t="array" ref="N4">IF($D4,SUMPRODUCT((economics!$AG$2:$AG$167=$B4)*(economics!$D$2:$D$167="whr")*economics!$AI$2:$AI$167*_xlfn.NORM.DIST(N$3,economics!$AK$2:$AK$167,economics!$AJ$2:$AJ$167,TRUE)),0)</f>
        <v/>
      </c>
      <c r="O4" s="68">
        <f t="array" ref="O4">IF($D4,SUMPRODUCT((economics!$AG$2:$AG$167=$B4)*(economics!$D$2:$D$167="whr")*economics!$AI$2:$AI$167*_xlfn.NORM.DIST(O$3,economics!$AK$2:$AK$167,economics!$AJ$2:$AJ$167,TRUE)),0)</f>
        <v/>
      </c>
      <c r="P4" s="68">
        <f t="array" ref="P4">IF($D4,SUMPRODUCT((economics!$AG$2:$AG$167=$B4)*(economics!$D$2:$D$167="whr")*economics!$AI$2:$AI$167*_xlfn.NORM.DIST(P$3,economics!$AK$2:$AK$167,economics!$AJ$2:$AJ$167,TRUE)),0)</f>
        <v/>
      </c>
      <c r="Q4" s="68">
        <f t="array" ref="Q4">IF($D4,SUMPRODUCT((economics!$AG$2:$AG$167=$B4)*(economics!$D$2:$D$167="whr")*economics!$AI$2:$AI$167*_xlfn.NORM.DIST(Q$3,economics!$AK$2:$AK$167,economics!$AJ$2:$AJ$167,TRUE)),0)</f>
        <v/>
      </c>
      <c r="R4" s="68">
        <f t="array" ref="R4">IF($D4,SUMPRODUCT((economics!$AG$2:$AG$167=$B4)*(economics!$D$2:$D$167="whr")*economics!$AI$2:$AI$167*_xlfn.NORM.DIST(R$3,economics!$AK$2:$AK$167,economics!$AJ$2:$AJ$167,TRUE)),0)</f>
        <v/>
      </c>
      <c r="S4" s="68">
        <f t="array" ref="S4">IF($D4,SUMPRODUCT((economics!$AG$2:$AG$167=$B4)*(economics!$D$2:$D$167="whr")*economics!$AI$2:$AI$167*_xlfn.NORM.DIST(S$3,economics!$AK$2:$AK$167,economics!$AJ$2:$AJ$167,TRUE)),0)</f>
        <v/>
      </c>
      <c r="T4" s="68">
        <f t="array" ref="T4">IF($D4,SUMPRODUCT((economics!$AG$2:$AG$167=$B4)*(economics!$D$2:$D$167="whr")*economics!$AI$2:$AI$167*_xlfn.NORM.DIST(T$3,economics!$AK$2:$AK$167,economics!$AJ$2:$AJ$167,TRUE)),0)</f>
        <v/>
      </c>
      <c r="U4" s="68">
        <f t="array" ref="U4">IF($D4,SUMPRODUCT((economics!$AG$2:$AG$167=$B4)*(economics!$D$2:$D$167="whr")*economics!$AI$2:$AI$167*_xlfn.NORM.DIST(U$3,economics!$AK$2:$AK$167,economics!$AJ$2:$AJ$167,TRUE)),0)</f>
        <v/>
      </c>
      <c r="V4" s="68">
        <f t="array" ref="V4">IF($D4,SUMPRODUCT((economics!$AG$2:$AG$167=$B4)*(economics!$D$2:$D$167="whr")*economics!$AI$2:$AI$167*_xlfn.NORM.DIST(V$3,economics!$AK$2:$AK$167,economics!$AJ$2:$AJ$167,TRUE)),0)</f>
        <v/>
      </c>
      <c r="W4" s="68">
        <f t="array" ref="W4">IF($D4,SUMPRODUCT((economics!$AG$2:$AG$167=$B4)*(economics!$D$2:$D$167="whr")*economics!$AI$2:$AI$167*_xlfn.NORM.DIST(W$3,economics!$AK$2:$AK$167,economics!$AJ$2:$AJ$167,TRUE)),0)</f>
        <v/>
      </c>
      <c r="X4" s="68">
        <f t="array" ref="X4">IF($D4,SUMPRODUCT((economics!$AG$2:$AG$167=$B4)*(economics!$D$2:$D$167="whr")*economics!$AI$2:$AI$167*_xlfn.NORM.DIST(X$3,economics!$AK$2:$AK$167,economics!$AJ$2:$AJ$167,TRUE)),0)</f>
        <v/>
      </c>
      <c r="Y4" s="68">
        <f t="array" ref="Y4">IF($D4,SUMPRODUCT((economics!$AG$2:$AG$167=$B4)*(economics!$D$2:$D$167="whr")*economics!$AI$2:$AI$167*_xlfn.NORM.DIST(Y$3,economics!$AK$2:$AK$167,economics!$AJ$2:$AJ$167,TRUE)),0)</f>
        <v/>
      </c>
      <c r="Z4" s="68">
        <f t="array" ref="Z4">IF($D4,SUMPRODUCT((economics!$AG$2:$AG$167=$B4)*(economics!$D$2:$D$167="whr")*economics!$AI$2:$AI$167*_xlfn.NORM.DIST(Z$3,economics!$AK$2:$AK$167,economics!$AJ$2:$AJ$167,TRUE)),0)</f>
        <v/>
      </c>
      <c r="AA4" s="68">
        <f t="array" ref="AA4">IF($D4,SUMPRODUCT((economics!$AG$2:$AG$167=$B4)*(economics!$D$2:$D$167="whr")*economics!$AI$2:$AI$167*_xlfn.NORM.DIST(AA$3,economics!$AK$2:$AK$167,economics!$AJ$2:$AJ$167,TRUE)),0)</f>
        <v/>
      </c>
      <c r="AB4" s="68">
        <f t="array" ref="AB4">IF($D4,SUMPRODUCT((economics!$AG$2:$AG$167=$B4)*(economics!$D$2:$D$167="whr")*economics!$AI$2:$AI$167*_xlfn.NORM.DIST(AB$3,economics!$AK$2:$AK$167,economics!$AJ$2:$AJ$167,TRUE)),0)</f>
        <v/>
      </c>
      <c r="AC4" s="68">
        <f t="array" ref="AC4">IF($D4,SUMPRODUCT((economics!$AG$2:$AG$167=$B4)*(economics!$D$2:$D$167="whr")*economics!$AI$2:$AI$167*_xlfn.NORM.DIST(AC$3,economics!$AK$2:$AK$167,economics!$AJ$2:$AJ$167,TRUE)),0)</f>
        <v/>
      </c>
      <c r="AD4" s="68">
        <f t="array" ref="AD4">IF($D4,SUMPRODUCT((economics!$AG$2:$AG$167=$B4)*(economics!$D$2:$D$167="whr")*economics!$AI$2:$AI$167*_xlfn.NORM.DIST(AD$3,economics!$AK$2:$AK$167,economics!$AJ$2:$AJ$167,TRUE)),0)</f>
        <v/>
      </c>
      <c r="AE4" s="68">
        <f t="array" ref="AE4">IF($D4,SUMPRODUCT((economics!$AG$2:$AG$167=$B4)*(economics!$D$2:$D$167="whr")*economics!$AI$2:$AI$167*_xlfn.NORM.DIST(AE$3,economics!$AK$2:$AK$167,economics!$AJ$2:$AJ$167,TRUE)),0)</f>
        <v/>
      </c>
      <c r="AF4" s="68">
        <f t="array" ref="AF4">IF($D4,SUMPRODUCT((economics!$AG$2:$AG$167=$B4)*(economics!$D$2:$D$167="whr")*economics!$AI$2:$AI$167*_xlfn.NORM.DIST(AF$3,economics!$AK$2:$AK$167,economics!$AJ$2:$AJ$167,TRUE)),0)</f>
        <v/>
      </c>
      <c r="AG4" s="68">
        <f t="array" ref="AG4">IF($D4,SUMPRODUCT((economics!$AG$2:$AG$167=$B4)*(economics!$D$2:$D$167="whr")*economics!$AI$2:$AI$167*_xlfn.NORM.DIST(AG$3,economics!$AK$2:$AK$167,economics!$AJ$2:$AJ$167,TRUE)),0)</f>
        <v/>
      </c>
      <c r="AH4" s="68">
        <f t="array" ref="AH4">IF($D4,SUMPRODUCT((economics!$AG$2:$AG$167=$B4)*(economics!$D$2:$D$167="whr")*economics!$AI$2:$AI$167*_xlfn.NORM.DIST(AH$3,economics!$AK$2:$AK$167,economics!$AJ$2:$AJ$167,TRUE)),0)</f>
        <v/>
      </c>
      <c r="AI4" s="68">
        <f t="array" ref="AI4">IF($D4,SUMPRODUCT((economics!$AG$2:$AG$167=$B4)*(economics!$D$2:$D$167="whr")*economics!$AI$2:$AI$167*_xlfn.NORM.DIST(AI$3,economics!$AK$2:$AK$167,economics!$AJ$2:$AJ$167,TRUE)),0)</f>
        <v/>
      </c>
      <c r="AJ4" s="68">
        <f t="array" ref="AJ4">IF($D4,SUMPRODUCT((economics!$AG$2:$AG$167=$B4)*(economics!$D$2:$D$167="whr")*economics!$AI$2:$AI$167*_xlfn.NORM.DIST(AJ$3,economics!$AK$2:$AK$167,economics!$AJ$2:$AJ$167,TRUE)),0)</f>
        <v/>
      </c>
      <c r="AK4" s="68">
        <f t="array" ref="AK4">IF($D4,SUMPRODUCT((economics!$AG$2:$AG$167=$B4)*(economics!$D$2:$D$167="whr")*economics!$AI$2:$AI$167*_xlfn.NORM.DIST(AK$3,economics!$AK$2:$AK$167,economics!$AJ$2:$AJ$167,TRUE)),0)</f>
        <v/>
      </c>
      <c r="AL4" s="68">
        <f t="array" ref="AL4">IF($D4,SUMPRODUCT((economics!$AG$2:$AG$167=$B4)*(economics!$D$2:$D$167="whr")*economics!$AI$2:$AI$167*_xlfn.NORM.DIST(AL$3,economics!$AK$2:$AK$167,economics!$AJ$2:$AJ$167,TRUE)),0)</f>
        <v/>
      </c>
      <c r="AM4" s="68">
        <f t="array" ref="AM4">IF($D4,SUMPRODUCT((economics!$AG$2:$AG$167=$B4)*(economics!$D$2:$D$167="whr")*economics!$AI$2:$AI$167*_xlfn.NORM.DIST(AM$3,economics!$AK$2:$AK$167,economics!$AJ$2:$AJ$167,TRUE)),0)</f>
        <v/>
      </c>
      <c r="AN4" s="68">
        <f t="array" ref="AN4">IF($D4,SUMPRODUCT((economics!$AG$2:$AG$167=$B4)*(economics!$D$2:$D$167="whr")*economics!$AI$2:$AI$167*_xlfn.NORM.DIST(AN$3,economics!$AK$2:$AK$167,economics!$AJ$2:$AJ$167,TRUE)),0)</f>
        <v/>
      </c>
      <c r="AO4" s="68">
        <f t="array" ref="AO4">IF($D4,SUMPRODUCT((economics!$AG$2:$AG$167=$B4)*(economics!$D$2:$D$167="whr")*economics!$AI$2:$AI$167*_xlfn.NORM.DIST(AO$3,economics!$AK$2:$AK$167,economics!$AJ$2:$AJ$167,TRUE)),0)</f>
        <v/>
      </c>
      <c r="AP4" s="68">
        <f t="array" ref="AP4">IF($D4,SUMPRODUCT((economics!$AG$2:$AG$167=$B4)*(economics!$D$2:$D$167="whr")*economics!$AI$2:$AI$167*_xlfn.NORM.DIST(AP$3,economics!$AK$2:$AK$167,economics!$AJ$2:$AJ$167,TRUE)),0)</f>
        <v/>
      </c>
      <c r="AQ4" s="68">
        <f t="array" ref="AQ4">IF($D4,SUMPRODUCT((economics!$AG$2:$AG$167=$B4)*(economics!$D$2:$D$167="whr")*economics!$AI$2:$AI$167*_xlfn.NORM.DIST(AQ$3,economics!$AK$2:$AK$167,economics!$AJ$2:$AJ$167,TRUE)),0)</f>
        <v/>
      </c>
      <c r="AR4" s="68">
        <f t="array" ref="AR4">IF($D4,SUMPRODUCT((economics!$AG$2:$AG$167=$B4)*(economics!$D$2:$D$167="whr")*economics!$AI$2:$AI$167*_xlfn.NORM.DIST(AR$3,economics!$AK$2:$AK$167,economics!$AJ$2:$AJ$167,TRUE)),0)</f>
        <v/>
      </c>
      <c r="AS4" s="68">
        <f t="array" ref="AS4">IF($D4,SUMPRODUCT((economics!$AG$2:$AG$167=$B4)*(economics!$D$2:$D$167="whr")*economics!$AI$2:$AI$167*_xlfn.NORM.DIST(AS$3,economics!$AK$2:$AK$167,economics!$AJ$2:$AJ$167,TRUE)),0)</f>
        <v/>
      </c>
      <c r="AT4" s="68">
        <f t="array" ref="AT4">IF($D4,SUMPRODUCT((economics!$AG$2:$AG$167=$B4)*(economics!$D$2:$D$167="whr")*economics!$AI$2:$AI$167*_xlfn.NORM.DIST(AT$3,economics!$AK$2:$AK$167,economics!$AJ$2:$AJ$167,TRUE)),0)</f>
        <v/>
      </c>
      <c r="AU4" s="68">
        <f t="array" ref="AU4">IF($D4,SUMPRODUCT((economics!$AG$2:$AG$167=$B4)*(economics!$D$2:$D$167="whr")*economics!$AI$2:$AI$167*_xlfn.NORM.DIST(AU$3,economics!$AK$2:$AK$167,economics!$AJ$2:$AJ$167,TRUE)),0)</f>
        <v/>
      </c>
      <c r="AV4" s="68">
        <f t="array" ref="AV4">IF($D4,SUMPRODUCT((economics!$AG$2:$AG$167=$B4)*(economics!$D$2:$D$167="whr")*economics!$AI$2:$AI$167*_xlfn.NORM.DIST(AV$3,economics!$AK$2:$AK$167,economics!$AJ$2:$AJ$167,TRUE)),0)</f>
        <v/>
      </c>
      <c r="AW4" s="68">
        <f t="array" ref="AW4">IF($D4,SUMPRODUCT((economics!$AG$2:$AG$167=$B4)*(economics!$D$2:$D$167="whr")*economics!$AI$2:$AI$167*_xlfn.NORM.DIST(AW$3,economics!$AK$2:$AK$167,economics!$AJ$2:$AJ$167,TRUE)),0)</f>
        <v/>
      </c>
      <c r="AX4" s="68">
        <f t="array" ref="AX4">IF($D4,SUMPRODUCT((economics!$AG$2:$AG$167=$B4)*(economics!$D$2:$D$167="whr")*economics!$AI$2:$AI$167*_xlfn.NORM.DIST(AX$3,economics!$AK$2:$AK$167,economics!$AJ$2:$AJ$167,TRUE)),0)</f>
        <v/>
      </c>
      <c r="AY4" s="68">
        <f t="array" ref="AY4">IF($D4,SUMPRODUCT((economics!$AG$2:$AG$167=$B4)*(economics!$D$2:$D$167="whr")*economics!$AI$2:$AI$167*_xlfn.NORM.DIST(AY$3,economics!$AK$2:$AK$167,economics!$AJ$2:$AJ$167,TRUE)),0)</f>
        <v/>
      </c>
      <c r="AZ4" s="68">
        <f t="array" ref="AZ4">IF($D4,SUMPRODUCT((economics!$AG$2:$AG$167=$B4)*(economics!$D$2:$D$167="whr")*economics!$AI$2:$AI$167*_xlfn.NORM.DIST(AZ$3,economics!$AK$2:$AK$167,economics!$AJ$2:$AJ$167,TRUE)),0)</f>
        <v/>
      </c>
      <c r="BA4" s="68">
        <f t="array" ref="BA4">IF($D4,SUMPRODUCT((economics!$AG$2:$AG$167=$B4)*(economics!$D$2:$D$167="whr")*economics!$AI$2:$AI$167*_xlfn.NORM.DIST(BA$3,economics!$AK$2:$AK$167,economics!$AJ$2:$AJ$167,TRUE)),0)</f>
        <v/>
      </c>
      <c r="BB4" s="68">
        <f t="array" ref="BB4">IF($D4,SUMPRODUCT((economics!$AG$2:$AG$167=$B4)*(economics!$D$2:$D$167="whr")*economics!$AI$2:$AI$167*_xlfn.NORM.DIST(BB$3,economics!$AK$2:$AK$167,economics!$AJ$2:$AJ$167,TRUE)),0)</f>
        <v/>
      </c>
      <c r="BC4" s="68">
        <f t="array" ref="BC4">IF($D4,SUMPRODUCT((economics!$AG$2:$AG$167=$B4)*(economics!$D$2:$D$167="whr")*economics!$AI$2:$AI$167*_xlfn.NORM.DIST(BC$3,economics!$AK$2:$AK$167,economics!$AJ$2:$AJ$167,TRUE)),0)</f>
        <v/>
      </c>
      <c r="BD4" s="68">
        <f t="array" ref="BD4">IF($D4,SUMPRODUCT((economics!$AG$2:$AG$167=$B4)*(economics!$D$2:$D$167="whr")*economics!$AI$2:$AI$167*_xlfn.NORM.DIST(BD$3,economics!$AK$2:$AK$167,economics!$AJ$2:$AJ$167,TRUE)),0)</f>
        <v/>
      </c>
      <c r="BE4" s="68">
        <f t="array" ref="BE4">IF($D4,SUMPRODUCT((economics!$AG$2:$AG$167=$B4)*(economics!$D$2:$D$167="whr")*economics!$AI$2:$AI$167*_xlfn.NORM.DIST(BE$3,economics!$AK$2:$AK$167,economics!$AJ$2:$AJ$167,TRUE)),0)</f>
        <v/>
      </c>
      <c r="BF4" s="68">
        <f t="array" ref="BF4">IF($D4,SUMPRODUCT((economics!$AG$2:$AG$167=$B4)*(economics!$D$2:$D$167="whr")*economics!$AI$2:$AI$167*_xlfn.NORM.DIST(BF$3,economics!$AK$2:$AK$167,economics!$AJ$2:$AJ$167,TRUE)),0)</f>
        <v/>
      </c>
      <c r="BG4" s="68">
        <f t="array" ref="BG4">IF($D4,SUMPRODUCT((economics!$AG$2:$AG$167=$B4)*(economics!$D$2:$D$167="whr")*economics!$AI$2:$AI$167*_xlfn.NORM.DIST(BG$3,economics!$AK$2:$AK$167,economics!$AJ$2:$AJ$167,TRUE)),0)</f>
        <v/>
      </c>
      <c r="BH4" s="68">
        <f t="array" ref="BH4">IF($D4,SUMPRODUCT((economics!$AG$2:$AG$167=$B4)*(economics!$D$2:$D$167="whr")*economics!$AI$2:$AI$167*_xlfn.NORM.DIST(BH$3,economics!$AK$2:$AK$167,economics!$AJ$2:$AJ$167,TRUE)),0)</f>
        <v/>
      </c>
      <c r="BI4" s="68">
        <f t="array" ref="BI4">IF($D4,SUMPRODUCT((economics!$AG$2:$AG$167=$B4)*(economics!$D$2:$D$167="whr")*economics!$AI$2:$AI$167*_xlfn.NORM.DIST(BI$3,economics!$AK$2:$AK$167,economics!$AJ$2:$AJ$167,TRUE)),0)</f>
        <v/>
      </c>
      <c r="BJ4" s="68">
        <f t="array" ref="BJ4">IF($D4,SUMPRODUCT((economics!$AG$2:$AG$167=$B4)*(economics!$D$2:$D$167="whr")*economics!$AI$2:$AI$167*_xlfn.NORM.DIST(BJ$3,economics!$AK$2:$AK$167,economics!$AJ$2:$AJ$167,TRUE)),0)</f>
        <v/>
      </c>
      <c r="BK4" s="68">
        <f t="array" ref="BK4">IF($D4,SUMPRODUCT((economics!$AG$2:$AG$167=$B4)*(economics!$D$2:$D$167="whr")*economics!$AI$2:$AI$167*_xlfn.NORM.DIST(BK$3,economics!$AK$2:$AK$167,economics!$AJ$2:$AJ$167,TRUE)),0)</f>
        <v/>
      </c>
      <c r="BL4" s="68">
        <f t="array" ref="BL4">IF($D4,SUMPRODUCT((economics!$AG$2:$AG$167=$B4)*(economics!$D$2:$D$167="whr")*economics!$AI$2:$AI$167*_xlfn.NORM.DIST(BL$3,economics!$AK$2:$AK$167,economics!$AJ$2:$AJ$167,TRUE)),0)</f>
        <v/>
      </c>
      <c r="BM4" s="68">
        <f t="array" ref="BM4">IF($D4,SUMPRODUCT((economics!$AG$2:$AG$167=$B4)*(economics!$D$2:$D$167="whr")*economics!$AI$2:$AI$167*_xlfn.NORM.DIST(BM$3,economics!$AK$2:$AK$167,economics!$AJ$2:$AJ$167,TRUE)),0)</f>
        <v/>
      </c>
      <c r="BN4" s="68">
        <f t="array" ref="BN4">IF($D4,SUMPRODUCT((economics!$AG$2:$AG$167=$B4)*(economics!$D$2:$D$167="whr")*economics!$AI$2:$AI$167*_xlfn.NORM.DIST(BN$3,economics!$AK$2:$AK$167,economics!$AJ$2:$AJ$167,TRUE)),0)</f>
        <v/>
      </c>
      <c r="BO4" s="68">
        <f t="array" ref="BO4">IF($D4,SUMPRODUCT((economics!$AG$2:$AG$167=$B4)*(economics!$D$2:$D$167="whr")*economics!$AI$2:$AI$167*_xlfn.NORM.DIST(BO$3,economics!$AK$2:$AK$167,economics!$AJ$2:$AJ$167,TRUE)),0)</f>
        <v/>
      </c>
      <c r="BP4" s="68">
        <f t="array" ref="BP4">IF($D4,SUMPRODUCT((economics!$AG$2:$AG$167=$B4)*(economics!$D$2:$D$167="whr")*economics!$AI$2:$AI$167*_xlfn.NORM.DIST(BP$3,economics!$AK$2:$AK$167,economics!$AJ$2:$AJ$167,TRUE)),0)</f>
        <v/>
      </c>
      <c r="BQ4" s="68">
        <f t="array" ref="BQ4">IF($D4,SUMPRODUCT((economics!$AG$2:$AG$167=$B4)*(economics!$D$2:$D$167="whr")*economics!$AI$2:$AI$167*_xlfn.NORM.DIST(BQ$3,economics!$AK$2:$AK$167,economics!$AJ$2:$AJ$167,TRUE)),0)</f>
        <v/>
      </c>
      <c r="BR4" s="68">
        <f t="array" ref="BR4">IF($D4,SUMPRODUCT((economics!$AG$2:$AG$167=$B4)*(economics!$D$2:$D$167="whr")*economics!$AI$2:$AI$167*_xlfn.NORM.DIST(BR$3,economics!$AK$2:$AK$167,economics!$AJ$2:$AJ$167,TRUE)),0)</f>
        <v/>
      </c>
      <c r="BS4" s="68">
        <f t="array" ref="BS4">IF($D4,SUMPRODUCT((economics!$AG$2:$AG$167=$B4)*(economics!$D$2:$D$167="whr")*economics!$AI$2:$AI$167*_xlfn.NORM.DIST(BS$3,economics!$AK$2:$AK$167,economics!$AJ$2:$AJ$167,TRUE)),0)</f>
        <v/>
      </c>
      <c r="BT4" s="68">
        <f t="array" ref="BT4">IF($D4,SUMPRODUCT((economics!$AG$2:$AG$167=$B4)*(economics!$D$2:$D$167="whr")*economics!$AI$2:$AI$167*_xlfn.NORM.DIST(BT$3,economics!$AK$2:$AK$167,economics!$AJ$2:$AJ$167,TRUE)),0)</f>
        <v/>
      </c>
      <c r="BU4" s="68">
        <f t="array" ref="BU4">IF($D4,SUMPRODUCT((economics!$AG$2:$AG$167=$B4)*(economics!$D$2:$D$167="whr")*economics!$AI$2:$AI$167*_xlfn.NORM.DIST(BU$3,economics!$AK$2:$AK$167,economics!$AJ$2:$AJ$167,TRUE)),0)</f>
        <v/>
      </c>
      <c r="BV4" s="68">
        <f t="array" ref="BV4">IF($D4,SUMPRODUCT((economics!$AG$2:$AG$167=$B4)*(economics!$D$2:$D$167="whr")*economics!$AI$2:$AI$167*_xlfn.NORM.DIST(BV$3,economics!$AK$2:$AK$167,economics!$AJ$2:$AJ$167,TRUE)),0)</f>
        <v/>
      </c>
      <c r="BW4" s="68">
        <f t="array" ref="BW4">IF($D4,SUMPRODUCT((economics!$AG$2:$AG$167=$B4)*(economics!$D$2:$D$167="whr")*economics!$AI$2:$AI$167*_xlfn.NORM.DIST(BW$3,economics!$AK$2:$AK$167,economics!$AJ$2:$AJ$167,TRUE)),0)</f>
        <v/>
      </c>
      <c r="BX4" s="68">
        <f t="array" ref="BX4">IF($D4,SUMPRODUCT((economics!$AG$2:$AG$167=$B4)*(economics!$D$2:$D$167="whr")*economics!$AI$2:$AI$167*_xlfn.NORM.DIST(BX$3,economics!$AK$2:$AK$167,economics!$AJ$2:$AJ$167,TRUE)),0)</f>
        <v/>
      </c>
      <c r="BY4" s="68">
        <f t="array" ref="BY4">IF($D4,SUMPRODUCT((economics!$AG$2:$AG$167=$B4)*(economics!$D$2:$D$167="whr")*economics!$AI$2:$AI$167*_xlfn.NORM.DIST(BY$3,economics!$AK$2:$AK$167,economics!$AJ$2:$AJ$167,TRUE)),0)</f>
        <v/>
      </c>
      <c r="BZ4" s="68">
        <f t="array" ref="BZ4">IF($D4,SUMPRODUCT((economics!$AG$2:$AG$167=$B4)*(economics!$D$2:$D$167="whr")*economics!$AI$2:$AI$167*_xlfn.NORM.DIST(BZ$3,economics!$AK$2:$AK$167,economics!$AJ$2:$AJ$167,TRUE)),0)</f>
        <v/>
      </c>
      <c r="CA4" s="68">
        <f t="array" ref="CA4">IF($D4,SUMPRODUCT((economics!$AG$2:$AG$167=$B4)*(economics!$D$2:$D$167="whr")*economics!$AI$2:$AI$167*_xlfn.NORM.DIST(CA$3,economics!$AK$2:$AK$167,economics!$AJ$2:$AJ$167,TRUE)),0)</f>
        <v/>
      </c>
      <c r="CB4" s="68">
        <f t="array" ref="CB4">IF($D4,SUMPRODUCT((economics!$AG$2:$AG$167=$B4)*(economics!$D$2:$D$167="whr")*economics!$AI$2:$AI$167*_xlfn.NORM.DIST(CB$3,economics!$AK$2:$AK$167,economics!$AJ$2:$AJ$167,TRUE)),0)</f>
        <v/>
      </c>
      <c r="CC4" s="68">
        <f t="array" ref="CC4">IF($D4,SUMPRODUCT((economics!$AG$2:$AG$167=$B4)*(economics!$D$2:$D$167="whr")*economics!$AI$2:$AI$167*_xlfn.NORM.DIST(CC$3,economics!$AK$2:$AK$167,economics!$AJ$2:$AJ$167,TRUE)),0)</f>
        <v/>
      </c>
      <c r="CD4" s="68">
        <f t="array" ref="CD4">IF($D4,SUMPRODUCT((economics!$AG$2:$AG$167=$B4)*(economics!$D$2:$D$167="whr")*economics!$AI$2:$AI$167*_xlfn.NORM.DIST(CD$3,economics!$AK$2:$AK$167,economics!$AJ$2:$AJ$167,TRUE)),0)</f>
        <v/>
      </c>
      <c r="CE4" s="68">
        <f t="array" ref="CE4">IF($D4,SUMPRODUCT((economics!$AG$2:$AG$167=$B4)*(economics!$D$2:$D$167="whr")*economics!$AI$2:$AI$167*_xlfn.NORM.DIST(CE$3,economics!$AK$2:$AK$167,economics!$AJ$2:$AJ$167,TRUE)),0)</f>
        <v/>
      </c>
      <c r="CF4" s="68">
        <f t="array" ref="CF4">IF($D4,SUMPRODUCT((economics!$AG$2:$AG$167=$B4)*(economics!$D$2:$D$167="whr")*economics!$AI$2:$AI$167*_xlfn.NORM.DIST(CF$3,economics!$AK$2:$AK$167,economics!$AJ$2:$AJ$167,TRUE)),0)</f>
        <v/>
      </c>
      <c r="CG4" s="68">
        <f t="array" ref="CG4">IF($D4,SUMPRODUCT((economics!$AG$2:$AG$167=$B4)*(economics!$D$2:$D$167="whr")*economics!$AI$2:$AI$167*_xlfn.NORM.DIST(CG$3,economics!$AK$2:$AK$167,economics!$AJ$2:$AJ$167,TRUE)),0)</f>
        <v/>
      </c>
      <c r="CH4" s="68">
        <f t="array" ref="CH4">IF($D4,SUMPRODUCT((economics!$AG$2:$AG$167=$B4)*(economics!$D$2:$D$167="whr")*economics!$AI$2:$AI$167*_xlfn.NORM.DIST(CH$3,economics!$AK$2:$AK$167,economics!$AJ$2:$AJ$167,TRUE)),0)</f>
        <v/>
      </c>
    </row>
    <row r="5">
      <c r="A5">
        <f>WHRPbI!A3</f>
        <v/>
      </c>
      <c r="B5" t="n">
        <v>5</v>
      </c>
      <c r="C5" s="68">
        <f>WHRPbI!B3</f>
        <v/>
      </c>
      <c r="D5">
        <f>ISNUMBER(MATCH($B5,'energy base (MECS)'!$K$4:$K$9,0))</f>
        <v/>
      </c>
      <c r="E5" s="68">
        <f t="array" ref="E5">IF($D5,SUMPRODUCT((economics!$AG$2:$AG$167=$B5)*(economics!$D$2:$D$167="whr")*economics!$AI$2:$AI$167*_xlfn.NORM.DIST(E$3,economics!$AK$2:$AK$167,economics!$AJ$2:$AJ$167,TRUE)),0)</f>
        <v/>
      </c>
      <c r="F5" s="68">
        <f t="array" ref="F5">IF($D5,SUMPRODUCT((economics!$AG$2:$AG$167=$B5)*(economics!$D$2:$D$167="whr")*economics!$AI$2:$AI$167*_xlfn.NORM.DIST(F$3,economics!$AK$2:$AK$167,economics!$AJ$2:$AJ$167,TRUE)),0)</f>
        <v/>
      </c>
      <c r="G5" s="68">
        <f t="array" ref="G5">IF($D5,SUMPRODUCT((economics!$AG$2:$AG$167=$B5)*(economics!$D$2:$D$167="whr")*economics!$AI$2:$AI$167*_xlfn.NORM.DIST(G$3,economics!$AK$2:$AK$167,economics!$AJ$2:$AJ$167,TRUE)),0)</f>
        <v/>
      </c>
      <c r="H5" s="68">
        <f t="array" ref="H5">IF($D5,SUMPRODUCT((economics!$AG$2:$AG$167=$B5)*(economics!$D$2:$D$167="whr")*economics!$AI$2:$AI$167*_xlfn.NORM.DIST(H$3,economics!$AK$2:$AK$167,economics!$AJ$2:$AJ$167,TRUE)),0)</f>
        <v/>
      </c>
      <c r="I5" s="68">
        <f t="array" ref="I5">IF($D5,SUMPRODUCT((economics!$AG$2:$AG$167=$B5)*(economics!$D$2:$D$167="whr")*economics!$AI$2:$AI$167*_xlfn.NORM.DIST(I$3,economics!$AK$2:$AK$167,economics!$AJ$2:$AJ$167,TRUE)),0)</f>
        <v/>
      </c>
      <c r="J5" s="68">
        <f t="array" ref="J5">IF($D5,SUMPRODUCT((economics!$AG$2:$AG$167=$B5)*(economics!$D$2:$D$167="whr")*economics!$AI$2:$AI$167*_xlfn.NORM.DIST(J$3,economics!$AK$2:$AK$167,economics!$AJ$2:$AJ$167,TRUE)),0)</f>
        <v/>
      </c>
      <c r="K5" s="68">
        <f t="array" ref="K5">IF($D5,SUMPRODUCT((economics!$AG$2:$AG$167=$B5)*(economics!$D$2:$D$167="whr")*economics!$AI$2:$AI$167*_xlfn.NORM.DIST(K$3,economics!$AK$2:$AK$167,economics!$AJ$2:$AJ$167,TRUE)),0)</f>
        <v/>
      </c>
      <c r="L5" s="68">
        <f t="array" ref="L5">IF($D5,SUMPRODUCT((economics!$AG$2:$AG$167=$B5)*(economics!$D$2:$D$167="whr")*economics!$AI$2:$AI$167*_xlfn.NORM.DIST(L$3,economics!$AK$2:$AK$167,economics!$AJ$2:$AJ$167,TRUE)),0)</f>
        <v/>
      </c>
      <c r="M5" s="68">
        <f t="array" ref="M5">IF($D5,SUMPRODUCT((economics!$AG$2:$AG$167=$B5)*(economics!$D$2:$D$167="whr")*economics!$AI$2:$AI$167*_xlfn.NORM.DIST(M$3,economics!$AK$2:$AK$167,economics!$AJ$2:$AJ$167,TRUE)),0)</f>
        <v/>
      </c>
      <c r="N5" s="68">
        <f t="array" ref="N5">IF($D5,SUMPRODUCT((economics!$AG$2:$AG$167=$B5)*(economics!$D$2:$D$167="whr")*economics!$AI$2:$AI$167*_xlfn.NORM.DIST(N$3,economics!$AK$2:$AK$167,economics!$AJ$2:$AJ$167,TRUE)),0)</f>
        <v/>
      </c>
      <c r="O5" s="68">
        <f t="array" ref="O5">IF($D5,SUMPRODUCT((economics!$AG$2:$AG$167=$B5)*(economics!$D$2:$D$167="whr")*economics!$AI$2:$AI$167*_xlfn.NORM.DIST(O$3,economics!$AK$2:$AK$167,economics!$AJ$2:$AJ$167,TRUE)),0)</f>
        <v/>
      </c>
      <c r="P5" s="68">
        <f t="array" ref="P5">IF($D5,SUMPRODUCT((economics!$AG$2:$AG$167=$B5)*(economics!$D$2:$D$167="whr")*economics!$AI$2:$AI$167*_xlfn.NORM.DIST(P$3,economics!$AK$2:$AK$167,economics!$AJ$2:$AJ$167,TRUE)),0)</f>
        <v/>
      </c>
      <c r="Q5" s="68">
        <f t="array" ref="Q5">IF($D5,SUMPRODUCT((economics!$AG$2:$AG$167=$B5)*(economics!$D$2:$D$167="whr")*economics!$AI$2:$AI$167*_xlfn.NORM.DIST(Q$3,economics!$AK$2:$AK$167,economics!$AJ$2:$AJ$167,TRUE)),0)</f>
        <v/>
      </c>
      <c r="R5" s="68">
        <f t="array" ref="R5">IF($D5,SUMPRODUCT((economics!$AG$2:$AG$167=$B5)*(economics!$D$2:$D$167="whr")*economics!$AI$2:$AI$167*_xlfn.NORM.DIST(R$3,economics!$AK$2:$AK$167,economics!$AJ$2:$AJ$167,TRUE)),0)</f>
        <v/>
      </c>
      <c r="S5" s="68">
        <f t="array" ref="S5">IF($D5,SUMPRODUCT((economics!$AG$2:$AG$167=$B5)*(economics!$D$2:$D$167="whr")*economics!$AI$2:$AI$167*_xlfn.NORM.DIST(S$3,economics!$AK$2:$AK$167,economics!$AJ$2:$AJ$167,TRUE)),0)</f>
        <v/>
      </c>
      <c r="T5" s="68">
        <f t="array" ref="T5">IF($D5,SUMPRODUCT((economics!$AG$2:$AG$167=$B5)*(economics!$D$2:$D$167="whr")*economics!$AI$2:$AI$167*_xlfn.NORM.DIST(T$3,economics!$AK$2:$AK$167,economics!$AJ$2:$AJ$167,TRUE)),0)</f>
        <v/>
      </c>
      <c r="U5" s="68">
        <f t="array" ref="U5">IF($D5,SUMPRODUCT((economics!$AG$2:$AG$167=$B5)*(economics!$D$2:$D$167="whr")*economics!$AI$2:$AI$167*_xlfn.NORM.DIST(U$3,economics!$AK$2:$AK$167,economics!$AJ$2:$AJ$167,TRUE)),0)</f>
        <v/>
      </c>
      <c r="V5" s="68">
        <f t="array" ref="V5">IF($D5,SUMPRODUCT((economics!$AG$2:$AG$167=$B5)*(economics!$D$2:$D$167="whr")*economics!$AI$2:$AI$167*_xlfn.NORM.DIST(V$3,economics!$AK$2:$AK$167,economics!$AJ$2:$AJ$167,TRUE)),0)</f>
        <v/>
      </c>
      <c r="W5" s="68">
        <f t="array" ref="W5">IF($D5,SUMPRODUCT((economics!$AG$2:$AG$167=$B5)*(economics!$D$2:$D$167="whr")*economics!$AI$2:$AI$167*_xlfn.NORM.DIST(W$3,economics!$AK$2:$AK$167,economics!$AJ$2:$AJ$167,TRUE)),0)</f>
        <v/>
      </c>
      <c r="X5" s="68">
        <f t="array" ref="X5">IF($D5,SUMPRODUCT((economics!$AG$2:$AG$167=$B5)*(economics!$D$2:$D$167="whr")*economics!$AI$2:$AI$167*_xlfn.NORM.DIST(X$3,economics!$AK$2:$AK$167,economics!$AJ$2:$AJ$167,TRUE)),0)</f>
        <v/>
      </c>
      <c r="Y5" s="68">
        <f t="array" ref="Y5">IF($D5,SUMPRODUCT((economics!$AG$2:$AG$167=$B5)*(economics!$D$2:$D$167="whr")*economics!$AI$2:$AI$167*_xlfn.NORM.DIST(Y$3,economics!$AK$2:$AK$167,economics!$AJ$2:$AJ$167,TRUE)),0)</f>
        <v/>
      </c>
      <c r="Z5" s="68">
        <f t="array" ref="Z5">IF($D5,SUMPRODUCT((economics!$AG$2:$AG$167=$B5)*(economics!$D$2:$D$167="whr")*economics!$AI$2:$AI$167*_xlfn.NORM.DIST(Z$3,economics!$AK$2:$AK$167,economics!$AJ$2:$AJ$167,TRUE)),0)</f>
        <v/>
      </c>
      <c r="AA5" s="68">
        <f t="array" ref="AA5">IF($D5,SUMPRODUCT((economics!$AG$2:$AG$167=$B5)*(economics!$D$2:$D$167="whr")*economics!$AI$2:$AI$167*_xlfn.NORM.DIST(AA$3,economics!$AK$2:$AK$167,economics!$AJ$2:$AJ$167,TRUE)),0)</f>
        <v/>
      </c>
      <c r="AB5" s="68">
        <f t="array" ref="AB5">IF($D5,SUMPRODUCT((economics!$AG$2:$AG$167=$B5)*(economics!$D$2:$D$167="whr")*economics!$AI$2:$AI$167*_xlfn.NORM.DIST(AB$3,economics!$AK$2:$AK$167,economics!$AJ$2:$AJ$167,TRUE)),0)</f>
        <v/>
      </c>
      <c r="AC5" s="68">
        <f t="array" ref="AC5">IF($D5,SUMPRODUCT((economics!$AG$2:$AG$167=$B5)*(economics!$D$2:$D$167="whr")*economics!$AI$2:$AI$167*_xlfn.NORM.DIST(AC$3,economics!$AK$2:$AK$167,economics!$AJ$2:$AJ$167,TRUE)),0)</f>
        <v/>
      </c>
      <c r="AD5" s="68">
        <f t="array" ref="AD5">IF($D5,SUMPRODUCT((economics!$AG$2:$AG$167=$B5)*(economics!$D$2:$D$167="whr")*economics!$AI$2:$AI$167*_xlfn.NORM.DIST(AD$3,economics!$AK$2:$AK$167,economics!$AJ$2:$AJ$167,TRUE)),0)</f>
        <v/>
      </c>
      <c r="AE5" s="68">
        <f t="array" ref="AE5">IF($D5,SUMPRODUCT((economics!$AG$2:$AG$167=$B5)*(economics!$D$2:$D$167="whr")*economics!$AI$2:$AI$167*_xlfn.NORM.DIST(AE$3,economics!$AK$2:$AK$167,economics!$AJ$2:$AJ$167,TRUE)),0)</f>
        <v/>
      </c>
      <c r="AF5" s="68">
        <f t="array" ref="AF5">IF($D5,SUMPRODUCT((economics!$AG$2:$AG$167=$B5)*(economics!$D$2:$D$167="whr")*economics!$AI$2:$AI$167*_xlfn.NORM.DIST(AF$3,economics!$AK$2:$AK$167,economics!$AJ$2:$AJ$167,TRUE)),0)</f>
        <v/>
      </c>
      <c r="AG5" s="68">
        <f t="array" ref="AG5">IF($D5,SUMPRODUCT((economics!$AG$2:$AG$167=$B5)*(economics!$D$2:$D$167="whr")*economics!$AI$2:$AI$167*_xlfn.NORM.DIST(AG$3,economics!$AK$2:$AK$167,economics!$AJ$2:$AJ$167,TRUE)),0)</f>
        <v/>
      </c>
      <c r="AH5" s="68">
        <f t="array" ref="AH5">IF($D5,SUMPRODUCT((economics!$AG$2:$AG$167=$B5)*(economics!$D$2:$D$167="whr")*economics!$AI$2:$AI$167*_xlfn.NORM.DIST(AH$3,economics!$AK$2:$AK$167,economics!$AJ$2:$AJ$167,TRUE)),0)</f>
        <v/>
      </c>
      <c r="AI5" s="68">
        <f t="array" ref="AI5">IF($D5,SUMPRODUCT((economics!$AG$2:$AG$167=$B5)*(economics!$D$2:$D$167="whr")*economics!$AI$2:$AI$167*_xlfn.NORM.DIST(AI$3,economics!$AK$2:$AK$167,economics!$AJ$2:$AJ$167,TRUE)),0)</f>
        <v/>
      </c>
      <c r="AJ5" s="68">
        <f t="array" ref="AJ5">IF($D5,SUMPRODUCT((economics!$AG$2:$AG$167=$B5)*(economics!$D$2:$D$167="whr")*economics!$AI$2:$AI$167*_xlfn.NORM.DIST(AJ$3,economics!$AK$2:$AK$167,economics!$AJ$2:$AJ$167,TRUE)),0)</f>
        <v/>
      </c>
      <c r="AK5" s="68">
        <f t="array" ref="AK5">IF($D5,SUMPRODUCT((economics!$AG$2:$AG$167=$B5)*(economics!$D$2:$D$167="whr")*economics!$AI$2:$AI$167*_xlfn.NORM.DIST(AK$3,economics!$AK$2:$AK$167,economics!$AJ$2:$AJ$167,TRUE)),0)</f>
        <v/>
      </c>
      <c r="AL5" s="68">
        <f t="array" ref="AL5">IF($D5,SUMPRODUCT((economics!$AG$2:$AG$167=$B5)*(economics!$D$2:$D$167="whr")*economics!$AI$2:$AI$167*_xlfn.NORM.DIST(AL$3,economics!$AK$2:$AK$167,economics!$AJ$2:$AJ$167,TRUE)),0)</f>
        <v/>
      </c>
      <c r="AM5" s="68">
        <f t="array" ref="AM5">IF($D5,SUMPRODUCT((economics!$AG$2:$AG$167=$B5)*(economics!$D$2:$D$167="whr")*economics!$AI$2:$AI$167*_xlfn.NORM.DIST(AM$3,economics!$AK$2:$AK$167,economics!$AJ$2:$AJ$167,TRUE)),0)</f>
        <v/>
      </c>
      <c r="AN5" s="68">
        <f t="array" ref="AN5">IF($D5,SUMPRODUCT((economics!$AG$2:$AG$167=$B5)*(economics!$D$2:$D$167="whr")*economics!$AI$2:$AI$167*_xlfn.NORM.DIST(AN$3,economics!$AK$2:$AK$167,economics!$AJ$2:$AJ$167,TRUE)),0)</f>
        <v/>
      </c>
      <c r="AO5" s="68">
        <f t="array" ref="AO5">IF($D5,SUMPRODUCT((economics!$AG$2:$AG$167=$B5)*(economics!$D$2:$D$167="whr")*economics!$AI$2:$AI$167*_xlfn.NORM.DIST(AO$3,economics!$AK$2:$AK$167,economics!$AJ$2:$AJ$167,TRUE)),0)</f>
        <v/>
      </c>
      <c r="AP5" s="68">
        <f t="array" ref="AP5">IF($D5,SUMPRODUCT((economics!$AG$2:$AG$167=$B5)*(economics!$D$2:$D$167="whr")*economics!$AI$2:$AI$167*_xlfn.NORM.DIST(AP$3,economics!$AK$2:$AK$167,economics!$AJ$2:$AJ$167,TRUE)),0)</f>
        <v/>
      </c>
      <c r="AQ5" s="68">
        <f t="array" ref="AQ5">IF($D5,SUMPRODUCT((economics!$AG$2:$AG$167=$B5)*(economics!$D$2:$D$167="whr")*economics!$AI$2:$AI$167*_xlfn.NORM.DIST(AQ$3,economics!$AK$2:$AK$167,economics!$AJ$2:$AJ$167,TRUE)),0)</f>
        <v/>
      </c>
      <c r="AR5" s="68">
        <f t="array" ref="AR5">IF($D5,SUMPRODUCT((economics!$AG$2:$AG$167=$B5)*(economics!$D$2:$D$167="whr")*economics!$AI$2:$AI$167*_xlfn.NORM.DIST(AR$3,economics!$AK$2:$AK$167,economics!$AJ$2:$AJ$167,TRUE)),0)</f>
        <v/>
      </c>
      <c r="AS5" s="68">
        <f t="array" ref="AS5">IF($D5,SUMPRODUCT((economics!$AG$2:$AG$167=$B5)*(economics!$D$2:$D$167="whr")*economics!$AI$2:$AI$167*_xlfn.NORM.DIST(AS$3,economics!$AK$2:$AK$167,economics!$AJ$2:$AJ$167,TRUE)),0)</f>
        <v/>
      </c>
      <c r="AT5" s="68">
        <f t="array" ref="AT5">IF($D5,SUMPRODUCT((economics!$AG$2:$AG$167=$B5)*(economics!$D$2:$D$167="whr")*economics!$AI$2:$AI$167*_xlfn.NORM.DIST(AT$3,economics!$AK$2:$AK$167,economics!$AJ$2:$AJ$167,TRUE)),0)</f>
        <v/>
      </c>
      <c r="AU5" s="68">
        <f t="array" ref="AU5">IF($D5,SUMPRODUCT((economics!$AG$2:$AG$167=$B5)*(economics!$D$2:$D$167="whr")*economics!$AI$2:$AI$167*_xlfn.NORM.DIST(AU$3,economics!$AK$2:$AK$167,economics!$AJ$2:$AJ$167,TRUE)),0)</f>
        <v/>
      </c>
      <c r="AV5" s="68">
        <f t="array" ref="AV5">IF($D5,SUMPRODUCT((economics!$AG$2:$AG$167=$B5)*(economics!$D$2:$D$167="whr")*economics!$AI$2:$AI$167*_xlfn.NORM.DIST(AV$3,economics!$AK$2:$AK$167,economics!$AJ$2:$AJ$167,TRUE)),0)</f>
        <v/>
      </c>
      <c r="AW5" s="68">
        <f t="array" ref="AW5">IF($D5,SUMPRODUCT((economics!$AG$2:$AG$167=$B5)*(economics!$D$2:$D$167="whr")*economics!$AI$2:$AI$167*_xlfn.NORM.DIST(AW$3,economics!$AK$2:$AK$167,economics!$AJ$2:$AJ$167,TRUE)),0)</f>
        <v/>
      </c>
      <c r="AX5" s="68">
        <f t="array" ref="AX5">IF($D5,SUMPRODUCT((economics!$AG$2:$AG$167=$B5)*(economics!$D$2:$D$167="whr")*economics!$AI$2:$AI$167*_xlfn.NORM.DIST(AX$3,economics!$AK$2:$AK$167,economics!$AJ$2:$AJ$167,TRUE)),0)</f>
        <v/>
      </c>
      <c r="AY5" s="68">
        <f t="array" ref="AY5">IF($D5,SUMPRODUCT((economics!$AG$2:$AG$167=$B5)*(economics!$D$2:$D$167="whr")*economics!$AI$2:$AI$167*_xlfn.NORM.DIST(AY$3,economics!$AK$2:$AK$167,economics!$AJ$2:$AJ$167,TRUE)),0)</f>
        <v/>
      </c>
      <c r="AZ5" s="68">
        <f t="array" ref="AZ5">IF($D5,SUMPRODUCT((economics!$AG$2:$AG$167=$B5)*(economics!$D$2:$D$167="whr")*economics!$AI$2:$AI$167*_xlfn.NORM.DIST(AZ$3,economics!$AK$2:$AK$167,economics!$AJ$2:$AJ$167,TRUE)),0)</f>
        <v/>
      </c>
      <c r="BA5" s="68">
        <f t="array" ref="BA5">IF($D5,SUMPRODUCT((economics!$AG$2:$AG$167=$B5)*(economics!$D$2:$D$167="whr")*economics!$AI$2:$AI$167*_xlfn.NORM.DIST(BA$3,economics!$AK$2:$AK$167,economics!$AJ$2:$AJ$167,TRUE)),0)</f>
        <v/>
      </c>
      <c r="BB5" s="68">
        <f t="array" ref="BB5">IF($D5,SUMPRODUCT((economics!$AG$2:$AG$167=$B5)*(economics!$D$2:$D$167="whr")*economics!$AI$2:$AI$167*_xlfn.NORM.DIST(BB$3,economics!$AK$2:$AK$167,economics!$AJ$2:$AJ$167,TRUE)),0)</f>
        <v/>
      </c>
      <c r="BC5" s="68">
        <f t="array" ref="BC5">IF($D5,SUMPRODUCT((economics!$AG$2:$AG$167=$B5)*(economics!$D$2:$D$167="whr")*economics!$AI$2:$AI$167*_xlfn.NORM.DIST(BC$3,economics!$AK$2:$AK$167,economics!$AJ$2:$AJ$167,TRUE)),0)</f>
        <v/>
      </c>
      <c r="BD5" s="68">
        <f t="array" ref="BD5">IF($D5,SUMPRODUCT((economics!$AG$2:$AG$167=$B5)*(economics!$D$2:$D$167="whr")*economics!$AI$2:$AI$167*_xlfn.NORM.DIST(BD$3,economics!$AK$2:$AK$167,economics!$AJ$2:$AJ$167,TRUE)),0)</f>
        <v/>
      </c>
      <c r="BE5" s="68">
        <f t="array" ref="BE5">IF($D5,SUMPRODUCT((economics!$AG$2:$AG$167=$B5)*(economics!$D$2:$D$167="whr")*economics!$AI$2:$AI$167*_xlfn.NORM.DIST(BE$3,economics!$AK$2:$AK$167,economics!$AJ$2:$AJ$167,TRUE)),0)</f>
        <v/>
      </c>
      <c r="BF5" s="68">
        <f t="array" ref="BF5">IF($D5,SUMPRODUCT((economics!$AG$2:$AG$167=$B5)*(economics!$D$2:$D$167="whr")*economics!$AI$2:$AI$167*_xlfn.NORM.DIST(BF$3,economics!$AK$2:$AK$167,economics!$AJ$2:$AJ$167,TRUE)),0)</f>
        <v/>
      </c>
      <c r="BG5" s="68">
        <f t="array" ref="BG5">IF($D5,SUMPRODUCT((economics!$AG$2:$AG$167=$B5)*(economics!$D$2:$D$167="whr")*economics!$AI$2:$AI$167*_xlfn.NORM.DIST(BG$3,economics!$AK$2:$AK$167,economics!$AJ$2:$AJ$167,TRUE)),0)</f>
        <v/>
      </c>
      <c r="BH5" s="68">
        <f t="array" ref="BH5">IF($D5,SUMPRODUCT((economics!$AG$2:$AG$167=$B5)*(economics!$D$2:$D$167="whr")*economics!$AI$2:$AI$167*_xlfn.NORM.DIST(BH$3,economics!$AK$2:$AK$167,economics!$AJ$2:$AJ$167,TRUE)),0)</f>
        <v/>
      </c>
      <c r="BI5" s="68">
        <f t="array" ref="BI5">IF($D5,SUMPRODUCT((economics!$AG$2:$AG$167=$B5)*(economics!$D$2:$D$167="whr")*economics!$AI$2:$AI$167*_xlfn.NORM.DIST(BI$3,economics!$AK$2:$AK$167,economics!$AJ$2:$AJ$167,TRUE)),0)</f>
        <v/>
      </c>
      <c r="BJ5" s="68">
        <f t="array" ref="BJ5">IF($D5,SUMPRODUCT((economics!$AG$2:$AG$167=$B5)*(economics!$D$2:$D$167="whr")*economics!$AI$2:$AI$167*_xlfn.NORM.DIST(BJ$3,economics!$AK$2:$AK$167,economics!$AJ$2:$AJ$167,TRUE)),0)</f>
        <v/>
      </c>
      <c r="BK5" s="68">
        <f t="array" ref="BK5">IF($D5,SUMPRODUCT((economics!$AG$2:$AG$167=$B5)*(economics!$D$2:$D$167="whr")*economics!$AI$2:$AI$167*_xlfn.NORM.DIST(BK$3,economics!$AK$2:$AK$167,economics!$AJ$2:$AJ$167,TRUE)),0)</f>
        <v/>
      </c>
      <c r="BL5" s="68">
        <f t="array" ref="BL5">IF($D5,SUMPRODUCT((economics!$AG$2:$AG$167=$B5)*(economics!$D$2:$D$167="whr")*economics!$AI$2:$AI$167*_xlfn.NORM.DIST(BL$3,economics!$AK$2:$AK$167,economics!$AJ$2:$AJ$167,TRUE)),0)</f>
        <v/>
      </c>
      <c r="BM5" s="68">
        <f t="array" ref="BM5">IF($D5,SUMPRODUCT((economics!$AG$2:$AG$167=$B5)*(economics!$D$2:$D$167="whr")*economics!$AI$2:$AI$167*_xlfn.NORM.DIST(BM$3,economics!$AK$2:$AK$167,economics!$AJ$2:$AJ$167,TRUE)),0)</f>
        <v/>
      </c>
      <c r="BN5" s="68">
        <f t="array" ref="BN5">IF($D5,SUMPRODUCT((economics!$AG$2:$AG$167=$B5)*(economics!$D$2:$D$167="whr")*economics!$AI$2:$AI$167*_xlfn.NORM.DIST(BN$3,economics!$AK$2:$AK$167,economics!$AJ$2:$AJ$167,TRUE)),0)</f>
        <v/>
      </c>
      <c r="BO5" s="68">
        <f t="array" ref="BO5">IF($D5,SUMPRODUCT((economics!$AG$2:$AG$167=$B5)*(economics!$D$2:$D$167="whr")*economics!$AI$2:$AI$167*_xlfn.NORM.DIST(BO$3,economics!$AK$2:$AK$167,economics!$AJ$2:$AJ$167,TRUE)),0)</f>
        <v/>
      </c>
      <c r="BP5" s="68">
        <f t="array" ref="BP5">IF($D5,SUMPRODUCT((economics!$AG$2:$AG$167=$B5)*(economics!$D$2:$D$167="whr")*economics!$AI$2:$AI$167*_xlfn.NORM.DIST(BP$3,economics!$AK$2:$AK$167,economics!$AJ$2:$AJ$167,TRUE)),0)</f>
        <v/>
      </c>
      <c r="BQ5" s="68">
        <f t="array" ref="BQ5">IF($D5,SUMPRODUCT((economics!$AG$2:$AG$167=$B5)*(economics!$D$2:$D$167="whr")*economics!$AI$2:$AI$167*_xlfn.NORM.DIST(BQ$3,economics!$AK$2:$AK$167,economics!$AJ$2:$AJ$167,TRUE)),0)</f>
        <v/>
      </c>
      <c r="BR5" s="68">
        <f t="array" ref="BR5">IF($D5,SUMPRODUCT((economics!$AG$2:$AG$167=$B5)*(economics!$D$2:$D$167="whr")*economics!$AI$2:$AI$167*_xlfn.NORM.DIST(BR$3,economics!$AK$2:$AK$167,economics!$AJ$2:$AJ$167,TRUE)),0)</f>
        <v/>
      </c>
      <c r="BS5" s="68">
        <f t="array" ref="BS5">IF($D5,SUMPRODUCT((economics!$AG$2:$AG$167=$B5)*(economics!$D$2:$D$167="whr")*economics!$AI$2:$AI$167*_xlfn.NORM.DIST(BS$3,economics!$AK$2:$AK$167,economics!$AJ$2:$AJ$167,TRUE)),0)</f>
        <v/>
      </c>
      <c r="BT5" s="68">
        <f t="array" ref="BT5">IF($D5,SUMPRODUCT((economics!$AG$2:$AG$167=$B5)*(economics!$D$2:$D$167="whr")*economics!$AI$2:$AI$167*_xlfn.NORM.DIST(BT$3,economics!$AK$2:$AK$167,economics!$AJ$2:$AJ$167,TRUE)),0)</f>
        <v/>
      </c>
      <c r="BU5" s="68">
        <f t="array" ref="BU5">IF($D5,SUMPRODUCT((economics!$AG$2:$AG$167=$B5)*(economics!$D$2:$D$167="whr")*economics!$AI$2:$AI$167*_xlfn.NORM.DIST(BU$3,economics!$AK$2:$AK$167,economics!$AJ$2:$AJ$167,TRUE)),0)</f>
        <v/>
      </c>
      <c r="BV5" s="68">
        <f t="array" ref="BV5">IF($D5,SUMPRODUCT((economics!$AG$2:$AG$167=$B5)*(economics!$D$2:$D$167="whr")*economics!$AI$2:$AI$167*_xlfn.NORM.DIST(BV$3,economics!$AK$2:$AK$167,economics!$AJ$2:$AJ$167,TRUE)),0)</f>
        <v/>
      </c>
      <c r="BW5" s="68">
        <f t="array" ref="BW5">IF($D5,SUMPRODUCT((economics!$AG$2:$AG$167=$B5)*(economics!$D$2:$D$167="whr")*economics!$AI$2:$AI$167*_xlfn.NORM.DIST(BW$3,economics!$AK$2:$AK$167,economics!$AJ$2:$AJ$167,TRUE)),0)</f>
        <v/>
      </c>
      <c r="BX5" s="68">
        <f t="array" ref="BX5">IF($D5,SUMPRODUCT((economics!$AG$2:$AG$167=$B5)*(economics!$D$2:$D$167="whr")*economics!$AI$2:$AI$167*_xlfn.NORM.DIST(BX$3,economics!$AK$2:$AK$167,economics!$AJ$2:$AJ$167,TRUE)),0)</f>
        <v/>
      </c>
      <c r="BY5" s="68">
        <f t="array" ref="BY5">IF($D5,SUMPRODUCT((economics!$AG$2:$AG$167=$B5)*(economics!$D$2:$D$167="whr")*economics!$AI$2:$AI$167*_xlfn.NORM.DIST(BY$3,economics!$AK$2:$AK$167,economics!$AJ$2:$AJ$167,TRUE)),0)</f>
        <v/>
      </c>
      <c r="BZ5" s="68">
        <f t="array" ref="BZ5">IF($D5,SUMPRODUCT((economics!$AG$2:$AG$167=$B5)*(economics!$D$2:$D$167="whr")*economics!$AI$2:$AI$167*_xlfn.NORM.DIST(BZ$3,economics!$AK$2:$AK$167,economics!$AJ$2:$AJ$167,TRUE)),0)</f>
        <v/>
      </c>
      <c r="CA5" s="68">
        <f t="array" ref="CA5">IF($D5,SUMPRODUCT((economics!$AG$2:$AG$167=$B5)*(economics!$D$2:$D$167="whr")*economics!$AI$2:$AI$167*_xlfn.NORM.DIST(CA$3,economics!$AK$2:$AK$167,economics!$AJ$2:$AJ$167,TRUE)),0)</f>
        <v/>
      </c>
      <c r="CB5" s="68">
        <f t="array" ref="CB5">IF($D5,SUMPRODUCT((economics!$AG$2:$AG$167=$B5)*(economics!$D$2:$D$167="whr")*economics!$AI$2:$AI$167*_xlfn.NORM.DIST(CB$3,economics!$AK$2:$AK$167,economics!$AJ$2:$AJ$167,TRUE)),0)</f>
        <v/>
      </c>
      <c r="CC5" s="68">
        <f t="array" ref="CC5">IF($D5,SUMPRODUCT((economics!$AG$2:$AG$167=$B5)*(economics!$D$2:$D$167="whr")*economics!$AI$2:$AI$167*_xlfn.NORM.DIST(CC$3,economics!$AK$2:$AK$167,economics!$AJ$2:$AJ$167,TRUE)),0)</f>
        <v/>
      </c>
      <c r="CD5" s="68">
        <f t="array" ref="CD5">IF($D5,SUMPRODUCT((economics!$AG$2:$AG$167=$B5)*(economics!$D$2:$D$167="whr")*economics!$AI$2:$AI$167*_xlfn.NORM.DIST(CD$3,economics!$AK$2:$AK$167,economics!$AJ$2:$AJ$167,TRUE)),0)</f>
        <v/>
      </c>
      <c r="CE5" s="68">
        <f t="array" ref="CE5">IF($D5,SUMPRODUCT((economics!$AG$2:$AG$167=$B5)*(economics!$D$2:$D$167="whr")*economics!$AI$2:$AI$167*_xlfn.NORM.DIST(CE$3,economics!$AK$2:$AK$167,economics!$AJ$2:$AJ$167,TRUE)),0)</f>
        <v/>
      </c>
      <c r="CF5" s="68">
        <f t="array" ref="CF5">IF($D5,SUMPRODUCT((economics!$AG$2:$AG$167=$B5)*(economics!$D$2:$D$167="whr")*economics!$AI$2:$AI$167*_xlfn.NORM.DIST(CF$3,economics!$AK$2:$AK$167,economics!$AJ$2:$AJ$167,TRUE)),0)</f>
        <v/>
      </c>
      <c r="CG5" s="68">
        <f t="array" ref="CG5">IF($D5,SUMPRODUCT((economics!$AG$2:$AG$167=$B5)*(economics!$D$2:$D$167="whr")*economics!$AI$2:$AI$167*_xlfn.NORM.DIST(CG$3,economics!$AK$2:$AK$167,economics!$AJ$2:$AJ$167,TRUE)),0)</f>
        <v/>
      </c>
      <c r="CH5" s="68">
        <f t="array" ref="CH5">IF($D5,SUMPRODUCT((economics!$AG$2:$AG$167=$B5)*(economics!$D$2:$D$167="whr")*economics!$AI$2:$AI$167*_xlfn.NORM.DIST(CH$3,economics!$AK$2:$AK$167,economics!$AJ$2:$AJ$167,TRUE)),0)</f>
        <v/>
      </c>
    </row>
    <row r="6">
      <c r="A6">
        <f>WHRPbI!A4</f>
        <v/>
      </c>
      <c r="B6" t="n">
        <v>6</v>
      </c>
      <c r="C6" s="68">
        <f>WHRPbI!B4</f>
        <v/>
      </c>
      <c r="D6">
        <f>ISNUMBER(MATCH($B6,'energy base (MECS)'!$K$4:$K$9,0))</f>
        <v/>
      </c>
      <c r="E6" s="68">
        <f t="array" ref="E6">IF($D6,SUMPRODUCT((economics!$AG$2:$AG$167=$B6)*(economics!$D$2:$D$167="whr")*economics!$AI$2:$AI$167*_xlfn.NORM.DIST(E$3,economics!$AK$2:$AK$167,economics!$AJ$2:$AJ$167,TRUE)),0)</f>
        <v/>
      </c>
      <c r="F6" s="68">
        <f t="array" ref="F6">IF($D6,SUMPRODUCT((economics!$AG$2:$AG$167=$B6)*(economics!$D$2:$D$167="whr")*economics!$AI$2:$AI$167*_xlfn.NORM.DIST(F$3,economics!$AK$2:$AK$167,economics!$AJ$2:$AJ$167,TRUE)),0)</f>
        <v/>
      </c>
      <c r="G6" s="68">
        <f t="array" ref="G6">IF($D6,SUMPRODUCT((economics!$AG$2:$AG$167=$B6)*(economics!$D$2:$D$167="whr")*economics!$AI$2:$AI$167*_xlfn.NORM.DIST(G$3,economics!$AK$2:$AK$167,economics!$AJ$2:$AJ$167,TRUE)),0)</f>
        <v/>
      </c>
      <c r="H6" s="68">
        <f t="array" ref="H6">IF($D6,SUMPRODUCT((economics!$AG$2:$AG$167=$B6)*(economics!$D$2:$D$167="whr")*economics!$AI$2:$AI$167*_xlfn.NORM.DIST(H$3,economics!$AK$2:$AK$167,economics!$AJ$2:$AJ$167,TRUE)),0)</f>
        <v/>
      </c>
      <c r="I6" s="68">
        <f t="array" ref="I6">IF($D6,SUMPRODUCT((economics!$AG$2:$AG$167=$B6)*(economics!$D$2:$D$167="whr")*economics!$AI$2:$AI$167*_xlfn.NORM.DIST(I$3,economics!$AK$2:$AK$167,economics!$AJ$2:$AJ$167,TRUE)),0)</f>
        <v/>
      </c>
      <c r="J6" s="68">
        <f t="array" ref="J6">IF($D6,SUMPRODUCT((economics!$AG$2:$AG$167=$B6)*(economics!$D$2:$D$167="whr")*economics!$AI$2:$AI$167*_xlfn.NORM.DIST(J$3,economics!$AK$2:$AK$167,economics!$AJ$2:$AJ$167,TRUE)),0)</f>
        <v/>
      </c>
      <c r="K6" s="68">
        <f t="array" ref="K6">IF($D6,SUMPRODUCT((economics!$AG$2:$AG$167=$B6)*(economics!$D$2:$D$167="whr")*economics!$AI$2:$AI$167*_xlfn.NORM.DIST(K$3,economics!$AK$2:$AK$167,economics!$AJ$2:$AJ$167,TRUE)),0)</f>
        <v/>
      </c>
      <c r="L6" s="68">
        <f t="array" ref="L6">IF($D6,SUMPRODUCT((economics!$AG$2:$AG$167=$B6)*(economics!$D$2:$D$167="whr")*economics!$AI$2:$AI$167*_xlfn.NORM.DIST(L$3,economics!$AK$2:$AK$167,economics!$AJ$2:$AJ$167,TRUE)),0)</f>
        <v/>
      </c>
      <c r="M6" s="68">
        <f t="array" ref="M6">IF($D6,SUMPRODUCT((economics!$AG$2:$AG$167=$B6)*(economics!$D$2:$D$167="whr")*economics!$AI$2:$AI$167*_xlfn.NORM.DIST(M$3,economics!$AK$2:$AK$167,economics!$AJ$2:$AJ$167,TRUE)),0)</f>
        <v/>
      </c>
      <c r="N6" s="68">
        <f t="array" ref="N6">IF($D6,SUMPRODUCT((economics!$AG$2:$AG$167=$B6)*(economics!$D$2:$D$167="whr")*economics!$AI$2:$AI$167*_xlfn.NORM.DIST(N$3,economics!$AK$2:$AK$167,economics!$AJ$2:$AJ$167,TRUE)),0)</f>
        <v/>
      </c>
      <c r="O6" s="68">
        <f t="array" ref="O6">IF($D6,SUMPRODUCT((economics!$AG$2:$AG$167=$B6)*(economics!$D$2:$D$167="whr")*economics!$AI$2:$AI$167*_xlfn.NORM.DIST(O$3,economics!$AK$2:$AK$167,economics!$AJ$2:$AJ$167,TRUE)),0)</f>
        <v/>
      </c>
      <c r="P6" s="68">
        <f t="array" ref="P6">IF($D6,SUMPRODUCT((economics!$AG$2:$AG$167=$B6)*(economics!$D$2:$D$167="whr")*economics!$AI$2:$AI$167*_xlfn.NORM.DIST(P$3,economics!$AK$2:$AK$167,economics!$AJ$2:$AJ$167,TRUE)),0)</f>
        <v/>
      </c>
      <c r="Q6" s="68">
        <f t="array" ref="Q6">IF($D6,SUMPRODUCT((economics!$AG$2:$AG$167=$B6)*(economics!$D$2:$D$167="whr")*economics!$AI$2:$AI$167*_xlfn.NORM.DIST(Q$3,economics!$AK$2:$AK$167,economics!$AJ$2:$AJ$167,TRUE)),0)</f>
        <v/>
      </c>
      <c r="R6" s="68">
        <f t="array" ref="R6">IF($D6,SUMPRODUCT((economics!$AG$2:$AG$167=$B6)*(economics!$D$2:$D$167="whr")*economics!$AI$2:$AI$167*_xlfn.NORM.DIST(R$3,economics!$AK$2:$AK$167,economics!$AJ$2:$AJ$167,TRUE)),0)</f>
        <v/>
      </c>
      <c r="S6" s="68">
        <f t="array" ref="S6">IF($D6,SUMPRODUCT((economics!$AG$2:$AG$167=$B6)*(economics!$D$2:$D$167="whr")*economics!$AI$2:$AI$167*_xlfn.NORM.DIST(S$3,economics!$AK$2:$AK$167,economics!$AJ$2:$AJ$167,TRUE)),0)</f>
        <v/>
      </c>
      <c r="T6" s="68">
        <f t="array" ref="T6">IF($D6,SUMPRODUCT((economics!$AG$2:$AG$167=$B6)*(economics!$D$2:$D$167="whr")*economics!$AI$2:$AI$167*_xlfn.NORM.DIST(T$3,economics!$AK$2:$AK$167,economics!$AJ$2:$AJ$167,TRUE)),0)</f>
        <v/>
      </c>
      <c r="U6" s="68">
        <f t="array" ref="U6">IF($D6,SUMPRODUCT((economics!$AG$2:$AG$167=$B6)*(economics!$D$2:$D$167="whr")*economics!$AI$2:$AI$167*_xlfn.NORM.DIST(U$3,economics!$AK$2:$AK$167,economics!$AJ$2:$AJ$167,TRUE)),0)</f>
        <v/>
      </c>
      <c r="V6" s="68">
        <f t="array" ref="V6">IF($D6,SUMPRODUCT((economics!$AG$2:$AG$167=$B6)*(economics!$D$2:$D$167="whr")*economics!$AI$2:$AI$167*_xlfn.NORM.DIST(V$3,economics!$AK$2:$AK$167,economics!$AJ$2:$AJ$167,TRUE)),0)</f>
        <v/>
      </c>
      <c r="W6" s="68">
        <f t="array" ref="W6">IF($D6,SUMPRODUCT((economics!$AG$2:$AG$167=$B6)*(economics!$D$2:$D$167="whr")*economics!$AI$2:$AI$167*_xlfn.NORM.DIST(W$3,economics!$AK$2:$AK$167,economics!$AJ$2:$AJ$167,TRUE)),0)</f>
        <v/>
      </c>
      <c r="X6" s="68">
        <f t="array" ref="X6">IF($D6,SUMPRODUCT((economics!$AG$2:$AG$167=$B6)*(economics!$D$2:$D$167="whr")*economics!$AI$2:$AI$167*_xlfn.NORM.DIST(X$3,economics!$AK$2:$AK$167,economics!$AJ$2:$AJ$167,TRUE)),0)</f>
        <v/>
      </c>
      <c r="Y6" s="68">
        <f t="array" ref="Y6">IF($D6,SUMPRODUCT((economics!$AG$2:$AG$167=$B6)*(economics!$D$2:$D$167="whr")*economics!$AI$2:$AI$167*_xlfn.NORM.DIST(Y$3,economics!$AK$2:$AK$167,economics!$AJ$2:$AJ$167,TRUE)),0)</f>
        <v/>
      </c>
      <c r="Z6" s="68">
        <f t="array" ref="Z6">IF($D6,SUMPRODUCT((economics!$AG$2:$AG$167=$B6)*(economics!$D$2:$D$167="whr")*economics!$AI$2:$AI$167*_xlfn.NORM.DIST(Z$3,economics!$AK$2:$AK$167,economics!$AJ$2:$AJ$167,TRUE)),0)</f>
        <v/>
      </c>
      <c r="AA6" s="68">
        <f t="array" ref="AA6">IF($D6,SUMPRODUCT((economics!$AG$2:$AG$167=$B6)*(economics!$D$2:$D$167="whr")*economics!$AI$2:$AI$167*_xlfn.NORM.DIST(AA$3,economics!$AK$2:$AK$167,economics!$AJ$2:$AJ$167,TRUE)),0)</f>
        <v/>
      </c>
      <c r="AB6" s="68">
        <f t="array" ref="AB6">IF($D6,SUMPRODUCT((economics!$AG$2:$AG$167=$B6)*(economics!$D$2:$D$167="whr")*economics!$AI$2:$AI$167*_xlfn.NORM.DIST(AB$3,economics!$AK$2:$AK$167,economics!$AJ$2:$AJ$167,TRUE)),0)</f>
        <v/>
      </c>
      <c r="AC6" s="68">
        <f t="array" ref="AC6">IF($D6,SUMPRODUCT((economics!$AG$2:$AG$167=$B6)*(economics!$D$2:$D$167="whr")*economics!$AI$2:$AI$167*_xlfn.NORM.DIST(AC$3,economics!$AK$2:$AK$167,economics!$AJ$2:$AJ$167,TRUE)),0)</f>
        <v/>
      </c>
      <c r="AD6" s="68">
        <f t="array" ref="AD6">IF($D6,SUMPRODUCT((economics!$AG$2:$AG$167=$B6)*(economics!$D$2:$D$167="whr")*economics!$AI$2:$AI$167*_xlfn.NORM.DIST(AD$3,economics!$AK$2:$AK$167,economics!$AJ$2:$AJ$167,TRUE)),0)</f>
        <v/>
      </c>
      <c r="AE6" s="68">
        <f t="array" ref="AE6">IF($D6,SUMPRODUCT((economics!$AG$2:$AG$167=$B6)*(economics!$D$2:$D$167="whr")*economics!$AI$2:$AI$167*_xlfn.NORM.DIST(AE$3,economics!$AK$2:$AK$167,economics!$AJ$2:$AJ$167,TRUE)),0)</f>
        <v/>
      </c>
      <c r="AF6" s="68">
        <f t="array" ref="AF6">IF($D6,SUMPRODUCT((economics!$AG$2:$AG$167=$B6)*(economics!$D$2:$D$167="whr")*economics!$AI$2:$AI$167*_xlfn.NORM.DIST(AF$3,economics!$AK$2:$AK$167,economics!$AJ$2:$AJ$167,TRUE)),0)</f>
        <v/>
      </c>
      <c r="AG6" s="68">
        <f t="array" ref="AG6">IF($D6,SUMPRODUCT((economics!$AG$2:$AG$167=$B6)*(economics!$D$2:$D$167="whr")*economics!$AI$2:$AI$167*_xlfn.NORM.DIST(AG$3,economics!$AK$2:$AK$167,economics!$AJ$2:$AJ$167,TRUE)),0)</f>
        <v/>
      </c>
      <c r="AH6" s="68">
        <f t="array" ref="AH6">IF($D6,SUMPRODUCT((economics!$AG$2:$AG$167=$B6)*(economics!$D$2:$D$167="whr")*economics!$AI$2:$AI$167*_xlfn.NORM.DIST(AH$3,economics!$AK$2:$AK$167,economics!$AJ$2:$AJ$167,TRUE)),0)</f>
        <v/>
      </c>
      <c r="AI6" s="68">
        <f t="array" ref="AI6">IF($D6,SUMPRODUCT((economics!$AG$2:$AG$167=$B6)*(economics!$D$2:$D$167="whr")*economics!$AI$2:$AI$167*_xlfn.NORM.DIST(AI$3,economics!$AK$2:$AK$167,economics!$AJ$2:$AJ$167,TRUE)),0)</f>
        <v/>
      </c>
      <c r="AJ6" s="68">
        <f t="array" ref="AJ6">IF($D6,SUMPRODUCT((economics!$AG$2:$AG$167=$B6)*(economics!$D$2:$D$167="whr")*economics!$AI$2:$AI$167*_xlfn.NORM.DIST(AJ$3,economics!$AK$2:$AK$167,economics!$AJ$2:$AJ$167,TRUE)),0)</f>
        <v/>
      </c>
      <c r="AK6" s="68">
        <f t="array" ref="AK6">IF($D6,SUMPRODUCT((economics!$AG$2:$AG$167=$B6)*(economics!$D$2:$D$167="whr")*economics!$AI$2:$AI$167*_xlfn.NORM.DIST(AK$3,economics!$AK$2:$AK$167,economics!$AJ$2:$AJ$167,TRUE)),0)</f>
        <v/>
      </c>
      <c r="AL6" s="68">
        <f t="array" ref="AL6">IF($D6,SUMPRODUCT((economics!$AG$2:$AG$167=$B6)*(economics!$D$2:$D$167="whr")*economics!$AI$2:$AI$167*_xlfn.NORM.DIST(AL$3,economics!$AK$2:$AK$167,economics!$AJ$2:$AJ$167,TRUE)),0)</f>
        <v/>
      </c>
      <c r="AM6" s="68">
        <f t="array" ref="AM6">IF($D6,SUMPRODUCT((economics!$AG$2:$AG$167=$B6)*(economics!$D$2:$D$167="whr")*economics!$AI$2:$AI$167*_xlfn.NORM.DIST(AM$3,economics!$AK$2:$AK$167,economics!$AJ$2:$AJ$167,TRUE)),0)</f>
        <v/>
      </c>
      <c r="AN6" s="68">
        <f t="array" ref="AN6">IF($D6,SUMPRODUCT((economics!$AG$2:$AG$167=$B6)*(economics!$D$2:$D$167="whr")*economics!$AI$2:$AI$167*_xlfn.NORM.DIST(AN$3,economics!$AK$2:$AK$167,economics!$AJ$2:$AJ$167,TRUE)),0)</f>
        <v/>
      </c>
      <c r="AO6" s="68">
        <f t="array" ref="AO6">IF($D6,SUMPRODUCT((economics!$AG$2:$AG$167=$B6)*(economics!$D$2:$D$167="whr")*economics!$AI$2:$AI$167*_xlfn.NORM.DIST(AO$3,economics!$AK$2:$AK$167,economics!$AJ$2:$AJ$167,TRUE)),0)</f>
        <v/>
      </c>
      <c r="AP6" s="68">
        <f t="array" ref="AP6">IF($D6,SUMPRODUCT((economics!$AG$2:$AG$167=$B6)*(economics!$D$2:$D$167="whr")*economics!$AI$2:$AI$167*_xlfn.NORM.DIST(AP$3,economics!$AK$2:$AK$167,economics!$AJ$2:$AJ$167,TRUE)),0)</f>
        <v/>
      </c>
      <c r="AQ6" s="68">
        <f t="array" ref="AQ6">IF($D6,SUMPRODUCT((economics!$AG$2:$AG$167=$B6)*(economics!$D$2:$D$167="whr")*economics!$AI$2:$AI$167*_xlfn.NORM.DIST(AQ$3,economics!$AK$2:$AK$167,economics!$AJ$2:$AJ$167,TRUE)),0)</f>
        <v/>
      </c>
      <c r="AR6" s="68">
        <f t="array" ref="AR6">IF($D6,SUMPRODUCT((economics!$AG$2:$AG$167=$B6)*(economics!$D$2:$D$167="whr")*economics!$AI$2:$AI$167*_xlfn.NORM.DIST(AR$3,economics!$AK$2:$AK$167,economics!$AJ$2:$AJ$167,TRUE)),0)</f>
        <v/>
      </c>
      <c r="AS6" s="68">
        <f t="array" ref="AS6">IF($D6,SUMPRODUCT((economics!$AG$2:$AG$167=$B6)*(economics!$D$2:$D$167="whr")*economics!$AI$2:$AI$167*_xlfn.NORM.DIST(AS$3,economics!$AK$2:$AK$167,economics!$AJ$2:$AJ$167,TRUE)),0)</f>
        <v/>
      </c>
      <c r="AT6" s="68">
        <f t="array" ref="AT6">IF($D6,SUMPRODUCT((economics!$AG$2:$AG$167=$B6)*(economics!$D$2:$D$167="whr")*economics!$AI$2:$AI$167*_xlfn.NORM.DIST(AT$3,economics!$AK$2:$AK$167,economics!$AJ$2:$AJ$167,TRUE)),0)</f>
        <v/>
      </c>
      <c r="AU6" s="68">
        <f t="array" ref="AU6">IF($D6,SUMPRODUCT((economics!$AG$2:$AG$167=$B6)*(economics!$D$2:$D$167="whr")*economics!$AI$2:$AI$167*_xlfn.NORM.DIST(AU$3,economics!$AK$2:$AK$167,economics!$AJ$2:$AJ$167,TRUE)),0)</f>
        <v/>
      </c>
      <c r="AV6" s="68">
        <f t="array" ref="AV6">IF($D6,SUMPRODUCT((economics!$AG$2:$AG$167=$B6)*(economics!$D$2:$D$167="whr")*economics!$AI$2:$AI$167*_xlfn.NORM.DIST(AV$3,economics!$AK$2:$AK$167,economics!$AJ$2:$AJ$167,TRUE)),0)</f>
        <v/>
      </c>
      <c r="AW6" s="68">
        <f t="array" ref="AW6">IF($D6,SUMPRODUCT((economics!$AG$2:$AG$167=$B6)*(economics!$D$2:$D$167="whr")*economics!$AI$2:$AI$167*_xlfn.NORM.DIST(AW$3,economics!$AK$2:$AK$167,economics!$AJ$2:$AJ$167,TRUE)),0)</f>
        <v/>
      </c>
      <c r="AX6" s="68">
        <f t="array" ref="AX6">IF($D6,SUMPRODUCT((economics!$AG$2:$AG$167=$B6)*(economics!$D$2:$D$167="whr")*economics!$AI$2:$AI$167*_xlfn.NORM.DIST(AX$3,economics!$AK$2:$AK$167,economics!$AJ$2:$AJ$167,TRUE)),0)</f>
        <v/>
      </c>
      <c r="AY6" s="68">
        <f t="array" ref="AY6">IF($D6,SUMPRODUCT((economics!$AG$2:$AG$167=$B6)*(economics!$D$2:$D$167="whr")*economics!$AI$2:$AI$167*_xlfn.NORM.DIST(AY$3,economics!$AK$2:$AK$167,economics!$AJ$2:$AJ$167,TRUE)),0)</f>
        <v/>
      </c>
      <c r="AZ6" s="68">
        <f t="array" ref="AZ6">IF($D6,SUMPRODUCT((economics!$AG$2:$AG$167=$B6)*(economics!$D$2:$D$167="whr")*economics!$AI$2:$AI$167*_xlfn.NORM.DIST(AZ$3,economics!$AK$2:$AK$167,economics!$AJ$2:$AJ$167,TRUE)),0)</f>
        <v/>
      </c>
      <c r="BA6" s="68">
        <f t="array" ref="BA6">IF($D6,SUMPRODUCT((economics!$AG$2:$AG$167=$B6)*(economics!$D$2:$D$167="whr")*economics!$AI$2:$AI$167*_xlfn.NORM.DIST(BA$3,economics!$AK$2:$AK$167,economics!$AJ$2:$AJ$167,TRUE)),0)</f>
        <v/>
      </c>
      <c r="BB6" s="68">
        <f t="array" ref="BB6">IF($D6,SUMPRODUCT((economics!$AG$2:$AG$167=$B6)*(economics!$D$2:$D$167="whr")*economics!$AI$2:$AI$167*_xlfn.NORM.DIST(BB$3,economics!$AK$2:$AK$167,economics!$AJ$2:$AJ$167,TRUE)),0)</f>
        <v/>
      </c>
      <c r="BC6" s="68">
        <f t="array" ref="BC6">IF($D6,SUMPRODUCT((economics!$AG$2:$AG$167=$B6)*(economics!$D$2:$D$167="whr")*economics!$AI$2:$AI$167*_xlfn.NORM.DIST(BC$3,economics!$AK$2:$AK$167,economics!$AJ$2:$AJ$167,TRUE)),0)</f>
        <v/>
      </c>
      <c r="BD6" s="68">
        <f t="array" ref="BD6">IF($D6,SUMPRODUCT((economics!$AG$2:$AG$167=$B6)*(economics!$D$2:$D$167="whr")*economics!$AI$2:$AI$167*_xlfn.NORM.DIST(BD$3,economics!$AK$2:$AK$167,economics!$AJ$2:$AJ$167,TRUE)),0)</f>
        <v/>
      </c>
      <c r="BE6" s="68">
        <f t="array" ref="BE6">IF($D6,SUMPRODUCT((economics!$AG$2:$AG$167=$B6)*(economics!$D$2:$D$167="whr")*economics!$AI$2:$AI$167*_xlfn.NORM.DIST(BE$3,economics!$AK$2:$AK$167,economics!$AJ$2:$AJ$167,TRUE)),0)</f>
        <v/>
      </c>
      <c r="BF6" s="68">
        <f t="array" ref="BF6">IF($D6,SUMPRODUCT((economics!$AG$2:$AG$167=$B6)*(economics!$D$2:$D$167="whr")*economics!$AI$2:$AI$167*_xlfn.NORM.DIST(BF$3,economics!$AK$2:$AK$167,economics!$AJ$2:$AJ$167,TRUE)),0)</f>
        <v/>
      </c>
      <c r="BG6" s="68">
        <f t="array" ref="BG6">IF($D6,SUMPRODUCT((economics!$AG$2:$AG$167=$B6)*(economics!$D$2:$D$167="whr")*economics!$AI$2:$AI$167*_xlfn.NORM.DIST(BG$3,economics!$AK$2:$AK$167,economics!$AJ$2:$AJ$167,TRUE)),0)</f>
        <v/>
      </c>
      <c r="BH6" s="68">
        <f t="array" ref="BH6">IF($D6,SUMPRODUCT((economics!$AG$2:$AG$167=$B6)*(economics!$D$2:$D$167="whr")*economics!$AI$2:$AI$167*_xlfn.NORM.DIST(BH$3,economics!$AK$2:$AK$167,economics!$AJ$2:$AJ$167,TRUE)),0)</f>
        <v/>
      </c>
      <c r="BI6" s="68">
        <f t="array" ref="BI6">IF($D6,SUMPRODUCT((economics!$AG$2:$AG$167=$B6)*(economics!$D$2:$D$167="whr")*economics!$AI$2:$AI$167*_xlfn.NORM.DIST(BI$3,economics!$AK$2:$AK$167,economics!$AJ$2:$AJ$167,TRUE)),0)</f>
        <v/>
      </c>
      <c r="BJ6" s="68">
        <f t="array" ref="BJ6">IF($D6,SUMPRODUCT((economics!$AG$2:$AG$167=$B6)*(economics!$D$2:$D$167="whr")*economics!$AI$2:$AI$167*_xlfn.NORM.DIST(BJ$3,economics!$AK$2:$AK$167,economics!$AJ$2:$AJ$167,TRUE)),0)</f>
        <v/>
      </c>
      <c r="BK6" s="68">
        <f t="array" ref="BK6">IF($D6,SUMPRODUCT((economics!$AG$2:$AG$167=$B6)*(economics!$D$2:$D$167="whr")*economics!$AI$2:$AI$167*_xlfn.NORM.DIST(BK$3,economics!$AK$2:$AK$167,economics!$AJ$2:$AJ$167,TRUE)),0)</f>
        <v/>
      </c>
      <c r="BL6" s="68">
        <f t="array" ref="BL6">IF($D6,SUMPRODUCT((economics!$AG$2:$AG$167=$B6)*(economics!$D$2:$D$167="whr")*economics!$AI$2:$AI$167*_xlfn.NORM.DIST(BL$3,economics!$AK$2:$AK$167,economics!$AJ$2:$AJ$167,TRUE)),0)</f>
        <v/>
      </c>
      <c r="BM6" s="68">
        <f t="array" ref="BM6">IF($D6,SUMPRODUCT((economics!$AG$2:$AG$167=$B6)*(economics!$D$2:$D$167="whr")*economics!$AI$2:$AI$167*_xlfn.NORM.DIST(BM$3,economics!$AK$2:$AK$167,economics!$AJ$2:$AJ$167,TRUE)),0)</f>
        <v/>
      </c>
      <c r="BN6" s="68">
        <f t="array" ref="BN6">IF($D6,SUMPRODUCT((economics!$AG$2:$AG$167=$B6)*(economics!$D$2:$D$167="whr")*economics!$AI$2:$AI$167*_xlfn.NORM.DIST(BN$3,economics!$AK$2:$AK$167,economics!$AJ$2:$AJ$167,TRUE)),0)</f>
        <v/>
      </c>
      <c r="BO6" s="68">
        <f t="array" ref="BO6">IF($D6,SUMPRODUCT((economics!$AG$2:$AG$167=$B6)*(economics!$D$2:$D$167="whr")*economics!$AI$2:$AI$167*_xlfn.NORM.DIST(BO$3,economics!$AK$2:$AK$167,economics!$AJ$2:$AJ$167,TRUE)),0)</f>
        <v/>
      </c>
      <c r="BP6" s="68">
        <f t="array" ref="BP6">IF($D6,SUMPRODUCT((economics!$AG$2:$AG$167=$B6)*(economics!$D$2:$D$167="whr")*economics!$AI$2:$AI$167*_xlfn.NORM.DIST(BP$3,economics!$AK$2:$AK$167,economics!$AJ$2:$AJ$167,TRUE)),0)</f>
        <v/>
      </c>
      <c r="BQ6" s="68">
        <f t="array" ref="BQ6">IF($D6,SUMPRODUCT((economics!$AG$2:$AG$167=$B6)*(economics!$D$2:$D$167="whr")*economics!$AI$2:$AI$167*_xlfn.NORM.DIST(BQ$3,economics!$AK$2:$AK$167,economics!$AJ$2:$AJ$167,TRUE)),0)</f>
        <v/>
      </c>
      <c r="BR6" s="68">
        <f t="array" ref="BR6">IF($D6,SUMPRODUCT((economics!$AG$2:$AG$167=$B6)*(economics!$D$2:$D$167="whr")*economics!$AI$2:$AI$167*_xlfn.NORM.DIST(BR$3,economics!$AK$2:$AK$167,economics!$AJ$2:$AJ$167,TRUE)),0)</f>
        <v/>
      </c>
      <c r="BS6" s="68">
        <f t="array" ref="BS6">IF($D6,SUMPRODUCT((economics!$AG$2:$AG$167=$B6)*(economics!$D$2:$D$167="whr")*economics!$AI$2:$AI$167*_xlfn.NORM.DIST(BS$3,economics!$AK$2:$AK$167,economics!$AJ$2:$AJ$167,TRUE)),0)</f>
        <v/>
      </c>
      <c r="BT6" s="68">
        <f t="array" ref="BT6">IF($D6,SUMPRODUCT((economics!$AG$2:$AG$167=$B6)*(economics!$D$2:$D$167="whr")*economics!$AI$2:$AI$167*_xlfn.NORM.DIST(BT$3,economics!$AK$2:$AK$167,economics!$AJ$2:$AJ$167,TRUE)),0)</f>
        <v/>
      </c>
      <c r="BU6" s="68">
        <f t="array" ref="BU6">IF($D6,SUMPRODUCT((economics!$AG$2:$AG$167=$B6)*(economics!$D$2:$D$167="whr")*economics!$AI$2:$AI$167*_xlfn.NORM.DIST(BU$3,economics!$AK$2:$AK$167,economics!$AJ$2:$AJ$167,TRUE)),0)</f>
        <v/>
      </c>
      <c r="BV6" s="68">
        <f t="array" ref="BV6">IF($D6,SUMPRODUCT((economics!$AG$2:$AG$167=$B6)*(economics!$D$2:$D$167="whr")*economics!$AI$2:$AI$167*_xlfn.NORM.DIST(BV$3,economics!$AK$2:$AK$167,economics!$AJ$2:$AJ$167,TRUE)),0)</f>
        <v/>
      </c>
      <c r="BW6" s="68">
        <f t="array" ref="BW6">IF($D6,SUMPRODUCT((economics!$AG$2:$AG$167=$B6)*(economics!$D$2:$D$167="whr")*economics!$AI$2:$AI$167*_xlfn.NORM.DIST(BW$3,economics!$AK$2:$AK$167,economics!$AJ$2:$AJ$167,TRUE)),0)</f>
        <v/>
      </c>
      <c r="BX6" s="68">
        <f t="array" ref="BX6">IF($D6,SUMPRODUCT((economics!$AG$2:$AG$167=$B6)*(economics!$D$2:$D$167="whr")*economics!$AI$2:$AI$167*_xlfn.NORM.DIST(BX$3,economics!$AK$2:$AK$167,economics!$AJ$2:$AJ$167,TRUE)),0)</f>
        <v/>
      </c>
      <c r="BY6" s="68">
        <f t="array" ref="BY6">IF($D6,SUMPRODUCT((economics!$AG$2:$AG$167=$B6)*(economics!$D$2:$D$167="whr")*economics!$AI$2:$AI$167*_xlfn.NORM.DIST(BY$3,economics!$AK$2:$AK$167,economics!$AJ$2:$AJ$167,TRUE)),0)</f>
        <v/>
      </c>
      <c r="BZ6" s="68">
        <f t="array" ref="BZ6">IF($D6,SUMPRODUCT((economics!$AG$2:$AG$167=$B6)*(economics!$D$2:$D$167="whr")*economics!$AI$2:$AI$167*_xlfn.NORM.DIST(BZ$3,economics!$AK$2:$AK$167,economics!$AJ$2:$AJ$167,TRUE)),0)</f>
        <v/>
      </c>
      <c r="CA6" s="68">
        <f t="array" ref="CA6">IF($D6,SUMPRODUCT((economics!$AG$2:$AG$167=$B6)*(economics!$D$2:$D$167="whr")*economics!$AI$2:$AI$167*_xlfn.NORM.DIST(CA$3,economics!$AK$2:$AK$167,economics!$AJ$2:$AJ$167,TRUE)),0)</f>
        <v/>
      </c>
      <c r="CB6" s="68">
        <f t="array" ref="CB6">IF($D6,SUMPRODUCT((economics!$AG$2:$AG$167=$B6)*(economics!$D$2:$D$167="whr")*economics!$AI$2:$AI$167*_xlfn.NORM.DIST(CB$3,economics!$AK$2:$AK$167,economics!$AJ$2:$AJ$167,TRUE)),0)</f>
        <v/>
      </c>
      <c r="CC6" s="68">
        <f t="array" ref="CC6">IF($D6,SUMPRODUCT((economics!$AG$2:$AG$167=$B6)*(economics!$D$2:$D$167="whr")*economics!$AI$2:$AI$167*_xlfn.NORM.DIST(CC$3,economics!$AK$2:$AK$167,economics!$AJ$2:$AJ$167,TRUE)),0)</f>
        <v/>
      </c>
      <c r="CD6" s="68">
        <f t="array" ref="CD6">IF($D6,SUMPRODUCT((economics!$AG$2:$AG$167=$B6)*(economics!$D$2:$D$167="whr")*economics!$AI$2:$AI$167*_xlfn.NORM.DIST(CD$3,economics!$AK$2:$AK$167,economics!$AJ$2:$AJ$167,TRUE)),0)</f>
        <v/>
      </c>
      <c r="CE6" s="68">
        <f t="array" ref="CE6">IF($D6,SUMPRODUCT((economics!$AG$2:$AG$167=$B6)*(economics!$D$2:$D$167="whr")*economics!$AI$2:$AI$167*_xlfn.NORM.DIST(CE$3,economics!$AK$2:$AK$167,economics!$AJ$2:$AJ$167,TRUE)),0)</f>
        <v/>
      </c>
      <c r="CF6" s="68">
        <f t="array" ref="CF6">IF($D6,SUMPRODUCT((economics!$AG$2:$AG$167=$B6)*(economics!$D$2:$D$167="whr")*economics!$AI$2:$AI$167*_xlfn.NORM.DIST(CF$3,economics!$AK$2:$AK$167,economics!$AJ$2:$AJ$167,TRUE)),0)</f>
        <v/>
      </c>
      <c r="CG6" s="68">
        <f t="array" ref="CG6">IF($D6,SUMPRODUCT((economics!$AG$2:$AG$167=$B6)*(economics!$D$2:$D$167="whr")*economics!$AI$2:$AI$167*_xlfn.NORM.DIST(CG$3,economics!$AK$2:$AK$167,economics!$AJ$2:$AJ$167,TRUE)),0)</f>
        <v/>
      </c>
      <c r="CH6" s="68">
        <f t="array" ref="CH6">IF($D6,SUMPRODUCT((economics!$AG$2:$AG$167=$B6)*(economics!$D$2:$D$167="whr")*economics!$AI$2:$AI$167*_xlfn.NORM.DIST(CH$3,economics!$AK$2:$AK$167,economics!$AJ$2:$AJ$167,TRUE)),0)</f>
        <v/>
      </c>
    </row>
    <row r="7">
      <c r="A7">
        <f>WHRPbI!A5</f>
        <v/>
      </c>
      <c r="B7" t="inlineStr">
        <is>
          <t>07T08</t>
        </is>
      </c>
      <c r="C7" s="68">
        <f>WHRPbI!B5</f>
        <v/>
      </c>
      <c r="D7">
        <f>ISNUMBER(MATCH($B7,'energy base (MECS)'!$K$4:$K$9,0))</f>
        <v/>
      </c>
      <c r="E7" s="68">
        <f t="array" ref="E7">IF($D7,SUMPRODUCT((economics!$AG$2:$AG$167=$B7)*(economics!$D$2:$D$167="whr")*economics!$AI$2:$AI$167*_xlfn.NORM.DIST(E$3,economics!$AK$2:$AK$167,economics!$AJ$2:$AJ$167,TRUE)),0)</f>
        <v/>
      </c>
      <c r="F7" s="68">
        <f t="array" ref="F7">IF($D7,SUMPRODUCT((economics!$AG$2:$AG$167=$B7)*(economics!$D$2:$D$167="whr")*economics!$AI$2:$AI$167*_xlfn.NORM.DIST(F$3,economics!$AK$2:$AK$167,economics!$AJ$2:$AJ$167,TRUE)),0)</f>
        <v/>
      </c>
      <c r="G7" s="68">
        <f t="array" ref="G7">IF($D7,SUMPRODUCT((economics!$AG$2:$AG$167=$B7)*(economics!$D$2:$D$167="whr")*economics!$AI$2:$AI$167*_xlfn.NORM.DIST(G$3,economics!$AK$2:$AK$167,economics!$AJ$2:$AJ$167,TRUE)),0)</f>
        <v/>
      </c>
      <c r="H7" s="68">
        <f t="array" ref="H7">IF($D7,SUMPRODUCT((economics!$AG$2:$AG$167=$B7)*(economics!$D$2:$D$167="whr")*economics!$AI$2:$AI$167*_xlfn.NORM.DIST(H$3,economics!$AK$2:$AK$167,economics!$AJ$2:$AJ$167,TRUE)),0)</f>
        <v/>
      </c>
      <c r="I7" s="68">
        <f t="array" ref="I7">IF($D7,SUMPRODUCT((economics!$AG$2:$AG$167=$B7)*(economics!$D$2:$D$167="whr")*economics!$AI$2:$AI$167*_xlfn.NORM.DIST(I$3,economics!$AK$2:$AK$167,economics!$AJ$2:$AJ$167,TRUE)),0)</f>
        <v/>
      </c>
      <c r="J7" s="68">
        <f t="array" ref="J7">IF($D7,SUMPRODUCT((economics!$AG$2:$AG$167=$B7)*(economics!$D$2:$D$167="whr")*economics!$AI$2:$AI$167*_xlfn.NORM.DIST(J$3,economics!$AK$2:$AK$167,economics!$AJ$2:$AJ$167,TRUE)),0)</f>
        <v/>
      </c>
      <c r="K7" s="68">
        <f t="array" ref="K7">IF($D7,SUMPRODUCT((economics!$AG$2:$AG$167=$B7)*(economics!$D$2:$D$167="whr")*economics!$AI$2:$AI$167*_xlfn.NORM.DIST(K$3,economics!$AK$2:$AK$167,economics!$AJ$2:$AJ$167,TRUE)),0)</f>
        <v/>
      </c>
      <c r="L7" s="68">
        <f t="array" ref="L7">IF($D7,SUMPRODUCT((economics!$AG$2:$AG$167=$B7)*(economics!$D$2:$D$167="whr")*economics!$AI$2:$AI$167*_xlfn.NORM.DIST(L$3,economics!$AK$2:$AK$167,economics!$AJ$2:$AJ$167,TRUE)),0)</f>
        <v/>
      </c>
      <c r="M7" s="68">
        <f t="array" ref="M7">IF($D7,SUMPRODUCT((economics!$AG$2:$AG$167=$B7)*(economics!$D$2:$D$167="whr")*economics!$AI$2:$AI$167*_xlfn.NORM.DIST(M$3,economics!$AK$2:$AK$167,economics!$AJ$2:$AJ$167,TRUE)),0)</f>
        <v/>
      </c>
      <c r="N7" s="68">
        <f t="array" ref="N7">IF($D7,SUMPRODUCT((economics!$AG$2:$AG$167=$B7)*(economics!$D$2:$D$167="whr")*economics!$AI$2:$AI$167*_xlfn.NORM.DIST(N$3,economics!$AK$2:$AK$167,economics!$AJ$2:$AJ$167,TRUE)),0)</f>
        <v/>
      </c>
      <c r="O7" s="68">
        <f t="array" ref="O7">IF($D7,SUMPRODUCT((economics!$AG$2:$AG$167=$B7)*(economics!$D$2:$D$167="whr")*economics!$AI$2:$AI$167*_xlfn.NORM.DIST(O$3,economics!$AK$2:$AK$167,economics!$AJ$2:$AJ$167,TRUE)),0)</f>
        <v/>
      </c>
      <c r="P7" s="68">
        <f t="array" ref="P7">IF($D7,SUMPRODUCT((economics!$AG$2:$AG$167=$B7)*(economics!$D$2:$D$167="whr")*economics!$AI$2:$AI$167*_xlfn.NORM.DIST(P$3,economics!$AK$2:$AK$167,economics!$AJ$2:$AJ$167,TRUE)),0)</f>
        <v/>
      </c>
      <c r="Q7" s="68">
        <f t="array" ref="Q7">IF($D7,SUMPRODUCT((economics!$AG$2:$AG$167=$B7)*(economics!$D$2:$D$167="whr")*economics!$AI$2:$AI$167*_xlfn.NORM.DIST(Q$3,economics!$AK$2:$AK$167,economics!$AJ$2:$AJ$167,TRUE)),0)</f>
        <v/>
      </c>
      <c r="R7" s="68">
        <f t="array" ref="R7">IF($D7,SUMPRODUCT((economics!$AG$2:$AG$167=$B7)*(economics!$D$2:$D$167="whr")*economics!$AI$2:$AI$167*_xlfn.NORM.DIST(R$3,economics!$AK$2:$AK$167,economics!$AJ$2:$AJ$167,TRUE)),0)</f>
        <v/>
      </c>
      <c r="S7" s="68">
        <f t="array" ref="S7">IF($D7,SUMPRODUCT((economics!$AG$2:$AG$167=$B7)*(economics!$D$2:$D$167="whr")*economics!$AI$2:$AI$167*_xlfn.NORM.DIST(S$3,economics!$AK$2:$AK$167,economics!$AJ$2:$AJ$167,TRUE)),0)</f>
        <v/>
      </c>
      <c r="T7" s="68">
        <f t="array" ref="T7">IF($D7,SUMPRODUCT((economics!$AG$2:$AG$167=$B7)*(economics!$D$2:$D$167="whr")*economics!$AI$2:$AI$167*_xlfn.NORM.DIST(T$3,economics!$AK$2:$AK$167,economics!$AJ$2:$AJ$167,TRUE)),0)</f>
        <v/>
      </c>
      <c r="U7" s="68">
        <f t="array" ref="U7">IF($D7,SUMPRODUCT((economics!$AG$2:$AG$167=$B7)*(economics!$D$2:$D$167="whr")*economics!$AI$2:$AI$167*_xlfn.NORM.DIST(U$3,economics!$AK$2:$AK$167,economics!$AJ$2:$AJ$167,TRUE)),0)</f>
        <v/>
      </c>
      <c r="V7" s="68">
        <f t="array" ref="V7">IF($D7,SUMPRODUCT((economics!$AG$2:$AG$167=$B7)*(economics!$D$2:$D$167="whr")*economics!$AI$2:$AI$167*_xlfn.NORM.DIST(V$3,economics!$AK$2:$AK$167,economics!$AJ$2:$AJ$167,TRUE)),0)</f>
        <v/>
      </c>
      <c r="W7" s="68">
        <f t="array" ref="W7">IF($D7,SUMPRODUCT((economics!$AG$2:$AG$167=$B7)*(economics!$D$2:$D$167="whr")*economics!$AI$2:$AI$167*_xlfn.NORM.DIST(W$3,economics!$AK$2:$AK$167,economics!$AJ$2:$AJ$167,TRUE)),0)</f>
        <v/>
      </c>
      <c r="X7" s="68">
        <f t="array" ref="X7">IF($D7,SUMPRODUCT((economics!$AG$2:$AG$167=$B7)*(economics!$D$2:$D$167="whr")*economics!$AI$2:$AI$167*_xlfn.NORM.DIST(X$3,economics!$AK$2:$AK$167,economics!$AJ$2:$AJ$167,TRUE)),0)</f>
        <v/>
      </c>
      <c r="Y7" s="68">
        <f t="array" ref="Y7">IF($D7,SUMPRODUCT((economics!$AG$2:$AG$167=$B7)*(economics!$D$2:$D$167="whr")*economics!$AI$2:$AI$167*_xlfn.NORM.DIST(Y$3,economics!$AK$2:$AK$167,economics!$AJ$2:$AJ$167,TRUE)),0)</f>
        <v/>
      </c>
      <c r="Z7" s="68">
        <f t="array" ref="Z7">IF($D7,SUMPRODUCT((economics!$AG$2:$AG$167=$B7)*(economics!$D$2:$D$167="whr")*economics!$AI$2:$AI$167*_xlfn.NORM.DIST(Z$3,economics!$AK$2:$AK$167,economics!$AJ$2:$AJ$167,TRUE)),0)</f>
        <v/>
      </c>
      <c r="AA7" s="68">
        <f t="array" ref="AA7">IF($D7,SUMPRODUCT((economics!$AG$2:$AG$167=$B7)*(economics!$D$2:$D$167="whr")*economics!$AI$2:$AI$167*_xlfn.NORM.DIST(AA$3,economics!$AK$2:$AK$167,economics!$AJ$2:$AJ$167,TRUE)),0)</f>
        <v/>
      </c>
      <c r="AB7" s="68">
        <f t="array" ref="AB7">IF($D7,SUMPRODUCT((economics!$AG$2:$AG$167=$B7)*(economics!$D$2:$D$167="whr")*economics!$AI$2:$AI$167*_xlfn.NORM.DIST(AB$3,economics!$AK$2:$AK$167,economics!$AJ$2:$AJ$167,TRUE)),0)</f>
        <v/>
      </c>
      <c r="AC7" s="68">
        <f t="array" ref="AC7">IF($D7,SUMPRODUCT((economics!$AG$2:$AG$167=$B7)*(economics!$D$2:$D$167="whr")*economics!$AI$2:$AI$167*_xlfn.NORM.DIST(AC$3,economics!$AK$2:$AK$167,economics!$AJ$2:$AJ$167,TRUE)),0)</f>
        <v/>
      </c>
      <c r="AD7" s="68">
        <f t="array" ref="AD7">IF($D7,SUMPRODUCT((economics!$AG$2:$AG$167=$B7)*(economics!$D$2:$D$167="whr")*economics!$AI$2:$AI$167*_xlfn.NORM.DIST(AD$3,economics!$AK$2:$AK$167,economics!$AJ$2:$AJ$167,TRUE)),0)</f>
        <v/>
      </c>
      <c r="AE7" s="68">
        <f t="array" ref="AE7">IF($D7,SUMPRODUCT((economics!$AG$2:$AG$167=$B7)*(economics!$D$2:$D$167="whr")*economics!$AI$2:$AI$167*_xlfn.NORM.DIST(AE$3,economics!$AK$2:$AK$167,economics!$AJ$2:$AJ$167,TRUE)),0)</f>
        <v/>
      </c>
      <c r="AF7" s="68">
        <f t="array" ref="AF7">IF($D7,SUMPRODUCT((economics!$AG$2:$AG$167=$B7)*(economics!$D$2:$D$167="whr")*economics!$AI$2:$AI$167*_xlfn.NORM.DIST(AF$3,economics!$AK$2:$AK$167,economics!$AJ$2:$AJ$167,TRUE)),0)</f>
        <v/>
      </c>
      <c r="AG7" s="68">
        <f t="array" ref="AG7">IF($D7,SUMPRODUCT((economics!$AG$2:$AG$167=$B7)*(economics!$D$2:$D$167="whr")*economics!$AI$2:$AI$167*_xlfn.NORM.DIST(AG$3,economics!$AK$2:$AK$167,economics!$AJ$2:$AJ$167,TRUE)),0)</f>
        <v/>
      </c>
      <c r="AH7" s="68">
        <f t="array" ref="AH7">IF($D7,SUMPRODUCT((economics!$AG$2:$AG$167=$B7)*(economics!$D$2:$D$167="whr")*economics!$AI$2:$AI$167*_xlfn.NORM.DIST(AH$3,economics!$AK$2:$AK$167,economics!$AJ$2:$AJ$167,TRUE)),0)</f>
        <v/>
      </c>
      <c r="AI7" s="68">
        <f t="array" ref="AI7">IF($D7,SUMPRODUCT((economics!$AG$2:$AG$167=$B7)*(economics!$D$2:$D$167="whr")*economics!$AI$2:$AI$167*_xlfn.NORM.DIST(AI$3,economics!$AK$2:$AK$167,economics!$AJ$2:$AJ$167,TRUE)),0)</f>
        <v/>
      </c>
      <c r="AJ7" s="68">
        <f t="array" ref="AJ7">IF($D7,SUMPRODUCT((economics!$AG$2:$AG$167=$B7)*(economics!$D$2:$D$167="whr")*economics!$AI$2:$AI$167*_xlfn.NORM.DIST(AJ$3,economics!$AK$2:$AK$167,economics!$AJ$2:$AJ$167,TRUE)),0)</f>
        <v/>
      </c>
      <c r="AK7" s="68">
        <f t="array" ref="AK7">IF($D7,SUMPRODUCT((economics!$AG$2:$AG$167=$B7)*(economics!$D$2:$D$167="whr")*economics!$AI$2:$AI$167*_xlfn.NORM.DIST(AK$3,economics!$AK$2:$AK$167,economics!$AJ$2:$AJ$167,TRUE)),0)</f>
        <v/>
      </c>
      <c r="AL7" s="68">
        <f t="array" ref="AL7">IF($D7,SUMPRODUCT((economics!$AG$2:$AG$167=$B7)*(economics!$D$2:$D$167="whr")*economics!$AI$2:$AI$167*_xlfn.NORM.DIST(AL$3,economics!$AK$2:$AK$167,economics!$AJ$2:$AJ$167,TRUE)),0)</f>
        <v/>
      </c>
      <c r="AM7" s="68">
        <f t="array" ref="AM7">IF($D7,SUMPRODUCT((economics!$AG$2:$AG$167=$B7)*(economics!$D$2:$D$167="whr")*economics!$AI$2:$AI$167*_xlfn.NORM.DIST(AM$3,economics!$AK$2:$AK$167,economics!$AJ$2:$AJ$167,TRUE)),0)</f>
        <v/>
      </c>
      <c r="AN7" s="68">
        <f t="array" ref="AN7">IF($D7,SUMPRODUCT((economics!$AG$2:$AG$167=$B7)*(economics!$D$2:$D$167="whr")*economics!$AI$2:$AI$167*_xlfn.NORM.DIST(AN$3,economics!$AK$2:$AK$167,economics!$AJ$2:$AJ$167,TRUE)),0)</f>
        <v/>
      </c>
      <c r="AO7" s="68">
        <f t="array" ref="AO7">IF($D7,SUMPRODUCT((economics!$AG$2:$AG$167=$B7)*(economics!$D$2:$D$167="whr")*economics!$AI$2:$AI$167*_xlfn.NORM.DIST(AO$3,economics!$AK$2:$AK$167,economics!$AJ$2:$AJ$167,TRUE)),0)</f>
        <v/>
      </c>
      <c r="AP7" s="68">
        <f t="array" ref="AP7">IF($D7,SUMPRODUCT((economics!$AG$2:$AG$167=$B7)*(economics!$D$2:$D$167="whr")*economics!$AI$2:$AI$167*_xlfn.NORM.DIST(AP$3,economics!$AK$2:$AK$167,economics!$AJ$2:$AJ$167,TRUE)),0)</f>
        <v/>
      </c>
      <c r="AQ7" s="68">
        <f t="array" ref="AQ7">IF($D7,SUMPRODUCT((economics!$AG$2:$AG$167=$B7)*(economics!$D$2:$D$167="whr")*economics!$AI$2:$AI$167*_xlfn.NORM.DIST(AQ$3,economics!$AK$2:$AK$167,economics!$AJ$2:$AJ$167,TRUE)),0)</f>
        <v/>
      </c>
      <c r="AR7" s="68">
        <f t="array" ref="AR7">IF($D7,SUMPRODUCT((economics!$AG$2:$AG$167=$B7)*(economics!$D$2:$D$167="whr")*economics!$AI$2:$AI$167*_xlfn.NORM.DIST(AR$3,economics!$AK$2:$AK$167,economics!$AJ$2:$AJ$167,TRUE)),0)</f>
        <v/>
      </c>
      <c r="AS7" s="68">
        <f t="array" ref="AS7">IF($D7,SUMPRODUCT((economics!$AG$2:$AG$167=$B7)*(economics!$D$2:$D$167="whr")*economics!$AI$2:$AI$167*_xlfn.NORM.DIST(AS$3,economics!$AK$2:$AK$167,economics!$AJ$2:$AJ$167,TRUE)),0)</f>
        <v/>
      </c>
      <c r="AT7" s="68">
        <f t="array" ref="AT7">IF($D7,SUMPRODUCT((economics!$AG$2:$AG$167=$B7)*(economics!$D$2:$D$167="whr")*economics!$AI$2:$AI$167*_xlfn.NORM.DIST(AT$3,economics!$AK$2:$AK$167,economics!$AJ$2:$AJ$167,TRUE)),0)</f>
        <v/>
      </c>
      <c r="AU7" s="68">
        <f t="array" ref="AU7">IF($D7,SUMPRODUCT((economics!$AG$2:$AG$167=$B7)*(economics!$D$2:$D$167="whr")*economics!$AI$2:$AI$167*_xlfn.NORM.DIST(AU$3,economics!$AK$2:$AK$167,economics!$AJ$2:$AJ$167,TRUE)),0)</f>
        <v/>
      </c>
      <c r="AV7" s="68">
        <f t="array" ref="AV7">IF($D7,SUMPRODUCT((economics!$AG$2:$AG$167=$B7)*(economics!$D$2:$D$167="whr")*economics!$AI$2:$AI$167*_xlfn.NORM.DIST(AV$3,economics!$AK$2:$AK$167,economics!$AJ$2:$AJ$167,TRUE)),0)</f>
        <v/>
      </c>
      <c r="AW7" s="68">
        <f t="array" ref="AW7">IF($D7,SUMPRODUCT((economics!$AG$2:$AG$167=$B7)*(economics!$D$2:$D$167="whr")*economics!$AI$2:$AI$167*_xlfn.NORM.DIST(AW$3,economics!$AK$2:$AK$167,economics!$AJ$2:$AJ$167,TRUE)),0)</f>
        <v/>
      </c>
      <c r="AX7" s="68">
        <f t="array" ref="AX7">IF($D7,SUMPRODUCT((economics!$AG$2:$AG$167=$B7)*(economics!$D$2:$D$167="whr")*economics!$AI$2:$AI$167*_xlfn.NORM.DIST(AX$3,economics!$AK$2:$AK$167,economics!$AJ$2:$AJ$167,TRUE)),0)</f>
        <v/>
      </c>
      <c r="AY7" s="68">
        <f t="array" ref="AY7">IF($D7,SUMPRODUCT((economics!$AG$2:$AG$167=$B7)*(economics!$D$2:$D$167="whr")*economics!$AI$2:$AI$167*_xlfn.NORM.DIST(AY$3,economics!$AK$2:$AK$167,economics!$AJ$2:$AJ$167,TRUE)),0)</f>
        <v/>
      </c>
      <c r="AZ7" s="68">
        <f t="array" ref="AZ7">IF($D7,SUMPRODUCT((economics!$AG$2:$AG$167=$B7)*(economics!$D$2:$D$167="whr")*economics!$AI$2:$AI$167*_xlfn.NORM.DIST(AZ$3,economics!$AK$2:$AK$167,economics!$AJ$2:$AJ$167,TRUE)),0)</f>
        <v/>
      </c>
      <c r="BA7" s="68">
        <f t="array" ref="BA7">IF($D7,SUMPRODUCT((economics!$AG$2:$AG$167=$B7)*(economics!$D$2:$D$167="whr")*economics!$AI$2:$AI$167*_xlfn.NORM.DIST(BA$3,economics!$AK$2:$AK$167,economics!$AJ$2:$AJ$167,TRUE)),0)</f>
        <v/>
      </c>
      <c r="BB7" s="68">
        <f t="array" ref="BB7">IF($D7,SUMPRODUCT((economics!$AG$2:$AG$167=$B7)*(economics!$D$2:$D$167="whr")*economics!$AI$2:$AI$167*_xlfn.NORM.DIST(BB$3,economics!$AK$2:$AK$167,economics!$AJ$2:$AJ$167,TRUE)),0)</f>
        <v/>
      </c>
      <c r="BC7" s="68">
        <f t="array" ref="BC7">IF($D7,SUMPRODUCT((economics!$AG$2:$AG$167=$B7)*(economics!$D$2:$D$167="whr")*economics!$AI$2:$AI$167*_xlfn.NORM.DIST(BC$3,economics!$AK$2:$AK$167,economics!$AJ$2:$AJ$167,TRUE)),0)</f>
        <v/>
      </c>
      <c r="BD7" s="68">
        <f t="array" ref="BD7">IF($D7,SUMPRODUCT((economics!$AG$2:$AG$167=$B7)*(economics!$D$2:$D$167="whr")*economics!$AI$2:$AI$167*_xlfn.NORM.DIST(BD$3,economics!$AK$2:$AK$167,economics!$AJ$2:$AJ$167,TRUE)),0)</f>
        <v/>
      </c>
      <c r="BE7" s="68">
        <f t="array" ref="BE7">IF($D7,SUMPRODUCT((economics!$AG$2:$AG$167=$B7)*(economics!$D$2:$D$167="whr")*economics!$AI$2:$AI$167*_xlfn.NORM.DIST(BE$3,economics!$AK$2:$AK$167,economics!$AJ$2:$AJ$167,TRUE)),0)</f>
        <v/>
      </c>
      <c r="BF7" s="68">
        <f t="array" ref="BF7">IF($D7,SUMPRODUCT((economics!$AG$2:$AG$167=$B7)*(economics!$D$2:$D$167="whr")*economics!$AI$2:$AI$167*_xlfn.NORM.DIST(BF$3,economics!$AK$2:$AK$167,economics!$AJ$2:$AJ$167,TRUE)),0)</f>
        <v/>
      </c>
      <c r="BG7" s="68">
        <f t="array" ref="BG7">IF($D7,SUMPRODUCT((economics!$AG$2:$AG$167=$B7)*(economics!$D$2:$D$167="whr")*economics!$AI$2:$AI$167*_xlfn.NORM.DIST(BG$3,economics!$AK$2:$AK$167,economics!$AJ$2:$AJ$167,TRUE)),0)</f>
        <v/>
      </c>
      <c r="BH7" s="68">
        <f t="array" ref="BH7">IF($D7,SUMPRODUCT((economics!$AG$2:$AG$167=$B7)*(economics!$D$2:$D$167="whr")*economics!$AI$2:$AI$167*_xlfn.NORM.DIST(BH$3,economics!$AK$2:$AK$167,economics!$AJ$2:$AJ$167,TRUE)),0)</f>
        <v/>
      </c>
      <c r="BI7" s="68">
        <f t="array" ref="BI7">IF($D7,SUMPRODUCT((economics!$AG$2:$AG$167=$B7)*(economics!$D$2:$D$167="whr")*economics!$AI$2:$AI$167*_xlfn.NORM.DIST(BI$3,economics!$AK$2:$AK$167,economics!$AJ$2:$AJ$167,TRUE)),0)</f>
        <v/>
      </c>
      <c r="BJ7" s="68">
        <f t="array" ref="BJ7">IF($D7,SUMPRODUCT((economics!$AG$2:$AG$167=$B7)*(economics!$D$2:$D$167="whr")*economics!$AI$2:$AI$167*_xlfn.NORM.DIST(BJ$3,economics!$AK$2:$AK$167,economics!$AJ$2:$AJ$167,TRUE)),0)</f>
        <v/>
      </c>
      <c r="BK7" s="68">
        <f t="array" ref="BK7">IF($D7,SUMPRODUCT((economics!$AG$2:$AG$167=$B7)*(economics!$D$2:$D$167="whr")*economics!$AI$2:$AI$167*_xlfn.NORM.DIST(BK$3,economics!$AK$2:$AK$167,economics!$AJ$2:$AJ$167,TRUE)),0)</f>
        <v/>
      </c>
      <c r="BL7" s="68">
        <f t="array" ref="BL7">IF($D7,SUMPRODUCT((economics!$AG$2:$AG$167=$B7)*(economics!$D$2:$D$167="whr")*economics!$AI$2:$AI$167*_xlfn.NORM.DIST(BL$3,economics!$AK$2:$AK$167,economics!$AJ$2:$AJ$167,TRUE)),0)</f>
        <v/>
      </c>
      <c r="BM7" s="68">
        <f t="array" ref="BM7">IF($D7,SUMPRODUCT((economics!$AG$2:$AG$167=$B7)*(economics!$D$2:$D$167="whr")*economics!$AI$2:$AI$167*_xlfn.NORM.DIST(BM$3,economics!$AK$2:$AK$167,economics!$AJ$2:$AJ$167,TRUE)),0)</f>
        <v/>
      </c>
      <c r="BN7" s="68">
        <f t="array" ref="BN7">IF($D7,SUMPRODUCT((economics!$AG$2:$AG$167=$B7)*(economics!$D$2:$D$167="whr")*economics!$AI$2:$AI$167*_xlfn.NORM.DIST(BN$3,economics!$AK$2:$AK$167,economics!$AJ$2:$AJ$167,TRUE)),0)</f>
        <v/>
      </c>
      <c r="BO7" s="68">
        <f t="array" ref="BO7">IF($D7,SUMPRODUCT((economics!$AG$2:$AG$167=$B7)*(economics!$D$2:$D$167="whr")*economics!$AI$2:$AI$167*_xlfn.NORM.DIST(BO$3,economics!$AK$2:$AK$167,economics!$AJ$2:$AJ$167,TRUE)),0)</f>
        <v/>
      </c>
      <c r="BP7" s="68">
        <f t="array" ref="BP7">IF($D7,SUMPRODUCT((economics!$AG$2:$AG$167=$B7)*(economics!$D$2:$D$167="whr")*economics!$AI$2:$AI$167*_xlfn.NORM.DIST(BP$3,economics!$AK$2:$AK$167,economics!$AJ$2:$AJ$167,TRUE)),0)</f>
        <v/>
      </c>
      <c r="BQ7" s="68">
        <f t="array" ref="BQ7">IF($D7,SUMPRODUCT((economics!$AG$2:$AG$167=$B7)*(economics!$D$2:$D$167="whr")*economics!$AI$2:$AI$167*_xlfn.NORM.DIST(BQ$3,economics!$AK$2:$AK$167,economics!$AJ$2:$AJ$167,TRUE)),0)</f>
        <v/>
      </c>
      <c r="BR7" s="68">
        <f t="array" ref="BR7">IF($D7,SUMPRODUCT((economics!$AG$2:$AG$167=$B7)*(economics!$D$2:$D$167="whr")*economics!$AI$2:$AI$167*_xlfn.NORM.DIST(BR$3,economics!$AK$2:$AK$167,economics!$AJ$2:$AJ$167,TRUE)),0)</f>
        <v/>
      </c>
      <c r="BS7" s="68">
        <f t="array" ref="BS7">IF($D7,SUMPRODUCT((economics!$AG$2:$AG$167=$B7)*(economics!$D$2:$D$167="whr")*economics!$AI$2:$AI$167*_xlfn.NORM.DIST(BS$3,economics!$AK$2:$AK$167,economics!$AJ$2:$AJ$167,TRUE)),0)</f>
        <v/>
      </c>
      <c r="BT7" s="68">
        <f t="array" ref="BT7">IF($D7,SUMPRODUCT((economics!$AG$2:$AG$167=$B7)*(economics!$D$2:$D$167="whr")*economics!$AI$2:$AI$167*_xlfn.NORM.DIST(BT$3,economics!$AK$2:$AK$167,economics!$AJ$2:$AJ$167,TRUE)),0)</f>
        <v/>
      </c>
      <c r="BU7" s="68">
        <f t="array" ref="BU7">IF($D7,SUMPRODUCT((economics!$AG$2:$AG$167=$B7)*(economics!$D$2:$D$167="whr")*economics!$AI$2:$AI$167*_xlfn.NORM.DIST(BU$3,economics!$AK$2:$AK$167,economics!$AJ$2:$AJ$167,TRUE)),0)</f>
        <v/>
      </c>
      <c r="BV7" s="68">
        <f t="array" ref="BV7">IF($D7,SUMPRODUCT((economics!$AG$2:$AG$167=$B7)*(economics!$D$2:$D$167="whr")*economics!$AI$2:$AI$167*_xlfn.NORM.DIST(BV$3,economics!$AK$2:$AK$167,economics!$AJ$2:$AJ$167,TRUE)),0)</f>
        <v/>
      </c>
      <c r="BW7" s="68">
        <f t="array" ref="BW7">IF($D7,SUMPRODUCT((economics!$AG$2:$AG$167=$B7)*(economics!$D$2:$D$167="whr")*economics!$AI$2:$AI$167*_xlfn.NORM.DIST(BW$3,economics!$AK$2:$AK$167,economics!$AJ$2:$AJ$167,TRUE)),0)</f>
        <v/>
      </c>
      <c r="BX7" s="68">
        <f t="array" ref="BX7">IF($D7,SUMPRODUCT((economics!$AG$2:$AG$167=$B7)*(economics!$D$2:$D$167="whr")*economics!$AI$2:$AI$167*_xlfn.NORM.DIST(BX$3,economics!$AK$2:$AK$167,economics!$AJ$2:$AJ$167,TRUE)),0)</f>
        <v/>
      </c>
      <c r="BY7" s="68">
        <f t="array" ref="BY7">IF($D7,SUMPRODUCT((economics!$AG$2:$AG$167=$B7)*(economics!$D$2:$D$167="whr")*economics!$AI$2:$AI$167*_xlfn.NORM.DIST(BY$3,economics!$AK$2:$AK$167,economics!$AJ$2:$AJ$167,TRUE)),0)</f>
        <v/>
      </c>
      <c r="BZ7" s="68">
        <f t="array" ref="BZ7">IF($D7,SUMPRODUCT((economics!$AG$2:$AG$167=$B7)*(economics!$D$2:$D$167="whr")*economics!$AI$2:$AI$167*_xlfn.NORM.DIST(BZ$3,economics!$AK$2:$AK$167,economics!$AJ$2:$AJ$167,TRUE)),0)</f>
        <v/>
      </c>
      <c r="CA7" s="68">
        <f t="array" ref="CA7">IF($D7,SUMPRODUCT((economics!$AG$2:$AG$167=$B7)*(economics!$D$2:$D$167="whr")*economics!$AI$2:$AI$167*_xlfn.NORM.DIST(CA$3,economics!$AK$2:$AK$167,economics!$AJ$2:$AJ$167,TRUE)),0)</f>
        <v/>
      </c>
      <c r="CB7" s="68">
        <f t="array" ref="CB7">IF($D7,SUMPRODUCT((economics!$AG$2:$AG$167=$B7)*(economics!$D$2:$D$167="whr")*economics!$AI$2:$AI$167*_xlfn.NORM.DIST(CB$3,economics!$AK$2:$AK$167,economics!$AJ$2:$AJ$167,TRUE)),0)</f>
        <v/>
      </c>
      <c r="CC7" s="68">
        <f t="array" ref="CC7">IF($D7,SUMPRODUCT((economics!$AG$2:$AG$167=$B7)*(economics!$D$2:$D$167="whr")*economics!$AI$2:$AI$167*_xlfn.NORM.DIST(CC$3,economics!$AK$2:$AK$167,economics!$AJ$2:$AJ$167,TRUE)),0)</f>
        <v/>
      </c>
      <c r="CD7" s="68">
        <f t="array" ref="CD7">IF($D7,SUMPRODUCT((economics!$AG$2:$AG$167=$B7)*(economics!$D$2:$D$167="whr")*economics!$AI$2:$AI$167*_xlfn.NORM.DIST(CD$3,economics!$AK$2:$AK$167,economics!$AJ$2:$AJ$167,TRUE)),0)</f>
        <v/>
      </c>
      <c r="CE7" s="68">
        <f t="array" ref="CE7">IF($D7,SUMPRODUCT((economics!$AG$2:$AG$167=$B7)*(economics!$D$2:$D$167="whr")*economics!$AI$2:$AI$167*_xlfn.NORM.DIST(CE$3,economics!$AK$2:$AK$167,economics!$AJ$2:$AJ$167,TRUE)),0)</f>
        <v/>
      </c>
      <c r="CF7" s="68">
        <f t="array" ref="CF7">IF($D7,SUMPRODUCT((economics!$AG$2:$AG$167=$B7)*(economics!$D$2:$D$167="whr")*economics!$AI$2:$AI$167*_xlfn.NORM.DIST(CF$3,economics!$AK$2:$AK$167,economics!$AJ$2:$AJ$167,TRUE)),0)</f>
        <v/>
      </c>
      <c r="CG7" s="68">
        <f t="array" ref="CG7">IF($D7,SUMPRODUCT((economics!$AG$2:$AG$167=$B7)*(economics!$D$2:$D$167="whr")*economics!$AI$2:$AI$167*_xlfn.NORM.DIST(CG$3,economics!$AK$2:$AK$167,economics!$AJ$2:$AJ$167,TRUE)),0)</f>
        <v/>
      </c>
      <c r="CH7" s="68">
        <f t="array" ref="CH7">IF($D7,SUMPRODUCT((economics!$AG$2:$AG$167=$B7)*(economics!$D$2:$D$167="whr")*economics!$AI$2:$AI$167*_xlfn.NORM.DIST(CH$3,economics!$AK$2:$AK$167,economics!$AJ$2:$AJ$167,TRUE)),0)</f>
        <v/>
      </c>
    </row>
    <row r="8">
      <c r="A8">
        <f>WHRPbI!A6</f>
        <v/>
      </c>
      <c r="B8" t="inlineStr">
        <is>
          <t>10T12</t>
        </is>
      </c>
      <c r="C8" s="68">
        <f>WHRPbI!B6</f>
        <v/>
      </c>
      <c r="D8">
        <f>ISNUMBER(MATCH($B8,'energy base (MECS)'!$K$4:$K$9,0))</f>
        <v/>
      </c>
      <c r="E8" s="68">
        <f t="array" ref="E8">IF($D8,SUMPRODUCT((economics!$AG$2:$AG$167=$B8)*(economics!$D$2:$D$167="whr")*economics!$AI$2:$AI$167*_xlfn.NORM.DIST(E$3,economics!$AK$2:$AK$167,economics!$AJ$2:$AJ$167,TRUE)),0)</f>
        <v/>
      </c>
      <c r="F8" s="68">
        <f t="array" ref="F8">IF($D8,SUMPRODUCT((economics!$AG$2:$AG$167=$B8)*(economics!$D$2:$D$167="whr")*economics!$AI$2:$AI$167*_xlfn.NORM.DIST(F$3,economics!$AK$2:$AK$167,economics!$AJ$2:$AJ$167,TRUE)),0)</f>
        <v/>
      </c>
      <c r="G8" s="68">
        <f t="array" ref="G8">IF($D8,SUMPRODUCT((economics!$AG$2:$AG$167=$B8)*(economics!$D$2:$D$167="whr")*economics!$AI$2:$AI$167*_xlfn.NORM.DIST(G$3,economics!$AK$2:$AK$167,economics!$AJ$2:$AJ$167,TRUE)),0)</f>
        <v/>
      </c>
      <c r="H8" s="68">
        <f t="array" ref="H8">IF($D8,SUMPRODUCT((economics!$AG$2:$AG$167=$B8)*(economics!$D$2:$D$167="whr")*economics!$AI$2:$AI$167*_xlfn.NORM.DIST(H$3,economics!$AK$2:$AK$167,economics!$AJ$2:$AJ$167,TRUE)),0)</f>
        <v/>
      </c>
      <c r="I8" s="68">
        <f t="array" ref="I8">IF($D8,SUMPRODUCT((economics!$AG$2:$AG$167=$B8)*(economics!$D$2:$D$167="whr")*economics!$AI$2:$AI$167*_xlfn.NORM.DIST(I$3,economics!$AK$2:$AK$167,economics!$AJ$2:$AJ$167,TRUE)),0)</f>
        <v/>
      </c>
      <c r="J8" s="68">
        <f t="array" ref="J8">IF($D8,SUMPRODUCT((economics!$AG$2:$AG$167=$B8)*(economics!$D$2:$D$167="whr")*economics!$AI$2:$AI$167*_xlfn.NORM.DIST(J$3,economics!$AK$2:$AK$167,economics!$AJ$2:$AJ$167,TRUE)),0)</f>
        <v/>
      </c>
      <c r="K8" s="68">
        <f t="array" ref="K8">IF($D8,SUMPRODUCT((economics!$AG$2:$AG$167=$B8)*(economics!$D$2:$D$167="whr")*economics!$AI$2:$AI$167*_xlfn.NORM.DIST(K$3,economics!$AK$2:$AK$167,economics!$AJ$2:$AJ$167,TRUE)),0)</f>
        <v/>
      </c>
      <c r="L8" s="68">
        <f t="array" ref="L8">IF($D8,SUMPRODUCT((economics!$AG$2:$AG$167=$B8)*(economics!$D$2:$D$167="whr")*economics!$AI$2:$AI$167*_xlfn.NORM.DIST(L$3,economics!$AK$2:$AK$167,economics!$AJ$2:$AJ$167,TRUE)),0)</f>
        <v/>
      </c>
      <c r="M8" s="68">
        <f t="array" ref="M8">IF($D8,SUMPRODUCT((economics!$AG$2:$AG$167=$B8)*(economics!$D$2:$D$167="whr")*economics!$AI$2:$AI$167*_xlfn.NORM.DIST(M$3,economics!$AK$2:$AK$167,economics!$AJ$2:$AJ$167,TRUE)),0)</f>
        <v/>
      </c>
      <c r="N8" s="68">
        <f t="array" ref="N8">IF($D8,SUMPRODUCT((economics!$AG$2:$AG$167=$B8)*(economics!$D$2:$D$167="whr")*economics!$AI$2:$AI$167*_xlfn.NORM.DIST(N$3,economics!$AK$2:$AK$167,economics!$AJ$2:$AJ$167,TRUE)),0)</f>
        <v/>
      </c>
      <c r="O8" s="68">
        <f t="array" ref="O8">IF($D8,SUMPRODUCT((economics!$AG$2:$AG$167=$B8)*(economics!$D$2:$D$167="whr")*economics!$AI$2:$AI$167*_xlfn.NORM.DIST(O$3,economics!$AK$2:$AK$167,economics!$AJ$2:$AJ$167,TRUE)),0)</f>
        <v/>
      </c>
      <c r="P8" s="68">
        <f t="array" ref="P8">IF($D8,SUMPRODUCT((economics!$AG$2:$AG$167=$B8)*(economics!$D$2:$D$167="whr")*economics!$AI$2:$AI$167*_xlfn.NORM.DIST(P$3,economics!$AK$2:$AK$167,economics!$AJ$2:$AJ$167,TRUE)),0)</f>
        <v/>
      </c>
      <c r="Q8" s="68">
        <f t="array" ref="Q8">IF($D8,SUMPRODUCT((economics!$AG$2:$AG$167=$B8)*(economics!$D$2:$D$167="whr")*economics!$AI$2:$AI$167*_xlfn.NORM.DIST(Q$3,economics!$AK$2:$AK$167,economics!$AJ$2:$AJ$167,TRUE)),0)</f>
        <v/>
      </c>
      <c r="R8" s="68">
        <f t="array" ref="R8">IF($D8,SUMPRODUCT((economics!$AG$2:$AG$167=$B8)*(economics!$D$2:$D$167="whr")*economics!$AI$2:$AI$167*_xlfn.NORM.DIST(R$3,economics!$AK$2:$AK$167,economics!$AJ$2:$AJ$167,TRUE)),0)</f>
        <v/>
      </c>
      <c r="S8" s="68">
        <f t="array" ref="S8">IF($D8,SUMPRODUCT((economics!$AG$2:$AG$167=$B8)*(economics!$D$2:$D$167="whr")*economics!$AI$2:$AI$167*_xlfn.NORM.DIST(S$3,economics!$AK$2:$AK$167,economics!$AJ$2:$AJ$167,TRUE)),0)</f>
        <v/>
      </c>
      <c r="T8" s="68">
        <f t="array" ref="T8">IF($D8,SUMPRODUCT((economics!$AG$2:$AG$167=$B8)*(economics!$D$2:$D$167="whr")*economics!$AI$2:$AI$167*_xlfn.NORM.DIST(T$3,economics!$AK$2:$AK$167,economics!$AJ$2:$AJ$167,TRUE)),0)</f>
        <v/>
      </c>
      <c r="U8" s="68">
        <f t="array" ref="U8">IF($D8,SUMPRODUCT((economics!$AG$2:$AG$167=$B8)*(economics!$D$2:$D$167="whr")*economics!$AI$2:$AI$167*_xlfn.NORM.DIST(U$3,economics!$AK$2:$AK$167,economics!$AJ$2:$AJ$167,TRUE)),0)</f>
        <v/>
      </c>
      <c r="V8" s="68">
        <f t="array" ref="V8">IF($D8,SUMPRODUCT((economics!$AG$2:$AG$167=$B8)*(economics!$D$2:$D$167="whr")*economics!$AI$2:$AI$167*_xlfn.NORM.DIST(V$3,economics!$AK$2:$AK$167,economics!$AJ$2:$AJ$167,TRUE)),0)</f>
        <v/>
      </c>
      <c r="W8" s="68">
        <f t="array" ref="W8">IF($D8,SUMPRODUCT((economics!$AG$2:$AG$167=$B8)*(economics!$D$2:$D$167="whr")*economics!$AI$2:$AI$167*_xlfn.NORM.DIST(W$3,economics!$AK$2:$AK$167,economics!$AJ$2:$AJ$167,TRUE)),0)</f>
        <v/>
      </c>
      <c r="X8" s="68">
        <f t="array" ref="X8">IF($D8,SUMPRODUCT((economics!$AG$2:$AG$167=$B8)*(economics!$D$2:$D$167="whr")*economics!$AI$2:$AI$167*_xlfn.NORM.DIST(X$3,economics!$AK$2:$AK$167,economics!$AJ$2:$AJ$167,TRUE)),0)</f>
        <v/>
      </c>
      <c r="Y8" s="68">
        <f t="array" ref="Y8">IF($D8,SUMPRODUCT((economics!$AG$2:$AG$167=$B8)*(economics!$D$2:$D$167="whr")*economics!$AI$2:$AI$167*_xlfn.NORM.DIST(Y$3,economics!$AK$2:$AK$167,economics!$AJ$2:$AJ$167,TRUE)),0)</f>
        <v/>
      </c>
      <c r="Z8" s="68">
        <f t="array" ref="Z8">IF($D8,SUMPRODUCT((economics!$AG$2:$AG$167=$B8)*(economics!$D$2:$D$167="whr")*economics!$AI$2:$AI$167*_xlfn.NORM.DIST(Z$3,economics!$AK$2:$AK$167,economics!$AJ$2:$AJ$167,TRUE)),0)</f>
        <v/>
      </c>
      <c r="AA8" s="68">
        <f t="array" ref="AA8">IF($D8,SUMPRODUCT((economics!$AG$2:$AG$167=$B8)*(economics!$D$2:$D$167="whr")*economics!$AI$2:$AI$167*_xlfn.NORM.DIST(AA$3,economics!$AK$2:$AK$167,economics!$AJ$2:$AJ$167,TRUE)),0)</f>
        <v/>
      </c>
      <c r="AB8" s="68">
        <f t="array" ref="AB8">IF($D8,SUMPRODUCT((economics!$AG$2:$AG$167=$B8)*(economics!$D$2:$D$167="whr")*economics!$AI$2:$AI$167*_xlfn.NORM.DIST(AB$3,economics!$AK$2:$AK$167,economics!$AJ$2:$AJ$167,TRUE)),0)</f>
        <v/>
      </c>
      <c r="AC8" s="68">
        <f t="array" ref="AC8">IF($D8,SUMPRODUCT((economics!$AG$2:$AG$167=$B8)*(economics!$D$2:$D$167="whr")*economics!$AI$2:$AI$167*_xlfn.NORM.DIST(AC$3,economics!$AK$2:$AK$167,economics!$AJ$2:$AJ$167,TRUE)),0)</f>
        <v/>
      </c>
      <c r="AD8" s="68">
        <f t="array" ref="AD8">IF($D8,SUMPRODUCT((economics!$AG$2:$AG$167=$B8)*(economics!$D$2:$D$167="whr")*economics!$AI$2:$AI$167*_xlfn.NORM.DIST(AD$3,economics!$AK$2:$AK$167,economics!$AJ$2:$AJ$167,TRUE)),0)</f>
        <v/>
      </c>
      <c r="AE8" s="68">
        <f t="array" ref="AE8">IF($D8,SUMPRODUCT((economics!$AG$2:$AG$167=$B8)*(economics!$D$2:$D$167="whr")*economics!$AI$2:$AI$167*_xlfn.NORM.DIST(AE$3,economics!$AK$2:$AK$167,economics!$AJ$2:$AJ$167,TRUE)),0)</f>
        <v/>
      </c>
      <c r="AF8" s="68">
        <f t="array" ref="AF8">IF($D8,SUMPRODUCT((economics!$AG$2:$AG$167=$B8)*(economics!$D$2:$D$167="whr")*economics!$AI$2:$AI$167*_xlfn.NORM.DIST(AF$3,economics!$AK$2:$AK$167,economics!$AJ$2:$AJ$167,TRUE)),0)</f>
        <v/>
      </c>
      <c r="AG8" s="68">
        <f t="array" ref="AG8">IF($D8,SUMPRODUCT((economics!$AG$2:$AG$167=$B8)*(economics!$D$2:$D$167="whr")*economics!$AI$2:$AI$167*_xlfn.NORM.DIST(AG$3,economics!$AK$2:$AK$167,economics!$AJ$2:$AJ$167,TRUE)),0)</f>
        <v/>
      </c>
      <c r="AH8" s="68">
        <f t="array" ref="AH8">IF($D8,SUMPRODUCT((economics!$AG$2:$AG$167=$B8)*(economics!$D$2:$D$167="whr")*economics!$AI$2:$AI$167*_xlfn.NORM.DIST(AH$3,economics!$AK$2:$AK$167,economics!$AJ$2:$AJ$167,TRUE)),0)</f>
        <v/>
      </c>
      <c r="AI8" s="68">
        <f t="array" ref="AI8">IF($D8,SUMPRODUCT((economics!$AG$2:$AG$167=$B8)*(economics!$D$2:$D$167="whr")*economics!$AI$2:$AI$167*_xlfn.NORM.DIST(AI$3,economics!$AK$2:$AK$167,economics!$AJ$2:$AJ$167,TRUE)),0)</f>
        <v/>
      </c>
      <c r="AJ8" s="68">
        <f t="array" ref="AJ8">IF($D8,SUMPRODUCT((economics!$AG$2:$AG$167=$B8)*(economics!$D$2:$D$167="whr")*economics!$AI$2:$AI$167*_xlfn.NORM.DIST(AJ$3,economics!$AK$2:$AK$167,economics!$AJ$2:$AJ$167,TRUE)),0)</f>
        <v/>
      </c>
      <c r="AK8" s="68">
        <f t="array" ref="AK8">IF($D8,SUMPRODUCT((economics!$AG$2:$AG$167=$B8)*(economics!$D$2:$D$167="whr")*economics!$AI$2:$AI$167*_xlfn.NORM.DIST(AK$3,economics!$AK$2:$AK$167,economics!$AJ$2:$AJ$167,TRUE)),0)</f>
        <v/>
      </c>
      <c r="AL8" s="68">
        <f t="array" ref="AL8">IF($D8,SUMPRODUCT((economics!$AG$2:$AG$167=$B8)*(economics!$D$2:$D$167="whr")*economics!$AI$2:$AI$167*_xlfn.NORM.DIST(AL$3,economics!$AK$2:$AK$167,economics!$AJ$2:$AJ$167,TRUE)),0)</f>
        <v/>
      </c>
      <c r="AM8" s="68">
        <f t="array" ref="AM8">IF($D8,SUMPRODUCT((economics!$AG$2:$AG$167=$B8)*(economics!$D$2:$D$167="whr")*economics!$AI$2:$AI$167*_xlfn.NORM.DIST(AM$3,economics!$AK$2:$AK$167,economics!$AJ$2:$AJ$167,TRUE)),0)</f>
        <v/>
      </c>
      <c r="AN8" s="68">
        <f t="array" ref="AN8">IF($D8,SUMPRODUCT((economics!$AG$2:$AG$167=$B8)*(economics!$D$2:$D$167="whr")*economics!$AI$2:$AI$167*_xlfn.NORM.DIST(AN$3,economics!$AK$2:$AK$167,economics!$AJ$2:$AJ$167,TRUE)),0)</f>
        <v/>
      </c>
      <c r="AO8" s="68">
        <f t="array" ref="AO8">IF($D8,SUMPRODUCT((economics!$AG$2:$AG$167=$B8)*(economics!$D$2:$D$167="whr")*economics!$AI$2:$AI$167*_xlfn.NORM.DIST(AO$3,economics!$AK$2:$AK$167,economics!$AJ$2:$AJ$167,TRUE)),0)</f>
        <v/>
      </c>
      <c r="AP8" s="68">
        <f t="array" ref="AP8">IF($D8,SUMPRODUCT((economics!$AG$2:$AG$167=$B8)*(economics!$D$2:$D$167="whr")*economics!$AI$2:$AI$167*_xlfn.NORM.DIST(AP$3,economics!$AK$2:$AK$167,economics!$AJ$2:$AJ$167,TRUE)),0)</f>
        <v/>
      </c>
      <c r="AQ8" s="68">
        <f t="array" ref="AQ8">IF($D8,SUMPRODUCT((economics!$AG$2:$AG$167=$B8)*(economics!$D$2:$D$167="whr")*economics!$AI$2:$AI$167*_xlfn.NORM.DIST(AQ$3,economics!$AK$2:$AK$167,economics!$AJ$2:$AJ$167,TRUE)),0)</f>
        <v/>
      </c>
      <c r="AR8" s="68">
        <f t="array" ref="AR8">IF($D8,SUMPRODUCT((economics!$AG$2:$AG$167=$B8)*(economics!$D$2:$D$167="whr")*economics!$AI$2:$AI$167*_xlfn.NORM.DIST(AR$3,economics!$AK$2:$AK$167,economics!$AJ$2:$AJ$167,TRUE)),0)</f>
        <v/>
      </c>
      <c r="AS8" s="68">
        <f t="array" ref="AS8">IF($D8,SUMPRODUCT((economics!$AG$2:$AG$167=$B8)*(economics!$D$2:$D$167="whr")*economics!$AI$2:$AI$167*_xlfn.NORM.DIST(AS$3,economics!$AK$2:$AK$167,economics!$AJ$2:$AJ$167,TRUE)),0)</f>
        <v/>
      </c>
      <c r="AT8" s="68">
        <f t="array" ref="AT8">IF($D8,SUMPRODUCT((economics!$AG$2:$AG$167=$B8)*(economics!$D$2:$D$167="whr")*economics!$AI$2:$AI$167*_xlfn.NORM.DIST(AT$3,economics!$AK$2:$AK$167,economics!$AJ$2:$AJ$167,TRUE)),0)</f>
        <v/>
      </c>
      <c r="AU8" s="68">
        <f t="array" ref="AU8">IF($D8,SUMPRODUCT((economics!$AG$2:$AG$167=$B8)*(economics!$D$2:$D$167="whr")*economics!$AI$2:$AI$167*_xlfn.NORM.DIST(AU$3,economics!$AK$2:$AK$167,economics!$AJ$2:$AJ$167,TRUE)),0)</f>
        <v/>
      </c>
      <c r="AV8" s="68">
        <f t="array" ref="AV8">IF($D8,SUMPRODUCT((economics!$AG$2:$AG$167=$B8)*(economics!$D$2:$D$167="whr")*economics!$AI$2:$AI$167*_xlfn.NORM.DIST(AV$3,economics!$AK$2:$AK$167,economics!$AJ$2:$AJ$167,TRUE)),0)</f>
        <v/>
      </c>
      <c r="AW8" s="68">
        <f t="array" ref="AW8">IF($D8,SUMPRODUCT((economics!$AG$2:$AG$167=$B8)*(economics!$D$2:$D$167="whr")*economics!$AI$2:$AI$167*_xlfn.NORM.DIST(AW$3,economics!$AK$2:$AK$167,economics!$AJ$2:$AJ$167,TRUE)),0)</f>
        <v/>
      </c>
      <c r="AX8" s="68">
        <f t="array" ref="AX8">IF($D8,SUMPRODUCT((economics!$AG$2:$AG$167=$B8)*(economics!$D$2:$D$167="whr")*economics!$AI$2:$AI$167*_xlfn.NORM.DIST(AX$3,economics!$AK$2:$AK$167,economics!$AJ$2:$AJ$167,TRUE)),0)</f>
        <v/>
      </c>
      <c r="AY8" s="68">
        <f t="array" ref="AY8">IF($D8,SUMPRODUCT((economics!$AG$2:$AG$167=$B8)*(economics!$D$2:$D$167="whr")*economics!$AI$2:$AI$167*_xlfn.NORM.DIST(AY$3,economics!$AK$2:$AK$167,economics!$AJ$2:$AJ$167,TRUE)),0)</f>
        <v/>
      </c>
      <c r="AZ8" s="68">
        <f t="array" ref="AZ8">IF($D8,SUMPRODUCT((economics!$AG$2:$AG$167=$B8)*(economics!$D$2:$D$167="whr")*economics!$AI$2:$AI$167*_xlfn.NORM.DIST(AZ$3,economics!$AK$2:$AK$167,economics!$AJ$2:$AJ$167,TRUE)),0)</f>
        <v/>
      </c>
      <c r="BA8" s="68">
        <f t="array" ref="BA8">IF($D8,SUMPRODUCT((economics!$AG$2:$AG$167=$B8)*(economics!$D$2:$D$167="whr")*economics!$AI$2:$AI$167*_xlfn.NORM.DIST(BA$3,economics!$AK$2:$AK$167,economics!$AJ$2:$AJ$167,TRUE)),0)</f>
        <v/>
      </c>
      <c r="BB8" s="68">
        <f t="array" ref="BB8">IF($D8,SUMPRODUCT((economics!$AG$2:$AG$167=$B8)*(economics!$D$2:$D$167="whr")*economics!$AI$2:$AI$167*_xlfn.NORM.DIST(BB$3,economics!$AK$2:$AK$167,economics!$AJ$2:$AJ$167,TRUE)),0)</f>
        <v/>
      </c>
      <c r="BC8" s="68">
        <f t="array" ref="BC8">IF($D8,SUMPRODUCT((economics!$AG$2:$AG$167=$B8)*(economics!$D$2:$D$167="whr")*economics!$AI$2:$AI$167*_xlfn.NORM.DIST(BC$3,economics!$AK$2:$AK$167,economics!$AJ$2:$AJ$167,TRUE)),0)</f>
        <v/>
      </c>
      <c r="BD8" s="68">
        <f t="array" ref="BD8">IF($D8,SUMPRODUCT((economics!$AG$2:$AG$167=$B8)*(economics!$D$2:$D$167="whr")*economics!$AI$2:$AI$167*_xlfn.NORM.DIST(BD$3,economics!$AK$2:$AK$167,economics!$AJ$2:$AJ$167,TRUE)),0)</f>
        <v/>
      </c>
      <c r="BE8" s="68">
        <f t="array" ref="BE8">IF($D8,SUMPRODUCT((economics!$AG$2:$AG$167=$B8)*(economics!$D$2:$D$167="whr")*economics!$AI$2:$AI$167*_xlfn.NORM.DIST(BE$3,economics!$AK$2:$AK$167,economics!$AJ$2:$AJ$167,TRUE)),0)</f>
        <v/>
      </c>
      <c r="BF8" s="68">
        <f t="array" ref="BF8">IF($D8,SUMPRODUCT((economics!$AG$2:$AG$167=$B8)*(economics!$D$2:$D$167="whr")*economics!$AI$2:$AI$167*_xlfn.NORM.DIST(BF$3,economics!$AK$2:$AK$167,economics!$AJ$2:$AJ$167,TRUE)),0)</f>
        <v/>
      </c>
      <c r="BG8" s="68">
        <f t="array" ref="BG8">IF($D8,SUMPRODUCT((economics!$AG$2:$AG$167=$B8)*(economics!$D$2:$D$167="whr")*economics!$AI$2:$AI$167*_xlfn.NORM.DIST(BG$3,economics!$AK$2:$AK$167,economics!$AJ$2:$AJ$167,TRUE)),0)</f>
        <v/>
      </c>
      <c r="BH8" s="68">
        <f t="array" ref="BH8">IF($D8,SUMPRODUCT((economics!$AG$2:$AG$167=$B8)*(economics!$D$2:$D$167="whr")*economics!$AI$2:$AI$167*_xlfn.NORM.DIST(BH$3,economics!$AK$2:$AK$167,economics!$AJ$2:$AJ$167,TRUE)),0)</f>
        <v/>
      </c>
      <c r="BI8" s="68">
        <f t="array" ref="BI8">IF($D8,SUMPRODUCT((economics!$AG$2:$AG$167=$B8)*(economics!$D$2:$D$167="whr")*economics!$AI$2:$AI$167*_xlfn.NORM.DIST(BI$3,economics!$AK$2:$AK$167,economics!$AJ$2:$AJ$167,TRUE)),0)</f>
        <v/>
      </c>
      <c r="BJ8" s="68">
        <f t="array" ref="BJ8">IF($D8,SUMPRODUCT((economics!$AG$2:$AG$167=$B8)*(economics!$D$2:$D$167="whr")*economics!$AI$2:$AI$167*_xlfn.NORM.DIST(BJ$3,economics!$AK$2:$AK$167,economics!$AJ$2:$AJ$167,TRUE)),0)</f>
        <v/>
      </c>
      <c r="BK8" s="68">
        <f t="array" ref="BK8">IF($D8,SUMPRODUCT((economics!$AG$2:$AG$167=$B8)*(economics!$D$2:$D$167="whr")*economics!$AI$2:$AI$167*_xlfn.NORM.DIST(BK$3,economics!$AK$2:$AK$167,economics!$AJ$2:$AJ$167,TRUE)),0)</f>
        <v/>
      </c>
      <c r="BL8" s="68">
        <f t="array" ref="BL8">IF($D8,SUMPRODUCT((economics!$AG$2:$AG$167=$B8)*(economics!$D$2:$D$167="whr")*economics!$AI$2:$AI$167*_xlfn.NORM.DIST(BL$3,economics!$AK$2:$AK$167,economics!$AJ$2:$AJ$167,TRUE)),0)</f>
        <v/>
      </c>
      <c r="BM8" s="68">
        <f t="array" ref="BM8">IF($D8,SUMPRODUCT((economics!$AG$2:$AG$167=$B8)*(economics!$D$2:$D$167="whr")*economics!$AI$2:$AI$167*_xlfn.NORM.DIST(BM$3,economics!$AK$2:$AK$167,economics!$AJ$2:$AJ$167,TRUE)),0)</f>
        <v/>
      </c>
      <c r="BN8" s="68">
        <f t="array" ref="BN8">IF($D8,SUMPRODUCT((economics!$AG$2:$AG$167=$B8)*(economics!$D$2:$D$167="whr")*economics!$AI$2:$AI$167*_xlfn.NORM.DIST(BN$3,economics!$AK$2:$AK$167,economics!$AJ$2:$AJ$167,TRUE)),0)</f>
        <v/>
      </c>
      <c r="BO8" s="68">
        <f t="array" ref="BO8">IF($D8,SUMPRODUCT((economics!$AG$2:$AG$167=$B8)*(economics!$D$2:$D$167="whr")*economics!$AI$2:$AI$167*_xlfn.NORM.DIST(BO$3,economics!$AK$2:$AK$167,economics!$AJ$2:$AJ$167,TRUE)),0)</f>
        <v/>
      </c>
      <c r="BP8" s="68">
        <f t="array" ref="BP8">IF($D8,SUMPRODUCT((economics!$AG$2:$AG$167=$B8)*(economics!$D$2:$D$167="whr")*economics!$AI$2:$AI$167*_xlfn.NORM.DIST(BP$3,economics!$AK$2:$AK$167,economics!$AJ$2:$AJ$167,TRUE)),0)</f>
        <v/>
      </c>
      <c r="BQ8" s="68">
        <f t="array" ref="BQ8">IF($D8,SUMPRODUCT((economics!$AG$2:$AG$167=$B8)*(economics!$D$2:$D$167="whr")*economics!$AI$2:$AI$167*_xlfn.NORM.DIST(BQ$3,economics!$AK$2:$AK$167,economics!$AJ$2:$AJ$167,TRUE)),0)</f>
        <v/>
      </c>
      <c r="BR8" s="68">
        <f t="array" ref="BR8">IF($D8,SUMPRODUCT((economics!$AG$2:$AG$167=$B8)*(economics!$D$2:$D$167="whr")*economics!$AI$2:$AI$167*_xlfn.NORM.DIST(BR$3,economics!$AK$2:$AK$167,economics!$AJ$2:$AJ$167,TRUE)),0)</f>
        <v/>
      </c>
      <c r="BS8" s="68">
        <f t="array" ref="BS8">IF($D8,SUMPRODUCT((economics!$AG$2:$AG$167=$B8)*(economics!$D$2:$D$167="whr")*economics!$AI$2:$AI$167*_xlfn.NORM.DIST(BS$3,economics!$AK$2:$AK$167,economics!$AJ$2:$AJ$167,TRUE)),0)</f>
        <v/>
      </c>
      <c r="BT8" s="68">
        <f t="array" ref="BT8">IF($D8,SUMPRODUCT((economics!$AG$2:$AG$167=$B8)*(economics!$D$2:$D$167="whr")*economics!$AI$2:$AI$167*_xlfn.NORM.DIST(BT$3,economics!$AK$2:$AK$167,economics!$AJ$2:$AJ$167,TRUE)),0)</f>
        <v/>
      </c>
      <c r="BU8" s="68">
        <f t="array" ref="BU8">IF($D8,SUMPRODUCT((economics!$AG$2:$AG$167=$B8)*(economics!$D$2:$D$167="whr")*economics!$AI$2:$AI$167*_xlfn.NORM.DIST(BU$3,economics!$AK$2:$AK$167,economics!$AJ$2:$AJ$167,TRUE)),0)</f>
        <v/>
      </c>
      <c r="BV8" s="68">
        <f t="array" ref="BV8">IF($D8,SUMPRODUCT((economics!$AG$2:$AG$167=$B8)*(economics!$D$2:$D$167="whr")*economics!$AI$2:$AI$167*_xlfn.NORM.DIST(BV$3,economics!$AK$2:$AK$167,economics!$AJ$2:$AJ$167,TRUE)),0)</f>
        <v/>
      </c>
      <c r="BW8" s="68">
        <f t="array" ref="BW8">IF($D8,SUMPRODUCT((economics!$AG$2:$AG$167=$B8)*(economics!$D$2:$D$167="whr")*economics!$AI$2:$AI$167*_xlfn.NORM.DIST(BW$3,economics!$AK$2:$AK$167,economics!$AJ$2:$AJ$167,TRUE)),0)</f>
        <v/>
      </c>
      <c r="BX8" s="68">
        <f t="array" ref="BX8">IF($D8,SUMPRODUCT((economics!$AG$2:$AG$167=$B8)*(economics!$D$2:$D$167="whr")*economics!$AI$2:$AI$167*_xlfn.NORM.DIST(BX$3,economics!$AK$2:$AK$167,economics!$AJ$2:$AJ$167,TRUE)),0)</f>
        <v/>
      </c>
      <c r="BY8" s="68">
        <f t="array" ref="BY8">IF($D8,SUMPRODUCT((economics!$AG$2:$AG$167=$B8)*(economics!$D$2:$D$167="whr")*economics!$AI$2:$AI$167*_xlfn.NORM.DIST(BY$3,economics!$AK$2:$AK$167,economics!$AJ$2:$AJ$167,TRUE)),0)</f>
        <v/>
      </c>
      <c r="BZ8" s="68">
        <f t="array" ref="BZ8">IF($D8,SUMPRODUCT((economics!$AG$2:$AG$167=$B8)*(economics!$D$2:$D$167="whr")*economics!$AI$2:$AI$167*_xlfn.NORM.DIST(BZ$3,economics!$AK$2:$AK$167,economics!$AJ$2:$AJ$167,TRUE)),0)</f>
        <v/>
      </c>
      <c r="CA8" s="68">
        <f t="array" ref="CA8">IF($D8,SUMPRODUCT((economics!$AG$2:$AG$167=$B8)*(economics!$D$2:$D$167="whr")*economics!$AI$2:$AI$167*_xlfn.NORM.DIST(CA$3,economics!$AK$2:$AK$167,economics!$AJ$2:$AJ$167,TRUE)),0)</f>
        <v/>
      </c>
      <c r="CB8" s="68">
        <f t="array" ref="CB8">IF($D8,SUMPRODUCT((economics!$AG$2:$AG$167=$B8)*(economics!$D$2:$D$167="whr")*economics!$AI$2:$AI$167*_xlfn.NORM.DIST(CB$3,economics!$AK$2:$AK$167,economics!$AJ$2:$AJ$167,TRUE)),0)</f>
        <v/>
      </c>
      <c r="CC8" s="68">
        <f t="array" ref="CC8">IF($D8,SUMPRODUCT((economics!$AG$2:$AG$167=$B8)*(economics!$D$2:$D$167="whr")*economics!$AI$2:$AI$167*_xlfn.NORM.DIST(CC$3,economics!$AK$2:$AK$167,economics!$AJ$2:$AJ$167,TRUE)),0)</f>
        <v/>
      </c>
      <c r="CD8" s="68">
        <f t="array" ref="CD8">IF($D8,SUMPRODUCT((economics!$AG$2:$AG$167=$B8)*(economics!$D$2:$D$167="whr")*economics!$AI$2:$AI$167*_xlfn.NORM.DIST(CD$3,economics!$AK$2:$AK$167,economics!$AJ$2:$AJ$167,TRUE)),0)</f>
        <v/>
      </c>
      <c r="CE8" s="68">
        <f t="array" ref="CE8">IF($D8,SUMPRODUCT((economics!$AG$2:$AG$167=$B8)*(economics!$D$2:$D$167="whr")*economics!$AI$2:$AI$167*_xlfn.NORM.DIST(CE$3,economics!$AK$2:$AK$167,economics!$AJ$2:$AJ$167,TRUE)),0)</f>
        <v/>
      </c>
      <c r="CF8" s="68">
        <f t="array" ref="CF8">IF($D8,SUMPRODUCT((economics!$AG$2:$AG$167=$B8)*(economics!$D$2:$D$167="whr")*economics!$AI$2:$AI$167*_xlfn.NORM.DIST(CF$3,economics!$AK$2:$AK$167,economics!$AJ$2:$AJ$167,TRUE)),0)</f>
        <v/>
      </c>
      <c r="CG8" s="68">
        <f t="array" ref="CG8">IF($D8,SUMPRODUCT((economics!$AG$2:$AG$167=$B8)*(economics!$D$2:$D$167="whr")*economics!$AI$2:$AI$167*_xlfn.NORM.DIST(CG$3,economics!$AK$2:$AK$167,economics!$AJ$2:$AJ$167,TRUE)),0)</f>
        <v/>
      </c>
      <c r="CH8" s="68">
        <f t="array" ref="CH8">IF($D8,SUMPRODUCT((economics!$AG$2:$AG$167=$B8)*(economics!$D$2:$D$167="whr")*economics!$AI$2:$AI$167*_xlfn.NORM.DIST(CH$3,economics!$AK$2:$AK$167,economics!$AJ$2:$AJ$167,TRUE)),0)</f>
        <v/>
      </c>
    </row>
    <row r="9">
      <c r="A9">
        <f>WHRPbI!A7</f>
        <v/>
      </c>
      <c r="B9" t="inlineStr">
        <is>
          <t>13T15</t>
        </is>
      </c>
      <c r="C9" s="68">
        <f>WHRPbI!B7</f>
        <v/>
      </c>
      <c r="D9">
        <f>ISNUMBER(MATCH($B9,'energy base (MECS)'!$K$4:$K$9,0))</f>
        <v/>
      </c>
      <c r="E9" s="68">
        <f t="array" ref="E9">IF($D9,SUMPRODUCT((economics!$AG$2:$AG$167=$B9)*(economics!$D$2:$D$167="whr")*economics!$AI$2:$AI$167*_xlfn.NORM.DIST(E$3,economics!$AK$2:$AK$167,economics!$AJ$2:$AJ$167,TRUE)),0)</f>
        <v/>
      </c>
      <c r="F9" s="68">
        <f t="array" ref="F9">IF($D9,SUMPRODUCT((economics!$AG$2:$AG$167=$B9)*(economics!$D$2:$D$167="whr")*economics!$AI$2:$AI$167*_xlfn.NORM.DIST(F$3,economics!$AK$2:$AK$167,economics!$AJ$2:$AJ$167,TRUE)),0)</f>
        <v/>
      </c>
      <c r="G9" s="68">
        <f t="array" ref="G9">IF($D9,SUMPRODUCT((economics!$AG$2:$AG$167=$B9)*(economics!$D$2:$D$167="whr")*economics!$AI$2:$AI$167*_xlfn.NORM.DIST(G$3,economics!$AK$2:$AK$167,economics!$AJ$2:$AJ$167,TRUE)),0)</f>
        <v/>
      </c>
      <c r="H9" s="68">
        <f t="array" ref="H9">IF($D9,SUMPRODUCT((economics!$AG$2:$AG$167=$B9)*(economics!$D$2:$D$167="whr")*economics!$AI$2:$AI$167*_xlfn.NORM.DIST(H$3,economics!$AK$2:$AK$167,economics!$AJ$2:$AJ$167,TRUE)),0)</f>
        <v/>
      </c>
      <c r="I9" s="68">
        <f t="array" ref="I9">IF($D9,SUMPRODUCT((economics!$AG$2:$AG$167=$B9)*(economics!$D$2:$D$167="whr")*economics!$AI$2:$AI$167*_xlfn.NORM.DIST(I$3,economics!$AK$2:$AK$167,economics!$AJ$2:$AJ$167,TRUE)),0)</f>
        <v/>
      </c>
      <c r="J9" s="68">
        <f t="array" ref="J9">IF($D9,SUMPRODUCT((economics!$AG$2:$AG$167=$B9)*(economics!$D$2:$D$167="whr")*economics!$AI$2:$AI$167*_xlfn.NORM.DIST(J$3,economics!$AK$2:$AK$167,economics!$AJ$2:$AJ$167,TRUE)),0)</f>
        <v/>
      </c>
      <c r="K9" s="68">
        <f t="array" ref="K9">IF($D9,SUMPRODUCT((economics!$AG$2:$AG$167=$B9)*(economics!$D$2:$D$167="whr")*economics!$AI$2:$AI$167*_xlfn.NORM.DIST(K$3,economics!$AK$2:$AK$167,economics!$AJ$2:$AJ$167,TRUE)),0)</f>
        <v/>
      </c>
      <c r="L9" s="68">
        <f t="array" ref="L9">IF($D9,SUMPRODUCT((economics!$AG$2:$AG$167=$B9)*(economics!$D$2:$D$167="whr")*economics!$AI$2:$AI$167*_xlfn.NORM.DIST(L$3,economics!$AK$2:$AK$167,economics!$AJ$2:$AJ$167,TRUE)),0)</f>
        <v/>
      </c>
      <c r="M9" s="68">
        <f t="array" ref="M9">IF($D9,SUMPRODUCT((economics!$AG$2:$AG$167=$B9)*(economics!$D$2:$D$167="whr")*economics!$AI$2:$AI$167*_xlfn.NORM.DIST(M$3,economics!$AK$2:$AK$167,economics!$AJ$2:$AJ$167,TRUE)),0)</f>
        <v/>
      </c>
      <c r="N9" s="68">
        <f t="array" ref="N9">IF($D9,SUMPRODUCT((economics!$AG$2:$AG$167=$B9)*(economics!$D$2:$D$167="whr")*economics!$AI$2:$AI$167*_xlfn.NORM.DIST(N$3,economics!$AK$2:$AK$167,economics!$AJ$2:$AJ$167,TRUE)),0)</f>
        <v/>
      </c>
      <c r="O9" s="68">
        <f t="array" ref="O9">IF($D9,SUMPRODUCT((economics!$AG$2:$AG$167=$B9)*(economics!$D$2:$D$167="whr")*economics!$AI$2:$AI$167*_xlfn.NORM.DIST(O$3,economics!$AK$2:$AK$167,economics!$AJ$2:$AJ$167,TRUE)),0)</f>
        <v/>
      </c>
      <c r="P9" s="68">
        <f t="array" ref="P9">IF($D9,SUMPRODUCT((economics!$AG$2:$AG$167=$B9)*(economics!$D$2:$D$167="whr")*economics!$AI$2:$AI$167*_xlfn.NORM.DIST(P$3,economics!$AK$2:$AK$167,economics!$AJ$2:$AJ$167,TRUE)),0)</f>
        <v/>
      </c>
      <c r="Q9" s="68">
        <f t="array" ref="Q9">IF($D9,SUMPRODUCT((economics!$AG$2:$AG$167=$B9)*(economics!$D$2:$D$167="whr")*economics!$AI$2:$AI$167*_xlfn.NORM.DIST(Q$3,economics!$AK$2:$AK$167,economics!$AJ$2:$AJ$167,TRUE)),0)</f>
        <v/>
      </c>
      <c r="R9" s="68">
        <f t="array" ref="R9">IF($D9,SUMPRODUCT((economics!$AG$2:$AG$167=$B9)*(economics!$D$2:$D$167="whr")*economics!$AI$2:$AI$167*_xlfn.NORM.DIST(R$3,economics!$AK$2:$AK$167,economics!$AJ$2:$AJ$167,TRUE)),0)</f>
        <v/>
      </c>
      <c r="S9" s="68">
        <f t="array" ref="S9">IF($D9,SUMPRODUCT((economics!$AG$2:$AG$167=$B9)*(economics!$D$2:$D$167="whr")*economics!$AI$2:$AI$167*_xlfn.NORM.DIST(S$3,economics!$AK$2:$AK$167,economics!$AJ$2:$AJ$167,TRUE)),0)</f>
        <v/>
      </c>
      <c r="T9" s="68">
        <f t="array" ref="T9">IF($D9,SUMPRODUCT((economics!$AG$2:$AG$167=$B9)*(economics!$D$2:$D$167="whr")*economics!$AI$2:$AI$167*_xlfn.NORM.DIST(T$3,economics!$AK$2:$AK$167,economics!$AJ$2:$AJ$167,TRUE)),0)</f>
        <v/>
      </c>
      <c r="U9" s="68">
        <f t="array" ref="U9">IF($D9,SUMPRODUCT((economics!$AG$2:$AG$167=$B9)*(economics!$D$2:$D$167="whr")*economics!$AI$2:$AI$167*_xlfn.NORM.DIST(U$3,economics!$AK$2:$AK$167,economics!$AJ$2:$AJ$167,TRUE)),0)</f>
        <v/>
      </c>
      <c r="V9" s="68">
        <f t="array" ref="V9">IF($D9,SUMPRODUCT((economics!$AG$2:$AG$167=$B9)*(economics!$D$2:$D$167="whr")*economics!$AI$2:$AI$167*_xlfn.NORM.DIST(V$3,economics!$AK$2:$AK$167,economics!$AJ$2:$AJ$167,TRUE)),0)</f>
        <v/>
      </c>
      <c r="W9" s="68">
        <f t="array" ref="W9">IF($D9,SUMPRODUCT((economics!$AG$2:$AG$167=$B9)*(economics!$D$2:$D$167="whr")*economics!$AI$2:$AI$167*_xlfn.NORM.DIST(W$3,economics!$AK$2:$AK$167,economics!$AJ$2:$AJ$167,TRUE)),0)</f>
        <v/>
      </c>
      <c r="X9" s="68">
        <f t="array" ref="X9">IF($D9,SUMPRODUCT((economics!$AG$2:$AG$167=$B9)*(economics!$D$2:$D$167="whr")*economics!$AI$2:$AI$167*_xlfn.NORM.DIST(X$3,economics!$AK$2:$AK$167,economics!$AJ$2:$AJ$167,TRUE)),0)</f>
        <v/>
      </c>
      <c r="Y9" s="68">
        <f t="array" ref="Y9">IF($D9,SUMPRODUCT((economics!$AG$2:$AG$167=$B9)*(economics!$D$2:$D$167="whr")*economics!$AI$2:$AI$167*_xlfn.NORM.DIST(Y$3,economics!$AK$2:$AK$167,economics!$AJ$2:$AJ$167,TRUE)),0)</f>
        <v/>
      </c>
      <c r="Z9" s="68">
        <f t="array" ref="Z9">IF($D9,SUMPRODUCT((economics!$AG$2:$AG$167=$B9)*(economics!$D$2:$D$167="whr")*economics!$AI$2:$AI$167*_xlfn.NORM.DIST(Z$3,economics!$AK$2:$AK$167,economics!$AJ$2:$AJ$167,TRUE)),0)</f>
        <v/>
      </c>
      <c r="AA9" s="68">
        <f t="array" ref="AA9">IF($D9,SUMPRODUCT((economics!$AG$2:$AG$167=$B9)*(economics!$D$2:$D$167="whr")*economics!$AI$2:$AI$167*_xlfn.NORM.DIST(AA$3,economics!$AK$2:$AK$167,economics!$AJ$2:$AJ$167,TRUE)),0)</f>
        <v/>
      </c>
      <c r="AB9" s="68">
        <f t="array" ref="AB9">IF($D9,SUMPRODUCT((economics!$AG$2:$AG$167=$B9)*(economics!$D$2:$D$167="whr")*economics!$AI$2:$AI$167*_xlfn.NORM.DIST(AB$3,economics!$AK$2:$AK$167,economics!$AJ$2:$AJ$167,TRUE)),0)</f>
        <v/>
      </c>
      <c r="AC9" s="68">
        <f t="array" ref="AC9">IF($D9,SUMPRODUCT((economics!$AG$2:$AG$167=$B9)*(economics!$D$2:$D$167="whr")*economics!$AI$2:$AI$167*_xlfn.NORM.DIST(AC$3,economics!$AK$2:$AK$167,economics!$AJ$2:$AJ$167,TRUE)),0)</f>
        <v/>
      </c>
      <c r="AD9" s="68">
        <f t="array" ref="AD9">IF($D9,SUMPRODUCT((economics!$AG$2:$AG$167=$B9)*(economics!$D$2:$D$167="whr")*economics!$AI$2:$AI$167*_xlfn.NORM.DIST(AD$3,economics!$AK$2:$AK$167,economics!$AJ$2:$AJ$167,TRUE)),0)</f>
        <v/>
      </c>
      <c r="AE9" s="68">
        <f t="array" ref="AE9">IF($D9,SUMPRODUCT((economics!$AG$2:$AG$167=$B9)*(economics!$D$2:$D$167="whr")*economics!$AI$2:$AI$167*_xlfn.NORM.DIST(AE$3,economics!$AK$2:$AK$167,economics!$AJ$2:$AJ$167,TRUE)),0)</f>
        <v/>
      </c>
      <c r="AF9" s="68">
        <f t="array" ref="AF9">IF($D9,SUMPRODUCT((economics!$AG$2:$AG$167=$B9)*(economics!$D$2:$D$167="whr")*economics!$AI$2:$AI$167*_xlfn.NORM.DIST(AF$3,economics!$AK$2:$AK$167,economics!$AJ$2:$AJ$167,TRUE)),0)</f>
        <v/>
      </c>
      <c r="AG9" s="68">
        <f t="array" ref="AG9">IF($D9,SUMPRODUCT((economics!$AG$2:$AG$167=$B9)*(economics!$D$2:$D$167="whr")*economics!$AI$2:$AI$167*_xlfn.NORM.DIST(AG$3,economics!$AK$2:$AK$167,economics!$AJ$2:$AJ$167,TRUE)),0)</f>
        <v/>
      </c>
      <c r="AH9" s="68">
        <f t="array" ref="AH9">IF($D9,SUMPRODUCT((economics!$AG$2:$AG$167=$B9)*(economics!$D$2:$D$167="whr")*economics!$AI$2:$AI$167*_xlfn.NORM.DIST(AH$3,economics!$AK$2:$AK$167,economics!$AJ$2:$AJ$167,TRUE)),0)</f>
        <v/>
      </c>
      <c r="AI9" s="68">
        <f t="array" ref="AI9">IF($D9,SUMPRODUCT((economics!$AG$2:$AG$167=$B9)*(economics!$D$2:$D$167="whr")*economics!$AI$2:$AI$167*_xlfn.NORM.DIST(AI$3,economics!$AK$2:$AK$167,economics!$AJ$2:$AJ$167,TRUE)),0)</f>
        <v/>
      </c>
      <c r="AJ9" s="68">
        <f t="array" ref="AJ9">IF($D9,SUMPRODUCT((economics!$AG$2:$AG$167=$B9)*(economics!$D$2:$D$167="whr")*economics!$AI$2:$AI$167*_xlfn.NORM.DIST(AJ$3,economics!$AK$2:$AK$167,economics!$AJ$2:$AJ$167,TRUE)),0)</f>
        <v/>
      </c>
      <c r="AK9" s="68">
        <f t="array" ref="AK9">IF($D9,SUMPRODUCT((economics!$AG$2:$AG$167=$B9)*(economics!$D$2:$D$167="whr")*economics!$AI$2:$AI$167*_xlfn.NORM.DIST(AK$3,economics!$AK$2:$AK$167,economics!$AJ$2:$AJ$167,TRUE)),0)</f>
        <v/>
      </c>
      <c r="AL9" s="68">
        <f t="array" ref="AL9">IF($D9,SUMPRODUCT((economics!$AG$2:$AG$167=$B9)*(economics!$D$2:$D$167="whr")*economics!$AI$2:$AI$167*_xlfn.NORM.DIST(AL$3,economics!$AK$2:$AK$167,economics!$AJ$2:$AJ$167,TRUE)),0)</f>
        <v/>
      </c>
      <c r="AM9" s="68">
        <f t="array" ref="AM9">IF($D9,SUMPRODUCT((economics!$AG$2:$AG$167=$B9)*(economics!$D$2:$D$167="whr")*economics!$AI$2:$AI$167*_xlfn.NORM.DIST(AM$3,economics!$AK$2:$AK$167,economics!$AJ$2:$AJ$167,TRUE)),0)</f>
        <v/>
      </c>
      <c r="AN9" s="68">
        <f t="array" ref="AN9">IF($D9,SUMPRODUCT((economics!$AG$2:$AG$167=$B9)*(economics!$D$2:$D$167="whr")*economics!$AI$2:$AI$167*_xlfn.NORM.DIST(AN$3,economics!$AK$2:$AK$167,economics!$AJ$2:$AJ$167,TRUE)),0)</f>
        <v/>
      </c>
      <c r="AO9" s="68">
        <f t="array" ref="AO9">IF($D9,SUMPRODUCT((economics!$AG$2:$AG$167=$B9)*(economics!$D$2:$D$167="whr")*economics!$AI$2:$AI$167*_xlfn.NORM.DIST(AO$3,economics!$AK$2:$AK$167,economics!$AJ$2:$AJ$167,TRUE)),0)</f>
        <v/>
      </c>
      <c r="AP9" s="68">
        <f t="array" ref="AP9">IF($D9,SUMPRODUCT((economics!$AG$2:$AG$167=$B9)*(economics!$D$2:$D$167="whr")*economics!$AI$2:$AI$167*_xlfn.NORM.DIST(AP$3,economics!$AK$2:$AK$167,economics!$AJ$2:$AJ$167,TRUE)),0)</f>
        <v/>
      </c>
      <c r="AQ9" s="68">
        <f t="array" ref="AQ9">IF($D9,SUMPRODUCT((economics!$AG$2:$AG$167=$B9)*(economics!$D$2:$D$167="whr")*economics!$AI$2:$AI$167*_xlfn.NORM.DIST(AQ$3,economics!$AK$2:$AK$167,economics!$AJ$2:$AJ$167,TRUE)),0)</f>
        <v/>
      </c>
      <c r="AR9" s="68">
        <f t="array" ref="AR9">IF($D9,SUMPRODUCT((economics!$AG$2:$AG$167=$B9)*(economics!$D$2:$D$167="whr")*economics!$AI$2:$AI$167*_xlfn.NORM.DIST(AR$3,economics!$AK$2:$AK$167,economics!$AJ$2:$AJ$167,TRUE)),0)</f>
        <v/>
      </c>
      <c r="AS9" s="68">
        <f t="array" ref="AS9">IF($D9,SUMPRODUCT((economics!$AG$2:$AG$167=$B9)*(economics!$D$2:$D$167="whr")*economics!$AI$2:$AI$167*_xlfn.NORM.DIST(AS$3,economics!$AK$2:$AK$167,economics!$AJ$2:$AJ$167,TRUE)),0)</f>
        <v/>
      </c>
      <c r="AT9" s="68">
        <f t="array" ref="AT9">IF($D9,SUMPRODUCT((economics!$AG$2:$AG$167=$B9)*(economics!$D$2:$D$167="whr")*economics!$AI$2:$AI$167*_xlfn.NORM.DIST(AT$3,economics!$AK$2:$AK$167,economics!$AJ$2:$AJ$167,TRUE)),0)</f>
        <v/>
      </c>
      <c r="AU9" s="68">
        <f t="array" ref="AU9">IF($D9,SUMPRODUCT((economics!$AG$2:$AG$167=$B9)*(economics!$D$2:$D$167="whr")*economics!$AI$2:$AI$167*_xlfn.NORM.DIST(AU$3,economics!$AK$2:$AK$167,economics!$AJ$2:$AJ$167,TRUE)),0)</f>
        <v/>
      </c>
      <c r="AV9" s="68">
        <f t="array" ref="AV9">IF($D9,SUMPRODUCT((economics!$AG$2:$AG$167=$B9)*(economics!$D$2:$D$167="whr")*economics!$AI$2:$AI$167*_xlfn.NORM.DIST(AV$3,economics!$AK$2:$AK$167,economics!$AJ$2:$AJ$167,TRUE)),0)</f>
        <v/>
      </c>
      <c r="AW9" s="68">
        <f t="array" ref="AW9">IF($D9,SUMPRODUCT((economics!$AG$2:$AG$167=$B9)*(economics!$D$2:$D$167="whr")*economics!$AI$2:$AI$167*_xlfn.NORM.DIST(AW$3,economics!$AK$2:$AK$167,economics!$AJ$2:$AJ$167,TRUE)),0)</f>
        <v/>
      </c>
      <c r="AX9" s="68">
        <f t="array" ref="AX9">IF($D9,SUMPRODUCT((economics!$AG$2:$AG$167=$B9)*(economics!$D$2:$D$167="whr")*economics!$AI$2:$AI$167*_xlfn.NORM.DIST(AX$3,economics!$AK$2:$AK$167,economics!$AJ$2:$AJ$167,TRUE)),0)</f>
        <v/>
      </c>
      <c r="AY9" s="68">
        <f t="array" ref="AY9">IF($D9,SUMPRODUCT((economics!$AG$2:$AG$167=$B9)*(economics!$D$2:$D$167="whr")*economics!$AI$2:$AI$167*_xlfn.NORM.DIST(AY$3,economics!$AK$2:$AK$167,economics!$AJ$2:$AJ$167,TRUE)),0)</f>
        <v/>
      </c>
      <c r="AZ9" s="68">
        <f t="array" ref="AZ9">IF($D9,SUMPRODUCT((economics!$AG$2:$AG$167=$B9)*(economics!$D$2:$D$167="whr")*economics!$AI$2:$AI$167*_xlfn.NORM.DIST(AZ$3,economics!$AK$2:$AK$167,economics!$AJ$2:$AJ$167,TRUE)),0)</f>
        <v/>
      </c>
      <c r="BA9" s="68">
        <f t="array" ref="BA9">IF($D9,SUMPRODUCT((economics!$AG$2:$AG$167=$B9)*(economics!$D$2:$D$167="whr")*economics!$AI$2:$AI$167*_xlfn.NORM.DIST(BA$3,economics!$AK$2:$AK$167,economics!$AJ$2:$AJ$167,TRUE)),0)</f>
        <v/>
      </c>
      <c r="BB9" s="68">
        <f t="array" ref="BB9">IF($D9,SUMPRODUCT((economics!$AG$2:$AG$167=$B9)*(economics!$D$2:$D$167="whr")*economics!$AI$2:$AI$167*_xlfn.NORM.DIST(BB$3,economics!$AK$2:$AK$167,economics!$AJ$2:$AJ$167,TRUE)),0)</f>
        <v/>
      </c>
      <c r="BC9" s="68">
        <f t="array" ref="BC9">IF($D9,SUMPRODUCT((economics!$AG$2:$AG$167=$B9)*(economics!$D$2:$D$167="whr")*economics!$AI$2:$AI$167*_xlfn.NORM.DIST(BC$3,economics!$AK$2:$AK$167,economics!$AJ$2:$AJ$167,TRUE)),0)</f>
        <v/>
      </c>
      <c r="BD9" s="68">
        <f t="array" ref="BD9">IF($D9,SUMPRODUCT((economics!$AG$2:$AG$167=$B9)*(economics!$D$2:$D$167="whr")*economics!$AI$2:$AI$167*_xlfn.NORM.DIST(BD$3,economics!$AK$2:$AK$167,economics!$AJ$2:$AJ$167,TRUE)),0)</f>
        <v/>
      </c>
      <c r="BE9" s="68">
        <f t="array" ref="BE9">IF($D9,SUMPRODUCT((economics!$AG$2:$AG$167=$B9)*(economics!$D$2:$D$167="whr")*economics!$AI$2:$AI$167*_xlfn.NORM.DIST(BE$3,economics!$AK$2:$AK$167,economics!$AJ$2:$AJ$167,TRUE)),0)</f>
        <v/>
      </c>
      <c r="BF9" s="68">
        <f t="array" ref="BF9">IF($D9,SUMPRODUCT((economics!$AG$2:$AG$167=$B9)*(economics!$D$2:$D$167="whr")*economics!$AI$2:$AI$167*_xlfn.NORM.DIST(BF$3,economics!$AK$2:$AK$167,economics!$AJ$2:$AJ$167,TRUE)),0)</f>
        <v/>
      </c>
      <c r="BG9" s="68">
        <f t="array" ref="BG9">IF($D9,SUMPRODUCT((economics!$AG$2:$AG$167=$B9)*(economics!$D$2:$D$167="whr")*economics!$AI$2:$AI$167*_xlfn.NORM.DIST(BG$3,economics!$AK$2:$AK$167,economics!$AJ$2:$AJ$167,TRUE)),0)</f>
        <v/>
      </c>
      <c r="BH9" s="68">
        <f t="array" ref="BH9">IF($D9,SUMPRODUCT((economics!$AG$2:$AG$167=$B9)*(economics!$D$2:$D$167="whr")*economics!$AI$2:$AI$167*_xlfn.NORM.DIST(BH$3,economics!$AK$2:$AK$167,economics!$AJ$2:$AJ$167,TRUE)),0)</f>
        <v/>
      </c>
      <c r="BI9" s="68">
        <f t="array" ref="BI9">IF($D9,SUMPRODUCT((economics!$AG$2:$AG$167=$B9)*(economics!$D$2:$D$167="whr")*economics!$AI$2:$AI$167*_xlfn.NORM.DIST(BI$3,economics!$AK$2:$AK$167,economics!$AJ$2:$AJ$167,TRUE)),0)</f>
        <v/>
      </c>
      <c r="BJ9" s="68">
        <f t="array" ref="BJ9">IF($D9,SUMPRODUCT((economics!$AG$2:$AG$167=$B9)*(economics!$D$2:$D$167="whr")*economics!$AI$2:$AI$167*_xlfn.NORM.DIST(BJ$3,economics!$AK$2:$AK$167,economics!$AJ$2:$AJ$167,TRUE)),0)</f>
        <v/>
      </c>
      <c r="BK9" s="68">
        <f t="array" ref="BK9">IF($D9,SUMPRODUCT((economics!$AG$2:$AG$167=$B9)*(economics!$D$2:$D$167="whr")*economics!$AI$2:$AI$167*_xlfn.NORM.DIST(BK$3,economics!$AK$2:$AK$167,economics!$AJ$2:$AJ$167,TRUE)),0)</f>
        <v/>
      </c>
      <c r="BL9" s="68">
        <f t="array" ref="BL9">IF($D9,SUMPRODUCT((economics!$AG$2:$AG$167=$B9)*(economics!$D$2:$D$167="whr")*economics!$AI$2:$AI$167*_xlfn.NORM.DIST(BL$3,economics!$AK$2:$AK$167,economics!$AJ$2:$AJ$167,TRUE)),0)</f>
        <v/>
      </c>
      <c r="BM9" s="68">
        <f t="array" ref="BM9">IF($D9,SUMPRODUCT((economics!$AG$2:$AG$167=$B9)*(economics!$D$2:$D$167="whr")*economics!$AI$2:$AI$167*_xlfn.NORM.DIST(BM$3,economics!$AK$2:$AK$167,economics!$AJ$2:$AJ$167,TRUE)),0)</f>
        <v/>
      </c>
      <c r="BN9" s="68">
        <f t="array" ref="BN9">IF($D9,SUMPRODUCT((economics!$AG$2:$AG$167=$B9)*(economics!$D$2:$D$167="whr")*economics!$AI$2:$AI$167*_xlfn.NORM.DIST(BN$3,economics!$AK$2:$AK$167,economics!$AJ$2:$AJ$167,TRUE)),0)</f>
        <v/>
      </c>
      <c r="BO9" s="68">
        <f t="array" ref="BO9">IF($D9,SUMPRODUCT((economics!$AG$2:$AG$167=$B9)*(economics!$D$2:$D$167="whr")*economics!$AI$2:$AI$167*_xlfn.NORM.DIST(BO$3,economics!$AK$2:$AK$167,economics!$AJ$2:$AJ$167,TRUE)),0)</f>
        <v/>
      </c>
      <c r="BP9" s="68">
        <f t="array" ref="BP9">IF($D9,SUMPRODUCT((economics!$AG$2:$AG$167=$B9)*(economics!$D$2:$D$167="whr")*economics!$AI$2:$AI$167*_xlfn.NORM.DIST(BP$3,economics!$AK$2:$AK$167,economics!$AJ$2:$AJ$167,TRUE)),0)</f>
        <v/>
      </c>
      <c r="BQ9" s="68">
        <f t="array" ref="BQ9">IF($D9,SUMPRODUCT((economics!$AG$2:$AG$167=$B9)*(economics!$D$2:$D$167="whr")*economics!$AI$2:$AI$167*_xlfn.NORM.DIST(BQ$3,economics!$AK$2:$AK$167,economics!$AJ$2:$AJ$167,TRUE)),0)</f>
        <v/>
      </c>
      <c r="BR9" s="68">
        <f t="array" ref="BR9">IF($D9,SUMPRODUCT((economics!$AG$2:$AG$167=$B9)*(economics!$D$2:$D$167="whr")*economics!$AI$2:$AI$167*_xlfn.NORM.DIST(BR$3,economics!$AK$2:$AK$167,economics!$AJ$2:$AJ$167,TRUE)),0)</f>
        <v/>
      </c>
      <c r="BS9" s="68">
        <f t="array" ref="BS9">IF($D9,SUMPRODUCT((economics!$AG$2:$AG$167=$B9)*(economics!$D$2:$D$167="whr")*economics!$AI$2:$AI$167*_xlfn.NORM.DIST(BS$3,economics!$AK$2:$AK$167,economics!$AJ$2:$AJ$167,TRUE)),0)</f>
        <v/>
      </c>
      <c r="BT9" s="68">
        <f t="array" ref="BT9">IF($D9,SUMPRODUCT((economics!$AG$2:$AG$167=$B9)*(economics!$D$2:$D$167="whr")*economics!$AI$2:$AI$167*_xlfn.NORM.DIST(BT$3,economics!$AK$2:$AK$167,economics!$AJ$2:$AJ$167,TRUE)),0)</f>
        <v/>
      </c>
      <c r="BU9" s="68">
        <f t="array" ref="BU9">IF($D9,SUMPRODUCT((economics!$AG$2:$AG$167=$B9)*(economics!$D$2:$D$167="whr")*economics!$AI$2:$AI$167*_xlfn.NORM.DIST(BU$3,economics!$AK$2:$AK$167,economics!$AJ$2:$AJ$167,TRUE)),0)</f>
        <v/>
      </c>
      <c r="BV9" s="68">
        <f t="array" ref="BV9">IF($D9,SUMPRODUCT((economics!$AG$2:$AG$167=$B9)*(economics!$D$2:$D$167="whr")*economics!$AI$2:$AI$167*_xlfn.NORM.DIST(BV$3,economics!$AK$2:$AK$167,economics!$AJ$2:$AJ$167,TRUE)),0)</f>
        <v/>
      </c>
      <c r="BW9" s="68">
        <f t="array" ref="BW9">IF($D9,SUMPRODUCT((economics!$AG$2:$AG$167=$B9)*(economics!$D$2:$D$167="whr")*economics!$AI$2:$AI$167*_xlfn.NORM.DIST(BW$3,economics!$AK$2:$AK$167,economics!$AJ$2:$AJ$167,TRUE)),0)</f>
        <v/>
      </c>
      <c r="BX9" s="68">
        <f t="array" ref="BX9">IF($D9,SUMPRODUCT((economics!$AG$2:$AG$167=$B9)*(economics!$D$2:$D$167="whr")*economics!$AI$2:$AI$167*_xlfn.NORM.DIST(BX$3,economics!$AK$2:$AK$167,economics!$AJ$2:$AJ$167,TRUE)),0)</f>
        <v/>
      </c>
      <c r="BY9" s="68">
        <f t="array" ref="BY9">IF($D9,SUMPRODUCT((economics!$AG$2:$AG$167=$B9)*(economics!$D$2:$D$167="whr")*economics!$AI$2:$AI$167*_xlfn.NORM.DIST(BY$3,economics!$AK$2:$AK$167,economics!$AJ$2:$AJ$167,TRUE)),0)</f>
        <v/>
      </c>
      <c r="BZ9" s="68">
        <f t="array" ref="BZ9">IF($D9,SUMPRODUCT((economics!$AG$2:$AG$167=$B9)*(economics!$D$2:$D$167="whr")*economics!$AI$2:$AI$167*_xlfn.NORM.DIST(BZ$3,economics!$AK$2:$AK$167,economics!$AJ$2:$AJ$167,TRUE)),0)</f>
        <v/>
      </c>
      <c r="CA9" s="68">
        <f t="array" ref="CA9">IF($D9,SUMPRODUCT((economics!$AG$2:$AG$167=$B9)*(economics!$D$2:$D$167="whr")*economics!$AI$2:$AI$167*_xlfn.NORM.DIST(CA$3,economics!$AK$2:$AK$167,economics!$AJ$2:$AJ$167,TRUE)),0)</f>
        <v/>
      </c>
      <c r="CB9" s="68">
        <f t="array" ref="CB9">IF($D9,SUMPRODUCT((economics!$AG$2:$AG$167=$B9)*(economics!$D$2:$D$167="whr")*economics!$AI$2:$AI$167*_xlfn.NORM.DIST(CB$3,economics!$AK$2:$AK$167,economics!$AJ$2:$AJ$167,TRUE)),0)</f>
        <v/>
      </c>
      <c r="CC9" s="68">
        <f t="array" ref="CC9">IF($D9,SUMPRODUCT((economics!$AG$2:$AG$167=$B9)*(economics!$D$2:$D$167="whr")*economics!$AI$2:$AI$167*_xlfn.NORM.DIST(CC$3,economics!$AK$2:$AK$167,economics!$AJ$2:$AJ$167,TRUE)),0)</f>
        <v/>
      </c>
      <c r="CD9" s="68">
        <f t="array" ref="CD9">IF($D9,SUMPRODUCT((economics!$AG$2:$AG$167=$B9)*(economics!$D$2:$D$167="whr")*economics!$AI$2:$AI$167*_xlfn.NORM.DIST(CD$3,economics!$AK$2:$AK$167,economics!$AJ$2:$AJ$167,TRUE)),0)</f>
        <v/>
      </c>
      <c r="CE9" s="68">
        <f t="array" ref="CE9">IF($D9,SUMPRODUCT((economics!$AG$2:$AG$167=$B9)*(economics!$D$2:$D$167="whr")*economics!$AI$2:$AI$167*_xlfn.NORM.DIST(CE$3,economics!$AK$2:$AK$167,economics!$AJ$2:$AJ$167,TRUE)),0)</f>
        <v/>
      </c>
      <c r="CF9" s="68">
        <f t="array" ref="CF9">IF($D9,SUMPRODUCT((economics!$AG$2:$AG$167=$B9)*(economics!$D$2:$D$167="whr")*economics!$AI$2:$AI$167*_xlfn.NORM.DIST(CF$3,economics!$AK$2:$AK$167,economics!$AJ$2:$AJ$167,TRUE)),0)</f>
        <v/>
      </c>
      <c r="CG9" s="68">
        <f t="array" ref="CG9">IF($D9,SUMPRODUCT((economics!$AG$2:$AG$167=$B9)*(economics!$D$2:$D$167="whr")*economics!$AI$2:$AI$167*_xlfn.NORM.DIST(CG$3,economics!$AK$2:$AK$167,economics!$AJ$2:$AJ$167,TRUE)),0)</f>
        <v/>
      </c>
      <c r="CH9" s="68">
        <f t="array" ref="CH9">IF($D9,SUMPRODUCT((economics!$AG$2:$AG$167=$B9)*(economics!$D$2:$D$167="whr")*economics!$AI$2:$AI$167*_xlfn.NORM.DIST(CH$3,economics!$AK$2:$AK$167,economics!$AJ$2:$AJ$167,TRUE)),0)</f>
        <v/>
      </c>
    </row>
    <row r="10">
      <c r="A10">
        <f>WHRPbI!A8</f>
        <v/>
      </c>
      <c r="B10" t="n">
        <v>16</v>
      </c>
      <c r="C10" s="68">
        <f>WHRPbI!B8</f>
        <v/>
      </c>
      <c r="D10">
        <f>ISNUMBER(MATCH($B10,'energy base (MECS)'!$K$4:$K$9,0))</f>
        <v/>
      </c>
      <c r="E10" s="68">
        <f t="array" ref="E10">IF($D10,SUMPRODUCT((economics!$AG$2:$AG$167=$B10)*(economics!$D$2:$D$167="whr")*economics!$AI$2:$AI$167*_xlfn.NORM.DIST(E$3,economics!$AK$2:$AK$167,economics!$AJ$2:$AJ$167,TRUE)),0)</f>
        <v/>
      </c>
      <c r="F10" s="68">
        <f t="array" ref="F10">IF($D10,SUMPRODUCT((economics!$AG$2:$AG$167=$B10)*(economics!$D$2:$D$167="whr")*economics!$AI$2:$AI$167*_xlfn.NORM.DIST(F$3,economics!$AK$2:$AK$167,economics!$AJ$2:$AJ$167,TRUE)),0)</f>
        <v/>
      </c>
      <c r="G10" s="68">
        <f t="array" ref="G10">IF($D10,SUMPRODUCT((economics!$AG$2:$AG$167=$B10)*(economics!$D$2:$D$167="whr")*economics!$AI$2:$AI$167*_xlfn.NORM.DIST(G$3,economics!$AK$2:$AK$167,economics!$AJ$2:$AJ$167,TRUE)),0)</f>
        <v/>
      </c>
      <c r="H10" s="68">
        <f t="array" ref="H10">IF($D10,SUMPRODUCT((economics!$AG$2:$AG$167=$B10)*(economics!$D$2:$D$167="whr")*economics!$AI$2:$AI$167*_xlfn.NORM.DIST(H$3,economics!$AK$2:$AK$167,economics!$AJ$2:$AJ$167,TRUE)),0)</f>
        <v/>
      </c>
      <c r="I10" s="68">
        <f t="array" ref="I10">IF($D10,SUMPRODUCT((economics!$AG$2:$AG$167=$B10)*(economics!$D$2:$D$167="whr")*economics!$AI$2:$AI$167*_xlfn.NORM.DIST(I$3,economics!$AK$2:$AK$167,economics!$AJ$2:$AJ$167,TRUE)),0)</f>
        <v/>
      </c>
      <c r="J10" s="68">
        <f t="array" ref="J10">IF($D10,SUMPRODUCT((economics!$AG$2:$AG$167=$B10)*(economics!$D$2:$D$167="whr")*economics!$AI$2:$AI$167*_xlfn.NORM.DIST(J$3,economics!$AK$2:$AK$167,economics!$AJ$2:$AJ$167,TRUE)),0)</f>
        <v/>
      </c>
      <c r="K10" s="68">
        <f t="array" ref="K10">IF($D10,SUMPRODUCT((economics!$AG$2:$AG$167=$B10)*(economics!$D$2:$D$167="whr")*economics!$AI$2:$AI$167*_xlfn.NORM.DIST(K$3,economics!$AK$2:$AK$167,economics!$AJ$2:$AJ$167,TRUE)),0)</f>
        <v/>
      </c>
      <c r="L10" s="68">
        <f t="array" ref="L10">IF($D10,SUMPRODUCT((economics!$AG$2:$AG$167=$B10)*(economics!$D$2:$D$167="whr")*economics!$AI$2:$AI$167*_xlfn.NORM.DIST(L$3,economics!$AK$2:$AK$167,economics!$AJ$2:$AJ$167,TRUE)),0)</f>
        <v/>
      </c>
      <c r="M10" s="68">
        <f t="array" ref="M10">IF($D10,SUMPRODUCT((economics!$AG$2:$AG$167=$B10)*(economics!$D$2:$D$167="whr")*economics!$AI$2:$AI$167*_xlfn.NORM.DIST(M$3,economics!$AK$2:$AK$167,economics!$AJ$2:$AJ$167,TRUE)),0)</f>
        <v/>
      </c>
      <c r="N10" s="68">
        <f t="array" ref="N10">IF($D10,SUMPRODUCT((economics!$AG$2:$AG$167=$B10)*(economics!$D$2:$D$167="whr")*economics!$AI$2:$AI$167*_xlfn.NORM.DIST(N$3,economics!$AK$2:$AK$167,economics!$AJ$2:$AJ$167,TRUE)),0)</f>
        <v/>
      </c>
      <c r="O10" s="68">
        <f t="array" ref="O10">IF($D10,SUMPRODUCT((economics!$AG$2:$AG$167=$B10)*(economics!$D$2:$D$167="whr")*economics!$AI$2:$AI$167*_xlfn.NORM.DIST(O$3,economics!$AK$2:$AK$167,economics!$AJ$2:$AJ$167,TRUE)),0)</f>
        <v/>
      </c>
      <c r="P10" s="68">
        <f t="array" ref="P10">IF($D10,SUMPRODUCT((economics!$AG$2:$AG$167=$B10)*(economics!$D$2:$D$167="whr")*economics!$AI$2:$AI$167*_xlfn.NORM.DIST(P$3,economics!$AK$2:$AK$167,economics!$AJ$2:$AJ$167,TRUE)),0)</f>
        <v/>
      </c>
      <c r="Q10" s="68">
        <f t="array" ref="Q10">IF($D10,SUMPRODUCT((economics!$AG$2:$AG$167=$B10)*(economics!$D$2:$D$167="whr")*economics!$AI$2:$AI$167*_xlfn.NORM.DIST(Q$3,economics!$AK$2:$AK$167,economics!$AJ$2:$AJ$167,TRUE)),0)</f>
        <v/>
      </c>
      <c r="R10" s="68">
        <f t="array" ref="R10">IF($D10,SUMPRODUCT((economics!$AG$2:$AG$167=$B10)*(economics!$D$2:$D$167="whr")*economics!$AI$2:$AI$167*_xlfn.NORM.DIST(R$3,economics!$AK$2:$AK$167,economics!$AJ$2:$AJ$167,TRUE)),0)</f>
        <v/>
      </c>
      <c r="S10" s="68">
        <f t="array" ref="S10">IF($D10,SUMPRODUCT((economics!$AG$2:$AG$167=$B10)*(economics!$D$2:$D$167="whr")*economics!$AI$2:$AI$167*_xlfn.NORM.DIST(S$3,economics!$AK$2:$AK$167,economics!$AJ$2:$AJ$167,TRUE)),0)</f>
        <v/>
      </c>
      <c r="T10" s="68">
        <f t="array" ref="T10">IF($D10,SUMPRODUCT((economics!$AG$2:$AG$167=$B10)*(economics!$D$2:$D$167="whr")*economics!$AI$2:$AI$167*_xlfn.NORM.DIST(T$3,economics!$AK$2:$AK$167,economics!$AJ$2:$AJ$167,TRUE)),0)</f>
        <v/>
      </c>
      <c r="U10" s="68">
        <f t="array" ref="U10">IF($D10,SUMPRODUCT((economics!$AG$2:$AG$167=$B10)*(economics!$D$2:$D$167="whr")*economics!$AI$2:$AI$167*_xlfn.NORM.DIST(U$3,economics!$AK$2:$AK$167,economics!$AJ$2:$AJ$167,TRUE)),0)</f>
        <v/>
      </c>
      <c r="V10" s="68">
        <f t="array" ref="V10">IF($D10,SUMPRODUCT((economics!$AG$2:$AG$167=$B10)*(economics!$D$2:$D$167="whr")*economics!$AI$2:$AI$167*_xlfn.NORM.DIST(V$3,economics!$AK$2:$AK$167,economics!$AJ$2:$AJ$167,TRUE)),0)</f>
        <v/>
      </c>
      <c r="W10" s="68">
        <f t="array" ref="W10">IF($D10,SUMPRODUCT((economics!$AG$2:$AG$167=$B10)*(economics!$D$2:$D$167="whr")*economics!$AI$2:$AI$167*_xlfn.NORM.DIST(W$3,economics!$AK$2:$AK$167,economics!$AJ$2:$AJ$167,TRUE)),0)</f>
        <v/>
      </c>
      <c r="X10" s="68">
        <f t="array" ref="X10">IF($D10,SUMPRODUCT((economics!$AG$2:$AG$167=$B10)*(economics!$D$2:$D$167="whr")*economics!$AI$2:$AI$167*_xlfn.NORM.DIST(X$3,economics!$AK$2:$AK$167,economics!$AJ$2:$AJ$167,TRUE)),0)</f>
        <v/>
      </c>
      <c r="Y10" s="68">
        <f t="array" ref="Y10">IF($D10,SUMPRODUCT((economics!$AG$2:$AG$167=$B10)*(economics!$D$2:$D$167="whr")*economics!$AI$2:$AI$167*_xlfn.NORM.DIST(Y$3,economics!$AK$2:$AK$167,economics!$AJ$2:$AJ$167,TRUE)),0)</f>
        <v/>
      </c>
      <c r="Z10" s="68">
        <f t="array" ref="Z10">IF($D10,SUMPRODUCT((economics!$AG$2:$AG$167=$B10)*(economics!$D$2:$D$167="whr")*economics!$AI$2:$AI$167*_xlfn.NORM.DIST(Z$3,economics!$AK$2:$AK$167,economics!$AJ$2:$AJ$167,TRUE)),0)</f>
        <v/>
      </c>
      <c r="AA10" s="68">
        <f t="array" ref="AA10">IF($D10,SUMPRODUCT((economics!$AG$2:$AG$167=$B10)*(economics!$D$2:$D$167="whr")*economics!$AI$2:$AI$167*_xlfn.NORM.DIST(AA$3,economics!$AK$2:$AK$167,economics!$AJ$2:$AJ$167,TRUE)),0)</f>
        <v/>
      </c>
      <c r="AB10" s="68">
        <f t="array" ref="AB10">IF($D10,SUMPRODUCT((economics!$AG$2:$AG$167=$B10)*(economics!$D$2:$D$167="whr")*economics!$AI$2:$AI$167*_xlfn.NORM.DIST(AB$3,economics!$AK$2:$AK$167,economics!$AJ$2:$AJ$167,TRUE)),0)</f>
        <v/>
      </c>
      <c r="AC10" s="68">
        <f t="array" ref="AC10">IF($D10,SUMPRODUCT((economics!$AG$2:$AG$167=$B10)*(economics!$D$2:$D$167="whr")*economics!$AI$2:$AI$167*_xlfn.NORM.DIST(AC$3,economics!$AK$2:$AK$167,economics!$AJ$2:$AJ$167,TRUE)),0)</f>
        <v/>
      </c>
      <c r="AD10" s="68">
        <f t="array" ref="AD10">IF($D10,SUMPRODUCT((economics!$AG$2:$AG$167=$B10)*(economics!$D$2:$D$167="whr")*economics!$AI$2:$AI$167*_xlfn.NORM.DIST(AD$3,economics!$AK$2:$AK$167,economics!$AJ$2:$AJ$167,TRUE)),0)</f>
        <v/>
      </c>
      <c r="AE10" s="68">
        <f t="array" ref="AE10">IF($D10,SUMPRODUCT((economics!$AG$2:$AG$167=$B10)*(economics!$D$2:$D$167="whr")*economics!$AI$2:$AI$167*_xlfn.NORM.DIST(AE$3,economics!$AK$2:$AK$167,economics!$AJ$2:$AJ$167,TRUE)),0)</f>
        <v/>
      </c>
      <c r="AF10" s="68">
        <f t="array" ref="AF10">IF($D10,SUMPRODUCT((economics!$AG$2:$AG$167=$B10)*(economics!$D$2:$D$167="whr")*economics!$AI$2:$AI$167*_xlfn.NORM.DIST(AF$3,economics!$AK$2:$AK$167,economics!$AJ$2:$AJ$167,TRUE)),0)</f>
        <v/>
      </c>
      <c r="AG10" s="68">
        <f t="array" ref="AG10">IF($D10,SUMPRODUCT((economics!$AG$2:$AG$167=$B10)*(economics!$D$2:$D$167="whr")*economics!$AI$2:$AI$167*_xlfn.NORM.DIST(AG$3,economics!$AK$2:$AK$167,economics!$AJ$2:$AJ$167,TRUE)),0)</f>
        <v/>
      </c>
      <c r="AH10" s="68">
        <f t="array" ref="AH10">IF($D10,SUMPRODUCT((economics!$AG$2:$AG$167=$B10)*(economics!$D$2:$D$167="whr")*economics!$AI$2:$AI$167*_xlfn.NORM.DIST(AH$3,economics!$AK$2:$AK$167,economics!$AJ$2:$AJ$167,TRUE)),0)</f>
        <v/>
      </c>
      <c r="AI10" s="68">
        <f t="array" ref="AI10">IF($D10,SUMPRODUCT((economics!$AG$2:$AG$167=$B10)*(economics!$D$2:$D$167="whr")*economics!$AI$2:$AI$167*_xlfn.NORM.DIST(AI$3,economics!$AK$2:$AK$167,economics!$AJ$2:$AJ$167,TRUE)),0)</f>
        <v/>
      </c>
      <c r="AJ10" s="68">
        <f t="array" ref="AJ10">IF($D10,SUMPRODUCT((economics!$AG$2:$AG$167=$B10)*(economics!$D$2:$D$167="whr")*economics!$AI$2:$AI$167*_xlfn.NORM.DIST(AJ$3,economics!$AK$2:$AK$167,economics!$AJ$2:$AJ$167,TRUE)),0)</f>
        <v/>
      </c>
      <c r="AK10" s="68">
        <f t="array" ref="AK10">IF($D10,SUMPRODUCT((economics!$AG$2:$AG$167=$B10)*(economics!$D$2:$D$167="whr")*economics!$AI$2:$AI$167*_xlfn.NORM.DIST(AK$3,economics!$AK$2:$AK$167,economics!$AJ$2:$AJ$167,TRUE)),0)</f>
        <v/>
      </c>
      <c r="AL10" s="68">
        <f t="array" ref="AL10">IF($D10,SUMPRODUCT((economics!$AG$2:$AG$167=$B10)*(economics!$D$2:$D$167="whr")*economics!$AI$2:$AI$167*_xlfn.NORM.DIST(AL$3,economics!$AK$2:$AK$167,economics!$AJ$2:$AJ$167,TRUE)),0)</f>
        <v/>
      </c>
      <c r="AM10" s="68">
        <f t="array" ref="AM10">IF($D10,SUMPRODUCT((economics!$AG$2:$AG$167=$B10)*(economics!$D$2:$D$167="whr")*economics!$AI$2:$AI$167*_xlfn.NORM.DIST(AM$3,economics!$AK$2:$AK$167,economics!$AJ$2:$AJ$167,TRUE)),0)</f>
        <v/>
      </c>
      <c r="AN10" s="68">
        <f t="array" ref="AN10">IF($D10,SUMPRODUCT((economics!$AG$2:$AG$167=$B10)*(economics!$D$2:$D$167="whr")*economics!$AI$2:$AI$167*_xlfn.NORM.DIST(AN$3,economics!$AK$2:$AK$167,economics!$AJ$2:$AJ$167,TRUE)),0)</f>
        <v/>
      </c>
      <c r="AO10" s="68">
        <f t="array" ref="AO10">IF($D10,SUMPRODUCT((economics!$AG$2:$AG$167=$B10)*(economics!$D$2:$D$167="whr")*economics!$AI$2:$AI$167*_xlfn.NORM.DIST(AO$3,economics!$AK$2:$AK$167,economics!$AJ$2:$AJ$167,TRUE)),0)</f>
        <v/>
      </c>
      <c r="AP10" s="68">
        <f t="array" ref="AP10">IF($D10,SUMPRODUCT((economics!$AG$2:$AG$167=$B10)*(economics!$D$2:$D$167="whr")*economics!$AI$2:$AI$167*_xlfn.NORM.DIST(AP$3,economics!$AK$2:$AK$167,economics!$AJ$2:$AJ$167,TRUE)),0)</f>
        <v/>
      </c>
      <c r="AQ10" s="68">
        <f t="array" ref="AQ10">IF($D10,SUMPRODUCT((economics!$AG$2:$AG$167=$B10)*(economics!$D$2:$D$167="whr")*economics!$AI$2:$AI$167*_xlfn.NORM.DIST(AQ$3,economics!$AK$2:$AK$167,economics!$AJ$2:$AJ$167,TRUE)),0)</f>
        <v/>
      </c>
      <c r="AR10" s="68">
        <f t="array" ref="AR10">IF($D10,SUMPRODUCT((economics!$AG$2:$AG$167=$B10)*(economics!$D$2:$D$167="whr")*economics!$AI$2:$AI$167*_xlfn.NORM.DIST(AR$3,economics!$AK$2:$AK$167,economics!$AJ$2:$AJ$167,TRUE)),0)</f>
        <v/>
      </c>
      <c r="AS10" s="68">
        <f t="array" ref="AS10">IF($D10,SUMPRODUCT((economics!$AG$2:$AG$167=$B10)*(economics!$D$2:$D$167="whr")*economics!$AI$2:$AI$167*_xlfn.NORM.DIST(AS$3,economics!$AK$2:$AK$167,economics!$AJ$2:$AJ$167,TRUE)),0)</f>
        <v/>
      </c>
      <c r="AT10" s="68">
        <f t="array" ref="AT10">IF($D10,SUMPRODUCT((economics!$AG$2:$AG$167=$B10)*(economics!$D$2:$D$167="whr")*economics!$AI$2:$AI$167*_xlfn.NORM.DIST(AT$3,economics!$AK$2:$AK$167,economics!$AJ$2:$AJ$167,TRUE)),0)</f>
        <v/>
      </c>
      <c r="AU10" s="68">
        <f t="array" ref="AU10">IF($D10,SUMPRODUCT((economics!$AG$2:$AG$167=$B10)*(economics!$D$2:$D$167="whr")*economics!$AI$2:$AI$167*_xlfn.NORM.DIST(AU$3,economics!$AK$2:$AK$167,economics!$AJ$2:$AJ$167,TRUE)),0)</f>
        <v/>
      </c>
      <c r="AV10" s="68">
        <f t="array" ref="AV10">IF($D10,SUMPRODUCT((economics!$AG$2:$AG$167=$B10)*(economics!$D$2:$D$167="whr")*economics!$AI$2:$AI$167*_xlfn.NORM.DIST(AV$3,economics!$AK$2:$AK$167,economics!$AJ$2:$AJ$167,TRUE)),0)</f>
        <v/>
      </c>
      <c r="AW10" s="68">
        <f t="array" ref="AW10">IF($D10,SUMPRODUCT((economics!$AG$2:$AG$167=$B10)*(economics!$D$2:$D$167="whr")*economics!$AI$2:$AI$167*_xlfn.NORM.DIST(AW$3,economics!$AK$2:$AK$167,economics!$AJ$2:$AJ$167,TRUE)),0)</f>
        <v/>
      </c>
      <c r="AX10" s="68">
        <f t="array" ref="AX10">IF($D10,SUMPRODUCT((economics!$AG$2:$AG$167=$B10)*(economics!$D$2:$D$167="whr")*economics!$AI$2:$AI$167*_xlfn.NORM.DIST(AX$3,economics!$AK$2:$AK$167,economics!$AJ$2:$AJ$167,TRUE)),0)</f>
        <v/>
      </c>
      <c r="AY10" s="68">
        <f t="array" ref="AY10">IF($D10,SUMPRODUCT((economics!$AG$2:$AG$167=$B10)*(economics!$D$2:$D$167="whr")*economics!$AI$2:$AI$167*_xlfn.NORM.DIST(AY$3,economics!$AK$2:$AK$167,economics!$AJ$2:$AJ$167,TRUE)),0)</f>
        <v/>
      </c>
      <c r="AZ10" s="68">
        <f t="array" ref="AZ10">IF($D10,SUMPRODUCT((economics!$AG$2:$AG$167=$B10)*(economics!$D$2:$D$167="whr")*economics!$AI$2:$AI$167*_xlfn.NORM.DIST(AZ$3,economics!$AK$2:$AK$167,economics!$AJ$2:$AJ$167,TRUE)),0)</f>
        <v/>
      </c>
      <c r="BA10" s="68">
        <f t="array" ref="BA10">IF($D10,SUMPRODUCT((economics!$AG$2:$AG$167=$B10)*(economics!$D$2:$D$167="whr")*economics!$AI$2:$AI$167*_xlfn.NORM.DIST(BA$3,economics!$AK$2:$AK$167,economics!$AJ$2:$AJ$167,TRUE)),0)</f>
        <v/>
      </c>
      <c r="BB10" s="68">
        <f t="array" ref="BB10">IF($D10,SUMPRODUCT((economics!$AG$2:$AG$167=$B10)*(economics!$D$2:$D$167="whr")*economics!$AI$2:$AI$167*_xlfn.NORM.DIST(BB$3,economics!$AK$2:$AK$167,economics!$AJ$2:$AJ$167,TRUE)),0)</f>
        <v/>
      </c>
      <c r="BC10" s="68">
        <f t="array" ref="BC10">IF($D10,SUMPRODUCT((economics!$AG$2:$AG$167=$B10)*(economics!$D$2:$D$167="whr")*economics!$AI$2:$AI$167*_xlfn.NORM.DIST(BC$3,economics!$AK$2:$AK$167,economics!$AJ$2:$AJ$167,TRUE)),0)</f>
        <v/>
      </c>
      <c r="BD10" s="68">
        <f t="array" ref="BD10">IF($D10,SUMPRODUCT((economics!$AG$2:$AG$167=$B10)*(economics!$D$2:$D$167="whr")*economics!$AI$2:$AI$167*_xlfn.NORM.DIST(BD$3,economics!$AK$2:$AK$167,economics!$AJ$2:$AJ$167,TRUE)),0)</f>
        <v/>
      </c>
      <c r="BE10" s="68">
        <f t="array" ref="BE10">IF($D10,SUMPRODUCT((economics!$AG$2:$AG$167=$B10)*(economics!$D$2:$D$167="whr")*economics!$AI$2:$AI$167*_xlfn.NORM.DIST(BE$3,economics!$AK$2:$AK$167,economics!$AJ$2:$AJ$167,TRUE)),0)</f>
        <v/>
      </c>
      <c r="BF10" s="68">
        <f t="array" ref="BF10">IF($D10,SUMPRODUCT((economics!$AG$2:$AG$167=$B10)*(economics!$D$2:$D$167="whr")*economics!$AI$2:$AI$167*_xlfn.NORM.DIST(BF$3,economics!$AK$2:$AK$167,economics!$AJ$2:$AJ$167,TRUE)),0)</f>
        <v/>
      </c>
      <c r="BG10" s="68">
        <f t="array" ref="BG10">IF($D10,SUMPRODUCT((economics!$AG$2:$AG$167=$B10)*(economics!$D$2:$D$167="whr")*economics!$AI$2:$AI$167*_xlfn.NORM.DIST(BG$3,economics!$AK$2:$AK$167,economics!$AJ$2:$AJ$167,TRUE)),0)</f>
        <v/>
      </c>
      <c r="BH10" s="68">
        <f t="array" ref="BH10">IF($D10,SUMPRODUCT((economics!$AG$2:$AG$167=$B10)*(economics!$D$2:$D$167="whr")*economics!$AI$2:$AI$167*_xlfn.NORM.DIST(BH$3,economics!$AK$2:$AK$167,economics!$AJ$2:$AJ$167,TRUE)),0)</f>
        <v/>
      </c>
      <c r="BI10" s="68">
        <f t="array" ref="BI10">IF($D10,SUMPRODUCT((economics!$AG$2:$AG$167=$B10)*(economics!$D$2:$D$167="whr")*economics!$AI$2:$AI$167*_xlfn.NORM.DIST(BI$3,economics!$AK$2:$AK$167,economics!$AJ$2:$AJ$167,TRUE)),0)</f>
        <v/>
      </c>
      <c r="BJ10" s="68">
        <f t="array" ref="BJ10">IF($D10,SUMPRODUCT((economics!$AG$2:$AG$167=$B10)*(economics!$D$2:$D$167="whr")*economics!$AI$2:$AI$167*_xlfn.NORM.DIST(BJ$3,economics!$AK$2:$AK$167,economics!$AJ$2:$AJ$167,TRUE)),0)</f>
        <v/>
      </c>
      <c r="BK10" s="68">
        <f t="array" ref="BK10">IF($D10,SUMPRODUCT((economics!$AG$2:$AG$167=$B10)*(economics!$D$2:$D$167="whr")*economics!$AI$2:$AI$167*_xlfn.NORM.DIST(BK$3,economics!$AK$2:$AK$167,economics!$AJ$2:$AJ$167,TRUE)),0)</f>
        <v/>
      </c>
      <c r="BL10" s="68">
        <f t="array" ref="BL10">IF($D10,SUMPRODUCT((economics!$AG$2:$AG$167=$B10)*(economics!$D$2:$D$167="whr")*economics!$AI$2:$AI$167*_xlfn.NORM.DIST(BL$3,economics!$AK$2:$AK$167,economics!$AJ$2:$AJ$167,TRUE)),0)</f>
        <v/>
      </c>
      <c r="BM10" s="68">
        <f t="array" ref="BM10">IF($D10,SUMPRODUCT((economics!$AG$2:$AG$167=$B10)*(economics!$D$2:$D$167="whr")*economics!$AI$2:$AI$167*_xlfn.NORM.DIST(BM$3,economics!$AK$2:$AK$167,economics!$AJ$2:$AJ$167,TRUE)),0)</f>
        <v/>
      </c>
      <c r="BN10" s="68">
        <f t="array" ref="BN10">IF($D10,SUMPRODUCT((economics!$AG$2:$AG$167=$B10)*(economics!$D$2:$D$167="whr")*economics!$AI$2:$AI$167*_xlfn.NORM.DIST(BN$3,economics!$AK$2:$AK$167,economics!$AJ$2:$AJ$167,TRUE)),0)</f>
        <v/>
      </c>
      <c r="BO10" s="68">
        <f t="array" ref="BO10">IF($D10,SUMPRODUCT((economics!$AG$2:$AG$167=$B10)*(economics!$D$2:$D$167="whr")*economics!$AI$2:$AI$167*_xlfn.NORM.DIST(BO$3,economics!$AK$2:$AK$167,economics!$AJ$2:$AJ$167,TRUE)),0)</f>
        <v/>
      </c>
      <c r="BP10" s="68">
        <f t="array" ref="BP10">IF($D10,SUMPRODUCT((economics!$AG$2:$AG$167=$B10)*(economics!$D$2:$D$167="whr")*economics!$AI$2:$AI$167*_xlfn.NORM.DIST(BP$3,economics!$AK$2:$AK$167,economics!$AJ$2:$AJ$167,TRUE)),0)</f>
        <v/>
      </c>
      <c r="BQ10" s="68">
        <f t="array" ref="BQ10">IF($D10,SUMPRODUCT((economics!$AG$2:$AG$167=$B10)*(economics!$D$2:$D$167="whr")*economics!$AI$2:$AI$167*_xlfn.NORM.DIST(BQ$3,economics!$AK$2:$AK$167,economics!$AJ$2:$AJ$167,TRUE)),0)</f>
        <v/>
      </c>
      <c r="BR10" s="68">
        <f t="array" ref="BR10">IF($D10,SUMPRODUCT((economics!$AG$2:$AG$167=$B10)*(economics!$D$2:$D$167="whr")*economics!$AI$2:$AI$167*_xlfn.NORM.DIST(BR$3,economics!$AK$2:$AK$167,economics!$AJ$2:$AJ$167,TRUE)),0)</f>
        <v/>
      </c>
      <c r="BS10" s="68">
        <f t="array" ref="BS10">IF($D10,SUMPRODUCT((economics!$AG$2:$AG$167=$B10)*(economics!$D$2:$D$167="whr")*economics!$AI$2:$AI$167*_xlfn.NORM.DIST(BS$3,economics!$AK$2:$AK$167,economics!$AJ$2:$AJ$167,TRUE)),0)</f>
        <v/>
      </c>
      <c r="BT10" s="68">
        <f t="array" ref="BT10">IF($D10,SUMPRODUCT((economics!$AG$2:$AG$167=$B10)*(economics!$D$2:$D$167="whr")*economics!$AI$2:$AI$167*_xlfn.NORM.DIST(BT$3,economics!$AK$2:$AK$167,economics!$AJ$2:$AJ$167,TRUE)),0)</f>
        <v/>
      </c>
      <c r="BU10" s="68">
        <f t="array" ref="BU10">IF($D10,SUMPRODUCT((economics!$AG$2:$AG$167=$B10)*(economics!$D$2:$D$167="whr")*economics!$AI$2:$AI$167*_xlfn.NORM.DIST(BU$3,economics!$AK$2:$AK$167,economics!$AJ$2:$AJ$167,TRUE)),0)</f>
        <v/>
      </c>
      <c r="BV10" s="68">
        <f t="array" ref="BV10">IF($D10,SUMPRODUCT((economics!$AG$2:$AG$167=$B10)*(economics!$D$2:$D$167="whr")*economics!$AI$2:$AI$167*_xlfn.NORM.DIST(BV$3,economics!$AK$2:$AK$167,economics!$AJ$2:$AJ$167,TRUE)),0)</f>
        <v/>
      </c>
      <c r="BW10" s="68">
        <f t="array" ref="BW10">IF($D10,SUMPRODUCT((economics!$AG$2:$AG$167=$B10)*(economics!$D$2:$D$167="whr")*economics!$AI$2:$AI$167*_xlfn.NORM.DIST(BW$3,economics!$AK$2:$AK$167,economics!$AJ$2:$AJ$167,TRUE)),0)</f>
        <v/>
      </c>
      <c r="BX10" s="68">
        <f t="array" ref="BX10">IF($D10,SUMPRODUCT((economics!$AG$2:$AG$167=$B10)*(economics!$D$2:$D$167="whr")*economics!$AI$2:$AI$167*_xlfn.NORM.DIST(BX$3,economics!$AK$2:$AK$167,economics!$AJ$2:$AJ$167,TRUE)),0)</f>
        <v/>
      </c>
      <c r="BY10" s="68">
        <f t="array" ref="BY10">IF($D10,SUMPRODUCT((economics!$AG$2:$AG$167=$B10)*(economics!$D$2:$D$167="whr")*economics!$AI$2:$AI$167*_xlfn.NORM.DIST(BY$3,economics!$AK$2:$AK$167,economics!$AJ$2:$AJ$167,TRUE)),0)</f>
        <v/>
      </c>
      <c r="BZ10" s="68">
        <f t="array" ref="BZ10">IF($D10,SUMPRODUCT((economics!$AG$2:$AG$167=$B10)*(economics!$D$2:$D$167="whr")*economics!$AI$2:$AI$167*_xlfn.NORM.DIST(BZ$3,economics!$AK$2:$AK$167,economics!$AJ$2:$AJ$167,TRUE)),0)</f>
        <v/>
      </c>
      <c r="CA10" s="68">
        <f t="array" ref="CA10">IF($D10,SUMPRODUCT((economics!$AG$2:$AG$167=$B10)*(economics!$D$2:$D$167="whr")*economics!$AI$2:$AI$167*_xlfn.NORM.DIST(CA$3,economics!$AK$2:$AK$167,economics!$AJ$2:$AJ$167,TRUE)),0)</f>
        <v/>
      </c>
      <c r="CB10" s="68">
        <f t="array" ref="CB10">IF($D10,SUMPRODUCT((economics!$AG$2:$AG$167=$B10)*(economics!$D$2:$D$167="whr")*economics!$AI$2:$AI$167*_xlfn.NORM.DIST(CB$3,economics!$AK$2:$AK$167,economics!$AJ$2:$AJ$167,TRUE)),0)</f>
        <v/>
      </c>
      <c r="CC10" s="68">
        <f t="array" ref="CC10">IF($D10,SUMPRODUCT((economics!$AG$2:$AG$167=$B10)*(economics!$D$2:$D$167="whr")*economics!$AI$2:$AI$167*_xlfn.NORM.DIST(CC$3,economics!$AK$2:$AK$167,economics!$AJ$2:$AJ$167,TRUE)),0)</f>
        <v/>
      </c>
      <c r="CD10" s="68">
        <f t="array" ref="CD10">IF($D10,SUMPRODUCT((economics!$AG$2:$AG$167=$B10)*(economics!$D$2:$D$167="whr")*economics!$AI$2:$AI$167*_xlfn.NORM.DIST(CD$3,economics!$AK$2:$AK$167,economics!$AJ$2:$AJ$167,TRUE)),0)</f>
        <v/>
      </c>
      <c r="CE10" s="68">
        <f t="array" ref="CE10">IF($D10,SUMPRODUCT((economics!$AG$2:$AG$167=$B10)*(economics!$D$2:$D$167="whr")*economics!$AI$2:$AI$167*_xlfn.NORM.DIST(CE$3,economics!$AK$2:$AK$167,economics!$AJ$2:$AJ$167,TRUE)),0)</f>
        <v/>
      </c>
      <c r="CF10" s="68">
        <f t="array" ref="CF10">IF($D10,SUMPRODUCT((economics!$AG$2:$AG$167=$B10)*(economics!$D$2:$D$167="whr")*economics!$AI$2:$AI$167*_xlfn.NORM.DIST(CF$3,economics!$AK$2:$AK$167,economics!$AJ$2:$AJ$167,TRUE)),0)</f>
        <v/>
      </c>
      <c r="CG10" s="68">
        <f t="array" ref="CG10">IF($D10,SUMPRODUCT((economics!$AG$2:$AG$167=$B10)*(economics!$D$2:$D$167="whr")*economics!$AI$2:$AI$167*_xlfn.NORM.DIST(CG$3,economics!$AK$2:$AK$167,economics!$AJ$2:$AJ$167,TRUE)),0)</f>
        <v/>
      </c>
      <c r="CH10" s="68">
        <f t="array" ref="CH10">IF($D10,SUMPRODUCT((economics!$AG$2:$AG$167=$B10)*(economics!$D$2:$D$167="whr")*economics!$AI$2:$AI$167*_xlfn.NORM.DIST(CH$3,economics!$AK$2:$AK$167,economics!$AJ$2:$AJ$167,TRUE)),0)</f>
        <v/>
      </c>
    </row>
    <row r="11">
      <c r="A11">
        <f>WHRPbI!A9</f>
        <v/>
      </c>
      <c r="B11" t="inlineStr">
        <is>
          <t>17T18</t>
        </is>
      </c>
      <c r="C11" s="68">
        <f>WHRPbI!B9</f>
        <v/>
      </c>
      <c r="D11">
        <f>ISNUMBER(MATCH($B11,'energy base (MECS)'!$K$4:$K$9,0))</f>
        <v/>
      </c>
      <c r="E11" s="68">
        <f t="array" ref="E11">IF($D11,SUMPRODUCT((economics!$AG$2:$AG$167=$B11)*(economics!$D$2:$D$167="whr")*economics!$AI$2:$AI$167*_xlfn.NORM.DIST(E$3,economics!$AK$2:$AK$167,economics!$AJ$2:$AJ$167,TRUE)),0)</f>
        <v/>
      </c>
      <c r="F11" s="68">
        <f t="array" ref="F11">IF($D11,SUMPRODUCT((economics!$AG$2:$AG$167=$B11)*(economics!$D$2:$D$167="whr")*economics!$AI$2:$AI$167*_xlfn.NORM.DIST(F$3,economics!$AK$2:$AK$167,economics!$AJ$2:$AJ$167,TRUE)),0)</f>
        <v/>
      </c>
      <c r="G11" s="68">
        <f t="array" ref="G11">IF($D11,SUMPRODUCT((economics!$AG$2:$AG$167=$B11)*(economics!$D$2:$D$167="whr")*economics!$AI$2:$AI$167*_xlfn.NORM.DIST(G$3,economics!$AK$2:$AK$167,economics!$AJ$2:$AJ$167,TRUE)),0)</f>
        <v/>
      </c>
      <c r="H11" s="68">
        <f t="array" ref="H11">IF($D11,SUMPRODUCT((economics!$AG$2:$AG$167=$B11)*(economics!$D$2:$D$167="whr")*economics!$AI$2:$AI$167*_xlfn.NORM.DIST(H$3,economics!$AK$2:$AK$167,economics!$AJ$2:$AJ$167,TRUE)),0)</f>
        <v/>
      </c>
      <c r="I11" s="68">
        <f t="array" ref="I11">IF($D11,SUMPRODUCT((economics!$AG$2:$AG$167=$B11)*(economics!$D$2:$D$167="whr")*economics!$AI$2:$AI$167*_xlfn.NORM.DIST(I$3,economics!$AK$2:$AK$167,economics!$AJ$2:$AJ$167,TRUE)),0)</f>
        <v/>
      </c>
      <c r="J11" s="68">
        <f t="array" ref="J11">IF($D11,SUMPRODUCT((economics!$AG$2:$AG$167=$B11)*(economics!$D$2:$D$167="whr")*economics!$AI$2:$AI$167*_xlfn.NORM.DIST(J$3,economics!$AK$2:$AK$167,economics!$AJ$2:$AJ$167,TRUE)),0)</f>
        <v/>
      </c>
      <c r="K11" s="68">
        <f t="array" ref="K11">IF($D11,SUMPRODUCT((economics!$AG$2:$AG$167=$B11)*(economics!$D$2:$D$167="whr")*economics!$AI$2:$AI$167*_xlfn.NORM.DIST(K$3,economics!$AK$2:$AK$167,economics!$AJ$2:$AJ$167,TRUE)),0)</f>
        <v/>
      </c>
      <c r="L11" s="68">
        <f t="array" ref="L11">IF($D11,SUMPRODUCT((economics!$AG$2:$AG$167=$B11)*(economics!$D$2:$D$167="whr")*economics!$AI$2:$AI$167*_xlfn.NORM.DIST(L$3,economics!$AK$2:$AK$167,economics!$AJ$2:$AJ$167,TRUE)),0)</f>
        <v/>
      </c>
      <c r="M11" s="68">
        <f t="array" ref="M11">IF($D11,SUMPRODUCT((economics!$AG$2:$AG$167=$B11)*(economics!$D$2:$D$167="whr")*economics!$AI$2:$AI$167*_xlfn.NORM.DIST(M$3,economics!$AK$2:$AK$167,economics!$AJ$2:$AJ$167,TRUE)),0)</f>
        <v/>
      </c>
      <c r="N11" s="68">
        <f t="array" ref="N11">IF($D11,SUMPRODUCT((economics!$AG$2:$AG$167=$B11)*(economics!$D$2:$D$167="whr")*economics!$AI$2:$AI$167*_xlfn.NORM.DIST(N$3,economics!$AK$2:$AK$167,economics!$AJ$2:$AJ$167,TRUE)),0)</f>
        <v/>
      </c>
      <c r="O11" s="68">
        <f t="array" ref="O11">IF($D11,SUMPRODUCT((economics!$AG$2:$AG$167=$B11)*(economics!$D$2:$D$167="whr")*economics!$AI$2:$AI$167*_xlfn.NORM.DIST(O$3,economics!$AK$2:$AK$167,economics!$AJ$2:$AJ$167,TRUE)),0)</f>
        <v/>
      </c>
      <c r="P11" s="68">
        <f t="array" ref="P11">IF($D11,SUMPRODUCT((economics!$AG$2:$AG$167=$B11)*(economics!$D$2:$D$167="whr")*economics!$AI$2:$AI$167*_xlfn.NORM.DIST(P$3,economics!$AK$2:$AK$167,economics!$AJ$2:$AJ$167,TRUE)),0)</f>
        <v/>
      </c>
      <c r="Q11" s="68">
        <f t="array" ref="Q11">IF($D11,SUMPRODUCT((economics!$AG$2:$AG$167=$B11)*(economics!$D$2:$D$167="whr")*economics!$AI$2:$AI$167*_xlfn.NORM.DIST(Q$3,economics!$AK$2:$AK$167,economics!$AJ$2:$AJ$167,TRUE)),0)</f>
        <v/>
      </c>
      <c r="R11" s="68">
        <f t="array" ref="R11">IF($D11,SUMPRODUCT((economics!$AG$2:$AG$167=$B11)*(economics!$D$2:$D$167="whr")*economics!$AI$2:$AI$167*_xlfn.NORM.DIST(R$3,economics!$AK$2:$AK$167,economics!$AJ$2:$AJ$167,TRUE)),0)</f>
        <v/>
      </c>
      <c r="S11" s="68">
        <f t="array" ref="S11">IF($D11,SUMPRODUCT((economics!$AG$2:$AG$167=$B11)*(economics!$D$2:$D$167="whr")*economics!$AI$2:$AI$167*_xlfn.NORM.DIST(S$3,economics!$AK$2:$AK$167,economics!$AJ$2:$AJ$167,TRUE)),0)</f>
        <v/>
      </c>
      <c r="T11" s="68">
        <f t="array" ref="T11">IF($D11,SUMPRODUCT((economics!$AG$2:$AG$167=$B11)*(economics!$D$2:$D$167="whr")*economics!$AI$2:$AI$167*_xlfn.NORM.DIST(T$3,economics!$AK$2:$AK$167,economics!$AJ$2:$AJ$167,TRUE)),0)</f>
        <v/>
      </c>
      <c r="U11" s="68">
        <f t="array" ref="U11">IF($D11,SUMPRODUCT((economics!$AG$2:$AG$167=$B11)*(economics!$D$2:$D$167="whr")*economics!$AI$2:$AI$167*_xlfn.NORM.DIST(U$3,economics!$AK$2:$AK$167,economics!$AJ$2:$AJ$167,TRUE)),0)</f>
        <v/>
      </c>
      <c r="V11" s="68">
        <f t="array" ref="V11">IF($D11,SUMPRODUCT((economics!$AG$2:$AG$167=$B11)*(economics!$D$2:$D$167="whr")*economics!$AI$2:$AI$167*_xlfn.NORM.DIST(V$3,economics!$AK$2:$AK$167,economics!$AJ$2:$AJ$167,TRUE)),0)</f>
        <v/>
      </c>
      <c r="W11" s="68">
        <f t="array" ref="W11">IF($D11,SUMPRODUCT((economics!$AG$2:$AG$167=$B11)*(economics!$D$2:$D$167="whr")*economics!$AI$2:$AI$167*_xlfn.NORM.DIST(W$3,economics!$AK$2:$AK$167,economics!$AJ$2:$AJ$167,TRUE)),0)</f>
        <v/>
      </c>
      <c r="X11" s="68">
        <f t="array" ref="X11">IF($D11,SUMPRODUCT((economics!$AG$2:$AG$167=$B11)*(economics!$D$2:$D$167="whr")*economics!$AI$2:$AI$167*_xlfn.NORM.DIST(X$3,economics!$AK$2:$AK$167,economics!$AJ$2:$AJ$167,TRUE)),0)</f>
        <v/>
      </c>
      <c r="Y11" s="68">
        <f t="array" ref="Y11">IF($D11,SUMPRODUCT((economics!$AG$2:$AG$167=$B11)*(economics!$D$2:$D$167="whr")*economics!$AI$2:$AI$167*_xlfn.NORM.DIST(Y$3,economics!$AK$2:$AK$167,economics!$AJ$2:$AJ$167,TRUE)),0)</f>
        <v/>
      </c>
      <c r="Z11" s="68">
        <f t="array" ref="Z11">IF($D11,SUMPRODUCT((economics!$AG$2:$AG$167=$B11)*(economics!$D$2:$D$167="whr")*economics!$AI$2:$AI$167*_xlfn.NORM.DIST(Z$3,economics!$AK$2:$AK$167,economics!$AJ$2:$AJ$167,TRUE)),0)</f>
        <v/>
      </c>
      <c r="AA11" s="68">
        <f t="array" ref="AA11">IF($D11,SUMPRODUCT((economics!$AG$2:$AG$167=$B11)*(economics!$D$2:$D$167="whr")*economics!$AI$2:$AI$167*_xlfn.NORM.DIST(AA$3,economics!$AK$2:$AK$167,economics!$AJ$2:$AJ$167,TRUE)),0)</f>
        <v/>
      </c>
      <c r="AB11" s="68">
        <f t="array" ref="AB11">IF($D11,SUMPRODUCT((economics!$AG$2:$AG$167=$B11)*(economics!$D$2:$D$167="whr")*economics!$AI$2:$AI$167*_xlfn.NORM.DIST(AB$3,economics!$AK$2:$AK$167,economics!$AJ$2:$AJ$167,TRUE)),0)</f>
        <v/>
      </c>
      <c r="AC11" s="68">
        <f t="array" ref="AC11">IF($D11,SUMPRODUCT((economics!$AG$2:$AG$167=$B11)*(economics!$D$2:$D$167="whr")*economics!$AI$2:$AI$167*_xlfn.NORM.DIST(AC$3,economics!$AK$2:$AK$167,economics!$AJ$2:$AJ$167,TRUE)),0)</f>
        <v/>
      </c>
      <c r="AD11" s="68">
        <f t="array" ref="AD11">IF($D11,SUMPRODUCT((economics!$AG$2:$AG$167=$B11)*(economics!$D$2:$D$167="whr")*economics!$AI$2:$AI$167*_xlfn.NORM.DIST(AD$3,economics!$AK$2:$AK$167,economics!$AJ$2:$AJ$167,TRUE)),0)</f>
        <v/>
      </c>
      <c r="AE11" s="68">
        <f t="array" ref="AE11">IF($D11,SUMPRODUCT((economics!$AG$2:$AG$167=$B11)*(economics!$D$2:$D$167="whr")*economics!$AI$2:$AI$167*_xlfn.NORM.DIST(AE$3,economics!$AK$2:$AK$167,economics!$AJ$2:$AJ$167,TRUE)),0)</f>
        <v/>
      </c>
      <c r="AF11" s="68">
        <f t="array" ref="AF11">IF($D11,SUMPRODUCT((economics!$AG$2:$AG$167=$B11)*(economics!$D$2:$D$167="whr")*economics!$AI$2:$AI$167*_xlfn.NORM.DIST(AF$3,economics!$AK$2:$AK$167,economics!$AJ$2:$AJ$167,TRUE)),0)</f>
        <v/>
      </c>
      <c r="AG11" s="68">
        <f t="array" ref="AG11">IF($D11,SUMPRODUCT((economics!$AG$2:$AG$167=$B11)*(economics!$D$2:$D$167="whr")*economics!$AI$2:$AI$167*_xlfn.NORM.DIST(AG$3,economics!$AK$2:$AK$167,economics!$AJ$2:$AJ$167,TRUE)),0)</f>
        <v/>
      </c>
      <c r="AH11" s="68">
        <f t="array" ref="AH11">IF($D11,SUMPRODUCT((economics!$AG$2:$AG$167=$B11)*(economics!$D$2:$D$167="whr")*economics!$AI$2:$AI$167*_xlfn.NORM.DIST(AH$3,economics!$AK$2:$AK$167,economics!$AJ$2:$AJ$167,TRUE)),0)</f>
        <v/>
      </c>
      <c r="AI11" s="68">
        <f t="array" ref="AI11">IF($D11,SUMPRODUCT((economics!$AG$2:$AG$167=$B11)*(economics!$D$2:$D$167="whr")*economics!$AI$2:$AI$167*_xlfn.NORM.DIST(AI$3,economics!$AK$2:$AK$167,economics!$AJ$2:$AJ$167,TRUE)),0)</f>
        <v/>
      </c>
      <c r="AJ11" s="68">
        <f t="array" ref="AJ11">IF($D11,SUMPRODUCT((economics!$AG$2:$AG$167=$B11)*(economics!$D$2:$D$167="whr")*economics!$AI$2:$AI$167*_xlfn.NORM.DIST(AJ$3,economics!$AK$2:$AK$167,economics!$AJ$2:$AJ$167,TRUE)),0)</f>
        <v/>
      </c>
      <c r="AK11" s="68">
        <f t="array" ref="AK11">IF($D11,SUMPRODUCT((economics!$AG$2:$AG$167=$B11)*(economics!$D$2:$D$167="whr")*economics!$AI$2:$AI$167*_xlfn.NORM.DIST(AK$3,economics!$AK$2:$AK$167,economics!$AJ$2:$AJ$167,TRUE)),0)</f>
        <v/>
      </c>
      <c r="AL11" s="68">
        <f t="array" ref="AL11">IF($D11,SUMPRODUCT((economics!$AG$2:$AG$167=$B11)*(economics!$D$2:$D$167="whr")*economics!$AI$2:$AI$167*_xlfn.NORM.DIST(AL$3,economics!$AK$2:$AK$167,economics!$AJ$2:$AJ$167,TRUE)),0)</f>
        <v/>
      </c>
      <c r="AM11" s="68">
        <f t="array" ref="AM11">IF($D11,SUMPRODUCT((economics!$AG$2:$AG$167=$B11)*(economics!$D$2:$D$167="whr")*economics!$AI$2:$AI$167*_xlfn.NORM.DIST(AM$3,economics!$AK$2:$AK$167,economics!$AJ$2:$AJ$167,TRUE)),0)</f>
        <v/>
      </c>
      <c r="AN11" s="68">
        <f t="array" ref="AN11">IF($D11,SUMPRODUCT((economics!$AG$2:$AG$167=$B11)*(economics!$D$2:$D$167="whr")*economics!$AI$2:$AI$167*_xlfn.NORM.DIST(AN$3,economics!$AK$2:$AK$167,economics!$AJ$2:$AJ$167,TRUE)),0)</f>
        <v/>
      </c>
      <c r="AO11" s="68">
        <f t="array" ref="AO11">IF($D11,SUMPRODUCT((economics!$AG$2:$AG$167=$B11)*(economics!$D$2:$D$167="whr")*economics!$AI$2:$AI$167*_xlfn.NORM.DIST(AO$3,economics!$AK$2:$AK$167,economics!$AJ$2:$AJ$167,TRUE)),0)</f>
        <v/>
      </c>
      <c r="AP11" s="68">
        <f t="array" ref="AP11">IF($D11,SUMPRODUCT((economics!$AG$2:$AG$167=$B11)*(economics!$D$2:$D$167="whr")*economics!$AI$2:$AI$167*_xlfn.NORM.DIST(AP$3,economics!$AK$2:$AK$167,economics!$AJ$2:$AJ$167,TRUE)),0)</f>
        <v/>
      </c>
      <c r="AQ11" s="68">
        <f t="array" ref="AQ11">IF($D11,SUMPRODUCT((economics!$AG$2:$AG$167=$B11)*(economics!$D$2:$D$167="whr")*economics!$AI$2:$AI$167*_xlfn.NORM.DIST(AQ$3,economics!$AK$2:$AK$167,economics!$AJ$2:$AJ$167,TRUE)),0)</f>
        <v/>
      </c>
      <c r="AR11" s="68">
        <f t="array" ref="AR11">IF($D11,SUMPRODUCT((economics!$AG$2:$AG$167=$B11)*(economics!$D$2:$D$167="whr")*economics!$AI$2:$AI$167*_xlfn.NORM.DIST(AR$3,economics!$AK$2:$AK$167,economics!$AJ$2:$AJ$167,TRUE)),0)</f>
        <v/>
      </c>
      <c r="AS11" s="68">
        <f t="array" ref="AS11">IF($D11,SUMPRODUCT((economics!$AG$2:$AG$167=$B11)*(economics!$D$2:$D$167="whr")*economics!$AI$2:$AI$167*_xlfn.NORM.DIST(AS$3,economics!$AK$2:$AK$167,economics!$AJ$2:$AJ$167,TRUE)),0)</f>
        <v/>
      </c>
      <c r="AT11" s="68">
        <f t="array" ref="AT11">IF($D11,SUMPRODUCT((economics!$AG$2:$AG$167=$B11)*(economics!$D$2:$D$167="whr")*economics!$AI$2:$AI$167*_xlfn.NORM.DIST(AT$3,economics!$AK$2:$AK$167,economics!$AJ$2:$AJ$167,TRUE)),0)</f>
        <v/>
      </c>
      <c r="AU11" s="68">
        <f t="array" ref="AU11">IF($D11,SUMPRODUCT((economics!$AG$2:$AG$167=$B11)*(economics!$D$2:$D$167="whr")*economics!$AI$2:$AI$167*_xlfn.NORM.DIST(AU$3,economics!$AK$2:$AK$167,economics!$AJ$2:$AJ$167,TRUE)),0)</f>
        <v/>
      </c>
      <c r="AV11" s="68">
        <f t="array" ref="AV11">IF($D11,SUMPRODUCT((economics!$AG$2:$AG$167=$B11)*(economics!$D$2:$D$167="whr")*economics!$AI$2:$AI$167*_xlfn.NORM.DIST(AV$3,economics!$AK$2:$AK$167,economics!$AJ$2:$AJ$167,TRUE)),0)</f>
        <v/>
      </c>
      <c r="AW11" s="68">
        <f t="array" ref="AW11">IF($D11,SUMPRODUCT((economics!$AG$2:$AG$167=$B11)*(economics!$D$2:$D$167="whr")*economics!$AI$2:$AI$167*_xlfn.NORM.DIST(AW$3,economics!$AK$2:$AK$167,economics!$AJ$2:$AJ$167,TRUE)),0)</f>
        <v/>
      </c>
      <c r="AX11" s="68">
        <f t="array" ref="AX11">IF($D11,SUMPRODUCT((economics!$AG$2:$AG$167=$B11)*(economics!$D$2:$D$167="whr")*economics!$AI$2:$AI$167*_xlfn.NORM.DIST(AX$3,economics!$AK$2:$AK$167,economics!$AJ$2:$AJ$167,TRUE)),0)</f>
        <v/>
      </c>
      <c r="AY11" s="68">
        <f t="array" ref="AY11">IF($D11,SUMPRODUCT((economics!$AG$2:$AG$167=$B11)*(economics!$D$2:$D$167="whr")*economics!$AI$2:$AI$167*_xlfn.NORM.DIST(AY$3,economics!$AK$2:$AK$167,economics!$AJ$2:$AJ$167,TRUE)),0)</f>
        <v/>
      </c>
      <c r="AZ11" s="68">
        <f t="array" ref="AZ11">IF($D11,SUMPRODUCT((economics!$AG$2:$AG$167=$B11)*(economics!$D$2:$D$167="whr")*economics!$AI$2:$AI$167*_xlfn.NORM.DIST(AZ$3,economics!$AK$2:$AK$167,economics!$AJ$2:$AJ$167,TRUE)),0)</f>
        <v/>
      </c>
      <c r="BA11" s="68">
        <f t="array" ref="BA11">IF($D11,SUMPRODUCT((economics!$AG$2:$AG$167=$B11)*(economics!$D$2:$D$167="whr")*economics!$AI$2:$AI$167*_xlfn.NORM.DIST(BA$3,economics!$AK$2:$AK$167,economics!$AJ$2:$AJ$167,TRUE)),0)</f>
        <v/>
      </c>
      <c r="BB11" s="68">
        <f t="array" ref="BB11">IF($D11,SUMPRODUCT((economics!$AG$2:$AG$167=$B11)*(economics!$D$2:$D$167="whr")*economics!$AI$2:$AI$167*_xlfn.NORM.DIST(BB$3,economics!$AK$2:$AK$167,economics!$AJ$2:$AJ$167,TRUE)),0)</f>
        <v/>
      </c>
      <c r="BC11" s="68">
        <f t="array" ref="BC11">IF($D11,SUMPRODUCT((economics!$AG$2:$AG$167=$B11)*(economics!$D$2:$D$167="whr")*economics!$AI$2:$AI$167*_xlfn.NORM.DIST(BC$3,economics!$AK$2:$AK$167,economics!$AJ$2:$AJ$167,TRUE)),0)</f>
        <v/>
      </c>
      <c r="BD11" s="68">
        <f t="array" ref="BD11">IF($D11,SUMPRODUCT((economics!$AG$2:$AG$167=$B11)*(economics!$D$2:$D$167="whr")*economics!$AI$2:$AI$167*_xlfn.NORM.DIST(BD$3,economics!$AK$2:$AK$167,economics!$AJ$2:$AJ$167,TRUE)),0)</f>
        <v/>
      </c>
      <c r="BE11" s="68">
        <f t="array" ref="BE11">IF($D11,SUMPRODUCT((economics!$AG$2:$AG$167=$B11)*(economics!$D$2:$D$167="whr")*economics!$AI$2:$AI$167*_xlfn.NORM.DIST(BE$3,economics!$AK$2:$AK$167,economics!$AJ$2:$AJ$167,TRUE)),0)</f>
        <v/>
      </c>
      <c r="BF11" s="68">
        <f t="array" ref="BF11">IF($D11,SUMPRODUCT((economics!$AG$2:$AG$167=$B11)*(economics!$D$2:$D$167="whr")*economics!$AI$2:$AI$167*_xlfn.NORM.DIST(BF$3,economics!$AK$2:$AK$167,economics!$AJ$2:$AJ$167,TRUE)),0)</f>
        <v/>
      </c>
      <c r="BG11" s="68">
        <f t="array" ref="BG11">IF($D11,SUMPRODUCT((economics!$AG$2:$AG$167=$B11)*(economics!$D$2:$D$167="whr")*economics!$AI$2:$AI$167*_xlfn.NORM.DIST(BG$3,economics!$AK$2:$AK$167,economics!$AJ$2:$AJ$167,TRUE)),0)</f>
        <v/>
      </c>
      <c r="BH11" s="68">
        <f t="array" ref="BH11">IF($D11,SUMPRODUCT((economics!$AG$2:$AG$167=$B11)*(economics!$D$2:$D$167="whr")*economics!$AI$2:$AI$167*_xlfn.NORM.DIST(BH$3,economics!$AK$2:$AK$167,economics!$AJ$2:$AJ$167,TRUE)),0)</f>
        <v/>
      </c>
      <c r="BI11" s="68">
        <f t="array" ref="BI11">IF($D11,SUMPRODUCT((economics!$AG$2:$AG$167=$B11)*(economics!$D$2:$D$167="whr")*economics!$AI$2:$AI$167*_xlfn.NORM.DIST(BI$3,economics!$AK$2:$AK$167,economics!$AJ$2:$AJ$167,TRUE)),0)</f>
        <v/>
      </c>
      <c r="BJ11" s="68">
        <f t="array" ref="BJ11">IF($D11,SUMPRODUCT((economics!$AG$2:$AG$167=$B11)*(economics!$D$2:$D$167="whr")*economics!$AI$2:$AI$167*_xlfn.NORM.DIST(BJ$3,economics!$AK$2:$AK$167,economics!$AJ$2:$AJ$167,TRUE)),0)</f>
        <v/>
      </c>
      <c r="BK11" s="68">
        <f t="array" ref="BK11">IF($D11,SUMPRODUCT((economics!$AG$2:$AG$167=$B11)*(economics!$D$2:$D$167="whr")*economics!$AI$2:$AI$167*_xlfn.NORM.DIST(BK$3,economics!$AK$2:$AK$167,economics!$AJ$2:$AJ$167,TRUE)),0)</f>
        <v/>
      </c>
      <c r="BL11" s="68">
        <f t="array" ref="BL11">IF($D11,SUMPRODUCT((economics!$AG$2:$AG$167=$B11)*(economics!$D$2:$D$167="whr")*economics!$AI$2:$AI$167*_xlfn.NORM.DIST(BL$3,economics!$AK$2:$AK$167,economics!$AJ$2:$AJ$167,TRUE)),0)</f>
        <v/>
      </c>
      <c r="BM11" s="68">
        <f t="array" ref="BM11">IF($D11,SUMPRODUCT((economics!$AG$2:$AG$167=$B11)*(economics!$D$2:$D$167="whr")*economics!$AI$2:$AI$167*_xlfn.NORM.DIST(BM$3,economics!$AK$2:$AK$167,economics!$AJ$2:$AJ$167,TRUE)),0)</f>
        <v/>
      </c>
      <c r="BN11" s="68">
        <f t="array" ref="BN11">IF($D11,SUMPRODUCT((economics!$AG$2:$AG$167=$B11)*(economics!$D$2:$D$167="whr")*economics!$AI$2:$AI$167*_xlfn.NORM.DIST(BN$3,economics!$AK$2:$AK$167,economics!$AJ$2:$AJ$167,TRUE)),0)</f>
        <v/>
      </c>
      <c r="BO11" s="68">
        <f t="array" ref="BO11">IF($D11,SUMPRODUCT((economics!$AG$2:$AG$167=$B11)*(economics!$D$2:$D$167="whr")*economics!$AI$2:$AI$167*_xlfn.NORM.DIST(BO$3,economics!$AK$2:$AK$167,economics!$AJ$2:$AJ$167,TRUE)),0)</f>
        <v/>
      </c>
      <c r="BP11" s="68">
        <f t="array" ref="BP11">IF($D11,SUMPRODUCT((economics!$AG$2:$AG$167=$B11)*(economics!$D$2:$D$167="whr")*economics!$AI$2:$AI$167*_xlfn.NORM.DIST(BP$3,economics!$AK$2:$AK$167,economics!$AJ$2:$AJ$167,TRUE)),0)</f>
        <v/>
      </c>
      <c r="BQ11" s="68">
        <f t="array" ref="BQ11">IF($D11,SUMPRODUCT((economics!$AG$2:$AG$167=$B11)*(economics!$D$2:$D$167="whr")*economics!$AI$2:$AI$167*_xlfn.NORM.DIST(BQ$3,economics!$AK$2:$AK$167,economics!$AJ$2:$AJ$167,TRUE)),0)</f>
        <v/>
      </c>
      <c r="BR11" s="68">
        <f t="array" ref="BR11">IF($D11,SUMPRODUCT((economics!$AG$2:$AG$167=$B11)*(economics!$D$2:$D$167="whr")*economics!$AI$2:$AI$167*_xlfn.NORM.DIST(BR$3,economics!$AK$2:$AK$167,economics!$AJ$2:$AJ$167,TRUE)),0)</f>
        <v/>
      </c>
      <c r="BS11" s="68">
        <f t="array" ref="BS11">IF($D11,SUMPRODUCT((economics!$AG$2:$AG$167=$B11)*(economics!$D$2:$D$167="whr")*economics!$AI$2:$AI$167*_xlfn.NORM.DIST(BS$3,economics!$AK$2:$AK$167,economics!$AJ$2:$AJ$167,TRUE)),0)</f>
        <v/>
      </c>
      <c r="BT11" s="68">
        <f t="array" ref="BT11">IF($D11,SUMPRODUCT((economics!$AG$2:$AG$167=$B11)*(economics!$D$2:$D$167="whr")*economics!$AI$2:$AI$167*_xlfn.NORM.DIST(BT$3,economics!$AK$2:$AK$167,economics!$AJ$2:$AJ$167,TRUE)),0)</f>
        <v/>
      </c>
      <c r="BU11" s="68">
        <f t="array" ref="BU11">IF($D11,SUMPRODUCT((economics!$AG$2:$AG$167=$B11)*(economics!$D$2:$D$167="whr")*economics!$AI$2:$AI$167*_xlfn.NORM.DIST(BU$3,economics!$AK$2:$AK$167,economics!$AJ$2:$AJ$167,TRUE)),0)</f>
        <v/>
      </c>
      <c r="BV11" s="68">
        <f t="array" ref="BV11">IF($D11,SUMPRODUCT((economics!$AG$2:$AG$167=$B11)*(economics!$D$2:$D$167="whr")*economics!$AI$2:$AI$167*_xlfn.NORM.DIST(BV$3,economics!$AK$2:$AK$167,economics!$AJ$2:$AJ$167,TRUE)),0)</f>
        <v/>
      </c>
      <c r="BW11" s="68">
        <f t="array" ref="BW11">IF($D11,SUMPRODUCT((economics!$AG$2:$AG$167=$B11)*(economics!$D$2:$D$167="whr")*economics!$AI$2:$AI$167*_xlfn.NORM.DIST(BW$3,economics!$AK$2:$AK$167,economics!$AJ$2:$AJ$167,TRUE)),0)</f>
        <v/>
      </c>
      <c r="BX11" s="68">
        <f t="array" ref="BX11">IF($D11,SUMPRODUCT((economics!$AG$2:$AG$167=$B11)*(economics!$D$2:$D$167="whr")*economics!$AI$2:$AI$167*_xlfn.NORM.DIST(BX$3,economics!$AK$2:$AK$167,economics!$AJ$2:$AJ$167,TRUE)),0)</f>
        <v/>
      </c>
      <c r="BY11" s="68">
        <f t="array" ref="BY11">IF($D11,SUMPRODUCT((economics!$AG$2:$AG$167=$B11)*(economics!$D$2:$D$167="whr")*economics!$AI$2:$AI$167*_xlfn.NORM.DIST(BY$3,economics!$AK$2:$AK$167,economics!$AJ$2:$AJ$167,TRUE)),0)</f>
        <v/>
      </c>
      <c r="BZ11" s="68">
        <f t="array" ref="BZ11">IF($D11,SUMPRODUCT((economics!$AG$2:$AG$167=$B11)*(economics!$D$2:$D$167="whr")*economics!$AI$2:$AI$167*_xlfn.NORM.DIST(BZ$3,economics!$AK$2:$AK$167,economics!$AJ$2:$AJ$167,TRUE)),0)</f>
        <v/>
      </c>
      <c r="CA11" s="68">
        <f t="array" ref="CA11">IF($D11,SUMPRODUCT((economics!$AG$2:$AG$167=$B11)*(economics!$D$2:$D$167="whr")*economics!$AI$2:$AI$167*_xlfn.NORM.DIST(CA$3,economics!$AK$2:$AK$167,economics!$AJ$2:$AJ$167,TRUE)),0)</f>
        <v/>
      </c>
      <c r="CB11" s="68">
        <f t="array" ref="CB11">IF($D11,SUMPRODUCT((economics!$AG$2:$AG$167=$B11)*(economics!$D$2:$D$167="whr")*economics!$AI$2:$AI$167*_xlfn.NORM.DIST(CB$3,economics!$AK$2:$AK$167,economics!$AJ$2:$AJ$167,TRUE)),0)</f>
        <v/>
      </c>
      <c r="CC11" s="68">
        <f t="array" ref="CC11">IF($D11,SUMPRODUCT((economics!$AG$2:$AG$167=$B11)*(economics!$D$2:$D$167="whr")*economics!$AI$2:$AI$167*_xlfn.NORM.DIST(CC$3,economics!$AK$2:$AK$167,economics!$AJ$2:$AJ$167,TRUE)),0)</f>
        <v/>
      </c>
      <c r="CD11" s="68">
        <f t="array" ref="CD11">IF($D11,SUMPRODUCT((economics!$AG$2:$AG$167=$B11)*(economics!$D$2:$D$167="whr")*economics!$AI$2:$AI$167*_xlfn.NORM.DIST(CD$3,economics!$AK$2:$AK$167,economics!$AJ$2:$AJ$167,TRUE)),0)</f>
        <v/>
      </c>
      <c r="CE11" s="68">
        <f t="array" ref="CE11">IF($D11,SUMPRODUCT((economics!$AG$2:$AG$167=$B11)*(economics!$D$2:$D$167="whr")*economics!$AI$2:$AI$167*_xlfn.NORM.DIST(CE$3,economics!$AK$2:$AK$167,economics!$AJ$2:$AJ$167,TRUE)),0)</f>
        <v/>
      </c>
      <c r="CF11" s="68">
        <f t="array" ref="CF11">IF($D11,SUMPRODUCT((economics!$AG$2:$AG$167=$B11)*(economics!$D$2:$D$167="whr")*economics!$AI$2:$AI$167*_xlfn.NORM.DIST(CF$3,economics!$AK$2:$AK$167,economics!$AJ$2:$AJ$167,TRUE)),0)</f>
        <v/>
      </c>
      <c r="CG11" s="68">
        <f t="array" ref="CG11">IF($D11,SUMPRODUCT((economics!$AG$2:$AG$167=$B11)*(economics!$D$2:$D$167="whr")*economics!$AI$2:$AI$167*_xlfn.NORM.DIST(CG$3,economics!$AK$2:$AK$167,economics!$AJ$2:$AJ$167,TRUE)),0)</f>
        <v/>
      </c>
      <c r="CH11" s="68">
        <f t="array" ref="CH11">IF($D11,SUMPRODUCT((economics!$AG$2:$AG$167=$B11)*(economics!$D$2:$D$167="whr")*economics!$AI$2:$AI$167*_xlfn.NORM.DIST(CH$3,economics!$AK$2:$AK$167,economics!$AJ$2:$AJ$167,TRUE)),0)</f>
        <v/>
      </c>
    </row>
    <row r="12">
      <c r="A12">
        <f>WHRPbI!A10</f>
        <v/>
      </c>
      <c r="B12" t="n">
        <v>19</v>
      </c>
      <c r="C12" s="68">
        <f>WHRPbI!B10</f>
        <v/>
      </c>
      <c r="D12">
        <f>ISNUMBER(MATCH($B12,'energy base (MECS)'!$K$4:$K$9,0))</f>
        <v/>
      </c>
      <c r="E12" s="68">
        <f t="array" ref="E12">IF($D12,SUMPRODUCT((economics!$AG$2:$AG$167=$B12)*(economics!$D$2:$D$167="whr")*economics!$AI$2:$AI$167*_xlfn.NORM.DIST(E$3,economics!$AK$2:$AK$167,economics!$AJ$2:$AJ$167,TRUE)),0)</f>
        <v/>
      </c>
      <c r="F12" s="68">
        <f t="array" ref="F12">IF($D12,SUMPRODUCT((economics!$AG$2:$AG$167=$B12)*(economics!$D$2:$D$167="whr")*economics!$AI$2:$AI$167*_xlfn.NORM.DIST(F$3,economics!$AK$2:$AK$167,economics!$AJ$2:$AJ$167,TRUE)),0)</f>
        <v/>
      </c>
      <c r="G12" s="68">
        <f t="array" ref="G12">IF($D12,SUMPRODUCT((economics!$AG$2:$AG$167=$B12)*(economics!$D$2:$D$167="whr")*economics!$AI$2:$AI$167*_xlfn.NORM.DIST(G$3,economics!$AK$2:$AK$167,economics!$AJ$2:$AJ$167,TRUE)),0)</f>
        <v/>
      </c>
      <c r="H12" s="68">
        <f t="array" ref="H12">IF($D12,SUMPRODUCT((economics!$AG$2:$AG$167=$B12)*(economics!$D$2:$D$167="whr")*economics!$AI$2:$AI$167*_xlfn.NORM.DIST(H$3,economics!$AK$2:$AK$167,economics!$AJ$2:$AJ$167,TRUE)),0)</f>
        <v/>
      </c>
      <c r="I12" s="68">
        <f t="array" ref="I12">IF($D12,SUMPRODUCT((economics!$AG$2:$AG$167=$B12)*(economics!$D$2:$D$167="whr")*economics!$AI$2:$AI$167*_xlfn.NORM.DIST(I$3,economics!$AK$2:$AK$167,economics!$AJ$2:$AJ$167,TRUE)),0)</f>
        <v/>
      </c>
      <c r="J12" s="68">
        <f t="array" ref="J12">IF($D12,SUMPRODUCT((economics!$AG$2:$AG$167=$B12)*(economics!$D$2:$D$167="whr")*economics!$AI$2:$AI$167*_xlfn.NORM.DIST(J$3,economics!$AK$2:$AK$167,economics!$AJ$2:$AJ$167,TRUE)),0)</f>
        <v/>
      </c>
      <c r="K12" s="68">
        <f t="array" ref="K12">IF($D12,SUMPRODUCT((economics!$AG$2:$AG$167=$B12)*(economics!$D$2:$D$167="whr")*economics!$AI$2:$AI$167*_xlfn.NORM.DIST(K$3,economics!$AK$2:$AK$167,economics!$AJ$2:$AJ$167,TRUE)),0)</f>
        <v/>
      </c>
      <c r="L12" s="68">
        <f t="array" ref="L12">IF($D12,SUMPRODUCT((economics!$AG$2:$AG$167=$B12)*(economics!$D$2:$D$167="whr")*economics!$AI$2:$AI$167*_xlfn.NORM.DIST(L$3,economics!$AK$2:$AK$167,economics!$AJ$2:$AJ$167,TRUE)),0)</f>
        <v/>
      </c>
      <c r="M12" s="68">
        <f t="array" ref="M12">IF($D12,SUMPRODUCT((economics!$AG$2:$AG$167=$B12)*(economics!$D$2:$D$167="whr")*economics!$AI$2:$AI$167*_xlfn.NORM.DIST(M$3,economics!$AK$2:$AK$167,economics!$AJ$2:$AJ$167,TRUE)),0)</f>
        <v/>
      </c>
      <c r="N12" s="68">
        <f t="array" ref="N12">IF($D12,SUMPRODUCT((economics!$AG$2:$AG$167=$B12)*(economics!$D$2:$D$167="whr")*economics!$AI$2:$AI$167*_xlfn.NORM.DIST(N$3,economics!$AK$2:$AK$167,economics!$AJ$2:$AJ$167,TRUE)),0)</f>
        <v/>
      </c>
      <c r="O12" s="68">
        <f t="array" ref="O12">IF($D12,SUMPRODUCT((economics!$AG$2:$AG$167=$B12)*(economics!$D$2:$D$167="whr")*economics!$AI$2:$AI$167*_xlfn.NORM.DIST(O$3,economics!$AK$2:$AK$167,economics!$AJ$2:$AJ$167,TRUE)),0)</f>
        <v/>
      </c>
      <c r="P12" s="68">
        <f t="array" ref="P12">IF($D12,SUMPRODUCT((economics!$AG$2:$AG$167=$B12)*(economics!$D$2:$D$167="whr")*economics!$AI$2:$AI$167*_xlfn.NORM.DIST(P$3,economics!$AK$2:$AK$167,economics!$AJ$2:$AJ$167,TRUE)),0)</f>
        <v/>
      </c>
      <c r="Q12" s="68">
        <f t="array" ref="Q12">IF($D12,SUMPRODUCT((economics!$AG$2:$AG$167=$B12)*(economics!$D$2:$D$167="whr")*economics!$AI$2:$AI$167*_xlfn.NORM.DIST(Q$3,economics!$AK$2:$AK$167,economics!$AJ$2:$AJ$167,TRUE)),0)</f>
        <v/>
      </c>
      <c r="R12" s="68">
        <f t="array" ref="R12">IF($D12,SUMPRODUCT((economics!$AG$2:$AG$167=$B12)*(economics!$D$2:$D$167="whr")*economics!$AI$2:$AI$167*_xlfn.NORM.DIST(R$3,economics!$AK$2:$AK$167,economics!$AJ$2:$AJ$167,TRUE)),0)</f>
        <v/>
      </c>
      <c r="S12" s="68">
        <f t="array" ref="S12">IF($D12,SUMPRODUCT((economics!$AG$2:$AG$167=$B12)*(economics!$D$2:$D$167="whr")*economics!$AI$2:$AI$167*_xlfn.NORM.DIST(S$3,economics!$AK$2:$AK$167,economics!$AJ$2:$AJ$167,TRUE)),0)</f>
        <v/>
      </c>
      <c r="T12" s="68">
        <f t="array" ref="T12">IF($D12,SUMPRODUCT((economics!$AG$2:$AG$167=$B12)*(economics!$D$2:$D$167="whr")*economics!$AI$2:$AI$167*_xlfn.NORM.DIST(T$3,economics!$AK$2:$AK$167,economics!$AJ$2:$AJ$167,TRUE)),0)</f>
        <v/>
      </c>
      <c r="U12" s="68">
        <f t="array" ref="U12">IF($D12,SUMPRODUCT((economics!$AG$2:$AG$167=$B12)*(economics!$D$2:$D$167="whr")*economics!$AI$2:$AI$167*_xlfn.NORM.DIST(U$3,economics!$AK$2:$AK$167,economics!$AJ$2:$AJ$167,TRUE)),0)</f>
        <v/>
      </c>
      <c r="V12" s="68">
        <f t="array" ref="V12">IF($D12,SUMPRODUCT((economics!$AG$2:$AG$167=$B12)*(economics!$D$2:$D$167="whr")*economics!$AI$2:$AI$167*_xlfn.NORM.DIST(V$3,economics!$AK$2:$AK$167,economics!$AJ$2:$AJ$167,TRUE)),0)</f>
        <v/>
      </c>
      <c r="W12" s="68">
        <f t="array" ref="W12">IF($D12,SUMPRODUCT((economics!$AG$2:$AG$167=$B12)*(economics!$D$2:$D$167="whr")*economics!$AI$2:$AI$167*_xlfn.NORM.DIST(W$3,economics!$AK$2:$AK$167,economics!$AJ$2:$AJ$167,TRUE)),0)</f>
        <v/>
      </c>
      <c r="X12" s="68">
        <f t="array" ref="X12">IF($D12,SUMPRODUCT((economics!$AG$2:$AG$167=$B12)*(economics!$D$2:$D$167="whr")*economics!$AI$2:$AI$167*_xlfn.NORM.DIST(X$3,economics!$AK$2:$AK$167,economics!$AJ$2:$AJ$167,TRUE)),0)</f>
        <v/>
      </c>
      <c r="Y12" s="68">
        <f t="array" ref="Y12">IF($D12,SUMPRODUCT((economics!$AG$2:$AG$167=$B12)*(economics!$D$2:$D$167="whr")*economics!$AI$2:$AI$167*_xlfn.NORM.DIST(Y$3,economics!$AK$2:$AK$167,economics!$AJ$2:$AJ$167,TRUE)),0)</f>
        <v/>
      </c>
      <c r="Z12" s="68">
        <f t="array" ref="Z12">IF($D12,SUMPRODUCT((economics!$AG$2:$AG$167=$B12)*(economics!$D$2:$D$167="whr")*economics!$AI$2:$AI$167*_xlfn.NORM.DIST(Z$3,economics!$AK$2:$AK$167,economics!$AJ$2:$AJ$167,TRUE)),0)</f>
        <v/>
      </c>
      <c r="AA12" s="68">
        <f t="array" ref="AA12">IF($D12,SUMPRODUCT((economics!$AG$2:$AG$167=$B12)*(economics!$D$2:$D$167="whr")*economics!$AI$2:$AI$167*_xlfn.NORM.DIST(AA$3,economics!$AK$2:$AK$167,economics!$AJ$2:$AJ$167,TRUE)),0)</f>
        <v/>
      </c>
      <c r="AB12" s="68">
        <f t="array" ref="AB12">IF($D12,SUMPRODUCT((economics!$AG$2:$AG$167=$B12)*(economics!$D$2:$D$167="whr")*economics!$AI$2:$AI$167*_xlfn.NORM.DIST(AB$3,economics!$AK$2:$AK$167,economics!$AJ$2:$AJ$167,TRUE)),0)</f>
        <v/>
      </c>
      <c r="AC12" s="68">
        <f t="array" ref="AC12">IF($D12,SUMPRODUCT((economics!$AG$2:$AG$167=$B12)*(economics!$D$2:$D$167="whr")*economics!$AI$2:$AI$167*_xlfn.NORM.DIST(AC$3,economics!$AK$2:$AK$167,economics!$AJ$2:$AJ$167,TRUE)),0)</f>
        <v/>
      </c>
      <c r="AD12" s="68">
        <f t="array" ref="AD12">IF($D12,SUMPRODUCT((economics!$AG$2:$AG$167=$B12)*(economics!$D$2:$D$167="whr")*economics!$AI$2:$AI$167*_xlfn.NORM.DIST(AD$3,economics!$AK$2:$AK$167,economics!$AJ$2:$AJ$167,TRUE)),0)</f>
        <v/>
      </c>
      <c r="AE12" s="68">
        <f t="array" ref="AE12">IF($D12,SUMPRODUCT((economics!$AG$2:$AG$167=$B12)*(economics!$D$2:$D$167="whr")*economics!$AI$2:$AI$167*_xlfn.NORM.DIST(AE$3,economics!$AK$2:$AK$167,economics!$AJ$2:$AJ$167,TRUE)),0)</f>
        <v/>
      </c>
      <c r="AF12" s="68">
        <f t="array" ref="AF12">IF($D12,SUMPRODUCT((economics!$AG$2:$AG$167=$B12)*(economics!$D$2:$D$167="whr")*economics!$AI$2:$AI$167*_xlfn.NORM.DIST(AF$3,economics!$AK$2:$AK$167,economics!$AJ$2:$AJ$167,TRUE)),0)</f>
        <v/>
      </c>
      <c r="AG12" s="68">
        <f t="array" ref="AG12">IF($D12,SUMPRODUCT((economics!$AG$2:$AG$167=$B12)*(economics!$D$2:$D$167="whr")*economics!$AI$2:$AI$167*_xlfn.NORM.DIST(AG$3,economics!$AK$2:$AK$167,economics!$AJ$2:$AJ$167,TRUE)),0)</f>
        <v/>
      </c>
      <c r="AH12" s="68">
        <f t="array" ref="AH12">IF($D12,SUMPRODUCT((economics!$AG$2:$AG$167=$B12)*(economics!$D$2:$D$167="whr")*economics!$AI$2:$AI$167*_xlfn.NORM.DIST(AH$3,economics!$AK$2:$AK$167,economics!$AJ$2:$AJ$167,TRUE)),0)</f>
        <v/>
      </c>
      <c r="AI12" s="68">
        <f t="array" ref="AI12">IF($D12,SUMPRODUCT((economics!$AG$2:$AG$167=$B12)*(economics!$D$2:$D$167="whr")*economics!$AI$2:$AI$167*_xlfn.NORM.DIST(AI$3,economics!$AK$2:$AK$167,economics!$AJ$2:$AJ$167,TRUE)),0)</f>
        <v/>
      </c>
      <c r="AJ12" s="68">
        <f t="array" ref="AJ12">IF($D12,SUMPRODUCT((economics!$AG$2:$AG$167=$B12)*(economics!$D$2:$D$167="whr")*economics!$AI$2:$AI$167*_xlfn.NORM.DIST(AJ$3,economics!$AK$2:$AK$167,economics!$AJ$2:$AJ$167,TRUE)),0)</f>
        <v/>
      </c>
      <c r="AK12" s="68">
        <f t="array" ref="AK12">IF($D12,SUMPRODUCT((economics!$AG$2:$AG$167=$B12)*(economics!$D$2:$D$167="whr")*economics!$AI$2:$AI$167*_xlfn.NORM.DIST(AK$3,economics!$AK$2:$AK$167,economics!$AJ$2:$AJ$167,TRUE)),0)</f>
        <v/>
      </c>
      <c r="AL12" s="68">
        <f t="array" ref="AL12">IF($D12,SUMPRODUCT((economics!$AG$2:$AG$167=$B12)*(economics!$D$2:$D$167="whr")*economics!$AI$2:$AI$167*_xlfn.NORM.DIST(AL$3,economics!$AK$2:$AK$167,economics!$AJ$2:$AJ$167,TRUE)),0)</f>
        <v/>
      </c>
      <c r="AM12" s="68">
        <f t="array" ref="AM12">IF($D12,SUMPRODUCT((economics!$AG$2:$AG$167=$B12)*(economics!$D$2:$D$167="whr")*economics!$AI$2:$AI$167*_xlfn.NORM.DIST(AM$3,economics!$AK$2:$AK$167,economics!$AJ$2:$AJ$167,TRUE)),0)</f>
        <v/>
      </c>
      <c r="AN12" s="68">
        <f t="array" ref="AN12">IF($D12,SUMPRODUCT((economics!$AG$2:$AG$167=$B12)*(economics!$D$2:$D$167="whr")*economics!$AI$2:$AI$167*_xlfn.NORM.DIST(AN$3,economics!$AK$2:$AK$167,economics!$AJ$2:$AJ$167,TRUE)),0)</f>
        <v/>
      </c>
      <c r="AO12" s="68">
        <f t="array" ref="AO12">IF($D12,SUMPRODUCT((economics!$AG$2:$AG$167=$B12)*(economics!$D$2:$D$167="whr")*economics!$AI$2:$AI$167*_xlfn.NORM.DIST(AO$3,economics!$AK$2:$AK$167,economics!$AJ$2:$AJ$167,TRUE)),0)</f>
        <v/>
      </c>
      <c r="AP12" s="68">
        <f t="array" ref="AP12">IF($D12,SUMPRODUCT((economics!$AG$2:$AG$167=$B12)*(economics!$D$2:$D$167="whr")*economics!$AI$2:$AI$167*_xlfn.NORM.DIST(AP$3,economics!$AK$2:$AK$167,economics!$AJ$2:$AJ$167,TRUE)),0)</f>
        <v/>
      </c>
      <c r="AQ12" s="68">
        <f t="array" ref="AQ12">IF($D12,SUMPRODUCT((economics!$AG$2:$AG$167=$B12)*(economics!$D$2:$D$167="whr")*economics!$AI$2:$AI$167*_xlfn.NORM.DIST(AQ$3,economics!$AK$2:$AK$167,economics!$AJ$2:$AJ$167,TRUE)),0)</f>
        <v/>
      </c>
      <c r="AR12" s="68">
        <f t="array" ref="AR12">IF($D12,SUMPRODUCT((economics!$AG$2:$AG$167=$B12)*(economics!$D$2:$D$167="whr")*economics!$AI$2:$AI$167*_xlfn.NORM.DIST(AR$3,economics!$AK$2:$AK$167,economics!$AJ$2:$AJ$167,TRUE)),0)</f>
        <v/>
      </c>
      <c r="AS12" s="68">
        <f t="array" ref="AS12">IF($D12,SUMPRODUCT((economics!$AG$2:$AG$167=$B12)*(economics!$D$2:$D$167="whr")*economics!$AI$2:$AI$167*_xlfn.NORM.DIST(AS$3,economics!$AK$2:$AK$167,economics!$AJ$2:$AJ$167,TRUE)),0)</f>
        <v/>
      </c>
      <c r="AT12" s="68">
        <f t="array" ref="AT12">IF($D12,SUMPRODUCT((economics!$AG$2:$AG$167=$B12)*(economics!$D$2:$D$167="whr")*economics!$AI$2:$AI$167*_xlfn.NORM.DIST(AT$3,economics!$AK$2:$AK$167,economics!$AJ$2:$AJ$167,TRUE)),0)</f>
        <v/>
      </c>
      <c r="AU12" s="68">
        <f t="array" ref="AU12">IF($D12,SUMPRODUCT((economics!$AG$2:$AG$167=$B12)*(economics!$D$2:$D$167="whr")*economics!$AI$2:$AI$167*_xlfn.NORM.DIST(AU$3,economics!$AK$2:$AK$167,economics!$AJ$2:$AJ$167,TRUE)),0)</f>
        <v/>
      </c>
      <c r="AV12" s="68">
        <f t="array" ref="AV12">IF($D12,SUMPRODUCT((economics!$AG$2:$AG$167=$B12)*(economics!$D$2:$D$167="whr")*economics!$AI$2:$AI$167*_xlfn.NORM.DIST(AV$3,economics!$AK$2:$AK$167,economics!$AJ$2:$AJ$167,TRUE)),0)</f>
        <v/>
      </c>
      <c r="AW12" s="68">
        <f t="array" ref="AW12">IF($D12,SUMPRODUCT((economics!$AG$2:$AG$167=$B12)*(economics!$D$2:$D$167="whr")*economics!$AI$2:$AI$167*_xlfn.NORM.DIST(AW$3,economics!$AK$2:$AK$167,economics!$AJ$2:$AJ$167,TRUE)),0)</f>
        <v/>
      </c>
      <c r="AX12" s="68">
        <f t="array" ref="AX12">IF($D12,SUMPRODUCT((economics!$AG$2:$AG$167=$B12)*(economics!$D$2:$D$167="whr")*economics!$AI$2:$AI$167*_xlfn.NORM.DIST(AX$3,economics!$AK$2:$AK$167,economics!$AJ$2:$AJ$167,TRUE)),0)</f>
        <v/>
      </c>
      <c r="AY12" s="68">
        <f t="array" ref="AY12">IF($D12,SUMPRODUCT((economics!$AG$2:$AG$167=$B12)*(economics!$D$2:$D$167="whr")*economics!$AI$2:$AI$167*_xlfn.NORM.DIST(AY$3,economics!$AK$2:$AK$167,economics!$AJ$2:$AJ$167,TRUE)),0)</f>
        <v/>
      </c>
      <c r="AZ12" s="68">
        <f t="array" ref="AZ12">IF($D12,SUMPRODUCT((economics!$AG$2:$AG$167=$B12)*(economics!$D$2:$D$167="whr")*economics!$AI$2:$AI$167*_xlfn.NORM.DIST(AZ$3,economics!$AK$2:$AK$167,economics!$AJ$2:$AJ$167,TRUE)),0)</f>
        <v/>
      </c>
      <c r="BA12" s="68">
        <f t="array" ref="BA12">IF($D12,SUMPRODUCT((economics!$AG$2:$AG$167=$B12)*(economics!$D$2:$D$167="whr")*economics!$AI$2:$AI$167*_xlfn.NORM.DIST(BA$3,economics!$AK$2:$AK$167,economics!$AJ$2:$AJ$167,TRUE)),0)</f>
        <v/>
      </c>
      <c r="BB12" s="68">
        <f t="array" ref="BB12">IF($D12,SUMPRODUCT((economics!$AG$2:$AG$167=$B12)*(economics!$D$2:$D$167="whr")*economics!$AI$2:$AI$167*_xlfn.NORM.DIST(BB$3,economics!$AK$2:$AK$167,economics!$AJ$2:$AJ$167,TRUE)),0)</f>
        <v/>
      </c>
      <c r="BC12" s="68">
        <f t="array" ref="BC12">IF($D12,SUMPRODUCT((economics!$AG$2:$AG$167=$B12)*(economics!$D$2:$D$167="whr")*economics!$AI$2:$AI$167*_xlfn.NORM.DIST(BC$3,economics!$AK$2:$AK$167,economics!$AJ$2:$AJ$167,TRUE)),0)</f>
        <v/>
      </c>
      <c r="BD12" s="68">
        <f t="array" ref="BD12">IF($D12,SUMPRODUCT((economics!$AG$2:$AG$167=$B12)*(economics!$D$2:$D$167="whr")*economics!$AI$2:$AI$167*_xlfn.NORM.DIST(BD$3,economics!$AK$2:$AK$167,economics!$AJ$2:$AJ$167,TRUE)),0)</f>
        <v/>
      </c>
      <c r="BE12" s="68">
        <f t="array" ref="BE12">IF($D12,SUMPRODUCT((economics!$AG$2:$AG$167=$B12)*(economics!$D$2:$D$167="whr")*economics!$AI$2:$AI$167*_xlfn.NORM.DIST(BE$3,economics!$AK$2:$AK$167,economics!$AJ$2:$AJ$167,TRUE)),0)</f>
        <v/>
      </c>
      <c r="BF12" s="68">
        <f t="array" ref="BF12">IF($D12,SUMPRODUCT((economics!$AG$2:$AG$167=$B12)*(economics!$D$2:$D$167="whr")*economics!$AI$2:$AI$167*_xlfn.NORM.DIST(BF$3,economics!$AK$2:$AK$167,economics!$AJ$2:$AJ$167,TRUE)),0)</f>
        <v/>
      </c>
      <c r="BG12" s="68">
        <f t="array" ref="BG12">IF($D12,SUMPRODUCT((economics!$AG$2:$AG$167=$B12)*(economics!$D$2:$D$167="whr")*economics!$AI$2:$AI$167*_xlfn.NORM.DIST(BG$3,economics!$AK$2:$AK$167,economics!$AJ$2:$AJ$167,TRUE)),0)</f>
        <v/>
      </c>
      <c r="BH12" s="68">
        <f t="array" ref="BH12">IF($D12,SUMPRODUCT((economics!$AG$2:$AG$167=$B12)*(economics!$D$2:$D$167="whr")*economics!$AI$2:$AI$167*_xlfn.NORM.DIST(BH$3,economics!$AK$2:$AK$167,economics!$AJ$2:$AJ$167,TRUE)),0)</f>
        <v/>
      </c>
      <c r="BI12" s="68">
        <f t="array" ref="BI12">IF($D12,SUMPRODUCT((economics!$AG$2:$AG$167=$B12)*(economics!$D$2:$D$167="whr")*economics!$AI$2:$AI$167*_xlfn.NORM.DIST(BI$3,economics!$AK$2:$AK$167,economics!$AJ$2:$AJ$167,TRUE)),0)</f>
        <v/>
      </c>
      <c r="BJ12" s="68">
        <f t="array" ref="BJ12">IF($D12,SUMPRODUCT((economics!$AG$2:$AG$167=$B12)*(economics!$D$2:$D$167="whr")*economics!$AI$2:$AI$167*_xlfn.NORM.DIST(BJ$3,economics!$AK$2:$AK$167,economics!$AJ$2:$AJ$167,TRUE)),0)</f>
        <v/>
      </c>
      <c r="BK12" s="68">
        <f t="array" ref="BK12">IF($D12,SUMPRODUCT((economics!$AG$2:$AG$167=$B12)*(economics!$D$2:$D$167="whr")*economics!$AI$2:$AI$167*_xlfn.NORM.DIST(BK$3,economics!$AK$2:$AK$167,economics!$AJ$2:$AJ$167,TRUE)),0)</f>
        <v/>
      </c>
      <c r="BL12" s="68">
        <f t="array" ref="BL12">IF($D12,SUMPRODUCT((economics!$AG$2:$AG$167=$B12)*(economics!$D$2:$D$167="whr")*economics!$AI$2:$AI$167*_xlfn.NORM.DIST(BL$3,economics!$AK$2:$AK$167,economics!$AJ$2:$AJ$167,TRUE)),0)</f>
        <v/>
      </c>
      <c r="BM12" s="68">
        <f t="array" ref="BM12">IF($D12,SUMPRODUCT((economics!$AG$2:$AG$167=$B12)*(economics!$D$2:$D$167="whr")*economics!$AI$2:$AI$167*_xlfn.NORM.DIST(BM$3,economics!$AK$2:$AK$167,economics!$AJ$2:$AJ$167,TRUE)),0)</f>
        <v/>
      </c>
      <c r="BN12" s="68">
        <f t="array" ref="BN12">IF($D12,SUMPRODUCT((economics!$AG$2:$AG$167=$B12)*(economics!$D$2:$D$167="whr")*economics!$AI$2:$AI$167*_xlfn.NORM.DIST(BN$3,economics!$AK$2:$AK$167,economics!$AJ$2:$AJ$167,TRUE)),0)</f>
        <v/>
      </c>
      <c r="BO12" s="68">
        <f t="array" ref="BO12">IF($D12,SUMPRODUCT((economics!$AG$2:$AG$167=$B12)*(economics!$D$2:$D$167="whr")*economics!$AI$2:$AI$167*_xlfn.NORM.DIST(BO$3,economics!$AK$2:$AK$167,economics!$AJ$2:$AJ$167,TRUE)),0)</f>
        <v/>
      </c>
      <c r="BP12" s="68">
        <f t="array" ref="BP12">IF($D12,SUMPRODUCT((economics!$AG$2:$AG$167=$B12)*(economics!$D$2:$D$167="whr")*economics!$AI$2:$AI$167*_xlfn.NORM.DIST(BP$3,economics!$AK$2:$AK$167,economics!$AJ$2:$AJ$167,TRUE)),0)</f>
        <v/>
      </c>
      <c r="BQ12" s="68">
        <f t="array" ref="BQ12">IF($D12,SUMPRODUCT((economics!$AG$2:$AG$167=$B12)*(economics!$D$2:$D$167="whr")*economics!$AI$2:$AI$167*_xlfn.NORM.DIST(BQ$3,economics!$AK$2:$AK$167,economics!$AJ$2:$AJ$167,TRUE)),0)</f>
        <v/>
      </c>
      <c r="BR12" s="68">
        <f t="array" ref="BR12">IF($D12,SUMPRODUCT((economics!$AG$2:$AG$167=$B12)*(economics!$D$2:$D$167="whr")*economics!$AI$2:$AI$167*_xlfn.NORM.DIST(BR$3,economics!$AK$2:$AK$167,economics!$AJ$2:$AJ$167,TRUE)),0)</f>
        <v/>
      </c>
      <c r="BS12" s="68">
        <f t="array" ref="BS12">IF($D12,SUMPRODUCT((economics!$AG$2:$AG$167=$B12)*(economics!$D$2:$D$167="whr")*economics!$AI$2:$AI$167*_xlfn.NORM.DIST(BS$3,economics!$AK$2:$AK$167,economics!$AJ$2:$AJ$167,TRUE)),0)</f>
        <v/>
      </c>
      <c r="BT12" s="68">
        <f t="array" ref="BT12">IF($D12,SUMPRODUCT((economics!$AG$2:$AG$167=$B12)*(economics!$D$2:$D$167="whr")*economics!$AI$2:$AI$167*_xlfn.NORM.DIST(BT$3,economics!$AK$2:$AK$167,economics!$AJ$2:$AJ$167,TRUE)),0)</f>
        <v/>
      </c>
      <c r="BU12" s="68">
        <f t="array" ref="BU12">IF($D12,SUMPRODUCT((economics!$AG$2:$AG$167=$B12)*(economics!$D$2:$D$167="whr")*economics!$AI$2:$AI$167*_xlfn.NORM.DIST(BU$3,economics!$AK$2:$AK$167,economics!$AJ$2:$AJ$167,TRUE)),0)</f>
        <v/>
      </c>
      <c r="BV12" s="68">
        <f t="array" ref="BV12">IF($D12,SUMPRODUCT((economics!$AG$2:$AG$167=$B12)*(economics!$D$2:$D$167="whr")*economics!$AI$2:$AI$167*_xlfn.NORM.DIST(BV$3,economics!$AK$2:$AK$167,economics!$AJ$2:$AJ$167,TRUE)),0)</f>
        <v/>
      </c>
      <c r="BW12" s="68">
        <f t="array" ref="BW12">IF($D12,SUMPRODUCT((economics!$AG$2:$AG$167=$B12)*(economics!$D$2:$D$167="whr")*economics!$AI$2:$AI$167*_xlfn.NORM.DIST(BW$3,economics!$AK$2:$AK$167,economics!$AJ$2:$AJ$167,TRUE)),0)</f>
        <v/>
      </c>
      <c r="BX12" s="68">
        <f t="array" ref="BX12">IF($D12,SUMPRODUCT((economics!$AG$2:$AG$167=$B12)*(economics!$D$2:$D$167="whr")*economics!$AI$2:$AI$167*_xlfn.NORM.DIST(BX$3,economics!$AK$2:$AK$167,economics!$AJ$2:$AJ$167,TRUE)),0)</f>
        <v/>
      </c>
      <c r="BY12" s="68">
        <f t="array" ref="BY12">IF($D12,SUMPRODUCT((economics!$AG$2:$AG$167=$B12)*(economics!$D$2:$D$167="whr")*economics!$AI$2:$AI$167*_xlfn.NORM.DIST(BY$3,economics!$AK$2:$AK$167,economics!$AJ$2:$AJ$167,TRUE)),0)</f>
        <v/>
      </c>
      <c r="BZ12" s="68">
        <f t="array" ref="BZ12">IF($D12,SUMPRODUCT((economics!$AG$2:$AG$167=$B12)*(economics!$D$2:$D$167="whr")*economics!$AI$2:$AI$167*_xlfn.NORM.DIST(BZ$3,economics!$AK$2:$AK$167,economics!$AJ$2:$AJ$167,TRUE)),0)</f>
        <v/>
      </c>
      <c r="CA12" s="68">
        <f t="array" ref="CA12">IF($D12,SUMPRODUCT((economics!$AG$2:$AG$167=$B12)*(economics!$D$2:$D$167="whr")*economics!$AI$2:$AI$167*_xlfn.NORM.DIST(CA$3,economics!$AK$2:$AK$167,economics!$AJ$2:$AJ$167,TRUE)),0)</f>
        <v/>
      </c>
      <c r="CB12" s="68">
        <f t="array" ref="CB12">IF($D12,SUMPRODUCT((economics!$AG$2:$AG$167=$B12)*(economics!$D$2:$D$167="whr")*economics!$AI$2:$AI$167*_xlfn.NORM.DIST(CB$3,economics!$AK$2:$AK$167,economics!$AJ$2:$AJ$167,TRUE)),0)</f>
        <v/>
      </c>
      <c r="CC12" s="68">
        <f t="array" ref="CC12">IF($D12,SUMPRODUCT((economics!$AG$2:$AG$167=$B12)*(economics!$D$2:$D$167="whr")*economics!$AI$2:$AI$167*_xlfn.NORM.DIST(CC$3,economics!$AK$2:$AK$167,economics!$AJ$2:$AJ$167,TRUE)),0)</f>
        <v/>
      </c>
      <c r="CD12" s="68">
        <f t="array" ref="CD12">IF($D12,SUMPRODUCT((economics!$AG$2:$AG$167=$B12)*(economics!$D$2:$D$167="whr")*economics!$AI$2:$AI$167*_xlfn.NORM.DIST(CD$3,economics!$AK$2:$AK$167,economics!$AJ$2:$AJ$167,TRUE)),0)</f>
        <v/>
      </c>
      <c r="CE12" s="68">
        <f t="array" ref="CE12">IF($D12,SUMPRODUCT((economics!$AG$2:$AG$167=$B12)*(economics!$D$2:$D$167="whr")*economics!$AI$2:$AI$167*_xlfn.NORM.DIST(CE$3,economics!$AK$2:$AK$167,economics!$AJ$2:$AJ$167,TRUE)),0)</f>
        <v/>
      </c>
      <c r="CF12" s="68">
        <f t="array" ref="CF12">IF($D12,SUMPRODUCT((economics!$AG$2:$AG$167=$B12)*(economics!$D$2:$D$167="whr")*economics!$AI$2:$AI$167*_xlfn.NORM.DIST(CF$3,economics!$AK$2:$AK$167,economics!$AJ$2:$AJ$167,TRUE)),0)</f>
        <v/>
      </c>
      <c r="CG12" s="68">
        <f t="array" ref="CG12">IF($D12,SUMPRODUCT((economics!$AG$2:$AG$167=$B12)*(economics!$D$2:$D$167="whr")*economics!$AI$2:$AI$167*_xlfn.NORM.DIST(CG$3,economics!$AK$2:$AK$167,economics!$AJ$2:$AJ$167,TRUE)),0)</f>
        <v/>
      </c>
      <c r="CH12" s="68">
        <f t="array" ref="CH12">IF($D12,SUMPRODUCT((economics!$AG$2:$AG$167=$B12)*(economics!$D$2:$D$167="whr")*economics!$AI$2:$AI$167*_xlfn.NORM.DIST(CH$3,economics!$AK$2:$AK$167,economics!$AJ$2:$AJ$167,TRUE)),0)</f>
        <v/>
      </c>
    </row>
    <row r="13">
      <c r="A13">
        <f>WHRPbI!A11</f>
        <v/>
      </c>
      <c r="B13" t="n">
        <v>20</v>
      </c>
      <c r="C13" s="68">
        <f>WHRPbI!B11</f>
        <v/>
      </c>
      <c r="D13">
        <f>ISNUMBER(MATCH($B13,'energy base (MECS)'!$K$4:$K$9,0))</f>
        <v/>
      </c>
      <c r="E13" s="68">
        <f t="array" ref="E13">IF($D13,SUMPRODUCT((economics!$AG$2:$AG$167=$B13)*(economics!$D$2:$D$167="whr")*economics!$AI$2:$AI$167*_xlfn.NORM.DIST(E$3,economics!$AK$2:$AK$167,economics!$AJ$2:$AJ$167,TRUE)),0)</f>
        <v/>
      </c>
      <c r="F13" s="68">
        <f t="array" ref="F13">IF($D13,SUMPRODUCT((economics!$AG$2:$AG$167=$B13)*(economics!$D$2:$D$167="whr")*economics!$AI$2:$AI$167*_xlfn.NORM.DIST(F$3,economics!$AK$2:$AK$167,economics!$AJ$2:$AJ$167,TRUE)),0)</f>
        <v/>
      </c>
      <c r="G13" s="68">
        <f t="array" ref="G13">IF($D13,SUMPRODUCT((economics!$AG$2:$AG$167=$B13)*(economics!$D$2:$D$167="whr")*economics!$AI$2:$AI$167*_xlfn.NORM.DIST(G$3,economics!$AK$2:$AK$167,economics!$AJ$2:$AJ$167,TRUE)),0)</f>
        <v/>
      </c>
      <c r="H13" s="68">
        <f t="array" ref="H13">IF($D13,SUMPRODUCT((economics!$AG$2:$AG$167=$B13)*(economics!$D$2:$D$167="whr")*economics!$AI$2:$AI$167*_xlfn.NORM.DIST(H$3,economics!$AK$2:$AK$167,economics!$AJ$2:$AJ$167,TRUE)),0)</f>
        <v/>
      </c>
      <c r="I13" s="68">
        <f t="array" ref="I13">IF($D13,SUMPRODUCT((economics!$AG$2:$AG$167=$B13)*(economics!$D$2:$D$167="whr")*economics!$AI$2:$AI$167*_xlfn.NORM.DIST(I$3,economics!$AK$2:$AK$167,economics!$AJ$2:$AJ$167,TRUE)),0)</f>
        <v/>
      </c>
      <c r="J13" s="68">
        <f t="array" ref="J13">IF($D13,SUMPRODUCT((economics!$AG$2:$AG$167=$B13)*(economics!$D$2:$D$167="whr")*economics!$AI$2:$AI$167*_xlfn.NORM.DIST(J$3,economics!$AK$2:$AK$167,economics!$AJ$2:$AJ$167,TRUE)),0)</f>
        <v/>
      </c>
      <c r="K13" s="68">
        <f t="array" ref="K13">IF($D13,SUMPRODUCT((economics!$AG$2:$AG$167=$B13)*(economics!$D$2:$D$167="whr")*economics!$AI$2:$AI$167*_xlfn.NORM.DIST(K$3,economics!$AK$2:$AK$167,economics!$AJ$2:$AJ$167,TRUE)),0)</f>
        <v/>
      </c>
      <c r="L13" s="68">
        <f t="array" ref="L13">IF($D13,SUMPRODUCT((economics!$AG$2:$AG$167=$B13)*(economics!$D$2:$D$167="whr")*economics!$AI$2:$AI$167*_xlfn.NORM.DIST(L$3,economics!$AK$2:$AK$167,economics!$AJ$2:$AJ$167,TRUE)),0)</f>
        <v/>
      </c>
      <c r="M13" s="68">
        <f t="array" ref="M13">IF($D13,SUMPRODUCT((economics!$AG$2:$AG$167=$B13)*(economics!$D$2:$D$167="whr")*economics!$AI$2:$AI$167*_xlfn.NORM.DIST(M$3,economics!$AK$2:$AK$167,economics!$AJ$2:$AJ$167,TRUE)),0)</f>
        <v/>
      </c>
      <c r="N13" s="68">
        <f t="array" ref="N13">IF($D13,SUMPRODUCT((economics!$AG$2:$AG$167=$B13)*(economics!$D$2:$D$167="whr")*economics!$AI$2:$AI$167*_xlfn.NORM.DIST(N$3,economics!$AK$2:$AK$167,economics!$AJ$2:$AJ$167,TRUE)),0)</f>
        <v/>
      </c>
      <c r="O13" s="68">
        <f t="array" ref="O13">IF($D13,SUMPRODUCT((economics!$AG$2:$AG$167=$B13)*(economics!$D$2:$D$167="whr")*economics!$AI$2:$AI$167*_xlfn.NORM.DIST(O$3,economics!$AK$2:$AK$167,economics!$AJ$2:$AJ$167,TRUE)),0)</f>
        <v/>
      </c>
      <c r="P13" s="68">
        <f t="array" ref="P13">IF($D13,SUMPRODUCT((economics!$AG$2:$AG$167=$B13)*(economics!$D$2:$D$167="whr")*economics!$AI$2:$AI$167*_xlfn.NORM.DIST(P$3,economics!$AK$2:$AK$167,economics!$AJ$2:$AJ$167,TRUE)),0)</f>
        <v/>
      </c>
      <c r="Q13" s="68">
        <f t="array" ref="Q13">IF($D13,SUMPRODUCT((economics!$AG$2:$AG$167=$B13)*(economics!$D$2:$D$167="whr")*economics!$AI$2:$AI$167*_xlfn.NORM.DIST(Q$3,economics!$AK$2:$AK$167,economics!$AJ$2:$AJ$167,TRUE)),0)</f>
        <v/>
      </c>
      <c r="R13" s="68">
        <f t="array" ref="R13">IF($D13,SUMPRODUCT((economics!$AG$2:$AG$167=$B13)*(economics!$D$2:$D$167="whr")*economics!$AI$2:$AI$167*_xlfn.NORM.DIST(R$3,economics!$AK$2:$AK$167,economics!$AJ$2:$AJ$167,TRUE)),0)</f>
        <v/>
      </c>
      <c r="S13" s="68">
        <f t="array" ref="S13">IF($D13,SUMPRODUCT((economics!$AG$2:$AG$167=$B13)*(economics!$D$2:$D$167="whr")*economics!$AI$2:$AI$167*_xlfn.NORM.DIST(S$3,economics!$AK$2:$AK$167,economics!$AJ$2:$AJ$167,TRUE)),0)</f>
        <v/>
      </c>
      <c r="T13" s="68">
        <f t="array" ref="T13">IF($D13,SUMPRODUCT((economics!$AG$2:$AG$167=$B13)*(economics!$D$2:$D$167="whr")*economics!$AI$2:$AI$167*_xlfn.NORM.DIST(T$3,economics!$AK$2:$AK$167,economics!$AJ$2:$AJ$167,TRUE)),0)</f>
        <v/>
      </c>
      <c r="U13" s="68">
        <f t="array" ref="U13">IF($D13,SUMPRODUCT((economics!$AG$2:$AG$167=$B13)*(economics!$D$2:$D$167="whr")*economics!$AI$2:$AI$167*_xlfn.NORM.DIST(U$3,economics!$AK$2:$AK$167,economics!$AJ$2:$AJ$167,TRUE)),0)</f>
        <v/>
      </c>
      <c r="V13" s="68">
        <f t="array" ref="V13">IF($D13,SUMPRODUCT((economics!$AG$2:$AG$167=$B13)*(economics!$D$2:$D$167="whr")*economics!$AI$2:$AI$167*_xlfn.NORM.DIST(V$3,economics!$AK$2:$AK$167,economics!$AJ$2:$AJ$167,TRUE)),0)</f>
        <v/>
      </c>
      <c r="W13" s="68">
        <f t="array" ref="W13">IF($D13,SUMPRODUCT((economics!$AG$2:$AG$167=$B13)*(economics!$D$2:$D$167="whr")*economics!$AI$2:$AI$167*_xlfn.NORM.DIST(W$3,economics!$AK$2:$AK$167,economics!$AJ$2:$AJ$167,TRUE)),0)</f>
        <v/>
      </c>
      <c r="X13" s="68">
        <f t="array" ref="X13">IF($D13,SUMPRODUCT((economics!$AG$2:$AG$167=$B13)*(economics!$D$2:$D$167="whr")*economics!$AI$2:$AI$167*_xlfn.NORM.DIST(X$3,economics!$AK$2:$AK$167,economics!$AJ$2:$AJ$167,TRUE)),0)</f>
        <v/>
      </c>
      <c r="Y13" s="68">
        <f t="array" ref="Y13">IF($D13,SUMPRODUCT((economics!$AG$2:$AG$167=$B13)*(economics!$D$2:$D$167="whr")*economics!$AI$2:$AI$167*_xlfn.NORM.DIST(Y$3,economics!$AK$2:$AK$167,economics!$AJ$2:$AJ$167,TRUE)),0)</f>
        <v/>
      </c>
      <c r="Z13" s="68">
        <f t="array" ref="Z13">IF($D13,SUMPRODUCT((economics!$AG$2:$AG$167=$B13)*(economics!$D$2:$D$167="whr")*economics!$AI$2:$AI$167*_xlfn.NORM.DIST(Z$3,economics!$AK$2:$AK$167,economics!$AJ$2:$AJ$167,TRUE)),0)</f>
        <v/>
      </c>
      <c r="AA13" s="68">
        <f t="array" ref="AA13">IF($D13,SUMPRODUCT((economics!$AG$2:$AG$167=$B13)*(economics!$D$2:$D$167="whr")*economics!$AI$2:$AI$167*_xlfn.NORM.DIST(AA$3,economics!$AK$2:$AK$167,economics!$AJ$2:$AJ$167,TRUE)),0)</f>
        <v/>
      </c>
      <c r="AB13" s="68">
        <f t="array" ref="AB13">IF($D13,SUMPRODUCT((economics!$AG$2:$AG$167=$B13)*(economics!$D$2:$D$167="whr")*economics!$AI$2:$AI$167*_xlfn.NORM.DIST(AB$3,economics!$AK$2:$AK$167,economics!$AJ$2:$AJ$167,TRUE)),0)</f>
        <v/>
      </c>
      <c r="AC13" s="68">
        <f t="array" ref="AC13">IF($D13,SUMPRODUCT((economics!$AG$2:$AG$167=$B13)*(economics!$D$2:$D$167="whr")*economics!$AI$2:$AI$167*_xlfn.NORM.DIST(AC$3,economics!$AK$2:$AK$167,economics!$AJ$2:$AJ$167,TRUE)),0)</f>
        <v/>
      </c>
      <c r="AD13" s="68">
        <f t="array" ref="AD13">IF($D13,SUMPRODUCT((economics!$AG$2:$AG$167=$B13)*(economics!$D$2:$D$167="whr")*economics!$AI$2:$AI$167*_xlfn.NORM.DIST(AD$3,economics!$AK$2:$AK$167,economics!$AJ$2:$AJ$167,TRUE)),0)</f>
        <v/>
      </c>
      <c r="AE13" s="68">
        <f t="array" ref="AE13">IF($D13,SUMPRODUCT((economics!$AG$2:$AG$167=$B13)*(economics!$D$2:$D$167="whr")*economics!$AI$2:$AI$167*_xlfn.NORM.DIST(AE$3,economics!$AK$2:$AK$167,economics!$AJ$2:$AJ$167,TRUE)),0)</f>
        <v/>
      </c>
      <c r="AF13" s="68">
        <f t="array" ref="AF13">IF($D13,SUMPRODUCT((economics!$AG$2:$AG$167=$B13)*(economics!$D$2:$D$167="whr")*economics!$AI$2:$AI$167*_xlfn.NORM.DIST(AF$3,economics!$AK$2:$AK$167,economics!$AJ$2:$AJ$167,TRUE)),0)</f>
        <v/>
      </c>
      <c r="AG13" s="68">
        <f t="array" ref="AG13">IF($D13,SUMPRODUCT((economics!$AG$2:$AG$167=$B13)*(economics!$D$2:$D$167="whr")*economics!$AI$2:$AI$167*_xlfn.NORM.DIST(AG$3,economics!$AK$2:$AK$167,economics!$AJ$2:$AJ$167,TRUE)),0)</f>
        <v/>
      </c>
      <c r="AH13" s="68">
        <f t="array" ref="AH13">IF($D13,SUMPRODUCT((economics!$AG$2:$AG$167=$B13)*(economics!$D$2:$D$167="whr")*economics!$AI$2:$AI$167*_xlfn.NORM.DIST(AH$3,economics!$AK$2:$AK$167,economics!$AJ$2:$AJ$167,TRUE)),0)</f>
        <v/>
      </c>
      <c r="AI13" s="68">
        <f t="array" ref="AI13">IF($D13,SUMPRODUCT((economics!$AG$2:$AG$167=$B13)*(economics!$D$2:$D$167="whr")*economics!$AI$2:$AI$167*_xlfn.NORM.DIST(AI$3,economics!$AK$2:$AK$167,economics!$AJ$2:$AJ$167,TRUE)),0)</f>
        <v/>
      </c>
      <c r="AJ13" s="68">
        <f t="array" ref="AJ13">IF($D13,SUMPRODUCT((economics!$AG$2:$AG$167=$B13)*(economics!$D$2:$D$167="whr")*economics!$AI$2:$AI$167*_xlfn.NORM.DIST(AJ$3,economics!$AK$2:$AK$167,economics!$AJ$2:$AJ$167,TRUE)),0)</f>
        <v/>
      </c>
      <c r="AK13" s="68">
        <f t="array" ref="AK13">IF($D13,SUMPRODUCT((economics!$AG$2:$AG$167=$B13)*(economics!$D$2:$D$167="whr")*economics!$AI$2:$AI$167*_xlfn.NORM.DIST(AK$3,economics!$AK$2:$AK$167,economics!$AJ$2:$AJ$167,TRUE)),0)</f>
        <v/>
      </c>
      <c r="AL13" s="68">
        <f t="array" ref="AL13">IF($D13,SUMPRODUCT((economics!$AG$2:$AG$167=$B13)*(economics!$D$2:$D$167="whr")*economics!$AI$2:$AI$167*_xlfn.NORM.DIST(AL$3,economics!$AK$2:$AK$167,economics!$AJ$2:$AJ$167,TRUE)),0)</f>
        <v/>
      </c>
      <c r="AM13" s="68">
        <f t="array" ref="AM13">IF($D13,SUMPRODUCT((economics!$AG$2:$AG$167=$B13)*(economics!$D$2:$D$167="whr")*economics!$AI$2:$AI$167*_xlfn.NORM.DIST(AM$3,economics!$AK$2:$AK$167,economics!$AJ$2:$AJ$167,TRUE)),0)</f>
        <v/>
      </c>
      <c r="AN13" s="68">
        <f t="array" ref="AN13">IF($D13,SUMPRODUCT((economics!$AG$2:$AG$167=$B13)*(economics!$D$2:$D$167="whr")*economics!$AI$2:$AI$167*_xlfn.NORM.DIST(AN$3,economics!$AK$2:$AK$167,economics!$AJ$2:$AJ$167,TRUE)),0)</f>
        <v/>
      </c>
      <c r="AO13" s="68">
        <f t="array" ref="AO13">IF($D13,SUMPRODUCT((economics!$AG$2:$AG$167=$B13)*(economics!$D$2:$D$167="whr")*economics!$AI$2:$AI$167*_xlfn.NORM.DIST(AO$3,economics!$AK$2:$AK$167,economics!$AJ$2:$AJ$167,TRUE)),0)</f>
        <v/>
      </c>
      <c r="AP13" s="68">
        <f t="array" ref="AP13">IF($D13,SUMPRODUCT((economics!$AG$2:$AG$167=$B13)*(economics!$D$2:$D$167="whr")*economics!$AI$2:$AI$167*_xlfn.NORM.DIST(AP$3,economics!$AK$2:$AK$167,economics!$AJ$2:$AJ$167,TRUE)),0)</f>
        <v/>
      </c>
      <c r="AQ13" s="68">
        <f t="array" ref="AQ13">IF($D13,SUMPRODUCT((economics!$AG$2:$AG$167=$B13)*(economics!$D$2:$D$167="whr")*economics!$AI$2:$AI$167*_xlfn.NORM.DIST(AQ$3,economics!$AK$2:$AK$167,economics!$AJ$2:$AJ$167,TRUE)),0)</f>
        <v/>
      </c>
      <c r="AR13" s="68">
        <f t="array" ref="AR13">IF($D13,SUMPRODUCT((economics!$AG$2:$AG$167=$B13)*(economics!$D$2:$D$167="whr")*economics!$AI$2:$AI$167*_xlfn.NORM.DIST(AR$3,economics!$AK$2:$AK$167,economics!$AJ$2:$AJ$167,TRUE)),0)</f>
        <v/>
      </c>
      <c r="AS13" s="68">
        <f t="array" ref="AS13">IF($D13,SUMPRODUCT((economics!$AG$2:$AG$167=$B13)*(economics!$D$2:$D$167="whr")*economics!$AI$2:$AI$167*_xlfn.NORM.DIST(AS$3,economics!$AK$2:$AK$167,economics!$AJ$2:$AJ$167,TRUE)),0)</f>
        <v/>
      </c>
      <c r="AT13" s="68">
        <f t="array" ref="AT13">IF($D13,SUMPRODUCT((economics!$AG$2:$AG$167=$B13)*(economics!$D$2:$D$167="whr")*economics!$AI$2:$AI$167*_xlfn.NORM.DIST(AT$3,economics!$AK$2:$AK$167,economics!$AJ$2:$AJ$167,TRUE)),0)</f>
        <v/>
      </c>
      <c r="AU13" s="68">
        <f t="array" ref="AU13">IF($D13,SUMPRODUCT((economics!$AG$2:$AG$167=$B13)*(economics!$D$2:$D$167="whr")*economics!$AI$2:$AI$167*_xlfn.NORM.DIST(AU$3,economics!$AK$2:$AK$167,economics!$AJ$2:$AJ$167,TRUE)),0)</f>
        <v/>
      </c>
      <c r="AV13" s="68">
        <f t="array" ref="AV13">IF($D13,SUMPRODUCT((economics!$AG$2:$AG$167=$B13)*(economics!$D$2:$D$167="whr")*economics!$AI$2:$AI$167*_xlfn.NORM.DIST(AV$3,economics!$AK$2:$AK$167,economics!$AJ$2:$AJ$167,TRUE)),0)</f>
        <v/>
      </c>
      <c r="AW13" s="68">
        <f t="array" ref="AW13">IF($D13,SUMPRODUCT((economics!$AG$2:$AG$167=$B13)*(economics!$D$2:$D$167="whr")*economics!$AI$2:$AI$167*_xlfn.NORM.DIST(AW$3,economics!$AK$2:$AK$167,economics!$AJ$2:$AJ$167,TRUE)),0)</f>
        <v/>
      </c>
      <c r="AX13" s="68">
        <f t="array" ref="AX13">IF($D13,SUMPRODUCT((economics!$AG$2:$AG$167=$B13)*(economics!$D$2:$D$167="whr")*economics!$AI$2:$AI$167*_xlfn.NORM.DIST(AX$3,economics!$AK$2:$AK$167,economics!$AJ$2:$AJ$167,TRUE)),0)</f>
        <v/>
      </c>
      <c r="AY13" s="68">
        <f t="array" ref="AY13">IF($D13,SUMPRODUCT((economics!$AG$2:$AG$167=$B13)*(economics!$D$2:$D$167="whr")*economics!$AI$2:$AI$167*_xlfn.NORM.DIST(AY$3,economics!$AK$2:$AK$167,economics!$AJ$2:$AJ$167,TRUE)),0)</f>
        <v/>
      </c>
      <c r="AZ13" s="68">
        <f t="array" ref="AZ13">IF($D13,SUMPRODUCT((economics!$AG$2:$AG$167=$B13)*(economics!$D$2:$D$167="whr")*economics!$AI$2:$AI$167*_xlfn.NORM.DIST(AZ$3,economics!$AK$2:$AK$167,economics!$AJ$2:$AJ$167,TRUE)),0)</f>
        <v/>
      </c>
      <c r="BA13" s="68">
        <f t="array" ref="BA13">IF($D13,SUMPRODUCT((economics!$AG$2:$AG$167=$B13)*(economics!$D$2:$D$167="whr")*economics!$AI$2:$AI$167*_xlfn.NORM.DIST(BA$3,economics!$AK$2:$AK$167,economics!$AJ$2:$AJ$167,TRUE)),0)</f>
        <v/>
      </c>
      <c r="BB13" s="68">
        <f t="array" ref="BB13">IF($D13,SUMPRODUCT((economics!$AG$2:$AG$167=$B13)*(economics!$D$2:$D$167="whr")*economics!$AI$2:$AI$167*_xlfn.NORM.DIST(BB$3,economics!$AK$2:$AK$167,economics!$AJ$2:$AJ$167,TRUE)),0)</f>
        <v/>
      </c>
      <c r="BC13" s="68">
        <f t="array" ref="BC13">IF($D13,SUMPRODUCT((economics!$AG$2:$AG$167=$B13)*(economics!$D$2:$D$167="whr")*economics!$AI$2:$AI$167*_xlfn.NORM.DIST(BC$3,economics!$AK$2:$AK$167,economics!$AJ$2:$AJ$167,TRUE)),0)</f>
        <v/>
      </c>
      <c r="BD13" s="68">
        <f t="array" ref="BD13">IF($D13,SUMPRODUCT((economics!$AG$2:$AG$167=$B13)*(economics!$D$2:$D$167="whr")*economics!$AI$2:$AI$167*_xlfn.NORM.DIST(BD$3,economics!$AK$2:$AK$167,economics!$AJ$2:$AJ$167,TRUE)),0)</f>
        <v/>
      </c>
      <c r="BE13" s="68">
        <f t="array" ref="BE13">IF($D13,SUMPRODUCT((economics!$AG$2:$AG$167=$B13)*(economics!$D$2:$D$167="whr")*economics!$AI$2:$AI$167*_xlfn.NORM.DIST(BE$3,economics!$AK$2:$AK$167,economics!$AJ$2:$AJ$167,TRUE)),0)</f>
        <v/>
      </c>
      <c r="BF13" s="68">
        <f t="array" ref="BF13">IF($D13,SUMPRODUCT((economics!$AG$2:$AG$167=$B13)*(economics!$D$2:$D$167="whr")*economics!$AI$2:$AI$167*_xlfn.NORM.DIST(BF$3,economics!$AK$2:$AK$167,economics!$AJ$2:$AJ$167,TRUE)),0)</f>
        <v/>
      </c>
      <c r="BG13" s="68">
        <f t="array" ref="BG13">IF($D13,SUMPRODUCT((economics!$AG$2:$AG$167=$B13)*(economics!$D$2:$D$167="whr")*economics!$AI$2:$AI$167*_xlfn.NORM.DIST(BG$3,economics!$AK$2:$AK$167,economics!$AJ$2:$AJ$167,TRUE)),0)</f>
        <v/>
      </c>
      <c r="BH13" s="68">
        <f t="array" ref="BH13">IF($D13,SUMPRODUCT((economics!$AG$2:$AG$167=$B13)*(economics!$D$2:$D$167="whr")*economics!$AI$2:$AI$167*_xlfn.NORM.DIST(BH$3,economics!$AK$2:$AK$167,economics!$AJ$2:$AJ$167,TRUE)),0)</f>
        <v/>
      </c>
      <c r="BI13" s="68">
        <f t="array" ref="BI13">IF($D13,SUMPRODUCT((economics!$AG$2:$AG$167=$B13)*(economics!$D$2:$D$167="whr")*economics!$AI$2:$AI$167*_xlfn.NORM.DIST(BI$3,economics!$AK$2:$AK$167,economics!$AJ$2:$AJ$167,TRUE)),0)</f>
        <v/>
      </c>
      <c r="BJ13" s="68">
        <f t="array" ref="BJ13">IF($D13,SUMPRODUCT((economics!$AG$2:$AG$167=$B13)*(economics!$D$2:$D$167="whr")*economics!$AI$2:$AI$167*_xlfn.NORM.DIST(BJ$3,economics!$AK$2:$AK$167,economics!$AJ$2:$AJ$167,TRUE)),0)</f>
        <v/>
      </c>
      <c r="BK13" s="68">
        <f t="array" ref="BK13">IF($D13,SUMPRODUCT((economics!$AG$2:$AG$167=$B13)*(economics!$D$2:$D$167="whr")*economics!$AI$2:$AI$167*_xlfn.NORM.DIST(BK$3,economics!$AK$2:$AK$167,economics!$AJ$2:$AJ$167,TRUE)),0)</f>
        <v/>
      </c>
      <c r="BL13" s="68">
        <f t="array" ref="BL13">IF($D13,SUMPRODUCT((economics!$AG$2:$AG$167=$B13)*(economics!$D$2:$D$167="whr")*economics!$AI$2:$AI$167*_xlfn.NORM.DIST(BL$3,economics!$AK$2:$AK$167,economics!$AJ$2:$AJ$167,TRUE)),0)</f>
        <v/>
      </c>
      <c r="BM13" s="68">
        <f t="array" ref="BM13">IF($D13,SUMPRODUCT((economics!$AG$2:$AG$167=$B13)*(economics!$D$2:$D$167="whr")*economics!$AI$2:$AI$167*_xlfn.NORM.DIST(BM$3,economics!$AK$2:$AK$167,economics!$AJ$2:$AJ$167,TRUE)),0)</f>
        <v/>
      </c>
      <c r="BN13" s="68">
        <f t="array" ref="BN13">IF($D13,SUMPRODUCT((economics!$AG$2:$AG$167=$B13)*(economics!$D$2:$D$167="whr")*economics!$AI$2:$AI$167*_xlfn.NORM.DIST(BN$3,economics!$AK$2:$AK$167,economics!$AJ$2:$AJ$167,TRUE)),0)</f>
        <v/>
      </c>
      <c r="BO13" s="68">
        <f t="array" ref="BO13">IF($D13,SUMPRODUCT((economics!$AG$2:$AG$167=$B13)*(economics!$D$2:$D$167="whr")*economics!$AI$2:$AI$167*_xlfn.NORM.DIST(BO$3,economics!$AK$2:$AK$167,economics!$AJ$2:$AJ$167,TRUE)),0)</f>
        <v/>
      </c>
      <c r="BP13" s="68">
        <f t="array" ref="BP13">IF($D13,SUMPRODUCT((economics!$AG$2:$AG$167=$B13)*(economics!$D$2:$D$167="whr")*economics!$AI$2:$AI$167*_xlfn.NORM.DIST(BP$3,economics!$AK$2:$AK$167,economics!$AJ$2:$AJ$167,TRUE)),0)</f>
        <v/>
      </c>
      <c r="BQ13" s="68">
        <f t="array" ref="BQ13">IF($D13,SUMPRODUCT((economics!$AG$2:$AG$167=$B13)*(economics!$D$2:$D$167="whr")*economics!$AI$2:$AI$167*_xlfn.NORM.DIST(BQ$3,economics!$AK$2:$AK$167,economics!$AJ$2:$AJ$167,TRUE)),0)</f>
        <v/>
      </c>
      <c r="BR13" s="68">
        <f t="array" ref="BR13">IF($D13,SUMPRODUCT((economics!$AG$2:$AG$167=$B13)*(economics!$D$2:$D$167="whr")*economics!$AI$2:$AI$167*_xlfn.NORM.DIST(BR$3,economics!$AK$2:$AK$167,economics!$AJ$2:$AJ$167,TRUE)),0)</f>
        <v/>
      </c>
      <c r="BS13" s="68">
        <f t="array" ref="BS13">IF($D13,SUMPRODUCT((economics!$AG$2:$AG$167=$B13)*(economics!$D$2:$D$167="whr")*economics!$AI$2:$AI$167*_xlfn.NORM.DIST(BS$3,economics!$AK$2:$AK$167,economics!$AJ$2:$AJ$167,TRUE)),0)</f>
        <v/>
      </c>
      <c r="BT13" s="68">
        <f t="array" ref="BT13">IF($D13,SUMPRODUCT((economics!$AG$2:$AG$167=$B13)*(economics!$D$2:$D$167="whr")*economics!$AI$2:$AI$167*_xlfn.NORM.DIST(BT$3,economics!$AK$2:$AK$167,economics!$AJ$2:$AJ$167,TRUE)),0)</f>
        <v/>
      </c>
      <c r="BU13" s="68">
        <f t="array" ref="BU13">IF($D13,SUMPRODUCT((economics!$AG$2:$AG$167=$B13)*(economics!$D$2:$D$167="whr")*economics!$AI$2:$AI$167*_xlfn.NORM.DIST(BU$3,economics!$AK$2:$AK$167,economics!$AJ$2:$AJ$167,TRUE)),0)</f>
        <v/>
      </c>
      <c r="BV13" s="68">
        <f t="array" ref="BV13">IF($D13,SUMPRODUCT((economics!$AG$2:$AG$167=$B13)*(economics!$D$2:$D$167="whr")*economics!$AI$2:$AI$167*_xlfn.NORM.DIST(BV$3,economics!$AK$2:$AK$167,economics!$AJ$2:$AJ$167,TRUE)),0)</f>
        <v/>
      </c>
      <c r="BW13" s="68">
        <f t="array" ref="BW13">IF($D13,SUMPRODUCT((economics!$AG$2:$AG$167=$B13)*(economics!$D$2:$D$167="whr")*economics!$AI$2:$AI$167*_xlfn.NORM.DIST(BW$3,economics!$AK$2:$AK$167,economics!$AJ$2:$AJ$167,TRUE)),0)</f>
        <v/>
      </c>
      <c r="BX13" s="68">
        <f t="array" ref="BX13">IF($D13,SUMPRODUCT((economics!$AG$2:$AG$167=$B13)*(economics!$D$2:$D$167="whr")*economics!$AI$2:$AI$167*_xlfn.NORM.DIST(BX$3,economics!$AK$2:$AK$167,economics!$AJ$2:$AJ$167,TRUE)),0)</f>
        <v/>
      </c>
      <c r="BY13" s="68">
        <f t="array" ref="BY13">IF($D13,SUMPRODUCT((economics!$AG$2:$AG$167=$B13)*(economics!$D$2:$D$167="whr")*economics!$AI$2:$AI$167*_xlfn.NORM.DIST(BY$3,economics!$AK$2:$AK$167,economics!$AJ$2:$AJ$167,TRUE)),0)</f>
        <v/>
      </c>
      <c r="BZ13" s="68">
        <f t="array" ref="BZ13">IF($D13,SUMPRODUCT((economics!$AG$2:$AG$167=$B13)*(economics!$D$2:$D$167="whr")*economics!$AI$2:$AI$167*_xlfn.NORM.DIST(BZ$3,economics!$AK$2:$AK$167,economics!$AJ$2:$AJ$167,TRUE)),0)</f>
        <v/>
      </c>
      <c r="CA13" s="68">
        <f t="array" ref="CA13">IF($D13,SUMPRODUCT((economics!$AG$2:$AG$167=$B13)*(economics!$D$2:$D$167="whr")*economics!$AI$2:$AI$167*_xlfn.NORM.DIST(CA$3,economics!$AK$2:$AK$167,economics!$AJ$2:$AJ$167,TRUE)),0)</f>
        <v/>
      </c>
      <c r="CB13" s="68">
        <f t="array" ref="CB13">IF($D13,SUMPRODUCT((economics!$AG$2:$AG$167=$B13)*(economics!$D$2:$D$167="whr")*economics!$AI$2:$AI$167*_xlfn.NORM.DIST(CB$3,economics!$AK$2:$AK$167,economics!$AJ$2:$AJ$167,TRUE)),0)</f>
        <v/>
      </c>
      <c r="CC13" s="68">
        <f t="array" ref="CC13">IF($D13,SUMPRODUCT((economics!$AG$2:$AG$167=$B13)*(economics!$D$2:$D$167="whr")*economics!$AI$2:$AI$167*_xlfn.NORM.DIST(CC$3,economics!$AK$2:$AK$167,economics!$AJ$2:$AJ$167,TRUE)),0)</f>
        <v/>
      </c>
      <c r="CD13" s="68">
        <f t="array" ref="CD13">IF($D13,SUMPRODUCT((economics!$AG$2:$AG$167=$B13)*(economics!$D$2:$D$167="whr")*economics!$AI$2:$AI$167*_xlfn.NORM.DIST(CD$3,economics!$AK$2:$AK$167,economics!$AJ$2:$AJ$167,TRUE)),0)</f>
        <v/>
      </c>
      <c r="CE13" s="68">
        <f t="array" ref="CE13">IF($D13,SUMPRODUCT((economics!$AG$2:$AG$167=$B13)*(economics!$D$2:$D$167="whr")*economics!$AI$2:$AI$167*_xlfn.NORM.DIST(CE$3,economics!$AK$2:$AK$167,economics!$AJ$2:$AJ$167,TRUE)),0)</f>
        <v/>
      </c>
      <c r="CF13" s="68">
        <f t="array" ref="CF13">IF($D13,SUMPRODUCT((economics!$AG$2:$AG$167=$B13)*(economics!$D$2:$D$167="whr")*economics!$AI$2:$AI$167*_xlfn.NORM.DIST(CF$3,economics!$AK$2:$AK$167,economics!$AJ$2:$AJ$167,TRUE)),0)</f>
        <v/>
      </c>
      <c r="CG13" s="68">
        <f t="array" ref="CG13">IF($D13,SUMPRODUCT((economics!$AG$2:$AG$167=$B13)*(economics!$D$2:$D$167="whr")*economics!$AI$2:$AI$167*_xlfn.NORM.DIST(CG$3,economics!$AK$2:$AK$167,economics!$AJ$2:$AJ$167,TRUE)),0)</f>
        <v/>
      </c>
      <c r="CH13" s="68">
        <f t="array" ref="CH13">IF($D13,SUMPRODUCT((economics!$AG$2:$AG$167=$B13)*(economics!$D$2:$D$167="whr")*economics!$AI$2:$AI$167*_xlfn.NORM.DIST(CH$3,economics!$AK$2:$AK$167,economics!$AJ$2:$AJ$167,TRUE)),0)</f>
        <v/>
      </c>
    </row>
    <row r="14">
      <c r="A14">
        <f>WHRPbI!A12</f>
        <v/>
      </c>
      <c r="B14" t="n">
        <v>22</v>
      </c>
      <c r="C14" s="68">
        <f>WHRPbI!B12</f>
        <v/>
      </c>
      <c r="D14">
        <f>ISNUMBER(MATCH($B14,'energy base (MECS)'!$K$4:$K$9,0))</f>
        <v/>
      </c>
      <c r="E14" s="68">
        <f t="array" ref="E14">IF($D14,SUMPRODUCT((economics!$AG$2:$AG$167=$B14)*(economics!$D$2:$D$167="whr")*economics!$AI$2:$AI$167*_xlfn.NORM.DIST(E$3,economics!$AK$2:$AK$167,economics!$AJ$2:$AJ$167,TRUE)),0)</f>
        <v/>
      </c>
      <c r="F14" s="68">
        <f t="array" ref="F14">IF($D14,SUMPRODUCT((economics!$AG$2:$AG$167=$B14)*(economics!$D$2:$D$167="whr")*economics!$AI$2:$AI$167*_xlfn.NORM.DIST(F$3,economics!$AK$2:$AK$167,economics!$AJ$2:$AJ$167,TRUE)),0)</f>
        <v/>
      </c>
      <c r="G14" s="68">
        <f t="array" ref="G14">IF($D14,SUMPRODUCT((economics!$AG$2:$AG$167=$B14)*(economics!$D$2:$D$167="whr")*economics!$AI$2:$AI$167*_xlfn.NORM.DIST(G$3,economics!$AK$2:$AK$167,economics!$AJ$2:$AJ$167,TRUE)),0)</f>
        <v/>
      </c>
      <c r="H14" s="68">
        <f t="array" ref="H14">IF($D14,SUMPRODUCT((economics!$AG$2:$AG$167=$B14)*(economics!$D$2:$D$167="whr")*economics!$AI$2:$AI$167*_xlfn.NORM.DIST(H$3,economics!$AK$2:$AK$167,economics!$AJ$2:$AJ$167,TRUE)),0)</f>
        <v/>
      </c>
      <c r="I14" s="68">
        <f t="array" ref="I14">IF($D14,SUMPRODUCT((economics!$AG$2:$AG$167=$B14)*(economics!$D$2:$D$167="whr")*economics!$AI$2:$AI$167*_xlfn.NORM.DIST(I$3,economics!$AK$2:$AK$167,economics!$AJ$2:$AJ$167,TRUE)),0)</f>
        <v/>
      </c>
      <c r="J14" s="68">
        <f t="array" ref="J14">IF($D14,SUMPRODUCT((economics!$AG$2:$AG$167=$B14)*(economics!$D$2:$D$167="whr")*economics!$AI$2:$AI$167*_xlfn.NORM.DIST(J$3,economics!$AK$2:$AK$167,economics!$AJ$2:$AJ$167,TRUE)),0)</f>
        <v/>
      </c>
      <c r="K14" s="68">
        <f t="array" ref="K14">IF($D14,SUMPRODUCT((economics!$AG$2:$AG$167=$B14)*(economics!$D$2:$D$167="whr")*economics!$AI$2:$AI$167*_xlfn.NORM.DIST(K$3,economics!$AK$2:$AK$167,economics!$AJ$2:$AJ$167,TRUE)),0)</f>
        <v/>
      </c>
      <c r="L14" s="68">
        <f t="array" ref="L14">IF($D14,SUMPRODUCT((economics!$AG$2:$AG$167=$B14)*(economics!$D$2:$D$167="whr")*economics!$AI$2:$AI$167*_xlfn.NORM.DIST(L$3,economics!$AK$2:$AK$167,economics!$AJ$2:$AJ$167,TRUE)),0)</f>
        <v/>
      </c>
      <c r="M14" s="68">
        <f t="array" ref="M14">IF($D14,SUMPRODUCT((economics!$AG$2:$AG$167=$B14)*(economics!$D$2:$D$167="whr")*economics!$AI$2:$AI$167*_xlfn.NORM.DIST(M$3,economics!$AK$2:$AK$167,economics!$AJ$2:$AJ$167,TRUE)),0)</f>
        <v/>
      </c>
      <c r="N14" s="68">
        <f t="array" ref="N14">IF($D14,SUMPRODUCT((economics!$AG$2:$AG$167=$B14)*(economics!$D$2:$D$167="whr")*economics!$AI$2:$AI$167*_xlfn.NORM.DIST(N$3,economics!$AK$2:$AK$167,economics!$AJ$2:$AJ$167,TRUE)),0)</f>
        <v/>
      </c>
      <c r="O14" s="68">
        <f t="array" ref="O14">IF($D14,SUMPRODUCT((economics!$AG$2:$AG$167=$B14)*(economics!$D$2:$D$167="whr")*economics!$AI$2:$AI$167*_xlfn.NORM.DIST(O$3,economics!$AK$2:$AK$167,economics!$AJ$2:$AJ$167,TRUE)),0)</f>
        <v/>
      </c>
      <c r="P14" s="68">
        <f t="array" ref="P14">IF($D14,SUMPRODUCT((economics!$AG$2:$AG$167=$B14)*(economics!$D$2:$D$167="whr")*economics!$AI$2:$AI$167*_xlfn.NORM.DIST(P$3,economics!$AK$2:$AK$167,economics!$AJ$2:$AJ$167,TRUE)),0)</f>
        <v/>
      </c>
      <c r="Q14" s="68">
        <f t="array" ref="Q14">IF($D14,SUMPRODUCT((economics!$AG$2:$AG$167=$B14)*(economics!$D$2:$D$167="whr")*economics!$AI$2:$AI$167*_xlfn.NORM.DIST(Q$3,economics!$AK$2:$AK$167,economics!$AJ$2:$AJ$167,TRUE)),0)</f>
        <v/>
      </c>
      <c r="R14" s="68">
        <f t="array" ref="R14">IF($D14,SUMPRODUCT((economics!$AG$2:$AG$167=$B14)*(economics!$D$2:$D$167="whr")*economics!$AI$2:$AI$167*_xlfn.NORM.DIST(R$3,economics!$AK$2:$AK$167,economics!$AJ$2:$AJ$167,TRUE)),0)</f>
        <v/>
      </c>
      <c r="S14" s="68">
        <f t="array" ref="S14">IF($D14,SUMPRODUCT((economics!$AG$2:$AG$167=$B14)*(economics!$D$2:$D$167="whr")*economics!$AI$2:$AI$167*_xlfn.NORM.DIST(S$3,economics!$AK$2:$AK$167,economics!$AJ$2:$AJ$167,TRUE)),0)</f>
        <v/>
      </c>
      <c r="T14" s="68">
        <f t="array" ref="T14">IF($D14,SUMPRODUCT((economics!$AG$2:$AG$167=$B14)*(economics!$D$2:$D$167="whr")*economics!$AI$2:$AI$167*_xlfn.NORM.DIST(T$3,economics!$AK$2:$AK$167,economics!$AJ$2:$AJ$167,TRUE)),0)</f>
        <v/>
      </c>
      <c r="U14" s="68">
        <f t="array" ref="U14">IF($D14,SUMPRODUCT((economics!$AG$2:$AG$167=$B14)*(economics!$D$2:$D$167="whr")*economics!$AI$2:$AI$167*_xlfn.NORM.DIST(U$3,economics!$AK$2:$AK$167,economics!$AJ$2:$AJ$167,TRUE)),0)</f>
        <v/>
      </c>
      <c r="V14" s="68">
        <f t="array" ref="V14">IF($D14,SUMPRODUCT((economics!$AG$2:$AG$167=$B14)*(economics!$D$2:$D$167="whr")*economics!$AI$2:$AI$167*_xlfn.NORM.DIST(V$3,economics!$AK$2:$AK$167,economics!$AJ$2:$AJ$167,TRUE)),0)</f>
        <v/>
      </c>
      <c r="W14" s="68">
        <f t="array" ref="W14">IF($D14,SUMPRODUCT((economics!$AG$2:$AG$167=$B14)*(economics!$D$2:$D$167="whr")*economics!$AI$2:$AI$167*_xlfn.NORM.DIST(W$3,economics!$AK$2:$AK$167,economics!$AJ$2:$AJ$167,TRUE)),0)</f>
        <v/>
      </c>
      <c r="X14" s="68">
        <f t="array" ref="X14">IF($D14,SUMPRODUCT((economics!$AG$2:$AG$167=$B14)*(economics!$D$2:$D$167="whr")*economics!$AI$2:$AI$167*_xlfn.NORM.DIST(X$3,economics!$AK$2:$AK$167,economics!$AJ$2:$AJ$167,TRUE)),0)</f>
        <v/>
      </c>
      <c r="Y14" s="68">
        <f t="array" ref="Y14">IF($D14,SUMPRODUCT((economics!$AG$2:$AG$167=$B14)*(economics!$D$2:$D$167="whr")*economics!$AI$2:$AI$167*_xlfn.NORM.DIST(Y$3,economics!$AK$2:$AK$167,economics!$AJ$2:$AJ$167,TRUE)),0)</f>
        <v/>
      </c>
      <c r="Z14" s="68">
        <f t="array" ref="Z14">IF($D14,SUMPRODUCT((economics!$AG$2:$AG$167=$B14)*(economics!$D$2:$D$167="whr")*economics!$AI$2:$AI$167*_xlfn.NORM.DIST(Z$3,economics!$AK$2:$AK$167,economics!$AJ$2:$AJ$167,TRUE)),0)</f>
        <v/>
      </c>
      <c r="AA14" s="68">
        <f t="array" ref="AA14">IF($D14,SUMPRODUCT((economics!$AG$2:$AG$167=$B14)*(economics!$D$2:$D$167="whr")*economics!$AI$2:$AI$167*_xlfn.NORM.DIST(AA$3,economics!$AK$2:$AK$167,economics!$AJ$2:$AJ$167,TRUE)),0)</f>
        <v/>
      </c>
      <c r="AB14" s="68">
        <f t="array" ref="AB14">IF($D14,SUMPRODUCT((economics!$AG$2:$AG$167=$B14)*(economics!$D$2:$D$167="whr")*economics!$AI$2:$AI$167*_xlfn.NORM.DIST(AB$3,economics!$AK$2:$AK$167,economics!$AJ$2:$AJ$167,TRUE)),0)</f>
        <v/>
      </c>
      <c r="AC14" s="68">
        <f t="array" ref="AC14">IF($D14,SUMPRODUCT((economics!$AG$2:$AG$167=$B14)*(economics!$D$2:$D$167="whr")*economics!$AI$2:$AI$167*_xlfn.NORM.DIST(AC$3,economics!$AK$2:$AK$167,economics!$AJ$2:$AJ$167,TRUE)),0)</f>
        <v/>
      </c>
      <c r="AD14" s="68">
        <f t="array" ref="AD14">IF($D14,SUMPRODUCT((economics!$AG$2:$AG$167=$B14)*(economics!$D$2:$D$167="whr")*economics!$AI$2:$AI$167*_xlfn.NORM.DIST(AD$3,economics!$AK$2:$AK$167,economics!$AJ$2:$AJ$167,TRUE)),0)</f>
        <v/>
      </c>
      <c r="AE14" s="68">
        <f t="array" ref="AE14">IF($D14,SUMPRODUCT((economics!$AG$2:$AG$167=$B14)*(economics!$D$2:$D$167="whr")*economics!$AI$2:$AI$167*_xlfn.NORM.DIST(AE$3,economics!$AK$2:$AK$167,economics!$AJ$2:$AJ$167,TRUE)),0)</f>
        <v/>
      </c>
      <c r="AF14" s="68">
        <f t="array" ref="AF14">IF($D14,SUMPRODUCT((economics!$AG$2:$AG$167=$B14)*(economics!$D$2:$D$167="whr")*economics!$AI$2:$AI$167*_xlfn.NORM.DIST(AF$3,economics!$AK$2:$AK$167,economics!$AJ$2:$AJ$167,TRUE)),0)</f>
        <v/>
      </c>
      <c r="AG14" s="68">
        <f t="array" ref="AG14">IF($D14,SUMPRODUCT((economics!$AG$2:$AG$167=$B14)*(economics!$D$2:$D$167="whr")*economics!$AI$2:$AI$167*_xlfn.NORM.DIST(AG$3,economics!$AK$2:$AK$167,economics!$AJ$2:$AJ$167,TRUE)),0)</f>
        <v/>
      </c>
      <c r="AH14" s="68">
        <f t="array" ref="AH14">IF($D14,SUMPRODUCT((economics!$AG$2:$AG$167=$B14)*(economics!$D$2:$D$167="whr")*economics!$AI$2:$AI$167*_xlfn.NORM.DIST(AH$3,economics!$AK$2:$AK$167,economics!$AJ$2:$AJ$167,TRUE)),0)</f>
        <v/>
      </c>
      <c r="AI14" s="68">
        <f t="array" ref="AI14">IF($D14,SUMPRODUCT((economics!$AG$2:$AG$167=$B14)*(economics!$D$2:$D$167="whr")*economics!$AI$2:$AI$167*_xlfn.NORM.DIST(AI$3,economics!$AK$2:$AK$167,economics!$AJ$2:$AJ$167,TRUE)),0)</f>
        <v/>
      </c>
      <c r="AJ14" s="68">
        <f t="array" ref="AJ14">IF($D14,SUMPRODUCT((economics!$AG$2:$AG$167=$B14)*(economics!$D$2:$D$167="whr")*economics!$AI$2:$AI$167*_xlfn.NORM.DIST(AJ$3,economics!$AK$2:$AK$167,economics!$AJ$2:$AJ$167,TRUE)),0)</f>
        <v/>
      </c>
      <c r="AK14" s="68">
        <f t="array" ref="AK14">IF($D14,SUMPRODUCT((economics!$AG$2:$AG$167=$B14)*(economics!$D$2:$D$167="whr")*economics!$AI$2:$AI$167*_xlfn.NORM.DIST(AK$3,economics!$AK$2:$AK$167,economics!$AJ$2:$AJ$167,TRUE)),0)</f>
        <v/>
      </c>
      <c r="AL14" s="68">
        <f t="array" ref="AL14">IF($D14,SUMPRODUCT((economics!$AG$2:$AG$167=$B14)*(economics!$D$2:$D$167="whr")*economics!$AI$2:$AI$167*_xlfn.NORM.DIST(AL$3,economics!$AK$2:$AK$167,economics!$AJ$2:$AJ$167,TRUE)),0)</f>
        <v/>
      </c>
      <c r="AM14" s="68">
        <f t="array" ref="AM14">IF($D14,SUMPRODUCT((economics!$AG$2:$AG$167=$B14)*(economics!$D$2:$D$167="whr")*economics!$AI$2:$AI$167*_xlfn.NORM.DIST(AM$3,economics!$AK$2:$AK$167,economics!$AJ$2:$AJ$167,TRUE)),0)</f>
        <v/>
      </c>
      <c r="AN14" s="68">
        <f t="array" ref="AN14">IF($D14,SUMPRODUCT((economics!$AG$2:$AG$167=$B14)*(economics!$D$2:$D$167="whr")*economics!$AI$2:$AI$167*_xlfn.NORM.DIST(AN$3,economics!$AK$2:$AK$167,economics!$AJ$2:$AJ$167,TRUE)),0)</f>
        <v/>
      </c>
      <c r="AO14" s="68">
        <f t="array" ref="AO14">IF($D14,SUMPRODUCT((economics!$AG$2:$AG$167=$B14)*(economics!$D$2:$D$167="whr")*economics!$AI$2:$AI$167*_xlfn.NORM.DIST(AO$3,economics!$AK$2:$AK$167,economics!$AJ$2:$AJ$167,TRUE)),0)</f>
        <v/>
      </c>
      <c r="AP14" s="68">
        <f t="array" ref="AP14">IF($D14,SUMPRODUCT((economics!$AG$2:$AG$167=$B14)*(economics!$D$2:$D$167="whr")*economics!$AI$2:$AI$167*_xlfn.NORM.DIST(AP$3,economics!$AK$2:$AK$167,economics!$AJ$2:$AJ$167,TRUE)),0)</f>
        <v/>
      </c>
      <c r="AQ14" s="68">
        <f t="array" ref="AQ14">IF($D14,SUMPRODUCT((economics!$AG$2:$AG$167=$B14)*(economics!$D$2:$D$167="whr")*economics!$AI$2:$AI$167*_xlfn.NORM.DIST(AQ$3,economics!$AK$2:$AK$167,economics!$AJ$2:$AJ$167,TRUE)),0)</f>
        <v/>
      </c>
      <c r="AR14" s="68">
        <f t="array" ref="AR14">IF($D14,SUMPRODUCT((economics!$AG$2:$AG$167=$B14)*(economics!$D$2:$D$167="whr")*economics!$AI$2:$AI$167*_xlfn.NORM.DIST(AR$3,economics!$AK$2:$AK$167,economics!$AJ$2:$AJ$167,TRUE)),0)</f>
        <v/>
      </c>
      <c r="AS14" s="68">
        <f t="array" ref="AS14">IF($D14,SUMPRODUCT((economics!$AG$2:$AG$167=$B14)*(economics!$D$2:$D$167="whr")*economics!$AI$2:$AI$167*_xlfn.NORM.DIST(AS$3,economics!$AK$2:$AK$167,economics!$AJ$2:$AJ$167,TRUE)),0)</f>
        <v/>
      </c>
      <c r="AT14" s="68">
        <f t="array" ref="AT14">IF($D14,SUMPRODUCT((economics!$AG$2:$AG$167=$B14)*(economics!$D$2:$D$167="whr")*economics!$AI$2:$AI$167*_xlfn.NORM.DIST(AT$3,economics!$AK$2:$AK$167,economics!$AJ$2:$AJ$167,TRUE)),0)</f>
        <v/>
      </c>
      <c r="AU14" s="68">
        <f t="array" ref="AU14">IF($D14,SUMPRODUCT((economics!$AG$2:$AG$167=$B14)*(economics!$D$2:$D$167="whr")*economics!$AI$2:$AI$167*_xlfn.NORM.DIST(AU$3,economics!$AK$2:$AK$167,economics!$AJ$2:$AJ$167,TRUE)),0)</f>
        <v/>
      </c>
      <c r="AV14" s="68">
        <f t="array" ref="AV14">IF($D14,SUMPRODUCT((economics!$AG$2:$AG$167=$B14)*(economics!$D$2:$D$167="whr")*economics!$AI$2:$AI$167*_xlfn.NORM.DIST(AV$3,economics!$AK$2:$AK$167,economics!$AJ$2:$AJ$167,TRUE)),0)</f>
        <v/>
      </c>
      <c r="AW14" s="68">
        <f t="array" ref="AW14">IF($D14,SUMPRODUCT((economics!$AG$2:$AG$167=$B14)*(economics!$D$2:$D$167="whr")*economics!$AI$2:$AI$167*_xlfn.NORM.DIST(AW$3,economics!$AK$2:$AK$167,economics!$AJ$2:$AJ$167,TRUE)),0)</f>
        <v/>
      </c>
      <c r="AX14" s="68">
        <f t="array" ref="AX14">IF($D14,SUMPRODUCT((economics!$AG$2:$AG$167=$B14)*(economics!$D$2:$D$167="whr")*economics!$AI$2:$AI$167*_xlfn.NORM.DIST(AX$3,economics!$AK$2:$AK$167,economics!$AJ$2:$AJ$167,TRUE)),0)</f>
        <v/>
      </c>
      <c r="AY14" s="68">
        <f t="array" ref="AY14">IF($D14,SUMPRODUCT((economics!$AG$2:$AG$167=$B14)*(economics!$D$2:$D$167="whr")*economics!$AI$2:$AI$167*_xlfn.NORM.DIST(AY$3,economics!$AK$2:$AK$167,economics!$AJ$2:$AJ$167,TRUE)),0)</f>
        <v/>
      </c>
      <c r="AZ14" s="68">
        <f t="array" ref="AZ14">IF($D14,SUMPRODUCT((economics!$AG$2:$AG$167=$B14)*(economics!$D$2:$D$167="whr")*economics!$AI$2:$AI$167*_xlfn.NORM.DIST(AZ$3,economics!$AK$2:$AK$167,economics!$AJ$2:$AJ$167,TRUE)),0)</f>
        <v/>
      </c>
      <c r="BA14" s="68">
        <f t="array" ref="BA14">IF($D14,SUMPRODUCT((economics!$AG$2:$AG$167=$B14)*(economics!$D$2:$D$167="whr")*economics!$AI$2:$AI$167*_xlfn.NORM.DIST(BA$3,economics!$AK$2:$AK$167,economics!$AJ$2:$AJ$167,TRUE)),0)</f>
        <v/>
      </c>
      <c r="BB14" s="68">
        <f t="array" ref="BB14">IF($D14,SUMPRODUCT((economics!$AG$2:$AG$167=$B14)*(economics!$D$2:$D$167="whr")*economics!$AI$2:$AI$167*_xlfn.NORM.DIST(BB$3,economics!$AK$2:$AK$167,economics!$AJ$2:$AJ$167,TRUE)),0)</f>
        <v/>
      </c>
      <c r="BC14" s="68">
        <f t="array" ref="BC14">IF($D14,SUMPRODUCT((economics!$AG$2:$AG$167=$B14)*(economics!$D$2:$D$167="whr")*economics!$AI$2:$AI$167*_xlfn.NORM.DIST(BC$3,economics!$AK$2:$AK$167,economics!$AJ$2:$AJ$167,TRUE)),0)</f>
        <v/>
      </c>
      <c r="BD14" s="68">
        <f t="array" ref="BD14">IF($D14,SUMPRODUCT((economics!$AG$2:$AG$167=$B14)*(economics!$D$2:$D$167="whr")*economics!$AI$2:$AI$167*_xlfn.NORM.DIST(BD$3,economics!$AK$2:$AK$167,economics!$AJ$2:$AJ$167,TRUE)),0)</f>
        <v/>
      </c>
      <c r="BE14" s="68">
        <f t="array" ref="BE14">IF($D14,SUMPRODUCT((economics!$AG$2:$AG$167=$B14)*(economics!$D$2:$D$167="whr")*economics!$AI$2:$AI$167*_xlfn.NORM.DIST(BE$3,economics!$AK$2:$AK$167,economics!$AJ$2:$AJ$167,TRUE)),0)</f>
        <v/>
      </c>
      <c r="BF14" s="68">
        <f t="array" ref="BF14">IF($D14,SUMPRODUCT((economics!$AG$2:$AG$167=$B14)*(economics!$D$2:$D$167="whr")*economics!$AI$2:$AI$167*_xlfn.NORM.DIST(BF$3,economics!$AK$2:$AK$167,economics!$AJ$2:$AJ$167,TRUE)),0)</f>
        <v/>
      </c>
      <c r="BG14" s="68">
        <f t="array" ref="BG14">IF($D14,SUMPRODUCT((economics!$AG$2:$AG$167=$B14)*(economics!$D$2:$D$167="whr")*economics!$AI$2:$AI$167*_xlfn.NORM.DIST(BG$3,economics!$AK$2:$AK$167,economics!$AJ$2:$AJ$167,TRUE)),0)</f>
        <v/>
      </c>
      <c r="BH14" s="68">
        <f t="array" ref="BH14">IF($D14,SUMPRODUCT((economics!$AG$2:$AG$167=$B14)*(economics!$D$2:$D$167="whr")*economics!$AI$2:$AI$167*_xlfn.NORM.DIST(BH$3,economics!$AK$2:$AK$167,economics!$AJ$2:$AJ$167,TRUE)),0)</f>
        <v/>
      </c>
      <c r="BI14" s="68">
        <f t="array" ref="BI14">IF($D14,SUMPRODUCT((economics!$AG$2:$AG$167=$B14)*(economics!$D$2:$D$167="whr")*economics!$AI$2:$AI$167*_xlfn.NORM.DIST(BI$3,economics!$AK$2:$AK$167,economics!$AJ$2:$AJ$167,TRUE)),0)</f>
        <v/>
      </c>
      <c r="BJ14" s="68">
        <f t="array" ref="BJ14">IF($D14,SUMPRODUCT((economics!$AG$2:$AG$167=$B14)*(economics!$D$2:$D$167="whr")*economics!$AI$2:$AI$167*_xlfn.NORM.DIST(BJ$3,economics!$AK$2:$AK$167,economics!$AJ$2:$AJ$167,TRUE)),0)</f>
        <v/>
      </c>
      <c r="BK14" s="68">
        <f t="array" ref="BK14">IF($D14,SUMPRODUCT((economics!$AG$2:$AG$167=$B14)*(economics!$D$2:$D$167="whr")*economics!$AI$2:$AI$167*_xlfn.NORM.DIST(BK$3,economics!$AK$2:$AK$167,economics!$AJ$2:$AJ$167,TRUE)),0)</f>
        <v/>
      </c>
      <c r="BL14" s="68">
        <f t="array" ref="BL14">IF($D14,SUMPRODUCT((economics!$AG$2:$AG$167=$B14)*(economics!$D$2:$D$167="whr")*economics!$AI$2:$AI$167*_xlfn.NORM.DIST(BL$3,economics!$AK$2:$AK$167,economics!$AJ$2:$AJ$167,TRUE)),0)</f>
        <v/>
      </c>
      <c r="BM14" s="68">
        <f t="array" ref="BM14">IF($D14,SUMPRODUCT((economics!$AG$2:$AG$167=$B14)*(economics!$D$2:$D$167="whr")*economics!$AI$2:$AI$167*_xlfn.NORM.DIST(BM$3,economics!$AK$2:$AK$167,economics!$AJ$2:$AJ$167,TRUE)),0)</f>
        <v/>
      </c>
      <c r="BN14" s="68">
        <f t="array" ref="BN14">IF($D14,SUMPRODUCT((economics!$AG$2:$AG$167=$B14)*(economics!$D$2:$D$167="whr")*economics!$AI$2:$AI$167*_xlfn.NORM.DIST(BN$3,economics!$AK$2:$AK$167,economics!$AJ$2:$AJ$167,TRUE)),0)</f>
        <v/>
      </c>
      <c r="BO14" s="68">
        <f t="array" ref="BO14">IF($D14,SUMPRODUCT((economics!$AG$2:$AG$167=$B14)*(economics!$D$2:$D$167="whr")*economics!$AI$2:$AI$167*_xlfn.NORM.DIST(BO$3,economics!$AK$2:$AK$167,economics!$AJ$2:$AJ$167,TRUE)),0)</f>
        <v/>
      </c>
      <c r="BP14" s="68">
        <f t="array" ref="BP14">IF($D14,SUMPRODUCT((economics!$AG$2:$AG$167=$B14)*(economics!$D$2:$D$167="whr")*economics!$AI$2:$AI$167*_xlfn.NORM.DIST(BP$3,economics!$AK$2:$AK$167,economics!$AJ$2:$AJ$167,TRUE)),0)</f>
        <v/>
      </c>
      <c r="BQ14" s="68">
        <f t="array" ref="BQ14">IF($D14,SUMPRODUCT((economics!$AG$2:$AG$167=$B14)*(economics!$D$2:$D$167="whr")*economics!$AI$2:$AI$167*_xlfn.NORM.DIST(BQ$3,economics!$AK$2:$AK$167,economics!$AJ$2:$AJ$167,TRUE)),0)</f>
        <v/>
      </c>
      <c r="BR14" s="68">
        <f t="array" ref="BR14">IF($D14,SUMPRODUCT((economics!$AG$2:$AG$167=$B14)*(economics!$D$2:$D$167="whr")*economics!$AI$2:$AI$167*_xlfn.NORM.DIST(BR$3,economics!$AK$2:$AK$167,economics!$AJ$2:$AJ$167,TRUE)),0)</f>
        <v/>
      </c>
      <c r="BS14" s="68">
        <f t="array" ref="BS14">IF($D14,SUMPRODUCT((economics!$AG$2:$AG$167=$B14)*(economics!$D$2:$D$167="whr")*economics!$AI$2:$AI$167*_xlfn.NORM.DIST(BS$3,economics!$AK$2:$AK$167,economics!$AJ$2:$AJ$167,TRUE)),0)</f>
        <v/>
      </c>
      <c r="BT14" s="68">
        <f t="array" ref="BT14">IF($D14,SUMPRODUCT((economics!$AG$2:$AG$167=$B14)*(economics!$D$2:$D$167="whr")*economics!$AI$2:$AI$167*_xlfn.NORM.DIST(BT$3,economics!$AK$2:$AK$167,economics!$AJ$2:$AJ$167,TRUE)),0)</f>
        <v/>
      </c>
      <c r="BU14" s="68">
        <f t="array" ref="BU14">IF($D14,SUMPRODUCT((economics!$AG$2:$AG$167=$B14)*(economics!$D$2:$D$167="whr")*economics!$AI$2:$AI$167*_xlfn.NORM.DIST(BU$3,economics!$AK$2:$AK$167,economics!$AJ$2:$AJ$167,TRUE)),0)</f>
        <v/>
      </c>
      <c r="BV14" s="68">
        <f t="array" ref="BV14">IF($D14,SUMPRODUCT((economics!$AG$2:$AG$167=$B14)*(economics!$D$2:$D$167="whr")*economics!$AI$2:$AI$167*_xlfn.NORM.DIST(BV$3,economics!$AK$2:$AK$167,economics!$AJ$2:$AJ$167,TRUE)),0)</f>
        <v/>
      </c>
      <c r="BW14" s="68">
        <f t="array" ref="BW14">IF($D14,SUMPRODUCT((economics!$AG$2:$AG$167=$B14)*(economics!$D$2:$D$167="whr")*economics!$AI$2:$AI$167*_xlfn.NORM.DIST(BW$3,economics!$AK$2:$AK$167,economics!$AJ$2:$AJ$167,TRUE)),0)</f>
        <v/>
      </c>
      <c r="BX14" s="68">
        <f t="array" ref="BX14">IF($D14,SUMPRODUCT((economics!$AG$2:$AG$167=$B14)*(economics!$D$2:$D$167="whr")*economics!$AI$2:$AI$167*_xlfn.NORM.DIST(BX$3,economics!$AK$2:$AK$167,economics!$AJ$2:$AJ$167,TRUE)),0)</f>
        <v/>
      </c>
      <c r="BY14" s="68">
        <f t="array" ref="BY14">IF($D14,SUMPRODUCT((economics!$AG$2:$AG$167=$B14)*(economics!$D$2:$D$167="whr")*economics!$AI$2:$AI$167*_xlfn.NORM.DIST(BY$3,economics!$AK$2:$AK$167,economics!$AJ$2:$AJ$167,TRUE)),0)</f>
        <v/>
      </c>
      <c r="BZ14" s="68">
        <f t="array" ref="BZ14">IF($D14,SUMPRODUCT((economics!$AG$2:$AG$167=$B14)*(economics!$D$2:$D$167="whr")*economics!$AI$2:$AI$167*_xlfn.NORM.DIST(BZ$3,economics!$AK$2:$AK$167,economics!$AJ$2:$AJ$167,TRUE)),0)</f>
        <v/>
      </c>
      <c r="CA14" s="68">
        <f t="array" ref="CA14">IF($D14,SUMPRODUCT((economics!$AG$2:$AG$167=$B14)*(economics!$D$2:$D$167="whr")*economics!$AI$2:$AI$167*_xlfn.NORM.DIST(CA$3,economics!$AK$2:$AK$167,economics!$AJ$2:$AJ$167,TRUE)),0)</f>
        <v/>
      </c>
      <c r="CB14" s="68">
        <f t="array" ref="CB14">IF($D14,SUMPRODUCT((economics!$AG$2:$AG$167=$B14)*(economics!$D$2:$D$167="whr")*economics!$AI$2:$AI$167*_xlfn.NORM.DIST(CB$3,economics!$AK$2:$AK$167,economics!$AJ$2:$AJ$167,TRUE)),0)</f>
        <v/>
      </c>
      <c r="CC14" s="68">
        <f t="array" ref="CC14">IF($D14,SUMPRODUCT((economics!$AG$2:$AG$167=$B14)*(economics!$D$2:$D$167="whr")*economics!$AI$2:$AI$167*_xlfn.NORM.DIST(CC$3,economics!$AK$2:$AK$167,economics!$AJ$2:$AJ$167,TRUE)),0)</f>
        <v/>
      </c>
      <c r="CD14" s="68">
        <f t="array" ref="CD14">IF($D14,SUMPRODUCT((economics!$AG$2:$AG$167=$B14)*(economics!$D$2:$D$167="whr")*economics!$AI$2:$AI$167*_xlfn.NORM.DIST(CD$3,economics!$AK$2:$AK$167,economics!$AJ$2:$AJ$167,TRUE)),0)</f>
        <v/>
      </c>
      <c r="CE14" s="68">
        <f t="array" ref="CE14">IF($D14,SUMPRODUCT((economics!$AG$2:$AG$167=$B14)*(economics!$D$2:$D$167="whr")*economics!$AI$2:$AI$167*_xlfn.NORM.DIST(CE$3,economics!$AK$2:$AK$167,economics!$AJ$2:$AJ$167,TRUE)),0)</f>
        <v/>
      </c>
      <c r="CF14" s="68">
        <f t="array" ref="CF14">IF($D14,SUMPRODUCT((economics!$AG$2:$AG$167=$B14)*(economics!$D$2:$D$167="whr")*economics!$AI$2:$AI$167*_xlfn.NORM.DIST(CF$3,economics!$AK$2:$AK$167,economics!$AJ$2:$AJ$167,TRUE)),0)</f>
        <v/>
      </c>
      <c r="CG14" s="68">
        <f t="array" ref="CG14">IF($D14,SUMPRODUCT((economics!$AG$2:$AG$167=$B14)*(economics!$D$2:$D$167="whr")*economics!$AI$2:$AI$167*_xlfn.NORM.DIST(CG$3,economics!$AK$2:$AK$167,economics!$AJ$2:$AJ$167,TRUE)),0)</f>
        <v/>
      </c>
      <c r="CH14" s="68">
        <f t="array" ref="CH14">IF($D14,SUMPRODUCT((economics!$AG$2:$AG$167=$B14)*(economics!$D$2:$D$167="whr")*economics!$AI$2:$AI$167*_xlfn.NORM.DIST(CH$3,economics!$AK$2:$AK$167,economics!$AJ$2:$AJ$167,TRUE)),0)</f>
        <v/>
      </c>
    </row>
    <row r="15">
      <c r="A15">
        <f>WHRPbI!A13</f>
        <v/>
      </c>
      <c r="B15" t="n">
        <v>231</v>
      </c>
      <c r="C15" s="68">
        <f>WHRPbI!B13</f>
        <v/>
      </c>
      <c r="D15">
        <f>ISNUMBER(MATCH($B15,'energy base (MECS)'!$K$4:$K$9,0))</f>
        <v/>
      </c>
      <c r="E15" s="68">
        <f t="array" ref="E15">IF($D15,SUMPRODUCT((economics!$AG$2:$AG$167=$B15)*(economics!$D$2:$D$167="whr")*economics!$AI$2:$AI$167*_xlfn.NORM.DIST(E$3,economics!$AK$2:$AK$167,economics!$AJ$2:$AJ$167,TRUE)),0)</f>
        <v/>
      </c>
      <c r="F15" s="68">
        <f t="array" ref="F15">IF($D15,SUMPRODUCT((economics!$AG$2:$AG$167=$B15)*(economics!$D$2:$D$167="whr")*economics!$AI$2:$AI$167*_xlfn.NORM.DIST(F$3,economics!$AK$2:$AK$167,economics!$AJ$2:$AJ$167,TRUE)),0)</f>
        <v/>
      </c>
      <c r="G15" s="68">
        <f t="array" ref="G15">IF($D15,SUMPRODUCT((economics!$AG$2:$AG$167=$B15)*(economics!$D$2:$D$167="whr")*economics!$AI$2:$AI$167*_xlfn.NORM.DIST(G$3,economics!$AK$2:$AK$167,economics!$AJ$2:$AJ$167,TRUE)),0)</f>
        <v/>
      </c>
      <c r="H15" s="68">
        <f t="array" ref="H15">IF($D15,SUMPRODUCT((economics!$AG$2:$AG$167=$B15)*(economics!$D$2:$D$167="whr")*economics!$AI$2:$AI$167*_xlfn.NORM.DIST(H$3,economics!$AK$2:$AK$167,economics!$AJ$2:$AJ$167,TRUE)),0)</f>
        <v/>
      </c>
      <c r="I15" s="68">
        <f t="array" ref="I15">IF($D15,SUMPRODUCT((economics!$AG$2:$AG$167=$B15)*(economics!$D$2:$D$167="whr")*economics!$AI$2:$AI$167*_xlfn.NORM.DIST(I$3,economics!$AK$2:$AK$167,economics!$AJ$2:$AJ$167,TRUE)),0)</f>
        <v/>
      </c>
      <c r="J15" s="68">
        <f t="array" ref="J15">IF($D15,SUMPRODUCT((economics!$AG$2:$AG$167=$B15)*(economics!$D$2:$D$167="whr")*economics!$AI$2:$AI$167*_xlfn.NORM.DIST(J$3,economics!$AK$2:$AK$167,economics!$AJ$2:$AJ$167,TRUE)),0)</f>
        <v/>
      </c>
      <c r="K15" s="68">
        <f t="array" ref="K15">IF($D15,SUMPRODUCT((economics!$AG$2:$AG$167=$B15)*(economics!$D$2:$D$167="whr")*economics!$AI$2:$AI$167*_xlfn.NORM.DIST(K$3,economics!$AK$2:$AK$167,economics!$AJ$2:$AJ$167,TRUE)),0)</f>
        <v/>
      </c>
      <c r="L15" s="68">
        <f t="array" ref="L15">IF($D15,SUMPRODUCT((economics!$AG$2:$AG$167=$B15)*(economics!$D$2:$D$167="whr")*economics!$AI$2:$AI$167*_xlfn.NORM.DIST(L$3,economics!$AK$2:$AK$167,economics!$AJ$2:$AJ$167,TRUE)),0)</f>
        <v/>
      </c>
      <c r="M15" s="68">
        <f t="array" ref="M15">IF($D15,SUMPRODUCT((economics!$AG$2:$AG$167=$B15)*(economics!$D$2:$D$167="whr")*economics!$AI$2:$AI$167*_xlfn.NORM.DIST(M$3,economics!$AK$2:$AK$167,economics!$AJ$2:$AJ$167,TRUE)),0)</f>
        <v/>
      </c>
      <c r="N15" s="68">
        <f t="array" ref="N15">IF($D15,SUMPRODUCT((economics!$AG$2:$AG$167=$B15)*(economics!$D$2:$D$167="whr")*economics!$AI$2:$AI$167*_xlfn.NORM.DIST(N$3,economics!$AK$2:$AK$167,economics!$AJ$2:$AJ$167,TRUE)),0)</f>
        <v/>
      </c>
      <c r="O15" s="68">
        <f t="array" ref="O15">IF($D15,SUMPRODUCT((economics!$AG$2:$AG$167=$B15)*(economics!$D$2:$D$167="whr")*economics!$AI$2:$AI$167*_xlfn.NORM.DIST(O$3,economics!$AK$2:$AK$167,economics!$AJ$2:$AJ$167,TRUE)),0)</f>
        <v/>
      </c>
      <c r="P15" s="68">
        <f t="array" ref="P15">IF($D15,SUMPRODUCT((economics!$AG$2:$AG$167=$B15)*(economics!$D$2:$D$167="whr")*economics!$AI$2:$AI$167*_xlfn.NORM.DIST(P$3,economics!$AK$2:$AK$167,economics!$AJ$2:$AJ$167,TRUE)),0)</f>
        <v/>
      </c>
      <c r="Q15" s="68">
        <f t="array" ref="Q15">IF($D15,SUMPRODUCT((economics!$AG$2:$AG$167=$B15)*(economics!$D$2:$D$167="whr")*economics!$AI$2:$AI$167*_xlfn.NORM.DIST(Q$3,economics!$AK$2:$AK$167,economics!$AJ$2:$AJ$167,TRUE)),0)</f>
        <v/>
      </c>
      <c r="R15" s="68">
        <f t="array" ref="R15">IF($D15,SUMPRODUCT((economics!$AG$2:$AG$167=$B15)*(economics!$D$2:$D$167="whr")*economics!$AI$2:$AI$167*_xlfn.NORM.DIST(R$3,economics!$AK$2:$AK$167,economics!$AJ$2:$AJ$167,TRUE)),0)</f>
        <v/>
      </c>
      <c r="S15" s="68">
        <f t="array" ref="S15">IF($D15,SUMPRODUCT((economics!$AG$2:$AG$167=$B15)*(economics!$D$2:$D$167="whr")*economics!$AI$2:$AI$167*_xlfn.NORM.DIST(S$3,economics!$AK$2:$AK$167,economics!$AJ$2:$AJ$167,TRUE)),0)</f>
        <v/>
      </c>
      <c r="T15" s="68">
        <f t="array" ref="T15">IF($D15,SUMPRODUCT((economics!$AG$2:$AG$167=$B15)*(economics!$D$2:$D$167="whr")*economics!$AI$2:$AI$167*_xlfn.NORM.DIST(T$3,economics!$AK$2:$AK$167,economics!$AJ$2:$AJ$167,TRUE)),0)</f>
        <v/>
      </c>
      <c r="U15" s="68">
        <f t="array" ref="U15">IF($D15,SUMPRODUCT((economics!$AG$2:$AG$167=$B15)*(economics!$D$2:$D$167="whr")*economics!$AI$2:$AI$167*_xlfn.NORM.DIST(U$3,economics!$AK$2:$AK$167,economics!$AJ$2:$AJ$167,TRUE)),0)</f>
        <v/>
      </c>
      <c r="V15" s="68">
        <f t="array" ref="V15">IF($D15,SUMPRODUCT((economics!$AG$2:$AG$167=$B15)*(economics!$D$2:$D$167="whr")*economics!$AI$2:$AI$167*_xlfn.NORM.DIST(V$3,economics!$AK$2:$AK$167,economics!$AJ$2:$AJ$167,TRUE)),0)</f>
        <v/>
      </c>
      <c r="W15" s="68">
        <f t="array" ref="W15">IF($D15,SUMPRODUCT((economics!$AG$2:$AG$167=$B15)*(economics!$D$2:$D$167="whr")*economics!$AI$2:$AI$167*_xlfn.NORM.DIST(W$3,economics!$AK$2:$AK$167,economics!$AJ$2:$AJ$167,TRUE)),0)</f>
        <v/>
      </c>
      <c r="X15" s="68">
        <f t="array" ref="X15">IF($D15,SUMPRODUCT((economics!$AG$2:$AG$167=$B15)*(economics!$D$2:$D$167="whr")*economics!$AI$2:$AI$167*_xlfn.NORM.DIST(X$3,economics!$AK$2:$AK$167,economics!$AJ$2:$AJ$167,TRUE)),0)</f>
        <v/>
      </c>
      <c r="Y15" s="68">
        <f t="array" ref="Y15">IF($D15,SUMPRODUCT((economics!$AG$2:$AG$167=$B15)*(economics!$D$2:$D$167="whr")*economics!$AI$2:$AI$167*_xlfn.NORM.DIST(Y$3,economics!$AK$2:$AK$167,economics!$AJ$2:$AJ$167,TRUE)),0)</f>
        <v/>
      </c>
      <c r="Z15" s="68">
        <f t="array" ref="Z15">IF($D15,SUMPRODUCT((economics!$AG$2:$AG$167=$B15)*(economics!$D$2:$D$167="whr")*economics!$AI$2:$AI$167*_xlfn.NORM.DIST(Z$3,economics!$AK$2:$AK$167,economics!$AJ$2:$AJ$167,TRUE)),0)</f>
        <v/>
      </c>
      <c r="AA15" s="68">
        <f t="array" ref="AA15">IF($D15,SUMPRODUCT((economics!$AG$2:$AG$167=$B15)*(economics!$D$2:$D$167="whr")*economics!$AI$2:$AI$167*_xlfn.NORM.DIST(AA$3,economics!$AK$2:$AK$167,economics!$AJ$2:$AJ$167,TRUE)),0)</f>
        <v/>
      </c>
      <c r="AB15" s="68">
        <f t="array" ref="AB15">IF($D15,SUMPRODUCT((economics!$AG$2:$AG$167=$B15)*(economics!$D$2:$D$167="whr")*economics!$AI$2:$AI$167*_xlfn.NORM.DIST(AB$3,economics!$AK$2:$AK$167,economics!$AJ$2:$AJ$167,TRUE)),0)</f>
        <v/>
      </c>
      <c r="AC15" s="68">
        <f t="array" ref="AC15">IF($D15,SUMPRODUCT((economics!$AG$2:$AG$167=$B15)*(economics!$D$2:$D$167="whr")*economics!$AI$2:$AI$167*_xlfn.NORM.DIST(AC$3,economics!$AK$2:$AK$167,economics!$AJ$2:$AJ$167,TRUE)),0)</f>
        <v/>
      </c>
      <c r="AD15" s="68">
        <f t="array" ref="AD15">IF($D15,SUMPRODUCT((economics!$AG$2:$AG$167=$B15)*(economics!$D$2:$D$167="whr")*economics!$AI$2:$AI$167*_xlfn.NORM.DIST(AD$3,economics!$AK$2:$AK$167,economics!$AJ$2:$AJ$167,TRUE)),0)</f>
        <v/>
      </c>
      <c r="AE15" s="68">
        <f t="array" ref="AE15">IF($D15,SUMPRODUCT((economics!$AG$2:$AG$167=$B15)*(economics!$D$2:$D$167="whr")*economics!$AI$2:$AI$167*_xlfn.NORM.DIST(AE$3,economics!$AK$2:$AK$167,economics!$AJ$2:$AJ$167,TRUE)),0)</f>
        <v/>
      </c>
      <c r="AF15" s="68">
        <f t="array" ref="AF15">IF($D15,SUMPRODUCT((economics!$AG$2:$AG$167=$B15)*(economics!$D$2:$D$167="whr")*economics!$AI$2:$AI$167*_xlfn.NORM.DIST(AF$3,economics!$AK$2:$AK$167,economics!$AJ$2:$AJ$167,TRUE)),0)</f>
        <v/>
      </c>
      <c r="AG15" s="68">
        <f t="array" ref="AG15">IF($D15,SUMPRODUCT((economics!$AG$2:$AG$167=$B15)*(economics!$D$2:$D$167="whr")*economics!$AI$2:$AI$167*_xlfn.NORM.DIST(AG$3,economics!$AK$2:$AK$167,economics!$AJ$2:$AJ$167,TRUE)),0)</f>
        <v/>
      </c>
      <c r="AH15" s="68">
        <f t="array" ref="AH15">IF($D15,SUMPRODUCT((economics!$AG$2:$AG$167=$B15)*(economics!$D$2:$D$167="whr")*economics!$AI$2:$AI$167*_xlfn.NORM.DIST(AH$3,economics!$AK$2:$AK$167,economics!$AJ$2:$AJ$167,TRUE)),0)</f>
        <v/>
      </c>
      <c r="AI15" s="68">
        <f t="array" ref="AI15">IF($D15,SUMPRODUCT((economics!$AG$2:$AG$167=$B15)*(economics!$D$2:$D$167="whr")*economics!$AI$2:$AI$167*_xlfn.NORM.DIST(AI$3,economics!$AK$2:$AK$167,economics!$AJ$2:$AJ$167,TRUE)),0)</f>
        <v/>
      </c>
      <c r="AJ15" s="68">
        <f t="array" ref="AJ15">IF($D15,SUMPRODUCT((economics!$AG$2:$AG$167=$B15)*(economics!$D$2:$D$167="whr")*economics!$AI$2:$AI$167*_xlfn.NORM.DIST(AJ$3,economics!$AK$2:$AK$167,economics!$AJ$2:$AJ$167,TRUE)),0)</f>
        <v/>
      </c>
      <c r="AK15" s="68">
        <f t="array" ref="AK15">IF($D15,SUMPRODUCT((economics!$AG$2:$AG$167=$B15)*(economics!$D$2:$D$167="whr")*economics!$AI$2:$AI$167*_xlfn.NORM.DIST(AK$3,economics!$AK$2:$AK$167,economics!$AJ$2:$AJ$167,TRUE)),0)</f>
        <v/>
      </c>
      <c r="AL15" s="68">
        <f t="array" ref="AL15">IF($D15,SUMPRODUCT((economics!$AG$2:$AG$167=$B15)*(economics!$D$2:$D$167="whr")*economics!$AI$2:$AI$167*_xlfn.NORM.DIST(AL$3,economics!$AK$2:$AK$167,economics!$AJ$2:$AJ$167,TRUE)),0)</f>
        <v/>
      </c>
      <c r="AM15" s="68">
        <f t="array" ref="AM15">IF($D15,SUMPRODUCT((economics!$AG$2:$AG$167=$B15)*(economics!$D$2:$D$167="whr")*economics!$AI$2:$AI$167*_xlfn.NORM.DIST(AM$3,economics!$AK$2:$AK$167,economics!$AJ$2:$AJ$167,TRUE)),0)</f>
        <v/>
      </c>
      <c r="AN15" s="68">
        <f t="array" ref="AN15">IF($D15,SUMPRODUCT((economics!$AG$2:$AG$167=$B15)*(economics!$D$2:$D$167="whr")*economics!$AI$2:$AI$167*_xlfn.NORM.DIST(AN$3,economics!$AK$2:$AK$167,economics!$AJ$2:$AJ$167,TRUE)),0)</f>
        <v/>
      </c>
      <c r="AO15" s="68">
        <f t="array" ref="AO15">IF($D15,SUMPRODUCT((economics!$AG$2:$AG$167=$B15)*(economics!$D$2:$D$167="whr")*economics!$AI$2:$AI$167*_xlfn.NORM.DIST(AO$3,economics!$AK$2:$AK$167,economics!$AJ$2:$AJ$167,TRUE)),0)</f>
        <v/>
      </c>
      <c r="AP15" s="68">
        <f t="array" ref="AP15">IF($D15,SUMPRODUCT((economics!$AG$2:$AG$167=$B15)*(economics!$D$2:$D$167="whr")*economics!$AI$2:$AI$167*_xlfn.NORM.DIST(AP$3,economics!$AK$2:$AK$167,economics!$AJ$2:$AJ$167,TRUE)),0)</f>
        <v/>
      </c>
      <c r="AQ15" s="68">
        <f t="array" ref="AQ15">IF($D15,SUMPRODUCT((economics!$AG$2:$AG$167=$B15)*(economics!$D$2:$D$167="whr")*economics!$AI$2:$AI$167*_xlfn.NORM.DIST(AQ$3,economics!$AK$2:$AK$167,economics!$AJ$2:$AJ$167,TRUE)),0)</f>
        <v/>
      </c>
      <c r="AR15" s="68">
        <f t="array" ref="AR15">IF($D15,SUMPRODUCT((economics!$AG$2:$AG$167=$B15)*(economics!$D$2:$D$167="whr")*economics!$AI$2:$AI$167*_xlfn.NORM.DIST(AR$3,economics!$AK$2:$AK$167,economics!$AJ$2:$AJ$167,TRUE)),0)</f>
        <v/>
      </c>
      <c r="AS15" s="68">
        <f t="array" ref="AS15">IF($D15,SUMPRODUCT((economics!$AG$2:$AG$167=$B15)*(economics!$D$2:$D$167="whr")*economics!$AI$2:$AI$167*_xlfn.NORM.DIST(AS$3,economics!$AK$2:$AK$167,economics!$AJ$2:$AJ$167,TRUE)),0)</f>
        <v/>
      </c>
      <c r="AT15" s="68">
        <f t="array" ref="AT15">IF($D15,SUMPRODUCT((economics!$AG$2:$AG$167=$B15)*(economics!$D$2:$D$167="whr")*economics!$AI$2:$AI$167*_xlfn.NORM.DIST(AT$3,economics!$AK$2:$AK$167,economics!$AJ$2:$AJ$167,TRUE)),0)</f>
        <v/>
      </c>
      <c r="AU15" s="68">
        <f t="array" ref="AU15">IF($D15,SUMPRODUCT((economics!$AG$2:$AG$167=$B15)*(economics!$D$2:$D$167="whr")*economics!$AI$2:$AI$167*_xlfn.NORM.DIST(AU$3,economics!$AK$2:$AK$167,economics!$AJ$2:$AJ$167,TRUE)),0)</f>
        <v/>
      </c>
      <c r="AV15" s="68">
        <f t="array" ref="AV15">IF($D15,SUMPRODUCT((economics!$AG$2:$AG$167=$B15)*(economics!$D$2:$D$167="whr")*economics!$AI$2:$AI$167*_xlfn.NORM.DIST(AV$3,economics!$AK$2:$AK$167,economics!$AJ$2:$AJ$167,TRUE)),0)</f>
        <v/>
      </c>
      <c r="AW15" s="68">
        <f t="array" ref="AW15">IF($D15,SUMPRODUCT((economics!$AG$2:$AG$167=$B15)*(economics!$D$2:$D$167="whr")*economics!$AI$2:$AI$167*_xlfn.NORM.DIST(AW$3,economics!$AK$2:$AK$167,economics!$AJ$2:$AJ$167,TRUE)),0)</f>
        <v/>
      </c>
      <c r="AX15" s="68">
        <f t="array" ref="AX15">IF($D15,SUMPRODUCT((economics!$AG$2:$AG$167=$B15)*(economics!$D$2:$D$167="whr")*economics!$AI$2:$AI$167*_xlfn.NORM.DIST(AX$3,economics!$AK$2:$AK$167,economics!$AJ$2:$AJ$167,TRUE)),0)</f>
        <v/>
      </c>
      <c r="AY15" s="68">
        <f t="array" ref="AY15">IF($D15,SUMPRODUCT((economics!$AG$2:$AG$167=$B15)*(economics!$D$2:$D$167="whr")*economics!$AI$2:$AI$167*_xlfn.NORM.DIST(AY$3,economics!$AK$2:$AK$167,economics!$AJ$2:$AJ$167,TRUE)),0)</f>
        <v/>
      </c>
      <c r="AZ15" s="68">
        <f t="array" ref="AZ15">IF($D15,SUMPRODUCT((economics!$AG$2:$AG$167=$B15)*(economics!$D$2:$D$167="whr")*economics!$AI$2:$AI$167*_xlfn.NORM.DIST(AZ$3,economics!$AK$2:$AK$167,economics!$AJ$2:$AJ$167,TRUE)),0)</f>
        <v/>
      </c>
      <c r="BA15" s="68">
        <f t="array" ref="BA15">IF($D15,SUMPRODUCT((economics!$AG$2:$AG$167=$B15)*(economics!$D$2:$D$167="whr")*economics!$AI$2:$AI$167*_xlfn.NORM.DIST(BA$3,economics!$AK$2:$AK$167,economics!$AJ$2:$AJ$167,TRUE)),0)</f>
        <v/>
      </c>
      <c r="BB15" s="68">
        <f t="array" ref="BB15">IF($D15,SUMPRODUCT((economics!$AG$2:$AG$167=$B15)*(economics!$D$2:$D$167="whr")*economics!$AI$2:$AI$167*_xlfn.NORM.DIST(BB$3,economics!$AK$2:$AK$167,economics!$AJ$2:$AJ$167,TRUE)),0)</f>
        <v/>
      </c>
      <c r="BC15" s="68">
        <f t="array" ref="BC15">IF($D15,SUMPRODUCT((economics!$AG$2:$AG$167=$B15)*(economics!$D$2:$D$167="whr")*economics!$AI$2:$AI$167*_xlfn.NORM.DIST(BC$3,economics!$AK$2:$AK$167,economics!$AJ$2:$AJ$167,TRUE)),0)</f>
        <v/>
      </c>
      <c r="BD15" s="68">
        <f t="array" ref="BD15">IF($D15,SUMPRODUCT((economics!$AG$2:$AG$167=$B15)*(economics!$D$2:$D$167="whr")*economics!$AI$2:$AI$167*_xlfn.NORM.DIST(BD$3,economics!$AK$2:$AK$167,economics!$AJ$2:$AJ$167,TRUE)),0)</f>
        <v/>
      </c>
      <c r="BE15" s="68">
        <f t="array" ref="BE15">IF($D15,SUMPRODUCT((economics!$AG$2:$AG$167=$B15)*(economics!$D$2:$D$167="whr")*economics!$AI$2:$AI$167*_xlfn.NORM.DIST(BE$3,economics!$AK$2:$AK$167,economics!$AJ$2:$AJ$167,TRUE)),0)</f>
        <v/>
      </c>
      <c r="BF15" s="68">
        <f t="array" ref="BF15">IF($D15,SUMPRODUCT((economics!$AG$2:$AG$167=$B15)*(economics!$D$2:$D$167="whr")*economics!$AI$2:$AI$167*_xlfn.NORM.DIST(BF$3,economics!$AK$2:$AK$167,economics!$AJ$2:$AJ$167,TRUE)),0)</f>
        <v/>
      </c>
      <c r="BG15" s="68">
        <f t="array" ref="BG15">IF($D15,SUMPRODUCT((economics!$AG$2:$AG$167=$B15)*(economics!$D$2:$D$167="whr")*economics!$AI$2:$AI$167*_xlfn.NORM.DIST(BG$3,economics!$AK$2:$AK$167,economics!$AJ$2:$AJ$167,TRUE)),0)</f>
        <v/>
      </c>
      <c r="BH15" s="68">
        <f t="array" ref="BH15">IF($D15,SUMPRODUCT((economics!$AG$2:$AG$167=$B15)*(economics!$D$2:$D$167="whr")*economics!$AI$2:$AI$167*_xlfn.NORM.DIST(BH$3,economics!$AK$2:$AK$167,economics!$AJ$2:$AJ$167,TRUE)),0)</f>
        <v/>
      </c>
      <c r="BI15" s="68">
        <f t="array" ref="BI15">IF($D15,SUMPRODUCT((economics!$AG$2:$AG$167=$B15)*(economics!$D$2:$D$167="whr")*economics!$AI$2:$AI$167*_xlfn.NORM.DIST(BI$3,economics!$AK$2:$AK$167,economics!$AJ$2:$AJ$167,TRUE)),0)</f>
        <v/>
      </c>
      <c r="BJ15" s="68">
        <f t="array" ref="BJ15">IF($D15,SUMPRODUCT((economics!$AG$2:$AG$167=$B15)*(economics!$D$2:$D$167="whr")*economics!$AI$2:$AI$167*_xlfn.NORM.DIST(BJ$3,economics!$AK$2:$AK$167,economics!$AJ$2:$AJ$167,TRUE)),0)</f>
        <v/>
      </c>
      <c r="BK15" s="68">
        <f t="array" ref="BK15">IF($D15,SUMPRODUCT((economics!$AG$2:$AG$167=$B15)*(economics!$D$2:$D$167="whr")*economics!$AI$2:$AI$167*_xlfn.NORM.DIST(BK$3,economics!$AK$2:$AK$167,economics!$AJ$2:$AJ$167,TRUE)),0)</f>
        <v/>
      </c>
      <c r="BL15" s="68">
        <f t="array" ref="BL15">IF($D15,SUMPRODUCT((economics!$AG$2:$AG$167=$B15)*(economics!$D$2:$D$167="whr")*economics!$AI$2:$AI$167*_xlfn.NORM.DIST(BL$3,economics!$AK$2:$AK$167,economics!$AJ$2:$AJ$167,TRUE)),0)</f>
        <v/>
      </c>
      <c r="BM15" s="68">
        <f t="array" ref="BM15">IF($D15,SUMPRODUCT((economics!$AG$2:$AG$167=$B15)*(economics!$D$2:$D$167="whr")*economics!$AI$2:$AI$167*_xlfn.NORM.DIST(BM$3,economics!$AK$2:$AK$167,economics!$AJ$2:$AJ$167,TRUE)),0)</f>
        <v/>
      </c>
      <c r="BN15" s="68">
        <f t="array" ref="BN15">IF($D15,SUMPRODUCT((economics!$AG$2:$AG$167=$B15)*(economics!$D$2:$D$167="whr")*economics!$AI$2:$AI$167*_xlfn.NORM.DIST(BN$3,economics!$AK$2:$AK$167,economics!$AJ$2:$AJ$167,TRUE)),0)</f>
        <v/>
      </c>
      <c r="BO15" s="68">
        <f t="array" ref="BO15">IF($D15,SUMPRODUCT((economics!$AG$2:$AG$167=$B15)*(economics!$D$2:$D$167="whr")*economics!$AI$2:$AI$167*_xlfn.NORM.DIST(BO$3,economics!$AK$2:$AK$167,economics!$AJ$2:$AJ$167,TRUE)),0)</f>
        <v/>
      </c>
      <c r="BP15" s="68">
        <f t="array" ref="BP15">IF($D15,SUMPRODUCT((economics!$AG$2:$AG$167=$B15)*(economics!$D$2:$D$167="whr")*economics!$AI$2:$AI$167*_xlfn.NORM.DIST(BP$3,economics!$AK$2:$AK$167,economics!$AJ$2:$AJ$167,TRUE)),0)</f>
        <v/>
      </c>
      <c r="BQ15" s="68">
        <f t="array" ref="BQ15">IF($D15,SUMPRODUCT((economics!$AG$2:$AG$167=$B15)*(economics!$D$2:$D$167="whr")*economics!$AI$2:$AI$167*_xlfn.NORM.DIST(BQ$3,economics!$AK$2:$AK$167,economics!$AJ$2:$AJ$167,TRUE)),0)</f>
        <v/>
      </c>
      <c r="BR15" s="68">
        <f t="array" ref="BR15">IF($D15,SUMPRODUCT((economics!$AG$2:$AG$167=$B15)*(economics!$D$2:$D$167="whr")*economics!$AI$2:$AI$167*_xlfn.NORM.DIST(BR$3,economics!$AK$2:$AK$167,economics!$AJ$2:$AJ$167,TRUE)),0)</f>
        <v/>
      </c>
      <c r="BS15" s="68">
        <f t="array" ref="BS15">IF($D15,SUMPRODUCT((economics!$AG$2:$AG$167=$B15)*(economics!$D$2:$D$167="whr")*economics!$AI$2:$AI$167*_xlfn.NORM.DIST(BS$3,economics!$AK$2:$AK$167,economics!$AJ$2:$AJ$167,TRUE)),0)</f>
        <v/>
      </c>
      <c r="BT15" s="68">
        <f t="array" ref="BT15">IF($D15,SUMPRODUCT((economics!$AG$2:$AG$167=$B15)*(economics!$D$2:$D$167="whr")*economics!$AI$2:$AI$167*_xlfn.NORM.DIST(BT$3,economics!$AK$2:$AK$167,economics!$AJ$2:$AJ$167,TRUE)),0)</f>
        <v/>
      </c>
      <c r="BU15" s="68">
        <f t="array" ref="BU15">IF($D15,SUMPRODUCT((economics!$AG$2:$AG$167=$B15)*(economics!$D$2:$D$167="whr")*economics!$AI$2:$AI$167*_xlfn.NORM.DIST(BU$3,economics!$AK$2:$AK$167,economics!$AJ$2:$AJ$167,TRUE)),0)</f>
        <v/>
      </c>
      <c r="BV15" s="68">
        <f t="array" ref="BV15">IF($D15,SUMPRODUCT((economics!$AG$2:$AG$167=$B15)*(economics!$D$2:$D$167="whr")*economics!$AI$2:$AI$167*_xlfn.NORM.DIST(BV$3,economics!$AK$2:$AK$167,economics!$AJ$2:$AJ$167,TRUE)),0)</f>
        <v/>
      </c>
      <c r="BW15" s="68">
        <f t="array" ref="BW15">IF($D15,SUMPRODUCT((economics!$AG$2:$AG$167=$B15)*(economics!$D$2:$D$167="whr")*economics!$AI$2:$AI$167*_xlfn.NORM.DIST(BW$3,economics!$AK$2:$AK$167,economics!$AJ$2:$AJ$167,TRUE)),0)</f>
        <v/>
      </c>
      <c r="BX15" s="68">
        <f t="array" ref="BX15">IF($D15,SUMPRODUCT((economics!$AG$2:$AG$167=$B15)*(economics!$D$2:$D$167="whr")*economics!$AI$2:$AI$167*_xlfn.NORM.DIST(BX$3,economics!$AK$2:$AK$167,economics!$AJ$2:$AJ$167,TRUE)),0)</f>
        <v/>
      </c>
      <c r="BY15" s="68">
        <f t="array" ref="BY15">IF($D15,SUMPRODUCT((economics!$AG$2:$AG$167=$B15)*(economics!$D$2:$D$167="whr")*economics!$AI$2:$AI$167*_xlfn.NORM.DIST(BY$3,economics!$AK$2:$AK$167,economics!$AJ$2:$AJ$167,TRUE)),0)</f>
        <v/>
      </c>
      <c r="BZ15" s="68">
        <f t="array" ref="BZ15">IF($D15,SUMPRODUCT((economics!$AG$2:$AG$167=$B15)*(economics!$D$2:$D$167="whr")*economics!$AI$2:$AI$167*_xlfn.NORM.DIST(BZ$3,economics!$AK$2:$AK$167,economics!$AJ$2:$AJ$167,TRUE)),0)</f>
        <v/>
      </c>
      <c r="CA15" s="68">
        <f t="array" ref="CA15">IF($D15,SUMPRODUCT((economics!$AG$2:$AG$167=$B15)*(economics!$D$2:$D$167="whr")*economics!$AI$2:$AI$167*_xlfn.NORM.DIST(CA$3,economics!$AK$2:$AK$167,economics!$AJ$2:$AJ$167,TRUE)),0)</f>
        <v/>
      </c>
      <c r="CB15" s="68">
        <f t="array" ref="CB15">IF($D15,SUMPRODUCT((economics!$AG$2:$AG$167=$B15)*(economics!$D$2:$D$167="whr")*economics!$AI$2:$AI$167*_xlfn.NORM.DIST(CB$3,economics!$AK$2:$AK$167,economics!$AJ$2:$AJ$167,TRUE)),0)</f>
        <v/>
      </c>
      <c r="CC15" s="68">
        <f t="array" ref="CC15">IF($D15,SUMPRODUCT((economics!$AG$2:$AG$167=$B15)*(economics!$D$2:$D$167="whr")*economics!$AI$2:$AI$167*_xlfn.NORM.DIST(CC$3,economics!$AK$2:$AK$167,economics!$AJ$2:$AJ$167,TRUE)),0)</f>
        <v/>
      </c>
      <c r="CD15" s="68">
        <f t="array" ref="CD15">IF($D15,SUMPRODUCT((economics!$AG$2:$AG$167=$B15)*(economics!$D$2:$D$167="whr")*economics!$AI$2:$AI$167*_xlfn.NORM.DIST(CD$3,economics!$AK$2:$AK$167,economics!$AJ$2:$AJ$167,TRUE)),0)</f>
        <v/>
      </c>
      <c r="CE15" s="68">
        <f t="array" ref="CE15">IF($D15,SUMPRODUCT((economics!$AG$2:$AG$167=$B15)*(economics!$D$2:$D$167="whr")*economics!$AI$2:$AI$167*_xlfn.NORM.DIST(CE$3,economics!$AK$2:$AK$167,economics!$AJ$2:$AJ$167,TRUE)),0)</f>
        <v/>
      </c>
      <c r="CF15" s="68">
        <f t="array" ref="CF15">IF($D15,SUMPRODUCT((economics!$AG$2:$AG$167=$B15)*(economics!$D$2:$D$167="whr")*economics!$AI$2:$AI$167*_xlfn.NORM.DIST(CF$3,economics!$AK$2:$AK$167,economics!$AJ$2:$AJ$167,TRUE)),0)</f>
        <v/>
      </c>
      <c r="CG15" s="68">
        <f t="array" ref="CG15">IF($D15,SUMPRODUCT((economics!$AG$2:$AG$167=$B15)*(economics!$D$2:$D$167="whr")*economics!$AI$2:$AI$167*_xlfn.NORM.DIST(CG$3,economics!$AK$2:$AK$167,economics!$AJ$2:$AJ$167,TRUE)),0)</f>
        <v/>
      </c>
      <c r="CH15" s="68">
        <f t="array" ref="CH15">IF($D15,SUMPRODUCT((economics!$AG$2:$AG$167=$B15)*(economics!$D$2:$D$167="whr")*economics!$AI$2:$AI$167*_xlfn.NORM.DIST(CH$3,economics!$AK$2:$AK$167,economics!$AJ$2:$AJ$167,TRUE)),0)</f>
        <v/>
      </c>
    </row>
    <row r="16">
      <c r="A16">
        <f>WHRPbI!A14</f>
        <v/>
      </c>
      <c r="B16" t="n">
        <v>239</v>
      </c>
      <c r="C16" s="68">
        <f>WHRPbI!B14</f>
        <v/>
      </c>
      <c r="D16">
        <f>ISNUMBER(MATCH($B16,'energy base (MECS)'!$K$4:$K$9,0))</f>
        <v/>
      </c>
      <c r="E16" s="68">
        <f t="array" ref="E16">IF($D16,SUMPRODUCT((economics!$AG$2:$AG$167=$B16)*(economics!$D$2:$D$167="whr")*economics!$AI$2:$AI$167*_xlfn.NORM.DIST(E$3,economics!$AK$2:$AK$167,economics!$AJ$2:$AJ$167,TRUE)),0)</f>
        <v/>
      </c>
      <c r="F16" s="68">
        <f t="array" ref="F16">IF($D16,SUMPRODUCT((economics!$AG$2:$AG$167=$B16)*(economics!$D$2:$D$167="whr")*economics!$AI$2:$AI$167*_xlfn.NORM.DIST(F$3,economics!$AK$2:$AK$167,economics!$AJ$2:$AJ$167,TRUE)),0)</f>
        <v/>
      </c>
      <c r="G16" s="68">
        <f t="array" ref="G16">IF($D16,SUMPRODUCT((economics!$AG$2:$AG$167=$B16)*(economics!$D$2:$D$167="whr")*economics!$AI$2:$AI$167*_xlfn.NORM.DIST(G$3,economics!$AK$2:$AK$167,economics!$AJ$2:$AJ$167,TRUE)),0)</f>
        <v/>
      </c>
      <c r="H16" s="68">
        <f t="array" ref="H16">IF($D16,SUMPRODUCT((economics!$AG$2:$AG$167=$B16)*(economics!$D$2:$D$167="whr")*economics!$AI$2:$AI$167*_xlfn.NORM.DIST(H$3,economics!$AK$2:$AK$167,economics!$AJ$2:$AJ$167,TRUE)),0)</f>
        <v/>
      </c>
      <c r="I16" s="68">
        <f t="array" ref="I16">IF($D16,SUMPRODUCT((economics!$AG$2:$AG$167=$B16)*(economics!$D$2:$D$167="whr")*economics!$AI$2:$AI$167*_xlfn.NORM.DIST(I$3,economics!$AK$2:$AK$167,economics!$AJ$2:$AJ$167,TRUE)),0)</f>
        <v/>
      </c>
      <c r="J16" s="68">
        <f t="array" ref="J16">IF($D16,SUMPRODUCT((economics!$AG$2:$AG$167=$B16)*(economics!$D$2:$D$167="whr")*economics!$AI$2:$AI$167*_xlfn.NORM.DIST(J$3,economics!$AK$2:$AK$167,economics!$AJ$2:$AJ$167,TRUE)),0)</f>
        <v/>
      </c>
      <c r="K16" s="68">
        <f t="array" ref="K16">IF($D16,SUMPRODUCT((economics!$AG$2:$AG$167=$B16)*(economics!$D$2:$D$167="whr")*economics!$AI$2:$AI$167*_xlfn.NORM.DIST(K$3,economics!$AK$2:$AK$167,economics!$AJ$2:$AJ$167,TRUE)),0)</f>
        <v/>
      </c>
      <c r="L16" s="68">
        <f t="array" ref="L16">IF($D16,SUMPRODUCT((economics!$AG$2:$AG$167=$B16)*(economics!$D$2:$D$167="whr")*economics!$AI$2:$AI$167*_xlfn.NORM.DIST(L$3,economics!$AK$2:$AK$167,economics!$AJ$2:$AJ$167,TRUE)),0)</f>
        <v/>
      </c>
      <c r="M16" s="68">
        <f t="array" ref="M16">IF($D16,SUMPRODUCT((economics!$AG$2:$AG$167=$B16)*(economics!$D$2:$D$167="whr")*economics!$AI$2:$AI$167*_xlfn.NORM.DIST(M$3,economics!$AK$2:$AK$167,economics!$AJ$2:$AJ$167,TRUE)),0)</f>
        <v/>
      </c>
      <c r="N16" s="68">
        <f t="array" ref="N16">IF($D16,SUMPRODUCT((economics!$AG$2:$AG$167=$B16)*(economics!$D$2:$D$167="whr")*economics!$AI$2:$AI$167*_xlfn.NORM.DIST(N$3,economics!$AK$2:$AK$167,economics!$AJ$2:$AJ$167,TRUE)),0)</f>
        <v/>
      </c>
      <c r="O16" s="68">
        <f t="array" ref="O16">IF($D16,SUMPRODUCT((economics!$AG$2:$AG$167=$B16)*(economics!$D$2:$D$167="whr")*economics!$AI$2:$AI$167*_xlfn.NORM.DIST(O$3,economics!$AK$2:$AK$167,economics!$AJ$2:$AJ$167,TRUE)),0)</f>
        <v/>
      </c>
      <c r="P16" s="68">
        <f t="array" ref="P16">IF($D16,SUMPRODUCT((economics!$AG$2:$AG$167=$B16)*(economics!$D$2:$D$167="whr")*economics!$AI$2:$AI$167*_xlfn.NORM.DIST(P$3,economics!$AK$2:$AK$167,economics!$AJ$2:$AJ$167,TRUE)),0)</f>
        <v/>
      </c>
      <c r="Q16" s="68">
        <f t="array" ref="Q16">IF($D16,SUMPRODUCT((economics!$AG$2:$AG$167=$B16)*(economics!$D$2:$D$167="whr")*economics!$AI$2:$AI$167*_xlfn.NORM.DIST(Q$3,economics!$AK$2:$AK$167,economics!$AJ$2:$AJ$167,TRUE)),0)</f>
        <v/>
      </c>
      <c r="R16" s="68">
        <f t="array" ref="R16">IF($D16,SUMPRODUCT((economics!$AG$2:$AG$167=$B16)*(economics!$D$2:$D$167="whr")*economics!$AI$2:$AI$167*_xlfn.NORM.DIST(R$3,economics!$AK$2:$AK$167,economics!$AJ$2:$AJ$167,TRUE)),0)</f>
        <v/>
      </c>
      <c r="S16" s="68">
        <f t="array" ref="S16">IF($D16,SUMPRODUCT((economics!$AG$2:$AG$167=$B16)*(economics!$D$2:$D$167="whr")*economics!$AI$2:$AI$167*_xlfn.NORM.DIST(S$3,economics!$AK$2:$AK$167,economics!$AJ$2:$AJ$167,TRUE)),0)</f>
        <v/>
      </c>
      <c r="T16" s="68">
        <f t="array" ref="T16">IF($D16,SUMPRODUCT((economics!$AG$2:$AG$167=$B16)*(economics!$D$2:$D$167="whr")*economics!$AI$2:$AI$167*_xlfn.NORM.DIST(T$3,economics!$AK$2:$AK$167,economics!$AJ$2:$AJ$167,TRUE)),0)</f>
        <v/>
      </c>
      <c r="U16" s="68">
        <f t="array" ref="U16">IF($D16,SUMPRODUCT((economics!$AG$2:$AG$167=$B16)*(economics!$D$2:$D$167="whr")*economics!$AI$2:$AI$167*_xlfn.NORM.DIST(U$3,economics!$AK$2:$AK$167,economics!$AJ$2:$AJ$167,TRUE)),0)</f>
        <v/>
      </c>
      <c r="V16" s="68">
        <f t="array" ref="V16">IF($D16,SUMPRODUCT((economics!$AG$2:$AG$167=$B16)*(economics!$D$2:$D$167="whr")*economics!$AI$2:$AI$167*_xlfn.NORM.DIST(V$3,economics!$AK$2:$AK$167,economics!$AJ$2:$AJ$167,TRUE)),0)</f>
        <v/>
      </c>
      <c r="W16" s="68">
        <f t="array" ref="W16">IF($D16,SUMPRODUCT((economics!$AG$2:$AG$167=$B16)*(economics!$D$2:$D$167="whr")*economics!$AI$2:$AI$167*_xlfn.NORM.DIST(W$3,economics!$AK$2:$AK$167,economics!$AJ$2:$AJ$167,TRUE)),0)</f>
        <v/>
      </c>
      <c r="X16" s="68">
        <f t="array" ref="X16">IF($D16,SUMPRODUCT((economics!$AG$2:$AG$167=$B16)*(economics!$D$2:$D$167="whr")*economics!$AI$2:$AI$167*_xlfn.NORM.DIST(X$3,economics!$AK$2:$AK$167,economics!$AJ$2:$AJ$167,TRUE)),0)</f>
        <v/>
      </c>
      <c r="Y16" s="68">
        <f t="array" ref="Y16">IF($D16,SUMPRODUCT((economics!$AG$2:$AG$167=$B16)*(economics!$D$2:$D$167="whr")*economics!$AI$2:$AI$167*_xlfn.NORM.DIST(Y$3,economics!$AK$2:$AK$167,economics!$AJ$2:$AJ$167,TRUE)),0)</f>
        <v/>
      </c>
      <c r="Z16" s="68">
        <f t="array" ref="Z16">IF($D16,SUMPRODUCT((economics!$AG$2:$AG$167=$B16)*(economics!$D$2:$D$167="whr")*economics!$AI$2:$AI$167*_xlfn.NORM.DIST(Z$3,economics!$AK$2:$AK$167,economics!$AJ$2:$AJ$167,TRUE)),0)</f>
        <v/>
      </c>
      <c r="AA16" s="68">
        <f t="array" ref="AA16">IF($D16,SUMPRODUCT((economics!$AG$2:$AG$167=$B16)*(economics!$D$2:$D$167="whr")*economics!$AI$2:$AI$167*_xlfn.NORM.DIST(AA$3,economics!$AK$2:$AK$167,economics!$AJ$2:$AJ$167,TRUE)),0)</f>
        <v/>
      </c>
      <c r="AB16" s="68">
        <f t="array" ref="AB16">IF($D16,SUMPRODUCT((economics!$AG$2:$AG$167=$B16)*(economics!$D$2:$D$167="whr")*economics!$AI$2:$AI$167*_xlfn.NORM.DIST(AB$3,economics!$AK$2:$AK$167,economics!$AJ$2:$AJ$167,TRUE)),0)</f>
        <v/>
      </c>
      <c r="AC16" s="68">
        <f t="array" ref="AC16">IF($D16,SUMPRODUCT((economics!$AG$2:$AG$167=$B16)*(economics!$D$2:$D$167="whr")*economics!$AI$2:$AI$167*_xlfn.NORM.DIST(AC$3,economics!$AK$2:$AK$167,economics!$AJ$2:$AJ$167,TRUE)),0)</f>
        <v/>
      </c>
      <c r="AD16" s="68">
        <f t="array" ref="AD16">IF($D16,SUMPRODUCT((economics!$AG$2:$AG$167=$B16)*(economics!$D$2:$D$167="whr")*economics!$AI$2:$AI$167*_xlfn.NORM.DIST(AD$3,economics!$AK$2:$AK$167,economics!$AJ$2:$AJ$167,TRUE)),0)</f>
        <v/>
      </c>
      <c r="AE16" s="68">
        <f t="array" ref="AE16">IF($D16,SUMPRODUCT((economics!$AG$2:$AG$167=$B16)*(economics!$D$2:$D$167="whr")*economics!$AI$2:$AI$167*_xlfn.NORM.DIST(AE$3,economics!$AK$2:$AK$167,economics!$AJ$2:$AJ$167,TRUE)),0)</f>
        <v/>
      </c>
      <c r="AF16" s="68">
        <f t="array" ref="AF16">IF($D16,SUMPRODUCT((economics!$AG$2:$AG$167=$B16)*(economics!$D$2:$D$167="whr")*economics!$AI$2:$AI$167*_xlfn.NORM.DIST(AF$3,economics!$AK$2:$AK$167,economics!$AJ$2:$AJ$167,TRUE)),0)</f>
        <v/>
      </c>
      <c r="AG16" s="68">
        <f t="array" ref="AG16">IF($D16,SUMPRODUCT((economics!$AG$2:$AG$167=$B16)*(economics!$D$2:$D$167="whr")*economics!$AI$2:$AI$167*_xlfn.NORM.DIST(AG$3,economics!$AK$2:$AK$167,economics!$AJ$2:$AJ$167,TRUE)),0)</f>
        <v/>
      </c>
      <c r="AH16" s="68">
        <f t="array" ref="AH16">IF($D16,SUMPRODUCT((economics!$AG$2:$AG$167=$B16)*(economics!$D$2:$D$167="whr")*economics!$AI$2:$AI$167*_xlfn.NORM.DIST(AH$3,economics!$AK$2:$AK$167,economics!$AJ$2:$AJ$167,TRUE)),0)</f>
        <v/>
      </c>
      <c r="AI16" s="68">
        <f t="array" ref="AI16">IF($D16,SUMPRODUCT((economics!$AG$2:$AG$167=$B16)*(economics!$D$2:$D$167="whr")*economics!$AI$2:$AI$167*_xlfn.NORM.DIST(AI$3,economics!$AK$2:$AK$167,economics!$AJ$2:$AJ$167,TRUE)),0)</f>
        <v/>
      </c>
      <c r="AJ16" s="68">
        <f t="array" ref="AJ16">IF($D16,SUMPRODUCT((economics!$AG$2:$AG$167=$B16)*(economics!$D$2:$D$167="whr")*economics!$AI$2:$AI$167*_xlfn.NORM.DIST(AJ$3,economics!$AK$2:$AK$167,economics!$AJ$2:$AJ$167,TRUE)),0)</f>
        <v/>
      </c>
      <c r="AK16" s="68">
        <f t="array" ref="AK16">IF($D16,SUMPRODUCT((economics!$AG$2:$AG$167=$B16)*(economics!$D$2:$D$167="whr")*economics!$AI$2:$AI$167*_xlfn.NORM.DIST(AK$3,economics!$AK$2:$AK$167,economics!$AJ$2:$AJ$167,TRUE)),0)</f>
        <v/>
      </c>
      <c r="AL16" s="68">
        <f t="array" ref="AL16">IF($D16,SUMPRODUCT((economics!$AG$2:$AG$167=$B16)*(economics!$D$2:$D$167="whr")*economics!$AI$2:$AI$167*_xlfn.NORM.DIST(AL$3,economics!$AK$2:$AK$167,economics!$AJ$2:$AJ$167,TRUE)),0)</f>
        <v/>
      </c>
      <c r="AM16" s="68">
        <f t="array" ref="AM16">IF($D16,SUMPRODUCT((economics!$AG$2:$AG$167=$B16)*(economics!$D$2:$D$167="whr")*economics!$AI$2:$AI$167*_xlfn.NORM.DIST(AM$3,economics!$AK$2:$AK$167,economics!$AJ$2:$AJ$167,TRUE)),0)</f>
        <v/>
      </c>
      <c r="AN16" s="68">
        <f t="array" ref="AN16">IF($D16,SUMPRODUCT((economics!$AG$2:$AG$167=$B16)*(economics!$D$2:$D$167="whr")*economics!$AI$2:$AI$167*_xlfn.NORM.DIST(AN$3,economics!$AK$2:$AK$167,economics!$AJ$2:$AJ$167,TRUE)),0)</f>
        <v/>
      </c>
      <c r="AO16" s="68">
        <f t="array" ref="AO16">IF($D16,SUMPRODUCT((economics!$AG$2:$AG$167=$B16)*(economics!$D$2:$D$167="whr")*economics!$AI$2:$AI$167*_xlfn.NORM.DIST(AO$3,economics!$AK$2:$AK$167,economics!$AJ$2:$AJ$167,TRUE)),0)</f>
        <v/>
      </c>
      <c r="AP16" s="68">
        <f t="array" ref="AP16">IF($D16,SUMPRODUCT((economics!$AG$2:$AG$167=$B16)*(economics!$D$2:$D$167="whr")*economics!$AI$2:$AI$167*_xlfn.NORM.DIST(AP$3,economics!$AK$2:$AK$167,economics!$AJ$2:$AJ$167,TRUE)),0)</f>
        <v/>
      </c>
      <c r="AQ16" s="68">
        <f t="array" ref="AQ16">IF($D16,SUMPRODUCT((economics!$AG$2:$AG$167=$B16)*(economics!$D$2:$D$167="whr")*economics!$AI$2:$AI$167*_xlfn.NORM.DIST(AQ$3,economics!$AK$2:$AK$167,economics!$AJ$2:$AJ$167,TRUE)),0)</f>
        <v/>
      </c>
      <c r="AR16" s="68">
        <f t="array" ref="AR16">IF($D16,SUMPRODUCT((economics!$AG$2:$AG$167=$B16)*(economics!$D$2:$D$167="whr")*economics!$AI$2:$AI$167*_xlfn.NORM.DIST(AR$3,economics!$AK$2:$AK$167,economics!$AJ$2:$AJ$167,TRUE)),0)</f>
        <v/>
      </c>
      <c r="AS16" s="68">
        <f t="array" ref="AS16">IF($D16,SUMPRODUCT((economics!$AG$2:$AG$167=$B16)*(economics!$D$2:$D$167="whr")*economics!$AI$2:$AI$167*_xlfn.NORM.DIST(AS$3,economics!$AK$2:$AK$167,economics!$AJ$2:$AJ$167,TRUE)),0)</f>
        <v/>
      </c>
      <c r="AT16" s="68">
        <f t="array" ref="AT16">IF($D16,SUMPRODUCT((economics!$AG$2:$AG$167=$B16)*(economics!$D$2:$D$167="whr")*economics!$AI$2:$AI$167*_xlfn.NORM.DIST(AT$3,economics!$AK$2:$AK$167,economics!$AJ$2:$AJ$167,TRUE)),0)</f>
        <v/>
      </c>
      <c r="AU16" s="68">
        <f t="array" ref="AU16">IF($D16,SUMPRODUCT((economics!$AG$2:$AG$167=$B16)*(economics!$D$2:$D$167="whr")*economics!$AI$2:$AI$167*_xlfn.NORM.DIST(AU$3,economics!$AK$2:$AK$167,economics!$AJ$2:$AJ$167,TRUE)),0)</f>
        <v/>
      </c>
      <c r="AV16" s="68">
        <f t="array" ref="AV16">IF($D16,SUMPRODUCT((economics!$AG$2:$AG$167=$B16)*(economics!$D$2:$D$167="whr")*economics!$AI$2:$AI$167*_xlfn.NORM.DIST(AV$3,economics!$AK$2:$AK$167,economics!$AJ$2:$AJ$167,TRUE)),0)</f>
        <v/>
      </c>
      <c r="AW16" s="68">
        <f t="array" ref="AW16">IF($D16,SUMPRODUCT((economics!$AG$2:$AG$167=$B16)*(economics!$D$2:$D$167="whr")*economics!$AI$2:$AI$167*_xlfn.NORM.DIST(AW$3,economics!$AK$2:$AK$167,economics!$AJ$2:$AJ$167,TRUE)),0)</f>
        <v/>
      </c>
      <c r="AX16" s="68">
        <f t="array" ref="AX16">IF($D16,SUMPRODUCT((economics!$AG$2:$AG$167=$B16)*(economics!$D$2:$D$167="whr")*economics!$AI$2:$AI$167*_xlfn.NORM.DIST(AX$3,economics!$AK$2:$AK$167,economics!$AJ$2:$AJ$167,TRUE)),0)</f>
        <v/>
      </c>
      <c r="AY16" s="68">
        <f t="array" ref="AY16">IF($D16,SUMPRODUCT((economics!$AG$2:$AG$167=$B16)*(economics!$D$2:$D$167="whr")*economics!$AI$2:$AI$167*_xlfn.NORM.DIST(AY$3,economics!$AK$2:$AK$167,economics!$AJ$2:$AJ$167,TRUE)),0)</f>
        <v/>
      </c>
      <c r="AZ16" s="68">
        <f t="array" ref="AZ16">IF($D16,SUMPRODUCT((economics!$AG$2:$AG$167=$B16)*(economics!$D$2:$D$167="whr")*economics!$AI$2:$AI$167*_xlfn.NORM.DIST(AZ$3,economics!$AK$2:$AK$167,economics!$AJ$2:$AJ$167,TRUE)),0)</f>
        <v/>
      </c>
      <c r="BA16" s="68">
        <f t="array" ref="BA16">IF($D16,SUMPRODUCT((economics!$AG$2:$AG$167=$B16)*(economics!$D$2:$D$167="whr")*economics!$AI$2:$AI$167*_xlfn.NORM.DIST(BA$3,economics!$AK$2:$AK$167,economics!$AJ$2:$AJ$167,TRUE)),0)</f>
        <v/>
      </c>
      <c r="BB16" s="68">
        <f t="array" ref="BB16">IF($D16,SUMPRODUCT((economics!$AG$2:$AG$167=$B16)*(economics!$D$2:$D$167="whr")*economics!$AI$2:$AI$167*_xlfn.NORM.DIST(BB$3,economics!$AK$2:$AK$167,economics!$AJ$2:$AJ$167,TRUE)),0)</f>
        <v/>
      </c>
      <c r="BC16" s="68">
        <f t="array" ref="BC16">IF($D16,SUMPRODUCT((economics!$AG$2:$AG$167=$B16)*(economics!$D$2:$D$167="whr")*economics!$AI$2:$AI$167*_xlfn.NORM.DIST(BC$3,economics!$AK$2:$AK$167,economics!$AJ$2:$AJ$167,TRUE)),0)</f>
        <v/>
      </c>
      <c r="BD16" s="68">
        <f t="array" ref="BD16">IF($D16,SUMPRODUCT((economics!$AG$2:$AG$167=$B16)*(economics!$D$2:$D$167="whr")*economics!$AI$2:$AI$167*_xlfn.NORM.DIST(BD$3,economics!$AK$2:$AK$167,economics!$AJ$2:$AJ$167,TRUE)),0)</f>
        <v/>
      </c>
      <c r="BE16" s="68">
        <f t="array" ref="BE16">IF($D16,SUMPRODUCT((economics!$AG$2:$AG$167=$B16)*(economics!$D$2:$D$167="whr")*economics!$AI$2:$AI$167*_xlfn.NORM.DIST(BE$3,economics!$AK$2:$AK$167,economics!$AJ$2:$AJ$167,TRUE)),0)</f>
        <v/>
      </c>
      <c r="BF16" s="68">
        <f t="array" ref="BF16">IF($D16,SUMPRODUCT((economics!$AG$2:$AG$167=$B16)*(economics!$D$2:$D$167="whr")*economics!$AI$2:$AI$167*_xlfn.NORM.DIST(BF$3,economics!$AK$2:$AK$167,economics!$AJ$2:$AJ$167,TRUE)),0)</f>
        <v/>
      </c>
      <c r="BG16" s="68">
        <f t="array" ref="BG16">IF($D16,SUMPRODUCT((economics!$AG$2:$AG$167=$B16)*(economics!$D$2:$D$167="whr")*economics!$AI$2:$AI$167*_xlfn.NORM.DIST(BG$3,economics!$AK$2:$AK$167,economics!$AJ$2:$AJ$167,TRUE)),0)</f>
        <v/>
      </c>
      <c r="BH16" s="68">
        <f t="array" ref="BH16">IF($D16,SUMPRODUCT((economics!$AG$2:$AG$167=$B16)*(economics!$D$2:$D$167="whr")*economics!$AI$2:$AI$167*_xlfn.NORM.DIST(BH$3,economics!$AK$2:$AK$167,economics!$AJ$2:$AJ$167,TRUE)),0)</f>
        <v/>
      </c>
      <c r="BI16" s="68">
        <f t="array" ref="BI16">IF($D16,SUMPRODUCT((economics!$AG$2:$AG$167=$B16)*(economics!$D$2:$D$167="whr")*economics!$AI$2:$AI$167*_xlfn.NORM.DIST(BI$3,economics!$AK$2:$AK$167,economics!$AJ$2:$AJ$167,TRUE)),0)</f>
        <v/>
      </c>
      <c r="BJ16" s="68">
        <f t="array" ref="BJ16">IF($D16,SUMPRODUCT((economics!$AG$2:$AG$167=$B16)*(economics!$D$2:$D$167="whr")*economics!$AI$2:$AI$167*_xlfn.NORM.DIST(BJ$3,economics!$AK$2:$AK$167,economics!$AJ$2:$AJ$167,TRUE)),0)</f>
        <v/>
      </c>
      <c r="BK16" s="68">
        <f t="array" ref="BK16">IF($D16,SUMPRODUCT((economics!$AG$2:$AG$167=$B16)*(economics!$D$2:$D$167="whr")*economics!$AI$2:$AI$167*_xlfn.NORM.DIST(BK$3,economics!$AK$2:$AK$167,economics!$AJ$2:$AJ$167,TRUE)),0)</f>
        <v/>
      </c>
      <c r="BL16" s="68">
        <f t="array" ref="BL16">IF($D16,SUMPRODUCT((economics!$AG$2:$AG$167=$B16)*(economics!$D$2:$D$167="whr")*economics!$AI$2:$AI$167*_xlfn.NORM.DIST(BL$3,economics!$AK$2:$AK$167,economics!$AJ$2:$AJ$167,TRUE)),0)</f>
        <v/>
      </c>
      <c r="BM16" s="68">
        <f t="array" ref="BM16">IF($D16,SUMPRODUCT((economics!$AG$2:$AG$167=$B16)*(economics!$D$2:$D$167="whr")*economics!$AI$2:$AI$167*_xlfn.NORM.DIST(BM$3,economics!$AK$2:$AK$167,economics!$AJ$2:$AJ$167,TRUE)),0)</f>
        <v/>
      </c>
      <c r="BN16" s="68">
        <f t="array" ref="BN16">IF($D16,SUMPRODUCT((economics!$AG$2:$AG$167=$B16)*(economics!$D$2:$D$167="whr")*economics!$AI$2:$AI$167*_xlfn.NORM.DIST(BN$3,economics!$AK$2:$AK$167,economics!$AJ$2:$AJ$167,TRUE)),0)</f>
        <v/>
      </c>
      <c r="BO16" s="68">
        <f t="array" ref="BO16">IF($D16,SUMPRODUCT((economics!$AG$2:$AG$167=$B16)*(economics!$D$2:$D$167="whr")*economics!$AI$2:$AI$167*_xlfn.NORM.DIST(BO$3,economics!$AK$2:$AK$167,economics!$AJ$2:$AJ$167,TRUE)),0)</f>
        <v/>
      </c>
      <c r="BP16" s="68">
        <f t="array" ref="BP16">IF($D16,SUMPRODUCT((economics!$AG$2:$AG$167=$B16)*(economics!$D$2:$D$167="whr")*economics!$AI$2:$AI$167*_xlfn.NORM.DIST(BP$3,economics!$AK$2:$AK$167,economics!$AJ$2:$AJ$167,TRUE)),0)</f>
        <v/>
      </c>
      <c r="BQ16" s="68">
        <f t="array" ref="BQ16">IF($D16,SUMPRODUCT((economics!$AG$2:$AG$167=$B16)*(economics!$D$2:$D$167="whr")*economics!$AI$2:$AI$167*_xlfn.NORM.DIST(BQ$3,economics!$AK$2:$AK$167,economics!$AJ$2:$AJ$167,TRUE)),0)</f>
        <v/>
      </c>
      <c r="BR16" s="68">
        <f t="array" ref="BR16">IF($D16,SUMPRODUCT((economics!$AG$2:$AG$167=$B16)*(economics!$D$2:$D$167="whr")*economics!$AI$2:$AI$167*_xlfn.NORM.DIST(BR$3,economics!$AK$2:$AK$167,economics!$AJ$2:$AJ$167,TRUE)),0)</f>
        <v/>
      </c>
      <c r="BS16" s="68">
        <f t="array" ref="BS16">IF($D16,SUMPRODUCT((economics!$AG$2:$AG$167=$B16)*(economics!$D$2:$D$167="whr")*economics!$AI$2:$AI$167*_xlfn.NORM.DIST(BS$3,economics!$AK$2:$AK$167,economics!$AJ$2:$AJ$167,TRUE)),0)</f>
        <v/>
      </c>
      <c r="BT16" s="68">
        <f t="array" ref="BT16">IF($D16,SUMPRODUCT((economics!$AG$2:$AG$167=$B16)*(economics!$D$2:$D$167="whr")*economics!$AI$2:$AI$167*_xlfn.NORM.DIST(BT$3,economics!$AK$2:$AK$167,economics!$AJ$2:$AJ$167,TRUE)),0)</f>
        <v/>
      </c>
      <c r="BU16" s="68">
        <f t="array" ref="BU16">IF($D16,SUMPRODUCT((economics!$AG$2:$AG$167=$B16)*(economics!$D$2:$D$167="whr")*economics!$AI$2:$AI$167*_xlfn.NORM.DIST(BU$3,economics!$AK$2:$AK$167,economics!$AJ$2:$AJ$167,TRUE)),0)</f>
        <v/>
      </c>
      <c r="BV16" s="68">
        <f t="array" ref="BV16">IF($D16,SUMPRODUCT((economics!$AG$2:$AG$167=$B16)*(economics!$D$2:$D$167="whr")*economics!$AI$2:$AI$167*_xlfn.NORM.DIST(BV$3,economics!$AK$2:$AK$167,economics!$AJ$2:$AJ$167,TRUE)),0)</f>
        <v/>
      </c>
      <c r="BW16" s="68">
        <f t="array" ref="BW16">IF($D16,SUMPRODUCT((economics!$AG$2:$AG$167=$B16)*(economics!$D$2:$D$167="whr")*economics!$AI$2:$AI$167*_xlfn.NORM.DIST(BW$3,economics!$AK$2:$AK$167,economics!$AJ$2:$AJ$167,TRUE)),0)</f>
        <v/>
      </c>
      <c r="BX16" s="68">
        <f t="array" ref="BX16">IF($D16,SUMPRODUCT((economics!$AG$2:$AG$167=$B16)*(economics!$D$2:$D$167="whr")*economics!$AI$2:$AI$167*_xlfn.NORM.DIST(BX$3,economics!$AK$2:$AK$167,economics!$AJ$2:$AJ$167,TRUE)),0)</f>
        <v/>
      </c>
      <c r="BY16" s="68">
        <f t="array" ref="BY16">IF($D16,SUMPRODUCT((economics!$AG$2:$AG$167=$B16)*(economics!$D$2:$D$167="whr")*economics!$AI$2:$AI$167*_xlfn.NORM.DIST(BY$3,economics!$AK$2:$AK$167,economics!$AJ$2:$AJ$167,TRUE)),0)</f>
        <v/>
      </c>
      <c r="BZ16" s="68">
        <f t="array" ref="BZ16">IF($D16,SUMPRODUCT((economics!$AG$2:$AG$167=$B16)*(economics!$D$2:$D$167="whr")*economics!$AI$2:$AI$167*_xlfn.NORM.DIST(BZ$3,economics!$AK$2:$AK$167,economics!$AJ$2:$AJ$167,TRUE)),0)</f>
        <v/>
      </c>
      <c r="CA16" s="68">
        <f t="array" ref="CA16">IF($D16,SUMPRODUCT((economics!$AG$2:$AG$167=$B16)*(economics!$D$2:$D$167="whr")*economics!$AI$2:$AI$167*_xlfn.NORM.DIST(CA$3,economics!$AK$2:$AK$167,economics!$AJ$2:$AJ$167,TRUE)),0)</f>
        <v/>
      </c>
      <c r="CB16" s="68">
        <f t="array" ref="CB16">IF($D16,SUMPRODUCT((economics!$AG$2:$AG$167=$B16)*(economics!$D$2:$D$167="whr")*economics!$AI$2:$AI$167*_xlfn.NORM.DIST(CB$3,economics!$AK$2:$AK$167,economics!$AJ$2:$AJ$167,TRUE)),0)</f>
        <v/>
      </c>
      <c r="CC16" s="68">
        <f t="array" ref="CC16">IF($D16,SUMPRODUCT((economics!$AG$2:$AG$167=$B16)*(economics!$D$2:$D$167="whr")*economics!$AI$2:$AI$167*_xlfn.NORM.DIST(CC$3,economics!$AK$2:$AK$167,economics!$AJ$2:$AJ$167,TRUE)),0)</f>
        <v/>
      </c>
      <c r="CD16" s="68">
        <f t="array" ref="CD16">IF($D16,SUMPRODUCT((economics!$AG$2:$AG$167=$B16)*(economics!$D$2:$D$167="whr")*economics!$AI$2:$AI$167*_xlfn.NORM.DIST(CD$3,economics!$AK$2:$AK$167,economics!$AJ$2:$AJ$167,TRUE)),0)</f>
        <v/>
      </c>
      <c r="CE16" s="68">
        <f t="array" ref="CE16">IF($D16,SUMPRODUCT((economics!$AG$2:$AG$167=$B16)*(economics!$D$2:$D$167="whr")*economics!$AI$2:$AI$167*_xlfn.NORM.DIST(CE$3,economics!$AK$2:$AK$167,economics!$AJ$2:$AJ$167,TRUE)),0)</f>
        <v/>
      </c>
      <c r="CF16" s="68">
        <f t="array" ref="CF16">IF($D16,SUMPRODUCT((economics!$AG$2:$AG$167=$B16)*(economics!$D$2:$D$167="whr")*economics!$AI$2:$AI$167*_xlfn.NORM.DIST(CF$3,economics!$AK$2:$AK$167,economics!$AJ$2:$AJ$167,TRUE)),0)</f>
        <v/>
      </c>
      <c r="CG16" s="68">
        <f t="array" ref="CG16">IF($D16,SUMPRODUCT((economics!$AG$2:$AG$167=$B16)*(economics!$D$2:$D$167="whr")*economics!$AI$2:$AI$167*_xlfn.NORM.DIST(CG$3,economics!$AK$2:$AK$167,economics!$AJ$2:$AJ$167,TRUE)),0)</f>
        <v/>
      </c>
      <c r="CH16" s="68">
        <f t="array" ref="CH16">IF($D16,SUMPRODUCT((economics!$AG$2:$AG$167=$B16)*(economics!$D$2:$D$167="whr")*economics!$AI$2:$AI$167*_xlfn.NORM.DIST(CH$3,economics!$AK$2:$AK$167,economics!$AJ$2:$AJ$167,TRUE)),0)</f>
        <v/>
      </c>
    </row>
    <row r="17">
      <c r="A17">
        <f>WHRPbI!A15</f>
        <v/>
      </c>
      <c r="B17" t="n">
        <v>241</v>
      </c>
      <c r="C17" s="68">
        <f>WHRPbI!B15</f>
        <v/>
      </c>
      <c r="D17">
        <f>ISNUMBER(MATCH($B17,'energy base (MECS)'!$K$4:$K$9,0))</f>
        <v/>
      </c>
      <c r="E17" s="68">
        <f t="array" ref="E17">IF($D17,SUMPRODUCT((economics!$AG$2:$AG$167=$B17)*(economics!$D$2:$D$167="whr")*economics!$AI$2:$AI$167*_xlfn.NORM.DIST(E$3,economics!$AK$2:$AK$167,economics!$AJ$2:$AJ$167,TRUE)),0)</f>
        <v/>
      </c>
      <c r="F17" s="68">
        <f t="array" ref="F17">IF($D17,SUMPRODUCT((economics!$AG$2:$AG$167=$B17)*(economics!$D$2:$D$167="whr")*economics!$AI$2:$AI$167*_xlfn.NORM.DIST(F$3,economics!$AK$2:$AK$167,economics!$AJ$2:$AJ$167,TRUE)),0)</f>
        <v/>
      </c>
      <c r="G17" s="68">
        <f t="array" ref="G17">IF($D17,SUMPRODUCT((economics!$AG$2:$AG$167=$B17)*(economics!$D$2:$D$167="whr")*economics!$AI$2:$AI$167*_xlfn.NORM.DIST(G$3,economics!$AK$2:$AK$167,economics!$AJ$2:$AJ$167,TRUE)),0)</f>
        <v/>
      </c>
      <c r="H17" s="68">
        <f t="array" ref="H17">IF($D17,SUMPRODUCT((economics!$AG$2:$AG$167=$B17)*(economics!$D$2:$D$167="whr")*economics!$AI$2:$AI$167*_xlfn.NORM.DIST(H$3,economics!$AK$2:$AK$167,economics!$AJ$2:$AJ$167,TRUE)),0)</f>
        <v/>
      </c>
      <c r="I17" s="68">
        <f t="array" ref="I17">IF($D17,SUMPRODUCT((economics!$AG$2:$AG$167=$B17)*(economics!$D$2:$D$167="whr")*economics!$AI$2:$AI$167*_xlfn.NORM.DIST(I$3,economics!$AK$2:$AK$167,economics!$AJ$2:$AJ$167,TRUE)),0)</f>
        <v/>
      </c>
      <c r="J17" s="68">
        <f t="array" ref="J17">IF($D17,SUMPRODUCT((economics!$AG$2:$AG$167=$B17)*(economics!$D$2:$D$167="whr")*economics!$AI$2:$AI$167*_xlfn.NORM.DIST(J$3,economics!$AK$2:$AK$167,economics!$AJ$2:$AJ$167,TRUE)),0)</f>
        <v/>
      </c>
      <c r="K17" s="68">
        <f t="array" ref="K17">IF($D17,SUMPRODUCT((economics!$AG$2:$AG$167=$B17)*(economics!$D$2:$D$167="whr")*economics!$AI$2:$AI$167*_xlfn.NORM.DIST(K$3,economics!$AK$2:$AK$167,economics!$AJ$2:$AJ$167,TRUE)),0)</f>
        <v/>
      </c>
      <c r="L17" s="68">
        <f t="array" ref="L17">IF($D17,SUMPRODUCT((economics!$AG$2:$AG$167=$B17)*(economics!$D$2:$D$167="whr")*economics!$AI$2:$AI$167*_xlfn.NORM.DIST(L$3,economics!$AK$2:$AK$167,economics!$AJ$2:$AJ$167,TRUE)),0)</f>
        <v/>
      </c>
      <c r="M17" s="68">
        <f t="array" ref="M17">IF($D17,SUMPRODUCT((economics!$AG$2:$AG$167=$B17)*(economics!$D$2:$D$167="whr")*economics!$AI$2:$AI$167*_xlfn.NORM.DIST(M$3,economics!$AK$2:$AK$167,economics!$AJ$2:$AJ$167,TRUE)),0)</f>
        <v/>
      </c>
      <c r="N17" s="68">
        <f t="array" ref="N17">IF($D17,SUMPRODUCT((economics!$AG$2:$AG$167=$B17)*(economics!$D$2:$D$167="whr")*economics!$AI$2:$AI$167*_xlfn.NORM.DIST(N$3,economics!$AK$2:$AK$167,economics!$AJ$2:$AJ$167,TRUE)),0)</f>
        <v/>
      </c>
      <c r="O17" s="68">
        <f t="array" ref="O17">IF($D17,SUMPRODUCT((economics!$AG$2:$AG$167=$B17)*(economics!$D$2:$D$167="whr")*economics!$AI$2:$AI$167*_xlfn.NORM.DIST(O$3,economics!$AK$2:$AK$167,economics!$AJ$2:$AJ$167,TRUE)),0)</f>
        <v/>
      </c>
      <c r="P17" s="68">
        <f t="array" ref="P17">IF($D17,SUMPRODUCT((economics!$AG$2:$AG$167=$B17)*(economics!$D$2:$D$167="whr")*economics!$AI$2:$AI$167*_xlfn.NORM.DIST(P$3,economics!$AK$2:$AK$167,economics!$AJ$2:$AJ$167,TRUE)),0)</f>
        <v/>
      </c>
      <c r="Q17" s="68">
        <f t="array" ref="Q17">IF($D17,SUMPRODUCT((economics!$AG$2:$AG$167=$B17)*(economics!$D$2:$D$167="whr")*economics!$AI$2:$AI$167*_xlfn.NORM.DIST(Q$3,economics!$AK$2:$AK$167,economics!$AJ$2:$AJ$167,TRUE)),0)</f>
        <v/>
      </c>
      <c r="R17" s="68">
        <f t="array" ref="R17">IF($D17,SUMPRODUCT((economics!$AG$2:$AG$167=$B17)*(economics!$D$2:$D$167="whr")*economics!$AI$2:$AI$167*_xlfn.NORM.DIST(R$3,economics!$AK$2:$AK$167,economics!$AJ$2:$AJ$167,TRUE)),0)</f>
        <v/>
      </c>
      <c r="S17" s="68">
        <f t="array" ref="S17">IF($D17,SUMPRODUCT((economics!$AG$2:$AG$167=$B17)*(economics!$D$2:$D$167="whr")*economics!$AI$2:$AI$167*_xlfn.NORM.DIST(S$3,economics!$AK$2:$AK$167,economics!$AJ$2:$AJ$167,TRUE)),0)</f>
        <v/>
      </c>
      <c r="T17" s="68">
        <f t="array" ref="T17">IF($D17,SUMPRODUCT((economics!$AG$2:$AG$167=$B17)*(economics!$D$2:$D$167="whr")*economics!$AI$2:$AI$167*_xlfn.NORM.DIST(T$3,economics!$AK$2:$AK$167,economics!$AJ$2:$AJ$167,TRUE)),0)</f>
        <v/>
      </c>
      <c r="U17" s="68">
        <f t="array" ref="U17">IF($D17,SUMPRODUCT((economics!$AG$2:$AG$167=$B17)*(economics!$D$2:$D$167="whr")*economics!$AI$2:$AI$167*_xlfn.NORM.DIST(U$3,economics!$AK$2:$AK$167,economics!$AJ$2:$AJ$167,TRUE)),0)</f>
        <v/>
      </c>
      <c r="V17" s="68">
        <f t="array" ref="V17">IF($D17,SUMPRODUCT((economics!$AG$2:$AG$167=$B17)*(economics!$D$2:$D$167="whr")*economics!$AI$2:$AI$167*_xlfn.NORM.DIST(V$3,economics!$AK$2:$AK$167,economics!$AJ$2:$AJ$167,TRUE)),0)</f>
        <v/>
      </c>
      <c r="W17" s="68">
        <f t="array" ref="W17">IF($D17,SUMPRODUCT((economics!$AG$2:$AG$167=$B17)*(economics!$D$2:$D$167="whr")*economics!$AI$2:$AI$167*_xlfn.NORM.DIST(W$3,economics!$AK$2:$AK$167,economics!$AJ$2:$AJ$167,TRUE)),0)</f>
        <v/>
      </c>
      <c r="X17" s="68">
        <f t="array" ref="X17">IF($D17,SUMPRODUCT((economics!$AG$2:$AG$167=$B17)*(economics!$D$2:$D$167="whr")*economics!$AI$2:$AI$167*_xlfn.NORM.DIST(X$3,economics!$AK$2:$AK$167,economics!$AJ$2:$AJ$167,TRUE)),0)</f>
        <v/>
      </c>
      <c r="Y17" s="68">
        <f t="array" ref="Y17">IF($D17,SUMPRODUCT((economics!$AG$2:$AG$167=$B17)*(economics!$D$2:$D$167="whr")*economics!$AI$2:$AI$167*_xlfn.NORM.DIST(Y$3,economics!$AK$2:$AK$167,economics!$AJ$2:$AJ$167,TRUE)),0)</f>
        <v/>
      </c>
      <c r="Z17" s="68">
        <f t="array" ref="Z17">IF($D17,SUMPRODUCT((economics!$AG$2:$AG$167=$B17)*(economics!$D$2:$D$167="whr")*economics!$AI$2:$AI$167*_xlfn.NORM.DIST(Z$3,economics!$AK$2:$AK$167,economics!$AJ$2:$AJ$167,TRUE)),0)</f>
        <v/>
      </c>
      <c r="AA17" s="68">
        <f t="array" ref="AA17">IF($D17,SUMPRODUCT((economics!$AG$2:$AG$167=$B17)*(economics!$D$2:$D$167="whr")*economics!$AI$2:$AI$167*_xlfn.NORM.DIST(AA$3,economics!$AK$2:$AK$167,economics!$AJ$2:$AJ$167,TRUE)),0)</f>
        <v/>
      </c>
      <c r="AB17" s="68">
        <f t="array" ref="AB17">IF($D17,SUMPRODUCT((economics!$AG$2:$AG$167=$B17)*(economics!$D$2:$D$167="whr")*economics!$AI$2:$AI$167*_xlfn.NORM.DIST(AB$3,economics!$AK$2:$AK$167,economics!$AJ$2:$AJ$167,TRUE)),0)</f>
        <v/>
      </c>
      <c r="AC17" s="68">
        <f t="array" ref="AC17">IF($D17,SUMPRODUCT((economics!$AG$2:$AG$167=$B17)*(economics!$D$2:$D$167="whr")*economics!$AI$2:$AI$167*_xlfn.NORM.DIST(AC$3,economics!$AK$2:$AK$167,economics!$AJ$2:$AJ$167,TRUE)),0)</f>
        <v/>
      </c>
      <c r="AD17" s="68">
        <f t="array" ref="AD17">IF($D17,SUMPRODUCT((economics!$AG$2:$AG$167=$B17)*(economics!$D$2:$D$167="whr")*economics!$AI$2:$AI$167*_xlfn.NORM.DIST(AD$3,economics!$AK$2:$AK$167,economics!$AJ$2:$AJ$167,TRUE)),0)</f>
        <v/>
      </c>
      <c r="AE17" s="68">
        <f t="array" ref="AE17">IF($D17,SUMPRODUCT((economics!$AG$2:$AG$167=$B17)*(economics!$D$2:$D$167="whr")*economics!$AI$2:$AI$167*_xlfn.NORM.DIST(AE$3,economics!$AK$2:$AK$167,economics!$AJ$2:$AJ$167,TRUE)),0)</f>
        <v/>
      </c>
      <c r="AF17" s="68">
        <f t="array" ref="AF17">IF($D17,SUMPRODUCT((economics!$AG$2:$AG$167=$B17)*(economics!$D$2:$D$167="whr")*economics!$AI$2:$AI$167*_xlfn.NORM.DIST(AF$3,economics!$AK$2:$AK$167,economics!$AJ$2:$AJ$167,TRUE)),0)</f>
        <v/>
      </c>
      <c r="AG17" s="68">
        <f t="array" ref="AG17">IF($D17,SUMPRODUCT((economics!$AG$2:$AG$167=$B17)*(economics!$D$2:$D$167="whr")*economics!$AI$2:$AI$167*_xlfn.NORM.DIST(AG$3,economics!$AK$2:$AK$167,economics!$AJ$2:$AJ$167,TRUE)),0)</f>
        <v/>
      </c>
      <c r="AH17" s="68">
        <f t="array" ref="AH17">IF($D17,SUMPRODUCT((economics!$AG$2:$AG$167=$B17)*(economics!$D$2:$D$167="whr")*economics!$AI$2:$AI$167*_xlfn.NORM.DIST(AH$3,economics!$AK$2:$AK$167,economics!$AJ$2:$AJ$167,TRUE)),0)</f>
        <v/>
      </c>
      <c r="AI17" s="68">
        <f t="array" ref="AI17">IF($D17,SUMPRODUCT((economics!$AG$2:$AG$167=$B17)*(economics!$D$2:$D$167="whr")*economics!$AI$2:$AI$167*_xlfn.NORM.DIST(AI$3,economics!$AK$2:$AK$167,economics!$AJ$2:$AJ$167,TRUE)),0)</f>
        <v/>
      </c>
      <c r="AJ17" s="68">
        <f t="array" ref="AJ17">IF($D17,SUMPRODUCT((economics!$AG$2:$AG$167=$B17)*(economics!$D$2:$D$167="whr")*economics!$AI$2:$AI$167*_xlfn.NORM.DIST(AJ$3,economics!$AK$2:$AK$167,economics!$AJ$2:$AJ$167,TRUE)),0)</f>
        <v/>
      </c>
      <c r="AK17" s="68">
        <f t="array" ref="AK17">IF($D17,SUMPRODUCT((economics!$AG$2:$AG$167=$B17)*(economics!$D$2:$D$167="whr")*economics!$AI$2:$AI$167*_xlfn.NORM.DIST(AK$3,economics!$AK$2:$AK$167,economics!$AJ$2:$AJ$167,TRUE)),0)</f>
        <v/>
      </c>
      <c r="AL17" s="68">
        <f t="array" ref="AL17">IF($D17,SUMPRODUCT((economics!$AG$2:$AG$167=$B17)*(economics!$D$2:$D$167="whr")*economics!$AI$2:$AI$167*_xlfn.NORM.DIST(AL$3,economics!$AK$2:$AK$167,economics!$AJ$2:$AJ$167,TRUE)),0)</f>
        <v/>
      </c>
      <c r="AM17" s="68">
        <f t="array" ref="AM17">IF($D17,SUMPRODUCT((economics!$AG$2:$AG$167=$B17)*(economics!$D$2:$D$167="whr")*economics!$AI$2:$AI$167*_xlfn.NORM.DIST(AM$3,economics!$AK$2:$AK$167,economics!$AJ$2:$AJ$167,TRUE)),0)</f>
        <v/>
      </c>
      <c r="AN17" s="68">
        <f t="array" ref="AN17">IF($D17,SUMPRODUCT((economics!$AG$2:$AG$167=$B17)*(economics!$D$2:$D$167="whr")*economics!$AI$2:$AI$167*_xlfn.NORM.DIST(AN$3,economics!$AK$2:$AK$167,economics!$AJ$2:$AJ$167,TRUE)),0)</f>
        <v/>
      </c>
      <c r="AO17" s="68">
        <f t="array" ref="AO17">IF($D17,SUMPRODUCT((economics!$AG$2:$AG$167=$B17)*(economics!$D$2:$D$167="whr")*economics!$AI$2:$AI$167*_xlfn.NORM.DIST(AO$3,economics!$AK$2:$AK$167,economics!$AJ$2:$AJ$167,TRUE)),0)</f>
        <v/>
      </c>
      <c r="AP17" s="68">
        <f t="array" ref="AP17">IF($D17,SUMPRODUCT((economics!$AG$2:$AG$167=$B17)*(economics!$D$2:$D$167="whr")*economics!$AI$2:$AI$167*_xlfn.NORM.DIST(AP$3,economics!$AK$2:$AK$167,economics!$AJ$2:$AJ$167,TRUE)),0)</f>
        <v/>
      </c>
      <c r="AQ17" s="68">
        <f t="array" ref="AQ17">IF($D17,SUMPRODUCT((economics!$AG$2:$AG$167=$B17)*(economics!$D$2:$D$167="whr")*economics!$AI$2:$AI$167*_xlfn.NORM.DIST(AQ$3,economics!$AK$2:$AK$167,economics!$AJ$2:$AJ$167,TRUE)),0)</f>
        <v/>
      </c>
      <c r="AR17" s="68">
        <f t="array" ref="AR17">IF($D17,SUMPRODUCT((economics!$AG$2:$AG$167=$B17)*(economics!$D$2:$D$167="whr")*economics!$AI$2:$AI$167*_xlfn.NORM.DIST(AR$3,economics!$AK$2:$AK$167,economics!$AJ$2:$AJ$167,TRUE)),0)</f>
        <v/>
      </c>
      <c r="AS17" s="68">
        <f t="array" ref="AS17">IF($D17,SUMPRODUCT((economics!$AG$2:$AG$167=$B17)*(economics!$D$2:$D$167="whr")*economics!$AI$2:$AI$167*_xlfn.NORM.DIST(AS$3,economics!$AK$2:$AK$167,economics!$AJ$2:$AJ$167,TRUE)),0)</f>
        <v/>
      </c>
      <c r="AT17" s="68">
        <f t="array" ref="AT17">IF($D17,SUMPRODUCT((economics!$AG$2:$AG$167=$B17)*(economics!$D$2:$D$167="whr")*economics!$AI$2:$AI$167*_xlfn.NORM.DIST(AT$3,economics!$AK$2:$AK$167,economics!$AJ$2:$AJ$167,TRUE)),0)</f>
        <v/>
      </c>
      <c r="AU17" s="68">
        <f t="array" ref="AU17">IF($D17,SUMPRODUCT((economics!$AG$2:$AG$167=$B17)*(economics!$D$2:$D$167="whr")*economics!$AI$2:$AI$167*_xlfn.NORM.DIST(AU$3,economics!$AK$2:$AK$167,economics!$AJ$2:$AJ$167,TRUE)),0)</f>
        <v/>
      </c>
      <c r="AV17" s="68">
        <f t="array" ref="AV17">IF($D17,SUMPRODUCT((economics!$AG$2:$AG$167=$B17)*(economics!$D$2:$D$167="whr")*economics!$AI$2:$AI$167*_xlfn.NORM.DIST(AV$3,economics!$AK$2:$AK$167,economics!$AJ$2:$AJ$167,TRUE)),0)</f>
        <v/>
      </c>
      <c r="AW17" s="68">
        <f t="array" ref="AW17">IF($D17,SUMPRODUCT((economics!$AG$2:$AG$167=$B17)*(economics!$D$2:$D$167="whr")*economics!$AI$2:$AI$167*_xlfn.NORM.DIST(AW$3,economics!$AK$2:$AK$167,economics!$AJ$2:$AJ$167,TRUE)),0)</f>
        <v/>
      </c>
      <c r="AX17" s="68">
        <f t="array" ref="AX17">IF($D17,SUMPRODUCT((economics!$AG$2:$AG$167=$B17)*(economics!$D$2:$D$167="whr")*economics!$AI$2:$AI$167*_xlfn.NORM.DIST(AX$3,economics!$AK$2:$AK$167,economics!$AJ$2:$AJ$167,TRUE)),0)</f>
        <v/>
      </c>
      <c r="AY17" s="68">
        <f t="array" ref="AY17">IF($D17,SUMPRODUCT((economics!$AG$2:$AG$167=$B17)*(economics!$D$2:$D$167="whr")*economics!$AI$2:$AI$167*_xlfn.NORM.DIST(AY$3,economics!$AK$2:$AK$167,economics!$AJ$2:$AJ$167,TRUE)),0)</f>
        <v/>
      </c>
      <c r="AZ17" s="68">
        <f t="array" ref="AZ17">IF($D17,SUMPRODUCT((economics!$AG$2:$AG$167=$B17)*(economics!$D$2:$D$167="whr")*economics!$AI$2:$AI$167*_xlfn.NORM.DIST(AZ$3,economics!$AK$2:$AK$167,economics!$AJ$2:$AJ$167,TRUE)),0)</f>
        <v/>
      </c>
      <c r="BA17" s="68">
        <f t="array" ref="BA17">IF($D17,SUMPRODUCT((economics!$AG$2:$AG$167=$B17)*(economics!$D$2:$D$167="whr")*economics!$AI$2:$AI$167*_xlfn.NORM.DIST(BA$3,economics!$AK$2:$AK$167,economics!$AJ$2:$AJ$167,TRUE)),0)</f>
        <v/>
      </c>
      <c r="BB17" s="68">
        <f t="array" ref="BB17">IF($D17,SUMPRODUCT((economics!$AG$2:$AG$167=$B17)*(economics!$D$2:$D$167="whr")*economics!$AI$2:$AI$167*_xlfn.NORM.DIST(BB$3,economics!$AK$2:$AK$167,economics!$AJ$2:$AJ$167,TRUE)),0)</f>
        <v/>
      </c>
      <c r="BC17" s="68">
        <f t="array" ref="BC17">IF($D17,SUMPRODUCT((economics!$AG$2:$AG$167=$B17)*(economics!$D$2:$D$167="whr")*economics!$AI$2:$AI$167*_xlfn.NORM.DIST(BC$3,economics!$AK$2:$AK$167,economics!$AJ$2:$AJ$167,TRUE)),0)</f>
        <v/>
      </c>
      <c r="BD17" s="68">
        <f t="array" ref="BD17">IF($D17,SUMPRODUCT((economics!$AG$2:$AG$167=$B17)*(economics!$D$2:$D$167="whr")*economics!$AI$2:$AI$167*_xlfn.NORM.DIST(BD$3,economics!$AK$2:$AK$167,economics!$AJ$2:$AJ$167,TRUE)),0)</f>
        <v/>
      </c>
      <c r="BE17" s="68">
        <f t="array" ref="BE17">IF($D17,SUMPRODUCT((economics!$AG$2:$AG$167=$B17)*(economics!$D$2:$D$167="whr")*economics!$AI$2:$AI$167*_xlfn.NORM.DIST(BE$3,economics!$AK$2:$AK$167,economics!$AJ$2:$AJ$167,TRUE)),0)</f>
        <v/>
      </c>
      <c r="BF17" s="68">
        <f t="array" ref="BF17">IF($D17,SUMPRODUCT((economics!$AG$2:$AG$167=$B17)*(economics!$D$2:$D$167="whr")*economics!$AI$2:$AI$167*_xlfn.NORM.DIST(BF$3,economics!$AK$2:$AK$167,economics!$AJ$2:$AJ$167,TRUE)),0)</f>
        <v/>
      </c>
      <c r="BG17" s="68">
        <f t="array" ref="BG17">IF($D17,SUMPRODUCT((economics!$AG$2:$AG$167=$B17)*(economics!$D$2:$D$167="whr")*economics!$AI$2:$AI$167*_xlfn.NORM.DIST(BG$3,economics!$AK$2:$AK$167,economics!$AJ$2:$AJ$167,TRUE)),0)</f>
        <v/>
      </c>
      <c r="BH17" s="68">
        <f t="array" ref="BH17">IF($D17,SUMPRODUCT((economics!$AG$2:$AG$167=$B17)*(economics!$D$2:$D$167="whr")*economics!$AI$2:$AI$167*_xlfn.NORM.DIST(BH$3,economics!$AK$2:$AK$167,economics!$AJ$2:$AJ$167,TRUE)),0)</f>
        <v/>
      </c>
      <c r="BI17" s="68">
        <f t="array" ref="BI17">IF($D17,SUMPRODUCT((economics!$AG$2:$AG$167=$B17)*(economics!$D$2:$D$167="whr")*economics!$AI$2:$AI$167*_xlfn.NORM.DIST(BI$3,economics!$AK$2:$AK$167,economics!$AJ$2:$AJ$167,TRUE)),0)</f>
        <v/>
      </c>
      <c r="BJ17" s="68">
        <f t="array" ref="BJ17">IF($D17,SUMPRODUCT((economics!$AG$2:$AG$167=$B17)*(economics!$D$2:$D$167="whr")*economics!$AI$2:$AI$167*_xlfn.NORM.DIST(BJ$3,economics!$AK$2:$AK$167,economics!$AJ$2:$AJ$167,TRUE)),0)</f>
        <v/>
      </c>
      <c r="BK17" s="68">
        <f t="array" ref="BK17">IF($D17,SUMPRODUCT((economics!$AG$2:$AG$167=$B17)*(economics!$D$2:$D$167="whr")*economics!$AI$2:$AI$167*_xlfn.NORM.DIST(BK$3,economics!$AK$2:$AK$167,economics!$AJ$2:$AJ$167,TRUE)),0)</f>
        <v/>
      </c>
      <c r="BL17" s="68">
        <f t="array" ref="BL17">IF($D17,SUMPRODUCT((economics!$AG$2:$AG$167=$B17)*(economics!$D$2:$D$167="whr")*economics!$AI$2:$AI$167*_xlfn.NORM.DIST(BL$3,economics!$AK$2:$AK$167,economics!$AJ$2:$AJ$167,TRUE)),0)</f>
        <v/>
      </c>
      <c r="BM17" s="68">
        <f t="array" ref="BM17">IF($D17,SUMPRODUCT((economics!$AG$2:$AG$167=$B17)*(economics!$D$2:$D$167="whr")*economics!$AI$2:$AI$167*_xlfn.NORM.DIST(BM$3,economics!$AK$2:$AK$167,economics!$AJ$2:$AJ$167,TRUE)),0)</f>
        <v/>
      </c>
      <c r="BN17" s="68">
        <f t="array" ref="BN17">IF($D17,SUMPRODUCT((economics!$AG$2:$AG$167=$B17)*(economics!$D$2:$D$167="whr")*economics!$AI$2:$AI$167*_xlfn.NORM.DIST(BN$3,economics!$AK$2:$AK$167,economics!$AJ$2:$AJ$167,TRUE)),0)</f>
        <v/>
      </c>
      <c r="BO17" s="68">
        <f t="array" ref="BO17">IF($D17,SUMPRODUCT((economics!$AG$2:$AG$167=$B17)*(economics!$D$2:$D$167="whr")*economics!$AI$2:$AI$167*_xlfn.NORM.DIST(BO$3,economics!$AK$2:$AK$167,economics!$AJ$2:$AJ$167,TRUE)),0)</f>
        <v/>
      </c>
      <c r="BP17" s="68">
        <f t="array" ref="BP17">IF($D17,SUMPRODUCT((economics!$AG$2:$AG$167=$B17)*(economics!$D$2:$D$167="whr")*economics!$AI$2:$AI$167*_xlfn.NORM.DIST(BP$3,economics!$AK$2:$AK$167,economics!$AJ$2:$AJ$167,TRUE)),0)</f>
        <v/>
      </c>
      <c r="BQ17" s="68">
        <f t="array" ref="BQ17">IF($D17,SUMPRODUCT((economics!$AG$2:$AG$167=$B17)*(economics!$D$2:$D$167="whr")*economics!$AI$2:$AI$167*_xlfn.NORM.DIST(BQ$3,economics!$AK$2:$AK$167,economics!$AJ$2:$AJ$167,TRUE)),0)</f>
        <v/>
      </c>
      <c r="BR17" s="68">
        <f t="array" ref="BR17">IF($D17,SUMPRODUCT((economics!$AG$2:$AG$167=$B17)*(economics!$D$2:$D$167="whr")*economics!$AI$2:$AI$167*_xlfn.NORM.DIST(BR$3,economics!$AK$2:$AK$167,economics!$AJ$2:$AJ$167,TRUE)),0)</f>
        <v/>
      </c>
      <c r="BS17" s="68">
        <f t="array" ref="BS17">IF($D17,SUMPRODUCT((economics!$AG$2:$AG$167=$B17)*(economics!$D$2:$D$167="whr")*economics!$AI$2:$AI$167*_xlfn.NORM.DIST(BS$3,economics!$AK$2:$AK$167,economics!$AJ$2:$AJ$167,TRUE)),0)</f>
        <v/>
      </c>
      <c r="BT17" s="68">
        <f t="array" ref="BT17">IF($D17,SUMPRODUCT((economics!$AG$2:$AG$167=$B17)*(economics!$D$2:$D$167="whr")*economics!$AI$2:$AI$167*_xlfn.NORM.DIST(BT$3,economics!$AK$2:$AK$167,economics!$AJ$2:$AJ$167,TRUE)),0)</f>
        <v/>
      </c>
      <c r="BU17" s="68">
        <f t="array" ref="BU17">IF($D17,SUMPRODUCT((economics!$AG$2:$AG$167=$B17)*(economics!$D$2:$D$167="whr")*economics!$AI$2:$AI$167*_xlfn.NORM.DIST(BU$3,economics!$AK$2:$AK$167,economics!$AJ$2:$AJ$167,TRUE)),0)</f>
        <v/>
      </c>
      <c r="BV17" s="68">
        <f t="array" ref="BV17">IF($D17,SUMPRODUCT((economics!$AG$2:$AG$167=$B17)*(economics!$D$2:$D$167="whr")*economics!$AI$2:$AI$167*_xlfn.NORM.DIST(BV$3,economics!$AK$2:$AK$167,economics!$AJ$2:$AJ$167,TRUE)),0)</f>
        <v/>
      </c>
      <c r="BW17" s="68">
        <f t="array" ref="BW17">IF($D17,SUMPRODUCT((economics!$AG$2:$AG$167=$B17)*(economics!$D$2:$D$167="whr")*economics!$AI$2:$AI$167*_xlfn.NORM.DIST(BW$3,economics!$AK$2:$AK$167,economics!$AJ$2:$AJ$167,TRUE)),0)</f>
        <v/>
      </c>
      <c r="BX17" s="68">
        <f t="array" ref="BX17">IF($D17,SUMPRODUCT((economics!$AG$2:$AG$167=$B17)*(economics!$D$2:$D$167="whr")*economics!$AI$2:$AI$167*_xlfn.NORM.DIST(BX$3,economics!$AK$2:$AK$167,economics!$AJ$2:$AJ$167,TRUE)),0)</f>
        <v/>
      </c>
      <c r="BY17" s="68">
        <f t="array" ref="BY17">IF($D17,SUMPRODUCT((economics!$AG$2:$AG$167=$B17)*(economics!$D$2:$D$167="whr")*economics!$AI$2:$AI$167*_xlfn.NORM.DIST(BY$3,economics!$AK$2:$AK$167,economics!$AJ$2:$AJ$167,TRUE)),0)</f>
        <v/>
      </c>
      <c r="BZ17" s="68">
        <f t="array" ref="BZ17">IF($D17,SUMPRODUCT((economics!$AG$2:$AG$167=$B17)*(economics!$D$2:$D$167="whr")*economics!$AI$2:$AI$167*_xlfn.NORM.DIST(BZ$3,economics!$AK$2:$AK$167,economics!$AJ$2:$AJ$167,TRUE)),0)</f>
        <v/>
      </c>
      <c r="CA17" s="68">
        <f t="array" ref="CA17">IF($D17,SUMPRODUCT((economics!$AG$2:$AG$167=$B17)*(economics!$D$2:$D$167="whr")*economics!$AI$2:$AI$167*_xlfn.NORM.DIST(CA$3,economics!$AK$2:$AK$167,economics!$AJ$2:$AJ$167,TRUE)),0)</f>
        <v/>
      </c>
      <c r="CB17" s="68">
        <f t="array" ref="CB17">IF($D17,SUMPRODUCT((economics!$AG$2:$AG$167=$B17)*(economics!$D$2:$D$167="whr")*economics!$AI$2:$AI$167*_xlfn.NORM.DIST(CB$3,economics!$AK$2:$AK$167,economics!$AJ$2:$AJ$167,TRUE)),0)</f>
        <v/>
      </c>
      <c r="CC17" s="68">
        <f t="array" ref="CC17">IF($D17,SUMPRODUCT((economics!$AG$2:$AG$167=$B17)*(economics!$D$2:$D$167="whr")*economics!$AI$2:$AI$167*_xlfn.NORM.DIST(CC$3,economics!$AK$2:$AK$167,economics!$AJ$2:$AJ$167,TRUE)),0)</f>
        <v/>
      </c>
      <c r="CD17" s="68">
        <f t="array" ref="CD17">IF($D17,SUMPRODUCT((economics!$AG$2:$AG$167=$B17)*(economics!$D$2:$D$167="whr")*economics!$AI$2:$AI$167*_xlfn.NORM.DIST(CD$3,economics!$AK$2:$AK$167,economics!$AJ$2:$AJ$167,TRUE)),0)</f>
        <v/>
      </c>
      <c r="CE17" s="68">
        <f t="array" ref="CE17">IF($D17,SUMPRODUCT((economics!$AG$2:$AG$167=$B17)*(economics!$D$2:$D$167="whr")*economics!$AI$2:$AI$167*_xlfn.NORM.DIST(CE$3,economics!$AK$2:$AK$167,economics!$AJ$2:$AJ$167,TRUE)),0)</f>
        <v/>
      </c>
      <c r="CF17" s="68">
        <f t="array" ref="CF17">IF($D17,SUMPRODUCT((economics!$AG$2:$AG$167=$B17)*(economics!$D$2:$D$167="whr")*economics!$AI$2:$AI$167*_xlfn.NORM.DIST(CF$3,economics!$AK$2:$AK$167,economics!$AJ$2:$AJ$167,TRUE)),0)</f>
        <v/>
      </c>
      <c r="CG17" s="68">
        <f t="array" ref="CG17">IF($D17,SUMPRODUCT((economics!$AG$2:$AG$167=$B17)*(economics!$D$2:$D$167="whr")*economics!$AI$2:$AI$167*_xlfn.NORM.DIST(CG$3,economics!$AK$2:$AK$167,economics!$AJ$2:$AJ$167,TRUE)),0)</f>
        <v/>
      </c>
      <c r="CH17" s="68">
        <f t="array" ref="CH17">IF($D17,SUMPRODUCT((economics!$AG$2:$AG$167=$B17)*(economics!$D$2:$D$167="whr")*economics!$AI$2:$AI$167*_xlfn.NORM.DIST(CH$3,economics!$AK$2:$AK$167,economics!$AJ$2:$AJ$167,TRUE)),0)</f>
        <v/>
      </c>
    </row>
    <row r="18">
      <c r="A18">
        <f>WHRPbI!A16</f>
        <v/>
      </c>
      <c r="B18" t="n">
        <v>242</v>
      </c>
      <c r="C18" s="68">
        <f>WHRPbI!B16</f>
        <v/>
      </c>
      <c r="D18">
        <f>ISNUMBER(MATCH($B18,'energy base (MECS)'!$K$4:$K$9,0))</f>
        <v/>
      </c>
      <c r="E18" s="68">
        <f t="array" ref="E18">IF($D18,SUMPRODUCT((economics!$AG$2:$AG$167=$B18)*(economics!$D$2:$D$167="whr")*economics!$AI$2:$AI$167*_xlfn.NORM.DIST(E$3,economics!$AK$2:$AK$167,economics!$AJ$2:$AJ$167,TRUE)),0)</f>
        <v/>
      </c>
      <c r="F18" s="68">
        <f t="array" ref="F18">IF($D18,SUMPRODUCT((economics!$AG$2:$AG$167=$B18)*(economics!$D$2:$D$167="whr")*economics!$AI$2:$AI$167*_xlfn.NORM.DIST(F$3,economics!$AK$2:$AK$167,economics!$AJ$2:$AJ$167,TRUE)),0)</f>
        <v/>
      </c>
      <c r="G18" s="68">
        <f t="array" ref="G18">IF($D18,SUMPRODUCT((economics!$AG$2:$AG$167=$B18)*(economics!$D$2:$D$167="whr")*economics!$AI$2:$AI$167*_xlfn.NORM.DIST(G$3,economics!$AK$2:$AK$167,economics!$AJ$2:$AJ$167,TRUE)),0)</f>
        <v/>
      </c>
      <c r="H18" s="68">
        <f t="array" ref="H18">IF($D18,SUMPRODUCT((economics!$AG$2:$AG$167=$B18)*(economics!$D$2:$D$167="whr")*economics!$AI$2:$AI$167*_xlfn.NORM.DIST(H$3,economics!$AK$2:$AK$167,economics!$AJ$2:$AJ$167,TRUE)),0)</f>
        <v/>
      </c>
      <c r="I18" s="68">
        <f t="array" ref="I18">IF($D18,SUMPRODUCT((economics!$AG$2:$AG$167=$B18)*(economics!$D$2:$D$167="whr")*economics!$AI$2:$AI$167*_xlfn.NORM.DIST(I$3,economics!$AK$2:$AK$167,economics!$AJ$2:$AJ$167,TRUE)),0)</f>
        <v/>
      </c>
      <c r="J18" s="68">
        <f t="array" ref="J18">IF($D18,SUMPRODUCT((economics!$AG$2:$AG$167=$B18)*(economics!$D$2:$D$167="whr")*economics!$AI$2:$AI$167*_xlfn.NORM.DIST(J$3,economics!$AK$2:$AK$167,economics!$AJ$2:$AJ$167,TRUE)),0)</f>
        <v/>
      </c>
      <c r="K18" s="68">
        <f t="array" ref="K18">IF($D18,SUMPRODUCT((economics!$AG$2:$AG$167=$B18)*(economics!$D$2:$D$167="whr")*economics!$AI$2:$AI$167*_xlfn.NORM.DIST(K$3,economics!$AK$2:$AK$167,economics!$AJ$2:$AJ$167,TRUE)),0)</f>
        <v/>
      </c>
      <c r="L18" s="68">
        <f t="array" ref="L18">IF($D18,SUMPRODUCT((economics!$AG$2:$AG$167=$B18)*(economics!$D$2:$D$167="whr")*economics!$AI$2:$AI$167*_xlfn.NORM.DIST(L$3,economics!$AK$2:$AK$167,economics!$AJ$2:$AJ$167,TRUE)),0)</f>
        <v/>
      </c>
      <c r="M18" s="68">
        <f t="array" ref="M18">IF($D18,SUMPRODUCT((economics!$AG$2:$AG$167=$B18)*(economics!$D$2:$D$167="whr")*economics!$AI$2:$AI$167*_xlfn.NORM.DIST(M$3,economics!$AK$2:$AK$167,economics!$AJ$2:$AJ$167,TRUE)),0)</f>
        <v/>
      </c>
      <c r="N18" s="68">
        <f t="array" ref="N18">IF($D18,SUMPRODUCT((economics!$AG$2:$AG$167=$B18)*(economics!$D$2:$D$167="whr")*economics!$AI$2:$AI$167*_xlfn.NORM.DIST(N$3,economics!$AK$2:$AK$167,economics!$AJ$2:$AJ$167,TRUE)),0)</f>
        <v/>
      </c>
      <c r="O18" s="68">
        <f t="array" ref="O18">IF($D18,SUMPRODUCT((economics!$AG$2:$AG$167=$B18)*(economics!$D$2:$D$167="whr")*economics!$AI$2:$AI$167*_xlfn.NORM.DIST(O$3,economics!$AK$2:$AK$167,economics!$AJ$2:$AJ$167,TRUE)),0)</f>
        <v/>
      </c>
      <c r="P18" s="68">
        <f t="array" ref="P18">IF($D18,SUMPRODUCT((economics!$AG$2:$AG$167=$B18)*(economics!$D$2:$D$167="whr")*economics!$AI$2:$AI$167*_xlfn.NORM.DIST(P$3,economics!$AK$2:$AK$167,economics!$AJ$2:$AJ$167,TRUE)),0)</f>
        <v/>
      </c>
      <c r="Q18" s="68">
        <f t="array" ref="Q18">IF($D18,SUMPRODUCT((economics!$AG$2:$AG$167=$B18)*(economics!$D$2:$D$167="whr")*economics!$AI$2:$AI$167*_xlfn.NORM.DIST(Q$3,economics!$AK$2:$AK$167,economics!$AJ$2:$AJ$167,TRUE)),0)</f>
        <v/>
      </c>
      <c r="R18" s="68">
        <f t="array" ref="R18">IF($D18,SUMPRODUCT((economics!$AG$2:$AG$167=$B18)*(economics!$D$2:$D$167="whr")*economics!$AI$2:$AI$167*_xlfn.NORM.DIST(R$3,economics!$AK$2:$AK$167,economics!$AJ$2:$AJ$167,TRUE)),0)</f>
        <v/>
      </c>
      <c r="S18" s="68">
        <f t="array" ref="S18">IF($D18,SUMPRODUCT((economics!$AG$2:$AG$167=$B18)*(economics!$D$2:$D$167="whr")*economics!$AI$2:$AI$167*_xlfn.NORM.DIST(S$3,economics!$AK$2:$AK$167,economics!$AJ$2:$AJ$167,TRUE)),0)</f>
        <v/>
      </c>
      <c r="T18" s="68">
        <f t="array" ref="T18">IF($D18,SUMPRODUCT((economics!$AG$2:$AG$167=$B18)*(economics!$D$2:$D$167="whr")*economics!$AI$2:$AI$167*_xlfn.NORM.DIST(T$3,economics!$AK$2:$AK$167,economics!$AJ$2:$AJ$167,TRUE)),0)</f>
        <v/>
      </c>
      <c r="U18" s="68">
        <f t="array" ref="U18">IF($D18,SUMPRODUCT((economics!$AG$2:$AG$167=$B18)*(economics!$D$2:$D$167="whr")*economics!$AI$2:$AI$167*_xlfn.NORM.DIST(U$3,economics!$AK$2:$AK$167,economics!$AJ$2:$AJ$167,TRUE)),0)</f>
        <v/>
      </c>
      <c r="V18" s="68">
        <f t="array" ref="V18">IF($D18,SUMPRODUCT((economics!$AG$2:$AG$167=$B18)*(economics!$D$2:$D$167="whr")*economics!$AI$2:$AI$167*_xlfn.NORM.DIST(V$3,economics!$AK$2:$AK$167,economics!$AJ$2:$AJ$167,TRUE)),0)</f>
        <v/>
      </c>
      <c r="W18" s="68">
        <f t="array" ref="W18">IF($D18,SUMPRODUCT((economics!$AG$2:$AG$167=$B18)*(economics!$D$2:$D$167="whr")*economics!$AI$2:$AI$167*_xlfn.NORM.DIST(W$3,economics!$AK$2:$AK$167,economics!$AJ$2:$AJ$167,TRUE)),0)</f>
        <v/>
      </c>
      <c r="X18" s="68">
        <f t="array" ref="X18">IF($D18,SUMPRODUCT((economics!$AG$2:$AG$167=$B18)*(economics!$D$2:$D$167="whr")*economics!$AI$2:$AI$167*_xlfn.NORM.DIST(X$3,economics!$AK$2:$AK$167,economics!$AJ$2:$AJ$167,TRUE)),0)</f>
        <v/>
      </c>
      <c r="Y18" s="68">
        <f t="array" ref="Y18">IF($D18,SUMPRODUCT((economics!$AG$2:$AG$167=$B18)*(economics!$D$2:$D$167="whr")*economics!$AI$2:$AI$167*_xlfn.NORM.DIST(Y$3,economics!$AK$2:$AK$167,economics!$AJ$2:$AJ$167,TRUE)),0)</f>
        <v/>
      </c>
      <c r="Z18" s="68">
        <f t="array" ref="Z18">IF($D18,SUMPRODUCT((economics!$AG$2:$AG$167=$B18)*(economics!$D$2:$D$167="whr")*economics!$AI$2:$AI$167*_xlfn.NORM.DIST(Z$3,economics!$AK$2:$AK$167,economics!$AJ$2:$AJ$167,TRUE)),0)</f>
        <v/>
      </c>
      <c r="AA18" s="68">
        <f t="array" ref="AA18">IF($D18,SUMPRODUCT((economics!$AG$2:$AG$167=$B18)*(economics!$D$2:$D$167="whr")*economics!$AI$2:$AI$167*_xlfn.NORM.DIST(AA$3,economics!$AK$2:$AK$167,economics!$AJ$2:$AJ$167,TRUE)),0)</f>
        <v/>
      </c>
      <c r="AB18" s="68">
        <f t="array" ref="AB18">IF($D18,SUMPRODUCT((economics!$AG$2:$AG$167=$B18)*(economics!$D$2:$D$167="whr")*economics!$AI$2:$AI$167*_xlfn.NORM.DIST(AB$3,economics!$AK$2:$AK$167,economics!$AJ$2:$AJ$167,TRUE)),0)</f>
        <v/>
      </c>
      <c r="AC18" s="68">
        <f t="array" ref="AC18">IF($D18,SUMPRODUCT((economics!$AG$2:$AG$167=$B18)*(economics!$D$2:$D$167="whr")*economics!$AI$2:$AI$167*_xlfn.NORM.DIST(AC$3,economics!$AK$2:$AK$167,economics!$AJ$2:$AJ$167,TRUE)),0)</f>
        <v/>
      </c>
      <c r="AD18" s="68">
        <f t="array" ref="AD18">IF($D18,SUMPRODUCT((economics!$AG$2:$AG$167=$B18)*(economics!$D$2:$D$167="whr")*economics!$AI$2:$AI$167*_xlfn.NORM.DIST(AD$3,economics!$AK$2:$AK$167,economics!$AJ$2:$AJ$167,TRUE)),0)</f>
        <v/>
      </c>
      <c r="AE18" s="68">
        <f t="array" ref="AE18">IF($D18,SUMPRODUCT((economics!$AG$2:$AG$167=$B18)*(economics!$D$2:$D$167="whr")*economics!$AI$2:$AI$167*_xlfn.NORM.DIST(AE$3,economics!$AK$2:$AK$167,economics!$AJ$2:$AJ$167,TRUE)),0)</f>
        <v/>
      </c>
      <c r="AF18" s="68">
        <f t="array" ref="AF18">IF($D18,SUMPRODUCT((economics!$AG$2:$AG$167=$B18)*(economics!$D$2:$D$167="whr")*economics!$AI$2:$AI$167*_xlfn.NORM.DIST(AF$3,economics!$AK$2:$AK$167,economics!$AJ$2:$AJ$167,TRUE)),0)</f>
        <v/>
      </c>
      <c r="AG18" s="68">
        <f t="array" ref="AG18">IF($D18,SUMPRODUCT((economics!$AG$2:$AG$167=$B18)*(economics!$D$2:$D$167="whr")*economics!$AI$2:$AI$167*_xlfn.NORM.DIST(AG$3,economics!$AK$2:$AK$167,economics!$AJ$2:$AJ$167,TRUE)),0)</f>
        <v/>
      </c>
      <c r="AH18" s="68">
        <f t="array" ref="AH18">IF($D18,SUMPRODUCT((economics!$AG$2:$AG$167=$B18)*(economics!$D$2:$D$167="whr")*economics!$AI$2:$AI$167*_xlfn.NORM.DIST(AH$3,economics!$AK$2:$AK$167,economics!$AJ$2:$AJ$167,TRUE)),0)</f>
        <v/>
      </c>
      <c r="AI18" s="68">
        <f t="array" ref="AI18">IF($D18,SUMPRODUCT((economics!$AG$2:$AG$167=$B18)*(economics!$D$2:$D$167="whr")*economics!$AI$2:$AI$167*_xlfn.NORM.DIST(AI$3,economics!$AK$2:$AK$167,economics!$AJ$2:$AJ$167,TRUE)),0)</f>
        <v/>
      </c>
      <c r="AJ18" s="68">
        <f t="array" ref="AJ18">IF($D18,SUMPRODUCT((economics!$AG$2:$AG$167=$B18)*(economics!$D$2:$D$167="whr")*economics!$AI$2:$AI$167*_xlfn.NORM.DIST(AJ$3,economics!$AK$2:$AK$167,economics!$AJ$2:$AJ$167,TRUE)),0)</f>
        <v/>
      </c>
      <c r="AK18" s="68">
        <f t="array" ref="AK18">IF($D18,SUMPRODUCT((economics!$AG$2:$AG$167=$B18)*(economics!$D$2:$D$167="whr")*economics!$AI$2:$AI$167*_xlfn.NORM.DIST(AK$3,economics!$AK$2:$AK$167,economics!$AJ$2:$AJ$167,TRUE)),0)</f>
        <v/>
      </c>
      <c r="AL18" s="68">
        <f t="array" ref="AL18">IF($D18,SUMPRODUCT((economics!$AG$2:$AG$167=$B18)*(economics!$D$2:$D$167="whr")*economics!$AI$2:$AI$167*_xlfn.NORM.DIST(AL$3,economics!$AK$2:$AK$167,economics!$AJ$2:$AJ$167,TRUE)),0)</f>
        <v/>
      </c>
      <c r="AM18" s="68">
        <f t="array" ref="AM18">IF($D18,SUMPRODUCT((economics!$AG$2:$AG$167=$B18)*(economics!$D$2:$D$167="whr")*economics!$AI$2:$AI$167*_xlfn.NORM.DIST(AM$3,economics!$AK$2:$AK$167,economics!$AJ$2:$AJ$167,TRUE)),0)</f>
        <v/>
      </c>
      <c r="AN18" s="68">
        <f t="array" ref="AN18">IF($D18,SUMPRODUCT((economics!$AG$2:$AG$167=$B18)*(economics!$D$2:$D$167="whr")*economics!$AI$2:$AI$167*_xlfn.NORM.DIST(AN$3,economics!$AK$2:$AK$167,economics!$AJ$2:$AJ$167,TRUE)),0)</f>
        <v/>
      </c>
      <c r="AO18" s="68">
        <f t="array" ref="AO18">IF($D18,SUMPRODUCT((economics!$AG$2:$AG$167=$B18)*(economics!$D$2:$D$167="whr")*economics!$AI$2:$AI$167*_xlfn.NORM.DIST(AO$3,economics!$AK$2:$AK$167,economics!$AJ$2:$AJ$167,TRUE)),0)</f>
        <v/>
      </c>
      <c r="AP18" s="68">
        <f t="array" ref="AP18">IF($D18,SUMPRODUCT((economics!$AG$2:$AG$167=$B18)*(economics!$D$2:$D$167="whr")*economics!$AI$2:$AI$167*_xlfn.NORM.DIST(AP$3,economics!$AK$2:$AK$167,economics!$AJ$2:$AJ$167,TRUE)),0)</f>
        <v/>
      </c>
      <c r="AQ18" s="68">
        <f t="array" ref="AQ18">IF($D18,SUMPRODUCT((economics!$AG$2:$AG$167=$B18)*(economics!$D$2:$D$167="whr")*economics!$AI$2:$AI$167*_xlfn.NORM.DIST(AQ$3,economics!$AK$2:$AK$167,economics!$AJ$2:$AJ$167,TRUE)),0)</f>
        <v/>
      </c>
      <c r="AR18" s="68">
        <f t="array" ref="AR18">IF($D18,SUMPRODUCT((economics!$AG$2:$AG$167=$B18)*(economics!$D$2:$D$167="whr")*economics!$AI$2:$AI$167*_xlfn.NORM.DIST(AR$3,economics!$AK$2:$AK$167,economics!$AJ$2:$AJ$167,TRUE)),0)</f>
        <v/>
      </c>
      <c r="AS18" s="68">
        <f t="array" ref="AS18">IF($D18,SUMPRODUCT((economics!$AG$2:$AG$167=$B18)*(economics!$D$2:$D$167="whr")*economics!$AI$2:$AI$167*_xlfn.NORM.DIST(AS$3,economics!$AK$2:$AK$167,economics!$AJ$2:$AJ$167,TRUE)),0)</f>
        <v/>
      </c>
      <c r="AT18" s="68">
        <f t="array" ref="AT18">IF($D18,SUMPRODUCT((economics!$AG$2:$AG$167=$B18)*(economics!$D$2:$D$167="whr")*economics!$AI$2:$AI$167*_xlfn.NORM.DIST(AT$3,economics!$AK$2:$AK$167,economics!$AJ$2:$AJ$167,TRUE)),0)</f>
        <v/>
      </c>
      <c r="AU18" s="68">
        <f t="array" ref="AU18">IF($D18,SUMPRODUCT((economics!$AG$2:$AG$167=$B18)*(economics!$D$2:$D$167="whr")*economics!$AI$2:$AI$167*_xlfn.NORM.DIST(AU$3,economics!$AK$2:$AK$167,economics!$AJ$2:$AJ$167,TRUE)),0)</f>
        <v/>
      </c>
      <c r="AV18" s="68">
        <f t="array" ref="AV18">IF($D18,SUMPRODUCT((economics!$AG$2:$AG$167=$B18)*(economics!$D$2:$D$167="whr")*economics!$AI$2:$AI$167*_xlfn.NORM.DIST(AV$3,economics!$AK$2:$AK$167,economics!$AJ$2:$AJ$167,TRUE)),0)</f>
        <v/>
      </c>
      <c r="AW18" s="68">
        <f t="array" ref="AW18">IF($D18,SUMPRODUCT((economics!$AG$2:$AG$167=$B18)*(economics!$D$2:$D$167="whr")*economics!$AI$2:$AI$167*_xlfn.NORM.DIST(AW$3,economics!$AK$2:$AK$167,economics!$AJ$2:$AJ$167,TRUE)),0)</f>
        <v/>
      </c>
      <c r="AX18" s="68">
        <f t="array" ref="AX18">IF($D18,SUMPRODUCT((economics!$AG$2:$AG$167=$B18)*(economics!$D$2:$D$167="whr")*economics!$AI$2:$AI$167*_xlfn.NORM.DIST(AX$3,economics!$AK$2:$AK$167,economics!$AJ$2:$AJ$167,TRUE)),0)</f>
        <v/>
      </c>
      <c r="AY18" s="68">
        <f t="array" ref="AY18">IF($D18,SUMPRODUCT((economics!$AG$2:$AG$167=$B18)*(economics!$D$2:$D$167="whr")*economics!$AI$2:$AI$167*_xlfn.NORM.DIST(AY$3,economics!$AK$2:$AK$167,economics!$AJ$2:$AJ$167,TRUE)),0)</f>
        <v/>
      </c>
      <c r="AZ18" s="68">
        <f t="array" ref="AZ18">IF($D18,SUMPRODUCT((economics!$AG$2:$AG$167=$B18)*(economics!$D$2:$D$167="whr")*economics!$AI$2:$AI$167*_xlfn.NORM.DIST(AZ$3,economics!$AK$2:$AK$167,economics!$AJ$2:$AJ$167,TRUE)),0)</f>
        <v/>
      </c>
      <c r="BA18" s="68">
        <f t="array" ref="BA18">IF($D18,SUMPRODUCT((economics!$AG$2:$AG$167=$B18)*(economics!$D$2:$D$167="whr")*economics!$AI$2:$AI$167*_xlfn.NORM.DIST(BA$3,economics!$AK$2:$AK$167,economics!$AJ$2:$AJ$167,TRUE)),0)</f>
        <v/>
      </c>
      <c r="BB18" s="68">
        <f t="array" ref="BB18">IF($D18,SUMPRODUCT((economics!$AG$2:$AG$167=$B18)*(economics!$D$2:$D$167="whr")*economics!$AI$2:$AI$167*_xlfn.NORM.DIST(BB$3,economics!$AK$2:$AK$167,economics!$AJ$2:$AJ$167,TRUE)),0)</f>
        <v/>
      </c>
      <c r="BC18" s="68">
        <f t="array" ref="BC18">IF($D18,SUMPRODUCT((economics!$AG$2:$AG$167=$B18)*(economics!$D$2:$D$167="whr")*economics!$AI$2:$AI$167*_xlfn.NORM.DIST(BC$3,economics!$AK$2:$AK$167,economics!$AJ$2:$AJ$167,TRUE)),0)</f>
        <v/>
      </c>
      <c r="BD18" s="68">
        <f t="array" ref="BD18">IF($D18,SUMPRODUCT((economics!$AG$2:$AG$167=$B18)*(economics!$D$2:$D$167="whr")*economics!$AI$2:$AI$167*_xlfn.NORM.DIST(BD$3,economics!$AK$2:$AK$167,economics!$AJ$2:$AJ$167,TRUE)),0)</f>
        <v/>
      </c>
      <c r="BE18" s="68">
        <f t="array" ref="BE18">IF($D18,SUMPRODUCT((economics!$AG$2:$AG$167=$B18)*(economics!$D$2:$D$167="whr")*economics!$AI$2:$AI$167*_xlfn.NORM.DIST(BE$3,economics!$AK$2:$AK$167,economics!$AJ$2:$AJ$167,TRUE)),0)</f>
        <v/>
      </c>
      <c r="BF18" s="68">
        <f t="array" ref="BF18">IF($D18,SUMPRODUCT((economics!$AG$2:$AG$167=$B18)*(economics!$D$2:$D$167="whr")*economics!$AI$2:$AI$167*_xlfn.NORM.DIST(BF$3,economics!$AK$2:$AK$167,economics!$AJ$2:$AJ$167,TRUE)),0)</f>
        <v/>
      </c>
      <c r="BG18" s="68">
        <f t="array" ref="BG18">IF($D18,SUMPRODUCT((economics!$AG$2:$AG$167=$B18)*(economics!$D$2:$D$167="whr")*economics!$AI$2:$AI$167*_xlfn.NORM.DIST(BG$3,economics!$AK$2:$AK$167,economics!$AJ$2:$AJ$167,TRUE)),0)</f>
        <v/>
      </c>
      <c r="BH18" s="68">
        <f t="array" ref="BH18">IF($D18,SUMPRODUCT((economics!$AG$2:$AG$167=$B18)*(economics!$D$2:$D$167="whr")*economics!$AI$2:$AI$167*_xlfn.NORM.DIST(BH$3,economics!$AK$2:$AK$167,economics!$AJ$2:$AJ$167,TRUE)),0)</f>
        <v/>
      </c>
      <c r="BI18" s="68">
        <f t="array" ref="BI18">IF($D18,SUMPRODUCT((economics!$AG$2:$AG$167=$B18)*(economics!$D$2:$D$167="whr")*economics!$AI$2:$AI$167*_xlfn.NORM.DIST(BI$3,economics!$AK$2:$AK$167,economics!$AJ$2:$AJ$167,TRUE)),0)</f>
        <v/>
      </c>
      <c r="BJ18" s="68">
        <f t="array" ref="BJ18">IF($D18,SUMPRODUCT((economics!$AG$2:$AG$167=$B18)*(economics!$D$2:$D$167="whr")*economics!$AI$2:$AI$167*_xlfn.NORM.DIST(BJ$3,economics!$AK$2:$AK$167,economics!$AJ$2:$AJ$167,TRUE)),0)</f>
        <v/>
      </c>
      <c r="BK18" s="68">
        <f t="array" ref="BK18">IF($D18,SUMPRODUCT((economics!$AG$2:$AG$167=$B18)*(economics!$D$2:$D$167="whr")*economics!$AI$2:$AI$167*_xlfn.NORM.DIST(BK$3,economics!$AK$2:$AK$167,economics!$AJ$2:$AJ$167,TRUE)),0)</f>
        <v/>
      </c>
      <c r="BL18" s="68">
        <f t="array" ref="BL18">IF($D18,SUMPRODUCT((economics!$AG$2:$AG$167=$B18)*(economics!$D$2:$D$167="whr")*economics!$AI$2:$AI$167*_xlfn.NORM.DIST(BL$3,economics!$AK$2:$AK$167,economics!$AJ$2:$AJ$167,TRUE)),0)</f>
        <v/>
      </c>
      <c r="BM18" s="68">
        <f t="array" ref="BM18">IF($D18,SUMPRODUCT((economics!$AG$2:$AG$167=$B18)*(economics!$D$2:$D$167="whr")*economics!$AI$2:$AI$167*_xlfn.NORM.DIST(BM$3,economics!$AK$2:$AK$167,economics!$AJ$2:$AJ$167,TRUE)),0)</f>
        <v/>
      </c>
      <c r="BN18" s="68">
        <f t="array" ref="BN18">IF($D18,SUMPRODUCT((economics!$AG$2:$AG$167=$B18)*(economics!$D$2:$D$167="whr")*economics!$AI$2:$AI$167*_xlfn.NORM.DIST(BN$3,economics!$AK$2:$AK$167,economics!$AJ$2:$AJ$167,TRUE)),0)</f>
        <v/>
      </c>
      <c r="BO18" s="68">
        <f t="array" ref="BO18">IF($D18,SUMPRODUCT((economics!$AG$2:$AG$167=$B18)*(economics!$D$2:$D$167="whr")*economics!$AI$2:$AI$167*_xlfn.NORM.DIST(BO$3,economics!$AK$2:$AK$167,economics!$AJ$2:$AJ$167,TRUE)),0)</f>
        <v/>
      </c>
      <c r="BP18" s="68">
        <f t="array" ref="BP18">IF($D18,SUMPRODUCT((economics!$AG$2:$AG$167=$B18)*(economics!$D$2:$D$167="whr")*economics!$AI$2:$AI$167*_xlfn.NORM.DIST(BP$3,economics!$AK$2:$AK$167,economics!$AJ$2:$AJ$167,TRUE)),0)</f>
        <v/>
      </c>
      <c r="BQ18" s="68">
        <f t="array" ref="BQ18">IF($D18,SUMPRODUCT((economics!$AG$2:$AG$167=$B18)*(economics!$D$2:$D$167="whr")*economics!$AI$2:$AI$167*_xlfn.NORM.DIST(BQ$3,economics!$AK$2:$AK$167,economics!$AJ$2:$AJ$167,TRUE)),0)</f>
        <v/>
      </c>
      <c r="BR18" s="68">
        <f t="array" ref="BR18">IF($D18,SUMPRODUCT((economics!$AG$2:$AG$167=$B18)*(economics!$D$2:$D$167="whr")*economics!$AI$2:$AI$167*_xlfn.NORM.DIST(BR$3,economics!$AK$2:$AK$167,economics!$AJ$2:$AJ$167,TRUE)),0)</f>
        <v/>
      </c>
      <c r="BS18" s="68">
        <f t="array" ref="BS18">IF($D18,SUMPRODUCT((economics!$AG$2:$AG$167=$B18)*(economics!$D$2:$D$167="whr")*economics!$AI$2:$AI$167*_xlfn.NORM.DIST(BS$3,economics!$AK$2:$AK$167,economics!$AJ$2:$AJ$167,TRUE)),0)</f>
        <v/>
      </c>
      <c r="BT18" s="68">
        <f t="array" ref="BT18">IF($D18,SUMPRODUCT((economics!$AG$2:$AG$167=$B18)*(economics!$D$2:$D$167="whr")*economics!$AI$2:$AI$167*_xlfn.NORM.DIST(BT$3,economics!$AK$2:$AK$167,economics!$AJ$2:$AJ$167,TRUE)),0)</f>
        <v/>
      </c>
      <c r="BU18" s="68">
        <f t="array" ref="BU18">IF($D18,SUMPRODUCT((economics!$AG$2:$AG$167=$B18)*(economics!$D$2:$D$167="whr")*economics!$AI$2:$AI$167*_xlfn.NORM.DIST(BU$3,economics!$AK$2:$AK$167,economics!$AJ$2:$AJ$167,TRUE)),0)</f>
        <v/>
      </c>
      <c r="BV18" s="68">
        <f t="array" ref="BV18">IF($D18,SUMPRODUCT((economics!$AG$2:$AG$167=$B18)*(economics!$D$2:$D$167="whr")*economics!$AI$2:$AI$167*_xlfn.NORM.DIST(BV$3,economics!$AK$2:$AK$167,economics!$AJ$2:$AJ$167,TRUE)),0)</f>
        <v/>
      </c>
      <c r="BW18" s="68">
        <f t="array" ref="BW18">IF($D18,SUMPRODUCT((economics!$AG$2:$AG$167=$B18)*(economics!$D$2:$D$167="whr")*economics!$AI$2:$AI$167*_xlfn.NORM.DIST(BW$3,economics!$AK$2:$AK$167,economics!$AJ$2:$AJ$167,TRUE)),0)</f>
        <v/>
      </c>
      <c r="BX18" s="68">
        <f t="array" ref="BX18">IF($D18,SUMPRODUCT((economics!$AG$2:$AG$167=$B18)*(economics!$D$2:$D$167="whr")*economics!$AI$2:$AI$167*_xlfn.NORM.DIST(BX$3,economics!$AK$2:$AK$167,economics!$AJ$2:$AJ$167,TRUE)),0)</f>
        <v/>
      </c>
      <c r="BY18" s="68">
        <f t="array" ref="BY18">IF($D18,SUMPRODUCT((economics!$AG$2:$AG$167=$B18)*(economics!$D$2:$D$167="whr")*economics!$AI$2:$AI$167*_xlfn.NORM.DIST(BY$3,economics!$AK$2:$AK$167,economics!$AJ$2:$AJ$167,TRUE)),0)</f>
        <v/>
      </c>
      <c r="BZ18" s="68">
        <f t="array" ref="BZ18">IF($D18,SUMPRODUCT((economics!$AG$2:$AG$167=$B18)*(economics!$D$2:$D$167="whr")*economics!$AI$2:$AI$167*_xlfn.NORM.DIST(BZ$3,economics!$AK$2:$AK$167,economics!$AJ$2:$AJ$167,TRUE)),0)</f>
        <v/>
      </c>
      <c r="CA18" s="68">
        <f t="array" ref="CA18">IF($D18,SUMPRODUCT((economics!$AG$2:$AG$167=$B18)*(economics!$D$2:$D$167="whr")*economics!$AI$2:$AI$167*_xlfn.NORM.DIST(CA$3,economics!$AK$2:$AK$167,economics!$AJ$2:$AJ$167,TRUE)),0)</f>
        <v/>
      </c>
      <c r="CB18" s="68">
        <f t="array" ref="CB18">IF($D18,SUMPRODUCT((economics!$AG$2:$AG$167=$B18)*(economics!$D$2:$D$167="whr")*economics!$AI$2:$AI$167*_xlfn.NORM.DIST(CB$3,economics!$AK$2:$AK$167,economics!$AJ$2:$AJ$167,TRUE)),0)</f>
        <v/>
      </c>
      <c r="CC18" s="68">
        <f t="array" ref="CC18">IF($D18,SUMPRODUCT((economics!$AG$2:$AG$167=$B18)*(economics!$D$2:$D$167="whr")*economics!$AI$2:$AI$167*_xlfn.NORM.DIST(CC$3,economics!$AK$2:$AK$167,economics!$AJ$2:$AJ$167,TRUE)),0)</f>
        <v/>
      </c>
      <c r="CD18" s="68">
        <f t="array" ref="CD18">IF($D18,SUMPRODUCT((economics!$AG$2:$AG$167=$B18)*(economics!$D$2:$D$167="whr")*economics!$AI$2:$AI$167*_xlfn.NORM.DIST(CD$3,economics!$AK$2:$AK$167,economics!$AJ$2:$AJ$167,TRUE)),0)</f>
        <v/>
      </c>
      <c r="CE18" s="68">
        <f t="array" ref="CE18">IF($D18,SUMPRODUCT((economics!$AG$2:$AG$167=$B18)*(economics!$D$2:$D$167="whr")*economics!$AI$2:$AI$167*_xlfn.NORM.DIST(CE$3,economics!$AK$2:$AK$167,economics!$AJ$2:$AJ$167,TRUE)),0)</f>
        <v/>
      </c>
      <c r="CF18" s="68">
        <f t="array" ref="CF18">IF($D18,SUMPRODUCT((economics!$AG$2:$AG$167=$B18)*(economics!$D$2:$D$167="whr")*economics!$AI$2:$AI$167*_xlfn.NORM.DIST(CF$3,economics!$AK$2:$AK$167,economics!$AJ$2:$AJ$167,TRUE)),0)</f>
        <v/>
      </c>
      <c r="CG18" s="68">
        <f t="array" ref="CG18">IF($D18,SUMPRODUCT((economics!$AG$2:$AG$167=$B18)*(economics!$D$2:$D$167="whr")*economics!$AI$2:$AI$167*_xlfn.NORM.DIST(CG$3,economics!$AK$2:$AK$167,economics!$AJ$2:$AJ$167,TRUE)),0)</f>
        <v/>
      </c>
      <c r="CH18" s="68">
        <f t="array" ref="CH18">IF($D18,SUMPRODUCT((economics!$AG$2:$AG$167=$B18)*(economics!$D$2:$D$167="whr")*economics!$AI$2:$AI$167*_xlfn.NORM.DIST(CH$3,economics!$AK$2:$AK$167,economics!$AJ$2:$AJ$167,TRUE)),0)</f>
        <v/>
      </c>
    </row>
    <row r="19">
      <c r="A19">
        <f>WHRPbI!A17</f>
        <v/>
      </c>
      <c r="B19" t="n">
        <v>25</v>
      </c>
      <c r="C19" s="68">
        <f>WHRPbI!B17</f>
        <v/>
      </c>
      <c r="D19">
        <f>ISNUMBER(MATCH($B19,'energy base (MECS)'!$K$4:$K$9,0))</f>
        <v/>
      </c>
      <c r="E19" s="68">
        <f t="array" ref="E19">IF($D19,SUMPRODUCT((economics!$AG$2:$AG$167=$B19)*(economics!$D$2:$D$167="whr")*economics!$AI$2:$AI$167*_xlfn.NORM.DIST(E$3,economics!$AK$2:$AK$167,economics!$AJ$2:$AJ$167,TRUE)),0)</f>
        <v/>
      </c>
      <c r="F19" s="68">
        <f t="array" ref="F19">IF($D19,SUMPRODUCT((economics!$AG$2:$AG$167=$B19)*(economics!$D$2:$D$167="whr")*economics!$AI$2:$AI$167*_xlfn.NORM.DIST(F$3,economics!$AK$2:$AK$167,economics!$AJ$2:$AJ$167,TRUE)),0)</f>
        <v/>
      </c>
      <c r="G19" s="68">
        <f t="array" ref="G19">IF($D19,SUMPRODUCT((economics!$AG$2:$AG$167=$B19)*(economics!$D$2:$D$167="whr")*economics!$AI$2:$AI$167*_xlfn.NORM.DIST(G$3,economics!$AK$2:$AK$167,economics!$AJ$2:$AJ$167,TRUE)),0)</f>
        <v/>
      </c>
      <c r="H19" s="68">
        <f t="array" ref="H19">IF($D19,SUMPRODUCT((economics!$AG$2:$AG$167=$B19)*(economics!$D$2:$D$167="whr")*economics!$AI$2:$AI$167*_xlfn.NORM.DIST(H$3,economics!$AK$2:$AK$167,economics!$AJ$2:$AJ$167,TRUE)),0)</f>
        <v/>
      </c>
      <c r="I19" s="68">
        <f t="array" ref="I19">IF($D19,SUMPRODUCT((economics!$AG$2:$AG$167=$B19)*(economics!$D$2:$D$167="whr")*economics!$AI$2:$AI$167*_xlfn.NORM.DIST(I$3,economics!$AK$2:$AK$167,economics!$AJ$2:$AJ$167,TRUE)),0)</f>
        <v/>
      </c>
      <c r="J19" s="68">
        <f t="array" ref="J19">IF($D19,SUMPRODUCT((economics!$AG$2:$AG$167=$B19)*(economics!$D$2:$D$167="whr")*economics!$AI$2:$AI$167*_xlfn.NORM.DIST(J$3,economics!$AK$2:$AK$167,economics!$AJ$2:$AJ$167,TRUE)),0)</f>
        <v/>
      </c>
      <c r="K19" s="68">
        <f t="array" ref="K19">IF($D19,SUMPRODUCT((economics!$AG$2:$AG$167=$B19)*(economics!$D$2:$D$167="whr")*economics!$AI$2:$AI$167*_xlfn.NORM.DIST(K$3,economics!$AK$2:$AK$167,economics!$AJ$2:$AJ$167,TRUE)),0)</f>
        <v/>
      </c>
      <c r="L19" s="68">
        <f t="array" ref="L19">IF($D19,SUMPRODUCT((economics!$AG$2:$AG$167=$B19)*(economics!$D$2:$D$167="whr")*economics!$AI$2:$AI$167*_xlfn.NORM.DIST(L$3,economics!$AK$2:$AK$167,economics!$AJ$2:$AJ$167,TRUE)),0)</f>
        <v/>
      </c>
      <c r="M19" s="68">
        <f t="array" ref="M19">IF($D19,SUMPRODUCT((economics!$AG$2:$AG$167=$B19)*(economics!$D$2:$D$167="whr")*economics!$AI$2:$AI$167*_xlfn.NORM.DIST(M$3,economics!$AK$2:$AK$167,economics!$AJ$2:$AJ$167,TRUE)),0)</f>
        <v/>
      </c>
      <c r="N19" s="68">
        <f t="array" ref="N19">IF($D19,SUMPRODUCT((economics!$AG$2:$AG$167=$B19)*(economics!$D$2:$D$167="whr")*economics!$AI$2:$AI$167*_xlfn.NORM.DIST(N$3,economics!$AK$2:$AK$167,economics!$AJ$2:$AJ$167,TRUE)),0)</f>
        <v/>
      </c>
      <c r="O19" s="68">
        <f t="array" ref="O19">IF($D19,SUMPRODUCT((economics!$AG$2:$AG$167=$B19)*(economics!$D$2:$D$167="whr")*economics!$AI$2:$AI$167*_xlfn.NORM.DIST(O$3,economics!$AK$2:$AK$167,economics!$AJ$2:$AJ$167,TRUE)),0)</f>
        <v/>
      </c>
      <c r="P19" s="68">
        <f t="array" ref="P19">IF($D19,SUMPRODUCT((economics!$AG$2:$AG$167=$B19)*(economics!$D$2:$D$167="whr")*economics!$AI$2:$AI$167*_xlfn.NORM.DIST(P$3,economics!$AK$2:$AK$167,economics!$AJ$2:$AJ$167,TRUE)),0)</f>
        <v/>
      </c>
      <c r="Q19" s="68">
        <f t="array" ref="Q19">IF($D19,SUMPRODUCT((economics!$AG$2:$AG$167=$B19)*(economics!$D$2:$D$167="whr")*economics!$AI$2:$AI$167*_xlfn.NORM.DIST(Q$3,economics!$AK$2:$AK$167,economics!$AJ$2:$AJ$167,TRUE)),0)</f>
        <v/>
      </c>
      <c r="R19" s="68">
        <f t="array" ref="R19">IF($D19,SUMPRODUCT((economics!$AG$2:$AG$167=$B19)*(economics!$D$2:$D$167="whr")*economics!$AI$2:$AI$167*_xlfn.NORM.DIST(R$3,economics!$AK$2:$AK$167,economics!$AJ$2:$AJ$167,TRUE)),0)</f>
        <v/>
      </c>
      <c r="S19" s="68">
        <f t="array" ref="S19">IF($D19,SUMPRODUCT((economics!$AG$2:$AG$167=$B19)*(economics!$D$2:$D$167="whr")*economics!$AI$2:$AI$167*_xlfn.NORM.DIST(S$3,economics!$AK$2:$AK$167,economics!$AJ$2:$AJ$167,TRUE)),0)</f>
        <v/>
      </c>
      <c r="T19" s="68">
        <f t="array" ref="T19">IF($D19,SUMPRODUCT((economics!$AG$2:$AG$167=$B19)*(economics!$D$2:$D$167="whr")*economics!$AI$2:$AI$167*_xlfn.NORM.DIST(T$3,economics!$AK$2:$AK$167,economics!$AJ$2:$AJ$167,TRUE)),0)</f>
        <v/>
      </c>
      <c r="U19" s="68">
        <f t="array" ref="U19">IF($D19,SUMPRODUCT((economics!$AG$2:$AG$167=$B19)*(economics!$D$2:$D$167="whr")*economics!$AI$2:$AI$167*_xlfn.NORM.DIST(U$3,economics!$AK$2:$AK$167,economics!$AJ$2:$AJ$167,TRUE)),0)</f>
        <v/>
      </c>
      <c r="V19" s="68">
        <f t="array" ref="V19">IF($D19,SUMPRODUCT((economics!$AG$2:$AG$167=$B19)*(economics!$D$2:$D$167="whr")*economics!$AI$2:$AI$167*_xlfn.NORM.DIST(V$3,economics!$AK$2:$AK$167,economics!$AJ$2:$AJ$167,TRUE)),0)</f>
        <v/>
      </c>
      <c r="W19" s="68">
        <f t="array" ref="W19">IF($D19,SUMPRODUCT((economics!$AG$2:$AG$167=$B19)*(economics!$D$2:$D$167="whr")*economics!$AI$2:$AI$167*_xlfn.NORM.DIST(W$3,economics!$AK$2:$AK$167,economics!$AJ$2:$AJ$167,TRUE)),0)</f>
        <v/>
      </c>
      <c r="X19" s="68">
        <f t="array" ref="X19">IF($D19,SUMPRODUCT((economics!$AG$2:$AG$167=$B19)*(economics!$D$2:$D$167="whr")*economics!$AI$2:$AI$167*_xlfn.NORM.DIST(X$3,economics!$AK$2:$AK$167,economics!$AJ$2:$AJ$167,TRUE)),0)</f>
        <v/>
      </c>
      <c r="Y19" s="68">
        <f t="array" ref="Y19">IF($D19,SUMPRODUCT((economics!$AG$2:$AG$167=$B19)*(economics!$D$2:$D$167="whr")*economics!$AI$2:$AI$167*_xlfn.NORM.DIST(Y$3,economics!$AK$2:$AK$167,economics!$AJ$2:$AJ$167,TRUE)),0)</f>
        <v/>
      </c>
      <c r="Z19" s="68">
        <f t="array" ref="Z19">IF($D19,SUMPRODUCT((economics!$AG$2:$AG$167=$B19)*(economics!$D$2:$D$167="whr")*economics!$AI$2:$AI$167*_xlfn.NORM.DIST(Z$3,economics!$AK$2:$AK$167,economics!$AJ$2:$AJ$167,TRUE)),0)</f>
        <v/>
      </c>
      <c r="AA19" s="68">
        <f t="array" ref="AA19">IF($D19,SUMPRODUCT((economics!$AG$2:$AG$167=$B19)*(economics!$D$2:$D$167="whr")*economics!$AI$2:$AI$167*_xlfn.NORM.DIST(AA$3,economics!$AK$2:$AK$167,economics!$AJ$2:$AJ$167,TRUE)),0)</f>
        <v/>
      </c>
      <c r="AB19" s="68">
        <f t="array" ref="AB19">IF($D19,SUMPRODUCT((economics!$AG$2:$AG$167=$B19)*(economics!$D$2:$D$167="whr")*economics!$AI$2:$AI$167*_xlfn.NORM.DIST(AB$3,economics!$AK$2:$AK$167,economics!$AJ$2:$AJ$167,TRUE)),0)</f>
        <v/>
      </c>
      <c r="AC19" s="68">
        <f t="array" ref="AC19">IF($D19,SUMPRODUCT((economics!$AG$2:$AG$167=$B19)*(economics!$D$2:$D$167="whr")*economics!$AI$2:$AI$167*_xlfn.NORM.DIST(AC$3,economics!$AK$2:$AK$167,economics!$AJ$2:$AJ$167,TRUE)),0)</f>
        <v/>
      </c>
      <c r="AD19" s="68">
        <f t="array" ref="AD19">IF($D19,SUMPRODUCT((economics!$AG$2:$AG$167=$B19)*(economics!$D$2:$D$167="whr")*economics!$AI$2:$AI$167*_xlfn.NORM.DIST(AD$3,economics!$AK$2:$AK$167,economics!$AJ$2:$AJ$167,TRUE)),0)</f>
        <v/>
      </c>
      <c r="AE19" s="68">
        <f t="array" ref="AE19">IF($D19,SUMPRODUCT((economics!$AG$2:$AG$167=$B19)*(economics!$D$2:$D$167="whr")*economics!$AI$2:$AI$167*_xlfn.NORM.DIST(AE$3,economics!$AK$2:$AK$167,economics!$AJ$2:$AJ$167,TRUE)),0)</f>
        <v/>
      </c>
      <c r="AF19" s="68">
        <f t="array" ref="AF19">IF($D19,SUMPRODUCT((economics!$AG$2:$AG$167=$B19)*(economics!$D$2:$D$167="whr")*economics!$AI$2:$AI$167*_xlfn.NORM.DIST(AF$3,economics!$AK$2:$AK$167,economics!$AJ$2:$AJ$167,TRUE)),0)</f>
        <v/>
      </c>
      <c r="AG19" s="68">
        <f t="array" ref="AG19">IF($D19,SUMPRODUCT((economics!$AG$2:$AG$167=$B19)*(economics!$D$2:$D$167="whr")*economics!$AI$2:$AI$167*_xlfn.NORM.DIST(AG$3,economics!$AK$2:$AK$167,economics!$AJ$2:$AJ$167,TRUE)),0)</f>
        <v/>
      </c>
      <c r="AH19" s="68">
        <f t="array" ref="AH19">IF($D19,SUMPRODUCT((economics!$AG$2:$AG$167=$B19)*(economics!$D$2:$D$167="whr")*economics!$AI$2:$AI$167*_xlfn.NORM.DIST(AH$3,economics!$AK$2:$AK$167,economics!$AJ$2:$AJ$167,TRUE)),0)</f>
        <v/>
      </c>
      <c r="AI19" s="68">
        <f t="array" ref="AI19">IF($D19,SUMPRODUCT((economics!$AG$2:$AG$167=$B19)*(economics!$D$2:$D$167="whr")*economics!$AI$2:$AI$167*_xlfn.NORM.DIST(AI$3,economics!$AK$2:$AK$167,economics!$AJ$2:$AJ$167,TRUE)),0)</f>
        <v/>
      </c>
      <c r="AJ19" s="68">
        <f t="array" ref="AJ19">IF($D19,SUMPRODUCT((economics!$AG$2:$AG$167=$B19)*(economics!$D$2:$D$167="whr")*economics!$AI$2:$AI$167*_xlfn.NORM.DIST(AJ$3,economics!$AK$2:$AK$167,economics!$AJ$2:$AJ$167,TRUE)),0)</f>
        <v/>
      </c>
      <c r="AK19" s="68">
        <f t="array" ref="AK19">IF($D19,SUMPRODUCT((economics!$AG$2:$AG$167=$B19)*(economics!$D$2:$D$167="whr")*economics!$AI$2:$AI$167*_xlfn.NORM.DIST(AK$3,economics!$AK$2:$AK$167,economics!$AJ$2:$AJ$167,TRUE)),0)</f>
        <v/>
      </c>
      <c r="AL19" s="68">
        <f t="array" ref="AL19">IF($D19,SUMPRODUCT((economics!$AG$2:$AG$167=$B19)*(economics!$D$2:$D$167="whr")*economics!$AI$2:$AI$167*_xlfn.NORM.DIST(AL$3,economics!$AK$2:$AK$167,economics!$AJ$2:$AJ$167,TRUE)),0)</f>
        <v/>
      </c>
      <c r="AM19" s="68">
        <f t="array" ref="AM19">IF($D19,SUMPRODUCT((economics!$AG$2:$AG$167=$B19)*(economics!$D$2:$D$167="whr")*economics!$AI$2:$AI$167*_xlfn.NORM.DIST(AM$3,economics!$AK$2:$AK$167,economics!$AJ$2:$AJ$167,TRUE)),0)</f>
        <v/>
      </c>
      <c r="AN19" s="68">
        <f t="array" ref="AN19">IF($D19,SUMPRODUCT((economics!$AG$2:$AG$167=$B19)*(economics!$D$2:$D$167="whr")*economics!$AI$2:$AI$167*_xlfn.NORM.DIST(AN$3,economics!$AK$2:$AK$167,economics!$AJ$2:$AJ$167,TRUE)),0)</f>
        <v/>
      </c>
      <c r="AO19" s="68">
        <f t="array" ref="AO19">IF($D19,SUMPRODUCT((economics!$AG$2:$AG$167=$B19)*(economics!$D$2:$D$167="whr")*economics!$AI$2:$AI$167*_xlfn.NORM.DIST(AO$3,economics!$AK$2:$AK$167,economics!$AJ$2:$AJ$167,TRUE)),0)</f>
        <v/>
      </c>
      <c r="AP19" s="68">
        <f t="array" ref="AP19">IF($D19,SUMPRODUCT((economics!$AG$2:$AG$167=$B19)*(economics!$D$2:$D$167="whr")*economics!$AI$2:$AI$167*_xlfn.NORM.DIST(AP$3,economics!$AK$2:$AK$167,economics!$AJ$2:$AJ$167,TRUE)),0)</f>
        <v/>
      </c>
      <c r="AQ19" s="68">
        <f t="array" ref="AQ19">IF($D19,SUMPRODUCT((economics!$AG$2:$AG$167=$B19)*(economics!$D$2:$D$167="whr")*economics!$AI$2:$AI$167*_xlfn.NORM.DIST(AQ$3,economics!$AK$2:$AK$167,economics!$AJ$2:$AJ$167,TRUE)),0)</f>
        <v/>
      </c>
      <c r="AR19" s="68">
        <f t="array" ref="AR19">IF($D19,SUMPRODUCT((economics!$AG$2:$AG$167=$B19)*(economics!$D$2:$D$167="whr")*economics!$AI$2:$AI$167*_xlfn.NORM.DIST(AR$3,economics!$AK$2:$AK$167,economics!$AJ$2:$AJ$167,TRUE)),0)</f>
        <v/>
      </c>
      <c r="AS19" s="68">
        <f t="array" ref="AS19">IF($D19,SUMPRODUCT((economics!$AG$2:$AG$167=$B19)*(economics!$D$2:$D$167="whr")*economics!$AI$2:$AI$167*_xlfn.NORM.DIST(AS$3,economics!$AK$2:$AK$167,economics!$AJ$2:$AJ$167,TRUE)),0)</f>
        <v/>
      </c>
      <c r="AT19" s="68">
        <f t="array" ref="AT19">IF($D19,SUMPRODUCT((economics!$AG$2:$AG$167=$B19)*(economics!$D$2:$D$167="whr")*economics!$AI$2:$AI$167*_xlfn.NORM.DIST(AT$3,economics!$AK$2:$AK$167,economics!$AJ$2:$AJ$167,TRUE)),0)</f>
        <v/>
      </c>
      <c r="AU19" s="68">
        <f t="array" ref="AU19">IF($D19,SUMPRODUCT((economics!$AG$2:$AG$167=$B19)*(economics!$D$2:$D$167="whr")*economics!$AI$2:$AI$167*_xlfn.NORM.DIST(AU$3,economics!$AK$2:$AK$167,economics!$AJ$2:$AJ$167,TRUE)),0)</f>
        <v/>
      </c>
      <c r="AV19" s="68">
        <f t="array" ref="AV19">IF($D19,SUMPRODUCT((economics!$AG$2:$AG$167=$B19)*(economics!$D$2:$D$167="whr")*economics!$AI$2:$AI$167*_xlfn.NORM.DIST(AV$3,economics!$AK$2:$AK$167,economics!$AJ$2:$AJ$167,TRUE)),0)</f>
        <v/>
      </c>
      <c r="AW19" s="68">
        <f t="array" ref="AW19">IF($D19,SUMPRODUCT((economics!$AG$2:$AG$167=$B19)*(economics!$D$2:$D$167="whr")*economics!$AI$2:$AI$167*_xlfn.NORM.DIST(AW$3,economics!$AK$2:$AK$167,economics!$AJ$2:$AJ$167,TRUE)),0)</f>
        <v/>
      </c>
      <c r="AX19" s="68">
        <f t="array" ref="AX19">IF($D19,SUMPRODUCT((economics!$AG$2:$AG$167=$B19)*(economics!$D$2:$D$167="whr")*economics!$AI$2:$AI$167*_xlfn.NORM.DIST(AX$3,economics!$AK$2:$AK$167,economics!$AJ$2:$AJ$167,TRUE)),0)</f>
        <v/>
      </c>
      <c r="AY19" s="68">
        <f t="array" ref="AY19">IF($D19,SUMPRODUCT((economics!$AG$2:$AG$167=$B19)*(economics!$D$2:$D$167="whr")*economics!$AI$2:$AI$167*_xlfn.NORM.DIST(AY$3,economics!$AK$2:$AK$167,economics!$AJ$2:$AJ$167,TRUE)),0)</f>
        <v/>
      </c>
      <c r="AZ19" s="68">
        <f t="array" ref="AZ19">IF($D19,SUMPRODUCT((economics!$AG$2:$AG$167=$B19)*(economics!$D$2:$D$167="whr")*economics!$AI$2:$AI$167*_xlfn.NORM.DIST(AZ$3,economics!$AK$2:$AK$167,economics!$AJ$2:$AJ$167,TRUE)),0)</f>
        <v/>
      </c>
      <c r="BA19" s="68">
        <f t="array" ref="BA19">IF($D19,SUMPRODUCT((economics!$AG$2:$AG$167=$B19)*(economics!$D$2:$D$167="whr")*economics!$AI$2:$AI$167*_xlfn.NORM.DIST(BA$3,economics!$AK$2:$AK$167,economics!$AJ$2:$AJ$167,TRUE)),0)</f>
        <v/>
      </c>
      <c r="BB19" s="68">
        <f t="array" ref="BB19">IF($D19,SUMPRODUCT((economics!$AG$2:$AG$167=$B19)*(economics!$D$2:$D$167="whr")*economics!$AI$2:$AI$167*_xlfn.NORM.DIST(BB$3,economics!$AK$2:$AK$167,economics!$AJ$2:$AJ$167,TRUE)),0)</f>
        <v/>
      </c>
      <c r="BC19" s="68">
        <f t="array" ref="BC19">IF($D19,SUMPRODUCT((economics!$AG$2:$AG$167=$B19)*(economics!$D$2:$D$167="whr")*economics!$AI$2:$AI$167*_xlfn.NORM.DIST(BC$3,economics!$AK$2:$AK$167,economics!$AJ$2:$AJ$167,TRUE)),0)</f>
        <v/>
      </c>
      <c r="BD19" s="68">
        <f t="array" ref="BD19">IF($D19,SUMPRODUCT((economics!$AG$2:$AG$167=$B19)*(economics!$D$2:$D$167="whr")*economics!$AI$2:$AI$167*_xlfn.NORM.DIST(BD$3,economics!$AK$2:$AK$167,economics!$AJ$2:$AJ$167,TRUE)),0)</f>
        <v/>
      </c>
      <c r="BE19" s="68">
        <f t="array" ref="BE19">IF($D19,SUMPRODUCT((economics!$AG$2:$AG$167=$B19)*(economics!$D$2:$D$167="whr")*economics!$AI$2:$AI$167*_xlfn.NORM.DIST(BE$3,economics!$AK$2:$AK$167,economics!$AJ$2:$AJ$167,TRUE)),0)</f>
        <v/>
      </c>
      <c r="BF19" s="68">
        <f t="array" ref="BF19">IF($D19,SUMPRODUCT((economics!$AG$2:$AG$167=$B19)*(economics!$D$2:$D$167="whr")*economics!$AI$2:$AI$167*_xlfn.NORM.DIST(BF$3,economics!$AK$2:$AK$167,economics!$AJ$2:$AJ$167,TRUE)),0)</f>
        <v/>
      </c>
      <c r="BG19" s="68">
        <f t="array" ref="BG19">IF($D19,SUMPRODUCT((economics!$AG$2:$AG$167=$B19)*(economics!$D$2:$D$167="whr")*economics!$AI$2:$AI$167*_xlfn.NORM.DIST(BG$3,economics!$AK$2:$AK$167,economics!$AJ$2:$AJ$167,TRUE)),0)</f>
        <v/>
      </c>
      <c r="BH19" s="68">
        <f t="array" ref="BH19">IF($D19,SUMPRODUCT((economics!$AG$2:$AG$167=$B19)*(economics!$D$2:$D$167="whr")*economics!$AI$2:$AI$167*_xlfn.NORM.DIST(BH$3,economics!$AK$2:$AK$167,economics!$AJ$2:$AJ$167,TRUE)),0)</f>
        <v/>
      </c>
      <c r="BI19" s="68">
        <f t="array" ref="BI19">IF($D19,SUMPRODUCT((economics!$AG$2:$AG$167=$B19)*(economics!$D$2:$D$167="whr")*economics!$AI$2:$AI$167*_xlfn.NORM.DIST(BI$3,economics!$AK$2:$AK$167,economics!$AJ$2:$AJ$167,TRUE)),0)</f>
        <v/>
      </c>
      <c r="BJ19" s="68">
        <f t="array" ref="BJ19">IF($D19,SUMPRODUCT((economics!$AG$2:$AG$167=$B19)*(economics!$D$2:$D$167="whr")*economics!$AI$2:$AI$167*_xlfn.NORM.DIST(BJ$3,economics!$AK$2:$AK$167,economics!$AJ$2:$AJ$167,TRUE)),0)</f>
        <v/>
      </c>
      <c r="BK19" s="68">
        <f t="array" ref="BK19">IF($D19,SUMPRODUCT((economics!$AG$2:$AG$167=$B19)*(economics!$D$2:$D$167="whr")*economics!$AI$2:$AI$167*_xlfn.NORM.DIST(BK$3,economics!$AK$2:$AK$167,economics!$AJ$2:$AJ$167,TRUE)),0)</f>
        <v/>
      </c>
      <c r="BL19" s="68">
        <f t="array" ref="BL19">IF($D19,SUMPRODUCT((economics!$AG$2:$AG$167=$B19)*(economics!$D$2:$D$167="whr")*economics!$AI$2:$AI$167*_xlfn.NORM.DIST(BL$3,economics!$AK$2:$AK$167,economics!$AJ$2:$AJ$167,TRUE)),0)</f>
        <v/>
      </c>
      <c r="BM19" s="68">
        <f t="array" ref="BM19">IF($D19,SUMPRODUCT((economics!$AG$2:$AG$167=$B19)*(economics!$D$2:$D$167="whr")*economics!$AI$2:$AI$167*_xlfn.NORM.DIST(BM$3,economics!$AK$2:$AK$167,economics!$AJ$2:$AJ$167,TRUE)),0)</f>
        <v/>
      </c>
      <c r="BN19" s="68">
        <f t="array" ref="BN19">IF($D19,SUMPRODUCT((economics!$AG$2:$AG$167=$B19)*(economics!$D$2:$D$167="whr")*economics!$AI$2:$AI$167*_xlfn.NORM.DIST(BN$3,economics!$AK$2:$AK$167,economics!$AJ$2:$AJ$167,TRUE)),0)</f>
        <v/>
      </c>
      <c r="BO19" s="68">
        <f t="array" ref="BO19">IF($D19,SUMPRODUCT((economics!$AG$2:$AG$167=$B19)*(economics!$D$2:$D$167="whr")*economics!$AI$2:$AI$167*_xlfn.NORM.DIST(BO$3,economics!$AK$2:$AK$167,economics!$AJ$2:$AJ$167,TRUE)),0)</f>
        <v/>
      </c>
      <c r="BP19" s="68">
        <f t="array" ref="BP19">IF($D19,SUMPRODUCT((economics!$AG$2:$AG$167=$B19)*(economics!$D$2:$D$167="whr")*economics!$AI$2:$AI$167*_xlfn.NORM.DIST(BP$3,economics!$AK$2:$AK$167,economics!$AJ$2:$AJ$167,TRUE)),0)</f>
        <v/>
      </c>
      <c r="BQ19" s="68">
        <f t="array" ref="BQ19">IF($D19,SUMPRODUCT((economics!$AG$2:$AG$167=$B19)*(economics!$D$2:$D$167="whr")*economics!$AI$2:$AI$167*_xlfn.NORM.DIST(BQ$3,economics!$AK$2:$AK$167,economics!$AJ$2:$AJ$167,TRUE)),0)</f>
        <v/>
      </c>
      <c r="BR19" s="68">
        <f t="array" ref="BR19">IF($D19,SUMPRODUCT((economics!$AG$2:$AG$167=$B19)*(economics!$D$2:$D$167="whr")*economics!$AI$2:$AI$167*_xlfn.NORM.DIST(BR$3,economics!$AK$2:$AK$167,economics!$AJ$2:$AJ$167,TRUE)),0)</f>
        <v/>
      </c>
      <c r="BS19" s="68">
        <f t="array" ref="BS19">IF($D19,SUMPRODUCT((economics!$AG$2:$AG$167=$B19)*(economics!$D$2:$D$167="whr")*economics!$AI$2:$AI$167*_xlfn.NORM.DIST(BS$3,economics!$AK$2:$AK$167,economics!$AJ$2:$AJ$167,TRUE)),0)</f>
        <v/>
      </c>
      <c r="BT19" s="68">
        <f t="array" ref="BT19">IF($D19,SUMPRODUCT((economics!$AG$2:$AG$167=$B19)*(economics!$D$2:$D$167="whr")*economics!$AI$2:$AI$167*_xlfn.NORM.DIST(BT$3,economics!$AK$2:$AK$167,economics!$AJ$2:$AJ$167,TRUE)),0)</f>
        <v/>
      </c>
      <c r="BU19" s="68">
        <f t="array" ref="BU19">IF($D19,SUMPRODUCT((economics!$AG$2:$AG$167=$B19)*(economics!$D$2:$D$167="whr")*economics!$AI$2:$AI$167*_xlfn.NORM.DIST(BU$3,economics!$AK$2:$AK$167,economics!$AJ$2:$AJ$167,TRUE)),0)</f>
        <v/>
      </c>
      <c r="BV19" s="68">
        <f t="array" ref="BV19">IF($D19,SUMPRODUCT((economics!$AG$2:$AG$167=$B19)*(economics!$D$2:$D$167="whr")*economics!$AI$2:$AI$167*_xlfn.NORM.DIST(BV$3,economics!$AK$2:$AK$167,economics!$AJ$2:$AJ$167,TRUE)),0)</f>
        <v/>
      </c>
      <c r="BW19" s="68">
        <f t="array" ref="BW19">IF($D19,SUMPRODUCT((economics!$AG$2:$AG$167=$B19)*(economics!$D$2:$D$167="whr")*economics!$AI$2:$AI$167*_xlfn.NORM.DIST(BW$3,economics!$AK$2:$AK$167,economics!$AJ$2:$AJ$167,TRUE)),0)</f>
        <v/>
      </c>
      <c r="BX19" s="68">
        <f t="array" ref="BX19">IF($D19,SUMPRODUCT((economics!$AG$2:$AG$167=$B19)*(economics!$D$2:$D$167="whr")*economics!$AI$2:$AI$167*_xlfn.NORM.DIST(BX$3,economics!$AK$2:$AK$167,economics!$AJ$2:$AJ$167,TRUE)),0)</f>
        <v/>
      </c>
      <c r="BY19" s="68">
        <f t="array" ref="BY19">IF($D19,SUMPRODUCT((economics!$AG$2:$AG$167=$B19)*(economics!$D$2:$D$167="whr")*economics!$AI$2:$AI$167*_xlfn.NORM.DIST(BY$3,economics!$AK$2:$AK$167,economics!$AJ$2:$AJ$167,TRUE)),0)</f>
        <v/>
      </c>
      <c r="BZ19" s="68">
        <f t="array" ref="BZ19">IF($D19,SUMPRODUCT((economics!$AG$2:$AG$167=$B19)*(economics!$D$2:$D$167="whr")*economics!$AI$2:$AI$167*_xlfn.NORM.DIST(BZ$3,economics!$AK$2:$AK$167,economics!$AJ$2:$AJ$167,TRUE)),0)</f>
        <v/>
      </c>
      <c r="CA19" s="68">
        <f t="array" ref="CA19">IF($D19,SUMPRODUCT((economics!$AG$2:$AG$167=$B19)*(economics!$D$2:$D$167="whr")*economics!$AI$2:$AI$167*_xlfn.NORM.DIST(CA$3,economics!$AK$2:$AK$167,economics!$AJ$2:$AJ$167,TRUE)),0)</f>
        <v/>
      </c>
      <c r="CB19" s="68">
        <f t="array" ref="CB19">IF($D19,SUMPRODUCT((economics!$AG$2:$AG$167=$B19)*(economics!$D$2:$D$167="whr")*economics!$AI$2:$AI$167*_xlfn.NORM.DIST(CB$3,economics!$AK$2:$AK$167,economics!$AJ$2:$AJ$167,TRUE)),0)</f>
        <v/>
      </c>
      <c r="CC19" s="68">
        <f t="array" ref="CC19">IF($D19,SUMPRODUCT((economics!$AG$2:$AG$167=$B19)*(economics!$D$2:$D$167="whr")*economics!$AI$2:$AI$167*_xlfn.NORM.DIST(CC$3,economics!$AK$2:$AK$167,economics!$AJ$2:$AJ$167,TRUE)),0)</f>
        <v/>
      </c>
      <c r="CD19" s="68">
        <f t="array" ref="CD19">IF($D19,SUMPRODUCT((economics!$AG$2:$AG$167=$B19)*(economics!$D$2:$D$167="whr")*economics!$AI$2:$AI$167*_xlfn.NORM.DIST(CD$3,economics!$AK$2:$AK$167,economics!$AJ$2:$AJ$167,TRUE)),0)</f>
        <v/>
      </c>
      <c r="CE19" s="68">
        <f t="array" ref="CE19">IF($D19,SUMPRODUCT((economics!$AG$2:$AG$167=$B19)*(economics!$D$2:$D$167="whr")*economics!$AI$2:$AI$167*_xlfn.NORM.DIST(CE$3,economics!$AK$2:$AK$167,economics!$AJ$2:$AJ$167,TRUE)),0)</f>
        <v/>
      </c>
      <c r="CF19" s="68">
        <f t="array" ref="CF19">IF($D19,SUMPRODUCT((economics!$AG$2:$AG$167=$B19)*(economics!$D$2:$D$167="whr")*economics!$AI$2:$AI$167*_xlfn.NORM.DIST(CF$3,economics!$AK$2:$AK$167,economics!$AJ$2:$AJ$167,TRUE)),0)</f>
        <v/>
      </c>
      <c r="CG19" s="68">
        <f t="array" ref="CG19">IF($D19,SUMPRODUCT((economics!$AG$2:$AG$167=$B19)*(economics!$D$2:$D$167="whr")*economics!$AI$2:$AI$167*_xlfn.NORM.DIST(CG$3,economics!$AK$2:$AK$167,economics!$AJ$2:$AJ$167,TRUE)),0)</f>
        <v/>
      </c>
      <c r="CH19" s="68">
        <f t="array" ref="CH19">IF($D19,SUMPRODUCT((economics!$AG$2:$AG$167=$B19)*(economics!$D$2:$D$167="whr")*economics!$AI$2:$AI$167*_xlfn.NORM.DIST(CH$3,economics!$AK$2:$AK$167,economics!$AJ$2:$AJ$167,TRUE)),0)</f>
        <v/>
      </c>
    </row>
    <row r="20">
      <c r="A20">
        <f>WHRPbI!A18</f>
        <v/>
      </c>
      <c r="B20" t="n">
        <v>26</v>
      </c>
      <c r="C20" s="68">
        <f>WHRPbI!B18</f>
        <v/>
      </c>
      <c r="D20">
        <f>ISNUMBER(MATCH($B20,'energy base (MECS)'!$K$4:$K$9,0))</f>
        <v/>
      </c>
      <c r="E20" s="68">
        <f t="array" ref="E20">IF($D20,SUMPRODUCT((economics!$AG$2:$AG$167=$B20)*(economics!$D$2:$D$167="whr")*economics!$AI$2:$AI$167*_xlfn.NORM.DIST(E$3,economics!$AK$2:$AK$167,economics!$AJ$2:$AJ$167,TRUE)),0)</f>
        <v/>
      </c>
      <c r="F20" s="68">
        <f t="array" ref="F20">IF($D20,SUMPRODUCT((economics!$AG$2:$AG$167=$B20)*(economics!$D$2:$D$167="whr")*economics!$AI$2:$AI$167*_xlfn.NORM.DIST(F$3,economics!$AK$2:$AK$167,economics!$AJ$2:$AJ$167,TRUE)),0)</f>
        <v/>
      </c>
      <c r="G20" s="68">
        <f t="array" ref="G20">IF($D20,SUMPRODUCT((economics!$AG$2:$AG$167=$B20)*(economics!$D$2:$D$167="whr")*economics!$AI$2:$AI$167*_xlfn.NORM.DIST(G$3,economics!$AK$2:$AK$167,economics!$AJ$2:$AJ$167,TRUE)),0)</f>
        <v/>
      </c>
      <c r="H20" s="68">
        <f t="array" ref="H20">IF($D20,SUMPRODUCT((economics!$AG$2:$AG$167=$B20)*(economics!$D$2:$D$167="whr")*economics!$AI$2:$AI$167*_xlfn.NORM.DIST(H$3,economics!$AK$2:$AK$167,economics!$AJ$2:$AJ$167,TRUE)),0)</f>
        <v/>
      </c>
      <c r="I20" s="68">
        <f t="array" ref="I20">IF($D20,SUMPRODUCT((economics!$AG$2:$AG$167=$B20)*(economics!$D$2:$D$167="whr")*economics!$AI$2:$AI$167*_xlfn.NORM.DIST(I$3,economics!$AK$2:$AK$167,economics!$AJ$2:$AJ$167,TRUE)),0)</f>
        <v/>
      </c>
      <c r="J20" s="68">
        <f t="array" ref="J20">IF($D20,SUMPRODUCT((economics!$AG$2:$AG$167=$B20)*(economics!$D$2:$D$167="whr")*economics!$AI$2:$AI$167*_xlfn.NORM.DIST(J$3,economics!$AK$2:$AK$167,economics!$AJ$2:$AJ$167,TRUE)),0)</f>
        <v/>
      </c>
      <c r="K20" s="68">
        <f t="array" ref="K20">IF($D20,SUMPRODUCT((economics!$AG$2:$AG$167=$B20)*(economics!$D$2:$D$167="whr")*economics!$AI$2:$AI$167*_xlfn.NORM.DIST(K$3,economics!$AK$2:$AK$167,economics!$AJ$2:$AJ$167,TRUE)),0)</f>
        <v/>
      </c>
      <c r="L20" s="68">
        <f t="array" ref="L20">IF($D20,SUMPRODUCT((economics!$AG$2:$AG$167=$B20)*(economics!$D$2:$D$167="whr")*economics!$AI$2:$AI$167*_xlfn.NORM.DIST(L$3,economics!$AK$2:$AK$167,economics!$AJ$2:$AJ$167,TRUE)),0)</f>
        <v/>
      </c>
      <c r="M20" s="68">
        <f t="array" ref="M20">IF($D20,SUMPRODUCT((economics!$AG$2:$AG$167=$B20)*(economics!$D$2:$D$167="whr")*economics!$AI$2:$AI$167*_xlfn.NORM.DIST(M$3,economics!$AK$2:$AK$167,economics!$AJ$2:$AJ$167,TRUE)),0)</f>
        <v/>
      </c>
      <c r="N20" s="68">
        <f t="array" ref="N20">IF($D20,SUMPRODUCT((economics!$AG$2:$AG$167=$B20)*(economics!$D$2:$D$167="whr")*economics!$AI$2:$AI$167*_xlfn.NORM.DIST(N$3,economics!$AK$2:$AK$167,economics!$AJ$2:$AJ$167,TRUE)),0)</f>
        <v/>
      </c>
      <c r="O20" s="68">
        <f t="array" ref="O20">IF($D20,SUMPRODUCT((economics!$AG$2:$AG$167=$B20)*(economics!$D$2:$D$167="whr")*economics!$AI$2:$AI$167*_xlfn.NORM.DIST(O$3,economics!$AK$2:$AK$167,economics!$AJ$2:$AJ$167,TRUE)),0)</f>
        <v/>
      </c>
      <c r="P20" s="68">
        <f t="array" ref="P20">IF($D20,SUMPRODUCT((economics!$AG$2:$AG$167=$B20)*(economics!$D$2:$D$167="whr")*economics!$AI$2:$AI$167*_xlfn.NORM.DIST(P$3,economics!$AK$2:$AK$167,economics!$AJ$2:$AJ$167,TRUE)),0)</f>
        <v/>
      </c>
      <c r="Q20" s="68">
        <f t="array" ref="Q20">IF($D20,SUMPRODUCT((economics!$AG$2:$AG$167=$B20)*(economics!$D$2:$D$167="whr")*economics!$AI$2:$AI$167*_xlfn.NORM.DIST(Q$3,economics!$AK$2:$AK$167,economics!$AJ$2:$AJ$167,TRUE)),0)</f>
        <v/>
      </c>
      <c r="R20" s="68">
        <f t="array" ref="R20">IF($D20,SUMPRODUCT((economics!$AG$2:$AG$167=$B20)*(economics!$D$2:$D$167="whr")*economics!$AI$2:$AI$167*_xlfn.NORM.DIST(R$3,economics!$AK$2:$AK$167,economics!$AJ$2:$AJ$167,TRUE)),0)</f>
        <v/>
      </c>
      <c r="S20" s="68">
        <f t="array" ref="S20">IF($D20,SUMPRODUCT((economics!$AG$2:$AG$167=$B20)*(economics!$D$2:$D$167="whr")*economics!$AI$2:$AI$167*_xlfn.NORM.DIST(S$3,economics!$AK$2:$AK$167,economics!$AJ$2:$AJ$167,TRUE)),0)</f>
        <v/>
      </c>
      <c r="T20" s="68">
        <f t="array" ref="T20">IF($D20,SUMPRODUCT((economics!$AG$2:$AG$167=$B20)*(economics!$D$2:$D$167="whr")*economics!$AI$2:$AI$167*_xlfn.NORM.DIST(T$3,economics!$AK$2:$AK$167,economics!$AJ$2:$AJ$167,TRUE)),0)</f>
        <v/>
      </c>
      <c r="U20" s="68">
        <f t="array" ref="U20">IF($D20,SUMPRODUCT((economics!$AG$2:$AG$167=$B20)*(economics!$D$2:$D$167="whr")*economics!$AI$2:$AI$167*_xlfn.NORM.DIST(U$3,economics!$AK$2:$AK$167,economics!$AJ$2:$AJ$167,TRUE)),0)</f>
        <v/>
      </c>
      <c r="V20" s="68">
        <f t="array" ref="V20">IF($D20,SUMPRODUCT((economics!$AG$2:$AG$167=$B20)*(economics!$D$2:$D$167="whr")*economics!$AI$2:$AI$167*_xlfn.NORM.DIST(V$3,economics!$AK$2:$AK$167,economics!$AJ$2:$AJ$167,TRUE)),0)</f>
        <v/>
      </c>
      <c r="W20" s="68">
        <f t="array" ref="W20">IF($D20,SUMPRODUCT((economics!$AG$2:$AG$167=$B20)*(economics!$D$2:$D$167="whr")*economics!$AI$2:$AI$167*_xlfn.NORM.DIST(W$3,economics!$AK$2:$AK$167,economics!$AJ$2:$AJ$167,TRUE)),0)</f>
        <v/>
      </c>
      <c r="X20" s="68">
        <f t="array" ref="X20">IF($D20,SUMPRODUCT((economics!$AG$2:$AG$167=$B20)*(economics!$D$2:$D$167="whr")*economics!$AI$2:$AI$167*_xlfn.NORM.DIST(X$3,economics!$AK$2:$AK$167,economics!$AJ$2:$AJ$167,TRUE)),0)</f>
        <v/>
      </c>
      <c r="Y20" s="68">
        <f t="array" ref="Y20">IF($D20,SUMPRODUCT((economics!$AG$2:$AG$167=$B20)*(economics!$D$2:$D$167="whr")*economics!$AI$2:$AI$167*_xlfn.NORM.DIST(Y$3,economics!$AK$2:$AK$167,economics!$AJ$2:$AJ$167,TRUE)),0)</f>
        <v/>
      </c>
      <c r="Z20" s="68">
        <f t="array" ref="Z20">IF($D20,SUMPRODUCT((economics!$AG$2:$AG$167=$B20)*(economics!$D$2:$D$167="whr")*economics!$AI$2:$AI$167*_xlfn.NORM.DIST(Z$3,economics!$AK$2:$AK$167,economics!$AJ$2:$AJ$167,TRUE)),0)</f>
        <v/>
      </c>
      <c r="AA20" s="68">
        <f t="array" ref="AA20">IF($D20,SUMPRODUCT((economics!$AG$2:$AG$167=$B20)*(economics!$D$2:$D$167="whr")*economics!$AI$2:$AI$167*_xlfn.NORM.DIST(AA$3,economics!$AK$2:$AK$167,economics!$AJ$2:$AJ$167,TRUE)),0)</f>
        <v/>
      </c>
      <c r="AB20" s="68">
        <f t="array" ref="AB20">IF($D20,SUMPRODUCT((economics!$AG$2:$AG$167=$B20)*(economics!$D$2:$D$167="whr")*economics!$AI$2:$AI$167*_xlfn.NORM.DIST(AB$3,economics!$AK$2:$AK$167,economics!$AJ$2:$AJ$167,TRUE)),0)</f>
        <v/>
      </c>
      <c r="AC20" s="68">
        <f t="array" ref="AC20">IF($D20,SUMPRODUCT((economics!$AG$2:$AG$167=$B20)*(economics!$D$2:$D$167="whr")*economics!$AI$2:$AI$167*_xlfn.NORM.DIST(AC$3,economics!$AK$2:$AK$167,economics!$AJ$2:$AJ$167,TRUE)),0)</f>
        <v/>
      </c>
      <c r="AD20" s="68">
        <f t="array" ref="AD20">IF($D20,SUMPRODUCT((economics!$AG$2:$AG$167=$B20)*(economics!$D$2:$D$167="whr")*economics!$AI$2:$AI$167*_xlfn.NORM.DIST(AD$3,economics!$AK$2:$AK$167,economics!$AJ$2:$AJ$167,TRUE)),0)</f>
        <v/>
      </c>
      <c r="AE20" s="68">
        <f t="array" ref="AE20">IF($D20,SUMPRODUCT((economics!$AG$2:$AG$167=$B20)*(economics!$D$2:$D$167="whr")*economics!$AI$2:$AI$167*_xlfn.NORM.DIST(AE$3,economics!$AK$2:$AK$167,economics!$AJ$2:$AJ$167,TRUE)),0)</f>
        <v/>
      </c>
      <c r="AF20" s="68">
        <f t="array" ref="AF20">IF($D20,SUMPRODUCT((economics!$AG$2:$AG$167=$B20)*(economics!$D$2:$D$167="whr")*economics!$AI$2:$AI$167*_xlfn.NORM.DIST(AF$3,economics!$AK$2:$AK$167,economics!$AJ$2:$AJ$167,TRUE)),0)</f>
        <v/>
      </c>
      <c r="AG20" s="68">
        <f t="array" ref="AG20">IF($D20,SUMPRODUCT((economics!$AG$2:$AG$167=$B20)*(economics!$D$2:$D$167="whr")*economics!$AI$2:$AI$167*_xlfn.NORM.DIST(AG$3,economics!$AK$2:$AK$167,economics!$AJ$2:$AJ$167,TRUE)),0)</f>
        <v/>
      </c>
      <c r="AH20" s="68">
        <f t="array" ref="AH20">IF($D20,SUMPRODUCT((economics!$AG$2:$AG$167=$B20)*(economics!$D$2:$D$167="whr")*economics!$AI$2:$AI$167*_xlfn.NORM.DIST(AH$3,economics!$AK$2:$AK$167,economics!$AJ$2:$AJ$167,TRUE)),0)</f>
        <v/>
      </c>
      <c r="AI20" s="68">
        <f t="array" ref="AI20">IF($D20,SUMPRODUCT((economics!$AG$2:$AG$167=$B20)*(economics!$D$2:$D$167="whr")*economics!$AI$2:$AI$167*_xlfn.NORM.DIST(AI$3,economics!$AK$2:$AK$167,economics!$AJ$2:$AJ$167,TRUE)),0)</f>
        <v/>
      </c>
      <c r="AJ20" s="68">
        <f t="array" ref="AJ20">IF($D20,SUMPRODUCT((economics!$AG$2:$AG$167=$B20)*(economics!$D$2:$D$167="whr")*economics!$AI$2:$AI$167*_xlfn.NORM.DIST(AJ$3,economics!$AK$2:$AK$167,economics!$AJ$2:$AJ$167,TRUE)),0)</f>
        <v/>
      </c>
      <c r="AK20" s="68">
        <f t="array" ref="AK20">IF($D20,SUMPRODUCT((economics!$AG$2:$AG$167=$B20)*(economics!$D$2:$D$167="whr")*economics!$AI$2:$AI$167*_xlfn.NORM.DIST(AK$3,economics!$AK$2:$AK$167,economics!$AJ$2:$AJ$167,TRUE)),0)</f>
        <v/>
      </c>
      <c r="AL20" s="68">
        <f t="array" ref="AL20">IF($D20,SUMPRODUCT((economics!$AG$2:$AG$167=$B20)*(economics!$D$2:$D$167="whr")*economics!$AI$2:$AI$167*_xlfn.NORM.DIST(AL$3,economics!$AK$2:$AK$167,economics!$AJ$2:$AJ$167,TRUE)),0)</f>
        <v/>
      </c>
      <c r="AM20" s="68">
        <f t="array" ref="AM20">IF($D20,SUMPRODUCT((economics!$AG$2:$AG$167=$B20)*(economics!$D$2:$D$167="whr")*economics!$AI$2:$AI$167*_xlfn.NORM.DIST(AM$3,economics!$AK$2:$AK$167,economics!$AJ$2:$AJ$167,TRUE)),0)</f>
        <v/>
      </c>
      <c r="AN20" s="68">
        <f t="array" ref="AN20">IF($D20,SUMPRODUCT((economics!$AG$2:$AG$167=$B20)*(economics!$D$2:$D$167="whr")*economics!$AI$2:$AI$167*_xlfn.NORM.DIST(AN$3,economics!$AK$2:$AK$167,economics!$AJ$2:$AJ$167,TRUE)),0)</f>
        <v/>
      </c>
      <c r="AO20" s="68">
        <f t="array" ref="AO20">IF($D20,SUMPRODUCT((economics!$AG$2:$AG$167=$B20)*(economics!$D$2:$D$167="whr")*economics!$AI$2:$AI$167*_xlfn.NORM.DIST(AO$3,economics!$AK$2:$AK$167,economics!$AJ$2:$AJ$167,TRUE)),0)</f>
        <v/>
      </c>
      <c r="AP20" s="68">
        <f t="array" ref="AP20">IF($D20,SUMPRODUCT((economics!$AG$2:$AG$167=$B20)*(economics!$D$2:$D$167="whr")*economics!$AI$2:$AI$167*_xlfn.NORM.DIST(AP$3,economics!$AK$2:$AK$167,economics!$AJ$2:$AJ$167,TRUE)),0)</f>
        <v/>
      </c>
      <c r="AQ20" s="68">
        <f t="array" ref="AQ20">IF($D20,SUMPRODUCT((economics!$AG$2:$AG$167=$B20)*(economics!$D$2:$D$167="whr")*economics!$AI$2:$AI$167*_xlfn.NORM.DIST(AQ$3,economics!$AK$2:$AK$167,economics!$AJ$2:$AJ$167,TRUE)),0)</f>
        <v/>
      </c>
      <c r="AR20" s="68">
        <f t="array" ref="AR20">IF($D20,SUMPRODUCT((economics!$AG$2:$AG$167=$B20)*(economics!$D$2:$D$167="whr")*economics!$AI$2:$AI$167*_xlfn.NORM.DIST(AR$3,economics!$AK$2:$AK$167,economics!$AJ$2:$AJ$167,TRUE)),0)</f>
        <v/>
      </c>
      <c r="AS20" s="68">
        <f t="array" ref="AS20">IF($D20,SUMPRODUCT((economics!$AG$2:$AG$167=$B20)*(economics!$D$2:$D$167="whr")*economics!$AI$2:$AI$167*_xlfn.NORM.DIST(AS$3,economics!$AK$2:$AK$167,economics!$AJ$2:$AJ$167,TRUE)),0)</f>
        <v/>
      </c>
      <c r="AT20" s="68">
        <f t="array" ref="AT20">IF($D20,SUMPRODUCT((economics!$AG$2:$AG$167=$B20)*(economics!$D$2:$D$167="whr")*economics!$AI$2:$AI$167*_xlfn.NORM.DIST(AT$3,economics!$AK$2:$AK$167,economics!$AJ$2:$AJ$167,TRUE)),0)</f>
        <v/>
      </c>
      <c r="AU20" s="68">
        <f t="array" ref="AU20">IF($D20,SUMPRODUCT((economics!$AG$2:$AG$167=$B20)*(economics!$D$2:$D$167="whr")*economics!$AI$2:$AI$167*_xlfn.NORM.DIST(AU$3,economics!$AK$2:$AK$167,economics!$AJ$2:$AJ$167,TRUE)),0)</f>
        <v/>
      </c>
      <c r="AV20" s="68">
        <f t="array" ref="AV20">IF($D20,SUMPRODUCT((economics!$AG$2:$AG$167=$B20)*(economics!$D$2:$D$167="whr")*economics!$AI$2:$AI$167*_xlfn.NORM.DIST(AV$3,economics!$AK$2:$AK$167,economics!$AJ$2:$AJ$167,TRUE)),0)</f>
        <v/>
      </c>
      <c r="AW20" s="68">
        <f t="array" ref="AW20">IF($D20,SUMPRODUCT((economics!$AG$2:$AG$167=$B20)*(economics!$D$2:$D$167="whr")*economics!$AI$2:$AI$167*_xlfn.NORM.DIST(AW$3,economics!$AK$2:$AK$167,economics!$AJ$2:$AJ$167,TRUE)),0)</f>
        <v/>
      </c>
      <c r="AX20" s="68">
        <f t="array" ref="AX20">IF($D20,SUMPRODUCT((economics!$AG$2:$AG$167=$B20)*(economics!$D$2:$D$167="whr")*economics!$AI$2:$AI$167*_xlfn.NORM.DIST(AX$3,economics!$AK$2:$AK$167,economics!$AJ$2:$AJ$167,TRUE)),0)</f>
        <v/>
      </c>
      <c r="AY20" s="68">
        <f t="array" ref="AY20">IF($D20,SUMPRODUCT((economics!$AG$2:$AG$167=$B20)*(economics!$D$2:$D$167="whr")*economics!$AI$2:$AI$167*_xlfn.NORM.DIST(AY$3,economics!$AK$2:$AK$167,economics!$AJ$2:$AJ$167,TRUE)),0)</f>
        <v/>
      </c>
      <c r="AZ20" s="68">
        <f t="array" ref="AZ20">IF($D20,SUMPRODUCT((economics!$AG$2:$AG$167=$B20)*(economics!$D$2:$D$167="whr")*economics!$AI$2:$AI$167*_xlfn.NORM.DIST(AZ$3,economics!$AK$2:$AK$167,economics!$AJ$2:$AJ$167,TRUE)),0)</f>
        <v/>
      </c>
      <c r="BA20" s="68">
        <f t="array" ref="BA20">IF($D20,SUMPRODUCT((economics!$AG$2:$AG$167=$B20)*(economics!$D$2:$D$167="whr")*economics!$AI$2:$AI$167*_xlfn.NORM.DIST(BA$3,economics!$AK$2:$AK$167,economics!$AJ$2:$AJ$167,TRUE)),0)</f>
        <v/>
      </c>
      <c r="BB20" s="68">
        <f t="array" ref="BB20">IF($D20,SUMPRODUCT((economics!$AG$2:$AG$167=$B20)*(economics!$D$2:$D$167="whr")*economics!$AI$2:$AI$167*_xlfn.NORM.DIST(BB$3,economics!$AK$2:$AK$167,economics!$AJ$2:$AJ$167,TRUE)),0)</f>
        <v/>
      </c>
      <c r="BC20" s="68">
        <f t="array" ref="BC20">IF($D20,SUMPRODUCT((economics!$AG$2:$AG$167=$B20)*(economics!$D$2:$D$167="whr")*economics!$AI$2:$AI$167*_xlfn.NORM.DIST(BC$3,economics!$AK$2:$AK$167,economics!$AJ$2:$AJ$167,TRUE)),0)</f>
        <v/>
      </c>
      <c r="BD20" s="68">
        <f t="array" ref="BD20">IF($D20,SUMPRODUCT((economics!$AG$2:$AG$167=$B20)*(economics!$D$2:$D$167="whr")*economics!$AI$2:$AI$167*_xlfn.NORM.DIST(BD$3,economics!$AK$2:$AK$167,economics!$AJ$2:$AJ$167,TRUE)),0)</f>
        <v/>
      </c>
      <c r="BE20" s="68">
        <f t="array" ref="BE20">IF($D20,SUMPRODUCT((economics!$AG$2:$AG$167=$B20)*(economics!$D$2:$D$167="whr")*economics!$AI$2:$AI$167*_xlfn.NORM.DIST(BE$3,economics!$AK$2:$AK$167,economics!$AJ$2:$AJ$167,TRUE)),0)</f>
        <v/>
      </c>
      <c r="BF20" s="68">
        <f t="array" ref="BF20">IF($D20,SUMPRODUCT((economics!$AG$2:$AG$167=$B20)*(economics!$D$2:$D$167="whr")*economics!$AI$2:$AI$167*_xlfn.NORM.DIST(BF$3,economics!$AK$2:$AK$167,economics!$AJ$2:$AJ$167,TRUE)),0)</f>
        <v/>
      </c>
      <c r="BG20" s="68">
        <f t="array" ref="BG20">IF($D20,SUMPRODUCT((economics!$AG$2:$AG$167=$B20)*(economics!$D$2:$D$167="whr")*economics!$AI$2:$AI$167*_xlfn.NORM.DIST(BG$3,economics!$AK$2:$AK$167,economics!$AJ$2:$AJ$167,TRUE)),0)</f>
        <v/>
      </c>
      <c r="BH20" s="68">
        <f t="array" ref="BH20">IF($D20,SUMPRODUCT((economics!$AG$2:$AG$167=$B20)*(economics!$D$2:$D$167="whr")*economics!$AI$2:$AI$167*_xlfn.NORM.DIST(BH$3,economics!$AK$2:$AK$167,economics!$AJ$2:$AJ$167,TRUE)),0)</f>
        <v/>
      </c>
      <c r="BI20" s="68">
        <f t="array" ref="BI20">IF($D20,SUMPRODUCT((economics!$AG$2:$AG$167=$B20)*(economics!$D$2:$D$167="whr")*economics!$AI$2:$AI$167*_xlfn.NORM.DIST(BI$3,economics!$AK$2:$AK$167,economics!$AJ$2:$AJ$167,TRUE)),0)</f>
        <v/>
      </c>
      <c r="BJ20" s="68">
        <f t="array" ref="BJ20">IF($D20,SUMPRODUCT((economics!$AG$2:$AG$167=$B20)*(economics!$D$2:$D$167="whr")*economics!$AI$2:$AI$167*_xlfn.NORM.DIST(BJ$3,economics!$AK$2:$AK$167,economics!$AJ$2:$AJ$167,TRUE)),0)</f>
        <v/>
      </c>
      <c r="BK20" s="68">
        <f t="array" ref="BK20">IF($D20,SUMPRODUCT((economics!$AG$2:$AG$167=$B20)*(economics!$D$2:$D$167="whr")*economics!$AI$2:$AI$167*_xlfn.NORM.DIST(BK$3,economics!$AK$2:$AK$167,economics!$AJ$2:$AJ$167,TRUE)),0)</f>
        <v/>
      </c>
      <c r="BL20" s="68">
        <f t="array" ref="BL20">IF($D20,SUMPRODUCT((economics!$AG$2:$AG$167=$B20)*(economics!$D$2:$D$167="whr")*economics!$AI$2:$AI$167*_xlfn.NORM.DIST(BL$3,economics!$AK$2:$AK$167,economics!$AJ$2:$AJ$167,TRUE)),0)</f>
        <v/>
      </c>
      <c r="BM20" s="68">
        <f t="array" ref="BM20">IF($D20,SUMPRODUCT((economics!$AG$2:$AG$167=$B20)*(economics!$D$2:$D$167="whr")*economics!$AI$2:$AI$167*_xlfn.NORM.DIST(BM$3,economics!$AK$2:$AK$167,economics!$AJ$2:$AJ$167,TRUE)),0)</f>
        <v/>
      </c>
      <c r="BN20" s="68">
        <f t="array" ref="BN20">IF($D20,SUMPRODUCT((economics!$AG$2:$AG$167=$B20)*(economics!$D$2:$D$167="whr")*economics!$AI$2:$AI$167*_xlfn.NORM.DIST(BN$3,economics!$AK$2:$AK$167,economics!$AJ$2:$AJ$167,TRUE)),0)</f>
        <v/>
      </c>
      <c r="BO20" s="68">
        <f t="array" ref="BO20">IF($D20,SUMPRODUCT((economics!$AG$2:$AG$167=$B20)*(economics!$D$2:$D$167="whr")*economics!$AI$2:$AI$167*_xlfn.NORM.DIST(BO$3,economics!$AK$2:$AK$167,economics!$AJ$2:$AJ$167,TRUE)),0)</f>
        <v/>
      </c>
      <c r="BP20" s="68">
        <f t="array" ref="BP20">IF($D20,SUMPRODUCT((economics!$AG$2:$AG$167=$B20)*(economics!$D$2:$D$167="whr")*economics!$AI$2:$AI$167*_xlfn.NORM.DIST(BP$3,economics!$AK$2:$AK$167,economics!$AJ$2:$AJ$167,TRUE)),0)</f>
        <v/>
      </c>
      <c r="BQ20" s="68">
        <f t="array" ref="BQ20">IF($D20,SUMPRODUCT((economics!$AG$2:$AG$167=$B20)*(economics!$D$2:$D$167="whr")*economics!$AI$2:$AI$167*_xlfn.NORM.DIST(BQ$3,economics!$AK$2:$AK$167,economics!$AJ$2:$AJ$167,TRUE)),0)</f>
        <v/>
      </c>
      <c r="BR20" s="68">
        <f t="array" ref="BR20">IF($D20,SUMPRODUCT((economics!$AG$2:$AG$167=$B20)*(economics!$D$2:$D$167="whr")*economics!$AI$2:$AI$167*_xlfn.NORM.DIST(BR$3,economics!$AK$2:$AK$167,economics!$AJ$2:$AJ$167,TRUE)),0)</f>
        <v/>
      </c>
      <c r="BS20" s="68">
        <f t="array" ref="BS20">IF($D20,SUMPRODUCT((economics!$AG$2:$AG$167=$B20)*(economics!$D$2:$D$167="whr")*economics!$AI$2:$AI$167*_xlfn.NORM.DIST(BS$3,economics!$AK$2:$AK$167,economics!$AJ$2:$AJ$167,TRUE)),0)</f>
        <v/>
      </c>
      <c r="BT20" s="68">
        <f t="array" ref="BT20">IF($D20,SUMPRODUCT((economics!$AG$2:$AG$167=$B20)*(economics!$D$2:$D$167="whr")*economics!$AI$2:$AI$167*_xlfn.NORM.DIST(BT$3,economics!$AK$2:$AK$167,economics!$AJ$2:$AJ$167,TRUE)),0)</f>
        <v/>
      </c>
      <c r="BU20" s="68">
        <f t="array" ref="BU20">IF($D20,SUMPRODUCT((economics!$AG$2:$AG$167=$B20)*(economics!$D$2:$D$167="whr")*economics!$AI$2:$AI$167*_xlfn.NORM.DIST(BU$3,economics!$AK$2:$AK$167,economics!$AJ$2:$AJ$167,TRUE)),0)</f>
        <v/>
      </c>
      <c r="BV20" s="68">
        <f t="array" ref="BV20">IF($D20,SUMPRODUCT((economics!$AG$2:$AG$167=$B20)*(economics!$D$2:$D$167="whr")*economics!$AI$2:$AI$167*_xlfn.NORM.DIST(BV$3,economics!$AK$2:$AK$167,economics!$AJ$2:$AJ$167,TRUE)),0)</f>
        <v/>
      </c>
      <c r="BW20" s="68">
        <f t="array" ref="BW20">IF($D20,SUMPRODUCT((economics!$AG$2:$AG$167=$B20)*(economics!$D$2:$D$167="whr")*economics!$AI$2:$AI$167*_xlfn.NORM.DIST(BW$3,economics!$AK$2:$AK$167,economics!$AJ$2:$AJ$167,TRUE)),0)</f>
        <v/>
      </c>
      <c r="BX20" s="68">
        <f t="array" ref="BX20">IF($D20,SUMPRODUCT((economics!$AG$2:$AG$167=$B20)*(economics!$D$2:$D$167="whr")*economics!$AI$2:$AI$167*_xlfn.NORM.DIST(BX$3,economics!$AK$2:$AK$167,economics!$AJ$2:$AJ$167,TRUE)),0)</f>
        <v/>
      </c>
      <c r="BY20" s="68">
        <f t="array" ref="BY20">IF($D20,SUMPRODUCT((economics!$AG$2:$AG$167=$B20)*(economics!$D$2:$D$167="whr")*economics!$AI$2:$AI$167*_xlfn.NORM.DIST(BY$3,economics!$AK$2:$AK$167,economics!$AJ$2:$AJ$167,TRUE)),0)</f>
        <v/>
      </c>
      <c r="BZ20" s="68">
        <f t="array" ref="BZ20">IF($D20,SUMPRODUCT((economics!$AG$2:$AG$167=$B20)*(economics!$D$2:$D$167="whr")*economics!$AI$2:$AI$167*_xlfn.NORM.DIST(BZ$3,economics!$AK$2:$AK$167,economics!$AJ$2:$AJ$167,TRUE)),0)</f>
        <v/>
      </c>
      <c r="CA20" s="68">
        <f t="array" ref="CA20">IF($D20,SUMPRODUCT((economics!$AG$2:$AG$167=$B20)*(economics!$D$2:$D$167="whr")*economics!$AI$2:$AI$167*_xlfn.NORM.DIST(CA$3,economics!$AK$2:$AK$167,economics!$AJ$2:$AJ$167,TRUE)),0)</f>
        <v/>
      </c>
      <c r="CB20" s="68">
        <f t="array" ref="CB20">IF($D20,SUMPRODUCT((economics!$AG$2:$AG$167=$B20)*(economics!$D$2:$D$167="whr")*economics!$AI$2:$AI$167*_xlfn.NORM.DIST(CB$3,economics!$AK$2:$AK$167,economics!$AJ$2:$AJ$167,TRUE)),0)</f>
        <v/>
      </c>
      <c r="CC20" s="68">
        <f t="array" ref="CC20">IF($D20,SUMPRODUCT((economics!$AG$2:$AG$167=$B20)*(economics!$D$2:$D$167="whr")*economics!$AI$2:$AI$167*_xlfn.NORM.DIST(CC$3,economics!$AK$2:$AK$167,economics!$AJ$2:$AJ$167,TRUE)),0)</f>
        <v/>
      </c>
      <c r="CD20" s="68">
        <f t="array" ref="CD20">IF($D20,SUMPRODUCT((economics!$AG$2:$AG$167=$B20)*(economics!$D$2:$D$167="whr")*economics!$AI$2:$AI$167*_xlfn.NORM.DIST(CD$3,economics!$AK$2:$AK$167,economics!$AJ$2:$AJ$167,TRUE)),0)</f>
        <v/>
      </c>
      <c r="CE20" s="68">
        <f t="array" ref="CE20">IF($D20,SUMPRODUCT((economics!$AG$2:$AG$167=$B20)*(economics!$D$2:$D$167="whr")*economics!$AI$2:$AI$167*_xlfn.NORM.DIST(CE$3,economics!$AK$2:$AK$167,economics!$AJ$2:$AJ$167,TRUE)),0)</f>
        <v/>
      </c>
      <c r="CF20" s="68">
        <f t="array" ref="CF20">IF($D20,SUMPRODUCT((economics!$AG$2:$AG$167=$B20)*(economics!$D$2:$D$167="whr")*economics!$AI$2:$AI$167*_xlfn.NORM.DIST(CF$3,economics!$AK$2:$AK$167,economics!$AJ$2:$AJ$167,TRUE)),0)</f>
        <v/>
      </c>
      <c r="CG20" s="68">
        <f t="array" ref="CG20">IF($D20,SUMPRODUCT((economics!$AG$2:$AG$167=$B20)*(economics!$D$2:$D$167="whr")*economics!$AI$2:$AI$167*_xlfn.NORM.DIST(CG$3,economics!$AK$2:$AK$167,economics!$AJ$2:$AJ$167,TRUE)),0)</f>
        <v/>
      </c>
      <c r="CH20" s="68">
        <f t="array" ref="CH20">IF($D20,SUMPRODUCT((economics!$AG$2:$AG$167=$B20)*(economics!$D$2:$D$167="whr")*economics!$AI$2:$AI$167*_xlfn.NORM.DIST(CH$3,economics!$AK$2:$AK$167,economics!$AJ$2:$AJ$167,TRUE)),0)</f>
        <v/>
      </c>
    </row>
    <row r="21">
      <c r="A21">
        <f>WHRPbI!A19</f>
        <v/>
      </c>
      <c r="B21" t="n">
        <v>27</v>
      </c>
      <c r="C21" s="68">
        <f>WHRPbI!B19</f>
        <v/>
      </c>
      <c r="D21">
        <f>ISNUMBER(MATCH($B21,'energy base (MECS)'!$K$4:$K$9,0))</f>
        <v/>
      </c>
      <c r="E21" s="68">
        <f t="array" ref="E21">IF($D21,SUMPRODUCT((economics!$AG$2:$AG$167=$B21)*(economics!$D$2:$D$167="whr")*economics!$AI$2:$AI$167*_xlfn.NORM.DIST(E$3,economics!$AK$2:$AK$167,economics!$AJ$2:$AJ$167,TRUE)),0)</f>
        <v/>
      </c>
      <c r="F21" s="68">
        <f t="array" ref="F21">IF($D21,SUMPRODUCT((economics!$AG$2:$AG$167=$B21)*(economics!$D$2:$D$167="whr")*economics!$AI$2:$AI$167*_xlfn.NORM.DIST(F$3,economics!$AK$2:$AK$167,economics!$AJ$2:$AJ$167,TRUE)),0)</f>
        <v/>
      </c>
      <c r="G21" s="68">
        <f t="array" ref="G21">IF($D21,SUMPRODUCT((economics!$AG$2:$AG$167=$B21)*(economics!$D$2:$D$167="whr")*economics!$AI$2:$AI$167*_xlfn.NORM.DIST(G$3,economics!$AK$2:$AK$167,economics!$AJ$2:$AJ$167,TRUE)),0)</f>
        <v/>
      </c>
      <c r="H21" s="68">
        <f t="array" ref="H21">IF($D21,SUMPRODUCT((economics!$AG$2:$AG$167=$B21)*(economics!$D$2:$D$167="whr")*economics!$AI$2:$AI$167*_xlfn.NORM.DIST(H$3,economics!$AK$2:$AK$167,economics!$AJ$2:$AJ$167,TRUE)),0)</f>
        <v/>
      </c>
      <c r="I21" s="68">
        <f t="array" ref="I21">IF($D21,SUMPRODUCT((economics!$AG$2:$AG$167=$B21)*(economics!$D$2:$D$167="whr")*economics!$AI$2:$AI$167*_xlfn.NORM.DIST(I$3,economics!$AK$2:$AK$167,economics!$AJ$2:$AJ$167,TRUE)),0)</f>
        <v/>
      </c>
      <c r="J21" s="68">
        <f t="array" ref="J21">IF($D21,SUMPRODUCT((economics!$AG$2:$AG$167=$B21)*(economics!$D$2:$D$167="whr")*economics!$AI$2:$AI$167*_xlfn.NORM.DIST(J$3,economics!$AK$2:$AK$167,economics!$AJ$2:$AJ$167,TRUE)),0)</f>
        <v/>
      </c>
      <c r="K21" s="68">
        <f t="array" ref="K21">IF($D21,SUMPRODUCT((economics!$AG$2:$AG$167=$B21)*(economics!$D$2:$D$167="whr")*economics!$AI$2:$AI$167*_xlfn.NORM.DIST(K$3,economics!$AK$2:$AK$167,economics!$AJ$2:$AJ$167,TRUE)),0)</f>
        <v/>
      </c>
      <c r="L21" s="68">
        <f t="array" ref="L21">IF($D21,SUMPRODUCT((economics!$AG$2:$AG$167=$B21)*(economics!$D$2:$D$167="whr")*economics!$AI$2:$AI$167*_xlfn.NORM.DIST(L$3,economics!$AK$2:$AK$167,economics!$AJ$2:$AJ$167,TRUE)),0)</f>
        <v/>
      </c>
      <c r="M21" s="68">
        <f t="array" ref="M21">IF($D21,SUMPRODUCT((economics!$AG$2:$AG$167=$B21)*(economics!$D$2:$D$167="whr")*economics!$AI$2:$AI$167*_xlfn.NORM.DIST(M$3,economics!$AK$2:$AK$167,economics!$AJ$2:$AJ$167,TRUE)),0)</f>
        <v/>
      </c>
      <c r="N21" s="68">
        <f t="array" ref="N21">IF($D21,SUMPRODUCT((economics!$AG$2:$AG$167=$B21)*(economics!$D$2:$D$167="whr")*economics!$AI$2:$AI$167*_xlfn.NORM.DIST(N$3,economics!$AK$2:$AK$167,economics!$AJ$2:$AJ$167,TRUE)),0)</f>
        <v/>
      </c>
      <c r="O21" s="68">
        <f t="array" ref="O21">IF($D21,SUMPRODUCT((economics!$AG$2:$AG$167=$B21)*(economics!$D$2:$D$167="whr")*economics!$AI$2:$AI$167*_xlfn.NORM.DIST(O$3,economics!$AK$2:$AK$167,economics!$AJ$2:$AJ$167,TRUE)),0)</f>
        <v/>
      </c>
      <c r="P21" s="68">
        <f t="array" ref="P21">IF($D21,SUMPRODUCT((economics!$AG$2:$AG$167=$B21)*(economics!$D$2:$D$167="whr")*economics!$AI$2:$AI$167*_xlfn.NORM.DIST(P$3,economics!$AK$2:$AK$167,economics!$AJ$2:$AJ$167,TRUE)),0)</f>
        <v/>
      </c>
      <c r="Q21" s="68">
        <f t="array" ref="Q21">IF($D21,SUMPRODUCT((economics!$AG$2:$AG$167=$B21)*(economics!$D$2:$D$167="whr")*economics!$AI$2:$AI$167*_xlfn.NORM.DIST(Q$3,economics!$AK$2:$AK$167,economics!$AJ$2:$AJ$167,TRUE)),0)</f>
        <v/>
      </c>
      <c r="R21" s="68">
        <f t="array" ref="R21">IF($D21,SUMPRODUCT((economics!$AG$2:$AG$167=$B21)*(economics!$D$2:$D$167="whr")*economics!$AI$2:$AI$167*_xlfn.NORM.DIST(R$3,economics!$AK$2:$AK$167,economics!$AJ$2:$AJ$167,TRUE)),0)</f>
        <v/>
      </c>
      <c r="S21" s="68">
        <f t="array" ref="S21">IF($D21,SUMPRODUCT((economics!$AG$2:$AG$167=$B21)*(economics!$D$2:$D$167="whr")*economics!$AI$2:$AI$167*_xlfn.NORM.DIST(S$3,economics!$AK$2:$AK$167,economics!$AJ$2:$AJ$167,TRUE)),0)</f>
        <v/>
      </c>
      <c r="T21" s="68">
        <f t="array" ref="T21">IF($D21,SUMPRODUCT((economics!$AG$2:$AG$167=$B21)*(economics!$D$2:$D$167="whr")*economics!$AI$2:$AI$167*_xlfn.NORM.DIST(T$3,economics!$AK$2:$AK$167,economics!$AJ$2:$AJ$167,TRUE)),0)</f>
        <v/>
      </c>
      <c r="U21" s="68">
        <f t="array" ref="U21">IF($D21,SUMPRODUCT((economics!$AG$2:$AG$167=$B21)*(economics!$D$2:$D$167="whr")*economics!$AI$2:$AI$167*_xlfn.NORM.DIST(U$3,economics!$AK$2:$AK$167,economics!$AJ$2:$AJ$167,TRUE)),0)</f>
        <v/>
      </c>
      <c r="V21" s="68">
        <f t="array" ref="V21">IF($D21,SUMPRODUCT((economics!$AG$2:$AG$167=$B21)*(economics!$D$2:$D$167="whr")*economics!$AI$2:$AI$167*_xlfn.NORM.DIST(V$3,economics!$AK$2:$AK$167,economics!$AJ$2:$AJ$167,TRUE)),0)</f>
        <v/>
      </c>
      <c r="W21" s="68">
        <f t="array" ref="W21">IF($D21,SUMPRODUCT((economics!$AG$2:$AG$167=$B21)*(economics!$D$2:$D$167="whr")*economics!$AI$2:$AI$167*_xlfn.NORM.DIST(W$3,economics!$AK$2:$AK$167,economics!$AJ$2:$AJ$167,TRUE)),0)</f>
        <v/>
      </c>
      <c r="X21" s="68">
        <f t="array" ref="X21">IF($D21,SUMPRODUCT((economics!$AG$2:$AG$167=$B21)*(economics!$D$2:$D$167="whr")*economics!$AI$2:$AI$167*_xlfn.NORM.DIST(X$3,economics!$AK$2:$AK$167,economics!$AJ$2:$AJ$167,TRUE)),0)</f>
        <v/>
      </c>
      <c r="Y21" s="68">
        <f t="array" ref="Y21">IF($D21,SUMPRODUCT((economics!$AG$2:$AG$167=$B21)*(economics!$D$2:$D$167="whr")*economics!$AI$2:$AI$167*_xlfn.NORM.DIST(Y$3,economics!$AK$2:$AK$167,economics!$AJ$2:$AJ$167,TRUE)),0)</f>
        <v/>
      </c>
      <c r="Z21" s="68">
        <f t="array" ref="Z21">IF($D21,SUMPRODUCT((economics!$AG$2:$AG$167=$B21)*(economics!$D$2:$D$167="whr")*economics!$AI$2:$AI$167*_xlfn.NORM.DIST(Z$3,economics!$AK$2:$AK$167,economics!$AJ$2:$AJ$167,TRUE)),0)</f>
        <v/>
      </c>
      <c r="AA21" s="68">
        <f t="array" ref="AA21">IF($D21,SUMPRODUCT((economics!$AG$2:$AG$167=$B21)*(economics!$D$2:$D$167="whr")*economics!$AI$2:$AI$167*_xlfn.NORM.DIST(AA$3,economics!$AK$2:$AK$167,economics!$AJ$2:$AJ$167,TRUE)),0)</f>
        <v/>
      </c>
      <c r="AB21" s="68">
        <f t="array" ref="AB21">IF($D21,SUMPRODUCT((economics!$AG$2:$AG$167=$B21)*(economics!$D$2:$D$167="whr")*economics!$AI$2:$AI$167*_xlfn.NORM.DIST(AB$3,economics!$AK$2:$AK$167,economics!$AJ$2:$AJ$167,TRUE)),0)</f>
        <v/>
      </c>
      <c r="AC21" s="68">
        <f t="array" ref="AC21">IF($D21,SUMPRODUCT((economics!$AG$2:$AG$167=$B21)*(economics!$D$2:$D$167="whr")*economics!$AI$2:$AI$167*_xlfn.NORM.DIST(AC$3,economics!$AK$2:$AK$167,economics!$AJ$2:$AJ$167,TRUE)),0)</f>
        <v/>
      </c>
      <c r="AD21" s="68">
        <f t="array" ref="AD21">IF($D21,SUMPRODUCT((economics!$AG$2:$AG$167=$B21)*(economics!$D$2:$D$167="whr")*economics!$AI$2:$AI$167*_xlfn.NORM.DIST(AD$3,economics!$AK$2:$AK$167,economics!$AJ$2:$AJ$167,TRUE)),0)</f>
        <v/>
      </c>
      <c r="AE21" s="68">
        <f t="array" ref="AE21">IF($D21,SUMPRODUCT((economics!$AG$2:$AG$167=$B21)*(economics!$D$2:$D$167="whr")*economics!$AI$2:$AI$167*_xlfn.NORM.DIST(AE$3,economics!$AK$2:$AK$167,economics!$AJ$2:$AJ$167,TRUE)),0)</f>
        <v/>
      </c>
      <c r="AF21" s="68">
        <f t="array" ref="AF21">IF($D21,SUMPRODUCT((economics!$AG$2:$AG$167=$B21)*(economics!$D$2:$D$167="whr")*economics!$AI$2:$AI$167*_xlfn.NORM.DIST(AF$3,economics!$AK$2:$AK$167,economics!$AJ$2:$AJ$167,TRUE)),0)</f>
        <v/>
      </c>
      <c r="AG21" s="68">
        <f t="array" ref="AG21">IF($D21,SUMPRODUCT((economics!$AG$2:$AG$167=$B21)*(economics!$D$2:$D$167="whr")*economics!$AI$2:$AI$167*_xlfn.NORM.DIST(AG$3,economics!$AK$2:$AK$167,economics!$AJ$2:$AJ$167,TRUE)),0)</f>
        <v/>
      </c>
      <c r="AH21" s="68">
        <f t="array" ref="AH21">IF($D21,SUMPRODUCT((economics!$AG$2:$AG$167=$B21)*(economics!$D$2:$D$167="whr")*economics!$AI$2:$AI$167*_xlfn.NORM.DIST(AH$3,economics!$AK$2:$AK$167,economics!$AJ$2:$AJ$167,TRUE)),0)</f>
        <v/>
      </c>
      <c r="AI21" s="68">
        <f t="array" ref="AI21">IF($D21,SUMPRODUCT((economics!$AG$2:$AG$167=$B21)*(economics!$D$2:$D$167="whr")*economics!$AI$2:$AI$167*_xlfn.NORM.DIST(AI$3,economics!$AK$2:$AK$167,economics!$AJ$2:$AJ$167,TRUE)),0)</f>
        <v/>
      </c>
      <c r="AJ21" s="68">
        <f t="array" ref="AJ21">IF($D21,SUMPRODUCT((economics!$AG$2:$AG$167=$B21)*(economics!$D$2:$D$167="whr")*economics!$AI$2:$AI$167*_xlfn.NORM.DIST(AJ$3,economics!$AK$2:$AK$167,economics!$AJ$2:$AJ$167,TRUE)),0)</f>
        <v/>
      </c>
      <c r="AK21" s="68">
        <f t="array" ref="AK21">IF($D21,SUMPRODUCT((economics!$AG$2:$AG$167=$B21)*(economics!$D$2:$D$167="whr")*economics!$AI$2:$AI$167*_xlfn.NORM.DIST(AK$3,economics!$AK$2:$AK$167,economics!$AJ$2:$AJ$167,TRUE)),0)</f>
        <v/>
      </c>
      <c r="AL21" s="68">
        <f t="array" ref="AL21">IF($D21,SUMPRODUCT((economics!$AG$2:$AG$167=$B21)*(economics!$D$2:$D$167="whr")*economics!$AI$2:$AI$167*_xlfn.NORM.DIST(AL$3,economics!$AK$2:$AK$167,economics!$AJ$2:$AJ$167,TRUE)),0)</f>
        <v/>
      </c>
      <c r="AM21" s="68">
        <f t="array" ref="AM21">IF($D21,SUMPRODUCT((economics!$AG$2:$AG$167=$B21)*(economics!$D$2:$D$167="whr")*economics!$AI$2:$AI$167*_xlfn.NORM.DIST(AM$3,economics!$AK$2:$AK$167,economics!$AJ$2:$AJ$167,TRUE)),0)</f>
        <v/>
      </c>
      <c r="AN21" s="68">
        <f t="array" ref="AN21">IF($D21,SUMPRODUCT((economics!$AG$2:$AG$167=$B21)*(economics!$D$2:$D$167="whr")*economics!$AI$2:$AI$167*_xlfn.NORM.DIST(AN$3,economics!$AK$2:$AK$167,economics!$AJ$2:$AJ$167,TRUE)),0)</f>
        <v/>
      </c>
      <c r="AO21" s="68">
        <f t="array" ref="AO21">IF($D21,SUMPRODUCT((economics!$AG$2:$AG$167=$B21)*(economics!$D$2:$D$167="whr")*economics!$AI$2:$AI$167*_xlfn.NORM.DIST(AO$3,economics!$AK$2:$AK$167,economics!$AJ$2:$AJ$167,TRUE)),0)</f>
        <v/>
      </c>
      <c r="AP21" s="68">
        <f t="array" ref="AP21">IF($D21,SUMPRODUCT((economics!$AG$2:$AG$167=$B21)*(economics!$D$2:$D$167="whr")*economics!$AI$2:$AI$167*_xlfn.NORM.DIST(AP$3,economics!$AK$2:$AK$167,economics!$AJ$2:$AJ$167,TRUE)),0)</f>
        <v/>
      </c>
      <c r="AQ21" s="68">
        <f t="array" ref="AQ21">IF($D21,SUMPRODUCT((economics!$AG$2:$AG$167=$B21)*(economics!$D$2:$D$167="whr")*economics!$AI$2:$AI$167*_xlfn.NORM.DIST(AQ$3,economics!$AK$2:$AK$167,economics!$AJ$2:$AJ$167,TRUE)),0)</f>
        <v/>
      </c>
      <c r="AR21" s="68">
        <f t="array" ref="AR21">IF($D21,SUMPRODUCT((economics!$AG$2:$AG$167=$B21)*(economics!$D$2:$D$167="whr")*economics!$AI$2:$AI$167*_xlfn.NORM.DIST(AR$3,economics!$AK$2:$AK$167,economics!$AJ$2:$AJ$167,TRUE)),0)</f>
        <v/>
      </c>
      <c r="AS21" s="68">
        <f t="array" ref="AS21">IF($D21,SUMPRODUCT((economics!$AG$2:$AG$167=$B21)*(economics!$D$2:$D$167="whr")*economics!$AI$2:$AI$167*_xlfn.NORM.DIST(AS$3,economics!$AK$2:$AK$167,economics!$AJ$2:$AJ$167,TRUE)),0)</f>
        <v/>
      </c>
      <c r="AT21" s="68">
        <f t="array" ref="AT21">IF($D21,SUMPRODUCT((economics!$AG$2:$AG$167=$B21)*(economics!$D$2:$D$167="whr")*economics!$AI$2:$AI$167*_xlfn.NORM.DIST(AT$3,economics!$AK$2:$AK$167,economics!$AJ$2:$AJ$167,TRUE)),0)</f>
        <v/>
      </c>
      <c r="AU21" s="68">
        <f t="array" ref="AU21">IF($D21,SUMPRODUCT((economics!$AG$2:$AG$167=$B21)*(economics!$D$2:$D$167="whr")*economics!$AI$2:$AI$167*_xlfn.NORM.DIST(AU$3,economics!$AK$2:$AK$167,economics!$AJ$2:$AJ$167,TRUE)),0)</f>
        <v/>
      </c>
      <c r="AV21" s="68">
        <f t="array" ref="AV21">IF($D21,SUMPRODUCT((economics!$AG$2:$AG$167=$B21)*(economics!$D$2:$D$167="whr")*economics!$AI$2:$AI$167*_xlfn.NORM.DIST(AV$3,economics!$AK$2:$AK$167,economics!$AJ$2:$AJ$167,TRUE)),0)</f>
        <v/>
      </c>
      <c r="AW21" s="68">
        <f t="array" ref="AW21">IF($D21,SUMPRODUCT((economics!$AG$2:$AG$167=$B21)*(economics!$D$2:$D$167="whr")*economics!$AI$2:$AI$167*_xlfn.NORM.DIST(AW$3,economics!$AK$2:$AK$167,economics!$AJ$2:$AJ$167,TRUE)),0)</f>
        <v/>
      </c>
      <c r="AX21" s="68">
        <f t="array" ref="AX21">IF($D21,SUMPRODUCT((economics!$AG$2:$AG$167=$B21)*(economics!$D$2:$D$167="whr")*economics!$AI$2:$AI$167*_xlfn.NORM.DIST(AX$3,economics!$AK$2:$AK$167,economics!$AJ$2:$AJ$167,TRUE)),0)</f>
        <v/>
      </c>
      <c r="AY21" s="68">
        <f t="array" ref="AY21">IF($D21,SUMPRODUCT((economics!$AG$2:$AG$167=$B21)*(economics!$D$2:$D$167="whr")*economics!$AI$2:$AI$167*_xlfn.NORM.DIST(AY$3,economics!$AK$2:$AK$167,economics!$AJ$2:$AJ$167,TRUE)),0)</f>
        <v/>
      </c>
      <c r="AZ21" s="68">
        <f t="array" ref="AZ21">IF($D21,SUMPRODUCT((economics!$AG$2:$AG$167=$B21)*(economics!$D$2:$D$167="whr")*economics!$AI$2:$AI$167*_xlfn.NORM.DIST(AZ$3,economics!$AK$2:$AK$167,economics!$AJ$2:$AJ$167,TRUE)),0)</f>
        <v/>
      </c>
      <c r="BA21" s="68">
        <f t="array" ref="BA21">IF($D21,SUMPRODUCT((economics!$AG$2:$AG$167=$B21)*(economics!$D$2:$D$167="whr")*economics!$AI$2:$AI$167*_xlfn.NORM.DIST(BA$3,economics!$AK$2:$AK$167,economics!$AJ$2:$AJ$167,TRUE)),0)</f>
        <v/>
      </c>
      <c r="BB21" s="68">
        <f t="array" ref="BB21">IF($D21,SUMPRODUCT((economics!$AG$2:$AG$167=$B21)*(economics!$D$2:$D$167="whr")*economics!$AI$2:$AI$167*_xlfn.NORM.DIST(BB$3,economics!$AK$2:$AK$167,economics!$AJ$2:$AJ$167,TRUE)),0)</f>
        <v/>
      </c>
      <c r="BC21" s="68">
        <f t="array" ref="BC21">IF($D21,SUMPRODUCT((economics!$AG$2:$AG$167=$B21)*(economics!$D$2:$D$167="whr")*economics!$AI$2:$AI$167*_xlfn.NORM.DIST(BC$3,economics!$AK$2:$AK$167,economics!$AJ$2:$AJ$167,TRUE)),0)</f>
        <v/>
      </c>
      <c r="BD21" s="68">
        <f t="array" ref="BD21">IF($D21,SUMPRODUCT((economics!$AG$2:$AG$167=$B21)*(economics!$D$2:$D$167="whr")*economics!$AI$2:$AI$167*_xlfn.NORM.DIST(BD$3,economics!$AK$2:$AK$167,economics!$AJ$2:$AJ$167,TRUE)),0)</f>
        <v/>
      </c>
      <c r="BE21" s="68">
        <f t="array" ref="BE21">IF($D21,SUMPRODUCT((economics!$AG$2:$AG$167=$B21)*(economics!$D$2:$D$167="whr")*economics!$AI$2:$AI$167*_xlfn.NORM.DIST(BE$3,economics!$AK$2:$AK$167,economics!$AJ$2:$AJ$167,TRUE)),0)</f>
        <v/>
      </c>
      <c r="BF21" s="68">
        <f t="array" ref="BF21">IF($D21,SUMPRODUCT((economics!$AG$2:$AG$167=$B21)*(economics!$D$2:$D$167="whr")*economics!$AI$2:$AI$167*_xlfn.NORM.DIST(BF$3,economics!$AK$2:$AK$167,economics!$AJ$2:$AJ$167,TRUE)),0)</f>
        <v/>
      </c>
      <c r="BG21" s="68">
        <f t="array" ref="BG21">IF($D21,SUMPRODUCT((economics!$AG$2:$AG$167=$B21)*(economics!$D$2:$D$167="whr")*economics!$AI$2:$AI$167*_xlfn.NORM.DIST(BG$3,economics!$AK$2:$AK$167,economics!$AJ$2:$AJ$167,TRUE)),0)</f>
        <v/>
      </c>
      <c r="BH21" s="68">
        <f t="array" ref="BH21">IF($D21,SUMPRODUCT((economics!$AG$2:$AG$167=$B21)*(economics!$D$2:$D$167="whr")*economics!$AI$2:$AI$167*_xlfn.NORM.DIST(BH$3,economics!$AK$2:$AK$167,economics!$AJ$2:$AJ$167,TRUE)),0)</f>
        <v/>
      </c>
      <c r="BI21" s="68">
        <f t="array" ref="BI21">IF($D21,SUMPRODUCT((economics!$AG$2:$AG$167=$B21)*(economics!$D$2:$D$167="whr")*economics!$AI$2:$AI$167*_xlfn.NORM.DIST(BI$3,economics!$AK$2:$AK$167,economics!$AJ$2:$AJ$167,TRUE)),0)</f>
        <v/>
      </c>
      <c r="BJ21" s="68">
        <f t="array" ref="BJ21">IF($D21,SUMPRODUCT((economics!$AG$2:$AG$167=$B21)*(economics!$D$2:$D$167="whr")*economics!$AI$2:$AI$167*_xlfn.NORM.DIST(BJ$3,economics!$AK$2:$AK$167,economics!$AJ$2:$AJ$167,TRUE)),0)</f>
        <v/>
      </c>
      <c r="BK21" s="68">
        <f t="array" ref="BK21">IF($D21,SUMPRODUCT((economics!$AG$2:$AG$167=$B21)*(economics!$D$2:$D$167="whr")*economics!$AI$2:$AI$167*_xlfn.NORM.DIST(BK$3,economics!$AK$2:$AK$167,economics!$AJ$2:$AJ$167,TRUE)),0)</f>
        <v/>
      </c>
      <c r="BL21" s="68">
        <f t="array" ref="BL21">IF($D21,SUMPRODUCT((economics!$AG$2:$AG$167=$B21)*(economics!$D$2:$D$167="whr")*economics!$AI$2:$AI$167*_xlfn.NORM.DIST(BL$3,economics!$AK$2:$AK$167,economics!$AJ$2:$AJ$167,TRUE)),0)</f>
        <v/>
      </c>
      <c r="BM21" s="68">
        <f t="array" ref="BM21">IF($D21,SUMPRODUCT((economics!$AG$2:$AG$167=$B21)*(economics!$D$2:$D$167="whr")*economics!$AI$2:$AI$167*_xlfn.NORM.DIST(BM$3,economics!$AK$2:$AK$167,economics!$AJ$2:$AJ$167,TRUE)),0)</f>
        <v/>
      </c>
      <c r="BN21" s="68">
        <f t="array" ref="BN21">IF($D21,SUMPRODUCT((economics!$AG$2:$AG$167=$B21)*(economics!$D$2:$D$167="whr")*economics!$AI$2:$AI$167*_xlfn.NORM.DIST(BN$3,economics!$AK$2:$AK$167,economics!$AJ$2:$AJ$167,TRUE)),0)</f>
        <v/>
      </c>
      <c r="BO21" s="68">
        <f t="array" ref="BO21">IF($D21,SUMPRODUCT((economics!$AG$2:$AG$167=$B21)*(economics!$D$2:$D$167="whr")*economics!$AI$2:$AI$167*_xlfn.NORM.DIST(BO$3,economics!$AK$2:$AK$167,economics!$AJ$2:$AJ$167,TRUE)),0)</f>
        <v/>
      </c>
      <c r="BP21" s="68">
        <f t="array" ref="BP21">IF($D21,SUMPRODUCT((economics!$AG$2:$AG$167=$B21)*(economics!$D$2:$D$167="whr")*economics!$AI$2:$AI$167*_xlfn.NORM.DIST(BP$3,economics!$AK$2:$AK$167,economics!$AJ$2:$AJ$167,TRUE)),0)</f>
        <v/>
      </c>
      <c r="BQ21" s="68">
        <f t="array" ref="BQ21">IF($D21,SUMPRODUCT((economics!$AG$2:$AG$167=$B21)*(economics!$D$2:$D$167="whr")*economics!$AI$2:$AI$167*_xlfn.NORM.DIST(BQ$3,economics!$AK$2:$AK$167,economics!$AJ$2:$AJ$167,TRUE)),0)</f>
        <v/>
      </c>
      <c r="BR21" s="68">
        <f t="array" ref="BR21">IF($D21,SUMPRODUCT((economics!$AG$2:$AG$167=$B21)*(economics!$D$2:$D$167="whr")*economics!$AI$2:$AI$167*_xlfn.NORM.DIST(BR$3,economics!$AK$2:$AK$167,economics!$AJ$2:$AJ$167,TRUE)),0)</f>
        <v/>
      </c>
      <c r="BS21" s="68">
        <f t="array" ref="BS21">IF($D21,SUMPRODUCT((economics!$AG$2:$AG$167=$B21)*(economics!$D$2:$D$167="whr")*economics!$AI$2:$AI$167*_xlfn.NORM.DIST(BS$3,economics!$AK$2:$AK$167,economics!$AJ$2:$AJ$167,TRUE)),0)</f>
        <v/>
      </c>
      <c r="BT21" s="68">
        <f t="array" ref="BT21">IF($D21,SUMPRODUCT((economics!$AG$2:$AG$167=$B21)*(economics!$D$2:$D$167="whr")*economics!$AI$2:$AI$167*_xlfn.NORM.DIST(BT$3,economics!$AK$2:$AK$167,economics!$AJ$2:$AJ$167,TRUE)),0)</f>
        <v/>
      </c>
      <c r="BU21" s="68">
        <f t="array" ref="BU21">IF($D21,SUMPRODUCT((economics!$AG$2:$AG$167=$B21)*(economics!$D$2:$D$167="whr")*economics!$AI$2:$AI$167*_xlfn.NORM.DIST(BU$3,economics!$AK$2:$AK$167,economics!$AJ$2:$AJ$167,TRUE)),0)</f>
        <v/>
      </c>
      <c r="BV21" s="68">
        <f t="array" ref="BV21">IF($D21,SUMPRODUCT((economics!$AG$2:$AG$167=$B21)*(economics!$D$2:$D$167="whr")*economics!$AI$2:$AI$167*_xlfn.NORM.DIST(BV$3,economics!$AK$2:$AK$167,economics!$AJ$2:$AJ$167,TRUE)),0)</f>
        <v/>
      </c>
      <c r="BW21" s="68">
        <f t="array" ref="BW21">IF($D21,SUMPRODUCT((economics!$AG$2:$AG$167=$B21)*(economics!$D$2:$D$167="whr")*economics!$AI$2:$AI$167*_xlfn.NORM.DIST(BW$3,economics!$AK$2:$AK$167,economics!$AJ$2:$AJ$167,TRUE)),0)</f>
        <v/>
      </c>
      <c r="BX21" s="68">
        <f t="array" ref="BX21">IF($D21,SUMPRODUCT((economics!$AG$2:$AG$167=$B21)*(economics!$D$2:$D$167="whr")*economics!$AI$2:$AI$167*_xlfn.NORM.DIST(BX$3,economics!$AK$2:$AK$167,economics!$AJ$2:$AJ$167,TRUE)),0)</f>
        <v/>
      </c>
      <c r="BY21" s="68">
        <f t="array" ref="BY21">IF($D21,SUMPRODUCT((economics!$AG$2:$AG$167=$B21)*(economics!$D$2:$D$167="whr")*economics!$AI$2:$AI$167*_xlfn.NORM.DIST(BY$3,economics!$AK$2:$AK$167,economics!$AJ$2:$AJ$167,TRUE)),0)</f>
        <v/>
      </c>
      <c r="BZ21" s="68">
        <f t="array" ref="BZ21">IF($D21,SUMPRODUCT((economics!$AG$2:$AG$167=$B21)*(economics!$D$2:$D$167="whr")*economics!$AI$2:$AI$167*_xlfn.NORM.DIST(BZ$3,economics!$AK$2:$AK$167,economics!$AJ$2:$AJ$167,TRUE)),0)</f>
        <v/>
      </c>
      <c r="CA21" s="68">
        <f t="array" ref="CA21">IF($D21,SUMPRODUCT((economics!$AG$2:$AG$167=$B21)*(economics!$D$2:$D$167="whr")*economics!$AI$2:$AI$167*_xlfn.NORM.DIST(CA$3,economics!$AK$2:$AK$167,economics!$AJ$2:$AJ$167,TRUE)),0)</f>
        <v/>
      </c>
      <c r="CB21" s="68">
        <f t="array" ref="CB21">IF($D21,SUMPRODUCT((economics!$AG$2:$AG$167=$B21)*(economics!$D$2:$D$167="whr")*economics!$AI$2:$AI$167*_xlfn.NORM.DIST(CB$3,economics!$AK$2:$AK$167,economics!$AJ$2:$AJ$167,TRUE)),0)</f>
        <v/>
      </c>
      <c r="CC21" s="68">
        <f t="array" ref="CC21">IF($D21,SUMPRODUCT((economics!$AG$2:$AG$167=$B21)*(economics!$D$2:$D$167="whr")*economics!$AI$2:$AI$167*_xlfn.NORM.DIST(CC$3,economics!$AK$2:$AK$167,economics!$AJ$2:$AJ$167,TRUE)),0)</f>
        <v/>
      </c>
      <c r="CD21" s="68">
        <f t="array" ref="CD21">IF($D21,SUMPRODUCT((economics!$AG$2:$AG$167=$B21)*(economics!$D$2:$D$167="whr")*economics!$AI$2:$AI$167*_xlfn.NORM.DIST(CD$3,economics!$AK$2:$AK$167,economics!$AJ$2:$AJ$167,TRUE)),0)</f>
        <v/>
      </c>
      <c r="CE21" s="68">
        <f t="array" ref="CE21">IF($D21,SUMPRODUCT((economics!$AG$2:$AG$167=$B21)*(economics!$D$2:$D$167="whr")*economics!$AI$2:$AI$167*_xlfn.NORM.DIST(CE$3,economics!$AK$2:$AK$167,economics!$AJ$2:$AJ$167,TRUE)),0)</f>
        <v/>
      </c>
      <c r="CF21" s="68">
        <f t="array" ref="CF21">IF($D21,SUMPRODUCT((economics!$AG$2:$AG$167=$B21)*(economics!$D$2:$D$167="whr")*economics!$AI$2:$AI$167*_xlfn.NORM.DIST(CF$3,economics!$AK$2:$AK$167,economics!$AJ$2:$AJ$167,TRUE)),0)</f>
        <v/>
      </c>
      <c r="CG21" s="68">
        <f t="array" ref="CG21">IF($D21,SUMPRODUCT((economics!$AG$2:$AG$167=$B21)*(economics!$D$2:$D$167="whr")*economics!$AI$2:$AI$167*_xlfn.NORM.DIST(CG$3,economics!$AK$2:$AK$167,economics!$AJ$2:$AJ$167,TRUE)),0)</f>
        <v/>
      </c>
      <c r="CH21" s="68">
        <f t="array" ref="CH21">IF($D21,SUMPRODUCT((economics!$AG$2:$AG$167=$B21)*(economics!$D$2:$D$167="whr")*economics!$AI$2:$AI$167*_xlfn.NORM.DIST(CH$3,economics!$AK$2:$AK$167,economics!$AJ$2:$AJ$167,TRUE)),0)</f>
        <v/>
      </c>
    </row>
    <row r="22">
      <c r="A22">
        <f>WHRPbI!A20</f>
        <v/>
      </c>
      <c r="B22" t="n">
        <v>28</v>
      </c>
      <c r="C22" s="68">
        <f>WHRPbI!B20</f>
        <v/>
      </c>
      <c r="D22">
        <f>ISNUMBER(MATCH($B22,'energy base (MECS)'!$K$4:$K$9,0))</f>
        <v/>
      </c>
      <c r="E22" s="68">
        <f t="array" ref="E22">IF($D22,SUMPRODUCT((economics!$AG$2:$AG$167=$B22)*(economics!$D$2:$D$167="whr")*economics!$AI$2:$AI$167*_xlfn.NORM.DIST(E$3,economics!$AK$2:$AK$167,economics!$AJ$2:$AJ$167,TRUE)),0)</f>
        <v/>
      </c>
      <c r="F22" s="68">
        <f t="array" ref="F22">IF($D22,SUMPRODUCT((economics!$AG$2:$AG$167=$B22)*(economics!$D$2:$D$167="whr")*economics!$AI$2:$AI$167*_xlfn.NORM.DIST(F$3,economics!$AK$2:$AK$167,economics!$AJ$2:$AJ$167,TRUE)),0)</f>
        <v/>
      </c>
      <c r="G22" s="68">
        <f t="array" ref="G22">IF($D22,SUMPRODUCT((economics!$AG$2:$AG$167=$B22)*(economics!$D$2:$D$167="whr")*economics!$AI$2:$AI$167*_xlfn.NORM.DIST(G$3,economics!$AK$2:$AK$167,economics!$AJ$2:$AJ$167,TRUE)),0)</f>
        <v/>
      </c>
      <c r="H22" s="68">
        <f t="array" ref="H22">IF($D22,SUMPRODUCT((economics!$AG$2:$AG$167=$B22)*(economics!$D$2:$D$167="whr")*economics!$AI$2:$AI$167*_xlfn.NORM.DIST(H$3,economics!$AK$2:$AK$167,economics!$AJ$2:$AJ$167,TRUE)),0)</f>
        <v/>
      </c>
      <c r="I22" s="68">
        <f t="array" ref="I22">IF($D22,SUMPRODUCT((economics!$AG$2:$AG$167=$B22)*(economics!$D$2:$D$167="whr")*economics!$AI$2:$AI$167*_xlfn.NORM.DIST(I$3,economics!$AK$2:$AK$167,economics!$AJ$2:$AJ$167,TRUE)),0)</f>
        <v/>
      </c>
      <c r="J22" s="68">
        <f t="array" ref="J22">IF($D22,SUMPRODUCT((economics!$AG$2:$AG$167=$B22)*(economics!$D$2:$D$167="whr")*economics!$AI$2:$AI$167*_xlfn.NORM.DIST(J$3,economics!$AK$2:$AK$167,economics!$AJ$2:$AJ$167,TRUE)),0)</f>
        <v/>
      </c>
      <c r="K22" s="68">
        <f t="array" ref="K22">IF($D22,SUMPRODUCT((economics!$AG$2:$AG$167=$B22)*(economics!$D$2:$D$167="whr")*economics!$AI$2:$AI$167*_xlfn.NORM.DIST(K$3,economics!$AK$2:$AK$167,economics!$AJ$2:$AJ$167,TRUE)),0)</f>
        <v/>
      </c>
      <c r="L22" s="68">
        <f t="array" ref="L22">IF($D22,SUMPRODUCT((economics!$AG$2:$AG$167=$B22)*(economics!$D$2:$D$167="whr")*economics!$AI$2:$AI$167*_xlfn.NORM.DIST(L$3,economics!$AK$2:$AK$167,economics!$AJ$2:$AJ$167,TRUE)),0)</f>
        <v/>
      </c>
      <c r="M22" s="68">
        <f t="array" ref="M22">IF($D22,SUMPRODUCT((economics!$AG$2:$AG$167=$B22)*(economics!$D$2:$D$167="whr")*economics!$AI$2:$AI$167*_xlfn.NORM.DIST(M$3,economics!$AK$2:$AK$167,economics!$AJ$2:$AJ$167,TRUE)),0)</f>
        <v/>
      </c>
      <c r="N22" s="68">
        <f t="array" ref="N22">IF($D22,SUMPRODUCT((economics!$AG$2:$AG$167=$B22)*(economics!$D$2:$D$167="whr")*economics!$AI$2:$AI$167*_xlfn.NORM.DIST(N$3,economics!$AK$2:$AK$167,economics!$AJ$2:$AJ$167,TRUE)),0)</f>
        <v/>
      </c>
      <c r="O22" s="68">
        <f t="array" ref="O22">IF($D22,SUMPRODUCT((economics!$AG$2:$AG$167=$B22)*(economics!$D$2:$D$167="whr")*economics!$AI$2:$AI$167*_xlfn.NORM.DIST(O$3,economics!$AK$2:$AK$167,economics!$AJ$2:$AJ$167,TRUE)),0)</f>
        <v/>
      </c>
      <c r="P22" s="68">
        <f t="array" ref="P22">IF($D22,SUMPRODUCT((economics!$AG$2:$AG$167=$B22)*(economics!$D$2:$D$167="whr")*economics!$AI$2:$AI$167*_xlfn.NORM.DIST(P$3,economics!$AK$2:$AK$167,economics!$AJ$2:$AJ$167,TRUE)),0)</f>
        <v/>
      </c>
      <c r="Q22" s="68">
        <f t="array" ref="Q22">IF($D22,SUMPRODUCT((economics!$AG$2:$AG$167=$B22)*(economics!$D$2:$D$167="whr")*economics!$AI$2:$AI$167*_xlfn.NORM.DIST(Q$3,economics!$AK$2:$AK$167,economics!$AJ$2:$AJ$167,TRUE)),0)</f>
        <v/>
      </c>
      <c r="R22" s="68">
        <f t="array" ref="R22">IF($D22,SUMPRODUCT((economics!$AG$2:$AG$167=$B22)*(economics!$D$2:$D$167="whr")*economics!$AI$2:$AI$167*_xlfn.NORM.DIST(R$3,economics!$AK$2:$AK$167,economics!$AJ$2:$AJ$167,TRUE)),0)</f>
        <v/>
      </c>
      <c r="S22" s="68">
        <f t="array" ref="S22">IF($D22,SUMPRODUCT((economics!$AG$2:$AG$167=$B22)*(economics!$D$2:$D$167="whr")*economics!$AI$2:$AI$167*_xlfn.NORM.DIST(S$3,economics!$AK$2:$AK$167,economics!$AJ$2:$AJ$167,TRUE)),0)</f>
        <v/>
      </c>
      <c r="T22" s="68">
        <f t="array" ref="T22">IF($D22,SUMPRODUCT((economics!$AG$2:$AG$167=$B22)*(economics!$D$2:$D$167="whr")*economics!$AI$2:$AI$167*_xlfn.NORM.DIST(T$3,economics!$AK$2:$AK$167,economics!$AJ$2:$AJ$167,TRUE)),0)</f>
        <v/>
      </c>
      <c r="U22" s="68">
        <f t="array" ref="U22">IF($D22,SUMPRODUCT((economics!$AG$2:$AG$167=$B22)*(economics!$D$2:$D$167="whr")*economics!$AI$2:$AI$167*_xlfn.NORM.DIST(U$3,economics!$AK$2:$AK$167,economics!$AJ$2:$AJ$167,TRUE)),0)</f>
        <v/>
      </c>
      <c r="V22" s="68">
        <f t="array" ref="V22">IF($D22,SUMPRODUCT((economics!$AG$2:$AG$167=$B22)*(economics!$D$2:$D$167="whr")*economics!$AI$2:$AI$167*_xlfn.NORM.DIST(V$3,economics!$AK$2:$AK$167,economics!$AJ$2:$AJ$167,TRUE)),0)</f>
        <v/>
      </c>
      <c r="W22" s="68">
        <f t="array" ref="W22">IF($D22,SUMPRODUCT((economics!$AG$2:$AG$167=$B22)*(economics!$D$2:$D$167="whr")*economics!$AI$2:$AI$167*_xlfn.NORM.DIST(W$3,economics!$AK$2:$AK$167,economics!$AJ$2:$AJ$167,TRUE)),0)</f>
        <v/>
      </c>
      <c r="X22" s="68">
        <f t="array" ref="X22">IF($D22,SUMPRODUCT((economics!$AG$2:$AG$167=$B22)*(economics!$D$2:$D$167="whr")*economics!$AI$2:$AI$167*_xlfn.NORM.DIST(X$3,economics!$AK$2:$AK$167,economics!$AJ$2:$AJ$167,TRUE)),0)</f>
        <v/>
      </c>
      <c r="Y22" s="68">
        <f t="array" ref="Y22">IF($D22,SUMPRODUCT((economics!$AG$2:$AG$167=$B22)*(economics!$D$2:$D$167="whr")*economics!$AI$2:$AI$167*_xlfn.NORM.DIST(Y$3,economics!$AK$2:$AK$167,economics!$AJ$2:$AJ$167,TRUE)),0)</f>
        <v/>
      </c>
      <c r="Z22" s="68">
        <f t="array" ref="Z22">IF($D22,SUMPRODUCT((economics!$AG$2:$AG$167=$B22)*(economics!$D$2:$D$167="whr")*economics!$AI$2:$AI$167*_xlfn.NORM.DIST(Z$3,economics!$AK$2:$AK$167,economics!$AJ$2:$AJ$167,TRUE)),0)</f>
        <v/>
      </c>
      <c r="AA22" s="68">
        <f t="array" ref="AA22">IF($D22,SUMPRODUCT((economics!$AG$2:$AG$167=$B22)*(economics!$D$2:$D$167="whr")*economics!$AI$2:$AI$167*_xlfn.NORM.DIST(AA$3,economics!$AK$2:$AK$167,economics!$AJ$2:$AJ$167,TRUE)),0)</f>
        <v/>
      </c>
      <c r="AB22" s="68">
        <f t="array" ref="AB22">IF($D22,SUMPRODUCT((economics!$AG$2:$AG$167=$B22)*(economics!$D$2:$D$167="whr")*economics!$AI$2:$AI$167*_xlfn.NORM.DIST(AB$3,economics!$AK$2:$AK$167,economics!$AJ$2:$AJ$167,TRUE)),0)</f>
        <v/>
      </c>
      <c r="AC22" s="68">
        <f t="array" ref="AC22">IF($D22,SUMPRODUCT((economics!$AG$2:$AG$167=$B22)*(economics!$D$2:$D$167="whr")*economics!$AI$2:$AI$167*_xlfn.NORM.DIST(AC$3,economics!$AK$2:$AK$167,economics!$AJ$2:$AJ$167,TRUE)),0)</f>
        <v/>
      </c>
      <c r="AD22" s="68">
        <f t="array" ref="AD22">IF($D22,SUMPRODUCT((economics!$AG$2:$AG$167=$B22)*(economics!$D$2:$D$167="whr")*economics!$AI$2:$AI$167*_xlfn.NORM.DIST(AD$3,economics!$AK$2:$AK$167,economics!$AJ$2:$AJ$167,TRUE)),0)</f>
        <v/>
      </c>
      <c r="AE22" s="68">
        <f t="array" ref="AE22">IF($D22,SUMPRODUCT((economics!$AG$2:$AG$167=$B22)*(economics!$D$2:$D$167="whr")*economics!$AI$2:$AI$167*_xlfn.NORM.DIST(AE$3,economics!$AK$2:$AK$167,economics!$AJ$2:$AJ$167,TRUE)),0)</f>
        <v/>
      </c>
      <c r="AF22" s="68">
        <f t="array" ref="AF22">IF($D22,SUMPRODUCT((economics!$AG$2:$AG$167=$B22)*(economics!$D$2:$D$167="whr")*economics!$AI$2:$AI$167*_xlfn.NORM.DIST(AF$3,economics!$AK$2:$AK$167,economics!$AJ$2:$AJ$167,TRUE)),0)</f>
        <v/>
      </c>
      <c r="AG22" s="68">
        <f t="array" ref="AG22">IF($D22,SUMPRODUCT((economics!$AG$2:$AG$167=$B22)*(economics!$D$2:$D$167="whr")*economics!$AI$2:$AI$167*_xlfn.NORM.DIST(AG$3,economics!$AK$2:$AK$167,economics!$AJ$2:$AJ$167,TRUE)),0)</f>
        <v/>
      </c>
      <c r="AH22" s="68">
        <f t="array" ref="AH22">IF($D22,SUMPRODUCT((economics!$AG$2:$AG$167=$B22)*(economics!$D$2:$D$167="whr")*economics!$AI$2:$AI$167*_xlfn.NORM.DIST(AH$3,economics!$AK$2:$AK$167,economics!$AJ$2:$AJ$167,TRUE)),0)</f>
        <v/>
      </c>
      <c r="AI22" s="68">
        <f t="array" ref="AI22">IF($D22,SUMPRODUCT((economics!$AG$2:$AG$167=$B22)*(economics!$D$2:$D$167="whr")*economics!$AI$2:$AI$167*_xlfn.NORM.DIST(AI$3,economics!$AK$2:$AK$167,economics!$AJ$2:$AJ$167,TRUE)),0)</f>
        <v/>
      </c>
      <c r="AJ22" s="68">
        <f t="array" ref="AJ22">IF($D22,SUMPRODUCT((economics!$AG$2:$AG$167=$B22)*(economics!$D$2:$D$167="whr")*economics!$AI$2:$AI$167*_xlfn.NORM.DIST(AJ$3,economics!$AK$2:$AK$167,economics!$AJ$2:$AJ$167,TRUE)),0)</f>
        <v/>
      </c>
      <c r="AK22" s="68">
        <f t="array" ref="AK22">IF($D22,SUMPRODUCT((economics!$AG$2:$AG$167=$B22)*(economics!$D$2:$D$167="whr")*economics!$AI$2:$AI$167*_xlfn.NORM.DIST(AK$3,economics!$AK$2:$AK$167,economics!$AJ$2:$AJ$167,TRUE)),0)</f>
        <v/>
      </c>
      <c r="AL22" s="68">
        <f t="array" ref="AL22">IF($D22,SUMPRODUCT((economics!$AG$2:$AG$167=$B22)*(economics!$D$2:$D$167="whr")*economics!$AI$2:$AI$167*_xlfn.NORM.DIST(AL$3,economics!$AK$2:$AK$167,economics!$AJ$2:$AJ$167,TRUE)),0)</f>
        <v/>
      </c>
      <c r="AM22" s="68">
        <f t="array" ref="AM22">IF($D22,SUMPRODUCT((economics!$AG$2:$AG$167=$B22)*(economics!$D$2:$D$167="whr")*economics!$AI$2:$AI$167*_xlfn.NORM.DIST(AM$3,economics!$AK$2:$AK$167,economics!$AJ$2:$AJ$167,TRUE)),0)</f>
        <v/>
      </c>
      <c r="AN22" s="68">
        <f t="array" ref="AN22">IF($D22,SUMPRODUCT((economics!$AG$2:$AG$167=$B22)*(economics!$D$2:$D$167="whr")*economics!$AI$2:$AI$167*_xlfn.NORM.DIST(AN$3,economics!$AK$2:$AK$167,economics!$AJ$2:$AJ$167,TRUE)),0)</f>
        <v/>
      </c>
      <c r="AO22" s="68">
        <f t="array" ref="AO22">IF($D22,SUMPRODUCT((economics!$AG$2:$AG$167=$B22)*(economics!$D$2:$D$167="whr")*economics!$AI$2:$AI$167*_xlfn.NORM.DIST(AO$3,economics!$AK$2:$AK$167,economics!$AJ$2:$AJ$167,TRUE)),0)</f>
        <v/>
      </c>
      <c r="AP22" s="68">
        <f t="array" ref="AP22">IF($D22,SUMPRODUCT((economics!$AG$2:$AG$167=$B22)*(economics!$D$2:$D$167="whr")*economics!$AI$2:$AI$167*_xlfn.NORM.DIST(AP$3,economics!$AK$2:$AK$167,economics!$AJ$2:$AJ$167,TRUE)),0)</f>
        <v/>
      </c>
      <c r="AQ22" s="68">
        <f t="array" ref="AQ22">IF($D22,SUMPRODUCT((economics!$AG$2:$AG$167=$B22)*(economics!$D$2:$D$167="whr")*economics!$AI$2:$AI$167*_xlfn.NORM.DIST(AQ$3,economics!$AK$2:$AK$167,economics!$AJ$2:$AJ$167,TRUE)),0)</f>
        <v/>
      </c>
      <c r="AR22" s="68">
        <f t="array" ref="AR22">IF($D22,SUMPRODUCT((economics!$AG$2:$AG$167=$B22)*(economics!$D$2:$D$167="whr")*economics!$AI$2:$AI$167*_xlfn.NORM.DIST(AR$3,economics!$AK$2:$AK$167,economics!$AJ$2:$AJ$167,TRUE)),0)</f>
        <v/>
      </c>
      <c r="AS22" s="68">
        <f t="array" ref="AS22">IF($D22,SUMPRODUCT((economics!$AG$2:$AG$167=$B22)*(economics!$D$2:$D$167="whr")*economics!$AI$2:$AI$167*_xlfn.NORM.DIST(AS$3,economics!$AK$2:$AK$167,economics!$AJ$2:$AJ$167,TRUE)),0)</f>
        <v/>
      </c>
      <c r="AT22" s="68">
        <f t="array" ref="AT22">IF($D22,SUMPRODUCT((economics!$AG$2:$AG$167=$B22)*(economics!$D$2:$D$167="whr")*economics!$AI$2:$AI$167*_xlfn.NORM.DIST(AT$3,economics!$AK$2:$AK$167,economics!$AJ$2:$AJ$167,TRUE)),0)</f>
        <v/>
      </c>
      <c r="AU22" s="68">
        <f t="array" ref="AU22">IF($D22,SUMPRODUCT((economics!$AG$2:$AG$167=$B22)*(economics!$D$2:$D$167="whr")*economics!$AI$2:$AI$167*_xlfn.NORM.DIST(AU$3,economics!$AK$2:$AK$167,economics!$AJ$2:$AJ$167,TRUE)),0)</f>
        <v/>
      </c>
      <c r="AV22" s="68">
        <f t="array" ref="AV22">IF($D22,SUMPRODUCT((economics!$AG$2:$AG$167=$B22)*(economics!$D$2:$D$167="whr")*economics!$AI$2:$AI$167*_xlfn.NORM.DIST(AV$3,economics!$AK$2:$AK$167,economics!$AJ$2:$AJ$167,TRUE)),0)</f>
        <v/>
      </c>
      <c r="AW22" s="68">
        <f t="array" ref="AW22">IF($D22,SUMPRODUCT((economics!$AG$2:$AG$167=$B22)*(economics!$D$2:$D$167="whr")*economics!$AI$2:$AI$167*_xlfn.NORM.DIST(AW$3,economics!$AK$2:$AK$167,economics!$AJ$2:$AJ$167,TRUE)),0)</f>
        <v/>
      </c>
      <c r="AX22" s="68">
        <f t="array" ref="AX22">IF($D22,SUMPRODUCT((economics!$AG$2:$AG$167=$B22)*(economics!$D$2:$D$167="whr")*economics!$AI$2:$AI$167*_xlfn.NORM.DIST(AX$3,economics!$AK$2:$AK$167,economics!$AJ$2:$AJ$167,TRUE)),0)</f>
        <v/>
      </c>
      <c r="AY22" s="68">
        <f t="array" ref="AY22">IF($D22,SUMPRODUCT((economics!$AG$2:$AG$167=$B22)*(economics!$D$2:$D$167="whr")*economics!$AI$2:$AI$167*_xlfn.NORM.DIST(AY$3,economics!$AK$2:$AK$167,economics!$AJ$2:$AJ$167,TRUE)),0)</f>
        <v/>
      </c>
      <c r="AZ22" s="68">
        <f t="array" ref="AZ22">IF($D22,SUMPRODUCT((economics!$AG$2:$AG$167=$B22)*(economics!$D$2:$D$167="whr")*economics!$AI$2:$AI$167*_xlfn.NORM.DIST(AZ$3,economics!$AK$2:$AK$167,economics!$AJ$2:$AJ$167,TRUE)),0)</f>
        <v/>
      </c>
      <c r="BA22" s="68">
        <f t="array" ref="BA22">IF($D22,SUMPRODUCT((economics!$AG$2:$AG$167=$B22)*(economics!$D$2:$D$167="whr")*economics!$AI$2:$AI$167*_xlfn.NORM.DIST(BA$3,economics!$AK$2:$AK$167,economics!$AJ$2:$AJ$167,TRUE)),0)</f>
        <v/>
      </c>
      <c r="BB22" s="68">
        <f t="array" ref="BB22">IF($D22,SUMPRODUCT((economics!$AG$2:$AG$167=$B22)*(economics!$D$2:$D$167="whr")*economics!$AI$2:$AI$167*_xlfn.NORM.DIST(BB$3,economics!$AK$2:$AK$167,economics!$AJ$2:$AJ$167,TRUE)),0)</f>
        <v/>
      </c>
      <c r="BC22" s="68">
        <f t="array" ref="BC22">IF($D22,SUMPRODUCT((economics!$AG$2:$AG$167=$B22)*(economics!$D$2:$D$167="whr")*economics!$AI$2:$AI$167*_xlfn.NORM.DIST(BC$3,economics!$AK$2:$AK$167,economics!$AJ$2:$AJ$167,TRUE)),0)</f>
        <v/>
      </c>
      <c r="BD22" s="68">
        <f t="array" ref="BD22">IF($D22,SUMPRODUCT((economics!$AG$2:$AG$167=$B22)*(economics!$D$2:$D$167="whr")*economics!$AI$2:$AI$167*_xlfn.NORM.DIST(BD$3,economics!$AK$2:$AK$167,economics!$AJ$2:$AJ$167,TRUE)),0)</f>
        <v/>
      </c>
      <c r="BE22" s="68">
        <f t="array" ref="BE22">IF($D22,SUMPRODUCT((economics!$AG$2:$AG$167=$B22)*(economics!$D$2:$D$167="whr")*economics!$AI$2:$AI$167*_xlfn.NORM.DIST(BE$3,economics!$AK$2:$AK$167,economics!$AJ$2:$AJ$167,TRUE)),0)</f>
        <v/>
      </c>
      <c r="BF22" s="68">
        <f t="array" ref="BF22">IF($D22,SUMPRODUCT((economics!$AG$2:$AG$167=$B22)*(economics!$D$2:$D$167="whr")*economics!$AI$2:$AI$167*_xlfn.NORM.DIST(BF$3,economics!$AK$2:$AK$167,economics!$AJ$2:$AJ$167,TRUE)),0)</f>
        <v/>
      </c>
      <c r="BG22" s="68">
        <f t="array" ref="BG22">IF($D22,SUMPRODUCT((economics!$AG$2:$AG$167=$B22)*(economics!$D$2:$D$167="whr")*economics!$AI$2:$AI$167*_xlfn.NORM.DIST(BG$3,economics!$AK$2:$AK$167,economics!$AJ$2:$AJ$167,TRUE)),0)</f>
        <v/>
      </c>
      <c r="BH22" s="68">
        <f t="array" ref="BH22">IF($D22,SUMPRODUCT((economics!$AG$2:$AG$167=$B22)*(economics!$D$2:$D$167="whr")*economics!$AI$2:$AI$167*_xlfn.NORM.DIST(BH$3,economics!$AK$2:$AK$167,economics!$AJ$2:$AJ$167,TRUE)),0)</f>
        <v/>
      </c>
      <c r="BI22" s="68">
        <f t="array" ref="BI22">IF($D22,SUMPRODUCT((economics!$AG$2:$AG$167=$B22)*(economics!$D$2:$D$167="whr")*economics!$AI$2:$AI$167*_xlfn.NORM.DIST(BI$3,economics!$AK$2:$AK$167,economics!$AJ$2:$AJ$167,TRUE)),0)</f>
        <v/>
      </c>
      <c r="BJ22" s="68">
        <f t="array" ref="BJ22">IF($D22,SUMPRODUCT((economics!$AG$2:$AG$167=$B22)*(economics!$D$2:$D$167="whr")*economics!$AI$2:$AI$167*_xlfn.NORM.DIST(BJ$3,economics!$AK$2:$AK$167,economics!$AJ$2:$AJ$167,TRUE)),0)</f>
        <v/>
      </c>
      <c r="BK22" s="68">
        <f t="array" ref="BK22">IF($D22,SUMPRODUCT((economics!$AG$2:$AG$167=$B22)*(economics!$D$2:$D$167="whr")*economics!$AI$2:$AI$167*_xlfn.NORM.DIST(BK$3,economics!$AK$2:$AK$167,economics!$AJ$2:$AJ$167,TRUE)),0)</f>
        <v/>
      </c>
      <c r="BL22" s="68">
        <f t="array" ref="BL22">IF($D22,SUMPRODUCT((economics!$AG$2:$AG$167=$B22)*(economics!$D$2:$D$167="whr")*economics!$AI$2:$AI$167*_xlfn.NORM.DIST(BL$3,economics!$AK$2:$AK$167,economics!$AJ$2:$AJ$167,TRUE)),0)</f>
        <v/>
      </c>
      <c r="BM22" s="68">
        <f t="array" ref="BM22">IF($D22,SUMPRODUCT((economics!$AG$2:$AG$167=$B22)*(economics!$D$2:$D$167="whr")*economics!$AI$2:$AI$167*_xlfn.NORM.DIST(BM$3,economics!$AK$2:$AK$167,economics!$AJ$2:$AJ$167,TRUE)),0)</f>
        <v/>
      </c>
      <c r="BN22" s="68">
        <f t="array" ref="BN22">IF($D22,SUMPRODUCT((economics!$AG$2:$AG$167=$B22)*(economics!$D$2:$D$167="whr")*economics!$AI$2:$AI$167*_xlfn.NORM.DIST(BN$3,economics!$AK$2:$AK$167,economics!$AJ$2:$AJ$167,TRUE)),0)</f>
        <v/>
      </c>
      <c r="BO22" s="68">
        <f t="array" ref="BO22">IF($D22,SUMPRODUCT((economics!$AG$2:$AG$167=$B22)*(economics!$D$2:$D$167="whr")*economics!$AI$2:$AI$167*_xlfn.NORM.DIST(BO$3,economics!$AK$2:$AK$167,economics!$AJ$2:$AJ$167,TRUE)),0)</f>
        <v/>
      </c>
      <c r="BP22" s="68">
        <f t="array" ref="BP22">IF($D22,SUMPRODUCT((economics!$AG$2:$AG$167=$B22)*(economics!$D$2:$D$167="whr")*economics!$AI$2:$AI$167*_xlfn.NORM.DIST(BP$3,economics!$AK$2:$AK$167,economics!$AJ$2:$AJ$167,TRUE)),0)</f>
        <v/>
      </c>
      <c r="BQ22" s="68">
        <f t="array" ref="BQ22">IF($D22,SUMPRODUCT((economics!$AG$2:$AG$167=$B22)*(economics!$D$2:$D$167="whr")*economics!$AI$2:$AI$167*_xlfn.NORM.DIST(BQ$3,economics!$AK$2:$AK$167,economics!$AJ$2:$AJ$167,TRUE)),0)</f>
        <v/>
      </c>
      <c r="BR22" s="68">
        <f t="array" ref="BR22">IF($D22,SUMPRODUCT((economics!$AG$2:$AG$167=$B22)*(economics!$D$2:$D$167="whr")*economics!$AI$2:$AI$167*_xlfn.NORM.DIST(BR$3,economics!$AK$2:$AK$167,economics!$AJ$2:$AJ$167,TRUE)),0)</f>
        <v/>
      </c>
      <c r="BS22" s="68">
        <f t="array" ref="BS22">IF($D22,SUMPRODUCT((economics!$AG$2:$AG$167=$B22)*(economics!$D$2:$D$167="whr")*economics!$AI$2:$AI$167*_xlfn.NORM.DIST(BS$3,economics!$AK$2:$AK$167,economics!$AJ$2:$AJ$167,TRUE)),0)</f>
        <v/>
      </c>
      <c r="BT22" s="68">
        <f t="array" ref="BT22">IF($D22,SUMPRODUCT((economics!$AG$2:$AG$167=$B22)*(economics!$D$2:$D$167="whr")*economics!$AI$2:$AI$167*_xlfn.NORM.DIST(BT$3,economics!$AK$2:$AK$167,economics!$AJ$2:$AJ$167,TRUE)),0)</f>
        <v/>
      </c>
      <c r="BU22" s="68">
        <f t="array" ref="BU22">IF($D22,SUMPRODUCT((economics!$AG$2:$AG$167=$B22)*(economics!$D$2:$D$167="whr")*economics!$AI$2:$AI$167*_xlfn.NORM.DIST(BU$3,economics!$AK$2:$AK$167,economics!$AJ$2:$AJ$167,TRUE)),0)</f>
        <v/>
      </c>
      <c r="BV22" s="68">
        <f t="array" ref="BV22">IF($D22,SUMPRODUCT((economics!$AG$2:$AG$167=$B22)*(economics!$D$2:$D$167="whr")*economics!$AI$2:$AI$167*_xlfn.NORM.DIST(BV$3,economics!$AK$2:$AK$167,economics!$AJ$2:$AJ$167,TRUE)),0)</f>
        <v/>
      </c>
      <c r="BW22" s="68">
        <f t="array" ref="BW22">IF($D22,SUMPRODUCT((economics!$AG$2:$AG$167=$B22)*(economics!$D$2:$D$167="whr")*economics!$AI$2:$AI$167*_xlfn.NORM.DIST(BW$3,economics!$AK$2:$AK$167,economics!$AJ$2:$AJ$167,TRUE)),0)</f>
        <v/>
      </c>
      <c r="BX22" s="68">
        <f t="array" ref="BX22">IF($D22,SUMPRODUCT((economics!$AG$2:$AG$167=$B22)*(economics!$D$2:$D$167="whr")*economics!$AI$2:$AI$167*_xlfn.NORM.DIST(BX$3,economics!$AK$2:$AK$167,economics!$AJ$2:$AJ$167,TRUE)),0)</f>
        <v/>
      </c>
      <c r="BY22" s="68">
        <f t="array" ref="BY22">IF($D22,SUMPRODUCT((economics!$AG$2:$AG$167=$B22)*(economics!$D$2:$D$167="whr")*economics!$AI$2:$AI$167*_xlfn.NORM.DIST(BY$3,economics!$AK$2:$AK$167,economics!$AJ$2:$AJ$167,TRUE)),0)</f>
        <v/>
      </c>
      <c r="BZ22" s="68">
        <f t="array" ref="BZ22">IF($D22,SUMPRODUCT((economics!$AG$2:$AG$167=$B22)*(economics!$D$2:$D$167="whr")*economics!$AI$2:$AI$167*_xlfn.NORM.DIST(BZ$3,economics!$AK$2:$AK$167,economics!$AJ$2:$AJ$167,TRUE)),0)</f>
        <v/>
      </c>
      <c r="CA22" s="68">
        <f t="array" ref="CA22">IF($D22,SUMPRODUCT((economics!$AG$2:$AG$167=$B22)*(economics!$D$2:$D$167="whr")*economics!$AI$2:$AI$167*_xlfn.NORM.DIST(CA$3,economics!$AK$2:$AK$167,economics!$AJ$2:$AJ$167,TRUE)),0)</f>
        <v/>
      </c>
      <c r="CB22" s="68">
        <f t="array" ref="CB22">IF($D22,SUMPRODUCT((economics!$AG$2:$AG$167=$B22)*(economics!$D$2:$D$167="whr")*economics!$AI$2:$AI$167*_xlfn.NORM.DIST(CB$3,economics!$AK$2:$AK$167,economics!$AJ$2:$AJ$167,TRUE)),0)</f>
        <v/>
      </c>
      <c r="CC22" s="68">
        <f t="array" ref="CC22">IF($D22,SUMPRODUCT((economics!$AG$2:$AG$167=$B22)*(economics!$D$2:$D$167="whr")*economics!$AI$2:$AI$167*_xlfn.NORM.DIST(CC$3,economics!$AK$2:$AK$167,economics!$AJ$2:$AJ$167,TRUE)),0)</f>
        <v/>
      </c>
      <c r="CD22" s="68">
        <f t="array" ref="CD22">IF($D22,SUMPRODUCT((economics!$AG$2:$AG$167=$B22)*(economics!$D$2:$D$167="whr")*economics!$AI$2:$AI$167*_xlfn.NORM.DIST(CD$3,economics!$AK$2:$AK$167,economics!$AJ$2:$AJ$167,TRUE)),0)</f>
        <v/>
      </c>
      <c r="CE22" s="68">
        <f t="array" ref="CE22">IF($D22,SUMPRODUCT((economics!$AG$2:$AG$167=$B22)*(economics!$D$2:$D$167="whr")*economics!$AI$2:$AI$167*_xlfn.NORM.DIST(CE$3,economics!$AK$2:$AK$167,economics!$AJ$2:$AJ$167,TRUE)),0)</f>
        <v/>
      </c>
      <c r="CF22" s="68">
        <f t="array" ref="CF22">IF($D22,SUMPRODUCT((economics!$AG$2:$AG$167=$B22)*(economics!$D$2:$D$167="whr")*economics!$AI$2:$AI$167*_xlfn.NORM.DIST(CF$3,economics!$AK$2:$AK$167,economics!$AJ$2:$AJ$167,TRUE)),0)</f>
        <v/>
      </c>
      <c r="CG22" s="68">
        <f t="array" ref="CG22">IF($D22,SUMPRODUCT((economics!$AG$2:$AG$167=$B22)*(economics!$D$2:$D$167="whr")*economics!$AI$2:$AI$167*_xlfn.NORM.DIST(CG$3,economics!$AK$2:$AK$167,economics!$AJ$2:$AJ$167,TRUE)),0)</f>
        <v/>
      </c>
      <c r="CH22" s="68">
        <f t="array" ref="CH22">IF($D22,SUMPRODUCT((economics!$AG$2:$AG$167=$B22)*(economics!$D$2:$D$167="whr")*economics!$AI$2:$AI$167*_xlfn.NORM.DIST(CH$3,economics!$AK$2:$AK$167,economics!$AJ$2:$AJ$167,TRUE)),0)</f>
        <v/>
      </c>
    </row>
    <row r="23">
      <c r="A23">
        <f>WHRPbI!A21</f>
        <v/>
      </c>
      <c r="B23" t="n">
        <v>29</v>
      </c>
      <c r="C23" s="68">
        <f>WHRPbI!B21</f>
        <v/>
      </c>
      <c r="D23">
        <f>ISNUMBER(MATCH($B23,'energy base (MECS)'!$K$4:$K$9,0))</f>
        <v/>
      </c>
      <c r="E23" s="68">
        <f t="array" ref="E23">IF($D23,SUMPRODUCT((economics!$AG$2:$AG$167=$B23)*(economics!$D$2:$D$167="whr")*economics!$AI$2:$AI$167*_xlfn.NORM.DIST(E$3,economics!$AK$2:$AK$167,economics!$AJ$2:$AJ$167,TRUE)),0)</f>
        <v/>
      </c>
      <c r="F23" s="68">
        <f t="array" ref="F23">IF($D23,SUMPRODUCT((economics!$AG$2:$AG$167=$B23)*(economics!$D$2:$D$167="whr")*economics!$AI$2:$AI$167*_xlfn.NORM.DIST(F$3,economics!$AK$2:$AK$167,economics!$AJ$2:$AJ$167,TRUE)),0)</f>
        <v/>
      </c>
      <c r="G23" s="68">
        <f t="array" ref="G23">IF($D23,SUMPRODUCT((economics!$AG$2:$AG$167=$B23)*(economics!$D$2:$D$167="whr")*economics!$AI$2:$AI$167*_xlfn.NORM.DIST(G$3,economics!$AK$2:$AK$167,economics!$AJ$2:$AJ$167,TRUE)),0)</f>
        <v/>
      </c>
      <c r="H23" s="68">
        <f t="array" ref="H23">IF($D23,SUMPRODUCT((economics!$AG$2:$AG$167=$B23)*(economics!$D$2:$D$167="whr")*economics!$AI$2:$AI$167*_xlfn.NORM.DIST(H$3,economics!$AK$2:$AK$167,economics!$AJ$2:$AJ$167,TRUE)),0)</f>
        <v/>
      </c>
      <c r="I23" s="68">
        <f t="array" ref="I23">IF($D23,SUMPRODUCT((economics!$AG$2:$AG$167=$B23)*(economics!$D$2:$D$167="whr")*economics!$AI$2:$AI$167*_xlfn.NORM.DIST(I$3,economics!$AK$2:$AK$167,economics!$AJ$2:$AJ$167,TRUE)),0)</f>
        <v/>
      </c>
      <c r="J23" s="68">
        <f t="array" ref="J23">IF($D23,SUMPRODUCT((economics!$AG$2:$AG$167=$B23)*(economics!$D$2:$D$167="whr")*economics!$AI$2:$AI$167*_xlfn.NORM.DIST(J$3,economics!$AK$2:$AK$167,economics!$AJ$2:$AJ$167,TRUE)),0)</f>
        <v/>
      </c>
      <c r="K23" s="68">
        <f t="array" ref="K23">IF($D23,SUMPRODUCT((economics!$AG$2:$AG$167=$B23)*(economics!$D$2:$D$167="whr")*economics!$AI$2:$AI$167*_xlfn.NORM.DIST(K$3,economics!$AK$2:$AK$167,economics!$AJ$2:$AJ$167,TRUE)),0)</f>
        <v/>
      </c>
      <c r="L23" s="68">
        <f t="array" ref="L23">IF($D23,SUMPRODUCT((economics!$AG$2:$AG$167=$B23)*(economics!$D$2:$D$167="whr")*economics!$AI$2:$AI$167*_xlfn.NORM.DIST(L$3,economics!$AK$2:$AK$167,economics!$AJ$2:$AJ$167,TRUE)),0)</f>
        <v/>
      </c>
      <c r="M23" s="68">
        <f t="array" ref="M23">IF($D23,SUMPRODUCT((economics!$AG$2:$AG$167=$B23)*(economics!$D$2:$D$167="whr")*economics!$AI$2:$AI$167*_xlfn.NORM.DIST(M$3,economics!$AK$2:$AK$167,economics!$AJ$2:$AJ$167,TRUE)),0)</f>
        <v/>
      </c>
      <c r="N23" s="68">
        <f t="array" ref="N23">IF($D23,SUMPRODUCT((economics!$AG$2:$AG$167=$B23)*(economics!$D$2:$D$167="whr")*economics!$AI$2:$AI$167*_xlfn.NORM.DIST(N$3,economics!$AK$2:$AK$167,economics!$AJ$2:$AJ$167,TRUE)),0)</f>
        <v/>
      </c>
      <c r="O23" s="68">
        <f t="array" ref="O23">IF($D23,SUMPRODUCT((economics!$AG$2:$AG$167=$B23)*(economics!$D$2:$D$167="whr")*economics!$AI$2:$AI$167*_xlfn.NORM.DIST(O$3,economics!$AK$2:$AK$167,economics!$AJ$2:$AJ$167,TRUE)),0)</f>
        <v/>
      </c>
      <c r="P23" s="68">
        <f t="array" ref="P23">IF($D23,SUMPRODUCT((economics!$AG$2:$AG$167=$B23)*(economics!$D$2:$D$167="whr")*economics!$AI$2:$AI$167*_xlfn.NORM.DIST(P$3,economics!$AK$2:$AK$167,economics!$AJ$2:$AJ$167,TRUE)),0)</f>
        <v/>
      </c>
      <c r="Q23" s="68">
        <f t="array" ref="Q23">IF($D23,SUMPRODUCT((economics!$AG$2:$AG$167=$B23)*(economics!$D$2:$D$167="whr")*economics!$AI$2:$AI$167*_xlfn.NORM.DIST(Q$3,economics!$AK$2:$AK$167,economics!$AJ$2:$AJ$167,TRUE)),0)</f>
        <v/>
      </c>
      <c r="R23" s="68">
        <f t="array" ref="R23">IF($D23,SUMPRODUCT((economics!$AG$2:$AG$167=$B23)*(economics!$D$2:$D$167="whr")*economics!$AI$2:$AI$167*_xlfn.NORM.DIST(R$3,economics!$AK$2:$AK$167,economics!$AJ$2:$AJ$167,TRUE)),0)</f>
        <v/>
      </c>
      <c r="S23" s="68">
        <f t="array" ref="S23">IF($D23,SUMPRODUCT((economics!$AG$2:$AG$167=$B23)*(economics!$D$2:$D$167="whr")*economics!$AI$2:$AI$167*_xlfn.NORM.DIST(S$3,economics!$AK$2:$AK$167,economics!$AJ$2:$AJ$167,TRUE)),0)</f>
        <v/>
      </c>
      <c r="T23" s="68">
        <f t="array" ref="T23">IF($D23,SUMPRODUCT((economics!$AG$2:$AG$167=$B23)*(economics!$D$2:$D$167="whr")*economics!$AI$2:$AI$167*_xlfn.NORM.DIST(T$3,economics!$AK$2:$AK$167,economics!$AJ$2:$AJ$167,TRUE)),0)</f>
        <v/>
      </c>
      <c r="U23" s="68">
        <f t="array" ref="U23">IF($D23,SUMPRODUCT((economics!$AG$2:$AG$167=$B23)*(economics!$D$2:$D$167="whr")*economics!$AI$2:$AI$167*_xlfn.NORM.DIST(U$3,economics!$AK$2:$AK$167,economics!$AJ$2:$AJ$167,TRUE)),0)</f>
        <v/>
      </c>
      <c r="V23" s="68">
        <f t="array" ref="V23">IF($D23,SUMPRODUCT((economics!$AG$2:$AG$167=$B23)*(economics!$D$2:$D$167="whr")*economics!$AI$2:$AI$167*_xlfn.NORM.DIST(V$3,economics!$AK$2:$AK$167,economics!$AJ$2:$AJ$167,TRUE)),0)</f>
        <v/>
      </c>
      <c r="W23" s="68">
        <f t="array" ref="W23">IF($D23,SUMPRODUCT((economics!$AG$2:$AG$167=$B23)*(economics!$D$2:$D$167="whr")*economics!$AI$2:$AI$167*_xlfn.NORM.DIST(W$3,economics!$AK$2:$AK$167,economics!$AJ$2:$AJ$167,TRUE)),0)</f>
        <v/>
      </c>
      <c r="X23" s="68">
        <f t="array" ref="X23">IF($D23,SUMPRODUCT((economics!$AG$2:$AG$167=$B23)*(economics!$D$2:$D$167="whr")*economics!$AI$2:$AI$167*_xlfn.NORM.DIST(X$3,economics!$AK$2:$AK$167,economics!$AJ$2:$AJ$167,TRUE)),0)</f>
        <v/>
      </c>
      <c r="Y23" s="68">
        <f t="array" ref="Y23">IF($D23,SUMPRODUCT((economics!$AG$2:$AG$167=$B23)*(economics!$D$2:$D$167="whr")*economics!$AI$2:$AI$167*_xlfn.NORM.DIST(Y$3,economics!$AK$2:$AK$167,economics!$AJ$2:$AJ$167,TRUE)),0)</f>
        <v/>
      </c>
      <c r="Z23" s="68">
        <f t="array" ref="Z23">IF($D23,SUMPRODUCT((economics!$AG$2:$AG$167=$B23)*(economics!$D$2:$D$167="whr")*economics!$AI$2:$AI$167*_xlfn.NORM.DIST(Z$3,economics!$AK$2:$AK$167,economics!$AJ$2:$AJ$167,TRUE)),0)</f>
        <v/>
      </c>
      <c r="AA23" s="68">
        <f t="array" ref="AA23">IF($D23,SUMPRODUCT((economics!$AG$2:$AG$167=$B23)*(economics!$D$2:$D$167="whr")*economics!$AI$2:$AI$167*_xlfn.NORM.DIST(AA$3,economics!$AK$2:$AK$167,economics!$AJ$2:$AJ$167,TRUE)),0)</f>
        <v/>
      </c>
      <c r="AB23" s="68">
        <f t="array" ref="AB23">IF($D23,SUMPRODUCT((economics!$AG$2:$AG$167=$B23)*(economics!$D$2:$D$167="whr")*economics!$AI$2:$AI$167*_xlfn.NORM.DIST(AB$3,economics!$AK$2:$AK$167,economics!$AJ$2:$AJ$167,TRUE)),0)</f>
        <v/>
      </c>
      <c r="AC23" s="68">
        <f t="array" ref="AC23">IF($D23,SUMPRODUCT((economics!$AG$2:$AG$167=$B23)*(economics!$D$2:$D$167="whr")*economics!$AI$2:$AI$167*_xlfn.NORM.DIST(AC$3,economics!$AK$2:$AK$167,economics!$AJ$2:$AJ$167,TRUE)),0)</f>
        <v/>
      </c>
      <c r="AD23" s="68">
        <f t="array" ref="AD23">IF($D23,SUMPRODUCT((economics!$AG$2:$AG$167=$B23)*(economics!$D$2:$D$167="whr")*economics!$AI$2:$AI$167*_xlfn.NORM.DIST(AD$3,economics!$AK$2:$AK$167,economics!$AJ$2:$AJ$167,TRUE)),0)</f>
        <v/>
      </c>
      <c r="AE23" s="68">
        <f t="array" ref="AE23">IF($D23,SUMPRODUCT((economics!$AG$2:$AG$167=$B23)*(economics!$D$2:$D$167="whr")*economics!$AI$2:$AI$167*_xlfn.NORM.DIST(AE$3,economics!$AK$2:$AK$167,economics!$AJ$2:$AJ$167,TRUE)),0)</f>
        <v/>
      </c>
      <c r="AF23" s="68">
        <f t="array" ref="AF23">IF($D23,SUMPRODUCT((economics!$AG$2:$AG$167=$B23)*(economics!$D$2:$D$167="whr")*economics!$AI$2:$AI$167*_xlfn.NORM.DIST(AF$3,economics!$AK$2:$AK$167,economics!$AJ$2:$AJ$167,TRUE)),0)</f>
        <v/>
      </c>
      <c r="AG23" s="68">
        <f t="array" ref="AG23">IF($D23,SUMPRODUCT((economics!$AG$2:$AG$167=$B23)*(economics!$D$2:$D$167="whr")*economics!$AI$2:$AI$167*_xlfn.NORM.DIST(AG$3,economics!$AK$2:$AK$167,economics!$AJ$2:$AJ$167,TRUE)),0)</f>
        <v/>
      </c>
      <c r="AH23" s="68">
        <f t="array" ref="AH23">IF($D23,SUMPRODUCT((economics!$AG$2:$AG$167=$B23)*(economics!$D$2:$D$167="whr")*economics!$AI$2:$AI$167*_xlfn.NORM.DIST(AH$3,economics!$AK$2:$AK$167,economics!$AJ$2:$AJ$167,TRUE)),0)</f>
        <v/>
      </c>
      <c r="AI23" s="68">
        <f t="array" ref="AI23">IF($D23,SUMPRODUCT((economics!$AG$2:$AG$167=$B23)*(economics!$D$2:$D$167="whr")*economics!$AI$2:$AI$167*_xlfn.NORM.DIST(AI$3,economics!$AK$2:$AK$167,economics!$AJ$2:$AJ$167,TRUE)),0)</f>
        <v/>
      </c>
      <c r="AJ23" s="68">
        <f t="array" ref="AJ23">IF($D23,SUMPRODUCT((economics!$AG$2:$AG$167=$B23)*(economics!$D$2:$D$167="whr")*economics!$AI$2:$AI$167*_xlfn.NORM.DIST(AJ$3,economics!$AK$2:$AK$167,economics!$AJ$2:$AJ$167,TRUE)),0)</f>
        <v/>
      </c>
      <c r="AK23" s="68">
        <f t="array" ref="AK23">IF($D23,SUMPRODUCT((economics!$AG$2:$AG$167=$B23)*(economics!$D$2:$D$167="whr")*economics!$AI$2:$AI$167*_xlfn.NORM.DIST(AK$3,economics!$AK$2:$AK$167,economics!$AJ$2:$AJ$167,TRUE)),0)</f>
        <v/>
      </c>
      <c r="AL23" s="68">
        <f t="array" ref="AL23">IF($D23,SUMPRODUCT((economics!$AG$2:$AG$167=$B23)*(economics!$D$2:$D$167="whr")*economics!$AI$2:$AI$167*_xlfn.NORM.DIST(AL$3,economics!$AK$2:$AK$167,economics!$AJ$2:$AJ$167,TRUE)),0)</f>
        <v/>
      </c>
      <c r="AM23" s="68">
        <f t="array" ref="AM23">IF($D23,SUMPRODUCT((economics!$AG$2:$AG$167=$B23)*(economics!$D$2:$D$167="whr")*economics!$AI$2:$AI$167*_xlfn.NORM.DIST(AM$3,economics!$AK$2:$AK$167,economics!$AJ$2:$AJ$167,TRUE)),0)</f>
        <v/>
      </c>
      <c r="AN23" s="68">
        <f t="array" ref="AN23">IF($D23,SUMPRODUCT((economics!$AG$2:$AG$167=$B23)*(economics!$D$2:$D$167="whr")*economics!$AI$2:$AI$167*_xlfn.NORM.DIST(AN$3,economics!$AK$2:$AK$167,economics!$AJ$2:$AJ$167,TRUE)),0)</f>
        <v/>
      </c>
      <c r="AO23" s="68">
        <f t="array" ref="AO23">IF($D23,SUMPRODUCT((economics!$AG$2:$AG$167=$B23)*(economics!$D$2:$D$167="whr")*economics!$AI$2:$AI$167*_xlfn.NORM.DIST(AO$3,economics!$AK$2:$AK$167,economics!$AJ$2:$AJ$167,TRUE)),0)</f>
        <v/>
      </c>
      <c r="AP23" s="68">
        <f t="array" ref="AP23">IF($D23,SUMPRODUCT((economics!$AG$2:$AG$167=$B23)*(economics!$D$2:$D$167="whr")*economics!$AI$2:$AI$167*_xlfn.NORM.DIST(AP$3,economics!$AK$2:$AK$167,economics!$AJ$2:$AJ$167,TRUE)),0)</f>
        <v/>
      </c>
      <c r="AQ23" s="68">
        <f t="array" ref="AQ23">IF($D23,SUMPRODUCT((economics!$AG$2:$AG$167=$B23)*(economics!$D$2:$D$167="whr")*economics!$AI$2:$AI$167*_xlfn.NORM.DIST(AQ$3,economics!$AK$2:$AK$167,economics!$AJ$2:$AJ$167,TRUE)),0)</f>
        <v/>
      </c>
      <c r="AR23" s="68">
        <f t="array" ref="AR23">IF($D23,SUMPRODUCT((economics!$AG$2:$AG$167=$B23)*(economics!$D$2:$D$167="whr")*economics!$AI$2:$AI$167*_xlfn.NORM.DIST(AR$3,economics!$AK$2:$AK$167,economics!$AJ$2:$AJ$167,TRUE)),0)</f>
        <v/>
      </c>
      <c r="AS23" s="68">
        <f t="array" ref="AS23">IF($D23,SUMPRODUCT((economics!$AG$2:$AG$167=$B23)*(economics!$D$2:$D$167="whr")*economics!$AI$2:$AI$167*_xlfn.NORM.DIST(AS$3,economics!$AK$2:$AK$167,economics!$AJ$2:$AJ$167,TRUE)),0)</f>
        <v/>
      </c>
      <c r="AT23" s="68">
        <f t="array" ref="AT23">IF($D23,SUMPRODUCT((economics!$AG$2:$AG$167=$B23)*(economics!$D$2:$D$167="whr")*economics!$AI$2:$AI$167*_xlfn.NORM.DIST(AT$3,economics!$AK$2:$AK$167,economics!$AJ$2:$AJ$167,TRUE)),0)</f>
        <v/>
      </c>
      <c r="AU23" s="68">
        <f t="array" ref="AU23">IF($D23,SUMPRODUCT((economics!$AG$2:$AG$167=$B23)*(economics!$D$2:$D$167="whr")*economics!$AI$2:$AI$167*_xlfn.NORM.DIST(AU$3,economics!$AK$2:$AK$167,economics!$AJ$2:$AJ$167,TRUE)),0)</f>
        <v/>
      </c>
      <c r="AV23" s="68">
        <f t="array" ref="AV23">IF($D23,SUMPRODUCT((economics!$AG$2:$AG$167=$B23)*(economics!$D$2:$D$167="whr")*economics!$AI$2:$AI$167*_xlfn.NORM.DIST(AV$3,economics!$AK$2:$AK$167,economics!$AJ$2:$AJ$167,TRUE)),0)</f>
        <v/>
      </c>
      <c r="AW23" s="68">
        <f t="array" ref="AW23">IF($D23,SUMPRODUCT((economics!$AG$2:$AG$167=$B23)*(economics!$D$2:$D$167="whr")*economics!$AI$2:$AI$167*_xlfn.NORM.DIST(AW$3,economics!$AK$2:$AK$167,economics!$AJ$2:$AJ$167,TRUE)),0)</f>
        <v/>
      </c>
      <c r="AX23" s="68">
        <f t="array" ref="AX23">IF($D23,SUMPRODUCT((economics!$AG$2:$AG$167=$B23)*(economics!$D$2:$D$167="whr")*economics!$AI$2:$AI$167*_xlfn.NORM.DIST(AX$3,economics!$AK$2:$AK$167,economics!$AJ$2:$AJ$167,TRUE)),0)</f>
        <v/>
      </c>
      <c r="AY23" s="68">
        <f t="array" ref="AY23">IF($D23,SUMPRODUCT((economics!$AG$2:$AG$167=$B23)*(economics!$D$2:$D$167="whr")*economics!$AI$2:$AI$167*_xlfn.NORM.DIST(AY$3,economics!$AK$2:$AK$167,economics!$AJ$2:$AJ$167,TRUE)),0)</f>
        <v/>
      </c>
      <c r="AZ23" s="68">
        <f t="array" ref="AZ23">IF($D23,SUMPRODUCT((economics!$AG$2:$AG$167=$B23)*(economics!$D$2:$D$167="whr")*economics!$AI$2:$AI$167*_xlfn.NORM.DIST(AZ$3,economics!$AK$2:$AK$167,economics!$AJ$2:$AJ$167,TRUE)),0)</f>
        <v/>
      </c>
      <c r="BA23" s="68">
        <f t="array" ref="BA23">IF($D23,SUMPRODUCT((economics!$AG$2:$AG$167=$B23)*(economics!$D$2:$D$167="whr")*economics!$AI$2:$AI$167*_xlfn.NORM.DIST(BA$3,economics!$AK$2:$AK$167,economics!$AJ$2:$AJ$167,TRUE)),0)</f>
        <v/>
      </c>
      <c r="BB23" s="68">
        <f t="array" ref="BB23">IF($D23,SUMPRODUCT((economics!$AG$2:$AG$167=$B23)*(economics!$D$2:$D$167="whr")*economics!$AI$2:$AI$167*_xlfn.NORM.DIST(BB$3,economics!$AK$2:$AK$167,economics!$AJ$2:$AJ$167,TRUE)),0)</f>
        <v/>
      </c>
      <c r="BC23" s="68">
        <f t="array" ref="BC23">IF($D23,SUMPRODUCT((economics!$AG$2:$AG$167=$B23)*(economics!$D$2:$D$167="whr")*economics!$AI$2:$AI$167*_xlfn.NORM.DIST(BC$3,economics!$AK$2:$AK$167,economics!$AJ$2:$AJ$167,TRUE)),0)</f>
        <v/>
      </c>
      <c r="BD23" s="68">
        <f t="array" ref="BD23">IF($D23,SUMPRODUCT((economics!$AG$2:$AG$167=$B23)*(economics!$D$2:$D$167="whr")*economics!$AI$2:$AI$167*_xlfn.NORM.DIST(BD$3,economics!$AK$2:$AK$167,economics!$AJ$2:$AJ$167,TRUE)),0)</f>
        <v/>
      </c>
      <c r="BE23" s="68">
        <f t="array" ref="BE23">IF($D23,SUMPRODUCT((economics!$AG$2:$AG$167=$B23)*(economics!$D$2:$D$167="whr")*economics!$AI$2:$AI$167*_xlfn.NORM.DIST(BE$3,economics!$AK$2:$AK$167,economics!$AJ$2:$AJ$167,TRUE)),0)</f>
        <v/>
      </c>
      <c r="BF23" s="68">
        <f t="array" ref="BF23">IF($D23,SUMPRODUCT((economics!$AG$2:$AG$167=$B23)*(economics!$D$2:$D$167="whr")*economics!$AI$2:$AI$167*_xlfn.NORM.DIST(BF$3,economics!$AK$2:$AK$167,economics!$AJ$2:$AJ$167,TRUE)),0)</f>
        <v/>
      </c>
      <c r="BG23" s="68">
        <f t="array" ref="BG23">IF($D23,SUMPRODUCT((economics!$AG$2:$AG$167=$B23)*(economics!$D$2:$D$167="whr")*economics!$AI$2:$AI$167*_xlfn.NORM.DIST(BG$3,economics!$AK$2:$AK$167,economics!$AJ$2:$AJ$167,TRUE)),0)</f>
        <v/>
      </c>
      <c r="BH23" s="68">
        <f t="array" ref="BH23">IF($D23,SUMPRODUCT((economics!$AG$2:$AG$167=$B23)*(economics!$D$2:$D$167="whr")*economics!$AI$2:$AI$167*_xlfn.NORM.DIST(BH$3,economics!$AK$2:$AK$167,economics!$AJ$2:$AJ$167,TRUE)),0)</f>
        <v/>
      </c>
      <c r="BI23" s="68">
        <f t="array" ref="BI23">IF($D23,SUMPRODUCT((economics!$AG$2:$AG$167=$B23)*(economics!$D$2:$D$167="whr")*economics!$AI$2:$AI$167*_xlfn.NORM.DIST(BI$3,economics!$AK$2:$AK$167,economics!$AJ$2:$AJ$167,TRUE)),0)</f>
        <v/>
      </c>
      <c r="BJ23" s="68">
        <f t="array" ref="BJ23">IF($D23,SUMPRODUCT((economics!$AG$2:$AG$167=$B23)*(economics!$D$2:$D$167="whr")*economics!$AI$2:$AI$167*_xlfn.NORM.DIST(BJ$3,economics!$AK$2:$AK$167,economics!$AJ$2:$AJ$167,TRUE)),0)</f>
        <v/>
      </c>
      <c r="BK23" s="68">
        <f t="array" ref="BK23">IF($D23,SUMPRODUCT((economics!$AG$2:$AG$167=$B23)*(economics!$D$2:$D$167="whr")*economics!$AI$2:$AI$167*_xlfn.NORM.DIST(BK$3,economics!$AK$2:$AK$167,economics!$AJ$2:$AJ$167,TRUE)),0)</f>
        <v/>
      </c>
      <c r="BL23" s="68">
        <f t="array" ref="BL23">IF($D23,SUMPRODUCT((economics!$AG$2:$AG$167=$B23)*(economics!$D$2:$D$167="whr")*economics!$AI$2:$AI$167*_xlfn.NORM.DIST(BL$3,economics!$AK$2:$AK$167,economics!$AJ$2:$AJ$167,TRUE)),0)</f>
        <v/>
      </c>
      <c r="BM23" s="68">
        <f t="array" ref="BM23">IF($D23,SUMPRODUCT((economics!$AG$2:$AG$167=$B23)*(economics!$D$2:$D$167="whr")*economics!$AI$2:$AI$167*_xlfn.NORM.DIST(BM$3,economics!$AK$2:$AK$167,economics!$AJ$2:$AJ$167,TRUE)),0)</f>
        <v/>
      </c>
      <c r="BN23" s="68">
        <f t="array" ref="BN23">IF($D23,SUMPRODUCT((economics!$AG$2:$AG$167=$B23)*(economics!$D$2:$D$167="whr")*economics!$AI$2:$AI$167*_xlfn.NORM.DIST(BN$3,economics!$AK$2:$AK$167,economics!$AJ$2:$AJ$167,TRUE)),0)</f>
        <v/>
      </c>
      <c r="BO23" s="68">
        <f t="array" ref="BO23">IF($D23,SUMPRODUCT((economics!$AG$2:$AG$167=$B23)*(economics!$D$2:$D$167="whr")*economics!$AI$2:$AI$167*_xlfn.NORM.DIST(BO$3,economics!$AK$2:$AK$167,economics!$AJ$2:$AJ$167,TRUE)),0)</f>
        <v/>
      </c>
      <c r="BP23" s="68">
        <f t="array" ref="BP23">IF($D23,SUMPRODUCT((economics!$AG$2:$AG$167=$B23)*(economics!$D$2:$D$167="whr")*economics!$AI$2:$AI$167*_xlfn.NORM.DIST(BP$3,economics!$AK$2:$AK$167,economics!$AJ$2:$AJ$167,TRUE)),0)</f>
        <v/>
      </c>
      <c r="BQ23" s="68">
        <f t="array" ref="BQ23">IF($D23,SUMPRODUCT((economics!$AG$2:$AG$167=$B23)*(economics!$D$2:$D$167="whr")*economics!$AI$2:$AI$167*_xlfn.NORM.DIST(BQ$3,economics!$AK$2:$AK$167,economics!$AJ$2:$AJ$167,TRUE)),0)</f>
        <v/>
      </c>
      <c r="BR23" s="68">
        <f t="array" ref="BR23">IF($D23,SUMPRODUCT((economics!$AG$2:$AG$167=$B23)*(economics!$D$2:$D$167="whr")*economics!$AI$2:$AI$167*_xlfn.NORM.DIST(BR$3,economics!$AK$2:$AK$167,economics!$AJ$2:$AJ$167,TRUE)),0)</f>
        <v/>
      </c>
      <c r="BS23" s="68">
        <f t="array" ref="BS23">IF($D23,SUMPRODUCT((economics!$AG$2:$AG$167=$B23)*(economics!$D$2:$D$167="whr")*economics!$AI$2:$AI$167*_xlfn.NORM.DIST(BS$3,economics!$AK$2:$AK$167,economics!$AJ$2:$AJ$167,TRUE)),0)</f>
        <v/>
      </c>
      <c r="BT23" s="68">
        <f t="array" ref="BT23">IF($D23,SUMPRODUCT((economics!$AG$2:$AG$167=$B23)*(economics!$D$2:$D$167="whr")*economics!$AI$2:$AI$167*_xlfn.NORM.DIST(BT$3,economics!$AK$2:$AK$167,economics!$AJ$2:$AJ$167,TRUE)),0)</f>
        <v/>
      </c>
      <c r="BU23" s="68">
        <f t="array" ref="BU23">IF($D23,SUMPRODUCT((economics!$AG$2:$AG$167=$B23)*(economics!$D$2:$D$167="whr")*economics!$AI$2:$AI$167*_xlfn.NORM.DIST(BU$3,economics!$AK$2:$AK$167,economics!$AJ$2:$AJ$167,TRUE)),0)</f>
        <v/>
      </c>
      <c r="BV23" s="68">
        <f t="array" ref="BV23">IF($D23,SUMPRODUCT((economics!$AG$2:$AG$167=$B23)*(economics!$D$2:$D$167="whr")*economics!$AI$2:$AI$167*_xlfn.NORM.DIST(BV$3,economics!$AK$2:$AK$167,economics!$AJ$2:$AJ$167,TRUE)),0)</f>
        <v/>
      </c>
      <c r="BW23" s="68">
        <f t="array" ref="BW23">IF($D23,SUMPRODUCT((economics!$AG$2:$AG$167=$B23)*(economics!$D$2:$D$167="whr")*economics!$AI$2:$AI$167*_xlfn.NORM.DIST(BW$3,economics!$AK$2:$AK$167,economics!$AJ$2:$AJ$167,TRUE)),0)</f>
        <v/>
      </c>
      <c r="BX23" s="68">
        <f t="array" ref="BX23">IF($D23,SUMPRODUCT((economics!$AG$2:$AG$167=$B23)*(economics!$D$2:$D$167="whr")*economics!$AI$2:$AI$167*_xlfn.NORM.DIST(BX$3,economics!$AK$2:$AK$167,economics!$AJ$2:$AJ$167,TRUE)),0)</f>
        <v/>
      </c>
      <c r="BY23" s="68">
        <f t="array" ref="BY23">IF($D23,SUMPRODUCT((economics!$AG$2:$AG$167=$B23)*(economics!$D$2:$D$167="whr")*economics!$AI$2:$AI$167*_xlfn.NORM.DIST(BY$3,economics!$AK$2:$AK$167,economics!$AJ$2:$AJ$167,TRUE)),0)</f>
        <v/>
      </c>
      <c r="BZ23" s="68">
        <f t="array" ref="BZ23">IF($D23,SUMPRODUCT((economics!$AG$2:$AG$167=$B23)*(economics!$D$2:$D$167="whr")*economics!$AI$2:$AI$167*_xlfn.NORM.DIST(BZ$3,economics!$AK$2:$AK$167,economics!$AJ$2:$AJ$167,TRUE)),0)</f>
        <v/>
      </c>
      <c r="CA23" s="68">
        <f t="array" ref="CA23">IF($D23,SUMPRODUCT((economics!$AG$2:$AG$167=$B23)*(economics!$D$2:$D$167="whr")*economics!$AI$2:$AI$167*_xlfn.NORM.DIST(CA$3,economics!$AK$2:$AK$167,economics!$AJ$2:$AJ$167,TRUE)),0)</f>
        <v/>
      </c>
      <c r="CB23" s="68">
        <f t="array" ref="CB23">IF($D23,SUMPRODUCT((economics!$AG$2:$AG$167=$B23)*(economics!$D$2:$D$167="whr")*economics!$AI$2:$AI$167*_xlfn.NORM.DIST(CB$3,economics!$AK$2:$AK$167,economics!$AJ$2:$AJ$167,TRUE)),0)</f>
        <v/>
      </c>
      <c r="CC23" s="68">
        <f t="array" ref="CC23">IF($D23,SUMPRODUCT((economics!$AG$2:$AG$167=$B23)*(economics!$D$2:$D$167="whr")*economics!$AI$2:$AI$167*_xlfn.NORM.DIST(CC$3,economics!$AK$2:$AK$167,economics!$AJ$2:$AJ$167,TRUE)),0)</f>
        <v/>
      </c>
      <c r="CD23" s="68">
        <f t="array" ref="CD23">IF($D23,SUMPRODUCT((economics!$AG$2:$AG$167=$B23)*(economics!$D$2:$D$167="whr")*economics!$AI$2:$AI$167*_xlfn.NORM.DIST(CD$3,economics!$AK$2:$AK$167,economics!$AJ$2:$AJ$167,TRUE)),0)</f>
        <v/>
      </c>
      <c r="CE23" s="68">
        <f t="array" ref="CE23">IF($D23,SUMPRODUCT((economics!$AG$2:$AG$167=$B23)*(economics!$D$2:$D$167="whr")*economics!$AI$2:$AI$167*_xlfn.NORM.DIST(CE$3,economics!$AK$2:$AK$167,economics!$AJ$2:$AJ$167,TRUE)),0)</f>
        <v/>
      </c>
      <c r="CF23" s="68">
        <f t="array" ref="CF23">IF($D23,SUMPRODUCT((economics!$AG$2:$AG$167=$B23)*(economics!$D$2:$D$167="whr")*economics!$AI$2:$AI$167*_xlfn.NORM.DIST(CF$3,economics!$AK$2:$AK$167,economics!$AJ$2:$AJ$167,TRUE)),0)</f>
        <v/>
      </c>
      <c r="CG23" s="68">
        <f t="array" ref="CG23">IF($D23,SUMPRODUCT((economics!$AG$2:$AG$167=$B23)*(economics!$D$2:$D$167="whr")*economics!$AI$2:$AI$167*_xlfn.NORM.DIST(CG$3,economics!$AK$2:$AK$167,economics!$AJ$2:$AJ$167,TRUE)),0)</f>
        <v/>
      </c>
      <c r="CH23" s="68">
        <f t="array" ref="CH23">IF($D23,SUMPRODUCT((economics!$AG$2:$AG$167=$B23)*(economics!$D$2:$D$167="whr")*economics!$AI$2:$AI$167*_xlfn.NORM.DIST(CH$3,economics!$AK$2:$AK$167,economics!$AJ$2:$AJ$167,TRUE)),0)</f>
        <v/>
      </c>
    </row>
    <row r="24">
      <c r="A24">
        <f>WHRPbI!A22</f>
        <v/>
      </c>
      <c r="B24" t="n">
        <v>30</v>
      </c>
      <c r="C24" s="68">
        <f>WHRPbI!B22</f>
        <v/>
      </c>
      <c r="D24">
        <f>ISNUMBER(MATCH($B24,'energy base (MECS)'!$K$4:$K$9,0))</f>
        <v/>
      </c>
      <c r="E24" s="68">
        <f t="array" ref="E24">IF($D24,SUMPRODUCT((economics!$AG$2:$AG$167=$B24)*(economics!$D$2:$D$167="whr")*economics!$AI$2:$AI$167*_xlfn.NORM.DIST(E$3,economics!$AK$2:$AK$167,economics!$AJ$2:$AJ$167,TRUE)),0)</f>
        <v/>
      </c>
      <c r="F24" s="68">
        <f t="array" ref="F24">IF($D24,SUMPRODUCT((economics!$AG$2:$AG$167=$B24)*(economics!$D$2:$D$167="whr")*economics!$AI$2:$AI$167*_xlfn.NORM.DIST(F$3,economics!$AK$2:$AK$167,economics!$AJ$2:$AJ$167,TRUE)),0)</f>
        <v/>
      </c>
      <c r="G24" s="68">
        <f t="array" ref="G24">IF($D24,SUMPRODUCT((economics!$AG$2:$AG$167=$B24)*(economics!$D$2:$D$167="whr")*economics!$AI$2:$AI$167*_xlfn.NORM.DIST(G$3,economics!$AK$2:$AK$167,economics!$AJ$2:$AJ$167,TRUE)),0)</f>
        <v/>
      </c>
      <c r="H24" s="68">
        <f t="array" ref="H24">IF($D24,SUMPRODUCT((economics!$AG$2:$AG$167=$B24)*(economics!$D$2:$D$167="whr")*economics!$AI$2:$AI$167*_xlfn.NORM.DIST(H$3,economics!$AK$2:$AK$167,economics!$AJ$2:$AJ$167,TRUE)),0)</f>
        <v/>
      </c>
      <c r="I24" s="68">
        <f t="array" ref="I24">IF($D24,SUMPRODUCT((economics!$AG$2:$AG$167=$B24)*(economics!$D$2:$D$167="whr")*economics!$AI$2:$AI$167*_xlfn.NORM.DIST(I$3,economics!$AK$2:$AK$167,economics!$AJ$2:$AJ$167,TRUE)),0)</f>
        <v/>
      </c>
      <c r="J24" s="68">
        <f t="array" ref="J24">IF($D24,SUMPRODUCT((economics!$AG$2:$AG$167=$B24)*(economics!$D$2:$D$167="whr")*economics!$AI$2:$AI$167*_xlfn.NORM.DIST(J$3,economics!$AK$2:$AK$167,economics!$AJ$2:$AJ$167,TRUE)),0)</f>
        <v/>
      </c>
      <c r="K24" s="68">
        <f t="array" ref="K24">IF($D24,SUMPRODUCT((economics!$AG$2:$AG$167=$B24)*(economics!$D$2:$D$167="whr")*economics!$AI$2:$AI$167*_xlfn.NORM.DIST(K$3,economics!$AK$2:$AK$167,economics!$AJ$2:$AJ$167,TRUE)),0)</f>
        <v/>
      </c>
      <c r="L24" s="68">
        <f t="array" ref="L24">IF($D24,SUMPRODUCT((economics!$AG$2:$AG$167=$B24)*(economics!$D$2:$D$167="whr")*economics!$AI$2:$AI$167*_xlfn.NORM.DIST(L$3,economics!$AK$2:$AK$167,economics!$AJ$2:$AJ$167,TRUE)),0)</f>
        <v/>
      </c>
      <c r="M24" s="68">
        <f t="array" ref="M24">IF($D24,SUMPRODUCT((economics!$AG$2:$AG$167=$B24)*(economics!$D$2:$D$167="whr")*economics!$AI$2:$AI$167*_xlfn.NORM.DIST(M$3,economics!$AK$2:$AK$167,economics!$AJ$2:$AJ$167,TRUE)),0)</f>
        <v/>
      </c>
      <c r="N24" s="68">
        <f t="array" ref="N24">IF($D24,SUMPRODUCT((economics!$AG$2:$AG$167=$B24)*(economics!$D$2:$D$167="whr")*economics!$AI$2:$AI$167*_xlfn.NORM.DIST(N$3,economics!$AK$2:$AK$167,economics!$AJ$2:$AJ$167,TRUE)),0)</f>
        <v/>
      </c>
      <c r="O24" s="68">
        <f t="array" ref="O24">IF($D24,SUMPRODUCT((economics!$AG$2:$AG$167=$B24)*(economics!$D$2:$D$167="whr")*economics!$AI$2:$AI$167*_xlfn.NORM.DIST(O$3,economics!$AK$2:$AK$167,economics!$AJ$2:$AJ$167,TRUE)),0)</f>
        <v/>
      </c>
      <c r="P24" s="68">
        <f t="array" ref="P24">IF($D24,SUMPRODUCT((economics!$AG$2:$AG$167=$B24)*(economics!$D$2:$D$167="whr")*economics!$AI$2:$AI$167*_xlfn.NORM.DIST(P$3,economics!$AK$2:$AK$167,economics!$AJ$2:$AJ$167,TRUE)),0)</f>
        <v/>
      </c>
      <c r="Q24" s="68">
        <f t="array" ref="Q24">IF($D24,SUMPRODUCT((economics!$AG$2:$AG$167=$B24)*(economics!$D$2:$D$167="whr")*economics!$AI$2:$AI$167*_xlfn.NORM.DIST(Q$3,economics!$AK$2:$AK$167,economics!$AJ$2:$AJ$167,TRUE)),0)</f>
        <v/>
      </c>
      <c r="R24" s="68">
        <f t="array" ref="R24">IF($D24,SUMPRODUCT((economics!$AG$2:$AG$167=$B24)*(economics!$D$2:$D$167="whr")*economics!$AI$2:$AI$167*_xlfn.NORM.DIST(R$3,economics!$AK$2:$AK$167,economics!$AJ$2:$AJ$167,TRUE)),0)</f>
        <v/>
      </c>
      <c r="S24" s="68">
        <f t="array" ref="S24">IF($D24,SUMPRODUCT((economics!$AG$2:$AG$167=$B24)*(economics!$D$2:$D$167="whr")*economics!$AI$2:$AI$167*_xlfn.NORM.DIST(S$3,economics!$AK$2:$AK$167,economics!$AJ$2:$AJ$167,TRUE)),0)</f>
        <v/>
      </c>
      <c r="T24" s="68">
        <f t="array" ref="T24">IF($D24,SUMPRODUCT((economics!$AG$2:$AG$167=$B24)*(economics!$D$2:$D$167="whr")*economics!$AI$2:$AI$167*_xlfn.NORM.DIST(T$3,economics!$AK$2:$AK$167,economics!$AJ$2:$AJ$167,TRUE)),0)</f>
        <v/>
      </c>
      <c r="U24" s="68">
        <f t="array" ref="U24">IF($D24,SUMPRODUCT((economics!$AG$2:$AG$167=$B24)*(economics!$D$2:$D$167="whr")*economics!$AI$2:$AI$167*_xlfn.NORM.DIST(U$3,economics!$AK$2:$AK$167,economics!$AJ$2:$AJ$167,TRUE)),0)</f>
        <v/>
      </c>
      <c r="V24" s="68">
        <f t="array" ref="V24">IF($D24,SUMPRODUCT((economics!$AG$2:$AG$167=$B24)*(economics!$D$2:$D$167="whr")*economics!$AI$2:$AI$167*_xlfn.NORM.DIST(V$3,economics!$AK$2:$AK$167,economics!$AJ$2:$AJ$167,TRUE)),0)</f>
        <v/>
      </c>
      <c r="W24" s="68">
        <f t="array" ref="W24">IF($D24,SUMPRODUCT((economics!$AG$2:$AG$167=$B24)*(economics!$D$2:$D$167="whr")*economics!$AI$2:$AI$167*_xlfn.NORM.DIST(W$3,economics!$AK$2:$AK$167,economics!$AJ$2:$AJ$167,TRUE)),0)</f>
        <v/>
      </c>
      <c r="X24" s="68">
        <f t="array" ref="X24">IF($D24,SUMPRODUCT((economics!$AG$2:$AG$167=$B24)*(economics!$D$2:$D$167="whr")*economics!$AI$2:$AI$167*_xlfn.NORM.DIST(X$3,economics!$AK$2:$AK$167,economics!$AJ$2:$AJ$167,TRUE)),0)</f>
        <v/>
      </c>
      <c r="Y24" s="68">
        <f t="array" ref="Y24">IF($D24,SUMPRODUCT((economics!$AG$2:$AG$167=$B24)*(economics!$D$2:$D$167="whr")*economics!$AI$2:$AI$167*_xlfn.NORM.DIST(Y$3,economics!$AK$2:$AK$167,economics!$AJ$2:$AJ$167,TRUE)),0)</f>
        <v/>
      </c>
      <c r="Z24" s="68">
        <f t="array" ref="Z24">IF($D24,SUMPRODUCT((economics!$AG$2:$AG$167=$B24)*(economics!$D$2:$D$167="whr")*economics!$AI$2:$AI$167*_xlfn.NORM.DIST(Z$3,economics!$AK$2:$AK$167,economics!$AJ$2:$AJ$167,TRUE)),0)</f>
        <v/>
      </c>
      <c r="AA24" s="68">
        <f t="array" ref="AA24">IF($D24,SUMPRODUCT((economics!$AG$2:$AG$167=$B24)*(economics!$D$2:$D$167="whr")*economics!$AI$2:$AI$167*_xlfn.NORM.DIST(AA$3,economics!$AK$2:$AK$167,economics!$AJ$2:$AJ$167,TRUE)),0)</f>
        <v/>
      </c>
      <c r="AB24" s="68">
        <f t="array" ref="AB24">IF($D24,SUMPRODUCT((economics!$AG$2:$AG$167=$B24)*(economics!$D$2:$D$167="whr")*economics!$AI$2:$AI$167*_xlfn.NORM.DIST(AB$3,economics!$AK$2:$AK$167,economics!$AJ$2:$AJ$167,TRUE)),0)</f>
        <v/>
      </c>
      <c r="AC24" s="68">
        <f t="array" ref="AC24">IF($D24,SUMPRODUCT((economics!$AG$2:$AG$167=$B24)*(economics!$D$2:$D$167="whr")*economics!$AI$2:$AI$167*_xlfn.NORM.DIST(AC$3,economics!$AK$2:$AK$167,economics!$AJ$2:$AJ$167,TRUE)),0)</f>
        <v/>
      </c>
      <c r="AD24" s="68">
        <f t="array" ref="AD24">IF($D24,SUMPRODUCT((economics!$AG$2:$AG$167=$B24)*(economics!$D$2:$D$167="whr")*economics!$AI$2:$AI$167*_xlfn.NORM.DIST(AD$3,economics!$AK$2:$AK$167,economics!$AJ$2:$AJ$167,TRUE)),0)</f>
        <v/>
      </c>
      <c r="AE24" s="68">
        <f t="array" ref="AE24">IF($D24,SUMPRODUCT((economics!$AG$2:$AG$167=$B24)*(economics!$D$2:$D$167="whr")*economics!$AI$2:$AI$167*_xlfn.NORM.DIST(AE$3,economics!$AK$2:$AK$167,economics!$AJ$2:$AJ$167,TRUE)),0)</f>
        <v/>
      </c>
      <c r="AF24" s="68">
        <f t="array" ref="AF24">IF($D24,SUMPRODUCT((economics!$AG$2:$AG$167=$B24)*(economics!$D$2:$D$167="whr")*economics!$AI$2:$AI$167*_xlfn.NORM.DIST(AF$3,economics!$AK$2:$AK$167,economics!$AJ$2:$AJ$167,TRUE)),0)</f>
        <v/>
      </c>
      <c r="AG24" s="68">
        <f t="array" ref="AG24">IF($D24,SUMPRODUCT((economics!$AG$2:$AG$167=$B24)*(economics!$D$2:$D$167="whr")*economics!$AI$2:$AI$167*_xlfn.NORM.DIST(AG$3,economics!$AK$2:$AK$167,economics!$AJ$2:$AJ$167,TRUE)),0)</f>
        <v/>
      </c>
      <c r="AH24" s="68">
        <f t="array" ref="AH24">IF($D24,SUMPRODUCT((economics!$AG$2:$AG$167=$B24)*(economics!$D$2:$D$167="whr")*economics!$AI$2:$AI$167*_xlfn.NORM.DIST(AH$3,economics!$AK$2:$AK$167,economics!$AJ$2:$AJ$167,TRUE)),0)</f>
        <v/>
      </c>
      <c r="AI24" s="68">
        <f t="array" ref="AI24">IF($D24,SUMPRODUCT((economics!$AG$2:$AG$167=$B24)*(economics!$D$2:$D$167="whr")*economics!$AI$2:$AI$167*_xlfn.NORM.DIST(AI$3,economics!$AK$2:$AK$167,economics!$AJ$2:$AJ$167,TRUE)),0)</f>
        <v/>
      </c>
      <c r="AJ24" s="68">
        <f t="array" ref="AJ24">IF($D24,SUMPRODUCT((economics!$AG$2:$AG$167=$B24)*(economics!$D$2:$D$167="whr")*economics!$AI$2:$AI$167*_xlfn.NORM.DIST(AJ$3,economics!$AK$2:$AK$167,economics!$AJ$2:$AJ$167,TRUE)),0)</f>
        <v/>
      </c>
      <c r="AK24" s="68">
        <f t="array" ref="AK24">IF($D24,SUMPRODUCT((economics!$AG$2:$AG$167=$B24)*(economics!$D$2:$D$167="whr")*economics!$AI$2:$AI$167*_xlfn.NORM.DIST(AK$3,economics!$AK$2:$AK$167,economics!$AJ$2:$AJ$167,TRUE)),0)</f>
        <v/>
      </c>
      <c r="AL24" s="68">
        <f t="array" ref="AL24">IF($D24,SUMPRODUCT((economics!$AG$2:$AG$167=$B24)*(economics!$D$2:$D$167="whr")*economics!$AI$2:$AI$167*_xlfn.NORM.DIST(AL$3,economics!$AK$2:$AK$167,economics!$AJ$2:$AJ$167,TRUE)),0)</f>
        <v/>
      </c>
      <c r="AM24" s="68">
        <f t="array" ref="AM24">IF($D24,SUMPRODUCT((economics!$AG$2:$AG$167=$B24)*(economics!$D$2:$D$167="whr")*economics!$AI$2:$AI$167*_xlfn.NORM.DIST(AM$3,economics!$AK$2:$AK$167,economics!$AJ$2:$AJ$167,TRUE)),0)</f>
        <v/>
      </c>
      <c r="AN24" s="68">
        <f t="array" ref="AN24">IF($D24,SUMPRODUCT((economics!$AG$2:$AG$167=$B24)*(economics!$D$2:$D$167="whr")*economics!$AI$2:$AI$167*_xlfn.NORM.DIST(AN$3,economics!$AK$2:$AK$167,economics!$AJ$2:$AJ$167,TRUE)),0)</f>
        <v/>
      </c>
      <c r="AO24" s="68">
        <f t="array" ref="AO24">IF($D24,SUMPRODUCT((economics!$AG$2:$AG$167=$B24)*(economics!$D$2:$D$167="whr")*economics!$AI$2:$AI$167*_xlfn.NORM.DIST(AO$3,economics!$AK$2:$AK$167,economics!$AJ$2:$AJ$167,TRUE)),0)</f>
        <v/>
      </c>
      <c r="AP24" s="68">
        <f t="array" ref="AP24">IF($D24,SUMPRODUCT((economics!$AG$2:$AG$167=$B24)*(economics!$D$2:$D$167="whr")*economics!$AI$2:$AI$167*_xlfn.NORM.DIST(AP$3,economics!$AK$2:$AK$167,economics!$AJ$2:$AJ$167,TRUE)),0)</f>
        <v/>
      </c>
      <c r="AQ24" s="68">
        <f t="array" ref="AQ24">IF($D24,SUMPRODUCT((economics!$AG$2:$AG$167=$B24)*(economics!$D$2:$D$167="whr")*economics!$AI$2:$AI$167*_xlfn.NORM.DIST(AQ$3,economics!$AK$2:$AK$167,economics!$AJ$2:$AJ$167,TRUE)),0)</f>
        <v/>
      </c>
      <c r="AR24" s="68">
        <f t="array" ref="AR24">IF($D24,SUMPRODUCT((economics!$AG$2:$AG$167=$B24)*(economics!$D$2:$D$167="whr")*economics!$AI$2:$AI$167*_xlfn.NORM.DIST(AR$3,economics!$AK$2:$AK$167,economics!$AJ$2:$AJ$167,TRUE)),0)</f>
        <v/>
      </c>
      <c r="AS24" s="68">
        <f t="array" ref="AS24">IF($D24,SUMPRODUCT((economics!$AG$2:$AG$167=$B24)*(economics!$D$2:$D$167="whr")*economics!$AI$2:$AI$167*_xlfn.NORM.DIST(AS$3,economics!$AK$2:$AK$167,economics!$AJ$2:$AJ$167,TRUE)),0)</f>
        <v/>
      </c>
      <c r="AT24" s="68">
        <f t="array" ref="AT24">IF($D24,SUMPRODUCT((economics!$AG$2:$AG$167=$B24)*(economics!$D$2:$D$167="whr")*economics!$AI$2:$AI$167*_xlfn.NORM.DIST(AT$3,economics!$AK$2:$AK$167,economics!$AJ$2:$AJ$167,TRUE)),0)</f>
        <v/>
      </c>
      <c r="AU24" s="68">
        <f t="array" ref="AU24">IF($D24,SUMPRODUCT((economics!$AG$2:$AG$167=$B24)*(economics!$D$2:$D$167="whr")*economics!$AI$2:$AI$167*_xlfn.NORM.DIST(AU$3,economics!$AK$2:$AK$167,economics!$AJ$2:$AJ$167,TRUE)),0)</f>
        <v/>
      </c>
      <c r="AV24" s="68">
        <f t="array" ref="AV24">IF($D24,SUMPRODUCT((economics!$AG$2:$AG$167=$B24)*(economics!$D$2:$D$167="whr")*economics!$AI$2:$AI$167*_xlfn.NORM.DIST(AV$3,economics!$AK$2:$AK$167,economics!$AJ$2:$AJ$167,TRUE)),0)</f>
        <v/>
      </c>
      <c r="AW24" s="68">
        <f t="array" ref="AW24">IF($D24,SUMPRODUCT((economics!$AG$2:$AG$167=$B24)*(economics!$D$2:$D$167="whr")*economics!$AI$2:$AI$167*_xlfn.NORM.DIST(AW$3,economics!$AK$2:$AK$167,economics!$AJ$2:$AJ$167,TRUE)),0)</f>
        <v/>
      </c>
      <c r="AX24" s="68">
        <f t="array" ref="AX24">IF($D24,SUMPRODUCT((economics!$AG$2:$AG$167=$B24)*(economics!$D$2:$D$167="whr")*economics!$AI$2:$AI$167*_xlfn.NORM.DIST(AX$3,economics!$AK$2:$AK$167,economics!$AJ$2:$AJ$167,TRUE)),0)</f>
        <v/>
      </c>
      <c r="AY24" s="68">
        <f t="array" ref="AY24">IF($D24,SUMPRODUCT((economics!$AG$2:$AG$167=$B24)*(economics!$D$2:$D$167="whr")*economics!$AI$2:$AI$167*_xlfn.NORM.DIST(AY$3,economics!$AK$2:$AK$167,economics!$AJ$2:$AJ$167,TRUE)),0)</f>
        <v/>
      </c>
      <c r="AZ24" s="68">
        <f t="array" ref="AZ24">IF($D24,SUMPRODUCT((economics!$AG$2:$AG$167=$B24)*(economics!$D$2:$D$167="whr")*economics!$AI$2:$AI$167*_xlfn.NORM.DIST(AZ$3,economics!$AK$2:$AK$167,economics!$AJ$2:$AJ$167,TRUE)),0)</f>
        <v/>
      </c>
      <c r="BA24" s="68">
        <f t="array" ref="BA24">IF($D24,SUMPRODUCT((economics!$AG$2:$AG$167=$B24)*(economics!$D$2:$D$167="whr")*economics!$AI$2:$AI$167*_xlfn.NORM.DIST(BA$3,economics!$AK$2:$AK$167,economics!$AJ$2:$AJ$167,TRUE)),0)</f>
        <v/>
      </c>
      <c r="BB24" s="68">
        <f t="array" ref="BB24">IF($D24,SUMPRODUCT((economics!$AG$2:$AG$167=$B24)*(economics!$D$2:$D$167="whr")*economics!$AI$2:$AI$167*_xlfn.NORM.DIST(BB$3,economics!$AK$2:$AK$167,economics!$AJ$2:$AJ$167,TRUE)),0)</f>
        <v/>
      </c>
      <c r="BC24" s="68">
        <f t="array" ref="BC24">IF($D24,SUMPRODUCT((economics!$AG$2:$AG$167=$B24)*(economics!$D$2:$D$167="whr")*economics!$AI$2:$AI$167*_xlfn.NORM.DIST(BC$3,economics!$AK$2:$AK$167,economics!$AJ$2:$AJ$167,TRUE)),0)</f>
        <v/>
      </c>
      <c r="BD24" s="68">
        <f t="array" ref="BD24">IF($D24,SUMPRODUCT((economics!$AG$2:$AG$167=$B24)*(economics!$D$2:$D$167="whr")*economics!$AI$2:$AI$167*_xlfn.NORM.DIST(BD$3,economics!$AK$2:$AK$167,economics!$AJ$2:$AJ$167,TRUE)),0)</f>
        <v/>
      </c>
      <c r="BE24" s="68">
        <f t="array" ref="BE24">IF($D24,SUMPRODUCT((economics!$AG$2:$AG$167=$B24)*(economics!$D$2:$D$167="whr")*economics!$AI$2:$AI$167*_xlfn.NORM.DIST(BE$3,economics!$AK$2:$AK$167,economics!$AJ$2:$AJ$167,TRUE)),0)</f>
        <v/>
      </c>
      <c r="BF24" s="68">
        <f t="array" ref="BF24">IF($D24,SUMPRODUCT((economics!$AG$2:$AG$167=$B24)*(economics!$D$2:$D$167="whr")*economics!$AI$2:$AI$167*_xlfn.NORM.DIST(BF$3,economics!$AK$2:$AK$167,economics!$AJ$2:$AJ$167,TRUE)),0)</f>
        <v/>
      </c>
      <c r="BG24" s="68">
        <f t="array" ref="BG24">IF($D24,SUMPRODUCT((economics!$AG$2:$AG$167=$B24)*(economics!$D$2:$D$167="whr")*economics!$AI$2:$AI$167*_xlfn.NORM.DIST(BG$3,economics!$AK$2:$AK$167,economics!$AJ$2:$AJ$167,TRUE)),0)</f>
        <v/>
      </c>
      <c r="BH24" s="68">
        <f t="array" ref="BH24">IF($D24,SUMPRODUCT((economics!$AG$2:$AG$167=$B24)*(economics!$D$2:$D$167="whr")*economics!$AI$2:$AI$167*_xlfn.NORM.DIST(BH$3,economics!$AK$2:$AK$167,economics!$AJ$2:$AJ$167,TRUE)),0)</f>
        <v/>
      </c>
      <c r="BI24" s="68">
        <f t="array" ref="BI24">IF($D24,SUMPRODUCT((economics!$AG$2:$AG$167=$B24)*(economics!$D$2:$D$167="whr")*economics!$AI$2:$AI$167*_xlfn.NORM.DIST(BI$3,economics!$AK$2:$AK$167,economics!$AJ$2:$AJ$167,TRUE)),0)</f>
        <v/>
      </c>
      <c r="BJ24" s="68">
        <f t="array" ref="BJ24">IF($D24,SUMPRODUCT((economics!$AG$2:$AG$167=$B24)*(economics!$D$2:$D$167="whr")*economics!$AI$2:$AI$167*_xlfn.NORM.DIST(BJ$3,economics!$AK$2:$AK$167,economics!$AJ$2:$AJ$167,TRUE)),0)</f>
        <v/>
      </c>
      <c r="BK24" s="68">
        <f t="array" ref="BK24">IF($D24,SUMPRODUCT((economics!$AG$2:$AG$167=$B24)*(economics!$D$2:$D$167="whr")*economics!$AI$2:$AI$167*_xlfn.NORM.DIST(BK$3,economics!$AK$2:$AK$167,economics!$AJ$2:$AJ$167,TRUE)),0)</f>
        <v/>
      </c>
      <c r="BL24" s="68">
        <f t="array" ref="BL24">IF($D24,SUMPRODUCT((economics!$AG$2:$AG$167=$B24)*(economics!$D$2:$D$167="whr")*economics!$AI$2:$AI$167*_xlfn.NORM.DIST(BL$3,economics!$AK$2:$AK$167,economics!$AJ$2:$AJ$167,TRUE)),0)</f>
        <v/>
      </c>
      <c r="BM24" s="68">
        <f t="array" ref="BM24">IF($D24,SUMPRODUCT((economics!$AG$2:$AG$167=$B24)*(economics!$D$2:$D$167="whr")*economics!$AI$2:$AI$167*_xlfn.NORM.DIST(BM$3,economics!$AK$2:$AK$167,economics!$AJ$2:$AJ$167,TRUE)),0)</f>
        <v/>
      </c>
      <c r="BN24" s="68">
        <f t="array" ref="BN24">IF($D24,SUMPRODUCT((economics!$AG$2:$AG$167=$B24)*(economics!$D$2:$D$167="whr")*economics!$AI$2:$AI$167*_xlfn.NORM.DIST(BN$3,economics!$AK$2:$AK$167,economics!$AJ$2:$AJ$167,TRUE)),0)</f>
        <v/>
      </c>
      <c r="BO24" s="68">
        <f t="array" ref="BO24">IF($D24,SUMPRODUCT((economics!$AG$2:$AG$167=$B24)*(economics!$D$2:$D$167="whr")*economics!$AI$2:$AI$167*_xlfn.NORM.DIST(BO$3,economics!$AK$2:$AK$167,economics!$AJ$2:$AJ$167,TRUE)),0)</f>
        <v/>
      </c>
      <c r="BP24" s="68">
        <f t="array" ref="BP24">IF($D24,SUMPRODUCT((economics!$AG$2:$AG$167=$B24)*(economics!$D$2:$D$167="whr")*economics!$AI$2:$AI$167*_xlfn.NORM.DIST(BP$3,economics!$AK$2:$AK$167,economics!$AJ$2:$AJ$167,TRUE)),0)</f>
        <v/>
      </c>
      <c r="BQ24" s="68">
        <f t="array" ref="BQ24">IF($D24,SUMPRODUCT((economics!$AG$2:$AG$167=$B24)*(economics!$D$2:$D$167="whr")*economics!$AI$2:$AI$167*_xlfn.NORM.DIST(BQ$3,economics!$AK$2:$AK$167,economics!$AJ$2:$AJ$167,TRUE)),0)</f>
        <v/>
      </c>
      <c r="BR24" s="68">
        <f t="array" ref="BR24">IF($D24,SUMPRODUCT((economics!$AG$2:$AG$167=$B24)*(economics!$D$2:$D$167="whr")*economics!$AI$2:$AI$167*_xlfn.NORM.DIST(BR$3,economics!$AK$2:$AK$167,economics!$AJ$2:$AJ$167,TRUE)),0)</f>
        <v/>
      </c>
      <c r="BS24" s="68">
        <f t="array" ref="BS24">IF($D24,SUMPRODUCT((economics!$AG$2:$AG$167=$B24)*(economics!$D$2:$D$167="whr")*economics!$AI$2:$AI$167*_xlfn.NORM.DIST(BS$3,economics!$AK$2:$AK$167,economics!$AJ$2:$AJ$167,TRUE)),0)</f>
        <v/>
      </c>
      <c r="BT24" s="68">
        <f t="array" ref="BT24">IF($D24,SUMPRODUCT((economics!$AG$2:$AG$167=$B24)*(economics!$D$2:$D$167="whr")*economics!$AI$2:$AI$167*_xlfn.NORM.DIST(BT$3,economics!$AK$2:$AK$167,economics!$AJ$2:$AJ$167,TRUE)),0)</f>
        <v/>
      </c>
      <c r="BU24" s="68">
        <f t="array" ref="BU24">IF($D24,SUMPRODUCT((economics!$AG$2:$AG$167=$B24)*(economics!$D$2:$D$167="whr")*economics!$AI$2:$AI$167*_xlfn.NORM.DIST(BU$3,economics!$AK$2:$AK$167,economics!$AJ$2:$AJ$167,TRUE)),0)</f>
        <v/>
      </c>
      <c r="BV24" s="68">
        <f t="array" ref="BV24">IF($D24,SUMPRODUCT((economics!$AG$2:$AG$167=$B24)*(economics!$D$2:$D$167="whr")*economics!$AI$2:$AI$167*_xlfn.NORM.DIST(BV$3,economics!$AK$2:$AK$167,economics!$AJ$2:$AJ$167,TRUE)),0)</f>
        <v/>
      </c>
      <c r="BW24" s="68">
        <f t="array" ref="BW24">IF($D24,SUMPRODUCT((economics!$AG$2:$AG$167=$B24)*(economics!$D$2:$D$167="whr")*economics!$AI$2:$AI$167*_xlfn.NORM.DIST(BW$3,economics!$AK$2:$AK$167,economics!$AJ$2:$AJ$167,TRUE)),0)</f>
        <v/>
      </c>
      <c r="BX24" s="68">
        <f t="array" ref="BX24">IF($D24,SUMPRODUCT((economics!$AG$2:$AG$167=$B24)*(economics!$D$2:$D$167="whr")*economics!$AI$2:$AI$167*_xlfn.NORM.DIST(BX$3,economics!$AK$2:$AK$167,economics!$AJ$2:$AJ$167,TRUE)),0)</f>
        <v/>
      </c>
      <c r="BY24" s="68">
        <f t="array" ref="BY24">IF($D24,SUMPRODUCT((economics!$AG$2:$AG$167=$B24)*(economics!$D$2:$D$167="whr")*economics!$AI$2:$AI$167*_xlfn.NORM.DIST(BY$3,economics!$AK$2:$AK$167,economics!$AJ$2:$AJ$167,TRUE)),0)</f>
        <v/>
      </c>
      <c r="BZ24" s="68">
        <f t="array" ref="BZ24">IF($D24,SUMPRODUCT((economics!$AG$2:$AG$167=$B24)*(economics!$D$2:$D$167="whr")*economics!$AI$2:$AI$167*_xlfn.NORM.DIST(BZ$3,economics!$AK$2:$AK$167,economics!$AJ$2:$AJ$167,TRUE)),0)</f>
        <v/>
      </c>
      <c r="CA24" s="68">
        <f t="array" ref="CA24">IF($D24,SUMPRODUCT((economics!$AG$2:$AG$167=$B24)*(economics!$D$2:$D$167="whr")*economics!$AI$2:$AI$167*_xlfn.NORM.DIST(CA$3,economics!$AK$2:$AK$167,economics!$AJ$2:$AJ$167,TRUE)),0)</f>
        <v/>
      </c>
      <c r="CB24" s="68">
        <f t="array" ref="CB24">IF($D24,SUMPRODUCT((economics!$AG$2:$AG$167=$B24)*(economics!$D$2:$D$167="whr")*economics!$AI$2:$AI$167*_xlfn.NORM.DIST(CB$3,economics!$AK$2:$AK$167,economics!$AJ$2:$AJ$167,TRUE)),0)</f>
        <v/>
      </c>
      <c r="CC24" s="68">
        <f t="array" ref="CC24">IF($D24,SUMPRODUCT((economics!$AG$2:$AG$167=$B24)*(economics!$D$2:$D$167="whr")*economics!$AI$2:$AI$167*_xlfn.NORM.DIST(CC$3,economics!$AK$2:$AK$167,economics!$AJ$2:$AJ$167,TRUE)),0)</f>
        <v/>
      </c>
      <c r="CD24" s="68">
        <f t="array" ref="CD24">IF($D24,SUMPRODUCT((economics!$AG$2:$AG$167=$B24)*(economics!$D$2:$D$167="whr")*economics!$AI$2:$AI$167*_xlfn.NORM.DIST(CD$3,economics!$AK$2:$AK$167,economics!$AJ$2:$AJ$167,TRUE)),0)</f>
        <v/>
      </c>
      <c r="CE24" s="68">
        <f t="array" ref="CE24">IF($D24,SUMPRODUCT((economics!$AG$2:$AG$167=$B24)*(economics!$D$2:$D$167="whr")*economics!$AI$2:$AI$167*_xlfn.NORM.DIST(CE$3,economics!$AK$2:$AK$167,economics!$AJ$2:$AJ$167,TRUE)),0)</f>
        <v/>
      </c>
      <c r="CF24" s="68">
        <f t="array" ref="CF24">IF($D24,SUMPRODUCT((economics!$AG$2:$AG$167=$B24)*(economics!$D$2:$D$167="whr")*economics!$AI$2:$AI$167*_xlfn.NORM.DIST(CF$3,economics!$AK$2:$AK$167,economics!$AJ$2:$AJ$167,TRUE)),0)</f>
        <v/>
      </c>
      <c r="CG24" s="68">
        <f t="array" ref="CG24">IF($D24,SUMPRODUCT((economics!$AG$2:$AG$167=$B24)*(economics!$D$2:$D$167="whr")*economics!$AI$2:$AI$167*_xlfn.NORM.DIST(CG$3,economics!$AK$2:$AK$167,economics!$AJ$2:$AJ$167,TRUE)),0)</f>
        <v/>
      </c>
      <c r="CH24" s="68">
        <f t="array" ref="CH24">IF($D24,SUMPRODUCT((economics!$AG$2:$AG$167=$B24)*(economics!$D$2:$D$167="whr")*economics!$AI$2:$AI$167*_xlfn.NORM.DIST(CH$3,economics!$AK$2:$AK$167,economics!$AJ$2:$AJ$167,TRUE)),0)</f>
        <v/>
      </c>
    </row>
    <row r="25">
      <c r="A25">
        <f>WHRPbI!A23</f>
        <v/>
      </c>
      <c r="B25" t="inlineStr">
        <is>
          <t>31T33</t>
        </is>
      </c>
      <c r="C25" s="68">
        <f>WHRPbI!B23</f>
        <v/>
      </c>
      <c r="D25">
        <f>ISNUMBER(MATCH($B25,'energy base (MECS)'!$K$4:$K$9,0))</f>
        <v/>
      </c>
      <c r="E25" s="68">
        <f t="array" ref="E25">IF($D25,SUMPRODUCT((economics!$AG$2:$AG$167=$B25)*(economics!$D$2:$D$167="whr")*economics!$AI$2:$AI$167*_xlfn.NORM.DIST(E$3,economics!$AK$2:$AK$167,economics!$AJ$2:$AJ$167,TRUE)),0)</f>
        <v/>
      </c>
      <c r="F25" s="68">
        <f t="array" ref="F25">IF($D25,SUMPRODUCT((economics!$AG$2:$AG$167=$B25)*(economics!$D$2:$D$167="whr")*economics!$AI$2:$AI$167*_xlfn.NORM.DIST(F$3,economics!$AK$2:$AK$167,economics!$AJ$2:$AJ$167,TRUE)),0)</f>
        <v/>
      </c>
      <c r="G25" s="68">
        <f t="array" ref="G25">IF($D25,SUMPRODUCT((economics!$AG$2:$AG$167=$B25)*(economics!$D$2:$D$167="whr")*economics!$AI$2:$AI$167*_xlfn.NORM.DIST(G$3,economics!$AK$2:$AK$167,economics!$AJ$2:$AJ$167,TRUE)),0)</f>
        <v/>
      </c>
      <c r="H25" s="68">
        <f t="array" ref="H25">IF($D25,SUMPRODUCT((economics!$AG$2:$AG$167=$B25)*(economics!$D$2:$D$167="whr")*economics!$AI$2:$AI$167*_xlfn.NORM.DIST(H$3,economics!$AK$2:$AK$167,economics!$AJ$2:$AJ$167,TRUE)),0)</f>
        <v/>
      </c>
      <c r="I25" s="68">
        <f t="array" ref="I25">IF($D25,SUMPRODUCT((economics!$AG$2:$AG$167=$B25)*(economics!$D$2:$D$167="whr")*economics!$AI$2:$AI$167*_xlfn.NORM.DIST(I$3,economics!$AK$2:$AK$167,economics!$AJ$2:$AJ$167,TRUE)),0)</f>
        <v/>
      </c>
      <c r="J25" s="68">
        <f t="array" ref="J25">IF($D25,SUMPRODUCT((economics!$AG$2:$AG$167=$B25)*(economics!$D$2:$D$167="whr")*economics!$AI$2:$AI$167*_xlfn.NORM.DIST(J$3,economics!$AK$2:$AK$167,economics!$AJ$2:$AJ$167,TRUE)),0)</f>
        <v/>
      </c>
      <c r="K25" s="68">
        <f t="array" ref="K25">IF($D25,SUMPRODUCT((economics!$AG$2:$AG$167=$B25)*(economics!$D$2:$D$167="whr")*economics!$AI$2:$AI$167*_xlfn.NORM.DIST(K$3,economics!$AK$2:$AK$167,economics!$AJ$2:$AJ$167,TRUE)),0)</f>
        <v/>
      </c>
      <c r="L25" s="68">
        <f t="array" ref="L25">IF($D25,SUMPRODUCT((economics!$AG$2:$AG$167=$B25)*(economics!$D$2:$D$167="whr")*economics!$AI$2:$AI$167*_xlfn.NORM.DIST(L$3,economics!$AK$2:$AK$167,economics!$AJ$2:$AJ$167,TRUE)),0)</f>
        <v/>
      </c>
      <c r="M25" s="68">
        <f t="array" ref="M25">IF($D25,SUMPRODUCT((economics!$AG$2:$AG$167=$B25)*(economics!$D$2:$D$167="whr")*economics!$AI$2:$AI$167*_xlfn.NORM.DIST(M$3,economics!$AK$2:$AK$167,economics!$AJ$2:$AJ$167,TRUE)),0)</f>
        <v/>
      </c>
      <c r="N25" s="68">
        <f t="array" ref="N25">IF($D25,SUMPRODUCT((economics!$AG$2:$AG$167=$B25)*(economics!$D$2:$D$167="whr")*economics!$AI$2:$AI$167*_xlfn.NORM.DIST(N$3,economics!$AK$2:$AK$167,economics!$AJ$2:$AJ$167,TRUE)),0)</f>
        <v/>
      </c>
      <c r="O25" s="68">
        <f t="array" ref="O25">IF($D25,SUMPRODUCT((economics!$AG$2:$AG$167=$B25)*(economics!$D$2:$D$167="whr")*economics!$AI$2:$AI$167*_xlfn.NORM.DIST(O$3,economics!$AK$2:$AK$167,economics!$AJ$2:$AJ$167,TRUE)),0)</f>
        <v/>
      </c>
      <c r="P25" s="68">
        <f t="array" ref="P25">IF($D25,SUMPRODUCT((economics!$AG$2:$AG$167=$B25)*(economics!$D$2:$D$167="whr")*economics!$AI$2:$AI$167*_xlfn.NORM.DIST(P$3,economics!$AK$2:$AK$167,economics!$AJ$2:$AJ$167,TRUE)),0)</f>
        <v/>
      </c>
      <c r="Q25" s="68">
        <f t="array" ref="Q25">IF($D25,SUMPRODUCT((economics!$AG$2:$AG$167=$B25)*(economics!$D$2:$D$167="whr")*economics!$AI$2:$AI$167*_xlfn.NORM.DIST(Q$3,economics!$AK$2:$AK$167,economics!$AJ$2:$AJ$167,TRUE)),0)</f>
        <v/>
      </c>
      <c r="R25" s="68">
        <f t="array" ref="R25">IF($D25,SUMPRODUCT((economics!$AG$2:$AG$167=$B25)*(economics!$D$2:$D$167="whr")*economics!$AI$2:$AI$167*_xlfn.NORM.DIST(R$3,economics!$AK$2:$AK$167,economics!$AJ$2:$AJ$167,TRUE)),0)</f>
        <v/>
      </c>
      <c r="S25" s="68">
        <f t="array" ref="S25">IF($D25,SUMPRODUCT((economics!$AG$2:$AG$167=$B25)*(economics!$D$2:$D$167="whr")*economics!$AI$2:$AI$167*_xlfn.NORM.DIST(S$3,economics!$AK$2:$AK$167,economics!$AJ$2:$AJ$167,TRUE)),0)</f>
        <v/>
      </c>
      <c r="T25" s="68">
        <f t="array" ref="T25">IF($D25,SUMPRODUCT((economics!$AG$2:$AG$167=$B25)*(economics!$D$2:$D$167="whr")*economics!$AI$2:$AI$167*_xlfn.NORM.DIST(T$3,economics!$AK$2:$AK$167,economics!$AJ$2:$AJ$167,TRUE)),0)</f>
        <v/>
      </c>
      <c r="U25" s="68">
        <f t="array" ref="U25">IF($D25,SUMPRODUCT((economics!$AG$2:$AG$167=$B25)*(economics!$D$2:$D$167="whr")*economics!$AI$2:$AI$167*_xlfn.NORM.DIST(U$3,economics!$AK$2:$AK$167,economics!$AJ$2:$AJ$167,TRUE)),0)</f>
        <v/>
      </c>
      <c r="V25" s="68">
        <f t="array" ref="V25">IF($D25,SUMPRODUCT((economics!$AG$2:$AG$167=$B25)*(economics!$D$2:$D$167="whr")*economics!$AI$2:$AI$167*_xlfn.NORM.DIST(V$3,economics!$AK$2:$AK$167,economics!$AJ$2:$AJ$167,TRUE)),0)</f>
        <v/>
      </c>
      <c r="W25" s="68">
        <f t="array" ref="W25">IF($D25,SUMPRODUCT((economics!$AG$2:$AG$167=$B25)*(economics!$D$2:$D$167="whr")*economics!$AI$2:$AI$167*_xlfn.NORM.DIST(W$3,economics!$AK$2:$AK$167,economics!$AJ$2:$AJ$167,TRUE)),0)</f>
        <v/>
      </c>
      <c r="X25" s="68">
        <f t="array" ref="X25">IF($D25,SUMPRODUCT((economics!$AG$2:$AG$167=$B25)*(economics!$D$2:$D$167="whr")*economics!$AI$2:$AI$167*_xlfn.NORM.DIST(X$3,economics!$AK$2:$AK$167,economics!$AJ$2:$AJ$167,TRUE)),0)</f>
        <v/>
      </c>
      <c r="Y25" s="68">
        <f t="array" ref="Y25">IF($D25,SUMPRODUCT((economics!$AG$2:$AG$167=$B25)*(economics!$D$2:$D$167="whr")*economics!$AI$2:$AI$167*_xlfn.NORM.DIST(Y$3,economics!$AK$2:$AK$167,economics!$AJ$2:$AJ$167,TRUE)),0)</f>
        <v/>
      </c>
      <c r="Z25" s="68">
        <f t="array" ref="Z25">IF($D25,SUMPRODUCT((economics!$AG$2:$AG$167=$B25)*(economics!$D$2:$D$167="whr")*economics!$AI$2:$AI$167*_xlfn.NORM.DIST(Z$3,economics!$AK$2:$AK$167,economics!$AJ$2:$AJ$167,TRUE)),0)</f>
        <v/>
      </c>
      <c r="AA25" s="68">
        <f t="array" ref="AA25">IF($D25,SUMPRODUCT((economics!$AG$2:$AG$167=$B25)*(economics!$D$2:$D$167="whr")*economics!$AI$2:$AI$167*_xlfn.NORM.DIST(AA$3,economics!$AK$2:$AK$167,economics!$AJ$2:$AJ$167,TRUE)),0)</f>
        <v/>
      </c>
      <c r="AB25" s="68">
        <f t="array" ref="AB25">IF($D25,SUMPRODUCT((economics!$AG$2:$AG$167=$B25)*(economics!$D$2:$D$167="whr")*economics!$AI$2:$AI$167*_xlfn.NORM.DIST(AB$3,economics!$AK$2:$AK$167,economics!$AJ$2:$AJ$167,TRUE)),0)</f>
        <v/>
      </c>
      <c r="AC25" s="68">
        <f t="array" ref="AC25">IF($D25,SUMPRODUCT((economics!$AG$2:$AG$167=$B25)*(economics!$D$2:$D$167="whr")*economics!$AI$2:$AI$167*_xlfn.NORM.DIST(AC$3,economics!$AK$2:$AK$167,economics!$AJ$2:$AJ$167,TRUE)),0)</f>
        <v/>
      </c>
      <c r="AD25" s="68">
        <f t="array" ref="AD25">IF($D25,SUMPRODUCT((economics!$AG$2:$AG$167=$B25)*(economics!$D$2:$D$167="whr")*economics!$AI$2:$AI$167*_xlfn.NORM.DIST(AD$3,economics!$AK$2:$AK$167,economics!$AJ$2:$AJ$167,TRUE)),0)</f>
        <v/>
      </c>
      <c r="AE25" s="68">
        <f t="array" ref="AE25">IF($D25,SUMPRODUCT((economics!$AG$2:$AG$167=$B25)*(economics!$D$2:$D$167="whr")*economics!$AI$2:$AI$167*_xlfn.NORM.DIST(AE$3,economics!$AK$2:$AK$167,economics!$AJ$2:$AJ$167,TRUE)),0)</f>
        <v/>
      </c>
      <c r="AF25" s="68">
        <f t="array" ref="AF25">IF($D25,SUMPRODUCT((economics!$AG$2:$AG$167=$B25)*(economics!$D$2:$D$167="whr")*economics!$AI$2:$AI$167*_xlfn.NORM.DIST(AF$3,economics!$AK$2:$AK$167,economics!$AJ$2:$AJ$167,TRUE)),0)</f>
        <v/>
      </c>
      <c r="AG25" s="68">
        <f t="array" ref="AG25">IF($D25,SUMPRODUCT((economics!$AG$2:$AG$167=$B25)*(economics!$D$2:$D$167="whr")*economics!$AI$2:$AI$167*_xlfn.NORM.DIST(AG$3,economics!$AK$2:$AK$167,economics!$AJ$2:$AJ$167,TRUE)),0)</f>
        <v/>
      </c>
      <c r="AH25" s="68">
        <f t="array" ref="AH25">IF($D25,SUMPRODUCT((economics!$AG$2:$AG$167=$B25)*(economics!$D$2:$D$167="whr")*economics!$AI$2:$AI$167*_xlfn.NORM.DIST(AH$3,economics!$AK$2:$AK$167,economics!$AJ$2:$AJ$167,TRUE)),0)</f>
        <v/>
      </c>
      <c r="AI25" s="68">
        <f t="array" ref="AI25">IF($D25,SUMPRODUCT((economics!$AG$2:$AG$167=$B25)*(economics!$D$2:$D$167="whr")*economics!$AI$2:$AI$167*_xlfn.NORM.DIST(AI$3,economics!$AK$2:$AK$167,economics!$AJ$2:$AJ$167,TRUE)),0)</f>
        <v/>
      </c>
      <c r="AJ25" s="68">
        <f t="array" ref="AJ25">IF($D25,SUMPRODUCT((economics!$AG$2:$AG$167=$B25)*(economics!$D$2:$D$167="whr")*economics!$AI$2:$AI$167*_xlfn.NORM.DIST(AJ$3,economics!$AK$2:$AK$167,economics!$AJ$2:$AJ$167,TRUE)),0)</f>
        <v/>
      </c>
      <c r="AK25" s="68">
        <f t="array" ref="AK25">IF($D25,SUMPRODUCT((economics!$AG$2:$AG$167=$B25)*(economics!$D$2:$D$167="whr")*economics!$AI$2:$AI$167*_xlfn.NORM.DIST(AK$3,economics!$AK$2:$AK$167,economics!$AJ$2:$AJ$167,TRUE)),0)</f>
        <v/>
      </c>
      <c r="AL25" s="68">
        <f t="array" ref="AL25">IF($D25,SUMPRODUCT((economics!$AG$2:$AG$167=$B25)*(economics!$D$2:$D$167="whr")*economics!$AI$2:$AI$167*_xlfn.NORM.DIST(AL$3,economics!$AK$2:$AK$167,economics!$AJ$2:$AJ$167,TRUE)),0)</f>
        <v/>
      </c>
      <c r="AM25" s="68">
        <f t="array" ref="AM25">IF($D25,SUMPRODUCT((economics!$AG$2:$AG$167=$B25)*(economics!$D$2:$D$167="whr")*economics!$AI$2:$AI$167*_xlfn.NORM.DIST(AM$3,economics!$AK$2:$AK$167,economics!$AJ$2:$AJ$167,TRUE)),0)</f>
        <v/>
      </c>
      <c r="AN25" s="68">
        <f t="array" ref="AN25">IF($D25,SUMPRODUCT((economics!$AG$2:$AG$167=$B25)*(economics!$D$2:$D$167="whr")*economics!$AI$2:$AI$167*_xlfn.NORM.DIST(AN$3,economics!$AK$2:$AK$167,economics!$AJ$2:$AJ$167,TRUE)),0)</f>
        <v/>
      </c>
      <c r="AO25" s="68">
        <f t="array" ref="AO25">IF($D25,SUMPRODUCT((economics!$AG$2:$AG$167=$B25)*(economics!$D$2:$D$167="whr")*economics!$AI$2:$AI$167*_xlfn.NORM.DIST(AO$3,economics!$AK$2:$AK$167,economics!$AJ$2:$AJ$167,TRUE)),0)</f>
        <v/>
      </c>
      <c r="AP25" s="68">
        <f t="array" ref="AP25">IF($D25,SUMPRODUCT((economics!$AG$2:$AG$167=$B25)*(economics!$D$2:$D$167="whr")*economics!$AI$2:$AI$167*_xlfn.NORM.DIST(AP$3,economics!$AK$2:$AK$167,economics!$AJ$2:$AJ$167,TRUE)),0)</f>
        <v/>
      </c>
      <c r="AQ25" s="68">
        <f t="array" ref="AQ25">IF($D25,SUMPRODUCT((economics!$AG$2:$AG$167=$B25)*(economics!$D$2:$D$167="whr")*economics!$AI$2:$AI$167*_xlfn.NORM.DIST(AQ$3,economics!$AK$2:$AK$167,economics!$AJ$2:$AJ$167,TRUE)),0)</f>
        <v/>
      </c>
      <c r="AR25" s="68">
        <f t="array" ref="AR25">IF($D25,SUMPRODUCT((economics!$AG$2:$AG$167=$B25)*(economics!$D$2:$D$167="whr")*economics!$AI$2:$AI$167*_xlfn.NORM.DIST(AR$3,economics!$AK$2:$AK$167,economics!$AJ$2:$AJ$167,TRUE)),0)</f>
        <v/>
      </c>
      <c r="AS25" s="68">
        <f t="array" ref="AS25">IF($D25,SUMPRODUCT((economics!$AG$2:$AG$167=$B25)*(economics!$D$2:$D$167="whr")*economics!$AI$2:$AI$167*_xlfn.NORM.DIST(AS$3,economics!$AK$2:$AK$167,economics!$AJ$2:$AJ$167,TRUE)),0)</f>
        <v/>
      </c>
      <c r="AT25" s="68">
        <f t="array" ref="AT25">IF($D25,SUMPRODUCT((economics!$AG$2:$AG$167=$B25)*(economics!$D$2:$D$167="whr")*economics!$AI$2:$AI$167*_xlfn.NORM.DIST(AT$3,economics!$AK$2:$AK$167,economics!$AJ$2:$AJ$167,TRUE)),0)</f>
        <v/>
      </c>
      <c r="AU25" s="68">
        <f t="array" ref="AU25">IF($D25,SUMPRODUCT((economics!$AG$2:$AG$167=$B25)*(economics!$D$2:$D$167="whr")*economics!$AI$2:$AI$167*_xlfn.NORM.DIST(AU$3,economics!$AK$2:$AK$167,economics!$AJ$2:$AJ$167,TRUE)),0)</f>
        <v/>
      </c>
      <c r="AV25" s="68">
        <f t="array" ref="AV25">IF($D25,SUMPRODUCT((economics!$AG$2:$AG$167=$B25)*(economics!$D$2:$D$167="whr")*economics!$AI$2:$AI$167*_xlfn.NORM.DIST(AV$3,economics!$AK$2:$AK$167,economics!$AJ$2:$AJ$167,TRUE)),0)</f>
        <v/>
      </c>
      <c r="AW25" s="68">
        <f t="array" ref="AW25">IF($D25,SUMPRODUCT((economics!$AG$2:$AG$167=$B25)*(economics!$D$2:$D$167="whr")*economics!$AI$2:$AI$167*_xlfn.NORM.DIST(AW$3,economics!$AK$2:$AK$167,economics!$AJ$2:$AJ$167,TRUE)),0)</f>
        <v/>
      </c>
      <c r="AX25" s="68">
        <f t="array" ref="AX25">IF($D25,SUMPRODUCT((economics!$AG$2:$AG$167=$B25)*(economics!$D$2:$D$167="whr")*economics!$AI$2:$AI$167*_xlfn.NORM.DIST(AX$3,economics!$AK$2:$AK$167,economics!$AJ$2:$AJ$167,TRUE)),0)</f>
        <v/>
      </c>
      <c r="AY25" s="68">
        <f t="array" ref="AY25">IF($D25,SUMPRODUCT((economics!$AG$2:$AG$167=$B25)*(economics!$D$2:$D$167="whr")*economics!$AI$2:$AI$167*_xlfn.NORM.DIST(AY$3,economics!$AK$2:$AK$167,economics!$AJ$2:$AJ$167,TRUE)),0)</f>
        <v/>
      </c>
      <c r="AZ25" s="68">
        <f t="array" ref="AZ25">IF($D25,SUMPRODUCT((economics!$AG$2:$AG$167=$B25)*(economics!$D$2:$D$167="whr")*economics!$AI$2:$AI$167*_xlfn.NORM.DIST(AZ$3,economics!$AK$2:$AK$167,economics!$AJ$2:$AJ$167,TRUE)),0)</f>
        <v/>
      </c>
      <c r="BA25" s="68">
        <f t="array" ref="BA25">IF($D25,SUMPRODUCT((economics!$AG$2:$AG$167=$B25)*(economics!$D$2:$D$167="whr")*economics!$AI$2:$AI$167*_xlfn.NORM.DIST(BA$3,economics!$AK$2:$AK$167,economics!$AJ$2:$AJ$167,TRUE)),0)</f>
        <v/>
      </c>
      <c r="BB25" s="68">
        <f t="array" ref="BB25">IF($D25,SUMPRODUCT((economics!$AG$2:$AG$167=$B25)*(economics!$D$2:$D$167="whr")*economics!$AI$2:$AI$167*_xlfn.NORM.DIST(BB$3,economics!$AK$2:$AK$167,economics!$AJ$2:$AJ$167,TRUE)),0)</f>
        <v/>
      </c>
      <c r="BC25" s="68">
        <f t="array" ref="BC25">IF($D25,SUMPRODUCT((economics!$AG$2:$AG$167=$B25)*(economics!$D$2:$D$167="whr")*economics!$AI$2:$AI$167*_xlfn.NORM.DIST(BC$3,economics!$AK$2:$AK$167,economics!$AJ$2:$AJ$167,TRUE)),0)</f>
        <v/>
      </c>
      <c r="BD25" s="68">
        <f t="array" ref="BD25">IF($D25,SUMPRODUCT((economics!$AG$2:$AG$167=$B25)*(economics!$D$2:$D$167="whr")*economics!$AI$2:$AI$167*_xlfn.NORM.DIST(BD$3,economics!$AK$2:$AK$167,economics!$AJ$2:$AJ$167,TRUE)),0)</f>
        <v/>
      </c>
      <c r="BE25" s="68">
        <f t="array" ref="BE25">IF($D25,SUMPRODUCT((economics!$AG$2:$AG$167=$B25)*(economics!$D$2:$D$167="whr")*economics!$AI$2:$AI$167*_xlfn.NORM.DIST(BE$3,economics!$AK$2:$AK$167,economics!$AJ$2:$AJ$167,TRUE)),0)</f>
        <v/>
      </c>
      <c r="BF25" s="68">
        <f t="array" ref="BF25">IF($D25,SUMPRODUCT((economics!$AG$2:$AG$167=$B25)*(economics!$D$2:$D$167="whr")*economics!$AI$2:$AI$167*_xlfn.NORM.DIST(BF$3,economics!$AK$2:$AK$167,economics!$AJ$2:$AJ$167,TRUE)),0)</f>
        <v/>
      </c>
      <c r="BG25" s="68">
        <f t="array" ref="BG25">IF($D25,SUMPRODUCT((economics!$AG$2:$AG$167=$B25)*(economics!$D$2:$D$167="whr")*economics!$AI$2:$AI$167*_xlfn.NORM.DIST(BG$3,economics!$AK$2:$AK$167,economics!$AJ$2:$AJ$167,TRUE)),0)</f>
        <v/>
      </c>
      <c r="BH25" s="68">
        <f t="array" ref="BH25">IF($D25,SUMPRODUCT((economics!$AG$2:$AG$167=$B25)*(economics!$D$2:$D$167="whr")*economics!$AI$2:$AI$167*_xlfn.NORM.DIST(BH$3,economics!$AK$2:$AK$167,economics!$AJ$2:$AJ$167,TRUE)),0)</f>
        <v/>
      </c>
      <c r="BI25" s="68">
        <f t="array" ref="BI25">IF($D25,SUMPRODUCT((economics!$AG$2:$AG$167=$B25)*(economics!$D$2:$D$167="whr")*economics!$AI$2:$AI$167*_xlfn.NORM.DIST(BI$3,economics!$AK$2:$AK$167,economics!$AJ$2:$AJ$167,TRUE)),0)</f>
        <v/>
      </c>
      <c r="BJ25" s="68">
        <f t="array" ref="BJ25">IF($D25,SUMPRODUCT((economics!$AG$2:$AG$167=$B25)*(economics!$D$2:$D$167="whr")*economics!$AI$2:$AI$167*_xlfn.NORM.DIST(BJ$3,economics!$AK$2:$AK$167,economics!$AJ$2:$AJ$167,TRUE)),0)</f>
        <v/>
      </c>
      <c r="BK25" s="68">
        <f t="array" ref="BK25">IF($D25,SUMPRODUCT((economics!$AG$2:$AG$167=$B25)*(economics!$D$2:$D$167="whr")*economics!$AI$2:$AI$167*_xlfn.NORM.DIST(BK$3,economics!$AK$2:$AK$167,economics!$AJ$2:$AJ$167,TRUE)),0)</f>
        <v/>
      </c>
      <c r="BL25" s="68">
        <f t="array" ref="BL25">IF($D25,SUMPRODUCT((economics!$AG$2:$AG$167=$B25)*(economics!$D$2:$D$167="whr")*economics!$AI$2:$AI$167*_xlfn.NORM.DIST(BL$3,economics!$AK$2:$AK$167,economics!$AJ$2:$AJ$167,TRUE)),0)</f>
        <v/>
      </c>
      <c r="BM25" s="68">
        <f t="array" ref="BM25">IF($D25,SUMPRODUCT((economics!$AG$2:$AG$167=$B25)*(economics!$D$2:$D$167="whr")*economics!$AI$2:$AI$167*_xlfn.NORM.DIST(BM$3,economics!$AK$2:$AK$167,economics!$AJ$2:$AJ$167,TRUE)),0)</f>
        <v/>
      </c>
      <c r="BN25" s="68">
        <f t="array" ref="BN25">IF($D25,SUMPRODUCT((economics!$AG$2:$AG$167=$B25)*(economics!$D$2:$D$167="whr")*economics!$AI$2:$AI$167*_xlfn.NORM.DIST(BN$3,economics!$AK$2:$AK$167,economics!$AJ$2:$AJ$167,TRUE)),0)</f>
        <v/>
      </c>
      <c r="BO25" s="68">
        <f t="array" ref="BO25">IF($D25,SUMPRODUCT((economics!$AG$2:$AG$167=$B25)*(economics!$D$2:$D$167="whr")*economics!$AI$2:$AI$167*_xlfn.NORM.DIST(BO$3,economics!$AK$2:$AK$167,economics!$AJ$2:$AJ$167,TRUE)),0)</f>
        <v/>
      </c>
      <c r="BP25" s="68">
        <f t="array" ref="BP25">IF($D25,SUMPRODUCT((economics!$AG$2:$AG$167=$B25)*(economics!$D$2:$D$167="whr")*economics!$AI$2:$AI$167*_xlfn.NORM.DIST(BP$3,economics!$AK$2:$AK$167,economics!$AJ$2:$AJ$167,TRUE)),0)</f>
        <v/>
      </c>
      <c r="BQ25" s="68">
        <f t="array" ref="BQ25">IF($D25,SUMPRODUCT((economics!$AG$2:$AG$167=$B25)*(economics!$D$2:$D$167="whr")*economics!$AI$2:$AI$167*_xlfn.NORM.DIST(BQ$3,economics!$AK$2:$AK$167,economics!$AJ$2:$AJ$167,TRUE)),0)</f>
        <v/>
      </c>
      <c r="BR25" s="68">
        <f t="array" ref="BR25">IF($D25,SUMPRODUCT((economics!$AG$2:$AG$167=$B25)*(economics!$D$2:$D$167="whr")*economics!$AI$2:$AI$167*_xlfn.NORM.DIST(BR$3,economics!$AK$2:$AK$167,economics!$AJ$2:$AJ$167,TRUE)),0)</f>
        <v/>
      </c>
      <c r="BS25" s="68">
        <f t="array" ref="BS25">IF($D25,SUMPRODUCT((economics!$AG$2:$AG$167=$B25)*(economics!$D$2:$D$167="whr")*economics!$AI$2:$AI$167*_xlfn.NORM.DIST(BS$3,economics!$AK$2:$AK$167,economics!$AJ$2:$AJ$167,TRUE)),0)</f>
        <v/>
      </c>
      <c r="BT25" s="68">
        <f t="array" ref="BT25">IF($D25,SUMPRODUCT((economics!$AG$2:$AG$167=$B25)*(economics!$D$2:$D$167="whr")*economics!$AI$2:$AI$167*_xlfn.NORM.DIST(BT$3,economics!$AK$2:$AK$167,economics!$AJ$2:$AJ$167,TRUE)),0)</f>
        <v/>
      </c>
      <c r="BU25" s="68">
        <f t="array" ref="BU25">IF($D25,SUMPRODUCT((economics!$AG$2:$AG$167=$B25)*(economics!$D$2:$D$167="whr")*economics!$AI$2:$AI$167*_xlfn.NORM.DIST(BU$3,economics!$AK$2:$AK$167,economics!$AJ$2:$AJ$167,TRUE)),0)</f>
        <v/>
      </c>
      <c r="BV25" s="68">
        <f t="array" ref="BV25">IF($D25,SUMPRODUCT((economics!$AG$2:$AG$167=$B25)*(economics!$D$2:$D$167="whr")*economics!$AI$2:$AI$167*_xlfn.NORM.DIST(BV$3,economics!$AK$2:$AK$167,economics!$AJ$2:$AJ$167,TRUE)),0)</f>
        <v/>
      </c>
      <c r="BW25" s="68">
        <f t="array" ref="BW25">IF($D25,SUMPRODUCT((economics!$AG$2:$AG$167=$B25)*(economics!$D$2:$D$167="whr")*economics!$AI$2:$AI$167*_xlfn.NORM.DIST(BW$3,economics!$AK$2:$AK$167,economics!$AJ$2:$AJ$167,TRUE)),0)</f>
        <v/>
      </c>
      <c r="BX25" s="68">
        <f t="array" ref="BX25">IF($D25,SUMPRODUCT((economics!$AG$2:$AG$167=$B25)*(economics!$D$2:$D$167="whr")*economics!$AI$2:$AI$167*_xlfn.NORM.DIST(BX$3,economics!$AK$2:$AK$167,economics!$AJ$2:$AJ$167,TRUE)),0)</f>
        <v/>
      </c>
      <c r="BY25" s="68">
        <f t="array" ref="BY25">IF($D25,SUMPRODUCT((economics!$AG$2:$AG$167=$B25)*(economics!$D$2:$D$167="whr")*economics!$AI$2:$AI$167*_xlfn.NORM.DIST(BY$3,economics!$AK$2:$AK$167,economics!$AJ$2:$AJ$167,TRUE)),0)</f>
        <v/>
      </c>
      <c r="BZ25" s="68">
        <f t="array" ref="BZ25">IF($D25,SUMPRODUCT((economics!$AG$2:$AG$167=$B25)*(economics!$D$2:$D$167="whr")*economics!$AI$2:$AI$167*_xlfn.NORM.DIST(BZ$3,economics!$AK$2:$AK$167,economics!$AJ$2:$AJ$167,TRUE)),0)</f>
        <v/>
      </c>
      <c r="CA25" s="68">
        <f t="array" ref="CA25">IF($D25,SUMPRODUCT((economics!$AG$2:$AG$167=$B25)*(economics!$D$2:$D$167="whr")*economics!$AI$2:$AI$167*_xlfn.NORM.DIST(CA$3,economics!$AK$2:$AK$167,economics!$AJ$2:$AJ$167,TRUE)),0)</f>
        <v/>
      </c>
      <c r="CB25" s="68">
        <f t="array" ref="CB25">IF($D25,SUMPRODUCT((economics!$AG$2:$AG$167=$B25)*(economics!$D$2:$D$167="whr")*economics!$AI$2:$AI$167*_xlfn.NORM.DIST(CB$3,economics!$AK$2:$AK$167,economics!$AJ$2:$AJ$167,TRUE)),0)</f>
        <v/>
      </c>
      <c r="CC25" s="68">
        <f t="array" ref="CC25">IF($D25,SUMPRODUCT((economics!$AG$2:$AG$167=$B25)*(economics!$D$2:$D$167="whr")*economics!$AI$2:$AI$167*_xlfn.NORM.DIST(CC$3,economics!$AK$2:$AK$167,economics!$AJ$2:$AJ$167,TRUE)),0)</f>
        <v/>
      </c>
      <c r="CD25" s="68">
        <f t="array" ref="CD25">IF($D25,SUMPRODUCT((economics!$AG$2:$AG$167=$B25)*(economics!$D$2:$D$167="whr")*economics!$AI$2:$AI$167*_xlfn.NORM.DIST(CD$3,economics!$AK$2:$AK$167,economics!$AJ$2:$AJ$167,TRUE)),0)</f>
        <v/>
      </c>
      <c r="CE25" s="68">
        <f t="array" ref="CE25">IF($D25,SUMPRODUCT((economics!$AG$2:$AG$167=$B25)*(economics!$D$2:$D$167="whr")*economics!$AI$2:$AI$167*_xlfn.NORM.DIST(CE$3,economics!$AK$2:$AK$167,economics!$AJ$2:$AJ$167,TRUE)),0)</f>
        <v/>
      </c>
      <c r="CF25" s="68">
        <f t="array" ref="CF25">IF($D25,SUMPRODUCT((economics!$AG$2:$AG$167=$B25)*(economics!$D$2:$D$167="whr")*economics!$AI$2:$AI$167*_xlfn.NORM.DIST(CF$3,economics!$AK$2:$AK$167,economics!$AJ$2:$AJ$167,TRUE)),0)</f>
        <v/>
      </c>
      <c r="CG25" s="68">
        <f t="array" ref="CG25">IF($D25,SUMPRODUCT((economics!$AG$2:$AG$167=$B25)*(economics!$D$2:$D$167="whr")*economics!$AI$2:$AI$167*_xlfn.NORM.DIST(CG$3,economics!$AK$2:$AK$167,economics!$AJ$2:$AJ$167,TRUE)),0)</f>
        <v/>
      </c>
      <c r="CH25" s="68">
        <f t="array" ref="CH25">IF($D25,SUMPRODUCT((economics!$AG$2:$AG$167=$B25)*(economics!$D$2:$D$167="whr")*economics!$AI$2:$AI$167*_xlfn.NORM.DIST(CH$3,economics!$AK$2:$AK$167,economics!$AJ$2:$AJ$167,TRUE)),0)</f>
        <v/>
      </c>
    </row>
    <row r="26">
      <c r="A26">
        <f>WHRPbI!A24</f>
        <v/>
      </c>
      <c r="B26" t="inlineStr">
        <is>
          <t>352T353</t>
        </is>
      </c>
      <c r="C26" s="68">
        <f>WHRPbI!B24</f>
        <v/>
      </c>
      <c r="D26">
        <f>ISNUMBER(MATCH($B26,'energy base (MECS)'!$K$4:$K$9,0))</f>
        <v/>
      </c>
      <c r="E26" s="68">
        <f t="array" ref="E26">IF($D26,SUMPRODUCT((economics!$AG$2:$AG$167=$B26)*(economics!$D$2:$D$167="whr")*economics!$AI$2:$AI$167*_xlfn.NORM.DIST(E$3,economics!$AK$2:$AK$167,economics!$AJ$2:$AJ$167,TRUE)),0)</f>
        <v/>
      </c>
      <c r="F26" s="68">
        <f t="array" ref="F26">IF($D26,SUMPRODUCT((economics!$AG$2:$AG$167=$B26)*(economics!$D$2:$D$167="whr")*economics!$AI$2:$AI$167*_xlfn.NORM.DIST(F$3,economics!$AK$2:$AK$167,economics!$AJ$2:$AJ$167,TRUE)),0)</f>
        <v/>
      </c>
      <c r="G26" s="68">
        <f t="array" ref="G26">IF($D26,SUMPRODUCT((economics!$AG$2:$AG$167=$B26)*(economics!$D$2:$D$167="whr")*economics!$AI$2:$AI$167*_xlfn.NORM.DIST(G$3,economics!$AK$2:$AK$167,economics!$AJ$2:$AJ$167,TRUE)),0)</f>
        <v/>
      </c>
      <c r="H26" s="68">
        <f t="array" ref="H26">IF($D26,SUMPRODUCT((economics!$AG$2:$AG$167=$B26)*(economics!$D$2:$D$167="whr")*economics!$AI$2:$AI$167*_xlfn.NORM.DIST(H$3,economics!$AK$2:$AK$167,economics!$AJ$2:$AJ$167,TRUE)),0)</f>
        <v/>
      </c>
      <c r="I26" s="68">
        <f t="array" ref="I26">IF($D26,SUMPRODUCT((economics!$AG$2:$AG$167=$B26)*(economics!$D$2:$D$167="whr")*economics!$AI$2:$AI$167*_xlfn.NORM.DIST(I$3,economics!$AK$2:$AK$167,economics!$AJ$2:$AJ$167,TRUE)),0)</f>
        <v/>
      </c>
      <c r="J26" s="68">
        <f t="array" ref="J26">IF($D26,SUMPRODUCT((economics!$AG$2:$AG$167=$B26)*(economics!$D$2:$D$167="whr")*economics!$AI$2:$AI$167*_xlfn.NORM.DIST(J$3,economics!$AK$2:$AK$167,economics!$AJ$2:$AJ$167,TRUE)),0)</f>
        <v/>
      </c>
      <c r="K26" s="68">
        <f t="array" ref="K26">IF($D26,SUMPRODUCT((economics!$AG$2:$AG$167=$B26)*(economics!$D$2:$D$167="whr")*economics!$AI$2:$AI$167*_xlfn.NORM.DIST(K$3,economics!$AK$2:$AK$167,economics!$AJ$2:$AJ$167,TRUE)),0)</f>
        <v/>
      </c>
      <c r="L26" s="68">
        <f t="array" ref="L26">IF($D26,SUMPRODUCT((economics!$AG$2:$AG$167=$B26)*(economics!$D$2:$D$167="whr")*economics!$AI$2:$AI$167*_xlfn.NORM.DIST(L$3,economics!$AK$2:$AK$167,economics!$AJ$2:$AJ$167,TRUE)),0)</f>
        <v/>
      </c>
      <c r="M26" s="68">
        <f t="array" ref="M26">IF($D26,SUMPRODUCT((economics!$AG$2:$AG$167=$B26)*(economics!$D$2:$D$167="whr")*economics!$AI$2:$AI$167*_xlfn.NORM.DIST(M$3,economics!$AK$2:$AK$167,economics!$AJ$2:$AJ$167,TRUE)),0)</f>
        <v/>
      </c>
      <c r="N26" s="68">
        <f t="array" ref="N26">IF($D26,SUMPRODUCT((economics!$AG$2:$AG$167=$B26)*(economics!$D$2:$D$167="whr")*economics!$AI$2:$AI$167*_xlfn.NORM.DIST(N$3,economics!$AK$2:$AK$167,economics!$AJ$2:$AJ$167,TRUE)),0)</f>
        <v/>
      </c>
      <c r="O26" s="68">
        <f t="array" ref="O26">IF($D26,SUMPRODUCT((economics!$AG$2:$AG$167=$B26)*(economics!$D$2:$D$167="whr")*economics!$AI$2:$AI$167*_xlfn.NORM.DIST(O$3,economics!$AK$2:$AK$167,economics!$AJ$2:$AJ$167,TRUE)),0)</f>
        <v/>
      </c>
      <c r="P26" s="68">
        <f t="array" ref="P26">IF($D26,SUMPRODUCT((economics!$AG$2:$AG$167=$B26)*(economics!$D$2:$D$167="whr")*economics!$AI$2:$AI$167*_xlfn.NORM.DIST(P$3,economics!$AK$2:$AK$167,economics!$AJ$2:$AJ$167,TRUE)),0)</f>
        <v/>
      </c>
      <c r="Q26" s="68">
        <f t="array" ref="Q26">IF($D26,SUMPRODUCT((economics!$AG$2:$AG$167=$B26)*(economics!$D$2:$D$167="whr")*economics!$AI$2:$AI$167*_xlfn.NORM.DIST(Q$3,economics!$AK$2:$AK$167,economics!$AJ$2:$AJ$167,TRUE)),0)</f>
        <v/>
      </c>
      <c r="R26" s="68">
        <f t="array" ref="R26">IF($D26,SUMPRODUCT((economics!$AG$2:$AG$167=$B26)*(economics!$D$2:$D$167="whr")*economics!$AI$2:$AI$167*_xlfn.NORM.DIST(R$3,economics!$AK$2:$AK$167,economics!$AJ$2:$AJ$167,TRUE)),0)</f>
        <v/>
      </c>
      <c r="S26" s="68">
        <f t="array" ref="S26">IF($D26,SUMPRODUCT((economics!$AG$2:$AG$167=$B26)*(economics!$D$2:$D$167="whr")*economics!$AI$2:$AI$167*_xlfn.NORM.DIST(S$3,economics!$AK$2:$AK$167,economics!$AJ$2:$AJ$167,TRUE)),0)</f>
        <v/>
      </c>
      <c r="T26" s="68">
        <f t="array" ref="T26">IF($D26,SUMPRODUCT((economics!$AG$2:$AG$167=$B26)*(economics!$D$2:$D$167="whr")*economics!$AI$2:$AI$167*_xlfn.NORM.DIST(T$3,economics!$AK$2:$AK$167,economics!$AJ$2:$AJ$167,TRUE)),0)</f>
        <v/>
      </c>
      <c r="U26" s="68">
        <f t="array" ref="U26">IF($D26,SUMPRODUCT((economics!$AG$2:$AG$167=$B26)*(economics!$D$2:$D$167="whr")*economics!$AI$2:$AI$167*_xlfn.NORM.DIST(U$3,economics!$AK$2:$AK$167,economics!$AJ$2:$AJ$167,TRUE)),0)</f>
        <v/>
      </c>
      <c r="V26" s="68">
        <f t="array" ref="V26">IF($D26,SUMPRODUCT((economics!$AG$2:$AG$167=$B26)*(economics!$D$2:$D$167="whr")*economics!$AI$2:$AI$167*_xlfn.NORM.DIST(V$3,economics!$AK$2:$AK$167,economics!$AJ$2:$AJ$167,TRUE)),0)</f>
        <v/>
      </c>
      <c r="W26" s="68">
        <f t="array" ref="W26">IF($D26,SUMPRODUCT((economics!$AG$2:$AG$167=$B26)*(economics!$D$2:$D$167="whr")*economics!$AI$2:$AI$167*_xlfn.NORM.DIST(W$3,economics!$AK$2:$AK$167,economics!$AJ$2:$AJ$167,TRUE)),0)</f>
        <v/>
      </c>
      <c r="X26" s="68">
        <f t="array" ref="X26">IF($D26,SUMPRODUCT((economics!$AG$2:$AG$167=$B26)*(economics!$D$2:$D$167="whr")*economics!$AI$2:$AI$167*_xlfn.NORM.DIST(X$3,economics!$AK$2:$AK$167,economics!$AJ$2:$AJ$167,TRUE)),0)</f>
        <v/>
      </c>
      <c r="Y26" s="68">
        <f t="array" ref="Y26">IF($D26,SUMPRODUCT((economics!$AG$2:$AG$167=$B26)*(economics!$D$2:$D$167="whr")*economics!$AI$2:$AI$167*_xlfn.NORM.DIST(Y$3,economics!$AK$2:$AK$167,economics!$AJ$2:$AJ$167,TRUE)),0)</f>
        <v/>
      </c>
      <c r="Z26" s="68">
        <f t="array" ref="Z26">IF($D26,SUMPRODUCT((economics!$AG$2:$AG$167=$B26)*(economics!$D$2:$D$167="whr")*economics!$AI$2:$AI$167*_xlfn.NORM.DIST(Z$3,economics!$AK$2:$AK$167,economics!$AJ$2:$AJ$167,TRUE)),0)</f>
        <v/>
      </c>
      <c r="AA26" s="68">
        <f t="array" ref="AA26">IF($D26,SUMPRODUCT((economics!$AG$2:$AG$167=$B26)*(economics!$D$2:$D$167="whr")*economics!$AI$2:$AI$167*_xlfn.NORM.DIST(AA$3,economics!$AK$2:$AK$167,economics!$AJ$2:$AJ$167,TRUE)),0)</f>
        <v/>
      </c>
      <c r="AB26" s="68">
        <f t="array" ref="AB26">IF($D26,SUMPRODUCT((economics!$AG$2:$AG$167=$B26)*(economics!$D$2:$D$167="whr")*economics!$AI$2:$AI$167*_xlfn.NORM.DIST(AB$3,economics!$AK$2:$AK$167,economics!$AJ$2:$AJ$167,TRUE)),0)</f>
        <v/>
      </c>
      <c r="AC26" s="68">
        <f t="array" ref="AC26">IF($D26,SUMPRODUCT((economics!$AG$2:$AG$167=$B26)*(economics!$D$2:$D$167="whr")*economics!$AI$2:$AI$167*_xlfn.NORM.DIST(AC$3,economics!$AK$2:$AK$167,economics!$AJ$2:$AJ$167,TRUE)),0)</f>
        <v/>
      </c>
      <c r="AD26" s="68">
        <f t="array" ref="AD26">IF($D26,SUMPRODUCT((economics!$AG$2:$AG$167=$B26)*(economics!$D$2:$D$167="whr")*economics!$AI$2:$AI$167*_xlfn.NORM.DIST(AD$3,economics!$AK$2:$AK$167,economics!$AJ$2:$AJ$167,TRUE)),0)</f>
        <v/>
      </c>
      <c r="AE26" s="68">
        <f t="array" ref="AE26">IF($D26,SUMPRODUCT((economics!$AG$2:$AG$167=$B26)*(economics!$D$2:$D$167="whr")*economics!$AI$2:$AI$167*_xlfn.NORM.DIST(AE$3,economics!$AK$2:$AK$167,economics!$AJ$2:$AJ$167,TRUE)),0)</f>
        <v/>
      </c>
      <c r="AF26" s="68">
        <f t="array" ref="AF26">IF($D26,SUMPRODUCT((economics!$AG$2:$AG$167=$B26)*(economics!$D$2:$D$167="whr")*economics!$AI$2:$AI$167*_xlfn.NORM.DIST(AF$3,economics!$AK$2:$AK$167,economics!$AJ$2:$AJ$167,TRUE)),0)</f>
        <v/>
      </c>
      <c r="AG26" s="68">
        <f t="array" ref="AG26">IF($D26,SUMPRODUCT((economics!$AG$2:$AG$167=$B26)*(economics!$D$2:$D$167="whr")*economics!$AI$2:$AI$167*_xlfn.NORM.DIST(AG$3,economics!$AK$2:$AK$167,economics!$AJ$2:$AJ$167,TRUE)),0)</f>
        <v/>
      </c>
      <c r="AH26" s="68">
        <f t="array" ref="AH26">IF($D26,SUMPRODUCT((economics!$AG$2:$AG$167=$B26)*(economics!$D$2:$D$167="whr")*economics!$AI$2:$AI$167*_xlfn.NORM.DIST(AH$3,economics!$AK$2:$AK$167,economics!$AJ$2:$AJ$167,TRUE)),0)</f>
        <v/>
      </c>
      <c r="AI26" s="68">
        <f t="array" ref="AI26">IF($D26,SUMPRODUCT((economics!$AG$2:$AG$167=$B26)*(economics!$D$2:$D$167="whr")*economics!$AI$2:$AI$167*_xlfn.NORM.DIST(AI$3,economics!$AK$2:$AK$167,economics!$AJ$2:$AJ$167,TRUE)),0)</f>
        <v/>
      </c>
      <c r="AJ26" s="68">
        <f t="array" ref="AJ26">IF($D26,SUMPRODUCT((economics!$AG$2:$AG$167=$B26)*(economics!$D$2:$D$167="whr")*economics!$AI$2:$AI$167*_xlfn.NORM.DIST(AJ$3,economics!$AK$2:$AK$167,economics!$AJ$2:$AJ$167,TRUE)),0)</f>
        <v/>
      </c>
      <c r="AK26" s="68">
        <f t="array" ref="AK26">IF($D26,SUMPRODUCT((economics!$AG$2:$AG$167=$B26)*(economics!$D$2:$D$167="whr")*economics!$AI$2:$AI$167*_xlfn.NORM.DIST(AK$3,economics!$AK$2:$AK$167,economics!$AJ$2:$AJ$167,TRUE)),0)</f>
        <v/>
      </c>
      <c r="AL26" s="68">
        <f t="array" ref="AL26">IF($D26,SUMPRODUCT((economics!$AG$2:$AG$167=$B26)*(economics!$D$2:$D$167="whr")*economics!$AI$2:$AI$167*_xlfn.NORM.DIST(AL$3,economics!$AK$2:$AK$167,economics!$AJ$2:$AJ$167,TRUE)),0)</f>
        <v/>
      </c>
      <c r="AM26" s="68">
        <f t="array" ref="AM26">IF($D26,SUMPRODUCT((economics!$AG$2:$AG$167=$B26)*(economics!$D$2:$D$167="whr")*economics!$AI$2:$AI$167*_xlfn.NORM.DIST(AM$3,economics!$AK$2:$AK$167,economics!$AJ$2:$AJ$167,TRUE)),0)</f>
        <v/>
      </c>
      <c r="AN26" s="68">
        <f t="array" ref="AN26">IF($D26,SUMPRODUCT((economics!$AG$2:$AG$167=$B26)*(economics!$D$2:$D$167="whr")*economics!$AI$2:$AI$167*_xlfn.NORM.DIST(AN$3,economics!$AK$2:$AK$167,economics!$AJ$2:$AJ$167,TRUE)),0)</f>
        <v/>
      </c>
      <c r="AO26" s="68">
        <f t="array" ref="AO26">IF($D26,SUMPRODUCT((economics!$AG$2:$AG$167=$B26)*(economics!$D$2:$D$167="whr")*economics!$AI$2:$AI$167*_xlfn.NORM.DIST(AO$3,economics!$AK$2:$AK$167,economics!$AJ$2:$AJ$167,TRUE)),0)</f>
        <v/>
      </c>
      <c r="AP26" s="68">
        <f t="array" ref="AP26">IF($D26,SUMPRODUCT((economics!$AG$2:$AG$167=$B26)*(economics!$D$2:$D$167="whr")*economics!$AI$2:$AI$167*_xlfn.NORM.DIST(AP$3,economics!$AK$2:$AK$167,economics!$AJ$2:$AJ$167,TRUE)),0)</f>
        <v/>
      </c>
      <c r="AQ26" s="68">
        <f t="array" ref="AQ26">IF($D26,SUMPRODUCT((economics!$AG$2:$AG$167=$B26)*(economics!$D$2:$D$167="whr")*economics!$AI$2:$AI$167*_xlfn.NORM.DIST(AQ$3,economics!$AK$2:$AK$167,economics!$AJ$2:$AJ$167,TRUE)),0)</f>
        <v/>
      </c>
      <c r="AR26" s="68">
        <f t="array" ref="AR26">IF($D26,SUMPRODUCT((economics!$AG$2:$AG$167=$B26)*(economics!$D$2:$D$167="whr")*economics!$AI$2:$AI$167*_xlfn.NORM.DIST(AR$3,economics!$AK$2:$AK$167,economics!$AJ$2:$AJ$167,TRUE)),0)</f>
        <v/>
      </c>
      <c r="AS26" s="68">
        <f t="array" ref="AS26">IF($D26,SUMPRODUCT((economics!$AG$2:$AG$167=$B26)*(economics!$D$2:$D$167="whr")*economics!$AI$2:$AI$167*_xlfn.NORM.DIST(AS$3,economics!$AK$2:$AK$167,economics!$AJ$2:$AJ$167,TRUE)),0)</f>
        <v/>
      </c>
      <c r="AT26" s="68">
        <f t="array" ref="AT26">IF($D26,SUMPRODUCT((economics!$AG$2:$AG$167=$B26)*(economics!$D$2:$D$167="whr")*economics!$AI$2:$AI$167*_xlfn.NORM.DIST(AT$3,economics!$AK$2:$AK$167,economics!$AJ$2:$AJ$167,TRUE)),0)</f>
        <v/>
      </c>
      <c r="AU26" s="68">
        <f t="array" ref="AU26">IF($D26,SUMPRODUCT((economics!$AG$2:$AG$167=$B26)*(economics!$D$2:$D$167="whr")*economics!$AI$2:$AI$167*_xlfn.NORM.DIST(AU$3,economics!$AK$2:$AK$167,economics!$AJ$2:$AJ$167,TRUE)),0)</f>
        <v/>
      </c>
      <c r="AV26" s="68">
        <f t="array" ref="AV26">IF($D26,SUMPRODUCT((economics!$AG$2:$AG$167=$B26)*(economics!$D$2:$D$167="whr")*economics!$AI$2:$AI$167*_xlfn.NORM.DIST(AV$3,economics!$AK$2:$AK$167,economics!$AJ$2:$AJ$167,TRUE)),0)</f>
        <v/>
      </c>
      <c r="AW26" s="68">
        <f t="array" ref="AW26">IF($D26,SUMPRODUCT((economics!$AG$2:$AG$167=$B26)*(economics!$D$2:$D$167="whr")*economics!$AI$2:$AI$167*_xlfn.NORM.DIST(AW$3,economics!$AK$2:$AK$167,economics!$AJ$2:$AJ$167,TRUE)),0)</f>
        <v/>
      </c>
      <c r="AX26" s="68">
        <f t="array" ref="AX26">IF($D26,SUMPRODUCT((economics!$AG$2:$AG$167=$B26)*(economics!$D$2:$D$167="whr")*economics!$AI$2:$AI$167*_xlfn.NORM.DIST(AX$3,economics!$AK$2:$AK$167,economics!$AJ$2:$AJ$167,TRUE)),0)</f>
        <v/>
      </c>
      <c r="AY26" s="68">
        <f t="array" ref="AY26">IF($D26,SUMPRODUCT((economics!$AG$2:$AG$167=$B26)*(economics!$D$2:$D$167="whr")*economics!$AI$2:$AI$167*_xlfn.NORM.DIST(AY$3,economics!$AK$2:$AK$167,economics!$AJ$2:$AJ$167,TRUE)),0)</f>
        <v/>
      </c>
      <c r="AZ26" s="68">
        <f t="array" ref="AZ26">IF($D26,SUMPRODUCT((economics!$AG$2:$AG$167=$B26)*(economics!$D$2:$D$167="whr")*economics!$AI$2:$AI$167*_xlfn.NORM.DIST(AZ$3,economics!$AK$2:$AK$167,economics!$AJ$2:$AJ$167,TRUE)),0)</f>
        <v/>
      </c>
      <c r="BA26" s="68">
        <f t="array" ref="BA26">IF($D26,SUMPRODUCT((economics!$AG$2:$AG$167=$B26)*(economics!$D$2:$D$167="whr")*economics!$AI$2:$AI$167*_xlfn.NORM.DIST(BA$3,economics!$AK$2:$AK$167,economics!$AJ$2:$AJ$167,TRUE)),0)</f>
        <v/>
      </c>
      <c r="BB26" s="68">
        <f t="array" ref="BB26">IF($D26,SUMPRODUCT((economics!$AG$2:$AG$167=$B26)*(economics!$D$2:$D$167="whr")*economics!$AI$2:$AI$167*_xlfn.NORM.DIST(BB$3,economics!$AK$2:$AK$167,economics!$AJ$2:$AJ$167,TRUE)),0)</f>
        <v/>
      </c>
      <c r="BC26" s="68">
        <f t="array" ref="BC26">IF($D26,SUMPRODUCT((economics!$AG$2:$AG$167=$B26)*(economics!$D$2:$D$167="whr")*economics!$AI$2:$AI$167*_xlfn.NORM.DIST(BC$3,economics!$AK$2:$AK$167,economics!$AJ$2:$AJ$167,TRUE)),0)</f>
        <v/>
      </c>
      <c r="BD26" s="68">
        <f t="array" ref="BD26">IF($D26,SUMPRODUCT((economics!$AG$2:$AG$167=$B26)*(economics!$D$2:$D$167="whr")*economics!$AI$2:$AI$167*_xlfn.NORM.DIST(BD$3,economics!$AK$2:$AK$167,economics!$AJ$2:$AJ$167,TRUE)),0)</f>
        <v/>
      </c>
      <c r="BE26" s="68">
        <f t="array" ref="BE26">IF($D26,SUMPRODUCT((economics!$AG$2:$AG$167=$B26)*(economics!$D$2:$D$167="whr")*economics!$AI$2:$AI$167*_xlfn.NORM.DIST(BE$3,economics!$AK$2:$AK$167,economics!$AJ$2:$AJ$167,TRUE)),0)</f>
        <v/>
      </c>
      <c r="BF26" s="68">
        <f t="array" ref="BF26">IF($D26,SUMPRODUCT((economics!$AG$2:$AG$167=$B26)*(economics!$D$2:$D$167="whr")*economics!$AI$2:$AI$167*_xlfn.NORM.DIST(BF$3,economics!$AK$2:$AK$167,economics!$AJ$2:$AJ$167,TRUE)),0)</f>
        <v/>
      </c>
      <c r="BG26" s="68">
        <f t="array" ref="BG26">IF($D26,SUMPRODUCT((economics!$AG$2:$AG$167=$B26)*(economics!$D$2:$D$167="whr")*economics!$AI$2:$AI$167*_xlfn.NORM.DIST(BG$3,economics!$AK$2:$AK$167,economics!$AJ$2:$AJ$167,TRUE)),0)</f>
        <v/>
      </c>
      <c r="BH26" s="68">
        <f t="array" ref="BH26">IF($D26,SUMPRODUCT((economics!$AG$2:$AG$167=$B26)*(economics!$D$2:$D$167="whr")*economics!$AI$2:$AI$167*_xlfn.NORM.DIST(BH$3,economics!$AK$2:$AK$167,economics!$AJ$2:$AJ$167,TRUE)),0)</f>
        <v/>
      </c>
      <c r="BI26" s="68">
        <f t="array" ref="BI26">IF($D26,SUMPRODUCT((economics!$AG$2:$AG$167=$B26)*(economics!$D$2:$D$167="whr")*economics!$AI$2:$AI$167*_xlfn.NORM.DIST(BI$3,economics!$AK$2:$AK$167,economics!$AJ$2:$AJ$167,TRUE)),0)</f>
        <v/>
      </c>
      <c r="BJ26" s="68">
        <f t="array" ref="BJ26">IF($D26,SUMPRODUCT((economics!$AG$2:$AG$167=$B26)*(economics!$D$2:$D$167="whr")*economics!$AI$2:$AI$167*_xlfn.NORM.DIST(BJ$3,economics!$AK$2:$AK$167,economics!$AJ$2:$AJ$167,TRUE)),0)</f>
        <v/>
      </c>
      <c r="BK26" s="68">
        <f t="array" ref="BK26">IF($D26,SUMPRODUCT((economics!$AG$2:$AG$167=$B26)*(economics!$D$2:$D$167="whr")*economics!$AI$2:$AI$167*_xlfn.NORM.DIST(BK$3,economics!$AK$2:$AK$167,economics!$AJ$2:$AJ$167,TRUE)),0)</f>
        <v/>
      </c>
      <c r="BL26" s="68">
        <f t="array" ref="BL26">IF($D26,SUMPRODUCT((economics!$AG$2:$AG$167=$B26)*(economics!$D$2:$D$167="whr")*economics!$AI$2:$AI$167*_xlfn.NORM.DIST(BL$3,economics!$AK$2:$AK$167,economics!$AJ$2:$AJ$167,TRUE)),0)</f>
        <v/>
      </c>
      <c r="BM26" s="68">
        <f t="array" ref="BM26">IF($D26,SUMPRODUCT((economics!$AG$2:$AG$167=$B26)*(economics!$D$2:$D$167="whr")*economics!$AI$2:$AI$167*_xlfn.NORM.DIST(BM$3,economics!$AK$2:$AK$167,economics!$AJ$2:$AJ$167,TRUE)),0)</f>
        <v/>
      </c>
      <c r="BN26" s="68">
        <f t="array" ref="BN26">IF($D26,SUMPRODUCT((economics!$AG$2:$AG$167=$B26)*(economics!$D$2:$D$167="whr")*economics!$AI$2:$AI$167*_xlfn.NORM.DIST(BN$3,economics!$AK$2:$AK$167,economics!$AJ$2:$AJ$167,TRUE)),0)</f>
        <v/>
      </c>
      <c r="BO26" s="68">
        <f t="array" ref="BO26">IF($D26,SUMPRODUCT((economics!$AG$2:$AG$167=$B26)*(economics!$D$2:$D$167="whr")*economics!$AI$2:$AI$167*_xlfn.NORM.DIST(BO$3,economics!$AK$2:$AK$167,economics!$AJ$2:$AJ$167,TRUE)),0)</f>
        <v/>
      </c>
      <c r="BP26" s="68">
        <f t="array" ref="BP26">IF($D26,SUMPRODUCT((economics!$AG$2:$AG$167=$B26)*(economics!$D$2:$D$167="whr")*economics!$AI$2:$AI$167*_xlfn.NORM.DIST(BP$3,economics!$AK$2:$AK$167,economics!$AJ$2:$AJ$167,TRUE)),0)</f>
        <v/>
      </c>
      <c r="BQ26" s="68">
        <f t="array" ref="BQ26">IF($D26,SUMPRODUCT((economics!$AG$2:$AG$167=$B26)*(economics!$D$2:$D$167="whr")*economics!$AI$2:$AI$167*_xlfn.NORM.DIST(BQ$3,economics!$AK$2:$AK$167,economics!$AJ$2:$AJ$167,TRUE)),0)</f>
        <v/>
      </c>
      <c r="BR26" s="68">
        <f t="array" ref="BR26">IF($D26,SUMPRODUCT((economics!$AG$2:$AG$167=$B26)*(economics!$D$2:$D$167="whr")*economics!$AI$2:$AI$167*_xlfn.NORM.DIST(BR$3,economics!$AK$2:$AK$167,economics!$AJ$2:$AJ$167,TRUE)),0)</f>
        <v/>
      </c>
      <c r="BS26" s="68">
        <f t="array" ref="BS26">IF($D26,SUMPRODUCT((economics!$AG$2:$AG$167=$B26)*(economics!$D$2:$D$167="whr")*economics!$AI$2:$AI$167*_xlfn.NORM.DIST(BS$3,economics!$AK$2:$AK$167,economics!$AJ$2:$AJ$167,TRUE)),0)</f>
        <v/>
      </c>
      <c r="BT26" s="68">
        <f t="array" ref="BT26">IF($D26,SUMPRODUCT((economics!$AG$2:$AG$167=$B26)*(economics!$D$2:$D$167="whr")*economics!$AI$2:$AI$167*_xlfn.NORM.DIST(BT$3,economics!$AK$2:$AK$167,economics!$AJ$2:$AJ$167,TRUE)),0)</f>
        <v/>
      </c>
      <c r="BU26" s="68">
        <f t="array" ref="BU26">IF($D26,SUMPRODUCT((economics!$AG$2:$AG$167=$B26)*(economics!$D$2:$D$167="whr")*economics!$AI$2:$AI$167*_xlfn.NORM.DIST(BU$3,economics!$AK$2:$AK$167,economics!$AJ$2:$AJ$167,TRUE)),0)</f>
        <v/>
      </c>
      <c r="BV26" s="68">
        <f t="array" ref="BV26">IF($D26,SUMPRODUCT((economics!$AG$2:$AG$167=$B26)*(economics!$D$2:$D$167="whr")*economics!$AI$2:$AI$167*_xlfn.NORM.DIST(BV$3,economics!$AK$2:$AK$167,economics!$AJ$2:$AJ$167,TRUE)),0)</f>
        <v/>
      </c>
      <c r="BW26" s="68">
        <f t="array" ref="BW26">IF($D26,SUMPRODUCT((economics!$AG$2:$AG$167=$B26)*(economics!$D$2:$D$167="whr")*economics!$AI$2:$AI$167*_xlfn.NORM.DIST(BW$3,economics!$AK$2:$AK$167,economics!$AJ$2:$AJ$167,TRUE)),0)</f>
        <v/>
      </c>
      <c r="BX26" s="68">
        <f t="array" ref="BX26">IF($D26,SUMPRODUCT((economics!$AG$2:$AG$167=$B26)*(economics!$D$2:$D$167="whr")*economics!$AI$2:$AI$167*_xlfn.NORM.DIST(BX$3,economics!$AK$2:$AK$167,economics!$AJ$2:$AJ$167,TRUE)),0)</f>
        <v/>
      </c>
      <c r="BY26" s="68">
        <f t="array" ref="BY26">IF($D26,SUMPRODUCT((economics!$AG$2:$AG$167=$B26)*(economics!$D$2:$D$167="whr")*economics!$AI$2:$AI$167*_xlfn.NORM.DIST(BY$3,economics!$AK$2:$AK$167,economics!$AJ$2:$AJ$167,TRUE)),0)</f>
        <v/>
      </c>
      <c r="BZ26" s="68">
        <f t="array" ref="BZ26">IF($D26,SUMPRODUCT((economics!$AG$2:$AG$167=$B26)*(economics!$D$2:$D$167="whr")*economics!$AI$2:$AI$167*_xlfn.NORM.DIST(BZ$3,economics!$AK$2:$AK$167,economics!$AJ$2:$AJ$167,TRUE)),0)</f>
        <v/>
      </c>
      <c r="CA26" s="68">
        <f t="array" ref="CA26">IF($D26,SUMPRODUCT((economics!$AG$2:$AG$167=$B26)*(economics!$D$2:$D$167="whr")*economics!$AI$2:$AI$167*_xlfn.NORM.DIST(CA$3,economics!$AK$2:$AK$167,economics!$AJ$2:$AJ$167,TRUE)),0)</f>
        <v/>
      </c>
      <c r="CB26" s="68">
        <f t="array" ref="CB26">IF($D26,SUMPRODUCT((economics!$AG$2:$AG$167=$B26)*(economics!$D$2:$D$167="whr")*economics!$AI$2:$AI$167*_xlfn.NORM.DIST(CB$3,economics!$AK$2:$AK$167,economics!$AJ$2:$AJ$167,TRUE)),0)</f>
        <v/>
      </c>
      <c r="CC26" s="68">
        <f t="array" ref="CC26">IF($D26,SUMPRODUCT((economics!$AG$2:$AG$167=$B26)*(economics!$D$2:$D$167="whr")*economics!$AI$2:$AI$167*_xlfn.NORM.DIST(CC$3,economics!$AK$2:$AK$167,economics!$AJ$2:$AJ$167,TRUE)),0)</f>
        <v/>
      </c>
      <c r="CD26" s="68">
        <f t="array" ref="CD26">IF($D26,SUMPRODUCT((economics!$AG$2:$AG$167=$B26)*(economics!$D$2:$D$167="whr")*economics!$AI$2:$AI$167*_xlfn.NORM.DIST(CD$3,economics!$AK$2:$AK$167,economics!$AJ$2:$AJ$167,TRUE)),0)</f>
        <v/>
      </c>
      <c r="CE26" s="68">
        <f t="array" ref="CE26">IF($D26,SUMPRODUCT((economics!$AG$2:$AG$167=$B26)*(economics!$D$2:$D$167="whr")*economics!$AI$2:$AI$167*_xlfn.NORM.DIST(CE$3,economics!$AK$2:$AK$167,economics!$AJ$2:$AJ$167,TRUE)),0)</f>
        <v/>
      </c>
      <c r="CF26" s="68">
        <f t="array" ref="CF26">IF($D26,SUMPRODUCT((economics!$AG$2:$AG$167=$B26)*(economics!$D$2:$D$167="whr")*economics!$AI$2:$AI$167*_xlfn.NORM.DIST(CF$3,economics!$AK$2:$AK$167,economics!$AJ$2:$AJ$167,TRUE)),0)</f>
        <v/>
      </c>
      <c r="CG26" s="68">
        <f t="array" ref="CG26">IF($D26,SUMPRODUCT((economics!$AG$2:$AG$167=$B26)*(economics!$D$2:$D$167="whr")*economics!$AI$2:$AI$167*_xlfn.NORM.DIST(CG$3,economics!$AK$2:$AK$167,economics!$AJ$2:$AJ$167,TRUE)),0)</f>
        <v/>
      </c>
      <c r="CH26" s="68">
        <f t="array" ref="CH26">IF($D26,SUMPRODUCT((economics!$AG$2:$AG$167=$B26)*(economics!$D$2:$D$167="whr")*economics!$AI$2:$AI$167*_xlfn.NORM.DIST(CH$3,economics!$AK$2:$AK$167,economics!$AJ$2:$AJ$167,TRUE)),0)</f>
        <v/>
      </c>
    </row>
    <row r="27">
      <c r="A27">
        <f>WHRPbI!A25</f>
        <v/>
      </c>
      <c r="B27" t="inlineStr">
        <is>
          <t>36T39</t>
        </is>
      </c>
      <c r="C27" s="68">
        <f>WHRPbI!B25</f>
        <v/>
      </c>
      <c r="D27">
        <f>ISNUMBER(MATCH($B27,'energy base (MECS)'!$K$4:$K$9,0))</f>
        <v/>
      </c>
      <c r="E27" s="68">
        <f t="array" ref="E27">IF($D27,SUMPRODUCT((economics!$AG$2:$AG$167=$B27)*(economics!$D$2:$D$167="whr")*economics!$AI$2:$AI$167*_xlfn.NORM.DIST(E$3,economics!$AK$2:$AK$167,economics!$AJ$2:$AJ$167,TRUE)),0)</f>
        <v/>
      </c>
      <c r="F27" s="68">
        <f t="array" ref="F27">IF($D27,SUMPRODUCT((economics!$AG$2:$AG$167=$B27)*(economics!$D$2:$D$167="whr")*economics!$AI$2:$AI$167*_xlfn.NORM.DIST(F$3,economics!$AK$2:$AK$167,economics!$AJ$2:$AJ$167,TRUE)),0)</f>
        <v/>
      </c>
      <c r="G27" s="68">
        <f t="array" ref="G27">IF($D27,SUMPRODUCT((economics!$AG$2:$AG$167=$B27)*(economics!$D$2:$D$167="whr")*economics!$AI$2:$AI$167*_xlfn.NORM.DIST(G$3,economics!$AK$2:$AK$167,economics!$AJ$2:$AJ$167,TRUE)),0)</f>
        <v/>
      </c>
      <c r="H27" s="68">
        <f t="array" ref="H27">IF($D27,SUMPRODUCT((economics!$AG$2:$AG$167=$B27)*(economics!$D$2:$D$167="whr")*economics!$AI$2:$AI$167*_xlfn.NORM.DIST(H$3,economics!$AK$2:$AK$167,economics!$AJ$2:$AJ$167,TRUE)),0)</f>
        <v/>
      </c>
      <c r="I27" s="68">
        <f t="array" ref="I27">IF($D27,SUMPRODUCT((economics!$AG$2:$AG$167=$B27)*(economics!$D$2:$D$167="whr")*economics!$AI$2:$AI$167*_xlfn.NORM.DIST(I$3,economics!$AK$2:$AK$167,economics!$AJ$2:$AJ$167,TRUE)),0)</f>
        <v/>
      </c>
      <c r="J27" s="68">
        <f t="array" ref="J27">IF($D27,SUMPRODUCT((economics!$AG$2:$AG$167=$B27)*(economics!$D$2:$D$167="whr")*economics!$AI$2:$AI$167*_xlfn.NORM.DIST(J$3,economics!$AK$2:$AK$167,economics!$AJ$2:$AJ$167,TRUE)),0)</f>
        <v/>
      </c>
      <c r="K27" s="68">
        <f t="array" ref="K27">IF($D27,SUMPRODUCT((economics!$AG$2:$AG$167=$B27)*(economics!$D$2:$D$167="whr")*economics!$AI$2:$AI$167*_xlfn.NORM.DIST(K$3,economics!$AK$2:$AK$167,economics!$AJ$2:$AJ$167,TRUE)),0)</f>
        <v/>
      </c>
      <c r="L27" s="68">
        <f t="array" ref="L27">IF($D27,SUMPRODUCT((economics!$AG$2:$AG$167=$B27)*(economics!$D$2:$D$167="whr")*economics!$AI$2:$AI$167*_xlfn.NORM.DIST(L$3,economics!$AK$2:$AK$167,economics!$AJ$2:$AJ$167,TRUE)),0)</f>
        <v/>
      </c>
      <c r="M27" s="68">
        <f t="array" ref="M27">IF($D27,SUMPRODUCT((economics!$AG$2:$AG$167=$B27)*(economics!$D$2:$D$167="whr")*economics!$AI$2:$AI$167*_xlfn.NORM.DIST(M$3,economics!$AK$2:$AK$167,economics!$AJ$2:$AJ$167,TRUE)),0)</f>
        <v/>
      </c>
      <c r="N27" s="68">
        <f t="array" ref="N27">IF($D27,SUMPRODUCT((economics!$AG$2:$AG$167=$B27)*(economics!$D$2:$D$167="whr")*economics!$AI$2:$AI$167*_xlfn.NORM.DIST(N$3,economics!$AK$2:$AK$167,economics!$AJ$2:$AJ$167,TRUE)),0)</f>
        <v/>
      </c>
      <c r="O27" s="68">
        <f t="array" ref="O27">IF($D27,SUMPRODUCT((economics!$AG$2:$AG$167=$B27)*(economics!$D$2:$D$167="whr")*economics!$AI$2:$AI$167*_xlfn.NORM.DIST(O$3,economics!$AK$2:$AK$167,economics!$AJ$2:$AJ$167,TRUE)),0)</f>
        <v/>
      </c>
      <c r="P27" s="68">
        <f t="array" ref="P27">IF($D27,SUMPRODUCT((economics!$AG$2:$AG$167=$B27)*(economics!$D$2:$D$167="whr")*economics!$AI$2:$AI$167*_xlfn.NORM.DIST(P$3,economics!$AK$2:$AK$167,economics!$AJ$2:$AJ$167,TRUE)),0)</f>
        <v/>
      </c>
      <c r="Q27" s="68">
        <f t="array" ref="Q27">IF($D27,SUMPRODUCT((economics!$AG$2:$AG$167=$B27)*(economics!$D$2:$D$167="whr")*economics!$AI$2:$AI$167*_xlfn.NORM.DIST(Q$3,economics!$AK$2:$AK$167,economics!$AJ$2:$AJ$167,TRUE)),0)</f>
        <v/>
      </c>
      <c r="R27" s="68">
        <f t="array" ref="R27">IF($D27,SUMPRODUCT((economics!$AG$2:$AG$167=$B27)*(economics!$D$2:$D$167="whr")*economics!$AI$2:$AI$167*_xlfn.NORM.DIST(R$3,economics!$AK$2:$AK$167,economics!$AJ$2:$AJ$167,TRUE)),0)</f>
        <v/>
      </c>
      <c r="S27" s="68">
        <f t="array" ref="S27">IF($D27,SUMPRODUCT((economics!$AG$2:$AG$167=$B27)*(economics!$D$2:$D$167="whr")*economics!$AI$2:$AI$167*_xlfn.NORM.DIST(S$3,economics!$AK$2:$AK$167,economics!$AJ$2:$AJ$167,TRUE)),0)</f>
        <v/>
      </c>
      <c r="T27" s="68">
        <f t="array" ref="T27">IF($D27,SUMPRODUCT((economics!$AG$2:$AG$167=$B27)*(economics!$D$2:$D$167="whr")*economics!$AI$2:$AI$167*_xlfn.NORM.DIST(T$3,economics!$AK$2:$AK$167,economics!$AJ$2:$AJ$167,TRUE)),0)</f>
        <v/>
      </c>
      <c r="U27" s="68">
        <f t="array" ref="U27">IF($D27,SUMPRODUCT((economics!$AG$2:$AG$167=$B27)*(economics!$D$2:$D$167="whr")*economics!$AI$2:$AI$167*_xlfn.NORM.DIST(U$3,economics!$AK$2:$AK$167,economics!$AJ$2:$AJ$167,TRUE)),0)</f>
        <v/>
      </c>
      <c r="V27" s="68">
        <f t="array" ref="V27">IF($D27,SUMPRODUCT((economics!$AG$2:$AG$167=$B27)*(economics!$D$2:$D$167="whr")*economics!$AI$2:$AI$167*_xlfn.NORM.DIST(V$3,economics!$AK$2:$AK$167,economics!$AJ$2:$AJ$167,TRUE)),0)</f>
        <v/>
      </c>
      <c r="W27" s="68">
        <f t="array" ref="W27">IF($D27,SUMPRODUCT((economics!$AG$2:$AG$167=$B27)*(economics!$D$2:$D$167="whr")*economics!$AI$2:$AI$167*_xlfn.NORM.DIST(W$3,economics!$AK$2:$AK$167,economics!$AJ$2:$AJ$167,TRUE)),0)</f>
        <v/>
      </c>
      <c r="X27" s="68">
        <f t="array" ref="X27">IF($D27,SUMPRODUCT((economics!$AG$2:$AG$167=$B27)*(economics!$D$2:$D$167="whr")*economics!$AI$2:$AI$167*_xlfn.NORM.DIST(X$3,economics!$AK$2:$AK$167,economics!$AJ$2:$AJ$167,TRUE)),0)</f>
        <v/>
      </c>
      <c r="Y27" s="68">
        <f t="array" ref="Y27">IF($D27,SUMPRODUCT((economics!$AG$2:$AG$167=$B27)*(economics!$D$2:$D$167="whr")*economics!$AI$2:$AI$167*_xlfn.NORM.DIST(Y$3,economics!$AK$2:$AK$167,economics!$AJ$2:$AJ$167,TRUE)),0)</f>
        <v/>
      </c>
      <c r="Z27" s="68">
        <f t="array" ref="Z27">IF($D27,SUMPRODUCT((economics!$AG$2:$AG$167=$B27)*(economics!$D$2:$D$167="whr")*economics!$AI$2:$AI$167*_xlfn.NORM.DIST(Z$3,economics!$AK$2:$AK$167,economics!$AJ$2:$AJ$167,TRUE)),0)</f>
        <v/>
      </c>
      <c r="AA27" s="68">
        <f t="array" ref="AA27">IF($D27,SUMPRODUCT((economics!$AG$2:$AG$167=$B27)*(economics!$D$2:$D$167="whr")*economics!$AI$2:$AI$167*_xlfn.NORM.DIST(AA$3,economics!$AK$2:$AK$167,economics!$AJ$2:$AJ$167,TRUE)),0)</f>
        <v/>
      </c>
      <c r="AB27" s="68">
        <f t="array" ref="AB27">IF($D27,SUMPRODUCT((economics!$AG$2:$AG$167=$B27)*(economics!$D$2:$D$167="whr")*economics!$AI$2:$AI$167*_xlfn.NORM.DIST(AB$3,economics!$AK$2:$AK$167,economics!$AJ$2:$AJ$167,TRUE)),0)</f>
        <v/>
      </c>
      <c r="AC27" s="68">
        <f t="array" ref="AC27">IF($D27,SUMPRODUCT((economics!$AG$2:$AG$167=$B27)*(economics!$D$2:$D$167="whr")*economics!$AI$2:$AI$167*_xlfn.NORM.DIST(AC$3,economics!$AK$2:$AK$167,economics!$AJ$2:$AJ$167,TRUE)),0)</f>
        <v/>
      </c>
      <c r="AD27" s="68">
        <f t="array" ref="AD27">IF($D27,SUMPRODUCT((economics!$AG$2:$AG$167=$B27)*(economics!$D$2:$D$167="whr")*economics!$AI$2:$AI$167*_xlfn.NORM.DIST(AD$3,economics!$AK$2:$AK$167,economics!$AJ$2:$AJ$167,TRUE)),0)</f>
        <v/>
      </c>
      <c r="AE27" s="68">
        <f t="array" ref="AE27">IF($D27,SUMPRODUCT((economics!$AG$2:$AG$167=$B27)*(economics!$D$2:$D$167="whr")*economics!$AI$2:$AI$167*_xlfn.NORM.DIST(AE$3,economics!$AK$2:$AK$167,economics!$AJ$2:$AJ$167,TRUE)),0)</f>
        <v/>
      </c>
      <c r="AF27" s="68">
        <f t="array" ref="AF27">IF($D27,SUMPRODUCT((economics!$AG$2:$AG$167=$B27)*(economics!$D$2:$D$167="whr")*economics!$AI$2:$AI$167*_xlfn.NORM.DIST(AF$3,economics!$AK$2:$AK$167,economics!$AJ$2:$AJ$167,TRUE)),0)</f>
        <v/>
      </c>
      <c r="AG27" s="68">
        <f t="array" ref="AG27">IF($D27,SUMPRODUCT((economics!$AG$2:$AG$167=$B27)*(economics!$D$2:$D$167="whr")*economics!$AI$2:$AI$167*_xlfn.NORM.DIST(AG$3,economics!$AK$2:$AK$167,economics!$AJ$2:$AJ$167,TRUE)),0)</f>
        <v/>
      </c>
      <c r="AH27" s="68">
        <f t="array" ref="AH27">IF($D27,SUMPRODUCT((economics!$AG$2:$AG$167=$B27)*(economics!$D$2:$D$167="whr")*economics!$AI$2:$AI$167*_xlfn.NORM.DIST(AH$3,economics!$AK$2:$AK$167,economics!$AJ$2:$AJ$167,TRUE)),0)</f>
        <v/>
      </c>
      <c r="AI27" s="68">
        <f t="array" ref="AI27">IF($D27,SUMPRODUCT((economics!$AG$2:$AG$167=$B27)*(economics!$D$2:$D$167="whr")*economics!$AI$2:$AI$167*_xlfn.NORM.DIST(AI$3,economics!$AK$2:$AK$167,economics!$AJ$2:$AJ$167,TRUE)),0)</f>
        <v/>
      </c>
      <c r="AJ27" s="68">
        <f t="array" ref="AJ27">IF($D27,SUMPRODUCT((economics!$AG$2:$AG$167=$B27)*(economics!$D$2:$D$167="whr")*economics!$AI$2:$AI$167*_xlfn.NORM.DIST(AJ$3,economics!$AK$2:$AK$167,economics!$AJ$2:$AJ$167,TRUE)),0)</f>
        <v/>
      </c>
      <c r="AK27" s="68">
        <f t="array" ref="AK27">IF($D27,SUMPRODUCT((economics!$AG$2:$AG$167=$B27)*(economics!$D$2:$D$167="whr")*economics!$AI$2:$AI$167*_xlfn.NORM.DIST(AK$3,economics!$AK$2:$AK$167,economics!$AJ$2:$AJ$167,TRUE)),0)</f>
        <v/>
      </c>
      <c r="AL27" s="68">
        <f t="array" ref="AL27">IF($D27,SUMPRODUCT((economics!$AG$2:$AG$167=$B27)*(economics!$D$2:$D$167="whr")*economics!$AI$2:$AI$167*_xlfn.NORM.DIST(AL$3,economics!$AK$2:$AK$167,economics!$AJ$2:$AJ$167,TRUE)),0)</f>
        <v/>
      </c>
      <c r="AM27" s="68">
        <f t="array" ref="AM27">IF($D27,SUMPRODUCT((economics!$AG$2:$AG$167=$B27)*(economics!$D$2:$D$167="whr")*economics!$AI$2:$AI$167*_xlfn.NORM.DIST(AM$3,economics!$AK$2:$AK$167,economics!$AJ$2:$AJ$167,TRUE)),0)</f>
        <v/>
      </c>
      <c r="AN27" s="68">
        <f t="array" ref="AN27">IF($D27,SUMPRODUCT((economics!$AG$2:$AG$167=$B27)*(economics!$D$2:$D$167="whr")*economics!$AI$2:$AI$167*_xlfn.NORM.DIST(AN$3,economics!$AK$2:$AK$167,economics!$AJ$2:$AJ$167,TRUE)),0)</f>
        <v/>
      </c>
      <c r="AO27" s="68">
        <f t="array" ref="AO27">IF($D27,SUMPRODUCT((economics!$AG$2:$AG$167=$B27)*(economics!$D$2:$D$167="whr")*economics!$AI$2:$AI$167*_xlfn.NORM.DIST(AO$3,economics!$AK$2:$AK$167,economics!$AJ$2:$AJ$167,TRUE)),0)</f>
        <v/>
      </c>
      <c r="AP27" s="68">
        <f t="array" ref="AP27">IF($D27,SUMPRODUCT((economics!$AG$2:$AG$167=$B27)*(economics!$D$2:$D$167="whr")*economics!$AI$2:$AI$167*_xlfn.NORM.DIST(AP$3,economics!$AK$2:$AK$167,economics!$AJ$2:$AJ$167,TRUE)),0)</f>
        <v/>
      </c>
      <c r="AQ27" s="68">
        <f t="array" ref="AQ27">IF($D27,SUMPRODUCT((economics!$AG$2:$AG$167=$B27)*(economics!$D$2:$D$167="whr")*economics!$AI$2:$AI$167*_xlfn.NORM.DIST(AQ$3,economics!$AK$2:$AK$167,economics!$AJ$2:$AJ$167,TRUE)),0)</f>
        <v/>
      </c>
      <c r="AR27" s="68">
        <f t="array" ref="AR27">IF($D27,SUMPRODUCT((economics!$AG$2:$AG$167=$B27)*(economics!$D$2:$D$167="whr")*economics!$AI$2:$AI$167*_xlfn.NORM.DIST(AR$3,economics!$AK$2:$AK$167,economics!$AJ$2:$AJ$167,TRUE)),0)</f>
        <v/>
      </c>
      <c r="AS27" s="68">
        <f t="array" ref="AS27">IF($D27,SUMPRODUCT((economics!$AG$2:$AG$167=$B27)*(economics!$D$2:$D$167="whr")*economics!$AI$2:$AI$167*_xlfn.NORM.DIST(AS$3,economics!$AK$2:$AK$167,economics!$AJ$2:$AJ$167,TRUE)),0)</f>
        <v/>
      </c>
      <c r="AT27" s="68">
        <f t="array" ref="AT27">IF($D27,SUMPRODUCT((economics!$AG$2:$AG$167=$B27)*(economics!$D$2:$D$167="whr")*economics!$AI$2:$AI$167*_xlfn.NORM.DIST(AT$3,economics!$AK$2:$AK$167,economics!$AJ$2:$AJ$167,TRUE)),0)</f>
        <v/>
      </c>
      <c r="AU27" s="68">
        <f t="array" ref="AU27">IF($D27,SUMPRODUCT((economics!$AG$2:$AG$167=$B27)*(economics!$D$2:$D$167="whr")*economics!$AI$2:$AI$167*_xlfn.NORM.DIST(AU$3,economics!$AK$2:$AK$167,economics!$AJ$2:$AJ$167,TRUE)),0)</f>
        <v/>
      </c>
      <c r="AV27" s="68">
        <f t="array" ref="AV27">IF($D27,SUMPRODUCT((economics!$AG$2:$AG$167=$B27)*(economics!$D$2:$D$167="whr")*economics!$AI$2:$AI$167*_xlfn.NORM.DIST(AV$3,economics!$AK$2:$AK$167,economics!$AJ$2:$AJ$167,TRUE)),0)</f>
        <v/>
      </c>
      <c r="AW27" s="68">
        <f t="array" ref="AW27">IF($D27,SUMPRODUCT((economics!$AG$2:$AG$167=$B27)*(economics!$D$2:$D$167="whr")*economics!$AI$2:$AI$167*_xlfn.NORM.DIST(AW$3,economics!$AK$2:$AK$167,economics!$AJ$2:$AJ$167,TRUE)),0)</f>
        <v/>
      </c>
      <c r="AX27" s="68">
        <f t="array" ref="AX27">IF($D27,SUMPRODUCT((economics!$AG$2:$AG$167=$B27)*(economics!$D$2:$D$167="whr")*economics!$AI$2:$AI$167*_xlfn.NORM.DIST(AX$3,economics!$AK$2:$AK$167,economics!$AJ$2:$AJ$167,TRUE)),0)</f>
        <v/>
      </c>
      <c r="AY27" s="68">
        <f t="array" ref="AY27">IF($D27,SUMPRODUCT((economics!$AG$2:$AG$167=$B27)*(economics!$D$2:$D$167="whr")*economics!$AI$2:$AI$167*_xlfn.NORM.DIST(AY$3,economics!$AK$2:$AK$167,economics!$AJ$2:$AJ$167,TRUE)),0)</f>
        <v/>
      </c>
      <c r="AZ27" s="68">
        <f t="array" ref="AZ27">IF($D27,SUMPRODUCT((economics!$AG$2:$AG$167=$B27)*(economics!$D$2:$D$167="whr")*economics!$AI$2:$AI$167*_xlfn.NORM.DIST(AZ$3,economics!$AK$2:$AK$167,economics!$AJ$2:$AJ$167,TRUE)),0)</f>
        <v/>
      </c>
      <c r="BA27" s="68">
        <f t="array" ref="BA27">IF($D27,SUMPRODUCT((economics!$AG$2:$AG$167=$B27)*(economics!$D$2:$D$167="whr")*economics!$AI$2:$AI$167*_xlfn.NORM.DIST(BA$3,economics!$AK$2:$AK$167,economics!$AJ$2:$AJ$167,TRUE)),0)</f>
        <v/>
      </c>
      <c r="BB27" s="68">
        <f t="array" ref="BB27">IF($D27,SUMPRODUCT((economics!$AG$2:$AG$167=$B27)*(economics!$D$2:$D$167="whr")*economics!$AI$2:$AI$167*_xlfn.NORM.DIST(BB$3,economics!$AK$2:$AK$167,economics!$AJ$2:$AJ$167,TRUE)),0)</f>
        <v/>
      </c>
      <c r="BC27" s="68">
        <f t="array" ref="BC27">IF($D27,SUMPRODUCT((economics!$AG$2:$AG$167=$B27)*(economics!$D$2:$D$167="whr")*economics!$AI$2:$AI$167*_xlfn.NORM.DIST(BC$3,economics!$AK$2:$AK$167,economics!$AJ$2:$AJ$167,TRUE)),0)</f>
        <v/>
      </c>
      <c r="BD27" s="68">
        <f t="array" ref="BD27">IF($D27,SUMPRODUCT((economics!$AG$2:$AG$167=$B27)*(economics!$D$2:$D$167="whr")*economics!$AI$2:$AI$167*_xlfn.NORM.DIST(BD$3,economics!$AK$2:$AK$167,economics!$AJ$2:$AJ$167,TRUE)),0)</f>
        <v/>
      </c>
      <c r="BE27" s="68">
        <f t="array" ref="BE27">IF($D27,SUMPRODUCT((economics!$AG$2:$AG$167=$B27)*(economics!$D$2:$D$167="whr")*economics!$AI$2:$AI$167*_xlfn.NORM.DIST(BE$3,economics!$AK$2:$AK$167,economics!$AJ$2:$AJ$167,TRUE)),0)</f>
        <v/>
      </c>
      <c r="BF27" s="68">
        <f t="array" ref="BF27">IF($D27,SUMPRODUCT((economics!$AG$2:$AG$167=$B27)*(economics!$D$2:$D$167="whr")*economics!$AI$2:$AI$167*_xlfn.NORM.DIST(BF$3,economics!$AK$2:$AK$167,economics!$AJ$2:$AJ$167,TRUE)),0)</f>
        <v/>
      </c>
      <c r="BG27" s="68">
        <f t="array" ref="BG27">IF($D27,SUMPRODUCT((economics!$AG$2:$AG$167=$B27)*(economics!$D$2:$D$167="whr")*economics!$AI$2:$AI$167*_xlfn.NORM.DIST(BG$3,economics!$AK$2:$AK$167,economics!$AJ$2:$AJ$167,TRUE)),0)</f>
        <v/>
      </c>
      <c r="BH27" s="68">
        <f t="array" ref="BH27">IF($D27,SUMPRODUCT((economics!$AG$2:$AG$167=$B27)*(economics!$D$2:$D$167="whr")*economics!$AI$2:$AI$167*_xlfn.NORM.DIST(BH$3,economics!$AK$2:$AK$167,economics!$AJ$2:$AJ$167,TRUE)),0)</f>
        <v/>
      </c>
      <c r="BI27" s="68">
        <f t="array" ref="BI27">IF($D27,SUMPRODUCT((economics!$AG$2:$AG$167=$B27)*(economics!$D$2:$D$167="whr")*economics!$AI$2:$AI$167*_xlfn.NORM.DIST(BI$3,economics!$AK$2:$AK$167,economics!$AJ$2:$AJ$167,TRUE)),0)</f>
        <v/>
      </c>
      <c r="BJ27" s="68">
        <f t="array" ref="BJ27">IF($D27,SUMPRODUCT((economics!$AG$2:$AG$167=$B27)*(economics!$D$2:$D$167="whr")*economics!$AI$2:$AI$167*_xlfn.NORM.DIST(BJ$3,economics!$AK$2:$AK$167,economics!$AJ$2:$AJ$167,TRUE)),0)</f>
        <v/>
      </c>
      <c r="BK27" s="68">
        <f t="array" ref="BK27">IF($D27,SUMPRODUCT((economics!$AG$2:$AG$167=$B27)*(economics!$D$2:$D$167="whr")*economics!$AI$2:$AI$167*_xlfn.NORM.DIST(BK$3,economics!$AK$2:$AK$167,economics!$AJ$2:$AJ$167,TRUE)),0)</f>
        <v/>
      </c>
      <c r="BL27" s="68">
        <f t="array" ref="BL27">IF($D27,SUMPRODUCT((economics!$AG$2:$AG$167=$B27)*(economics!$D$2:$D$167="whr")*economics!$AI$2:$AI$167*_xlfn.NORM.DIST(BL$3,economics!$AK$2:$AK$167,economics!$AJ$2:$AJ$167,TRUE)),0)</f>
        <v/>
      </c>
      <c r="BM27" s="68">
        <f t="array" ref="BM27">IF($D27,SUMPRODUCT((economics!$AG$2:$AG$167=$B27)*(economics!$D$2:$D$167="whr")*economics!$AI$2:$AI$167*_xlfn.NORM.DIST(BM$3,economics!$AK$2:$AK$167,economics!$AJ$2:$AJ$167,TRUE)),0)</f>
        <v/>
      </c>
      <c r="BN27" s="68">
        <f t="array" ref="BN27">IF($D27,SUMPRODUCT((economics!$AG$2:$AG$167=$B27)*(economics!$D$2:$D$167="whr")*economics!$AI$2:$AI$167*_xlfn.NORM.DIST(BN$3,economics!$AK$2:$AK$167,economics!$AJ$2:$AJ$167,TRUE)),0)</f>
        <v/>
      </c>
      <c r="BO27" s="68">
        <f t="array" ref="BO27">IF($D27,SUMPRODUCT((economics!$AG$2:$AG$167=$B27)*(economics!$D$2:$D$167="whr")*economics!$AI$2:$AI$167*_xlfn.NORM.DIST(BO$3,economics!$AK$2:$AK$167,economics!$AJ$2:$AJ$167,TRUE)),0)</f>
        <v/>
      </c>
      <c r="BP27" s="68">
        <f t="array" ref="BP27">IF($D27,SUMPRODUCT((economics!$AG$2:$AG$167=$B27)*(economics!$D$2:$D$167="whr")*economics!$AI$2:$AI$167*_xlfn.NORM.DIST(BP$3,economics!$AK$2:$AK$167,economics!$AJ$2:$AJ$167,TRUE)),0)</f>
        <v/>
      </c>
      <c r="BQ27" s="68">
        <f t="array" ref="BQ27">IF($D27,SUMPRODUCT((economics!$AG$2:$AG$167=$B27)*(economics!$D$2:$D$167="whr")*economics!$AI$2:$AI$167*_xlfn.NORM.DIST(BQ$3,economics!$AK$2:$AK$167,economics!$AJ$2:$AJ$167,TRUE)),0)</f>
        <v/>
      </c>
      <c r="BR27" s="68">
        <f t="array" ref="BR27">IF($D27,SUMPRODUCT((economics!$AG$2:$AG$167=$B27)*(economics!$D$2:$D$167="whr")*economics!$AI$2:$AI$167*_xlfn.NORM.DIST(BR$3,economics!$AK$2:$AK$167,economics!$AJ$2:$AJ$167,TRUE)),0)</f>
        <v/>
      </c>
      <c r="BS27" s="68">
        <f t="array" ref="BS27">IF($D27,SUMPRODUCT((economics!$AG$2:$AG$167=$B27)*(economics!$D$2:$D$167="whr")*economics!$AI$2:$AI$167*_xlfn.NORM.DIST(BS$3,economics!$AK$2:$AK$167,economics!$AJ$2:$AJ$167,TRUE)),0)</f>
        <v/>
      </c>
      <c r="BT27" s="68">
        <f t="array" ref="BT27">IF($D27,SUMPRODUCT((economics!$AG$2:$AG$167=$B27)*(economics!$D$2:$D$167="whr")*economics!$AI$2:$AI$167*_xlfn.NORM.DIST(BT$3,economics!$AK$2:$AK$167,economics!$AJ$2:$AJ$167,TRUE)),0)</f>
        <v/>
      </c>
      <c r="BU27" s="68">
        <f t="array" ref="BU27">IF($D27,SUMPRODUCT((economics!$AG$2:$AG$167=$B27)*(economics!$D$2:$D$167="whr")*economics!$AI$2:$AI$167*_xlfn.NORM.DIST(BU$3,economics!$AK$2:$AK$167,economics!$AJ$2:$AJ$167,TRUE)),0)</f>
        <v/>
      </c>
      <c r="BV27" s="68">
        <f t="array" ref="BV27">IF($D27,SUMPRODUCT((economics!$AG$2:$AG$167=$B27)*(economics!$D$2:$D$167="whr")*economics!$AI$2:$AI$167*_xlfn.NORM.DIST(BV$3,economics!$AK$2:$AK$167,economics!$AJ$2:$AJ$167,TRUE)),0)</f>
        <v/>
      </c>
      <c r="BW27" s="68">
        <f t="array" ref="BW27">IF($D27,SUMPRODUCT((economics!$AG$2:$AG$167=$B27)*(economics!$D$2:$D$167="whr")*economics!$AI$2:$AI$167*_xlfn.NORM.DIST(BW$3,economics!$AK$2:$AK$167,economics!$AJ$2:$AJ$167,TRUE)),0)</f>
        <v/>
      </c>
      <c r="BX27" s="68">
        <f t="array" ref="BX27">IF($D27,SUMPRODUCT((economics!$AG$2:$AG$167=$B27)*(economics!$D$2:$D$167="whr")*economics!$AI$2:$AI$167*_xlfn.NORM.DIST(BX$3,economics!$AK$2:$AK$167,economics!$AJ$2:$AJ$167,TRUE)),0)</f>
        <v/>
      </c>
      <c r="BY27" s="68">
        <f t="array" ref="BY27">IF($D27,SUMPRODUCT((economics!$AG$2:$AG$167=$B27)*(economics!$D$2:$D$167="whr")*economics!$AI$2:$AI$167*_xlfn.NORM.DIST(BY$3,economics!$AK$2:$AK$167,economics!$AJ$2:$AJ$167,TRUE)),0)</f>
        <v/>
      </c>
      <c r="BZ27" s="68">
        <f t="array" ref="BZ27">IF($D27,SUMPRODUCT((economics!$AG$2:$AG$167=$B27)*(economics!$D$2:$D$167="whr")*economics!$AI$2:$AI$167*_xlfn.NORM.DIST(BZ$3,economics!$AK$2:$AK$167,economics!$AJ$2:$AJ$167,TRUE)),0)</f>
        <v/>
      </c>
      <c r="CA27" s="68">
        <f t="array" ref="CA27">IF($D27,SUMPRODUCT((economics!$AG$2:$AG$167=$B27)*(economics!$D$2:$D$167="whr")*economics!$AI$2:$AI$167*_xlfn.NORM.DIST(CA$3,economics!$AK$2:$AK$167,economics!$AJ$2:$AJ$167,TRUE)),0)</f>
        <v/>
      </c>
      <c r="CB27" s="68">
        <f t="array" ref="CB27">IF($D27,SUMPRODUCT((economics!$AG$2:$AG$167=$B27)*(economics!$D$2:$D$167="whr")*economics!$AI$2:$AI$167*_xlfn.NORM.DIST(CB$3,economics!$AK$2:$AK$167,economics!$AJ$2:$AJ$167,TRUE)),0)</f>
        <v/>
      </c>
      <c r="CC27" s="68">
        <f t="array" ref="CC27">IF($D27,SUMPRODUCT((economics!$AG$2:$AG$167=$B27)*(economics!$D$2:$D$167="whr")*economics!$AI$2:$AI$167*_xlfn.NORM.DIST(CC$3,economics!$AK$2:$AK$167,economics!$AJ$2:$AJ$167,TRUE)),0)</f>
        <v/>
      </c>
      <c r="CD27" s="68">
        <f t="array" ref="CD27">IF($D27,SUMPRODUCT((economics!$AG$2:$AG$167=$B27)*(economics!$D$2:$D$167="whr")*economics!$AI$2:$AI$167*_xlfn.NORM.DIST(CD$3,economics!$AK$2:$AK$167,economics!$AJ$2:$AJ$167,TRUE)),0)</f>
        <v/>
      </c>
      <c r="CE27" s="68">
        <f t="array" ref="CE27">IF($D27,SUMPRODUCT((economics!$AG$2:$AG$167=$B27)*(economics!$D$2:$D$167="whr")*economics!$AI$2:$AI$167*_xlfn.NORM.DIST(CE$3,economics!$AK$2:$AK$167,economics!$AJ$2:$AJ$167,TRUE)),0)</f>
        <v/>
      </c>
      <c r="CF27" s="68">
        <f t="array" ref="CF27">IF($D27,SUMPRODUCT((economics!$AG$2:$AG$167=$B27)*(economics!$D$2:$D$167="whr")*economics!$AI$2:$AI$167*_xlfn.NORM.DIST(CF$3,economics!$AK$2:$AK$167,economics!$AJ$2:$AJ$167,TRUE)),0)</f>
        <v/>
      </c>
      <c r="CG27" s="68">
        <f t="array" ref="CG27">IF($D27,SUMPRODUCT((economics!$AG$2:$AG$167=$B27)*(economics!$D$2:$D$167="whr")*economics!$AI$2:$AI$167*_xlfn.NORM.DIST(CG$3,economics!$AK$2:$AK$167,economics!$AJ$2:$AJ$167,TRUE)),0)</f>
        <v/>
      </c>
      <c r="CH27" s="68">
        <f t="array" ref="CH27">IF($D27,SUMPRODUCT((economics!$AG$2:$AG$167=$B27)*(economics!$D$2:$D$167="whr")*economics!$AI$2:$AI$167*_xlfn.NORM.DIST(CH$3,economics!$AK$2:$AK$167,economics!$AJ$2:$AJ$167,TRUE)),0)</f>
        <v/>
      </c>
    </row>
    <row r="28">
      <c r="A28">
        <f>WHRPbI!A26</f>
        <v/>
      </c>
      <c r="B28" t="inlineStr">
        <is>
          <t>41T43</t>
        </is>
      </c>
      <c r="C28" s="68">
        <f>WHRPbI!B26</f>
        <v/>
      </c>
      <c r="D28">
        <f>ISNUMBER(MATCH($B28,'energy base (MECS)'!$K$4:$K$9,0))</f>
        <v/>
      </c>
      <c r="E28" s="68">
        <f t="array" ref="E28">IF($D28,SUMPRODUCT((economics!$AG$2:$AG$167=$B28)*(economics!$D$2:$D$167="whr")*economics!$AI$2:$AI$167*_xlfn.NORM.DIST(E$3,economics!$AK$2:$AK$167,economics!$AJ$2:$AJ$167,TRUE)),0)</f>
        <v/>
      </c>
      <c r="F28" s="68">
        <f t="array" ref="F28">IF($D28,SUMPRODUCT((economics!$AG$2:$AG$167=$B28)*(economics!$D$2:$D$167="whr")*economics!$AI$2:$AI$167*_xlfn.NORM.DIST(F$3,economics!$AK$2:$AK$167,economics!$AJ$2:$AJ$167,TRUE)),0)</f>
        <v/>
      </c>
      <c r="G28" s="68">
        <f t="array" ref="G28">IF($D28,SUMPRODUCT((economics!$AG$2:$AG$167=$B28)*(economics!$D$2:$D$167="whr")*economics!$AI$2:$AI$167*_xlfn.NORM.DIST(G$3,economics!$AK$2:$AK$167,economics!$AJ$2:$AJ$167,TRUE)),0)</f>
        <v/>
      </c>
      <c r="H28" s="68">
        <f t="array" ref="H28">IF($D28,SUMPRODUCT((economics!$AG$2:$AG$167=$B28)*(economics!$D$2:$D$167="whr")*economics!$AI$2:$AI$167*_xlfn.NORM.DIST(H$3,economics!$AK$2:$AK$167,economics!$AJ$2:$AJ$167,TRUE)),0)</f>
        <v/>
      </c>
      <c r="I28" s="68">
        <f t="array" ref="I28">IF($D28,SUMPRODUCT((economics!$AG$2:$AG$167=$B28)*(economics!$D$2:$D$167="whr")*economics!$AI$2:$AI$167*_xlfn.NORM.DIST(I$3,economics!$AK$2:$AK$167,economics!$AJ$2:$AJ$167,TRUE)),0)</f>
        <v/>
      </c>
      <c r="J28" s="68">
        <f t="array" ref="J28">IF($D28,SUMPRODUCT((economics!$AG$2:$AG$167=$B28)*(economics!$D$2:$D$167="whr")*economics!$AI$2:$AI$167*_xlfn.NORM.DIST(J$3,economics!$AK$2:$AK$167,economics!$AJ$2:$AJ$167,TRUE)),0)</f>
        <v/>
      </c>
      <c r="K28" s="68">
        <f t="array" ref="K28">IF($D28,SUMPRODUCT((economics!$AG$2:$AG$167=$B28)*(economics!$D$2:$D$167="whr")*economics!$AI$2:$AI$167*_xlfn.NORM.DIST(K$3,economics!$AK$2:$AK$167,economics!$AJ$2:$AJ$167,TRUE)),0)</f>
        <v/>
      </c>
      <c r="L28" s="68">
        <f t="array" ref="L28">IF($D28,SUMPRODUCT((economics!$AG$2:$AG$167=$B28)*(economics!$D$2:$D$167="whr")*economics!$AI$2:$AI$167*_xlfn.NORM.DIST(L$3,economics!$AK$2:$AK$167,economics!$AJ$2:$AJ$167,TRUE)),0)</f>
        <v/>
      </c>
      <c r="M28" s="68">
        <f t="array" ref="M28">IF($D28,SUMPRODUCT((economics!$AG$2:$AG$167=$B28)*(economics!$D$2:$D$167="whr")*economics!$AI$2:$AI$167*_xlfn.NORM.DIST(M$3,economics!$AK$2:$AK$167,economics!$AJ$2:$AJ$167,TRUE)),0)</f>
        <v/>
      </c>
      <c r="N28" s="68">
        <f t="array" ref="N28">IF($D28,SUMPRODUCT((economics!$AG$2:$AG$167=$B28)*(economics!$D$2:$D$167="whr")*economics!$AI$2:$AI$167*_xlfn.NORM.DIST(N$3,economics!$AK$2:$AK$167,economics!$AJ$2:$AJ$167,TRUE)),0)</f>
        <v/>
      </c>
      <c r="O28" s="68">
        <f t="array" ref="O28">IF($D28,SUMPRODUCT((economics!$AG$2:$AG$167=$B28)*(economics!$D$2:$D$167="whr")*economics!$AI$2:$AI$167*_xlfn.NORM.DIST(O$3,economics!$AK$2:$AK$167,economics!$AJ$2:$AJ$167,TRUE)),0)</f>
        <v/>
      </c>
      <c r="P28" s="68">
        <f t="array" ref="P28">IF($D28,SUMPRODUCT((economics!$AG$2:$AG$167=$B28)*(economics!$D$2:$D$167="whr")*economics!$AI$2:$AI$167*_xlfn.NORM.DIST(P$3,economics!$AK$2:$AK$167,economics!$AJ$2:$AJ$167,TRUE)),0)</f>
        <v/>
      </c>
      <c r="Q28" s="68">
        <f t="array" ref="Q28">IF($D28,SUMPRODUCT((economics!$AG$2:$AG$167=$B28)*(economics!$D$2:$D$167="whr")*economics!$AI$2:$AI$167*_xlfn.NORM.DIST(Q$3,economics!$AK$2:$AK$167,economics!$AJ$2:$AJ$167,TRUE)),0)</f>
        <v/>
      </c>
      <c r="R28" s="68">
        <f t="array" ref="R28">IF($D28,SUMPRODUCT((economics!$AG$2:$AG$167=$B28)*(economics!$D$2:$D$167="whr")*economics!$AI$2:$AI$167*_xlfn.NORM.DIST(R$3,economics!$AK$2:$AK$167,economics!$AJ$2:$AJ$167,TRUE)),0)</f>
        <v/>
      </c>
      <c r="S28" s="68">
        <f t="array" ref="S28">IF($D28,SUMPRODUCT((economics!$AG$2:$AG$167=$B28)*(economics!$D$2:$D$167="whr")*economics!$AI$2:$AI$167*_xlfn.NORM.DIST(S$3,economics!$AK$2:$AK$167,economics!$AJ$2:$AJ$167,TRUE)),0)</f>
        <v/>
      </c>
      <c r="T28" s="68">
        <f t="array" ref="T28">IF($D28,SUMPRODUCT((economics!$AG$2:$AG$167=$B28)*(economics!$D$2:$D$167="whr")*economics!$AI$2:$AI$167*_xlfn.NORM.DIST(T$3,economics!$AK$2:$AK$167,economics!$AJ$2:$AJ$167,TRUE)),0)</f>
        <v/>
      </c>
      <c r="U28" s="68">
        <f t="array" ref="U28">IF($D28,SUMPRODUCT((economics!$AG$2:$AG$167=$B28)*(economics!$D$2:$D$167="whr")*economics!$AI$2:$AI$167*_xlfn.NORM.DIST(U$3,economics!$AK$2:$AK$167,economics!$AJ$2:$AJ$167,TRUE)),0)</f>
        <v/>
      </c>
      <c r="V28" s="68">
        <f t="array" ref="V28">IF($D28,SUMPRODUCT((economics!$AG$2:$AG$167=$B28)*(economics!$D$2:$D$167="whr")*economics!$AI$2:$AI$167*_xlfn.NORM.DIST(V$3,economics!$AK$2:$AK$167,economics!$AJ$2:$AJ$167,TRUE)),0)</f>
        <v/>
      </c>
      <c r="W28" s="68">
        <f t="array" ref="W28">IF($D28,SUMPRODUCT((economics!$AG$2:$AG$167=$B28)*(economics!$D$2:$D$167="whr")*economics!$AI$2:$AI$167*_xlfn.NORM.DIST(W$3,economics!$AK$2:$AK$167,economics!$AJ$2:$AJ$167,TRUE)),0)</f>
        <v/>
      </c>
      <c r="X28" s="68">
        <f t="array" ref="X28">IF($D28,SUMPRODUCT((economics!$AG$2:$AG$167=$B28)*(economics!$D$2:$D$167="whr")*economics!$AI$2:$AI$167*_xlfn.NORM.DIST(X$3,economics!$AK$2:$AK$167,economics!$AJ$2:$AJ$167,TRUE)),0)</f>
        <v/>
      </c>
      <c r="Y28" s="68">
        <f t="array" ref="Y28">IF($D28,SUMPRODUCT((economics!$AG$2:$AG$167=$B28)*(economics!$D$2:$D$167="whr")*economics!$AI$2:$AI$167*_xlfn.NORM.DIST(Y$3,economics!$AK$2:$AK$167,economics!$AJ$2:$AJ$167,TRUE)),0)</f>
        <v/>
      </c>
      <c r="Z28" s="68">
        <f t="array" ref="Z28">IF($D28,SUMPRODUCT((economics!$AG$2:$AG$167=$B28)*(economics!$D$2:$D$167="whr")*economics!$AI$2:$AI$167*_xlfn.NORM.DIST(Z$3,economics!$AK$2:$AK$167,economics!$AJ$2:$AJ$167,TRUE)),0)</f>
        <v/>
      </c>
      <c r="AA28" s="68">
        <f t="array" ref="AA28">IF($D28,SUMPRODUCT((economics!$AG$2:$AG$167=$B28)*(economics!$D$2:$D$167="whr")*economics!$AI$2:$AI$167*_xlfn.NORM.DIST(AA$3,economics!$AK$2:$AK$167,economics!$AJ$2:$AJ$167,TRUE)),0)</f>
        <v/>
      </c>
      <c r="AB28" s="68">
        <f t="array" ref="AB28">IF($D28,SUMPRODUCT((economics!$AG$2:$AG$167=$B28)*(economics!$D$2:$D$167="whr")*economics!$AI$2:$AI$167*_xlfn.NORM.DIST(AB$3,economics!$AK$2:$AK$167,economics!$AJ$2:$AJ$167,TRUE)),0)</f>
        <v/>
      </c>
      <c r="AC28" s="68">
        <f t="array" ref="AC28">IF($D28,SUMPRODUCT((economics!$AG$2:$AG$167=$B28)*(economics!$D$2:$D$167="whr")*economics!$AI$2:$AI$167*_xlfn.NORM.DIST(AC$3,economics!$AK$2:$AK$167,economics!$AJ$2:$AJ$167,TRUE)),0)</f>
        <v/>
      </c>
      <c r="AD28" s="68">
        <f t="array" ref="AD28">IF($D28,SUMPRODUCT((economics!$AG$2:$AG$167=$B28)*(economics!$D$2:$D$167="whr")*economics!$AI$2:$AI$167*_xlfn.NORM.DIST(AD$3,economics!$AK$2:$AK$167,economics!$AJ$2:$AJ$167,TRUE)),0)</f>
        <v/>
      </c>
      <c r="AE28" s="68">
        <f t="array" ref="AE28">IF($D28,SUMPRODUCT((economics!$AG$2:$AG$167=$B28)*(economics!$D$2:$D$167="whr")*economics!$AI$2:$AI$167*_xlfn.NORM.DIST(AE$3,economics!$AK$2:$AK$167,economics!$AJ$2:$AJ$167,TRUE)),0)</f>
        <v/>
      </c>
      <c r="AF28" s="68">
        <f t="array" ref="AF28">IF($D28,SUMPRODUCT((economics!$AG$2:$AG$167=$B28)*(economics!$D$2:$D$167="whr")*economics!$AI$2:$AI$167*_xlfn.NORM.DIST(AF$3,economics!$AK$2:$AK$167,economics!$AJ$2:$AJ$167,TRUE)),0)</f>
        <v/>
      </c>
      <c r="AG28" s="68">
        <f t="array" ref="AG28">IF($D28,SUMPRODUCT((economics!$AG$2:$AG$167=$B28)*(economics!$D$2:$D$167="whr")*economics!$AI$2:$AI$167*_xlfn.NORM.DIST(AG$3,economics!$AK$2:$AK$167,economics!$AJ$2:$AJ$167,TRUE)),0)</f>
        <v/>
      </c>
      <c r="AH28" s="68">
        <f t="array" ref="AH28">IF($D28,SUMPRODUCT((economics!$AG$2:$AG$167=$B28)*(economics!$D$2:$D$167="whr")*economics!$AI$2:$AI$167*_xlfn.NORM.DIST(AH$3,economics!$AK$2:$AK$167,economics!$AJ$2:$AJ$167,TRUE)),0)</f>
        <v/>
      </c>
      <c r="AI28" s="68">
        <f t="array" ref="AI28">IF($D28,SUMPRODUCT((economics!$AG$2:$AG$167=$B28)*(economics!$D$2:$D$167="whr")*economics!$AI$2:$AI$167*_xlfn.NORM.DIST(AI$3,economics!$AK$2:$AK$167,economics!$AJ$2:$AJ$167,TRUE)),0)</f>
        <v/>
      </c>
      <c r="AJ28" s="68">
        <f t="array" ref="AJ28">IF($D28,SUMPRODUCT((economics!$AG$2:$AG$167=$B28)*(economics!$D$2:$D$167="whr")*economics!$AI$2:$AI$167*_xlfn.NORM.DIST(AJ$3,economics!$AK$2:$AK$167,economics!$AJ$2:$AJ$167,TRUE)),0)</f>
        <v/>
      </c>
      <c r="AK28" s="68">
        <f t="array" ref="AK28">IF($D28,SUMPRODUCT((economics!$AG$2:$AG$167=$B28)*(economics!$D$2:$D$167="whr")*economics!$AI$2:$AI$167*_xlfn.NORM.DIST(AK$3,economics!$AK$2:$AK$167,economics!$AJ$2:$AJ$167,TRUE)),0)</f>
        <v/>
      </c>
      <c r="AL28" s="68">
        <f t="array" ref="AL28">IF($D28,SUMPRODUCT((economics!$AG$2:$AG$167=$B28)*(economics!$D$2:$D$167="whr")*economics!$AI$2:$AI$167*_xlfn.NORM.DIST(AL$3,economics!$AK$2:$AK$167,economics!$AJ$2:$AJ$167,TRUE)),0)</f>
        <v/>
      </c>
      <c r="AM28" s="68">
        <f t="array" ref="AM28">IF($D28,SUMPRODUCT((economics!$AG$2:$AG$167=$B28)*(economics!$D$2:$D$167="whr")*economics!$AI$2:$AI$167*_xlfn.NORM.DIST(AM$3,economics!$AK$2:$AK$167,economics!$AJ$2:$AJ$167,TRUE)),0)</f>
        <v/>
      </c>
      <c r="AN28" s="68">
        <f t="array" ref="AN28">IF($D28,SUMPRODUCT((economics!$AG$2:$AG$167=$B28)*(economics!$D$2:$D$167="whr")*economics!$AI$2:$AI$167*_xlfn.NORM.DIST(AN$3,economics!$AK$2:$AK$167,economics!$AJ$2:$AJ$167,TRUE)),0)</f>
        <v/>
      </c>
      <c r="AO28" s="68">
        <f t="array" ref="AO28">IF($D28,SUMPRODUCT((economics!$AG$2:$AG$167=$B28)*(economics!$D$2:$D$167="whr")*economics!$AI$2:$AI$167*_xlfn.NORM.DIST(AO$3,economics!$AK$2:$AK$167,economics!$AJ$2:$AJ$167,TRUE)),0)</f>
        <v/>
      </c>
      <c r="AP28" s="68">
        <f t="array" ref="AP28">IF($D28,SUMPRODUCT((economics!$AG$2:$AG$167=$B28)*(economics!$D$2:$D$167="whr")*economics!$AI$2:$AI$167*_xlfn.NORM.DIST(AP$3,economics!$AK$2:$AK$167,economics!$AJ$2:$AJ$167,TRUE)),0)</f>
        <v/>
      </c>
      <c r="AQ28" s="68">
        <f t="array" ref="AQ28">IF($D28,SUMPRODUCT((economics!$AG$2:$AG$167=$B28)*(economics!$D$2:$D$167="whr")*economics!$AI$2:$AI$167*_xlfn.NORM.DIST(AQ$3,economics!$AK$2:$AK$167,economics!$AJ$2:$AJ$167,TRUE)),0)</f>
        <v/>
      </c>
      <c r="AR28" s="68">
        <f t="array" ref="AR28">IF($D28,SUMPRODUCT((economics!$AG$2:$AG$167=$B28)*(economics!$D$2:$D$167="whr")*economics!$AI$2:$AI$167*_xlfn.NORM.DIST(AR$3,economics!$AK$2:$AK$167,economics!$AJ$2:$AJ$167,TRUE)),0)</f>
        <v/>
      </c>
      <c r="AS28" s="68">
        <f t="array" ref="AS28">IF($D28,SUMPRODUCT((economics!$AG$2:$AG$167=$B28)*(economics!$D$2:$D$167="whr")*economics!$AI$2:$AI$167*_xlfn.NORM.DIST(AS$3,economics!$AK$2:$AK$167,economics!$AJ$2:$AJ$167,TRUE)),0)</f>
        <v/>
      </c>
      <c r="AT28" s="68">
        <f t="array" ref="AT28">IF($D28,SUMPRODUCT((economics!$AG$2:$AG$167=$B28)*(economics!$D$2:$D$167="whr")*economics!$AI$2:$AI$167*_xlfn.NORM.DIST(AT$3,economics!$AK$2:$AK$167,economics!$AJ$2:$AJ$167,TRUE)),0)</f>
        <v/>
      </c>
      <c r="AU28" s="68">
        <f t="array" ref="AU28">IF($D28,SUMPRODUCT((economics!$AG$2:$AG$167=$B28)*(economics!$D$2:$D$167="whr")*economics!$AI$2:$AI$167*_xlfn.NORM.DIST(AU$3,economics!$AK$2:$AK$167,economics!$AJ$2:$AJ$167,TRUE)),0)</f>
        <v/>
      </c>
      <c r="AV28" s="68">
        <f t="array" ref="AV28">IF($D28,SUMPRODUCT((economics!$AG$2:$AG$167=$B28)*(economics!$D$2:$D$167="whr")*economics!$AI$2:$AI$167*_xlfn.NORM.DIST(AV$3,economics!$AK$2:$AK$167,economics!$AJ$2:$AJ$167,TRUE)),0)</f>
        <v/>
      </c>
      <c r="AW28" s="68">
        <f t="array" ref="AW28">IF($D28,SUMPRODUCT((economics!$AG$2:$AG$167=$B28)*(economics!$D$2:$D$167="whr")*economics!$AI$2:$AI$167*_xlfn.NORM.DIST(AW$3,economics!$AK$2:$AK$167,economics!$AJ$2:$AJ$167,TRUE)),0)</f>
        <v/>
      </c>
      <c r="AX28" s="68">
        <f t="array" ref="AX28">IF($D28,SUMPRODUCT((economics!$AG$2:$AG$167=$B28)*(economics!$D$2:$D$167="whr")*economics!$AI$2:$AI$167*_xlfn.NORM.DIST(AX$3,economics!$AK$2:$AK$167,economics!$AJ$2:$AJ$167,TRUE)),0)</f>
        <v/>
      </c>
      <c r="AY28" s="68">
        <f t="array" ref="AY28">IF($D28,SUMPRODUCT((economics!$AG$2:$AG$167=$B28)*(economics!$D$2:$D$167="whr")*economics!$AI$2:$AI$167*_xlfn.NORM.DIST(AY$3,economics!$AK$2:$AK$167,economics!$AJ$2:$AJ$167,TRUE)),0)</f>
        <v/>
      </c>
      <c r="AZ28" s="68">
        <f t="array" ref="AZ28">IF($D28,SUMPRODUCT((economics!$AG$2:$AG$167=$B28)*(economics!$D$2:$D$167="whr")*economics!$AI$2:$AI$167*_xlfn.NORM.DIST(AZ$3,economics!$AK$2:$AK$167,economics!$AJ$2:$AJ$167,TRUE)),0)</f>
        <v/>
      </c>
      <c r="BA28" s="68">
        <f t="array" ref="BA28">IF($D28,SUMPRODUCT((economics!$AG$2:$AG$167=$B28)*(economics!$D$2:$D$167="whr")*economics!$AI$2:$AI$167*_xlfn.NORM.DIST(BA$3,economics!$AK$2:$AK$167,economics!$AJ$2:$AJ$167,TRUE)),0)</f>
        <v/>
      </c>
      <c r="BB28" s="68">
        <f t="array" ref="BB28">IF($D28,SUMPRODUCT((economics!$AG$2:$AG$167=$B28)*(economics!$D$2:$D$167="whr")*economics!$AI$2:$AI$167*_xlfn.NORM.DIST(BB$3,economics!$AK$2:$AK$167,economics!$AJ$2:$AJ$167,TRUE)),0)</f>
        <v/>
      </c>
      <c r="BC28" s="68">
        <f t="array" ref="BC28">IF($D28,SUMPRODUCT((economics!$AG$2:$AG$167=$B28)*(economics!$D$2:$D$167="whr")*economics!$AI$2:$AI$167*_xlfn.NORM.DIST(BC$3,economics!$AK$2:$AK$167,economics!$AJ$2:$AJ$167,TRUE)),0)</f>
        <v/>
      </c>
      <c r="BD28" s="68">
        <f t="array" ref="BD28">IF($D28,SUMPRODUCT((economics!$AG$2:$AG$167=$B28)*(economics!$D$2:$D$167="whr")*economics!$AI$2:$AI$167*_xlfn.NORM.DIST(BD$3,economics!$AK$2:$AK$167,economics!$AJ$2:$AJ$167,TRUE)),0)</f>
        <v/>
      </c>
      <c r="BE28" s="68">
        <f t="array" ref="BE28">IF($D28,SUMPRODUCT((economics!$AG$2:$AG$167=$B28)*(economics!$D$2:$D$167="whr")*economics!$AI$2:$AI$167*_xlfn.NORM.DIST(BE$3,economics!$AK$2:$AK$167,economics!$AJ$2:$AJ$167,TRUE)),0)</f>
        <v/>
      </c>
      <c r="BF28" s="68">
        <f t="array" ref="BF28">IF($D28,SUMPRODUCT((economics!$AG$2:$AG$167=$B28)*(economics!$D$2:$D$167="whr")*economics!$AI$2:$AI$167*_xlfn.NORM.DIST(BF$3,economics!$AK$2:$AK$167,economics!$AJ$2:$AJ$167,TRUE)),0)</f>
        <v/>
      </c>
      <c r="BG28" s="68">
        <f t="array" ref="BG28">IF($D28,SUMPRODUCT((economics!$AG$2:$AG$167=$B28)*(economics!$D$2:$D$167="whr")*economics!$AI$2:$AI$167*_xlfn.NORM.DIST(BG$3,economics!$AK$2:$AK$167,economics!$AJ$2:$AJ$167,TRUE)),0)</f>
        <v/>
      </c>
      <c r="BH28" s="68">
        <f t="array" ref="BH28">IF($D28,SUMPRODUCT((economics!$AG$2:$AG$167=$B28)*(economics!$D$2:$D$167="whr")*economics!$AI$2:$AI$167*_xlfn.NORM.DIST(BH$3,economics!$AK$2:$AK$167,economics!$AJ$2:$AJ$167,TRUE)),0)</f>
        <v/>
      </c>
      <c r="BI28" s="68">
        <f t="array" ref="BI28">IF($D28,SUMPRODUCT((economics!$AG$2:$AG$167=$B28)*(economics!$D$2:$D$167="whr")*economics!$AI$2:$AI$167*_xlfn.NORM.DIST(BI$3,economics!$AK$2:$AK$167,economics!$AJ$2:$AJ$167,TRUE)),0)</f>
        <v/>
      </c>
      <c r="BJ28" s="68">
        <f t="array" ref="BJ28">IF($D28,SUMPRODUCT((economics!$AG$2:$AG$167=$B28)*(economics!$D$2:$D$167="whr")*economics!$AI$2:$AI$167*_xlfn.NORM.DIST(BJ$3,economics!$AK$2:$AK$167,economics!$AJ$2:$AJ$167,TRUE)),0)</f>
        <v/>
      </c>
      <c r="BK28" s="68">
        <f t="array" ref="BK28">IF($D28,SUMPRODUCT((economics!$AG$2:$AG$167=$B28)*(economics!$D$2:$D$167="whr")*economics!$AI$2:$AI$167*_xlfn.NORM.DIST(BK$3,economics!$AK$2:$AK$167,economics!$AJ$2:$AJ$167,TRUE)),0)</f>
        <v/>
      </c>
      <c r="BL28" s="68">
        <f t="array" ref="BL28">IF($D28,SUMPRODUCT((economics!$AG$2:$AG$167=$B28)*(economics!$D$2:$D$167="whr")*economics!$AI$2:$AI$167*_xlfn.NORM.DIST(BL$3,economics!$AK$2:$AK$167,economics!$AJ$2:$AJ$167,TRUE)),0)</f>
        <v/>
      </c>
      <c r="BM28" s="68">
        <f t="array" ref="BM28">IF($D28,SUMPRODUCT((economics!$AG$2:$AG$167=$B28)*(economics!$D$2:$D$167="whr")*economics!$AI$2:$AI$167*_xlfn.NORM.DIST(BM$3,economics!$AK$2:$AK$167,economics!$AJ$2:$AJ$167,TRUE)),0)</f>
        <v/>
      </c>
      <c r="BN28" s="68">
        <f t="array" ref="BN28">IF($D28,SUMPRODUCT((economics!$AG$2:$AG$167=$B28)*(economics!$D$2:$D$167="whr")*economics!$AI$2:$AI$167*_xlfn.NORM.DIST(BN$3,economics!$AK$2:$AK$167,economics!$AJ$2:$AJ$167,TRUE)),0)</f>
        <v/>
      </c>
      <c r="BO28" s="68">
        <f t="array" ref="BO28">IF($D28,SUMPRODUCT((economics!$AG$2:$AG$167=$B28)*(economics!$D$2:$D$167="whr")*economics!$AI$2:$AI$167*_xlfn.NORM.DIST(BO$3,economics!$AK$2:$AK$167,economics!$AJ$2:$AJ$167,TRUE)),0)</f>
        <v/>
      </c>
      <c r="BP28" s="68">
        <f t="array" ref="BP28">IF($D28,SUMPRODUCT((economics!$AG$2:$AG$167=$B28)*(economics!$D$2:$D$167="whr")*economics!$AI$2:$AI$167*_xlfn.NORM.DIST(BP$3,economics!$AK$2:$AK$167,economics!$AJ$2:$AJ$167,TRUE)),0)</f>
        <v/>
      </c>
      <c r="BQ28" s="68">
        <f t="array" ref="BQ28">IF($D28,SUMPRODUCT((economics!$AG$2:$AG$167=$B28)*(economics!$D$2:$D$167="whr")*economics!$AI$2:$AI$167*_xlfn.NORM.DIST(BQ$3,economics!$AK$2:$AK$167,economics!$AJ$2:$AJ$167,TRUE)),0)</f>
        <v/>
      </c>
      <c r="BR28" s="68">
        <f t="array" ref="BR28">IF($D28,SUMPRODUCT((economics!$AG$2:$AG$167=$B28)*(economics!$D$2:$D$167="whr")*economics!$AI$2:$AI$167*_xlfn.NORM.DIST(BR$3,economics!$AK$2:$AK$167,economics!$AJ$2:$AJ$167,TRUE)),0)</f>
        <v/>
      </c>
      <c r="BS28" s="68">
        <f t="array" ref="BS28">IF($D28,SUMPRODUCT((economics!$AG$2:$AG$167=$B28)*(economics!$D$2:$D$167="whr")*economics!$AI$2:$AI$167*_xlfn.NORM.DIST(BS$3,economics!$AK$2:$AK$167,economics!$AJ$2:$AJ$167,TRUE)),0)</f>
        <v/>
      </c>
      <c r="BT28" s="68">
        <f t="array" ref="BT28">IF($D28,SUMPRODUCT((economics!$AG$2:$AG$167=$B28)*(economics!$D$2:$D$167="whr")*economics!$AI$2:$AI$167*_xlfn.NORM.DIST(BT$3,economics!$AK$2:$AK$167,economics!$AJ$2:$AJ$167,TRUE)),0)</f>
        <v/>
      </c>
      <c r="BU28" s="68">
        <f t="array" ref="BU28">IF($D28,SUMPRODUCT((economics!$AG$2:$AG$167=$B28)*(economics!$D$2:$D$167="whr")*economics!$AI$2:$AI$167*_xlfn.NORM.DIST(BU$3,economics!$AK$2:$AK$167,economics!$AJ$2:$AJ$167,TRUE)),0)</f>
        <v/>
      </c>
      <c r="BV28" s="68">
        <f t="array" ref="BV28">IF($D28,SUMPRODUCT((economics!$AG$2:$AG$167=$B28)*(economics!$D$2:$D$167="whr")*economics!$AI$2:$AI$167*_xlfn.NORM.DIST(BV$3,economics!$AK$2:$AK$167,economics!$AJ$2:$AJ$167,TRUE)),0)</f>
        <v/>
      </c>
      <c r="BW28" s="68">
        <f t="array" ref="BW28">IF($D28,SUMPRODUCT((economics!$AG$2:$AG$167=$B28)*(economics!$D$2:$D$167="whr")*economics!$AI$2:$AI$167*_xlfn.NORM.DIST(BW$3,economics!$AK$2:$AK$167,economics!$AJ$2:$AJ$167,TRUE)),0)</f>
        <v/>
      </c>
      <c r="BX28" s="68">
        <f t="array" ref="BX28">IF($D28,SUMPRODUCT((economics!$AG$2:$AG$167=$B28)*(economics!$D$2:$D$167="whr")*economics!$AI$2:$AI$167*_xlfn.NORM.DIST(BX$3,economics!$AK$2:$AK$167,economics!$AJ$2:$AJ$167,TRUE)),0)</f>
        <v/>
      </c>
      <c r="BY28" s="68">
        <f t="array" ref="BY28">IF($D28,SUMPRODUCT((economics!$AG$2:$AG$167=$B28)*(economics!$D$2:$D$167="whr")*economics!$AI$2:$AI$167*_xlfn.NORM.DIST(BY$3,economics!$AK$2:$AK$167,economics!$AJ$2:$AJ$167,TRUE)),0)</f>
        <v/>
      </c>
      <c r="BZ28" s="68">
        <f t="array" ref="BZ28">IF($D28,SUMPRODUCT((economics!$AG$2:$AG$167=$B28)*(economics!$D$2:$D$167="whr")*economics!$AI$2:$AI$167*_xlfn.NORM.DIST(BZ$3,economics!$AK$2:$AK$167,economics!$AJ$2:$AJ$167,TRUE)),0)</f>
        <v/>
      </c>
      <c r="CA28" s="68">
        <f t="array" ref="CA28">IF($D28,SUMPRODUCT((economics!$AG$2:$AG$167=$B28)*(economics!$D$2:$D$167="whr")*economics!$AI$2:$AI$167*_xlfn.NORM.DIST(CA$3,economics!$AK$2:$AK$167,economics!$AJ$2:$AJ$167,TRUE)),0)</f>
        <v/>
      </c>
      <c r="CB28" s="68">
        <f t="array" ref="CB28">IF($D28,SUMPRODUCT((economics!$AG$2:$AG$167=$B28)*(economics!$D$2:$D$167="whr")*economics!$AI$2:$AI$167*_xlfn.NORM.DIST(CB$3,economics!$AK$2:$AK$167,economics!$AJ$2:$AJ$167,TRUE)),0)</f>
        <v/>
      </c>
      <c r="CC28" s="68">
        <f t="array" ref="CC28">IF($D28,SUMPRODUCT((economics!$AG$2:$AG$167=$B28)*(economics!$D$2:$D$167="whr")*economics!$AI$2:$AI$167*_xlfn.NORM.DIST(CC$3,economics!$AK$2:$AK$167,economics!$AJ$2:$AJ$167,TRUE)),0)</f>
        <v/>
      </c>
      <c r="CD28" s="68">
        <f t="array" ref="CD28">IF($D28,SUMPRODUCT((economics!$AG$2:$AG$167=$B28)*(economics!$D$2:$D$167="whr")*economics!$AI$2:$AI$167*_xlfn.NORM.DIST(CD$3,economics!$AK$2:$AK$167,economics!$AJ$2:$AJ$167,TRUE)),0)</f>
        <v/>
      </c>
      <c r="CE28" s="68">
        <f t="array" ref="CE28">IF($D28,SUMPRODUCT((economics!$AG$2:$AG$167=$B28)*(economics!$D$2:$D$167="whr")*economics!$AI$2:$AI$167*_xlfn.NORM.DIST(CE$3,economics!$AK$2:$AK$167,economics!$AJ$2:$AJ$167,TRUE)),0)</f>
        <v/>
      </c>
      <c r="CF28" s="68">
        <f t="array" ref="CF28">IF($D28,SUMPRODUCT((economics!$AG$2:$AG$167=$B28)*(economics!$D$2:$D$167="whr")*economics!$AI$2:$AI$167*_xlfn.NORM.DIST(CF$3,economics!$AK$2:$AK$167,economics!$AJ$2:$AJ$167,TRUE)),0)</f>
        <v/>
      </c>
      <c r="CG28" s="68">
        <f t="array" ref="CG28">IF($D28,SUMPRODUCT((economics!$AG$2:$AG$167=$B28)*(economics!$D$2:$D$167="whr")*economics!$AI$2:$AI$167*_xlfn.NORM.DIST(CG$3,economics!$AK$2:$AK$167,economics!$AJ$2:$AJ$167,TRUE)),0)</f>
        <v/>
      </c>
      <c r="CH28" s="68">
        <f t="array" ref="CH28">IF($D28,SUMPRODUCT((economics!$AG$2:$AG$167=$B28)*(economics!$D$2:$D$167="whr")*economics!$AI$2:$AI$167*_xlfn.NORM.DIST(CH$3,economics!$AK$2:$AK$167,economics!$AJ$2:$AJ$167,TRUE)),0)</f>
        <v/>
      </c>
    </row>
    <row r="30">
      <c r="A30" t="inlineStr">
        <is>
          <t>bin lower edges (helper)</t>
        </is>
      </c>
      <c r="E30" t="n">
        <v>-9999</v>
      </c>
      <c r="F30" t="n">
        <v>0</v>
      </c>
      <c r="G30" t="n">
        <v>0.25</v>
      </c>
      <c r="H30" t="n">
        <v>0.5</v>
      </c>
      <c r="I30" t="n">
        <v>0.75</v>
      </c>
      <c r="J30" t="n">
        <v>1</v>
      </c>
      <c r="K30" t="n">
        <v>1.25</v>
      </c>
      <c r="L30" t="n">
        <v>1.5</v>
      </c>
      <c r="M30" t="n">
        <v>1.75</v>
      </c>
      <c r="N30" t="n">
        <v>2</v>
      </c>
      <c r="O30" t="n">
        <v>2.25</v>
      </c>
      <c r="P30" t="n">
        <v>2.5</v>
      </c>
      <c r="Q30" t="n">
        <v>2.75</v>
      </c>
      <c r="R30" t="n">
        <v>3</v>
      </c>
      <c r="S30" t="n">
        <v>3.25</v>
      </c>
      <c r="T30" t="n">
        <v>3.5</v>
      </c>
      <c r="U30" t="n">
        <v>3.75</v>
      </c>
      <c r="V30" t="n">
        <v>4</v>
      </c>
      <c r="W30" t="n">
        <v>4.25</v>
      </c>
      <c r="X30" t="n">
        <v>4.5</v>
      </c>
      <c r="Y30" t="n">
        <v>4.75</v>
      </c>
      <c r="Z30" t="n">
        <v>5</v>
      </c>
      <c r="AA30" t="n">
        <v>5.25</v>
      </c>
      <c r="AB30" t="n">
        <v>5.5</v>
      </c>
      <c r="AC30" t="n">
        <v>5.75</v>
      </c>
      <c r="AD30" t="n">
        <v>6</v>
      </c>
      <c r="AE30" t="n">
        <v>6.25</v>
      </c>
      <c r="AF30" t="n">
        <v>6.5</v>
      </c>
      <c r="AG30" t="n">
        <v>6.75</v>
      </c>
      <c r="AH30" t="n">
        <v>7</v>
      </c>
      <c r="AI30" t="n">
        <v>7.25</v>
      </c>
      <c r="AJ30" t="n">
        <v>7.5</v>
      </c>
      <c r="AK30" t="n">
        <v>7.75</v>
      </c>
      <c r="AL30" t="n">
        <v>8</v>
      </c>
      <c r="AM30" t="n">
        <v>8.25</v>
      </c>
      <c r="AN30" t="n">
        <v>8.5</v>
      </c>
      <c r="AO30" t="n">
        <v>8.75</v>
      </c>
      <c r="AP30" t="n">
        <v>9</v>
      </c>
      <c r="AQ30" t="n">
        <v>9.25</v>
      </c>
      <c r="AR30" t="n">
        <v>9.5</v>
      </c>
      <c r="AS30" t="n">
        <v>9.75</v>
      </c>
      <c r="AT30" t="n">
        <v>10</v>
      </c>
      <c r="AU30" t="n">
        <v>10.25</v>
      </c>
      <c r="AV30" t="n">
        <v>10.5</v>
      </c>
      <c r="AW30" t="n">
        <v>10.75</v>
      </c>
      <c r="AX30" t="n">
        <v>11</v>
      </c>
      <c r="AY30" t="n">
        <v>11.25</v>
      </c>
      <c r="AZ30" t="n">
        <v>11.5</v>
      </c>
      <c r="BA30" t="n">
        <v>11.75</v>
      </c>
      <c r="BB30" t="n">
        <v>12</v>
      </c>
      <c r="BC30" t="n">
        <v>12.25</v>
      </c>
      <c r="BD30" t="n">
        <v>12.5</v>
      </c>
      <c r="BE30" t="n">
        <v>12.75</v>
      </c>
      <c r="BF30" t="n">
        <v>13</v>
      </c>
      <c r="BG30" t="n">
        <v>13.25</v>
      </c>
      <c r="BH30" t="n">
        <v>13.5</v>
      </c>
      <c r="BI30" t="n">
        <v>13.75</v>
      </c>
      <c r="BJ30" t="n">
        <v>14</v>
      </c>
      <c r="BK30" t="n">
        <v>14.25</v>
      </c>
      <c r="BL30" t="n">
        <v>14.5</v>
      </c>
      <c r="BM30" t="n">
        <v>14.75</v>
      </c>
      <c r="BN30" t="n">
        <v>15</v>
      </c>
      <c r="BO30" t="n">
        <v>15.25</v>
      </c>
      <c r="BP30" t="n">
        <v>15.5</v>
      </c>
      <c r="BQ30" t="n">
        <v>15.75</v>
      </c>
      <c r="BR30" t="n">
        <v>16</v>
      </c>
      <c r="BS30" t="n">
        <v>16.25</v>
      </c>
      <c r="BT30" t="n">
        <v>16.5</v>
      </c>
      <c r="BU30" t="n">
        <v>16.75</v>
      </c>
      <c r="BV30" t="n">
        <v>17</v>
      </c>
      <c r="BW30" t="n">
        <v>17.25</v>
      </c>
      <c r="BX30" t="n">
        <v>17.5</v>
      </c>
      <c r="BY30" t="n">
        <v>17.75</v>
      </c>
      <c r="BZ30" t="n">
        <v>18</v>
      </c>
      <c r="CA30" t="n">
        <v>18.25</v>
      </c>
      <c r="CB30" t="n">
        <v>18.5</v>
      </c>
      <c r="CC30" t="n">
        <v>18.75</v>
      </c>
      <c r="CD30" t="n">
        <v>19</v>
      </c>
      <c r="CE30" t="n">
        <v>19.25</v>
      </c>
      <c r="CF30" t="n">
        <v>19.5</v>
      </c>
      <c r="CG30" t="n">
        <v>19.75</v>
      </c>
      <c r="CH30" t="n">
        <v>20</v>
      </c>
    </row>
    <row r="31">
      <c r="A31" s="1" t="inlineStr">
        <is>
          <t>Per-bin capital intensity (2012$ per MMBtu/yr of savings capacity) — savings-weighted</t>
        </is>
      </c>
    </row>
    <row r="33">
      <c r="A33">
        <f>A4</f>
        <v/>
      </c>
      <c r="B33">
        <f>B4</f>
        <v/>
      </c>
      <c r="E33">
        <f t="array" ref="E33">IFERROR((SUMPRODUCT((economics!$AG$2:$AG$167=$B33)*(economics!$D$2:$D$167="whr")*economics!$AI$2:$AI$167*(_xlfn.NORM.DIST(E$3,economics!$AK$2:$AK$167,economics!$AJ$2:$AJ$167,TRUE)-_xlfn.NORM.DIST(E$30,economics!$AK$2:$AK$167,economics!$AJ$2:$AJ$167,TRUE))*economics!$AM$2:$AM$167))/(SUMPRODUCT((economics!$AG$2:$AG$167=$B33)*(economics!$D$2:$D$167="whr")*economics!$AI$2:$AI$167*(_xlfn.NORM.DIST(E$3,economics!$AK$2:$AK$167,economics!$AJ$2:$AJ$167,TRUE)-_xlfn.NORM.DIST(E$30,economics!$AK$2:$AK$167,economics!$AJ$2:$AJ$167,TRUE)))),"")</f>
        <v/>
      </c>
      <c r="F33">
        <f t="array" ref="F33">IFERROR((SUMPRODUCT((economics!$AG$2:$AG$167=$B33)*(economics!$D$2:$D$167="whr")*economics!$AI$2:$AI$167*(_xlfn.NORM.DIST(F$3,economics!$AK$2:$AK$167,economics!$AJ$2:$AJ$167,TRUE)-_xlfn.NORM.DIST(F$30,economics!$AK$2:$AK$167,economics!$AJ$2:$AJ$167,TRUE))*economics!$AM$2:$AM$167))/(SUMPRODUCT((economics!$AG$2:$AG$167=$B33)*(economics!$D$2:$D$167="whr")*economics!$AI$2:$AI$167*(_xlfn.NORM.DIST(F$3,economics!$AK$2:$AK$167,economics!$AJ$2:$AJ$167,TRUE)-_xlfn.NORM.DIST(F$30,economics!$AK$2:$AK$167,economics!$AJ$2:$AJ$167,TRUE)))),"")</f>
        <v/>
      </c>
      <c r="G33">
        <f t="array" ref="G33">IFERROR((SUMPRODUCT((economics!$AG$2:$AG$167=$B33)*(economics!$D$2:$D$167="whr")*economics!$AI$2:$AI$167*(_xlfn.NORM.DIST(G$3,economics!$AK$2:$AK$167,economics!$AJ$2:$AJ$167,TRUE)-_xlfn.NORM.DIST(G$30,economics!$AK$2:$AK$167,economics!$AJ$2:$AJ$167,TRUE))*economics!$AM$2:$AM$167))/(SUMPRODUCT((economics!$AG$2:$AG$167=$B33)*(economics!$D$2:$D$167="whr")*economics!$AI$2:$AI$167*(_xlfn.NORM.DIST(G$3,economics!$AK$2:$AK$167,economics!$AJ$2:$AJ$167,TRUE)-_xlfn.NORM.DIST(G$30,economics!$AK$2:$AK$167,economics!$AJ$2:$AJ$167,TRUE)))),"")</f>
        <v/>
      </c>
      <c r="H33">
        <f t="array" ref="H33">IFERROR((SUMPRODUCT((economics!$AG$2:$AG$167=$B33)*(economics!$D$2:$D$167="whr")*economics!$AI$2:$AI$167*(_xlfn.NORM.DIST(H$3,economics!$AK$2:$AK$167,economics!$AJ$2:$AJ$167,TRUE)-_xlfn.NORM.DIST(H$30,economics!$AK$2:$AK$167,economics!$AJ$2:$AJ$167,TRUE))*economics!$AM$2:$AM$167))/(SUMPRODUCT((economics!$AG$2:$AG$167=$B33)*(economics!$D$2:$D$167="whr")*economics!$AI$2:$AI$167*(_xlfn.NORM.DIST(H$3,economics!$AK$2:$AK$167,economics!$AJ$2:$AJ$167,TRUE)-_xlfn.NORM.DIST(H$30,economics!$AK$2:$AK$167,economics!$AJ$2:$AJ$167,TRUE)))),"")</f>
        <v/>
      </c>
      <c r="I33">
        <f t="array" ref="I33">IFERROR((SUMPRODUCT((economics!$AG$2:$AG$167=$B33)*(economics!$D$2:$D$167="whr")*economics!$AI$2:$AI$167*(_xlfn.NORM.DIST(I$3,economics!$AK$2:$AK$167,economics!$AJ$2:$AJ$167,TRUE)-_xlfn.NORM.DIST(I$30,economics!$AK$2:$AK$167,economics!$AJ$2:$AJ$167,TRUE))*economics!$AM$2:$AM$167))/(SUMPRODUCT((economics!$AG$2:$AG$167=$B33)*(economics!$D$2:$D$167="whr")*economics!$AI$2:$AI$167*(_xlfn.NORM.DIST(I$3,economics!$AK$2:$AK$167,economics!$AJ$2:$AJ$167,TRUE)-_xlfn.NORM.DIST(I$30,economics!$AK$2:$AK$167,economics!$AJ$2:$AJ$167,TRUE)))),"")</f>
        <v/>
      </c>
      <c r="J33">
        <f t="array" ref="J33">IFERROR((SUMPRODUCT((economics!$AG$2:$AG$167=$B33)*(economics!$D$2:$D$167="whr")*economics!$AI$2:$AI$167*(_xlfn.NORM.DIST(J$3,economics!$AK$2:$AK$167,economics!$AJ$2:$AJ$167,TRUE)-_xlfn.NORM.DIST(J$30,economics!$AK$2:$AK$167,economics!$AJ$2:$AJ$167,TRUE))*economics!$AM$2:$AM$167))/(SUMPRODUCT((economics!$AG$2:$AG$167=$B33)*(economics!$D$2:$D$167="whr")*economics!$AI$2:$AI$167*(_xlfn.NORM.DIST(J$3,economics!$AK$2:$AK$167,economics!$AJ$2:$AJ$167,TRUE)-_xlfn.NORM.DIST(J$30,economics!$AK$2:$AK$167,economics!$AJ$2:$AJ$167,TRUE)))),"")</f>
        <v/>
      </c>
      <c r="K33">
        <f t="array" ref="K33">IFERROR((SUMPRODUCT((economics!$AG$2:$AG$167=$B33)*(economics!$D$2:$D$167="whr")*economics!$AI$2:$AI$167*(_xlfn.NORM.DIST(K$3,economics!$AK$2:$AK$167,economics!$AJ$2:$AJ$167,TRUE)-_xlfn.NORM.DIST(K$30,economics!$AK$2:$AK$167,economics!$AJ$2:$AJ$167,TRUE))*economics!$AM$2:$AM$167))/(SUMPRODUCT((economics!$AG$2:$AG$167=$B33)*(economics!$D$2:$D$167="whr")*economics!$AI$2:$AI$167*(_xlfn.NORM.DIST(K$3,economics!$AK$2:$AK$167,economics!$AJ$2:$AJ$167,TRUE)-_xlfn.NORM.DIST(K$30,economics!$AK$2:$AK$167,economics!$AJ$2:$AJ$167,TRUE)))),"")</f>
        <v/>
      </c>
      <c r="L33">
        <f t="array" ref="L33">IFERROR((SUMPRODUCT((economics!$AG$2:$AG$167=$B33)*(economics!$D$2:$D$167="whr")*economics!$AI$2:$AI$167*(_xlfn.NORM.DIST(L$3,economics!$AK$2:$AK$167,economics!$AJ$2:$AJ$167,TRUE)-_xlfn.NORM.DIST(L$30,economics!$AK$2:$AK$167,economics!$AJ$2:$AJ$167,TRUE))*economics!$AM$2:$AM$167))/(SUMPRODUCT((economics!$AG$2:$AG$167=$B33)*(economics!$D$2:$D$167="whr")*economics!$AI$2:$AI$167*(_xlfn.NORM.DIST(L$3,economics!$AK$2:$AK$167,economics!$AJ$2:$AJ$167,TRUE)-_xlfn.NORM.DIST(L$30,economics!$AK$2:$AK$167,economics!$AJ$2:$AJ$167,TRUE)))),"")</f>
        <v/>
      </c>
      <c r="M33">
        <f t="array" ref="M33">IFERROR((SUMPRODUCT((economics!$AG$2:$AG$167=$B33)*(economics!$D$2:$D$167="whr")*economics!$AI$2:$AI$167*(_xlfn.NORM.DIST(M$3,economics!$AK$2:$AK$167,economics!$AJ$2:$AJ$167,TRUE)-_xlfn.NORM.DIST(M$30,economics!$AK$2:$AK$167,economics!$AJ$2:$AJ$167,TRUE))*economics!$AM$2:$AM$167))/(SUMPRODUCT((economics!$AG$2:$AG$167=$B33)*(economics!$D$2:$D$167="whr")*economics!$AI$2:$AI$167*(_xlfn.NORM.DIST(M$3,economics!$AK$2:$AK$167,economics!$AJ$2:$AJ$167,TRUE)-_xlfn.NORM.DIST(M$30,economics!$AK$2:$AK$167,economics!$AJ$2:$AJ$167,TRUE)))),"")</f>
        <v/>
      </c>
      <c r="N33">
        <f t="array" ref="N33">IFERROR((SUMPRODUCT((economics!$AG$2:$AG$167=$B33)*(economics!$D$2:$D$167="whr")*economics!$AI$2:$AI$167*(_xlfn.NORM.DIST(N$3,economics!$AK$2:$AK$167,economics!$AJ$2:$AJ$167,TRUE)-_xlfn.NORM.DIST(N$30,economics!$AK$2:$AK$167,economics!$AJ$2:$AJ$167,TRUE))*economics!$AM$2:$AM$167))/(SUMPRODUCT((economics!$AG$2:$AG$167=$B33)*(economics!$D$2:$D$167="whr")*economics!$AI$2:$AI$167*(_xlfn.NORM.DIST(N$3,economics!$AK$2:$AK$167,economics!$AJ$2:$AJ$167,TRUE)-_xlfn.NORM.DIST(N$30,economics!$AK$2:$AK$167,economics!$AJ$2:$AJ$167,TRUE)))),"")</f>
        <v/>
      </c>
      <c r="O33">
        <f t="array" ref="O33">IFERROR((SUMPRODUCT((economics!$AG$2:$AG$167=$B33)*(economics!$D$2:$D$167="whr")*economics!$AI$2:$AI$167*(_xlfn.NORM.DIST(O$3,economics!$AK$2:$AK$167,economics!$AJ$2:$AJ$167,TRUE)-_xlfn.NORM.DIST(O$30,economics!$AK$2:$AK$167,economics!$AJ$2:$AJ$167,TRUE))*economics!$AM$2:$AM$167))/(SUMPRODUCT((economics!$AG$2:$AG$167=$B33)*(economics!$D$2:$D$167="whr")*economics!$AI$2:$AI$167*(_xlfn.NORM.DIST(O$3,economics!$AK$2:$AK$167,economics!$AJ$2:$AJ$167,TRUE)-_xlfn.NORM.DIST(O$30,economics!$AK$2:$AK$167,economics!$AJ$2:$AJ$167,TRUE)))),"")</f>
        <v/>
      </c>
      <c r="P33">
        <f t="array" ref="P33">IFERROR((SUMPRODUCT((economics!$AG$2:$AG$167=$B33)*(economics!$D$2:$D$167="whr")*economics!$AI$2:$AI$167*(_xlfn.NORM.DIST(P$3,economics!$AK$2:$AK$167,economics!$AJ$2:$AJ$167,TRUE)-_xlfn.NORM.DIST(P$30,economics!$AK$2:$AK$167,economics!$AJ$2:$AJ$167,TRUE))*economics!$AM$2:$AM$167))/(SUMPRODUCT((economics!$AG$2:$AG$167=$B33)*(economics!$D$2:$D$167="whr")*economics!$AI$2:$AI$167*(_xlfn.NORM.DIST(P$3,economics!$AK$2:$AK$167,economics!$AJ$2:$AJ$167,TRUE)-_xlfn.NORM.DIST(P$30,economics!$AK$2:$AK$167,economics!$AJ$2:$AJ$167,TRUE)))),"")</f>
        <v/>
      </c>
      <c r="Q33">
        <f t="array" ref="Q33">IFERROR((SUMPRODUCT((economics!$AG$2:$AG$167=$B33)*(economics!$D$2:$D$167="whr")*economics!$AI$2:$AI$167*(_xlfn.NORM.DIST(Q$3,economics!$AK$2:$AK$167,economics!$AJ$2:$AJ$167,TRUE)-_xlfn.NORM.DIST(Q$30,economics!$AK$2:$AK$167,economics!$AJ$2:$AJ$167,TRUE))*economics!$AM$2:$AM$167))/(SUMPRODUCT((economics!$AG$2:$AG$167=$B33)*(economics!$D$2:$D$167="whr")*economics!$AI$2:$AI$167*(_xlfn.NORM.DIST(Q$3,economics!$AK$2:$AK$167,economics!$AJ$2:$AJ$167,TRUE)-_xlfn.NORM.DIST(Q$30,economics!$AK$2:$AK$167,economics!$AJ$2:$AJ$167,TRUE)))),"")</f>
        <v/>
      </c>
      <c r="R33">
        <f t="array" ref="R33">IFERROR((SUMPRODUCT((economics!$AG$2:$AG$167=$B33)*(economics!$D$2:$D$167="whr")*economics!$AI$2:$AI$167*(_xlfn.NORM.DIST(R$3,economics!$AK$2:$AK$167,economics!$AJ$2:$AJ$167,TRUE)-_xlfn.NORM.DIST(R$30,economics!$AK$2:$AK$167,economics!$AJ$2:$AJ$167,TRUE))*economics!$AM$2:$AM$167))/(SUMPRODUCT((economics!$AG$2:$AG$167=$B33)*(economics!$D$2:$D$167="whr")*economics!$AI$2:$AI$167*(_xlfn.NORM.DIST(R$3,economics!$AK$2:$AK$167,economics!$AJ$2:$AJ$167,TRUE)-_xlfn.NORM.DIST(R$30,economics!$AK$2:$AK$167,economics!$AJ$2:$AJ$167,TRUE)))),"")</f>
        <v/>
      </c>
      <c r="S33">
        <f t="array" ref="S33">IFERROR((SUMPRODUCT((economics!$AG$2:$AG$167=$B33)*(economics!$D$2:$D$167="whr")*economics!$AI$2:$AI$167*(_xlfn.NORM.DIST(S$3,economics!$AK$2:$AK$167,economics!$AJ$2:$AJ$167,TRUE)-_xlfn.NORM.DIST(S$30,economics!$AK$2:$AK$167,economics!$AJ$2:$AJ$167,TRUE))*economics!$AM$2:$AM$167))/(SUMPRODUCT((economics!$AG$2:$AG$167=$B33)*(economics!$D$2:$D$167="whr")*economics!$AI$2:$AI$167*(_xlfn.NORM.DIST(S$3,economics!$AK$2:$AK$167,economics!$AJ$2:$AJ$167,TRUE)-_xlfn.NORM.DIST(S$30,economics!$AK$2:$AK$167,economics!$AJ$2:$AJ$167,TRUE)))),"")</f>
        <v/>
      </c>
      <c r="T33">
        <f t="array" ref="T33">IFERROR((SUMPRODUCT((economics!$AG$2:$AG$167=$B33)*(economics!$D$2:$D$167="whr")*economics!$AI$2:$AI$167*(_xlfn.NORM.DIST(T$3,economics!$AK$2:$AK$167,economics!$AJ$2:$AJ$167,TRUE)-_xlfn.NORM.DIST(T$30,economics!$AK$2:$AK$167,economics!$AJ$2:$AJ$167,TRUE))*economics!$AM$2:$AM$167))/(SUMPRODUCT((economics!$AG$2:$AG$167=$B33)*(economics!$D$2:$D$167="whr")*economics!$AI$2:$AI$167*(_xlfn.NORM.DIST(T$3,economics!$AK$2:$AK$167,economics!$AJ$2:$AJ$167,TRUE)-_xlfn.NORM.DIST(T$30,economics!$AK$2:$AK$167,economics!$AJ$2:$AJ$167,TRUE)))),"")</f>
        <v/>
      </c>
      <c r="U33">
        <f t="array" ref="U33">IFERROR((SUMPRODUCT((economics!$AG$2:$AG$167=$B33)*(economics!$D$2:$D$167="whr")*economics!$AI$2:$AI$167*(_xlfn.NORM.DIST(U$3,economics!$AK$2:$AK$167,economics!$AJ$2:$AJ$167,TRUE)-_xlfn.NORM.DIST(U$30,economics!$AK$2:$AK$167,economics!$AJ$2:$AJ$167,TRUE))*economics!$AM$2:$AM$167))/(SUMPRODUCT((economics!$AG$2:$AG$167=$B33)*(economics!$D$2:$D$167="whr")*economics!$AI$2:$AI$167*(_xlfn.NORM.DIST(U$3,economics!$AK$2:$AK$167,economics!$AJ$2:$AJ$167,TRUE)-_xlfn.NORM.DIST(U$30,economics!$AK$2:$AK$167,economics!$AJ$2:$AJ$167,TRUE)))),"")</f>
        <v/>
      </c>
      <c r="V33">
        <f t="array" ref="V33">IFERROR((SUMPRODUCT((economics!$AG$2:$AG$167=$B33)*(economics!$D$2:$D$167="whr")*economics!$AI$2:$AI$167*(_xlfn.NORM.DIST(V$3,economics!$AK$2:$AK$167,economics!$AJ$2:$AJ$167,TRUE)-_xlfn.NORM.DIST(V$30,economics!$AK$2:$AK$167,economics!$AJ$2:$AJ$167,TRUE))*economics!$AM$2:$AM$167))/(SUMPRODUCT((economics!$AG$2:$AG$167=$B33)*(economics!$D$2:$D$167="whr")*economics!$AI$2:$AI$167*(_xlfn.NORM.DIST(V$3,economics!$AK$2:$AK$167,economics!$AJ$2:$AJ$167,TRUE)-_xlfn.NORM.DIST(V$30,economics!$AK$2:$AK$167,economics!$AJ$2:$AJ$167,TRUE)))),"")</f>
        <v/>
      </c>
      <c r="W33">
        <f t="array" ref="W33">IFERROR((SUMPRODUCT((economics!$AG$2:$AG$167=$B33)*(economics!$D$2:$D$167="whr")*economics!$AI$2:$AI$167*(_xlfn.NORM.DIST(W$3,economics!$AK$2:$AK$167,economics!$AJ$2:$AJ$167,TRUE)-_xlfn.NORM.DIST(W$30,economics!$AK$2:$AK$167,economics!$AJ$2:$AJ$167,TRUE))*economics!$AM$2:$AM$167))/(SUMPRODUCT((economics!$AG$2:$AG$167=$B33)*(economics!$D$2:$D$167="whr")*economics!$AI$2:$AI$167*(_xlfn.NORM.DIST(W$3,economics!$AK$2:$AK$167,economics!$AJ$2:$AJ$167,TRUE)-_xlfn.NORM.DIST(W$30,economics!$AK$2:$AK$167,economics!$AJ$2:$AJ$167,TRUE)))),"")</f>
        <v/>
      </c>
      <c r="X33">
        <f t="array" ref="X33">IFERROR((SUMPRODUCT((economics!$AG$2:$AG$167=$B33)*(economics!$D$2:$D$167="whr")*economics!$AI$2:$AI$167*(_xlfn.NORM.DIST(X$3,economics!$AK$2:$AK$167,economics!$AJ$2:$AJ$167,TRUE)-_xlfn.NORM.DIST(X$30,economics!$AK$2:$AK$167,economics!$AJ$2:$AJ$167,TRUE))*economics!$AM$2:$AM$167))/(SUMPRODUCT((economics!$AG$2:$AG$167=$B33)*(economics!$D$2:$D$167="whr")*economics!$AI$2:$AI$167*(_xlfn.NORM.DIST(X$3,economics!$AK$2:$AK$167,economics!$AJ$2:$AJ$167,TRUE)-_xlfn.NORM.DIST(X$30,economics!$AK$2:$AK$167,economics!$AJ$2:$AJ$167,TRUE)))),"")</f>
        <v/>
      </c>
      <c r="Y33">
        <f t="array" ref="Y33">IFERROR((SUMPRODUCT((economics!$AG$2:$AG$167=$B33)*(economics!$D$2:$D$167="whr")*economics!$AI$2:$AI$167*(_xlfn.NORM.DIST(Y$3,economics!$AK$2:$AK$167,economics!$AJ$2:$AJ$167,TRUE)-_xlfn.NORM.DIST(Y$30,economics!$AK$2:$AK$167,economics!$AJ$2:$AJ$167,TRUE))*economics!$AM$2:$AM$167))/(SUMPRODUCT((economics!$AG$2:$AG$167=$B33)*(economics!$D$2:$D$167="whr")*economics!$AI$2:$AI$167*(_xlfn.NORM.DIST(Y$3,economics!$AK$2:$AK$167,economics!$AJ$2:$AJ$167,TRUE)-_xlfn.NORM.DIST(Y$30,economics!$AK$2:$AK$167,economics!$AJ$2:$AJ$167,TRUE)))),"")</f>
        <v/>
      </c>
      <c r="Z33">
        <f t="array" ref="Z33">IFERROR((SUMPRODUCT((economics!$AG$2:$AG$167=$B33)*(economics!$D$2:$D$167="whr")*economics!$AI$2:$AI$167*(_xlfn.NORM.DIST(Z$3,economics!$AK$2:$AK$167,economics!$AJ$2:$AJ$167,TRUE)-_xlfn.NORM.DIST(Z$30,economics!$AK$2:$AK$167,economics!$AJ$2:$AJ$167,TRUE))*economics!$AM$2:$AM$167))/(SUMPRODUCT((economics!$AG$2:$AG$167=$B33)*(economics!$D$2:$D$167="whr")*economics!$AI$2:$AI$167*(_xlfn.NORM.DIST(Z$3,economics!$AK$2:$AK$167,economics!$AJ$2:$AJ$167,TRUE)-_xlfn.NORM.DIST(Z$30,economics!$AK$2:$AK$167,economics!$AJ$2:$AJ$167,TRUE)))),"")</f>
        <v/>
      </c>
      <c r="AA33">
        <f t="array" ref="AA33">IFERROR((SUMPRODUCT((economics!$AG$2:$AG$167=$B33)*(economics!$D$2:$D$167="whr")*economics!$AI$2:$AI$167*(_xlfn.NORM.DIST(AA$3,economics!$AK$2:$AK$167,economics!$AJ$2:$AJ$167,TRUE)-_xlfn.NORM.DIST(AA$30,economics!$AK$2:$AK$167,economics!$AJ$2:$AJ$167,TRUE))*economics!$AM$2:$AM$167))/(SUMPRODUCT((economics!$AG$2:$AG$167=$B33)*(economics!$D$2:$D$167="whr")*economics!$AI$2:$AI$167*(_xlfn.NORM.DIST(AA$3,economics!$AK$2:$AK$167,economics!$AJ$2:$AJ$167,TRUE)-_xlfn.NORM.DIST(AA$30,economics!$AK$2:$AK$167,economics!$AJ$2:$AJ$167,TRUE)))),"")</f>
        <v/>
      </c>
      <c r="AB33">
        <f t="array" ref="AB33">IFERROR((SUMPRODUCT((economics!$AG$2:$AG$167=$B33)*(economics!$D$2:$D$167="whr")*economics!$AI$2:$AI$167*(_xlfn.NORM.DIST(AB$3,economics!$AK$2:$AK$167,economics!$AJ$2:$AJ$167,TRUE)-_xlfn.NORM.DIST(AB$30,economics!$AK$2:$AK$167,economics!$AJ$2:$AJ$167,TRUE))*economics!$AM$2:$AM$167))/(SUMPRODUCT((economics!$AG$2:$AG$167=$B33)*(economics!$D$2:$D$167="whr")*economics!$AI$2:$AI$167*(_xlfn.NORM.DIST(AB$3,economics!$AK$2:$AK$167,economics!$AJ$2:$AJ$167,TRUE)-_xlfn.NORM.DIST(AB$30,economics!$AK$2:$AK$167,economics!$AJ$2:$AJ$167,TRUE)))),"")</f>
        <v/>
      </c>
      <c r="AC33">
        <f t="array" ref="AC33">IFERROR((SUMPRODUCT((economics!$AG$2:$AG$167=$B33)*(economics!$D$2:$D$167="whr")*economics!$AI$2:$AI$167*(_xlfn.NORM.DIST(AC$3,economics!$AK$2:$AK$167,economics!$AJ$2:$AJ$167,TRUE)-_xlfn.NORM.DIST(AC$30,economics!$AK$2:$AK$167,economics!$AJ$2:$AJ$167,TRUE))*economics!$AM$2:$AM$167))/(SUMPRODUCT((economics!$AG$2:$AG$167=$B33)*(economics!$D$2:$D$167="whr")*economics!$AI$2:$AI$167*(_xlfn.NORM.DIST(AC$3,economics!$AK$2:$AK$167,economics!$AJ$2:$AJ$167,TRUE)-_xlfn.NORM.DIST(AC$30,economics!$AK$2:$AK$167,economics!$AJ$2:$AJ$167,TRUE)))),"")</f>
        <v/>
      </c>
      <c r="AD33">
        <f t="array" ref="AD33">IFERROR((SUMPRODUCT((economics!$AG$2:$AG$167=$B33)*(economics!$D$2:$D$167="whr")*economics!$AI$2:$AI$167*(_xlfn.NORM.DIST(AD$3,economics!$AK$2:$AK$167,economics!$AJ$2:$AJ$167,TRUE)-_xlfn.NORM.DIST(AD$30,economics!$AK$2:$AK$167,economics!$AJ$2:$AJ$167,TRUE))*economics!$AM$2:$AM$167))/(SUMPRODUCT((economics!$AG$2:$AG$167=$B33)*(economics!$D$2:$D$167="whr")*economics!$AI$2:$AI$167*(_xlfn.NORM.DIST(AD$3,economics!$AK$2:$AK$167,economics!$AJ$2:$AJ$167,TRUE)-_xlfn.NORM.DIST(AD$30,economics!$AK$2:$AK$167,economics!$AJ$2:$AJ$167,TRUE)))),"")</f>
        <v/>
      </c>
      <c r="AE33">
        <f t="array" ref="AE33">IFERROR((SUMPRODUCT((economics!$AG$2:$AG$167=$B33)*(economics!$D$2:$D$167="whr")*economics!$AI$2:$AI$167*(_xlfn.NORM.DIST(AE$3,economics!$AK$2:$AK$167,economics!$AJ$2:$AJ$167,TRUE)-_xlfn.NORM.DIST(AE$30,economics!$AK$2:$AK$167,economics!$AJ$2:$AJ$167,TRUE))*economics!$AM$2:$AM$167))/(SUMPRODUCT((economics!$AG$2:$AG$167=$B33)*(economics!$D$2:$D$167="whr")*economics!$AI$2:$AI$167*(_xlfn.NORM.DIST(AE$3,economics!$AK$2:$AK$167,economics!$AJ$2:$AJ$167,TRUE)-_xlfn.NORM.DIST(AE$30,economics!$AK$2:$AK$167,economics!$AJ$2:$AJ$167,TRUE)))),"")</f>
        <v/>
      </c>
      <c r="AF33">
        <f t="array" ref="AF33">IFERROR((SUMPRODUCT((economics!$AG$2:$AG$167=$B33)*(economics!$D$2:$D$167="whr")*economics!$AI$2:$AI$167*(_xlfn.NORM.DIST(AF$3,economics!$AK$2:$AK$167,economics!$AJ$2:$AJ$167,TRUE)-_xlfn.NORM.DIST(AF$30,economics!$AK$2:$AK$167,economics!$AJ$2:$AJ$167,TRUE))*economics!$AM$2:$AM$167))/(SUMPRODUCT((economics!$AG$2:$AG$167=$B33)*(economics!$D$2:$D$167="whr")*economics!$AI$2:$AI$167*(_xlfn.NORM.DIST(AF$3,economics!$AK$2:$AK$167,economics!$AJ$2:$AJ$167,TRUE)-_xlfn.NORM.DIST(AF$30,economics!$AK$2:$AK$167,economics!$AJ$2:$AJ$167,TRUE)))),"")</f>
        <v/>
      </c>
      <c r="AG33">
        <f t="array" ref="AG33">IFERROR((SUMPRODUCT((economics!$AG$2:$AG$167=$B33)*(economics!$D$2:$D$167="whr")*economics!$AI$2:$AI$167*(_xlfn.NORM.DIST(AG$3,economics!$AK$2:$AK$167,economics!$AJ$2:$AJ$167,TRUE)-_xlfn.NORM.DIST(AG$30,economics!$AK$2:$AK$167,economics!$AJ$2:$AJ$167,TRUE))*economics!$AM$2:$AM$167))/(SUMPRODUCT((economics!$AG$2:$AG$167=$B33)*(economics!$D$2:$D$167="whr")*economics!$AI$2:$AI$167*(_xlfn.NORM.DIST(AG$3,economics!$AK$2:$AK$167,economics!$AJ$2:$AJ$167,TRUE)-_xlfn.NORM.DIST(AG$30,economics!$AK$2:$AK$167,economics!$AJ$2:$AJ$167,TRUE)))),"")</f>
        <v/>
      </c>
      <c r="AH33">
        <f t="array" ref="AH33">IFERROR((SUMPRODUCT((economics!$AG$2:$AG$167=$B33)*(economics!$D$2:$D$167="whr")*economics!$AI$2:$AI$167*(_xlfn.NORM.DIST(AH$3,economics!$AK$2:$AK$167,economics!$AJ$2:$AJ$167,TRUE)-_xlfn.NORM.DIST(AH$30,economics!$AK$2:$AK$167,economics!$AJ$2:$AJ$167,TRUE))*economics!$AM$2:$AM$167))/(SUMPRODUCT((economics!$AG$2:$AG$167=$B33)*(economics!$D$2:$D$167="whr")*economics!$AI$2:$AI$167*(_xlfn.NORM.DIST(AH$3,economics!$AK$2:$AK$167,economics!$AJ$2:$AJ$167,TRUE)-_xlfn.NORM.DIST(AH$30,economics!$AK$2:$AK$167,economics!$AJ$2:$AJ$167,TRUE)))),"")</f>
        <v/>
      </c>
      <c r="AI33">
        <f t="array" ref="AI33">IFERROR((SUMPRODUCT((economics!$AG$2:$AG$167=$B33)*(economics!$D$2:$D$167="whr")*economics!$AI$2:$AI$167*(_xlfn.NORM.DIST(AI$3,economics!$AK$2:$AK$167,economics!$AJ$2:$AJ$167,TRUE)-_xlfn.NORM.DIST(AI$30,economics!$AK$2:$AK$167,economics!$AJ$2:$AJ$167,TRUE))*economics!$AM$2:$AM$167))/(SUMPRODUCT((economics!$AG$2:$AG$167=$B33)*(economics!$D$2:$D$167="whr")*economics!$AI$2:$AI$167*(_xlfn.NORM.DIST(AI$3,economics!$AK$2:$AK$167,economics!$AJ$2:$AJ$167,TRUE)-_xlfn.NORM.DIST(AI$30,economics!$AK$2:$AK$167,economics!$AJ$2:$AJ$167,TRUE)))),"")</f>
        <v/>
      </c>
      <c r="AJ33">
        <f t="array" ref="AJ33">IFERROR((SUMPRODUCT((economics!$AG$2:$AG$167=$B33)*(economics!$D$2:$D$167="whr")*economics!$AI$2:$AI$167*(_xlfn.NORM.DIST(AJ$3,economics!$AK$2:$AK$167,economics!$AJ$2:$AJ$167,TRUE)-_xlfn.NORM.DIST(AJ$30,economics!$AK$2:$AK$167,economics!$AJ$2:$AJ$167,TRUE))*economics!$AM$2:$AM$167))/(SUMPRODUCT((economics!$AG$2:$AG$167=$B33)*(economics!$D$2:$D$167="whr")*economics!$AI$2:$AI$167*(_xlfn.NORM.DIST(AJ$3,economics!$AK$2:$AK$167,economics!$AJ$2:$AJ$167,TRUE)-_xlfn.NORM.DIST(AJ$30,economics!$AK$2:$AK$167,economics!$AJ$2:$AJ$167,TRUE)))),"")</f>
        <v/>
      </c>
      <c r="AK33">
        <f t="array" ref="AK33">IFERROR((SUMPRODUCT((economics!$AG$2:$AG$167=$B33)*(economics!$D$2:$D$167="whr")*economics!$AI$2:$AI$167*(_xlfn.NORM.DIST(AK$3,economics!$AK$2:$AK$167,economics!$AJ$2:$AJ$167,TRUE)-_xlfn.NORM.DIST(AK$30,economics!$AK$2:$AK$167,economics!$AJ$2:$AJ$167,TRUE))*economics!$AM$2:$AM$167))/(SUMPRODUCT((economics!$AG$2:$AG$167=$B33)*(economics!$D$2:$D$167="whr")*economics!$AI$2:$AI$167*(_xlfn.NORM.DIST(AK$3,economics!$AK$2:$AK$167,economics!$AJ$2:$AJ$167,TRUE)-_xlfn.NORM.DIST(AK$30,economics!$AK$2:$AK$167,economics!$AJ$2:$AJ$167,TRUE)))),"")</f>
        <v/>
      </c>
      <c r="AL33">
        <f t="array" ref="AL33">IFERROR((SUMPRODUCT((economics!$AG$2:$AG$167=$B33)*(economics!$D$2:$D$167="whr")*economics!$AI$2:$AI$167*(_xlfn.NORM.DIST(AL$3,economics!$AK$2:$AK$167,economics!$AJ$2:$AJ$167,TRUE)-_xlfn.NORM.DIST(AL$30,economics!$AK$2:$AK$167,economics!$AJ$2:$AJ$167,TRUE))*economics!$AM$2:$AM$167))/(SUMPRODUCT((economics!$AG$2:$AG$167=$B33)*(economics!$D$2:$D$167="whr")*economics!$AI$2:$AI$167*(_xlfn.NORM.DIST(AL$3,economics!$AK$2:$AK$167,economics!$AJ$2:$AJ$167,TRUE)-_xlfn.NORM.DIST(AL$30,economics!$AK$2:$AK$167,economics!$AJ$2:$AJ$167,TRUE)))),"")</f>
        <v/>
      </c>
      <c r="AM33">
        <f t="array" ref="AM33">IFERROR((SUMPRODUCT((economics!$AG$2:$AG$167=$B33)*(economics!$D$2:$D$167="whr")*economics!$AI$2:$AI$167*(_xlfn.NORM.DIST(AM$3,economics!$AK$2:$AK$167,economics!$AJ$2:$AJ$167,TRUE)-_xlfn.NORM.DIST(AM$30,economics!$AK$2:$AK$167,economics!$AJ$2:$AJ$167,TRUE))*economics!$AM$2:$AM$167))/(SUMPRODUCT((economics!$AG$2:$AG$167=$B33)*(economics!$D$2:$D$167="whr")*economics!$AI$2:$AI$167*(_xlfn.NORM.DIST(AM$3,economics!$AK$2:$AK$167,economics!$AJ$2:$AJ$167,TRUE)-_xlfn.NORM.DIST(AM$30,economics!$AK$2:$AK$167,economics!$AJ$2:$AJ$167,TRUE)))),"")</f>
        <v/>
      </c>
      <c r="AN33">
        <f t="array" ref="AN33">IFERROR((SUMPRODUCT((economics!$AG$2:$AG$167=$B33)*(economics!$D$2:$D$167="whr")*economics!$AI$2:$AI$167*(_xlfn.NORM.DIST(AN$3,economics!$AK$2:$AK$167,economics!$AJ$2:$AJ$167,TRUE)-_xlfn.NORM.DIST(AN$30,economics!$AK$2:$AK$167,economics!$AJ$2:$AJ$167,TRUE))*economics!$AM$2:$AM$167))/(SUMPRODUCT((economics!$AG$2:$AG$167=$B33)*(economics!$D$2:$D$167="whr")*economics!$AI$2:$AI$167*(_xlfn.NORM.DIST(AN$3,economics!$AK$2:$AK$167,economics!$AJ$2:$AJ$167,TRUE)-_xlfn.NORM.DIST(AN$30,economics!$AK$2:$AK$167,economics!$AJ$2:$AJ$167,TRUE)))),"")</f>
        <v/>
      </c>
      <c r="AO33">
        <f t="array" ref="AO33">IFERROR((SUMPRODUCT((economics!$AG$2:$AG$167=$B33)*(economics!$D$2:$D$167="whr")*economics!$AI$2:$AI$167*(_xlfn.NORM.DIST(AO$3,economics!$AK$2:$AK$167,economics!$AJ$2:$AJ$167,TRUE)-_xlfn.NORM.DIST(AO$30,economics!$AK$2:$AK$167,economics!$AJ$2:$AJ$167,TRUE))*economics!$AM$2:$AM$167))/(SUMPRODUCT((economics!$AG$2:$AG$167=$B33)*(economics!$D$2:$D$167="whr")*economics!$AI$2:$AI$167*(_xlfn.NORM.DIST(AO$3,economics!$AK$2:$AK$167,economics!$AJ$2:$AJ$167,TRUE)-_xlfn.NORM.DIST(AO$30,economics!$AK$2:$AK$167,economics!$AJ$2:$AJ$167,TRUE)))),"")</f>
        <v/>
      </c>
      <c r="AP33">
        <f t="array" ref="AP33">IFERROR((SUMPRODUCT((economics!$AG$2:$AG$167=$B33)*(economics!$D$2:$D$167="whr")*economics!$AI$2:$AI$167*(_xlfn.NORM.DIST(AP$3,economics!$AK$2:$AK$167,economics!$AJ$2:$AJ$167,TRUE)-_xlfn.NORM.DIST(AP$30,economics!$AK$2:$AK$167,economics!$AJ$2:$AJ$167,TRUE))*economics!$AM$2:$AM$167))/(SUMPRODUCT((economics!$AG$2:$AG$167=$B33)*(economics!$D$2:$D$167="whr")*economics!$AI$2:$AI$167*(_xlfn.NORM.DIST(AP$3,economics!$AK$2:$AK$167,economics!$AJ$2:$AJ$167,TRUE)-_xlfn.NORM.DIST(AP$30,economics!$AK$2:$AK$167,economics!$AJ$2:$AJ$167,TRUE)))),"")</f>
        <v/>
      </c>
      <c r="AQ33">
        <f t="array" ref="AQ33">IFERROR((SUMPRODUCT((economics!$AG$2:$AG$167=$B33)*(economics!$D$2:$D$167="whr")*economics!$AI$2:$AI$167*(_xlfn.NORM.DIST(AQ$3,economics!$AK$2:$AK$167,economics!$AJ$2:$AJ$167,TRUE)-_xlfn.NORM.DIST(AQ$30,economics!$AK$2:$AK$167,economics!$AJ$2:$AJ$167,TRUE))*economics!$AM$2:$AM$167))/(SUMPRODUCT((economics!$AG$2:$AG$167=$B33)*(economics!$D$2:$D$167="whr")*economics!$AI$2:$AI$167*(_xlfn.NORM.DIST(AQ$3,economics!$AK$2:$AK$167,economics!$AJ$2:$AJ$167,TRUE)-_xlfn.NORM.DIST(AQ$30,economics!$AK$2:$AK$167,economics!$AJ$2:$AJ$167,TRUE)))),"")</f>
        <v/>
      </c>
      <c r="AR33">
        <f t="array" ref="AR33">IFERROR((SUMPRODUCT((economics!$AG$2:$AG$167=$B33)*(economics!$D$2:$D$167="whr")*economics!$AI$2:$AI$167*(_xlfn.NORM.DIST(AR$3,economics!$AK$2:$AK$167,economics!$AJ$2:$AJ$167,TRUE)-_xlfn.NORM.DIST(AR$30,economics!$AK$2:$AK$167,economics!$AJ$2:$AJ$167,TRUE))*economics!$AM$2:$AM$167))/(SUMPRODUCT((economics!$AG$2:$AG$167=$B33)*(economics!$D$2:$D$167="whr")*economics!$AI$2:$AI$167*(_xlfn.NORM.DIST(AR$3,economics!$AK$2:$AK$167,economics!$AJ$2:$AJ$167,TRUE)-_xlfn.NORM.DIST(AR$30,economics!$AK$2:$AK$167,economics!$AJ$2:$AJ$167,TRUE)))),"")</f>
        <v/>
      </c>
      <c r="AS33">
        <f t="array" ref="AS33">IFERROR((SUMPRODUCT((economics!$AG$2:$AG$167=$B33)*(economics!$D$2:$D$167="whr")*economics!$AI$2:$AI$167*(_xlfn.NORM.DIST(AS$3,economics!$AK$2:$AK$167,economics!$AJ$2:$AJ$167,TRUE)-_xlfn.NORM.DIST(AS$30,economics!$AK$2:$AK$167,economics!$AJ$2:$AJ$167,TRUE))*economics!$AM$2:$AM$167))/(SUMPRODUCT((economics!$AG$2:$AG$167=$B33)*(economics!$D$2:$D$167="whr")*economics!$AI$2:$AI$167*(_xlfn.NORM.DIST(AS$3,economics!$AK$2:$AK$167,economics!$AJ$2:$AJ$167,TRUE)-_xlfn.NORM.DIST(AS$30,economics!$AK$2:$AK$167,economics!$AJ$2:$AJ$167,TRUE)))),"")</f>
        <v/>
      </c>
      <c r="AT33">
        <f t="array" ref="AT33">IFERROR((SUMPRODUCT((economics!$AG$2:$AG$167=$B33)*(economics!$D$2:$D$167="whr")*economics!$AI$2:$AI$167*(_xlfn.NORM.DIST(AT$3,economics!$AK$2:$AK$167,economics!$AJ$2:$AJ$167,TRUE)-_xlfn.NORM.DIST(AT$30,economics!$AK$2:$AK$167,economics!$AJ$2:$AJ$167,TRUE))*economics!$AM$2:$AM$167))/(SUMPRODUCT((economics!$AG$2:$AG$167=$B33)*(economics!$D$2:$D$167="whr")*economics!$AI$2:$AI$167*(_xlfn.NORM.DIST(AT$3,economics!$AK$2:$AK$167,economics!$AJ$2:$AJ$167,TRUE)-_xlfn.NORM.DIST(AT$30,economics!$AK$2:$AK$167,economics!$AJ$2:$AJ$167,TRUE)))),"")</f>
        <v/>
      </c>
      <c r="AU33">
        <f t="array" ref="AU33">IFERROR((SUMPRODUCT((economics!$AG$2:$AG$167=$B33)*(economics!$D$2:$D$167="whr")*economics!$AI$2:$AI$167*(_xlfn.NORM.DIST(AU$3,economics!$AK$2:$AK$167,economics!$AJ$2:$AJ$167,TRUE)-_xlfn.NORM.DIST(AU$30,economics!$AK$2:$AK$167,economics!$AJ$2:$AJ$167,TRUE))*economics!$AM$2:$AM$167))/(SUMPRODUCT((economics!$AG$2:$AG$167=$B33)*(economics!$D$2:$D$167="whr")*economics!$AI$2:$AI$167*(_xlfn.NORM.DIST(AU$3,economics!$AK$2:$AK$167,economics!$AJ$2:$AJ$167,TRUE)-_xlfn.NORM.DIST(AU$30,economics!$AK$2:$AK$167,economics!$AJ$2:$AJ$167,TRUE)))),"")</f>
        <v/>
      </c>
      <c r="AV33">
        <f t="array" ref="AV33">IFERROR((SUMPRODUCT((economics!$AG$2:$AG$167=$B33)*(economics!$D$2:$D$167="whr")*economics!$AI$2:$AI$167*(_xlfn.NORM.DIST(AV$3,economics!$AK$2:$AK$167,economics!$AJ$2:$AJ$167,TRUE)-_xlfn.NORM.DIST(AV$30,economics!$AK$2:$AK$167,economics!$AJ$2:$AJ$167,TRUE))*economics!$AM$2:$AM$167))/(SUMPRODUCT((economics!$AG$2:$AG$167=$B33)*(economics!$D$2:$D$167="whr")*economics!$AI$2:$AI$167*(_xlfn.NORM.DIST(AV$3,economics!$AK$2:$AK$167,economics!$AJ$2:$AJ$167,TRUE)-_xlfn.NORM.DIST(AV$30,economics!$AK$2:$AK$167,economics!$AJ$2:$AJ$167,TRUE)))),"")</f>
        <v/>
      </c>
      <c r="AW33">
        <f t="array" ref="AW33">IFERROR((SUMPRODUCT((economics!$AG$2:$AG$167=$B33)*(economics!$D$2:$D$167="whr")*economics!$AI$2:$AI$167*(_xlfn.NORM.DIST(AW$3,economics!$AK$2:$AK$167,economics!$AJ$2:$AJ$167,TRUE)-_xlfn.NORM.DIST(AW$30,economics!$AK$2:$AK$167,economics!$AJ$2:$AJ$167,TRUE))*economics!$AM$2:$AM$167))/(SUMPRODUCT((economics!$AG$2:$AG$167=$B33)*(economics!$D$2:$D$167="whr")*economics!$AI$2:$AI$167*(_xlfn.NORM.DIST(AW$3,economics!$AK$2:$AK$167,economics!$AJ$2:$AJ$167,TRUE)-_xlfn.NORM.DIST(AW$30,economics!$AK$2:$AK$167,economics!$AJ$2:$AJ$167,TRUE)))),"")</f>
        <v/>
      </c>
      <c r="AX33">
        <f t="array" ref="AX33">IFERROR((SUMPRODUCT((economics!$AG$2:$AG$167=$B33)*(economics!$D$2:$D$167="whr")*economics!$AI$2:$AI$167*(_xlfn.NORM.DIST(AX$3,economics!$AK$2:$AK$167,economics!$AJ$2:$AJ$167,TRUE)-_xlfn.NORM.DIST(AX$30,economics!$AK$2:$AK$167,economics!$AJ$2:$AJ$167,TRUE))*economics!$AM$2:$AM$167))/(SUMPRODUCT((economics!$AG$2:$AG$167=$B33)*(economics!$D$2:$D$167="whr")*economics!$AI$2:$AI$167*(_xlfn.NORM.DIST(AX$3,economics!$AK$2:$AK$167,economics!$AJ$2:$AJ$167,TRUE)-_xlfn.NORM.DIST(AX$30,economics!$AK$2:$AK$167,economics!$AJ$2:$AJ$167,TRUE)))),"")</f>
        <v/>
      </c>
      <c r="AY33">
        <f t="array" ref="AY33">IFERROR((SUMPRODUCT((economics!$AG$2:$AG$167=$B33)*(economics!$D$2:$D$167="whr")*economics!$AI$2:$AI$167*(_xlfn.NORM.DIST(AY$3,economics!$AK$2:$AK$167,economics!$AJ$2:$AJ$167,TRUE)-_xlfn.NORM.DIST(AY$30,economics!$AK$2:$AK$167,economics!$AJ$2:$AJ$167,TRUE))*economics!$AM$2:$AM$167))/(SUMPRODUCT((economics!$AG$2:$AG$167=$B33)*(economics!$D$2:$D$167="whr")*economics!$AI$2:$AI$167*(_xlfn.NORM.DIST(AY$3,economics!$AK$2:$AK$167,economics!$AJ$2:$AJ$167,TRUE)-_xlfn.NORM.DIST(AY$30,economics!$AK$2:$AK$167,economics!$AJ$2:$AJ$167,TRUE)))),"")</f>
        <v/>
      </c>
      <c r="AZ33">
        <f t="array" ref="AZ33">IFERROR((SUMPRODUCT((economics!$AG$2:$AG$167=$B33)*(economics!$D$2:$D$167="whr")*economics!$AI$2:$AI$167*(_xlfn.NORM.DIST(AZ$3,economics!$AK$2:$AK$167,economics!$AJ$2:$AJ$167,TRUE)-_xlfn.NORM.DIST(AZ$30,economics!$AK$2:$AK$167,economics!$AJ$2:$AJ$167,TRUE))*economics!$AM$2:$AM$167))/(SUMPRODUCT((economics!$AG$2:$AG$167=$B33)*(economics!$D$2:$D$167="whr")*economics!$AI$2:$AI$167*(_xlfn.NORM.DIST(AZ$3,economics!$AK$2:$AK$167,economics!$AJ$2:$AJ$167,TRUE)-_xlfn.NORM.DIST(AZ$30,economics!$AK$2:$AK$167,economics!$AJ$2:$AJ$167,TRUE)))),"")</f>
        <v/>
      </c>
      <c r="BA33">
        <f t="array" ref="BA33">IFERROR((SUMPRODUCT((economics!$AG$2:$AG$167=$B33)*(economics!$D$2:$D$167="whr")*economics!$AI$2:$AI$167*(_xlfn.NORM.DIST(BA$3,economics!$AK$2:$AK$167,economics!$AJ$2:$AJ$167,TRUE)-_xlfn.NORM.DIST(BA$30,economics!$AK$2:$AK$167,economics!$AJ$2:$AJ$167,TRUE))*economics!$AM$2:$AM$167))/(SUMPRODUCT((economics!$AG$2:$AG$167=$B33)*(economics!$D$2:$D$167="whr")*economics!$AI$2:$AI$167*(_xlfn.NORM.DIST(BA$3,economics!$AK$2:$AK$167,economics!$AJ$2:$AJ$167,TRUE)-_xlfn.NORM.DIST(BA$30,economics!$AK$2:$AK$167,economics!$AJ$2:$AJ$167,TRUE)))),"")</f>
        <v/>
      </c>
      <c r="BB33">
        <f t="array" ref="BB33">IFERROR((SUMPRODUCT((economics!$AG$2:$AG$167=$B33)*(economics!$D$2:$D$167="whr")*economics!$AI$2:$AI$167*(_xlfn.NORM.DIST(BB$3,economics!$AK$2:$AK$167,economics!$AJ$2:$AJ$167,TRUE)-_xlfn.NORM.DIST(BB$30,economics!$AK$2:$AK$167,economics!$AJ$2:$AJ$167,TRUE))*economics!$AM$2:$AM$167))/(SUMPRODUCT((economics!$AG$2:$AG$167=$B33)*(economics!$D$2:$D$167="whr")*economics!$AI$2:$AI$167*(_xlfn.NORM.DIST(BB$3,economics!$AK$2:$AK$167,economics!$AJ$2:$AJ$167,TRUE)-_xlfn.NORM.DIST(BB$30,economics!$AK$2:$AK$167,economics!$AJ$2:$AJ$167,TRUE)))),"")</f>
        <v/>
      </c>
      <c r="BC33">
        <f t="array" ref="BC33">IFERROR((SUMPRODUCT((economics!$AG$2:$AG$167=$B33)*(economics!$D$2:$D$167="whr")*economics!$AI$2:$AI$167*(_xlfn.NORM.DIST(BC$3,economics!$AK$2:$AK$167,economics!$AJ$2:$AJ$167,TRUE)-_xlfn.NORM.DIST(BC$30,economics!$AK$2:$AK$167,economics!$AJ$2:$AJ$167,TRUE))*economics!$AM$2:$AM$167))/(SUMPRODUCT((economics!$AG$2:$AG$167=$B33)*(economics!$D$2:$D$167="whr")*economics!$AI$2:$AI$167*(_xlfn.NORM.DIST(BC$3,economics!$AK$2:$AK$167,economics!$AJ$2:$AJ$167,TRUE)-_xlfn.NORM.DIST(BC$30,economics!$AK$2:$AK$167,economics!$AJ$2:$AJ$167,TRUE)))),"")</f>
        <v/>
      </c>
      <c r="BD33">
        <f t="array" ref="BD33">IFERROR((SUMPRODUCT((economics!$AG$2:$AG$167=$B33)*(economics!$D$2:$D$167="whr")*economics!$AI$2:$AI$167*(_xlfn.NORM.DIST(BD$3,economics!$AK$2:$AK$167,economics!$AJ$2:$AJ$167,TRUE)-_xlfn.NORM.DIST(BD$30,economics!$AK$2:$AK$167,economics!$AJ$2:$AJ$167,TRUE))*economics!$AM$2:$AM$167))/(SUMPRODUCT((economics!$AG$2:$AG$167=$B33)*(economics!$D$2:$D$167="whr")*economics!$AI$2:$AI$167*(_xlfn.NORM.DIST(BD$3,economics!$AK$2:$AK$167,economics!$AJ$2:$AJ$167,TRUE)-_xlfn.NORM.DIST(BD$30,economics!$AK$2:$AK$167,economics!$AJ$2:$AJ$167,TRUE)))),"")</f>
        <v/>
      </c>
      <c r="BE33">
        <f t="array" ref="BE33">IFERROR((SUMPRODUCT((economics!$AG$2:$AG$167=$B33)*(economics!$D$2:$D$167="whr")*economics!$AI$2:$AI$167*(_xlfn.NORM.DIST(BE$3,economics!$AK$2:$AK$167,economics!$AJ$2:$AJ$167,TRUE)-_xlfn.NORM.DIST(BE$30,economics!$AK$2:$AK$167,economics!$AJ$2:$AJ$167,TRUE))*economics!$AM$2:$AM$167))/(SUMPRODUCT((economics!$AG$2:$AG$167=$B33)*(economics!$D$2:$D$167="whr")*economics!$AI$2:$AI$167*(_xlfn.NORM.DIST(BE$3,economics!$AK$2:$AK$167,economics!$AJ$2:$AJ$167,TRUE)-_xlfn.NORM.DIST(BE$30,economics!$AK$2:$AK$167,economics!$AJ$2:$AJ$167,TRUE)))),"")</f>
        <v/>
      </c>
      <c r="BF33">
        <f t="array" ref="BF33">IFERROR((SUMPRODUCT((economics!$AG$2:$AG$167=$B33)*(economics!$D$2:$D$167="whr")*economics!$AI$2:$AI$167*(_xlfn.NORM.DIST(BF$3,economics!$AK$2:$AK$167,economics!$AJ$2:$AJ$167,TRUE)-_xlfn.NORM.DIST(BF$30,economics!$AK$2:$AK$167,economics!$AJ$2:$AJ$167,TRUE))*economics!$AM$2:$AM$167))/(SUMPRODUCT((economics!$AG$2:$AG$167=$B33)*(economics!$D$2:$D$167="whr")*economics!$AI$2:$AI$167*(_xlfn.NORM.DIST(BF$3,economics!$AK$2:$AK$167,economics!$AJ$2:$AJ$167,TRUE)-_xlfn.NORM.DIST(BF$30,economics!$AK$2:$AK$167,economics!$AJ$2:$AJ$167,TRUE)))),"")</f>
        <v/>
      </c>
      <c r="BG33">
        <f t="array" ref="BG33">IFERROR((SUMPRODUCT((economics!$AG$2:$AG$167=$B33)*(economics!$D$2:$D$167="whr")*economics!$AI$2:$AI$167*(_xlfn.NORM.DIST(BG$3,economics!$AK$2:$AK$167,economics!$AJ$2:$AJ$167,TRUE)-_xlfn.NORM.DIST(BG$30,economics!$AK$2:$AK$167,economics!$AJ$2:$AJ$167,TRUE))*economics!$AM$2:$AM$167))/(SUMPRODUCT((economics!$AG$2:$AG$167=$B33)*(economics!$D$2:$D$167="whr")*economics!$AI$2:$AI$167*(_xlfn.NORM.DIST(BG$3,economics!$AK$2:$AK$167,economics!$AJ$2:$AJ$167,TRUE)-_xlfn.NORM.DIST(BG$30,economics!$AK$2:$AK$167,economics!$AJ$2:$AJ$167,TRUE)))),"")</f>
        <v/>
      </c>
      <c r="BH33">
        <f t="array" ref="BH33">IFERROR((SUMPRODUCT((economics!$AG$2:$AG$167=$B33)*(economics!$D$2:$D$167="whr")*economics!$AI$2:$AI$167*(_xlfn.NORM.DIST(BH$3,economics!$AK$2:$AK$167,economics!$AJ$2:$AJ$167,TRUE)-_xlfn.NORM.DIST(BH$30,economics!$AK$2:$AK$167,economics!$AJ$2:$AJ$167,TRUE))*economics!$AM$2:$AM$167))/(SUMPRODUCT((economics!$AG$2:$AG$167=$B33)*(economics!$D$2:$D$167="whr")*economics!$AI$2:$AI$167*(_xlfn.NORM.DIST(BH$3,economics!$AK$2:$AK$167,economics!$AJ$2:$AJ$167,TRUE)-_xlfn.NORM.DIST(BH$30,economics!$AK$2:$AK$167,economics!$AJ$2:$AJ$167,TRUE)))),"")</f>
        <v/>
      </c>
      <c r="BI33">
        <f t="array" ref="BI33">IFERROR((SUMPRODUCT((economics!$AG$2:$AG$167=$B33)*(economics!$D$2:$D$167="whr")*economics!$AI$2:$AI$167*(_xlfn.NORM.DIST(BI$3,economics!$AK$2:$AK$167,economics!$AJ$2:$AJ$167,TRUE)-_xlfn.NORM.DIST(BI$30,economics!$AK$2:$AK$167,economics!$AJ$2:$AJ$167,TRUE))*economics!$AM$2:$AM$167))/(SUMPRODUCT((economics!$AG$2:$AG$167=$B33)*(economics!$D$2:$D$167="whr")*economics!$AI$2:$AI$167*(_xlfn.NORM.DIST(BI$3,economics!$AK$2:$AK$167,economics!$AJ$2:$AJ$167,TRUE)-_xlfn.NORM.DIST(BI$30,economics!$AK$2:$AK$167,economics!$AJ$2:$AJ$167,TRUE)))),"")</f>
        <v/>
      </c>
      <c r="BJ33">
        <f t="array" ref="BJ33">IFERROR((SUMPRODUCT((economics!$AG$2:$AG$167=$B33)*(economics!$D$2:$D$167="whr")*economics!$AI$2:$AI$167*(_xlfn.NORM.DIST(BJ$3,economics!$AK$2:$AK$167,economics!$AJ$2:$AJ$167,TRUE)-_xlfn.NORM.DIST(BJ$30,economics!$AK$2:$AK$167,economics!$AJ$2:$AJ$167,TRUE))*economics!$AM$2:$AM$167))/(SUMPRODUCT((economics!$AG$2:$AG$167=$B33)*(economics!$D$2:$D$167="whr")*economics!$AI$2:$AI$167*(_xlfn.NORM.DIST(BJ$3,economics!$AK$2:$AK$167,economics!$AJ$2:$AJ$167,TRUE)-_xlfn.NORM.DIST(BJ$30,economics!$AK$2:$AK$167,economics!$AJ$2:$AJ$167,TRUE)))),"")</f>
        <v/>
      </c>
      <c r="BK33">
        <f t="array" ref="BK33">IFERROR((SUMPRODUCT((economics!$AG$2:$AG$167=$B33)*(economics!$D$2:$D$167="whr")*economics!$AI$2:$AI$167*(_xlfn.NORM.DIST(BK$3,economics!$AK$2:$AK$167,economics!$AJ$2:$AJ$167,TRUE)-_xlfn.NORM.DIST(BK$30,economics!$AK$2:$AK$167,economics!$AJ$2:$AJ$167,TRUE))*economics!$AM$2:$AM$167))/(SUMPRODUCT((economics!$AG$2:$AG$167=$B33)*(economics!$D$2:$D$167="whr")*economics!$AI$2:$AI$167*(_xlfn.NORM.DIST(BK$3,economics!$AK$2:$AK$167,economics!$AJ$2:$AJ$167,TRUE)-_xlfn.NORM.DIST(BK$30,economics!$AK$2:$AK$167,economics!$AJ$2:$AJ$167,TRUE)))),"")</f>
        <v/>
      </c>
      <c r="BL33">
        <f t="array" ref="BL33">IFERROR((SUMPRODUCT((economics!$AG$2:$AG$167=$B33)*(economics!$D$2:$D$167="whr")*economics!$AI$2:$AI$167*(_xlfn.NORM.DIST(BL$3,economics!$AK$2:$AK$167,economics!$AJ$2:$AJ$167,TRUE)-_xlfn.NORM.DIST(BL$30,economics!$AK$2:$AK$167,economics!$AJ$2:$AJ$167,TRUE))*economics!$AM$2:$AM$167))/(SUMPRODUCT((economics!$AG$2:$AG$167=$B33)*(economics!$D$2:$D$167="whr")*economics!$AI$2:$AI$167*(_xlfn.NORM.DIST(BL$3,economics!$AK$2:$AK$167,economics!$AJ$2:$AJ$167,TRUE)-_xlfn.NORM.DIST(BL$30,economics!$AK$2:$AK$167,economics!$AJ$2:$AJ$167,TRUE)))),"")</f>
        <v/>
      </c>
      <c r="BM33">
        <f t="array" ref="BM33">IFERROR((SUMPRODUCT((economics!$AG$2:$AG$167=$B33)*(economics!$D$2:$D$167="whr")*economics!$AI$2:$AI$167*(_xlfn.NORM.DIST(BM$3,economics!$AK$2:$AK$167,economics!$AJ$2:$AJ$167,TRUE)-_xlfn.NORM.DIST(BM$30,economics!$AK$2:$AK$167,economics!$AJ$2:$AJ$167,TRUE))*economics!$AM$2:$AM$167))/(SUMPRODUCT((economics!$AG$2:$AG$167=$B33)*(economics!$D$2:$D$167="whr")*economics!$AI$2:$AI$167*(_xlfn.NORM.DIST(BM$3,economics!$AK$2:$AK$167,economics!$AJ$2:$AJ$167,TRUE)-_xlfn.NORM.DIST(BM$30,economics!$AK$2:$AK$167,economics!$AJ$2:$AJ$167,TRUE)))),"")</f>
        <v/>
      </c>
      <c r="BN33">
        <f t="array" ref="BN33">IFERROR((SUMPRODUCT((economics!$AG$2:$AG$167=$B33)*(economics!$D$2:$D$167="whr")*economics!$AI$2:$AI$167*(_xlfn.NORM.DIST(BN$3,economics!$AK$2:$AK$167,economics!$AJ$2:$AJ$167,TRUE)-_xlfn.NORM.DIST(BN$30,economics!$AK$2:$AK$167,economics!$AJ$2:$AJ$167,TRUE))*economics!$AM$2:$AM$167))/(SUMPRODUCT((economics!$AG$2:$AG$167=$B33)*(economics!$D$2:$D$167="whr")*economics!$AI$2:$AI$167*(_xlfn.NORM.DIST(BN$3,economics!$AK$2:$AK$167,economics!$AJ$2:$AJ$167,TRUE)-_xlfn.NORM.DIST(BN$30,economics!$AK$2:$AK$167,economics!$AJ$2:$AJ$167,TRUE)))),"")</f>
        <v/>
      </c>
      <c r="BO33">
        <f t="array" ref="BO33">IFERROR((SUMPRODUCT((economics!$AG$2:$AG$167=$B33)*(economics!$D$2:$D$167="whr")*economics!$AI$2:$AI$167*(_xlfn.NORM.DIST(BO$3,economics!$AK$2:$AK$167,economics!$AJ$2:$AJ$167,TRUE)-_xlfn.NORM.DIST(BO$30,economics!$AK$2:$AK$167,economics!$AJ$2:$AJ$167,TRUE))*economics!$AM$2:$AM$167))/(SUMPRODUCT((economics!$AG$2:$AG$167=$B33)*(economics!$D$2:$D$167="whr")*economics!$AI$2:$AI$167*(_xlfn.NORM.DIST(BO$3,economics!$AK$2:$AK$167,economics!$AJ$2:$AJ$167,TRUE)-_xlfn.NORM.DIST(BO$30,economics!$AK$2:$AK$167,economics!$AJ$2:$AJ$167,TRUE)))),"")</f>
        <v/>
      </c>
      <c r="BP33">
        <f t="array" ref="BP33">IFERROR((SUMPRODUCT((economics!$AG$2:$AG$167=$B33)*(economics!$D$2:$D$167="whr")*economics!$AI$2:$AI$167*(_xlfn.NORM.DIST(BP$3,economics!$AK$2:$AK$167,economics!$AJ$2:$AJ$167,TRUE)-_xlfn.NORM.DIST(BP$30,economics!$AK$2:$AK$167,economics!$AJ$2:$AJ$167,TRUE))*economics!$AM$2:$AM$167))/(SUMPRODUCT((economics!$AG$2:$AG$167=$B33)*(economics!$D$2:$D$167="whr")*economics!$AI$2:$AI$167*(_xlfn.NORM.DIST(BP$3,economics!$AK$2:$AK$167,economics!$AJ$2:$AJ$167,TRUE)-_xlfn.NORM.DIST(BP$30,economics!$AK$2:$AK$167,economics!$AJ$2:$AJ$167,TRUE)))),"")</f>
        <v/>
      </c>
      <c r="BQ33">
        <f t="array" ref="BQ33">IFERROR((SUMPRODUCT((economics!$AG$2:$AG$167=$B33)*(economics!$D$2:$D$167="whr")*economics!$AI$2:$AI$167*(_xlfn.NORM.DIST(BQ$3,economics!$AK$2:$AK$167,economics!$AJ$2:$AJ$167,TRUE)-_xlfn.NORM.DIST(BQ$30,economics!$AK$2:$AK$167,economics!$AJ$2:$AJ$167,TRUE))*economics!$AM$2:$AM$167))/(SUMPRODUCT((economics!$AG$2:$AG$167=$B33)*(economics!$D$2:$D$167="whr")*economics!$AI$2:$AI$167*(_xlfn.NORM.DIST(BQ$3,economics!$AK$2:$AK$167,economics!$AJ$2:$AJ$167,TRUE)-_xlfn.NORM.DIST(BQ$30,economics!$AK$2:$AK$167,economics!$AJ$2:$AJ$167,TRUE)))),"")</f>
        <v/>
      </c>
      <c r="BR33">
        <f t="array" ref="BR33">IFERROR((SUMPRODUCT((economics!$AG$2:$AG$167=$B33)*(economics!$D$2:$D$167="whr")*economics!$AI$2:$AI$167*(_xlfn.NORM.DIST(BR$3,economics!$AK$2:$AK$167,economics!$AJ$2:$AJ$167,TRUE)-_xlfn.NORM.DIST(BR$30,economics!$AK$2:$AK$167,economics!$AJ$2:$AJ$167,TRUE))*economics!$AM$2:$AM$167))/(SUMPRODUCT((economics!$AG$2:$AG$167=$B33)*(economics!$D$2:$D$167="whr")*economics!$AI$2:$AI$167*(_xlfn.NORM.DIST(BR$3,economics!$AK$2:$AK$167,economics!$AJ$2:$AJ$167,TRUE)-_xlfn.NORM.DIST(BR$30,economics!$AK$2:$AK$167,economics!$AJ$2:$AJ$167,TRUE)))),"")</f>
        <v/>
      </c>
      <c r="BS33">
        <f t="array" ref="BS33">IFERROR((SUMPRODUCT((economics!$AG$2:$AG$167=$B33)*(economics!$D$2:$D$167="whr")*economics!$AI$2:$AI$167*(_xlfn.NORM.DIST(BS$3,economics!$AK$2:$AK$167,economics!$AJ$2:$AJ$167,TRUE)-_xlfn.NORM.DIST(BS$30,economics!$AK$2:$AK$167,economics!$AJ$2:$AJ$167,TRUE))*economics!$AM$2:$AM$167))/(SUMPRODUCT((economics!$AG$2:$AG$167=$B33)*(economics!$D$2:$D$167="whr")*economics!$AI$2:$AI$167*(_xlfn.NORM.DIST(BS$3,economics!$AK$2:$AK$167,economics!$AJ$2:$AJ$167,TRUE)-_xlfn.NORM.DIST(BS$30,economics!$AK$2:$AK$167,economics!$AJ$2:$AJ$167,TRUE)))),"")</f>
        <v/>
      </c>
      <c r="BT33">
        <f t="array" ref="BT33">IFERROR((SUMPRODUCT((economics!$AG$2:$AG$167=$B33)*(economics!$D$2:$D$167="whr")*economics!$AI$2:$AI$167*(_xlfn.NORM.DIST(BT$3,economics!$AK$2:$AK$167,economics!$AJ$2:$AJ$167,TRUE)-_xlfn.NORM.DIST(BT$30,economics!$AK$2:$AK$167,economics!$AJ$2:$AJ$167,TRUE))*economics!$AM$2:$AM$167))/(SUMPRODUCT((economics!$AG$2:$AG$167=$B33)*(economics!$D$2:$D$167="whr")*economics!$AI$2:$AI$167*(_xlfn.NORM.DIST(BT$3,economics!$AK$2:$AK$167,economics!$AJ$2:$AJ$167,TRUE)-_xlfn.NORM.DIST(BT$30,economics!$AK$2:$AK$167,economics!$AJ$2:$AJ$167,TRUE)))),"")</f>
        <v/>
      </c>
      <c r="BU33">
        <f t="array" ref="BU33">IFERROR((SUMPRODUCT((economics!$AG$2:$AG$167=$B33)*(economics!$D$2:$D$167="whr")*economics!$AI$2:$AI$167*(_xlfn.NORM.DIST(BU$3,economics!$AK$2:$AK$167,economics!$AJ$2:$AJ$167,TRUE)-_xlfn.NORM.DIST(BU$30,economics!$AK$2:$AK$167,economics!$AJ$2:$AJ$167,TRUE))*economics!$AM$2:$AM$167))/(SUMPRODUCT((economics!$AG$2:$AG$167=$B33)*(economics!$D$2:$D$167="whr")*economics!$AI$2:$AI$167*(_xlfn.NORM.DIST(BU$3,economics!$AK$2:$AK$167,economics!$AJ$2:$AJ$167,TRUE)-_xlfn.NORM.DIST(BU$30,economics!$AK$2:$AK$167,economics!$AJ$2:$AJ$167,TRUE)))),"")</f>
        <v/>
      </c>
      <c r="BV33">
        <f t="array" ref="BV33">IFERROR((SUMPRODUCT((economics!$AG$2:$AG$167=$B33)*(economics!$D$2:$D$167="whr")*economics!$AI$2:$AI$167*(_xlfn.NORM.DIST(BV$3,economics!$AK$2:$AK$167,economics!$AJ$2:$AJ$167,TRUE)-_xlfn.NORM.DIST(BV$30,economics!$AK$2:$AK$167,economics!$AJ$2:$AJ$167,TRUE))*economics!$AM$2:$AM$167))/(SUMPRODUCT((economics!$AG$2:$AG$167=$B33)*(economics!$D$2:$D$167="whr")*economics!$AI$2:$AI$167*(_xlfn.NORM.DIST(BV$3,economics!$AK$2:$AK$167,economics!$AJ$2:$AJ$167,TRUE)-_xlfn.NORM.DIST(BV$30,economics!$AK$2:$AK$167,economics!$AJ$2:$AJ$167,TRUE)))),"")</f>
        <v/>
      </c>
      <c r="BW33">
        <f t="array" ref="BW33">IFERROR((SUMPRODUCT((economics!$AG$2:$AG$167=$B33)*(economics!$D$2:$D$167="whr")*economics!$AI$2:$AI$167*(_xlfn.NORM.DIST(BW$3,economics!$AK$2:$AK$167,economics!$AJ$2:$AJ$167,TRUE)-_xlfn.NORM.DIST(BW$30,economics!$AK$2:$AK$167,economics!$AJ$2:$AJ$167,TRUE))*economics!$AM$2:$AM$167))/(SUMPRODUCT((economics!$AG$2:$AG$167=$B33)*(economics!$D$2:$D$167="whr")*economics!$AI$2:$AI$167*(_xlfn.NORM.DIST(BW$3,economics!$AK$2:$AK$167,economics!$AJ$2:$AJ$167,TRUE)-_xlfn.NORM.DIST(BW$30,economics!$AK$2:$AK$167,economics!$AJ$2:$AJ$167,TRUE)))),"")</f>
        <v/>
      </c>
      <c r="BX33">
        <f t="array" ref="BX33">IFERROR((SUMPRODUCT((economics!$AG$2:$AG$167=$B33)*(economics!$D$2:$D$167="whr")*economics!$AI$2:$AI$167*(_xlfn.NORM.DIST(BX$3,economics!$AK$2:$AK$167,economics!$AJ$2:$AJ$167,TRUE)-_xlfn.NORM.DIST(BX$30,economics!$AK$2:$AK$167,economics!$AJ$2:$AJ$167,TRUE))*economics!$AM$2:$AM$167))/(SUMPRODUCT((economics!$AG$2:$AG$167=$B33)*(economics!$D$2:$D$167="whr")*economics!$AI$2:$AI$167*(_xlfn.NORM.DIST(BX$3,economics!$AK$2:$AK$167,economics!$AJ$2:$AJ$167,TRUE)-_xlfn.NORM.DIST(BX$30,economics!$AK$2:$AK$167,economics!$AJ$2:$AJ$167,TRUE)))),"")</f>
        <v/>
      </c>
      <c r="BY33">
        <f t="array" ref="BY33">IFERROR((SUMPRODUCT((economics!$AG$2:$AG$167=$B33)*(economics!$D$2:$D$167="whr")*economics!$AI$2:$AI$167*(_xlfn.NORM.DIST(BY$3,economics!$AK$2:$AK$167,economics!$AJ$2:$AJ$167,TRUE)-_xlfn.NORM.DIST(BY$30,economics!$AK$2:$AK$167,economics!$AJ$2:$AJ$167,TRUE))*economics!$AM$2:$AM$167))/(SUMPRODUCT((economics!$AG$2:$AG$167=$B33)*(economics!$D$2:$D$167="whr")*economics!$AI$2:$AI$167*(_xlfn.NORM.DIST(BY$3,economics!$AK$2:$AK$167,economics!$AJ$2:$AJ$167,TRUE)-_xlfn.NORM.DIST(BY$30,economics!$AK$2:$AK$167,economics!$AJ$2:$AJ$167,TRUE)))),"")</f>
        <v/>
      </c>
      <c r="BZ33">
        <f t="array" ref="BZ33">IFERROR((SUMPRODUCT((economics!$AG$2:$AG$167=$B33)*(economics!$D$2:$D$167="whr")*economics!$AI$2:$AI$167*(_xlfn.NORM.DIST(BZ$3,economics!$AK$2:$AK$167,economics!$AJ$2:$AJ$167,TRUE)-_xlfn.NORM.DIST(BZ$30,economics!$AK$2:$AK$167,economics!$AJ$2:$AJ$167,TRUE))*economics!$AM$2:$AM$167))/(SUMPRODUCT((economics!$AG$2:$AG$167=$B33)*(economics!$D$2:$D$167="whr")*economics!$AI$2:$AI$167*(_xlfn.NORM.DIST(BZ$3,economics!$AK$2:$AK$167,economics!$AJ$2:$AJ$167,TRUE)-_xlfn.NORM.DIST(BZ$30,economics!$AK$2:$AK$167,economics!$AJ$2:$AJ$167,TRUE)))),"")</f>
        <v/>
      </c>
      <c r="CA33">
        <f t="array" ref="CA33">IFERROR((SUMPRODUCT((economics!$AG$2:$AG$167=$B33)*(economics!$D$2:$D$167="whr")*economics!$AI$2:$AI$167*(_xlfn.NORM.DIST(CA$3,economics!$AK$2:$AK$167,economics!$AJ$2:$AJ$167,TRUE)-_xlfn.NORM.DIST(CA$30,economics!$AK$2:$AK$167,economics!$AJ$2:$AJ$167,TRUE))*economics!$AM$2:$AM$167))/(SUMPRODUCT((economics!$AG$2:$AG$167=$B33)*(economics!$D$2:$D$167="whr")*economics!$AI$2:$AI$167*(_xlfn.NORM.DIST(CA$3,economics!$AK$2:$AK$167,economics!$AJ$2:$AJ$167,TRUE)-_xlfn.NORM.DIST(CA$30,economics!$AK$2:$AK$167,economics!$AJ$2:$AJ$167,TRUE)))),"")</f>
        <v/>
      </c>
      <c r="CB33">
        <f t="array" ref="CB33">IFERROR((SUMPRODUCT((economics!$AG$2:$AG$167=$B33)*(economics!$D$2:$D$167="whr")*economics!$AI$2:$AI$167*(_xlfn.NORM.DIST(CB$3,economics!$AK$2:$AK$167,economics!$AJ$2:$AJ$167,TRUE)-_xlfn.NORM.DIST(CB$30,economics!$AK$2:$AK$167,economics!$AJ$2:$AJ$167,TRUE))*economics!$AM$2:$AM$167))/(SUMPRODUCT((economics!$AG$2:$AG$167=$B33)*(economics!$D$2:$D$167="whr")*economics!$AI$2:$AI$167*(_xlfn.NORM.DIST(CB$3,economics!$AK$2:$AK$167,economics!$AJ$2:$AJ$167,TRUE)-_xlfn.NORM.DIST(CB$30,economics!$AK$2:$AK$167,economics!$AJ$2:$AJ$167,TRUE)))),"")</f>
        <v/>
      </c>
      <c r="CC33">
        <f t="array" ref="CC33">IFERROR((SUMPRODUCT((economics!$AG$2:$AG$167=$B33)*(economics!$D$2:$D$167="whr")*economics!$AI$2:$AI$167*(_xlfn.NORM.DIST(CC$3,economics!$AK$2:$AK$167,economics!$AJ$2:$AJ$167,TRUE)-_xlfn.NORM.DIST(CC$30,economics!$AK$2:$AK$167,economics!$AJ$2:$AJ$167,TRUE))*economics!$AM$2:$AM$167))/(SUMPRODUCT((economics!$AG$2:$AG$167=$B33)*(economics!$D$2:$D$167="whr")*economics!$AI$2:$AI$167*(_xlfn.NORM.DIST(CC$3,economics!$AK$2:$AK$167,economics!$AJ$2:$AJ$167,TRUE)-_xlfn.NORM.DIST(CC$30,economics!$AK$2:$AK$167,economics!$AJ$2:$AJ$167,TRUE)))),"")</f>
        <v/>
      </c>
      <c r="CD33">
        <f t="array" ref="CD33">IFERROR((SUMPRODUCT((economics!$AG$2:$AG$167=$B33)*(economics!$D$2:$D$167="whr")*economics!$AI$2:$AI$167*(_xlfn.NORM.DIST(CD$3,economics!$AK$2:$AK$167,economics!$AJ$2:$AJ$167,TRUE)-_xlfn.NORM.DIST(CD$30,economics!$AK$2:$AK$167,economics!$AJ$2:$AJ$167,TRUE))*economics!$AM$2:$AM$167))/(SUMPRODUCT((economics!$AG$2:$AG$167=$B33)*(economics!$D$2:$D$167="whr")*economics!$AI$2:$AI$167*(_xlfn.NORM.DIST(CD$3,economics!$AK$2:$AK$167,economics!$AJ$2:$AJ$167,TRUE)-_xlfn.NORM.DIST(CD$30,economics!$AK$2:$AK$167,economics!$AJ$2:$AJ$167,TRUE)))),"")</f>
        <v/>
      </c>
      <c r="CE33">
        <f t="array" ref="CE33">IFERROR((SUMPRODUCT((economics!$AG$2:$AG$167=$B33)*(economics!$D$2:$D$167="whr")*economics!$AI$2:$AI$167*(_xlfn.NORM.DIST(CE$3,economics!$AK$2:$AK$167,economics!$AJ$2:$AJ$167,TRUE)-_xlfn.NORM.DIST(CE$30,economics!$AK$2:$AK$167,economics!$AJ$2:$AJ$167,TRUE))*economics!$AM$2:$AM$167))/(SUMPRODUCT((economics!$AG$2:$AG$167=$B33)*(economics!$D$2:$D$167="whr")*economics!$AI$2:$AI$167*(_xlfn.NORM.DIST(CE$3,economics!$AK$2:$AK$167,economics!$AJ$2:$AJ$167,TRUE)-_xlfn.NORM.DIST(CE$30,economics!$AK$2:$AK$167,economics!$AJ$2:$AJ$167,TRUE)))),"")</f>
        <v/>
      </c>
      <c r="CF33">
        <f t="array" ref="CF33">IFERROR((SUMPRODUCT((economics!$AG$2:$AG$167=$B33)*(economics!$D$2:$D$167="whr")*economics!$AI$2:$AI$167*(_xlfn.NORM.DIST(CF$3,economics!$AK$2:$AK$167,economics!$AJ$2:$AJ$167,TRUE)-_xlfn.NORM.DIST(CF$30,economics!$AK$2:$AK$167,economics!$AJ$2:$AJ$167,TRUE))*economics!$AM$2:$AM$167))/(SUMPRODUCT((economics!$AG$2:$AG$167=$B33)*(economics!$D$2:$D$167="whr")*economics!$AI$2:$AI$167*(_xlfn.NORM.DIST(CF$3,economics!$AK$2:$AK$167,economics!$AJ$2:$AJ$167,TRUE)-_xlfn.NORM.DIST(CF$30,economics!$AK$2:$AK$167,economics!$AJ$2:$AJ$167,TRUE)))),"")</f>
        <v/>
      </c>
      <c r="CG33">
        <f t="array" ref="CG33">IFERROR((SUMPRODUCT((economics!$AG$2:$AG$167=$B33)*(economics!$D$2:$D$167="whr")*economics!$AI$2:$AI$167*(_xlfn.NORM.DIST(CG$3,economics!$AK$2:$AK$167,economics!$AJ$2:$AJ$167,TRUE)-_xlfn.NORM.DIST(CG$30,economics!$AK$2:$AK$167,economics!$AJ$2:$AJ$167,TRUE))*economics!$AM$2:$AM$167))/(SUMPRODUCT((economics!$AG$2:$AG$167=$B33)*(economics!$D$2:$D$167="whr")*economics!$AI$2:$AI$167*(_xlfn.NORM.DIST(CG$3,economics!$AK$2:$AK$167,economics!$AJ$2:$AJ$167,TRUE)-_xlfn.NORM.DIST(CG$30,economics!$AK$2:$AK$167,economics!$AJ$2:$AJ$167,TRUE)))),"")</f>
        <v/>
      </c>
      <c r="CH33">
        <f t="array" ref="CH33">IFERROR((SUMPRODUCT((economics!$AG$2:$AG$167=$B33)*(economics!$D$2:$D$167="whr")*economics!$AI$2:$AI$167*(_xlfn.NORM.DIST(CH$3,economics!$AK$2:$AK$167,economics!$AJ$2:$AJ$167,TRUE)-_xlfn.NORM.DIST(CH$30,economics!$AK$2:$AK$167,economics!$AJ$2:$AJ$167,TRUE))*economics!$AM$2:$AM$167))/(SUMPRODUCT((economics!$AG$2:$AG$167=$B33)*(economics!$D$2:$D$167="whr")*economics!$AI$2:$AI$167*(_xlfn.NORM.DIST(CH$3,economics!$AK$2:$AK$167,economics!$AJ$2:$AJ$167,TRUE)-_xlfn.NORM.DIST(CH$30,economics!$AK$2:$AK$167,economics!$AJ$2:$AJ$167,TRUE)))),"")</f>
        <v/>
      </c>
    </row>
    <row r="34">
      <c r="A34">
        <f>A5</f>
        <v/>
      </c>
      <c r="B34">
        <f>B5</f>
        <v/>
      </c>
      <c r="E34">
        <f t="array" ref="E34">IFERROR((SUMPRODUCT((economics!$AG$2:$AG$167=$B34)*(economics!$D$2:$D$167="whr")*economics!$AI$2:$AI$167*(_xlfn.NORM.DIST(E$3,economics!$AK$2:$AK$167,economics!$AJ$2:$AJ$167,TRUE)-_xlfn.NORM.DIST(E$30,economics!$AK$2:$AK$167,economics!$AJ$2:$AJ$167,TRUE))*economics!$AM$2:$AM$167))/(SUMPRODUCT((economics!$AG$2:$AG$167=$B34)*(economics!$D$2:$D$167="whr")*economics!$AI$2:$AI$167*(_xlfn.NORM.DIST(E$3,economics!$AK$2:$AK$167,economics!$AJ$2:$AJ$167,TRUE)-_xlfn.NORM.DIST(E$30,economics!$AK$2:$AK$167,economics!$AJ$2:$AJ$167,TRUE)))),"")</f>
        <v/>
      </c>
      <c r="F34">
        <f t="array" ref="F34">IFERROR((SUMPRODUCT((economics!$AG$2:$AG$167=$B34)*(economics!$D$2:$D$167="whr")*economics!$AI$2:$AI$167*(_xlfn.NORM.DIST(F$3,economics!$AK$2:$AK$167,economics!$AJ$2:$AJ$167,TRUE)-_xlfn.NORM.DIST(F$30,economics!$AK$2:$AK$167,economics!$AJ$2:$AJ$167,TRUE))*economics!$AM$2:$AM$167))/(SUMPRODUCT((economics!$AG$2:$AG$167=$B34)*(economics!$D$2:$D$167="whr")*economics!$AI$2:$AI$167*(_xlfn.NORM.DIST(F$3,economics!$AK$2:$AK$167,economics!$AJ$2:$AJ$167,TRUE)-_xlfn.NORM.DIST(F$30,economics!$AK$2:$AK$167,economics!$AJ$2:$AJ$167,TRUE)))),"")</f>
        <v/>
      </c>
      <c r="G34">
        <f t="array" ref="G34">IFERROR((SUMPRODUCT((economics!$AG$2:$AG$167=$B34)*(economics!$D$2:$D$167="whr")*economics!$AI$2:$AI$167*(_xlfn.NORM.DIST(G$3,economics!$AK$2:$AK$167,economics!$AJ$2:$AJ$167,TRUE)-_xlfn.NORM.DIST(G$30,economics!$AK$2:$AK$167,economics!$AJ$2:$AJ$167,TRUE))*economics!$AM$2:$AM$167))/(SUMPRODUCT((economics!$AG$2:$AG$167=$B34)*(economics!$D$2:$D$167="whr")*economics!$AI$2:$AI$167*(_xlfn.NORM.DIST(G$3,economics!$AK$2:$AK$167,economics!$AJ$2:$AJ$167,TRUE)-_xlfn.NORM.DIST(G$30,economics!$AK$2:$AK$167,economics!$AJ$2:$AJ$167,TRUE)))),"")</f>
        <v/>
      </c>
      <c r="H34">
        <f t="array" ref="H34">IFERROR((SUMPRODUCT((economics!$AG$2:$AG$167=$B34)*(economics!$D$2:$D$167="whr")*economics!$AI$2:$AI$167*(_xlfn.NORM.DIST(H$3,economics!$AK$2:$AK$167,economics!$AJ$2:$AJ$167,TRUE)-_xlfn.NORM.DIST(H$30,economics!$AK$2:$AK$167,economics!$AJ$2:$AJ$167,TRUE))*economics!$AM$2:$AM$167))/(SUMPRODUCT((economics!$AG$2:$AG$167=$B34)*(economics!$D$2:$D$167="whr")*economics!$AI$2:$AI$167*(_xlfn.NORM.DIST(H$3,economics!$AK$2:$AK$167,economics!$AJ$2:$AJ$167,TRUE)-_xlfn.NORM.DIST(H$30,economics!$AK$2:$AK$167,economics!$AJ$2:$AJ$167,TRUE)))),"")</f>
        <v/>
      </c>
      <c r="I34">
        <f t="array" ref="I34">IFERROR((SUMPRODUCT((economics!$AG$2:$AG$167=$B34)*(economics!$D$2:$D$167="whr")*economics!$AI$2:$AI$167*(_xlfn.NORM.DIST(I$3,economics!$AK$2:$AK$167,economics!$AJ$2:$AJ$167,TRUE)-_xlfn.NORM.DIST(I$30,economics!$AK$2:$AK$167,economics!$AJ$2:$AJ$167,TRUE))*economics!$AM$2:$AM$167))/(SUMPRODUCT((economics!$AG$2:$AG$167=$B34)*(economics!$D$2:$D$167="whr")*economics!$AI$2:$AI$167*(_xlfn.NORM.DIST(I$3,economics!$AK$2:$AK$167,economics!$AJ$2:$AJ$167,TRUE)-_xlfn.NORM.DIST(I$30,economics!$AK$2:$AK$167,economics!$AJ$2:$AJ$167,TRUE)))),"")</f>
        <v/>
      </c>
      <c r="J34">
        <f t="array" ref="J34">IFERROR((SUMPRODUCT((economics!$AG$2:$AG$167=$B34)*(economics!$D$2:$D$167="whr")*economics!$AI$2:$AI$167*(_xlfn.NORM.DIST(J$3,economics!$AK$2:$AK$167,economics!$AJ$2:$AJ$167,TRUE)-_xlfn.NORM.DIST(J$30,economics!$AK$2:$AK$167,economics!$AJ$2:$AJ$167,TRUE))*economics!$AM$2:$AM$167))/(SUMPRODUCT((economics!$AG$2:$AG$167=$B34)*(economics!$D$2:$D$167="whr")*economics!$AI$2:$AI$167*(_xlfn.NORM.DIST(J$3,economics!$AK$2:$AK$167,economics!$AJ$2:$AJ$167,TRUE)-_xlfn.NORM.DIST(J$30,economics!$AK$2:$AK$167,economics!$AJ$2:$AJ$167,TRUE)))),"")</f>
        <v/>
      </c>
      <c r="K34">
        <f t="array" ref="K34">IFERROR((SUMPRODUCT((economics!$AG$2:$AG$167=$B34)*(economics!$D$2:$D$167="whr")*economics!$AI$2:$AI$167*(_xlfn.NORM.DIST(K$3,economics!$AK$2:$AK$167,economics!$AJ$2:$AJ$167,TRUE)-_xlfn.NORM.DIST(K$30,economics!$AK$2:$AK$167,economics!$AJ$2:$AJ$167,TRUE))*economics!$AM$2:$AM$167))/(SUMPRODUCT((economics!$AG$2:$AG$167=$B34)*(economics!$D$2:$D$167="whr")*economics!$AI$2:$AI$167*(_xlfn.NORM.DIST(K$3,economics!$AK$2:$AK$167,economics!$AJ$2:$AJ$167,TRUE)-_xlfn.NORM.DIST(K$30,economics!$AK$2:$AK$167,economics!$AJ$2:$AJ$167,TRUE)))),"")</f>
        <v/>
      </c>
      <c r="L34">
        <f t="array" ref="L34">IFERROR((SUMPRODUCT((economics!$AG$2:$AG$167=$B34)*(economics!$D$2:$D$167="whr")*economics!$AI$2:$AI$167*(_xlfn.NORM.DIST(L$3,economics!$AK$2:$AK$167,economics!$AJ$2:$AJ$167,TRUE)-_xlfn.NORM.DIST(L$30,economics!$AK$2:$AK$167,economics!$AJ$2:$AJ$167,TRUE))*economics!$AM$2:$AM$167))/(SUMPRODUCT((economics!$AG$2:$AG$167=$B34)*(economics!$D$2:$D$167="whr")*economics!$AI$2:$AI$167*(_xlfn.NORM.DIST(L$3,economics!$AK$2:$AK$167,economics!$AJ$2:$AJ$167,TRUE)-_xlfn.NORM.DIST(L$30,economics!$AK$2:$AK$167,economics!$AJ$2:$AJ$167,TRUE)))),"")</f>
        <v/>
      </c>
      <c r="M34">
        <f t="array" ref="M34">IFERROR((SUMPRODUCT((economics!$AG$2:$AG$167=$B34)*(economics!$D$2:$D$167="whr")*economics!$AI$2:$AI$167*(_xlfn.NORM.DIST(M$3,economics!$AK$2:$AK$167,economics!$AJ$2:$AJ$167,TRUE)-_xlfn.NORM.DIST(M$30,economics!$AK$2:$AK$167,economics!$AJ$2:$AJ$167,TRUE))*economics!$AM$2:$AM$167))/(SUMPRODUCT((economics!$AG$2:$AG$167=$B34)*(economics!$D$2:$D$167="whr")*economics!$AI$2:$AI$167*(_xlfn.NORM.DIST(M$3,economics!$AK$2:$AK$167,economics!$AJ$2:$AJ$167,TRUE)-_xlfn.NORM.DIST(M$30,economics!$AK$2:$AK$167,economics!$AJ$2:$AJ$167,TRUE)))),"")</f>
        <v/>
      </c>
      <c r="N34">
        <f t="array" ref="N34">IFERROR((SUMPRODUCT((economics!$AG$2:$AG$167=$B34)*(economics!$D$2:$D$167="whr")*economics!$AI$2:$AI$167*(_xlfn.NORM.DIST(N$3,economics!$AK$2:$AK$167,economics!$AJ$2:$AJ$167,TRUE)-_xlfn.NORM.DIST(N$30,economics!$AK$2:$AK$167,economics!$AJ$2:$AJ$167,TRUE))*economics!$AM$2:$AM$167))/(SUMPRODUCT((economics!$AG$2:$AG$167=$B34)*(economics!$D$2:$D$167="whr")*economics!$AI$2:$AI$167*(_xlfn.NORM.DIST(N$3,economics!$AK$2:$AK$167,economics!$AJ$2:$AJ$167,TRUE)-_xlfn.NORM.DIST(N$30,economics!$AK$2:$AK$167,economics!$AJ$2:$AJ$167,TRUE)))),"")</f>
        <v/>
      </c>
      <c r="O34">
        <f t="array" ref="O34">IFERROR((SUMPRODUCT((economics!$AG$2:$AG$167=$B34)*(economics!$D$2:$D$167="whr")*economics!$AI$2:$AI$167*(_xlfn.NORM.DIST(O$3,economics!$AK$2:$AK$167,economics!$AJ$2:$AJ$167,TRUE)-_xlfn.NORM.DIST(O$30,economics!$AK$2:$AK$167,economics!$AJ$2:$AJ$167,TRUE))*economics!$AM$2:$AM$167))/(SUMPRODUCT((economics!$AG$2:$AG$167=$B34)*(economics!$D$2:$D$167="whr")*economics!$AI$2:$AI$167*(_xlfn.NORM.DIST(O$3,economics!$AK$2:$AK$167,economics!$AJ$2:$AJ$167,TRUE)-_xlfn.NORM.DIST(O$30,economics!$AK$2:$AK$167,economics!$AJ$2:$AJ$167,TRUE)))),"")</f>
        <v/>
      </c>
      <c r="P34">
        <f t="array" ref="P34">IFERROR((SUMPRODUCT((economics!$AG$2:$AG$167=$B34)*(economics!$D$2:$D$167="whr")*economics!$AI$2:$AI$167*(_xlfn.NORM.DIST(P$3,economics!$AK$2:$AK$167,economics!$AJ$2:$AJ$167,TRUE)-_xlfn.NORM.DIST(P$30,economics!$AK$2:$AK$167,economics!$AJ$2:$AJ$167,TRUE))*economics!$AM$2:$AM$167))/(SUMPRODUCT((economics!$AG$2:$AG$167=$B34)*(economics!$D$2:$D$167="whr")*economics!$AI$2:$AI$167*(_xlfn.NORM.DIST(P$3,economics!$AK$2:$AK$167,economics!$AJ$2:$AJ$167,TRUE)-_xlfn.NORM.DIST(P$30,economics!$AK$2:$AK$167,economics!$AJ$2:$AJ$167,TRUE)))),"")</f>
        <v/>
      </c>
      <c r="Q34">
        <f t="array" ref="Q34">IFERROR((SUMPRODUCT((economics!$AG$2:$AG$167=$B34)*(economics!$D$2:$D$167="whr")*economics!$AI$2:$AI$167*(_xlfn.NORM.DIST(Q$3,economics!$AK$2:$AK$167,economics!$AJ$2:$AJ$167,TRUE)-_xlfn.NORM.DIST(Q$30,economics!$AK$2:$AK$167,economics!$AJ$2:$AJ$167,TRUE))*economics!$AM$2:$AM$167))/(SUMPRODUCT((economics!$AG$2:$AG$167=$B34)*(economics!$D$2:$D$167="whr")*economics!$AI$2:$AI$167*(_xlfn.NORM.DIST(Q$3,economics!$AK$2:$AK$167,economics!$AJ$2:$AJ$167,TRUE)-_xlfn.NORM.DIST(Q$30,economics!$AK$2:$AK$167,economics!$AJ$2:$AJ$167,TRUE)))),"")</f>
        <v/>
      </c>
      <c r="R34">
        <f t="array" ref="R34">IFERROR((SUMPRODUCT((economics!$AG$2:$AG$167=$B34)*(economics!$D$2:$D$167="whr")*economics!$AI$2:$AI$167*(_xlfn.NORM.DIST(R$3,economics!$AK$2:$AK$167,economics!$AJ$2:$AJ$167,TRUE)-_xlfn.NORM.DIST(R$30,economics!$AK$2:$AK$167,economics!$AJ$2:$AJ$167,TRUE))*economics!$AM$2:$AM$167))/(SUMPRODUCT((economics!$AG$2:$AG$167=$B34)*(economics!$D$2:$D$167="whr")*economics!$AI$2:$AI$167*(_xlfn.NORM.DIST(R$3,economics!$AK$2:$AK$167,economics!$AJ$2:$AJ$167,TRUE)-_xlfn.NORM.DIST(R$30,economics!$AK$2:$AK$167,economics!$AJ$2:$AJ$167,TRUE)))),"")</f>
        <v/>
      </c>
      <c r="S34">
        <f t="array" ref="S34">IFERROR((SUMPRODUCT((economics!$AG$2:$AG$167=$B34)*(economics!$D$2:$D$167="whr")*economics!$AI$2:$AI$167*(_xlfn.NORM.DIST(S$3,economics!$AK$2:$AK$167,economics!$AJ$2:$AJ$167,TRUE)-_xlfn.NORM.DIST(S$30,economics!$AK$2:$AK$167,economics!$AJ$2:$AJ$167,TRUE))*economics!$AM$2:$AM$167))/(SUMPRODUCT((economics!$AG$2:$AG$167=$B34)*(economics!$D$2:$D$167="whr")*economics!$AI$2:$AI$167*(_xlfn.NORM.DIST(S$3,economics!$AK$2:$AK$167,economics!$AJ$2:$AJ$167,TRUE)-_xlfn.NORM.DIST(S$30,economics!$AK$2:$AK$167,economics!$AJ$2:$AJ$167,TRUE)))),"")</f>
        <v/>
      </c>
      <c r="T34">
        <f t="array" ref="T34">IFERROR((SUMPRODUCT((economics!$AG$2:$AG$167=$B34)*(economics!$D$2:$D$167="whr")*economics!$AI$2:$AI$167*(_xlfn.NORM.DIST(T$3,economics!$AK$2:$AK$167,economics!$AJ$2:$AJ$167,TRUE)-_xlfn.NORM.DIST(T$30,economics!$AK$2:$AK$167,economics!$AJ$2:$AJ$167,TRUE))*economics!$AM$2:$AM$167))/(SUMPRODUCT((economics!$AG$2:$AG$167=$B34)*(economics!$D$2:$D$167="whr")*economics!$AI$2:$AI$167*(_xlfn.NORM.DIST(T$3,economics!$AK$2:$AK$167,economics!$AJ$2:$AJ$167,TRUE)-_xlfn.NORM.DIST(T$30,economics!$AK$2:$AK$167,economics!$AJ$2:$AJ$167,TRUE)))),"")</f>
        <v/>
      </c>
      <c r="U34">
        <f t="array" ref="U34">IFERROR((SUMPRODUCT((economics!$AG$2:$AG$167=$B34)*(economics!$D$2:$D$167="whr")*economics!$AI$2:$AI$167*(_xlfn.NORM.DIST(U$3,economics!$AK$2:$AK$167,economics!$AJ$2:$AJ$167,TRUE)-_xlfn.NORM.DIST(U$30,economics!$AK$2:$AK$167,economics!$AJ$2:$AJ$167,TRUE))*economics!$AM$2:$AM$167))/(SUMPRODUCT((economics!$AG$2:$AG$167=$B34)*(economics!$D$2:$D$167="whr")*economics!$AI$2:$AI$167*(_xlfn.NORM.DIST(U$3,economics!$AK$2:$AK$167,economics!$AJ$2:$AJ$167,TRUE)-_xlfn.NORM.DIST(U$30,economics!$AK$2:$AK$167,economics!$AJ$2:$AJ$167,TRUE)))),"")</f>
        <v/>
      </c>
      <c r="V34">
        <f t="array" ref="V34">IFERROR((SUMPRODUCT((economics!$AG$2:$AG$167=$B34)*(economics!$D$2:$D$167="whr")*economics!$AI$2:$AI$167*(_xlfn.NORM.DIST(V$3,economics!$AK$2:$AK$167,economics!$AJ$2:$AJ$167,TRUE)-_xlfn.NORM.DIST(V$30,economics!$AK$2:$AK$167,economics!$AJ$2:$AJ$167,TRUE))*economics!$AM$2:$AM$167))/(SUMPRODUCT((economics!$AG$2:$AG$167=$B34)*(economics!$D$2:$D$167="whr")*economics!$AI$2:$AI$167*(_xlfn.NORM.DIST(V$3,economics!$AK$2:$AK$167,economics!$AJ$2:$AJ$167,TRUE)-_xlfn.NORM.DIST(V$30,economics!$AK$2:$AK$167,economics!$AJ$2:$AJ$167,TRUE)))),"")</f>
        <v/>
      </c>
      <c r="W34">
        <f t="array" ref="W34">IFERROR((SUMPRODUCT((economics!$AG$2:$AG$167=$B34)*(economics!$D$2:$D$167="whr")*economics!$AI$2:$AI$167*(_xlfn.NORM.DIST(W$3,economics!$AK$2:$AK$167,economics!$AJ$2:$AJ$167,TRUE)-_xlfn.NORM.DIST(W$30,economics!$AK$2:$AK$167,economics!$AJ$2:$AJ$167,TRUE))*economics!$AM$2:$AM$167))/(SUMPRODUCT((economics!$AG$2:$AG$167=$B34)*(economics!$D$2:$D$167="whr")*economics!$AI$2:$AI$167*(_xlfn.NORM.DIST(W$3,economics!$AK$2:$AK$167,economics!$AJ$2:$AJ$167,TRUE)-_xlfn.NORM.DIST(W$30,economics!$AK$2:$AK$167,economics!$AJ$2:$AJ$167,TRUE)))),"")</f>
        <v/>
      </c>
      <c r="X34">
        <f t="array" ref="X34">IFERROR((SUMPRODUCT((economics!$AG$2:$AG$167=$B34)*(economics!$D$2:$D$167="whr")*economics!$AI$2:$AI$167*(_xlfn.NORM.DIST(X$3,economics!$AK$2:$AK$167,economics!$AJ$2:$AJ$167,TRUE)-_xlfn.NORM.DIST(X$30,economics!$AK$2:$AK$167,economics!$AJ$2:$AJ$167,TRUE))*economics!$AM$2:$AM$167))/(SUMPRODUCT((economics!$AG$2:$AG$167=$B34)*(economics!$D$2:$D$167="whr")*economics!$AI$2:$AI$167*(_xlfn.NORM.DIST(X$3,economics!$AK$2:$AK$167,economics!$AJ$2:$AJ$167,TRUE)-_xlfn.NORM.DIST(X$30,economics!$AK$2:$AK$167,economics!$AJ$2:$AJ$167,TRUE)))),"")</f>
        <v/>
      </c>
      <c r="Y34">
        <f t="array" ref="Y34">IFERROR((SUMPRODUCT((economics!$AG$2:$AG$167=$B34)*(economics!$D$2:$D$167="whr")*economics!$AI$2:$AI$167*(_xlfn.NORM.DIST(Y$3,economics!$AK$2:$AK$167,economics!$AJ$2:$AJ$167,TRUE)-_xlfn.NORM.DIST(Y$30,economics!$AK$2:$AK$167,economics!$AJ$2:$AJ$167,TRUE))*economics!$AM$2:$AM$167))/(SUMPRODUCT((economics!$AG$2:$AG$167=$B34)*(economics!$D$2:$D$167="whr")*economics!$AI$2:$AI$167*(_xlfn.NORM.DIST(Y$3,economics!$AK$2:$AK$167,economics!$AJ$2:$AJ$167,TRUE)-_xlfn.NORM.DIST(Y$30,economics!$AK$2:$AK$167,economics!$AJ$2:$AJ$167,TRUE)))),"")</f>
        <v/>
      </c>
      <c r="Z34">
        <f t="array" ref="Z34">IFERROR((SUMPRODUCT((economics!$AG$2:$AG$167=$B34)*(economics!$D$2:$D$167="whr")*economics!$AI$2:$AI$167*(_xlfn.NORM.DIST(Z$3,economics!$AK$2:$AK$167,economics!$AJ$2:$AJ$167,TRUE)-_xlfn.NORM.DIST(Z$30,economics!$AK$2:$AK$167,economics!$AJ$2:$AJ$167,TRUE))*economics!$AM$2:$AM$167))/(SUMPRODUCT((economics!$AG$2:$AG$167=$B34)*(economics!$D$2:$D$167="whr")*economics!$AI$2:$AI$167*(_xlfn.NORM.DIST(Z$3,economics!$AK$2:$AK$167,economics!$AJ$2:$AJ$167,TRUE)-_xlfn.NORM.DIST(Z$30,economics!$AK$2:$AK$167,economics!$AJ$2:$AJ$167,TRUE)))),"")</f>
        <v/>
      </c>
      <c r="AA34">
        <f t="array" ref="AA34">IFERROR((SUMPRODUCT((economics!$AG$2:$AG$167=$B34)*(economics!$D$2:$D$167="whr")*economics!$AI$2:$AI$167*(_xlfn.NORM.DIST(AA$3,economics!$AK$2:$AK$167,economics!$AJ$2:$AJ$167,TRUE)-_xlfn.NORM.DIST(AA$30,economics!$AK$2:$AK$167,economics!$AJ$2:$AJ$167,TRUE))*economics!$AM$2:$AM$167))/(SUMPRODUCT((economics!$AG$2:$AG$167=$B34)*(economics!$D$2:$D$167="whr")*economics!$AI$2:$AI$167*(_xlfn.NORM.DIST(AA$3,economics!$AK$2:$AK$167,economics!$AJ$2:$AJ$167,TRUE)-_xlfn.NORM.DIST(AA$30,economics!$AK$2:$AK$167,economics!$AJ$2:$AJ$167,TRUE)))),"")</f>
        <v/>
      </c>
      <c r="AB34">
        <f t="array" ref="AB34">IFERROR((SUMPRODUCT((economics!$AG$2:$AG$167=$B34)*(economics!$D$2:$D$167="whr")*economics!$AI$2:$AI$167*(_xlfn.NORM.DIST(AB$3,economics!$AK$2:$AK$167,economics!$AJ$2:$AJ$167,TRUE)-_xlfn.NORM.DIST(AB$30,economics!$AK$2:$AK$167,economics!$AJ$2:$AJ$167,TRUE))*economics!$AM$2:$AM$167))/(SUMPRODUCT((economics!$AG$2:$AG$167=$B34)*(economics!$D$2:$D$167="whr")*economics!$AI$2:$AI$167*(_xlfn.NORM.DIST(AB$3,economics!$AK$2:$AK$167,economics!$AJ$2:$AJ$167,TRUE)-_xlfn.NORM.DIST(AB$30,economics!$AK$2:$AK$167,economics!$AJ$2:$AJ$167,TRUE)))),"")</f>
        <v/>
      </c>
      <c r="AC34">
        <f t="array" ref="AC34">IFERROR((SUMPRODUCT((economics!$AG$2:$AG$167=$B34)*(economics!$D$2:$D$167="whr")*economics!$AI$2:$AI$167*(_xlfn.NORM.DIST(AC$3,economics!$AK$2:$AK$167,economics!$AJ$2:$AJ$167,TRUE)-_xlfn.NORM.DIST(AC$30,economics!$AK$2:$AK$167,economics!$AJ$2:$AJ$167,TRUE))*economics!$AM$2:$AM$167))/(SUMPRODUCT((economics!$AG$2:$AG$167=$B34)*(economics!$D$2:$D$167="whr")*economics!$AI$2:$AI$167*(_xlfn.NORM.DIST(AC$3,economics!$AK$2:$AK$167,economics!$AJ$2:$AJ$167,TRUE)-_xlfn.NORM.DIST(AC$30,economics!$AK$2:$AK$167,economics!$AJ$2:$AJ$167,TRUE)))),"")</f>
        <v/>
      </c>
      <c r="AD34">
        <f t="array" ref="AD34">IFERROR((SUMPRODUCT((economics!$AG$2:$AG$167=$B34)*(economics!$D$2:$D$167="whr")*economics!$AI$2:$AI$167*(_xlfn.NORM.DIST(AD$3,economics!$AK$2:$AK$167,economics!$AJ$2:$AJ$167,TRUE)-_xlfn.NORM.DIST(AD$30,economics!$AK$2:$AK$167,economics!$AJ$2:$AJ$167,TRUE))*economics!$AM$2:$AM$167))/(SUMPRODUCT((economics!$AG$2:$AG$167=$B34)*(economics!$D$2:$D$167="whr")*economics!$AI$2:$AI$167*(_xlfn.NORM.DIST(AD$3,economics!$AK$2:$AK$167,economics!$AJ$2:$AJ$167,TRUE)-_xlfn.NORM.DIST(AD$30,economics!$AK$2:$AK$167,economics!$AJ$2:$AJ$167,TRUE)))),"")</f>
        <v/>
      </c>
      <c r="AE34">
        <f t="array" ref="AE34">IFERROR((SUMPRODUCT((economics!$AG$2:$AG$167=$B34)*(economics!$D$2:$D$167="whr")*economics!$AI$2:$AI$167*(_xlfn.NORM.DIST(AE$3,economics!$AK$2:$AK$167,economics!$AJ$2:$AJ$167,TRUE)-_xlfn.NORM.DIST(AE$30,economics!$AK$2:$AK$167,economics!$AJ$2:$AJ$167,TRUE))*economics!$AM$2:$AM$167))/(SUMPRODUCT((economics!$AG$2:$AG$167=$B34)*(economics!$D$2:$D$167="whr")*economics!$AI$2:$AI$167*(_xlfn.NORM.DIST(AE$3,economics!$AK$2:$AK$167,economics!$AJ$2:$AJ$167,TRUE)-_xlfn.NORM.DIST(AE$30,economics!$AK$2:$AK$167,economics!$AJ$2:$AJ$167,TRUE)))),"")</f>
        <v/>
      </c>
      <c r="AF34">
        <f t="array" ref="AF34">IFERROR((SUMPRODUCT((economics!$AG$2:$AG$167=$B34)*(economics!$D$2:$D$167="whr")*economics!$AI$2:$AI$167*(_xlfn.NORM.DIST(AF$3,economics!$AK$2:$AK$167,economics!$AJ$2:$AJ$167,TRUE)-_xlfn.NORM.DIST(AF$30,economics!$AK$2:$AK$167,economics!$AJ$2:$AJ$167,TRUE))*economics!$AM$2:$AM$167))/(SUMPRODUCT((economics!$AG$2:$AG$167=$B34)*(economics!$D$2:$D$167="whr")*economics!$AI$2:$AI$167*(_xlfn.NORM.DIST(AF$3,economics!$AK$2:$AK$167,economics!$AJ$2:$AJ$167,TRUE)-_xlfn.NORM.DIST(AF$30,economics!$AK$2:$AK$167,economics!$AJ$2:$AJ$167,TRUE)))),"")</f>
        <v/>
      </c>
      <c r="AG34">
        <f t="array" ref="AG34">IFERROR((SUMPRODUCT((economics!$AG$2:$AG$167=$B34)*(economics!$D$2:$D$167="whr")*economics!$AI$2:$AI$167*(_xlfn.NORM.DIST(AG$3,economics!$AK$2:$AK$167,economics!$AJ$2:$AJ$167,TRUE)-_xlfn.NORM.DIST(AG$30,economics!$AK$2:$AK$167,economics!$AJ$2:$AJ$167,TRUE))*economics!$AM$2:$AM$167))/(SUMPRODUCT((economics!$AG$2:$AG$167=$B34)*(economics!$D$2:$D$167="whr")*economics!$AI$2:$AI$167*(_xlfn.NORM.DIST(AG$3,economics!$AK$2:$AK$167,economics!$AJ$2:$AJ$167,TRUE)-_xlfn.NORM.DIST(AG$30,economics!$AK$2:$AK$167,economics!$AJ$2:$AJ$167,TRUE)))),"")</f>
        <v/>
      </c>
      <c r="AH34">
        <f t="array" ref="AH34">IFERROR((SUMPRODUCT((economics!$AG$2:$AG$167=$B34)*(economics!$D$2:$D$167="whr")*economics!$AI$2:$AI$167*(_xlfn.NORM.DIST(AH$3,economics!$AK$2:$AK$167,economics!$AJ$2:$AJ$167,TRUE)-_xlfn.NORM.DIST(AH$30,economics!$AK$2:$AK$167,economics!$AJ$2:$AJ$167,TRUE))*economics!$AM$2:$AM$167))/(SUMPRODUCT((economics!$AG$2:$AG$167=$B34)*(economics!$D$2:$D$167="whr")*economics!$AI$2:$AI$167*(_xlfn.NORM.DIST(AH$3,economics!$AK$2:$AK$167,economics!$AJ$2:$AJ$167,TRUE)-_xlfn.NORM.DIST(AH$30,economics!$AK$2:$AK$167,economics!$AJ$2:$AJ$167,TRUE)))),"")</f>
        <v/>
      </c>
      <c r="AI34">
        <f t="array" ref="AI34">IFERROR((SUMPRODUCT((economics!$AG$2:$AG$167=$B34)*(economics!$D$2:$D$167="whr")*economics!$AI$2:$AI$167*(_xlfn.NORM.DIST(AI$3,economics!$AK$2:$AK$167,economics!$AJ$2:$AJ$167,TRUE)-_xlfn.NORM.DIST(AI$30,economics!$AK$2:$AK$167,economics!$AJ$2:$AJ$167,TRUE))*economics!$AM$2:$AM$167))/(SUMPRODUCT((economics!$AG$2:$AG$167=$B34)*(economics!$D$2:$D$167="whr")*economics!$AI$2:$AI$167*(_xlfn.NORM.DIST(AI$3,economics!$AK$2:$AK$167,economics!$AJ$2:$AJ$167,TRUE)-_xlfn.NORM.DIST(AI$30,economics!$AK$2:$AK$167,economics!$AJ$2:$AJ$167,TRUE)))),"")</f>
        <v/>
      </c>
      <c r="AJ34">
        <f t="array" ref="AJ34">IFERROR((SUMPRODUCT((economics!$AG$2:$AG$167=$B34)*(economics!$D$2:$D$167="whr")*economics!$AI$2:$AI$167*(_xlfn.NORM.DIST(AJ$3,economics!$AK$2:$AK$167,economics!$AJ$2:$AJ$167,TRUE)-_xlfn.NORM.DIST(AJ$30,economics!$AK$2:$AK$167,economics!$AJ$2:$AJ$167,TRUE))*economics!$AM$2:$AM$167))/(SUMPRODUCT((economics!$AG$2:$AG$167=$B34)*(economics!$D$2:$D$167="whr")*economics!$AI$2:$AI$167*(_xlfn.NORM.DIST(AJ$3,economics!$AK$2:$AK$167,economics!$AJ$2:$AJ$167,TRUE)-_xlfn.NORM.DIST(AJ$30,economics!$AK$2:$AK$167,economics!$AJ$2:$AJ$167,TRUE)))),"")</f>
        <v/>
      </c>
      <c r="AK34">
        <f t="array" ref="AK34">IFERROR((SUMPRODUCT((economics!$AG$2:$AG$167=$B34)*(economics!$D$2:$D$167="whr")*economics!$AI$2:$AI$167*(_xlfn.NORM.DIST(AK$3,economics!$AK$2:$AK$167,economics!$AJ$2:$AJ$167,TRUE)-_xlfn.NORM.DIST(AK$30,economics!$AK$2:$AK$167,economics!$AJ$2:$AJ$167,TRUE))*economics!$AM$2:$AM$167))/(SUMPRODUCT((economics!$AG$2:$AG$167=$B34)*(economics!$D$2:$D$167="whr")*economics!$AI$2:$AI$167*(_xlfn.NORM.DIST(AK$3,economics!$AK$2:$AK$167,economics!$AJ$2:$AJ$167,TRUE)-_xlfn.NORM.DIST(AK$30,economics!$AK$2:$AK$167,economics!$AJ$2:$AJ$167,TRUE)))),"")</f>
        <v/>
      </c>
      <c r="AL34">
        <f t="array" ref="AL34">IFERROR((SUMPRODUCT((economics!$AG$2:$AG$167=$B34)*(economics!$D$2:$D$167="whr")*economics!$AI$2:$AI$167*(_xlfn.NORM.DIST(AL$3,economics!$AK$2:$AK$167,economics!$AJ$2:$AJ$167,TRUE)-_xlfn.NORM.DIST(AL$30,economics!$AK$2:$AK$167,economics!$AJ$2:$AJ$167,TRUE))*economics!$AM$2:$AM$167))/(SUMPRODUCT((economics!$AG$2:$AG$167=$B34)*(economics!$D$2:$D$167="whr")*economics!$AI$2:$AI$167*(_xlfn.NORM.DIST(AL$3,economics!$AK$2:$AK$167,economics!$AJ$2:$AJ$167,TRUE)-_xlfn.NORM.DIST(AL$30,economics!$AK$2:$AK$167,economics!$AJ$2:$AJ$167,TRUE)))),"")</f>
        <v/>
      </c>
      <c r="AM34">
        <f t="array" ref="AM34">IFERROR((SUMPRODUCT((economics!$AG$2:$AG$167=$B34)*(economics!$D$2:$D$167="whr")*economics!$AI$2:$AI$167*(_xlfn.NORM.DIST(AM$3,economics!$AK$2:$AK$167,economics!$AJ$2:$AJ$167,TRUE)-_xlfn.NORM.DIST(AM$30,economics!$AK$2:$AK$167,economics!$AJ$2:$AJ$167,TRUE))*economics!$AM$2:$AM$167))/(SUMPRODUCT((economics!$AG$2:$AG$167=$B34)*(economics!$D$2:$D$167="whr")*economics!$AI$2:$AI$167*(_xlfn.NORM.DIST(AM$3,economics!$AK$2:$AK$167,economics!$AJ$2:$AJ$167,TRUE)-_xlfn.NORM.DIST(AM$30,economics!$AK$2:$AK$167,economics!$AJ$2:$AJ$167,TRUE)))),"")</f>
        <v/>
      </c>
      <c r="AN34">
        <f t="array" ref="AN34">IFERROR((SUMPRODUCT((economics!$AG$2:$AG$167=$B34)*(economics!$D$2:$D$167="whr")*economics!$AI$2:$AI$167*(_xlfn.NORM.DIST(AN$3,economics!$AK$2:$AK$167,economics!$AJ$2:$AJ$167,TRUE)-_xlfn.NORM.DIST(AN$30,economics!$AK$2:$AK$167,economics!$AJ$2:$AJ$167,TRUE))*economics!$AM$2:$AM$167))/(SUMPRODUCT((economics!$AG$2:$AG$167=$B34)*(economics!$D$2:$D$167="whr")*economics!$AI$2:$AI$167*(_xlfn.NORM.DIST(AN$3,economics!$AK$2:$AK$167,economics!$AJ$2:$AJ$167,TRUE)-_xlfn.NORM.DIST(AN$30,economics!$AK$2:$AK$167,economics!$AJ$2:$AJ$167,TRUE)))),"")</f>
        <v/>
      </c>
      <c r="AO34">
        <f t="array" ref="AO34">IFERROR((SUMPRODUCT((economics!$AG$2:$AG$167=$B34)*(economics!$D$2:$D$167="whr")*economics!$AI$2:$AI$167*(_xlfn.NORM.DIST(AO$3,economics!$AK$2:$AK$167,economics!$AJ$2:$AJ$167,TRUE)-_xlfn.NORM.DIST(AO$30,economics!$AK$2:$AK$167,economics!$AJ$2:$AJ$167,TRUE))*economics!$AM$2:$AM$167))/(SUMPRODUCT((economics!$AG$2:$AG$167=$B34)*(economics!$D$2:$D$167="whr")*economics!$AI$2:$AI$167*(_xlfn.NORM.DIST(AO$3,economics!$AK$2:$AK$167,economics!$AJ$2:$AJ$167,TRUE)-_xlfn.NORM.DIST(AO$30,economics!$AK$2:$AK$167,economics!$AJ$2:$AJ$167,TRUE)))),"")</f>
        <v/>
      </c>
      <c r="AP34">
        <f t="array" ref="AP34">IFERROR((SUMPRODUCT((economics!$AG$2:$AG$167=$B34)*(economics!$D$2:$D$167="whr")*economics!$AI$2:$AI$167*(_xlfn.NORM.DIST(AP$3,economics!$AK$2:$AK$167,economics!$AJ$2:$AJ$167,TRUE)-_xlfn.NORM.DIST(AP$30,economics!$AK$2:$AK$167,economics!$AJ$2:$AJ$167,TRUE))*economics!$AM$2:$AM$167))/(SUMPRODUCT((economics!$AG$2:$AG$167=$B34)*(economics!$D$2:$D$167="whr")*economics!$AI$2:$AI$167*(_xlfn.NORM.DIST(AP$3,economics!$AK$2:$AK$167,economics!$AJ$2:$AJ$167,TRUE)-_xlfn.NORM.DIST(AP$30,economics!$AK$2:$AK$167,economics!$AJ$2:$AJ$167,TRUE)))),"")</f>
        <v/>
      </c>
      <c r="AQ34">
        <f t="array" ref="AQ34">IFERROR((SUMPRODUCT((economics!$AG$2:$AG$167=$B34)*(economics!$D$2:$D$167="whr")*economics!$AI$2:$AI$167*(_xlfn.NORM.DIST(AQ$3,economics!$AK$2:$AK$167,economics!$AJ$2:$AJ$167,TRUE)-_xlfn.NORM.DIST(AQ$30,economics!$AK$2:$AK$167,economics!$AJ$2:$AJ$167,TRUE))*economics!$AM$2:$AM$167))/(SUMPRODUCT((economics!$AG$2:$AG$167=$B34)*(economics!$D$2:$D$167="whr")*economics!$AI$2:$AI$167*(_xlfn.NORM.DIST(AQ$3,economics!$AK$2:$AK$167,economics!$AJ$2:$AJ$167,TRUE)-_xlfn.NORM.DIST(AQ$30,economics!$AK$2:$AK$167,economics!$AJ$2:$AJ$167,TRUE)))),"")</f>
        <v/>
      </c>
      <c r="AR34">
        <f t="array" ref="AR34">IFERROR((SUMPRODUCT((economics!$AG$2:$AG$167=$B34)*(economics!$D$2:$D$167="whr")*economics!$AI$2:$AI$167*(_xlfn.NORM.DIST(AR$3,economics!$AK$2:$AK$167,economics!$AJ$2:$AJ$167,TRUE)-_xlfn.NORM.DIST(AR$30,economics!$AK$2:$AK$167,economics!$AJ$2:$AJ$167,TRUE))*economics!$AM$2:$AM$167))/(SUMPRODUCT((economics!$AG$2:$AG$167=$B34)*(economics!$D$2:$D$167="whr")*economics!$AI$2:$AI$167*(_xlfn.NORM.DIST(AR$3,economics!$AK$2:$AK$167,economics!$AJ$2:$AJ$167,TRUE)-_xlfn.NORM.DIST(AR$30,economics!$AK$2:$AK$167,economics!$AJ$2:$AJ$167,TRUE)))),"")</f>
        <v/>
      </c>
      <c r="AS34">
        <f t="array" ref="AS34">IFERROR((SUMPRODUCT((economics!$AG$2:$AG$167=$B34)*(economics!$D$2:$D$167="whr")*economics!$AI$2:$AI$167*(_xlfn.NORM.DIST(AS$3,economics!$AK$2:$AK$167,economics!$AJ$2:$AJ$167,TRUE)-_xlfn.NORM.DIST(AS$30,economics!$AK$2:$AK$167,economics!$AJ$2:$AJ$167,TRUE))*economics!$AM$2:$AM$167))/(SUMPRODUCT((economics!$AG$2:$AG$167=$B34)*(economics!$D$2:$D$167="whr")*economics!$AI$2:$AI$167*(_xlfn.NORM.DIST(AS$3,economics!$AK$2:$AK$167,economics!$AJ$2:$AJ$167,TRUE)-_xlfn.NORM.DIST(AS$30,economics!$AK$2:$AK$167,economics!$AJ$2:$AJ$167,TRUE)))),"")</f>
        <v/>
      </c>
      <c r="AT34">
        <f t="array" ref="AT34">IFERROR((SUMPRODUCT((economics!$AG$2:$AG$167=$B34)*(economics!$D$2:$D$167="whr")*economics!$AI$2:$AI$167*(_xlfn.NORM.DIST(AT$3,economics!$AK$2:$AK$167,economics!$AJ$2:$AJ$167,TRUE)-_xlfn.NORM.DIST(AT$30,economics!$AK$2:$AK$167,economics!$AJ$2:$AJ$167,TRUE))*economics!$AM$2:$AM$167))/(SUMPRODUCT((economics!$AG$2:$AG$167=$B34)*(economics!$D$2:$D$167="whr")*economics!$AI$2:$AI$167*(_xlfn.NORM.DIST(AT$3,economics!$AK$2:$AK$167,economics!$AJ$2:$AJ$167,TRUE)-_xlfn.NORM.DIST(AT$30,economics!$AK$2:$AK$167,economics!$AJ$2:$AJ$167,TRUE)))),"")</f>
        <v/>
      </c>
      <c r="AU34">
        <f t="array" ref="AU34">IFERROR((SUMPRODUCT((economics!$AG$2:$AG$167=$B34)*(economics!$D$2:$D$167="whr")*economics!$AI$2:$AI$167*(_xlfn.NORM.DIST(AU$3,economics!$AK$2:$AK$167,economics!$AJ$2:$AJ$167,TRUE)-_xlfn.NORM.DIST(AU$30,economics!$AK$2:$AK$167,economics!$AJ$2:$AJ$167,TRUE))*economics!$AM$2:$AM$167))/(SUMPRODUCT((economics!$AG$2:$AG$167=$B34)*(economics!$D$2:$D$167="whr")*economics!$AI$2:$AI$167*(_xlfn.NORM.DIST(AU$3,economics!$AK$2:$AK$167,economics!$AJ$2:$AJ$167,TRUE)-_xlfn.NORM.DIST(AU$30,economics!$AK$2:$AK$167,economics!$AJ$2:$AJ$167,TRUE)))),"")</f>
        <v/>
      </c>
      <c r="AV34">
        <f t="array" ref="AV34">IFERROR((SUMPRODUCT((economics!$AG$2:$AG$167=$B34)*(economics!$D$2:$D$167="whr")*economics!$AI$2:$AI$167*(_xlfn.NORM.DIST(AV$3,economics!$AK$2:$AK$167,economics!$AJ$2:$AJ$167,TRUE)-_xlfn.NORM.DIST(AV$30,economics!$AK$2:$AK$167,economics!$AJ$2:$AJ$167,TRUE))*economics!$AM$2:$AM$167))/(SUMPRODUCT((economics!$AG$2:$AG$167=$B34)*(economics!$D$2:$D$167="whr")*economics!$AI$2:$AI$167*(_xlfn.NORM.DIST(AV$3,economics!$AK$2:$AK$167,economics!$AJ$2:$AJ$167,TRUE)-_xlfn.NORM.DIST(AV$30,economics!$AK$2:$AK$167,economics!$AJ$2:$AJ$167,TRUE)))),"")</f>
        <v/>
      </c>
      <c r="AW34">
        <f t="array" ref="AW34">IFERROR((SUMPRODUCT((economics!$AG$2:$AG$167=$B34)*(economics!$D$2:$D$167="whr")*economics!$AI$2:$AI$167*(_xlfn.NORM.DIST(AW$3,economics!$AK$2:$AK$167,economics!$AJ$2:$AJ$167,TRUE)-_xlfn.NORM.DIST(AW$30,economics!$AK$2:$AK$167,economics!$AJ$2:$AJ$167,TRUE))*economics!$AM$2:$AM$167))/(SUMPRODUCT((economics!$AG$2:$AG$167=$B34)*(economics!$D$2:$D$167="whr")*economics!$AI$2:$AI$167*(_xlfn.NORM.DIST(AW$3,economics!$AK$2:$AK$167,economics!$AJ$2:$AJ$167,TRUE)-_xlfn.NORM.DIST(AW$30,economics!$AK$2:$AK$167,economics!$AJ$2:$AJ$167,TRUE)))),"")</f>
        <v/>
      </c>
      <c r="AX34">
        <f t="array" ref="AX34">IFERROR((SUMPRODUCT((economics!$AG$2:$AG$167=$B34)*(economics!$D$2:$D$167="whr")*economics!$AI$2:$AI$167*(_xlfn.NORM.DIST(AX$3,economics!$AK$2:$AK$167,economics!$AJ$2:$AJ$167,TRUE)-_xlfn.NORM.DIST(AX$30,economics!$AK$2:$AK$167,economics!$AJ$2:$AJ$167,TRUE))*economics!$AM$2:$AM$167))/(SUMPRODUCT((economics!$AG$2:$AG$167=$B34)*(economics!$D$2:$D$167="whr")*economics!$AI$2:$AI$167*(_xlfn.NORM.DIST(AX$3,economics!$AK$2:$AK$167,economics!$AJ$2:$AJ$167,TRUE)-_xlfn.NORM.DIST(AX$30,economics!$AK$2:$AK$167,economics!$AJ$2:$AJ$167,TRUE)))),"")</f>
        <v/>
      </c>
      <c r="AY34">
        <f t="array" ref="AY34">IFERROR((SUMPRODUCT((economics!$AG$2:$AG$167=$B34)*(economics!$D$2:$D$167="whr")*economics!$AI$2:$AI$167*(_xlfn.NORM.DIST(AY$3,economics!$AK$2:$AK$167,economics!$AJ$2:$AJ$167,TRUE)-_xlfn.NORM.DIST(AY$30,economics!$AK$2:$AK$167,economics!$AJ$2:$AJ$167,TRUE))*economics!$AM$2:$AM$167))/(SUMPRODUCT((economics!$AG$2:$AG$167=$B34)*(economics!$D$2:$D$167="whr")*economics!$AI$2:$AI$167*(_xlfn.NORM.DIST(AY$3,economics!$AK$2:$AK$167,economics!$AJ$2:$AJ$167,TRUE)-_xlfn.NORM.DIST(AY$30,economics!$AK$2:$AK$167,economics!$AJ$2:$AJ$167,TRUE)))),"")</f>
        <v/>
      </c>
      <c r="AZ34">
        <f t="array" ref="AZ34">IFERROR((SUMPRODUCT((economics!$AG$2:$AG$167=$B34)*(economics!$D$2:$D$167="whr")*economics!$AI$2:$AI$167*(_xlfn.NORM.DIST(AZ$3,economics!$AK$2:$AK$167,economics!$AJ$2:$AJ$167,TRUE)-_xlfn.NORM.DIST(AZ$30,economics!$AK$2:$AK$167,economics!$AJ$2:$AJ$167,TRUE))*economics!$AM$2:$AM$167))/(SUMPRODUCT((economics!$AG$2:$AG$167=$B34)*(economics!$D$2:$D$167="whr")*economics!$AI$2:$AI$167*(_xlfn.NORM.DIST(AZ$3,economics!$AK$2:$AK$167,economics!$AJ$2:$AJ$167,TRUE)-_xlfn.NORM.DIST(AZ$30,economics!$AK$2:$AK$167,economics!$AJ$2:$AJ$167,TRUE)))),"")</f>
        <v/>
      </c>
      <c r="BA34">
        <f t="array" ref="BA34">IFERROR((SUMPRODUCT((economics!$AG$2:$AG$167=$B34)*(economics!$D$2:$D$167="whr")*economics!$AI$2:$AI$167*(_xlfn.NORM.DIST(BA$3,economics!$AK$2:$AK$167,economics!$AJ$2:$AJ$167,TRUE)-_xlfn.NORM.DIST(BA$30,economics!$AK$2:$AK$167,economics!$AJ$2:$AJ$167,TRUE))*economics!$AM$2:$AM$167))/(SUMPRODUCT((economics!$AG$2:$AG$167=$B34)*(economics!$D$2:$D$167="whr")*economics!$AI$2:$AI$167*(_xlfn.NORM.DIST(BA$3,economics!$AK$2:$AK$167,economics!$AJ$2:$AJ$167,TRUE)-_xlfn.NORM.DIST(BA$30,economics!$AK$2:$AK$167,economics!$AJ$2:$AJ$167,TRUE)))),"")</f>
        <v/>
      </c>
      <c r="BB34">
        <f t="array" ref="BB34">IFERROR((SUMPRODUCT((economics!$AG$2:$AG$167=$B34)*(economics!$D$2:$D$167="whr")*economics!$AI$2:$AI$167*(_xlfn.NORM.DIST(BB$3,economics!$AK$2:$AK$167,economics!$AJ$2:$AJ$167,TRUE)-_xlfn.NORM.DIST(BB$30,economics!$AK$2:$AK$167,economics!$AJ$2:$AJ$167,TRUE))*economics!$AM$2:$AM$167))/(SUMPRODUCT((economics!$AG$2:$AG$167=$B34)*(economics!$D$2:$D$167="whr")*economics!$AI$2:$AI$167*(_xlfn.NORM.DIST(BB$3,economics!$AK$2:$AK$167,economics!$AJ$2:$AJ$167,TRUE)-_xlfn.NORM.DIST(BB$30,economics!$AK$2:$AK$167,economics!$AJ$2:$AJ$167,TRUE)))),"")</f>
        <v/>
      </c>
      <c r="BC34">
        <f t="array" ref="BC34">IFERROR((SUMPRODUCT((economics!$AG$2:$AG$167=$B34)*(economics!$D$2:$D$167="whr")*economics!$AI$2:$AI$167*(_xlfn.NORM.DIST(BC$3,economics!$AK$2:$AK$167,economics!$AJ$2:$AJ$167,TRUE)-_xlfn.NORM.DIST(BC$30,economics!$AK$2:$AK$167,economics!$AJ$2:$AJ$167,TRUE))*economics!$AM$2:$AM$167))/(SUMPRODUCT((economics!$AG$2:$AG$167=$B34)*(economics!$D$2:$D$167="whr")*economics!$AI$2:$AI$167*(_xlfn.NORM.DIST(BC$3,economics!$AK$2:$AK$167,economics!$AJ$2:$AJ$167,TRUE)-_xlfn.NORM.DIST(BC$30,economics!$AK$2:$AK$167,economics!$AJ$2:$AJ$167,TRUE)))),"")</f>
        <v/>
      </c>
      <c r="BD34">
        <f t="array" ref="BD34">IFERROR((SUMPRODUCT((economics!$AG$2:$AG$167=$B34)*(economics!$D$2:$D$167="whr")*economics!$AI$2:$AI$167*(_xlfn.NORM.DIST(BD$3,economics!$AK$2:$AK$167,economics!$AJ$2:$AJ$167,TRUE)-_xlfn.NORM.DIST(BD$30,economics!$AK$2:$AK$167,economics!$AJ$2:$AJ$167,TRUE))*economics!$AM$2:$AM$167))/(SUMPRODUCT((economics!$AG$2:$AG$167=$B34)*(economics!$D$2:$D$167="whr")*economics!$AI$2:$AI$167*(_xlfn.NORM.DIST(BD$3,economics!$AK$2:$AK$167,economics!$AJ$2:$AJ$167,TRUE)-_xlfn.NORM.DIST(BD$30,economics!$AK$2:$AK$167,economics!$AJ$2:$AJ$167,TRUE)))),"")</f>
        <v/>
      </c>
      <c r="BE34">
        <f t="array" ref="BE34">IFERROR((SUMPRODUCT((economics!$AG$2:$AG$167=$B34)*(economics!$D$2:$D$167="whr")*economics!$AI$2:$AI$167*(_xlfn.NORM.DIST(BE$3,economics!$AK$2:$AK$167,economics!$AJ$2:$AJ$167,TRUE)-_xlfn.NORM.DIST(BE$30,economics!$AK$2:$AK$167,economics!$AJ$2:$AJ$167,TRUE))*economics!$AM$2:$AM$167))/(SUMPRODUCT((economics!$AG$2:$AG$167=$B34)*(economics!$D$2:$D$167="whr")*economics!$AI$2:$AI$167*(_xlfn.NORM.DIST(BE$3,economics!$AK$2:$AK$167,economics!$AJ$2:$AJ$167,TRUE)-_xlfn.NORM.DIST(BE$30,economics!$AK$2:$AK$167,economics!$AJ$2:$AJ$167,TRUE)))),"")</f>
        <v/>
      </c>
      <c r="BF34">
        <f t="array" ref="BF34">IFERROR((SUMPRODUCT((economics!$AG$2:$AG$167=$B34)*(economics!$D$2:$D$167="whr")*economics!$AI$2:$AI$167*(_xlfn.NORM.DIST(BF$3,economics!$AK$2:$AK$167,economics!$AJ$2:$AJ$167,TRUE)-_xlfn.NORM.DIST(BF$30,economics!$AK$2:$AK$167,economics!$AJ$2:$AJ$167,TRUE))*economics!$AM$2:$AM$167))/(SUMPRODUCT((economics!$AG$2:$AG$167=$B34)*(economics!$D$2:$D$167="whr")*economics!$AI$2:$AI$167*(_xlfn.NORM.DIST(BF$3,economics!$AK$2:$AK$167,economics!$AJ$2:$AJ$167,TRUE)-_xlfn.NORM.DIST(BF$30,economics!$AK$2:$AK$167,economics!$AJ$2:$AJ$167,TRUE)))),"")</f>
        <v/>
      </c>
      <c r="BG34">
        <f t="array" ref="BG34">IFERROR((SUMPRODUCT((economics!$AG$2:$AG$167=$B34)*(economics!$D$2:$D$167="whr")*economics!$AI$2:$AI$167*(_xlfn.NORM.DIST(BG$3,economics!$AK$2:$AK$167,economics!$AJ$2:$AJ$167,TRUE)-_xlfn.NORM.DIST(BG$30,economics!$AK$2:$AK$167,economics!$AJ$2:$AJ$167,TRUE))*economics!$AM$2:$AM$167))/(SUMPRODUCT((economics!$AG$2:$AG$167=$B34)*(economics!$D$2:$D$167="whr")*economics!$AI$2:$AI$167*(_xlfn.NORM.DIST(BG$3,economics!$AK$2:$AK$167,economics!$AJ$2:$AJ$167,TRUE)-_xlfn.NORM.DIST(BG$30,economics!$AK$2:$AK$167,economics!$AJ$2:$AJ$167,TRUE)))),"")</f>
        <v/>
      </c>
      <c r="BH34">
        <f t="array" ref="BH34">IFERROR((SUMPRODUCT((economics!$AG$2:$AG$167=$B34)*(economics!$D$2:$D$167="whr")*economics!$AI$2:$AI$167*(_xlfn.NORM.DIST(BH$3,economics!$AK$2:$AK$167,economics!$AJ$2:$AJ$167,TRUE)-_xlfn.NORM.DIST(BH$30,economics!$AK$2:$AK$167,economics!$AJ$2:$AJ$167,TRUE))*economics!$AM$2:$AM$167))/(SUMPRODUCT((economics!$AG$2:$AG$167=$B34)*(economics!$D$2:$D$167="whr")*economics!$AI$2:$AI$167*(_xlfn.NORM.DIST(BH$3,economics!$AK$2:$AK$167,economics!$AJ$2:$AJ$167,TRUE)-_xlfn.NORM.DIST(BH$30,economics!$AK$2:$AK$167,economics!$AJ$2:$AJ$167,TRUE)))),"")</f>
        <v/>
      </c>
      <c r="BI34">
        <f t="array" ref="BI34">IFERROR((SUMPRODUCT((economics!$AG$2:$AG$167=$B34)*(economics!$D$2:$D$167="whr")*economics!$AI$2:$AI$167*(_xlfn.NORM.DIST(BI$3,economics!$AK$2:$AK$167,economics!$AJ$2:$AJ$167,TRUE)-_xlfn.NORM.DIST(BI$30,economics!$AK$2:$AK$167,economics!$AJ$2:$AJ$167,TRUE))*economics!$AM$2:$AM$167))/(SUMPRODUCT((economics!$AG$2:$AG$167=$B34)*(economics!$D$2:$D$167="whr")*economics!$AI$2:$AI$167*(_xlfn.NORM.DIST(BI$3,economics!$AK$2:$AK$167,economics!$AJ$2:$AJ$167,TRUE)-_xlfn.NORM.DIST(BI$30,economics!$AK$2:$AK$167,economics!$AJ$2:$AJ$167,TRUE)))),"")</f>
        <v/>
      </c>
      <c r="BJ34">
        <f t="array" ref="BJ34">IFERROR((SUMPRODUCT((economics!$AG$2:$AG$167=$B34)*(economics!$D$2:$D$167="whr")*economics!$AI$2:$AI$167*(_xlfn.NORM.DIST(BJ$3,economics!$AK$2:$AK$167,economics!$AJ$2:$AJ$167,TRUE)-_xlfn.NORM.DIST(BJ$30,economics!$AK$2:$AK$167,economics!$AJ$2:$AJ$167,TRUE))*economics!$AM$2:$AM$167))/(SUMPRODUCT((economics!$AG$2:$AG$167=$B34)*(economics!$D$2:$D$167="whr")*economics!$AI$2:$AI$167*(_xlfn.NORM.DIST(BJ$3,economics!$AK$2:$AK$167,economics!$AJ$2:$AJ$167,TRUE)-_xlfn.NORM.DIST(BJ$30,economics!$AK$2:$AK$167,economics!$AJ$2:$AJ$167,TRUE)))),"")</f>
        <v/>
      </c>
      <c r="BK34">
        <f t="array" ref="BK34">IFERROR((SUMPRODUCT((economics!$AG$2:$AG$167=$B34)*(economics!$D$2:$D$167="whr")*economics!$AI$2:$AI$167*(_xlfn.NORM.DIST(BK$3,economics!$AK$2:$AK$167,economics!$AJ$2:$AJ$167,TRUE)-_xlfn.NORM.DIST(BK$30,economics!$AK$2:$AK$167,economics!$AJ$2:$AJ$167,TRUE))*economics!$AM$2:$AM$167))/(SUMPRODUCT((economics!$AG$2:$AG$167=$B34)*(economics!$D$2:$D$167="whr")*economics!$AI$2:$AI$167*(_xlfn.NORM.DIST(BK$3,economics!$AK$2:$AK$167,economics!$AJ$2:$AJ$167,TRUE)-_xlfn.NORM.DIST(BK$30,economics!$AK$2:$AK$167,economics!$AJ$2:$AJ$167,TRUE)))),"")</f>
        <v/>
      </c>
      <c r="BL34">
        <f t="array" ref="BL34">IFERROR((SUMPRODUCT((economics!$AG$2:$AG$167=$B34)*(economics!$D$2:$D$167="whr")*economics!$AI$2:$AI$167*(_xlfn.NORM.DIST(BL$3,economics!$AK$2:$AK$167,economics!$AJ$2:$AJ$167,TRUE)-_xlfn.NORM.DIST(BL$30,economics!$AK$2:$AK$167,economics!$AJ$2:$AJ$167,TRUE))*economics!$AM$2:$AM$167))/(SUMPRODUCT((economics!$AG$2:$AG$167=$B34)*(economics!$D$2:$D$167="whr")*economics!$AI$2:$AI$167*(_xlfn.NORM.DIST(BL$3,economics!$AK$2:$AK$167,economics!$AJ$2:$AJ$167,TRUE)-_xlfn.NORM.DIST(BL$30,economics!$AK$2:$AK$167,economics!$AJ$2:$AJ$167,TRUE)))),"")</f>
        <v/>
      </c>
      <c r="BM34">
        <f t="array" ref="BM34">IFERROR((SUMPRODUCT((economics!$AG$2:$AG$167=$B34)*(economics!$D$2:$D$167="whr")*economics!$AI$2:$AI$167*(_xlfn.NORM.DIST(BM$3,economics!$AK$2:$AK$167,economics!$AJ$2:$AJ$167,TRUE)-_xlfn.NORM.DIST(BM$30,economics!$AK$2:$AK$167,economics!$AJ$2:$AJ$167,TRUE))*economics!$AM$2:$AM$167))/(SUMPRODUCT((economics!$AG$2:$AG$167=$B34)*(economics!$D$2:$D$167="whr")*economics!$AI$2:$AI$167*(_xlfn.NORM.DIST(BM$3,economics!$AK$2:$AK$167,economics!$AJ$2:$AJ$167,TRUE)-_xlfn.NORM.DIST(BM$30,economics!$AK$2:$AK$167,economics!$AJ$2:$AJ$167,TRUE)))),"")</f>
        <v/>
      </c>
      <c r="BN34">
        <f t="array" ref="BN34">IFERROR((SUMPRODUCT((economics!$AG$2:$AG$167=$B34)*(economics!$D$2:$D$167="whr")*economics!$AI$2:$AI$167*(_xlfn.NORM.DIST(BN$3,economics!$AK$2:$AK$167,economics!$AJ$2:$AJ$167,TRUE)-_xlfn.NORM.DIST(BN$30,economics!$AK$2:$AK$167,economics!$AJ$2:$AJ$167,TRUE))*economics!$AM$2:$AM$167))/(SUMPRODUCT((economics!$AG$2:$AG$167=$B34)*(economics!$D$2:$D$167="whr")*economics!$AI$2:$AI$167*(_xlfn.NORM.DIST(BN$3,economics!$AK$2:$AK$167,economics!$AJ$2:$AJ$167,TRUE)-_xlfn.NORM.DIST(BN$30,economics!$AK$2:$AK$167,economics!$AJ$2:$AJ$167,TRUE)))),"")</f>
        <v/>
      </c>
      <c r="BO34">
        <f t="array" ref="BO34">IFERROR((SUMPRODUCT((economics!$AG$2:$AG$167=$B34)*(economics!$D$2:$D$167="whr")*economics!$AI$2:$AI$167*(_xlfn.NORM.DIST(BO$3,economics!$AK$2:$AK$167,economics!$AJ$2:$AJ$167,TRUE)-_xlfn.NORM.DIST(BO$30,economics!$AK$2:$AK$167,economics!$AJ$2:$AJ$167,TRUE))*economics!$AM$2:$AM$167))/(SUMPRODUCT((economics!$AG$2:$AG$167=$B34)*(economics!$D$2:$D$167="whr")*economics!$AI$2:$AI$167*(_xlfn.NORM.DIST(BO$3,economics!$AK$2:$AK$167,economics!$AJ$2:$AJ$167,TRUE)-_xlfn.NORM.DIST(BO$30,economics!$AK$2:$AK$167,economics!$AJ$2:$AJ$167,TRUE)))),"")</f>
        <v/>
      </c>
      <c r="BP34">
        <f t="array" ref="BP34">IFERROR((SUMPRODUCT((economics!$AG$2:$AG$167=$B34)*(economics!$D$2:$D$167="whr")*economics!$AI$2:$AI$167*(_xlfn.NORM.DIST(BP$3,economics!$AK$2:$AK$167,economics!$AJ$2:$AJ$167,TRUE)-_xlfn.NORM.DIST(BP$30,economics!$AK$2:$AK$167,economics!$AJ$2:$AJ$167,TRUE))*economics!$AM$2:$AM$167))/(SUMPRODUCT((economics!$AG$2:$AG$167=$B34)*(economics!$D$2:$D$167="whr")*economics!$AI$2:$AI$167*(_xlfn.NORM.DIST(BP$3,economics!$AK$2:$AK$167,economics!$AJ$2:$AJ$167,TRUE)-_xlfn.NORM.DIST(BP$30,economics!$AK$2:$AK$167,economics!$AJ$2:$AJ$167,TRUE)))),"")</f>
        <v/>
      </c>
      <c r="BQ34">
        <f t="array" ref="BQ34">IFERROR((SUMPRODUCT((economics!$AG$2:$AG$167=$B34)*(economics!$D$2:$D$167="whr")*economics!$AI$2:$AI$167*(_xlfn.NORM.DIST(BQ$3,economics!$AK$2:$AK$167,economics!$AJ$2:$AJ$167,TRUE)-_xlfn.NORM.DIST(BQ$30,economics!$AK$2:$AK$167,economics!$AJ$2:$AJ$167,TRUE))*economics!$AM$2:$AM$167))/(SUMPRODUCT((economics!$AG$2:$AG$167=$B34)*(economics!$D$2:$D$167="whr")*economics!$AI$2:$AI$167*(_xlfn.NORM.DIST(BQ$3,economics!$AK$2:$AK$167,economics!$AJ$2:$AJ$167,TRUE)-_xlfn.NORM.DIST(BQ$30,economics!$AK$2:$AK$167,economics!$AJ$2:$AJ$167,TRUE)))),"")</f>
        <v/>
      </c>
      <c r="BR34">
        <f t="array" ref="BR34">IFERROR((SUMPRODUCT((economics!$AG$2:$AG$167=$B34)*(economics!$D$2:$D$167="whr")*economics!$AI$2:$AI$167*(_xlfn.NORM.DIST(BR$3,economics!$AK$2:$AK$167,economics!$AJ$2:$AJ$167,TRUE)-_xlfn.NORM.DIST(BR$30,economics!$AK$2:$AK$167,economics!$AJ$2:$AJ$167,TRUE))*economics!$AM$2:$AM$167))/(SUMPRODUCT((economics!$AG$2:$AG$167=$B34)*(economics!$D$2:$D$167="whr")*economics!$AI$2:$AI$167*(_xlfn.NORM.DIST(BR$3,economics!$AK$2:$AK$167,economics!$AJ$2:$AJ$167,TRUE)-_xlfn.NORM.DIST(BR$30,economics!$AK$2:$AK$167,economics!$AJ$2:$AJ$167,TRUE)))),"")</f>
        <v/>
      </c>
      <c r="BS34">
        <f t="array" ref="BS34">IFERROR((SUMPRODUCT((economics!$AG$2:$AG$167=$B34)*(economics!$D$2:$D$167="whr")*economics!$AI$2:$AI$167*(_xlfn.NORM.DIST(BS$3,economics!$AK$2:$AK$167,economics!$AJ$2:$AJ$167,TRUE)-_xlfn.NORM.DIST(BS$30,economics!$AK$2:$AK$167,economics!$AJ$2:$AJ$167,TRUE))*economics!$AM$2:$AM$167))/(SUMPRODUCT((economics!$AG$2:$AG$167=$B34)*(economics!$D$2:$D$167="whr")*economics!$AI$2:$AI$167*(_xlfn.NORM.DIST(BS$3,economics!$AK$2:$AK$167,economics!$AJ$2:$AJ$167,TRUE)-_xlfn.NORM.DIST(BS$30,economics!$AK$2:$AK$167,economics!$AJ$2:$AJ$167,TRUE)))),"")</f>
        <v/>
      </c>
      <c r="BT34">
        <f t="array" ref="BT34">IFERROR((SUMPRODUCT((economics!$AG$2:$AG$167=$B34)*(economics!$D$2:$D$167="whr")*economics!$AI$2:$AI$167*(_xlfn.NORM.DIST(BT$3,economics!$AK$2:$AK$167,economics!$AJ$2:$AJ$167,TRUE)-_xlfn.NORM.DIST(BT$30,economics!$AK$2:$AK$167,economics!$AJ$2:$AJ$167,TRUE))*economics!$AM$2:$AM$167))/(SUMPRODUCT((economics!$AG$2:$AG$167=$B34)*(economics!$D$2:$D$167="whr")*economics!$AI$2:$AI$167*(_xlfn.NORM.DIST(BT$3,economics!$AK$2:$AK$167,economics!$AJ$2:$AJ$167,TRUE)-_xlfn.NORM.DIST(BT$30,economics!$AK$2:$AK$167,economics!$AJ$2:$AJ$167,TRUE)))),"")</f>
        <v/>
      </c>
      <c r="BU34">
        <f t="array" ref="BU34">IFERROR((SUMPRODUCT((economics!$AG$2:$AG$167=$B34)*(economics!$D$2:$D$167="whr")*economics!$AI$2:$AI$167*(_xlfn.NORM.DIST(BU$3,economics!$AK$2:$AK$167,economics!$AJ$2:$AJ$167,TRUE)-_xlfn.NORM.DIST(BU$30,economics!$AK$2:$AK$167,economics!$AJ$2:$AJ$167,TRUE))*economics!$AM$2:$AM$167))/(SUMPRODUCT((economics!$AG$2:$AG$167=$B34)*(economics!$D$2:$D$167="whr")*economics!$AI$2:$AI$167*(_xlfn.NORM.DIST(BU$3,economics!$AK$2:$AK$167,economics!$AJ$2:$AJ$167,TRUE)-_xlfn.NORM.DIST(BU$30,economics!$AK$2:$AK$167,economics!$AJ$2:$AJ$167,TRUE)))),"")</f>
        <v/>
      </c>
      <c r="BV34">
        <f t="array" ref="BV34">IFERROR((SUMPRODUCT((economics!$AG$2:$AG$167=$B34)*(economics!$D$2:$D$167="whr")*economics!$AI$2:$AI$167*(_xlfn.NORM.DIST(BV$3,economics!$AK$2:$AK$167,economics!$AJ$2:$AJ$167,TRUE)-_xlfn.NORM.DIST(BV$30,economics!$AK$2:$AK$167,economics!$AJ$2:$AJ$167,TRUE))*economics!$AM$2:$AM$167))/(SUMPRODUCT((economics!$AG$2:$AG$167=$B34)*(economics!$D$2:$D$167="whr")*economics!$AI$2:$AI$167*(_xlfn.NORM.DIST(BV$3,economics!$AK$2:$AK$167,economics!$AJ$2:$AJ$167,TRUE)-_xlfn.NORM.DIST(BV$30,economics!$AK$2:$AK$167,economics!$AJ$2:$AJ$167,TRUE)))),"")</f>
        <v/>
      </c>
      <c r="BW34">
        <f t="array" ref="BW34">IFERROR((SUMPRODUCT((economics!$AG$2:$AG$167=$B34)*(economics!$D$2:$D$167="whr")*economics!$AI$2:$AI$167*(_xlfn.NORM.DIST(BW$3,economics!$AK$2:$AK$167,economics!$AJ$2:$AJ$167,TRUE)-_xlfn.NORM.DIST(BW$30,economics!$AK$2:$AK$167,economics!$AJ$2:$AJ$167,TRUE))*economics!$AM$2:$AM$167))/(SUMPRODUCT((economics!$AG$2:$AG$167=$B34)*(economics!$D$2:$D$167="whr")*economics!$AI$2:$AI$167*(_xlfn.NORM.DIST(BW$3,economics!$AK$2:$AK$167,economics!$AJ$2:$AJ$167,TRUE)-_xlfn.NORM.DIST(BW$30,economics!$AK$2:$AK$167,economics!$AJ$2:$AJ$167,TRUE)))),"")</f>
        <v/>
      </c>
      <c r="BX34">
        <f t="array" ref="BX34">IFERROR((SUMPRODUCT((economics!$AG$2:$AG$167=$B34)*(economics!$D$2:$D$167="whr")*economics!$AI$2:$AI$167*(_xlfn.NORM.DIST(BX$3,economics!$AK$2:$AK$167,economics!$AJ$2:$AJ$167,TRUE)-_xlfn.NORM.DIST(BX$30,economics!$AK$2:$AK$167,economics!$AJ$2:$AJ$167,TRUE))*economics!$AM$2:$AM$167))/(SUMPRODUCT((economics!$AG$2:$AG$167=$B34)*(economics!$D$2:$D$167="whr")*economics!$AI$2:$AI$167*(_xlfn.NORM.DIST(BX$3,economics!$AK$2:$AK$167,economics!$AJ$2:$AJ$167,TRUE)-_xlfn.NORM.DIST(BX$30,economics!$AK$2:$AK$167,economics!$AJ$2:$AJ$167,TRUE)))),"")</f>
        <v/>
      </c>
      <c r="BY34">
        <f t="array" ref="BY34">IFERROR((SUMPRODUCT((economics!$AG$2:$AG$167=$B34)*(economics!$D$2:$D$167="whr")*economics!$AI$2:$AI$167*(_xlfn.NORM.DIST(BY$3,economics!$AK$2:$AK$167,economics!$AJ$2:$AJ$167,TRUE)-_xlfn.NORM.DIST(BY$30,economics!$AK$2:$AK$167,economics!$AJ$2:$AJ$167,TRUE))*economics!$AM$2:$AM$167))/(SUMPRODUCT((economics!$AG$2:$AG$167=$B34)*(economics!$D$2:$D$167="whr")*economics!$AI$2:$AI$167*(_xlfn.NORM.DIST(BY$3,economics!$AK$2:$AK$167,economics!$AJ$2:$AJ$167,TRUE)-_xlfn.NORM.DIST(BY$30,economics!$AK$2:$AK$167,economics!$AJ$2:$AJ$167,TRUE)))),"")</f>
        <v/>
      </c>
      <c r="BZ34">
        <f t="array" ref="BZ34">IFERROR((SUMPRODUCT((economics!$AG$2:$AG$167=$B34)*(economics!$D$2:$D$167="whr")*economics!$AI$2:$AI$167*(_xlfn.NORM.DIST(BZ$3,economics!$AK$2:$AK$167,economics!$AJ$2:$AJ$167,TRUE)-_xlfn.NORM.DIST(BZ$30,economics!$AK$2:$AK$167,economics!$AJ$2:$AJ$167,TRUE))*economics!$AM$2:$AM$167))/(SUMPRODUCT((economics!$AG$2:$AG$167=$B34)*(economics!$D$2:$D$167="whr")*economics!$AI$2:$AI$167*(_xlfn.NORM.DIST(BZ$3,economics!$AK$2:$AK$167,economics!$AJ$2:$AJ$167,TRUE)-_xlfn.NORM.DIST(BZ$30,economics!$AK$2:$AK$167,economics!$AJ$2:$AJ$167,TRUE)))),"")</f>
        <v/>
      </c>
      <c r="CA34">
        <f t="array" ref="CA34">IFERROR((SUMPRODUCT((economics!$AG$2:$AG$167=$B34)*(economics!$D$2:$D$167="whr")*economics!$AI$2:$AI$167*(_xlfn.NORM.DIST(CA$3,economics!$AK$2:$AK$167,economics!$AJ$2:$AJ$167,TRUE)-_xlfn.NORM.DIST(CA$30,economics!$AK$2:$AK$167,economics!$AJ$2:$AJ$167,TRUE))*economics!$AM$2:$AM$167))/(SUMPRODUCT((economics!$AG$2:$AG$167=$B34)*(economics!$D$2:$D$167="whr")*economics!$AI$2:$AI$167*(_xlfn.NORM.DIST(CA$3,economics!$AK$2:$AK$167,economics!$AJ$2:$AJ$167,TRUE)-_xlfn.NORM.DIST(CA$30,economics!$AK$2:$AK$167,economics!$AJ$2:$AJ$167,TRUE)))),"")</f>
        <v/>
      </c>
      <c r="CB34">
        <f t="array" ref="CB34">IFERROR((SUMPRODUCT((economics!$AG$2:$AG$167=$B34)*(economics!$D$2:$D$167="whr")*economics!$AI$2:$AI$167*(_xlfn.NORM.DIST(CB$3,economics!$AK$2:$AK$167,economics!$AJ$2:$AJ$167,TRUE)-_xlfn.NORM.DIST(CB$30,economics!$AK$2:$AK$167,economics!$AJ$2:$AJ$167,TRUE))*economics!$AM$2:$AM$167))/(SUMPRODUCT((economics!$AG$2:$AG$167=$B34)*(economics!$D$2:$D$167="whr")*economics!$AI$2:$AI$167*(_xlfn.NORM.DIST(CB$3,economics!$AK$2:$AK$167,economics!$AJ$2:$AJ$167,TRUE)-_xlfn.NORM.DIST(CB$30,economics!$AK$2:$AK$167,economics!$AJ$2:$AJ$167,TRUE)))),"")</f>
        <v/>
      </c>
      <c r="CC34">
        <f t="array" ref="CC34">IFERROR((SUMPRODUCT((economics!$AG$2:$AG$167=$B34)*(economics!$D$2:$D$167="whr")*economics!$AI$2:$AI$167*(_xlfn.NORM.DIST(CC$3,economics!$AK$2:$AK$167,economics!$AJ$2:$AJ$167,TRUE)-_xlfn.NORM.DIST(CC$30,economics!$AK$2:$AK$167,economics!$AJ$2:$AJ$167,TRUE))*economics!$AM$2:$AM$167))/(SUMPRODUCT((economics!$AG$2:$AG$167=$B34)*(economics!$D$2:$D$167="whr")*economics!$AI$2:$AI$167*(_xlfn.NORM.DIST(CC$3,economics!$AK$2:$AK$167,economics!$AJ$2:$AJ$167,TRUE)-_xlfn.NORM.DIST(CC$30,economics!$AK$2:$AK$167,economics!$AJ$2:$AJ$167,TRUE)))),"")</f>
        <v/>
      </c>
      <c r="CD34">
        <f t="array" ref="CD34">IFERROR((SUMPRODUCT((economics!$AG$2:$AG$167=$B34)*(economics!$D$2:$D$167="whr")*economics!$AI$2:$AI$167*(_xlfn.NORM.DIST(CD$3,economics!$AK$2:$AK$167,economics!$AJ$2:$AJ$167,TRUE)-_xlfn.NORM.DIST(CD$30,economics!$AK$2:$AK$167,economics!$AJ$2:$AJ$167,TRUE))*economics!$AM$2:$AM$167))/(SUMPRODUCT((economics!$AG$2:$AG$167=$B34)*(economics!$D$2:$D$167="whr")*economics!$AI$2:$AI$167*(_xlfn.NORM.DIST(CD$3,economics!$AK$2:$AK$167,economics!$AJ$2:$AJ$167,TRUE)-_xlfn.NORM.DIST(CD$30,economics!$AK$2:$AK$167,economics!$AJ$2:$AJ$167,TRUE)))),"")</f>
        <v/>
      </c>
      <c r="CE34">
        <f t="array" ref="CE34">IFERROR((SUMPRODUCT((economics!$AG$2:$AG$167=$B34)*(economics!$D$2:$D$167="whr")*economics!$AI$2:$AI$167*(_xlfn.NORM.DIST(CE$3,economics!$AK$2:$AK$167,economics!$AJ$2:$AJ$167,TRUE)-_xlfn.NORM.DIST(CE$30,economics!$AK$2:$AK$167,economics!$AJ$2:$AJ$167,TRUE))*economics!$AM$2:$AM$167))/(SUMPRODUCT((economics!$AG$2:$AG$167=$B34)*(economics!$D$2:$D$167="whr")*economics!$AI$2:$AI$167*(_xlfn.NORM.DIST(CE$3,economics!$AK$2:$AK$167,economics!$AJ$2:$AJ$167,TRUE)-_xlfn.NORM.DIST(CE$30,economics!$AK$2:$AK$167,economics!$AJ$2:$AJ$167,TRUE)))),"")</f>
        <v/>
      </c>
      <c r="CF34">
        <f t="array" ref="CF34">IFERROR((SUMPRODUCT((economics!$AG$2:$AG$167=$B34)*(economics!$D$2:$D$167="whr")*economics!$AI$2:$AI$167*(_xlfn.NORM.DIST(CF$3,economics!$AK$2:$AK$167,economics!$AJ$2:$AJ$167,TRUE)-_xlfn.NORM.DIST(CF$30,economics!$AK$2:$AK$167,economics!$AJ$2:$AJ$167,TRUE))*economics!$AM$2:$AM$167))/(SUMPRODUCT((economics!$AG$2:$AG$167=$B34)*(economics!$D$2:$D$167="whr")*economics!$AI$2:$AI$167*(_xlfn.NORM.DIST(CF$3,economics!$AK$2:$AK$167,economics!$AJ$2:$AJ$167,TRUE)-_xlfn.NORM.DIST(CF$30,economics!$AK$2:$AK$167,economics!$AJ$2:$AJ$167,TRUE)))),"")</f>
        <v/>
      </c>
      <c r="CG34">
        <f t="array" ref="CG34">IFERROR((SUMPRODUCT((economics!$AG$2:$AG$167=$B34)*(economics!$D$2:$D$167="whr")*economics!$AI$2:$AI$167*(_xlfn.NORM.DIST(CG$3,economics!$AK$2:$AK$167,economics!$AJ$2:$AJ$167,TRUE)-_xlfn.NORM.DIST(CG$30,economics!$AK$2:$AK$167,economics!$AJ$2:$AJ$167,TRUE))*economics!$AM$2:$AM$167))/(SUMPRODUCT((economics!$AG$2:$AG$167=$B34)*(economics!$D$2:$D$167="whr")*economics!$AI$2:$AI$167*(_xlfn.NORM.DIST(CG$3,economics!$AK$2:$AK$167,economics!$AJ$2:$AJ$167,TRUE)-_xlfn.NORM.DIST(CG$30,economics!$AK$2:$AK$167,economics!$AJ$2:$AJ$167,TRUE)))),"")</f>
        <v/>
      </c>
      <c r="CH34">
        <f t="array" ref="CH34">IFERROR((SUMPRODUCT((economics!$AG$2:$AG$167=$B34)*(economics!$D$2:$D$167="whr")*economics!$AI$2:$AI$167*(_xlfn.NORM.DIST(CH$3,economics!$AK$2:$AK$167,economics!$AJ$2:$AJ$167,TRUE)-_xlfn.NORM.DIST(CH$30,economics!$AK$2:$AK$167,economics!$AJ$2:$AJ$167,TRUE))*economics!$AM$2:$AM$167))/(SUMPRODUCT((economics!$AG$2:$AG$167=$B34)*(economics!$D$2:$D$167="whr")*economics!$AI$2:$AI$167*(_xlfn.NORM.DIST(CH$3,economics!$AK$2:$AK$167,economics!$AJ$2:$AJ$167,TRUE)-_xlfn.NORM.DIST(CH$30,economics!$AK$2:$AK$167,economics!$AJ$2:$AJ$167,TRUE)))),"")</f>
        <v/>
      </c>
    </row>
    <row r="35">
      <c r="A35">
        <f>A6</f>
        <v/>
      </c>
      <c r="B35">
        <f>B6</f>
        <v/>
      </c>
      <c r="E35">
        <f t="array" ref="E35">IFERROR((SUMPRODUCT((economics!$AG$2:$AG$167=$B35)*(economics!$D$2:$D$167="whr")*economics!$AI$2:$AI$167*(_xlfn.NORM.DIST(E$3,economics!$AK$2:$AK$167,economics!$AJ$2:$AJ$167,TRUE)-_xlfn.NORM.DIST(E$30,economics!$AK$2:$AK$167,economics!$AJ$2:$AJ$167,TRUE))*economics!$AM$2:$AM$167))/(SUMPRODUCT((economics!$AG$2:$AG$167=$B35)*(economics!$D$2:$D$167="whr")*economics!$AI$2:$AI$167*(_xlfn.NORM.DIST(E$3,economics!$AK$2:$AK$167,economics!$AJ$2:$AJ$167,TRUE)-_xlfn.NORM.DIST(E$30,economics!$AK$2:$AK$167,economics!$AJ$2:$AJ$167,TRUE)))),"")</f>
        <v/>
      </c>
      <c r="F35">
        <f t="array" ref="F35">IFERROR((SUMPRODUCT((economics!$AG$2:$AG$167=$B35)*(economics!$D$2:$D$167="whr")*economics!$AI$2:$AI$167*(_xlfn.NORM.DIST(F$3,economics!$AK$2:$AK$167,economics!$AJ$2:$AJ$167,TRUE)-_xlfn.NORM.DIST(F$30,economics!$AK$2:$AK$167,economics!$AJ$2:$AJ$167,TRUE))*economics!$AM$2:$AM$167))/(SUMPRODUCT((economics!$AG$2:$AG$167=$B35)*(economics!$D$2:$D$167="whr")*economics!$AI$2:$AI$167*(_xlfn.NORM.DIST(F$3,economics!$AK$2:$AK$167,economics!$AJ$2:$AJ$167,TRUE)-_xlfn.NORM.DIST(F$30,economics!$AK$2:$AK$167,economics!$AJ$2:$AJ$167,TRUE)))),"")</f>
        <v/>
      </c>
      <c r="G35">
        <f t="array" ref="G35">IFERROR((SUMPRODUCT((economics!$AG$2:$AG$167=$B35)*(economics!$D$2:$D$167="whr")*economics!$AI$2:$AI$167*(_xlfn.NORM.DIST(G$3,economics!$AK$2:$AK$167,economics!$AJ$2:$AJ$167,TRUE)-_xlfn.NORM.DIST(G$30,economics!$AK$2:$AK$167,economics!$AJ$2:$AJ$167,TRUE))*economics!$AM$2:$AM$167))/(SUMPRODUCT((economics!$AG$2:$AG$167=$B35)*(economics!$D$2:$D$167="whr")*economics!$AI$2:$AI$167*(_xlfn.NORM.DIST(G$3,economics!$AK$2:$AK$167,economics!$AJ$2:$AJ$167,TRUE)-_xlfn.NORM.DIST(G$30,economics!$AK$2:$AK$167,economics!$AJ$2:$AJ$167,TRUE)))),"")</f>
        <v/>
      </c>
      <c r="H35">
        <f t="array" ref="H35">IFERROR((SUMPRODUCT((economics!$AG$2:$AG$167=$B35)*(economics!$D$2:$D$167="whr")*economics!$AI$2:$AI$167*(_xlfn.NORM.DIST(H$3,economics!$AK$2:$AK$167,economics!$AJ$2:$AJ$167,TRUE)-_xlfn.NORM.DIST(H$30,economics!$AK$2:$AK$167,economics!$AJ$2:$AJ$167,TRUE))*economics!$AM$2:$AM$167))/(SUMPRODUCT((economics!$AG$2:$AG$167=$B35)*(economics!$D$2:$D$167="whr")*economics!$AI$2:$AI$167*(_xlfn.NORM.DIST(H$3,economics!$AK$2:$AK$167,economics!$AJ$2:$AJ$167,TRUE)-_xlfn.NORM.DIST(H$30,economics!$AK$2:$AK$167,economics!$AJ$2:$AJ$167,TRUE)))),"")</f>
        <v/>
      </c>
      <c r="I35">
        <f t="array" ref="I35">IFERROR((SUMPRODUCT((economics!$AG$2:$AG$167=$B35)*(economics!$D$2:$D$167="whr")*economics!$AI$2:$AI$167*(_xlfn.NORM.DIST(I$3,economics!$AK$2:$AK$167,economics!$AJ$2:$AJ$167,TRUE)-_xlfn.NORM.DIST(I$30,economics!$AK$2:$AK$167,economics!$AJ$2:$AJ$167,TRUE))*economics!$AM$2:$AM$167))/(SUMPRODUCT((economics!$AG$2:$AG$167=$B35)*(economics!$D$2:$D$167="whr")*economics!$AI$2:$AI$167*(_xlfn.NORM.DIST(I$3,economics!$AK$2:$AK$167,economics!$AJ$2:$AJ$167,TRUE)-_xlfn.NORM.DIST(I$30,economics!$AK$2:$AK$167,economics!$AJ$2:$AJ$167,TRUE)))),"")</f>
        <v/>
      </c>
      <c r="J35">
        <f t="array" ref="J35">IFERROR((SUMPRODUCT((economics!$AG$2:$AG$167=$B35)*(economics!$D$2:$D$167="whr")*economics!$AI$2:$AI$167*(_xlfn.NORM.DIST(J$3,economics!$AK$2:$AK$167,economics!$AJ$2:$AJ$167,TRUE)-_xlfn.NORM.DIST(J$30,economics!$AK$2:$AK$167,economics!$AJ$2:$AJ$167,TRUE))*economics!$AM$2:$AM$167))/(SUMPRODUCT((economics!$AG$2:$AG$167=$B35)*(economics!$D$2:$D$167="whr")*economics!$AI$2:$AI$167*(_xlfn.NORM.DIST(J$3,economics!$AK$2:$AK$167,economics!$AJ$2:$AJ$167,TRUE)-_xlfn.NORM.DIST(J$30,economics!$AK$2:$AK$167,economics!$AJ$2:$AJ$167,TRUE)))),"")</f>
        <v/>
      </c>
      <c r="K35">
        <f t="array" ref="K35">IFERROR((SUMPRODUCT((economics!$AG$2:$AG$167=$B35)*(economics!$D$2:$D$167="whr")*economics!$AI$2:$AI$167*(_xlfn.NORM.DIST(K$3,economics!$AK$2:$AK$167,economics!$AJ$2:$AJ$167,TRUE)-_xlfn.NORM.DIST(K$30,economics!$AK$2:$AK$167,economics!$AJ$2:$AJ$167,TRUE))*economics!$AM$2:$AM$167))/(SUMPRODUCT((economics!$AG$2:$AG$167=$B35)*(economics!$D$2:$D$167="whr")*economics!$AI$2:$AI$167*(_xlfn.NORM.DIST(K$3,economics!$AK$2:$AK$167,economics!$AJ$2:$AJ$167,TRUE)-_xlfn.NORM.DIST(K$30,economics!$AK$2:$AK$167,economics!$AJ$2:$AJ$167,TRUE)))),"")</f>
        <v/>
      </c>
      <c r="L35">
        <f t="array" ref="L35">IFERROR((SUMPRODUCT((economics!$AG$2:$AG$167=$B35)*(economics!$D$2:$D$167="whr")*economics!$AI$2:$AI$167*(_xlfn.NORM.DIST(L$3,economics!$AK$2:$AK$167,economics!$AJ$2:$AJ$167,TRUE)-_xlfn.NORM.DIST(L$30,economics!$AK$2:$AK$167,economics!$AJ$2:$AJ$167,TRUE))*economics!$AM$2:$AM$167))/(SUMPRODUCT((economics!$AG$2:$AG$167=$B35)*(economics!$D$2:$D$167="whr")*economics!$AI$2:$AI$167*(_xlfn.NORM.DIST(L$3,economics!$AK$2:$AK$167,economics!$AJ$2:$AJ$167,TRUE)-_xlfn.NORM.DIST(L$30,economics!$AK$2:$AK$167,economics!$AJ$2:$AJ$167,TRUE)))),"")</f>
        <v/>
      </c>
      <c r="M35">
        <f t="array" ref="M35">IFERROR((SUMPRODUCT((economics!$AG$2:$AG$167=$B35)*(economics!$D$2:$D$167="whr")*economics!$AI$2:$AI$167*(_xlfn.NORM.DIST(M$3,economics!$AK$2:$AK$167,economics!$AJ$2:$AJ$167,TRUE)-_xlfn.NORM.DIST(M$30,economics!$AK$2:$AK$167,economics!$AJ$2:$AJ$167,TRUE))*economics!$AM$2:$AM$167))/(SUMPRODUCT((economics!$AG$2:$AG$167=$B35)*(economics!$D$2:$D$167="whr")*economics!$AI$2:$AI$167*(_xlfn.NORM.DIST(M$3,economics!$AK$2:$AK$167,economics!$AJ$2:$AJ$167,TRUE)-_xlfn.NORM.DIST(M$30,economics!$AK$2:$AK$167,economics!$AJ$2:$AJ$167,TRUE)))),"")</f>
        <v/>
      </c>
      <c r="N35">
        <f t="array" ref="N35">IFERROR((SUMPRODUCT((economics!$AG$2:$AG$167=$B35)*(economics!$D$2:$D$167="whr")*economics!$AI$2:$AI$167*(_xlfn.NORM.DIST(N$3,economics!$AK$2:$AK$167,economics!$AJ$2:$AJ$167,TRUE)-_xlfn.NORM.DIST(N$30,economics!$AK$2:$AK$167,economics!$AJ$2:$AJ$167,TRUE))*economics!$AM$2:$AM$167))/(SUMPRODUCT((economics!$AG$2:$AG$167=$B35)*(economics!$D$2:$D$167="whr")*economics!$AI$2:$AI$167*(_xlfn.NORM.DIST(N$3,economics!$AK$2:$AK$167,economics!$AJ$2:$AJ$167,TRUE)-_xlfn.NORM.DIST(N$30,economics!$AK$2:$AK$167,economics!$AJ$2:$AJ$167,TRUE)))),"")</f>
        <v/>
      </c>
      <c r="O35">
        <f t="array" ref="O35">IFERROR((SUMPRODUCT((economics!$AG$2:$AG$167=$B35)*(economics!$D$2:$D$167="whr")*economics!$AI$2:$AI$167*(_xlfn.NORM.DIST(O$3,economics!$AK$2:$AK$167,economics!$AJ$2:$AJ$167,TRUE)-_xlfn.NORM.DIST(O$30,economics!$AK$2:$AK$167,economics!$AJ$2:$AJ$167,TRUE))*economics!$AM$2:$AM$167))/(SUMPRODUCT((economics!$AG$2:$AG$167=$B35)*(economics!$D$2:$D$167="whr")*economics!$AI$2:$AI$167*(_xlfn.NORM.DIST(O$3,economics!$AK$2:$AK$167,economics!$AJ$2:$AJ$167,TRUE)-_xlfn.NORM.DIST(O$30,economics!$AK$2:$AK$167,economics!$AJ$2:$AJ$167,TRUE)))),"")</f>
        <v/>
      </c>
      <c r="P35">
        <f t="array" ref="P35">IFERROR((SUMPRODUCT((economics!$AG$2:$AG$167=$B35)*(economics!$D$2:$D$167="whr")*economics!$AI$2:$AI$167*(_xlfn.NORM.DIST(P$3,economics!$AK$2:$AK$167,economics!$AJ$2:$AJ$167,TRUE)-_xlfn.NORM.DIST(P$30,economics!$AK$2:$AK$167,economics!$AJ$2:$AJ$167,TRUE))*economics!$AM$2:$AM$167))/(SUMPRODUCT((economics!$AG$2:$AG$167=$B35)*(economics!$D$2:$D$167="whr")*economics!$AI$2:$AI$167*(_xlfn.NORM.DIST(P$3,economics!$AK$2:$AK$167,economics!$AJ$2:$AJ$167,TRUE)-_xlfn.NORM.DIST(P$30,economics!$AK$2:$AK$167,economics!$AJ$2:$AJ$167,TRUE)))),"")</f>
        <v/>
      </c>
      <c r="Q35">
        <f t="array" ref="Q35">IFERROR((SUMPRODUCT((economics!$AG$2:$AG$167=$B35)*(economics!$D$2:$D$167="whr")*economics!$AI$2:$AI$167*(_xlfn.NORM.DIST(Q$3,economics!$AK$2:$AK$167,economics!$AJ$2:$AJ$167,TRUE)-_xlfn.NORM.DIST(Q$30,economics!$AK$2:$AK$167,economics!$AJ$2:$AJ$167,TRUE))*economics!$AM$2:$AM$167))/(SUMPRODUCT((economics!$AG$2:$AG$167=$B35)*(economics!$D$2:$D$167="whr")*economics!$AI$2:$AI$167*(_xlfn.NORM.DIST(Q$3,economics!$AK$2:$AK$167,economics!$AJ$2:$AJ$167,TRUE)-_xlfn.NORM.DIST(Q$30,economics!$AK$2:$AK$167,economics!$AJ$2:$AJ$167,TRUE)))),"")</f>
        <v/>
      </c>
      <c r="R35">
        <f t="array" ref="R35">IFERROR((SUMPRODUCT((economics!$AG$2:$AG$167=$B35)*(economics!$D$2:$D$167="whr")*economics!$AI$2:$AI$167*(_xlfn.NORM.DIST(R$3,economics!$AK$2:$AK$167,economics!$AJ$2:$AJ$167,TRUE)-_xlfn.NORM.DIST(R$30,economics!$AK$2:$AK$167,economics!$AJ$2:$AJ$167,TRUE))*economics!$AM$2:$AM$167))/(SUMPRODUCT((economics!$AG$2:$AG$167=$B35)*(economics!$D$2:$D$167="whr")*economics!$AI$2:$AI$167*(_xlfn.NORM.DIST(R$3,economics!$AK$2:$AK$167,economics!$AJ$2:$AJ$167,TRUE)-_xlfn.NORM.DIST(R$30,economics!$AK$2:$AK$167,economics!$AJ$2:$AJ$167,TRUE)))),"")</f>
        <v/>
      </c>
      <c r="S35">
        <f t="array" ref="S35">IFERROR((SUMPRODUCT((economics!$AG$2:$AG$167=$B35)*(economics!$D$2:$D$167="whr")*economics!$AI$2:$AI$167*(_xlfn.NORM.DIST(S$3,economics!$AK$2:$AK$167,economics!$AJ$2:$AJ$167,TRUE)-_xlfn.NORM.DIST(S$30,economics!$AK$2:$AK$167,economics!$AJ$2:$AJ$167,TRUE))*economics!$AM$2:$AM$167))/(SUMPRODUCT((economics!$AG$2:$AG$167=$B35)*(economics!$D$2:$D$167="whr")*economics!$AI$2:$AI$167*(_xlfn.NORM.DIST(S$3,economics!$AK$2:$AK$167,economics!$AJ$2:$AJ$167,TRUE)-_xlfn.NORM.DIST(S$30,economics!$AK$2:$AK$167,economics!$AJ$2:$AJ$167,TRUE)))),"")</f>
        <v/>
      </c>
      <c r="T35">
        <f t="array" ref="T35">IFERROR((SUMPRODUCT((economics!$AG$2:$AG$167=$B35)*(economics!$D$2:$D$167="whr")*economics!$AI$2:$AI$167*(_xlfn.NORM.DIST(T$3,economics!$AK$2:$AK$167,economics!$AJ$2:$AJ$167,TRUE)-_xlfn.NORM.DIST(T$30,economics!$AK$2:$AK$167,economics!$AJ$2:$AJ$167,TRUE))*economics!$AM$2:$AM$167))/(SUMPRODUCT((economics!$AG$2:$AG$167=$B35)*(economics!$D$2:$D$167="whr")*economics!$AI$2:$AI$167*(_xlfn.NORM.DIST(T$3,economics!$AK$2:$AK$167,economics!$AJ$2:$AJ$167,TRUE)-_xlfn.NORM.DIST(T$30,economics!$AK$2:$AK$167,economics!$AJ$2:$AJ$167,TRUE)))),"")</f>
        <v/>
      </c>
      <c r="U35">
        <f t="array" ref="U35">IFERROR((SUMPRODUCT((economics!$AG$2:$AG$167=$B35)*(economics!$D$2:$D$167="whr")*economics!$AI$2:$AI$167*(_xlfn.NORM.DIST(U$3,economics!$AK$2:$AK$167,economics!$AJ$2:$AJ$167,TRUE)-_xlfn.NORM.DIST(U$30,economics!$AK$2:$AK$167,economics!$AJ$2:$AJ$167,TRUE))*economics!$AM$2:$AM$167))/(SUMPRODUCT((economics!$AG$2:$AG$167=$B35)*(economics!$D$2:$D$167="whr")*economics!$AI$2:$AI$167*(_xlfn.NORM.DIST(U$3,economics!$AK$2:$AK$167,economics!$AJ$2:$AJ$167,TRUE)-_xlfn.NORM.DIST(U$30,economics!$AK$2:$AK$167,economics!$AJ$2:$AJ$167,TRUE)))),"")</f>
        <v/>
      </c>
      <c r="V35">
        <f t="array" ref="V35">IFERROR((SUMPRODUCT((economics!$AG$2:$AG$167=$B35)*(economics!$D$2:$D$167="whr")*economics!$AI$2:$AI$167*(_xlfn.NORM.DIST(V$3,economics!$AK$2:$AK$167,economics!$AJ$2:$AJ$167,TRUE)-_xlfn.NORM.DIST(V$30,economics!$AK$2:$AK$167,economics!$AJ$2:$AJ$167,TRUE))*economics!$AM$2:$AM$167))/(SUMPRODUCT((economics!$AG$2:$AG$167=$B35)*(economics!$D$2:$D$167="whr")*economics!$AI$2:$AI$167*(_xlfn.NORM.DIST(V$3,economics!$AK$2:$AK$167,economics!$AJ$2:$AJ$167,TRUE)-_xlfn.NORM.DIST(V$30,economics!$AK$2:$AK$167,economics!$AJ$2:$AJ$167,TRUE)))),"")</f>
        <v/>
      </c>
      <c r="W35">
        <f t="array" ref="W35">IFERROR((SUMPRODUCT((economics!$AG$2:$AG$167=$B35)*(economics!$D$2:$D$167="whr")*economics!$AI$2:$AI$167*(_xlfn.NORM.DIST(W$3,economics!$AK$2:$AK$167,economics!$AJ$2:$AJ$167,TRUE)-_xlfn.NORM.DIST(W$30,economics!$AK$2:$AK$167,economics!$AJ$2:$AJ$167,TRUE))*economics!$AM$2:$AM$167))/(SUMPRODUCT((economics!$AG$2:$AG$167=$B35)*(economics!$D$2:$D$167="whr")*economics!$AI$2:$AI$167*(_xlfn.NORM.DIST(W$3,economics!$AK$2:$AK$167,economics!$AJ$2:$AJ$167,TRUE)-_xlfn.NORM.DIST(W$30,economics!$AK$2:$AK$167,economics!$AJ$2:$AJ$167,TRUE)))),"")</f>
        <v/>
      </c>
      <c r="X35">
        <f t="array" ref="X35">IFERROR((SUMPRODUCT((economics!$AG$2:$AG$167=$B35)*(economics!$D$2:$D$167="whr")*economics!$AI$2:$AI$167*(_xlfn.NORM.DIST(X$3,economics!$AK$2:$AK$167,economics!$AJ$2:$AJ$167,TRUE)-_xlfn.NORM.DIST(X$30,economics!$AK$2:$AK$167,economics!$AJ$2:$AJ$167,TRUE))*economics!$AM$2:$AM$167))/(SUMPRODUCT((economics!$AG$2:$AG$167=$B35)*(economics!$D$2:$D$167="whr")*economics!$AI$2:$AI$167*(_xlfn.NORM.DIST(X$3,economics!$AK$2:$AK$167,economics!$AJ$2:$AJ$167,TRUE)-_xlfn.NORM.DIST(X$30,economics!$AK$2:$AK$167,economics!$AJ$2:$AJ$167,TRUE)))),"")</f>
        <v/>
      </c>
      <c r="Y35">
        <f t="array" ref="Y35">IFERROR((SUMPRODUCT((economics!$AG$2:$AG$167=$B35)*(economics!$D$2:$D$167="whr")*economics!$AI$2:$AI$167*(_xlfn.NORM.DIST(Y$3,economics!$AK$2:$AK$167,economics!$AJ$2:$AJ$167,TRUE)-_xlfn.NORM.DIST(Y$30,economics!$AK$2:$AK$167,economics!$AJ$2:$AJ$167,TRUE))*economics!$AM$2:$AM$167))/(SUMPRODUCT((economics!$AG$2:$AG$167=$B35)*(economics!$D$2:$D$167="whr")*economics!$AI$2:$AI$167*(_xlfn.NORM.DIST(Y$3,economics!$AK$2:$AK$167,economics!$AJ$2:$AJ$167,TRUE)-_xlfn.NORM.DIST(Y$30,economics!$AK$2:$AK$167,economics!$AJ$2:$AJ$167,TRUE)))),"")</f>
        <v/>
      </c>
      <c r="Z35">
        <f t="array" ref="Z35">IFERROR((SUMPRODUCT((economics!$AG$2:$AG$167=$B35)*(economics!$D$2:$D$167="whr")*economics!$AI$2:$AI$167*(_xlfn.NORM.DIST(Z$3,economics!$AK$2:$AK$167,economics!$AJ$2:$AJ$167,TRUE)-_xlfn.NORM.DIST(Z$30,economics!$AK$2:$AK$167,economics!$AJ$2:$AJ$167,TRUE))*economics!$AM$2:$AM$167))/(SUMPRODUCT((economics!$AG$2:$AG$167=$B35)*(economics!$D$2:$D$167="whr")*economics!$AI$2:$AI$167*(_xlfn.NORM.DIST(Z$3,economics!$AK$2:$AK$167,economics!$AJ$2:$AJ$167,TRUE)-_xlfn.NORM.DIST(Z$30,economics!$AK$2:$AK$167,economics!$AJ$2:$AJ$167,TRUE)))),"")</f>
        <v/>
      </c>
      <c r="AA35">
        <f t="array" ref="AA35">IFERROR((SUMPRODUCT((economics!$AG$2:$AG$167=$B35)*(economics!$D$2:$D$167="whr")*economics!$AI$2:$AI$167*(_xlfn.NORM.DIST(AA$3,economics!$AK$2:$AK$167,economics!$AJ$2:$AJ$167,TRUE)-_xlfn.NORM.DIST(AA$30,economics!$AK$2:$AK$167,economics!$AJ$2:$AJ$167,TRUE))*economics!$AM$2:$AM$167))/(SUMPRODUCT((economics!$AG$2:$AG$167=$B35)*(economics!$D$2:$D$167="whr")*economics!$AI$2:$AI$167*(_xlfn.NORM.DIST(AA$3,economics!$AK$2:$AK$167,economics!$AJ$2:$AJ$167,TRUE)-_xlfn.NORM.DIST(AA$30,economics!$AK$2:$AK$167,economics!$AJ$2:$AJ$167,TRUE)))),"")</f>
        <v/>
      </c>
      <c r="AB35">
        <f t="array" ref="AB35">IFERROR((SUMPRODUCT((economics!$AG$2:$AG$167=$B35)*(economics!$D$2:$D$167="whr")*economics!$AI$2:$AI$167*(_xlfn.NORM.DIST(AB$3,economics!$AK$2:$AK$167,economics!$AJ$2:$AJ$167,TRUE)-_xlfn.NORM.DIST(AB$30,economics!$AK$2:$AK$167,economics!$AJ$2:$AJ$167,TRUE))*economics!$AM$2:$AM$167))/(SUMPRODUCT((economics!$AG$2:$AG$167=$B35)*(economics!$D$2:$D$167="whr")*economics!$AI$2:$AI$167*(_xlfn.NORM.DIST(AB$3,economics!$AK$2:$AK$167,economics!$AJ$2:$AJ$167,TRUE)-_xlfn.NORM.DIST(AB$30,economics!$AK$2:$AK$167,economics!$AJ$2:$AJ$167,TRUE)))),"")</f>
        <v/>
      </c>
      <c r="AC35">
        <f t="array" ref="AC35">IFERROR((SUMPRODUCT((economics!$AG$2:$AG$167=$B35)*(economics!$D$2:$D$167="whr")*economics!$AI$2:$AI$167*(_xlfn.NORM.DIST(AC$3,economics!$AK$2:$AK$167,economics!$AJ$2:$AJ$167,TRUE)-_xlfn.NORM.DIST(AC$30,economics!$AK$2:$AK$167,economics!$AJ$2:$AJ$167,TRUE))*economics!$AM$2:$AM$167))/(SUMPRODUCT((economics!$AG$2:$AG$167=$B35)*(economics!$D$2:$D$167="whr")*economics!$AI$2:$AI$167*(_xlfn.NORM.DIST(AC$3,economics!$AK$2:$AK$167,economics!$AJ$2:$AJ$167,TRUE)-_xlfn.NORM.DIST(AC$30,economics!$AK$2:$AK$167,economics!$AJ$2:$AJ$167,TRUE)))),"")</f>
        <v/>
      </c>
      <c r="AD35">
        <f t="array" ref="AD35">IFERROR((SUMPRODUCT((economics!$AG$2:$AG$167=$B35)*(economics!$D$2:$D$167="whr")*economics!$AI$2:$AI$167*(_xlfn.NORM.DIST(AD$3,economics!$AK$2:$AK$167,economics!$AJ$2:$AJ$167,TRUE)-_xlfn.NORM.DIST(AD$30,economics!$AK$2:$AK$167,economics!$AJ$2:$AJ$167,TRUE))*economics!$AM$2:$AM$167))/(SUMPRODUCT((economics!$AG$2:$AG$167=$B35)*(economics!$D$2:$D$167="whr")*economics!$AI$2:$AI$167*(_xlfn.NORM.DIST(AD$3,economics!$AK$2:$AK$167,economics!$AJ$2:$AJ$167,TRUE)-_xlfn.NORM.DIST(AD$30,economics!$AK$2:$AK$167,economics!$AJ$2:$AJ$167,TRUE)))),"")</f>
        <v/>
      </c>
      <c r="AE35">
        <f t="array" ref="AE35">IFERROR((SUMPRODUCT((economics!$AG$2:$AG$167=$B35)*(economics!$D$2:$D$167="whr")*economics!$AI$2:$AI$167*(_xlfn.NORM.DIST(AE$3,economics!$AK$2:$AK$167,economics!$AJ$2:$AJ$167,TRUE)-_xlfn.NORM.DIST(AE$30,economics!$AK$2:$AK$167,economics!$AJ$2:$AJ$167,TRUE))*economics!$AM$2:$AM$167))/(SUMPRODUCT((economics!$AG$2:$AG$167=$B35)*(economics!$D$2:$D$167="whr")*economics!$AI$2:$AI$167*(_xlfn.NORM.DIST(AE$3,economics!$AK$2:$AK$167,economics!$AJ$2:$AJ$167,TRUE)-_xlfn.NORM.DIST(AE$30,economics!$AK$2:$AK$167,economics!$AJ$2:$AJ$167,TRUE)))),"")</f>
        <v/>
      </c>
      <c r="AF35">
        <f t="array" ref="AF35">IFERROR((SUMPRODUCT((economics!$AG$2:$AG$167=$B35)*(economics!$D$2:$D$167="whr")*economics!$AI$2:$AI$167*(_xlfn.NORM.DIST(AF$3,economics!$AK$2:$AK$167,economics!$AJ$2:$AJ$167,TRUE)-_xlfn.NORM.DIST(AF$30,economics!$AK$2:$AK$167,economics!$AJ$2:$AJ$167,TRUE))*economics!$AM$2:$AM$167))/(SUMPRODUCT((economics!$AG$2:$AG$167=$B35)*(economics!$D$2:$D$167="whr")*economics!$AI$2:$AI$167*(_xlfn.NORM.DIST(AF$3,economics!$AK$2:$AK$167,economics!$AJ$2:$AJ$167,TRUE)-_xlfn.NORM.DIST(AF$30,economics!$AK$2:$AK$167,economics!$AJ$2:$AJ$167,TRUE)))),"")</f>
        <v/>
      </c>
      <c r="AG35">
        <f t="array" ref="AG35">IFERROR((SUMPRODUCT((economics!$AG$2:$AG$167=$B35)*(economics!$D$2:$D$167="whr")*economics!$AI$2:$AI$167*(_xlfn.NORM.DIST(AG$3,economics!$AK$2:$AK$167,economics!$AJ$2:$AJ$167,TRUE)-_xlfn.NORM.DIST(AG$30,economics!$AK$2:$AK$167,economics!$AJ$2:$AJ$167,TRUE))*economics!$AM$2:$AM$167))/(SUMPRODUCT((economics!$AG$2:$AG$167=$B35)*(economics!$D$2:$D$167="whr")*economics!$AI$2:$AI$167*(_xlfn.NORM.DIST(AG$3,economics!$AK$2:$AK$167,economics!$AJ$2:$AJ$167,TRUE)-_xlfn.NORM.DIST(AG$30,economics!$AK$2:$AK$167,economics!$AJ$2:$AJ$167,TRUE)))),"")</f>
        <v/>
      </c>
      <c r="AH35">
        <f t="array" ref="AH35">IFERROR((SUMPRODUCT((economics!$AG$2:$AG$167=$B35)*(economics!$D$2:$D$167="whr")*economics!$AI$2:$AI$167*(_xlfn.NORM.DIST(AH$3,economics!$AK$2:$AK$167,economics!$AJ$2:$AJ$167,TRUE)-_xlfn.NORM.DIST(AH$30,economics!$AK$2:$AK$167,economics!$AJ$2:$AJ$167,TRUE))*economics!$AM$2:$AM$167))/(SUMPRODUCT((economics!$AG$2:$AG$167=$B35)*(economics!$D$2:$D$167="whr")*economics!$AI$2:$AI$167*(_xlfn.NORM.DIST(AH$3,economics!$AK$2:$AK$167,economics!$AJ$2:$AJ$167,TRUE)-_xlfn.NORM.DIST(AH$30,economics!$AK$2:$AK$167,economics!$AJ$2:$AJ$167,TRUE)))),"")</f>
        <v/>
      </c>
      <c r="AI35">
        <f t="array" ref="AI35">IFERROR((SUMPRODUCT((economics!$AG$2:$AG$167=$B35)*(economics!$D$2:$D$167="whr")*economics!$AI$2:$AI$167*(_xlfn.NORM.DIST(AI$3,economics!$AK$2:$AK$167,economics!$AJ$2:$AJ$167,TRUE)-_xlfn.NORM.DIST(AI$30,economics!$AK$2:$AK$167,economics!$AJ$2:$AJ$167,TRUE))*economics!$AM$2:$AM$167))/(SUMPRODUCT((economics!$AG$2:$AG$167=$B35)*(economics!$D$2:$D$167="whr")*economics!$AI$2:$AI$167*(_xlfn.NORM.DIST(AI$3,economics!$AK$2:$AK$167,economics!$AJ$2:$AJ$167,TRUE)-_xlfn.NORM.DIST(AI$30,economics!$AK$2:$AK$167,economics!$AJ$2:$AJ$167,TRUE)))),"")</f>
        <v/>
      </c>
      <c r="AJ35">
        <f t="array" ref="AJ35">IFERROR((SUMPRODUCT((economics!$AG$2:$AG$167=$B35)*(economics!$D$2:$D$167="whr")*economics!$AI$2:$AI$167*(_xlfn.NORM.DIST(AJ$3,economics!$AK$2:$AK$167,economics!$AJ$2:$AJ$167,TRUE)-_xlfn.NORM.DIST(AJ$30,economics!$AK$2:$AK$167,economics!$AJ$2:$AJ$167,TRUE))*economics!$AM$2:$AM$167))/(SUMPRODUCT((economics!$AG$2:$AG$167=$B35)*(economics!$D$2:$D$167="whr")*economics!$AI$2:$AI$167*(_xlfn.NORM.DIST(AJ$3,economics!$AK$2:$AK$167,economics!$AJ$2:$AJ$167,TRUE)-_xlfn.NORM.DIST(AJ$30,economics!$AK$2:$AK$167,economics!$AJ$2:$AJ$167,TRUE)))),"")</f>
        <v/>
      </c>
      <c r="AK35">
        <f t="array" ref="AK35">IFERROR((SUMPRODUCT((economics!$AG$2:$AG$167=$B35)*(economics!$D$2:$D$167="whr")*economics!$AI$2:$AI$167*(_xlfn.NORM.DIST(AK$3,economics!$AK$2:$AK$167,economics!$AJ$2:$AJ$167,TRUE)-_xlfn.NORM.DIST(AK$30,economics!$AK$2:$AK$167,economics!$AJ$2:$AJ$167,TRUE))*economics!$AM$2:$AM$167))/(SUMPRODUCT((economics!$AG$2:$AG$167=$B35)*(economics!$D$2:$D$167="whr")*economics!$AI$2:$AI$167*(_xlfn.NORM.DIST(AK$3,economics!$AK$2:$AK$167,economics!$AJ$2:$AJ$167,TRUE)-_xlfn.NORM.DIST(AK$30,economics!$AK$2:$AK$167,economics!$AJ$2:$AJ$167,TRUE)))),"")</f>
        <v/>
      </c>
      <c r="AL35">
        <f t="array" ref="AL35">IFERROR((SUMPRODUCT((economics!$AG$2:$AG$167=$B35)*(economics!$D$2:$D$167="whr")*economics!$AI$2:$AI$167*(_xlfn.NORM.DIST(AL$3,economics!$AK$2:$AK$167,economics!$AJ$2:$AJ$167,TRUE)-_xlfn.NORM.DIST(AL$30,economics!$AK$2:$AK$167,economics!$AJ$2:$AJ$167,TRUE))*economics!$AM$2:$AM$167))/(SUMPRODUCT((economics!$AG$2:$AG$167=$B35)*(economics!$D$2:$D$167="whr")*economics!$AI$2:$AI$167*(_xlfn.NORM.DIST(AL$3,economics!$AK$2:$AK$167,economics!$AJ$2:$AJ$167,TRUE)-_xlfn.NORM.DIST(AL$30,economics!$AK$2:$AK$167,economics!$AJ$2:$AJ$167,TRUE)))),"")</f>
        <v/>
      </c>
      <c r="AM35">
        <f t="array" ref="AM35">IFERROR((SUMPRODUCT((economics!$AG$2:$AG$167=$B35)*(economics!$D$2:$D$167="whr")*economics!$AI$2:$AI$167*(_xlfn.NORM.DIST(AM$3,economics!$AK$2:$AK$167,economics!$AJ$2:$AJ$167,TRUE)-_xlfn.NORM.DIST(AM$30,economics!$AK$2:$AK$167,economics!$AJ$2:$AJ$167,TRUE))*economics!$AM$2:$AM$167))/(SUMPRODUCT((economics!$AG$2:$AG$167=$B35)*(economics!$D$2:$D$167="whr")*economics!$AI$2:$AI$167*(_xlfn.NORM.DIST(AM$3,economics!$AK$2:$AK$167,economics!$AJ$2:$AJ$167,TRUE)-_xlfn.NORM.DIST(AM$30,economics!$AK$2:$AK$167,economics!$AJ$2:$AJ$167,TRUE)))),"")</f>
        <v/>
      </c>
      <c r="AN35">
        <f t="array" ref="AN35">IFERROR((SUMPRODUCT((economics!$AG$2:$AG$167=$B35)*(economics!$D$2:$D$167="whr")*economics!$AI$2:$AI$167*(_xlfn.NORM.DIST(AN$3,economics!$AK$2:$AK$167,economics!$AJ$2:$AJ$167,TRUE)-_xlfn.NORM.DIST(AN$30,economics!$AK$2:$AK$167,economics!$AJ$2:$AJ$167,TRUE))*economics!$AM$2:$AM$167))/(SUMPRODUCT((economics!$AG$2:$AG$167=$B35)*(economics!$D$2:$D$167="whr")*economics!$AI$2:$AI$167*(_xlfn.NORM.DIST(AN$3,economics!$AK$2:$AK$167,economics!$AJ$2:$AJ$167,TRUE)-_xlfn.NORM.DIST(AN$30,economics!$AK$2:$AK$167,economics!$AJ$2:$AJ$167,TRUE)))),"")</f>
        <v/>
      </c>
      <c r="AO35">
        <f t="array" ref="AO35">IFERROR((SUMPRODUCT((economics!$AG$2:$AG$167=$B35)*(economics!$D$2:$D$167="whr")*economics!$AI$2:$AI$167*(_xlfn.NORM.DIST(AO$3,economics!$AK$2:$AK$167,economics!$AJ$2:$AJ$167,TRUE)-_xlfn.NORM.DIST(AO$30,economics!$AK$2:$AK$167,economics!$AJ$2:$AJ$167,TRUE))*economics!$AM$2:$AM$167))/(SUMPRODUCT((economics!$AG$2:$AG$167=$B35)*(economics!$D$2:$D$167="whr")*economics!$AI$2:$AI$167*(_xlfn.NORM.DIST(AO$3,economics!$AK$2:$AK$167,economics!$AJ$2:$AJ$167,TRUE)-_xlfn.NORM.DIST(AO$30,economics!$AK$2:$AK$167,economics!$AJ$2:$AJ$167,TRUE)))),"")</f>
        <v/>
      </c>
      <c r="AP35">
        <f t="array" ref="AP35">IFERROR((SUMPRODUCT((economics!$AG$2:$AG$167=$B35)*(economics!$D$2:$D$167="whr")*economics!$AI$2:$AI$167*(_xlfn.NORM.DIST(AP$3,economics!$AK$2:$AK$167,economics!$AJ$2:$AJ$167,TRUE)-_xlfn.NORM.DIST(AP$30,economics!$AK$2:$AK$167,economics!$AJ$2:$AJ$167,TRUE))*economics!$AM$2:$AM$167))/(SUMPRODUCT((economics!$AG$2:$AG$167=$B35)*(economics!$D$2:$D$167="whr")*economics!$AI$2:$AI$167*(_xlfn.NORM.DIST(AP$3,economics!$AK$2:$AK$167,economics!$AJ$2:$AJ$167,TRUE)-_xlfn.NORM.DIST(AP$30,economics!$AK$2:$AK$167,economics!$AJ$2:$AJ$167,TRUE)))),"")</f>
        <v/>
      </c>
      <c r="AQ35">
        <f t="array" ref="AQ35">IFERROR((SUMPRODUCT((economics!$AG$2:$AG$167=$B35)*(economics!$D$2:$D$167="whr")*economics!$AI$2:$AI$167*(_xlfn.NORM.DIST(AQ$3,economics!$AK$2:$AK$167,economics!$AJ$2:$AJ$167,TRUE)-_xlfn.NORM.DIST(AQ$30,economics!$AK$2:$AK$167,economics!$AJ$2:$AJ$167,TRUE))*economics!$AM$2:$AM$167))/(SUMPRODUCT((economics!$AG$2:$AG$167=$B35)*(economics!$D$2:$D$167="whr")*economics!$AI$2:$AI$167*(_xlfn.NORM.DIST(AQ$3,economics!$AK$2:$AK$167,economics!$AJ$2:$AJ$167,TRUE)-_xlfn.NORM.DIST(AQ$30,economics!$AK$2:$AK$167,economics!$AJ$2:$AJ$167,TRUE)))),"")</f>
        <v/>
      </c>
      <c r="AR35">
        <f t="array" ref="AR35">IFERROR((SUMPRODUCT((economics!$AG$2:$AG$167=$B35)*(economics!$D$2:$D$167="whr")*economics!$AI$2:$AI$167*(_xlfn.NORM.DIST(AR$3,economics!$AK$2:$AK$167,economics!$AJ$2:$AJ$167,TRUE)-_xlfn.NORM.DIST(AR$30,economics!$AK$2:$AK$167,economics!$AJ$2:$AJ$167,TRUE))*economics!$AM$2:$AM$167))/(SUMPRODUCT((economics!$AG$2:$AG$167=$B35)*(economics!$D$2:$D$167="whr")*economics!$AI$2:$AI$167*(_xlfn.NORM.DIST(AR$3,economics!$AK$2:$AK$167,economics!$AJ$2:$AJ$167,TRUE)-_xlfn.NORM.DIST(AR$30,economics!$AK$2:$AK$167,economics!$AJ$2:$AJ$167,TRUE)))),"")</f>
        <v/>
      </c>
      <c r="AS35">
        <f t="array" ref="AS35">IFERROR((SUMPRODUCT((economics!$AG$2:$AG$167=$B35)*(economics!$D$2:$D$167="whr")*economics!$AI$2:$AI$167*(_xlfn.NORM.DIST(AS$3,economics!$AK$2:$AK$167,economics!$AJ$2:$AJ$167,TRUE)-_xlfn.NORM.DIST(AS$30,economics!$AK$2:$AK$167,economics!$AJ$2:$AJ$167,TRUE))*economics!$AM$2:$AM$167))/(SUMPRODUCT((economics!$AG$2:$AG$167=$B35)*(economics!$D$2:$D$167="whr")*economics!$AI$2:$AI$167*(_xlfn.NORM.DIST(AS$3,economics!$AK$2:$AK$167,economics!$AJ$2:$AJ$167,TRUE)-_xlfn.NORM.DIST(AS$30,economics!$AK$2:$AK$167,economics!$AJ$2:$AJ$167,TRUE)))),"")</f>
        <v/>
      </c>
      <c r="AT35">
        <f t="array" ref="AT35">IFERROR((SUMPRODUCT((economics!$AG$2:$AG$167=$B35)*(economics!$D$2:$D$167="whr")*economics!$AI$2:$AI$167*(_xlfn.NORM.DIST(AT$3,economics!$AK$2:$AK$167,economics!$AJ$2:$AJ$167,TRUE)-_xlfn.NORM.DIST(AT$30,economics!$AK$2:$AK$167,economics!$AJ$2:$AJ$167,TRUE))*economics!$AM$2:$AM$167))/(SUMPRODUCT((economics!$AG$2:$AG$167=$B35)*(economics!$D$2:$D$167="whr")*economics!$AI$2:$AI$167*(_xlfn.NORM.DIST(AT$3,economics!$AK$2:$AK$167,economics!$AJ$2:$AJ$167,TRUE)-_xlfn.NORM.DIST(AT$30,economics!$AK$2:$AK$167,economics!$AJ$2:$AJ$167,TRUE)))),"")</f>
        <v/>
      </c>
      <c r="AU35">
        <f t="array" ref="AU35">IFERROR((SUMPRODUCT((economics!$AG$2:$AG$167=$B35)*(economics!$D$2:$D$167="whr")*economics!$AI$2:$AI$167*(_xlfn.NORM.DIST(AU$3,economics!$AK$2:$AK$167,economics!$AJ$2:$AJ$167,TRUE)-_xlfn.NORM.DIST(AU$30,economics!$AK$2:$AK$167,economics!$AJ$2:$AJ$167,TRUE))*economics!$AM$2:$AM$167))/(SUMPRODUCT((economics!$AG$2:$AG$167=$B35)*(economics!$D$2:$D$167="whr")*economics!$AI$2:$AI$167*(_xlfn.NORM.DIST(AU$3,economics!$AK$2:$AK$167,economics!$AJ$2:$AJ$167,TRUE)-_xlfn.NORM.DIST(AU$30,economics!$AK$2:$AK$167,economics!$AJ$2:$AJ$167,TRUE)))),"")</f>
        <v/>
      </c>
      <c r="AV35">
        <f t="array" ref="AV35">IFERROR((SUMPRODUCT((economics!$AG$2:$AG$167=$B35)*(economics!$D$2:$D$167="whr")*economics!$AI$2:$AI$167*(_xlfn.NORM.DIST(AV$3,economics!$AK$2:$AK$167,economics!$AJ$2:$AJ$167,TRUE)-_xlfn.NORM.DIST(AV$30,economics!$AK$2:$AK$167,economics!$AJ$2:$AJ$167,TRUE))*economics!$AM$2:$AM$167))/(SUMPRODUCT((economics!$AG$2:$AG$167=$B35)*(economics!$D$2:$D$167="whr")*economics!$AI$2:$AI$167*(_xlfn.NORM.DIST(AV$3,economics!$AK$2:$AK$167,economics!$AJ$2:$AJ$167,TRUE)-_xlfn.NORM.DIST(AV$30,economics!$AK$2:$AK$167,economics!$AJ$2:$AJ$167,TRUE)))),"")</f>
        <v/>
      </c>
      <c r="AW35">
        <f t="array" ref="AW35">IFERROR((SUMPRODUCT((economics!$AG$2:$AG$167=$B35)*(economics!$D$2:$D$167="whr")*economics!$AI$2:$AI$167*(_xlfn.NORM.DIST(AW$3,economics!$AK$2:$AK$167,economics!$AJ$2:$AJ$167,TRUE)-_xlfn.NORM.DIST(AW$30,economics!$AK$2:$AK$167,economics!$AJ$2:$AJ$167,TRUE))*economics!$AM$2:$AM$167))/(SUMPRODUCT((economics!$AG$2:$AG$167=$B35)*(economics!$D$2:$D$167="whr")*economics!$AI$2:$AI$167*(_xlfn.NORM.DIST(AW$3,economics!$AK$2:$AK$167,economics!$AJ$2:$AJ$167,TRUE)-_xlfn.NORM.DIST(AW$30,economics!$AK$2:$AK$167,economics!$AJ$2:$AJ$167,TRUE)))),"")</f>
        <v/>
      </c>
      <c r="AX35">
        <f t="array" ref="AX35">IFERROR((SUMPRODUCT((economics!$AG$2:$AG$167=$B35)*(economics!$D$2:$D$167="whr")*economics!$AI$2:$AI$167*(_xlfn.NORM.DIST(AX$3,economics!$AK$2:$AK$167,economics!$AJ$2:$AJ$167,TRUE)-_xlfn.NORM.DIST(AX$30,economics!$AK$2:$AK$167,economics!$AJ$2:$AJ$167,TRUE))*economics!$AM$2:$AM$167))/(SUMPRODUCT((economics!$AG$2:$AG$167=$B35)*(economics!$D$2:$D$167="whr")*economics!$AI$2:$AI$167*(_xlfn.NORM.DIST(AX$3,economics!$AK$2:$AK$167,economics!$AJ$2:$AJ$167,TRUE)-_xlfn.NORM.DIST(AX$30,economics!$AK$2:$AK$167,economics!$AJ$2:$AJ$167,TRUE)))),"")</f>
        <v/>
      </c>
      <c r="AY35">
        <f t="array" ref="AY35">IFERROR((SUMPRODUCT((economics!$AG$2:$AG$167=$B35)*(economics!$D$2:$D$167="whr")*economics!$AI$2:$AI$167*(_xlfn.NORM.DIST(AY$3,economics!$AK$2:$AK$167,economics!$AJ$2:$AJ$167,TRUE)-_xlfn.NORM.DIST(AY$30,economics!$AK$2:$AK$167,economics!$AJ$2:$AJ$167,TRUE))*economics!$AM$2:$AM$167))/(SUMPRODUCT((economics!$AG$2:$AG$167=$B35)*(economics!$D$2:$D$167="whr")*economics!$AI$2:$AI$167*(_xlfn.NORM.DIST(AY$3,economics!$AK$2:$AK$167,economics!$AJ$2:$AJ$167,TRUE)-_xlfn.NORM.DIST(AY$30,economics!$AK$2:$AK$167,economics!$AJ$2:$AJ$167,TRUE)))),"")</f>
        <v/>
      </c>
      <c r="AZ35">
        <f t="array" ref="AZ35">IFERROR((SUMPRODUCT((economics!$AG$2:$AG$167=$B35)*(economics!$D$2:$D$167="whr")*economics!$AI$2:$AI$167*(_xlfn.NORM.DIST(AZ$3,economics!$AK$2:$AK$167,economics!$AJ$2:$AJ$167,TRUE)-_xlfn.NORM.DIST(AZ$30,economics!$AK$2:$AK$167,economics!$AJ$2:$AJ$167,TRUE))*economics!$AM$2:$AM$167))/(SUMPRODUCT((economics!$AG$2:$AG$167=$B35)*(economics!$D$2:$D$167="whr")*economics!$AI$2:$AI$167*(_xlfn.NORM.DIST(AZ$3,economics!$AK$2:$AK$167,economics!$AJ$2:$AJ$167,TRUE)-_xlfn.NORM.DIST(AZ$30,economics!$AK$2:$AK$167,economics!$AJ$2:$AJ$167,TRUE)))),"")</f>
        <v/>
      </c>
      <c r="BA35">
        <f t="array" ref="BA35">IFERROR((SUMPRODUCT((economics!$AG$2:$AG$167=$B35)*(economics!$D$2:$D$167="whr")*economics!$AI$2:$AI$167*(_xlfn.NORM.DIST(BA$3,economics!$AK$2:$AK$167,economics!$AJ$2:$AJ$167,TRUE)-_xlfn.NORM.DIST(BA$30,economics!$AK$2:$AK$167,economics!$AJ$2:$AJ$167,TRUE))*economics!$AM$2:$AM$167))/(SUMPRODUCT((economics!$AG$2:$AG$167=$B35)*(economics!$D$2:$D$167="whr")*economics!$AI$2:$AI$167*(_xlfn.NORM.DIST(BA$3,economics!$AK$2:$AK$167,economics!$AJ$2:$AJ$167,TRUE)-_xlfn.NORM.DIST(BA$30,economics!$AK$2:$AK$167,economics!$AJ$2:$AJ$167,TRUE)))),"")</f>
        <v/>
      </c>
      <c r="BB35">
        <f t="array" ref="BB35">IFERROR((SUMPRODUCT((economics!$AG$2:$AG$167=$B35)*(economics!$D$2:$D$167="whr")*economics!$AI$2:$AI$167*(_xlfn.NORM.DIST(BB$3,economics!$AK$2:$AK$167,economics!$AJ$2:$AJ$167,TRUE)-_xlfn.NORM.DIST(BB$30,economics!$AK$2:$AK$167,economics!$AJ$2:$AJ$167,TRUE))*economics!$AM$2:$AM$167))/(SUMPRODUCT((economics!$AG$2:$AG$167=$B35)*(economics!$D$2:$D$167="whr")*economics!$AI$2:$AI$167*(_xlfn.NORM.DIST(BB$3,economics!$AK$2:$AK$167,economics!$AJ$2:$AJ$167,TRUE)-_xlfn.NORM.DIST(BB$30,economics!$AK$2:$AK$167,economics!$AJ$2:$AJ$167,TRUE)))),"")</f>
        <v/>
      </c>
      <c r="BC35">
        <f t="array" ref="BC35">IFERROR((SUMPRODUCT((economics!$AG$2:$AG$167=$B35)*(economics!$D$2:$D$167="whr")*economics!$AI$2:$AI$167*(_xlfn.NORM.DIST(BC$3,economics!$AK$2:$AK$167,economics!$AJ$2:$AJ$167,TRUE)-_xlfn.NORM.DIST(BC$30,economics!$AK$2:$AK$167,economics!$AJ$2:$AJ$167,TRUE))*economics!$AM$2:$AM$167))/(SUMPRODUCT((economics!$AG$2:$AG$167=$B35)*(economics!$D$2:$D$167="whr")*economics!$AI$2:$AI$167*(_xlfn.NORM.DIST(BC$3,economics!$AK$2:$AK$167,economics!$AJ$2:$AJ$167,TRUE)-_xlfn.NORM.DIST(BC$30,economics!$AK$2:$AK$167,economics!$AJ$2:$AJ$167,TRUE)))),"")</f>
        <v/>
      </c>
      <c r="BD35">
        <f t="array" ref="BD35">IFERROR((SUMPRODUCT((economics!$AG$2:$AG$167=$B35)*(economics!$D$2:$D$167="whr")*economics!$AI$2:$AI$167*(_xlfn.NORM.DIST(BD$3,economics!$AK$2:$AK$167,economics!$AJ$2:$AJ$167,TRUE)-_xlfn.NORM.DIST(BD$30,economics!$AK$2:$AK$167,economics!$AJ$2:$AJ$167,TRUE))*economics!$AM$2:$AM$167))/(SUMPRODUCT((economics!$AG$2:$AG$167=$B35)*(economics!$D$2:$D$167="whr")*economics!$AI$2:$AI$167*(_xlfn.NORM.DIST(BD$3,economics!$AK$2:$AK$167,economics!$AJ$2:$AJ$167,TRUE)-_xlfn.NORM.DIST(BD$30,economics!$AK$2:$AK$167,economics!$AJ$2:$AJ$167,TRUE)))),"")</f>
        <v/>
      </c>
      <c r="BE35">
        <f t="array" ref="BE35">IFERROR((SUMPRODUCT((economics!$AG$2:$AG$167=$B35)*(economics!$D$2:$D$167="whr")*economics!$AI$2:$AI$167*(_xlfn.NORM.DIST(BE$3,economics!$AK$2:$AK$167,economics!$AJ$2:$AJ$167,TRUE)-_xlfn.NORM.DIST(BE$30,economics!$AK$2:$AK$167,economics!$AJ$2:$AJ$167,TRUE))*economics!$AM$2:$AM$167))/(SUMPRODUCT((economics!$AG$2:$AG$167=$B35)*(economics!$D$2:$D$167="whr")*economics!$AI$2:$AI$167*(_xlfn.NORM.DIST(BE$3,economics!$AK$2:$AK$167,economics!$AJ$2:$AJ$167,TRUE)-_xlfn.NORM.DIST(BE$30,economics!$AK$2:$AK$167,economics!$AJ$2:$AJ$167,TRUE)))),"")</f>
        <v/>
      </c>
      <c r="BF35">
        <f t="array" ref="BF35">IFERROR((SUMPRODUCT((economics!$AG$2:$AG$167=$B35)*(economics!$D$2:$D$167="whr")*economics!$AI$2:$AI$167*(_xlfn.NORM.DIST(BF$3,economics!$AK$2:$AK$167,economics!$AJ$2:$AJ$167,TRUE)-_xlfn.NORM.DIST(BF$30,economics!$AK$2:$AK$167,economics!$AJ$2:$AJ$167,TRUE))*economics!$AM$2:$AM$167))/(SUMPRODUCT((economics!$AG$2:$AG$167=$B35)*(economics!$D$2:$D$167="whr")*economics!$AI$2:$AI$167*(_xlfn.NORM.DIST(BF$3,economics!$AK$2:$AK$167,economics!$AJ$2:$AJ$167,TRUE)-_xlfn.NORM.DIST(BF$30,economics!$AK$2:$AK$167,economics!$AJ$2:$AJ$167,TRUE)))),"")</f>
        <v/>
      </c>
      <c r="BG35">
        <f t="array" ref="BG35">IFERROR((SUMPRODUCT((economics!$AG$2:$AG$167=$B35)*(economics!$D$2:$D$167="whr")*economics!$AI$2:$AI$167*(_xlfn.NORM.DIST(BG$3,economics!$AK$2:$AK$167,economics!$AJ$2:$AJ$167,TRUE)-_xlfn.NORM.DIST(BG$30,economics!$AK$2:$AK$167,economics!$AJ$2:$AJ$167,TRUE))*economics!$AM$2:$AM$167))/(SUMPRODUCT((economics!$AG$2:$AG$167=$B35)*(economics!$D$2:$D$167="whr")*economics!$AI$2:$AI$167*(_xlfn.NORM.DIST(BG$3,economics!$AK$2:$AK$167,economics!$AJ$2:$AJ$167,TRUE)-_xlfn.NORM.DIST(BG$30,economics!$AK$2:$AK$167,economics!$AJ$2:$AJ$167,TRUE)))),"")</f>
        <v/>
      </c>
      <c r="BH35">
        <f t="array" ref="BH35">IFERROR((SUMPRODUCT((economics!$AG$2:$AG$167=$B35)*(economics!$D$2:$D$167="whr")*economics!$AI$2:$AI$167*(_xlfn.NORM.DIST(BH$3,economics!$AK$2:$AK$167,economics!$AJ$2:$AJ$167,TRUE)-_xlfn.NORM.DIST(BH$30,economics!$AK$2:$AK$167,economics!$AJ$2:$AJ$167,TRUE))*economics!$AM$2:$AM$167))/(SUMPRODUCT((economics!$AG$2:$AG$167=$B35)*(economics!$D$2:$D$167="whr")*economics!$AI$2:$AI$167*(_xlfn.NORM.DIST(BH$3,economics!$AK$2:$AK$167,economics!$AJ$2:$AJ$167,TRUE)-_xlfn.NORM.DIST(BH$30,economics!$AK$2:$AK$167,economics!$AJ$2:$AJ$167,TRUE)))),"")</f>
        <v/>
      </c>
      <c r="BI35">
        <f t="array" ref="BI35">IFERROR((SUMPRODUCT((economics!$AG$2:$AG$167=$B35)*(economics!$D$2:$D$167="whr")*economics!$AI$2:$AI$167*(_xlfn.NORM.DIST(BI$3,economics!$AK$2:$AK$167,economics!$AJ$2:$AJ$167,TRUE)-_xlfn.NORM.DIST(BI$30,economics!$AK$2:$AK$167,economics!$AJ$2:$AJ$167,TRUE))*economics!$AM$2:$AM$167))/(SUMPRODUCT((economics!$AG$2:$AG$167=$B35)*(economics!$D$2:$D$167="whr")*economics!$AI$2:$AI$167*(_xlfn.NORM.DIST(BI$3,economics!$AK$2:$AK$167,economics!$AJ$2:$AJ$167,TRUE)-_xlfn.NORM.DIST(BI$30,economics!$AK$2:$AK$167,economics!$AJ$2:$AJ$167,TRUE)))),"")</f>
        <v/>
      </c>
      <c r="BJ35">
        <f t="array" ref="BJ35">IFERROR((SUMPRODUCT((economics!$AG$2:$AG$167=$B35)*(economics!$D$2:$D$167="whr")*economics!$AI$2:$AI$167*(_xlfn.NORM.DIST(BJ$3,economics!$AK$2:$AK$167,economics!$AJ$2:$AJ$167,TRUE)-_xlfn.NORM.DIST(BJ$30,economics!$AK$2:$AK$167,economics!$AJ$2:$AJ$167,TRUE))*economics!$AM$2:$AM$167))/(SUMPRODUCT((economics!$AG$2:$AG$167=$B35)*(economics!$D$2:$D$167="whr")*economics!$AI$2:$AI$167*(_xlfn.NORM.DIST(BJ$3,economics!$AK$2:$AK$167,economics!$AJ$2:$AJ$167,TRUE)-_xlfn.NORM.DIST(BJ$30,economics!$AK$2:$AK$167,economics!$AJ$2:$AJ$167,TRUE)))),"")</f>
        <v/>
      </c>
      <c r="BK35">
        <f t="array" ref="BK35">IFERROR((SUMPRODUCT((economics!$AG$2:$AG$167=$B35)*(economics!$D$2:$D$167="whr")*economics!$AI$2:$AI$167*(_xlfn.NORM.DIST(BK$3,economics!$AK$2:$AK$167,economics!$AJ$2:$AJ$167,TRUE)-_xlfn.NORM.DIST(BK$30,economics!$AK$2:$AK$167,economics!$AJ$2:$AJ$167,TRUE))*economics!$AM$2:$AM$167))/(SUMPRODUCT((economics!$AG$2:$AG$167=$B35)*(economics!$D$2:$D$167="whr")*economics!$AI$2:$AI$167*(_xlfn.NORM.DIST(BK$3,economics!$AK$2:$AK$167,economics!$AJ$2:$AJ$167,TRUE)-_xlfn.NORM.DIST(BK$30,economics!$AK$2:$AK$167,economics!$AJ$2:$AJ$167,TRUE)))),"")</f>
        <v/>
      </c>
      <c r="BL35">
        <f t="array" ref="BL35">IFERROR((SUMPRODUCT((economics!$AG$2:$AG$167=$B35)*(economics!$D$2:$D$167="whr")*economics!$AI$2:$AI$167*(_xlfn.NORM.DIST(BL$3,economics!$AK$2:$AK$167,economics!$AJ$2:$AJ$167,TRUE)-_xlfn.NORM.DIST(BL$30,economics!$AK$2:$AK$167,economics!$AJ$2:$AJ$167,TRUE))*economics!$AM$2:$AM$167))/(SUMPRODUCT((economics!$AG$2:$AG$167=$B35)*(economics!$D$2:$D$167="whr")*economics!$AI$2:$AI$167*(_xlfn.NORM.DIST(BL$3,economics!$AK$2:$AK$167,economics!$AJ$2:$AJ$167,TRUE)-_xlfn.NORM.DIST(BL$30,economics!$AK$2:$AK$167,economics!$AJ$2:$AJ$167,TRUE)))),"")</f>
        <v/>
      </c>
      <c r="BM35">
        <f t="array" ref="BM35">IFERROR((SUMPRODUCT((economics!$AG$2:$AG$167=$B35)*(economics!$D$2:$D$167="whr")*economics!$AI$2:$AI$167*(_xlfn.NORM.DIST(BM$3,economics!$AK$2:$AK$167,economics!$AJ$2:$AJ$167,TRUE)-_xlfn.NORM.DIST(BM$30,economics!$AK$2:$AK$167,economics!$AJ$2:$AJ$167,TRUE))*economics!$AM$2:$AM$167))/(SUMPRODUCT((economics!$AG$2:$AG$167=$B35)*(economics!$D$2:$D$167="whr")*economics!$AI$2:$AI$167*(_xlfn.NORM.DIST(BM$3,economics!$AK$2:$AK$167,economics!$AJ$2:$AJ$167,TRUE)-_xlfn.NORM.DIST(BM$30,economics!$AK$2:$AK$167,economics!$AJ$2:$AJ$167,TRUE)))),"")</f>
        <v/>
      </c>
      <c r="BN35">
        <f t="array" ref="BN35">IFERROR((SUMPRODUCT((economics!$AG$2:$AG$167=$B35)*(economics!$D$2:$D$167="whr")*economics!$AI$2:$AI$167*(_xlfn.NORM.DIST(BN$3,economics!$AK$2:$AK$167,economics!$AJ$2:$AJ$167,TRUE)-_xlfn.NORM.DIST(BN$30,economics!$AK$2:$AK$167,economics!$AJ$2:$AJ$167,TRUE))*economics!$AM$2:$AM$167))/(SUMPRODUCT((economics!$AG$2:$AG$167=$B35)*(economics!$D$2:$D$167="whr")*economics!$AI$2:$AI$167*(_xlfn.NORM.DIST(BN$3,economics!$AK$2:$AK$167,economics!$AJ$2:$AJ$167,TRUE)-_xlfn.NORM.DIST(BN$30,economics!$AK$2:$AK$167,economics!$AJ$2:$AJ$167,TRUE)))),"")</f>
        <v/>
      </c>
      <c r="BO35">
        <f t="array" ref="BO35">IFERROR((SUMPRODUCT((economics!$AG$2:$AG$167=$B35)*(economics!$D$2:$D$167="whr")*economics!$AI$2:$AI$167*(_xlfn.NORM.DIST(BO$3,economics!$AK$2:$AK$167,economics!$AJ$2:$AJ$167,TRUE)-_xlfn.NORM.DIST(BO$30,economics!$AK$2:$AK$167,economics!$AJ$2:$AJ$167,TRUE))*economics!$AM$2:$AM$167))/(SUMPRODUCT((economics!$AG$2:$AG$167=$B35)*(economics!$D$2:$D$167="whr")*economics!$AI$2:$AI$167*(_xlfn.NORM.DIST(BO$3,economics!$AK$2:$AK$167,economics!$AJ$2:$AJ$167,TRUE)-_xlfn.NORM.DIST(BO$30,economics!$AK$2:$AK$167,economics!$AJ$2:$AJ$167,TRUE)))),"")</f>
        <v/>
      </c>
      <c r="BP35">
        <f t="array" ref="BP35">IFERROR((SUMPRODUCT((economics!$AG$2:$AG$167=$B35)*(economics!$D$2:$D$167="whr")*economics!$AI$2:$AI$167*(_xlfn.NORM.DIST(BP$3,economics!$AK$2:$AK$167,economics!$AJ$2:$AJ$167,TRUE)-_xlfn.NORM.DIST(BP$30,economics!$AK$2:$AK$167,economics!$AJ$2:$AJ$167,TRUE))*economics!$AM$2:$AM$167))/(SUMPRODUCT((economics!$AG$2:$AG$167=$B35)*(economics!$D$2:$D$167="whr")*economics!$AI$2:$AI$167*(_xlfn.NORM.DIST(BP$3,economics!$AK$2:$AK$167,economics!$AJ$2:$AJ$167,TRUE)-_xlfn.NORM.DIST(BP$30,economics!$AK$2:$AK$167,economics!$AJ$2:$AJ$167,TRUE)))),"")</f>
        <v/>
      </c>
      <c r="BQ35">
        <f t="array" ref="BQ35">IFERROR((SUMPRODUCT((economics!$AG$2:$AG$167=$B35)*(economics!$D$2:$D$167="whr")*economics!$AI$2:$AI$167*(_xlfn.NORM.DIST(BQ$3,economics!$AK$2:$AK$167,economics!$AJ$2:$AJ$167,TRUE)-_xlfn.NORM.DIST(BQ$30,economics!$AK$2:$AK$167,economics!$AJ$2:$AJ$167,TRUE))*economics!$AM$2:$AM$167))/(SUMPRODUCT((economics!$AG$2:$AG$167=$B35)*(economics!$D$2:$D$167="whr")*economics!$AI$2:$AI$167*(_xlfn.NORM.DIST(BQ$3,economics!$AK$2:$AK$167,economics!$AJ$2:$AJ$167,TRUE)-_xlfn.NORM.DIST(BQ$30,economics!$AK$2:$AK$167,economics!$AJ$2:$AJ$167,TRUE)))),"")</f>
        <v/>
      </c>
      <c r="BR35">
        <f t="array" ref="BR35">IFERROR((SUMPRODUCT((economics!$AG$2:$AG$167=$B35)*(economics!$D$2:$D$167="whr")*economics!$AI$2:$AI$167*(_xlfn.NORM.DIST(BR$3,economics!$AK$2:$AK$167,economics!$AJ$2:$AJ$167,TRUE)-_xlfn.NORM.DIST(BR$30,economics!$AK$2:$AK$167,economics!$AJ$2:$AJ$167,TRUE))*economics!$AM$2:$AM$167))/(SUMPRODUCT((economics!$AG$2:$AG$167=$B35)*(economics!$D$2:$D$167="whr")*economics!$AI$2:$AI$167*(_xlfn.NORM.DIST(BR$3,economics!$AK$2:$AK$167,economics!$AJ$2:$AJ$167,TRUE)-_xlfn.NORM.DIST(BR$30,economics!$AK$2:$AK$167,economics!$AJ$2:$AJ$167,TRUE)))),"")</f>
        <v/>
      </c>
      <c r="BS35">
        <f t="array" ref="BS35">IFERROR((SUMPRODUCT((economics!$AG$2:$AG$167=$B35)*(economics!$D$2:$D$167="whr")*economics!$AI$2:$AI$167*(_xlfn.NORM.DIST(BS$3,economics!$AK$2:$AK$167,economics!$AJ$2:$AJ$167,TRUE)-_xlfn.NORM.DIST(BS$30,economics!$AK$2:$AK$167,economics!$AJ$2:$AJ$167,TRUE))*economics!$AM$2:$AM$167))/(SUMPRODUCT((economics!$AG$2:$AG$167=$B35)*(economics!$D$2:$D$167="whr")*economics!$AI$2:$AI$167*(_xlfn.NORM.DIST(BS$3,economics!$AK$2:$AK$167,economics!$AJ$2:$AJ$167,TRUE)-_xlfn.NORM.DIST(BS$30,economics!$AK$2:$AK$167,economics!$AJ$2:$AJ$167,TRUE)))),"")</f>
        <v/>
      </c>
      <c r="BT35">
        <f t="array" ref="BT35">IFERROR((SUMPRODUCT((economics!$AG$2:$AG$167=$B35)*(economics!$D$2:$D$167="whr")*economics!$AI$2:$AI$167*(_xlfn.NORM.DIST(BT$3,economics!$AK$2:$AK$167,economics!$AJ$2:$AJ$167,TRUE)-_xlfn.NORM.DIST(BT$30,economics!$AK$2:$AK$167,economics!$AJ$2:$AJ$167,TRUE))*economics!$AM$2:$AM$167))/(SUMPRODUCT((economics!$AG$2:$AG$167=$B35)*(economics!$D$2:$D$167="whr")*economics!$AI$2:$AI$167*(_xlfn.NORM.DIST(BT$3,economics!$AK$2:$AK$167,economics!$AJ$2:$AJ$167,TRUE)-_xlfn.NORM.DIST(BT$30,economics!$AK$2:$AK$167,economics!$AJ$2:$AJ$167,TRUE)))),"")</f>
        <v/>
      </c>
      <c r="BU35">
        <f t="array" ref="BU35">IFERROR((SUMPRODUCT((economics!$AG$2:$AG$167=$B35)*(economics!$D$2:$D$167="whr")*economics!$AI$2:$AI$167*(_xlfn.NORM.DIST(BU$3,economics!$AK$2:$AK$167,economics!$AJ$2:$AJ$167,TRUE)-_xlfn.NORM.DIST(BU$30,economics!$AK$2:$AK$167,economics!$AJ$2:$AJ$167,TRUE))*economics!$AM$2:$AM$167))/(SUMPRODUCT((economics!$AG$2:$AG$167=$B35)*(economics!$D$2:$D$167="whr")*economics!$AI$2:$AI$167*(_xlfn.NORM.DIST(BU$3,economics!$AK$2:$AK$167,economics!$AJ$2:$AJ$167,TRUE)-_xlfn.NORM.DIST(BU$30,economics!$AK$2:$AK$167,economics!$AJ$2:$AJ$167,TRUE)))),"")</f>
        <v/>
      </c>
      <c r="BV35">
        <f t="array" ref="BV35">IFERROR((SUMPRODUCT((economics!$AG$2:$AG$167=$B35)*(economics!$D$2:$D$167="whr")*economics!$AI$2:$AI$167*(_xlfn.NORM.DIST(BV$3,economics!$AK$2:$AK$167,economics!$AJ$2:$AJ$167,TRUE)-_xlfn.NORM.DIST(BV$30,economics!$AK$2:$AK$167,economics!$AJ$2:$AJ$167,TRUE))*economics!$AM$2:$AM$167))/(SUMPRODUCT((economics!$AG$2:$AG$167=$B35)*(economics!$D$2:$D$167="whr")*economics!$AI$2:$AI$167*(_xlfn.NORM.DIST(BV$3,economics!$AK$2:$AK$167,economics!$AJ$2:$AJ$167,TRUE)-_xlfn.NORM.DIST(BV$30,economics!$AK$2:$AK$167,economics!$AJ$2:$AJ$167,TRUE)))),"")</f>
        <v/>
      </c>
      <c r="BW35">
        <f t="array" ref="BW35">IFERROR((SUMPRODUCT((economics!$AG$2:$AG$167=$B35)*(economics!$D$2:$D$167="whr")*economics!$AI$2:$AI$167*(_xlfn.NORM.DIST(BW$3,economics!$AK$2:$AK$167,economics!$AJ$2:$AJ$167,TRUE)-_xlfn.NORM.DIST(BW$30,economics!$AK$2:$AK$167,economics!$AJ$2:$AJ$167,TRUE))*economics!$AM$2:$AM$167))/(SUMPRODUCT((economics!$AG$2:$AG$167=$B35)*(economics!$D$2:$D$167="whr")*economics!$AI$2:$AI$167*(_xlfn.NORM.DIST(BW$3,economics!$AK$2:$AK$167,economics!$AJ$2:$AJ$167,TRUE)-_xlfn.NORM.DIST(BW$30,economics!$AK$2:$AK$167,economics!$AJ$2:$AJ$167,TRUE)))),"")</f>
        <v/>
      </c>
      <c r="BX35">
        <f t="array" ref="BX35">IFERROR((SUMPRODUCT((economics!$AG$2:$AG$167=$B35)*(economics!$D$2:$D$167="whr")*economics!$AI$2:$AI$167*(_xlfn.NORM.DIST(BX$3,economics!$AK$2:$AK$167,economics!$AJ$2:$AJ$167,TRUE)-_xlfn.NORM.DIST(BX$30,economics!$AK$2:$AK$167,economics!$AJ$2:$AJ$167,TRUE))*economics!$AM$2:$AM$167))/(SUMPRODUCT((economics!$AG$2:$AG$167=$B35)*(economics!$D$2:$D$167="whr")*economics!$AI$2:$AI$167*(_xlfn.NORM.DIST(BX$3,economics!$AK$2:$AK$167,economics!$AJ$2:$AJ$167,TRUE)-_xlfn.NORM.DIST(BX$30,economics!$AK$2:$AK$167,economics!$AJ$2:$AJ$167,TRUE)))),"")</f>
        <v/>
      </c>
      <c r="BY35">
        <f t="array" ref="BY35">IFERROR((SUMPRODUCT((economics!$AG$2:$AG$167=$B35)*(economics!$D$2:$D$167="whr")*economics!$AI$2:$AI$167*(_xlfn.NORM.DIST(BY$3,economics!$AK$2:$AK$167,economics!$AJ$2:$AJ$167,TRUE)-_xlfn.NORM.DIST(BY$30,economics!$AK$2:$AK$167,economics!$AJ$2:$AJ$167,TRUE))*economics!$AM$2:$AM$167))/(SUMPRODUCT((economics!$AG$2:$AG$167=$B35)*(economics!$D$2:$D$167="whr")*economics!$AI$2:$AI$167*(_xlfn.NORM.DIST(BY$3,economics!$AK$2:$AK$167,economics!$AJ$2:$AJ$167,TRUE)-_xlfn.NORM.DIST(BY$30,economics!$AK$2:$AK$167,economics!$AJ$2:$AJ$167,TRUE)))),"")</f>
        <v/>
      </c>
      <c r="BZ35">
        <f t="array" ref="BZ35">IFERROR((SUMPRODUCT((economics!$AG$2:$AG$167=$B35)*(economics!$D$2:$D$167="whr")*economics!$AI$2:$AI$167*(_xlfn.NORM.DIST(BZ$3,economics!$AK$2:$AK$167,economics!$AJ$2:$AJ$167,TRUE)-_xlfn.NORM.DIST(BZ$30,economics!$AK$2:$AK$167,economics!$AJ$2:$AJ$167,TRUE))*economics!$AM$2:$AM$167))/(SUMPRODUCT((economics!$AG$2:$AG$167=$B35)*(economics!$D$2:$D$167="whr")*economics!$AI$2:$AI$167*(_xlfn.NORM.DIST(BZ$3,economics!$AK$2:$AK$167,economics!$AJ$2:$AJ$167,TRUE)-_xlfn.NORM.DIST(BZ$30,economics!$AK$2:$AK$167,economics!$AJ$2:$AJ$167,TRUE)))),"")</f>
        <v/>
      </c>
      <c r="CA35">
        <f t="array" ref="CA35">IFERROR((SUMPRODUCT((economics!$AG$2:$AG$167=$B35)*(economics!$D$2:$D$167="whr")*economics!$AI$2:$AI$167*(_xlfn.NORM.DIST(CA$3,economics!$AK$2:$AK$167,economics!$AJ$2:$AJ$167,TRUE)-_xlfn.NORM.DIST(CA$30,economics!$AK$2:$AK$167,economics!$AJ$2:$AJ$167,TRUE))*economics!$AM$2:$AM$167))/(SUMPRODUCT((economics!$AG$2:$AG$167=$B35)*(economics!$D$2:$D$167="whr")*economics!$AI$2:$AI$167*(_xlfn.NORM.DIST(CA$3,economics!$AK$2:$AK$167,economics!$AJ$2:$AJ$167,TRUE)-_xlfn.NORM.DIST(CA$30,economics!$AK$2:$AK$167,economics!$AJ$2:$AJ$167,TRUE)))),"")</f>
        <v/>
      </c>
      <c r="CB35">
        <f t="array" ref="CB35">IFERROR((SUMPRODUCT((economics!$AG$2:$AG$167=$B35)*(economics!$D$2:$D$167="whr")*economics!$AI$2:$AI$167*(_xlfn.NORM.DIST(CB$3,economics!$AK$2:$AK$167,economics!$AJ$2:$AJ$167,TRUE)-_xlfn.NORM.DIST(CB$30,economics!$AK$2:$AK$167,economics!$AJ$2:$AJ$167,TRUE))*economics!$AM$2:$AM$167))/(SUMPRODUCT((economics!$AG$2:$AG$167=$B35)*(economics!$D$2:$D$167="whr")*economics!$AI$2:$AI$167*(_xlfn.NORM.DIST(CB$3,economics!$AK$2:$AK$167,economics!$AJ$2:$AJ$167,TRUE)-_xlfn.NORM.DIST(CB$30,economics!$AK$2:$AK$167,economics!$AJ$2:$AJ$167,TRUE)))),"")</f>
        <v/>
      </c>
      <c r="CC35">
        <f t="array" ref="CC35">IFERROR((SUMPRODUCT((economics!$AG$2:$AG$167=$B35)*(economics!$D$2:$D$167="whr")*economics!$AI$2:$AI$167*(_xlfn.NORM.DIST(CC$3,economics!$AK$2:$AK$167,economics!$AJ$2:$AJ$167,TRUE)-_xlfn.NORM.DIST(CC$30,economics!$AK$2:$AK$167,economics!$AJ$2:$AJ$167,TRUE))*economics!$AM$2:$AM$167))/(SUMPRODUCT((economics!$AG$2:$AG$167=$B35)*(economics!$D$2:$D$167="whr")*economics!$AI$2:$AI$167*(_xlfn.NORM.DIST(CC$3,economics!$AK$2:$AK$167,economics!$AJ$2:$AJ$167,TRUE)-_xlfn.NORM.DIST(CC$30,economics!$AK$2:$AK$167,economics!$AJ$2:$AJ$167,TRUE)))),"")</f>
        <v/>
      </c>
      <c r="CD35">
        <f t="array" ref="CD35">IFERROR((SUMPRODUCT((economics!$AG$2:$AG$167=$B35)*(economics!$D$2:$D$167="whr")*economics!$AI$2:$AI$167*(_xlfn.NORM.DIST(CD$3,economics!$AK$2:$AK$167,economics!$AJ$2:$AJ$167,TRUE)-_xlfn.NORM.DIST(CD$30,economics!$AK$2:$AK$167,economics!$AJ$2:$AJ$167,TRUE))*economics!$AM$2:$AM$167))/(SUMPRODUCT((economics!$AG$2:$AG$167=$B35)*(economics!$D$2:$D$167="whr")*economics!$AI$2:$AI$167*(_xlfn.NORM.DIST(CD$3,economics!$AK$2:$AK$167,economics!$AJ$2:$AJ$167,TRUE)-_xlfn.NORM.DIST(CD$30,economics!$AK$2:$AK$167,economics!$AJ$2:$AJ$167,TRUE)))),"")</f>
        <v/>
      </c>
      <c r="CE35">
        <f t="array" ref="CE35">IFERROR((SUMPRODUCT((economics!$AG$2:$AG$167=$B35)*(economics!$D$2:$D$167="whr")*economics!$AI$2:$AI$167*(_xlfn.NORM.DIST(CE$3,economics!$AK$2:$AK$167,economics!$AJ$2:$AJ$167,TRUE)-_xlfn.NORM.DIST(CE$30,economics!$AK$2:$AK$167,economics!$AJ$2:$AJ$167,TRUE))*economics!$AM$2:$AM$167))/(SUMPRODUCT((economics!$AG$2:$AG$167=$B35)*(economics!$D$2:$D$167="whr")*economics!$AI$2:$AI$167*(_xlfn.NORM.DIST(CE$3,economics!$AK$2:$AK$167,economics!$AJ$2:$AJ$167,TRUE)-_xlfn.NORM.DIST(CE$30,economics!$AK$2:$AK$167,economics!$AJ$2:$AJ$167,TRUE)))),"")</f>
        <v/>
      </c>
      <c r="CF35">
        <f t="array" ref="CF35">IFERROR((SUMPRODUCT((economics!$AG$2:$AG$167=$B35)*(economics!$D$2:$D$167="whr")*economics!$AI$2:$AI$167*(_xlfn.NORM.DIST(CF$3,economics!$AK$2:$AK$167,economics!$AJ$2:$AJ$167,TRUE)-_xlfn.NORM.DIST(CF$30,economics!$AK$2:$AK$167,economics!$AJ$2:$AJ$167,TRUE))*economics!$AM$2:$AM$167))/(SUMPRODUCT((economics!$AG$2:$AG$167=$B35)*(economics!$D$2:$D$167="whr")*economics!$AI$2:$AI$167*(_xlfn.NORM.DIST(CF$3,economics!$AK$2:$AK$167,economics!$AJ$2:$AJ$167,TRUE)-_xlfn.NORM.DIST(CF$30,economics!$AK$2:$AK$167,economics!$AJ$2:$AJ$167,TRUE)))),"")</f>
        <v/>
      </c>
      <c r="CG35">
        <f t="array" ref="CG35">IFERROR((SUMPRODUCT((economics!$AG$2:$AG$167=$B35)*(economics!$D$2:$D$167="whr")*economics!$AI$2:$AI$167*(_xlfn.NORM.DIST(CG$3,economics!$AK$2:$AK$167,economics!$AJ$2:$AJ$167,TRUE)-_xlfn.NORM.DIST(CG$30,economics!$AK$2:$AK$167,economics!$AJ$2:$AJ$167,TRUE))*economics!$AM$2:$AM$167))/(SUMPRODUCT((economics!$AG$2:$AG$167=$B35)*(economics!$D$2:$D$167="whr")*economics!$AI$2:$AI$167*(_xlfn.NORM.DIST(CG$3,economics!$AK$2:$AK$167,economics!$AJ$2:$AJ$167,TRUE)-_xlfn.NORM.DIST(CG$30,economics!$AK$2:$AK$167,economics!$AJ$2:$AJ$167,TRUE)))),"")</f>
        <v/>
      </c>
      <c r="CH35">
        <f t="array" ref="CH35">IFERROR((SUMPRODUCT((economics!$AG$2:$AG$167=$B35)*(economics!$D$2:$D$167="whr")*economics!$AI$2:$AI$167*(_xlfn.NORM.DIST(CH$3,economics!$AK$2:$AK$167,economics!$AJ$2:$AJ$167,TRUE)-_xlfn.NORM.DIST(CH$30,economics!$AK$2:$AK$167,economics!$AJ$2:$AJ$167,TRUE))*economics!$AM$2:$AM$167))/(SUMPRODUCT((economics!$AG$2:$AG$167=$B35)*(economics!$D$2:$D$167="whr")*economics!$AI$2:$AI$167*(_xlfn.NORM.DIST(CH$3,economics!$AK$2:$AK$167,economics!$AJ$2:$AJ$167,TRUE)-_xlfn.NORM.DIST(CH$30,economics!$AK$2:$AK$167,economics!$AJ$2:$AJ$167,TRUE)))),"")</f>
        <v/>
      </c>
    </row>
    <row r="36">
      <c r="A36">
        <f>A7</f>
        <v/>
      </c>
      <c r="B36">
        <f>B7</f>
        <v/>
      </c>
      <c r="E36">
        <f t="array" ref="E36">IFERROR((SUMPRODUCT((economics!$AG$2:$AG$167=$B36)*(economics!$D$2:$D$167="whr")*economics!$AI$2:$AI$167*(_xlfn.NORM.DIST(E$3,economics!$AK$2:$AK$167,economics!$AJ$2:$AJ$167,TRUE)-_xlfn.NORM.DIST(E$30,economics!$AK$2:$AK$167,economics!$AJ$2:$AJ$167,TRUE))*economics!$AM$2:$AM$167))/(SUMPRODUCT((economics!$AG$2:$AG$167=$B36)*(economics!$D$2:$D$167="whr")*economics!$AI$2:$AI$167*(_xlfn.NORM.DIST(E$3,economics!$AK$2:$AK$167,economics!$AJ$2:$AJ$167,TRUE)-_xlfn.NORM.DIST(E$30,economics!$AK$2:$AK$167,economics!$AJ$2:$AJ$167,TRUE)))),"")</f>
        <v/>
      </c>
      <c r="F36">
        <f t="array" ref="F36">IFERROR((SUMPRODUCT((economics!$AG$2:$AG$167=$B36)*(economics!$D$2:$D$167="whr")*economics!$AI$2:$AI$167*(_xlfn.NORM.DIST(F$3,economics!$AK$2:$AK$167,economics!$AJ$2:$AJ$167,TRUE)-_xlfn.NORM.DIST(F$30,economics!$AK$2:$AK$167,economics!$AJ$2:$AJ$167,TRUE))*economics!$AM$2:$AM$167))/(SUMPRODUCT((economics!$AG$2:$AG$167=$B36)*(economics!$D$2:$D$167="whr")*economics!$AI$2:$AI$167*(_xlfn.NORM.DIST(F$3,economics!$AK$2:$AK$167,economics!$AJ$2:$AJ$167,TRUE)-_xlfn.NORM.DIST(F$30,economics!$AK$2:$AK$167,economics!$AJ$2:$AJ$167,TRUE)))),"")</f>
        <v/>
      </c>
      <c r="G36">
        <f t="array" ref="G36">IFERROR((SUMPRODUCT((economics!$AG$2:$AG$167=$B36)*(economics!$D$2:$D$167="whr")*economics!$AI$2:$AI$167*(_xlfn.NORM.DIST(G$3,economics!$AK$2:$AK$167,economics!$AJ$2:$AJ$167,TRUE)-_xlfn.NORM.DIST(G$30,economics!$AK$2:$AK$167,economics!$AJ$2:$AJ$167,TRUE))*economics!$AM$2:$AM$167))/(SUMPRODUCT((economics!$AG$2:$AG$167=$B36)*(economics!$D$2:$D$167="whr")*economics!$AI$2:$AI$167*(_xlfn.NORM.DIST(G$3,economics!$AK$2:$AK$167,economics!$AJ$2:$AJ$167,TRUE)-_xlfn.NORM.DIST(G$30,economics!$AK$2:$AK$167,economics!$AJ$2:$AJ$167,TRUE)))),"")</f>
        <v/>
      </c>
      <c r="H36">
        <f t="array" ref="H36">IFERROR((SUMPRODUCT((economics!$AG$2:$AG$167=$B36)*(economics!$D$2:$D$167="whr")*economics!$AI$2:$AI$167*(_xlfn.NORM.DIST(H$3,economics!$AK$2:$AK$167,economics!$AJ$2:$AJ$167,TRUE)-_xlfn.NORM.DIST(H$30,economics!$AK$2:$AK$167,economics!$AJ$2:$AJ$167,TRUE))*economics!$AM$2:$AM$167))/(SUMPRODUCT((economics!$AG$2:$AG$167=$B36)*(economics!$D$2:$D$167="whr")*economics!$AI$2:$AI$167*(_xlfn.NORM.DIST(H$3,economics!$AK$2:$AK$167,economics!$AJ$2:$AJ$167,TRUE)-_xlfn.NORM.DIST(H$30,economics!$AK$2:$AK$167,economics!$AJ$2:$AJ$167,TRUE)))),"")</f>
        <v/>
      </c>
      <c r="I36">
        <f t="array" ref="I36">IFERROR((SUMPRODUCT((economics!$AG$2:$AG$167=$B36)*(economics!$D$2:$D$167="whr")*economics!$AI$2:$AI$167*(_xlfn.NORM.DIST(I$3,economics!$AK$2:$AK$167,economics!$AJ$2:$AJ$167,TRUE)-_xlfn.NORM.DIST(I$30,economics!$AK$2:$AK$167,economics!$AJ$2:$AJ$167,TRUE))*economics!$AM$2:$AM$167))/(SUMPRODUCT((economics!$AG$2:$AG$167=$B36)*(economics!$D$2:$D$167="whr")*economics!$AI$2:$AI$167*(_xlfn.NORM.DIST(I$3,economics!$AK$2:$AK$167,economics!$AJ$2:$AJ$167,TRUE)-_xlfn.NORM.DIST(I$30,economics!$AK$2:$AK$167,economics!$AJ$2:$AJ$167,TRUE)))),"")</f>
        <v/>
      </c>
      <c r="J36">
        <f t="array" ref="J36">IFERROR((SUMPRODUCT((economics!$AG$2:$AG$167=$B36)*(economics!$D$2:$D$167="whr")*economics!$AI$2:$AI$167*(_xlfn.NORM.DIST(J$3,economics!$AK$2:$AK$167,economics!$AJ$2:$AJ$167,TRUE)-_xlfn.NORM.DIST(J$30,economics!$AK$2:$AK$167,economics!$AJ$2:$AJ$167,TRUE))*economics!$AM$2:$AM$167))/(SUMPRODUCT((economics!$AG$2:$AG$167=$B36)*(economics!$D$2:$D$167="whr")*economics!$AI$2:$AI$167*(_xlfn.NORM.DIST(J$3,economics!$AK$2:$AK$167,economics!$AJ$2:$AJ$167,TRUE)-_xlfn.NORM.DIST(J$30,economics!$AK$2:$AK$167,economics!$AJ$2:$AJ$167,TRUE)))),"")</f>
        <v/>
      </c>
      <c r="K36">
        <f t="array" ref="K36">IFERROR((SUMPRODUCT((economics!$AG$2:$AG$167=$B36)*(economics!$D$2:$D$167="whr")*economics!$AI$2:$AI$167*(_xlfn.NORM.DIST(K$3,economics!$AK$2:$AK$167,economics!$AJ$2:$AJ$167,TRUE)-_xlfn.NORM.DIST(K$30,economics!$AK$2:$AK$167,economics!$AJ$2:$AJ$167,TRUE))*economics!$AM$2:$AM$167))/(SUMPRODUCT((economics!$AG$2:$AG$167=$B36)*(economics!$D$2:$D$167="whr")*economics!$AI$2:$AI$167*(_xlfn.NORM.DIST(K$3,economics!$AK$2:$AK$167,economics!$AJ$2:$AJ$167,TRUE)-_xlfn.NORM.DIST(K$30,economics!$AK$2:$AK$167,economics!$AJ$2:$AJ$167,TRUE)))),"")</f>
        <v/>
      </c>
      <c r="L36">
        <f t="array" ref="L36">IFERROR((SUMPRODUCT((economics!$AG$2:$AG$167=$B36)*(economics!$D$2:$D$167="whr")*economics!$AI$2:$AI$167*(_xlfn.NORM.DIST(L$3,economics!$AK$2:$AK$167,economics!$AJ$2:$AJ$167,TRUE)-_xlfn.NORM.DIST(L$30,economics!$AK$2:$AK$167,economics!$AJ$2:$AJ$167,TRUE))*economics!$AM$2:$AM$167))/(SUMPRODUCT((economics!$AG$2:$AG$167=$B36)*(economics!$D$2:$D$167="whr")*economics!$AI$2:$AI$167*(_xlfn.NORM.DIST(L$3,economics!$AK$2:$AK$167,economics!$AJ$2:$AJ$167,TRUE)-_xlfn.NORM.DIST(L$30,economics!$AK$2:$AK$167,economics!$AJ$2:$AJ$167,TRUE)))),"")</f>
        <v/>
      </c>
      <c r="M36">
        <f t="array" ref="M36">IFERROR((SUMPRODUCT((economics!$AG$2:$AG$167=$B36)*(economics!$D$2:$D$167="whr")*economics!$AI$2:$AI$167*(_xlfn.NORM.DIST(M$3,economics!$AK$2:$AK$167,economics!$AJ$2:$AJ$167,TRUE)-_xlfn.NORM.DIST(M$30,economics!$AK$2:$AK$167,economics!$AJ$2:$AJ$167,TRUE))*economics!$AM$2:$AM$167))/(SUMPRODUCT((economics!$AG$2:$AG$167=$B36)*(economics!$D$2:$D$167="whr")*economics!$AI$2:$AI$167*(_xlfn.NORM.DIST(M$3,economics!$AK$2:$AK$167,economics!$AJ$2:$AJ$167,TRUE)-_xlfn.NORM.DIST(M$30,economics!$AK$2:$AK$167,economics!$AJ$2:$AJ$167,TRUE)))),"")</f>
        <v/>
      </c>
      <c r="N36">
        <f t="array" ref="N36">IFERROR((SUMPRODUCT((economics!$AG$2:$AG$167=$B36)*(economics!$D$2:$D$167="whr")*economics!$AI$2:$AI$167*(_xlfn.NORM.DIST(N$3,economics!$AK$2:$AK$167,economics!$AJ$2:$AJ$167,TRUE)-_xlfn.NORM.DIST(N$30,economics!$AK$2:$AK$167,economics!$AJ$2:$AJ$167,TRUE))*economics!$AM$2:$AM$167))/(SUMPRODUCT((economics!$AG$2:$AG$167=$B36)*(economics!$D$2:$D$167="whr")*economics!$AI$2:$AI$167*(_xlfn.NORM.DIST(N$3,economics!$AK$2:$AK$167,economics!$AJ$2:$AJ$167,TRUE)-_xlfn.NORM.DIST(N$30,economics!$AK$2:$AK$167,economics!$AJ$2:$AJ$167,TRUE)))),"")</f>
        <v/>
      </c>
      <c r="O36">
        <f t="array" ref="O36">IFERROR((SUMPRODUCT((economics!$AG$2:$AG$167=$B36)*(economics!$D$2:$D$167="whr")*economics!$AI$2:$AI$167*(_xlfn.NORM.DIST(O$3,economics!$AK$2:$AK$167,economics!$AJ$2:$AJ$167,TRUE)-_xlfn.NORM.DIST(O$30,economics!$AK$2:$AK$167,economics!$AJ$2:$AJ$167,TRUE))*economics!$AM$2:$AM$167))/(SUMPRODUCT((economics!$AG$2:$AG$167=$B36)*(economics!$D$2:$D$167="whr")*economics!$AI$2:$AI$167*(_xlfn.NORM.DIST(O$3,economics!$AK$2:$AK$167,economics!$AJ$2:$AJ$167,TRUE)-_xlfn.NORM.DIST(O$30,economics!$AK$2:$AK$167,economics!$AJ$2:$AJ$167,TRUE)))),"")</f>
        <v/>
      </c>
      <c r="P36">
        <f t="array" ref="P36">IFERROR((SUMPRODUCT((economics!$AG$2:$AG$167=$B36)*(economics!$D$2:$D$167="whr")*economics!$AI$2:$AI$167*(_xlfn.NORM.DIST(P$3,economics!$AK$2:$AK$167,economics!$AJ$2:$AJ$167,TRUE)-_xlfn.NORM.DIST(P$30,economics!$AK$2:$AK$167,economics!$AJ$2:$AJ$167,TRUE))*economics!$AM$2:$AM$167))/(SUMPRODUCT((economics!$AG$2:$AG$167=$B36)*(economics!$D$2:$D$167="whr")*economics!$AI$2:$AI$167*(_xlfn.NORM.DIST(P$3,economics!$AK$2:$AK$167,economics!$AJ$2:$AJ$167,TRUE)-_xlfn.NORM.DIST(P$30,economics!$AK$2:$AK$167,economics!$AJ$2:$AJ$167,TRUE)))),"")</f>
        <v/>
      </c>
      <c r="Q36">
        <f t="array" ref="Q36">IFERROR((SUMPRODUCT((economics!$AG$2:$AG$167=$B36)*(economics!$D$2:$D$167="whr")*economics!$AI$2:$AI$167*(_xlfn.NORM.DIST(Q$3,economics!$AK$2:$AK$167,economics!$AJ$2:$AJ$167,TRUE)-_xlfn.NORM.DIST(Q$30,economics!$AK$2:$AK$167,economics!$AJ$2:$AJ$167,TRUE))*economics!$AM$2:$AM$167))/(SUMPRODUCT((economics!$AG$2:$AG$167=$B36)*(economics!$D$2:$D$167="whr")*economics!$AI$2:$AI$167*(_xlfn.NORM.DIST(Q$3,economics!$AK$2:$AK$167,economics!$AJ$2:$AJ$167,TRUE)-_xlfn.NORM.DIST(Q$30,economics!$AK$2:$AK$167,economics!$AJ$2:$AJ$167,TRUE)))),"")</f>
        <v/>
      </c>
      <c r="R36">
        <f t="array" ref="R36">IFERROR((SUMPRODUCT((economics!$AG$2:$AG$167=$B36)*(economics!$D$2:$D$167="whr")*economics!$AI$2:$AI$167*(_xlfn.NORM.DIST(R$3,economics!$AK$2:$AK$167,economics!$AJ$2:$AJ$167,TRUE)-_xlfn.NORM.DIST(R$30,economics!$AK$2:$AK$167,economics!$AJ$2:$AJ$167,TRUE))*economics!$AM$2:$AM$167))/(SUMPRODUCT((economics!$AG$2:$AG$167=$B36)*(economics!$D$2:$D$167="whr")*economics!$AI$2:$AI$167*(_xlfn.NORM.DIST(R$3,economics!$AK$2:$AK$167,economics!$AJ$2:$AJ$167,TRUE)-_xlfn.NORM.DIST(R$30,economics!$AK$2:$AK$167,economics!$AJ$2:$AJ$167,TRUE)))),"")</f>
        <v/>
      </c>
      <c r="S36">
        <f t="array" ref="S36">IFERROR((SUMPRODUCT((economics!$AG$2:$AG$167=$B36)*(economics!$D$2:$D$167="whr")*economics!$AI$2:$AI$167*(_xlfn.NORM.DIST(S$3,economics!$AK$2:$AK$167,economics!$AJ$2:$AJ$167,TRUE)-_xlfn.NORM.DIST(S$30,economics!$AK$2:$AK$167,economics!$AJ$2:$AJ$167,TRUE))*economics!$AM$2:$AM$167))/(SUMPRODUCT((economics!$AG$2:$AG$167=$B36)*(economics!$D$2:$D$167="whr")*economics!$AI$2:$AI$167*(_xlfn.NORM.DIST(S$3,economics!$AK$2:$AK$167,economics!$AJ$2:$AJ$167,TRUE)-_xlfn.NORM.DIST(S$30,economics!$AK$2:$AK$167,economics!$AJ$2:$AJ$167,TRUE)))),"")</f>
        <v/>
      </c>
      <c r="T36">
        <f t="array" ref="T36">IFERROR((SUMPRODUCT((economics!$AG$2:$AG$167=$B36)*(economics!$D$2:$D$167="whr")*economics!$AI$2:$AI$167*(_xlfn.NORM.DIST(T$3,economics!$AK$2:$AK$167,economics!$AJ$2:$AJ$167,TRUE)-_xlfn.NORM.DIST(T$30,economics!$AK$2:$AK$167,economics!$AJ$2:$AJ$167,TRUE))*economics!$AM$2:$AM$167))/(SUMPRODUCT((economics!$AG$2:$AG$167=$B36)*(economics!$D$2:$D$167="whr")*economics!$AI$2:$AI$167*(_xlfn.NORM.DIST(T$3,economics!$AK$2:$AK$167,economics!$AJ$2:$AJ$167,TRUE)-_xlfn.NORM.DIST(T$30,economics!$AK$2:$AK$167,economics!$AJ$2:$AJ$167,TRUE)))),"")</f>
        <v/>
      </c>
      <c r="U36">
        <f t="array" ref="U36">IFERROR((SUMPRODUCT((economics!$AG$2:$AG$167=$B36)*(economics!$D$2:$D$167="whr")*economics!$AI$2:$AI$167*(_xlfn.NORM.DIST(U$3,economics!$AK$2:$AK$167,economics!$AJ$2:$AJ$167,TRUE)-_xlfn.NORM.DIST(U$30,economics!$AK$2:$AK$167,economics!$AJ$2:$AJ$167,TRUE))*economics!$AM$2:$AM$167))/(SUMPRODUCT((economics!$AG$2:$AG$167=$B36)*(economics!$D$2:$D$167="whr")*economics!$AI$2:$AI$167*(_xlfn.NORM.DIST(U$3,economics!$AK$2:$AK$167,economics!$AJ$2:$AJ$167,TRUE)-_xlfn.NORM.DIST(U$30,economics!$AK$2:$AK$167,economics!$AJ$2:$AJ$167,TRUE)))),"")</f>
        <v/>
      </c>
      <c r="V36">
        <f t="array" ref="V36">IFERROR((SUMPRODUCT((economics!$AG$2:$AG$167=$B36)*(economics!$D$2:$D$167="whr")*economics!$AI$2:$AI$167*(_xlfn.NORM.DIST(V$3,economics!$AK$2:$AK$167,economics!$AJ$2:$AJ$167,TRUE)-_xlfn.NORM.DIST(V$30,economics!$AK$2:$AK$167,economics!$AJ$2:$AJ$167,TRUE))*economics!$AM$2:$AM$167))/(SUMPRODUCT((economics!$AG$2:$AG$167=$B36)*(economics!$D$2:$D$167="whr")*economics!$AI$2:$AI$167*(_xlfn.NORM.DIST(V$3,economics!$AK$2:$AK$167,economics!$AJ$2:$AJ$167,TRUE)-_xlfn.NORM.DIST(V$30,economics!$AK$2:$AK$167,economics!$AJ$2:$AJ$167,TRUE)))),"")</f>
        <v/>
      </c>
      <c r="W36">
        <f t="array" ref="W36">IFERROR((SUMPRODUCT((economics!$AG$2:$AG$167=$B36)*(economics!$D$2:$D$167="whr")*economics!$AI$2:$AI$167*(_xlfn.NORM.DIST(W$3,economics!$AK$2:$AK$167,economics!$AJ$2:$AJ$167,TRUE)-_xlfn.NORM.DIST(W$30,economics!$AK$2:$AK$167,economics!$AJ$2:$AJ$167,TRUE))*economics!$AM$2:$AM$167))/(SUMPRODUCT((economics!$AG$2:$AG$167=$B36)*(economics!$D$2:$D$167="whr")*economics!$AI$2:$AI$167*(_xlfn.NORM.DIST(W$3,economics!$AK$2:$AK$167,economics!$AJ$2:$AJ$167,TRUE)-_xlfn.NORM.DIST(W$30,economics!$AK$2:$AK$167,economics!$AJ$2:$AJ$167,TRUE)))),"")</f>
        <v/>
      </c>
      <c r="X36">
        <f t="array" ref="X36">IFERROR((SUMPRODUCT((economics!$AG$2:$AG$167=$B36)*(economics!$D$2:$D$167="whr")*economics!$AI$2:$AI$167*(_xlfn.NORM.DIST(X$3,economics!$AK$2:$AK$167,economics!$AJ$2:$AJ$167,TRUE)-_xlfn.NORM.DIST(X$30,economics!$AK$2:$AK$167,economics!$AJ$2:$AJ$167,TRUE))*economics!$AM$2:$AM$167))/(SUMPRODUCT((economics!$AG$2:$AG$167=$B36)*(economics!$D$2:$D$167="whr")*economics!$AI$2:$AI$167*(_xlfn.NORM.DIST(X$3,economics!$AK$2:$AK$167,economics!$AJ$2:$AJ$167,TRUE)-_xlfn.NORM.DIST(X$30,economics!$AK$2:$AK$167,economics!$AJ$2:$AJ$167,TRUE)))),"")</f>
        <v/>
      </c>
      <c r="Y36">
        <f t="array" ref="Y36">IFERROR((SUMPRODUCT((economics!$AG$2:$AG$167=$B36)*(economics!$D$2:$D$167="whr")*economics!$AI$2:$AI$167*(_xlfn.NORM.DIST(Y$3,economics!$AK$2:$AK$167,economics!$AJ$2:$AJ$167,TRUE)-_xlfn.NORM.DIST(Y$30,economics!$AK$2:$AK$167,economics!$AJ$2:$AJ$167,TRUE))*economics!$AM$2:$AM$167))/(SUMPRODUCT((economics!$AG$2:$AG$167=$B36)*(economics!$D$2:$D$167="whr")*economics!$AI$2:$AI$167*(_xlfn.NORM.DIST(Y$3,economics!$AK$2:$AK$167,economics!$AJ$2:$AJ$167,TRUE)-_xlfn.NORM.DIST(Y$30,economics!$AK$2:$AK$167,economics!$AJ$2:$AJ$167,TRUE)))),"")</f>
        <v/>
      </c>
      <c r="Z36">
        <f t="array" ref="Z36">IFERROR((SUMPRODUCT((economics!$AG$2:$AG$167=$B36)*(economics!$D$2:$D$167="whr")*economics!$AI$2:$AI$167*(_xlfn.NORM.DIST(Z$3,economics!$AK$2:$AK$167,economics!$AJ$2:$AJ$167,TRUE)-_xlfn.NORM.DIST(Z$30,economics!$AK$2:$AK$167,economics!$AJ$2:$AJ$167,TRUE))*economics!$AM$2:$AM$167))/(SUMPRODUCT((economics!$AG$2:$AG$167=$B36)*(economics!$D$2:$D$167="whr")*economics!$AI$2:$AI$167*(_xlfn.NORM.DIST(Z$3,economics!$AK$2:$AK$167,economics!$AJ$2:$AJ$167,TRUE)-_xlfn.NORM.DIST(Z$30,economics!$AK$2:$AK$167,economics!$AJ$2:$AJ$167,TRUE)))),"")</f>
        <v/>
      </c>
      <c r="AA36">
        <f t="array" ref="AA36">IFERROR((SUMPRODUCT((economics!$AG$2:$AG$167=$B36)*(economics!$D$2:$D$167="whr")*economics!$AI$2:$AI$167*(_xlfn.NORM.DIST(AA$3,economics!$AK$2:$AK$167,economics!$AJ$2:$AJ$167,TRUE)-_xlfn.NORM.DIST(AA$30,economics!$AK$2:$AK$167,economics!$AJ$2:$AJ$167,TRUE))*economics!$AM$2:$AM$167))/(SUMPRODUCT((economics!$AG$2:$AG$167=$B36)*(economics!$D$2:$D$167="whr")*economics!$AI$2:$AI$167*(_xlfn.NORM.DIST(AA$3,economics!$AK$2:$AK$167,economics!$AJ$2:$AJ$167,TRUE)-_xlfn.NORM.DIST(AA$30,economics!$AK$2:$AK$167,economics!$AJ$2:$AJ$167,TRUE)))),"")</f>
        <v/>
      </c>
      <c r="AB36">
        <f t="array" ref="AB36">IFERROR((SUMPRODUCT((economics!$AG$2:$AG$167=$B36)*(economics!$D$2:$D$167="whr")*economics!$AI$2:$AI$167*(_xlfn.NORM.DIST(AB$3,economics!$AK$2:$AK$167,economics!$AJ$2:$AJ$167,TRUE)-_xlfn.NORM.DIST(AB$30,economics!$AK$2:$AK$167,economics!$AJ$2:$AJ$167,TRUE))*economics!$AM$2:$AM$167))/(SUMPRODUCT((economics!$AG$2:$AG$167=$B36)*(economics!$D$2:$D$167="whr")*economics!$AI$2:$AI$167*(_xlfn.NORM.DIST(AB$3,economics!$AK$2:$AK$167,economics!$AJ$2:$AJ$167,TRUE)-_xlfn.NORM.DIST(AB$30,economics!$AK$2:$AK$167,economics!$AJ$2:$AJ$167,TRUE)))),"")</f>
        <v/>
      </c>
      <c r="AC36">
        <f t="array" ref="AC36">IFERROR((SUMPRODUCT((economics!$AG$2:$AG$167=$B36)*(economics!$D$2:$D$167="whr")*economics!$AI$2:$AI$167*(_xlfn.NORM.DIST(AC$3,economics!$AK$2:$AK$167,economics!$AJ$2:$AJ$167,TRUE)-_xlfn.NORM.DIST(AC$30,economics!$AK$2:$AK$167,economics!$AJ$2:$AJ$167,TRUE))*economics!$AM$2:$AM$167))/(SUMPRODUCT((economics!$AG$2:$AG$167=$B36)*(economics!$D$2:$D$167="whr")*economics!$AI$2:$AI$167*(_xlfn.NORM.DIST(AC$3,economics!$AK$2:$AK$167,economics!$AJ$2:$AJ$167,TRUE)-_xlfn.NORM.DIST(AC$30,economics!$AK$2:$AK$167,economics!$AJ$2:$AJ$167,TRUE)))),"")</f>
        <v/>
      </c>
      <c r="AD36">
        <f t="array" ref="AD36">IFERROR((SUMPRODUCT((economics!$AG$2:$AG$167=$B36)*(economics!$D$2:$D$167="whr")*economics!$AI$2:$AI$167*(_xlfn.NORM.DIST(AD$3,economics!$AK$2:$AK$167,economics!$AJ$2:$AJ$167,TRUE)-_xlfn.NORM.DIST(AD$30,economics!$AK$2:$AK$167,economics!$AJ$2:$AJ$167,TRUE))*economics!$AM$2:$AM$167))/(SUMPRODUCT((economics!$AG$2:$AG$167=$B36)*(economics!$D$2:$D$167="whr")*economics!$AI$2:$AI$167*(_xlfn.NORM.DIST(AD$3,economics!$AK$2:$AK$167,economics!$AJ$2:$AJ$167,TRUE)-_xlfn.NORM.DIST(AD$30,economics!$AK$2:$AK$167,economics!$AJ$2:$AJ$167,TRUE)))),"")</f>
        <v/>
      </c>
      <c r="AE36">
        <f t="array" ref="AE36">IFERROR((SUMPRODUCT((economics!$AG$2:$AG$167=$B36)*(economics!$D$2:$D$167="whr")*economics!$AI$2:$AI$167*(_xlfn.NORM.DIST(AE$3,economics!$AK$2:$AK$167,economics!$AJ$2:$AJ$167,TRUE)-_xlfn.NORM.DIST(AE$30,economics!$AK$2:$AK$167,economics!$AJ$2:$AJ$167,TRUE))*economics!$AM$2:$AM$167))/(SUMPRODUCT((economics!$AG$2:$AG$167=$B36)*(economics!$D$2:$D$167="whr")*economics!$AI$2:$AI$167*(_xlfn.NORM.DIST(AE$3,economics!$AK$2:$AK$167,economics!$AJ$2:$AJ$167,TRUE)-_xlfn.NORM.DIST(AE$30,economics!$AK$2:$AK$167,economics!$AJ$2:$AJ$167,TRUE)))),"")</f>
        <v/>
      </c>
      <c r="AF36">
        <f t="array" ref="AF36">IFERROR((SUMPRODUCT((economics!$AG$2:$AG$167=$B36)*(economics!$D$2:$D$167="whr")*economics!$AI$2:$AI$167*(_xlfn.NORM.DIST(AF$3,economics!$AK$2:$AK$167,economics!$AJ$2:$AJ$167,TRUE)-_xlfn.NORM.DIST(AF$30,economics!$AK$2:$AK$167,economics!$AJ$2:$AJ$167,TRUE))*economics!$AM$2:$AM$167))/(SUMPRODUCT((economics!$AG$2:$AG$167=$B36)*(economics!$D$2:$D$167="whr")*economics!$AI$2:$AI$167*(_xlfn.NORM.DIST(AF$3,economics!$AK$2:$AK$167,economics!$AJ$2:$AJ$167,TRUE)-_xlfn.NORM.DIST(AF$30,economics!$AK$2:$AK$167,economics!$AJ$2:$AJ$167,TRUE)))),"")</f>
        <v/>
      </c>
      <c r="AG36">
        <f t="array" ref="AG36">IFERROR((SUMPRODUCT((economics!$AG$2:$AG$167=$B36)*(economics!$D$2:$D$167="whr")*economics!$AI$2:$AI$167*(_xlfn.NORM.DIST(AG$3,economics!$AK$2:$AK$167,economics!$AJ$2:$AJ$167,TRUE)-_xlfn.NORM.DIST(AG$30,economics!$AK$2:$AK$167,economics!$AJ$2:$AJ$167,TRUE))*economics!$AM$2:$AM$167))/(SUMPRODUCT((economics!$AG$2:$AG$167=$B36)*(economics!$D$2:$D$167="whr")*economics!$AI$2:$AI$167*(_xlfn.NORM.DIST(AG$3,economics!$AK$2:$AK$167,economics!$AJ$2:$AJ$167,TRUE)-_xlfn.NORM.DIST(AG$30,economics!$AK$2:$AK$167,economics!$AJ$2:$AJ$167,TRUE)))),"")</f>
        <v/>
      </c>
      <c r="AH36">
        <f t="array" ref="AH36">IFERROR((SUMPRODUCT((economics!$AG$2:$AG$167=$B36)*(economics!$D$2:$D$167="whr")*economics!$AI$2:$AI$167*(_xlfn.NORM.DIST(AH$3,economics!$AK$2:$AK$167,economics!$AJ$2:$AJ$167,TRUE)-_xlfn.NORM.DIST(AH$30,economics!$AK$2:$AK$167,economics!$AJ$2:$AJ$167,TRUE))*economics!$AM$2:$AM$167))/(SUMPRODUCT((economics!$AG$2:$AG$167=$B36)*(economics!$D$2:$D$167="whr")*economics!$AI$2:$AI$167*(_xlfn.NORM.DIST(AH$3,economics!$AK$2:$AK$167,economics!$AJ$2:$AJ$167,TRUE)-_xlfn.NORM.DIST(AH$30,economics!$AK$2:$AK$167,economics!$AJ$2:$AJ$167,TRUE)))),"")</f>
        <v/>
      </c>
      <c r="AI36">
        <f t="array" ref="AI36">IFERROR((SUMPRODUCT((economics!$AG$2:$AG$167=$B36)*(economics!$D$2:$D$167="whr")*economics!$AI$2:$AI$167*(_xlfn.NORM.DIST(AI$3,economics!$AK$2:$AK$167,economics!$AJ$2:$AJ$167,TRUE)-_xlfn.NORM.DIST(AI$30,economics!$AK$2:$AK$167,economics!$AJ$2:$AJ$167,TRUE))*economics!$AM$2:$AM$167))/(SUMPRODUCT((economics!$AG$2:$AG$167=$B36)*(economics!$D$2:$D$167="whr")*economics!$AI$2:$AI$167*(_xlfn.NORM.DIST(AI$3,economics!$AK$2:$AK$167,economics!$AJ$2:$AJ$167,TRUE)-_xlfn.NORM.DIST(AI$30,economics!$AK$2:$AK$167,economics!$AJ$2:$AJ$167,TRUE)))),"")</f>
        <v/>
      </c>
      <c r="AJ36">
        <f t="array" ref="AJ36">IFERROR((SUMPRODUCT((economics!$AG$2:$AG$167=$B36)*(economics!$D$2:$D$167="whr")*economics!$AI$2:$AI$167*(_xlfn.NORM.DIST(AJ$3,economics!$AK$2:$AK$167,economics!$AJ$2:$AJ$167,TRUE)-_xlfn.NORM.DIST(AJ$30,economics!$AK$2:$AK$167,economics!$AJ$2:$AJ$167,TRUE))*economics!$AM$2:$AM$167))/(SUMPRODUCT((economics!$AG$2:$AG$167=$B36)*(economics!$D$2:$D$167="whr")*economics!$AI$2:$AI$167*(_xlfn.NORM.DIST(AJ$3,economics!$AK$2:$AK$167,economics!$AJ$2:$AJ$167,TRUE)-_xlfn.NORM.DIST(AJ$30,economics!$AK$2:$AK$167,economics!$AJ$2:$AJ$167,TRUE)))),"")</f>
        <v/>
      </c>
      <c r="AK36">
        <f t="array" ref="AK36">IFERROR((SUMPRODUCT((economics!$AG$2:$AG$167=$B36)*(economics!$D$2:$D$167="whr")*economics!$AI$2:$AI$167*(_xlfn.NORM.DIST(AK$3,economics!$AK$2:$AK$167,economics!$AJ$2:$AJ$167,TRUE)-_xlfn.NORM.DIST(AK$30,economics!$AK$2:$AK$167,economics!$AJ$2:$AJ$167,TRUE))*economics!$AM$2:$AM$167))/(SUMPRODUCT((economics!$AG$2:$AG$167=$B36)*(economics!$D$2:$D$167="whr")*economics!$AI$2:$AI$167*(_xlfn.NORM.DIST(AK$3,economics!$AK$2:$AK$167,economics!$AJ$2:$AJ$167,TRUE)-_xlfn.NORM.DIST(AK$30,economics!$AK$2:$AK$167,economics!$AJ$2:$AJ$167,TRUE)))),"")</f>
        <v/>
      </c>
      <c r="AL36">
        <f t="array" ref="AL36">IFERROR((SUMPRODUCT((economics!$AG$2:$AG$167=$B36)*(economics!$D$2:$D$167="whr")*economics!$AI$2:$AI$167*(_xlfn.NORM.DIST(AL$3,economics!$AK$2:$AK$167,economics!$AJ$2:$AJ$167,TRUE)-_xlfn.NORM.DIST(AL$30,economics!$AK$2:$AK$167,economics!$AJ$2:$AJ$167,TRUE))*economics!$AM$2:$AM$167))/(SUMPRODUCT((economics!$AG$2:$AG$167=$B36)*(economics!$D$2:$D$167="whr")*economics!$AI$2:$AI$167*(_xlfn.NORM.DIST(AL$3,economics!$AK$2:$AK$167,economics!$AJ$2:$AJ$167,TRUE)-_xlfn.NORM.DIST(AL$30,economics!$AK$2:$AK$167,economics!$AJ$2:$AJ$167,TRUE)))),"")</f>
        <v/>
      </c>
      <c r="AM36">
        <f t="array" ref="AM36">IFERROR((SUMPRODUCT((economics!$AG$2:$AG$167=$B36)*(economics!$D$2:$D$167="whr")*economics!$AI$2:$AI$167*(_xlfn.NORM.DIST(AM$3,economics!$AK$2:$AK$167,economics!$AJ$2:$AJ$167,TRUE)-_xlfn.NORM.DIST(AM$30,economics!$AK$2:$AK$167,economics!$AJ$2:$AJ$167,TRUE))*economics!$AM$2:$AM$167))/(SUMPRODUCT((economics!$AG$2:$AG$167=$B36)*(economics!$D$2:$D$167="whr")*economics!$AI$2:$AI$167*(_xlfn.NORM.DIST(AM$3,economics!$AK$2:$AK$167,economics!$AJ$2:$AJ$167,TRUE)-_xlfn.NORM.DIST(AM$30,economics!$AK$2:$AK$167,economics!$AJ$2:$AJ$167,TRUE)))),"")</f>
        <v/>
      </c>
      <c r="AN36">
        <f t="array" ref="AN36">IFERROR((SUMPRODUCT((economics!$AG$2:$AG$167=$B36)*(economics!$D$2:$D$167="whr")*economics!$AI$2:$AI$167*(_xlfn.NORM.DIST(AN$3,economics!$AK$2:$AK$167,economics!$AJ$2:$AJ$167,TRUE)-_xlfn.NORM.DIST(AN$30,economics!$AK$2:$AK$167,economics!$AJ$2:$AJ$167,TRUE))*economics!$AM$2:$AM$167))/(SUMPRODUCT((economics!$AG$2:$AG$167=$B36)*(economics!$D$2:$D$167="whr")*economics!$AI$2:$AI$167*(_xlfn.NORM.DIST(AN$3,economics!$AK$2:$AK$167,economics!$AJ$2:$AJ$167,TRUE)-_xlfn.NORM.DIST(AN$30,economics!$AK$2:$AK$167,economics!$AJ$2:$AJ$167,TRUE)))),"")</f>
        <v/>
      </c>
      <c r="AO36">
        <f t="array" ref="AO36">IFERROR((SUMPRODUCT((economics!$AG$2:$AG$167=$B36)*(economics!$D$2:$D$167="whr")*economics!$AI$2:$AI$167*(_xlfn.NORM.DIST(AO$3,economics!$AK$2:$AK$167,economics!$AJ$2:$AJ$167,TRUE)-_xlfn.NORM.DIST(AO$30,economics!$AK$2:$AK$167,economics!$AJ$2:$AJ$167,TRUE))*economics!$AM$2:$AM$167))/(SUMPRODUCT((economics!$AG$2:$AG$167=$B36)*(economics!$D$2:$D$167="whr")*economics!$AI$2:$AI$167*(_xlfn.NORM.DIST(AO$3,economics!$AK$2:$AK$167,economics!$AJ$2:$AJ$167,TRUE)-_xlfn.NORM.DIST(AO$30,economics!$AK$2:$AK$167,economics!$AJ$2:$AJ$167,TRUE)))),"")</f>
        <v/>
      </c>
      <c r="AP36">
        <f t="array" ref="AP36">IFERROR((SUMPRODUCT((economics!$AG$2:$AG$167=$B36)*(economics!$D$2:$D$167="whr")*economics!$AI$2:$AI$167*(_xlfn.NORM.DIST(AP$3,economics!$AK$2:$AK$167,economics!$AJ$2:$AJ$167,TRUE)-_xlfn.NORM.DIST(AP$30,economics!$AK$2:$AK$167,economics!$AJ$2:$AJ$167,TRUE))*economics!$AM$2:$AM$167))/(SUMPRODUCT((economics!$AG$2:$AG$167=$B36)*(economics!$D$2:$D$167="whr")*economics!$AI$2:$AI$167*(_xlfn.NORM.DIST(AP$3,economics!$AK$2:$AK$167,economics!$AJ$2:$AJ$167,TRUE)-_xlfn.NORM.DIST(AP$30,economics!$AK$2:$AK$167,economics!$AJ$2:$AJ$167,TRUE)))),"")</f>
        <v/>
      </c>
      <c r="AQ36">
        <f t="array" ref="AQ36">IFERROR((SUMPRODUCT((economics!$AG$2:$AG$167=$B36)*(economics!$D$2:$D$167="whr")*economics!$AI$2:$AI$167*(_xlfn.NORM.DIST(AQ$3,economics!$AK$2:$AK$167,economics!$AJ$2:$AJ$167,TRUE)-_xlfn.NORM.DIST(AQ$30,economics!$AK$2:$AK$167,economics!$AJ$2:$AJ$167,TRUE))*economics!$AM$2:$AM$167))/(SUMPRODUCT((economics!$AG$2:$AG$167=$B36)*(economics!$D$2:$D$167="whr")*economics!$AI$2:$AI$167*(_xlfn.NORM.DIST(AQ$3,economics!$AK$2:$AK$167,economics!$AJ$2:$AJ$167,TRUE)-_xlfn.NORM.DIST(AQ$30,economics!$AK$2:$AK$167,economics!$AJ$2:$AJ$167,TRUE)))),"")</f>
        <v/>
      </c>
      <c r="AR36">
        <f t="array" ref="AR36">IFERROR((SUMPRODUCT((economics!$AG$2:$AG$167=$B36)*(economics!$D$2:$D$167="whr")*economics!$AI$2:$AI$167*(_xlfn.NORM.DIST(AR$3,economics!$AK$2:$AK$167,economics!$AJ$2:$AJ$167,TRUE)-_xlfn.NORM.DIST(AR$30,economics!$AK$2:$AK$167,economics!$AJ$2:$AJ$167,TRUE))*economics!$AM$2:$AM$167))/(SUMPRODUCT((economics!$AG$2:$AG$167=$B36)*(economics!$D$2:$D$167="whr")*economics!$AI$2:$AI$167*(_xlfn.NORM.DIST(AR$3,economics!$AK$2:$AK$167,economics!$AJ$2:$AJ$167,TRUE)-_xlfn.NORM.DIST(AR$30,economics!$AK$2:$AK$167,economics!$AJ$2:$AJ$167,TRUE)))),"")</f>
        <v/>
      </c>
      <c r="AS36">
        <f t="array" ref="AS36">IFERROR((SUMPRODUCT((economics!$AG$2:$AG$167=$B36)*(economics!$D$2:$D$167="whr")*economics!$AI$2:$AI$167*(_xlfn.NORM.DIST(AS$3,economics!$AK$2:$AK$167,economics!$AJ$2:$AJ$167,TRUE)-_xlfn.NORM.DIST(AS$30,economics!$AK$2:$AK$167,economics!$AJ$2:$AJ$167,TRUE))*economics!$AM$2:$AM$167))/(SUMPRODUCT((economics!$AG$2:$AG$167=$B36)*(economics!$D$2:$D$167="whr")*economics!$AI$2:$AI$167*(_xlfn.NORM.DIST(AS$3,economics!$AK$2:$AK$167,economics!$AJ$2:$AJ$167,TRUE)-_xlfn.NORM.DIST(AS$30,economics!$AK$2:$AK$167,economics!$AJ$2:$AJ$167,TRUE)))),"")</f>
        <v/>
      </c>
      <c r="AT36">
        <f t="array" ref="AT36">IFERROR((SUMPRODUCT((economics!$AG$2:$AG$167=$B36)*(economics!$D$2:$D$167="whr")*economics!$AI$2:$AI$167*(_xlfn.NORM.DIST(AT$3,economics!$AK$2:$AK$167,economics!$AJ$2:$AJ$167,TRUE)-_xlfn.NORM.DIST(AT$30,economics!$AK$2:$AK$167,economics!$AJ$2:$AJ$167,TRUE))*economics!$AM$2:$AM$167))/(SUMPRODUCT((economics!$AG$2:$AG$167=$B36)*(economics!$D$2:$D$167="whr")*economics!$AI$2:$AI$167*(_xlfn.NORM.DIST(AT$3,economics!$AK$2:$AK$167,economics!$AJ$2:$AJ$167,TRUE)-_xlfn.NORM.DIST(AT$30,economics!$AK$2:$AK$167,economics!$AJ$2:$AJ$167,TRUE)))),"")</f>
        <v/>
      </c>
      <c r="AU36">
        <f t="array" ref="AU36">IFERROR((SUMPRODUCT((economics!$AG$2:$AG$167=$B36)*(economics!$D$2:$D$167="whr")*economics!$AI$2:$AI$167*(_xlfn.NORM.DIST(AU$3,economics!$AK$2:$AK$167,economics!$AJ$2:$AJ$167,TRUE)-_xlfn.NORM.DIST(AU$30,economics!$AK$2:$AK$167,economics!$AJ$2:$AJ$167,TRUE))*economics!$AM$2:$AM$167))/(SUMPRODUCT((economics!$AG$2:$AG$167=$B36)*(economics!$D$2:$D$167="whr")*economics!$AI$2:$AI$167*(_xlfn.NORM.DIST(AU$3,economics!$AK$2:$AK$167,economics!$AJ$2:$AJ$167,TRUE)-_xlfn.NORM.DIST(AU$30,economics!$AK$2:$AK$167,economics!$AJ$2:$AJ$167,TRUE)))),"")</f>
        <v/>
      </c>
      <c r="AV36">
        <f t="array" ref="AV36">IFERROR((SUMPRODUCT((economics!$AG$2:$AG$167=$B36)*(economics!$D$2:$D$167="whr")*economics!$AI$2:$AI$167*(_xlfn.NORM.DIST(AV$3,economics!$AK$2:$AK$167,economics!$AJ$2:$AJ$167,TRUE)-_xlfn.NORM.DIST(AV$30,economics!$AK$2:$AK$167,economics!$AJ$2:$AJ$167,TRUE))*economics!$AM$2:$AM$167))/(SUMPRODUCT((economics!$AG$2:$AG$167=$B36)*(economics!$D$2:$D$167="whr")*economics!$AI$2:$AI$167*(_xlfn.NORM.DIST(AV$3,economics!$AK$2:$AK$167,economics!$AJ$2:$AJ$167,TRUE)-_xlfn.NORM.DIST(AV$30,economics!$AK$2:$AK$167,economics!$AJ$2:$AJ$167,TRUE)))),"")</f>
        <v/>
      </c>
      <c r="AW36">
        <f t="array" ref="AW36">IFERROR((SUMPRODUCT((economics!$AG$2:$AG$167=$B36)*(economics!$D$2:$D$167="whr")*economics!$AI$2:$AI$167*(_xlfn.NORM.DIST(AW$3,economics!$AK$2:$AK$167,economics!$AJ$2:$AJ$167,TRUE)-_xlfn.NORM.DIST(AW$30,economics!$AK$2:$AK$167,economics!$AJ$2:$AJ$167,TRUE))*economics!$AM$2:$AM$167))/(SUMPRODUCT((economics!$AG$2:$AG$167=$B36)*(economics!$D$2:$D$167="whr")*economics!$AI$2:$AI$167*(_xlfn.NORM.DIST(AW$3,economics!$AK$2:$AK$167,economics!$AJ$2:$AJ$167,TRUE)-_xlfn.NORM.DIST(AW$30,economics!$AK$2:$AK$167,economics!$AJ$2:$AJ$167,TRUE)))),"")</f>
        <v/>
      </c>
      <c r="AX36">
        <f t="array" ref="AX36">IFERROR((SUMPRODUCT((economics!$AG$2:$AG$167=$B36)*(economics!$D$2:$D$167="whr")*economics!$AI$2:$AI$167*(_xlfn.NORM.DIST(AX$3,economics!$AK$2:$AK$167,economics!$AJ$2:$AJ$167,TRUE)-_xlfn.NORM.DIST(AX$30,economics!$AK$2:$AK$167,economics!$AJ$2:$AJ$167,TRUE))*economics!$AM$2:$AM$167))/(SUMPRODUCT((economics!$AG$2:$AG$167=$B36)*(economics!$D$2:$D$167="whr")*economics!$AI$2:$AI$167*(_xlfn.NORM.DIST(AX$3,economics!$AK$2:$AK$167,economics!$AJ$2:$AJ$167,TRUE)-_xlfn.NORM.DIST(AX$30,economics!$AK$2:$AK$167,economics!$AJ$2:$AJ$167,TRUE)))),"")</f>
        <v/>
      </c>
      <c r="AY36">
        <f t="array" ref="AY36">IFERROR((SUMPRODUCT((economics!$AG$2:$AG$167=$B36)*(economics!$D$2:$D$167="whr")*economics!$AI$2:$AI$167*(_xlfn.NORM.DIST(AY$3,economics!$AK$2:$AK$167,economics!$AJ$2:$AJ$167,TRUE)-_xlfn.NORM.DIST(AY$30,economics!$AK$2:$AK$167,economics!$AJ$2:$AJ$167,TRUE))*economics!$AM$2:$AM$167))/(SUMPRODUCT((economics!$AG$2:$AG$167=$B36)*(economics!$D$2:$D$167="whr")*economics!$AI$2:$AI$167*(_xlfn.NORM.DIST(AY$3,economics!$AK$2:$AK$167,economics!$AJ$2:$AJ$167,TRUE)-_xlfn.NORM.DIST(AY$30,economics!$AK$2:$AK$167,economics!$AJ$2:$AJ$167,TRUE)))),"")</f>
        <v/>
      </c>
      <c r="AZ36">
        <f t="array" ref="AZ36">IFERROR((SUMPRODUCT((economics!$AG$2:$AG$167=$B36)*(economics!$D$2:$D$167="whr")*economics!$AI$2:$AI$167*(_xlfn.NORM.DIST(AZ$3,economics!$AK$2:$AK$167,economics!$AJ$2:$AJ$167,TRUE)-_xlfn.NORM.DIST(AZ$30,economics!$AK$2:$AK$167,economics!$AJ$2:$AJ$167,TRUE))*economics!$AM$2:$AM$167))/(SUMPRODUCT((economics!$AG$2:$AG$167=$B36)*(economics!$D$2:$D$167="whr")*economics!$AI$2:$AI$167*(_xlfn.NORM.DIST(AZ$3,economics!$AK$2:$AK$167,economics!$AJ$2:$AJ$167,TRUE)-_xlfn.NORM.DIST(AZ$30,economics!$AK$2:$AK$167,economics!$AJ$2:$AJ$167,TRUE)))),"")</f>
        <v/>
      </c>
      <c r="BA36">
        <f t="array" ref="BA36">IFERROR((SUMPRODUCT((economics!$AG$2:$AG$167=$B36)*(economics!$D$2:$D$167="whr")*economics!$AI$2:$AI$167*(_xlfn.NORM.DIST(BA$3,economics!$AK$2:$AK$167,economics!$AJ$2:$AJ$167,TRUE)-_xlfn.NORM.DIST(BA$30,economics!$AK$2:$AK$167,economics!$AJ$2:$AJ$167,TRUE))*economics!$AM$2:$AM$167))/(SUMPRODUCT((economics!$AG$2:$AG$167=$B36)*(economics!$D$2:$D$167="whr")*economics!$AI$2:$AI$167*(_xlfn.NORM.DIST(BA$3,economics!$AK$2:$AK$167,economics!$AJ$2:$AJ$167,TRUE)-_xlfn.NORM.DIST(BA$30,economics!$AK$2:$AK$167,economics!$AJ$2:$AJ$167,TRUE)))),"")</f>
        <v/>
      </c>
      <c r="BB36">
        <f t="array" ref="BB36">IFERROR((SUMPRODUCT((economics!$AG$2:$AG$167=$B36)*(economics!$D$2:$D$167="whr")*economics!$AI$2:$AI$167*(_xlfn.NORM.DIST(BB$3,economics!$AK$2:$AK$167,economics!$AJ$2:$AJ$167,TRUE)-_xlfn.NORM.DIST(BB$30,economics!$AK$2:$AK$167,economics!$AJ$2:$AJ$167,TRUE))*economics!$AM$2:$AM$167))/(SUMPRODUCT((economics!$AG$2:$AG$167=$B36)*(economics!$D$2:$D$167="whr")*economics!$AI$2:$AI$167*(_xlfn.NORM.DIST(BB$3,economics!$AK$2:$AK$167,economics!$AJ$2:$AJ$167,TRUE)-_xlfn.NORM.DIST(BB$30,economics!$AK$2:$AK$167,economics!$AJ$2:$AJ$167,TRUE)))),"")</f>
        <v/>
      </c>
      <c r="BC36">
        <f t="array" ref="BC36">IFERROR((SUMPRODUCT((economics!$AG$2:$AG$167=$B36)*(economics!$D$2:$D$167="whr")*economics!$AI$2:$AI$167*(_xlfn.NORM.DIST(BC$3,economics!$AK$2:$AK$167,economics!$AJ$2:$AJ$167,TRUE)-_xlfn.NORM.DIST(BC$30,economics!$AK$2:$AK$167,economics!$AJ$2:$AJ$167,TRUE))*economics!$AM$2:$AM$167))/(SUMPRODUCT((economics!$AG$2:$AG$167=$B36)*(economics!$D$2:$D$167="whr")*economics!$AI$2:$AI$167*(_xlfn.NORM.DIST(BC$3,economics!$AK$2:$AK$167,economics!$AJ$2:$AJ$167,TRUE)-_xlfn.NORM.DIST(BC$30,economics!$AK$2:$AK$167,economics!$AJ$2:$AJ$167,TRUE)))),"")</f>
        <v/>
      </c>
      <c r="BD36">
        <f t="array" ref="BD36">IFERROR((SUMPRODUCT((economics!$AG$2:$AG$167=$B36)*(economics!$D$2:$D$167="whr")*economics!$AI$2:$AI$167*(_xlfn.NORM.DIST(BD$3,economics!$AK$2:$AK$167,economics!$AJ$2:$AJ$167,TRUE)-_xlfn.NORM.DIST(BD$30,economics!$AK$2:$AK$167,economics!$AJ$2:$AJ$167,TRUE))*economics!$AM$2:$AM$167))/(SUMPRODUCT((economics!$AG$2:$AG$167=$B36)*(economics!$D$2:$D$167="whr")*economics!$AI$2:$AI$167*(_xlfn.NORM.DIST(BD$3,economics!$AK$2:$AK$167,economics!$AJ$2:$AJ$167,TRUE)-_xlfn.NORM.DIST(BD$30,economics!$AK$2:$AK$167,economics!$AJ$2:$AJ$167,TRUE)))),"")</f>
        <v/>
      </c>
      <c r="BE36">
        <f t="array" ref="BE36">IFERROR((SUMPRODUCT((economics!$AG$2:$AG$167=$B36)*(economics!$D$2:$D$167="whr")*economics!$AI$2:$AI$167*(_xlfn.NORM.DIST(BE$3,economics!$AK$2:$AK$167,economics!$AJ$2:$AJ$167,TRUE)-_xlfn.NORM.DIST(BE$30,economics!$AK$2:$AK$167,economics!$AJ$2:$AJ$167,TRUE))*economics!$AM$2:$AM$167))/(SUMPRODUCT((economics!$AG$2:$AG$167=$B36)*(economics!$D$2:$D$167="whr")*economics!$AI$2:$AI$167*(_xlfn.NORM.DIST(BE$3,economics!$AK$2:$AK$167,economics!$AJ$2:$AJ$167,TRUE)-_xlfn.NORM.DIST(BE$30,economics!$AK$2:$AK$167,economics!$AJ$2:$AJ$167,TRUE)))),"")</f>
        <v/>
      </c>
      <c r="BF36">
        <f t="array" ref="BF36">IFERROR((SUMPRODUCT((economics!$AG$2:$AG$167=$B36)*(economics!$D$2:$D$167="whr")*economics!$AI$2:$AI$167*(_xlfn.NORM.DIST(BF$3,economics!$AK$2:$AK$167,economics!$AJ$2:$AJ$167,TRUE)-_xlfn.NORM.DIST(BF$30,economics!$AK$2:$AK$167,economics!$AJ$2:$AJ$167,TRUE))*economics!$AM$2:$AM$167))/(SUMPRODUCT((economics!$AG$2:$AG$167=$B36)*(economics!$D$2:$D$167="whr")*economics!$AI$2:$AI$167*(_xlfn.NORM.DIST(BF$3,economics!$AK$2:$AK$167,economics!$AJ$2:$AJ$167,TRUE)-_xlfn.NORM.DIST(BF$30,economics!$AK$2:$AK$167,economics!$AJ$2:$AJ$167,TRUE)))),"")</f>
        <v/>
      </c>
      <c r="BG36">
        <f t="array" ref="BG36">IFERROR((SUMPRODUCT((economics!$AG$2:$AG$167=$B36)*(economics!$D$2:$D$167="whr")*economics!$AI$2:$AI$167*(_xlfn.NORM.DIST(BG$3,economics!$AK$2:$AK$167,economics!$AJ$2:$AJ$167,TRUE)-_xlfn.NORM.DIST(BG$30,economics!$AK$2:$AK$167,economics!$AJ$2:$AJ$167,TRUE))*economics!$AM$2:$AM$167))/(SUMPRODUCT((economics!$AG$2:$AG$167=$B36)*(economics!$D$2:$D$167="whr")*economics!$AI$2:$AI$167*(_xlfn.NORM.DIST(BG$3,economics!$AK$2:$AK$167,economics!$AJ$2:$AJ$167,TRUE)-_xlfn.NORM.DIST(BG$30,economics!$AK$2:$AK$167,economics!$AJ$2:$AJ$167,TRUE)))),"")</f>
        <v/>
      </c>
      <c r="BH36">
        <f t="array" ref="BH36">IFERROR((SUMPRODUCT((economics!$AG$2:$AG$167=$B36)*(economics!$D$2:$D$167="whr")*economics!$AI$2:$AI$167*(_xlfn.NORM.DIST(BH$3,economics!$AK$2:$AK$167,economics!$AJ$2:$AJ$167,TRUE)-_xlfn.NORM.DIST(BH$30,economics!$AK$2:$AK$167,economics!$AJ$2:$AJ$167,TRUE))*economics!$AM$2:$AM$167))/(SUMPRODUCT((economics!$AG$2:$AG$167=$B36)*(economics!$D$2:$D$167="whr")*economics!$AI$2:$AI$167*(_xlfn.NORM.DIST(BH$3,economics!$AK$2:$AK$167,economics!$AJ$2:$AJ$167,TRUE)-_xlfn.NORM.DIST(BH$30,economics!$AK$2:$AK$167,economics!$AJ$2:$AJ$167,TRUE)))),"")</f>
        <v/>
      </c>
      <c r="BI36">
        <f t="array" ref="BI36">IFERROR((SUMPRODUCT((economics!$AG$2:$AG$167=$B36)*(economics!$D$2:$D$167="whr")*economics!$AI$2:$AI$167*(_xlfn.NORM.DIST(BI$3,economics!$AK$2:$AK$167,economics!$AJ$2:$AJ$167,TRUE)-_xlfn.NORM.DIST(BI$30,economics!$AK$2:$AK$167,economics!$AJ$2:$AJ$167,TRUE))*economics!$AM$2:$AM$167))/(SUMPRODUCT((economics!$AG$2:$AG$167=$B36)*(economics!$D$2:$D$167="whr")*economics!$AI$2:$AI$167*(_xlfn.NORM.DIST(BI$3,economics!$AK$2:$AK$167,economics!$AJ$2:$AJ$167,TRUE)-_xlfn.NORM.DIST(BI$30,economics!$AK$2:$AK$167,economics!$AJ$2:$AJ$167,TRUE)))),"")</f>
        <v/>
      </c>
      <c r="BJ36">
        <f t="array" ref="BJ36">IFERROR((SUMPRODUCT((economics!$AG$2:$AG$167=$B36)*(economics!$D$2:$D$167="whr")*economics!$AI$2:$AI$167*(_xlfn.NORM.DIST(BJ$3,economics!$AK$2:$AK$167,economics!$AJ$2:$AJ$167,TRUE)-_xlfn.NORM.DIST(BJ$30,economics!$AK$2:$AK$167,economics!$AJ$2:$AJ$167,TRUE))*economics!$AM$2:$AM$167))/(SUMPRODUCT((economics!$AG$2:$AG$167=$B36)*(economics!$D$2:$D$167="whr")*economics!$AI$2:$AI$167*(_xlfn.NORM.DIST(BJ$3,economics!$AK$2:$AK$167,economics!$AJ$2:$AJ$167,TRUE)-_xlfn.NORM.DIST(BJ$30,economics!$AK$2:$AK$167,economics!$AJ$2:$AJ$167,TRUE)))),"")</f>
        <v/>
      </c>
      <c r="BK36">
        <f t="array" ref="BK36">IFERROR((SUMPRODUCT((economics!$AG$2:$AG$167=$B36)*(economics!$D$2:$D$167="whr")*economics!$AI$2:$AI$167*(_xlfn.NORM.DIST(BK$3,economics!$AK$2:$AK$167,economics!$AJ$2:$AJ$167,TRUE)-_xlfn.NORM.DIST(BK$30,economics!$AK$2:$AK$167,economics!$AJ$2:$AJ$167,TRUE))*economics!$AM$2:$AM$167))/(SUMPRODUCT((economics!$AG$2:$AG$167=$B36)*(economics!$D$2:$D$167="whr")*economics!$AI$2:$AI$167*(_xlfn.NORM.DIST(BK$3,economics!$AK$2:$AK$167,economics!$AJ$2:$AJ$167,TRUE)-_xlfn.NORM.DIST(BK$30,economics!$AK$2:$AK$167,economics!$AJ$2:$AJ$167,TRUE)))),"")</f>
        <v/>
      </c>
      <c r="BL36">
        <f t="array" ref="BL36">IFERROR((SUMPRODUCT((economics!$AG$2:$AG$167=$B36)*(economics!$D$2:$D$167="whr")*economics!$AI$2:$AI$167*(_xlfn.NORM.DIST(BL$3,economics!$AK$2:$AK$167,economics!$AJ$2:$AJ$167,TRUE)-_xlfn.NORM.DIST(BL$30,economics!$AK$2:$AK$167,economics!$AJ$2:$AJ$167,TRUE))*economics!$AM$2:$AM$167))/(SUMPRODUCT((economics!$AG$2:$AG$167=$B36)*(economics!$D$2:$D$167="whr")*economics!$AI$2:$AI$167*(_xlfn.NORM.DIST(BL$3,economics!$AK$2:$AK$167,economics!$AJ$2:$AJ$167,TRUE)-_xlfn.NORM.DIST(BL$30,economics!$AK$2:$AK$167,economics!$AJ$2:$AJ$167,TRUE)))),"")</f>
        <v/>
      </c>
      <c r="BM36">
        <f t="array" ref="BM36">IFERROR((SUMPRODUCT((economics!$AG$2:$AG$167=$B36)*(economics!$D$2:$D$167="whr")*economics!$AI$2:$AI$167*(_xlfn.NORM.DIST(BM$3,economics!$AK$2:$AK$167,economics!$AJ$2:$AJ$167,TRUE)-_xlfn.NORM.DIST(BM$30,economics!$AK$2:$AK$167,economics!$AJ$2:$AJ$167,TRUE))*economics!$AM$2:$AM$167))/(SUMPRODUCT((economics!$AG$2:$AG$167=$B36)*(economics!$D$2:$D$167="whr")*economics!$AI$2:$AI$167*(_xlfn.NORM.DIST(BM$3,economics!$AK$2:$AK$167,economics!$AJ$2:$AJ$167,TRUE)-_xlfn.NORM.DIST(BM$30,economics!$AK$2:$AK$167,economics!$AJ$2:$AJ$167,TRUE)))),"")</f>
        <v/>
      </c>
      <c r="BN36">
        <f t="array" ref="BN36">IFERROR((SUMPRODUCT((economics!$AG$2:$AG$167=$B36)*(economics!$D$2:$D$167="whr")*economics!$AI$2:$AI$167*(_xlfn.NORM.DIST(BN$3,economics!$AK$2:$AK$167,economics!$AJ$2:$AJ$167,TRUE)-_xlfn.NORM.DIST(BN$30,economics!$AK$2:$AK$167,economics!$AJ$2:$AJ$167,TRUE))*economics!$AM$2:$AM$167))/(SUMPRODUCT((economics!$AG$2:$AG$167=$B36)*(economics!$D$2:$D$167="whr")*economics!$AI$2:$AI$167*(_xlfn.NORM.DIST(BN$3,economics!$AK$2:$AK$167,economics!$AJ$2:$AJ$167,TRUE)-_xlfn.NORM.DIST(BN$30,economics!$AK$2:$AK$167,economics!$AJ$2:$AJ$167,TRUE)))),"")</f>
        <v/>
      </c>
      <c r="BO36">
        <f t="array" ref="BO36">IFERROR((SUMPRODUCT((economics!$AG$2:$AG$167=$B36)*(economics!$D$2:$D$167="whr")*economics!$AI$2:$AI$167*(_xlfn.NORM.DIST(BO$3,economics!$AK$2:$AK$167,economics!$AJ$2:$AJ$167,TRUE)-_xlfn.NORM.DIST(BO$30,economics!$AK$2:$AK$167,economics!$AJ$2:$AJ$167,TRUE))*economics!$AM$2:$AM$167))/(SUMPRODUCT((economics!$AG$2:$AG$167=$B36)*(economics!$D$2:$D$167="whr")*economics!$AI$2:$AI$167*(_xlfn.NORM.DIST(BO$3,economics!$AK$2:$AK$167,economics!$AJ$2:$AJ$167,TRUE)-_xlfn.NORM.DIST(BO$30,economics!$AK$2:$AK$167,economics!$AJ$2:$AJ$167,TRUE)))),"")</f>
        <v/>
      </c>
      <c r="BP36">
        <f t="array" ref="BP36">IFERROR((SUMPRODUCT((economics!$AG$2:$AG$167=$B36)*(economics!$D$2:$D$167="whr")*economics!$AI$2:$AI$167*(_xlfn.NORM.DIST(BP$3,economics!$AK$2:$AK$167,economics!$AJ$2:$AJ$167,TRUE)-_xlfn.NORM.DIST(BP$30,economics!$AK$2:$AK$167,economics!$AJ$2:$AJ$167,TRUE))*economics!$AM$2:$AM$167))/(SUMPRODUCT((economics!$AG$2:$AG$167=$B36)*(economics!$D$2:$D$167="whr")*economics!$AI$2:$AI$167*(_xlfn.NORM.DIST(BP$3,economics!$AK$2:$AK$167,economics!$AJ$2:$AJ$167,TRUE)-_xlfn.NORM.DIST(BP$30,economics!$AK$2:$AK$167,economics!$AJ$2:$AJ$167,TRUE)))),"")</f>
        <v/>
      </c>
      <c r="BQ36">
        <f t="array" ref="BQ36">IFERROR((SUMPRODUCT((economics!$AG$2:$AG$167=$B36)*(economics!$D$2:$D$167="whr")*economics!$AI$2:$AI$167*(_xlfn.NORM.DIST(BQ$3,economics!$AK$2:$AK$167,economics!$AJ$2:$AJ$167,TRUE)-_xlfn.NORM.DIST(BQ$30,economics!$AK$2:$AK$167,economics!$AJ$2:$AJ$167,TRUE))*economics!$AM$2:$AM$167))/(SUMPRODUCT((economics!$AG$2:$AG$167=$B36)*(economics!$D$2:$D$167="whr")*economics!$AI$2:$AI$167*(_xlfn.NORM.DIST(BQ$3,economics!$AK$2:$AK$167,economics!$AJ$2:$AJ$167,TRUE)-_xlfn.NORM.DIST(BQ$30,economics!$AK$2:$AK$167,economics!$AJ$2:$AJ$167,TRUE)))),"")</f>
        <v/>
      </c>
      <c r="BR36">
        <f t="array" ref="BR36">IFERROR((SUMPRODUCT((economics!$AG$2:$AG$167=$B36)*(economics!$D$2:$D$167="whr")*economics!$AI$2:$AI$167*(_xlfn.NORM.DIST(BR$3,economics!$AK$2:$AK$167,economics!$AJ$2:$AJ$167,TRUE)-_xlfn.NORM.DIST(BR$30,economics!$AK$2:$AK$167,economics!$AJ$2:$AJ$167,TRUE))*economics!$AM$2:$AM$167))/(SUMPRODUCT((economics!$AG$2:$AG$167=$B36)*(economics!$D$2:$D$167="whr")*economics!$AI$2:$AI$167*(_xlfn.NORM.DIST(BR$3,economics!$AK$2:$AK$167,economics!$AJ$2:$AJ$167,TRUE)-_xlfn.NORM.DIST(BR$30,economics!$AK$2:$AK$167,economics!$AJ$2:$AJ$167,TRUE)))),"")</f>
        <v/>
      </c>
      <c r="BS36">
        <f t="array" ref="BS36">IFERROR((SUMPRODUCT((economics!$AG$2:$AG$167=$B36)*(economics!$D$2:$D$167="whr")*economics!$AI$2:$AI$167*(_xlfn.NORM.DIST(BS$3,economics!$AK$2:$AK$167,economics!$AJ$2:$AJ$167,TRUE)-_xlfn.NORM.DIST(BS$30,economics!$AK$2:$AK$167,economics!$AJ$2:$AJ$167,TRUE))*economics!$AM$2:$AM$167))/(SUMPRODUCT((economics!$AG$2:$AG$167=$B36)*(economics!$D$2:$D$167="whr")*economics!$AI$2:$AI$167*(_xlfn.NORM.DIST(BS$3,economics!$AK$2:$AK$167,economics!$AJ$2:$AJ$167,TRUE)-_xlfn.NORM.DIST(BS$30,economics!$AK$2:$AK$167,economics!$AJ$2:$AJ$167,TRUE)))),"")</f>
        <v/>
      </c>
      <c r="BT36">
        <f t="array" ref="BT36">IFERROR((SUMPRODUCT((economics!$AG$2:$AG$167=$B36)*(economics!$D$2:$D$167="whr")*economics!$AI$2:$AI$167*(_xlfn.NORM.DIST(BT$3,economics!$AK$2:$AK$167,economics!$AJ$2:$AJ$167,TRUE)-_xlfn.NORM.DIST(BT$30,economics!$AK$2:$AK$167,economics!$AJ$2:$AJ$167,TRUE))*economics!$AM$2:$AM$167))/(SUMPRODUCT((economics!$AG$2:$AG$167=$B36)*(economics!$D$2:$D$167="whr")*economics!$AI$2:$AI$167*(_xlfn.NORM.DIST(BT$3,economics!$AK$2:$AK$167,economics!$AJ$2:$AJ$167,TRUE)-_xlfn.NORM.DIST(BT$30,economics!$AK$2:$AK$167,economics!$AJ$2:$AJ$167,TRUE)))),"")</f>
        <v/>
      </c>
      <c r="BU36">
        <f t="array" ref="BU36">IFERROR((SUMPRODUCT((economics!$AG$2:$AG$167=$B36)*(economics!$D$2:$D$167="whr")*economics!$AI$2:$AI$167*(_xlfn.NORM.DIST(BU$3,economics!$AK$2:$AK$167,economics!$AJ$2:$AJ$167,TRUE)-_xlfn.NORM.DIST(BU$30,economics!$AK$2:$AK$167,economics!$AJ$2:$AJ$167,TRUE))*economics!$AM$2:$AM$167))/(SUMPRODUCT((economics!$AG$2:$AG$167=$B36)*(economics!$D$2:$D$167="whr")*economics!$AI$2:$AI$167*(_xlfn.NORM.DIST(BU$3,economics!$AK$2:$AK$167,economics!$AJ$2:$AJ$167,TRUE)-_xlfn.NORM.DIST(BU$30,economics!$AK$2:$AK$167,economics!$AJ$2:$AJ$167,TRUE)))),"")</f>
        <v/>
      </c>
      <c r="BV36">
        <f t="array" ref="BV36">IFERROR((SUMPRODUCT((economics!$AG$2:$AG$167=$B36)*(economics!$D$2:$D$167="whr")*economics!$AI$2:$AI$167*(_xlfn.NORM.DIST(BV$3,economics!$AK$2:$AK$167,economics!$AJ$2:$AJ$167,TRUE)-_xlfn.NORM.DIST(BV$30,economics!$AK$2:$AK$167,economics!$AJ$2:$AJ$167,TRUE))*economics!$AM$2:$AM$167))/(SUMPRODUCT((economics!$AG$2:$AG$167=$B36)*(economics!$D$2:$D$167="whr")*economics!$AI$2:$AI$167*(_xlfn.NORM.DIST(BV$3,economics!$AK$2:$AK$167,economics!$AJ$2:$AJ$167,TRUE)-_xlfn.NORM.DIST(BV$30,economics!$AK$2:$AK$167,economics!$AJ$2:$AJ$167,TRUE)))),"")</f>
        <v/>
      </c>
      <c r="BW36">
        <f t="array" ref="BW36">IFERROR((SUMPRODUCT((economics!$AG$2:$AG$167=$B36)*(economics!$D$2:$D$167="whr")*economics!$AI$2:$AI$167*(_xlfn.NORM.DIST(BW$3,economics!$AK$2:$AK$167,economics!$AJ$2:$AJ$167,TRUE)-_xlfn.NORM.DIST(BW$30,economics!$AK$2:$AK$167,economics!$AJ$2:$AJ$167,TRUE))*economics!$AM$2:$AM$167))/(SUMPRODUCT((economics!$AG$2:$AG$167=$B36)*(economics!$D$2:$D$167="whr")*economics!$AI$2:$AI$167*(_xlfn.NORM.DIST(BW$3,economics!$AK$2:$AK$167,economics!$AJ$2:$AJ$167,TRUE)-_xlfn.NORM.DIST(BW$30,economics!$AK$2:$AK$167,economics!$AJ$2:$AJ$167,TRUE)))),"")</f>
        <v/>
      </c>
      <c r="BX36">
        <f t="array" ref="BX36">IFERROR((SUMPRODUCT((economics!$AG$2:$AG$167=$B36)*(economics!$D$2:$D$167="whr")*economics!$AI$2:$AI$167*(_xlfn.NORM.DIST(BX$3,economics!$AK$2:$AK$167,economics!$AJ$2:$AJ$167,TRUE)-_xlfn.NORM.DIST(BX$30,economics!$AK$2:$AK$167,economics!$AJ$2:$AJ$167,TRUE))*economics!$AM$2:$AM$167))/(SUMPRODUCT((economics!$AG$2:$AG$167=$B36)*(economics!$D$2:$D$167="whr")*economics!$AI$2:$AI$167*(_xlfn.NORM.DIST(BX$3,economics!$AK$2:$AK$167,economics!$AJ$2:$AJ$167,TRUE)-_xlfn.NORM.DIST(BX$30,economics!$AK$2:$AK$167,economics!$AJ$2:$AJ$167,TRUE)))),"")</f>
        <v/>
      </c>
      <c r="BY36">
        <f t="array" ref="BY36">IFERROR((SUMPRODUCT((economics!$AG$2:$AG$167=$B36)*(economics!$D$2:$D$167="whr")*economics!$AI$2:$AI$167*(_xlfn.NORM.DIST(BY$3,economics!$AK$2:$AK$167,economics!$AJ$2:$AJ$167,TRUE)-_xlfn.NORM.DIST(BY$30,economics!$AK$2:$AK$167,economics!$AJ$2:$AJ$167,TRUE))*economics!$AM$2:$AM$167))/(SUMPRODUCT((economics!$AG$2:$AG$167=$B36)*(economics!$D$2:$D$167="whr")*economics!$AI$2:$AI$167*(_xlfn.NORM.DIST(BY$3,economics!$AK$2:$AK$167,economics!$AJ$2:$AJ$167,TRUE)-_xlfn.NORM.DIST(BY$30,economics!$AK$2:$AK$167,economics!$AJ$2:$AJ$167,TRUE)))),"")</f>
        <v/>
      </c>
      <c r="BZ36">
        <f t="array" ref="BZ36">IFERROR((SUMPRODUCT((economics!$AG$2:$AG$167=$B36)*(economics!$D$2:$D$167="whr")*economics!$AI$2:$AI$167*(_xlfn.NORM.DIST(BZ$3,economics!$AK$2:$AK$167,economics!$AJ$2:$AJ$167,TRUE)-_xlfn.NORM.DIST(BZ$30,economics!$AK$2:$AK$167,economics!$AJ$2:$AJ$167,TRUE))*economics!$AM$2:$AM$167))/(SUMPRODUCT((economics!$AG$2:$AG$167=$B36)*(economics!$D$2:$D$167="whr")*economics!$AI$2:$AI$167*(_xlfn.NORM.DIST(BZ$3,economics!$AK$2:$AK$167,economics!$AJ$2:$AJ$167,TRUE)-_xlfn.NORM.DIST(BZ$30,economics!$AK$2:$AK$167,economics!$AJ$2:$AJ$167,TRUE)))),"")</f>
        <v/>
      </c>
      <c r="CA36">
        <f t="array" ref="CA36">IFERROR((SUMPRODUCT((economics!$AG$2:$AG$167=$B36)*(economics!$D$2:$D$167="whr")*economics!$AI$2:$AI$167*(_xlfn.NORM.DIST(CA$3,economics!$AK$2:$AK$167,economics!$AJ$2:$AJ$167,TRUE)-_xlfn.NORM.DIST(CA$30,economics!$AK$2:$AK$167,economics!$AJ$2:$AJ$167,TRUE))*economics!$AM$2:$AM$167))/(SUMPRODUCT((economics!$AG$2:$AG$167=$B36)*(economics!$D$2:$D$167="whr")*economics!$AI$2:$AI$167*(_xlfn.NORM.DIST(CA$3,economics!$AK$2:$AK$167,economics!$AJ$2:$AJ$167,TRUE)-_xlfn.NORM.DIST(CA$30,economics!$AK$2:$AK$167,economics!$AJ$2:$AJ$167,TRUE)))),"")</f>
        <v/>
      </c>
      <c r="CB36">
        <f t="array" ref="CB36">IFERROR((SUMPRODUCT((economics!$AG$2:$AG$167=$B36)*(economics!$D$2:$D$167="whr")*economics!$AI$2:$AI$167*(_xlfn.NORM.DIST(CB$3,economics!$AK$2:$AK$167,economics!$AJ$2:$AJ$167,TRUE)-_xlfn.NORM.DIST(CB$30,economics!$AK$2:$AK$167,economics!$AJ$2:$AJ$167,TRUE))*economics!$AM$2:$AM$167))/(SUMPRODUCT((economics!$AG$2:$AG$167=$B36)*(economics!$D$2:$D$167="whr")*economics!$AI$2:$AI$167*(_xlfn.NORM.DIST(CB$3,economics!$AK$2:$AK$167,economics!$AJ$2:$AJ$167,TRUE)-_xlfn.NORM.DIST(CB$30,economics!$AK$2:$AK$167,economics!$AJ$2:$AJ$167,TRUE)))),"")</f>
        <v/>
      </c>
      <c r="CC36">
        <f t="array" ref="CC36">IFERROR((SUMPRODUCT((economics!$AG$2:$AG$167=$B36)*(economics!$D$2:$D$167="whr")*economics!$AI$2:$AI$167*(_xlfn.NORM.DIST(CC$3,economics!$AK$2:$AK$167,economics!$AJ$2:$AJ$167,TRUE)-_xlfn.NORM.DIST(CC$30,economics!$AK$2:$AK$167,economics!$AJ$2:$AJ$167,TRUE))*economics!$AM$2:$AM$167))/(SUMPRODUCT((economics!$AG$2:$AG$167=$B36)*(economics!$D$2:$D$167="whr")*economics!$AI$2:$AI$167*(_xlfn.NORM.DIST(CC$3,economics!$AK$2:$AK$167,economics!$AJ$2:$AJ$167,TRUE)-_xlfn.NORM.DIST(CC$30,economics!$AK$2:$AK$167,economics!$AJ$2:$AJ$167,TRUE)))),"")</f>
        <v/>
      </c>
      <c r="CD36">
        <f t="array" ref="CD36">IFERROR((SUMPRODUCT((economics!$AG$2:$AG$167=$B36)*(economics!$D$2:$D$167="whr")*economics!$AI$2:$AI$167*(_xlfn.NORM.DIST(CD$3,economics!$AK$2:$AK$167,economics!$AJ$2:$AJ$167,TRUE)-_xlfn.NORM.DIST(CD$30,economics!$AK$2:$AK$167,economics!$AJ$2:$AJ$167,TRUE))*economics!$AM$2:$AM$167))/(SUMPRODUCT((economics!$AG$2:$AG$167=$B36)*(economics!$D$2:$D$167="whr")*economics!$AI$2:$AI$167*(_xlfn.NORM.DIST(CD$3,economics!$AK$2:$AK$167,economics!$AJ$2:$AJ$167,TRUE)-_xlfn.NORM.DIST(CD$30,economics!$AK$2:$AK$167,economics!$AJ$2:$AJ$167,TRUE)))),"")</f>
        <v/>
      </c>
      <c r="CE36">
        <f t="array" ref="CE36">IFERROR((SUMPRODUCT((economics!$AG$2:$AG$167=$B36)*(economics!$D$2:$D$167="whr")*economics!$AI$2:$AI$167*(_xlfn.NORM.DIST(CE$3,economics!$AK$2:$AK$167,economics!$AJ$2:$AJ$167,TRUE)-_xlfn.NORM.DIST(CE$30,economics!$AK$2:$AK$167,economics!$AJ$2:$AJ$167,TRUE))*economics!$AM$2:$AM$167))/(SUMPRODUCT((economics!$AG$2:$AG$167=$B36)*(economics!$D$2:$D$167="whr")*economics!$AI$2:$AI$167*(_xlfn.NORM.DIST(CE$3,economics!$AK$2:$AK$167,economics!$AJ$2:$AJ$167,TRUE)-_xlfn.NORM.DIST(CE$30,economics!$AK$2:$AK$167,economics!$AJ$2:$AJ$167,TRUE)))),"")</f>
        <v/>
      </c>
      <c r="CF36">
        <f t="array" ref="CF36">IFERROR((SUMPRODUCT((economics!$AG$2:$AG$167=$B36)*(economics!$D$2:$D$167="whr")*economics!$AI$2:$AI$167*(_xlfn.NORM.DIST(CF$3,economics!$AK$2:$AK$167,economics!$AJ$2:$AJ$167,TRUE)-_xlfn.NORM.DIST(CF$30,economics!$AK$2:$AK$167,economics!$AJ$2:$AJ$167,TRUE))*economics!$AM$2:$AM$167))/(SUMPRODUCT((economics!$AG$2:$AG$167=$B36)*(economics!$D$2:$D$167="whr")*economics!$AI$2:$AI$167*(_xlfn.NORM.DIST(CF$3,economics!$AK$2:$AK$167,economics!$AJ$2:$AJ$167,TRUE)-_xlfn.NORM.DIST(CF$30,economics!$AK$2:$AK$167,economics!$AJ$2:$AJ$167,TRUE)))),"")</f>
        <v/>
      </c>
      <c r="CG36">
        <f t="array" ref="CG36">IFERROR((SUMPRODUCT((economics!$AG$2:$AG$167=$B36)*(economics!$D$2:$D$167="whr")*economics!$AI$2:$AI$167*(_xlfn.NORM.DIST(CG$3,economics!$AK$2:$AK$167,economics!$AJ$2:$AJ$167,TRUE)-_xlfn.NORM.DIST(CG$30,economics!$AK$2:$AK$167,economics!$AJ$2:$AJ$167,TRUE))*economics!$AM$2:$AM$167))/(SUMPRODUCT((economics!$AG$2:$AG$167=$B36)*(economics!$D$2:$D$167="whr")*economics!$AI$2:$AI$167*(_xlfn.NORM.DIST(CG$3,economics!$AK$2:$AK$167,economics!$AJ$2:$AJ$167,TRUE)-_xlfn.NORM.DIST(CG$30,economics!$AK$2:$AK$167,economics!$AJ$2:$AJ$167,TRUE)))),"")</f>
        <v/>
      </c>
      <c r="CH36">
        <f t="array" ref="CH36">IFERROR((SUMPRODUCT((economics!$AG$2:$AG$167=$B36)*(economics!$D$2:$D$167="whr")*economics!$AI$2:$AI$167*(_xlfn.NORM.DIST(CH$3,economics!$AK$2:$AK$167,economics!$AJ$2:$AJ$167,TRUE)-_xlfn.NORM.DIST(CH$30,economics!$AK$2:$AK$167,economics!$AJ$2:$AJ$167,TRUE))*economics!$AM$2:$AM$167))/(SUMPRODUCT((economics!$AG$2:$AG$167=$B36)*(economics!$D$2:$D$167="whr")*economics!$AI$2:$AI$167*(_xlfn.NORM.DIST(CH$3,economics!$AK$2:$AK$167,economics!$AJ$2:$AJ$167,TRUE)-_xlfn.NORM.DIST(CH$30,economics!$AK$2:$AK$167,economics!$AJ$2:$AJ$167,TRUE)))),"")</f>
        <v/>
      </c>
    </row>
    <row r="37">
      <c r="A37">
        <f>A8</f>
        <v/>
      </c>
      <c r="B37">
        <f>B8</f>
        <v/>
      </c>
      <c r="E37">
        <f t="array" ref="E37">IFERROR((SUMPRODUCT((economics!$AG$2:$AG$167=$B37)*(economics!$D$2:$D$167="whr")*economics!$AI$2:$AI$167*(_xlfn.NORM.DIST(E$3,economics!$AK$2:$AK$167,economics!$AJ$2:$AJ$167,TRUE)-_xlfn.NORM.DIST(E$30,economics!$AK$2:$AK$167,economics!$AJ$2:$AJ$167,TRUE))*economics!$AM$2:$AM$167))/(SUMPRODUCT((economics!$AG$2:$AG$167=$B37)*(economics!$D$2:$D$167="whr")*economics!$AI$2:$AI$167*(_xlfn.NORM.DIST(E$3,economics!$AK$2:$AK$167,economics!$AJ$2:$AJ$167,TRUE)-_xlfn.NORM.DIST(E$30,economics!$AK$2:$AK$167,economics!$AJ$2:$AJ$167,TRUE)))),"")</f>
        <v/>
      </c>
      <c r="F37">
        <f t="array" ref="F37">IFERROR((SUMPRODUCT((economics!$AG$2:$AG$167=$B37)*(economics!$D$2:$D$167="whr")*economics!$AI$2:$AI$167*(_xlfn.NORM.DIST(F$3,economics!$AK$2:$AK$167,economics!$AJ$2:$AJ$167,TRUE)-_xlfn.NORM.DIST(F$30,economics!$AK$2:$AK$167,economics!$AJ$2:$AJ$167,TRUE))*economics!$AM$2:$AM$167))/(SUMPRODUCT((economics!$AG$2:$AG$167=$B37)*(economics!$D$2:$D$167="whr")*economics!$AI$2:$AI$167*(_xlfn.NORM.DIST(F$3,economics!$AK$2:$AK$167,economics!$AJ$2:$AJ$167,TRUE)-_xlfn.NORM.DIST(F$30,economics!$AK$2:$AK$167,economics!$AJ$2:$AJ$167,TRUE)))),"")</f>
        <v/>
      </c>
      <c r="G37">
        <f t="array" ref="G37">IFERROR((SUMPRODUCT((economics!$AG$2:$AG$167=$B37)*(economics!$D$2:$D$167="whr")*economics!$AI$2:$AI$167*(_xlfn.NORM.DIST(G$3,economics!$AK$2:$AK$167,economics!$AJ$2:$AJ$167,TRUE)-_xlfn.NORM.DIST(G$30,economics!$AK$2:$AK$167,economics!$AJ$2:$AJ$167,TRUE))*economics!$AM$2:$AM$167))/(SUMPRODUCT((economics!$AG$2:$AG$167=$B37)*(economics!$D$2:$D$167="whr")*economics!$AI$2:$AI$167*(_xlfn.NORM.DIST(G$3,economics!$AK$2:$AK$167,economics!$AJ$2:$AJ$167,TRUE)-_xlfn.NORM.DIST(G$30,economics!$AK$2:$AK$167,economics!$AJ$2:$AJ$167,TRUE)))),"")</f>
        <v/>
      </c>
      <c r="H37">
        <f t="array" ref="H37">IFERROR((SUMPRODUCT((economics!$AG$2:$AG$167=$B37)*(economics!$D$2:$D$167="whr")*economics!$AI$2:$AI$167*(_xlfn.NORM.DIST(H$3,economics!$AK$2:$AK$167,economics!$AJ$2:$AJ$167,TRUE)-_xlfn.NORM.DIST(H$30,economics!$AK$2:$AK$167,economics!$AJ$2:$AJ$167,TRUE))*economics!$AM$2:$AM$167))/(SUMPRODUCT((economics!$AG$2:$AG$167=$B37)*(economics!$D$2:$D$167="whr")*economics!$AI$2:$AI$167*(_xlfn.NORM.DIST(H$3,economics!$AK$2:$AK$167,economics!$AJ$2:$AJ$167,TRUE)-_xlfn.NORM.DIST(H$30,economics!$AK$2:$AK$167,economics!$AJ$2:$AJ$167,TRUE)))),"")</f>
        <v/>
      </c>
      <c r="I37">
        <f t="array" ref="I37">IFERROR((SUMPRODUCT((economics!$AG$2:$AG$167=$B37)*(economics!$D$2:$D$167="whr")*economics!$AI$2:$AI$167*(_xlfn.NORM.DIST(I$3,economics!$AK$2:$AK$167,economics!$AJ$2:$AJ$167,TRUE)-_xlfn.NORM.DIST(I$30,economics!$AK$2:$AK$167,economics!$AJ$2:$AJ$167,TRUE))*economics!$AM$2:$AM$167))/(SUMPRODUCT((economics!$AG$2:$AG$167=$B37)*(economics!$D$2:$D$167="whr")*economics!$AI$2:$AI$167*(_xlfn.NORM.DIST(I$3,economics!$AK$2:$AK$167,economics!$AJ$2:$AJ$167,TRUE)-_xlfn.NORM.DIST(I$30,economics!$AK$2:$AK$167,economics!$AJ$2:$AJ$167,TRUE)))),"")</f>
        <v/>
      </c>
      <c r="J37">
        <f t="array" ref="J37">IFERROR((SUMPRODUCT((economics!$AG$2:$AG$167=$B37)*(economics!$D$2:$D$167="whr")*economics!$AI$2:$AI$167*(_xlfn.NORM.DIST(J$3,economics!$AK$2:$AK$167,economics!$AJ$2:$AJ$167,TRUE)-_xlfn.NORM.DIST(J$30,economics!$AK$2:$AK$167,economics!$AJ$2:$AJ$167,TRUE))*economics!$AM$2:$AM$167))/(SUMPRODUCT((economics!$AG$2:$AG$167=$B37)*(economics!$D$2:$D$167="whr")*economics!$AI$2:$AI$167*(_xlfn.NORM.DIST(J$3,economics!$AK$2:$AK$167,economics!$AJ$2:$AJ$167,TRUE)-_xlfn.NORM.DIST(J$30,economics!$AK$2:$AK$167,economics!$AJ$2:$AJ$167,TRUE)))),"")</f>
        <v/>
      </c>
      <c r="K37">
        <f t="array" ref="K37">IFERROR((SUMPRODUCT((economics!$AG$2:$AG$167=$B37)*(economics!$D$2:$D$167="whr")*economics!$AI$2:$AI$167*(_xlfn.NORM.DIST(K$3,economics!$AK$2:$AK$167,economics!$AJ$2:$AJ$167,TRUE)-_xlfn.NORM.DIST(K$30,economics!$AK$2:$AK$167,economics!$AJ$2:$AJ$167,TRUE))*economics!$AM$2:$AM$167))/(SUMPRODUCT((economics!$AG$2:$AG$167=$B37)*(economics!$D$2:$D$167="whr")*economics!$AI$2:$AI$167*(_xlfn.NORM.DIST(K$3,economics!$AK$2:$AK$167,economics!$AJ$2:$AJ$167,TRUE)-_xlfn.NORM.DIST(K$30,economics!$AK$2:$AK$167,economics!$AJ$2:$AJ$167,TRUE)))),"")</f>
        <v/>
      </c>
      <c r="L37">
        <f t="array" ref="L37">IFERROR((SUMPRODUCT((economics!$AG$2:$AG$167=$B37)*(economics!$D$2:$D$167="whr")*economics!$AI$2:$AI$167*(_xlfn.NORM.DIST(L$3,economics!$AK$2:$AK$167,economics!$AJ$2:$AJ$167,TRUE)-_xlfn.NORM.DIST(L$30,economics!$AK$2:$AK$167,economics!$AJ$2:$AJ$167,TRUE))*economics!$AM$2:$AM$167))/(SUMPRODUCT((economics!$AG$2:$AG$167=$B37)*(economics!$D$2:$D$167="whr")*economics!$AI$2:$AI$167*(_xlfn.NORM.DIST(L$3,economics!$AK$2:$AK$167,economics!$AJ$2:$AJ$167,TRUE)-_xlfn.NORM.DIST(L$30,economics!$AK$2:$AK$167,economics!$AJ$2:$AJ$167,TRUE)))),"")</f>
        <v/>
      </c>
      <c r="M37">
        <f t="array" ref="M37">IFERROR((SUMPRODUCT((economics!$AG$2:$AG$167=$B37)*(economics!$D$2:$D$167="whr")*economics!$AI$2:$AI$167*(_xlfn.NORM.DIST(M$3,economics!$AK$2:$AK$167,economics!$AJ$2:$AJ$167,TRUE)-_xlfn.NORM.DIST(M$30,economics!$AK$2:$AK$167,economics!$AJ$2:$AJ$167,TRUE))*economics!$AM$2:$AM$167))/(SUMPRODUCT((economics!$AG$2:$AG$167=$B37)*(economics!$D$2:$D$167="whr")*economics!$AI$2:$AI$167*(_xlfn.NORM.DIST(M$3,economics!$AK$2:$AK$167,economics!$AJ$2:$AJ$167,TRUE)-_xlfn.NORM.DIST(M$30,economics!$AK$2:$AK$167,economics!$AJ$2:$AJ$167,TRUE)))),"")</f>
        <v/>
      </c>
      <c r="N37">
        <f t="array" ref="N37">IFERROR((SUMPRODUCT((economics!$AG$2:$AG$167=$B37)*(economics!$D$2:$D$167="whr")*economics!$AI$2:$AI$167*(_xlfn.NORM.DIST(N$3,economics!$AK$2:$AK$167,economics!$AJ$2:$AJ$167,TRUE)-_xlfn.NORM.DIST(N$30,economics!$AK$2:$AK$167,economics!$AJ$2:$AJ$167,TRUE))*economics!$AM$2:$AM$167))/(SUMPRODUCT((economics!$AG$2:$AG$167=$B37)*(economics!$D$2:$D$167="whr")*economics!$AI$2:$AI$167*(_xlfn.NORM.DIST(N$3,economics!$AK$2:$AK$167,economics!$AJ$2:$AJ$167,TRUE)-_xlfn.NORM.DIST(N$30,economics!$AK$2:$AK$167,economics!$AJ$2:$AJ$167,TRUE)))),"")</f>
        <v/>
      </c>
      <c r="O37">
        <f t="array" ref="O37">IFERROR((SUMPRODUCT((economics!$AG$2:$AG$167=$B37)*(economics!$D$2:$D$167="whr")*economics!$AI$2:$AI$167*(_xlfn.NORM.DIST(O$3,economics!$AK$2:$AK$167,economics!$AJ$2:$AJ$167,TRUE)-_xlfn.NORM.DIST(O$30,economics!$AK$2:$AK$167,economics!$AJ$2:$AJ$167,TRUE))*economics!$AM$2:$AM$167))/(SUMPRODUCT((economics!$AG$2:$AG$167=$B37)*(economics!$D$2:$D$167="whr")*economics!$AI$2:$AI$167*(_xlfn.NORM.DIST(O$3,economics!$AK$2:$AK$167,economics!$AJ$2:$AJ$167,TRUE)-_xlfn.NORM.DIST(O$30,economics!$AK$2:$AK$167,economics!$AJ$2:$AJ$167,TRUE)))),"")</f>
        <v/>
      </c>
      <c r="P37">
        <f t="array" ref="P37">IFERROR((SUMPRODUCT((economics!$AG$2:$AG$167=$B37)*(economics!$D$2:$D$167="whr")*economics!$AI$2:$AI$167*(_xlfn.NORM.DIST(P$3,economics!$AK$2:$AK$167,economics!$AJ$2:$AJ$167,TRUE)-_xlfn.NORM.DIST(P$30,economics!$AK$2:$AK$167,economics!$AJ$2:$AJ$167,TRUE))*economics!$AM$2:$AM$167))/(SUMPRODUCT((economics!$AG$2:$AG$167=$B37)*(economics!$D$2:$D$167="whr")*economics!$AI$2:$AI$167*(_xlfn.NORM.DIST(P$3,economics!$AK$2:$AK$167,economics!$AJ$2:$AJ$167,TRUE)-_xlfn.NORM.DIST(P$30,economics!$AK$2:$AK$167,economics!$AJ$2:$AJ$167,TRUE)))),"")</f>
        <v/>
      </c>
      <c r="Q37">
        <f t="array" ref="Q37">IFERROR((SUMPRODUCT((economics!$AG$2:$AG$167=$B37)*(economics!$D$2:$D$167="whr")*economics!$AI$2:$AI$167*(_xlfn.NORM.DIST(Q$3,economics!$AK$2:$AK$167,economics!$AJ$2:$AJ$167,TRUE)-_xlfn.NORM.DIST(Q$30,economics!$AK$2:$AK$167,economics!$AJ$2:$AJ$167,TRUE))*economics!$AM$2:$AM$167))/(SUMPRODUCT((economics!$AG$2:$AG$167=$B37)*(economics!$D$2:$D$167="whr")*economics!$AI$2:$AI$167*(_xlfn.NORM.DIST(Q$3,economics!$AK$2:$AK$167,economics!$AJ$2:$AJ$167,TRUE)-_xlfn.NORM.DIST(Q$30,economics!$AK$2:$AK$167,economics!$AJ$2:$AJ$167,TRUE)))),"")</f>
        <v/>
      </c>
      <c r="R37">
        <f t="array" ref="R37">IFERROR((SUMPRODUCT((economics!$AG$2:$AG$167=$B37)*(economics!$D$2:$D$167="whr")*economics!$AI$2:$AI$167*(_xlfn.NORM.DIST(R$3,economics!$AK$2:$AK$167,economics!$AJ$2:$AJ$167,TRUE)-_xlfn.NORM.DIST(R$30,economics!$AK$2:$AK$167,economics!$AJ$2:$AJ$167,TRUE))*economics!$AM$2:$AM$167))/(SUMPRODUCT((economics!$AG$2:$AG$167=$B37)*(economics!$D$2:$D$167="whr")*economics!$AI$2:$AI$167*(_xlfn.NORM.DIST(R$3,economics!$AK$2:$AK$167,economics!$AJ$2:$AJ$167,TRUE)-_xlfn.NORM.DIST(R$30,economics!$AK$2:$AK$167,economics!$AJ$2:$AJ$167,TRUE)))),"")</f>
        <v/>
      </c>
      <c r="S37">
        <f t="array" ref="S37">IFERROR((SUMPRODUCT((economics!$AG$2:$AG$167=$B37)*(economics!$D$2:$D$167="whr")*economics!$AI$2:$AI$167*(_xlfn.NORM.DIST(S$3,economics!$AK$2:$AK$167,economics!$AJ$2:$AJ$167,TRUE)-_xlfn.NORM.DIST(S$30,economics!$AK$2:$AK$167,economics!$AJ$2:$AJ$167,TRUE))*economics!$AM$2:$AM$167))/(SUMPRODUCT((economics!$AG$2:$AG$167=$B37)*(economics!$D$2:$D$167="whr")*economics!$AI$2:$AI$167*(_xlfn.NORM.DIST(S$3,economics!$AK$2:$AK$167,economics!$AJ$2:$AJ$167,TRUE)-_xlfn.NORM.DIST(S$30,economics!$AK$2:$AK$167,economics!$AJ$2:$AJ$167,TRUE)))),"")</f>
        <v/>
      </c>
      <c r="T37">
        <f t="array" ref="T37">IFERROR((SUMPRODUCT((economics!$AG$2:$AG$167=$B37)*(economics!$D$2:$D$167="whr")*economics!$AI$2:$AI$167*(_xlfn.NORM.DIST(T$3,economics!$AK$2:$AK$167,economics!$AJ$2:$AJ$167,TRUE)-_xlfn.NORM.DIST(T$30,economics!$AK$2:$AK$167,economics!$AJ$2:$AJ$167,TRUE))*economics!$AM$2:$AM$167))/(SUMPRODUCT((economics!$AG$2:$AG$167=$B37)*(economics!$D$2:$D$167="whr")*economics!$AI$2:$AI$167*(_xlfn.NORM.DIST(T$3,economics!$AK$2:$AK$167,economics!$AJ$2:$AJ$167,TRUE)-_xlfn.NORM.DIST(T$30,economics!$AK$2:$AK$167,economics!$AJ$2:$AJ$167,TRUE)))),"")</f>
        <v/>
      </c>
      <c r="U37">
        <f t="array" ref="U37">IFERROR((SUMPRODUCT((economics!$AG$2:$AG$167=$B37)*(economics!$D$2:$D$167="whr")*economics!$AI$2:$AI$167*(_xlfn.NORM.DIST(U$3,economics!$AK$2:$AK$167,economics!$AJ$2:$AJ$167,TRUE)-_xlfn.NORM.DIST(U$30,economics!$AK$2:$AK$167,economics!$AJ$2:$AJ$167,TRUE))*economics!$AM$2:$AM$167))/(SUMPRODUCT((economics!$AG$2:$AG$167=$B37)*(economics!$D$2:$D$167="whr")*economics!$AI$2:$AI$167*(_xlfn.NORM.DIST(U$3,economics!$AK$2:$AK$167,economics!$AJ$2:$AJ$167,TRUE)-_xlfn.NORM.DIST(U$30,economics!$AK$2:$AK$167,economics!$AJ$2:$AJ$167,TRUE)))),"")</f>
        <v/>
      </c>
      <c r="V37">
        <f t="array" ref="V37">IFERROR((SUMPRODUCT((economics!$AG$2:$AG$167=$B37)*(economics!$D$2:$D$167="whr")*economics!$AI$2:$AI$167*(_xlfn.NORM.DIST(V$3,economics!$AK$2:$AK$167,economics!$AJ$2:$AJ$167,TRUE)-_xlfn.NORM.DIST(V$30,economics!$AK$2:$AK$167,economics!$AJ$2:$AJ$167,TRUE))*economics!$AM$2:$AM$167))/(SUMPRODUCT((economics!$AG$2:$AG$167=$B37)*(economics!$D$2:$D$167="whr")*economics!$AI$2:$AI$167*(_xlfn.NORM.DIST(V$3,economics!$AK$2:$AK$167,economics!$AJ$2:$AJ$167,TRUE)-_xlfn.NORM.DIST(V$30,economics!$AK$2:$AK$167,economics!$AJ$2:$AJ$167,TRUE)))),"")</f>
        <v/>
      </c>
      <c r="W37">
        <f t="array" ref="W37">IFERROR((SUMPRODUCT((economics!$AG$2:$AG$167=$B37)*(economics!$D$2:$D$167="whr")*economics!$AI$2:$AI$167*(_xlfn.NORM.DIST(W$3,economics!$AK$2:$AK$167,economics!$AJ$2:$AJ$167,TRUE)-_xlfn.NORM.DIST(W$30,economics!$AK$2:$AK$167,economics!$AJ$2:$AJ$167,TRUE))*economics!$AM$2:$AM$167))/(SUMPRODUCT((economics!$AG$2:$AG$167=$B37)*(economics!$D$2:$D$167="whr")*economics!$AI$2:$AI$167*(_xlfn.NORM.DIST(W$3,economics!$AK$2:$AK$167,economics!$AJ$2:$AJ$167,TRUE)-_xlfn.NORM.DIST(W$30,economics!$AK$2:$AK$167,economics!$AJ$2:$AJ$167,TRUE)))),"")</f>
        <v/>
      </c>
      <c r="X37">
        <f t="array" ref="X37">IFERROR((SUMPRODUCT((economics!$AG$2:$AG$167=$B37)*(economics!$D$2:$D$167="whr")*economics!$AI$2:$AI$167*(_xlfn.NORM.DIST(X$3,economics!$AK$2:$AK$167,economics!$AJ$2:$AJ$167,TRUE)-_xlfn.NORM.DIST(X$30,economics!$AK$2:$AK$167,economics!$AJ$2:$AJ$167,TRUE))*economics!$AM$2:$AM$167))/(SUMPRODUCT((economics!$AG$2:$AG$167=$B37)*(economics!$D$2:$D$167="whr")*economics!$AI$2:$AI$167*(_xlfn.NORM.DIST(X$3,economics!$AK$2:$AK$167,economics!$AJ$2:$AJ$167,TRUE)-_xlfn.NORM.DIST(X$30,economics!$AK$2:$AK$167,economics!$AJ$2:$AJ$167,TRUE)))),"")</f>
        <v/>
      </c>
      <c r="Y37">
        <f t="array" ref="Y37">IFERROR((SUMPRODUCT((economics!$AG$2:$AG$167=$B37)*(economics!$D$2:$D$167="whr")*economics!$AI$2:$AI$167*(_xlfn.NORM.DIST(Y$3,economics!$AK$2:$AK$167,economics!$AJ$2:$AJ$167,TRUE)-_xlfn.NORM.DIST(Y$30,economics!$AK$2:$AK$167,economics!$AJ$2:$AJ$167,TRUE))*economics!$AM$2:$AM$167))/(SUMPRODUCT((economics!$AG$2:$AG$167=$B37)*(economics!$D$2:$D$167="whr")*economics!$AI$2:$AI$167*(_xlfn.NORM.DIST(Y$3,economics!$AK$2:$AK$167,economics!$AJ$2:$AJ$167,TRUE)-_xlfn.NORM.DIST(Y$30,economics!$AK$2:$AK$167,economics!$AJ$2:$AJ$167,TRUE)))),"")</f>
        <v/>
      </c>
      <c r="Z37">
        <f t="array" ref="Z37">IFERROR((SUMPRODUCT((economics!$AG$2:$AG$167=$B37)*(economics!$D$2:$D$167="whr")*economics!$AI$2:$AI$167*(_xlfn.NORM.DIST(Z$3,economics!$AK$2:$AK$167,economics!$AJ$2:$AJ$167,TRUE)-_xlfn.NORM.DIST(Z$30,economics!$AK$2:$AK$167,economics!$AJ$2:$AJ$167,TRUE))*economics!$AM$2:$AM$167))/(SUMPRODUCT((economics!$AG$2:$AG$167=$B37)*(economics!$D$2:$D$167="whr")*economics!$AI$2:$AI$167*(_xlfn.NORM.DIST(Z$3,economics!$AK$2:$AK$167,economics!$AJ$2:$AJ$167,TRUE)-_xlfn.NORM.DIST(Z$30,economics!$AK$2:$AK$167,economics!$AJ$2:$AJ$167,TRUE)))),"")</f>
        <v/>
      </c>
      <c r="AA37">
        <f t="array" ref="AA37">IFERROR((SUMPRODUCT((economics!$AG$2:$AG$167=$B37)*(economics!$D$2:$D$167="whr")*economics!$AI$2:$AI$167*(_xlfn.NORM.DIST(AA$3,economics!$AK$2:$AK$167,economics!$AJ$2:$AJ$167,TRUE)-_xlfn.NORM.DIST(AA$30,economics!$AK$2:$AK$167,economics!$AJ$2:$AJ$167,TRUE))*economics!$AM$2:$AM$167))/(SUMPRODUCT((economics!$AG$2:$AG$167=$B37)*(economics!$D$2:$D$167="whr")*economics!$AI$2:$AI$167*(_xlfn.NORM.DIST(AA$3,economics!$AK$2:$AK$167,economics!$AJ$2:$AJ$167,TRUE)-_xlfn.NORM.DIST(AA$30,economics!$AK$2:$AK$167,economics!$AJ$2:$AJ$167,TRUE)))),"")</f>
        <v/>
      </c>
      <c r="AB37">
        <f t="array" ref="AB37">IFERROR((SUMPRODUCT((economics!$AG$2:$AG$167=$B37)*(economics!$D$2:$D$167="whr")*economics!$AI$2:$AI$167*(_xlfn.NORM.DIST(AB$3,economics!$AK$2:$AK$167,economics!$AJ$2:$AJ$167,TRUE)-_xlfn.NORM.DIST(AB$30,economics!$AK$2:$AK$167,economics!$AJ$2:$AJ$167,TRUE))*economics!$AM$2:$AM$167))/(SUMPRODUCT((economics!$AG$2:$AG$167=$B37)*(economics!$D$2:$D$167="whr")*economics!$AI$2:$AI$167*(_xlfn.NORM.DIST(AB$3,economics!$AK$2:$AK$167,economics!$AJ$2:$AJ$167,TRUE)-_xlfn.NORM.DIST(AB$30,economics!$AK$2:$AK$167,economics!$AJ$2:$AJ$167,TRUE)))),"")</f>
        <v/>
      </c>
      <c r="AC37">
        <f t="array" ref="AC37">IFERROR((SUMPRODUCT((economics!$AG$2:$AG$167=$B37)*(economics!$D$2:$D$167="whr")*economics!$AI$2:$AI$167*(_xlfn.NORM.DIST(AC$3,economics!$AK$2:$AK$167,economics!$AJ$2:$AJ$167,TRUE)-_xlfn.NORM.DIST(AC$30,economics!$AK$2:$AK$167,economics!$AJ$2:$AJ$167,TRUE))*economics!$AM$2:$AM$167))/(SUMPRODUCT((economics!$AG$2:$AG$167=$B37)*(economics!$D$2:$D$167="whr")*economics!$AI$2:$AI$167*(_xlfn.NORM.DIST(AC$3,economics!$AK$2:$AK$167,economics!$AJ$2:$AJ$167,TRUE)-_xlfn.NORM.DIST(AC$30,economics!$AK$2:$AK$167,economics!$AJ$2:$AJ$167,TRUE)))),"")</f>
        <v/>
      </c>
      <c r="AD37">
        <f t="array" ref="AD37">IFERROR((SUMPRODUCT((economics!$AG$2:$AG$167=$B37)*(economics!$D$2:$D$167="whr")*economics!$AI$2:$AI$167*(_xlfn.NORM.DIST(AD$3,economics!$AK$2:$AK$167,economics!$AJ$2:$AJ$167,TRUE)-_xlfn.NORM.DIST(AD$30,economics!$AK$2:$AK$167,economics!$AJ$2:$AJ$167,TRUE))*economics!$AM$2:$AM$167))/(SUMPRODUCT((economics!$AG$2:$AG$167=$B37)*(economics!$D$2:$D$167="whr")*economics!$AI$2:$AI$167*(_xlfn.NORM.DIST(AD$3,economics!$AK$2:$AK$167,economics!$AJ$2:$AJ$167,TRUE)-_xlfn.NORM.DIST(AD$30,economics!$AK$2:$AK$167,economics!$AJ$2:$AJ$167,TRUE)))),"")</f>
        <v/>
      </c>
      <c r="AE37">
        <f t="array" ref="AE37">IFERROR((SUMPRODUCT((economics!$AG$2:$AG$167=$B37)*(economics!$D$2:$D$167="whr")*economics!$AI$2:$AI$167*(_xlfn.NORM.DIST(AE$3,economics!$AK$2:$AK$167,economics!$AJ$2:$AJ$167,TRUE)-_xlfn.NORM.DIST(AE$30,economics!$AK$2:$AK$167,economics!$AJ$2:$AJ$167,TRUE))*economics!$AM$2:$AM$167))/(SUMPRODUCT((economics!$AG$2:$AG$167=$B37)*(economics!$D$2:$D$167="whr")*economics!$AI$2:$AI$167*(_xlfn.NORM.DIST(AE$3,economics!$AK$2:$AK$167,economics!$AJ$2:$AJ$167,TRUE)-_xlfn.NORM.DIST(AE$30,economics!$AK$2:$AK$167,economics!$AJ$2:$AJ$167,TRUE)))),"")</f>
        <v/>
      </c>
      <c r="AF37">
        <f t="array" ref="AF37">IFERROR((SUMPRODUCT((economics!$AG$2:$AG$167=$B37)*(economics!$D$2:$D$167="whr")*economics!$AI$2:$AI$167*(_xlfn.NORM.DIST(AF$3,economics!$AK$2:$AK$167,economics!$AJ$2:$AJ$167,TRUE)-_xlfn.NORM.DIST(AF$30,economics!$AK$2:$AK$167,economics!$AJ$2:$AJ$167,TRUE))*economics!$AM$2:$AM$167))/(SUMPRODUCT((economics!$AG$2:$AG$167=$B37)*(economics!$D$2:$D$167="whr")*economics!$AI$2:$AI$167*(_xlfn.NORM.DIST(AF$3,economics!$AK$2:$AK$167,economics!$AJ$2:$AJ$167,TRUE)-_xlfn.NORM.DIST(AF$30,economics!$AK$2:$AK$167,economics!$AJ$2:$AJ$167,TRUE)))),"")</f>
        <v/>
      </c>
      <c r="AG37">
        <f t="array" ref="AG37">IFERROR((SUMPRODUCT((economics!$AG$2:$AG$167=$B37)*(economics!$D$2:$D$167="whr")*economics!$AI$2:$AI$167*(_xlfn.NORM.DIST(AG$3,economics!$AK$2:$AK$167,economics!$AJ$2:$AJ$167,TRUE)-_xlfn.NORM.DIST(AG$30,economics!$AK$2:$AK$167,economics!$AJ$2:$AJ$167,TRUE))*economics!$AM$2:$AM$167))/(SUMPRODUCT((economics!$AG$2:$AG$167=$B37)*(economics!$D$2:$D$167="whr")*economics!$AI$2:$AI$167*(_xlfn.NORM.DIST(AG$3,economics!$AK$2:$AK$167,economics!$AJ$2:$AJ$167,TRUE)-_xlfn.NORM.DIST(AG$30,economics!$AK$2:$AK$167,economics!$AJ$2:$AJ$167,TRUE)))),"")</f>
        <v/>
      </c>
      <c r="AH37">
        <f t="array" ref="AH37">IFERROR((SUMPRODUCT((economics!$AG$2:$AG$167=$B37)*(economics!$D$2:$D$167="whr")*economics!$AI$2:$AI$167*(_xlfn.NORM.DIST(AH$3,economics!$AK$2:$AK$167,economics!$AJ$2:$AJ$167,TRUE)-_xlfn.NORM.DIST(AH$30,economics!$AK$2:$AK$167,economics!$AJ$2:$AJ$167,TRUE))*economics!$AM$2:$AM$167))/(SUMPRODUCT((economics!$AG$2:$AG$167=$B37)*(economics!$D$2:$D$167="whr")*economics!$AI$2:$AI$167*(_xlfn.NORM.DIST(AH$3,economics!$AK$2:$AK$167,economics!$AJ$2:$AJ$167,TRUE)-_xlfn.NORM.DIST(AH$30,economics!$AK$2:$AK$167,economics!$AJ$2:$AJ$167,TRUE)))),"")</f>
        <v/>
      </c>
      <c r="AI37">
        <f t="array" ref="AI37">IFERROR((SUMPRODUCT((economics!$AG$2:$AG$167=$B37)*(economics!$D$2:$D$167="whr")*economics!$AI$2:$AI$167*(_xlfn.NORM.DIST(AI$3,economics!$AK$2:$AK$167,economics!$AJ$2:$AJ$167,TRUE)-_xlfn.NORM.DIST(AI$30,economics!$AK$2:$AK$167,economics!$AJ$2:$AJ$167,TRUE))*economics!$AM$2:$AM$167))/(SUMPRODUCT((economics!$AG$2:$AG$167=$B37)*(economics!$D$2:$D$167="whr")*economics!$AI$2:$AI$167*(_xlfn.NORM.DIST(AI$3,economics!$AK$2:$AK$167,economics!$AJ$2:$AJ$167,TRUE)-_xlfn.NORM.DIST(AI$30,economics!$AK$2:$AK$167,economics!$AJ$2:$AJ$167,TRUE)))),"")</f>
        <v/>
      </c>
      <c r="AJ37">
        <f t="array" ref="AJ37">IFERROR((SUMPRODUCT((economics!$AG$2:$AG$167=$B37)*(economics!$D$2:$D$167="whr")*economics!$AI$2:$AI$167*(_xlfn.NORM.DIST(AJ$3,economics!$AK$2:$AK$167,economics!$AJ$2:$AJ$167,TRUE)-_xlfn.NORM.DIST(AJ$30,economics!$AK$2:$AK$167,economics!$AJ$2:$AJ$167,TRUE))*economics!$AM$2:$AM$167))/(SUMPRODUCT((economics!$AG$2:$AG$167=$B37)*(economics!$D$2:$D$167="whr")*economics!$AI$2:$AI$167*(_xlfn.NORM.DIST(AJ$3,economics!$AK$2:$AK$167,economics!$AJ$2:$AJ$167,TRUE)-_xlfn.NORM.DIST(AJ$30,economics!$AK$2:$AK$167,economics!$AJ$2:$AJ$167,TRUE)))),"")</f>
        <v/>
      </c>
      <c r="AK37">
        <f t="array" ref="AK37">IFERROR((SUMPRODUCT((economics!$AG$2:$AG$167=$B37)*(economics!$D$2:$D$167="whr")*economics!$AI$2:$AI$167*(_xlfn.NORM.DIST(AK$3,economics!$AK$2:$AK$167,economics!$AJ$2:$AJ$167,TRUE)-_xlfn.NORM.DIST(AK$30,economics!$AK$2:$AK$167,economics!$AJ$2:$AJ$167,TRUE))*economics!$AM$2:$AM$167))/(SUMPRODUCT((economics!$AG$2:$AG$167=$B37)*(economics!$D$2:$D$167="whr")*economics!$AI$2:$AI$167*(_xlfn.NORM.DIST(AK$3,economics!$AK$2:$AK$167,economics!$AJ$2:$AJ$167,TRUE)-_xlfn.NORM.DIST(AK$30,economics!$AK$2:$AK$167,economics!$AJ$2:$AJ$167,TRUE)))),"")</f>
        <v/>
      </c>
      <c r="AL37">
        <f t="array" ref="AL37">IFERROR((SUMPRODUCT((economics!$AG$2:$AG$167=$B37)*(economics!$D$2:$D$167="whr")*economics!$AI$2:$AI$167*(_xlfn.NORM.DIST(AL$3,economics!$AK$2:$AK$167,economics!$AJ$2:$AJ$167,TRUE)-_xlfn.NORM.DIST(AL$30,economics!$AK$2:$AK$167,economics!$AJ$2:$AJ$167,TRUE))*economics!$AM$2:$AM$167))/(SUMPRODUCT((economics!$AG$2:$AG$167=$B37)*(economics!$D$2:$D$167="whr")*economics!$AI$2:$AI$167*(_xlfn.NORM.DIST(AL$3,economics!$AK$2:$AK$167,economics!$AJ$2:$AJ$167,TRUE)-_xlfn.NORM.DIST(AL$30,economics!$AK$2:$AK$167,economics!$AJ$2:$AJ$167,TRUE)))),"")</f>
        <v/>
      </c>
      <c r="AM37">
        <f t="array" ref="AM37">IFERROR((SUMPRODUCT((economics!$AG$2:$AG$167=$B37)*(economics!$D$2:$D$167="whr")*economics!$AI$2:$AI$167*(_xlfn.NORM.DIST(AM$3,economics!$AK$2:$AK$167,economics!$AJ$2:$AJ$167,TRUE)-_xlfn.NORM.DIST(AM$30,economics!$AK$2:$AK$167,economics!$AJ$2:$AJ$167,TRUE))*economics!$AM$2:$AM$167))/(SUMPRODUCT((economics!$AG$2:$AG$167=$B37)*(economics!$D$2:$D$167="whr")*economics!$AI$2:$AI$167*(_xlfn.NORM.DIST(AM$3,economics!$AK$2:$AK$167,economics!$AJ$2:$AJ$167,TRUE)-_xlfn.NORM.DIST(AM$30,economics!$AK$2:$AK$167,economics!$AJ$2:$AJ$167,TRUE)))),"")</f>
        <v/>
      </c>
      <c r="AN37">
        <f t="array" ref="AN37">IFERROR((SUMPRODUCT((economics!$AG$2:$AG$167=$B37)*(economics!$D$2:$D$167="whr")*economics!$AI$2:$AI$167*(_xlfn.NORM.DIST(AN$3,economics!$AK$2:$AK$167,economics!$AJ$2:$AJ$167,TRUE)-_xlfn.NORM.DIST(AN$30,economics!$AK$2:$AK$167,economics!$AJ$2:$AJ$167,TRUE))*economics!$AM$2:$AM$167))/(SUMPRODUCT((economics!$AG$2:$AG$167=$B37)*(economics!$D$2:$D$167="whr")*economics!$AI$2:$AI$167*(_xlfn.NORM.DIST(AN$3,economics!$AK$2:$AK$167,economics!$AJ$2:$AJ$167,TRUE)-_xlfn.NORM.DIST(AN$30,economics!$AK$2:$AK$167,economics!$AJ$2:$AJ$167,TRUE)))),"")</f>
        <v/>
      </c>
      <c r="AO37">
        <f t="array" ref="AO37">IFERROR((SUMPRODUCT((economics!$AG$2:$AG$167=$B37)*(economics!$D$2:$D$167="whr")*economics!$AI$2:$AI$167*(_xlfn.NORM.DIST(AO$3,economics!$AK$2:$AK$167,economics!$AJ$2:$AJ$167,TRUE)-_xlfn.NORM.DIST(AO$30,economics!$AK$2:$AK$167,economics!$AJ$2:$AJ$167,TRUE))*economics!$AM$2:$AM$167))/(SUMPRODUCT((economics!$AG$2:$AG$167=$B37)*(economics!$D$2:$D$167="whr")*economics!$AI$2:$AI$167*(_xlfn.NORM.DIST(AO$3,economics!$AK$2:$AK$167,economics!$AJ$2:$AJ$167,TRUE)-_xlfn.NORM.DIST(AO$30,economics!$AK$2:$AK$167,economics!$AJ$2:$AJ$167,TRUE)))),"")</f>
        <v/>
      </c>
      <c r="AP37">
        <f t="array" ref="AP37">IFERROR((SUMPRODUCT((economics!$AG$2:$AG$167=$B37)*(economics!$D$2:$D$167="whr")*economics!$AI$2:$AI$167*(_xlfn.NORM.DIST(AP$3,economics!$AK$2:$AK$167,economics!$AJ$2:$AJ$167,TRUE)-_xlfn.NORM.DIST(AP$30,economics!$AK$2:$AK$167,economics!$AJ$2:$AJ$167,TRUE))*economics!$AM$2:$AM$167))/(SUMPRODUCT((economics!$AG$2:$AG$167=$B37)*(economics!$D$2:$D$167="whr")*economics!$AI$2:$AI$167*(_xlfn.NORM.DIST(AP$3,economics!$AK$2:$AK$167,economics!$AJ$2:$AJ$167,TRUE)-_xlfn.NORM.DIST(AP$30,economics!$AK$2:$AK$167,economics!$AJ$2:$AJ$167,TRUE)))),"")</f>
        <v/>
      </c>
      <c r="AQ37">
        <f t="array" ref="AQ37">IFERROR((SUMPRODUCT((economics!$AG$2:$AG$167=$B37)*(economics!$D$2:$D$167="whr")*economics!$AI$2:$AI$167*(_xlfn.NORM.DIST(AQ$3,economics!$AK$2:$AK$167,economics!$AJ$2:$AJ$167,TRUE)-_xlfn.NORM.DIST(AQ$30,economics!$AK$2:$AK$167,economics!$AJ$2:$AJ$167,TRUE))*economics!$AM$2:$AM$167))/(SUMPRODUCT((economics!$AG$2:$AG$167=$B37)*(economics!$D$2:$D$167="whr")*economics!$AI$2:$AI$167*(_xlfn.NORM.DIST(AQ$3,economics!$AK$2:$AK$167,economics!$AJ$2:$AJ$167,TRUE)-_xlfn.NORM.DIST(AQ$30,economics!$AK$2:$AK$167,economics!$AJ$2:$AJ$167,TRUE)))),"")</f>
        <v/>
      </c>
      <c r="AR37">
        <f t="array" ref="AR37">IFERROR((SUMPRODUCT((economics!$AG$2:$AG$167=$B37)*(economics!$D$2:$D$167="whr")*economics!$AI$2:$AI$167*(_xlfn.NORM.DIST(AR$3,economics!$AK$2:$AK$167,economics!$AJ$2:$AJ$167,TRUE)-_xlfn.NORM.DIST(AR$30,economics!$AK$2:$AK$167,economics!$AJ$2:$AJ$167,TRUE))*economics!$AM$2:$AM$167))/(SUMPRODUCT((economics!$AG$2:$AG$167=$B37)*(economics!$D$2:$D$167="whr")*economics!$AI$2:$AI$167*(_xlfn.NORM.DIST(AR$3,economics!$AK$2:$AK$167,economics!$AJ$2:$AJ$167,TRUE)-_xlfn.NORM.DIST(AR$30,economics!$AK$2:$AK$167,economics!$AJ$2:$AJ$167,TRUE)))),"")</f>
        <v/>
      </c>
      <c r="AS37">
        <f t="array" ref="AS37">IFERROR((SUMPRODUCT((economics!$AG$2:$AG$167=$B37)*(economics!$D$2:$D$167="whr")*economics!$AI$2:$AI$167*(_xlfn.NORM.DIST(AS$3,economics!$AK$2:$AK$167,economics!$AJ$2:$AJ$167,TRUE)-_xlfn.NORM.DIST(AS$30,economics!$AK$2:$AK$167,economics!$AJ$2:$AJ$167,TRUE))*economics!$AM$2:$AM$167))/(SUMPRODUCT((economics!$AG$2:$AG$167=$B37)*(economics!$D$2:$D$167="whr")*economics!$AI$2:$AI$167*(_xlfn.NORM.DIST(AS$3,economics!$AK$2:$AK$167,economics!$AJ$2:$AJ$167,TRUE)-_xlfn.NORM.DIST(AS$30,economics!$AK$2:$AK$167,economics!$AJ$2:$AJ$167,TRUE)))),"")</f>
        <v/>
      </c>
      <c r="AT37">
        <f t="array" ref="AT37">IFERROR((SUMPRODUCT((economics!$AG$2:$AG$167=$B37)*(economics!$D$2:$D$167="whr")*economics!$AI$2:$AI$167*(_xlfn.NORM.DIST(AT$3,economics!$AK$2:$AK$167,economics!$AJ$2:$AJ$167,TRUE)-_xlfn.NORM.DIST(AT$30,economics!$AK$2:$AK$167,economics!$AJ$2:$AJ$167,TRUE))*economics!$AM$2:$AM$167))/(SUMPRODUCT((economics!$AG$2:$AG$167=$B37)*(economics!$D$2:$D$167="whr")*economics!$AI$2:$AI$167*(_xlfn.NORM.DIST(AT$3,economics!$AK$2:$AK$167,economics!$AJ$2:$AJ$167,TRUE)-_xlfn.NORM.DIST(AT$30,economics!$AK$2:$AK$167,economics!$AJ$2:$AJ$167,TRUE)))),"")</f>
        <v/>
      </c>
      <c r="AU37">
        <f t="array" ref="AU37">IFERROR((SUMPRODUCT((economics!$AG$2:$AG$167=$B37)*(economics!$D$2:$D$167="whr")*economics!$AI$2:$AI$167*(_xlfn.NORM.DIST(AU$3,economics!$AK$2:$AK$167,economics!$AJ$2:$AJ$167,TRUE)-_xlfn.NORM.DIST(AU$30,economics!$AK$2:$AK$167,economics!$AJ$2:$AJ$167,TRUE))*economics!$AM$2:$AM$167))/(SUMPRODUCT((economics!$AG$2:$AG$167=$B37)*(economics!$D$2:$D$167="whr")*economics!$AI$2:$AI$167*(_xlfn.NORM.DIST(AU$3,economics!$AK$2:$AK$167,economics!$AJ$2:$AJ$167,TRUE)-_xlfn.NORM.DIST(AU$30,economics!$AK$2:$AK$167,economics!$AJ$2:$AJ$167,TRUE)))),"")</f>
        <v/>
      </c>
      <c r="AV37">
        <f t="array" ref="AV37">IFERROR((SUMPRODUCT((economics!$AG$2:$AG$167=$B37)*(economics!$D$2:$D$167="whr")*economics!$AI$2:$AI$167*(_xlfn.NORM.DIST(AV$3,economics!$AK$2:$AK$167,economics!$AJ$2:$AJ$167,TRUE)-_xlfn.NORM.DIST(AV$30,economics!$AK$2:$AK$167,economics!$AJ$2:$AJ$167,TRUE))*economics!$AM$2:$AM$167))/(SUMPRODUCT((economics!$AG$2:$AG$167=$B37)*(economics!$D$2:$D$167="whr")*economics!$AI$2:$AI$167*(_xlfn.NORM.DIST(AV$3,economics!$AK$2:$AK$167,economics!$AJ$2:$AJ$167,TRUE)-_xlfn.NORM.DIST(AV$30,economics!$AK$2:$AK$167,economics!$AJ$2:$AJ$167,TRUE)))),"")</f>
        <v/>
      </c>
      <c r="AW37">
        <f t="array" ref="AW37">IFERROR((SUMPRODUCT((economics!$AG$2:$AG$167=$B37)*(economics!$D$2:$D$167="whr")*economics!$AI$2:$AI$167*(_xlfn.NORM.DIST(AW$3,economics!$AK$2:$AK$167,economics!$AJ$2:$AJ$167,TRUE)-_xlfn.NORM.DIST(AW$30,economics!$AK$2:$AK$167,economics!$AJ$2:$AJ$167,TRUE))*economics!$AM$2:$AM$167))/(SUMPRODUCT((economics!$AG$2:$AG$167=$B37)*(economics!$D$2:$D$167="whr")*economics!$AI$2:$AI$167*(_xlfn.NORM.DIST(AW$3,economics!$AK$2:$AK$167,economics!$AJ$2:$AJ$167,TRUE)-_xlfn.NORM.DIST(AW$30,economics!$AK$2:$AK$167,economics!$AJ$2:$AJ$167,TRUE)))),"")</f>
        <v/>
      </c>
      <c r="AX37">
        <f t="array" ref="AX37">IFERROR((SUMPRODUCT((economics!$AG$2:$AG$167=$B37)*(economics!$D$2:$D$167="whr")*economics!$AI$2:$AI$167*(_xlfn.NORM.DIST(AX$3,economics!$AK$2:$AK$167,economics!$AJ$2:$AJ$167,TRUE)-_xlfn.NORM.DIST(AX$30,economics!$AK$2:$AK$167,economics!$AJ$2:$AJ$167,TRUE))*economics!$AM$2:$AM$167))/(SUMPRODUCT((economics!$AG$2:$AG$167=$B37)*(economics!$D$2:$D$167="whr")*economics!$AI$2:$AI$167*(_xlfn.NORM.DIST(AX$3,economics!$AK$2:$AK$167,economics!$AJ$2:$AJ$167,TRUE)-_xlfn.NORM.DIST(AX$30,economics!$AK$2:$AK$167,economics!$AJ$2:$AJ$167,TRUE)))),"")</f>
        <v/>
      </c>
      <c r="AY37">
        <f t="array" ref="AY37">IFERROR((SUMPRODUCT((economics!$AG$2:$AG$167=$B37)*(economics!$D$2:$D$167="whr")*economics!$AI$2:$AI$167*(_xlfn.NORM.DIST(AY$3,economics!$AK$2:$AK$167,economics!$AJ$2:$AJ$167,TRUE)-_xlfn.NORM.DIST(AY$30,economics!$AK$2:$AK$167,economics!$AJ$2:$AJ$167,TRUE))*economics!$AM$2:$AM$167))/(SUMPRODUCT((economics!$AG$2:$AG$167=$B37)*(economics!$D$2:$D$167="whr")*economics!$AI$2:$AI$167*(_xlfn.NORM.DIST(AY$3,economics!$AK$2:$AK$167,economics!$AJ$2:$AJ$167,TRUE)-_xlfn.NORM.DIST(AY$30,economics!$AK$2:$AK$167,economics!$AJ$2:$AJ$167,TRUE)))),"")</f>
        <v/>
      </c>
      <c r="AZ37">
        <f t="array" ref="AZ37">IFERROR((SUMPRODUCT((economics!$AG$2:$AG$167=$B37)*(economics!$D$2:$D$167="whr")*economics!$AI$2:$AI$167*(_xlfn.NORM.DIST(AZ$3,economics!$AK$2:$AK$167,economics!$AJ$2:$AJ$167,TRUE)-_xlfn.NORM.DIST(AZ$30,economics!$AK$2:$AK$167,economics!$AJ$2:$AJ$167,TRUE))*economics!$AM$2:$AM$167))/(SUMPRODUCT((economics!$AG$2:$AG$167=$B37)*(economics!$D$2:$D$167="whr")*economics!$AI$2:$AI$167*(_xlfn.NORM.DIST(AZ$3,economics!$AK$2:$AK$167,economics!$AJ$2:$AJ$167,TRUE)-_xlfn.NORM.DIST(AZ$30,economics!$AK$2:$AK$167,economics!$AJ$2:$AJ$167,TRUE)))),"")</f>
        <v/>
      </c>
      <c r="BA37">
        <f t="array" ref="BA37">IFERROR((SUMPRODUCT((economics!$AG$2:$AG$167=$B37)*(economics!$D$2:$D$167="whr")*economics!$AI$2:$AI$167*(_xlfn.NORM.DIST(BA$3,economics!$AK$2:$AK$167,economics!$AJ$2:$AJ$167,TRUE)-_xlfn.NORM.DIST(BA$30,economics!$AK$2:$AK$167,economics!$AJ$2:$AJ$167,TRUE))*economics!$AM$2:$AM$167))/(SUMPRODUCT((economics!$AG$2:$AG$167=$B37)*(economics!$D$2:$D$167="whr")*economics!$AI$2:$AI$167*(_xlfn.NORM.DIST(BA$3,economics!$AK$2:$AK$167,economics!$AJ$2:$AJ$167,TRUE)-_xlfn.NORM.DIST(BA$30,economics!$AK$2:$AK$167,economics!$AJ$2:$AJ$167,TRUE)))),"")</f>
        <v/>
      </c>
      <c r="BB37">
        <f t="array" ref="BB37">IFERROR((SUMPRODUCT((economics!$AG$2:$AG$167=$B37)*(economics!$D$2:$D$167="whr")*economics!$AI$2:$AI$167*(_xlfn.NORM.DIST(BB$3,economics!$AK$2:$AK$167,economics!$AJ$2:$AJ$167,TRUE)-_xlfn.NORM.DIST(BB$30,economics!$AK$2:$AK$167,economics!$AJ$2:$AJ$167,TRUE))*economics!$AM$2:$AM$167))/(SUMPRODUCT((economics!$AG$2:$AG$167=$B37)*(economics!$D$2:$D$167="whr")*economics!$AI$2:$AI$167*(_xlfn.NORM.DIST(BB$3,economics!$AK$2:$AK$167,economics!$AJ$2:$AJ$167,TRUE)-_xlfn.NORM.DIST(BB$30,economics!$AK$2:$AK$167,economics!$AJ$2:$AJ$167,TRUE)))),"")</f>
        <v/>
      </c>
      <c r="BC37">
        <f t="array" ref="BC37">IFERROR((SUMPRODUCT((economics!$AG$2:$AG$167=$B37)*(economics!$D$2:$D$167="whr")*economics!$AI$2:$AI$167*(_xlfn.NORM.DIST(BC$3,economics!$AK$2:$AK$167,economics!$AJ$2:$AJ$167,TRUE)-_xlfn.NORM.DIST(BC$30,economics!$AK$2:$AK$167,economics!$AJ$2:$AJ$167,TRUE))*economics!$AM$2:$AM$167))/(SUMPRODUCT((economics!$AG$2:$AG$167=$B37)*(economics!$D$2:$D$167="whr")*economics!$AI$2:$AI$167*(_xlfn.NORM.DIST(BC$3,economics!$AK$2:$AK$167,economics!$AJ$2:$AJ$167,TRUE)-_xlfn.NORM.DIST(BC$30,economics!$AK$2:$AK$167,economics!$AJ$2:$AJ$167,TRUE)))),"")</f>
        <v/>
      </c>
      <c r="BD37">
        <f t="array" ref="BD37">IFERROR((SUMPRODUCT((economics!$AG$2:$AG$167=$B37)*(economics!$D$2:$D$167="whr")*economics!$AI$2:$AI$167*(_xlfn.NORM.DIST(BD$3,economics!$AK$2:$AK$167,economics!$AJ$2:$AJ$167,TRUE)-_xlfn.NORM.DIST(BD$30,economics!$AK$2:$AK$167,economics!$AJ$2:$AJ$167,TRUE))*economics!$AM$2:$AM$167))/(SUMPRODUCT((economics!$AG$2:$AG$167=$B37)*(economics!$D$2:$D$167="whr")*economics!$AI$2:$AI$167*(_xlfn.NORM.DIST(BD$3,economics!$AK$2:$AK$167,economics!$AJ$2:$AJ$167,TRUE)-_xlfn.NORM.DIST(BD$30,economics!$AK$2:$AK$167,economics!$AJ$2:$AJ$167,TRUE)))),"")</f>
        <v/>
      </c>
      <c r="BE37">
        <f t="array" ref="BE37">IFERROR((SUMPRODUCT((economics!$AG$2:$AG$167=$B37)*(economics!$D$2:$D$167="whr")*economics!$AI$2:$AI$167*(_xlfn.NORM.DIST(BE$3,economics!$AK$2:$AK$167,economics!$AJ$2:$AJ$167,TRUE)-_xlfn.NORM.DIST(BE$30,economics!$AK$2:$AK$167,economics!$AJ$2:$AJ$167,TRUE))*economics!$AM$2:$AM$167))/(SUMPRODUCT((economics!$AG$2:$AG$167=$B37)*(economics!$D$2:$D$167="whr")*economics!$AI$2:$AI$167*(_xlfn.NORM.DIST(BE$3,economics!$AK$2:$AK$167,economics!$AJ$2:$AJ$167,TRUE)-_xlfn.NORM.DIST(BE$30,economics!$AK$2:$AK$167,economics!$AJ$2:$AJ$167,TRUE)))),"")</f>
        <v/>
      </c>
      <c r="BF37">
        <f t="array" ref="BF37">IFERROR((SUMPRODUCT((economics!$AG$2:$AG$167=$B37)*(economics!$D$2:$D$167="whr")*economics!$AI$2:$AI$167*(_xlfn.NORM.DIST(BF$3,economics!$AK$2:$AK$167,economics!$AJ$2:$AJ$167,TRUE)-_xlfn.NORM.DIST(BF$30,economics!$AK$2:$AK$167,economics!$AJ$2:$AJ$167,TRUE))*economics!$AM$2:$AM$167))/(SUMPRODUCT((economics!$AG$2:$AG$167=$B37)*(economics!$D$2:$D$167="whr")*economics!$AI$2:$AI$167*(_xlfn.NORM.DIST(BF$3,economics!$AK$2:$AK$167,economics!$AJ$2:$AJ$167,TRUE)-_xlfn.NORM.DIST(BF$30,economics!$AK$2:$AK$167,economics!$AJ$2:$AJ$167,TRUE)))),"")</f>
        <v/>
      </c>
      <c r="BG37">
        <f t="array" ref="BG37">IFERROR((SUMPRODUCT((economics!$AG$2:$AG$167=$B37)*(economics!$D$2:$D$167="whr")*economics!$AI$2:$AI$167*(_xlfn.NORM.DIST(BG$3,economics!$AK$2:$AK$167,economics!$AJ$2:$AJ$167,TRUE)-_xlfn.NORM.DIST(BG$30,economics!$AK$2:$AK$167,economics!$AJ$2:$AJ$167,TRUE))*economics!$AM$2:$AM$167))/(SUMPRODUCT((economics!$AG$2:$AG$167=$B37)*(economics!$D$2:$D$167="whr")*economics!$AI$2:$AI$167*(_xlfn.NORM.DIST(BG$3,economics!$AK$2:$AK$167,economics!$AJ$2:$AJ$167,TRUE)-_xlfn.NORM.DIST(BG$30,economics!$AK$2:$AK$167,economics!$AJ$2:$AJ$167,TRUE)))),"")</f>
        <v/>
      </c>
      <c r="BH37">
        <f t="array" ref="BH37">IFERROR((SUMPRODUCT((economics!$AG$2:$AG$167=$B37)*(economics!$D$2:$D$167="whr")*economics!$AI$2:$AI$167*(_xlfn.NORM.DIST(BH$3,economics!$AK$2:$AK$167,economics!$AJ$2:$AJ$167,TRUE)-_xlfn.NORM.DIST(BH$30,economics!$AK$2:$AK$167,economics!$AJ$2:$AJ$167,TRUE))*economics!$AM$2:$AM$167))/(SUMPRODUCT((economics!$AG$2:$AG$167=$B37)*(economics!$D$2:$D$167="whr")*economics!$AI$2:$AI$167*(_xlfn.NORM.DIST(BH$3,economics!$AK$2:$AK$167,economics!$AJ$2:$AJ$167,TRUE)-_xlfn.NORM.DIST(BH$30,economics!$AK$2:$AK$167,economics!$AJ$2:$AJ$167,TRUE)))),"")</f>
        <v/>
      </c>
      <c r="BI37">
        <f t="array" ref="BI37">IFERROR((SUMPRODUCT((economics!$AG$2:$AG$167=$B37)*(economics!$D$2:$D$167="whr")*economics!$AI$2:$AI$167*(_xlfn.NORM.DIST(BI$3,economics!$AK$2:$AK$167,economics!$AJ$2:$AJ$167,TRUE)-_xlfn.NORM.DIST(BI$30,economics!$AK$2:$AK$167,economics!$AJ$2:$AJ$167,TRUE))*economics!$AM$2:$AM$167))/(SUMPRODUCT((economics!$AG$2:$AG$167=$B37)*(economics!$D$2:$D$167="whr")*economics!$AI$2:$AI$167*(_xlfn.NORM.DIST(BI$3,economics!$AK$2:$AK$167,economics!$AJ$2:$AJ$167,TRUE)-_xlfn.NORM.DIST(BI$30,economics!$AK$2:$AK$167,economics!$AJ$2:$AJ$167,TRUE)))),"")</f>
        <v/>
      </c>
      <c r="BJ37">
        <f t="array" ref="BJ37">IFERROR((SUMPRODUCT((economics!$AG$2:$AG$167=$B37)*(economics!$D$2:$D$167="whr")*economics!$AI$2:$AI$167*(_xlfn.NORM.DIST(BJ$3,economics!$AK$2:$AK$167,economics!$AJ$2:$AJ$167,TRUE)-_xlfn.NORM.DIST(BJ$30,economics!$AK$2:$AK$167,economics!$AJ$2:$AJ$167,TRUE))*economics!$AM$2:$AM$167))/(SUMPRODUCT((economics!$AG$2:$AG$167=$B37)*(economics!$D$2:$D$167="whr")*economics!$AI$2:$AI$167*(_xlfn.NORM.DIST(BJ$3,economics!$AK$2:$AK$167,economics!$AJ$2:$AJ$167,TRUE)-_xlfn.NORM.DIST(BJ$30,economics!$AK$2:$AK$167,economics!$AJ$2:$AJ$167,TRUE)))),"")</f>
        <v/>
      </c>
      <c r="BK37">
        <f t="array" ref="BK37">IFERROR((SUMPRODUCT((economics!$AG$2:$AG$167=$B37)*(economics!$D$2:$D$167="whr")*economics!$AI$2:$AI$167*(_xlfn.NORM.DIST(BK$3,economics!$AK$2:$AK$167,economics!$AJ$2:$AJ$167,TRUE)-_xlfn.NORM.DIST(BK$30,economics!$AK$2:$AK$167,economics!$AJ$2:$AJ$167,TRUE))*economics!$AM$2:$AM$167))/(SUMPRODUCT((economics!$AG$2:$AG$167=$B37)*(economics!$D$2:$D$167="whr")*economics!$AI$2:$AI$167*(_xlfn.NORM.DIST(BK$3,economics!$AK$2:$AK$167,economics!$AJ$2:$AJ$167,TRUE)-_xlfn.NORM.DIST(BK$30,economics!$AK$2:$AK$167,economics!$AJ$2:$AJ$167,TRUE)))),"")</f>
        <v/>
      </c>
      <c r="BL37">
        <f t="array" ref="BL37">IFERROR((SUMPRODUCT((economics!$AG$2:$AG$167=$B37)*(economics!$D$2:$D$167="whr")*economics!$AI$2:$AI$167*(_xlfn.NORM.DIST(BL$3,economics!$AK$2:$AK$167,economics!$AJ$2:$AJ$167,TRUE)-_xlfn.NORM.DIST(BL$30,economics!$AK$2:$AK$167,economics!$AJ$2:$AJ$167,TRUE))*economics!$AM$2:$AM$167))/(SUMPRODUCT((economics!$AG$2:$AG$167=$B37)*(economics!$D$2:$D$167="whr")*economics!$AI$2:$AI$167*(_xlfn.NORM.DIST(BL$3,economics!$AK$2:$AK$167,economics!$AJ$2:$AJ$167,TRUE)-_xlfn.NORM.DIST(BL$30,economics!$AK$2:$AK$167,economics!$AJ$2:$AJ$167,TRUE)))),"")</f>
        <v/>
      </c>
      <c r="BM37">
        <f t="array" ref="BM37">IFERROR((SUMPRODUCT((economics!$AG$2:$AG$167=$B37)*(economics!$D$2:$D$167="whr")*economics!$AI$2:$AI$167*(_xlfn.NORM.DIST(BM$3,economics!$AK$2:$AK$167,economics!$AJ$2:$AJ$167,TRUE)-_xlfn.NORM.DIST(BM$30,economics!$AK$2:$AK$167,economics!$AJ$2:$AJ$167,TRUE))*economics!$AM$2:$AM$167))/(SUMPRODUCT((economics!$AG$2:$AG$167=$B37)*(economics!$D$2:$D$167="whr")*economics!$AI$2:$AI$167*(_xlfn.NORM.DIST(BM$3,economics!$AK$2:$AK$167,economics!$AJ$2:$AJ$167,TRUE)-_xlfn.NORM.DIST(BM$30,economics!$AK$2:$AK$167,economics!$AJ$2:$AJ$167,TRUE)))),"")</f>
        <v/>
      </c>
      <c r="BN37">
        <f t="array" ref="BN37">IFERROR((SUMPRODUCT((economics!$AG$2:$AG$167=$B37)*(economics!$D$2:$D$167="whr")*economics!$AI$2:$AI$167*(_xlfn.NORM.DIST(BN$3,economics!$AK$2:$AK$167,economics!$AJ$2:$AJ$167,TRUE)-_xlfn.NORM.DIST(BN$30,economics!$AK$2:$AK$167,economics!$AJ$2:$AJ$167,TRUE))*economics!$AM$2:$AM$167))/(SUMPRODUCT((economics!$AG$2:$AG$167=$B37)*(economics!$D$2:$D$167="whr")*economics!$AI$2:$AI$167*(_xlfn.NORM.DIST(BN$3,economics!$AK$2:$AK$167,economics!$AJ$2:$AJ$167,TRUE)-_xlfn.NORM.DIST(BN$30,economics!$AK$2:$AK$167,economics!$AJ$2:$AJ$167,TRUE)))),"")</f>
        <v/>
      </c>
      <c r="BO37">
        <f t="array" ref="BO37">IFERROR((SUMPRODUCT((economics!$AG$2:$AG$167=$B37)*(economics!$D$2:$D$167="whr")*economics!$AI$2:$AI$167*(_xlfn.NORM.DIST(BO$3,economics!$AK$2:$AK$167,economics!$AJ$2:$AJ$167,TRUE)-_xlfn.NORM.DIST(BO$30,economics!$AK$2:$AK$167,economics!$AJ$2:$AJ$167,TRUE))*economics!$AM$2:$AM$167))/(SUMPRODUCT((economics!$AG$2:$AG$167=$B37)*(economics!$D$2:$D$167="whr")*economics!$AI$2:$AI$167*(_xlfn.NORM.DIST(BO$3,economics!$AK$2:$AK$167,economics!$AJ$2:$AJ$167,TRUE)-_xlfn.NORM.DIST(BO$30,economics!$AK$2:$AK$167,economics!$AJ$2:$AJ$167,TRUE)))),"")</f>
        <v/>
      </c>
      <c r="BP37">
        <f t="array" ref="BP37">IFERROR((SUMPRODUCT((economics!$AG$2:$AG$167=$B37)*(economics!$D$2:$D$167="whr")*economics!$AI$2:$AI$167*(_xlfn.NORM.DIST(BP$3,economics!$AK$2:$AK$167,economics!$AJ$2:$AJ$167,TRUE)-_xlfn.NORM.DIST(BP$30,economics!$AK$2:$AK$167,economics!$AJ$2:$AJ$167,TRUE))*economics!$AM$2:$AM$167))/(SUMPRODUCT((economics!$AG$2:$AG$167=$B37)*(economics!$D$2:$D$167="whr")*economics!$AI$2:$AI$167*(_xlfn.NORM.DIST(BP$3,economics!$AK$2:$AK$167,economics!$AJ$2:$AJ$167,TRUE)-_xlfn.NORM.DIST(BP$30,economics!$AK$2:$AK$167,economics!$AJ$2:$AJ$167,TRUE)))),"")</f>
        <v/>
      </c>
      <c r="BQ37">
        <f t="array" ref="BQ37">IFERROR((SUMPRODUCT((economics!$AG$2:$AG$167=$B37)*(economics!$D$2:$D$167="whr")*economics!$AI$2:$AI$167*(_xlfn.NORM.DIST(BQ$3,economics!$AK$2:$AK$167,economics!$AJ$2:$AJ$167,TRUE)-_xlfn.NORM.DIST(BQ$30,economics!$AK$2:$AK$167,economics!$AJ$2:$AJ$167,TRUE))*economics!$AM$2:$AM$167))/(SUMPRODUCT((economics!$AG$2:$AG$167=$B37)*(economics!$D$2:$D$167="whr")*economics!$AI$2:$AI$167*(_xlfn.NORM.DIST(BQ$3,economics!$AK$2:$AK$167,economics!$AJ$2:$AJ$167,TRUE)-_xlfn.NORM.DIST(BQ$30,economics!$AK$2:$AK$167,economics!$AJ$2:$AJ$167,TRUE)))),"")</f>
        <v/>
      </c>
      <c r="BR37">
        <f t="array" ref="BR37">IFERROR((SUMPRODUCT((economics!$AG$2:$AG$167=$B37)*(economics!$D$2:$D$167="whr")*economics!$AI$2:$AI$167*(_xlfn.NORM.DIST(BR$3,economics!$AK$2:$AK$167,economics!$AJ$2:$AJ$167,TRUE)-_xlfn.NORM.DIST(BR$30,economics!$AK$2:$AK$167,economics!$AJ$2:$AJ$167,TRUE))*economics!$AM$2:$AM$167))/(SUMPRODUCT((economics!$AG$2:$AG$167=$B37)*(economics!$D$2:$D$167="whr")*economics!$AI$2:$AI$167*(_xlfn.NORM.DIST(BR$3,economics!$AK$2:$AK$167,economics!$AJ$2:$AJ$167,TRUE)-_xlfn.NORM.DIST(BR$30,economics!$AK$2:$AK$167,economics!$AJ$2:$AJ$167,TRUE)))),"")</f>
        <v/>
      </c>
      <c r="BS37">
        <f t="array" ref="BS37">IFERROR((SUMPRODUCT((economics!$AG$2:$AG$167=$B37)*(economics!$D$2:$D$167="whr")*economics!$AI$2:$AI$167*(_xlfn.NORM.DIST(BS$3,economics!$AK$2:$AK$167,economics!$AJ$2:$AJ$167,TRUE)-_xlfn.NORM.DIST(BS$30,economics!$AK$2:$AK$167,economics!$AJ$2:$AJ$167,TRUE))*economics!$AM$2:$AM$167))/(SUMPRODUCT((economics!$AG$2:$AG$167=$B37)*(economics!$D$2:$D$167="whr")*economics!$AI$2:$AI$167*(_xlfn.NORM.DIST(BS$3,economics!$AK$2:$AK$167,economics!$AJ$2:$AJ$167,TRUE)-_xlfn.NORM.DIST(BS$30,economics!$AK$2:$AK$167,economics!$AJ$2:$AJ$167,TRUE)))),"")</f>
        <v/>
      </c>
      <c r="BT37">
        <f t="array" ref="BT37">IFERROR((SUMPRODUCT((economics!$AG$2:$AG$167=$B37)*(economics!$D$2:$D$167="whr")*economics!$AI$2:$AI$167*(_xlfn.NORM.DIST(BT$3,economics!$AK$2:$AK$167,economics!$AJ$2:$AJ$167,TRUE)-_xlfn.NORM.DIST(BT$30,economics!$AK$2:$AK$167,economics!$AJ$2:$AJ$167,TRUE))*economics!$AM$2:$AM$167))/(SUMPRODUCT((economics!$AG$2:$AG$167=$B37)*(economics!$D$2:$D$167="whr")*economics!$AI$2:$AI$167*(_xlfn.NORM.DIST(BT$3,economics!$AK$2:$AK$167,economics!$AJ$2:$AJ$167,TRUE)-_xlfn.NORM.DIST(BT$30,economics!$AK$2:$AK$167,economics!$AJ$2:$AJ$167,TRUE)))),"")</f>
        <v/>
      </c>
      <c r="BU37">
        <f t="array" ref="BU37">IFERROR((SUMPRODUCT((economics!$AG$2:$AG$167=$B37)*(economics!$D$2:$D$167="whr")*economics!$AI$2:$AI$167*(_xlfn.NORM.DIST(BU$3,economics!$AK$2:$AK$167,economics!$AJ$2:$AJ$167,TRUE)-_xlfn.NORM.DIST(BU$30,economics!$AK$2:$AK$167,economics!$AJ$2:$AJ$167,TRUE))*economics!$AM$2:$AM$167))/(SUMPRODUCT((economics!$AG$2:$AG$167=$B37)*(economics!$D$2:$D$167="whr")*economics!$AI$2:$AI$167*(_xlfn.NORM.DIST(BU$3,economics!$AK$2:$AK$167,economics!$AJ$2:$AJ$167,TRUE)-_xlfn.NORM.DIST(BU$30,economics!$AK$2:$AK$167,economics!$AJ$2:$AJ$167,TRUE)))),"")</f>
        <v/>
      </c>
      <c r="BV37">
        <f t="array" ref="BV37">IFERROR((SUMPRODUCT((economics!$AG$2:$AG$167=$B37)*(economics!$D$2:$D$167="whr")*economics!$AI$2:$AI$167*(_xlfn.NORM.DIST(BV$3,economics!$AK$2:$AK$167,economics!$AJ$2:$AJ$167,TRUE)-_xlfn.NORM.DIST(BV$30,economics!$AK$2:$AK$167,economics!$AJ$2:$AJ$167,TRUE))*economics!$AM$2:$AM$167))/(SUMPRODUCT((economics!$AG$2:$AG$167=$B37)*(economics!$D$2:$D$167="whr")*economics!$AI$2:$AI$167*(_xlfn.NORM.DIST(BV$3,economics!$AK$2:$AK$167,economics!$AJ$2:$AJ$167,TRUE)-_xlfn.NORM.DIST(BV$30,economics!$AK$2:$AK$167,economics!$AJ$2:$AJ$167,TRUE)))),"")</f>
        <v/>
      </c>
      <c r="BW37">
        <f t="array" ref="BW37">IFERROR((SUMPRODUCT((economics!$AG$2:$AG$167=$B37)*(economics!$D$2:$D$167="whr")*economics!$AI$2:$AI$167*(_xlfn.NORM.DIST(BW$3,economics!$AK$2:$AK$167,economics!$AJ$2:$AJ$167,TRUE)-_xlfn.NORM.DIST(BW$30,economics!$AK$2:$AK$167,economics!$AJ$2:$AJ$167,TRUE))*economics!$AM$2:$AM$167))/(SUMPRODUCT((economics!$AG$2:$AG$167=$B37)*(economics!$D$2:$D$167="whr")*economics!$AI$2:$AI$167*(_xlfn.NORM.DIST(BW$3,economics!$AK$2:$AK$167,economics!$AJ$2:$AJ$167,TRUE)-_xlfn.NORM.DIST(BW$30,economics!$AK$2:$AK$167,economics!$AJ$2:$AJ$167,TRUE)))),"")</f>
        <v/>
      </c>
      <c r="BX37">
        <f t="array" ref="BX37">IFERROR((SUMPRODUCT((economics!$AG$2:$AG$167=$B37)*(economics!$D$2:$D$167="whr")*economics!$AI$2:$AI$167*(_xlfn.NORM.DIST(BX$3,economics!$AK$2:$AK$167,economics!$AJ$2:$AJ$167,TRUE)-_xlfn.NORM.DIST(BX$30,economics!$AK$2:$AK$167,economics!$AJ$2:$AJ$167,TRUE))*economics!$AM$2:$AM$167))/(SUMPRODUCT((economics!$AG$2:$AG$167=$B37)*(economics!$D$2:$D$167="whr")*economics!$AI$2:$AI$167*(_xlfn.NORM.DIST(BX$3,economics!$AK$2:$AK$167,economics!$AJ$2:$AJ$167,TRUE)-_xlfn.NORM.DIST(BX$30,economics!$AK$2:$AK$167,economics!$AJ$2:$AJ$167,TRUE)))),"")</f>
        <v/>
      </c>
      <c r="BY37">
        <f t="array" ref="BY37">IFERROR((SUMPRODUCT((economics!$AG$2:$AG$167=$B37)*(economics!$D$2:$D$167="whr")*economics!$AI$2:$AI$167*(_xlfn.NORM.DIST(BY$3,economics!$AK$2:$AK$167,economics!$AJ$2:$AJ$167,TRUE)-_xlfn.NORM.DIST(BY$30,economics!$AK$2:$AK$167,economics!$AJ$2:$AJ$167,TRUE))*economics!$AM$2:$AM$167))/(SUMPRODUCT((economics!$AG$2:$AG$167=$B37)*(economics!$D$2:$D$167="whr")*economics!$AI$2:$AI$167*(_xlfn.NORM.DIST(BY$3,economics!$AK$2:$AK$167,economics!$AJ$2:$AJ$167,TRUE)-_xlfn.NORM.DIST(BY$30,economics!$AK$2:$AK$167,economics!$AJ$2:$AJ$167,TRUE)))),"")</f>
        <v/>
      </c>
      <c r="BZ37">
        <f t="array" ref="BZ37">IFERROR((SUMPRODUCT((economics!$AG$2:$AG$167=$B37)*(economics!$D$2:$D$167="whr")*economics!$AI$2:$AI$167*(_xlfn.NORM.DIST(BZ$3,economics!$AK$2:$AK$167,economics!$AJ$2:$AJ$167,TRUE)-_xlfn.NORM.DIST(BZ$30,economics!$AK$2:$AK$167,economics!$AJ$2:$AJ$167,TRUE))*economics!$AM$2:$AM$167))/(SUMPRODUCT((economics!$AG$2:$AG$167=$B37)*(economics!$D$2:$D$167="whr")*economics!$AI$2:$AI$167*(_xlfn.NORM.DIST(BZ$3,economics!$AK$2:$AK$167,economics!$AJ$2:$AJ$167,TRUE)-_xlfn.NORM.DIST(BZ$30,economics!$AK$2:$AK$167,economics!$AJ$2:$AJ$167,TRUE)))),"")</f>
        <v/>
      </c>
      <c r="CA37">
        <f t="array" ref="CA37">IFERROR((SUMPRODUCT((economics!$AG$2:$AG$167=$B37)*(economics!$D$2:$D$167="whr")*economics!$AI$2:$AI$167*(_xlfn.NORM.DIST(CA$3,economics!$AK$2:$AK$167,economics!$AJ$2:$AJ$167,TRUE)-_xlfn.NORM.DIST(CA$30,economics!$AK$2:$AK$167,economics!$AJ$2:$AJ$167,TRUE))*economics!$AM$2:$AM$167))/(SUMPRODUCT((economics!$AG$2:$AG$167=$B37)*(economics!$D$2:$D$167="whr")*economics!$AI$2:$AI$167*(_xlfn.NORM.DIST(CA$3,economics!$AK$2:$AK$167,economics!$AJ$2:$AJ$167,TRUE)-_xlfn.NORM.DIST(CA$30,economics!$AK$2:$AK$167,economics!$AJ$2:$AJ$167,TRUE)))),"")</f>
        <v/>
      </c>
      <c r="CB37">
        <f t="array" ref="CB37">IFERROR((SUMPRODUCT((economics!$AG$2:$AG$167=$B37)*(economics!$D$2:$D$167="whr")*economics!$AI$2:$AI$167*(_xlfn.NORM.DIST(CB$3,economics!$AK$2:$AK$167,economics!$AJ$2:$AJ$167,TRUE)-_xlfn.NORM.DIST(CB$30,economics!$AK$2:$AK$167,economics!$AJ$2:$AJ$167,TRUE))*economics!$AM$2:$AM$167))/(SUMPRODUCT((economics!$AG$2:$AG$167=$B37)*(economics!$D$2:$D$167="whr")*economics!$AI$2:$AI$167*(_xlfn.NORM.DIST(CB$3,economics!$AK$2:$AK$167,economics!$AJ$2:$AJ$167,TRUE)-_xlfn.NORM.DIST(CB$30,economics!$AK$2:$AK$167,economics!$AJ$2:$AJ$167,TRUE)))),"")</f>
        <v/>
      </c>
      <c r="CC37">
        <f t="array" ref="CC37">IFERROR((SUMPRODUCT((economics!$AG$2:$AG$167=$B37)*(economics!$D$2:$D$167="whr")*economics!$AI$2:$AI$167*(_xlfn.NORM.DIST(CC$3,economics!$AK$2:$AK$167,economics!$AJ$2:$AJ$167,TRUE)-_xlfn.NORM.DIST(CC$30,economics!$AK$2:$AK$167,economics!$AJ$2:$AJ$167,TRUE))*economics!$AM$2:$AM$167))/(SUMPRODUCT((economics!$AG$2:$AG$167=$B37)*(economics!$D$2:$D$167="whr")*economics!$AI$2:$AI$167*(_xlfn.NORM.DIST(CC$3,economics!$AK$2:$AK$167,economics!$AJ$2:$AJ$167,TRUE)-_xlfn.NORM.DIST(CC$30,economics!$AK$2:$AK$167,economics!$AJ$2:$AJ$167,TRUE)))),"")</f>
        <v/>
      </c>
      <c r="CD37">
        <f t="array" ref="CD37">IFERROR((SUMPRODUCT((economics!$AG$2:$AG$167=$B37)*(economics!$D$2:$D$167="whr")*economics!$AI$2:$AI$167*(_xlfn.NORM.DIST(CD$3,economics!$AK$2:$AK$167,economics!$AJ$2:$AJ$167,TRUE)-_xlfn.NORM.DIST(CD$30,economics!$AK$2:$AK$167,economics!$AJ$2:$AJ$167,TRUE))*economics!$AM$2:$AM$167))/(SUMPRODUCT((economics!$AG$2:$AG$167=$B37)*(economics!$D$2:$D$167="whr")*economics!$AI$2:$AI$167*(_xlfn.NORM.DIST(CD$3,economics!$AK$2:$AK$167,economics!$AJ$2:$AJ$167,TRUE)-_xlfn.NORM.DIST(CD$30,economics!$AK$2:$AK$167,economics!$AJ$2:$AJ$167,TRUE)))),"")</f>
        <v/>
      </c>
      <c r="CE37">
        <f t="array" ref="CE37">IFERROR((SUMPRODUCT((economics!$AG$2:$AG$167=$B37)*(economics!$D$2:$D$167="whr")*economics!$AI$2:$AI$167*(_xlfn.NORM.DIST(CE$3,economics!$AK$2:$AK$167,economics!$AJ$2:$AJ$167,TRUE)-_xlfn.NORM.DIST(CE$30,economics!$AK$2:$AK$167,economics!$AJ$2:$AJ$167,TRUE))*economics!$AM$2:$AM$167))/(SUMPRODUCT((economics!$AG$2:$AG$167=$B37)*(economics!$D$2:$D$167="whr")*economics!$AI$2:$AI$167*(_xlfn.NORM.DIST(CE$3,economics!$AK$2:$AK$167,economics!$AJ$2:$AJ$167,TRUE)-_xlfn.NORM.DIST(CE$30,economics!$AK$2:$AK$167,economics!$AJ$2:$AJ$167,TRUE)))),"")</f>
        <v/>
      </c>
      <c r="CF37">
        <f t="array" ref="CF37">IFERROR((SUMPRODUCT((economics!$AG$2:$AG$167=$B37)*(economics!$D$2:$D$167="whr")*economics!$AI$2:$AI$167*(_xlfn.NORM.DIST(CF$3,economics!$AK$2:$AK$167,economics!$AJ$2:$AJ$167,TRUE)-_xlfn.NORM.DIST(CF$30,economics!$AK$2:$AK$167,economics!$AJ$2:$AJ$167,TRUE))*economics!$AM$2:$AM$167))/(SUMPRODUCT((economics!$AG$2:$AG$167=$B37)*(economics!$D$2:$D$167="whr")*economics!$AI$2:$AI$167*(_xlfn.NORM.DIST(CF$3,economics!$AK$2:$AK$167,economics!$AJ$2:$AJ$167,TRUE)-_xlfn.NORM.DIST(CF$30,economics!$AK$2:$AK$167,economics!$AJ$2:$AJ$167,TRUE)))),"")</f>
        <v/>
      </c>
      <c r="CG37">
        <f t="array" ref="CG37">IFERROR((SUMPRODUCT((economics!$AG$2:$AG$167=$B37)*(economics!$D$2:$D$167="whr")*economics!$AI$2:$AI$167*(_xlfn.NORM.DIST(CG$3,economics!$AK$2:$AK$167,economics!$AJ$2:$AJ$167,TRUE)-_xlfn.NORM.DIST(CG$30,economics!$AK$2:$AK$167,economics!$AJ$2:$AJ$167,TRUE))*economics!$AM$2:$AM$167))/(SUMPRODUCT((economics!$AG$2:$AG$167=$B37)*(economics!$D$2:$D$167="whr")*economics!$AI$2:$AI$167*(_xlfn.NORM.DIST(CG$3,economics!$AK$2:$AK$167,economics!$AJ$2:$AJ$167,TRUE)-_xlfn.NORM.DIST(CG$30,economics!$AK$2:$AK$167,economics!$AJ$2:$AJ$167,TRUE)))),"")</f>
        <v/>
      </c>
      <c r="CH37">
        <f t="array" ref="CH37">IFERROR((SUMPRODUCT((economics!$AG$2:$AG$167=$B37)*(economics!$D$2:$D$167="whr")*economics!$AI$2:$AI$167*(_xlfn.NORM.DIST(CH$3,economics!$AK$2:$AK$167,economics!$AJ$2:$AJ$167,TRUE)-_xlfn.NORM.DIST(CH$30,economics!$AK$2:$AK$167,economics!$AJ$2:$AJ$167,TRUE))*economics!$AM$2:$AM$167))/(SUMPRODUCT((economics!$AG$2:$AG$167=$B37)*(economics!$D$2:$D$167="whr")*economics!$AI$2:$AI$167*(_xlfn.NORM.DIST(CH$3,economics!$AK$2:$AK$167,economics!$AJ$2:$AJ$167,TRUE)-_xlfn.NORM.DIST(CH$30,economics!$AK$2:$AK$167,economics!$AJ$2:$AJ$167,TRUE)))),"")</f>
        <v/>
      </c>
    </row>
    <row r="38">
      <c r="A38">
        <f>A9</f>
        <v/>
      </c>
      <c r="B38">
        <f>B9</f>
        <v/>
      </c>
      <c r="E38">
        <f t="array" ref="E38">IFERROR((SUMPRODUCT((economics!$AG$2:$AG$167=$B38)*(economics!$D$2:$D$167="whr")*economics!$AI$2:$AI$167*(_xlfn.NORM.DIST(E$3,economics!$AK$2:$AK$167,economics!$AJ$2:$AJ$167,TRUE)-_xlfn.NORM.DIST(E$30,economics!$AK$2:$AK$167,economics!$AJ$2:$AJ$167,TRUE))*economics!$AM$2:$AM$167))/(SUMPRODUCT((economics!$AG$2:$AG$167=$B38)*(economics!$D$2:$D$167="whr")*economics!$AI$2:$AI$167*(_xlfn.NORM.DIST(E$3,economics!$AK$2:$AK$167,economics!$AJ$2:$AJ$167,TRUE)-_xlfn.NORM.DIST(E$30,economics!$AK$2:$AK$167,economics!$AJ$2:$AJ$167,TRUE)))),"")</f>
        <v/>
      </c>
      <c r="F38">
        <f t="array" ref="F38">IFERROR((SUMPRODUCT((economics!$AG$2:$AG$167=$B38)*(economics!$D$2:$D$167="whr")*economics!$AI$2:$AI$167*(_xlfn.NORM.DIST(F$3,economics!$AK$2:$AK$167,economics!$AJ$2:$AJ$167,TRUE)-_xlfn.NORM.DIST(F$30,economics!$AK$2:$AK$167,economics!$AJ$2:$AJ$167,TRUE))*economics!$AM$2:$AM$167))/(SUMPRODUCT((economics!$AG$2:$AG$167=$B38)*(economics!$D$2:$D$167="whr")*economics!$AI$2:$AI$167*(_xlfn.NORM.DIST(F$3,economics!$AK$2:$AK$167,economics!$AJ$2:$AJ$167,TRUE)-_xlfn.NORM.DIST(F$30,economics!$AK$2:$AK$167,economics!$AJ$2:$AJ$167,TRUE)))),"")</f>
        <v/>
      </c>
      <c r="G38">
        <f t="array" ref="G38">IFERROR((SUMPRODUCT((economics!$AG$2:$AG$167=$B38)*(economics!$D$2:$D$167="whr")*economics!$AI$2:$AI$167*(_xlfn.NORM.DIST(G$3,economics!$AK$2:$AK$167,economics!$AJ$2:$AJ$167,TRUE)-_xlfn.NORM.DIST(G$30,economics!$AK$2:$AK$167,economics!$AJ$2:$AJ$167,TRUE))*economics!$AM$2:$AM$167))/(SUMPRODUCT((economics!$AG$2:$AG$167=$B38)*(economics!$D$2:$D$167="whr")*economics!$AI$2:$AI$167*(_xlfn.NORM.DIST(G$3,economics!$AK$2:$AK$167,economics!$AJ$2:$AJ$167,TRUE)-_xlfn.NORM.DIST(G$30,economics!$AK$2:$AK$167,economics!$AJ$2:$AJ$167,TRUE)))),"")</f>
        <v/>
      </c>
      <c r="H38">
        <f t="array" ref="H38">IFERROR((SUMPRODUCT((economics!$AG$2:$AG$167=$B38)*(economics!$D$2:$D$167="whr")*economics!$AI$2:$AI$167*(_xlfn.NORM.DIST(H$3,economics!$AK$2:$AK$167,economics!$AJ$2:$AJ$167,TRUE)-_xlfn.NORM.DIST(H$30,economics!$AK$2:$AK$167,economics!$AJ$2:$AJ$167,TRUE))*economics!$AM$2:$AM$167))/(SUMPRODUCT((economics!$AG$2:$AG$167=$B38)*(economics!$D$2:$D$167="whr")*economics!$AI$2:$AI$167*(_xlfn.NORM.DIST(H$3,economics!$AK$2:$AK$167,economics!$AJ$2:$AJ$167,TRUE)-_xlfn.NORM.DIST(H$30,economics!$AK$2:$AK$167,economics!$AJ$2:$AJ$167,TRUE)))),"")</f>
        <v/>
      </c>
      <c r="I38">
        <f t="array" ref="I38">IFERROR((SUMPRODUCT((economics!$AG$2:$AG$167=$B38)*(economics!$D$2:$D$167="whr")*economics!$AI$2:$AI$167*(_xlfn.NORM.DIST(I$3,economics!$AK$2:$AK$167,economics!$AJ$2:$AJ$167,TRUE)-_xlfn.NORM.DIST(I$30,economics!$AK$2:$AK$167,economics!$AJ$2:$AJ$167,TRUE))*economics!$AM$2:$AM$167))/(SUMPRODUCT((economics!$AG$2:$AG$167=$B38)*(economics!$D$2:$D$167="whr")*economics!$AI$2:$AI$167*(_xlfn.NORM.DIST(I$3,economics!$AK$2:$AK$167,economics!$AJ$2:$AJ$167,TRUE)-_xlfn.NORM.DIST(I$30,economics!$AK$2:$AK$167,economics!$AJ$2:$AJ$167,TRUE)))),"")</f>
        <v/>
      </c>
      <c r="J38">
        <f t="array" ref="J38">IFERROR((SUMPRODUCT((economics!$AG$2:$AG$167=$B38)*(economics!$D$2:$D$167="whr")*economics!$AI$2:$AI$167*(_xlfn.NORM.DIST(J$3,economics!$AK$2:$AK$167,economics!$AJ$2:$AJ$167,TRUE)-_xlfn.NORM.DIST(J$30,economics!$AK$2:$AK$167,economics!$AJ$2:$AJ$167,TRUE))*economics!$AM$2:$AM$167))/(SUMPRODUCT((economics!$AG$2:$AG$167=$B38)*(economics!$D$2:$D$167="whr")*economics!$AI$2:$AI$167*(_xlfn.NORM.DIST(J$3,economics!$AK$2:$AK$167,economics!$AJ$2:$AJ$167,TRUE)-_xlfn.NORM.DIST(J$30,economics!$AK$2:$AK$167,economics!$AJ$2:$AJ$167,TRUE)))),"")</f>
        <v/>
      </c>
      <c r="K38">
        <f t="array" ref="K38">IFERROR((SUMPRODUCT((economics!$AG$2:$AG$167=$B38)*(economics!$D$2:$D$167="whr")*economics!$AI$2:$AI$167*(_xlfn.NORM.DIST(K$3,economics!$AK$2:$AK$167,economics!$AJ$2:$AJ$167,TRUE)-_xlfn.NORM.DIST(K$30,economics!$AK$2:$AK$167,economics!$AJ$2:$AJ$167,TRUE))*economics!$AM$2:$AM$167))/(SUMPRODUCT((economics!$AG$2:$AG$167=$B38)*(economics!$D$2:$D$167="whr")*economics!$AI$2:$AI$167*(_xlfn.NORM.DIST(K$3,economics!$AK$2:$AK$167,economics!$AJ$2:$AJ$167,TRUE)-_xlfn.NORM.DIST(K$30,economics!$AK$2:$AK$167,economics!$AJ$2:$AJ$167,TRUE)))),"")</f>
        <v/>
      </c>
      <c r="L38">
        <f t="array" ref="L38">IFERROR((SUMPRODUCT((economics!$AG$2:$AG$167=$B38)*(economics!$D$2:$D$167="whr")*economics!$AI$2:$AI$167*(_xlfn.NORM.DIST(L$3,economics!$AK$2:$AK$167,economics!$AJ$2:$AJ$167,TRUE)-_xlfn.NORM.DIST(L$30,economics!$AK$2:$AK$167,economics!$AJ$2:$AJ$167,TRUE))*economics!$AM$2:$AM$167))/(SUMPRODUCT((economics!$AG$2:$AG$167=$B38)*(economics!$D$2:$D$167="whr")*economics!$AI$2:$AI$167*(_xlfn.NORM.DIST(L$3,economics!$AK$2:$AK$167,economics!$AJ$2:$AJ$167,TRUE)-_xlfn.NORM.DIST(L$30,economics!$AK$2:$AK$167,economics!$AJ$2:$AJ$167,TRUE)))),"")</f>
        <v/>
      </c>
      <c r="M38">
        <f t="array" ref="M38">IFERROR((SUMPRODUCT((economics!$AG$2:$AG$167=$B38)*(economics!$D$2:$D$167="whr")*economics!$AI$2:$AI$167*(_xlfn.NORM.DIST(M$3,economics!$AK$2:$AK$167,economics!$AJ$2:$AJ$167,TRUE)-_xlfn.NORM.DIST(M$30,economics!$AK$2:$AK$167,economics!$AJ$2:$AJ$167,TRUE))*economics!$AM$2:$AM$167))/(SUMPRODUCT((economics!$AG$2:$AG$167=$B38)*(economics!$D$2:$D$167="whr")*economics!$AI$2:$AI$167*(_xlfn.NORM.DIST(M$3,economics!$AK$2:$AK$167,economics!$AJ$2:$AJ$167,TRUE)-_xlfn.NORM.DIST(M$30,economics!$AK$2:$AK$167,economics!$AJ$2:$AJ$167,TRUE)))),"")</f>
        <v/>
      </c>
      <c r="N38">
        <f t="array" ref="N38">IFERROR((SUMPRODUCT((economics!$AG$2:$AG$167=$B38)*(economics!$D$2:$D$167="whr")*economics!$AI$2:$AI$167*(_xlfn.NORM.DIST(N$3,economics!$AK$2:$AK$167,economics!$AJ$2:$AJ$167,TRUE)-_xlfn.NORM.DIST(N$30,economics!$AK$2:$AK$167,economics!$AJ$2:$AJ$167,TRUE))*economics!$AM$2:$AM$167))/(SUMPRODUCT((economics!$AG$2:$AG$167=$B38)*(economics!$D$2:$D$167="whr")*economics!$AI$2:$AI$167*(_xlfn.NORM.DIST(N$3,economics!$AK$2:$AK$167,economics!$AJ$2:$AJ$167,TRUE)-_xlfn.NORM.DIST(N$30,economics!$AK$2:$AK$167,economics!$AJ$2:$AJ$167,TRUE)))),"")</f>
        <v/>
      </c>
      <c r="O38">
        <f t="array" ref="O38">IFERROR((SUMPRODUCT((economics!$AG$2:$AG$167=$B38)*(economics!$D$2:$D$167="whr")*economics!$AI$2:$AI$167*(_xlfn.NORM.DIST(O$3,economics!$AK$2:$AK$167,economics!$AJ$2:$AJ$167,TRUE)-_xlfn.NORM.DIST(O$30,economics!$AK$2:$AK$167,economics!$AJ$2:$AJ$167,TRUE))*economics!$AM$2:$AM$167))/(SUMPRODUCT((economics!$AG$2:$AG$167=$B38)*(economics!$D$2:$D$167="whr")*economics!$AI$2:$AI$167*(_xlfn.NORM.DIST(O$3,economics!$AK$2:$AK$167,economics!$AJ$2:$AJ$167,TRUE)-_xlfn.NORM.DIST(O$30,economics!$AK$2:$AK$167,economics!$AJ$2:$AJ$167,TRUE)))),"")</f>
        <v/>
      </c>
      <c r="P38">
        <f t="array" ref="P38">IFERROR((SUMPRODUCT((economics!$AG$2:$AG$167=$B38)*(economics!$D$2:$D$167="whr")*economics!$AI$2:$AI$167*(_xlfn.NORM.DIST(P$3,economics!$AK$2:$AK$167,economics!$AJ$2:$AJ$167,TRUE)-_xlfn.NORM.DIST(P$30,economics!$AK$2:$AK$167,economics!$AJ$2:$AJ$167,TRUE))*economics!$AM$2:$AM$167))/(SUMPRODUCT((economics!$AG$2:$AG$167=$B38)*(economics!$D$2:$D$167="whr")*economics!$AI$2:$AI$167*(_xlfn.NORM.DIST(P$3,economics!$AK$2:$AK$167,economics!$AJ$2:$AJ$167,TRUE)-_xlfn.NORM.DIST(P$30,economics!$AK$2:$AK$167,economics!$AJ$2:$AJ$167,TRUE)))),"")</f>
        <v/>
      </c>
      <c r="Q38">
        <f t="array" ref="Q38">IFERROR((SUMPRODUCT((economics!$AG$2:$AG$167=$B38)*(economics!$D$2:$D$167="whr")*economics!$AI$2:$AI$167*(_xlfn.NORM.DIST(Q$3,economics!$AK$2:$AK$167,economics!$AJ$2:$AJ$167,TRUE)-_xlfn.NORM.DIST(Q$30,economics!$AK$2:$AK$167,economics!$AJ$2:$AJ$167,TRUE))*economics!$AM$2:$AM$167))/(SUMPRODUCT((economics!$AG$2:$AG$167=$B38)*(economics!$D$2:$D$167="whr")*economics!$AI$2:$AI$167*(_xlfn.NORM.DIST(Q$3,economics!$AK$2:$AK$167,economics!$AJ$2:$AJ$167,TRUE)-_xlfn.NORM.DIST(Q$30,economics!$AK$2:$AK$167,economics!$AJ$2:$AJ$167,TRUE)))),"")</f>
        <v/>
      </c>
      <c r="R38">
        <f t="array" ref="R38">IFERROR((SUMPRODUCT((economics!$AG$2:$AG$167=$B38)*(economics!$D$2:$D$167="whr")*economics!$AI$2:$AI$167*(_xlfn.NORM.DIST(R$3,economics!$AK$2:$AK$167,economics!$AJ$2:$AJ$167,TRUE)-_xlfn.NORM.DIST(R$30,economics!$AK$2:$AK$167,economics!$AJ$2:$AJ$167,TRUE))*economics!$AM$2:$AM$167))/(SUMPRODUCT((economics!$AG$2:$AG$167=$B38)*(economics!$D$2:$D$167="whr")*economics!$AI$2:$AI$167*(_xlfn.NORM.DIST(R$3,economics!$AK$2:$AK$167,economics!$AJ$2:$AJ$167,TRUE)-_xlfn.NORM.DIST(R$30,economics!$AK$2:$AK$167,economics!$AJ$2:$AJ$167,TRUE)))),"")</f>
        <v/>
      </c>
      <c r="S38">
        <f t="array" ref="S38">IFERROR((SUMPRODUCT((economics!$AG$2:$AG$167=$B38)*(economics!$D$2:$D$167="whr")*economics!$AI$2:$AI$167*(_xlfn.NORM.DIST(S$3,economics!$AK$2:$AK$167,economics!$AJ$2:$AJ$167,TRUE)-_xlfn.NORM.DIST(S$30,economics!$AK$2:$AK$167,economics!$AJ$2:$AJ$167,TRUE))*economics!$AM$2:$AM$167))/(SUMPRODUCT((economics!$AG$2:$AG$167=$B38)*(economics!$D$2:$D$167="whr")*economics!$AI$2:$AI$167*(_xlfn.NORM.DIST(S$3,economics!$AK$2:$AK$167,economics!$AJ$2:$AJ$167,TRUE)-_xlfn.NORM.DIST(S$30,economics!$AK$2:$AK$167,economics!$AJ$2:$AJ$167,TRUE)))),"")</f>
        <v/>
      </c>
      <c r="T38">
        <f t="array" ref="T38">IFERROR((SUMPRODUCT((economics!$AG$2:$AG$167=$B38)*(economics!$D$2:$D$167="whr")*economics!$AI$2:$AI$167*(_xlfn.NORM.DIST(T$3,economics!$AK$2:$AK$167,economics!$AJ$2:$AJ$167,TRUE)-_xlfn.NORM.DIST(T$30,economics!$AK$2:$AK$167,economics!$AJ$2:$AJ$167,TRUE))*economics!$AM$2:$AM$167))/(SUMPRODUCT((economics!$AG$2:$AG$167=$B38)*(economics!$D$2:$D$167="whr")*economics!$AI$2:$AI$167*(_xlfn.NORM.DIST(T$3,economics!$AK$2:$AK$167,economics!$AJ$2:$AJ$167,TRUE)-_xlfn.NORM.DIST(T$30,economics!$AK$2:$AK$167,economics!$AJ$2:$AJ$167,TRUE)))),"")</f>
        <v/>
      </c>
      <c r="U38">
        <f t="array" ref="U38">IFERROR((SUMPRODUCT((economics!$AG$2:$AG$167=$B38)*(economics!$D$2:$D$167="whr")*economics!$AI$2:$AI$167*(_xlfn.NORM.DIST(U$3,economics!$AK$2:$AK$167,economics!$AJ$2:$AJ$167,TRUE)-_xlfn.NORM.DIST(U$30,economics!$AK$2:$AK$167,economics!$AJ$2:$AJ$167,TRUE))*economics!$AM$2:$AM$167))/(SUMPRODUCT((economics!$AG$2:$AG$167=$B38)*(economics!$D$2:$D$167="whr")*economics!$AI$2:$AI$167*(_xlfn.NORM.DIST(U$3,economics!$AK$2:$AK$167,economics!$AJ$2:$AJ$167,TRUE)-_xlfn.NORM.DIST(U$30,economics!$AK$2:$AK$167,economics!$AJ$2:$AJ$167,TRUE)))),"")</f>
        <v/>
      </c>
      <c r="V38">
        <f t="array" ref="V38">IFERROR((SUMPRODUCT((economics!$AG$2:$AG$167=$B38)*(economics!$D$2:$D$167="whr")*economics!$AI$2:$AI$167*(_xlfn.NORM.DIST(V$3,economics!$AK$2:$AK$167,economics!$AJ$2:$AJ$167,TRUE)-_xlfn.NORM.DIST(V$30,economics!$AK$2:$AK$167,economics!$AJ$2:$AJ$167,TRUE))*economics!$AM$2:$AM$167))/(SUMPRODUCT((economics!$AG$2:$AG$167=$B38)*(economics!$D$2:$D$167="whr")*economics!$AI$2:$AI$167*(_xlfn.NORM.DIST(V$3,economics!$AK$2:$AK$167,economics!$AJ$2:$AJ$167,TRUE)-_xlfn.NORM.DIST(V$30,economics!$AK$2:$AK$167,economics!$AJ$2:$AJ$167,TRUE)))),"")</f>
        <v/>
      </c>
      <c r="W38">
        <f t="array" ref="W38">IFERROR((SUMPRODUCT((economics!$AG$2:$AG$167=$B38)*(economics!$D$2:$D$167="whr")*economics!$AI$2:$AI$167*(_xlfn.NORM.DIST(W$3,economics!$AK$2:$AK$167,economics!$AJ$2:$AJ$167,TRUE)-_xlfn.NORM.DIST(W$30,economics!$AK$2:$AK$167,economics!$AJ$2:$AJ$167,TRUE))*economics!$AM$2:$AM$167))/(SUMPRODUCT((economics!$AG$2:$AG$167=$B38)*(economics!$D$2:$D$167="whr")*economics!$AI$2:$AI$167*(_xlfn.NORM.DIST(W$3,economics!$AK$2:$AK$167,economics!$AJ$2:$AJ$167,TRUE)-_xlfn.NORM.DIST(W$30,economics!$AK$2:$AK$167,economics!$AJ$2:$AJ$167,TRUE)))),"")</f>
        <v/>
      </c>
      <c r="X38">
        <f t="array" ref="X38">IFERROR((SUMPRODUCT((economics!$AG$2:$AG$167=$B38)*(economics!$D$2:$D$167="whr")*economics!$AI$2:$AI$167*(_xlfn.NORM.DIST(X$3,economics!$AK$2:$AK$167,economics!$AJ$2:$AJ$167,TRUE)-_xlfn.NORM.DIST(X$30,economics!$AK$2:$AK$167,economics!$AJ$2:$AJ$167,TRUE))*economics!$AM$2:$AM$167))/(SUMPRODUCT((economics!$AG$2:$AG$167=$B38)*(economics!$D$2:$D$167="whr")*economics!$AI$2:$AI$167*(_xlfn.NORM.DIST(X$3,economics!$AK$2:$AK$167,economics!$AJ$2:$AJ$167,TRUE)-_xlfn.NORM.DIST(X$30,economics!$AK$2:$AK$167,economics!$AJ$2:$AJ$167,TRUE)))),"")</f>
        <v/>
      </c>
      <c r="Y38">
        <f t="array" ref="Y38">IFERROR((SUMPRODUCT((economics!$AG$2:$AG$167=$B38)*(economics!$D$2:$D$167="whr")*economics!$AI$2:$AI$167*(_xlfn.NORM.DIST(Y$3,economics!$AK$2:$AK$167,economics!$AJ$2:$AJ$167,TRUE)-_xlfn.NORM.DIST(Y$30,economics!$AK$2:$AK$167,economics!$AJ$2:$AJ$167,TRUE))*economics!$AM$2:$AM$167))/(SUMPRODUCT((economics!$AG$2:$AG$167=$B38)*(economics!$D$2:$D$167="whr")*economics!$AI$2:$AI$167*(_xlfn.NORM.DIST(Y$3,economics!$AK$2:$AK$167,economics!$AJ$2:$AJ$167,TRUE)-_xlfn.NORM.DIST(Y$30,economics!$AK$2:$AK$167,economics!$AJ$2:$AJ$167,TRUE)))),"")</f>
        <v/>
      </c>
      <c r="Z38">
        <f t="array" ref="Z38">IFERROR((SUMPRODUCT((economics!$AG$2:$AG$167=$B38)*(economics!$D$2:$D$167="whr")*economics!$AI$2:$AI$167*(_xlfn.NORM.DIST(Z$3,economics!$AK$2:$AK$167,economics!$AJ$2:$AJ$167,TRUE)-_xlfn.NORM.DIST(Z$30,economics!$AK$2:$AK$167,economics!$AJ$2:$AJ$167,TRUE))*economics!$AM$2:$AM$167))/(SUMPRODUCT((economics!$AG$2:$AG$167=$B38)*(economics!$D$2:$D$167="whr")*economics!$AI$2:$AI$167*(_xlfn.NORM.DIST(Z$3,economics!$AK$2:$AK$167,economics!$AJ$2:$AJ$167,TRUE)-_xlfn.NORM.DIST(Z$30,economics!$AK$2:$AK$167,economics!$AJ$2:$AJ$167,TRUE)))),"")</f>
        <v/>
      </c>
      <c r="AA38">
        <f t="array" ref="AA38">IFERROR((SUMPRODUCT((economics!$AG$2:$AG$167=$B38)*(economics!$D$2:$D$167="whr")*economics!$AI$2:$AI$167*(_xlfn.NORM.DIST(AA$3,economics!$AK$2:$AK$167,economics!$AJ$2:$AJ$167,TRUE)-_xlfn.NORM.DIST(AA$30,economics!$AK$2:$AK$167,economics!$AJ$2:$AJ$167,TRUE))*economics!$AM$2:$AM$167))/(SUMPRODUCT((economics!$AG$2:$AG$167=$B38)*(economics!$D$2:$D$167="whr")*economics!$AI$2:$AI$167*(_xlfn.NORM.DIST(AA$3,economics!$AK$2:$AK$167,economics!$AJ$2:$AJ$167,TRUE)-_xlfn.NORM.DIST(AA$30,economics!$AK$2:$AK$167,economics!$AJ$2:$AJ$167,TRUE)))),"")</f>
        <v/>
      </c>
      <c r="AB38">
        <f t="array" ref="AB38">IFERROR((SUMPRODUCT((economics!$AG$2:$AG$167=$B38)*(economics!$D$2:$D$167="whr")*economics!$AI$2:$AI$167*(_xlfn.NORM.DIST(AB$3,economics!$AK$2:$AK$167,economics!$AJ$2:$AJ$167,TRUE)-_xlfn.NORM.DIST(AB$30,economics!$AK$2:$AK$167,economics!$AJ$2:$AJ$167,TRUE))*economics!$AM$2:$AM$167))/(SUMPRODUCT((economics!$AG$2:$AG$167=$B38)*(economics!$D$2:$D$167="whr")*economics!$AI$2:$AI$167*(_xlfn.NORM.DIST(AB$3,economics!$AK$2:$AK$167,economics!$AJ$2:$AJ$167,TRUE)-_xlfn.NORM.DIST(AB$30,economics!$AK$2:$AK$167,economics!$AJ$2:$AJ$167,TRUE)))),"")</f>
        <v/>
      </c>
      <c r="AC38">
        <f t="array" ref="AC38">IFERROR((SUMPRODUCT((economics!$AG$2:$AG$167=$B38)*(economics!$D$2:$D$167="whr")*economics!$AI$2:$AI$167*(_xlfn.NORM.DIST(AC$3,economics!$AK$2:$AK$167,economics!$AJ$2:$AJ$167,TRUE)-_xlfn.NORM.DIST(AC$30,economics!$AK$2:$AK$167,economics!$AJ$2:$AJ$167,TRUE))*economics!$AM$2:$AM$167))/(SUMPRODUCT((economics!$AG$2:$AG$167=$B38)*(economics!$D$2:$D$167="whr")*economics!$AI$2:$AI$167*(_xlfn.NORM.DIST(AC$3,economics!$AK$2:$AK$167,economics!$AJ$2:$AJ$167,TRUE)-_xlfn.NORM.DIST(AC$30,economics!$AK$2:$AK$167,economics!$AJ$2:$AJ$167,TRUE)))),"")</f>
        <v/>
      </c>
      <c r="AD38">
        <f t="array" ref="AD38">IFERROR((SUMPRODUCT((economics!$AG$2:$AG$167=$B38)*(economics!$D$2:$D$167="whr")*economics!$AI$2:$AI$167*(_xlfn.NORM.DIST(AD$3,economics!$AK$2:$AK$167,economics!$AJ$2:$AJ$167,TRUE)-_xlfn.NORM.DIST(AD$30,economics!$AK$2:$AK$167,economics!$AJ$2:$AJ$167,TRUE))*economics!$AM$2:$AM$167))/(SUMPRODUCT((economics!$AG$2:$AG$167=$B38)*(economics!$D$2:$D$167="whr")*economics!$AI$2:$AI$167*(_xlfn.NORM.DIST(AD$3,economics!$AK$2:$AK$167,economics!$AJ$2:$AJ$167,TRUE)-_xlfn.NORM.DIST(AD$30,economics!$AK$2:$AK$167,economics!$AJ$2:$AJ$167,TRUE)))),"")</f>
        <v/>
      </c>
      <c r="AE38">
        <f t="array" ref="AE38">IFERROR((SUMPRODUCT((economics!$AG$2:$AG$167=$B38)*(economics!$D$2:$D$167="whr")*economics!$AI$2:$AI$167*(_xlfn.NORM.DIST(AE$3,economics!$AK$2:$AK$167,economics!$AJ$2:$AJ$167,TRUE)-_xlfn.NORM.DIST(AE$30,economics!$AK$2:$AK$167,economics!$AJ$2:$AJ$167,TRUE))*economics!$AM$2:$AM$167))/(SUMPRODUCT((economics!$AG$2:$AG$167=$B38)*(economics!$D$2:$D$167="whr")*economics!$AI$2:$AI$167*(_xlfn.NORM.DIST(AE$3,economics!$AK$2:$AK$167,economics!$AJ$2:$AJ$167,TRUE)-_xlfn.NORM.DIST(AE$30,economics!$AK$2:$AK$167,economics!$AJ$2:$AJ$167,TRUE)))),"")</f>
        <v/>
      </c>
      <c r="AF38">
        <f t="array" ref="AF38">IFERROR((SUMPRODUCT((economics!$AG$2:$AG$167=$B38)*(economics!$D$2:$D$167="whr")*economics!$AI$2:$AI$167*(_xlfn.NORM.DIST(AF$3,economics!$AK$2:$AK$167,economics!$AJ$2:$AJ$167,TRUE)-_xlfn.NORM.DIST(AF$30,economics!$AK$2:$AK$167,economics!$AJ$2:$AJ$167,TRUE))*economics!$AM$2:$AM$167))/(SUMPRODUCT((economics!$AG$2:$AG$167=$B38)*(economics!$D$2:$D$167="whr")*economics!$AI$2:$AI$167*(_xlfn.NORM.DIST(AF$3,economics!$AK$2:$AK$167,economics!$AJ$2:$AJ$167,TRUE)-_xlfn.NORM.DIST(AF$30,economics!$AK$2:$AK$167,economics!$AJ$2:$AJ$167,TRUE)))),"")</f>
        <v/>
      </c>
      <c r="AG38">
        <f t="array" ref="AG38">IFERROR((SUMPRODUCT((economics!$AG$2:$AG$167=$B38)*(economics!$D$2:$D$167="whr")*economics!$AI$2:$AI$167*(_xlfn.NORM.DIST(AG$3,economics!$AK$2:$AK$167,economics!$AJ$2:$AJ$167,TRUE)-_xlfn.NORM.DIST(AG$30,economics!$AK$2:$AK$167,economics!$AJ$2:$AJ$167,TRUE))*economics!$AM$2:$AM$167))/(SUMPRODUCT((economics!$AG$2:$AG$167=$B38)*(economics!$D$2:$D$167="whr")*economics!$AI$2:$AI$167*(_xlfn.NORM.DIST(AG$3,economics!$AK$2:$AK$167,economics!$AJ$2:$AJ$167,TRUE)-_xlfn.NORM.DIST(AG$30,economics!$AK$2:$AK$167,economics!$AJ$2:$AJ$167,TRUE)))),"")</f>
        <v/>
      </c>
      <c r="AH38">
        <f t="array" ref="AH38">IFERROR((SUMPRODUCT((economics!$AG$2:$AG$167=$B38)*(economics!$D$2:$D$167="whr")*economics!$AI$2:$AI$167*(_xlfn.NORM.DIST(AH$3,economics!$AK$2:$AK$167,economics!$AJ$2:$AJ$167,TRUE)-_xlfn.NORM.DIST(AH$30,economics!$AK$2:$AK$167,economics!$AJ$2:$AJ$167,TRUE))*economics!$AM$2:$AM$167))/(SUMPRODUCT((economics!$AG$2:$AG$167=$B38)*(economics!$D$2:$D$167="whr")*economics!$AI$2:$AI$167*(_xlfn.NORM.DIST(AH$3,economics!$AK$2:$AK$167,economics!$AJ$2:$AJ$167,TRUE)-_xlfn.NORM.DIST(AH$30,economics!$AK$2:$AK$167,economics!$AJ$2:$AJ$167,TRUE)))),"")</f>
        <v/>
      </c>
      <c r="AI38">
        <f t="array" ref="AI38">IFERROR((SUMPRODUCT((economics!$AG$2:$AG$167=$B38)*(economics!$D$2:$D$167="whr")*economics!$AI$2:$AI$167*(_xlfn.NORM.DIST(AI$3,economics!$AK$2:$AK$167,economics!$AJ$2:$AJ$167,TRUE)-_xlfn.NORM.DIST(AI$30,economics!$AK$2:$AK$167,economics!$AJ$2:$AJ$167,TRUE))*economics!$AM$2:$AM$167))/(SUMPRODUCT((economics!$AG$2:$AG$167=$B38)*(economics!$D$2:$D$167="whr")*economics!$AI$2:$AI$167*(_xlfn.NORM.DIST(AI$3,economics!$AK$2:$AK$167,economics!$AJ$2:$AJ$167,TRUE)-_xlfn.NORM.DIST(AI$30,economics!$AK$2:$AK$167,economics!$AJ$2:$AJ$167,TRUE)))),"")</f>
        <v/>
      </c>
      <c r="AJ38">
        <f t="array" ref="AJ38">IFERROR((SUMPRODUCT((economics!$AG$2:$AG$167=$B38)*(economics!$D$2:$D$167="whr")*economics!$AI$2:$AI$167*(_xlfn.NORM.DIST(AJ$3,economics!$AK$2:$AK$167,economics!$AJ$2:$AJ$167,TRUE)-_xlfn.NORM.DIST(AJ$30,economics!$AK$2:$AK$167,economics!$AJ$2:$AJ$167,TRUE))*economics!$AM$2:$AM$167))/(SUMPRODUCT((economics!$AG$2:$AG$167=$B38)*(economics!$D$2:$D$167="whr")*economics!$AI$2:$AI$167*(_xlfn.NORM.DIST(AJ$3,economics!$AK$2:$AK$167,economics!$AJ$2:$AJ$167,TRUE)-_xlfn.NORM.DIST(AJ$30,economics!$AK$2:$AK$167,economics!$AJ$2:$AJ$167,TRUE)))),"")</f>
        <v/>
      </c>
      <c r="AK38">
        <f t="array" ref="AK38">IFERROR((SUMPRODUCT((economics!$AG$2:$AG$167=$B38)*(economics!$D$2:$D$167="whr")*economics!$AI$2:$AI$167*(_xlfn.NORM.DIST(AK$3,economics!$AK$2:$AK$167,economics!$AJ$2:$AJ$167,TRUE)-_xlfn.NORM.DIST(AK$30,economics!$AK$2:$AK$167,economics!$AJ$2:$AJ$167,TRUE))*economics!$AM$2:$AM$167))/(SUMPRODUCT((economics!$AG$2:$AG$167=$B38)*(economics!$D$2:$D$167="whr")*economics!$AI$2:$AI$167*(_xlfn.NORM.DIST(AK$3,economics!$AK$2:$AK$167,economics!$AJ$2:$AJ$167,TRUE)-_xlfn.NORM.DIST(AK$30,economics!$AK$2:$AK$167,economics!$AJ$2:$AJ$167,TRUE)))),"")</f>
        <v/>
      </c>
      <c r="AL38">
        <f t="array" ref="AL38">IFERROR((SUMPRODUCT((economics!$AG$2:$AG$167=$B38)*(economics!$D$2:$D$167="whr")*economics!$AI$2:$AI$167*(_xlfn.NORM.DIST(AL$3,economics!$AK$2:$AK$167,economics!$AJ$2:$AJ$167,TRUE)-_xlfn.NORM.DIST(AL$30,economics!$AK$2:$AK$167,economics!$AJ$2:$AJ$167,TRUE))*economics!$AM$2:$AM$167))/(SUMPRODUCT((economics!$AG$2:$AG$167=$B38)*(economics!$D$2:$D$167="whr")*economics!$AI$2:$AI$167*(_xlfn.NORM.DIST(AL$3,economics!$AK$2:$AK$167,economics!$AJ$2:$AJ$167,TRUE)-_xlfn.NORM.DIST(AL$30,economics!$AK$2:$AK$167,economics!$AJ$2:$AJ$167,TRUE)))),"")</f>
        <v/>
      </c>
      <c r="AM38">
        <f t="array" ref="AM38">IFERROR((SUMPRODUCT((economics!$AG$2:$AG$167=$B38)*(economics!$D$2:$D$167="whr")*economics!$AI$2:$AI$167*(_xlfn.NORM.DIST(AM$3,economics!$AK$2:$AK$167,economics!$AJ$2:$AJ$167,TRUE)-_xlfn.NORM.DIST(AM$30,economics!$AK$2:$AK$167,economics!$AJ$2:$AJ$167,TRUE))*economics!$AM$2:$AM$167))/(SUMPRODUCT((economics!$AG$2:$AG$167=$B38)*(economics!$D$2:$D$167="whr")*economics!$AI$2:$AI$167*(_xlfn.NORM.DIST(AM$3,economics!$AK$2:$AK$167,economics!$AJ$2:$AJ$167,TRUE)-_xlfn.NORM.DIST(AM$30,economics!$AK$2:$AK$167,economics!$AJ$2:$AJ$167,TRUE)))),"")</f>
        <v/>
      </c>
      <c r="AN38">
        <f t="array" ref="AN38">IFERROR((SUMPRODUCT((economics!$AG$2:$AG$167=$B38)*(economics!$D$2:$D$167="whr")*economics!$AI$2:$AI$167*(_xlfn.NORM.DIST(AN$3,economics!$AK$2:$AK$167,economics!$AJ$2:$AJ$167,TRUE)-_xlfn.NORM.DIST(AN$30,economics!$AK$2:$AK$167,economics!$AJ$2:$AJ$167,TRUE))*economics!$AM$2:$AM$167))/(SUMPRODUCT((economics!$AG$2:$AG$167=$B38)*(economics!$D$2:$D$167="whr")*economics!$AI$2:$AI$167*(_xlfn.NORM.DIST(AN$3,economics!$AK$2:$AK$167,economics!$AJ$2:$AJ$167,TRUE)-_xlfn.NORM.DIST(AN$30,economics!$AK$2:$AK$167,economics!$AJ$2:$AJ$167,TRUE)))),"")</f>
        <v/>
      </c>
      <c r="AO38">
        <f t="array" ref="AO38">IFERROR((SUMPRODUCT((economics!$AG$2:$AG$167=$B38)*(economics!$D$2:$D$167="whr")*economics!$AI$2:$AI$167*(_xlfn.NORM.DIST(AO$3,economics!$AK$2:$AK$167,economics!$AJ$2:$AJ$167,TRUE)-_xlfn.NORM.DIST(AO$30,economics!$AK$2:$AK$167,economics!$AJ$2:$AJ$167,TRUE))*economics!$AM$2:$AM$167))/(SUMPRODUCT((economics!$AG$2:$AG$167=$B38)*(economics!$D$2:$D$167="whr")*economics!$AI$2:$AI$167*(_xlfn.NORM.DIST(AO$3,economics!$AK$2:$AK$167,economics!$AJ$2:$AJ$167,TRUE)-_xlfn.NORM.DIST(AO$30,economics!$AK$2:$AK$167,economics!$AJ$2:$AJ$167,TRUE)))),"")</f>
        <v/>
      </c>
      <c r="AP38">
        <f t="array" ref="AP38">IFERROR((SUMPRODUCT((economics!$AG$2:$AG$167=$B38)*(economics!$D$2:$D$167="whr")*economics!$AI$2:$AI$167*(_xlfn.NORM.DIST(AP$3,economics!$AK$2:$AK$167,economics!$AJ$2:$AJ$167,TRUE)-_xlfn.NORM.DIST(AP$30,economics!$AK$2:$AK$167,economics!$AJ$2:$AJ$167,TRUE))*economics!$AM$2:$AM$167))/(SUMPRODUCT((economics!$AG$2:$AG$167=$B38)*(economics!$D$2:$D$167="whr")*economics!$AI$2:$AI$167*(_xlfn.NORM.DIST(AP$3,economics!$AK$2:$AK$167,economics!$AJ$2:$AJ$167,TRUE)-_xlfn.NORM.DIST(AP$30,economics!$AK$2:$AK$167,economics!$AJ$2:$AJ$167,TRUE)))),"")</f>
        <v/>
      </c>
      <c r="AQ38">
        <f t="array" ref="AQ38">IFERROR((SUMPRODUCT((economics!$AG$2:$AG$167=$B38)*(economics!$D$2:$D$167="whr")*economics!$AI$2:$AI$167*(_xlfn.NORM.DIST(AQ$3,economics!$AK$2:$AK$167,economics!$AJ$2:$AJ$167,TRUE)-_xlfn.NORM.DIST(AQ$30,economics!$AK$2:$AK$167,economics!$AJ$2:$AJ$167,TRUE))*economics!$AM$2:$AM$167))/(SUMPRODUCT((economics!$AG$2:$AG$167=$B38)*(economics!$D$2:$D$167="whr")*economics!$AI$2:$AI$167*(_xlfn.NORM.DIST(AQ$3,economics!$AK$2:$AK$167,economics!$AJ$2:$AJ$167,TRUE)-_xlfn.NORM.DIST(AQ$30,economics!$AK$2:$AK$167,economics!$AJ$2:$AJ$167,TRUE)))),"")</f>
        <v/>
      </c>
      <c r="AR38">
        <f t="array" ref="AR38">IFERROR((SUMPRODUCT((economics!$AG$2:$AG$167=$B38)*(economics!$D$2:$D$167="whr")*economics!$AI$2:$AI$167*(_xlfn.NORM.DIST(AR$3,economics!$AK$2:$AK$167,economics!$AJ$2:$AJ$167,TRUE)-_xlfn.NORM.DIST(AR$30,economics!$AK$2:$AK$167,economics!$AJ$2:$AJ$167,TRUE))*economics!$AM$2:$AM$167))/(SUMPRODUCT((economics!$AG$2:$AG$167=$B38)*(economics!$D$2:$D$167="whr")*economics!$AI$2:$AI$167*(_xlfn.NORM.DIST(AR$3,economics!$AK$2:$AK$167,economics!$AJ$2:$AJ$167,TRUE)-_xlfn.NORM.DIST(AR$30,economics!$AK$2:$AK$167,economics!$AJ$2:$AJ$167,TRUE)))),"")</f>
        <v/>
      </c>
      <c r="AS38">
        <f t="array" ref="AS38">IFERROR((SUMPRODUCT((economics!$AG$2:$AG$167=$B38)*(economics!$D$2:$D$167="whr")*economics!$AI$2:$AI$167*(_xlfn.NORM.DIST(AS$3,economics!$AK$2:$AK$167,economics!$AJ$2:$AJ$167,TRUE)-_xlfn.NORM.DIST(AS$30,economics!$AK$2:$AK$167,economics!$AJ$2:$AJ$167,TRUE))*economics!$AM$2:$AM$167))/(SUMPRODUCT((economics!$AG$2:$AG$167=$B38)*(economics!$D$2:$D$167="whr")*economics!$AI$2:$AI$167*(_xlfn.NORM.DIST(AS$3,economics!$AK$2:$AK$167,economics!$AJ$2:$AJ$167,TRUE)-_xlfn.NORM.DIST(AS$30,economics!$AK$2:$AK$167,economics!$AJ$2:$AJ$167,TRUE)))),"")</f>
        <v/>
      </c>
      <c r="AT38">
        <f t="array" ref="AT38">IFERROR((SUMPRODUCT((economics!$AG$2:$AG$167=$B38)*(economics!$D$2:$D$167="whr")*economics!$AI$2:$AI$167*(_xlfn.NORM.DIST(AT$3,economics!$AK$2:$AK$167,economics!$AJ$2:$AJ$167,TRUE)-_xlfn.NORM.DIST(AT$30,economics!$AK$2:$AK$167,economics!$AJ$2:$AJ$167,TRUE))*economics!$AM$2:$AM$167))/(SUMPRODUCT((economics!$AG$2:$AG$167=$B38)*(economics!$D$2:$D$167="whr")*economics!$AI$2:$AI$167*(_xlfn.NORM.DIST(AT$3,economics!$AK$2:$AK$167,economics!$AJ$2:$AJ$167,TRUE)-_xlfn.NORM.DIST(AT$30,economics!$AK$2:$AK$167,economics!$AJ$2:$AJ$167,TRUE)))),"")</f>
        <v/>
      </c>
      <c r="AU38">
        <f t="array" ref="AU38">IFERROR((SUMPRODUCT((economics!$AG$2:$AG$167=$B38)*(economics!$D$2:$D$167="whr")*economics!$AI$2:$AI$167*(_xlfn.NORM.DIST(AU$3,economics!$AK$2:$AK$167,economics!$AJ$2:$AJ$167,TRUE)-_xlfn.NORM.DIST(AU$30,economics!$AK$2:$AK$167,economics!$AJ$2:$AJ$167,TRUE))*economics!$AM$2:$AM$167))/(SUMPRODUCT((economics!$AG$2:$AG$167=$B38)*(economics!$D$2:$D$167="whr")*economics!$AI$2:$AI$167*(_xlfn.NORM.DIST(AU$3,economics!$AK$2:$AK$167,economics!$AJ$2:$AJ$167,TRUE)-_xlfn.NORM.DIST(AU$30,economics!$AK$2:$AK$167,economics!$AJ$2:$AJ$167,TRUE)))),"")</f>
        <v/>
      </c>
      <c r="AV38">
        <f t="array" ref="AV38">IFERROR((SUMPRODUCT((economics!$AG$2:$AG$167=$B38)*(economics!$D$2:$D$167="whr")*economics!$AI$2:$AI$167*(_xlfn.NORM.DIST(AV$3,economics!$AK$2:$AK$167,economics!$AJ$2:$AJ$167,TRUE)-_xlfn.NORM.DIST(AV$30,economics!$AK$2:$AK$167,economics!$AJ$2:$AJ$167,TRUE))*economics!$AM$2:$AM$167))/(SUMPRODUCT((economics!$AG$2:$AG$167=$B38)*(economics!$D$2:$D$167="whr")*economics!$AI$2:$AI$167*(_xlfn.NORM.DIST(AV$3,economics!$AK$2:$AK$167,economics!$AJ$2:$AJ$167,TRUE)-_xlfn.NORM.DIST(AV$30,economics!$AK$2:$AK$167,economics!$AJ$2:$AJ$167,TRUE)))),"")</f>
        <v/>
      </c>
      <c r="AW38">
        <f t="array" ref="AW38">IFERROR((SUMPRODUCT((economics!$AG$2:$AG$167=$B38)*(economics!$D$2:$D$167="whr")*economics!$AI$2:$AI$167*(_xlfn.NORM.DIST(AW$3,economics!$AK$2:$AK$167,economics!$AJ$2:$AJ$167,TRUE)-_xlfn.NORM.DIST(AW$30,economics!$AK$2:$AK$167,economics!$AJ$2:$AJ$167,TRUE))*economics!$AM$2:$AM$167))/(SUMPRODUCT((economics!$AG$2:$AG$167=$B38)*(economics!$D$2:$D$167="whr")*economics!$AI$2:$AI$167*(_xlfn.NORM.DIST(AW$3,economics!$AK$2:$AK$167,economics!$AJ$2:$AJ$167,TRUE)-_xlfn.NORM.DIST(AW$30,economics!$AK$2:$AK$167,economics!$AJ$2:$AJ$167,TRUE)))),"")</f>
        <v/>
      </c>
      <c r="AX38">
        <f t="array" ref="AX38">IFERROR((SUMPRODUCT((economics!$AG$2:$AG$167=$B38)*(economics!$D$2:$D$167="whr")*economics!$AI$2:$AI$167*(_xlfn.NORM.DIST(AX$3,economics!$AK$2:$AK$167,economics!$AJ$2:$AJ$167,TRUE)-_xlfn.NORM.DIST(AX$30,economics!$AK$2:$AK$167,economics!$AJ$2:$AJ$167,TRUE))*economics!$AM$2:$AM$167))/(SUMPRODUCT((economics!$AG$2:$AG$167=$B38)*(economics!$D$2:$D$167="whr")*economics!$AI$2:$AI$167*(_xlfn.NORM.DIST(AX$3,economics!$AK$2:$AK$167,economics!$AJ$2:$AJ$167,TRUE)-_xlfn.NORM.DIST(AX$30,economics!$AK$2:$AK$167,economics!$AJ$2:$AJ$167,TRUE)))),"")</f>
        <v/>
      </c>
      <c r="AY38">
        <f t="array" ref="AY38">IFERROR((SUMPRODUCT((economics!$AG$2:$AG$167=$B38)*(economics!$D$2:$D$167="whr")*economics!$AI$2:$AI$167*(_xlfn.NORM.DIST(AY$3,economics!$AK$2:$AK$167,economics!$AJ$2:$AJ$167,TRUE)-_xlfn.NORM.DIST(AY$30,economics!$AK$2:$AK$167,economics!$AJ$2:$AJ$167,TRUE))*economics!$AM$2:$AM$167))/(SUMPRODUCT((economics!$AG$2:$AG$167=$B38)*(economics!$D$2:$D$167="whr")*economics!$AI$2:$AI$167*(_xlfn.NORM.DIST(AY$3,economics!$AK$2:$AK$167,economics!$AJ$2:$AJ$167,TRUE)-_xlfn.NORM.DIST(AY$30,economics!$AK$2:$AK$167,economics!$AJ$2:$AJ$167,TRUE)))),"")</f>
        <v/>
      </c>
      <c r="AZ38">
        <f t="array" ref="AZ38">IFERROR((SUMPRODUCT((economics!$AG$2:$AG$167=$B38)*(economics!$D$2:$D$167="whr")*economics!$AI$2:$AI$167*(_xlfn.NORM.DIST(AZ$3,economics!$AK$2:$AK$167,economics!$AJ$2:$AJ$167,TRUE)-_xlfn.NORM.DIST(AZ$30,economics!$AK$2:$AK$167,economics!$AJ$2:$AJ$167,TRUE))*economics!$AM$2:$AM$167))/(SUMPRODUCT((economics!$AG$2:$AG$167=$B38)*(economics!$D$2:$D$167="whr")*economics!$AI$2:$AI$167*(_xlfn.NORM.DIST(AZ$3,economics!$AK$2:$AK$167,economics!$AJ$2:$AJ$167,TRUE)-_xlfn.NORM.DIST(AZ$30,economics!$AK$2:$AK$167,economics!$AJ$2:$AJ$167,TRUE)))),"")</f>
        <v/>
      </c>
      <c r="BA38">
        <f t="array" ref="BA38">IFERROR((SUMPRODUCT((economics!$AG$2:$AG$167=$B38)*(economics!$D$2:$D$167="whr")*economics!$AI$2:$AI$167*(_xlfn.NORM.DIST(BA$3,economics!$AK$2:$AK$167,economics!$AJ$2:$AJ$167,TRUE)-_xlfn.NORM.DIST(BA$30,economics!$AK$2:$AK$167,economics!$AJ$2:$AJ$167,TRUE))*economics!$AM$2:$AM$167))/(SUMPRODUCT((economics!$AG$2:$AG$167=$B38)*(economics!$D$2:$D$167="whr")*economics!$AI$2:$AI$167*(_xlfn.NORM.DIST(BA$3,economics!$AK$2:$AK$167,economics!$AJ$2:$AJ$167,TRUE)-_xlfn.NORM.DIST(BA$30,economics!$AK$2:$AK$167,economics!$AJ$2:$AJ$167,TRUE)))),"")</f>
        <v/>
      </c>
      <c r="BB38">
        <f t="array" ref="BB38">IFERROR((SUMPRODUCT((economics!$AG$2:$AG$167=$B38)*(economics!$D$2:$D$167="whr")*economics!$AI$2:$AI$167*(_xlfn.NORM.DIST(BB$3,economics!$AK$2:$AK$167,economics!$AJ$2:$AJ$167,TRUE)-_xlfn.NORM.DIST(BB$30,economics!$AK$2:$AK$167,economics!$AJ$2:$AJ$167,TRUE))*economics!$AM$2:$AM$167))/(SUMPRODUCT((economics!$AG$2:$AG$167=$B38)*(economics!$D$2:$D$167="whr")*economics!$AI$2:$AI$167*(_xlfn.NORM.DIST(BB$3,economics!$AK$2:$AK$167,economics!$AJ$2:$AJ$167,TRUE)-_xlfn.NORM.DIST(BB$30,economics!$AK$2:$AK$167,economics!$AJ$2:$AJ$167,TRUE)))),"")</f>
        <v/>
      </c>
      <c r="BC38">
        <f t="array" ref="BC38">IFERROR((SUMPRODUCT((economics!$AG$2:$AG$167=$B38)*(economics!$D$2:$D$167="whr")*economics!$AI$2:$AI$167*(_xlfn.NORM.DIST(BC$3,economics!$AK$2:$AK$167,economics!$AJ$2:$AJ$167,TRUE)-_xlfn.NORM.DIST(BC$30,economics!$AK$2:$AK$167,economics!$AJ$2:$AJ$167,TRUE))*economics!$AM$2:$AM$167))/(SUMPRODUCT((economics!$AG$2:$AG$167=$B38)*(economics!$D$2:$D$167="whr")*economics!$AI$2:$AI$167*(_xlfn.NORM.DIST(BC$3,economics!$AK$2:$AK$167,economics!$AJ$2:$AJ$167,TRUE)-_xlfn.NORM.DIST(BC$30,economics!$AK$2:$AK$167,economics!$AJ$2:$AJ$167,TRUE)))),"")</f>
        <v/>
      </c>
      <c r="BD38">
        <f t="array" ref="BD38">IFERROR((SUMPRODUCT((economics!$AG$2:$AG$167=$B38)*(economics!$D$2:$D$167="whr")*economics!$AI$2:$AI$167*(_xlfn.NORM.DIST(BD$3,economics!$AK$2:$AK$167,economics!$AJ$2:$AJ$167,TRUE)-_xlfn.NORM.DIST(BD$30,economics!$AK$2:$AK$167,economics!$AJ$2:$AJ$167,TRUE))*economics!$AM$2:$AM$167))/(SUMPRODUCT((economics!$AG$2:$AG$167=$B38)*(economics!$D$2:$D$167="whr")*economics!$AI$2:$AI$167*(_xlfn.NORM.DIST(BD$3,economics!$AK$2:$AK$167,economics!$AJ$2:$AJ$167,TRUE)-_xlfn.NORM.DIST(BD$30,economics!$AK$2:$AK$167,economics!$AJ$2:$AJ$167,TRUE)))),"")</f>
        <v/>
      </c>
      <c r="BE38">
        <f t="array" ref="BE38">IFERROR((SUMPRODUCT((economics!$AG$2:$AG$167=$B38)*(economics!$D$2:$D$167="whr")*economics!$AI$2:$AI$167*(_xlfn.NORM.DIST(BE$3,economics!$AK$2:$AK$167,economics!$AJ$2:$AJ$167,TRUE)-_xlfn.NORM.DIST(BE$30,economics!$AK$2:$AK$167,economics!$AJ$2:$AJ$167,TRUE))*economics!$AM$2:$AM$167))/(SUMPRODUCT((economics!$AG$2:$AG$167=$B38)*(economics!$D$2:$D$167="whr")*economics!$AI$2:$AI$167*(_xlfn.NORM.DIST(BE$3,economics!$AK$2:$AK$167,economics!$AJ$2:$AJ$167,TRUE)-_xlfn.NORM.DIST(BE$30,economics!$AK$2:$AK$167,economics!$AJ$2:$AJ$167,TRUE)))),"")</f>
        <v/>
      </c>
      <c r="BF38">
        <f t="array" ref="BF38">IFERROR((SUMPRODUCT((economics!$AG$2:$AG$167=$B38)*(economics!$D$2:$D$167="whr")*economics!$AI$2:$AI$167*(_xlfn.NORM.DIST(BF$3,economics!$AK$2:$AK$167,economics!$AJ$2:$AJ$167,TRUE)-_xlfn.NORM.DIST(BF$30,economics!$AK$2:$AK$167,economics!$AJ$2:$AJ$167,TRUE))*economics!$AM$2:$AM$167))/(SUMPRODUCT((economics!$AG$2:$AG$167=$B38)*(economics!$D$2:$D$167="whr")*economics!$AI$2:$AI$167*(_xlfn.NORM.DIST(BF$3,economics!$AK$2:$AK$167,economics!$AJ$2:$AJ$167,TRUE)-_xlfn.NORM.DIST(BF$30,economics!$AK$2:$AK$167,economics!$AJ$2:$AJ$167,TRUE)))),"")</f>
        <v/>
      </c>
      <c r="BG38">
        <f t="array" ref="BG38">IFERROR((SUMPRODUCT((economics!$AG$2:$AG$167=$B38)*(economics!$D$2:$D$167="whr")*economics!$AI$2:$AI$167*(_xlfn.NORM.DIST(BG$3,economics!$AK$2:$AK$167,economics!$AJ$2:$AJ$167,TRUE)-_xlfn.NORM.DIST(BG$30,economics!$AK$2:$AK$167,economics!$AJ$2:$AJ$167,TRUE))*economics!$AM$2:$AM$167))/(SUMPRODUCT((economics!$AG$2:$AG$167=$B38)*(economics!$D$2:$D$167="whr")*economics!$AI$2:$AI$167*(_xlfn.NORM.DIST(BG$3,economics!$AK$2:$AK$167,economics!$AJ$2:$AJ$167,TRUE)-_xlfn.NORM.DIST(BG$30,economics!$AK$2:$AK$167,economics!$AJ$2:$AJ$167,TRUE)))),"")</f>
        <v/>
      </c>
      <c r="BH38">
        <f t="array" ref="BH38">IFERROR((SUMPRODUCT((economics!$AG$2:$AG$167=$B38)*(economics!$D$2:$D$167="whr")*economics!$AI$2:$AI$167*(_xlfn.NORM.DIST(BH$3,economics!$AK$2:$AK$167,economics!$AJ$2:$AJ$167,TRUE)-_xlfn.NORM.DIST(BH$30,economics!$AK$2:$AK$167,economics!$AJ$2:$AJ$167,TRUE))*economics!$AM$2:$AM$167))/(SUMPRODUCT((economics!$AG$2:$AG$167=$B38)*(economics!$D$2:$D$167="whr")*economics!$AI$2:$AI$167*(_xlfn.NORM.DIST(BH$3,economics!$AK$2:$AK$167,economics!$AJ$2:$AJ$167,TRUE)-_xlfn.NORM.DIST(BH$30,economics!$AK$2:$AK$167,economics!$AJ$2:$AJ$167,TRUE)))),"")</f>
        <v/>
      </c>
      <c r="BI38">
        <f t="array" ref="BI38">IFERROR((SUMPRODUCT((economics!$AG$2:$AG$167=$B38)*(economics!$D$2:$D$167="whr")*economics!$AI$2:$AI$167*(_xlfn.NORM.DIST(BI$3,economics!$AK$2:$AK$167,economics!$AJ$2:$AJ$167,TRUE)-_xlfn.NORM.DIST(BI$30,economics!$AK$2:$AK$167,economics!$AJ$2:$AJ$167,TRUE))*economics!$AM$2:$AM$167))/(SUMPRODUCT((economics!$AG$2:$AG$167=$B38)*(economics!$D$2:$D$167="whr")*economics!$AI$2:$AI$167*(_xlfn.NORM.DIST(BI$3,economics!$AK$2:$AK$167,economics!$AJ$2:$AJ$167,TRUE)-_xlfn.NORM.DIST(BI$30,economics!$AK$2:$AK$167,economics!$AJ$2:$AJ$167,TRUE)))),"")</f>
        <v/>
      </c>
      <c r="BJ38">
        <f t="array" ref="BJ38">IFERROR((SUMPRODUCT((economics!$AG$2:$AG$167=$B38)*(economics!$D$2:$D$167="whr")*economics!$AI$2:$AI$167*(_xlfn.NORM.DIST(BJ$3,economics!$AK$2:$AK$167,economics!$AJ$2:$AJ$167,TRUE)-_xlfn.NORM.DIST(BJ$30,economics!$AK$2:$AK$167,economics!$AJ$2:$AJ$167,TRUE))*economics!$AM$2:$AM$167))/(SUMPRODUCT((economics!$AG$2:$AG$167=$B38)*(economics!$D$2:$D$167="whr")*economics!$AI$2:$AI$167*(_xlfn.NORM.DIST(BJ$3,economics!$AK$2:$AK$167,economics!$AJ$2:$AJ$167,TRUE)-_xlfn.NORM.DIST(BJ$30,economics!$AK$2:$AK$167,economics!$AJ$2:$AJ$167,TRUE)))),"")</f>
        <v/>
      </c>
      <c r="BK38">
        <f t="array" ref="BK38">IFERROR((SUMPRODUCT((economics!$AG$2:$AG$167=$B38)*(economics!$D$2:$D$167="whr")*economics!$AI$2:$AI$167*(_xlfn.NORM.DIST(BK$3,economics!$AK$2:$AK$167,economics!$AJ$2:$AJ$167,TRUE)-_xlfn.NORM.DIST(BK$30,economics!$AK$2:$AK$167,economics!$AJ$2:$AJ$167,TRUE))*economics!$AM$2:$AM$167))/(SUMPRODUCT((economics!$AG$2:$AG$167=$B38)*(economics!$D$2:$D$167="whr")*economics!$AI$2:$AI$167*(_xlfn.NORM.DIST(BK$3,economics!$AK$2:$AK$167,economics!$AJ$2:$AJ$167,TRUE)-_xlfn.NORM.DIST(BK$30,economics!$AK$2:$AK$167,economics!$AJ$2:$AJ$167,TRUE)))),"")</f>
        <v/>
      </c>
      <c r="BL38">
        <f t="array" ref="BL38">IFERROR((SUMPRODUCT((economics!$AG$2:$AG$167=$B38)*(economics!$D$2:$D$167="whr")*economics!$AI$2:$AI$167*(_xlfn.NORM.DIST(BL$3,economics!$AK$2:$AK$167,economics!$AJ$2:$AJ$167,TRUE)-_xlfn.NORM.DIST(BL$30,economics!$AK$2:$AK$167,economics!$AJ$2:$AJ$167,TRUE))*economics!$AM$2:$AM$167))/(SUMPRODUCT((economics!$AG$2:$AG$167=$B38)*(economics!$D$2:$D$167="whr")*economics!$AI$2:$AI$167*(_xlfn.NORM.DIST(BL$3,economics!$AK$2:$AK$167,economics!$AJ$2:$AJ$167,TRUE)-_xlfn.NORM.DIST(BL$30,economics!$AK$2:$AK$167,economics!$AJ$2:$AJ$167,TRUE)))),"")</f>
        <v/>
      </c>
      <c r="BM38">
        <f t="array" ref="BM38">IFERROR((SUMPRODUCT((economics!$AG$2:$AG$167=$B38)*(economics!$D$2:$D$167="whr")*economics!$AI$2:$AI$167*(_xlfn.NORM.DIST(BM$3,economics!$AK$2:$AK$167,economics!$AJ$2:$AJ$167,TRUE)-_xlfn.NORM.DIST(BM$30,economics!$AK$2:$AK$167,economics!$AJ$2:$AJ$167,TRUE))*economics!$AM$2:$AM$167))/(SUMPRODUCT((economics!$AG$2:$AG$167=$B38)*(economics!$D$2:$D$167="whr")*economics!$AI$2:$AI$167*(_xlfn.NORM.DIST(BM$3,economics!$AK$2:$AK$167,economics!$AJ$2:$AJ$167,TRUE)-_xlfn.NORM.DIST(BM$30,economics!$AK$2:$AK$167,economics!$AJ$2:$AJ$167,TRUE)))),"")</f>
        <v/>
      </c>
      <c r="BN38">
        <f t="array" ref="BN38">IFERROR((SUMPRODUCT((economics!$AG$2:$AG$167=$B38)*(economics!$D$2:$D$167="whr")*economics!$AI$2:$AI$167*(_xlfn.NORM.DIST(BN$3,economics!$AK$2:$AK$167,economics!$AJ$2:$AJ$167,TRUE)-_xlfn.NORM.DIST(BN$30,economics!$AK$2:$AK$167,economics!$AJ$2:$AJ$167,TRUE))*economics!$AM$2:$AM$167))/(SUMPRODUCT((economics!$AG$2:$AG$167=$B38)*(economics!$D$2:$D$167="whr")*economics!$AI$2:$AI$167*(_xlfn.NORM.DIST(BN$3,economics!$AK$2:$AK$167,economics!$AJ$2:$AJ$167,TRUE)-_xlfn.NORM.DIST(BN$30,economics!$AK$2:$AK$167,economics!$AJ$2:$AJ$167,TRUE)))),"")</f>
        <v/>
      </c>
      <c r="BO38">
        <f t="array" ref="BO38">IFERROR((SUMPRODUCT((economics!$AG$2:$AG$167=$B38)*(economics!$D$2:$D$167="whr")*economics!$AI$2:$AI$167*(_xlfn.NORM.DIST(BO$3,economics!$AK$2:$AK$167,economics!$AJ$2:$AJ$167,TRUE)-_xlfn.NORM.DIST(BO$30,economics!$AK$2:$AK$167,economics!$AJ$2:$AJ$167,TRUE))*economics!$AM$2:$AM$167))/(SUMPRODUCT((economics!$AG$2:$AG$167=$B38)*(economics!$D$2:$D$167="whr")*economics!$AI$2:$AI$167*(_xlfn.NORM.DIST(BO$3,economics!$AK$2:$AK$167,economics!$AJ$2:$AJ$167,TRUE)-_xlfn.NORM.DIST(BO$30,economics!$AK$2:$AK$167,economics!$AJ$2:$AJ$167,TRUE)))),"")</f>
        <v/>
      </c>
      <c r="BP38">
        <f t="array" ref="BP38">IFERROR((SUMPRODUCT((economics!$AG$2:$AG$167=$B38)*(economics!$D$2:$D$167="whr")*economics!$AI$2:$AI$167*(_xlfn.NORM.DIST(BP$3,economics!$AK$2:$AK$167,economics!$AJ$2:$AJ$167,TRUE)-_xlfn.NORM.DIST(BP$30,economics!$AK$2:$AK$167,economics!$AJ$2:$AJ$167,TRUE))*economics!$AM$2:$AM$167))/(SUMPRODUCT((economics!$AG$2:$AG$167=$B38)*(economics!$D$2:$D$167="whr")*economics!$AI$2:$AI$167*(_xlfn.NORM.DIST(BP$3,economics!$AK$2:$AK$167,economics!$AJ$2:$AJ$167,TRUE)-_xlfn.NORM.DIST(BP$30,economics!$AK$2:$AK$167,economics!$AJ$2:$AJ$167,TRUE)))),"")</f>
        <v/>
      </c>
      <c r="BQ38">
        <f t="array" ref="BQ38">IFERROR((SUMPRODUCT((economics!$AG$2:$AG$167=$B38)*(economics!$D$2:$D$167="whr")*economics!$AI$2:$AI$167*(_xlfn.NORM.DIST(BQ$3,economics!$AK$2:$AK$167,economics!$AJ$2:$AJ$167,TRUE)-_xlfn.NORM.DIST(BQ$30,economics!$AK$2:$AK$167,economics!$AJ$2:$AJ$167,TRUE))*economics!$AM$2:$AM$167))/(SUMPRODUCT((economics!$AG$2:$AG$167=$B38)*(economics!$D$2:$D$167="whr")*economics!$AI$2:$AI$167*(_xlfn.NORM.DIST(BQ$3,economics!$AK$2:$AK$167,economics!$AJ$2:$AJ$167,TRUE)-_xlfn.NORM.DIST(BQ$30,economics!$AK$2:$AK$167,economics!$AJ$2:$AJ$167,TRUE)))),"")</f>
        <v/>
      </c>
      <c r="BR38">
        <f t="array" ref="BR38">IFERROR((SUMPRODUCT((economics!$AG$2:$AG$167=$B38)*(economics!$D$2:$D$167="whr")*economics!$AI$2:$AI$167*(_xlfn.NORM.DIST(BR$3,economics!$AK$2:$AK$167,economics!$AJ$2:$AJ$167,TRUE)-_xlfn.NORM.DIST(BR$30,economics!$AK$2:$AK$167,economics!$AJ$2:$AJ$167,TRUE))*economics!$AM$2:$AM$167))/(SUMPRODUCT((economics!$AG$2:$AG$167=$B38)*(economics!$D$2:$D$167="whr")*economics!$AI$2:$AI$167*(_xlfn.NORM.DIST(BR$3,economics!$AK$2:$AK$167,economics!$AJ$2:$AJ$167,TRUE)-_xlfn.NORM.DIST(BR$30,economics!$AK$2:$AK$167,economics!$AJ$2:$AJ$167,TRUE)))),"")</f>
        <v/>
      </c>
      <c r="BS38">
        <f t="array" ref="BS38">IFERROR((SUMPRODUCT((economics!$AG$2:$AG$167=$B38)*(economics!$D$2:$D$167="whr")*economics!$AI$2:$AI$167*(_xlfn.NORM.DIST(BS$3,economics!$AK$2:$AK$167,economics!$AJ$2:$AJ$167,TRUE)-_xlfn.NORM.DIST(BS$30,economics!$AK$2:$AK$167,economics!$AJ$2:$AJ$167,TRUE))*economics!$AM$2:$AM$167))/(SUMPRODUCT((economics!$AG$2:$AG$167=$B38)*(economics!$D$2:$D$167="whr")*economics!$AI$2:$AI$167*(_xlfn.NORM.DIST(BS$3,economics!$AK$2:$AK$167,economics!$AJ$2:$AJ$167,TRUE)-_xlfn.NORM.DIST(BS$30,economics!$AK$2:$AK$167,economics!$AJ$2:$AJ$167,TRUE)))),"")</f>
        <v/>
      </c>
      <c r="BT38">
        <f t="array" ref="BT38">IFERROR((SUMPRODUCT((economics!$AG$2:$AG$167=$B38)*(economics!$D$2:$D$167="whr")*economics!$AI$2:$AI$167*(_xlfn.NORM.DIST(BT$3,economics!$AK$2:$AK$167,economics!$AJ$2:$AJ$167,TRUE)-_xlfn.NORM.DIST(BT$30,economics!$AK$2:$AK$167,economics!$AJ$2:$AJ$167,TRUE))*economics!$AM$2:$AM$167))/(SUMPRODUCT((economics!$AG$2:$AG$167=$B38)*(economics!$D$2:$D$167="whr")*economics!$AI$2:$AI$167*(_xlfn.NORM.DIST(BT$3,economics!$AK$2:$AK$167,economics!$AJ$2:$AJ$167,TRUE)-_xlfn.NORM.DIST(BT$30,economics!$AK$2:$AK$167,economics!$AJ$2:$AJ$167,TRUE)))),"")</f>
        <v/>
      </c>
      <c r="BU38">
        <f t="array" ref="BU38">IFERROR((SUMPRODUCT((economics!$AG$2:$AG$167=$B38)*(economics!$D$2:$D$167="whr")*economics!$AI$2:$AI$167*(_xlfn.NORM.DIST(BU$3,economics!$AK$2:$AK$167,economics!$AJ$2:$AJ$167,TRUE)-_xlfn.NORM.DIST(BU$30,economics!$AK$2:$AK$167,economics!$AJ$2:$AJ$167,TRUE))*economics!$AM$2:$AM$167))/(SUMPRODUCT((economics!$AG$2:$AG$167=$B38)*(economics!$D$2:$D$167="whr")*economics!$AI$2:$AI$167*(_xlfn.NORM.DIST(BU$3,economics!$AK$2:$AK$167,economics!$AJ$2:$AJ$167,TRUE)-_xlfn.NORM.DIST(BU$30,economics!$AK$2:$AK$167,economics!$AJ$2:$AJ$167,TRUE)))),"")</f>
        <v/>
      </c>
      <c r="BV38">
        <f t="array" ref="BV38">IFERROR((SUMPRODUCT((economics!$AG$2:$AG$167=$B38)*(economics!$D$2:$D$167="whr")*economics!$AI$2:$AI$167*(_xlfn.NORM.DIST(BV$3,economics!$AK$2:$AK$167,economics!$AJ$2:$AJ$167,TRUE)-_xlfn.NORM.DIST(BV$30,economics!$AK$2:$AK$167,economics!$AJ$2:$AJ$167,TRUE))*economics!$AM$2:$AM$167))/(SUMPRODUCT((economics!$AG$2:$AG$167=$B38)*(economics!$D$2:$D$167="whr")*economics!$AI$2:$AI$167*(_xlfn.NORM.DIST(BV$3,economics!$AK$2:$AK$167,economics!$AJ$2:$AJ$167,TRUE)-_xlfn.NORM.DIST(BV$30,economics!$AK$2:$AK$167,economics!$AJ$2:$AJ$167,TRUE)))),"")</f>
        <v/>
      </c>
      <c r="BW38">
        <f t="array" ref="BW38">IFERROR((SUMPRODUCT((economics!$AG$2:$AG$167=$B38)*(economics!$D$2:$D$167="whr")*economics!$AI$2:$AI$167*(_xlfn.NORM.DIST(BW$3,economics!$AK$2:$AK$167,economics!$AJ$2:$AJ$167,TRUE)-_xlfn.NORM.DIST(BW$30,economics!$AK$2:$AK$167,economics!$AJ$2:$AJ$167,TRUE))*economics!$AM$2:$AM$167))/(SUMPRODUCT((economics!$AG$2:$AG$167=$B38)*(economics!$D$2:$D$167="whr")*economics!$AI$2:$AI$167*(_xlfn.NORM.DIST(BW$3,economics!$AK$2:$AK$167,economics!$AJ$2:$AJ$167,TRUE)-_xlfn.NORM.DIST(BW$30,economics!$AK$2:$AK$167,economics!$AJ$2:$AJ$167,TRUE)))),"")</f>
        <v/>
      </c>
      <c r="BX38">
        <f t="array" ref="BX38">IFERROR((SUMPRODUCT((economics!$AG$2:$AG$167=$B38)*(economics!$D$2:$D$167="whr")*economics!$AI$2:$AI$167*(_xlfn.NORM.DIST(BX$3,economics!$AK$2:$AK$167,economics!$AJ$2:$AJ$167,TRUE)-_xlfn.NORM.DIST(BX$30,economics!$AK$2:$AK$167,economics!$AJ$2:$AJ$167,TRUE))*economics!$AM$2:$AM$167))/(SUMPRODUCT((economics!$AG$2:$AG$167=$B38)*(economics!$D$2:$D$167="whr")*economics!$AI$2:$AI$167*(_xlfn.NORM.DIST(BX$3,economics!$AK$2:$AK$167,economics!$AJ$2:$AJ$167,TRUE)-_xlfn.NORM.DIST(BX$30,economics!$AK$2:$AK$167,economics!$AJ$2:$AJ$167,TRUE)))),"")</f>
        <v/>
      </c>
      <c r="BY38">
        <f t="array" ref="BY38">IFERROR((SUMPRODUCT((economics!$AG$2:$AG$167=$B38)*(economics!$D$2:$D$167="whr")*economics!$AI$2:$AI$167*(_xlfn.NORM.DIST(BY$3,economics!$AK$2:$AK$167,economics!$AJ$2:$AJ$167,TRUE)-_xlfn.NORM.DIST(BY$30,economics!$AK$2:$AK$167,economics!$AJ$2:$AJ$167,TRUE))*economics!$AM$2:$AM$167))/(SUMPRODUCT((economics!$AG$2:$AG$167=$B38)*(economics!$D$2:$D$167="whr")*economics!$AI$2:$AI$167*(_xlfn.NORM.DIST(BY$3,economics!$AK$2:$AK$167,economics!$AJ$2:$AJ$167,TRUE)-_xlfn.NORM.DIST(BY$30,economics!$AK$2:$AK$167,economics!$AJ$2:$AJ$167,TRUE)))),"")</f>
        <v/>
      </c>
      <c r="BZ38">
        <f t="array" ref="BZ38">IFERROR((SUMPRODUCT((economics!$AG$2:$AG$167=$B38)*(economics!$D$2:$D$167="whr")*economics!$AI$2:$AI$167*(_xlfn.NORM.DIST(BZ$3,economics!$AK$2:$AK$167,economics!$AJ$2:$AJ$167,TRUE)-_xlfn.NORM.DIST(BZ$30,economics!$AK$2:$AK$167,economics!$AJ$2:$AJ$167,TRUE))*economics!$AM$2:$AM$167))/(SUMPRODUCT((economics!$AG$2:$AG$167=$B38)*(economics!$D$2:$D$167="whr")*economics!$AI$2:$AI$167*(_xlfn.NORM.DIST(BZ$3,economics!$AK$2:$AK$167,economics!$AJ$2:$AJ$167,TRUE)-_xlfn.NORM.DIST(BZ$30,economics!$AK$2:$AK$167,economics!$AJ$2:$AJ$167,TRUE)))),"")</f>
        <v/>
      </c>
      <c r="CA38">
        <f t="array" ref="CA38">IFERROR((SUMPRODUCT((economics!$AG$2:$AG$167=$B38)*(economics!$D$2:$D$167="whr")*economics!$AI$2:$AI$167*(_xlfn.NORM.DIST(CA$3,economics!$AK$2:$AK$167,economics!$AJ$2:$AJ$167,TRUE)-_xlfn.NORM.DIST(CA$30,economics!$AK$2:$AK$167,economics!$AJ$2:$AJ$167,TRUE))*economics!$AM$2:$AM$167))/(SUMPRODUCT((economics!$AG$2:$AG$167=$B38)*(economics!$D$2:$D$167="whr")*economics!$AI$2:$AI$167*(_xlfn.NORM.DIST(CA$3,economics!$AK$2:$AK$167,economics!$AJ$2:$AJ$167,TRUE)-_xlfn.NORM.DIST(CA$30,economics!$AK$2:$AK$167,economics!$AJ$2:$AJ$167,TRUE)))),"")</f>
        <v/>
      </c>
      <c r="CB38">
        <f t="array" ref="CB38">IFERROR((SUMPRODUCT((economics!$AG$2:$AG$167=$B38)*(economics!$D$2:$D$167="whr")*economics!$AI$2:$AI$167*(_xlfn.NORM.DIST(CB$3,economics!$AK$2:$AK$167,economics!$AJ$2:$AJ$167,TRUE)-_xlfn.NORM.DIST(CB$30,economics!$AK$2:$AK$167,economics!$AJ$2:$AJ$167,TRUE))*economics!$AM$2:$AM$167))/(SUMPRODUCT((economics!$AG$2:$AG$167=$B38)*(economics!$D$2:$D$167="whr")*economics!$AI$2:$AI$167*(_xlfn.NORM.DIST(CB$3,economics!$AK$2:$AK$167,economics!$AJ$2:$AJ$167,TRUE)-_xlfn.NORM.DIST(CB$30,economics!$AK$2:$AK$167,economics!$AJ$2:$AJ$167,TRUE)))),"")</f>
        <v/>
      </c>
      <c r="CC38">
        <f t="array" ref="CC38">IFERROR((SUMPRODUCT((economics!$AG$2:$AG$167=$B38)*(economics!$D$2:$D$167="whr")*economics!$AI$2:$AI$167*(_xlfn.NORM.DIST(CC$3,economics!$AK$2:$AK$167,economics!$AJ$2:$AJ$167,TRUE)-_xlfn.NORM.DIST(CC$30,economics!$AK$2:$AK$167,economics!$AJ$2:$AJ$167,TRUE))*economics!$AM$2:$AM$167))/(SUMPRODUCT((economics!$AG$2:$AG$167=$B38)*(economics!$D$2:$D$167="whr")*economics!$AI$2:$AI$167*(_xlfn.NORM.DIST(CC$3,economics!$AK$2:$AK$167,economics!$AJ$2:$AJ$167,TRUE)-_xlfn.NORM.DIST(CC$30,economics!$AK$2:$AK$167,economics!$AJ$2:$AJ$167,TRUE)))),"")</f>
        <v/>
      </c>
      <c r="CD38">
        <f t="array" ref="CD38">IFERROR((SUMPRODUCT((economics!$AG$2:$AG$167=$B38)*(economics!$D$2:$D$167="whr")*economics!$AI$2:$AI$167*(_xlfn.NORM.DIST(CD$3,economics!$AK$2:$AK$167,economics!$AJ$2:$AJ$167,TRUE)-_xlfn.NORM.DIST(CD$30,economics!$AK$2:$AK$167,economics!$AJ$2:$AJ$167,TRUE))*economics!$AM$2:$AM$167))/(SUMPRODUCT((economics!$AG$2:$AG$167=$B38)*(economics!$D$2:$D$167="whr")*economics!$AI$2:$AI$167*(_xlfn.NORM.DIST(CD$3,economics!$AK$2:$AK$167,economics!$AJ$2:$AJ$167,TRUE)-_xlfn.NORM.DIST(CD$30,economics!$AK$2:$AK$167,economics!$AJ$2:$AJ$167,TRUE)))),"")</f>
        <v/>
      </c>
      <c r="CE38">
        <f t="array" ref="CE38">IFERROR((SUMPRODUCT((economics!$AG$2:$AG$167=$B38)*(economics!$D$2:$D$167="whr")*economics!$AI$2:$AI$167*(_xlfn.NORM.DIST(CE$3,economics!$AK$2:$AK$167,economics!$AJ$2:$AJ$167,TRUE)-_xlfn.NORM.DIST(CE$30,economics!$AK$2:$AK$167,economics!$AJ$2:$AJ$167,TRUE))*economics!$AM$2:$AM$167))/(SUMPRODUCT((economics!$AG$2:$AG$167=$B38)*(economics!$D$2:$D$167="whr")*economics!$AI$2:$AI$167*(_xlfn.NORM.DIST(CE$3,economics!$AK$2:$AK$167,economics!$AJ$2:$AJ$167,TRUE)-_xlfn.NORM.DIST(CE$30,economics!$AK$2:$AK$167,economics!$AJ$2:$AJ$167,TRUE)))),"")</f>
        <v/>
      </c>
      <c r="CF38">
        <f t="array" ref="CF38">IFERROR((SUMPRODUCT((economics!$AG$2:$AG$167=$B38)*(economics!$D$2:$D$167="whr")*economics!$AI$2:$AI$167*(_xlfn.NORM.DIST(CF$3,economics!$AK$2:$AK$167,economics!$AJ$2:$AJ$167,TRUE)-_xlfn.NORM.DIST(CF$30,economics!$AK$2:$AK$167,economics!$AJ$2:$AJ$167,TRUE))*economics!$AM$2:$AM$167))/(SUMPRODUCT((economics!$AG$2:$AG$167=$B38)*(economics!$D$2:$D$167="whr")*economics!$AI$2:$AI$167*(_xlfn.NORM.DIST(CF$3,economics!$AK$2:$AK$167,economics!$AJ$2:$AJ$167,TRUE)-_xlfn.NORM.DIST(CF$30,economics!$AK$2:$AK$167,economics!$AJ$2:$AJ$167,TRUE)))),"")</f>
        <v/>
      </c>
      <c r="CG38">
        <f t="array" ref="CG38">IFERROR((SUMPRODUCT((economics!$AG$2:$AG$167=$B38)*(economics!$D$2:$D$167="whr")*economics!$AI$2:$AI$167*(_xlfn.NORM.DIST(CG$3,economics!$AK$2:$AK$167,economics!$AJ$2:$AJ$167,TRUE)-_xlfn.NORM.DIST(CG$30,economics!$AK$2:$AK$167,economics!$AJ$2:$AJ$167,TRUE))*economics!$AM$2:$AM$167))/(SUMPRODUCT((economics!$AG$2:$AG$167=$B38)*(economics!$D$2:$D$167="whr")*economics!$AI$2:$AI$167*(_xlfn.NORM.DIST(CG$3,economics!$AK$2:$AK$167,economics!$AJ$2:$AJ$167,TRUE)-_xlfn.NORM.DIST(CG$30,economics!$AK$2:$AK$167,economics!$AJ$2:$AJ$167,TRUE)))),"")</f>
        <v/>
      </c>
      <c r="CH38">
        <f t="array" ref="CH38">IFERROR((SUMPRODUCT((economics!$AG$2:$AG$167=$B38)*(economics!$D$2:$D$167="whr")*economics!$AI$2:$AI$167*(_xlfn.NORM.DIST(CH$3,economics!$AK$2:$AK$167,economics!$AJ$2:$AJ$167,TRUE)-_xlfn.NORM.DIST(CH$30,economics!$AK$2:$AK$167,economics!$AJ$2:$AJ$167,TRUE))*economics!$AM$2:$AM$167))/(SUMPRODUCT((economics!$AG$2:$AG$167=$B38)*(economics!$D$2:$D$167="whr")*economics!$AI$2:$AI$167*(_xlfn.NORM.DIST(CH$3,economics!$AK$2:$AK$167,economics!$AJ$2:$AJ$167,TRUE)-_xlfn.NORM.DIST(CH$30,economics!$AK$2:$AK$167,economics!$AJ$2:$AJ$167,TRUE)))),"")</f>
        <v/>
      </c>
    </row>
    <row r="39">
      <c r="A39">
        <f>A10</f>
        <v/>
      </c>
      <c r="B39">
        <f>B10</f>
        <v/>
      </c>
      <c r="E39">
        <f t="array" ref="E39">IFERROR((SUMPRODUCT((economics!$AG$2:$AG$167=$B39)*(economics!$D$2:$D$167="whr")*economics!$AI$2:$AI$167*(_xlfn.NORM.DIST(E$3,economics!$AK$2:$AK$167,economics!$AJ$2:$AJ$167,TRUE)-_xlfn.NORM.DIST(E$30,economics!$AK$2:$AK$167,economics!$AJ$2:$AJ$167,TRUE))*economics!$AM$2:$AM$167))/(SUMPRODUCT((economics!$AG$2:$AG$167=$B39)*(economics!$D$2:$D$167="whr")*economics!$AI$2:$AI$167*(_xlfn.NORM.DIST(E$3,economics!$AK$2:$AK$167,economics!$AJ$2:$AJ$167,TRUE)-_xlfn.NORM.DIST(E$30,economics!$AK$2:$AK$167,economics!$AJ$2:$AJ$167,TRUE)))),"")</f>
        <v/>
      </c>
      <c r="F39">
        <f t="array" ref="F39">IFERROR((SUMPRODUCT((economics!$AG$2:$AG$167=$B39)*(economics!$D$2:$D$167="whr")*economics!$AI$2:$AI$167*(_xlfn.NORM.DIST(F$3,economics!$AK$2:$AK$167,economics!$AJ$2:$AJ$167,TRUE)-_xlfn.NORM.DIST(F$30,economics!$AK$2:$AK$167,economics!$AJ$2:$AJ$167,TRUE))*economics!$AM$2:$AM$167))/(SUMPRODUCT((economics!$AG$2:$AG$167=$B39)*(economics!$D$2:$D$167="whr")*economics!$AI$2:$AI$167*(_xlfn.NORM.DIST(F$3,economics!$AK$2:$AK$167,economics!$AJ$2:$AJ$167,TRUE)-_xlfn.NORM.DIST(F$30,economics!$AK$2:$AK$167,economics!$AJ$2:$AJ$167,TRUE)))),"")</f>
        <v/>
      </c>
      <c r="G39">
        <f t="array" ref="G39">IFERROR((SUMPRODUCT((economics!$AG$2:$AG$167=$B39)*(economics!$D$2:$D$167="whr")*economics!$AI$2:$AI$167*(_xlfn.NORM.DIST(G$3,economics!$AK$2:$AK$167,economics!$AJ$2:$AJ$167,TRUE)-_xlfn.NORM.DIST(G$30,economics!$AK$2:$AK$167,economics!$AJ$2:$AJ$167,TRUE))*economics!$AM$2:$AM$167))/(SUMPRODUCT((economics!$AG$2:$AG$167=$B39)*(economics!$D$2:$D$167="whr")*economics!$AI$2:$AI$167*(_xlfn.NORM.DIST(G$3,economics!$AK$2:$AK$167,economics!$AJ$2:$AJ$167,TRUE)-_xlfn.NORM.DIST(G$30,economics!$AK$2:$AK$167,economics!$AJ$2:$AJ$167,TRUE)))),"")</f>
        <v/>
      </c>
      <c r="H39">
        <f t="array" ref="H39">IFERROR((SUMPRODUCT((economics!$AG$2:$AG$167=$B39)*(economics!$D$2:$D$167="whr")*economics!$AI$2:$AI$167*(_xlfn.NORM.DIST(H$3,economics!$AK$2:$AK$167,economics!$AJ$2:$AJ$167,TRUE)-_xlfn.NORM.DIST(H$30,economics!$AK$2:$AK$167,economics!$AJ$2:$AJ$167,TRUE))*economics!$AM$2:$AM$167))/(SUMPRODUCT((economics!$AG$2:$AG$167=$B39)*(economics!$D$2:$D$167="whr")*economics!$AI$2:$AI$167*(_xlfn.NORM.DIST(H$3,economics!$AK$2:$AK$167,economics!$AJ$2:$AJ$167,TRUE)-_xlfn.NORM.DIST(H$30,economics!$AK$2:$AK$167,economics!$AJ$2:$AJ$167,TRUE)))),"")</f>
        <v/>
      </c>
      <c r="I39">
        <f t="array" ref="I39">IFERROR((SUMPRODUCT((economics!$AG$2:$AG$167=$B39)*(economics!$D$2:$D$167="whr")*economics!$AI$2:$AI$167*(_xlfn.NORM.DIST(I$3,economics!$AK$2:$AK$167,economics!$AJ$2:$AJ$167,TRUE)-_xlfn.NORM.DIST(I$30,economics!$AK$2:$AK$167,economics!$AJ$2:$AJ$167,TRUE))*economics!$AM$2:$AM$167))/(SUMPRODUCT((economics!$AG$2:$AG$167=$B39)*(economics!$D$2:$D$167="whr")*economics!$AI$2:$AI$167*(_xlfn.NORM.DIST(I$3,economics!$AK$2:$AK$167,economics!$AJ$2:$AJ$167,TRUE)-_xlfn.NORM.DIST(I$30,economics!$AK$2:$AK$167,economics!$AJ$2:$AJ$167,TRUE)))),"")</f>
        <v/>
      </c>
      <c r="J39">
        <f t="array" ref="J39">IFERROR((SUMPRODUCT((economics!$AG$2:$AG$167=$B39)*(economics!$D$2:$D$167="whr")*economics!$AI$2:$AI$167*(_xlfn.NORM.DIST(J$3,economics!$AK$2:$AK$167,economics!$AJ$2:$AJ$167,TRUE)-_xlfn.NORM.DIST(J$30,economics!$AK$2:$AK$167,economics!$AJ$2:$AJ$167,TRUE))*economics!$AM$2:$AM$167))/(SUMPRODUCT((economics!$AG$2:$AG$167=$B39)*(economics!$D$2:$D$167="whr")*economics!$AI$2:$AI$167*(_xlfn.NORM.DIST(J$3,economics!$AK$2:$AK$167,economics!$AJ$2:$AJ$167,TRUE)-_xlfn.NORM.DIST(J$30,economics!$AK$2:$AK$167,economics!$AJ$2:$AJ$167,TRUE)))),"")</f>
        <v/>
      </c>
      <c r="K39">
        <f t="array" ref="K39">IFERROR((SUMPRODUCT((economics!$AG$2:$AG$167=$B39)*(economics!$D$2:$D$167="whr")*economics!$AI$2:$AI$167*(_xlfn.NORM.DIST(K$3,economics!$AK$2:$AK$167,economics!$AJ$2:$AJ$167,TRUE)-_xlfn.NORM.DIST(K$30,economics!$AK$2:$AK$167,economics!$AJ$2:$AJ$167,TRUE))*economics!$AM$2:$AM$167))/(SUMPRODUCT((economics!$AG$2:$AG$167=$B39)*(economics!$D$2:$D$167="whr")*economics!$AI$2:$AI$167*(_xlfn.NORM.DIST(K$3,economics!$AK$2:$AK$167,economics!$AJ$2:$AJ$167,TRUE)-_xlfn.NORM.DIST(K$30,economics!$AK$2:$AK$167,economics!$AJ$2:$AJ$167,TRUE)))),"")</f>
        <v/>
      </c>
      <c r="L39">
        <f t="array" ref="L39">IFERROR((SUMPRODUCT((economics!$AG$2:$AG$167=$B39)*(economics!$D$2:$D$167="whr")*economics!$AI$2:$AI$167*(_xlfn.NORM.DIST(L$3,economics!$AK$2:$AK$167,economics!$AJ$2:$AJ$167,TRUE)-_xlfn.NORM.DIST(L$30,economics!$AK$2:$AK$167,economics!$AJ$2:$AJ$167,TRUE))*economics!$AM$2:$AM$167))/(SUMPRODUCT((economics!$AG$2:$AG$167=$B39)*(economics!$D$2:$D$167="whr")*economics!$AI$2:$AI$167*(_xlfn.NORM.DIST(L$3,economics!$AK$2:$AK$167,economics!$AJ$2:$AJ$167,TRUE)-_xlfn.NORM.DIST(L$30,economics!$AK$2:$AK$167,economics!$AJ$2:$AJ$167,TRUE)))),"")</f>
        <v/>
      </c>
      <c r="M39">
        <f t="array" ref="M39">IFERROR((SUMPRODUCT((economics!$AG$2:$AG$167=$B39)*(economics!$D$2:$D$167="whr")*economics!$AI$2:$AI$167*(_xlfn.NORM.DIST(M$3,economics!$AK$2:$AK$167,economics!$AJ$2:$AJ$167,TRUE)-_xlfn.NORM.DIST(M$30,economics!$AK$2:$AK$167,economics!$AJ$2:$AJ$167,TRUE))*economics!$AM$2:$AM$167))/(SUMPRODUCT((economics!$AG$2:$AG$167=$B39)*(economics!$D$2:$D$167="whr")*economics!$AI$2:$AI$167*(_xlfn.NORM.DIST(M$3,economics!$AK$2:$AK$167,economics!$AJ$2:$AJ$167,TRUE)-_xlfn.NORM.DIST(M$30,economics!$AK$2:$AK$167,economics!$AJ$2:$AJ$167,TRUE)))),"")</f>
        <v/>
      </c>
      <c r="N39">
        <f t="array" ref="N39">IFERROR((SUMPRODUCT((economics!$AG$2:$AG$167=$B39)*(economics!$D$2:$D$167="whr")*economics!$AI$2:$AI$167*(_xlfn.NORM.DIST(N$3,economics!$AK$2:$AK$167,economics!$AJ$2:$AJ$167,TRUE)-_xlfn.NORM.DIST(N$30,economics!$AK$2:$AK$167,economics!$AJ$2:$AJ$167,TRUE))*economics!$AM$2:$AM$167))/(SUMPRODUCT((economics!$AG$2:$AG$167=$B39)*(economics!$D$2:$D$167="whr")*economics!$AI$2:$AI$167*(_xlfn.NORM.DIST(N$3,economics!$AK$2:$AK$167,economics!$AJ$2:$AJ$167,TRUE)-_xlfn.NORM.DIST(N$30,economics!$AK$2:$AK$167,economics!$AJ$2:$AJ$167,TRUE)))),"")</f>
        <v/>
      </c>
      <c r="O39">
        <f t="array" ref="O39">IFERROR((SUMPRODUCT((economics!$AG$2:$AG$167=$B39)*(economics!$D$2:$D$167="whr")*economics!$AI$2:$AI$167*(_xlfn.NORM.DIST(O$3,economics!$AK$2:$AK$167,economics!$AJ$2:$AJ$167,TRUE)-_xlfn.NORM.DIST(O$30,economics!$AK$2:$AK$167,economics!$AJ$2:$AJ$167,TRUE))*economics!$AM$2:$AM$167))/(SUMPRODUCT((economics!$AG$2:$AG$167=$B39)*(economics!$D$2:$D$167="whr")*economics!$AI$2:$AI$167*(_xlfn.NORM.DIST(O$3,economics!$AK$2:$AK$167,economics!$AJ$2:$AJ$167,TRUE)-_xlfn.NORM.DIST(O$30,economics!$AK$2:$AK$167,economics!$AJ$2:$AJ$167,TRUE)))),"")</f>
        <v/>
      </c>
      <c r="P39">
        <f t="array" ref="P39">IFERROR((SUMPRODUCT((economics!$AG$2:$AG$167=$B39)*(economics!$D$2:$D$167="whr")*economics!$AI$2:$AI$167*(_xlfn.NORM.DIST(P$3,economics!$AK$2:$AK$167,economics!$AJ$2:$AJ$167,TRUE)-_xlfn.NORM.DIST(P$30,economics!$AK$2:$AK$167,economics!$AJ$2:$AJ$167,TRUE))*economics!$AM$2:$AM$167))/(SUMPRODUCT((economics!$AG$2:$AG$167=$B39)*(economics!$D$2:$D$167="whr")*economics!$AI$2:$AI$167*(_xlfn.NORM.DIST(P$3,economics!$AK$2:$AK$167,economics!$AJ$2:$AJ$167,TRUE)-_xlfn.NORM.DIST(P$30,economics!$AK$2:$AK$167,economics!$AJ$2:$AJ$167,TRUE)))),"")</f>
        <v/>
      </c>
      <c r="Q39">
        <f t="array" ref="Q39">IFERROR((SUMPRODUCT((economics!$AG$2:$AG$167=$B39)*(economics!$D$2:$D$167="whr")*economics!$AI$2:$AI$167*(_xlfn.NORM.DIST(Q$3,economics!$AK$2:$AK$167,economics!$AJ$2:$AJ$167,TRUE)-_xlfn.NORM.DIST(Q$30,economics!$AK$2:$AK$167,economics!$AJ$2:$AJ$167,TRUE))*economics!$AM$2:$AM$167))/(SUMPRODUCT((economics!$AG$2:$AG$167=$B39)*(economics!$D$2:$D$167="whr")*economics!$AI$2:$AI$167*(_xlfn.NORM.DIST(Q$3,economics!$AK$2:$AK$167,economics!$AJ$2:$AJ$167,TRUE)-_xlfn.NORM.DIST(Q$30,economics!$AK$2:$AK$167,economics!$AJ$2:$AJ$167,TRUE)))),"")</f>
        <v/>
      </c>
      <c r="R39">
        <f t="array" ref="R39">IFERROR((SUMPRODUCT((economics!$AG$2:$AG$167=$B39)*(economics!$D$2:$D$167="whr")*economics!$AI$2:$AI$167*(_xlfn.NORM.DIST(R$3,economics!$AK$2:$AK$167,economics!$AJ$2:$AJ$167,TRUE)-_xlfn.NORM.DIST(R$30,economics!$AK$2:$AK$167,economics!$AJ$2:$AJ$167,TRUE))*economics!$AM$2:$AM$167))/(SUMPRODUCT((economics!$AG$2:$AG$167=$B39)*(economics!$D$2:$D$167="whr")*economics!$AI$2:$AI$167*(_xlfn.NORM.DIST(R$3,economics!$AK$2:$AK$167,economics!$AJ$2:$AJ$167,TRUE)-_xlfn.NORM.DIST(R$30,economics!$AK$2:$AK$167,economics!$AJ$2:$AJ$167,TRUE)))),"")</f>
        <v/>
      </c>
      <c r="S39">
        <f t="array" ref="S39">IFERROR((SUMPRODUCT((economics!$AG$2:$AG$167=$B39)*(economics!$D$2:$D$167="whr")*economics!$AI$2:$AI$167*(_xlfn.NORM.DIST(S$3,economics!$AK$2:$AK$167,economics!$AJ$2:$AJ$167,TRUE)-_xlfn.NORM.DIST(S$30,economics!$AK$2:$AK$167,economics!$AJ$2:$AJ$167,TRUE))*economics!$AM$2:$AM$167))/(SUMPRODUCT((economics!$AG$2:$AG$167=$B39)*(economics!$D$2:$D$167="whr")*economics!$AI$2:$AI$167*(_xlfn.NORM.DIST(S$3,economics!$AK$2:$AK$167,economics!$AJ$2:$AJ$167,TRUE)-_xlfn.NORM.DIST(S$30,economics!$AK$2:$AK$167,economics!$AJ$2:$AJ$167,TRUE)))),"")</f>
        <v/>
      </c>
      <c r="T39">
        <f t="array" ref="T39">IFERROR((SUMPRODUCT((economics!$AG$2:$AG$167=$B39)*(economics!$D$2:$D$167="whr")*economics!$AI$2:$AI$167*(_xlfn.NORM.DIST(T$3,economics!$AK$2:$AK$167,economics!$AJ$2:$AJ$167,TRUE)-_xlfn.NORM.DIST(T$30,economics!$AK$2:$AK$167,economics!$AJ$2:$AJ$167,TRUE))*economics!$AM$2:$AM$167))/(SUMPRODUCT((economics!$AG$2:$AG$167=$B39)*(economics!$D$2:$D$167="whr")*economics!$AI$2:$AI$167*(_xlfn.NORM.DIST(T$3,economics!$AK$2:$AK$167,economics!$AJ$2:$AJ$167,TRUE)-_xlfn.NORM.DIST(T$30,economics!$AK$2:$AK$167,economics!$AJ$2:$AJ$167,TRUE)))),"")</f>
        <v/>
      </c>
      <c r="U39">
        <f t="array" ref="U39">IFERROR((SUMPRODUCT((economics!$AG$2:$AG$167=$B39)*(economics!$D$2:$D$167="whr")*economics!$AI$2:$AI$167*(_xlfn.NORM.DIST(U$3,economics!$AK$2:$AK$167,economics!$AJ$2:$AJ$167,TRUE)-_xlfn.NORM.DIST(U$30,economics!$AK$2:$AK$167,economics!$AJ$2:$AJ$167,TRUE))*economics!$AM$2:$AM$167))/(SUMPRODUCT((economics!$AG$2:$AG$167=$B39)*(economics!$D$2:$D$167="whr")*economics!$AI$2:$AI$167*(_xlfn.NORM.DIST(U$3,economics!$AK$2:$AK$167,economics!$AJ$2:$AJ$167,TRUE)-_xlfn.NORM.DIST(U$30,economics!$AK$2:$AK$167,economics!$AJ$2:$AJ$167,TRUE)))),"")</f>
        <v/>
      </c>
      <c r="V39">
        <f t="array" ref="V39">IFERROR((SUMPRODUCT((economics!$AG$2:$AG$167=$B39)*(economics!$D$2:$D$167="whr")*economics!$AI$2:$AI$167*(_xlfn.NORM.DIST(V$3,economics!$AK$2:$AK$167,economics!$AJ$2:$AJ$167,TRUE)-_xlfn.NORM.DIST(V$30,economics!$AK$2:$AK$167,economics!$AJ$2:$AJ$167,TRUE))*economics!$AM$2:$AM$167))/(SUMPRODUCT((economics!$AG$2:$AG$167=$B39)*(economics!$D$2:$D$167="whr")*economics!$AI$2:$AI$167*(_xlfn.NORM.DIST(V$3,economics!$AK$2:$AK$167,economics!$AJ$2:$AJ$167,TRUE)-_xlfn.NORM.DIST(V$30,economics!$AK$2:$AK$167,economics!$AJ$2:$AJ$167,TRUE)))),"")</f>
        <v/>
      </c>
      <c r="W39">
        <f t="array" ref="W39">IFERROR((SUMPRODUCT((economics!$AG$2:$AG$167=$B39)*(economics!$D$2:$D$167="whr")*economics!$AI$2:$AI$167*(_xlfn.NORM.DIST(W$3,economics!$AK$2:$AK$167,economics!$AJ$2:$AJ$167,TRUE)-_xlfn.NORM.DIST(W$30,economics!$AK$2:$AK$167,economics!$AJ$2:$AJ$167,TRUE))*economics!$AM$2:$AM$167))/(SUMPRODUCT((economics!$AG$2:$AG$167=$B39)*(economics!$D$2:$D$167="whr")*economics!$AI$2:$AI$167*(_xlfn.NORM.DIST(W$3,economics!$AK$2:$AK$167,economics!$AJ$2:$AJ$167,TRUE)-_xlfn.NORM.DIST(W$30,economics!$AK$2:$AK$167,economics!$AJ$2:$AJ$167,TRUE)))),"")</f>
        <v/>
      </c>
      <c r="X39">
        <f t="array" ref="X39">IFERROR((SUMPRODUCT((economics!$AG$2:$AG$167=$B39)*(economics!$D$2:$D$167="whr")*economics!$AI$2:$AI$167*(_xlfn.NORM.DIST(X$3,economics!$AK$2:$AK$167,economics!$AJ$2:$AJ$167,TRUE)-_xlfn.NORM.DIST(X$30,economics!$AK$2:$AK$167,economics!$AJ$2:$AJ$167,TRUE))*economics!$AM$2:$AM$167))/(SUMPRODUCT((economics!$AG$2:$AG$167=$B39)*(economics!$D$2:$D$167="whr")*economics!$AI$2:$AI$167*(_xlfn.NORM.DIST(X$3,economics!$AK$2:$AK$167,economics!$AJ$2:$AJ$167,TRUE)-_xlfn.NORM.DIST(X$30,economics!$AK$2:$AK$167,economics!$AJ$2:$AJ$167,TRUE)))),"")</f>
        <v/>
      </c>
      <c r="Y39">
        <f t="array" ref="Y39">IFERROR((SUMPRODUCT((economics!$AG$2:$AG$167=$B39)*(economics!$D$2:$D$167="whr")*economics!$AI$2:$AI$167*(_xlfn.NORM.DIST(Y$3,economics!$AK$2:$AK$167,economics!$AJ$2:$AJ$167,TRUE)-_xlfn.NORM.DIST(Y$30,economics!$AK$2:$AK$167,economics!$AJ$2:$AJ$167,TRUE))*economics!$AM$2:$AM$167))/(SUMPRODUCT((economics!$AG$2:$AG$167=$B39)*(economics!$D$2:$D$167="whr")*economics!$AI$2:$AI$167*(_xlfn.NORM.DIST(Y$3,economics!$AK$2:$AK$167,economics!$AJ$2:$AJ$167,TRUE)-_xlfn.NORM.DIST(Y$30,economics!$AK$2:$AK$167,economics!$AJ$2:$AJ$167,TRUE)))),"")</f>
        <v/>
      </c>
      <c r="Z39">
        <f t="array" ref="Z39">IFERROR((SUMPRODUCT((economics!$AG$2:$AG$167=$B39)*(economics!$D$2:$D$167="whr")*economics!$AI$2:$AI$167*(_xlfn.NORM.DIST(Z$3,economics!$AK$2:$AK$167,economics!$AJ$2:$AJ$167,TRUE)-_xlfn.NORM.DIST(Z$30,economics!$AK$2:$AK$167,economics!$AJ$2:$AJ$167,TRUE))*economics!$AM$2:$AM$167))/(SUMPRODUCT((economics!$AG$2:$AG$167=$B39)*(economics!$D$2:$D$167="whr")*economics!$AI$2:$AI$167*(_xlfn.NORM.DIST(Z$3,economics!$AK$2:$AK$167,economics!$AJ$2:$AJ$167,TRUE)-_xlfn.NORM.DIST(Z$30,economics!$AK$2:$AK$167,economics!$AJ$2:$AJ$167,TRUE)))),"")</f>
        <v/>
      </c>
      <c r="AA39">
        <f t="array" ref="AA39">IFERROR((SUMPRODUCT((economics!$AG$2:$AG$167=$B39)*(economics!$D$2:$D$167="whr")*economics!$AI$2:$AI$167*(_xlfn.NORM.DIST(AA$3,economics!$AK$2:$AK$167,economics!$AJ$2:$AJ$167,TRUE)-_xlfn.NORM.DIST(AA$30,economics!$AK$2:$AK$167,economics!$AJ$2:$AJ$167,TRUE))*economics!$AM$2:$AM$167))/(SUMPRODUCT((economics!$AG$2:$AG$167=$B39)*(economics!$D$2:$D$167="whr")*economics!$AI$2:$AI$167*(_xlfn.NORM.DIST(AA$3,economics!$AK$2:$AK$167,economics!$AJ$2:$AJ$167,TRUE)-_xlfn.NORM.DIST(AA$30,economics!$AK$2:$AK$167,economics!$AJ$2:$AJ$167,TRUE)))),"")</f>
        <v/>
      </c>
      <c r="AB39">
        <f t="array" ref="AB39">IFERROR((SUMPRODUCT((economics!$AG$2:$AG$167=$B39)*(economics!$D$2:$D$167="whr")*economics!$AI$2:$AI$167*(_xlfn.NORM.DIST(AB$3,economics!$AK$2:$AK$167,economics!$AJ$2:$AJ$167,TRUE)-_xlfn.NORM.DIST(AB$30,economics!$AK$2:$AK$167,economics!$AJ$2:$AJ$167,TRUE))*economics!$AM$2:$AM$167))/(SUMPRODUCT((economics!$AG$2:$AG$167=$B39)*(economics!$D$2:$D$167="whr")*economics!$AI$2:$AI$167*(_xlfn.NORM.DIST(AB$3,economics!$AK$2:$AK$167,economics!$AJ$2:$AJ$167,TRUE)-_xlfn.NORM.DIST(AB$30,economics!$AK$2:$AK$167,economics!$AJ$2:$AJ$167,TRUE)))),"")</f>
        <v/>
      </c>
      <c r="AC39">
        <f t="array" ref="AC39">IFERROR((SUMPRODUCT((economics!$AG$2:$AG$167=$B39)*(economics!$D$2:$D$167="whr")*economics!$AI$2:$AI$167*(_xlfn.NORM.DIST(AC$3,economics!$AK$2:$AK$167,economics!$AJ$2:$AJ$167,TRUE)-_xlfn.NORM.DIST(AC$30,economics!$AK$2:$AK$167,economics!$AJ$2:$AJ$167,TRUE))*economics!$AM$2:$AM$167))/(SUMPRODUCT((economics!$AG$2:$AG$167=$B39)*(economics!$D$2:$D$167="whr")*economics!$AI$2:$AI$167*(_xlfn.NORM.DIST(AC$3,economics!$AK$2:$AK$167,economics!$AJ$2:$AJ$167,TRUE)-_xlfn.NORM.DIST(AC$30,economics!$AK$2:$AK$167,economics!$AJ$2:$AJ$167,TRUE)))),"")</f>
        <v/>
      </c>
      <c r="AD39">
        <f t="array" ref="AD39">IFERROR((SUMPRODUCT((economics!$AG$2:$AG$167=$B39)*(economics!$D$2:$D$167="whr")*economics!$AI$2:$AI$167*(_xlfn.NORM.DIST(AD$3,economics!$AK$2:$AK$167,economics!$AJ$2:$AJ$167,TRUE)-_xlfn.NORM.DIST(AD$30,economics!$AK$2:$AK$167,economics!$AJ$2:$AJ$167,TRUE))*economics!$AM$2:$AM$167))/(SUMPRODUCT((economics!$AG$2:$AG$167=$B39)*(economics!$D$2:$D$167="whr")*economics!$AI$2:$AI$167*(_xlfn.NORM.DIST(AD$3,economics!$AK$2:$AK$167,economics!$AJ$2:$AJ$167,TRUE)-_xlfn.NORM.DIST(AD$30,economics!$AK$2:$AK$167,economics!$AJ$2:$AJ$167,TRUE)))),"")</f>
        <v/>
      </c>
      <c r="AE39">
        <f t="array" ref="AE39">IFERROR((SUMPRODUCT((economics!$AG$2:$AG$167=$B39)*(economics!$D$2:$D$167="whr")*economics!$AI$2:$AI$167*(_xlfn.NORM.DIST(AE$3,economics!$AK$2:$AK$167,economics!$AJ$2:$AJ$167,TRUE)-_xlfn.NORM.DIST(AE$30,economics!$AK$2:$AK$167,economics!$AJ$2:$AJ$167,TRUE))*economics!$AM$2:$AM$167))/(SUMPRODUCT((economics!$AG$2:$AG$167=$B39)*(economics!$D$2:$D$167="whr")*economics!$AI$2:$AI$167*(_xlfn.NORM.DIST(AE$3,economics!$AK$2:$AK$167,economics!$AJ$2:$AJ$167,TRUE)-_xlfn.NORM.DIST(AE$30,economics!$AK$2:$AK$167,economics!$AJ$2:$AJ$167,TRUE)))),"")</f>
        <v/>
      </c>
      <c r="AF39">
        <f t="array" ref="AF39">IFERROR((SUMPRODUCT((economics!$AG$2:$AG$167=$B39)*(economics!$D$2:$D$167="whr")*economics!$AI$2:$AI$167*(_xlfn.NORM.DIST(AF$3,economics!$AK$2:$AK$167,economics!$AJ$2:$AJ$167,TRUE)-_xlfn.NORM.DIST(AF$30,economics!$AK$2:$AK$167,economics!$AJ$2:$AJ$167,TRUE))*economics!$AM$2:$AM$167))/(SUMPRODUCT((economics!$AG$2:$AG$167=$B39)*(economics!$D$2:$D$167="whr")*economics!$AI$2:$AI$167*(_xlfn.NORM.DIST(AF$3,economics!$AK$2:$AK$167,economics!$AJ$2:$AJ$167,TRUE)-_xlfn.NORM.DIST(AF$30,economics!$AK$2:$AK$167,economics!$AJ$2:$AJ$167,TRUE)))),"")</f>
        <v/>
      </c>
      <c r="AG39">
        <f t="array" ref="AG39">IFERROR((SUMPRODUCT((economics!$AG$2:$AG$167=$B39)*(economics!$D$2:$D$167="whr")*economics!$AI$2:$AI$167*(_xlfn.NORM.DIST(AG$3,economics!$AK$2:$AK$167,economics!$AJ$2:$AJ$167,TRUE)-_xlfn.NORM.DIST(AG$30,economics!$AK$2:$AK$167,economics!$AJ$2:$AJ$167,TRUE))*economics!$AM$2:$AM$167))/(SUMPRODUCT((economics!$AG$2:$AG$167=$B39)*(economics!$D$2:$D$167="whr")*economics!$AI$2:$AI$167*(_xlfn.NORM.DIST(AG$3,economics!$AK$2:$AK$167,economics!$AJ$2:$AJ$167,TRUE)-_xlfn.NORM.DIST(AG$30,economics!$AK$2:$AK$167,economics!$AJ$2:$AJ$167,TRUE)))),"")</f>
        <v/>
      </c>
      <c r="AH39">
        <f t="array" ref="AH39">IFERROR((SUMPRODUCT((economics!$AG$2:$AG$167=$B39)*(economics!$D$2:$D$167="whr")*economics!$AI$2:$AI$167*(_xlfn.NORM.DIST(AH$3,economics!$AK$2:$AK$167,economics!$AJ$2:$AJ$167,TRUE)-_xlfn.NORM.DIST(AH$30,economics!$AK$2:$AK$167,economics!$AJ$2:$AJ$167,TRUE))*economics!$AM$2:$AM$167))/(SUMPRODUCT((economics!$AG$2:$AG$167=$B39)*(economics!$D$2:$D$167="whr")*economics!$AI$2:$AI$167*(_xlfn.NORM.DIST(AH$3,economics!$AK$2:$AK$167,economics!$AJ$2:$AJ$167,TRUE)-_xlfn.NORM.DIST(AH$30,economics!$AK$2:$AK$167,economics!$AJ$2:$AJ$167,TRUE)))),"")</f>
        <v/>
      </c>
      <c r="AI39">
        <f t="array" ref="AI39">IFERROR((SUMPRODUCT((economics!$AG$2:$AG$167=$B39)*(economics!$D$2:$D$167="whr")*economics!$AI$2:$AI$167*(_xlfn.NORM.DIST(AI$3,economics!$AK$2:$AK$167,economics!$AJ$2:$AJ$167,TRUE)-_xlfn.NORM.DIST(AI$30,economics!$AK$2:$AK$167,economics!$AJ$2:$AJ$167,TRUE))*economics!$AM$2:$AM$167))/(SUMPRODUCT((economics!$AG$2:$AG$167=$B39)*(economics!$D$2:$D$167="whr")*economics!$AI$2:$AI$167*(_xlfn.NORM.DIST(AI$3,economics!$AK$2:$AK$167,economics!$AJ$2:$AJ$167,TRUE)-_xlfn.NORM.DIST(AI$30,economics!$AK$2:$AK$167,economics!$AJ$2:$AJ$167,TRUE)))),"")</f>
        <v/>
      </c>
      <c r="AJ39">
        <f t="array" ref="AJ39">IFERROR((SUMPRODUCT((economics!$AG$2:$AG$167=$B39)*(economics!$D$2:$D$167="whr")*economics!$AI$2:$AI$167*(_xlfn.NORM.DIST(AJ$3,economics!$AK$2:$AK$167,economics!$AJ$2:$AJ$167,TRUE)-_xlfn.NORM.DIST(AJ$30,economics!$AK$2:$AK$167,economics!$AJ$2:$AJ$167,TRUE))*economics!$AM$2:$AM$167))/(SUMPRODUCT((economics!$AG$2:$AG$167=$B39)*(economics!$D$2:$D$167="whr")*economics!$AI$2:$AI$167*(_xlfn.NORM.DIST(AJ$3,economics!$AK$2:$AK$167,economics!$AJ$2:$AJ$167,TRUE)-_xlfn.NORM.DIST(AJ$30,economics!$AK$2:$AK$167,economics!$AJ$2:$AJ$167,TRUE)))),"")</f>
        <v/>
      </c>
      <c r="AK39">
        <f t="array" ref="AK39">IFERROR((SUMPRODUCT((economics!$AG$2:$AG$167=$B39)*(economics!$D$2:$D$167="whr")*economics!$AI$2:$AI$167*(_xlfn.NORM.DIST(AK$3,economics!$AK$2:$AK$167,economics!$AJ$2:$AJ$167,TRUE)-_xlfn.NORM.DIST(AK$30,economics!$AK$2:$AK$167,economics!$AJ$2:$AJ$167,TRUE))*economics!$AM$2:$AM$167))/(SUMPRODUCT((economics!$AG$2:$AG$167=$B39)*(economics!$D$2:$D$167="whr")*economics!$AI$2:$AI$167*(_xlfn.NORM.DIST(AK$3,economics!$AK$2:$AK$167,economics!$AJ$2:$AJ$167,TRUE)-_xlfn.NORM.DIST(AK$30,economics!$AK$2:$AK$167,economics!$AJ$2:$AJ$167,TRUE)))),"")</f>
        <v/>
      </c>
      <c r="AL39">
        <f t="array" ref="AL39">IFERROR((SUMPRODUCT((economics!$AG$2:$AG$167=$B39)*(economics!$D$2:$D$167="whr")*economics!$AI$2:$AI$167*(_xlfn.NORM.DIST(AL$3,economics!$AK$2:$AK$167,economics!$AJ$2:$AJ$167,TRUE)-_xlfn.NORM.DIST(AL$30,economics!$AK$2:$AK$167,economics!$AJ$2:$AJ$167,TRUE))*economics!$AM$2:$AM$167))/(SUMPRODUCT((economics!$AG$2:$AG$167=$B39)*(economics!$D$2:$D$167="whr")*economics!$AI$2:$AI$167*(_xlfn.NORM.DIST(AL$3,economics!$AK$2:$AK$167,economics!$AJ$2:$AJ$167,TRUE)-_xlfn.NORM.DIST(AL$30,economics!$AK$2:$AK$167,economics!$AJ$2:$AJ$167,TRUE)))),"")</f>
        <v/>
      </c>
      <c r="AM39">
        <f t="array" ref="AM39">IFERROR((SUMPRODUCT((economics!$AG$2:$AG$167=$B39)*(economics!$D$2:$D$167="whr")*economics!$AI$2:$AI$167*(_xlfn.NORM.DIST(AM$3,economics!$AK$2:$AK$167,economics!$AJ$2:$AJ$167,TRUE)-_xlfn.NORM.DIST(AM$30,economics!$AK$2:$AK$167,economics!$AJ$2:$AJ$167,TRUE))*economics!$AM$2:$AM$167))/(SUMPRODUCT((economics!$AG$2:$AG$167=$B39)*(economics!$D$2:$D$167="whr")*economics!$AI$2:$AI$167*(_xlfn.NORM.DIST(AM$3,economics!$AK$2:$AK$167,economics!$AJ$2:$AJ$167,TRUE)-_xlfn.NORM.DIST(AM$30,economics!$AK$2:$AK$167,economics!$AJ$2:$AJ$167,TRUE)))),"")</f>
        <v/>
      </c>
      <c r="AN39">
        <f t="array" ref="AN39">IFERROR((SUMPRODUCT((economics!$AG$2:$AG$167=$B39)*(economics!$D$2:$D$167="whr")*economics!$AI$2:$AI$167*(_xlfn.NORM.DIST(AN$3,economics!$AK$2:$AK$167,economics!$AJ$2:$AJ$167,TRUE)-_xlfn.NORM.DIST(AN$30,economics!$AK$2:$AK$167,economics!$AJ$2:$AJ$167,TRUE))*economics!$AM$2:$AM$167))/(SUMPRODUCT((economics!$AG$2:$AG$167=$B39)*(economics!$D$2:$D$167="whr")*economics!$AI$2:$AI$167*(_xlfn.NORM.DIST(AN$3,economics!$AK$2:$AK$167,economics!$AJ$2:$AJ$167,TRUE)-_xlfn.NORM.DIST(AN$30,economics!$AK$2:$AK$167,economics!$AJ$2:$AJ$167,TRUE)))),"")</f>
        <v/>
      </c>
      <c r="AO39">
        <f t="array" ref="AO39">IFERROR((SUMPRODUCT((economics!$AG$2:$AG$167=$B39)*(economics!$D$2:$D$167="whr")*economics!$AI$2:$AI$167*(_xlfn.NORM.DIST(AO$3,economics!$AK$2:$AK$167,economics!$AJ$2:$AJ$167,TRUE)-_xlfn.NORM.DIST(AO$30,economics!$AK$2:$AK$167,economics!$AJ$2:$AJ$167,TRUE))*economics!$AM$2:$AM$167))/(SUMPRODUCT((economics!$AG$2:$AG$167=$B39)*(economics!$D$2:$D$167="whr")*economics!$AI$2:$AI$167*(_xlfn.NORM.DIST(AO$3,economics!$AK$2:$AK$167,economics!$AJ$2:$AJ$167,TRUE)-_xlfn.NORM.DIST(AO$30,economics!$AK$2:$AK$167,economics!$AJ$2:$AJ$167,TRUE)))),"")</f>
        <v/>
      </c>
      <c r="AP39">
        <f t="array" ref="AP39">IFERROR((SUMPRODUCT((economics!$AG$2:$AG$167=$B39)*(economics!$D$2:$D$167="whr")*economics!$AI$2:$AI$167*(_xlfn.NORM.DIST(AP$3,economics!$AK$2:$AK$167,economics!$AJ$2:$AJ$167,TRUE)-_xlfn.NORM.DIST(AP$30,economics!$AK$2:$AK$167,economics!$AJ$2:$AJ$167,TRUE))*economics!$AM$2:$AM$167))/(SUMPRODUCT((economics!$AG$2:$AG$167=$B39)*(economics!$D$2:$D$167="whr")*economics!$AI$2:$AI$167*(_xlfn.NORM.DIST(AP$3,economics!$AK$2:$AK$167,economics!$AJ$2:$AJ$167,TRUE)-_xlfn.NORM.DIST(AP$30,economics!$AK$2:$AK$167,economics!$AJ$2:$AJ$167,TRUE)))),"")</f>
        <v/>
      </c>
      <c r="AQ39">
        <f t="array" ref="AQ39">IFERROR((SUMPRODUCT((economics!$AG$2:$AG$167=$B39)*(economics!$D$2:$D$167="whr")*economics!$AI$2:$AI$167*(_xlfn.NORM.DIST(AQ$3,economics!$AK$2:$AK$167,economics!$AJ$2:$AJ$167,TRUE)-_xlfn.NORM.DIST(AQ$30,economics!$AK$2:$AK$167,economics!$AJ$2:$AJ$167,TRUE))*economics!$AM$2:$AM$167))/(SUMPRODUCT((economics!$AG$2:$AG$167=$B39)*(economics!$D$2:$D$167="whr")*economics!$AI$2:$AI$167*(_xlfn.NORM.DIST(AQ$3,economics!$AK$2:$AK$167,economics!$AJ$2:$AJ$167,TRUE)-_xlfn.NORM.DIST(AQ$30,economics!$AK$2:$AK$167,economics!$AJ$2:$AJ$167,TRUE)))),"")</f>
        <v/>
      </c>
      <c r="AR39">
        <f t="array" ref="AR39">IFERROR((SUMPRODUCT((economics!$AG$2:$AG$167=$B39)*(economics!$D$2:$D$167="whr")*economics!$AI$2:$AI$167*(_xlfn.NORM.DIST(AR$3,economics!$AK$2:$AK$167,economics!$AJ$2:$AJ$167,TRUE)-_xlfn.NORM.DIST(AR$30,economics!$AK$2:$AK$167,economics!$AJ$2:$AJ$167,TRUE))*economics!$AM$2:$AM$167))/(SUMPRODUCT((economics!$AG$2:$AG$167=$B39)*(economics!$D$2:$D$167="whr")*economics!$AI$2:$AI$167*(_xlfn.NORM.DIST(AR$3,economics!$AK$2:$AK$167,economics!$AJ$2:$AJ$167,TRUE)-_xlfn.NORM.DIST(AR$30,economics!$AK$2:$AK$167,economics!$AJ$2:$AJ$167,TRUE)))),"")</f>
        <v/>
      </c>
      <c r="AS39">
        <f t="array" ref="AS39">IFERROR((SUMPRODUCT((economics!$AG$2:$AG$167=$B39)*(economics!$D$2:$D$167="whr")*economics!$AI$2:$AI$167*(_xlfn.NORM.DIST(AS$3,economics!$AK$2:$AK$167,economics!$AJ$2:$AJ$167,TRUE)-_xlfn.NORM.DIST(AS$30,economics!$AK$2:$AK$167,economics!$AJ$2:$AJ$167,TRUE))*economics!$AM$2:$AM$167))/(SUMPRODUCT((economics!$AG$2:$AG$167=$B39)*(economics!$D$2:$D$167="whr")*economics!$AI$2:$AI$167*(_xlfn.NORM.DIST(AS$3,economics!$AK$2:$AK$167,economics!$AJ$2:$AJ$167,TRUE)-_xlfn.NORM.DIST(AS$30,economics!$AK$2:$AK$167,economics!$AJ$2:$AJ$167,TRUE)))),"")</f>
        <v/>
      </c>
      <c r="AT39">
        <f t="array" ref="AT39">IFERROR((SUMPRODUCT((economics!$AG$2:$AG$167=$B39)*(economics!$D$2:$D$167="whr")*economics!$AI$2:$AI$167*(_xlfn.NORM.DIST(AT$3,economics!$AK$2:$AK$167,economics!$AJ$2:$AJ$167,TRUE)-_xlfn.NORM.DIST(AT$30,economics!$AK$2:$AK$167,economics!$AJ$2:$AJ$167,TRUE))*economics!$AM$2:$AM$167))/(SUMPRODUCT((economics!$AG$2:$AG$167=$B39)*(economics!$D$2:$D$167="whr")*economics!$AI$2:$AI$167*(_xlfn.NORM.DIST(AT$3,economics!$AK$2:$AK$167,economics!$AJ$2:$AJ$167,TRUE)-_xlfn.NORM.DIST(AT$30,economics!$AK$2:$AK$167,economics!$AJ$2:$AJ$167,TRUE)))),"")</f>
        <v/>
      </c>
      <c r="AU39">
        <f t="array" ref="AU39">IFERROR((SUMPRODUCT((economics!$AG$2:$AG$167=$B39)*(economics!$D$2:$D$167="whr")*economics!$AI$2:$AI$167*(_xlfn.NORM.DIST(AU$3,economics!$AK$2:$AK$167,economics!$AJ$2:$AJ$167,TRUE)-_xlfn.NORM.DIST(AU$30,economics!$AK$2:$AK$167,economics!$AJ$2:$AJ$167,TRUE))*economics!$AM$2:$AM$167))/(SUMPRODUCT((economics!$AG$2:$AG$167=$B39)*(economics!$D$2:$D$167="whr")*economics!$AI$2:$AI$167*(_xlfn.NORM.DIST(AU$3,economics!$AK$2:$AK$167,economics!$AJ$2:$AJ$167,TRUE)-_xlfn.NORM.DIST(AU$30,economics!$AK$2:$AK$167,economics!$AJ$2:$AJ$167,TRUE)))),"")</f>
        <v/>
      </c>
      <c r="AV39">
        <f t="array" ref="AV39">IFERROR((SUMPRODUCT((economics!$AG$2:$AG$167=$B39)*(economics!$D$2:$D$167="whr")*economics!$AI$2:$AI$167*(_xlfn.NORM.DIST(AV$3,economics!$AK$2:$AK$167,economics!$AJ$2:$AJ$167,TRUE)-_xlfn.NORM.DIST(AV$30,economics!$AK$2:$AK$167,economics!$AJ$2:$AJ$167,TRUE))*economics!$AM$2:$AM$167))/(SUMPRODUCT((economics!$AG$2:$AG$167=$B39)*(economics!$D$2:$D$167="whr")*economics!$AI$2:$AI$167*(_xlfn.NORM.DIST(AV$3,economics!$AK$2:$AK$167,economics!$AJ$2:$AJ$167,TRUE)-_xlfn.NORM.DIST(AV$30,economics!$AK$2:$AK$167,economics!$AJ$2:$AJ$167,TRUE)))),"")</f>
        <v/>
      </c>
      <c r="AW39">
        <f t="array" ref="AW39">IFERROR((SUMPRODUCT((economics!$AG$2:$AG$167=$B39)*(economics!$D$2:$D$167="whr")*economics!$AI$2:$AI$167*(_xlfn.NORM.DIST(AW$3,economics!$AK$2:$AK$167,economics!$AJ$2:$AJ$167,TRUE)-_xlfn.NORM.DIST(AW$30,economics!$AK$2:$AK$167,economics!$AJ$2:$AJ$167,TRUE))*economics!$AM$2:$AM$167))/(SUMPRODUCT((economics!$AG$2:$AG$167=$B39)*(economics!$D$2:$D$167="whr")*economics!$AI$2:$AI$167*(_xlfn.NORM.DIST(AW$3,economics!$AK$2:$AK$167,economics!$AJ$2:$AJ$167,TRUE)-_xlfn.NORM.DIST(AW$30,economics!$AK$2:$AK$167,economics!$AJ$2:$AJ$167,TRUE)))),"")</f>
        <v/>
      </c>
      <c r="AX39">
        <f t="array" ref="AX39">IFERROR((SUMPRODUCT((economics!$AG$2:$AG$167=$B39)*(economics!$D$2:$D$167="whr")*economics!$AI$2:$AI$167*(_xlfn.NORM.DIST(AX$3,economics!$AK$2:$AK$167,economics!$AJ$2:$AJ$167,TRUE)-_xlfn.NORM.DIST(AX$30,economics!$AK$2:$AK$167,economics!$AJ$2:$AJ$167,TRUE))*economics!$AM$2:$AM$167))/(SUMPRODUCT((economics!$AG$2:$AG$167=$B39)*(economics!$D$2:$D$167="whr")*economics!$AI$2:$AI$167*(_xlfn.NORM.DIST(AX$3,economics!$AK$2:$AK$167,economics!$AJ$2:$AJ$167,TRUE)-_xlfn.NORM.DIST(AX$30,economics!$AK$2:$AK$167,economics!$AJ$2:$AJ$167,TRUE)))),"")</f>
        <v/>
      </c>
      <c r="AY39">
        <f t="array" ref="AY39">IFERROR((SUMPRODUCT((economics!$AG$2:$AG$167=$B39)*(economics!$D$2:$D$167="whr")*economics!$AI$2:$AI$167*(_xlfn.NORM.DIST(AY$3,economics!$AK$2:$AK$167,economics!$AJ$2:$AJ$167,TRUE)-_xlfn.NORM.DIST(AY$30,economics!$AK$2:$AK$167,economics!$AJ$2:$AJ$167,TRUE))*economics!$AM$2:$AM$167))/(SUMPRODUCT((economics!$AG$2:$AG$167=$B39)*(economics!$D$2:$D$167="whr")*economics!$AI$2:$AI$167*(_xlfn.NORM.DIST(AY$3,economics!$AK$2:$AK$167,economics!$AJ$2:$AJ$167,TRUE)-_xlfn.NORM.DIST(AY$30,economics!$AK$2:$AK$167,economics!$AJ$2:$AJ$167,TRUE)))),"")</f>
        <v/>
      </c>
      <c r="AZ39">
        <f t="array" ref="AZ39">IFERROR((SUMPRODUCT((economics!$AG$2:$AG$167=$B39)*(economics!$D$2:$D$167="whr")*economics!$AI$2:$AI$167*(_xlfn.NORM.DIST(AZ$3,economics!$AK$2:$AK$167,economics!$AJ$2:$AJ$167,TRUE)-_xlfn.NORM.DIST(AZ$30,economics!$AK$2:$AK$167,economics!$AJ$2:$AJ$167,TRUE))*economics!$AM$2:$AM$167))/(SUMPRODUCT((economics!$AG$2:$AG$167=$B39)*(economics!$D$2:$D$167="whr")*economics!$AI$2:$AI$167*(_xlfn.NORM.DIST(AZ$3,economics!$AK$2:$AK$167,economics!$AJ$2:$AJ$167,TRUE)-_xlfn.NORM.DIST(AZ$30,economics!$AK$2:$AK$167,economics!$AJ$2:$AJ$167,TRUE)))),"")</f>
        <v/>
      </c>
      <c r="BA39">
        <f t="array" ref="BA39">IFERROR((SUMPRODUCT((economics!$AG$2:$AG$167=$B39)*(economics!$D$2:$D$167="whr")*economics!$AI$2:$AI$167*(_xlfn.NORM.DIST(BA$3,economics!$AK$2:$AK$167,economics!$AJ$2:$AJ$167,TRUE)-_xlfn.NORM.DIST(BA$30,economics!$AK$2:$AK$167,economics!$AJ$2:$AJ$167,TRUE))*economics!$AM$2:$AM$167))/(SUMPRODUCT((economics!$AG$2:$AG$167=$B39)*(economics!$D$2:$D$167="whr")*economics!$AI$2:$AI$167*(_xlfn.NORM.DIST(BA$3,economics!$AK$2:$AK$167,economics!$AJ$2:$AJ$167,TRUE)-_xlfn.NORM.DIST(BA$30,economics!$AK$2:$AK$167,economics!$AJ$2:$AJ$167,TRUE)))),"")</f>
        <v/>
      </c>
      <c r="BB39">
        <f t="array" ref="BB39">IFERROR((SUMPRODUCT((economics!$AG$2:$AG$167=$B39)*(economics!$D$2:$D$167="whr")*economics!$AI$2:$AI$167*(_xlfn.NORM.DIST(BB$3,economics!$AK$2:$AK$167,economics!$AJ$2:$AJ$167,TRUE)-_xlfn.NORM.DIST(BB$30,economics!$AK$2:$AK$167,economics!$AJ$2:$AJ$167,TRUE))*economics!$AM$2:$AM$167))/(SUMPRODUCT((economics!$AG$2:$AG$167=$B39)*(economics!$D$2:$D$167="whr")*economics!$AI$2:$AI$167*(_xlfn.NORM.DIST(BB$3,economics!$AK$2:$AK$167,economics!$AJ$2:$AJ$167,TRUE)-_xlfn.NORM.DIST(BB$30,economics!$AK$2:$AK$167,economics!$AJ$2:$AJ$167,TRUE)))),"")</f>
        <v/>
      </c>
      <c r="BC39">
        <f t="array" ref="BC39">IFERROR((SUMPRODUCT((economics!$AG$2:$AG$167=$B39)*(economics!$D$2:$D$167="whr")*economics!$AI$2:$AI$167*(_xlfn.NORM.DIST(BC$3,economics!$AK$2:$AK$167,economics!$AJ$2:$AJ$167,TRUE)-_xlfn.NORM.DIST(BC$30,economics!$AK$2:$AK$167,economics!$AJ$2:$AJ$167,TRUE))*economics!$AM$2:$AM$167))/(SUMPRODUCT((economics!$AG$2:$AG$167=$B39)*(economics!$D$2:$D$167="whr")*economics!$AI$2:$AI$167*(_xlfn.NORM.DIST(BC$3,economics!$AK$2:$AK$167,economics!$AJ$2:$AJ$167,TRUE)-_xlfn.NORM.DIST(BC$30,economics!$AK$2:$AK$167,economics!$AJ$2:$AJ$167,TRUE)))),"")</f>
        <v/>
      </c>
      <c r="BD39">
        <f t="array" ref="BD39">IFERROR((SUMPRODUCT((economics!$AG$2:$AG$167=$B39)*(economics!$D$2:$D$167="whr")*economics!$AI$2:$AI$167*(_xlfn.NORM.DIST(BD$3,economics!$AK$2:$AK$167,economics!$AJ$2:$AJ$167,TRUE)-_xlfn.NORM.DIST(BD$30,economics!$AK$2:$AK$167,economics!$AJ$2:$AJ$167,TRUE))*economics!$AM$2:$AM$167))/(SUMPRODUCT((economics!$AG$2:$AG$167=$B39)*(economics!$D$2:$D$167="whr")*economics!$AI$2:$AI$167*(_xlfn.NORM.DIST(BD$3,economics!$AK$2:$AK$167,economics!$AJ$2:$AJ$167,TRUE)-_xlfn.NORM.DIST(BD$30,economics!$AK$2:$AK$167,economics!$AJ$2:$AJ$167,TRUE)))),"")</f>
        <v/>
      </c>
      <c r="BE39">
        <f t="array" ref="BE39">IFERROR((SUMPRODUCT((economics!$AG$2:$AG$167=$B39)*(economics!$D$2:$D$167="whr")*economics!$AI$2:$AI$167*(_xlfn.NORM.DIST(BE$3,economics!$AK$2:$AK$167,economics!$AJ$2:$AJ$167,TRUE)-_xlfn.NORM.DIST(BE$30,economics!$AK$2:$AK$167,economics!$AJ$2:$AJ$167,TRUE))*economics!$AM$2:$AM$167))/(SUMPRODUCT((economics!$AG$2:$AG$167=$B39)*(economics!$D$2:$D$167="whr")*economics!$AI$2:$AI$167*(_xlfn.NORM.DIST(BE$3,economics!$AK$2:$AK$167,economics!$AJ$2:$AJ$167,TRUE)-_xlfn.NORM.DIST(BE$30,economics!$AK$2:$AK$167,economics!$AJ$2:$AJ$167,TRUE)))),"")</f>
        <v/>
      </c>
      <c r="BF39">
        <f t="array" ref="BF39">IFERROR((SUMPRODUCT((economics!$AG$2:$AG$167=$B39)*(economics!$D$2:$D$167="whr")*economics!$AI$2:$AI$167*(_xlfn.NORM.DIST(BF$3,economics!$AK$2:$AK$167,economics!$AJ$2:$AJ$167,TRUE)-_xlfn.NORM.DIST(BF$30,economics!$AK$2:$AK$167,economics!$AJ$2:$AJ$167,TRUE))*economics!$AM$2:$AM$167))/(SUMPRODUCT((economics!$AG$2:$AG$167=$B39)*(economics!$D$2:$D$167="whr")*economics!$AI$2:$AI$167*(_xlfn.NORM.DIST(BF$3,economics!$AK$2:$AK$167,economics!$AJ$2:$AJ$167,TRUE)-_xlfn.NORM.DIST(BF$30,economics!$AK$2:$AK$167,economics!$AJ$2:$AJ$167,TRUE)))),"")</f>
        <v/>
      </c>
      <c r="BG39">
        <f t="array" ref="BG39">IFERROR((SUMPRODUCT((economics!$AG$2:$AG$167=$B39)*(economics!$D$2:$D$167="whr")*economics!$AI$2:$AI$167*(_xlfn.NORM.DIST(BG$3,economics!$AK$2:$AK$167,economics!$AJ$2:$AJ$167,TRUE)-_xlfn.NORM.DIST(BG$30,economics!$AK$2:$AK$167,economics!$AJ$2:$AJ$167,TRUE))*economics!$AM$2:$AM$167))/(SUMPRODUCT((economics!$AG$2:$AG$167=$B39)*(economics!$D$2:$D$167="whr")*economics!$AI$2:$AI$167*(_xlfn.NORM.DIST(BG$3,economics!$AK$2:$AK$167,economics!$AJ$2:$AJ$167,TRUE)-_xlfn.NORM.DIST(BG$30,economics!$AK$2:$AK$167,economics!$AJ$2:$AJ$167,TRUE)))),"")</f>
        <v/>
      </c>
      <c r="BH39">
        <f t="array" ref="BH39">IFERROR((SUMPRODUCT((economics!$AG$2:$AG$167=$B39)*(economics!$D$2:$D$167="whr")*economics!$AI$2:$AI$167*(_xlfn.NORM.DIST(BH$3,economics!$AK$2:$AK$167,economics!$AJ$2:$AJ$167,TRUE)-_xlfn.NORM.DIST(BH$30,economics!$AK$2:$AK$167,economics!$AJ$2:$AJ$167,TRUE))*economics!$AM$2:$AM$167))/(SUMPRODUCT((economics!$AG$2:$AG$167=$B39)*(economics!$D$2:$D$167="whr")*economics!$AI$2:$AI$167*(_xlfn.NORM.DIST(BH$3,economics!$AK$2:$AK$167,economics!$AJ$2:$AJ$167,TRUE)-_xlfn.NORM.DIST(BH$30,economics!$AK$2:$AK$167,economics!$AJ$2:$AJ$167,TRUE)))),"")</f>
        <v/>
      </c>
      <c r="BI39">
        <f t="array" ref="BI39">IFERROR((SUMPRODUCT((economics!$AG$2:$AG$167=$B39)*(economics!$D$2:$D$167="whr")*economics!$AI$2:$AI$167*(_xlfn.NORM.DIST(BI$3,economics!$AK$2:$AK$167,economics!$AJ$2:$AJ$167,TRUE)-_xlfn.NORM.DIST(BI$30,economics!$AK$2:$AK$167,economics!$AJ$2:$AJ$167,TRUE))*economics!$AM$2:$AM$167))/(SUMPRODUCT((economics!$AG$2:$AG$167=$B39)*(economics!$D$2:$D$167="whr")*economics!$AI$2:$AI$167*(_xlfn.NORM.DIST(BI$3,economics!$AK$2:$AK$167,economics!$AJ$2:$AJ$167,TRUE)-_xlfn.NORM.DIST(BI$30,economics!$AK$2:$AK$167,economics!$AJ$2:$AJ$167,TRUE)))),"")</f>
        <v/>
      </c>
      <c r="BJ39">
        <f t="array" ref="BJ39">IFERROR((SUMPRODUCT((economics!$AG$2:$AG$167=$B39)*(economics!$D$2:$D$167="whr")*economics!$AI$2:$AI$167*(_xlfn.NORM.DIST(BJ$3,economics!$AK$2:$AK$167,economics!$AJ$2:$AJ$167,TRUE)-_xlfn.NORM.DIST(BJ$30,economics!$AK$2:$AK$167,economics!$AJ$2:$AJ$167,TRUE))*economics!$AM$2:$AM$167))/(SUMPRODUCT((economics!$AG$2:$AG$167=$B39)*(economics!$D$2:$D$167="whr")*economics!$AI$2:$AI$167*(_xlfn.NORM.DIST(BJ$3,economics!$AK$2:$AK$167,economics!$AJ$2:$AJ$167,TRUE)-_xlfn.NORM.DIST(BJ$30,economics!$AK$2:$AK$167,economics!$AJ$2:$AJ$167,TRUE)))),"")</f>
        <v/>
      </c>
      <c r="BK39">
        <f t="array" ref="BK39">IFERROR((SUMPRODUCT((economics!$AG$2:$AG$167=$B39)*(economics!$D$2:$D$167="whr")*economics!$AI$2:$AI$167*(_xlfn.NORM.DIST(BK$3,economics!$AK$2:$AK$167,economics!$AJ$2:$AJ$167,TRUE)-_xlfn.NORM.DIST(BK$30,economics!$AK$2:$AK$167,economics!$AJ$2:$AJ$167,TRUE))*economics!$AM$2:$AM$167))/(SUMPRODUCT((economics!$AG$2:$AG$167=$B39)*(economics!$D$2:$D$167="whr")*economics!$AI$2:$AI$167*(_xlfn.NORM.DIST(BK$3,economics!$AK$2:$AK$167,economics!$AJ$2:$AJ$167,TRUE)-_xlfn.NORM.DIST(BK$30,economics!$AK$2:$AK$167,economics!$AJ$2:$AJ$167,TRUE)))),"")</f>
        <v/>
      </c>
      <c r="BL39">
        <f t="array" ref="BL39">IFERROR((SUMPRODUCT((economics!$AG$2:$AG$167=$B39)*(economics!$D$2:$D$167="whr")*economics!$AI$2:$AI$167*(_xlfn.NORM.DIST(BL$3,economics!$AK$2:$AK$167,economics!$AJ$2:$AJ$167,TRUE)-_xlfn.NORM.DIST(BL$30,economics!$AK$2:$AK$167,economics!$AJ$2:$AJ$167,TRUE))*economics!$AM$2:$AM$167))/(SUMPRODUCT((economics!$AG$2:$AG$167=$B39)*(economics!$D$2:$D$167="whr")*economics!$AI$2:$AI$167*(_xlfn.NORM.DIST(BL$3,economics!$AK$2:$AK$167,economics!$AJ$2:$AJ$167,TRUE)-_xlfn.NORM.DIST(BL$30,economics!$AK$2:$AK$167,economics!$AJ$2:$AJ$167,TRUE)))),"")</f>
        <v/>
      </c>
      <c r="BM39">
        <f t="array" ref="BM39">IFERROR((SUMPRODUCT((economics!$AG$2:$AG$167=$B39)*(economics!$D$2:$D$167="whr")*economics!$AI$2:$AI$167*(_xlfn.NORM.DIST(BM$3,economics!$AK$2:$AK$167,economics!$AJ$2:$AJ$167,TRUE)-_xlfn.NORM.DIST(BM$30,economics!$AK$2:$AK$167,economics!$AJ$2:$AJ$167,TRUE))*economics!$AM$2:$AM$167))/(SUMPRODUCT((economics!$AG$2:$AG$167=$B39)*(economics!$D$2:$D$167="whr")*economics!$AI$2:$AI$167*(_xlfn.NORM.DIST(BM$3,economics!$AK$2:$AK$167,economics!$AJ$2:$AJ$167,TRUE)-_xlfn.NORM.DIST(BM$30,economics!$AK$2:$AK$167,economics!$AJ$2:$AJ$167,TRUE)))),"")</f>
        <v/>
      </c>
      <c r="BN39">
        <f t="array" ref="BN39">IFERROR((SUMPRODUCT((economics!$AG$2:$AG$167=$B39)*(economics!$D$2:$D$167="whr")*economics!$AI$2:$AI$167*(_xlfn.NORM.DIST(BN$3,economics!$AK$2:$AK$167,economics!$AJ$2:$AJ$167,TRUE)-_xlfn.NORM.DIST(BN$30,economics!$AK$2:$AK$167,economics!$AJ$2:$AJ$167,TRUE))*economics!$AM$2:$AM$167))/(SUMPRODUCT((economics!$AG$2:$AG$167=$B39)*(economics!$D$2:$D$167="whr")*economics!$AI$2:$AI$167*(_xlfn.NORM.DIST(BN$3,economics!$AK$2:$AK$167,economics!$AJ$2:$AJ$167,TRUE)-_xlfn.NORM.DIST(BN$30,economics!$AK$2:$AK$167,economics!$AJ$2:$AJ$167,TRUE)))),"")</f>
        <v/>
      </c>
      <c r="BO39">
        <f t="array" ref="BO39">IFERROR((SUMPRODUCT((economics!$AG$2:$AG$167=$B39)*(economics!$D$2:$D$167="whr")*economics!$AI$2:$AI$167*(_xlfn.NORM.DIST(BO$3,economics!$AK$2:$AK$167,economics!$AJ$2:$AJ$167,TRUE)-_xlfn.NORM.DIST(BO$30,economics!$AK$2:$AK$167,economics!$AJ$2:$AJ$167,TRUE))*economics!$AM$2:$AM$167))/(SUMPRODUCT((economics!$AG$2:$AG$167=$B39)*(economics!$D$2:$D$167="whr")*economics!$AI$2:$AI$167*(_xlfn.NORM.DIST(BO$3,economics!$AK$2:$AK$167,economics!$AJ$2:$AJ$167,TRUE)-_xlfn.NORM.DIST(BO$30,economics!$AK$2:$AK$167,economics!$AJ$2:$AJ$167,TRUE)))),"")</f>
        <v/>
      </c>
      <c r="BP39">
        <f t="array" ref="BP39">IFERROR((SUMPRODUCT((economics!$AG$2:$AG$167=$B39)*(economics!$D$2:$D$167="whr")*economics!$AI$2:$AI$167*(_xlfn.NORM.DIST(BP$3,economics!$AK$2:$AK$167,economics!$AJ$2:$AJ$167,TRUE)-_xlfn.NORM.DIST(BP$30,economics!$AK$2:$AK$167,economics!$AJ$2:$AJ$167,TRUE))*economics!$AM$2:$AM$167))/(SUMPRODUCT((economics!$AG$2:$AG$167=$B39)*(economics!$D$2:$D$167="whr")*economics!$AI$2:$AI$167*(_xlfn.NORM.DIST(BP$3,economics!$AK$2:$AK$167,economics!$AJ$2:$AJ$167,TRUE)-_xlfn.NORM.DIST(BP$30,economics!$AK$2:$AK$167,economics!$AJ$2:$AJ$167,TRUE)))),"")</f>
        <v/>
      </c>
      <c r="BQ39">
        <f t="array" ref="BQ39">IFERROR((SUMPRODUCT((economics!$AG$2:$AG$167=$B39)*(economics!$D$2:$D$167="whr")*economics!$AI$2:$AI$167*(_xlfn.NORM.DIST(BQ$3,economics!$AK$2:$AK$167,economics!$AJ$2:$AJ$167,TRUE)-_xlfn.NORM.DIST(BQ$30,economics!$AK$2:$AK$167,economics!$AJ$2:$AJ$167,TRUE))*economics!$AM$2:$AM$167))/(SUMPRODUCT((economics!$AG$2:$AG$167=$B39)*(economics!$D$2:$D$167="whr")*economics!$AI$2:$AI$167*(_xlfn.NORM.DIST(BQ$3,economics!$AK$2:$AK$167,economics!$AJ$2:$AJ$167,TRUE)-_xlfn.NORM.DIST(BQ$30,economics!$AK$2:$AK$167,economics!$AJ$2:$AJ$167,TRUE)))),"")</f>
        <v/>
      </c>
      <c r="BR39">
        <f t="array" ref="BR39">IFERROR((SUMPRODUCT((economics!$AG$2:$AG$167=$B39)*(economics!$D$2:$D$167="whr")*economics!$AI$2:$AI$167*(_xlfn.NORM.DIST(BR$3,economics!$AK$2:$AK$167,economics!$AJ$2:$AJ$167,TRUE)-_xlfn.NORM.DIST(BR$30,economics!$AK$2:$AK$167,economics!$AJ$2:$AJ$167,TRUE))*economics!$AM$2:$AM$167))/(SUMPRODUCT((economics!$AG$2:$AG$167=$B39)*(economics!$D$2:$D$167="whr")*economics!$AI$2:$AI$167*(_xlfn.NORM.DIST(BR$3,economics!$AK$2:$AK$167,economics!$AJ$2:$AJ$167,TRUE)-_xlfn.NORM.DIST(BR$30,economics!$AK$2:$AK$167,economics!$AJ$2:$AJ$167,TRUE)))),"")</f>
        <v/>
      </c>
      <c r="BS39">
        <f t="array" ref="BS39">IFERROR((SUMPRODUCT((economics!$AG$2:$AG$167=$B39)*(economics!$D$2:$D$167="whr")*economics!$AI$2:$AI$167*(_xlfn.NORM.DIST(BS$3,economics!$AK$2:$AK$167,economics!$AJ$2:$AJ$167,TRUE)-_xlfn.NORM.DIST(BS$30,economics!$AK$2:$AK$167,economics!$AJ$2:$AJ$167,TRUE))*economics!$AM$2:$AM$167))/(SUMPRODUCT((economics!$AG$2:$AG$167=$B39)*(economics!$D$2:$D$167="whr")*economics!$AI$2:$AI$167*(_xlfn.NORM.DIST(BS$3,economics!$AK$2:$AK$167,economics!$AJ$2:$AJ$167,TRUE)-_xlfn.NORM.DIST(BS$30,economics!$AK$2:$AK$167,economics!$AJ$2:$AJ$167,TRUE)))),"")</f>
        <v/>
      </c>
      <c r="BT39">
        <f t="array" ref="BT39">IFERROR((SUMPRODUCT((economics!$AG$2:$AG$167=$B39)*(economics!$D$2:$D$167="whr")*economics!$AI$2:$AI$167*(_xlfn.NORM.DIST(BT$3,economics!$AK$2:$AK$167,economics!$AJ$2:$AJ$167,TRUE)-_xlfn.NORM.DIST(BT$30,economics!$AK$2:$AK$167,economics!$AJ$2:$AJ$167,TRUE))*economics!$AM$2:$AM$167))/(SUMPRODUCT((economics!$AG$2:$AG$167=$B39)*(economics!$D$2:$D$167="whr")*economics!$AI$2:$AI$167*(_xlfn.NORM.DIST(BT$3,economics!$AK$2:$AK$167,economics!$AJ$2:$AJ$167,TRUE)-_xlfn.NORM.DIST(BT$30,economics!$AK$2:$AK$167,economics!$AJ$2:$AJ$167,TRUE)))),"")</f>
        <v/>
      </c>
      <c r="BU39">
        <f t="array" ref="BU39">IFERROR((SUMPRODUCT((economics!$AG$2:$AG$167=$B39)*(economics!$D$2:$D$167="whr")*economics!$AI$2:$AI$167*(_xlfn.NORM.DIST(BU$3,economics!$AK$2:$AK$167,economics!$AJ$2:$AJ$167,TRUE)-_xlfn.NORM.DIST(BU$30,economics!$AK$2:$AK$167,economics!$AJ$2:$AJ$167,TRUE))*economics!$AM$2:$AM$167))/(SUMPRODUCT((economics!$AG$2:$AG$167=$B39)*(economics!$D$2:$D$167="whr")*economics!$AI$2:$AI$167*(_xlfn.NORM.DIST(BU$3,economics!$AK$2:$AK$167,economics!$AJ$2:$AJ$167,TRUE)-_xlfn.NORM.DIST(BU$30,economics!$AK$2:$AK$167,economics!$AJ$2:$AJ$167,TRUE)))),"")</f>
        <v/>
      </c>
      <c r="BV39">
        <f t="array" ref="BV39">IFERROR((SUMPRODUCT((economics!$AG$2:$AG$167=$B39)*(economics!$D$2:$D$167="whr")*economics!$AI$2:$AI$167*(_xlfn.NORM.DIST(BV$3,economics!$AK$2:$AK$167,economics!$AJ$2:$AJ$167,TRUE)-_xlfn.NORM.DIST(BV$30,economics!$AK$2:$AK$167,economics!$AJ$2:$AJ$167,TRUE))*economics!$AM$2:$AM$167))/(SUMPRODUCT((economics!$AG$2:$AG$167=$B39)*(economics!$D$2:$D$167="whr")*economics!$AI$2:$AI$167*(_xlfn.NORM.DIST(BV$3,economics!$AK$2:$AK$167,economics!$AJ$2:$AJ$167,TRUE)-_xlfn.NORM.DIST(BV$30,economics!$AK$2:$AK$167,economics!$AJ$2:$AJ$167,TRUE)))),"")</f>
        <v/>
      </c>
      <c r="BW39">
        <f t="array" ref="BW39">IFERROR((SUMPRODUCT((economics!$AG$2:$AG$167=$B39)*(economics!$D$2:$D$167="whr")*economics!$AI$2:$AI$167*(_xlfn.NORM.DIST(BW$3,economics!$AK$2:$AK$167,economics!$AJ$2:$AJ$167,TRUE)-_xlfn.NORM.DIST(BW$30,economics!$AK$2:$AK$167,economics!$AJ$2:$AJ$167,TRUE))*economics!$AM$2:$AM$167))/(SUMPRODUCT((economics!$AG$2:$AG$167=$B39)*(economics!$D$2:$D$167="whr")*economics!$AI$2:$AI$167*(_xlfn.NORM.DIST(BW$3,economics!$AK$2:$AK$167,economics!$AJ$2:$AJ$167,TRUE)-_xlfn.NORM.DIST(BW$30,economics!$AK$2:$AK$167,economics!$AJ$2:$AJ$167,TRUE)))),"")</f>
        <v/>
      </c>
      <c r="BX39">
        <f t="array" ref="BX39">IFERROR((SUMPRODUCT((economics!$AG$2:$AG$167=$B39)*(economics!$D$2:$D$167="whr")*economics!$AI$2:$AI$167*(_xlfn.NORM.DIST(BX$3,economics!$AK$2:$AK$167,economics!$AJ$2:$AJ$167,TRUE)-_xlfn.NORM.DIST(BX$30,economics!$AK$2:$AK$167,economics!$AJ$2:$AJ$167,TRUE))*economics!$AM$2:$AM$167))/(SUMPRODUCT((economics!$AG$2:$AG$167=$B39)*(economics!$D$2:$D$167="whr")*economics!$AI$2:$AI$167*(_xlfn.NORM.DIST(BX$3,economics!$AK$2:$AK$167,economics!$AJ$2:$AJ$167,TRUE)-_xlfn.NORM.DIST(BX$30,economics!$AK$2:$AK$167,economics!$AJ$2:$AJ$167,TRUE)))),"")</f>
        <v/>
      </c>
      <c r="BY39">
        <f t="array" ref="BY39">IFERROR((SUMPRODUCT((economics!$AG$2:$AG$167=$B39)*(economics!$D$2:$D$167="whr")*economics!$AI$2:$AI$167*(_xlfn.NORM.DIST(BY$3,economics!$AK$2:$AK$167,economics!$AJ$2:$AJ$167,TRUE)-_xlfn.NORM.DIST(BY$30,economics!$AK$2:$AK$167,economics!$AJ$2:$AJ$167,TRUE))*economics!$AM$2:$AM$167))/(SUMPRODUCT((economics!$AG$2:$AG$167=$B39)*(economics!$D$2:$D$167="whr")*economics!$AI$2:$AI$167*(_xlfn.NORM.DIST(BY$3,economics!$AK$2:$AK$167,economics!$AJ$2:$AJ$167,TRUE)-_xlfn.NORM.DIST(BY$30,economics!$AK$2:$AK$167,economics!$AJ$2:$AJ$167,TRUE)))),"")</f>
        <v/>
      </c>
      <c r="BZ39">
        <f t="array" ref="BZ39">IFERROR((SUMPRODUCT((economics!$AG$2:$AG$167=$B39)*(economics!$D$2:$D$167="whr")*economics!$AI$2:$AI$167*(_xlfn.NORM.DIST(BZ$3,economics!$AK$2:$AK$167,economics!$AJ$2:$AJ$167,TRUE)-_xlfn.NORM.DIST(BZ$30,economics!$AK$2:$AK$167,economics!$AJ$2:$AJ$167,TRUE))*economics!$AM$2:$AM$167))/(SUMPRODUCT((economics!$AG$2:$AG$167=$B39)*(economics!$D$2:$D$167="whr")*economics!$AI$2:$AI$167*(_xlfn.NORM.DIST(BZ$3,economics!$AK$2:$AK$167,economics!$AJ$2:$AJ$167,TRUE)-_xlfn.NORM.DIST(BZ$30,economics!$AK$2:$AK$167,economics!$AJ$2:$AJ$167,TRUE)))),"")</f>
        <v/>
      </c>
      <c r="CA39">
        <f t="array" ref="CA39">IFERROR((SUMPRODUCT((economics!$AG$2:$AG$167=$B39)*(economics!$D$2:$D$167="whr")*economics!$AI$2:$AI$167*(_xlfn.NORM.DIST(CA$3,economics!$AK$2:$AK$167,economics!$AJ$2:$AJ$167,TRUE)-_xlfn.NORM.DIST(CA$30,economics!$AK$2:$AK$167,economics!$AJ$2:$AJ$167,TRUE))*economics!$AM$2:$AM$167))/(SUMPRODUCT((economics!$AG$2:$AG$167=$B39)*(economics!$D$2:$D$167="whr")*economics!$AI$2:$AI$167*(_xlfn.NORM.DIST(CA$3,economics!$AK$2:$AK$167,economics!$AJ$2:$AJ$167,TRUE)-_xlfn.NORM.DIST(CA$30,economics!$AK$2:$AK$167,economics!$AJ$2:$AJ$167,TRUE)))),"")</f>
        <v/>
      </c>
      <c r="CB39">
        <f t="array" ref="CB39">IFERROR((SUMPRODUCT((economics!$AG$2:$AG$167=$B39)*(economics!$D$2:$D$167="whr")*economics!$AI$2:$AI$167*(_xlfn.NORM.DIST(CB$3,economics!$AK$2:$AK$167,economics!$AJ$2:$AJ$167,TRUE)-_xlfn.NORM.DIST(CB$30,economics!$AK$2:$AK$167,economics!$AJ$2:$AJ$167,TRUE))*economics!$AM$2:$AM$167))/(SUMPRODUCT((economics!$AG$2:$AG$167=$B39)*(economics!$D$2:$D$167="whr")*economics!$AI$2:$AI$167*(_xlfn.NORM.DIST(CB$3,economics!$AK$2:$AK$167,economics!$AJ$2:$AJ$167,TRUE)-_xlfn.NORM.DIST(CB$30,economics!$AK$2:$AK$167,economics!$AJ$2:$AJ$167,TRUE)))),"")</f>
        <v/>
      </c>
      <c r="CC39">
        <f t="array" ref="CC39">IFERROR((SUMPRODUCT((economics!$AG$2:$AG$167=$B39)*(economics!$D$2:$D$167="whr")*economics!$AI$2:$AI$167*(_xlfn.NORM.DIST(CC$3,economics!$AK$2:$AK$167,economics!$AJ$2:$AJ$167,TRUE)-_xlfn.NORM.DIST(CC$30,economics!$AK$2:$AK$167,economics!$AJ$2:$AJ$167,TRUE))*economics!$AM$2:$AM$167))/(SUMPRODUCT((economics!$AG$2:$AG$167=$B39)*(economics!$D$2:$D$167="whr")*economics!$AI$2:$AI$167*(_xlfn.NORM.DIST(CC$3,economics!$AK$2:$AK$167,economics!$AJ$2:$AJ$167,TRUE)-_xlfn.NORM.DIST(CC$30,economics!$AK$2:$AK$167,economics!$AJ$2:$AJ$167,TRUE)))),"")</f>
        <v/>
      </c>
      <c r="CD39">
        <f t="array" ref="CD39">IFERROR((SUMPRODUCT((economics!$AG$2:$AG$167=$B39)*(economics!$D$2:$D$167="whr")*economics!$AI$2:$AI$167*(_xlfn.NORM.DIST(CD$3,economics!$AK$2:$AK$167,economics!$AJ$2:$AJ$167,TRUE)-_xlfn.NORM.DIST(CD$30,economics!$AK$2:$AK$167,economics!$AJ$2:$AJ$167,TRUE))*economics!$AM$2:$AM$167))/(SUMPRODUCT((economics!$AG$2:$AG$167=$B39)*(economics!$D$2:$D$167="whr")*economics!$AI$2:$AI$167*(_xlfn.NORM.DIST(CD$3,economics!$AK$2:$AK$167,economics!$AJ$2:$AJ$167,TRUE)-_xlfn.NORM.DIST(CD$30,economics!$AK$2:$AK$167,economics!$AJ$2:$AJ$167,TRUE)))),"")</f>
        <v/>
      </c>
      <c r="CE39">
        <f t="array" ref="CE39">IFERROR((SUMPRODUCT((economics!$AG$2:$AG$167=$B39)*(economics!$D$2:$D$167="whr")*economics!$AI$2:$AI$167*(_xlfn.NORM.DIST(CE$3,economics!$AK$2:$AK$167,economics!$AJ$2:$AJ$167,TRUE)-_xlfn.NORM.DIST(CE$30,economics!$AK$2:$AK$167,economics!$AJ$2:$AJ$167,TRUE))*economics!$AM$2:$AM$167))/(SUMPRODUCT((economics!$AG$2:$AG$167=$B39)*(economics!$D$2:$D$167="whr")*economics!$AI$2:$AI$167*(_xlfn.NORM.DIST(CE$3,economics!$AK$2:$AK$167,economics!$AJ$2:$AJ$167,TRUE)-_xlfn.NORM.DIST(CE$30,economics!$AK$2:$AK$167,economics!$AJ$2:$AJ$167,TRUE)))),"")</f>
        <v/>
      </c>
      <c r="CF39">
        <f t="array" ref="CF39">IFERROR((SUMPRODUCT((economics!$AG$2:$AG$167=$B39)*(economics!$D$2:$D$167="whr")*economics!$AI$2:$AI$167*(_xlfn.NORM.DIST(CF$3,economics!$AK$2:$AK$167,economics!$AJ$2:$AJ$167,TRUE)-_xlfn.NORM.DIST(CF$30,economics!$AK$2:$AK$167,economics!$AJ$2:$AJ$167,TRUE))*economics!$AM$2:$AM$167))/(SUMPRODUCT((economics!$AG$2:$AG$167=$B39)*(economics!$D$2:$D$167="whr")*economics!$AI$2:$AI$167*(_xlfn.NORM.DIST(CF$3,economics!$AK$2:$AK$167,economics!$AJ$2:$AJ$167,TRUE)-_xlfn.NORM.DIST(CF$30,economics!$AK$2:$AK$167,economics!$AJ$2:$AJ$167,TRUE)))),"")</f>
        <v/>
      </c>
      <c r="CG39">
        <f t="array" ref="CG39">IFERROR((SUMPRODUCT((economics!$AG$2:$AG$167=$B39)*(economics!$D$2:$D$167="whr")*economics!$AI$2:$AI$167*(_xlfn.NORM.DIST(CG$3,economics!$AK$2:$AK$167,economics!$AJ$2:$AJ$167,TRUE)-_xlfn.NORM.DIST(CG$30,economics!$AK$2:$AK$167,economics!$AJ$2:$AJ$167,TRUE))*economics!$AM$2:$AM$167))/(SUMPRODUCT((economics!$AG$2:$AG$167=$B39)*(economics!$D$2:$D$167="whr")*economics!$AI$2:$AI$167*(_xlfn.NORM.DIST(CG$3,economics!$AK$2:$AK$167,economics!$AJ$2:$AJ$167,TRUE)-_xlfn.NORM.DIST(CG$30,economics!$AK$2:$AK$167,economics!$AJ$2:$AJ$167,TRUE)))),"")</f>
        <v/>
      </c>
      <c r="CH39">
        <f t="array" ref="CH39">IFERROR((SUMPRODUCT((economics!$AG$2:$AG$167=$B39)*(economics!$D$2:$D$167="whr")*economics!$AI$2:$AI$167*(_xlfn.NORM.DIST(CH$3,economics!$AK$2:$AK$167,economics!$AJ$2:$AJ$167,TRUE)-_xlfn.NORM.DIST(CH$30,economics!$AK$2:$AK$167,economics!$AJ$2:$AJ$167,TRUE))*economics!$AM$2:$AM$167))/(SUMPRODUCT((economics!$AG$2:$AG$167=$B39)*(economics!$D$2:$D$167="whr")*economics!$AI$2:$AI$167*(_xlfn.NORM.DIST(CH$3,economics!$AK$2:$AK$167,economics!$AJ$2:$AJ$167,TRUE)-_xlfn.NORM.DIST(CH$30,economics!$AK$2:$AK$167,economics!$AJ$2:$AJ$167,TRUE)))),"")</f>
        <v/>
      </c>
    </row>
    <row r="40">
      <c r="A40">
        <f>A11</f>
        <v/>
      </c>
      <c r="B40">
        <f>B11</f>
        <v/>
      </c>
      <c r="E40">
        <f t="array" ref="E40">IFERROR((SUMPRODUCT((economics!$AG$2:$AG$167=$B40)*(economics!$D$2:$D$167="whr")*economics!$AI$2:$AI$167*(_xlfn.NORM.DIST(E$3,economics!$AK$2:$AK$167,economics!$AJ$2:$AJ$167,TRUE)-_xlfn.NORM.DIST(E$30,economics!$AK$2:$AK$167,economics!$AJ$2:$AJ$167,TRUE))*economics!$AM$2:$AM$167))/(SUMPRODUCT((economics!$AG$2:$AG$167=$B40)*(economics!$D$2:$D$167="whr")*economics!$AI$2:$AI$167*(_xlfn.NORM.DIST(E$3,economics!$AK$2:$AK$167,economics!$AJ$2:$AJ$167,TRUE)-_xlfn.NORM.DIST(E$30,economics!$AK$2:$AK$167,economics!$AJ$2:$AJ$167,TRUE)))),"")</f>
        <v/>
      </c>
      <c r="F40">
        <f t="array" ref="F40">IFERROR((SUMPRODUCT((economics!$AG$2:$AG$167=$B40)*(economics!$D$2:$D$167="whr")*economics!$AI$2:$AI$167*(_xlfn.NORM.DIST(F$3,economics!$AK$2:$AK$167,economics!$AJ$2:$AJ$167,TRUE)-_xlfn.NORM.DIST(F$30,economics!$AK$2:$AK$167,economics!$AJ$2:$AJ$167,TRUE))*economics!$AM$2:$AM$167))/(SUMPRODUCT((economics!$AG$2:$AG$167=$B40)*(economics!$D$2:$D$167="whr")*economics!$AI$2:$AI$167*(_xlfn.NORM.DIST(F$3,economics!$AK$2:$AK$167,economics!$AJ$2:$AJ$167,TRUE)-_xlfn.NORM.DIST(F$30,economics!$AK$2:$AK$167,economics!$AJ$2:$AJ$167,TRUE)))),"")</f>
        <v/>
      </c>
      <c r="G40">
        <f t="array" ref="G40">IFERROR((SUMPRODUCT((economics!$AG$2:$AG$167=$B40)*(economics!$D$2:$D$167="whr")*economics!$AI$2:$AI$167*(_xlfn.NORM.DIST(G$3,economics!$AK$2:$AK$167,economics!$AJ$2:$AJ$167,TRUE)-_xlfn.NORM.DIST(G$30,economics!$AK$2:$AK$167,economics!$AJ$2:$AJ$167,TRUE))*economics!$AM$2:$AM$167))/(SUMPRODUCT((economics!$AG$2:$AG$167=$B40)*(economics!$D$2:$D$167="whr")*economics!$AI$2:$AI$167*(_xlfn.NORM.DIST(G$3,economics!$AK$2:$AK$167,economics!$AJ$2:$AJ$167,TRUE)-_xlfn.NORM.DIST(G$30,economics!$AK$2:$AK$167,economics!$AJ$2:$AJ$167,TRUE)))),"")</f>
        <v/>
      </c>
      <c r="H40">
        <f t="array" ref="H40">IFERROR((SUMPRODUCT((economics!$AG$2:$AG$167=$B40)*(economics!$D$2:$D$167="whr")*economics!$AI$2:$AI$167*(_xlfn.NORM.DIST(H$3,economics!$AK$2:$AK$167,economics!$AJ$2:$AJ$167,TRUE)-_xlfn.NORM.DIST(H$30,economics!$AK$2:$AK$167,economics!$AJ$2:$AJ$167,TRUE))*economics!$AM$2:$AM$167))/(SUMPRODUCT((economics!$AG$2:$AG$167=$B40)*(economics!$D$2:$D$167="whr")*economics!$AI$2:$AI$167*(_xlfn.NORM.DIST(H$3,economics!$AK$2:$AK$167,economics!$AJ$2:$AJ$167,TRUE)-_xlfn.NORM.DIST(H$30,economics!$AK$2:$AK$167,economics!$AJ$2:$AJ$167,TRUE)))),"")</f>
        <v/>
      </c>
      <c r="I40">
        <f t="array" ref="I40">IFERROR((SUMPRODUCT((economics!$AG$2:$AG$167=$B40)*(economics!$D$2:$D$167="whr")*economics!$AI$2:$AI$167*(_xlfn.NORM.DIST(I$3,economics!$AK$2:$AK$167,economics!$AJ$2:$AJ$167,TRUE)-_xlfn.NORM.DIST(I$30,economics!$AK$2:$AK$167,economics!$AJ$2:$AJ$167,TRUE))*economics!$AM$2:$AM$167))/(SUMPRODUCT((economics!$AG$2:$AG$167=$B40)*(economics!$D$2:$D$167="whr")*economics!$AI$2:$AI$167*(_xlfn.NORM.DIST(I$3,economics!$AK$2:$AK$167,economics!$AJ$2:$AJ$167,TRUE)-_xlfn.NORM.DIST(I$30,economics!$AK$2:$AK$167,economics!$AJ$2:$AJ$167,TRUE)))),"")</f>
        <v/>
      </c>
      <c r="J40">
        <f t="array" ref="J40">IFERROR((SUMPRODUCT((economics!$AG$2:$AG$167=$B40)*(economics!$D$2:$D$167="whr")*economics!$AI$2:$AI$167*(_xlfn.NORM.DIST(J$3,economics!$AK$2:$AK$167,economics!$AJ$2:$AJ$167,TRUE)-_xlfn.NORM.DIST(J$30,economics!$AK$2:$AK$167,economics!$AJ$2:$AJ$167,TRUE))*economics!$AM$2:$AM$167))/(SUMPRODUCT((economics!$AG$2:$AG$167=$B40)*(economics!$D$2:$D$167="whr")*economics!$AI$2:$AI$167*(_xlfn.NORM.DIST(J$3,economics!$AK$2:$AK$167,economics!$AJ$2:$AJ$167,TRUE)-_xlfn.NORM.DIST(J$30,economics!$AK$2:$AK$167,economics!$AJ$2:$AJ$167,TRUE)))),"")</f>
        <v/>
      </c>
      <c r="K40">
        <f t="array" ref="K40">IFERROR((SUMPRODUCT((economics!$AG$2:$AG$167=$B40)*(economics!$D$2:$D$167="whr")*economics!$AI$2:$AI$167*(_xlfn.NORM.DIST(K$3,economics!$AK$2:$AK$167,economics!$AJ$2:$AJ$167,TRUE)-_xlfn.NORM.DIST(K$30,economics!$AK$2:$AK$167,economics!$AJ$2:$AJ$167,TRUE))*economics!$AM$2:$AM$167))/(SUMPRODUCT((economics!$AG$2:$AG$167=$B40)*(economics!$D$2:$D$167="whr")*economics!$AI$2:$AI$167*(_xlfn.NORM.DIST(K$3,economics!$AK$2:$AK$167,economics!$AJ$2:$AJ$167,TRUE)-_xlfn.NORM.DIST(K$30,economics!$AK$2:$AK$167,economics!$AJ$2:$AJ$167,TRUE)))),"")</f>
        <v/>
      </c>
      <c r="L40">
        <f t="array" ref="L40">IFERROR((SUMPRODUCT((economics!$AG$2:$AG$167=$B40)*(economics!$D$2:$D$167="whr")*economics!$AI$2:$AI$167*(_xlfn.NORM.DIST(L$3,economics!$AK$2:$AK$167,economics!$AJ$2:$AJ$167,TRUE)-_xlfn.NORM.DIST(L$30,economics!$AK$2:$AK$167,economics!$AJ$2:$AJ$167,TRUE))*economics!$AM$2:$AM$167))/(SUMPRODUCT((economics!$AG$2:$AG$167=$B40)*(economics!$D$2:$D$167="whr")*economics!$AI$2:$AI$167*(_xlfn.NORM.DIST(L$3,economics!$AK$2:$AK$167,economics!$AJ$2:$AJ$167,TRUE)-_xlfn.NORM.DIST(L$30,economics!$AK$2:$AK$167,economics!$AJ$2:$AJ$167,TRUE)))),"")</f>
        <v/>
      </c>
      <c r="M40">
        <f t="array" ref="M40">IFERROR((SUMPRODUCT((economics!$AG$2:$AG$167=$B40)*(economics!$D$2:$D$167="whr")*economics!$AI$2:$AI$167*(_xlfn.NORM.DIST(M$3,economics!$AK$2:$AK$167,economics!$AJ$2:$AJ$167,TRUE)-_xlfn.NORM.DIST(M$30,economics!$AK$2:$AK$167,economics!$AJ$2:$AJ$167,TRUE))*economics!$AM$2:$AM$167))/(SUMPRODUCT((economics!$AG$2:$AG$167=$B40)*(economics!$D$2:$D$167="whr")*economics!$AI$2:$AI$167*(_xlfn.NORM.DIST(M$3,economics!$AK$2:$AK$167,economics!$AJ$2:$AJ$167,TRUE)-_xlfn.NORM.DIST(M$30,economics!$AK$2:$AK$167,economics!$AJ$2:$AJ$167,TRUE)))),"")</f>
        <v/>
      </c>
      <c r="N40">
        <f t="array" ref="N40">IFERROR((SUMPRODUCT((economics!$AG$2:$AG$167=$B40)*(economics!$D$2:$D$167="whr")*economics!$AI$2:$AI$167*(_xlfn.NORM.DIST(N$3,economics!$AK$2:$AK$167,economics!$AJ$2:$AJ$167,TRUE)-_xlfn.NORM.DIST(N$30,economics!$AK$2:$AK$167,economics!$AJ$2:$AJ$167,TRUE))*economics!$AM$2:$AM$167))/(SUMPRODUCT((economics!$AG$2:$AG$167=$B40)*(economics!$D$2:$D$167="whr")*economics!$AI$2:$AI$167*(_xlfn.NORM.DIST(N$3,economics!$AK$2:$AK$167,economics!$AJ$2:$AJ$167,TRUE)-_xlfn.NORM.DIST(N$30,economics!$AK$2:$AK$167,economics!$AJ$2:$AJ$167,TRUE)))),"")</f>
        <v/>
      </c>
      <c r="O40">
        <f t="array" ref="O40">IFERROR((SUMPRODUCT((economics!$AG$2:$AG$167=$B40)*(economics!$D$2:$D$167="whr")*economics!$AI$2:$AI$167*(_xlfn.NORM.DIST(O$3,economics!$AK$2:$AK$167,economics!$AJ$2:$AJ$167,TRUE)-_xlfn.NORM.DIST(O$30,economics!$AK$2:$AK$167,economics!$AJ$2:$AJ$167,TRUE))*economics!$AM$2:$AM$167))/(SUMPRODUCT((economics!$AG$2:$AG$167=$B40)*(economics!$D$2:$D$167="whr")*economics!$AI$2:$AI$167*(_xlfn.NORM.DIST(O$3,economics!$AK$2:$AK$167,economics!$AJ$2:$AJ$167,TRUE)-_xlfn.NORM.DIST(O$30,economics!$AK$2:$AK$167,economics!$AJ$2:$AJ$167,TRUE)))),"")</f>
        <v/>
      </c>
      <c r="P40">
        <f t="array" ref="P40">IFERROR((SUMPRODUCT((economics!$AG$2:$AG$167=$B40)*(economics!$D$2:$D$167="whr")*economics!$AI$2:$AI$167*(_xlfn.NORM.DIST(P$3,economics!$AK$2:$AK$167,economics!$AJ$2:$AJ$167,TRUE)-_xlfn.NORM.DIST(P$30,economics!$AK$2:$AK$167,economics!$AJ$2:$AJ$167,TRUE))*economics!$AM$2:$AM$167))/(SUMPRODUCT((economics!$AG$2:$AG$167=$B40)*(economics!$D$2:$D$167="whr")*economics!$AI$2:$AI$167*(_xlfn.NORM.DIST(P$3,economics!$AK$2:$AK$167,economics!$AJ$2:$AJ$167,TRUE)-_xlfn.NORM.DIST(P$30,economics!$AK$2:$AK$167,economics!$AJ$2:$AJ$167,TRUE)))),"")</f>
        <v/>
      </c>
      <c r="Q40">
        <f t="array" ref="Q40">IFERROR((SUMPRODUCT((economics!$AG$2:$AG$167=$B40)*(economics!$D$2:$D$167="whr")*economics!$AI$2:$AI$167*(_xlfn.NORM.DIST(Q$3,economics!$AK$2:$AK$167,economics!$AJ$2:$AJ$167,TRUE)-_xlfn.NORM.DIST(Q$30,economics!$AK$2:$AK$167,economics!$AJ$2:$AJ$167,TRUE))*economics!$AM$2:$AM$167))/(SUMPRODUCT((economics!$AG$2:$AG$167=$B40)*(economics!$D$2:$D$167="whr")*economics!$AI$2:$AI$167*(_xlfn.NORM.DIST(Q$3,economics!$AK$2:$AK$167,economics!$AJ$2:$AJ$167,TRUE)-_xlfn.NORM.DIST(Q$30,economics!$AK$2:$AK$167,economics!$AJ$2:$AJ$167,TRUE)))),"")</f>
        <v/>
      </c>
      <c r="R40">
        <f t="array" ref="R40">IFERROR((SUMPRODUCT((economics!$AG$2:$AG$167=$B40)*(economics!$D$2:$D$167="whr")*economics!$AI$2:$AI$167*(_xlfn.NORM.DIST(R$3,economics!$AK$2:$AK$167,economics!$AJ$2:$AJ$167,TRUE)-_xlfn.NORM.DIST(R$30,economics!$AK$2:$AK$167,economics!$AJ$2:$AJ$167,TRUE))*economics!$AM$2:$AM$167))/(SUMPRODUCT((economics!$AG$2:$AG$167=$B40)*(economics!$D$2:$D$167="whr")*economics!$AI$2:$AI$167*(_xlfn.NORM.DIST(R$3,economics!$AK$2:$AK$167,economics!$AJ$2:$AJ$167,TRUE)-_xlfn.NORM.DIST(R$30,economics!$AK$2:$AK$167,economics!$AJ$2:$AJ$167,TRUE)))),"")</f>
        <v/>
      </c>
      <c r="S40">
        <f t="array" ref="S40">IFERROR((SUMPRODUCT((economics!$AG$2:$AG$167=$B40)*(economics!$D$2:$D$167="whr")*economics!$AI$2:$AI$167*(_xlfn.NORM.DIST(S$3,economics!$AK$2:$AK$167,economics!$AJ$2:$AJ$167,TRUE)-_xlfn.NORM.DIST(S$30,economics!$AK$2:$AK$167,economics!$AJ$2:$AJ$167,TRUE))*economics!$AM$2:$AM$167))/(SUMPRODUCT((economics!$AG$2:$AG$167=$B40)*(economics!$D$2:$D$167="whr")*economics!$AI$2:$AI$167*(_xlfn.NORM.DIST(S$3,economics!$AK$2:$AK$167,economics!$AJ$2:$AJ$167,TRUE)-_xlfn.NORM.DIST(S$30,economics!$AK$2:$AK$167,economics!$AJ$2:$AJ$167,TRUE)))),"")</f>
        <v/>
      </c>
      <c r="T40">
        <f t="array" ref="T40">IFERROR((SUMPRODUCT((economics!$AG$2:$AG$167=$B40)*(economics!$D$2:$D$167="whr")*economics!$AI$2:$AI$167*(_xlfn.NORM.DIST(T$3,economics!$AK$2:$AK$167,economics!$AJ$2:$AJ$167,TRUE)-_xlfn.NORM.DIST(T$30,economics!$AK$2:$AK$167,economics!$AJ$2:$AJ$167,TRUE))*economics!$AM$2:$AM$167))/(SUMPRODUCT((economics!$AG$2:$AG$167=$B40)*(economics!$D$2:$D$167="whr")*economics!$AI$2:$AI$167*(_xlfn.NORM.DIST(T$3,economics!$AK$2:$AK$167,economics!$AJ$2:$AJ$167,TRUE)-_xlfn.NORM.DIST(T$30,economics!$AK$2:$AK$167,economics!$AJ$2:$AJ$167,TRUE)))),"")</f>
        <v/>
      </c>
      <c r="U40">
        <f t="array" ref="U40">IFERROR((SUMPRODUCT((economics!$AG$2:$AG$167=$B40)*(economics!$D$2:$D$167="whr")*economics!$AI$2:$AI$167*(_xlfn.NORM.DIST(U$3,economics!$AK$2:$AK$167,economics!$AJ$2:$AJ$167,TRUE)-_xlfn.NORM.DIST(U$30,economics!$AK$2:$AK$167,economics!$AJ$2:$AJ$167,TRUE))*economics!$AM$2:$AM$167))/(SUMPRODUCT((economics!$AG$2:$AG$167=$B40)*(economics!$D$2:$D$167="whr")*economics!$AI$2:$AI$167*(_xlfn.NORM.DIST(U$3,economics!$AK$2:$AK$167,economics!$AJ$2:$AJ$167,TRUE)-_xlfn.NORM.DIST(U$30,economics!$AK$2:$AK$167,economics!$AJ$2:$AJ$167,TRUE)))),"")</f>
        <v/>
      </c>
      <c r="V40">
        <f t="array" ref="V40">IFERROR((SUMPRODUCT((economics!$AG$2:$AG$167=$B40)*(economics!$D$2:$D$167="whr")*economics!$AI$2:$AI$167*(_xlfn.NORM.DIST(V$3,economics!$AK$2:$AK$167,economics!$AJ$2:$AJ$167,TRUE)-_xlfn.NORM.DIST(V$30,economics!$AK$2:$AK$167,economics!$AJ$2:$AJ$167,TRUE))*economics!$AM$2:$AM$167))/(SUMPRODUCT((economics!$AG$2:$AG$167=$B40)*(economics!$D$2:$D$167="whr")*economics!$AI$2:$AI$167*(_xlfn.NORM.DIST(V$3,economics!$AK$2:$AK$167,economics!$AJ$2:$AJ$167,TRUE)-_xlfn.NORM.DIST(V$30,economics!$AK$2:$AK$167,economics!$AJ$2:$AJ$167,TRUE)))),"")</f>
        <v/>
      </c>
      <c r="W40">
        <f t="array" ref="W40">IFERROR((SUMPRODUCT((economics!$AG$2:$AG$167=$B40)*(economics!$D$2:$D$167="whr")*economics!$AI$2:$AI$167*(_xlfn.NORM.DIST(W$3,economics!$AK$2:$AK$167,economics!$AJ$2:$AJ$167,TRUE)-_xlfn.NORM.DIST(W$30,economics!$AK$2:$AK$167,economics!$AJ$2:$AJ$167,TRUE))*economics!$AM$2:$AM$167))/(SUMPRODUCT((economics!$AG$2:$AG$167=$B40)*(economics!$D$2:$D$167="whr")*economics!$AI$2:$AI$167*(_xlfn.NORM.DIST(W$3,economics!$AK$2:$AK$167,economics!$AJ$2:$AJ$167,TRUE)-_xlfn.NORM.DIST(W$30,economics!$AK$2:$AK$167,economics!$AJ$2:$AJ$167,TRUE)))),"")</f>
        <v/>
      </c>
      <c r="X40">
        <f t="array" ref="X40">IFERROR((SUMPRODUCT((economics!$AG$2:$AG$167=$B40)*(economics!$D$2:$D$167="whr")*economics!$AI$2:$AI$167*(_xlfn.NORM.DIST(X$3,economics!$AK$2:$AK$167,economics!$AJ$2:$AJ$167,TRUE)-_xlfn.NORM.DIST(X$30,economics!$AK$2:$AK$167,economics!$AJ$2:$AJ$167,TRUE))*economics!$AM$2:$AM$167))/(SUMPRODUCT((economics!$AG$2:$AG$167=$B40)*(economics!$D$2:$D$167="whr")*economics!$AI$2:$AI$167*(_xlfn.NORM.DIST(X$3,economics!$AK$2:$AK$167,economics!$AJ$2:$AJ$167,TRUE)-_xlfn.NORM.DIST(X$30,economics!$AK$2:$AK$167,economics!$AJ$2:$AJ$167,TRUE)))),"")</f>
        <v/>
      </c>
      <c r="Y40">
        <f t="array" ref="Y40">IFERROR((SUMPRODUCT((economics!$AG$2:$AG$167=$B40)*(economics!$D$2:$D$167="whr")*economics!$AI$2:$AI$167*(_xlfn.NORM.DIST(Y$3,economics!$AK$2:$AK$167,economics!$AJ$2:$AJ$167,TRUE)-_xlfn.NORM.DIST(Y$30,economics!$AK$2:$AK$167,economics!$AJ$2:$AJ$167,TRUE))*economics!$AM$2:$AM$167))/(SUMPRODUCT((economics!$AG$2:$AG$167=$B40)*(economics!$D$2:$D$167="whr")*economics!$AI$2:$AI$167*(_xlfn.NORM.DIST(Y$3,economics!$AK$2:$AK$167,economics!$AJ$2:$AJ$167,TRUE)-_xlfn.NORM.DIST(Y$30,economics!$AK$2:$AK$167,economics!$AJ$2:$AJ$167,TRUE)))),"")</f>
        <v/>
      </c>
      <c r="Z40">
        <f t="array" ref="Z40">IFERROR((SUMPRODUCT((economics!$AG$2:$AG$167=$B40)*(economics!$D$2:$D$167="whr")*economics!$AI$2:$AI$167*(_xlfn.NORM.DIST(Z$3,economics!$AK$2:$AK$167,economics!$AJ$2:$AJ$167,TRUE)-_xlfn.NORM.DIST(Z$30,economics!$AK$2:$AK$167,economics!$AJ$2:$AJ$167,TRUE))*economics!$AM$2:$AM$167))/(SUMPRODUCT((economics!$AG$2:$AG$167=$B40)*(economics!$D$2:$D$167="whr")*economics!$AI$2:$AI$167*(_xlfn.NORM.DIST(Z$3,economics!$AK$2:$AK$167,economics!$AJ$2:$AJ$167,TRUE)-_xlfn.NORM.DIST(Z$30,economics!$AK$2:$AK$167,economics!$AJ$2:$AJ$167,TRUE)))),"")</f>
        <v/>
      </c>
      <c r="AA40">
        <f t="array" ref="AA40">IFERROR((SUMPRODUCT((economics!$AG$2:$AG$167=$B40)*(economics!$D$2:$D$167="whr")*economics!$AI$2:$AI$167*(_xlfn.NORM.DIST(AA$3,economics!$AK$2:$AK$167,economics!$AJ$2:$AJ$167,TRUE)-_xlfn.NORM.DIST(AA$30,economics!$AK$2:$AK$167,economics!$AJ$2:$AJ$167,TRUE))*economics!$AM$2:$AM$167))/(SUMPRODUCT((economics!$AG$2:$AG$167=$B40)*(economics!$D$2:$D$167="whr")*economics!$AI$2:$AI$167*(_xlfn.NORM.DIST(AA$3,economics!$AK$2:$AK$167,economics!$AJ$2:$AJ$167,TRUE)-_xlfn.NORM.DIST(AA$30,economics!$AK$2:$AK$167,economics!$AJ$2:$AJ$167,TRUE)))),"")</f>
        <v/>
      </c>
      <c r="AB40">
        <f t="array" ref="AB40">IFERROR((SUMPRODUCT((economics!$AG$2:$AG$167=$B40)*(economics!$D$2:$D$167="whr")*economics!$AI$2:$AI$167*(_xlfn.NORM.DIST(AB$3,economics!$AK$2:$AK$167,economics!$AJ$2:$AJ$167,TRUE)-_xlfn.NORM.DIST(AB$30,economics!$AK$2:$AK$167,economics!$AJ$2:$AJ$167,TRUE))*economics!$AM$2:$AM$167))/(SUMPRODUCT((economics!$AG$2:$AG$167=$B40)*(economics!$D$2:$D$167="whr")*economics!$AI$2:$AI$167*(_xlfn.NORM.DIST(AB$3,economics!$AK$2:$AK$167,economics!$AJ$2:$AJ$167,TRUE)-_xlfn.NORM.DIST(AB$30,economics!$AK$2:$AK$167,economics!$AJ$2:$AJ$167,TRUE)))),"")</f>
        <v/>
      </c>
      <c r="AC40">
        <f t="array" ref="AC40">IFERROR((SUMPRODUCT((economics!$AG$2:$AG$167=$B40)*(economics!$D$2:$D$167="whr")*economics!$AI$2:$AI$167*(_xlfn.NORM.DIST(AC$3,economics!$AK$2:$AK$167,economics!$AJ$2:$AJ$167,TRUE)-_xlfn.NORM.DIST(AC$30,economics!$AK$2:$AK$167,economics!$AJ$2:$AJ$167,TRUE))*economics!$AM$2:$AM$167))/(SUMPRODUCT((economics!$AG$2:$AG$167=$B40)*(economics!$D$2:$D$167="whr")*economics!$AI$2:$AI$167*(_xlfn.NORM.DIST(AC$3,economics!$AK$2:$AK$167,economics!$AJ$2:$AJ$167,TRUE)-_xlfn.NORM.DIST(AC$30,economics!$AK$2:$AK$167,economics!$AJ$2:$AJ$167,TRUE)))),"")</f>
        <v/>
      </c>
      <c r="AD40">
        <f t="array" ref="AD40">IFERROR((SUMPRODUCT((economics!$AG$2:$AG$167=$B40)*(economics!$D$2:$D$167="whr")*economics!$AI$2:$AI$167*(_xlfn.NORM.DIST(AD$3,economics!$AK$2:$AK$167,economics!$AJ$2:$AJ$167,TRUE)-_xlfn.NORM.DIST(AD$30,economics!$AK$2:$AK$167,economics!$AJ$2:$AJ$167,TRUE))*economics!$AM$2:$AM$167))/(SUMPRODUCT((economics!$AG$2:$AG$167=$B40)*(economics!$D$2:$D$167="whr")*economics!$AI$2:$AI$167*(_xlfn.NORM.DIST(AD$3,economics!$AK$2:$AK$167,economics!$AJ$2:$AJ$167,TRUE)-_xlfn.NORM.DIST(AD$30,economics!$AK$2:$AK$167,economics!$AJ$2:$AJ$167,TRUE)))),"")</f>
        <v/>
      </c>
      <c r="AE40">
        <f t="array" ref="AE40">IFERROR((SUMPRODUCT((economics!$AG$2:$AG$167=$B40)*(economics!$D$2:$D$167="whr")*economics!$AI$2:$AI$167*(_xlfn.NORM.DIST(AE$3,economics!$AK$2:$AK$167,economics!$AJ$2:$AJ$167,TRUE)-_xlfn.NORM.DIST(AE$30,economics!$AK$2:$AK$167,economics!$AJ$2:$AJ$167,TRUE))*economics!$AM$2:$AM$167))/(SUMPRODUCT((economics!$AG$2:$AG$167=$B40)*(economics!$D$2:$D$167="whr")*economics!$AI$2:$AI$167*(_xlfn.NORM.DIST(AE$3,economics!$AK$2:$AK$167,economics!$AJ$2:$AJ$167,TRUE)-_xlfn.NORM.DIST(AE$30,economics!$AK$2:$AK$167,economics!$AJ$2:$AJ$167,TRUE)))),"")</f>
        <v/>
      </c>
      <c r="AF40">
        <f t="array" ref="AF40">IFERROR((SUMPRODUCT((economics!$AG$2:$AG$167=$B40)*(economics!$D$2:$D$167="whr")*economics!$AI$2:$AI$167*(_xlfn.NORM.DIST(AF$3,economics!$AK$2:$AK$167,economics!$AJ$2:$AJ$167,TRUE)-_xlfn.NORM.DIST(AF$30,economics!$AK$2:$AK$167,economics!$AJ$2:$AJ$167,TRUE))*economics!$AM$2:$AM$167))/(SUMPRODUCT((economics!$AG$2:$AG$167=$B40)*(economics!$D$2:$D$167="whr")*economics!$AI$2:$AI$167*(_xlfn.NORM.DIST(AF$3,economics!$AK$2:$AK$167,economics!$AJ$2:$AJ$167,TRUE)-_xlfn.NORM.DIST(AF$30,economics!$AK$2:$AK$167,economics!$AJ$2:$AJ$167,TRUE)))),"")</f>
        <v/>
      </c>
      <c r="AG40">
        <f t="array" ref="AG40">IFERROR((SUMPRODUCT((economics!$AG$2:$AG$167=$B40)*(economics!$D$2:$D$167="whr")*economics!$AI$2:$AI$167*(_xlfn.NORM.DIST(AG$3,economics!$AK$2:$AK$167,economics!$AJ$2:$AJ$167,TRUE)-_xlfn.NORM.DIST(AG$30,economics!$AK$2:$AK$167,economics!$AJ$2:$AJ$167,TRUE))*economics!$AM$2:$AM$167))/(SUMPRODUCT((economics!$AG$2:$AG$167=$B40)*(economics!$D$2:$D$167="whr")*economics!$AI$2:$AI$167*(_xlfn.NORM.DIST(AG$3,economics!$AK$2:$AK$167,economics!$AJ$2:$AJ$167,TRUE)-_xlfn.NORM.DIST(AG$30,economics!$AK$2:$AK$167,economics!$AJ$2:$AJ$167,TRUE)))),"")</f>
        <v/>
      </c>
      <c r="AH40">
        <f t="array" ref="AH40">IFERROR((SUMPRODUCT((economics!$AG$2:$AG$167=$B40)*(economics!$D$2:$D$167="whr")*economics!$AI$2:$AI$167*(_xlfn.NORM.DIST(AH$3,economics!$AK$2:$AK$167,economics!$AJ$2:$AJ$167,TRUE)-_xlfn.NORM.DIST(AH$30,economics!$AK$2:$AK$167,economics!$AJ$2:$AJ$167,TRUE))*economics!$AM$2:$AM$167))/(SUMPRODUCT((economics!$AG$2:$AG$167=$B40)*(economics!$D$2:$D$167="whr")*economics!$AI$2:$AI$167*(_xlfn.NORM.DIST(AH$3,economics!$AK$2:$AK$167,economics!$AJ$2:$AJ$167,TRUE)-_xlfn.NORM.DIST(AH$30,economics!$AK$2:$AK$167,economics!$AJ$2:$AJ$167,TRUE)))),"")</f>
        <v/>
      </c>
      <c r="AI40">
        <f t="array" ref="AI40">IFERROR((SUMPRODUCT((economics!$AG$2:$AG$167=$B40)*(economics!$D$2:$D$167="whr")*economics!$AI$2:$AI$167*(_xlfn.NORM.DIST(AI$3,economics!$AK$2:$AK$167,economics!$AJ$2:$AJ$167,TRUE)-_xlfn.NORM.DIST(AI$30,economics!$AK$2:$AK$167,economics!$AJ$2:$AJ$167,TRUE))*economics!$AM$2:$AM$167))/(SUMPRODUCT((economics!$AG$2:$AG$167=$B40)*(economics!$D$2:$D$167="whr")*economics!$AI$2:$AI$167*(_xlfn.NORM.DIST(AI$3,economics!$AK$2:$AK$167,economics!$AJ$2:$AJ$167,TRUE)-_xlfn.NORM.DIST(AI$30,economics!$AK$2:$AK$167,economics!$AJ$2:$AJ$167,TRUE)))),"")</f>
        <v/>
      </c>
      <c r="AJ40">
        <f t="array" ref="AJ40">IFERROR((SUMPRODUCT((economics!$AG$2:$AG$167=$B40)*(economics!$D$2:$D$167="whr")*economics!$AI$2:$AI$167*(_xlfn.NORM.DIST(AJ$3,economics!$AK$2:$AK$167,economics!$AJ$2:$AJ$167,TRUE)-_xlfn.NORM.DIST(AJ$30,economics!$AK$2:$AK$167,economics!$AJ$2:$AJ$167,TRUE))*economics!$AM$2:$AM$167))/(SUMPRODUCT((economics!$AG$2:$AG$167=$B40)*(economics!$D$2:$D$167="whr")*economics!$AI$2:$AI$167*(_xlfn.NORM.DIST(AJ$3,economics!$AK$2:$AK$167,economics!$AJ$2:$AJ$167,TRUE)-_xlfn.NORM.DIST(AJ$30,economics!$AK$2:$AK$167,economics!$AJ$2:$AJ$167,TRUE)))),"")</f>
        <v/>
      </c>
      <c r="AK40">
        <f t="array" ref="AK40">IFERROR((SUMPRODUCT((economics!$AG$2:$AG$167=$B40)*(economics!$D$2:$D$167="whr")*economics!$AI$2:$AI$167*(_xlfn.NORM.DIST(AK$3,economics!$AK$2:$AK$167,economics!$AJ$2:$AJ$167,TRUE)-_xlfn.NORM.DIST(AK$30,economics!$AK$2:$AK$167,economics!$AJ$2:$AJ$167,TRUE))*economics!$AM$2:$AM$167))/(SUMPRODUCT((economics!$AG$2:$AG$167=$B40)*(economics!$D$2:$D$167="whr")*economics!$AI$2:$AI$167*(_xlfn.NORM.DIST(AK$3,economics!$AK$2:$AK$167,economics!$AJ$2:$AJ$167,TRUE)-_xlfn.NORM.DIST(AK$30,economics!$AK$2:$AK$167,economics!$AJ$2:$AJ$167,TRUE)))),"")</f>
        <v/>
      </c>
      <c r="AL40">
        <f t="array" ref="AL40">IFERROR((SUMPRODUCT((economics!$AG$2:$AG$167=$B40)*(economics!$D$2:$D$167="whr")*economics!$AI$2:$AI$167*(_xlfn.NORM.DIST(AL$3,economics!$AK$2:$AK$167,economics!$AJ$2:$AJ$167,TRUE)-_xlfn.NORM.DIST(AL$30,economics!$AK$2:$AK$167,economics!$AJ$2:$AJ$167,TRUE))*economics!$AM$2:$AM$167))/(SUMPRODUCT((economics!$AG$2:$AG$167=$B40)*(economics!$D$2:$D$167="whr")*economics!$AI$2:$AI$167*(_xlfn.NORM.DIST(AL$3,economics!$AK$2:$AK$167,economics!$AJ$2:$AJ$167,TRUE)-_xlfn.NORM.DIST(AL$30,economics!$AK$2:$AK$167,economics!$AJ$2:$AJ$167,TRUE)))),"")</f>
        <v/>
      </c>
      <c r="AM40">
        <f t="array" ref="AM40">IFERROR((SUMPRODUCT((economics!$AG$2:$AG$167=$B40)*(economics!$D$2:$D$167="whr")*economics!$AI$2:$AI$167*(_xlfn.NORM.DIST(AM$3,economics!$AK$2:$AK$167,economics!$AJ$2:$AJ$167,TRUE)-_xlfn.NORM.DIST(AM$30,economics!$AK$2:$AK$167,economics!$AJ$2:$AJ$167,TRUE))*economics!$AM$2:$AM$167))/(SUMPRODUCT((economics!$AG$2:$AG$167=$B40)*(economics!$D$2:$D$167="whr")*economics!$AI$2:$AI$167*(_xlfn.NORM.DIST(AM$3,economics!$AK$2:$AK$167,economics!$AJ$2:$AJ$167,TRUE)-_xlfn.NORM.DIST(AM$30,economics!$AK$2:$AK$167,economics!$AJ$2:$AJ$167,TRUE)))),"")</f>
        <v/>
      </c>
      <c r="AN40">
        <f t="array" ref="AN40">IFERROR((SUMPRODUCT((economics!$AG$2:$AG$167=$B40)*(economics!$D$2:$D$167="whr")*economics!$AI$2:$AI$167*(_xlfn.NORM.DIST(AN$3,economics!$AK$2:$AK$167,economics!$AJ$2:$AJ$167,TRUE)-_xlfn.NORM.DIST(AN$30,economics!$AK$2:$AK$167,economics!$AJ$2:$AJ$167,TRUE))*economics!$AM$2:$AM$167))/(SUMPRODUCT((economics!$AG$2:$AG$167=$B40)*(economics!$D$2:$D$167="whr")*economics!$AI$2:$AI$167*(_xlfn.NORM.DIST(AN$3,economics!$AK$2:$AK$167,economics!$AJ$2:$AJ$167,TRUE)-_xlfn.NORM.DIST(AN$30,economics!$AK$2:$AK$167,economics!$AJ$2:$AJ$167,TRUE)))),"")</f>
        <v/>
      </c>
      <c r="AO40">
        <f t="array" ref="AO40">IFERROR((SUMPRODUCT((economics!$AG$2:$AG$167=$B40)*(economics!$D$2:$D$167="whr")*economics!$AI$2:$AI$167*(_xlfn.NORM.DIST(AO$3,economics!$AK$2:$AK$167,economics!$AJ$2:$AJ$167,TRUE)-_xlfn.NORM.DIST(AO$30,economics!$AK$2:$AK$167,economics!$AJ$2:$AJ$167,TRUE))*economics!$AM$2:$AM$167))/(SUMPRODUCT((economics!$AG$2:$AG$167=$B40)*(economics!$D$2:$D$167="whr")*economics!$AI$2:$AI$167*(_xlfn.NORM.DIST(AO$3,economics!$AK$2:$AK$167,economics!$AJ$2:$AJ$167,TRUE)-_xlfn.NORM.DIST(AO$30,economics!$AK$2:$AK$167,economics!$AJ$2:$AJ$167,TRUE)))),"")</f>
        <v/>
      </c>
      <c r="AP40">
        <f t="array" ref="AP40">IFERROR((SUMPRODUCT((economics!$AG$2:$AG$167=$B40)*(economics!$D$2:$D$167="whr")*economics!$AI$2:$AI$167*(_xlfn.NORM.DIST(AP$3,economics!$AK$2:$AK$167,economics!$AJ$2:$AJ$167,TRUE)-_xlfn.NORM.DIST(AP$30,economics!$AK$2:$AK$167,economics!$AJ$2:$AJ$167,TRUE))*economics!$AM$2:$AM$167))/(SUMPRODUCT((economics!$AG$2:$AG$167=$B40)*(economics!$D$2:$D$167="whr")*economics!$AI$2:$AI$167*(_xlfn.NORM.DIST(AP$3,economics!$AK$2:$AK$167,economics!$AJ$2:$AJ$167,TRUE)-_xlfn.NORM.DIST(AP$30,economics!$AK$2:$AK$167,economics!$AJ$2:$AJ$167,TRUE)))),"")</f>
        <v/>
      </c>
      <c r="AQ40">
        <f t="array" ref="AQ40">IFERROR((SUMPRODUCT((economics!$AG$2:$AG$167=$B40)*(economics!$D$2:$D$167="whr")*economics!$AI$2:$AI$167*(_xlfn.NORM.DIST(AQ$3,economics!$AK$2:$AK$167,economics!$AJ$2:$AJ$167,TRUE)-_xlfn.NORM.DIST(AQ$30,economics!$AK$2:$AK$167,economics!$AJ$2:$AJ$167,TRUE))*economics!$AM$2:$AM$167))/(SUMPRODUCT((economics!$AG$2:$AG$167=$B40)*(economics!$D$2:$D$167="whr")*economics!$AI$2:$AI$167*(_xlfn.NORM.DIST(AQ$3,economics!$AK$2:$AK$167,economics!$AJ$2:$AJ$167,TRUE)-_xlfn.NORM.DIST(AQ$30,economics!$AK$2:$AK$167,economics!$AJ$2:$AJ$167,TRUE)))),"")</f>
        <v/>
      </c>
      <c r="AR40">
        <f t="array" ref="AR40">IFERROR((SUMPRODUCT((economics!$AG$2:$AG$167=$B40)*(economics!$D$2:$D$167="whr")*economics!$AI$2:$AI$167*(_xlfn.NORM.DIST(AR$3,economics!$AK$2:$AK$167,economics!$AJ$2:$AJ$167,TRUE)-_xlfn.NORM.DIST(AR$30,economics!$AK$2:$AK$167,economics!$AJ$2:$AJ$167,TRUE))*economics!$AM$2:$AM$167))/(SUMPRODUCT((economics!$AG$2:$AG$167=$B40)*(economics!$D$2:$D$167="whr")*economics!$AI$2:$AI$167*(_xlfn.NORM.DIST(AR$3,economics!$AK$2:$AK$167,economics!$AJ$2:$AJ$167,TRUE)-_xlfn.NORM.DIST(AR$30,economics!$AK$2:$AK$167,economics!$AJ$2:$AJ$167,TRUE)))),"")</f>
        <v/>
      </c>
      <c r="AS40">
        <f t="array" ref="AS40">IFERROR((SUMPRODUCT((economics!$AG$2:$AG$167=$B40)*(economics!$D$2:$D$167="whr")*economics!$AI$2:$AI$167*(_xlfn.NORM.DIST(AS$3,economics!$AK$2:$AK$167,economics!$AJ$2:$AJ$167,TRUE)-_xlfn.NORM.DIST(AS$30,economics!$AK$2:$AK$167,economics!$AJ$2:$AJ$167,TRUE))*economics!$AM$2:$AM$167))/(SUMPRODUCT((economics!$AG$2:$AG$167=$B40)*(economics!$D$2:$D$167="whr")*economics!$AI$2:$AI$167*(_xlfn.NORM.DIST(AS$3,economics!$AK$2:$AK$167,economics!$AJ$2:$AJ$167,TRUE)-_xlfn.NORM.DIST(AS$30,economics!$AK$2:$AK$167,economics!$AJ$2:$AJ$167,TRUE)))),"")</f>
        <v/>
      </c>
      <c r="AT40">
        <f t="array" ref="AT40">IFERROR((SUMPRODUCT((economics!$AG$2:$AG$167=$B40)*(economics!$D$2:$D$167="whr")*economics!$AI$2:$AI$167*(_xlfn.NORM.DIST(AT$3,economics!$AK$2:$AK$167,economics!$AJ$2:$AJ$167,TRUE)-_xlfn.NORM.DIST(AT$30,economics!$AK$2:$AK$167,economics!$AJ$2:$AJ$167,TRUE))*economics!$AM$2:$AM$167))/(SUMPRODUCT((economics!$AG$2:$AG$167=$B40)*(economics!$D$2:$D$167="whr")*economics!$AI$2:$AI$167*(_xlfn.NORM.DIST(AT$3,economics!$AK$2:$AK$167,economics!$AJ$2:$AJ$167,TRUE)-_xlfn.NORM.DIST(AT$30,economics!$AK$2:$AK$167,economics!$AJ$2:$AJ$167,TRUE)))),"")</f>
        <v/>
      </c>
      <c r="AU40">
        <f t="array" ref="AU40">IFERROR((SUMPRODUCT((economics!$AG$2:$AG$167=$B40)*(economics!$D$2:$D$167="whr")*economics!$AI$2:$AI$167*(_xlfn.NORM.DIST(AU$3,economics!$AK$2:$AK$167,economics!$AJ$2:$AJ$167,TRUE)-_xlfn.NORM.DIST(AU$30,economics!$AK$2:$AK$167,economics!$AJ$2:$AJ$167,TRUE))*economics!$AM$2:$AM$167))/(SUMPRODUCT((economics!$AG$2:$AG$167=$B40)*(economics!$D$2:$D$167="whr")*economics!$AI$2:$AI$167*(_xlfn.NORM.DIST(AU$3,economics!$AK$2:$AK$167,economics!$AJ$2:$AJ$167,TRUE)-_xlfn.NORM.DIST(AU$30,economics!$AK$2:$AK$167,economics!$AJ$2:$AJ$167,TRUE)))),"")</f>
        <v/>
      </c>
      <c r="AV40">
        <f t="array" ref="AV40">IFERROR((SUMPRODUCT((economics!$AG$2:$AG$167=$B40)*(economics!$D$2:$D$167="whr")*economics!$AI$2:$AI$167*(_xlfn.NORM.DIST(AV$3,economics!$AK$2:$AK$167,economics!$AJ$2:$AJ$167,TRUE)-_xlfn.NORM.DIST(AV$30,economics!$AK$2:$AK$167,economics!$AJ$2:$AJ$167,TRUE))*economics!$AM$2:$AM$167))/(SUMPRODUCT((economics!$AG$2:$AG$167=$B40)*(economics!$D$2:$D$167="whr")*economics!$AI$2:$AI$167*(_xlfn.NORM.DIST(AV$3,economics!$AK$2:$AK$167,economics!$AJ$2:$AJ$167,TRUE)-_xlfn.NORM.DIST(AV$30,economics!$AK$2:$AK$167,economics!$AJ$2:$AJ$167,TRUE)))),"")</f>
        <v/>
      </c>
      <c r="AW40">
        <f t="array" ref="AW40">IFERROR((SUMPRODUCT((economics!$AG$2:$AG$167=$B40)*(economics!$D$2:$D$167="whr")*economics!$AI$2:$AI$167*(_xlfn.NORM.DIST(AW$3,economics!$AK$2:$AK$167,economics!$AJ$2:$AJ$167,TRUE)-_xlfn.NORM.DIST(AW$30,economics!$AK$2:$AK$167,economics!$AJ$2:$AJ$167,TRUE))*economics!$AM$2:$AM$167))/(SUMPRODUCT((economics!$AG$2:$AG$167=$B40)*(economics!$D$2:$D$167="whr")*economics!$AI$2:$AI$167*(_xlfn.NORM.DIST(AW$3,economics!$AK$2:$AK$167,economics!$AJ$2:$AJ$167,TRUE)-_xlfn.NORM.DIST(AW$30,economics!$AK$2:$AK$167,economics!$AJ$2:$AJ$167,TRUE)))),"")</f>
        <v/>
      </c>
      <c r="AX40">
        <f t="array" ref="AX40">IFERROR((SUMPRODUCT((economics!$AG$2:$AG$167=$B40)*(economics!$D$2:$D$167="whr")*economics!$AI$2:$AI$167*(_xlfn.NORM.DIST(AX$3,economics!$AK$2:$AK$167,economics!$AJ$2:$AJ$167,TRUE)-_xlfn.NORM.DIST(AX$30,economics!$AK$2:$AK$167,economics!$AJ$2:$AJ$167,TRUE))*economics!$AM$2:$AM$167))/(SUMPRODUCT((economics!$AG$2:$AG$167=$B40)*(economics!$D$2:$D$167="whr")*economics!$AI$2:$AI$167*(_xlfn.NORM.DIST(AX$3,economics!$AK$2:$AK$167,economics!$AJ$2:$AJ$167,TRUE)-_xlfn.NORM.DIST(AX$30,economics!$AK$2:$AK$167,economics!$AJ$2:$AJ$167,TRUE)))),"")</f>
        <v/>
      </c>
      <c r="AY40">
        <f t="array" ref="AY40">IFERROR((SUMPRODUCT((economics!$AG$2:$AG$167=$B40)*(economics!$D$2:$D$167="whr")*economics!$AI$2:$AI$167*(_xlfn.NORM.DIST(AY$3,economics!$AK$2:$AK$167,economics!$AJ$2:$AJ$167,TRUE)-_xlfn.NORM.DIST(AY$30,economics!$AK$2:$AK$167,economics!$AJ$2:$AJ$167,TRUE))*economics!$AM$2:$AM$167))/(SUMPRODUCT((economics!$AG$2:$AG$167=$B40)*(economics!$D$2:$D$167="whr")*economics!$AI$2:$AI$167*(_xlfn.NORM.DIST(AY$3,economics!$AK$2:$AK$167,economics!$AJ$2:$AJ$167,TRUE)-_xlfn.NORM.DIST(AY$30,economics!$AK$2:$AK$167,economics!$AJ$2:$AJ$167,TRUE)))),"")</f>
        <v/>
      </c>
      <c r="AZ40">
        <f t="array" ref="AZ40">IFERROR((SUMPRODUCT((economics!$AG$2:$AG$167=$B40)*(economics!$D$2:$D$167="whr")*economics!$AI$2:$AI$167*(_xlfn.NORM.DIST(AZ$3,economics!$AK$2:$AK$167,economics!$AJ$2:$AJ$167,TRUE)-_xlfn.NORM.DIST(AZ$30,economics!$AK$2:$AK$167,economics!$AJ$2:$AJ$167,TRUE))*economics!$AM$2:$AM$167))/(SUMPRODUCT((economics!$AG$2:$AG$167=$B40)*(economics!$D$2:$D$167="whr")*economics!$AI$2:$AI$167*(_xlfn.NORM.DIST(AZ$3,economics!$AK$2:$AK$167,economics!$AJ$2:$AJ$167,TRUE)-_xlfn.NORM.DIST(AZ$30,economics!$AK$2:$AK$167,economics!$AJ$2:$AJ$167,TRUE)))),"")</f>
        <v/>
      </c>
      <c r="BA40">
        <f t="array" ref="BA40">IFERROR((SUMPRODUCT((economics!$AG$2:$AG$167=$B40)*(economics!$D$2:$D$167="whr")*economics!$AI$2:$AI$167*(_xlfn.NORM.DIST(BA$3,economics!$AK$2:$AK$167,economics!$AJ$2:$AJ$167,TRUE)-_xlfn.NORM.DIST(BA$30,economics!$AK$2:$AK$167,economics!$AJ$2:$AJ$167,TRUE))*economics!$AM$2:$AM$167))/(SUMPRODUCT((economics!$AG$2:$AG$167=$B40)*(economics!$D$2:$D$167="whr")*economics!$AI$2:$AI$167*(_xlfn.NORM.DIST(BA$3,economics!$AK$2:$AK$167,economics!$AJ$2:$AJ$167,TRUE)-_xlfn.NORM.DIST(BA$30,economics!$AK$2:$AK$167,economics!$AJ$2:$AJ$167,TRUE)))),"")</f>
        <v/>
      </c>
      <c r="BB40">
        <f t="array" ref="BB40">IFERROR((SUMPRODUCT((economics!$AG$2:$AG$167=$B40)*(economics!$D$2:$D$167="whr")*economics!$AI$2:$AI$167*(_xlfn.NORM.DIST(BB$3,economics!$AK$2:$AK$167,economics!$AJ$2:$AJ$167,TRUE)-_xlfn.NORM.DIST(BB$30,economics!$AK$2:$AK$167,economics!$AJ$2:$AJ$167,TRUE))*economics!$AM$2:$AM$167))/(SUMPRODUCT((economics!$AG$2:$AG$167=$B40)*(economics!$D$2:$D$167="whr")*economics!$AI$2:$AI$167*(_xlfn.NORM.DIST(BB$3,economics!$AK$2:$AK$167,economics!$AJ$2:$AJ$167,TRUE)-_xlfn.NORM.DIST(BB$30,economics!$AK$2:$AK$167,economics!$AJ$2:$AJ$167,TRUE)))),"")</f>
        <v/>
      </c>
      <c r="BC40">
        <f t="array" ref="BC40">IFERROR((SUMPRODUCT((economics!$AG$2:$AG$167=$B40)*(economics!$D$2:$D$167="whr")*economics!$AI$2:$AI$167*(_xlfn.NORM.DIST(BC$3,economics!$AK$2:$AK$167,economics!$AJ$2:$AJ$167,TRUE)-_xlfn.NORM.DIST(BC$30,economics!$AK$2:$AK$167,economics!$AJ$2:$AJ$167,TRUE))*economics!$AM$2:$AM$167))/(SUMPRODUCT((economics!$AG$2:$AG$167=$B40)*(economics!$D$2:$D$167="whr")*economics!$AI$2:$AI$167*(_xlfn.NORM.DIST(BC$3,economics!$AK$2:$AK$167,economics!$AJ$2:$AJ$167,TRUE)-_xlfn.NORM.DIST(BC$30,economics!$AK$2:$AK$167,economics!$AJ$2:$AJ$167,TRUE)))),"")</f>
        <v/>
      </c>
      <c r="BD40">
        <f t="array" ref="BD40">IFERROR((SUMPRODUCT((economics!$AG$2:$AG$167=$B40)*(economics!$D$2:$D$167="whr")*economics!$AI$2:$AI$167*(_xlfn.NORM.DIST(BD$3,economics!$AK$2:$AK$167,economics!$AJ$2:$AJ$167,TRUE)-_xlfn.NORM.DIST(BD$30,economics!$AK$2:$AK$167,economics!$AJ$2:$AJ$167,TRUE))*economics!$AM$2:$AM$167))/(SUMPRODUCT((economics!$AG$2:$AG$167=$B40)*(economics!$D$2:$D$167="whr")*economics!$AI$2:$AI$167*(_xlfn.NORM.DIST(BD$3,economics!$AK$2:$AK$167,economics!$AJ$2:$AJ$167,TRUE)-_xlfn.NORM.DIST(BD$30,economics!$AK$2:$AK$167,economics!$AJ$2:$AJ$167,TRUE)))),"")</f>
        <v/>
      </c>
      <c r="BE40">
        <f t="array" ref="BE40">IFERROR((SUMPRODUCT((economics!$AG$2:$AG$167=$B40)*(economics!$D$2:$D$167="whr")*economics!$AI$2:$AI$167*(_xlfn.NORM.DIST(BE$3,economics!$AK$2:$AK$167,economics!$AJ$2:$AJ$167,TRUE)-_xlfn.NORM.DIST(BE$30,economics!$AK$2:$AK$167,economics!$AJ$2:$AJ$167,TRUE))*economics!$AM$2:$AM$167))/(SUMPRODUCT((economics!$AG$2:$AG$167=$B40)*(economics!$D$2:$D$167="whr")*economics!$AI$2:$AI$167*(_xlfn.NORM.DIST(BE$3,economics!$AK$2:$AK$167,economics!$AJ$2:$AJ$167,TRUE)-_xlfn.NORM.DIST(BE$30,economics!$AK$2:$AK$167,economics!$AJ$2:$AJ$167,TRUE)))),"")</f>
        <v/>
      </c>
      <c r="BF40">
        <f t="array" ref="BF40">IFERROR((SUMPRODUCT((economics!$AG$2:$AG$167=$B40)*(economics!$D$2:$D$167="whr")*economics!$AI$2:$AI$167*(_xlfn.NORM.DIST(BF$3,economics!$AK$2:$AK$167,economics!$AJ$2:$AJ$167,TRUE)-_xlfn.NORM.DIST(BF$30,economics!$AK$2:$AK$167,economics!$AJ$2:$AJ$167,TRUE))*economics!$AM$2:$AM$167))/(SUMPRODUCT((economics!$AG$2:$AG$167=$B40)*(economics!$D$2:$D$167="whr")*economics!$AI$2:$AI$167*(_xlfn.NORM.DIST(BF$3,economics!$AK$2:$AK$167,economics!$AJ$2:$AJ$167,TRUE)-_xlfn.NORM.DIST(BF$30,economics!$AK$2:$AK$167,economics!$AJ$2:$AJ$167,TRUE)))),"")</f>
        <v/>
      </c>
      <c r="BG40">
        <f t="array" ref="BG40">IFERROR((SUMPRODUCT((economics!$AG$2:$AG$167=$B40)*(economics!$D$2:$D$167="whr")*economics!$AI$2:$AI$167*(_xlfn.NORM.DIST(BG$3,economics!$AK$2:$AK$167,economics!$AJ$2:$AJ$167,TRUE)-_xlfn.NORM.DIST(BG$30,economics!$AK$2:$AK$167,economics!$AJ$2:$AJ$167,TRUE))*economics!$AM$2:$AM$167))/(SUMPRODUCT((economics!$AG$2:$AG$167=$B40)*(economics!$D$2:$D$167="whr")*economics!$AI$2:$AI$167*(_xlfn.NORM.DIST(BG$3,economics!$AK$2:$AK$167,economics!$AJ$2:$AJ$167,TRUE)-_xlfn.NORM.DIST(BG$30,economics!$AK$2:$AK$167,economics!$AJ$2:$AJ$167,TRUE)))),"")</f>
        <v/>
      </c>
      <c r="BH40">
        <f t="array" ref="BH40">IFERROR((SUMPRODUCT((economics!$AG$2:$AG$167=$B40)*(economics!$D$2:$D$167="whr")*economics!$AI$2:$AI$167*(_xlfn.NORM.DIST(BH$3,economics!$AK$2:$AK$167,economics!$AJ$2:$AJ$167,TRUE)-_xlfn.NORM.DIST(BH$30,economics!$AK$2:$AK$167,economics!$AJ$2:$AJ$167,TRUE))*economics!$AM$2:$AM$167))/(SUMPRODUCT((economics!$AG$2:$AG$167=$B40)*(economics!$D$2:$D$167="whr")*economics!$AI$2:$AI$167*(_xlfn.NORM.DIST(BH$3,economics!$AK$2:$AK$167,economics!$AJ$2:$AJ$167,TRUE)-_xlfn.NORM.DIST(BH$30,economics!$AK$2:$AK$167,economics!$AJ$2:$AJ$167,TRUE)))),"")</f>
        <v/>
      </c>
      <c r="BI40">
        <f t="array" ref="BI40">IFERROR((SUMPRODUCT((economics!$AG$2:$AG$167=$B40)*(economics!$D$2:$D$167="whr")*economics!$AI$2:$AI$167*(_xlfn.NORM.DIST(BI$3,economics!$AK$2:$AK$167,economics!$AJ$2:$AJ$167,TRUE)-_xlfn.NORM.DIST(BI$30,economics!$AK$2:$AK$167,economics!$AJ$2:$AJ$167,TRUE))*economics!$AM$2:$AM$167))/(SUMPRODUCT((economics!$AG$2:$AG$167=$B40)*(economics!$D$2:$D$167="whr")*economics!$AI$2:$AI$167*(_xlfn.NORM.DIST(BI$3,economics!$AK$2:$AK$167,economics!$AJ$2:$AJ$167,TRUE)-_xlfn.NORM.DIST(BI$30,economics!$AK$2:$AK$167,economics!$AJ$2:$AJ$167,TRUE)))),"")</f>
        <v/>
      </c>
      <c r="BJ40">
        <f t="array" ref="BJ40">IFERROR((SUMPRODUCT((economics!$AG$2:$AG$167=$B40)*(economics!$D$2:$D$167="whr")*economics!$AI$2:$AI$167*(_xlfn.NORM.DIST(BJ$3,economics!$AK$2:$AK$167,economics!$AJ$2:$AJ$167,TRUE)-_xlfn.NORM.DIST(BJ$30,economics!$AK$2:$AK$167,economics!$AJ$2:$AJ$167,TRUE))*economics!$AM$2:$AM$167))/(SUMPRODUCT((economics!$AG$2:$AG$167=$B40)*(economics!$D$2:$D$167="whr")*economics!$AI$2:$AI$167*(_xlfn.NORM.DIST(BJ$3,economics!$AK$2:$AK$167,economics!$AJ$2:$AJ$167,TRUE)-_xlfn.NORM.DIST(BJ$30,economics!$AK$2:$AK$167,economics!$AJ$2:$AJ$167,TRUE)))),"")</f>
        <v/>
      </c>
      <c r="BK40">
        <f t="array" ref="BK40">IFERROR((SUMPRODUCT((economics!$AG$2:$AG$167=$B40)*(economics!$D$2:$D$167="whr")*economics!$AI$2:$AI$167*(_xlfn.NORM.DIST(BK$3,economics!$AK$2:$AK$167,economics!$AJ$2:$AJ$167,TRUE)-_xlfn.NORM.DIST(BK$30,economics!$AK$2:$AK$167,economics!$AJ$2:$AJ$167,TRUE))*economics!$AM$2:$AM$167))/(SUMPRODUCT((economics!$AG$2:$AG$167=$B40)*(economics!$D$2:$D$167="whr")*economics!$AI$2:$AI$167*(_xlfn.NORM.DIST(BK$3,economics!$AK$2:$AK$167,economics!$AJ$2:$AJ$167,TRUE)-_xlfn.NORM.DIST(BK$30,economics!$AK$2:$AK$167,economics!$AJ$2:$AJ$167,TRUE)))),"")</f>
        <v/>
      </c>
      <c r="BL40">
        <f t="array" ref="BL40">IFERROR((SUMPRODUCT((economics!$AG$2:$AG$167=$B40)*(economics!$D$2:$D$167="whr")*economics!$AI$2:$AI$167*(_xlfn.NORM.DIST(BL$3,economics!$AK$2:$AK$167,economics!$AJ$2:$AJ$167,TRUE)-_xlfn.NORM.DIST(BL$30,economics!$AK$2:$AK$167,economics!$AJ$2:$AJ$167,TRUE))*economics!$AM$2:$AM$167))/(SUMPRODUCT((economics!$AG$2:$AG$167=$B40)*(economics!$D$2:$D$167="whr")*economics!$AI$2:$AI$167*(_xlfn.NORM.DIST(BL$3,economics!$AK$2:$AK$167,economics!$AJ$2:$AJ$167,TRUE)-_xlfn.NORM.DIST(BL$30,economics!$AK$2:$AK$167,economics!$AJ$2:$AJ$167,TRUE)))),"")</f>
        <v/>
      </c>
      <c r="BM40">
        <f t="array" ref="BM40">IFERROR((SUMPRODUCT((economics!$AG$2:$AG$167=$B40)*(economics!$D$2:$D$167="whr")*economics!$AI$2:$AI$167*(_xlfn.NORM.DIST(BM$3,economics!$AK$2:$AK$167,economics!$AJ$2:$AJ$167,TRUE)-_xlfn.NORM.DIST(BM$30,economics!$AK$2:$AK$167,economics!$AJ$2:$AJ$167,TRUE))*economics!$AM$2:$AM$167))/(SUMPRODUCT((economics!$AG$2:$AG$167=$B40)*(economics!$D$2:$D$167="whr")*economics!$AI$2:$AI$167*(_xlfn.NORM.DIST(BM$3,economics!$AK$2:$AK$167,economics!$AJ$2:$AJ$167,TRUE)-_xlfn.NORM.DIST(BM$30,economics!$AK$2:$AK$167,economics!$AJ$2:$AJ$167,TRUE)))),"")</f>
        <v/>
      </c>
      <c r="BN40">
        <f t="array" ref="BN40">IFERROR((SUMPRODUCT((economics!$AG$2:$AG$167=$B40)*(economics!$D$2:$D$167="whr")*economics!$AI$2:$AI$167*(_xlfn.NORM.DIST(BN$3,economics!$AK$2:$AK$167,economics!$AJ$2:$AJ$167,TRUE)-_xlfn.NORM.DIST(BN$30,economics!$AK$2:$AK$167,economics!$AJ$2:$AJ$167,TRUE))*economics!$AM$2:$AM$167))/(SUMPRODUCT((economics!$AG$2:$AG$167=$B40)*(economics!$D$2:$D$167="whr")*economics!$AI$2:$AI$167*(_xlfn.NORM.DIST(BN$3,economics!$AK$2:$AK$167,economics!$AJ$2:$AJ$167,TRUE)-_xlfn.NORM.DIST(BN$30,economics!$AK$2:$AK$167,economics!$AJ$2:$AJ$167,TRUE)))),"")</f>
        <v/>
      </c>
      <c r="BO40">
        <f t="array" ref="BO40">IFERROR((SUMPRODUCT((economics!$AG$2:$AG$167=$B40)*(economics!$D$2:$D$167="whr")*economics!$AI$2:$AI$167*(_xlfn.NORM.DIST(BO$3,economics!$AK$2:$AK$167,economics!$AJ$2:$AJ$167,TRUE)-_xlfn.NORM.DIST(BO$30,economics!$AK$2:$AK$167,economics!$AJ$2:$AJ$167,TRUE))*economics!$AM$2:$AM$167))/(SUMPRODUCT((economics!$AG$2:$AG$167=$B40)*(economics!$D$2:$D$167="whr")*economics!$AI$2:$AI$167*(_xlfn.NORM.DIST(BO$3,economics!$AK$2:$AK$167,economics!$AJ$2:$AJ$167,TRUE)-_xlfn.NORM.DIST(BO$30,economics!$AK$2:$AK$167,economics!$AJ$2:$AJ$167,TRUE)))),"")</f>
        <v/>
      </c>
      <c r="BP40">
        <f t="array" ref="BP40">IFERROR((SUMPRODUCT((economics!$AG$2:$AG$167=$B40)*(economics!$D$2:$D$167="whr")*economics!$AI$2:$AI$167*(_xlfn.NORM.DIST(BP$3,economics!$AK$2:$AK$167,economics!$AJ$2:$AJ$167,TRUE)-_xlfn.NORM.DIST(BP$30,economics!$AK$2:$AK$167,economics!$AJ$2:$AJ$167,TRUE))*economics!$AM$2:$AM$167))/(SUMPRODUCT((economics!$AG$2:$AG$167=$B40)*(economics!$D$2:$D$167="whr")*economics!$AI$2:$AI$167*(_xlfn.NORM.DIST(BP$3,economics!$AK$2:$AK$167,economics!$AJ$2:$AJ$167,TRUE)-_xlfn.NORM.DIST(BP$30,economics!$AK$2:$AK$167,economics!$AJ$2:$AJ$167,TRUE)))),"")</f>
        <v/>
      </c>
      <c r="BQ40">
        <f t="array" ref="BQ40">IFERROR((SUMPRODUCT((economics!$AG$2:$AG$167=$B40)*(economics!$D$2:$D$167="whr")*economics!$AI$2:$AI$167*(_xlfn.NORM.DIST(BQ$3,economics!$AK$2:$AK$167,economics!$AJ$2:$AJ$167,TRUE)-_xlfn.NORM.DIST(BQ$30,economics!$AK$2:$AK$167,economics!$AJ$2:$AJ$167,TRUE))*economics!$AM$2:$AM$167))/(SUMPRODUCT((economics!$AG$2:$AG$167=$B40)*(economics!$D$2:$D$167="whr")*economics!$AI$2:$AI$167*(_xlfn.NORM.DIST(BQ$3,economics!$AK$2:$AK$167,economics!$AJ$2:$AJ$167,TRUE)-_xlfn.NORM.DIST(BQ$30,economics!$AK$2:$AK$167,economics!$AJ$2:$AJ$167,TRUE)))),"")</f>
        <v/>
      </c>
      <c r="BR40">
        <f t="array" ref="BR40">IFERROR((SUMPRODUCT((economics!$AG$2:$AG$167=$B40)*(economics!$D$2:$D$167="whr")*economics!$AI$2:$AI$167*(_xlfn.NORM.DIST(BR$3,economics!$AK$2:$AK$167,economics!$AJ$2:$AJ$167,TRUE)-_xlfn.NORM.DIST(BR$30,economics!$AK$2:$AK$167,economics!$AJ$2:$AJ$167,TRUE))*economics!$AM$2:$AM$167))/(SUMPRODUCT((economics!$AG$2:$AG$167=$B40)*(economics!$D$2:$D$167="whr")*economics!$AI$2:$AI$167*(_xlfn.NORM.DIST(BR$3,economics!$AK$2:$AK$167,economics!$AJ$2:$AJ$167,TRUE)-_xlfn.NORM.DIST(BR$30,economics!$AK$2:$AK$167,economics!$AJ$2:$AJ$167,TRUE)))),"")</f>
        <v/>
      </c>
      <c r="BS40">
        <f t="array" ref="BS40">IFERROR((SUMPRODUCT((economics!$AG$2:$AG$167=$B40)*(economics!$D$2:$D$167="whr")*economics!$AI$2:$AI$167*(_xlfn.NORM.DIST(BS$3,economics!$AK$2:$AK$167,economics!$AJ$2:$AJ$167,TRUE)-_xlfn.NORM.DIST(BS$30,economics!$AK$2:$AK$167,economics!$AJ$2:$AJ$167,TRUE))*economics!$AM$2:$AM$167))/(SUMPRODUCT((economics!$AG$2:$AG$167=$B40)*(economics!$D$2:$D$167="whr")*economics!$AI$2:$AI$167*(_xlfn.NORM.DIST(BS$3,economics!$AK$2:$AK$167,economics!$AJ$2:$AJ$167,TRUE)-_xlfn.NORM.DIST(BS$30,economics!$AK$2:$AK$167,economics!$AJ$2:$AJ$167,TRUE)))),"")</f>
        <v/>
      </c>
      <c r="BT40">
        <f t="array" ref="BT40">IFERROR((SUMPRODUCT((economics!$AG$2:$AG$167=$B40)*(economics!$D$2:$D$167="whr")*economics!$AI$2:$AI$167*(_xlfn.NORM.DIST(BT$3,economics!$AK$2:$AK$167,economics!$AJ$2:$AJ$167,TRUE)-_xlfn.NORM.DIST(BT$30,economics!$AK$2:$AK$167,economics!$AJ$2:$AJ$167,TRUE))*economics!$AM$2:$AM$167))/(SUMPRODUCT((economics!$AG$2:$AG$167=$B40)*(economics!$D$2:$D$167="whr")*economics!$AI$2:$AI$167*(_xlfn.NORM.DIST(BT$3,economics!$AK$2:$AK$167,economics!$AJ$2:$AJ$167,TRUE)-_xlfn.NORM.DIST(BT$30,economics!$AK$2:$AK$167,economics!$AJ$2:$AJ$167,TRUE)))),"")</f>
        <v/>
      </c>
      <c r="BU40">
        <f t="array" ref="BU40">IFERROR((SUMPRODUCT((economics!$AG$2:$AG$167=$B40)*(economics!$D$2:$D$167="whr")*economics!$AI$2:$AI$167*(_xlfn.NORM.DIST(BU$3,economics!$AK$2:$AK$167,economics!$AJ$2:$AJ$167,TRUE)-_xlfn.NORM.DIST(BU$30,economics!$AK$2:$AK$167,economics!$AJ$2:$AJ$167,TRUE))*economics!$AM$2:$AM$167))/(SUMPRODUCT((economics!$AG$2:$AG$167=$B40)*(economics!$D$2:$D$167="whr")*economics!$AI$2:$AI$167*(_xlfn.NORM.DIST(BU$3,economics!$AK$2:$AK$167,economics!$AJ$2:$AJ$167,TRUE)-_xlfn.NORM.DIST(BU$30,economics!$AK$2:$AK$167,economics!$AJ$2:$AJ$167,TRUE)))),"")</f>
        <v/>
      </c>
      <c r="BV40">
        <f t="array" ref="BV40">IFERROR((SUMPRODUCT((economics!$AG$2:$AG$167=$B40)*(economics!$D$2:$D$167="whr")*economics!$AI$2:$AI$167*(_xlfn.NORM.DIST(BV$3,economics!$AK$2:$AK$167,economics!$AJ$2:$AJ$167,TRUE)-_xlfn.NORM.DIST(BV$30,economics!$AK$2:$AK$167,economics!$AJ$2:$AJ$167,TRUE))*economics!$AM$2:$AM$167))/(SUMPRODUCT((economics!$AG$2:$AG$167=$B40)*(economics!$D$2:$D$167="whr")*economics!$AI$2:$AI$167*(_xlfn.NORM.DIST(BV$3,economics!$AK$2:$AK$167,economics!$AJ$2:$AJ$167,TRUE)-_xlfn.NORM.DIST(BV$30,economics!$AK$2:$AK$167,economics!$AJ$2:$AJ$167,TRUE)))),"")</f>
        <v/>
      </c>
      <c r="BW40">
        <f t="array" ref="BW40">IFERROR((SUMPRODUCT((economics!$AG$2:$AG$167=$B40)*(economics!$D$2:$D$167="whr")*economics!$AI$2:$AI$167*(_xlfn.NORM.DIST(BW$3,economics!$AK$2:$AK$167,economics!$AJ$2:$AJ$167,TRUE)-_xlfn.NORM.DIST(BW$30,economics!$AK$2:$AK$167,economics!$AJ$2:$AJ$167,TRUE))*economics!$AM$2:$AM$167))/(SUMPRODUCT((economics!$AG$2:$AG$167=$B40)*(economics!$D$2:$D$167="whr")*economics!$AI$2:$AI$167*(_xlfn.NORM.DIST(BW$3,economics!$AK$2:$AK$167,economics!$AJ$2:$AJ$167,TRUE)-_xlfn.NORM.DIST(BW$30,economics!$AK$2:$AK$167,economics!$AJ$2:$AJ$167,TRUE)))),"")</f>
        <v/>
      </c>
      <c r="BX40">
        <f t="array" ref="BX40">IFERROR((SUMPRODUCT((economics!$AG$2:$AG$167=$B40)*(economics!$D$2:$D$167="whr")*economics!$AI$2:$AI$167*(_xlfn.NORM.DIST(BX$3,economics!$AK$2:$AK$167,economics!$AJ$2:$AJ$167,TRUE)-_xlfn.NORM.DIST(BX$30,economics!$AK$2:$AK$167,economics!$AJ$2:$AJ$167,TRUE))*economics!$AM$2:$AM$167))/(SUMPRODUCT((economics!$AG$2:$AG$167=$B40)*(economics!$D$2:$D$167="whr")*economics!$AI$2:$AI$167*(_xlfn.NORM.DIST(BX$3,economics!$AK$2:$AK$167,economics!$AJ$2:$AJ$167,TRUE)-_xlfn.NORM.DIST(BX$30,economics!$AK$2:$AK$167,economics!$AJ$2:$AJ$167,TRUE)))),"")</f>
        <v/>
      </c>
      <c r="BY40">
        <f t="array" ref="BY40">IFERROR((SUMPRODUCT((economics!$AG$2:$AG$167=$B40)*(economics!$D$2:$D$167="whr")*economics!$AI$2:$AI$167*(_xlfn.NORM.DIST(BY$3,economics!$AK$2:$AK$167,economics!$AJ$2:$AJ$167,TRUE)-_xlfn.NORM.DIST(BY$30,economics!$AK$2:$AK$167,economics!$AJ$2:$AJ$167,TRUE))*economics!$AM$2:$AM$167))/(SUMPRODUCT((economics!$AG$2:$AG$167=$B40)*(economics!$D$2:$D$167="whr")*economics!$AI$2:$AI$167*(_xlfn.NORM.DIST(BY$3,economics!$AK$2:$AK$167,economics!$AJ$2:$AJ$167,TRUE)-_xlfn.NORM.DIST(BY$30,economics!$AK$2:$AK$167,economics!$AJ$2:$AJ$167,TRUE)))),"")</f>
        <v/>
      </c>
      <c r="BZ40">
        <f t="array" ref="BZ40">IFERROR((SUMPRODUCT((economics!$AG$2:$AG$167=$B40)*(economics!$D$2:$D$167="whr")*economics!$AI$2:$AI$167*(_xlfn.NORM.DIST(BZ$3,economics!$AK$2:$AK$167,economics!$AJ$2:$AJ$167,TRUE)-_xlfn.NORM.DIST(BZ$30,economics!$AK$2:$AK$167,economics!$AJ$2:$AJ$167,TRUE))*economics!$AM$2:$AM$167))/(SUMPRODUCT((economics!$AG$2:$AG$167=$B40)*(economics!$D$2:$D$167="whr")*economics!$AI$2:$AI$167*(_xlfn.NORM.DIST(BZ$3,economics!$AK$2:$AK$167,economics!$AJ$2:$AJ$167,TRUE)-_xlfn.NORM.DIST(BZ$30,economics!$AK$2:$AK$167,economics!$AJ$2:$AJ$167,TRUE)))),"")</f>
        <v/>
      </c>
      <c r="CA40">
        <f t="array" ref="CA40">IFERROR((SUMPRODUCT((economics!$AG$2:$AG$167=$B40)*(economics!$D$2:$D$167="whr")*economics!$AI$2:$AI$167*(_xlfn.NORM.DIST(CA$3,economics!$AK$2:$AK$167,economics!$AJ$2:$AJ$167,TRUE)-_xlfn.NORM.DIST(CA$30,economics!$AK$2:$AK$167,economics!$AJ$2:$AJ$167,TRUE))*economics!$AM$2:$AM$167))/(SUMPRODUCT((economics!$AG$2:$AG$167=$B40)*(economics!$D$2:$D$167="whr")*economics!$AI$2:$AI$167*(_xlfn.NORM.DIST(CA$3,economics!$AK$2:$AK$167,economics!$AJ$2:$AJ$167,TRUE)-_xlfn.NORM.DIST(CA$30,economics!$AK$2:$AK$167,economics!$AJ$2:$AJ$167,TRUE)))),"")</f>
        <v/>
      </c>
      <c r="CB40">
        <f t="array" ref="CB40">IFERROR((SUMPRODUCT((economics!$AG$2:$AG$167=$B40)*(economics!$D$2:$D$167="whr")*economics!$AI$2:$AI$167*(_xlfn.NORM.DIST(CB$3,economics!$AK$2:$AK$167,economics!$AJ$2:$AJ$167,TRUE)-_xlfn.NORM.DIST(CB$30,economics!$AK$2:$AK$167,economics!$AJ$2:$AJ$167,TRUE))*economics!$AM$2:$AM$167))/(SUMPRODUCT((economics!$AG$2:$AG$167=$B40)*(economics!$D$2:$D$167="whr")*economics!$AI$2:$AI$167*(_xlfn.NORM.DIST(CB$3,economics!$AK$2:$AK$167,economics!$AJ$2:$AJ$167,TRUE)-_xlfn.NORM.DIST(CB$30,economics!$AK$2:$AK$167,economics!$AJ$2:$AJ$167,TRUE)))),"")</f>
        <v/>
      </c>
      <c r="CC40">
        <f t="array" ref="CC40">IFERROR((SUMPRODUCT((economics!$AG$2:$AG$167=$B40)*(economics!$D$2:$D$167="whr")*economics!$AI$2:$AI$167*(_xlfn.NORM.DIST(CC$3,economics!$AK$2:$AK$167,economics!$AJ$2:$AJ$167,TRUE)-_xlfn.NORM.DIST(CC$30,economics!$AK$2:$AK$167,economics!$AJ$2:$AJ$167,TRUE))*economics!$AM$2:$AM$167))/(SUMPRODUCT((economics!$AG$2:$AG$167=$B40)*(economics!$D$2:$D$167="whr")*economics!$AI$2:$AI$167*(_xlfn.NORM.DIST(CC$3,economics!$AK$2:$AK$167,economics!$AJ$2:$AJ$167,TRUE)-_xlfn.NORM.DIST(CC$30,economics!$AK$2:$AK$167,economics!$AJ$2:$AJ$167,TRUE)))),"")</f>
        <v/>
      </c>
      <c r="CD40">
        <f t="array" ref="CD40">IFERROR((SUMPRODUCT((economics!$AG$2:$AG$167=$B40)*(economics!$D$2:$D$167="whr")*economics!$AI$2:$AI$167*(_xlfn.NORM.DIST(CD$3,economics!$AK$2:$AK$167,economics!$AJ$2:$AJ$167,TRUE)-_xlfn.NORM.DIST(CD$30,economics!$AK$2:$AK$167,economics!$AJ$2:$AJ$167,TRUE))*economics!$AM$2:$AM$167))/(SUMPRODUCT((economics!$AG$2:$AG$167=$B40)*(economics!$D$2:$D$167="whr")*economics!$AI$2:$AI$167*(_xlfn.NORM.DIST(CD$3,economics!$AK$2:$AK$167,economics!$AJ$2:$AJ$167,TRUE)-_xlfn.NORM.DIST(CD$30,economics!$AK$2:$AK$167,economics!$AJ$2:$AJ$167,TRUE)))),"")</f>
        <v/>
      </c>
      <c r="CE40">
        <f t="array" ref="CE40">IFERROR((SUMPRODUCT((economics!$AG$2:$AG$167=$B40)*(economics!$D$2:$D$167="whr")*economics!$AI$2:$AI$167*(_xlfn.NORM.DIST(CE$3,economics!$AK$2:$AK$167,economics!$AJ$2:$AJ$167,TRUE)-_xlfn.NORM.DIST(CE$30,economics!$AK$2:$AK$167,economics!$AJ$2:$AJ$167,TRUE))*economics!$AM$2:$AM$167))/(SUMPRODUCT((economics!$AG$2:$AG$167=$B40)*(economics!$D$2:$D$167="whr")*economics!$AI$2:$AI$167*(_xlfn.NORM.DIST(CE$3,economics!$AK$2:$AK$167,economics!$AJ$2:$AJ$167,TRUE)-_xlfn.NORM.DIST(CE$30,economics!$AK$2:$AK$167,economics!$AJ$2:$AJ$167,TRUE)))),"")</f>
        <v/>
      </c>
      <c r="CF40">
        <f t="array" ref="CF40">IFERROR((SUMPRODUCT((economics!$AG$2:$AG$167=$B40)*(economics!$D$2:$D$167="whr")*economics!$AI$2:$AI$167*(_xlfn.NORM.DIST(CF$3,economics!$AK$2:$AK$167,economics!$AJ$2:$AJ$167,TRUE)-_xlfn.NORM.DIST(CF$30,economics!$AK$2:$AK$167,economics!$AJ$2:$AJ$167,TRUE))*economics!$AM$2:$AM$167))/(SUMPRODUCT((economics!$AG$2:$AG$167=$B40)*(economics!$D$2:$D$167="whr")*economics!$AI$2:$AI$167*(_xlfn.NORM.DIST(CF$3,economics!$AK$2:$AK$167,economics!$AJ$2:$AJ$167,TRUE)-_xlfn.NORM.DIST(CF$30,economics!$AK$2:$AK$167,economics!$AJ$2:$AJ$167,TRUE)))),"")</f>
        <v/>
      </c>
      <c r="CG40">
        <f t="array" ref="CG40">IFERROR((SUMPRODUCT((economics!$AG$2:$AG$167=$B40)*(economics!$D$2:$D$167="whr")*economics!$AI$2:$AI$167*(_xlfn.NORM.DIST(CG$3,economics!$AK$2:$AK$167,economics!$AJ$2:$AJ$167,TRUE)-_xlfn.NORM.DIST(CG$30,economics!$AK$2:$AK$167,economics!$AJ$2:$AJ$167,TRUE))*economics!$AM$2:$AM$167))/(SUMPRODUCT((economics!$AG$2:$AG$167=$B40)*(economics!$D$2:$D$167="whr")*economics!$AI$2:$AI$167*(_xlfn.NORM.DIST(CG$3,economics!$AK$2:$AK$167,economics!$AJ$2:$AJ$167,TRUE)-_xlfn.NORM.DIST(CG$30,economics!$AK$2:$AK$167,economics!$AJ$2:$AJ$167,TRUE)))),"")</f>
        <v/>
      </c>
      <c r="CH40">
        <f t="array" ref="CH40">IFERROR((SUMPRODUCT((economics!$AG$2:$AG$167=$B40)*(economics!$D$2:$D$167="whr")*economics!$AI$2:$AI$167*(_xlfn.NORM.DIST(CH$3,economics!$AK$2:$AK$167,economics!$AJ$2:$AJ$167,TRUE)-_xlfn.NORM.DIST(CH$30,economics!$AK$2:$AK$167,economics!$AJ$2:$AJ$167,TRUE))*economics!$AM$2:$AM$167))/(SUMPRODUCT((economics!$AG$2:$AG$167=$B40)*(economics!$D$2:$D$167="whr")*economics!$AI$2:$AI$167*(_xlfn.NORM.DIST(CH$3,economics!$AK$2:$AK$167,economics!$AJ$2:$AJ$167,TRUE)-_xlfn.NORM.DIST(CH$30,economics!$AK$2:$AK$167,economics!$AJ$2:$AJ$167,TRUE)))),"")</f>
        <v/>
      </c>
    </row>
    <row r="41">
      <c r="A41">
        <f>A12</f>
        <v/>
      </c>
      <c r="B41">
        <f>B12</f>
        <v/>
      </c>
      <c r="E41">
        <f t="array" ref="E41">IFERROR((SUMPRODUCT((economics!$AG$2:$AG$167=$B41)*(economics!$D$2:$D$167="whr")*economics!$AI$2:$AI$167*(_xlfn.NORM.DIST(E$3,economics!$AK$2:$AK$167,economics!$AJ$2:$AJ$167,TRUE)-_xlfn.NORM.DIST(E$30,economics!$AK$2:$AK$167,economics!$AJ$2:$AJ$167,TRUE))*economics!$AM$2:$AM$167))/(SUMPRODUCT((economics!$AG$2:$AG$167=$B41)*(economics!$D$2:$D$167="whr")*economics!$AI$2:$AI$167*(_xlfn.NORM.DIST(E$3,economics!$AK$2:$AK$167,economics!$AJ$2:$AJ$167,TRUE)-_xlfn.NORM.DIST(E$30,economics!$AK$2:$AK$167,economics!$AJ$2:$AJ$167,TRUE)))),"")</f>
        <v/>
      </c>
      <c r="F41">
        <f t="array" ref="F41">IFERROR((SUMPRODUCT((economics!$AG$2:$AG$167=$B41)*(economics!$D$2:$D$167="whr")*economics!$AI$2:$AI$167*(_xlfn.NORM.DIST(F$3,economics!$AK$2:$AK$167,economics!$AJ$2:$AJ$167,TRUE)-_xlfn.NORM.DIST(F$30,economics!$AK$2:$AK$167,economics!$AJ$2:$AJ$167,TRUE))*economics!$AM$2:$AM$167))/(SUMPRODUCT((economics!$AG$2:$AG$167=$B41)*(economics!$D$2:$D$167="whr")*economics!$AI$2:$AI$167*(_xlfn.NORM.DIST(F$3,economics!$AK$2:$AK$167,economics!$AJ$2:$AJ$167,TRUE)-_xlfn.NORM.DIST(F$30,economics!$AK$2:$AK$167,economics!$AJ$2:$AJ$167,TRUE)))),"")</f>
        <v/>
      </c>
      <c r="G41">
        <f t="array" ref="G41">IFERROR((SUMPRODUCT((economics!$AG$2:$AG$167=$B41)*(economics!$D$2:$D$167="whr")*economics!$AI$2:$AI$167*(_xlfn.NORM.DIST(G$3,economics!$AK$2:$AK$167,economics!$AJ$2:$AJ$167,TRUE)-_xlfn.NORM.DIST(G$30,economics!$AK$2:$AK$167,economics!$AJ$2:$AJ$167,TRUE))*economics!$AM$2:$AM$167))/(SUMPRODUCT((economics!$AG$2:$AG$167=$B41)*(economics!$D$2:$D$167="whr")*economics!$AI$2:$AI$167*(_xlfn.NORM.DIST(G$3,economics!$AK$2:$AK$167,economics!$AJ$2:$AJ$167,TRUE)-_xlfn.NORM.DIST(G$30,economics!$AK$2:$AK$167,economics!$AJ$2:$AJ$167,TRUE)))),"")</f>
        <v/>
      </c>
      <c r="H41">
        <f t="array" ref="H41">IFERROR((SUMPRODUCT((economics!$AG$2:$AG$167=$B41)*(economics!$D$2:$D$167="whr")*economics!$AI$2:$AI$167*(_xlfn.NORM.DIST(H$3,economics!$AK$2:$AK$167,economics!$AJ$2:$AJ$167,TRUE)-_xlfn.NORM.DIST(H$30,economics!$AK$2:$AK$167,economics!$AJ$2:$AJ$167,TRUE))*economics!$AM$2:$AM$167))/(SUMPRODUCT((economics!$AG$2:$AG$167=$B41)*(economics!$D$2:$D$167="whr")*economics!$AI$2:$AI$167*(_xlfn.NORM.DIST(H$3,economics!$AK$2:$AK$167,economics!$AJ$2:$AJ$167,TRUE)-_xlfn.NORM.DIST(H$30,economics!$AK$2:$AK$167,economics!$AJ$2:$AJ$167,TRUE)))),"")</f>
        <v/>
      </c>
      <c r="I41">
        <f t="array" ref="I41">IFERROR((SUMPRODUCT((economics!$AG$2:$AG$167=$B41)*(economics!$D$2:$D$167="whr")*economics!$AI$2:$AI$167*(_xlfn.NORM.DIST(I$3,economics!$AK$2:$AK$167,economics!$AJ$2:$AJ$167,TRUE)-_xlfn.NORM.DIST(I$30,economics!$AK$2:$AK$167,economics!$AJ$2:$AJ$167,TRUE))*economics!$AM$2:$AM$167))/(SUMPRODUCT((economics!$AG$2:$AG$167=$B41)*(economics!$D$2:$D$167="whr")*economics!$AI$2:$AI$167*(_xlfn.NORM.DIST(I$3,economics!$AK$2:$AK$167,economics!$AJ$2:$AJ$167,TRUE)-_xlfn.NORM.DIST(I$30,economics!$AK$2:$AK$167,economics!$AJ$2:$AJ$167,TRUE)))),"")</f>
        <v/>
      </c>
      <c r="J41">
        <f t="array" ref="J41">IFERROR((SUMPRODUCT((economics!$AG$2:$AG$167=$B41)*(economics!$D$2:$D$167="whr")*economics!$AI$2:$AI$167*(_xlfn.NORM.DIST(J$3,economics!$AK$2:$AK$167,economics!$AJ$2:$AJ$167,TRUE)-_xlfn.NORM.DIST(J$30,economics!$AK$2:$AK$167,economics!$AJ$2:$AJ$167,TRUE))*economics!$AM$2:$AM$167))/(SUMPRODUCT((economics!$AG$2:$AG$167=$B41)*(economics!$D$2:$D$167="whr")*economics!$AI$2:$AI$167*(_xlfn.NORM.DIST(J$3,economics!$AK$2:$AK$167,economics!$AJ$2:$AJ$167,TRUE)-_xlfn.NORM.DIST(J$30,economics!$AK$2:$AK$167,economics!$AJ$2:$AJ$167,TRUE)))),"")</f>
        <v/>
      </c>
      <c r="K41">
        <f t="array" ref="K41">IFERROR((SUMPRODUCT((economics!$AG$2:$AG$167=$B41)*(economics!$D$2:$D$167="whr")*economics!$AI$2:$AI$167*(_xlfn.NORM.DIST(K$3,economics!$AK$2:$AK$167,economics!$AJ$2:$AJ$167,TRUE)-_xlfn.NORM.DIST(K$30,economics!$AK$2:$AK$167,economics!$AJ$2:$AJ$167,TRUE))*economics!$AM$2:$AM$167))/(SUMPRODUCT((economics!$AG$2:$AG$167=$B41)*(economics!$D$2:$D$167="whr")*economics!$AI$2:$AI$167*(_xlfn.NORM.DIST(K$3,economics!$AK$2:$AK$167,economics!$AJ$2:$AJ$167,TRUE)-_xlfn.NORM.DIST(K$30,economics!$AK$2:$AK$167,economics!$AJ$2:$AJ$167,TRUE)))),"")</f>
        <v/>
      </c>
      <c r="L41">
        <f t="array" ref="L41">IFERROR((SUMPRODUCT((economics!$AG$2:$AG$167=$B41)*(economics!$D$2:$D$167="whr")*economics!$AI$2:$AI$167*(_xlfn.NORM.DIST(L$3,economics!$AK$2:$AK$167,economics!$AJ$2:$AJ$167,TRUE)-_xlfn.NORM.DIST(L$30,economics!$AK$2:$AK$167,economics!$AJ$2:$AJ$167,TRUE))*economics!$AM$2:$AM$167))/(SUMPRODUCT((economics!$AG$2:$AG$167=$B41)*(economics!$D$2:$D$167="whr")*economics!$AI$2:$AI$167*(_xlfn.NORM.DIST(L$3,economics!$AK$2:$AK$167,economics!$AJ$2:$AJ$167,TRUE)-_xlfn.NORM.DIST(L$30,economics!$AK$2:$AK$167,economics!$AJ$2:$AJ$167,TRUE)))),"")</f>
        <v/>
      </c>
      <c r="M41">
        <f t="array" ref="M41">IFERROR((SUMPRODUCT((economics!$AG$2:$AG$167=$B41)*(economics!$D$2:$D$167="whr")*economics!$AI$2:$AI$167*(_xlfn.NORM.DIST(M$3,economics!$AK$2:$AK$167,economics!$AJ$2:$AJ$167,TRUE)-_xlfn.NORM.DIST(M$30,economics!$AK$2:$AK$167,economics!$AJ$2:$AJ$167,TRUE))*economics!$AM$2:$AM$167))/(SUMPRODUCT((economics!$AG$2:$AG$167=$B41)*(economics!$D$2:$D$167="whr")*economics!$AI$2:$AI$167*(_xlfn.NORM.DIST(M$3,economics!$AK$2:$AK$167,economics!$AJ$2:$AJ$167,TRUE)-_xlfn.NORM.DIST(M$30,economics!$AK$2:$AK$167,economics!$AJ$2:$AJ$167,TRUE)))),"")</f>
        <v/>
      </c>
      <c r="N41">
        <f t="array" ref="N41">IFERROR((SUMPRODUCT((economics!$AG$2:$AG$167=$B41)*(economics!$D$2:$D$167="whr")*economics!$AI$2:$AI$167*(_xlfn.NORM.DIST(N$3,economics!$AK$2:$AK$167,economics!$AJ$2:$AJ$167,TRUE)-_xlfn.NORM.DIST(N$30,economics!$AK$2:$AK$167,economics!$AJ$2:$AJ$167,TRUE))*economics!$AM$2:$AM$167))/(SUMPRODUCT((economics!$AG$2:$AG$167=$B41)*(economics!$D$2:$D$167="whr")*economics!$AI$2:$AI$167*(_xlfn.NORM.DIST(N$3,economics!$AK$2:$AK$167,economics!$AJ$2:$AJ$167,TRUE)-_xlfn.NORM.DIST(N$30,economics!$AK$2:$AK$167,economics!$AJ$2:$AJ$167,TRUE)))),"")</f>
        <v/>
      </c>
      <c r="O41">
        <f t="array" ref="O41">IFERROR((SUMPRODUCT((economics!$AG$2:$AG$167=$B41)*(economics!$D$2:$D$167="whr")*economics!$AI$2:$AI$167*(_xlfn.NORM.DIST(O$3,economics!$AK$2:$AK$167,economics!$AJ$2:$AJ$167,TRUE)-_xlfn.NORM.DIST(O$30,economics!$AK$2:$AK$167,economics!$AJ$2:$AJ$167,TRUE))*economics!$AM$2:$AM$167))/(SUMPRODUCT((economics!$AG$2:$AG$167=$B41)*(economics!$D$2:$D$167="whr")*economics!$AI$2:$AI$167*(_xlfn.NORM.DIST(O$3,economics!$AK$2:$AK$167,economics!$AJ$2:$AJ$167,TRUE)-_xlfn.NORM.DIST(O$30,economics!$AK$2:$AK$167,economics!$AJ$2:$AJ$167,TRUE)))),"")</f>
        <v/>
      </c>
      <c r="P41">
        <f t="array" ref="P41">IFERROR((SUMPRODUCT((economics!$AG$2:$AG$167=$B41)*(economics!$D$2:$D$167="whr")*economics!$AI$2:$AI$167*(_xlfn.NORM.DIST(P$3,economics!$AK$2:$AK$167,economics!$AJ$2:$AJ$167,TRUE)-_xlfn.NORM.DIST(P$30,economics!$AK$2:$AK$167,economics!$AJ$2:$AJ$167,TRUE))*economics!$AM$2:$AM$167))/(SUMPRODUCT((economics!$AG$2:$AG$167=$B41)*(economics!$D$2:$D$167="whr")*economics!$AI$2:$AI$167*(_xlfn.NORM.DIST(P$3,economics!$AK$2:$AK$167,economics!$AJ$2:$AJ$167,TRUE)-_xlfn.NORM.DIST(P$30,economics!$AK$2:$AK$167,economics!$AJ$2:$AJ$167,TRUE)))),"")</f>
        <v/>
      </c>
      <c r="Q41">
        <f t="array" ref="Q41">IFERROR((SUMPRODUCT((economics!$AG$2:$AG$167=$B41)*(economics!$D$2:$D$167="whr")*economics!$AI$2:$AI$167*(_xlfn.NORM.DIST(Q$3,economics!$AK$2:$AK$167,economics!$AJ$2:$AJ$167,TRUE)-_xlfn.NORM.DIST(Q$30,economics!$AK$2:$AK$167,economics!$AJ$2:$AJ$167,TRUE))*economics!$AM$2:$AM$167))/(SUMPRODUCT((economics!$AG$2:$AG$167=$B41)*(economics!$D$2:$D$167="whr")*economics!$AI$2:$AI$167*(_xlfn.NORM.DIST(Q$3,economics!$AK$2:$AK$167,economics!$AJ$2:$AJ$167,TRUE)-_xlfn.NORM.DIST(Q$30,economics!$AK$2:$AK$167,economics!$AJ$2:$AJ$167,TRUE)))),"")</f>
        <v/>
      </c>
      <c r="R41">
        <f t="array" ref="R41">IFERROR((SUMPRODUCT((economics!$AG$2:$AG$167=$B41)*(economics!$D$2:$D$167="whr")*economics!$AI$2:$AI$167*(_xlfn.NORM.DIST(R$3,economics!$AK$2:$AK$167,economics!$AJ$2:$AJ$167,TRUE)-_xlfn.NORM.DIST(R$30,economics!$AK$2:$AK$167,economics!$AJ$2:$AJ$167,TRUE))*economics!$AM$2:$AM$167))/(SUMPRODUCT((economics!$AG$2:$AG$167=$B41)*(economics!$D$2:$D$167="whr")*economics!$AI$2:$AI$167*(_xlfn.NORM.DIST(R$3,economics!$AK$2:$AK$167,economics!$AJ$2:$AJ$167,TRUE)-_xlfn.NORM.DIST(R$30,economics!$AK$2:$AK$167,economics!$AJ$2:$AJ$167,TRUE)))),"")</f>
        <v/>
      </c>
      <c r="S41">
        <f t="array" ref="S41">IFERROR((SUMPRODUCT((economics!$AG$2:$AG$167=$B41)*(economics!$D$2:$D$167="whr")*economics!$AI$2:$AI$167*(_xlfn.NORM.DIST(S$3,economics!$AK$2:$AK$167,economics!$AJ$2:$AJ$167,TRUE)-_xlfn.NORM.DIST(S$30,economics!$AK$2:$AK$167,economics!$AJ$2:$AJ$167,TRUE))*economics!$AM$2:$AM$167))/(SUMPRODUCT((economics!$AG$2:$AG$167=$B41)*(economics!$D$2:$D$167="whr")*economics!$AI$2:$AI$167*(_xlfn.NORM.DIST(S$3,economics!$AK$2:$AK$167,economics!$AJ$2:$AJ$167,TRUE)-_xlfn.NORM.DIST(S$30,economics!$AK$2:$AK$167,economics!$AJ$2:$AJ$167,TRUE)))),"")</f>
        <v/>
      </c>
      <c r="T41">
        <f t="array" ref="T41">IFERROR((SUMPRODUCT((economics!$AG$2:$AG$167=$B41)*(economics!$D$2:$D$167="whr")*economics!$AI$2:$AI$167*(_xlfn.NORM.DIST(T$3,economics!$AK$2:$AK$167,economics!$AJ$2:$AJ$167,TRUE)-_xlfn.NORM.DIST(T$30,economics!$AK$2:$AK$167,economics!$AJ$2:$AJ$167,TRUE))*economics!$AM$2:$AM$167))/(SUMPRODUCT((economics!$AG$2:$AG$167=$B41)*(economics!$D$2:$D$167="whr")*economics!$AI$2:$AI$167*(_xlfn.NORM.DIST(T$3,economics!$AK$2:$AK$167,economics!$AJ$2:$AJ$167,TRUE)-_xlfn.NORM.DIST(T$30,economics!$AK$2:$AK$167,economics!$AJ$2:$AJ$167,TRUE)))),"")</f>
        <v/>
      </c>
      <c r="U41">
        <f t="array" ref="U41">IFERROR((SUMPRODUCT((economics!$AG$2:$AG$167=$B41)*(economics!$D$2:$D$167="whr")*economics!$AI$2:$AI$167*(_xlfn.NORM.DIST(U$3,economics!$AK$2:$AK$167,economics!$AJ$2:$AJ$167,TRUE)-_xlfn.NORM.DIST(U$30,economics!$AK$2:$AK$167,economics!$AJ$2:$AJ$167,TRUE))*economics!$AM$2:$AM$167))/(SUMPRODUCT((economics!$AG$2:$AG$167=$B41)*(economics!$D$2:$D$167="whr")*economics!$AI$2:$AI$167*(_xlfn.NORM.DIST(U$3,economics!$AK$2:$AK$167,economics!$AJ$2:$AJ$167,TRUE)-_xlfn.NORM.DIST(U$30,economics!$AK$2:$AK$167,economics!$AJ$2:$AJ$167,TRUE)))),"")</f>
        <v/>
      </c>
      <c r="V41">
        <f t="array" ref="V41">IFERROR((SUMPRODUCT((economics!$AG$2:$AG$167=$B41)*(economics!$D$2:$D$167="whr")*economics!$AI$2:$AI$167*(_xlfn.NORM.DIST(V$3,economics!$AK$2:$AK$167,economics!$AJ$2:$AJ$167,TRUE)-_xlfn.NORM.DIST(V$30,economics!$AK$2:$AK$167,economics!$AJ$2:$AJ$167,TRUE))*economics!$AM$2:$AM$167))/(SUMPRODUCT((economics!$AG$2:$AG$167=$B41)*(economics!$D$2:$D$167="whr")*economics!$AI$2:$AI$167*(_xlfn.NORM.DIST(V$3,economics!$AK$2:$AK$167,economics!$AJ$2:$AJ$167,TRUE)-_xlfn.NORM.DIST(V$30,economics!$AK$2:$AK$167,economics!$AJ$2:$AJ$167,TRUE)))),"")</f>
        <v/>
      </c>
      <c r="W41">
        <f t="array" ref="W41">IFERROR((SUMPRODUCT((economics!$AG$2:$AG$167=$B41)*(economics!$D$2:$D$167="whr")*economics!$AI$2:$AI$167*(_xlfn.NORM.DIST(W$3,economics!$AK$2:$AK$167,economics!$AJ$2:$AJ$167,TRUE)-_xlfn.NORM.DIST(W$30,economics!$AK$2:$AK$167,economics!$AJ$2:$AJ$167,TRUE))*economics!$AM$2:$AM$167))/(SUMPRODUCT((economics!$AG$2:$AG$167=$B41)*(economics!$D$2:$D$167="whr")*economics!$AI$2:$AI$167*(_xlfn.NORM.DIST(W$3,economics!$AK$2:$AK$167,economics!$AJ$2:$AJ$167,TRUE)-_xlfn.NORM.DIST(W$30,economics!$AK$2:$AK$167,economics!$AJ$2:$AJ$167,TRUE)))),"")</f>
        <v/>
      </c>
      <c r="X41">
        <f t="array" ref="X41">IFERROR((SUMPRODUCT((economics!$AG$2:$AG$167=$B41)*(economics!$D$2:$D$167="whr")*economics!$AI$2:$AI$167*(_xlfn.NORM.DIST(X$3,economics!$AK$2:$AK$167,economics!$AJ$2:$AJ$167,TRUE)-_xlfn.NORM.DIST(X$30,economics!$AK$2:$AK$167,economics!$AJ$2:$AJ$167,TRUE))*economics!$AM$2:$AM$167))/(SUMPRODUCT((economics!$AG$2:$AG$167=$B41)*(economics!$D$2:$D$167="whr")*economics!$AI$2:$AI$167*(_xlfn.NORM.DIST(X$3,economics!$AK$2:$AK$167,economics!$AJ$2:$AJ$167,TRUE)-_xlfn.NORM.DIST(X$30,economics!$AK$2:$AK$167,economics!$AJ$2:$AJ$167,TRUE)))),"")</f>
        <v/>
      </c>
      <c r="Y41">
        <f t="array" ref="Y41">IFERROR((SUMPRODUCT((economics!$AG$2:$AG$167=$B41)*(economics!$D$2:$D$167="whr")*economics!$AI$2:$AI$167*(_xlfn.NORM.DIST(Y$3,economics!$AK$2:$AK$167,economics!$AJ$2:$AJ$167,TRUE)-_xlfn.NORM.DIST(Y$30,economics!$AK$2:$AK$167,economics!$AJ$2:$AJ$167,TRUE))*economics!$AM$2:$AM$167))/(SUMPRODUCT((economics!$AG$2:$AG$167=$B41)*(economics!$D$2:$D$167="whr")*economics!$AI$2:$AI$167*(_xlfn.NORM.DIST(Y$3,economics!$AK$2:$AK$167,economics!$AJ$2:$AJ$167,TRUE)-_xlfn.NORM.DIST(Y$30,economics!$AK$2:$AK$167,economics!$AJ$2:$AJ$167,TRUE)))),"")</f>
        <v/>
      </c>
      <c r="Z41">
        <f t="array" ref="Z41">IFERROR((SUMPRODUCT((economics!$AG$2:$AG$167=$B41)*(economics!$D$2:$D$167="whr")*economics!$AI$2:$AI$167*(_xlfn.NORM.DIST(Z$3,economics!$AK$2:$AK$167,economics!$AJ$2:$AJ$167,TRUE)-_xlfn.NORM.DIST(Z$30,economics!$AK$2:$AK$167,economics!$AJ$2:$AJ$167,TRUE))*economics!$AM$2:$AM$167))/(SUMPRODUCT((economics!$AG$2:$AG$167=$B41)*(economics!$D$2:$D$167="whr")*economics!$AI$2:$AI$167*(_xlfn.NORM.DIST(Z$3,economics!$AK$2:$AK$167,economics!$AJ$2:$AJ$167,TRUE)-_xlfn.NORM.DIST(Z$30,economics!$AK$2:$AK$167,economics!$AJ$2:$AJ$167,TRUE)))),"")</f>
        <v/>
      </c>
      <c r="AA41">
        <f t="array" ref="AA41">IFERROR((SUMPRODUCT((economics!$AG$2:$AG$167=$B41)*(economics!$D$2:$D$167="whr")*economics!$AI$2:$AI$167*(_xlfn.NORM.DIST(AA$3,economics!$AK$2:$AK$167,economics!$AJ$2:$AJ$167,TRUE)-_xlfn.NORM.DIST(AA$30,economics!$AK$2:$AK$167,economics!$AJ$2:$AJ$167,TRUE))*economics!$AM$2:$AM$167))/(SUMPRODUCT((economics!$AG$2:$AG$167=$B41)*(economics!$D$2:$D$167="whr")*economics!$AI$2:$AI$167*(_xlfn.NORM.DIST(AA$3,economics!$AK$2:$AK$167,economics!$AJ$2:$AJ$167,TRUE)-_xlfn.NORM.DIST(AA$30,economics!$AK$2:$AK$167,economics!$AJ$2:$AJ$167,TRUE)))),"")</f>
        <v/>
      </c>
      <c r="AB41">
        <f t="array" ref="AB41">IFERROR((SUMPRODUCT((economics!$AG$2:$AG$167=$B41)*(economics!$D$2:$D$167="whr")*economics!$AI$2:$AI$167*(_xlfn.NORM.DIST(AB$3,economics!$AK$2:$AK$167,economics!$AJ$2:$AJ$167,TRUE)-_xlfn.NORM.DIST(AB$30,economics!$AK$2:$AK$167,economics!$AJ$2:$AJ$167,TRUE))*economics!$AM$2:$AM$167))/(SUMPRODUCT((economics!$AG$2:$AG$167=$B41)*(economics!$D$2:$D$167="whr")*economics!$AI$2:$AI$167*(_xlfn.NORM.DIST(AB$3,economics!$AK$2:$AK$167,economics!$AJ$2:$AJ$167,TRUE)-_xlfn.NORM.DIST(AB$30,economics!$AK$2:$AK$167,economics!$AJ$2:$AJ$167,TRUE)))),"")</f>
        <v/>
      </c>
      <c r="AC41">
        <f t="array" ref="AC41">IFERROR((SUMPRODUCT((economics!$AG$2:$AG$167=$B41)*(economics!$D$2:$D$167="whr")*economics!$AI$2:$AI$167*(_xlfn.NORM.DIST(AC$3,economics!$AK$2:$AK$167,economics!$AJ$2:$AJ$167,TRUE)-_xlfn.NORM.DIST(AC$30,economics!$AK$2:$AK$167,economics!$AJ$2:$AJ$167,TRUE))*economics!$AM$2:$AM$167))/(SUMPRODUCT((economics!$AG$2:$AG$167=$B41)*(economics!$D$2:$D$167="whr")*economics!$AI$2:$AI$167*(_xlfn.NORM.DIST(AC$3,economics!$AK$2:$AK$167,economics!$AJ$2:$AJ$167,TRUE)-_xlfn.NORM.DIST(AC$30,economics!$AK$2:$AK$167,economics!$AJ$2:$AJ$167,TRUE)))),"")</f>
        <v/>
      </c>
      <c r="AD41">
        <f t="array" ref="AD41">IFERROR((SUMPRODUCT((economics!$AG$2:$AG$167=$B41)*(economics!$D$2:$D$167="whr")*economics!$AI$2:$AI$167*(_xlfn.NORM.DIST(AD$3,economics!$AK$2:$AK$167,economics!$AJ$2:$AJ$167,TRUE)-_xlfn.NORM.DIST(AD$30,economics!$AK$2:$AK$167,economics!$AJ$2:$AJ$167,TRUE))*economics!$AM$2:$AM$167))/(SUMPRODUCT((economics!$AG$2:$AG$167=$B41)*(economics!$D$2:$D$167="whr")*economics!$AI$2:$AI$167*(_xlfn.NORM.DIST(AD$3,economics!$AK$2:$AK$167,economics!$AJ$2:$AJ$167,TRUE)-_xlfn.NORM.DIST(AD$30,economics!$AK$2:$AK$167,economics!$AJ$2:$AJ$167,TRUE)))),"")</f>
        <v/>
      </c>
      <c r="AE41">
        <f t="array" ref="AE41">IFERROR((SUMPRODUCT((economics!$AG$2:$AG$167=$B41)*(economics!$D$2:$D$167="whr")*economics!$AI$2:$AI$167*(_xlfn.NORM.DIST(AE$3,economics!$AK$2:$AK$167,economics!$AJ$2:$AJ$167,TRUE)-_xlfn.NORM.DIST(AE$30,economics!$AK$2:$AK$167,economics!$AJ$2:$AJ$167,TRUE))*economics!$AM$2:$AM$167))/(SUMPRODUCT((economics!$AG$2:$AG$167=$B41)*(economics!$D$2:$D$167="whr")*economics!$AI$2:$AI$167*(_xlfn.NORM.DIST(AE$3,economics!$AK$2:$AK$167,economics!$AJ$2:$AJ$167,TRUE)-_xlfn.NORM.DIST(AE$30,economics!$AK$2:$AK$167,economics!$AJ$2:$AJ$167,TRUE)))),"")</f>
        <v/>
      </c>
      <c r="AF41">
        <f t="array" ref="AF41">IFERROR((SUMPRODUCT((economics!$AG$2:$AG$167=$B41)*(economics!$D$2:$D$167="whr")*economics!$AI$2:$AI$167*(_xlfn.NORM.DIST(AF$3,economics!$AK$2:$AK$167,economics!$AJ$2:$AJ$167,TRUE)-_xlfn.NORM.DIST(AF$30,economics!$AK$2:$AK$167,economics!$AJ$2:$AJ$167,TRUE))*economics!$AM$2:$AM$167))/(SUMPRODUCT((economics!$AG$2:$AG$167=$B41)*(economics!$D$2:$D$167="whr")*economics!$AI$2:$AI$167*(_xlfn.NORM.DIST(AF$3,economics!$AK$2:$AK$167,economics!$AJ$2:$AJ$167,TRUE)-_xlfn.NORM.DIST(AF$30,economics!$AK$2:$AK$167,economics!$AJ$2:$AJ$167,TRUE)))),"")</f>
        <v/>
      </c>
      <c r="AG41">
        <f t="array" ref="AG41">IFERROR((SUMPRODUCT((economics!$AG$2:$AG$167=$B41)*(economics!$D$2:$D$167="whr")*economics!$AI$2:$AI$167*(_xlfn.NORM.DIST(AG$3,economics!$AK$2:$AK$167,economics!$AJ$2:$AJ$167,TRUE)-_xlfn.NORM.DIST(AG$30,economics!$AK$2:$AK$167,economics!$AJ$2:$AJ$167,TRUE))*economics!$AM$2:$AM$167))/(SUMPRODUCT((economics!$AG$2:$AG$167=$B41)*(economics!$D$2:$D$167="whr")*economics!$AI$2:$AI$167*(_xlfn.NORM.DIST(AG$3,economics!$AK$2:$AK$167,economics!$AJ$2:$AJ$167,TRUE)-_xlfn.NORM.DIST(AG$30,economics!$AK$2:$AK$167,economics!$AJ$2:$AJ$167,TRUE)))),"")</f>
        <v/>
      </c>
      <c r="AH41">
        <f t="array" ref="AH41">IFERROR((SUMPRODUCT((economics!$AG$2:$AG$167=$B41)*(economics!$D$2:$D$167="whr")*economics!$AI$2:$AI$167*(_xlfn.NORM.DIST(AH$3,economics!$AK$2:$AK$167,economics!$AJ$2:$AJ$167,TRUE)-_xlfn.NORM.DIST(AH$30,economics!$AK$2:$AK$167,economics!$AJ$2:$AJ$167,TRUE))*economics!$AM$2:$AM$167))/(SUMPRODUCT((economics!$AG$2:$AG$167=$B41)*(economics!$D$2:$D$167="whr")*economics!$AI$2:$AI$167*(_xlfn.NORM.DIST(AH$3,economics!$AK$2:$AK$167,economics!$AJ$2:$AJ$167,TRUE)-_xlfn.NORM.DIST(AH$30,economics!$AK$2:$AK$167,economics!$AJ$2:$AJ$167,TRUE)))),"")</f>
        <v/>
      </c>
      <c r="AI41">
        <f t="array" ref="AI41">IFERROR((SUMPRODUCT((economics!$AG$2:$AG$167=$B41)*(economics!$D$2:$D$167="whr")*economics!$AI$2:$AI$167*(_xlfn.NORM.DIST(AI$3,economics!$AK$2:$AK$167,economics!$AJ$2:$AJ$167,TRUE)-_xlfn.NORM.DIST(AI$30,economics!$AK$2:$AK$167,economics!$AJ$2:$AJ$167,TRUE))*economics!$AM$2:$AM$167))/(SUMPRODUCT((economics!$AG$2:$AG$167=$B41)*(economics!$D$2:$D$167="whr")*economics!$AI$2:$AI$167*(_xlfn.NORM.DIST(AI$3,economics!$AK$2:$AK$167,economics!$AJ$2:$AJ$167,TRUE)-_xlfn.NORM.DIST(AI$30,economics!$AK$2:$AK$167,economics!$AJ$2:$AJ$167,TRUE)))),"")</f>
        <v/>
      </c>
      <c r="AJ41">
        <f t="array" ref="AJ41">IFERROR((SUMPRODUCT((economics!$AG$2:$AG$167=$B41)*(economics!$D$2:$D$167="whr")*economics!$AI$2:$AI$167*(_xlfn.NORM.DIST(AJ$3,economics!$AK$2:$AK$167,economics!$AJ$2:$AJ$167,TRUE)-_xlfn.NORM.DIST(AJ$30,economics!$AK$2:$AK$167,economics!$AJ$2:$AJ$167,TRUE))*economics!$AM$2:$AM$167))/(SUMPRODUCT((economics!$AG$2:$AG$167=$B41)*(economics!$D$2:$D$167="whr")*economics!$AI$2:$AI$167*(_xlfn.NORM.DIST(AJ$3,economics!$AK$2:$AK$167,economics!$AJ$2:$AJ$167,TRUE)-_xlfn.NORM.DIST(AJ$30,economics!$AK$2:$AK$167,economics!$AJ$2:$AJ$167,TRUE)))),"")</f>
        <v/>
      </c>
      <c r="AK41">
        <f t="array" ref="AK41">IFERROR((SUMPRODUCT((economics!$AG$2:$AG$167=$B41)*(economics!$D$2:$D$167="whr")*economics!$AI$2:$AI$167*(_xlfn.NORM.DIST(AK$3,economics!$AK$2:$AK$167,economics!$AJ$2:$AJ$167,TRUE)-_xlfn.NORM.DIST(AK$30,economics!$AK$2:$AK$167,economics!$AJ$2:$AJ$167,TRUE))*economics!$AM$2:$AM$167))/(SUMPRODUCT((economics!$AG$2:$AG$167=$B41)*(economics!$D$2:$D$167="whr")*economics!$AI$2:$AI$167*(_xlfn.NORM.DIST(AK$3,economics!$AK$2:$AK$167,economics!$AJ$2:$AJ$167,TRUE)-_xlfn.NORM.DIST(AK$30,economics!$AK$2:$AK$167,economics!$AJ$2:$AJ$167,TRUE)))),"")</f>
        <v/>
      </c>
      <c r="AL41">
        <f t="array" ref="AL41">IFERROR((SUMPRODUCT((economics!$AG$2:$AG$167=$B41)*(economics!$D$2:$D$167="whr")*economics!$AI$2:$AI$167*(_xlfn.NORM.DIST(AL$3,economics!$AK$2:$AK$167,economics!$AJ$2:$AJ$167,TRUE)-_xlfn.NORM.DIST(AL$30,economics!$AK$2:$AK$167,economics!$AJ$2:$AJ$167,TRUE))*economics!$AM$2:$AM$167))/(SUMPRODUCT((economics!$AG$2:$AG$167=$B41)*(economics!$D$2:$D$167="whr")*economics!$AI$2:$AI$167*(_xlfn.NORM.DIST(AL$3,economics!$AK$2:$AK$167,economics!$AJ$2:$AJ$167,TRUE)-_xlfn.NORM.DIST(AL$30,economics!$AK$2:$AK$167,economics!$AJ$2:$AJ$167,TRUE)))),"")</f>
        <v/>
      </c>
      <c r="AM41">
        <f t="array" ref="AM41">IFERROR((SUMPRODUCT((economics!$AG$2:$AG$167=$B41)*(economics!$D$2:$D$167="whr")*economics!$AI$2:$AI$167*(_xlfn.NORM.DIST(AM$3,economics!$AK$2:$AK$167,economics!$AJ$2:$AJ$167,TRUE)-_xlfn.NORM.DIST(AM$30,economics!$AK$2:$AK$167,economics!$AJ$2:$AJ$167,TRUE))*economics!$AM$2:$AM$167))/(SUMPRODUCT((economics!$AG$2:$AG$167=$B41)*(economics!$D$2:$D$167="whr")*economics!$AI$2:$AI$167*(_xlfn.NORM.DIST(AM$3,economics!$AK$2:$AK$167,economics!$AJ$2:$AJ$167,TRUE)-_xlfn.NORM.DIST(AM$30,economics!$AK$2:$AK$167,economics!$AJ$2:$AJ$167,TRUE)))),"")</f>
        <v/>
      </c>
      <c r="AN41">
        <f t="array" ref="AN41">IFERROR((SUMPRODUCT((economics!$AG$2:$AG$167=$B41)*(economics!$D$2:$D$167="whr")*economics!$AI$2:$AI$167*(_xlfn.NORM.DIST(AN$3,economics!$AK$2:$AK$167,economics!$AJ$2:$AJ$167,TRUE)-_xlfn.NORM.DIST(AN$30,economics!$AK$2:$AK$167,economics!$AJ$2:$AJ$167,TRUE))*economics!$AM$2:$AM$167))/(SUMPRODUCT((economics!$AG$2:$AG$167=$B41)*(economics!$D$2:$D$167="whr")*economics!$AI$2:$AI$167*(_xlfn.NORM.DIST(AN$3,economics!$AK$2:$AK$167,economics!$AJ$2:$AJ$167,TRUE)-_xlfn.NORM.DIST(AN$30,economics!$AK$2:$AK$167,economics!$AJ$2:$AJ$167,TRUE)))),"")</f>
        <v/>
      </c>
      <c r="AO41">
        <f t="array" ref="AO41">IFERROR((SUMPRODUCT((economics!$AG$2:$AG$167=$B41)*(economics!$D$2:$D$167="whr")*economics!$AI$2:$AI$167*(_xlfn.NORM.DIST(AO$3,economics!$AK$2:$AK$167,economics!$AJ$2:$AJ$167,TRUE)-_xlfn.NORM.DIST(AO$30,economics!$AK$2:$AK$167,economics!$AJ$2:$AJ$167,TRUE))*economics!$AM$2:$AM$167))/(SUMPRODUCT((economics!$AG$2:$AG$167=$B41)*(economics!$D$2:$D$167="whr")*economics!$AI$2:$AI$167*(_xlfn.NORM.DIST(AO$3,economics!$AK$2:$AK$167,economics!$AJ$2:$AJ$167,TRUE)-_xlfn.NORM.DIST(AO$30,economics!$AK$2:$AK$167,economics!$AJ$2:$AJ$167,TRUE)))),"")</f>
        <v/>
      </c>
      <c r="AP41">
        <f t="array" ref="AP41">IFERROR((SUMPRODUCT((economics!$AG$2:$AG$167=$B41)*(economics!$D$2:$D$167="whr")*economics!$AI$2:$AI$167*(_xlfn.NORM.DIST(AP$3,economics!$AK$2:$AK$167,economics!$AJ$2:$AJ$167,TRUE)-_xlfn.NORM.DIST(AP$30,economics!$AK$2:$AK$167,economics!$AJ$2:$AJ$167,TRUE))*economics!$AM$2:$AM$167))/(SUMPRODUCT((economics!$AG$2:$AG$167=$B41)*(economics!$D$2:$D$167="whr")*economics!$AI$2:$AI$167*(_xlfn.NORM.DIST(AP$3,economics!$AK$2:$AK$167,economics!$AJ$2:$AJ$167,TRUE)-_xlfn.NORM.DIST(AP$30,economics!$AK$2:$AK$167,economics!$AJ$2:$AJ$167,TRUE)))),"")</f>
        <v/>
      </c>
      <c r="AQ41">
        <f t="array" ref="AQ41">IFERROR((SUMPRODUCT((economics!$AG$2:$AG$167=$B41)*(economics!$D$2:$D$167="whr")*economics!$AI$2:$AI$167*(_xlfn.NORM.DIST(AQ$3,economics!$AK$2:$AK$167,economics!$AJ$2:$AJ$167,TRUE)-_xlfn.NORM.DIST(AQ$30,economics!$AK$2:$AK$167,economics!$AJ$2:$AJ$167,TRUE))*economics!$AM$2:$AM$167))/(SUMPRODUCT((economics!$AG$2:$AG$167=$B41)*(economics!$D$2:$D$167="whr")*economics!$AI$2:$AI$167*(_xlfn.NORM.DIST(AQ$3,economics!$AK$2:$AK$167,economics!$AJ$2:$AJ$167,TRUE)-_xlfn.NORM.DIST(AQ$30,economics!$AK$2:$AK$167,economics!$AJ$2:$AJ$167,TRUE)))),"")</f>
        <v/>
      </c>
      <c r="AR41">
        <f t="array" ref="AR41">IFERROR((SUMPRODUCT((economics!$AG$2:$AG$167=$B41)*(economics!$D$2:$D$167="whr")*economics!$AI$2:$AI$167*(_xlfn.NORM.DIST(AR$3,economics!$AK$2:$AK$167,economics!$AJ$2:$AJ$167,TRUE)-_xlfn.NORM.DIST(AR$30,economics!$AK$2:$AK$167,economics!$AJ$2:$AJ$167,TRUE))*economics!$AM$2:$AM$167))/(SUMPRODUCT((economics!$AG$2:$AG$167=$B41)*(economics!$D$2:$D$167="whr")*economics!$AI$2:$AI$167*(_xlfn.NORM.DIST(AR$3,economics!$AK$2:$AK$167,economics!$AJ$2:$AJ$167,TRUE)-_xlfn.NORM.DIST(AR$30,economics!$AK$2:$AK$167,economics!$AJ$2:$AJ$167,TRUE)))),"")</f>
        <v/>
      </c>
      <c r="AS41">
        <f t="array" ref="AS41">IFERROR((SUMPRODUCT((economics!$AG$2:$AG$167=$B41)*(economics!$D$2:$D$167="whr")*economics!$AI$2:$AI$167*(_xlfn.NORM.DIST(AS$3,economics!$AK$2:$AK$167,economics!$AJ$2:$AJ$167,TRUE)-_xlfn.NORM.DIST(AS$30,economics!$AK$2:$AK$167,economics!$AJ$2:$AJ$167,TRUE))*economics!$AM$2:$AM$167))/(SUMPRODUCT((economics!$AG$2:$AG$167=$B41)*(economics!$D$2:$D$167="whr")*economics!$AI$2:$AI$167*(_xlfn.NORM.DIST(AS$3,economics!$AK$2:$AK$167,economics!$AJ$2:$AJ$167,TRUE)-_xlfn.NORM.DIST(AS$30,economics!$AK$2:$AK$167,economics!$AJ$2:$AJ$167,TRUE)))),"")</f>
        <v/>
      </c>
      <c r="AT41">
        <f t="array" ref="AT41">IFERROR((SUMPRODUCT((economics!$AG$2:$AG$167=$B41)*(economics!$D$2:$D$167="whr")*economics!$AI$2:$AI$167*(_xlfn.NORM.DIST(AT$3,economics!$AK$2:$AK$167,economics!$AJ$2:$AJ$167,TRUE)-_xlfn.NORM.DIST(AT$30,economics!$AK$2:$AK$167,economics!$AJ$2:$AJ$167,TRUE))*economics!$AM$2:$AM$167))/(SUMPRODUCT((economics!$AG$2:$AG$167=$B41)*(economics!$D$2:$D$167="whr")*economics!$AI$2:$AI$167*(_xlfn.NORM.DIST(AT$3,economics!$AK$2:$AK$167,economics!$AJ$2:$AJ$167,TRUE)-_xlfn.NORM.DIST(AT$30,economics!$AK$2:$AK$167,economics!$AJ$2:$AJ$167,TRUE)))),"")</f>
        <v/>
      </c>
      <c r="AU41">
        <f t="array" ref="AU41">IFERROR((SUMPRODUCT((economics!$AG$2:$AG$167=$B41)*(economics!$D$2:$D$167="whr")*economics!$AI$2:$AI$167*(_xlfn.NORM.DIST(AU$3,economics!$AK$2:$AK$167,economics!$AJ$2:$AJ$167,TRUE)-_xlfn.NORM.DIST(AU$30,economics!$AK$2:$AK$167,economics!$AJ$2:$AJ$167,TRUE))*economics!$AM$2:$AM$167))/(SUMPRODUCT((economics!$AG$2:$AG$167=$B41)*(economics!$D$2:$D$167="whr")*economics!$AI$2:$AI$167*(_xlfn.NORM.DIST(AU$3,economics!$AK$2:$AK$167,economics!$AJ$2:$AJ$167,TRUE)-_xlfn.NORM.DIST(AU$30,economics!$AK$2:$AK$167,economics!$AJ$2:$AJ$167,TRUE)))),"")</f>
        <v/>
      </c>
      <c r="AV41">
        <f t="array" ref="AV41">IFERROR((SUMPRODUCT((economics!$AG$2:$AG$167=$B41)*(economics!$D$2:$D$167="whr")*economics!$AI$2:$AI$167*(_xlfn.NORM.DIST(AV$3,economics!$AK$2:$AK$167,economics!$AJ$2:$AJ$167,TRUE)-_xlfn.NORM.DIST(AV$30,economics!$AK$2:$AK$167,economics!$AJ$2:$AJ$167,TRUE))*economics!$AM$2:$AM$167))/(SUMPRODUCT((economics!$AG$2:$AG$167=$B41)*(economics!$D$2:$D$167="whr")*economics!$AI$2:$AI$167*(_xlfn.NORM.DIST(AV$3,economics!$AK$2:$AK$167,economics!$AJ$2:$AJ$167,TRUE)-_xlfn.NORM.DIST(AV$30,economics!$AK$2:$AK$167,economics!$AJ$2:$AJ$167,TRUE)))),"")</f>
        <v/>
      </c>
      <c r="AW41">
        <f t="array" ref="AW41">IFERROR((SUMPRODUCT((economics!$AG$2:$AG$167=$B41)*(economics!$D$2:$D$167="whr")*economics!$AI$2:$AI$167*(_xlfn.NORM.DIST(AW$3,economics!$AK$2:$AK$167,economics!$AJ$2:$AJ$167,TRUE)-_xlfn.NORM.DIST(AW$30,economics!$AK$2:$AK$167,economics!$AJ$2:$AJ$167,TRUE))*economics!$AM$2:$AM$167))/(SUMPRODUCT((economics!$AG$2:$AG$167=$B41)*(economics!$D$2:$D$167="whr")*economics!$AI$2:$AI$167*(_xlfn.NORM.DIST(AW$3,economics!$AK$2:$AK$167,economics!$AJ$2:$AJ$167,TRUE)-_xlfn.NORM.DIST(AW$30,economics!$AK$2:$AK$167,economics!$AJ$2:$AJ$167,TRUE)))),"")</f>
        <v/>
      </c>
      <c r="AX41">
        <f t="array" ref="AX41">IFERROR((SUMPRODUCT((economics!$AG$2:$AG$167=$B41)*(economics!$D$2:$D$167="whr")*economics!$AI$2:$AI$167*(_xlfn.NORM.DIST(AX$3,economics!$AK$2:$AK$167,economics!$AJ$2:$AJ$167,TRUE)-_xlfn.NORM.DIST(AX$30,economics!$AK$2:$AK$167,economics!$AJ$2:$AJ$167,TRUE))*economics!$AM$2:$AM$167))/(SUMPRODUCT((economics!$AG$2:$AG$167=$B41)*(economics!$D$2:$D$167="whr")*economics!$AI$2:$AI$167*(_xlfn.NORM.DIST(AX$3,economics!$AK$2:$AK$167,economics!$AJ$2:$AJ$167,TRUE)-_xlfn.NORM.DIST(AX$30,economics!$AK$2:$AK$167,economics!$AJ$2:$AJ$167,TRUE)))),"")</f>
        <v/>
      </c>
      <c r="AY41">
        <f t="array" ref="AY41">IFERROR((SUMPRODUCT((economics!$AG$2:$AG$167=$B41)*(economics!$D$2:$D$167="whr")*economics!$AI$2:$AI$167*(_xlfn.NORM.DIST(AY$3,economics!$AK$2:$AK$167,economics!$AJ$2:$AJ$167,TRUE)-_xlfn.NORM.DIST(AY$30,economics!$AK$2:$AK$167,economics!$AJ$2:$AJ$167,TRUE))*economics!$AM$2:$AM$167))/(SUMPRODUCT((economics!$AG$2:$AG$167=$B41)*(economics!$D$2:$D$167="whr")*economics!$AI$2:$AI$167*(_xlfn.NORM.DIST(AY$3,economics!$AK$2:$AK$167,economics!$AJ$2:$AJ$167,TRUE)-_xlfn.NORM.DIST(AY$30,economics!$AK$2:$AK$167,economics!$AJ$2:$AJ$167,TRUE)))),"")</f>
        <v/>
      </c>
      <c r="AZ41">
        <f t="array" ref="AZ41">IFERROR((SUMPRODUCT((economics!$AG$2:$AG$167=$B41)*(economics!$D$2:$D$167="whr")*economics!$AI$2:$AI$167*(_xlfn.NORM.DIST(AZ$3,economics!$AK$2:$AK$167,economics!$AJ$2:$AJ$167,TRUE)-_xlfn.NORM.DIST(AZ$30,economics!$AK$2:$AK$167,economics!$AJ$2:$AJ$167,TRUE))*economics!$AM$2:$AM$167))/(SUMPRODUCT((economics!$AG$2:$AG$167=$B41)*(economics!$D$2:$D$167="whr")*economics!$AI$2:$AI$167*(_xlfn.NORM.DIST(AZ$3,economics!$AK$2:$AK$167,economics!$AJ$2:$AJ$167,TRUE)-_xlfn.NORM.DIST(AZ$30,economics!$AK$2:$AK$167,economics!$AJ$2:$AJ$167,TRUE)))),"")</f>
        <v/>
      </c>
      <c r="BA41">
        <f t="array" ref="BA41">IFERROR((SUMPRODUCT((economics!$AG$2:$AG$167=$B41)*(economics!$D$2:$D$167="whr")*economics!$AI$2:$AI$167*(_xlfn.NORM.DIST(BA$3,economics!$AK$2:$AK$167,economics!$AJ$2:$AJ$167,TRUE)-_xlfn.NORM.DIST(BA$30,economics!$AK$2:$AK$167,economics!$AJ$2:$AJ$167,TRUE))*economics!$AM$2:$AM$167))/(SUMPRODUCT((economics!$AG$2:$AG$167=$B41)*(economics!$D$2:$D$167="whr")*economics!$AI$2:$AI$167*(_xlfn.NORM.DIST(BA$3,economics!$AK$2:$AK$167,economics!$AJ$2:$AJ$167,TRUE)-_xlfn.NORM.DIST(BA$30,economics!$AK$2:$AK$167,economics!$AJ$2:$AJ$167,TRUE)))),"")</f>
        <v/>
      </c>
      <c r="BB41">
        <f t="array" ref="BB41">IFERROR((SUMPRODUCT((economics!$AG$2:$AG$167=$B41)*(economics!$D$2:$D$167="whr")*economics!$AI$2:$AI$167*(_xlfn.NORM.DIST(BB$3,economics!$AK$2:$AK$167,economics!$AJ$2:$AJ$167,TRUE)-_xlfn.NORM.DIST(BB$30,economics!$AK$2:$AK$167,economics!$AJ$2:$AJ$167,TRUE))*economics!$AM$2:$AM$167))/(SUMPRODUCT((economics!$AG$2:$AG$167=$B41)*(economics!$D$2:$D$167="whr")*economics!$AI$2:$AI$167*(_xlfn.NORM.DIST(BB$3,economics!$AK$2:$AK$167,economics!$AJ$2:$AJ$167,TRUE)-_xlfn.NORM.DIST(BB$30,economics!$AK$2:$AK$167,economics!$AJ$2:$AJ$167,TRUE)))),"")</f>
        <v/>
      </c>
      <c r="BC41">
        <f t="array" ref="BC41">IFERROR((SUMPRODUCT((economics!$AG$2:$AG$167=$B41)*(economics!$D$2:$D$167="whr")*economics!$AI$2:$AI$167*(_xlfn.NORM.DIST(BC$3,economics!$AK$2:$AK$167,economics!$AJ$2:$AJ$167,TRUE)-_xlfn.NORM.DIST(BC$30,economics!$AK$2:$AK$167,economics!$AJ$2:$AJ$167,TRUE))*economics!$AM$2:$AM$167))/(SUMPRODUCT((economics!$AG$2:$AG$167=$B41)*(economics!$D$2:$D$167="whr")*economics!$AI$2:$AI$167*(_xlfn.NORM.DIST(BC$3,economics!$AK$2:$AK$167,economics!$AJ$2:$AJ$167,TRUE)-_xlfn.NORM.DIST(BC$30,economics!$AK$2:$AK$167,economics!$AJ$2:$AJ$167,TRUE)))),"")</f>
        <v/>
      </c>
      <c r="BD41">
        <f t="array" ref="BD41">IFERROR((SUMPRODUCT((economics!$AG$2:$AG$167=$B41)*(economics!$D$2:$D$167="whr")*economics!$AI$2:$AI$167*(_xlfn.NORM.DIST(BD$3,economics!$AK$2:$AK$167,economics!$AJ$2:$AJ$167,TRUE)-_xlfn.NORM.DIST(BD$30,economics!$AK$2:$AK$167,economics!$AJ$2:$AJ$167,TRUE))*economics!$AM$2:$AM$167))/(SUMPRODUCT((economics!$AG$2:$AG$167=$B41)*(economics!$D$2:$D$167="whr")*economics!$AI$2:$AI$167*(_xlfn.NORM.DIST(BD$3,economics!$AK$2:$AK$167,economics!$AJ$2:$AJ$167,TRUE)-_xlfn.NORM.DIST(BD$30,economics!$AK$2:$AK$167,economics!$AJ$2:$AJ$167,TRUE)))),"")</f>
        <v/>
      </c>
      <c r="BE41">
        <f t="array" ref="BE41">IFERROR((SUMPRODUCT((economics!$AG$2:$AG$167=$B41)*(economics!$D$2:$D$167="whr")*economics!$AI$2:$AI$167*(_xlfn.NORM.DIST(BE$3,economics!$AK$2:$AK$167,economics!$AJ$2:$AJ$167,TRUE)-_xlfn.NORM.DIST(BE$30,economics!$AK$2:$AK$167,economics!$AJ$2:$AJ$167,TRUE))*economics!$AM$2:$AM$167))/(SUMPRODUCT((economics!$AG$2:$AG$167=$B41)*(economics!$D$2:$D$167="whr")*economics!$AI$2:$AI$167*(_xlfn.NORM.DIST(BE$3,economics!$AK$2:$AK$167,economics!$AJ$2:$AJ$167,TRUE)-_xlfn.NORM.DIST(BE$30,economics!$AK$2:$AK$167,economics!$AJ$2:$AJ$167,TRUE)))),"")</f>
        <v/>
      </c>
      <c r="BF41">
        <f t="array" ref="BF41">IFERROR((SUMPRODUCT((economics!$AG$2:$AG$167=$B41)*(economics!$D$2:$D$167="whr")*economics!$AI$2:$AI$167*(_xlfn.NORM.DIST(BF$3,economics!$AK$2:$AK$167,economics!$AJ$2:$AJ$167,TRUE)-_xlfn.NORM.DIST(BF$30,economics!$AK$2:$AK$167,economics!$AJ$2:$AJ$167,TRUE))*economics!$AM$2:$AM$167))/(SUMPRODUCT((economics!$AG$2:$AG$167=$B41)*(economics!$D$2:$D$167="whr")*economics!$AI$2:$AI$167*(_xlfn.NORM.DIST(BF$3,economics!$AK$2:$AK$167,economics!$AJ$2:$AJ$167,TRUE)-_xlfn.NORM.DIST(BF$30,economics!$AK$2:$AK$167,economics!$AJ$2:$AJ$167,TRUE)))),"")</f>
        <v/>
      </c>
      <c r="BG41">
        <f t="array" ref="BG41">IFERROR((SUMPRODUCT((economics!$AG$2:$AG$167=$B41)*(economics!$D$2:$D$167="whr")*economics!$AI$2:$AI$167*(_xlfn.NORM.DIST(BG$3,economics!$AK$2:$AK$167,economics!$AJ$2:$AJ$167,TRUE)-_xlfn.NORM.DIST(BG$30,economics!$AK$2:$AK$167,economics!$AJ$2:$AJ$167,TRUE))*economics!$AM$2:$AM$167))/(SUMPRODUCT((economics!$AG$2:$AG$167=$B41)*(economics!$D$2:$D$167="whr")*economics!$AI$2:$AI$167*(_xlfn.NORM.DIST(BG$3,economics!$AK$2:$AK$167,economics!$AJ$2:$AJ$167,TRUE)-_xlfn.NORM.DIST(BG$30,economics!$AK$2:$AK$167,economics!$AJ$2:$AJ$167,TRUE)))),"")</f>
        <v/>
      </c>
      <c r="BH41">
        <f t="array" ref="BH41">IFERROR((SUMPRODUCT((economics!$AG$2:$AG$167=$B41)*(economics!$D$2:$D$167="whr")*economics!$AI$2:$AI$167*(_xlfn.NORM.DIST(BH$3,economics!$AK$2:$AK$167,economics!$AJ$2:$AJ$167,TRUE)-_xlfn.NORM.DIST(BH$30,economics!$AK$2:$AK$167,economics!$AJ$2:$AJ$167,TRUE))*economics!$AM$2:$AM$167))/(SUMPRODUCT((economics!$AG$2:$AG$167=$B41)*(economics!$D$2:$D$167="whr")*economics!$AI$2:$AI$167*(_xlfn.NORM.DIST(BH$3,economics!$AK$2:$AK$167,economics!$AJ$2:$AJ$167,TRUE)-_xlfn.NORM.DIST(BH$30,economics!$AK$2:$AK$167,economics!$AJ$2:$AJ$167,TRUE)))),"")</f>
        <v/>
      </c>
      <c r="BI41">
        <f t="array" ref="BI41">IFERROR((SUMPRODUCT((economics!$AG$2:$AG$167=$B41)*(economics!$D$2:$D$167="whr")*economics!$AI$2:$AI$167*(_xlfn.NORM.DIST(BI$3,economics!$AK$2:$AK$167,economics!$AJ$2:$AJ$167,TRUE)-_xlfn.NORM.DIST(BI$30,economics!$AK$2:$AK$167,economics!$AJ$2:$AJ$167,TRUE))*economics!$AM$2:$AM$167))/(SUMPRODUCT((economics!$AG$2:$AG$167=$B41)*(economics!$D$2:$D$167="whr")*economics!$AI$2:$AI$167*(_xlfn.NORM.DIST(BI$3,economics!$AK$2:$AK$167,economics!$AJ$2:$AJ$167,TRUE)-_xlfn.NORM.DIST(BI$30,economics!$AK$2:$AK$167,economics!$AJ$2:$AJ$167,TRUE)))),"")</f>
        <v/>
      </c>
      <c r="BJ41">
        <f t="array" ref="BJ41">IFERROR((SUMPRODUCT((economics!$AG$2:$AG$167=$B41)*(economics!$D$2:$D$167="whr")*economics!$AI$2:$AI$167*(_xlfn.NORM.DIST(BJ$3,economics!$AK$2:$AK$167,economics!$AJ$2:$AJ$167,TRUE)-_xlfn.NORM.DIST(BJ$30,economics!$AK$2:$AK$167,economics!$AJ$2:$AJ$167,TRUE))*economics!$AM$2:$AM$167))/(SUMPRODUCT((economics!$AG$2:$AG$167=$B41)*(economics!$D$2:$D$167="whr")*economics!$AI$2:$AI$167*(_xlfn.NORM.DIST(BJ$3,economics!$AK$2:$AK$167,economics!$AJ$2:$AJ$167,TRUE)-_xlfn.NORM.DIST(BJ$30,economics!$AK$2:$AK$167,economics!$AJ$2:$AJ$167,TRUE)))),"")</f>
        <v/>
      </c>
      <c r="BK41">
        <f t="array" ref="BK41">IFERROR((SUMPRODUCT((economics!$AG$2:$AG$167=$B41)*(economics!$D$2:$D$167="whr")*economics!$AI$2:$AI$167*(_xlfn.NORM.DIST(BK$3,economics!$AK$2:$AK$167,economics!$AJ$2:$AJ$167,TRUE)-_xlfn.NORM.DIST(BK$30,economics!$AK$2:$AK$167,economics!$AJ$2:$AJ$167,TRUE))*economics!$AM$2:$AM$167))/(SUMPRODUCT((economics!$AG$2:$AG$167=$B41)*(economics!$D$2:$D$167="whr")*economics!$AI$2:$AI$167*(_xlfn.NORM.DIST(BK$3,economics!$AK$2:$AK$167,economics!$AJ$2:$AJ$167,TRUE)-_xlfn.NORM.DIST(BK$30,economics!$AK$2:$AK$167,economics!$AJ$2:$AJ$167,TRUE)))),"")</f>
        <v/>
      </c>
      <c r="BL41">
        <f t="array" ref="BL41">IFERROR((SUMPRODUCT((economics!$AG$2:$AG$167=$B41)*(economics!$D$2:$D$167="whr")*economics!$AI$2:$AI$167*(_xlfn.NORM.DIST(BL$3,economics!$AK$2:$AK$167,economics!$AJ$2:$AJ$167,TRUE)-_xlfn.NORM.DIST(BL$30,economics!$AK$2:$AK$167,economics!$AJ$2:$AJ$167,TRUE))*economics!$AM$2:$AM$167))/(SUMPRODUCT((economics!$AG$2:$AG$167=$B41)*(economics!$D$2:$D$167="whr")*economics!$AI$2:$AI$167*(_xlfn.NORM.DIST(BL$3,economics!$AK$2:$AK$167,economics!$AJ$2:$AJ$167,TRUE)-_xlfn.NORM.DIST(BL$30,economics!$AK$2:$AK$167,economics!$AJ$2:$AJ$167,TRUE)))),"")</f>
        <v/>
      </c>
      <c r="BM41">
        <f t="array" ref="BM41">IFERROR((SUMPRODUCT((economics!$AG$2:$AG$167=$B41)*(economics!$D$2:$D$167="whr")*economics!$AI$2:$AI$167*(_xlfn.NORM.DIST(BM$3,economics!$AK$2:$AK$167,economics!$AJ$2:$AJ$167,TRUE)-_xlfn.NORM.DIST(BM$30,economics!$AK$2:$AK$167,economics!$AJ$2:$AJ$167,TRUE))*economics!$AM$2:$AM$167))/(SUMPRODUCT((economics!$AG$2:$AG$167=$B41)*(economics!$D$2:$D$167="whr")*economics!$AI$2:$AI$167*(_xlfn.NORM.DIST(BM$3,economics!$AK$2:$AK$167,economics!$AJ$2:$AJ$167,TRUE)-_xlfn.NORM.DIST(BM$30,economics!$AK$2:$AK$167,economics!$AJ$2:$AJ$167,TRUE)))),"")</f>
        <v/>
      </c>
      <c r="BN41">
        <f t="array" ref="BN41">IFERROR((SUMPRODUCT((economics!$AG$2:$AG$167=$B41)*(economics!$D$2:$D$167="whr")*economics!$AI$2:$AI$167*(_xlfn.NORM.DIST(BN$3,economics!$AK$2:$AK$167,economics!$AJ$2:$AJ$167,TRUE)-_xlfn.NORM.DIST(BN$30,economics!$AK$2:$AK$167,economics!$AJ$2:$AJ$167,TRUE))*economics!$AM$2:$AM$167))/(SUMPRODUCT((economics!$AG$2:$AG$167=$B41)*(economics!$D$2:$D$167="whr")*economics!$AI$2:$AI$167*(_xlfn.NORM.DIST(BN$3,economics!$AK$2:$AK$167,economics!$AJ$2:$AJ$167,TRUE)-_xlfn.NORM.DIST(BN$30,economics!$AK$2:$AK$167,economics!$AJ$2:$AJ$167,TRUE)))),"")</f>
        <v/>
      </c>
      <c r="BO41">
        <f t="array" ref="BO41">IFERROR((SUMPRODUCT((economics!$AG$2:$AG$167=$B41)*(economics!$D$2:$D$167="whr")*economics!$AI$2:$AI$167*(_xlfn.NORM.DIST(BO$3,economics!$AK$2:$AK$167,economics!$AJ$2:$AJ$167,TRUE)-_xlfn.NORM.DIST(BO$30,economics!$AK$2:$AK$167,economics!$AJ$2:$AJ$167,TRUE))*economics!$AM$2:$AM$167))/(SUMPRODUCT((economics!$AG$2:$AG$167=$B41)*(economics!$D$2:$D$167="whr")*economics!$AI$2:$AI$167*(_xlfn.NORM.DIST(BO$3,economics!$AK$2:$AK$167,economics!$AJ$2:$AJ$167,TRUE)-_xlfn.NORM.DIST(BO$30,economics!$AK$2:$AK$167,economics!$AJ$2:$AJ$167,TRUE)))),"")</f>
        <v/>
      </c>
      <c r="BP41">
        <f t="array" ref="BP41">IFERROR((SUMPRODUCT((economics!$AG$2:$AG$167=$B41)*(economics!$D$2:$D$167="whr")*economics!$AI$2:$AI$167*(_xlfn.NORM.DIST(BP$3,economics!$AK$2:$AK$167,economics!$AJ$2:$AJ$167,TRUE)-_xlfn.NORM.DIST(BP$30,economics!$AK$2:$AK$167,economics!$AJ$2:$AJ$167,TRUE))*economics!$AM$2:$AM$167))/(SUMPRODUCT((economics!$AG$2:$AG$167=$B41)*(economics!$D$2:$D$167="whr")*economics!$AI$2:$AI$167*(_xlfn.NORM.DIST(BP$3,economics!$AK$2:$AK$167,economics!$AJ$2:$AJ$167,TRUE)-_xlfn.NORM.DIST(BP$30,economics!$AK$2:$AK$167,economics!$AJ$2:$AJ$167,TRUE)))),"")</f>
        <v/>
      </c>
      <c r="BQ41">
        <f t="array" ref="BQ41">IFERROR((SUMPRODUCT((economics!$AG$2:$AG$167=$B41)*(economics!$D$2:$D$167="whr")*economics!$AI$2:$AI$167*(_xlfn.NORM.DIST(BQ$3,economics!$AK$2:$AK$167,economics!$AJ$2:$AJ$167,TRUE)-_xlfn.NORM.DIST(BQ$30,economics!$AK$2:$AK$167,economics!$AJ$2:$AJ$167,TRUE))*economics!$AM$2:$AM$167))/(SUMPRODUCT((economics!$AG$2:$AG$167=$B41)*(economics!$D$2:$D$167="whr")*economics!$AI$2:$AI$167*(_xlfn.NORM.DIST(BQ$3,economics!$AK$2:$AK$167,economics!$AJ$2:$AJ$167,TRUE)-_xlfn.NORM.DIST(BQ$30,economics!$AK$2:$AK$167,economics!$AJ$2:$AJ$167,TRUE)))),"")</f>
        <v/>
      </c>
      <c r="BR41">
        <f t="array" ref="BR41">IFERROR((SUMPRODUCT((economics!$AG$2:$AG$167=$B41)*(economics!$D$2:$D$167="whr")*economics!$AI$2:$AI$167*(_xlfn.NORM.DIST(BR$3,economics!$AK$2:$AK$167,economics!$AJ$2:$AJ$167,TRUE)-_xlfn.NORM.DIST(BR$30,economics!$AK$2:$AK$167,economics!$AJ$2:$AJ$167,TRUE))*economics!$AM$2:$AM$167))/(SUMPRODUCT((economics!$AG$2:$AG$167=$B41)*(economics!$D$2:$D$167="whr")*economics!$AI$2:$AI$167*(_xlfn.NORM.DIST(BR$3,economics!$AK$2:$AK$167,economics!$AJ$2:$AJ$167,TRUE)-_xlfn.NORM.DIST(BR$30,economics!$AK$2:$AK$167,economics!$AJ$2:$AJ$167,TRUE)))),"")</f>
        <v/>
      </c>
      <c r="BS41">
        <f t="array" ref="BS41">IFERROR((SUMPRODUCT((economics!$AG$2:$AG$167=$B41)*(economics!$D$2:$D$167="whr")*economics!$AI$2:$AI$167*(_xlfn.NORM.DIST(BS$3,economics!$AK$2:$AK$167,economics!$AJ$2:$AJ$167,TRUE)-_xlfn.NORM.DIST(BS$30,economics!$AK$2:$AK$167,economics!$AJ$2:$AJ$167,TRUE))*economics!$AM$2:$AM$167))/(SUMPRODUCT((economics!$AG$2:$AG$167=$B41)*(economics!$D$2:$D$167="whr")*economics!$AI$2:$AI$167*(_xlfn.NORM.DIST(BS$3,economics!$AK$2:$AK$167,economics!$AJ$2:$AJ$167,TRUE)-_xlfn.NORM.DIST(BS$30,economics!$AK$2:$AK$167,economics!$AJ$2:$AJ$167,TRUE)))),"")</f>
        <v/>
      </c>
      <c r="BT41">
        <f t="array" ref="BT41">IFERROR((SUMPRODUCT((economics!$AG$2:$AG$167=$B41)*(economics!$D$2:$D$167="whr")*economics!$AI$2:$AI$167*(_xlfn.NORM.DIST(BT$3,economics!$AK$2:$AK$167,economics!$AJ$2:$AJ$167,TRUE)-_xlfn.NORM.DIST(BT$30,economics!$AK$2:$AK$167,economics!$AJ$2:$AJ$167,TRUE))*economics!$AM$2:$AM$167))/(SUMPRODUCT((economics!$AG$2:$AG$167=$B41)*(economics!$D$2:$D$167="whr")*economics!$AI$2:$AI$167*(_xlfn.NORM.DIST(BT$3,economics!$AK$2:$AK$167,economics!$AJ$2:$AJ$167,TRUE)-_xlfn.NORM.DIST(BT$30,economics!$AK$2:$AK$167,economics!$AJ$2:$AJ$167,TRUE)))),"")</f>
        <v/>
      </c>
      <c r="BU41">
        <f t="array" ref="BU41">IFERROR((SUMPRODUCT((economics!$AG$2:$AG$167=$B41)*(economics!$D$2:$D$167="whr")*economics!$AI$2:$AI$167*(_xlfn.NORM.DIST(BU$3,economics!$AK$2:$AK$167,economics!$AJ$2:$AJ$167,TRUE)-_xlfn.NORM.DIST(BU$30,economics!$AK$2:$AK$167,economics!$AJ$2:$AJ$167,TRUE))*economics!$AM$2:$AM$167))/(SUMPRODUCT((economics!$AG$2:$AG$167=$B41)*(economics!$D$2:$D$167="whr")*economics!$AI$2:$AI$167*(_xlfn.NORM.DIST(BU$3,economics!$AK$2:$AK$167,economics!$AJ$2:$AJ$167,TRUE)-_xlfn.NORM.DIST(BU$30,economics!$AK$2:$AK$167,economics!$AJ$2:$AJ$167,TRUE)))),"")</f>
        <v/>
      </c>
      <c r="BV41">
        <f t="array" ref="BV41">IFERROR((SUMPRODUCT((economics!$AG$2:$AG$167=$B41)*(economics!$D$2:$D$167="whr")*economics!$AI$2:$AI$167*(_xlfn.NORM.DIST(BV$3,economics!$AK$2:$AK$167,economics!$AJ$2:$AJ$167,TRUE)-_xlfn.NORM.DIST(BV$30,economics!$AK$2:$AK$167,economics!$AJ$2:$AJ$167,TRUE))*economics!$AM$2:$AM$167))/(SUMPRODUCT((economics!$AG$2:$AG$167=$B41)*(economics!$D$2:$D$167="whr")*economics!$AI$2:$AI$167*(_xlfn.NORM.DIST(BV$3,economics!$AK$2:$AK$167,economics!$AJ$2:$AJ$167,TRUE)-_xlfn.NORM.DIST(BV$30,economics!$AK$2:$AK$167,economics!$AJ$2:$AJ$167,TRUE)))),"")</f>
        <v/>
      </c>
      <c r="BW41">
        <f t="array" ref="BW41">IFERROR((SUMPRODUCT((economics!$AG$2:$AG$167=$B41)*(economics!$D$2:$D$167="whr")*economics!$AI$2:$AI$167*(_xlfn.NORM.DIST(BW$3,economics!$AK$2:$AK$167,economics!$AJ$2:$AJ$167,TRUE)-_xlfn.NORM.DIST(BW$30,economics!$AK$2:$AK$167,economics!$AJ$2:$AJ$167,TRUE))*economics!$AM$2:$AM$167))/(SUMPRODUCT((economics!$AG$2:$AG$167=$B41)*(economics!$D$2:$D$167="whr")*economics!$AI$2:$AI$167*(_xlfn.NORM.DIST(BW$3,economics!$AK$2:$AK$167,economics!$AJ$2:$AJ$167,TRUE)-_xlfn.NORM.DIST(BW$30,economics!$AK$2:$AK$167,economics!$AJ$2:$AJ$167,TRUE)))),"")</f>
        <v/>
      </c>
      <c r="BX41">
        <f t="array" ref="BX41">IFERROR((SUMPRODUCT((economics!$AG$2:$AG$167=$B41)*(economics!$D$2:$D$167="whr")*economics!$AI$2:$AI$167*(_xlfn.NORM.DIST(BX$3,economics!$AK$2:$AK$167,economics!$AJ$2:$AJ$167,TRUE)-_xlfn.NORM.DIST(BX$30,economics!$AK$2:$AK$167,economics!$AJ$2:$AJ$167,TRUE))*economics!$AM$2:$AM$167))/(SUMPRODUCT((economics!$AG$2:$AG$167=$B41)*(economics!$D$2:$D$167="whr")*economics!$AI$2:$AI$167*(_xlfn.NORM.DIST(BX$3,economics!$AK$2:$AK$167,economics!$AJ$2:$AJ$167,TRUE)-_xlfn.NORM.DIST(BX$30,economics!$AK$2:$AK$167,economics!$AJ$2:$AJ$167,TRUE)))),"")</f>
        <v/>
      </c>
      <c r="BY41">
        <f t="array" ref="BY41">IFERROR((SUMPRODUCT((economics!$AG$2:$AG$167=$B41)*(economics!$D$2:$D$167="whr")*economics!$AI$2:$AI$167*(_xlfn.NORM.DIST(BY$3,economics!$AK$2:$AK$167,economics!$AJ$2:$AJ$167,TRUE)-_xlfn.NORM.DIST(BY$30,economics!$AK$2:$AK$167,economics!$AJ$2:$AJ$167,TRUE))*economics!$AM$2:$AM$167))/(SUMPRODUCT((economics!$AG$2:$AG$167=$B41)*(economics!$D$2:$D$167="whr")*economics!$AI$2:$AI$167*(_xlfn.NORM.DIST(BY$3,economics!$AK$2:$AK$167,economics!$AJ$2:$AJ$167,TRUE)-_xlfn.NORM.DIST(BY$30,economics!$AK$2:$AK$167,economics!$AJ$2:$AJ$167,TRUE)))),"")</f>
        <v/>
      </c>
      <c r="BZ41">
        <f t="array" ref="BZ41">IFERROR((SUMPRODUCT((economics!$AG$2:$AG$167=$B41)*(economics!$D$2:$D$167="whr")*economics!$AI$2:$AI$167*(_xlfn.NORM.DIST(BZ$3,economics!$AK$2:$AK$167,economics!$AJ$2:$AJ$167,TRUE)-_xlfn.NORM.DIST(BZ$30,economics!$AK$2:$AK$167,economics!$AJ$2:$AJ$167,TRUE))*economics!$AM$2:$AM$167))/(SUMPRODUCT((economics!$AG$2:$AG$167=$B41)*(economics!$D$2:$D$167="whr")*economics!$AI$2:$AI$167*(_xlfn.NORM.DIST(BZ$3,economics!$AK$2:$AK$167,economics!$AJ$2:$AJ$167,TRUE)-_xlfn.NORM.DIST(BZ$30,economics!$AK$2:$AK$167,economics!$AJ$2:$AJ$167,TRUE)))),"")</f>
        <v/>
      </c>
      <c r="CA41">
        <f t="array" ref="CA41">IFERROR((SUMPRODUCT((economics!$AG$2:$AG$167=$B41)*(economics!$D$2:$D$167="whr")*economics!$AI$2:$AI$167*(_xlfn.NORM.DIST(CA$3,economics!$AK$2:$AK$167,economics!$AJ$2:$AJ$167,TRUE)-_xlfn.NORM.DIST(CA$30,economics!$AK$2:$AK$167,economics!$AJ$2:$AJ$167,TRUE))*economics!$AM$2:$AM$167))/(SUMPRODUCT((economics!$AG$2:$AG$167=$B41)*(economics!$D$2:$D$167="whr")*economics!$AI$2:$AI$167*(_xlfn.NORM.DIST(CA$3,economics!$AK$2:$AK$167,economics!$AJ$2:$AJ$167,TRUE)-_xlfn.NORM.DIST(CA$30,economics!$AK$2:$AK$167,economics!$AJ$2:$AJ$167,TRUE)))),"")</f>
        <v/>
      </c>
      <c r="CB41">
        <f t="array" ref="CB41">IFERROR((SUMPRODUCT((economics!$AG$2:$AG$167=$B41)*(economics!$D$2:$D$167="whr")*economics!$AI$2:$AI$167*(_xlfn.NORM.DIST(CB$3,economics!$AK$2:$AK$167,economics!$AJ$2:$AJ$167,TRUE)-_xlfn.NORM.DIST(CB$30,economics!$AK$2:$AK$167,economics!$AJ$2:$AJ$167,TRUE))*economics!$AM$2:$AM$167))/(SUMPRODUCT((economics!$AG$2:$AG$167=$B41)*(economics!$D$2:$D$167="whr")*economics!$AI$2:$AI$167*(_xlfn.NORM.DIST(CB$3,economics!$AK$2:$AK$167,economics!$AJ$2:$AJ$167,TRUE)-_xlfn.NORM.DIST(CB$30,economics!$AK$2:$AK$167,economics!$AJ$2:$AJ$167,TRUE)))),"")</f>
        <v/>
      </c>
      <c r="CC41">
        <f t="array" ref="CC41">IFERROR((SUMPRODUCT((economics!$AG$2:$AG$167=$B41)*(economics!$D$2:$D$167="whr")*economics!$AI$2:$AI$167*(_xlfn.NORM.DIST(CC$3,economics!$AK$2:$AK$167,economics!$AJ$2:$AJ$167,TRUE)-_xlfn.NORM.DIST(CC$30,economics!$AK$2:$AK$167,economics!$AJ$2:$AJ$167,TRUE))*economics!$AM$2:$AM$167))/(SUMPRODUCT((economics!$AG$2:$AG$167=$B41)*(economics!$D$2:$D$167="whr")*economics!$AI$2:$AI$167*(_xlfn.NORM.DIST(CC$3,economics!$AK$2:$AK$167,economics!$AJ$2:$AJ$167,TRUE)-_xlfn.NORM.DIST(CC$30,economics!$AK$2:$AK$167,economics!$AJ$2:$AJ$167,TRUE)))),"")</f>
        <v/>
      </c>
      <c r="CD41">
        <f t="array" ref="CD41">IFERROR((SUMPRODUCT((economics!$AG$2:$AG$167=$B41)*(economics!$D$2:$D$167="whr")*economics!$AI$2:$AI$167*(_xlfn.NORM.DIST(CD$3,economics!$AK$2:$AK$167,economics!$AJ$2:$AJ$167,TRUE)-_xlfn.NORM.DIST(CD$30,economics!$AK$2:$AK$167,economics!$AJ$2:$AJ$167,TRUE))*economics!$AM$2:$AM$167))/(SUMPRODUCT((economics!$AG$2:$AG$167=$B41)*(economics!$D$2:$D$167="whr")*economics!$AI$2:$AI$167*(_xlfn.NORM.DIST(CD$3,economics!$AK$2:$AK$167,economics!$AJ$2:$AJ$167,TRUE)-_xlfn.NORM.DIST(CD$30,economics!$AK$2:$AK$167,economics!$AJ$2:$AJ$167,TRUE)))),"")</f>
        <v/>
      </c>
      <c r="CE41">
        <f t="array" ref="CE41">IFERROR((SUMPRODUCT((economics!$AG$2:$AG$167=$B41)*(economics!$D$2:$D$167="whr")*economics!$AI$2:$AI$167*(_xlfn.NORM.DIST(CE$3,economics!$AK$2:$AK$167,economics!$AJ$2:$AJ$167,TRUE)-_xlfn.NORM.DIST(CE$30,economics!$AK$2:$AK$167,economics!$AJ$2:$AJ$167,TRUE))*economics!$AM$2:$AM$167))/(SUMPRODUCT((economics!$AG$2:$AG$167=$B41)*(economics!$D$2:$D$167="whr")*economics!$AI$2:$AI$167*(_xlfn.NORM.DIST(CE$3,economics!$AK$2:$AK$167,economics!$AJ$2:$AJ$167,TRUE)-_xlfn.NORM.DIST(CE$30,economics!$AK$2:$AK$167,economics!$AJ$2:$AJ$167,TRUE)))),"")</f>
        <v/>
      </c>
      <c r="CF41">
        <f t="array" ref="CF41">IFERROR((SUMPRODUCT((economics!$AG$2:$AG$167=$B41)*(economics!$D$2:$D$167="whr")*economics!$AI$2:$AI$167*(_xlfn.NORM.DIST(CF$3,economics!$AK$2:$AK$167,economics!$AJ$2:$AJ$167,TRUE)-_xlfn.NORM.DIST(CF$30,economics!$AK$2:$AK$167,economics!$AJ$2:$AJ$167,TRUE))*economics!$AM$2:$AM$167))/(SUMPRODUCT((economics!$AG$2:$AG$167=$B41)*(economics!$D$2:$D$167="whr")*economics!$AI$2:$AI$167*(_xlfn.NORM.DIST(CF$3,economics!$AK$2:$AK$167,economics!$AJ$2:$AJ$167,TRUE)-_xlfn.NORM.DIST(CF$30,economics!$AK$2:$AK$167,economics!$AJ$2:$AJ$167,TRUE)))),"")</f>
        <v/>
      </c>
      <c r="CG41">
        <f t="array" ref="CG41">IFERROR((SUMPRODUCT((economics!$AG$2:$AG$167=$B41)*(economics!$D$2:$D$167="whr")*economics!$AI$2:$AI$167*(_xlfn.NORM.DIST(CG$3,economics!$AK$2:$AK$167,economics!$AJ$2:$AJ$167,TRUE)-_xlfn.NORM.DIST(CG$30,economics!$AK$2:$AK$167,economics!$AJ$2:$AJ$167,TRUE))*economics!$AM$2:$AM$167))/(SUMPRODUCT((economics!$AG$2:$AG$167=$B41)*(economics!$D$2:$D$167="whr")*economics!$AI$2:$AI$167*(_xlfn.NORM.DIST(CG$3,economics!$AK$2:$AK$167,economics!$AJ$2:$AJ$167,TRUE)-_xlfn.NORM.DIST(CG$30,economics!$AK$2:$AK$167,economics!$AJ$2:$AJ$167,TRUE)))),"")</f>
        <v/>
      </c>
      <c r="CH41">
        <f t="array" ref="CH41">IFERROR((SUMPRODUCT((economics!$AG$2:$AG$167=$B41)*(economics!$D$2:$D$167="whr")*economics!$AI$2:$AI$167*(_xlfn.NORM.DIST(CH$3,economics!$AK$2:$AK$167,economics!$AJ$2:$AJ$167,TRUE)-_xlfn.NORM.DIST(CH$30,economics!$AK$2:$AK$167,economics!$AJ$2:$AJ$167,TRUE))*economics!$AM$2:$AM$167))/(SUMPRODUCT((economics!$AG$2:$AG$167=$B41)*(economics!$D$2:$D$167="whr")*economics!$AI$2:$AI$167*(_xlfn.NORM.DIST(CH$3,economics!$AK$2:$AK$167,economics!$AJ$2:$AJ$167,TRUE)-_xlfn.NORM.DIST(CH$30,economics!$AK$2:$AK$167,economics!$AJ$2:$AJ$167,TRUE)))),"")</f>
        <v/>
      </c>
    </row>
    <row r="42">
      <c r="A42">
        <f>A13</f>
        <v/>
      </c>
      <c r="B42">
        <f>B13</f>
        <v/>
      </c>
      <c r="E42">
        <f t="array" ref="E42">IFERROR((SUMPRODUCT((economics!$AG$2:$AG$167=$B42)*(economics!$D$2:$D$167="whr")*economics!$AI$2:$AI$167*(_xlfn.NORM.DIST(E$3,economics!$AK$2:$AK$167,economics!$AJ$2:$AJ$167,TRUE)-_xlfn.NORM.DIST(E$30,economics!$AK$2:$AK$167,economics!$AJ$2:$AJ$167,TRUE))*economics!$AM$2:$AM$167))/(SUMPRODUCT((economics!$AG$2:$AG$167=$B42)*(economics!$D$2:$D$167="whr")*economics!$AI$2:$AI$167*(_xlfn.NORM.DIST(E$3,economics!$AK$2:$AK$167,economics!$AJ$2:$AJ$167,TRUE)-_xlfn.NORM.DIST(E$30,economics!$AK$2:$AK$167,economics!$AJ$2:$AJ$167,TRUE)))),"")</f>
        <v/>
      </c>
      <c r="F42">
        <f t="array" ref="F42">IFERROR((SUMPRODUCT((economics!$AG$2:$AG$167=$B42)*(economics!$D$2:$D$167="whr")*economics!$AI$2:$AI$167*(_xlfn.NORM.DIST(F$3,economics!$AK$2:$AK$167,economics!$AJ$2:$AJ$167,TRUE)-_xlfn.NORM.DIST(F$30,economics!$AK$2:$AK$167,economics!$AJ$2:$AJ$167,TRUE))*economics!$AM$2:$AM$167))/(SUMPRODUCT((economics!$AG$2:$AG$167=$B42)*(economics!$D$2:$D$167="whr")*economics!$AI$2:$AI$167*(_xlfn.NORM.DIST(F$3,economics!$AK$2:$AK$167,economics!$AJ$2:$AJ$167,TRUE)-_xlfn.NORM.DIST(F$30,economics!$AK$2:$AK$167,economics!$AJ$2:$AJ$167,TRUE)))),"")</f>
        <v/>
      </c>
      <c r="G42">
        <f t="array" ref="G42">IFERROR((SUMPRODUCT((economics!$AG$2:$AG$167=$B42)*(economics!$D$2:$D$167="whr")*economics!$AI$2:$AI$167*(_xlfn.NORM.DIST(G$3,economics!$AK$2:$AK$167,economics!$AJ$2:$AJ$167,TRUE)-_xlfn.NORM.DIST(G$30,economics!$AK$2:$AK$167,economics!$AJ$2:$AJ$167,TRUE))*economics!$AM$2:$AM$167))/(SUMPRODUCT((economics!$AG$2:$AG$167=$B42)*(economics!$D$2:$D$167="whr")*economics!$AI$2:$AI$167*(_xlfn.NORM.DIST(G$3,economics!$AK$2:$AK$167,economics!$AJ$2:$AJ$167,TRUE)-_xlfn.NORM.DIST(G$30,economics!$AK$2:$AK$167,economics!$AJ$2:$AJ$167,TRUE)))),"")</f>
        <v/>
      </c>
      <c r="H42">
        <f t="array" ref="H42">IFERROR((SUMPRODUCT((economics!$AG$2:$AG$167=$B42)*(economics!$D$2:$D$167="whr")*economics!$AI$2:$AI$167*(_xlfn.NORM.DIST(H$3,economics!$AK$2:$AK$167,economics!$AJ$2:$AJ$167,TRUE)-_xlfn.NORM.DIST(H$30,economics!$AK$2:$AK$167,economics!$AJ$2:$AJ$167,TRUE))*economics!$AM$2:$AM$167))/(SUMPRODUCT((economics!$AG$2:$AG$167=$B42)*(economics!$D$2:$D$167="whr")*economics!$AI$2:$AI$167*(_xlfn.NORM.DIST(H$3,economics!$AK$2:$AK$167,economics!$AJ$2:$AJ$167,TRUE)-_xlfn.NORM.DIST(H$30,economics!$AK$2:$AK$167,economics!$AJ$2:$AJ$167,TRUE)))),"")</f>
        <v/>
      </c>
      <c r="I42">
        <f t="array" ref="I42">IFERROR((SUMPRODUCT((economics!$AG$2:$AG$167=$B42)*(economics!$D$2:$D$167="whr")*economics!$AI$2:$AI$167*(_xlfn.NORM.DIST(I$3,economics!$AK$2:$AK$167,economics!$AJ$2:$AJ$167,TRUE)-_xlfn.NORM.DIST(I$30,economics!$AK$2:$AK$167,economics!$AJ$2:$AJ$167,TRUE))*economics!$AM$2:$AM$167))/(SUMPRODUCT((economics!$AG$2:$AG$167=$B42)*(economics!$D$2:$D$167="whr")*economics!$AI$2:$AI$167*(_xlfn.NORM.DIST(I$3,economics!$AK$2:$AK$167,economics!$AJ$2:$AJ$167,TRUE)-_xlfn.NORM.DIST(I$30,economics!$AK$2:$AK$167,economics!$AJ$2:$AJ$167,TRUE)))),"")</f>
        <v/>
      </c>
      <c r="J42">
        <f t="array" ref="J42">IFERROR((SUMPRODUCT((economics!$AG$2:$AG$167=$B42)*(economics!$D$2:$D$167="whr")*economics!$AI$2:$AI$167*(_xlfn.NORM.DIST(J$3,economics!$AK$2:$AK$167,economics!$AJ$2:$AJ$167,TRUE)-_xlfn.NORM.DIST(J$30,economics!$AK$2:$AK$167,economics!$AJ$2:$AJ$167,TRUE))*economics!$AM$2:$AM$167))/(SUMPRODUCT((economics!$AG$2:$AG$167=$B42)*(economics!$D$2:$D$167="whr")*economics!$AI$2:$AI$167*(_xlfn.NORM.DIST(J$3,economics!$AK$2:$AK$167,economics!$AJ$2:$AJ$167,TRUE)-_xlfn.NORM.DIST(J$30,economics!$AK$2:$AK$167,economics!$AJ$2:$AJ$167,TRUE)))),"")</f>
        <v/>
      </c>
      <c r="K42">
        <f t="array" ref="K42">IFERROR((SUMPRODUCT((economics!$AG$2:$AG$167=$B42)*(economics!$D$2:$D$167="whr")*economics!$AI$2:$AI$167*(_xlfn.NORM.DIST(K$3,economics!$AK$2:$AK$167,economics!$AJ$2:$AJ$167,TRUE)-_xlfn.NORM.DIST(K$30,economics!$AK$2:$AK$167,economics!$AJ$2:$AJ$167,TRUE))*economics!$AM$2:$AM$167))/(SUMPRODUCT((economics!$AG$2:$AG$167=$B42)*(economics!$D$2:$D$167="whr")*economics!$AI$2:$AI$167*(_xlfn.NORM.DIST(K$3,economics!$AK$2:$AK$167,economics!$AJ$2:$AJ$167,TRUE)-_xlfn.NORM.DIST(K$30,economics!$AK$2:$AK$167,economics!$AJ$2:$AJ$167,TRUE)))),"")</f>
        <v/>
      </c>
      <c r="L42">
        <f t="array" ref="L42">IFERROR((SUMPRODUCT((economics!$AG$2:$AG$167=$B42)*(economics!$D$2:$D$167="whr")*economics!$AI$2:$AI$167*(_xlfn.NORM.DIST(L$3,economics!$AK$2:$AK$167,economics!$AJ$2:$AJ$167,TRUE)-_xlfn.NORM.DIST(L$30,economics!$AK$2:$AK$167,economics!$AJ$2:$AJ$167,TRUE))*economics!$AM$2:$AM$167))/(SUMPRODUCT((economics!$AG$2:$AG$167=$B42)*(economics!$D$2:$D$167="whr")*economics!$AI$2:$AI$167*(_xlfn.NORM.DIST(L$3,economics!$AK$2:$AK$167,economics!$AJ$2:$AJ$167,TRUE)-_xlfn.NORM.DIST(L$30,economics!$AK$2:$AK$167,economics!$AJ$2:$AJ$167,TRUE)))),"")</f>
        <v/>
      </c>
      <c r="M42">
        <f t="array" ref="M42">IFERROR((SUMPRODUCT((economics!$AG$2:$AG$167=$B42)*(economics!$D$2:$D$167="whr")*economics!$AI$2:$AI$167*(_xlfn.NORM.DIST(M$3,economics!$AK$2:$AK$167,economics!$AJ$2:$AJ$167,TRUE)-_xlfn.NORM.DIST(M$30,economics!$AK$2:$AK$167,economics!$AJ$2:$AJ$167,TRUE))*economics!$AM$2:$AM$167))/(SUMPRODUCT((economics!$AG$2:$AG$167=$B42)*(economics!$D$2:$D$167="whr")*economics!$AI$2:$AI$167*(_xlfn.NORM.DIST(M$3,economics!$AK$2:$AK$167,economics!$AJ$2:$AJ$167,TRUE)-_xlfn.NORM.DIST(M$30,economics!$AK$2:$AK$167,economics!$AJ$2:$AJ$167,TRUE)))),"")</f>
        <v/>
      </c>
      <c r="N42">
        <f t="array" ref="N42">IFERROR((SUMPRODUCT((economics!$AG$2:$AG$167=$B42)*(economics!$D$2:$D$167="whr")*economics!$AI$2:$AI$167*(_xlfn.NORM.DIST(N$3,economics!$AK$2:$AK$167,economics!$AJ$2:$AJ$167,TRUE)-_xlfn.NORM.DIST(N$30,economics!$AK$2:$AK$167,economics!$AJ$2:$AJ$167,TRUE))*economics!$AM$2:$AM$167))/(SUMPRODUCT((economics!$AG$2:$AG$167=$B42)*(economics!$D$2:$D$167="whr")*economics!$AI$2:$AI$167*(_xlfn.NORM.DIST(N$3,economics!$AK$2:$AK$167,economics!$AJ$2:$AJ$167,TRUE)-_xlfn.NORM.DIST(N$30,economics!$AK$2:$AK$167,economics!$AJ$2:$AJ$167,TRUE)))),"")</f>
        <v/>
      </c>
      <c r="O42">
        <f t="array" ref="O42">IFERROR((SUMPRODUCT((economics!$AG$2:$AG$167=$B42)*(economics!$D$2:$D$167="whr")*economics!$AI$2:$AI$167*(_xlfn.NORM.DIST(O$3,economics!$AK$2:$AK$167,economics!$AJ$2:$AJ$167,TRUE)-_xlfn.NORM.DIST(O$30,economics!$AK$2:$AK$167,economics!$AJ$2:$AJ$167,TRUE))*economics!$AM$2:$AM$167))/(SUMPRODUCT((economics!$AG$2:$AG$167=$B42)*(economics!$D$2:$D$167="whr")*economics!$AI$2:$AI$167*(_xlfn.NORM.DIST(O$3,economics!$AK$2:$AK$167,economics!$AJ$2:$AJ$167,TRUE)-_xlfn.NORM.DIST(O$30,economics!$AK$2:$AK$167,economics!$AJ$2:$AJ$167,TRUE)))),"")</f>
        <v/>
      </c>
      <c r="P42">
        <f t="array" ref="P42">IFERROR((SUMPRODUCT((economics!$AG$2:$AG$167=$B42)*(economics!$D$2:$D$167="whr")*economics!$AI$2:$AI$167*(_xlfn.NORM.DIST(P$3,economics!$AK$2:$AK$167,economics!$AJ$2:$AJ$167,TRUE)-_xlfn.NORM.DIST(P$30,economics!$AK$2:$AK$167,economics!$AJ$2:$AJ$167,TRUE))*economics!$AM$2:$AM$167))/(SUMPRODUCT((economics!$AG$2:$AG$167=$B42)*(economics!$D$2:$D$167="whr")*economics!$AI$2:$AI$167*(_xlfn.NORM.DIST(P$3,economics!$AK$2:$AK$167,economics!$AJ$2:$AJ$167,TRUE)-_xlfn.NORM.DIST(P$30,economics!$AK$2:$AK$167,economics!$AJ$2:$AJ$167,TRUE)))),"")</f>
        <v/>
      </c>
      <c r="Q42">
        <f t="array" ref="Q42">IFERROR((SUMPRODUCT((economics!$AG$2:$AG$167=$B42)*(economics!$D$2:$D$167="whr")*economics!$AI$2:$AI$167*(_xlfn.NORM.DIST(Q$3,economics!$AK$2:$AK$167,economics!$AJ$2:$AJ$167,TRUE)-_xlfn.NORM.DIST(Q$30,economics!$AK$2:$AK$167,economics!$AJ$2:$AJ$167,TRUE))*economics!$AM$2:$AM$167))/(SUMPRODUCT((economics!$AG$2:$AG$167=$B42)*(economics!$D$2:$D$167="whr")*economics!$AI$2:$AI$167*(_xlfn.NORM.DIST(Q$3,economics!$AK$2:$AK$167,economics!$AJ$2:$AJ$167,TRUE)-_xlfn.NORM.DIST(Q$30,economics!$AK$2:$AK$167,economics!$AJ$2:$AJ$167,TRUE)))),"")</f>
        <v/>
      </c>
      <c r="R42">
        <f t="array" ref="R42">IFERROR((SUMPRODUCT((economics!$AG$2:$AG$167=$B42)*(economics!$D$2:$D$167="whr")*economics!$AI$2:$AI$167*(_xlfn.NORM.DIST(R$3,economics!$AK$2:$AK$167,economics!$AJ$2:$AJ$167,TRUE)-_xlfn.NORM.DIST(R$30,economics!$AK$2:$AK$167,economics!$AJ$2:$AJ$167,TRUE))*economics!$AM$2:$AM$167))/(SUMPRODUCT((economics!$AG$2:$AG$167=$B42)*(economics!$D$2:$D$167="whr")*economics!$AI$2:$AI$167*(_xlfn.NORM.DIST(R$3,economics!$AK$2:$AK$167,economics!$AJ$2:$AJ$167,TRUE)-_xlfn.NORM.DIST(R$30,economics!$AK$2:$AK$167,economics!$AJ$2:$AJ$167,TRUE)))),"")</f>
        <v/>
      </c>
      <c r="S42">
        <f t="array" ref="S42">IFERROR((SUMPRODUCT((economics!$AG$2:$AG$167=$B42)*(economics!$D$2:$D$167="whr")*economics!$AI$2:$AI$167*(_xlfn.NORM.DIST(S$3,economics!$AK$2:$AK$167,economics!$AJ$2:$AJ$167,TRUE)-_xlfn.NORM.DIST(S$30,economics!$AK$2:$AK$167,economics!$AJ$2:$AJ$167,TRUE))*economics!$AM$2:$AM$167))/(SUMPRODUCT((economics!$AG$2:$AG$167=$B42)*(economics!$D$2:$D$167="whr")*economics!$AI$2:$AI$167*(_xlfn.NORM.DIST(S$3,economics!$AK$2:$AK$167,economics!$AJ$2:$AJ$167,TRUE)-_xlfn.NORM.DIST(S$30,economics!$AK$2:$AK$167,economics!$AJ$2:$AJ$167,TRUE)))),"")</f>
        <v/>
      </c>
      <c r="T42">
        <f t="array" ref="T42">IFERROR((SUMPRODUCT((economics!$AG$2:$AG$167=$B42)*(economics!$D$2:$D$167="whr")*economics!$AI$2:$AI$167*(_xlfn.NORM.DIST(T$3,economics!$AK$2:$AK$167,economics!$AJ$2:$AJ$167,TRUE)-_xlfn.NORM.DIST(T$30,economics!$AK$2:$AK$167,economics!$AJ$2:$AJ$167,TRUE))*economics!$AM$2:$AM$167))/(SUMPRODUCT((economics!$AG$2:$AG$167=$B42)*(economics!$D$2:$D$167="whr")*economics!$AI$2:$AI$167*(_xlfn.NORM.DIST(T$3,economics!$AK$2:$AK$167,economics!$AJ$2:$AJ$167,TRUE)-_xlfn.NORM.DIST(T$30,economics!$AK$2:$AK$167,economics!$AJ$2:$AJ$167,TRUE)))),"")</f>
        <v/>
      </c>
      <c r="U42">
        <f t="array" ref="U42">IFERROR((SUMPRODUCT((economics!$AG$2:$AG$167=$B42)*(economics!$D$2:$D$167="whr")*economics!$AI$2:$AI$167*(_xlfn.NORM.DIST(U$3,economics!$AK$2:$AK$167,economics!$AJ$2:$AJ$167,TRUE)-_xlfn.NORM.DIST(U$30,economics!$AK$2:$AK$167,economics!$AJ$2:$AJ$167,TRUE))*economics!$AM$2:$AM$167))/(SUMPRODUCT((economics!$AG$2:$AG$167=$B42)*(economics!$D$2:$D$167="whr")*economics!$AI$2:$AI$167*(_xlfn.NORM.DIST(U$3,economics!$AK$2:$AK$167,economics!$AJ$2:$AJ$167,TRUE)-_xlfn.NORM.DIST(U$30,economics!$AK$2:$AK$167,economics!$AJ$2:$AJ$167,TRUE)))),"")</f>
        <v/>
      </c>
      <c r="V42">
        <f t="array" ref="V42">IFERROR((SUMPRODUCT((economics!$AG$2:$AG$167=$B42)*(economics!$D$2:$D$167="whr")*economics!$AI$2:$AI$167*(_xlfn.NORM.DIST(V$3,economics!$AK$2:$AK$167,economics!$AJ$2:$AJ$167,TRUE)-_xlfn.NORM.DIST(V$30,economics!$AK$2:$AK$167,economics!$AJ$2:$AJ$167,TRUE))*economics!$AM$2:$AM$167))/(SUMPRODUCT((economics!$AG$2:$AG$167=$B42)*(economics!$D$2:$D$167="whr")*economics!$AI$2:$AI$167*(_xlfn.NORM.DIST(V$3,economics!$AK$2:$AK$167,economics!$AJ$2:$AJ$167,TRUE)-_xlfn.NORM.DIST(V$30,economics!$AK$2:$AK$167,economics!$AJ$2:$AJ$167,TRUE)))),"")</f>
        <v/>
      </c>
      <c r="W42">
        <f t="array" ref="W42">IFERROR((SUMPRODUCT((economics!$AG$2:$AG$167=$B42)*(economics!$D$2:$D$167="whr")*economics!$AI$2:$AI$167*(_xlfn.NORM.DIST(W$3,economics!$AK$2:$AK$167,economics!$AJ$2:$AJ$167,TRUE)-_xlfn.NORM.DIST(W$30,economics!$AK$2:$AK$167,economics!$AJ$2:$AJ$167,TRUE))*economics!$AM$2:$AM$167))/(SUMPRODUCT((economics!$AG$2:$AG$167=$B42)*(economics!$D$2:$D$167="whr")*economics!$AI$2:$AI$167*(_xlfn.NORM.DIST(W$3,economics!$AK$2:$AK$167,economics!$AJ$2:$AJ$167,TRUE)-_xlfn.NORM.DIST(W$30,economics!$AK$2:$AK$167,economics!$AJ$2:$AJ$167,TRUE)))),"")</f>
        <v/>
      </c>
      <c r="X42">
        <f t="array" ref="X42">IFERROR((SUMPRODUCT((economics!$AG$2:$AG$167=$B42)*(economics!$D$2:$D$167="whr")*economics!$AI$2:$AI$167*(_xlfn.NORM.DIST(X$3,economics!$AK$2:$AK$167,economics!$AJ$2:$AJ$167,TRUE)-_xlfn.NORM.DIST(X$30,economics!$AK$2:$AK$167,economics!$AJ$2:$AJ$167,TRUE))*economics!$AM$2:$AM$167))/(SUMPRODUCT((economics!$AG$2:$AG$167=$B42)*(economics!$D$2:$D$167="whr")*economics!$AI$2:$AI$167*(_xlfn.NORM.DIST(X$3,economics!$AK$2:$AK$167,economics!$AJ$2:$AJ$167,TRUE)-_xlfn.NORM.DIST(X$30,economics!$AK$2:$AK$167,economics!$AJ$2:$AJ$167,TRUE)))),"")</f>
        <v/>
      </c>
      <c r="Y42">
        <f t="array" ref="Y42">IFERROR((SUMPRODUCT((economics!$AG$2:$AG$167=$B42)*(economics!$D$2:$D$167="whr")*economics!$AI$2:$AI$167*(_xlfn.NORM.DIST(Y$3,economics!$AK$2:$AK$167,economics!$AJ$2:$AJ$167,TRUE)-_xlfn.NORM.DIST(Y$30,economics!$AK$2:$AK$167,economics!$AJ$2:$AJ$167,TRUE))*economics!$AM$2:$AM$167))/(SUMPRODUCT((economics!$AG$2:$AG$167=$B42)*(economics!$D$2:$D$167="whr")*economics!$AI$2:$AI$167*(_xlfn.NORM.DIST(Y$3,economics!$AK$2:$AK$167,economics!$AJ$2:$AJ$167,TRUE)-_xlfn.NORM.DIST(Y$30,economics!$AK$2:$AK$167,economics!$AJ$2:$AJ$167,TRUE)))),"")</f>
        <v/>
      </c>
      <c r="Z42">
        <f t="array" ref="Z42">IFERROR((SUMPRODUCT((economics!$AG$2:$AG$167=$B42)*(economics!$D$2:$D$167="whr")*economics!$AI$2:$AI$167*(_xlfn.NORM.DIST(Z$3,economics!$AK$2:$AK$167,economics!$AJ$2:$AJ$167,TRUE)-_xlfn.NORM.DIST(Z$30,economics!$AK$2:$AK$167,economics!$AJ$2:$AJ$167,TRUE))*economics!$AM$2:$AM$167))/(SUMPRODUCT((economics!$AG$2:$AG$167=$B42)*(economics!$D$2:$D$167="whr")*economics!$AI$2:$AI$167*(_xlfn.NORM.DIST(Z$3,economics!$AK$2:$AK$167,economics!$AJ$2:$AJ$167,TRUE)-_xlfn.NORM.DIST(Z$30,economics!$AK$2:$AK$167,economics!$AJ$2:$AJ$167,TRUE)))),"")</f>
        <v/>
      </c>
      <c r="AA42">
        <f t="array" ref="AA42">IFERROR((SUMPRODUCT((economics!$AG$2:$AG$167=$B42)*(economics!$D$2:$D$167="whr")*economics!$AI$2:$AI$167*(_xlfn.NORM.DIST(AA$3,economics!$AK$2:$AK$167,economics!$AJ$2:$AJ$167,TRUE)-_xlfn.NORM.DIST(AA$30,economics!$AK$2:$AK$167,economics!$AJ$2:$AJ$167,TRUE))*economics!$AM$2:$AM$167))/(SUMPRODUCT((economics!$AG$2:$AG$167=$B42)*(economics!$D$2:$D$167="whr")*economics!$AI$2:$AI$167*(_xlfn.NORM.DIST(AA$3,economics!$AK$2:$AK$167,economics!$AJ$2:$AJ$167,TRUE)-_xlfn.NORM.DIST(AA$30,economics!$AK$2:$AK$167,economics!$AJ$2:$AJ$167,TRUE)))),"")</f>
        <v/>
      </c>
      <c r="AB42">
        <f t="array" ref="AB42">IFERROR((SUMPRODUCT((economics!$AG$2:$AG$167=$B42)*(economics!$D$2:$D$167="whr")*economics!$AI$2:$AI$167*(_xlfn.NORM.DIST(AB$3,economics!$AK$2:$AK$167,economics!$AJ$2:$AJ$167,TRUE)-_xlfn.NORM.DIST(AB$30,economics!$AK$2:$AK$167,economics!$AJ$2:$AJ$167,TRUE))*economics!$AM$2:$AM$167))/(SUMPRODUCT((economics!$AG$2:$AG$167=$B42)*(economics!$D$2:$D$167="whr")*economics!$AI$2:$AI$167*(_xlfn.NORM.DIST(AB$3,economics!$AK$2:$AK$167,economics!$AJ$2:$AJ$167,TRUE)-_xlfn.NORM.DIST(AB$30,economics!$AK$2:$AK$167,economics!$AJ$2:$AJ$167,TRUE)))),"")</f>
        <v/>
      </c>
      <c r="AC42">
        <f t="array" ref="AC42">IFERROR((SUMPRODUCT((economics!$AG$2:$AG$167=$B42)*(economics!$D$2:$D$167="whr")*economics!$AI$2:$AI$167*(_xlfn.NORM.DIST(AC$3,economics!$AK$2:$AK$167,economics!$AJ$2:$AJ$167,TRUE)-_xlfn.NORM.DIST(AC$30,economics!$AK$2:$AK$167,economics!$AJ$2:$AJ$167,TRUE))*economics!$AM$2:$AM$167))/(SUMPRODUCT((economics!$AG$2:$AG$167=$B42)*(economics!$D$2:$D$167="whr")*economics!$AI$2:$AI$167*(_xlfn.NORM.DIST(AC$3,economics!$AK$2:$AK$167,economics!$AJ$2:$AJ$167,TRUE)-_xlfn.NORM.DIST(AC$30,economics!$AK$2:$AK$167,economics!$AJ$2:$AJ$167,TRUE)))),"")</f>
        <v/>
      </c>
      <c r="AD42">
        <f t="array" ref="AD42">IFERROR((SUMPRODUCT((economics!$AG$2:$AG$167=$B42)*(economics!$D$2:$D$167="whr")*economics!$AI$2:$AI$167*(_xlfn.NORM.DIST(AD$3,economics!$AK$2:$AK$167,economics!$AJ$2:$AJ$167,TRUE)-_xlfn.NORM.DIST(AD$30,economics!$AK$2:$AK$167,economics!$AJ$2:$AJ$167,TRUE))*economics!$AM$2:$AM$167))/(SUMPRODUCT((economics!$AG$2:$AG$167=$B42)*(economics!$D$2:$D$167="whr")*economics!$AI$2:$AI$167*(_xlfn.NORM.DIST(AD$3,economics!$AK$2:$AK$167,economics!$AJ$2:$AJ$167,TRUE)-_xlfn.NORM.DIST(AD$30,economics!$AK$2:$AK$167,economics!$AJ$2:$AJ$167,TRUE)))),"")</f>
        <v/>
      </c>
      <c r="AE42">
        <f t="array" ref="AE42">IFERROR((SUMPRODUCT((economics!$AG$2:$AG$167=$B42)*(economics!$D$2:$D$167="whr")*economics!$AI$2:$AI$167*(_xlfn.NORM.DIST(AE$3,economics!$AK$2:$AK$167,economics!$AJ$2:$AJ$167,TRUE)-_xlfn.NORM.DIST(AE$30,economics!$AK$2:$AK$167,economics!$AJ$2:$AJ$167,TRUE))*economics!$AM$2:$AM$167))/(SUMPRODUCT((economics!$AG$2:$AG$167=$B42)*(economics!$D$2:$D$167="whr")*economics!$AI$2:$AI$167*(_xlfn.NORM.DIST(AE$3,economics!$AK$2:$AK$167,economics!$AJ$2:$AJ$167,TRUE)-_xlfn.NORM.DIST(AE$30,economics!$AK$2:$AK$167,economics!$AJ$2:$AJ$167,TRUE)))),"")</f>
        <v/>
      </c>
      <c r="AF42">
        <f t="array" ref="AF42">IFERROR((SUMPRODUCT((economics!$AG$2:$AG$167=$B42)*(economics!$D$2:$D$167="whr")*economics!$AI$2:$AI$167*(_xlfn.NORM.DIST(AF$3,economics!$AK$2:$AK$167,economics!$AJ$2:$AJ$167,TRUE)-_xlfn.NORM.DIST(AF$30,economics!$AK$2:$AK$167,economics!$AJ$2:$AJ$167,TRUE))*economics!$AM$2:$AM$167))/(SUMPRODUCT((economics!$AG$2:$AG$167=$B42)*(economics!$D$2:$D$167="whr")*economics!$AI$2:$AI$167*(_xlfn.NORM.DIST(AF$3,economics!$AK$2:$AK$167,economics!$AJ$2:$AJ$167,TRUE)-_xlfn.NORM.DIST(AF$30,economics!$AK$2:$AK$167,economics!$AJ$2:$AJ$167,TRUE)))),"")</f>
        <v/>
      </c>
      <c r="AG42">
        <f t="array" ref="AG42">IFERROR((SUMPRODUCT((economics!$AG$2:$AG$167=$B42)*(economics!$D$2:$D$167="whr")*economics!$AI$2:$AI$167*(_xlfn.NORM.DIST(AG$3,economics!$AK$2:$AK$167,economics!$AJ$2:$AJ$167,TRUE)-_xlfn.NORM.DIST(AG$30,economics!$AK$2:$AK$167,economics!$AJ$2:$AJ$167,TRUE))*economics!$AM$2:$AM$167))/(SUMPRODUCT((economics!$AG$2:$AG$167=$B42)*(economics!$D$2:$D$167="whr")*economics!$AI$2:$AI$167*(_xlfn.NORM.DIST(AG$3,economics!$AK$2:$AK$167,economics!$AJ$2:$AJ$167,TRUE)-_xlfn.NORM.DIST(AG$30,economics!$AK$2:$AK$167,economics!$AJ$2:$AJ$167,TRUE)))),"")</f>
        <v/>
      </c>
      <c r="AH42">
        <f t="array" ref="AH42">IFERROR((SUMPRODUCT((economics!$AG$2:$AG$167=$B42)*(economics!$D$2:$D$167="whr")*economics!$AI$2:$AI$167*(_xlfn.NORM.DIST(AH$3,economics!$AK$2:$AK$167,economics!$AJ$2:$AJ$167,TRUE)-_xlfn.NORM.DIST(AH$30,economics!$AK$2:$AK$167,economics!$AJ$2:$AJ$167,TRUE))*economics!$AM$2:$AM$167))/(SUMPRODUCT((economics!$AG$2:$AG$167=$B42)*(economics!$D$2:$D$167="whr")*economics!$AI$2:$AI$167*(_xlfn.NORM.DIST(AH$3,economics!$AK$2:$AK$167,economics!$AJ$2:$AJ$167,TRUE)-_xlfn.NORM.DIST(AH$30,economics!$AK$2:$AK$167,economics!$AJ$2:$AJ$167,TRUE)))),"")</f>
        <v/>
      </c>
      <c r="AI42">
        <f t="array" ref="AI42">IFERROR((SUMPRODUCT((economics!$AG$2:$AG$167=$B42)*(economics!$D$2:$D$167="whr")*economics!$AI$2:$AI$167*(_xlfn.NORM.DIST(AI$3,economics!$AK$2:$AK$167,economics!$AJ$2:$AJ$167,TRUE)-_xlfn.NORM.DIST(AI$30,economics!$AK$2:$AK$167,economics!$AJ$2:$AJ$167,TRUE))*economics!$AM$2:$AM$167))/(SUMPRODUCT((economics!$AG$2:$AG$167=$B42)*(economics!$D$2:$D$167="whr")*economics!$AI$2:$AI$167*(_xlfn.NORM.DIST(AI$3,economics!$AK$2:$AK$167,economics!$AJ$2:$AJ$167,TRUE)-_xlfn.NORM.DIST(AI$30,economics!$AK$2:$AK$167,economics!$AJ$2:$AJ$167,TRUE)))),"")</f>
        <v/>
      </c>
      <c r="AJ42">
        <f t="array" ref="AJ42">IFERROR((SUMPRODUCT((economics!$AG$2:$AG$167=$B42)*(economics!$D$2:$D$167="whr")*economics!$AI$2:$AI$167*(_xlfn.NORM.DIST(AJ$3,economics!$AK$2:$AK$167,economics!$AJ$2:$AJ$167,TRUE)-_xlfn.NORM.DIST(AJ$30,economics!$AK$2:$AK$167,economics!$AJ$2:$AJ$167,TRUE))*economics!$AM$2:$AM$167))/(SUMPRODUCT((economics!$AG$2:$AG$167=$B42)*(economics!$D$2:$D$167="whr")*economics!$AI$2:$AI$167*(_xlfn.NORM.DIST(AJ$3,economics!$AK$2:$AK$167,economics!$AJ$2:$AJ$167,TRUE)-_xlfn.NORM.DIST(AJ$30,economics!$AK$2:$AK$167,economics!$AJ$2:$AJ$167,TRUE)))),"")</f>
        <v/>
      </c>
      <c r="AK42">
        <f t="array" ref="AK42">IFERROR((SUMPRODUCT((economics!$AG$2:$AG$167=$B42)*(economics!$D$2:$D$167="whr")*economics!$AI$2:$AI$167*(_xlfn.NORM.DIST(AK$3,economics!$AK$2:$AK$167,economics!$AJ$2:$AJ$167,TRUE)-_xlfn.NORM.DIST(AK$30,economics!$AK$2:$AK$167,economics!$AJ$2:$AJ$167,TRUE))*economics!$AM$2:$AM$167))/(SUMPRODUCT((economics!$AG$2:$AG$167=$B42)*(economics!$D$2:$D$167="whr")*economics!$AI$2:$AI$167*(_xlfn.NORM.DIST(AK$3,economics!$AK$2:$AK$167,economics!$AJ$2:$AJ$167,TRUE)-_xlfn.NORM.DIST(AK$30,economics!$AK$2:$AK$167,economics!$AJ$2:$AJ$167,TRUE)))),"")</f>
        <v/>
      </c>
      <c r="AL42">
        <f t="array" ref="AL42">IFERROR((SUMPRODUCT((economics!$AG$2:$AG$167=$B42)*(economics!$D$2:$D$167="whr")*economics!$AI$2:$AI$167*(_xlfn.NORM.DIST(AL$3,economics!$AK$2:$AK$167,economics!$AJ$2:$AJ$167,TRUE)-_xlfn.NORM.DIST(AL$30,economics!$AK$2:$AK$167,economics!$AJ$2:$AJ$167,TRUE))*economics!$AM$2:$AM$167))/(SUMPRODUCT((economics!$AG$2:$AG$167=$B42)*(economics!$D$2:$D$167="whr")*economics!$AI$2:$AI$167*(_xlfn.NORM.DIST(AL$3,economics!$AK$2:$AK$167,economics!$AJ$2:$AJ$167,TRUE)-_xlfn.NORM.DIST(AL$30,economics!$AK$2:$AK$167,economics!$AJ$2:$AJ$167,TRUE)))),"")</f>
        <v/>
      </c>
      <c r="AM42">
        <f t="array" ref="AM42">IFERROR((SUMPRODUCT((economics!$AG$2:$AG$167=$B42)*(economics!$D$2:$D$167="whr")*economics!$AI$2:$AI$167*(_xlfn.NORM.DIST(AM$3,economics!$AK$2:$AK$167,economics!$AJ$2:$AJ$167,TRUE)-_xlfn.NORM.DIST(AM$30,economics!$AK$2:$AK$167,economics!$AJ$2:$AJ$167,TRUE))*economics!$AM$2:$AM$167))/(SUMPRODUCT((economics!$AG$2:$AG$167=$B42)*(economics!$D$2:$D$167="whr")*economics!$AI$2:$AI$167*(_xlfn.NORM.DIST(AM$3,economics!$AK$2:$AK$167,economics!$AJ$2:$AJ$167,TRUE)-_xlfn.NORM.DIST(AM$30,economics!$AK$2:$AK$167,economics!$AJ$2:$AJ$167,TRUE)))),"")</f>
        <v/>
      </c>
      <c r="AN42">
        <f t="array" ref="AN42">IFERROR((SUMPRODUCT((economics!$AG$2:$AG$167=$B42)*(economics!$D$2:$D$167="whr")*economics!$AI$2:$AI$167*(_xlfn.NORM.DIST(AN$3,economics!$AK$2:$AK$167,economics!$AJ$2:$AJ$167,TRUE)-_xlfn.NORM.DIST(AN$30,economics!$AK$2:$AK$167,economics!$AJ$2:$AJ$167,TRUE))*economics!$AM$2:$AM$167))/(SUMPRODUCT((economics!$AG$2:$AG$167=$B42)*(economics!$D$2:$D$167="whr")*economics!$AI$2:$AI$167*(_xlfn.NORM.DIST(AN$3,economics!$AK$2:$AK$167,economics!$AJ$2:$AJ$167,TRUE)-_xlfn.NORM.DIST(AN$30,economics!$AK$2:$AK$167,economics!$AJ$2:$AJ$167,TRUE)))),"")</f>
        <v/>
      </c>
      <c r="AO42">
        <f t="array" ref="AO42">IFERROR((SUMPRODUCT((economics!$AG$2:$AG$167=$B42)*(economics!$D$2:$D$167="whr")*economics!$AI$2:$AI$167*(_xlfn.NORM.DIST(AO$3,economics!$AK$2:$AK$167,economics!$AJ$2:$AJ$167,TRUE)-_xlfn.NORM.DIST(AO$30,economics!$AK$2:$AK$167,economics!$AJ$2:$AJ$167,TRUE))*economics!$AM$2:$AM$167))/(SUMPRODUCT((economics!$AG$2:$AG$167=$B42)*(economics!$D$2:$D$167="whr")*economics!$AI$2:$AI$167*(_xlfn.NORM.DIST(AO$3,economics!$AK$2:$AK$167,economics!$AJ$2:$AJ$167,TRUE)-_xlfn.NORM.DIST(AO$30,economics!$AK$2:$AK$167,economics!$AJ$2:$AJ$167,TRUE)))),"")</f>
        <v/>
      </c>
      <c r="AP42">
        <f t="array" ref="AP42">IFERROR((SUMPRODUCT((economics!$AG$2:$AG$167=$B42)*(economics!$D$2:$D$167="whr")*economics!$AI$2:$AI$167*(_xlfn.NORM.DIST(AP$3,economics!$AK$2:$AK$167,economics!$AJ$2:$AJ$167,TRUE)-_xlfn.NORM.DIST(AP$30,economics!$AK$2:$AK$167,economics!$AJ$2:$AJ$167,TRUE))*economics!$AM$2:$AM$167))/(SUMPRODUCT((economics!$AG$2:$AG$167=$B42)*(economics!$D$2:$D$167="whr")*economics!$AI$2:$AI$167*(_xlfn.NORM.DIST(AP$3,economics!$AK$2:$AK$167,economics!$AJ$2:$AJ$167,TRUE)-_xlfn.NORM.DIST(AP$30,economics!$AK$2:$AK$167,economics!$AJ$2:$AJ$167,TRUE)))),"")</f>
        <v/>
      </c>
      <c r="AQ42">
        <f t="array" ref="AQ42">IFERROR((SUMPRODUCT((economics!$AG$2:$AG$167=$B42)*(economics!$D$2:$D$167="whr")*economics!$AI$2:$AI$167*(_xlfn.NORM.DIST(AQ$3,economics!$AK$2:$AK$167,economics!$AJ$2:$AJ$167,TRUE)-_xlfn.NORM.DIST(AQ$30,economics!$AK$2:$AK$167,economics!$AJ$2:$AJ$167,TRUE))*economics!$AM$2:$AM$167))/(SUMPRODUCT((economics!$AG$2:$AG$167=$B42)*(economics!$D$2:$D$167="whr")*economics!$AI$2:$AI$167*(_xlfn.NORM.DIST(AQ$3,economics!$AK$2:$AK$167,economics!$AJ$2:$AJ$167,TRUE)-_xlfn.NORM.DIST(AQ$30,economics!$AK$2:$AK$167,economics!$AJ$2:$AJ$167,TRUE)))),"")</f>
        <v/>
      </c>
      <c r="AR42">
        <f t="array" ref="AR42">IFERROR((SUMPRODUCT((economics!$AG$2:$AG$167=$B42)*(economics!$D$2:$D$167="whr")*economics!$AI$2:$AI$167*(_xlfn.NORM.DIST(AR$3,economics!$AK$2:$AK$167,economics!$AJ$2:$AJ$167,TRUE)-_xlfn.NORM.DIST(AR$30,economics!$AK$2:$AK$167,economics!$AJ$2:$AJ$167,TRUE))*economics!$AM$2:$AM$167))/(SUMPRODUCT((economics!$AG$2:$AG$167=$B42)*(economics!$D$2:$D$167="whr")*economics!$AI$2:$AI$167*(_xlfn.NORM.DIST(AR$3,economics!$AK$2:$AK$167,economics!$AJ$2:$AJ$167,TRUE)-_xlfn.NORM.DIST(AR$30,economics!$AK$2:$AK$167,economics!$AJ$2:$AJ$167,TRUE)))),"")</f>
        <v/>
      </c>
      <c r="AS42">
        <f t="array" ref="AS42">IFERROR((SUMPRODUCT((economics!$AG$2:$AG$167=$B42)*(economics!$D$2:$D$167="whr")*economics!$AI$2:$AI$167*(_xlfn.NORM.DIST(AS$3,economics!$AK$2:$AK$167,economics!$AJ$2:$AJ$167,TRUE)-_xlfn.NORM.DIST(AS$30,economics!$AK$2:$AK$167,economics!$AJ$2:$AJ$167,TRUE))*economics!$AM$2:$AM$167))/(SUMPRODUCT((economics!$AG$2:$AG$167=$B42)*(economics!$D$2:$D$167="whr")*economics!$AI$2:$AI$167*(_xlfn.NORM.DIST(AS$3,economics!$AK$2:$AK$167,economics!$AJ$2:$AJ$167,TRUE)-_xlfn.NORM.DIST(AS$30,economics!$AK$2:$AK$167,economics!$AJ$2:$AJ$167,TRUE)))),"")</f>
        <v/>
      </c>
      <c r="AT42">
        <f t="array" ref="AT42">IFERROR((SUMPRODUCT((economics!$AG$2:$AG$167=$B42)*(economics!$D$2:$D$167="whr")*economics!$AI$2:$AI$167*(_xlfn.NORM.DIST(AT$3,economics!$AK$2:$AK$167,economics!$AJ$2:$AJ$167,TRUE)-_xlfn.NORM.DIST(AT$30,economics!$AK$2:$AK$167,economics!$AJ$2:$AJ$167,TRUE))*economics!$AM$2:$AM$167))/(SUMPRODUCT((economics!$AG$2:$AG$167=$B42)*(economics!$D$2:$D$167="whr")*economics!$AI$2:$AI$167*(_xlfn.NORM.DIST(AT$3,economics!$AK$2:$AK$167,economics!$AJ$2:$AJ$167,TRUE)-_xlfn.NORM.DIST(AT$30,economics!$AK$2:$AK$167,economics!$AJ$2:$AJ$167,TRUE)))),"")</f>
        <v/>
      </c>
      <c r="AU42">
        <f t="array" ref="AU42">IFERROR((SUMPRODUCT((economics!$AG$2:$AG$167=$B42)*(economics!$D$2:$D$167="whr")*economics!$AI$2:$AI$167*(_xlfn.NORM.DIST(AU$3,economics!$AK$2:$AK$167,economics!$AJ$2:$AJ$167,TRUE)-_xlfn.NORM.DIST(AU$30,economics!$AK$2:$AK$167,economics!$AJ$2:$AJ$167,TRUE))*economics!$AM$2:$AM$167))/(SUMPRODUCT((economics!$AG$2:$AG$167=$B42)*(economics!$D$2:$D$167="whr")*economics!$AI$2:$AI$167*(_xlfn.NORM.DIST(AU$3,economics!$AK$2:$AK$167,economics!$AJ$2:$AJ$167,TRUE)-_xlfn.NORM.DIST(AU$30,economics!$AK$2:$AK$167,economics!$AJ$2:$AJ$167,TRUE)))),"")</f>
        <v/>
      </c>
      <c r="AV42">
        <f t="array" ref="AV42">IFERROR((SUMPRODUCT((economics!$AG$2:$AG$167=$B42)*(economics!$D$2:$D$167="whr")*economics!$AI$2:$AI$167*(_xlfn.NORM.DIST(AV$3,economics!$AK$2:$AK$167,economics!$AJ$2:$AJ$167,TRUE)-_xlfn.NORM.DIST(AV$30,economics!$AK$2:$AK$167,economics!$AJ$2:$AJ$167,TRUE))*economics!$AM$2:$AM$167))/(SUMPRODUCT((economics!$AG$2:$AG$167=$B42)*(economics!$D$2:$D$167="whr")*economics!$AI$2:$AI$167*(_xlfn.NORM.DIST(AV$3,economics!$AK$2:$AK$167,economics!$AJ$2:$AJ$167,TRUE)-_xlfn.NORM.DIST(AV$30,economics!$AK$2:$AK$167,economics!$AJ$2:$AJ$167,TRUE)))),"")</f>
        <v/>
      </c>
      <c r="AW42">
        <f t="array" ref="AW42">IFERROR((SUMPRODUCT((economics!$AG$2:$AG$167=$B42)*(economics!$D$2:$D$167="whr")*economics!$AI$2:$AI$167*(_xlfn.NORM.DIST(AW$3,economics!$AK$2:$AK$167,economics!$AJ$2:$AJ$167,TRUE)-_xlfn.NORM.DIST(AW$30,economics!$AK$2:$AK$167,economics!$AJ$2:$AJ$167,TRUE))*economics!$AM$2:$AM$167))/(SUMPRODUCT((economics!$AG$2:$AG$167=$B42)*(economics!$D$2:$D$167="whr")*economics!$AI$2:$AI$167*(_xlfn.NORM.DIST(AW$3,economics!$AK$2:$AK$167,economics!$AJ$2:$AJ$167,TRUE)-_xlfn.NORM.DIST(AW$30,economics!$AK$2:$AK$167,economics!$AJ$2:$AJ$167,TRUE)))),"")</f>
        <v/>
      </c>
      <c r="AX42">
        <f t="array" ref="AX42">IFERROR((SUMPRODUCT((economics!$AG$2:$AG$167=$B42)*(economics!$D$2:$D$167="whr")*economics!$AI$2:$AI$167*(_xlfn.NORM.DIST(AX$3,economics!$AK$2:$AK$167,economics!$AJ$2:$AJ$167,TRUE)-_xlfn.NORM.DIST(AX$30,economics!$AK$2:$AK$167,economics!$AJ$2:$AJ$167,TRUE))*economics!$AM$2:$AM$167))/(SUMPRODUCT((economics!$AG$2:$AG$167=$B42)*(economics!$D$2:$D$167="whr")*economics!$AI$2:$AI$167*(_xlfn.NORM.DIST(AX$3,economics!$AK$2:$AK$167,economics!$AJ$2:$AJ$167,TRUE)-_xlfn.NORM.DIST(AX$30,economics!$AK$2:$AK$167,economics!$AJ$2:$AJ$167,TRUE)))),"")</f>
        <v/>
      </c>
      <c r="AY42">
        <f t="array" ref="AY42">IFERROR((SUMPRODUCT((economics!$AG$2:$AG$167=$B42)*(economics!$D$2:$D$167="whr")*economics!$AI$2:$AI$167*(_xlfn.NORM.DIST(AY$3,economics!$AK$2:$AK$167,economics!$AJ$2:$AJ$167,TRUE)-_xlfn.NORM.DIST(AY$30,economics!$AK$2:$AK$167,economics!$AJ$2:$AJ$167,TRUE))*economics!$AM$2:$AM$167))/(SUMPRODUCT((economics!$AG$2:$AG$167=$B42)*(economics!$D$2:$D$167="whr")*economics!$AI$2:$AI$167*(_xlfn.NORM.DIST(AY$3,economics!$AK$2:$AK$167,economics!$AJ$2:$AJ$167,TRUE)-_xlfn.NORM.DIST(AY$30,economics!$AK$2:$AK$167,economics!$AJ$2:$AJ$167,TRUE)))),"")</f>
        <v/>
      </c>
      <c r="AZ42">
        <f t="array" ref="AZ42">IFERROR((SUMPRODUCT((economics!$AG$2:$AG$167=$B42)*(economics!$D$2:$D$167="whr")*economics!$AI$2:$AI$167*(_xlfn.NORM.DIST(AZ$3,economics!$AK$2:$AK$167,economics!$AJ$2:$AJ$167,TRUE)-_xlfn.NORM.DIST(AZ$30,economics!$AK$2:$AK$167,economics!$AJ$2:$AJ$167,TRUE))*economics!$AM$2:$AM$167))/(SUMPRODUCT((economics!$AG$2:$AG$167=$B42)*(economics!$D$2:$D$167="whr")*economics!$AI$2:$AI$167*(_xlfn.NORM.DIST(AZ$3,economics!$AK$2:$AK$167,economics!$AJ$2:$AJ$167,TRUE)-_xlfn.NORM.DIST(AZ$30,economics!$AK$2:$AK$167,economics!$AJ$2:$AJ$167,TRUE)))),"")</f>
        <v/>
      </c>
      <c r="BA42">
        <f t="array" ref="BA42">IFERROR((SUMPRODUCT((economics!$AG$2:$AG$167=$B42)*(economics!$D$2:$D$167="whr")*economics!$AI$2:$AI$167*(_xlfn.NORM.DIST(BA$3,economics!$AK$2:$AK$167,economics!$AJ$2:$AJ$167,TRUE)-_xlfn.NORM.DIST(BA$30,economics!$AK$2:$AK$167,economics!$AJ$2:$AJ$167,TRUE))*economics!$AM$2:$AM$167))/(SUMPRODUCT((economics!$AG$2:$AG$167=$B42)*(economics!$D$2:$D$167="whr")*economics!$AI$2:$AI$167*(_xlfn.NORM.DIST(BA$3,economics!$AK$2:$AK$167,economics!$AJ$2:$AJ$167,TRUE)-_xlfn.NORM.DIST(BA$30,economics!$AK$2:$AK$167,economics!$AJ$2:$AJ$167,TRUE)))),"")</f>
        <v/>
      </c>
      <c r="BB42">
        <f t="array" ref="BB42">IFERROR((SUMPRODUCT((economics!$AG$2:$AG$167=$B42)*(economics!$D$2:$D$167="whr")*economics!$AI$2:$AI$167*(_xlfn.NORM.DIST(BB$3,economics!$AK$2:$AK$167,economics!$AJ$2:$AJ$167,TRUE)-_xlfn.NORM.DIST(BB$30,economics!$AK$2:$AK$167,economics!$AJ$2:$AJ$167,TRUE))*economics!$AM$2:$AM$167))/(SUMPRODUCT((economics!$AG$2:$AG$167=$B42)*(economics!$D$2:$D$167="whr")*economics!$AI$2:$AI$167*(_xlfn.NORM.DIST(BB$3,economics!$AK$2:$AK$167,economics!$AJ$2:$AJ$167,TRUE)-_xlfn.NORM.DIST(BB$30,economics!$AK$2:$AK$167,economics!$AJ$2:$AJ$167,TRUE)))),"")</f>
        <v/>
      </c>
      <c r="BC42">
        <f t="array" ref="BC42">IFERROR((SUMPRODUCT((economics!$AG$2:$AG$167=$B42)*(economics!$D$2:$D$167="whr")*economics!$AI$2:$AI$167*(_xlfn.NORM.DIST(BC$3,economics!$AK$2:$AK$167,economics!$AJ$2:$AJ$167,TRUE)-_xlfn.NORM.DIST(BC$30,economics!$AK$2:$AK$167,economics!$AJ$2:$AJ$167,TRUE))*economics!$AM$2:$AM$167))/(SUMPRODUCT((economics!$AG$2:$AG$167=$B42)*(economics!$D$2:$D$167="whr")*economics!$AI$2:$AI$167*(_xlfn.NORM.DIST(BC$3,economics!$AK$2:$AK$167,economics!$AJ$2:$AJ$167,TRUE)-_xlfn.NORM.DIST(BC$30,economics!$AK$2:$AK$167,economics!$AJ$2:$AJ$167,TRUE)))),"")</f>
        <v/>
      </c>
      <c r="BD42">
        <f t="array" ref="BD42">IFERROR((SUMPRODUCT((economics!$AG$2:$AG$167=$B42)*(economics!$D$2:$D$167="whr")*economics!$AI$2:$AI$167*(_xlfn.NORM.DIST(BD$3,economics!$AK$2:$AK$167,economics!$AJ$2:$AJ$167,TRUE)-_xlfn.NORM.DIST(BD$30,economics!$AK$2:$AK$167,economics!$AJ$2:$AJ$167,TRUE))*economics!$AM$2:$AM$167))/(SUMPRODUCT((economics!$AG$2:$AG$167=$B42)*(economics!$D$2:$D$167="whr")*economics!$AI$2:$AI$167*(_xlfn.NORM.DIST(BD$3,economics!$AK$2:$AK$167,economics!$AJ$2:$AJ$167,TRUE)-_xlfn.NORM.DIST(BD$30,economics!$AK$2:$AK$167,economics!$AJ$2:$AJ$167,TRUE)))),"")</f>
        <v/>
      </c>
      <c r="BE42">
        <f t="array" ref="BE42">IFERROR((SUMPRODUCT((economics!$AG$2:$AG$167=$B42)*(economics!$D$2:$D$167="whr")*economics!$AI$2:$AI$167*(_xlfn.NORM.DIST(BE$3,economics!$AK$2:$AK$167,economics!$AJ$2:$AJ$167,TRUE)-_xlfn.NORM.DIST(BE$30,economics!$AK$2:$AK$167,economics!$AJ$2:$AJ$167,TRUE))*economics!$AM$2:$AM$167))/(SUMPRODUCT((economics!$AG$2:$AG$167=$B42)*(economics!$D$2:$D$167="whr")*economics!$AI$2:$AI$167*(_xlfn.NORM.DIST(BE$3,economics!$AK$2:$AK$167,economics!$AJ$2:$AJ$167,TRUE)-_xlfn.NORM.DIST(BE$30,economics!$AK$2:$AK$167,economics!$AJ$2:$AJ$167,TRUE)))),"")</f>
        <v/>
      </c>
      <c r="BF42">
        <f t="array" ref="BF42">IFERROR((SUMPRODUCT((economics!$AG$2:$AG$167=$B42)*(economics!$D$2:$D$167="whr")*economics!$AI$2:$AI$167*(_xlfn.NORM.DIST(BF$3,economics!$AK$2:$AK$167,economics!$AJ$2:$AJ$167,TRUE)-_xlfn.NORM.DIST(BF$30,economics!$AK$2:$AK$167,economics!$AJ$2:$AJ$167,TRUE))*economics!$AM$2:$AM$167))/(SUMPRODUCT((economics!$AG$2:$AG$167=$B42)*(economics!$D$2:$D$167="whr")*economics!$AI$2:$AI$167*(_xlfn.NORM.DIST(BF$3,economics!$AK$2:$AK$167,economics!$AJ$2:$AJ$167,TRUE)-_xlfn.NORM.DIST(BF$30,economics!$AK$2:$AK$167,economics!$AJ$2:$AJ$167,TRUE)))),"")</f>
        <v/>
      </c>
      <c r="BG42">
        <f t="array" ref="BG42">IFERROR((SUMPRODUCT((economics!$AG$2:$AG$167=$B42)*(economics!$D$2:$D$167="whr")*economics!$AI$2:$AI$167*(_xlfn.NORM.DIST(BG$3,economics!$AK$2:$AK$167,economics!$AJ$2:$AJ$167,TRUE)-_xlfn.NORM.DIST(BG$30,economics!$AK$2:$AK$167,economics!$AJ$2:$AJ$167,TRUE))*economics!$AM$2:$AM$167))/(SUMPRODUCT((economics!$AG$2:$AG$167=$B42)*(economics!$D$2:$D$167="whr")*economics!$AI$2:$AI$167*(_xlfn.NORM.DIST(BG$3,economics!$AK$2:$AK$167,economics!$AJ$2:$AJ$167,TRUE)-_xlfn.NORM.DIST(BG$30,economics!$AK$2:$AK$167,economics!$AJ$2:$AJ$167,TRUE)))),"")</f>
        <v/>
      </c>
      <c r="BH42">
        <f t="array" ref="BH42">IFERROR((SUMPRODUCT((economics!$AG$2:$AG$167=$B42)*(economics!$D$2:$D$167="whr")*economics!$AI$2:$AI$167*(_xlfn.NORM.DIST(BH$3,economics!$AK$2:$AK$167,economics!$AJ$2:$AJ$167,TRUE)-_xlfn.NORM.DIST(BH$30,economics!$AK$2:$AK$167,economics!$AJ$2:$AJ$167,TRUE))*economics!$AM$2:$AM$167))/(SUMPRODUCT((economics!$AG$2:$AG$167=$B42)*(economics!$D$2:$D$167="whr")*economics!$AI$2:$AI$167*(_xlfn.NORM.DIST(BH$3,economics!$AK$2:$AK$167,economics!$AJ$2:$AJ$167,TRUE)-_xlfn.NORM.DIST(BH$30,economics!$AK$2:$AK$167,economics!$AJ$2:$AJ$167,TRUE)))),"")</f>
        <v/>
      </c>
      <c r="BI42">
        <f t="array" ref="BI42">IFERROR((SUMPRODUCT((economics!$AG$2:$AG$167=$B42)*(economics!$D$2:$D$167="whr")*economics!$AI$2:$AI$167*(_xlfn.NORM.DIST(BI$3,economics!$AK$2:$AK$167,economics!$AJ$2:$AJ$167,TRUE)-_xlfn.NORM.DIST(BI$30,economics!$AK$2:$AK$167,economics!$AJ$2:$AJ$167,TRUE))*economics!$AM$2:$AM$167))/(SUMPRODUCT((economics!$AG$2:$AG$167=$B42)*(economics!$D$2:$D$167="whr")*economics!$AI$2:$AI$167*(_xlfn.NORM.DIST(BI$3,economics!$AK$2:$AK$167,economics!$AJ$2:$AJ$167,TRUE)-_xlfn.NORM.DIST(BI$30,economics!$AK$2:$AK$167,economics!$AJ$2:$AJ$167,TRUE)))),"")</f>
        <v/>
      </c>
      <c r="BJ42">
        <f t="array" ref="BJ42">IFERROR((SUMPRODUCT((economics!$AG$2:$AG$167=$B42)*(economics!$D$2:$D$167="whr")*economics!$AI$2:$AI$167*(_xlfn.NORM.DIST(BJ$3,economics!$AK$2:$AK$167,economics!$AJ$2:$AJ$167,TRUE)-_xlfn.NORM.DIST(BJ$30,economics!$AK$2:$AK$167,economics!$AJ$2:$AJ$167,TRUE))*economics!$AM$2:$AM$167))/(SUMPRODUCT((economics!$AG$2:$AG$167=$B42)*(economics!$D$2:$D$167="whr")*economics!$AI$2:$AI$167*(_xlfn.NORM.DIST(BJ$3,economics!$AK$2:$AK$167,economics!$AJ$2:$AJ$167,TRUE)-_xlfn.NORM.DIST(BJ$30,economics!$AK$2:$AK$167,economics!$AJ$2:$AJ$167,TRUE)))),"")</f>
        <v/>
      </c>
      <c r="BK42">
        <f t="array" ref="BK42">IFERROR((SUMPRODUCT((economics!$AG$2:$AG$167=$B42)*(economics!$D$2:$D$167="whr")*economics!$AI$2:$AI$167*(_xlfn.NORM.DIST(BK$3,economics!$AK$2:$AK$167,economics!$AJ$2:$AJ$167,TRUE)-_xlfn.NORM.DIST(BK$30,economics!$AK$2:$AK$167,economics!$AJ$2:$AJ$167,TRUE))*economics!$AM$2:$AM$167))/(SUMPRODUCT((economics!$AG$2:$AG$167=$B42)*(economics!$D$2:$D$167="whr")*economics!$AI$2:$AI$167*(_xlfn.NORM.DIST(BK$3,economics!$AK$2:$AK$167,economics!$AJ$2:$AJ$167,TRUE)-_xlfn.NORM.DIST(BK$30,economics!$AK$2:$AK$167,economics!$AJ$2:$AJ$167,TRUE)))),"")</f>
        <v/>
      </c>
      <c r="BL42">
        <f t="array" ref="BL42">IFERROR((SUMPRODUCT((economics!$AG$2:$AG$167=$B42)*(economics!$D$2:$D$167="whr")*economics!$AI$2:$AI$167*(_xlfn.NORM.DIST(BL$3,economics!$AK$2:$AK$167,economics!$AJ$2:$AJ$167,TRUE)-_xlfn.NORM.DIST(BL$30,economics!$AK$2:$AK$167,economics!$AJ$2:$AJ$167,TRUE))*economics!$AM$2:$AM$167))/(SUMPRODUCT((economics!$AG$2:$AG$167=$B42)*(economics!$D$2:$D$167="whr")*economics!$AI$2:$AI$167*(_xlfn.NORM.DIST(BL$3,economics!$AK$2:$AK$167,economics!$AJ$2:$AJ$167,TRUE)-_xlfn.NORM.DIST(BL$30,economics!$AK$2:$AK$167,economics!$AJ$2:$AJ$167,TRUE)))),"")</f>
        <v/>
      </c>
      <c r="BM42">
        <f t="array" ref="BM42">IFERROR((SUMPRODUCT((economics!$AG$2:$AG$167=$B42)*(economics!$D$2:$D$167="whr")*economics!$AI$2:$AI$167*(_xlfn.NORM.DIST(BM$3,economics!$AK$2:$AK$167,economics!$AJ$2:$AJ$167,TRUE)-_xlfn.NORM.DIST(BM$30,economics!$AK$2:$AK$167,economics!$AJ$2:$AJ$167,TRUE))*economics!$AM$2:$AM$167))/(SUMPRODUCT((economics!$AG$2:$AG$167=$B42)*(economics!$D$2:$D$167="whr")*economics!$AI$2:$AI$167*(_xlfn.NORM.DIST(BM$3,economics!$AK$2:$AK$167,economics!$AJ$2:$AJ$167,TRUE)-_xlfn.NORM.DIST(BM$30,economics!$AK$2:$AK$167,economics!$AJ$2:$AJ$167,TRUE)))),"")</f>
        <v/>
      </c>
      <c r="BN42">
        <f t="array" ref="BN42">IFERROR((SUMPRODUCT((economics!$AG$2:$AG$167=$B42)*(economics!$D$2:$D$167="whr")*economics!$AI$2:$AI$167*(_xlfn.NORM.DIST(BN$3,economics!$AK$2:$AK$167,economics!$AJ$2:$AJ$167,TRUE)-_xlfn.NORM.DIST(BN$30,economics!$AK$2:$AK$167,economics!$AJ$2:$AJ$167,TRUE))*economics!$AM$2:$AM$167))/(SUMPRODUCT((economics!$AG$2:$AG$167=$B42)*(economics!$D$2:$D$167="whr")*economics!$AI$2:$AI$167*(_xlfn.NORM.DIST(BN$3,economics!$AK$2:$AK$167,economics!$AJ$2:$AJ$167,TRUE)-_xlfn.NORM.DIST(BN$30,economics!$AK$2:$AK$167,economics!$AJ$2:$AJ$167,TRUE)))),"")</f>
        <v/>
      </c>
      <c r="BO42">
        <f t="array" ref="BO42">IFERROR((SUMPRODUCT((economics!$AG$2:$AG$167=$B42)*(economics!$D$2:$D$167="whr")*economics!$AI$2:$AI$167*(_xlfn.NORM.DIST(BO$3,economics!$AK$2:$AK$167,economics!$AJ$2:$AJ$167,TRUE)-_xlfn.NORM.DIST(BO$30,economics!$AK$2:$AK$167,economics!$AJ$2:$AJ$167,TRUE))*economics!$AM$2:$AM$167))/(SUMPRODUCT((economics!$AG$2:$AG$167=$B42)*(economics!$D$2:$D$167="whr")*economics!$AI$2:$AI$167*(_xlfn.NORM.DIST(BO$3,economics!$AK$2:$AK$167,economics!$AJ$2:$AJ$167,TRUE)-_xlfn.NORM.DIST(BO$30,economics!$AK$2:$AK$167,economics!$AJ$2:$AJ$167,TRUE)))),"")</f>
        <v/>
      </c>
      <c r="BP42">
        <f t="array" ref="BP42">IFERROR((SUMPRODUCT((economics!$AG$2:$AG$167=$B42)*(economics!$D$2:$D$167="whr")*economics!$AI$2:$AI$167*(_xlfn.NORM.DIST(BP$3,economics!$AK$2:$AK$167,economics!$AJ$2:$AJ$167,TRUE)-_xlfn.NORM.DIST(BP$30,economics!$AK$2:$AK$167,economics!$AJ$2:$AJ$167,TRUE))*economics!$AM$2:$AM$167))/(SUMPRODUCT((economics!$AG$2:$AG$167=$B42)*(economics!$D$2:$D$167="whr")*economics!$AI$2:$AI$167*(_xlfn.NORM.DIST(BP$3,economics!$AK$2:$AK$167,economics!$AJ$2:$AJ$167,TRUE)-_xlfn.NORM.DIST(BP$30,economics!$AK$2:$AK$167,economics!$AJ$2:$AJ$167,TRUE)))),"")</f>
        <v/>
      </c>
      <c r="BQ42">
        <f t="array" ref="BQ42">IFERROR((SUMPRODUCT((economics!$AG$2:$AG$167=$B42)*(economics!$D$2:$D$167="whr")*economics!$AI$2:$AI$167*(_xlfn.NORM.DIST(BQ$3,economics!$AK$2:$AK$167,economics!$AJ$2:$AJ$167,TRUE)-_xlfn.NORM.DIST(BQ$30,economics!$AK$2:$AK$167,economics!$AJ$2:$AJ$167,TRUE))*economics!$AM$2:$AM$167))/(SUMPRODUCT((economics!$AG$2:$AG$167=$B42)*(economics!$D$2:$D$167="whr")*economics!$AI$2:$AI$167*(_xlfn.NORM.DIST(BQ$3,economics!$AK$2:$AK$167,economics!$AJ$2:$AJ$167,TRUE)-_xlfn.NORM.DIST(BQ$30,economics!$AK$2:$AK$167,economics!$AJ$2:$AJ$167,TRUE)))),"")</f>
        <v/>
      </c>
      <c r="BR42">
        <f t="array" ref="BR42">IFERROR((SUMPRODUCT((economics!$AG$2:$AG$167=$B42)*(economics!$D$2:$D$167="whr")*economics!$AI$2:$AI$167*(_xlfn.NORM.DIST(BR$3,economics!$AK$2:$AK$167,economics!$AJ$2:$AJ$167,TRUE)-_xlfn.NORM.DIST(BR$30,economics!$AK$2:$AK$167,economics!$AJ$2:$AJ$167,TRUE))*economics!$AM$2:$AM$167))/(SUMPRODUCT((economics!$AG$2:$AG$167=$B42)*(economics!$D$2:$D$167="whr")*economics!$AI$2:$AI$167*(_xlfn.NORM.DIST(BR$3,economics!$AK$2:$AK$167,economics!$AJ$2:$AJ$167,TRUE)-_xlfn.NORM.DIST(BR$30,economics!$AK$2:$AK$167,economics!$AJ$2:$AJ$167,TRUE)))),"")</f>
        <v/>
      </c>
      <c r="BS42">
        <f t="array" ref="BS42">IFERROR((SUMPRODUCT((economics!$AG$2:$AG$167=$B42)*(economics!$D$2:$D$167="whr")*economics!$AI$2:$AI$167*(_xlfn.NORM.DIST(BS$3,economics!$AK$2:$AK$167,economics!$AJ$2:$AJ$167,TRUE)-_xlfn.NORM.DIST(BS$30,economics!$AK$2:$AK$167,economics!$AJ$2:$AJ$167,TRUE))*economics!$AM$2:$AM$167))/(SUMPRODUCT((economics!$AG$2:$AG$167=$B42)*(economics!$D$2:$D$167="whr")*economics!$AI$2:$AI$167*(_xlfn.NORM.DIST(BS$3,economics!$AK$2:$AK$167,economics!$AJ$2:$AJ$167,TRUE)-_xlfn.NORM.DIST(BS$30,economics!$AK$2:$AK$167,economics!$AJ$2:$AJ$167,TRUE)))),"")</f>
        <v/>
      </c>
      <c r="BT42">
        <f t="array" ref="BT42">IFERROR((SUMPRODUCT((economics!$AG$2:$AG$167=$B42)*(economics!$D$2:$D$167="whr")*economics!$AI$2:$AI$167*(_xlfn.NORM.DIST(BT$3,economics!$AK$2:$AK$167,economics!$AJ$2:$AJ$167,TRUE)-_xlfn.NORM.DIST(BT$30,economics!$AK$2:$AK$167,economics!$AJ$2:$AJ$167,TRUE))*economics!$AM$2:$AM$167))/(SUMPRODUCT((economics!$AG$2:$AG$167=$B42)*(economics!$D$2:$D$167="whr")*economics!$AI$2:$AI$167*(_xlfn.NORM.DIST(BT$3,economics!$AK$2:$AK$167,economics!$AJ$2:$AJ$167,TRUE)-_xlfn.NORM.DIST(BT$30,economics!$AK$2:$AK$167,economics!$AJ$2:$AJ$167,TRUE)))),"")</f>
        <v/>
      </c>
      <c r="BU42">
        <f t="array" ref="BU42">IFERROR((SUMPRODUCT((economics!$AG$2:$AG$167=$B42)*(economics!$D$2:$D$167="whr")*economics!$AI$2:$AI$167*(_xlfn.NORM.DIST(BU$3,economics!$AK$2:$AK$167,economics!$AJ$2:$AJ$167,TRUE)-_xlfn.NORM.DIST(BU$30,economics!$AK$2:$AK$167,economics!$AJ$2:$AJ$167,TRUE))*economics!$AM$2:$AM$167))/(SUMPRODUCT((economics!$AG$2:$AG$167=$B42)*(economics!$D$2:$D$167="whr")*economics!$AI$2:$AI$167*(_xlfn.NORM.DIST(BU$3,economics!$AK$2:$AK$167,economics!$AJ$2:$AJ$167,TRUE)-_xlfn.NORM.DIST(BU$30,economics!$AK$2:$AK$167,economics!$AJ$2:$AJ$167,TRUE)))),"")</f>
        <v/>
      </c>
      <c r="BV42">
        <f t="array" ref="BV42">IFERROR((SUMPRODUCT((economics!$AG$2:$AG$167=$B42)*(economics!$D$2:$D$167="whr")*economics!$AI$2:$AI$167*(_xlfn.NORM.DIST(BV$3,economics!$AK$2:$AK$167,economics!$AJ$2:$AJ$167,TRUE)-_xlfn.NORM.DIST(BV$30,economics!$AK$2:$AK$167,economics!$AJ$2:$AJ$167,TRUE))*economics!$AM$2:$AM$167))/(SUMPRODUCT((economics!$AG$2:$AG$167=$B42)*(economics!$D$2:$D$167="whr")*economics!$AI$2:$AI$167*(_xlfn.NORM.DIST(BV$3,economics!$AK$2:$AK$167,economics!$AJ$2:$AJ$167,TRUE)-_xlfn.NORM.DIST(BV$30,economics!$AK$2:$AK$167,economics!$AJ$2:$AJ$167,TRUE)))),"")</f>
        <v/>
      </c>
      <c r="BW42">
        <f t="array" ref="BW42">IFERROR((SUMPRODUCT((economics!$AG$2:$AG$167=$B42)*(economics!$D$2:$D$167="whr")*economics!$AI$2:$AI$167*(_xlfn.NORM.DIST(BW$3,economics!$AK$2:$AK$167,economics!$AJ$2:$AJ$167,TRUE)-_xlfn.NORM.DIST(BW$30,economics!$AK$2:$AK$167,economics!$AJ$2:$AJ$167,TRUE))*economics!$AM$2:$AM$167))/(SUMPRODUCT((economics!$AG$2:$AG$167=$B42)*(economics!$D$2:$D$167="whr")*economics!$AI$2:$AI$167*(_xlfn.NORM.DIST(BW$3,economics!$AK$2:$AK$167,economics!$AJ$2:$AJ$167,TRUE)-_xlfn.NORM.DIST(BW$30,economics!$AK$2:$AK$167,economics!$AJ$2:$AJ$167,TRUE)))),"")</f>
        <v/>
      </c>
      <c r="BX42">
        <f t="array" ref="BX42">IFERROR((SUMPRODUCT((economics!$AG$2:$AG$167=$B42)*(economics!$D$2:$D$167="whr")*economics!$AI$2:$AI$167*(_xlfn.NORM.DIST(BX$3,economics!$AK$2:$AK$167,economics!$AJ$2:$AJ$167,TRUE)-_xlfn.NORM.DIST(BX$30,economics!$AK$2:$AK$167,economics!$AJ$2:$AJ$167,TRUE))*economics!$AM$2:$AM$167))/(SUMPRODUCT((economics!$AG$2:$AG$167=$B42)*(economics!$D$2:$D$167="whr")*economics!$AI$2:$AI$167*(_xlfn.NORM.DIST(BX$3,economics!$AK$2:$AK$167,economics!$AJ$2:$AJ$167,TRUE)-_xlfn.NORM.DIST(BX$30,economics!$AK$2:$AK$167,economics!$AJ$2:$AJ$167,TRUE)))),"")</f>
        <v/>
      </c>
      <c r="BY42">
        <f t="array" ref="BY42">IFERROR((SUMPRODUCT((economics!$AG$2:$AG$167=$B42)*(economics!$D$2:$D$167="whr")*economics!$AI$2:$AI$167*(_xlfn.NORM.DIST(BY$3,economics!$AK$2:$AK$167,economics!$AJ$2:$AJ$167,TRUE)-_xlfn.NORM.DIST(BY$30,economics!$AK$2:$AK$167,economics!$AJ$2:$AJ$167,TRUE))*economics!$AM$2:$AM$167))/(SUMPRODUCT((economics!$AG$2:$AG$167=$B42)*(economics!$D$2:$D$167="whr")*economics!$AI$2:$AI$167*(_xlfn.NORM.DIST(BY$3,economics!$AK$2:$AK$167,economics!$AJ$2:$AJ$167,TRUE)-_xlfn.NORM.DIST(BY$30,economics!$AK$2:$AK$167,economics!$AJ$2:$AJ$167,TRUE)))),"")</f>
        <v/>
      </c>
      <c r="BZ42">
        <f t="array" ref="BZ42">IFERROR((SUMPRODUCT((economics!$AG$2:$AG$167=$B42)*(economics!$D$2:$D$167="whr")*economics!$AI$2:$AI$167*(_xlfn.NORM.DIST(BZ$3,economics!$AK$2:$AK$167,economics!$AJ$2:$AJ$167,TRUE)-_xlfn.NORM.DIST(BZ$30,economics!$AK$2:$AK$167,economics!$AJ$2:$AJ$167,TRUE))*economics!$AM$2:$AM$167))/(SUMPRODUCT((economics!$AG$2:$AG$167=$B42)*(economics!$D$2:$D$167="whr")*economics!$AI$2:$AI$167*(_xlfn.NORM.DIST(BZ$3,economics!$AK$2:$AK$167,economics!$AJ$2:$AJ$167,TRUE)-_xlfn.NORM.DIST(BZ$30,economics!$AK$2:$AK$167,economics!$AJ$2:$AJ$167,TRUE)))),"")</f>
        <v/>
      </c>
      <c r="CA42">
        <f t="array" ref="CA42">IFERROR((SUMPRODUCT((economics!$AG$2:$AG$167=$B42)*(economics!$D$2:$D$167="whr")*economics!$AI$2:$AI$167*(_xlfn.NORM.DIST(CA$3,economics!$AK$2:$AK$167,economics!$AJ$2:$AJ$167,TRUE)-_xlfn.NORM.DIST(CA$30,economics!$AK$2:$AK$167,economics!$AJ$2:$AJ$167,TRUE))*economics!$AM$2:$AM$167))/(SUMPRODUCT((economics!$AG$2:$AG$167=$B42)*(economics!$D$2:$D$167="whr")*economics!$AI$2:$AI$167*(_xlfn.NORM.DIST(CA$3,economics!$AK$2:$AK$167,economics!$AJ$2:$AJ$167,TRUE)-_xlfn.NORM.DIST(CA$30,economics!$AK$2:$AK$167,economics!$AJ$2:$AJ$167,TRUE)))),"")</f>
        <v/>
      </c>
      <c r="CB42">
        <f t="array" ref="CB42">IFERROR((SUMPRODUCT((economics!$AG$2:$AG$167=$B42)*(economics!$D$2:$D$167="whr")*economics!$AI$2:$AI$167*(_xlfn.NORM.DIST(CB$3,economics!$AK$2:$AK$167,economics!$AJ$2:$AJ$167,TRUE)-_xlfn.NORM.DIST(CB$30,economics!$AK$2:$AK$167,economics!$AJ$2:$AJ$167,TRUE))*economics!$AM$2:$AM$167))/(SUMPRODUCT((economics!$AG$2:$AG$167=$B42)*(economics!$D$2:$D$167="whr")*economics!$AI$2:$AI$167*(_xlfn.NORM.DIST(CB$3,economics!$AK$2:$AK$167,economics!$AJ$2:$AJ$167,TRUE)-_xlfn.NORM.DIST(CB$30,economics!$AK$2:$AK$167,economics!$AJ$2:$AJ$167,TRUE)))),"")</f>
        <v/>
      </c>
      <c r="CC42">
        <f t="array" ref="CC42">IFERROR((SUMPRODUCT((economics!$AG$2:$AG$167=$B42)*(economics!$D$2:$D$167="whr")*economics!$AI$2:$AI$167*(_xlfn.NORM.DIST(CC$3,economics!$AK$2:$AK$167,economics!$AJ$2:$AJ$167,TRUE)-_xlfn.NORM.DIST(CC$30,economics!$AK$2:$AK$167,economics!$AJ$2:$AJ$167,TRUE))*economics!$AM$2:$AM$167))/(SUMPRODUCT((economics!$AG$2:$AG$167=$B42)*(economics!$D$2:$D$167="whr")*economics!$AI$2:$AI$167*(_xlfn.NORM.DIST(CC$3,economics!$AK$2:$AK$167,economics!$AJ$2:$AJ$167,TRUE)-_xlfn.NORM.DIST(CC$30,economics!$AK$2:$AK$167,economics!$AJ$2:$AJ$167,TRUE)))),"")</f>
        <v/>
      </c>
      <c r="CD42">
        <f t="array" ref="CD42">IFERROR((SUMPRODUCT((economics!$AG$2:$AG$167=$B42)*(economics!$D$2:$D$167="whr")*economics!$AI$2:$AI$167*(_xlfn.NORM.DIST(CD$3,economics!$AK$2:$AK$167,economics!$AJ$2:$AJ$167,TRUE)-_xlfn.NORM.DIST(CD$30,economics!$AK$2:$AK$167,economics!$AJ$2:$AJ$167,TRUE))*economics!$AM$2:$AM$167))/(SUMPRODUCT((economics!$AG$2:$AG$167=$B42)*(economics!$D$2:$D$167="whr")*economics!$AI$2:$AI$167*(_xlfn.NORM.DIST(CD$3,economics!$AK$2:$AK$167,economics!$AJ$2:$AJ$167,TRUE)-_xlfn.NORM.DIST(CD$30,economics!$AK$2:$AK$167,economics!$AJ$2:$AJ$167,TRUE)))),"")</f>
        <v/>
      </c>
      <c r="CE42">
        <f t="array" ref="CE42">IFERROR((SUMPRODUCT((economics!$AG$2:$AG$167=$B42)*(economics!$D$2:$D$167="whr")*economics!$AI$2:$AI$167*(_xlfn.NORM.DIST(CE$3,economics!$AK$2:$AK$167,economics!$AJ$2:$AJ$167,TRUE)-_xlfn.NORM.DIST(CE$30,economics!$AK$2:$AK$167,economics!$AJ$2:$AJ$167,TRUE))*economics!$AM$2:$AM$167))/(SUMPRODUCT((economics!$AG$2:$AG$167=$B42)*(economics!$D$2:$D$167="whr")*economics!$AI$2:$AI$167*(_xlfn.NORM.DIST(CE$3,economics!$AK$2:$AK$167,economics!$AJ$2:$AJ$167,TRUE)-_xlfn.NORM.DIST(CE$30,economics!$AK$2:$AK$167,economics!$AJ$2:$AJ$167,TRUE)))),"")</f>
        <v/>
      </c>
      <c r="CF42">
        <f t="array" ref="CF42">IFERROR((SUMPRODUCT((economics!$AG$2:$AG$167=$B42)*(economics!$D$2:$D$167="whr")*economics!$AI$2:$AI$167*(_xlfn.NORM.DIST(CF$3,economics!$AK$2:$AK$167,economics!$AJ$2:$AJ$167,TRUE)-_xlfn.NORM.DIST(CF$30,economics!$AK$2:$AK$167,economics!$AJ$2:$AJ$167,TRUE))*economics!$AM$2:$AM$167))/(SUMPRODUCT((economics!$AG$2:$AG$167=$B42)*(economics!$D$2:$D$167="whr")*economics!$AI$2:$AI$167*(_xlfn.NORM.DIST(CF$3,economics!$AK$2:$AK$167,economics!$AJ$2:$AJ$167,TRUE)-_xlfn.NORM.DIST(CF$30,economics!$AK$2:$AK$167,economics!$AJ$2:$AJ$167,TRUE)))),"")</f>
        <v/>
      </c>
      <c r="CG42">
        <f t="array" ref="CG42">IFERROR((SUMPRODUCT((economics!$AG$2:$AG$167=$B42)*(economics!$D$2:$D$167="whr")*economics!$AI$2:$AI$167*(_xlfn.NORM.DIST(CG$3,economics!$AK$2:$AK$167,economics!$AJ$2:$AJ$167,TRUE)-_xlfn.NORM.DIST(CG$30,economics!$AK$2:$AK$167,economics!$AJ$2:$AJ$167,TRUE))*economics!$AM$2:$AM$167))/(SUMPRODUCT((economics!$AG$2:$AG$167=$B42)*(economics!$D$2:$D$167="whr")*economics!$AI$2:$AI$167*(_xlfn.NORM.DIST(CG$3,economics!$AK$2:$AK$167,economics!$AJ$2:$AJ$167,TRUE)-_xlfn.NORM.DIST(CG$30,economics!$AK$2:$AK$167,economics!$AJ$2:$AJ$167,TRUE)))),"")</f>
        <v/>
      </c>
      <c r="CH42">
        <f t="array" ref="CH42">IFERROR((SUMPRODUCT((economics!$AG$2:$AG$167=$B42)*(economics!$D$2:$D$167="whr")*economics!$AI$2:$AI$167*(_xlfn.NORM.DIST(CH$3,economics!$AK$2:$AK$167,economics!$AJ$2:$AJ$167,TRUE)-_xlfn.NORM.DIST(CH$30,economics!$AK$2:$AK$167,economics!$AJ$2:$AJ$167,TRUE))*economics!$AM$2:$AM$167))/(SUMPRODUCT((economics!$AG$2:$AG$167=$B42)*(economics!$D$2:$D$167="whr")*economics!$AI$2:$AI$167*(_xlfn.NORM.DIST(CH$3,economics!$AK$2:$AK$167,economics!$AJ$2:$AJ$167,TRUE)-_xlfn.NORM.DIST(CH$30,economics!$AK$2:$AK$167,economics!$AJ$2:$AJ$167,TRUE)))),"")</f>
        <v/>
      </c>
    </row>
    <row r="43">
      <c r="A43">
        <f>A14</f>
        <v/>
      </c>
      <c r="B43">
        <f>B14</f>
        <v/>
      </c>
      <c r="E43">
        <f t="array" ref="E43">IFERROR((SUMPRODUCT((economics!$AG$2:$AG$167=$B43)*(economics!$D$2:$D$167="whr")*economics!$AI$2:$AI$167*(_xlfn.NORM.DIST(E$3,economics!$AK$2:$AK$167,economics!$AJ$2:$AJ$167,TRUE)-_xlfn.NORM.DIST(E$30,economics!$AK$2:$AK$167,economics!$AJ$2:$AJ$167,TRUE))*economics!$AM$2:$AM$167))/(SUMPRODUCT((economics!$AG$2:$AG$167=$B43)*(economics!$D$2:$D$167="whr")*economics!$AI$2:$AI$167*(_xlfn.NORM.DIST(E$3,economics!$AK$2:$AK$167,economics!$AJ$2:$AJ$167,TRUE)-_xlfn.NORM.DIST(E$30,economics!$AK$2:$AK$167,economics!$AJ$2:$AJ$167,TRUE)))),"")</f>
        <v/>
      </c>
      <c r="F43">
        <f t="array" ref="F43">IFERROR((SUMPRODUCT((economics!$AG$2:$AG$167=$B43)*(economics!$D$2:$D$167="whr")*economics!$AI$2:$AI$167*(_xlfn.NORM.DIST(F$3,economics!$AK$2:$AK$167,economics!$AJ$2:$AJ$167,TRUE)-_xlfn.NORM.DIST(F$30,economics!$AK$2:$AK$167,economics!$AJ$2:$AJ$167,TRUE))*economics!$AM$2:$AM$167))/(SUMPRODUCT((economics!$AG$2:$AG$167=$B43)*(economics!$D$2:$D$167="whr")*economics!$AI$2:$AI$167*(_xlfn.NORM.DIST(F$3,economics!$AK$2:$AK$167,economics!$AJ$2:$AJ$167,TRUE)-_xlfn.NORM.DIST(F$30,economics!$AK$2:$AK$167,economics!$AJ$2:$AJ$167,TRUE)))),"")</f>
        <v/>
      </c>
      <c r="G43">
        <f t="array" ref="G43">IFERROR((SUMPRODUCT((economics!$AG$2:$AG$167=$B43)*(economics!$D$2:$D$167="whr")*economics!$AI$2:$AI$167*(_xlfn.NORM.DIST(G$3,economics!$AK$2:$AK$167,economics!$AJ$2:$AJ$167,TRUE)-_xlfn.NORM.DIST(G$30,economics!$AK$2:$AK$167,economics!$AJ$2:$AJ$167,TRUE))*economics!$AM$2:$AM$167))/(SUMPRODUCT((economics!$AG$2:$AG$167=$B43)*(economics!$D$2:$D$167="whr")*economics!$AI$2:$AI$167*(_xlfn.NORM.DIST(G$3,economics!$AK$2:$AK$167,economics!$AJ$2:$AJ$167,TRUE)-_xlfn.NORM.DIST(G$30,economics!$AK$2:$AK$167,economics!$AJ$2:$AJ$167,TRUE)))),"")</f>
        <v/>
      </c>
      <c r="H43">
        <f t="array" ref="H43">IFERROR((SUMPRODUCT((economics!$AG$2:$AG$167=$B43)*(economics!$D$2:$D$167="whr")*economics!$AI$2:$AI$167*(_xlfn.NORM.DIST(H$3,economics!$AK$2:$AK$167,economics!$AJ$2:$AJ$167,TRUE)-_xlfn.NORM.DIST(H$30,economics!$AK$2:$AK$167,economics!$AJ$2:$AJ$167,TRUE))*economics!$AM$2:$AM$167))/(SUMPRODUCT((economics!$AG$2:$AG$167=$B43)*(economics!$D$2:$D$167="whr")*economics!$AI$2:$AI$167*(_xlfn.NORM.DIST(H$3,economics!$AK$2:$AK$167,economics!$AJ$2:$AJ$167,TRUE)-_xlfn.NORM.DIST(H$30,economics!$AK$2:$AK$167,economics!$AJ$2:$AJ$167,TRUE)))),"")</f>
        <v/>
      </c>
      <c r="I43">
        <f t="array" ref="I43">IFERROR((SUMPRODUCT((economics!$AG$2:$AG$167=$B43)*(economics!$D$2:$D$167="whr")*economics!$AI$2:$AI$167*(_xlfn.NORM.DIST(I$3,economics!$AK$2:$AK$167,economics!$AJ$2:$AJ$167,TRUE)-_xlfn.NORM.DIST(I$30,economics!$AK$2:$AK$167,economics!$AJ$2:$AJ$167,TRUE))*economics!$AM$2:$AM$167))/(SUMPRODUCT((economics!$AG$2:$AG$167=$B43)*(economics!$D$2:$D$167="whr")*economics!$AI$2:$AI$167*(_xlfn.NORM.DIST(I$3,economics!$AK$2:$AK$167,economics!$AJ$2:$AJ$167,TRUE)-_xlfn.NORM.DIST(I$30,economics!$AK$2:$AK$167,economics!$AJ$2:$AJ$167,TRUE)))),"")</f>
        <v/>
      </c>
      <c r="J43">
        <f t="array" ref="J43">IFERROR((SUMPRODUCT((economics!$AG$2:$AG$167=$B43)*(economics!$D$2:$D$167="whr")*economics!$AI$2:$AI$167*(_xlfn.NORM.DIST(J$3,economics!$AK$2:$AK$167,economics!$AJ$2:$AJ$167,TRUE)-_xlfn.NORM.DIST(J$30,economics!$AK$2:$AK$167,economics!$AJ$2:$AJ$167,TRUE))*economics!$AM$2:$AM$167))/(SUMPRODUCT((economics!$AG$2:$AG$167=$B43)*(economics!$D$2:$D$167="whr")*economics!$AI$2:$AI$167*(_xlfn.NORM.DIST(J$3,economics!$AK$2:$AK$167,economics!$AJ$2:$AJ$167,TRUE)-_xlfn.NORM.DIST(J$30,economics!$AK$2:$AK$167,economics!$AJ$2:$AJ$167,TRUE)))),"")</f>
        <v/>
      </c>
      <c r="K43">
        <f t="array" ref="K43">IFERROR((SUMPRODUCT((economics!$AG$2:$AG$167=$B43)*(economics!$D$2:$D$167="whr")*economics!$AI$2:$AI$167*(_xlfn.NORM.DIST(K$3,economics!$AK$2:$AK$167,economics!$AJ$2:$AJ$167,TRUE)-_xlfn.NORM.DIST(K$30,economics!$AK$2:$AK$167,economics!$AJ$2:$AJ$167,TRUE))*economics!$AM$2:$AM$167))/(SUMPRODUCT((economics!$AG$2:$AG$167=$B43)*(economics!$D$2:$D$167="whr")*economics!$AI$2:$AI$167*(_xlfn.NORM.DIST(K$3,economics!$AK$2:$AK$167,economics!$AJ$2:$AJ$167,TRUE)-_xlfn.NORM.DIST(K$30,economics!$AK$2:$AK$167,economics!$AJ$2:$AJ$167,TRUE)))),"")</f>
        <v/>
      </c>
      <c r="L43">
        <f t="array" ref="L43">IFERROR((SUMPRODUCT((economics!$AG$2:$AG$167=$B43)*(economics!$D$2:$D$167="whr")*economics!$AI$2:$AI$167*(_xlfn.NORM.DIST(L$3,economics!$AK$2:$AK$167,economics!$AJ$2:$AJ$167,TRUE)-_xlfn.NORM.DIST(L$30,economics!$AK$2:$AK$167,economics!$AJ$2:$AJ$167,TRUE))*economics!$AM$2:$AM$167))/(SUMPRODUCT((economics!$AG$2:$AG$167=$B43)*(economics!$D$2:$D$167="whr")*economics!$AI$2:$AI$167*(_xlfn.NORM.DIST(L$3,economics!$AK$2:$AK$167,economics!$AJ$2:$AJ$167,TRUE)-_xlfn.NORM.DIST(L$30,economics!$AK$2:$AK$167,economics!$AJ$2:$AJ$167,TRUE)))),"")</f>
        <v/>
      </c>
      <c r="M43">
        <f t="array" ref="M43">IFERROR((SUMPRODUCT((economics!$AG$2:$AG$167=$B43)*(economics!$D$2:$D$167="whr")*economics!$AI$2:$AI$167*(_xlfn.NORM.DIST(M$3,economics!$AK$2:$AK$167,economics!$AJ$2:$AJ$167,TRUE)-_xlfn.NORM.DIST(M$30,economics!$AK$2:$AK$167,economics!$AJ$2:$AJ$167,TRUE))*economics!$AM$2:$AM$167))/(SUMPRODUCT((economics!$AG$2:$AG$167=$B43)*(economics!$D$2:$D$167="whr")*economics!$AI$2:$AI$167*(_xlfn.NORM.DIST(M$3,economics!$AK$2:$AK$167,economics!$AJ$2:$AJ$167,TRUE)-_xlfn.NORM.DIST(M$30,economics!$AK$2:$AK$167,economics!$AJ$2:$AJ$167,TRUE)))),"")</f>
        <v/>
      </c>
      <c r="N43">
        <f t="array" ref="N43">IFERROR((SUMPRODUCT((economics!$AG$2:$AG$167=$B43)*(economics!$D$2:$D$167="whr")*economics!$AI$2:$AI$167*(_xlfn.NORM.DIST(N$3,economics!$AK$2:$AK$167,economics!$AJ$2:$AJ$167,TRUE)-_xlfn.NORM.DIST(N$30,economics!$AK$2:$AK$167,economics!$AJ$2:$AJ$167,TRUE))*economics!$AM$2:$AM$167))/(SUMPRODUCT((economics!$AG$2:$AG$167=$B43)*(economics!$D$2:$D$167="whr")*economics!$AI$2:$AI$167*(_xlfn.NORM.DIST(N$3,economics!$AK$2:$AK$167,economics!$AJ$2:$AJ$167,TRUE)-_xlfn.NORM.DIST(N$30,economics!$AK$2:$AK$167,economics!$AJ$2:$AJ$167,TRUE)))),"")</f>
        <v/>
      </c>
      <c r="O43">
        <f t="array" ref="O43">IFERROR((SUMPRODUCT((economics!$AG$2:$AG$167=$B43)*(economics!$D$2:$D$167="whr")*economics!$AI$2:$AI$167*(_xlfn.NORM.DIST(O$3,economics!$AK$2:$AK$167,economics!$AJ$2:$AJ$167,TRUE)-_xlfn.NORM.DIST(O$30,economics!$AK$2:$AK$167,economics!$AJ$2:$AJ$167,TRUE))*economics!$AM$2:$AM$167))/(SUMPRODUCT((economics!$AG$2:$AG$167=$B43)*(economics!$D$2:$D$167="whr")*economics!$AI$2:$AI$167*(_xlfn.NORM.DIST(O$3,economics!$AK$2:$AK$167,economics!$AJ$2:$AJ$167,TRUE)-_xlfn.NORM.DIST(O$30,economics!$AK$2:$AK$167,economics!$AJ$2:$AJ$167,TRUE)))),"")</f>
        <v/>
      </c>
      <c r="P43">
        <f t="array" ref="P43">IFERROR((SUMPRODUCT((economics!$AG$2:$AG$167=$B43)*(economics!$D$2:$D$167="whr")*economics!$AI$2:$AI$167*(_xlfn.NORM.DIST(P$3,economics!$AK$2:$AK$167,economics!$AJ$2:$AJ$167,TRUE)-_xlfn.NORM.DIST(P$30,economics!$AK$2:$AK$167,economics!$AJ$2:$AJ$167,TRUE))*economics!$AM$2:$AM$167))/(SUMPRODUCT((economics!$AG$2:$AG$167=$B43)*(economics!$D$2:$D$167="whr")*economics!$AI$2:$AI$167*(_xlfn.NORM.DIST(P$3,economics!$AK$2:$AK$167,economics!$AJ$2:$AJ$167,TRUE)-_xlfn.NORM.DIST(P$30,economics!$AK$2:$AK$167,economics!$AJ$2:$AJ$167,TRUE)))),"")</f>
        <v/>
      </c>
      <c r="Q43">
        <f t="array" ref="Q43">IFERROR((SUMPRODUCT((economics!$AG$2:$AG$167=$B43)*(economics!$D$2:$D$167="whr")*economics!$AI$2:$AI$167*(_xlfn.NORM.DIST(Q$3,economics!$AK$2:$AK$167,economics!$AJ$2:$AJ$167,TRUE)-_xlfn.NORM.DIST(Q$30,economics!$AK$2:$AK$167,economics!$AJ$2:$AJ$167,TRUE))*economics!$AM$2:$AM$167))/(SUMPRODUCT((economics!$AG$2:$AG$167=$B43)*(economics!$D$2:$D$167="whr")*economics!$AI$2:$AI$167*(_xlfn.NORM.DIST(Q$3,economics!$AK$2:$AK$167,economics!$AJ$2:$AJ$167,TRUE)-_xlfn.NORM.DIST(Q$30,economics!$AK$2:$AK$167,economics!$AJ$2:$AJ$167,TRUE)))),"")</f>
        <v/>
      </c>
      <c r="R43">
        <f t="array" ref="R43">IFERROR((SUMPRODUCT((economics!$AG$2:$AG$167=$B43)*(economics!$D$2:$D$167="whr")*economics!$AI$2:$AI$167*(_xlfn.NORM.DIST(R$3,economics!$AK$2:$AK$167,economics!$AJ$2:$AJ$167,TRUE)-_xlfn.NORM.DIST(R$30,economics!$AK$2:$AK$167,economics!$AJ$2:$AJ$167,TRUE))*economics!$AM$2:$AM$167))/(SUMPRODUCT((economics!$AG$2:$AG$167=$B43)*(economics!$D$2:$D$167="whr")*economics!$AI$2:$AI$167*(_xlfn.NORM.DIST(R$3,economics!$AK$2:$AK$167,economics!$AJ$2:$AJ$167,TRUE)-_xlfn.NORM.DIST(R$30,economics!$AK$2:$AK$167,economics!$AJ$2:$AJ$167,TRUE)))),"")</f>
        <v/>
      </c>
      <c r="S43">
        <f t="array" ref="S43">IFERROR((SUMPRODUCT((economics!$AG$2:$AG$167=$B43)*(economics!$D$2:$D$167="whr")*economics!$AI$2:$AI$167*(_xlfn.NORM.DIST(S$3,economics!$AK$2:$AK$167,economics!$AJ$2:$AJ$167,TRUE)-_xlfn.NORM.DIST(S$30,economics!$AK$2:$AK$167,economics!$AJ$2:$AJ$167,TRUE))*economics!$AM$2:$AM$167))/(SUMPRODUCT((economics!$AG$2:$AG$167=$B43)*(economics!$D$2:$D$167="whr")*economics!$AI$2:$AI$167*(_xlfn.NORM.DIST(S$3,economics!$AK$2:$AK$167,economics!$AJ$2:$AJ$167,TRUE)-_xlfn.NORM.DIST(S$30,economics!$AK$2:$AK$167,economics!$AJ$2:$AJ$167,TRUE)))),"")</f>
        <v/>
      </c>
      <c r="T43">
        <f t="array" ref="T43">IFERROR((SUMPRODUCT((economics!$AG$2:$AG$167=$B43)*(economics!$D$2:$D$167="whr")*economics!$AI$2:$AI$167*(_xlfn.NORM.DIST(T$3,economics!$AK$2:$AK$167,economics!$AJ$2:$AJ$167,TRUE)-_xlfn.NORM.DIST(T$30,economics!$AK$2:$AK$167,economics!$AJ$2:$AJ$167,TRUE))*economics!$AM$2:$AM$167))/(SUMPRODUCT((economics!$AG$2:$AG$167=$B43)*(economics!$D$2:$D$167="whr")*economics!$AI$2:$AI$167*(_xlfn.NORM.DIST(T$3,economics!$AK$2:$AK$167,economics!$AJ$2:$AJ$167,TRUE)-_xlfn.NORM.DIST(T$30,economics!$AK$2:$AK$167,economics!$AJ$2:$AJ$167,TRUE)))),"")</f>
        <v/>
      </c>
      <c r="U43">
        <f t="array" ref="U43">IFERROR((SUMPRODUCT((economics!$AG$2:$AG$167=$B43)*(economics!$D$2:$D$167="whr")*economics!$AI$2:$AI$167*(_xlfn.NORM.DIST(U$3,economics!$AK$2:$AK$167,economics!$AJ$2:$AJ$167,TRUE)-_xlfn.NORM.DIST(U$30,economics!$AK$2:$AK$167,economics!$AJ$2:$AJ$167,TRUE))*economics!$AM$2:$AM$167))/(SUMPRODUCT((economics!$AG$2:$AG$167=$B43)*(economics!$D$2:$D$167="whr")*economics!$AI$2:$AI$167*(_xlfn.NORM.DIST(U$3,economics!$AK$2:$AK$167,economics!$AJ$2:$AJ$167,TRUE)-_xlfn.NORM.DIST(U$30,economics!$AK$2:$AK$167,economics!$AJ$2:$AJ$167,TRUE)))),"")</f>
        <v/>
      </c>
      <c r="V43">
        <f t="array" ref="V43">IFERROR((SUMPRODUCT((economics!$AG$2:$AG$167=$B43)*(economics!$D$2:$D$167="whr")*economics!$AI$2:$AI$167*(_xlfn.NORM.DIST(V$3,economics!$AK$2:$AK$167,economics!$AJ$2:$AJ$167,TRUE)-_xlfn.NORM.DIST(V$30,economics!$AK$2:$AK$167,economics!$AJ$2:$AJ$167,TRUE))*economics!$AM$2:$AM$167))/(SUMPRODUCT((economics!$AG$2:$AG$167=$B43)*(economics!$D$2:$D$167="whr")*economics!$AI$2:$AI$167*(_xlfn.NORM.DIST(V$3,economics!$AK$2:$AK$167,economics!$AJ$2:$AJ$167,TRUE)-_xlfn.NORM.DIST(V$30,economics!$AK$2:$AK$167,economics!$AJ$2:$AJ$167,TRUE)))),"")</f>
        <v/>
      </c>
      <c r="W43">
        <f t="array" ref="W43">IFERROR((SUMPRODUCT((economics!$AG$2:$AG$167=$B43)*(economics!$D$2:$D$167="whr")*economics!$AI$2:$AI$167*(_xlfn.NORM.DIST(W$3,economics!$AK$2:$AK$167,economics!$AJ$2:$AJ$167,TRUE)-_xlfn.NORM.DIST(W$30,economics!$AK$2:$AK$167,economics!$AJ$2:$AJ$167,TRUE))*economics!$AM$2:$AM$167))/(SUMPRODUCT((economics!$AG$2:$AG$167=$B43)*(economics!$D$2:$D$167="whr")*economics!$AI$2:$AI$167*(_xlfn.NORM.DIST(W$3,economics!$AK$2:$AK$167,economics!$AJ$2:$AJ$167,TRUE)-_xlfn.NORM.DIST(W$30,economics!$AK$2:$AK$167,economics!$AJ$2:$AJ$167,TRUE)))),"")</f>
        <v/>
      </c>
      <c r="X43">
        <f t="array" ref="X43">IFERROR((SUMPRODUCT((economics!$AG$2:$AG$167=$B43)*(economics!$D$2:$D$167="whr")*economics!$AI$2:$AI$167*(_xlfn.NORM.DIST(X$3,economics!$AK$2:$AK$167,economics!$AJ$2:$AJ$167,TRUE)-_xlfn.NORM.DIST(X$30,economics!$AK$2:$AK$167,economics!$AJ$2:$AJ$167,TRUE))*economics!$AM$2:$AM$167))/(SUMPRODUCT((economics!$AG$2:$AG$167=$B43)*(economics!$D$2:$D$167="whr")*economics!$AI$2:$AI$167*(_xlfn.NORM.DIST(X$3,economics!$AK$2:$AK$167,economics!$AJ$2:$AJ$167,TRUE)-_xlfn.NORM.DIST(X$30,economics!$AK$2:$AK$167,economics!$AJ$2:$AJ$167,TRUE)))),"")</f>
        <v/>
      </c>
      <c r="Y43">
        <f t="array" ref="Y43">IFERROR((SUMPRODUCT((economics!$AG$2:$AG$167=$B43)*(economics!$D$2:$D$167="whr")*economics!$AI$2:$AI$167*(_xlfn.NORM.DIST(Y$3,economics!$AK$2:$AK$167,economics!$AJ$2:$AJ$167,TRUE)-_xlfn.NORM.DIST(Y$30,economics!$AK$2:$AK$167,economics!$AJ$2:$AJ$167,TRUE))*economics!$AM$2:$AM$167))/(SUMPRODUCT((economics!$AG$2:$AG$167=$B43)*(economics!$D$2:$D$167="whr")*economics!$AI$2:$AI$167*(_xlfn.NORM.DIST(Y$3,economics!$AK$2:$AK$167,economics!$AJ$2:$AJ$167,TRUE)-_xlfn.NORM.DIST(Y$30,economics!$AK$2:$AK$167,economics!$AJ$2:$AJ$167,TRUE)))),"")</f>
        <v/>
      </c>
      <c r="Z43">
        <f t="array" ref="Z43">IFERROR((SUMPRODUCT((economics!$AG$2:$AG$167=$B43)*(economics!$D$2:$D$167="whr")*economics!$AI$2:$AI$167*(_xlfn.NORM.DIST(Z$3,economics!$AK$2:$AK$167,economics!$AJ$2:$AJ$167,TRUE)-_xlfn.NORM.DIST(Z$30,economics!$AK$2:$AK$167,economics!$AJ$2:$AJ$167,TRUE))*economics!$AM$2:$AM$167))/(SUMPRODUCT((economics!$AG$2:$AG$167=$B43)*(economics!$D$2:$D$167="whr")*economics!$AI$2:$AI$167*(_xlfn.NORM.DIST(Z$3,economics!$AK$2:$AK$167,economics!$AJ$2:$AJ$167,TRUE)-_xlfn.NORM.DIST(Z$30,economics!$AK$2:$AK$167,economics!$AJ$2:$AJ$167,TRUE)))),"")</f>
        <v/>
      </c>
      <c r="AA43">
        <f t="array" ref="AA43">IFERROR((SUMPRODUCT((economics!$AG$2:$AG$167=$B43)*(economics!$D$2:$D$167="whr")*economics!$AI$2:$AI$167*(_xlfn.NORM.DIST(AA$3,economics!$AK$2:$AK$167,economics!$AJ$2:$AJ$167,TRUE)-_xlfn.NORM.DIST(AA$30,economics!$AK$2:$AK$167,economics!$AJ$2:$AJ$167,TRUE))*economics!$AM$2:$AM$167))/(SUMPRODUCT((economics!$AG$2:$AG$167=$B43)*(economics!$D$2:$D$167="whr")*economics!$AI$2:$AI$167*(_xlfn.NORM.DIST(AA$3,economics!$AK$2:$AK$167,economics!$AJ$2:$AJ$167,TRUE)-_xlfn.NORM.DIST(AA$30,economics!$AK$2:$AK$167,economics!$AJ$2:$AJ$167,TRUE)))),"")</f>
        <v/>
      </c>
      <c r="AB43">
        <f t="array" ref="AB43">IFERROR((SUMPRODUCT((economics!$AG$2:$AG$167=$B43)*(economics!$D$2:$D$167="whr")*economics!$AI$2:$AI$167*(_xlfn.NORM.DIST(AB$3,economics!$AK$2:$AK$167,economics!$AJ$2:$AJ$167,TRUE)-_xlfn.NORM.DIST(AB$30,economics!$AK$2:$AK$167,economics!$AJ$2:$AJ$167,TRUE))*economics!$AM$2:$AM$167))/(SUMPRODUCT((economics!$AG$2:$AG$167=$B43)*(economics!$D$2:$D$167="whr")*economics!$AI$2:$AI$167*(_xlfn.NORM.DIST(AB$3,economics!$AK$2:$AK$167,economics!$AJ$2:$AJ$167,TRUE)-_xlfn.NORM.DIST(AB$30,economics!$AK$2:$AK$167,economics!$AJ$2:$AJ$167,TRUE)))),"")</f>
        <v/>
      </c>
      <c r="AC43">
        <f t="array" ref="AC43">IFERROR((SUMPRODUCT((economics!$AG$2:$AG$167=$B43)*(economics!$D$2:$D$167="whr")*economics!$AI$2:$AI$167*(_xlfn.NORM.DIST(AC$3,economics!$AK$2:$AK$167,economics!$AJ$2:$AJ$167,TRUE)-_xlfn.NORM.DIST(AC$30,economics!$AK$2:$AK$167,economics!$AJ$2:$AJ$167,TRUE))*economics!$AM$2:$AM$167))/(SUMPRODUCT((economics!$AG$2:$AG$167=$B43)*(economics!$D$2:$D$167="whr")*economics!$AI$2:$AI$167*(_xlfn.NORM.DIST(AC$3,economics!$AK$2:$AK$167,economics!$AJ$2:$AJ$167,TRUE)-_xlfn.NORM.DIST(AC$30,economics!$AK$2:$AK$167,economics!$AJ$2:$AJ$167,TRUE)))),"")</f>
        <v/>
      </c>
      <c r="AD43">
        <f t="array" ref="AD43">IFERROR((SUMPRODUCT((economics!$AG$2:$AG$167=$B43)*(economics!$D$2:$D$167="whr")*economics!$AI$2:$AI$167*(_xlfn.NORM.DIST(AD$3,economics!$AK$2:$AK$167,economics!$AJ$2:$AJ$167,TRUE)-_xlfn.NORM.DIST(AD$30,economics!$AK$2:$AK$167,economics!$AJ$2:$AJ$167,TRUE))*economics!$AM$2:$AM$167))/(SUMPRODUCT((economics!$AG$2:$AG$167=$B43)*(economics!$D$2:$D$167="whr")*economics!$AI$2:$AI$167*(_xlfn.NORM.DIST(AD$3,economics!$AK$2:$AK$167,economics!$AJ$2:$AJ$167,TRUE)-_xlfn.NORM.DIST(AD$30,economics!$AK$2:$AK$167,economics!$AJ$2:$AJ$167,TRUE)))),"")</f>
        <v/>
      </c>
      <c r="AE43">
        <f t="array" ref="AE43">IFERROR((SUMPRODUCT((economics!$AG$2:$AG$167=$B43)*(economics!$D$2:$D$167="whr")*economics!$AI$2:$AI$167*(_xlfn.NORM.DIST(AE$3,economics!$AK$2:$AK$167,economics!$AJ$2:$AJ$167,TRUE)-_xlfn.NORM.DIST(AE$30,economics!$AK$2:$AK$167,economics!$AJ$2:$AJ$167,TRUE))*economics!$AM$2:$AM$167))/(SUMPRODUCT((economics!$AG$2:$AG$167=$B43)*(economics!$D$2:$D$167="whr")*economics!$AI$2:$AI$167*(_xlfn.NORM.DIST(AE$3,economics!$AK$2:$AK$167,economics!$AJ$2:$AJ$167,TRUE)-_xlfn.NORM.DIST(AE$30,economics!$AK$2:$AK$167,economics!$AJ$2:$AJ$167,TRUE)))),"")</f>
        <v/>
      </c>
      <c r="AF43">
        <f t="array" ref="AF43">IFERROR((SUMPRODUCT((economics!$AG$2:$AG$167=$B43)*(economics!$D$2:$D$167="whr")*economics!$AI$2:$AI$167*(_xlfn.NORM.DIST(AF$3,economics!$AK$2:$AK$167,economics!$AJ$2:$AJ$167,TRUE)-_xlfn.NORM.DIST(AF$30,economics!$AK$2:$AK$167,economics!$AJ$2:$AJ$167,TRUE))*economics!$AM$2:$AM$167))/(SUMPRODUCT((economics!$AG$2:$AG$167=$B43)*(economics!$D$2:$D$167="whr")*economics!$AI$2:$AI$167*(_xlfn.NORM.DIST(AF$3,economics!$AK$2:$AK$167,economics!$AJ$2:$AJ$167,TRUE)-_xlfn.NORM.DIST(AF$30,economics!$AK$2:$AK$167,economics!$AJ$2:$AJ$167,TRUE)))),"")</f>
        <v/>
      </c>
      <c r="AG43">
        <f t="array" ref="AG43">IFERROR((SUMPRODUCT((economics!$AG$2:$AG$167=$B43)*(economics!$D$2:$D$167="whr")*economics!$AI$2:$AI$167*(_xlfn.NORM.DIST(AG$3,economics!$AK$2:$AK$167,economics!$AJ$2:$AJ$167,TRUE)-_xlfn.NORM.DIST(AG$30,economics!$AK$2:$AK$167,economics!$AJ$2:$AJ$167,TRUE))*economics!$AM$2:$AM$167))/(SUMPRODUCT((economics!$AG$2:$AG$167=$B43)*(economics!$D$2:$D$167="whr")*economics!$AI$2:$AI$167*(_xlfn.NORM.DIST(AG$3,economics!$AK$2:$AK$167,economics!$AJ$2:$AJ$167,TRUE)-_xlfn.NORM.DIST(AG$30,economics!$AK$2:$AK$167,economics!$AJ$2:$AJ$167,TRUE)))),"")</f>
        <v/>
      </c>
      <c r="AH43">
        <f t="array" ref="AH43">IFERROR((SUMPRODUCT((economics!$AG$2:$AG$167=$B43)*(economics!$D$2:$D$167="whr")*economics!$AI$2:$AI$167*(_xlfn.NORM.DIST(AH$3,economics!$AK$2:$AK$167,economics!$AJ$2:$AJ$167,TRUE)-_xlfn.NORM.DIST(AH$30,economics!$AK$2:$AK$167,economics!$AJ$2:$AJ$167,TRUE))*economics!$AM$2:$AM$167))/(SUMPRODUCT((economics!$AG$2:$AG$167=$B43)*(economics!$D$2:$D$167="whr")*economics!$AI$2:$AI$167*(_xlfn.NORM.DIST(AH$3,economics!$AK$2:$AK$167,economics!$AJ$2:$AJ$167,TRUE)-_xlfn.NORM.DIST(AH$30,economics!$AK$2:$AK$167,economics!$AJ$2:$AJ$167,TRUE)))),"")</f>
        <v/>
      </c>
      <c r="AI43">
        <f t="array" ref="AI43">IFERROR((SUMPRODUCT((economics!$AG$2:$AG$167=$B43)*(economics!$D$2:$D$167="whr")*economics!$AI$2:$AI$167*(_xlfn.NORM.DIST(AI$3,economics!$AK$2:$AK$167,economics!$AJ$2:$AJ$167,TRUE)-_xlfn.NORM.DIST(AI$30,economics!$AK$2:$AK$167,economics!$AJ$2:$AJ$167,TRUE))*economics!$AM$2:$AM$167))/(SUMPRODUCT((economics!$AG$2:$AG$167=$B43)*(economics!$D$2:$D$167="whr")*economics!$AI$2:$AI$167*(_xlfn.NORM.DIST(AI$3,economics!$AK$2:$AK$167,economics!$AJ$2:$AJ$167,TRUE)-_xlfn.NORM.DIST(AI$30,economics!$AK$2:$AK$167,economics!$AJ$2:$AJ$167,TRUE)))),"")</f>
        <v/>
      </c>
      <c r="AJ43">
        <f t="array" ref="AJ43">IFERROR((SUMPRODUCT((economics!$AG$2:$AG$167=$B43)*(economics!$D$2:$D$167="whr")*economics!$AI$2:$AI$167*(_xlfn.NORM.DIST(AJ$3,economics!$AK$2:$AK$167,economics!$AJ$2:$AJ$167,TRUE)-_xlfn.NORM.DIST(AJ$30,economics!$AK$2:$AK$167,economics!$AJ$2:$AJ$167,TRUE))*economics!$AM$2:$AM$167))/(SUMPRODUCT((economics!$AG$2:$AG$167=$B43)*(economics!$D$2:$D$167="whr")*economics!$AI$2:$AI$167*(_xlfn.NORM.DIST(AJ$3,economics!$AK$2:$AK$167,economics!$AJ$2:$AJ$167,TRUE)-_xlfn.NORM.DIST(AJ$30,economics!$AK$2:$AK$167,economics!$AJ$2:$AJ$167,TRUE)))),"")</f>
        <v/>
      </c>
      <c r="AK43">
        <f t="array" ref="AK43">IFERROR((SUMPRODUCT((economics!$AG$2:$AG$167=$B43)*(economics!$D$2:$D$167="whr")*economics!$AI$2:$AI$167*(_xlfn.NORM.DIST(AK$3,economics!$AK$2:$AK$167,economics!$AJ$2:$AJ$167,TRUE)-_xlfn.NORM.DIST(AK$30,economics!$AK$2:$AK$167,economics!$AJ$2:$AJ$167,TRUE))*economics!$AM$2:$AM$167))/(SUMPRODUCT((economics!$AG$2:$AG$167=$B43)*(economics!$D$2:$D$167="whr")*economics!$AI$2:$AI$167*(_xlfn.NORM.DIST(AK$3,economics!$AK$2:$AK$167,economics!$AJ$2:$AJ$167,TRUE)-_xlfn.NORM.DIST(AK$30,economics!$AK$2:$AK$167,economics!$AJ$2:$AJ$167,TRUE)))),"")</f>
        <v/>
      </c>
      <c r="AL43">
        <f t="array" ref="AL43">IFERROR((SUMPRODUCT((economics!$AG$2:$AG$167=$B43)*(economics!$D$2:$D$167="whr")*economics!$AI$2:$AI$167*(_xlfn.NORM.DIST(AL$3,economics!$AK$2:$AK$167,economics!$AJ$2:$AJ$167,TRUE)-_xlfn.NORM.DIST(AL$30,economics!$AK$2:$AK$167,economics!$AJ$2:$AJ$167,TRUE))*economics!$AM$2:$AM$167))/(SUMPRODUCT((economics!$AG$2:$AG$167=$B43)*(economics!$D$2:$D$167="whr")*economics!$AI$2:$AI$167*(_xlfn.NORM.DIST(AL$3,economics!$AK$2:$AK$167,economics!$AJ$2:$AJ$167,TRUE)-_xlfn.NORM.DIST(AL$30,economics!$AK$2:$AK$167,economics!$AJ$2:$AJ$167,TRUE)))),"")</f>
        <v/>
      </c>
      <c r="AM43">
        <f t="array" ref="AM43">IFERROR((SUMPRODUCT((economics!$AG$2:$AG$167=$B43)*(economics!$D$2:$D$167="whr")*economics!$AI$2:$AI$167*(_xlfn.NORM.DIST(AM$3,economics!$AK$2:$AK$167,economics!$AJ$2:$AJ$167,TRUE)-_xlfn.NORM.DIST(AM$30,economics!$AK$2:$AK$167,economics!$AJ$2:$AJ$167,TRUE))*economics!$AM$2:$AM$167))/(SUMPRODUCT((economics!$AG$2:$AG$167=$B43)*(economics!$D$2:$D$167="whr")*economics!$AI$2:$AI$167*(_xlfn.NORM.DIST(AM$3,economics!$AK$2:$AK$167,economics!$AJ$2:$AJ$167,TRUE)-_xlfn.NORM.DIST(AM$30,economics!$AK$2:$AK$167,economics!$AJ$2:$AJ$167,TRUE)))),"")</f>
        <v/>
      </c>
      <c r="AN43">
        <f t="array" ref="AN43">IFERROR((SUMPRODUCT((economics!$AG$2:$AG$167=$B43)*(economics!$D$2:$D$167="whr")*economics!$AI$2:$AI$167*(_xlfn.NORM.DIST(AN$3,economics!$AK$2:$AK$167,economics!$AJ$2:$AJ$167,TRUE)-_xlfn.NORM.DIST(AN$30,economics!$AK$2:$AK$167,economics!$AJ$2:$AJ$167,TRUE))*economics!$AM$2:$AM$167))/(SUMPRODUCT((economics!$AG$2:$AG$167=$B43)*(economics!$D$2:$D$167="whr")*economics!$AI$2:$AI$167*(_xlfn.NORM.DIST(AN$3,economics!$AK$2:$AK$167,economics!$AJ$2:$AJ$167,TRUE)-_xlfn.NORM.DIST(AN$30,economics!$AK$2:$AK$167,economics!$AJ$2:$AJ$167,TRUE)))),"")</f>
        <v/>
      </c>
      <c r="AO43">
        <f t="array" ref="AO43">IFERROR((SUMPRODUCT((economics!$AG$2:$AG$167=$B43)*(economics!$D$2:$D$167="whr")*economics!$AI$2:$AI$167*(_xlfn.NORM.DIST(AO$3,economics!$AK$2:$AK$167,economics!$AJ$2:$AJ$167,TRUE)-_xlfn.NORM.DIST(AO$30,economics!$AK$2:$AK$167,economics!$AJ$2:$AJ$167,TRUE))*economics!$AM$2:$AM$167))/(SUMPRODUCT((economics!$AG$2:$AG$167=$B43)*(economics!$D$2:$D$167="whr")*economics!$AI$2:$AI$167*(_xlfn.NORM.DIST(AO$3,economics!$AK$2:$AK$167,economics!$AJ$2:$AJ$167,TRUE)-_xlfn.NORM.DIST(AO$30,economics!$AK$2:$AK$167,economics!$AJ$2:$AJ$167,TRUE)))),"")</f>
        <v/>
      </c>
      <c r="AP43">
        <f t="array" ref="AP43">IFERROR((SUMPRODUCT((economics!$AG$2:$AG$167=$B43)*(economics!$D$2:$D$167="whr")*economics!$AI$2:$AI$167*(_xlfn.NORM.DIST(AP$3,economics!$AK$2:$AK$167,economics!$AJ$2:$AJ$167,TRUE)-_xlfn.NORM.DIST(AP$30,economics!$AK$2:$AK$167,economics!$AJ$2:$AJ$167,TRUE))*economics!$AM$2:$AM$167))/(SUMPRODUCT((economics!$AG$2:$AG$167=$B43)*(economics!$D$2:$D$167="whr")*economics!$AI$2:$AI$167*(_xlfn.NORM.DIST(AP$3,economics!$AK$2:$AK$167,economics!$AJ$2:$AJ$167,TRUE)-_xlfn.NORM.DIST(AP$30,economics!$AK$2:$AK$167,economics!$AJ$2:$AJ$167,TRUE)))),"")</f>
        <v/>
      </c>
      <c r="AQ43">
        <f t="array" ref="AQ43">IFERROR((SUMPRODUCT((economics!$AG$2:$AG$167=$B43)*(economics!$D$2:$D$167="whr")*economics!$AI$2:$AI$167*(_xlfn.NORM.DIST(AQ$3,economics!$AK$2:$AK$167,economics!$AJ$2:$AJ$167,TRUE)-_xlfn.NORM.DIST(AQ$30,economics!$AK$2:$AK$167,economics!$AJ$2:$AJ$167,TRUE))*economics!$AM$2:$AM$167))/(SUMPRODUCT((economics!$AG$2:$AG$167=$B43)*(economics!$D$2:$D$167="whr")*economics!$AI$2:$AI$167*(_xlfn.NORM.DIST(AQ$3,economics!$AK$2:$AK$167,economics!$AJ$2:$AJ$167,TRUE)-_xlfn.NORM.DIST(AQ$30,economics!$AK$2:$AK$167,economics!$AJ$2:$AJ$167,TRUE)))),"")</f>
        <v/>
      </c>
      <c r="AR43">
        <f t="array" ref="AR43">IFERROR((SUMPRODUCT((economics!$AG$2:$AG$167=$B43)*(economics!$D$2:$D$167="whr")*economics!$AI$2:$AI$167*(_xlfn.NORM.DIST(AR$3,economics!$AK$2:$AK$167,economics!$AJ$2:$AJ$167,TRUE)-_xlfn.NORM.DIST(AR$30,economics!$AK$2:$AK$167,economics!$AJ$2:$AJ$167,TRUE))*economics!$AM$2:$AM$167))/(SUMPRODUCT((economics!$AG$2:$AG$167=$B43)*(economics!$D$2:$D$167="whr")*economics!$AI$2:$AI$167*(_xlfn.NORM.DIST(AR$3,economics!$AK$2:$AK$167,economics!$AJ$2:$AJ$167,TRUE)-_xlfn.NORM.DIST(AR$30,economics!$AK$2:$AK$167,economics!$AJ$2:$AJ$167,TRUE)))),"")</f>
        <v/>
      </c>
      <c r="AS43">
        <f t="array" ref="AS43">IFERROR((SUMPRODUCT((economics!$AG$2:$AG$167=$B43)*(economics!$D$2:$D$167="whr")*economics!$AI$2:$AI$167*(_xlfn.NORM.DIST(AS$3,economics!$AK$2:$AK$167,economics!$AJ$2:$AJ$167,TRUE)-_xlfn.NORM.DIST(AS$30,economics!$AK$2:$AK$167,economics!$AJ$2:$AJ$167,TRUE))*economics!$AM$2:$AM$167))/(SUMPRODUCT((economics!$AG$2:$AG$167=$B43)*(economics!$D$2:$D$167="whr")*economics!$AI$2:$AI$167*(_xlfn.NORM.DIST(AS$3,economics!$AK$2:$AK$167,economics!$AJ$2:$AJ$167,TRUE)-_xlfn.NORM.DIST(AS$30,economics!$AK$2:$AK$167,economics!$AJ$2:$AJ$167,TRUE)))),"")</f>
        <v/>
      </c>
      <c r="AT43">
        <f t="array" ref="AT43">IFERROR((SUMPRODUCT((economics!$AG$2:$AG$167=$B43)*(economics!$D$2:$D$167="whr")*economics!$AI$2:$AI$167*(_xlfn.NORM.DIST(AT$3,economics!$AK$2:$AK$167,economics!$AJ$2:$AJ$167,TRUE)-_xlfn.NORM.DIST(AT$30,economics!$AK$2:$AK$167,economics!$AJ$2:$AJ$167,TRUE))*economics!$AM$2:$AM$167))/(SUMPRODUCT((economics!$AG$2:$AG$167=$B43)*(economics!$D$2:$D$167="whr")*economics!$AI$2:$AI$167*(_xlfn.NORM.DIST(AT$3,economics!$AK$2:$AK$167,economics!$AJ$2:$AJ$167,TRUE)-_xlfn.NORM.DIST(AT$30,economics!$AK$2:$AK$167,economics!$AJ$2:$AJ$167,TRUE)))),"")</f>
        <v/>
      </c>
      <c r="AU43">
        <f t="array" ref="AU43">IFERROR((SUMPRODUCT((economics!$AG$2:$AG$167=$B43)*(economics!$D$2:$D$167="whr")*economics!$AI$2:$AI$167*(_xlfn.NORM.DIST(AU$3,economics!$AK$2:$AK$167,economics!$AJ$2:$AJ$167,TRUE)-_xlfn.NORM.DIST(AU$30,economics!$AK$2:$AK$167,economics!$AJ$2:$AJ$167,TRUE))*economics!$AM$2:$AM$167))/(SUMPRODUCT((economics!$AG$2:$AG$167=$B43)*(economics!$D$2:$D$167="whr")*economics!$AI$2:$AI$167*(_xlfn.NORM.DIST(AU$3,economics!$AK$2:$AK$167,economics!$AJ$2:$AJ$167,TRUE)-_xlfn.NORM.DIST(AU$30,economics!$AK$2:$AK$167,economics!$AJ$2:$AJ$167,TRUE)))),"")</f>
        <v/>
      </c>
      <c r="AV43">
        <f t="array" ref="AV43">IFERROR((SUMPRODUCT((economics!$AG$2:$AG$167=$B43)*(economics!$D$2:$D$167="whr")*economics!$AI$2:$AI$167*(_xlfn.NORM.DIST(AV$3,economics!$AK$2:$AK$167,economics!$AJ$2:$AJ$167,TRUE)-_xlfn.NORM.DIST(AV$30,economics!$AK$2:$AK$167,economics!$AJ$2:$AJ$167,TRUE))*economics!$AM$2:$AM$167))/(SUMPRODUCT((economics!$AG$2:$AG$167=$B43)*(economics!$D$2:$D$167="whr")*economics!$AI$2:$AI$167*(_xlfn.NORM.DIST(AV$3,economics!$AK$2:$AK$167,economics!$AJ$2:$AJ$167,TRUE)-_xlfn.NORM.DIST(AV$30,economics!$AK$2:$AK$167,economics!$AJ$2:$AJ$167,TRUE)))),"")</f>
        <v/>
      </c>
      <c r="AW43">
        <f t="array" ref="AW43">IFERROR((SUMPRODUCT((economics!$AG$2:$AG$167=$B43)*(economics!$D$2:$D$167="whr")*economics!$AI$2:$AI$167*(_xlfn.NORM.DIST(AW$3,economics!$AK$2:$AK$167,economics!$AJ$2:$AJ$167,TRUE)-_xlfn.NORM.DIST(AW$30,economics!$AK$2:$AK$167,economics!$AJ$2:$AJ$167,TRUE))*economics!$AM$2:$AM$167))/(SUMPRODUCT((economics!$AG$2:$AG$167=$B43)*(economics!$D$2:$D$167="whr")*economics!$AI$2:$AI$167*(_xlfn.NORM.DIST(AW$3,economics!$AK$2:$AK$167,economics!$AJ$2:$AJ$167,TRUE)-_xlfn.NORM.DIST(AW$30,economics!$AK$2:$AK$167,economics!$AJ$2:$AJ$167,TRUE)))),"")</f>
        <v/>
      </c>
      <c r="AX43">
        <f t="array" ref="AX43">IFERROR((SUMPRODUCT((economics!$AG$2:$AG$167=$B43)*(economics!$D$2:$D$167="whr")*economics!$AI$2:$AI$167*(_xlfn.NORM.DIST(AX$3,economics!$AK$2:$AK$167,economics!$AJ$2:$AJ$167,TRUE)-_xlfn.NORM.DIST(AX$30,economics!$AK$2:$AK$167,economics!$AJ$2:$AJ$167,TRUE))*economics!$AM$2:$AM$167))/(SUMPRODUCT((economics!$AG$2:$AG$167=$B43)*(economics!$D$2:$D$167="whr")*economics!$AI$2:$AI$167*(_xlfn.NORM.DIST(AX$3,economics!$AK$2:$AK$167,economics!$AJ$2:$AJ$167,TRUE)-_xlfn.NORM.DIST(AX$30,economics!$AK$2:$AK$167,economics!$AJ$2:$AJ$167,TRUE)))),"")</f>
        <v/>
      </c>
      <c r="AY43">
        <f t="array" ref="AY43">IFERROR((SUMPRODUCT((economics!$AG$2:$AG$167=$B43)*(economics!$D$2:$D$167="whr")*economics!$AI$2:$AI$167*(_xlfn.NORM.DIST(AY$3,economics!$AK$2:$AK$167,economics!$AJ$2:$AJ$167,TRUE)-_xlfn.NORM.DIST(AY$30,economics!$AK$2:$AK$167,economics!$AJ$2:$AJ$167,TRUE))*economics!$AM$2:$AM$167))/(SUMPRODUCT((economics!$AG$2:$AG$167=$B43)*(economics!$D$2:$D$167="whr")*economics!$AI$2:$AI$167*(_xlfn.NORM.DIST(AY$3,economics!$AK$2:$AK$167,economics!$AJ$2:$AJ$167,TRUE)-_xlfn.NORM.DIST(AY$30,economics!$AK$2:$AK$167,economics!$AJ$2:$AJ$167,TRUE)))),"")</f>
        <v/>
      </c>
      <c r="AZ43">
        <f t="array" ref="AZ43">IFERROR((SUMPRODUCT((economics!$AG$2:$AG$167=$B43)*(economics!$D$2:$D$167="whr")*economics!$AI$2:$AI$167*(_xlfn.NORM.DIST(AZ$3,economics!$AK$2:$AK$167,economics!$AJ$2:$AJ$167,TRUE)-_xlfn.NORM.DIST(AZ$30,economics!$AK$2:$AK$167,economics!$AJ$2:$AJ$167,TRUE))*economics!$AM$2:$AM$167))/(SUMPRODUCT((economics!$AG$2:$AG$167=$B43)*(economics!$D$2:$D$167="whr")*economics!$AI$2:$AI$167*(_xlfn.NORM.DIST(AZ$3,economics!$AK$2:$AK$167,economics!$AJ$2:$AJ$167,TRUE)-_xlfn.NORM.DIST(AZ$30,economics!$AK$2:$AK$167,economics!$AJ$2:$AJ$167,TRUE)))),"")</f>
        <v/>
      </c>
      <c r="BA43">
        <f t="array" ref="BA43">IFERROR((SUMPRODUCT((economics!$AG$2:$AG$167=$B43)*(economics!$D$2:$D$167="whr")*economics!$AI$2:$AI$167*(_xlfn.NORM.DIST(BA$3,economics!$AK$2:$AK$167,economics!$AJ$2:$AJ$167,TRUE)-_xlfn.NORM.DIST(BA$30,economics!$AK$2:$AK$167,economics!$AJ$2:$AJ$167,TRUE))*economics!$AM$2:$AM$167))/(SUMPRODUCT((economics!$AG$2:$AG$167=$B43)*(economics!$D$2:$D$167="whr")*economics!$AI$2:$AI$167*(_xlfn.NORM.DIST(BA$3,economics!$AK$2:$AK$167,economics!$AJ$2:$AJ$167,TRUE)-_xlfn.NORM.DIST(BA$30,economics!$AK$2:$AK$167,economics!$AJ$2:$AJ$167,TRUE)))),"")</f>
        <v/>
      </c>
      <c r="BB43">
        <f t="array" ref="BB43">IFERROR((SUMPRODUCT((economics!$AG$2:$AG$167=$B43)*(economics!$D$2:$D$167="whr")*economics!$AI$2:$AI$167*(_xlfn.NORM.DIST(BB$3,economics!$AK$2:$AK$167,economics!$AJ$2:$AJ$167,TRUE)-_xlfn.NORM.DIST(BB$30,economics!$AK$2:$AK$167,economics!$AJ$2:$AJ$167,TRUE))*economics!$AM$2:$AM$167))/(SUMPRODUCT((economics!$AG$2:$AG$167=$B43)*(economics!$D$2:$D$167="whr")*economics!$AI$2:$AI$167*(_xlfn.NORM.DIST(BB$3,economics!$AK$2:$AK$167,economics!$AJ$2:$AJ$167,TRUE)-_xlfn.NORM.DIST(BB$30,economics!$AK$2:$AK$167,economics!$AJ$2:$AJ$167,TRUE)))),"")</f>
        <v/>
      </c>
      <c r="BC43">
        <f t="array" ref="BC43">IFERROR((SUMPRODUCT((economics!$AG$2:$AG$167=$B43)*(economics!$D$2:$D$167="whr")*economics!$AI$2:$AI$167*(_xlfn.NORM.DIST(BC$3,economics!$AK$2:$AK$167,economics!$AJ$2:$AJ$167,TRUE)-_xlfn.NORM.DIST(BC$30,economics!$AK$2:$AK$167,economics!$AJ$2:$AJ$167,TRUE))*economics!$AM$2:$AM$167))/(SUMPRODUCT((economics!$AG$2:$AG$167=$B43)*(economics!$D$2:$D$167="whr")*economics!$AI$2:$AI$167*(_xlfn.NORM.DIST(BC$3,economics!$AK$2:$AK$167,economics!$AJ$2:$AJ$167,TRUE)-_xlfn.NORM.DIST(BC$30,economics!$AK$2:$AK$167,economics!$AJ$2:$AJ$167,TRUE)))),"")</f>
        <v/>
      </c>
      <c r="BD43">
        <f t="array" ref="BD43">IFERROR((SUMPRODUCT((economics!$AG$2:$AG$167=$B43)*(economics!$D$2:$D$167="whr")*economics!$AI$2:$AI$167*(_xlfn.NORM.DIST(BD$3,economics!$AK$2:$AK$167,economics!$AJ$2:$AJ$167,TRUE)-_xlfn.NORM.DIST(BD$30,economics!$AK$2:$AK$167,economics!$AJ$2:$AJ$167,TRUE))*economics!$AM$2:$AM$167))/(SUMPRODUCT((economics!$AG$2:$AG$167=$B43)*(economics!$D$2:$D$167="whr")*economics!$AI$2:$AI$167*(_xlfn.NORM.DIST(BD$3,economics!$AK$2:$AK$167,economics!$AJ$2:$AJ$167,TRUE)-_xlfn.NORM.DIST(BD$30,economics!$AK$2:$AK$167,economics!$AJ$2:$AJ$167,TRUE)))),"")</f>
        <v/>
      </c>
      <c r="BE43">
        <f t="array" ref="BE43">IFERROR((SUMPRODUCT((economics!$AG$2:$AG$167=$B43)*(economics!$D$2:$D$167="whr")*economics!$AI$2:$AI$167*(_xlfn.NORM.DIST(BE$3,economics!$AK$2:$AK$167,economics!$AJ$2:$AJ$167,TRUE)-_xlfn.NORM.DIST(BE$30,economics!$AK$2:$AK$167,economics!$AJ$2:$AJ$167,TRUE))*economics!$AM$2:$AM$167))/(SUMPRODUCT((economics!$AG$2:$AG$167=$B43)*(economics!$D$2:$D$167="whr")*economics!$AI$2:$AI$167*(_xlfn.NORM.DIST(BE$3,economics!$AK$2:$AK$167,economics!$AJ$2:$AJ$167,TRUE)-_xlfn.NORM.DIST(BE$30,economics!$AK$2:$AK$167,economics!$AJ$2:$AJ$167,TRUE)))),"")</f>
        <v/>
      </c>
      <c r="BF43">
        <f t="array" ref="BF43">IFERROR((SUMPRODUCT((economics!$AG$2:$AG$167=$B43)*(economics!$D$2:$D$167="whr")*economics!$AI$2:$AI$167*(_xlfn.NORM.DIST(BF$3,economics!$AK$2:$AK$167,economics!$AJ$2:$AJ$167,TRUE)-_xlfn.NORM.DIST(BF$30,economics!$AK$2:$AK$167,economics!$AJ$2:$AJ$167,TRUE))*economics!$AM$2:$AM$167))/(SUMPRODUCT((economics!$AG$2:$AG$167=$B43)*(economics!$D$2:$D$167="whr")*economics!$AI$2:$AI$167*(_xlfn.NORM.DIST(BF$3,economics!$AK$2:$AK$167,economics!$AJ$2:$AJ$167,TRUE)-_xlfn.NORM.DIST(BF$30,economics!$AK$2:$AK$167,economics!$AJ$2:$AJ$167,TRUE)))),"")</f>
        <v/>
      </c>
      <c r="BG43">
        <f t="array" ref="BG43">IFERROR((SUMPRODUCT((economics!$AG$2:$AG$167=$B43)*(economics!$D$2:$D$167="whr")*economics!$AI$2:$AI$167*(_xlfn.NORM.DIST(BG$3,economics!$AK$2:$AK$167,economics!$AJ$2:$AJ$167,TRUE)-_xlfn.NORM.DIST(BG$30,economics!$AK$2:$AK$167,economics!$AJ$2:$AJ$167,TRUE))*economics!$AM$2:$AM$167))/(SUMPRODUCT((economics!$AG$2:$AG$167=$B43)*(economics!$D$2:$D$167="whr")*economics!$AI$2:$AI$167*(_xlfn.NORM.DIST(BG$3,economics!$AK$2:$AK$167,economics!$AJ$2:$AJ$167,TRUE)-_xlfn.NORM.DIST(BG$30,economics!$AK$2:$AK$167,economics!$AJ$2:$AJ$167,TRUE)))),"")</f>
        <v/>
      </c>
      <c r="BH43">
        <f t="array" ref="BH43">IFERROR((SUMPRODUCT((economics!$AG$2:$AG$167=$B43)*(economics!$D$2:$D$167="whr")*economics!$AI$2:$AI$167*(_xlfn.NORM.DIST(BH$3,economics!$AK$2:$AK$167,economics!$AJ$2:$AJ$167,TRUE)-_xlfn.NORM.DIST(BH$30,economics!$AK$2:$AK$167,economics!$AJ$2:$AJ$167,TRUE))*economics!$AM$2:$AM$167))/(SUMPRODUCT((economics!$AG$2:$AG$167=$B43)*(economics!$D$2:$D$167="whr")*economics!$AI$2:$AI$167*(_xlfn.NORM.DIST(BH$3,economics!$AK$2:$AK$167,economics!$AJ$2:$AJ$167,TRUE)-_xlfn.NORM.DIST(BH$30,economics!$AK$2:$AK$167,economics!$AJ$2:$AJ$167,TRUE)))),"")</f>
        <v/>
      </c>
      <c r="BI43">
        <f t="array" ref="BI43">IFERROR((SUMPRODUCT((economics!$AG$2:$AG$167=$B43)*(economics!$D$2:$D$167="whr")*economics!$AI$2:$AI$167*(_xlfn.NORM.DIST(BI$3,economics!$AK$2:$AK$167,economics!$AJ$2:$AJ$167,TRUE)-_xlfn.NORM.DIST(BI$30,economics!$AK$2:$AK$167,economics!$AJ$2:$AJ$167,TRUE))*economics!$AM$2:$AM$167))/(SUMPRODUCT((economics!$AG$2:$AG$167=$B43)*(economics!$D$2:$D$167="whr")*economics!$AI$2:$AI$167*(_xlfn.NORM.DIST(BI$3,economics!$AK$2:$AK$167,economics!$AJ$2:$AJ$167,TRUE)-_xlfn.NORM.DIST(BI$30,economics!$AK$2:$AK$167,economics!$AJ$2:$AJ$167,TRUE)))),"")</f>
        <v/>
      </c>
      <c r="BJ43">
        <f t="array" ref="BJ43">IFERROR((SUMPRODUCT((economics!$AG$2:$AG$167=$B43)*(economics!$D$2:$D$167="whr")*economics!$AI$2:$AI$167*(_xlfn.NORM.DIST(BJ$3,economics!$AK$2:$AK$167,economics!$AJ$2:$AJ$167,TRUE)-_xlfn.NORM.DIST(BJ$30,economics!$AK$2:$AK$167,economics!$AJ$2:$AJ$167,TRUE))*economics!$AM$2:$AM$167))/(SUMPRODUCT((economics!$AG$2:$AG$167=$B43)*(economics!$D$2:$D$167="whr")*economics!$AI$2:$AI$167*(_xlfn.NORM.DIST(BJ$3,economics!$AK$2:$AK$167,economics!$AJ$2:$AJ$167,TRUE)-_xlfn.NORM.DIST(BJ$30,economics!$AK$2:$AK$167,economics!$AJ$2:$AJ$167,TRUE)))),"")</f>
        <v/>
      </c>
      <c r="BK43">
        <f t="array" ref="BK43">IFERROR((SUMPRODUCT((economics!$AG$2:$AG$167=$B43)*(economics!$D$2:$D$167="whr")*economics!$AI$2:$AI$167*(_xlfn.NORM.DIST(BK$3,economics!$AK$2:$AK$167,economics!$AJ$2:$AJ$167,TRUE)-_xlfn.NORM.DIST(BK$30,economics!$AK$2:$AK$167,economics!$AJ$2:$AJ$167,TRUE))*economics!$AM$2:$AM$167))/(SUMPRODUCT((economics!$AG$2:$AG$167=$B43)*(economics!$D$2:$D$167="whr")*economics!$AI$2:$AI$167*(_xlfn.NORM.DIST(BK$3,economics!$AK$2:$AK$167,economics!$AJ$2:$AJ$167,TRUE)-_xlfn.NORM.DIST(BK$30,economics!$AK$2:$AK$167,economics!$AJ$2:$AJ$167,TRUE)))),"")</f>
        <v/>
      </c>
      <c r="BL43">
        <f t="array" ref="BL43">IFERROR((SUMPRODUCT((economics!$AG$2:$AG$167=$B43)*(economics!$D$2:$D$167="whr")*economics!$AI$2:$AI$167*(_xlfn.NORM.DIST(BL$3,economics!$AK$2:$AK$167,economics!$AJ$2:$AJ$167,TRUE)-_xlfn.NORM.DIST(BL$30,economics!$AK$2:$AK$167,economics!$AJ$2:$AJ$167,TRUE))*economics!$AM$2:$AM$167))/(SUMPRODUCT((economics!$AG$2:$AG$167=$B43)*(economics!$D$2:$D$167="whr")*economics!$AI$2:$AI$167*(_xlfn.NORM.DIST(BL$3,economics!$AK$2:$AK$167,economics!$AJ$2:$AJ$167,TRUE)-_xlfn.NORM.DIST(BL$30,economics!$AK$2:$AK$167,economics!$AJ$2:$AJ$167,TRUE)))),"")</f>
        <v/>
      </c>
      <c r="BM43">
        <f t="array" ref="BM43">IFERROR((SUMPRODUCT((economics!$AG$2:$AG$167=$B43)*(economics!$D$2:$D$167="whr")*economics!$AI$2:$AI$167*(_xlfn.NORM.DIST(BM$3,economics!$AK$2:$AK$167,economics!$AJ$2:$AJ$167,TRUE)-_xlfn.NORM.DIST(BM$30,economics!$AK$2:$AK$167,economics!$AJ$2:$AJ$167,TRUE))*economics!$AM$2:$AM$167))/(SUMPRODUCT((economics!$AG$2:$AG$167=$B43)*(economics!$D$2:$D$167="whr")*economics!$AI$2:$AI$167*(_xlfn.NORM.DIST(BM$3,economics!$AK$2:$AK$167,economics!$AJ$2:$AJ$167,TRUE)-_xlfn.NORM.DIST(BM$30,economics!$AK$2:$AK$167,economics!$AJ$2:$AJ$167,TRUE)))),"")</f>
        <v/>
      </c>
      <c r="BN43">
        <f t="array" ref="BN43">IFERROR((SUMPRODUCT((economics!$AG$2:$AG$167=$B43)*(economics!$D$2:$D$167="whr")*economics!$AI$2:$AI$167*(_xlfn.NORM.DIST(BN$3,economics!$AK$2:$AK$167,economics!$AJ$2:$AJ$167,TRUE)-_xlfn.NORM.DIST(BN$30,economics!$AK$2:$AK$167,economics!$AJ$2:$AJ$167,TRUE))*economics!$AM$2:$AM$167))/(SUMPRODUCT((economics!$AG$2:$AG$167=$B43)*(economics!$D$2:$D$167="whr")*economics!$AI$2:$AI$167*(_xlfn.NORM.DIST(BN$3,economics!$AK$2:$AK$167,economics!$AJ$2:$AJ$167,TRUE)-_xlfn.NORM.DIST(BN$30,economics!$AK$2:$AK$167,economics!$AJ$2:$AJ$167,TRUE)))),"")</f>
        <v/>
      </c>
      <c r="BO43">
        <f t="array" ref="BO43">IFERROR((SUMPRODUCT((economics!$AG$2:$AG$167=$B43)*(economics!$D$2:$D$167="whr")*economics!$AI$2:$AI$167*(_xlfn.NORM.DIST(BO$3,economics!$AK$2:$AK$167,economics!$AJ$2:$AJ$167,TRUE)-_xlfn.NORM.DIST(BO$30,economics!$AK$2:$AK$167,economics!$AJ$2:$AJ$167,TRUE))*economics!$AM$2:$AM$167))/(SUMPRODUCT((economics!$AG$2:$AG$167=$B43)*(economics!$D$2:$D$167="whr")*economics!$AI$2:$AI$167*(_xlfn.NORM.DIST(BO$3,economics!$AK$2:$AK$167,economics!$AJ$2:$AJ$167,TRUE)-_xlfn.NORM.DIST(BO$30,economics!$AK$2:$AK$167,economics!$AJ$2:$AJ$167,TRUE)))),"")</f>
        <v/>
      </c>
      <c r="BP43">
        <f t="array" ref="BP43">IFERROR((SUMPRODUCT((economics!$AG$2:$AG$167=$B43)*(economics!$D$2:$D$167="whr")*economics!$AI$2:$AI$167*(_xlfn.NORM.DIST(BP$3,economics!$AK$2:$AK$167,economics!$AJ$2:$AJ$167,TRUE)-_xlfn.NORM.DIST(BP$30,economics!$AK$2:$AK$167,economics!$AJ$2:$AJ$167,TRUE))*economics!$AM$2:$AM$167))/(SUMPRODUCT((economics!$AG$2:$AG$167=$B43)*(economics!$D$2:$D$167="whr")*economics!$AI$2:$AI$167*(_xlfn.NORM.DIST(BP$3,economics!$AK$2:$AK$167,economics!$AJ$2:$AJ$167,TRUE)-_xlfn.NORM.DIST(BP$30,economics!$AK$2:$AK$167,economics!$AJ$2:$AJ$167,TRUE)))),"")</f>
        <v/>
      </c>
      <c r="BQ43">
        <f t="array" ref="BQ43">IFERROR((SUMPRODUCT((economics!$AG$2:$AG$167=$B43)*(economics!$D$2:$D$167="whr")*economics!$AI$2:$AI$167*(_xlfn.NORM.DIST(BQ$3,economics!$AK$2:$AK$167,economics!$AJ$2:$AJ$167,TRUE)-_xlfn.NORM.DIST(BQ$30,economics!$AK$2:$AK$167,economics!$AJ$2:$AJ$167,TRUE))*economics!$AM$2:$AM$167))/(SUMPRODUCT((economics!$AG$2:$AG$167=$B43)*(economics!$D$2:$D$167="whr")*economics!$AI$2:$AI$167*(_xlfn.NORM.DIST(BQ$3,economics!$AK$2:$AK$167,economics!$AJ$2:$AJ$167,TRUE)-_xlfn.NORM.DIST(BQ$30,economics!$AK$2:$AK$167,economics!$AJ$2:$AJ$167,TRUE)))),"")</f>
        <v/>
      </c>
      <c r="BR43">
        <f t="array" ref="BR43">IFERROR((SUMPRODUCT((economics!$AG$2:$AG$167=$B43)*(economics!$D$2:$D$167="whr")*economics!$AI$2:$AI$167*(_xlfn.NORM.DIST(BR$3,economics!$AK$2:$AK$167,economics!$AJ$2:$AJ$167,TRUE)-_xlfn.NORM.DIST(BR$30,economics!$AK$2:$AK$167,economics!$AJ$2:$AJ$167,TRUE))*economics!$AM$2:$AM$167))/(SUMPRODUCT((economics!$AG$2:$AG$167=$B43)*(economics!$D$2:$D$167="whr")*economics!$AI$2:$AI$167*(_xlfn.NORM.DIST(BR$3,economics!$AK$2:$AK$167,economics!$AJ$2:$AJ$167,TRUE)-_xlfn.NORM.DIST(BR$30,economics!$AK$2:$AK$167,economics!$AJ$2:$AJ$167,TRUE)))),"")</f>
        <v/>
      </c>
      <c r="BS43">
        <f t="array" ref="BS43">IFERROR((SUMPRODUCT((economics!$AG$2:$AG$167=$B43)*(economics!$D$2:$D$167="whr")*economics!$AI$2:$AI$167*(_xlfn.NORM.DIST(BS$3,economics!$AK$2:$AK$167,economics!$AJ$2:$AJ$167,TRUE)-_xlfn.NORM.DIST(BS$30,economics!$AK$2:$AK$167,economics!$AJ$2:$AJ$167,TRUE))*economics!$AM$2:$AM$167))/(SUMPRODUCT((economics!$AG$2:$AG$167=$B43)*(economics!$D$2:$D$167="whr")*economics!$AI$2:$AI$167*(_xlfn.NORM.DIST(BS$3,economics!$AK$2:$AK$167,economics!$AJ$2:$AJ$167,TRUE)-_xlfn.NORM.DIST(BS$30,economics!$AK$2:$AK$167,economics!$AJ$2:$AJ$167,TRUE)))),"")</f>
        <v/>
      </c>
      <c r="BT43">
        <f t="array" ref="BT43">IFERROR((SUMPRODUCT((economics!$AG$2:$AG$167=$B43)*(economics!$D$2:$D$167="whr")*economics!$AI$2:$AI$167*(_xlfn.NORM.DIST(BT$3,economics!$AK$2:$AK$167,economics!$AJ$2:$AJ$167,TRUE)-_xlfn.NORM.DIST(BT$30,economics!$AK$2:$AK$167,economics!$AJ$2:$AJ$167,TRUE))*economics!$AM$2:$AM$167))/(SUMPRODUCT((economics!$AG$2:$AG$167=$B43)*(economics!$D$2:$D$167="whr")*economics!$AI$2:$AI$167*(_xlfn.NORM.DIST(BT$3,economics!$AK$2:$AK$167,economics!$AJ$2:$AJ$167,TRUE)-_xlfn.NORM.DIST(BT$30,economics!$AK$2:$AK$167,economics!$AJ$2:$AJ$167,TRUE)))),"")</f>
        <v/>
      </c>
      <c r="BU43">
        <f t="array" ref="BU43">IFERROR((SUMPRODUCT((economics!$AG$2:$AG$167=$B43)*(economics!$D$2:$D$167="whr")*economics!$AI$2:$AI$167*(_xlfn.NORM.DIST(BU$3,economics!$AK$2:$AK$167,economics!$AJ$2:$AJ$167,TRUE)-_xlfn.NORM.DIST(BU$30,economics!$AK$2:$AK$167,economics!$AJ$2:$AJ$167,TRUE))*economics!$AM$2:$AM$167))/(SUMPRODUCT((economics!$AG$2:$AG$167=$B43)*(economics!$D$2:$D$167="whr")*economics!$AI$2:$AI$167*(_xlfn.NORM.DIST(BU$3,economics!$AK$2:$AK$167,economics!$AJ$2:$AJ$167,TRUE)-_xlfn.NORM.DIST(BU$30,economics!$AK$2:$AK$167,economics!$AJ$2:$AJ$167,TRUE)))),"")</f>
        <v/>
      </c>
      <c r="BV43">
        <f t="array" ref="BV43">IFERROR((SUMPRODUCT((economics!$AG$2:$AG$167=$B43)*(economics!$D$2:$D$167="whr")*economics!$AI$2:$AI$167*(_xlfn.NORM.DIST(BV$3,economics!$AK$2:$AK$167,economics!$AJ$2:$AJ$167,TRUE)-_xlfn.NORM.DIST(BV$30,economics!$AK$2:$AK$167,economics!$AJ$2:$AJ$167,TRUE))*economics!$AM$2:$AM$167))/(SUMPRODUCT((economics!$AG$2:$AG$167=$B43)*(economics!$D$2:$D$167="whr")*economics!$AI$2:$AI$167*(_xlfn.NORM.DIST(BV$3,economics!$AK$2:$AK$167,economics!$AJ$2:$AJ$167,TRUE)-_xlfn.NORM.DIST(BV$30,economics!$AK$2:$AK$167,economics!$AJ$2:$AJ$167,TRUE)))),"")</f>
        <v/>
      </c>
      <c r="BW43">
        <f t="array" ref="BW43">IFERROR((SUMPRODUCT((economics!$AG$2:$AG$167=$B43)*(economics!$D$2:$D$167="whr")*economics!$AI$2:$AI$167*(_xlfn.NORM.DIST(BW$3,economics!$AK$2:$AK$167,economics!$AJ$2:$AJ$167,TRUE)-_xlfn.NORM.DIST(BW$30,economics!$AK$2:$AK$167,economics!$AJ$2:$AJ$167,TRUE))*economics!$AM$2:$AM$167))/(SUMPRODUCT((economics!$AG$2:$AG$167=$B43)*(economics!$D$2:$D$167="whr")*economics!$AI$2:$AI$167*(_xlfn.NORM.DIST(BW$3,economics!$AK$2:$AK$167,economics!$AJ$2:$AJ$167,TRUE)-_xlfn.NORM.DIST(BW$30,economics!$AK$2:$AK$167,economics!$AJ$2:$AJ$167,TRUE)))),"")</f>
        <v/>
      </c>
      <c r="BX43">
        <f t="array" ref="BX43">IFERROR((SUMPRODUCT((economics!$AG$2:$AG$167=$B43)*(economics!$D$2:$D$167="whr")*economics!$AI$2:$AI$167*(_xlfn.NORM.DIST(BX$3,economics!$AK$2:$AK$167,economics!$AJ$2:$AJ$167,TRUE)-_xlfn.NORM.DIST(BX$30,economics!$AK$2:$AK$167,economics!$AJ$2:$AJ$167,TRUE))*economics!$AM$2:$AM$167))/(SUMPRODUCT((economics!$AG$2:$AG$167=$B43)*(economics!$D$2:$D$167="whr")*economics!$AI$2:$AI$167*(_xlfn.NORM.DIST(BX$3,economics!$AK$2:$AK$167,economics!$AJ$2:$AJ$167,TRUE)-_xlfn.NORM.DIST(BX$30,economics!$AK$2:$AK$167,economics!$AJ$2:$AJ$167,TRUE)))),"")</f>
        <v/>
      </c>
      <c r="BY43">
        <f t="array" ref="BY43">IFERROR((SUMPRODUCT((economics!$AG$2:$AG$167=$B43)*(economics!$D$2:$D$167="whr")*economics!$AI$2:$AI$167*(_xlfn.NORM.DIST(BY$3,economics!$AK$2:$AK$167,economics!$AJ$2:$AJ$167,TRUE)-_xlfn.NORM.DIST(BY$30,economics!$AK$2:$AK$167,economics!$AJ$2:$AJ$167,TRUE))*economics!$AM$2:$AM$167))/(SUMPRODUCT((economics!$AG$2:$AG$167=$B43)*(economics!$D$2:$D$167="whr")*economics!$AI$2:$AI$167*(_xlfn.NORM.DIST(BY$3,economics!$AK$2:$AK$167,economics!$AJ$2:$AJ$167,TRUE)-_xlfn.NORM.DIST(BY$30,economics!$AK$2:$AK$167,economics!$AJ$2:$AJ$167,TRUE)))),"")</f>
        <v/>
      </c>
      <c r="BZ43">
        <f t="array" ref="BZ43">IFERROR((SUMPRODUCT((economics!$AG$2:$AG$167=$B43)*(economics!$D$2:$D$167="whr")*economics!$AI$2:$AI$167*(_xlfn.NORM.DIST(BZ$3,economics!$AK$2:$AK$167,economics!$AJ$2:$AJ$167,TRUE)-_xlfn.NORM.DIST(BZ$30,economics!$AK$2:$AK$167,economics!$AJ$2:$AJ$167,TRUE))*economics!$AM$2:$AM$167))/(SUMPRODUCT((economics!$AG$2:$AG$167=$B43)*(economics!$D$2:$D$167="whr")*economics!$AI$2:$AI$167*(_xlfn.NORM.DIST(BZ$3,economics!$AK$2:$AK$167,economics!$AJ$2:$AJ$167,TRUE)-_xlfn.NORM.DIST(BZ$30,economics!$AK$2:$AK$167,economics!$AJ$2:$AJ$167,TRUE)))),"")</f>
        <v/>
      </c>
      <c r="CA43">
        <f t="array" ref="CA43">IFERROR((SUMPRODUCT((economics!$AG$2:$AG$167=$B43)*(economics!$D$2:$D$167="whr")*economics!$AI$2:$AI$167*(_xlfn.NORM.DIST(CA$3,economics!$AK$2:$AK$167,economics!$AJ$2:$AJ$167,TRUE)-_xlfn.NORM.DIST(CA$30,economics!$AK$2:$AK$167,economics!$AJ$2:$AJ$167,TRUE))*economics!$AM$2:$AM$167))/(SUMPRODUCT((economics!$AG$2:$AG$167=$B43)*(economics!$D$2:$D$167="whr")*economics!$AI$2:$AI$167*(_xlfn.NORM.DIST(CA$3,economics!$AK$2:$AK$167,economics!$AJ$2:$AJ$167,TRUE)-_xlfn.NORM.DIST(CA$30,economics!$AK$2:$AK$167,economics!$AJ$2:$AJ$167,TRUE)))),"")</f>
        <v/>
      </c>
      <c r="CB43">
        <f t="array" ref="CB43">IFERROR((SUMPRODUCT((economics!$AG$2:$AG$167=$B43)*(economics!$D$2:$D$167="whr")*economics!$AI$2:$AI$167*(_xlfn.NORM.DIST(CB$3,economics!$AK$2:$AK$167,economics!$AJ$2:$AJ$167,TRUE)-_xlfn.NORM.DIST(CB$30,economics!$AK$2:$AK$167,economics!$AJ$2:$AJ$167,TRUE))*economics!$AM$2:$AM$167))/(SUMPRODUCT((economics!$AG$2:$AG$167=$B43)*(economics!$D$2:$D$167="whr")*economics!$AI$2:$AI$167*(_xlfn.NORM.DIST(CB$3,economics!$AK$2:$AK$167,economics!$AJ$2:$AJ$167,TRUE)-_xlfn.NORM.DIST(CB$30,economics!$AK$2:$AK$167,economics!$AJ$2:$AJ$167,TRUE)))),"")</f>
        <v/>
      </c>
      <c r="CC43">
        <f t="array" ref="CC43">IFERROR((SUMPRODUCT((economics!$AG$2:$AG$167=$B43)*(economics!$D$2:$D$167="whr")*economics!$AI$2:$AI$167*(_xlfn.NORM.DIST(CC$3,economics!$AK$2:$AK$167,economics!$AJ$2:$AJ$167,TRUE)-_xlfn.NORM.DIST(CC$30,economics!$AK$2:$AK$167,economics!$AJ$2:$AJ$167,TRUE))*economics!$AM$2:$AM$167))/(SUMPRODUCT((economics!$AG$2:$AG$167=$B43)*(economics!$D$2:$D$167="whr")*economics!$AI$2:$AI$167*(_xlfn.NORM.DIST(CC$3,economics!$AK$2:$AK$167,economics!$AJ$2:$AJ$167,TRUE)-_xlfn.NORM.DIST(CC$30,economics!$AK$2:$AK$167,economics!$AJ$2:$AJ$167,TRUE)))),"")</f>
        <v/>
      </c>
      <c r="CD43">
        <f t="array" ref="CD43">IFERROR((SUMPRODUCT((economics!$AG$2:$AG$167=$B43)*(economics!$D$2:$D$167="whr")*economics!$AI$2:$AI$167*(_xlfn.NORM.DIST(CD$3,economics!$AK$2:$AK$167,economics!$AJ$2:$AJ$167,TRUE)-_xlfn.NORM.DIST(CD$30,economics!$AK$2:$AK$167,economics!$AJ$2:$AJ$167,TRUE))*economics!$AM$2:$AM$167))/(SUMPRODUCT((economics!$AG$2:$AG$167=$B43)*(economics!$D$2:$D$167="whr")*economics!$AI$2:$AI$167*(_xlfn.NORM.DIST(CD$3,economics!$AK$2:$AK$167,economics!$AJ$2:$AJ$167,TRUE)-_xlfn.NORM.DIST(CD$30,economics!$AK$2:$AK$167,economics!$AJ$2:$AJ$167,TRUE)))),"")</f>
        <v/>
      </c>
      <c r="CE43">
        <f t="array" ref="CE43">IFERROR((SUMPRODUCT((economics!$AG$2:$AG$167=$B43)*(economics!$D$2:$D$167="whr")*economics!$AI$2:$AI$167*(_xlfn.NORM.DIST(CE$3,economics!$AK$2:$AK$167,economics!$AJ$2:$AJ$167,TRUE)-_xlfn.NORM.DIST(CE$30,economics!$AK$2:$AK$167,economics!$AJ$2:$AJ$167,TRUE))*economics!$AM$2:$AM$167))/(SUMPRODUCT((economics!$AG$2:$AG$167=$B43)*(economics!$D$2:$D$167="whr")*economics!$AI$2:$AI$167*(_xlfn.NORM.DIST(CE$3,economics!$AK$2:$AK$167,economics!$AJ$2:$AJ$167,TRUE)-_xlfn.NORM.DIST(CE$30,economics!$AK$2:$AK$167,economics!$AJ$2:$AJ$167,TRUE)))),"")</f>
        <v/>
      </c>
      <c r="CF43">
        <f t="array" ref="CF43">IFERROR((SUMPRODUCT((economics!$AG$2:$AG$167=$B43)*(economics!$D$2:$D$167="whr")*economics!$AI$2:$AI$167*(_xlfn.NORM.DIST(CF$3,economics!$AK$2:$AK$167,economics!$AJ$2:$AJ$167,TRUE)-_xlfn.NORM.DIST(CF$30,economics!$AK$2:$AK$167,economics!$AJ$2:$AJ$167,TRUE))*economics!$AM$2:$AM$167))/(SUMPRODUCT((economics!$AG$2:$AG$167=$B43)*(economics!$D$2:$D$167="whr")*economics!$AI$2:$AI$167*(_xlfn.NORM.DIST(CF$3,economics!$AK$2:$AK$167,economics!$AJ$2:$AJ$167,TRUE)-_xlfn.NORM.DIST(CF$30,economics!$AK$2:$AK$167,economics!$AJ$2:$AJ$167,TRUE)))),"")</f>
        <v/>
      </c>
      <c r="CG43">
        <f t="array" ref="CG43">IFERROR((SUMPRODUCT((economics!$AG$2:$AG$167=$B43)*(economics!$D$2:$D$167="whr")*economics!$AI$2:$AI$167*(_xlfn.NORM.DIST(CG$3,economics!$AK$2:$AK$167,economics!$AJ$2:$AJ$167,TRUE)-_xlfn.NORM.DIST(CG$30,economics!$AK$2:$AK$167,economics!$AJ$2:$AJ$167,TRUE))*economics!$AM$2:$AM$167))/(SUMPRODUCT((economics!$AG$2:$AG$167=$B43)*(economics!$D$2:$D$167="whr")*economics!$AI$2:$AI$167*(_xlfn.NORM.DIST(CG$3,economics!$AK$2:$AK$167,economics!$AJ$2:$AJ$167,TRUE)-_xlfn.NORM.DIST(CG$30,economics!$AK$2:$AK$167,economics!$AJ$2:$AJ$167,TRUE)))),"")</f>
        <v/>
      </c>
      <c r="CH43">
        <f t="array" ref="CH43">IFERROR((SUMPRODUCT((economics!$AG$2:$AG$167=$B43)*(economics!$D$2:$D$167="whr")*economics!$AI$2:$AI$167*(_xlfn.NORM.DIST(CH$3,economics!$AK$2:$AK$167,economics!$AJ$2:$AJ$167,TRUE)-_xlfn.NORM.DIST(CH$30,economics!$AK$2:$AK$167,economics!$AJ$2:$AJ$167,TRUE))*economics!$AM$2:$AM$167))/(SUMPRODUCT((economics!$AG$2:$AG$167=$B43)*(economics!$D$2:$D$167="whr")*economics!$AI$2:$AI$167*(_xlfn.NORM.DIST(CH$3,economics!$AK$2:$AK$167,economics!$AJ$2:$AJ$167,TRUE)-_xlfn.NORM.DIST(CH$30,economics!$AK$2:$AK$167,economics!$AJ$2:$AJ$167,TRUE)))),"")</f>
        <v/>
      </c>
    </row>
    <row r="44">
      <c r="A44">
        <f>A15</f>
        <v/>
      </c>
      <c r="B44">
        <f>B15</f>
        <v/>
      </c>
      <c r="E44">
        <f t="array" ref="E44">IFERROR((SUMPRODUCT((economics!$AG$2:$AG$167=$B44)*(economics!$D$2:$D$167="whr")*economics!$AI$2:$AI$167*(_xlfn.NORM.DIST(E$3,economics!$AK$2:$AK$167,economics!$AJ$2:$AJ$167,TRUE)-_xlfn.NORM.DIST(E$30,economics!$AK$2:$AK$167,economics!$AJ$2:$AJ$167,TRUE))*economics!$AM$2:$AM$167))/(SUMPRODUCT((economics!$AG$2:$AG$167=$B44)*(economics!$D$2:$D$167="whr")*economics!$AI$2:$AI$167*(_xlfn.NORM.DIST(E$3,economics!$AK$2:$AK$167,economics!$AJ$2:$AJ$167,TRUE)-_xlfn.NORM.DIST(E$30,economics!$AK$2:$AK$167,economics!$AJ$2:$AJ$167,TRUE)))),"")</f>
        <v/>
      </c>
      <c r="F44">
        <f t="array" ref="F44">IFERROR((SUMPRODUCT((economics!$AG$2:$AG$167=$B44)*(economics!$D$2:$D$167="whr")*economics!$AI$2:$AI$167*(_xlfn.NORM.DIST(F$3,economics!$AK$2:$AK$167,economics!$AJ$2:$AJ$167,TRUE)-_xlfn.NORM.DIST(F$30,economics!$AK$2:$AK$167,economics!$AJ$2:$AJ$167,TRUE))*economics!$AM$2:$AM$167))/(SUMPRODUCT((economics!$AG$2:$AG$167=$B44)*(economics!$D$2:$D$167="whr")*economics!$AI$2:$AI$167*(_xlfn.NORM.DIST(F$3,economics!$AK$2:$AK$167,economics!$AJ$2:$AJ$167,TRUE)-_xlfn.NORM.DIST(F$30,economics!$AK$2:$AK$167,economics!$AJ$2:$AJ$167,TRUE)))),"")</f>
        <v/>
      </c>
      <c r="G44">
        <f t="array" ref="G44">IFERROR((SUMPRODUCT((economics!$AG$2:$AG$167=$B44)*(economics!$D$2:$D$167="whr")*economics!$AI$2:$AI$167*(_xlfn.NORM.DIST(G$3,economics!$AK$2:$AK$167,economics!$AJ$2:$AJ$167,TRUE)-_xlfn.NORM.DIST(G$30,economics!$AK$2:$AK$167,economics!$AJ$2:$AJ$167,TRUE))*economics!$AM$2:$AM$167))/(SUMPRODUCT((economics!$AG$2:$AG$167=$B44)*(economics!$D$2:$D$167="whr")*economics!$AI$2:$AI$167*(_xlfn.NORM.DIST(G$3,economics!$AK$2:$AK$167,economics!$AJ$2:$AJ$167,TRUE)-_xlfn.NORM.DIST(G$30,economics!$AK$2:$AK$167,economics!$AJ$2:$AJ$167,TRUE)))),"")</f>
        <v/>
      </c>
      <c r="H44">
        <f t="array" ref="H44">IFERROR((SUMPRODUCT((economics!$AG$2:$AG$167=$B44)*(economics!$D$2:$D$167="whr")*economics!$AI$2:$AI$167*(_xlfn.NORM.DIST(H$3,economics!$AK$2:$AK$167,economics!$AJ$2:$AJ$167,TRUE)-_xlfn.NORM.DIST(H$30,economics!$AK$2:$AK$167,economics!$AJ$2:$AJ$167,TRUE))*economics!$AM$2:$AM$167))/(SUMPRODUCT((economics!$AG$2:$AG$167=$B44)*(economics!$D$2:$D$167="whr")*economics!$AI$2:$AI$167*(_xlfn.NORM.DIST(H$3,economics!$AK$2:$AK$167,economics!$AJ$2:$AJ$167,TRUE)-_xlfn.NORM.DIST(H$30,economics!$AK$2:$AK$167,economics!$AJ$2:$AJ$167,TRUE)))),"")</f>
        <v/>
      </c>
      <c r="I44">
        <f t="array" ref="I44">IFERROR((SUMPRODUCT((economics!$AG$2:$AG$167=$B44)*(economics!$D$2:$D$167="whr")*economics!$AI$2:$AI$167*(_xlfn.NORM.DIST(I$3,economics!$AK$2:$AK$167,economics!$AJ$2:$AJ$167,TRUE)-_xlfn.NORM.DIST(I$30,economics!$AK$2:$AK$167,economics!$AJ$2:$AJ$167,TRUE))*economics!$AM$2:$AM$167))/(SUMPRODUCT((economics!$AG$2:$AG$167=$B44)*(economics!$D$2:$D$167="whr")*economics!$AI$2:$AI$167*(_xlfn.NORM.DIST(I$3,economics!$AK$2:$AK$167,economics!$AJ$2:$AJ$167,TRUE)-_xlfn.NORM.DIST(I$30,economics!$AK$2:$AK$167,economics!$AJ$2:$AJ$167,TRUE)))),"")</f>
        <v/>
      </c>
      <c r="J44">
        <f t="array" ref="J44">IFERROR((SUMPRODUCT((economics!$AG$2:$AG$167=$B44)*(economics!$D$2:$D$167="whr")*economics!$AI$2:$AI$167*(_xlfn.NORM.DIST(J$3,economics!$AK$2:$AK$167,economics!$AJ$2:$AJ$167,TRUE)-_xlfn.NORM.DIST(J$30,economics!$AK$2:$AK$167,economics!$AJ$2:$AJ$167,TRUE))*economics!$AM$2:$AM$167))/(SUMPRODUCT((economics!$AG$2:$AG$167=$B44)*(economics!$D$2:$D$167="whr")*economics!$AI$2:$AI$167*(_xlfn.NORM.DIST(J$3,economics!$AK$2:$AK$167,economics!$AJ$2:$AJ$167,TRUE)-_xlfn.NORM.DIST(J$30,economics!$AK$2:$AK$167,economics!$AJ$2:$AJ$167,TRUE)))),"")</f>
        <v/>
      </c>
      <c r="K44">
        <f t="array" ref="K44">IFERROR((SUMPRODUCT((economics!$AG$2:$AG$167=$B44)*(economics!$D$2:$D$167="whr")*economics!$AI$2:$AI$167*(_xlfn.NORM.DIST(K$3,economics!$AK$2:$AK$167,economics!$AJ$2:$AJ$167,TRUE)-_xlfn.NORM.DIST(K$30,economics!$AK$2:$AK$167,economics!$AJ$2:$AJ$167,TRUE))*economics!$AM$2:$AM$167))/(SUMPRODUCT((economics!$AG$2:$AG$167=$B44)*(economics!$D$2:$D$167="whr")*economics!$AI$2:$AI$167*(_xlfn.NORM.DIST(K$3,economics!$AK$2:$AK$167,economics!$AJ$2:$AJ$167,TRUE)-_xlfn.NORM.DIST(K$30,economics!$AK$2:$AK$167,economics!$AJ$2:$AJ$167,TRUE)))),"")</f>
        <v/>
      </c>
      <c r="L44">
        <f t="array" ref="L44">IFERROR((SUMPRODUCT((economics!$AG$2:$AG$167=$B44)*(economics!$D$2:$D$167="whr")*economics!$AI$2:$AI$167*(_xlfn.NORM.DIST(L$3,economics!$AK$2:$AK$167,economics!$AJ$2:$AJ$167,TRUE)-_xlfn.NORM.DIST(L$30,economics!$AK$2:$AK$167,economics!$AJ$2:$AJ$167,TRUE))*economics!$AM$2:$AM$167))/(SUMPRODUCT((economics!$AG$2:$AG$167=$B44)*(economics!$D$2:$D$167="whr")*economics!$AI$2:$AI$167*(_xlfn.NORM.DIST(L$3,economics!$AK$2:$AK$167,economics!$AJ$2:$AJ$167,TRUE)-_xlfn.NORM.DIST(L$30,economics!$AK$2:$AK$167,economics!$AJ$2:$AJ$167,TRUE)))),"")</f>
        <v/>
      </c>
      <c r="M44">
        <f t="array" ref="M44">IFERROR((SUMPRODUCT((economics!$AG$2:$AG$167=$B44)*(economics!$D$2:$D$167="whr")*economics!$AI$2:$AI$167*(_xlfn.NORM.DIST(M$3,economics!$AK$2:$AK$167,economics!$AJ$2:$AJ$167,TRUE)-_xlfn.NORM.DIST(M$30,economics!$AK$2:$AK$167,economics!$AJ$2:$AJ$167,TRUE))*economics!$AM$2:$AM$167))/(SUMPRODUCT((economics!$AG$2:$AG$167=$B44)*(economics!$D$2:$D$167="whr")*economics!$AI$2:$AI$167*(_xlfn.NORM.DIST(M$3,economics!$AK$2:$AK$167,economics!$AJ$2:$AJ$167,TRUE)-_xlfn.NORM.DIST(M$30,economics!$AK$2:$AK$167,economics!$AJ$2:$AJ$167,TRUE)))),"")</f>
        <v/>
      </c>
      <c r="N44">
        <f t="array" ref="N44">IFERROR((SUMPRODUCT((economics!$AG$2:$AG$167=$B44)*(economics!$D$2:$D$167="whr")*economics!$AI$2:$AI$167*(_xlfn.NORM.DIST(N$3,economics!$AK$2:$AK$167,economics!$AJ$2:$AJ$167,TRUE)-_xlfn.NORM.DIST(N$30,economics!$AK$2:$AK$167,economics!$AJ$2:$AJ$167,TRUE))*economics!$AM$2:$AM$167))/(SUMPRODUCT((economics!$AG$2:$AG$167=$B44)*(economics!$D$2:$D$167="whr")*economics!$AI$2:$AI$167*(_xlfn.NORM.DIST(N$3,economics!$AK$2:$AK$167,economics!$AJ$2:$AJ$167,TRUE)-_xlfn.NORM.DIST(N$30,economics!$AK$2:$AK$167,economics!$AJ$2:$AJ$167,TRUE)))),"")</f>
        <v/>
      </c>
      <c r="O44">
        <f t="array" ref="O44">IFERROR((SUMPRODUCT((economics!$AG$2:$AG$167=$B44)*(economics!$D$2:$D$167="whr")*economics!$AI$2:$AI$167*(_xlfn.NORM.DIST(O$3,economics!$AK$2:$AK$167,economics!$AJ$2:$AJ$167,TRUE)-_xlfn.NORM.DIST(O$30,economics!$AK$2:$AK$167,economics!$AJ$2:$AJ$167,TRUE))*economics!$AM$2:$AM$167))/(SUMPRODUCT((economics!$AG$2:$AG$167=$B44)*(economics!$D$2:$D$167="whr")*economics!$AI$2:$AI$167*(_xlfn.NORM.DIST(O$3,economics!$AK$2:$AK$167,economics!$AJ$2:$AJ$167,TRUE)-_xlfn.NORM.DIST(O$30,economics!$AK$2:$AK$167,economics!$AJ$2:$AJ$167,TRUE)))),"")</f>
        <v/>
      </c>
      <c r="P44">
        <f t="array" ref="P44">IFERROR((SUMPRODUCT((economics!$AG$2:$AG$167=$B44)*(economics!$D$2:$D$167="whr")*economics!$AI$2:$AI$167*(_xlfn.NORM.DIST(P$3,economics!$AK$2:$AK$167,economics!$AJ$2:$AJ$167,TRUE)-_xlfn.NORM.DIST(P$30,economics!$AK$2:$AK$167,economics!$AJ$2:$AJ$167,TRUE))*economics!$AM$2:$AM$167))/(SUMPRODUCT((economics!$AG$2:$AG$167=$B44)*(economics!$D$2:$D$167="whr")*economics!$AI$2:$AI$167*(_xlfn.NORM.DIST(P$3,economics!$AK$2:$AK$167,economics!$AJ$2:$AJ$167,TRUE)-_xlfn.NORM.DIST(P$30,economics!$AK$2:$AK$167,economics!$AJ$2:$AJ$167,TRUE)))),"")</f>
        <v/>
      </c>
      <c r="Q44">
        <f t="array" ref="Q44">IFERROR((SUMPRODUCT((economics!$AG$2:$AG$167=$B44)*(economics!$D$2:$D$167="whr")*economics!$AI$2:$AI$167*(_xlfn.NORM.DIST(Q$3,economics!$AK$2:$AK$167,economics!$AJ$2:$AJ$167,TRUE)-_xlfn.NORM.DIST(Q$30,economics!$AK$2:$AK$167,economics!$AJ$2:$AJ$167,TRUE))*economics!$AM$2:$AM$167))/(SUMPRODUCT((economics!$AG$2:$AG$167=$B44)*(economics!$D$2:$D$167="whr")*economics!$AI$2:$AI$167*(_xlfn.NORM.DIST(Q$3,economics!$AK$2:$AK$167,economics!$AJ$2:$AJ$167,TRUE)-_xlfn.NORM.DIST(Q$30,economics!$AK$2:$AK$167,economics!$AJ$2:$AJ$167,TRUE)))),"")</f>
        <v/>
      </c>
      <c r="R44">
        <f t="array" ref="R44">IFERROR((SUMPRODUCT((economics!$AG$2:$AG$167=$B44)*(economics!$D$2:$D$167="whr")*economics!$AI$2:$AI$167*(_xlfn.NORM.DIST(R$3,economics!$AK$2:$AK$167,economics!$AJ$2:$AJ$167,TRUE)-_xlfn.NORM.DIST(R$30,economics!$AK$2:$AK$167,economics!$AJ$2:$AJ$167,TRUE))*economics!$AM$2:$AM$167))/(SUMPRODUCT((economics!$AG$2:$AG$167=$B44)*(economics!$D$2:$D$167="whr")*economics!$AI$2:$AI$167*(_xlfn.NORM.DIST(R$3,economics!$AK$2:$AK$167,economics!$AJ$2:$AJ$167,TRUE)-_xlfn.NORM.DIST(R$30,economics!$AK$2:$AK$167,economics!$AJ$2:$AJ$167,TRUE)))),"")</f>
        <v/>
      </c>
      <c r="S44">
        <f t="array" ref="S44">IFERROR((SUMPRODUCT((economics!$AG$2:$AG$167=$B44)*(economics!$D$2:$D$167="whr")*economics!$AI$2:$AI$167*(_xlfn.NORM.DIST(S$3,economics!$AK$2:$AK$167,economics!$AJ$2:$AJ$167,TRUE)-_xlfn.NORM.DIST(S$30,economics!$AK$2:$AK$167,economics!$AJ$2:$AJ$167,TRUE))*economics!$AM$2:$AM$167))/(SUMPRODUCT((economics!$AG$2:$AG$167=$B44)*(economics!$D$2:$D$167="whr")*economics!$AI$2:$AI$167*(_xlfn.NORM.DIST(S$3,economics!$AK$2:$AK$167,economics!$AJ$2:$AJ$167,TRUE)-_xlfn.NORM.DIST(S$30,economics!$AK$2:$AK$167,economics!$AJ$2:$AJ$167,TRUE)))),"")</f>
        <v/>
      </c>
      <c r="T44">
        <f t="array" ref="T44">IFERROR((SUMPRODUCT((economics!$AG$2:$AG$167=$B44)*(economics!$D$2:$D$167="whr")*economics!$AI$2:$AI$167*(_xlfn.NORM.DIST(T$3,economics!$AK$2:$AK$167,economics!$AJ$2:$AJ$167,TRUE)-_xlfn.NORM.DIST(T$30,economics!$AK$2:$AK$167,economics!$AJ$2:$AJ$167,TRUE))*economics!$AM$2:$AM$167))/(SUMPRODUCT((economics!$AG$2:$AG$167=$B44)*(economics!$D$2:$D$167="whr")*economics!$AI$2:$AI$167*(_xlfn.NORM.DIST(T$3,economics!$AK$2:$AK$167,economics!$AJ$2:$AJ$167,TRUE)-_xlfn.NORM.DIST(T$30,economics!$AK$2:$AK$167,economics!$AJ$2:$AJ$167,TRUE)))),"")</f>
        <v/>
      </c>
      <c r="U44">
        <f t="array" ref="U44">IFERROR((SUMPRODUCT((economics!$AG$2:$AG$167=$B44)*(economics!$D$2:$D$167="whr")*economics!$AI$2:$AI$167*(_xlfn.NORM.DIST(U$3,economics!$AK$2:$AK$167,economics!$AJ$2:$AJ$167,TRUE)-_xlfn.NORM.DIST(U$30,economics!$AK$2:$AK$167,economics!$AJ$2:$AJ$167,TRUE))*economics!$AM$2:$AM$167))/(SUMPRODUCT((economics!$AG$2:$AG$167=$B44)*(economics!$D$2:$D$167="whr")*economics!$AI$2:$AI$167*(_xlfn.NORM.DIST(U$3,economics!$AK$2:$AK$167,economics!$AJ$2:$AJ$167,TRUE)-_xlfn.NORM.DIST(U$30,economics!$AK$2:$AK$167,economics!$AJ$2:$AJ$167,TRUE)))),"")</f>
        <v/>
      </c>
      <c r="V44">
        <f t="array" ref="V44">IFERROR((SUMPRODUCT((economics!$AG$2:$AG$167=$B44)*(economics!$D$2:$D$167="whr")*economics!$AI$2:$AI$167*(_xlfn.NORM.DIST(V$3,economics!$AK$2:$AK$167,economics!$AJ$2:$AJ$167,TRUE)-_xlfn.NORM.DIST(V$30,economics!$AK$2:$AK$167,economics!$AJ$2:$AJ$167,TRUE))*economics!$AM$2:$AM$167))/(SUMPRODUCT((economics!$AG$2:$AG$167=$B44)*(economics!$D$2:$D$167="whr")*economics!$AI$2:$AI$167*(_xlfn.NORM.DIST(V$3,economics!$AK$2:$AK$167,economics!$AJ$2:$AJ$167,TRUE)-_xlfn.NORM.DIST(V$30,economics!$AK$2:$AK$167,economics!$AJ$2:$AJ$167,TRUE)))),"")</f>
        <v/>
      </c>
      <c r="W44">
        <f t="array" ref="W44">IFERROR((SUMPRODUCT((economics!$AG$2:$AG$167=$B44)*(economics!$D$2:$D$167="whr")*economics!$AI$2:$AI$167*(_xlfn.NORM.DIST(W$3,economics!$AK$2:$AK$167,economics!$AJ$2:$AJ$167,TRUE)-_xlfn.NORM.DIST(W$30,economics!$AK$2:$AK$167,economics!$AJ$2:$AJ$167,TRUE))*economics!$AM$2:$AM$167))/(SUMPRODUCT((economics!$AG$2:$AG$167=$B44)*(economics!$D$2:$D$167="whr")*economics!$AI$2:$AI$167*(_xlfn.NORM.DIST(W$3,economics!$AK$2:$AK$167,economics!$AJ$2:$AJ$167,TRUE)-_xlfn.NORM.DIST(W$30,economics!$AK$2:$AK$167,economics!$AJ$2:$AJ$167,TRUE)))),"")</f>
        <v/>
      </c>
      <c r="X44">
        <f t="array" ref="X44">IFERROR((SUMPRODUCT((economics!$AG$2:$AG$167=$B44)*(economics!$D$2:$D$167="whr")*economics!$AI$2:$AI$167*(_xlfn.NORM.DIST(X$3,economics!$AK$2:$AK$167,economics!$AJ$2:$AJ$167,TRUE)-_xlfn.NORM.DIST(X$30,economics!$AK$2:$AK$167,economics!$AJ$2:$AJ$167,TRUE))*economics!$AM$2:$AM$167))/(SUMPRODUCT((economics!$AG$2:$AG$167=$B44)*(economics!$D$2:$D$167="whr")*economics!$AI$2:$AI$167*(_xlfn.NORM.DIST(X$3,economics!$AK$2:$AK$167,economics!$AJ$2:$AJ$167,TRUE)-_xlfn.NORM.DIST(X$30,economics!$AK$2:$AK$167,economics!$AJ$2:$AJ$167,TRUE)))),"")</f>
        <v/>
      </c>
      <c r="Y44">
        <f t="array" ref="Y44">IFERROR((SUMPRODUCT((economics!$AG$2:$AG$167=$B44)*(economics!$D$2:$D$167="whr")*economics!$AI$2:$AI$167*(_xlfn.NORM.DIST(Y$3,economics!$AK$2:$AK$167,economics!$AJ$2:$AJ$167,TRUE)-_xlfn.NORM.DIST(Y$30,economics!$AK$2:$AK$167,economics!$AJ$2:$AJ$167,TRUE))*economics!$AM$2:$AM$167))/(SUMPRODUCT((economics!$AG$2:$AG$167=$B44)*(economics!$D$2:$D$167="whr")*economics!$AI$2:$AI$167*(_xlfn.NORM.DIST(Y$3,economics!$AK$2:$AK$167,economics!$AJ$2:$AJ$167,TRUE)-_xlfn.NORM.DIST(Y$30,economics!$AK$2:$AK$167,economics!$AJ$2:$AJ$167,TRUE)))),"")</f>
        <v/>
      </c>
      <c r="Z44">
        <f t="array" ref="Z44">IFERROR((SUMPRODUCT((economics!$AG$2:$AG$167=$B44)*(economics!$D$2:$D$167="whr")*economics!$AI$2:$AI$167*(_xlfn.NORM.DIST(Z$3,economics!$AK$2:$AK$167,economics!$AJ$2:$AJ$167,TRUE)-_xlfn.NORM.DIST(Z$30,economics!$AK$2:$AK$167,economics!$AJ$2:$AJ$167,TRUE))*economics!$AM$2:$AM$167))/(SUMPRODUCT((economics!$AG$2:$AG$167=$B44)*(economics!$D$2:$D$167="whr")*economics!$AI$2:$AI$167*(_xlfn.NORM.DIST(Z$3,economics!$AK$2:$AK$167,economics!$AJ$2:$AJ$167,TRUE)-_xlfn.NORM.DIST(Z$30,economics!$AK$2:$AK$167,economics!$AJ$2:$AJ$167,TRUE)))),"")</f>
        <v/>
      </c>
      <c r="AA44">
        <f t="array" ref="AA44">IFERROR((SUMPRODUCT((economics!$AG$2:$AG$167=$B44)*(economics!$D$2:$D$167="whr")*economics!$AI$2:$AI$167*(_xlfn.NORM.DIST(AA$3,economics!$AK$2:$AK$167,economics!$AJ$2:$AJ$167,TRUE)-_xlfn.NORM.DIST(AA$30,economics!$AK$2:$AK$167,economics!$AJ$2:$AJ$167,TRUE))*economics!$AM$2:$AM$167))/(SUMPRODUCT((economics!$AG$2:$AG$167=$B44)*(economics!$D$2:$D$167="whr")*economics!$AI$2:$AI$167*(_xlfn.NORM.DIST(AA$3,economics!$AK$2:$AK$167,economics!$AJ$2:$AJ$167,TRUE)-_xlfn.NORM.DIST(AA$30,economics!$AK$2:$AK$167,economics!$AJ$2:$AJ$167,TRUE)))),"")</f>
        <v/>
      </c>
      <c r="AB44">
        <f t="array" ref="AB44">IFERROR((SUMPRODUCT((economics!$AG$2:$AG$167=$B44)*(economics!$D$2:$D$167="whr")*economics!$AI$2:$AI$167*(_xlfn.NORM.DIST(AB$3,economics!$AK$2:$AK$167,economics!$AJ$2:$AJ$167,TRUE)-_xlfn.NORM.DIST(AB$30,economics!$AK$2:$AK$167,economics!$AJ$2:$AJ$167,TRUE))*economics!$AM$2:$AM$167))/(SUMPRODUCT((economics!$AG$2:$AG$167=$B44)*(economics!$D$2:$D$167="whr")*economics!$AI$2:$AI$167*(_xlfn.NORM.DIST(AB$3,economics!$AK$2:$AK$167,economics!$AJ$2:$AJ$167,TRUE)-_xlfn.NORM.DIST(AB$30,economics!$AK$2:$AK$167,economics!$AJ$2:$AJ$167,TRUE)))),"")</f>
        <v/>
      </c>
      <c r="AC44">
        <f t="array" ref="AC44">IFERROR((SUMPRODUCT((economics!$AG$2:$AG$167=$B44)*(economics!$D$2:$D$167="whr")*economics!$AI$2:$AI$167*(_xlfn.NORM.DIST(AC$3,economics!$AK$2:$AK$167,economics!$AJ$2:$AJ$167,TRUE)-_xlfn.NORM.DIST(AC$30,economics!$AK$2:$AK$167,economics!$AJ$2:$AJ$167,TRUE))*economics!$AM$2:$AM$167))/(SUMPRODUCT((economics!$AG$2:$AG$167=$B44)*(economics!$D$2:$D$167="whr")*economics!$AI$2:$AI$167*(_xlfn.NORM.DIST(AC$3,economics!$AK$2:$AK$167,economics!$AJ$2:$AJ$167,TRUE)-_xlfn.NORM.DIST(AC$30,economics!$AK$2:$AK$167,economics!$AJ$2:$AJ$167,TRUE)))),"")</f>
        <v/>
      </c>
      <c r="AD44">
        <f t="array" ref="AD44">IFERROR((SUMPRODUCT((economics!$AG$2:$AG$167=$B44)*(economics!$D$2:$D$167="whr")*economics!$AI$2:$AI$167*(_xlfn.NORM.DIST(AD$3,economics!$AK$2:$AK$167,economics!$AJ$2:$AJ$167,TRUE)-_xlfn.NORM.DIST(AD$30,economics!$AK$2:$AK$167,economics!$AJ$2:$AJ$167,TRUE))*economics!$AM$2:$AM$167))/(SUMPRODUCT((economics!$AG$2:$AG$167=$B44)*(economics!$D$2:$D$167="whr")*economics!$AI$2:$AI$167*(_xlfn.NORM.DIST(AD$3,economics!$AK$2:$AK$167,economics!$AJ$2:$AJ$167,TRUE)-_xlfn.NORM.DIST(AD$30,economics!$AK$2:$AK$167,economics!$AJ$2:$AJ$167,TRUE)))),"")</f>
        <v/>
      </c>
      <c r="AE44">
        <f t="array" ref="AE44">IFERROR((SUMPRODUCT((economics!$AG$2:$AG$167=$B44)*(economics!$D$2:$D$167="whr")*economics!$AI$2:$AI$167*(_xlfn.NORM.DIST(AE$3,economics!$AK$2:$AK$167,economics!$AJ$2:$AJ$167,TRUE)-_xlfn.NORM.DIST(AE$30,economics!$AK$2:$AK$167,economics!$AJ$2:$AJ$167,TRUE))*economics!$AM$2:$AM$167))/(SUMPRODUCT((economics!$AG$2:$AG$167=$B44)*(economics!$D$2:$D$167="whr")*economics!$AI$2:$AI$167*(_xlfn.NORM.DIST(AE$3,economics!$AK$2:$AK$167,economics!$AJ$2:$AJ$167,TRUE)-_xlfn.NORM.DIST(AE$30,economics!$AK$2:$AK$167,economics!$AJ$2:$AJ$167,TRUE)))),"")</f>
        <v/>
      </c>
      <c r="AF44">
        <f t="array" ref="AF44">IFERROR((SUMPRODUCT((economics!$AG$2:$AG$167=$B44)*(economics!$D$2:$D$167="whr")*economics!$AI$2:$AI$167*(_xlfn.NORM.DIST(AF$3,economics!$AK$2:$AK$167,economics!$AJ$2:$AJ$167,TRUE)-_xlfn.NORM.DIST(AF$30,economics!$AK$2:$AK$167,economics!$AJ$2:$AJ$167,TRUE))*economics!$AM$2:$AM$167))/(SUMPRODUCT((economics!$AG$2:$AG$167=$B44)*(economics!$D$2:$D$167="whr")*economics!$AI$2:$AI$167*(_xlfn.NORM.DIST(AF$3,economics!$AK$2:$AK$167,economics!$AJ$2:$AJ$167,TRUE)-_xlfn.NORM.DIST(AF$30,economics!$AK$2:$AK$167,economics!$AJ$2:$AJ$167,TRUE)))),"")</f>
        <v/>
      </c>
      <c r="AG44">
        <f t="array" ref="AG44">IFERROR((SUMPRODUCT((economics!$AG$2:$AG$167=$B44)*(economics!$D$2:$D$167="whr")*economics!$AI$2:$AI$167*(_xlfn.NORM.DIST(AG$3,economics!$AK$2:$AK$167,economics!$AJ$2:$AJ$167,TRUE)-_xlfn.NORM.DIST(AG$30,economics!$AK$2:$AK$167,economics!$AJ$2:$AJ$167,TRUE))*economics!$AM$2:$AM$167))/(SUMPRODUCT((economics!$AG$2:$AG$167=$B44)*(economics!$D$2:$D$167="whr")*economics!$AI$2:$AI$167*(_xlfn.NORM.DIST(AG$3,economics!$AK$2:$AK$167,economics!$AJ$2:$AJ$167,TRUE)-_xlfn.NORM.DIST(AG$30,economics!$AK$2:$AK$167,economics!$AJ$2:$AJ$167,TRUE)))),"")</f>
        <v/>
      </c>
      <c r="AH44">
        <f t="array" ref="AH44">IFERROR((SUMPRODUCT((economics!$AG$2:$AG$167=$B44)*(economics!$D$2:$D$167="whr")*economics!$AI$2:$AI$167*(_xlfn.NORM.DIST(AH$3,economics!$AK$2:$AK$167,economics!$AJ$2:$AJ$167,TRUE)-_xlfn.NORM.DIST(AH$30,economics!$AK$2:$AK$167,economics!$AJ$2:$AJ$167,TRUE))*economics!$AM$2:$AM$167))/(SUMPRODUCT((economics!$AG$2:$AG$167=$B44)*(economics!$D$2:$D$167="whr")*economics!$AI$2:$AI$167*(_xlfn.NORM.DIST(AH$3,economics!$AK$2:$AK$167,economics!$AJ$2:$AJ$167,TRUE)-_xlfn.NORM.DIST(AH$30,economics!$AK$2:$AK$167,economics!$AJ$2:$AJ$167,TRUE)))),"")</f>
        <v/>
      </c>
      <c r="AI44">
        <f t="array" ref="AI44">IFERROR((SUMPRODUCT((economics!$AG$2:$AG$167=$B44)*(economics!$D$2:$D$167="whr")*economics!$AI$2:$AI$167*(_xlfn.NORM.DIST(AI$3,economics!$AK$2:$AK$167,economics!$AJ$2:$AJ$167,TRUE)-_xlfn.NORM.DIST(AI$30,economics!$AK$2:$AK$167,economics!$AJ$2:$AJ$167,TRUE))*economics!$AM$2:$AM$167))/(SUMPRODUCT((economics!$AG$2:$AG$167=$B44)*(economics!$D$2:$D$167="whr")*economics!$AI$2:$AI$167*(_xlfn.NORM.DIST(AI$3,economics!$AK$2:$AK$167,economics!$AJ$2:$AJ$167,TRUE)-_xlfn.NORM.DIST(AI$30,economics!$AK$2:$AK$167,economics!$AJ$2:$AJ$167,TRUE)))),"")</f>
        <v/>
      </c>
      <c r="AJ44">
        <f t="array" ref="AJ44">IFERROR((SUMPRODUCT((economics!$AG$2:$AG$167=$B44)*(economics!$D$2:$D$167="whr")*economics!$AI$2:$AI$167*(_xlfn.NORM.DIST(AJ$3,economics!$AK$2:$AK$167,economics!$AJ$2:$AJ$167,TRUE)-_xlfn.NORM.DIST(AJ$30,economics!$AK$2:$AK$167,economics!$AJ$2:$AJ$167,TRUE))*economics!$AM$2:$AM$167))/(SUMPRODUCT((economics!$AG$2:$AG$167=$B44)*(economics!$D$2:$D$167="whr")*economics!$AI$2:$AI$167*(_xlfn.NORM.DIST(AJ$3,economics!$AK$2:$AK$167,economics!$AJ$2:$AJ$167,TRUE)-_xlfn.NORM.DIST(AJ$30,economics!$AK$2:$AK$167,economics!$AJ$2:$AJ$167,TRUE)))),"")</f>
        <v/>
      </c>
      <c r="AK44">
        <f t="array" ref="AK44">IFERROR((SUMPRODUCT((economics!$AG$2:$AG$167=$B44)*(economics!$D$2:$D$167="whr")*economics!$AI$2:$AI$167*(_xlfn.NORM.DIST(AK$3,economics!$AK$2:$AK$167,economics!$AJ$2:$AJ$167,TRUE)-_xlfn.NORM.DIST(AK$30,economics!$AK$2:$AK$167,economics!$AJ$2:$AJ$167,TRUE))*economics!$AM$2:$AM$167))/(SUMPRODUCT((economics!$AG$2:$AG$167=$B44)*(economics!$D$2:$D$167="whr")*economics!$AI$2:$AI$167*(_xlfn.NORM.DIST(AK$3,economics!$AK$2:$AK$167,economics!$AJ$2:$AJ$167,TRUE)-_xlfn.NORM.DIST(AK$30,economics!$AK$2:$AK$167,economics!$AJ$2:$AJ$167,TRUE)))),"")</f>
        <v/>
      </c>
      <c r="AL44">
        <f t="array" ref="AL44">IFERROR((SUMPRODUCT((economics!$AG$2:$AG$167=$B44)*(economics!$D$2:$D$167="whr")*economics!$AI$2:$AI$167*(_xlfn.NORM.DIST(AL$3,economics!$AK$2:$AK$167,economics!$AJ$2:$AJ$167,TRUE)-_xlfn.NORM.DIST(AL$30,economics!$AK$2:$AK$167,economics!$AJ$2:$AJ$167,TRUE))*economics!$AM$2:$AM$167))/(SUMPRODUCT((economics!$AG$2:$AG$167=$B44)*(economics!$D$2:$D$167="whr")*economics!$AI$2:$AI$167*(_xlfn.NORM.DIST(AL$3,economics!$AK$2:$AK$167,economics!$AJ$2:$AJ$167,TRUE)-_xlfn.NORM.DIST(AL$30,economics!$AK$2:$AK$167,economics!$AJ$2:$AJ$167,TRUE)))),"")</f>
        <v/>
      </c>
      <c r="AM44">
        <f t="array" ref="AM44">IFERROR((SUMPRODUCT((economics!$AG$2:$AG$167=$B44)*(economics!$D$2:$D$167="whr")*economics!$AI$2:$AI$167*(_xlfn.NORM.DIST(AM$3,economics!$AK$2:$AK$167,economics!$AJ$2:$AJ$167,TRUE)-_xlfn.NORM.DIST(AM$30,economics!$AK$2:$AK$167,economics!$AJ$2:$AJ$167,TRUE))*economics!$AM$2:$AM$167))/(SUMPRODUCT((economics!$AG$2:$AG$167=$B44)*(economics!$D$2:$D$167="whr")*economics!$AI$2:$AI$167*(_xlfn.NORM.DIST(AM$3,economics!$AK$2:$AK$167,economics!$AJ$2:$AJ$167,TRUE)-_xlfn.NORM.DIST(AM$30,economics!$AK$2:$AK$167,economics!$AJ$2:$AJ$167,TRUE)))),"")</f>
        <v/>
      </c>
      <c r="AN44">
        <f t="array" ref="AN44">IFERROR((SUMPRODUCT((economics!$AG$2:$AG$167=$B44)*(economics!$D$2:$D$167="whr")*economics!$AI$2:$AI$167*(_xlfn.NORM.DIST(AN$3,economics!$AK$2:$AK$167,economics!$AJ$2:$AJ$167,TRUE)-_xlfn.NORM.DIST(AN$30,economics!$AK$2:$AK$167,economics!$AJ$2:$AJ$167,TRUE))*economics!$AM$2:$AM$167))/(SUMPRODUCT((economics!$AG$2:$AG$167=$B44)*(economics!$D$2:$D$167="whr")*economics!$AI$2:$AI$167*(_xlfn.NORM.DIST(AN$3,economics!$AK$2:$AK$167,economics!$AJ$2:$AJ$167,TRUE)-_xlfn.NORM.DIST(AN$30,economics!$AK$2:$AK$167,economics!$AJ$2:$AJ$167,TRUE)))),"")</f>
        <v/>
      </c>
      <c r="AO44">
        <f t="array" ref="AO44">IFERROR((SUMPRODUCT((economics!$AG$2:$AG$167=$B44)*(economics!$D$2:$D$167="whr")*economics!$AI$2:$AI$167*(_xlfn.NORM.DIST(AO$3,economics!$AK$2:$AK$167,economics!$AJ$2:$AJ$167,TRUE)-_xlfn.NORM.DIST(AO$30,economics!$AK$2:$AK$167,economics!$AJ$2:$AJ$167,TRUE))*economics!$AM$2:$AM$167))/(SUMPRODUCT((economics!$AG$2:$AG$167=$B44)*(economics!$D$2:$D$167="whr")*economics!$AI$2:$AI$167*(_xlfn.NORM.DIST(AO$3,economics!$AK$2:$AK$167,economics!$AJ$2:$AJ$167,TRUE)-_xlfn.NORM.DIST(AO$30,economics!$AK$2:$AK$167,economics!$AJ$2:$AJ$167,TRUE)))),"")</f>
        <v/>
      </c>
      <c r="AP44">
        <f t="array" ref="AP44">IFERROR((SUMPRODUCT((economics!$AG$2:$AG$167=$B44)*(economics!$D$2:$D$167="whr")*economics!$AI$2:$AI$167*(_xlfn.NORM.DIST(AP$3,economics!$AK$2:$AK$167,economics!$AJ$2:$AJ$167,TRUE)-_xlfn.NORM.DIST(AP$30,economics!$AK$2:$AK$167,economics!$AJ$2:$AJ$167,TRUE))*economics!$AM$2:$AM$167))/(SUMPRODUCT((economics!$AG$2:$AG$167=$B44)*(economics!$D$2:$D$167="whr")*economics!$AI$2:$AI$167*(_xlfn.NORM.DIST(AP$3,economics!$AK$2:$AK$167,economics!$AJ$2:$AJ$167,TRUE)-_xlfn.NORM.DIST(AP$30,economics!$AK$2:$AK$167,economics!$AJ$2:$AJ$167,TRUE)))),"")</f>
        <v/>
      </c>
      <c r="AQ44">
        <f t="array" ref="AQ44">IFERROR((SUMPRODUCT((economics!$AG$2:$AG$167=$B44)*(economics!$D$2:$D$167="whr")*economics!$AI$2:$AI$167*(_xlfn.NORM.DIST(AQ$3,economics!$AK$2:$AK$167,economics!$AJ$2:$AJ$167,TRUE)-_xlfn.NORM.DIST(AQ$30,economics!$AK$2:$AK$167,economics!$AJ$2:$AJ$167,TRUE))*economics!$AM$2:$AM$167))/(SUMPRODUCT((economics!$AG$2:$AG$167=$B44)*(economics!$D$2:$D$167="whr")*economics!$AI$2:$AI$167*(_xlfn.NORM.DIST(AQ$3,economics!$AK$2:$AK$167,economics!$AJ$2:$AJ$167,TRUE)-_xlfn.NORM.DIST(AQ$30,economics!$AK$2:$AK$167,economics!$AJ$2:$AJ$167,TRUE)))),"")</f>
        <v/>
      </c>
      <c r="AR44">
        <f t="array" ref="AR44">IFERROR((SUMPRODUCT((economics!$AG$2:$AG$167=$B44)*(economics!$D$2:$D$167="whr")*economics!$AI$2:$AI$167*(_xlfn.NORM.DIST(AR$3,economics!$AK$2:$AK$167,economics!$AJ$2:$AJ$167,TRUE)-_xlfn.NORM.DIST(AR$30,economics!$AK$2:$AK$167,economics!$AJ$2:$AJ$167,TRUE))*economics!$AM$2:$AM$167))/(SUMPRODUCT((economics!$AG$2:$AG$167=$B44)*(economics!$D$2:$D$167="whr")*economics!$AI$2:$AI$167*(_xlfn.NORM.DIST(AR$3,economics!$AK$2:$AK$167,economics!$AJ$2:$AJ$167,TRUE)-_xlfn.NORM.DIST(AR$30,economics!$AK$2:$AK$167,economics!$AJ$2:$AJ$167,TRUE)))),"")</f>
        <v/>
      </c>
      <c r="AS44">
        <f t="array" ref="AS44">IFERROR((SUMPRODUCT((economics!$AG$2:$AG$167=$B44)*(economics!$D$2:$D$167="whr")*economics!$AI$2:$AI$167*(_xlfn.NORM.DIST(AS$3,economics!$AK$2:$AK$167,economics!$AJ$2:$AJ$167,TRUE)-_xlfn.NORM.DIST(AS$30,economics!$AK$2:$AK$167,economics!$AJ$2:$AJ$167,TRUE))*economics!$AM$2:$AM$167))/(SUMPRODUCT((economics!$AG$2:$AG$167=$B44)*(economics!$D$2:$D$167="whr")*economics!$AI$2:$AI$167*(_xlfn.NORM.DIST(AS$3,economics!$AK$2:$AK$167,economics!$AJ$2:$AJ$167,TRUE)-_xlfn.NORM.DIST(AS$30,economics!$AK$2:$AK$167,economics!$AJ$2:$AJ$167,TRUE)))),"")</f>
        <v/>
      </c>
      <c r="AT44">
        <f t="array" ref="AT44">IFERROR((SUMPRODUCT((economics!$AG$2:$AG$167=$B44)*(economics!$D$2:$D$167="whr")*economics!$AI$2:$AI$167*(_xlfn.NORM.DIST(AT$3,economics!$AK$2:$AK$167,economics!$AJ$2:$AJ$167,TRUE)-_xlfn.NORM.DIST(AT$30,economics!$AK$2:$AK$167,economics!$AJ$2:$AJ$167,TRUE))*economics!$AM$2:$AM$167))/(SUMPRODUCT((economics!$AG$2:$AG$167=$B44)*(economics!$D$2:$D$167="whr")*economics!$AI$2:$AI$167*(_xlfn.NORM.DIST(AT$3,economics!$AK$2:$AK$167,economics!$AJ$2:$AJ$167,TRUE)-_xlfn.NORM.DIST(AT$30,economics!$AK$2:$AK$167,economics!$AJ$2:$AJ$167,TRUE)))),"")</f>
        <v/>
      </c>
      <c r="AU44">
        <f t="array" ref="AU44">IFERROR((SUMPRODUCT((economics!$AG$2:$AG$167=$B44)*(economics!$D$2:$D$167="whr")*economics!$AI$2:$AI$167*(_xlfn.NORM.DIST(AU$3,economics!$AK$2:$AK$167,economics!$AJ$2:$AJ$167,TRUE)-_xlfn.NORM.DIST(AU$30,economics!$AK$2:$AK$167,economics!$AJ$2:$AJ$167,TRUE))*economics!$AM$2:$AM$167))/(SUMPRODUCT((economics!$AG$2:$AG$167=$B44)*(economics!$D$2:$D$167="whr")*economics!$AI$2:$AI$167*(_xlfn.NORM.DIST(AU$3,economics!$AK$2:$AK$167,economics!$AJ$2:$AJ$167,TRUE)-_xlfn.NORM.DIST(AU$30,economics!$AK$2:$AK$167,economics!$AJ$2:$AJ$167,TRUE)))),"")</f>
        <v/>
      </c>
      <c r="AV44">
        <f t="array" ref="AV44">IFERROR((SUMPRODUCT((economics!$AG$2:$AG$167=$B44)*(economics!$D$2:$D$167="whr")*economics!$AI$2:$AI$167*(_xlfn.NORM.DIST(AV$3,economics!$AK$2:$AK$167,economics!$AJ$2:$AJ$167,TRUE)-_xlfn.NORM.DIST(AV$30,economics!$AK$2:$AK$167,economics!$AJ$2:$AJ$167,TRUE))*economics!$AM$2:$AM$167))/(SUMPRODUCT((economics!$AG$2:$AG$167=$B44)*(economics!$D$2:$D$167="whr")*economics!$AI$2:$AI$167*(_xlfn.NORM.DIST(AV$3,economics!$AK$2:$AK$167,economics!$AJ$2:$AJ$167,TRUE)-_xlfn.NORM.DIST(AV$30,economics!$AK$2:$AK$167,economics!$AJ$2:$AJ$167,TRUE)))),"")</f>
        <v/>
      </c>
      <c r="AW44">
        <f t="array" ref="AW44">IFERROR((SUMPRODUCT((economics!$AG$2:$AG$167=$B44)*(economics!$D$2:$D$167="whr")*economics!$AI$2:$AI$167*(_xlfn.NORM.DIST(AW$3,economics!$AK$2:$AK$167,economics!$AJ$2:$AJ$167,TRUE)-_xlfn.NORM.DIST(AW$30,economics!$AK$2:$AK$167,economics!$AJ$2:$AJ$167,TRUE))*economics!$AM$2:$AM$167))/(SUMPRODUCT((economics!$AG$2:$AG$167=$B44)*(economics!$D$2:$D$167="whr")*economics!$AI$2:$AI$167*(_xlfn.NORM.DIST(AW$3,economics!$AK$2:$AK$167,economics!$AJ$2:$AJ$167,TRUE)-_xlfn.NORM.DIST(AW$30,economics!$AK$2:$AK$167,economics!$AJ$2:$AJ$167,TRUE)))),"")</f>
        <v/>
      </c>
      <c r="AX44">
        <f t="array" ref="AX44">IFERROR((SUMPRODUCT((economics!$AG$2:$AG$167=$B44)*(economics!$D$2:$D$167="whr")*economics!$AI$2:$AI$167*(_xlfn.NORM.DIST(AX$3,economics!$AK$2:$AK$167,economics!$AJ$2:$AJ$167,TRUE)-_xlfn.NORM.DIST(AX$30,economics!$AK$2:$AK$167,economics!$AJ$2:$AJ$167,TRUE))*economics!$AM$2:$AM$167))/(SUMPRODUCT((economics!$AG$2:$AG$167=$B44)*(economics!$D$2:$D$167="whr")*economics!$AI$2:$AI$167*(_xlfn.NORM.DIST(AX$3,economics!$AK$2:$AK$167,economics!$AJ$2:$AJ$167,TRUE)-_xlfn.NORM.DIST(AX$30,economics!$AK$2:$AK$167,economics!$AJ$2:$AJ$167,TRUE)))),"")</f>
        <v/>
      </c>
      <c r="AY44">
        <f t="array" ref="AY44">IFERROR((SUMPRODUCT((economics!$AG$2:$AG$167=$B44)*(economics!$D$2:$D$167="whr")*economics!$AI$2:$AI$167*(_xlfn.NORM.DIST(AY$3,economics!$AK$2:$AK$167,economics!$AJ$2:$AJ$167,TRUE)-_xlfn.NORM.DIST(AY$30,economics!$AK$2:$AK$167,economics!$AJ$2:$AJ$167,TRUE))*economics!$AM$2:$AM$167))/(SUMPRODUCT((economics!$AG$2:$AG$167=$B44)*(economics!$D$2:$D$167="whr")*economics!$AI$2:$AI$167*(_xlfn.NORM.DIST(AY$3,economics!$AK$2:$AK$167,economics!$AJ$2:$AJ$167,TRUE)-_xlfn.NORM.DIST(AY$30,economics!$AK$2:$AK$167,economics!$AJ$2:$AJ$167,TRUE)))),"")</f>
        <v/>
      </c>
      <c r="AZ44">
        <f t="array" ref="AZ44">IFERROR((SUMPRODUCT((economics!$AG$2:$AG$167=$B44)*(economics!$D$2:$D$167="whr")*economics!$AI$2:$AI$167*(_xlfn.NORM.DIST(AZ$3,economics!$AK$2:$AK$167,economics!$AJ$2:$AJ$167,TRUE)-_xlfn.NORM.DIST(AZ$30,economics!$AK$2:$AK$167,economics!$AJ$2:$AJ$167,TRUE))*economics!$AM$2:$AM$167))/(SUMPRODUCT((economics!$AG$2:$AG$167=$B44)*(economics!$D$2:$D$167="whr")*economics!$AI$2:$AI$167*(_xlfn.NORM.DIST(AZ$3,economics!$AK$2:$AK$167,economics!$AJ$2:$AJ$167,TRUE)-_xlfn.NORM.DIST(AZ$30,economics!$AK$2:$AK$167,economics!$AJ$2:$AJ$167,TRUE)))),"")</f>
        <v/>
      </c>
      <c r="BA44">
        <f t="array" ref="BA44">IFERROR((SUMPRODUCT((economics!$AG$2:$AG$167=$B44)*(economics!$D$2:$D$167="whr")*economics!$AI$2:$AI$167*(_xlfn.NORM.DIST(BA$3,economics!$AK$2:$AK$167,economics!$AJ$2:$AJ$167,TRUE)-_xlfn.NORM.DIST(BA$30,economics!$AK$2:$AK$167,economics!$AJ$2:$AJ$167,TRUE))*economics!$AM$2:$AM$167))/(SUMPRODUCT((economics!$AG$2:$AG$167=$B44)*(economics!$D$2:$D$167="whr")*economics!$AI$2:$AI$167*(_xlfn.NORM.DIST(BA$3,economics!$AK$2:$AK$167,economics!$AJ$2:$AJ$167,TRUE)-_xlfn.NORM.DIST(BA$30,economics!$AK$2:$AK$167,economics!$AJ$2:$AJ$167,TRUE)))),"")</f>
        <v/>
      </c>
      <c r="BB44">
        <f t="array" ref="BB44">IFERROR((SUMPRODUCT((economics!$AG$2:$AG$167=$B44)*(economics!$D$2:$D$167="whr")*economics!$AI$2:$AI$167*(_xlfn.NORM.DIST(BB$3,economics!$AK$2:$AK$167,economics!$AJ$2:$AJ$167,TRUE)-_xlfn.NORM.DIST(BB$30,economics!$AK$2:$AK$167,economics!$AJ$2:$AJ$167,TRUE))*economics!$AM$2:$AM$167))/(SUMPRODUCT((economics!$AG$2:$AG$167=$B44)*(economics!$D$2:$D$167="whr")*economics!$AI$2:$AI$167*(_xlfn.NORM.DIST(BB$3,economics!$AK$2:$AK$167,economics!$AJ$2:$AJ$167,TRUE)-_xlfn.NORM.DIST(BB$30,economics!$AK$2:$AK$167,economics!$AJ$2:$AJ$167,TRUE)))),"")</f>
        <v/>
      </c>
      <c r="BC44">
        <f t="array" ref="BC44">IFERROR((SUMPRODUCT((economics!$AG$2:$AG$167=$B44)*(economics!$D$2:$D$167="whr")*economics!$AI$2:$AI$167*(_xlfn.NORM.DIST(BC$3,economics!$AK$2:$AK$167,economics!$AJ$2:$AJ$167,TRUE)-_xlfn.NORM.DIST(BC$30,economics!$AK$2:$AK$167,economics!$AJ$2:$AJ$167,TRUE))*economics!$AM$2:$AM$167))/(SUMPRODUCT((economics!$AG$2:$AG$167=$B44)*(economics!$D$2:$D$167="whr")*economics!$AI$2:$AI$167*(_xlfn.NORM.DIST(BC$3,economics!$AK$2:$AK$167,economics!$AJ$2:$AJ$167,TRUE)-_xlfn.NORM.DIST(BC$30,economics!$AK$2:$AK$167,economics!$AJ$2:$AJ$167,TRUE)))),"")</f>
        <v/>
      </c>
      <c r="BD44">
        <f t="array" ref="BD44">IFERROR((SUMPRODUCT((economics!$AG$2:$AG$167=$B44)*(economics!$D$2:$D$167="whr")*economics!$AI$2:$AI$167*(_xlfn.NORM.DIST(BD$3,economics!$AK$2:$AK$167,economics!$AJ$2:$AJ$167,TRUE)-_xlfn.NORM.DIST(BD$30,economics!$AK$2:$AK$167,economics!$AJ$2:$AJ$167,TRUE))*economics!$AM$2:$AM$167))/(SUMPRODUCT((economics!$AG$2:$AG$167=$B44)*(economics!$D$2:$D$167="whr")*economics!$AI$2:$AI$167*(_xlfn.NORM.DIST(BD$3,economics!$AK$2:$AK$167,economics!$AJ$2:$AJ$167,TRUE)-_xlfn.NORM.DIST(BD$30,economics!$AK$2:$AK$167,economics!$AJ$2:$AJ$167,TRUE)))),"")</f>
        <v/>
      </c>
      <c r="BE44">
        <f t="array" ref="BE44">IFERROR((SUMPRODUCT((economics!$AG$2:$AG$167=$B44)*(economics!$D$2:$D$167="whr")*economics!$AI$2:$AI$167*(_xlfn.NORM.DIST(BE$3,economics!$AK$2:$AK$167,economics!$AJ$2:$AJ$167,TRUE)-_xlfn.NORM.DIST(BE$30,economics!$AK$2:$AK$167,economics!$AJ$2:$AJ$167,TRUE))*economics!$AM$2:$AM$167))/(SUMPRODUCT((economics!$AG$2:$AG$167=$B44)*(economics!$D$2:$D$167="whr")*economics!$AI$2:$AI$167*(_xlfn.NORM.DIST(BE$3,economics!$AK$2:$AK$167,economics!$AJ$2:$AJ$167,TRUE)-_xlfn.NORM.DIST(BE$30,economics!$AK$2:$AK$167,economics!$AJ$2:$AJ$167,TRUE)))),"")</f>
        <v/>
      </c>
      <c r="BF44">
        <f t="array" ref="BF44">IFERROR((SUMPRODUCT((economics!$AG$2:$AG$167=$B44)*(economics!$D$2:$D$167="whr")*economics!$AI$2:$AI$167*(_xlfn.NORM.DIST(BF$3,economics!$AK$2:$AK$167,economics!$AJ$2:$AJ$167,TRUE)-_xlfn.NORM.DIST(BF$30,economics!$AK$2:$AK$167,economics!$AJ$2:$AJ$167,TRUE))*economics!$AM$2:$AM$167))/(SUMPRODUCT((economics!$AG$2:$AG$167=$B44)*(economics!$D$2:$D$167="whr")*economics!$AI$2:$AI$167*(_xlfn.NORM.DIST(BF$3,economics!$AK$2:$AK$167,economics!$AJ$2:$AJ$167,TRUE)-_xlfn.NORM.DIST(BF$30,economics!$AK$2:$AK$167,economics!$AJ$2:$AJ$167,TRUE)))),"")</f>
        <v/>
      </c>
      <c r="BG44">
        <f t="array" ref="BG44">IFERROR((SUMPRODUCT((economics!$AG$2:$AG$167=$B44)*(economics!$D$2:$D$167="whr")*economics!$AI$2:$AI$167*(_xlfn.NORM.DIST(BG$3,economics!$AK$2:$AK$167,economics!$AJ$2:$AJ$167,TRUE)-_xlfn.NORM.DIST(BG$30,economics!$AK$2:$AK$167,economics!$AJ$2:$AJ$167,TRUE))*economics!$AM$2:$AM$167))/(SUMPRODUCT((economics!$AG$2:$AG$167=$B44)*(economics!$D$2:$D$167="whr")*economics!$AI$2:$AI$167*(_xlfn.NORM.DIST(BG$3,economics!$AK$2:$AK$167,economics!$AJ$2:$AJ$167,TRUE)-_xlfn.NORM.DIST(BG$30,economics!$AK$2:$AK$167,economics!$AJ$2:$AJ$167,TRUE)))),"")</f>
        <v/>
      </c>
      <c r="BH44">
        <f t="array" ref="BH44">IFERROR((SUMPRODUCT((economics!$AG$2:$AG$167=$B44)*(economics!$D$2:$D$167="whr")*economics!$AI$2:$AI$167*(_xlfn.NORM.DIST(BH$3,economics!$AK$2:$AK$167,economics!$AJ$2:$AJ$167,TRUE)-_xlfn.NORM.DIST(BH$30,economics!$AK$2:$AK$167,economics!$AJ$2:$AJ$167,TRUE))*economics!$AM$2:$AM$167))/(SUMPRODUCT((economics!$AG$2:$AG$167=$B44)*(economics!$D$2:$D$167="whr")*economics!$AI$2:$AI$167*(_xlfn.NORM.DIST(BH$3,economics!$AK$2:$AK$167,economics!$AJ$2:$AJ$167,TRUE)-_xlfn.NORM.DIST(BH$30,economics!$AK$2:$AK$167,economics!$AJ$2:$AJ$167,TRUE)))),"")</f>
        <v/>
      </c>
      <c r="BI44">
        <f t="array" ref="BI44">IFERROR((SUMPRODUCT((economics!$AG$2:$AG$167=$B44)*(economics!$D$2:$D$167="whr")*economics!$AI$2:$AI$167*(_xlfn.NORM.DIST(BI$3,economics!$AK$2:$AK$167,economics!$AJ$2:$AJ$167,TRUE)-_xlfn.NORM.DIST(BI$30,economics!$AK$2:$AK$167,economics!$AJ$2:$AJ$167,TRUE))*economics!$AM$2:$AM$167))/(SUMPRODUCT((economics!$AG$2:$AG$167=$B44)*(economics!$D$2:$D$167="whr")*economics!$AI$2:$AI$167*(_xlfn.NORM.DIST(BI$3,economics!$AK$2:$AK$167,economics!$AJ$2:$AJ$167,TRUE)-_xlfn.NORM.DIST(BI$30,economics!$AK$2:$AK$167,economics!$AJ$2:$AJ$167,TRUE)))),"")</f>
        <v/>
      </c>
      <c r="BJ44">
        <f t="array" ref="BJ44">IFERROR((SUMPRODUCT((economics!$AG$2:$AG$167=$B44)*(economics!$D$2:$D$167="whr")*economics!$AI$2:$AI$167*(_xlfn.NORM.DIST(BJ$3,economics!$AK$2:$AK$167,economics!$AJ$2:$AJ$167,TRUE)-_xlfn.NORM.DIST(BJ$30,economics!$AK$2:$AK$167,economics!$AJ$2:$AJ$167,TRUE))*economics!$AM$2:$AM$167))/(SUMPRODUCT((economics!$AG$2:$AG$167=$B44)*(economics!$D$2:$D$167="whr")*economics!$AI$2:$AI$167*(_xlfn.NORM.DIST(BJ$3,economics!$AK$2:$AK$167,economics!$AJ$2:$AJ$167,TRUE)-_xlfn.NORM.DIST(BJ$30,economics!$AK$2:$AK$167,economics!$AJ$2:$AJ$167,TRUE)))),"")</f>
        <v/>
      </c>
      <c r="BK44">
        <f t="array" ref="BK44">IFERROR((SUMPRODUCT((economics!$AG$2:$AG$167=$B44)*(economics!$D$2:$D$167="whr")*economics!$AI$2:$AI$167*(_xlfn.NORM.DIST(BK$3,economics!$AK$2:$AK$167,economics!$AJ$2:$AJ$167,TRUE)-_xlfn.NORM.DIST(BK$30,economics!$AK$2:$AK$167,economics!$AJ$2:$AJ$167,TRUE))*economics!$AM$2:$AM$167))/(SUMPRODUCT((economics!$AG$2:$AG$167=$B44)*(economics!$D$2:$D$167="whr")*economics!$AI$2:$AI$167*(_xlfn.NORM.DIST(BK$3,economics!$AK$2:$AK$167,economics!$AJ$2:$AJ$167,TRUE)-_xlfn.NORM.DIST(BK$30,economics!$AK$2:$AK$167,economics!$AJ$2:$AJ$167,TRUE)))),"")</f>
        <v/>
      </c>
      <c r="BL44">
        <f t="array" ref="BL44">IFERROR((SUMPRODUCT((economics!$AG$2:$AG$167=$B44)*(economics!$D$2:$D$167="whr")*economics!$AI$2:$AI$167*(_xlfn.NORM.DIST(BL$3,economics!$AK$2:$AK$167,economics!$AJ$2:$AJ$167,TRUE)-_xlfn.NORM.DIST(BL$30,economics!$AK$2:$AK$167,economics!$AJ$2:$AJ$167,TRUE))*economics!$AM$2:$AM$167))/(SUMPRODUCT((economics!$AG$2:$AG$167=$B44)*(economics!$D$2:$D$167="whr")*economics!$AI$2:$AI$167*(_xlfn.NORM.DIST(BL$3,economics!$AK$2:$AK$167,economics!$AJ$2:$AJ$167,TRUE)-_xlfn.NORM.DIST(BL$30,economics!$AK$2:$AK$167,economics!$AJ$2:$AJ$167,TRUE)))),"")</f>
        <v/>
      </c>
      <c r="BM44">
        <f t="array" ref="BM44">IFERROR((SUMPRODUCT((economics!$AG$2:$AG$167=$B44)*(economics!$D$2:$D$167="whr")*economics!$AI$2:$AI$167*(_xlfn.NORM.DIST(BM$3,economics!$AK$2:$AK$167,economics!$AJ$2:$AJ$167,TRUE)-_xlfn.NORM.DIST(BM$30,economics!$AK$2:$AK$167,economics!$AJ$2:$AJ$167,TRUE))*economics!$AM$2:$AM$167))/(SUMPRODUCT((economics!$AG$2:$AG$167=$B44)*(economics!$D$2:$D$167="whr")*economics!$AI$2:$AI$167*(_xlfn.NORM.DIST(BM$3,economics!$AK$2:$AK$167,economics!$AJ$2:$AJ$167,TRUE)-_xlfn.NORM.DIST(BM$30,economics!$AK$2:$AK$167,economics!$AJ$2:$AJ$167,TRUE)))),"")</f>
        <v/>
      </c>
      <c r="BN44">
        <f t="array" ref="BN44">IFERROR((SUMPRODUCT((economics!$AG$2:$AG$167=$B44)*(economics!$D$2:$D$167="whr")*economics!$AI$2:$AI$167*(_xlfn.NORM.DIST(BN$3,economics!$AK$2:$AK$167,economics!$AJ$2:$AJ$167,TRUE)-_xlfn.NORM.DIST(BN$30,economics!$AK$2:$AK$167,economics!$AJ$2:$AJ$167,TRUE))*economics!$AM$2:$AM$167))/(SUMPRODUCT((economics!$AG$2:$AG$167=$B44)*(economics!$D$2:$D$167="whr")*economics!$AI$2:$AI$167*(_xlfn.NORM.DIST(BN$3,economics!$AK$2:$AK$167,economics!$AJ$2:$AJ$167,TRUE)-_xlfn.NORM.DIST(BN$30,economics!$AK$2:$AK$167,economics!$AJ$2:$AJ$167,TRUE)))),"")</f>
        <v/>
      </c>
      <c r="BO44">
        <f t="array" ref="BO44">IFERROR((SUMPRODUCT((economics!$AG$2:$AG$167=$B44)*(economics!$D$2:$D$167="whr")*economics!$AI$2:$AI$167*(_xlfn.NORM.DIST(BO$3,economics!$AK$2:$AK$167,economics!$AJ$2:$AJ$167,TRUE)-_xlfn.NORM.DIST(BO$30,economics!$AK$2:$AK$167,economics!$AJ$2:$AJ$167,TRUE))*economics!$AM$2:$AM$167))/(SUMPRODUCT((economics!$AG$2:$AG$167=$B44)*(economics!$D$2:$D$167="whr")*economics!$AI$2:$AI$167*(_xlfn.NORM.DIST(BO$3,economics!$AK$2:$AK$167,economics!$AJ$2:$AJ$167,TRUE)-_xlfn.NORM.DIST(BO$30,economics!$AK$2:$AK$167,economics!$AJ$2:$AJ$167,TRUE)))),"")</f>
        <v/>
      </c>
      <c r="BP44">
        <f t="array" ref="BP44">IFERROR((SUMPRODUCT((economics!$AG$2:$AG$167=$B44)*(economics!$D$2:$D$167="whr")*economics!$AI$2:$AI$167*(_xlfn.NORM.DIST(BP$3,economics!$AK$2:$AK$167,economics!$AJ$2:$AJ$167,TRUE)-_xlfn.NORM.DIST(BP$30,economics!$AK$2:$AK$167,economics!$AJ$2:$AJ$167,TRUE))*economics!$AM$2:$AM$167))/(SUMPRODUCT((economics!$AG$2:$AG$167=$B44)*(economics!$D$2:$D$167="whr")*economics!$AI$2:$AI$167*(_xlfn.NORM.DIST(BP$3,economics!$AK$2:$AK$167,economics!$AJ$2:$AJ$167,TRUE)-_xlfn.NORM.DIST(BP$30,economics!$AK$2:$AK$167,economics!$AJ$2:$AJ$167,TRUE)))),"")</f>
        <v/>
      </c>
      <c r="BQ44">
        <f t="array" ref="BQ44">IFERROR((SUMPRODUCT((economics!$AG$2:$AG$167=$B44)*(economics!$D$2:$D$167="whr")*economics!$AI$2:$AI$167*(_xlfn.NORM.DIST(BQ$3,economics!$AK$2:$AK$167,economics!$AJ$2:$AJ$167,TRUE)-_xlfn.NORM.DIST(BQ$30,economics!$AK$2:$AK$167,economics!$AJ$2:$AJ$167,TRUE))*economics!$AM$2:$AM$167))/(SUMPRODUCT((economics!$AG$2:$AG$167=$B44)*(economics!$D$2:$D$167="whr")*economics!$AI$2:$AI$167*(_xlfn.NORM.DIST(BQ$3,economics!$AK$2:$AK$167,economics!$AJ$2:$AJ$167,TRUE)-_xlfn.NORM.DIST(BQ$30,economics!$AK$2:$AK$167,economics!$AJ$2:$AJ$167,TRUE)))),"")</f>
        <v/>
      </c>
      <c r="BR44">
        <f t="array" ref="BR44">IFERROR((SUMPRODUCT((economics!$AG$2:$AG$167=$B44)*(economics!$D$2:$D$167="whr")*economics!$AI$2:$AI$167*(_xlfn.NORM.DIST(BR$3,economics!$AK$2:$AK$167,economics!$AJ$2:$AJ$167,TRUE)-_xlfn.NORM.DIST(BR$30,economics!$AK$2:$AK$167,economics!$AJ$2:$AJ$167,TRUE))*economics!$AM$2:$AM$167))/(SUMPRODUCT((economics!$AG$2:$AG$167=$B44)*(economics!$D$2:$D$167="whr")*economics!$AI$2:$AI$167*(_xlfn.NORM.DIST(BR$3,economics!$AK$2:$AK$167,economics!$AJ$2:$AJ$167,TRUE)-_xlfn.NORM.DIST(BR$30,economics!$AK$2:$AK$167,economics!$AJ$2:$AJ$167,TRUE)))),"")</f>
        <v/>
      </c>
      <c r="BS44">
        <f t="array" ref="BS44">IFERROR((SUMPRODUCT((economics!$AG$2:$AG$167=$B44)*(economics!$D$2:$D$167="whr")*economics!$AI$2:$AI$167*(_xlfn.NORM.DIST(BS$3,economics!$AK$2:$AK$167,economics!$AJ$2:$AJ$167,TRUE)-_xlfn.NORM.DIST(BS$30,economics!$AK$2:$AK$167,economics!$AJ$2:$AJ$167,TRUE))*economics!$AM$2:$AM$167))/(SUMPRODUCT((economics!$AG$2:$AG$167=$B44)*(economics!$D$2:$D$167="whr")*economics!$AI$2:$AI$167*(_xlfn.NORM.DIST(BS$3,economics!$AK$2:$AK$167,economics!$AJ$2:$AJ$167,TRUE)-_xlfn.NORM.DIST(BS$30,economics!$AK$2:$AK$167,economics!$AJ$2:$AJ$167,TRUE)))),"")</f>
        <v/>
      </c>
      <c r="BT44">
        <f t="array" ref="BT44">IFERROR((SUMPRODUCT((economics!$AG$2:$AG$167=$B44)*(economics!$D$2:$D$167="whr")*economics!$AI$2:$AI$167*(_xlfn.NORM.DIST(BT$3,economics!$AK$2:$AK$167,economics!$AJ$2:$AJ$167,TRUE)-_xlfn.NORM.DIST(BT$30,economics!$AK$2:$AK$167,economics!$AJ$2:$AJ$167,TRUE))*economics!$AM$2:$AM$167))/(SUMPRODUCT((economics!$AG$2:$AG$167=$B44)*(economics!$D$2:$D$167="whr")*economics!$AI$2:$AI$167*(_xlfn.NORM.DIST(BT$3,economics!$AK$2:$AK$167,economics!$AJ$2:$AJ$167,TRUE)-_xlfn.NORM.DIST(BT$30,economics!$AK$2:$AK$167,economics!$AJ$2:$AJ$167,TRUE)))),"")</f>
        <v/>
      </c>
      <c r="BU44">
        <f t="array" ref="BU44">IFERROR((SUMPRODUCT((economics!$AG$2:$AG$167=$B44)*(economics!$D$2:$D$167="whr")*economics!$AI$2:$AI$167*(_xlfn.NORM.DIST(BU$3,economics!$AK$2:$AK$167,economics!$AJ$2:$AJ$167,TRUE)-_xlfn.NORM.DIST(BU$30,economics!$AK$2:$AK$167,economics!$AJ$2:$AJ$167,TRUE))*economics!$AM$2:$AM$167))/(SUMPRODUCT((economics!$AG$2:$AG$167=$B44)*(economics!$D$2:$D$167="whr")*economics!$AI$2:$AI$167*(_xlfn.NORM.DIST(BU$3,economics!$AK$2:$AK$167,economics!$AJ$2:$AJ$167,TRUE)-_xlfn.NORM.DIST(BU$30,economics!$AK$2:$AK$167,economics!$AJ$2:$AJ$167,TRUE)))),"")</f>
        <v/>
      </c>
      <c r="BV44">
        <f t="array" ref="BV44">IFERROR((SUMPRODUCT((economics!$AG$2:$AG$167=$B44)*(economics!$D$2:$D$167="whr")*economics!$AI$2:$AI$167*(_xlfn.NORM.DIST(BV$3,economics!$AK$2:$AK$167,economics!$AJ$2:$AJ$167,TRUE)-_xlfn.NORM.DIST(BV$30,economics!$AK$2:$AK$167,economics!$AJ$2:$AJ$167,TRUE))*economics!$AM$2:$AM$167))/(SUMPRODUCT((economics!$AG$2:$AG$167=$B44)*(economics!$D$2:$D$167="whr")*economics!$AI$2:$AI$167*(_xlfn.NORM.DIST(BV$3,economics!$AK$2:$AK$167,economics!$AJ$2:$AJ$167,TRUE)-_xlfn.NORM.DIST(BV$30,economics!$AK$2:$AK$167,economics!$AJ$2:$AJ$167,TRUE)))),"")</f>
        <v/>
      </c>
      <c r="BW44">
        <f t="array" ref="BW44">IFERROR((SUMPRODUCT((economics!$AG$2:$AG$167=$B44)*(economics!$D$2:$D$167="whr")*economics!$AI$2:$AI$167*(_xlfn.NORM.DIST(BW$3,economics!$AK$2:$AK$167,economics!$AJ$2:$AJ$167,TRUE)-_xlfn.NORM.DIST(BW$30,economics!$AK$2:$AK$167,economics!$AJ$2:$AJ$167,TRUE))*economics!$AM$2:$AM$167))/(SUMPRODUCT((economics!$AG$2:$AG$167=$B44)*(economics!$D$2:$D$167="whr")*economics!$AI$2:$AI$167*(_xlfn.NORM.DIST(BW$3,economics!$AK$2:$AK$167,economics!$AJ$2:$AJ$167,TRUE)-_xlfn.NORM.DIST(BW$30,economics!$AK$2:$AK$167,economics!$AJ$2:$AJ$167,TRUE)))),"")</f>
        <v/>
      </c>
      <c r="BX44">
        <f t="array" ref="BX44">IFERROR((SUMPRODUCT((economics!$AG$2:$AG$167=$B44)*(economics!$D$2:$D$167="whr")*economics!$AI$2:$AI$167*(_xlfn.NORM.DIST(BX$3,economics!$AK$2:$AK$167,economics!$AJ$2:$AJ$167,TRUE)-_xlfn.NORM.DIST(BX$30,economics!$AK$2:$AK$167,economics!$AJ$2:$AJ$167,TRUE))*economics!$AM$2:$AM$167))/(SUMPRODUCT((economics!$AG$2:$AG$167=$B44)*(economics!$D$2:$D$167="whr")*economics!$AI$2:$AI$167*(_xlfn.NORM.DIST(BX$3,economics!$AK$2:$AK$167,economics!$AJ$2:$AJ$167,TRUE)-_xlfn.NORM.DIST(BX$30,economics!$AK$2:$AK$167,economics!$AJ$2:$AJ$167,TRUE)))),"")</f>
        <v/>
      </c>
      <c r="BY44">
        <f t="array" ref="BY44">IFERROR((SUMPRODUCT((economics!$AG$2:$AG$167=$B44)*(economics!$D$2:$D$167="whr")*economics!$AI$2:$AI$167*(_xlfn.NORM.DIST(BY$3,economics!$AK$2:$AK$167,economics!$AJ$2:$AJ$167,TRUE)-_xlfn.NORM.DIST(BY$30,economics!$AK$2:$AK$167,economics!$AJ$2:$AJ$167,TRUE))*economics!$AM$2:$AM$167))/(SUMPRODUCT((economics!$AG$2:$AG$167=$B44)*(economics!$D$2:$D$167="whr")*economics!$AI$2:$AI$167*(_xlfn.NORM.DIST(BY$3,economics!$AK$2:$AK$167,economics!$AJ$2:$AJ$167,TRUE)-_xlfn.NORM.DIST(BY$30,economics!$AK$2:$AK$167,economics!$AJ$2:$AJ$167,TRUE)))),"")</f>
        <v/>
      </c>
      <c r="BZ44">
        <f t="array" ref="BZ44">IFERROR((SUMPRODUCT((economics!$AG$2:$AG$167=$B44)*(economics!$D$2:$D$167="whr")*economics!$AI$2:$AI$167*(_xlfn.NORM.DIST(BZ$3,economics!$AK$2:$AK$167,economics!$AJ$2:$AJ$167,TRUE)-_xlfn.NORM.DIST(BZ$30,economics!$AK$2:$AK$167,economics!$AJ$2:$AJ$167,TRUE))*economics!$AM$2:$AM$167))/(SUMPRODUCT((economics!$AG$2:$AG$167=$B44)*(economics!$D$2:$D$167="whr")*economics!$AI$2:$AI$167*(_xlfn.NORM.DIST(BZ$3,economics!$AK$2:$AK$167,economics!$AJ$2:$AJ$167,TRUE)-_xlfn.NORM.DIST(BZ$30,economics!$AK$2:$AK$167,economics!$AJ$2:$AJ$167,TRUE)))),"")</f>
        <v/>
      </c>
      <c r="CA44">
        <f t="array" ref="CA44">IFERROR((SUMPRODUCT((economics!$AG$2:$AG$167=$B44)*(economics!$D$2:$D$167="whr")*economics!$AI$2:$AI$167*(_xlfn.NORM.DIST(CA$3,economics!$AK$2:$AK$167,economics!$AJ$2:$AJ$167,TRUE)-_xlfn.NORM.DIST(CA$30,economics!$AK$2:$AK$167,economics!$AJ$2:$AJ$167,TRUE))*economics!$AM$2:$AM$167))/(SUMPRODUCT((economics!$AG$2:$AG$167=$B44)*(economics!$D$2:$D$167="whr")*economics!$AI$2:$AI$167*(_xlfn.NORM.DIST(CA$3,economics!$AK$2:$AK$167,economics!$AJ$2:$AJ$167,TRUE)-_xlfn.NORM.DIST(CA$30,economics!$AK$2:$AK$167,economics!$AJ$2:$AJ$167,TRUE)))),"")</f>
        <v/>
      </c>
      <c r="CB44">
        <f t="array" ref="CB44">IFERROR((SUMPRODUCT((economics!$AG$2:$AG$167=$B44)*(economics!$D$2:$D$167="whr")*economics!$AI$2:$AI$167*(_xlfn.NORM.DIST(CB$3,economics!$AK$2:$AK$167,economics!$AJ$2:$AJ$167,TRUE)-_xlfn.NORM.DIST(CB$30,economics!$AK$2:$AK$167,economics!$AJ$2:$AJ$167,TRUE))*economics!$AM$2:$AM$167))/(SUMPRODUCT((economics!$AG$2:$AG$167=$B44)*(economics!$D$2:$D$167="whr")*economics!$AI$2:$AI$167*(_xlfn.NORM.DIST(CB$3,economics!$AK$2:$AK$167,economics!$AJ$2:$AJ$167,TRUE)-_xlfn.NORM.DIST(CB$30,economics!$AK$2:$AK$167,economics!$AJ$2:$AJ$167,TRUE)))),"")</f>
        <v/>
      </c>
      <c r="CC44">
        <f t="array" ref="CC44">IFERROR((SUMPRODUCT((economics!$AG$2:$AG$167=$B44)*(economics!$D$2:$D$167="whr")*economics!$AI$2:$AI$167*(_xlfn.NORM.DIST(CC$3,economics!$AK$2:$AK$167,economics!$AJ$2:$AJ$167,TRUE)-_xlfn.NORM.DIST(CC$30,economics!$AK$2:$AK$167,economics!$AJ$2:$AJ$167,TRUE))*economics!$AM$2:$AM$167))/(SUMPRODUCT((economics!$AG$2:$AG$167=$B44)*(economics!$D$2:$D$167="whr")*economics!$AI$2:$AI$167*(_xlfn.NORM.DIST(CC$3,economics!$AK$2:$AK$167,economics!$AJ$2:$AJ$167,TRUE)-_xlfn.NORM.DIST(CC$30,economics!$AK$2:$AK$167,economics!$AJ$2:$AJ$167,TRUE)))),"")</f>
        <v/>
      </c>
      <c r="CD44">
        <f t="array" ref="CD44">IFERROR((SUMPRODUCT((economics!$AG$2:$AG$167=$B44)*(economics!$D$2:$D$167="whr")*economics!$AI$2:$AI$167*(_xlfn.NORM.DIST(CD$3,economics!$AK$2:$AK$167,economics!$AJ$2:$AJ$167,TRUE)-_xlfn.NORM.DIST(CD$30,economics!$AK$2:$AK$167,economics!$AJ$2:$AJ$167,TRUE))*economics!$AM$2:$AM$167))/(SUMPRODUCT((economics!$AG$2:$AG$167=$B44)*(economics!$D$2:$D$167="whr")*economics!$AI$2:$AI$167*(_xlfn.NORM.DIST(CD$3,economics!$AK$2:$AK$167,economics!$AJ$2:$AJ$167,TRUE)-_xlfn.NORM.DIST(CD$30,economics!$AK$2:$AK$167,economics!$AJ$2:$AJ$167,TRUE)))),"")</f>
        <v/>
      </c>
      <c r="CE44">
        <f t="array" ref="CE44">IFERROR((SUMPRODUCT((economics!$AG$2:$AG$167=$B44)*(economics!$D$2:$D$167="whr")*economics!$AI$2:$AI$167*(_xlfn.NORM.DIST(CE$3,economics!$AK$2:$AK$167,economics!$AJ$2:$AJ$167,TRUE)-_xlfn.NORM.DIST(CE$30,economics!$AK$2:$AK$167,economics!$AJ$2:$AJ$167,TRUE))*economics!$AM$2:$AM$167))/(SUMPRODUCT((economics!$AG$2:$AG$167=$B44)*(economics!$D$2:$D$167="whr")*economics!$AI$2:$AI$167*(_xlfn.NORM.DIST(CE$3,economics!$AK$2:$AK$167,economics!$AJ$2:$AJ$167,TRUE)-_xlfn.NORM.DIST(CE$30,economics!$AK$2:$AK$167,economics!$AJ$2:$AJ$167,TRUE)))),"")</f>
        <v/>
      </c>
      <c r="CF44">
        <f t="array" ref="CF44">IFERROR((SUMPRODUCT((economics!$AG$2:$AG$167=$B44)*(economics!$D$2:$D$167="whr")*economics!$AI$2:$AI$167*(_xlfn.NORM.DIST(CF$3,economics!$AK$2:$AK$167,economics!$AJ$2:$AJ$167,TRUE)-_xlfn.NORM.DIST(CF$30,economics!$AK$2:$AK$167,economics!$AJ$2:$AJ$167,TRUE))*economics!$AM$2:$AM$167))/(SUMPRODUCT((economics!$AG$2:$AG$167=$B44)*(economics!$D$2:$D$167="whr")*economics!$AI$2:$AI$167*(_xlfn.NORM.DIST(CF$3,economics!$AK$2:$AK$167,economics!$AJ$2:$AJ$167,TRUE)-_xlfn.NORM.DIST(CF$30,economics!$AK$2:$AK$167,economics!$AJ$2:$AJ$167,TRUE)))),"")</f>
        <v/>
      </c>
      <c r="CG44">
        <f t="array" ref="CG44">IFERROR((SUMPRODUCT((economics!$AG$2:$AG$167=$B44)*(economics!$D$2:$D$167="whr")*economics!$AI$2:$AI$167*(_xlfn.NORM.DIST(CG$3,economics!$AK$2:$AK$167,economics!$AJ$2:$AJ$167,TRUE)-_xlfn.NORM.DIST(CG$30,economics!$AK$2:$AK$167,economics!$AJ$2:$AJ$167,TRUE))*economics!$AM$2:$AM$167))/(SUMPRODUCT((economics!$AG$2:$AG$167=$B44)*(economics!$D$2:$D$167="whr")*economics!$AI$2:$AI$167*(_xlfn.NORM.DIST(CG$3,economics!$AK$2:$AK$167,economics!$AJ$2:$AJ$167,TRUE)-_xlfn.NORM.DIST(CG$30,economics!$AK$2:$AK$167,economics!$AJ$2:$AJ$167,TRUE)))),"")</f>
        <v/>
      </c>
      <c r="CH44">
        <f t="array" ref="CH44">IFERROR((SUMPRODUCT((economics!$AG$2:$AG$167=$B44)*(economics!$D$2:$D$167="whr")*economics!$AI$2:$AI$167*(_xlfn.NORM.DIST(CH$3,economics!$AK$2:$AK$167,economics!$AJ$2:$AJ$167,TRUE)-_xlfn.NORM.DIST(CH$30,economics!$AK$2:$AK$167,economics!$AJ$2:$AJ$167,TRUE))*economics!$AM$2:$AM$167))/(SUMPRODUCT((economics!$AG$2:$AG$167=$B44)*(economics!$D$2:$D$167="whr")*economics!$AI$2:$AI$167*(_xlfn.NORM.DIST(CH$3,economics!$AK$2:$AK$167,economics!$AJ$2:$AJ$167,TRUE)-_xlfn.NORM.DIST(CH$30,economics!$AK$2:$AK$167,economics!$AJ$2:$AJ$167,TRUE)))),"")</f>
        <v/>
      </c>
    </row>
    <row r="45">
      <c r="A45">
        <f>A16</f>
        <v/>
      </c>
      <c r="B45">
        <f>B16</f>
        <v/>
      </c>
      <c r="E45">
        <f t="array" ref="E45">IFERROR((SUMPRODUCT((economics!$AG$2:$AG$167=$B45)*(economics!$D$2:$D$167="whr")*economics!$AI$2:$AI$167*(_xlfn.NORM.DIST(E$3,economics!$AK$2:$AK$167,economics!$AJ$2:$AJ$167,TRUE)-_xlfn.NORM.DIST(E$30,economics!$AK$2:$AK$167,economics!$AJ$2:$AJ$167,TRUE))*economics!$AM$2:$AM$167))/(SUMPRODUCT((economics!$AG$2:$AG$167=$B45)*(economics!$D$2:$D$167="whr")*economics!$AI$2:$AI$167*(_xlfn.NORM.DIST(E$3,economics!$AK$2:$AK$167,economics!$AJ$2:$AJ$167,TRUE)-_xlfn.NORM.DIST(E$30,economics!$AK$2:$AK$167,economics!$AJ$2:$AJ$167,TRUE)))),"")</f>
        <v/>
      </c>
      <c r="F45">
        <f t="array" ref="F45">IFERROR((SUMPRODUCT((economics!$AG$2:$AG$167=$B45)*(economics!$D$2:$D$167="whr")*economics!$AI$2:$AI$167*(_xlfn.NORM.DIST(F$3,economics!$AK$2:$AK$167,economics!$AJ$2:$AJ$167,TRUE)-_xlfn.NORM.DIST(F$30,economics!$AK$2:$AK$167,economics!$AJ$2:$AJ$167,TRUE))*economics!$AM$2:$AM$167))/(SUMPRODUCT((economics!$AG$2:$AG$167=$B45)*(economics!$D$2:$D$167="whr")*economics!$AI$2:$AI$167*(_xlfn.NORM.DIST(F$3,economics!$AK$2:$AK$167,economics!$AJ$2:$AJ$167,TRUE)-_xlfn.NORM.DIST(F$30,economics!$AK$2:$AK$167,economics!$AJ$2:$AJ$167,TRUE)))),"")</f>
        <v/>
      </c>
      <c r="G45">
        <f t="array" ref="G45">IFERROR((SUMPRODUCT((economics!$AG$2:$AG$167=$B45)*(economics!$D$2:$D$167="whr")*economics!$AI$2:$AI$167*(_xlfn.NORM.DIST(G$3,economics!$AK$2:$AK$167,economics!$AJ$2:$AJ$167,TRUE)-_xlfn.NORM.DIST(G$30,economics!$AK$2:$AK$167,economics!$AJ$2:$AJ$167,TRUE))*economics!$AM$2:$AM$167))/(SUMPRODUCT((economics!$AG$2:$AG$167=$B45)*(economics!$D$2:$D$167="whr")*economics!$AI$2:$AI$167*(_xlfn.NORM.DIST(G$3,economics!$AK$2:$AK$167,economics!$AJ$2:$AJ$167,TRUE)-_xlfn.NORM.DIST(G$30,economics!$AK$2:$AK$167,economics!$AJ$2:$AJ$167,TRUE)))),"")</f>
        <v/>
      </c>
      <c r="H45">
        <f t="array" ref="H45">IFERROR((SUMPRODUCT((economics!$AG$2:$AG$167=$B45)*(economics!$D$2:$D$167="whr")*economics!$AI$2:$AI$167*(_xlfn.NORM.DIST(H$3,economics!$AK$2:$AK$167,economics!$AJ$2:$AJ$167,TRUE)-_xlfn.NORM.DIST(H$30,economics!$AK$2:$AK$167,economics!$AJ$2:$AJ$167,TRUE))*economics!$AM$2:$AM$167))/(SUMPRODUCT((economics!$AG$2:$AG$167=$B45)*(economics!$D$2:$D$167="whr")*economics!$AI$2:$AI$167*(_xlfn.NORM.DIST(H$3,economics!$AK$2:$AK$167,economics!$AJ$2:$AJ$167,TRUE)-_xlfn.NORM.DIST(H$30,economics!$AK$2:$AK$167,economics!$AJ$2:$AJ$167,TRUE)))),"")</f>
        <v/>
      </c>
      <c r="I45">
        <f t="array" ref="I45">IFERROR((SUMPRODUCT((economics!$AG$2:$AG$167=$B45)*(economics!$D$2:$D$167="whr")*economics!$AI$2:$AI$167*(_xlfn.NORM.DIST(I$3,economics!$AK$2:$AK$167,economics!$AJ$2:$AJ$167,TRUE)-_xlfn.NORM.DIST(I$30,economics!$AK$2:$AK$167,economics!$AJ$2:$AJ$167,TRUE))*economics!$AM$2:$AM$167))/(SUMPRODUCT((economics!$AG$2:$AG$167=$B45)*(economics!$D$2:$D$167="whr")*economics!$AI$2:$AI$167*(_xlfn.NORM.DIST(I$3,economics!$AK$2:$AK$167,economics!$AJ$2:$AJ$167,TRUE)-_xlfn.NORM.DIST(I$30,economics!$AK$2:$AK$167,economics!$AJ$2:$AJ$167,TRUE)))),"")</f>
        <v/>
      </c>
      <c r="J45">
        <f t="array" ref="J45">IFERROR((SUMPRODUCT((economics!$AG$2:$AG$167=$B45)*(economics!$D$2:$D$167="whr")*economics!$AI$2:$AI$167*(_xlfn.NORM.DIST(J$3,economics!$AK$2:$AK$167,economics!$AJ$2:$AJ$167,TRUE)-_xlfn.NORM.DIST(J$30,economics!$AK$2:$AK$167,economics!$AJ$2:$AJ$167,TRUE))*economics!$AM$2:$AM$167))/(SUMPRODUCT((economics!$AG$2:$AG$167=$B45)*(economics!$D$2:$D$167="whr")*economics!$AI$2:$AI$167*(_xlfn.NORM.DIST(J$3,economics!$AK$2:$AK$167,economics!$AJ$2:$AJ$167,TRUE)-_xlfn.NORM.DIST(J$30,economics!$AK$2:$AK$167,economics!$AJ$2:$AJ$167,TRUE)))),"")</f>
        <v/>
      </c>
      <c r="K45">
        <f t="array" ref="K45">IFERROR((SUMPRODUCT((economics!$AG$2:$AG$167=$B45)*(economics!$D$2:$D$167="whr")*economics!$AI$2:$AI$167*(_xlfn.NORM.DIST(K$3,economics!$AK$2:$AK$167,economics!$AJ$2:$AJ$167,TRUE)-_xlfn.NORM.DIST(K$30,economics!$AK$2:$AK$167,economics!$AJ$2:$AJ$167,TRUE))*economics!$AM$2:$AM$167))/(SUMPRODUCT((economics!$AG$2:$AG$167=$B45)*(economics!$D$2:$D$167="whr")*economics!$AI$2:$AI$167*(_xlfn.NORM.DIST(K$3,economics!$AK$2:$AK$167,economics!$AJ$2:$AJ$167,TRUE)-_xlfn.NORM.DIST(K$30,economics!$AK$2:$AK$167,economics!$AJ$2:$AJ$167,TRUE)))),"")</f>
        <v/>
      </c>
      <c r="L45">
        <f t="array" ref="L45">IFERROR((SUMPRODUCT((economics!$AG$2:$AG$167=$B45)*(economics!$D$2:$D$167="whr")*economics!$AI$2:$AI$167*(_xlfn.NORM.DIST(L$3,economics!$AK$2:$AK$167,economics!$AJ$2:$AJ$167,TRUE)-_xlfn.NORM.DIST(L$30,economics!$AK$2:$AK$167,economics!$AJ$2:$AJ$167,TRUE))*economics!$AM$2:$AM$167))/(SUMPRODUCT((economics!$AG$2:$AG$167=$B45)*(economics!$D$2:$D$167="whr")*economics!$AI$2:$AI$167*(_xlfn.NORM.DIST(L$3,economics!$AK$2:$AK$167,economics!$AJ$2:$AJ$167,TRUE)-_xlfn.NORM.DIST(L$30,economics!$AK$2:$AK$167,economics!$AJ$2:$AJ$167,TRUE)))),"")</f>
        <v/>
      </c>
      <c r="M45">
        <f t="array" ref="M45">IFERROR((SUMPRODUCT((economics!$AG$2:$AG$167=$B45)*(economics!$D$2:$D$167="whr")*economics!$AI$2:$AI$167*(_xlfn.NORM.DIST(M$3,economics!$AK$2:$AK$167,economics!$AJ$2:$AJ$167,TRUE)-_xlfn.NORM.DIST(M$30,economics!$AK$2:$AK$167,economics!$AJ$2:$AJ$167,TRUE))*economics!$AM$2:$AM$167))/(SUMPRODUCT((economics!$AG$2:$AG$167=$B45)*(economics!$D$2:$D$167="whr")*economics!$AI$2:$AI$167*(_xlfn.NORM.DIST(M$3,economics!$AK$2:$AK$167,economics!$AJ$2:$AJ$167,TRUE)-_xlfn.NORM.DIST(M$30,economics!$AK$2:$AK$167,economics!$AJ$2:$AJ$167,TRUE)))),"")</f>
        <v/>
      </c>
      <c r="N45">
        <f t="array" ref="N45">IFERROR((SUMPRODUCT((economics!$AG$2:$AG$167=$B45)*(economics!$D$2:$D$167="whr")*economics!$AI$2:$AI$167*(_xlfn.NORM.DIST(N$3,economics!$AK$2:$AK$167,economics!$AJ$2:$AJ$167,TRUE)-_xlfn.NORM.DIST(N$30,economics!$AK$2:$AK$167,economics!$AJ$2:$AJ$167,TRUE))*economics!$AM$2:$AM$167))/(SUMPRODUCT((economics!$AG$2:$AG$167=$B45)*(economics!$D$2:$D$167="whr")*economics!$AI$2:$AI$167*(_xlfn.NORM.DIST(N$3,economics!$AK$2:$AK$167,economics!$AJ$2:$AJ$167,TRUE)-_xlfn.NORM.DIST(N$30,economics!$AK$2:$AK$167,economics!$AJ$2:$AJ$167,TRUE)))),"")</f>
        <v/>
      </c>
      <c r="O45">
        <f t="array" ref="O45">IFERROR((SUMPRODUCT((economics!$AG$2:$AG$167=$B45)*(economics!$D$2:$D$167="whr")*economics!$AI$2:$AI$167*(_xlfn.NORM.DIST(O$3,economics!$AK$2:$AK$167,economics!$AJ$2:$AJ$167,TRUE)-_xlfn.NORM.DIST(O$30,economics!$AK$2:$AK$167,economics!$AJ$2:$AJ$167,TRUE))*economics!$AM$2:$AM$167))/(SUMPRODUCT((economics!$AG$2:$AG$167=$B45)*(economics!$D$2:$D$167="whr")*economics!$AI$2:$AI$167*(_xlfn.NORM.DIST(O$3,economics!$AK$2:$AK$167,economics!$AJ$2:$AJ$167,TRUE)-_xlfn.NORM.DIST(O$30,economics!$AK$2:$AK$167,economics!$AJ$2:$AJ$167,TRUE)))),"")</f>
        <v/>
      </c>
      <c r="P45">
        <f t="array" ref="P45">IFERROR((SUMPRODUCT((economics!$AG$2:$AG$167=$B45)*(economics!$D$2:$D$167="whr")*economics!$AI$2:$AI$167*(_xlfn.NORM.DIST(P$3,economics!$AK$2:$AK$167,economics!$AJ$2:$AJ$167,TRUE)-_xlfn.NORM.DIST(P$30,economics!$AK$2:$AK$167,economics!$AJ$2:$AJ$167,TRUE))*economics!$AM$2:$AM$167))/(SUMPRODUCT((economics!$AG$2:$AG$167=$B45)*(economics!$D$2:$D$167="whr")*economics!$AI$2:$AI$167*(_xlfn.NORM.DIST(P$3,economics!$AK$2:$AK$167,economics!$AJ$2:$AJ$167,TRUE)-_xlfn.NORM.DIST(P$30,economics!$AK$2:$AK$167,economics!$AJ$2:$AJ$167,TRUE)))),"")</f>
        <v/>
      </c>
      <c r="Q45">
        <f t="array" ref="Q45">IFERROR((SUMPRODUCT((economics!$AG$2:$AG$167=$B45)*(economics!$D$2:$D$167="whr")*economics!$AI$2:$AI$167*(_xlfn.NORM.DIST(Q$3,economics!$AK$2:$AK$167,economics!$AJ$2:$AJ$167,TRUE)-_xlfn.NORM.DIST(Q$30,economics!$AK$2:$AK$167,economics!$AJ$2:$AJ$167,TRUE))*economics!$AM$2:$AM$167))/(SUMPRODUCT((economics!$AG$2:$AG$167=$B45)*(economics!$D$2:$D$167="whr")*economics!$AI$2:$AI$167*(_xlfn.NORM.DIST(Q$3,economics!$AK$2:$AK$167,economics!$AJ$2:$AJ$167,TRUE)-_xlfn.NORM.DIST(Q$30,economics!$AK$2:$AK$167,economics!$AJ$2:$AJ$167,TRUE)))),"")</f>
        <v/>
      </c>
      <c r="R45">
        <f t="array" ref="R45">IFERROR((SUMPRODUCT((economics!$AG$2:$AG$167=$B45)*(economics!$D$2:$D$167="whr")*economics!$AI$2:$AI$167*(_xlfn.NORM.DIST(R$3,economics!$AK$2:$AK$167,economics!$AJ$2:$AJ$167,TRUE)-_xlfn.NORM.DIST(R$30,economics!$AK$2:$AK$167,economics!$AJ$2:$AJ$167,TRUE))*economics!$AM$2:$AM$167))/(SUMPRODUCT((economics!$AG$2:$AG$167=$B45)*(economics!$D$2:$D$167="whr")*economics!$AI$2:$AI$167*(_xlfn.NORM.DIST(R$3,economics!$AK$2:$AK$167,economics!$AJ$2:$AJ$167,TRUE)-_xlfn.NORM.DIST(R$30,economics!$AK$2:$AK$167,economics!$AJ$2:$AJ$167,TRUE)))),"")</f>
        <v/>
      </c>
      <c r="S45">
        <f t="array" ref="S45">IFERROR((SUMPRODUCT((economics!$AG$2:$AG$167=$B45)*(economics!$D$2:$D$167="whr")*economics!$AI$2:$AI$167*(_xlfn.NORM.DIST(S$3,economics!$AK$2:$AK$167,economics!$AJ$2:$AJ$167,TRUE)-_xlfn.NORM.DIST(S$30,economics!$AK$2:$AK$167,economics!$AJ$2:$AJ$167,TRUE))*economics!$AM$2:$AM$167))/(SUMPRODUCT((economics!$AG$2:$AG$167=$B45)*(economics!$D$2:$D$167="whr")*economics!$AI$2:$AI$167*(_xlfn.NORM.DIST(S$3,economics!$AK$2:$AK$167,economics!$AJ$2:$AJ$167,TRUE)-_xlfn.NORM.DIST(S$30,economics!$AK$2:$AK$167,economics!$AJ$2:$AJ$167,TRUE)))),"")</f>
        <v/>
      </c>
      <c r="T45">
        <f t="array" ref="T45">IFERROR((SUMPRODUCT((economics!$AG$2:$AG$167=$B45)*(economics!$D$2:$D$167="whr")*economics!$AI$2:$AI$167*(_xlfn.NORM.DIST(T$3,economics!$AK$2:$AK$167,economics!$AJ$2:$AJ$167,TRUE)-_xlfn.NORM.DIST(T$30,economics!$AK$2:$AK$167,economics!$AJ$2:$AJ$167,TRUE))*economics!$AM$2:$AM$167))/(SUMPRODUCT((economics!$AG$2:$AG$167=$B45)*(economics!$D$2:$D$167="whr")*economics!$AI$2:$AI$167*(_xlfn.NORM.DIST(T$3,economics!$AK$2:$AK$167,economics!$AJ$2:$AJ$167,TRUE)-_xlfn.NORM.DIST(T$30,economics!$AK$2:$AK$167,economics!$AJ$2:$AJ$167,TRUE)))),"")</f>
        <v/>
      </c>
      <c r="U45">
        <f t="array" ref="U45">IFERROR((SUMPRODUCT((economics!$AG$2:$AG$167=$B45)*(economics!$D$2:$D$167="whr")*economics!$AI$2:$AI$167*(_xlfn.NORM.DIST(U$3,economics!$AK$2:$AK$167,economics!$AJ$2:$AJ$167,TRUE)-_xlfn.NORM.DIST(U$30,economics!$AK$2:$AK$167,economics!$AJ$2:$AJ$167,TRUE))*economics!$AM$2:$AM$167))/(SUMPRODUCT((economics!$AG$2:$AG$167=$B45)*(economics!$D$2:$D$167="whr")*economics!$AI$2:$AI$167*(_xlfn.NORM.DIST(U$3,economics!$AK$2:$AK$167,economics!$AJ$2:$AJ$167,TRUE)-_xlfn.NORM.DIST(U$30,economics!$AK$2:$AK$167,economics!$AJ$2:$AJ$167,TRUE)))),"")</f>
        <v/>
      </c>
      <c r="V45">
        <f t="array" ref="V45">IFERROR((SUMPRODUCT((economics!$AG$2:$AG$167=$B45)*(economics!$D$2:$D$167="whr")*economics!$AI$2:$AI$167*(_xlfn.NORM.DIST(V$3,economics!$AK$2:$AK$167,economics!$AJ$2:$AJ$167,TRUE)-_xlfn.NORM.DIST(V$30,economics!$AK$2:$AK$167,economics!$AJ$2:$AJ$167,TRUE))*economics!$AM$2:$AM$167))/(SUMPRODUCT((economics!$AG$2:$AG$167=$B45)*(economics!$D$2:$D$167="whr")*economics!$AI$2:$AI$167*(_xlfn.NORM.DIST(V$3,economics!$AK$2:$AK$167,economics!$AJ$2:$AJ$167,TRUE)-_xlfn.NORM.DIST(V$30,economics!$AK$2:$AK$167,economics!$AJ$2:$AJ$167,TRUE)))),"")</f>
        <v/>
      </c>
      <c r="W45">
        <f t="array" ref="W45">IFERROR((SUMPRODUCT((economics!$AG$2:$AG$167=$B45)*(economics!$D$2:$D$167="whr")*economics!$AI$2:$AI$167*(_xlfn.NORM.DIST(W$3,economics!$AK$2:$AK$167,economics!$AJ$2:$AJ$167,TRUE)-_xlfn.NORM.DIST(W$30,economics!$AK$2:$AK$167,economics!$AJ$2:$AJ$167,TRUE))*economics!$AM$2:$AM$167))/(SUMPRODUCT((economics!$AG$2:$AG$167=$B45)*(economics!$D$2:$D$167="whr")*economics!$AI$2:$AI$167*(_xlfn.NORM.DIST(W$3,economics!$AK$2:$AK$167,economics!$AJ$2:$AJ$167,TRUE)-_xlfn.NORM.DIST(W$30,economics!$AK$2:$AK$167,economics!$AJ$2:$AJ$167,TRUE)))),"")</f>
        <v/>
      </c>
      <c r="X45">
        <f t="array" ref="X45">IFERROR((SUMPRODUCT((economics!$AG$2:$AG$167=$B45)*(economics!$D$2:$D$167="whr")*economics!$AI$2:$AI$167*(_xlfn.NORM.DIST(X$3,economics!$AK$2:$AK$167,economics!$AJ$2:$AJ$167,TRUE)-_xlfn.NORM.DIST(X$30,economics!$AK$2:$AK$167,economics!$AJ$2:$AJ$167,TRUE))*economics!$AM$2:$AM$167))/(SUMPRODUCT((economics!$AG$2:$AG$167=$B45)*(economics!$D$2:$D$167="whr")*economics!$AI$2:$AI$167*(_xlfn.NORM.DIST(X$3,economics!$AK$2:$AK$167,economics!$AJ$2:$AJ$167,TRUE)-_xlfn.NORM.DIST(X$30,economics!$AK$2:$AK$167,economics!$AJ$2:$AJ$167,TRUE)))),"")</f>
        <v/>
      </c>
      <c r="Y45">
        <f t="array" ref="Y45">IFERROR((SUMPRODUCT((economics!$AG$2:$AG$167=$B45)*(economics!$D$2:$D$167="whr")*economics!$AI$2:$AI$167*(_xlfn.NORM.DIST(Y$3,economics!$AK$2:$AK$167,economics!$AJ$2:$AJ$167,TRUE)-_xlfn.NORM.DIST(Y$30,economics!$AK$2:$AK$167,economics!$AJ$2:$AJ$167,TRUE))*economics!$AM$2:$AM$167))/(SUMPRODUCT((economics!$AG$2:$AG$167=$B45)*(economics!$D$2:$D$167="whr")*economics!$AI$2:$AI$167*(_xlfn.NORM.DIST(Y$3,economics!$AK$2:$AK$167,economics!$AJ$2:$AJ$167,TRUE)-_xlfn.NORM.DIST(Y$30,economics!$AK$2:$AK$167,economics!$AJ$2:$AJ$167,TRUE)))),"")</f>
        <v/>
      </c>
      <c r="Z45">
        <f t="array" ref="Z45">IFERROR((SUMPRODUCT((economics!$AG$2:$AG$167=$B45)*(economics!$D$2:$D$167="whr")*economics!$AI$2:$AI$167*(_xlfn.NORM.DIST(Z$3,economics!$AK$2:$AK$167,economics!$AJ$2:$AJ$167,TRUE)-_xlfn.NORM.DIST(Z$30,economics!$AK$2:$AK$167,economics!$AJ$2:$AJ$167,TRUE))*economics!$AM$2:$AM$167))/(SUMPRODUCT((economics!$AG$2:$AG$167=$B45)*(economics!$D$2:$D$167="whr")*economics!$AI$2:$AI$167*(_xlfn.NORM.DIST(Z$3,economics!$AK$2:$AK$167,economics!$AJ$2:$AJ$167,TRUE)-_xlfn.NORM.DIST(Z$30,economics!$AK$2:$AK$167,economics!$AJ$2:$AJ$167,TRUE)))),"")</f>
        <v/>
      </c>
      <c r="AA45">
        <f t="array" ref="AA45">IFERROR((SUMPRODUCT((economics!$AG$2:$AG$167=$B45)*(economics!$D$2:$D$167="whr")*economics!$AI$2:$AI$167*(_xlfn.NORM.DIST(AA$3,economics!$AK$2:$AK$167,economics!$AJ$2:$AJ$167,TRUE)-_xlfn.NORM.DIST(AA$30,economics!$AK$2:$AK$167,economics!$AJ$2:$AJ$167,TRUE))*economics!$AM$2:$AM$167))/(SUMPRODUCT((economics!$AG$2:$AG$167=$B45)*(economics!$D$2:$D$167="whr")*economics!$AI$2:$AI$167*(_xlfn.NORM.DIST(AA$3,economics!$AK$2:$AK$167,economics!$AJ$2:$AJ$167,TRUE)-_xlfn.NORM.DIST(AA$30,economics!$AK$2:$AK$167,economics!$AJ$2:$AJ$167,TRUE)))),"")</f>
        <v/>
      </c>
      <c r="AB45">
        <f t="array" ref="AB45">IFERROR((SUMPRODUCT((economics!$AG$2:$AG$167=$B45)*(economics!$D$2:$D$167="whr")*economics!$AI$2:$AI$167*(_xlfn.NORM.DIST(AB$3,economics!$AK$2:$AK$167,economics!$AJ$2:$AJ$167,TRUE)-_xlfn.NORM.DIST(AB$30,economics!$AK$2:$AK$167,economics!$AJ$2:$AJ$167,TRUE))*economics!$AM$2:$AM$167))/(SUMPRODUCT((economics!$AG$2:$AG$167=$B45)*(economics!$D$2:$D$167="whr")*economics!$AI$2:$AI$167*(_xlfn.NORM.DIST(AB$3,economics!$AK$2:$AK$167,economics!$AJ$2:$AJ$167,TRUE)-_xlfn.NORM.DIST(AB$30,economics!$AK$2:$AK$167,economics!$AJ$2:$AJ$167,TRUE)))),"")</f>
        <v/>
      </c>
      <c r="AC45">
        <f t="array" ref="AC45">IFERROR((SUMPRODUCT((economics!$AG$2:$AG$167=$B45)*(economics!$D$2:$D$167="whr")*economics!$AI$2:$AI$167*(_xlfn.NORM.DIST(AC$3,economics!$AK$2:$AK$167,economics!$AJ$2:$AJ$167,TRUE)-_xlfn.NORM.DIST(AC$30,economics!$AK$2:$AK$167,economics!$AJ$2:$AJ$167,TRUE))*economics!$AM$2:$AM$167))/(SUMPRODUCT((economics!$AG$2:$AG$167=$B45)*(economics!$D$2:$D$167="whr")*economics!$AI$2:$AI$167*(_xlfn.NORM.DIST(AC$3,economics!$AK$2:$AK$167,economics!$AJ$2:$AJ$167,TRUE)-_xlfn.NORM.DIST(AC$30,economics!$AK$2:$AK$167,economics!$AJ$2:$AJ$167,TRUE)))),"")</f>
        <v/>
      </c>
      <c r="AD45">
        <f t="array" ref="AD45">IFERROR((SUMPRODUCT((economics!$AG$2:$AG$167=$B45)*(economics!$D$2:$D$167="whr")*economics!$AI$2:$AI$167*(_xlfn.NORM.DIST(AD$3,economics!$AK$2:$AK$167,economics!$AJ$2:$AJ$167,TRUE)-_xlfn.NORM.DIST(AD$30,economics!$AK$2:$AK$167,economics!$AJ$2:$AJ$167,TRUE))*economics!$AM$2:$AM$167))/(SUMPRODUCT((economics!$AG$2:$AG$167=$B45)*(economics!$D$2:$D$167="whr")*economics!$AI$2:$AI$167*(_xlfn.NORM.DIST(AD$3,economics!$AK$2:$AK$167,economics!$AJ$2:$AJ$167,TRUE)-_xlfn.NORM.DIST(AD$30,economics!$AK$2:$AK$167,economics!$AJ$2:$AJ$167,TRUE)))),"")</f>
        <v/>
      </c>
      <c r="AE45">
        <f t="array" ref="AE45">IFERROR((SUMPRODUCT((economics!$AG$2:$AG$167=$B45)*(economics!$D$2:$D$167="whr")*economics!$AI$2:$AI$167*(_xlfn.NORM.DIST(AE$3,economics!$AK$2:$AK$167,economics!$AJ$2:$AJ$167,TRUE)-_xlfn.NORM.DIST(AE$30,economics!$AK$2:$AK$167,economics!$AJ$2:$AJ$167,TRUE))*economics!$AM$2:$AM$167))/(SUMPRODUCT((economics!$AG$2:$AG$167=$B45)*(economics!$D$2:$D$167="whr")*economics!$AI$2:$AI$167*(_xlfn.NORM.DIST(AE$3,economics!$AK$2:$AK$167,economics!$AJ$2:$AJ$167,TRUE)-_xlfn.NORM.DIST(AE$30,economics!$AK$2:$AK$167,economics!$AJ$2:$AJ$167,TRUE)))),"")</f>
        <v/>
      </c>
      <c r="AF45">
        <f t="array" ref="AF45">IFERROR((SUMPRODUCT((economics!$AG$2:$AG$167=$B45)*(economics!$D$2:$D$167="whr")*economics!$AI$2:$AI$167*(_xlfn.NORM.DIST(AF$3,economics!$AK$2:$AK$167,economics!$AJ$2:$AJ$167,TRUE)-_xlfn.NORM.DIST(AF$30,economics!$AK$2:$AK$167,economics!$AJ$2:$AJ$167,TRUE))*economics!$AM$2:$AM$167))/(SUMPRODUCT((economics!$AG$2:$AG$167=$B45)*(economics!$D$2:$D$167="whr")*economics!$AI$2:$AI$167*(_xlfn.NORM.DIST(AF$3,economics!$AK$2:$AK$167,economics!$AJ$2:$AJ$167,TRUE)-_xlfn.NORM.DIST(AF$30,economics!$AK$2:$AK$167,economics!$AJ$2:$AJ$167,TRUE)))),"")</f>
        <v/>
      </c>
      <c r="AG45">
        <f t="array" ref="AG45">IFERROR((SUMPRODUCT((economics!$AG$2:$AG$167=$B45)*(economics!$D$2:$D$167="whr")*economics!$AI$2:$AI$167*(_xlfn.NORM.DIST(AG$3,economics!$AK$2:$AK$167,economics!$AJ$2:$AJ$167,TRUE)-_xlfn.NORM.DIST(AG$30,economics!$AK$2:$AK$167,economics!$AJ$2:$AJ$167,TRUE))*economics!$AM$2:$AM$167))/(SUMPRODUCT((economics!$AG$2:$AG$167=$B45)*(economics!$D$2:$D$167="whr")*economics!$AI$2:$AI$167*(_xlfn.NORM.DIST(AG$3,economics!$AK$2:$AK$167,economics!$AJ$2:$AJ$167,TRUE)-_xlfn.NORM.DIST(AG$30,economics!$AK$2:$AK$167,economics!$AJ$2:$AJ$167,TRUE)))),"")</f>
        <v/>
      </c>
      <c r="AH45">
        <f t="array" ref="AH45">IFERROR((SUMPRODUCT((economics!$AG$2:$AG$167=$B45)*(economics!$D$2:$D$167="whr")*economics!$AI$2:$AI$167*(_xlfn.NORM.DIST(AH$3,economics!$AK$2:$AK$167,economics!$AJ$2:$AJ$167,TRUE)-_xlfn.NORM.DIST(AH$30,economics!$AK$2:$AK$167,economics!$AJ$2:$AJ$167,TRUE))*economics!$AM$2:$AM$167))/(SUMPRODUCT((economics!$AG$2:$AG$167=$B45)*(economics!$D$2:$D$167="whr")*economics!$AI$2:$AI$167*(_xlfn.NORM.DIST(AH$3,economics!$AK$2:$AK$167,economics!$AJ$2:$AJ$167,TRUE)-_xlfn.NORM.DIST(AH$30,economics!$AK$2:$AK$167,economics!$AJ$2:$AJ$167,TRUE)))),"")</f>
        <v/>
      </c>
      <c r="AI45">
        <f t="array" ref="AI45">IFERROR((SUMPRODUCT((economics!$AG$2:$AG$167=$B45)*(economics!$D$2:$D$167="whr")*economics!$AI$2:$AI$167*(_xlfn.NORM.DIST(AI$3,economics!$AK$2:$AK$167,economics!$AJ$2:$AJ$167,TRUE)-_xlfn.NORM.DIST(AI$30,economics!$AK$2:$AK$167,economics!$AJ$2:$AJ$167,TRUE))*economics!$AM$2:$AM$167))/(SUMPRODUCT((economics!$AG$2:$AG$167=$B45)*(economics!$D$2:$D$167="whr")*economics!$AI$2:$AI$167*(_xlfn.NORM.DIST(AI$3,economics!$AK$2:$AK$167,economics!$AJ$2:$AJ$167,TRUE)-_xlfn.NORM.DIST(AI$30,economics!$AK$2:$AK$167,economics!$AJ$2:$AJ$167,TRUE)))),"")</f>
        <v/>
      </c>
      <c r="AJ45">
        <f t="array" ref="AJ45">IFERROR((SUMPRODUCT((economics!$AG$2:$AG$167=$B45)*(economics!$D$2:$D$167="whr")*economics!$AI$2:$AI$167*(_xlfn.NORM.DIST(AJ$3,economics!$AK$2:$AK$167,economics!$AJ$2:$AJ$167,TRUE)-_xlfn.NORM.DIST(AJ$30,economics!$AK$2:$AK$167,economics!$AJ$2:$AJ$167,TRUE))*economics!$AM$2:$AM$167))/(SUMPRODUCT((economics!$AG$2:$AG$167=$B45)*(economics!$D$2:$D$167="whr")*economics!$AI$2:$AI$167*(_xlfn.NORM.DIST(AJ$3,economics!$AK$2:$AK$167,economics!$AJ$2:$AJ$167,TRUE)-_xlfn.NORM.DIST(AJ$30,economics!$AK$2:$AK$167,economics!$AJ$2:$AJ$167,TRUE)))),"")</f>
        <v/>
      </c>
      <c r="AK45">
        <f t="array" ref="AK45">IFERROR((SUMPRODUCT((economics!$AG$2:$AG$167=$B45)*(economics!$D$2:$D$167="whr")*economics!$AI$2:$AI$167*(_xlfn.NORM.DIST(AK$3,economics!$AK$2:$AK$167,economics!$AJ$2:$AJ$167,TRUE)-_xlfn.NORM.DIST(AK$30,economics!$AK$2:$AK$167,economics!$AJ$2:$AJ$167,TRUE))*economics!$AM$2:$AM$167))/(SUMPRODUCT((economics!$AG$2:$AG$167=$B45)*(economics!$D$2:$D$167="whr")*economics!$AI$2:$AI$167*(_xlfn.NORM.DIST(AK$3,economics!$AK$2:$AK$167,economics!$AJ$2:$AJ$167,TRUE)-_xlfn.NORM.DIST(AK$30,economics!$AK$2:$AK$167,economics!$AJ$2:$AJ$167,TRUE)))),"")</f>
        <v/>
      </c>
      <c r="AL45">
        <f t="array" ref="AL45">IFERROR((SUMPRODUCT((economics!$AG$2:$AG$167=$B45)*(economics!$D$2:$D$167="whr")*economics!$AI$2:$AI$167*(_xlfn.NORM.DIST(AL$3,economics!$AK$2:$AK$167,economics!$AJ$2:$AJ$167,TRUE)-_xlfn.NORM.DIST(AL$30,economics!$AK$2:$AK$167,economics!$AJ$2:$AJ$167,TRUE))*economics!$AM$2:$AM$167))/(SUMPRODUCT((economics!$AG$2:$AG$167=$B45)*(economics!$D$2:$D$167="whr")*economics!$AI$2:$AI$167*(_xlfn.NORM.DIST(AL$3,economics!$AK$2:$AK$167,economics!$AJ$2:$AJ$167,TRUE)-_xlfn.NORM.DIST(AL$30,economics!$AK$2:$AK$167,economics!$AJ$2:$AJ$167,TRUE)))),"")</f>
        <v/>
      </c>
      <c r="AM45">
        <f t="array" ref="AM45">IFERROR((SUMPRODUCT((economics!$AG$2:$AG$167=$B45)*(economics!$D$2:$D$167="whr")*economics!$AI$2:$AI$167*(_xlfn.NORM.DIST(AM$3,economics!$AK$2:$AK$167,economics!$AJ$2:$AJ$167,TRUE)-_xlfn.NORM.DIST(AM$30,economics!$AK$2:$AK$167,economics!$AJ$2:$AJ$167,TRUE))*economics!$AM$2:$AM$167))/(SUMPRODUCT((economics!$AG$2:$AG$167=$B45)*(economics!$D$2:$D$167="whr")*economics!$AI$2:$AI$167*(_xlfn.NORM.DIST(AM$3,economics!$AK$2:$AK$167,economics!$AJ$2:$AJ$167,TRUE)-_xlfn.NORM.DIST(AM$30,economics!$AK$2:$AK$167,economics!$AJ$2:$AJ$167,TRUE)))),"")</f>
        <v/>
      </c>
      <c r="AN45">
        <f t="array" ref="AN45">IFERROR((SUMPRODUCT((economics!$AG$2:$AG$167=$B45)*(economics!$D$2:$D$167="whr")*economics!$AI$2:$AI$167*(_xlfn.NORM.DIST(AN$3,economics!$AK$2:$AK$167,economics!$AJ$2:$AJ$167,TRUE)-_xlfn.NORM.DIST(AN$30,economics!$AK$2:$AK$167,economics!$AJ$2:$AJ$167,TRUE))*economics!$AM$2:$AM$167))/(SUMPRODUCT((economics!$AG$2:$AG$167=$B45)*(economics!$D$2:$D$167="whr")*economics!$AI$2:$AI$167*(_xlfn.NORM.DIST(AN$3,economics!$AK$2:$AK$167,economics!$AJ$2:$AJ$167,TRUE)-_xlfn.NORM.DIST(AN$30,economics!$AK$2:$AK$167,economics!$AJ$2:$AJ$167,TRUE)))),"")</f>
        <v/>
      </c>
      <c r="AO45">
        <f t="array" ref="AO45">IFERROR((SUMPRODUCT((economics!$AG$2:$AG$167=$B45)*(economics!$D$2:$D$167="whr")*economics!$AI$2:$AI$167*(_xlfn.NORM.DIST(AO$3,economics!$AK$2:$AK$167,economics!$AJ$2:$AJ$167,TRUE)-_xlfn.NORM.DIST(AO$30,economics!$AK$2:$AK$167,economics!$AJ$2:$AJ$167,TRUE))*economics!$AM$2:$AM$167))/(SUMPRODUCT((economics!$AG$2:$AG$167=$B45)*(economics!$D$2:$D$167="whr")*economics!$AI$2:$AI$167*(_xlfn.NORM.DIST(AO$3,economics!$AK$2:$AK$167,economics!$AJ$2:$AJ$167,TRUE)-_xlfn.NORM.DIST(AO$30,economics!$AK$2:$AK$167,economics!$AJ$2:$AJ$167,TRUE)))),"")</f>
        <v/>
      </c>
      <c r="AP45">
        <f t="array" ref="AP45">IFERROR((SUMPRODUCT((economics!$AG$2:$AG$167=$B45)*(economics!$D$2:$D$167="whr")*economics!$AI$2:$AI$167*(_xlfn.NORM.DIST(AP$3,economics!$AK$2:$AK$167,economics!$AJ$2:$AJ$167,TRUE)-_xlfn.NORM.DIST(AP$30,economics!$AK$2:$AK$167,economics!$AJ$2:$AJ$167,TRUE))*economics!$AM$2:$AM$167))/(SUMPRODUCT((economics!$AG$2:$AG$167=$B45)*(economics!$D$2:$D$167="whr")*economics!$AI$2:$AI$167*(_xlfn.NORM.DIST(AP$3,economics!$AK$2:$AK$167,economics!$AJ$2:$AJ$167,TRUE)-_xlfn.NORM.DIST(AP$30,economics!$AK$2:$AK$167,economics!$AJ$2:$AJ$167,TRUE)))),"")</f>
        <v/>
      </c>
      <c r="AQ45">
        <f t="array" ref="AQ45">IFERROR((SUMPRODUCT((economics!$AG$2:$AG$167=$B45)*(economics!$D$2:$D$167="whr")*economics!$AI$2:$AI$167*(_xlfn.NORM.DIST(AQ$3,economics!$AK$2:$AK$167,economics!$AJ$2:$AJ$167,TRUE)-_xlfn.NORM.DIST(AQ$30,economics!$AK$2:$AK$167,economics!$AJ$2:$AJ$167,TRUE))*economics!$AM$2:$AM$167))/(SUMPRODUCT((economics!$AG$2:$AG$167=$B45)*(economics!$D$2:$D$167="whr")*economics!$AI$2:$AI$167*(_xlfn.NORM.DIST(AQ$3,economics!$AK$2:$AK$167,economics!$AJ$2:$AJ$167,TRUE)-_xlfn.NORM.DIST(AQ$30,economics!$AK$2:$AK$167,economics!$AJ$2:$AJ$167,TRUE)))),"")</f>
        <v/>
      </c>
      <c r="AR45">
        <f t="array" ref="AR45">IFERROR((SUMPRODUCT((economics!$AG$2:$AG$167=$B45)*(economics!$D$2:$D$167="whr")*economics!$AI$2:$AI$167*(_xlfn.NORM.DIST(AR$3,economics!$AK$2:$AK$167,economics!$AJ$2:$AJ$167,TRUE)-_xlfn.NORM.DIST(AR$30,economics!$AK$2:$AK$167,economics!$AJ$2:$AJ$167,TRUE))*economics!$AM$2:$AM$167))/(SUMPRODUCT((economics!$AG$2:$AG$167=$B45)*(economics!$D$2:$D$167="whr")*economics!$AI$2:$AI$167*(_xlfn.NORM.DIST(AR$3,economics!$AK$2:$AK$167,economics!$AJ$2:$AJ$167,TRUE)-_xlfn.NORM.DIST(AR$30,economics!$AK$2:$AK$167,economics!$AJ$2:$AJ$167,TRUE)))),"")</f>
        <v/>
      </c>
      <c r="AS45">
        <f t="array" ref="AS45">IFERROR((SUMPRODUCT((economics!$AG$2:$AG$167=$B45)*(economics!$D$2:$D$167="whr")*economics!$AI$2:$AI$167*(_xlfn.NORM.DIST(AS$3,economics!$AK$2:$AK$167,economics!$AJ$2:$AJ$167,TRUE)-_xlfn.NORM.DIST(AS$30,economics!$AK$2:$AK$167,economics!$AJ$2:$AJ$167,TRUE))*economics!$AM$2:$AM$167))/(SUMPRODUCT((economics!$AG$2:$AG$167=$B45)*(economics!$D$2:$D$167="whr")*economics!$AI$2:$AI$167*(_xlfn.NORM.DIST(AS$3,economics!$AK$2:$AK$167,economics!$AJ$2:$AJ$167,TRUE)-_xlfn.NORM.DIST(AS$30,economics!$AK$2:$AK$167,economics!$AJ$2:$AJ$167,TRUE)))),"")</f>
        <v/>
      </c>
      <c r="AT45">
        <f t="array" ref="AT45">IFERROR((SUMPRODUCT((economics!$AG$2:$AG$167=$B45)*(economics!$D$2:$D$167="whr")*economics!$AI$2:$AI$167*(_xlfn.NORM.DIST(AT$3,economics!$AK$2:$AK$167,economics!$AJ$2:$AJ$167,TRUE)-_xlfn.NORM.DIST(AT$30,economics!$AK$2:$AK$167,economics!$AJ$2:$AJ$167,TRUE))*economics!$AM$2:$AM$167))/(SUMPRODUCT((economics!$AG$2:$AG$167=$B45)*(economics!$D$2:$D$167="whr")*economics!$AI$2:$AI$167*(_xlfn.NORM.DIST(AT$3,economics!$AK$2:$AK$167,economics!$AJ$2:$AJ$167,TRUE)-_xlfn.NORM.DIST(AT$30,economics!$AK$2:$AK$167,economics!$AJ$2:$AJ$167,TRUE)))),"")</f>
        <v/>
      </c>
      <c r="AU45">
        <f t="array" ref="AU45">IFERROR((SUMPRODUCT((economics!$AG$2:$AG$167=$B45)*(economics!$D$2:$D$167="whr")*economics!$AI$2:$AI$167*(_xlfn.NORM.DIST(AU$3,economics!$AK$2:$AK$167,economics!$AJ$2:$AJ$167,TRUE)-_xlfn.NORM.DIST(AU$30,economics!$AK$2:$AK$167,economics!$AJ$2:$AJ$167,TRUE))*economics!$AM$2:$AM$167))/(SUMPRODUCT((economics!$AG$2:$AG$167=$B45)*(economics!$D$2:$D$167="whr")*economics!$AI$2:$AI$167*(_xlfn.NORM.DIST(AU$3,economics!$AK$2:$AK$167,economics!$AJ$2:$AJ$167,TRUE)-_xlfn.NORM.DIST(AU$30,economics!$AK$2:$AK$167,economics!$AJ$2:$AJ$167,TRUE)))),"")</f>
        <v/>
      </c>
      <c r="AV45">
        <f t="array" ref="AV45">IFERROR((SUMPRODUCT((economics!$AG$2:$AG$167=$B45)*(economics!$D$2:$D$167="whr")*economics!$AI$2:$AI$167*(_xlfn.NORM.DIST(AV$3,economics!$AK$2:$AK$167,economics!$AJ$2:$AJ$167,TRUE)-_xlfn.NORM.DIST(AV$30,economics!$AK$2:$AK$167,economics!$AJ$2:$AJ$167,TRUE))*economics!$AM$2:$AM$167))/(SUMPRODUCT((economics!$AG$2:$AG$167=$B45)*(economics!$D$2:$D$167="whr")*economics!$AI$2:$AI$167*(_xlfn.NORM.DIST(AV$3,economics!$AK$2:$AK$167,economics!$AJ$2:$AJ$167,TRUE)-_xlfn.NORM.DIST(AV$30,economics!$AK$2:$AK$167,economics!$AJ$2:$AJ$167,TRUE)))),"")</f>
        <v/>
      </c>
      <c r="AW45">
        <f t="array" ref="AW45">IFERROR((SUMPRODUCT((economics!$AG$2:$AG$167=$B45)*(economics!$D$2:$D$167="whr")*economics!$AI$2:$AI$167*(_xlfn.NORM.DIST(AW$3,economics!$AK$2:$AK$167,economics!$AJ$2:$AJ$167,TRUE)-_xlfn.NORM.DIST(AW$30,economics!$AK$2:$AK$167,economics!$AJ$2:$AJ$167,TRUE))*economics!$AM$2:$AM$167))/(SUMPRODUCT((economics!$AG$2:$AG$167=$B45)*(economics!$D$2:$D$167="whr")*economics!$AI$2:$AI$167*(_xlfn.NORM.DIST(AW$3,economics!$AK$2:$AK$167,economics!$AJ$2:$AJ$167,TRUE)-_xlfn.NORM.DIST(AW$30,economics!$AK$2:$AK$167,economics!$AJ$2:$AJ$167,TRUE)))),"")</f>
        <v/>
      </c>
      <c r="AX45">
        <f t="array" ref="AX45">IFERROR((SUMPRODUCT((economics!$AG$2:$AG$167=$B45)*(economics!$D$2:$D$167="whr")*economics!$AI$2:$AI$167*(_xlfn.NORM.DIST(AX$3,economics!$AK$2:$AK$167,economics!$AJ$2:$AJ$167,TRUE)-_xlfn.NORM.DIST(AX$30,economics!$AK$2:$AK$167,economics!$AJ$2:$AJ$167,TRUE))*economics!$AM$2:$AM$167))/(SUMPRODUCT((economics!$AG$2:$AG$167=$B45)*(economics!$D$2:$D$167="whr")*economics!$AI$2:$AI$167*(_xlfn.NORM.DIST(AX$3,economics!$AK$2:$AK$167,economics!$AJ$2:$AJ$167,TRUE)-_xlfn.NORM.DIST(AX$30,economics!$AK$2:$AK$167,economics!$AJ$2:$AJ$167,TRUE)))),"")</f>
        <v/>
      </c>
      <c r="AY45">
        <f t="array" ref="AY45">IFERROR((SUMPRODUCT((economics!$AG$2:$AG$167=$B45)*(economics!$D$2:$D$167="whr")*economics!$AI$2:$AI$167*(_xlfn.NORM.DIST(AY$3,economics!$AK$2:$AK$167,economics!$AJ$2:$AJ$167,TRUE)-_xlfn.NORM.DIST(AY$30,economics!$AK$2:$AK$167,economics!$AJ$2:$AJ$167,TRUE))*economics!$AM$2:$AM$167))/(SUMPRODUCT((economics!$AG$2:$AG$167=$B45)*(economics!$D$2:$D$167="whr")*economics!$AI$2:$AI$167*(_xlfn.NORM.DIST(AY$3,economics!$AK$2:$AK$167,economics!$AJ$2:$AJ$167,TRUE)-_xlfn.NORM.DIST(AY$30,economics!$AK$2:$AK$167,economics!$AJ$2:$AJ$167,TRUE)))),"")</f>
        <v/>
      </c>
      <c r="AZ45">
        <f t="array" ref="AZ45">IFERROR((SUMPRODUCT((economics!$AG$2:$AG$167=$B45)*(economics!$D$2:$D$167="whr")*economics!$AI$2:$AI$167*(_xlfn.NORM.DIST(AZ$3,economics!$AK$2:$AK$167,economics!$AJ$2:$AJ$167,TRUE)-_xlfn.NORM.DIST(AZ$30,economics!$AK$2:$AK$167,economics!$AJ$2:$AJ$167,TRUE))*economics!$AM$2:$AM$167))/(SUMPRODUCT((economics!$AG$2:$AG$167=$B45)*(economics!$D$2:$D$167="whr")*economics!$AI$2:$AI$167*(_xlfn.NORM.DIST(AZ$3,economics!$AK$2:$AK$167,economics!$AJ$2:$AJ$167,TRUE)-_xlfn.NORM.DIST(AZ$30,economics!$AK$2:$AK$167,economics!$AJ$2:$AJ$167,TRUE)))),"")</f>
        <v/>
      </c>
      <c r="BA45">
        <f t="array" ref="BA45">IFERROR((SUMPRODUCT((economics!$AG$2:$AG$167=$B45)*(economics!$D$2:$D$167="whr")*economics!$AI$2:$AI$167*(_xlfn.NORM.DIST(BA$3,economics!$AK$2:$AK$167,economics!$AJ$2:$AJ$167,TRUE)-_xlfn.NORM.DIST(BA$30,economics!$AK$2:$AK$167,economics!$AJ$2:$AJ$167,TRUE))*economics!$AM$2:$AM$167))/(SUMPRODUCT((economics!$AG$2:$AG$167=$B45)*(economics!$D$2:$D$167="whr")*economics!$AI$2:$AI$167*(_xlfn.NORM.DIST(BA$3,economics!$AK$2:$AK$167,economics!$AJ$2:$AJ$167,TRUE)-_xlfn.NORM.DIST(BA$30,economics!$AK$2:$AK$167,economics!$AJ$2:$AJ$167,TRUE)))),"")</f>
        <v/>
      </c>
      <c r="BB45">
        <f t="array" ref="BB45">IFERROR((SUMPRODUCT((economics!$AG$2:$AG$167=$B45)*(economics!$D$2:$D$167="whr")*economics!$AI$2:$AI$167*(_xlfn.NORM.DIST(BB$3,economics!$AK$2:$AK$167,economics!$AJ$2:$AJ$167,TRUE)-_xlfn.NORM.DIST(BB$30,economics!$AK$2:$AK$167,economics!$AJ$2:$AJ$167,TRUE))*economics!$AM$2:$AM$167))/(SUMPRODUCT((economics!$AG$2:$AG$167=$B45)*(economics!$D$2:$D$167="whr")*economics!$AI$2:$AI$167*(_xlfn.NORM.DIST(BB$3,economics!$AK$2:$AK$167,economics!$AJ$2:$AJ$167,TRUE)-_xlfn.NORM.DIST(BB$30,economics!$AK$2:$AK$167,economics!$AJ$2:$AJ$167,TRUE)))),"")</f>
        <v/>
      </c>
      <c r="BC45">
        <f t="array" ref="BC45">IFERROR((SUMPRODUCT((economics!$AG$2:$AG$167=$B45)*(economics!$D$2:$D$167="whr")*economics!$AI$2:$AI$167*(_xlfn.NORM.DIST(BC$3,economics!$AK$2:$AK$167,economics!$AJ$2:$AJ$167,TRUE)-_xlfn.NORM.DIST(BC$30,economics!$AK$2:$AK$167,economics!$AJ$2:$AJ$167,TRUE))*economics!$AM$2:$AM$167))/(SUMPRODUCT((economics!$AG$2:$AG$167=$B45)*(economics!$D$2:$D$167="whr")*economics!$AI$2:$AI$167*(_xlfn.NORM.DIST(BC$3,economics!$AK$2:$AK$167,economics!$AJ$2:$AJ$167,TRUE)-_xlfn.NORM.DIST(BC$30,economics!$AK$2:$AK$167,economics!$AJ$2:$AJ$167,TRUE)))),"")</f>
        <v/>
      </c>
      <c r="BD45">
        <f t="array" ref="BD45">IFERROR((SUMPRODUCT((economics!$AG$2:$AG$167=$B45)*(economics!$D$2:$D$167="whr")*economics!$AI$2:$AI$167*(_xlfn.NORM.DIST(BD$3,economics!$AK$2:$AK$167,economics!$AJ$2:$AJ$167,TRUE)-_xlfn.NORM.DIST(BD$30,economics!$AK$2:$AK$167,economics!$AJ$2:$AJ$167,TRUE))*economics!$AM$2:$AM$167))/(SUMPRODUCT((economics!$AG$2:$AG$167=$B45)*(economics!$D$2:$D$167="whr")*economics!$AI$2:$AI$167*(_xlfn.NORM.DIST(BD$3,economics!$AK$2:$AK$167,economics!$AJ$2:$AJ$167,TRUE)-_xlfn.NORM.DIST(BD$30,economics!$AK$2:$AK$167,economics!$AJ$2:$AJ$167,TRUE)))),"")</f>
        <v/>
      </c>
      <c r="BE45">
        <f t="array" ref="BE45">IFERROR((SUMPRODUCT((economics!$AG$2:$AG$167=$B45)*(economics!$D$2:$D$167="whr")*economics!$AI$2:$AI$167*(_xlfn.NORM.DIST(BE$3,economics!$AK$2:$AK$167,economics!$AJ$2:$AJ$167,TRUE)-_xlfn.NORM.DIST(BE$30,economics!$AK$2:$AK$167,economics!$AJ$2:$AJ$167,TRUE))*economics!$AM$2:$AM$167))/(SUMPRODUCT((economics!$AG$2:$AG$167=$B45)*(economics!$D$2:$D$167="whr")*economics!$AI$2:$AI$167*(_xlfn.NORM.DIST(BE$3,economics!$AK$2:$AK$167,economics!$AJ$2:$AJ$167,TRUE)-_xlfn.NORM.DIST(BE$30,economics!$AK$2:$AK$167,economics!$AJ$2:$AJ$167,TRUE)))),"")</f>
        <v/>
      </c>
      <c r="BF45">
        <f t="array" ref="BF45">IFERROR((SUMPRODUCT((economics!$AG$2:$AG$167=$B45)*(economics!$D$2:$D$167="whr")*economics!$AI$2:$AI$167*(_xlfn.NORM.DIST(BF$3,economics!$AK$2:$AK$167,economics!$AJ$2:$AJ$167,TRUE)-_xlfn.NORM.DIST(BF$30,economics!$AK$2:$AK$167,economics!$AJ$2:$AJ$167,TRUE))*economics!$AM$2:$AM$167))/(SUMPRODUCT((economics!$AG$2:$AG$167=$B45)*(economics!$D$2:$D$167="whr")*economics!$AI$2:$AI$167*(_xlfn.NORM.DIST(BF$3,economics!$AK$2:$AK$167,economics!$AJ$2:$AJ$167,TRUE)-_xlfn.NORM.DIST(BF$30,economics!$AK$2:$AK$167,economics!$AJ$2:$AJ$167,TRUE)))),"")</f>
        <v/>
      </c>
      <c r="BG45">
        <f t="array" ref="BG45">IFERROR((SUMPRODUCT((economics!$AG$2:$AG$167=$B45)*(economics!$D$2:$D$167="whr")*economics!$AI$2:$AI$167*(_xlfn.NORM.DIST(BG$3,economics!$AK$2:$AK$167,economics!$AJ$2:$AJ$167,TRUE)-_xlfn.NORM.DIST(BG$30,economics!$AK$2:$AK$167,economics!$AJ$2:$AJ$167,TRUE))*economics!$AM$2:$AM$167))/(SUMPRODUCT((economics!$AG$2:$AG$167=$B45)*(economics!$D$2:$D$167="whr")*economics!$AI$2:$AI$167*(_xlfn.NORM.DIST(BG$3,economics!$AK$2:$AK$167,economics!$AJ$2:$AJ$167,TRUE)-_xlfn.NORM.DIST(BG$30,economics!$AK$2:$AK$167,economics!$AJ$2:$AJ$167,TRUE)))),"")</f>
        <v/>
      </c>
      <c r="BH45">
        <f t="array" ref="BH45">IFERROR((SUMPRODUCT((economics!$AG$2:$AG$167=$B45)*(economics!$D$2:$D$167="whr")*economics!$AI$2:$AI$167*(_xlfn.NORM.DIST(BH$3,economics!$AK$2:$AK$167,economics!$AJ$2:$AJ$167,TRUE)-_xlfn.NORM.DIST(BH$30,economics!$AK$2:$AK$167,economics!$AJ$2:$AJ$167,TRUE))*economics!$AM$2:$AM$167))/(SUMPRODUCT((economics!$AG$2:$AG$167=$B45)*(economics!$D$2:$D$167="whr")*economics!$AI$2:$AI$167*(_xlfn.NORM.DIST(BH$3,economics!$AK$2:$AK$167,economics!$AJ$2:$AJ$167,TRUE)-_xlfn.NORM.DIST(BH$30,economics!$AK$2:$AK$167,economics!$AJ$2:$AJ$167,TRUE)))),"")</f>
        <v/>
      </c>
      <c r="BI45">
        <f t="array" ref="BI45">IFERROR((SUMPRODUCT((economics!$AG$2:$AG$167=$B45)*(economics!$D$2:$D$167="whr")*economics!$AI$2:$AI$167*(_xlfn.NORM.DIST(BI$3,economics!$AK$2:$AK$167,economics!$AJ$2:$AJ$167,TRUE)-_xlfn.NORM.DIST(BI$30,economics!$AK$2:$AK$167,economics!$AJ$2:$AJ$167,TRUE))*economics!$AM$2:$AM$167))/(SUMPRODUCT((economics!$AG$2:$AG$167=$B45)*(economics!$D$2:$D$167="whr")*economics!$AI$2:$AI$167*(_xlfn.NORM.DIST(BI$3,economics!$AK$2:$AK$167,economics!$AJ$2:$AJ$167,TRUE)-_xlfn.NORM.DIST(BI$30,economics!$AK$2:$AK$167,economics!$AJ$2:$AJ$167,TRUE)))),"")</f>
        <v/>
      </c>
      <c r="BJ45">
        <f t="array" ref="BJ45">IFERROR((SUMPRODUCT((economics!$AG$2:$AG$167=$B45)*(economics!$D$2:$D$167="whr")*economics!$AI$2:$AI$167*(_xlfn.NORM.DIST(BJ$3,economics!$AK$2:$AK$167,economics!$AJ$2:$AJ$167,TRUE)-_xlfn.NORM.DIST(BJ$30,economics!$AK$2:$AK$167,economics!$AJ$2:$AJ$167,TRUE))*economics!$AM$2:$AM$167))/(SUMPRODUCT((economics!$AG$2:$AG$167=$B45)*(economics!$D$2:$D$167="whr")*economics!$AI$2:$AI$167*(_xlfn.NORM.DIST(BJ$3,economics!$AK$2:$AK$167,economics!$AJ$2:$AJ$167,TRUE)-_xlfn.NORM.DIST(BJ$30,economics!$AK$2:$AK$167,economics!$AJ$2:$AJ$167,TRUE)))),"")</f>
        <v/>
      </c>
      <c r="BK45">
        <f t="array" ref="BK45">IFERROR((SUMPRODUCT((economics!$AG$2:$AG$167=$B45)*(economics!$D$2:$D$167="whr")*economics!$AI$2:$AI$167*(_xlfn.NORM.DIST(BK$3,economics!$AK$2:$AK$167,economics!$AJ$2:$AJ$167,TRUE)-_xlfn.NORM.DIST(BK$30,economics!$AK$2:$AK$167,economics!$AJ$2:$AJ$167,TRUE))*economics!$AM$2:$AM$167))/(SUMPRODUCT((economics!$AG$2:$AG$167=$B45)*(economics!$D$2:$D$167="whr")*economics!$AI$2:$AI$167*(_xlfn.NORM.DIST(BK$3,economics!$AK$2:$AK$167,economics!$AJ$2:$AJ$167,TRUE)-_xlfn.NORM.DIST(BK$30,economics!$AK$2:$AK$167,economics!$AJ$2:$AJ$167,TRUE)))),"")</f>
        <v/>
      </c>
      <c r="BL45">
        <f t="array" ref="BL45">IFERROR((SUMPRODUCT((economics!$AG$2:$AG$167=$B45)*(economics!$D$2:$D$167="whr")*economics!$AI$2:$AI$167*(_xlfn.NORM.DIST(BL$3,economics!$AK$2:$AK$167,economics!$AJ$2:$AJ$167,TRUE)-_xlfn.NORM.DIST(BL$30,economics!$AK$2:$AK$167,economics!$AJ$2:$AJ$167,TRUE))*economics!$AM$2:$AM$167))/(SUMPRODUCT((economics!$AG$2:$AG$167=$B45)*(economics!$D$2:$D$167="whr")*economics!$AI$2:$AI$167*(_xlfn.NORM.DIST(BL$3,economics!$AK$2:$AK$167,economics!$AJ$2:$AJ$167,TRUE)-_xlfn.NORM.DIST(BL$30,economics!$AK$2:$AK$167,economics!$AJ$2:$AJ$167,TRUE)))),"")</f>
        <v/>
      </c>
      <c r="BM45">
        <f t="array" ref="BM45">IFERROR((SUMPRODUCT((economics!$AG$2:$AG$167=$B45)*(economics!$D$2:$D$167="whr")*economics!$AI$2:$AI$167*(_xlfn.NORM.DIST(BM$3,economics!$AK$2:$AK$167,economics!$AJ$2:$AJ$167,TRUE)-_xlfn.NORM.DIST(BM$30,economics!$AK$2:$AK$167,economics!$AJ$2:$AJ$167,TRUE))*economics!$AM$2:$AM$167))/(SUMPRODUCT((economics!$AG$2:$AG$167=$B45)*(economics!$D$2:$D$167="whr")*economics!$AI$2:$AI$167*(_xlfn.NORM.DIST(BM$3,economics!$AK$2:$AK$167,economics!$AJ$2:$AJ$167,TRUE)-_xlfn.NORM.DIST(BM$30,economics!$AK$2:$AK$167,economics!$AJ$2:$AJ$167,TRUE)))),"")</f>
        <v/>
      </c>
      <c r="BN45">
        <f t="array" ref="BN45">IFERROR((SUMPRODUCT((economics!$AG$2:$AG$167=$B45)*(economics!$D$2:$D$167="whr")*economics!$AI$2:$AI$167*(_xlfn.NORM.DIST(BN$3,economics!$AK$2:$AK$167,economics!$AJ$2:$AJ$167,TRUE)-_xlfn.NORM.DIST(BN$30,economics!$AK$2:$AK$167,economics!$AJ$2:$AJ$167,TRUE))*economics!$AM$2:$AM$167))/(SUMPRODUCT((economics!$AG$2:$AG$167=$B45)*(economics!$D$2:$D$167="whr")*economics!$AI$2:$AI$167*(_xlfn.NORM.DIST(BN$3,economics!$AK$2:$AK$167,economics!$AJ$2:$AJ$167,TRUE)-_xlfn.NORM.DIST(BN$30,economics!$AK$2:$AK$167,economics!$AJ$2:$AJ$167,TRUE)))),"")</f>
        <v/>
      </c>
      <c r="BO45">
        <f t="array" ref="BO45">IFERROR((SUMPRODUCT((economics!$AG$2:$AG$167=$B45)*(economics!$D$2:$D$167="whr")*economics!$AI$2:$AI$167*(_xlfn.NORM.DIST(BO$3,economics!$AK$2:$AK$167,economics!$AJ$2:$AJ$167,TRUE)-_xlfn.NORM.DIST(BO$30,economics!$AK$2:$AK$167,economics!$AJ$2:$AJ$167,TRUE))*economics!$AM$2:$AM$167))/(SUMPRODUCT((economics!$AG$2:$AG$167=$B45)*(economics!$D$2:$D$167="whr")*economics!$AI$2:$AI$167*(_xlfn.NORM.DIST(BO$3,economics!$AK$2:$AK$167,economics!$AJ$2:$AJ$167,TRUE)-_xlfn.NORM.DIST(BO$30,economics!$AK$2:$AK$167,economics!$AJ$2:$AJ$167,TRUE)))),"")</f>
        <v/>
      </c>
      <c r="BP45">
        <f t="array" ref="BP45">IFERROR((SUMPRODUCT((economics!$AG$2:$AG$167=$B45)*(economics!$D$2:$D$167="whr")*economics!$AI$2:$AI$167*(_xlfn.NORM.DIST(BP$3,economics!$AK$2:$AK$167,economics!$AJ$2:$AJ$167,TRUE)-_xlfn.NORM.DIST(BP$30,economics!$AK$2:$AK$167,economics!$AJ$2:$AJ$167,TRUE))*economics!$AM$2:$AM$167))/(SUMPRODUCT((economics!$AG$2:$AG$167=$B45)*(economics!$D$2:$D$167="whr")*economics!$AI$2:$AI$167*(_xlfn.NORM.DIST(BP$3,economics!$AK$2:$AK$167,economics!$AJ$2:$AJ$167,TRUE)-_xlfn.NORM.DIST(BP$30,economics!$AK$2:$AK$167,economics!$AJ$2:$AJ$167,TRUE)))),"")</f>
        <v/>
      </c>
      <c r="BQ45">
        <f t="array" ref="BQ45">IFERROR((SUMPRODUCT((economics!$AG$2:$AG$167=$B45)*(economics!$D$2:$D$167="whr")*economics!$AI$2:$AI$167*(_xlfn.NORM.DIST(BQ$3,economics!$AK$2:$AK$167,economics!$AJ$2:$AJ$167,TRUE)-_xlfn.NORM.DIST(BQ$30,economics!$AK$2:$AK$167,economics!$AJ$2:$AJ$167,TRUE))*economics!$AM$2:$AM$167))/(SUMPRODUCT((economics!$AG$2:$AG$167=$B45)*(economics!$D$2:$D$167="whr")*economics!$AI$2:$AI$167*(_xlfn.NORM.DIST(BQ$3,economics!$AK$2:$AK$167,economics!$AJ$2:$AJ$167,TRUE)-_xlfn.NORM.DIST(BQ$30,economics!$AK$2:$AK$167,economics!$AJ$2:$AJ$167,TRUE)))),"")</f>
        <v/>
      </c>
      <c r="BR45">
        <f t="array" ref="BR45">IFERROR((SUMPRODUCT((economics!$AG$2:$AG$167=$B45)*(economics!$D$2:$D$167="whr")*economics!$AI$2:$AI$167*(_xlfn.NORM.DIST(BR$3,economics!$AK$2:$AK$167,economics!$AJ$2:$AJ$167,TRUE)-_xlfn.NORM.DIST(BR$30,economics!$AK$2:$AK$167,economics!$AJ$2:$AJ$167,TRUE))*economics!$AM$2:$AM$167))/(SUMPRODUCT((economics!$AG$2:$AG$167=$B45)*(economics!$D$2:$D$167="whr")*economics!$AI$2:$AI$167*(_xlfn.NORM.DIST(BR$3,economics!$AK$2:$AK$167,economics!$AJ$2:$AJ$167,TRUE)-_xlfn.NORM.DIST(BR$30,economics!$AK$2:$AK$167,economics!$AJ$2:$AJ$167,TRUE)))),"")</f>
        <v/>
      </c>
      <c r="BS45">
        <f t="array" ref="BS45">IFERROR((SUMPRODUCT((economics!$AG$2:$AG$167=$B45)*(economics!$D$2:$D$167="whr")*economics!$AI$2:$AI$167*(_xlfn.NORM.DIST(BS$3,economics!$AK$2:$AK$167,economics!$AJ$2:$AJ$167,TRUE)-_xlfn.NORM.DIST(BS$30,economics!$AK$2:$AK$167,economics!$AJ$2:$AJ$167,TRUE))*economics!$AM$2:$AM$167))/(SUMPRODUCT((economics!$AG$2:$AG$167=$B45)*(economics!$D$2:$D$167="whr")*economics!$AI$2:$AI$167*(_xlfn.NORM.DIST(BS$3,economics!$AK$2:$AK$167,economics!$AJ$2:$AJ$167,TRUE)-_xlfn.NORM.DIST(BS$30,economics!$AK$2:$AK$167,economics!$AJ$2:$AJ$167,TRUE)))),"")</f>
        <v/>
      </c>
      <c r="BT45">
        <f t="array" ref="BT45">IFERROR((SUMPRODUCT((economics!$AG$2:$AG$167=$B45)*(economics!$D$2:$D$167="whr")*economics!$AI$2:$AI$167*(_xlfn.NORM.DIST(BT$3,economics!$AK$2:$AK$167,economics!$AJ$2:$AJ$167,TRUE)-_xlfn.NORM.DIST(BT$30,economics!$AK$2:$AK$167,economics!$AJ$2:$AJ$167,TRUE))*economics!$AM$2:$AM$167))/(SUMPRODUCT((economics!$AG$2:$AG$167=$B45)*(economics!$D$2:$D$167="whr")*economics!$AI$2:$AI$167*(_xlfn.NORM.DIST(BT$3,economics!$AK$2:$AK$167,economics!$AJ$2:$AJ$167,TRUE)-_xlfn.NORM.DIST(BT$30,economics!$AK$2:$AK$167,economics!$AJ$2:$AJ$167,TRUE)))),"")</f>
        <v/>
      </c>
      <c r="BU45">
        <f t="array" ref="BU45">IFERROR((SUMPRODUCT((economics!$AG$2:$AG$167=$B45)*(economics!$D$2:$D$167="whr")*economics!$AI$2:$AI$167*(_xlfn.NORM.DIST(BU$3,economics!$AK$2:$AK$167,economics!$AJ$2:$AJ$167,TRUE)-_xlfn.NORM.DIST(BU$30,economics!$AK$2:$AK$167,economics!$AJ$2:$AJ$167,TRUE))*economics!$AM$2:$AM$167))/(SUMPRODUCT((economics!$AG$2:$AG$167=$B45)*(economics!$D$2:$D$167="whr")*economics!$AI$2:$AI$167*(_xlfn.NORM.DIST(BU$3,economics!$AK$2:$AK$167,economics!$AJ$2:$AJ$167,TRUE)-_xlfn.NORM.DIST(BU$30,economics!$AK$2:$AK$167,economics!$AJ$2:$AJ$167,TRUE)))),"")</f>
        <v/>
      </c>
      <c r="BV45">
        <f t="array" ref="BV45">IFERROR((SUMPRODUCT((economics!$AG$2:$AG$167=$B45)*(economics!$D$2:$D$167="whr")*economics!$AI$2:$AI$167*(_xlfn.NORM.DIST(BV$3,economics!$AK$2:$AK$167,economics!$AJ$2:$AJ$167,TRUE)-_xlfn.NORM.DIST(BV$30,economics!$AK$2:$AK$167,economics!$AJ$2:$AJ$167,TRUE))*economics!$AM$2:$AM$167))/(SUMPRODUCT((economics!$AG$2:$AG$167=$B45)*(economics!$D$2:$D$167="whr")*economics!$AI$2:$AI$167*(_xlfn.NORM.DIST(BV$3,economics!$AK$2:$AK$167,economics!$AJ$2:$AJ$167,TRUE)-_xlfn.NORM.DIST(BV$30,economics!$AK$2:$AK$167,economics!$AJ$2:$AJ$167,TRUE)))),"")</f>
        <v/>
      </c>
      <c r="BW45">
        <f t="array" ref="BW45">IFERROR((SUMPRODUCT((economics!$AG$2:$AG$167=$B45)*(economics!$D$2:$D$167="whr")*economics!$AI$2:$AI$167*(_xlfn.NORM.DIST(BW$3,economics!$AK$2:$AK$167,economics!$AJ$2:$AJ$167,TRUE)-_xlfn.NORM.DIST(BW$30,economics!$AK$2:$AK$167,economics!$AJ$2:$AJ$167,TRUE))*economics!$AM$2:$AM$167))/(SUMPRODUCT((economics!$AG$2:$AG$167=$B45)*(economics!$D$2:$D$167="whr")*economics!$AI$2:$AI$167*(_xlfn.NORM.DIST(BW$3,economics!$AK$2:$AK$167,economics!$AJ$2:$AJ$167,TRUE)-_xlfn.NORM.DIST(BW$30,economics!$AK$2:$AK$167,economics!$AJ$2:$AJ$167,TRUE)))),"")</f>
        <v/>
      </c>
      <c r="BX45">
        <f t="array" ref="BX45">IFERROR((SUMPRODUCT((economics!$AG$2:$AG$167=$B45)*(economics!$D$2:$D$167="whr")*economics!$AI$2:$AI$167*(_xlfn.NORM.DIST(BX$3,economics!$AK$2:$AK$167,economics!$AJ$2:$AJ$167,TRUE)-_xlfn.NORM.DIST(BX$30,economics!$AK$2:$AK$167,economics!$AJ$2:$AJ$167,TRUE))*economics!$AM$2:$AM$167))/(SUMPRODUCT((economics!$AG$2:$AG$167=$B45)*(economics!$D$2:$D$167="whr")*economics!$AI$2:$AI$167*(_xlfn.NORM.DIST(BX$3,economics!$AK$2:$AK$167,economics!$AJ$2:$AJ$167,TRUE)-_xlfn.NORM.DIST(BX$30,economics!$AK$2:$AK$167,economics!$AJ$2:$AJ$167,TRUE)))),"")</f>
        <v/>
      </c>
      <c r="BY45">
        <f t="array" ref="BY45">IFERROR((SUMPRODUCT((economics!$AG$2:$AG$167=$B45)*(economics!$D$2:$D$167="whr")*economics!$AI$2:$AI$167*(_xlfn.NORM.DIST(BY$3,economics!$AK$2:$AK$167,economics!$AJ$2:$AJ$167,TRUE)-_xlfn.NORM.DIST(BY$30,economics!$AK$2:$AK$167,economics!$AJ$2:$AJ$167,TRUE))*economics!$AM$2:$AM$167))/(SUMPRODUCT((economics!$AG$2:$AG$167=$B45)*(economics!$D$2:$D$167="whr")*economics!$AI$2:$AI$167*(_xlfn.NORM.DIST(BY$3,economics!$AK$2:$AK$167,economics!$AJ$2:$AJ$167,TRUE)-_xlfn.NORM.DIST(BY$30,economics!$AK$2:$AK$167,economics!$AJ$2:$AJ$167,TRUE)))),"")</f>
        <v/>
      </c>
      <c r="BZ45">
        <f t="array" ref="BZ45">IFERROR((SUMPRODUCT((economics!$AG$2:$AG$167=$B45)*(economics!$D$2:$D$167="whr")*economics!$AI$2:$AI$167*(_xlfn.NORM.DIST(BZ$3,economics!$AK$2:$AK$167,economics!$AJ$2:$AJ$167,TRUE)-_xlfn.NORM.DIST(BZ$30,economics!$AK$2:$AK$167,economics!$AJ$2:$AJ$167,TRUE))*economics!$AM$2:$AM$167))/(SUMPRODUCT((economics!$AG$2:$AG$167=$B45)*(economics!$D$2:$D$167="whr")*economics!$AI$2:$AI$167*(_xlfn.NORM.DIST(BZ$3,economics!$AK$2:$AK$167,economics!$AJ$2:$AJ$167,TRUE)-_xlfn.NORM.DIST(BZ$30,economics!$AK$2:$AK$167,economics!$AJ$2:$AJ$167,TRUE)))),"")</f>
        <v/>
      </c>
      <c r="CA45">
        <f t="array" ref="CA45">IFERROR((SUMPRODUCT((economics!$AG$2:$AG$167=$B45)*(economics!$D$2:$D$167="whr")*economics!$AI$2:$AI$167*(_xlfn.NORM.DIST(CA$3,economics!$AK$2:$AK$167,economics!$AJ$2:$AJ$167,TRUE)-_xlfn.NORM.DIST(CA$30,economics!$AK$2:$AK$167,economics!$AJ$2:$AJ$167,TRUE))*economics!$AM$2:$AM$167))/(SUMPRODUCT((economics!$AG$2:$AG$167=$B45)*(economics!$D$2:$D$167="whr")*economics!$AI$2:$AI$167*(_xlfn.NORM.DIST(CA$3,economics!$AK$2:$AK$167,economics!$AJ$2:$AJ$167,TRUE)-_xlfn.NORM.DIST(CA$30,economics!$AK$2:$AK$167,economics!$AJ$2:$AJ$167,TRUE)))),"")</f>
        <v/>
      </c>
      <c r="CB45">
        <f t="array" ref="CB45">IFERROR((SUMPRODUCT((economics!$AG$2:$AG$167=$B45)*(economics!$D$2:$D$167="whr")*economics!$AI$2:$AI$167*(_xlfn.NORM.DIST(CB$3,economics!$AK$2:$AK$167,economics!$AJ$2:$AJ$167,TRUE)-_xlfn.NORM.DIST(CB$30,economics!$AK$2:$AK$167,economics!$AJ$2:$AJ$167,TRUE))*economics!$AM$2:$AM$167))/(SUMPRODUCT((economics!$AG$2:$AG$167=$B45)*(economics!$D$2:$D$167="whr")*economics!$AI$2:$AI$167*(_xlfn.NORM.DIST(CB$3,economics!$AK$2:$AK$167,economics!$AJ$2:$AJ$167,TRUE)-_xlfn.NORM.DIST(CB$30,economics!$AK$2:$AK$167,economics!$AJ$2:$AJ$167,TRUE)))),"")</f>
        <v/>
      </c>
      <c r="CC45">
        <f t="array" ref="CC45">IFERROR((SUMPRODUCT((economics!$AG$2:$AG$167=$B45)*(economics!$D$2:$D$167="whr")*economics!$AI$2:$AI$167*(_xlfn.NORM.DIST(CC$3,economics!$AK$2:$AK$167,economics!$AJ$2:$AJ$167,TRUE)-_xlfn.NORM.DIST(CC$30,economics!$AK$2:$AK$167,economics!$AJ$2:$AJ$167,TRUE))*economics!$AM$2:$AM$167))/(SUMPRODUCT((economics!$AG$2:$AG$167=$B45)*(economics!$D$2:$D$167="whr")*economics!$AI$2:$AI$167*(_xlfn.NORM.DIST(CC$3,economics!$AK$2:$AK$167,economics!$AJ$2:$AJ$167,TRUE)-_xlfn.NORM.DIST(CC$30,economics!$AK$2:$AK$167,economics!$AJ$2:$AJ$167,TRUE)))),"")</f>
        <v/>
      </c>
      <c r="CD45">
        <f t="array" ref="CD45">IFERROR((SUMPRODUCT((economics!$AG$2:$AG$167=$B45)*(economics!$D$2:$D$167="whr")*economics!$AI$2:$AI$167*(_xlfn.NORM.DIST(CD$3,economics!$AK$2:$AK$167,economics!$AJ$2:$AJ$167,TRUE)-_xlfn.NORM.DIST(CD$30,economics!$AK$2:$AK$167,economics!$AJ$2:$AJ$167,TRUE))*economics!$AM$2:$AM$167))/(SUMPRODUCT((economics!$AG$2:$AG$167=$B45)*(economics!$D$2:$D$167="whr")*economics!$AI$2:$AI$167*(_xlfn.NORM.DIST(CD$3,economics!$AK$2:$AK$167,economics!$AJ$2:$AJ$167,TRUE)-_xlfn.NORM.DIST(CD$30,economics!$AK$2:$AK$167,economics!$AJ$2:$AJ$167,TRUE)))),"")</f>
        <v/>
      </c>
      <c r="CE45">
        <f t="array" ref="CE45">IFERROR((SUMPRODUCT((economics!$AG$2:$AG$167=$B45)*(economics!$D$2:$D$167="whr")*economics!$AI$2:$AI$167*(_xlfn.NORM.DIST(CE$3,economics!$AK$2:$AK$167,economics!$AJ$2:$AJ$167,TRUE)-_xlfn.NORM.DIST(CE$30,economics!$AK$2:$AK$167,economics!$AJ$2:$AJ$167,TRUE))*economics!$AM$2:$AM$167))/(SUMPRODUCT((economics!$AG$2:$AG$167=$B45)*(economics!$D$2:$D$167="whr")*economics!$AI$2:$AI$167*(_xlfn.NORM.DIST(CE$3,economics!$AK$2:$AK$167,economics!$AJ$2:$AJ$167,TRUE)-_xlfn.NORM.DIST(CE$30,economics!$AK$2:$AK$167,economics!$AJ$2:$AJ$167,TRUE)))),"")</f>
        <v/>
      </c>
      <c r="CF45">
        <f t="array" ref="CF45">IFERROR((SUMPRODUCT((economics!$AG$2:$AG$167=$B45)*(economics!$D$2:$D$167="whr")*economics!$AI$2:$AI$167*(_xlfn.NORM.DIST(CF$3,economics!$AK$2:$AK$167,economics!$AJ$2:$AJ$167,TRUE)-_xlfn.NORM.DIST(CF$30,economics!$AK$2:$AK$167,economics!$AJ$2:$AJ$167,TRUE))*economics!$AM$2:$AM$167))/(SUMPRODUCT((economics!$AG$2:$AG$167=$B45)*(economics!$D$2:$D$167="whr")*economics!$AI$2:$AI$167*(_xlfn.NORM.DIST(CF$3,economics!$AK$2:$AK$167,economics!$AJ$2:$AJ$167,TRUE)-_xlfn.NORM.DIST(CF$30,economics!$AK$2:$AK$167,economics!$AJ$2:$AJ$167,TRUE)))),"")</f>
        <v/>
      </c>
      <c r="CG45">
        <f t="array" ref="CG45">IFERROR((SUMPRODUCT((economics!$AG$2:$AG$167=$B45)*(economics!$D$2:$D$167="whr")*economics!$AI$2:$AI$167*(_xlfn.NORM.DIST(CG$3,economics!$AK$2:$AK$167,economics!$AJ$2:$AJ$167,TRUE)-_xlfn.NORM.DIST(CG$30,economics!$AK$2:$AK$167,economics!$AJ$2:$AJ$167,TRUE))*economics!$AM$2:$AM$167))/(SUMPRODUCT((economics!$AG$2:$AG$167=$B45)*(economics!$D$2:$D$167="whr")*economics!$AI$2:$AI$167*(_xlfn.NORM.DIST(CG$3,economics!$AK$2:$AK$167,economics!$AJ$2:$AJ$167,TRUE)-_xlfn.NORM.DIST(CG$30,economics!$AK$2:$AK$167,economics!$AJ$2:$AJ$167,TRUE)))),"")</f>
        <v/>
      </c>
      <c r="CH45">
        <f t="array" ref="CH45">IFERROR((SUMPRODUCT((economics!$AG$2:$AG$167=$B45)*(economics!$D$2:$D$167="whr")*economics!$AI$2:$AI$167*(_xlfn.NORM.DIST(CH$3,economics!$AK$2:$AK$167,economics!$AJ$2:$AJ$167,TRUE)-_xlfn.NORM.DIST(CH$30,economics!$AK$2:$AK$167,economics!$AJ$2:$AJ$167,TRUE))*economics!$AM$2:$AM$167))/(SUMPRODUCT((economics!$AG$2:$AG$167=$B45)*(economics!$D$2:$D$167="whr")*economics!$AI$2:$AI$167*(_xlfn.NORM.DIST(CH$3,economics!$AK$2:$AK$167,economics!$AJ$2:$AJ$167,TRUE)-_xlfn.NORM.DIST(CH$30,economics!$AK$2:$AK$167,economics!$AJ$2:$AJ$167,TRUE)))),"")</f>
        <v/>
      </c>
    </row>
    <row r="46">
      <c r="A46">
        <f>A17</f>
        <v/>
      </c>
      <c r="B46">
        <f>B17</f>
        <v/>
      </c>
      <c r="E46">
        <f t="array" ref="E46">IFERROR((SUMPRODUCT((economics!$AG$2:$AG$167=$B46)*(economics!$D$2:$D$167="whr")*economics!$AI$2:$AI$167*(_xlfn.NORM.DIST(E$3,economics!$AK$2:$AK$167,economics!$AJ$2:$AJ$167,TRUE)-_xlfn.NORM.DIST(E$30,economics!$AK$2:$AK$167,economics!$AJ$2:$AJ$167,TRUE))*economics!$AM$2:$AM$167))/(SUMPRODUCT((economics!$AG$2:$AG$167=$B46)*(economics!$D$2:$D$167="whr")*economics!$AI$2:$AI$167*(_xlfn.NORM.DIST(E$3,economics!$AK$2:$AK$167,economics!$AJ$2:$AJ$167,TRUE)-_xlfn.NORM.DIST(E$30,economics!$AK$2:$AK$167,economics!$AJ$2:$AJ$167,TRUE)))),"")</f>
        <v/>
      </c>
      <c r="F46">
        <f t="array" ref="F46">IFERROR((SUMPRODUCT((economics!$AG$2:$AG$167=$B46)*(economics!$D$2:$D$167="whr")*economics!$AI$2:$AI$167*(_xlfn.NORM.DIST(F$3,economics!$AK$2:$AK$167,economics!$AJ$2:$AJ$167,TRUE)-_xlfn.NORM.DIST(F$30,economics!$AK$2:$AK$167,economics!$AJ$2:$AJ$167,TRUE))*economics!$AM$2:$AM$167))/(SUMPRODUCT((economics!$AG$2:$AG$167=$B46)*(economics!$D$2:$D$167="whr")*economics!$AI$2:$AI$167*(_xlfn.NORM.DIST(F$3,economics!$AK$2:$AK$167,economics!$AJ$2:$AJ$167,TRUE)-_xlfn.NORM.DIST(F$30,economics!$AK$2:$AK$167,economics!$AJ$2:$AJ$167,TRUE)))),"")</f>
        <v/>
      </c>
      <c r="G46">
        <f t="array" ref="G46">IFERROR((SUMPRODUCT((economics!$AG$2:$AG$167=$B46)*(economics!$D$2:$D$167="whr")*economics!$AI$2:$AI$167*(_xlfn.NORM.DIST(G$3,economics!$AK$2:$AK$167,economics!$AJ$2:$AJ$167,TRUE)-_xlfn.NORM.DIST(G$30,economics!$AK$2:$AK$167,economics!$AJ$2:$AJ$167,TRUE))*economics!$AM$2:$AM$167))/(SUMPRODUCT((economics!$AG$2:$AG$167=$B46)*(economics!$D$2:$D$167="whr")*economics!$AI$2:$AI$167*(_xlfn.NORM.DIST(G$3,economics!$AK$2:$AK$167,economics!$AJ$2:$AJ$167,TRUE)-_xlfn.NORM.DIST(G$30,economics!$AK$2:$AK$167,economics!$AJ$2:$AJ$167,TRUE)))),"")</f>
        <v/>
      </c>
      <c r="H46">
        <f t="array" ref="H46">IFERROR((SUMPRODUCT((economics!$AG$2:$AG$167=$B46)*(economics!$D$2:$D$167="whr")*economics!$AI$2:$AI$167*(_xlfn.NORM.DIST(H$3,economics!$AK$2:$AK$167,economics!$AJ$2:$AJ$167,TRUE)-_xlfn.NORM.DIST(H$30,economics!$AK$2:$AK$167,economics!$AJ$2:$AJ$167,TRUE))*economics!$AM$2:$AM$167))/(SUMPRODUCT((economics!$AG$2:$AG$167=$B46)*(economics!$D$2:$D$167="whr")*economics!$AI$2:$AI$167*(_xlfn.NORM.DIST(H$3,economics!$AK$2:$AK$167,economics!$AJ$2:$AJ$167,TRUE)-_xlfn.NORM.DIST(H$30,economics!$AK$2:$AK$167,economics!$AJ$2:$AJ$167,TRUE)))),"")</f>
        <v/>
      </c>
      <c r="I46">
        <f t="array" ref="I46">IFERROR((SUMPRODUCT((economics!$AG$2:$AG$167=$B46)*(economics!$D$2:$D$167="whr")*economics!$AI$2:$AI$167*(_xlfn.NORM.DIST(I$3,economics!$AK$2:$AK$167,economics!$AJ$2:$AJ$167,TRUE)-_xlfn.NORM.DIST(I$30,economics!$AK$2:$AK$167,economics!$AJ$2:$AJ$167,TRUE))*economics!$AM$2:$AM$167))/(SUMPRODUCT((economics!$AG$2:$AG$167=$B46)*(economics!$D$2:$D$167="whr")*economics!$AI$2:$AI$167*(_xlfn.NORM.DIST(I$3,economics!$AK$2:$AK$167,economics!$AJ$2:$AJ$167,TRUE)-_xlfn.NORM.DIST(I$30,economics!$AK$2:$AK$167,economics!$AJ$2:$AJ$167,TRUE)))),"")</f>
        <v/>
      </c>
      <c r="J46">
        <f t="array" ref="J46">IFERROR((SUMPRODUCT((economics!$AG$2:$AG$167=$B46)*(economics!$D$2:$D$167="whr")*economics!$AI$2:$AI$167*(_xlfn.NORM.DIST(J$3,economics!$AK$2:$AK$167,economics!$AJ$2:$AJ$167,TRUE)-_xlfn.NORM.DIST(J$30,economics!$AK$2:$AK$167,economics!$AJ$2:$AJ$167,TRUE))*economics!$AM$2:$AM$167))/(SUMPRODUCT((economics!$AG$2:$AG$167=$B46)*(economics!$D$2:$D$167="whr")*economics!$AI$2:$AI$167*(_xlfn.NORM.DIST(J$3,economics!$AK$2:$AK$167,economics!$AJ$2:$AJ$167,TRUE)-_xlfn.NORM.DIST(J$30,economics!$AK$2:$AK$167,economics!$AJ$2:$AJ$167,TRUE)))),"")</f>
        <v/>
      </c>
      <c r="K46">
        <f t="array" ref="K46">IFERROR((SUMPRODUCT((economics!$AG$2:$AG$167=$B46)*(economics!$D$2:$D$167="whr")*economics!$AI$2:$AI$167*(_xlfn.NORM.DIST(K$3,economics!$AK$2:$AK$167,economics!$AJ$2:$AJ$167,TRUE)-_xlfn.NORM.DIST(K$30,economics!$AK$2:$AK$167,economics!$AJ$2:$AJ$167,TRUE))*economics!$AM$2:$AM$167))/(SUMPRODUCT((economics!$AG$2:$AG$167=$B46)*(economics!$D$2:$D$167="whr")*economics!$AI$2:$AI$167*(_xlfn.NORM.DIST(K$3,economics!$AK$2:$AK$167,economics!$AJ$2:$AJ$167,TRUE)-_xlfn.NORM.DIST(K$30,economics!$AK$2:$AK$167,economics!$AJ$2:$AJ$167,TRUE)))),"")</f>
        <v/>
      </c>
      <c r="L46">
        <f t="array" ref="L46">IFERROR((SUMPRODUCT((economics!$AG$2:$AG$167=$B46)*(economics!$D$2:$D$167="whr")*economics!$AI$2:$AI$167*(_xlfn.NORM.DIST(L$3,economics!$AK$2:$AK$167,economics!$AJ$2:$AJ$167,TRUE)-_xlfn.NORM.DIST(L$30,economics!$AK$2:$AK$167,economics!$AJ$2:$AJ$167,TRUE))*economics!$AM$2:$AM$167))/(SUMPRODUCT((economics!$AG$2:$AG$167=$B46)*(economics!$D$2:$D$167="whr")*economics!$AI$2:$AI$167*(_xlfn.NORM.DIST(L$3,economics!$AK$2:$AK$167,economics!$AJ$2:$AJ$167,TRUE)-_xlfn.NORM.DIST(L$30,economics!$AK$2:$AK$167,economics!$AJ$2:$AJ$167,TRUE)))),"")</f>
        <v/>
      </c>
      <c r="M46">
        <f t="array" ref="M46">IFERROR((SUMPRODUCT((economics!$AG$2:$AG$167=$B46)*(economics!$D$2:$D$167="whr")*economics!$AI$2:$AI$167*(_xlfn.NORM.DIST(M$3,economics!$AK$2:$AK$167,economics!$AJ$2:$AJ$167,TRUE)-_xlfn.NORM.DIST(M$30,economics!$AK$2:$AK$167,economics!$AJ$2:$AJ$167,TRUE))*economics!$AM$2:$AM$167))/(SUMPRODUCT((economics!$AG$2:$AG$167=$B46)*(economics!$D$2:$D$167="whr")*economics!$AI$2:$AI$167*(_xlfn.NORM.DIST(M$3,economics!$AK$2:$AK$167,economics!$AJ$2:$AJ$167,TRUE)-_xlfn.NORM.DIST(M$30,economics!$AK$2:$AK$167,economics!$AJ$2:$AJ$167,TRUE)))),"")</f>
        <v/>
      </c>
      <c r="N46">
        <f t="array" ref="N46">IFERROR((SUMPRODUCT((economics!$AG$2:$AG$167=$B46)*(economics!$D$2:$D$167="whr")*economics!$AI$2:$AI$167*(_xlfn.NORM.DIST(N$3,economics!$AK$2:$AK$167,economics!$AJ$2:$AJ$167,TRUE)-_xlfn.NORM.DIST(N$30,economics!$AK$2:$AK$167,economics!$AJ$2:$AJ$167,TRUE))*economics!$AM$2:$AM$167))/(SUMPRODUCT((economics!$AG$2:$AG$167=$B46)*(economics!$D$2:$D$167="whr")*economics!$AI$2:$AI$167*(_xlfn.NORM.DIST(N$3,economics!$AK$2:$AK$167,economics!$AJ$2:$AJ$167,TRUE)-_xlfn.NORM.DIST(N$30,economics!$AK$2:$AK$167,economics!$AJ$2:$AJ$167,TRUE)))),"")</f>
        <v/>
      </c>
      <c r="O46">
        <f t="array" ref="O46">IFERROR((SUMPRODUCT((economics!$AG$2:$AG$167=$B46)*(economics!$D$2:$D$167="whr")*economics!$AI$2:$AI$167*(_xlfn.NORM.DIST(O$3,economics!$AK$2:$AK$167,economics!$AJ$2:$AJ$167,TRUE)-_xlfn.NORM.DIST(O$30,economics!$AK$2:$AK$167,economics!$AJ$2:$AJ$167,TRUE))*economics!$AM$2:$AM$167))/(SUMPRODUCT((economics!$AG$2:$AG$167=$B46)*(economics!$D$2:$D$167="whr")*economics!$AI$2:$AI$167*(_xlfn.NORM.DIST(O$3,economics!$AK$2:$AK$167,economics!$AJ$2:$AJ$167,TRUE)-_xlfn.NORM.DIST(O$30,economics!$AK$2:$AK$167,economics!$AJ$2:$AJ$167,TRUE)))),"")</f>
        <v/>
      </c>
      <c r="P46">
        <f t="array" ref="P46">IFERROR((SUMPRODUCT((economics!$AG$2:$AG$167=$B46)*(economics!$D$2:$D$167="whr")*economics!$AI$2:$AI$167*(_xlfn.NORM.DIST(P$3,economics!$AK$2:$AK$167,economics!$AJ$2:$AJ$167,TRUE)-_xlfn.NORM.DIST(P$30,economics!$AK$2:$AK$167,economics!$AJ$2:$AJ$167,TRUE))*economics!$AM$2:$AM$167))/(SUMPRODUCT((economics!$AG$2:$AG$167=$B46)*(economics!$D$2:$D$167="whr")*economics!$AI$2:$AI$167*(_xlfn.NORM.DIST(P$3,economics!$AK$2:$AK$167,economics!$AJ$2:$AJ$167,TRUE)-_xlfn.NORM.DIST(P$30,economics!$AK$2:$AK$167,economics!$AJ$2:$AJ$167,TRUE)))),"")</f>
        <v/>
      </c>
      <c r="Q46">
        <f t="array" ref="Q46">IFERROR((SUMPRODUCT((economics!$AG$2:$AG$167=$B46)*(economics!$D$2:$D$167="whr")*economics!$AI$2:$AI$167*(_xlfn.NORM.DIST(Q$3,economics!$AK$2:$AK$167,economics!$AJ$2:$AJ$167,TRUE)-_xlfn.NORM.DIST(Q$30,economics!$AK$2:$AK$167,economics!$AJ$2:$AJ$167,TRUE))*economics!$AM$2:$AM$167))/(SUMPRODUCT((economics!$AG$2:$AG$167=$B46)*(economics!$D$2:$D$167="whr")*economics!$AI$2:$AI$167*(_xlfn.NORM.DIST(Q$3,economics!$AK$2:$AK$167,economics!$AJ$2:$AJ$167,TRUE)-_xlfn.NORM.DIST(Q$30,economics!$AK$2:$AK$167,economics!$AJ$2:$AJ$167,TRUE)))),"")</f>
        <v/>
      </c>
      <c r="R46">
        <f t="array" ref="R46">IFERROR((SUMPRODUCT((economics!$AG$2:$AG$167=$B46)*(economics!$D$2:$D$167="whr")*economics!$AI$2:$AI$167*(_xlfn.NORM.DIST(R$3,economics!$AK$2:$AK$167,economics!$AJ$2:$AJ$167,TRUE)-_xlfn.NORM.DIST(R$30,economics!$AK$2:$AK$167,economics!$AJ$2:$AJ$167,TRUE))*economics!$AM$2:$AM$167))/(SUMPRODUCT((economics!$AG$2:$AG$167=$B46)*(economics!$D$2:$D$167="whr")*economics!$AI$2:$AI$167*(_xlfn.NORM.DIST(R$3,economics!$AK$2:$AK$167,economics!$AJ$2:$AJ$167,TRUE)-_xlfn.NORM.DIST(R$30,economics!$AK$2:$AK$167,economics!$AJ$2:$AJ$167,TRUE)))),"")</f>
        <v/>
      </c>
      <c r="S46">
        <f t="array" ref="S46">IFERROR((SUMPRODUCT((economics!$AG$2:$AG$167=$B46)*(economics!$D$2:$D$167="whr")*economics!$AI$2:$AI$167*(_xlfn.NORM.DIST(S$3,economics!$AK$2:$AK$167,economics!$AJ$2:$AJ$167,TRUE)-_xlfn.NORM.DIST(S$30,economics!$AK$2:$AK$167,economics!$AJ$2:$AJ$167,TRUE))*economics!$AM$2:$AM$167))/(SUMPRODUCT((economics!$AG$2:$AG$167=$B46)*(economics!$D$2:$D$167="whr")*economics!$AI$2:$AI$167*(_xlfn.NORM.DIST(S$3,economics!$AK$2:$AK$167,economics!$AJ$2:$AJ$167,TRUE)-_xlfn.NORM.DIST(S$30,economics!$AK$2:$AK$167,economics!$AJ$2:$AJ$167,TRUE)))),"")</f>
        <v/>
      </c>
      <c r="T46">
        <f t="array" ref="T46">IFERROR((SUMPRODUCT((economics!$AG$2:$AG$167=$B46)*(economics!$D$2:$D$167="whr")*economics!$AI$2:$AI$167*(_xlfn.NORM.DIST(T$3,economics!$AK$2:$AK$167,economics!$AJ$2:$AJ$167,TRUE)-_xlfn.NORM.DIST(T$30,economics!$AK$2:$AK$167,economics!$AJ$2:$AJ$167,TRUE))*economics!$AM$2:$AM$167))/(SUMPRODUCT((economics!$AG$2:$AG$167=$B46)*(economics!$D$2:$D$167="whr")*economics!$AI$2:$AI$167*(_xlfn.NORM.DIST(T$3,economics!$AK$2:$AK$167,economics!$AJ$2:$AJ$167,TRUE)-_xlfn.NORM.DIST(T$30,economics!$AK$2:$AK$167,economics!$AJ$2:$AJ$167,TRUE)))),"")</f>
        <v/>
      </c>
      <c r="U46">
        <f t="array" ref="U46">IFERROR((SUMPRODUCT((economics!$AG$2:$AG$167=$B46)*(economics!$D$2:$D$167="whr")*economics!$AI$2:$AI$167*(_xlfn.NORM.DIST(U$3,economics!$AK$2:$AK$167,economics!$AJ$2:$AJ$167,TRUE)-_xlfn.NORM.DIST(U$30,economics!$AK$2:$AK$167,economics!$AJ$2:$AJ$167,TRUE))*economics!$AM$2:$AM$167))/(SUMPRODUCT((economics!$AG$2:$AG$167=$B46)*(economics!$D$2:$D$167="whr")*economics!$AI$2:$AI$167*(_xlfn.NORM.DIST(U$3,economics!$AK$2:$AK$167,economics!$AJ$2:$AJ$167,TRUE)-_xlfn.NORM.DIST(U$30,economics!$AK$2:$AK$167,economics!$AJ$2:$AJ$167,TRUE)))),"")</f>
        <v/>
      </c>
      <c r="V46">
        <f t="array" ref="V46">IFERROR((SUMPRODUCT((economics!$AG$2:$AG$167=$B46)*(economics!$D$2:$D$167="whr")*economics!$AI$2:$AI$167*(_xlfn.NORM.DIST(V$3,economics!$AK$2:$AK$167,economics!$AJ$2:$AJ$167,TRUE)-_xlfn.NORM.DIST(V$30,economics!$AK$2:$AK$167,economics!$AJ$2:$AJ$167,TRUE))*economics!$AM$2:$AM$167))/(SUMPRODUCT((economics!$AG$2:$AG$167=$B46)*(economics!$D$2:$D$167="whr")*economics!$AI$2:$AI$167*(_xlfn.NORM.DIST(V$3,economics!$AK$2:$AK$167,economics!$AJ$2:$AJ$167,TRUE)-_xlfn.NORM.DIST(V$30,economics!$AK$2:$AK$167,economics!$AJ$2:$AJ$167,TRUE)))),"")</f>
        <v/>
      </c>
      <c r="W46">
        <f t="array" ref="W46">IFERROR((SUMPRODUCT((economics!$AG$2:$AG$167=$B46)*(economics!$D$2:$D$167="whr")*economics!$AI$2:$AI$167*(_xlfn.NORM.DIST(W$3,economics!$AK$2:$AK$167,economics!$AJ$2:$AJ$167,TRUE)-_xlfn.NORM.DIST(W$30,economics!$AK$2:$AK$167,economics!$AJ$2:$AJ$167,TRUE))*economics!$AM$2:$AM$167))/(SUMPRODUCT((economics!$AG$2:$AG$167=$B46)*(economics!$D$2:$D$167="whr")*economics!$AI$2:$AI$167*(_xlfn.NORM.DIST(W$3,economics!$AK$2:$AK$167,economics!$AJ$2:$AJ$167,TRUE)-_xlfn.NORM.DIST(W$30,economics!$AK$2:$AK$167,economics!$AJ$2:$AJ$167,TRUE)))),"")</f>
        <v/>
      </c>
      <c r="X46">
        <f t="array" ref="X46">IFERROR((SUMPRODUCT((economics!$AG$2:$AG$167=$B46)*(economics!$D$2:$D$167="whr")*economics!$AI$2:$AI$167*(_xlfn.NORM.DIST(X$3,economics!$AK$2:$AK$167,economics!$AJ$2:$AJ$167,TRUE)-_xlfn.NORM.DIST(X$30,economics!$AK$2:$AK$167,economics!$AJ$2:$AJ$167,TRUE))*economics!$AM$2:$AM$167))/(SUMPRODUCT((economics!$AG$2:$AG$167=$B46)*(economics!$D$2:$D$167="whr")*economics!$AI$2:$AI$167*(_xlfn.NORM.DIST(X$3,economics!$AK$2:$AK$167,economics!$AJ$2:$AJ$167,TRUE)-_xlfn.NORM.DIST(X$30,economics!$AK$2:$AK$167,economics!$AJ$2:$AJ$167,TRUE)))),"")</f>
        <v/>
      </c>
      <c r="Y46">
        <f t="array" ref="Y46">IFERROR((SUMPRODUCT((economics!$AG$2:$AG$167=$B46)*(economics!$D$2:$D$167="whr")*economics!$AI$2:$AI$167*(_xlfn.NORM.DIST(Y$3,economics!$AK$2:$AK$167,economics!$AJ$2:$AJ$167,TRUE)-_xlfn.NORM.DIST(Y$30,economics!$AK$2:$AK$167,economics!$AJ$2:$AJ$167,TRUE))*economics!$AM$2:$AM$167))/(SUMPRODUCT((economics!$AG$2:$AG$167=$B46)*(economics!$D$2:$D$167="whr")*economics!$AI$2:$AI$167*(_xlfn.NORM.DIST(Y$3,economics!$AK$2:$AK$167,economics!$AJ$2:$AJ$167,TRUE)-_xlfn.NORM.DIST(Y$30,economics!$AK$2:$AK$167,economics!$AJ$2:$AJ$167,TRUE)))),"")</f>
        <v/>
      </c>
      <c r="Z46">
        <f t="array" ref="Z46">IFERROR((SUMPRODUCT((economics!$AG$2:$AG$167=$B46)*(economics!$D$2:$D$167="whr")*economics!$AI$2:$AI$167*(_xlfn.NORM.DIST(Z$3,economics!$AK$2:$AK$167,economics!$AJ$2:$AJ$167,TRUE)-_xlfn.NORM.DIST(Z$30,economics!$AK$2:$AK$167,economics!$AJ$2:$AJ$167,TRUE))*economics!$AM$2:$AM$167))/(SUMPRODUCT((economics!$AG$2:$AG$167=$B46)*(economics!$D$2:$D$167="whr")*economics!$AI$2:$AI$167*(_xlfn.NORM.DIST(Z$3,economics!$AK$2:$AK$167,economics!$AJ$2:$AJ$167,TRUE)-_xlfn.NORM.DIST(Z$30,economics!$AK$2:$AK$167,economics!$AJ$2:$AJ$167,TRUE)))),"")</f>
        <v/>
      </c>
      <c r="AA46">
        <f t="array" ref="AA46">IFERROR((SUMPRODUCT((economics!$AG$2:$AG$167=$B46)*(economics!$D$2:$D$167="whr")*economics!$AI$2:$AI$167*(_xlfn.NORM.DIST(AA$3,economics!$AK$2:$AK$167,economics!$AJ$2:$AJ$167,TRUE)-_xlfn.NORM.DIST(AA$30,economics!$AK$2:$AK$167,economics!$AJ$2:$AJ$167,TRUE))*economics!$AM$2:$AM$167))/(SUMPRODUCT((economics!$AG$2:$AG$167=$B46)*(economics!$D$2:$D$167="whr")*economics!$AI$2:$AI$167*(_xlfn.NORM.DIST(AA$3,economics!$AK$2:$AK$167,economics!$AJ$2:$AJ$167,TRUE)-_xlfn.NORM.DIST(AA$30,economics!$AK$2:$AK$167,economics!$AJ$2:$AJ$167,TRUE)))),"")</f>
        <v/>
      </c>
      <c r="AB46">
        <f t="array" ref="AB46">IFERROR((SUMPRODUCT((economics!$AG$2:$AG$167=$B46)*(economics!$D$2:$D$167="whr")*economics!$AI$2:$AI$167*(_xlfn.NORM.DIST(AB$3,economics!$AK$2:$AK$167,economics!$AJ$2:$AJ$167,TRUE)-_xlfn.NORM.DIST(AB$30,economics!$AK$2:$AK$167,economics!$AJ$2:$AJ$167,TRUE))*economics!$AM$2:$AM$167))/(SUMPRODUCT((economics!$AG$2:$AG$167=$B46)*(economics!$D$2:$D$167="whr")*economics!$AI$2:$AI$167*(_xlfn.NORM.DIST(AB$3,economics!$AK$2:$AK$167,economics!$AJ$2:$AJ$167,TRUE)-_xlfn.NORM.DIST(AB$30,economics!$AK$2:$AK$167,economics!$AJ$2:$AJ$167,TRUE)))),"")</f>
        <v/>
      </c>
      <c r="AC46">
        <f t="array" ref="AC46">IFERROR((SUMPRODUCT((economics!$AG$2:$AG$167=$B46)*(economics!$D$2:$D$167="whr")*economics!$AI$2:$AI$167*(_xlfn.NORM.DIST(AC$3,economics!$AK$2:$AK$167,economics!$AJ$2:$AJ$167,TRUE)-_xlfn.NORM.DIST(AC$30,economics!$AK$2:$AK$167,economics!$AJ$2:$AJ$167,TRUE))*economics!$AM$2:$AM$167))/(SUMPRODUCT((economics!$AG$2:$AG$167=$B46)*(economics!$D$2:$D$167="whr")*economics!$AI$2:$AI$167*(_xlfn.NORM.DIST(AC$3,economics!$AK$2:$AK$167,economics!$AJ$2:$AJ$167,TRUE)-_xlfn.NORM.DIST(AC$30,economics!$AK$2:$AK$167,economics!$AJ$2:$AJ$167,TRUE)))),"")</f>
        <v/>
      </c>
      <c r="AD46">
        <f t="array" ref="AD46">IFERROR((SUMPRODUCT((economics!$AG$2:$AG$167=$B46)*(economics!$D$2:$D$167="whr")*economics!$AI$2:$AI$167*(_xlfn.NORM.DIST(AD$3,economics!$AK$2:$AK$167,economics!$AJ$2:$AJ$167,TRUE)-_xlfn.NORM.DIST(AD$30,economics!$AK$2:$AK$167,economics!$AJ$2:$AJ$167,TRUE))*economics!$AM$2:$AM$167))/(SUMPRODUCT((economics!$AG$2:$AG$167=$B46)*(economics!$D$2:$D$167="whr")*economics!$AI$2:$AI$167*(_xlfn.NORM.DIST(AD$3,economics!$AK$2:$AK$167,economics!$AJ$2:$AJ$167,TRUE)-_xlfn.NORM.DIST(AD$30,economics!$AK$2:$AK$167,economics!$AJ$2:$AJ$167,TRUE)))),"")</f>
        <v/>
      </c>
      <c r="AE46">
        <f t="array" ref="AE46">IFERROR((SUMPRODUCT((economics!$AG$2:$AG$167=$B46)*(economics!$D$2:$D$167="whr")*economics!$AI$2:$AI$167*(_xlfn.NORM.DIST(AE$3,economics!$AK$2:$AK$167,economics!$AJ$2:$AJ$167,TRUE)-_xlfn.NORM.DIST(AE$30,economics!$AK$2:$AK$167,economics!$AJ$2:$AJ$167,TRUE))*economics!$AM$2:$AM$167))/(SUMPRODUCT((economics!$AG$2:$AG$167=$B46)*(economics!$D$2:$D$167="whr")*economics!$AI$2:$AI$167*(_xlfn.NORM.DIST(AE$3,economics!$AK$2:$AK$167,economics!$AJ$2:$AJ$167,TRUE)-_xlfn.NORM.DIST(AE$30,economics!$AK$2:$AK$167,economics!$AJ$2:$AJ$167,TRUE)))),"")</f>
        <v/>
      </c>
      <c r="AF46">
        <f t="array" ref="AF46">IFERROR((SUMPRODUCT((economics!$AG$2:$AG$167=$B46)*(economics!$D$2:$D$167="whr")*economics!$AI$2:$AI$167*(_xlfn.NORM.DIST(AF$3,economics!$AK$2:$AK$167,economics!$AJ$2:$AJ$167,TRUE)-_xlfn.NORM.DIST(AF$30,economics!$AK$2:$AK$167,economics!$AJ$2:$AJ$167,TRUE))*economics!$AM$2:$AM$167))/(SUMPRODUCT((economics!$AG$2:$AG$167=$B46)*(economics!$D$2:$D$167="whr")*economics!$AI$2:$AI$167*(_xlfn.NORM.DIST(AF$3,economics!$AK$2:$AK$167,economics!$AJ$2:$AJ$167,TRUE)-_xlfn.NORM.DIST(AF$30,economics!$AK$2:$AK$167,economics!$AJ$2:$AJ$167,TRUE)))),"")</f>
        <v/>
      </c>
      <c r="AG46">
        <f t="array" ref="AG46">IFERROR((SUMPRODUCT((economics!$AG$2:$AG$167=$B46)*(economics!$D$2:$D$167="whr")*economics!$AI$2:$AI$167*(_xlfn.NORM.DIST(AG$3,economics!$AK$2:$AK$167,economics!$AJ$2:$AJ$167,TRUE)-_xlfn.NORM.DIST(AG$30,economics!$AK$2:$AK$167,economics!$AJ$2:$AJ$167,TRUE))*economics!$AM$2:$AM$167))/(SUMPRODUCT((economics!$AG$2:$AG$167=$B46)*(economics!$D$2:$D$167="whr")*economics!$AI$2:$AI$167*(_xlfn.NORM.DIST(AG$3,economics!$AK$2:$AK$167,economics!$AJ$2:$AJ$167,TRUE)-_xlfn.NORM.DIST(AG$30,economics!$AK$2:$AK$167,economics!$AJ$2:$AJ$167,TRUE)))),"")</f>
        <v/>
      </c>
      <c r="AH46">
        <f t="array" ref="AH46">IFERROR((SUMPRODUCT((economics!$AG$2:$AG$167=$B46)*(economics!$D$2:$D$167="whr")*economics!$AI$2:$AI$167*(_xlfn.NORM.DIST(AH$3,economics!$AK$2:$AK$167,economics!$AJ$2:$AJ$167,TRUE)-_xlfn.NORM.DIST(AH$30,economics!$AK$2:$AK$167,economics!$AJ$2:$AJ$167,TRUE))*economics!$AM$2:$AM$167))/(SUMPRODUCT((economics!$AG$2:$AG$167=$B46)*(economics!$D$2:$D$167="whr")*economics!$AI$2:$AI$167*(_xlfn.NORM.DIST(AH$3,economics!$AK$2:$AK$167,economics!$AJ$2:$AJ$167,TRUE)-_xlfn.NORM.DIST(AH$30,economics!$AK$2:$AK$167,economics!$AJ$2:$AJ$167,TRUE)))),"")</f>
        <v/>
      </c>
      <c r="AI46">
        <f t="array" ref="AI46">IFERROR((SUMPRODUCT((economics!$AG$2:$AG$167=$B46)*(economics!$D$2:$D$167="whr")*economics!$AI$2:$AI$167*(_xlfn.NORM.DIST(AI$3,economics!$AK$2:$AK$167,economics!$AJ$2:$AJ$167,TRUE)-_xlfn.NORM.DIST(AI$30,economics!$AK$2:$AK$167,economics!$AJ$2:$AJ$167,TRUE))*economics!$AM$2:$AM$167))/(SUMPRODUCT((economics!$AG$2:$AG$167=$B46)*(economics!$D$2:$D$167="whr")*economics!$AI$2:$AI$167*(_xlfn.NORM.DIST(AI$3,economics!$AK$2:$AK$167,economics!$AJ$2:$AJ$167,TRUE)-_xlfn.NORM.DIST(AI$30,economics!$AK$2:$AK$167,economics!$AJ$2:$AJ$167,TRUE)))),"")</f>
        <v/>
      </c>
      <c r="AJ46">
        <f t="array" ref="AJ46">IFERROR((SUMPRODUCT((economics!$AG$2:$AG$167=$B46)*(economics!$D$2:$D$167="whr")*economics!$AI$2:$AI$167*(_xlfn.NORM.DIST(AJ$3,economics!$AK$2:$AK$167,economics!$AJ$2:$AJ$167,TRUE)-_xlfn.NORM.DIST(AJ$30,economics!$AK$2:$AK$167,economics!$AJ$2:$AJ$167,TRUE))*economics!$AM$2:$AM$167))/(SUMPRODUCT((economics!$AG$2:$AG$167=$B46)*(economics!$D$2:$D$167="whr")*economics!$AI$2:$AI$167*(_xlfn.NORM.DIST(AJ$3,economics!$AK$2:$AK$167,economics!$AJ$2:$AJ$167,TRUE)-_xlfn.NORM.DIST(AJ$30,economics!$AK$2:$AK$167,economics!$AJ$2:$AJ$167,TRUE)))),"")</f>
        <v/>
      </c>
      <c r="AK46">
        <f t="array" ref="AK46">IFERROR((SUMPRODUCT((economics!$AG$2:$AG$167=$B46)*(economics!$D$2:$D$167="whr")*economics!$AI$2:$AI$167*(_xlfn.NORM.DIST(AK$3,economics!$AK$2:$AK$167,economics!$AJ$2:$AJ$167,TRUE)-_xlfn.NORM.DIST(AK$30,economics!$AK$2:$AK$167,economics!$AJ$2:$AJ$167,TRUE))*economics!$AM$2:$AM$167))/(SUMPRODUCT((economics!$AG$2:$AG$167=$B46)*(economics!$D$2:$D$167="whr")*economics!$AI$2:$AI$167*(_xlfn.NORM.DIST(AK$3,economics!$AK$2:$AK$167,economics!$AJ$2:$AJ$167,TRUE)-_xlfn.NORM.DIST(AK$30,economics!$AK$2:$AK$167,economics!$AJ$2:$AJ$167,TRUE)))),"")</f>
        <v/>
      </c>
      <c r="AL46">
        <f t="array" ref="AL46">IFERROR((SUMPRODUCT((economics!$AG$2:$AG$167=$B46)*(economics!$D$2:$D$167="whr")*economics!$AI$2:$AI$167*(_xlfn.NORM.DIST(AL$3,economics!$AK$2:$AK$167,economics!$AJ$2:$AJ$167,TRUE)-_xlfn.NORM.DIST(AL$30,economics!$AK$2:$AK$167,economics!$AJ$2:$AJ$167,TRUE))*economics!$AM$2:$AM$167))/(SUMPRODUCT((economics!$AG$2:$AG$167=$B46)*(economics!$D$2:$D$167="whr")*economics!$AI$2:$AI$167*(_xlfn.NORM.DIST(AL$3,economics!$AK$2:$AK$167,economics!$AJ$2:$AJ$167,TRUE)-_xlfn.NORM.DIST(AL$30,economics!$AK$2:$AK$167,economics!$AJ$2:$AJ$167,TRUE)))),"")</f>
        <v/>
      </c>
      <c r="AM46">
        <f t="array" ref="AM46">IFERROR((SUMPRODUCT((economics!$AG$2:$AG$167=$B46)*(economics!$D$2:$D$167="whr")*economics!$AI$2:$AI$167*(_xlfn.NORM.DIST(AM$3,economics!$AK$2:$AK$167,economics!$AJ$2:$AJ$167,TRUE)-_xlfn.NORM.DIST(AM$30,economics!$AK$2:$AK$167,economics!$AJ$2:$AJ$167,TRUE))*economics!$AM$2:$AM$167))/(SUMPRODUCT((economics!$AG$2:$AG$167=$B46)*(economics!$D$2:$D$167="whr")*economics!$AI$2:$AI$167*(_xlfn.NORM.DIST(AM$3,economics!$AK$2:$AK$167,economics!$AJ$2:$AJ$167,TRUE)-_xlfn.NORM.DIST(AM$30,economics!$AK$2:$AK$167,economics!$AJ$2:$AJ$167,TRUE)))),"")</f>
        <v/>
      </c>
      <c r="AN46">
        <f t="array" ref="AN46">IFERROR((SUMPRODUCT((economics!$AG$2:$AG$167=$B46)*(economics!$D$2:$D$167="whr")*economics!$AI$2:$AI$167*(_xlfn.NORM.DIST(AN$3,economics!$AK$2:$AK$167,economics!$AJ$2:$AJ$167,TRUE)-_xlfn.NORM.DIST(AN$30,economics!$AK$2:$AK$167,economics!$AJ$2:$AJ$167,TRUE))*economics!$AM$2:$AM$167))/(SUMPRODUCT((economics!$AG$2:$AG$167=$B46)*(economics!$D$2:$D$167="whr")*economics!$AI$2:$AI$167*(_xlfn.NORM.DIST(AN$3,economics!$AK$2:$AK$167,economics!$AJ$2:$AJ$167,TRUE)-_xlfn.NORM.DIST(AN$30,economics!$AK$2:$AK$167,economics!$AJ$2:$AJ$167,TRUE)))),"")</f>
        <v/>
      </c>
      <c r="AO46">
        <f t="array" ref="AO46">IFERROR((SUMPRODUCT((economics!$AG$2:$AG$167=$B46)*(economics!$D$2:$D$167="whr")*economics!$AI$2:$AI$167*(_xlfn.NORM.DIST(AO$3,economics!$AK$2:$AK$167,economics!$AJ$2:$AJ$167,TRUE)-_xlfn.NORM.DIST(AO$30,economics!$AK$2:$AK$167,economics!$AJ$2:$AJ$167,TRUE))*economics!$AM$2:$AM$167))/(SUMPRODUCT((economics!$AG$2:$AG$167=$B46)*(economics!$D$2:$D$167="whr")*economics!$AI$2:$AI$167*(_xlfn.NORM.DIST(AO$3,economics!$AK$2:$AK$167,economics!$AJ$2:$AJ$167,TRUE)-_xlfn.NORM.DIST(AO$30,economics!$AK$2:$AK$167,economics!$AJ$2:$AJ$167,TRUE)))),"")</f>
        <v/>
      </c>
      <c r="AP46">
        <f t="array" ref="AP46">IFERROR((SUMPRODUCT((economics!$AG$2:$AG$167=$B46)*(economics!$D$2:$D$167="whr")*economics!$AI$2:$AI$167*(_xlfn.NORM.DIST(AP$3,economics!$AK$2:$AK$167,economics!$AJ$2:$AJ$167,TRUE)-_xlfn.NORM.DIST(AP$30,economics!$AK$2:$AK$167,economics!$AJ$2:$AJ$167,TRUE))*economics!$AM$2:$AM$167))/(SUMPRODUCT((economics!$AG$2:$AG$167=$B46)*(economics!$D$2:$D$167="whr")*economics!$AI$2:$AI$167*(_xlfn.NORM.DIST(AP$3,economics!$AK$2:$AK$167,economics!$AJ$2:$AJ$167,TRUE)-_xlfn.NORM.DIST(AP$30,economics!$AK$2:$AK$167,economics!$AJ$2:$AJ$167,TRUE)))),"")</f>
        <v/>
      </c>
      <c r="AQ46">
        <f t="array" ref="AQ46">IFERROR((SUMPRODUCT((economics!$AG$2:$AG$167=$B46)*(economics!$D$2:$D$167="whr")*economics!$AI$2:$AI$167*(_xlfn.NORM.DIST(AQ$3,economics!$AK$2:$AK$167,economics!$AJ$2:$AJ$167,TRUE)-_xlfn.NORM.DIST(AQ$30,economics!$AK$2:$AK$167,economics!$AJ$2:$AJ$167,TRUE))*economics!$AM$2:$AM$167))/(SUMPRODUCT((economics!$AG$2:$AG$167=$B46)*(economics!$D$2:$D$167="whr")*economics!$AI$2:$AI$167*(_xlfn.NORM.DIST(AQ$3,economics!$AK$2:$AK$167,economics!$AJ$2:$AJ$167,TRUE)-_xlfn.NORM.DIST(AQ$30,economics!$AK$2:$AK$167,economics!$AJ$2:$AJ$167,TRUE)))),"")</f>
        <v/>
      </c>
      <c r="AR46">
        <f t="array" ref="AR46">IFERROR((SUMPRODUCT((economics!$AG$2:$AG$167=$B46)*(economics!$D$2:$D$167="whr")*economics!$AI$2:$AI$167*(_xlfn.NORM.DIST(AR$3,economics!$AK$2:$AK$167,economics!$AJ$2:$AJ$167,TRUE)-_xlfn.NORM.DIST(AR$30,economics!$AK$2:$AK$167,economics!$AJ$2:$AJ$167,TRUE))*economics!$AM$2:$AM$167))/(SUMPRODUCT((economics!$AG$2:$AG$167=$B46)*(economics!$D$2:$D$167="whr")*economics!$AI$2:$AI$167*(_xlfn.NORM.DIST(AR$3,economics!$AK$2:$AK$167,economics!$AJ$2:$AJ$167,TRUE)-_xlfn.NORM.DIST(AR$30,economics!$AK$2:$AK$167,economics!$AJ$2:$AJ$167,TRUE)))),"")</f>
        <v/>
      </c>
      <c r="AS46">
        <f t="array" ref="AS46">IFERROR((SUMPRODUCT((economics!$AG$2:$AG$167=$B46)*(economics!$D$2:$D$167="whr")*economics!$AI$2:$AI$167*(_xlfn.NORM.DIST(AS$3,economics!$AK$2:$AK$167,economics!$AJ$2:$AJ$167,TRUE)-_xlfn.NORM.DIST(AS$30,economics!$AK$2:$AK$167,economics!$AJ$2:$AJ$167,TRUE))*economics!$AM$2:$AM$167))/(SUMPRODUCT((economics!$AG$2:$AG$167=$B46)*(economics!$D$2:$D$167="whr")*economics!$AI$2:$AI$167*(_xlfn.NORM.DIST(AS$3,economics!$AK$2:$AK$167,economics!$AJ$2:$AJ$167,TRUE)-_xlfn.NORM.DIST(AS$30,economics!$AK$2:$AK$167,economics!$AJ$2:$AJ$167,TRUE)))),"")</f>
        <v/>
      </c>
      <c r="AT46">
        <f t="array" ref="AT46">IFERROR((SUMPRODUCT((economics!$AG$2:$AG$167=$B46)*(economics!$D$2:$D$167="whr")*economics!$AI$2:$AI$167*(_xlfn.NORM.DIST(AT$3,economics!$AK$2:$AK$167,economics!$AJ$2:$AJ$167,TRUE)-_xlfn.NORM.DIST(AT$30,economics!$AK$2:$AK$167,economics!$AJ$2:$AJ$167,TRUE))*economics!$AM$2:$AM$167))/(SUMPRODUCT((economics!$AG$2:$AG$167=$B46)*(economics!$D$2:$D$167="whr")*economics!$AI$2:$AI$167*(_xlfn.NORM.DIST(AT$3,economics!$AK$2:$AK$167,economics!$AJ$2:$AJ$167,TRUE)-_xlfn.NORM.DIST(AT$30,economics!$AK$2:$AK$167,economics!$AJ$2:$AJ$167,TRUE)))),"")</f>
        <v/>
      </c>
      <c r="AU46">
        <f t="array" ref="AU46">IFERROR((SUMPRODUCT((economics!$AG$2:$AG$167=$B46)*(economics!$D$2:$D$167="whr")*economics!$AI$2:$AI$167*(_xlfn.NORM.DIST(AU$3,economics!$AK$2:$AK$167,economics!$AJ$2:$AJ$167,TRUE)-_xlfn.NORM.DIST(AU$30,economics!$AK$2:$AK$167,economics!$AJ$2:$AJ$167,TRUE))*economics!$AM$2:$AM$167))/(SUMPRODUCT((economics!$AG$2:$AG$167=$B46)*(economics!$D$2:$D$167="whr")*economics!$AI$2:$AI$167*(_xlfn.NORM.DIST(AU$3,economics!$AK$2:$AK$167,economics!$AJ$2:$AJ$167,TRUE)-_xlfn.NORM.DIST(AU$30,economics!$AK$2:$AK$167,economics!$AJ$2:$AJ$167,TRUE)))),"")</f>
        <v/>
      </c>
      <c r="AV46">
        <f t="array" ref="AV46">IFERROR((SUMPRODUCT((economics!$AG$2:$AG$167=$B46)*(economics!$D$2:$D$167="whr")*economics!$AI$2:$AI$167*(_xlfn.NORM.DIST(AV$3,economics!$AK$2:$AK$167,economics!$AJ$2:$AJ$167,TRUE)-_xlfn.NORM.DIST(AV$30,economics!$AK$2:$AK$167,economics!$AJ$2:$AJ$167,TRUE))*economics!$AM$2:$AM$167))/(SUMPRODUCT((economics!$AG$2:$AG$167=$B46)*(economics!$D$2:$D$167="whr")*economics!$AI$2:$AI$167*(_xlfn.NORM.DIST(AV$3,economics!$AK$2:$AK$167,economics!$AJ$2:$AJ$167,TRUE)-_xlfn.NORM.DIST(AV$30,economics!$AK$2:$AK$167,economics!$AJ$2:$AJ$167,TRUE)))),"")</f>
        <v/>
      </c>
      <c r="AW46">
        <f t="array" ref="AW46">IFERROR((SUMPRODUCT((economics!$AG$2:$AG$167=$B46)*(economics!$D$2:$D$167="whr")*economics!$AI$2:$AI$167*(_xlfn.NORM.DIST(AW$3,economics!$AK$2:$AK$167,economics!$AJ$2:$AJ$167,TRUE)-_xlfn.NORM.DIST(AW$30,economics!$AK$2:$AK$167,economics!$AJ$2:$AJ$167,TRUE))*economics!$AM$2:$AM$167))/(SUMPRODUCT((economics!$AG$2:$AG$167=$B46)*(economics!$D$2:$D$167="whr")*economics!$AI$2:$AI$167*(_xlfn.NORM.DIST(AW$3,economics!$AK$2:$AK$167,economics!$AJ$2:$AJ$167,TRUE)-_xlfn.NORM.DIST(AW$30,economics!$AK$2:$AK$167,economics!$AJ$2:$AJ$167,TRUE)))),"")</f>
        <v/>
      </c>
      <c r="AX46">
        <f t="array" ref="AX46">IFERROR((SUMPRODUCT((economics!$AG$2:$AG$167=$B46)*(economics!$D$2:$D$167="whr")*economics!$AI$2:$AI$167*(_xlfn.NORM.DIST(AX$3,economics!$AK$2:$AK$167,economics!$AJ$2:$AJ$167,TRUE)-_xlfn.NORM.DIST(AX$30,economics!$AK$2:$AK$167,economics!$AJ$2:$AJ$167,TRUE))*economics!$AM$2:$AM$167))/(SUMPRODUCT((economics!$AG$2:$AG$167=$B46)*(economics!$D$2:$D$167="whr")*economics!$AI$2:$AI$167*(_xlfn.NORM.DIST(AX$3,economics!$AK$2:$AK$167,economics!$AJ$2:$AJ$167,TRUE)-_xlfn.NORM.DIST(AX$30,economics!$AK$2:$AK$167,economics!$AJ$2:$AJ$167,TRUE)))),"")</f>
        <v/>
      </c>
      <c r="AY46">
        <f t="array" ref="AY46">IFERROR((SUMPRODUCT((economics!$AG$2:$AG$167=$B46)*(economics!$D$2:$D$167="whr")*economics!$AI$2:$AI$167*(_xlfn.NORM.DIST(AY$3,economics!$AK$2:$AK$167,economics!$AJ$2:$AJ$167,TRUE)-_xlfn.NORM.DIST(AY$30,economics!$AK$2:$AK$167,economics!$AJ$2:$AJ$167,TRUE))*economics!$AM$2:$AM$167))/(SUMPRODUCT((economics!$AG$2:$AG$167=$B46)*(economics!$D$2:$D$167="whr")*economics!$AI$2:$AI$167*(_xlfn.NORM.DIST(AY$3,economics!$AK$2:$AK$167,economics!$AJ$2:$AJ$167,TRUE)-_xlfn.NORM.DIST(AY$30,economics!$AK$2:$AK$167,economics!$AJ$2:$AJ$167,TRUE)))),"")</f>
        <v/>
      </c>
      <c r="AZ46">
        <f t="array" ref="AZ46">IFERROR((SUMPRODUCT((economics!$AG$2:$AG$167=$B46)*(economics!$D$2:$D$167="whr")*economics!$AI$2:$AI$167*(_xlfn.NORM.DIST(AZ$3,economics!$AK$2:$AK$167,economics!$AJ$2:$AJ$167,TRUE)-_xlfn.NORM.DIST(AZ$30,economics!$AK$2:$AK$167,economics!$AJ$2:$AJ$167,TRUE))*economics!$AM$2:$AM$167))/(SUMPRODUCT((economics!$AG$2:$AG$167=$B46)*(economics!$D$2:$D$167="whr")*economics!$AI$2:$AI$167*(_xlfn.NORM.DIST(AZ$3,economics!$AK$2:$AK$167,economics!$AJ$2:$AJ$167,TRUE)-_xlfn.NORM.DIST(AZ$30,economics!$AK$2:$AK$167,economics!$AJ$2:$AJ$167,TRUE)))),"")</f>
        <v/>
      </c>
      <c r="BA46">
        <f t="array" ref="BA46">IFERROR((SUMPRODUCT((economics!$AG$2:$AG$167=$B46)*(economics!$D$2:$D$167="whr")*economics!$AI$2:$AI$167*(_xlfn.NORM.DIST(BA$3,economics!$AK$2:$AK$167,economics!$AJ$2:$AJ$167,TRUE)-_xlfn.NORM.DIST(BA$30,economics!$AK$2:$AK$167,economics!$AJ$2:$AJ$167,TRUE))*economics!$AM$2:$AM$167))/(SUMPRODUCT((economics!$AG$2:$AG$167=$B46)*(economics!$D$2:$D$167="whr")*economics!$AI$2:$AI$167*(_xlfn.NORM.DIST(BA$3,economics!$AK$2:$AK$167,economics!$AJ$2:$AJ$167,TRUE)-_xlfn.NORM.DIST(BA$30,economics!$AK$2:$AK$167,economics!$AJ$2:$AJ$167,TRUE)))),"")</f>
        <v/>
      </c>
      <c r="BB46">
        <f t="array" ref="BB46">IFERROR((SUMPRODUCT((economics!$AG$2:$AG$167=$B46)*(economics!$D$2:$D$167="whr")*economics!$AI$2:$AI$167*(_xlfn.NORM.DIST(BB$3,economics!$AK$2:$AK$167,economics!$AJ$2:$AJ$167,TRUE)-_xlfn.NORM.DIST(BB$30,economics!$AK$2:$AK$167,economics!$AJ$2:$AJ$167,TRUE))*economics!$AM$2:$AM$167))/(SUMPRODUCT((economics!$AG$2:$AG$167=$B46)*(economics!$D$2:$D$167="whr")*economics!$AI$2:$AI$167*(_xlfn.NORM.DIST(BB$3,economics!$AK$2:$AK$167,economics!$AJ$2:$AJ$167,TRUE)-_xlfn.NORM.DIST(BB$30,economics!$AK$2:$AK$167,economics!$AJ$2:$AJ$167,TRUE)))),"")</f>
        <v/>
      </c>
      <c r="BC46">
        <f t="array" ref="BC46">IFERROR((SUMPRODUCT((economics!$AG$2:$AG$167=$B46)*(economics!$D$2:$D$167="whr")*economics!$AI$2:$AI$167*(_xlfn.NORM.DIST(BC$3,economics!$AK$2:$AK$167,economics!$AJ$2:$AJ$167,TRUE)-_xlfn.NORM.DIST(BC$30,economics!$AK$2:$AK$167,economics!$AJ$2:$AJ$167,TRUE))*economics!$AM$2:$AM$167))/(SUMPRODUCT((economics!$AG$2:$AG$167=$B46)*(economics!$D$2:$D$167="whr")*economics!$AI$2:$AI$167*(_xlfn.NORM.DIST(BC$3,economics!$AK$2:$AK$167,economics!$AJ$2:$AJ$167,TRUE)-_xlfn.NORM.DIST(BC$30,economics!$AK$2:$AK$167,economics!$AJ$2:$AJ$167,TRUE)))),"")</f>
        <v/>
      </c>
      <c r="BD46">
        <f t="array" ref="BD46">IFERROR((SUMPRODUCT((economics!$AG$2:$AG$167=$B46)*(economics!$D$2:$D$167="whr")*economics!$AI$2:$AI$167*(_xlfn.NORM.DIST(BD$3,economics!$AK$2:$AK$167,economics!$AJ$2:$AJ$167,TRUE)-_xlfn.NORM.DIST(BD$30,economics!$AK$2:$AK$167,economics!$AJ$2:$AJ$167,TRUE))*economics!$AM$2:$AM$167))/(SUMPRODUCT((economics!$AG$2:$AG$167=$B46)*(economics!$D$2:$D$167="whr")*economics!$AI$2:$AI$167*(_xlfn.NORM.DIST(BD$3,economics!$AK$2:$AK$167,economics!$AJ$2:$AJ$167,TRUE)-_xlfn.NORM.DIST(BD$30,economics!$AK$2:$AK$167,economics!$AJ$2:$AJ$167,TRUE)))),"")</f>
        <v/>
      </c>
      <c r="BE46">
        <f t="array" ref="BE46">IFERROR((SUMPRODUCT((economics!$AG$2:$AG$167=$B46)*(economics!$D$2:$D$167="whr")*economics!$AI$2:$AI$167*(_xlfn.NORM.DIST(BE$3,economics!$AK$2:$AK$167,economics!$AJ$2:$AJ$167,TRUE)-_xlfn.NORM.DIST(BE$30,economics!$AK$2:$AK$167,economics!$AJ$2:$AJ$167,TRUE))*economics!$AM$2:$AM$167))/(SUMPRODUCT((economics!$AG$2:$AG$167=$B46)*(economics!$D$2:$D$167="whr")*economics!$AI$2:$AI$167*(_xlfn.NORM.DIST(BE$3,economics!$AK$2:$AK$167,economics!$AJ$2:$AJ$167,TRUE)-_xlfn.NORM.DIST(BE$30,economics!$AK$2:$AK$167,economics!$AJ$2:$AJ$167,TRUE)))),"")</f>
        <v/>
      </c>
      <c r="BF46">
        <f t="array" ref="BF46">IFERROR((SUMPRODUCT((economics!$AG$2:$AG$167=$B46)*(economics!$D$2:$D$167="whr")*economics!$AI$2:$AI$167*(_xlfn.NORM.DIST(BF$3,economics!$AK$2:$AK$167,economics!$AJ$2:$AJ$167,TRUE)-_xlfn.NORM.DIST(BF$30,economics!$AK$2:$AK$167,economics!$AJ$2:$AJ$167,TRUE))*economics!$AM$2:$AM$167))/(SUMPRODUCT((economics!$AG$2:$AG$167=$B46)*(economics!$D$2:$D$167="whr")*economics!$AI$2:$AI$167*(_xlfn.NORM.DIST(BF$3,economics!$AK$2:$AK$167,economics!$AJ$2:$AJ$167,TRUE)-_xlfn.NORM.DIST(BF$30,economics!$AK$2:$AK$167,economics!$AJ$2:$AJ$167,TRUE)))),"")</f>
        <v/>
      </c>
      <c r="BG46">
        <f t="array" ref="BG46">IFERROR((SUMPRODUCT((economics!$AG$2:$AG$167=$B46)*(economics!$D$2:$D$167="whr")*economics!$AI$2:$AI$167*(_xlfn.NORM.DIST(BG$3,economics!$AK$2:$AK$167,economics!$AJ$2:$AJ$167,TRUE)-_xlfn.NORM.DIST(BG$30,economics!$AK$2:$AK$167,economics!$AJ$2:$AJ$167,TRUE))*economics!$AM$2:$AM$167))/(SUMPRODUCT((economics!$AG$2:$AG$167=$B46)*(economics!$D$2:$D$167="whr")*economics!$AI$2:$AI$167*(_xlfn.NORM.DIST(BG$3,economics!$AK$2:$AK$167,economics!$AJ$2:$AJ$167,TRUE)-_xlfn.NORM.DIST(BG$30,economics!$AK$2:$AK$167,economics!$AJ$2:$AJ$167,TRUE)))),"")</f>
        <v/>
      </c>
      <c r="BH46">
        <f t="array" ref="BH46">IFERROR((SUMPRODUCT((economics!$AG$2:$AG$167=$B46)*(economics!$D$2:$D$167="whr")*economics!$AI$2:$AI$167*(_xlfn.NORM.DIST(BH$3,economics!$AK$2:$AK$167,economics!$AJ$2:$AJ$167,TRUE)-_xlfn.NORM.DIST(BH$30,economics!$AK$2:$AK$167,economics!$AJ$2:$AJ$167,TRUE))*economics!$AM$2:$AM$167))/(SUMPRODUCT((economics!$AG$2:$AG$167=$B46)*(economics!$D$2:$D$167="whr")*economics!$AI$2:$AI$167*(_xlfn.NORM.DIST(BH$3,economics!$AK$2:$AK$167,economics!$AJ$2:$AJ$167,TRUE)-_xlfn.NORM.DIST(BH$30,economics!$AK$2:$AK$167,economics!$AJ$2:$AJ$167,TRUE)))),"")</f>
        <v/>
      </c>
      <c r="BI46">
        <f t="array" ref="BI46">IFERROR((SUMPRODUCT((economics!$AG$2:$AG$167=$B46)*(economics!$D$2:$D$167="whr")*economics!$AI$2:$AI$167*(_xlfn.NORM.DIST(BI$3,economics!$AK$2:$AK$167,economics!$AJ$2:$AJ$167,TRUE)-_xlfn.NORM.DIST(BI$30,economics!$AK$2:$AK$167,economics!$AJ$2:$AJ$167,TRUE))*economics!$AM$2:$AM$167))/(SUMPRODUCT((economics!$AG$2:$AG$167=$B46)*(economics!$D$2:$D$167="whr")*economics!$AI$2:$AI$167*(_xlfn.NORM.DIST(BI$3,economics!$AK$2:$AK$167,economics!$AJ$2:$AJ$167,TRUE)-_xlfn.NORM.DIST(BI$30,economics!$AK$2:$AK$167,economics!$AJ$2:$AJ$167,TRUE)))),"")</f>
        <v/>
      </c>
      <c r="BJ46">
        <f t="array" ref="BJ46">IFERROR((SUMPRODUCT((economics!$AG$2:$AG$167=$B46)*(economics!$D$2:$D$167="whr")*economics!$AI$2:$AI$167*(_xlfn.NORM.DIST(BJ$3,economics!$AK$2:$AK$167,economics!$AJ$2:$AJ$167,TRUE)-_xlfn.NORM.DIST(BJ$30,economics!$AK$2:$AK$167,economics!$AJ$2:$AJ$167,TRUE))*economics!$AM$2:$AM$167))/(SUMPRODUCT((economics!$AG$2:$AG$167=$B46)*(economics!$D$2:$D$167="whr")*economics!$AI$2:$AI$167*(_xlfn.NORM.DIST(BJ$3,economics!$AK$2:$AK$167,economics!$AJ$2:$AJ$167,TRUE)-_xlfn.NORM.DIST(BJ$30,economics!$AK$2:$AK$167,economics!$AJ$2:$AJ$167,TRUE)))),"")</f>
        <v/>
      </c>
      <c r="BK46">
        <f t="array" ref="BK46">IFERROR((SUMPRODUCT((economics!$AG$2:$AG$167=$B46)*(economics!$D$2:$D$167="whr")*economics!$AI$2:$AI$167*(_xlfn.NORM.DIST(BK$3,economics!$AK$2:$AK$167,economics!$AJ$2:$AJ$167,TRUE)-_xlfn.NORM.DIST(BK$30,economics!$AK$2:$AK$167,economics!$AJ$2:$AJ$167,TRUE))*economics!$AM$2:$AM$167))/(SUMPRODUCT((economics!$AG$2:$AG$167=$B46)*(economics!$D$2:$D$167="whr")*economics!$AI$2:$AI$167*(_xlfn.NORM.DIST(BK$3,economics!$AK$2:$AK$167,economics!$AJ$2:$AJ$167,TRUE)-_xlfn.NORM.DIST(BK$30,economics!$AK$2:$AK$167,economics!$AJ$2:$AJ$167,TRUE)))),"")</f>
        <v/>
      </c>
      <c r="BL46">
        <f t="array" ref="BL46">IFERROR((SUMPRODUCT((economics!$AG$2:$AG$167=$B46)*(economics!$D$2:$D$167="whr")*economics!$AI$2:$AI$167*(_xlfn.NORM.DIST(BL$3,economics!$AK$2:$AK$167,economics!$AJ$2:$AJ$167,TRUE)-_xlfn.NORM.DIST(BL$30,economics!$AK$2:$AK$167,economics!$AJ$2:$AJ$167,TRUE))*economics!$AM$2:$AM$167))/(SUMPRODUCT((economics!$AG$2:$AG$167=$B46)*(economics!$D$2:$D$167="whr")*economics!$AI$2:$AI$167*(_xlfn.NORM.DIST(BL$3,economics!$AK$2:$AK$167,economics!$AJ$2:$AJ$167,TRUE)-_xlfn.NORM.DIST(BL$30,economics!$AK$2:$AK$167,economics!$AJ$2:$AJ$167,TRUE)))),"")</f>
        <v/>
      </c>
      <c r="BM46">
        <f t="array" ref="BM46">IFERROR((SUMPRODUCT((economics!$AG$2:$AG$167=$B46)*(economics!$D$2:$D$167="whr")*economics!$AI$2:$AI$167*(_xlfn.NORM.DIST(BM$3,economics!$AK$2:$AK$167,economics!$AJ$2:$AJ$167,TRUE)-_xlfn.NORM.DIST(BM$30,economics!$AK$2:$AK$167,economics!$AJ$2:$AJ$167,TRUE))*economics!$AM$2:$AM$167))/(SUMPRODUCT((economics!$AG$2:$AG$167=$B46)*(economics!$D$2:$D$167="whr")*economics!$AI$2:$AI$167*(_xlfn.NORM.DIST(BM$3,economics!$AK$2:$AK$167,economics!$AJ$2:$AJ$167,TRUE)-_xlfn.NORM.DIST(BM$30,economics!$AK$2:$AK$167,economics!$AJ$2:$AJ$167,TRUE)))),"")</f>
        <v/>
      </c>
      <c r="BN46">
        <f t="array" ref="BN46">IFERROR((SUMPRODUCT((economics!$AG$2:$AG$167=$B46)*(economics!$D$2:$D$167="whr")*economics!$AI$2:$AI$167*(_xlfn.NORM.DIST(BN$3,economics!$AK$2:$AK$167,economics!$AJ$2:$AJ$167,TRUE)-_xlfn.NORM.DIST(BN$30,economics!$AK$2:$AK$167,economics!$AJ$2:$AJ$167,TRUE))*economics!$AM$2:$AM$167))/(SUMPRODUCT((economics!$AG$2:$AG$167=$B46)*(economics!$D$2:$D$167="whr")*economics!$AI$2:$AI$167*(_xlfn.NORM.DIST(BN$3,economics!$AK$2:$AK$167,economics!$AJ$2:$AJ$167,TRUE)-_xlfn.NORM.DIST(BN$30,economics!$AK$2:$AK$167,economics!$AJ$2:$AJ$167,TRUE)))),"")</f>
        <v/>
      </c>
      <c r="BO46">
        <f t="array" ref="BO46">IFERROR((SUMPRODUCT((economics!$AG$2:$AG$167=$B46)*(economics!$D$2:$D$167="whr")*economics!$AI$2:$AI$167*(_xlfn.NORM.DIST(BO$3,economics!$AK$2:$AK$167,economics!$AJ$2:$AJ$167,TRUE)-_xlfn.NORM.DIST(BO$30,economics!$AK$2:$AK$167,economics!$AJ$2:$AJ$167,TRUE))*economics!$AM$2:$AM$167))/(SUMPRODUCT((economics!$AG$2:$AG$167=$B46)*(economics!$D$2:$D$167="whr")*economics!$AI$2:$AI$167*(_xlfn.NORM.DIST(BO$3,economics!$AK$2:$AK$167,economics!$AJ$2:$AJ$167,TRUE)-_xlfn.NORM.DIST(BO$30,economics!$AK$2:$AK$167,economics!$AJ$2:$AJ$167,TRUE)))),"")</f>
        <v/>
      </c>
      <c r="BP46">
        <f t="array" ref="BP46">IFERROR((SUMPRODUCT((economics!$AG$2:$AG$167=$B46)*(economics!$D$2:$D$167="whr")*economics!$AI$2:$AI$167*(_xlfn.NORM.DIST(BP$3,economics!$AK$2:$AK$167,economics!$AJ$2:$AJ$167,TRUE)-_xlfn.NORM.DIST(BP$30,economics!$AK$2:$AK$167,economics!$AJ$2:$AJ$167,TRUE))*economics!$AM$2:$AM$167))/(SUMPRODUCT((economics!$AG$2:$AG$167=$B46)*(economics!$D$2:$D$167="whr")*economics!$AI$2:$AI$167*(_xlfn.NORM.DIST(BP$3,economics!$AK$2:$AK$167,economics!$AJ$2:$AJ$167,TRUE)-_xlfn.NORM.DIST(BP$30,economics!$AK$2:$AK$167,economics!$AJ$2:$AJ$167,TRUE)))),"")</f>
        <v/>
      </c>
      <c r="BQ46">
        <f t="array" ref="BQ46">IFERROR((SUMPRODUCT((economics!$AG$2:$AG$167=$B46)*(economics!$D$2:$D$167="whr")*economics!$AI$2:$AI$167*(_xlfn.NORM.DIST(BQ$3,economics!$AK$2:$AK$167,economics!$AJ$2:$AJ$167,TRUE)-_xlfn.NORM.DIST(BQ$30,economics!$AK$2:$AK$167,economics!$AJ$2:$AJ$167,TRUE))*economics!$AM$2:$AM$167))/(SUMPRODUCT((economics!$AG$2:$AG$167=$B46)*(economics!$D$2:$D$167="whr")*economics!$AI$2:$AI$167*(_xlfn.NORM.DIST(BQ$3,economics!$AK$2:$AK$167,economics!$AJ$2:$AJ$167,TRUE)-_xlfn.NORM.DIST(BQ$30,economics!$AK$2:$AK$167,economics!$AJ$2:$AJ$167,TRUE)))),"")</f>
        <v/>
      </c>
      <c r="BR46">
        <f t="array" ref="BR46">IFERROR((SUMPRODUCT((economics!$AG$2:$AG$167=$B46)*(economics!$D$2:$D$167="whr")*economics!$AI$2:$AI$167*(_xlfn.NORM.DIST(BR$3,economics!$AK$2:$AK$167,economics!$AJ$2:$AJ$167,TRUE)-_xlfn.NORM.DIST(BR$30,economics!$AK$2:$AK$167,economics!$AJ$2:$AJ$167,TRUE))*economics!$AM$2:$AM$167))/(SUMPRODUCT((economics!$AG$2:$AG$167=$B46)*(economics!$D$2:$D$167="whr")*economics!$AI$2:$AI$167*(_xlfn.NORM.DIST(BR$3,economics!$AK$2:$AK$167,economics!$AJ$2:$AJ$167,TRUE)-_xlfn.NORM.DIST(BR$30,economics!$AK$2:$AK$167,economics!$AJ$2:$AJ$167,TRUE)))),"")</f>
        <v/>
      </c>
      <c r="BS46">
        <f t="array" ref="BS46">IFERROR((SUMPRODUCT((economics!$AG$2:$AG$167=$B46)*(economics!$D$2:$D$167="whr")*economics!$AI$2:$AI$167*(_xlfn.NORM.DIST(BS$3,economics!$AK$2:$AK$167,economics!$AJ$2:$AJ$167,TRUE)-_xlfn.NORM.DIST(BS$30,economics!$AK$2:$AK$167,economics!$AJ$2:$AJ$167,TRUE))*economics!$AM$2:$AM$167))/(SUMPRODUCT((economics!$AG$2:$AG$167=$B46)*(economics!$D$2:$D$167="whr")*economics!$AI$2:$AI$167*(_xlfn.NORM.DIST(BS$3,economics!$AK$2:$AK$167,economics!$AJ$2:$AJ$167,TRUE)-_xlfn.NORM.DIST(BS$30,economics!$AK$2:$AK$167,economics!$AJ$2:$AJ$167,TRUE)))),"")</f>
        <v/>
      </c>
      <c r="BT46">
        <f t="array" ref="BT46">IFERROR((SUMPRODUCT((economics!$AG$2:$AG$167=$B46)*(economics!$D$2:$D$167="whr")*economics!$AI$2:$AI$167*(_xlfn.NORM.DIST(BT$3,economics!$AK$2:$AK$167,economics!$AJ$2:$AJ$167,TRUE)-_xlfn.NORM.DIST(BT$30,economics!$AK$2:$AK$167,economics!$AJ$2:$AJ$167,TRUE))*economics!$AM$2:$AM$167))/(SUMPRODUCT((economics!$AG$2:$AG$167=$B46)*(economics!$D$2:$D$167="whr")*economics!$AI$2:$AI$167*(_xlfn.NORM.DIST(BT$3,economics!$AK$2:$AK$167,economics!$AJ$2:$AJ$167,TRUE)-_xlfn.NORM.DIST(BT$30,economics!$AK$2:$AK$167,economics!$AJ$2:$AJ$167,TRUE)))),"")</f>
        <v/>
      </c>
      <c r="BU46">
        <f t="array" ref="BU46">IFERROR((SUMPRODUCT((economics!$AG$2:$AG$167=$B46)*(economics!$D$2:$D$167="whr")*economics!$AI$2:$AI$167*(_xlfn.NORM.DIST(BU$3,economics!$AK$2:$AK$167,economics!$AJ$2:$AJ$167,TRUE)-_xlfn.NORM.DIST(BU$30,economics!$AK$2:$AK$167,economics!$AJ$2:$AJ$167,TRUE))*economics!$AM$2:$AM$167))/(SUMPRODUCT((economics!$AG$2:$AG$167=$B46)*(economics!$D$2:$D$167="whr")*economics!$AI$2:$AI$167*(_xlfn.NORM.DIST(BU$3,economics!$AK$2:$AK$167,economics!$AJ$2:$AJ$167,TRUE)-_xlfn.NORM.DIST(BU$30,economics!$AK$2:$AK$167,economics!$AJ$2:$AJ$167,TRUE)))),"")</f>
        <v/>
      </c>
      <c r="BV46">
        <f t="array" ref="BV46">IFERROR((SUMPRODUCT((economics!$AG$2:$AG$167=$B46)*(economics!$D$2:$D$167="whr")*economics!$AI$2:$AI$167*(_xlfn.NORM.DIST(BV$3,economics!$AK$2:$AK$167,economics!$AJ$2:$AJ$167,TRUE)-_xlfn.NORM.DIST(BV$30,economics!$AK$2:$AK$167,economics!$AJ$2:$AJ$167,TRUE))*economics!$AM$2:$AM$167))/(SUMPRODUCT((economics!$AG$2:$AG$167=$B46)*(economics!$D$2:$D$167="whr")*economics!$AI$2:$AI$167*(_xlfn.NORM.DIST(BV$3,economics!$AK$2:$AK$167,economics!$AJ$2:$AJ$167,TRUE)-_xlfn.NORM.DIST(BV$30,economics!$AK$2:$AK$167,economics!$AJ$2:$AJ$167,TRUE)))),"")</f>
        <v/>
      </c>
      <c r="BW46">
        <f t="array" ref="BW46">IFERROR((SUMPRODUCT((economics!$AG$2:$AG$167=$B46)*(economics!$D$2:$D$167="whr")*economics!$AI$2:$AI$167*(_xlfn.NORM.DIST(BW$3,economics!$AK$2:$AK$167,economics!$AJ$2:$AJ$167,TRUE)-_xlfn.NORM.DIST(BW$30,economics!$AK$2:$AK$167,economics!$AJ$2:$AJ$167,TRUE))*economics!$AM$2:$AM$167))/(SUMPRODUCT((economics!$AG$2:$AG$167=$B46)*(economics!$D$2:$D$167="whr")*economics!$AI$2:$AI$167*(_xlfn.NORM.DIST(BW$3,economics!$AK$2:$AK$167,economics!$AJ$2:$AJ$167,TRUE)-_xlfn.NORM.DIST(BW$30,economics!$AK$2:$AK$167,economics!$AJ$2:$AJ$167,TRUE)))),"")</f>
        <v/>
      </c>
      <c r="BX46">
        <f t="array" ref="BX46">IFERROR((SUMPRODUCT((economics!$AG$2:$AG$167=$B46)*(economics!$D$2:$D$167="whr")*economics!$AI$2:$AI$167*(_xlfn.NORM.DIST(BX$3,economics!$AK$2:$AK$167,economics!$AJ$2:$AJ$167,TRUE)-_xlfn.NORM.DIST(BX$30,economics!$AK$2:$AK$167,economics!$AJ$2:$AJ$167,TRUE))*economics!$AM$2:$AM$167))/(SUMPRODUCT((economics!$AG$2:$AG$167=$B46)*(economics!$D$2:$D$167="whr")*economics!$AI$2:$AI$167*(_xlfn.NORM.DIST(BX$3,economics!$AK$2:$AK$167,economics!$AJ$2:$AJ$167,TRUE)-_xlfn.NORM.DIST(BX$30,economics!$AK$2:$AK$167,economics!$AJ$2:$AJ$167,TRUE)))),"")</f>
        <v/>
      </c>
      <c r="BY46">
        <f t="array" ref="BY46">IFERROR((SUMPRODUCT((economics!$AG$2:$AG$167=$B46)*(economics!$D$2:$D$167="whr")*economics!$AI$2:$AI$167*(_xlfn.NORM.DIST(BY$3,economics!$AK$2:$AK$167,economics!$AJ$2:$AJ$167,TRUE)-_xlfn.NORM.DIST(BY$30,economics!$AK$2:$AK$167,economics!$AJ$2:$AJ$167,TRUE))*economics!$AM$2:$AM$167))/(SUMPRODUCT((economics!$AG$2:$AG$167=$B46)*(economics!$D$2:$D$167="whr")*economics!$AI$2:$AI$167*(_xlfn.NORM.DIST(BY$3,economics!$AK$2:$AK$167,economics!$AJ$2:$AJ$167,TRUE)-_xlfn.NORM.DIST(BY$30,economics!$AK$2:$AK$167,economics!$AJ$2:$AJ$167,TRUE)))),"")</f>
        <v/>
      </c>
      <c r="BZ46">
        <f t="array" ref="BZ46">IFERROR((SUMPRODUCT((economics!$AG$2:$AG$167=$B46)*(economics!$D$2:$D$167="whr")*economics!$AI$2:$AI$167*(_xlfn.NORM.DIST(BZ$3,economics!$AK$2:$AK$167,economics!$AJ$2:$AJ$167,TRUE)-_xlfn.NORM.DIST(BZ$30,economics!$AK$2:$AK$167,economics!$AJ$2:$AJ$167,TRUE))*economics!$AM$2:$AM$167))/(SUMPRODUCT((economics!$AG$2:$AG$167=$B46)*(economics!$D$2:$D$167="whr")*economics!$AI$2:$AI$167*(_xlfn.NORM.DIST(BZ$3,economics!$AK$2:$AK$167,economics!$AJ$2:$AJ$167,TRUE)-_xlfn.NORM.DIST(BZ$30,economics!$AK$2:$AK$167,economics!$AJ$2:$AJ$167,TRUE)))),"")</f>
        <v/>
      </c>
      <c r="CA46">
        <f t="array" ref="CA46">IFERROR((SUMPRODUCT((economics!$AG$2:$AG$167=$B46)*(economics!$D$2:$D$167="whr")*economics!$AI$2:$AI$167*(_xlfn.NORM.DIST(CA$3,economics!$AK$2:$AK$167,economics!$AJ$2:$AJ$167,TRUE)-_xlfn.NORM.DIST(CA$30,economics!$AK$2:$AK$167,economics!$AJ$2:$AJ$167,TRUE))*economics!$AM$2:$AM$167))/(SUMPRODUCT((economics!$AG$2:$AG$167=$B46)*(economics!$D$2:$D$167="whr")*economics!$AI$2:$AI$167*(_xlfn.NORM.DIST(CA$3,economics!$AK$2:$AK$167,economics!$AJ$2:$AJ$167,TRUE)-_xlfn.NORM.DIST(CA$30,economics!$AK$2:$AK$167,economics!$AJ$2:$AJ$167,TRUE)))),"")</f>
        <v/>
      </c>
      <c r="CB46">
        <f t="array" ref="CB46">IFERROR((SUMPRODUCT((economics!$AG$2:$AG$167=$B46)*(economics!$D$2:$D$167="whr")*economics!$AI$2:$AI$167*(_xlfn.NORM.DIST(CB$3,economics!$AK$2:$AK$167,economics!$AJ$2:$AJ$167,TRUE)-_xlfn.NORM.DIST(CB$30,economics!$AK$2:$AK$167,economics!$AJ$2:$AJ$167,TRUE))*economics!$AM$2:$AM$167))/(SUMPRODUCT((economics!$AG$2:$AG$167=$B46)*(economics!$D$2:$D$167="whr")*economics!$AI$2:$AI$167*(_xlfn.NORM.DIST(CB$3,economics!$AK$2:$AK$167,economics!$AJ$2:$AJ$167,TRUE)-_xlfn.NORM.DIST(CB$30,economics!$AK$2:$AK$167,economics!$AJ$2:$AJ$167,TRUE)))),"")</f>
        <v/>
      </c>
      <c r="CC46">
        <f t="array" ref="CC46">IFERROR((SUMPRODUCT((economics!$AG$2:$AG$167=$B46)*(economics!$D$2:$D$167="whr")*economics!$AI$2:$AI$167*(_xlfn.NORM.DIST(CC$3,economics!$AK$2:$AK$167,economics!$AJ$2:$AJ$167,TRUE)-_xlfn.NORM.DIST(CC$30,economics!$AK$2:$AK$167,economics!$AJ$2:$AJ$167,TRUE))*economics!$AM$2:$AM$167))/(SUMPRODUCT((economics!$AG$2:$AG$167=$B46)*(economics!$D$2:$D$167="whr")*economics!$AI$2:$AI$167*(_xlfn.NORM.DIST(CC$3,economics!$AK$2:$AK$167,economics!$AJ$2:$AJ$167,TRUE)-_xlfn.NORM.DIST(CC$30,economics!$AK$2:$AK$167,economics!$AJ$2:$AJ$167,TRUE)))),"")</f>
        <v/>
      </c>
      <c r="CD46">
        <f t="array" ref="CD46">IFERROR((SUMPRODUCT((economics!$AG$2:$AG$167=$B46)*(economics!$D$2:$D$167="whr")*economics!$AI$2:$AI$167*(_xlfn.NORM.DIST(CD$3,economics!$AK$2:$AK$167,economics!$AJ$2:$AJ$167,TRUE)-_xlfn.NORM.DIST(CD$30,economics!$AK$2:$AK$167,economics!$AJ$2:$AJ$167,TRUE))*economics!$AM$2:$AM$167))/(SUMPRODUCT((economics!$AG$2:$AG$167=$B46)*(economics!$D$2:$D$167="whr")*economics!$AI$2:$AI$167*(_xlfn.NORM.DIST(CD$3,economics!$AK$2:$AK$167,economics!$AJ$2:$AJ$167,TRUE)-_xlfn.NORM.DIST(CD$30,economics!$AK$2:$AK$167,economics!$AJ$2:$AJ$167,TRUE)))),"")</f>
        <v/>
      </c>
      <c r="CE46">
        <f t="array" ref="CE46">IFERROR((SUMPRODUCT((economics!$AG$2:$AG$167=$B46)*(economics!$D$2:$D$167="whr")*economics!$AI$2:$AI$167*(_xlfn.NORM.DIST(CE$3,economics!$AK$2:$AK$167,economics!$AJ$2:$AJ$167,TRUE)-_xlfn.NORM.DIST(CE$30,economics!$AK$2:$AK$167,economics!$AJ$2:$AJ$167,TRUE))*economics!$AM$2:$AM$167))/(SUMPRODUCT((economics!$AG$2:$AG$167=$B46)*(economics!$D$2:$D$167="whr")*economics!$AI$2:$AI$167*(_xlfn.NORM.DIST(CE$3,economics!$AK$2:$AK$167,economics!$AJ$2:$AJ$167,TRUE)-_xlfn.NORM.DIST(CE$30,economics!$AK$2:$AK$167,economics!$AJ$2:$AJ$167,TRUE)))),"")</f>
        <v/>
      </c>
      <c r="CF46">
        <f t="array" ref="CF46">IFERROR((SUMPRODUCT((economics!$AG$2:$AG$167=$B46)*(economics!$D$2:$D$167="whr")*economics!$AI$2:$AI$167*(_xlfn.NORM.DIST(CF$3,economics!$AK$2:$AK$167,economics!$AJ$2:$AJ$167,TRUE)-_xlfn.NORM.DIST(CF$30,economics!$AK$2:$AK$167,economics!$AJ$2:$AJ$167,TRUE))*economics!$AM$2:$AM$167))/(SUMPRODUCT((economics!$AG$2:$AG$167=$B46)*(economics!$D$2:$D$167="whr")*economics!$AI$2:$AI$167*(_xlfn.NORM.DIST(CF$3,economics!$AK$2:$AK$167,economics!$AJ$2:$AJ$167,TRUE)-_xlfn.NORM.DIST(CF$30,economics!$AK$2:$AK$167,economics!$AJ$2:$AJ$167,TRUE)))),"")</f>
        <v/>
      </c>
      <c r="CG46">
        <f t="array" ref="CG46">IFERROR((SUMPRODUCT((economics!$AG$2:$AG$167=$B46)*(economics!$D$2:$D$167="whr")*economics!$AI$2:$AI$167*(_xlfn.NORM.DIST(CG$3,economics!$AK$2:$AK$167,economics!$AJ$2:$AJ$167,TRUE)-_xlfn.NORM.DIST(CG$30,economics!$AK$2:$AK$167,economics!$AJ$2:$AJ$167,TRUE))*economics!$AM$2:$AM$167))/(SUMPRODUCT((economics!$AG$2:$AG$167=$B46)*(economics!$D$2:$D$167="whr")*economics!$AI$2:$AI$167*(_xlfn.NORM.DIST(CG$3,economics!$AK$2:$AK$167,economics!$AJ$2:$AJ$167,TRUE)-_xlfn.NORM.DIST(CG$30,economics!$AK$2:$AK$167,economics!$AJ$2:$AJ$167,TRUE)))),"")</f>
        <v/>
      </c>
      <c r="CH46">
        <f t="array" ref="CH46">IFERROR((SUMPRODUCT((economics!$AG$2:$AG$167=$B46)*(economics!$D$2:$D$167="whr")*economics!$AI$2:$AI$167*(_xlfn.NORM.DIST(CH$3,economics!$AK$2:$AK$167,economics!$AJ$2:$AJ$167,TRUE)-_xlfn.NORM.DIST(CH$30,economics!$AK$2:$AK$167,economics!$AJ$2:$AJ$167,TRUE))*economics!$AM$2:$AM$167))/(SUMPRODUCT((economics!$AG$2:$AG$167=$B46)*(economics!$D$2:$D$167="whr")*economics!$AI$2:$AI$167*(_xlfn.NORM.DIST(CH$3,economics!$AK$2:$AK$167,economics!$AJ$2:$AJ$167,TRUE)-_xlfn.NORM.DIST(CH$30,economics!$AK$2:$AK$167,economics!$AJ$2:$AJ$167,TRUE)))),"")</f>
        <v/>
      </c>
    </row>
    <row r="47">
      <c r="A47">
        <f>A18</f>
        <v/>
      </c>
      <c r="B47">
        <f>B18</f>
        <v/>
      </c>
      <c r="E47">
        <f t="array" ref="E47">IFERROR((SUMPRODUCT((economics!$AG$2:$AG$167=$B47)*(economics!$D$2:$D$167="whr")*economics!$AI$2:$AI$167*(_xlfn.NORM.DIST(E$3,economics!$AK$2:$AK$167,economics!$AJ$2:$AJ$167,TRUE)-_xlfn.NORM.DIST(E$30,economics!$AK$2:$AK$167,economics!$AJ$2:$AJ$167,TRUE))*economics!$AM$2:$AM$167))/(SUMPRODUCT((economics!$AG$2:$AG$167=$B47)*(economics!$D$2:$D$167="whr")*economics!$AI$2:$AI$167*(_xlfn.NORM.DIST(E$3,economics!$AK$2:$AK$167,economics!$AJ$2:$AJ$167,TRUE)-_xlfn.NORM.DIST(E$30,economics!$AK$2:$AK$167,economics!$AJ$2:$AJ$167,TRUE)))),"")</f>
        <v/>
      </c>
      <c r="F47">
        <f t="array" ref="F47">IFERROR((SUMPRODUCT((economics!$AG$2:$AG$167=$B47)*(economics!$D$2:$D$167="whr")*economics!$AI$2:$AI$167*(_xlfn.NORM.DIST(F$3,economics!$AK$2:$AK$167,economics!$AJ$2:$AJ$167,TRUE)-_xlfn.NORM.DIST(F$30,economics!$AK$2:$AK$167,economics!$AJ$2:$AJ$167,TRUE))*economics!$AM$2:$AM$167))/(SUMPRODUCT((economics!$AG$2:$AG$167=$B47)*(economics!$D$2:$D$167="whr")*economics!$AI$2:$AI$167*(_xlfn.NORM.DIST(F$3,economics!$AK$2:$AK$167,economics!$AJ$2:$AJ$167,TRUE)-_xlfn.NORM.DIST(F$30,economics!$AK$2:$AK$167,economics!$AJ$2:$AJ$167,TRUE)))),"")</f>
        <v/>
      </c>
      <c r="G47">
        <f t="array" ref="G47">IFERROR((SUMPRODUCT((economics!$AG$2:$AG$167=$B47)*(economics!$D$2:$D$167="whr")*economics!$AI$2:$AI$167*(_xlfn.NORM.DIST(G$3,economics!$AK$2:$AK$167,economics!$AJ$2:$AJ$167,TRUE)-_xlfn.NORM.DIST(G$30,economics!$AK$2:$AK$167,economics!$AJ$2:$AJ$167,TRUE))*economics!$AM$2:$AM$167))/(SUMPRODUCT((economics!$AG$2:$AG$167=$B47)*(economics!$D$2:$D$167="whr")*economics!$AI$2:$AI$167*(_xlfn.NORM.DIST(G$3,economics!$AK$2:$AK$167,economics!$AJ$2:$AJ$167,TRUE)-_xlfn.NORM.DIST(G$30,economics!$AK$2:$AK$167,economics!$AJ$2:$AJ$167,TRUE)))),"")</f>
        <v/>
      </c>
      <c r="H47">
        <f t="array" ref="H47">IFERROR((SUMPRODUCT((economics!$AG$2:$AG$167=$B47)*(economics!$D$2:$D$167="whr")*economics!$AI$2:$AI$167*(_xlfn.NORM.DIST(H$3,economics!$AK$2:$AK$167,economics!$AJ$2:$AJ$167,TRUE)-_xlfn.NORM.DIST(H$30,economics!$AK$2:$AK$167,economics!$AJ$2:$AJ$167,TRUE))*economics!$AM$2:$AM$167))/(SUMPRODUCT((economics!$AG$2:$AG$167=$B47)*(economics!$D$2:$D$167="whr")*economics!$AI$2:$AI$167*(_xlfn.NORM.DIST(H$3,economics!$AK$2:$AK$167,economics!$AJ$2:$AJ$167,TRUE)-_xlfn.NORM.DIST(H$30,economics!$AK$2:$AK$167,economics!$AJ$2:$AJ$167,TRUE)))),"")</f>
        <v/>
      </c>
      <c r="I47">
        <f t="array" ref="I47">IFERROR((SUMPRODUCT((economics!$AG$2:$AG$167=$B47)*(economics!$D$2:$D$167="whr")*economics!$AI$2:$AI$167*(_xlfn.NORM.DIST(I$3,economics!$AK$2:$AK$167,economics!$AJ$2:$AJ$167,TRUE)-_xlfn.NORM.DIST(I$30,economics!$AK$2:$AK$167,economics!$AJ$2:$AJ$167,TRUE))*economics!$AM$2:$AM$167))/(SUMPRODUCT((economics!$AG$2:$AG$167=$B47)*(economics!$D$2:$D$167="whr")*economics!$AI$2:$AI$167*(_xlfn.NORM.DIST(I$3,economics!$AK$2:$AK$167,economics!$AJ$2:$AJ$167,TRUE)-_xlfn.NORM.DIST(I$30,economics!$AK$2:$AK$167,economics!$AJ$2:$AJ$167,TRUE)))),"")</f>
        <v/>
      </c>
      <c r="J47">
        <f t="array" ref="J47">IFERROR((SUMPRODUCT((economics!$AG$2:$AG$167=$B47)*(economics!$D$2:$D$167="whr")*economics!$AI$2:$AI$167*(_xlfn.NORM.DIST(J$3,economics!$AK$2:$AK$167,economics!$AJ$2:$AJ$167,TRUE)-_xlfn.NORM.DIST(J$30,economics!$AK$2:$AK$167,economics!$AJ$2:$AJ$167,TRUE))*economics!$AM$2:$AM$167))/(SUMPRODUCT((economics!$AG$2:$AG$167=$B47)*(economics!$D$2:$D$167="whr")*economics!$AI$2:$AI$167*(_xlfn.NORM.DIST(J$3,economics!$AK$2:$AK$167,economics!$AJ$2:$AJ$167,TRUE)-_xlfn.NORM.DIST(J$30,economics!$AK$2:$AK$167,economics!$AJ$2:$AJ$167,TRUE)))),"")</f>
        <v/>
      </c>
      <c r="K47">
        <f t="array" ref="K47">IFERROR((SUMPRODUCT((economics!$AG$2:$AG$167=$B47)*(economics!$D$2:$D$167="whr")*economics!$AI$2:$AI$167*(_xlfn.NORM.DIST(K$3,economics!$AK$2:$AK$167,economics!$AJ$2:$AJ$167,TRUE)-_xlfn.NORM.DIST(K$30,economics!$AK$2:$AK$167,economics!$AJ$2:$AJ$167,TRUE))*economics!$AM$2:$AM$167))/(SUMPRODUCT((economics!$AG$2:$AG$167=$B47)*(economics!$D$2:$D$167="whr")*economics!$AI$2:$AI$167*(_xlfn.NORM.DIST(K$3,economics!$AK$2:$AK$167,economics!$AJ$2:$AJ$167,TRUE)-_xlfn.NORM.DIST(K$30,economics!$AK$2:$AK$167,economics!$AJ$2:$AJ$167,TRUE)))),"")</f>
        <v/>
      </c>
      <c r="L47">
        <f t="array" ref="L47">IFERROR((SUMPRODUCT((economics!$AG$2:$AG$167=$B47)*(economics!$D$2:$D$167="whr")*economics!$AI$2:$AI$167*(_xlfn.NORM.DIST(L$3,economics!$AK$2:$AK$167,economics!$AJ$2:$AJ$167,TRUE)-_xlfn.NORM.DIST(L$30,economics!$AK$2:$AK$167,economics!$AJ$2:$AJ$167,TRUE))*economics!$AM$2:$AM$167))/(SUMPRODUCT((economics!$AG$2:$AG$167=$B47)*(economics!$D$2:$D$167="whr")*economics!$AI$2:$AI$167*(_xlfn.NORM.DIST(L$3,economics!$AK$2:$AK$167,economics!$AJ$2:$AJ$167,TRUE)-_xlfn.NORM.DIST(L$30,economics!$AK$2:$AK$167,economics!$AJ$2:$AJ$167,TRUE)))),"")</f>
        <v/>
      </c>
      <c r="M47">
        <f t="array" ref="M47">IFERROR((SUMPRODUCT((economics!$AG$2:$AG$167=$B47)*(economics!$D$2:$D$167="whr")*economics!$AI$2:$AI$167*(_xlfn.NORM.DIST(M$3,economics!$AK$2:$AK$167,economics!$AJ$2:$AJ$167,TRUE)-_xlfn.NORM.DIST(M$30,economics!$AK$2:$AK$167,economics!$AJ$2:$AJ$167,TRUE))*economics!$AM$2:$AM$167))/(SUMPRODUCT((economics!$AG$2:$AG$167=$B47)*(economics!$D$2:$D$167="whr")*economics!$AI$2:$AI$167*(_xlfn.NORM.DIST(M$3,economics!$AK$2:$AK$167,economics!$AJ$2:$AJ$167,TRUE)-_xlfn.NORM.DIST(M$30,economics!$AK$2:$AK$167,economics!$AJ$2:$AJ$167,TRUE)))),"")</f>
        <v/>
      </c>
      <c r="N47">
        <f t="array" ref="N47">IFERROR((SUMPRODUCT((economics!$AG$2:$AG$167=$B47)*(economics!$D$2:$D$167="whr")*economics!$AI$2:$AI$167*(_xlfn.NORM.DIST(N$3,economics!$AK$2:$AK$167,economics!$AJ$2:$AJ$167,TRUE)-_xlfn.NORM.DIST(N$30,economics!$AK$2:$AK$167,economics!$AJ$2:$AJ$167,TRUE))*economics!$AM$2:$AM$167))/(SUMPRODUCT((economics!$AG$2:$AG$167=$B47)*(economics!$D$2:$D$167="whr")*economics!$AI$2:$AI$167*(_xlfn.NORM.DIST(N$3,economics!$AK$2:$AK$167,economics!$AJ$2:$AJ$167,TRUE)-_xlfn.NORM.DIST(N$30,economics!$AK$2:$AK$167,economics!$AJ$2:$AJ$167,TRUE)))),"")</f>
        <v/>
      </c>
      <c r="O47">
        <f t="array" ref="O47">IFERROR((SUMPRODUCT((economics!$AG$2:$AG$167=$B47)*(economics!$D$2:$D$167="whr")*economics!$AI$2:$AI$167*(_xlfn.NORM.DIST(O$3,economics!$AK$2:$AK$167,economics!$AJ$2:$AJ$167,TRUE)-_xlfn.NORM.DIST(O$30,economics!$AK$2:$AK$167,economics!$AJ$2:$AJ$167,TRUE))*economics!$AM$2:$AM$167))/(SUMPRODUCT((economics!$AG$2:$AG$167=$B47)*(economics!$D$2:$D$167="whr")*economics!$AI$2:$AI$167*(_xlfn.NORM.DIST(O$3,economics!$AK$2:$AK$167,economics!$AJ$2:$AJ$167,TRUE)-_xlfn.NORM.DIST(O$30,economics!$AK$2:$AK$167,economics!$AJ$2:$AJ$167,TRUE)))),"")</f>
        <v/>
      </c>
      <c r="P47">
        <f t="array" ref="P47">IFERROR((SUMPRODUCT((economics!$AG$2:$AG$167=$B47)*(economics!$D$2:$D$167="whr")*economics!$AI$2:$AI$167*(_xlfn.NORM.DIST(P$3,economics!$AK$2:$AK$167,economics!$AJ$2:$AJ$167,TRUE)-_xlfn.NORM.DIST(P$30,economics!$AK$2:$AK$167,economics!$AJ$2:$AJ$167,TRUE))*economics!$AM$2:$AM$167))/(SUMPRODUCT((economics!$AG$2:$AG$167=$B47)*(economics!$D$2:$D$167="whr")*economics!$AI$2:$AI$167*(_xlfn.NORM.DIST(P$3,economics!$AK$2:$AK$167,economics!$AJ$2:$AJ$167,TRUE)-_xlfn.NORM.DIST(P$30,economics!$AK$2:$AK$167,economics!$AJ$2:$AJ$167,TRUE)))),"")</f>
        <v/>
      </c>
      <c r="Q47">
        <f t="array" ref="Q47">IFERROR((SUMPRODUCT((economics!$AG$2:$AG$167=$B47)*(economics!$D$2:$D$167="whr")*economics!$AI$2:$AI$167*(_xlfn.NORM.DIST(Q$3,economics!$AK$2:$AK$167,economics!$AJ$2:$AJ$167,TRUE)-_xlfn.NORM.DIST(Q$30,economics!$AK$2:$AK$167,economics!$AJ$2:$AJ$167,TRUE))*economics!$AM$2:$AM$167))/(SUMPRODUCT((economics!$AG$2:$AG$167=$B47)*(economics!$D$2:$D$167="whr")*economics!$AI$2:$AI$167*(_xlfn.NORM.DIST(Q$3,economics!$AK$2:$AK$167,economics!$AJ$2:$AJ$167,TRUE)-_xlfn.NORM.DIST(Q$30,economics!$AK$2:$AK$167,economics!$AJ$2:$AJ$167,TRUE)))),"")</f>
        <v/>
      </c>
      <c r="R47">
        <f t="array" ref="R47">IFERROR((SUMPRODUCT((economics!$AG$2:$AG$167=$B47)*(economics!$D$2:$D$167="whr")*economics!$AI$2:$AI$167*(_xlfn.NORM.DIST(R$3,economics!$AK$2:$AK$167,economics!$AJ$2:$AJ$167,TRUE)-_xlfn.NORM.DIST(R$30,economics!$AK$2:$AK$167,economics!$AJ$2:$AJ$167,TRUE))*economics!$AM$2:$AM$167))/(SUMPRODUCT((economics!$AG$2:$AG$167=$B47)*(economics!$D$2:$D$167="whr")*economics!$AI$2:$AI$167*(_xlfn.NORM.DIST(R$3,economics!$AK$2:$AK$167,economics!$AJ$2:$AJ$167,TRUE)-_xlfn.NORM.DIST(R$30,economics!$AK$2:$AK$167,economics!$AJ$2:$AJ$167,TRUE)))),"")</f>
        <v/>
      </c>
      <c r="S47">
        <f t="array" ref="S47">IFERROR((SUMPRODUCT((economics!$AG$2:$AG$167=$B47)*(economics!$D$2:$D$167="whr")*economics!$AI$2:$AI$167*(_xlfn.NORM.DIST(S$3,economics!$AK$2:$AK$167,economics!$AJ$2:$AJ$167,TRUE)-_xlfn.NORM.DIST(S$30,economics!$AK$2:$AK$167,economics!$AJ$2:$AJ$167,TRUE))*economics!$AM$2:$AM$167))/(SUMPRODUCT((economics!$AG$2:$AG$167=$B47)*(economics!$D$2:$D$167="whr")*economics!$AI$2:$AI$167*(_xlfn.NORM.DIST(S$3,economics!$AK$2:$AK$167,economics!$AJ$2:$AJ$167,TRUE)-_xlfn.NORM.DIST(S$30,economics!$AK$2:$AK$167,economics!$AJ$2:$AJ$167,TRUE)))),"")</f>
        <v/>
      </c>
      <c r="T47">
        <f t="array" ref="T47">IFERROR((SUMPRODUCT((economics!$AG$2:$AG$167=$B47)*(economics!$D$2:$D$167="whr")*economics!$AI$2:$AI$167*(_xlfn.NORM.DIST(T$3,economics!$AK$2:$AK$167,economics!$AJ$2:$AJ$167,TRUE)-_xlfn.NORM.DIST(T$30,economics!$AK$2:$AK$167,economics!$AJ$2:$AJ$167,TRUE))*economics!$AM$2:$AM$167))/(SUMPRODUCT((economics!$AG$2:$AG$167=$B47)*(economics!$D$2:$D$167="whr")*economics!$AI$2:$AI$167*(_xlfn.NORM.DIST(T$3,economics!$AK$2:$AK$167,economics!$AJ$2:$AJ$167,TRUE)-_xlfn.NORM.DIST(T$30,economics!$AK$2:$AK$167,economics!$AJ$2:$AJ$167,TRUE)))),"")</f>
        <v/>
      </c>
      <c r="U47">
        <f t="array" ref="U47">IFERROR((SUMPRODUCT((economics!$AG$2:$AG$167=$B47)*(economics!$D$2:$D$167="whr")*economics!$AI$2:$AI$167*(_xlfn.NORM.DIST(U$3,economics!$AK$2:$AK$167,economics!$AJ$2:$AJ$167,TRUE)-_xlfn.NORM.DIST(U$30,economics!$AK$2:$AK$167,economics!$AJ$2:$AJ$167,TRUE))*economics!$AM$2:$AM$167))/(SUMPRODUCT((economics!$AG$2:$AG$167=$B47)*(economics!$D$2:$D$167="whr")*economics!$AI$2:$AI$167*(_xlfn.NORM.DIST(U$3,economics!$AK$2:$AK$167,economics!$AJ$2:$AJ$167,TRUE)-_xlfn.NORM.DIST(U$30,economics!$AK$2:$AK$167,economics!$AJ$2:$AJ$167,TRUE)))),"")</f>
        <v/>
      </c>
      <c r="V47">
        <f t="array" ref="V47">IFERROR((SUMPRODUCT((economics!$AG$2:$AG$167=$B47)*(economics!$D$2:$D$167="whr")*economics!$AI$2:$AI$167*(_xlfn.NORM.DIST(V$3,economics!$AK$2:$AK$167,economics!$AJ$2:$AJ$167,TRUE)-_xlfn.NORM.DIST(V$30,economics!$AK$2:$AK$167,economics!$AJ$2:$AJ$167,TRUE))*economics!$AM$2:$AM$167))/(SUMPRODUCT((economics!$AG$2:$AG$167=$B47)*(economics!$D$2:$D$167="whr")*economics!$AI$2:$AI$167*(_xlfn.NORM.DIST(V$3,economics!$AK$2:$AK$167,economics!$AJ$2:$AJ$167,TRUE)-_xlfn.NORM.DIST(V$30,economics!$AK$2:$AK$167,economics!$AJ$2:$AJ$167,TRUE)))),"")</f>
        <v/>
      </c>
      <c r="W47">
        <f t="array" ref="W47">IFERROR((SUMPRODUCT((economics!$AG$2:$AG$167=$B47)*(economics!$D$2:$D$167="whr")*economics!$AI$2:$AI$167*(_xlfn.NORM.DIST(W$3,economics!$AK$2:$AK$167,economics!$AJ$2:$AJ$167,TRUE)-_xlfn.NORM.DIST(W$30,economics!$AK$2:$AK$167,economics!$AJ$2:$AJ$167,TRUE))*economics!$AM$2:$AM$167))/(SUMPRODUCT((economics!$AG$2:$AG$167=$B47)*(economics!$D$2:$D$167="whr")*economics!$AI$2:$AI$167*(_xlfn.NORM.DIST(W$3,economics!$AK$2:$AK$167,economics!$AJ$2:$AJ$167,TRUE)-_xlfn.NORM.DIST(W$30,economics!$AK$2:$AK$167,economics!$AJ$2:$AJ$167,TRUE)))),"")</f>
        <v/>
      </c>
      <c r="X47">
        <f t="array" ref="X47">IFERROR((SUMPRODUCT((economics!$AG$2:$AG$167=$B47)*(economics!$D$2:$D$167="whr")*economics!$AI$2:$AI$167*(_xlfn.NORM.DIST(X$3,economics!$AK$2:$AK$167,economics!$AJ$2:$AJ$167,TRUE)-_xlfn.NORM.DIST(X$30,economics!$AK$2:$AK$167,economics!$AJ$2:$AJ$167,TRUE))*economics!$AM$2:$AM$167))/(SUMPRODUCT((economics!$AG$2:$AG$167=$B47)*(economics!$D$2:$D$167="whr")*economics!$AI$2:$AI$167*(_xlfn.NORM.DIST(X$3,economics!$AK$2:$AK$167,economics!$AJ$2:$AJ$167,TRUE)-_xlfn.NORM.DIST(X$30,economics!$AK$2:$AK$167,economics!$AJ$2:$AJ$167,TRUE)))),"")</f>
        <v/>
      </c>
      <c r="Y47">
        <f t="array" ref="Y47">IFERROR((SUMPRODUCT((economics!$AG$2:$AG$167=$B47)*(economics!$D$2:$D$167="whr")*economics!$AI$2:$AI$167*(_xlfn.NORM.DIST(Y$3,economics!$AK$2:$AK$167,economics!$AJ$2:$AJ$167,TRUE)-_xlfn.NORM.DIST(Y$30,economics!$AK$2:$AK$167,economics!$AJ$2:$AJ$167,TRUE))*economics!$AM$2:$AM$167))/(SUMPRODUCT((economics!$AG$2:$AG$167=$B47)*(economics!$D$2:$D$167="whr")*economics!$AI$2:$AI$167*(_xlfn.NORM.DIST(Y$3,economics!$AK$2:$AK$167,economics!$AJ$2:$AJ$167,TRUE)-_xlfn.NORM.DIST(Y$30,economics!$AK$2:$AK$167,economics!$AJ$2:$AJ$167,TRUE)))),"")</f>
        <v/>
      </c>
      <c r="Z47">
        <f t="array" ref="Z47">IFERROR((SUMPRODUCT((economics!$AG$2:$AG$167=$B47)*(economics!$D$2:$D$167="whr")*economics!$AI$2:$AI$167*(_xlfn.NORM.DIST(Z$3,economics!$AK$2:$AK$167,economics!$AJ$2:$AJ$167,TRUE)-_xlfn.NORM.DIST(Z$30,economics!$AK$2:$AK$167,economics!$AJ$2:$AJ$167,TRUE))*economics!$AM$2:$AM$167))/(SUMPRODUCT((economics!$AG$2:$AG$167=$B47)*(economics!$D$2:$D$167="whr")*economics!$AI$2:$AI$167*(_xlfn.NORM.DIST(Z$3,economics!$AK$2:$AK$167,economics!$AJ$2:$AJ$167,TRUE)-_xlfn.NORM.DIST(Z$30,economics!$AK$2:$AK$167,economics!$AJ$2:$AJ$167,TRUE)))),"")</f>
        <v/>
      </c>
      <c r="AA47">
        <f t="array" ref="AA47">IFERROR((SUMPRODUCT((economics!$AG$2:$AG$167=$B47)*(economics!$D$2:$D$167="whr")*economics!$AI$2:$AI$167*(_xlfn.NORM.DIST(AA$3,economics!$AK$2:$AK$167,economics!$AJ$2:$AJ$167,TRUE)-_xlfn.NORM.DIST(AA$30,economics!$AK$2:$AK$167,economics!$AJ$2:$AJ$167,TRUE))*economics!$AM$2:$AM$167))/(SUMPRODUCT((economics!$AG$2:$AG$167=$B47)*(economics!$D$2:$D$167="whr")*economics!$AI$2:$AI$167*(_xlfn.NORM.DIST(AA$3,economics!$AK$2:$AK$167,economics!$AJ$2:$AJ$167,TRUE)-_xlfn.NORM.DIST(AA$30,economics!$AK$2:$AK$167,economics!$AJ$2:$AJ$167,TRUE)))),"")</f>
        <v/>
      </c>
      <c r="AB47">
        <f t="array" ref="AB47">IFERROR((SUMPRODUCT((economics!$AG$2:$AG$167=$B47)*(economics!$D$2:$D$167="whr")*economics!$AI$2:$AI$167*(_xlfn.NORM.DIST(AB$3,economics!$AK$2:$AK$167,economics!$AJ$2:$AJ$167,TRUE)-_xlfn.NORM.DIST(AB$30,economics!$AK$2:$AK$167,economics!$AJ$2:$AJ$167,TRUE))*economics!$AM$2:$AM$167))/(SUMPRODUCT((economics!$AG$2:$AG$167=$B47)*(economics!$D$2:$D$167="whr")*economics!$AI$2:$AI$167*(_xlfn.NORM.DIST(AB$3,economics!$AK$2:$AK$167,economics!$AJ$2:$AJ$167,TRUE)-_xlfn.NORM.DIST(AB$30,economics!$AK$2:$AK$167,economics!$AJ$2:$AJ$167,TRUE)))),"")</f>
        <v/>
      </c>
      <c r="AC47">
        <f t="array" ref="AC47">IFERROR((SUMPRODUCT((economics!$AG$2:$AG$167=$B47)*(economics!$D$2:$D$167="whr")*economics!$AI$2:$AI$167*(_xlfn.NORM.DIST(AC$3,economics!$AK$2:$AK$167,economics!$AJ$2:$AJ$167,TRUE)-_xlfn.NORM.DIST(AC$30,economics!$AK$2:$AK$167,economics!$AJ$2:$AJ$167,TRUE))*economics!$AM$2:$AM$167))/(SUMPRODUCT((economics!$AG$2:$AG$167=$B47)*(economics!$D$2:$D$167="whr")*economics!$AI$2:$AI$167*(_xlfn.NORM.DIST(AC$3,economics!$AK$2:$AK$167,economics!$AJ$2:$AJ$167,TRUE)-_xlfn.NORM.DIST(AC$30,economics!$AK$2:$AK$167,economics!$AJ$2:$AJ$167,TRUE)))),"")</f>
        <v/>
      </c>
      <c r="AD47">
        <f t="array" ref="AD47">IFERROR((SUMPRODUCT((economics!$AG$2:$AG$167=$B47)*(economics!$D$2:$D$167="whr")*economics!$AI$2:$AI$167*(_xlfn.NORM.DIST(AD$3,economics!$AK$2:$AK$167,economics!$AJ$2:$AJ$167,TRUE)-_xlfn.NORM.DIST(AD$30,economics!$AK$2:$AK$167,economics!$AJ$2:$AJ$167,TRUE))*economics!$AM$2:$AM$167))/(SUMPRODUCT((economics!$AG$2:$AG$167=$B47)*(economics!$D$2:$D$167="whr")*economics!$AI$2:$AI$167*(_xlfn.NORM.DIST(AD$3,economics!$AK$2:$AK$167,economics!$AJ$2:$AJ$167,TRUE)-_xlfn.NORM.DIST(AD$30,economics!$AK$2:$AK$167,economics!$AJ$2:$AJ$167,TRUE)))),"")</f>
        <v/>
      </c>
      <c r="AE47">
        <f t="array" ref="AE47">IFERROR((SUMPRODUCT((economics!$AG$2:$AG$167=$B47)*(economics!$D$2:$D$167="whr")*economics!$AI$2:$AI$167*(_xlfn.NORM.DIST(AE$3,economics!$AK$2:$AK$167,economics!$AJ$2:$AJ$167,TRUE)-_xlfn.NORM.DIST(AE$30,economics!$AK$2:$AK$167,economics!$AJ$2:$AJ$167,TRUE))*economics!$AM$2:$AM$167))/(SUMPRODUCT((economics!$AG$2:$AG$167=$B47)*(economics!$D$2:$D$167="whr")*economics!$AI$2:$AI$167*(_xlfn.NORM.DIST(AE$3,economics!$AK$2:$AK$167,economics!$AJ$2:$AJ$167,TRUE)-_xlfn.NORM.DIST(AE$30,economics!$AK$2:$AK$167,economics!$AJ$2:$AJ$167,TRUE)))),"")</f>
        <v/>
      </c>
      <c r="AF47">
        <f t="array" ref="AF47">IFERROR((SUMPRODUCT((economics!$AG$2:$AG$167=$B47)*(economics!$D$2:$D$167="whr")*economics!$AI$2:$AI$167*(_xlfn.NORM.DIST(AF$3,economics!$AK$2:$AK$167,economics!$AJ$2:$AJ$167,TRUE)-_xlfn.NORM.DIST(AF$30,economics!$AK$2:$AK$167,economics!$AJ$2:$AJ$167,TRUE))*economics!$AM$2:$AM$167))/(SUMPRODUCT((economics!$AG$2:$AG$167=$B47)*(economics!$D$2:$D$167="whr")*economics!$AI$2:$AI$167*(_xlfn.NORM.DIST(AF$3,economics!$AK$2:$AK$167,economics!$AJ$2:$AJ$167,TRUE)-_xlfn.NORM.DIST(AF$30,economics!$AK$2:$AK$167,economics!$AJ$2:$AJ$167,TRUE)))),"")</f>
        <v/>
      </c>
      <c r="AG47">
        <f t="array" ref="AG47">IFERROR((SUMPRODUCT((economics!$AG$2:$AG$167=$B47)*(economics!$D$2:$D$167="whr")*economics!$AI$2:$AI$167*(_xlfn.NORM.DIST(AG$3,economics!$AK$2:$AK$167,economics!$AJ$2:$AJ$167,TRUE)-_xlfn.NORM.DIST(AG$30,economics!$AK$2:$AK$167,economics!$AJ$2:$AJ$167,TRUE))*economics!$AM$2:$AM$167))/(SUMPRODUCT((economics!$AG$2:$AG$167=$B47)*(economics!$D$2:$D$167="whr")*economics!$AI$2:$AI$167*(_xlfn.NORM.DIST(AG$3,economics!$AK$2:$AK$167,economics!$AJ$2:$AJ$167,TRUE)-_xlfn.NORM.DIST(AG$30,economics!$AK$2:$AK$167,economics!$AJ$2:$AJ$167,TRUE)))),"")</f>
        <v/>
      </c>
      <c r="AH47">
        <f t="array" ref="AH47">IFERROR((SUMPRODUCT((economics!$AG$2:$AG$167=$B47)*(economics!$D$2:$D$167="whr")*economics!$AI$2:$AI$167*(_xlfn.NORM.DIST(AH$3,economics!$AK$2:$AK$167,economics!$AJ$2:$AJ$167,TRUE)-_xlfn.NORM.DIST(AH$30,economics!$AK$2:$AK$167,economics!$AJ$2:$AJ$167,TRUE))*economics!$AM$2:$AM$167))/(SUMPRODUCT((economics!$AG$2:$AG$167=$B47)*(economics!$D$2:$D$167="whr")*economics!$AI$2:$AI$167*(_xlfn.NORM.DIST(AH$3,economics!$AK$2:$AK$167,economics!$AJ$2:$AJ$167,TRUE)-_xlfn.NORM.DIST(AH$30,economics!$AK$2:$AK$167,economics!$AJ$2:$AJ$167,TRUE)))),"")</f>
        <v/>
      </c>
      <c r="AI47">
        <f t="array" ref="AI47">IFERROR((SUMPRODUCT((economics!$AG$2:$AG$167=$B47)*(economics!$D$2:$D$167="whr")*economics!$AI$2:$AI$167*(_xlfn.NORM.DIST(AI$3,economics!$AK$2:$AK$167,economics!$AJ$2:$AJ$167,TRUE)-_xlfn.NORM.DIST(AI$30,economics!$AK$2:$AK$167,economics!$AJ$2:$AJ$167,TRUE))*economics!$AM$2:$AM$167))/(SUMPRODUCT((economics!$AG$2:$AG$167=$B47)*(economics!$D$2:$D$167="whr")*economics!$AI$2:$AI$167*(_xlfn.NORM.DIST(AI$3,economics!$AK$2:$AK$167,economics!$AJ$2:$AJ$167,TRUE)-_xlfn.NORM.DIST(AI$30,economics!$AK$2:$AK$167,economics!$AJ$2:$AJ$167,TRUE)))),"")</f>
        <v/>
      </c>
      <c r="AJ47">
        <f t="array" ref="AJ47">IFERROR((SUMPRODUCT((economics!$AG$2:$AG$167=$B47)*(economics!$D$2:$D$167="whr")*economics!$AI$2:$AI$167*(_xlfn.NORM.DIST(AJ$3,economics!$AK$2:$AK$167,economics!$AJ$2:$AJ$167,TRUE)-_xlfn.NORM.DIST(AJ$30,economics!$AK$2:$AK$167,economics!$AJ$2:$AJ$167,TRUE))*economics!$AM$2:$AM$167))/(SUMPRODUCT((economics!$AG$2:$AG$167=$B47)*(economics!$D$2:$D$167="whr")*economics!$AI$2:$AI$167*(_xlfn.NORM.DIST(AJ$3,economics!$AK$2:$AK$167,economics!$AJ$2:$AJ$167,TRUE)-_xlfn.NORM.DIST(AJ$30,economics!$AK$2:$AK$167,economics!$AJ$2:$AJ$167,TRUE)))),"")</f>
        <v/>
      </c>
      <c r="AK47">
        <f t="array" ref="AK47">IFERROR((SUMPRODUCT((economics!$AG$2:$AG$167=$B47)*(economics!$D$2:$D$167="whr")*economics!$AI$2:$AI$167*(_xlfn.NORM.DIST(AK$3,economics!$AK$2:$AK$167,economics!$AJ$2:$AJ$167,TRUE)-_xlfn.NORM.DIST(AK$30,economics!$AK$2:$AK$167,economics!$AJ$2:$AJ$167,TRUE))*economics!$AM$2:$AM$167))/(SUMPRODUCT((economics!$AG$2:$AG$167=$B47)*(economics!$D$2:$D$167="whr")*economics!$AI$2:$AI$167*(_xlfn.NORM.DIST(AK$3,economics!$AK$2:$AK$167,economics!$AJ$2:$AJ$167,TRUE)-_xlfn.NORM.DIST(AK$30,economics!$AK$2:$AK$167,economics!$AJ$2:$AJ$167,TRUE)))),"")</f>
        <v/>
      </c>
      <c r="AL47">
        <f t="array" ref="AL47">IFERROR((SUMPRODUCT((economics!$AG$2:$AG$167=$B47)*(economics!$D$2:$D$167="whr")*economics!$AI$2:$AI$167*(_xlfn.NORM.DIST(AL$3,economics!$AK$2:$AK$167,economics!$AJ$2:$AJ$167,TRUE)-_xlfn.NORM.DIST(AL$30,economics!$AK$2:$AK$167,economics!$AJ$2:$AJ$167,TRUE))*economics!$AM$2:$AM$167))/(SUMPRODUCT((economics!$AG$2:$AG$167=$B47)*(economics!$D$2:$D$167="whr")*economics!$AI$2:$AI$167*(_xlfn.NORM.DIST(AL$3,economics!$AK$2:$AK$167,economics!$AJ$2:$AJ$167,TRUE)-_xlfn.NORM.DIST(AL$30,economics!$AK$2:$AK$167,economics!$AJ$2:$AJ$167,TRUE)))),"")</f>
        <v/>
      </c>
      <c r="AM47">
        <f t="array" ref="AM47">IFERROR((SUMPRODUCT((economics!$AG$2:$AG$167=$B47)*(economics!$D$2:$D$167="whr")*economics!$AI$2:$AI$167*(_xlfn.NORM.DIST(AM$3,economics!$AK$2:$AK$167,economics!$AJ$2:$AJ$167,TRUE)-_xlfn.NORM.DIST(AM$30,economics!$AK$2:$AK$167,economics!$AJ$2:$AJ$167,TRUE))*economics!$AM$2:$AM$167))/(SUMPRODUCT((economics!$AG$2:$AG$167=$B47)*(economics!$D$2:$D$167="whr")*economics!$AI$2:$AI$167*(_xlfn.NORM.DIST(AM$3,economics!$AK$2:$AK$167,economics!$AJ$2:$AJ$167,TRUE)-_xlfn.NORM.DIST(AM$30,economics!$AK$2:$AK$167,economics!$AJ$2:$AJ$167,TRUE)))),"")</f>
        <v/>
      </c>
      <c r="AN47">
        <f t="array" ref="AN47">IFERROR((SUMPRODUCT((economics!$AG$2:$AG$167=$B47)*(economics!$D$2:$D$167="whr")*economics!$AI$2:$AI$167*(_xlfn.NORM.DIST(AN$3,economics!$AK$2:$AK$167,economics!$AJ$2:$AJ$167,TRUE)-_xlfn.NORM.DIST(AN$30,economics!$AK$2:$AK$167,economics!$AJ$2:$AJ$167,TRUE))*economics!$AM$2:$AM$167))/(SUMPRODUCT((economics!$AG$2:$AG$167=$B47)*(economics!$D$2:$D$167="whr")*economics!$AI$2:$AI$167*(_xlfn.NORM.DIST(AN$3,economics!$AK$2:$AK$167,economics!$AJ$2:$AJ$167,TRUE)-_xlfn.NORM.DIST(AN$30,economics!$AK$2:$AK$167,economics!$AJ$2:$AJ$167,TRUE)))),"")</f>
        <v/>
      </c>
      <c r="AO47">
        <f t="array" ref="AO47">IFERROR((SUMPRODUCT((economics!$AG$2:$AG$167=$B47)*(economics!$D$2:$D$167="whr")*economics!$AI$2:$AI$167*(_xlfn.NORM.DIST(AO$3,economics!$AK$2:$AK$167,economics!$AJ$2:$AJ$167,TRUE)-_xlfn.NORM.DIST(AO$30,economics!$AK$2:$AK$167,economics!$AJ$2:$AJ$167,TRUE))*economics!$AM$2:$AM$167))/(SUMPRODUCT((economics!$AG$2:$AG$167=$B47)*(economics!$D$2:$D$167="whr")*economics!$AI$2:$AI$167*(_xlfn.NORM.DIST(AO$3,economics!$AK$2:$AK$167,economics!$AJ$2:$AJ$167,TRUE)-_xlfn.NORM.DIST(AO$30,economics!$AK$2:$AK$167,economics!$AJ$2:$AJ$167,TRUE)))),"")</f>
        <v/>
      </c>
      <c r="AP47">
        <f t="array" ref="AP47">IFERROR((SUMPRODUCT((economics!$AG$2:$AG$167=$B47)*(economics!$D$2:$D$167="whr")*economics!$AI$2:$AI$167*(_xlfn.NORM.DIST(AP$3,economics!$AK$2:$AK$167,economics!$AJ$2:$AJ$167,TRUE)-_xlfn.NORM.DIST(AP$30,economics!$AK$2:$AK$167,economics!$AJ$2:$AJ$167,TRUE))*economics!$AM$2:$AM$167))/(SUMPRODUCT((economics!$AG$2:$AG$167=$B47)*(economics!$D$2:$D$167="whr")*economics!$AI$2:$AI$167*(_xlfn.NORM.DIST(AP$3,economics!$AK$2:$AK$167,economics!$AJ$2:$AJ$167,TRUE)-_xlfn.NORM.DIST(AP$30,economics!$AK$2:$AK$167,economics!$AJ$2:$AJ$167,TRUE)))),"")</f>
        <v/>
      </c>
      <c r="AQ47">
        <f t="array" ref="AQ47">IFERROR((SUMPRODUCT((economics!$AG$2:$AG$167=$B47)*(economics!$D$2:$D$167="whr")*economics!$AI$2:$AI$167*(_xlfn.NORM.DIST(AQ$3,economics!$AK$2:$AK$167,economics!$AJ$2:$AJ$167,TRUE)-_xlfn.NORM.DIST(AQ$30,economics!$AK$2:$AK$167,economics!$AJ$2:$AJ$167,TRUE))*economics!$AM$2:$AM$167))/(SUMPRODUCT((economics!$AG$2:$AG$167=$B47)*(economics!$D$2:$D$167="whr")*economics!$AI$2:$AI$167*(_xlfn.NORM.DIST(AQ$3,economics!$AK$2:$AK$167,economics!$AJ$2:$AJ$167,TRUE)-_xlfn.NORM.DIST(AQ$30,economics!$AK$2:$AK$167,economics!$AJ$2:$AJ$167,TRUE)))),"")</f>
        <v/>
      </c>
      <c r="AR47">
        <f t="array" ref="AR47">IFERROR((SUMPRODUCT((economics!$AG$2:$AG$167=$B47)*(economics!$D$2:$D$167="whr")*economics!$AI$2:$AI$167*(_xlfn.NORM.DIST(AR$3,economics!$AK$2:$AK$167,economics!$AJ$2:$AJ$167,TRUE)-_xlfn.NORM.DIST(AR$30,economics!$AK$2:$AK$167,economics!$AJ$2:$AJ$167,TRUE))*economics!$AM$2:$AM$167))/(SUMPRODUCT((economics!$AG$2:$AG$167=$B47)*(economics!$D$2:$D$167="whr")*economics!$AI$2:$AI$167*(_xlfn.NORM.DIST(AR$3,economics!$AK$2:$AK$167,economics!$AJ$2:$AJ$167,TRUE)-_xlfn.NORM.DIST(AR$30,economics!$AK$2:$AK$167,economics!$AJ$2:$AJ$167,TRUE)))),"")</f>
        <v/>
      </c>
      <c r="AS47">
        <f t="array" ref="AS47">IFERROR((SUMPRODUCT((economics!$AG$2:$AG$167=$B47)*(economics!$D$2:$D$167="whr")*economics!$AI$2:$AI$167*(_xlfn.NORM.DIST(AS$3,economics!$AK$2:$AK$167,economics!$AJ$2:$AJ$167,TRUE)-_xlfn.NORM.DIST(AS$30,economics!$AK$2:$AK$167,economics!$AJ$2:$AJ$167,TRUE))*economics!$AM$2:$AM$167))/(SUMPRODUCT((economics!$AG$2:$AG$167=$B47)*(economics!$D$2:$D$167="whr")*economics!$AI$2:$AI$167*(_xlfn.NORM.DIST(AS$3,economics!$AK$2:$AK$167,economics!$AJ$2:$AJ$167,TRUE)-_xlfn.NORM.DIST(AS$30,economics!$AK$2:$AK$167,economics!$AJ$2:$AJ$167,TRUE)))),"")</f>
        <v/>
      </c>
      <c r="AT47">
        <f t="array" ref="AT47">IFERROR((SUMPRODUCT((economics!$AG$2:$AG$167=$B47)*(economics!$D$2:$D$167="whr")*economics!$AI$2:$AI$167*(_xlfn.NORM.DIST(AT$3,economics!$AK$2:$AK$167,economics!$AJ$2:$AJ$167,TRUE)-_xlfn.NORM.DIST(AT$30,economics!$AK$2:$AK$167,economics!$AJ$2:$AJ$167,TRUE))*economics!$AM$2:$AM$167))/(SUMPRODUCT((economics!$AG$2:$AG$167=$B47)*(economics!$D$2:$D$167="whr")*economics!$AI$2:$AI$167*(_xlfn.NORM.DIST(AT$3,economics!$AK$2:$AK$167,economics!$AJ$2:$AJ$167,TRUE)-_xlfn.NORM.DIST(AT$30,economics!$AK$2:$AK$167,economics!$AJ$2:$AJ$167,TRUE)))),"")</f>
        <v/>
      </c>
      <c r="AU47">
        <f t="array" ref="AU47">IFERROR((SUMPRODUCT((economics!$AG$2:$AG$167=$B47)*(economics!$D$2:$D$167="whr")*economics!$AI$2:$AI$167*(_xlfn.NORM.DIST(AU$3,economics!$AK$2:$AK$167,economics!$AJ$2:$AJ$167,TRUE)-_xlfn.NORM.DIST(AU$30,economics!$AK$2:$AK$167,economics!$AJ$2:$AJ$167,TRUE))*economics!$AM$2:$AM$167))/(SUMPRODUCT((economics!$AG$2:$AG$167=$B47)*(economics!$D$2:$D$167="whr")*economics!$AI$2:$AI$167*(_xlfn.NORM.DIST(AU$3,economics!$AK$2:$AK$167,economics!$AJ$2:$AJ$167,TRUE)-_xlfn.NORM.DIST(AU$30,economics!$AK$2:$AK$167,economics!$AJ$2:$AJ$167,TRUE)))),"")</f>
        <v/>
      </c>
      <c r="AV47">
        <f t="array" ref="AV47">IFERROR((SUMPRODUCT((economics!$AG$2:$AG$167=$B47)*(economics!$D$2:$D$167="whr")*economics!$AI$2:$AI$167*(_xlfn.NORM.DIST(AV$3,economics!$AK$2:$AK$167,economics!$AJ$2:$AJ$167,TRUE)-_xlfn.NORM.DIST(AV$30,economics!$AK$2:$AK$167,economics!$AJ$2:$AJ$167,TRUE))*economics!$AM$2:$AM$167))/(SUMPRODUCT((economics!$AG$2:$AG$167=$B47)*(economics!$D$2:$D$167="whr")*economics!$AI$2:$AI$167*(_xlfn.NORM.DIST(AV$3,economics!$AK$2:$AK$167,economics!$AJ$2:$AJ$167,TRUE)-_xlfn.NORM.DIST(AV$30,economics!$AK$2:$AK$167,economics!$AJ$2:$AJ$167,TRUE)))),"")</f>
        <v/>
      </c>
      <c r="AW47">
        <f t="array" ref="AW47">IFERROR((SUMPRODUCT((economics!$AG$2:$AG$167=$B47)*(economics!$D$2:$D$167="whr")*economics!$AI$2:$AI$167*(_xlfn.NORM.DIST(AW$3,economics!$AK$2:$AK$167,economics!$AJ$2:$AJ$167,TRUE)-_xlfn.NORM.DIST(AW$30,economics!$AK$2:$AK$167,economics!$AJ$2:$AJ$167,TRUE))*economics!$AM$2:$AM$167))/(SUMPRODUCT((economics!$AG$2:$AG$167=$B47)*(economics!$D$2:$D$167="whr")*economics!$AI$2:$AI$167*(_xlfn.NORM.DIST(AW$3,economics!$AK$2:$AK$167,economics!$AJ$2:$AJ$167,TRUE)-_xlfn.NORM.DIST(AW$30,economics!$AK$2:$AK$167,economics!$AJ$2:$AJ$167,TRUE)))),"")</f>
        <v/>
      </c>
      <c r="AX47">
        <f t="array" ref="AX47">IFERROR((SUMPRODUCT((economics!$AG$2:$AG$167=$B47)*(economics!$D$2:$D$167="whr")*economics!$AI$2:$AI$167*(_xlfn.NORM.DIST(AX$3,economics!$AK$2:$AK$167,economics!$AJ$2:$AJ$167,TRUE)-_xlfn.NORM.DIST(AX$30,economics!$AK$2:$AK$167,economics!$AJ$2:$AJ$167,TRUE))*economics!$AM$2:$AM$167))/(SUMPRODUCT((economics!$AG$2:$AG$167=$B47)*(economics!$D$2:$D$167="whr")*economics!$AI$2:$AI$167*(_xlfn.NORM.DIST(AX$3,economics!$AK$2:$AK$167,economics!$AJ$2:$AJ$167,TRUE)-_xlfn.NORM.DIST(AX$30,economics!$AK$2:$AK$167,economics!$AJ$2:$AJ$167,TRUE)))),"")</f>
        <v/>
      </c>
      <c r="AY47">
        <f t="array" ref="AY47">IFERROR((SUMPRODUCT((economics!$AG$2:$AG$167=$B47)*(economics!$D$2:$D$167="whr")*economics!$AI$2:$AI$167*(_xlfn.NORM.DIST(AY$3,economics!$AK$2:$AK$167,economics!$AJ$2:$AJ$167,TRUE)-_xlfn.NORM.DIST(AY$30,economics!$AK$2:$AK$167,economics!$AJ$2:$AJ$167,TRUE))*economics!$AM$2:$AM$167))/(SUMPRODUCT((economics!$AG$2:$AG$167=$B47)*(economics!$D$2:$D$167="whr")*economics!$AI$2:$AI$167*(_xlfn.NORM.DIST(AY$3,economics!$AK$2:$AK$167,economics!$AJ$2:$AJ$167,TRUE)-_xlfn.NORM.DIST(AY$30,economics!$AK$2:$AK$167,economics!$AJ$2:$AJ$167,TRUE)))),"")</f>
        <v/>
      </c>
      <c r="AZ47">
        <f t="array" ref="AZ47">IFERROR((SUMPRODUCT((economics!$AG$2:$AG$167=$B47)*(economics!$D$2:$D$167="whr")*economics!$AI$2:$AI$167*(_xlfn.NORM.DIST(AZ$3,economics!$AK$2:$AK$167,economics!$AJ$2:$AJ$167,TRUE)-_xlfn.NORM.DIST(AZ$30,economics!$AK$2:$AK$167,economics!$AJ$2:$AJ$167,TRUE))*economics!$AM$2:$AM$167))/(SUMPRODUCT((economics!$AG$2:$AG$167=$B47)*(economics!$D$2:$D$167="whr")*economics!$AI$2:$AI$167*(_xlfn.NORM.DIST(AZ$3,economics!$AK$2:$AK$167,economics!$AJ$2:$AJ$167,TRUE)-_xlfn.NORM.DIST(AZ$30,economics!$AK$2:$AK$167,economics!$AJ$2:$AJ$167,TRUE)))),"")</f>
        <v/>
      </c>
      <c r="BA47">
        <f t="array" ref="BA47">IFERROR((SUMPRODUCT((economics!$AG$2:$AG$167=$B47)*(economics!$D$2:$D$167="whr")*economics!$AI$2:$AI$167*(_xlfn.NORM.DIST(BA$3,economics!$AK$2:$AK$167,economics!$AJ$2:$AJ$167,TRUE)-_xlfn.NORM.DIST(BA$30,economics!$AK$2:$AK$167,economics!$AJ$2:$AJ$167,TRUE))*economics!$AM$2:$AM$167))/(SUMPRODUCT((economics!$AG$2:$AG$167=$B47)*(economics!$D$2:$D$167="whr")*economics!$AI$2:$AI$167*(_xlfn.NORM.DIST(BA$3,economics!$AK$2:$AK$167,economics!$AJ$2:$AJ$167,TRUE)-_xlfn.NORM.DIST(BA$30,economics!$AK$2:$AK$167,economics!$AJ$2:$AJ$167,TRUE)))),"")</f>
        <v/>
      </c>
      <c r="BB47">
        <f t="array" ref="BB47">IFERROR((SUMPRODUCT((economics!$AG$2:$AG$167=$B47)*(economics!$D$2:$D$167="whr")*economics!$AI$2:$AI$167*(_xlfn.NORM.DIST(BB$3,economics!$AK$2:$AK$167,economics!$AJ$2:$AJ$167,TRUE)-_xlfn.NORM.DIST(BB$30,economics!$AK$2:$AK$167,economics!$AJ$2:$AJ$167,TRUE))*economics!$AM$2:$AM$167))/(SUMPRODUCT((economics!$AG$2:$AG$167=$B47)*(economics!$D$2:$D$167="whr")*economics!$AI$2:$AI$167*(_xlfn.NORM.DIST(BB$3,economics!$AK$2:$AK$167,economics!$AJ$2:$AJ$167,TRUE)-_xlfn.NORM.DIST(BB$30,economics!$AK$2:$AK$167,economics!$AJ$2:$AJ$167,TRUE)))),"")</f>
        <v/>
      </c>
      <c r="BC47">
        <f t="array" ref="BC47">IFERROR((SUMPRODUCT((economics!$AG$2:$AG$167=$B47)*(economics!$D$2:$D$167="whr")*economics!$AI$2:$AI$167*(_xlfn.NORM.DIST(BC$3,economics!$AK$2:$AK$167,economics!$AJ$2:$AJ$167,TRUE)-_xlfn.NORM.DIST(BC$30,economics!$AK$2:$AK$167,economics!$AJ$2:$AJ$167,TRUE))*economics!$AM$2:$AM$167))/(SUMPRODUCT((economics!$AG$2:$AG$167=$B47)*(economics!$D$2:$D$167="whr")*economics!$AI$2:$AI$167*(_xlfn.NORM.DIST(BC$3,economics!$AK$2:$AK$167,economics!$AJ$2:$AJ$167,TRUE)-_xlfn.NORM.DIST(BC$30,economics!$AK$2:$AK$167,economics!$AJ$2:$AJ$167,TRUE)))),"")</f>
        <v/>
      </c>
      <c r="BD47">
        <f t="array" ref="BD47">IFERROR((SUMPRODUCT((economics!$AG$2:$AG$167=$B47)*(economics!$D$2:$D$167="whr")*economics!$AI$2:$AI$167*(_xlfn.NORM.DIST(BD$3,economics!$AK$2:$AK$167,economics!$AJ$2:$AJ$167,TRUE)-_xlfn.NORM.DIST(BD$30,economics!$AK$2:$AK$167,economics!$AJ$2:$AJ$167,TRUE))*economics!$AM$2:$AM$167))/(SUMPRODUCT((economics!$AG$2:$AG$167=$B47)*(economics!$D$2:$D$167="whr")*economics!$AI$2:$AI$167*(_xlfn.NORM.DIST(BD$3,economics!$AK$2:$AK$167,economics!$AJ$2:$AJ$167,TRUE)-_xlfn.NORM.DIST(BD$30,economics!$AK$2:$AK$167,economics!$AJ$2:$AJ$167,TRUE)))),"")</f>
        <v/>
      </c>
      <c r="BE47">
        <f t="array" ref="BE47">IFERROR((SUMPRODUCT((economics!$AG$2:$AG$167=$B47)*(economics!$D$2:$D$167="whr")*economics!$AI$2:$AI$167*(_xlfn.NORM.DIST(BE$3,economics!$AK$2:$AK$167,economics!$AJ$2:$AJ$167,TRUE)-_xlfn.NORM.DIST(BE$30,economics!$AK$2:$AK$167,economics!$AJ$2:$AJ$167,TRUE))*economics!$AM$2:$AM$167))/(SUMPRODUCT((economics!$AG$2:$AG$167=$B47)*(economics!$D$2:$D$167="whr")*economics!$AI$2:$AI$167*(_xlfn.NORM.DIST(BE$3,economics!$AK$2:$AK$167,economics!$AJ$2:$AJ$167,TRUE)-_xlfn.NORM.DIST(BE$30,economics!$AK$2:$AK$167,economics!$AJ$2:$AJ$167,TRUE)))),"")</f>
        <v/>
      </c>
      <c r="BF47">
        <f t="array" ref="BF47">IFERROR((SUMPRODUCT((economics!$AG$2:$AG$167=$B47)*(economics!$D$2:$D$167="whr")*economics!$AI$2:$AI$167*(_xlfn.NORM.DIST(BF$3,economics!$AK$2:$AK$167,economics!$AJ$2:$AJ$167,TRUE)-_xlfn.NORM.DIST(BF$30,economics!$AK$2:$AK$167,economics!$AJ$2:$AJ$167,TRUE))*economics!$AM$2:$AM$167))/(SUMPRODUCT((economics!$AG$2:$AG$167=$B47)*(economics!$D$2:$D$167="whr")*economics!$AI$2:$AI$167*(_xlfn.NORM.DIST(BF$3,economics!$AK$2:$AK$167,economics!$AJ$2:$AJ$167,TRUE)-_xlfn.NORM.DIST(BF$30,economics!$AK$2:$AK$167,economics!$AJ$2:$AJ$167,TRUE)))),"")</f>
        <v/>
      </c>
      <c r="BG47">
        <f t="array" ref="BG47">IFERROR((SUMPRODUCT((economics!$AG$2:$AG$167=$B47)*(economics!$D$2:$D$167="whr")*economics!$AI$2:$AI$167*(_xlfn.NORM.DIST(BG$3,economics!$AK$2:$AK$167,economics!$AJ$2:$AJ$167,TRUE)-_xlfn.NORM.DIST(BG$30,economics!$AK$2:$AK$167,economics!$AJ$2:$AJ$167,TRUE))*economics!$AM$2:$AM$167))/(SUMPRODUCT((economics!$AG$2:$AG$167=$B47)*(economics!$D$2:$D$167="whr")*economics!$AI$2:$AI$167*(_xlfn.NORM.DIST(BG$3,economics!$AK$2:$AK$167,economics!$AJ$2:$AJ$167,TRUE)-_xlfn.NORM.DIST(BG$30,economics!$AK$2:$AK$167,economics!$AJ$2:$AJ$167,TRUE)))),"")</f>
        <v/>
      </c>
      <c r="BH47">
        <f t="array" ref="BH47">IFERROR((SUMPRODUCT((economics!$AG$2:$AG$167=$B47)*(economics!$D$2:$D$167="whr")*economics!$AI$2:$AI$167*(_xlfn.NORM.DIST(BH$3,economics!$AK$2:$AK$167,economics!$AJ$2:$AJ$167,TRUE)-_xlfn.NORM.DIST(BH$30,economics!$AK$2:$AK$167,economics!$AJ$2:$AJ$167,TRUE))*economics!$AM$2:$AM$167))/(SUMPRODUCT((economics!$AG$2:$AG$167=$B47)*(economics!$D$2:$D$167="whr")*economics!$AI$2:$AI$167*(_xlfn.NORM.DIST(BH$3,economics!$AK$2:$AK$167,economics!$AJ$2:$AJ$167,TRUE)-_xlfn.NORM.DIST(BH$30,economics!$AK$2:$AK$167,economics!$AJ$2:$AJ$167,TRUE)))),"")</f>
        <v/>
      </c>
      <c r="BI47">
        <f t="array" ref="BI47">IFERROR((SUMPRODUCT((economics!$AG$2:$AG$167=$B47)*(economics!$D$2:$D$167="whr")*economics!$AI$2:$AI$167*(_xlfn.NORM.DIST(BI$3,economics!$AK$2:$AK$167,economics!$AJ$2:$AJ$167,TRUE)-_xlfn.NORM.DIST(BI$30,economics!$AK$2:$AK$167,economics!$AJ$2:$AJ$167,TRUE))*economics!$AM$2:$AM$167))/(SUMPRODUCT((economics!$AG$2:$AG$167=$B47)*(economics!$D$2:$D$167="whr")*economics!$AI$2:$AI$167*(_xlfn.NORM.DIST(BI$3,economics!$AK$2:$AK$167,economics!$AJ$2:$AJ$167,TRUE)-_xlfn.NORM.DIST(BI$30,economics!$AK$2:$AK$167,economics!$AJ$2:$AJ$167,TRUE)))),"")</f>
        <v/>
      </c>
      <c r="BJ47">
        <f t="array" ref="BJ47">IFERROR((SUMPRODUCT((economics!$AG$2:$AG$167=$B47)*(economics!$D$2:$D$167="whr")*economics!$AI$2:$AI$167*(_xlfn.NORM.DIST(BJ$3,economics!$AK$2:$AK$167,economics!$AJ$2:$AJ$167,TRUE)-_xlfn.NORM.DIST(BJ$30,economics!$AK$2:$AK$167,economics!$AJ$2:$AJ$167,TRUE))*economics!$AM$2:$AM$167))/(SUMPRODUCT((economics!$AG$2:$AG$167=$B47)*(economics!$D$2:$D$167="whr")*economics!$AI$2:$AI$167*(_xlfn.NORM.DIST(BJ$3,economics!$AK$2:$AK$167,economics!$AJ$2:$AJ$167,TRUE)-_xlfn.NORM.DIST(BJ$30,economics!$AK$2:$AK$167,economics!$AJ$2:$AJ$167,TRUE)))),"")</f>
        <v/>
      </c>
      <c r="BK47">
        <f t="array" ref="BK47">IFERROR((SUMPRODUCT((economics!$AG$2:$AG$167=$B47)*(economics!$D$2:$D$167="whr")*economics!$AI$2:$AI$167*(_xlfn.NORM.DIST(BK$3,economics!$AK$2:$AK$167,economics!$AJ$2:$AJ$167,TRUE)-_xlfn.NORM.DIST(BK$30,economics!$AK$2:$AK$167,economics!$AJ$2:$AJ$167,TRUE))*economics!$AM$2:$AM$167))/(SUMPRODUCT((economics!$AG$2:$AG$167=$B47)*(economics!$D$2:$D$167="whr")*economics!$AI$2:$AI$167*(_xlfn.NORM.DIST(BK$3,economics!$AK$2:$AK$167,economics!$AJ$2:$AJ$167,TRUE)-_xlfn.NORM.DIST(BK$30,economics!$AK$2:$AK$167,economics!$AJ$2:$AJ$167,TRUE)))),"")</f>
        <v/>
      </c>
      <c r="BL47">
        <f t="array" ref="BL47">IFERROR((SUMPRODUCT((economics!$AG$2:$AG$167=$B47)*(economics!$D$2:$D$167="whr")*economics!$AI$2:$AI$167*(_xlfn.NORM.DIST(BL$3,economics!$AK$2:$AK$167,economics!$AJ$2:$AJ$167,TRUE)-_xlfn.NORM.DIST(BL$30,economics!$AK$2:$AK$167,economics!$AJ$2:$AJ$167,TRUE))*economics!$AM$2:$AM$167))/(SUMPRODUCT((economics!$AG$2:$AG$167=$B47)*(economics!$D$2:$D$167="whr")*economics!$AI$2:$AI$167*(_xlfn.NORM.DIST(BL$3,economics!$AK$2:$AK$167,economics!$AJ$2:$AJ$167,TRUE)-_xlfn.NORM.DIST(BL$30,economics!$AK$2:$AK$167,economics!$AJ$2:$AJ$167,TRUE)))),"")</f>
        <v/>
      </c>
      <c r="BM47">
        <f t="array" ref="BM47">IFERROR((SUMPRODUCT((economics!$AG$2:$AG$167=$B47)*(economics!$D$2:$D$167="whr")*economics!$AI$2:$AI$167*(_xlfn.NORM.DIST(BM$3,economics!$AK$2:$AK$167,economics!$AJ$2:$AJ$167,TRUE)-_xlfn.NORM.DIST(BM$30,economics!$AK$2:$AK$167,economics!$AJ$2:$AJ$167,TRUE))*economics!$AM$2:$AM$167))/(SUMPRODUCT((economics!$AG$2:$AG$167=$B47)*(economics!$D$2:$D$167="whr")*economics!$AI$2:$AI$167*(_xlfn.NORM.DIST(BM$3,economics!$AK$2:$AK$167,economics!$AJ$2:$AJ$167,TRUE)-_xlfn.NORM.DIST(BM$30,economics!$AK$2:$AK$167,economics!$AJ$2:$AJ$167,TRUE)))),"")</f>
        <v/>
      </c>
      <c r="BN47">
        <f t="array" ref="BN47">IFERROR((SUMPRODUCT((economics!$AG$2:$AG$167=$B47)*(economics!$D$2:$D$167="whr")*economics!$AI$2:$AI$167*(_xlfn.NORM.DIST(BN$3,economics!$AK$2:$AK$167,economics!$AJ$2:$AJ$167,TRUE)-_xlfn.NORM.DIST(BN$30,economics!$AK$2:$AK$167,economics!$AJ$2:$AJ$167,TRUE))*economics!$AM$2:$AM$167))/(SUMPRODUCT((economics!$AG$2:$AG$167=$B47)*(economics!$D$2:$D$167="whr")*economics!$AI$2:$AI$167*(_xlfn.NORM.DIST(BN$3,economics!$AK$2:$AK$167,economics!$AJ$2:$AJ$167,TRUE)-_xlfn.NORM.DIST(BN$30,economics!$AK$2:$AK$167,economics!$AJ$2:$AJ$167,TRUE)))),"")</f>
        <v/>
      </c>
      <c r="BO47">
        <f t="array" ref="BO47">IFERROR((SUMPRODUCT((economics!$AG$2:$AG$167=$B47)*(economics!$D$2:$D$167="whr")*economics!$AI$2:$AI$167*(_xlfn.NORM.DIST(BO$3,economics!$AK$2:$AK$167,economics!$AJ$2:$AJ$167,TRUE)-_xlfn.NORM.DIST(BO$30,economics!$AK$2:$AK$167,economics!$AJ$2:$AJ$167,TRUE))*economics!$AM$2:$AM$167))/(SUMPRODUCT((economics!$AG$2:$AG$167=$B47)*(economics!$D$2:$D$167="whr")*economics!$AI$2:$AI$167*(_xlfn.NORM.DIST(BO$3,economics!$AK$2:$AK$167,economics!$AJ$2:$AJ$167,TRUE)-_xlfn.NORM.DIST(BO$30,economics!$AK$2:$AK$167,economics!$AJ$2:$AJ$167,TRUE)))),"")</f>
        <v/>
      </c>
      <c r="BP47">
        <f t="array" ref="BP47">IFERROR((SUMPRODUCT((economics!$AG$2:$AG$167=$B47)*(economics!$D$2:$D$167="whr")*economics!$AI$2:$AI$167*(_xlfn.NORM.DIST(BP$3,economics!$AK$2:$AK$167,economics!$AJ$2:$AJ$167,TRUE)-_xlfn.NORM.DIST(BP$30,economics!$AK$2:$AK$167,economics!$AJ$2:$AJ$167,TRUE))*economics!$AM$2:$AM$167))/(SUMPRODUCT((economics!$AG$2:$AG$167=$B47)*(economics!$D$2:$D$167="whr")*economics!$AI$2:$AI$167*(_xlfn.NORM.DIST(BP$3,economics!$AK$2:$AK$167,economics!$AJ$2:$AJ$167,TRUE)-_xlfn.NORM.DIST(BP$30,economics!$AK$2:$AK$167,economics!$AJ$2:$AJ$167,TRUE)))),"")</f>
        <v/>
      </c>
      <c r="BQ47">
        <f t="array" ref="BQ47">IFERROR((SUMPRODUCT((economics!$AG$2:$AG$167=$B47)*(economics!$D$2:$D$167="whr")*economics!$AI$2:$AI$167*(_xlfn.NORM.DIST(BQ$3,economics!$AK$2:$AK$167,economics!$AJ$2:$AJ$167,TRUE)-_xlfn.NORM.DIST(BQ$30,economics!$AK$2:$AK$167,economics!$AJ$2:$AJ$167,TRUE))*economics!$AM$2:$AM$167))/(SUMPRODUCT((economics!$AG$2:$AG$167=$B47)*(economics!$D$2:$D$167="whr")*economics!$AI$2:$AI$167*(_xlfn.NORM.DIST(BQ$3,economics!$AK$2:$AK$167,economics!$AJ$2:$AJ$167,TRUE)-_xlfn.NORM.DIST(BQ$30,economics!$AK$2:$AK$167,economics!$AJ$2:$AJ$167,TRUE)))),"")</f>
        <v/>
      </c>
      <c r="BR47">
        <f t="array" ref="BR47">IFERROR((SUMPRODUCT((economics!$AG$2:$AG$167=$B47)*(economics!$D$2:$D$167="whr")*economics!$AI$2:$AI$167*(_xlfn.NORM.DIST(BR$3,economics!$AK$2:$AK$167,economics!$AJ$2:$AJ$167,TRUE)-_xlfn.NORM.DIST(BR$30,economics!$AK$2:$AK$167,economics!$AJ$2:$AJ$167,TRUE))*economics!$AM$2:$AM$167))/(SUMPRODUCT((economics!$AG$2:$AG$167=$B47)*(economics!$D$2:$D$167="whr")*economics!$AI$2:$AI$167*(_xlfn.NORM.DIST(BR$3,economics!$AK$2:$AK$167,economics!$AJ$2:$AJ$167,TRUE)-_xlfn.NORM.DIST(BR$30,economics!$AK$2:$AK$167,economics!$AJ$2:$AJ$167,TRUE)))),"")</f>
        <v/>
      </c>
      <c r="BS47">
        <f t="array" ref="BS47">IFERROR((SUMPRODUCT((economics!$AG$2:$AG$167=$B47)*(economics!$D$2:$D$167="whr")*economics!$AI$2:$AI$167*(_xlfn.NORM.DIST(BS$3,economics!$AK$2:$AK$167,economics!$AJ$2:$AJ$167,TRUE)-_xlfn.NORM.DIST(BS$30,economics!$AK$2:$AK$167,economics!$AJ$2:$AJ$167,TRUE))*economics!$AM$2:$AM$167))/(SUMPRODUCT((economics!$AG$2:$AG$167=$B47)*(economics!$D$2:$D$167="whr")*economics!$AI$2:$AI$167*(_xlfn.NORM.DIST(BS$3,economics!$AK$2:$AK$167,economics!$AJ$2:$AJ$167,TRUE)-_xlfn.NORM.DIST(BS$30,economics!$AK$2:$AK$167,economics!$AJ$2:$AJ$167,TRUE)))),"")</f>
        <v/>
      </c>
      <c r="BT47">
        <f t="array" ref="BT47">IFERROR((SUMPRODUCT((economics!$AG$2:$AG$167=$B47)*(economics!$D$2:$D$167="whr")*economics!$AI$2:$AI$167*(_xlfn.NORM.DIST(BT$3,economics!$AK$2:$AK$167,economics!$AJ$2:$AJ$167,TRUE)-_xlfn.NORM.DIST(BT$30,economics!$AK$2:$AK$167,economics!$AJ$2:$AJ$167,TRUE))*economics!$AM$2:$AM$167))/(SUMPRODUCT((economics!$AG$2:$AG$167=$B47)*(economics!$D$2:$D$167="whr")*economics!$AI$2:$AI$167*(_xlfn.NORM.DIST(BT$3,economics!$AK$2:$AK$167,economics!$AJ$2:$AJ$167,TRUE)-_xlfn.NORM.DIST(BT$30,economics!$AK$2:$AK$167,economics!$AJ$2:$AJ$167,TRUE)))),"")</f>
        <v/>
      </c>
      <c r="BU47">
        <f t="array" ref="BU47">IFERROR((SUMPRODUCT((economics!$AG$2:$AG$167=$B47)*(economics!$D$2:$D$167="whr")*economics!$AI$2:$AI$167*(_xlfn.NORM.DIST(BU$3,economics!$AK$2:$AK$167,economics!$AJ$2:$AJ$167,TRUE)-_xlfn.NORM.DIST(BU$30,economics!$AK$2:$AK$167,economics!$AJ$2:$AJ$167,TRUE))*economics!$AM$2:$AM$167))/(SUMPRODUCT((economics!$AG$2:$AG$167=$B47)*(economics!$D$2:$D$167="whr")*economics!$AI$2:$AI$167*(_xlfn.NORM.DIST(BU$3,economics!$AK$2:$AK$167,economics!$AJ$2:$AJ$167,TRUE)-_xlfn.NORM.DIST(BU$30,economics!$AK$2:$AK$167,economics!$AJ$2:$AJ$167,TRUE)))),"")</f>
        <v/>
      </c>
      <c r="BV47">
        <f t="array" ref="BV47">IFERROR((SUMPRODUCT((economics!$AG$2:$AG$167=$B47)*(economics!$D$2:$D$167="whr")*economics!$AI$2:$AI$167*(_xlfn.NORM.DIST(BV$3,economics!$AK$2:$AK$167,economics!$AJ$2:$AJ$167,TRUE)-_xlfn.NORM.DIST(BV$30,economics!$AK$2:$AK$167,economics!$AJ$2:$AJ$167,TRUE))*economics!$AM$2:$AM$167))/(SUMPRODUCT((economics!$AG$2:$AG$167=$B47)*(economics!$D$2:$D$167="whr")*economics!$AI$2:$AI$167*(_xlfn.NORM.DIST(BV$3,economics!$AK$2:$AK$167,economics!$AJ$2:$AJ$167,TRUE)-_xlfn.NORM.DIST(BV$30,economics!$AK$2:$AK$167,economics!$AJ$2:$AJ$167,TRUE)))),"")</f>
        <v/>
      </c>
      <c r="BW47">
        <f t="array" ref="BW47">IFERROR((SUMPRODUCT((economics!$AG$2:$AG$167=$B47)*(economics!$D$2:$D$167="whr")*economics!$AI$2:$AI$167*(_xlfn.NORM.DIST(BW$3,economics!$AK$2:$AK$167,economics!$AJ$2:$AJ$167,TRUE)-_xlfn.NORM.DIST(BW$30,economics!$AK$2:$AK$167,economics!$AJ$2:$AJ$167,TRUE))*economics!$AM$2:$AM$167))/(SUMPRODUCT((economics!$AG$2:$AG$167=$B47)*(economics!$D$2:$D$167="whr")*economics!$AI$2:$AI$167*(_xlfn.NORM.DIST(BW$3,economics!$AK$2:$AK$167,economics!$AJ$2:$AJ$167,TRUE)-_xlfn.NORM.DIST(BW$30,economics!$AK$2:$AK$167,economics!$AJ$2:$AJ$167,TRUE)))),"")</f>
        <v/>
      </c>
      <c r="BX47">
        <f t="array" ref="BX47">IFERROR((SUMPRODUCT((economics!$AG$2:$AG$167=$B47)*(economics!$D$2:$D$167="whr")*economics!$AI$2:$AI$167*(_xlfn.NORM.DIST(BX$3,economics!$AK$2:$AK$167,economics!$AJ$2:$AJ$167,TRUE)-_xlfn.NORM.DIST(BX$30,economics!$AK$2:$AK$167,economics!$AJ$2:$AJ$167,TRUE))*economics!$AM$2:$AM$167))/(SUMPRODUCT((economics!$AG$2:$AG$167=$B47)*(economics!$D$2:$D$167="whr")*economics!$AI$2:$AI$167*(_xlfn.NORM.DIST(BX$3,economics!$AK$2:$AK$167,economics!$AJ$2:$AJ$167,TRUE)-_xlfn.NORM.DIST(BX$30,economics!$AK$2:$AK$167,economics!$AJ$2:$AJ$167,TRUE)))),"")</f>
        <v/>
      </c>
      <c r="BY47">
        <f t="array" ref="BY47">IFERROR((SUMPRODUCT((economics!$AG$2:$AG$167=$B47)*(economics!$D$2:$D$167="whr")*economics!$AI$2:$AI$167*(_xlfn.NORM.DIST(BY$3,economics!$AK$2:$AK$167,economics!$AJ$2:$AJ$167,TRUE)-_xlfn.NORM.DIST(BY$30,economics!$AK$2:$AK$167,economics!$AJ$2:$AJ$167,TRUE))*economics!$AM$2:$AM$167))/(SUMPRODUCT((economics!$AG$2:$AG$167=$B47)*(economics!$D$2:$D$167="whr")*economics!$AI$2:$AI$167*(_xlfn.NORM.DIST(BY$3,economics!$AK$2:$AK$167,economics!$AJ$2:$AJ$167,TRUE)-_xlfn.NORM.DIST(BY$30,economics!$AK$2:$AK$167,economics!$AJ$2:$AJ$167,TRUE)))),"")</f>
        <v/>
      </c>
      <c r="BZ47">
        <f t="array" ref="BZ47">IFERROR((SUMPRODUCT((economics!$AG$2:$AG$167=$B47)*(economics!$D$2:$D$167="whr")*economics!$AI$2:$AI$167*(_xlfn.NORM.DIST(BZ$3,economics!$AK$2:$AK$167,economics!$AJ$2:$AJ$167,TRUE)-_xlfn.NORM.DIST(BZ$30,economics!$AK$2:$AK$167,economics!$AJ$2:$AJ$167,TRUE))*economics!$AM$2:$AM$167))/(SUMPRODUCT((economics!$AG$2:$AG$167=$B47)*(economics!$D$2:$D$167="whr")*economics!$AI$2:$AI$167*(_xlfn.NORM.DIST(BZ$3,economics!$AK$2:$AK$167,economics!$AJ$2:$AJ$167,TRUE)-_xlfn.NORM.DIST(BZ$30,economics!$AK$2:$AK$167,economics!$AJ$2:$AJ$167,TRUE)))),"")</f>
        <v/>
      </c>
      <c r="CA47">
        <f t="array" ref="CA47">IFERROR((SUMPRODUCT((economics!$AG$2:$AG$167=$B47)*(economics!$D$2:$D$167="whr")*economics!$AI$2:$AI$167*(_xlfn.NORM.DIST(CA$3,economics!$AK$2:$AK$167,economics!$AJ$2:$AJ$167,TRUE)-_xlfn.NORM.DIST(CA$30,economics!$AK$2:$AK$167,economics!$AJ$2:$AJ$167,TRUE))*economics!$AM$2:$AM$167))/(SUMPRODUCT((economics!$AG$2:$AG$167=$B47)*(economics!$D$2:$D$167="whr")*economics!$AI$2:$AI$167*(_xlfn.NORM.DIST(CA$3,economics!$AK$2:$AK$167,economics!$AJ$2:$AJ$167,TRUE)-_xlfn.NORM.DIST(CA$30,economics!$AK$2:$AK$167,economics!$AJ$2:$AJ$167,TRUE)))),"")</f>
        <v/>
      </c>
      <c r="CB47">
        <f t="array" ref="CB47">IFERROR((SUMPRODUCT((economics!$AG$2:$AG$167=$B47)*(economics!$D$2:$D$167="whr")*economics!$AI$2:$AI$167*(_xlfn.NORM.DIST(CB$3,economics!$AK$2:$AK$167,economics!$AJ$2:$AJ$167,TRUE)-_xlfn.NORM.DIST(CB$30,economics!$AK$2:$AK$167,economics!$AJ$2:$AJ$167,TRUE))*economics!$AM$2:$AM$167))/(SUMPRODUCT((economics!$AG$2:$AG$167=$B47)*(economics!$D$2:$D$167="whr")*economics!$AI$2:$AI$167*(_xlfn.NORM.DIST(CB$3,economics!$AK$2:$AK$167,economics!$AJ$2:$AJ$167,TRUE)-_xlfn.NORM.DIST(CB$30,economics!$AK$2:$AK$167,economics!$AJ$2:$AJ$167,TRUE)))),"")</f>
        <v/>
      </c>
      <c r="CC47">
        <f t="array" ref="CC47">IFERROR((SUMPRODUCT((economics!$AG$2:$AG$167=$B47)*(economics!$D$2:$D$167="whr")*economics!$AI$2:$AI$167*(_xlfn.NORM.DIST(CC$3,economics!$AK$2:$AK$167,economics!$AJ$2:$AJ$167,TRUE)-_xlfn.NORM.DIST(CC$30,economics!$AK$2:$AK$167,economics!$AJ$2:$AJ$167,TRUE))*economics!$AM$2:$AM$167))/(SUMPRODUCT((economics!$AG$2:$AG$167=$B47)*(economics!$D$2:$D$167="whr")*economics!$AI$2:$AI$167*(_xlfn.NORM.DIST(CC$3,economics!$AK$2:$AK$167,economics!$AJ$2:$AJ$167,TRUE)-_xlfn.NORM.DIST(CC$30,economics!$AK$2:$AK$167,economics!$AJ$2:$AJ$167,TRUE)))),"")</f>
        <v/>
      </c>
      <c r="CD47">
        <f t="array" ref="CD47">IFERROR((SUMPRODUCT((economics!$AG$2:$AG$167=$B47)*(economics!$D$2:$D$167="whr")*economics!$AI$2:$AI$167*(_xlfn.NORM.DIST(CD$3,economics!$AK$2:$AK$167,economics!$AJ$2:$AJ$167,TRUE)-_xlfn.NORM.DIST(CD$30,economics!$AK$2:$AK$167,economics!$AJ$2:$AJ$167,TRUE))*economics!$AM$2:$AM$167))/(SUMPRODUCT((economics!$AG$2:$AG$167=$B47)*(economics!$D$2:$D$167="whr")*economics!$AI$2:$AI$167*(_xlfn.NORM.DIST(CD$3,economics!$AK$2:$AK$167,economics!$AJ$2:$AJ$167,TRUE)-_xlfn.NORM.DIST(CD$30,economics!$AK$2:$AK$167,economics!$AJ$2:$AJ$167,TRUE)))),"")</f>
        <v/>
      </c>
      <c r="CE47">
        <f t="array" ref="CE47">IFERROR((SUMPRODUCT((economics!$AG$2:$AG$167=$B47)*(economics!$D$2:$D$167="whr")*economics!$AI$2:$AI$167*(_xlfn.NORM.DIST(CE$3,economics!$AK$2:$AK$167,economics!$AJ$2:$AJ$167,TRUE)-_xlfn.NORM.DIST(CE$30,economics!$AK$2:$AK$167,economics!$AJ$2:$AJ$167,TRUE))*economics!$AM$2:$AM$167))/(SUMPRODUCT((economics!$AG$2:$AG$167=$B47)*(economics!$D$2:$D$167="whr")*economics!$AI$2:$AI$167*(_xlfn.NORM.DIST(CE$3,economics!$AK$2:$AK$167,economics!$AJ$2:$AJ$167,TRUE)-_xlfn.NORM.DIST(CE$30,economics!$AK$2:$AK$167,economics!$AJ$2:$AJ$167,TRUE)))),"")</f>
        <v/>
      </c>
      <c r="CF47">
        <f t="array" ref="CF47">IFERROR((SUMPRODUCT((economics!$AG$2:$AG$167=$B47)*(economics!$D$2:$D$167="whr")*economics!$AI$2:$AI$167*(_xlfn.NORM.DIST(CF$3,economics!$AK$2:$AK$167,economics!$AJ$2:$AJ$167,TRUE)-_xlfn.NORM.DIST(CF$30,economics!$AK$2:$AK$167,economics!$AJ$2:$AJ$167,TRUE))*economics!$AM$2:$AM$167))/(SUMPRODUCT((economics!$AG$2:$AG$167=$B47)*(economics!$D$2:$D$167="whr")*economics!$AI$2:$AI$167*(_xlfn.NORM.DIST(CF$3,economics!$AK$2:$AK$167,economics!$AJ$2:$AJ$167,TRUE)-_xlfn.NORM.DIST(CF$30,economics!$AK$2:$AK$167,economics!$AJ$2:$AJ$167,TRUE)))),"")</f>
        <v/>
      </c>
      <c r="CG47">
        <f t="array" ref="CG47">IFERROR((SUMPRODUCT((economics!$AG$2:$AG$167=$B47)*(economics!$D$2:$D$167="whr")*economics!$AI$2:$AI$167*(_xlfn.NORM.DIST(CG$3,economics!$AK$2:$AK$167,economics!$AJ$2:$AJ$167,TRUE)-_xlfn.NORM.DIST(CG$30,economics!$AK$2:$AK$167,economics!$AJ$2:$AJ$167,TRUE))*economics!$AM$2:$AM$167))/(SUMPRODUCT((economics!$AG$2:$AG$167=$B47)*(economics!$D$2:$D$167="whr")*economics!$AI$2:$AI$167*(_xlfn.NORM.DIST(CG$3,economics!$AK$2:$AK$167,economics!$AJ$2:$AJ$167,TRUE)-_xlfn.NORM.DIST(CG$30,economics!$AK$2:$AK$167,economics!$AJ$2:$AJ$167,TRUE)))),"")</f>
        <v/>
      </c>
      <c r="CH47">
        <f t="array" ref="CH47">IFERROR((SUMPRODUCT((economics!$AG$2:$AG$167=$B47)*(economics!$D$2:$D$167="whr")*economics!$AI$2:$AI$167*(_xlfn.NORM.DIST(CH$3,economics!$AK$2:$AK$167,economics!$AJ$2:$AJ$167,TRUE)-_xlfn.NORM.DIST(CH$30,economics!$AK$2:$AK$167,economics!$AJ$2:$AJ$167,TRUE))*economics!$AM$2:$AM$167))/(SUMPRODUCT((economics!$AG$2:$AG$167=$B47)*(economics!$D$2:$D$167="whr")*economics!$AI$2:$AI$167*(_xlfn.NORM.DIST(CH$3,economics!$AK$2:$AK$167,economics!$AJ$2:$AJ$167,TRUE)-_xlfn.NORM.DIST(CH$30,economics!$AK$2:$AK$167,economics!$AJ$2:$AJ$167,TRUE)))),"")</f>
        <v/>
      </c>
    </row>
    <row r="48">
      <c r="A48">
        <f>A19</f>
        <v/>
      </c>
      <c r="B48">
        <f>B19</f>
        <v/>
      </c>
      <c r="E48">
        <f t="array" ref="E48">IFERROR((SUMPRODUCT((economics!$AG$2:$AG$167=$B48)*(economics!$D$2:$D$167="whr")*economics!$AI$2:$AI$167*(_xlfn.NORM.DIST(E$3,economics!$AK$2:$AK$167,economics!$AJ$2:$AJ$167,TRUE)-_xlfn.NORM.DIST(E$30,economics!$AK$2:$AK$167,economics!$AJ$2:$AJ$167,TRUE))*economics!$AM$2:$AM$167))/(SUMPRODUCT((economics!$AG$2:$AG$167=$B48)*(economics!$D$2:$D$167="whr")*economics!$AI$2:$AI$167*(_xlfn.NORM.DIST(E$3,economics!$AK$2:$AK$167,economics!$AJ$2:$AJ$167,TRUE)-_xlfn.NORM.DIST(E$30,economics!$AK$2:$AK$167,economics!$AJ$2:$AJ$167,TRUE)))),"")</f>
        <v/>
      </c>
      <c r="F48">
        <f t="array" ref="F48">IFERROR((SUMPRODUCT((economics!$AG$2:$AG$167=$B48)*(economics!$D$2:$D$167="whr")*economics!$AI$2:$AI$167*(_xlfn.NORM.DIST(F$3,economics!$AK$2:$AK$167,economics!$AJ$2:$AJ$167,TRUE)-_xlfn.NORM.DIST(F$30,economics!$AK$2:$AK$167,economics!$AJ$2:$AJ$167,TRUE))*economics!$AM$2:$AM$167))/(SUMPRODUCT((economics!$AG$2:$AG$167=$B48)*(economics!$D$2:$D$167="whr")*economics!$AI$2:$AI$167*(_xlfn.NORM.DIST(F$3,economics!$AK$2:$AK$167,economics!$AJ$2:$AJ$167,TRUE)-_xlfn.NORM.DIST(F$30,economics!$AK$2:$AK$167,economics!$AJ$2:$AJ$167,TRUE)))),"")</f>
        <v/>
      </c>
      <c r="G48">
        <f t="array" ref="G48">IFERROR((SUMPRODUCT((economics!$AG$2:$AG$167=$B48)*(economics!$D$2:$D$167="whr")*economics!$AI$2:$AI$167*(_xlfn.NORM.DIST(G$3,economics!$AK$2:$AK$167,economics!$AJ$2:$AJ$167,TRUE)-_xlfn.NORM.DIST(G$30,economics!$AK$2:$AK$167,economics!$AJ$2:$AJ$167,TRUE))*economics!$AM$2:$AM$167))/(SUMPRODUCT((economics!$AG$2:$AG$167=$B48)*(economics!$D$2:$D$167="whr")*economics!$AI$2:$AI$167*(_xlfn.NORM.DIST(G$3,economics!$AK$2:$AK$167,economics!$AJ$2:$AJ$167,TRUE)-_xlfn.NORM.DIST(G$30,economics!$AK$2:$AK$167,economics!$AJ$2:$AJ$167,TRUE)))),"")</f>
        <v/>
      </c>
      <c r="H48">
        <f t="array" ref="H48">IFERROR((SUMPRODUCT((economics!$AG$2:$AG$167=$B48)*(economics!$D$2:$D$167="whr")*economics!$AI$2:$AI$167*(_xlfn.NORM.DIST(H$3,economics!$AK$2:$AK$167,economics!$AJ$2:$AJ$167,TRUE)-_xlfn.NORM.DIST(H$30,economics!$AK$2:$AK$167,economics!$AJ$2:$AJ$167,TRUE))*economics!$AM$2:$AM$167))/(SUMPRODUCT((economics!$AG$2:$AG$167=$B48)*(economics!$D$2:$D$167="whr")*economics!$AI$2:$AI$167*(_xlfn.NORM.DIST(H$3,economics!$AK$2:$AK$167,economics!$AJ$2:$AJ$167,TRUE)-_xlfn.NORM.DIST(H$30,economics!$AK$2:$AK$167,economics!$AJ$2:$AJ$167,TRUE)))),"")</f>
        <v/>
      </c>
      <c r="I48">
        <f t="array" ref="I48">IFERROR((SUMPRODUCT((economics!$AG$2:$AG$167=$B48)*(economics!$D$2:$D$167="whr")*economics!$AI$2:$AI$167*(_xlfn.NORM.DIST(I$3,economics!$AK$2:$AK$167,economics!$AJ$2:$AJ$167,TRUE)-_xlfn.NORM.DIST(I$30,economics!$AK$2:$AK$167,economics!$AJ$2:$AJ$167,TRUE))*economics!$AM$2:$AM$167))/(SUMPRODUCT((economics!$AG$2:$AG$167=$B48)*(economics!$D$2:$D$167="whr")*economics!$AI$2:$AI$167*(_xlfn.NORM.DIST(I$3,economics!$AK$2:$AK$167,economics!$AJ$2:$AJ$167,TRUE)-_xlfn.NORM.DIST(I$30,economics!$AK$2:$AK$167,economics!$AJ$2:$AJ$167,TRUE)))),"")</f>
        <v/>
      </c>
      <c r="J48">
        <f t="array" ref="J48">IFERROR((SUMPRODUCT((economics!$AG$2:$AG$167=$B48)*(economics!$D$2:$D$167="whr")*economics!$AI$2:$AI$167*(_xlfn.NORM.DIST(J$3,economics!$AK$2:$AK$167,economics!$AJ$2:$AJ$167,TRUE)-_xlfn.NORM.DIST(J$30,economics!$AK$2:$AK$167,economics!$AJ$2:$AJ$167,TRUE))*economics!$AM$2:$AM$167))/(SUMPRODUCT((economics!$AG$2:$AG$167=$B48)*(economics!$D$2:$D$167="whr")*economics!$AI$2:$AI$167*(_xlfn.NORM.DIST(J$3,economics!$AK$2:$AK$167,economics!$AJ$2:$AJ$167,TRUE)-_xlfn.NORM.DIST(J$30,economics!$AK$2:$AK$167,economics!$AJ$2:$AJ$167,TRUE)))),"")</f>
        <v/>
      </c>
      <c r="K48">
        <f t="array" ref="K48">IFERROR((SUMPRODUCT((economics!$AG$2:$AG$167=$B48)*(economics!$D$2:$D$167="whr")*economics!$AI$2:$AI$167*(_xlfn.NORM.DIST(K$3,economics!$AK$2:$AK$167,economics!$AJ$2:$AJ$167,TRUE)-_xlfn.NORM.DIST(K$30,economics!$AK$2:$AK$167,economics!$AJ$2:$AJ$167,TRUE))*economics!$AM$2:$AM$167))/(SUMPRODUCT((economics!$AG$2:$AG$167=$B48)*(economics!$D$2:$D$167="whr")*economics!$AI$2:$AI$167*(_xlfn.NORM.DIST(K$3,economics!$AK$2:$AK$167,economics!$AJ$2:$AJ$167,TRUE)-_xlfn.NORM.DIST(K$30,economics!$AK$2:$AK$167,economics!$AJ$2:$AJ$167,TRUE)))),"")</f>
        <v/>
      </c>
      <c r="L48">
        <f t="array" ref="L48">IFERROR((SUMPRODUCT((economics!$AG$2:$AG$167=$B48)*(economics!$D$2:$D$167="whr")*economics!$AI$2:$AI$167*(_xlfn.NORM.DIST(L$3,economics!$AK$2:$AK$167,economics!$AJ$2:$AJ$167,TRUE)-_xlfn.NORM.DIST(L$30,economics!$AK$2:$AK$167,economics!$AJ$2:$AJ$167,TRUE))*economics!$AM$2:$AM$167))/(SUMPRODUCT((economics!$AG$2:$AG$167=$B48)*(economics!$D$2:$D$167="whr")*economics!$AI$2:$AI$167*(_xlfn.NORM.DIST(L$3,economics!$AK$2:$AK$167,economics!$AJ$2:$AJ$167,TRUE)-_xlfn.NORM.DIST(L$30,economics!$AK$2:$AK$167,economics!$AJ$2:$AJ$167,TRUE)))),"")</f>
        <v/>
      </c>
      <c r="M48">
        <f t="array" ref="M48">IFERROR((SUMPRODUCT((economics!$AG$2:$AG$167=$B48)*(economics!$D$2:$D$167="whr")*economics!$AI$2:$AI$167*(_xlfn.NORM.DIST(M$3,economics!$AK$2:$AK$167,economics!$AJ$2:$AJ$167,TRUE)-_xlfn.NORM.DIST(M$30,economics!$AK$2:$AK$167,economics!$AJ$2:$AJ$167,TRUE))*economics!$AM$2:$AM$167))/(SUMPRODUCT((economics!$AG$2:$AG$167=$B48)*(economics!$D$2:$D$167="whr")*economics!$AI$2:$AI$167*(_xlfn.NORM.DIST(M$3,economics!$AK$2:$AK$167,economics!$AJ$2:$AJ$167,TRUE)-_xlfn.NORM.DIST(M$30,economics!$AK$2:$AK$167,economics!$AJ$2:$AJ$167,TRUE)))),"")</f>
        <v/>
      </c>
      <c r="N48">
        <f t="array" ref="N48">IFERROR((SUMPRODUCT((economics!$AG$2:$AG$167=$B48)*(economics!$D$2:$D$167="whr")*economics!$AI$2:$AI$167*(_xlfn.NORM.DIST(N$3,economics!$AK$2:$AK$167,economics!$AJ$2:$AJ$167,TRUE)-_xlfn.NORM.DIST(N$30,economics!$AK$2:$AK$167,economics!$AJ$2:$AJ$167,TRUE))*economics!$AM$2:$AM$167))/(SUMPRODUCT((economics!$AG$2:$AG$167=$B48)*(economics!$D$2:$D$167="whr")*economics!$AI$2:$AI$167*(_xlfn.NORM.DIST(N$3,economics!$AK$2:$AK$167,economics!$AJ$2:$AJ$167,TRUE)-_xlfn.NORM.DIST(N$30,economics!$AK$2:$AK$167,economics!$AJ$2:$AJ$167,TRUE)))),"")</f>
        <v/>
      </c>
      <c r="O48">
        <f t="array" ref="O48">IFERROR((SUMPRODUCT((economics!$AG$2:$AG$167=$B48)*(economics!$D$2:$D$167="whr")*economics!$AI$2:$AI$167*(_xlfn.NORM.DIST(O$3,economics!$AK$2:$AK$167,economics!$AJ$2:$AJ$167,TRUE)-_xlfn.NORM.DIST(O$30,economics!$AK$2:$AK$167,economics!$AJ$2:$AJ$167,TRUE))*economics!$AM$2:$AM$167))/(SUMPRODUCT((economics!$AG$2:$AG$167=$B48)*(economics!$D$2:$D$167="whr")*economics!$AI$2:$AI$167*(_xlfn.NORM.DIST(O$3,economics!$AK$2:$AK$167,economics!$AJ$2:$AJ$167,TRUE)-_xlfn.NORM.DIST(O$30,economics!$AK$2:$AK$167,economics!$AJ$2:$AJ$167,TRUE)))),"")</f>
        <v/>
      </c>
      <c r="P48">
        <f t="array" ref="P48">IFERROR((SUMPRODUCT((economics!$AG$2:$AG$167=$B48)*(economics!$D$2:$D$167="whr")*economics!$AI$2:$AI$167*(_xlfn.NORM.DIST(P$3,economics!$AK$2:$AK$167,economics!$AJ$2:$AJ$167,TRUE)-_xlfn.NORM.DIST(P$30,economics!$AK$2:$AK$167,economics!$AJ$2:$AJ$167,TRUE))*economics!$AM$2:$AM$167))/(SUMPRODUCT((economics!$AG$2:$AG$167=$B48)*(economics!$D$2:$D$167="whr")*economics!$AI$2:$AI$167*(_xlfn.NORM.DIST(P$3,economics!$AK$2:$AK$167,economics!$AJ$2:$AJ$167,TRUE)-_xlfn.NORM.DIST(P$30,economics!$AK$2:$AK$167,economics!$AJ$2:$AJ$167,TRUE)))),"")</f>
        <v/>
      </c>
      <c r="Q48">
        <f t="array" ref="Q48">IFERROR((SUMPRODUCT((economics!$AG$2:$AG$167=$B48)*(economics!$D$2:$D$167="whr")*economics!$AI$2:$AI$167*(_xlfn.NORM.DIST(Q$3,economics!$AK$2:$AK$167,economics!$AJ$2:$AJ$167,TRUE)-_xlfn.NORM.DIST(Q$30,economics!$AK$2:$AK$167,economics!$AJ$2:$AJ$167,TRUE))*economics!$AM$2:$AM$167))/(SUMPRODUCT((economics!$AG$2:$AG$167=$B48)*(economics!$D$2:$D$167="whr")*economics!$AI$2:$AI$167*(_xlfn.NORM.DIST(Q$3,economics!$AK$2:$AK$167,economics!$AJ$2:$AJ$167,TRUE)-_xlfn.NORM.DIST(Q$30,economics!$AK$2:$AK$167,economics!$AJ$2:$AJ$167,TRUE)))),"")</f>
        <v/>
      </c>
      <c r="R48">
        <f t="array" ref="R48">IFERROR((SUMPRODUCT((economics!$AG$2:$AG$167=$B48)*(economics!$D$2:$D$167="whr")*economics!$AI$2:$AI$167*(_xlfn.NORM.DIST(R$3,economics!$AK$2:$AK$167,economics!$AJ$2:$AJ$167,TRUE)-_xlfn.NORM.DIST(R$30,economics!$AK$2:$AK$167,economics!$AJ$2:$AJ$167,TRUE))*economics!$AM$2:$AM$167))/(SUMPRODUCT((economics!$AG$2:$AG$167=$B48)*(economics!$D$2:$D$167="whr")*economics!$AI$2:$AI$167*(_xlfn.NORM.DIST(R$3,economics!$AK$2:$AK$167,economics!$AJ$2:$AJ$167,TRUE)-_xlfn.NORM.DIST(R$30,economics!$AK$2:$AK$167,economics!$AJ$2:$AJ$167,TRUE)))),"")</f>
        <v/>
      </c>
      <c r="S48">
        <f t="array" ref="S48">IFERROR((SUMPRODUCT((economics!$AG$2:$AG$167=$B48)*(economics!$D$2:$D$167="whr")*economics!$AI$2:$AI$167*(_xlfn.NORM.DIST(S$3,economics!$AK$2:$AK$167,economics!$AJ$2:$AJ$167,TRUE)-_xlfn.NORM.DIST(S$30,economics!$AK$2:$AK$167,economics!$AJ$2:$AJ$167,TRUE))*economics!$AM$2:$AM$167))/(SUMPRODUCT((economics!$AG$2:$AG$167=$B48)*(economics!$D$2:$D$167="whr")*economics!$AI$2:$AI$167*(_xlfn.NORM.DIST(S$3,economics!$AK$2:$AK$167,economics!$AJ$2:$AJ$167,TRUE)-_xlfn.NORM.DIST(S$30,economics!$AK$2:$AK$167,economics!$AJ$2:$AJ$167,TRUE)))),"")</f>
        <v/>
      </c>
      <c r="T48">
        <f t="array" ref="T48">IFERROR((SUMPRODUCT((economics!$AG$2:$AG$167=$B48)*(economics!$D$2:$D$167="whr")*economics!$AI$2:$AI$167*(_xlfn.NORM.DIST(T$3,economics!$AK$2:$AK$167,economics!$AJ$2:$AJ$167,TRUE)-_xlfn.NORM.DIST(T$30,economics!$AK$2:$AK$167,economics!$AJ$2:$AJ$167,TRUE))*economics!$AM$2:$AM$167))/(SUMPRODUCT((economics!$AG$2:$AG$167=$B48)*(economics!$D$2:$D$167="whr")*economics!$AI$2:$AI$167*(_xlfn.NORM.DIST(T$3,economics!$AK$2:$AK$167,economics!$AJ$2:$AJ$167,TRUE)-_xlfn.NORM.DIST(T$30,economics!$AK$2:$AK$167,economics!$AJ$2:$AJ$167,TRUE)))),"")</f>
        <v/>
      </c>
      <c r="U48">
        <f t="array" ref="U48">IFERROR((SUMPRODUCT((economics!$AG$2:$AG$167=$B48)*(economics!$D$2:$D$167="whr")*economics!$AI$2:$AI$167*(_xlfn.NORM.DIST(U$3,economics!$AK$2:$AK$167,economics!$AJ$2:$AJ$167,TRUE)-_xlfn.NORM.DIST(U$30,economics!$AK$2:$AK$167,economics!$AJ$2:$AJ$167,TRUE))*economics!$AM$2:$AM$167))/(SUMPRODUCT((economics!$AG$2:$AG$167=$B48)*(economics!$D$2:$D$167="whr")*economics!$AI$2:$AI$167*(_xlfn.NORM.DIST(U$3,economics!$AK$2:$AK$167,economics!$AJ$2:$AJ$167,TRUE)-_xlfn.NORM.DIST(U$30,economics!$AK$2:$AK$167,economics!$AJ$2:$AJ$167,TRUE)))),"")</f>
        <v/>
      </c>
      <c r="V48">
        <f t="array" ref="V48">IFERROR((SUMPRODUCT((economics!$AG$2:$AG$167=$B48)*(economics!$D$2:$D$167="whr")*economics!$AI$2:$AI$167*(_xlfn.NORM.DIST(V$3,economics!$AK$2:$AK$167,economics!$AJ$2:$AJ$167,TRUE)-_xlfn.NORM.DIST(V$30,economics!$AK$2:$AK$167,economics!$AJ$2:$AJ$167,TRUE))*economics!$AM$2:$AM$167))/(SUMPRODUCT((economics!$AG$2:$AG$167=$B48)*(economics!$D$2:$D$167="whr")*economics!$AI$2:$AI$167*(_xlfn.NORM.DIST(V$3,economics!$AK$2:$AK$167,economics!$AJ$2:$AJ$167,TRUE)-_xlfn.NORM.DIST(V$30,economics!$AK$2:$AK$167,economics!$AJ$2:$AJ$167,TRUE)))),"")</f>
        <v/>
      </c>
      <c r="W48">
        <f t="array" ref="W48">IFERROR((SUMPRODUCT((economics!$AG$2:$AG$167=$B48)*(economics!$D$2:$D$167="whr")*economics!$AI$2:$AI$167*(_xlfn.NORM.DIST(W$3,economics!$AK$2:$AK$167,economics!$AJ$2:$AJ$167,TRUE)-_xlfn.NORM.DIST(W$30,economics!$AK$2:$AK$167,economics!$AJ$2:$AJ$167,TRUE))*economics!$AM$2:$AM$167))/(SUMPRODUCT((economics!$AG$2:$AG$167=$B48)*(economics!$D$2:$D$167="whr")*economics!$AI$2:$AI$167*(_xlfn.NORM.DIST(W$3,economics!$AK$2:$AK$167,economics!$AJ$2:$AJ$167,TRUE)-_xlfn.NORM.DIST(W$30,economics!$AK$2:$AK$167,economics!$AJ$2:$AJ$167,TRUE)))),"")</f>
        <v/>
      </c>
      <c r="X48">
        <f t="array" ref="X48">IFERROR((SUMPRODUCT((economics!$AG$2:$AG$167=$B48)*(economics!$D$2:$D$167="whr")*economics!$AI$2:$AI$167*(_xlfn.NORM.DIST(X$3,economics!$AK$2:$AK$167,economics!$AJ$2:$AJ$167,TRUE)-_xlfn.NORM.DIST(X$30,economics!$AK$2:$AK$167,economics!$AJ$2:$AJ$167,TRUE))*economics!$AM$2:$AM$167))/(SUMPRODUCT((economics!$AG$2:$AG$167=$B48)*(economics!$D$2:$D$167="whr")*economics!$AI$2:$AI$167*(_xlfn.NORM.DIST(X$3,economics!$AK$2:$AK$167,economics!$AJ$2:$AJ$167,TRUE)-_xlfn.NORM.DIST(X$30,economics!$AK$2:$AK$167,economics!$AJ$2:$AJ$167,TRUE)))),"")</f>
        <v/>
      </c>
      <c r="Y48">
        <f t="array" ref="Y48">IFERROR((SUMPRODUCT((economics!$AG$2:$AG$167=$B48)*(economics!$D$2:$D$167="whr")*economics!$AI$2:$AI$167*(_xlfn.NORM.DIST(Y$3,economics!$AK$2:$AK$167,economics!$AJ$2:$AJ$167,TRUE)-_xlfn.NORM.DIST(Y$30,economics!$AK$2:$AK$167,economics!$AJ$2:$AJ$167,TRUE))*economics!$AM$2:$AM$167))/(SUMPRODUCT((economics!$AG$2:$AG$167=$B48)*(economics!$D$2:$D$167="whr")*economics!$AI$2:$AI$167*(_xlfn.NORM.DIST(Y$3,economics!$AK$2:$AK$167,economics!$AJ$2:$AJ$167,TRUE)-_xlfn.NORM.DIST(Y$30,economics!$AK$2:$AK$167,economics!$AJ$2:$AJ$167,TRUE)))),"")</f>
        <v/>
      </c>
      <c r="Z48">
        <f t="array" ref="Z48">IFERROR((SUMPRODUCT((economics!$AG$2:$AG$167=$B48)*(economics!$D$2:$D$167="whr")*economics!$AI$2:$AI$167*(_xlfn.NORM.DIST(Z$3,economics!$AK$2:$AK$167,economics!$AJ$2:$AJ$167,TRUE)-_xlfn.NORM.DIST(Z$30,economics!$AK$2:$AK$167,economics!$AJ$2:$AJ$167,TRUE))*economics!$AM$2:$AM$167))/(SUMPRODUCT((economics!$AG$2:$AG$167=$B48)*(economics!$D$2:$D$167="whr")*economics!$AI$2:$AI$167*(_xlfn.NORM.DIST(Z$3,economics!$AK$2:$AK$167,economics!$AJ$2:$AJ$167,TRUE)-_xlfn.NORM.DIST(Z$30,economics!$AK$2:$AK$167,economics!$AJ$2:$AJ$167,TRUE)))),"")</f>
        <v/>
      </c>
      <c r="AA48">
        <f t="array" ref="AA48">IFERROR((SUMPRODUCT((economics!$AG$2:$AG$167=$B48)*(economics!$D$2:$D$167="whr")*economics!$AI$2:$AI$167*(_xlfn.NORM.DIST(AA$3,economics!$AK$2:$AK$167,economics!$AJ$2:$AJ$167,TRUE)-_xlfn.NORM.DIST(AA$30,economics!$AK$2:$AK$167,economics!$AJ$2:$AJ$167,TRUE))*economics!$AM$2:$AM$167))/(SUMPRODUCT((economics!$AG$2:$AG$167=$B48)*(economics!$D$2:$D$167="whr")*economics!$AI$2:$AI$167*(_xlfn.NORM.DIST(AA$3,economics!$AK$2:$AK$167,economics!$AJ$2:$AJ$167,TRUE)-_xlfn.NORM.DIST(AA$30,economics!$AK$2:$AK$167,economics!$AJ$2:$AJ$167,TRUE)))),"")</f>
        <v/>
      </c>
      <c r="AB48">
        <f t="array" ref="AB48">IFERROR((SUMPRODUCT((economics!$AG$2:$AG$167=$B48)*(economics!$D$2:$D$167="whr")*economics!$AI$2:$AI$167*(_xlfn.NORM.DIST(AB$3,economics!$AK$2:$AK$167,economics!$AJ$2:$AJ$167,TRUE)-_xlfn.NORM.DIST(AB$30,economics!$AK$2:$AK$167,economics!$AJ$2:$AJ$167,TRUE))*economics!$AM$2:$AM$167))/(SUMPRODUCT((economics!$AG$2:$AG$167=$B48)*(economics!$D$2:$D$167="whr")*economics!$AI$2:$AI$167*(_xlfn.NORM.DIST(AB$3,economics!$AK$2:$AK$167,economics!$AJ$2:$AJ$167,TRUE)-_xlfn.NORM.DIST(AB$30,economics!$AK$2:$AK$167,economics!$AJ$2:$AJ$167,TRUE)))),"")</f>
        <v/>
      </c>
      <c r="AC48">
        <f t="array" ref="AC48">IFERROR((SUMPRODUCT((economics!$AG$2:$AG$167=$B48)*(economics!$D$2:$D$167="whr")*economics!$AI$2:$AI$167*(_xlfn.NORM.DIST(AC$3,economics!$AK$2:$AK$167,economics!$AJ$2:$AJ$167,TRUE)-_xlfn.NORM.DIST(AC$30,economics!$AK$2:$AK$167,economics!$AJ$2:$AJ$167,TRUE))*economics!$AM$2:$AM$167))/(SUMPRODUCT((economics!$AG$2:$AG$167=$B48)*(economics!$D$2:$D$167="whr")*economics!$AI$2:$AI$167*(_xlfn.NORM.DIST(AC$3,economics!$AK$2:$AK$167,economics!$AJ$2:$AJ$167,TRUE)-_xlfn.NORM.DIST(AC$30,economics!$AK$2:$AK$167,economics!$AJ$2:$AJ$167,TRUE)))),"")</f>
        <v/>
      </c>
      <c r="AD48">
        <f t="array" ref="AD48">IFERROR((SUMPRODUCT((economics!$AG$2:$AG$167=$B48)*(economics!$D$2:$D$167="whr")*economics!$AI$2:$AI$167*(_xlfn.NORM.DIST(AD$3,economics!$AK$2:$AK$167,economics!$AJ$2:$AJ$167,TRUE)-_xlfn.NORM.DIST(AD$30,economics!$AK$2:$AK$167,economics!$AJ$2:$AJ$167,TRUE))*economics!$AM$2:$AM$167))/(SUMPRODUCT((economics!$AG$2:$AG$167=$B48)*(economics!$D$2:$D$167="whr")*economics!$AI$2:$AI$167*(_xlfn.NORM.DIST(AD$3,economics!$AK$2:$AK$167,economics!$AJ$2:$AJ$167,TRUE)-_xlfn.NORM.DIST(AD$30,economics!$AK$2:$AK$167,economics!$AJ$2:$AJ$167,TRUE)))),"")</f>
        <v/>
      </c>
      <c r="AE48">
        <f t="array" ref="AE48">IFERROR((SUMPRODUCT((economics!$AG$2:$AG$167=$B48)*(economics!$D$2:$D$167="whr")*economics!$AI$2:$AI$167*(_xlfn.NORM.DIST(AE$3,economics!$AK$2:$AK$167,economics!$AJ$2:$AJ$167,TRUE)-_xlfn.NORM.DIST(AE$30,economics!$AK$2:$AK$167,economics!$AJ$2:$AJ$167,TRUE))*economics!$AM$2:$AM$167))/(SUMPRODUCT((economics!$AG$2:$AG$167=$B48)*(economics!$D$2:$D$167="whr")*economics!$AI$2:$AI$167*(_xlfn.NORM.DIST(AE$3,economics!$AK$2:$AK$167,economics!$AJ$2:$AJ$167,TRUE)-_xlfn.NORM.DIST(AE$30,economics!$AK$2:$AK$167,economics!$AJ$2:$AJ$167,TRUE)))),"")</f>
        <v/>
      </c>
      <c r="AF48">
        <f t="array" ref="AF48">IFERROR((SUMPRODUCT((economics!$AG$2:$AG$167=$B48)*(economics!$D$2:$D$167="whr")*economics!$AI$2:$AI$167*(_xlfn.NORM.DIST(AF$3,economics!$AK$2:$AK$167,economics!$AJ$2:$AJ$167,TRUE)-_xlfn.NORM.DIST(AF$30,economics!$AK$2:$AK$167,economics!$AJ$2:$AJ$167,TRUE))*economics!$AM$2:$AM$167))/(SUMPRODUCT((economics!$AG$2:$AG$167=$B48)*(economics!$D$2:$D$167="whr")*economics!$AI$2:$AI$167*(_xlfn.NORM.DIST(AF$3,economics!$AK$2:$AK$167,economics!$AJ$2:$AJ$167,TRUE)-_xlfn.NORM.DIST(AF$30,economics!$AK$2:$AK$167,economics!$AJ$2:$AJ$167,TRUE)))),"")</f>
        <v/>
      </c>
      <c r="AG48">
        <f t="array" ref="AG48">IFERROR((SUMPRODUCT((economics!$AG$2:$AG$167=$B48)*(economics!$D$2:$D$167="whr")*economics!$AI$2:$AI$167*(_xlfn.NORM.DIST(AG$3,economics!$AK$2:$AK$167,economics!$AJ$2:$AJ$167,TRUE)-_xlfn.NORM.DIST(AG$30,economics!$AK$2:$AK$167,economics!$AJ$2:$AJ$167,TRUE))*economics!$AM$2:$AM$167))/(SUMPRODUCT((economics!$AG$2:$AG$167=$B48)*(economics!$D$2:$D$167="whr")*economics!$AI$2:$AI$167*(_xlfn.NORM.DIST(AG$3,economics!$AK$2:$AK$167,economics!$AJ$2:$AJ$167,TRUE)-_xlfn.NORM.DIST(AG$30,economics!$AK$2:$AK$167,economics!$AJ$2:$AJ$167,TRUE)))),"")</f>
        <v/>
      </c>
      <c r="AH48">
        <f t="array" ref="AH48">IFERROR((SUMPRODUCT((economics!$AG$2:$AG$167=$B48)*(economics!$D$2:$D$167="whr")*economics!$AI$2:$AI$167*(_xlfn.NORM.DIST(AH$3,economics!$AK$2:$AK$167,economics!$AJ$2:$AJ$167,TRUE)-_xlfn.NORM.DIST(AH$30,economics!$AK$2:$AK$167,economics!$AJ$2:$AJ$167,TRUE))*economics!$AM$2:$AM$167))/(SUMPRODUCT((economics!$AG$2:$AG$167=$B48)*(economics!$D$2:$D$167="whr")*economics!$AI$2:$AI$167*(_xlfn.NORM.DIST(AH$3,economics!$AK$2:$AK$167,economics!$AJ$2:$AJ$167,TRUE)-_xlfn.NORM.DIST(AH$30,economics!$AK$2:$AK$167,economics!$AJ$2:$AJ$167,TRUE)))),"")</f>
        <v/>
      </c>
      <c r="AI48">
        <f t="array" ref="AI48">IFERROR((SUMPRODUCT((economics!$AG$2:$AG$167=$B48)*(economics!$D$2:$D$167="whr")*economics!$AI$2:$AI$167*(_xlfn.NORM.DIST(AI$3,economics!$AK$2:$AK$167,economics!$AJ$2:$AJ$167,TRUE)-_xlfn.NORM.DIST(AI$30,economics!$AK$2:$AK$167,economics!$AJ$2:$AJ$167,TRUE))*economics!$AM$2:$AM$167))/(SUMPRODUCT((economics!$AG$2:$AG$167=$B48)*(economics!$D$2:$D$167="whr")*economics!$AI$2:$AI$167*(_xlfn.NORM.DIST(AI$3,economics!$AK$2:$AK$167,economics!$AJ$2:$AJ$167,TRUE)-_xlfn.NORM.DIST(AI$30,economics!$AK$2:$AK$167,economics!$AJ$2:$AJ$167,TRUE)))),"")</f>
        <v/>
      </c>
      <c r="AJ48">
        <f t="array" ref="AJ48">IFERROR((SUMPRODUCT((economics!$AG$2:$AG$167=$B48)*(economics!$D$2:$D$167="whr")*economics!$AI$2:$AI$167*(_xlfn.NORM.DIST(AJ$3,economics!$AK$2:$AK$167,economics!$AJ$2:$AJ$167,TRUE)-_xlfn.NORM.DIST(AJ$30,economics!$AK$2:$AK$167,economics!$AJ$2:$AJ$167,TRUE))*economics!$AM$2:$AM$167))/(SUMPRODUCT((economics!$AG$2:$AG$167=$B48)*(economics!$D$2:$D$167="whr")*economics!$AI$2:$AI$167*(_xlfn.NORM.DIST(AJ$3,economics!$AK$2:$AK$167,economics!$AJ$2:$AJ$167,TRUE)-_xlfn.NORM.DIST(AJ$30,economics!$AK$2:$AK$167,economics!$AJ$2:$AJ$167,TRUE)))),"")</f>
        <v/>
      </c>
      <c r="AK48">
        <f t="array" ref="AK48">IFERROR((SUMPRODUCT((economics!$AG$2:$AG$167=$B48)*(economics!$D$2:$D$167="whr")*economics!$AI$2:$AI$167*(_xlfn.NORM.DIST(AK$3,economics!$AK$2:$AK$167,economics!$AJ$2:$AJ$167,TRUE)-_xlfn.NORM.DIST(AK$30,economics!$AK$2:$AK$167,economics!$AJ$2:$AJ$167,TRUE))*economics!$AM$2:$AM$167))/(SUMPRODUCT((economics!$AG$2:$AG$167=$B48)*(economics!$D$2:$D$167="whr")*economics!$AI$2:$AI$167*(_xlfn.NORM.DIST(AK$3,economics!$AK$2:$AK$167,economics!$AJ$2:$AJ$167,TRUE)-_xlfn.NORM.DIST(AK$30,economics!$AK$2:$AK$167,economics!$AJ$2:$AJ$167,TRUE)))),"")</f>
        <v/>
      </c>
      <c r="AL48">
        <f t="array" ref="AL48">IFERROR((SUMPRODUCT((economics!$AG$2:$AG$167=$B48)*(economics!$D$2:$D$167="whr")*economics!$AI$2:$AI$167*(_xlfn.NORM.DIST(AL$3,economics!$AK$2:$AK$167,economics!$AJ$2:$AJ$167,TRUE)-_xlfn.NORM.DIST(AL$30,economics!$AK$2:$AK$167,economics!$AJ$2:$AJ$167,TRUE))*economics!$AM$2:$AM$167))/(SUMPRODUCT((economics!$AG$2:$AG$167=$B48)*(economics!$D$2:$D$167="whr")*economics!$AI$2:$AI$167*(_xlfn.NORM.DIST(AL$3,economics!$AK$2:$AK$167,economics!$AJ$2:$AJ$167,TRUE)-_xlfn.NORM.DIST(AL$30,economics!$AK$2:$AK$167,economics!$AJ$2:$AJ$167,TRUE)))),"")</f>
        <v/>
      </c>
      <c r="AM48">
        <f t="array" ref="AM48">IFERROR((SUMPRODUCT((economics!$AG$2:$AG$167=$B48)*(economics!$D$2:$D$167="whr")*economics!$AI$2:$AI$167*(_xlfn.NORM.DIST(AM$3,economics!$AK$2:$AK$167,economics!$AJ$2:$AJ$167,TRUE)-_xlfn.NORM.DIST(AM$30,economics!$AK$2:$AK$167,economics!$AJ$2:$AJ$167,TRUE))*economics!$AM$2:$AM$167))/(SUMPRODUCT((economics!$AG$2:$AG$167=$B48)*(economics!$D$2:$D$167="whr")*economics!$AI$2:$AI$167*(_xlfn.NORM.DIST(AM$3,economics!$AK$2:$AK$167,economics!$AJ$2:$AJ$167,TRUE)-_xlfn.NORM.DIST(AM$30,economics!$AK$2:$AK$167,economics!$AJ$2:$AJ$167,TRUE)))),"")</f>
        <v/>
      </c>
      <c r="AN48">
        <f t="array" ref="AN48">IFERROR((SUMPRODUCT((economics!$AG$2:$AG$167=$B48)*(economics!$D$2:$D$167="whr")*economics!$AI$2:$AI$167*(_xlfn.NORM.DIST(AN$3,economics!$AK$2:$AK$167,economics!$AJ$2:$AJ$167,TRUE)-_xlfn.NORM.DIST(AN$30,economics!$AK$2:$AK$167,economics!$AJ$2:$AJ$167,TRUE))*economics!$AM$2:$AM$167))/(SUMPRODUCT((economics!$AG$2:$AG$167=$B48)*(economics!$D$2:$D$167="whr")*economics!$AI$2:$AI$167*(_xlfn.NORM.DIST(AN$3,economics!$AK$2:$AK$167,economics!$AJ$2:$AJ$167,TRUE)-_xlfn.NORM.DIST(AN$30,economics!$AK$2:$AK$167,economics!$AJ$2:$AJ$167,TRUE)))),"")</f>
        <v/>
      </c>
      <c r="AO48">
        <f t="array" ref="AO48">IFERROR((SUMPRODUCT((economics!$AG$2:$AG$167=$B48)*(economics!$D$2:$D$167="whr")*economics!$AI$2:$AI$167*(_xlfn.NORM.DIST(AO$3,economics!$AK$2:$AK$167,economics!$AJ$2:$AJ$167,TRUE)-_xlfn.NORM.DIST(AO$30,economics!$AK$2:$AK$167,economics!$AJ$2:$AJ$167,TRUE))*economics!$AM$2:$AM$167))/(SUMPRODUCT((economics!$AG$2:$AG$167=$B48)*(economics!$D$2:$D$167="whr")*economics!$AI$2:$AI$167*(_xlfn.NORM.DIST(AO$3,economics!$AK$2:$AK$167,economics!$AJ$2:$AJ$167,TRUE)-_xlfn.NORM.DIST(AO$30,economics!$AK$2:$AK$167,economics!$AJ$2:$AJ$167,TRUE)))),"")</f>
        <v/>
      </c>
      <c r="AP48">
        <f t="array" ref="AP48">IFERROR((SUMPRODUCT((economics!$AG$2:$AG$167=$B48)*(economics!$D$2:$D$167="whr")*economics!$AI$2:$AI$167*(_xlfn.NORM.DIST(AP$3,economics!$AK$2:$AK$167,economics!$AJ$2:$AJ$167,TRUE)-_xlfn.NORM.DIST(AP$30,economics!$AK$2:$AK$167,economics!$AJ$2:$AJ$167,TRUE))*economics!$AM$2:$AM$167))/(SUMPRODUCT((economics!$AG$2:$AG$167=$B48)*(economics!$D$2:$D$167="whr")*economics!$AI$2:$AI$167*(_xlfn.NORM.DIST(AP$3,economics!$AK$2:$AK$167,economics!$AJ$2:$AJ$167,TRUE)-_xlfn.NORM.DIST(AP$30,economics!$AK$2:$AK$167,economics!$AJ$2:$AJ$167,TRUE)))),"")</f>
        <v/>
      </c>
      <c r="AQ48">
        <f t="array" ref="AQ48">IFERROR((SUMPRODUCT((economics!$AG$2:$AG$167=$B48)*(economics!$D$2:$D$167="whr")*economics!$AI$2:$AI$167*(_xlfn.NORM.DIST(AQ$3,economics!$AK$2:$AK$167,economics!$AJ$2:$AJ$167,TRUE)-_xlfn.NORM.DIST(AQ$30,economics!$AK$2:$AK$167,economics!$AJ$2:$AJ$167,TRUE))*economics!$AM$2:$AM$167))/(SUMPRODUCT((economics!$AG$2:$AG$167=$B48)*(economics!$D$2:$D$167="whr")*economics!$AI$2:$AI$167*(_xlfn.NORM.DIST(AQ$3,economics!$AK$2:$AK$167,economics!$AJ$2:$AJ$167,TRUE)-_xlfn.NORM.DIST(AQ$30,economics!$AK$2:$AK$167,economics!$AJ$2:$AJ$167,TRUE)))),"")</f>
        <v/>
      </c>
      <c r="AR48">
        <f t="array" ref="AR48">IFERROR((SUMPRODUCT((economics!$AG$2:$AG$167=$B48)*(economics!$D$2:$D$167="whr")*economics!$AI$2:$AI$167*(_xlfn.NORM.DIST(AR$3,economics!$AK$2:$AK$167,economics!$AJ$2:$AJ$167,TRUE)-_xlfn.NORM.DIST(AR$30,economics!$AK$2:$AK$167,economics!$AJ$2:$AJ$167,TRUE))*economics!$AM$2:$AM$167))/(SUMPRODUCT((economics!$AG$2:$AG$167=$B48)*(economics!$D$2:$D$167="whr")*economics!$AI$2:$AI$167*(_xlfn.NORM.DIST(AR$3,economics!$AK$2:$AK$167,economics!$AJ$2:$AJ$167,TRUE)-_xlfn.NORM.DIST(AR$30,economics!$AK$2:$AK$167,economics!$AJ$2:$AJ$167,TRUE)))),"")</f>
        <v/>
      </c>
      <c r="AS48">
        <f t="array" ref="AS48">IFERROR((SUMPRODUCT((economics!$AG$2:$AG$167=$B48)*(economics!$D$2:$D$167="whr")*economics!$AI$2:$AI$167*(_xlfn.NORM.DIST(AS$3,economics!$AK$2:$AK$167,economics!$AJ$2:$AJ$167,TRUE)-_xlfn.NORM.DIST(AS$30,economics!$AK$2:$AK$167,economics!$AJ$2:$AJ$167,TRUE))*economics!$AM$2:$AM$167))/(SUMPRODUCT((economics!$AG$2:$AG$167=$B48)*(economics!$D$2:$D$167="whr")*economics!$AI$2:$AI$167*(_xlfn.NORM.DIST(AS$3,economics!$AK$2:$AK$167,economics!$AJ$2:$AJ$167,TRUE)-_xlfn.NORM.DIST(AS$30,economics!$AK$2:$AK$167,economics!$AJ$2:$AJ$167,TRUE)))),"")</f>
        <v/>
      </c>
      <c r="AT48">
        <f t="array" ref="AT48">IFERROR((SUMPRODUCT((economics!$AG$2:$AG$167=$B48)*(economics!$D$2:$D$167="whr")*economics!$AI$2:$AI$167*(_xlfn.NORM.DIST(AT$3,economics!$AK$2:$AK$167,economics!$AJ$2:$AJ$167,TRUE)-_xlfn.NORM.DIST(AT$30,economics!$AK$2:$AK$167,economics!$AJ$2:$AJ$167,TRUE))*economics!$AM$2:$AM$167))/(SUMPRODUCT((economics!$AG$2:$AG$167=$B48)*(economics!$D$2:$D$167="whr")*economics!$AI$2:$AI$167*(_xlfn.NORM.DIST(AT$3,economics!$AK$2:$AK$167,economics!$AJ$2:$AJ$167,TRUE)-_xlfn.NORM.DIST(AT$30,economics!$AK$2:$AK$167,economics!$AJ$2:$AJ$167,TRUE)))),"")</f>
        <v/>
      </c>
      <c r="AU48">
        <f t="array" ref="AU48">IFERROR((SUMPRODUCT((economics!$AG$2:$AG$167=$B48)*(economics!$D$2:$D$167="whr")*economics!$AI$2:$AI$167*(_xlfn.NORM.DIST(AU$3,economics!$AK$2:$AK$167,economics!$AJ$2:$AJ$167,TRUE)-_xlfn.NORM.DIST(AU$30,economics!$AK$2:$AK$167,economics!$AJ$2:$AJ$167,TRUE))*economics!$AM$2:$AM$167))/(SUMPRODUCT((economics!$AG$2:$AG$167=$B48)*(economics!$D$2:$D$167="whr")*economics!$AI$2:$AI$167*(_xlfn.NORM.DIST(AU$3,economics!$AK$2:$AK$167,economics!$AJ$2:$AJ$167,TRUE)-_xlfn.NORM.DIST(AU$30,economics!$AK$2:$AK$167,economics!$AJ$2:$AJ$167,TRUE)))),"")</f>
        <v/>
      </c>
      <c r="AV48">
        <f t="array" ref="AV48">IFERROR((SUMPRODUCT((economics!$AG$2:$AG$167=$B48)*(economics!$D$2:$D$167="whr")*economics!$AI$2:$AI$167*(_xlfn.NORM.DIST(AV$3,economics!$AK$2:$AK$167,economics!$AJ$2:$AJ$167,TRUE)-_xlfn.NORM.DIST(AV$30,economics!$AK$2:$AK$167,economics!$AJ$2:$AJ$167,TRUE))*economics!$AM$2:$AM$167))/(SUMPRODUCT((economics!$AG$2:$AG$167=$B48)*(economics!$D$2:$D$167="whr")*economics!$AI$2:$AI$167*(_xlfn.NORM.DIST(AV$3,economics!$AK$2:$AK$167,economics!$AJ$2:$AJ$167,TRUE)-_xlfn.NORM.DIST(AV$30,economics!$AK$2:$AK$167,economics!$AJ$2:$AJ$167,TRUE)))),"")</f>
        <v/>
      </c>
      <c r="AW48">
        <f t="array" ref="AW48">IFERROR((SUMPRODUCT((economics!$AG$2:$AG$167=$B48)*(economics!$D$2:$D$167="whr")*economics!$AI$2:$AI$167*(_xlfn.NORM.DIST(AW$3,economics!$AK$2:$AK$167,economics!$AJ$2:$AJ$167,TRUE)-_xlfn.NORM.DIST(AW$30,economics!$AK$2:$AK$167,economics!$AJ$2:$AJ$167,TRUE))*economics!$AM$2:$AM$167))/(SUMPRODUCT((economics!$AG$2:$AG$167=$B48)*(economics!$D$2:$D$167="whr")*economics!$AI$2:$AI$167*(_xlfn.NORM.DIST(AW$3,economics!$AK$2:$AK$167,economics!$AJ$2:$AJ$167,TRUE)-_xlfn.NORM.DIST(AW$30,economics!$AK$2:$AK$167,economics!$AJ$2:$AJ$167,TRUE)))),"")</f>
        <v/>
      </c>
      <c r="AX48">
        <f t="array" ref="AX48">IFERROR((SUMPRODUCT((economics!$AG$2:$AG$167=$B48)*(economics!$D$2:$D$167="whr")*economics!$AI$2:$AI$167*(_xlfn.NORM.DIST(AX$3,economics!$AK$2:$AK$167,economics!$AJ$2:$AJ$167,TRUE)-_xlfn.NORM.DIST(AX$30,economics!$AK$2:$AK$167,economics!$AJ$2:$AJ$167,TRUE))*economics!$AM$2:$AM$167))/(SUMPRODUCT((economics!$AG$2:$AG$167=$B48)*(economics!$D$2:$D$167="whr")*economics!$AI$2:$AI$167*(_xlfn.NORM.DIST(AX$3,economics!$AK$2:$AK$167,economics!$AJ$2:$AJ$167,TRUE)-_xlfn.NORM.DIST(AX$30,economics!$AK$2:$AK$167,economics!$AJ$2:$AJ$167,TRUE)))),"")</f>
        <v/>
      </c>
      <c r="AY48">
        <f t="array" ref="AY48">IFERROR((SUMPRODUCT((economics!$AG$2:$AG$167=$B48)*(economics!$D$2:$D$167="whr")*economics!$AI$2:$AI$167*(_xlfn.NORM.DIST(AY$3,economics!$AK$2:$AK$167,economics!$AJ$2:$AJ$167,TRUE)-_xlfn.NORM.DIST(AY$30,economics!$AK$2:$AK$167,economics!$AJ$2:$AJ$167,TRUE))*economics!$AM$2:$AM$167))/(SUMPRODUCT((economics!$AG$2:$AG$167=$B48)*(economics!$D$2:$D$167="whr")*economics!$AI$2:$AI$167*(_xlfn.NORM.DIST(AY$3,economics!$AK$2:$AK$167,economics!$AJ$2:$AJ$167,TRUE)-_xlfn.NORM.DIST(AY$30,economics!$AK$2:$AK$167,economics!$AJ$2:$AJ$167,TRUE)))),"")</f>
        <v/>
      </c>
      <c r="AZ48">
        <f t="array" ref="AZ48">IFERROR((SUMPRODUCT((economics!$AG$2:$AG$167=$B48)*(economics!$D$2:$D$167="whr")*economics!$AI$2:$AI$167*(_xlfn.NORM.DIST(AZ$3,economics!$AK$2:$AK$167,economics!$AJ$2:$AJ$167,TRUE)-_xlfn.NORM.DIST(AZ$30,economics!$AK$2:$AK$167,economics!$AJ$2:$AJ$167,TRUE))*economics!$AM$2:$AM$167))/(SUMPRODUCT((economics!$AG$2:$AG$167=$B48)*(economics!$D$2:$D$167="whr")*economics!$AI$2:$AI$167*(_xlfn.NORM.DIST(AZ$3,economics!$AK$2:$AK$167,economics!$AJ$2:$AJ$167,TRUE)-_xlfn.NORM.DIST(AZ$30,economics!$AK$2:$AK$167,economics!$AJ$2:$AJ$167,TRUE)))),"")</f>
        <v/>
      </c>
      <c r="BA48">
        <f t="array" ref="BA48">IFERROR((SUMPRODUCT((economics!$AG$2:$AG$167=$B48)*(economics!$D$2:$D$167="whr")*economics!$AI$2:$AI$167*(_xlfn.NORM.DIST(BA$3,economics!$AK$2:$AK$167,economics!$AJ$2:$AJ$167,TRUE)-_xlfn.NORM.DIST(BA$30,economics!$AK$2:$AK$167,economics!$AJ$2:$AJ$167,TRUE))*economics!$AM$2:$AM$167))/(SUMPRODUCT((economics!$AG$2:$AG$167=$B48)*(economics!$D$2:$D$167="whr")*economics!$AI$2:$AI$167*(_xlfn.NORM.DIST(BA$3,economics!$AK$2:$AK$167,economics!$AJ$2:$AJ$167,TRUE)-_xlfn.NORM.DIST(BA$30,economics!$AK$2:$AK$167,economics!$AJ$2:$AJ$167,TRUE)))),"")</f>
        <v/>
      </c>
      <c r="BB48">
        <f t="array" ref="BB48">IFERROR((SUMPRODUCT((economics!$AG$2:$AG$167=$B48)*(economics!$D$2:$D$167="whr")*economics!$AI$2:$AI$167*(_xlfn.NORM.DIST(BB$3,economics!$AK$2:$AK$167,economics!$AJ$2:$AJ$167,TRUE)-_xlfn.NORM.DIST(BB$30,economics!$AK$2:$AK$167,economics!$AJ$2:$AJ$167,TRUE))*economics!$AM$2:$AM$167))/(SUMPRODUCT((economics!$AG$2:$AG$167=$B48)*(economics!$D$2:$D$167="whr")*economics!$AI$2:$AI$167*(_xlfn.NORM.DIST(BB$3,economics!$AK$2:$AK$167,economics!$AJ$2:$AJ$167,TRUE)-_xlfn.NORM.DIST(BB$30,economics!$AK$2:$AK$167,economics!$AJ$2:$AJ$167,TRUE)))),"")</f>
        <v/>
      </c>
      <c r="BC48">
        <f t="array" ref="BC48">IFERROR((SUMPRODUCT((economics!$AG$2:$AG$167=$B48)*(economics!$D$2:$D$167="whr")*economics!$AI$2:$AI$167*(_xlfn.NORM.DIST(BC$3,economics!$AK$2:$AK$167,economics!$AJ$2:$AJ$167,TRUE)-_xlfn.NORM.DIST(BC$30,economics!$AK$2:$AK$167,economics!$AJ$2:$AJ$167,TRUE))*economics!$AM$2:$AM$167))/(SUMPRODUCT((economics!$AG$2:$AG$167=$B48)*(economics!$D$2:$D$167="whr")*economics!$AI$2:$AI$167*(_xlfn.NORM.DIST(BC$3,economics!$AK$2:$AK$167,economics!$AJ$2:$AJ$167,TRUE)-_xlfn.NORM.DIST(BC$30,economics!$AK$2:$AK$167,economics!$AJ$2:$AJ$167,TRUE)))),"")</f>
        <v/>
      </c>
      <c r="BD48">
        <f t="array" ref="BD48">IFERROR((SUMPRODUCT((economics!$AG$2:$AG$167=$B48)*(economics!$D$2:$D$167="whr")*economics!$AI$2:$AI$167*(_xlfn.NORM.DIST(BD$3,economics!$AK$2:$AK$167,economics!$AJ$2:$AJ$167,TRUE)-_xlfn.NORM.DIST(BD$30,economics!$AK$2:$AK$167,economics!$AJ$2:$AJ$167,TRUE))*economics!$AM$2:$AM$167))/(SUMPRODUCT((economics!$AG$2:$AG$167=$B48)*(economics!$D$2:$D$167="whr")*economics!$AI$2:$AI$167*(_xlfn.NORM.DIST(BD$3,economics!$AK$2:$AK$167,economics!$AJ$2:$AJ$167,TRUE)-_xlfn.NORM.DIST(BD$30,economics!$AK$2:$AK$167,economics!$AJ$2:$AJ$167,TRUE)))),"")</f>
        <v/>
      </c>
      <c r="BE48">
        <f t="array" ref="BE48">IFERROR((SUMPRODUCT((economics!$AG$2:$AG$167=$B48)*(economics!$D$2:$D$167="whr")*economics!$AI$2:$AI$167*(_xlfn.NORM.DIST(BE$3,economics!$AK$2:$AK$167,economics!$AJ$2:$AJ$167,TRUE)-_xlfn.NORM.DIST(BE$30,economics!$AK$2:$AK$167,economics!$AJ$2:$AJ$167,TRUE))*economics!$AM$2:$AM$167))/(SUMPRODUCT((economics!$AG$2:$AG$167=$B48)*(economics!$D$2:$D$167="whr")*economics!$AI$2:$AI$167*(_xlfn.NORM.DIST(BE$3,economics!$AK$2:$AK$167,economics!$AJ$2:$AJ$167,TRUE)-_xlfn.NORM.DIST(BE$30,economics!$AK$2:$AK$167,economics!$AJ$2:$AJ$167,TRUE)))),"")</f>
        <v/>
      </c>
      <c r="BF48">
        <f t="array" ref="BF48">IFERROR((SUMPRODUCT((economics!$AG$2:$AG$167=$B48)*(economics!$D$2:$D$167="whr")*economics!$AI$2:$AI$167*(_xlfn.NORM.DIST(BF$3,economics!$AK$2:$AK$167,economics!$AJ$2:$AJ$167,TRUE)-_xlfn.NORM.DIST(BF$30,economics!$AK$2:$AK$167,economics!$AJ$2:$AJ$167,TRUE))*economics!$AM$2:$AM$167))/(SUMPRODUCT((economics!$AG$2:$AG$167=$B48)*(economics!$D$2:$D$167="whr")*economics!$AI$2:$AI$167*(_xlfn.NORM.DIST(BF$3,economics!$AK$2:$AK$167,economics!$AJ$2:$AJ$167,TRUE)-_xlfn.NORM.DIST(BF$30,economics!$AK$2:$AK$167,economics!$AJ$2:$AJ$167,TRUE)))),"")</f>
        <v/>
      </c>
      <c r="BG48">
        <f t="array" ref="BG48">IFERROR((SUMPRODUCT((economics!$AG$2:$AG$167=$B48)*(economics!$D$2:$D$167="whr")*economics!$AI$2:$AI$167*(_xlfn.NORM.DIST(BG$3,economics!$AK$2:$AK$167,economics!$AJ$2:$AJ$167,TRUE)-_xlfn.NORM.DIST(BG$30,economics!$AK$2:$AK$167,economics!$AJ$2:$AJ$167,TRUE))*economics!$AM$2:$AM$167))/(SUMPRODUCT((economics!$AG$2:$AG$167=$B48)*(economics!$D$2:$D$167="whr")*economics!$AI$2:$AI$167*(_xlfn.NORM.DIST(BG$3,economics!$AK$2:$AK$167,economics!$AJ$2:$AJ$167,TRUE)-_xlfn.NORM.DIST(BG$30,economics!$AK$2:$AK$167,economics!$AJ$2:$AJ$167,TRUE)))),"")</f>
        <v/>
      </c>
      <c r="BH48">
        <f t="array" ref="BH48">IFERROR((SUMPRODUCT((economics!$AG$2:$AG$167=$B48)*(economics!$D$2:$D$167="whr")*economics!$AI$2:$AI$167*(_xlfn.NORM.DIST(BH$3,economics!$AK$2:$AK$167,economics!$AJ$2:$AJ$167,TRUE)-_xlfn.NORM.DIST(BH$30,economics!$AK$2:$AK$167,economics!$AJ$2:$AJ$167,TRUE))*economics!$AM$2:$AM$167))/(SUMPRODUCT((economics!$AG$2:$AG$167=$B48)*(economics!$D$2:$D$167="whr")*economics!$AI$2:$AI$167*(_xlfn.NORM.DIST(BH$3,economics!$AK$2:$AK$167,economics!$AJ$2:$AJ$167,TRUE)-_xlfn.NORM.DIST(BH$30,economics!$AK$2:$AK$167,economics!$AJ$2:$AJ$167,TRUE)))),"")</f>
        <v/>
      </c>
      <c r="BI48">
        <f t="array" ref="BI48">IFERROR((SUMPRODUCT((economics!$AG$2:$AG$167=$B48)*(economics!$D$2:$D$167="whr")*economics!$AI$2:$AI$167*(_xlfn.NORM.DIST(BI$3,economics!$AK$2:$AK$167,economics!$AJ$2:$AJ$167,TRUE)-_xlfn.NORM.DIST(BI$30,economics!$AK$2:$AK$167,economics!$AJ$2:$AJ$167,TRUE))*economics!$AM$2:$AM$167))/(SUMPRODUCT((economics!$AG$2:$AG$167=$B48)*(economics!$D$2:$D$167="whr")*economics!$AI$2:$AI$167*(_xlfn.NORM.DIST(BI$3,economics!$AK$2:$AK$167,economics!$AJ$2:$AJ$167,TRUE)-_xlfn.NORM.DIST(BI$30,economics!$AK$2:$AK$167,economics!$AJ$2:$AJ$167,TRUE)))),"")</f>
        <v/>
      </c>
      <c r="BJ48">
        <f t="array" ref="BJ48">IFERROR((SUMPRODUCT((economics!$AG$2:$AG$167=$B48)*(economics!$D$2:$D$167="whr")*economics!$AI$2:$AI$167*(_xlfn.NORM.DIST(BJ$3,economics!$AK$2:$AK$167,economics!$AJ$2:$AJ$167,TRUE)-_xlfn.NORM.DIST(BJ$30,economics!$AK$2:$AK$167,economics!$AJ$2:$AJ$167,TRUE))*economics!$AM$2:$AM$167))/(SUMPRODUCT((economics!$AG$2:$AG$167=$B48)*(economics!$D$2:$D$167="whr")*economics!$AI$2:$AI$167*(_xlfn.NORM.DIST(BJ$3,economics!$AK$2:$AK$167,economics!$AJ$2:$AJ$167,TRUE)-_xlfn.NORM.DIST(BJ$30,economics!$AK$2:$AK$167,economics!$AJ$2:$AJ$167,TRUE)))),"")</f>
        <v/>
      </c>
      <c r="BK48">
        <f t="array" ref="BK48">IFERROR((SUMPRODUCT((economics!$AG$2:$AG$167=$B48)*(economics!$D$2:$D$167="whr")*economics!$AI$2:$AI$167*(_xlfn.NORM.DIST(BK$3,economics!$AK$2:$AK$167,economics!$AJ$2:$AJ$167,TRUE)-_xlfn.NORM.DIST(BK$30,economics!$AK$2:$AK$167,economics!$AJ$2:$AJ$167,TRUE))*economics!$AM$2:$AM$167))/(SUMPRODUCT((economics!$AG$2:$AG$167=$B48)*(economics!$D$2:$D$167="whr")*economics!$AI$2:$AI$167*(_xlfn.NORM.DIST(BK$3,economics!$AK$2:$AK$167,economics!$AJ$2:$AJ$167,TRUE)-_xlfn.NORM.DIST(BK$30,economics!$AK$2:$AK$167,economics!$AJ$2:$AJ$167,TRUE)))),"")</f>
        <v/>
      </c>
      <c r="BL48">
        <f t="array" ref="BL48">IFERROR((SUMPRODUCT((economics!$AG$2:$AG$167=$B48)*(economics!$D$2:$D$167="whr")*economics!$AI$2:$AI$167*(_xlfn.NORM.DIST(BL$3,economics!$AK$2:$AK$167,economics!$AJ$2:$AJ$167,TRUE)-_xlfn.NORM.DIST(BL$30,economics!$AK$2:$AK$167,economics!$AJ$2:$AJ$167,TRUE))*economics!$AM$2:$AM$167))/(SUMPRODUCT((economics!$AG$2:$AG$167=$B48)*(economics!$D$2:$D$167="whr")*economics!$AI$2:$AI$167*(_xlfn.NORM.DIST(BL$3,economics!$AK$2:$AK$167,economics!$AJ$2:$AJ$167,TRUE)-_xlfn.NORM.DIST(BL$30,economics!$AK$2:$AK$167,economics!$AJ$2:$AJ$167,TRUE)))),"")</f>
        <v/>
      </c>
      <c r="BM48">
        <f t="array" ref="BM48">IFERROR((SUMPRODUCT((economics!$AG$2:$AG$167=$B48)*(economics!$D$2:$D$167="whr")*economics!$AI$2:$AI$167*(_xlfn.NORM.DIST(BM$3,economics!$AK$2:$AK$167,economics!$AJ$2:$AJ$167,TRUE)-_xlfn.NORM.DIST(BM$30,economics!$AK$2:$AK$167,economics!$AJ$2:$AJ$167,TRUE))*economics!$AM$2:$AM$167))/(SUMPRODUCT((economics!$AG$2:$AG$167=$B48)*(economics!$D$2:$D$167="whr")*economics!$AI$2:$AI$167*(_xlfn.NORM.DIST(BM$3,economics!$AK$2:$AK$167,economics!$AJ$2:$AJ$167,TRUE)-_xlfn.NORM.DIST(BM$30,economics!$AK$2:$AK$167,economics!$AJ$2:$AJ$167,TRUE)))),"")</f>
        <v/>
      </c>
      <c r="BN48">
        <f t="array" ref="BN48">IFERROR((SUMPRODUCT((economics!$AG$2:$AG$167=$B48)*(economics!$D$2:$D$167="whr")*economics!$AI$2:$AI$167*(_xlfn.NORM.DIST(BN$3,economics!$AK$2:$AK$167,economics!$AJ$2:$AJ$167,TRUE)-_xlfn.NORM.DIST(BN$30,economics!$AK$2:$AK$167,economics!$AJ$2:$AJ$167,TRUE))*economics!$AM$2:$AM$167))/(SUMPRODUCT((economics!$AG$2:$AG$167=$B48)*(economics!$D$2:$D$167="whr")*economics!$AI$2:$AI$167*(_xlfn.NORM.DIST(BN$3,economics!$AK$2:$AK$167,economics!$AJ$2:$AJ$167,TRUE)-_xlfn.NORM.DIST(BN$30,economics!$AK$2:$AK$167,economics!$AJ$2:$AJ$167,TRUE)))),"")</f>
        <v/>
      </c>
      <c r="BO48">
        <f t="array" ref="BO48">IFERROR((SUMPRODUCT((economics!$AG$2:$AG$167=$B48)*(economics!$D$2:$D$167="whr")*economics!$AI$2:$AI$167*(_xlfn.NORM.DIST(BO$3,economics!$AK$2:$AK$167,economics!$AJ$2:$AJ$167,TRUE)-_xlfn.NORM.DIST(BO$30,economics!$AK$2:$AK$167,economics!$AJ$2:$AJ$167,TRUE))*economics!$AM$2:$AM$167))/(SUMPRODUCT((economics!$AG$2:$AG$167=$B48)*(economics!$D$2:$D$167="whr")*economics!$AI$2:$AI$167*(_xlfn.NORM.DIST(BO$3,economics!$AK$2:$AK$167,economics!$AJ$2:$AJ$167,TRUE)-_xlfn.NORM.DIST(BO$30,economics!$AK$2:$AK$167,economics!$AJ$2:$AJ$167,TRUE)))),"")</f>
        <v/>
      </c>
      <c r="BP48">
        <f t="array" ref="BP48">IFERROR((SUMPRODUCT((economics!$AG$2:$AG$167=$B48)*(economics!$D$2:$D$167="whr")*economics!$AI$2:$AI$167*(_xlfn.NORM.DIST(BP$3,economics!$AK$2:$AK$167,economics!$AJ$2:$AJ$167,TRUE)-_xlfn.NORM.DIST(BP$30,economics!$AK$2:$AK$167,economics!$AJ$2:$AJ$167,TRUE))*economics!$AM$2:$AM$167))/(SUMPRODUCT((economics!$AG$2:$AG$167=$B48)*(economics!$D$2:$D$167="whr")*economics!$AI$2:$AI$167*(_xlfn.NORM.DIST(BP$3,economics!$AK$2:$AK$167,economics!$AJ$2:$AJ$167,TRUE)-_xlfn.NORM.DIST(BP$30,economics!$AK$2:$AK$167,economics!$AJ$2:$AJ$167,TRUE)))),"")</f>
        <v/>
      </c>
      <c r="BQ48">
        <f t="array" ref="BQ48">IFERROR((SUMPRODUCT((economics!$AG$2:$AG$167=$B48)*(economics!$D$2:$D$167="whr")*economics!$AI$2:$AI$167*(_xlfn.NORM.DIST(BQ$3,economics!$AK$2:$AK$167,economics!$AJ$2:$AJ$167,TRUE)-_xlfn.NORM.DIST(BQ$30,economics!$AK$2:$AK$167,economics!$AJ$2:$AJ$167,TRUE))*economics!$AM$2:$AM$167))/(SUMPRODUCT((economics!$AG$2:$AG$167=$B48)*(economics!$D$2:$D$167="whr")*economics!$AI$2:$AI$167*(_xlfn.NORM.DIST(BQ$3,economics!$AK$2:$AK$167,economics!$AJ$2:$AJ$167,TRUE)-_xlfn.NORM.DIST(BQ$30,economics!$AK$2:$AK$167,economics!$AJ$2:$AJ$167,TRUE)))),"")</f>
        <v/>
      </c>
      <c r="BR48">
        <f t="array" ref="BR48">IFERROR((SUMPRODUCT((economics!$AG$2:$AG$167=$B48)*(economics!$D$2:$D$167="whr")*economics!$AI$2:$AI$167*(_xlfn.NORM.DIST(BR$3,economics!$AK$2:$AK$167,economics!$AJ$2:$AJ$167,TRUE)-_xlfn.NORM.DIST(BR$30,economics!$AK$2:$AK$167,economics!$AJ$2:$AJ$167,TRUE))*economics!$AM$2:$AM$167))/(SUMPRODUCT((economics!$AG$2:$AG$167=$B48)*(economics!$D$2:$D$167="whr")*economics!$AI$2:$AI$167*(_xlfn.NORM.DIST(BR$3,economics!$AK$2:$AK$167,economics!$AJ$2:$AJ$167,TRUE)-_xlfn.NORM.DIST(BR$30,economics!$AK$2:$AK$167,economics!$AJ$2:$AJ$167,TRUE)))),"")</f>
        <v/>
      </c>
      <c r="BS48">
        <f t="array" ref="BS48">IFERROR((SUMPRODUCT((economics!$AG$2:$AG$167=$B48)*(economics!$D$2:$D$167="whr")*economics!$AI$2:$AI$167*(_xlfn.NORM.DIST(BS$3,economics!$AK$2:$AK$167,economics!$AJ$2:$AJ$167,TRUE)-_xlfn.NORM.DIST(BS$30,economics!$AK$2:$AK$167,economics!$AJ$2:$AJ$167,TRUE))*economics!$AM$2:$AM$167))/(SUMPRODUCT((economics!$AG$2:$AG$167=$B48)*(economics!$D$2:$D$167="whr")*economics!$AI$2:$AI$167*(_xlfn.NORM.DIST(BS$3,economics!$AK$2:$AK$167,economics!$AJ$2:$AJ$167,TRUE)-_xlfn.NORM.DIST(BS$30,economics!$AK$2:$AK$167,economics!$AJ$2:$AJ$167,TRUE)))),"")</f>
        <v/>
      </c>
      <c r="BT48">
        <f t="array" ref="BT48">IFERROR((SUMPRODUCT((economics!$AG$2:$AG$167=$B48)*(economics!$D$2:$D$167="whr")*economics!$AI$2:$AI$167*(_xlfn.NORM.DIST(BT$3,economics!$AK$2:$AK$167,economics!$AJ$2:$AJ$167,TRUE)-_xlfn.NORM.DIST(BT$30,economics!$AK$2:$AK$167,economics!$AJ$2:$AJ$167,TRUE))*economics!$AM$2:$AM$167))/(SUMPRODUCT((economics!$AG$2:$AG$167=$B48)*(economics!$D$2:$D$167="whr")*economics!$AI$2:$AI$167*(_xlfn.NORM.DIST(BT$3,economics!$AK$2:$AK$167,economics!$AJ$2:$AJ$167,TRUE)-_xlfn.NORM.DIST(BT$30,economics!$AK$2:$AK$167,economics!$AJ$2:$AJ$167,TRUE)))),"")</f>
        <v/>
      </c>
      <c r="BU48">
        <f t="array" ref="BU48">IFERROR((SUMPRODUCT((economics!$AG$2:$AG$167=$B48)*(economics!$D$2:$D$167="whr")*economics!$AI$2:$AI$167*(_xlfn.NORM.DIST(BU$3,economics!$AK$2:$AK$167,economics!$AJ$2:$AJ$167,TRUE)-_xlfn.NORM.DIST(BU$30,economics!$AK$2:$AK$167,economics!$AJ$2:$AJ$167,TRUE))*economics!$AM$2:$AM$167))/(SUMPRODUCT((economics!$AG$2:$AG$167=$B48)*(economics!$D$2:$D$167="whr")*economics!$AI$2:$AI$167*(_xlfn.NORM.DIST(BU$3,economics!$AK$2:$AK$167,economics!$AJ$2:$AJ$167,TRUE)-_xlfn.NORM.DIST(BU$30,economics!$AK$2:$AK$167,economics!$AJ$2:$AJ$167,TRUE)))),"")</f>
        <v/>
      </c>
      <c r="BV48">
        <f t="array" ref="BV48">IFERROR((SUMPRODUCT((economics!$AG$2:$AG$167=$B48)*(economics!$D$2:$D$167="whr")*economics!$AI$2:$AI$167*(_xlfn.NORM.DIST(BV$3,economics!$AK$2:$AK$167,economics!$AJ$2:$AJ$167,TRUE)-_xlfn.NORM.DIST(BV$30,economics!$AK$2:$AK$167,economics!$AJ$2:$AJ$167,TRUE))*economics!$AM$2:$AM$167))/(SUMPRODUCT((economics!$AG$2:$AG$167=$B48)*(economics!$D$2:$D$167="whr")*economics!$AI$2:$AI$167*(_xlfn.NORM.DIST(BV$3,economics!$AK$2:$AK$167,economics!$AJ$2:$AJ$167,TRUE)-_xlfn.NORM.DIST(BV$30,economics!$AK$2:$AK$167,economics!$AJ$2:$AJ$167,TRUE)))),"")</f>
        <v/>
      </c>
      <c r="BW48">
        <f t="array" ref="BW48">IFERROR((SUMPRODUCT((economics!$AG$2:$AG$167=$B48)*(economics!$D$2:$D$167="whr")*economics!$AI$2:$AI$167*(_xlfn.NORM.DIST(BW$3,economics!$AK$2:$AK$167,economics!$AJ$2:$AJ$167,TRUE)-_xlfn.NORM.DIST(BW$30,economics!$AK$2:$AK$167,economics!$AJ$2:$AJ$167,TRUE))*economics!$AM$2:$AM$167))/(SUMPRODUCT((economics!$AG$2:$AG$167=$B48)*(economics!$D$2:$D$167="whr")*economics!$AI$2:$AI$167*(_xlfn.NORM.DIST(BW$3,economics!$AK$2:$AK$167,economics!$AJ$2:$AJ$167,TRUE)-_xlfn.NORM.DIST(BW$30,economics!$AK$2:$AK$167,economics!$AJ$2:$AJ$167,TRUE)))),"")</f>
        <v/>
      </c>
      <c r="BX48">
        <f t="array" ref="BX48">IFERROR((SUMPRODUCT((economics!$AG$2:$AG$167=$B48)*(economics!$D$2:$D$167="whr")*economics!$AI$2:$AI$167*(_xlfn.NORM.DIST(BX$3,economics!$AK$2:$AK$167,economics!$AJ$2:$AJ$167,TRUE)-_xlfn.NORM.DIST(BX$30,economics!$AK$2:$AK$167,economics!$AJ$2:$AJ$167,TRUE))*economics!$AM$2:$AM$167))/(SUMPRODUCT((economics!$AG$2:$AG$167=$B48)*(economics!$D$2:$D$167="whr")*economics!$AI$2:$AI$167*(_xlfn.NORM.DIST(BX$3,economics!$AK$2:$AK$167,economics!$AJ$2:$AJ$167,TRUE)-_xlfn.NORM.DIST(BX$30,economics!$AK$2:$AK$167,economics!$AJ$2:$AJ$167,TRUE)))),"")</f>
        <v/>
      </c>
      <c r="BY48">
        <f t="array" ref="BY48">IFERROR((SUMPRODUCT((economics!$AG$2:$AG$167=$B48)*(economics!$D$2:$D$167="whr")*economics!$AI$2:$AI$167*(_xlfn.NORM.DIST(BY$3,economics!$AK$2:$AK$167,economics!$AJ$2:$AJ$167,TRUE)-_xlfn.NORM.DIST(BY$30,economics!$AK$2:$AK$167,economics!$AJ$2:$AJ$167,TRUE))*economics!$AM$2:$AM$167))/(SUMPRODUCT((economics!$AG$2:$AG$167=$B48)*(economics!$D$2:$D$167="whr")*economics!$AI$2:$AI$167*(_xlfn.NORM.DIST(BY$3,economics!$AK$2:$AK$167,economics!$AJ$2:$AJ$167,TRUE)-_xlfn.NORM.DIST(BY$30,economics!$AK$2:$AK$167,economics!$AJ$2:$AJ$167,TRUE)))),"")</f>
        <v/>
      </c>
      <c r="BZ48">
        <f t="array" ref="BZ48">IFERROR((SUMPRODUCT((economics!$AG$2:$AG$167=$B48)*(economics!$D$2:$D$167="whr")*economics!$AI$2:$AI$167*(_xlfn.NORM.DIST(BZ$3,economics!$AK$2:$AK$167,economics!$AJ$2:$AJ$167,TRUE)-_xlfn.NORM.DIST(BZ$30,economics!$AK$2:$AK$167,economics!$AJ$2:$AJ$167,TRUE))*economics!$AM$2:$AM$167))/(SUMPRODUCT((economics!$AG$2:$AG$167=$B48)*(economics!$D$2:$D$167="whr")*economics!$AI$2:$AI$167*(_xlfn.NORM.DIST(BZ$3,economics!$AK$2:$AK$167,economics!$AJ$2:$AJ$167,TRUE)-_xlfn.NORM.DIST(BZ$30,economics!$AK$2:$AK$167,economics!$AJ$2:$AJ$167,TRUE)))),"")</f>
        <v/>
      </c>
      <c r="CA48">
        <f t="array" ref="CA48">IFERROR((SUMPRODUCT((economics!$AG$2:$AG$167=$B48)*(economics!$D$2:$D$167="whr")*economics!$AI$2:$AI$167*(_xlfn.NORM.DIST(CA$3,economics!$AK$2:$AK$167,economics!$AJ$2:$AJ$167,TRUE)-_xlfn.NORM.DIST(CA$30,economics!$AK$2:$AK$167,economics!$AJ$2:$AJ$167,TRUE))*economics!$AM$2:$AM$167))/(SUMPRODUCT((economics!$AG$2:$AG$167=$B48)*(economics!$D$2:$D$167="whr")*economics!$AI$2:$AI$167*(_xlfn.NORM.DIST(CA$3,economics!$AK$2:$AK$167,economics!$AJ$2:$AJ$167,TRUE)-_xlfn.NORM.DIST(CA$30,economics!$AK$2:$AK$167,economics!$AJ$2:$AJ$167,TRUE)))),"")</f>
        <v/>
      </c>
      <c r="CB48">
        <f t="array" ref="CB48">IFERROR((SUMPRODUCT((economics!$AG$2:$AG$167=$B48)*(economics!$D$2:$D$167="whr")*economics!$AI$2:$AI$167*(_xlfn.NORM.DIST(CB$3,economics!$AK$2:$AK$167,economics!$AJ$2:$AJ$167,TRUE)-_xlfn.NORM.DIST(CB$30,economics!$AK$2:$AK$167,economics!$AJ$2:$AJ$167,TRUE))*economics!$AM$2:$AM$167))/(SUMPRODUCT((economics!$AG$2:$AG$167=$B48)*(economics!$D$2:$D$167="whr")*economics!$AI$2:$AI$167*(_xlfn.NORM.DIST(CB$3,economics!$AK$2:$AK$167,economics!$AJ$2:$AJ$167,TRUE)-_xlfn.NORM.DIST(CB$30,economics!$AK$2:$AK$167,economics!$AJ$2:$AJ$167,TRUE)))),"")</f>
        <v/>
      </c>
      <c r="CC48">
        <f t="array" ref="CC48">IFERROR((SUMPRODUCT((economics!$AG$2:$AG$167=$B48)*(economics!$D$2:$D$167="whr")*economics!$AI$2:$AI$167*(_xlfn.NORM.DIST(CC$3,economics!$AK$2:$AK$167,economics!$AJ$2:$AJ$167,TRUE)-_xlfn.NORM.DIST(CC$30,economics!$AK$2:$AK$167,economics!$AJ$2:$AJ$167,TRUE))*economics!$AM$2:$AM$167))/(SUMPRODUCT((economics!$AG$2:$AG$167=$B48)*(economics!$D$2:$D$167="whr")*economics!$AI$2:$AI$167*(_xlfn.NORM.DIST(CC$3,economics!$AK$2:$AK$167,economics!$AJ$2:$AJ$167,TRUE)-_xlfn.NORM.DIST(CC$30,economics!$AK$2:$AK$167,economics!$AJ$2:$AJ$167,TRUE)))),"")</f>
        <v/>
      </c>
      <c r="CD48">
        <f t="array" ref="CD48">IFERROR((SUMPRODUCT((economics!$AG$2:$AG$167=$B48)*(economics!$D$2:$D$167="whr")*economics!$AI$2:$AI$167*(_xlfn.NORM.DIST(CD$3,economics!$AK$2:$AK$167,economics!$AJ$2:$AJ$167,TRUE)-_xlfn.NORM.DIST(CD$30,economics!$AK$2:$AK$167,economics!$AJ$2:$AJ$167,TRUE))*economics!$AM$2:$AM$167))/(SUMPRODUCT((economics!$AG$2:$AG$167=$B48)*(economics!$D$2:$D$167="whr")*economics!$AI$2:$AI$167*(_xlfn.NORM.DIST(CD$3,economics!$AK$2:$AK$167,economics!$AJ$2:$AJ$167,TRUE)-_xlfn.NORM.DIST(CD$30,economics!$AK$2:$AK$167,economics!$AJ$2:$AJ$167,TRUE)))),"")</f>
        <v/>
      </c>
      <c r="CE48">
        <f t="array" ref="CE48">IFERROR((SUMPRODUCT((economics!$AG$2:$AG$167=$B48)*(economics!$D$2:$D$167="whr")*economics!$AI$2:$AI$167*(_xlfn.NORM.DIST(CE$3,economics!$AK$2:$AK$167,economics!$AJ$2:$AJ$167,TRUE)-_xlfn.NORM.DIST(CE$30,economics!$AK$2:$AK$167,economics!$AJ$2:$AJ$167,TRUE))*economics!$AM$2:$AM$167))/(SUMPRODUCT((economics!$AG$2:$AG$167=$B48)*(economics!$D$2:$D$167="whr")*economics!$AI$2:$AI$167*(_xlfn.NORM.DIST(CE$3,economics!$AK$2:$AK$167,economics!$AJ$2:$AJ$167,TRUE)-_xlfn.NORM.DIST(CE$30,economics!$AK$2:$AK$167,economics!$AJ$2:$AJ$167,TRUE)))),"")</f>
        <v/>
      </c>
      <c r="CF48">
        <f t="array" ref="CF48">IFERROR((SUMPRODUCT((economics!$AG$2:$AG$167=$B48)*(economics!$D$2:$D$167="whr")*economics!$AI$2:$AI$167*(_xlfn.NORM.DIST(CF$3,economics!$AK$2:$AK$167,economics!$AJ$2:$AJ$167,TRUE)-_xlfn.NORM.DIST(CF$30,economics!$AK$2:$AK$167,economics!$AJ$2:$AJ$167,TRUE))*economics!$AM$2:$AM$167))/(SUMPRODUCT((economics!$AG$2:$AG$167=$B48)*(economics!$D$2:$D$167="whr")*economics!$AI$2:$AI$167*(_xlfn.NORM.DIST(CF$3,economics!$AK$2:$AK$167,economics!$AJ$2:$AJ$167,TRUE)-_xlfn.NORM.DIST(CF$30,economics!$AK$2:$AK$167,economics!$AJ$2:$AJ$167,TRUE)))),"")</f>
        <v/>
      </c>
      <c r="CG48">
        <f t="array" ref="CG48">IFERROR((SUMPRODUCT((economics!$AG$2:$AG$167=$B48)*(economics!$D$2:$D$167="whr")*economics!$AI$2:$AI$167*(_xlfn.NORM.DIST(CG$3,economics!$AK$2:$AK$167,economics!$AJ$2:$AJ$167,TRUE)-_xlfn.NORM.DIST(CG$30,economics!$AK$2:$AK$167,economics!$AJ$2:$AJ$167,TRUE))*economics!$AM$2:$AM$167))/(SUMPRODUCT((economics!$AG$2:$AG$167=$B48)*(economics!$D$2:$D$167="whr")*economics!$AI$2:$AI$167*(_xlfn.NORM.DIST(CG$3,economics!$AK$2:$AK$167,economics!$AJ$2:$AJ$167,TRUE)-_xlfn.NORM.DIST(CG$30,economics!$AK$2:$AK$167,economics!$AJ$2:$AJ$167,TRUE)))),"")</f>
        <v/>
      </c>
      <c r="CH48">
        <f t="array" ref="CH48">IFERROR((SUMPRODUCT((economics!$AG$2:$AG$167=$B48)*(economics!$D$2:$D$167="whr")*economics!$AI$2:$AI$167*(_xlfn.NORM.DIST(CH$3,economics!$AK$2:$AK$167,economics!$AJ$2:$AJ$167,TRUE)-_xlfn.NORM.DIST(CH$30,economics!$AK$2:$AK$167,economics!$AJ$2:$AJ$167,TRUE))*economics!$AM$2:$AM$167))/(SUMPRODUCT((economics!$AG$2:$AG$167=$B48)*(economics!$D$2:$D$167="whr")*economics!$AI$2:$AI$167*(_xlfn.NORM.DIST(CH$3,economics!$AK$2:$AK$167,economics!$AJ$2:$AJ$167,TRUE)-_xlfn.NORM.DIST(CH$30,economics!$AK$2:$AK$167,economics!$AJ$2:$AJ$167,TRUE)))),"")</f>
        <v/>
      </c>
    </row>
    <row r="49">
      <c r="A49">
        <f>A20</f>
        <v/>
      </c>
      <c r="B49">
        <f>B20</f>
        <v/>
      </c>
      <c r="E49">
        <f t="array" ref="E49">IFERROR((SUMPRODUCT((economics!$AG$2:$AG$167=$B49)*(economics!$D$2:$D$167="whr")*economics!$AI$2:$AI$167*(_xlfn.NORM.DIST(E$3,economics!$AK$2:$AK$167,economics!$AJ$2:$AJ$167,TRUE)-_xlfn.NORM.DIST(E$30,economics!$AK$2:$AK$167,economics!$AJ$2:$AJ$167,TRUE))*economics!$AM$2:$AM$167))/(SUMPRODUCT((economics!$AG$2:$AG$167=$B49)*(economics!$D$2:$D$167="whr")*economics!$AI$2:$AI$167*(_xlfn.NORM.DIST(E$3,economics!$AK$2:$AK$167,economics!$AJ$2:$AJ$167,TRUE)-_xlfn.NORM.DIST(E$30,economics!$AK$2:$AK$167,economics!$AJ$2:$AJ$167,TRUE)))),"")</f>
        <v/>
      </c>
      <c r="F49">
        <f t="array" ref="F49">IFERROR((SUMPRODUCT((economics!$AG$2:$AG$167=$B49)*(economics!$D$2:$D$167="whr")*economics!$AI$2:$AI$167*(_xlfn.NORM.DIST(F$3,economics!$AK$2:$AK$167,economics!$AJ$2:$AJ$167,TRUE)-_xlfn.NORM.DIST(F$30,economics!$AK$2:$AK$167,economics!$AJ$2:$AJ$167,TRUE))*economics!$AM$2:$AM$167))/(SUMPRODUCT((economics!$AG$2:$AG$167=$B49)*(economics!$D$2:$D$167="whr")*economics!$AI$2:$AI$167*(_xlfn.NORM.DIST(F$3,economics!$AK$2:$AK$167,economics!$AJ$2:$AJ$167,TRUE)-_xlfn.NORM.DIST(F$30,economics!$AK$2:$AK$167,economics!$AJ$2:$AJ$167,TRUE)))),"")</f>
        <v/>
      </c>
      <c r="G49">
        <f t="array" ref="G49">IFERROR((SUMPRODUCT((economics!$AG$2:$AG$167=$B49)*(economics!$D$2:$D$167="whr")*economics!$AI$2:$AI$167*(_xlfn.NORM.DIST(G$3,economics!$AK$2:$AK$167,economics!$AJ$2:$AJ$167,TRUE)-_xlfn.NORM.DIST(G$30,economics!$AK$2:$AK$167,economics!$AJ$2:$AJ$167,TRUE))*economics!$AM$2:$AM$167))/(SUMPRODUCT((economics!$AG$2:$AG$167=$B49)*(economics!$D$2:$D$167="whr")*economics!$AI$2:$AI$167*(_xlfn.NORM.DIST(G$3,economics!$AK$2:$AK$167,economics!$AJ$2:$AJ$167,TRUE)-_xlfn.NORM.DIST(G$30,economics!$AK$2:$AK$167,economics!$AJ$2:$AJ$167,TRUE)))),"")</f>
        <v/>
      </c>
      <c r="H49">
        <f t="array" ref="H49">IFERROR((SUMPRODUCT((economics!$AG$2:$AG$167=$B49)*(economics!$D$2:$D$167="whr")*economics!$AI$2:$AI$167*(_xlfn.NORM.DIST(H$3,economics!$AK$2:$AK$167,economics!$AJ$2:$AJ$167,TRUE)-_xlfn.NORM.DIST(H$30,economics!$AK$2:$AK$167,economics!$AJ$2:$AJ$167,TRUE))*economics!$AM$2:$AM$167))/(SUMPRODUCT((economics!$AG$2:$AG$167=$B49)*(economics!$D$2:$D$167="whr")*economics!$AI$2:$AI$167*(_xlfn.NORM.DIST(H$3,economics!$AK$2:$AK$167,economics!$AJ$2:$AJ$167,TRUE)-_xlfn.NORM.DIST(H$30,economics!$AK$2:$AK$167,economics!$AJ$2:$AJ$167,TRUE)))),"")</f>
        <v/>
      </c>
      <c r="I49">
        <f t="array" ref="I49">IFERROR((SUMPRODUCT((economics!$AG$2:$AG$167=$B49)*(economics!$D$2:$D$167="whr")*economics!$AI$2:$AI$167*(_xlfn.NORM.DIST(I$3,economics!$AK$2:$AK$167,economics!$AJ$2:$AJ$167,TRUE)-_xlfn.NORM.DIST(I$30,economics!$AK$2:$AK$167,economics!$AJ$2:$AJ$167,TRUE))*economics!$AM$2:$AM$167))/(SUMPRODUCT((economics!$AG$2:$AG$167=$B49)*(economics!$D$2:$D$167="whr")*economics!$AI$2:$AI$167*(_xlfn.NORM.DIST(I$3,economics!$AK$2:$AK$167,economics!$AJ$2:$AJ$167,TRUE)-_xlfn.NORM.DIST(I$30,economics!$AK$2:$AK$167,economics!$AJ$2:$AJ$167,TRUE)))),"")</f>
        <v/>
      </c>
      <c r="J49">
        <f t="array" ref="J49">IFERROR((SUMPRODUCT((economics!$AG$2:$AG$167=$B49)*(economics!$D$2:$D$167="whr")*economics!$AI$2:$AI$167*(_xlfn.NORM.DIST(J$3,economics!$AK$2:$AK$167,economics!$AJ$2:$AJ$167,TRUE)-_xlfn.NORM.DIST(J$30,economics!$AK$2:$AK$167,economics!$AJ$2:$AJ$167,TRUE))*economics!$AM$2:$AM$167))/(SUMPRODUCT((economics!$AG$2:$AG$167=$B49)*(economics!$D$2:$D$167="whr")*economics!$AI$2:$AI$167*(_xlfn.NORM.DIST(J$3,economics!$AK$2:$AK$167,economics!$AJ$2:$AJ$167,TRUE)-_xlfn.NORM.DIST(J$30,economics!$AK$2:$AK$167,economics!$AJ$2:$AJ$167,TRUE)))),"")</f>
        <v/>
      </c>
      <c r="K49">
        <f t="array" ref="K49">IFERROR((SUMPRODUCT((economics!$AG$2:$AG$167=$B49)*(economics!$D$2:$D$167="whr")*economics!$AI$2:$AI$167*(_xlfn.NORM.DIST(K$3,economics!$AK$2:$AK$167,economics!$AJ$2:$AJ$167,TRUE)-_xlfn.NORM.DIST(K$30,economics!$AK$2:$AK$167,economics!$AJ$2:$AJ$167,TRUE))*economics!$AM$2:$AM$167))/(SUMPRODUCT((economics!$AG$2:$AG$167=$B49)*(economics!$D$2:$D$167="whr")*economics!$AI$2:$AI$167*(_xlfn.NORM.DIST(K$3,economics!$AK$2:$AK$167,economics!$AJ$2:$AJ$167,TRUE)-_xlfn.NORM.DIST(K$30,economics!$AK$2:$AK$167,economics!$AJ$2:$AJ$167,TRUE)))),"")</f>
        <v/>
      </c>
      <c r="L49">
        <f t="array" ref="L49">IFERROR((SUMPRODUCT((economics!$AG$2:$AG$167=$B49)*(economics!$D$2:$D$167="whr")*economics!$AI$2:$AI$167*(_xlfn.NORM.DIST(L$3,economics!$AK$2:$AK$167,economics!$AJ$2:$AJ$167,TRUE)-_xlfn.NORM.DIST(L$30,economics!$AK$2:$AK$167,economics!$AJ$2:$AJ$167,TRUE))*economics!$AM$2:$AM$167))/(SUMPRODUCT((economics!$AG$2:$AG$167=$B49)*(economics!$D$2:$D$167="whr")*economics!$AI$2:$AI$167*(_xlfn.NORM.DIST(L$3,economics!$AK$2:$AK$167,economics!$AJ$2:$AJ$167,TRUE)-_xlfn.NORM.DIST(L$30,economics!$AK$2:$AK$167,economics!$AJ$2:$AJ$167,TRUE)))),"")</f>
        <v/>
      </c>
      <c r="M49">
        <f t="array" ref="M49">IFERROR((SUMPRODUCT((economics!$AG$2:$AG$167=$B49)*(economics!$D$2:$D$167="whr")*economics!$AI$2:$AI$167*(_xlfn.NORM.DIST(M$3,economics!$AK$2:$AK$167,economics!$AJ$2:$AJ$167,TRUE)-_xlfn.NORM.DIST(M$30,economics!$AK$2:$AK$167,economics!$AJ$2:$AJ$167,TRUE))*economics!$AM$2:$AM$167))/(SUMPRODUCT((economics!$AG$2:$AG$167=$B49)*(economics!$D$2:$D$167="whr")*economics!$AI$2:$AI$167*(_xlfn.NORM.DIST(M$3,economics!$AK$2:$AK$167,economics!$AJ$2:$AJ$167,TRUE)-_xlfn.NORM.DIST(M$30,economics!$AK$2:$AK$167,economics!$AJ$2:$AJ$167,TRUE)))),"")</f>
        <v/>
      </c>
      <c r="N49">
        <f t="array" ref="N49">IFERROR((SUMPRODUCT((economics!$AG$2:$AG$167=$B49)*(economics!$D$2:$D$167="whr")*economics!$AI$2:$AI$167*(_xlfn.NORM.DIST(N$3,economics!$AK$2:$AK$167,economics!$AJ$2:$AJ$167,TRUE)-_xlfn.NORM.DIST(N$30,economics!$AK$2:$AK$167,economics!$AJ$2:$AJ$167,TRUE))*economics!$AM$2:$AM$167))/(SUMPRODUCT((economics!$AG$2:$AG$167=$B49)*(economics!$D$2:$D$167="whr")*economics!$AI$2:$AI$167*(_xlfn.NORM.DIST(N$3,economics!$AK$2:$AK$167,economics!$AJ$2:$AJ$167,TRUE)-_xlfn.NORM.DIST(N$30,economics!$AK$2:$AK$167,economics!$AJ$2:$AJ$167,TRUE)))),"")</f>
        <v/>
      </c>
      <c r="O49">
        <f t="array" ref="O49">IFERROR((SUMPRODUCT((economics!$AG$2:$AG$167=$B49)*(economics!$D$2:$D$167="whr")*economics!$AI$2:$AI$167*(_xlfn.NORM.DIST(O$3,economics!$AK$2:$AK$167,economics!$AJ$2:$AJ$167,TRUE)-_xlfn.NORM.DIST(O$30,economics!$AK$2:$AK$167,economics!$AJ$2:$AJ$167,TRUE))*economics!$AM$2:$AM$167))/(SUMPRODUCT((economics!$AG$2:$AG$167=$B49)*(economics!$D$2:$D$167="whr")*economics!$AI$2:$AI$167*(_xlfn.NORM.DIST(O$3,economics!$AK$2:$AK$167,economics!$AJ$2:$AJ$167,TRUE)-_xlfn.NORM.DIST(O$30,economics!$AK$2:$AK$167,economics!$AJ$2:$AJ$167,TRUE)))),"")</f>
        <v/>
      </c>
      <c r="P49">
        <f t="array" ref="P49">IFERROR((SUMPRODUCT((economics!$AG$2:$AG$167=$B49)*(economics!$D$2:$D$167="whr")*economics!$AI$2:$AI$167*(_xlfn.NORM.DIST(P$3,economics!$AK$2:$AK$167,economics!$AJ$2:$AJ$167,TRUE)-_xlfn.NORM.DIST(P$30,economics!$AK$2:$AK$167,economics!$AJ$2:$AJ$167,TRUE))*economics!$AM$2:$AM$167))/(SUMPRODUCT((economics!$AG$2:$AG$167=$B49)*(economics!$D$2:$D$167="whr")*economics!$AI$2:$AI$167*(_xlfn.NORM.DIST(P$3,economics!$AK$2:$AK$167,economics!$AJ$2:$AJ$167,TRUE)-_xlfn.NORM.DIST(P$30,economics!$AK$2:$AK$167,economics!$AJ$2:$AJ$167,TRUE)))),"")</f>
        <v/>
      </c>
      <c r="Q49">
        <f t="array" ref="Q49">IFERROR((SUMPRODUCT((economics!$AG$2:$AG$167=$B49)*(economics!$D$2:$D$167="whr")*economics!$AI$2:$AI$167*(_xlfn.NORM.DIST(Q$3,economics!$AK$2:$AK$167,economics!$AJ$2:$AJ$167,TRUE)-_xlfn.NORM.DIST(Q$30,economics!$AK$2:$AK$167,economics!$AJ$2:$AJ$167,TRUE))*economics!$AM$2:$AM$167))/(SUMPRODUCT((economics!$AG$2:$AG$167=$B49)*(economics!$D$2:$D$167="whr")*economics!$AI$2:$AI$167*(_xlfn.NORM.DIST(Q$3,economics!$AK$2:$AK$167,economics!$AJ$2:$AJ$167,TRUE)-_xlfn.NORM.DIST(Q$30,economics!$AK$2:$AK$167,economics!$AJ$2:$AJ$167,TRUE)))),"")</f>
        <v/>
      </c>
      <c r="R49">
        <f t="array" ref="R49">IFERROR((SUMPRODUCT((economics!$AG$2:$AG$167=$B49)*(economics!$D$2:$D$167="whr")*economics!$AI$2:$AI$167*(_xlfn.NORM.DIST(R$3,economics!$AK$2:$AK$167,economics!$AJ$2:$AJ$167,TRUE)-_xlfn.NORM.DIST(R$30,economics!$AK$2:$AK$167,economics!$AJ$2:$AJ$167,TRUE))*economics!$AM$2:$AM$167))/(SUMPRODUCT((economics!$AG$2:$AG$167=$B49)*(economics!$D$2:$D$167="whr")*economics!$AI$2:$AI$167*(_xlfn.NORM.DIST(R$3,economics!$AK$2:$AK$167,economics!$AJ$2:$AJ$167,TRUE)-_xlfn.NORM.DIST(R$30,economics!$AK$2:$AK$167,economics!$AJ$2:$AJ$167,TRUE)))),"")</f>
        <v/>
      </c>
      <c r="S49">
        <f t="array" ref="S49">IFERROR((SUMPRODUCT((economics!$AG$2:$AG$167=$B49)*(economics!$D$2:$D$167="whr")*economics!$AI$2:$AI$167*(_xlfn.NORM.DIST(S$3,economics!$AK$2:$AK$167,economics!$AJ$2:$AJ$167,TRUE)-_xlfn.NORM.DIST(S$30,economics!$AK$2:$AK$167,economics!$AJ$2:$AJ$167,TRUE))*economics!$AM$2:$AM$167))/(SUMPRODUCT((economics!$AG$2:$AG$167=$B49)*(economics!$D$2:$D$167="whr")*economics!$AI$2:$AI$167*(_xlfn.NORM.DIST(S$3,economics!$AK$2:$AK$167,economics!$AJ$2:$AJ$167,TRUE)-_xlfn.NORM.DIST(S$30,economics!$AK$2:$AK$167,economics!$AJ$2:$AJ$167,TRUE)))),"")</f>
        <v/>
      </c>
      <c r="T49">
        <f t="array" ref="T49">IFERROR((SUMPRODUCT((economics!$AG$2:$AG$167=$B49)*(economics!$D$2:$D$167="whr")*economics!$AI$2:$AI$167*(_xlfn.NORM.DIST(T$3,economics!$AK$2:$AK$167,economics!$AJ$2:$AJ$167,TRUE)-_xlfn.NORM.DIST(T$30,economics!$AK$2:$AK$167,economics!$AJ$2:$AJ$167,TRUE))*economics!$AM$2:$AM$167))/(SUMPRODUCT((economics!$AG$2:$AG$167=$B49)*(economics!$D$2:$D$167="whr")*economics!$AI$2:$AI$167*(_xlfn.NORM.DIST(T$3,economics!$AK$2:$AK$167,economics!$AJ$2:$AJ$167,TRUE)-_xlfn.NORM.DIST(T$30,economics!$AK$2:$AK$167,economics!$AJ$2:$AJ$167,TRUE)))),"")</f>
        <v/>
      </c>
      <c r="U49">
        <f t="array" ref="U49">IFERROR((SUMPRODUCT((economics!$AG$2:$AG$167=$B49)*(economics!$D$2:$D$167="whr")*economics!$AI$2:$AI$167*(_xlfn.NORM.DIST(U$3,economics!$AK$2:$AK$167,economics!$AJ$2:$AJ$167,TRUE)-_xlfn.NORM.DIST(U$30,economics!$AK$2:$AK$167,economics!$AJ$2:$AJ$167,TRUE))*economics!$AM$2:$AM$167))/(SUMPRODUCT((economics!$AG$2:$AG$167=$B49)*(economics!$D$2:$D$167="whr")*economics!$AI$2:$AI$167*(_xlfn.NORM.DIST(U$3,economics!$AK$2:$AK$167,economics!$AJ$2:$AJ$167,TRUE)-_xlfn.NORM.DIST(U$30,economics!$AK$2:$AK$167,economics!$AJ$2:$AJ$167,TRUE)))),"")</f>
        <v/>
      </c>
      <c r="V49">
        <f t="array" ref="V49">IFERROR((SUMPRODUCT((economics!$AG$2:$AG$167=$B49)*(economics!$D$2:$D$167="whr")*economics!$AI$2:$AI$167*(_xlfn.NORM.DIST(V$3,economics!$AK$2:$AK$167,economics!$AJ$2:$AJ$167,TRUE)-_xlfn.NORM.DIST(V$30,economics!$AK$2:$AK$167,economics!$AJ$2:$AJ$167,TRUE))*economics!$AM$2:$AM$167))/(SUMPRODUCT((economics!$AG$2:$AG$167=$B49)*(economics!$D$2:$D$167="whr")*economics!$AI$2:$AI$167*(_xlfn.NORM.DIST(V$3,economics!$AK$2:$AK$167,economics!$AJ$2:$AJ$167,TRUE)-_xlfn.NORM.DIST(V$30,economics!$AK$2:$AK$167,economics!$AJ$2:$AJ$167,TRUE)))),"")</f>
        <v/>
      </c>
      <c r="W49">
        <f t="array" ref="W49">IFERROR((SUMPRODUCT((economics!$AG$2:$AG$167=$B49)*(economics!$D$2:$D$167="whr")*economics!$AI$2:$AI$167*(_xlfn.NORM.DIST(W$3,economics!$AK$2:$AK$167,economics!$AJ$2:$AJ$167,TRUE)-_xlfn.NORM.DIST(W$30,economics!$AK$2:$AK$167,economics!$AJ$2:$AJ$167,TRUE))*economics!$AM$2:$AM$167))/(SUMPRODUCT((economics!$AG$2:$AG$167=$B49)*(economics!$D$2:$D$167="whr")*economics!$AI$2:$AI$167*(_xlfn.NORM.DIST(W$3,economics!$AK$2:$AK$167,economics!$AJ$2:$AJ$167,TRUE)-_xlfn.NORM.DIST(W$30,economics!$AK$2:$AK$167,economics!$AJ$2:$AJ$167,TRUE)))),"")</f>
        <v/>
      </c>
      <c r="X49">
        <f t="array" ref="X49">IFERROR((SUMPRODUCT((economics!$AG$2:$AG$167=$B49)*(economics!$D$2:$D$167="whr")*economics!$AI$2:$AI$167*(_xlfn.NORM.DIST(X$3,economics!$AK$2:$AK$167,economics!$AJ$2:$AJ$167,TRUE)-_xlfn.NORM.DIST(X$30,economics!$AK$2:$AK$167,economics!$AJ$2:$AJ$167,TRUE))*economics!$AM$2:$AM$167))/(SUMPRODUCT((economics!$AG$2:$AG$167=$B49)*(economics!$D$2:$D$167="whr")*economics!$AI$2:$AI$167*(_xlfn.NORM.DIST(X$3,economics!$AK$2:$AK$167,economics!$AJ$2:$AJ$167,TRUE)-_xlfn.NORM.DIST(X$30,economics!$AK$2:$AK$167,economics!$AJ$2:$AJ$167,TRUE)))),"")</f>
        <v/>
      </c>
      <c r="Y49">
        <f t="array" ref="Y49">IFERROR((SUMPRODUCT((economics!$AG$2:$AG$167=$B49)*(economics!$D$2:$D$167="whr")*economics!$AI$2:$AI$167*(_xlfn.NORM.DIST(Y$3,economics!$AK$2:$AK$167,economics!$AJ$2:$AJ$167,TRUE)-_xlfn.NORM.DIST(Y$30,economics!$AK$2:$AK$167,economics!$AJ$2:$AJ$167,TRUE))*economics!$AM$2:$AM$167))/(SUMPRODUCT((economics!$AG$2:$AG$167=$B49)*(economics!$D$2:$D$167="whr")*economics!$AI$2:$AI$167*(_xlfn.NORM.DIST(Y$3,economics!$AK$2:$AK$167,economics!$AJ$2:$AJ$167,TRUE)-_xlfn.NORM.DIST(Y$30,economics!$AK$2:$AK$167,economics!$AJ$2:$AJ$167,TRUE)))),"")</f>
        <v/>
      </c>
      <c r="Z49">
        <f t="array" ref="Z49">IFERROR((SUMPRODUCT((economics!$AG$2:$AG$167=$B49)*(economics!$D$2:$D$167="whr")*economics!$AI$2:$AI$167*(_xlfn.NORM.DIST(Z$3,economics!$AK$2:$AK$167,economics!$AJ$2:$AJ$167,TRUE)-_xlfn.NORM.DIST(Z$30,economics!$AK$2:$AK$167,economics!$AJ$2:$AJ$167,TRUE))*economics!$AM$2:$AM$167))/(SUMPRODUCT((economics!$AG$2:$AG$167=$B49)*(economics!$D$2:$D$167="whr")*economics!$AI$2:$AI$167*(_xlfn.NORM.DIST(Z$3,economics!$AK$2:$AK$167,economics!$AJ$2:$AJ$167,TRUE)-_xlfn.NORM.DIST(Z$30,economics!$AK$2:$AK$167,economics!$AJ$2:$AJ$167,TRUE)))),"")</f>
        <v/>
      </c>
      <c r="AA49">
        <f t="array" ref="AA49">IFERROR((SUMPRODUCT((economics!$AG$2:$AG$167=$B49)*(economics!$D$2:$D$167="whr")*economics!$AI$2:$AI$167*(_xlfn.NORM.DIST(AA$3,economics!$AK$2:$AK$167,economics!$AJ$2:$AJ$167,TRUE)-_xlfn.NORM.DIST(AA$30,economics!$AK$2:$AK$167,economics!$AJ$2:$AJ$167,TRUE))*economics!$AM$2:$AM$167))/(SUMPRODUCT((economics!$AG$2:$AG$167=$B49)*(economics!$D$2:$D$167="whr")*economics!$AI$2:$AI$167*(_xlfn.NORM.DIST(AA$3,economics!$AK$2:$AK$167,economics!$AJ$2:$AJ$167,TRUE)-_xlfn.NORM.DIST(AA$30,economics!$AK$2:$AK$167,economics!$AJ$2:$AJ$167,TRUE)))),"")</f>
        <v/>
      </c>
      <c r="AB49">
        <f t="array" ref="AB49">IFERROR((SUMPRODUCT((economics!$AG$2:$AG$167=$B49)*(economics!$D$2:$D$167="whr")*economics!$AI$2:$AI$167*(_xlfn.NORM.DIST(AB$3,economics!$AK$2:$AK$167,economics!$AJ$2:$AJ$167,TRUE)-_xlfn.NORM.DIST(AB$30,economics!$AK$2:$AK$167,economics!$AJ$2:$AJ$167,TRUE))*economics!$AM$2:$AM$167))/(SUMPRODUCT((economics!$AG$2:$AG$167=$B49)*(economics!$D$2:$D$167="whr")*economics!$AI$2:$AI$167*(_xlfn.NORM.DIST(AB$3,economics!$AK$2:$AK$167,economics!$AJ$2:$AJ$167,TRUE)-_xlfn.NORM.DIST(AB$30,economics!$AK$2:$AK$167,economics!$AJ$2:$AJ$167,TRUE)))),"")</f>
        <v/>
      </c>
      <c r="AC49">
        <f t="array" ref="AC49">IFERROR((SUMPRODUCT((economics!$AG$2:$AG$167=$B49)*(economics!$D$2:$D$167="whr")*economics!$AI$2:$AI$167*(_xlfn.NORM.DIST(AC$3,economics!$AK$2:$AK$167,economics!$AJ$2:$AJ$167,TRUE)-_xlfn.NORM.DIST(AC$30,economics!$AK$2:$AK$167,economics!$AJ$2:$AJ$167,TRUE))*economics!$AM$2:$AM$167))/(SUMPRODUCT((economics!$AG$2:$AG$167=$B49)*(economics!$D$2:$D$167="whr")*economics!$AI$2:$AI$167*(_xlfn.NORM.DIST(AC$3,economics!$AK$2:$AK$167,economics!$AJ$2:$AJ$167,TRUE)-_xlfn.NORM.DIST(AC$30,economics!$AK$2:$AK$167,economics!$AJ$2:$AJ$167,TRUE)))),"")</f>
        <v/>
      </c>
      <c r="AD49">
        <f t="array" ref="AD49">IFERROR((SUMPRODUCT((economics!$AG$2:$AG$167=$B49)*(economics!$D$2:$D$167="whr")*economics!$AI$2:$AI$167*(_xlfn.NORM.DIST(AD$3,economics!$AK$2:$AK$167,economics!$AJ$2:$AJ$167,TRUE)-_xlfn.NORM.DIST(AD$30,economics!$AK$2:$AK$167,economics!$AJ$2:$AJ$167,TRUE))*economics!$AM$2:$AM$167))/(SUMPRODUCT((economics!$AG$2:$AG$167=$B49)*(economics!$D$2:$D$167="whr")*economics!$AI$2:$AI$167*(_xlfn.NORM.DIST(AD$3,economics!$AK$2:$AK$167,economics!$AJ$2:$AJ$167,TRUE)-_xlfn.NORM.DIST(AD$30,economics!$AK$2:$AK$167,economics!$AJ$2:$AJ$167,TRUE)))),"")</f>
        <v/>
      </c>
      <c r="AE49">
        <f t="array" ref="AE49">IFERROR((SUMPRODUCT((economics!$AG$2:$AG$167=$B49)*(economics!$D$2:$D$167="whr")*economics!$AI$2:$AI$167*(_xlfn.NORM.DIST(AE$3,economics!$AK$2:$AK$167,economics!$AJ$2:$AJ$167,TRUE)-_xlfn.NORM.DIST(AE$30,economics!$AK$2:$AK$167,economics!$AJ$2:$AJ$167,TRUE))*economics!$AM$2:$AM$167))/(SUMPRODUCT((economics!$AG$2:$AG$167=$B49)*(economics!$D$2:$D$167="whr")*economics!$AI$2:$AI$167*(_xlfn.NORM.DIST(AE$3,economics!$AK$2:$AK$167,economics!$AJ$2:$AJ$167,TRUE)-_xlfn.NORM.DIST(AE$30,economics!$AK$2:$AK$167,economics!$AJ$2:$AJ$167,TRUE)))),"")</f>
        <v/>
      </c>
      <c r="AF49">
        <f t="array" ref="AF49">IFERROR((SUMPRODUCT((economics!$AG$2:$AG$167=$B49)*(economics!$D$2:$D$167="whr")*economics!$AI$2:$AI$167*(_xlfn.NORM.DIST(AF$3,economics!$AK$2:$AK$167,economics!$AJ$2:$AJ$167,TRUE)-_xlfn.NORM.DIST(AF$30,economics!$AK$2:$AK$167,economics!$AJ$2:$AJ$167,TRUE))*economics!$AM$2:$AM$167))/(SUMPRODUCT((economics!$AG$2:$AG$167=$B49)*(economics!$D$2:$D$167="whr")*economics!$AI$2:$AI$167*(_xlfn.NORM.DIST(AF$3,economics!$AK$2:$AK$167,economics!$AJ$2:$AJ$167,TRUE)-_xlfn.NORM.DIST(AF$30,economics!$AK$2:$AK$167,economics!$AJ$2:$AJ$167,TRUE)))),"")</f>
        <v/>
      </c>
      <c r="AG49">
        <f t="array" ref="AG49">IFERROR((SUMPRODUCT((economics!$AG$2:$AG$167=$B49)*(economics!$D$2:$D$167="whr")*economics!$AI$2:$AI$167*(_xlfn.NORM.DIST(AG$3,economics!$AK$2:$AK$167,economics!$AJ$2:$AJ$167,TRUE)-_xlfn.NORM.DIST(AG$30,economics!$AK$2:$AK$167,economics!$AJ$2:$AJ$167,TRUE))*economics!$AM$2:$AM$167))/(SUMPRODUCT((economics!$AG$2:$AG$167=$B49)*(economics!$D$2:$D$167="whr")*economics!$AI$2:$AI$167*(_xlfn.NORM.DIST(AG$3,economics!$AK$2:$AK$167,economics!$AJ$2:$AJ$167,TRUE)-_xlfn.NORM.DIST(AG$30,economics!$AK$2:$AK$167,economics!$AJ$2:$AJ$167,TRUE)))),"")</f>
        <v/>
      </c>
      <c r="AH49">
        <f t="array" ref="AH49">IFERROR((SUMPRODUCT((economics!$AG$2:$AG$167=$B49)*(economics!$D$2:$D$167="whr")*economics!$AI$2:$AI$167*(_xlfn.NORM.DIST(AH$3,economics!$AK$2:$AK$167,economics!$AJ$2:$AJ$167,TRUE)-_xlfn.NORM.DIST(AH$30,economics!$AK$2:$AK$167,economics!$AJ$2:$AJ$167,TRUE))*economics!$AM$2:$AM$167))/(SUMPRODUCT((economics!$AG$2:$AG$167=$B49)*(economics!$D$2:$D$167="whr")*economics!$AI$2:$AI$167*(_xlfn.NORM.DIST(AH$3,economics!$AK$2:$AK$167,economics!$AJ$2:$AJ$167,TRUE)-_xlfn.NORM.DIST(AH$30,economics!$AK$2:$AK$167,economics!$AJ$2:$AJ$167,TRUE)))),"")</f>
        <v/>
      </c>
      <c r="AI49">
        <f t="array" ref="AI49">IFERROR((SUMPRODUCT((economics!$AG$2:$AG$167=$B49)*(economics!$D$2:$D$167="whr")*economics!$AI$2:$AI$167*(_xlfn.NORM.DIST(AI$3,economics!$AK$2:$AK$167,economics!$AJ$2:$AJ$167,TRUE)-_xlfn.NORM.DIST(AI$30,economics!$AK$2:$AK$167,economics!$AJ$2:$AJ$167,TRUE))*economics!$AM$2:$AM$167))/(SUMPRODUCT((economics!$AG$2:$AG$167=$B49)*(economics!$D$2:$D$167="whr")*economics!$AI$2:$AI$167*(_xlfn.NORM.DIST(AI$3,economics!$AK$2:$AK$167,economics!$AJ$2:$AJ$167,TRUE)-_xlfn.NORM.DIST(AI$30,economics!$AK$2:$AK$167,economics!$AJ$2:$AJ$167,TRUE)))),"")</f>
        <v/>
      </c>
      <c r="AJ49">
        <f t="array" ref="AJ49">IFERROR((SUMPRODUCT((economics!$AG$2:$AG$167=$B49)*(economics!$D$2:$D$167="whr")*economics!$AI$2:$AI$167*(_xlfn.NORM.DIST(AJ$3,economics!$AK$2:$AK$167,economics!$AJ$2:$AJ$167,TRUE)-_xlfn.NORM.DIST(AJ$30,economics!$AK$2:$AK$167,economics!$AJ$2:$AJ$167,TRUE))*economics!$AM$2:$AM$167))/(SUMPRODUCT((economics!$AG$2:$AG$167=$B49)*(economics!$D$2:$D$167="whr")*economics!$AI$2:$AI$167*(_xlfn.NORM.DIST(AJ$3,economics!$AK$2:$AK$167,economics!$AJ$2:$AJ$167,TRUE)-_xlfn.NORM.DIST(AJ$30,economics!$AK$2:$AK$167,economics!$AJ$2:$AJ$167,TRUE)))),"")</f>
        <v/>
      </c>
      <c r="AK49">
        <f t="array" ref="AK49">IFERROR((SUMPRODUCT((economics!$AG$2:$AG$167=$B49)*(economics!$D$2:$D$167="whr")*economics!$AI$2:$AI$167*(_xlfn.NORM.DIST(AK$3,economics!$AK$2:$AK$167,economics!$AJ$2:$AJ$167,TRUE)-_xlfn.NORM.DIST(AK$30,economics!$AK$2:$AK$167,economics!$AJ$2:$AJ$167,TRUE))*economics!$AM$2:$AM$167))/(SUMPRODUCT((economics!$AG$2:$AG$167=$B49)*(economics!$D$2:$D$167="whr")*economics!$AI$2:$AI$167*(_xlfn.NORM.DIST(AK$3,economics!$AK$2:$AK$167,economics!$AJ$2:$AJ$167,TRUE)-_xlfn.NORM.DIST(AK$30,economics!$AK$2:$AK$167,economics!$AJ$2:$AJ$167,TRUE)))),"")</f>
        <v/>
      </c>
      <c r="AL49">
        <f t="array" ref="AL49">IFERROR((SUMPRODUCT((economics!$AG$2:$AG$167=$B49)*(economics!$D$2:$D$167="whr")*economics!$AI$2:$AI$167*(_xlfn.NORM.DIST(AL$3,economics!$AK$2:$AK$167,economics!$AJ$2:$AJ$167,TRUE)-_xlfn.NORM.DIST(AL$30,economics!$AK$2:$AK$167,economics!$AJ$2:$AJ$167,TRUE))*economics!$AM$2:$AM$167))/(SUMPRODUCT((economics!$AG$2:$AG$167=$B49)*(economics!$D$2:$D$167="whr")*economics!$AI$2:$AI$167*(_xlfn.NORM.DIST(AL$3,economics!$AK$2:$AK$167,economics!$AJ$2:$AJ$167,TRUE)-_xlfn.NORM.DIST(AL$30,economics!$AK$2:$AK$167,economics!$AJ$2:$AJ$167,TRUE)))),"")</f>
        <v/>
      </c>
      <c r="AM49">
        <f t="array" ref="AM49">IFERROR((SUMPRODUCT((economics!$AG$2:$AG$167=$B49)*(economics!$D$2:$D$167="whr")*economics!$AI$2:$AI$167*(_xlfn.NORM.DIST(AM$3,economics!$AK$2:$AK$167,economics!$AJ$2:$AJ$167,TRUE)-_xlfn.NORM.DIST(AM$30,economics!$AK$2:$AK$167,economics!$AJ$2:$AJ$167,TRUE))*economics!$AM$2:$AM$167))/(SUMPRODUCT((economics!$AG$2:$AG$167=$B49)*(economics!$D$2:$D$167="whr")*economics!$AI$2:$AI$167*(_xlfn.NORM.DIST(AM$3,economics!$AK$2:$AK$167,economics!$AJ$2:$AJ$167,TRUE)-_xlfn.NORM.DIST(AM$30,economics!$AK$2:$AK$167,economics!$AJ$2:$AJ$167,TRUE)))),"")</f>
        <v/>
      </c>
      <c r="AN49">
        <f t="array" ref="AN49">IFERROR((SUMPRODUCT((economics!$AG$2:$AG$167=$B49)*(economics!$D$2:$D$167="whr")*economics!$AI$2:$AI$167*(_xlfn.NORM.DIST(AN$3,economics!$AK$2:$AK$167,economics!$AJ$2:$AJ$167,TRUE)-_xlfn.NORM.DIST(AN$30,economics!$AK$2:$AK$167,economics!$AJ$2:$AJ$167,TRUE))*economics!$AM$2:$AM$167))/(SUMPRODUCT((economics!$AG$2:$AG$167=$B49)*(economics!$D$2:$D$167="whr")*economics!$AI$2:$AI$167*(_xlfn.NORM.DIST(AN$3,economics!$AK$2:$AK$167,economics!$AJ$2:$AJ$167,TRUE)-_xlfn.NORM.DIST(AN$30,economics!$AK$2:$AK$167,economics!$AJ$2:$AJ$167,TRUE)))),"")</f>
        <v/>
      </c>
      <c r="AO49">
        <f t="array" ref="AO49">IFERROR((SUMPRODUCT((economics!$AG$2:$AG$167=$B49)*(economics!$D$2:$D$167="whr")*economics!$AI$2:$AI$167*(_xlfn.NORM.DIST(AO$3,economics!$AK$2:$AK$167,economics!$AJ$2:$AJ$167,TRUE)-_xlfn.NORM.DIST(AO$30,economics!$AK$2:$AK$167,economics!$AJ$2:$AJ$167,TRUE))*economics!$AM$2:$AM$167))/(SUMPRODUCT((economics!$AG$2:$AG$167=$B49)*(economics!$D$2:$D$167="whr")*economics!$AI$2:$AI$167*(_xlfn.NORM.DIST(AO$3,economics!$AK$2:$AK$167,economics!$AJ$2:$AJ$167,TRUE)-_xlfn.NORM.DIST(AO$30,economics!$AK$2:$AK$167,economics!$AJ$2:$AJ$167,TRUE)))),"")</f>
        <v/>
      </c>
      <c r="AP49">
        <f t="array" ref="AP49">IFERROR((SUMPRODUCT((economics!$AG$2:$AG$167=$B49)*(economics!$D$2:$D$167="whr")*economics!$AI$2:$AI$167*(_xlfn.NORM.DIST(AP$3,economics!$AK$2:$AK$167,economics!$AJ$2:$AJ$167,TRUE)-_xlfn.NORM.DIST(AP$30,economics!$AK$2:$AK$167,economics!$AJ$2:$AJ$167,TRUE))*economics!$AM$2:$AM$167))/(SUMPRODUCT((economics!$AG$2:$AG$167=$B49)*(economics!$D$2:$D$167="whr")*economics!$AI$2:$AI$167*(_xlfn.NORM.DIST(AP$3,economics!$AK$2:$AK$167,economics!$AJ$2:$AJ$167,TRUE)-_xlfn.NORM.DIST(AP$30,economics!$AK$2:$AK$167,economics!$AJ$2:$AJ$167,TRUE)))),"")</f>
        <v/>
      </c>
      <c r="AQ49">
        <f t="array" ref="AQ49">IFERROR((SUMPRODUCT((economics!$AG$2:$AG$167=$B49)*(economics!$D$2:$D$167="whr")*economics!$AI$2:$AI$167*(_xlfn.NORM.DIST(AQ$3,economics!$AK$2:$AK$167,economics!$AJ$2:$AJ$167,TRUE)-_xlfn.NORM.DIST(AQ$30,economics!$AK$2:$AK$167,economics!$AJ$2:$AJ$167,TRUE))*economics!$AM$2:$AM$167))/(SUMPRODUCT((economics!$AG$2:$AG$167=$B49)*(economics!$D$2:$D$167="whr")*economics!$AI$2:$AI$167*(_xlfn.NORM.DIST(AQ$3,economics!$AK$2:$AK$167,economics!$AJ$2:$AJ$167,TRUE)-_xlfn.NORM.DIST(AQ$30,economics!$AK$2:$AK$167,economics!$AJ$2:$AJ$167,TRUE)))),"")</f>
        <v/>
      </c>
      <c r="AR49">
        <f t="array" ref="AR49">IFERROR((SUMPRODUCT((economics!$AG$2:$AG$167=$B49)*(economics!$D$2:$D$167="whr")*economics!$AI$2:$AI$167*(_xlfn.NORM.DIST(AR$3,economics!$AK$2:$AK$167,economics!$AJ$2:$AJ$167,TRUE)-_xlfn.NORM.DIST(AR$30,economics!$AK$2:$AK$167,economics!$AJ$2:$AJ$167,TRUE))*economics!$AM$2:$AM$167))/(SUMPRODUCT((economics!$AG$2:$AG$167=$B49)*(economics!$D$2:$D$167="whr")*economics!$AI$2:$AI$167*(_xlfn.NORM.DIST(AR$3,economics!$AK$2:$AK$167,economics!$AJ$2:$AJ$167,TRUE)-_xlfn.NORM.DIST(AR$30,economics!$AK$2:$AK$167,economics!$AJ$2:$AJ$167,TRUE)))),"")</f>
        <v/>
      </c>
      <c r="AS49">
        <f t="array" ref="AS49">IFERROR((SUMPRODUCT((economics!$AG$2:$AG$167=$B49)*(economics!$D$2:$D$167="whr")*economics!$AI$2:$AI$167*(_xlfn.NORM.DIST(AS$3,economics!$AK$2:$AK$167,economics!$AJ$2:$AJ$167,TRUE)-_xlfn.NORM.DIST(AS$30,economics!$AK$2:$AK$167,economics!$AJ$2:$AJ$167,TRUE))*economics!$AM$2:$AM$167))/(SUMPRODUCT((economics!$AG$2:$AG$167=$B49)*(economics!$D$2:$D$167="whr")*economics!$AI$2:$AI$167*(_xlfn.NORM.DIST(AS$3,economics!$AK$2:$AK$167,economics!$AJ$2:$AJ$167,TRUE)-_xlfn.NORM.DIST(AS$30,economics!$AK$2:$AK$167,economics!$AJ$2:$AJ$167,TRUE)))),"")</f>
        <v/>
      </c>
      <c r="AT49">
        <f t="array" ref="AT49">IFERROR((SUMPRODUCT((economics!$AG$2:$AG$167=$B49)*(economics!$D$2:$D$167="whr")*economics!$AI$2:$AI$167*(_xlfn.NORM.DIST(AT$3,economics!$AK$2:$AK$167,economics!$AJ$2:$AJ$167,TRUE)-_xlfn.NORM.DIST(AT$30,economics!$AK$2:$AK$167,economics!$AJ$2:$AJ$167,TRUE))*economics!$AM$2:$AM$167))/(SUMPRODUCT((economics!$AG$2:$AG$167=$B49)*(economics!$D$2:$D$167="whr")*economics!$AI$2:$AI$167*(_xlfn.NORM.DIST(AT$3,economics!$AK$2:$AK$167,economics!$AJ$2:$AJ$167,TRUE)-_xlfn.NORM.DIST(AT$30,economics!$AK$2:$AK$167,economics!$AJ$2:$AJ$167,TRUE)))),"")</f>
        <v/>
      </c>
      <c r="AU49">
        <f t="array" ref="AU49">IFERROR((SUMPRODUCT((economics!$AG$2:$AG$167=$B49)*(economics!$D$2:$D$167="whr")*economics!$AI$2:$AI$167*(_xlfn.NORM.DIST(AU$3,economics!$AK$2:$AK$167,economics!$AJ$2:$AJ$167,TRUE)-_xlfn.NORM.DIST(AU$30,economics!$AK$2:$AK$167,economics!$AJ$2:$AJ$167,TRUE))*economics!$AM$2:$AM$167))/(SUMPRODUCT((economics!$AG$2:$AG$167=$B49)*(economics!$D$2:$D$167="whr")*economics!$AI$2:$AI$167*(_xlfn.NORM.DIST(AU$3,economics!$AK$2:$AK$167,economics!$AJ$2:$AJ$167,TRUE)-_xlfn.NORM.DIST(AU$30,economics!$AK$2:$AK$167,economics!$AJ$2:$AJ$167,TRUE)))),"")</f>
        <v/>
      </c>
      <c r="AV49">
        <f t="array" ref="AV49">IFERROR((SUMPRODUCT((economics!$AG$2:$AG$167=$B49)*(economics!$D$2:$D$167="whr")*economics!$AI$2:$AI$167*(_xlfn.NORM.DIST(AV$3,economics!$AK$2:$AK$167,economics!$AJ$2:$AJ$167,TRUE)-_xlfn.NORM.DIST(AV$30,economics!$AK$2:$AK$167,economics!$AJ$2:$AJ$167,TRUE))*economics!$AM$2:$AM$167))/(SUMPRODUCT((economics!$AG$2:$AG$167=$B49)*(economics!$D$2:$D$167="whr")*economics!$AI$2:$AI$167*(_xlfn.NORM.DIST(AV$3,economics!$AK$2:$AK$167,economics!$AJ$2:$AJ$167,TRUE)-_xlfn.NORM.DIST(AV$30,economics!$AK$2:$AK$167,economics!$AJ$2:$AJ$167,TRUE)))),"")</f>
        <v/>
      </c>
      <c r="AW49">
        <f t="array" ref="AW49">IFERROR((SUMPRODUCT((economics!$AG$2:$AG$167=$B49)*(economics!$D$2:$D$167="whr")*economics!$AI$2:$AI$167*(_xlfn.NORM.DIST(AW$3,economics!$AK$2:$AK$167,economics!$AJ$2:$AJ$167,TRUE)-_xlfn.NORM.DIST(AW$30,economics!$AK$2:$AK$167,economics!$AJ$2:$AJ$167,TRUE))*economics!$AM$2:$AM$167))/(SUMPRODUCT((economics!$AG$2:$AG$167=$B49)*(economics!$D$2:$D$167="whr")*economics!$AI$2:$AI$167*(_xlfn.NORM.DIST(AW$3,economics!$AK$2:$AK$167,economics!$AJ$2:$AJ$167,TRUE)-_xlfn.NORM.DIST(AW$30,economics!$AK$2:$AK$167,economics!$AJ$2:$AJ$167,TRUE)))),"")</f>
        <v/>
      </c>
      <c r="AX49">
        <f t="array" ref="AX49">IFERROR((SUMPRODUCT((economics!$AG$2:$AG$167=$B49)*(economics!$D$2:$D$167="whr")*economics!$AI$2:$AI$167*(_xlfn.NORM.DIST(AX$3,economics!$AK$2:$AK$167,economics!$AJ$2:$AJ$167,TRUE)-_xlfn.NORM.DIST(AX$30,economics!$AK$2:$AK$167,economics!$AJ$2:$AJ$167,TRUE))*economics!$AM$2:$AM$167))/(SUMPRODUCT((economics!$AG$2:$AG$167=$B49)*(economics!$D$2:$D$167="whr")*economics!$AI$2:$AI$167*(_xlfn.NORM.DIST(AX$3,economics!$AK$2:$AK$167,economics!$AJ$2:$AJ$167,TRUE)-_xlfn.NORM.DIST(AX$30,economics!$AK$2:$AK$167,economics!$AJ$2:$AJ$167,TRUE)))),"")</f>
        <v/>
      </c>
      <c r="AY49">
        <f t="array" ref="AY49">IFERROR((SUMPRODUCT((economics!$AG$2:$AG$167=$B49)*(economics!$D$2:$D$167="whr")*economics!$AI$2:$AI$167*(_xlfn.NORM.DIST(AY$3,economics!$AK$2:$AK$167,economics!$AJ$2:$AJ$167,TRUE)-_xlfn.NORM.DIST(AY$30,economics!$AK$2:$AK$167,economics!$AJ$2:$AJ$167,TRUE))*economics!$AM$2:$AM$167))/(SUMPRODUCT((economics!$AG$2:$AG$167=$B49)*(economics!$D$2:$D$167="whr")*economics!$AI$2:$AI$167*(_xlfn.NORM.DIST(AY$3,economics!$AK$2:$AK$167,economics!$AJ$2:$AJ$167,TRUE)-_xlfn.NORM.DIST(AY$30,economics!$AK$2:$AK$167,economics!$AJ$2:$AJ$167,TRUE)))),"")</f>
        <v/>
      </c>
      <c r="AZ49">
        <f t="array" ref="AZ49">IFERROR((SUMPRODUCT((economics!$AG$2:$AG$167=$B49)*(economics!$D$2:$D$167="whr")*economics!$AI$2:$AI$167*(_xlfn.NORM.DIST(AZ$3,economics!$AK$2:$AK$167,economics!$AJ$2:$AJ$167,TRUE)-_xlfn.NORM.DIST(AZ$30,economics!$AK$2:$AK$167,economics!$AJ$2:$AJ$167,TRUE))*economics!$AM$2:$AM$167))/(SUMPRODUCT((economics!$AG$2:$AG$167=$B49)*(economics!$D$2:$D$167="whr")*economics!$AI$2:$AI$167*(_xlfn.NORM.DIST(AZ$3,economics!$AK$2:$AK$167,economics!$AJ$2:$AJ$167,TRUE)-_xlfn.NORM.DIST(AZ$30,economics!$AK$2:$AK$167,economics!$AJ$2:$AJ$167,TRUE)))),"")</f>
        <v/>
      </c>
      <c r="BA49">
        <f t="array" ref="BA49">IFERROR((SUMPRODUCT((economics!$AG$2:$AG$167=$B49)*(economics!$D$2:$D$167="whr")*economics!$AI$2:$AI$167*(_xlfn.NORM.DIST(BA$3,economics!$AK$2:$AK$167,economics!$AJ$2:$AJ$167,TRUE)-_xlfn.NORM.DIST(BA$30,economics!$AK$2:$AK$167,economics!$AJ$2:$AJ$167,TRUE))*economics!$AM$2:$AM$167))/(SUMPRODUCT((economics!$AG$2:$AG$167=$B49)*(economics!$D$2:$D$167="whr")*economics!$AI$2:$AI$167*(_xlfn.NORM.DIST(BA$3,economics!$AK$2:$AK$167,economics!$AJ$2:$AJ$167,TRUE)-_xlfn.NORM.DIST(BA$30,economics!$AK$2:$AK$167,economics!$AJ$2:$AJ$167,TRUE)))),"")</f>
        <v/>
      </c>
      <c r="BB49">
        <f t="array" ref="BB49">IFERROR((SUMPRODUCT((economics!$AG$2:$AG$167=$B49)*(economics!$D$2:$D$167="whr")*economics!$AI$2:$AI$167*(_xlfn.NORM.DIST(BB$3,economics!$AK$2:$AK$167,economics!$AJ$2:$AJ$167,TRUE)-_xlfn.NORM.DIST(BB$30,economics!$AK$2:$AK$167,economics!$AJ$2:$AJ$167,TRUE))*economics!$AM$2:$AM$167))/(SUMPRODUCT((economics!$AG$2:$AG$167=$B49)*(economics!$D$2:$D$167="whr")*economics!$AI$2:$AI$167*(_xlfn.NORM.DIST(BB$3,economics!$AK$2:$AK$167,economics!$AJ$2:$AJ$167,TRUE)-_xlfn.NORM.DIST(BB$30,economics!$AK$2:$AK$167,economics!$AJ$2:$AJ$167,TRUE)))),"")</f>
        <v/>
      </c>
      <c r="BC49">
        <f t="array" ref="BC49">IFERROR((SUMPRODUCT((economics!$AG$2:$AG$167=$B49)*(economics!$D$2:$D$167="whr")*economics!$AI$2:$AI$167*(_xlfn.NORM.DIST(BC$3,economics!$AK$2:$AK$167,economics!$AJ$2:$AJ$167,TRUE)-_xlfn.NORM.DIST(BC$30,economics!$AK$2:$AK$167,economics!$AJ$2:$AJ$167,TRUE))*economics!$AM$2:$AM$167))/(SUMPRODUCT((economics!$AG$2:$AG$167=$B49)*(economics!$D$2:$D$167="whr")*economics!$AI$2:$AI$167*(_xlfn.NORM.DIST(BC$3,economics!$AK$2:$AK$167,economics!$AJ$2:$AJ$167,TRUE)-_xlfn.NORM.DIST(BC$30,economics!$AK$2:$AK$167,economics!$AJ$2:$AJ$167,TRUE)))),"")</f>
        <v/>
      </c>
      <c r="BD49">
        <f t="array" ref="BD49">IFERROR((SUMPRODUCT((economics!$AG$2:$AG$167=$B49)*(economics!$D$2:$D$167="whr")*economics!$AI$2:$AI$167*(_xlfn.NORM.DIST(BD$3,economics!$AK$2:$AK$167,economics!$AJ$2:$AJ$167,TRUE)-_xlfn.NORM.DIST(BD$30,economics!$AK$2:$AK$167,economics!$AJ$2:$AJ$167,TRUE))*economics!$AM$2:$AM$167))/(SUMPRODUCT((economics!$AG$2:$AG$167=$B49)*(economics!$D$2:$D$167="whr")*economics!$AI$2:$AI$167*(_xlfn.NORM.DIST(BD$3,economics!$AK$2:$AK$167,economics!$AJ$2:$AJ$167,TRUE)-_xlfn.NORM.DIST(BD$30,economics!$AK$2:$AK$167,economics!$AJ$2:$AJ$167,TRUE)))),"")</f>
        <v/>
      </c>
      <c r="BE49">
        <f t="array" ref="BE49">IFERROR((SUMPRODUCT((economics!$AG$2:$AG$167=$B49)*(economics!$D$2:$D$167="whr")*economics!$AI$2:$AI$167*(_xlfn.NORM.DIST(BE$3,economics!$AK$2:$AK$167,economics!$AJ$2:$AJ$167,TRUE)-_xlfn.NORM.DIST(BE$30,economics!$AK$2:$AK$167,economics!$AJ$2:$AJ$167,TRUE))*economics!$AM$2:$AM$167))/(SUMPRODUCT((economics!$AG$2:$AG$167=$B49)*(economics!$D$2:$D$167="whr")*economics!$AI$2:$AI$167*(_xlfn.NORM.DIST(BE$3,economics!$AK$2:$AK$167,economics!$AJ$2:$AJ$167,TRUE)-_xlfn.NORM.DIST(BE$30,economics!$AK$2:$AK$167,economics!$AJ$2:$AJ$167,TRUE)))),"")</f>
        <v/>
      </c>
      <c r="BF49">
        <f t="array" ref="BF49">IFERROR((SUMPRODUCT((economics!$AG$2:$AG$167=$B49)*(economics!$D$2:$D$167="whr")*economics!$AI$2:$AI$167*(_xlfn.NORM.DIST(BF$3,economics!$AK$2:$AK$167,economics!$AJ$2:$AJ$167,TRUE)-_xlfn.NORM.DIST(BF$30,economics!$AK$2:$AK$167,economics!$AJ$2:$AJ$167,TRUE))*economics!$AM$2:$AM$167))/(SUMPRODUCT((economics!$AG$2:$AG$167=$B49)*(economics!$D$2:$D$167="whr")*economics!$AI$2:$AI$167*(_xlfn.NORM.DIST(BF$3,economics!$AK$2:$AK$167,economics!$AJ$2:$AJ$167,TRUE)-_xlfn.NORM.DIST(BF$30,economics!$AK$2:$AK$167,economics!$AJ$2:$AJ$167,TRUE)))),"")</f>
        <v/>
      </c>
      <c r="BG49">
        <f t="array" ref="BG49">IFERROR((SUMPRODUCT((economics!$AG$2:$AG$167=$B49)*(economics!$D$2:$D$167="whr")*economics!$AI$2:$AI$167*(_xlfn.NORM.DIST(BG$3,economics!$AK$2:$AK$167,economics!$AJ$2:$AJ$167,TRUE)-_xlfn.NORM.DIST(BG$30,economics!$AK$2:$AK$167,economics!$AJ$2:$AJ$167,TRUE))*economics!$AM$2:$AM$167))/(SUMPRODUCT((economics!$AG$2:$AG$167=$B49)*(economics!$D$2:$D$167="whr")*economics!$AI$2:$AI$167*(_xlfn.NORM.DIST(BG$3,economics!$AK$2:$AK$167,economics!$AJ$2:$AJ$167,TRUE)-_xlfn.NORM.DIST(BG$30,economics!$AK$2:$AK$167,economics!$AJ$2:$AJ$167,TRUE)))),"")</f>
        <v/>
      </c>
      <c r="BH49">
        <f t="array" ref="BH49">IFERROR((SUMPRODUCT((economics!$AG$2:$AG$167=$B49)*(economics!$D$2:$D$167="whr")*economics!$AI$2:$AI$167*(_xlfn.NORM.DIST(BH$3,economics!$AK$2:$AK$167,economics!$AJ$2:$AJ$167,TRUE)-_xlfn.NORM.DIST(BH$30,economics!$AK$2:$AK$167,economics!$AJ$2:$AJ$167,TRUE))*economics!$AM$2:$AM$167))/(SUMPRODUCT((economics!$AG$2:$AG$167=$B49)*(economics!$D$2:$D$167="whr")*economics!$AI$2:$AI$167*(_xlfn.NORM.DIST(BH$3,economics!$AK$2:$AK$167,economics!$AJ$2:$AJ$167,TRUE)-_xlfn.NORM.DIST(BH$30,economics!$AK$2:$AK$167,economics!$AJ$2:$AJ$167,TRUE)))),"")</f>
        <v/>
      </c>
      <c r="BI49">
        <f t="array" ref="BI49">IFERROR((SUMPRODUCT((economics!$AG$2:$AG$167=$B49)*(economics!$D$2:$D$167="whr")*economics!$AI$2:$AI$167*(_xlfn.NORM.DIST(BI$3,economics!$AK$2:$AK$167,economics!$AJ$2:$AJ$167,TRUE)-_xlfn.NORM.DIST(BI$30,economics!$AK$2:$AK$167,economics!$AJ$2:$AJ$167,TRUE))*economics!$AM$2:$AM$167))/(SUMPRODUCT((economics!$AG$2:$AG$167=$B49)*(economics!$D$2:$D$167="whr")*economics!$AI$2:$AI$167*(_xlfn.NORM.DIST(BI$3,economics!$AK$2:$AK$167,economics!$AJ$2:$AJ$167,TRUE)-_xlfn.NORM.DIST(BI$30,economics!$AK$2:$AK$167,economics!$AJ$2:$AJ$167,TRUE)))),"")</f>
        <v/>
      </c>
      <c r="BJ49">
        <f t="array" ref="BJ49">IFERROR((SUMPRODUCT((economics!$AG$2:$AG$167=$B49)*(economics!$D$2:$D$167="whr")*economics!$AI$2:$AI$167*(_xlfn.NORM.DIST(BJ$3,economics!$AK$2:$AK$167,economics!$AJ$2:$AJ$167,TRUE)-_xlfn.NORM.DIST(BJ$30,economics!$AK$2:$AK$167,economics!$AJ$2:$AJ$167,TRUE))*economics!$AM$2:$AM$167))/(SUMPRODUCT((economics!$AG$2:$AG$167=$B49)*(economics!$D$2:$D$167="whr")*economics!$AI$2:$AI$167*(_xlfn.NORM.DIST(BJ$3,economics!$AK$2:$AK$167,economics!$AJ$2:$AJ$167,TRUE)-_xlfn.NORM.DIST(BJ$30,economics!$AK$2:$AK$167,economics!$AJ$2:$AJ$167,TRUE)))),"")</f>
        <v/>
      </c>
      <c r="BK49">
        <f t="array" ref="BK49">IFERROR((SUMPRODUCT((economics!$AG$2:$AG$167=$B49)*(economics!$D$2:$D$167="whr")*economics!$AI$2:$AI$167*(_xlfn.NORM.DIST(BK$3,economics!$AK$2:$AK$167,economics!$AJ$2:$AJ$167,TRUE)-_xlfn.NORM.DIST(BK$30,economics!$AK$2:$AK$167,economics!$AJ$2:$AJ$167,TRUE))*economics!$AM$2:$AM$167))/(SUMPRODUCT((economics!$AG$2:$AG$167=$B49)*(economics!$D$2:$D$167="whr")*economics!$AI$2:$AI$167*(_xlfn.NORM.DIST(BK$3,economics!$AK$2:$AK$167,economics!$AJ$2:$AJ$167,TRUE)-_xlfn.NORM.DIST(BK$30,economics!$AK$2:$AK$167,economics!$AJ$2:$AJ$167,TRUE)))),"")</f>
        <v/>
      </c>
      <c r="BL49">
        <f t="array" ref="BL49">IFERROR((SUMPRODUCT((economics!$AG$2:$AG$167=$B49)*(economics!$D$2:$D$167="whr")*economics!$AI$2:$AI$167*(_xlfn.NORM.DIST(BL$3,economics!$AK$2:$AK$167,economics!$AJ$2:$AJ$167,TRUE)-_xlfn.NORM.DIST(BL$30,economics!$AK$2:$AK$167,economics!$AJ$2:$AJ$167,TRUE))*economics!$AM$2:$AM$167))/(SUMPRODUCT((economics!$AG$2:$AG$167=$B49)*(economics!$D$2:$D$167="whr")*economics!$AI$2:$AI$167*(_xlfn.NORM.DIST(BL$3,economics!$AK$2:$AK$167,economics!$AJ$2:$AJ$167,TRUE)-_xlfn.NORM.DIST(BL$30,economics!$AK$2:$AK$167,economics!$AJ$2:$AJ$167,TRUE)))),"")</f>
        <v/>
      </c>
      <c r="BM49">
        <f t="array" ref="BM49">IFERROR((SUMPRODUCT((economics!$AG$2:$AG$167=$B49)*(economics!$D$2:$D$167="whr")*economics!$AI$2:$AI$167*(_xlfn.NORM.DIST(BM$3,economics!$AK$2:$AK$167,economics!$AJ$2:$AJ$167,TRUE)-_xlfn.NORM.DIST(BM$30,economics!$AK$2:$AK$167,economics!$AJ$2:$AJ$167,TRUE))*economics!$AM$2:$AM$167))/(SUMPRODUCT((economics!$AG$2:$AG$167=$B49)*(economics!$D$2:$D$167="whr")*economics!$AI$2:$AI$167*(_xlfn.NORM.DIST(BM$3,economics!$AK$2:$AK$167,economics!$AJ$2:$AJ$167,TRUE)-_xlfn.NORM.DIST(BM$30,economics!$AK$2:$AK$167,economics!$AJ$2:$AJ$167,TRUE)))),"")</f>
        <v/>
      </c>
      <c r="BN49">
        <f t="array" ref="BN49">IFERROR((SUMPRODUCT((economics!$AG$2:$AG$167=$B49)*(economics!$D$2:$D$167="whr")*economics!$AI$2:$AI$167*(_xlfn.NORM.DIST(BN$3,economics!$AK$2:$AK$167,economics!$AJ$2:$AJ$167,TRUE)-_xlfn.NORM.DIST(BN$30,economics!$AK$2:$AK$167,economics!$AJ$2:$AJ$167,TRUE))*economics!$AM$2:$AM$167))/(SUMPRODUCT((economics!$AG$2:$AG$167=$B49)*(economics!$D$2:$D$167="whr")*economics!$AI$2:$AI$167*(_xlfn.NORM.DIST(BN$3,economics!$AK$2:$AK$167,economics!$AJ$2:$AJ$167,TRUE)-_xlfn.NORM.DIST(BN$30,economics!$AK$2:$AK$167,economics!$AJ$2:$AJ$167,TRUE)))),"")</f>
        <v/>
      </c>
      <c r="BO49">
        <f t="array" ref="BO49">IFERROR((SUMPRODUCT((economics!$AG$2:$AG$167=$B49)*(economics!$D$2:$D$167="whr")*economics!$AI$2:$AI$167*(_xlfn.NORM.DIST(BO$3,economics!$AK$2:$AK$167,economics!$AJ$2:$AJ$167,TRUE)-_xlfn.NORM.DIST(BO$30,economics!$AK$2:$AK$167,economics!$AJ$2:$AJ$167,TRUE))*economics!$AM$2:$AM$167))/(SUMPRODUCT((economics!$AG$2:$AG$167=$B49)*(economics!$D$2:$D$167="whr")*economics!$AI$2:$AI$167*(_xlfn.NORM.DIST(BO$3,economics!$AK$2:$AK$167,economics!$AJ$2:$AJ$167,TRUE)-_xlfn.NORM.DIST(BO$30,economics!$AK$2:$AK$167,economics!$AJ$2:$AJ$167,TRUE)))),"")</f>
        <v/>
      </c>
      <c r="BP49">
        <f t="array" ref="BP49">IFERROR((SUMPRODUCT((economics!$AG$2:$AG$167=$B49)*(economics!$D$2:$D$167="whr")*economics!$AI$2:$AI$167*(_xlfn.NORM.DIST(BP$3,economics!$AK$2:$AK$167,economics!$AJ$2:$AJ$167,TRUE)-_xlfn.NORM.DIST(BP$30,economics!$AK$2:$AK$167,economics!$AJ$2:$AJ$167,TRUE))*economics!$AM$2:$AM$167))/(SUMPRODUCT((economics!$AG$2:$AG$167=$B49)*(economics!$D$2:$D$167="whr")*economics!$AI$2:$AI$167*(_xlfn.NORM.DIST(BP$3,economics!$AK$2:$AK$167,economics!$AJ$2:$AJ$167,TRUE)-_xlfn.NORM.DIST(BP$30,economics!$AK$2:$AK$167,economics!$AJ$2:$AJ$167,TRUE)))),"")</f>
        <v/>
      </c>
      <c r="BQ49">
        <f t="array" ref="BQ49">IFERROR((SUMPRODUCT((economics!$AG$2:$AG$167=$B49)*(economics!$D$2:$D$167="whr")*economics!$AI$2:$AI$167*(_xlfn.NORM.DIST(BQ$3,economics!$AK$2:$AK$167,economics!$AJ$2:$AJ$167,TRUE)-_xlfn.NORM.DIST(BQ$30,economics!$AK$2:$AK$167,economics!$AJ$2:$AJ$167,TRUE))*economics!$AM$2:$AM$167))/(SUMPRODUCT((economics!$AG$2:$AG$167=$B49)*(economics!$D$2:$D$167="whr")*economics!$AI$2:$AI$167*(_xlfn.NORM.DIST(BQ$3,economics!$AK$2:$AK$167,economics!$AJ$2:$AJ$167,TRUE)-_xlfn.NORM.DIST(BQ$30,economics!$AK$2:$AK$167,economics!$AJ$2:$AJ$167,TRUE)))),"")</f>
        <v/>
      </c>
      <c r="BR49">
        <f t="array" ref="BR49">IFERROR((SUMPRODUCT((economics!$AG$2:$AG$167=$B49)*(economics!$D$2:$D$167="whr")*economics!$AI$2:$AI$167*(_xlfn.NORM.DIST(BR$3,economics!$AK$2:$AK$167,economics!$AJ$2:$AJ$167,TRUE)-_xlfn.NORM.DIST(BR$30,economics!$AK$2:$AK$167,economics!$AJ$2:$AJ$167,TRUE))*economics!$AM$2:$AM$167))/(SUMPRODUCT((economics!$AG$2:$AG$167=$B49)*(economics!$D$2:$D$167="whr")*economics!$AI$2:$AI$167*(_xlfn.NORM.DIST(BR$3,economics!$AK$2:$AK$167,economics!$AJ$2:$AJ$167,TRUE)-_xlfn.NORM.DIST(BR$30,economics!$AK$2:$AK$167,economics!$AJ$2:$AJ$167,TRUE)))),"")</f>
        <v/>
      </c>
      <c r="BS49">
        <f t="array" ref="BS49">IFERROR((SUMPRODUCT((economics!$AG$2:$AG$167=$B49)*(economics!$D$2:$D$167="whr")*economics!$AI$2:$AI$167*(_xlfn.NORM.DIST(BS$3,economics!$AK$2:$AK$167,economics!$AJ$2:$AJ$167,TRUE)-_xlfn.NORM.DIST(BS$30,economics!$AK$2:$AK$167,economics!$AJ$2:$AJ$167,TRUE))*economics!$AM$2:$AM$167))/(SUMPRODUCT((economics!$AG$2:$AG$167=$B49)*(economics!$D$2:$D$167="whr")*economics!$AI$2:$AI$167*(_xlfn.NORM.DIST(BS$3,economics!$AK$2:$AK$167,economics!$AJ$2:$AJ$167,TRUE)-_xlfn.NORM.DIST(BS$30,economics!$AK$2:$AK$167,economics!$AJ$2:$AJ$167,TRUE)))),"")</f>
        <v/>
      </c>
      <c r="BT49">
        <f t="array" ref="BT49">IFERROR((SUMPRODUCT((economics!$AG$2:$AG$167=$B49)*(economics!$D$2:$D$167="whr")*economics!$AI$2:$AI$167*(_xlfn.NORM.DIST(BT$3,economics!$AK$2:$AK$167,economics!$AJ$2:$AJ$167,TRUE)-_xlfn.NORM.DIST(BT$30,economics!$AK$2:$AK$167,economics!$AJ$2:$AJ$167,TRUE))*economics!$AM$2:$AM$167))/(SUMPRODUCT((economics!$AG$2:$AG$167=$B49)*(economics!$D$2:$D$167="whr")*economics!$AI$2:$AI$167*(_xlfn.NORM.DIST(BT$3,economics!$AK$2:$AK$167,economics!$AJ$2:$AJ$167,TRUE)-_xlfn.NORM.DIST(BT$30,economics!$AK$2:$AK$167,economics!$AJ$2:$AJ$167,TRUE)))),"")</f>
        <v/>
      </c>
      <c r="BU49">
        <f t="array" ref="BU49">IFERROR((SUMPRODUCT((economics!$AG$2:$AG$167=$B49)*(economics!$D$2:$D$167="whr")*economics!$AI$2:$AI$167*(_xlfn.NORM.DIST(BU$3,economics!$AK$2:$AK$167,economics!$AJ$2:$AJ$167,TRUE)-_xlfn.NORM.DIST(BU$30,economics!$AK$2:$AK$167,economics!$AJ$2:$AJ$167,TRUE))*economics!$AM$2:$AM$167))/(SUMPRODUCT((economics!$AG$2:$AG$167=$B49)*(economics!$D$2:$D$167="whr")*economics!$AI$2:$AI$167*(_xlfn.NORM.DIST(BU$3,economics!$AK$2:$AK$167,economics!$AJ$2:$AJ$167,TRUE)-_xlfn.NORM.DIST(BU$30,economics!$AK$2:$AK$167,economics!$AJ$2:$AJ$167,TRUE)))),"")</f>
        <v/>
      </c>
      <c r="BV49">
        <f t="array" ref="BV49">IFERROR((SUMPRODUCT((economics!$AG$2:$AG$167=$B49)*(economics!$D$2:$D$167="whr")*economics!$AI$2:$AI$167*(_xlfn.NORM.DIST(BV$3,economics!$AK$2:$AK$167,economics!$AJ$2:$AJ$167,TRUE)-_xlfn.NORM.DIST(BV$30,economics!$AK$2:$AK$167,economics!$AJ$2:$AJ$167,TRUE))*economics!$AM$2:$AM$167))/(SUMPRODUCT((economics!$AG$2:$AG$167=$B49)*(economics!$D$2:$D$167="whr")*economics!$AI$2:$AI$167*(_xlfn.NORM.DIST(BV$3,economics!$AK$2:$AK$167,economics!$AJ$2:$AJ$167,TRUE)-_xlfn.NORM.DIST(BV$30,economics!$AK$2:$AK$167,economics!$AJ$2:$AJ$167,TRUE)))),"")</f>
        <v/>
      </c>
      <c r="BW49">
        <f t="array" ref="BW49">IFERROR((SUMPRODUCT((economics!$AG$2:$AG$167=$B49)*(economics!$D$2:$D$167="whr")*economics!$AI$2:$AI$167*(_xlfn.NORM.DIST(BW$3,economics!$AK$2:$AK$167,economics!$AJ$2:$AJ$167,TRUE)-_xlfn.NORM.DIST(BW$30,economics!$AK$2:$AK$167,economics!$AJ$2:$AJ$167,TRUE))*economics!$AM$2:$AM$167))/(SUMPRODUCT((economics!$AG$2:$AG$167=$B49)*(economics!$D$2:$D$167="whr")*economics!$AI$2:$AI$167*(_xlfn.NORM.DIST(BW$3,economics!$AK$2:$AK$167,economics!$AJ$2:$AJ$167,TRUE)-_xlfn.NORM.DIST(BW$30,economics!$AK$2:$AK$167,economics!$AJ$2:$AJ$167,TRUE)))),"")</f>
        <v/>
      </c>
      <c r="BX49">
        <f t="array" ref="BX49">IFERROR((SUMPRODUCT((economics!$AG$2:$AG$167=$B49)*(economics!$D$2:$D$167="whr")*economics!$AI$2:$AI$167*(_xlfn.NORM.DIST(BX$3,economics!$AK$2:$AK$167,economics!$AJ$2:$AJ$167,TRUE)-_xlfn.NORM.DIST(BX$30,economics!$AK$2:$AK$167,economics!$AJ$2:$AJ$167,TRUE))*economics!$AM$2:$AM$167))/(SUMPRODUCT((economics!$AG$2:$AG$167=$B49)*(economics!$D$2:$D$167="whr")*economics!$AI$2:$AI$167*(_xlfn.NORM.DIST(BX$3,economics!$AK$2:$AK$167,economics!$AJ$2:$AJ$167,TRUE)-_xlfn.NORM.DIST(BX$30,economics!$AK$2:$AK$167,economics!$AJ$2:$AJ$167,TRUE)))),"")</f>
        <v/>
      </c>
      <c r="BY49">
        <f t="array" ref="BY49">IFERROR((SUMPRODUCT((economics!$AG$2:$AG$167=$B49)*(economics!$D$2:$D$167="whr")*economics!$AI$2:$AI$167*(_xlfn.NORM.DIST(BY$3,economics!$AK$2:$AK$167,economics!$AJ$2:$AJ$167,TRUE)-_xlfn.NORM.DIST(BY$30,economics!$AK$2:$AK$167,economics!$AJ$2:$AJ$167,TRUE))*economics!$AM$2:$AM$167))/(SUMPRODUCT((economics!$AG$2:$AG$167=$B49)*(economics!$D$2:$D$167="whr")*economics!$AI$2:$AI$167*(_xlfn.NORM.DIST(BY$3,economics!$AK$2:$AK$167,economics!$AJ$2:$AJ$167,TRUE)-_xlfn.NORM.DIST(BY$30,economics!$AK$2:$AK$167,economics!$AJ$2:$AJ$167,TRUE)))),"")</f>
        <v/>
      </c>
      <c r="BZ49">
        <f t="array" ref="BZ49">IFERROR((SUMPRODUCT((economics!$AG$2:$AG$167=$B49)*(economics!$D$2:$D$167="whr")*economics!$AI$2:$AI$167*(_xlfn.NORM.DIST(BZ$3,economics!$AK$2:$AK$167,economics!$AJ$2:$AJ$167,TRUE)-_xlfn.NORM.DIST(BZ$30,economics!$AK$2:$AK$167,economics!$AJ$2:$AJ$167,TRUE))*economics!$AM$2:$AM$167))/(SUMPRODUCT((economics!$AG$2:$AG$167=$B49)*(economics!$D$2:$D$167="whr")*economics!$AI$2:$AI$167*(_xlfn.NORM.DIST(BZ$3,economics!$AK$2:$AK$167,economics!$AJ$2:$AJ$167,TRUE)-_xlfn.NORM.DIST(BZ$30,economics!$AK$2:$AK$167,economics!$AJ$2:$AJ$167,TRUE)))),"")</f>
        <v/>
      </c>
      <c r="CA49">
        <f t="array" ref="CA49">IFERROR((SUMPRODUCT((economics!$AG$2:$AG$167=$B49)*(economics!$D$2:$D$167="whr")*economics!$AI$2:$AI$167*(_xlfn.NORM.DIST(CA$3,economics!$AK$2:$AK$167,economics!$AJ$2:$AJ$167,TRUE)-_xlfn.NORM.DIST(CA$30,economics!$AK$2:$AK$167,economics!$AJ$2:$AJ$167,TRUE))*economics!$AM$2:$AM$167))/(SUMPRODUCT((economics!$AG$2:$AG$167=$B49)*(economics!$D$2:$D$167="whr")*economics!$AI$2:$AI$167*(_xlfn.NORM.DIST(CA$3,economics!$AK$2:$AK$167,economics!$AJ$2:$AJ$167,TRUE)-_xlfn.NORM.DIST(CA$30,economics!$AK$2:$AK$167,economics!$AJ$2:$AJ$167,TRUE)))),"")</f>
        <v/>
      </c>
      <c r="CB49">
        <f t="array" ref="CB49">IFERROR((SUMPRODUCT((economics!$AG$2:$AG$167=$B49)*(economics!$D$2:$D$167="whr")*economics!$AI$2:$AI$167*(_xlfn.NORM.DIST(CB$3,economics!$AK$2:$AK$167,economics!$AJ$2:$AJ$167,TRUE)-_xlfn.NORM.DIST(CB$30,economics!$AK$2:$AK$167,economics!$AJ$2:$AJ$167,TRUE))*economics!$AM$2:$AM$167))/(SUMPRODUCT((economics!$AG$2:$AG$167=$B49)*(economics!$D$2:$D$167="whr")*economics!$AI$2:$AI$167*(_xlfn.NORM.DIST(CB$3,economics!$AK$2:$AK$167,economics!$AJ$2:$AJ$167,TRUE)-_xlfn.NORM.DIST(CB$30,economics!$AK$2:$AK$167,economics!$AJ$2:$AJ$167,TRUE)))),"")</f>
        <v/>
      </c>
      <c r="CC49">
        <f t="array" ref="CC49">IFERROR((SUMPRODUCT((economics!$AG$2:$AG$167=$B49)*(economics!$D$2:$D$167="whr")*economics!$AI$2:$AI$167*(_xlfn.NORM.DIST(CC$3,economics!$AK$2:$AK$167,economics!$AJ$2:$AJ$167,TRUE)-_xlfn.NORM.DIST(CC$30,economics!$AK$2:$AK$167,economics!$AJ$2:$AJ$167,TRUE))*economics!$AM$2:$AM$167))/(SUMPRODUCT((economics!$AG$2:$AG$167=$B49)*(economics!$D$2:$D$167="whr")*economics!$AI$2:$AI$167*(_xlfn.NORM.DIST(CC$3,economics!$AK$2:$AK$167,economics!$AJ$2:$AJ$167,TRUE)-_xlfn.NORM.DIST(CC$30,economics!$AK$2:$AK$167,economics!$AJ$2:$AJ$167,TRUE)))),"")</f>
        <v/>
      </c>
      <c r="CD49">
        <f t="array" ref="CD49">IFERROR((SUMPRODUCT((economics!$AG$2:$AG$167=$B49)*(economics!$D$2:$D$167="whr")*economics!$AI$2:$AI$167*(_xlfn.NORM.DIST(CD$3,economics!$AK$2:$AK$167,economics!$AJ$2:$AJ$167,TRUE)-_xlfn.NORM.DIST(CD$30,economics!$AK$2:$AK$167,economics!$AJ$2:$AJ$167,TRUE))*economics!$AM$2:$AM$167))/(SUMPRODUCT((economics!$AG$2:$AG$167=$B49)*(economics!$D$2:$D$167="whr")*economics!$AI$2:$AI$167*(_xlfn.NORM.DIST(CD$3,economics!$AK$2:$AK$167,economics!$AJ$2:$AJ$167,TRUE)-_xlfn.NORM.DIST(CD$30,economics!$AK$2:$AK$167,economics!$AJ$2:$AJ$167,TRUE)))),"")</f>
        <v/>
      </c>
      <c r="CE49">
        <f t="array" ref="CE49">IFERROR((SUMPRODUCT((economics!$AG$2:$AG$167=$B49)*(economics!$D$2:$D$167="whr")*economics!$AI$2:$AI$167*(_xlfn.NORM.DIST(CE$3,economics!$AK$2:$AK$167,economics!$AJ$2:$AJ$167,TRUE)-_xlfn.NORM.DIST(CE$30,economics!$AK$2:$AK$167,economics!$AJ$2:$AJ$167,TRUE))*economics!$AM$2:$AM$167))/(SUMPRODUCT((economics!$AG$2:$AG$167=$B49)*(economics!$D$2:$D$167="whr")*economics!$AI$2:$AI$167*(_xlfn.NORM.DIST(CE$3,economics!$AK$2:$AK$167,economics!$AJ$2:$AJ$167,TRUE)-_xlfn.NORM.DIST(CE$30,economics!$AK$2:$AK$167,economics!$AJ$2:$AJ$167,TRUE)))),"")</f>
        <v/>
      </c>
      <c r="CF49">
        <f t="array" ref="CF49">IFERROR((SUMPRODUCT((economics!$AG$2:$AG$167=$B49)*(economics!$D$2:$D$167="whr")*economics!$AI$2:$AI$167*(_xlfn.NORM.DIST(CF$3,economics!$AK$2:$AK$167,economics!$AJ$2:$AJ$167,TRUE)-_xlfn.NORM.DIST(CF$30,economics!$AK$2:$AK$167,economics!$AJ$2:$AJ$167,TRUE))*economics!$AM$2:$AM$167))/(SUMPRODUCT((economics!$AG$2:$AG$167=$B49)*(economics!$D$2:$D$167="whr")*economics!$AI$2:$AI$167*(_xlfn.NORM.DIST(CF$3,economics!$AK$2:$AK$167,economics!$AJ$2:$AJ$167,TRUE)-_xlfn.NORM.DIST(CF$30,economics!$AK$2:$AK$167,economics!$AJ$2:$AJ$167,TRUE)))),"")</f>
        <v/>
      </c>
      <c r="CG49">
        <f t="array" ref="CG49">IFERROR((SUMPRODUCT((economics!$AG$2:$AG$167=$B49)*(economics!$D$2:$D$167="whr")*economics!$AI$2:$AI$167*(_xlfn.NORM.DIST(CG$3,economics!$AK$2:$AK$167,economics!$AJ$2:$AJ$167,TRUE)-_xlfn.NORM.DIST(CG$30,economics!$AK$2:$AK$167,economics!$AJ$2:$AJ$167,TRUE))*economics!$AM$2:$AM$167))/(SUMPRODUCT((economics!$AG$2:$AG$167=$B49)*(economics!$D$2:$D$167="whr")*economics!$AI$2:$AI$167*(_xlfn.NORM.DIST(CG$3,economics!$AK$2:$AK$167,economics!$AJ$2:$AJ$167,TRUE)-_xlfn.NORM.DIST(CG$30,economics!$AK$2:$AK$167,economics!$AJ$2:$AJ$167,TRUE)))),"")</f>
        <v/>
      </c>
      <c r="CH49">
        <f t="array" ref="CH49">IFERROR((SUMPRODUCT((economics!$AG$2:$AG$167=$B49)*(economics!$D$2:$D$167="whr")*economics!$AI$2:$AI$167*(_xlfn.NORM.DIST(CH$3,economics!$AK$2:$AK$167,economics!$AJ$2:$AJ$167,TRUE)-_xlfn.NORM.DIST(CH$30,economics!$AK$2:$AK$167,economics!$AJ$2:$AJ$167,TRUE))*economics!$AM$2:$AM$167))/(SUMPRODUCT((economics!$AG$2:$AG$167=$B49)*(economics!$D$2:$D$167="whr")*economics!$AI$2:$AI$167*(_xlfn.NORM.DIST(CH$3,economics!$AK$2:$AK$167,economics!$AJ$2:$AJ$167,TRUE)-_xlfn.NORM.DIST(CH$30,economics!$AK$2:$AK$167,economics!$AJ$2:$AJ$167,TRUE)))),"")</f>
        <v/>
      </c>
    </row>
    <row r="50">
      <c r="A50">
        <f>A21</f>
        <v/>
      </c>
      <c r="B50">
        <f>B21</f>
        <v/>
      </c>
      <c r="E50">
        <f t="array" ref="E50">IFERROR((SUMPRODUCT((economics!$AG$2:$AG$167=$B50)*(economics!$D$2:$D$167="whr")*economics!$AI$2:$AI$167*(_xlfn.NORM.DIST(E$3,economics!$AK$2:$AK$167,economics!$AJ$2:$AJ$167,TRUE)-_xlfn.NORM.DIST(E$30,economics!$AK$2:$AK$167,economics!$AJ$2:$AJ$167,TRUE))*economics!$AM$2:$AM$167))/(SUMPRODUCT((economics!$AG$2:$AG$167=$B50)*(economics!$D$2:$D$167="whr")*economics!$AI$2:$AI$167*(_xlfn.NORM.DIST(E$3,economics!$AK$2:$AK$167,economics!$AJ$2:$AJ$167,TRUE)-_xlfn.NORM.DIST(E$30,economics!$AK$2:$AK$167,economics!$AJ$2:$AJ$167,TRUE)))),"")</f>
        <v/>
      </c>
      <c r="F50">
        <f t="array" ref="F50">IFERROR((SUMPRODUCT((economics!$AG$2:$AG$167=$B50)*(economics!$D$2:$D$167="whr")*economics!$AI$2:$AI$167*(_xlfn.NORM.DIST(F$3,economics!$AK$2:$AK$167,economics!$AJ$2:$AJ$167,TRUE)-_xlfn.NORM.DIST(F$30,economics!$AK$2:$AK$167,economics!$AJ$2:$AJ$167,TRUE))*economics!$AM$2:$AM$167))/(SUMPRODUCT((economics!$AG$2:$AG$167=$B50)*(economics!$D$2:$D$167="whr")*economics!$AI$2:$AI$167*(_xlfn.NORM.DIST(F$3,economics!$AK$2:$AK$167,economics!$AJ$2:$AJ$167,TRUE)-_xlfn.NORM.DIST(F$30,economics!$AK$2:$AK$167,economics!$AJ$2:$AJ$167,TRUE)))),"")</f>
        <v/>
      </c>
      <c r="G50">
        <f t="array" ref="G50">IFERROR((SUMPRODUCT((economics!$AG$2:$AG$167=$B50)*(economics!$D$2:$D$167="whr")*economics!$AI$2:$AI$167*(_xlfn.NORM.DIST(G$3,economics!$AK$2:$AK$167,economics!$AJ$2:$AJ$167,TRUE)-_xlfn.NORM.DIST(G$30,economics!$AK$2:$AK$167,economics!$AJ$2:$AJ$167,TRUE))*economics!$AM$2:$AM$167))/(SUMPRODUCT((economics!$AG$2:$AG$167=$B50)*(economics!$D$2:$D$167="whr")*economics!$AI$2:$AI$167*(_xlfn.NORM.DIST(G$3,economics!$AK$2:$AK$167,economics!$AJ$2:$AJ$167,TRUE)-_xlfn.NORM.DIST(G$30,economics!$AK$2:$AK$167,economics!$AJ$2:$AJ$167,TRUE)))),"")</f>
        <v/>
      </c>
      <c r="H50">
        <f t="array" ref="H50">IFERROR((SUMPRODUCT((economics!$AG$2:$AG$167=$B50)*(economics!$D$2:$D$167="whr")*economics!$AI$2:$AI$167*(_xlfn.NORM.DIST(H$3,economics!$AK$2:$AK$167,economics!$AJ$2:$AJ$167,TRUE)-_xlfn.NORM.DIST(H$30,economics!$AK$2:$AK$167,economics!$AJ$2:$AJ$167,TRUE))*economics!$AM$2:$AM$167))/(SUMPRODUCT((economics!$AG$2:$AG$167=$B50)*(economics!$D$2:$D$167="whr")*economics!$AI$2:$AI$167*(_xlfn.NORM.DIST(H$3,economics!$AK$2:$AK$167,economics!$AJ$2:$AJ$167,TRUE)-_xlfn.NORM.DIST(H$30,economics!$AK$2:$AK$167,economics!$AJ$2:$AJ$167,TRUE)))),"")</f>
        <v/>
      </c>
      <c r="I50">
        <f t="array" ref="I50">IFERROR((SUMPRODUCT((economics!$AG$2:$AG$167=$B50)*(economics!$D$2:$D$167="whr")*economics!$AI$2:$AI$167*(_xlfn.NORM.DIST(I$3,economics!$AK$2:$AK$167,economics!$AJ$2:$AJ$167,TRUE)-_xlfn.NORM.DIST(I$30,economics!$AK$2:$AK$167,economics!$AJ$2:$AJ$167,TRUE))*economics!$AM$2:$AM$167))/(SUMPRODUCT((economics!$AG$2:$AG$167=$B50)*(economics!$D$2:$D$167="whr")*economics!$AI$2:$AI$167*(_xlfn.NORM.DIST(I$3,economics!$AK$2:$AK$167,economics!$AJ$2:$AJ$167,TRUE)-_xlfn.NORM.DIST(I$30,economics!$AK$2:$AK$167,economics!$AJ$2:$AJ$167,TRUE)))),"")</f>
        <v/>
      </c>
      <c r="J50">
        <f t="array" ref="J50">IFERROR((SUMPRODUCT((economics!$AG$2:$AG$167=$B50)*(economics!$D$2:$D$167="whr")*economics!$AI$2:$AI$167*(_xlfn.NORM.DIST(J$3,economics!$AK$2:$AK$167,economics!$AJ$2:$AJ$167,TRUE)-_xlfn.NORM.DIST(J$30,economics!$AK$2:$AK$167,economics!$AJ$2:$AJ$167,TRUE))*economics!$AM$2:$AM$167))/(SUMPRODUCT((economics!$AG$2:$AG$167=$B50)*(economics!$D$2:$D$167="whr")*economics!$AI$2:$AI$167*(_xlfn.NORM.DIST(J$3,economics!$AK$2:$AK$167,economics!$AJ$2:$AJ$167,TRUE)-_xlfn.NORM.DIST(J$30,economics!$AK$2:$AK$167,economics!$AJ$2:$AJ$167,TRUE)))),"")</f>
        <v/>
      </c>
      <c r="K50">
        <f t="array" ref="K50">IFERROR((SUMPRODUCT((economics!$AG$2:$AG$167=$B50)*(economics!$D$2:$D$167="whr")*economics!$AI$2:$AI$167*(_xlfn.NORM.DIST(K$3,economics!$AK$2:$AK$167,economics!$AJ$2:$AJ$167,TRUE)-_xlfn.NORM.DIST(K$30,economics!$AK$2:$AK$167,economics!$AJ$2:$AJ$167,TRUE))*economics!$AM$2:$AM$167))/(SUMPRODUCT((economics!$AG$2:$AG$167=$B50)*(economics!$D$2:$D$167="whr")*economics!$AI$2:$AI$167*(_xlfn.NORM.DIST(K$3,economics!$AK$2:$AK$167,economics!$AJ$2:$AJ$167,TRUE)-_xlfn.NORM.DIST(K$30,economics!$AK$2:$AK$167,economics!$AJ$2:$AJ$167,TRUE)))),"")</f>
        <v/>
      </c>
      <c r="L50">
        <f t="array" ref="L50">IFERROR((SUMPRODUCT((economics!$AG$2:$AG$167=$B50)*(economics!$D$2:$D$167="whr")*economics!$AI$2:$AI$167*(_xlfn.NORM.DIST(L$3,economics!$AK$2:$AK$167,economics!$AJ$2:$AJ$167,TRUE)-_xlfn.NORM.DIST(L$30,economics!$AK$2:$AK$167,economics!$AJ$2:$AJ$167,TRUE))*economics!$AM$2:$AM$167))/(SUMPRODUCT((economics!$AG$2:$AG$167=$B50)*(economics!$D$2:$D$167="whr")*economics!$AI$2:$AI$167*(_xlfn.NORM.DIST(L$3,economics!$AK$2:$AK$167,economics!$AJ$2:$AJ$167,TRUE)-_xlfn.NORM.DIST(L$30,economics!$AK$2:$AK$167,economics!$AJ$2:$AJ$167,TRUE)))),"")</f>
        <v/>
      </c>
      <c r="M50">
        <f t="array" ref="M50">IFERROR((SUMPRODUCT((economics!$AG$2:$AG$167=$B50)*(economics!$D$2:$D$167="whr")*economics!$AI$2:$AI$167*(_xlfn.NORM.DIST(M$3,economics!$AK$2:$AK$167,economics!$AJ$2:$AJ$167,TRUE)-_xlfn.NORM.DIST(M$30,economics!$AK$2:$AK$167,economics!$AJ$2:$AJ$167,TRUE))*economics!$AM$2:$AM$167))/(SUMPRODUCT((economics!$AG$2:$AG$167=$B50)*(economics!$D$2:$D$167="whr")*economics!$AI$2:$AI$167*(_xlfn.NORM.DIST(M$3,economics!$AK$2:$AK$167,economics!$AJ$2:$AJ$167,TRUE)-_xlfn.NORM.DIST(M$30,economics!$AK$2:$AK$167,economics!$AJ$2:$AJ$167,TRUE)))),"")</f>
        <v/>
      </c>
      <c r="N50">
        <f t="array" ref="N50">IFERROR((SUMPRODUCT((economics!$AG$2:$AG$167=$B50)*(economics!$D$2:$D$167="whr")*economics!$AI$2:$AI$167*(_xlfn.NORM.DIST(N$3,economics!$AK$2:$AK$167,economics!$AJ$2:$AJ$167,TRUE)-_xlfn.NORM.DIST(N$30,economics!$AK$2:$AK$167,economics!$AJ$2:$AJ$167,TRUE))*economics!$AM$2:$AM$167))/(SUMPRODUCT((economics!$AG$2:$AG$167=$B50)*(economics!$D$2:$D$167="whr")*economics!$AI$2:$AI$167*(_xlfn.NORM.DIST(N$3,economics!$AK$2:$AK$167,economics!$AJ$2:$AJ$167,TRUE)-_xlfn.NORM.DIST(N$30,economics!$AK$2:$AK$167,economics!$AJ$2:$AJ$167,TRUE)))),"")</f>
        <v/>
      </c>
      <c r="O50">
        <f t="array" ref="O50">IFERROR((SUMPRODUCT((economics!$AG$2:$AG$167=$B50)*(economics!$D$2:$D$167="whr")*economics!$AI$2:$AI$167*(_xlfn.NORM.DIST(O$3,economics!$AK$2:$AK$167,economics!$AJ$2:$AJ$167,TRUE)-_xlfn.NORM.DIST(O$30,economics!$AK$2:$AK$167,economics!$AJ$2:$AJ$167,TRUE))*economics!$AM$2:$AM$167))/(SUMPRODUCT((economics!$AG$2:$AG$167=$B50)*(economics!$D$2:$D$167="whr")*economics!$AI$2:$AI$167*(_xlfn.NORM.DIST(O$3,economics!$AK$2:$AK$167,economics!$AJ$2:$AJ$167,TRUE)-_xlfn.NORM.DIST(O$30,economics!$AK$2:$AK$167,economics!$AJ$2:$AJ$167,TRUE)))),"")</f>
        <v/>
      </c>
      <c r="P50">
        <f t="array" ref="P50">IFERROR((SUMPRODUCT((economics!$AG$2:$AG$167=$B50)*(economics!$D$2:$D$167="whr")*economics!$AI$2:$AI$167*(_xlfn.NORM.DIST(P$3,economics!$AK$2:$AK$167,economics!$AJ$2:$AJ$167,TRUE)-_xlfn.NORM.DIST(P$30,economics!$AK$2:$AK$167,economics!$AJ$2:$AJ$167,TRUE))*economics!$AM$2:$AM$167))/(SUMPRODUCT((economics!$AG$2:$AG$167=$B50)*(economics!$D$2:$D$167="whr")*economics!$AI$2:$AI$167*(_xlfn.NORM.DIST(P$3,economics!$AK$2:$AK$167,economics!$AJ$2:$AJ$167,TRUE)-_xlfn.NORM.DIST(P$30,economics!$AK$2:$AK$167,economics!$AJ$2:$AJ$167,TRUE)))),"")</f>
        <v/>
      </c>
      <c r="Q50">
        <f t="array" ref="Q50">IFERROR((SUMPRODUCT((economics!$AG$2:$AG$167=$B50)*(economics!$D$2:$D$167="whr")*economics!$AI$2:$AI$167*(_xlfn.NORM.DIST(Q$3,economics!$AK$2:$AK$167,economics!$AJ$2:$AJ$167,TRUE)-_xlfn.NORM.DIST(Q$30,economics!$AK$2:$AK$167,economics!$AJ$2:$AJ$167,TRUE))*economics!$AM$2:$AM$167))/(SUMPRODUCT((economics!$AG$2:$AG$167=$B50)*(economics!$D$2:$D$167="whr")*economics!$AI$2:$AI$167*(_xlfn.NORM.DIST(Q$3,economics!$AK$2:$AK$167,economics!$AJ$2:$AJ$167,TRUE)-_xlfn.NORM.DIST(Q$30,economics!$AK$2:$AK$167,economics!$AJ$2:$AJ$167,TRUE)))),"")</f>
        <v/>
      </c>
      <c r="R50">
        <f t="array" ref="R50">IFERROR((SUMPRODUCT((economics!$AG$2:$AG$167=$B50)*(economics!$D$2:$D$167="whr")*economics!$AI$2:$AI$167*(_xlfn.NORM.DIST(R$3,economics!$AK$2:$AK$167,economics!$AJ$2:$AJ$167,TRUE)-_xlfn.NORM.DIST(R$30,economics!$AK$2:$AK$167,economics!$AJ$2:$AJ$167,TRUE))*economics!$AM$2:$AM$167))/(SUMPRODUCT((economics!$AG$2:$AG$167=$B50)*(economics!$D$2:$D$167="whr")*economics!$AI$2:$AI$167*(_xlfn.NORM.DIST(R$3,economics!$AK$2:$AK$167,economics!$AJ$2:$AJ$167,TRUE)-_xlfn.NORM.DIST(R$30,economics!$AK$2:$AK$167,economics!$AJ$2:$AJ$167,TRUE)))),"")</f>
        <v/>
      </c>
      <c r="S50">
        <f t="array" ref="S50">IFERROR((SUMPRODUCT((economics!$AG$2:$AG$167=$B50)*(economics!$D$2:$D$167="whr")*economics!$AI$2:$AI$167*(_xlfn.NORM.DIST(S$3,economics!$AK$2:$AK$167,economics!$AJ$2:$AJ$167,TRUE)-_xlfn.NORM.DIST(S$30,economics!$AK$2:$AK$167,economics!$AJ$2:$AJ$167,TRUE))*economics!$AM$2:$AM$167))/(SUMPRODUCT((economics!$AG$2:$AG$167=$B50)*(economics!$D$2:$D$167="whr")*economics!$AI$2:$AI$167*(_xlfn.NORM.DIST(S$3,economics!$AK$2:$AK$167,economics!$AJ$2:$AJ$167,TRUE)-_xlfn.NORM.DIST(S$30,economics!$AK$2:$AK$167,economics!$AJ$2:$AJ$167,TRUE)))),"")</f>
        <v/>
      </c>
      <c r="T50">
        <f t="array" ref="T50">IFERROR((SUMPRODUCT((economics!$AG$2:$AG$167=$B50)*(economics!$D$2:$D$167="whr")*economics!$AI$2:$AI$167*(_xlfn.NORM.DIST(T$3,economics!$AK$2:$AK$167,economics!$AJ$2:$AJ$167,TRUE)-_xlfn.NORM.DIST(T$30,economics!$AK$2:$AK$167,economics!$AJ$2:$AJ$167,TRUE))*economics!$AM$2:$AM$167))/(SUMPRODUCT((economics!$AG$2:$AG$167=$B50)*(economics!$D$2:$D$167="whr")*economics!$AI$2:$AI$167*(_xlfn.NORM.DIST(T$3,economics!$AK$2:$AK$167,economics!$AJ$2:$AJ$167,TRUE)-_xlfn.NORM.DIST(T$30,economics!$AK$2:$AK$167,economics!$AJ$2:$AJ$167,TRUE)))),"")</f>
        <v/>
      </c>
      <c r="U50">
        <f t="array" ref="U50">IFERROR((SUMPRODUCT((economics!$AG$2:$AG$167=$B50)*(economics!$D$2:$D$167="whr")*economics!$AI$2:$AI$167*(_xlfn.NORM.DIST(U$3,economics!$AK$2:$AK$167,economics!$AJ$2:$AJ$167,TRUE)-_xlfn.NORM.DIST(U$30,economics!$AK$2:$AK$167,economics!$AJ$2:$AJ$167,TRUE))*economics!$AM$2:$AM$167))/(SUMPRODUCT((economics!$AG$2:$AG$167=$B50)*(economics!$D$2:$D$167="whr")*economics!$AI$2:$AI$167*(_xlfn.NORM.DIST(U$3,economics!$AK$2:$AK$167,economics!$AJ$2:$AJ$167,TRUE)-_xlfn.NORM.DIST(U$30,economics!$AK$2:$AK$167,economics!$AJ$2:$AJ$167,TRUE)))),"")</f>
        <v/>
      </c>
      <c r="V50">
        <f t="array" ref="V50">IFERROR((SUMPRODUCT((economics!$AG$2:$AG$167=$B50)*(economics!$D$2:$D$167="whr")*economics!$AI$2:$AI$167*(_xlfn.NORM.DIST(V$3,economics!$AK$2:$AK$167,economics!$AJ$2:$AJ$167,TRUE)-_xlfn.NORM.DIST(V$30,economics!$AK$2:$AK$167,economics!$AJ$2:$AJ$167,TRUE))*economics!$AM$2:$AM$167))/(SUMPRODUCT((economics!$AG$2:$AG$167=$B50)*(economics!$D$2:$D$167="whr")*economics!$AI$2:$AI$167*(_xlfn.NORM.DIST(V$3,economics!$AK$2:$AK$167,economics!$AJ$2:$AJ$167,TRUE)-_xlfn.NORM.DIST(V$30,economics!$AK$2:$AK$167,economics!$AJ$2:$AJ$167,TRUE)))),"")</f>
        <v/>
      </c>
      <c r="W50">
        <f t="array" ref="W50">IFERROR((SUMPRODUCT((economics!$AG$2:$AG$167=$B50)*(economics!$D$2:$D$167="whr")*economics!$AI$2:$AI$167*(_xlfn.NORM.DIST(W$3,economics!$AK$2:$AK$167,economics!$AJ$2:$AJ$167,TRUE)-_xlfn.NORM.DIST(W$30,economics!$AK$2:$AK$167,economics!$AJ$2:$AJ$167,TRUE))*economics!$AM$2:$AM$167))/(SUMPRODUCT((economics!$AG$2:$AG$167=$B50)*(economics!$D$2:$D$167="whr")*economics!$AI$2:$AI$167*(_xlfn.NORM.DIST(W$3,economics!$AK$2:$AK$167,economics!$AJ$2:$AJ$167,TRUE)-_xlfn.NORM.DIST(W$30,economics!$AK$2:$AK$167,economics!$AJ$2:$AJ$167,TRUE)))),"")</f>
        <v/>
      </c>
      <c r="X50">
        <f t="array" ref="X50">IFERROR((SUMPRODUCT((economics!$AG$2:$AG$167=$B50)*(economics!$D$2:$D$167="whr")*economics!$AI$2:$AI$167*(_xlfn.NORM.DIST(X$3,economics!$AK$2:$AK$167,economics!$AJ$2:$AJ$167,TRUE)-_xlfn.NORM.DIST(X$30,economics!$AK$2:$AK$167,economics!$AJ$2:$AJ$167,TRUE))*economics!$AM$2:$AM$167))/(SUMPRODUCT((economics!$AG$2:$AG$167=$B50)*(economics!$D$2:$D$167="whr")*economics!$AI$2:$AI$167*(_xlfn.NORM.DIST(X$3,economics!$AK$2:$AK$167,economics!$AJ$2:$AJ$167,TRUE)-_xlfn.NORM.DIST(X$30,economics!$AK$2:$AK$167,economics!$AJ$2:$AJ$167,TRUE)))),"")</f>
        <v/>
      </c>
      <c r="Y50">
        <f t="array" ref="Y50">IFERROR((SUMPRODUCT((economics!$AG$2:$AG$167=$B50)*(economics!$D$2:$D$167="whr")*economics!$AI$2:$AI$167*(_xlfn.NORM.DIST(Y$3,economics!$AK$2:$AK$167,economics!$AJ$2:$AJ$167,TRUE)-_xlfn.NORM.DIST(Y$30,economics!$AK$2:$AK$167,economics!$AJ$2:$AJ$167,TRUE))*economics!$AM$2:$AM$167))/(SUMPRODUCT((economics!$AG$2:$AG$167=$B50)*(economics!$D$2:$D$167="whr")*economics!$AI$2:$AI$167*(_xlfn.NORM.DIST(Y$3,economics!$AK$2:$AK$167,economics!$AJ$2:$AJ$167,TRUE)-_xlfn.NORM.DIST(Y$30,economics!$AK$2:$AK$167,economics!$AJ$2:$AJ$167,TRUE)))),"")</f>
        <v/>
      </c>
      <c r="Z50">
        <f t="array" ref="Z50">IFERROR((SUMPRODUCT((economics!$AG$2:$AG$167=$B50)*(economics!$D$2:$D$167="whr")*economics!$AI$2:$AI$167*(_xlfn.NORM.DIST(Z$3,economics!$AK$2:$AK$167,economics!$AJ$2:$AJ$167,TRUE)-_xlfn.NORM.DIST(Z$30,economics!$AK$2:$AK$167,economics!$AJ$2:$AJ$167,TRUE))*economics!$AM$2:$AM$167))/(SUMPRODUCT((economics!$AG$2:$AG$167=$B50)*(economics!$D$2:$D$167="whr")*economics!$AI$2:$AI$167*(_xlfn.NORM.DIST(Z$3,economics!$AK$2:$AK$167,economics!$AJ$2:$AJ$167,TRUE)-_xlfn.NORM.DIST(Z$30,economics!$AK$2:$AK$167,economics!$AJ$2:$AJ$167,TRUE)))),"")</f>
        <v/>
      </c>
      <c r="AA50">
        <f t="array" ref="AA50">IFERROR((SUMPRODUCT((economics!$AG$2:$AG$167=$B50)*(economics!$D$2:$D$167="whr")*economics!$AI$2:$AI$167*(_xlfn.NORM.DIST(AA$3,economics!$AK$2:$AK$167,economics!$AJ$2:$AJ$167,TRUE)-_xlfn.NORM.DIST(AA$30,economics!$AK$2:$AK$167,economics!$AJ$2:$AJ$167,TRUE))*economics!$AM$2:$AM$167))/(SUMPRODUCT((economics!$AG$2:$AG$167=$B50)*(economics!$D$2:$D$167="whr")*economics!$AI$2:$AI$167*(_xlfn.NORM.DIST(AA$3,economics!$AK$2:$AK$167,economics!$AJ$2:$AJ$167,TRUE)-_xlfn.NORM.DIST(AA$30,economics!$AK$2:$AK$167,economics!$AJ$2:$AJ$167,TRUE)))),"")</f>
        <v/>
      </c>
      <c r="AB50">
        <f t="array" ref="AB50">IFERROR((SUMPRODUCT((economics!$AG$2:$AG$167=$B50)*(economics!$D$2:$D$167="whr")*economics!$AI$2:$AI$167*(_xlfn.NORM.DIST(AB$3,economics!$AK$2:$AK$167,economics!$AJ$2:$AJ$167,TRUE)-_xlfn.NORM.DIST(AB$30,economics!$AK$2:$AK$167,economics!$AJ$2:$AJ$167,TRUE))*economics!$AM$2:$AM$167))/(SUMPRODUCT((economics!$AG$2:$AG$167=$B50)*(economics!$D$2:$D$167="whr")*economics!$AI$2:$AI$167*(_xlfn.NORM.DIST(AB$3,economics!$AK$2:$AK$167,economics!$AJ$2:$AJ$167,TRUE)-_xlfn.NORM.DIST(AB$30,economics!$AK$2:$AK$167,economics!$AJ$2:$AJ$167,TRUE)))),"")</f>
        <v/>
      </c>
      <c r="AC50">
        <f t="array" ref="AC50">IFERROR((SUMPRODUCT((economics!$AG$2:$AG$167=$B50)*(economics!$D$2:$D$167="whr")*economics!$AI$2:$AI$167*(_xlfn.NORM.DIST(AC$3,economics!$AK$2:$AK$167,economics!$AJ$2:$AJ$167,TRUE)-_xlfn.NORM.DIST(AC$30,economics!$AK$2:$AK$167,economics!$AJ$2:$AJ$167,TRUE))*economics!$AM$2:$AM$167))/(SUMPRODUCT((economics!$AG$2:$AG$167=$B50)*(economics!$D$2:$D$167="whr")*economics!$AI$2:$AI$167*(_xlfn.NORM.DIST(AC$3,economics!$AK$2:$AK$167,economics!$AJ$2:$AJ$167,TRUE)-_xlfn.NORM.DIST(AC$30,economics!$AK$2:$AK$167,economics!$AJ$2:$AJ$167,TRUE)))),"")</f>
        <v/>
      </c>
      <c r="AD50">
        <f t="array" ref="AD50">IFERROR((SUMPRODUCT((economics!$AG$2:$AG$167=$B50)*(economics!$D$2:$D$167="whr")*economics!$AI$2:$AI$167*(_xlfn.NORM.DIST(AD$3,economics!$AK$2:$AK$167,economics!$AJ$2:$AJ$167,TRUE)-_xlfn.NORM.DIST(AD$30,economics!$AK$2:$AK$167,economics!$AJ$2:$AJ$167,TRUE))*economics!$AM$2:$AM$167))/(SUMPRODUCT((economics!$AG$2:$AG$167=$B50)*(economics!$D$2:$D$167="whr")*economics!$AI$2:$AI$167*(_xlfn.NORM.DIST(AD$3,economics!$AK$2:$AK$167,economics!$AJ$2:$AJ$167,TRUE)-_xlfn.NORM.DIST(AD$30,economics!$AK$2:$AK$167,economics!$AJ$2:$AJ$167,TRUE)))),"")</f>
        <v/>
      </c>
      <c r="AE50">
        <f t="array" ref="AE50">IFERROR((SUMPRODUCT((economics!$AG$2:$AG$167=$B50)*(economics!$D$2:$D$167="whr")*economics!$AI$2:$AI$167*(_xlfn.NORM.DIST(AE$3,economics!$AK$2:$AK$167,economics!$AJ$2:$AJ$167,TRUE)-_xlfn.NORM.DIST(AE$30,economics!$AK$2:$AK$167,economics!$AJ$2:$AJ$167,TRUE))*economics!$AM$2:$AM$167))/(SUMPRODUCT((economics!$AG$2:$AG$167=$B50)*(economics!$D$2:$D$167="whr")*economics!$AI$2:$AI$167*(_xlfn.NORM.DIST(AE$3,economics!$AK$2:$AK$167,economics!$AJ$2:$AJ$167,TRUE)-_xlfn.NORM.DIST(AE$30,economics!$AK$2:$AK$167,economics!$AJ$2:$AJ$167,TRUE)))),"")</f>
        <v/>
      </c>
      <c r="AF50">
        <f t="array" ref="AF50">IFERROR((SUMPRODUCT((economics!$AG$2:$AG$167=$B50)*(economics!$D$2:$D$167="whr")*economics!$AI$2:$AI$167*(_xlfn.NORM.DIST(AF$3,economics!$AK$2:$AK$167,economics!$AJ$2:$AJ$167,TRUE)-_xlfn.NORM.DIST(AF$30,economics!$AK$2:$AK$167,economics!$AJ$2:$AJ$167,TRUE))*economics!$AM$2:$AM$167))/(SUMPRODUCT((economics!$AG$2:$AG$167=$B50)*(economics!$D$2:$D$167="whr")*economics!$AI$2:$AI$167*(_xlfn.NORM.DIST(AF$3,economics!$AK$2:$AK$167,economics!$AJ$2:$AJ$167,TRUE)-_xlfn.NORM.DIST(AF$30,economics!$AK$2:$AK$167,economics!$AJ$2:$AJ$167,TRUE)))),"")</f>
        <v/>
      </c>
      <c r="AG50">
        <f t="array" ref="AG50">IFERROR((SUMPRODUCT((economics!$AG$2:$AG$167=$B50)*(economics!$D$2:$D$167="whr")*economics!$AI$2:$AI$167*(_xlfn.NORM.DIST(AG$3,economics!$AK$2:$AK$167,economics!$AJ$2:$AJ$167,TRUE)-_xlfn.NORM.DIST(AG$30,economics!$AK$2:$AK$167,economics!$AJ$2:$AJ$167,TRUE))*economics!$AM$2:$AM$167))/(SUMPRODUCT((economics!$AG$2:$AG$167=$B50)*(economics!$D$2:$D$167="whr")*economics!$AI$2:$AI$167*(_xlfn.NORM.DIST(AG$3,economics!$AK$2:$AK$167,economics!$AJ$2:$AJ$167,TRUE)-_xlfn.NORM.DIST(AG$30,economics!$AK$2:$AK$167,economics!$AJ$2:$AJ$167,TRUE)))),"")</f>
        <v/>
      </c>
      <c r="AH50">
        <f t="array" ref="AH50">IFERROR((SUMPRODUCT((economics!$AG$2:$AG$167=$B50)*(economics!$D$2:$D$167="whr")*economics!$AI$2:$AI$167*(_xlfn.NORM.DIST(AH$3,economics!$AK$2:$AK$167,economics!$AJ$2:$AJ$167,TRUE)-_xlfn.NORM.DIST(AH$30,economics!$AK$2:$AK$167,economics!$AJ$2:$AJ$167,TRUE))*economics!$AM$2:$AM$167))/(SUMPRODUCT((economics!$AG$2:$AG$167=$B50)*(economics!$D$2:$D$167="whr")*economics!$AI$2:$AI$167*(_xlfn.NORM.DIST(AH$3,economics!$AK$2:$AK$167,economics!$AJ$2:$AJ$167,TRUE)-_xlfn.NORM.DIST(AH$30,economics!$AK$2:$AK$167,economics!$AJ$2:$AJ$167,TRUE)))),"")</f>
        <v/>
      </c>
      <c r="AI50">
        <f t="array" ref="AI50">IFERROR((SUMPRODUCT((economics!$AG$2:$AG$167=$B50)*(economics!$D$2:$D$167="whr")*economics!$AI$2:$AI$167*(_xlfn.NORM.DIST(AI$3,economics!$AK$2:$AK$167,economics!$AJ$2:$AJ$167,TRUE)-_xlfn.NORM.DIST(AI$30,economics!$AK$2:$AK$167,economics!$AJ$2:$AJ$167,TRUE))*economics!$AM$2:$AM$167))/(SUMPRODUCT((economics!$AG$2:$AG$167=$B50)*(economics!$D$2:$D$167="whr")*economics!$AI$2:$AI$167*(_xlfn.NORM.DIST(AI$3,economics!$AK$2:$AK$167,economics!$AJ$2:$AJ$167,TRUE)-_xlfn.NORM.DIST(AI$30,economics!$AK$2:$AK$167,economics!$AJ$2:$AJ$167,TRUE)))),"")</f>
        <v/>
      </c>
      <c r="AJ50">
        <f t="array" ref="AJ50">IFERROR((SUMPRODUCT((economics!$AG$2:$AG$167=$B50)*(economics!$D$2:$D$167="whr")*economics!$AI$2:$AI$167*(_xlfn.NORM.DIST(AJ$3,economics!$AK$2:$AK$167,economics!$AJ$2:$AJ$167,TRUE)-_xlfn.NORM.DIST(AJ$30,economics!$AK$2:$AK$167,economics!$AJ$2:$AJ$167,TRUE))*economics!$AM$2:$AM$167))/(SUMPRODUCT((economics!$AG$2:$AG$167=$B50)*(economics!$D$2:$D$167="whr")*economics!$AI$2:$AI$167*(_xlfn.NORM.DIST(AJ$3,economics!$AK$2:$AK$167,economics!$AJ$2:$AJ$167,TRUE)-_xlfn.NORM.DIST(AJ$30,economics!$AK$2:$AK$167,economics!$AJ$2:$AJ$167,TRUE)))),"")</f>
        <v/>
      </c>
      <c r="AK50">
        <f t="array" ref="AK50">IFERROR((SUMPRODUCT((economics!$AG$2:$AG$167=$B50)*(economics!$D$2:$D$167="whr")*economics!$AI$2:$AI$167*(_xlfn.NORM.DIST(AK$3,economics!$AK$2:$AK$167,economics!$AJ$2:$AJ$167,TRUE)-_xlfn.NORM.DIST(AK$30,economics!$AK$2:$AK$167,economics!$AJ$2:$AJ$167,TRUE))*economics!$AM$2:$AM$167))/(SUMPRODUCT((economics!$AG$2:$AG$167=$B50)*(economics!$D$2:$D$167="whr")*economics!$AI$2:$AI$167*(_xlfn.NORM.DIST(AK$3,economics!$AK$2:$AK$167,economics!$AJ$2:$AJ$167,TRUE)-_xlfn.NORM.DIST(AK$30,economics!$AK$2:$AK$167,economics!$AJ$2:$AJ$167,TRUE)))),"")</f>
        <v/>
      </c>
      <c r="AL50">
        <f t="array" ref="AL50">IFERROR((SUMPRODUCT((economics!$AG$2:$AG$167=$B50)*(economics!$D$2:$D$167="whr")*economics!$AI$2:$AI$167*(_xlfn.NORM.DIST(AL$3,economics!$AK$2:$AK$167,economics!$AJ$2:$AJ$167,TRUE)-_xlfn.NORM.DIST(AL$30,economics!$AK$2:$AK$167,economics!$AJ$2:$AJ$167,TRUE))*economics!$AM$2:$AM$167))/(SUMPRODUCT((economics!$AG$2:$AG$167=$B50)*(economics!$D$2:$D$167="whr")*economics!$AI$2:$AI$167*(_xlfn.NORM.DIST(AL$3,economics!$AK$2:$AK$167,economics!$AJ$2:$AJ$167,TRUE)-_xlfn.NORM.DIST(AL$30,economics!$AK$2:$AK$167,economics!$AJ$2:$AJ$167,TRUE)))),"")</f>
        <v/>
      </c>
      <c r="AM50">
        <f t="array" ref="AM50">IFERROR((SUMPRODUCT((economics!$AG$2:$AG$167=$B50)*(economics!$D$2:$D$167="whr")*economics!$AI$2:$AI$167*(_xlfn.NORM.DIST(AM$3,economics!$AK$2:$AK$167,economics!$AJ$2:$AJ$167,TRUE)-_xlfn.NORM.DIST(AM$30,economics!$AK$2:$AK$167,economics!$AJ$2:$AJ$167,TRUE))*economics!$AM$2:$AM$167))/(SUMPRODUCT((economics!$AG$2:$AG$167=$B50)*(economics!$D$2:$D$167="whr")*economics!$AI$2:$AI$167*(_xlfn.NORM.DIST(AM$3,economics!$AK$2:$AK$167,economics!$AJ$2:$AJ$167,TRUE)-_xlfn.NORM.DIST(AM$30,economics!$AK$2:$AK$167,economics!$AJ$2:$AJ$167,TRUE)))),"")</f>
        <v/>
      </c>
      <c r="AN50">
        <f t="array" ref="AN50">IFERROR((SUMPRODUCT((economics!$AG$2:$AG$167=$B50)*(economics!$D$2:$D$167="whr")*economics!$AI$2:$AI$167*(_xlfn.NORM.DIST(AN$3,economics!$AK$2:$AK$167,economics!$AJ$2:$AJ$167,TRUE)-_xlfn.NORM.DIST(AN$30,economics!$AK$2:$AK$167,economics!$AJ$2:$AJ$167,TRUE))*economics!$AM$2:$AM$167))/(SUMPRODUCT((economics!$AG$2:$AG$167=$B50)*(economics!$D$2:$D$167="whr")*economics!$AI$2:$AI$167*(_xlfn.NORM.DIST(AN$3,economics!$AK$2:$AK$167,economics!$AJ$2:$AJ$167,TRUE)-_xlfn.NORM.DIST(AN$30,economics!$AK$2:$AK$167,economics!$AJ$2:$AJ$167,TRUE)))),"")</f>
        <v/>
      </c>
      <c r="AO50">
        <f t="array" ref="AO50">IFERROR((SUMPRODUCT((economics!$AG$2:$AG$167=$B50)*(economics!$D$2:$D$167="whr")*economics!$AI$2:$AI$167*(_xlfn.NORM.DIST(AO$3,economics!$AK$2:$AK$167,economics!$AJ$2:$AJ$167,TRUE)-_xlfn.NORM.DIST(AO$30,economics!$AK$2:$AK$167,economics!$AJ$2:$AJ$167,TRUE))*economics!$AM$2:$AM$167))/(SUMPRODUCT((economics!$AG$2:$AG$167=$B50)*(economics!$D$2:$D$167="whr")*economics!$AI$2:$AI$167*(_xlfn.NORM.DIST(AO$3,economics!$AK$2:$AK$167,economics!$AJ$2:$AJ$167,TRUE)-_xlfn.NORM.DIST(AO$30,economics!$AK$2:$AK$167,economics!$AJ$2:$AJ$167,TRUE)))),"")</f>
        <v/>
      </c>
      <c r="AP50">
        <f t="array" ref="AP50">IFERROR((SUMPRODUCT((economics!$AG$2:$AG$167=$B50)*(economics!$D$2:$D$167="whr")*economics!$AI$2:$AI$167*(_xlfn.NORM.DIST(AP$3,economics!$AK$2:$AK$167,economics!$AJ$2:$AJ$167,TRUE)-_xlfn.NORM.DIST(AP$30,economics!$AK$2:$AK$167,economics!$AJ$2:$AJ$167,TRUE))*economics!$AM$2:$AM$167))/(SUMPRODUCT((economics!$AG$2:$AG$167=$B50)*(economics!$D$2:$D$167="whr")*economics!$AI$2:$AI$167*(_xlfn.NORM.DIST(AP$3,economics!$AK$2:$AK$167,economics!$AJ$2:$AJ$167,TRUE)-_xlfn.NORM.DIST(AP$30,economics!$AK$2:$AK$167,economics!$AJ$2:$AJ$167,TRUE)))),"")</f>
        <v/>
      </c>
      <c r="AQ50">
        <f t="array" ref="AQ50">IFERROR((SUMPRODUCT((economics!$AG$2:$AG$167=$B50)*(economics!$D$2:$D$167="whr")*economics!$AI$2:$AI$167*(_xlfn.NORM.DIST(AQ$3,economics!$AK$2:$AK$167,economics!$AJ$2:$AJ$167,TRUE)-_xlfn.NORM.DIST(AQ$30,economics!$AK$2:$AK$167,economics!$AJ$2:$AJ$167,TRUE))*economics!$AM$2:$AM$167))/(SUMPRODUCT((economics!$AG$2:$AG$167=$B50)*(economics!$D$2:$D$167="whr")*economics!$AI$2:$AI$167*(_xlfn.NORM.DIST(AQ$3,economics!$AK$2:$AK$167,economics!$AJ$2:$AJ$167,TRUE)-_xlfn.NORM.DIST(AQ$30,economics!$AK$2:$AK$167,economics!$AJ$2:$AJ$167,TRUE)))),"")</f>
        <v/>
      </c>
      <c r="AR50">
        <f t="array" ref="AR50">IFERROR((SUMPRODUCT((economics!$AG$2:$AG$167=$B50)*(economics!$D$2:$D$167="whr")*economics!$AI$2:$AI$167*(_xlfn.NORM.DIST(AR$3,economics!$AK$2:$AK$167,economics!$AJ$2:$AJ$167,TRUE)-_xlfn.NORM.DIST(AR$30,economics!$AK$2:$AK$167,economics!$AJ$2:$AJ$167,TRUE))*economics!$AM$2:$AM$167))/(SUMPRODUCT((economics!$AG$2:$AG$167=$B50)*(economics!$D$2:$D$167="whr")*economics!$AI$2:$AI$167*(_xlfn.NORM.DIST(AR$3,economics!$AK$2:$AK$167,economics!$AJ$2:$AJ$167,TRUE)-_xlfn.NORM.DIST(AR$30,economics!$AK$2:$AK$167,economics!$AJ$2:$AJ$167,TRUE)))),"")</f>
        <v/>
      </c>
      <c r="AS50">
        <f t="array" ref="AS50">IFERROR((SUMPRODUCT((economics!$AG$2:$AG$167=$B50)*(economics!$D$2:$D$167="whr")*economics!$AI$2:$AI$167*(_xlfn.NORM.DIST(AS$3,economics!$AK$2:$AK$167,economics!$AJ$2:$AJ$167,TRUE)-_xlfn.NORM.DIST(AS$30,economics!$AK$2:$AK$167,economics!$AJ$2:$AJ$167,TRUE))*economics!$AM$2:$AM$167))/(SUMPRODUCT((economics!$AG$2:$AG$167=$B50)*(economics!$D$2:$D$167="whr")*economics!$AI$2:$AI$167*(_xlfn.NORM.DIST(AS$3,economics!$AK$2:$AK$167,economics!$AJ$2:$AJ$167,TRUE)-_xlfn.NORM.DIST(AS$30,economics!$AK$2:$AK$167,economics!$AJ$2:$AJ$167,TRUE)))),"")</f>
        <v/>
      </c>
      <c r="AT50">
        <f t="array" ref="AT50">IFERROR((SUMPRODUCT((economics!$AG$2:$AG$167=$B50)*(economics!$D$2:$D$167="whr")*economics!$AI$2:$AI$167*(_xlfn.NORM.DIST(AT$3,economics!$AK$2:$AK$167,economics!$AJ$2:$AJ$167,TRUE)-_xlfn.NORM.DIST(AT$30,economics!$AK$2:$AK$167,economics!$AJ$2:$AJ$167,TRUE))*economics!$AM$2:$AM$167))/(SUMPRODUCT((economics!$AG$2:$AG$167=$B50)*(economics!$D$2:$D$167="whr")*economics!$AI$2:$AI$167*(_xlfn.NORM.DIST(AT$3,economics!$AK$2:$AK$167,economics!$AJ$2:$AJ$167,TRUE)-_xlfn.NORM.DIST(AT$30,economics!$AK$2:$AK$167,economics!$AJ$2:$AJ$167,TRUE)))),"")</f>
        <v/>
      </c>
      <c r="AU50">
        <f t="array" ref="AU50">IFERROR((SUMPRODUCT((economics!$AG$2:$AG$167=$B50)*(economics!$D$2:$D$167="whr")*economics!$AI$2:$AI$167*(_xlfn.NORM.DIST(AU$3,economics!$AK$2:$AK$167,economics!$AJ$2:$AJ$167,TRUE)-_xlfn.NORM.DIST(AU$30,economics!$AK$2:$AK$167,economics!$AJ$2:$AJ$167,TRUE))*economics!$AM$2:$AM$167))/(SUMPRODUCT((economics!$AG$2:$AG$167=$B50)*(economics!$D$2:$D$167="whr")*economics!$AI$2:$AI$167*(_xlfn.NORM.DIST(AU$3,economics!$AK$2:$AK$167,economics!$AJ$2:$AJ$167,TRUE)-_xlfn.NORM.DIST(AU$30,economics!$AK$2:$AK$167,economics!$AJ$2:$AJ$167,TRUE)))),"")</f>
        <v/>
      </c>
      <c r="AV50">
        <f t="array" ref="AV50">IFERROR((SUMPRODUCT((economics!$AG$2:$AG$167=$B50)*(economics!$D$2:$D$167="whr")*economics!$AI$2:$AI$167*(_xlfn.NORM.DIST(AV$3,economics!$AK$2:$AK$167,economics!$AJ$2:$AJ$167,TRUE)-_xlfn.NORM.DIST(AV$30,economics!$AK$2:$AK$167,economics!$AJ$2:$AJ$167,TRUE))*economics!$AM$2:$AM$167))/(SUMPRODUCT((economics!$AG$2:$AG$167=$B50)*(economics!$D$2:$D$167="whr")*economics!$AI$2:$AI$167*(_xlfn.NORM.DIST(AV$3,economics!$AK$2:$AK$167,economics!$AJ$2:$AJ$167,TRUE)-_xlfn.NORM.DIST(AV$30,economics!$AK$2:$AK$167,economics!$AJ$2:$AJ$167,TRUE)))),"")</f>
        <v/>
      </c>
      <c r="AW50">
        <f t="array" ref="AW50">IFERROR((SUMPRODUCT((economics!$AG$2:$AG$167=$B50)*(economics!$D$2:$D$167="whr")*economics!$AI$2:$AI$167*(_xlfn.NORM.DIST(AW$3,economics!$AK$2:$AK$167,economics!$AJ$2:$AJ$167,TRUE)-_xlfn.NORM.DIST(AW$30,economics!$AK$2:$AK$167,economics!$AJ$2:$AJ$167,TRUE))*economics!$AM$2:$AM$167))/(SUMPRODUCT((economics!$AG$2:$AG$167=$B50)*(economics!$D$2:$D$167="whr")*economics!$AI$2:$AI$167*(_xlfn.NORM.DIST(AW$3,economics!$AK$2:$AK$167,economics!$AJ$2:$AJ$167,TRUE)-_xlfn.NORM.DIST(AW$30,economics!$AK$2:$AK$167,economics!$AJ$2:$AJ$167,TRUE)))),"")</f>
        <v/>
      </c>
      <c r="AX50">
        <f t="array" ref="AX50">IFERROR((SUMPRODUCT((economics!$AG$2:$AG$167=$B50)*(economics!$D$2:$D$167="whr")*economics!$AI$2:$AI$167*(_xlfn.NORM.DIST(AX$3,economics!$AK$2:$AK$167,economics!$AJ$2:$AJ$167,TRUE)-_xlfn.NORM.DIST(AX$30,economics!$AK$2:$AK$167,economics!$AJ$2:$AJ$167,TRUE))*economics!$AM$2:$AM$167))/(SUMPRODUCT((economics!$AG$2:$AG$167=$B50)*(economics!$D$2:$D$167="whr")*economics!$AI$2:$AI$167*(_xlfn.NORM.DIST(AX$3,economics!$AK$2:$AK$167,economics!$AJ$2:$AJ$167,TRUE)-_xlfn.NORM.DIST(AX$30,economics!$AK$2:$AK$167,economics!$AJ$2:$AJ$167,TRUE)))),"")</f>
        <v/>
      </c>
      <c r="AY50">
        <f t="array" ref="AY50">IFERROR((SUMPRODUCT((economics!$AG$2:$AG$167=$B50)*(economics!$D$2:$D$167="whr")*economics!$AI$2:$AI$167*(_xlfn.NORM.DIST(AY$3,economics!$AK$2:$AK$167,economics!$AJ$2:$AJ$167,TRUE)-_xlfn.NORM.DIST(AY$30,economics!$AK$2:$AK$167,economics!$AJ$2:$AJ$167,TRUE))*economics!$AM$2:$AM$167))/(SUMPRODUCT((economics!$AG$2:$AG$167=$B50)*(economics!$D$2:$D$167="whr")*economics!$AI$2:$AI$167*(_xlfn.NORM.DIST(AY$3,economics!$AK$2:$AK$167,economics!$AJ$2:$AJ$167,TRUE)-_xlfn.NORM.DIST(AY$30,economics!$AK$2:$AK$167,economics!$AJ$2:$AJ$167,TRUE)))),"")</f>
        <v/>
      </c>
      <c r="AZ50">
        <f t="array" ref="AZ50">IFERROR((SUMPRODUCT((economics!$AG$2:$AG$167=$B50)*(economics!$D$2:$D$167="whr")*economics!$AI$2:$AI$167*(_xlfn.NORM.DIST(AZ$3,economics!$AK$2:$AK$167,economics!$AJ$2:$AJ$167,TRUE)-_xlfn.NORM.DIST(AZ$30,economics!$AK$2:$AK$167,economics!$AJ$2:$AJ$167,TRUE))*economics!$AM$2:$AM$167))/(SUMPRODUCT((economics!$AG$2:$AG$167=$B50)*(economics!$D$2:$D$167="whr")*economics!$AI$2:$AI$167*(_xlfn.NORM.DIST(AZ$3,economics!$AK$2:$AK$167,economics!$AJ$2:$AJ$167,TRUE)-_xlfn.NORM.DIST(AZ$30,economics!$AK$2:$AK$167,economics!$AJ$2:$AJ$167,TRUE)))),"")</f>
        <v/>
      </c>
      <c r="BA50">
        <f t="array" ref="BA50">IFERROR((SUMPRODUCT((economics!$AG$2:$AG$167=$B50)*(economics!$D$2:$D$167="whr")*economics!$AI$2:$AI$167*(_xlfn.NORM.DIST(BA$3,economics!$AK$2:$AK$167,economics!$AJ$2:$AJ$167,TRUE)-_xlfn.NORM.DIST(BA$30,economics!$AK$2:$AK$167,economics!$AJ$2:$AJ$167,TRUE))*economics!$AM$2:$AM$167))/(SUMPRODUCT((economics!$AG$2:$AG$167=$B50)*(economics!$D$2:$D$167="whr")*economics!$AI$2:$AI$167*(_xlfn.NORM.DIST(BA$3,economics!$AK$2:$AK$167,economics!$AJ$2:$AJ$167,TRUE)-_xlfn.NORM.DIST(BA$30,economics!$AK$2:$AK$167,economics!$AJ$2:$AJ$167,TRUE)))),"")</f>
        <v/>
      </c>
      <c r="BB50">
        <f t="array" ref="BB50">IFERROR((SUMPRODUCT((economics!$AG$2:$AG$167=$B50)*(economics!$D$2:$D$167="whr")*economics!$AI$2:$AI$167*(_xlfn.NORM.DIST(BB$3,economics!$AK$2:$AK$167,economics!$AJ$2:$AJ$167,TRUE)-_xlfn.NORM.DIST(BB$30,economics!$AK$2:$AK$167,economics!$AJ$2:$AJ$167,TRUE))*economics!$AM$2:$AM$167))/(SUMPRODUCT((economics!$AG$2:$AG$167=$B50)*(economics!$D$2:$D$167="whr")*economics!$AI$2:$AI$167*(_xlfn.NORM.DIST(BB$3,economics!$AK$2:$AK$167,economics!$AJ$2:$AJ$167,TRUE)-_xlfn.NORM.DIST(BB$30,economics!$AK$2:$AK$167,economics!$AJ$2:$AJ$167,TRUE)))),"")</f>
        <v/>
      </c>
      <c r="BC50">
        <f t="array" ref="BC50">IFERROR((SUMPRODUCT((economics!$AG$2:$AG$167=$B50)*(economics!$D$2:$D$167="whr")*economics!$AI$2:$AI$167*(_xlfn.NORM.DIST(BC$3,economics!$AK$2:$AK$167,economics!$AJ$2:$AJ$167,TRUE)-_xlfn.NORM.DIST(BC$30,economics!$AK$2:$AK$167,economics!$AJ$2:$AJ$167,TRUE))*economics!$AM$2:$AM$167))/(SUMPRODUCT((economics!$AG$2:$AG$167=$B50)*(economics!$D$2:$D$167="whr")*economics!$AI$2:$AI$167*(_xlfn.NORM.DIST(BC$3,economics!$AK$2:$AK$167,economics!$AJ$2:$AJ$167,TRUE)-_xlfn.NORM.DIST(BC$30,economics!$AK$2:$AK$167,economics!$AJ$2:$AJ$167,TRUE)))),"")</f>
        <v/>
      </c>
      <c r="BD50">
        <f t="array" ref="BD50">IFERROR((SUMPRODUCT((economics!$AG$2:$AG$167=$B50)*(economics!$D$2:$D$167="whr")*economics!$AI$2:$AI$167*(_xlfn.NORM.DIST(BD$3,economics!$AK$2:$AK$167,economics!$AJ$2:$AJ$167,TRUE)-_xlfn.NORM.DIST(BD$30,economics!$AK$2:$AK$167,economics!$AJ$2:$AJ$167,TRUE))*economics!$AM$2:$AM$167))/(SUMPRODUCT((economics!$AG$2:$AG$167=$B50)*(economics!$D$2:$D$167="whr")*economics!$AI$2:$AI$167*(_xlfn.NORM.DIST(BD$3,economics!$AK$2:$AK$167,economics!$AJ$2:$AJ$167,TRUE)-_xlfn.NORM.DIST(BD$30,economics!$AK$2:$AK$167,economics!$AJ$2:$AJ$167,TRUE)))),"")</f>
        <v/>
      </c>
      <c r="BE50">
        <f t="array" ref="BE50">IFERROR((SUMPRODUCT((economics!$AG$2:$AG$167=$B50)*(economics!$D$2:$D$167="whr")*economics!$AI$2:$AI$167*(_xlfn.NORM.DIST(BE$3,economics!$AK$2:$AK$167,economics!$AJ$2:$AJ$167,TRUE)-_xlfn.NORM.DIST(BE$30,economics!$AK$2:$AK$167,economics!$AJ$2:$AJ$167,TRUE))*economics!$AM$2:$AM$167))/(SUMPRODUCT((economics!$AG$2:$AG$167=$B50)*(economics!$D$2:$D$167="whr")*economics!$AI$2:$AI$167*(_xlfn.NORM.DIST(BE$3,economics!$AK$2:$AK$167,economics!$AJ$2:$AJ$167,TRUE)-_xlfn.NORM.DIST(BE$30,economics!$AK$2:$AK$167,economics!$AJ$2:$AJ$167,TRUE)))),"")</f>
        <v/>
      </c>
      <c r="BF50">
        <f t="array" ref="BF50">IFERROR((SUMPRODUCT((economics!$AG$2:$AG$167=$B50)*(economics!$D$2:$D$167="whr")*economics!$AI$2:$AI$167*(_xlfn.NORM.DIST(BF$3,economics!$AK$2:$AK$167,economics!$AJ$2:$AJ$167,TRUE)-_xlfn.NORM.DIST(BF$30,economics!$AK$2:$AK$167,economics!$AJ$2:$AJ$167,TRUE))*economics!$AM$2:$AM$167))/(SUMPRODUCT((economics!$AG$2:$AG$167=$B50)*(economics!$D$2:$D$167="whr")*economics!$AI$2:$AI$167*(_xlfn.NORM.DIST(BF$3,economics!$AK$2:$AK$167,economics!$AJ$2:$AJ$167,TRUE)-_xlfn.NORM.DIST(BF$30,economics!$AK$2:$AK$167,economics!$AJ$2:$AJ$167,TRUE)))),"")</f>
        <v/>
      </c>
      <c r="BG50">
        <f t="array" ref="BG50">IFERROR((SUMPRODUCT((economics!$AG$2:$AG$167=$B50)*(economics!$D$2:$D$167="whr")*economics!$AI$2:$AI$167*(_xlfn.NORM.DIST(BG$3,economics!$AK$2:$AK$167,economics!$AJ$2:$AJ$167,TRUE)-_xlfn.NORM.DIST(BG$30,economics!$AK$2:$AK$167,economics!$AJ$2:$AJ$167,TRUE))*economics!$AM$2:$AM$167))/(SUMPRODUCT((economics!$AG$2:$AG$167=$B50)*(economics!$D$2:$D$167="whr")*economics!$AI$2:$AI$167*(_xlfn.NORM.DIST(BG$3,economics!$AK$2:$AK$167,economics!$AJ$2:$AJ$167,TRUE)-_xlfn.NORM.DIST(BG$30,economics!$AK$2:$AK$167,economics!$AJ$2:$AJ$167,TRUE)))),"")</f>
        <v/>
      </c>
      <c r="BH50">
        <f t="array" ref="BH50">IFERROR((SUMPRODUCT((economics!$AG$2:$AG$167=$B50)*(economics!$D$2:$D$167="whr")*economics!$AI$2:$AI$167*(_xlfn.NORM.DIST(BH$3,economics!$AK$2:$AK$167,economics!$AJ$2:$AJ$167,TRUE)-_xlfn.NORM.DIST(BH$30,economics!$AK$2:$AK$167,economics!$AJ$2:$AJ$167,TRUE))*economics!$AM$2:$AM$167))/(SUMPRODUCT((economics!$AG$2:$AG$167=$B50)*(economics!$D$2:$D$167="whr")*economics!$AI$2:$AI$167*(_xlfn.NORM.DIST(BH$3,economics!$AK$2:$AK$167,economics!$AJ$2:$AJ$167,TRUE)-_xlfn.NORM.DIST(BH$30,economics!$AK$2:$AK$167,economics!$AJ$2:$AJ$167,TRUE)))),"")</f>
        <v/>
      </c>
      <c r="BI50">
        <f t="array" ref="BI50">IFERROR((SUMPRODUCT((economics!$AG$2:$AG$167=$B50)*(economics!$D$2:$D$167="whr")*economics!$AI$2:$AI$167*(_xlfn.NORM.DIST(BI$3,economics!$AK$2:$AK$167,economics!$AJ$2:$AJ$167,TRUE)-_xlfn.NORM.DIST(BI$30,economics!$AK$2:$AK$167,economics!$AJ$2:$AJ$167,TRUE))*economics!$AM$2:$AM$167))/(SUMPRODUCT((economics!$AG$2:$AG$167=$B50)*(economics!$D$2:$D$167="whr")*economics!$AI$2:$AI$167*(_xlfn.NORM.DIST(BI$3,economics!$AK$2:$AK$167,economics!$AJ$2:$AJ$167,TRUE)-_xlfn.NORM.DIST(BI$30,economics!$AK$2:$AK$167,economics!$AJ$2:$AJ$167,TRUE)))),"")</f>
        <v/>
      </c>
      <c r="BJ50">
        <f t="array" ref="BJ50">IFERROR((SUMPRODUCT((economics!$AG$2:$AG$167=$B50)*(economics!$D$2:$D$167="whr")*economics!$AI$2:$AI$167*(_xlfn.NORM.DIST(BJ$3,economics!$AK$2:$AK$167,economics!$AJ$2:$AJ$167,TRUE)-_xlfn.NORM.DIST(BJ$30,economics!$AK$2:$AK$167,economics!$AJ$2:$AJ$167,TRUE))*economics!$AM$2:$AM$167))/(SUMPRODUCT((economics!$AG$2:$AG$167=$B50)*(economics!$D$2:$D$167="whr")*economics!$AI$2:$AI$167*(_xlfn.NORM.DIST(BJ$3,economics!$AK$2:$AK$167,economics!$AJ$2:$AJ$167,TRUE)-_xlfn.NORM.DIST(BJ$30,economics!$AK$2:$AK$167,economics!$AJ$2:$AJ$167,TRUE)))),"")</f>
        <v/>
      </c>
      <c r="BK50">
        <f t="array" ref="BK50">IFERROR((SUMPRODUCT((economics!$AG$2:$AG$167=$B50)*(economics!$D$2:$D$167="whr")*economics!$AI$2:$AI$167*(_xlfn.NORM.DIST(BK$3,economics!$AK$2:$AK$167,economics!$AJ$2:$AJ$167,TRUE)-_xlfn.NORM.DIST(BK$30,economics!$AK$2:$AK$167,economics!$AJ$2:$AJ$167,TRUE))*economics!$AM$2:$AM$167))/(SUMPRODUCT((economics!$AG$2:$AG$167=$B50)*(economics!$D$2:$D$167="whr")*economics!$AI$2:$AI$167*(_xlfn.NORM.DIST(BK$3,economics!$AK$2:$AK$167,economics!$AJ$2:$AJ$167,TRUE)-_xlfn.NORM.DIST(BK$30,economics!$AK$2:$AK$167,economics!$AJ$2:$AJ$167,TRUE)))),"")</f>
        <v/>
      </c>
      <c r="BL50">
        <f t="array" ref="BL50">IFERROR((SUMPRODUCT((economics!$AG$2:$AG$167=$B50)*(economics!$D$2:$D$167="whr")*economics!$AI$2:$AI$167*(_xlfn.NORM.DIST(BL$3,economics!$AK$2:$AK$167,economics!$AJ$2:$AJ$167,TRUE)-_xlfn.NORM.DIST(BL$30,economics!$AK$2:$AK$167,economics!$AJ$2:$AJ$167,TRUE))*economics!$AM$2:$AM$167))/(SUMPRODUCT((economics!$AG$2:$AG$167=$B50)*(economics!$D$2:$D$167="whr")*economics!$AI$2:$AI$167*(_xlfn.NORM.DIST(BL$3,economics!$AK$2:$AK$167,economics!$AJ$2:$AJ$167,TRUE)-_xlfn.NORM.DIST(BL$30,economics!$AK$2:$AK$167,economics!$AJ$2:$AJ$167,TRUE)))),"")</f>
        <v/>
      </c>
      <c r="BM50">
        <f t="array" ref="BM50">IFERROR((SUMPRODUCT((economics!$AG$2:$AG$167=$B50)*(economics!$D$2:$D$167="whr")*economics!$AI$2:$AI$167*(_xlfn.NORM.DIST(BM$3,economics!$AK$2:$AK$167,economics!$AJ$2:$AJ$167,TRUE)-_xlfn.NORM.DIST(BM$30,economics!$AK$2:$AK$167,economics!$AJ$2:$AJ$167,TRUE))*economics!$AM$2:$AM$167))/(SUMPRODUCT((economics!$AG$2:$AG$167=$B50)*(economics!$D$2:$D$167="whr")*economics!$AI$2:$AI$167*(_xlfn.NORM.DIST(BM$3,economics!$AK$2:$AK$167,economics!$AJ$2:$AJ$167,TRUE)-_xlfn.NORM.DIST(BM$30,economics!$AK$2:$AK$167,economics!$AJ$2:$AJ$167,TRUE)))),"")</f>
        <v/>
      </c>
      <c r="BN50">
        <f t="array" ref="BN50">IFERROR((SUMPRODUCT((economics!$AG$2:$AG$167=$B50)*(economics!$D$2:$D$167="whr")*economics!$AI$2:$AI$167*(_xlfn.NORM.DIST(BN$3,economics!$AK$2:$AK$167,economics!$AJ$2:$AJ$167,TRUE)-_xlfn.NORM.DIST(BN$30,economics!$AK$2:$AK$167,economics!$AJ$2:$AJ$167,TRUE))*economics!$AM$2:$AM$167))/(SUMPRODUCT((economics!$AG$2:$AG$167=$B50)*(economics!$D$2:$D$167="whr")*economics!$AI$2:$AI$167*(_xlfn.NORM.DIST(BN$3,economics!$AK$2:$AK$167,economics!$AJ$2:$AJ$167,TRUE)-_xlfn.NORM.DIST(BN$30,economics!$AK$2:$AK$167,economics!$AJ$2:$AJ$167,TRUE)))),"")</f>
        <v/>
      </c>
      <c r="BO50">
        <f t="array" ref="BO50">IFERROR((SUMPRODUCT((economics!$AG$2:$AG$167=$B50)*(economics!$D$2:$D$167="whr")*economics!$AI$2:$AI$167*(_xlfn.NORM.DIST(BO$3,economics!$AK$2:$AK$167,economics!$AJ$2:$AJ$167,TRUE)-_xlfn.NORM.DIST(BO$30,economics!$AK$2:$AK$167,economics!$AJ$2:$AJ$167,TRUE))*economics!$AM$2:$AM$167))/(SUMPRODUCT((economics!$AG$2:$AG$167=$B50)*(economics!$D$2:$D$167="whr")*economics!$AI$2:$AI$167*(_xlfn.NORM.DIST(BO$3,economics!$AK$2:$AK$167,economics!$AJ$2:$AJ$167,TRUE)-_xlfn.NORM.DIST(BO$30,economics!$AK$2:$AK$167,economics!$AJ$2:$AJ$167,TRUE)))),"")</f>
        <v/>
      </c>
      <c r="BP50">
        <f t="array" ref="BP50">IFERROR((SUMPRODUCT((economics!$AG$2:$AG$167=$B50)*(economics!$D$2:$D$167="whr")*economics!$AI$2:$AI$167*(_xlfn.NORM.DIST(BP$3,economics!$AK$2:$AK$167,economics!$AJ$2:$AJ$167,TRUE)-_xlfn.NORM.DIST(BP$30,economics!$AK$2:$AK$167,economics!$AJ$2:$AJ$167,TRUE))*economics!$AM$2:$AM$167))/(SUMPRODUCT((economics!$AG$2:$AG$167=$B50)*(economics!$D$2:$D$167="whr")*economics!$AI$2:$AI$167*(_xlfn.NORM.DIST(BP$3,economics!$AK$2:$AK$167,economics!$AJ$2:$AJ$167,TRUE)-_xlfn.NORM.DIST(BP$30,economics!$AK$2:$AK$167,economics!$AJ$2:$AJ$167,TRUE)))),"")</f>
        <v/>
      </c>
      <c r="BQ50">
        <f t="array" ref="BQ50">IFERROR((SUMPRODUCT((economics!$AG$2:$AG$167=$B50)*(economics!$D$2:$D$167="whr")*economics!$AI$2:$AI$167*(_xlfn.NORM.DIST(BQ$3,economics!$AK$2:$AK$167,economics!$AJ$2:$AJ$167,TRUE)-_xlfn.NORM.DIST(BQ$30,economics!$AK$2:$AK$167,economics!$AJ$2:$AJ$167,TRUE))*economics!$AM$2:$AM$167))/(SUMPRODUCT((economics!$AG$2:$AG$167=$B50)*(economics!$D$2:$D$167="whr")*economics!$AI$2:$AI$167*(_xlfn.NORM.DIST(BQ$3,economics!$AK$2:$AK$167,economics!$AJ$2:$AJ$167,TRUE)-_xlfn.NORM.DIST(BQ$30,economics!$AK$2:$AK$167,economics!$AJ$2:$AJ$167,TRUE)))),"")</f>
        <v/>
      </c>
      <c r="BR50">
        <f t="array" ref="BR50">IFERROR((SUMPRODUCT((economics!$AG$2:$AG$167=$B50)*(economics!$D$2:$D$167="whr")*economics!$AI$2:$AI$167*(_xlfn.NORM.DIST(BR$3,economics!$AK$2:$AK$167,economics!$AJ$2:$AJ$167,TRUE)-_xlfn.NORM.DIST(BR$30,economics!$AK$2:$AK$167,economics!$AJ$2:$AJ$167,TRUE))*economics!$AM$2:$AM$167))/(SUMPRODUCT((economics!$AG$2:$AG$167=$B50)*(economics!$D$2:$D$167="whr")*economics!$AI$2:$AI$167*(_xlfn.NORM.DIST(BR$3,economics!$AK$2:$AK$167,economics!$AJ$2:$AJ$167,TRUE)-_xlfn.NORM.DIST(BR$30,economics!$AK$2:$AK$167,economics!$AJ$2:$AJ$167,TRUE)))),"")</f>
        <v/>
      </c>
      <c r="BS50">
        <f t="array" ref="BS50">IFERROR((SUMPRODUCT((economics!$AG$2:$AG$167=$B50)*(economics!$D$2:$D$167="whr")*economics!$AI$2:$AI$167*(_xlfn.NORM.DIST(BS$3,economics!$AK$2:$AK$167,economics!$AJ$2:$AJ$167,TRUE)-_xlfn.NORM.DIST(BS$30,economics!$AK$2:$AK$167,economics!$AJ$2:$AJ$167,TRUE))*economics!$AM$2:$AM$167))/(SUMPRODUCT((economics!$AG$2:$AG$167=$B50)*(economics!$D$2:$D$167="whr")*economics!$AI$2:$AI$167*(_xlfn.NORM.DIST(BS$3,economics!$AK$2:$AK$167,economics!$AJ$2:$AJ$167,TRUE)-_xlfn.NORM.DIST(BS$30,economics!$AK$2:$AK$167,economics!$AJ$2:$AJ$167,TRUE)))),"")</f>
        <v/>
      </c>
      <c r="BT50">
        <f t="array" ref="BT50">IFERROR((SUMPRODUCT((economics!$AG$2:$AG$167=$B50)*(economics!$D$2:$D$167="whr")*economics!$AI$2:$AI$167*(_xlfn.NORM.DIST(BT$3,economics!$AK$2:$AK$167,economics!$AJ$2:$AJ$167,TRUE)-_xlfn.NORM.DIST(BT$30,economics!$AK$2:$AK$167,economics!$AJ$2:$AJ$167,TRUE))*economics!$AM$2:$AM$167))/(SUMPRODUCT((economics!$AG$2:$AG$167=$B50)*(economics!$D$2:$D$167="whr")*economics!$AI$2:$AI$167*(_xlfn.NORM.DIST(BT$3,economics!$AK$2:$AK$167,economics!$AJ$2:$AJ$167,TRUE)-_xlfn.NORM.DIST(BT$30,economics!$AK$2:$AK$167,economics!$AJ$2:$AJ$167,TRUE)))),"")</f>
        <v/>
      </c>
      <c r="BU50">
        <f t="array" ref="BU50">IFERROR((SUMPRODUCT((economics!$AG$2:$AG$167=$B50)*(economics!$D$2:$D$167="whr")*economics!$AI$2:$AI$167*(_xlfn.NORM.DIST(BU$3,economics!$AK$2:$AK$167,economics!$AJ$2:$AJ$167,TRUE)-_xlfn.NORM.DIST(BU$30,economics!$AK$2:$AK$167,economics!$AJ$2:$AJ$167,TRUE))*economics!$AM$2:$AM$167))/(SUMPRODUCT((economics!$AG$2:$AG$167=$B50)*(economics!$D$2:$D$167="whr")*economics!$AI$2:$AI$167*(_xlfn.NORM.DIST(BU$3,economics!$AK$2:$AK$167,economics!$AJ$2:$AJ$167,TRUE)-_xlfn.NORM.DIST(BU$30,economics!$AK$2:$AK$167,economics!$AJ$2:$AJ$167,TRUE)))),"")</f>
        <v/>
      </c>
      <c r="BV50">
        <f t="array" ref="BV50">IFERROR((SUMPRODUCT((economics!$AG$2:$AG$167=$B50)*(economics!$D$2:$D$167="whr")*economics!$AI$2:$AI$167*(_xlfn.NORM.DIST(BV$3,economics!$AK$2:$AK$167,economics!$AJ$2:$AJ$167,TRUE)-_xlfn.NORM.DIST(BV$30,economics!$AK$2:$AK$167,economics!$AJ$2:$AJ$167,TRUE))*economics!$AM$2:$AM$167))/(SUMPRODUCT((economics!$AG$2:$AG$167=$B50)*(economics!$D$2:$D$167="whr")*economics!$AI$2:$AI$167*(_xlfn.NORM.DIST(BV$3,economics!$AK$2:$AK$167,economics!$AJ$2:$AJ$167,TRUE)-_xlfn.NORM.DIST(BV$30,economics!$AK$2:$AK$167,economics!$AJ$2:$AJ$167,TRUE)))),"")</f>
        <v/>
      </c>
      <c r="BW50">
        <f t="array" ref="BW50">IFERROR((SUMPRODUCT((economics!$AG$2:$AG$167=$B50)*(economics!$D$2:$D$167="whr")*economics!$AI$2:$AI$167*(_xlfn.NORM.DIST(BW$3,economics!$AK$2:$AK$167,economics!$AJ$2:$AJ$167,TRUE)-_xlfn.NORM.DIST(BW$30,economics!$AK$2:$AK$167,economics!$AJ$2:$AJ$167,TRUE))*economics!$AM$2:$AM$167))/(SUMPRODUCT((economics!$AG$2:$AG$167=$B50)*(economics!$D$2:$D$167="whr")*economics!$AI$2:$AI$167*(_xlfn.NORM.DIST(BW$3,economics!$AK$2:$AK$167,economics!$AJ$2:$AJ$167,TRUE)-_xlfn.NORM.DIST(BW$30,economics!$AK$2:$AK$167,economics!$AJ$2:$AJ$167,TRUE)))),"")</f>
        <v/>
      </c>
      <c r="BX50">
        <f t="array" ref="BX50">IFERROR((SUMPRODUCT((economics!$AG$2:$AG$167=$B50)*(economics!$D$2:$D$167="whr")*economics!$AI$2:$AI$167*(_xlfn.NORM.DIST(BX$3,economics!$AK$2:$AK$167,economics!$AJ$2:$AJ$167,TRUE)-_xlfn.NORM.DIST(BX$30,economics!$AK$2:$AK$167,economics!$AJ$2:$AJ$167,TRUE))*economics!$AM$2:$AM$167))/(SUMPRODUCT((economics!$AG$2:$AG$167=$B50)*(economics!$D$2:$D$167="whr")*economics!$AI$2:$AI$167*(_xlfn.NORM.DIST(BX$3,economics!$AK$2:$AK$167,economics!$AJ$2:$AJ$167,TRUE)-_xlfn.NORM.DIST(BX$30,economics!$AK$2:$AK$167,economics!$AJ$2:$AJ$167,TRUE)))),"")</f>
        <v/>
      </c>
      <c r="BY50">
        <f t="array" ref="BY50">IFERROR((SUMPRODUCT((economics!$AG$2:$AG$167=$B50)*(economics!$D$2:$D$167="whr")*economics!$AI$2:$AI$167*(_xlfn.NORM.DIST(BY$3,economics!$AK$2:$AK$167,economics!$AJ$2:$AJ$167,TRUE)-_xlfn.NORM.DIST(BY$30,economics!$AK$2:$AK$167,economics!$AJ$2:$AJ$167,TRUE))*economics!$AM$2:$AM$167))/(SUMPRODUCT((economics!$AG$2:$AG$167=$B50)*(economics!$D$2:$D$167="whr")*economics!$AI$2:$AI$167*(_xlfn.NORM.DIST(BY$3,economics!$AK$2:$AK$167,economics!$AJ$2:$AJ$167,TRUE)-_xlfn.NORM.DIST(BY$30,economics!$AK$2:$AK$167,economics!$AJ$2:$AJ$167,TRUE)))),"")</f>
        <v/>
      </c>
      <c r="BZ50">
        <f t="array" ref="BZ50">IFERROR((SUMPRODUCT((economics!$AG$2:$AG$167=$B50)*(economics!$D$2:$D$167="whr")*economics!$AI$2:$AI$167*(_xlfn.NORM.DIST(BZ$3,economics!$AK$2:$AK$167,economics!$AJ$2:$AJ$167,TRUE)-_xlfn.NORM.DIST(BZ$30,economics!$AK$2:$AK$167,economics!$AJ$2:$AJ$167,TRUE))*economics!$AM$2:$AM$167))/(SUMPRODUCT((economics!$AG$2:$AG$167=$B50)*(economics!$D$2:$D$167="whr")*economics!$AI$2:$AI$167*(_xlfn.NORM.DIST(BZ$3,economics!$AK$2:$AK$167,economics!$AJ$2:$AJ$167,TRUE)-_xlfn.NORM.DIST(BZ$30,economics!$AK$2:$AK$167,economics!$AJ$2:$AJ$167,TRUE)))),"")</f>
        <v/>
      </c>
      <c r="CA50">
        <f t="array" ref="CA50">IFERROR((SUMPRODUCT((economics!$AG$2:$AG$167=$B50)*(economics!$D$2:$D$167="whr")*economics!$AI$2:$AI$167*(_xlfn.NORM.DIST(CA$3,economics!$AK$2:$AK$167,economics!$AJ$2:$AJ$167,TRUE)-_xlfn.NORM.DIST(CA$30,economics!$AK$2:$AK$167,economics!$AJ$2:$AJ$167,TRUE))*economics!$AM$2:$AM$167))/(SUMPRODUCT((economics!$AG$2:$AG$167=$B50)*(economics!$D$2:$D$167="whr")*economics!$AI$2:$AI$167*(_xlfn.NORM.DIST(CA$3,economics!$AK$2:$AK$167,economics!$AJ$2:$AJ$167,TRUE)-_xlfn.NORM.DIST(CA$30,economics!$AK$2:$AK$167,economics!$AJ$2:$AJ$167,TRUE)))),"")</f>
        <v/>
      </c>
      <c r="CB50">
        <f t="array" ref="CB50">IFERROR((SUMPRODUCT((economics!$AG$2:$AG$167=$B50)*(economics!$D$2:$D$167="whr")*economics!$AI$2:$AI$167*(_xlfn.NORM.DIST(CB$3,economics!$AK$2:$AK$167,economics!$AJ$2:$AJ$167,TRUE)-_xlfn.NORM.DIST(CB$30,economics!$AK$2:$AK$167,economics!$AJ$2:$AJ$167,TRUE))*economics!$AM$2:$AM$167))/(SUMPRODUCT((economics!$AG$2:$AG$167=$B50)*(economics!$D$2:$D$167="whr")*economics!$AI$2:$AI$167*(_xlfn.NORM.DIST(CB$3,economics!$AK$2:$AK$167,economics!$AJ$2:$AJ$167,TRUE)-_xlfn.NORM.DIST(CB$30,economics!$AK$2:$AK$167,economics!$AJ$2:$AJ$167,TRUE)))),"")</f>
        <v/>
      </c>
      <c r="CC50">
        <f t="array" ref="CC50">IFERROR((SUMPRODUCT((economics!$AG$2:$AG$167=$B50)*(economics!$D$2:$D$167="whr")*economics!$AI$2:$AI$167*(_xlfn.NORM.DIST(CC$3,economics!$AK$2:$AK$167,economics!$AJ$2:$AJ$167,TRUE)-_xlfn.NORM.DIST(CC$30,economics!$AK$2:$AK$167,economics!$AJ$2:$AJ$167,TRUE))*economics!$AM$2:$AM$167))/(SUMPRODUCT((economics!$AG$2:$AG$167=$B50)*(economics!$D$2:$D$167="whr")*economics!$AI$2:$AI$167*(_xlfn.NORM.DIST(CC$3,economics!$AK$2:$AK$167,economics!$AJ$2:$AJ$167,TRUE)-_xlfn.NORM.DIST(CC$30,economics!$AK$2:$AK$167,economics!$AJ$2:$AJ$167,TRUE)))),"")</f>
        <v/>
      </c>
      <c r="CD50">
        <f t="array" ref="CD50">IFERROR((SUMPRODUCT((economics!$AG$2:$AG$167=$B50)*(economics!$D$2:$D$167="whr")*economics!$AI$2:$AI$167*(_xlfn.NORM.DIST(CD$3,economics!$AK$2:$AK$167,economics!$AJ$2:$AJ$167,TRUE)-_xlfn.NORM.DIST(CD$30,economics!$AK$2:$AK$167,economics!$AJ$2:$AJ$167,TRUE))*economics!$AM$2:$AM$167))/(SUMPRODUCT((economics!$AG$2:$AG$167=$B50)*(economics!$D$2:$D$167="whr")*economics!$AI$2:$AI$167*(_xlfn.NORM.DIST(CD$3,economics!$AK$2:$AK$167,economics!$AJ$2:$AJ$167,TRUE)-_xlfn.NORM.DIST(CD$30,economics!$AK$2:$AK$167,economics!$AJ$2:$AJ$167,TRUE)))),"")</f>
        <v/>
      </c>
      <c r="CE50">
        <f t="array" ref="CE50">IFERROR((SUMPRODUCT((economics!$AG$2:$AG$167=$B50)*(economics!$D$2:$D$167="whr")*economics!$AI$2:$AI$167*(_xlfn.NORM.DIST(CE$3,economics!$AK$2:$AK$167,economics!$AJ$2:$AJ$167,TRUE)-_xlfn.NORM.DIST(CE$30,economics!$AK$2:$AK$167,economics!$AJ$2:$AJ$167,TRUE))*economics!$AM$2:$AM$167))/(SUMPRODUCT((economics!$AG$2:$AG$167=$B50)*(economics!$D$2:$D$167="whr")*economics!$AI$2:$AI$167*(_xlfn.NORM.DIST(CE$3,economics!$AK$2:$AK$167,economics!$AJ$2:$AJ$167,TRUE)-_xlfn.NORM.DIST(CE$30,economics!$AK$2:$AK$167,economics!$AJ$2:$AJ$167,TRUE)))),"")</f>
        <v/>
      </c>
      <c r="CF50">
        <f t="array" ref="CF50">IFERROR((SUMPRODUCT((economics!$AG$2:$AG$167=$B50)*(economics!$D$2:$D$167="whr")*economics!$AI$2:$AI$167*(_xlfn.NORM.DIST(CF$3,economics!$AK$2:$AK$167,economics!$AJ$2:$AJ$167,TRUE)-_xlfn.NORM.DIST(CF$30,economics!$AK$2:$AK$167,economics!$AJ$2:$AJ$167,TRUE))*economics!$AM$2:$AM$167))/(SUMPRODUCT((economics!$AG$2:$AG$167=$B50)*(economics!$D$2:$D$167="whr")*economics!$AI$2:$AI$167*(_xlfn.NORM.DIST(CF$3,economics!$AK$2:$AK$167,economics!$AJ$2:$AJ$167,TRUE)-_xlfn.NORM.DIST(CF$30,economics!$AK$2:$AK$167,economics!$AJ$2:$AJ$167,TRUE)))),"")</f>
        <v/>
      </c>
      <c r="CG50">
        <f t="array" ref="CG50">IFERROR((SUMPRODUCT((economics!$AG$2:$AG$167=$B50)*(economics!$D$2:$D$167="whr")*economics!$AI$2:$AI$167*(_xlfn.NORM.DIST(CG$3,economics!$AK$2:$AK$167,economics!$AJ$2:$AJ$167,TRUE)-_xlfn.NORM.DIST(CG$30,economics!$AK$2:$AK$167,economics!$AJ$2:$AJ$167,TRUE))*economics!$AM$2:$AM$167))/(SUMPRODUCT((economics!$AG$2:$AG$167=$B50)*(economics!$D$2:$D$167="whr")*economics!$AI$2:$AI$167*(_xlfn.NORM.DIST(CG$3,economics!$AK$2:$AK$167,economics!$AJ$2:$AJ$167,TRUE)-_xlfn.NORM.DIST(CG$30,economics!$AK$2:$AK$167,economics!$AJ$2:$AJ$167,TRUE)))),"")</f>
        <v/>
      </c>
      <c r="CH50">
        <f t="array" ref="CH50">IFERROR((SUMPRODUCT((economics!$AG$2:$AG$167=$B50)*(economics!$D$2:$D$167="whr")*economics!$AI$2:$AI$167*(_xlfn.NORM.DIST(CH$3,economics!$AK$2:$AK$167,economics!$AJ$2:$AJ$167,TRUE)-_xlfn.NORM.DIST(CH$30,economics!$AK$2:$AK$167,economics!$AJ$2:$AJ$167,TRUE))*economics!$AM$2:$AM$167))/(SUMPRODUCT((economics!$AG$2:$AG$167=$B50)*(economics!$D$2:$D$167="whr")*economics!$AI$2:$AI$167*(_xlfn.NORM.DIST(CH$3,economics!$AK$2:$AK$167,economics!$AJ$2:$AJ$167,TRUE)-_xlfn.NORM.DIST(CH$30,economics!$AK$2:$AK$167,economics!$AJ$2:$AJ$167,TRUE)))),"")</f>
        <v/>
      </c>
    </row>
    <row r="51">
      <c r="A51">
        <f>A22</f>
        <v/>
      </c>
      <c r="B51">
        <f>B22</f>
        <v/>
      </c>
      <c r="E51">
        <f t="array" ref="E51">IFERROR((SUMPRODUCT((economics!$AG$2:$AG$167=$B51)*(economics!$D$2:$D$167="whr")*economics!$AI$2:$AI$167*(_xlfn.NORM.DIST(E$3,economics!$AK$2:$AK$167,economics!$AJ$2:$AJ$167,TRUE)-_xlfn.NORM.DIST(E$30,economics!$AK$2:$AK$167,economics!$AJ$2:$AJ$167,TRUE))*economics!$AM$2:$AM$167))/(SUMPRODUCT((economics!$AG$2:$AG$167=$B51)*(economics!$D$2:$D$167="whr")*economics!$AI$2:$AI$167*(_xlfn.NORM.DIST(E$3,economics!$AK$2:$AK$167,economics!$AJ$2:$AJ$167,TRUE)-_xlfn.NORM.DIST(E$30,economics!$AK$2:$AK$167,economics!$AJ$2:$AJ$167,TRUE)))),"")</f>
        <v/>
      </c>
      <c r="F51">
        <f t="array" ref="F51">IFERROR((SUMPRODUCT((economics!$AG$2:$AG$167=$B51)*(economics!$D$2:$D$167="whr")*economics!$AI$2:$AI$167*(_xlfn.NORM.DIST(F$3,economics!$AK$2:$AK$167,economics!$AJ$2:$AJ$167,TRUE)-_xlfn.NORM.DIST(F$30,economics!$AK$2:$AK$167,economics!$AJ$2:$AJ$167,TRUE))*economics!$AM$2:$AM$167))/(SUMPRODUCT((economics!$AG$2:$AG$167=$B51)*(economics!$D$2:$D$167="whr")*economics!$AI$2:$AI$167*(_xlfn.NORM.DIST(F$3,economics!$AK$2:$AK$167,economics!$AJ$2:$AJ$167,TRUE)-_xlfn.NORM.DIST(F$30,economics!$AK$2:$AK$167,economics!$AJ$2:$AJ$167,TRUE)))),"")</f>
        <v/>
      </c>
      <c r="G51">
        <f t="array" ref="G51">IFERROR((SUMPRODUCT((economics!$AG$2:$AG$167=$B51)*(economics!$D$2:$D$167="whr")*economics!$AI$2:$AI$167*(_xlfn.NORM.DIST(G$3,economics!$AK$2:$AK$167,economics!$AJ$2:$AJ$167,TRUE)-_xlfn.NORM.DIST(G$30,economics!$AK$2:$AK$167,economics!$AJ$2:$AJ$167,TRUE))*economics!$AM$2:$AM$167))/(SUMPRODUCT((economics!$AG$2:$AG$167=$B51)*(economics!$D$2:$D$167="whr")*economics!$AI$2:$AI$167*(_xlfn.NORM.DIST(G$3,economics!$AK$2:$AK$167,economics!$AJ$2:$AJ$167,TRUE)-_xlfn.NORM.DIST(G$30,economics!$AK$2:$AK$167,economics!$AJ$2:$AJ$167,TRUE)))),"")</f>
        <v/>
      </c>
      <c r="H51">
        <f t="array" ref="H51">IFERROR((SUMPRODUCT((economics!$AG$2:$AG$167=$B51)*(economics!$D$2:$D$167="whr")*economics!$AI$2:$AI$167*(_xlfn.NORM.DIST(H$3,economics!$AK$2:$AK$167,economics!$AJ$2:$AJ$167,TRUE)-_xlfn.NORM.DIST(H$30,economics!$AK$2:$AK$167,economics!$AJ$2:$AJ$167,TRUE))*economics!$AM$2:$AM$167))/(SUMPRODUCT((economics!$AG$2:$AG$167=$B51)*(economics!$D$2:$D$167="whr")*economics!$AI$2:$AI$167*(_xlfn.NORM.DIST(H$3,economics!$AK$2:$AK$167,economics!$AJ$2:$AJ$167,TRUE)-_xlfn.NORM.DIST(H$30,economics!$AK$2:$AK$167,economics!$AJ$2:$AJ$167,TRUE)))),"")</f>
        <v/>
      </c>
      <c r="I51">
        <f t="array" ref="I51">IFERROR((SUMPRODUCT((economics!$AG$2:$AG$167=$B51)*(economics!$D$2:$D$167="whr")*economics!$AI$2:$AI$167*(_xlfn.NORM.DIST(I$3,economics!$AK$2:$AK$167,economics!$AJ$2:$AJ$167,TRUE)-_xlfn.NORM.DIST(I$30,economics!$AK$2:$AK$167,economics!$AJ$2:$AJ$167,TRUE))*economics!$AM$2:$AM$167))/(SUMPRODUCT((economics!$AG$2:$AG$167=$B51)*(economics!$D$2:$D$167="whr")*economics!$AI$2:$AI$167*(_xlfn.NORM.DIST(I$3,economics!$AK$2:$AK$167,economics!$AJ$2:$AJ$167,TRUE)-_xlfn.NORM.DIST(I$30,economics!$AK$2:$AK$167,economics!$AJ$2:$AJ$167,TRUE)))),"")</f>
        <v/>
      </c>
      <c r="J51">
        <f t="array" ref="J51">IFERROR((SUMPRODUCT((economics!$AG$2:$AG$167=$B51)*(economics!$D$2:$D$167="whr")*economics!$AI$2:$AI$167*(_xlfn.NORM.DIST(J$3,economics!$AK$2:$AK$167,economics!$AJ$2:$AJ$167,TRUE)-_xlfn.NORM.DIST(J$30,economics!$AK$2:$AK$167,economics!$AJ$2:$AJ$167,TRUE))*economics!$AM$2:$AM$167))/(SUMPRODUCT((economics!$AG$2:$AG$167=$B51)*(economics!$D$2:$D$167="whr")*economics!$AI$2:$AI$167*(_xlfn.NORM.DIST(J$3,economics!$AK$2:$AK$167,economics!$AJ$2:$AJ$167,TRUE)-_xlfn.NORM.DIST(J$30,economics!$AK$2:$AK$167,economics!$AJ$2:$AJ$167,TRUE)))),"")</f>
        <v/>
      </c>
      <c r="K51">
        <f t="array" ref="K51">IFERROR((SUMPRODUCT((economics!$AG$2:$AG$167=$B51)*(economics!$D$2:$D$167="whr")*economics!$AI$2:$AI$167*(_xlfn.NORM.DIST(K$3,economics!$AK$2:$AK$167,economics!$AJ$2:$AJ$167,TRUE)-_xlfn.NORM.DIST(K$30,economics!$AK$2:$AK$167,economics!$AJ$2:$AJ$167,TRUE))*economics!$AM$2:$AM$167))/(SUMPRODUCT((economics!$AG$2:$AG$167=$B51)*(economics!$D$2:$D$167="whr")*economics!$AI$2:$AI$167*(_xlfn.NORM.DIST(K$3,economics!$AK$2:$AK$167,economics!$AJ$2:$AJ$167,TRUE)-_xlfn.NORM.DIST(K$30,economics!$AK$2:$AK$167,economics!$AJ$2:$AJ$167,TRUE)))),"")</f>
        <v/>
      </c>
      <c r="L51">
        <f t="array" ref="L51">IFERROR((SUMPRODUCT((economics!$AG$2:$AG$167=$B51)*(economics!$D$2:$D$167="whr")*economics!$AI$2:$AI$167*(_xlfn.NORM.DIST(L$3,economics!$AK$2:$AK$167,economics!$AJ$2:$AJ$167,TRUE)-_xlfn.NORM.DIST(L$30,economics!$AK$2:$AK$167,economics!$AJ$2:$AJ$167,TRUE))*economics!$AM$2:$AM$167))/(SUMPRODUCT((economics!$AG$2:$AG$167=$B51)*(economics!$D$2:$D$167="whr")*economics!$AI$2:$AI$167*(_xlfn.NORM.DIST(L$3,economics!$AK$2:$AK$167,economics!$AJ$2:$AJ$167,TRUE)-_xlfn.NORM.DIST(L$30,economics!$AK$2:$AK$167,economics!$AJ$2:$AJ$167,TRUE)))),"")</f>
        <v/>
      </c>
      <c r="M51">
        <f t="array" ref="M51">IFERROR((SUMPRODUCT((economics!$AG$2:$AG$167=$B51)*(economics!$D$2:$D$167="whr")*economics!$AI$2:$AI$167*(_xlfn.NORM.DIST(M$3,economics!$AK$2:$AK$167,economics!$AJ$2:$AJ$167,TRUE)-_xlfn.NORM.DIST(M$30,economics!$AK$2:$AK$167,economics!$AJ$2:$AJ$167,TRUE))*economics!$AM$2:$AM$167))/(SUMPRODUCT((economics!$AG$2:$AG$167=$B51)*(economics!$D$2:$D$167="whr")*economics!$AI$2:$AI$167*(_xlfn.NORM.DIST(M$3,economics!$AK$2:$AK$167,economics!$AJ$2:$AJ$167,TRUE)-_xlfn.NORM.DIST(M$30,economics!$AK$2:$AK$167,economics!$AJ$2:$AJ$167,TRUE)))),"")</f>
        <v/>
      </c>
      <c r="N51">
        <f t="array" ref="N51">IFERROR((SUMPRODUCT((economics!$AG$2:$AG$167=$B51)*(economics!$D$2:$D$167="whr")*economics!$AI$2:$AI$167*(_xlfn.NORM.DIST(N$3,economics!$AK$2:$AK$167,economics!$AJ$2:$AJ$167,TRUE)-_xlfn.NORM.DIST(N$30,economics!$AK$2:$AK$167,economics!$AJ$2:$AJ$167,TRUE))*economics!$AM$2:$AM$167))/(SUMPRODUCT((economics!$AG$2:$AG$167=$B51)*(economics!$D$2:$D$167="whr")*economics!$AI$2:$AI$167*(_xlfn.NORM.DIST(N$3,economics!$AK$2:$AK$167,economics!$AJ$2:$AJ$167,TRUE)-_xlfn.NORM.DIST(N$30,economics!$AK$2:$AK$167,economics!$AJ$2:$AJ$167,TRUE)))),"")</f>
        <v/>
      </c>
      <c r="O51">
        <f t="array" ref="O51">IFERROR((SUMPRODUCT((economics!$AG$2:$AG$167=$B51)*(economics!$D$2:$D$167="whr")*economics!$AI$2:$AI$167*(_xlfn.NORM.DIST(O$3,economics!$AK$2:$AK$167,economics!$AJ$2:$AJ$167,TRUE)-_xlfn.NORM.DIST(O$30,economics!$AK$2:$AK$167,economics!$AJ$2:$AJ$167,TRUE))*economics!$AM$2:$AM$167))/(SUMPRODUCT((economics!$AG$2:$AG$167=$B51)*(economics!$D$2:$D$167="whr")*economics!$AI$2:$AI$167*(_xlfn.NORM.DIST(O$3,economics!$AK$2:$AK$167,economics!$AJ$2:$AJ$167,TRUE)-_xlfn.NORM.DIST(O$30,economics!$AK$2:$AK$167,economics!$AJ$2:$AJ$167,TRUE)))),"")</f>
        <v/>
      </c>
      <c r="P51">
        <f t="array" ref="P51">IFERROR((SUMPRODUCT((economics!$AG$2:$AG$167=$B51)*(economics!$D$2:$D$167="whr")*economics!$AI$2:$AI$167*(_xlfn.NORM.DIST(P$3,economics!$AK$2:$AK$167,economics!$AJ$2:$AJ$167,TRUE)-_xlfn.NORM.DIST(P$30,economics!$AK$2:$AK$167,economics!$AJ$2:$AJ$167,TRUE))*economics!$AM$2:$AM$167))/(SUMPRODUCT((economics!$AG$2:$AG$167=$B51)*(economics!$D$2:$D$167="whr")*economics!$AI$2:$AI$167*(_xlfn.NORM.DIST(P$3,economics!$AK$2:$AK$167,economics!$AJ$2:$AJ$167,TRUE)-_xlfn.NORM.DIST(P$30,economics!$AK$2:$AK$167,economics!$AJ$2:$AJ$167,TRUE)))),"")</f>
        <v/>
      </c>
      <c r="Q51">
        <f t="array" ref="Q51">IFERROR((SUMPRODUCT((economics!$AG$2:$AG$167=$B51)*(economics!$D$2:$D$167="whr")*economics!$AI$2:$AI$167*(_xlfn.NORM.DIST(Q$3,economics!$AK$2:$AK$167,economics!$AJ$2:$AJ$167,TRUE)-_xlfn.NORM.DIST(Q$30,economics!$AK$2:$AK$167,economics!$AJ$2:$AJ$167,TRUE))*economics!$AM$2:$AM$167))/(SUMPRODUCT((economics!$AG$2:$AG$167=$B51)*(economics!$D$2:$D$167="whr")*economics!$AI$2:$AI$167*(_xlfn.NORM.DIST(Q$3,economics!$AK$2:$AK$167,economics!$AJ$2:$AJ$167,TRUE)-_xlfn.NORM.DIST(Q$30,economics!$AK$2:$AK$167,economics!$AJ$2:$AJ$167,TRUE)))),"")</f>
        <v/>
      </c>
      <c r="R51">
        <f t="array" ref="R51">IFERROR((SUMPRODUCT((economics!$AG$2:$AG$167=$B51)*(economics!$D$2:$D$167="whr")*economics!$AI$2:$AI$167*(_xlfn.NORM.DIST(R$3,economics!$AK$2:$AK$167,economics!$AJ$2:$AJ$167,TRUE)-_xlfn.NORM.DIST(R$30,economics!$AK$2:$AK$167,economics!$AJ$2:$AJ$167,TRUE))*economics!$AM$2:$AM$167))/(SUMPRODUCT((economics!$AG$2:$AG$167=$B51)*(economics!$D$2:$D$167="whr")*economics!$AI$2:$AI$167*(_xlfn.NORM.DIST(R$3,economics!$AK$2:$AK$167,economics!$AJ$2:$AJ$167,TRUE)-_xlfn.NORM.DIST(R$30,economics!$AK$2:$AK$167,economics!$AJ$2:$AJ$167,TRUE)))),"")</f>
        <v/>
      </c>
      <c r="S51">
        <f t="array" ref="S51">IFERROR((SUMPRODUCT((economics!$AG$2:$AG$167=$B51)*(economics!$D$2:$D$167="whr")*economics!$AI$2:$AI$167*(_xlfn.NORM.DIST(S$3,economics!$AK$2:$AK$167,economics!$AJ$2:$AJ$167,TRUE)-_xlfn.NORM.DIST(S$30,economics!$AK$2:$AK$167,economics!$AJ$2:$AJ$167,TRUE))*economics!$AM$2:$AM$167))/(SUMPRODUCT((economics!$AG$2:$AG$167=$B51)*(economics!$D$2:$D$167="whr")*economics!$AI$2:$AI$167*(_xlfn.NORM.DIST(S$3,economics!$AK$2:$AK$167,economics!$AJ$2:$AJ$167,TRUE)-_xlfn.NORM.DIST(S$30,economics!$AK$2:$AK$167,economics!$AJ$2:$AJ$167,TRUE)))),"")</f>
        <v/>
      </c>
      <c r="T51">
        <f t="array" ref="T51">IFERROR((SUMPRODUCT((economics!$AG$2:$AG$167=$B51)*(economics!$D$2:$D$167="whr")*economics!$AI$2:$AI$167*(_xlfn.NORM.DIST(T$3,economics!$AK$2:$AK$167,economics!$AJ$2:$AJ$167,TRUE)-_xlfn.NORM.DIST(T$30,economics!$AK$2:$AK$167,economics!$AJ$2:$AJ$167,TRUE))*economics!$AM$2:$AM$167))/(SUMPRODUCT((economics!$AG$2:$AG$167=$B51)*(economics!$D$2:$D$167="whr")*economics!$AI$2:$AI$167*(_xlfn.NORM.DIST(T$3,economics!$AK$2:$AK$167,economics!$AJ$2:$AJ$167,TRUE)-_xlfn.NORM.DIST(T$30,economics!$AK$2:$AK$167,economics!$AJ$2:$AJ$167,TRUE)))),"")</f>
        <v/>
      </c>
      <c r="U51">
        <f t="array" ref="U51">IFERROR((SUMPRODUCT((economics!$AG$2:$AG$167=$B51)*(economics!$D$2:$D$167="whr")*economics!$AI$2:$AI$167*(_xlfn.NORM.DIST(U$3,economics!$AK$2:$AK$167,economics!$AJ$2:$AJ$167,TRUE)-_xlfn.NORM.DIST(U$30,economics!$AK$2:$AK$167,economics!$AJ$2:$AJ$167,TRUE))*economics!$AM$2:$AM$167))/(SUMPRODUCT((economics!$AG$2:$AG$167=$B51)*(economics!$D$2:$D$167="whr")*economics!$AI$2:$AI$167*(_xlfn.NORM.DIST(U$3,economics!$AK$2:$AK$167,economics!$AJ$2:$AJ$167,TRUE)-_xlfn.NORM.DIST(U$30,economics!$AK$2:$AK$167,economics!$AJ$2:$AJ$167,TRUE)))),"")</f>
        <v/>
      </c>
      <c r="V51">
        <f t="array" ref="V51">IFERROR((SUMPRODUCT((economics!$AG$2:$AG$167=$B51)*(economics!$D$2:$D$167="whr")*economics!$AI$2:$AI$167*(_xlfn.NORM.DIST(V$3,economics!$AK$2:$AK$167,economics!$AJ$2:$AJ$167,TRUE)-_xlfn.NORM.DIST(V$30,economics!$AK$2:$AK$167,economics!$AJ$2:$AJ$167,TRUE))*economics!$AM$2:$AM$167))/(SUMPRODUCT((economics!$AG$2:$AG$167=$B51)*(economics!$D$2:$D$167="whr")*economics!$AI$2:$AI$167*(_xlfn.NORM.DIST(V$3,economics!$AK$2:$AK$167,economics!$AJ$2:$AJ$167,TRUE)-_xlfn.NORM.DIST(V$30,economics!$AK$2:$AK$167,economics!$AJ$2:$AJ$167,TRUE)))),"")</f>
        <v/>
      </c>
      <c r="W51">
        <f t="array" ref="W51">IFERROR((SUMPRODUCT((economics!$AG$2:$AG$167=$B51)*(economics!$D$2:$D$167="whr")*economics!$AI$2:$AI$167*(_xlfn.NORM.DIST(W$3,economics!$AK$2:$AK$167,economics!$AJ$2:$AJ$167,TRUE)-_xlfn.NORM.DIST(W$30,economics!$AK$2:$AK$167,economics!$AJ$2:$AJ$167,TRUE))*economics!$AM$2:$AM$167))/(SUMPRODUCT((economics!$AG$2:$AG$167=$B51)*(economics!$D$2:$D$167="whr")*economics!$AI$2:$AI$167*(_xlfn.NORM.DIST(W$3,economics!$AK$2:$AK$167,economics!$AJ$2:$AJ$167,TRUE)-_xlfn.NORM.DIST(W$30,economics!$AK$2:$AK$167,economics!$AJ$2:$AJ$167,TRUE)))),"")</f>
        <v/>
      </c>
      <c r="X51">
        <f t="array" ref="X51">IFERROR((SUMPRODUCT((economics!$AG$2:$AG$167=$B51)*(economics!$D$2:$D$167="whr")*economics!$AI$2:$AI$167*(_xlfn.NORM.DIST(X$3,economics!$AK$2:$AK$167,economics!$AJ$2:$AJ$167,TRUE)-_xlfn.NORM.DIST(X$30,economics!$AK$2:$AK$167,economics!$AJ$2:$AJ$167,TRUE))*economics!$AM$2:$AM$167))/(SUMPRODUCT((economics!$AG$2:$AG$167=$B51)*(economics!$D$2:$D$167="whr")*economics!$AI$2:$AI$167*(_xlfn.NORM.DIST(X$3,economics!$AK$2:$AK$167,economics!$AJ$2:$AJ$167,TRUE)-_xlfn.NORM.DIST(X$30,economics!$AK$2:$AK$167,economics!$AJ$2:$AJ$167,TRUE)))),"")</f>
        <v/>
      </c>
      <c r="Y51">
        <f t="array" ref="Y51">IFERROR((SUMPRODUCT((economics!$AG$2:$AG$167=$B51)*(economics!$D$2:$D$167="whr")*economics!$AI$2:$AI$167*(_xlfn.NORM.DIST(Y$3,economics!$AK$2:$AK$167,economics!$AJ$2:$AJ$167,TRUE)-_xlfn.NORM.DIST(Y$30,economics!$AK$2:$AK$167,economics!$AJ$2:$AJ$167,TRUE))*economics!$AM$2:$AM$167))/(SUMPRODUCT((economics!$AG$2:$AG$167=$B51)*(economics!$D$2:$D$167="whr")*economics!$AI$2:$AI$167*(_xlfn.NORM.DIST(Y$3,economics!$AK$2:$AK$167,economics!$AJ$2:$AJ$167,TRUE)-_xlfn.NORM.DIST(Y$30,economics!$AK$2:$AK$167,economics!$AJ$2:$AJ$167,TRUE)))),"")</f>
        <v/>
      </c>
      <c r="Z51">
        <f t="array" ref="Z51">IFERROR((SUMPRODUCT((economics!$AG$2:$AG$167=$B51)*(economics!$D$2:$D$167="whr")*economics!$AI$2:$AI$167*(_xlfn.NORM.DIST(Z$3,economics!$AK$2:$AK$167,economics!$AJ$2:$AJ$167,TRUE)-_xlfn.NORM.DIST(Z$30,economics!$AK$2:$AK$167,economics!$AJ$2:$AJ$167,TRUE))*economics!$AM$2:$AM$167))/(SUMPRODUCT((economics!$AG$2:$AG$167=$B51)*(economics!$D$2:$D$167="whr")*economics!$AI$2:$AI$167*(_xlfn.NORM.DIST(Z$3,economics!$AK$2:$AK$167,economics!$AJ$2:$AJ$167,TRUE)-_xlfn.NORM.DIST(Z$30,economics!$AK$2:$AK$167,economics!$AJ$2:$AJ$167,TRUE)))),"")</f>
        <v/>
      </c>
      <c r="AA51">
        <f t="array" ref="AA51">IFERROR((SUMPRODUCT((economics!$AG$2:$AG$167=$B51)*(economics!$D$2:$D$167="whr")*economics!$AI$2:$AI$167*(_xlfn.NORM.DIST(AA$3,economics!$AK$2:$AK$167,economics!$AJ$2:$AJ$167,TRUE)-_xlfn.NORM.DIST(AA$30,economics!$AK$2:$AK$167,economics!$AJ$2:$AJ$167,TRUE))*economics!$AM$2:$AM$167))/(SUMPRODUCT((economics!$AG$2:$AG$167=$B51)*(economics!$D$2:$D$167="whr")*economics!$AI$2:$AI$167*(_xlfn.NORM.DIST(AA$3,economics!$AK$2:$AK$167,economics!$AJ$2:$AJ$167,TRUE)-_xlfn.NORM.DIST(AA$30,economics!$AK$2:$AK$167,economics!$AJ$2:$AJ$167,TRUE)))),"")</f>
        <v/>
      </c>
      <c r="AB51">
        <f t="array" ref="AB51">IFERROR((SUMPRODUCT((economics!$AG$2:$AG$167=$B51)*(economics!$D$2:$D$167="whr")*economics!$AI$2:$AI$167*(_xlfn.NORM.DIST(AB$3,economics!$AK$2:$AK$167,economics!$AJ$2:$AJ$167,TRUE)-_xlfn.NORM.DIST(AB$30,economics!$AK$2:$AK$167,economics!$AJ$2:$AJ$167,TRUE))*economics!$AM$2:$AM$167))/(SUMPRODUCT((economics!$AG$2:$AG$167=$B51)*(economics!$D$2:$D$167="whr")*economics!$AI$2:$AI$167*(_xlfn.NORM.DIST(AB$3,economics!$AK$2:$AK$167,economics!$AJ$2:$AJ$167,TRUE)-_xlfn.NORM.DIST(AB$30,economics!$AK$2:$AK$167,economics!$AJ$2:$AJ$167,TRUE)))),"")</f>
        <v/>
      </c>
      <c r="AC51">
        <f t="array" ref="AC51">IFERROR((SUMPRODUCT((economics!$AG$2:$AG$167=$B51)*(economics!$D$2:$D$167="whr")*economics!$AI$2:$AI$167*(_xlfn.NORM.DIST(AC$3,economics!$AK$2:$AK$167,economics!$AJ$2:$AJ$167,TRUE)-_xlfn.NORM.DIST(AC$30,economics!$AK$2:$AK$167,economics!$AJ$2:$AJ$167,TRUE))*economics!$AM$2:$AM$167))/(SUMPRODUCT((economics!$AG$2:$AG$167=$B51)*(economics!$D$2:$D$167="whr")*economics!$AI$2:$AI$167*(_xlfn.NORM.DIST(AC$3,economics!$AK$2:$AK$167,economics!$AJ$2:$AJ$167,TRUE)-_xlfn.NORM.DIST(AC$30,economics!$AK$2:$AK$167,economics!$AJ$2:$AJ$167,TRUE)))),"")</f>
        <v/>
      </c>
      <c r="AD51">
        <f t="array" ref="AD51">IFERROR((SUMPRODUCT((economics!$AG$2:$AG$167=$B51)*(economics!$D$2:$D$167="whr")*economics!$AI$2:$AI$167*(_xlfn.NORM.DIST(AD$3,economics!$AK$2:$AK$167,economics!$AJ$2:$AJ$167,TRUE)-_xlfn.NORM.DIST(AD$30,economics!$AK$2:$AK$167,economics!$AJ$2:$AJ$167,TRUE))*economics!$AM$2:$AM$167))/(SUMPRODUCT((economics!$AG$2:$AG$167=$B51)*(economics!$D$2:$D$167="whr")*economics!$AI$2:$AI$167*(_xlfn.NORM.DIST(AD$3,economics!$AK$2:$AK$167,economics!$AJ$2:$AJ$167,TRUE)-_xlfn.NORM.DIST(AD$30,economics!$AK$2:$AK$167,economics!$AJ$2:$AJ$167,TRUE)))),"")</f>
        <v/>
      </c>
      <c r="AE51">
        <f t="array" ref="AE51">IFERROR((SUMPRODUCT((economics!$AG$2:$AG$167=$B51)*(economics!$D$2:$D$167="whr")*economics!$AI$2:$AI$167*(_xlfn.NORM.DIST(AE$3,economics!$AK$2:$AK$167,economics!$AJ$2:$AJ$167,TRUE)-_xlfn.NORM.DIST(AE$30,economics!$AK$2:$AK$167,economics!$AJ$2:$AJ$167,TRUE))*economics!$AM$2:$AM$167))/(SUMPRODUCT((economics!$AG$2:$AG$167=$B51)*(economics!$D$2:$D$167="whr")*economics!$AI$2:$AI$167*(_xlfn.NORM.DIST(AE$3,economics!$AK$2:$AK$167,economics!$AJ$2:$AJ$167,TRUE)-_xlfn.NORM.DIST(AE$30,economics!$AK$2:$AK$167,economics!$AJ$2:$AJ$167,TRUE)))),"")</f>
        <v/>
      </c>
      <c r="AF51">
        <f t="array" ref="AF51">IFERROR((SUMPRODUCT((economics!$AG$2:$AG$167=$B51)*(economics!$D$2:$D$167="whr")*economics!$AI$2:$AI$167*(_xlfn.NORM.DIST(AF$3,economics!$AK$2:$AK$167,economics!$AJ$2:$AJ$167,TRUE)-_xlfn.NORM.DIST(AF$30,economics!$AK$2:$AK$167,economics!$AJ$2:$AJ$167,TRUE))*economics!$AM$2:$AM$167))/(SUMPRODUCT((economics!$AG$2:$AG$167=$B51)*(economics!$D$2:$D$167="whr")*economics!$AI$2:$AI$167*(_xlfn.NORM.DIST(AF$3,economics!$AK$2:$AK$167,economics!$AJ$2:$AJ$167,TRUE)-_xlfn.NORM.DIST(AF$30,economics!$AK$2:$AK$167,economics!$AJ$2:$AJ$167,TRUE)))),"")</f>
        <v/>
      </c>
      <c r="AG51">
        <f t="array" ref="AG51">IFERROR((SUMPRODUCT((economics!$AG$2:$AG$167=$B51)*(economics!$D$2:$D$167="whr")*economics!$AI$2:$AI$167*(_xlfn.NORM.DIST(AG$3,economics!$AK$2:$AK$167,economics!$AJ$2:$AJ$167,TRUE)-_xlfn.NORM.DIST(AG$30,economics!$AK$2:$AK$167,economics!$AJ$2:$AJ$167,TRUE))*economics!$AM$2:$AM$167))/(SUMPRODUCT((economics!$AG$2:$AG$167=$B51)*(economics!$D$2:$D$167="whr")*economics!$AI$2:$AI$167*(_xlfn.NORM.DIST(AG$3,economics!$AK$2:$AK$167,economics!$AJ$2:$AJ$167,TRUE)-_xlfn.NORM.DIST(AG$30,economics!$AK$2:$AK$167,economics!$AJ$2:$AJ$167,TRUE)))),"")</f>
        <v/>
      </c>
      <c r="AH51">
        <f t="array" ref="AH51">IFERROR((SUMPRODUCT((economics!$AG$2:$AG$167=$B51)*(economics!$D$2:$D$167="whr")*economics!$AI$2:$AI$167*(_xlfn.NORM.DIST(AH$3,economics!$AK$2:$AK$167,economics!$AJ$2:$AJ$167,TRUE)-_xlfn.NORM.DIST(AH$30,economics!$AK$2:$AK$167,economics!$AJ$2:$AJ$167,TRUE))*economics!$AM$2:$AM$167))/(SUMPRODUCT((economics!$AG$2:$AG$167=$B51)*(economics!$D$2:$D$167="whr")*economics!$AI$2:$AI$167*(_xlfn.NORM.DIST(AH$3,economics!$AK$2:$AK$167,economics!$AJ$2:$AJ$167,TRUE)-_xlfn.NORM.DIST(AH$30,economics!$AK$2:$AK$167,economics!$AJ$2:$AJ$167,TRUE)))),"")</f>
        <v/>
      </c>
      <c r="AI51">
        <f t="array" ref="AI51">IFERROR((SUMPRODUCT((economics!$AG$2:$AG$167=$B51)*(economics!$D$2:$D$167="whr")*economics!$AI$2:$AI$167*(_xlfn.NORM.DIST(AI$3,economics!$AK$2:$AK$167,economics!$AJ$2:$AJ$167,TRUE)-_xlfn.NORM.DIST(AI$30,economics!$AK$2:$AK$167,economics!$AJ$2:$AJ$167,TRUE))*economics!$AM$2:$AM$167))/(SUMPRODUCT((economics!$AG$2:$AG$167=$B51)*(economics!$D$2:$D$167="whr")*economics!$AI$2:$AI$167*(_xlfn.NORM.DIST(AI$3,economics!$AK$2:$AK$167,economics!$AJ$2:$AJ$167,TRUE)-_xlfn.NORM.DIST(AI$30,economics!$AK$2:$AK$167,economics!$AJ$2:$AJ$167,TRUE)))),"")</f>
        <v/>
      </c>
      <c r="AJ51">
        <f t="array" ref="AJ51">IFERROR((SUMPRODUCT((economics!$AG$2:$AG$167=$B51)*(economics!$D$2:$D$167="whr")*economics!$AI$2:$AI$167*(_xlfn.NORM.DIST(AJ$3,economics!$AK$2:$AK$167,economics!$AJ$2:$AJ$167,TRUE)-_xlfn.NORM.DIST(AJ$30,economics!$AK$2:$AK$167,economics!$AJ$2:$AJ$167,TRUE))*economics!$AM$2:$AM$167))/(SUMPRODUCT((economics!$AG$2:$AG$167=$B51)*(economics!$D$2:$D$167="whr")*economics!$AI$2:$AI$167*(_xlfn.NORM.DIST(AJ$3,economics!$AK$2:$AK$167,economics!$AJ$2:$AJ$167,TRUE)-_xlfn.NORM.DIST(AJ$30,economics!$AK$2:$AK$167,economics!$AJ$2:$AJ$167,TRUE)))),"")</f>
        <v/>
      </c>
      <c r="AK51">
        <f t="array" ref="AK51">IFERROR((SUMPRODUCT((economics!$AG$2:$AG$167=$B51)*(economics!$D$2:$D$167="whr")*economics!$AI$2:$AI$167*(_xlfn.NORM.DIST(AK$3,economics!$AK$2:$AK$167,economics!$AJ$2:$AJ$167,TRUE)-_xlfn.NORM.DIST(AK$30,economics!$AK$2:$AK$167,economics!$AJ$2:$AJ$167,TRUE))*economics!$AM$2:$AM$167))/(SUMPRODUCT((economics!$AG$2:$AG$167=$B51)*(economics!$D$2:$D$167="whr")*economics!$AI$2:$AI$167*(_xlfn.NORM.DIST(AK$3,economics!$AK$2:$AK$167,economics!$AJ$2:$AJ$167,TRUE)-_xlfn.NORM.DIST(AK$30,economics!$AK$2:$AK$167,economics!$AJ$2:$AJ$167,TRUE)))),"")</f>
        <v/>
      </c>
      <c r="AL51">
        <f t="array" ref="AL51">IFERROR((SUMPRODUCT((economics!$AG$2:$AG$167=$B51)*(economics!$D$2:$D$167="whr")*economics!$AI$2:$AI$167*(_xlfn.NORM.DIST(AL$3,economics!$AK$2:$AK$167,economics!$AJ$2:$AJ$167,TRUE)-_xlfn.NORM.DIST(AL$30,economics!$AK$2:$AK$167,economics!$AJ$2:$AJ$167,TRUE))*economics!$AM$2:$AM$167))/(SUMPRODUCT((economics!$AG$2:$AG$167=$B51)*(economics!$D$2:$D$167="whr")*economics!$AI$2:$AI$167*(_xlfn.NORM.DIST(AL$3,economics!$AK$2:$AK$167,economics!$AJ$2:$AJ$167,TRUE)-_xlfn.NORM.DIST(AL$30,economics!$AK$2:$AK$167,economics!$AJ$2:$AJ$167,TRUE)))),"")</f>
        <v/>
      </c>
      <c r="AM51">
        <f t="array" ref="AM51">IFERROR((SUMPRODUCT((economics!$AG$2:$AG$167=$B51)*(economics!$D$2:$D$167="whr")*economics!$AI$2:$AI$167*(_xlfn.NORM.DIST(AM$3,economics!$AK$2:$AK$167,economics!$AJ$2:$AJ$167,TRUE)-_xlfn.NORM.DIST(AM$30,economics!$AK$2:$AK$167,economics!$AJ$2:$AJ$167,TRUE))*economics!$AM$2:$AM$167))/(SUMPRODUCT((economics!$AG$2:$AG$167=$B51)*(economics!$D$2:$D$167="whr")*economics!$AI$2:$AI$167*(_xlfn.NORM.DIST(AM$3,economics!$AK$2:$AK$167,economics!$AJ$2:$AJ$167,TRUE)-_xlfn.NORM.DIST(AM$30,economics!$AK$2:$AK$167,economics!$AJ$2:$AJ$167,TRUE)))),"")</f>
        <v/>
      </c>
      <c r="AN51">
        <f t="array" ref="AN51">IFERROR((SUMPRODUCT((economics!$AG$2:$AG$167=$B51)*(economics!$D$2:$D$167="whr")*economics!$AI$2:$AI$167*(_xlfn.NORM.DIST(AN$3,economics!$AK$2:$AK$167,economics!$AJ$2:$AJ$167,TRUE)-_xlfn.NORM.DIST(AN$30,economics!$AK$2:$AK$167,economics!$AJ$2:$AJ$167,TRUE))*economics!$AM$2:$AM$167))/(SUMPRODUCT((economics!$AG$2:$AG$167=$B51)*(economics!$D$2:$D$167="whr")*economics!$AI$2:$AI$167*(_xlfn.NORM.DIST(AN$3,economics!$AK$2:$AK$167,economics!$AJ$2:$AJ$167,TRUE)-_xlfn.NORM.DIST(AN$30,economics!$AK$2:$AK$167,economics!$AJ$2:$AJ$167,TRUE)))),"")</f>
        <v/>
      </c>
      <c r="AO51">
        <f t="array" ref="AO51">IFERROR((SUMPRODUCT((economics!$AG$2:$AG$167=$B51)*(economics!$D$2:$D$167="whr")*economics!$AI$2:$AI$167*(_xlfn.NORM.DIST(AO$3,economics!$AK$2:$AK$167,economics!$AJ$2:$AJ$167,TRUE)-_xlfn.NORM.DIST(AO$30,economics!$AK$2:$AK$167,economics!$AJ$2:$AJ$167,TRUE))*economics!$AM$2:$AM$167))/(SUMPRODUCT((economics!$AG$2:$AG$167=$B51)*(economics!$D$2:$D$167="whr")*economics!$AI$2:$AI$167*(_xlfn.NORM.DIST(AO$3,economics!$AK$2:$AK$167,economics!$AJ$2:$AJ$167,TRUE)-_xlfn.NORM.DIST(AO$30,economics!$AK$2:$AK$167,economics!$AJ$2:$AJ$167,TRUE)))),"")</f>
        <v/>
      </c>
      <c r="AP51">
        <f t="array" ref="AP51">IFERROR((SUMPRODUCT((economics!$AG$2:$AG$167=$B51)*(economics!$D$2:$D$167="whr")*economics!$AI$2:$AI$167*(_xlfn.NORM.DIST(AP$3,economics!$AK$2:$AK$167,economics!$AJ$2:$AJ$167,TRUE)-_xlfn.NORM.DIST(AP$30,economics!$AK$2:$AK$167,economics!$AJ$2:$AJ$167,TRUE))*economics!$AM$2:$AM$167))/(SUMPRODUCT((economics!$AG$2:$AG$167=$B51)*(economics!$D$2:$D$167="whr")*economics!$AI$2:$AI$167*(_xlfn.NORM.DIST(AP$3,economics!$AK$2:$AK$167,economics!$AJ$2:$AJ$167,TRUE)-_xlfn.NORM.DIST(AP$30,economics!$AK$2:$AK$167,economics!$AJ$2:$AJ$167,TRUE)))),"")</f>
        <v/>
      </c>
      <c r="AQ51">
        <f t="array" ref="AQ51">IFERROR((SUMPRODUCT((economics!$AG$2:$AG$167=$B51)*(economics!$D$2:$D$167="whr")*economics!$AI$2:$AI$167*(_xlfn.NORM.DIST(AQ$3,economics!$AK$2:$AK$167,economics!$AJ$2:$AJ$167,TRUE)-_xlfn.NORM.DIST(AQ$30,economics!$AK$2:$AK$167,economics!$AJ$2:$AJ$167,TRUE))*economics!$AM$2:$AM$167))/(SUMPRODUCT((economics!$AG$2:$AG$167=$B51)*(economics!$D$2:$D$167="whr")*economics!$AI$2:$AI$167*(_xlfn.NORM.DIST(AQ$3,economics!$AK$2:$AK$167,economics!$AJ$2:$AJ$167,TRUE)-_xlfn.NORM.DIST(AQ$30,economics!$AK$2:$AK$167,economics!$AJ$2:$AJ$167,TRUE)))),"")</f>
        <v/>
      </c>
      <c r="AR51">
        <f t="array" ref="AR51">IFERROR((SUMPRODUCT((economics!$AG$2:$AG$167=$B51)*(economics!$D$2:$D$167="whr")*economics!$AI$2:$AI$167*(_xlfn.NORM.DIST(AR$3,economics!$AK$2:$AK$167,economics!$AJ$2:$AJ$167,TRUE)-_xlfn.NORM.DIST(AR$30,economics!$AK$2:$AK$167,economics!$AJ$2:$AJ$167,TRUE))*economics!$AM$2:$AM$167))/(SUMPRODUCT((economics!$AG$2:$AG$167=$B51)*(economics!$D$2:$D$167="whr")*economics!$AI$2:$AI$167*(_xlfn.NORM.DIST(AR$3,economics!$AK$2:$AK$167,economics!$AJ$2:$AJ$167,TRUE)-_xlfn.NORM.DIST(AR$30,economics!$AK$2:$AK$167,economics!$AJ$2:$AJ$167,TRUE)))),"")</f>
        <v/>
      </c>
      <c r="AS51">
        <f t="array" ref="AS51">IFERROR((SUMPRODUCT((economics!$AG$2:$AG$167=$B51)*(economics!$D$2:$D$167="whr")*economics!$AI$2:$AI$167*(_xlfn.NORM.DIST(AS$3,economics!$AK$2:$AK$167,economics!$AJ$2:$AJ$167,TRUE)-_xlfn.NORM.DIST(AS$30,economics!$AK$2:$AK$167,economics!$AJ$2:$AJ$167,TRUE))*economics!$AM$2:$AM$167))/(SUMPRODUCT((economics!$AG$2:$AG$167=$B51)*(economics!$D$2:$D$167="whr")*economics!$AI$2:$AI$167*(_xlfn.NORM.DIST(AS$3,economics!$AK$2:$AK$167,economics!$AJ$2:$AJ$167,TRUE)-_xlfn.NORM.DIST(AS$30,economics!$AK$2:$AK$167,economics!$AJ$2:$AJ$167,TRUE)))),"")</f>
        <v/>
      </c>
      <c r="AT51">
        <f t="array" ref="AT51">IFERROR((SUMPRODUCT((economics!$AG$2:$AG$167=$B51)*(economics!$D$2:$D$167="whr")*economics!$AI$2:$AI$167*(_xlfn.NORM.DIST(AT$3,economics!$AK$2:$AK$167,economics!$AJ$2:$AJ$167,TRUE)-_xlfn.NORM.DIST(AT$30,economics!$AK$2:$AK$167,economics!$AJ$2:$AJ$167,TRUE))*economics!$AM$2:$AM$167))/(SUMPRODUCT((economics!$AG$2:$AG$167=$B51)*(economics!$D$2:$D$167="whr")*economics!$AI$2:$AI$167*(_xlfn.NORM.DIST(AT$3,economics!$AK$2:$AK$167,economics!$AJ$2:$AJ$167,TRUE)-_xlfn.NORM.DIST(AT$30,economics!$AK$2:$AK$167,economics!$AJ$2:$AJ$167,TRUE)))),"")</f>
        <v/>
      </c>
      <c r="AU51">
        <f t="array" ref="AU51">IFERROR((SUMPRODUCT((economics!$AG$2:$AG$167=$B51)*(economics!$D$2:$D$167="whr")*economics!$AI$2:$AI$167*(_xlfn.NORM.DIST(AU$3,economics!$AK$2:$AK$167,economics!$AJ$2:$AJ$167,TRUE)-_xlfn.NORM.DIST(AU$30,economics!$AK$2:$AK$167,economics!$AJ$2:$AJ$167,TRUE))*economics!$AM$2:$AM$167))/(SUMPRODUCT((economics!$AG$2:$AG$167=$B51)*(economics!$D$2:$D$167="whr")*economics!$AI$2:$AI$167*(_xlfn.NORM.DIST(AU$3,economics!$AK$2:$AK$167,economics!$AJ$2:$AJ$167,TRUE)-_xlfn.NORM.DIST(AU$30,economics!$AK$2:$AK$167,economics!$AJ$2:$AJ$167,TRUE)))),"")</f>
        <v/>
      </c>
      <c r="AV51">
        <f t="array" ref="AV51">IFERROR((SUMPRODUCT((economics!$AG$2:$AG$167=$B51)*(economics!$D$2:$D$167="whr")*economics!$AI$2:$AI$167*(_xlfn.NORM.DIST(AV$3,economics!$AK$2:$AK$167,economics!$AJ$2:$AJ$167,TRUE)-_xlfn.NORM.DIST(AV$30,economics!$AK$2:$AK$167,economics!$AJ$2:$AJ$167,TRUE))*economics!$AM$2:$AM$167))/(SUMPRODUCT((economics!$AG$2:$AG$167=$B51)*(economics!$D$2:$D$167="whr")*economics!$AI$2:$AI$167*(_xlfn.NORM.DIST(AV$3,economics!$AK$2:$AK$167,economics!$AJ$2:$AJ$167,TRUE)-_xlfn.NORM.DIST(AV$30,economics!$AK$2:$AK$167,economics!$AJ$2:$AJ$167,TRUE)))),"")</f>
        <v/>
      </c>
      <c r="AW51">
        <f t="array" ref="AW51">IFERROR((SUMPRODUCT((economics!$AG$2:$AG$167=$B51)*(economics!$D$2:$D$167="whr")*economics!$AI$2:$AI$167*(_xlfn.NORM.DIST(AW$3,economics!$AK$2:$AK$167,economics!$AJ$2:$AJ$167,TRUE)-_xlfn.NORM.DIST(AW$30,economics!$AK$2:$AK$167,economics!$AJ$2:$AJ$167,TRUE))*economics!$AM$2:$AM$167))/(SUMPRODUCT((economics!$AG$2:$AG$167=$B51)*(economics!$D$2:$D$167="whr")*economics!$AI$2:$AI$167*(_xlfn.NORM.DIST(AW$3,economics!$AK$2:$AK$167,economics!$AJ$2:$AJ$167,TRUE)-_xlfn.NORM.DIST(AW$30,economics!$AK$2:$AK$167,economics!$AJ$2:$AJ$167,TRUE)))),"")</f>
        <v/>
      </c>
      <c r="AX51">
        <f t="array" ref="AX51">IFERROR((SUMPRODUCT((economics!$AG$2:$AG$167=$B51)*(economics!$D$2:$D$167="whr")*economics!$AI$2:$AI$167*(_xlfn.NORM.DIST(AX$3,economics!$AK$2:$AK$167,economics!$AJ$2:$AJ$167,TRUE)-_xlfn.NORM.DIST(AX$30,economics!$AK$2:$AK$167,economics!$AJ$2:$AJ$167,TRUE))*economics!$AM$2:$AM$167))/(SUMPRODUCT((economics!$AG$2:$AG$167=$B51)*(economics!$D$2:$D$167="whr")*economics!$AI$2:$AI$167*(_xlfn.NORM.DIST(AX$3,economics!$AK$2:$AK$167,economics!$AJ$2:$AJ$167,TRUE)-_xlfn.NORM.DIST(AX$30,economics!$AK$2:$AK$167,economics!$AJ$2:$AJ$167,TRUE)))),"")</f>
        <v/>
      </c>
      <c r="AY51">
        <f t="array" ref="AY51">IFERROR((SUMPRODUCT((economics!$AG$2:$AG$167=$B51)*(economics!$D$2:$D$167="whr")*economics!$AI$2:$AI$167*(_xlfn.NORM.DIST(AY$3,economics!$AK$2:$AK$167,economics!$AJ$2:$AJ$167,TRUE)-_xlfn.NORM.DIST(AY$30,economics!$AK$2:$AK$167,economics!$AJ$2:$AJ$167,TRUE))*economics!$AM$2:$AM$167))/(SUMPRODUCT((economics!$AG$2:$AG$167=$B51)*(economics!$D$2:$D$167="whr")*economics!$AI$2:$AI$167*(_xlfn.NORM.DIST(AY$3,economics!$AK$2:$AK$167,economics!$AJ$2:$AJ$167,TRUE)-_xlfn.NORM.DIST(AY$30,economics!$AK$2:$AK$167,economics!$AJ$2:$AJ$167,TRUE)))),"")</f>
        <v/>
      </c>
      <c r="AZ51">
        <f t="array" ref="AZ51">IFERROR((SUMPRODUCT((economics!$AG$2:$AG$167=$B51)*(economics!$D$2:$D$167="whr")*economics!$AI$2:$AI$167*(_xlfn.NORM.DIST(AZ$3,economics!$AK$2:$AK$167,economics!$AJ$2:$AJ$167,TRUE)-_xlfn.NORM.DIST(AZ$30,economics!$AK$2:$AK$167,economics!$AJ$2:$AJ$167,TRUE))*economics!$AM$2:$AM$167))/(SUMPRODUCT((economics!$AG$2:$AG$167=$B51)*(economics!$D$2:$D$167="whr")*economics!$AI$2:$AI$167*(_xlfn.NORM.DIST(AZ$3,economics!$AK$2:$AK$167,economics!$AJ$2:$AJ$167,TRUE)-_xlfn.NORM.DIST(AZ$30,economics!$AK$2:$AK$167,economics!$AJ$2:$AJ$167,TRUE)))),"")</f>
        <v/>
      </c>
      <c r="BA51">
        <f t="array" ref="BA51">IFERROR((SUMPRODUCT((economics!$AG$2:$AG$167=$B51)*(economics!$D$2:$D$167="whr")*economics!$AI$2:$AI$167*(_xlfn.NORM.DIST(BA$3,economics!$AK$2:$AK$167,economics!$AJ$2:$AJ$167,TRUE)-_xlfn.NORM.DIST(BA$30,economics!$AK$2:$AK$167,economics!$AJ$2:$AJ$167,TRUE))*economics!$AM$2:$AM$167))/(SUMPRODUCT((economics!$AG$2:$AG$167=$B51)*(economics!$D$2:$D$167="whr")*economics!$AI$2:$AI$167*(_xlfn.NORM.DIST(BA$3,economics!$AK$2:$AK$167,economics!$AJ$2:$AJ$167,TRUE)-_xlfn.NORM.DIST(BA$30,economics!$AK$2:$AK$167,economics!$AJ$2:$AJ$167,TRUE)))),"")</f>
        <v/>
      </c>
      <c r="BB51">
        <f t="array" ref="BB51">IFERROR((SUMPRODUCT((economics!$AG$2:$AG$167=$B51)*(economics!$D$2:$D$167="whr")*economics!$AI$2:$AI$167*(_xlfn.NORM.DIST(BB$3,economics!$AK$2:$AK$167,economics!$AJ$2:$AJ$167,TRUE)-_xlfn.NORM.DIST(BB$30,economics!$AK$2:$AK$167,economics!$AJ$2:$AJ$167,TRUE))*economics!$AM$2:$AM$167))/(SUMPRODUCT((economics!$AG$2:$AG$167=$B51)*(economics!$D$2:$D$167="whr")*economics!$AI$2:$AI$167*(_xlfn.NORM.DIST(BB$3,economics!$AK$2:$AK$167,economics!$AJ$2:$AJ$167,TRUE)-_xlfn.NORM.DIST(BB$30,economics!$AK$2:$AK$167,economics!$AJ$2:$AJ$167,TRUE)))),"")</f>
        <v/>
      </c>
      <c r="BC51">
        <f t="array" ref="BC51">IFERROR((SUMPRODUCT((economics!$AG$2:$AG$167=$B51)*(economics!$D$2:$D$167="whr")*economics!$AI$2:$AI$167*(_xlfn.NORM.DIST(BC$3,economics!$AK$2:$AK$167,economics!$AJ$2:$AJ$167,TRUE)-_xlfn.NORM.DIST(BC$30,economics!$AK$2:$AK$167,economics!$AJ$2:$AJ$167,TRUE))*economics!$AM$2:$AM$167))/(SUMPRODUCT((economics!$AG$2:$AG$167=$B51)*(economics!$D$2:$D$167="whr")*economics!$AI$2:$AI$167*(_xlfn.NORM.DIST(BC$3,economics!$AK$2:$AK$167,economics!$AJ$2:$AJ$167,TRUE)-_xlfn.NORM.DIST(BC$30,economics!$AK$2:$AK$167,economics!$AJ$2:$AJ$167,TRUE)))),"")</f>
        <v/>
      </c>
      <c r="BD51">
        <f t="array" ref="BD51">IFERROR((SUMPRODUCT((economics!$AG$2:$AG$167=$B51)*(economics!$D$2:$D$167="whr")*economics!$AI$2:$AI$167*(_xlfn.NORM.DIST(BD$3,economics!$AK$2:$AK$167,economics!$AJ$2:$AJ$167,TRUE)-_xlfn.NORM.DIST(BD$30,economics!$AK$2:$AK$167,economics!$AJ$2:$AJ$167,TRUE))*economics!$AM$2:$AM$167))/(SUMPRODUCT((economics!$AG$2:$AG$167=$B51)*(economics!$D$2:$D$167="whr")*economics!$AI$2:$AI$167*(_xlfn.NORM.DIST(BD$3,economics!$AK$2:$AK$167,economics!$AJ$2:$AJ$167,TRUE)-_xlfn.NORM.DIST(BD$30,economics!$AK$2:$AK$167,economics!$AJ$2:$AJ$167,TRUE)))),"")</f>
        <v/>
      </c>
      <c r="BE51">
        <f t="array" ref="BE51">IFERROR((SUMPRODUCT((economics!$AG$2:$AG$167=$B51)*(economics!$D$2:$D$167="whr")*economics!$AI$2:$AI$167*(_xlfn.NORM.DIST(BE$3,economics!$AK$2:$AK$167,economics!$AJ$2:$AJ$167,TRUE)-_xlfn.NORM.DIST(BE$30,economics!$AK$2:$AK$167,economics!$AJ$2:$AJ$167,TRUE))*economics!$AM$2:$AM$167))/(SUMPRODUCT((economics!$AG$2:$AG$167=$B51)*(economics!$D$2:$D$167="whr")*economics!$AI$2:$AI$167*(_xlfn.NORM.DIST(BE$3,economics!$AK$2:$AK$167,economics!$AJ$2:$AJ$167,TRUE)-_xlfn.NORM.DIST(BE$30,economics!$AK$2:$AK$167,economics!$AJ$2:$AJ$167,TRUE)))),"")</f>
        <v/>
      </c>
      <c r="BF51">
        <f t="array" ref="BF51">IFERROR((SUMPRODUCT((economics!$AG$2:$AG$167=$B51)*(economics!$D$2:$D$167="whr")*economics!$AI$2:$AI$167*(_xlfn.NORM.DIST(BF$3,economics!$AK$2:$AK$167,economics!$AJ$2:$AJ$167,TRUE)-_xlfn.NORM.DIST(BF$30,economics!$AK$2:$AK$167,economics!$AJ$2:$AJ$167,TRUE))*economics!$AM$2:$AM$167))/(SUMPRODUCT((economics!$AG$2:$AG$167=$B51)*(economics!$D$2:$D$167="whr")*economics!$AI$2:$AI$167*(_xlfn.NORM.DIST(BF$3,economics!$AK$2:$AK$167,economics!$AJ$2:$AJ$167,TRUE)-_xlfn.NORM.DIST(BF$30,economics!$AK$2:$AK$167,economics!$AJ$2:$AJ$167,TRUE)))),"")</f>
        <v/>
      </c>
      <c r="BG51">
        <f t="array" ref="BG51">IFERROR((SUMPRODUCT((economics!$AG$2:$AG$167=$B51)*(economics!$D$2:$D$167="whr")*economics!$AI$2:$AI$167*(_xlfn.NORM.DIST(BG$3,economics!$AK$2:$AK$167,economics!$AJ$2:$AJ$167,TRUE)-_xlfn.NORM.DIST(BG$30,economics!$AK$2:$AK$167,economics!$AJ$2:$AJ$167,TRUE))*economics!$AM$2:$AM$167))/(SUMPRODUCT((economics!$AG$2:$AG$167=$B51)*(economics!$D$2:$D$167="whr")*economics!$AI$2:$AI$167*(_xlfn.NORM.DIST(BG$3,economics!$AK$2:$AK$167,economics!$AJ$2:$AJ$167,TRUE)-_xlfn.NORM.DIST(BG$30,economics!$AK$2:$AK$167,economics!$AJ$2:$AJ$167,TRUE)))),"")</f>
        <v/>
      </c>
      <c r="BH51">
        <f t="array" ref="BH51">IFERROR((SUMPRODUCT((economics!$AG$2:$AG$167=$B51)*(economics!$D$2:$D$167="whr")*economics!$AI$2:$AI$167*(_xlfn.NORM.DIST(BH$3,economics!$AK$2:$AK$167,economics!$AJ$2:$AJ$167,TRUE)-_xlfn.NORM.DIST(BH$30,economics!$AK$2:$AK$167,economics!$AJ$2:$AJ$167,TRUE))*economics!$AM$2:$AM$167))/(SUMPRODUCT((economics!$AG$2:$AG$167=$B51)*(economics!$D$2:$D$167="whr")*economics!$AI$2:$AI$167*(_xlfn.NORM.DIST(BH$3,economics!$AK$2:$AK$167,economics!$AJ$2:$AJ$167,TRUE)-_xlfn.NORM.DIST(BH$30,economics!$AK$2:$AK$167,economics!$AJ$2:$AJ$167,TRUE)))),"")</f>
        <v/>
      </c>
      <c r="BI51">
        <f t="array" ref="BI51">IFERROR((SUMPRODUCT((economics!$AG$2:$AG$167=$B51)*(economics!$D$2:$D$167="whr")*economics!$AI$2:$AI$167*(_xlfn.NORM.DIST(BI$3,economics!$AK$2:$AK$167,economics!$AJ$2:$AJ$167,TRUE)-_xlfn.NORM.DIST(BI$30,economics!$AK$2:$AK$167,economics!$AJ$2:$AJ$167,TRUE))*economics!$AM$2:$AM$167))/(SUMPRODUCT((economics!$AG$2:$AG$167=$B51)*(economics!$D$2:$D$167="whr")*economics!$AI$2:$AI$167*(_xlfn.NORM.DIST(BI$3,economics!$AK$2:$AK$167,economics!$AJ$2:$AJ$167,TRUE)-_xlfn.NORM.DIST(BI$30,economics!$AK$2:$AK$167,economics!$AJ$2:$AJ$167,TRUE)))),"")</f>
        <v/>
      </c>
      <c r="BJ51">
        <f t="array" ref="BJ51">IFERROR((SUMPRODUCT((economics!$AG$2:$AG$167=$B51)*(economics!$D$2:$D$167="whr")*economics!$AI$2:$AI$167*(_xlfn.NORM.DIST(BJ$3,economics!$AK$2:$AK$167,economics!$AJ$2:$AJ$167,TRUE)-_xlfn.NORM.DIST(BJ$30,economics!$AK$2:$AK$167,economics!$AJ$2:$AJ$167,TRUE))*economics!$AM$2:$AM$167))/(SUMPRODUCT((economics!$AG$2:$AG$167=$B51)*(economics!$D$2:$D$167="whr")*economics!$AI$2:$AI$167*(_xlfn.NORM.DIST(BJ$3,economics!$AK$2:$AK$167,economics!$AJ$2:$AJ$167,TRUE)-_xlfn.NORM.DIST(BJ$30,economics!$AK$2:$AK$167,economics!$AJ$2:$AJ$167,TRUE)))),"")</f>
        <v/>
      </c>
      <c r="BK51">
        <f t="array" ref="BK51">IFERROR((SUMPRODUCT((economics!$AG$2:$AG$167=$B51)*(economics!$D$2:$D$167="whr")*economics!$AI$2:$AI$167*(_xlfn.NORM.DIST(BK$3,economics!$AK$2:$AK$167,economics!$AJ$2:$AJ$167,TRUE)-_xlfn.NORM.DIST(BK$30,economics!$AK$2:$AK$167,economics!$AJ$2:$AJ$167,TRUE))*economics!$AM$2:$AM$167))/(SUMPRODUCT((economics!$AG$2:$AG$167=$B51)*(economics!$D$2:$D$167="whr")*economics!$AI$2:$AI$167*(_xlfn.NORM.DIST(BK$3,economics!$AK$2:$AK$167,economics!$AJ$2:$AJ$167,TRUE)-_xlfn.NORM.DIST(BK$30,economics!$AK$2:$AK$167,economics!$AJ$2:$AJ$167,TRUE)))),"")</f>
        <v/>
      </c>
      <c r="BL51">
        <f t="array" ref="BL51">IFERROR((SUMPRODUCT((economics!$AG$2:$AG$167=$B51)*(economics!$D$2:$D$167="whr")*economics!$AI$2:$AI$167*(_xlfn.NORM.DIST(BL$3,economics!$AK$2:$AK$167,economics!$AJ$2:$AJ$167,TRUE)-_xlfn.NORM.DIST(BL$30,economics!$AK$2:$AK$167,economics!$AJ$2:$AJ$167,TRUE))*economics!$AM$2:$AM$167))/(SUMPRODUCT((economics!$AG$2:$AG$167=$B51)*(economics!$D$2:$D$167="whr")*economics!$AI$2:$AI$167*(_xlfn.NORM.DIST(BL$3,economics!$AK$2:$AK$167,economics!$AJ$2:$AJ$167,TRUE)-_xlfn.NORM.DIST(BL$30,economics!$AK$2:$AK$167,economics!$AJ$2:$AJ$167,TRUE)))),"")</f>
        <v/>
      </c>
      <c r="BM51">
        <f t="array" ref="BM51">IFERROR((SUMPRODUCT((economics!$AG$2:$AG$167=$B51)*(economics!$D$2:$D$167="whr")*economics!$AI$2:$AI$167*(_xlfn.NORM.DIST(BM$3,economics!$AK$2:$AK$167,economics!$AJ$2:$AJ$167,TRUE)-_xlfn.NORM.DIST(BM$30,economics!$AK$2:$AK$167,economics!$AJ$2:$AJ$167,TRUE))*economics!$AM$2:$AM$167))/(SUMPRODUCT((economics!$AG$2:$AG$167=$B51)*(economics!$D$2:$D$167="whr")*economics!$AI$2:$AI$167*(_xlfn.NORM.DIST(BM$3,economics!$AK$2:$AK$167,economics!$AJ$2:$AJ$167,TRUE)-_xlfn.NORM.DIST(BM$30,economics!$AK$2:$AK$167,economics!$AJ$2:$AJ$167,TRUE)))),"")</f>
        <v/>
      </c>
      <c r="BN51">
        <f t="array" ref="BN51">IFERROR((SUMPRODUCT((economics!$AG$2:$AG$167=$B51)*(economics!$D$2:$D$167="whr")*economics!$AI$2:$AI$167*(_xlfn.NORM.DIST(BN$3,economics!$AK$2:$AK$167,economics!$AJ$2:$AJ$167,TRUE)-_xlfn.NORM.DIST(BN$30,economics!$AK$2:$AK$167,economics!$AJ$2:$AJ$167,TRUE))*economics!$AM$2:$AM$167))/(SUMPRODUCT((economics!$AG$2:$AG$167=$B51)*(economics!$D$2:$D$167="whr")*economics!$AI$2:$AI$167*(_xlfn.NORM.DIST(BN$3,economics!$AK$2:$AK$167,economics!$AJ$2:$AJ$167,TRUE)-_xlfn.NORM.DIST(BN$30,economics!$AK$2:$AK$167,economics!$AJ$2:$AJ$167,TRUE)))),"")</f>
        <v/>
      </c>
      <c r="BO51">
        <f t="array" ref="BO51">IFERROR((SUMPRODUCT((economics!$AG$2:$AG$167=$B51)*(economics!$D$2:$D$167="whr")*economics!$AI$2:$AI$167*(_xlfn.NORM.DIST(BO$3,economics!$AK$2:$AK$167,economics!$AJ$2:$AJ$167,TRUE)-_xlfn.NORM.DIST(BO$30,economics!$AK$2:$AK$167,economics!$AJ$2:$AJ$167,TRUE))*economics!$AM$2:$AM$167))/(SUMPRODUCT((economics!$AG$2:$AG$167=$B51)*(economics!$D$2:$D$167="whr")*economics!$AI$2:$AI$167*(_xlfn.NORM.DIST(BO$3,economics!$AK$2:$AK$167,economics!$AJ$2:$AJ$167,TRUE)-_xlfn.NORM.DIST(BO$30,economics!$AK$2:$AK$167,economics!$AJ$2:$AJ$167,TRUE)))),"")</f>
        <v/>
      </c>
      <c r="BP51">
        <f t="array" ref="BP51">IFERROR((SUMPRODUCT((economics!$AG$2:$AG$167=$B51)*(economics!$D$2:$D$167="whr")*economics!$AI$2:$AI$167*(_xlfn.NORM.DIST(BP$3,economics!$AK$2:$AK$167,economics!$AJ$2:$AJ$167,TRUE)-_xlfn.NORM.DIST(BP$30,economics!$AK$2:$AK$167,economics!$AJ$2:$AJ$167,TRUE))*economics!$AM$2:$AM$167))/(SUMPRODUCT((economics!$AG$2:$AG$167=$B51)*(economics!$D$2:$D$167="whr")*economics!$AI$2:$AI$167*(_xlfn.NORM.DIST(BP$3,economics!$AK$2:$AK$167,economics!$AJ$2:$AJ$167,TRUE)-_xlfn.NORM.DIST(BP$30,economics!$AK$2:$AK$167,economics!$AJ$2:$AJ$167,TRUE)))),"")</f>
        <v/>
      </c>
      <c r="BQ51">
        <f t="array" ref="BQ51">IFERROR((SUMPRODUCT((economics!$AG$2:$AG$167=$B51)*(economics!$D$2:$D$167="whr")*economics!$AI$2:$AI$167*(_xlfn.NORM.DIST(BQ$3,economics!$AK$2:$AK$167,economics!$AJ$2:$AJ$167,TRUE)-_xlfn.NORM.DIST(BQ$30,economics!$AK$2:$AK$167,economics!$AJ$2:$AJ$167,TRUE))*economics!$AM$2:$AM$167))/(SUMPRODUCT((economics!$AG$2:$AG$167=$B51)*(economics!$D$2:$D$167="whr")*economics!$AI$2:$AI$167*(_xlfn.NORM.DIST(BQ$3,economics!$AK$2:$AK$167,economics!$AJ$2:$AJ$167,TRUE)-_xlfn.NORM.DIST(BQ$30,economics!$AK$2:$AK$167,economics!$AJ$2:$AJ$167,TRUE)))),"")</f>
        <v/>
      </c>
      <c r="BR51">
        <f t="array" ref="BR51">IFERROR((SUMPRODUCT((economics!$AG$2:$AG$167=$B51)*(economics!$D$2:$D$167="whr")*economics!$AI$2:$AI$167*(_xlfn.NORM.DIST(BR$3,economics!$AK$2:$AK$167,economics!$AJ$2:$AJ$167,TRUE)-_xlfn.NORM.DIST(BR$30,economics!$AK$2:$AK$167,economics!$AJ$2:$AJ$167,TRUE))*economics!$AM$2:$AM$167))/(SUMPRODUCT((economics!$AG$2:$AG$167=$B51)*(economics!$D$2:$D$167="whr")*economics!$AI$2:$AI$167*(_xlfn.NORM.DIST(BR$3,economics!$AK$2:$AK$167,economics!$AJ$2:$AJ$167,TRUE)-_xlfn.NORM.DIST(BR$30,economics!$AK$2:$AK$167,economics!$AJ$2:$AJ$167,TRUE)))),"")</f>
        <v/>
      </c>
      <c r="BS51">
        <f t="array" ref="BS51">IFERROR((SUMPRODUCT((economics!$AG$2:$AG$167=$B51)*(economics!$D$2:$D$167="whr")*economics!$AI$2:$AI$167*(_xlfn.NORM.DIST(BS$3,economics!$AK$2:$AK$167,economics!$AJ$2:$AJ$167,TRUE)-_xlfn.NORM.DIST(BS$30,economics!$AK$2:$AK$167,economics!$AJ$2:$AJ$167,TRUE))*economics!$AM$2:$AM$167))/(SUMPRODUCT((economics!$AG$2:$AG$167=$B51)*(economics!$D$2:$D$167="whr")*economics!$AI$2:$AI$167*(_xlfn.NORM.DIST(BS$3,economics!$AK$2:$AK$167,economics!$AJ$2:$AJ$167,TRUE)-_xlfn.NORM.DIST(BS$30,economics!$AK$2:$AK$167,economics!$AJ$2:$AJ$167,TRUE)))),"")</f>
        <v/>
      </c>
      <c r="BT51">
        <f t="array" ref="BT51">IFERROR((SUMPRODUCT((economics!$AG$2:$AG$167=$B51)*(economics!$D$2:$D$167="whr")*economics!$AI$2:$AI$167*(_xlfn.NORM.DIST(BT$3,economics!$AK$2:$AK$167,economics!$AJ$2:$AJ$167,TRUE)-_xlfn.NORM.DIST(BT$30,economics!$AK$2:$AK$167,economics!$AJ$2:$AJ$167,TRUE))*economics!$AM$2:$AM$167))/(SUMPRODUCT((economics!$AG$2:$AG$167=$B51)*(economics!$D$2:$D$167="whr")*economics!$AI$2:$AI$167*(_xlfn.NORM.DIST(BT$3,economics!$AK$2:$AK$167,economics!$AJ$2:$AJ$167,TRUE)-_xlfn.NORM.DIST(BT$30,economics!$AK$2:$AK$167,economics!$AJ$2:$AJ$167,TRUE)))),"")</f>
        <v/>
      </c>
      <c r="BU51">
        <f t="array" ref="BU51">IFERROR((SUMPRODUCT((economics!$AG$2:$AG$167=$B51)*(economics!$D$2:$D$167="whr")*economics!$AI$2:$AI$167*(_xlfn.NORM.DIST(BU$3,economics!$AK$2:$AK$167,economics!$AJ$2:$AJ$167,TRUE)-_xlfn.NORM.DIST(BU$30,economics!$AK$2:$AK$167,economics!$AJ$2:$AJ$167,TRUE))*economics!$AM$2:$AM$167))/(SUMPRODUCT((economics!$AG$2:$AG$167=$B51)*(economics!$D$2:$D$167="whr")*economics!$AI$2:$AI$167*(_xlfn.NORM.DIST(BU$3,economics!$AK$2:$AK$167,economics!$AJ$2:$AJ$167,TRUE)-_xlfn.NORM.DIST(BU$30,economics!$AK$2:$AK$167,economics!$AJ$2:$AJ$167,TRUE)))),"")</f>
        <v/>
      </c>
      <c r="BV51">
        <f t="array" ref="BV51">IFERROR((SUMPRODUCT((economics!$AG$2:$AG$167=$B51)*(economics!$D$2:$D$167="whr")*economics!$AI$2:$AI$167*(_xlfn.NORM.DIST(BV$3,economics!$AK$2:$AK$167,economics!$AJ$2:$AJ$167,TRUE)-_xlfn.NORM.DIST(BV$30,economics!$AK$2:$AK$167,economics!$AJ$2:$AJ$167,TRUE))*economics!$AM$2:$AM$167))/(SUMPRODUCT((economics!$AG$2:$AG$167=$B51)*(economics!$D$2:$D$167="whr")*economics!$AI$2:$AI$167*(_xlfn.NORM.DIST(BV$3,economics!$AK$2:$AK$167,economics!$AJ$2:$AJ$167,TRUE)-_xlfn.NORM.DIST(BV$30,economics!$AK$2:$AK$167,economics!$AJ$2:$AJ$167,TRUE)))),"")</f>
        <v/>
      </c>
      <c r="BW51">
        <f t="array" ref="BW51">IFERROR((SUMPRODUCT((economics!$AG$2:$AG$167=$B51)*(economics!$D$2:$D$167="whr")*economics!$AI$2:$AI$167*(_xlfn.NORM.DIST(BW$3,economics!$AK$2:$AK$167,economics!$AJ$2:$AJ$167,TRUE)-_xlfn.NORM.DIST(BW$30,economics!$AK$2:$AK$167,economics!$AJ$2:$AJ$167,TRUE))*economics!$AM$2:$AM$167))/(SUMPRODUCT((economics!$AG$2:$AG$167=$B51)*(economics!$D$2:$D$167="whr")*economics!$AI$2:$AI$167*(_xlfn.NORM.DIST(BW$3,economics!$AK$2:$AK$167,economics!$AJ$2:$AJ$167,TRUE)-_xlfn.NORM.DIST(BW$30,economics!$AK$2:$AK$167,economics!$AJ$2:$AJ$167,TRUE)))),"")</f>
        <v/>
      </c>
      <c r="BX51">
        <f t="array" ref="BX51">IFERROR((SUMPRODUCT((economics!$AG$2:$AG$167=$B51)*(economics!$D$2:$D$167="whr")*economics!$AI$2:$AI$167*(_xlfn.NORM.DIST(BX$3,economics!$AK$2:$AK$167,economics!$AJ$2:$AJ$167,TRUE)-_xlfn.NORM.DIST(BX$30,economics!$AK$2:$AK$167,economics!$AJ$2:$AJ$167,TRUE))*economics!$AM$2:$AM$167))/(SUMPRODUCT((economics!$AG$2:$AG$167=$B51)*(economics!$D$2:$D$167="whr")*economics!$AI$2:$AI$167*(_xlfn.NORM.DIST(BX$3,economics!$AK$2:$AK$167,economics!$AJ$2:$AJ$167,TRUE)-_xlfn.NORM.DIST(BX$30,economics!$AK$2:$AK$167,economics!$AJ$2:$AJ$167,TRUE)))),"")</f>
        <v/>
      </c>
      <c r="BY51">
        <f t="array" ref="BY51">IFERROR((SUMPRODUCT((economics!$AG$2:$AG$167=$B51)*(economics!$D$2:$D$167="whr")*economics!$AI$2:$AI$167*(_xlfn.NORM.DIST(BY$3,economics!$AK$2:$AK$167,economics!$AJ$2:$AJ$167,TRUE)-_xlfn.NORM.DIST(BY$30,economics!$AK$2:$AK$167,economics!$AJ$2:$AJ$167,TRUE))*economics!$AM$2:$AM$167))/(SUMPRODUCT((economics!$AG$2:$AG$167=$B51)*(economics!$D$2:$D$167="whr")*economics!$AI$2:$AI$167*(_xlfn.NORM.DIST(BY$3,economics!$AK$2:$AK$167,economics!$AJ$2:$AJ$167,TRUE)-_xlfn.NORM.DIST(BY$30,economics!$AK$2:$AK$167,economics!$AJ$2:$AJ$167,TRUE)))),"")</f>
        <v/>
      </c>
      <c r="BZ51">
        <f t="array" ref="BZ51">IFERROR((SUMPRODUCT((economics!$AG$2:$AG$167=$B51)*(economics!$D$2:$D$167="whr")*economics!$AI$2:$AI$167*(_xlfn.NORM.DIST(BZ$3,economics!$AK$2:$AK$167,economics!$AJ$2:$AJ$167,TRUE)-_xlfn.NORM.DIST(BZ$30,economics!$AK$2:$AK$167,economics!$AJ$2:$AJ$167,TRUE))*economics!$AM$2:$AM$167))/(SUMPRODUCT((economics!$AG$2:$AG$167=$B51)*(economics!$D$2:$D$167="whr")*economics!$AI$2:$AI$167*(_xlfn.NORM.DIST(BZ$3,economics!$AK$2:$AK$167,economics!$AJ$2:$AJ$167,TRUE)-_xlfn.NORM.DIST(BZ$30,economics!$AK$2:$AK$167,economics!$AJ$2:$AJ$167,TRUE)))),"")</f>
        <v/>
      </c>
      <c r="CA51">
        <f t="array" ref="CA51">IFERROR((SUMPRODUCT((economics!$AG$2:$AG$167=$B51)*(economics!$D$2:$D$167="whr")*economics!$AI$2:$AI$167*(_xlfn.NORM.DIST(CA$3,economics!$AK$2:$AK$167,economics!$AJ$2:$AJ$167,TRUE)-_xlfn.NORM.DIST(CA$30,economics!$AK$2:$AK$167,economics!$AJ$2:$AJ$167,TRUE))*economics!$AM$2:$AM$167))/(SUMPRODUCT((economics!$AG$2:$AG$167=$B51)*(economics!$D$2:$D$167="whr")*economics!$AI$2:$AI$167*(_xlfn.NORM.DIST(CA$3,economics!$AK$2:$AK$167,economics!$AJ$2:$AJ$167,TRUE)-_xlfn.NORM.DIST(CA$30,economics!$AK$2:$AK$167,economics!$AJ$2:$AJ$167,TRUE)))),"")</f>
        <v/>
      </c>
      <c r="CB51">
        <f t="array" ref="CB51">IFERROR((SUMPRODUCT((economics!$AG$2:$AG$167=$B51)*(economics!$D$2:$D$167="whr")*economics!$AI$2:$AI$167*(_xlfn.NORM.DIST(CB$3,economics!$AK$2:$AK$167,economics!$AJ$2:$AJ$167,TRUE)-_xlfn.NORM.DIST(CB$30,economics!$AK$2:$AK$167,economics!$AJ$2:$AJ$167,TRUE))*economics!$AM$2:$AM$167))/(SUMPRODUCT((economics!$AG$2:$AG$167=$B51)*(economics!$D$2:$D$167="whr")*economics!$AI$2:$AI$167*(_xlfn.NORM.DIST(CB$3,economics!$AK$2:$AK$167,economics!$AJ$2:$AJ$167,TRUE)-_xlfn.NORM.DIST(CB$30,economics!$AK$2:$AK$167,economics!$AJ$2:$AJ$167,TRUE)))),"")</f>
        <v/>
      </c>
      <c r="CC51">
        <f t="array" ref="CC51">IFERROR((SUMPRODUCT((economics!$AG$2:$AG$167=$B51)*(economics!$D$2:$D$167="whr")*economics!$AI$2:$AI$167*(_xlfn.NORM.DIST(CC$3,economics!$AK$2:$AK$167,economics!$AJ$2:$AJ$167,TRUE)-_xlfn.NORM.DIST(CC$30,economics!$AK$2:$AK$167,economics!$AJ$2:$AJ$167,TRUE))*economics!$AM$2:$AM$167))/(SUMPRODUCT((economics!$AG$2:$AG$167=$B51)*(economics!$D$2:$D$167="whr")*economics!$AI$2:$AI$167*(_xlfn.NORM.DIST(CC$3,economics!$AK$2:$AK$167,economics!$AJ$2:$AJ$167,TRUE)-_xlfn.NORM.DIST(CC$30,economics!$AK$2:$AK$167,economics!$AJ$2:$AJ$167,TRUE)))),"")</f>
        <v/>
      </c>
      <c r="CD51">
        <f t="array" ref="CD51">IFERROR((SUMPRODUCT((economics!$AG$2:$AG$167=$B51)*(economics!$D$2:$D$167="whr")*economics!$AI$2:$AI$167*(_xlfn.NORM.DIST(CD$3,economics!$AK$2:$AK$167,economics!$AJ$2:$AJ$167,TRUE)-_xlfn.NORM.DIST(CD$30,economics!$AK$2:$AK$167,economics!$AJ$2:$AJ$167,TRUE))*economics!$AM$2:$AM$167))/(SUMPRODUCT((economics!$AG$2:$AG$167=$B51)*(economics!$D$2:$D$167="whr")*economics!$AI$2:$AI$167*(_xlfn.NORM.DIST(CD$3,economics!$AK$2:$AK$167,economics!$AJ$2:$AJ$167,TRUE)-_xlfn.NORM.DIST(CD$30,economics!$AK$2:$AK$167,economics!$AJ$2:$AJ$167,TRUE)))),"")</f>
        <v/>
      </c>
      <c r="CE51">
        <f t="array" ref="CE51">IFERROR((SUMPRODUCT((economics!$AG$2:$AG$167=$B51)*(economics!$D$2:$D$167="whr")*economics!$AI$2:$AI$167*(_xlfn.NORM.DIST(CE$3,economics!$AK$2:$AK$167,economics!$AJ$2:$AJ$167,TRUE)-_xlfn.NORM.DIST(CE$30,economics!$AK$2:$AK$167,economics!$AJ$2:$AJ$167,TRUE))*economics!$AM$2:$AM$167))/(SUMPRODUCT((economics!$AG$2:$AG$167=$B51)*(economics!$D$2:$D$167="whr")*economics!$AI$2:$AI$167*(_xlfn.NORM.DIST(CE$3,economics!$AK$2:$AK$167,economics!$AJ$2:$AJ$167,TRUE)-_xlfn.NORM.DIST(CE$30,economics!$AK$2:$AK$167,economics!$AJ$2:$AJ$167,TRUE)))),"")</f>
        <v/>
      </c>
      <c r="CF51">
        <f t="array" ref="CF51">IFERROR((SUMPRODUCT((economics!$AG$2:$AG$167=$B51)*(economics!$D$2:$D$167="whr")*economics!$AI$2:$AI$167*(_xlfn.NORM.DIST(CF$3,economics!$AK$2:$AK$167,economics!$AJ$2:$AJ$167,TRUE)-_xlfn.NORM.DIST(CF$30,economics!$AK$2:$AK$167,economics!$AJ$2:$AJ$167,TRUE))*economics!$AM$2:$AM$167))/(SUMPRODUCT((economics!$AG$2:$AG$167=$B51)*(economics!$D$2:$D$167="whr")*economics!$AI$2:$AI$167*(_xlfn.NORM.DIST(CF$3,economics!$AK$2:$AK$167,economics!$AJ$2:$AJ$167,TRUE)-_xlfn.NORM.DIST(CF$30,economics!$AK$2:$AK$167,economics!$AJ$2:$AJ$167,TRUE)))),"")</f>
        <v/>
      </c>
      <c r="CG51">
        <f t="array" ref="CG51">IFERROR((SUMPRODUCT((economics!$AG$2:$AG$167=$B51)*(economics!$D$2:$D$167="whr")*economics!$AI$2:$AI$167*(_xlfn.NORM.DIST(CG$3,economics!$AK$2:$AK$167,economics!$AJ$2:$AJ$167,TRUE)-_xlfn.NORM.DIST(CG$30,economics!$AK$2:$AK$167,economics!$AJ$2:$AJ$167,TRUE))*economics!$AM$2:$AM$167))/(SUMPRODUCT((economics!$AG$2:$AG$167=$B51)*(economics!$D$2:$D$167="whr")*economics!$AI$2:$AI$167*(_xlfn.NORM.DIST(CG$3,economics!$AK$2:$AK$167,economics!$AJ$2:$AJ$167,TRUE)-_xlfn.NORM.DIST(CG$30,economics!$AK$2:$AK$167,economics!$AJ$2:$AJ$167,TRUE)))),"")</f>
        <v/>
      </c>
      <c r="CH51">
        <f t="array" ref="CH51">IFERROR((SUMPRODUCT((economics!$AG$2:$AG$167=$B51)*(economics!$D$2:$D$167="whr")*economics!$AI$2:$AI$167*(_xlfn.NORM.DIST(CH$3,economics!$AK$2:$AK$167,economics!$AJ$2:$AJ$167,TRUE)-_xlfn.NORM.DIST(CH$30,economics!$AK$2:$AK$167,economics!$AJ$2:$AJ$167,TRUE))*economics!$AM$2:$AM$167))/(SUMPRODUCT((economics!$AG$2:$AG$167=$B51)*(economics!$D$2:$D$167="whr")*economics!$AI$2:$AI$167*(_xlfn.NORM.DIST(CH$3,economics!$AK$2:$AK$167,economics!$AJ$2:$AJ$167,TRUE)-_xlfn.NORM.DIST(CH$30,economics!$AK$2:$AK$167,economics!$AJ$2:$AJ$167,TRUE)))),"")</f>
        <v/>
      </c>
    </row>
    <row r="52">
      <c r="A52">
        <f>A23</f>
        <v/>
      </c>
      <c r="B52">
        <f>B23</f>
        <v/>
      </c>
      <c r="E52">
        <f t="array" ref="E52">IFERROR((SUMPRODUCT((economics!$AG$2:$AG$167=$B52)*(economics!$D$2:$D$167="whr")*economics!$AI$2:$AI$167*(_xlfn.NORM.DIST(E$3,economics!$AK$2:$AK$167,economics!$AJ$2:$AJ$167,TRUE)-_xlfn.NORM.DIST(E$30,economics!$AK$2:$AK$167,economics!$AJ$2:$AJ$167,TRUE))*economics!$AM$2:$AM$167))/(SUMPRODUCT((economics!$AG$2:$AG$167=$B52)*(economics!$D$2:$D$167="whr")*economics!$AI$2:$AI$167*(_xlfn.NORM.DIST(E$3,economics!$AK$2:$AK$167,economics!$AJ$2:$AJ$167,TRUE)-_xlfn.NORM.DIST(E$30,economics!$AK$2:$AK$167,economics!$AJ$2:$AJ$167,TRUE)))),"")</f>
        <v/>
      </c>
      <c r="F52">
        <f t="array" ref="F52">IFERROR((SUMPRODUCT((economics!$AG$2:$AG$167=$B52)*(economics!$D$2:$D$167="whr")*economics!$AI$2:$AI$167*(_xlfn.NORM.DIST(F$3,economics!$AK$2:$AK$167,economics!$AJ$2:$AJ$167,TRUE)-_xlfn.NORM.DIST(F$30,economics!$AK$2:$AK$167,economics!$AJ$2:$AJ$167,TRUE))*economics!$AM$2:$AM$167))/(SUMPRODUCT((economics!$AG$2:$AG$167=$B52)*(economics!$D$2:$D$167="whr")*economics!$AI$2:$AI$167*(_xlfn.NORM.DIST(F$3,economics!$AK$2:$AK$167,economics!$AJ$2:$AJ$167,TRUE)-_xlfn.NORM.DIST(F$30,economics!$AK$2:$AK$167,economics!$AJ$2:$AJ$167,TRUE)))),"")</f>
        <v/>
      </c>
      <c r="G52">
        <f t="array" ref="G52">IFERROR((SUMPRODUCT((economics!$AG$2:$AG$167=$B52)*(economics!$D$2:$D$167="whr")*economics!$AI$2:$AI$167*(_xlfn.NORM.DIST(G$3,economics!$AK$2:$AK$167,economics!$AJ$2:$AJ$167,TRUE)-_xlfn.NORM.DIST(G$30,economics!$AK$2:$AK$167,economics!$AJ$2:$AJ$167,TRUE))*economics!$AM$2:$AM$167))/(SUMPRODUCT((economics!$AG$2:$AG$167=$B52)*(economics!$D$2:$D$167="whr")*economics!$AI$2:$AI$167*(_xlfn.NORM.DIST(G$3,economics!$AK$2:$AK$167,economics!$AJ$2:$AJ$167,TRUE)-_xlfn.NORM.DIST(G$30,economics!$AK$2:$AK$167,economics!$AJ$2:$AJ$167,TRUE)))),"")</f>
        <v/>
      </c>
      <c r="H52">
        <f t="array" ref="H52">IFERROR((SUMPRODUCT((economics!$AG$2:$AG$167=$B52)*(economics!$D$2:$D$167="whr")*economics!$AI$2:$AI$167*(_xlfn.NORM.DIST(H$3,economics!$AK$2:$AK$167,economics!$AJ$2:$AJ$167,TRUE)-_xlfn.NORM.DIST(H$30,economics!$AK$2:$AK$167,economics!$AJ$2:$AJ$167,TRUE))*economics!$AM$2:$AM$167))/(SUMPRODUCT((economics!$AG$2:$AG$167=$B52)*(economics!$D$2:$D$167="whr")*economics!$AI$2:$AI$167*(_xlfn.NORM.DIST(H$3,economics!$AK$2:$AK$167,economics!$AJ$2:$AJ$167,TRUE)-_xlfn.NORM.DIST(H$30,economics!$AK$2:$AK$167,economics!$AJ$2:$AJ$167,TRUE)))),"")</f>
        <v/>
      </c>
      <c r="I52">
        <f t="array" ref="I52">IFERROR((SUMPRODUCT((economics!$AG$2:$AG$167=$B52)*(economics!$D$2:$D$167="whr")*economics!$AI$2:$AI$167*(_xlfn.NORM.DIST(I$3,economics!$AK$2:$AK$167,economics!$AJ$2:$AJ$167,TRUE)-_xlfn.NORM.DIST(I$30,economics!$AK$2:$AK$167,economics!$AJ$2:$AJ$167,TRUE))*economics!$AM$2:$AM$167))/(SUMPRODUCT((economics!$AG$2:$AG$167=$B52)*(economics!$D$2:$D$167="whr")*economics!$AI$2:$AI$167*(_xlfn.NORM.DIST(I$3,economics!$AK$2:$AK$167,economics!$AJ$2:$AJ$167,TRUE)-_xlfn.NORM.DIST(I$30,economics!$AK$2:$AK$167,economics!$AJ$2:$AJ$167,TRUE)))),"")</f>
        <v/>
      </c>
      <c r="J52">
        <f t="array" ref="J52">IFERROR((SUMPRODUCT((economics!$AG$2:$AG$167=$B52)*(economics!$D$2:$D$167="whr")*economics!$AI$2:$AI$167*(_xlfn.NORM.DIST(J$3,economics!$AK$2:$AK$167,economics!$AJ$2:$AJ$167,TRUE)-_xlfn.NORM.DIST(J$30,economics!$AK$2:$AK$167,economics!$AJ$2:$AJ$167,TRUE))*economics!$AM$2:$AM$167))/(SUMPRODUCT((economics!$AG$2:$AG$167=$B52)*(economics!$D$2:$D$167="whr")*economics!$AI$2:$AI$167*(_xlfn.NORM.DIST(J$3,economics!$AK$2:$AK$167,economics!$AJ$2:$AJ$167,TRUE)-_xlfn.NORM.DIST(J$30,economics!$AK$2:$AK$167,economics!$AJ$2:$AJ$167,TRUE)))),"")</f>
        <v/>
      </c>
      <c r="K52">
        <f t="array" ref="K52">IFERROR((SUMPRODUCT((economics!$AG$2:$AG$167=$B52)*(economics!$D$2:$D$167="whr")*economics!$AI$2:$AI$167*(_xlfn.NORM.DIST(K$3,economics!$AK$2:$AK$167,economics!$AJ$2:$AJ$167,TRUE)-_xlfn.NORM.DIST(K$30,economics!$AK$2:$AK$167,economics!$AJ$2:$AJ$167,TRUE))*economics!$AM$2:$AM$167))/(SUMPRODUCT((economics!$AG$2:$AG$167=$B52)*(economics!$D$2:$D$167="whr")*economics!$AI$2:$AI$167*(_xlfn.NORM.DIST(K$3,economics!$AK$2:$AK$167,economics!$AJ$2:$AJ$167,TRUE)-_xlfn.NORM.DIST(K$30,economics!$AK$2:$AK$167,economics!$AJ$2:$AJ$167,TRUE)))),"")</f>
        <v/>
      </c>
      <c r="L52">
        <f t="array" ref="L52">IFERROR((SUMPRODUCT((economics!$AG$2:$AG$167=$B52)*(economics!$D$2:$D$167="whr")*economics!$AI$2:$AI$167*(_xlfn.NORM.DIST(L$3,economics!$AK$2:$AK$167,economics!$AJ$2:$AJ$167,TRUE)-_xlfn.NORM.DIST(L$30,economics!$AK$2:$AK$167,economics!$AJ$2:$AJ$167,TRUE))*economics!$AM$2:$AM$167))/(SUMPRODUCT((economics!$AG$2:$AG$167=$B52)*(economics!$D$2:$D$167="whr")*economics!$AI$2:$AI$167*(_xlfn.NORM.DIST(L$3,economics!$AK$2:$AK$167,economics!$AJ$2:$AJ$167,TRUE)-_xlfn.NORM.DIST(L$30,economics!$AK$2:$AK$167,economics!$AJ$2:$AJ$167,TRUE)))),"")</f>
        <v/>
      </c>
      <c r="M52">
        <f t="array" ref="M52">IFERROR((SUMPRODUCT((economics!$AG$2:$AG$167=$B52)*(economics!$D$2:$D$167="whr")*economics!$AI$2:$AI$167*(_xlfn.NORM.DIST(M$3,economics!$AK$2:$AK$167,economics!$AJ$2:$AJ$167,TRUE)-_xlfn.NORM.DIST(M$30,economics!$AK$2:$AK$167,economics!$AJ$2:$AJ$167,TRUE))*economics!$AM$2:$AM$167))/(SUMPRODUCT((economics!$AG$2:$AG$167=$B52)*(economics!$D$2:$D$167="whr")*economics!$AI$2:$AI$167*(_xlfn.NORM.DIST(M$3,economics!$AK$2:$AK$167,economics!$AJ$2:$AJ$167,TRUE)-_xlfn.NORM.DIST(M$30,economics!$AK$2:$AK$167,economics!$AJ$2:$AJ$167,TRUE)))),"")</f>
        <v/>
      </c>
      <c r="N52">
        <f t="array" ref="N52">IFERROR((SUMPRODUCT((economics!$AG$2:$AG$167=$B52)*(economics!$D$2:$D$167="whr")*economics!$AI$2:$AI$167*(_xlfn.NORM.DIST(N$3,economics!$AK$2:$AK$167,economics!$AJ$2:$AJ$167,TRUE)-_xlfn.NORM.DIST(N$30,economics!$AK$2:$AK$167,economics!$AJ$2:$AJ$167,TRUE))*economics!$AM$2:$AM$167))/(SUMPRODUCT((economics!$AG$2:$AG$167=$B52)*(economics!$D$2:$D$167="whr")*economics!$AI$2:$AI$167*(_xlfn.NORM.DIST(N$3,economics!$AK$2:$AK$167,economics!$AJ$2:$AJ$167,TRUE)-_xlfn.NORM.DIST(N$30,economics!$AK$2:$AK$167,economics!$AJ$2:$AJ$167,TRUE)))),"")</f>
        <v/>
      </c>
      <c r="O52">
        <f t="array" ref="O52">IFERROR((SUMPRODUCT((economics!$AG$2:$AG$167=$B52)*(economics!$D$2:$D$167="whr")*economics!$AI$2:$AI$167*(_xlfn.NORM.DIST(O$3,economics!$AK$2:$AK$167,economics!$AJ$2:$AJ$167,TRUE)-_xlfn.NORM.DIST(O$30,economics!$AK$2:$AK$167,economics!$AJ$2:$AJ$167,TRUE))*economics!$AM$2:$AM$167))/(SUMPRODUCT((economics!$AG$2:$AG$167=$B52)*(economics!$D$2:$D$167="whr")*economics!$AI$2:$AI$167*(_xlfn.NORM.DIST(O$3,economics!$AK$2:$AK$167,economics!$AJ$2:$AJ$167,TRUE)-_xlfn.NORM.DIST(O$30,economics!$AK$2:$AK$167,economics!$AJ$2:$AJ$167,TRUE)))),"")</f>
        <v/>
      </c>
      <c r="P52">
        <f t="array" ref="P52">IFERROR((SUMPRODUCT((economics!$AG$2:$AG$167=$B52)*(economics!$D$2:$D$167="whr")*economics!$AI$2:$AI$167*(_xlfn.NORM.DIST(P$3,economics!$AK$2:$AK$167,economics!$AJ$2:$AJ$167,TRUE)-_xlfn.NORM.DIST(P$30,economics!$AK$2:$AK$167,economics!$AJ$2:$AJ$167,TRUE))*economics!$AM$2:$AM$167))/(SUMPRODUCT((economics!$AG$2:$AG$167=$B52)*(economics!$D$2:$D$167="whr")*economics!$AI$2:$AI$167*(_xlfn.NORM.DIST(P$3,economics!$AK$2:$AK$167,economics!$AJ$2:$AJ$167,TRUE)-_xlfn.NORM.DIST(P$30,economics!$AK$2:$AK$167,economics!$AJ$2:$AJ$167,TRUE)))),"")</f>
        <v/>
      </c>
      <c r="Q52">
        <f t="array" ref="Q52">IFERROR((SUMPRODUCT((economics!$AG$2:$AG$167=$B52)*(economics!$D$2:$D$167="whr")*economics!$AI$2:$AI$167*(_xlfn.NORM.DIST(Q$3,economics!$AK$2:$AK$167,economics!$AJ$2:$AJ$167,TRUE)-_xlfn.NORM.DIST(Q$30,economics!$AK$2:$AK$167,economics!$AJ$2:$AJ$167,TRUE))*economics!$AM$2:$AM$167))/(SUMPRODUCT((economics!$AG$2:$AG$167=$B52)*(economics!$D$2:$D$167="whr")*economics!$AI$2:$AI$167*(_xlfn.NORM.DIST(Q$3,economics!$AK$2:$AK$167,economics!$AJ$2:$AJ$167,TRUE)-_xlfn.NORM.DIST(Q$30,economics!$AK$2:$AK$167,economics!$AJ$2:$AJ$167,TRUE)))),"")</f>
        <v/>
      </c>
      <c r="R52">
        <f t="array" ref="R52">IFERROR((SUMPRODUCT((economics!$AG$2:$AG$167=$B52)*(economics!$D$2:$D$167="whr")*economics!$AI$2:$AI$167*(_xlfn.NORM.DIST(R$3,economics!$AK$2:$AK$167,economics!$AJ$2:$AJ$167,TRUE)-_xlfn.NORM.DIST(R$30,economics!$AK$2:$AK$167,economics!$AJ$2:$AJ$167,TRUE))*economics!$AM$2:$AM$167))/(SUMPRODUCT((economics!$AG$2:$AG$167=$B52)*(economics!$D$2:$D$167="whr")*economics!$AI$2:$AI$167*(_xlfn.NORM.DIST(R$3,economics!$AK$2:$AK$167,economics!$AJ$2:$AJ$167,TRUE)-_xlfn.NORM.DIST(R$30,economics!$AK$2:$AK$167,economics!$AJ$2:$AJ$167,TRUE)))),"")</f>
        <v/>
      </c>
      <c r="S52">
        <f t="array" ref="S52">IFERROR((SUMPRODUCT((economics!$AG$2:$AG$167=$B52)*(economics!$D$2:$D$167="whr")*economics!$AI$2:$AI$167*(_xlfn.NORM.DIST(S$3,economics!$AK$2:$AK$167,economics!$AJ$2:$AJ$167,TRUE)-_xlfn.NORM.DIST(S$30,economics!$AK$2:$AK$167,economics!$AJ$2:$AJ$167,TRUE))*economics!$AM$2:$AM$167))/(SUMPRODUCT((economics!$AG$2:$AG$167=$B52)*(economics!$D$2:$D$167="whr")*economics!$AI$2:$AI$167*(_xlfn.NORM.DIST(S$3,economics!$AK$2:$AK$167,economics!$AJ$2:$AJ$167,TRUE)-_xlfn.NORM.DIST(S$30,economics!$AK$2:$AK$167,economics!$AJ$2:$AJ$167,TRUE)))),"")</f>
        <v/>
      </c>
      <c r="T52">
        <f t="array" ref="T52">IFERROR((SUMPRODUCT((economics!$AG$2:$AG$167=$B52)*(economics!$D$2:$D$167="whr")*economics!$AI$2:$AI$167*(_xlfn.NORM.DIST(T$3,economics!$AK$2:$AK$167,economics!$AJ$2:$AJ$167,TRUE)-_xlfn.NORM.DIST(T$30,economics!$AK$2:$AK$167,economics!$AJ$2:$AJ$167,TRUE))*economics!$AM$2:$AM$167))/(SUMPRODUCT((economics!$AG$2:$AG$167=$B52)*(economics!$D$2:$D$167="whr")*economics!$AI$2:$AI$167*(_xlfn.NORM.DIST(T$3,economics!$AK$2:$AK$167,economics!$AJ$2:$AJ$167,TRUE)-_xlfn.NORM.DIST(T$30,economics!$AK$2:$AK$167,economics!$AJ$2:$AJ$167,TRUE)))),"")</f>
        <v/>
      </c>
      <c r="U52">
        <f t="array" ref="U52">IFERROR((SUMPRODUCT((economics!$AG$2:$AG$167=$B52)*(economics!$D$2:$D$167="whr")*economics!$AI$2:$AI$167*(_xlfn.NORM.DIST(U$3,economics!$AK$2:$AK$167,economics!$AJ$2:$AJ$167,TRUE)-_xlfn.NORM.DIST(U$30,economics!$AK$2:$AK$167,economics!$AJ$2:$AJ$167,TRUE))*economics!$AM$2:$AM$167))/(SUMPRODUCT((economics!$AG$2:$AG$167=$B52)*(economics!$D$2:$D$167="whr")*economics!$AI$2:$AI$167*(_xlfn.NORM.DIST(U$3,economics!$AK$2:$AK$167,economics!$AJ$2:$AJ$167,TRUE)-_xlfn.NORM.DIST(U$30,economics!$AK$2:$AK$167,economics!$AJ$2:$AJ$167,TRUE)))),"")</f>
        <v/>
      </c>
      <c r="V52">
        <f t="array" ref="V52">IFERROR((SUMPRODUCT((economics!$AG$2:$AG$167=$B52)*(economics!$D$2:$D$167="whr")*economics!$AI$2:$AI$167*(_xlfn.NORM.DIST(V$3,economics!$AK$2:$AK$167,economics!$AJ$2:$AJ$167,TRUE)-_xlfn.NORM.DIST(V$30,economics!$AK$2:$AK$167,economics!$AJ$2:$AJ$167,TRUE))*economics!$AM$2:$AM$167))/(SUMPRODUCT((economics!$AG$2:$AG$167=$B52)*(economics!$D$2:$D$167="whr")*economics!$AI$2:$AI$167*(_xlfn.NORM.DIST(V$3,economics!$AK$2:$AK$167,economics!$AJ$2:$AJ$167,TRUE)-_xlfn.NORM.DIST(V$30,economics!$AK$2:$AK$167,economics!$AJ$2:$AJ$167,TRUE)))),"")</f>
        <v/>
      </c>
      <c r="W52">
        <f t="array" ref="W52">IFERROR((SUMPRODUCT((economics!$AG$2:$AG$167=$B52)*(economics!$D$2:$D$167="whr")*economics!$AI$2:$AI$167*(_xlfn.NORM.DIST(W$3,economics!$AK$2:$AK$167,economics!$AJ$2:$AJ$167,TRUE)-_xlfn.NORM.DIST(W$30,economics!$AK$2:$AK$167,economics!$AJ$2:$AJ$167,TRUE))*economics!$AM$2:$AM$167))/(SUMPRODUCT((economics!$AG$2:$AG$167=$B52)*(economics!$D$2:$D$167="whr")*economics!$AI$2:$AI$167*(_xlfn.NORM.DIST(W$3,economics!$AK$2:$AK$167,economics!$AJ$2:$AJ$167,TRUE)-_xlfn.NORM.DIST(W$30,economics!$AK$2:$AK$167,economics!$AJ$2:$AJ$167,TRUE)))),"")</f>
        <v/>
      </c>
      <c r="X52">
        <f t="array" ref="X52">IFERROR((SUMPRODUCT((economics!$AG$2:$AG$167=$B52)*(economics!$D$2:$D$167="whr")*economics!$AI$2:$AI$167*(_xlfn.NORM.DIST(X$3,economics!$AK$2:$AK$167,economics!$AJ$2:$AJ$167,TRUE)-_xlfn.NORM.DIST(X$30,economics!$AK$2:$AK$167,economics!$AJ$2:$AJ$167,TRUE))*economics!$AM$2:$AM$167))/(SUMPRODUCT((economics!$AG$2:$AG$167=$B52)*(economics!$D$2:$D$167="whr")*economics!$AI$2:$AI$167*(_xlfn.NORM.DIST(X$3,economics!$AK$2:$AK$167,economics!$AJ$2:$AJ$167,TRUE)-_xlfn.NORM.DIST(X$30,economics!$AK$2:$AK$167,economics!$AJ$2:$AJ$167,TRUE)))),"")</f>
        <v/>
      </c>
      <c r="Y52">
        <f t="array" ref="Y52">IFERROR((SUMPRODUCT((economics!$AG$2:$AG$167=$B52)*(economics!$D$2:$D$167="whr")*economics!$AI$2:$AI$167*(_xlfn.NORM.DIST(Y$3,economics!$AK$2:$AK$167,economics!$AJ$2:$AJ$167,TRUE)-_xlfn.NORM.DIST(Y$30,economics!$AK$2:$AK$167,economics!$AJ$2:$AJ$167,TRUE))*economics!$AM$2:$AM$167))/(SUMPRODUCT((economics!$AG$2:$AG$167=$B52)*(economics!$D$2:$D$167="whr")*economics!$AI$2:$AI$167*(_xlfn.NORM.DIST(Y$3,economics!$AK$2:$AK$167,economics!$AJ$2:$AJ$167,TRUE)-_xlfn.NORM.DIST(Y$30,economics!$AK$2:$AK$167,economics!$AJ$2:$AJ$167,TRUE)))),"")</f>
        <v/>
      </c>
      <c r="Z52">
        <f t="array" ref="Z52">IFERROR((SUMPRODUCT((economics!$AG$2:$AG$167=$B52)*(economics!$D$2:$D$167="whr")*economics!$AI$2:$AI$167*(_xlfn.NORM.DIST(Z$3,economics!$AK$2:$AK$167,economics!$AJ$2:$AJ$167,TRUE)-_xlfn.NORM.DIST(Z$30,economics!$AK$2:$AK$167,economics!$AJ$2:$AJ$167,TRUE))*economics!$AM$2:$AM$167))/(SUMPRODUCT((economics!$AG$2:$AG$167=$B52)*(economics!$D$2:$D$167="whr")*economics!$AI$2:$AI$167*(_xlfn.NORM.DIST(Z$3,economics!$AK$2:$AK$167,economics!$AJ$2:$AJ$167,TRUE)-_xlfn.NORM.DIST(Z$30,economics!$AK$2:$AK$167,economics!$AJ$2:$AJ$167,TRUE)))),"")</f>
        <v/>
      </c>
      <c r="AA52">
        <f t="array" ref="AA52">IFERROR((SUMPRODUCT((economics!$AG$2:$AG$167=$B52)*(economics!$D$2:$D$167="whr")*economics!$AI$2:$AI$167*(_xlfn.NORM.DIST(AA$3,economics!$AK$2:$AK$167,economics!$AJ$2:$AJ$167,TRUE)-_xlfn.NORM.DIST(AA$30,economics!$AK$2:$AK$167,economics!$AJ$2:$AJ$167,TRUE))*economics!$AM$2:$AM$167))/(SUMPRODUCT((economics!$AG$2:$AG$167=$B52)*(economics!$D$2:$D$167="whr")*economics!$AI$2:$AI$167*(_xlfn.NORM.DIST(AA$3,economics!$AK$2:$AK$167,economics!$AJ$2:$AJ$167,TRUE)-_xlfn.NORM.DIST(AA$30,economics!$AK$2:$AK$167,economics!$AJ$2:$AJ$167,TRUE)))),"")</f>
        <v/>
      </c>
      <c r="AB52">
        <f t="array" ref="AB52">IFERROR((SUMPRODUCT((economics!$AG$2:$AG$167=$B52)*(economics!$D$2:$D$167="whr")*economics!$AI$2:$AI$167*(_xlfn.NORM.DIST(AB$3,economics!$AK$2:$AK$167,economics!$AJ$2:$AJ$167,TRUE)-_xlfn.NORM.DIST(AB$30,economics!$AK$2:$AK$167,economics!$AJ$2:$AJ$167,TRUE))*economics!$AM$2:$AM$167))/(SUMPRODUCT((economics!$AG$2:$AG$167=$B52)*(economics!$D$2:$D$167="whr")*economics!$AI$2:$AI$167*(_xlfn.NORM.DIST(AB$3,economics!$AK$2:$AK$167,economics!$AJ$2:$AJ$167,TRUE)-_xlfn.NORM.DIST(AB$30,economics!$AK$2:$AK$167,economics!$AJ$2:$AJ$167,TRUE)))),"")</f>
        <v/>
      </c>
      <c r="AC52">
        <f t="array" ref="AC52">IFERROR((SUMPRODUCT((economics!$AG$2:$AG$167=$B52)*(economics!$D$2:$D$167="whr")*economics!$AI$2:$AI$167*(_xlfn.NORM.DIST(AC$3,economics!$AK$2:$AK$167,economics!$AJ$2:$AJ$167,TRUE)-_xlfn.NORM.DIST(AC$30,economics!$AK$2:$AK$167,economics!$AJ$2:$AJ$167,TRUE))*economics!$AM$2:$AM$167))/(SUMPRODUCT((economics!$AG$2:$AG$167=$B52)*(economics!$D$2:$D$167="whr")*economics!$AI$2:$AI$167*(_xlfn.NORM.DIST(AC$3,economics!$AK$2:$AK$167,economics!$AJ$2:$AJ$167,TRUE)-_xlfn.NORM.DIST(AC$30,economics!$AK$2:$AK$167,economics!$AJ$2:$AJ$167,TRUE)))),"")</f>
        <v/>
      </c>
      <c r="AD52">
        <f t="array" ref="AD52">IFERROR((SUMPRODUCT((economics!$AG$2:$AG$167=$B52)*(economics!$D$2:$D$167="whr")*economics!$AI$2:$AI$167*(_xlfn.NORM.DIST(AD$3,economics!$AK$2:$AK$167,economics!$AJ$2:$AJ$167,TRUE)-_xlfn.NORM.DIST(AD$30,economics!$AK$2:$AK$167,economics!$AJ$2:$AJ$167,TRUE))*economics!$AM$2:$AM$167))/(SUMPRODUCT((economics!$AG$2:$AG$167=$B52)*(economics!$D$2:$D$167="whr")*economics!$AI$2:$AI$167*(_xlfn.NORM.DIST(AD$3,economics!$AK$2:$AK$167,economics!$AJ$2:$AJ$167,TRUE)-_xlfn.NORM.DIST(AD$30,economics!$AK$2:$AK$167,economics!$AJ$2:$AJ$167,TRUE)))),"")</f>
        <v/>
      </c>
      <c r="AE52">
        <f t="array" ref="AE52">IFERROR((SUMPRODUCT((economics!$AG$2:$AG$167=$B52)*(economics!$D$2:$D$167="whr")*economics!$AI$2:$AI$167*(_xlfn.NORM.DIST(AE$3,economics!$AK$2:$AK$167,economics!$AJ$2:$AJ$167,TRUE)-_xlfn.NORM.DIST(AE$30,economics!$AK$2:$AK$167,economics!$AJ$2:$AJ$167,TRUE))*economics!$AM$2:$AM$167))/(SUMPRODUCT((economics!$AG$2:$AG$167=$B52)*(economics!$D$2:$D$167="whr")*economics!$AI$2:$AI$167*(_xlfn.NORM.DIST(AE$3,economics!$AK$2:$AK$167,economics!$AJ$2:$AJ$167,TRUE)-_xlfn.NORM.DIST(AE$30,economics!$AK$2:$AK$167,economics!$AJ$2:$AJ$167,TRUE)))),"")</f>
        <v/>
      </c>
      <c r="AF52">
        <f t="array" ref="AF52">IFERROR((SUMPRODUCT((economics!$AG$2:$AG$167=$B52)*(economics!$D$2:$D$167="whr")*economics!$AI$2:$AI$167*(_xlfn.NORM.DIST(AF$3,economics!$AK$2:$AK$167,economics!$AJ$2:$AJ$167,TRUE)-_xlfn.NORM.DIST(AF$30,economics!$AK$2:$AK$167,economics!$AJ$2:$AJ$167,TRUE))*economics!$AM$2:$AM$167))/(SUMPRODUCT((economics!$AG$2:$AG$167=$B52)*(economics!$D$2:$D$167="whr")*economics!$AI$2:$AI$167*(_xlfn.NORM.DIST(AF$3,economics!$AK$2:$AK$167,economics!$AJ$2:$AJ$167,TRUE)-_xlfn.NORM.DIST(AF$30,economics!$AK$2:$AK$167,economics!$AJ$2:$AJ$167,TRUE)))),"")</f>
        <v/>
      </c>
      <c r="AG52">
        <f t="array" ref="AG52">IFERROR((SUMPRODUCT((economics!$AG$2:$AG$167=$B52)*(economics!$D$2:$D$167="whr")*economics!$AI$2:$AI$167*(_xlfn.NORM.DIST(AG$3,economics!$AK$2:$AK$167,economics!$AJ$2:$AJ$167,TRUE)-_xlfn.NORM.DIST(AG$30,economics!$AK$2:$AK$167,economics!$AJ$2:$AJ$167,TRUE))*economics!$AM$2:$AM$167))/(SUMPRODUCT((economics!$AG$2:$AG$167=$B52)*(economics!$D$2:$D$167="whr")*economics!$AI$2:$AI$167*(_xlfn.NORM.DIST(AG$3,economics!$AK$2:$AK$167,economics!$AJ$2:$AJ$167,TRUE)-_xlfn.NORM.DIST(AG$30,economics!$AK$2:$AK$167,economics!$AJ$2:$AJ$167,TRUE)))),"")</f>
        <v/>
      </c>
      <c r="AH52">
        <f t="array" ref="AH52">IFERROR((SUMPRODUCT((economics!$AG$2:$AG$167=$B52)*(economics!$D$2:$D$167="whr")*economics!$AI$2:$AI$167*(_xlfn.NORM.DIST(AH$3,economics!$AK$2:$AK$167,economics!$AJ$2:$AJ$167,TRUE)-_xlfn.NORM.DIST(AH$30,economics!$AK$2:$AK$167,economics!$AJ$2:$AJ$167,TRUE))*economics!$AM$2:$AM$167))/(SUMPRODUCT((economics!$AG$2:$AG$167=$B52)*(economics!$D$2:$D$167="whr")*economics!$AI$2:$AI$167*(_xlfn.NORM.DIST(AH$3,economics!$AK$2:$AK$167,economics!$AJ$2:$AJ$167,TRUE)-_xlfn.NORM.DIST(AH$30,economics!$AK$2:$AK$167,economics!$AJ$2:$AJ$167,TRUE)))),"")</f>
        <v/>
      </c>
      <c r="AI52">
        <f t="array" ref="AI52">IFERROR((SUMPRODUCT((economics!$AG$2:$AG$167=$B52)*(economics!$D$2:$D$167="whr")*economics!$AI$2:$AI$167*(_xlfn.NORM.DIST(AI$3,economics!$AK$2:$AK$167,economics!$AJ$2:$AJ$167,TRUE)-_xlfn.NORM.DIST(AI$30,economics!$AK$2:$AK$167,economics!$AJ$2:$AJ$167,TRUE))*economics!$AM$2:$AM$167))/(SUMPRODUCT((economics!$AG$2:$AG$167=$B52)*(economics!$D$2:$D$167="whr")*economics!$AI$2:$AI$167*(_xlfn.NORM.DIST(AI$3,economics!$AK$2:$AK$167,economics!$AJ$2:$AJ$167,TRUE)-_xlfn.NORM.DIST(AI$30,economics!$AK$2:$AK$167,economics!$AJ$2:$AJ$167,TRUE)))),"")</f>
        <v/>
      </c>
      <c r="AJ52">
        <f t="array" ref="AJ52">IFERROR((SUMPRODUCT((economics!$AG$2:$AG$167=$B52)*(economics!$D$2:$D$167="whr")*economics!$AI$2:$AI$167*(_xlfn.NORM.DIST(AJ$3,economics!$AK$2:$AK$167,economics!$AJ$2:$AJ$167,TRUE)-_xlfn.NORM.DIST(AJ$30,economics!$AK$2:$AK$167,economics!$AJ$2:$AJ$167,TRUE))*economics!$AM$2:$AM$167))/(SUMPRODUCT((economics!$AG$2:$AG$167=$B52)*(economics!$D$2:$D$167="whr")*economics!$AI$2:$AI$167*(_xlfn.NORM.DIST(AJ$3,economics!$AK$2:$AK$167,economics!$AJ$2:$AJ$167,TRUE)-_xlfn.NORM.DIST(AJ$30,economics!$AK$2:$AK$167,economics!$AJ$2:$AJ$167,TRUE)))),"")</f>
        <v/>
      </c>
      <c r="AK52">
        <f t="array" ref="AK52">IFERROR((SUMPRODUCT((economics!$AG$2:$AG$167=$B52)*(economics!$D$2:$D$167="whr")*economics!$AI$2:$AI$167*(_xlfn.NORM.DIST(AK$3,economics!$AK$2:$AK$167,economics!$AJ$2:$AJ$167,TRUE)-_xlfn.NORM.DIST(AK$30,economics!$AK$2:$AK$167,economics!$AJ$2:$AJ$167,TRUE))*economics!$AM$2:$AM$167))/(SUMPRODUCT((economics!$AG$2:$AG$167=$B52)*(economics!$D$2:$D$167="whr")*economics!$AI$2:$AI$167*(_xlfn.NORM.DIST(AK$3,economics!$AK$2:$AK$167,economics!$AJ$2:$AJ$167,TRUE)-_xlfn.NORM.DIST(AK$30,economics!$AK$2:$AK$167,economics!$AJ$2:$AJ$167,TRUE)))),"")</f>
        <v/>
      </c>
      <c r="AL52">
        <f t="array" ref="AL52">IFERROR((SUMPRODUCT((economics!$AG$2:$AG$167=$B52)*(economics!$D$2:$D$167="whr")*economics!$AI$2:$AI$167*(_xlfn.NORM.DIST(AL$3,economics!$AK$2:$AK$167,economics!$AJ$2:$AJ$167,TRUE)-_xlfn.NORM.DIST(AL$30,economics!$AK$2:$AK$167,economics!$AJ$2:$AJ$167,TRUE))*economics!$AM$2:$AM$167))/(SUMPRODUCT((economics!$AG$2:$AG$167=$B52)*(economics!$D$2:$D$167="whr")*economics!$AI$2:$AI$167*(_xlfn.NORM.DIST(AL$3,economics!$AK$2:$AK$167,economics!$AJ$2:$AJ$167,TRUE)-_xlfn.NORM.DIST(AL$30,economics!$AK$2:$AK$167,economics!$AJ$2:$AJ$167,TRUE)))),"")</f>
        <v/>
      </c>
      <c r="AM52">
        <f t="array" ref="AM52">IFERROR((SUMPRODUCT((economics!$AG$2:$AG$167=$B52)*(economics!$D$2:$D$167="whr")*economics!$AI$2:$AI$167*(_xlfn.NORM.DIST(AM$3,economics!$AK$2:$AK$167,economics!$AJ$2:$AJ$167,TRUE)-_xlfn.NORM.DIST(AM$30,economics!$AK$2:$AK$167,economics!$AJ$2:$AJ$167,TRUE))*economics!$AM$2:$AM$167))/(SUMPRODUCT((economics!$AG$2:$AG$167=$B52)*(economics!$D$2:$D$167="whr")*economics!$AI$2:$AI$167*(_xlfn.NORM.DIST(AM$3,economics!$AK$2:$AK$167,economics!$AJ$2:$AJ$167,TRUE)-_xlfn.NORM.DIST(AM$30,economics!$AK$2:$AK$167,economics!$AJ$2:$AJ$167,TRUE)))),"")</f>
        <v/>
      </c>
      <c r="AN52">
        <f t="array" ref="AN52">IFERROR((SUMPRODUCT((economics!$AG$2:$AG$167=$B52)*(economics!$D$2:$D$167="whr")*economics!$AI$2:$AI$167*(_xlfn.NORM.DIST(AN$3,economics!$AK$2:$AK$167,economics!$AJ$2:$AJ$167,TRUE)-_xlfn.NORM.DIST(AN$30,economics!$AK$2:$AK$167,economics!$AJ$2:$AJ$167,TRUE))*economics!$AM$2:$AM$167))/(SUMPRODUCT((economics!$AG$2:$AG$167=$B52)*(economics!$D$2:$D$167="whr")*economics!$AI$2:$AI$167*(_xlfn.NORM.DIST(AN$3,economics!$AK$2:$AK$167,economics!$AJ$2:$AJ$167,TRUE)-_xlfn.NORM.DIST(AN$30,economics!$AK$2:$AK$167,economics!$AJ$2:$AJ$167,TRUE)))),"")</f>
        <v/>
      </c>
      <c r="AO52">
        <f t="array" ref="AO52">IFERROR((SUMPRODUCT((economics!$AG$2:$AG$167=$B52)*(economics!$D$2:$D$167="whr")*economics!$AI$2:$AI$167*(_xlfn.NORM.DIST(AO$3,economics!$AK$2:$AK$167,economics!$AJ$2:$AJ$167,TRUE)-_xlfn.NORM.DIST(AO$30,economics!$AK$2:$AK$167,economics!$AJ$2:$AJ$167,TRUE))*economics!$AM$2:$AM$167))/(SUMPRODUCT((economics!$AG$2:$AG$167=$B52)*(economics!$D$2:$D$167="whr")*economics!$AI$2:$AI$167*(_xlfn.NORM.DIST(AO$3,economics!$AK$2:$AK$167,economics!$AJ$2:$AJ$167,TRUE)-_xlfn.NORM.DIST(AO$30,economics!$AK$2:$AK$167,economics!$AJ$2:$AJ$167,TRUE)))),"")</f>
        <v/>
      </c>
      <c r="AP52">
        <f t="array" ref="AP52">IFERROR((SUMPRODUCT((economics!$AG$2:$AG$167=$B52)*(economics!$D$2:$D$167="whr")*economics!$AI$2:$AI$167*(_xlfn.NORM.DIST(AP$3,economics!$AK$2:$AK$167,economics!$AJ$2:$AJ$167,TRUE)-_xlfn.NORM.DIST(AP$30,economics!$AK$2:$AK$167,economics!$AJ$2:$AJ$167,TRUE))*economics!$AM$2:$AM$167))/(SUMPRODUCT((economics!$AG$2:$AG$167=$B52)*(economics!$D$2:$D$167="whr")*economics!$AI$2:$AI$167*(_xlfn.NORM.DIST(AP$3,economics!$AK$2:$AK$167,economics!$AJ$2:$AJ$167,TRUE)-_xlfn.NORM.DIST(AP$30,economics!$AK$2:$AK$167,economics!$AJ$2:$AJ$167,TRUE)))),"")</f>
        <v/>
      </c>
      <c r="AQ52">
        <f t="array" ref="AQ52">IFERROR((SUMPRODUCT((economics!$AG$2:$AG$167=$B52)*(economics!$D$2:$D$167="whr")*economics!$AI$2:$AI$167*(_xlfn.NORM.DIST(AQ$3,economics!$AK$2:$AK$167,economics!$AJ$2:$AJ$167,TRUE)-_xlfn.NORM.DIST(AQ$30,economics!$AK$2:$AK$167,economics!$AJ$2:$AJ$167,TRUE))*economics!$AM$2:$AM$167))/(SUMPRODUCT((economics!$AG$2:$AG$167=$B52)*(economics!$D$2:$D$167="whr")*economics!$AI$2:$AI$167*(_xlfn.NORM.DIST(AQ$3,economics!$AK$2:$AK$167,economics!$AJ$2:$AJ$167,TRUE)-_xlfn.NORM.DIST(AQ$30,economics!$AK$2:$AK$167,economics!$AJ$2:$AJ$167,TRUE)))),"")</f>
        <v/>
      </c>
      <c r="AR52">
        <f t="array" ref="AR52">IFERROR((SUMPRODUCT((economics!$AG$2:$AG$167=$B52)*(economics!$D$2:$D$167="whr")*economics!$AI$2:$AI$167*(_xlfn.NORM.DIST(AR$3,economics!$AK$2:$AK$167,economics!$AJ$2:$AJ$167,TRUE)-_xlfn.NORM.DIST(AR$30,economics!$AK$2:$AK$167,economics!$AJ$2:$AJ$167,TRUE))*economics!$AM$2:$AM$167))/(SUMPRODUCT((economics!$AG$2:$AG$167=$B52)*(economics!$D$2:$D$167="whr")*economics!$AI$2:$AI$167*(_xlfn.NORM.DIST(AR$3,economics!$AK$2:$AK$167,economics!$AJ$2:$AJ$167,TRUE)-_xlfn.NORM.DIST(AR$30,economics!$AK$2:$AK$167,economics!$AJ$2:$AJ$167,TRUE)))),"")</f>
        <v/>
      </c>
      <c r="AS52">
        <f t="array" ref="AS52">IFERROR((SUMPRODUCT((economics!$AG$2:$AG$167=$B52)*(economics!$D$2:$D$167="whr")*economics!$AI$2:$AI$167*(_xlfn.NORM.DIST(AS$3,economics!$AK$2:$AK$167,economics!$AJ$2:$AJ$167,TRUE)-_xlfn.NORM.DIST(AS$30,economics!$AK$2:$AK$167,economics!$AJ$2:$AJ$167,TRUE))*economics!$AM$2:$AM$167))/(SUMPRODUCT((economics!$AG$2:$AG$167=$B52)*(economics!$D$2:$D$167="whr")*economics!$AI$2:$AI$167*(_xlfn.NORM.DIST(AS$3,economics!$AK$2:$AK$167,economics!$AJ$2:$AJ$167,TRUE)-_xlfn.NORM.DIST(AS$30,economics!$AK$2:$AK$167,economics!$AJ$2:$AJ$167,TRUE)))),"")</f>
        <v/>
      </c>
      <c r="AT52">
        <f t="array" ref="AT52">IFERROR((SUMPRODUCT((economics!$AG$2:$AG$167=$B52)*(economics!$D$2:$D$167="whr")*economics!$AI$2:$AI$167*(_xlfn.NORM.DIST(AT$3,economics!$AK$2:$AK$167,economics!$AJ$2:$AJ$167,TRUE)-_xlfn.NORM.DIST(AT$30,economics!$AK$2:$AK$167,economics!$AJ$2:$AJ$167,TRUE))*economics!$AM$2:$AM$167))/(SUMPRODUCT((economics!$AG$2:$AG$167=$B52)*(economics!$D$2:$D$167="whr")*economics!$AI$2:$AI$167*(_xlfn.NORM.DIST(AT$3,economics!$AK$2:$AK$167,economics!$AJ$2:$AJ$167,TRUE)-_xlfn.NORM.DIST(AT$30,economics!$AK$2:$AK$167,economics!$AJ$2:$AJ$167,TRUE)))),"")</f>
        <v/>
      </c>
      <c r="AU52">
        <f t="array" ref="AU52">IFERROR((SUMPRODUCT((economics!$AG$2:$AG$167=$B52)*(economics!$D$2:$D$167="whr")*economics!$AI$2:$AI$167*(_xlfn.NORM.DIST(AU$3,economics!$AK$2:$AK$167,economics!$AJ$2:$AJ$167,TRUE)-_xlfn.NORM.DIST(AU$30,economics!$AK$2:$AK$167,economics!$AJ$2:$AJ$167,TRUE))*economics!$AM$2:$AM$167))/(SUMPRODUCT((economics!$AG$2:$AG$167=$B52)*(economics!$D$2:$D$167="whr")*economics!$AI$2:$AI$167*(_xlfn.NORM.DIST(AU$3,economics!$AK$2:$AK$167,economics!$AJ$2:$AJ$167,TRUE)-_xlfn.NORM.DIST(AU$30,economics!$AK$2:$AK$167,economics!$AJ$2:$AJ$167,TRUE)))),"")</f>
        <v/>
      </c>
      <c r="AV52">
        <f t="array" ref="AV52">IFERROR((SUMPRODUCT((economics!$AG$2:$AG$167=$B52)*(economics!$D$2:$D$167="whr")*economics!$AI$2:$AI$167*(_xlfn.NORM.DIST(AV$3,economics!$AK$2:$AK$167,economics!$AJ$2:$AJ$167,TRUE)-_xlfn.NORM.DIST(AV$30,economics!$AK$2:$AK$167,economics!$AJ$2:$AJ$167,TRUE))*economics!$AM$2:$AM$167))/(SUMPRODUCT((economics!$AG$2:$AG$167=$B52)*(economics!$D$2:$D$167="whr")*economics!$AI$2:$AI$167*(_xlfn.NORM.DIST(AV$3,economics!$AK$2:$AK$167,economics!$AJ$2:$AJ$167,TRUE)-_xlfn.NORM.DIST(AV$30,economics!$AK$2:$AK$167,economics!$AJ$2:$AJ$167,TRUE)))),"")</f>
        <v/>
      </c>
      <c r="AW52">
        <f t="array" ref="AW52">IFERROR((SUMPRODUCT((economics!$AG$2:$AG$167=$B52)*(economics!$D$2:$D$167="whr")*economics!$AI$2:$AI$167*(_xlfn.NORM.DIST(AW$3,economics!$AK$2:$AK$167,economics!$AJ$2:$AJ$167,TRUE)-_xlfn.NORM.DIST(AW$30,economics!$AK$2:$AK$167,economics!$AJ$2:$AJ$167,TRUE))*economics!$AM$2:$AM$167))/(SUMPRODUCT((economics!$AG$2:$AG$167=$B52)*(economics!$D$2:$D$167="whr")*economics!$AI$2:$AI$167*(_xlfn.NORM.DIST(AW$3,economics!$AK$2:$AK$167,economics!$AJ$2:$AJ$167,TRUE)-_xlfn.NORM.DIST(AW$30,economics!$AK$2:$AK$167,economics!$AJ$2:$AJ$167,TRUE)))),"")</f>
        <v/>
      </c>
      <c r="AX52">
        <f t="array" ref="AX52">IFERROR((SUMPRODUCT((economics!$AG$2:$AG$167=$B52)*(economics!$D$2:$D$167="whr")*economics!$AI$2:$AI$167*(_xlfn.NORM.DIST(AX$3,economics!$AK$2:$AK$167,economics!$AJ$2:$AJ$167,TRUE)-_xlfn.NORM.DIST(AX$30,economics!$AK$2:$AK$167,economics!$AJ$2:$AJ$167,TRUE))*economics!$AM$2:$AM$167))/(SUMPRODUCT((economics!$AG$2:$AG$167=$B52)*(economics!$D$2:$D$167="whr")*economics!$AI$2:$AI$167*(_xlfn.NORM.DIST(AX$3,economics!$AK$2:$AK$167,economics!$AJ$2:$AJ$167,TRUE)-_xlfn.NORM.DIST(AX$30,economics!$AK$2:$AK$167,economics!$AJ$2:$AJ$167,TRUE)))),"")</f>
        <v/>
      </c>
      <c r="AY52">
        <f t="array" ref="AY52">IFERROR((SUMPRODUCT((economics!$AG$2:$AG$167=$B52)*(economics!$D$2:$D$167="whr")*economics!$AI$2:$AI$167*(_xlfn.NORM.DIST(AY$3,economics!$AK$2:$AK$167,economics!$AJ$2:$AJ$167,TRUE)-_xlfn.NORM.DIST(AY$30,economics!$AK$2:$AK$167,economics!$AJ$2:$AJ$167,TRUE))*economics!$AM$2:$AM$167))/(SUMPRODUCT((economics!$AG$2:$AG$167=$B52)*(economics!$D$2:$D$167="whr")*economics!$AI$2:$AI$167*(_xlfn.NORM.DIST(AY$3,economics!$AK$2:$AK$167,economics!$AJ$2:$AJ$167,TRUE)-_xlfn.NORM.DIST(AY$30,economics!$AK$2:$AK$167,economics!$AJ$2:$AJ$167,TRUE)))),"")</f>
        <v/>
      </c>
      <c r="AZ52">
        <f t="array" ref="AZ52">IFERROR((SUMPRODUCT((economics!$AG$2:$AG$167=$B52)*(economics!$D$2:$D$167="whr")*economics!$AI$2:$AI$167*(_xlfn.NORM.DIST(AZ$3,economics!$AK$2:$AK$167,economics!$AJ$2:$AJ$167,TRUE)-_xlfn.NORM.DIST(AZ$30,economics!$AK$2:$AK$167,economics!$AJ$2:$AJ$167,TRUE))*economics!$AM$2:$AM$167))/(SUMPRODUCT((economics!$AG$2:$AG$167=$B52)*(economics!$D$2:$D$167="whr")*economics!$AI$2:$AI$167*(_xlfn.NORM.DIST(AZ$3,economics!$AK$2:$AK$167,economics!$AJ$2:$AJ$167,TRUE)-_xlfn.NORM.DIST(AZ$30,economics!$AK$2:$AK$167,economics!$AJ$2:$AJ$167,TRUE)))),"")</f>
        <v/>
      </c>
      <c r="BA52">
        <f t="array" ref="BA52">IFERROR((SUMPRODUCT((economics!$AG$2:$AG$167=$B52)*(economics!$D$2:$D$167="whr")*economics!$AI$2:$AI$167*(_xlfn.NORM.DIST(BA$3,economics!$AK$2:$AK$167,economics!$AJ$2:$AJ$167,TRUE)-_xlfn.NORM.DIST(BA$30,economics!$AK$2:$AK$167,economics!$AJ$2:$AJ$167,TRUE))*economics!$AM$2:$AM$167))/(SUMPRODUCT((economics!$AG$2:$AG$167=$B52)*(economics!$D$2:$D$167="whr")*economics!$AI$2:$AI$167*(_xlfn.NORM.DIST(BA$3,economics!$AK$2:$AK$167,economics!$AJ$2:$AJ$167,TRUE)-_xlfn.NORM.DIST(BA$30,economics!$AK$2:$AK$167,economics!$AJ$2:$AJ$167,TRUE)))),"")</f>
        <v/>
      </c>
      <c r="BB52">
        <f t="array" ref="BB52">IFERROR((SUMPRODUCT((economics!$AG$2:$AG$167=$B52)*(economics!$D$2:$D$167="whr")*economics!$AI$2:$AI$167*(_xlfn.NORM.DIST(BB$3,economics!$AK$2:$AK$167,economics!$AJ$2:$AJ$167,TRUE)-_xlfn.NORM.DIST(BB$30,economics!$AK$2:$AK$167,economics!$AJ$2:$AJ$167,TRUE))*economics!$AM$2:$AM$167))/(SUMPRODUCT((economics!$AG$2:$AG$167=$B52)*(economics!$D$2:$D$167="whr")*economics!$AI$2:$AI$167*(_xlfn.NORM.DIST(BB$3,economics!$AK$2:$AK$167,economics!$AJ$2:$AJ$167,TRUE)-_xlfn.NORM.DIST(BB$30,economics!$AK$2:$AK$167,economics!$AJ$2:$AJ$167,TRUE)))),"")</f>
        <v/>
      </c>
      <c r="BC52">
        <f t="array" ref="BC52">IFERROR((SUMPRODUCT((economics!$AG$2:$AG$167=$B52)*(economics!$D$2:$D$167="whr")*economics!$AI$2:$AI$167*(_xlfn.NORM.DIST(BC$3,economics!$AK$2:$AK$167,economics!$AJ$2:$AJ$167,TRUE)-_xlfn.NORM.DIST(BC$30,economics!$AK$2:$AK$167,economics!$AJ$2:$AJ$167,TRUE))*economics!$AM$2:$AM$167))/(SUMPRODUCT((economics!$AG$2:$AG$167=$B52)*(economics!$D$2:$D$167="whr")*economics!$AI$2:$AI$167*(_xlfn.NORM.DIST(BC$3,economics!$AK$2:$AK$167,economics!$AJ$2:$AJ$167,TRUE)-_xlfn.NORM.DIST(BC$30,economics!$AK$2:$AK$167,economics!$AJ$2:$AJ$167,TRUE)))),"")</f>
        <v/>
      </c>
      <c r="BD52">
        <f t="array" ref="BD52">IFERROR((SUMPRODUCT((economics!$AG$2:$AG$167=$B52)*(economics!$D$2:$D$167="whr")*economics!$AI$2:$AI$167*(_xlfn.NORM.DIST(BD$3,economics!$AK$2:$AK$167,economics!$AJ$2:$AJ$167,TRUE)-_xlfn.NORM.DIST(BD$30,economics!$AK$2:$AK$167,economics!$AJ$2:$AJ$167,TRUE))*economics!$AM$2:$AM$167))/(SUMPRODUCT((economics!$AG$2:$AG$167=$B52)*(economics!$D$2:$D$167="whr")*economics!$AI$2:$AI$167*(_xlfn.NORM.DIST(BD$3,economics!$AK$2:$AK$167,economics!$AJ$2:$AJ$167,TRUE)-_xlfn.NORM.DIST(BD$30,economics!$AK$2:$AK$167,economics!$AJ$2:$AJ$167,TRUE)))),"")</f>
        <v/>
      </c>
      <c r="BE52">
        <f t="array" ref="BE52">IFERROR((SUMPRODUCT((economics!$AG$2:$AG$167=$B52)*(economics!$D$2:$D$167="whr")*economics!$AI$2:$AI$167*(_xlfn.NORM.DIST(BE$3,economics!$AK$2:$AK$167,economics!$AJ$2:$AJ$167,TRUE)-_xlfn.NORM.DIST(BE$30,economics!$AK$2:$AK$167,economics!$AJ$2:$AJ$167,TRUE))*economics!$AM$2:$AM$167))/(SUMPRODUCT((economics!$AG$2:$AG$167=$B52)*(economics!$D$2:$D$167="whr")*economics!$AI$2:$AI$167*(_xlfn.NORM.DIST(BE$3,economics!$AK$2:$AK$167,economics!$AJ$2:$AJ$167,TRUE)-_xlfn.NORM.DIST(BE$30,economics!$AK$2:$AK$167,economics!$AJ$2:$AJ$167,TRUE)))),"")</f>
        <v/>
      </c>
      <c r="BF52">
        <f t="array" ref="BF52">IFERROR((SUMPRODUCT((economics!$AG$2:$AG$167=$B52)*(economics!$D$2:$D$167="whr")*economics!$AI$2:$AI$167*(_xlfn.NORM.DIST(BF$3,economics!$AK$2:$AK$167,economics!$AJ$2:$AJ$167,TRUE)-_xlfn.NORM.DIST(BF$30,economics!$AK$2:$AK$167,economics!$AJ$2:$AJ$167,TRUE))*economics!$AM$2:$AM$167))/(SUMPRODUCT((economics!$AG$2:$AG$167=$B52)*(economics!$D$2:$D$167="whr")*economics!$AI$2:$AI$167*(_xlfn.NORM.DIST(BF$3,economics!$AK$2:$AK$167,economics!$AJ$2:$AJ$167,TRUE)-_xlfn.NORM.DIST(BF$30,economics!$AK$2:$AK$167,economics!$AJ$2:$AJ$167,TRUE)))),"")</f>
        <v/>
      </c>
      <c r="BG52">
        <f t="array" ref="BG52">IFERROR((SUMPRODUCT((economics!$AG$2:$AG$167=$B52)*(economics!$D$2:$D$167="whr")*economics!$AI$2:$AI$167*(_xlfn.NORM.DIST(BG$3,economics!$AK$2:$AK$167,economics!$AJ$2:$AJ$167,TRUE)-_xlfn.NORM.DIST(BG$30,economics!$AK$2:$AK$167,economics!$AJ$2:$AJ$167,TRUE))*economics!$AM$2:$AM$167))/(SUMPRODUCT((economics!$AG$2:$AG$167=$B52)*(economics!$D$2:$D$167="whr")*economics!$AI$2:$AI$167*(_xlfn.NORM.DIST(BG$3,economics!$AK$2:$AK$167,economics!$AJ$2:$AJ$167,TRUE)-_xlfn.NORM.DIST(BG$30,economics!$AK$2:$AK$167,economics!$AJ$2:$AJ$167,TRUE)))),"")</f>
        <v/>
      </c>
      <c r="BH52">
        <f t="array" ref="BH52">IFERROR((SUMPRODUCT((economics!$AG$2:$AG$167=$B52)*(economics!$D$2:$D$167="whr")*economics!$AI$2:$AI$167*(_xlfn.NORM.DIST(BH$3,economics!$AK$2:$AK$167,economics!$AJ$2:$AJ$167,TRUE)-_xlfn.NORM.DIST(BH$30,economics!$AK$2:$AK$167,economics!$AJ$2:$AJ$167,TRUE))*economics!$AM$2:$AM$167))/(SUMPRODUCT((economics!$AG$2:$AG$167=$B52)*(economics!$D$2:$D$167="whr")*economics!$AI$2:$AI$167*(_xlfn.NORM.DIST(BH$3,economics!$AK$2:$AK$167,economics!$AJ$2:$AJ$167,TRUE)-_xlfn.NORM.DIST(BH$30,economics!$AK$2:$AK$167,economics!$AJ$2:$AJ$167,TRUE)))),"")</f>
        <v/>
      </c>
      <c r="BI52">
        <f t="array" ref="BI52">IFERROR((SUMPRODUCT((economics!$AG$2:$AG$167=$B52)*(economics!$D$2:$D$167="whr")*economics!$AI$2:$AI$167*(_xlfn.NORM.DIST(BI$3,economics!$AK$2:$AK$167,economics!$AJ$2:$AJ$167,TRUE)-_xlfn.NORM.DIST(BI$30,economics!$AK$2:$AK$167,economics!$AJ$2:$AJ$167,TRUE))*economics!$AM$2:$AM$167))/(SUMPRODUCT((economics!$AG$2:$AG$167=$B52)*(economics!$D$2:$D$167="whr")*economics!$AI$2:$AI$167*(_xlfn.NORM.DIST(BI$3,economics!$AK$2:$AK$167,economics!$AJ$2:$AJ$167,TRUE)-_xlfn.NORM.DIST(BI$30,economics!$AK$2:$AK$167,economics!$AJ$2:$AJ$167,TRUE)))),"")</f>
        <v/>
      </c>
      <c r="BJ52">
        <f t="array" ref="BJ52">IFERROR((SUMPRODUCT((economics!$AG$2:$AG$167=$B52)*(economics!$D$2:$D$167="whr")*economics!$AI$2:$AI$167*(_xlfn.NORM.DIST(BJ$3,economics!$AK$2:$AK$167,economics!$AJ$2:$AJ$167,TRUE)-_xlfn.NORM.DIST(BJ$30,economics!$AK$2:$AK$167,economics!$AJ$2:$AJ$167,TRUE))*economics!$AM$2:$AM$167))/(SUMPRODUCT((economics!$AG$2:$AG$167=$B52)*(economics!$D$2:$D$167="whr")*economics!$AI$2:$AI$167*(_xlfn.NORM.DIST(BJ$3,economics!$AK$2:$AK$167,economics!$AJ$2:$AJ$167,TRUE)-_xlfn.NORM.DIST(BJ$30,economics!$AK$2:$AK$167,economics!$AJ$2:$AJ$167,TRUE)))),"")</f>
        <v/>
      </c>
      <c r="BK52">
        <f t="array" ref="BK52">IFERROR((SUMPRODUCT((economics!$AG$2:$AG$167=$B52)*(economics!$D$2:$D$167="whr")*economics!$AI$2:$AI$167*(_xlfn.NORM.DIST(BK$3,economics!$AK$2:$AK$167,economics!$AJ$2:$AJ$167,TRUE)-_xlfn.NORM.DIST(BK$30,economics!$AK$2:$AK$167,economics!$AJ$2:$AJ$167,TRUE))*economics!$AM$2:$AM$167))/(SUMPRODUCT((economics!$AG$2:$AG$167=$B52)*(economics!$D$2:$D$167="whr")*economics!$AI$2:$AI$167*(_xlfn.NORM.DIST(BK$3,economics!$AK$2:$AK$167,economics!$AJ$2:$AJ$167,TRUE)-_xlfn.NORM.DIST(BK$30,economics!$AK$2:$AK$167,economics!$AJ$2:$AJ$167,TRUE)))),"")</f>
        <v/>
      </c>
      <c r="BL52">
        <f t="array" ref="BL52">IFERROR((SUMPRODUCT((economics!$AG$2:$AG$167=$B52)*(economics!$D$2:$D$167="whr")*economics!$AI$2:$AI$167*(_xlfn.NORM.DIST(BL$3,economics!$AK$2:$AK$167,economics!$AJ$2:$AJ$167,TRUE)-_xlfn.NORM.DIST(BL$30,economics!$AK$2:$AK$167,economics!$AJ$2:$AJ$167,TRUE))*economics!$AM$2:$AM$167))/(SUMPRODUCT((economics!$AG$2:$AG$167=$B52)*(economics!$D$2:$D$167="whr")*economics!$AI$2:$AI$167*(_xlfn.NORM.DIST(BL$3,economics!$AK$2:$AK$167,economics!$AJ$2:$AJ$167,TRUE)-_xlfn.NORM.DIST(BL$30,economics!$AK$2:$AK$167,economics!$AJ$2:$AJ$167,TRUE)))),"")</f>
        <v/>
      </c>
      <c r="BM52">
        <f t="array" ref="BM52">IFERROR((SUMPRODUCT((economics!$AG$2:$AG$167=$B52)*(economics!$D$2:$D$167="whr")*economics!$AI$2:$AI$167*(_xlfn.NORM.DIST(BM$3,economics!$AK$2:$AK$167,economics!$AJ$2:$AJ$167,TRUE)-_xlfn.NORM.DIST(BM$30,economics!$AK$2:$AK$167,economics!$AJ$2:$AJ$167,TRUE))*economics!$AM$2:$AM$167))/(SUMPRODUCT((economics!$AG$2:$AG$167=$B52)*(economics!$D$2:$D$167="whr")*economics!$AI$2:$AI$167*(_xlfn.NORM.DIST(BM$3,economics!$AK$2:$AK$167,economics!$AJ$2:$AJ$167,TRUE)-_xlfn.NORM.DIST(BM$30,economics!$AK$2:$AK$167,economics!$AJ$2:$AJ$167,TRUE)))),"")</f>
        <v/>
      </c>
      <c r="BN52">
        <f t="array" ref="BN52">IFERROR((SUMPRODUCT((economics!$AG$2:$AG$167=$B52)*(economics!$D$2:$D$167="whr")*economics!$AI$2:$AI$167*(_xlfn.NORM.DIST(BN$3,economics!$AK$2:$AK$167,economics!$AJ$2:$AJ$167,TRUE)-_xlfn.NORM.DIST(BN$30,economics!$AK$2:$AK$167,economics!$AJ$2:$AJ$167,TRUE))*economics!$AM$2:$AM$167))/(SUMPRODUCT((economics!$AG$2:$AG$167=$B52)*(economics!$D$2:$D$167="whr")*economics!$AI$2:$AI$167*(_xlfn.NORM.DIST(BN$3,economics!$AK$2:$AK$167,economics!$AJ$2:$AJ$167,TRUE)-_xlfn.NORM.DIST(BN$30,economics!$AK$2:$AK$167,economics!$AJ$2:$AJ$167,TRUE)))),"")</f>
        <v/>
      </c>
      <c r="BO52">
        <f t="array" ref="BO52">IFERROR((SUMPRODUCT((economics!$AG$2:$AG$167=$B52)*(economics!$D$2:$D$167="whr")*economics!$AI$2:$AI$167*(_xlfn.NORM.DIST(BO$3,economics!$AK$2:$AK$167,economics!$AJ$2:$AJ$167,TRUE)-_xlfn.NORM.DIST(BO$30,economics!$AK$2:$AK$167,economics!$AJ$2:$AJ$167,TRUE))*economics!$AM$2:$AM$167))/(SUMPRODUCT((economics!$AG$2:$AG$167=$B52)*(economics!$D$2:$D$167="whr")*economics!$AI$2:$AI$167*(_xlfn.NORM.DIST(BO$3,economics!$AK$2:$AK$167,economics!$AJ$2:$AJ$167,TRUE)-_xlfn.NORM.DIST(BO$30,economics!$AK$2:$AK$167,economics!$AJ$2:$AJ$167,TRUE)))),"")</f>
        <v/>
      </c>
      <c r="BP52">
        <f t="array" ref="BP52">IFERROR((SUMPRODUCT((economics!$AG$2:$AG$167=$B52)*(economics!$D$2:$D$167="whr")*economics!$AI$2:$AI$167*(_xlfn.NORM.DIST(BP$3,economics!$AK$2:$AK$167,economics!$AJ$2:$AJ$167,TRUE)-_xlfn.NORM.DIST(BP$30,economics!$AK$2:$AK$167,economics!$AJ$2:$AJ$167,TRUE))*economics!$AM$2:$AM$167))/(SUMPRODUCT((economics!$AG$2:$AG$167=$B52)*(economics!$D$2:$D$167="whr")*economics!$AI$2:$AI$167*(_xlfn.NORM.DIST(BP$3,economics!$AK$2:$AK$167,economics!$AJ$2:$AJ$167,TRUE)-_xlfn.NORM.DIST(BP$30,economics!$AK$2:$AK$167,economics!$AJ$2:$AJ$167,TRUE)))),"")</f>
        <v/>
      </c>
      <c r="BQ52">
        <f t="array" ref="BQ52">IFERROR((SUMPRODUCT((economics!$AG$2:$AG$167=$B52)*(economics!$D$2:$D$167="whr")*economics!$AI$2:$AI$167*(_xlfn.NORM.DIST(BQ$3,economics!$AK$2:$AK$167,economics!$AJ$2:$AJ$167,TRUE)-_xlfn.NORM.DIST(BQ$30,economics!$AK$2:$AK$167,economics!$AJ$2:$AJ$167,TRUE))*economics!$AM$2:$AM$167))/(SUMPRODUCT((economics!$AG$2:$AG$167=$B52)*(economics!$D$2:$D$167="whr")*economics!$AI$2:$AI$167*(_xlfn.NORM.DIST(BQ$3,economics!$AK$2:$AK$167,economics!$AJ$2:$AJ$167,TRUE)-_xlfn.NORM.DIST(BQ$30,economics!$AK$2:$AK$167,economics!$AJ$2:$AJ$167,TRUE)))),"")</f>
        <v/>
      </c>
      <c r="BR52">
        <f t="array" ref="BR52">IFERROR((SUMPRODUCT((economics!$AG$2:$AG$167=$B52)*(economics!$D$2:$D$167="whr")*economics!$AI$2:$AI$167*(_xlfn.NORM.DIST(BR$3,economics!$AK$2:$AK$167,economics!$AJ$2:$AJ$167,TRUE)-_xlfn.NORM.DIST(BR$30,economics!$AK$2:$AK$167,economics!$AJ$2:$AJ$167,TRUE))*economics!$AM$2:$AM$167))/(SUMPRODUCT((economics!$AG$2:$AG$167=$B52)*(economics!$D$2:$D$167="whr")*economics!$AI$2:$AI$167*(_xlfn.NORM.DIST(BR$3,economics!$AK$2:$AK$167,economics!$AJ$2:$AJ$167,TRUE)-_xlfn.NORM.DIST(BR$30,economics!$AK$2:$AK$167,economics!$AJ$2:$AJ$167,TRUE)))),"")</f>
        <v/>
      </c>
      <c r="BS52">
        <f t="array" ref="BS52">IFERROR((SUMPRODUCT((economics!$AG$2:$AG$167=$B52)*(economics!$D$2:$D$167="whr")*economics!$AI$2:$AI$167*(_xlfn.NORM.DIST(BS$3,economics!$AK$2:$AK$167,economics!$AJ$2:$AJ$167,TRUE)-_xlfn.NORM.DIST(BS$30,economics!$AK$2:$AK$167,economics!$AJ$2:$AJ$167,TRUE))*economics!$AM$2:$AM$167))/(SUMPRODUCT((economics!$AG$2:$AG$167=$B52)*(economics!$D$2:$D$167="whr")*economics!$AI$2:$AI$167*(_xlfn.NORM.DIST(BS$3,economics!$AK$2:$AK$167,economics!$AJ$2:$AJ$167,TRUE)-_xlfn.NORM.DIST(BS$30,economics!$AK$2:$AK$167,economics!$AJ$2:$AJ$167,TRUE)))),"")</f>
        <v/>
      </c>
      <c r="BT52">
        <f t="array" ref="BT52">IFERROR((SUMPRODUCT((economics!$AG$2:$AG$167=$B52)*(economics!$D$2:$D$167="whr")*economics!$AI$2:$AI$167*(_xlfn.NORM.DIST(BT$3,economics!$AK$2:$AK$167,economics!$AJ$2:$AJ$167,TRUE)-_xlfn.NORM.DIST(BT$30,economics!$AK$2:$AK$167,economics!$AJ$2:$AJ$167,TRUE))*economics!$AM$2:$AM$167))/(SUMPRODUCT((economics!$AG$2:$AG$167=$B52)*(economics!$D$2:$D$167="whr")*economics!$AI$2:$AI$167*(_xlfn.NORM.DIST(BT$3,economics!$AK$2:$AK$167,economics!$AJ$2:$AJ$167,TRUE)-_xlfn.NORM.DIST(BT$30,economics!$AK$2:$AK$167,economics!$AJ$2:$AJ$167,TRUE)))),"")</f>
        <v/>
      </c>
      <c r="BU52">
        <f t="array" ref="BU52">IFERROR((SUMPRODUCT((economics!$AG$2:$AG$167=$B52)*(economics!$D$2:$D$167="whr")*economics!$AI$2:$AI$167*(_xlfn.NORM.DIST(BU$3,economics!$AK$2:$AK$167,economics!$AJ$2:$AJ$167,TRUE)-_xlfn.NORM.DIST(BU$30,economics!$AK$2:$AK$167,economics!$AJ$2:$AJ$167,TRUE))*economics!$AM$2:$AM$167))/(SUMPRODUCT((economics!$AG$2:$AG$167=$B52)*(economics!$D$2:$D$167="whr")*economics!$AI$2:$AI$167*(_xlfn.NORM.DIST(BU$3,economics!$AK$2:$AK$167,economics!$AJ$2:$AJ$167,TRUE)-_xlfn.NORM.DIST(BU$30,economics!$AK$2:$AK$167,economics!$AJ$2:$AJ$167,TRUE)))),"")</f>
        <v/>
      </c>
      <c r="BV52">
        <f t="array" ref="BV52">IFERROR((SUMPRODUCT((economics!$AG$2:$AG$167=$B52)*(economics!$D$2:$D$167="whr")*economics!$AI$2:$AI$167*(_xlfn.NORM.DIST(BV$3,economics!$AK$2:$AK$167,economics!$AJ$2:$AJ$167,TRUE)-_xlfn.NORM.DIST(BV$30,economics!$AK$2:$AK$167,economics!$AJ$2:$AJ$167,TRUE))*economics!$AM$2:$AM$167))/(SUMPRODUCT((economics!$AG$2:$AG$167=$B52)*(economics!$D$2:$D$167="whr")*economics!$AI$2:$AI$167*(_xlfn.NORM.DIST(BV$3,economics!$AK$2:$AK$167,economics!$AJ$2:$AJ$167,TRUE)-_xlfn.NORM.DIST(BV$30,economics!$AK$2:$AK$167,economics!$AJ$2:$AJ$167,TRUE)))),"")</f>
        <v/>
      </c>
      <c r="BW52">
        <f t="array" ref="BW52">IFERROR((SUMPRODUCT((economics!$AG$2:$AG$167=$B52)*(economics!$D$2:$D$167="whr")*economics!$AI$2:$AI$167*(_xlfn.NORM.DIST(BW$3,economics!$AK$2:$AK$167,economics!$AJ$2:$AJ$167,TRUE)-_xlfn.NORM.DIST(BW$30,economics!$AK$2:$AK$167,economics!$AJ$2:$AJ$167,TRUE))*economics!$AM$2:$AM$167))/(SUMPRODUCT((economics!$AG$2:$AG$167=$B52)*(economics!$D$2:$D$167="whr")*economics!$AI$2:$AI$167*(_xlfn.NORM.DIST(BW$3,economics!$AK$2:$AK$167,economics!$AJ$2:$AJ$167,TRUE)-_xlfn.NORM.DIST(BW$30,economics!$AK$2:$AK$167,economics!$AJ$2:$AJ$167,TRUE)))),"")</f>
        <v/>
      </c>
      <c r="BX52">
        <f t="array" ref="BX52">IFERROR((SUMPRODUCT((economics!$AG$2:$AG$167=$B52)*(economics!$D$2:$D$167="whr")*economics!$AI$2:$AI$167*(_xlfn.NORM.DIST(BX$3,economics!$AK$2:$AK$167,economics!$AJ$2:$AJ$167,TRUE)-_xlfn.NORM.DIST(BX$30,economics!$AK$2:$AK$167,economics!$AJ$2:$AJ$167,TRUE))*economics!$AM$2:$AM$167))/(SUMPRODUCT((economics!$AG$2:$AG$167=$B52)*(economics!$D$2:$D$167="whr")*economics!$AI$2:$AI$167*(_xlfn.NORM.DIST(BX$3,economics!$AK$2:$AK$167,economics!$AJ$2:$AJ$167,TRUE)-_xlfn.NORM.DIST(BX$30,economics!$AK$2:$AK$167,economics!$AJ$2:$AJ$167,TRUE)))),"")</f>
        <v/>
      </c>
      <c r="BY52">
        <f t="array" ref="BY52">IFERROR((SUMPRODUCT((economics!$AG$2:$AG$167=$B52)*(economics!$D$2:$D$167="whr")*economics!$AI$2:$AI$167*(_xlfn.NORM.DIST(BY$3,economics!$AK$2:$AK$167,economics!$AJ$2:$AJ$167,TRUE)-_xlfn.NORM.DIST(BY$30,economics!$AK$2:$AK$167,economics!$AJ$2:$AJ$167,TRUE))*economics!$AM$2:$AM$167))/(SUMPRODUCT((economics!$AG$2:$AG$167=$B52)*(economics!$D$2:$D$167="whr")*economics!$AI$2:$AI$167*(_xlfn.NORM.DIST(BY$3,economics!$AK$2:$AK$167,economics!$AJ$2:$AJ$167,TRUE)-_xlfn.NORM.DIST(BY$30,economics!$AK$2:$AK$167,economics!$AJ$2:$AJ$167,TRUE)))),"")</f>
        <v/>
      </c>
      <c r="BZ52">
        <f t="array" ref="BZ52">IFERROR((SUMPRODUCT((economics!$AG$2:$AG$167=$B52)*(economics!$D$2:$D$167="whr")*economics!$AI$2:$AI$167*(_xlfn.NORM.DIST(BZ$3,economics!$AK$2:$AK$167,economics!$AJ$2:$AJ$167,TRUE)-_xlfn.NORM.DIST(BZ$30,economics!$AK$2:$AK$167,economics!$AJ$2:$AJ$167,TRUE))*economics!$AM$2:$AM$167))/(SUMPRODUCT((economics!$AG$2:$AG$167=$B52)*(economics!$D$2:$D$167="whr")*economics!$AI$2:$AI$167*(_xlfn.NORM.DIST(BZ$3,economics!$AK$2:$AK$167,economics!$AJ$2:$AJ$167,TRUE)-_xlfn.NORM.DIST(BZ$30,economics!$AK$2:$AK$167,economics!$AJ$2:$AJ$167,TRUE)))),"")</f>
        <v/>
      </c>
      <c r="CA52">
        <f t="array" ref="CA52">IFERROR((SUMPRODUCT((economics!$AG$2:$AG$167=$B52)*(economics!$D$2:$D$167="whr")*economics!$AI$2:$AI$167*(_xlfn.NORM.DIST(CA$3,economics!$AK$2:$AK$167,economics!$AJ$2:$AJ$167,TRUE)-_xlfn.NORM.DIST(CA$30,economics!$AK$2:$AK$167,economics!$AJ$2:$AJ$167,TRUE))*economics!$AM$2:$AM$167))/(SUMPRODUCT((economics!$AG$2:$AG$167=$B52)*(economics!$D$2:$D$167="whr")*economics!$AI$2:$AI$167*(_xlfn.NORM.DIST(CA$3,economics!$AK$2:$AK$167,economics!$AJ$2:$AJ$167,TRUE)-_xlfn.NORM.DIST(CA$30,economics!$AK$2:$AK$167,economics!$AJ$2:$AJ$167,TRUE)))),"")</f>
        <v/>
      </c>
      <c r="CB52">
        <f t="array" ref="CB52">IFERROR((SUMPRODUCT((economics!$AG$2:$AG$167=$B52)*(economics!$D$2:$D$167="whr")*economics!$AI$2:$AI$167*(_xlfn.NORM.DIST(CB$3,economics!$AK$2:$AK$167,economics!$AJ$2:$AJ$167,TRUE)-_xlfn.NORM.DIST(CB$30,economics!$AK$2:$AK$167,economics!$AJ$2:$AJ$167,TRUE))*economics!$AM$2:$AM$167))/(SUMPRODUCT((economics!$AG$2:$AG$167=$B52)*(economics!$D$2:$D$167="whr")*economics!$AI$2:$AI$167*(_xlfn.NORM.DIST(CB$3,economics!$AK$2:$AK$167,economics!$AJ$2:$AJ$167,TRUE)-_xlfn.NORM.DIST(CB$30,economics!$AK$2:$AK$167,economics!$AJ$2:$AJ$167,TRUE)))),"")</f>
        <v/>
      </c>
      <c r="CC52">
        <f t="array" ref="CC52">IFERROR((SUMPRODUCT((economics!$AG$2:$AG$167=$B52)*(economics!$D$2:$D$167="whr")*economics!$AI$2:$AI$167*(_xlfn.NORM.DIST(CC$3,economics!$AK$2:$AK$167,economics!$AJ$2:$AJ$167,TRUE)-_xlfn.NORM.DIST(CC$30,economics!$AK$2:$AK$167,economics!$AJ$2:$AJ$167,TRUE))*economics!$AM$2:$AM$167))/(SUMPRODUCT((economics!$AG$2:$AG$167=$B52)*(economics!$D$2:$D$167="whr")*economics!$AI$2:$AI$167*(_xlfn.NORM.DIST(CC$3,economics!$AK$2:$AK$167,economics!$AJ$2:$AJ$167,TRUE)-_xlfn.NORM.DIST(CC$30,economics!$AK$2:$AK$167,economics!$AJ$2:$AJ$167,TRUE)))),"")</f>
        <v/>
      </c>
      <c r="CD52">
        <f t="array" ref="CD52">IFERROR((SUMPRODUCT((economics!$AG$2:$AG$167=$B52)*(economics!$D$2:$D$167="whr")*economics!$AI$2:$AI$167*(_xlfn.NORM.DIST(CD$3,economics!$AK$2:$AK$167,economics!$AJ$2:$AJ$167,TRUE)-_xlfn.NORM.DIST(CD$30,economics!$AK$2:$AK$167,economics!$AJ$2:$AJ$167,TRUE))*economics!$AM$2:$AM$167))/(SUMPRODUCT((economics!$AG$2:$AG$167=$B52)*(economics!$D$2:$D$167="whr")*economics!$AI$2:$AI$167*(_xlfn.NORM.DIST(CD$3,economics!$AK$2:$AK$167,economics!$AJ$2:$AJ$167,TRUE)-_xlfn.NORM.DIST(CD$30,economics!$AK$2:$AK$167,economics!$AJ$2:$AJ$167,TRUE)))),"")</f>
        <v/>
      </c>
      <c r="CE52">
        <f t="array" ref="CE52">IFERROR((SUMPRODUCT((economics!$AG$2:$AG$167=$B52)*(economics!$D$2:$D$167="whr")*economics!$AI$2:$AI$167*(_xlfn.NORM.DIST(CE$3,economics!$AK$2:$AK$167,economics!$AJ$2:$AJ$167,TRUE)-_xlfn.NORM.DIST(CE$30,economics!$AK$2:$AK$167,economics!$AJ$2:$AJ$167,TRUE))*economics!$AM$2:$AM$167))/(SUMPRODUCT((economics!$AG$2:$AG$167=$B52)*(economics!$D$2:$D$167="whr")*economics!$AI$2:$AI$167*(_xlfn.NORM.DIST(CE$3,economics!$AK$2:$AK$167,economics!$AJ$2:$AJ$167,TRUE)-_xlfn.NORM.DIST(CE$30,economics!$AK$2:$AK$167,economics!$AJ$2:$AJ$167,TRUE)))),"")</f>
        <v/>
      </c>
      <c r="CF52">
        <f t="array" ref="CF52">IFERROR((SUMPRODUCT((economics!$AG$2:$AG$167=$B52)*(economics!$D$2:$D$167="whr")*economics!$AI$2:$AI$167*(_xlfn.NORM.DIST(CF$3,economics!$AK$2:$AK$167,economics!$AJ$2:$AJ$167,TRUE)-_xlfn.NORM.DIST(CF$30,economics!$AK$2:$AK$167,economics!$AJ$2:$AJ$167,TRUE))*economics!$AM$2:$AM$167))/(SUMPRODUCT((economics!$AG$2:$AG$167=$B52)*(economics!$D$2:$D$167="whr")*economics!$AI$2:$AI$167*(_xlfn.NORM.DIST(CF$3,economics!$AK$2:$AK$167,economics!$AJ$2:$AJ$167,TRUE)-_xlfn.NORM.DIST(CF$30,economics!$AK$2:$AK$167,economics!$AJ$2:$AJ$167,TRUE)))),"")</f>
        <v/>
      </c>
      <c r="CG52">
        <f t="array" ref="CG52">IFERROR((SUMPRODUCT((economics!$AG$2:$AG$167=$B52)*(economics!$D$2:$D$167="whr")*economics!$AI$2:$AI$167*(_xlfn.NORM.DIST(CG$3,economics!$AK$2:$AK$167,economics!$AJ$2:$AJ$167,TRUE)-_xlfn.NORM.DIST(CG$30,economics!$AK$2:$AK$167,economics!$AJ$2:$AJ$167,TRUE))*economics!$AM$2:$AM$167))/(SUMPRODUCT((economics!$AG$2:$AG$167=$B52)*(economics!$D$2:$D$167="whr")*economics!$AI$2:$AI$167*(_xlfn.NORM.DIST(CG$3,economics!$AK$2:$AK$167,economics!$AJ$2:$AJ$167,TRUE)-_xlfn.NORM.DIST(CG$30,economics!$AK$2:$AK$167,economics!$AJ$2:$AJ$167,TRUE)))),"")</f>
        <v/>
      </c>
      <c r="CH52">
        <f t="array" ref="CH52">IFERROR((SUMPRODUCT((economics!$AG$2:$AG$167=$B52)*(economics!$D$2:$D$167="whr")*economics!$AI$2:$AI$167*(_xlfn.NORM.DIST(CH$3,economics!$AK$2:$AK$167,economics!$AJ$2:$AJ$167,TRUE)-_xlfn.NORM.DIST(CH$30,economics!$AK$2:$AK$167,economics!$AJ$2:$AJ$167,TRUE))*economics!$AM$2:$AM$167))/(SUMPRODUCT((economics!$AG$2:$AG$167=$B52)*(economics!$D$2:$D$167="whr")*economics!$AI$2:$AI$167*(_xlfn.NORM.DIST(CH$3,economics!$AK$2:$AK$167,economics!$AJ$2:$AJ$167,TRUE)-_xlfn.NORM.DIST(CH$30,economics!$AK$2:$AK$167,economics!$AJ$2:$AJ$167,TRUE)))),"")</f>
        <v/>
      </c>
    </row>
    <row r="53">
      <c r="A53">
        <f>A24</f>
        <v/>
      </c>
      <c r="B53">
        <f>B24</f>
        <v/>
      </c>
      <c r="E53">
        <f t="array" ref="E53">IFERROR((SUMPRODUCT((economics!$AG$2:$AG$167=$B53)*(economics!$D$2:$D$167="whr")*economics!$AI$2:$AI$167*(_xlfn.NORM.DIST(E$3,economics!$AK$2:$AK$167,economics!$AJ$2:$AJ$167,TRUE)-_xlfn.NORM.DIST(E$30,economics!$AK$2:$AK$167,economics!$AJ$2:$AJ$167,TRUE))*economics!$AM$2:$AM$167))/(SUMPRODUCT((economics!$AG$2:$AG$167=$B53)*(economics!$D$2:$D$167="whr")*economics!$AI$2:$AI$167*(_xlfn.NORM.DIST(E$3,economics!$AK$2:$AK$167,economics!$AJ$2:$AJ$167,TRUE)-_xlfn.NORM.DIST(E$30,economics!$AK$2:$AK$167,economics!$AJ$2:$AJ$167,TRUE)))),"")</f>
        <v/>
      </c>
      <c r="F53">
        <f t="array" ref="F53">IFERROR((SUMPRODUCT((economics!$AG$2:$AG$167=$B53)*(economics!$D$2:$D$167="whr")*economics!$AI$2:$AI$167*(_xlfn.NORM.DIST(F$3,economics!$AK$2:$AK$167,economics!$AJ$2:$AJ$167,TRUE)-_xlfn.NORM.DIST(F$30,economics!$AK$2:$AK$167,economics!$AJ$2:$AJ$167,TRUE))*economics!$AM$2:$AM$167))/(SUMPRODUCT((economics!$AG$2:$AG$167=$B53)*(economics!$D$2:$D$167="whr")*economics!$AI$2:$AI$167*(_xlfn.NORM.DIST(F$3,economics!$AK$2:$AK$167,economics!$AJ$2:$AJ$167,TRUE)-_xlfn.NORM.DIST(F$30,economics!$AK$2:$AK$167,economics!$AJ$2:$AJ$167,TRUE)))),"")</f>
        <v/>
      </c>
      <c r="G53">
        <f t="array" ref="G53">IFERROR((SUMPRODUCT((economics!$AG$2:$AG$167=$B53)*(economics!$D$2:$D$167="whr")*economics!$AI$2:$AI$167*(_xlfn.NORM.DIST(G$3,economics!$AK$2:$AK$167,economics!$AJ$2:$AJ$167,TRUE)-_xlfn.NORM.DIST(G$30,economics!$AK$2:$AK$167,economics!$AJ$2:$AJ$167,TRUE))*economics!$AM$2:$AM$167))/(SUMPRODUCT((economics!$AG$2:$AG$167=$B53)*(economics!$D$2:$D$167="whr")*economics!$AI$2:$AI$167*(_xlfn.NORM.DIST(G$3,economics!$AK$2:$AK$167,economics!$AJ$2:$AJ$167,TRUE)-_xlfn.NORM.DIST(G$30,economics!$AK$2:$AK$167,economics!$AJ$2:$AJ$167,TRUE)))),"")</f>
        <v/>
      </c>
      <c r="H53">
        <f t="array" ref="H53">IFERROR((SUMPRODUCT((economics!$AG$2:$AG$167=$B53)*(economics!$D$2:$D$167="whr")*economics!$AI$2:$AI$167*(_xlfn.NORM.DIST(H$3,economics!$AK$2:$AK$167,economics!$AJ$2:$AJ$167,TRUE)-_xlfn.NORM.DIST(H$30,economics!$AK$2:$AK$167,economics!$AJ$2:$AJ$167,TRUE))*economics!$AM$2:$AM$167))/(SUMPRODUCT((economics!$AG$2:$AG$167=$B53)*(economics!$D$2:$D$167="whr")*economics!$AI$2:$AI$167*(_xlfn.NORM.DIST(H$3,economics!$AK$2:$AK$167,economics!$AJ$2:$AJ$167,TRUE)-_xlfn.NORM.DIST(H$30,economics!$AK$2:$AK$167,economics!$AJ$2:$AJ$167,TRUE)))),"")</f>
        <v/>
      </c>
      <c r="I53">
        <f t="array" ref="I53">IFERROR((SUMPRODUCT((economics!$AG$2:$AG$167=$B53)*(economics!$D$2:$D$167="whr")*economics!$AI$2:$AI$167*(_xlfn.NORM.DIST(I$3,economics!$AK$2:$AK$167,economics!$AJ$2:$AJ$167,TRUE)-_xlfn.NORM.DIST(I$30,economics!$AK$2:$AK$167,economics!$AJ$2:$AJ$167,TRUE))*economics!$AM$2:$AM$167))/(SUMPRODUCT((economics!$AG$2:$AG$167=$B53)*(economics!$D$2:$D$167="whr")*economics!$AI$2:$AI$167*(_xlfn.NORM.DIST(I$3,economics!$AK$2:$AK$167,economics!$AJ$2:$AJ$167,TRUE)-_xlfn.NORM.DIST(I$30,economics!$AK$2:$AK$167,economics!$AJ$2:$AJ$167,TRUE)))),"")</f>
        <v/>
      </c>
      <c r="J53">
        <f t="array" ref="J53">IFERROR((SUMPRODUCT((economics!$AG$2:$AG$167=$B53)*(economics!$D$2:$D$167="whr")*economics!$AI$2:$AI$167*(_xlfn.NORM.DIST(J$3,economics!$AK$2:$AK$167,economics!$AJ$2:$AJ$167,TRUE)-_xlfn.NORM.DIST(J$30,economics!$AK$2:$AK$167,economics!$AJ$2:$AJ$167,TRUE))*economics!$AM$2:$AM$167))/(SUMPRODUCT((economics!$AG$2:$AG$167=$B53)*(economics!$D$2:$D$167="whr")*economics!$AI$2:$AI$167*(_xlfn.NORM.DIST(J$3,economics!$AK$2:$AK$167,economics!$AJ$2:$AJ$167,TRUE)-_xlfn.NORM.DIST(J$30,economics!$AK$2:$AK$167,economics!$AJ$2:$AJ$167,TRUE)))),"")</f>
        <v/>
      </c>
      <c r="K53">
        <f t="array" ref="K53">IFERROR((SUMPRODUCT((economics!$AG$2:$AG$167=$B53)*(economics!$D$2:$D$167="whr")*economics!$AI$2:$AI$167*(_xlfn.NORM.DIST(K$3,economics!$AK$2:$AK$167,economics!$AJ$2:$AJ$167,TRUE)-_xlfn.NORM.DIST(K$30,economics!$AK$2:$AK$167,economics!$AJ$2:$AJ$167,TRUE))*economics!$AM$2:$AM$167))/(SUMPRODUCT((economics!$AG$2:$AG$167=$B53)*(economics!$D$2:$D$167="whr")*economics!$AI$2:$AI$167*(_xlfn.NORM.DIST(K$3,economics!$AK$2:$AK$167,economics!$AJ$2:$AJ$167,TRUE)-_xlfn.NORM.DIST(K$30,economics!$AK$2:$AK$167,economics!$AJ$2:$AJ$167,TRUE)))),"")</f>
        <v/>
      </c>
      <c r="L53">
        <f t="array" ref="L53">IFERROR((SUMPRODUCT((economics!$AG$2:$AG$167=$B53)*(economics!$D$2:$D$167="whr")*economics!$AI$2:$AI$167*(_xlfn.NORM.DIST(L$3,economics!$AK$2:$AK$167,economics!$AJ$2:$AJ$167,TRUE)-_xlfn.NORM.DIST(L$30,economics!$AK$2:$AK$167,economics!$AJ$2:$AJ$167,TRUE))*economics!$AM$2:$AM$167))/(SUMPRODUCT((economics!$AG$2:$AG$167=$B53)*(economics!$D$2:$D$167="whr")*economics!$AI$2:$AI$167*(_xlfn.NORM.DIST(L$3,economics!$AK$2:$AK$167,economics!$AJ$2:$AJ$167,TRUE)-_xlfn.NORM.DIST(L$30,economics!$AK$2:$AK$167,economics!$AJ$2:$AJ$167,TRUE)))),"")</f>
        <v/>
      </c>
      <c r="M53">
        <f t="array" ref="M53">IFERROR((SUMPRODUCT((economics!$AG$2:$AG$167=$B53)*(economics!$D$2:$D$167="whr")*economics!$AI$2:$AI$167*(_xlfn.NORM.DIST(M$3,economics!$AK$2:$AK$167,economics!$AJ$2:$AJ$167,TRUE)-_xlfn.NORM.DIST(M$30,economics!$AK$2:$AK$167,economics!$AJ$2:$AJ$167,TRUE))*economics!$AM$2:$AM$167))/(SUMPRODUCT((economics!$AG$2:$AG$167=$B53)*(economics!$D$2:$D$167="whr")*economics!$AI$2:$AI$167*(_xlfn.NORM.DIST(M$3,economics!$AK$2:$AK$167,economics!$AJ$2:$AJ$167,TRUE)-_xlfn.NORM.DIST(M$30,economics!$AK$2:$AK$167,economics!$AJ$2:$AJ$167,TRUE)))),"")</f>
        <v/>
      </c>
      <c r="N53">
        <f t="array" ref="N53">IFERROR((SUMPRODUCT((economics!$AG$2:$AG$167=$B53)*(economics!$D$2:$D$167="whr")*economics!$AI$2:$AI$167*(_xlfn.NORM.DIST(N$3,economics!$AK$2:$AK$167,economics!$AJ$2:$AJ$167,TRUE)-_xlfn.NORM.DIST(N$30,economics!$AK$2:$AK$167,economics!$AJ$2:$AJ$167,TRUE))*economics!$AM$2:$AM$167))/(SUMPRODUCT((economics!$AG$2:$AG$167=$B53)*(economics!$D$2:$D$167="whr")*economics!$AI$2:$AI$167*(_xlfn.NORM.DIST(N$3,economics!$AK$2:$AK$167,economics!$AJ$2:$AJ$167,TRUE)-_xlfn.NORM.DIST(N$30,economics!$AK$2:$AK$167,economics!$AJ$2:$AJ$167,TRUE)))),"")</f>
        <v/>
      </c>
      <c r="O53">
        <f t="array" ref="O53">IFERROR((SUMPRODUCT((economics!$AG$2:$AG$167=$B53)*(economics!$D$2:$D$167="whr")*economics!$AI$2:$AI$167*(_xlfn.NORM.DIST(O$3,economics!$AK$2:$AK$167,economics!$AJ$2:$AJ$167,TRUE)-_xlfn.NORM.DIST(O$30,economics!$AK$2:$AK$167,economics!$AJ$2:$AJ$167,TRUE))*economics!$AM$2:$AM$167))/(SUMPRODUCT((economics!$AG$2:$AG$167=$B53)*(economics!$D$2:$D$167="whr")*economics!$AI$2:$AI$167*(_xlfn.NORM.DIST(O$3,economics!$AK$2:$AK$167,economics!$AJ$2:$AJ$167,TRUE)-_xlfn.NORM.DIST(O$30,economics!$AK$2:$AK$167,economics!$AJ$2:$AJ$167,TRUE)))),"")</f>
        <v/>
      </c>
      <c r="P53">
        <f t="array" ref="P53">IFERROR((SUMPRODUCT((economics!$AG$2:$AG$167=$B53)*(economics!$D$2:$D$167="whr")*economics!$AI$2:$AI$167*(_xlfn.NORM.DIST(P$3,economics!$AK$2:$AK$167,economics!$AJ$2:$AJ$167,TRUE)-_xlfn.NORM.DIST(P$30,economics!$AK$2:$AK$167,economics!$AJ$2:$AJ$167,TRUE))*economics!$AM$2:$AM$167))/(SUMPRODUCT((economics!$AG$2:$AG$167=$B53)*(economics!$D$2:$D$167="whr")*economics!$AI$2:$AI$167*(_xlfn.NORM.DIST(P$3,economics!$AK$2:$AK$167,economics!$AJ$2:$AJ$167,TRUE)-_xlfn.NORM.DIST(P$30,economics!$AK$2:$AK$167,economics!$AJ$2:$AJ$167,TRUE)))),"")</f>
        <v/>
      </c>
      <c r="Q53">
        <f t="array" ref="Q53">IFERROR((SUMPRODUCT((economics!$AG$2:$AG$167=$B53)*(economics!$D$2:$D$167="whr")*economics!$AI$2:$AI$167*(_xlfn.NORM.DIST(Q$3,economics!$AK$2:$AK$167,economics!$AJ$2:$AJ$167,TRUE)-_xlfn.NORM.DIST(Q$30,economics!$AK$2:$AK$167,economics!$AJ$2:$AJ$167,TRUE))*economics!$AM$2:$AM$167))/(SUMPRODUCT((economics!$AG$2:$AG$167=$B53)*(economics!$D$2:$D$167="whr")*economics!$AI$2:$AI$167*(_xlfn.NORM.DIST(Q$3,economics!$AK$2:$AK$167,economics!$AJ$2:$AJ$167,TRUE)-_xlfn.NORM.DIST(Q$30,economics!$AK$2:$AK$167,economics!$AJ$2:$AJ$167,TRUE)))),"")</f>
        <v/>
      </c>
      <c r="R53">
        <f t="array" ref="R53">IFERROR((SUMPRODUCT((economics!$AG$2:$AG$167=$B53)*(economics!$D$2:$D$167="whr")*economics!$AI$2:$AI$167*(_xlfn.NORM.DIST(R$3,economics!$AK$2:$AK$167,economics!$AJ$2:$AJ$167,TRUE)-_xlfn.NORM.DIST(R$30,economics!$AK$2:$AK$167,economics!$AJ$2:$AJ$167,TRUE))*economics!$AM$2:$AM$167))/(SUMPRODUCT((economics!$AG$2:$AG$167=$B53)*(economics!$D$2:$D$167="whr")*economics!$AI$2:$AI$167*(_xlfn.NORM.DIST(R$3,economics!$AK$2:$AK$167,economics!$AJ$2:$AJ$167,TRUE)-_xlfn.NORM.DIST(R$30,economics!$AK$2:$AK$167,economics!$AJ$2:$AJ$167,TRUE)))),"")</f>
        <v/>
      </c>
      <c r="S53">
        <f t="array" ref="S53">IFERROR((SUMPRODUCT((economics!$AG$2:$AG$167=$B53)*(economics!$D$2:$D$167="whr")*economics!$AI$2:$AI$167*(_xlfn.NORM.DIST(S$3,economics!$AK$2:$AK$167,economics!$AJ$2:$AJ$167,TRUE)-_xlfn.NORM.DIST(S$30,economics!$AK$2:$AK$167,economics!$AJ$2:$AJ$167,TRUE))*economics!$AM$2:$AM$167))/(SUMPRODUCT((economics!$AG$2:$AG$167=$B53)*(economics!$D$2:$D$167="whr")*economics!$AI$2:$AI$167*(_xlfn.NORM.DIST(S$3,economics!$AK$2:$AK$167,economics!$AJ$2:$AJ$167,TRUE)-_xlfn.NORM.DIST(S$30,economics!$AK$2:$AK$167,economics!$AJ$2:$AJ$167,TRUE)))),"")</f>
        <v/>
      </c>
      <c r="T53">
        <f t="array" ref="T53">IFERROR((SUMPRODUCT((economics!$AG$2:$AG$167=$B53)*(economics!$D$2:$D$167="whr")*economics!$AI$2:$AI$167*(_xlfn.NORM.DIST(T$3,economics!$AK$2:$AK$167,economics!$AJ$2:$AJ$167,TRUE)-_xlfn.NORM.DIST(T$30,economics!$AK$2:$AK$167,economics!$AJ$2:$AJ$167,TRUE))*economics!$AM$2:$AM$167))/(SUMPRODUCT((economics!$AG$2:$AG$167=$B53)*(economics!$D$2:$D$167="whr")*economics!$AI$2:$AI$167*(_xlfn.NORM.DIST(T$3,economics!$AK$2:$AK$167,economics!$AJ$2:$AJ$167,TRUE)-_xlfn.NORM.DIST(T$30,economics!$AK$2:$AK$167,economics!$AJ$2:$AJ$167,TRUE)))),"")</f>
        <v/>
      </c>
      <c r="U53">
        <f t="array" ref="U53">IFERROR((SUMPRODUCT((economics!$AG$2:$AG$167=$B53)*(economics!$D$2:$D$167="whr")*economics!$AI$2:$AI$167*(_xlfn.NORM.DIST(U$3,economics!$AK$2:$AK$167,economics!$AJ$2:$AJ$167,TRUE)-_xlfn.NORM.DIST(U$30,economics!$AK$2:$AK$167,economics!$AJ$2:$AJ$167,TRUE))*economics!$AM$2:$AM$167))/(SUMPRODUCT((economics!$AG$2:$AG$167=$B53)*(economics!$D$2:$D$167="whr")*economics!$AI$2:$AI$167*(_xlfn.NORM.DIST(U$3,economics!$AK$2:$AK$167,economics!$AJ$2:$AJ$167,TRUE)-_xlfn.NORM.DIST(U$30,economics!$AK$2:$AK$167,economics!$AJ$2:$AJ$167,TRUE)))),"")</f>
        <v/>
      </c>
      <c r="V53">
        <f t="array" ref="V53">IFERROR((SUMPRODUCT((economics!$AG$2:$AG$167=$B53)*(economics!$D$2:$D$167="whr")*economics!$AI$2:$AI$167*(_xlfn.NORM.DIST(V$3,economics!$AK$2:$AK$167,economics!$AJ$2:$AJ$167,TRUE)-_xlfn.NORM.DIST(V$30,economics!$AK$2:$AK$167,economics!$AJ$2:$AJ$167,TRUE))*economics!$AM$2:$AM$167))/(SUMPRODUCT((economics!$AG$2:$AG$167=$B53)*(economics!$D$2:$D$167="whr")*economics!$AI$2:$AI$167*(_xlfn.NORM.DIST(V$3,economics!$AK$2:$AK$167,economics!$AJ$2:$AJ$167,TRUE)-_xlfn.NORM.DIST(V$30,economics!$AK$2:$AK$167,economics!$AJ$2:$AJ$167,TRUE)))),"")</f>
        <v/>
      </c>
      <c r="W53">
        <f t="array" ref="W53">IFERROR((SUMPRODUCT((economics!$AG$2:$AG$167=$B53)*(economics!$D$2:$D$167="whr")*economics!$AI$2:$AI$167*(_xlfn.NORM.DIST(W$3,economics!$AK$2:$AK$167,economics!$AJ$2:$AJ$167,TRUE)-_xlfn.NORM.DIST(W$30,economics!$AK$2:$AK$167,economics!$AJ$2:$AJ$167,TRUE))*economics!$AM$2:$AM$167))/(SUMPRODUCT((economics!$AG$2:$AG$167=$B53)*(economics!$D$2:$D$167="whr")*economics!$AI$2:$AI$167*(_xlfn.NORM.DIST(W$3,economics!$AK$2:$AK$167,economics!$AJ$2:$AJ$167,TRUE)-_xlfn.NORM.DIST(W$30,economics!$AK$2:$AK$167,economics!$AJ$2:$AJ$167,TRUE)))),"")</f>
        <v/>
      </c>
      <c r="X53">
        <f t="array" ref="X53">IFERROR((SUMPRODUCT((economics!$AG$2:$AG$167=$B53)*(economics!$D$2:$D$167="whr")*economics!$AI$2:$AI$167*(_xlfn.NORM.DIST(X$3,economics!$AK$2:$AK$167,economics!$AJ$2:$AJ$167,TRUE)-_xlfn.NORM.DIST(X$30,economics!$AK$2:$AK$167,economics!$AJ$2:$AJ$167,TRUE))*economics!$AM$2:$AM$167))/(SUMPRODUCT((economics!$AG$2:$AG$167=$B53)*(economics!$D$2:$D$167="whr")*economics!$AI$2:$AI$167*(_xlfn.NORM.DIST(X$3,economics!$AK$2:$AK$167,economics!$AJ$2:$AJ$167,TRUE)-_xlfn.NORM.DIST(X$30,economics!$AK$2:$AK$167,economics!$AJ$2:$AJ$167,TRUE)))),"")</f>
        <v/>
      </c>
      <c r="Y53">
        <f t="array" ref="Y53">IFERROR((SUMPRODUCT((economics!$AG$2:$AG$167=$B53)*(economics!$D$2:$D$167="whr")*economics!$AI$2:$AI$167*(_xlfn.NORM.DIST(Y$3,economics!$AK$2:$AK$167,economics!$AJ$2:$AJ$167,TRUE)-_xlfn.NORM.DIST(Y$30,economics!$AK$2:$AK$167,economics!$AJ$2:$AJ$167,TRUE))*economics!$AM$2:$AM$167))/(SUMPRODUCT((economics!$AG$2:$AG$167=$B53)*(economics!$D$2:$D$167="whr")*economics!$AI$2:$AI$167*(_xlfn.NORM.DIST(Y$3,economics!$AK$2:$AK$167,economics!$AJ$2:$AJ$167,TRUE)-_xlfn.NORM.DIST(Y$30,economics!$AK$2:$AK$167,economics!$AJ$2:$AJ$167,TRUE)))),"")</f>
        <v/>
      </c>
      <c r="Z53">
        <f t="array" ref="Z53">IFERROR((SUMPRODUCT((economics!$AG$2:$AG$167=$B53)*(economics!$D$2:$D$167="whr")*economics!$AI$2:$AI$167*(_xlfn.NORM.DIST(Z$3,economics!$AK$2:$AK$167,economics!$AJ$2:$AJ$167,TRUE)-_xlfn.NORM.DIST(Z$30,economics!$AK$2:$AK$167,economics!$AJ$2:$AJ$167,TRUE))*economics!$AM$2:$AM$167))/(SUMPRODUCT((economics!$AG$2:$AG$167=$B53)*(economics!$D$2:$D$167="whr")*economics!$AI$2:$AI$167*(_xlfn.NORM.DIST(Z$3,economics!$AK$2:$AK$167,economics!$AJ$2:$AJ$167,TRUE)-_xlfn.NORM.DIST(Z$30,economics!$AK$2:$AK$167,economics!$AJ$2:$AJ$167,TRUE)))),"")</f>
        <v/>
      </c>
      <c r="AA53">
        <f t="array" ref="AA53">IFERROR((SUMPRODUCT((economics!$AG$2:$AG$167=$B53)*(economics!$D$2:$D$167="whr")*economics!$AI$2:$AI$167*(_xlfn.NORM.DIST(AA$3,economics!$AK$2:$AK$167,economics!$AJ$2:$AJ$167,TRUE)-_xlfn.NORM.DIST(AA$30,economics!$AK$2:$AK$167,economics!$AJ$2:$AJ$167,TRUE))*economics!$AM$2:$AM$167))/(SUMPRODUCT((economics!$AG$2:$AG$167=$B53)*(economics!$D$2:$D$167="whr")*economics!$AI$2:$AI$167*(_xlfn.NORM.DIST(AA$3,economics!$AK$2:$AK$167,economics!$AJ$2:$AJ$167,TRUE)-_xlfn.NORM.DIST(AA$30,economics!$AK$2:$AK$167,economics!$AJ$2:$AJ$167,TRUE)))),"")</f>
        <v/>
      </c>
      <c r="AB53">
        <f t="array" ref="AB53">IFERROR((SUMPRODUCT((economics!$AG$2:$AG$167=$B53)*(economics!$D$2:$D$167="whr")*economics!$AI$2:$AI$167*(_xlfn.NORM.DIST(AB$3,economics!$AK$2:$AK$167,economics!$AJ$2:$AJ$167,TRUE)-_xlfn.NORM.DIST(AB$30,economics!$AK$2:$AK$167,economics!$AJ$2:$AJ$167,TRUE))*economics!$AM$2:$AM$167))/(SUMPRODUCT((economics!$AG$2:$AG$167=$B53)*(economics!$D$2:$D$167="whr")*economics!$AI$2:$AI$167*(_xlfn.NORM.DIST(AB$3,economics!$AK$2:$AK$167,economics!$AJ$2:$AJ$167,TRUE)-_xlfn.NORM.DIST(AB$30,economics!$AK$2:$AK$167,economics!$AJ$2:$AJ$167,TRUE)))),"")</f>
        <v/>
      </c>
      <c r="AC53">
        <f t="array" ref="AC53">IFERROR((SUMPRODUCT((economics!$AG$2:$AG$167=$B53)*(economics!$D$2:$D$167="whr")*economics!$AI$2:$AI$167*(_xlfn.NORM.DIST(AC$3,economics!$AK$2:$AK$167,economics!$AJ$2:$AJ$167,TRUE)-_xlfn.NORM.DIST(AC$30,economics!$AK$2:$AK$167,economics!$AJ$2:$AJ$167,TRUE))*economics!$AM$2:$AM$167))/(SUMPRODUCT((economics!$AG$2:$AG$167=$B53)*(economics!$D$2:$D$167="whr")*economics!$AI$2:$AI$167*(_xlfn.NORM.DIST(AC$3,economics!$AK$2:$AK$167,economics!$AJ$2:$AJ$167,TRUE)-_xlfn.NORM.DIST(AC$30,economics!$AK$2:$AK$167,economics!$AJ$2:$AJ$167,TRUE)))),"")</f>
        <v/>
      </c>
      <c r="AD53">
        <f t="array" ref="AD53">IFERROR((SUMPRODUCT((economics!$AG$2:$AG$167=$B53)*(economics!$D$2:$D$167="whr")*economics!$AI$2:$AI$167*(_xlfn.NORM.DIST(AD$3,economics!$AK$2:$AK$167,economics!$AJ$2:$AJ$167,TRUE)-_xlfn.NORM.DIST(AD$30,economics!$AK$2:$AK$167,economics!$AJ$2:$AJ$167,TRUE))*economics!$AM$2:$AM$167))/(SUMPRODUCT((economics!$AG$2:$AG$167=$B53)*(economics!$D$2:$D$167="whr")*economics!$AI$2:$AI$167*(_xlfn.NORM.DIST(AD$3,economics!$AK$2:$AK$167,economics!$AJ$2:$AJ$167,TRUE)-_xlfn.NORM.DIST(AD$30,economics!$AK$2:$AK$167,economics!$AJ$2:$AJ$167,TRUE)))),"")</f>
        <v/>
      </c>
      <c r="AE53">
        <f t="array" ref="AE53">IFERROR((SUMPRODUCT((economics!$AG$2:$AG$167=$B53)*(economics!$D$2:$D$167="whr")*economics!$AI$2:$AI$167*(_xlfn.NORM.DIST(AE$3,economics!$AK$2:$AK$167,economics!$AJ$2:$AJ$167,TRUE)-_xlfn.NORM.DIST(AE$30,economics!$AK$2:$AK$167,economics!$AJ$2:$AJ$167,TRUE))*economics!$AM$2:$AM$167))/(SUMPRODUCT((economics!$AG$2:$AG$167=$B53)*(economics!$D$2:$D$167="whr")*economics!$AI$2:$AI$167*(_xlfn.NORM.DIST(AE$3,economics!$AK$2:$AK$167,economics!$AJ$2:$AJ$167,TRUE)-_xlfn.NORM.DIST(AE$30,economics!$AK$2:$AK$167,economics!$AJ$2:$AJ$167,TRUE)))),"")</f>
        <v/>
      </c>
      <c r="AF53">
        <f t="array" ref="AF53">IFERROR((SUMPRODUCT((economics!$AG$2:$AG$167=$B53)*(economics!$D$2:$D$167="whr")*economics!$AI$2:$AI$167*(_xlfn.NORM.DIST(AF$3,economics!$AK$2:$AK$167,economics!$AJ$2:$AJ$167,TRUE)-_xlfn.NORM.DIST(AF$30,economics!$AK$2:$AK$167,economics!$AJ$2:$AJ$167,TRUE))*economics!$AM$2:$AM$167))/(SUMPRODUCT((economics!$AG$2:$AG$167=$B53)*(economics!$D$2:$D$167="whr")*economics!$AI$2:$AI$167*(_xlfn.NORM.DIST(AF$3,economics!$AK$2:$AK$167,economics!$AJ$2:$AJ$167,TRUE)-_xlfn.NORM.DIST(AF$30,economics!$AK$2:$AK$167,economics!$AJ$2:$AJ$167,TRUE)))),"")</f>
        <v/>
      </c>
      <c r="AG53">
        <f t="array" ref="AG53">IFERROR((SUMPRODUCT((economics!$AG$2:$AG$167=$B53)*(economics!$D$2:$D$167="whr")*economics!$AI$2:$AI$167*(_xlfn.NORM.DIST(AG$3,economics!$AK$2:$AK$167,economics!$AJ$2:$AJ$167,TRUE)-_xlfn.NORM.DIST(AG$30,economics!$AK$2:$AK$167,economics!$AJ$2:$AJ$167,TRUE))*economics!$AM$2:$AM$167))/(SUMPRODUCT((economics!$AG$2:$AG$167=$B53)*(economics!$D$2:$D$167="whr")*economics!$AI$2:$AI$167*(_xlfn.NORM.DIST(AG$3,economics!$AK$2:$AK$167,economics!$AJ$2:$AJ$167,TRUE)-_xlfn.NORM.DIST(AG$30,economics!$AK$2:$AK$167,economics!$AJ$2:$AJ$167,TRUE)))),"")</f>
        <v/>
      </c>
      <c r="AH53">
        <f t="array" ref="AH53">IFERROR((SUMPRODUCT((economics!$AG$2:$AG$167=$B53)*(economics!$D$2:$D$167="whr")*economics!$AI$2:$AI$167*(_xlfn.NORM.DIST(AH$3,economics!$AK$2:$AK$167,economics!$AJ$2:$AJ$167,TRUE)-_xlfn.NORM.DIST(AH$30,economics!$AK$2:$AK$167,economics!$AJ$2:$AJ$167,TRUE))*economics!$AM$2:$AM$167))/(SUMPRODUCT((economics!$AG$2:$AG$167=$B53)*(economics!$D$2:$D$167="whr")*economics!$AI$2:$AI$167*(_xlfn.NORM.DIST(AH$3,economics!$AK$2:$AK$167,economics!$AJ$2:$AJ$167,TRUE)-_xlfn.NORM.DIST(AH$30,economics!$AK$2:$AK$167,economics!$AJ$2:$AJ$167,TRUE)))),"")</f>
        <v/>
      </c>
      <c r="AI53">
        <f t="array" ref="AI53">IFERROR((SUMPRODUCT((economics!$AG$2:$AG$167=$B53)*(economics!$D$2:$D$167="whr")*economics!$AI$2:$AI$167*(_xlfn.NORM.DIST(AI$3,economics!$AK$2:$AK$167,economics!$AJ$2:$AJ$167,TRUE)-_xlfn.NORM.DIST(AI$30,economics!$AK$2:$AK$167,economics!$AJ$2:$AJ$167,TRUE))*economics!$AM$2:$AM$167))/(SUMPRODUCT((economics!$AG$2:$AG$167=$B53)*(economics!$D$2:$D$167="whr")*economics!$AI$2:$AI$167*(_xlfn.NORM.DIST(AI$3,economics!$AK$2:$AK$167,economics!$AJ$2:$AJ$167,TRUE)-_xlfn.NORM.DIST(AI$30,economics!$AK$2:$AK$167,economics!$AJ$2:$AJ$167,TRUE)))),"")</f>
        <v/>
      </c>
      <c r="AJ53">
        <f t="array" ref="AJ53">IFERROR((SUMPRODUCT((economics!$AG$2:$AG$167=$B53)*(economics!$D$2:$D$167="whr")*economics!$AI$2:$AI$167*(_xlfn.NORM.DIST(AJ$3,economics!$AK$2:$AK$167,economics!$AJ$2:$AJ$167,TRUE)-_xlfn.NORM.DIST(AJ$30,economics!$AK$2:$AK$167,economics!$AJ$2:$AJ$167,TRUE))*economics!$AM$2:$AM$167))/(SUMPRODUCT((economics!$AG$2:$AG$167=$B53)*(economics!$D$2:$D$167="whr")*economics!$AI$2:$AI$167*(_xlfn.NORM.DIST(AJ$3,economics!$AK$2:$AK$167,economics!$AJ$2:$AJ$167,TRUE)-_xlfn.NORM.DIST(AJ$30,economics!$AK$2:$AK$167,economics!$AJ$2:$AJ$167,TRUE)))),"")</f>
        <v/>
      </c>
      <c r="AK53">
        <f t="array" ref="AK53">IFERROR((SUMPRODUCT((economics!$AG$2:$AG$167=$B53)*(economics!$D$2:$D$167="whr")*economics!$AI$2:$AI$167*(_xlfn.NORM.DIST(AK$3,economics!$AK$2:$AK$167,economics!$AJ$2:$AJ$167,TRUE)-_xlfn.NORM.DIST(AK$30,economics!$AK$2:$AK$167,economics!$AJ$2:$AJ$167,TRUE))*economics!$AM$2:$AM$167))/(SUMPRODUCT((economics!$AG$2:$AG$167=$B53)*(economics!$D$2:$D$167="whr")*economics!$AI$2:$AI$167*(_xlfn.NORM.DIST(AK$3,economics!$AK$2:$AK$167,economics!$AJ$2:$AJ$167,TRUE)-_xlfn.NORM.DIST(AK$30,economics!$AK$2:$AK$167,economics!$AJ$2:$AJ$167,TRUE)))),"")</f>
        <v/>
      </c>
      <c r="AL53">
        <f t="array" ref="AL53">IFERROR((SUMPRODUCT((economics!$AG$2:$AG$167=$B53)*(economics!$D$2:$D$167="whr")*economics!$AI$2:$AI$167*(_xlfn.NORM.DIST(AL$3,economics!$AK$2:$AK$167,economics!$AJ$2:$AJ$167,TRUE)-_xlfn.NORM.DIST(AL$30,economics!$AK$2:$AK$167,economics!$AJ$2:$AJ$167,TRUE))*economics!$AM$2:$AM$167))/(SUMPRODUCT((economics!$AG$2:$AG$167=$B53)*(economics!$D$2:$D$167="whr")*economics!$AI$2:$AI$167*(_xlfn.NORM.DIST(AL$3,economics!$AK$2:$AK$167,economics!$AJ$2:$AJ$167,TRUE)-_xlfn.NORM.DIST(AL$30,economics!$AK$2:$AK$167,economics!$AJ$2:$AJ$167,TRUE)))),"")</f>
        <v/>
      </c>
      <c r="AM53">
        <f t="array" ref="AM53">IFERROR((SUMPRODUCT((economics!$AG$2:$AG$167=$B53)*(economics!$D$2:$D$167="whr")*economics!$AI$2:$AI$167*(_xlfn.NORM.DIST(AM$3,economics!$AK$2:$AK$167,economics!$AJ$2:$AJ$167,TRUE)-_xlfn.NORM.DIST(AM$30,economics!$AK$2:$AK$167,economics!$AJ$2:$AJ$167,TRUE))*economics!$AM$2:$AM$167))/(SUMPRODUCT((economics!$AG$2:$AG$167=$B53)*(economics!$D$2:$D$167="whr")*economics!$AI$2:$AI$167*(_xlfn.NORM.DIST(AM$3,economics!$AK$2:$AK$167,economics!$AJ$2:$AJ$167,TRUE)-_xlfn.NORM.DIST(AM$30,economics!$AK$2:$AK$167,economics!$AJ$2:$AJ$167,TRUE)))),"")</f>
        <v/>
      </c>
      <c r="AN53">
        <f t="array" ref="AN53">IFERROR((SUMPRODUCT((economics!$AG$2:$AG$167=$B53)*(economics!$D$2:$D$167="whr")*economics!$AI$2:$AI$167*(_xlfn.NORM.DIST(AN$3,economics!$AK$2:$AK$167,economics!$AJ$2:$AJ$167,TRUE)-_xlfn.NORM.DIST(AN$30,economics!$AK$2:$AK$167,economics!$AJ$2:$AJ$167,TRUE))*economics!$AM$2:$AM$167))/(SUMPRODUCT((economics!$AG$2:$AG$167=$B53)*(economics!$D$2:$D$167="whr")*economics!$AI$2:$AI$167*(_xlfn.NORM.DIST(AN$3,economics!$AK$2:$AK$167,economics!$AJ$2:$AJ$167,TRUE)-_xlfn.NORM.DIST(AN$30,economics!$AK$2:$AK$167,economics!$AJ$2:$AJ$167,TRUE)))),"")</f>
        <v/>
      </c>
      <c r="AO53">
        <f t="array" ref="AO53">IFERROR((SUMPRODUCT((economics!$AG$2:$AG$167=$B53)*(economics!$D$2:$D$167="whr")*economics!$AI$2:$AI$167*(_xlfn.NORM.DIST(AO$3,economics!$AK$2:$AK$167,economics!$AJ$2:$AJ$167,TRUE)-_xlfn.NORM.DIST(AO$30,economics!$AK$2:$AK$167,economics!$AJ$2:$AJ$167,TRUE))*economics!$AM$2:$AM$167))/(SUMPRODUCT((economics!$AG$2:$AG$167=$B53)*(economics!$D$2:$D$167="whr")*economics!$AI$2:$AI$167*(_xlfn.NORM.DIST(AO$3,economics!$AK$2:$AK$167,economics!$AJ$2:$AJ$167,TRUE)-_xlfn.NORM.DIST(AO$30,economics!$AK$2:$AK$167,economics!$AJ$2:$AJ$167,TRUE)))),"")</f>
        <v/>
      </c>
      <c r="AP53">
        <f t="array" ref="AP53">IFERROR((SUMPRODUCT((economics!$AG$2:$AG$167=$B53)*(economics!$D$2:$D$167="whr")*economics!$AI$2:$AI$167*(_xlfn.NORM.DIST(AP$3,economics!$AK$2:$AK$167,economics!$AJ$2:$AJ$167,TRUE)-_xlfn.NORM.DIST(AP$30,economics!$AK$2:$AK$167,economics!$AJ$2:$AJ$167,TRUE))*economics!$AM$2:$AM$167))/(SUMPRODUCT((economics!$AG$2:$AG$167=$B53)*(economics!$D$2:$D$167="whr")*economics!$AI$2:$AI$167*(_xlfn.NORM.DIST(AP$3,economics!$AK$2:$AK$167,economics!$AJ$2:$AJ$167,TRUE)-_xlfn.NORM.DIST(AP$30,economics!$AK$2:$AK$167,economics!$AJ$2:$AJ$167,TRUE)))),"")</f>
        <v/>
      </c>
      <c r="AQ53">
        <f t="array" ref="AQ53">IFERROR((SUMPRODUCT((economics!$AG$2:$AG$167=$B53)*(economics!$D$2:$D$167="whr")*economics!$AI$2:$AI$167*(_xlfn.NORM.DIST(AQ$3,economics!$AK$2:$AK$167,economics!$AJ$2:$AJ$167,TRUE)-_xlfn.NORM.DIST(AQ$30,economics!$AK$2:$AK$167,economics!$AJ$2:$AJ$167,TRUE))*economics!$AM$2:$AM$167))/(SUMPRODUCT((economics!$AG$2:$AG$167=$B53)*(economics!$D$2:$D$167="whr")*economics!$AI$2:$AI$167*(_xlfn.NORM.DIST(AQ$3,economics!$AK$2:$AK$167,economics!$AJ$2:$AJ$167,TRUE)-_xlfn.NORM.DIST(AQ$30,economics!$AK$2:$AK$167,economics!$AJ$2:$AJ$167,TRUE)))),"")</f>
        <v/>
      </c>
      <c r="AR53">
        <f t="array" ref="AR53">IFERROR((SUMPRODUCT((economics!$AG$2:$AG$167=$B53)*(economics!$D$2:$D$167="whr")*economics!$AI$2:$AI$167*(_xlfn.NORM.DIST(AR$3,economics!$AK$2:$AK$167,economics!$AJ$2:$AJ$167,TRUE)-_xlfn.NORM.DIST(AR$30,economics!$AK$2:$AK$167,economics!$AJ$2:$AJ$167,TRUE))*economics!$AM$2:$AM$167))/(SUMPRODUCT((economics!$AG$2:$AG$167=$B53)*(economics!$D$2:$D$167="whr")*economics!$AI$2:$AI$167*(_xlfn.NORM.DIST(AR$3,economics!$AK$2:$AK$167,economics!$AJ$2:$AJ$167,TRUE)-_xlfn.NORM.DIST(AR$30,economics!$AK$2:$AK$167,economics!$AJ$2:$AJ$167,TRUE)))),"")</f>
        <v/>
      </c>
      <c r="AS53">
        <f t="array" ref="AS53">IFERROR((SUMPRODUCT((economics!$AG$2:$AG$167=$B53)*(economics!$D$2:$D$167="whr")*economics!$AI$2:$AI$167*(_xlfn.NORM.DIST(AS$3,economics!$AK$2:$AK$167,economics!$AJ$2:$AJ$167,TRUE)-_xlfn.NORM.DIST(AS$30,economics!$AK$2:$AK$167,economics!$AJ$2:$AJ$167,TRUE))*economics!$AM$2:$AM$167))/(SUMPRODUCT((economics!$AG$2:$AG$167=$B53)*(economics!$D$2:$D$167="whr")*economics!$AI$2:$AI$167*(_xlfn.NORM.DIST(AS$3,economics!$AK$2:$AK$167,economics!$AJ$2:$AJ$167,TRUE)-_xlfn.NORM.DIST(AS$30,economics!$AK$2:$AK$167,economics!$AJ$2:$AJ$167,TRUE)))),"")</f>
        <v/>
      </c>
      <c r="AT53">
        <f t="array" ref="AT53">IFERROR((SUMPRODUCT((economics!$AG$2:$AG$167=$B53)*(economics!$D$2:$D$167="whr")*economics!$AI$2:$AI$167*(_xlfn.NORM.DIST(AT$3,economics!$AK$2:$AK$167,economics!$AJ$2:$AJ$167,TRUE)-_xlfn.NORM.DIST(AT$30,economics!$AK$2:$AK$167,economics!$AJ$2:$AJ$167,TRUE))*economics!$AM$2:$AM$167))/(SUMPRODUCT((economics!$AG$2:$AG$167=$B53)*(economics!$D$2:$D$167="whr")*economics!$AI$2:$AI$167*(_xlfn.NORM.DIST(AT$3,economics!$AK$2:$AK$167,economics!$AJ$2:$AJ$167,TRUE)-_xlfn.NORM.DIST(AT$30,economics!$AK$2:$AK$167,economics!$AJ$2:$AJ$167,TRUE)))),"")</f>
        <v/>
      </c>
      <c r="AU53">
        <f t="array" ref="AU53">IFERROR((SUMPRODUCT((economics!$AG$2:$AG$167=$B53)*(economics!$D$2:$D$167="whr")*economics!$AI$2:$AI$167*(_xlfn.NORM.DIST(AU$3,economics!$AK$2:$AK$167,economics!$AJ$2:$AJ$167,TRUE)-_xlfn.NORM.DIST(AU$30,economics!$AK$2:$AK$167,economics!$AJ$2:$AJ$167,TRUE))*economics!$AM$2:$AM$167))/(SUMPRODUCT((economics!$AG$2:$AG$167=$B53)*(economics!$D$2:$D$167="whr")*economics!$AI$2:$AI$167*(_xlfn.NORM.DIST(AU$3,economics!$AK$2:$AK$167,economics!$AJ$2:$AJ$167,TRUE)-_xlfn.NORM.DIST(AU$30,economics!$AK$2:$AK$167,economics!$AJ$2:$AJ$167,TRUE)))),"")</f>
        <v/>
      </c>
      <c r="AV53">
        <f t="array" ref="AV53">IFERROR((SUMPRODUCT((economics!$AG$2:$AG$167=$B53)*(economics!$D$2:$D$167="whr")*economics!$AI$2:$AI$167*(_xlfn.NORM.DIST(AV$3,economics!$AK$2:$AK$167,economics!$AJ$2:$AJ$167,TRUE)-_xlfn.NORM.DIST(AV$30,economics!$AK$2:$AK$167,economics!$AJ$2:$AJ$167,TRUE))*economics!$AM$2:$AM$167))/(SUMPRODUCT((economics!$AG$2:$AG$167=$B53)*(economics!$D$2:$D$167="whr")*economics!$AI$2:$AI$167*(_xlfn.NORM.DIST(AV$3,economics!$AK$2:$AK$167,economics!$AJ$2:$AJ$167,TRUE)-_xlfn.NORM.DIST(AV$30,economics!$AK$2:$AK$167,economics!$AJ$2:$AJ$167,TRUE)))),"")</f>
        <v/>
      </c>
      <c r="AW53">
        <f t="array" ref="AW53">IFERROR((SUMPRODUCT((economics!$AG$2:$AG$167=$B53)*(economics!$D$2:$D$167="whr")*economics!$AI$2:$AI$167*(_xlfn.NORM.DIST(AW$3,economics!$AK$2:$AK$167,economics!$AJ$2:$AJ$167,TRUE)-_xlfn.NORM.DIST(AW$30,economics!$AK$2:$AK$167,economics!$AJ$2:$AJ$167,TRUE))*economics!$AM$2:$AM$167))/(SUMPRODUCT((economics!$AG$2:$AG$167=$B53)*(economics!$D$2:$D$167="whr")*economics!$AI$2:$AI$167*(_xlfn.NORM.DIST(AW$3,economics!$AK$2:$AK$167,economics!$AJ$2:$AJ$167,TRUE)-_xlfn.NORM.DIST(AW$30,economics!$AK$2:$AK$167,economics!$AJ$2:$AJ$167,TRUE)))),"")</f>
        <v/>
      </c>
      <c r="AX53">
        <f t="array" ref="AX53">IFERROR((SUMPRODUCT((economics!$AG$2:$AG$167=$B53)*(economics!$D$2:$D$167="whr")*economics!$AI$2:$AI$167*(_xlfn.NORM.DIST(AX$3,economics!$AK$2:$AK$167,economics!$AJ$2:$AJ$167,TRUE)-_xlfn.NORM.DIST(AX$30,economics!$AK$2:$AK$167,economics!$AJ$2:$AJ$167,TRUE))*economics!$AM$2:$AM$167))/(SUMPRODUCT((economics!$AG$2:$AG$167=$B53)*(economics!$D$2:$D$167="whr")*economics!$AI$2:$AI$167*(_xlfn.NORM.DIST(AX$3,economics!$AK$2:$AK$167,economics!$AJ$2:$AJ$167,TRUE)-_xlfn.NORM.DIST(AX$30,economics!$AK$2:$AK$167,economics!$AJ$2:$AJ$167,TRUE)))),"")</f>
        <v/>
      </c>
      <c r="AY53">
        <f t="array" ref="AY53">IFERROR((SUMPRODUCT((economics!$AG$2:$AG$167=$B53)*(economics!$D$2:$D$167="whr")*economics!$AI$2:$AI$167*(_xlfn.NORM.DIST(AY$3,economics!$AK$2:$AK$167,economics!$AJ$2:$AJ$167,TRUE)-_xlfn.NORM.DIST(AY$30,economics!$AK$2:$AK$167,economics!$AJ$2:$AJ$167,TRUE))*economics!$AM$2:$AM$167))/(SUMPRODUCT((economics!$AG$2:$AG$167=$B53)*(economics!$D$2:$D$167="whr")*economics!$AI$2:$AI$167*(_xlfn.NORM.DIST(AY$3,economics!$AK$2:$AK$167,economics!$AJ$2:$AJ$167,TRUE)-_xlfn.NORM.DIST(AY$30,economics!$AK$2:$AK$167,economics!$AJ$2:$AJ$167,TRUE)))),"")</f>
        <v/>
      </c>
      <c r="AZ53">
        <f t="array" ref="AZ53">IFERROR((SUMPRODUCT((economics!$AG$2:$AG$167=$B53)*(economics!$D$2:$D$167="whr")*economics!$AI$2:$AI$167*(_xlfn.NORM.DIST(AZ$3,economics!$AK$2:$AK$167,economics!$AJ$2:$AJ$167,TRUE)-_xlfn.NORM.DIST(AZ$30,economics!$AK$2:$AK$167,economics!$AJ$2:$AJ$167,TRUE))*economics!$AM$2:$AM$167))/(SUMPRODUCT((economics!$AG$2:$AG$167=$B53)*(economics!$D$2:$D$167="whr")*economics!$AI$2:$AI$167*(_xlfn.NORM.DIST(AZ$3,economics!$AK$2:$AK$167,economics!$AJ$2:$AJ$167,TRUE)-_xlfn.NORM.DIST(AZ$30,economics!$AK$2:$AK$167,economics!$AJ$2:$AJ$167,TRUE)))),"")</f>
        <v/>
      </c>
      <c r="BA53">
        <f t="array" ref="BA53">IFERROR((SUMPRODUCT((economics!$AG$2:$AG$167=$B53)*(economics!$D$2:$D$167="whr")*economics!$AI$2:$AI$167*(_xlfn.NORM.DIST(BA$3,economics!$AK$2:$AK$167,economics!$AJ$2:$AJ$167,TRUE)-_xlfn.NORM.DIST(BA$30,economics!$AK$2:$AK$167,economics!$AJ$2:$AJ$167,TRUE))*economics!$AM$2:$AM$167))/(SUMPRODUCT((economics!$AG$2:$AG$167=$B53)*(economics!$D$2:$D$167="whr")*economics!$AI$2:$AI$167*(_xlfn.NORM.DIST(BA$3,economics!$AK$2:$AK$167,economics!$AJ$2:$AJ$167,TRUE)-_xlfn.NORM.DIST(BA$30,economics!$AK$2:$AK$167,economics!$AJ$2:$AJ$167,TRUE)))),"")</f>
        <v/>
      </c>
      <c r="BB53">
        <f t="array" ref="BB53">IFERROR((SUMPRODUCT((economics!$AG$2:$AG$167=$B53)*(economics!$D$2:$D$167="whr")*economics!$AI$2:$AI$167*(_xlfn.NORM.DIST(BB$3,economics!$AK$2:$AK$167,economics!$AJ$2:$AJ$167,TRUE)-_xlfn.NORM.DIST(BB$30,economics!$AK$2:$AK$167,economics!$AJ$2:$AJ$167,TRUE))*economics!$AM$2:$AM$167))/(SUMPRODUCT((economics!$AG$2:$AG$167=$B53)*(economics!$D$2:$D$167="whr")*economics!$AI$2:$AI$167*(_xlfn.NORM.DIST(BB$3,economics!$AK$2:$AK$167,economics!$AJ$2:$AJ$167,TRUE)-_xlfn.NORM.DIST(BB$30,economics!$AK$2:$AK$167,economics!$AJ$2:$AJ$167,TRUE)))),"")</f>
        <v/>
      </c>
      <c r="BC53">
        <f t="array" ref="BC53">IFERROR((SUMPRODUCT((economics!$AG$2:$AG$167=$B53)*(economics!$D$2:$D$167="whr")*economics!$AI$2:$AI$167*(_xlfn.NORM.DIST(BC$3,economics!$AK$2:$AK$167,economics!$AJ$2:$AJ$167,TRUE)-_xlfn.NORM.DIST(BC$30,economics!$AK$2:$AK$167,economics!$AJ$2:$AJ$167,TRUE))*economics!$AM$2:$AM$167))/(SUMPRODUCT((economics!$AG$2:$AG$167=$B53)*(economics!$D$2:$D$167="whr")*economics!$AI$2:$AI$167*(_xlfn.NORM.DIST(BC$3,economics!$AK$2:$AK$167,economics!$AJ$2:$AJ$167,TRUE)-_xlfn.NORM.DIST(BC$30,economics!$AK$2:$AK$167,economics!$AJ$2:$AJ$167,TRUE)))),"")</f>
        <v/>
      </c>
      <c r="BD53">
        <f t="array" ref="BD53">IFERROR((SUMPRODUCT((economics!$AG$2:$AG$167=$B53)*(economics!$D$2:$D$167="whr")*economics!$AI$2:$AI$167*(_xlfn.NORM.DIST(BD$3,economics!$AK$2:$AK$167,economics!$AJ$2:$AJ$167,TRUE)-_xlfn.NORM.DIST(BD$30,economics!$AK$2:$AK$167,economics!$AJ$2:$AJ$167,TRUE))*economics!$AM$2:$AM$167))/(SUMPRODUCT((economics!$AG$2:$AG$167=$B53)*(economics!$D$2:$D$167="whr")*economics!$AI$2:$AI$167*(_xlfn.NORM.DIST(BD$3,economics!$AK$2:$AK$167,economics!$AJ$2:$AJ$167,TRUE)-_xlfn.NORM.DIST(BD$30,economics!$AK$2:$AK$167,economics!$AJ$2:$AJ$167,TRUE)))),"")</f>
        <v/>
      </c>
      <c r="BE53">
        <f t="array" ref="BE53">IFERROR((SUMPRODUCT((economics!$AG$2:$AG$167=$B53)*(economics!$D$2:$D$167="whr")*economics!$AI$2:$AI$167*(_xlfn.NORM.DIST(BE$3,economics!$AK$2:$AK$167,economics!$AJ$2:$AJ$167,TRUE)-_xlfn.NORM.DIST(BE$30,economics!$AK$2:$AK$167,economics!$AJ$2:$AJ$167,TRUE))*economics!$AM$2:$AM$167))/(SUMPRODUCT((economics!$AG$2:$AG$167=$B53)*(economics!$D$2:$D$167="whr")*economics!$AI$2:$AI$167*(_xlfn.NORM.DIST(BE$3,economics!$AK$2:$AK$167,economics!$AJ$2:$AJ$167,TRUE)-_xlfn.NORM.DIST(BE$30,economics!$AK$2:$AK$167,economics!$AJ$2:$AJ$167,TRUE)))),"")</f>
        <v/>
      </c>
      <c r="BF53">
        <f t="array" ref="BF53">IFERROR((SUMPRODUCT((economics!$AG$2:$AG$167=$B53)*(economics!$D$2:$D$167="whr")*economics!$AI$2:$AI$167*(_xlfn.NORM.DIST(BF$3,economics!$AK$2:$AK$167,economics!$AJ$2:$AJ$167,TRUE)-_xlfn.NORM.DIST(BF$30,economics!$AK$2:$AK$167,economics!$AJ$2:$AJ$167,TRUE))*economics!$AM$2:$AM$167))/(SUMPRODUCT((economics!$AG$2:$AG$167=$B53)*(economics!$D$2:$D$167="whr")*economics!$AI$2:$AI$167*(_xlfn.NORM.DIST(BF$3,economics!$AK$2:$AK$167,economics!$AJ$2:$AJ$167,TRUE)-_xlfn.NORM.DIST(BF$30,economics!$AK$2:$AK$167,economics!$AJ$2:$AJ$167,TRUE)))),"")</f>
        <v/>
      </c>
      <c r="BG53">
        <f t="array" ref="BG53">IFERROR((SUMPRODUCT((economics!$AG$2:$AG$167=$B53)*(economics!$D$2:$D$167="whr")*economics!$AI$2:$AI$167*(_xlfn.NORM.DIST(BG$3,economics!$AK$2:$AK$167,economics!$AJ$2:$AJ$167,TRUE)-_xlfn.NORM.DIST(BG$30,economics!$AK$2:$AK$167,economics!$AJ$2:$AJ$167,TRUE))*economics!$AM$2:$AM$167))/(SUMPRODUCT((economics!$AG$2:$AG$167=$B53)*(economics!$D$2:$D$167="whr")*economics!$AI$2:$AI$167*(_xlfn.NORM.DIST(BG$3,economics!$AK$2:$AK$167,economics!$AJ$2:$AJ$167,TRUE)-_xlfn.NORM.DIST(BG$30,economics!$AK$2:$AK$167,economics!$AJ$2:$AJ$167,TRUE)))),"")</f>
        <v/>
      </c>
      <c r="BH53">
        <f t="array" ref="BH53">IFERROR((SUMPRODUCT((economics!$AG$2:$AG$167=$B53)*(economics!$D$2:$D$167="whr")*economics!$AI$2:$AI$167*(_xlfn.NORM.DIST(BH$3,economics!$AK$2:$AK$167,economics!$AJ$2:$AJ$167,TRUE)-_xlfn.NORM.DIST(BH$30,economics!$AK$2:$AK$167,economics!$AJ$2:$AJ$167,TRUE))*economics!$AM$2:$AM$167))/(SUMPRODUCT((economics!$AG$2:$AG$167=$B53)*(economics!$D$2:$D$167="whr")*economics!$AI$2:$AI$167*(_xlfn.NORM.DIST(BH$3,economics!$AK$2:$AK$167,economics!$AJ$2:$AJ$167,TRUE)-_xlfn.NORM.DIST(BH$30,economics!$AK$2:$AK$167,economics!$AJ$2:$AJ$167,TRUE)))),"")</f>
        <v/>
      </c>
      <c r="BI53">
        <f t="array" ref="BI53">IFERROR((SUMPRODUCT((economics!$AG$2:$AG$167=$B53)*(economics!$D$2:$D$167="whr")*economics!$AI$2:$AI$167*(_xlfn.NORM.DIST(BI$3,economics!$AK$2:$AK$167,economics!$AJ$2:$AJ$167,TRUE)-_xlfn.NORM.DIST(BI$30,economics!$AK$2:$AK$167,economics!$AJ$2:$AJ$167,TRUE))*economics!$AM$2:$AM$167))/(SUMPRODUCT((economics!$AG$2:$AG$167=$B53)*(economics!$D$2:$D$167="whr")*economics!$AI$2:$AI$167*(_xlfn.NORM.DIST(BI$3,economics!$AK$2:$AK$167,economics!$AJ$2:$AJ$167,TRUE)-_xlfn.NORM.DIST(BI$30,economics!$AK$2:$AK$167,economics!$AJ$2:$AJ$167,TRUE)))),"")</f>
        <v/>
      </c>
      <c r="BJ53">
        <f t="array" ref="BJ53">IFERROR((SUMPRODUCT((economics!$AG$2:$AG$167=$B53)*(economics!$D$2:$D$167="whr")*economics!$AI$2:$AI$167*(_xlfn.NORM.DIST(BJ$3,economics!$AK$2:$AK$167,economics!$AJ$2:$AJ$167,TRUE)-_xlfn.NORM.DIST(BJ$30,economics!$AK$2:$AK$167,economics!$AJ$2:$AJ$167,TRUE))*economics!$AM$2:$AM$167))/(SUMPRODUCT((economics!$AG$2:$AG$167=$B53)*(economics!$D$2:$D$167="whr")*economics!$AI$2:$AI$167*(_xlfn.NORM.DIST(BJ$3,economics!$AK$2:$AK$167,economics!$AJ$2:$AJ$167,TRUE)-_xlfn.NORM.DIST(BJ$30,economics!$AK$2:$AK$167,economics!$AJ$2:$AJ$167,TRUE)))),"")</f>
        <v/>
      </c>
      <c r="BK53">
        <f t="array" ref="BK53">IFERROR((SUMPRODUCT((economics!$AG$2:$AG$167=$B53)*(economics!$D$2:$D$167="whr")*economics!$AI$2:$AI$167*(_xlfn.NORM.DIST(BK$3,economics!$AK$2:$AK$167,economics!$AJ$2:$AJ$167,TRUE)-_xlfn.NORM.DIST(BK$30,economics!$AK$2:$AK$167,economics!$AJ$2:$AJ$167,TRUE))*economics!$AM$2:$AM$167))/(SUMPRODUCT((economics!$AG$2:$AG$167=$B53)*(economics!$D$2:$D$167="whr")*economics!$AI$2:$AI$167*(_xlfn.NORM.DIST(BK$3,economics!$AK$2:$AK$167,economics!$AJ$2:$AJ$167,TRUE)-_xlfn.NORM.DIST(BK$30,economics!$AK$2:$AK$167,economics!$AJ$2:$AJ$167,TRUE)))),"")</f>
        <v/>
      </c>
      <c r="BL53">
        <f t="array" ref="BL53">IFERROR((SUMPRODUCT((economics!$AG$2:$AG$167=$B53)*(economics!$D$2:$D$167="whr")*economics!$AI$2:$AI$167*(_xlfn.NORM.DIST(BL$3,economics!$AK$2:$AK$167,economics!$AJ$2:$AJ$167,TRUE)-_xlfn.NORM.DIST(BL$30,economics!$AK$2:$AK$167,economics!$AJ$2:$AJ$167,TRUE))*economics!$AM$2:$AM$167))/(SUMPRODUCT((economics!$AG$2:$AG$167=$B53)*(economics!$D$2:$D$167="whr")*economics!$AI$2:$AI$167*(_xlfn.NORM.DIST(BL$3,economics!$AK$2:$AK$167,economics!$AJ$2:$AJ$167,TRUE)-_xlfn.NORM.DIST(BL$30,economics!$AK$2:$AK$167,economics!$AJ$2:$AJ$167,TRUE)))),"")</f>
        <v/>
      </c>
      <c r="BM53">
        <f t="array" ref="BM53">IFERROR((SUMPRODUCT((economics!$AG$2:$AG$167=$B53)*(economics!$D$2:$D$167="whr")*economics!$AI$2:$AI$167*(_xlfn.NORM.DIST(BM$3,economics!$AK$2:$AK$167,economics!$AJ$2:$AJ$167,TRUE)-_xlfn.NORM.DIST(BM$30,economics!$AK$2:$AK$167,economics!$AJ$2:$AJ$167,TRUE))*economics!$AM$2:$AM$167))/(SUMPRODUCT((economics!$AG$2:$AG$167=$B53)*(economics!$D$2:$D$167="whr")*economics!$AI$2:$AI$167*(_xlfn.NORM.DIST(BM$3,economics!$AK$2:$AK$167,economics!$AJ$2:$AJ$167,TRUE)-_xlfn.NORM.DIST(BM$30,economics!$AK$2:$AK$167,economics!$AJ$2:$AJ$167,TRUE)))),"")</f>
        <v/>
      </c>
      <c r="BN53">
        <f t="array" ref="BN53">IFERROR((SUMPRODUCT((economics!$AG$2:$AG$167=$B53)*(economics!$D$2:$D$167="whr")*economics!$AI$2:$AI$167*(_xlfn.NORM.DIST(BN$3,economics!$AK$2:$AK$167,economics!$AJ$2:$AJ$167,TRUE)-_xlfn.NORM.DIST(BN$30,economics!$AK$2:$AK$167,economics!$AJ$2:$AJ$167,TRUE))*economics!$AM$2:$AM$167))/(SUMPRODUCT((economics!$AG$2:$AG$167=$B53)*(economics!$D$2:$D$167="whr")*economics!$AI$2:$AI$167*(_xlfn.NORM.DIST(BN$3,economics!$AK$2:$AK$167,economics!$AJ$2:$AJ$167,TRUE)-_xlfn.NORM.DIST(BN$30,economics!$AK$2:$AK$167,economics!$AJ$2:$AJ$167,TRUE)))),"")</f>
        <v/>
      </c>
      <c r="BO53">
        <f t="array" ref="BO53">IFERROR((SUMPRODUCT((economics!$AG$2:$AG$167=$B53)*(economics!$D$2:$D$167="whr")*economics!$AI$2:$AI$167*(_xlfn.NORM.DIST(BO$3,economics!$AK$2:$AK$167,economics!$AJ$2:$AJ$167,TRUE)-_xlfn.NORM.DIST(BO$30,economics!$AK$2:$AK$167,economics!$AJ$2:$AJ$167,TRUE))*economics!$AM$2:$AM$167))/(SUMPRODUCT((economics!$AG$2:$AG$167=$B53)*(economics!$D$2:$D$167="whr")*economics!$AI$2:$AI$167*(_xlfn.NORM.DIST(BO$3,economics!$AK$2:$AK$167,economics!$AJ$2:$AJ$167,TRUE)-_xlfn.NORM.DIST(BO$30,economics!$AK$2:$AK$167,economics!$AJ$2:$AJ$167,TRUE)))),"")</f>
        <v/>
      </c>
      <c r="BP53">
        <f t="array" ref="BP53">IFERROR((SUMPRODUCT((economics!$AG$2:$AG$167=$B53)*(economics!$D$2:$D$167="whr")*economics!$AI$2:$AI$167*(_xlfn.NORM.DIST(BP$3,economics!$AK$2:$AK$167,economics!$AJ$2:$AJ$167,TRUE)-_xlfn.NORM.DIST(BP$30,economics!$AK$2:$AK$167,economics!$AJ$2:$AJ$167,TRUE))*economics!$AM$2:$AM$167))/(SUMPRODUCT((economics!$AG$2:$AG$167=$B53)*(economics!$D$2:$D$167="whr")*economics!$AI$2:$AI$167*(_xlfn.NORM.DIST(BP$3,economics!$AK$2:$AK$167,economics!$AJ$2:$AJ$167,TRUE)-_xlfn.NORM.DIST(BP$30,economics!$AK$2:$AK$167,economics!$AJ$2:$AJ$167,TRUE)))),"")</f>
        <v/>
      </c>
      <c r="BQ53">
        <f t="array" ref="BQ53">IFERROR((SUMPRODUCT((economics!$AG$2:$AG$167=$B53)*(economics!$D$2:$D$167="whr")*economics!$AI$2:$AI$167*(_xlfn.NORM.DIST(BQ$3,economics!$AK$2:$AK$167,economics!$AJ$2:$AJ$167,TRUE)-_xlfn.NORM.DIST(BQ$30,economics!$AK$2:$AK$167,economics!$AJ$2:$AJ$167,TRUE))*economics!$AM$2:$AM$167))/(SUMPRODUCT((economics!$AG$2:$AG$167=$B53)*(economics!$D$2:$D$167="whr")*economics!$AI$2:$AI$167*(_xlfn.NORM.DIST(BQ$3,economics!$AK$2:$AK$167,economics!$AJ$2:$AJ$167,TRUE)-_xlfn.NORM.DIST(BQ$30,economics!$AK$2:$AK$167,economics!$AJ$2:$AJ$167,TRUE)))),"")</f>
        <v/>
      </c>
      <c r="BR53">
        <f t="array" ref="BR53">IFERROR((SUMPRODUCT((economics!$AG$2:$AG$167=$B53)*(economics!$D$2:$D$167="whr")*economics!$AI$2:$AI$167*(_xlfn.NORM.DIST(BR$3,economics!$AK$2:$AK$167,economics!$AJ$2:$AJ$167,TRUE)-_xlfn.NORM.DIST(BR$30,economics!$AK$2:$AK$167,economics!$AJ$2:$AJ$167,TRUE))*economics!$AM$2:$AM$167))/(SUMPRODUCT((economics!$AG$2:$AG$167=$B53)*(economics!$D$2:$D$167="whr")*economics!$AI$2:$AI$167*(_xlfn.NORM.DIST(BR$3,economics!$AK$2:$AK$167,economics!$AJ$2:$AJ$167,TRUE)-_xlfn.NORM.DIST(BR$30,economics!$AK$2:$AK$167,economics!$AJ$2:$AJ$167,TRUE)))),"")</f>
        <v/>
      </c>
      <c r="BS53">
        <f t="array" ref="BS53">IFERROR((SUMPRODUCT((economics!$AG$2:$AG$167=$B53)*(economics!$D$2:$D$167="whr")*economics!$AI$2:$AI$167*(_xlfn.NORM.DIST(BS$3,economics!$AK$2:$AK$167,economics!$AJ$2:$AJ$167,TRUE)-_xlfn.NORM.DIST(BS$30,economics!$AK$2:$AK$167,economics!$AJ$2:$AJ$167,TRUE))*economics!$AM$2:$AM$167))/(SUMPRODUCT((economics!$AG$2:$AG$167=$B53)*(economics!$D$2:$D$167="whr")*economics!$AI$2:$AI$167*(_xlfn.NORM.DIST(BS$3,economics!$AK$2:$AK$167,economics!$AJ$2:$AJ$167,TRUE)-_xlfn.NORM.DIST(BS$30,economics!$AK$2:$AK$167,economics!$AJ$2:$AJ$167,TRUE)))),"")</f>
        <v/>
      </c>
      <c r="BT53">
        <f t="array" ref="BT53">IFERROR((SUMPRODUCT((economics!$AG$2:$AG$167=$B53)*(economics!$D$2:$D$167="whr")*economics!$AI$2:$AI$167*(_xlfn.NORM.DIST(BT$3,economics!$AK$2:$AK$167,economics!$AJ$2:$AJ$167,TRUE)-_xlfn.NORM.DIST(BT$30,economics!$AK$2:$AK$167,economics!$AJ$2:$AJ$167,TRUE))*economics!$AM$2:$AM$167))/(SUMPRODUCT((economics!$AG$2:$AG$167=$B53)*(economics!$D$2:$D$167="whr")*economics!$AI$2:$AI$167*(_xlfn.NORM.DIST(BT$3,economics!$AK$2:$AK$167,economics!$AJ$2:$AJ$167,TRUE)-_xlfn.NORM.DIST(BT$30,economics!$AK$2:$AK$167,economics!$AJ$2:$AJ$167,TRUE)))),"")</f>
        <v/>
      </c>
      <c r="BU53">
        <f t="array" ref="BU53">IFERROR((SUMPRODUCT((economics!$AG$2:$AG$167=$B53)*(economics!$D$2:$D$167="whr")*economics!$AI$2:$AI$167*(_xlfn.NORM.DIST(BU$3,economics!$AK$2:$AK$167,economics!$AJ$2:$AJ$167,TRUE)-_xlfn.NORM.DIST(BU$30,economics!$AK$2:$AK$167,economics!$AJ$2:$AJ$167,TRUE))*economics!$AM$2:$AM$167))/(SUMPRODUCT((economics!$AG$2:$AG$167=$B53)*(economics!$D$2:$D$167="whr")*economics!$AI$2:$AI$167*(_xlfn.NORM.DIST(BU$3,economics!$AK$2:$AK$167,economics!$AJ$2:$AJ$167,TRUE)-_xlfn.NORM.DIST(BU$30,economics!$AK$2:$AK$167,economics!$AJ$2:$AJ$167,TRUE)))),"")</f>
        <v/>
      </c>
      <c r="BV53">
        <f t="array" ref="BV53">IFERROR((SUMPRODUCT((economics!$AG$2:$AG$167=$B53)*(economics!$D$2:$D$167="whr")*economics!$AI$2:$AI$167*(_xlfn.NORM.DIST(BV$3,economics!$AK$2:$AK$167,economics!$AJ$2:$AJ$167,TRUE)-_xlfn.NORM.DIST(BV$30,economics!$AK$2:$AK$167,economics!$AJ$2:$AJ$167,TRUE))*economics!$AM$2:$AM$167))/(SUMPRODUCT((economics!$AG$2:$AG$167=$B53)*(economics!$D$2:$D$167="whr")*economics!$AI$2:$AI$167*(_xlfn.NORM.DIST(BV$3,economics!$AK$2:$AK$167,economics!$AJ$2:$AJ$167,TRUE)-_xlfn.NORM.DIST(BV$30,economics!$AK$2:$AK$167,economics!$AJ$2:$AJ$167,TRUE)))),"")</f>
        <v/>
      </c>
      <c r="BW53">
        <f t="array" ref="BW53">IFERROR((SUMPRODUCT((economics!$AG$2:$AG$167=$B53)*(economics!$D$2:$D$167="whr")*economics!$AI$2:$AI$167*(_xlfn.NORM.DIST(BW$3,economics!$AK$2:$AK$167,economics!$AJ$2:$AJ$167,TRUE)-_xlfn.NORM.DIST(BW$30,economics!$AK$2:$AK$167,economics!$AJ$2:$AJ$167,TRUE))*economics!$AM$2:$AM$167))/(SUMPRODUCT((economics!$AG$2:$AG$167=$B53)*(economics!$D$2:$D$167="whr")*economics!$AI$2:$AI$167*(_xlfn.NORM.DIST(BW$3,economics!$AK$2:$AK$167,economics!$AJ$2:$AJ$167,TRUE)-_xlfn.NORM.DIST(BW$30,economics!$AK$2:$AK$167,economics!$AJ$2:$AJ$167,TRUE)))),"")</f>
        <v/>
      </c>
      <c r="BX53">
        <f t="array" ref="BX53">IFERROR((SUMPRODUCT((economics!$AG$2:$AG$167=$B53)*(economics!$D$2:$D$167="whr")*economics!$AI$2:$AI$167*(_xlfn.NORM.DIST(BX$3,economics!$AK$2:$AK$167,economics!$AJ$2:$AJ$167,TRUE)-_xlfn.NORM.DIST(BX$30,economics!$AK$2:$AK$167,economics!$AJ$2:$AJ$167,TRUE))*economics!$AM$2:$AM$167))/(SUMPRODUCT((economics!$AG$2:$AG$167=$B53)*(economics!$D$2:$D$167="whr")*economics!$AI$2:$AI$167*(_xlfn.NORM.DIST(BX$3,economics!$AK$2:$AK$167,economics!$AJ$2:$AJ$167,TRUE)-_xlfn.NORM.DIST(BX$30,economics!$AK$2:$AK$167,economics!$AJ$2:$AJ$167,TRUE)))),"")</f>
        <v/>
      </c>
      <c r="BY53">
        <f t="array" ref="BY53">IFERROR((SUMPRODUCT((economics!$AG$2:$AG$167=$B53)*(economics!$D$2:$D$167="whr")*economics!$AI$2:$AI$167*(_xlfn.NORM.DIST(BY$3,economics!$AK$2:$AK$167,economics!$AJ$2:$AJ$167,TRUE)-_xlfn.NORM.DIST(BY$30,economics!$AK$2:$AK$167,economics!$AJ$2:$AJ$167,TRUE))*economics!$AM$2:$AM$167))/(SUMPRODUCT((economics!$AG$2:$AG$167=$B53)*(economics!$D$2:$D$167="whr")*economics!$AI$2:$AI$167*(_xlfn.NORM.DIST(BY$3,economics!$AK$2:$AK$167,economics!$AJ$2:$AJ$167,TRUE)-_xlfn.NORM.DIST(BY$30,economics!$AK$2:$AK$167,economics!$AJ$2:$AJ$167,TRUE)))),"")</f>
        <v/>
      </c>
      <c r="BZ53">
        <f t="array" ref="BZ53">IFERROR((SUMPRODUCT((economics!$AG$2:$AG$167=$B53)*(economics!$D$2:$D$167="whr")*economics!$AI$2:$AI$167*(_xlfn.NORM.DIST(BZ$3,economics!$AK$2:$AK$167,economics!$AJ$2:$AJ$167,TRUE)-_xlfn.NORM.DIST(BZ$30,economics!$AK$2:$AK$167,economics!$AJ$2:$AJ$167,TRUE))*economics!$AM$2:$AM$167))/(SUMPRODUCT((economics!$AG$2:$AG$167=$B53)*(economics!$D$2:$D$167="whr")*economics!$AI$2:$AI$167*(_xlfn.NORM.DIST(BZ$3,economics!$AK$2:$AK$167,economics!$AJ$2:$AJ$167,TRUE)-_xlfn.NORM.DIST(BZ$30,economics!$AK$2:$AK$167,economics!$AJ$2:$AJ$167,TRUE)))),"")</f>
        <v/>
      </c>
      <c r="CA53">
        <f t="array" ref="CA53">IFERROR((SUMPRODUCT((economics!$AG$2:$AG$167=$B53)*(economics!$D$2:$D$167="whr")*economics!$AI$2:$AI$167*(_xlfn.NORM.DIST(CA$3,economics!$AK$2:$AK$167,economics!$AJ$2:$AJ$167,TRUE)-_xlfn.NORM.DIST(CA$30,economics!$AK$2:$AK$167,economics!$AJ$2:$AJ$167,TRUE))*economics!$AM$2:$AM$167))/(SUMPRODUCT((economics!$AG$2:$AG$167=$B53)*(economics!$D$2:$D$167="whr")*economics!$AI$2:$AI$167*(_xlfn.NORM.DIST(CA$3,economics!$AK$2:$AK$167,economics!$AJ$2:$AJ$167,TRUE)-_xlfn.NORM.DIST(CA$30,economics!$AK$2:$AK$167,economics!$AJ$2:$AJ$167,TRUE)))),"")</f>
        <v/>
      </c>
      <c r="CB53">
        <f t="array" ref="CB53">IFERROR((SUMPRODUCT((economics!$AG$2:$AG$167=$B53)*(economics!$D$2:$D$167="whr")*economics!$AI$2:$AI$167*(_xlfn.NORM.DIST(CB$3,economics!$AK$2:$AK$167,economics!$AJ$2:$AJ$167,TRUE)-_xlfn.NORM.DIST(CB$30,economics!$AK$2:$AK$167,economics!$AJ$2:$AJ$167,TRUE))*economics!$AM$2:$AM$167))/(SUMPRODUCT((economics!$AG$2:$AG$167=$B53)*(economics!$D$2:$D$167="whr")*economics!$AI$2:$AI$167*(_xlfn.NORM.DIST(CB$3,economics!$AK$2:$AK$167,economics!$AJ$2:$AJ$167,TRUE)-_xlfn.NORM.DIST(CB$30,economics!$AK$2:$AK$167,economics!$AJ$2:$AJ$167,TRUE)))),"")</f>
        <v/>
      </c>
      <c r="CC53">
        <f t="array" ref="CC53">IFERROR((SUMPRODUCT((economics!$AG$2:$AG$167=$B53)*(economics!$D$2:$D$167="whr")*economics!$AI$2:$AI$167*(_xlfn.NORM.DIST(CC$3,economics!$AK$2:$AK$167,economics!$AJ$2:$AJ$167,TRUE)-_xlfn.NORM.DIST(CC$30,economics!$AK$2:$AK$167,economics!$AJ$2:$AJ$167,TRUE))*economics!$AM$2:$AM$167))/(SUMPRODUCT((economics!$AG$2:$AG$167=$B53)*(economics!$D$2:$D$167="whr")*economics!$AI$2:$AI$167*(_xlfn.NORM.DIST(CC$3,economics!$AK$2:$AK$167,economics!$AJ$2:$AJ$167,TRUE)-_xlfn.NORM.DIST(CC$30,economics!$AK$2:$AK$167,economics!$AJ$2:$AJ$167,TRUE)))),"")</f>
        <v/>
      </c>
      <c r="CD53">
        <f t="array" ref="CD53">IFERROR((SUMPRODUCT((economics!$AG$2:$AG$167=$B53)*(economics!$D$2:$D$167="whr")*economics!$AI$2:$AI$167*(_xlfn.NORM.DIST(CD$3,economics!$AK$2:$AK$167,economics!$AJ$2:$AJ$167,TRUE)-_xlfn.NORM.DIST(CD$30,economics!$AK$2:$AK$167,economics!$AJ$2:$AJ$167,TRUE))*economics!$AM$2:$AM$167))/(SUMPRODUCT((economics!$AG$2:$AG$167=$B53)*(economics!$D$2:$D$167="whr")*economics!$AI$2:$AI$167*(_xlfn.NORM.DIST(CD$3,economics!$AK$2:$AK$167,economics!$AJ$2:$AJ$167,TRUE)-_xlfn.NORM.DIST(CD$30,economics!$AK$2:$AK$167,economics!$AJ$2:$AJ$167,TRUE)))),"")</f>
        <v/>
      </c>
      <c r="CE53">
        <f t="array" ref="CE53">IFERROR((SUMPRODUCT((economics!$AG$2:$AG$167=$B53)*(economics!$D$2:$D$167="whr")*economics!$AI$2:$AI$167*(_xlfn.NORM.DIST(CE$3,economics!$AK$2:$AK$167,economics!$AJ$2:$AJ$167,TRUE)-_xlfn.NORM.DIST(CE$30,economics!$AK$2:$AK$167,economics!$AJ$2:$AJ$167,TRUE))*economics!$AM$2:$AM$167))/(SUMPRODUCT((economics!$AG$2:$AG$167=$B53)*(economics!$D$2:$D$167="whr")*economics!$AI$2:$AI$167*(_xlfn.NORM.DIST(CE$3,economics!$AK$2:$AK$167,economics!$AJ$2:$AJ$167,TRUE)-_xlfn.NORM.DIST(CE$30,economics!$AK$2:$AK$167,economics!$AJ$2:$AJ$167,TRUE)))),"")</f>
        <v/>
      </c>
      <c r="CF53">
        <f t="array" ref="CF53">IFERROR((SUMPRODUCT((economics!$AG$2:$AG$167=$B53)*(economics!$D$2:$D$167="whr")*economics!$AI$2:$AI$167*(_xlfn.NORM.DIST(CF$3,economics!$AK$2:$AK$167,economics!$AJ$2:$AJ$167,TRUE)-_xlfn.NORM.DIST(CF$30,economics!$AK$2:$AK$167,economics!$AJ$2:$AJ$167,TRUE))*economics!$AM$2:$AM$167))/(SUMPRODUCT((economics!$AG$2:$AG$167=$B53)*(economics!$D$2:$D$167="whr")*economics!$AI$2:$AI$167*(_xlfn.NORM.DIST(CF$3,economics!$AK$2:$AK$167,economics!$AJ$2:$AJ$167,TRUE)-_xlfn.NORM.DIST(CF$30,economics!$AK$2:$AK$167,economics!$AJ$2:$AJ$167,TRUE)))),"")</f>
        <v/>
      </c>
      <c r="CG53">
        <f t="array" ref="CG53">IFERROR((SUMPRODUCT((economics!$AG$2:$AG$167=$B53)*(economics!$D$2:$D$167="whr")*economics!$AI$2:$AI$167*(_xlfn.NORM.DIST(CG$3,economics!$AK$2:$AK$167,economics!$AJ$2:$AJ$167,TRUE)-_xlfn.NORM.DIST(CG$30,economics!$AK$2:$AK$167,economics!$AJ$2:$AJ$167,TRUE))*economics!$AM$2:$AM$167))/(SUMPRODUCT((economics!$AG$2:$AG$167=$B53)*(economics!$D$2:$D$167="whr")*economics!$AI$2:$AI$167*(_xlfn.NORM.DIST(CG$3,economics!$AK$2:$AK$167,economics!$AJ$2:$AJ$167,TRUE)-_xlfn.NORM.DIST(CG$30,economics!$AK$2:$AK$167,economics!$AJ$2:$AJ$167,TRUE)))),"")</f>
        <v/>
      </c>
      <c r="CH53">
        <f t="array" ref="CH53">IFERROR((SUMPRODUCT((economics!$AG$2:$AG$167=$B53)*(economics!$D$2:$D$167="whr")*economics!$AI$2:$AI$167*(_xlfn.NORM.DIST(CH$3,economics!$AK$2:$AK$167,economics!$AJ$2:$AJ$167,TRUE)-_xlfn.NORM.DIST(CH$30,economics!$AK$2:$AK$167,economics!$AJ$2:$AJ$167,TRUE))*economics!$AM$2:$AM$167))/(SUMPRODUCT((economics!$AG$2:$AG$167=$B53)*(economics!$D$2:$D$167="whr")*economics!$AI$2:$AI$167*(_xlfn.NORM.DIST(CH$3,economics!$AK$2:$AK$167,economics!$AJ$2:$AJ$167,TRUE)-_xlfn.NORM.DIST(CH$30,economics!$AK$2:$AK$167,economics!$AJ$2:$AJ$167,TRUE)))),"")</f>
        <v/>
      </c>
    </row>
    <row r="54">
      <c r="A54">
        <f>A25</f>
        <v/>
      </c>
      <c r="B54">
        <f>B25</f>
        <v/>
      </c>
      <c r="E54">
        <f t="array" ref="E54">IFERROR((SUMPRODUCT((economics!$AG$2:$AG$167=$B54)*(economics!$D$2:$D$167="whr")*economics!$AI$2:$AI$167*(_xlfn.NORM.DIST(E$3,economics!$AK$2:$AK$167,economics!$AJ$2:$AJ$167,TRUE)-_xlfn.NORM.DIST(E$30,economics!$AK$2:$AK$167,economics!$AJ$2:$AJ$167,TRUE))*economics!$AM$2:$AM$167))/(SUMPRODUCT((economics!$AG$2:$AG$167=$B54)*(economics!$D$2:$D$167="whr")*economics!$AI$2:$AI$167*(_xlfn.NORM.DIST(E$3,economics!$AK$2:$AK$167,economics!$AJ$2:$AJ$167,TRUE)-_xlfn.NORM.DIST(E$30,economics!$AK$2:$AK$167,economics!$AJ$2:$AJ$167,TRUE)))),"")</f>
        <v/>
      </c>
      <c r="F54">
        <f t="array" ref="F54">IFERROR((SUMPRODUCT((economics!$AG$2:$AG$167=$B54)*(economics!$D$2:$D$167="whr")*economics!$AI$2:$AI$167*(_xlfn.NORM.DIST(F$3,economics!$AK$2:$AK$167,economics!$AJ$2:$AJ$167,TRUE)-_xlfn.NORM.DIST(F$30,economics!$AK$2:$AK$167,economics!$AJ$2:$AJ$167,TRUE))*economics!$AM$2:$AM$167))/(SUMPRODUCT((economics!$AG$2:$AG$167=$B54)*(economics!$D$2:$D$167="whr")*economics!$AI$2:$AI$167*(_xlfn.NORM.DIST(F$3,economics!$AK$2:$AK$167,economics!$AJ$2:$AJ$167,TRUE)-_xlfn.NORM.DIST(F$30,economics!$AK$2:$AK$167,economics!$AJ$2:$AJ$167,TRUE)))),"")</f>
        <v/>
      </c>
      <c r="G54">
        <f t="array" ref="G54">IFERROR((SUMPRODUCT((economics!$AG$2:$AG$167=$B54)*(economics!$D$2:$D$167="whr")*economics!$AI$2:$AI$167*(_xlfn.NORM.DIST(G$3,economics!$AK$2:$AK$167,economics!$AJ$2:$AJ$167,TRUE)-_xlfn.NORM.DIST(G$30,economics!$AK$2:$AK$167,economics!$AJ$2:$AJ$167,TRUE))*economics!$AM$2:$AM$167))/(SUMPRODUCT((economics!$AG$2:$AG$167=$B54)*(economics!$D$2:$D$167="whr")*economics!$AI$2:$AI$167*(_xlfn.NORM.DIST(G$3,economics!$AK$2:$AK$167,economics!$AJ$2:$AJ$167,TRUE)-_xlfn.NORM.DIST(G$30,economics!$AK$2:$AK$167,economics!$AJ$2:$AJ$167,TRUE)))),"")</f>
        <v/>
      </c>
      <c r="H54">
        <f t="array" ref="H54">IFERROR((SUMPRODUCT((economics!$AG$2:$AG$167=$B54)*(economics!$D$2:$D$167="whr")*economics!$AI$2:$AI$167*(_xlfn.NORM.DIST(H$3,economics!$AK$2:$AK$167,economics!$AJ$2:$AJ$167,TRUE)-_xlfn.NORM.DIST(H$30,economics!$AK$2:$AK$167,economics!$AJ$2:$AJ$167,TRUE))*economics!$AM$2:$AM$167))/(SUMPRODUCT((economics!$AG$2:$AG$167=$B54)*(economics!$D$2:$D$167="whr")*economics!$AI$2:$AI$167*(_xlfn.NORM.DIST(H$3,economics!$AK$2:$AK$167,economics!$AJ$2:$AJ$167,TRUE)-_xlfn.NORM.DIST(H$30,economics!$AK$2:$AK$167,economics!$AJ$2:$AJ$167,TRUE)))),"")</f>
        <v/>
      </c>
      <c r="I54">
        <f t="array" ref="I54">IFERROR((SUMPRODUCT((economics!$AG$2:$AG$167=$B54)*(economics!$D$2:$D$167="whr")*economics!$AI$2:$AI$167*(_xlfn.NORM.DIST(I$3,economics!$AK$2:$AK$167,economics!$AJ$2:$AJ$167,TRUE)-_xlfn.NORM.DIST(I$30,economics!$AK$2:$AK$167,economics!$AJ$2:$AJ$167,TRUE))*economics!$AM$2:$AM$167))/(SUMPRODUCT((economics!$AG$2:$AG$167=$B54)*(economics!$D$2:$D$167="whr")*economics!$AI$2:$AI$167*(_xlfn.NORM.DIST(I$3,economics!$AK$2:$AK$167,economics!$AJ$2:$AJ$167,TRUE)-_xlfn.NORM.DIST(I$30,economics!$AK$2:$AK$167,economics!$AJ$2:$AJ$167,TRUE)))),"")</f>
        <v/>
      </c>
      <c r="J54">
        <f t="array" ref="J54">IFERROR((SUMPRODUCT((economics!$AG$2:$AG$167=$B54)*(economics!$D$2:$D$167="whr")*economics!$AI$2:$AI$167*(_xlfn.NORM.DIST(J$3,economics!$AK$2:$AK$167,economics!$AJ$2:$AJ$167,TRUE)-_xlfn.NORM.DIST(J$30,economics!$AK$2:$AK$167,economics!$AJ$2:$AJ$167,TRUE))*economics!$AM$2:$AM$167))/(SUMPRODUCT((economics!$AG$2:$AG$167=$B54)*(economics!$D$2:$D$167="whr")*economics!$AI$2:$AI$167*(_xlfn.NORM.DIST(J$3,economics!$AK$2:$AK$167,economics!$AJ$2:$AJ$167,TRUE)-_xlfn.NORM.DIST(J$30,economics!$AK$2:$AK$167,economics!$AJ$2:$AJ$167,TRUE)))),"")</f>
        <v/>
      </c>
      <c r="K54">
        <f t="array" ref="K54">IFERROR((SUMPRODUCT((economics!$AG$2:$AG$167=$B54)*(economics!$D$2:$D$167="whr")*economics!$AI$2:$AI$167*(_xlfn.NORM.DIST(K$3,economics!$AK$2:$AK$167,economics!$AJ$2:$AJ$167,TRUE)-_xlfn.NORM.DIST(K$30,economics!$AK$2:$AK$167,economics!$AJ$2:$AJ$167,TRUE))*economics!$AM$2:$AM$167))/(SUMPRODUCT((economics!$AG$2:$AG$167=$B54)*(economics!$D$2:$D$167="whr")*economics!$AI$2:$AI$167*(_xlfn.NORM.DIST(K$3,economics!$AK$2:$AK$167,economics!$AJ$2:$AJ$167,TRUE)-_xlfn.NORM.DIST(K$30,economics!$AK$2:$AK$167,economics!$AJ$2:$AJ$167,TRUE)))),"")</f>
        <v/>
      </c>
      <c r="L54">
        <f t="array" ref="L54">IFERROR((SUMPRODUCT((economics!$AG$2:$AG$167=$B54)*(economics!$D$2:$D$167="whr")*economics!$AI$2:$AI$167*(_xlfn.NORM.DIST(L$3,economics!$AK$2:$AK$167,economics!$AJ$2:$AJ$167,TRUE)-_xlfn.NORM.DIST(L$30,economics!$AK$2:$AK$167,economics!$AJ$2:$AJ$167,TRUE))*economics!$AM$2:$AM$167))/(SUMPRODUCT((economics!$AG$2:$AG$167=$B54)*(economics!$D$2:$D$167="whr")*economics!$AI$2:$AI$167*(_xlfn.NORM.DIST(L$3,economics!$AK$2:$AK$167,economics!$AJ$2:$AJ$167,TRUE)-_xlfn.NORM.DIST(L$30,economics!$AK$2:$AK$167,economics!$AJ$2:$AJ$167,TRUE)))),"")</f>
        <v/>
      </c>
      <c r="M54">
        <f t="array" ref="M54">IFERROR((SUMPRODUCT((economics!$AG$2:$AG$167=$B54)*(economics!$D$2:$D$167="whr")*economics!$AI$2:$AI$167*(_xlfn.NORM.DIST(M$3,economics!$AK$2:$AK$167,economics!$AJ$2:$AJ$167,TRUE)-_xlfn.NORM.DIST(M$30,economics!$AK$2:$AK$167,economics!$AJ$2:$AJ$167,TRUE))*economics!$AM$2:$AM$167))/(SUMPRODUCT((economics!$AG$2:$AG$167=$B54)*(economics!$D$2:$D$167="whr")*economics!$AI$2:$AI$167*(_xlfn.NORM.DIST(M$3,economics!$AK$2:$AK$167,economics!$AJ$2:$AJ$167,TRUE)-_xlfn.NORM.DIST(M$30,economics!$AK$2:$AK$167,economics!$AJ$2:$AJ$167,TRUE)))),"")</f>
        <v/>
      </c>
      <c r="N54">
        <f t="array" ref="N54">IFERROR((SUMPRODUCT((economics!$AG$2:$AG$167=$B54)*(economics!$D$2:$D$167="whr")*economics!$AI$2:$AI$167*(_xlfn.NORM.DIST(N$3,economics!$AK$2:$AK$167,economics!$AJ$2:$AJ$167,TRUE)-_xlfn.NORM.DIST(N$30,economics!$AK$2:$AK$167,economics!$AJ$2:$AJ$167,TRUE))*economics!$AM$2:$AM$167))/(SUMPRODUCT((economics!$AG$2:$AG$167=$B54)*(economics!$D$2:$D$167="whr")*economics!$AI$2:$AI$167*(_xlfn.NORM.DIST(N$3,economics!$AK$2:$AK$167,economics!$AJ$2:$AJ$167,TRUE)-_xlfn.NORM.DIST(N$30,economics!$AK$2:$AK$167,economics!$AJ$2:$AJ$167,TRUE)))),"")</f>
        <v/>
      </c>
      <c r="O54">
        <f t="array" ref="O54">IFERROR((SUMPRODUCT((economics!$AG$2:$AG$167=$B54)*(economics!$D$2:$D$167="whr")*economics!$AI$2:$AI$167*(_xlfn.NORM.DIST(O$3,economics!$AK$2:$AK$167,economics!$AJ$2:$AJ$167,TRUE)-_xlfn.NORM.DIST(O$30,economics!$AK$2:$AK$167,economics!$AJ$2:$AJ$167,TRUE))*economics!$AM$2:$AM$167))/(SUMPRODUCT((economics!$AG$2:$AG$167=$B54)*(economics!$D$2:$D$167="whr")*economics!$AI$2:$AI$167*(_xlfn.NORM.DIST(O$3,economics!$AK$2:$AK$167,economics!$AJ$2:$AJ$167,TRUE)-_xlfn.NORM.DIST(O$30,economics!$AK$2:$AK$167,economics!$AJ$2:$AJ$167,TRUE)))),"")</f>
        <v/>
      </c>
      <c r="P54">
        <f t="array" ref="P54">IFERROR((SUMPRODUCT((economics!$AG$2:$AG$167=$B54)*(economics!$D$2:$D$167="whr")*economics!$AI$2:$AI$167*(_xlfn.NORM.DIST(P$3,economics!$AK$2:$AK$167,economics!$AJ$2:$AJ$167,TRUE)-_xlfn.NORM.DIST(P$30,economics!$AK$2:$AK$167,economics!$AJ$2:$AJ$167,TRUE))*economics!$AM$2:$AM$167))/(SUMPRODUCT((economics!$AG$2:$AG$167=$B54)*(economics!$D$2:$D$167="whr")*economics!$AI$2:$AI$167*(_xlfn.NORM.DIST(P$3,economics!$AK$2:$AK$167,economics!$AJ$2:$AJ$167,TRUE)-_xlfn.NORM.DIST(P$30,economics!$AK$2:$AK$167,economics!$AJ$2:$AJ$167,TRUE)))),"")</f>
        <v/>
      </c>
      <c r="Q54">
        <f t="array" ref="Q54">IFERROR((SUMPRODUCT((economics!$AG$2:$AG$167=$B54)*(economics!$D$2:$D$167="whr")*economics!$AI$2:$AI$167*(_xlfn.NORM.DIST(Q$3,economics!$AK$2:$AK$167,economics!$AJ$2:$AJ$167,TRUE)-_xlfn.NORM.DIST(Q$30,economics!$AK$2:$AK$167,economics!$AJ$2:$AJ$167,TRUE))*economics!$AM$2:$AM$167))/(SUMPRODUCT((economics!$AG$2:$AG$167=$B54)*(economics!$D$2:$D$167="whr")*economics!$AI$2:$AI$167*(_xlfn.NORM.DIST(Q$3,economics!$AK$2:$AK$167,economics!$AJ$2:$AJ$167,TRUE)-_xlfn.NORM.DIST(Q$30,economics!$AK$2:$AK$167,economics!$AJ$2:$AJ$167,TRUE)))),"")</f>
        <v/>
      </c>
      <c r="R54">
        <f t="array" ref="R54">IFERROR((SUMPRODUCT((economics!$AG$2:$AG$167=$B54)*(economics!$D$2:$D$167="whr")*economics!$AI$2:$AI$167*(_xlfn.NORM.DIST(R$3,economics!$AK$2:$AK$167,economics!$AJ$2:$AJ$167,TRUE)-_xlfn.NORM.DIST(R$30,economics!$AK$2:$AK$167,economics!$AJ$2:$AJ$167,TRUE))*economics!$AM$2:$AM$167))/(SUMPRODUCT((economics!$AG$2:$AG$167=$B54)*(economics!$D$2:$D$167="whr")*economics!$AI$2:$AI$167*(_xlfn.NORM.DIST(R$3,economics!$AK$2:$AK$167,economics!$AJ$2:$AJ$167,TRUE)-_xlfn.NORM.DIST(R$30,economics!$AK$2:$AK$167,economics!$AJ$2:$AJ$167,TRUE)))),"")</f>
        <v/>
      </c>
      <c r="S54">
        <f t="array" ref="S54">IFERROR((SUMPRODUCT((economics!$AG$2:$AG$167=$B54)*(economics!$D$2:$D$167="whr")*economics!$AI$2:$AI$167*(_xlfn.NORM.DIST(S$3,economics!$AK$2:$AK$167,economics!$AJ$2:$AJ$167,TRUE)-_xlfn.NORM.DIST(S$30,economics!$AK$2:$AK$167,economics!$AJ$2:$AJ$167,TRUE))*economics!$AM$2:$AM$167))/(SUMPRODUCT((economics!$AG$2:$AG$167=$B54)*(economics!$D$2:$D$167="whr")*economics!$AI$2:$AI$167*(_xlfn.NORM.DIST(S$3,economics!$AK$2:$AK$167,economics!$AJ$2:$AJ$167,TRUE)-_xlfn.NORM.DIST(S$30,economics!$AK$2:$AK$167,economics!$AJ$2:$AJ$167,TRUE)))),"")</f>
        <v/>
      </c>
      <c r="T54">
        <f t="array" ref="T54">IFERROR((SUMPRODUCT((economics!$AG$2:$AG$167=$B54)*(economics!$D$2:$D$167="whr")*economics!$AI$2:$AI$167*(_xlfn.NORM.DIST(T$3,economics!$AK$2:$AK$167,economics!$AJ$2:$AJ$167,TRUE)-_xlfn.NORM.DIST(T$30,economics!$AK$2:$AK$167,economics!$AJ$2:$AJ$167,TRUE))*economics!$AM$2:$AM$167))/(SUMPRODUCT((economics!$AG$2:$AG$167=$B54)*(economics!$D$2:$D$167="whr")*economics!$AI$2:$AI$167*(_xlfn.NORM.DIST(T$3,economics!$AK$2:$AK$167,economics!$AJ$2:$AJ$167,TRUE)-_xlfn.NORM.DIST(T$30,economics!$AK$2:$AK$167,economics!$AJ$2:$AJ$167,TRUE)))),"")</f>
        <v/>
      </c>
      <c r="U54">
        <f t="array" ref="U54">IFERROR((SUMPRODUCT((economics!$AG$2:$AG$167=$B54)*(economics!$D$2:$D$167="whr")*economics!$AI$2:$AI$167*(_xlfn.NORM.DIST(U$3,economics!$AK$2:$AK$167,economics!$AJ$2:$AJ$167,TRUE)-_xlfn.NORM.DIST(U$30,economics!$AK$2:$AK$167,economics!$AJ$2:$AJ$167,TRUE))*economics!$AM$2:$AM$167))/(SUMPRODUCT((economics!$AG$2:$AG$167=$B54)*(economics!$D$2:$D$167="whr")*economics!$AI$2:$AI$167*(_xlfn.NORM.DIST(U$3,economics!$AK$2:$AK$167,economics!$AJ$2:$AJ$167,TRUE)-_xlfn.NORM.DIST(U$30,economics!$AK$2:$AK$167,economics!$AJ$2:$AJ$167,TRUE)))),"")</f>
        <v/>
      </c>
      <c r="V54">
        <f t="array" ref="V54">IFERROR((SUMPRODUCT((economics!$AG$2:$AG$167=$B54)*(economics!$D$2:$D$167="whr")*economics!$AI$2:$AI$167*(_xlfn.NORM.DIST(V$3,economics!$AK$2:$AK$167,economics!$AJ$2:$AJ$167,TRUE)-_xlfn.NORM.DIST(V$30,economics!$AK$2:$AK$167,economics!$AJ$2:$AJ$167,TRUE))*economics!$AM$2:$AM$167))/(SUMPRODUCT((economics!$AG$2:$AG$167=$B54)*(economics!$D$2:$D$167="whr")*economics!$AI$2:$AI$167*(_xlfn.NORM.DIST(V$3,economics!$AK$2:$AK$167,economics!$AJ$2:$AJ$167,TRUE)-_xlfn.NORM.DIST(V$30,economics!$AK$2:$AK$167,economics!$AJ$2:$AJ$167,TRUE)))),"")</f>
        <v/>
      </c>
      <c r="W54">
        <f t="array" ref="W54">IFERROR((SUMPRODUCT((economics!$AG$2:$AG$167=$B54)*(economics!$D$2:$D$167="whr")*economics!$AI$2:$AI$167*(_xlfn.NORM.DIST(W$3,economics!$AK$2:$AK$167,economics!$AJ$2:$AJ$167,TRUE)-_xlfn.NORM.DIST(W$30,economics!$AK$2:$AK$167,economics!$AJ$2:$AJ$167,TRUE))*economics!$AM$2:$AM$167))/(SUMPRODUCT((economics!$AG$2:$AG$167=$B54)*(economics!$D$2:$D$167="whr")*economics!$AI$2:$AI$167*(_xlfn.NORM.DIST(W$3,economics!$AK$2:$AK$167,economics!$AJ$2:$AJ$167,TRUE)-_xlfn.NORM.DIST(W$30,economics!$AK$2:$AK$167,economics!$AJ$2:$AJ$167,TRUE)))),"")</f>
        <v/>
      </c>
      <c r="X54">
        <f t="array" ref="X54">IFERROR((SUMPRODUCT((economics!$AG$2:$AG$167=$B54)*(economics!$D$2:$D$167="whr")*economics!$AI$2:$AI$167*(_xlfn.NORM.DIST(X$3,economics!$AK$2:$AK$167,economics!$AJ$2:$AJ$167,TRUE)-_xlfn.NORM.DIST(X$30,economics!$AK$2:$AK$167,economics!$AJ$2:$AJ$167,TRUE))*economics!$AM$2:$AM$167))/(SUMPRODUCT((economics!$AG$2:$AG$167=$B54)*(economics!$D$2:$D$167="whr")*economics!$AI$2:$AI$167*(_xlfn.NORM.DIST(X$3,economics!$AK$2:$AK$167,economics!$AJ$2:$AJ$167,TRUE)-_xlfn.NORM.DIST(X$30,economics!$AK$2:$AK$167,economics!$AJ$2:$AJ$167,TRUE)))),"")</f>
        <v/>
      </c>
      <c r="Y54">
        <f t="array" ref="Y54">IFERROR((SUMPRODUCT((economics!$AG$2:$AG$167=$B54)*(economics!$D$2:$D$167="whr")*economics!$AI$2:$AI$167*(_xlfn.NORM.DIST(Y$3,economics!$AK$2:$AK$167,economics!$AJ$2:$AJ$167,TRUE)-_xlfn.NORM.DIST(Y$30,economics!$AK$2:$AK$167,economics!$AJ$2:$AJ$167,TRUE))*economics!$AM$2:$AM$167))/(SUMPRODUCT((economics!$AG$2:$AG$167=$B54)*(economics!$D$2:$D$167="whr")*economics!$AI$2:$AI$167*(_xlfn.NORM.DIST(Y$3,economics!$AK$2:$AK$167,economics!$AJ$2:$AJ$167,TRUE)-_xlfn.NORM.DIST(Y$30,economics!$AK$2:$AK$167,economics!$AJ$2:$AJ$167,TRUE)))),"")</f>
        <v/>
      </c>
      <c r="Z54">
        <f t="array" ref="Z54">IFERROR((SUMPRODUCT((economics!$AG$2:$AG$167=$B54)*(economics!$D$2:$D$167="whr")*economics!$AI$2:$AI$167*(_xlfn.NORM.DIST(Z$3,economics!$AK$2:$AK$167,economics!$AJ$2:$AJ$167,TRUE)-_xlfn.NORM.DIST(Z$30,economics!$AK$2:$AK$167,economics!$AJ$2:$AJ$167,TRUE))*economics!$AM$2:$AM$167))/(SUMPRODUCT((economics!$AG$2:$AG$167=$B54)*(economics!$D$2:$D$167="whr")*economics!$AI$2:$AI$167*(_xlfn.NORM.DIST(Z$3,economics!$AK$2:$AK$167,economics!$AJ$2:$AJ$167,TRUE)-_xlfn.NORM.DIST(Z$30,economics!$AK$2:$AK$167,economics!$AJ$2:$AJ$167,TRUE)))),"")</f>
        <v/>
      </c>
      <c r="AA54">
        <f t="array" ref="AA54">IFERROR((SUMPRODUCT((economics!$AG$2:$AG$167=$B54)*(economics!$D$2:$D$167="whr")*economics!$AI$2:$AI$167*(_xlfn.NORM.DIST(AA$3,economics!$AK$2:$AK$167,economics!$AJ$2:$AJ$167,TRUE)-_xlfn.NORM.DIST(AA$30,economics!$AK$2:$AK$167,economics!$AJ$2:$AJ$167,TRUE))*economics!$AM$2:$AM$167))/(SUMPRODUCT((economics!$AG$2:$AG$167=$B54)*(economics!$D$2:$D$167="whr")*economics!$AI$2:$AI$167*(_xlfn.NORM.DIST(AA$3,economics!$AK$2:$AK$167,economics!$AJ$2:$AJ$167,TRUE)-_xlfn.NORM.DIST(AA$30,economics!$AK$2:$AK$167,economics!$AJ$2:$AJ$167,TRUE)))),"")</f>
        <v/>
      </c>
      <c r="AB54">
        <f t="array" ref="AB54">IFERROR((SUMPRODUCT((economics!$AG$2:$AG$167=$B54)*(economics!$D$2:$D$167="whr")*economics!$AI$2:$AI$167*(_xlfn.NORM.DIST(AB$3,economics!$AK$2:$AK$167,economics!$AJ$2:$AJ$167,TRUE)-_xlfn.NORM.DIST(AB$30,economics!$AK$2:$AK$167,economics!$AJ$2:$AJ$167,TRUE))*economics!$AM$2:$AM$167))/(SUMPRODUCT((economics!$AG$2:$AG$167=$B54)*(economics!$D$2:$D$167="whr")*economics!$AI$2:$AI$167*(_xlfn.NORM.DIST(AB$3,economics!$AK$2:$AK$167,economics!$AJ$2:$AJ$167,TRUE)-_xlfn.NORM.DIST(AB$30,economics!$AK$2:$AK$167,economics!$AJ$2:$AJ$167,TRUE)))),"")</f>
        <v/>
      </c>
      <c r="AC54">
        <f t="array" ref="AC54">IFERROR((SUMPRODUCT((economics!$AG$2:$AG$167=$B54)*(economics!$D$2:$D$167="whr")*economics!$AI$2:$AI$167*(_xlfn.NORM.DIST(AC$3,economics!$AK$2:$AK$167,economics!$AJ$2:$AJ$167,TRUE)-_xlfn.NORM.DIST(AC$30,economics!$AK$2:$AK$167,economics!$AJ$2:$AJ$167,TRUE))*economics!$AM$2:$AM$167))/(SUMPRODUCT((economics!$AG$2:$AG$167=$B54)*(economics!$D$2:$D$167="whr")*economics!$AI$2:$AI$167*(_xlfn.NORM.DIST(AC$3,economics!$AK$2:$AK$167,economics!$AJ$2:$AJ$167,TRUE)-_xlfn.NORM.DIST(AC$30,economics!$AK$2:$AK$167,economics!$AJ$2:$AJ$167,TRUE)))),"")</f>
        <v/>
      </c>
      <c r="AD54">
        <f t="array" ref="AD54">IFERROR((SUMPRODUCT((economics!$AG$2:$AG$167=$B54)*(economics!$D$2:$D$167="whr")*economics!$AI$2:$AI$167*(_xlfn.NORM.DIST(AD$3,economics!$AK$2:$AK$167,economics!$AJ$2:$AJ$167,TRUE)-_xlfn.NORM.DIST(AD$30,economics!$AK$2:$AK$167,economics!$AJ$2:$AJ$167,TRUE))*economics!$AM$2:$AM$167))/(SUMPRODUCT((economics!$AG$2:$AG$167=$B54)*(economics!$D$2:$D$167="whr")*economics!$AI$2:$AI$167*(_xlfn.NORM.DIST(AD$3,economics!$AK$2:$AK$167,economics!$AJ$2:$AJ$167,TRUE)-_xlfn.NORM.DIST(AD$30,economics!$AK$2:$AK$167,economics!$AJ$2:$AJ$167,TRUE)))),"")</f>
        <v/>
      </c>
      <c r="AE54">
        <f t="array" ref="AE54">IFERROR((SUMPRODUCT((economics!$AG$2:$AG$167=$B54)*(economics!$D$2:$D$167="whr")*economics!$AI$2:$AI$167*(_xlfn.NORM.DIST(AE$3,economics!$AK$2:$AK$167,economics!$AJ$2:$AJ$167,TRUE)-_xlfn.NORM.DIST(AE$30,economics!$AK$2:$AK$167,economics!$AJ$2:$AJ$167,TRUE))*economics!$AM$2:$AM$167))/(SUMPRODUCT((economics!$AG$2:$AG$167=$B54)*(economics!$D$2:$D$167="whr")*economics!$AI$2:$AI$167*(_xlfn.NORM.DIST(AE$3,economics!$AK$2:$AK$167,economics!$AJ$2:$AJ$167,TRUE)-_xlfn.NORM.DIST(AE$30,economics!$AK$2:$AK$167,economics!$AJ$2:$AJ$167,TRUE)))),"")</f>
        <v/>
      </c>
      <c r="AF54">
        <f t="array" ref="AF54">IFERROR((SUMPRODUCT((economics!$AG$2:$AG$167=$B54)*(economics!$D$2:$D$167="whr")*economics!$AI$2:$AI$167*(_xlfn.NORM.DIST(AF$3,economics!$AK$2:$AK$167,economics!$AJ$2:$AJ$167,TRUE)-_xlfn.NORM.DIST(AF$30,economics!$AK$2:$AK$167,economics!$AJ$2:$AJ$167,TRUE))*economics!$AM$2:$AM$167))/(SUMPRODUCT((economics!$AG$2:$AG$167=$B54)*(economics!$D$2:$D$167="whr")*economics!$AI$2:$AI$167*(_xlfn.NORM.DIST(AF$3,economics!$AK$2:$AK$167,economics!$AJ$2:$AJ$167,TRUE)-_xlfn.NORM.DIST(AF$30,economics!$AK$2:$AK$167,economics!$AJ$2:$AJ$167,TRUE)))),"")</f>
        <v/>
      </c>
      <c r="AG54">
        <f t="array" ref="AG54">IFERROR((SUMPRODUCT((economics!$AG$2:$AG$167=$B54)*(economics!$D$2:$D$167="whr")*economics!$AI$2:$AI$167*(_xlfn.NORM.DIST(AG$3,economics!$AK$2:$AK$167,economics!$AJ$2:$AJ$167,TRUE)-_xlfn.NORM.DIST(AG$30,economics!$AK$2:$AK$167,economics!$AJ$2:$AJ$167,TRUE))*economics!$AM$2:$AM$167))/(SUMPRODUCT((economics!$AG$2:$AG$167=$B54)*(economics!$D$2:$D$167="whr")*economics!$AI$2:$AI$167*(_xlfn.NORM.DIST(AG$3,economics!$AK$2:$AK$167,economics!$AJ$2:$AJ$167,TRUE)-_xlfn.NORM.DIST(AG$30,economics!$AK$2:$AK$167,economics!$AJ$2:$AJ$167,TRUE)))),"")</f>
        <v/>
      </c>
      <c r="AH54">
        <f t="array" ref="AH54">IFERROR((SUMPRODUCT((economics!$AG$2:$AG$167=$B54)*(economics!$D$2:$D$167="whr")*economics!$AI$2:$AI$167*(_xlfn.NORM.DIST(AH$3,economics!$AK$2:$AK$167,economics!$AJ$2:$AJ$167,TRUE)-_xlfn.NORM.DIST(AH$30,economics!$AK$2:$AK$167,economics!$AJ$2:$AJ$167,TRUE))*economics!$AM$2:$AM$167))/(SUMPRODUCT((economics!$AG$2:$AG$167=$B54)*(economics!$D$2:$D$167="whr")*economics!$AI$2:$AI$167*(_xlfn.NORM.DIST(AH$3,economics!$AK$2:$AK$167,economics!$AJ$2:$AJ$167,TRUE)-_xlfn.NORM.DIST(AH$30,economics!$AK$2:$AK$167,economics!$AJ$2:$AJ$167,TRUE)))),"")</f>
        <v/>
      </c>
      <c r="AI54">
        <f t="array" ref="AI54">IFERROR((SUMPRODUCT((economics!$AG$2:$AG$167=$B54)*(economics!$D$2:$D$167="whr")*economics!$AI$2:$AI$167*(_xlfn.NORM.DIST(AI$3,economics!$AK$2:$AK$167,economics!$AJ$2:$AJ$167,TRUE)-_xlfn.NORM.DIST(AI$30,economics!$AK$2:$AK$167,economics!$AJ$2:$AJ$167,TRUE))*economics!$AM$2:$AM$167))/(SUMPRODUCT((economics!$AG$2:$AG$167=$B54)*(economics!$D$2:$D$167="whr")*economics!$AI$2:$AI$167*(_xlfn.NORM.DIST(AI$3,economics!$AK$2:$AK$167,economics!$AJ$2:$AJ$167,TRUE)-_xlfn.NORM.DIST(AI$30,economics!$AK$2:$AK$167,economics!$AJ$2:$AJ$167,TRUE)))),"")</f>
        <v/>
      </c>
      <c r="AJ54">
        <f t="array" ref="AJ54">IFERROR((SUMPRODUCT((economics!$AG$2:$AG$167=$B54)*(economics!$D$2:$D$167="whr")*economics!$AI$2:$AI$167*(_xlfn.NORM.DIST(AJ$3,economics!$AK$2:$AK$167,economics!$AJ$2:$AJ$167,TRUE)-_xlfn.NORM.DIST(AJ$30,economics!$AK$2:$AK$167,economics!$AJ$2:$AJ$167,TRUE))*economics!$AM$2:$AM$167))/(SUMPRODUCT((economics!$AG$2:$AG$167=$B54)*(economics!$D$2:$D$167="whr")*economics!$AI$2:$AI$167*(_xlfn.NORM.DIST(AJ$3,economics!$AK$2:$AK$167,economics!$AJ$2:$AJ$167,TRUE)-_xlfn.NORM.DIST(AJ$30,economics!$AK$2:$AK$167,economics!$AJ$2:$AJ$167,TRUE)))),"")</f>
        <v/>
      </c>
      <c r="AK54">
        <f t="array" ref="AK54">IFERROR((SUMPRODUCT((economics!$AG$2:$AG$167=$B54)*(economics!$D$2:$D$167="whr")*economics!$AI$2:$AI$167*(_xlfn.NORM.DIST(AK$3,economics!$AK$2:$AK$167,economics!$AJ$2:$AJ$167,TRUE)-_xlfn.NORM.DIST(AK$30,economics!$AK$2:$AK$167,economics!$AJ$2:$AJ$167,TRUE))*economics!$AM$2:$AM$167))/(SUMPRODUCT((economics!$AG$2:$AG$167=$B54)*(economics!$D$2:$D$167="whr")*economics!$AI$2:$AI$167*(_xlfn.NORM.DIST(AK$3,economics!$AK$2:$AK$167,economics!$AJ$2:$AJ$167,TRUE)-_xlfn.NORM.DIST(AK$30,economics!$AK$2:$AK$167,economics!$AJ$2:$AJ$167,TRUE)))),"")</f>
        <v/>
      </c>
      <c r="AL54">
        <f t="array" ref="AL54">IFERROR((SUMPRODUCT((economics!$AG$2:$AG$167=$B54)*(economics!$D$2:$D$167="whr")*economics!$AI$2:$AI$167*(_xlfn.NORM.DIST(AL$3,economics!$AK$2:$AK$167,economics!$AJ$2:$AJ$167,TRUE)-_xlfn.NORM.DIST(AL$30,economics!$AK$2:$AK$167,economics!$AJ$2:$AJ$167,TRUE))*economics!$AM$2:$AM$167))/(SUMPRODUCT((economics!$AG$2:$AG$167=$B54)*(economics!$D$2:$D$167="whr")*economics!$AI$2:$AI$167*(_xlfn.NORM.DIST(AL$3,economics!$AK$2:$AK$167,economics!$AJ$2:$AJ$167,TRUE)-_xlfn.NORM.DIST(AL$30,economics!$AK$2:$AK$167,economics!$AJ$2:$AJ$167,TRUE)))),"")</f>
        <v/>
      </c>
      <c r="AM54">
        <f t="array" ref="AM54">IFERROR((SUMPRODUCT((economics!$AG$2:$AG$167=$B54)*(economics!$D$2:$D$167="whr")*economics!$AI$2:$AI$167*(_xlfn.NORM.DIST(AM$3,economics!$AK$2:$AK$167,economics!$AJ$2:$AJ$167,TRUE)-_xlfn.NORM.DIST(AM$30,economics!$AK$2:$AK$167,economics!$AJ$2:$AJ$167,TRUE))*economics!$AM$2:$AM$167))/(SUMPRODUCT((economics!$AG$2:$AG$167=$B54)*(economics!$D$2:$D$167="whr")*economics!$AI$2:$AI$167*(_xlfn.NORM.DIST(AM$3,economics!$AK$2:$AK$167,economics!$AJ$2:$AJ$167,TRUE)-_xlfn.NORM.DIST(AM$30,economics!$AK$2:$AK$167,economics!$AJ$2:$AJ$167,TRUE)))),"")</f>
        <v/>
      </c>
      <c r="AN54">
        <f t="array" ref="AN54">IFERROR((SUMPRODUCT((economics!$AG$2:$AG$167=$B54)*(economics!$D$2:$D$167="whr")*economics!$AI$2:$AI$167*(_xlfn.NORM.DIST(AN$3,economics!$AK$2:$AK$167,economics!$AJ$2:$AJ$167,TRUE)-_xlfn.NORM.DIST(AN$30,economics!$AK$2:$AK$167,economics!$AJ$2:$AJ$167,TRUE))*economics!$AM$2:$AM$167))/(SUMPRODUCT((economics!$AG$2:$AG$167=$B54)*(economics!$D$2:$D$167="whr")*economics!$AI$2:$AI$167*(_xlfn.NORM.DIST(AN$3,economics!$AK$2:$AK$167,economics!$AJ$2:$AJ$167,TRUE)-_xlfn.NORM.DIST(AN$30,economics!$AK$2:$AK$167,economics!$AJ$2:$AJ$167,TRUE)))),"")</f>
        <v/>
      </c>
      <c r="AO54">
        <f t="array" ref="AO54">IFERROR((SUMPRODUCT((economics!$AG$2:$AG$167=$B54)*(economics!$D$2:$D$167="whr")*economics!$AI$2:$AI$167*(_xlfn.NORM.DIST(AO$3,economics!$AK$2:$AK$167,economics!$AJ$2:$AJ$167,TRUE)-_xlfn.NORM.DIST(AO$30,economics!$AK$2:$AK$167,economics!$AJ$2:$AJ$167,TRUE))*economics!$AM$2:$AM$167))/(SUMPRODUCT((economics!$AG$2:$AG$167=$B54)*(economics!$D$2:$D$167="whr")*economics!$AI$2:$AI$167*(_xlfn.NORM.DIST(AO$3,economics!$AK$2:$AK$167,economics!$AJ$2:$AJ$167,TRUE)-_xlfn.NORM.DIST(AO$30,economics!$AK$2:$AK$167,economics!$AJ$2:$AJ$167,TRUE)))),"")</f>
        <v/>
      </c>
      <c r="AP54">
        <f t="array" ref="AP54">IFERROR((SUMPRODUCT((economics!$AG$2:$AG$167=$B54)*(economics!$D$2:$D$167="whr")*economics!$AI$2:$AI$167*(_xlfn.NORM.DIST(AP$3,economics!$AK$2:$AK$167,economics!$AJ$2:$AJ$167,TRUE)-_xlfn.NORM.DIST(AP$30,economics!$AK$2:$AK$167,economics!$AJ$2:$AJ$167,TRUE))*economics!$AM$2:$AM$167))/(SUMPRODUCT((economics!$AG$2:$AG$167=$B54)*(economics!$D$2:$D$167="whr")*economics!$AI$2:$AI$167*(_xlfn.NORM.DIST(AP$3,economics!$AK$2:$AK$167,economics!$AJ$2:$AJ$167,TRUE)-_xlfn.NORM.DIST(AP$30,economics!$AK$2:$AK$167,economics!$AJ$2:$AJ$167,TRUE)))),"")</f>
        <v/>
      </c>
      <c r="AQ54">
        <f t="array" ref="AQ54">IFERROR((SUMPRODUCT((economics!$AG$2:$AG$167=$B54)*(economics!$D$2:$D$167="whr")*economics!$AI$2:$AI$167*(_xlfn.NORM.DIST(AQ$3,economics!$AK$2:$AK$167,economics!$AJ$2:$AJ$167,TRUE)-_xlfn.NORM.DIST(AQ$30,economics!$AK$2:$AK$167,economics!$AJ$2:$AJ$167,TRUE))*economics!$AM$2:$AM$167))/(SUMPRODUCT((economics!$AG$2:$AG$167=$B54)*(economics!$D$2:$D$167="whr")*economics!$AI$2:$AI$167*(_xlfn.NORM.DIST(AQ$3,economics!$AK$2:$AK$167,economics!$AJ$2:$AJ$167,TRUE)-_xlfn.NORM.DIST(AQ$30,economics!$AK$2:$AK$167,economics!$AJ$2:$AJ$167,TRUE)))),"")</f>
        <v/>
      </c>
      <c r="AR54">
        <f t="array" ref="AR54">IFERROR((SUMPRODUCT((economics!$AG$2:$AG$167=$B54)*(economics!$D$2:$D$167="whr")*economics!$AI$2:$AI$167*(_xlfn.NORM.DIST(AR$3,economics!$AK$2:$AK$167,economics!$AJ$2:$AJ$167,TRUE)-_xlfn.NORM.DIST(AR$30,economics!$AK$2:$AK$167,economics!$AJ$2:$AJ$167,TRUE))*economics!$AM$2:$AM$167))/(SUMPRODUCT((economics!$AG$2:$AG$167=$B54)*(economics!$D$2:$D$167="whr")*economics!$AI$2:$AI$167*(_xlfn.NORM.DIST(AR$3,economics!$AK$2:$AK$167,economics!$AJ$2:$AJ$167,TRUE)-_xlfn.NORM.DIST(AR$30,economics!$AK$2:$AK$167,economics!$AJ$2:$AJ$167,TRUE)))),"")</f>
        <v/>
      </c>
      <c r="AS54">
        <f t="array" ref="AS54">IFERROR((SUMPRODUCT((economics!$AG$2:$AG$167=$B54)*(economics!$D$2:$D$167="whr")*economics!$AI$2:$AI$167*(_xlfn.NORM.DIST(AS$3,economics!$AK$2:$AK$167,economics!$AJ$2:$AJ$167,TRUE)-_xlfn.NORM.DIST(AS$30,economics!$AK$2:$AK$167,economics!$AJ$2:$AJ$167,TRUE))*economics!$AM$2:$AM$167))/(SUMPRODUCT((economics!$AG$2:$AG$167=$B54)*(economics!$D$2:$D$167="whr")*economics!$AI$2:$AI$167*(_xlfn.NORM.DIST(AS$3,economics!$AK$2:$AK$167,economics!$AJ$2:$AJ$167,TRUE)-_xlfn.NORM.DIST(AS$30,economics!$AK$2:$AK$167,economics!$AJ$2:$AJ$167,TRUE)))),"")</f>
        <v/>
      </c>
      <c r="AT54">
        <f t="array" ref="AT54">IFERROR((SUMPRODUCT((economics!$AG$2:$AG$167=$B54)*(economics!$D$2:$D$167="whr")*economics!$AI$2:$AI$167*(_xlfn.NORM.DIST(AT$3,economics!$AK$2:$AK$167,economics!$AJ$2:$AJ$167,TRUE)-_xlfn.NORM.DIST(AT$30,economics!$AK$2:$AK$167,economics!$AJ$2:$AJ$167,TRUE))*economics!$AM$2:$AM$167))/(SUMPRODUCT((economics!$AG$2:$AG$167=$B54)*(economics!$D$2:$D$167="whr")*economics!$AI$2:$AI$167*(_xlfn.NORM.DIST(AT$3,economics!$AK$2:$AK$167,economics!$AJ$2:$AJ$167,TRUE)-_xlfn.NORM.DIST(AT$30,economics!$AK$2:$AK$167,economics!$AJ$2:$AJ$167,TRUE)))),"")</f>
        <v/>
      </c>
      <c r="AU54">
        <f t="array" ref="AU54">IFERROR((SUMPRODUCT((economics!$AG$2:$AG$167=$B54)*(economics!$D$2:$D$167="whr")*economics!$AI$2:$AI$167*(_xlfn.NORM.DIST(AU$3,economics!$AK$2:$AK$167,economics!$AJ$2:$AJ$167,TRUE)-_xlfn.NORM.DIST(AU$30,economics!$AK$2:$AK$167,economics!$AJ$2:$AJ$167,TRUE))*economics!$AM$2:$AM$167))/(SUMPRODUCT((economics!$AG$2:$AG$167=$B54)*(economics!$D$2:$D$167="whr")*economics!$AI$2:$AI$167*(_xlfn.NORM.DIST(AU$3,economics!$AK$2:$AK$167,economics!$AJ$2:$AJ$167,TRUE)-_xlfn.NORM.DIST(AU$30,economics!$AK$2:$AK$167,economics!$AJ$2:$AJ$167,TRUE)))),"")</f>
        <v/>
      </c>
      <c r="AV54">
        <f t="array" ref="AV54">IFERROR((SUMPRODUCT((economics!$AG$2:$AG$167=$B54)*(economics!$D$2:$D$167="whr")*economics!$AI$2:$AI$167*(_xlfn.NORM.DIST(AV$3,economics!$AK$2:$AK$167,economics!$AJ$2:$AJ$167,TRUE)-_xlfn.NORM.DIST(AV$30,economics!$AK$2:$AK$167,economics!$AJ$2:$AJ$167,TRUE))*economics!$AM$2:$AM$167))/(SUMPRODUCT((economics!$AG$2:$AG$167=$B54)*(economics!$D$2:$D$167="whr")*economics!$AI$2:$AI$167*(_xlfn.NORM.DIST(AV$3,economics!$AK$2:$AK$167,economics!$AJ$2:$AJ$167,TRUE)-_xlfn.NORM.DIST(AV$30,economics!$AK$2:$AK$167,economics!$AJ$2:$AJ$167,TRUE)))),"")</f>
        <v/>
      </c>
      <c r="AW54">
        <f t="array" ref="AW54">IFERROR((SUMPRODUCT((economics!$AG$2:$AG$167=$B54)*(economics!$D$2:$D$167="whr")*economics!$AI$2:$AI$167*(_xlfn.NORM.DIST(AW$3,economics!$AK$2:$AK$167,economics!$AJ$2:$AJ$167,TRUE)-_xlfn.NORM.DIST(AW$30,economics!$AK$2:$AK$167,economics!$AJ$2:$AJ$167,TRUE))*economics!$AM$2:$AM$167))/(SUMPRODUCT((economics!$AG$2:$AG$167=$B54)*(economics!$D$2:$D$167="whr")*economics!$AI$2:$AI$167*(_xlfn.NORM.DIST(AW$3,economics!$AK$2:$AK$167,economics!$AJ$2:$AJ$167,TRUE)-_xlfn.NORM.DIST(AW$30,economics!$AK$2:$AK$167,economics!$AJ$2:$AJ$167,TRUE)))),"")</f>
        <v/>
      </c>
      <c r="AX54">
        <f t="array" ref="AX54">IFERROR((SUMPRODUCT((economics!$AG$2:$AG$167=$B54)*(economics!$D$2:$D$167="whr")*economics!$AI$2:$AI$167*(_xlfn.NORM.DIST(AX$3,economics!$AK$2:$AK$167,economics!$AJ$2:$AJ$167,TRUE)-_xlfn.NORM.DIST(AX$30,economics!$AK$2:$AK$167,economics!$AJ$2:$AJ$167,TRUE))*economics!$AM$2:$AM$167))/(SUMPRODUCT((economics!$AG$2:$AG$167=$B54)*(economics!$D$2:$D$167="whr")*economics!$AI$2:$AI$167*(_xlfn.NORM.DIST(AX$3,economics!$AK$2:$AK$167,economics!$AJ$2:$AJ$167,TRUE)-_xlfn.NORM.DIST(AX$30,economics!$AK$2:$AK$167,economics!$AJ$2:$AJ$167,TRUE)))),"")</f>
        <v/>
      </c>
      <c r="AY54">
        <f t="array" ref="AY54">IFERROR((SUMPRODUCT((economics!$AG$2:$AG$167=$B54)*(economics!$D$2:$D$167="whr")*economics!$AI$2:$AI$167*(_xlfn.NORM.DIST(AY$3,economics!$AK$2:$AK$167,economics!$AJ$2:$AJ$167,TRUE)-_xlfn.NORM.DIST(AY$30,economics!$AK$2:$AK$167,economics!$AJ$2:$AJ$167,TRUE))*economics!$AM$2:$AM$167))/(SUMPRODUCT((economics!$AG$2:$AG$167=$B54)*(economics!$D$2:$D$167="whr")*economics!$AI$2:$AI$167*(_xlfn.NORM.DIST(AY$3,economics!$AK$2:$AK$167,economics!$AJ$2:$AJ$167,TRUE)-_xlfn.NORM.DIST(AY$30,economics!$AK$2:$AK$167,economics!$AJ$2:$AJ$167,TRUE)))),"")</f>
        <v/>
      </c>
      <c r="AZ54">
        <f t="array" ref="AZ54">IFERROR((SUMPRODUCT((economics!$AG$2:$AG$167=$B54)*(economics!$D$2:$D$167="whr")*economics!$AI$2:$AI$167*(_xlfn.NORM.DIST(AZ$3,economics!$AK$2:$AK$167,economics!$AJ$2:$AJ$167,TRUE)-_xlfn.NORM.DIST(AZ$30,economics!$AK$2:$AK$167,economics!$AJ$2:$AJ$167,TRUE))*economics!$AM$2:$AM$167))/(SUMPRODUCT((economics!$AG$2:$AG$167=$B54)*(economics!$D$2:$D$167="whr")*economics!$AI$2:$AI$167*(_xlfn.NORM.DIST(AZ$3,economics!$AK$2:$AK$167,economics!$AJ$2:$AJ$167,TRUE)-_xlfn.NORM.DIST(AZ$30,economics!$AK$2:$AK$167,economics!$AJ$2:$AJ$167,TRUE)))),"")</f>
        <v/>
      </c>
      <c r="BA54">
        <f t="array" ref="BA54">IFERROR((SUMPRODUCT((economics!$AG$2:$AG$167=$B54)*(economics!$D$2:$D$167="whr")*economics!$AI$2:$AI$167*(_xlfn.NORM.DIST(BA$3,economics!$AK$2:$AK$167,economics!$AJ$2:$AJ$167,TRUE)-_xlfn.NORM.DIST(BA$30,economics!$AK$2:$AK$167,economics!$AJ$2:$AJ$167,TRUE))*economics!$AM$2:$AM$167))/(SUMPRODUCT((economics!$AG$2:$AG$167=$B54)*(economics!$D$2:$D$167="whr")*economics!$AI$2:$AI$167*(_xlfn.NORM.DIST(BA$3,economics!$AK$2:$AK$167,economics!$AJ$2:$AJ$167,TRUE)-_xlfn.NORM.DIST(BA$30,economics!$AK$2:$AK$167,economics!$AJ$2:$AJ$167,TRUE)))),"")</f>
        <v/>
      </c>
      <c r="BB54">
        <f t="array" ref="BB54">IFERROR((SUMPRODUCT((economics!$AG$2:$AG$167=$B54)*(economics!$D$2:$D$167="whr")*economics!$AI$2:$AI$167*(_xlfn.NORM.DIST(BB$3,economics!$AK$2:$AK$167,economics!$AJ$2:$AJ$167,TRUE)-_xlfn.NORM.DIST(BB$30,economics!$AK$2:$AK$167,economics!$AJ$2:$AJ$167,TRUE))*economics!$AM$2:$AM$167))/(SUMPRODUCT((economics!$AG$2:$AG$167=$B54)*(economics!$D$2:$D$167="whr")*economics!$AI$2:$AI$167*(_xlfn.NORM.DIST(BB$3,economics!$AK$2:$AK$167,economics!$AJ$2:$AJ$167,TRUE)-_xlfn.NORM.DIST(BB$30,economics!$AK$2:$AK$167,economics!$AJ$2:$AJ$167,TRUE)))),"")</f>
        <v/>
      </c>
      <c r="BC54">
        <f t="array" ref="BC54">IFERROR((SUMPRODUCT((economics!$AG$2:$AG$167=$B54)*(economics!$D$2:$D$167="whr")*economics!$AI$2:$AI$167*(_xlfn.NORM.DIST(BC$3,economics!$AK$2:$AK$167,economics!$AJ$2:$AJ$167,TRUE)-_xlfn.NORM.DIST(BC$30,economics!$AK$2:$AK$167,economics!$AJ$2:$AJ$167,TRUE))*economics!$AM$2:$AM$167))/(SUMPRODUCT((economics!$AG$2:$AG$167=$B54)*(economics!$D$2:$D$167="whr")*economics!$AI$2:$AI$167*(_xlfn.NORM.DIST(BC$3,economics!$AK$2:$AK$167,economics!$AJ$2:$AJ$167,TRUE)-_xlfn.NORM.DIST(BC$30,economics!$AK$2:$AK$167,economics!$AJ$2:$AJ$167,TRUE)))),"")</f>
        <v/>
      </c>
      <c r="BD54">
        <f t="array" ref="BD54">IFERROR((SUMPRODUCT((economics!$AG$2:$AG$167=$B54)*(economics!$D$2:$D$167="whr")*economics!$AI$2:$AI$167*(_xlfn.NORM.DIST(BD$3,economics!$AK$2:$AK$167,economics!$AJ$2:$AJ$167,TRUE)-_xlfn.NORM.DIST(BD$30,economics!$AK$2:$AK$167,economics!$AJ$2:$AJ$167,TRUE))*economics!$AM$2:$AM$167))/(SUMPRODUCT((economics!$AG$2:$AG$167=$B54)*(economics!$D$2:$D$167="whr")*economics!$AI$2:$AI$167*(_xlfn.NORM.DIST(BD$3,economics!$AK$2:$AK$167,economics!$AJ$2:$AJ$167,TRUE)-_xlfn.NORM.DIST(BD$30,economics!$AK$2:$AK$167,economics!$AJ$2:$AJ$167,TRUE)))),"")</f>
        <v/>
      </c>
      <c r="BE54">
        <f t="array" ref="BE54">IFERROR((SUMPRODUCT((economics!$AG$2:$AG$167=$B54)*(economics!$D$2:$D$167="whr")*economics!$AI$2:$AI$167*(_xlfn.NORM.DIST(BE$3,economics!$AK$2:$AK$167,economics!$AJ$2:$AJ$167,TRUE)-_xlfn.NORM.DIST(BE$30,economics!$AK$2:$AK$167,economics!$AJ$2:$AJ$167,TRUE))*economics!$AM$2:$AM$167))/(SUMPRODUCT((economics!$AG$2:$AG$167=$B54)*(economics!$D$2:$D$167="whr")*economics!$AI$2:$AI$167*(_xlfn.NORM.DIST(BE$3,economics!$AK$2:$AK$167,economics!$AJ$2:$AJ$167,TRUE)-_xlfn.NORM.DIST(BE$30,economics!$AK$2:$AK$167,economics!$AJ$2:$AJ$167,TRUE)))),"")</f>
        <v/>
      </c>
      <c r="BF54">
        <f t="array" ref="BF54">IFERROR((SUMPRODUCT((economics!$AG$2:$AG$167=$B54)*(economics!$D$2:$D$167="whr")*economics!$AI$2:$AI$167*(_xlfn.NORM.DIST(BF$3,economics!$AK$2:$AK$167,economics!$AJ$2:$AJ$167,TRUE)-_xlfn.NORM.DIST(BF$30,economics!$AK$2:$AK$167,economics!$AJ$2:$AJ$167,TRUE))*economics!$AM$2:$AM$167))/(SUMPRODUCT((economics!$AG$2:$AG$167=$B54)*(economics!$D$2:$D$167="whr")*economics!$AI$2:$AI$167*(_xlfn.NORM.DIST(BF$3,economics!$AK$2:$AK$167,economics!$AJ$2:$AJ$167,TRUE)-_xlfn.NORM.DIST(BF$30,economics!$AK$2:$AK$167,economics!$AJ$2:$AJ$167,TRUE)))),"")</f>
        <v/>
      </c>
      <c r="BG54">
        <f t="array" ref="BG54">IFERROR((SUMPRODUCT((economics!$AG$2:$AG$167=$B54)*(economics!$D$2:$D$167="whr")*economics!$AI$2:$AI$167*(_xlfn.NORM.DIST(BG$3,economics!$AK$2:$AK$167,economics!$AJ$2:$AJ$167,TRUE)-_xlfn.NORM.DIST(BG$30,economics!$AK$2:$AK$167,economics!$AJ$2:$AJ$167,TRUE))*economics!$AM$2:$AM$167))/(SUMPRODUCT((economics!$AG$2:$AG$167=$B54)*(economics!$D$2:$D$167="whr")*economics!$AI$2:$AI$167*(_xlfn.NORM.DIST(BG$3,economics!$AK$2:$AK$167,economics!$AJ$2:$AJ$167,TRUE)-_xlfn.NORM.DIST(BG$30,economics!$AK$2:$AK$167,economics!$AJ$2:$AJ$167,TRUE)))),"")</f>
        <v/>
      </c>
      <c r="BH54">
        <f t="array" ref="BH54">IFERROR((SUMPRODUCT((economics!$AG$2:$AG$167=$B54)*(economics!$D$2:$D$167="whr")*economics!$AI$2:$AI$167*(_xlfn.NORM.DIST(BH$3,economics!$AK$2:$AK$167,economics!$AJ$2:$AJ$167,TRUE)-_xlfn.NORM.DIST(BH$30,economics!$AK$2:$AK$167,economics!$AJ$2:$AJ$167,TRUE))*economics!$AM$2:$AM$167))/(SUMPRODUCT((economics!$AG$2:$AG$167=$B54)*(economics!$D$2:$D$167="whr")*economics!$AI$2:$AI$167*(_xlfn.NORM.DIST(BH$3,economics!$AK$2:$AK$167,economics!$AJ$2:$AJ$167,TRUE)-_xlfn.NORM.DIST(BH$30,economics!$AK$2:$AK$167,economics!$AJ$2:$AJ$167,TRUE)))),"")</f>
        <v/>
      </c>
      <c r="BI54">
        <f t="array" ref="BI54">IFERROR((SUMPRODUCT((economics!$AG$2:$AG$167=$B54)*(economics!$D$2:$D$167="whr")*economics!$AI$2:$AI$167*(_xlfn.NORM.DIST(BI$3,economics!$AK$2:$AK$167,economics!$AJ$2:$AJ$167,TRUE)-_xlfn.NORM.DIST(BI$30,economics!$AK$2:$AK$167,economics!$AJ$2:$AJ$167,TRUE))*economics!$AM$2:$AM$167))/(SUMPRODUCT((economics!$AG$2:$AG$167=$B54)*(economics!$D$2:$D$167="whr")*economics!$AI$2:$AI$167*(_xlfn.NORM.DIST(BI$3,economics!$AK$2:$AK$167,economics!$AJ$2:$AJ$167,TRUE)-_xlfn.NORM.DIST(BI$30,economics!$AK$2:$AK$167,economics!$AJ$2:$AJ$167,TRUE)))),"")</f>
        <v/>
      </c>
      <c r="BJ54">
        <f t="array" ref="BJ54">IFERROR((SUMPRODUCT((economics!$AG$2:$AG$167=$B54)*(economics!$D$2:$D$167="whr")*economics!$AI$2:$AI$167*(_xlfn.NORM.DIST(BJ$3,economics!$AK$2:$AK$167,economics!$AJ$2:$AJ$167,TRUE)-_xlfn.NORM.DIST(BJ$30,economics!$AK$2:$AK$167,economics!$AJ$2:$AJ$167,TRUE))*economics!$AM$2:$AM$167))/(SUMPRODUCT((economics!$AG$2:$AG$167=$B54)*(economics!$D$2:$D$167="whr")*economics!$AI$2:$AI$167*(_xlfn.NORM.DIST(BJ$3,economics!$AK$2:$AK$167,economics!$AJ$2:$AJ$167,TRUE)-_xlfn.NORM.DIST(BJ$30,economics!$AK$2:$AK$167,economics!$AJ$2:$AJ$167,TRUE)))),"")</f>
        <v/>
      </c>
      <c r="BK54">
        <f t="array" ref="BK54">IFERROR((SUMPRODUCT((economics!$AG$2:$AG$167=$B54)*(economics!$D$2:$D$167="whr")*economics!$AI$2:$AI$167*(_xlfn.NORM.DIST(BK$3,economics!$AK$2:$AK$167,economics!$AJ$2:$AJ$167,TRUE)-_xlfn.NORM.DIST(BK$30,economics!$AK$2:$AK$167,economics!$AJ$2:$AJ$167,TRUE))*economics!$AM$2:$AM$167))/(SUMPRODUCT((economics!$AG$2:$AG$167=$B54)*(economics!$D$2:$D$167="whr")*economics!$AI$2:$AI$167*(_xlfn.NORM.DIST(BK$3,economics!$AK$2:$AK$167,economics!$AJ$2:$AJ$167,TRUE)-_xlfn.NORM.DIST(BK$30,economics!$AK$2:$AK$167,economics!$AJ$2:$AJ$167,TRUE)))),"")</f>
        <v/>
      </c>
      <c r="BL54">
        <f t="array" ref="BL54">IFERROR((SUMPRODUCT((economics!$AG$2:$AG$167=$B54)*(economics!$D$2:$D$167="whr")*economics!$AI$2:$AI$167*(_xlfn.NORM.DIST(BL$3,economics!$AK$2:$AK$167,economics!$AJ$2:$AJ$167,TRUE)-_xlfn.NORM.DIST(BL$30,economics!$AK$2:$AK$167,economics!$AJ$2:$AJ$167,TRUE))*economics!$AM$2:$AM$167))/(SUMPRODUCT((economics!$AG$2:$AG$167=$B54)*(economics!$D$2:$D$167="whr")*economics!$AI$2:$AI$167*(_xlfn.NORM.DIST(BL$3,economics!$AK$2:$AK$167,economics!$AJ$2:$AJ$167,TRUE)-_xlfn.NORM.DIST(BL$30,economics!$AK$2:$AK$167,economics!$AJ$2:$AJ$167,TRUE)))),"")</f>
        <v/>
      </c>
      <c r="BM54">
        <f t="array" ref="BM54">IFERROR((SUMPRODUCT((economics!$AG$2:$AG$167=$B54)*(economics!$D$2:$D$167="whr")*economics!$AI$2:$AI$167*(_xlfn.NORM.DIST(BM$3,economics!$AK$2:$AK$167,economics!$AJ$2:$AJ$167,TRUE)-_xlfn.NORM.DIST(BM$30,economics!$AK$2:$AK$167,economics!$AJ$2:$AJ$167,TRUE))*economics!$AM$2:$AM$167))/(SUMPRODUCT((economics!$AG$2:$AG$167=$B54)*(economics!$D$2:$D$167="whr")*economics!$AI$2:$AI$167*(_xlfn.NORM.DIST(BM$3,economics!$AK$2:$AK$167,economics!$AJ$2:$AJ$167,TRUE)-_xlfn.NORM.DIST(BM$30,economics!$AK$2:$AK$167,economics!$AJ$2:$AJ$167,TRUE)))),"")</f>
        <v/>
      </c>
      <c r="BN54">
        <f t="array" ref="BN54">IFERROR((SUMPRODUCT((economics!$AG$2:$AG$167=$B54)*(economics!$D$2:$D$167="whr")*economics!$AI$2:$AI$167*(_xlfn.NORM.DIST(BN$3,economics!$AK$2:$AK$167,economics!$AJ$2:$AJ$167,TRUE)-_xlfn.NORM.DIST(BN$30,economics!$AK$2:$AK$167,economics!$AJ$2:$AJ$167,TRUE))*economics!$AM$2:$AM$167))/(SUMPRODUCT((economics!$AG$2:$AG$167=$B54)*(economics!$D$2:$D$167="whr")*economics!$AI$2:$AI$167*(_xlfn.NORM.DIST(BN$3,economics!$AK$2:$AK$167,economics!$AJ$2:$AJ$167,TRUE)-_xlfn.NORM.DIST(BN$30,economics!$AK$2:$AK$167,economics!$AJ$2:$AJ$167,TRUE)))),"")</f>
        <v/>
      </c>
      <c r="BO54">
        <f t="array" ref="BO54">IFERROR((SUMPRODUCT((economics!$AG$2:$AG$167=$B54)*(economics!$D$2:$D$167="whr")*economics!$AI$2:$AI$167*(_xlfn.NORM.DIST(BO$3,economics!$AK$2:$AK$167,economics!$AJ$2:$AJ$167,TRUE)-_xlfn.NORM.DIST(BO$30,economics!$AK$2:$AK$167,economics!$AJ$2:$AJ$167,TRUE))*economics!$AM$2:$AM$167))/(SUMPRODUCT((economics!$AG$2:$AG$167=$B54)*(economics!$D$2:$D$167="whr")*economics!$AI$2:$AI$167*(_xlfn.NORM.DIST(BO$3,economics!$AK$2:$AK$167,economics!$AJ$2:$AJ$167,TRUE)-_xlfn.NORM.DIST(BO$30,economics!$AK$2:$AK$167,economics!$AJ$2:$AJ$167,TRUE)))),"")</f>
        <v/>
      </c>
      <c r="BP54">
        <f t="array" ref="BP54">IFERROR((SUMPRODUCT((economics!$AG$2:$AG$167=$B54)*(economics!$D$2:$D$167="whr")*economics!$AI$2:$AI$167*(_xlfn.NORM.DIST(BP$3,economics!$AK$2:$AK$167,economics!$AJ$2:$AJ$167,TRUE)-_xlfn.NORM.DIST(BP$30,economics!$AK$2:$AK$167,economics!$AJ$2:$AJ$167,TRUE))*economics!$AM$2:$AM$167))/(SUMPRODUCT((economics!$AG$2:$AG$167=$B54)*(economics!$D$2:$D$167="whr")*economics!$AI$2:$AI$167*(_xlfn.NORM.DIST(BP$3,economics!$AK$2:$AK$167,economics!$AJ$2:$AJ$167,TRUE)-_xlfn.NORM.DIST(BP$30,economics!$AK$2:$AK$167,economics!$AJ$2:$AJ$167,TRUE)))),"")</f>
        <v/>
      </c>
      <c r="BQ54">
        <f t="array" ref="BQ54">IFERROR((SUMPRODUCT((economics!$AG$2:$AG$167=$B54)*(economics!$D$2:$D$167="whr")*economics!$AI$2:$AI$167*(_xlfn.NORM.DIST(BQ$3,economics!$AK$2:$AK$167,economics!$AJ$2:$AJ$167,TRUE)-_xlfn.NORM.DIST(BQ$30,economics!$AK$2:$AK$167,economics!$AJ$2:$AJ$167,TRUE))*economics!$AM$2:$AM$167))/(SUMPRODUCT((economics!$AG$2:$AG$167=$B54)*(economics!$D$2:$D$167="whr")*economics!$AI$2:$AI$167*(_xlfn.NORM.DIST(BQ$3,economics!$AK$2:$AK$167,economics!$AJ$2:$AJ$167,TRUE)-_xlfn.NORM.DIST(BQ$30,economics!$AK$2:$AK$167,economics!$AJ$2:$AJ$167,TRUE)))),"")</f>
        <v/>
      </c>
      <c r="BR54">
        <f t="array" ref="BR54">IFERROR((SUMPRODUCT((economics!$AG$2:$AG$167=$B54)*(economics!$D$2:$D$167="whr")*economics!$AI$2:$AI$167*(_xlfn.NORM.DIST(BR$3,economics!$AK$2:$AK$167,economics!$AJ$2:$AJ$167,TRUE)-_xlfn.NORM.DIST(BR$30,economics!$AK$2:$AK$167,economics!$AJ$2:$AJ$167,TRUE))*economics!$AM$2:$AM$167))/(SUMPRODUCT((economics!$AG$2:$AG$167=$B54)*(economics!$D$2:$D$167="whr")*economics!$AI$2:$AI$167*(_xlfn.NORM.DIST(BR$3,economics!$AK$2:$AK$167,economics!$AJ$2:$AJ$167,TRUE)-_xlfn.NORM.DIST(BR$30,economics!$AK$2:$AK$167,economics!$AJ$2:$AJ$167,TRUE)))),"")</f>
        <v/>
      </c>
      <c r="BS54">
        <f t="array" ref="BS54">IFERROR((SUMPRODUCT((economics!$AG$2:$AG$167=$B54)*(economics!$D$2:$D$167="whr")*economics!$AI$2:$AI$167*(_xlfn.NORM.DIST(BS$3,economics!$AK$2:$AK$167,economics!$AJ$2:$AJ$167,TRUE)-_xlfn.NORM.DIST(BS$30,economics!$AK$2:$AK$167,economics!$AJ$2:$AJ$167,TRUE))*economics!$AM$2:$AM$167))/(SUMPRODUCT((economics!$AG$2:$AG$167=$B54)*(economics!$D$2:$D$167="whr")*economics!$AI$2:$AI$167*(_xlfn.NORM.DIST(BS$3,economics!$AK$2:$AK$167,economics!$AJ$2:$AJ$167,TRUE)-_xlfn.NORM.DIST(BS$30,economics!$AK$2:$AK$167,economics!$AJ$2:$AJ$167,TRUE)))),"")</f>
        <v/>
      </c>
      <c r="BT54">
        <f t="array" ref="BT54">IFERROR((SUMPRODUCT((economics!$AG$2:$AG$167=$B54)*(economics!$D$2:$D$167="whr")*economics!$AI$2:$AI$167*(_xlfn.NORM.DIST(BT$3,economics!$AK$2:$AK$167,economics!$AJ$2:$AJ$167,TRUE)-_xlfn.NORM.DIST(BT$30,economics!$AK$2:$AK$167,economics!$AJ$2:$AJ$167,TRUE))*economics!$AM$2:$AM$167))/(SUMPRODUCT((economics!$AG$2:$AG$167=$B54)*(economics!$D$2:$D$167="whr")*economics!$AI$2:$AI$167*(_xlfn.NORM.DIST(BT$3,economics!$AK$2:$AK$167,economics!$AJ$2:$AJ$167,TRUE)-_xlfn.NORM.DIST(BT$30,economics!$AK$2:$AK$167,economics!$AJ$2:$AJ$167,TRUE)))),"")</f>
        <v/>
      </c>
      <c r="BU54">
        <f t="array" ref="BU54">IFERROR((SUMPRODUCT((economics!$AG$2:$AG$167=$B54)*(economics!$D$2:$D$167="whr")*economics!$AI$2:$AI$167*(_xlfn.NORM.DIST(BU$3,economics!$AK$2:$AK$167,economics!$AJ$2:$AJ$167,TRUE)-_xlfn.NORM.DIST(BU$30,economics!$AK$2:$AK$167,economics!$AJ$2:$AJ$167,TRUE))*economics!$AM$2:$AM$167))/(SUMPRODUCT((economics!$AG$2:$AG$167=$B54)*(economics!$D$2:$D$167="whr")*economics!$AI$2:$AI$167*(_xlfn.NORM.DIST(BU$3,economics!$AK$2:$AK$167,economics!$AJ$2:$AJ$167,TRUE)-_xlfn.NORM.DIST(BU$30,economics!$AK$2:$AK$167,economics!$AJ$2:$AJ$167,TRUE)))),"")</f>
        <v/>
      </c>
      <c r="BV54">
        <f t="array" ref="BV54">IFERROR((SUMPRODUCT((economics!$AG$2:$AG$167=$B54)*(economics!$D$2:$D$167="whr")*economics!$AI$2:$AI$167*(_xlfn.NORM.DIST(BV$3,economics!$AK$2:$AK$167,economics!$AJ$2:$AJ$167,TRUE)-_xlfn.NORM.DIST(BV$30,economics!$AK$2:$AK$167,economics!$AJ$2:$AJ$167,TRUE))*economics!$AM$2:$AM$167))/(SUMPRODUCT((economics!$AG$2:$AG$167=$B54)*(economics!$D$2:$D$167="whr")*economics!$AI$2:$AI$167*(_xlfn.NORM.DIST(BV$3,economics!$AK$2:$AK$167,economics!$AJ$2:$AJ$167,TRUE)-_xlfn.NORM.DIST(BV$30,economics!$AK$2:$AK$167,economics!$AJ$2:$AJ$167,TRUE)))),"")</f>
        <v/>
      </c>
      <c r="BW54">
        <f t="array" ref="BW54">IFERROR((SUMPRODUCT((economics!$AG$2:$AG$167=$B54)*(economics!$D$2:$D$167="whr")*economics!$AI$2:$AI$167*(_xlfn.NORM.DIST(BW$3,economics!$AK$2:$AK$167,economics!$AJ$2:$AJ$167,TRUE)-_xlfn.NORM.DIST(BW$30,economics!$AK$2:$AK$167,economics!$AJ$2:$AJ$167,TRUE))*economics!$AM$2:$AM$167))/(SUMPRODUCT((economics!$AG$2:$AG$167=$B54)*(economics!$D$2:$D$167="whr")*economics!$AI$2:$AI$167*(_xlfn.NORM.DIST(BW$3,economics!$AK$2:$AK$167,economics!$AJ$2:$AJ$167,TRUE)-_xlfn.NORM.DIST(BW$30,economics!$AK$2:$AK$167,economics!$AJ$2:$AJ$167,TRUE)))),"")</f>
        <v/>
      </c>
      <c r="BX54">
        <f t="array" ref="BX54">IFERROR((SUMPRODUCT((economics!$AG$2:$AG$167=$B54)*(economics!$D$2:$D$167="whr")*economics!$AI$2:$AI$167*(_xlfn.NORM.DIST(BX$3,economics!$AK$2:$AK$167,economics!$AJ$2:$AJ$167,TRUE)-_xlfn.NORM.DIST(BX$30,economics!$AK$2:$AK$167,economics!$AJ$2:$AJ$167,TRUE))*economics!$AM$2:$AM$167))/(SUMPRODUCT((economics!$AG$2:$AG$167=$B54)*(economics!$D$2:$D$167="whr")*economics!$AI$2:$AI$167*(_xlfn.NORM.DIST(BX$3,economics!$AK$2:$AK$167,economics!$AJ$2:$AJ$167,TRUE)-_xlfn.NORM.DIST(BX$30,economics!$AK$2:$AK$167,economics!$AJ$2:$AJ$167,TRUE)))),"")</f>
        <v/>
      </c>
      <c r="BY54">
        <f t="array" ref="BY54">IFERROR((SUMPRODUCT((economics!$AG$2:$AG$167=$B54)*(economics!$D$2:$D$167="whr")*economics!$AI$2:$AI$167*(_xlfn.NORM.DIST(BY$3,economics!$AK$2:$AK$167,economics!$AJ$2:$AJ$167,TRUE)-_xlfn.NORM.DIST(BY$30,economics!$AK$2:$AK$167,economics!$AJ$2:$AJ$167,TRUE))*economics!$AM$2:$AM$167))/(SUMPRODUCT((economics!$AG$2:$AG$167=$B54)*(economics!$D$2:$D$167="whr")*economics!$AI$2:$AI$167*(_xlfn.NORM.DIST(BY$3,economics!$AK$2:$AK$167,economics!$AJ$2:$AJ$167,TRUE)-_xlfn.NORM.DIST(BY$30,economics!$AK$2:$AK$167,economics!$AJ$2:$AJ$167,TRUE)))),"")</f>
        <v/>
      </c>
      <c r="BZ54">
        <f t="array" ref="BZ54">IFERROR((SUMPRODUCT((economics!$AG$2:$AG$167=$B54)*(economics!$D$2:$D$167="whr")*economics!$AI$2:$AI$167*(_xlfn.NORM.DIST(BZ$3,economics!$AK$2:$AK$167,economics!$AJ$2:$AJ$167,TRUE)-_xlfn.NORM.DIST(BZ$30,economics!$AK$2:$AK$167,economics!$AJ$2:$AJ$167,TRUE))*economics!$AM$2:$AM$167))/(SUMPRODUCT((economics!$AG$2:$AG$167=$B54)*(economics!$D$2:$D$167="whr")*economics!$AI$2:$AI$167*(_xlfn.NORM.DIST(BZ$3,economics!$AK$2:$AK$167,economics!$AJ$2:$AJ$167,TRUE)-_xlfn.NORM.DIST(BZ$30,economics!$AK$2:$AK$167,economics!$AJ$2:$AJ$167,TRUE)))),"")</f>
        <v/>
      </c>
      <c r="CA54">
        <f t="array" ref="CA54">IFERROR((SUMPRODUCT((economics!$AG$2:$AG$167=$B54)*(economics!$D$2:$D$167="whr")*economics!$AI$2:$AI$167*(_xlfn.NORM.DIST(CA$3,economics!$AK$2:$AK$167,economics!$AJ$2:$AJ$167,TRUE)-_xlfn.NORM.DIST(CA$30,economics!$AK$2:$AK$167,economics!$AJ$2:$AJ$167,TRUE))*economics!$AM$2:$AM$167))/(SUMPRODUCT((economics!$AG$2:$AG$167=$B54)*(economics!$D$2:$D$167="whr")*economics!$AI$2:$AI$167*(_xlfn.NORM.DIST(CA$3,economics!$AK$2:$AK$167,economics!$AJ$2:$AJ$167,TRUE)-_xlfn.NORM.DIST(CA$30,economics!$AK$2:$AK$167,economics!$AJ$2:$AJ$167,TRUE)))),"")</f>
        <v/>
      </c>
      <c r="CB54">
        <f t="array" ref="CB54">IFERROR((SUMPRODUCT((economics!$AG$2:$AG$167=$B54)*(economics!$D$2:$D$167="whr")*economics!$AI$2:$AI$167*(_xlfn.NORM.DIST(CB$3,economics!$AK$2:$AK$167,economics!$AJ$2:$AJ$167,TRUE)-_xlfn.NORM.DIST(CB$30,economics!$AK$2:$AK$167,economics!$AJ$2:$AJ$167,TRUE))*economics!$AM$2:$AM$167))/(SUMPRODUCT((economics!$AG$2:$AG$167=$B54)*(economics!$D$2:$D$167="whr")*economics!$AI$2:$AI$167*(_xlfn.NORM.DIST(CB$3,economics!$AK$2:$AK$167,economics!$AJ$2:$AJ$167,TRUE)-_xlfn.NORM.DIST(CB$30,economics!$AK$2:$AK$167,economics!$AJ$2:$AJ$167,TRUE)))),"")</f>
        <v/>
      </c>
      <c r="CC54">
        <f t="array" ref="CC54">IFERROR((SUMPRODUCT((economics!$AG$2:$AG$167=$B54)*(economics!$D$2:$D$167="whr")*economics!$AI$2:$AI$167*(_xlfn.NORM.DIST(CC$3,economics!$AK$2:$AK$167,economics!$AJ$2:$AJ$167,TRUE)-_xlfn.NORM.DIST(CC$30,economics!$AK$2:$AK$167,economics!$AJ$2:$AJ$167,TRUE))*economics!$AM$2:$AM$167))/(SUMPRODUCT((economics!$AG$2:$AG$167=$B54)*(economics!$D$2:$D$167="whr")*economics!$AI$2:$AI$167*(_xlfn.NORM.DIST(CC$3,economics!$AK$2:$AK$167,economics!$AJ$2:$AJ$167,TRUE)-_xlfn.NORM.DIST(CC$30,economics!$AK$2:$AK$167,economics!$AJ$2:$AJ$167,TRUE)))),"")</f>
        <v/>
      </c>
      <c r="CD54">
        <f t="array" ref="CD54">IFERROR((SUMPRODUCT((economics!$AG$2:$AG$167=$B54)*(economics!$D$2:$D$167="whr")*economics!$AI$2:$AI$167*(_xlfn.NORM.DIST(CD$3,economics!$AK$2:$AK$167,economics!$AJ$2:$AJ$167,TRUE)-_xlfn.NORM.DIST(CD$30,economics!$AK$2:$AK$167,economics!$AJ$2:$AJ$167,TRUE))*economics!$AM$2:$AM$167))/(SUMPRODUCT((economics!$AG$2:$AG$167=$B54)*(economics!$D$2:$D$167="whr")*economics!$AI$2:$AI$167*(_xlfn.NORM.DIST(CD$3,economics!$AK$2:$AK$167,economics!$AJ$2:$AJ$167,TRUE)-_xlfn.NORM.DIST(CD$30,economics!$AK$2:$AK$167,economics!$AJ$2:$AJ$167,TRUE)))),"")</f>
        <v/>
      </c>
      <c r="CE54">
        <f t="array" ref="CE54">IFERROR((SUMPRODUCT((economics!$AG$2:$AG$167=$B54)*(economics!$D$2:$D$167="whr")*economics!$AI$2:$AI$167*(_xlfn.NORM.DIST(CE$3,economics!$AK$2:$AK$167,economics!$AJ$2:$AJ$167,TRUE)-_xlfn.NORM.DIST(CE$30,economics!$AK$2:$AK$167,economics!$AJ$2:$AJ$167,TRUE))*economics!$AM$2:$AM$167))/(SUMPRODUCT((economics!$AG$2:$AG$167=$B54)*(economics!$D$2:$D$167="whr")*economics!$AI$2:$AI$167*(_xlfn.NORM.DIST(CE$3,economics!$AK$2:$AK$167,economics!$AJ$2:$AJ$167,TRUE)-_xlfn.NORM.DIST(CE$30,economics!$AK$2:$AK$167,economics!$AJ$2:$AJ$167,TRUE)))),"")</f>
        <v/>
      </c>
      <c r="CF54">
        <f t="array" ref="CF54">IFERROR((SUMPRODUCT((economics!$AG$2:$AG$167=$B54)*(economics!$D$2:$D$167="whr")*economics!$AI$2:$AI$167*(_xlfn.NORM.DIST(CF$3,economics!$AK$2:$AK$167,economics!$AJ$2:$AJ$167,TRUE)-_xlfn.NORM.DIST(CF$30,economics!$AK$2:$AK$167,economics!$AJ$2:$AJ$167,TRUE))*economics!$AM$2:$AM$167))/(SUMPRODUCT((economics!$AG$2:$AG$167=$B54)*(economics!$D$2:$D$167="whr")*economics!$AI$2:$AI$167*(_xlfn.NORM.DIST(CF$3,economics!$AK$2:$AK$167,economics!$AJ$2:$AJ$167,TRUE)-_xlfn.NORM.DIST(CF$30,economics!$AK$2:$AK$167,economics!$AJ$2:$AJ$167,TRUE)))),"")</f>
        <v/>
      </c>
      <c r="CG54">
        <f t="array" ref="CG54">IFERROR((SUMPRODUCT((economics!$AG$2:$AG$167=$B54)*(economics!$D$2:$D$167="whr")*economics!$AI$2:$AI$167*(_xlfn.NORM.DIST(CG$3,economics!$AK$2:$AK$167,economics!$AJ$2:$AJ$167,TRUE)-_xlfn.NORM.DIST(CG$30,economics!$AK$2:$AK$167,economics!$AJ$2:$AJ$167,TRUE))*economics!$AM$2:$AM$167))/(SUMPRODUCT((economics!$AG$2:$AG$167=$B54)*(economics!$D$2:$D$167="whr")*economics!$AI$2:$AI$167*(_xlfn.NORM.DIST(CG$3,economics!$AK$2:$AK$167,economics!$AJ$2:$AJ$167,TRUE)-_xlfn.NORM.DIST(CG$30,economics!$AK$2:$AK$167,economics!$AJ$2:$AJ$167,TRUE)))),"")</f>
        <v/>
      </c>
      <c r="CH54">
        <f t="array" ref="CH54">IFERROR((SUMPRODUCT((economics!$AG$2:$AG$167=$B54)*(economics!$D$2:$D$167="whr")*economics!$AI$2:$AI$167*(_xlfn.NORM.DIST(CH$3,economics!$AK$2:$AK$167,economics!$AJ$2:$AJ$167,TRUE)-_xlfn.NORM.DIST(CH$30,economics!$AK$2:$AK$167,economics!$AJ$2:$AJ$167,TRUE))*economics!$AM$2:$AM$167))/(SUMPRODUCT((economics!$AG$2:$AG$167=$B54)*(economics!$D$2:$D$167="whr")*economics!$AI$2:$AI$167*(_xlfn.NORM.DIST(CH$3,economics!$AK$2:$AK$167,economics!$AJ$2:$AJ$167,TRUE)-_xlfn.NORM.DIST(CH$30,economics!$AK$2:$AK$167,economics!$AJ$2:$AJ$167,TRUE)))),"")</f>
        <v/>
      </c>
    </row>
    <row r="55">
      <c r="A55">
        <f>A26</f>
        <v/>
      </c>
      <c r="B55">
        <f>B26</f>
        <v/>
      </c>
      <c r="E55">
        <f t="array" ref="E55">IFERROR((SUMPRODUCT((economics!$AG$2:$AG$167=$B55)*(economics!$D$2:$D$167="whr")*economics!$AI$2:$AI$167*(_xlfn.NORM.DIST(E$3,economics!$AK$2:$AK$167,economics!$AJ$2:$AJ$167,TRUE)-_xlfn.NORM.DIST(E$30,economics!$AK$2:$AK$167,economics!$AJ$2:$AJ$167,TRUE))*economics!$AM$2:$AM$167))/(SUMPRODUCT((economics!$AG$2:$AG$167=$B55)*(economics!$D$2:$D$167="whr")*economics!$AI$2:$AI$167*(_xlfn.NORM.DIST(E$3,economics!$AK$2:$AK$167,economics!$AJ$2:$AJ$167,TRUE)-_xlfn.NORM.DIST(E$30,economics!$AK$2:$AK$167,economics!$AJ$2:$AJ$167,TRUE)))),"")</f>
        <v/>
      </c>
      <c r="F55">
        <f t="array" ref="F55">IFERROR((SUMPRODUCT((economics!$AG$2:$AG$167=$B55)*(economics!$D$2:$D$167="whr")*economics!$AI$2:$AI$167*(_xlfn.NORM.DIST(F$3,economics!$AK$2:$AK$167,economics!$AJ$2:$AJ$167,TRUE)-_xlfn.NORM.DIST(F$30,economics!$AK$2:$AK$167,economics!$AJ$2:$AJ$167,TRUE))*economics!$AM$2:$AM$167))/(SUMPRODUCT((economics!$AG$2:$AG$167=$B55)*(economics!$D$2:$D$167="whr")*economics!$AI$2:$AI$167*(_xlfn.NORM.DIST(F$3,economics!$AK$2:$AK$167,economics!$AJ$2:$AJ$167,TRUE)-_xlfn.NORM.DIST(F$30,economics!$AK$2:$AK$167,economics!$AJ$2:$AJ$167,TRUE)))),"")</f>
        <v/>
      </c>
      <c r="G55">
        <f t="array" ref="G55">IFERROR((SUMPRODUCT((economics!$AG$2:$AG$167=$B55)*(economics!$D$2:$D$167="whr")*economics!$AI$2:$AI$167*(_xlfn.NORM.DIST(G$3,economics!$AK$2:$AK$167,economics!$AJ$2:$AJ$167,TRUE)-_xlfn.NORM.DIST(G$30,economics!$AK$2:$AK$167,economics!$AJ$2:$AJ$167,TRUE))*economics!$AM$2:$AM$167))/(SUMPRODUCT((economics!$AG$2:$AG$167=$B55)*(economics!$D$2:$D$167="whr")*economics!$AI$2:$AI$167*(_xlfn.NORM.DIST(G$3,economics!$AK$2:$AK$167,economics!$AJ$2:$AJ$167,TRUE)-_xlfn.NORM.DIST(G$30,economics!$AK$2:$AK$167,economics!$AJ$2:$AJ$167,TRUE)))),"")</f>
        <v/>
      </c>
      <c r="H55">
        <f t="array" ref="H55">IFERROR((SUMPRODUCT((economics!$AG$2:$AG$167=$B55)*(economics!$D$2:$D$167="whr")*economics!$AI$2:$AI$167*(_xlfn.NORM.DIST(H$3,economics!$AK$2:$AK$167,economics!$AJ$2:$AJ$167,TRUE)-_xlfn.NORM.DIST(H$30,economics!$AK$2:$AK$167,economics!$AJ$2:$AJ$167,TRUE))*economics!$AM$2:$AM$167))/(SUMPRODUCT((economics!$AG$2:$AG$167=$B55)*(economics!$D$2:$D$167="whr")*economics!$AI$2:$AI$167*(_xlfn.NORM.DIST(H$3,economics!$AK$2:$AK$167,economics!$AJ$2:$AJ$167,TRUE)-_xlfn.NORM.DIST(H$30,economics!$AK$2:$AK$167,economics!$AJ$2:$AJ$167,TRUE)))),"")</f>
        <v/>
      </c>
      <c r="I55">
        <f t="array" ref="I55">IFERROR((SUMPRODUCT((economics!$AG$2:$AG$167=$B55)*(economics!$D$2:$D$167="whr")*economics!$AI$2:$AI$167*(_xlfn.NORM.DIST(I$3,economics!$AK$2:$AK$167,economics!$AJ$2:$AJ$167,TRUE)-_xlfn.NORM.DIST(I$30,economics!$AK$2:$AK$167,economics!$AJ$2:$AJ$167,TRUE))*economics!$AM$2:$AM$167))/(SUMPRODUCT((economics!$AG$2:$AG$167=$B55)*(economics!$D$2:$D$167="whr")*economics!$AI$2:$AI$167*(_xlfn.NORM.DIST(I$3,economics!$AK$2:$AK$167,economics!$AJ$2:$AJ$167,TRUE)-_xlfn.NORM.DIST(I$30,economics!$AK$2:$AK$167,economics!$AJ$2:$AJ$167,TRUE)))),"")</f>
        <v/>
      </c>
      <c r="J55">
        <f t="array" ref="J55">IFERROR((SUMPRODUCT((economics!$AG$2:$AG$167=$B55)*(economics!$D$2:$D$167="whr")*economics!$AI$2:$AI$167*(_xlfn.NORM.DIST(J$3,economics!$AK$2:$AK$167,economics!$AJ$2:$AJ$167,TRUE)-_xlfn.NORM.DIST(J$30,economics!$AK$2:$AK$167,economics!$AJ$2:$AJ$167,TRUE))*economics!$AM$2:$AM$167))/(SUMPRODUCT((economics!$AG$2:$AG$167=$B55)*(economics!$D$2:$D$167="whr")*economics!$AI$2:$AI$167*(_xlfn.NORM.DIST(J$3,economics!$AK$2:$AK$167,economics!$AJ$2:$AJ$167,TRUE)-_xlfn.NORM.DIST(J$30,economics!$AK$2:$AK$167,economics!$AJ$2:$AJ$167,TRUE)))),"")</f>
        <v/>
      </c>
      <c r="K55">
        <f t="array" ref="K55">IFERROR((SUMPRODUCT((economics!$AG$2:$AG$167=$B55)*(economics!$D$2:$D$167="whr")*economics!$AI$2:$AI$167*(_xlfn.NORM.DIST(K$3,economics!$AK$2:$AK$167,economics!$AJ$2:$AJ$167,TRUE)-_xlfn.NORM.DIST(K$30,economics!$AK$2:$AK$167,economics!$AJ$2:$AJ$167,TRUE))*economics!$AM$2:$AM$167))/(SUMPRODUCT((economics!$AG$2:$AG$167=$B55)*(economics!$D$2:$D$167="whr")*economics!$AI$2:$AI$167*(_xlfn.NORM.DIST(K$3,economics!$AK$2:$AK$167,economics!$AJ$2:$AJ$167,TRUE)-_xlfn.NORM.DIST(K$30,economics!$AK$2:$AK$167,economics!$AJ$2:$AJ$167,TRUE)))),"")</f>
        <v/>
      </c>
      <c r="L55">
        <f t="array" ref="L55">IFERROR((SUMPRODUCT((economics!$AG$2:$AG$167=$B55)*(economics!$D$2:$D$167="whr")*economics!$AI$2:$AI$167*(_xlfn.NORM.DIST(L$3,economics!$AK$2:$AK$167,economics!$AJ$2:$AJ$167,TRUE)-_xlfn.NORM.DIST(L$30,economics!$AK$2:$AK$167,economics!$AJ$2:$AJ$167,TRUE))*economics!$AM$2:$AM$167))/(SUMPRODUCT((economics!$AG$2:$AG$167=$B55)*(economics!$D$2:$D$167="whr")*economics!$AI$2:$AI$167*(_xlfn.NORM.DIST(L$3,economics!$AK$2:$AK$167,economics!$AJ$2:$AJ$167,TRUE)-_xlfn.NORM.DIST(L$30,economics!$AK$2:$AK$167,economics!$AJ$2:$AJ$167,TRUE)))),"")</f>
        <v/>
      </c>
      <c r="M55">
        <f t="array" ref="M55">IFERROR((SUMPRODUCT((economics!$AG$2:$AG$167=$B55)*(economics!$D$2:$D$167="whr")*economics!$AI$2:$AI$167*(_xlfn.NORM.DIST(M$3,economics!$AK$2:$AK$167,economics!$AJ$2:$AJ$167,TRUE)-_xlfn.NORM.DIST(M$30,economics!$AK$2:$AK$167,economics!$AJ$2:$AJ$167,TRUE))*economics!$AM$2:$AM$167))/(SUMPRODUCT((economics!$AG$2:$AG$167=$B55)*(economics!$D$2:$D$167="whr")*economics!$AI$2:$AI$167*(_xlfn.NORM.DIST(M$3,economics!$AK$2:$AK$167,economics!$AJ$2:$AJ$167,TRUE)-_xlfn.NORM.DIST(M$30,economics!$AK$2:$AK$167,economics!$AJ$2:$AJ$167,TRUE)))),"")</f>
        <v/>
      </c>
      <c r="N55">
        <f t="array" ref="N55">IFERROR((SUMPRODUCT((economics!$AG$2:$AG$167=$B55)*(economics!$D$2:$D$167="whr")*economics!$AI$2:$AI$167*(_xlfn.NORM.DIST(N$3,economics!$AK$2:$AK$167,economics!$AJ$2:$AJ$167,TRUE)-_xlfn.NORM.DIST(N$30,economics!$AK$2:$AK$167,economics!$AJ$2:$AJ$167,TRUE))*economics!$AM$2:$AM$167))/(SUMPRODUCT((economics!$AG$2:$AG$167=$B55)*(economics!$D$2:$D$167="whr")*economics!$AI$2:$AI$167*(_xlfn.NORM.DIST(N$3,economics!$AK$2:$AK$167,economics!$AJ$2:$AJ$167,TRUE)-_xlfn.NORM.DIST(N$30,economics!$AK$2:$AK$167,economics!$AJ$2:$AJ$167,TRUE)))),"")</f>
        <v/>
      </c>
      <c r="O55">
        <f t="array" ref="O55">IFERROR((SUMPRODUCT((economics!$AG$2:$AG$167=$B55)*(economics!$D$2:$D$167="whr")*economics!$AI$2:$AI$167*(_xlfn.NORM.DIST(O$3,economics!$AK$2:$AK$167,economics!$AJ$2:$AJ$167,TRUE)-_xlfn.NORM.DIST(O$30,economics!$AK$2:$AK$167,economics!$AJ$2:$AJ$167,TRUE))*economics!$AM$2:$AM$167))/(SUMPRODUCT((economics!$AG$2:$AG$167=$B55)*(economics!$D$2:$D$167="whr")*economics!$AI$2:$AI$167*(_xlfn.NORM.DIST(O$3,economics!$AK$2:$AK$167,economics!$AJ$2:$AJ$167,TRUE)-_xlfn.NORM.DIST(O$30,economics!$AK$2:$AK$167,economics!$AJ$2:$AJ$167,TRUE)))),"")</f>
        <v/>
      </c>
      <c r="P55">
        <f t="array" ref="P55">IFERROR((SUMPRODUCT((economics!$AG$2:$AG$167=$B55)*(economics!$D$2:$D$167="whr")*economics!$AI$2:$AI$167*(_xlfn.NORM.DIST(P$3,economics!$AK$2:$AK$167,economics!$AJ$2:$AJ$167,TRUE)-_xlfn.NORM.DIST(P$30,economics!$AK$2:$AK$167,economics!$AJ$2:$AJ$167,TRUE))*economics!$AM$2:$AM$167))/(SUMPRODUCT((economics!$AG$2:$AG$167=$B55)*(economics!$D$2:$D$167="whr")*economics!$AI$2:$AI$167*(_xlfn.NORM.DIST(P$3,economics!$AK$2:$AK$167,economics!$AJ$2:$AJ$167,TRUE)-_xlfn.NORM.DIST(P$30,economics!$AK$2:$AK$167,economics!$AJ$2:$AJ$167,TRUE)))),"")</f>
        <v/>
      </c>
      <c r="Q55">
        <f t="array" ref="Q55">IFERROR((SUMPRODUCT((economics!$AG$2:$AG$167=$B55)*(economics!$D$2:$D$167="whr")*economics!$AI$2:$AI$167*(_xlfn.NORM.DIST(Q$3,economics!$AK$2:$AK$167,economics!$AJ$2:$AJ$167,TRUE)-_xlfn.NORM.DIST(Q$30,economics!$AK$2:$AK$167,economics!$AJ$2:$AJ$167,TRUE))*economics!$AM$2:$AM$167))/(SUMPRODUCT((economics!$AG$2:$AG$167=$B55)*(economics!$D$2:$D$167="whr")*economics!$AI$2:$AI$167*(_xlfn.NORM.DIST(Q$3,economics!$AK$2:$AK$167,economics!$AJ$2:$AJ$167,TRUE)-_xlfn.NORM.DIST(Q$30,economics!$AK$2:$AK$167,economics!$AJ$2:$AJ$167,TRUE)))),"")</f>
        <v/>
      </c>
      <c r="R55">
        <f t="array" ref="R55">IFERROR((SUMPRODUCT((economics!$AG$2:$AG$167=$B55)*(economics!$D$2:$D$167="whr")*economics!$AI$2:$AI$167*(_xlfn.NORM.DIST(R$3,economics!$AK$2:$AK$167,economics!$AJ$2:$AJ$167,TRUE)-_xlfn.NORM.DIST(R$30,economics!$AK$2:$AK$167,economics!$AJ$2:$AJ$167,TRUE))*economics!$AM$2:$AM$167))/(SUMPRODUCT((economics!$AG$2:$AG$167=$B55)*(economics!$D$2:$D$167="whr")*economics!$AI$2:$AI$167*(_xlfn.NORM.DIST(R$3,economics!$AK$2:$AK$167,economics!$AJ$2:$AJ$167,TRUE)-_xlfn.NORM.DIST(R$30,economics!$AK$2:$AK$167,economics!$AJ$2:$AJ$167,TRUE)))),"")</f>
        <v/>
      </c>
      <c r="S55">
        <f t="array" ref="S55">IFERROR((SUMPRODUCT((economics!$AG$2:$AG$167=$B55)*(economics!$D$2:$D$167="whr")*economics!$AI$2:$AI$167*(_xlfn.NORM.DIST(S$3,economics!$AK$2:$AK$167,economics!$AJ$2:$AJ$167,TRUE)-_xlfn.NORM.DIST(S$30,economics!$AK$2:$AK$167,economics!$AJ$2:$AJ$167,TRUE))*economics!$AM$2:$AM$167))/(SUMPRODUCT((economics!$AG$2:$AG$167=$B55)*(economics!$D$2:$D$167="whr")*economics!$AI$2:$AI$167*(_xlfn.NORM.DIST(S$3,economics!$AK$2:$AK$167,economics!$AJ$2:$AJ$167,TRUE)-_xlfn.NORM.DIST(S$30,economics!$AK$2:$AK$167,economics!$AJ$2:$AJ$167,TRUE)))),"")</f>
        <v/>
      </c>
      <c r="T55">
        <f t="array" ref="T55">IFERROR((SUMPRODUCT((economics!$AG$2:$AG$167=$B55)*(economics!$D$2:$D$167="whr")*economics!$AI$2:$AI$167*(_xlfn.NORM.DIST(T$3,economics!$AK$2:$AK$167,economics!$AJ$2:$AJ$167,TRUE)-_xlfn.NORM.DIST(T$30,economics!$AK$2:$AK$167,economics!$AJ$2:$AJ$167,TRUE))*economics!$AM$2:$AM$167))/(SUMPRODUCT((economics!$AG$2:$AG$167=$B55)*(economics!$D$2:$D$167="whr")*economics!$AI$2:$AI$167*(_xlfn.NORM.DIST(T$3,economics!$AK$2:$AK$167,economics!$AJ$2:$AJ$167,TRUE)-_xlfn.NORM.DIST(T$30,economics!$AK$2:$AK$167,economics!$AJ$2:$AJ$167,TRUE)))),"")</f>
        <v/>
      </c>
      <c r="U55">
        <f t="array" ref="U55">IFERROR((SUMPRODUCT((economics!$AG$2:$AG$167=$B55)*(economics!$D$2:$D$167="whr")*economics!$AI$2:$AI$167*(_xlfn.NORM.DIST(U$3,economics!$AK$2:$AK$167,economics!$AJ$2:$AJ$167,TRUE)-_xlfn.NORM.DIST(U$30,economics!$AK$2:$AK$167,economics!$AJ$2:$AJ$167,TRUE))*economics!$AM$2:$AM$167))/(SUMPRODUCT((economics!$AG$2:$AG$167=$B55)*(economics!$D$2:$D$167="whr")*economics!$AI$2:$AI$167*(_xlfn.NORM.DIST(U$3,economics!$AK$2:$AK$167,economics!$AJ$2:$AJ$167,TRUE)-_xlfn.NORM.DIST(U$30,economics!$AK$2:$AK$167,economics!$AJ$2:$AJ$167,TRUE)))),"")</f>
        <v/>
      </c>
      <c r="V55">
        <f t="array" ref="V55">IFERROR((SUMPRODUCT((economics!$AG$2:$AG$167=$B55)*(economics!$D$2:$D$167="whr")*economics!$AI$2:$AI$167*(_xlfn.NORM.DIST(V$3,economics!$AK$2:$AK$167,economics!$AJ$2:$AJ$167,TRUE)-_xlfn.NORM.DIST(V$30,economics!$AK$2:$AK$167,economics!$AJ$2:$AJ$167,TRUE))*economics!$AM$2:$AM$167))/(SUMPRODUCT((economics!$AG$2:$AG$167=$B55)*(economics!$D$2:$D$167="whr")*economics!$AI$2:$AI$167*(_xlfn.NORM.DIST(V$3,economics!$AK$2:$AK$167,economics!$AJ$2:$AJ$167,TRUE)-_xlfn.NORM.DIST(V$30,economics!$AK$2:$AK$167,economics!$AJ$2:$AJ$167,TRUE)))),"")</f>
        <v/>
      </c>
      <c r="W55">
        <f t="array" ref="W55">IFERROR((SUMPRODUCT((economics!$AG$2:$AG$167=$B55)*(economics!$D$2:$D$167="whr")*economics!$AI$2:$AI$167*(_xlfn.NORM.DIST(W$3,economics!$AK$2:$AK$167,economics!$AJ$2:$AJ$167,TRUE)-_xlfn.NORM.DIST(W$30,economics!$AK$2:$AK$167,economics!$AJ$2:$AJ$167,TRUE))*economics!$AM$2:$AM$167))/(SUMPRODUCT((economics!$AG$2:$AG$167=$B55)*(economics!$D$2:$D$167="whr")*economics!$AI$2:$AI$167*(_xlfn.NORM.DIST(W$3,economics!$AK$2:$AK$167,economics!$AJ$2:$AJ$167,TRUE)-_xlfn.NORM.DIST(W$30,economics!$AK$2:$AK$167,economics!$AJ$2:$AJ$167,TRUE)))),"")</f>
        <v/>
      </c>
      <c r="X55">
        <f t="array" ref="X55">IFERROR((SUMPRODUCT((economics!$AG$2:$AG$167=$B55)*(economics!$D$2:$D$167="whr")*economics!$AI$2:$AI$167*(_xlfn.NORM.DIST(X$3,economics!$AK$2:$AK$167,economics!$AJ$2:$AJ$167,TRUE)-_xlfn.NORM.DIST(X$30,economics!$AK$2:$AK$167,economics!$AJ$2:$AJ$167,TRUE))*economics!$AM$2:$AM$167))/(SUMPRODUCT((economics!$AG$2:$AG$167=$B55)*(economics!$D$2:$D$167="whr")*economics!$AI$2:$AI$167*(_xlfn.NORM.DIST(X$3,economics!$AK$2:$AK$167,economics!$AJ$2:$AJ$167,TRUE)-_xlfn.NORM.DIST(X$30,economics!$AK$2:$AK$167,economics!$AJ$2:$AJ$167,TRUE)))),"")</f>
        <v/>
      </c>
      <c r="Y55">
        <f t="array" ref="Y55">IFERROR((SUMPRODUCT((economics!$AG$2:$AG$167=$B55)*(economics!$D$2:$D$167="whr")*economics!$AI$2:$AI$167*(_xlfn.NORM.DIST(Y$3,economics!$AK$2:$AK$167,economics!$AJ$2:$AJ$167,TRUE)-_xlfn.NORM.DIST(Y$30,economics!$AK$2:$AK$167,economics!$AJ$2:$AJ$167,TRUE))*economics!$AM$2:$AM$167))/(SUMPRODUCT((economics!$AG$2:$AG$167=$B55)*(economics!$D$2:$D$167="whr")*economics!$AI$2:$AI$167*(_xlfn.NORM.DIST(Y$3,economics!$AK$2:$AK$167,economics!$AJ$2:$AJ$167,TRUE)-_xlfn.NORM.DIST(Y$30,economics!$AK$2:$AK$167,economics!$AJ$2:$AJ$167,TRUE)))),"")</f>
        <v/>
      </c>
      <c r="Z55">
        <f t="array" ref="Z55">IFERROR((SUMPRODUCT((economics!$AG$2:$AG$167=$B55)*(economics!$D$2:$D$167="whr")*economics!$AI$2:$AI$167*(_xlfn.NORM.DIST(Z$3,economics!$AK$2:$AK$167,economics!$AJ$2:$AJ$167,TRUE)-_xlfn.NORM.DIST(Z$30,economics!$AK$2:$AK$167,economics!$AJ$2:$AJ$167,TRUE))*economics!$AM$2:$AM$167))/(SUMPRODUCT((economics!$AG$2:$AG$167=$B55)*(economics!$D$2:$D$167="whr")*economics!$AI$2:$AI$167*(_xlfn.NORM.DIST(Z$3,economics!$AK$2:$AK$167,economics!$AJ$2:$AJ$167,TRUE)-_xlfn.NORM.DIST(Z$30,economics!$AK$2:$AK$167,economics!$AJ$2:$AJ$167,TRUE)))),"")</f>
        <v/>
      </c>
      <c r="AA55">
        <f t="array" ref="AA55">IFERROR((SUMPRODUCT((economics!$AG$2:$AG$167=$B55)*(economics!$D$2:$D$167="whr")*economics!$AI$2:$AI$167*(_xlfn.NORM.DIST(AA$3,economics!$AK$2:$AK$167,economics!$AJ$2:$AJ$167,TRUE)-_xlfn.NORM.DIST(AA$30,economics!$AK$2:$AK$167,economics!$AJ$2:$AJ$167,TRUE))*economics!$AM$2:$AM$167))/(SUMPRODUCT((economics!$AG$2:$AG$167=$B55)*(economics!$D$2:$D$167="whr")*economics!$AI$2:$AI$167*(_xlfn.NORM.DIST(AA$3,economics!$AK$2:$AK$167,economics!$AJ$2:$AJ$167,TRUE)-_xlfn.NORM.DIST(AA$30,economics!$AK$2:$AK$167,economics!$AJ$2:$AJ$167,TRUE)))),"")</f>
        <v/>
      </c>
      <c r="AB55">
        <f t="array" ref="AB55">IFERROR((SUMPRODUCT((economics!$AG$2:$AG$167=$B55)*(economics!$D$2:$D$167="whr")*economics!$AI$2:$AI$167*(_xlfn.NORM.DIST(AB$3,economics!$AK$2:$AK$167,economics!$AJ$2:$AJ$167,TRUE)-_xlfn.NORM.DIST(AB$30,economics!$AK$2:$AK$167,economics!$AJ$2:$AJ$167,TRUE))*economics!$AM$2:$AM$167))/(SUMPRODUCT((economics!$AG$2:$AG$167=$B55)*(economics!$D$2:$D$167="whr")*economics!$AI$2:$AI$167*(_xlfn.NORM.DIST(AB$3,economics!$AK$2:$AK$167,economics!$AJ$2:$AJ$167,TRUE)-_xlfn.NORM.DIST(AB$30,economics!$AK$2:$AK$167,economics!$AJ$2:$AJ$167,TRUE)))),"")</f>
        <v/>
      </c>
      <c r="AC55">
        <f t="array" ref="AC55">IFERROR((SUMPRODUCT((economics!$AG$2:$AG$167=$B55)*(economics!$D$2:$D$167="whr")*economics!$AI$2:$AI$167*(_xlfn.NORM.DIST(AC$3,economics!$AK$2:$AK$167,economics!$AJ$2:$AJ$167,TRUE)-_xlfn.NORM.DIST(AC$30,economics!$AK$2:$AK$167,economics!$AJ$2:$AJ$167,TRUE))*economics!$AM$2:$AM$167))/(SUMPRODUCT((economics!$AG$2:$AG$167=$B55)*(economics!$D$2:$D$167="whr")*economics!$AI$2:$AI$167*(_xlfn.NORM.DIST(AC$3,economics!$AK$2:$AK$167,economics!$AJ$2:$AJ$167,TRUE)-_xlfn.NORM.DIST(AC$30,economics!$AK$2:$AK$167,economics!$AJ$2:$AJ$167,TRUE)))),"")</f>
        <v/>
      </c>
      <c r="AD55">
        <f t="array" ref="AD55">IFERROR((SUMPRODUCT((economics!$AG$2:$AG$167=$B55)*(economics!$D$2:$D$167="whr")*economics!$AI$2:$AI$167*(_xlfn.NORM.DIST(AD$3,economics!$AK$2:$AK$167,economics!$AJ$2:$AJ$167,TRUE)-_xlfn.NORM.DIST(AD$30,economics!$AK$2:$AK$167,economics!$AJ$2:$AJ$167,TRUE))*economics!$AM$2:$AM$167))/(SUMPRODUCT((economics!$AG$2:$AG$167=$B55)*(economics!$D$2:$D$167="whr")*economics!$AI$2:$AI$167*(_xlfn.NORM.DIST(AD$3,economics!$AK$2:$AK$167,economics!$AJ$2:$AJ$167,TRUE)-_xlfn.NORM.DIST(AD$30,economics!$AK$2:$AK$167,economics!$AJ$2:$AJ$167,TRUE)))),"")</f>
        <v/>
      </c>
      <c r="AE55">
        <f t="array" ref="AE55">IFERROR((SUMPRODUCT((economics!$AG$2:$AG$167=$B55)*(economics!$D$2:$D$167="whr")*economics!$AI$2:$AI$167*(_xlfn.NORM.DIST(AE$3,economics!$AK$2:$AK$167,economics!$AJ$2:$AJ$167,TRUE)-_xlfn.NORM.DIST(AE$30,economics!$AK$2:$AK$167,economics!$AJ$2:$AJ$167,TRUE))*economics!$AM$2:$AM$167))/(SUMPRODUCT((economics!$AG$2:$AG$167=$B55)*(economics!$D$2:$D$167="whr")*economics!$AI$2:$AI$167*(_xlfn.NORM.DIST(AE$3,economics!$AK$2:$AK$167,economics!$AJ$2:$AJ$167,TRUE)-_xlfn.NORM.DIST(AE$30,economics!$AK$2:$AK$167,economics!$AJ$2:$AJ$167,TRUE)))),"")</f>
        <v/>
      </c>
      <c r="AF55">
        <f t="array" ref="AF55">IFERROR((SUMPRODUCT((economics!$AG$2:$AG$167=$B55)*(economics!$D$2:$D$167="whr")*economics!$AI$2:$AI$167*(_xlfn.NORM.DIST(AF$3,economics!$AK$2:$AK$167,economics!$AJ$2:$AJ$167,TRUE)-_xlfn.NORM.DIST(AF$30,economics!$AK$2:$AK$167,economics!$AJ$2:$AJ$167,TRUE))*economics!$AM$2:$AM$167))/(SUMPRODUCT((economics!$AG$2:$AG$167=$B55)*(economics!$D$2:$D$167="whr")*economics!$AI$2:$AI$167*(_xlfn.NORM.DIST(AF$3,economics!$AK$2:$AK$167,economics!$AJ$2:$AJ$167,TRUE)-_xlfn.NORM.DIST(AF$30,economics!$AK$2:$AK$167,economics!$AJ$2:$AJ$167,TRUE)))),"")</f>
        <v/>
      </c>
      <c r="AG55">
        <f t="array" ref="AG55">IFERROR((SUMPRODUCT((economics!$AG$2:$AG$167=$B55)*(economics!$D$2:$D$167="whr")*economics!$AI$2:$AI$167*(_xlfn.NORM.DIST(AG$3,economics!$AK$2:$AK$167,economics!$AJ$2:$AJ$167,TRUE)-_xlfn.NORM.DIST(AG$30,economics!$AK$2:$AK$167,economics!$AJ$2:$AJ$167,TRUE))*economics!$AM$2:$AM$167))/(SUMPRODUCT((economics!$AG$2:$AG$167=$B55)*(economics!$D$2:$D$167="whr")*economics!$AI$2:$AI$167*(_xlfn.NORM.DIST(AG$3,economics!$AK$2:$AK$167,economics!$AJ$2:$AJ$167,TRUE)-_xlfn.NORM.DIST(AG$30,economics!$AK$2:$AK$167,economics!$AJ$2:$AJ$167,TRUE)))),"")</f>
        <v/>
      </c>
      <c r="AH55">
        <f t="array" ref="AH55">IFERROR((SUMPRODUCT((economics!$AG$2:$AG$167=$B55)*(economics!$D$2:$D$167="whr")*economics!$AI$2:$AI$167*(_xlfn.NORM.DIST(AH$3,economics!$AK$2:$AK$167,economics!$AJ$2:$AJ$167,TRUE)-_xlfn.NORM.DIST(AH$30,economics!$AK$2:$AK$167,economics!$AJ$2:$AJ$167,TRUE))*economics!$AM$2:$AM$167))/(SUMPRODUCT((economics!$AG$2:$AG$167=$B55)*(economics!$D$2:$D$167="whr")*economics!$AI$2:$AI$167*(_xlfn.NORM.DIST(AH$3,economics!$AK$2:$AK$167,economics!$AJ$2:$AJ$167,TRUE)-_xlfn.NORM.DIST(AH$30,economics!$AK$2:$AK$167,economics!$AJ$2:$AJ$167,TRUE)))),"")</f>
        <v/>
      </c>
      <c r="AI55">
        <f t="array" ref="AI55">IFERROR((SUMPRODUCT((economics!$AG$2:$AG$167=$B55)*(economics!$D$2:$D$167="whr")*economics!$AI$2:$AI$167*(_xlfn.NORM.DIST(AI$3,economics!$AK$2:$AK$167,economics!$AJ$2:$AJ$167,TRUE)-_xlfn.NORM.DIST(AI$30,economics!$AK$2:$AK$167,economics!$AJ$2:$AJ$167,TRUE))*economics!$AM$2:$AM$167))/(SUMPRODUCT((economics!$AG$2:$AG$167=$B55)*(economics!$D$2:$D$167="whr")*economics!$AI$2:$AI$167*(_xlfn.NORM.DIST(AI$3,economics!$AK$2:$AK$167,economics!$AJ$2:$AJ$167,TRUE)-_xlfn.NORM.DIST(AI$30,economics!$AK$2:$AK$167,economics!$AJ$2:$AJ$167,TRUE)))),"")</f>
        <v/>
      </c>
      <c r="AJ55">
        <f t="array" ref="AJ55">IFERROR((SUMPRODUCT((economics!$AG$2:$AG$167=$B55)*(economics!$D$2:$D$167="whr")*economics!$AI$2:$AI$167*(_xlfn.NORM.DIST(AJ$3,economics!$AK$2:$AK$167,economics!$AJ$2:$AJ$167,TRUE)-_xlfn.NORM.DIST(AJ$30,economics!$AK$2:$AK$167,economics!$AJ$2:$AJ$167,TRUE))*economics!$AM$2:$AM$167))/(SUMPRODUCT((economics!$AG$2:$AG$167=$B55)*(economics!$D$2:$D$167="whr")*economics!$AI$2:$AI$167*(_xlfn.NORM.DIST(AJ$3,economics!$AK$2:$AK$167,economics!$AJ$2:$AJ$167,TRUE)-_xlfn.NORM.DIST(AJ$30,economics!$AK$2:$AK$167,economics!$AJ$2:$AJ$167,TRUE)))),"")</f>
        <v/>
      </c>
      <c r="AK55">
        <f t="array" ref="AK55">IFERROR((SUMPRODUCT((economics!$AG$2:$AG$167=$B55)*(economics!$D$2:$D$167="whr")*economics!$AI$2:$AI$167*(_xlfn.NORM.DIST(AK$3,economics!$AK$2:$AK$167,economics!$AJ$2:$AJ$167,TRUE)-_xlfn.NORM.DIST(AK$30,economics!$AK$2:$AK$167,economics!$AJ$2:$AJ$167,TRUE))*economics!$AM$2:$AM$167))/(SUMPRODUCT((economics!$AG$2:$AG$167=$B55)*(economics!$D$2:$D$167="whr")*economics!$AI$2:$AI$167*(_xlfn.NORM.DIST(AK$3,economics!$AK$2:$AK$167,economics!$AJ$2:$AJ$167,TRUE)-_xlfn.NORM.DIST(AK$30,economics!$AK$2:$AK$167,economics!$AJ$2:$AJ$167,TRUE)))),"")</f>
        <v/>
      </c>
      <c r="AL55">
        <f t="array" ref="AL55">IFERROR((SUMPRODUCT((economics!$AG$2:$AG$167=$B55)*(economics!$D$2:$D$167="whr")*economics!$AI$2:$AI$167*(_xlfn.NORM.DIST(AL$3,economics!$AK$2:$AK$167,economics!$AJ$2:$AJ$167,TRUE)-_xlfn.NORM.DIST(AL$30,economics!$AK$2:$AK$167,economics!$AJ$2:$AJ$167,TRUE))*economics!$AM$2:$AM$167))/(SUMPRODUCT((economics!$AG$2:$AG$167=$B55)*(economics!$D$2:$D$167="whr")*economics!$AI$2:$AI$167*(_xlfn.NORM.DIST(AL$3,economics!$AK$2:$AK$167,economics!$AJ$2:$AJ$167,TRUE)-_xlfn.NORM.DIST(AL$30,economics!$AK$2:$AK$167,economics!$AJ$2:$AJ$167,TRUE)))),"")</f>
        <v/>
      </c>
      <c r="AM55">
        <f t="array" ref="AM55">IFERROR((SUMPRODUCT((economics!$AG$2:$AG$167=$B55)*(economics!$D$2:$D$167="whr")*economics!$AI$2:$AI$167*(_xlfn.NORM.DIST(AM$3,economics!$AK$2:$AK$167,economics!$AJ$2:$AJ$167,TRUE)-_xlfn.NORM.DIST(AM$30,economics!$AK$2:$AK$167,economics!$AJ$2:$AJ$167,TRUE))*economics!$AM$2:$AM$167))/(SUMPRODUCT((economics!$AG$2:$AG$167=$B55)*(economics!$D$2:$D$167="whr")*economics!$AI$2:$AI$167*(_xlfn.NORM.DIST(AM$3,economics!$AK$2:$AK$167,economics!$AJ$2:$AJ$167,TRUE)-_xlfn.NORM.DIST(AM$30,economics!$AK$2:$AK$167,economics!$AJ$2:$AJ$167,TRUE)))),"")</f>
        <v/>
      </c>
      <c r="AN55">
        <f t="array" ref="AN55">IFERROR((SUMPRODUCT((economics!$AG$2:$AG$167=$B55)*(economics!$D$2:$D$167="whr")*economics!$AI$2:$AI$167*(_xlfn.NORM.DIST(AN$3,economics!$AK$2:$AK$167,economics!$AJ$2:$AJ$167,TRUE)-_xlfn.NORM.DIST(AN$30,economics!$AK$2:$AK$167,economics!$AJ$2:$AJ$167,TRUE))*economics!$AM$2:$AM$167))/(SUMPRODUCT((economics!$AG$2:$AG$167=$B55)*(economics!$D$2:$D$167="whr")*economics!$AI$2:$AI$167*(_xlfn.NORM.DIST(AN$3,economics!$AK$2:$AK$167,economics!$AJ$2:$AJ$167,TRUE)-_xlfn.NORM.DIST(AN$30,economics!$AK$2:$AK$167,economics!$AJ$2:$AJ$167,TRUE)))),"")</f>
        <v/>
      </c>
      <c r="AO55">
        <f t="array" ref="AO55">IFERROR((SUMPRODUCT((economics!$AG$2:$AG$167=$B55)*(economics!$D$2:$D$167="whr")*economics!$AI$2:$AI$167*(_xlfn.NORM.DIST(AO$3,economics!$AK$2:$AK$167,economics!$AJ$2:$AJ$167,TRUE)-_xlfn.NORM.DIST(AO$30,economics!$AK$2:$AK$167,economics!$AJ$2:$AJ$167,TRUE))*economics!$AM$2:$AM$167))/(SUMPRODUCT((economics!$AG$2:$AG$167=$B55)*(economics!$D$2:$D$167="whr")*economics!$AI$2:$AI$167*(_xlfn.NORM.DIST(AO$3,economics!$AK$2:$AK$167,economics!$AJ$2:$AJ$167,TRUE)-_xlfn.NORM.DIST(AO$30,economics!$AK$2:$AK$167,economics!$AJ$2:$AJ$167,TRUE)))),"")</f>
        <v/>
      </c>
      <c r="AP55">
        <f t="array" ref="AP55">IFERROR((SUMPRODUCT((economics!$AG$2:$AG$167=$B55)*(economics!$D$2:$D$167="whr")*economics!$AI$2:$AI$167*(_xlfn.NORM.DIST(AP$3,economics!$AK$2:$AK$167,economics!$AJ$2:$AJ$167,TRUE)-_xlfn.NORM.DIST(AP$30,economics!$AK$2:$AK$167,economics!$AJ$2:$AJ$167,TRUE))*economics!$AM$2:$AM$167))/(SUMPRODUCT((economics!$AG$2:$AG$167=$B55)*(economics!$D$2:$D$167="whr")*economics!$AI$2:$AI$167*(_xlfn.NORM.DIST(AP$3,economics!$AK$2:$AK$167,economics!$AJ$2:$AJ$167,TRUE)-_xlfn.NORM.DIST(AP$30,economics!$AK$2:$AK$167,economics!$AJ$2:$AJ$167,TRUE)))),"")</f>
        <v/>
      </c>
      <c r="AQ55">
        <f t="array" ref="AQ55">IFERROR((SUMPRODUCT((economics!$AG$2:$AG$167=$B55)*(economics!$D$2:$D$167="whr")*economics!$AI$2:$AI$167*(_xlfn.NORM.DIST(AQ$3,economics!$AK$2:$AK$167,economics!$AJ$2:$AJ$167,TRUE)-_xlfn.NORM.DIST(AQ$30,economics!$AK$2:$AK$167,economics!$AJ$2:$AJ$167,TRUE))*economics!$AM$2:$AM$167))/(SUMPRODUCT((economics!$AG$2:$AG$167=$B55)*(economics!$D$2:$D$167="whr")*economics!$AI$2:$AI$167*(_xlfn.NORM.DIST(AQ$3,economics!$AK$2:$AK$167,economics!$AJ$2:$AJ$167,TRUE)-_xlfn.NORM.DIST(AQ$30,economics!$AK$2:$AK$167,economics!$AJ$2:$AJ$167,TRUE)))),"")</f>
        <v/>
      </c>
      <c r="AR55">
        <f t="array" ref="AR55">IFERROR((SUMPRODUCT((economics!$AG$2:$AG$167=$B55)*(economics!$D$2:$D$167="whr")*economics!$AI$2:$AI$167*(_xlfn.NORM.DIST(AR$3,economics!$AK$2:$AK$167,economics!$AJ$2:$AJ$167,TRUE)-_xlfn.NORM.DIST(AR$30,economics!$AK$2:$AK$167,economics!$AJ$2:$AJ$167,TRUE))*economics!$AM$2:$AM$167))/(SUMPRODUCT((economics!$AG$2:$AG$167=$B55)*(economics!$D$2:$D$167="whr")*economics!$AI$2:$AI$167*(_xlfn.NORM.DIST(AR$3,economics!$AK$2:$AK$167,economics!$AJ$2:$AJ$167,TRUE)-_xlfn.NORM.DIST(AR$30,economics!$AK$2:$AK$167,economics!$AJ$2:$AJ$167,TRUE)))),"")</f>
        <v/>
      </c>
      <c r="AS55">
        <f t="array" ref="AS55">IFERROR((SUMPRODUCT((economics!$AG$2:$AG$167=$B55)*(economics!$D$2:$D$167="whr")*economics!$AI$2:$AI$167*(_xlfn.NORM.DIST(AS$3,economics!$AK$2:$AK$167,economics!$AJ$2:$AJ$167,TRUE)-_xlfn.NORM.DIST(AS$30,economics!$AK$2:$AK$167,economics!$AJ$2:$AJ$167,TRUE))*economics!$AM$2:$AM$167))/(SUMPRODUCT((economics!$AG$2:$AG$167=$B55)*(economics!$D$2:$D$167="whr")*economics!$AI$2:$AI$167*(_xlfn.NORM.DIST(AS$3,economics!$AK$2:$AK$167,economics!$AJ$2:$AJ$167,TRUE)-_xlfn.NORM.DIST(AS$30,economics!$AK$2:$AK$167,economics!$AJ$2:$AJ$167,TRUE)))),"")</f>
        <v/>
      </c>
      <c r="AT55">
        <f t="array" ref="AT55">IFERROR((SUMPRODUCT((economics!$AG$2:$AG$167=$B55)*(economics!$D$2:$D$167="whr")*economics!$AI$2:$AI$167*(_xlfn.NORM.DIST(AT$3,economics!$AK$2:$AK$167,economics!$AJ$2:$AJ$167,TRUE)-_xlfn.NORM.DIST(AT$30,economics!$AK$2:$AK$167,economics!$AJ$2:$AJ$167,TRUE))*economics!$AM$2:$AM$167))/(SUMPRODUCT((economics!$AG$2:$AG$167=$B55)*(economics!$D$2:$D$167="whr")*economics!$AI$2:$AI$167*(_xlfn.NORM.DIST(AT$3,economics!$AK$2:$AK$167,economics!$AJ$2:$AJ$167,TRUE)-_xlfn.NORM.DIST(AT$30,economics!$AK$2:$AK$167,economics!$AJ$2:$AJ$167,TRUE)))),"")</f>
        <v/>
      </c>
      <c r="AU55">
        <f t="array" ref="AU55">IFERROR((SUMPRODUCT((economics!$AG$2:$AG$167=$B55)*(economics!$D$2:$D$167="whr")*economics!$AI$2:$AI$167*(_xlfn.NORM.DIST(AU$3,economics!$AK$2:$AK$167,economics!$AJ$2:$AJ$167,TRUE)-_xlfn.NORM.DIST(AU$30,economics!$AK$2:$AK$167,economics!$AJ$2:$AJ$167,TRUE))*economics!$AM$2:$AM$167))/(SUMPRODUCT((economics!$AG$2:$AG$167=$B55)*(economics!$D$2:$D$167="whr")*economics!$AI$2:$AI$167*(_xlfn.NORM.DIST(AU$3,economics!$AK$2:$AK$167,economics!$AJ$2:$AJ$167,TRUE)-_xlfn.NORM.DIST(AU$30,economics!$AK$2:$AK$167,economics!$AJ$2:$AJ$167,TRUE)))),"")</f>
        <v/>
      </c>
      <c r="AV55">
        <f t="array" ref="AV55">IFERROR((SUMPRODUCT((economics!$AG$2:$AG$167=$B55)*(economics!$D$2:$D$167="whr")*economics!$AI$2:$AI$167*(_xlfn.NORM.DIST(AV$3,economics!$AK$2:$AK$167,economics!$AJ$2:$AJ$167,TRUE)-_xlfn.NORM.DIST(AV$30,economics!$AK$2:$AK$167,economics!$AJ$2:$AJ$167,TRUE))*economics!$AM$2:$AM$167))/(SUMPRODUCT((economics!$AG$2:$AG$167=$B55)*(economics!$D$2:$D$167="whr")*economics!$AI$2:$AI$167*(_xlfn.NORM.DIST(AV$3,economics!$AK$2:$AK$167,economics!$AJ$2:$AJ$167,TRUE)-_xlfn.NORM.DIST(AV$30,economics!$AK$2:$AK$167,economics!$AJ$2:$AJ$167,TRUE)))),"")</f>
        <v/>
      </c>
      <c r="AW55">
        <f t="array" ref="AW55">IFERROR((SUMPRODUCT((economics!$AG$2:$AG$167=$B55)*(economics!$D$2:$D$167="whr")*economics!$AI$2:$AI$167*(_xlfn.NORM.DIST(AW$3,economics!$AK$2:$AK$167,economics!$AJ$2:$AJ$167,TRUE)-_xlfn.NORM.DIST(AW$30,economics!$AK$2:$AK$167,economics!$AJ$2:$AJ$167,TRUE))*economics!$AM$2:$AM$167))/(SUMPRODUCT((economics!$AG$2:$AG$167=$B55)*(economics!$D$2:$D$167="whr")*economics!$AI$2:$AI$167*(_xlfn.NORM.DIST(AW$3,economics!$AK$2:$AK$167,economics!$AJ$2:$AJ$167,TRUE)-_xlfn.NORM.DIST(AW$30,economics!$AK$2:$AK$167,economics!$AJ$2:$AJ$167,TRUE)))),"")</f>
        <v/>
      </c>
      <c r="AX55">
        <f t="array" ref="AX55">IFERROR((SUMPRODUCT((economics!$AG$2:$AG$167=$B55)*(economics!$D$2:$D$167="whr")*economics!$AI$2:$AI$167*(_xlfn.NORM.DIST(AX$3,economics!$AK$2:$AK$167,economics!$AJ$2:$AJ$167,TRUE)-_xlfn.NORM.DIST(AX$30,economics!$AK$2:$AK$167,economics!$AJ$2:$AJ$167,TRUE))*economics!$AM$2:$AM$167))/(SUMPRODUCT((economics!$AG$2:$AG$167=$B55)*(economics!$D$2:$D$167="whr")*economics!$AI$2:$AI$167*(_xlfn.NORM.DIST(AX$3,economics!$AK$2:$AK$167,economics!$AJ$2:$AJ$167,TRUE)-_xlfn.NORM.DIST(AX$30,economics!$AK$2:$AK$167,economics!$AJ$2:$AJ$167,TRUE)))),"")</f>
        <v/>
      </c>
      <c r="AY55">
        <f t="array" ref="AY55">IFERROR((SUMPRODUCT((economics!$AG$2:$AG$167=$B55)*(economics!$D$2:$D$167="whr")*economics!$AI$2:$AI$167*(_xlfn.NORM.DIST(AY$3,economics!$AK$2:$AK$167,economics!$AJ$2:$AJ$167,TRUE)-_xlfn.NORM.DIST(AY$30,economics!$AK$2:$AK$167,economics!$AJ$2:$AJ$167,TRUE))*economics!$AM$2:$AM$167))/(SUMPRODUCT((economics!$AG$2:$AG$167=$B55)*(economics!$D$2:$D$167="whr")*economics!$AI$2:$AI$167*(_xlfn.NORM.DIST(AY$3,economics!$AK$2:$AK$167,economics!$AJ$2:$AJ$167,TRUE)-_xlfn.NORM.DIST(AY$30,economics!$AK$2:$AK$167,economics!$AJ$2:$AJ$167,TRUE)))),"")</f>
        <v/>
      </c>
      <c r="AZ55">
        <f t="array" ref="AZ55">IFERROR((SUMPRODUCT((economics!$AG$2:$AG$167=$B55)*(economics!$D$2:$D$167="whr")*economics!$AI$2:$AI$167*(_xlfn.NORM.DIST(AZ$3,economics!$AK$2:$AK$167,economics!$AJ$2:$AJ$167,TRUE)-_xlfn.NORM.DIST(AZ$30,economics!$AK$2:$AK$167,economics!$AJ$2:$AJ$167,TRUE))*economics!$AM$2:$AM$167))/(SUMPRODUCT((economics!$AG$2:$AG$167=$B55)*(economics!$D$2:$D$167="whr")*economics!$AI$2:$AI$167*(_xlfn.NORM.DIST(AZ$3,economics!$AK$2:$AK$167,economics!$AJ$2:$AJ$167,TRUE)-_xlfn.NORM.DIST(AZ$30,economics!$AK$2:$AK$167,economics!$AJ$2:$AJ$167,TRUE)))),"")</f>
        <v/>
      </c>
      <c r="BA55">
        <f t="array" ref="BA55">IFERROR((SUMPRODUCT((economics!$AG$2:$AG$167=$B55)*(economics!$D$2:$D$167="whr")*economics!$AI$2:$AI$167*(_xlfn.NORM.DIST(BA$3,economics!$AK$2:$AK$167,economics!$AJ$2:$AJ$167,TRUE)-_xlfn.NORM.DIST(BA$30,economics!$AK$2:$AK$167,economics!$AJ$2:$AJ$167,TRUE))*economics!$AM$2:$AM$167))/(SUMPRODUCT((economics!$AG$2:$AG$167=$B55)*(economics!$D$2:$D$167="whr")*economics!$AI$2:$AI$167*(_xlfn.NORM.DIST(BA$3,economics!$AK$2:$AK$167,economics!$AJ$2:$AJ$167,TRUE)-_xlfn.NORM.DIST(BA$30,economics!$AK$2:$AK$167,economics!$AJ$2:$AJ$167,TRUE)))),"")</f>
        <v/>
      </c>
      <c r="BB55">
        <f t="array" ref="BB55">IFERROR((SUMPRODUCT((economics!$AG$2:$AG$167=$B55)*(economics!$D$2:$D$167="whr")*economics!$AI$2:$AI$167*(_xlfn.NORM.DIST(BB$3,economics!$AK$2:$AK$167,economics!$AJ$2:$AJ$167,TRUE)-_xlfn.NORM.DIST(BB$30,economics!$AK$2:$AK$167,economics!$AJ$2:$AJ$167,TRUE))*economics!$AM$2:$AM$167))/(SUMPRODUCT((economics!$AG$2:$AG$167=$B55)*(economics!$D$2:$D$167="whr")*economics!$AI$2:$AI$167*(_xlfn.NORM.DIST(BB$3,economics!$AK$2:$AK$167,economics!$AJ$2:$AJ$167,TRUE)-_xlfn.NORM.DIST(BB$30,economics!$AK$2:$AK$167,economics!$AJ$2:$AJ$167,TRUE)))),"")</f>
        <v/>
      </c>
      <c r="BC55">
        <f t="array" ref="BC55">IFERROR((SUMPRODUCT((economics!$AG$2:$AG$167=$B55)*(economics!$D$2:$D$167="whr")*economics!$AI$2:$AI$167*(_xlfn.NORM.DIST(BC$3,economics!$AK$2:$AK$167,economics!$AJ$2:$AJ$167,TRUE)-_xlfn.NORM.DIST(BC$30,economics!$AK$2:$AK$167,economics!$AJ$2:$AJ$167,TRUE))*economics!$AM$2:$AM$167))/(SUMPRODUCT((economics!$AG$2:$AG$167=$B55)*(economics!$D$2:$D$167="whr")*economics!$AI$2:$AI$167*(_xlfn.NORM.DIST(BC$3,economics!$AK$2:$AK$167,economics!$AJ$2:$AJ$167,TRUE)-_xlfn.NORM.DIST(BC$30,economics!$AK$2:$AK$167,economics!$AJ$2:$AJ$167,TRUE)))),"")</f>
        <v/>
      </c>
      <c r="BD55">
        <f t="array" ref="BD55">IFERROR((SUMPRODUCT((economics!$AG$2:$AG$167=$B55)*(economics!$D$2:$D$167="whr")*economics!$AI$2:$AI$167*(_xlfn.NORM.DIST(BD$3,economics!$AK$2:$AK$167,economics!$AJ$2:$AJ$167,TRUE)-_xlfn.NORM.DIST(BD$30,economics!$AK$2:$AK$167,economics!$AJ$2:$AJ$167,TRUE))*economics!$AM$2:$AM$167))/(SUMPRODUCT((economics!$AG$2:$AG$167=$B55)*(economics!$D$2:$D$167="whr")*economics!$AI$2:$AI$167*(_xlfn.NORM.DIST(BD$3,economics!$AK$2:$AK$167,economics!$AJ$2:$AJ$167,TRUE)-_xlfn.NORM.DIST(BD$30,economics!$AK$2:$AK$167,economics!$AJ$2:$AJ$167,TRUE)))),"")</f>
        <v/>
      </c>
      <c r="BE55">
        <f t="array" ref="BE55">IFERROR((SUMPRODUCT((economics!$AG$2:$AG$167=$B55)*(economics!$D$2:$D$167="whr")*economics!$AI$2:$AI$167*(_xlfn.NORM.DIST(BE$3,economics!$AK$2:$AK$167,economics!$AJ$2:$AJ$167,TRUE)-_xlfn.NORM.DIST(BE$30,economics!$AK$2:$AK$167,economics!$AJ$2:$AJ$167,TRUE))*economics!$AM$2:$AM$167))/(SUMPRODUCT((economics!$AG$2:$AG$167=$B55)*(economics!$D$2:$D$167="whr")*economics!$AI$2:$AI$167*(_xlfn.NORM.DIST(BE$3,economics!$AK$2:$AK$167,economics!$AJ$2:$AJ$167,TRUE)-_xlfn.NORM.DIST(BE$30,economics!$AK$2:$AK$167,economics!$AJ$2:$AJ$167,TRUE)))),"")</f>
        <v/>
      </c>
      <c r="BF55">
        <f t="array" ref="BF55">IFERROR((SUMPRODUCT((economics!$AG$2:$AG$167=$B55)*(economics!$D$2:$D$167="whr")*economics!$AI$2:$AI$167*(_xlfn.NORM.DIST(BF$3,economics!$AK$2:$AK$167,economics!$AJ$2:$AJ$167,TRUE)-_xlfn.NORM.DIST(BF$30,economics!$AK$2:$AK$167,economics!$AJ$2:$AJ$167,TRUE))*economics!$AM$2:$AM$167))/(SUMPRODUCT((economics!$AG$2:$AG$167=$B55)*(economics!$D$2:$D$167="whr")*economics!$AI$2:$AI$167*(_xlfn.NORM.DIST(BF$3,economics!$AK$2:$AK$167,economics!$AJ$2:$AJ$167,TRUE)-_xlfn.NORM.DIST(BF$30,economics!$AK$2:$AK$167,economics!$AJ$2:$AJ$167,TRUE)))),"")</f>
        <v/>
      </c>
      <c r="BG55">
        <f t="array" ref="BG55">IFERROR((SUMPRODUCT((economics!$AG$2:$AG$167=$B55)*(economics!$D$2:$D$167="whr")*economics!$AI$2:$AI$167*(_xlfn.NORM.DIST(BG$3,economics!$AK$2:$AK$167,economics!$AJ$2:$AJ$167,TRUE)-_xlfn.NORM.DIST(BG$30,economics!$AK$2:$AK$167,economics!$AJ$2:$AJ$167,TRUE))*economics!$AM$2:$AM$167))/(SUMPRODUCT((economics!$AG$2:$AG$167=$B55)*(economics!$D$2:$D$167="whr")*economics!$AI$2:$AI$167*(_xlfn.NORM.DIST(BG$3,economics!$AK$2:$AK$167,economics!$AJ$2:$AJ$167,TRUE)-_xlfn.NORM.DIST(BG$30,economics!$AK$2:$AK$167,economics!$AJ$2:$AJ$167,TRUE)))),"")</f>
        <v/>
      </c>
      <c r="BH55">
        <f t="array" ref="BH55">IFERROR((SUMPRODUCT((economics!$AG$2:$AG$167=$B55)*(economics!$D$2:$D$167="whr")*economics!$AI$2:$AI$167*(_xlfn.NORM.DIST(BH$3,economics!$AK$2:$AK$167,economics!$AJ$2:$AJ$167,TRUE)-_xlfn.NORM.DIST(BH$30,economics!$AK$2:$AK$167,economics!$AJ$2:$AJ$167,TRUE))*economics!$AM$2:$AM$167))/(SUMPRODUCT((economics!$AG$2:$AG$167=$B55)*(economics!$D$2:$D$167="whr")*economics!$AI$2:$AI$167*(_xlfn.NORM.DIST(BH$3,economics!$AK$2:$AK$167,economics!$AJ$2:$AJ$167,TRUE)-_xlfn.NORM.DIST(BH$30,economics!$AK$2:$AK$167,economics!$AJ$2:$AJ$167,TRUE)))),"")</f>
        <v/>
      </c>
      <c r="BI55">
        <f t="array" ref="BI55">IFERROR((SUMPRODUCT((economics!$AG$2:$AG$167=$B55)*(economics!$D$2:$D$167="whr")*economics!$AI$2:$AI$167*(_xlfn.NORM.DIST(BI$3,economics!$AK$2:$AK$167,economics!$AJ$2:$AJ$167,TRUE)-_xlfn.NORM.DIST(BI$30,economics!$AK$2:$AK$167,economics!$AJ$2:$AJ$167,TRUE))*economics!$AM$2:$AM$167))/(SUMPRODUCT((economics!$AG$2:$AG$167=$B55)*(economics!$D$2:$D$167="whr")*economics!$AI$2:$AI$167*(_xlfn.NORM.DIST(BI$3,economics!$AK$2:$AK$167,economics!$AJ$2:$AJ$167,TRUE)-_xlfn.NORM.DIST(BI$30,economics!$AK$2:$AK$167,economics!$AJ$2:$AJ$167,TRUE)))),"")</f>
        <v/>
      </c>
      <c r="BJ55">
        <f t="array" ref="BJ55">IFERROR((SUMPRODUCT((economics!$AG$2:$AG$167=$B55)*(economics!$D$2:$D$167="whr")*economics!$AI$2:$AI$167*(_xlfn.NORM.DIST(BJ$3,economics!$AK$2:$AK$167,economics!$AJ$2:$AJ$167,TRUE)-_xlfn.NORM.DIST(BJ$30,economics!$AK$2:$AK$167,economics!$AJ$2:$AJ$167,TRUE))*economics!$AM$2:$AM$167))/(SUMPRODUCT((economics!$AG$2:$AG$167=$B55)*(economics!$D$2:$D$167="whr")*economics!$AI$2:$AI$167*(_xlfn.NORM.DIST(BJ$3,economics!$AK$2:$AK$167,economics!$AJ$2:$AJ$167,TRUE)-_xlfn.NORM.DIST(BJ$30,economics!$AK$2:$AK$167,economics!$AJ$2:$AJ$167,TRUE)))),"")</f>
        <v/>
      </c>
      <c r="BK55">
        <f t="array" ref="BK55">IFERROR((SUMPRODUCT((economics!$AG$2:$AG$167=$B55)*(economics!$D$2:$D$167="whr")*economics!$AI$2:$AI$167*(_xlfn.NORM.DIST(BK$3,economics!$AK$2:$AK$167,economics!$AJ$2:$AJ$167,TRUE)-_xlfn.NORM.DIST(BK$30,economics!$AK$2:$AK$167,economics!$AJ$2:$AJ$167,TRUE))*economics!$AM$2:$AM$167))/(SUMPRODUCT((economics!$AG$2:$AG$167=$B55)*(economics!$D$2:$D$167="whr")*economics!$AI$2:$AI$167*(_xlfn.NORM.DIST(BK$3,economics!$AK$2:$AK$167,economics!$AJ$2:$AJ$167,TRUE)-_xlfn.NORM.DIST(BK$30,economics!$AK$2:$AK$167,economics!$AJ$2:$AJ$167,TRUE)))),"")</f>
        <v/>
      </c>
      <c r="BL55">
        <f t="array" ref="BL55">IFERROR((SUMPRODUCT((economics!$AG$2:$AG$167=$B55)*(economics!$D$2:$D$167="whr")*economics!$AI$2:$AI$167*(_xlfn.NORM.DIST(BL$3,economics!$AK$2:$AK$167,economics!$AJ$2:$AJ$167,TRUE)-_xlfn.NORM.DIST(BL$30,economics!$AK$2:$AK$167,economics!$AJ$2:$AJ$167,TRUE))*economics!$AM$2:$AM$167))/(SUMPRODUCT((economics!$AG$2:$AG$167=$B55)*(economics!$D$2:$D$167="whr")*economics!$AI$2:$AI$167*(_xlfn.NORM.DIST(BL$3,economics!$AK$2:$AK$167,economics!$AJ$2:$AJ$167,TRUE)-_xlfn.NORM.DIST(BL$30,economics!$AK$2:$AK$167,economics!$AJ$2:$AJ$167,TRUE)))),"")</f>
        <v/>
      </c>
      <c r="BM55">
        <f t="array" ref="BM55">IFERROR((SUMPRODUCT((economics!$AG$2:$AG$167=$B55)*(economics!$D$2:$D$167="whr")*economics!$AI$2:$AI$167*(_xlfn.NORM.DIST(BM$3,economics!$AK$2:$AK$167,economics!$AJ$2:$AJ$167,TRUE)-_xlfn.NORM.DIST(BM$30,economics!$AK$2:$AK$167,economics!$AJ$2:$AJ$167,TRUE))*economics!$AM$2:$AM$167))/(SUMPRODUCT((economics!$AG$2:$AG$167=$B55)*(economics!$D$2:$D$167="whr")*economics!$AI$2:$AI$167*(_xlfn.NORM.DIST(BM$3,economics!$AK$2:$AK$167,economics!$AJ$2:$AJ$167,TRUE)-_xlfn.NORM.DIST(BM$30,economics!$AK$2:$AK$167,economics!$AJ$2:$AJ$167,TRUE)))),"")</f>
        <v/>
      </c>
      <c r="BN55">
        <f t="array" ref="BN55">IFERROR((SUMPRODUCT((economics!$AG$2:$AG$167=$B55)*(economics!$D$2:$D$167="whr")*economics!$AI$2:$AI$167*(_xlfn.NORM.DIST(BN$3,economics!$AK$2:$AK$167,economics!$AJ$2:$AJ$167,TRUE)-_xlfn.NORM.DIST(BN$30,economics!$AK$2:$AK$167,economics!$AJ$2:$AJ$167,TRUE))*economics!$AM$2:$AM$167))/(SUMPRODUCT((economics!$AG$2:$AG$167=$B55)*(economics!$D$2:$D$167="whr")*economics!$AI$2:$AI$167*(_xlfn.NORM.DIST(BN$3,economics!$AK$2:$AK$167,economics!$AJ$2:$AJ$167,TRUE)-_xlfn.NORM.DIST(BN$30,economics!$AK$2:$AK$167,economics!$AJ$2:$AJ$167,TRUE)))),"")</f>
        <v/>
      </c>
      <c r="BO55">
        <f t="array" ref="BO55">IFERROR((SUMPRODUCT((economics!$AG$2:$AG$167=$B55)*(economics!$D$2:$D$167="whr")*economics!$AI$2:$AI$167*(_xlfn.NORM.DIST(BO$3,economics!$AK$2:$AK$167,economics!$AJ$2:$AJ$167,TRUE)-_xlfn.NORM.DIST(BO$30,economics!$AK$2:$AK$167,economics!$AJ$2:$AJ$167,TRUE))*economics!$AM$2:$AM$167))/(SUMPRODUCT((economics!$AG$2:$AG$167=$B55)*(economics!$D$2:$D$167="whr")*economics!$AI$2:$AI$167*(_xlfn.NORM.DIST(BO$3,economics!$AK$2:$AK$167,economics!$AJ$2:$AJ$167,TRUE)-_xlfn.NORM.DIST(BO$30,economics!$AK$2:$AK$167,economics!$AJ$2:$AJ$167,TRUE)))),"")</f>
        <v/>
      </c>
      <c r="BP55">
        <f t="array" ref="BP55">IFERROR((SUMPRODUCT((economics!$AG$2:$AG$167=$B55)*(economics!$D$2:$D$167="whr")*economics!$AI$2:$AI$167*(_xlfn.NORM.DIST(BP$3,economics!$AK$2:$AK$167,economics!$AJ$2:$AJ$167,TRUE)-_xlfn.NORM.DIST(BP$30,economics!$AK$2:$AK$167,economics!$AJ$2:$AJ$167,TRUE))*economics!$AM$2:$AM$167))/(SUMPRODUCT((economics!$AG$2:$AG$167=$B55)*(economics!$D$2:$D$167="whr")*economics!$AI$2:$AI$167*(_xlfn.NORM.DIST(BP$3,economics!$AK$2:$AK$167,economics!$AJ$2:$AJ$167,TRUE)-_xlfn.NORM.DIST(BP$30,economics!$AK$2:$AK$167,economics!$AJ$2:$AJ$167,TRUE)))),"")</f>
        <v/>
      </c>
      <c r="BQ55">
        <f t="array" ref="BQ55">IFERROR((SUMPRODUCT((economics!$AG$2:$AG$167=$B55)*(economics!$D$2:$D$167="whr")*economics!$AI$2:$AI$167*(_xlfn.NORM.DIST(BQ$3,economics!$AK$2:$AK$167,economics!$AJ$2:$AJ$167,TRUE)-_xlfn.NORM.DIST(BQ$30,economics!$AK$2:$AK$167,economics!$AJ$2:$AJ$167,TRUE))*economics!$AM$2:$AM$167))/(SUMPRODUCT((economics!$AG$2:$AG$167=$B55)*(economics!$D$2:$D$167="whr")*economics!$AI$2:$AI$167*(_xlfn.NORM.DIST(BQ$3,economics!$AK$2:$AK$167,economics!$AJ$2:$AJ$167,TRUE)-_xlfn.NORM.DIST(BQ$30,economics!$AK$2:$AK$167,economics!$AJ$2:$AJ$167,TRUE)))),"")</f>
        <v/>
      </c>
      <c r="BR55">
        <f t="array" ref="BR55">IFERROR((SUMPRODUCT((economics!$AG$2:$AG$167=$B55)*(economics!$D$2:$D$167="whr")*economics!$AI$2:$AI$167*(_xlfn.NORM.DIST(BR$3,economics!$AK$2:$AK$167,economics!$AJ$2:$AJ$167,TRUE)-_xlfn.NORM.DIST(BR$30,economics!$AK$2:$AK$167,economics!$AJ$2:$AJ$167,TRUE))*economics!$AM$2:$AM$167))/(SUMPRODUCT((economics!$AG$2:$AG$167=$B55)*(economics!$D$2:$D$167="whr")*economics!$AI$2:$AI$167*(_xlfn.NORM.DIST(BR$3,economics!$AK$2:$AK$167,economics!$AJ$2:$AJ$167,TRUE)-_xlfn.NORM.DIST(BR$30,economics!$AK$2:$AK$167,economics!$AJ$2:$AJ$167,TRUE)))),"")</f>
        <v/>
      </c>
      <c r="BS55">
        <f t="array" ref="BS55">IFERROR((SUMPRODUCT((economics!$AG$2:$AG$167=$B55)*(economics!$D$2:$D$167="whr")*economics!$AI$2:$AI$167*(_xlfn.NORM.DIST(BS$3,economics!$AK$2:$AK$167,economics!$AJ$2:$AJ$167,TRUE)-_xlfn.NORM.DIST(BS$30,economics!$AK$2:$AK$167,economics!$AJ$2:$AJ$167,TRUE))*economics!$AM$2:$AM$167))/(SUMPRODUCT((economics!$AG$2:$AG$167=$B55)*(economics!$D$2:$D$167="whr")*economics!$AI$2:$AI$167*(_xlfn.NORM.DIST(BS$3,economics!$AK$2:$AK$167,economics!$AJ$2:$AJ$167,TRUE)-_xlfn.NORM.DIST(BS$30,economics!$AK$2:$AK$167,economics!$AJ$2:$AJ$167,TRUE)))),"")</f>
        <v/>
      </c>
      <c r="BT55">
        <f t="array" ref="BT55">IFERROR((SUMPRODUCT((economics!$AG$2:$AG$167=$B55)*(economics!$D$2:$D$167="whr")*economics!$AI$2:$AI$167*(_xlfn.NORM.DIST(BT$3,economics!$AK$2:$AK$167,economics!$AJ$2:$AJ$167,TRUE)-_xlfn.NORM.DIST(BT$30,economics!$AK$2:$AK$167,economics!$AJ$2:$AJ$167,TRUE))*economics!$AM$2:$AM$167))/(SUMPRODUCT((economics!$AG$2:$AG$167=$B55)*(economics!$D$2:$D$167="whr")*economics!$AI$2:$AI$167*(_xlfn.NORM.DIST(BT$3,economics!$AK$2:$AK$167,economics!$AJ$2:$AJ$167,TRUE)-_xlfn.NORM.DIST(BT$30,economics!$AK$2:$AK$167,economics!$AJ$2:$AJ$167,TRUE)))),"")</f>
        <v/>
      </c>
      <c r="BU55">
        <f t="array" ref="BU55">IFERROR((SUMPRODUCT((economics!$AG$2:$AG$167=$B55)*(economics!$D$2:$D$167="whr")*economics!$AI$2:$AI$167*(_xlfn.NORM.DIST(BU$3,economics!$AK$2:$AK$167,economics!$AJ$2:$AJ$167,TRUE)-_xlfn.NORM.DIST(BU$30,economics!$AK$2:$AK$167,economics!$AJ$2:$AJ$167,TRUE))*economics!$AM$2:$AM$167))/(SUMPRODUCT((economics!$AG$2:$AG$167=$B55)*(economics!$D$2:$D$167="whr")*economics!$AI$2:$AI$167*(_xlfn.NORM.DIST(BU$3,economics!$AK$2:$AK$167,economics!$AJ$2:$AJ$167,TRUE)-_xlfn.NORM.DIST(BU$30,economics!$AK$2:$AK$167,economics!$AJ$2:$AJ$167,TRUE)))),"")</f>
        <v/>
      </c>
      <c r="BV55">
        <f t="array" ref="BV55">IFERROR((SUMPRODUCT((economics!$AG$2:$AG$167=$B55)*(economics!$D$2:$D$167="whr")*economics!$AI$2:$AI$167*(_xlfn.NORM.DIST(BV$3,economics!$AK$2:$AK$167,economics!$AJ$2:$AJ$167,TRUE)-_xlfn.NORM.DIST(BV$30,economics!$AK$2:$AK$167,economics!$AJ$2:$AJ$167,TRUE))*economics!$AM$2:$AM$167))/(SUMPRODUCT((economics!$AG$2:$AG$167=$B55)*(economics!$D$2:$D$167="whr")*economics!$AI$2:$AI$167*(_xlfn.NORM.DIST(BV$3,economics!$AK$2:$AK$167,economics!$AJ$2:$AJ$167,TRUE)-_xlfn.NORM.DIST(BV$30,economics!$AK$2:$AK$167,economics!$AJ$2:$AJ$167,TRUE)))),"")</f>
        <v/>
      </c>
      <c r="BW55">
        <f t="array" ref="BW55">IFERROR((SUMPRODUCT((economics!$AG$2:$AG$167=$B55)*(economics!$D$2:$D$167="whr")*economics!$AI$2:$AI$167*(_xlfn.NORM.DIST(BW$3,economics!$AK$2:$AK$167,economics!$AJ$2:$AJ$167,TRUE)-_xlfn.NORM.DIST(BW$30,economics!$AK$2:$AK$167,economics!$AJ$2:$AJ$167,TRUE))*economics!$AM$2:$AM$167))/(SUMPRODUCT((economics!$AG$2:$AG$167=$B55)*(economics!$D$2:$D$167="whr")*economics!$AI$2:$AI$167*(_xlfn.NORM.DIST(BW$3,economics!$AK$2:$AK$167,economics!$AJ$2:$AJ$167,TRUE)-_xlfn.NORM.DIST(BW$30,economics!$AK$2:$AK$167,economics!$AJ$2:$AJ$167,TRUE)))),"")</f>
        <v/>
      </c>
      <c r="BX55">
        <f t="array" ref="BX55">IFERROR((SUMPRODUCT((economics!$AG$2:$AG$167=$B55)*(economics!$D$2:$D$167="whr")*economics!$AI$2:$AI$167*(_xlfn.NORM.DIST(BX$3,economics!$AK$2:$AK$167,economics!$AJ$2:$AJ$167,TRUE)-_xlfn.NORM.DIST(BX$30,economics!$AK$2:$AK$167,economics!$AJ$2:$AJ$167,TRUE))*economics!$AM$2:$AM$167))/(SUMPRODUCT((economics!$AG$2:$AG$167=$B55)*(economics!$D$2:$D$167="whr")*economics!$AI$2:$AI$167*(_xlfn.NORM.DIST(BX$3,economics!$AK$2:$AK$167,economics!$AJ$2:$AJ$167,TRUE)-_xlfn.NORM.DIST(BX$30,economics!$AK$2:$AK$167,economics!$AJ$2:$AJ$167,TRUE)))),"")</f>
        <v/>
      </c>
      <c r="BY55">
        <f t="array" ref="BY55">IFERROR((SUMPRODUCT((economics!$AG$2:$AG$167=$B55)*(economics!$D$2:$D$167="whr")*economics!$AI$2:$AI$167*(_xlfn.NORM.DIST(BY$3,economics!$AK$2:$AK$167,economics!$AJ$2:$AJ$167,TRUE)-_xlfn.NORM.DIST(BY$30,economics!$AK$2:$AK$167,economics!$AJ$2:$AJ$167,TRUE))*economics!$AM$2:$AM$167))/(SUMPRODUCT((economics!$AG$2:$AG$167=$B55)*(economics!$D$2:$D$167="whr")*economics!$AI$2:$AI$167*(_xlfn.NORM.DIST(BY$3,economics!$AK$2:$AK$167,economics!$AJ$2:$AJ$167,TRUE)-_xlfn.NORM.DIST(BY$30,economics!$AK$2:$AK$167,economics!$AJ$2:$AJ$167,TRUE)))),"")</f>
        <v/>
      </c>
      <c r="BZ55">
        <f t="array" ref="BZ55">IFERROR((SUMPRODUCT((economics!$AG$2:$AG$167=$B55)*(economics!$D$2:$D$167="whr")*economics!$AI$2:$AI$167*(_xlfn.NORM.DIST(BZ$3,economics!$AK$2:$AK$167,economics!$AJ$2:$AJ$167,TRUE)-_xlfn.NORM.DIST(BZ$30,economics!$AK$2:$AK$167,economics!$AJ$2:$AJ$167,TRUE))*economics!$AM$2:$AM$167))/(SUMPRODUCT((economics!$AG$2:$AG$167=$B55)*(economics!$D$2:$D$167="whr")*economics!$AI$2:$AI$167*(_xlfn.NORM.DIST(BZ$3,economics!$AK$2:$AK$167,economics!$AJ$2:$AJ$167,TRUE)-_xlfn.NORM.DIST(BZ$30,economics!$AK$2:$AK$167,economics!$AJ$2:$AJ$167,TRUE)))),"")</f>
        <v/>
      </c>
      <c r="CA55">
        <f t="array" ref="CA55">IFERROR((SUMPRODUCT((economics!$AG$2:$AG$167=$B55)*(economics!$D$2:$D$167="whr")*economics!$AI$2:$AI$167*(_xlfn.NORM.DIST(CA$3,economics!$AK$2:$AK$167,economics!$AJ$2:$AJ$167,TRUE)-_xlfn.NORM.DIST(CA$30,economics!$AK$2:$AK$167,economics!$AJ$2:$AJ$167,TRUE))*economics!$AM$2:$AM$167))/(SUMPRODUCT((economics!$AG$2:$AG$167=$B55)*(economics!$D$2:$D$167="whr")*economics!$AI$2:$AI$167*(_xlfn.NORM.DIST(CA$3,economics!$AK$2:$AK$167,economics!$AJ$2:$AJ$167,TRUE)-_xlfn.NORM.DIST(CA$30,economics!$AK$2:$AK$167,economics!$AJ$2:$AJ$167,TRUE)))),"")</f>
        <v/>
      </c>
      <c r="CB55">
        <f t="array" ref="CB55">IFERROR((SUMPRODUCT((economics!$AG$2:$AG$167=$B55)*(economics!$D$2:$D$167="whr")*economics!$AI$2:$AI$167*(_xlfn.NORM.DIST(CB$3,economics!$AK$2:$AK$167,economics!$AJ$2:$AJ$167,TRUE)-_xlfn.NORM.DIST(CB$30,economics!$AK$2:$AK$167,economics!$AJ$2:$AJ$167,TRUE))*economics!$AM$2:$AM$167))/(SUMPRODUCT((economics!$AG$2:$AG$167=$B55)*(economics!$D$2:$D$167="whr")*economics!$AI$2:$AI$167*(_xlfn.NORM.DIST(CB$3,economics!$AK$2:$AK$167,economics!$AJ$2:$AJ$167,TRUE)-_xlfn.NORM.DIST(CB$30,economics!$AK$2:$AK$167,economics!$AJ$2:$AJ$167,TRUE)))),"")</f>
        <v/>
      </c>
      <c r="CC55">
        <f t="array" ref="CC55">IFERROR((SUMPRODUCT((economics!$AG$2:$AG$167=$B55)*(economics!$D$2:$D$167="whr")*economics!$AI$2:$AI$167*(_xlfn.NORM.DIST(CC$3,economics!$AK$2:$AK$167,economics!$AJ$2:$AJ$167,TRUE)-_xlfn.NORM.DIST(CC$30,economics!$AK$2:$AK$167,economics!$AJ$2:$AJ$167,TRUE))*economics!$AM$2:$AM$167))/(SUMPRODUCT((economics!$AG$2:$AG$167=$B55)*(economics!$D$2:$D$167="whr")*economics!$AI$2:$AI$167*(_xlfn.NORM.DIST(CC$3,economics!$AK$2:$AK$167,economics!$AJ$2:$AJ$167,TRUE)-_xlfn.NORM.DIST(CC$30,economics!$AK$2:$AK$167,economics!$AJ$2:$AJ$167,TRUE)))),"")</f>
        <v/>
      </c>
      <c r="CD55">
        <f t="array" ref="CD55">IFERROR((SUMPRODUCT((economics!$AG$2:$AG$167=$B55)*(economics!$D$2:$D$167="whr")*economics!$AI$2:$AI$167*(_xlfn.NORM.DIST(CD$3,economics!$AK$2:$AK$167,economics!$AJ$2:$AJ$167,TRUE)-_xlfn.NORM.DIST(CD$30,economics!$AK$2:$AK$167,economics!$AJ$2:$AJ$167,TRUE))*economics!$AM$2:$AM$167))/(SUMPRODUCT((economics!$AG$2:$AG$167=$B55)*(economics!$D$2:$D$167="whr")*economics!$AI$2:$AI$167*(_xlfn.NORM.DIST(CD$3,economics!$AK$2:$AK$167,economics!$AJ$2:$AJ$167,TRUE)-_xlfn.NORM.DIST(CD$30,economics!$AK$2:$AK$167,economics!$AJ$2:$AJ$167,TRUE)))),"")</f>
        <v/>
      </c>
      <c r="CE55">
        <f t="array" ref="CE55">IFERROR((SUMPRODUCT((economics!$AG$2:$AG$167=$B55)*(economics!$D$2:$D$167="whr")*economics!$AI$2:$AI$167*(_xlfn.NORM.DIST(CE$3,economics!$AK$2:$AK$167,economics!$AJ$2:$AJ$167,TRUE)-_xlfn.NORM.DIST(CE$30,economics!$AK$2:$AK$167,economics!$AJ$2:$AJ$167,TRUE))*economics!$AM$2:$AM$167))/(SUMPRODUCT((economics!$AG$2:$AG$167=$B55)*(economics!$D$2:$D$167="whr")*economics!$AI$2:$AI$167*(_xlfn.NORM.DIST(CE$3,economics!$AK$2:$AK$167,economics!$AJ$2:$AJ$167,TRUE)-_xlfn.NORM.DIST(CE$30,economics!$AK$2:$AK$167,economics!$AJ$2:$AJ$167,TRUE)))),"")</f>
        <v/>
      </c>
      <c r="CF55">
        <f t="array" ref="CF55">IFERROR((SUMPRODUCT((economics!$AG$2:$AG$167=$B55)*(economics!$D$2:$D$167="whr")*economics!$AI$2:$AI$167*(_xlfn.NORM.DIST(CF$3,economics!$AK$2:$AK$167,economics!$AJ$2:$AJ$167,TRUE)-_xlfn.NORM.DIST(CF$30,economics!$AK$2:$AK$167,economics!$AJ$2:$AJ$167,TRUE))*economics!$AM$2:$AM$167))/(SUMPRODUCT((economics!$AG$2:$AG$167=$B55)*(economics!$D$2:$D$167="whr")*economics!$AI$2:$AI$167*(_xlfn.NORM.DIST(CF$3,economics!$AK$2:$AK$167,economics!$AJ$2:$AJ$167,TRUE)-_xlfn.NORM.DIST(CF$30,economics!$AK$2:$AK$167,economics!$AJ$2:$AJ$167,TRUE)))),"")</f>
        <v/>
      </c>
      <c r="CG55">
        <f t="array" ref="CG55">IFERROR((SUMPRODUCT((economics!$AG$2:$AG$167=$B55)*(economics!$D$2:$D$167="whr")*economics!$AI$2:$AI$167*(_xlfn.NORM.DIST(CG$3,economics!$AK$2:$AK$167,economics!$AJ$2:$AJ$167,TRUE)-_xlfn.NORM.DIST(CG$30,economics!$AK$2:$AK$167,economics!$AJ$2:$AJ$167,TRUE))*economics!$AM$2:$AM$167))/(SUMPRODUCT((economics!$AG$2:$AG$167=$B55)*(economics!$D$2:$D$167="whr")*economics!$AI$2:$AI$167*(_xlfn.NORM.DIST(CG$3,economics!$AK$2:$AK$167,economics!$AJ$2:$AJ$167,TRUE)-_xlfn.NORM.DIST(CG$30,economics!$AK$2:$AK$167,economics!$AJ$2:$AJ$167,TRUE)))),"")</f>
        <v/>
      </c>
      <c r="CH55">
        <f t="array" ref="CH55">IFERROR((SUMPRODUCT((economics!$AG$2:$AG$167=$B55)*(economics!$D$2:$D$167="whr")*economics!$AI$2:$AI$167*(_xlfn.NORM.DIST(CH$3,economics!$AK$2:$AK$167,economics!$AJ$2:$AJ$167,TRUE)-_xlfn.NORM.DIST(CH$30,economics!$AK$2:$AK$167,economics!$AJ$2:$AJ$167,TRUE))*economics!$AM$2:$AM$167))/(SUMPRODUCT((economics!$AG$2:$AG$167=$B55)*(economics!$D$2:$D$167="whr")*economics!$AI$2:$AI$167*(_xlfn.NORM.DIST(CH$3,economics!$AK$2:$AK$167,economics!$AJ$2:$AJ$167,TRUE)-_xlfn.NORM.DIST(CH$30,economics!$AK$2:$AK$167,economics!$AJ$2:$AJ$167,TRUE)))),"")</f>
        <v/>
      </c>
    </row>
    <row r="56">
      <c r="A56">
        <f>A27</f>
        <v/>
      </c>
      <c r="B56">
        <f>B27</f>
        <v/>
      </c>
      <c r="E56">
        <f t="array" ref="E56">IFERROR((SUMPRODUCT((economics!$AG$2:$AG$167=$B56)*(economics!$D$2:$D$167="whr")*economics!$AI$2:$AI$167*(_xlfn.NORM.DIST(E$3,economics!$AK$2:$AK$167,economics!$AJ$2:$AJ$167,TRUE)-_xlfn.NORM.DIST(E$30,economics!$AK$2:$AK$167,economics!$AJ$2:$AJ$167,TRUE))*economics!$AM$2:$AM$167))/(SUMPRODUCT((economics!$AG$2:$AG$167=$B56)*(economics!$D$2:$D$167="whr")*economics!$AI$2:$AI$167*(_xlfn.NORM.DIST(E$3,economics!$AK$2:$AK$167,economics!$AJ$2:$AJ$167,TRUE)-_xlfn.NORM.DIST(E$30,economics!$AK$2:$AK$167,economics!$AJ$2:$AJ$167,TRUE)))),"")</f>
        <v/>
      </c>
      <c r="F56">
        <f t="array" ref="F56">IFERROR((SUMPRODUCT((economics!$AG$2:$AG$167=$B56)*(economics!$D$2:$D$167="whr")*economics!$AI$2:$AI$167*(_xlfn.NORM.DIST(F$3,economics!$AK$2:$AK$167,economics!$AJ$2:$AJ$167,TRUE)-_xlfn.NORM.DIST(F$30,economics!$AK$2:$AK$167,economics!$AJ$2:$AJ$167,TRUE))*economics!$AM$2:$AM$167))/(SUMPRODUCT((economics!$AG$2:$AG$167=$B56)*(economics!$D$2:$D$167="whr")*economics!$AI$2:$AI$167*(_xlfn.NORM.DIST(F$3,economics!$AK$2:$AK$167,economics!$AJ$2:$AJ$167,TRUE)-_xlfn.NORM.DIST(F$30,economics!$AK$2:$AK$167,economics!$AJ$2:$AJ$167,TRUE)))),"")</f>
        <v/>
      </c>
      <c r="G56">
        <f t="array" ref="G56">IFERROR((SUMPRODUCT((economics!$AG$2:$AG$167=$B56)*(economics!$D$2:$D$167="whr")*economics!$AI$2:$AI$167*(_xlfn.NORM.DIST(G$3,economics!$AK$2:$AK$167,economics!$AJ$2:$AJ$167,TRUE)-_xlfn.NORM.DIST(G$30,economics!$AK$2:$AK$167,economics!$AJ$2:$AJ$167,TRUE))*economics!$AM$2:$AM$167))/(SUMPRODUCT((economics!$AG$2:$AG$167=$B56)*(economics!$D$2:$D$167="whr")*economics!$AI$2:$AI$167*(_xlfn.NORM.DIST(G$3,economics!$AK$2:$AK$167,economics!$AJ$2:$AJ$167,TRUE)-_xlfn.NORM.DIST(G$30,economics!$AK$2:$AK$167,economics!$AJ$2:$AJ$167,TRUE)))),"")</f>
        <v/>
      </c>
      <c r="H56">
        <f t="array" ref="H56">IFERROR((SUMPRODUCT((economics!$AG$2:$AG$167=$B56)*(economics!$D$2:$D$167="whr")*economics!$AI$2:$AI$167*(_xlfn.NORM.DIST(H$3,economics!$AK$2:$AK$167,economics!$AJ$2:$AJ$167,TRUE)-_xlfn.NORM.DIST(H$30,economics!$AK$2:$AK$167,economics!$AJ$2:$AJ$167,TRUE))*economics!$AM$2:$AM$167))/(SUMPRODUCT((economics!$AG$2:$AG$167=$B56)*(economics!$D$2:$D$167="whr")*economics!$AI$2:$AI$167*(_xlfn.NORM.DIST(H$3,economics!$AK$2:$AK$167,economics!$AJ$2:$AJ$167,TRUE)-_xlfn.NORM.DIST(H$30,economics!$AK$2:$AK$167,economics!$AJ$2:$AJ$167,TRUE)))),"")</f>
        <v/>
      </c>
      <c r="I56">
        <f t="array" ref="I56">IFERROR((SUMPRODUCT((economics!$AG$2:$AG$167=$B56)*(economics!$D$2:$D$167="whr")*economics!$AI$2:$AI$167*(_xlfn.NORM.DIST(I$3,economics!$AK$2:$AK$167,economics!$AJ$2:$AJ$167,TRUE)-_xlfn.NORM.DIST(I$30,economics!$AK$2:$AK$167,economics!$AJ$2:$AJ$167,TRUE))*economics!$AM$2:$AM$167))/(SUMPRODUCT((economics!$AG$2:$AG$167=$B56)*(economics!$D$2:$D$167="whr")*economics!$AI$2:$AI$167*(_xlfn.NORM.DIST(I$3,economics!$AK$2:$AK$167,economics!$AJ$2:$AJ$167,TRUE)-_xlfn.NORM.DIST(I$30,economics!$AK$2:$AK$167,economics!$AJ$2:$AJ$167,TRUE)))),"")</f>
        <v/>
      </c>
      <c r="J56">
        <f t="array" ref="J56">IFERROR((SUMPRODUCT((economics!$AG$2:$AG$167=$B56)*(economics!$D$2:$D$167="whr")*economics!$AI$2:$AI$167*(_xlfn.NORM.DIST(J$3,economics!$AK$2:$AK$167,economics!$AJ$2:$AJ$167,TRUE)-_xlfn.NORM.DIST(J$30,economics!$AK$2:$AK$167,economics!$AJ$2:$AJ$167,TRUE))*economics!$AM$2:$AM$167))/(SUMPRODUCT((economics!$AG$2:$AG$167=$B56)*(economics!$D$2:$D$167="whr")*economics!$AI$2:$AI$167*(_xlfn.NORM.DIST(J$3,economics!$AK$2:$AK$167,economics!$AJ$2:$AJ$167,TRUE)-_xlfn.NORM.DIST(J$30,economics!$AK$2:$AK$167,economics!$AJ$2:$AJ$167,TRUE)))),"")</f>
        <v/>
      </c>
      <c r="K56">
        <f t="array" ref="K56">IFERROR((SUMPRODUCT((economics!$AG$2:$AG$167=$B56)*(economics!$D$2:$D$167="whr")*economics!$AI$2:$AI$167*(_xlfn.NORM.DIST(K$3,economics!$AK$2:$AK$167,economics!$AJ$2:$AJ$167,TRUE)-_xlfn.NORM.DIST(K$30,economics!$AK$2:$AK$167,economics!$AJ$2:$AJ$167,TRUE))*economics!$AM$2:$AM$167))/(SUMPRODUCT((economics!$AG$2:$AG$167=$B56)*(economics!$D$2:$D$167="whr")*economics!$AI$2:$AI$167*(_xlfn.NORM.DIST(K$3,economics!$AK$2:$AK$167,economics!$AJ$2:$AJ$167,TRUE)-_xlfn.NORM.DIST(K$30,economics!$AK$2:$AK$167,economics!$AJ$2:$AJ$167,TRUE)))),"")</f>
        <v/>
      </c>
      <c r="L56">
        <f t="array" ref="L56">IFERROR((SUMPRODUCT((economics!$AG$2:$AG$167=$B56)*(economics!$D$2:$D$167="whr")*economics!$AI$2:$AI$167*(_xlfn.NORM.DIST(L$3,economics!$AK$2:$AK$167,economics!$AJ$2:$AJ$167,TRUE)-_xlfn.NORM.DIST(L$30,economics!$AK$2:$AK$167,economics!$AJ$2:$AJ$167,TRUE))*economics!$AM$2:$AM$167))/(SUMPRODUCT((economics!$AG$2:$AG$167=$B56)*(economics!$D$2:$D$167="whr")*economics!$AI$2:$AI$167*(_xlfn.NORM.DIST(L$3,economics!$AK$2:$AK$167,economics!$AJ$2:$AJ$167,TRUE)-_xlfn.NORM.DIST(L$30,economics!$AK$2:$AK$167,economics!$AJ$2:$AJ$167,TRUE)))),"")</f>
        <v/>
      </c>
      <c r="M56">
        <f t="array" ref="M56">IFERROR((SUMPRODUCT((economics!$AG$2:$AG$167=$B56)*(economics!$D$2:$D$167="whr")*economics!$AI$2:$AI$167*(_xlfn.NORM.DIST(M$3,economics!$AK$2:$AK$167,economics!$AJ$2:$AJ$167,TRUE)-_xlfn.NORM.DIST(M$30,economics!$AK$2:$AK$167,economics!$AJ$2:$AJ$167,TRUE))*economics!$AM$2:$AM$167))/(SUMPRODUCT((economics!$AG$2:$AG$167=$B56)*(economics!$D$2:$D$167="whr")*economics!$AI$2:$AI$167*(_xlfn.NORM.DIST(M$3,economics!$AK$2:$AK$167,economics!$AJ$2:$AJ$167,TRUE)-_xlfn.NORM.DIST(M$30,economics!$AK$2:$AK$167,economics!$AJ$2:$AJ$167,TRUE)))),"")</f>
        <v/>
      </c>
      <c r="N56">
        <f t="array" ref="N56">IFERROR((SUMPRODUCT((economics!$AG$2:$AG$167=$B56)*(economics!$D$2:$D$167="whr")*economics!$AI$2:$AI$167*(_xlfn.NORM.DIST(N$3,economics!$AK$2:$AK$167,economics!$AJ$2:$AJ$167,TRUE)-_xlfn.NORM.DIST(N$30,economics!$AK$2:$AK$167,economics!$AJ$2:$AJ$167,TRUE))*economics!$AM$2:$AM$167))/(SUMPRODUCT((economics!$AG$2:$AG$167=$B56)*(economics!$D$2:$D$167="whr")*economics!$AI$2:$AI$167*(_xlfn.NORM.DIST(N$3,economics!$AK$2:$AK$167,economics!$AJ$2:$AJ$167,TRUE)-_xlfn.NORM.DIST(N$30,economics!$AK$2:$AK$167,economics!$AJ$2:$AJ$167,TRUE)))),"")</f>
        <v/>
      </c>
      <c r="O56">
        <f t="array" ref="O56">IFERROR((SUMPRODUCT((economics!$AG$2:$AG$167=$B56)*(economics!$D$2:$D$167="whr")*economics!$AI$2:$AI$167*(_xlfn.NORM.DIST(O$3,economics!$AK$2:$AK$167,economics!$AJ$2:$AJ$167,TRUE)-_xlfn.NORM.DIST(O$30,economics!$AK$2:$AK$167,economics!$AJ$2:$AJ$167,TRUE))*economics!$AM$2:$AM$167))/(SUMPRODUCT((economics!$AG$2:$AG$167=$B56)*(economics!$D$2:$D$167="whr")*economics!$AI$2:$AI$167*(_xlfn.NORM.DIST(O$3,economics!$AK$2:$AK$167,economics!$AJ$2:$AJ$167,TRUE)-_xlfn.NORM.DIST(O$30,economics!$AK$2:$AK$167,economics!$AJ$2:$AJ$167,TRUE)))),"")</f>
        <v/>
      </c>
      <c r="P56">
        <f t="array" ref="P56">IFERROR((SUMPRODUCT((economics!$AG$2:$AG$167=$B56)*(economics!$D$2:$D$167="whr")*economics!$AI$2:$AI$167*(_xlfn.NORM.DIST(P$3,economics!$AK$2:$AK$167,economics!$AJ$2:$AJ$167,TRUE)-_xlfn.NORM.DIST(P$30,economics!$AK$2:$AK$167,economics!$AJ$2:$AJ$167,TRUE))*economics!$AM$2:$AM$167))/(SUMPRODUCT((economics!$AG$2:$AG$167=$B56)*(economics!$D$2:$D$167="whr")*economics!$AI$2:$AI$167*(_xlfn.NORM.DIST(P$3,economics!$AK$2:$AK$167,economics!$AJ$2:$AJ$167,TRUE)-_xlfn.NORM.DIST(P$30,economics!$AK$2:$AK$167,economics!$AJ$2:$AJ$167,TRUE)))),"")</f>
        <v/>
      </c>
      <c r="Q56">
        <f t="array" ref="Q56">IFERROR((SUMPRODUCT((economics!$AG$2:$AG$167=$B56)*(economics!$D$2:$D$167="whr")*economics!$AI$2:$AI$167*(_xlfn.NORM.DIST(Q$3,economics!$AK$2:$AK$167,economics!$AJ$2:$AJ$167,TRUE)-_xlfn.NORM.DIST(Q$30,economics!$AK$2:$AK$167,economics!$AJ$2:$AJ$167,TRUE))*economics!$AM$2:$AM$167))/(SUMPRODUCT((economics!$AG$2:$AG$167=$B56)*(economics!$D$2:$D$167="whr")*economics!$AI$2:$AI$167*(_xlfn.NORM.DIST(Q$3,economics!$AK$2:$AK$167,economics!$AJ$2:$AJ$167,TRUE)-_xlfn.NORM.DIST(Q$30,economics!$AK$2:$AK$167,economics!$AJ$2:$AJ$167,TRUE)))),"")</f>
        <v/>
      </c>
      <c r="R56">
        <f t="array" ref="R56">IFERROR((SUMPRODUCT((economics!$AG$2:$AG$167=$B56)*(economics!$D$2:$D$167="whr")*economics!$AI$2:$AI$167*(_xlfn.NORM.DIST(R$3,economics!$AK$2:$AK$167,economics!$AJ$2:$AJ$167,TRUE)-_xlfn.NORM.DIST(R$30,economics!$AK$2:$AK$167,economics!$AJ$2:$AJ$167,TRUE))*economics!$AM$2:$AM$167))/(SUMPRODUCT((economics!$AG$2:$AG$167=$B56)*(economics!$D$2:$D$167="whr")*economics!$AI$2:$AI$167*(_xlfn.NORM.DIST(R$3,economics!$AK$2:$AK$167,economics!$AJ$2:$AJ$167,TRUE)-_xlfn.NORM.DIST(R$30,economics!$AK$2:$AK$167,economics!$AJ$2:$AJ$167,TRUE)))),"")</f>
        <v/>
      </c>
      <c r="S56">
        <f t="array" ref="S56">IFERROR((SUMPRODUCT((economics!$AG$2:$AG$167=$B56)*(economics!$D$2:$D$167="whr")*economics!$AI$2:$AI$167*(_xlfn.NORM.DIST(S$3,economics!$AK$2:$AK$167,economics!$AJ$2:$AJ$167,TRUE)-_xlfn.NORM.DIST(S$30,economics!$AK$2:$AK$167,economics!$AJ$2:$AJ$167,TRUE))*economics!$AM$2:$AM$167))/(SUMPRODUCT((economics!$AG$2:$AG$167=$B56)*(economics!$D$2:$D$167="whr")*economics!$AI$2:$AI$167*(_xlfn.NORM.DIST(S$3,economics!$AK$2:$AK$167,economics!$AJ$2:$AJ$167,TRUE)-_xlfn.NORM.DIST(S$30,economics!$AK$2:$AK$167,economics!$AJ$2:$AJ$167,TRUE)))),"")</f>
        <v/>
      </c>
      <c r="T56">
        <f t="array" ref="T56">IFERROR((SUMPRODUCT((economics!$AG$2:$AG$167=$B56)*(economics!$D$2:$D$167="whr")*economics!$AI$2:$AI$167*(_xlfn.NORM.DIST(T$3,economics!$AK$2:$AK$167,economics!$AJ$2:$AJ$167,TRUE)-_xlfn.NORM.DIST(T$30,economics!$AK$2:$AK$167,economics!$AJ$2:$AJ$167,TRUE))*economics!$AM$2:$AM$167))/(SUMPRODUCT((economics!$AG$2:$AG$167=$B56)*(economics!$D$2:$D$167="whr")*economics!$AI$2:$AI$167*(_xlfn.NORM.DIST(T$3,economics!$AK$2:$AK$167,economics!$AJ$2:$AJ$167,TRUE)-_xlfn.NORM.DIST(T$30,economics!$AK$2:$AK$167,economics!$AJ$2:$AJ$167,TRUE)))),"")</f>
        <v/>
      </c>
      <c r="U56">
        <f t="array" ref="U56">IFERROR((SUMPRODUCT((economics!$AG$2:$AG$167=$B56)*(economics!$D$2:$D$167="whr")*economics!$AI$2:$AI$167*(_xlfn.NORM.DIST(U$3,economics!$AK$2:$AK$167,economics!$AJ$2:$AJ$167,TRUE)-_xlfn.NORM.DIST(U$30,economics!$AK$2:$AK$167,economics!$AJ$2:$AJ$167,TRUE))*economics!$AM$2:$AM$167))/(SUMPRODUCT((economics!$AG$2:$AG$167=$B56)*(economics!$D$2:$D$167="whr")*economics!$AI$2:$AI$167*(_xlfn.NORM.DIST(U$3,economics!$AK$2:$AK$167,economics!$AJ$2:$AJ$167,TRUE)-_xlfn.NORM.DIST(U$30,economics!$AK$2:$AK$167,economics!$AJ$2:$AJ$167,TRUE)))),"")</f>
        <v/>
      </c>
      <c r="V56">
        <f t="array" ref="V56">IFERROR((SUMPRODUCT((economics!$AG$2:$AG$167=$B56)*(economics!$D$2:$D$167="whr")*economics!$AI$2:$AI$167*(_xlfn.NORM.DIST(V$3,economics!$AK$2:$AK$167,economics!$AJ$2:$AJ$167,TRUE)-_xlfn.NORM.DIST(V$30,economics!$AK$2:$AK$167,economics!$AJ$2:$AJ$167,TRUE))*economics!$AM$2:$AM$167))/(SUMPRODUCT((economics!$AG$2:$AG$167=$B56)*(economics!$D$2:$D$167="whr")*economics!$AI$2:$AI$167*(_xlfn.NORM.DIST(V$3,economics!$AK$2:$AK$167,economics!$AJ$2:$AJ$167,TRUE)-_xlfn.NORM.DIST(V$30,economics!$AK$2:$AK$167,economics!$AJ$2:$AJ$167,TRUE)))),"")</f>
        <v/>
      </c>
      <c r="W56">
        <f t="array" ref="W56">IFERROR((SUMPRODUCT((economics!$AG$2:$AG$167=$B56)*(economics!$D$2:$D$167="whr")*economics!$AI$2:$AI$167*(_xlfn.NORM.DIST(W$3,economics!$AK$2:$AK$167,economics!$AJ$2:$AJ$167,TRUE)-_xlfn.NORM.DIST(W$30,economics!$AK$2:$AK$167,economics!$AJ$2:$AJ$167,TRUE))*economics!$AM$2:$AM$167))/(SUMPRODUCT((economics!$AG$2:$AG$167=$B56)*(economics!$D$2:$D$167="whr")*economics!$AI$2:$AI$167*(_xlfn.NORM.DIST(W$3,economics!$AK$2:$AK$167,economics!$AJ$2:$AJ$167,TRUE)-_xlfn.NORM.DIST(W$30,economics!$AK$2:$AK$167,economics!$AJ$2:$AJ$167,TRUE)))),"")</f>
        <v/>
      </c>
      <c r="X56">
        <f t="array" ref="X56">IFERROR((SUMPRODUCT((economics!$AG$2:$AG$167=$B56)*(economics!$D$2:$D$167="whr")*economics!$AI$2:$AI$167*(_xlfn.NORM.DIST(X$3,economics!$AK$2:$AK$167,economics!$AJ$2:$AJ$167,TRUE)-_xlfn.NORM.DIST(X$30,economics!$AK$2:$AK$167,economics!$AJ$2:$AJ$167,TRUE))*economics!$AM$2:$AM$167))/(SUMPRODUCT((economics!$AG$2:$AG$167=$B56)*(economics!$D$2:$D$167="whr")*economics!$AI$2:$AI$167*(_xlfn.NORM.DIST(X$3,economics!$AK$2:$AK$167,economics!$AJ$2:$AJ$167,TRUE)-_xlfn.NORM.DIST(X$30,economics!$AK$2:$AK$167,economics!$AJ$2:$AJ$167,TRUE)))),"")</f>
        <v/>
      </c>
      <c r="Y56">
        <f t="array" ref="Y56">IFERROR((SUMPRODUCT((economics!$AG$2:$AG$167=$B56)*(economics!$D$2:$D$167="whr")*economics!$AI$2:$AI$167*(_xlfn.NORM.DIST(Y$3,economics!$AK$2:$AK$167,economics!$AJ$2:$AJ$167,TRUE)-_xlfn.NORM.DIST(Y$30,economics!$AK$2:$AK$167,economics!$AJ$2:$AJ$167,TRUE))*economics!$AM$2:$AM$167))/(SUMPRODUCT((economics!$AG$2:$AG$167=$B56)*(economics!$D$2:$D$167="whr")*economics!$AI$2:$AI$167*(_xlfn.NORM.DIST(Y$3,economics!$AK$2:$AK$167,economics!$AJ$2:$AJ$167,TRUE)-_xlfn.NORM.DIST(Y$30,economics!$AK$2:$AK$167,economics!$AJ$2:$AJ$167,TRUE)))),"")</f>
        <v/>
      </c>
      <c r="Z56">
        <f t="array" ref="Z56">IFERROR((SUMPRODUCT((economics!$AG$2:$AG$167=$B56)*(economics!$D$2:$D$167="whr")*economics!$AI$2:$AI$167*(_xlfn.NORM.DIST(Z$3,economics!$AK$2:$AK$167,economics!$AJ$2:$AJ$167,TRUE)-_xlfn.NORM.DIST(Z$30,economics!$AK$2:$AK$167,economics!$AJ$2:$AJ$167,TRUE))*economics!$AM$2:$AM$167))/(SUMPRODUCT((economics!$AG$2:$AG$167=$B56)*(economics!$D$2:$D$167="whr")*economics!$AI$2:$AI$167*(_xlfn.NORM.DIST(Z$3,economics!$AK$2:$AK$167,economics!$AJ$2:$AJ$167,TRUE)-_xlfn.NORM.DIST(Z$30,economics!$AK$2:$AK$167,economics!$AJ$2:$AJ$167,TRUE)))),"")</f>
        <v/>
      </c>
      <c r="AA56">
        <f t="array" ref="AA56">IFERROR((SUMPRODUCT((economics!$AG$2:$AG$167=$B56)*(economics!$D$2:$D$167="whr")*economics!$AI$2:$AI$167*(_xlfn.NORM.DIST(AA$3,economics!$AK$2:$AK$167,economics!$AJ$2:$AJ$167,TRUE)-_xlfn.NORM.DIST(AA$30,economics!$AK$2:$AK$167,economics!$AJ$2:$AJ$167,TRUE))*economics!$AM$2:$AM$167))/(SUMPRODUCT((economics!$AG$2:$AG$167=$B56)*(economics!$D$2:$D$167="whr")*economics!$AI$2:$AI$167*(_xlfn.NORM.DIST(AA$3,economics!$AK$2:$AK$167,economics!$AJ$2:$AJ$167,TRUE)-_xlfn.NORM.DIST(AA$30,economics!$AK$2:$AK$167,economics!$AJ$2:$AJ$167,TRUE)))),"")</f>
        <v/>
      </c>
      <c r="AB56">
        <f t="array" ref="AB56">IFERROR((SUMPRODUCT((economics!$AG$2:$AG$167=$B56)*(economics!$D$2:$D$167="whr")*economics!$AI$2:$AI$167*(_xlfn.NORM.DIST(AB$3,economics!$AK$2:$AK$167,economics!$AJ$2:$AJ$167,TRUE)-_xlfn.NORM.DIST(AB$30,economics!$AK$2:$AK$167,economics!$AJ$2:$AJ$167,TRUE))*economics!$AM$2:$AM$167))/(SUMPRODUCT((economics!$AG$2:$AG$167=$B56)*(economics!$D$2:$D$167="whr")*economics!$AI$2:$AI$167*(_xlfn.NORM.DIST(AB$3,economics!$AK$2:$AK$167,economics!$AJ$2:$AJ$167,TRUE)-_xlfn.NORM.DIST(AB$30,economics!$AK$2:$AK$167,economics!$AJ$2:$AJ$167,TRUE)))),"")</f>
        <v/>
      </c>
      <c r="AC56">
        <f t="array" ref="AC56">IFERROR((SUMPRODUCT((economics!$AG$2:$AG$167=$B56)*(economics!$D$2:$D$167="whr")*economics!$AI$2:$AI$167*(_xlfn.NORM.DIST(AC$3,economics!$AK$2:$AK$167,economics!$AJ$2:$AJ$167,TRUE)-_xlfn.NORM.DIST(AC$30,economics!$AK$2:$AK$167,economics!$AJ$2:$AJ$167,TRUE))*economics!$AM$2:$AM$167))/(SUMPRODUCT((economics!$AG$2:$AG$167=$B56)*(economics!$D$2:$D$167="whr")*economics!$AI$2:$AI$167*(_xlfn.NORM.DIST(AC$3,economics!$AK$2:$AK$167,economics!$AJ$2:$AJ$167,TRUE)-_xlfn.NORM.DIST(AC$30,economics!$AK$2:$AK$167,economics!$AJ$2:$AJ$167,TRUE)))),"")</f>
        <v/>
      </c>
      <c r="AD56">
        <f t="array" ref="AD56">IFERROR((SUMPRODUCT((economics!$AG$2:$AG$167=$B56)*(economics!$D$2:$D$167="whr")*economics!$AI$2:$AI$167*(_xlfn.NORM.DIST(AD$3,economics!$AK$2:$AK$167,economics!$AJ$2:$AJ$167,TRUE)-_xlfn.NORM.DIST(AD$30,economics!$AK$2:$AK$167,economics!$AJ$2:$AJ$167,TRUE))*economics!$AM$2:$AM$167))/(SUMPRODUCT((economics!$AG$2:$AG$167=$B56)*(economics!$D$2:$D$167="whr")*economics!$AI$2:$AI$167*(_xlfn.NORM.DIST(AD$3,economics!$AK$2:$AK$167,economics!$AJ$2:$AJ$167,TRUE)-_xlfn.NORM.DIST(AD$30,economics!$AK$2:$AK$167,economics!$AJ$2:$AJ$167,TRUE)))),"")</f>
        <v/>
      </c>
      <c r="AE56">
        <f t="array" ref="AE56">IFERROR((SUMPRODUCT((economics!$AG$2:$AG$167=$B56)*(economics!$D$2:$D$167="whr")*economics!$AI$2:$AI$167*(_xlfn.NORM.DIST(AE$3,economics!$AK$2:$AK$167,economics!$AJ$2:$AJ$167,TRUE)-_xlfn.NORM.DIST(AE$30,economics!$AK$2:$AK$167,economics!$AJ$2:$AJ$167,TRUE))*economics!$AM$2:$AM$167))/(SUMPRODUCT((economics!$AG$2:$AG$167=$B56)*(economics!$D$2:$D$167="whr")*economics!$AI$2:$AI$167*(_xlfn.NORM.DIST(AE$3,economics!$AK$2:$AK$167,economics!$AJ$2:$AJ$167,TRUE)-_xlfn.NORM.DIST(AE$30,economics!$AK$2:$AK$167,economics!$AJ$2:$AJ$167,TRUE)))),"")</f>
        <v/>
      </c>
      <c r="AF56">
        <f t="array" ref="AF56">IFERROR((SUMPRODUCT((economics!$AG$2:$AG$167=$B56)*(economics!$D$2:$D$167="whr")*economics!$AI$2:$AI$167*(_xlfn.NORM.DIST(AF$3,economics!$AK$2:$AK$167,economics!$AJ$2:$AJ$167,TRUE)-_xlfn.NORM.DIST(AF$30,economics!$AK$2:$AK$167,economics!$AJ$2:$AJ$167,TRUE))*economics!$AM$2:$AM$167))/(SUMPRODUCT((economics!$AG$2:$AG$167=$B56)*(economics!$D$2:$D$167="whr")*economics!$AI$2:$AI$167*(_xlfn.NORM.DIST(AF$3,economics!$AK$2:$AK$167,economics!$AJ$2:$AJ$167,TRUE)-_xlfn.NORM.DIST(AF$30,economics!$AK$2:$AK$167,economics!$AJ$2:$AJ$167,TRUE)))),"")</f>
        <v/>
      </c>
      <c r="AG56">
        <f t="array" ref="AG56">IFERROR((SUMPRODUCT((economics!$AG$2:$AG$167=$B56)*(economics!$D$2:$D$167="whr")*economics!$AI$2:$AI$167*(_xlfn.NORM.DIST(AG$3,economics!$AK$2:$AK$167,economics!$AJ$2:$AJ$167,TRUE)-_xlfn.NORM.DIST(AG$30,economics!$AK$2:$AK$167,economics!$AJ$2:$AJ$167,TRUE))*economics!$AM$2:$AM$167))/(SUMPRODUCT((economics!$AG$2:$AG$167=$B56)*(economics!$D$2:$D$167="whr")*economics!$AI$2:$AI$167*(_xlfn.NORM.DIST(AG$3,economics!$AK$2:$AK$167,economics!$AJ$2:$AJ$167,TRUE)-_xlfn.NORM.DIST(AG$30,economics!$AK$2:$AK$167,economics!$AJ$2:$AJ$167,TRUE)))),"")</f>
        <v/>
      </c>
      <c r="AH56">
        <f t="array" ref="AH56">IFERROR((SUMPRODUCT((economics!$AG$2:$AG$167=$B56)*(economics!$D$2:$D$167="whr")*economics!$AI$2:$AI$167*(_xlfn.NORM.DIST(AH$3,economics!$AK$2:$AK$167,economics!$AJ$2:$AJ$167,TRUE)-_xlfn.NORM.DIST(AH$30,economics!$AK$2:$AK$167,economics!$AJ$2:$AJ$167,TRUE))*economics!$AM$2:$AM$167))/(SUMPRODUCT((economics!$AG$2:$AG$167=$B56)*(economics!$D$2:$D$167="whr")*economics!$AI$2:$AI$167*(_xlfn.NORM.DIST(AH$3,economics!$AK$2:$AK$167,economics!$AJ$2:$AJ$167,TRUE)-_xlfn.NORM.DIST(AH$30,economics!$AK$2:$AK$167,economics!$AJ$2:$AJ$167,TRUE)))),"")</f>
        <v/>
      </c>
      <c r="AI56">
        <f t="array" ref="AI56">IFERROR((SUMPRODUCT((economics!$AG$2:$AG$167=$B56)*(economics!$D$2:$D$167="whr")*economics!$AI$2:$AI$167*(_xlfn.NORM.DIST(AI$3,economics!$AK$2:$AK$167,economics!$AJ$2:$AJ$167,TRUE)-_xlfn.NORM.DIST(AI$30,economics!$AK$2:$AK$167,economics!$AJ$2:$AJ$167,TRUE))*economics!$AM$2:$AM$167))/(SUMPRODUCT((economics!$AG$2:$AG$167=$B56)*(economics!$D$2:$D$167="whr")*economics!$AI$2:$AI$167*(_xlfn.NORM.DIST(AI$3,economics!$AK$2:$AK$167,economics!$AJ$2:$AJ$167,TRUE)-_xlfn.NORM.DIST(AI$30,economics!$AK$2:$AK$167,economics!$AJ$2:$AJ$167,TRUE)))),"")</f>
        <v/>
      </c>
      <c r="AJ56">
        <f t="array" ref="AJ56">IFERROR((SUMPRODUCT((economics!$AG$2:$AG$167=$B56)*(economics!$D$2:$D$167="whr")*economics!$AI$2:$AI$167*(_xlfn.NORM.DIST(AJ$3,economics!$AK$2:$AK$167,economics!$AJ$2:$AJ$167,TRUE)-_xlfn.NORM.DIST(AJ$30,economics!$AK$2:$AK$167,economics!$AJ$2:$AJ$167,TRUE))*economics!$AM$2:$AM$167))/(SUMPRODUCT((economics!$AG$2:$AG$167=$B56)*(economics!$D$2:$D$167="whr")*economics!$AI$2:$AI$167*(_xlfn.NORM.DIST(AJ$3,economics!$AK$2:$AK$167,economics!$AJ$2:$AJ$167,TRUE)-_xlfn.NORM.DIST(AJ$30,economics!$AK$2:$AK$167,economics!$AJ$2:$AJ$167,TRUE)))),"")</f>
        <v/>
      </c>
      <c r="AK56">
        <f t="array" ref="AK56">IFERROR((SUMPRODUCT((economics!$AG$2:$AG$167=$B56)*(economics!$D$2:$D$167="whr")*economics!$AI$2:$AI$167*(_xlfn.NORM.DIST(AK$3,economics!$AK$2:$AK$167,economics!$AJ$2:$AJ$167,TRUE)-_xlfn.NORM.DIST(AK$30,economics!$AK$2:$AK$167,economics!$AJ$2:$AJ$167,TRUE))*economics!$AM$2:$AM$167))/(SUMPRODUCT((economics!$AG$2:$AG$167=$B56)*(economics!$D$2:$D$167="whr")*economics!$AI$2:$AI$167*(_xlfn.NORM.DIST(AK$3,economics!$AK$2:$AK$167,economics!$AJ$2:$AJ$167,TRUE)-_xlfn.NORM.DIST(AK$30,economics!$AK$2:$AK$167,economics!$AJ$2:$AJ$167,TRUE)))),"")</f>
        <v/>
      </c>
      <c r="AL56">
        <f t="array" ref="AL56">IFERROR((SUMPRODUCT((economics!$AG$2:$AG$167=$B56)*(economics!$D$2:$D$167="whr")*economics!$AI$2:$AI$167*(_xlfn.NORM.DIST(AL$3,economics!$AK$2:$AK$167,economics!$AJ$2:$AJ$167,TRUE)-_xlfn.NORM.DIST(AL$30,economics!$AK$2:$AK$167,economics!$AJ$2:$AJ$167,TRUE))*economics!$AM$2:$AM$167))/(SUMPRODUCT((economics!$AG$2:$AG$167=$B56)*(economics!$D$2:$D$167="whr")*economics!$AI$2:$AI$167*(_xlfn.NORM.DIST(AL$3,economics!$AK$2:$AK$167,economics!$AJ$2:$AJ$167,TRUE)-_xlfn.NORM.DIST(AL$30,economics!$AK$2:$AK$167,economics!$AJ$2:$AJ$167,TRUE)))),"")</f>
        <v/>
      </c>
      <c r="AM56">
        <f t="array" ref="AM56">IFERROR((SUMPRODUCT((economics!$AG$2:$AG$167=$B56)*(economics!$D$2:$D$167="whr")*economics!$AI$2:$AI$167*(_xlfn.NORM.DIST(AM$3,economics!$AK$2:$AK$167,economics!$AJ$2:$AJ$167,TRUE)-_xlfn.NORM.DIST(AM$30,economics!$AK$2:$AK$167,economics!$AJ$2:$AJ$167,TRUE))*economics!$AM$2:$AM$167))/(SUMPRODUCT((economics!$AG$2:$AG$167=$B56)*(economics!$D$2:$D$167="whr")*economics!$AI$2:$AI$167*(_xlfn.NORM.DIST(AM$3,economics!$AK$2:$AK$167,economics!$AJ$2:$AJ$167,TRUE)-_xlfn.NORM.DIST(AM$30,economics!$AK$2:$AK$167,economics!$AJ$2:$AJ$167,TRUE)))),"")</f>
        <v/>
      </c>
      <c r="AN56">
        <f t="array" ref="AN56">IFERROR((SUMPRODUCT((economics!$AG$2:$AG$167=$B56)*(economics!$D$2:$D$167="whr")*economics!$AI$2:$AI$167*(_xlfn.NORM.DIST(AN$3,economics!$AK$2:$AK$167,economics!$AJ$2:$AJ$167,TRUE)-_xlfn.NORM.DIST(AN$30,economics!$AK$2:$AK$167,economics!$AJ$2:$AJ$167,TRUE))*economics!$AM$2:$AM$167))/(SUMPRODUCT((economics!$AG$2:$AG$167=$B56)*(economics!$D$2:$D$167="whr")*economics!$AI$2:$AI$167*(_xlfn.NORM.DIST(AN$3,economics!$AK$2:$AK$167,economics!$AJ$2:$AJ$167,TRUE)-_xlfn.NORM.DIST(AN$30,economics!$AK$2:$AK$167,economics!$AJ$2:$AJ$167,TRUE)))),"")</f>
        <v/>
      </c>
      <c r="AO56">
        <f t="array" ref="AO56">IFERROR((SUMPRODUCT((economics!$AG$2:$AG$167=$B56)*(economics!$D$2:$D$167="whr")*economics!$AI$2:$AI$167*(_xlfn.NORM.DIST(AO$3,economics!$AK$2:$AK$167,economics!$AJ$2:$AJ$167,TRUE)-_xlfn.NORM.DIST(AO$30,economics!$AK$2:$AK$167,economics!$AJ$2:$AJ$167,TRUE))*economics!$AM$2:$AM$167))/(SUMPRODUCT((economics!$AG$2:$AG$167=$B56)*(economics!$D$2:$D$167="whr")*economics!$AI$2:$AI$167*(_xlfn.NORM.DIST(AO$3,economics!$AK$2:$AK$167,economics!$AJ$2:$AJ$167,TRUE)-_xlfn.NORM.DIST(AO$30,economics!$AK$2:$AK$167,economics!$AJ$2:$AJ$167,TRUE)))),"")</f>
        <v/>
      </c>
      <c r="AP56">
        <f t="array" ref="AP56">IFERROR((SUMPRODUCT((economics!$AG$2:$AG$167=$B56)*(economics!$D$2:$D$167="whr")*economics!$AI$2:$AI$167*(_xlfn.NORM.DIST(AP$3,economics!$AK$2:$AK$167,economics!$AJ$2:$AJ$167,TRUE)-_xlfn.NORM.DIST(AP$30,economics!$AK$2:$AK$167,economics!$AJ$2:$AJ$167,TRUE))*economics!$AM$2:$AM$167))/(SUMPRODUCT((economics!$AG$2:$AG$167=$B56)*(economics!$D$2:$D$167="whr")*economics!$AI$2:$AI$167*(_xlfn.NORM.DIST(AP$3,economics!$AK$2:$AK$167,economics!$AJ$2:$AJ$167,TRUE)-_xlfn.NORM.DIST(AP$30,economics!$AK$2:$AK$167,economics!$AJ$2:$AJ$167,TRUE)))),"")</f>
        <v/>
      </c>
      <c r="AQ56">
        <f t="array" ref="AQ56">IFERROR((SUMPRODUCT((economics!$AG$2:$AG$167=$B56)*(economics!$D$2:$D$167="whr")*economics!$AI$2:$AI$167*(_xlfn.NORM.DIST(AQ$3,economics!$AK$2:$AK$167,economics!$AJ$2:$AJ$167,TRUE)-_xlfn.NORM.DIST(AQ$30,economics!$AK$2:$AK$167,economics!$AJ$2:$AJ$167,TRUE))*economics!$AM$2:$AM$167))/(SUMPRODUCT((economics!$AG$2:$AG$167=$B56)*(economics!$D$2:$D$167="whr")*economics!$AI$2:$AI$167*(_xlfn.NORM.DIST(AQ$3,economics!$AK$2:$AK$167,economics!$AJ$2:$AJ$167,TRUE)-_xlfn.NORM.DIST(AQ$30,economics!$AK$2:$AK$167,economics!$AJ$2:$AJ$167,TRUE)))),"")</f>
        <v/>
      </c>
      <c r="AR56">
        <f t="array" ref="AR56">IFERROR((SUMPRODUCT((economics!$AG$2:$AG$167=$B56)*(economics!$D$2:$D$167="whr")*economics!$AI$2:$AI$167*(_xlfn.NORM.DIST(AR$3,economics!$AK$2:$AK$167,economics!$AJ$2:$AJ$167,TRUE)-_xlfn.NORM.DIST(AR$30,economics!$AK$2:$AK$167,economics!$AJ$2:$AJ$167,TRUE))*economics!$AM$2:$AM$167))/(SUMPRODUCT((economics!$AG$2:$AG$167=$B56)*(economics!$D$2:$D$167="whr")*economics!$AI$2:$AI$167*(_xlfn.NORM.DIST(AR$3,economics!$AK$2:$AK$167,economics!$AJ$2:$AJ$167,TRUE)-_xlfn.NORM.DIST(AR$30,economics!$AK$2:$AK$167,economics!$AJ$2:$AJ$167,TRUE)))),"")</f>
        <v/>
      </c>
      <c r="AS56">
        <f t="array" ref="AS56">IFERROR((SUMPRODUCT((economics!$AG$2:$AG$167=$B56)*(economics!$D$2:$D$167="whr")*economics!$AI$2:$AI$167*(_xlfn.NORM.DIST(AS$3,economics!$AK$2:$AK$167,economics!$AJ$2:$AJ$167,TRUE)-_xlfn.NORM.DIST(AS$30,economics!$AK$2:$AK$167,economics!$AJ$2:$AJ$167,TRUE))*economics!$AM$2:$AM$167))/(SUMPRODUCT((economics!$AG$2:$AG$167=$B56)*(economics!$D$2:$D$167="whr")*economics!$AI$2:$AI$167*(_xlfn.NORM.DIST(AS$3,economics!$AK$2:$AK$167,economics!$AJ$2:$AJ$167,TRUE)-_xlfn.NORM.DIST(AS$30,economics!$AK$2:$AK$167,economics!$AJ$2:$AJ$167,TRUE)))),"")</f>
        <v/>
      </c>
      <c r="AT56">
        <f t="array" ref="AT56">IFERROR((SUMPRODUCT((economics!$AG$2:$AG$167=$B56)*(economics!$D$2:$D$167="whr")*economics!$AI$2:$AI$167*(_xlfn.NORM.DIST(AT$3,economics!$AK$2:$AK$167,economics!$AJ$2:$AJ$167,TRUE)-_xlfn.NORM.DIST(AT$30,economics!$AK$2:$AK$167,economics!$AJ$2:$AJ$167,TRUE))*economics!$AM$2:$AM$167))/(SUMPRODUCT((economics!$AG$2:$AG$167=$B56)*(economics!$D$2:$D$167="whr")*economics!$AI$2:$AI$167*(_xlfn.NORM.DIST(AT$3,economics!$AK$2:$AK$167,economics!$AJ$2:$AJ$167,TRUE)-_xlfn.NORM.DIST(AT$30,economics!$AK$2:$AK$167,economics!$AJ$2:$AJ$167,TRUE)))),"")</f>
        <v/>
      </c>
      <c r="AU56">
        <f t="array" ref="AU56">IFERROR((SUMPRODUCT((economics!$AG$2:$AG$167=$B56)*(economics!$D$2:$D$167="whr")*economics!$AI$2:$AI$167*(_xlfn.NORM.DIST(AU$3,economics!$AK$2:$AK$167,economics!$AJ$2:$AJ$167,TRUE)-_xlfn.NORM.DIST(AU$30,economics!$AK$2:$AK$167,economics!$AJ$2:$AJ$167,TRUE))*economics!$AM$2:$AM$167))/(SUMPRODUCT((economics!$AG$2:$AG$167=$B56)*(economics!$D$2:$D$167="whr")*economics!$AI$2:$AI$167*(_xlfn.NORM.DIST(AU$3,economics!$AK$2:$AK$167,economics!$AJ$2:$AJ$167,TRUE)-_xlfn.NORM.DIST(AU$30,economics!$AK$2:$AK$167,economics!$AJ$2:$AJ$167,TRUE)))),"")</f>
        <v/>
      </c>
      <c r="AV56">
        <f t="array" ref="AV56">IFERROR((SUMPRODUCT((economics!$AG$2:$AG$167=$B56)*(economics!$D$2:$D$167="whr")*economics!$AI$2:$AI$167*(_xlfn.NORM.DIST(AV$3,economics!$AK$2:$AK$167,economics!$AJ$2:$AJ$167,TRUE)-_xlfn.NORM.DIST(AV$30,economics!$AK$2:$AK$167,economics!$AJ$2:$AJ$167,TRUE))*economics!$AM$2:$AM$167))/(SUMPRODUCT((economics!$AG$2:$AG$167=$B56)*(economics!$D$2:$D$167="whr")*economics!$AI$2:$AI$167*(_xlfn.NORM.DIST(AV$3,economics!$AK$2:$AK$167,economics!$AJ$2:$AJ$167,TRUE)-_xlfn.NORM.DIST(AV$30,economics!$AK$2:$AK$167,economics!$AJ$2:$AJ$167,TRUE)))),"")</f>
        <v/>
      </c>
      <c r="AW56">
        <f t="array" ref="AW56">IFERROR((SUMPRODUCT((economics!$AG$2:$AG$167=$B56)*(economics!$D$2:$D$167="whr")*economics!$AI$2:$AI$167*(_xlfn.NORM.DIST(AW$3,economics!$AK$2:$AK$167,economics!$AJ$2:$AJ$167,TRUE)-_xlfn.NORM.DIST(AW$30,economics!$AK$2:$AK$167,economics!$AJ$2:$AJ$167,TRUE))*economics!$AM$2:$AM$167))/(SUMPRODUCT((economics!$AG$2:$AG$167=$B56)*(economics!$D$2:$D$167="whr")*economics!$AI$2:$AI$167*(_xlfn.NORM.DIST(AW$3,economics!$AK$2:$AK$167,economics!$AJ$2:$AJ$167,TRUE)-_xlfn.NORM.DIST(AW$30,economics!$AK$2:$AK$167,economics!$AJ$2:$AJ$167,TRUE)))),"")</f>
        <v/>
      </c>
      <c r="AX56">
        <f t="array" ref="AX56">IFERROR((SUMPRODUCT((economics!$AG$2:$AG$167=$B56)*(economics!$D$2:$D$167="whr")*economics!$AI$2:$AI$167*(_xlfn.NORM.DIST(AX$3,economics!$AK$2:$AK$167,economics!$AJ$2:$AJ$167,TRUE)-_xlfn.NORM.DIST(AX$30,economics!$AK$2:$AK$167,economics!$AJ$2:$AJ$167,TRUE))*economics!$AM$2:$AM$167))/(SUMPRODUCT((economics!$AG$2:$AG$167=$B56)*(economics!$D$2:$D$167="whr")*economics!$AI$2:$AI$167*(_xlfn.NORM.DIST(AX$3,economics!$AK$2:$AK$167,economics!$AJ$2:$AJ$167,TRUE)-_xlfn.NORM.DIST(AX$30,economics!$AK$2:$AK$167,economics!$AJ$2:$AJ$167,TRUE)))),"")</f>
        <v/>
      </c>
      <c r="AY56">
        <f t="array" ref="AY56">IFERROR((SUMPRODUCT((economics!$AG$2:$AG$167=$B56)*(economics!$D$2:$D$167="whr")*economics!$AI$2:$AI$167*(_xlfn.NORM.DIST(AY$3,economics!$AK$2:$AK$167,economics!$AJ$2:$AJ$167,TRUE)-_xlfn.NORM.DIST(AY$30,economics!$AK$2:$AK$167,economics!$AJ$2:$AJ$167,TRUE))*economics!$AM$2:$AM$167))/(SUMPRODUCT((economics!$AG$2:$AG$167=$B56)*(economics!$D$2:$D$167="whr")*economics!$AI$2:$AI$167*(_xlfn.NORM.DIST(AY$3,economics!$AK$2:$AK$167,economics!$AJ$2:$AJ$167,TRUE)-_xlfn.NORM.DIST(AY$30,economics!$AK$2:$AK$167,economics!$AJ$2:$AJ$167,TRUE)))),"")</f>
        <v/>
      </c>
      <c r="AZ56">
        <f t="array" ref="AZ56">IFERROR((SUMPRODUCT((economics!$AG$2:$AG$167=$B56)*(economics!$D$2:$D$167="whr")*economics!$AI$2:$AI$167*(_xlfn.NORM.DIST(AZ$3,economics!$AK$2:$AK$167,economics!$AJ$2:$AJ$167,TRUE)-_xlfn.NORM.DIST(AZ$30,economics!$AK$2:$AK$167,economics!$AJ$2:$AJ$167,TRUE))*economics!$AM$2:$AM$167))/(SUMPRODUCT((economics!$AG$2:$AG$167=$B56)*(economics!$D$2:$D$167="whr")*economics!$AI$2:$AI$167*(_xlfn.NORM.DIST(AZ$3,economics!$AK$2:$AK$167,economics!$AJ$2:$AJ$167,TRUE)-_xlfn.NORM.DIST(AZ$30,economics!$AK$2:$AK$167,economics!$AJ$2:$AJ$167,TRUE)))),"")</f>
        <v/>
      </c>
      <c r="BA56">
        <f t="array" ref="BA56">IFERROR((SUMPRODUCT((economics!$AG$2:$AG$167=$B56)*(economics!$D$2:$D$167="whr")*economics!$AI$2:$AI$167*(_xlfn.NORM.DIST(BA$3,economics!$AK$2:$AK$167,economics!$AJ$2:$AJ$167,TRUE)-_xlfn.NORM.DIST(BA$30,economics!$AK$2:$AK$167,economics!$AJ$2:$AJ$167,TRUE))*economics!$AM$2:$AM$167))/(SUMPRODUCT((economics!$AG$2:$AG$167=$B56)*(economics!$D$2:$D$167="whr")*economics!$AI$2:$AI$167*(_xlfn.NORM.DIST(BA$3,economics!$AK$2:$AK$167,economics!$AJ$2:$AJ$167,TRUE)-_xlfn.NORM.DIST(BA$30,economics!$AK$2:$AK$167,economics!$AJ$2:$AJ$167,TRUE)))),"")</f>
        <v/>
      </c>
      <c r="BB56">
        <f t="array" ref="BB56">IFERROR((SUMPRODUCT((economics!$AG$2:$AG$167=$B56)*(economics!$D$2:$D$167="whr")*economics!$AI$2:$AI$167*(_xlfn.NORM.DIST(BB$3,economics!$AK$2:$AK$167,economics!$AJ$2:$AJ$167,TRUE)-_xlfn.NORM.DIST(BB$30,economics!$AK$2:$AK$167,economics!$AJ$2:$AJ$167,TRUE))*economics!$AM$2:$AM$167))/(SUMPRODUCT((economics!$AG$2:$AG$167=$B56)*(economics!$D$2:$D$167="whr")*economics!$AI$2:$AI$167*(_xlfn.NORM.DIST(BB$3,economics!$AK$2:$AK$167,economics!$AJ$2:$AJ$167,TRUE)-_xlfn.NORM.DIST(BB$30,economics!$AK$2:$AK$167,economics!$AJ$2:$AJ$167,TRUE)))),"")</f>
        <v/>
      </c>
      <c r="BC56">
        <f t="array" ref="BC56">IFERROR((SUMPRODUCT((economics!$AG$2:$AG$167=$B56)*(economics!$D$2:$D$167="whr")*economics!$AI$2:$AI$167*(_xlfn.NORM.DIST(BC$3,economics!$AK$2:$AK$167,economics!$AJ$2:$AJ$167,TRUE)-_xlfn.NORM.DIST(BC$30,economics!$AK$2:$AK$167,economics!$AJ$2:$AJ$167,TRUE))*economics!$AM$2:$AM$167))/(SUMPRODUCT((economics!$AG$2:$AG$167=$B56)*(economics!$D$2:$D$167="whr")*economics!$AI$2:$AI$167*(_xlfn.NORM.DIST(BC$3,economics!$AK$2:$AK$167,economics!$AJ$2:$AJ$167,TRUE)-_xlfn.NORM.DIST(BC$30,economics!$AK$2:$AK$167,economics!$AJ$2:$AJ$167,TRUE)))),"")</f>
        <v/>
      </c>
      <c r="BD56">
        <f t="array" ref="BD56">IFERROR((SUMPRODUCT((economics!$AG$2:$AG$167=$B56)*(economics!$D$2:$D$167="whr")*economics!$AI$2:$AI$167*(_xlfn.NORM.DIST(BD$3,economics!$AK$2:$AK$167,economics!$AJ$2:$AJ$167,TRUE)-_xlfn.NORM.DIST(BD$30,economics!$AK$2:$AK$167,economics!$AJ$2:$AJ$167,TRUE))*economics!$AM$2:$AM$167))/(SUMPRODUCT((economics!$AG$2:$AG$167=$B56)*(economics!$D$2:$D$167="whr")*economics!$AI$2:$AI$167*(_xlfn.NORM.DIST(BD$3,economics!$AK$2:$AK$167,economics!$AJ$2:$AJ$167,TRUE)-_xlfn.NORM.DIST(BD$30,economics!$AK$2:$AK$167,economics!$AJ$2:$AJ$167,TRUE)))),"")</f>
        <v/>
      </c>
      <c r="BE56">
        <f t="array" ref="BE56">IFERROR((SUMPRODUCT((economics!$AG$2:$AG$167=$B56)*(economics!$D$2:$D$167="whr")*economics!$AI$2:$AI$167*(_xlfn.NORM.DIST(BE$3,economics!$AK$2:$AK$167,economics!$AJ$2:$AJ$167,TRUE)-_xlfn.NORM.DIST(BE$30,economics!$AK$2:$AK$167,economics!$AJ$2:$AJ$167,TRUE))*economics!$AM$2:$AM$167))/(SUMPRODUCT((economics!$AG$2:$AG$167=$B56)*(economics!$D$2:$D$167="whr")*economics!$AI$2:$AI$167*(_xlfn.NORM.DIST(BE$3,economics!$AK$2:$AK$167,economics!$AJ$2:$AJ$167,TRUE)-_xlfn.NORM.DIST(BE$30,economics!$AK$2:$AK$167,economics!$AJ$2:$AJ$167,TRUE)))),"")</f>
        <v/>
      </c>
      <c r="BF56">
        <f t="array" ref="BF56">IFERROR((SUMPRODUCT((economics!$AG$2:$AG$167=$B56)*(economics!$D$2:$D$167="whr")*economics!$AI$2:$AI$167*(_xlfn.NORM.DIST(BF$3,economics!$AK$2:$AK$167,economics!$AJ$2:$AJ$167,TRUE)-_xlfn.NORM.DIST(BF$30,economics!$AK$2:$AK$167,economics!$AJ$2:$AJ$167,TRUE))*economics!$AM$2:$AM$167))/(SUMPRODUCT((economics!$AG$2:$AG$167=$B56)*(economics!$D$2:$D$167="whr")*economics!$AI$2:$AI$167*(_xlfn.NORM.DIST(BF$3,economics!$AK$2:$AK$167,economics!$AJ$2:$AJ$167,TRUE)-_xlfn.NORM.DIST(BF$30,economics!$AK$2:$AK$167,economics!$AJ$2:$AJ$167,TRUE)))),"")</f>
        <v/>
      </c>
      <c r="BG56">
        <f t="array" ref="BG56">IFERROR((SUMPRODUCT((economics!$AG$2:$AG$167=$B56)*(economics!$D$2:$D$167="whr")*economics!$AI$2:$AI$167*(_xlfn.NORM.DIST(BG$3,economics!$AK$2:$AK$167,economics!$AJ$2:$AJ$167,TRUE)-_xlfn.NORM.DIST(BG$30,economics!$AK$2:$AK$167,economics!$AJ$2:$AJ$167,TRUE))*economics!$AM$2:$AM$167))/(SUMPRODUCT((economics!$AG$2:$AG$167=$B56)*(economics!$D$2:$D$167="whr")*economics!$AI$2:$AI$167*(_xlfn.NORM.DIST(BG$3,economics!$AK$2:$AK$167,economics!$AJ$2:$AJ$167,TRUE)-_xlfn.NORM.DIST(BG$30,economics!$AK$2:$AK$167,economics!$AJ$2:$AJ$167,TRUE)))),"")</f>
        <v/>
      </c>
      <c r="BH56">
        <f t="array" ref="BH56">IFERROR((SUMPRODUCT((economics!$AG$2:$AG$167=$B56)*(economics!$D$2:$D$167="whr")*economics!$AI$2:$AI$167*(_xlfn.NORM.DIST(BH$3,economics!$AK$2:$AK$167,economics!$AJ$2:$AJ$167,TRUE)-_xlfn.NORM.DIST(BH$30,economics!$AK$2:$AK$167,economics!$AJ$2:$AJ$167,TRUE))*economics!$AM$2:$AM$167))/(SUMPRODUCT((economics!$AG$2:$AG$167=$B56)*(economics!$D$2:$D$167="whr")*economics!$AI$2:$AI$167*(_xlfn.NORM.DIST(BH$3,economics!$AK$2:$AK$167,economics!$AJ$2:$AJ$167,TRUE)-_xlfn.NORM.DIST(BH$30,economics!$AK$2:$AK$167,economics!$AJ$2:$AJ$167,TRUE)))),"")</f>
        <v/>
      </c>
      <c r="BI56">
        <f t="array" ref="BI56">IFERROR((SUMPRODUCT((economics!$AG$2:$AG$167=$B56)*(economics!$D$2:$D$167="whr")*economics!$AI$2:$AI$167*(_xlfn.NORM.DIST(BI$3,economics!$AK$2:$AK$167,economics!$AJ$2:$AJ$167,TRUE)-_xlfn.NORM.DIST(BI$30,economics!$AK$2:$AK$167,economics!$AJ$2:$AJ$167,TRUE))*economics!$AM$2:$AM$167))/(SUMPRODUCT((economics!$AG$2:$AG$167=$B56)*(economics!$D$2:$D$167="whr")*economics!$AI$2:$AI$167*(_xlfn.NORM.DIST(BI$3,economics!$AK$2:$AK$167,economics!$AJ$2:$AJ$167,TRUE)-_xlfn.NORM.DIST(BI$30,economics!$AK$2:$AK$167,economics!$AJ$2:$AJ$167,TRUE)))),"")</f>
        <v/>
      </c>
      <c r="BJ56">
        <f t="array" ref="BJ56">IFERROR((SUMPRODUCT((economics!$AG$2:$AG$167=$B56)*(economics!$D$2:$D$167="whr")*economics!$AI$2:$AI$167*(_xlfn.NORM.DIST(BJ$3,economics!$AK$2:$AK$167,economics!$AJ$2:$AJ$167,TRUE)-_xlfn.NORM.DIST(BJ$30,economics!$AK$2:$AK$167,economics!$AJ$2:$AJ$167,TRUE))*economics!$AM$2:$AM$167))/(SUMPRODUCT((economics!$AG$2:$AG$167=$B56)*(economics!$D$2:$D$167="whr")*economics!$AI$2:$AI$167*(_xlfn.NORM.DIST(BJ$3,economics!$AK$2:$AK$167,economics!$AJ$2:$AJ$167,TRUE)-_xlfn.NORM.DIST(BJ$30,economics!$AK$2:$AK$167,economics!$AJ$2:$AJ$167,TRUE)))),"")</f>
        <v/>
      </c>
      <c r="BK56">
        <f t="array" ref="BK56">IFERROR((SUMPRODUCT((economics!$AG$2:$AG$167=$B56)*(economics!$D$2:$D$167="whr")*economics!$AI$2:$AI$167*(_xlfn.NORM.DIST(BK$3,economics!$AK$2:$AK$167,economics!$AJ$2:$AJ$167,TRUE)-_xlfn.NORM.DIST(BK$30,economics!$AK$2:$AK$167,economics!$AJ$2:$AJ$167,TRUE))*economics!$AM$2:$AM$167))/(SUMPRODUCT((economics!$AG$2:$AG$167=$B56)*(economics!$D$2:$D$167="whr")*economics!$AI$2:$AI$167*(_xlfn.NORM.DIST(BK$3,economics!$AK$2:$AK$167,economics!$AJ$2:$AJ$167,TRUE)-_xlfn.NORM.DIST(BK$30,economics!$AK$2:$AK$167,economics!$AJ$2:$AJ$167,TRUE)))),"")</f>
        <v/>
      </c>
      <c r="BL56">
        <f t="array" ref="BL56">IFERROR((SUMPRODUCT((economics!$AG$2:$AG$167=$B56)*(economics!$D$2:$D$167="whr")*economics!$AI$2:$AI$167*(_xlfn.NORM.DIST(BL$3,economics!$AK$2:$AK$167,economics!$AJ$2:$AJ$167,TRUE)-_xlfn.NORM.DIST(BL$30,economics!$AK$2:$AK$167,economics!$AJ$2:$AJ$167,TRUE))*economics!$AM$2:$AM$167))/(SUMPRODUCT((economics!$AG$2:$AG$167=$B56)*(economics!$D$2:$D$167="whr")*economics!$AI$2:$AI$167*(_xlfn.NORM.DIST(BL$3,economics!$AK$2:$AK$167,economics!$AJ$2:$AJ$167,TRUE)-_xlfn.NORM.DIST(BL$30,economics!$AK$2:$AK$167,economics!$AJ$2:$AJ$167,TRUE)))),"")</f>
        <v/>
      </c>
      <c r="BM56">
        <f t="array" ref="BM56">IFERROR((SUMPRODUCT((economics!$AG$2:$AG$167=$B56)*(economics!$D$2:$D$167="whr")*economics!$AI$2:$AI$167*(_xlfn.NORM.DIST(BM$3,economics!$AK$2:$AK$167,economics!$AJ$2:$AJ$167,TRUE)-_xlfn.NORM.DIST(BM$30,economics!$AK$2:$AK$167,economics!$AJ$2:$AJ$167,TRUE))*economics!$AM$2:$AM$167))/(SUMPRODUCT((economics!$AG$2:$AG$167=$B56)*(economics!$D$2:$D$167="whr")*economics!$AI$2:$AI$167*(_xlfn.NORM.DIST(BM$3,economics!$AK$2:$AK$167,economics!$AJ$2:$AJ$167,TRUE)-_xlfn.NORM.DIST(BM$30,economics!$AK$2:$AK$167,economics!$AJ$2:$AJ$167,TRUE)))),"")</f>
        <v/>
      </c>
      <c r="BN56">
        <f t="array" ref="BN56">IFERROR((SUMPRODUCT((economics!$AG$2:$AG$167=$B56)*(economics!$D$2:$D$167="whr")*economics!$AI$2:$AI$167*(_xlfn.NORM.DIST(BN$3,economics!$AK$2:$AK$167,economics!$AJ$2:$AJ$167,TRUE)-_xlfn.NORM.DIST(BN$30,economics!$AK$2:$AK$167,economics!$AJ$2:$AJ$167,TRUE))*economics!$AM$2:$AM$167))/(SUMPRODUCT((economics!$AG$2:$AG$167=$B56)*(economics!$D$2:$D$167="whr")*economics!$AI$2:$AI$167*(_xlfn.NORM.DIST(BN$3,economics!$AK$2:$AK$167,economics!$AJ$2:$AJ$167,TRUE)-_xlfn.NORM.DIST(BN$30,economics!$AK$2:$AK$167,economics!$AJ$2:$AJ$167,TRUE)))),"")</f>
        <v/>
      </c>
      <c r="BO56">
        <f t="array" ref="BO56">IFERROR((SUMPRODUCT((economics!$AG$2:$AG$167=$B56)*(economics!$D$2:$D$167="whr")*economics!$AI$2:$AI$167*(_xlfn.NORM.DIST(BO$3,economics!$AK$2:$AK$167,economics!$AJ$2:$AJ$167,TRUE)-_xlfn.NORM.DIST(BO$30,economics!$AK$2:$AK$167,economics!$AJ$2:$AJ$167,TRUE))*economics!$AM$2:$AM$167))/(SUMPRODUCT((economics!$AG$2:$AG$167=$B56)*(economics!$D$2:$D$167="whr")*economics!$AI$2:$AI$167*(_xlfn.NORM.DIST(BO$3,economics!$AK$2:$AK$167,economics!$AJ$2:$AJ$167,TRUE)-_xlfn.NORM.DIST(BO$30,economics!$AK$2:$AK$167,economics!$AJ$2:$AJ$167,TRUE)))),"")</f>
        <v/>
      </c>
      <c r="BP56">
        <f t="array" ref="BP56">IFERROR((SUMPRODUCT((economics!$AG$2:$AG$167=$B56)*(economics!$D$2:$D$167="whr")*economics!$AI$2:$AI$167*(_xlfn.NORM.DIST(BP$3,economics!$AK$2:$AK$167,economics!$AJ$2:$AJ$167,TRUE)-_xlfn.NORM.DIST(BP$30,economics!$AK$2:$AK$167,economics!$AJ$2:$AJ$167,TRUE))*economics!$AM$2:$AM$167))/(SUMPRODUCT((economics!$AG$2:$AG$167=$B56)*(economics!$D$2:$D$167="whr")*economics!$AI$2:$AI$167*(_xlfn.NORM.DIST(BP$3,economics!$AK$2:$AK$167,economics!$AJ$2:$AJ$167,TRUE)-_xlfn.NORM.DIST(BP$30,economics!$AK$2:$AK$167,economics!$AJ$2:$AJ$167,TRUE)))),"")</f>
        <v/>
      </c>
      <c r="BQ56">
        <f t="array" ref="BQ56">IFERROR((SUMPRODUCT((economics!$AG$2:$AG$167=$B56)*(economics!$D$2:$D$167="whr")*economics!$AI$2:$AI$167*(_xlfn.NORM.DIST(BQ$3,economics!$AK$2:$AK$167,economics!$AJ$2:$AJ$167,TRUE)-_xlfn.NORM.DIST(BQ$30,economics!$AK$2:$AK$167,economics!$AJ$2:$AJ$167,TRUE))*economics!$AM$2:$AM$167))/(SUMPRODUCT((economics!$AG$2:$AG$167=$B56)*(economics!$D$2:$D$167="whr")*economics!$AI$2:$AI$167*(_xlfn.NORM.DIST(BQ$3,economics!$AK$2:$AK$167,economics!$AJ$2:$AJ$167,TRUE)-_xlfn.NORM.DIST(BQ$30,economics!$AK$2:$AK$167,economics!$AJ$2:$AJ$167,TRUE)))),"")</f>
        <v/>
      </c>
      <c r="BR56">
        <f t="array" ref="BR56">IFERROR((SUMPRODUCT((economics!$AG$2:$AG$167=$B56)*(economics!$D$2:$D$167="whr")*economics!$AI$2:$AI$167*(_xlfn.NORM.DIST(BR$3,economics!$AK$2:$AK$167,economics!$AJ$2:$AJ$167,TRUE)-_xlfn.NORM.DIST(BR$30,economics!$AK$2:$AK$167,economics!$AJ$2:$AJ$167,TRUE))*economics!$AM$2:$AM$167))/(SUMPRODUCT((economics!$AG$2:$AG$167=$B56)*(economics!$D$2:$D$167="whr")*economics!$AI$2:$AI$167*(_xlfn.NORM.DIST(BR$3,economics!$AK$2:$AK$167,economics!$AJ$2:$AJ$167,TRUE)-_xlfn.NORM.DIST(BR$30,economics!$AK$2:$AK$167,economics!$AJ$2:$AJ$167,TRUE)))),"")</f>
        <v/>
      </c>
      <c r="BS56">
        <f t="array" ref="BS56">IFERROR((SUMPRODUCT((economics!$AG$2:$AG$167=$B56)*(economics!$D$2:$D$167="whr")*economics!$AI$2:$AI$167*(_xlfn.NORM.DIST(BS$3,economics!$AK$2:$AK$167,economics!$AJ$2:$AJ$167,TRUE)-_xlfn.NORM.DIST(BS$30,economics!$AK$2:$AK$167,economics!$AJ$2:$AJ$167,TRUE))*economics!$AM$2:$AM$167))/(SUMPRODUCT((economics!$AG$2:$AG$167=$B56)*(economics!$D$2:$D$167="whr")*economics!$AI$2:$AI$167*(_xlfn.NORM.DIST(BS$3,economics!$AK$2:$AK$167,economics!$AJ$2:$AJ$167,TRUE)-_xlfn.NORM.DIST(BS$30,economics!$AK$2:$AK$167,economics!$AJ$2:$AJ$167,TRUE)))),"")</f>
        <v/>
      </c>
      <c r="BT56">
        <f t="array" ref="BT56">IFERROR((SUMPRODUCT((economics!$AG$2:$AG$167=$B56)*(economics!$D$2:$D$167="whr")*economics!$AI$2:$AI$167*(_xlfn.NORM.DIST(BT$3,economics!$AK$2:$AK$167,economics!$AJ$2:$AJ$167,TRUE)-_xlfn.NORM.DIST(BT$30,economics!$AK$2:$AK$167,economics!$AJ$2:$AJ$167,TRUE))*economics!$AM$2:$AM$167))/(SUMPRODUCT((economics!$AG$2:$AG$167=$B56)*(economics!$D$2:$D$167="whr")*economics!$AI$2:$AI$167*(_xlfn.NORM.DIST(BT$3,economics!$AK$2:$AK$167,economics!$AJ$2:$AJ$167,TRUE)-_xlfn.NORM.DIST(BT$30,economics!$AK$2:$AK$167,economics!$AJ$2:$AJ$167,TRUE)))),"")</f>
        <v/>
      </c>
      <c r="BU56">
        <f t="array" ref="BU56">IFERROR((SUMPRODUCT((economics!$AG$2:$AG$167=$B56)*(economics!$D$2:$D$167="whr")*economics!$AI$2:$AI$167*(_xlfn.NORM.DIST(BU$3,economics!$AK$2:$AK$167,economics!$AJ$2:$AJ$167,TRUE)-_xlfn.NORM.DIST(BU$30,economics!$AK$2:$AK$167,economics!$AJ$2:$AJ$167,TRUE))*economics!$AM$2:$AM$167))/(SUMPRODUCT((economics!$AG$2:$AG$167=$B56)*(economics!$D$2:$D$167="whr")*economics!$AI$2:$AI$167*(_xlfn.NORM.DIST(BU$3,economics!$AK$2:$AK$167,economics!$AJ$2:$AJ$167,TRUE)-_xlfn.NORM.DIST(BU$30,economics!$AK$2:$AK$167,economics!$AJ$2:$AJ$167,TRUE)))),"")</f>
        <v/>
      </c>
      <c r="BV56">
        <f t="array" ref="BV56">IFERROR((SUMPRODUCT((economics!$AG$2:$AG$167=$B56)*(economics!$D$2:$D$167="whr")*economics!$AI$2:$AI$167*(_xlfn.NORM.DIST(BV$3,economics!$AK$2:$AK$167,economics!$AJ$2:$AJ$167,TRUE)-_xlfn.NORM.DIST(BV$30,economics!$AK$2:$AK$167,economics!$AJ$2:$AJ$167,TRUE))*economics!$AM$2:$AM$167))/(SUMPRODUCT((economics!$AG$2:$AG$167=$B56)*(economics!$D$2:$D$167="whr")*economics!$AI$2:$AI$167*(_xlfn.NORM.DIST(BV$3,economics!$AK$2:$AK$167,economics!$AJ$2:$AJ$167,TRUE)-_xlfn.NORM.DIST(BV$30,economics!$AK$2:$AK$167,economics!$AJ$2:$AJ$167,TRUE)))),"")</f>
        <v/>
      </c>
      <c r="BW56">
        <f t="array" ref="BW56">IFERROR((SUMPRODUCT((economics!$AG$2:$AG$167=$B56)*(economics!$D$2:$D$167="whr")*economics!$AI$2:$AI$167*(_xlfn.NORM.DIST(BW$3,economics!$AK$2:$AK$167,economics!$AJ$2:$AJ$167,TRUE)-_xlfn.NORM.DIST(BW$30,economics!$AK$2:$AK$167,economics!$AJ$2:$AJ$167,TRUE))*economics!$AM$2:$AM$167))/(SUMPRODUCT((economics!$AG$2:$AG$167=$B56)*(economics!$D$2:$D$167="whr")*economics!$AI$2:$AI$167*(_xlfn.NORM.DIST(BW$3,economics!$AK$2:$AK$167,economics!$AJ$2:$AJ$167,TRUE)-_xlfn.NORM.DIST(BW$30,economics!$AK$2:$AK$167,economics!$AJ$2:$AJ$167,TRUE)))),"")</f>
        <v/>
      </c>
      <c r="BX56">
        <f t="array" ref="BX56">IFERROR((SUMPRODUCT((economics!$AG$2:$AG$167=$B56)*(economics!$D$2:$D$167="whr")*economics!$AI$2:$AI$167*(_xlfn.NORM.DIST(BX$3,economics!$AK$2:$AK$167,economics!$AJ$2:$AJ$167,TRUE)-_xlfn.NORM.DIST(BX$30,economics!$AK$2:$AK$167,economics!$AJ$2:$AJ$167,TRUE))*economics!$AM$2:$AM$167))/(SUMPRODUCT((economics!$AG$2:$AG$167=$B56)*(economics!$D$2:$D$167="whr")*economics!$AI$2:$AI$167*(_xlfn.NORM.DIST(BX$3,economics!$AK$2:$AK$167,economics!$AJ$2:$AJ$167,TRUE)-_xlfn.NORM.DIST(BX$30,economics!$AK$2:$AK$167,economics!$AJ$2:$AJ$167,TRUE)))),"")</f>
        <v/>
      </c>
      <c r="BY56">
        <f t="array" ref="BY56">IFERROR((SUMPRODUCT((economics!$AG$2:$AG$167=$B56)*(economics!$D$2:$D$167="whr")*economics!$AI$2:$AI$167*(_xlfn.NORM.DIST(BY$3,economics!$AK$2:$AK$167,economics!$AJ$2:$AJ$167,TRUE)-_xlfn.NORM.DIST(BY$30,economics!$AK$2:$AK$167,economics!$AJ$2:$AJ$167,TRUE))*economics!$AM$2:$AM$167))/(SUMPRODUCT((economics!$AG$2:$AG$167=$B56)*(economics!$D$2:$D$167="whr")*economics!$AI$2:$AI$167*(_xlfn.NORM.DIST(BY$3,economics!$AK$2:$AK$167,economics!$AJ$2:$AJ$167,TRUE)-_xlfn.NORM.DIST(BY$30,economics!$AK$2:$AK$167,economics!$AJ$2:$AJ$167,TRUE)))),"")</f>
        <v/>
      </c>
      <c r="BZ56">
        <f t="array" ref="BZ56">IFERROR((SUMPRODUCT((economics!$AG$2:$AG$167=$B56)*(economics!$D$2:$D$167="whr")*economics!$AI$2:$AI$167*(_xlfn.NORM.DIST(BZ$3,economics!$AK$2:$AK$167,economics!$AJ$2:$AJ$167,TRUE)-_xlfn.NORM.DIST(BZ$30,economics!$AK$2:$AK$167,economics!$AJ$2:$AJ$167,TRUE))*economics!$AM$2:$AM$167))/(SUMPRODUCT((economics!$AG$2:$AG$167=$B56)*(economics!$D$2:$D$167="whr")*economics!$AI$2:$AI$167*(_xlfn.NORM.DIST(BZ$3,economics!$AK$2:$AK$167,economics!$AJ$2:$AJ$167,TRUE)-_xlfn.NORM.DIST(BZ$30,economics!$AK$2:$AK$167,economics!$AJ$2:$AJ$167,TRUE)))),"")</f>
        <v/>
      </c>
      <c r="CA56">
        <f t="array" ref="CA56">IFERROR((SUMPRODUCT((economics!$AG$2:$AG$167=$B56)*(economics!$D$2:$D$167="whr")*economics!$AI$2:$AI$167*(_xlfn.NORM.DIST(CA$3,economics!$AK$2:$AK$167,economics!$AJ$2:$AJ$167,TRUE)-_xlfn.NORM.DIST(CA$30,economics!$AK$2:$AK$167,economics!$AJ$2:$AJ$167,TRUE))*economics!$AM$2:$AM$167))/(SUMPRODUCT((economics!$AG$2:$AG$167=$B56)*(economics!$D$2:$D$167="whr")*economics!$AI$2:$AI$167*(_xlfn.NORM.DIST(CA$3,economics!$AK$2:$AK$167,economics!$AJ$2:$AJ$167,TRUE)-_xlfn.NORM.DIST(CA$30,economics!$AK$2:$AK$167,economics!$AJ$2:$AJ$167,TRUE)))),"")</f>
        <v/>
      </c>
      <c r="CB56">
        <f t="array" ref="CB56">IFERROR((SUMPRODUCT((economics!$AG$2:$AG$167=$B56)*(economics!$D$2:$D$167="whr")*economics!$AI$2:$AI$167*(_xlfn.NORM.DIST(CB$3,economics!$AK$2:$AK$167,economics!$AJ$2:$AJ$167,TRUE)-_xlfn.NORM.DIST(CB$30,economics!$AK$2:$AK$167,economics!$AJ$2:$AJ$167,TRUE))*economics!$AM$2:$AM$167))/(SUMPRODUCT((economics!$AG$2:$AG$167=$B56)*(economics!$D$2:$D$167="whr")*economics!$AI$2:$AI$167*(_xlfn.NORM.DIST(CB$3,economics!$AK$2:$AK$167,economics!$AJ$2:$AJ$167,TRUE)-_xlfn.NORM.DIST(CB$30,economics!$AK$2:$AK$167,economics!$AJ$2:$AJ$167,TRUE)))),"")</f>
        <v/>
      </c>
      <c r="CC56">
        <f t="array" ref="CC56">IFERROR((SUMPRODUCT((economics!$AG$2:$AG$167=$B56)*(economics!$D$2:$D$167="whr")*economics!$AI$2:$AI$167*(_xlfn.NORM.DIST(CC$3,economics!$AK$2:$AK$167,economics!$AJ$2:$AJ$167,TRUE)-_xlfn.NORM.DIST(CC$30,economics!$AK$2:$AK$167,economics!$AJ$2:$AJ$167,TRUE))*economics!$AM$2:$AM$167))/(SUMPRODUCT((economics!$AG$2:$AG$167=$B56)*(economics!$D$2:$D$167="whr")*economics!$AI$2:$AI$167*(_xlfn.NORM.DIST(CC$3,economics!$AK$2:$AK$167,economics!$AJ$2:$AJ$167,TRUE)-_xlfn.NORM.DIST(CC$30,economics!$AK$2:$AK$167,economics!$AJ$2:$AJ$167,TRUE)))),"")</f>
        <v/>
      </c>
      <c r="CD56">
        <f t="array" ref="CD56">IFERROR((SUMPRODUCT((economics!$AG$2:$AG$167=$B56)*(economics!$D$2:$D$167="whr")*economics!$AI$2:$AI$167*(_xlfn.NORM.DIST(CD$3,economics!$AK$2:$AK$167,economics!$AJ$2:$AJ$167,TRUE)-_xlfn.NORM.DIST(CD$30,economics!$AK$2:$AK$167,economics!$AJ$2:$AJ$167,TRUE))*economics!$AM$2:$AM$167))/(SUMPRODUCT((economics!$AG$2:$AG$167=$B56)*(economics!$D$2:$D$167="whr")*economics!$AI$2:$AI$167*(_xlfn.NORM.DIST(CD$3,economics!$AK$2:$AK$167,economics!$AJ$2:$AJ$167,TRUE)-_xlfn.NORM.DIST(CD$30,economics!$AK$2:$AK$167,economics!$AJ$2:$AJ$167,TRUE)))),"")</f>
        <v/>
      </c>
      <c r="CE56">
        <f t="array" ref="CE56">IFERROR((SUMPRODUCT((economics!$AG$2:$AG$167=$B56)*(economics!$D$2:$D$167="whr")*economics!$AI$2:$AI$167*(_xlfn.NORM.DIST(CE$3,economics!$AK$2:$AK$167,economics!$AJ$2:$AJ$167,TRUE)-_xlfn.NORM.DIST(CE$30,economics!$AK$2:$AK$167,economics!$AJ$2:$AJ$167,TRUE))*economics!$AM$2:$AM$167))/(SUMPRODUCT((economics!$AG$2:$AG$167=$B56)*(economics!$D$2:$D$167="whr")*economics!$AI$2:$AI$167*(_xlfn.NORM.DIST(CE$3,economics!$AK$2:$AK$167,economics!$AJ$2:$AJ$167,TRUE)-_xlfn.NORM.DIST(CE$30,economics!$AK$2:$AK$167,economics!$AJ$2:$AJ$167,TRUE)))),"")</f>
        <v/>
      </c>
      <c r="CF56">
        <f t="array" ref="CF56">IFERROR((SUMPRODUCT((economics!$AG$2:$AG$167=$B56)*(economics!$D$2:$D$167="whr")*economics!$AI$2:$AI$167*(_xlfn.NORM.DIST(CF$3,economics!$AK$2:$AK$167,economics!$AJ$2:$AJ$167,TRUE)-_xlfn.NORM.DIST(CF$30,economics!$AK$2:$AK$167,economics!$AJ$2:$AJ$167,TRUE))*economics!$AM$2:$AM$167))/(SUMPRODUCT((economics!$AG$2:$AG$167=$B56)*(economics!$D$2:$D$167="whr")*economics!$AI$2:$AI$167*(_xlfn.NORM.DIST(CF$3,economics!$AK$2:$AK$167,economics!$AJ$2:$AJ$167,TRUE)-_xlfn.NORM.DIST(CF$30,economics!$AK$2:$AK$167,economics!$AJ$2:$AJ$167,TRUE)))),"")</f>
        <v/>
      </c>
      <c r="CG56">
        <f t="array" ref="CG56">IFERROR((SUMPRODUCT((economics!$AG$2:$AG$167=$B56)*(economics!$D$2:$D$167="whr")*economics!$AI$2:$AI$167*(_xlfn.NORM.DIST(CG$3,economics!$AK$2:$AK$167,economics!$AJ$2:$AJ$167,TRUE)-_xlfn.NORM.DIST(CG$30,economics!$AK$2:$AK$167,economics!$AJ$2:$AJ$167,TRUE))*economics!$AM$2:$AM$167))/(SUMPRODUCT((economics!$AG$2:$AG$167=$B56)*(economics!$D$2:$D$167="whr")*economics!$AI$2:$AI$167*(_xlfn.NORM.DIST(CG$3,economics!$AK$2:$AK$167,economics!$AJ$2:$AJ$167,TRUE)-_xlfn.NORM.DIST(CG$30,economics!$AK$2:$AK$167,economics!$AJ$2:$AJ$167,TRUE)))),"")</f>
        <v/>
      </c>
      <c r="CH56">
        <f t="array" ref="CH56">IFERROR((SUMPRODUCT((economics!$AG$2:$AG$167=$B56)*(economics!$D$2:$D$167="whr")*economics!$AI$2:$AI$167*(_xlfn.NORM.DIST(CH$3,economics!$AK$2:$AK$167,economics!$AJ$2:$AJ$167,TRUE)-_xlfn.NORM.DIST(CH$30,economics!$AK$2:$AK$167,economics!$AJ$2:$AJ$167,TRUE))*economics!$AM$2:$AM$167))/(SUMPRODUCT((economics!$AG$2:$AG$167=$B56)*(economics!$D$2:$D$167="whr")*economics!$AI$2:$AI$167*(_xlfn.NORM.DIST(CH$3,economics!$AK$2:$AK$167,economics!$AJ$2:$AJ$167,TRUE)-_xlfn.NORM.DIST(CH$30,economics!$AK$2:$AK$167,economics!$AJ$2:$AJ$167,TRUE)))),"")</f>
        <v/>
      </c>
    </row>
    <row r="57">
      <c r="A57">
        <f>A28</f>
        <v/>
      </c>
      <c r="B57">
        <f>B28</f>
        <v/>
      </c>
      <c r="E57">
        <f t="array" ref="E57">IFERROR((SUMPRODUCT((economics!$AG$2:$AG$167=$B57)*(economics!$D$2:$D$167="whr")*economics!$AI$2:$AI$167*(_xlfn.NORM.DIST(E$3,economics!$AK$2:$AK$167,economics!$AJ$2:$AJ$167,TRUE)-_xlfn.NORM.DIST(E$30,economics!$AK$2:$AK$167,economics!$AJ$2:$AJ$167,TRUE))*economics!$AM$2:$AM$167))/(SUMPRODUCT((economics!$AG$2:$AG$167=$B57)*(economics!$D$2:$D$167="whr")*economics!$AI$2:$AI$167*(_xlfn.NORM.DIST(E$3,economics!$AK$2:$AK$167,economics!$AJ$2:$AJ$167,TRUE)-_xlfn.NORM.DIST(E$30,economics!$AK$2:$AK$167,economics!$AJ$2:$AJ$167,TRUE)))),"")</f>
        <v/>
      </c>
      <c r="F57">
        <f t="array" ref="F57">IFERROR((SUMPRODUCT((economics!$AG$2:$AG$167=$B57)*(economics!$D$2:$D$167="whr")*economics!$AI$2:$AI$167*(_xlfn.NORM.DIST(F$3,economics!$AK$2:$AK$167,economics!$AJ$2:$AJ$167,TRUE)-_xlfn.NORM.DIST(F$30,economics!$AK$2:$AK$167,economics!$AJ$2:$AJ$167,TRUE))*economics!$AM$2:$AM$167))/(SUMPRODUCT((economics!$AG$2:$AG$167=$B57)*(economics!$D$2:$D$167="whr")*economics!$AI$2:$AI$167*(_xlfn.NORM.DIST(F$3,economics!$AK$2:$AK$167,economics!$AJ$2:$AJ$167,TRUE)-_xlfn.NORM.DIST(F$30,economics!$AK$2:$AK$167,economics!$AJ$2:$AJ$167,TRUE)))),"")</f>
        <v/>
      </c>
      <c r="G57">
        <f t="array" ref="G57">IFERROR((SUMPRODUCT((economics!$AG$2:$AG$167=$B57)*(economics!$D$2:$D$167="whr")*economics!$AI$2:$AI$167*(_xlfn.NORM.DIST(G$3,economics!$AK$2:$AK$167,economics!$AJ$2:$AJ$167,TRUE)-_xlfn.NORM.DIST(G$30,economics!$AK$2:$AK$167,economics!$AJ$2:$AJ$167,TRUE))*economics!$AM$2:$AM$167))/(SUMPRODUCT((economics!$AG$2:$AG$167=$B57)*(economics!$D$2:$D$167="whr")*economics!$AI$2:$AI$167*(_xlfn.NORM.DIST(G$3,economics!$AK$2:$AK$167,economics!$AJ$2:$AJ$167,TRUE)-_xlfn.NORM.DIST(G$30,economics!$AK$2:$AK$167,economics!$AJ$2:$AJ$167,TRUE)))),"")</f>
        <v/>
      </c>
      <c r="H57">
        <f t="array" ref="H57">IFERROR((SUMPRODUCT((economics!$AG$2:$AG$167=$B57)*(economics!$D$2:$D$167="whr")*economics!$AI$2:$AI$167*(_xlfn.NORM.DIST(H$3,economics!$AK$2:$AK$167,economics!$AJ$2:$AJ$167,TRUE)-_xlfn.NORM.DIST(H$30,economics!$AK$2:$AK$167,economics!$AJ$2:$AJ$167,TRUE))*economics!$AM$2:$AM$167))/(SUMPRODUCT((economics!$AG$2:$AG$167=$B57)*(economics!$D$2:$D$167="whr")*economics!$AI$2:$AI$167*(_xlfn.NORM.DIST(H$3,economics!$AK$2:$AK$167,economics!$AJ$2:$AJ$167,TRUE)-_xlfn.NORM.DIST(H$30,economics!$AK$2:$AK$167,economics!$AJ$2:$AJ$167,TRUE)))),"")</f>
        <v/>
      </c>
      <c r="I57">
        <f t="array" ref="I57">IFERROR((SUMPRODUCT((economics!$AG$2:$AG$167=$B57)*(economics!$D$2:$D$167="whr")*economics!$AI$2:$AI$167*(_xlfn.NORM.DIST(I$3,economics!$AK$2:$AK$167,economics!$AJ$2:$AJ$167,TRUE)-_xlfn.NORM.DIST(I$30,economics!$AK$2:$AK$167,economics!$AJ$2:$AJ$167,TRUE))*economics!$AM$2:$AM$167))/(SUMPRODUCT((economics!$AG$2:$AG$167=$B57)*(economics!$D$2:$D$167="whr")*economics!$AI$2:$AI$167*(_xlfn.NORM.DIST(I$3,economics!$AK$2:$AK$167,economics!$AJ$2:$AJ$167,TRUE)-_xlfn.NORM.DIST(I$30,economics!$AK$2:$AK$167,economics!$AJ$2:$AJ$167,TRUE)))),"")</f>
        <v/>
      </c>
      <c r="J57">
        <f t="array" ref="J57">IFERROR((SUMPRODUCT((economics!$AG$2:$AG$167=$B57)*(economics!$D$2:$D$167="whr")*economics!$AI$2:$AI$167*(_xlfn.NORM.DIST(J$3,economics!$AK$2:$AK$167,economics!$AJ$2:$AJ$167,TRUE)-_xlfn.NORM.DIST(J$30,economics!$AK$2:$AK$167,economics!$AJ$2:$AJ$167,TRUE))*economics!$AM$2:$AM$167))/(SUMPRODUCT((economics!$AG$2:$AG$167=$B57)*(economics!$D$2:$D$167="whr")*economics!$AI$2:$AI$167*(_xlfn.NORM.DIST(J$3,economics!$AK$2:$AK$167,economics!$AJ$2:$AJ$167,TRUE)-_xlfn.NORM.DIST(J$30,economics!$AK$2:$AK$167,economics!$AJ$2:$AJ$167,TRUE)))),"")</f>
        <v/>
      </c>
      <c r="K57">
        <f t="array" ref="K57">IFERROR((SUMPRODUCT((economics!$AG$2:$AG$167=$B57)*(economics!$D$2:$D$167="whr")*economics!$AI$2:$AI$167*(_xlfn.NORM.DIST(K$3,economics!$AK$2:$AK$167,economics!$AJ$2:$AJ$167,TRUE)-_xlfn.NORM.DIST(K$30,economics!$AK$2:$AK$167,economics!$AJ$2:$AJ$167,TRUE))*economics!$AM$2:$AM$167))/(SUMPRODUCT((economics!$AG$2:$AG$167=$B57)*(economics!$D$2:$D$167="whr")*economics!$AI$2:$AI$167*(_xlfn.NORM.DIST(K$3,economics!$AK$2:$AK$167,economics!$AJ$2:$AJ$167,TRUE)-_xlfn.NORM.DIST(K$30,economics!$AK$2:$AK$167,economics!$AJ$2:$AJ$167,TRUE)))),"")</f>
        <v/>
      </c>
      <c r="L57">
        <f t="array" ref="L57">IFERROR((SUMPRODUCT((economics!$AG$2:$AG$167=$B57)*(economics!$D$2:$D$167="whr")*economics!$AI$2:$AI$167*(_xlfn.NORM.DIST(L$3,economics!$AK$2:$AK$167,economics!$AJ$2:$AJ$167,TRUE)-_xlfn.NORM.DIST(L$30,economics!$AK$2:$AK$167,economics!$AJ$2:$AJ$167,TRUE))*economics!$AM$2:$AM$167))/(SUMPRODUCT((economics!$AG$2:$AG$167=$B57)*(economics!$D$2:$D$167="whr")*economics!$AI$2:$AI$167*(_xlfn.NORM.DIST(L$3,economics!$AK$2:$AK$167,economics!$AJ$2:$AJ$167,TRUE)-_xlfn.NORM.DIST(L$30,economics!$AK$2:$AK$167,economics!$AJ$2:$AJ$167,TRUE)))),"")</f>
        <v/>
      </c>
      <c r="M57">
        <f t="array" ref="M57">IFERROR((SUMPRODUCT((economics!$AG$2:$AG$167=$B57)*(economics!$D$2:$D$167="whr")*economics!$AI$2:$AI$167*(_xlfn.NORM.DIST(M$3,economics!$AK$2:$AK$167,economics!$AJ$2:$AJ$167,TRUE)-_xlfn.NORM.DIST(M$30,economics!$AK$2:$AK$167,economics!$AJ$2:$AJ$167,TRUE))*economics!$AM$2:$AM$167))/(SUMPRODUCT((economics!$AG$2:$AG$167=$B57)*(economics!$D$2:$D$167="whr")*economics!$AI$2:$AI$167*(_xlfn.NORM.DIST(M$3,economics!$AK$2:$AK$167,economics!$AJ$2:$AJ$167,TRUE)-_xlfn.NORM.DIST(M$30,economics!$AK$2:$AK$167,economics!$AJ$2:$AJ$167,TRUE)))),"")</f>
        <v/>
      </c>
      <c r="N57">
        <f t="array" ref="N57">IFERROR((SUMPRODUCT((economics!$AG$2:$AG$167=$B57)*(economics!$D$2:$D$167="whr")*economics!$AI$2:$AI$167*(_xlfn.NORM.DIST(N$3,economics!$AK$2:$AK$167,economics!$AJ$2:$AJ$167,TRUE)-_xlfn.NORM.DIST(N$30,economics!$AK$2:$AK$167,economics!$AJ$2:$AJ$167,TRUE))*economics!$AM$2:$AM$167))/(SUMPRODUCT((economics!$AG$2:$AG$167=$B57)*(economics!$D$2:$D$167="whr")*economics!$AI$2:$AI$167*(_xlfn.NORM.DIST(N$3,economics!$AK$2:$AK$167,economics!$AJ$2:$AJ$167,TRUE)-_xlfn.NORM.DIST(N$30,economics!$AK$2:$AK$167,economics!$AJ$2:$AJ$167,TRUE)))),"")</f>
        <v/>
      </c>
      <c r="O57">
        <f t="array" ref="O57">IFERROR((SUMPRODUCT((economics!$AG$2:$AG$167=$B57)*(economics!$D$2:$D$167="whr")*economics!$AI$2:$AI$167*(_xlfn.NORM.DIST(O$3,economics!$AK$2:$AK$167,economics!$AJ$2:$AJ$167,TRUE)-_xlfn.NORM.DIST(O$30,economics!$AK$2:$AK$167,economics!$AJ$2:$AJ$167,TRUE))*economics!$AM$2:$AM$167))/(SUMPRODUCT((economics!$AG$2:$AG$167=$B57)*(economics!$D$2:$D$167="whr")*economics!$AI$2:$AI$167*(_xlfn.NORM.DIST(O$3,economics!$AK$2:$AK$167,economics!$AJ$2:$AJ$167,TRUE)-_xlfn.NORM.DIST(O$30,economics!$AK$2:$AK$167,economics!$AJ$2:$AJ$167,TRUE)))),"")</f>
        <v/>
      </c>
      <c r="P57">
        <f t="array" ref="P57">IFERROR((SUMPRODUCT((economics!$AG$2:$AG$167=$B57)*(economics!$D$2:$D$167="whr")*economics!$AI$2:$AI$167*(_xlfn.NORM.DIST(P$3,economics!$AK$2:$AK$167,economics!$AJ$2:$AJ$167,TRUE)-_xlfn.NORM.DIST(P$30,economics!$AK$2:$AK$167,economics!$AJ$2:$AJ$167,TRUE))*economics!$AM$2:$AM$167))/(SUMPRODUCT((economics!$AG$2:$AG$167=$B57)*(economics!$D$2:$D$167="whr")*economics!$AI$2:$AI$167*(_xlfn.NORM.DIST(P$3,economics!$AK$2:$AK$167,economics!$AJ$2:$AJ$167,TRUE)-_xlfn.NORM.DIST(P$30,economics!$AK$2:$AK$167,economics!$AJ$2:$AJ$167,TRUE)))),"")</f>
        <v/>
      </c>
      <c r="Q57">
        <f t="array" ref="Q57">IFERROR((SUMPRODUCT((economics!$AG$2:$AG$167=$B57)*(economics!$D$2:$D$167="whr")*economics!$AI$2:$AI$167*(_xlfn.NORM.DIST(Q$3,economics!$AK$2:$AK$167,economics!$AJ$2:$AJ$167,TRUE)-_xlfn.NORM.DIST(Q$30,economics!$AK$2:$AK$167,economics!$AJ$2:$AJ$167,TRUE))*economics!$AM$2:$AM$167))/(SUMPRODUCT((economics!$AG$2:$AG$167=$B57)*(economics!$D$2:$D$167="whr")*economics!$AI$2:$AI$167*(_xlfn.NORM.DIST(Q$3,economics!$AK$2:$AK$167,economics!$AJ$2:$AJ$167,TRUE)-_xlfn.NORM.DIST(Q$30,economics!$AK$2:$AK$167,economics!$AJ$2:$AJ$167,TRUE)))),"")</f>
        <v/>
      </c>
      <c r="R57">
        <f t="array" ref="R57">IFERROR((SUMPRODUCT((economics!$AG$2:$AG$167=$B57)*(economics!$D$2:$D$167="whr")*economics!$AI$2:$AI$167*(_xlfn.NORM.DIST(R$3,economics!$AK$2:$AK$167,economics!$AJ$2:$AJ$167,TRUE)-_xlfn.NORM.DIST(R$30,economics!$AK$2:$AK$167,economics!$AJ$2:$AJ$167,TRUE))*economics!$AM$2:$AM$167))/(SUMPRODUCT((economics!$AG$2:$AG$167=$B57)*(economics!$D$2:$D$167="whr")*economics!$AI$2:$AI$167*(_xlfn.NORM.DIST(R$3,economics!$AK$2:$AK$167,economics!$AJ$2:$AJ$167,TRUE)-_xlfn.NORM.DIST(R$30,economics!$AK$2:$AK$167,economics!$AJ$2:$AJ$167,TRUE)))),"")</f>
        <v/>
      </c>
      <c r="S57">
        <f t="array" ref="S57">IFERROR((SUMPRODUCT((economics!$AG$2:$AG$167=$B57)*(economics!$D$2:$D$167="whr")*economics!$AI$2:$AI$167*(_xlfn.NORM.DIST(S$3,economics!$AK$2:$AK$167,economics!$AJ$2:$AJ$167,TRUE)-_xlfn.NORM.DIST(S$30,economics!$AK$2:$AK$167,economics!$AJ$2:$AJ$167,TRUE))*economics!$AM$2:$AM$167))/(SUMPRODUCT((economics!$AG$2:$AG$167=$B57)*(economics!$D$2:$D$167="whr")*economics!$AI$2:$AI$167*(_xlfn.NORM.DIST(S$3,economics!$AK$2:$AK$167,economics!$AJ$2:$AJ$167,TRUE)-_xlfn.NORM.DIST(S$30,economics!$AK$2:$AK$167,economics!$AJ$2:$AJ$167,TRUE)))),"")</f>
        <v/>
      </c>
      <c r="T57">
        <f t="array" ref="T57">IFERROR((SUMPRODUCT((economics!$AG$2:$AG$167=$B57)*(economics!$D$2:$D$167="whr")*economics!$AI$2:$AI$167*(_xlfn.NORM.DIST(T$3,economics!$AK$2:$AK$167,economics!$AJ$2:$AJ$167,TRUE)-_xlfn.NORM.DIST(T$30,economics!$AK$2:$AK$167,economics!$AJ$2:$AJ$167,TRUE))*economics!$AM$2:$AM$167))/(SUMPRODUCT((economics!$AG$2:$AG$167=$B57)*(economics!$D$2:$D$167="whr")*economics!$AI$2:$AI$167*(_xlfn.NORM.DIST(T$3,economics!$AK$2:$AK$167,economics!$AJ$2:$AJ$167,TRUE)-_xlfn.NORM.DIST(T$30,economics!$AK$2:$AK$167,economics!$AJ$2:$AJ$167,TRUE)))),"")</f>
        <v/>
      </c>
      <c r="U57">
        <f t="array" ref="U57">IFERROR((SUMPRODUCT((economics!$AG$2:$AG$167=$B57)*(economics!$D$2:$D$167="whr")*economics!$AI$2:$AI$167*(_xlfn.NORM.DIST(U$3,economics!$AK$2:$AK$167,economics!$AJ$2:$AJ$167,TRUE)-_xlfn.NORM.DIST(U$30,economics!$AK$2:$AK$167,economics!$AJ$2:$AJ$167,TRUE))*economics!$AM$2:$AM$167))/(SUMPRODUCT((economics!$AG$2:$AG$167=$B57)*(economics!$D$2:$D$167="whr")*economics!$AI$2:$AI$167*(_xlfn.NORM.DIST(U$3,economics!$AK$2:$AK$167,economics!$AJ$2:$AJ$167,TRUE)-_xlfn.NORM.DIST(U$30,economics!$AK$2:$AK$167,economics!$AJ$2:$AJ$167,TRUE)))),"")</f>
        <v/>
      </c>
      <c r="V57">
        <f t="array" ref="V57">IFERROR((SUMPRODUCT((economics!$AG$2:$AG$167=$B57)*(economics!$D$2:$D$167="whr")*economics!$AI$2:$AI$167*(_xlfn.NORM.DIST(V$3,economics!$AK$2:$AK$167,economics!$AJ$2:$AJ$167,TRUE)-_xlfn.NORM.DIST(V$30,economics!$AK$2:$AK$167,economics!$AJ$2:$AJ$167,TRUE))*economics!$AM$2:$AM$167))/(SUMPRODUCT((economics!$AG$2:$AG$167=$B57)*(economics!$D$2:$D$167="whr")*economics!$AI$2:$AI$167*(_xlfn.NORM.DIST(V$3,economics!$AK$2:$AK$167,economics!$AJ$2:$AJ$167,TRUE)-_xlfn.NORM.DIST(V$30,economics!$AK$2:$AK$167,economics!$AJ$2:$AJ$167,TRUE)))),"")</f>
        <v/>
      </c>
      <c r="W57">
        <f t="array" ref="W57">IFERROR((SUMPRODUCT((economics!$AG$2:$AG$167=$B57)*(economics!$D$2:$D$167="whr")*economics!$AI$2:$AI$167*(_xlfn.NORM.DIST(W$3,economics!$AK$2:$AK$167,economics!$AJ$2:$AJ$167,TRUE)-_xlfn.NORM.DIST(W$30,economics!$AK$2:$AK$167,economics!$AJ$2:$AJ$167,TRUE))*economics!$AM$2:$AM$167))/(SUMPRODUCT((economics!$AG$2:$AG$167=$B57)*(economics!$D$2:$D$167="whr")*economics!$AI$2:$AI$167*(_xlfn.NORM.DIST(W$3,economics!$AK$2:$AK$167,economics!$AJ$2:$AJ$167,TRUE)-_xlfn.NORM.DIST(W$30,economics!$AK$2:$AK$167,economics!$AJ$2:$AJ$167,TRUE)))),"")</f>
        <v/>
      </c>
      <c r="X57">
        <f t="array" ref="X57">IFERROR((SUMPRODUCT((economics!$AG$2:$AG$167=$B57)*(economics!$D$2:$D$167="whr")*economics!$AI$2:$AI$167*(_xlfn.NORM.DIST(X$3,economics!$AK$2:$AK$167,economics!$AJ$2:$AJ$167,TRUE)-_xlfn.NORM.DIST(X$30,economics!$AK$2:$AK$167,economics!$AJ$2:$AJ$167,TRUE))*economics!$AM$2:$AM$167))/(SUMPRODUCT((economics!$AG$2:$AG$167=$B57)*(economics!$D$2:$D$167="whr")*economics!$AI$2:$AI$167*(_xlfn.NORM.DIST(X$3,economics!$AK$2:$AK$167,economics!$AJ$2:$AJ$167,TRUE)-_xlfn.NORM.DIST(X$30,economics!$AK$2:$AK$167,economics!$AJ$2:$AJ$167,TRUE)))),"")</f>
        <v/>
      </c>
      <c r="Y57">
        <f t="array" ref="Y57">IFERROR((SUMPRODUCT((economics!$AG$2:$AG$167=$B57)*(economics!$D$2:$D$167="whr")*economics!$AI$2:$AI$167*(_xlfn.NORM.DIST(Y$3,economics!$AK$2:$AK$167,economics!$AJ$2:$AJ$167,TRUE)-_xlfn.NORM.DIST(Y$30,economics!$AK$2:$AK$167,economics!$AJ$2:$AJ$167,TRUE))*economics!$AM$2:$AM$167))/(SUMPRODUCT((economics!$AG$2:$AG$167=$B57)*(economics!$D$2:$D$167="whr")*economics!$AI$2:$AI$167*(_xlfn.NORM.DIST(Y$3,economics!$AK$2:$AK$167,economics!$AJ$2:$AJ$167,TRUE)-_xlfn.NORM.DIST(Y$30,economics!$AK$2:$AK$167,economics!$AJ$2:$AJ$167,TRUE)))),"")</f>
        <v/>
      </c>
      <c r="Z57">
        <f t="array" ref="Z57">IFERROR((SUMPRODUCT((economics!$AG$2:$AG$167=$B57)*(economics!$D$2:$D$167="whr")*economics!$AI$2:$AI$167*(_xlfn.NORM.DIST(Z$3,economics!$AK$2:$AK$167,economics!$AJ$2:$AJ$167,TRUE)-_xlfn.NORM.DIST(Z$30,economics!$AK$2:$AK$167,economics!$AJ$2:$AJ$167,TRUE))*economics!$AM$2:$AM$167))/(SUMPRODUCT((economics!$AG$2:$AG$167=$B57)*(economics!$D$2:$D$167="whr")*economics!$AI$2:$AI$167*(_xlfn.NORM.DIST(Z$3,economics!$AK$2:$AK$167,economics!$AJ$2:$AJ$167,TRUE)-_xlfn.NORM.DIST(Z$30,economics!$AK$2:$AK$167,economics!$AJ$2:$AJ$167,TRUE)))),"")</f>
        <v/>
      </c>
      <c r="AA57">
        <f t="array" ref="AA57">IFERROR((SUMPRODUCT((economics!$AG$2:$AG$167=$B57)*(economics!$D$2:$D$167="whr")*economics!$AI$2:$AI$167*(_xlfn.NORM.DIST(AA$3,economics!$AK$2:$AK$167,economics!$AJ$2:$AJ$167,TRUE)-_xlfn.NORM.DIST(AA$30,economics!$AK$2:$AK$167,economics!$AJ$2:$AJ$167,TRUE))*economics!$AM$2:$AM$167))/(SUMPRODUCT((economics!$AG$2:$AG$167=$B57)*(economics!$D$2:$D$167="whr")*economics!$AI$2:$AI$167*(_xlfn.NORM.DIST(AA$3,economics!$AK$2:$AK$167,economics!$AJ$2:$AJ$167,TRUE)-_xlfn.NORM.DIST(AA$30,economics!$AK$2:$AK$167,economics!$AJ$2:$AJ$167,TRUE)))),"")</f>
        <v/>
      </c>
      <c r="AB57">
        <f t="array" ref="AB57">IFERROR((SUMPRODUCT((economics!$AG$2:$AG$167=$B57)*(economics!$D$2:$D$167="whr")*economics!$AI$2:$AI$167*(_xlfn.NORM.DIST(AB$3,economics!$AK$2:$AK$167,economics!$AJ$2:$AJ$167,TRUE)-_xlfn.NORM.DIST(AB$30,economics!$AK$2:$AK$167,economics!$AJ$2:$AJ$167,TRUE))*economics!$AM$2:$AM$167))/(SUMPRODUCT((economics!$AG$2:$AG$167=$B57)*(economics!$D$2:$D$167="whr")*economics!$AI$2:$AI$167*(_xlfn.NORM.DIST(AB$3,economics!$AK$2:$AK$167,economics!$AJ$2:$AJ$167,TRUE)-_xlfn.NORM.DIST(AB$30,economics!$AK$2:$AK$167,economics!$AJ$2:$AJ$167,TRUE)))),"")</f>
        <v/>
      </c>
      <c r="AC57">
        <f t="array" ref="AC57">IFERROR((SUMPRODUCT((economics!$AG$2:$AG$167=$B57)*(economics!$D$2:$D$167="whr")*economics!$AI$2:$AI$167*(_xlfn.NORM.DIST(AC$3,economics!$AK$2:$AK$167,economics!$AJ$2:$AJ$167,TRUE)-_xlfn.NORM.DIST(AC$30,economics!$AK$2:$AK$167,economics!$AJ$2:$AJ$167,TRUE))*economics!$AM$2:$AM$167))/(SUMPRODUCT((economics!$AG$2:$AG$167=$B57)*(economics!$D$2:$D$167="whr")*economics!$AI$2:$AI$167*(_xlfn.NORM.DIST(AC$3,economics!$AK$2:$AK$167,economics!$AJ$2:$AJ$167,TRUE)-_xlfn.NORM.DIST(AC$30,economics!$AK$2:$AK$167,economics!$AJ$2:$AJ$167,TRUE)))),"")</f>
        <v/>
      </c>
      <c r="AD57">
        <f t="array" ref="AD57">IFERROR((SUMPRODUCT((economics!$AG$2:$AG$167=$B57)*(economics!$D$2:$D$167="whr")*economics!$AI$2:$AI$167*(_xlfn.NORM.DIST(AD$3,economics!$AK$2:$AK$167,economics!$AJ$2:$AJ$167,TRUE)-_xlfn.NORM.DIST(AD$30,economics!$AK$2:$AK$167,economics!$AJ$2:$AJ$167,TRUE))*economics!$AM$2:$AM$167))/(SUMPRODUCT((economics!$AG$2:$AG$167=$B57)*(economics!$D$2:$D$167="whr")*economics!$AI$2:$AI$167*(_xlfn.NORM.DIST(AD$3,economics!$AK$2:$AK$167,economics!$AJ$2:$AJ$167,TRUE)-_xlfn.NORM.DIST(AD$30,economics!$AK$2:$AK$167,economics!$AJ$2:$AJ$167,TRUE)))),"")</f>
        <v/>
      </c>
      <c r="AE57">
        <f t="array" ref="AE57">IFERROR((SUMPRODUCT((economics!$AG$2:$AG$167=$B57)*(economics!$D$2:$D$167="whr")*economics!$AI$2:$AI$167*(_xlfn.NORM.DIST(AE$3,economics!$AK$2:$AK$167,economics!$AJ$2:$AJ$167,TRUE)-_xlfn.NORM.DIST(AE$30,economics!$AK$2:$AK$167,economics!$AJ$2:$AJ$167,TRUE))*economics!$AM$2:$AM$167))/(SUMPRODUCT((economics!$AG$2:$AG$167=$B57)*(economics!$D$2:$D$167="whr")*economics!$AI$2:$AI$167*(_xlfn.NORM.DIST(AE$3,economics!$AK$2:$AK$167,economics!$AJ$2:$AJ$167,TRUE)-_xlfn.NORM.DIST(AE$30,economics!$AK$2:$AK$167,economics!$AJ$2:$AJ$167,TRUE)))),"")</f>
        <v/>
      </c>
      <c r="AF57">
        <f t="array" ref="AF57">IFERROR((SUMPRODUCT((economics!$AG$2:$AG$167=$B57)*(economics!$D$2:$D$167="whr")*economics!$AI$2:$AI$167*(_xlfn.NORM.DIST(AF$3,economics!$AK$2:$AK$167,economics!$AJ$2:$AJ$167,TRUE)-_xlfn.NORM.DIST(AF$30,economics!$AK$2:$AK$167,economics!$AJ$2:$AJ$167,TRUE))*economics!$AM$2:$AM$167))/(SUMPRODUCT((economics!$AG$2:$AG$167=$B57)*(economics!$D$2:$D$167="whr")*economics!$AI$2:$AI$167*(_xlfn.NORM.DIST(AF$3,economics!$AK$2:$AK$167,economics!$AJ$2:$AJ$167,TRUE)-_xlfn.NORM.DIST(AF$30,economics!$AK$2:$AK$167,economics!$AJ$2:$AJ$167,TRUE)))),"")</f>
        <v/>
      </c>
      <c r="AG57">
        <f t="array" ref="AG57">IFERROR((SUMPRODUCT((economics!$AG$2:$AG$167=$B57)*(economics!$D$2:$D$167="whr")*economics!$AI$2:$AI$167*(_xlfn.NORM.DIST(AG$3,economics!$AK$2:$AK$167,economics!$AJ$2:$AJ$167,TRUE)-_xlfn.NORM.DIST(AG$30,economics!$AK$2:$AK$167,economics!$AJ$2:$AJ$167,TRUE))*economics!$AM$2:$AM$167))/(SUMPRODUCT((economics!$AG$2:$AG$167=$B57)*(economics!$D$2:$D$167="whr")*economics!$AI$2:$AI$167*(_xlfn.NORM.DIST(AG$3,economics!$AK$2:$AK$167,economics!$AJ$2:$AJ$167,TRUE)-_xlfn.NORM.DIST(AG$30,economics!$AK$2:$AK$167,economics!$AJ$2:$AJ$167,TRUE)))),"")</f>
        <v/>
      </c>
      <c r="AH57">
        <f t="array" ref="AH57">IFERROR((SUMPRODUCT((economics!$AG$2:$AG$167=$B57)*(economics!$D$2:$D$167="whr")*economics!$AI$2:$AI$167*(_xlfn.NORM.DIST(AH$3,economics!$AK$2:$AK$167,economics!$AJ$2:$AJ$167,TRUE)-_xlfn.NORM.DIST(AH$30,economics!$AK$2:$AK$167,economics!$AJ$2:$AJ$167,TRUE))*economics!$AM$2:$AM$167))/(SUMPRODUCT((economics!$AG$2:$AG$167=$B57)*(economics!$D$2:$D$167="whr")*economics!$AI$2:$AI$167*(_xlfn.NORM.DIST(AH$3,economics!$AK$2:$AK$167,economics!$AJ$2:$AJ$167,TRUE)-_xlfn.NORM.DIST(AH$30,economics!$AK$2:$AK$167,economics!$AJ$2:$AJ$167,TRUE)))),"")</f>
        <v/>
      </c>
      <c r="AI57">
        <f t="array" ref="AI57">IFERROR((SUMPRODUCT((economics!$AG$2:$AG$167=$B57)*(economics!$D$2:$D$167="whr")*economics!$AI$2:$AI$167*(_xlfn.NORM.DIST(AI$3,economics!$AK$2:$AK$167,economics!$AJ$2:$AJ$167,TRUE)-_xlfn.NORM.DIST(AI$30,economics!$AK$2:$AK$167,economics!$AJ$2:$AJ$167,TRUE))*economics!$AM$2:$AM$167))/(SUMPRODUCT((economics!$AG$2:$AG$167=$B57)*(economics!$D$2:$D$167="whr")*economics!$AI$2:$AI$167*(_xlfn.NORM.DIST(AI$3,economics!$AK$2:$AK$167,economics!$AJ$2:$AJ$167,TRUE)-_xlfn.NORM.DIST(AI$30,economics!$AK$2:$AK$167,economics!$AJ$2:$AJ$167,TRUE)))),"")</f>
        <v/>
      </c>
      <c r="AJ57">
        <f t="array" ref="AJ57">IFERROR((SUMPRODUCT((economics!$AG$2:$AG$167=$B57)*(economics!$D$2:$D$167="whr")*economics!$AI$2:$AI$167*(_xlfn.NORM.DIST(AJ$3,economics!$AK$2:$AK$167,economics!$AJ$2:$AJ$167,TRUE)-_xlfn.NORM.DIST(AJ$30,economics!$AK$2:$AK$167,economics!$AJ$2:$AJ$167,TRUE))*economics!$AM$2:$AM$167))/(SUMPRODUCT((economics!$AG$2:$AG$167=$B57)*(economics!$D$2:$D$167="whr")*economics!$AI$2:$AI$167*(_xlfn.NORM.DIST(AJ$3,economics!$AK$2:$AK$167,economics!$AJ$2:$AJ$167,TRUE)-_xlfn.NORM.DIST(AJ$30,economics!$AK$2:$AK$167,economics!$AJ$2:$AJ$167,TRUE)))),"")</f>
        <v/>
      </c>
      <c r="AK57">
        <f t="array" ref="AK57">IFERROR((SUMPRODUCT((economics!$AG$2:$AG$167=$B57)*(economics!$D$2:$D$167="whr")*economics!$AI$2:$AI$167*(_xlfn.NORM.DIST(AK$3,economics!$AK$2:$AK$167,economics!$AJ$2:$AJ$167,TRUE)-_xlfn.NORM.DIST(AK$30,economics!$AK$2:$AK$167,economics!$AJ$2:$AJ$167,TRUE))*economics!$AM$2:$AM$167))/(SUMPRODUCT((economics!$AG$2:$AG$167=$B57)*(economics!$D$2:$D$167="whr")*economics!$AI$2:$AI$167*(_xlfn.NORM.DIST(AK$3,economics!$AK$2:$AK$167,economics!$AJ$2:$AJ$167,TRUE)-_xlfn.NORM.DIST(AK$30,economics!$AK$2:$AK$167,economics!$AJ$2:$AJ$167,TRUE)))),"")</f>
        <v/>
      </c>
      <c r="AL57">
        <f t="array" ref="AL57">IFERROR((SUMPRODUCT((economics!$AG$2:$AG$167=$B57)*(economics!$D$2:$D$167="whr")*economics!$AI$2:$AI$167*(_xlfn.NORM.DIST(AL$3,economics!$AK$2:$AK$167,economics!$AJ$2:$AJ$167,TRUE)-_xlfn.NORM.DIST(AL$30,economics!$AK$2:$AK$167,economics!$AJ$2:$AJ$167,TRUE))*economics!$AM$2:$AM$167))/(SUMPRODUCT((economics!$AG$2:$AG$167=$B57)*(economics!$D$2:$D$167="whr")*economics!$AI$2:$AI$167*(_xlfn.NORM.DIST(AL$3,economics!$AK$2:$AK$167,economics!$AJ$2:$AJ$167,TRUE)-_xlfn.NORM.DIST(AL$30,economics!$AK$2:$AK$167,economics!$AJ$2:$AJ$167,TRUE)))),"")</f>
        <v/>
      </c>
      <c r="AM57">
        <f t="array" ref="AM57">IFERROR((SUMPRODUCT((economics!$AG$2:$AG$167=$B57)*(economics!$D$2:$D$167="whr")*economics!$AI$2:$AI$167*(_xlfn.NORM.DIST(AM$3,economics!$AK$2:$AK$167,economics!$AJ$2:$AJ$167,TRUE)-_xlfn.NORM.DIST(AM$30,economics!$AK$2:$AK$167,economics!$AJ$2:$AJ$167,TRUE))*economics!$AM$2:$AM$167))/(SUMPRODUCT((economics!$AG$2:$AG$167=$B57)*(economics!$D$2:$D$167="whr")*economics!$AI$2:$AI$167*(_xlfn.NORM.DIST(AM$3,economics!$AK$2:$AK$167,economics!$AJ$2:$AJ$167,TRUE)-_xlfn.NORM.DIST(AM$30,economics!$AK$2:$AK$167,economics!$AJ$2:$AJ$167,TRUE)))),"")</f>
        <v/>
      </c>
      <c r="AN57">
        <f t="array" ref="AN57">IFERROR((SUMPRODUCT((economics!$AG$2:$AG$167=$B57)*(economics!$D$2:$D$167="whr")*economics!$AI$2:$AI$167*(_xlfn.NORM.DIST(AN$3,economics!$AK$2:$AK$167,economics!$AJ$2:$AJ$167,TRUE)-_xlfn.NORM.DIST(AN$30,economics!$AK$2:$AK$167,economics!$AJ$2:$AJ$167,TRUE))*economics!$AM$2:$AM$167))/(SUMPRODUCT((economics!$AG$2:$AG$167=$B57)*(economics!$D$2:$D$167="whr")*economics!$AI$2:$AI$167*(_xlfn.NORM.DIST(AN$3,economics!$AK$2:$AK$167,economics!$AJ$2:$AJ$167,TRUE)-_xlfn.NORM.DIST(AN$30,economics!$AK$2:$AK$167,economics!$AJ$2:$AJ$167,TRUE)))),"")</f>
        <v/>
      </c>
      <c r="AO57">
        <f t="array" ref="AO57">IFERROR((SUMPRODUCT((economics!$AG$2:$AG$167=$B57)*(economics!$D$2:$D$167="whr")*economics!$AI$2:$AI$167*(_xlfn.NORM.DIST(AO$3,economics!$AK$2:$AK$167,economics!$AJ$2:$AJ$167,TRUE)-_xlfn.NORM.DIST(AO$30,economics!$AK$2:$AK$167,economics!$AJ$2:$AJ$167,TRUE))*economics!$AM$2:$AM$167))/(SUMPRODUCT((economics!$AG$2:$AG$167=$B57)*(economics!$D$2:$D$167="whr")*economics!$AI$2:$AI$167*(_xlfn.NORM.DIST(AO$3,economics!$AK$2:$AK$167,economics!$AJ$2:$AJ$167,TRUE)-_xlfn.NORM.DIST(AO$30,economics!$AK$2:$AK$167,economics!$AJ$2:$AJ$167,TRUE)))),"")</f>
        <v/>
      </c>
      <c r="AP57">
        <f t="array" ref="AP57">IFERROR((SUMPRODUCT((economics!$AG$2:$AG$167=$B57)*(economics!$D$2:$D$167="whr")*economics!$AI$2:$AI$167*(_xlfn.NORM.DIST(AP$3,economics!$AK$2:$AK$167,economics!$AJ$2:$AJ$167,TRUE)-_xlfn.NORM.DIST(AP$30,economics!$AK$2:$AK$167,economics!$AJ$2:$AJ$167,TRUE))*economics!$AM$2:$AM$167))/(SUMPRODUCT((economics!$AG$2:$AG$167=$B57)*(economics!$D$2:$D$167="whr")*economics!$AI$2:$AI$167*(_xlfn.NORM.DIST(AP$3,economics!$AK$2:$AK$167,economics!$AJ$2:$AJ$167,TRUE)-_xlfn.NORM.DIST(AP$30,economics!$AK$2:$AK$167,economics!$AJ$2:$AJ$167,TRUE)))),"")</f>
        <v/>
      </c>
      <c r="AQ57">
        <f t="array" ref="AQ57">IFERROR((SUMPRODUCT((economics!$AG$2:$AG$167=$B57)*(economics!$D$2:$D$167="whr")*economics!$AI$2:$AI$167*(_xlfn.NORM.DIST(AQ$3,economics!$AK$2:$AK$167,economics!$AJ$2:$AJ$167,TRUE)-_xlfn.NORM.DIST(AQ$30,economics!$AK$2:$AK$167,economics!$AJ$2:$AJ$167,TRUE))*economics!$AM$2:$AM$167))/(SUMPRODUCT((economics!$AG$2:$AG$167=$B57)*(economics!$D$2:$D$167="whr")*economics!$AI$2:$AI$167*(_xlfn.NORM.DIST(AQ$3,economics!$AK$2:$AK$167,economics!$AJ$2:$AJ$167,TRUE)-_xlfn.NORM.DIST(AQ$30,economics!$AK$2:$AK$167,economics!$AJ$2:$AJ$167,TRUE)))),"")</f>
        <v/>
      </c>
      <c r="AR57">
        <f t="array" ref="AR57">IFERROR((SUMPRODUCT((economics!$AG$2:$AG$167=$B57)*(economics!$D$2:$D$167="whr")*economics!$AI$2:$AI$167*(_xlfn.NORM.DIST(AR$3,economics!$AK$2:$AK$167,economics!$AJ$2:$AJ$167,TRUE)-_xlfn.NORM.DIST(AR$30,economics!$AK$2:$AK$167,economics!$AJ$2:$AJ$167,TRUE))*economics!$AM$2:$AM$167))/(SUMPRODUCT((economics!$AG$2:$AG$167=$B57)*(economics!$D$2:$D$167="whr")*economics!$AI$2:$AI$167*(_xlfn.NORM.DIST(AR$3,economics!$AK$2:$AK$167,economics!$AJ$2:$AJ$167,TRUE)-_xlfn.NORM.DIST(AR$30,economics!$AK$2:$AK$167,economics!$AJ$2:$AJ$167,TRUE)))),"")</f>
        <v/>
      </c>
      <c r="AS57">
        <f t="array" ref="AS57">IFERROR((SUMPRODUCT((economics!$AG$2:$AG$167=$B57)*(economics!$D$2:$D$167="whr")*economics!$AI$2:$AI$167*(_xlfn.NORM.DIST(AS$3,economics!$AK$2:$AK$167,economics!$AJ$2:$AJ$167,TRUE)-_xlfn.NORM.DIST(AS$30,economics!$AK$2:$AK$167,economics!$AJ$2:$AJ$167,TRUE))*economics!$AM$2:$AM$167))/(SUMPRODUCT((economics!$AG$2:$AG$167=$B57)*(economics!$D$2:$D$167="whr")*economics!$AI$2:$AI$167*(_xlfn.NORM.DIST(AS$3,economics!$AK$2:$AK$167,economics!$AJ$2:$AJ$167,TRUE)-_xlfn.NORM.DIST(AS$30,economics!$AK$2:$AK$167,economics!$AJ$2:$AJ$167,TRUE)))),"")</f>
        <v/>
      </c>
      <c r="AT57">
        <f t="array" ref="AT57">IFERROR((SUMPRODUCT((economics!$AG$2:$AG$167=$B57)*(economics!$D$2:$D$167="whr")*economics!$AI$2:$AI$167*(_xlfn.NORM.DIST(AT$3,economics!$AK$2:$AK$167,economics!$AJ$2:$AJ$167,TRUE)-_xlfn.NORM.DIST(AT$30,economics!$AK$2:$AK$167,economics!$AJ$2:$AJ$167,TRUE))*economics!$AM$2:$AM$167))/(SUMPRODUCT((economics!$AG$2:$AG$167=$B57)*(economics!$D$2:$D$167="whr")*economics!$AI$2:$AI$167*(_xlfn.NORM.DIST(AT$3,economics!$AK$2:$AK$167,economics!$AJ$2:$AJ$167,TRUE)-_xlfn.NORM.DIST(AT$30,economics!$AK$2:$AK$167,economics!$AJ$2:$AJ$167,TRUE)))),"")</f>
        <v/>
      </c>
      <c r="AU57">
        <f t="array" ref="AU57">IFERROR((SUMPRODUCT((economics!$AG$2:$AG$167=$B57)*(economics!$D$2:$D$167="whr")*economics!$AI$2:$AI$167*(_xlfn.NORM.DIST(AU$3,economics!$AK$2:$AK$167,economics!$AJ$2:$AJ$167,TRUE)-_xlfn.NORM.DIST(AU$30,economics!$AK$2:$AK$167,economics!$AJ$2:$AJ$167,TRUE))*economics!$AM$2:$AM$167))/(SUMPRODUCT((economics!$AG$2:$AG$167=$B57)*(economics!$D$2:$D$167="whr")*economics!$AI$2:$AI$167*(_xlfn.NORM.DIST(AU$3,economics!$AK$2:$AK$167,economics!$AJ$2:$AJ$167,TRUE)-_xlfn.NORM.DIST(AU$30,economics!$AK$2:$AK$167,economics!$AJ$2:$AJ$167,TRUE)))),"")</f>
        <v/>
      </c>
      <c r="AV57">
        <f t="array" ref="AV57">IFERROR((SUMPRODUCT((economics!$AG$2:$AG$167=$B57)*(economics!$D$2:$D$167="whr")*economics!$AI$2:$AI$167*(_xlfn.NORM.DIST(AV$3,economics!$AK$2:$AK$167,economics!$AJ$2:$AJ$167,TRUE)-_xlfn.NORM.DIST(AV$30,economics!$AK$2:$AK$167,economics!$AJ$2:$AJ$167,TRUE))*economics!$AM$2:$AM$167))/(SUMPRODUCT((economics!$AG$2:$AG$167=$B57)*(economics!$D$2:$D$167="whr")*economics!$AI$2:$AI$167*(_xlfn.NORM.DIST(AV$3,economics!$AK$2:$AK$167,economics!$AJ$2:$AJ$167,TRUE)-_xlfn.NORM.DIST(AV$30,economics!$AK$2:$AK$167,economics!$AJ$2:$AJ$167,TRUE)))),"")</f>
        <v/>
      </c>
      <c r="AW57">
        <f t="array" ref="AW57">IFERROR((SUMPRODUCT((economics!$AG$2:$AG$167=$B57)*(economics!$D$2:$D$167="whr")*economics!$AI$2:$AI$167*(_xlfn.NORM.DIST(AW$3,economics!$AK$2:$AK$167,economics!$AJ$2:$AJ$167,TRUE)-_xlfn.NORM.DIST(AW$30,economics!$AK$2:$AK$167,economics!$AJ$2:$AJ$167,TRUE))*economics!$AM$2:$AM$167))/(SUMPRODUCT((economics!$AG$2:$AG$167=$B57)*(economics!$D$2:$D$167="whr")*economics!$AI$2:$AI$167*(_xlfn.NORM.DIST(AW$3,economics!$AK$2:$AK$167,economics!$AJ$2:$AJ$167,TRUE)-_xlfn.NORM.DIST(AW$30,economics!$AK$2:$AK$167,economics!$AJ$2:$AJ$167,TRUE)))),"")</f>
        <v/>
      </c>
      <c r="AX57">
        <f t="array" ref="AX57">IFERROR((SUMPRODUCT((economics!$AG$2:$AG$167=$B57)*(economics!$D$2:$D$167="whr")*economics!$AI$2:$AI$167*(_xlfn.NORM.DIST(AX$3,economics!$AK$2:$AK$167,economics!$AJ$2:$AJ$167,TRUE)-_xlfn.NORM.DIST(AX$30,economics!$AK$2:$AK$167,economics!$AJ$2:$AJ$167,TRUE))*economics!$AM$2:$AM$167))/(SUMPRODUCT((economics!$AG$2:$AG$167=$B57)*(economics!$D$2:$D$167="whr")*economics!$AI$2:$AI$167*(_xlfn.NORM.DIST(AX$3,economics!$AK$2:$AK$167,economics!$AJ$2:$AJ$167,TRUE)-_xlfn.NORM.DIST(AX$30,economics!$AK$2:$AK$167,economics!$AJ$2:$AJ$167,TRUE)))),"")</f>
        <v/>
      </c>
      <c r="AY57">
        <f t="array" ref="AY57">IFERROR((SUMPRODUCT((economics!$AG$2:$AG$167=$B57)*(economics!$D$2:$D$167="whr")*economics!$AI$2:$AI$167*(_xlfn.NORM.DIST(AY$3,economics!$AK$2:$AK$167,economics!$AJ$2:$AJ$167,TRUE)-_xlfn.NORM.DIST(AY$30,economics!$AK$2:$AK$167,economics!$AJ$2:$AJ$167,TRUE))*economics!$AM$2:$AM$167))/(SUMPRODUCT((economics!$AG$2:$AG$167=$B57)*(economics!$D$2:$D$167="whr")*economics!$AI$2:$AI$167*(_xlfn.NORM.DIST(AY$3,economics!$AK$2:$AK$167,economics!$AJ$2:$AJ$167,TRUE)-_xlfn.NORM.DIST(AY$30,economics!$AK$2:$AK$167,economics!$AJ$2:$AJ$167,TRUE)))),"")</f>
        <v/>
      </c>
      <c r="AZ57">
        <f t="array" ref="AZ57">IFERROR((SUMPRODUCT((economics!$AG$2:$AG$167=$B57)*(economics!$D$2:$D$167="whr")*economics!$AI$2:$AI$167*(_xlfn.NORM.DIST(AZ$3,economics!$AK$2:$AK$167,economics!$AJ$2:$AJ$167,TRUE)-_xlfn.NORM.DIST(AZ$30,economics!$AK$2:$AK$167,economics!$AJ$2:$AJ$167,TRUE))*economics!$AM$2:$AM$167))/(SUMPRODUCT((economics!$AG$2:$AG$167=$B57)*(economics!$D$2:$D$167="whr")*economics!$AI$2:$AI$167*(_xlfn.NORM.DIST(AZ$3,economics!$AK$2:$AK$167,economics!$AJ$2:$AJ$167,TRUE)-_xlfn.NORM.DIST(AZ$30,economics!$AK$2:$AK$167,economics!$AJ$2:$AJ$167,TRUE)))),"")</f>
        <v/>
      </c>
      <c r="BA57">
        <f t="array" ref="BA57">IFERROR((SUMPRODUCT((economics!$AG$2:$AG$167=$B57)*(economics!$D$2:$D$167="whr")*economics!$AI$2:$AI$167*(_xlfn.NORM.DIST(BA$3,economics!$AK$2:$AK$167,economics!$AJ$2:$AJ$167,TRUE)-_xlfn.NORM.DIST(BA$30,economics!$AK$2:$AK$167,economics!$AJ$2:$AJ$167,TRUE))*economics!$AM$2:$AM$167))/(SUMPRODUCT((economics!$AG$2:$AG$167=$B57)*(economics!$D$2:$D$167="whr")*economics!$AI$2:$AI$167*(_xlfn.NORM.DIST(BA$3,economics!$AK$2:$AK$167,economics!$AJ$2:$AJ$167,TRUE)-_xlfn.NORM.DIST(BA$30,economics!$AK$2:$AK$167,economics!$AJ$2:$AJ$167,TRUE)))),"")</f>
        <v/>
      </c>
      <c r="BB57">
        <f t="array" ref="BB57">IFERROR((SUMPRODUCT((economics!$AG$2:$AG$167=$B57)*(economics!$D$2:$D$167="whr")*economics!$AI$2:$AI$167*(_xlfn.NORM.DIST(BB$3,economics!$AK$2:$AK$167,economics!$AJ$2:$AJ$167,TRUE)-_xlfn.NORM.DIST(BB$30,economics!$AK$2:$AK$167,economics!$AJ$2:$AJ$167,TRUE))*economics!$AM$2:$AM$167))/(SUMPRODUCT((economics!$AG$2:$AG$167=$B57)*(economics!$D$2:$D$167="whr")*economics!$AI$2:$AI$167*(_xlfn.NORM.DIST(BB$3,economics!$AK$2:$AK$167,economics!$AJ$2:$AJ$167,TRUE)-_xlfn.NORM.DIST(BB$30,economics!$AK$2:$AK$167,economics!$AJ$2:$AJ$167,TRUE)))),"")</f>
        <v/>
      </c>
      <c r="BC57">
        <f t="array" ref="BC57">IFERROR((SUMPRODUCT((economics!$AG$2:$AG$167=$B57)*(economics!$D$2:$D$167="whr")*economics!$AI$2:$AI$167*(_xlfn.NORM.DIST(BC$3,economics!$AK$2:$AK$167,economics!$AJ$2:$AJ$167,TRUE)-_xlfn.NORM.DIST(BC$30,economics!$AK$2:$AK$167,economics!$AJ$2:$AJ$167,TRUE))*economics!$AM$2:$AM$167))/(SUMPRODUCT((economics!$AG$2:$AG$167=$B57)*(economics!$D$2:$D$167="whr")*economics!$AI$2:$AI$167*(_xlfn.NORM.DIST(BC$3,economics!$AK$2:$AK$167,economics!$AJ$2:$AJ$167,TRUE)-_xlfn.NORM.DIST(BC$30,economics!$AK$2:$AK$167,economics!$AJ$2:$AJ$167,TRUE)))),"")</f>
        <v/>
      </c>
      <c r="BD57">
        <f t="array" ref="BD57">IFERROR((SUMPRODUCT((economics!$AG$2:$AG$167=$B57)*(economics!$D$2:$D$167="whr")*economics!$AI$2:$AI$167*(_xlfn.NORM.DIST(BD$3,economics!$AK$2:$AK$167,economics!$AJ$2:$AJ$167,TRUE)-_xlfn.NORM.DIST(BD$30,economics!$AK$2:$AK$167,economics!$AJ$2:$AJ$167,TRUE))*economics!$AM$2:$AM$167))/(SUMPRODUCT((economics!$AG$2:$AG$167=$B57)*(economics!$D$2:$D$167="whr")*economics!$AI$2:$AI$167*(_xlfn.NORM.DIST(BD$3,economics!$AK$2:$AK$167,economics!$AJ$2:$AJ$167,TRUE)-_xlfn.NORM.DIST(BD$30,economics!$AK$2:$AK$167,economics!$AJ$2:$AJ$167,TRUE)))),"")</f>
        <v/>
      </c>
      <c r="BE57">
        <f t="array" ref="BE57">IFERROR((SUMPRODUCT((economics!$AG$2:$AG$167=$B57)*(economics!$D$2:$D$167="whr")*economics!$AI$2:$AI$167*(_xlfn.NORM.DIST(BE$3,economics!$AK$2:$AK$167,economics!$AJ$2:$AJ$167,TRUE)-_xlfn.NORM.DIST(BE$30,economics!$AK$2:$AK$167,economics!$AJ$2:$AJ$167,TRUE))*economics!$AM$2:$AM$167))/(SUMPRODUCT((economics!$AG$2:$AG$167=$B57)*(economics!$D$2:$D$167="whr")*economics!$AI$2:$AI$167*(_xlfn.NORM.DIST(BE$3,economics!$AK$2:$AK$167,economics!$AJ$2:$AJ$167,TRUE)-_xlfn.NORM.DIST(BE$30,economics!$AK$2:$AK$167,economics!$AJ$2:$AJ$167,TRUE)))),"")</f>
        <v/>
      </c>
      <c r="BF57">
        <f t="array" ref="BF57">IFERROR((SUMPRODUCT((economics!$AG$2:$AG$167=$B57)*(economics!$D$2:$D$167="whr")*economics!$AI$2:$AI$167*(_xlfn.NORM.DIST(BF$3,economics!$AK$2:$AK$167,economics!$AJ$2:$AJ$167,TRUE)-_xlfn.NORM.DIST(BF$30,economics!$AK$2:$AK$167,economics!$AJ$2:$AJ$167,TRUE))*economics!$AM$2:$AM$167))/(SUMPRODUCT((economics!$AG$2:$AG$167=$B57)*(economics!$D$2:$D$167="whr")*economics!$AI$2:$AI$167*(_xlfn.NORM.DIST(BF$3,economics!$AK$2:$AK$167,economics!$AJ$2:$AJ$167,TRUE)-_xlfn.NORM.DIST(BF$30,economics!$AK$2:$AK$167,economics!$AJ$2:$AJ$167,TRUE)))),"")</f>
        <v/>
      </c>
      <c r="BG57">
        <f t="array" ref="BG57">IFERROR((SUMPRODUCT((economics!$AG$2:$AG$167=$B57)*(economics!$D$2:$D$167="whr")*economics!$AI$2:$AI$167*(_xlfn.NORM.DIST(BG$3,economics!$AK$2:$AK$167,economics!$AJ$2:$AJ$167,TRUE)-_xlfn.NORM.DIST(BG$30,economics!$AK$2:$AK$167,economics!$AJ$2:$AJ$167,TRUE))*economics!$AM$2:$AM$167))/(SUMPRODUCT((economics!$AG$2:$AG$167=$B57)*(economics!$D$2:$D$167="whr")*economics!$AI$2:$AI$167*(_xlfn.NORM.DIST(BG$3,economics!$AK$2:$AK$167,economics!$AJ$2:$AJ$167,TRUE)-_xlfn.NORM.DIST(BG$30,economics!$AK$2:$AK$167,economics!$AJ$2:$AJ$167,TRUE)))),"")</f>
        <v/>
      </c>
      <c r="BH57">
        <f t="array" ref="BH57">IFERROR((SUMPRODUCT((economics!$AG$2:$AG$167=$B57)*(economics!$D$2:$D$167="whr")*economics!$AI$2:$AI$167*(_xlfn.NORM.DIST(BH$3,economics!$AK$2:$AK$167,economics!$AJ$2:$AJ$167,TRUE)-_xlfn.NORM.DIST(BH$30,economics!$AK$2:$AK$167,economics!$AJ$2:$AJ$167,TRUE))*economics!$AM$2:$AM$167))/(SUMPRODUCT((economics!$AG$2:$AG$167=$B57)*(economics!$D$2:$D$167="whr")*economics!$AI$2:$AI$167*(_xlfn.NORM.DIST(BH$3,economics!$AK$2:$AK$167,economics!$AJ$2:$AJ$167,TRUE)-_xlfn.NORM.DIST(BH$30,economics!$AK$2:$AK$167,economics!$AJ$2:$AJ$167,TRUE)))),"")</f>
        <v/>
      </c>
      <c r="BI57">
        <f t="array" ref="BI57">IFERROR((SUMPRODUCT((economics!$AG$2:$AG$167=$B57)*(economics!$D$2:$D$167="whr")*economics!$AI$2:$AI$167*(_xlfn.NORM.DIST(BI$3,economics!$AK$2:$AK$167,economics!$AJ$2:$AJ$167,TRUE)-_xlfn.NORM.DIST(BI$30,economics!$AK$2:$AK$167,economics!$AJ$2:$AJ$167,TRUE))*economics!$AM$2:$AM$167))/(SUMPRODUCT((economics!$AG$2:$AG$167=$B57)*(economics!$D$2:$D$167="whr")*economics!$AI$2:$AI$167*(_xlfn.NORM.DIST(BI$3,economics!$AK$2:$AK$167,economics!$AJ$2:$AJ$167,TRUE)-_xlfn.NORM.DIST(BI$30,economics!$AK$2:$AK$167,economics!$AJ$2:$AJ$167,TRUE)))),"")</f>
        <v/>
      </c>
      <c r="BJ57">
        <f t="array" ref="BJ57">IFERROR((SUMPRODUCT((economics!$AG$2:$AG$167=$B57)*(economics!$D$2:$D$167="whr")*economics!$AI$2:$AI$167*(_xlfn.NORM.DIST(BJ$3,economics!$AK$2:$AK$167,economics!$AJ$2:$AJ$167,TRUE)-_xlfn.NORM.DIST(BJ$30,economics!$AK$2:$AK$167,economics!$AJ$2:$AJ$167,TRUE))*economics!$AM$2:$AM$167))/(SUMPRODUCT((economics!$AG$2:$AG$167=$B57)*(economics!$D$2:$D$167="whr")*economics!$AI$2:$AI$167*(_xlfn.NORM.DIST(BJ$3,economics!$AK$2:$AK$167,economics!$AJ$2:$AJ$167,TRUE)-_xlfn.NORM.DIST(BJ$30,economics!$AK$2:$AK$167,economics!$AJ$2:$AJ$167,TRUE)))),"")</f>
        <v/>
      </c>
      <c r="BK57">
        <f t="array" ref="BK57">IFERROR((SUMPRODUCT((economics!$AG$2:$AG$167=$B57)*(economics!$D$2:$D$167="whr")*economics!$AI$2:$AI$167*(_xlfn.NORM.DIST(BK$3,economics!$AK$2:$AK$167,economics!$AJ$2:$AJ$167,TRUE)-_xlfn.NORM.DIST(BK$30,economics!$AK$2:$AK$167,economics!$AJ$2:$AJ$167,TRUE))*economics!$AM$2:$AM$167))/(SUMPRODUCT((economics!$AG$2:$AG$167=$B57)*(economics!$D$2:$D$167="whr")*economics!$AI$2:$AI$167*(_xlfn.NORM.DIST(BK$3,economics!$AK$2:$AK$167,economics!$AJ$2:$AJ$167,TRUE)-_xlfn.NORM.DIST(BK$30,economics!$AK$2:$AK$167,economics!$AJ$2:$AJ$167,TRUE)))),"")</f>
        <v/>
      </c>
      <c r="BL57">
        <f t="array" ref="BL57">IFERROR((SUMPRODUCT((economics!$AG$2:$AG$167=$B57)*(economics!$D$2:$D$167="whr")*economics!$AI$2:$AI$167*(_xlfn.NORM.DIST(BL$3,economics!$AK$2:$AK$167,economics!$AJ$2:$AJ$167,TRUE)-_xlfn.NORM.DIST(BL$30,economics!$AK$2:$AK$167,economics!$AJ$2:$AJ$167,TRUE))*economics!$AM$2:$AM$167))/(SUMPRODUCT((economics!$AG$2:$AG$167=$B57)*(economics!$D$2:$D$167="whr")*economics!$AI$2:$AI$167*(_xlfn.NORM.DIST(BL$3,economics!$AK$2:$AK$167,economics!$AJ$2:$AJ$167,TRUE)-_xlfn.NORM.DIST(BL$30,economics!$AK$2:$AK$167,economics!$AJ$2:$AJ$167,TRUE)))),"")</f>
        <v/>
      </c>
      <c r="BM57">
        <f t="array" ref="BM57">IFERROR((SUMPRODUCT((economics!$AG$2:$AG$167=$B57)*(economics!$D$2:$D$167="whr")*economics!$AI$2:$AI$167*(_xlfn.NORM.DIST(BM$3,economics!$AK$2:$AK$167,economics!$AJ$2:$AJ$167,TRUE)-_xlfn.NORM.DIST(BM$30,economics!$AK$2:$AK$167,economics!$AJ$2:$AJ$167,TRUE))*economics!$AM$2:$AM$167))/(SUMPRODUCT((economics!$AG$2:$AG$167=$B57)*(economics!$D$2:$D$167="whr")*economics!$AI$2:$AI$167*(_xlfn.NORM.DIST(BM$3,economics!$AK$2:$AK$167,economics!$AJ$2:$AJ$167,TRUE)-_xlfn.NORM.DIST(BM$30,economics!$AK$2:$AK$167,economics!$AJ$2:$AJ$167,TRUE)))),"")</f>
        <v/>
      </c>
      <c r="BN57">
        <f t="array" ref="BN57">IFERROR((SUMPRODUCT((economics!$AG$2:$AG$167=$B57)*(economics!$D$2:$D$167="whr")*economics!$AI$2:$AI$167*(_xlfn.NORM.DIST(BN$3,economics!$AK$2:$AK$167,economics!$AJ$2:$AJ$167,TRUE)-_xlfn.NORM.DIST(BN$30,economics!$AK$2:$AK$167,economics!$AJ$2:$AJ$167,TRUE))*economics!$AM$2:$AM$167))/(SUMPRODUCT((economics!$AG$2:$AG$167=$B57)*(economics!$D$2:$D$167="whr")*economics!$AI$2:$AI$167*(_xlfn.NORM.DIST(BN$3,economics!$AK$2:$AK$167,economics!$AJ$2:$AJ$167,TRUE)-_xlfn.NORM.DIST(BN$30,economics!$AK$2:$AK$167,economics!$AJ$2:$AJ$167,TRUE)))),"")</f>
        <v/>
      </c>
      <c r="BO57">
        <f t="array" ref="BO57">IFERROR((SUMPRODUCT((economics!$AG$2:$AG$167=$B57)*(economics!$D$2:$D$167="whr")*economics!$AI$2:$AI$167*(_xlfn.NORM.DIST(BO$3,economics!$AK$2:$AK$167,economics!$AJ$2:$AJ$167,TRUE)-_xlfn.NORM.DIST(BO$30,economics!$AK$2:$AK$167,economics!$AJ$2:$AJ$167,TRUE))*economics!$AM$2:$AM$167))/(SUMPRODUCT((economics!$AG$2:$AG$167=$B57)*(economics!$D$2:$D$167="whr")*economics!$AI$2:$AI$167*(_xlfn.NORM.DIST(BO$3,economics!$AK$2:$AK$167,economics!$AJ$2:$AJ$167,TRUE)-_xlfn.NORM.DIST(BO$30,economics!$AK$2:$AK$167,economics!$AJ$2:$AJ$167,TRUE)))),"")</f>
        <v/>
      </c>
      <c r="BP57">
        <f t="array" ref="BP57">IFERROR((SUMPRODUCT((economics!$AG$2:$AG$167=$B57)*(economics!$D$2:$D$167="whr")*economics!$AI$2:$AI$167*(_xlfn.NORM.DIST(BP$3,economics!$AK$2:$AK$167,economics!$AJ$2:$AJ$167,TRUE)-_xlfn.NORM.DIST(BP$30,economics!$AK$2:$AK$167,economics!$AJ$2:$AJ$167,TRUE))*economics!$AM$2:$AM$167))/(SUMPRODUCT((economics!$AG$2:$AG$167=$B57)*(economics!$D$2:$D$167="whr")*economics!$AI$2:$AI$167*(_xlfn.NORM.DIST(BP$3,economics!$AK$2:$AK$167,economics!$AJ$2:$AJ$167,TRUE)-_xlfn.NORM.DIST(BP$30,economics!$AK$2:$AK$167,economics!$AJ$2:$AJ$167,TRUE)))),"")</f>
        <v/>
      </c>
      <c r="BQ57">
        <f t="array" ref="BQ57">IFERROR((SUMPRODUCT((economics!$AG$2:$AG$167=$B57)*(economics!$D$2:$D$167="whr")*economics!$AI$2:$AI$167*(_xlfn.NORM.DIST(BQ$3,economics!$AK$2:$AK$167,economics!$AJ$2:$AJ$167,TRUE)-_xlfn.NORM.DIST(BQ$30,economics!$AK$2:$AK$167,economics!$AJ$2:$AJ$167,TRUE))*economics!$AM$2:$AM$167))/(SUMPRODUCT((economics!$AG$2:$AG$167=$B57)*(economics!$D$2:$D$167="whr")*economics!$AI$2:$AI$167*(_xlfn.NORM.DIST(BQ$3,economics!$AK$2:$AK$167,economics!$AJ$2:$AJ$167,TRUE)-_xlfn.NORM.DIST(BQ$30,economics!$AK$2:$AK$167,economics!$AJ$2:$AJ$167,TRUE)))),"")</f>
        <v/>
      </c>
      <c r="BR57">
        <f t="array" ref="BR57">IFERROR((SUMPRODUCT((economics!$AG$2:$AG$167=$B57)*(economics!$D$2:$D$167="whr")*economics!$AI$2:$AI$167*(_xlfn.NORM.DIST(BR$3,economics!$AK$2:$AK$167,economics!$AJ$2:$AJ$167,TRUE)-_xlfn.NORM.DIST(BR$30,economics!$AK$2:$AK$167,economics!$AJ$2:$AJ$167,TRUE))*economics!$AM$2:$AM$167))/(SUMPRODUCT((economics!$AG$2:$AG$167=$B57)*(economics!$D$2:$D$167="whr")*economics!$AI$2:$AI$167*(_xlfn.NORM.DIST(BR$3,economics!$AK$2:$AK$167,economics!$AJ$2:$AJ$167,TRUE)-_xlfn.NORM.DIST(BR$30,economics!$AK$2:$AK$167,economics!$AJ$2:$AJ$167,TRUE)))),"")</f>
        <v/>
      </c>
      <c r="BS57">
        <f t="array" ref="BS57">IFERROR((SUMPRODUCT((economics!$AG$2:$AG$167=$B57)*(economics!$D$2:$D$167="whr")*economics!$AI$2:$AI$167*(_xlfn.NORM.DIST(BS$3,economics!$AK$2:$AK$167,economics!$AJ$2:$AJ$167,TRUE)-_xlfn.NORM.DIST(BS$30,economics!$AK$2:$AK$167,economics!$AJ$2:$AJ$167,TRUE))*economics!$AM$2:$AM$167))/(SUMPRODUCT((economics!$AG$2:$AG$167=$B57)*(economics!$D$2:$D$167="whr")*economics!$AI$2:$AI$167*(_xlfn.NORM.DIST(BS$3,economics!$AK$2:$AK$167,economics!$AJ$2:$AJ$167,TRUE)-_xlfn.NORM.DIST(BS$30,economics!$AK$2:$AK$167,economics!$AJ$2:$AJ$167,TRUE)))),"")</f>
        <v/>
      </c>
      <c r="BT57">
        <f t="array" ref="BT57">IFERROR((SUMPRODUCT((economics!$AG$2:$AG$167=$B57)*(economics!$D$2:$D$167="whr")*economics!$AI$2:$AI$167*(_xlfn.NORM.DIST(BT$3,economics!$AK$2:$AK$167,economics!$AJ$2:$AJ$167,TRUE)-_xlfn.NORM.DIST(BT$30,economics!$AK$2:$AK$167,economics!$AJ$2:$AJ$167,TRUE))*economics!$AM$2:$AM$167))/(SUMPRODUCT((economics!$AG$2:$AG$167=$B57)*(economics!$D$2:$D$167="whr")*economics!$AI$2:$AI$167*(_xlfn.NORM.DIST(BT$3,economics!$AK$2:$AK$167,economics!$AJ$2:$AJ$167,TRUE)-_xlfn.NORM.DIST(BT$30,economics!$AK$2:$AK$167,economics!$AJ$2:$AJ$167,TRUE)))),"")</f>
        <v/>
      </c>
      <c r="BU57">
        <f t="array" ref="BU57">IFERROR((SUMPRODUCT((economics!$AG$2:$AG$167=$B57)*(economics!$D$2:$D$167="whr")*economics!$AI$2:$AI$167*(_xlfn.NORM.DIST(BU$3,economics!$AK$2:$AK$167,economics!$AJ$2:$AJ$167,TRUE)-_xlfn.NORM.DIST(BU$30,economics!$AK$2:$AK$167,economics!$AJ$2:$AJ$167,TRUE))*economics!$AM$2:$AM$167))/(SUMPRODUCT((economics!$AG$2:$AG$167=$B57)*(economics!$D$2:$D$167="whr")*economics!$AI$2:$AI$167*(_xlfn.NORM.DIST(BU$3,economics!$AK$2:$AK$167,economics!$AJ$2:$AJ$167,TRUE)-_xlfn.NORM.DIST(BU$30,economics!$AK$2:$AK$167,economics!$AJ$2:$AJ$167,TRUE)))),"")</f>
        <v/>
      </c>
      <c r="BV57">
        <f t="array" ref="BV57">IFERROR((SUMPRODUCT((economics!$AG$2:$AG$167=$B57)*(economics!$D$2:$D$167="whr")*economics!$AI$2:$AI$167*(_xlfn.NORM.DIST(BV$3,economics!$AK$2:$AK$167,economics!$AJ$2:$AJ$167,TRUE)-_xlfn.NORM.DIST(BV$30,economics!$AK$2:$AK$167,economics!$AJ$2:$AJ$167,TRUE))*economics!$AM$2:$AM$167))/(SUMPRODUCT((economics!$AG$2:$AG$167=$B57)*(economics!$D$2:$D$167="whr")*economics!$AI$2:$AI$167*(_xlfn.NORM.DIST(BV$3,economics!$AK$2:$AK$167,economics!$AJ$2:$AJ$167,TRUE)-_xlfn.NORM.DIST(BV$30,economics!$AK$2:$AK$167,economics!$AJ$2:$AJ$167,TRUE)))),"")</f>
        <v/>
      </c>
      <c r="BW57">
        <f t="array" ref="BW57">IFERROR((SUMPRODUCT((economics!$AG$2:$AG$167=$B57)*(economics!$D$2:$D$167="whr")*economics!$AI$2:$AI$167*(_xlfn.NORM.DIST(BW$3,economics!$AK$2:$AK$167,economics!$AJ$2:$AJ$167,TRUE)-_xlfn.NORM.DIST(BW$30,economics!$AK$2:$AK$167,economics!$AJ$2:$AJ$167,TRUE))*economics!$AM$2:$AM$167))/(SUMPRODUCT((economics!$AG$2:$AG$167=$B57)*(economics!$D$2:$D$167="whr")*economics!$AI$2:$AI$167*(_xlfn.NORM.DIST(BW$3,economics!$AK$2:$AK$167,economics!$AJ$2:$AJ$167,TRUE)-_xlfn.NORM.DIST(BW$30,economics!$AK$2:$AK$167,economics!$AJ$2:$AJ$167,TRUE)))),"")</f>
        <v/>
      </c>
      <c r="BX57">
        <f t="array" ref="BX57">IFERROR((SUMPRODUCT((economics!$AG$2:$AG$167=$B57)*(economics!$D$2:$D$167="whr")*economics!$AI$2:$AI$167*(_xlfn.NORM.DIST(BX$3,economics!$AK$2:$AK$167,economics!$AJ$2:$AJ$167,TRUE)-_xlfn.NORM.DIST(BX$30,economics!$AK$2:$AK$167,economics!$AJ$2:$AJ$167,TRUE))*economics!$AM$2:$AM$167))/(SUMPRODUCT((economics!$AG$2:$AG$167=$B57)*(economics!$D$2:$D$167="whr")*economics!$AI$2:$AI$167*(_xlfn.NORM.DIST(BX$3,economics!$AK$2:$AK$167,economics!$AJ$2:$AJ$167,TRUE)-_xlfn.NORM.DIST(BX$30,economics!$AK$2:$AK$167,economics!$AJ$2:$AJ$167,TRUE)))),"")</f>
        <v/>
      </c>
      <c r="BY57">
        <f t="array" ref="BY57">IFERROR((SUMPRODUCT((economics!$AG$2:$AG$167=$B57)*(economics!$D$2:$D$167="whr")*economics!$AI$2:$AI$167*(_xlfn.NORM.DIST(BY$3,economics!$AK$2:$AK$167,economics!$AJ$2:$AJ$167,TRUE)-_xlfn.NORM.DIST(BY$30,economics!$AK$2:$AK$167,economics!$AJ$2:$AJ$167,TRUE))*economics!$AM$2:$AM$167))/(SUMPRODUCT((economics!$AG$2:$AG$167=$B57)*(economics!$D$2:$D$167="whr")*economics!$AI$2:$AI$167*(_xlfn.NORM.DIST(BY$3,economics!$AK$2:$AK$167,economics!$AJ$2:$AJ$167,TRUE)-_xlfn.NORM.DIST(BY$30,economics!$AK$2:$AK$167,economics!$AJ$2:$AJ$167,TRUE)))),"")</f>
        <v/>
      </c>
      <c r="BZ57">
        <f t="array" ref="BZ57">IFERROR((SUMPRODUCT((economics!$AG$2:$AG$167=$B57)*(economics!$D$2:$D$167="whr")*economics!$AI$2:$AI$167*(_xlfn.NORM.DIST(BZ$3,economics!$AK$2:$AK$167,economics!$AJ$2:$AJ$167,TRUE)-_xlfn.NORM.DIST(BZ$30,economics!$AK$2:$AK$167,economics!$AJ$2:$AJ$167,TRUE))*economics!$AM$2:$AM$167))/(SUMPRODUCT((economics!$AG$2:$AG$167=$B57)*(economics!$D$2:$D$167="whr")*economics!$AI$2:$AI$167*(_xlfn.NORM.DIST(BZ$3,economics!$AK$2:$AK$167,economics!$AJ$2:$AJ$167,TRUE)-_xlfn.NORM.DIST(BZ$30,economics!$AK$2:$AK$167,economics!$AJ$2:$AJ$167,TRUE)))),"")</f>
        <v/>
      </c>
      <c r="CA57">
        <f t="array" ref="CA57">IFERROR((SUMPRODUCT((economics!$AG$2:$AG$167=$B57)*(economics!$D$2:$D$167="whr")*economics!$AI$2:$AI$167*(_xlfn.NORM.DIST(CA$3,economics!$AK$2:$AK$167,economics!$AJ$2:$AJ$167,TRUE)-_xlfn.NORM.DIST(CA$30,economics!$AK$2:$AK$167,economics!$AJ$2:$AJ$167,TRUE))*economics!$AM$2:$AM$167))/(SUMPRODUCT((economics!$AG$2:$AG$167=$B57)*(economics!$D$2:$D$167="whr")*economics!$AI$2:$AI$167*(_xlfn.NORM.DIST(CA$3,economics!$AK$2:$AK$167,economics!$AJ$2:$AJ$167,TRUE)-_xlfn.NORM.DIST(CA$30,economics!$AK$2:$AK$167,economics!$AJ$2:$AJ$167,TRUE)))),"")</f>
        <v/>
      </c>
      <c r="CB57">
        <f t="array" ref="CB57">IFERROR((SUMPRODUCT((economics!$AG$2:$AG$167=$B57)*(economics!$D$2:$D$167="whr")*economics!$AI$2:$AI$167*(_xlfn.NORM.DIST(CB$3,economics!$AK$2:$AK$167,economics!$AJ$2:$AJ$167,TRUE)-_xlfn.NORM.DIST(CB$30,economics!$AK$2:$AK$167,economics!$AJ$2:$AJ$167,TRUE))*economics!$AM$2:$AM$167))/(SUMPRODUCT((economics!$AG$2:$AG$167=$B57)*(economics!$D$2:$D$167="whr")*economics!$AI$2:$AI$167*(_xlfn.NORM.DIST(CB$3,economics!$AK$2:$AK$167,economics!$AJ$2:$AJ$167,TRUE)-_xlfn.NORM.DIST(CB$30,economics!$AK$2:$AK$167,economics!$AJ$2:$AJ$167,TRUE)))),"")</f>
        <v/>
      </c>
      <c r="CC57">
        <f t="array" ref="CC57">IFERROR((SUMPRODUCT((economics!$AG$2:$AG$167=$B57)*(economics!$D$2:$D$167="whr")*economics!$AI$2:$AI$167*(_xlfn.NORM.DIST(CC$3,economics!$AK$2:$AK$167,economics!$AJ$2:$AJ$167,TRUE)-_xlfn.NORM.DIST(CC$30,economics!$AK$2:$AK$167,economics!$AJ$2:$AJ$167,TRUE))*economics!$AM$2:$AM$167))/(SUMPRODUCT((economics!$AG$2:$AG$167=$B57)*(economics!$D$2:$D$167="whr")*economics!$AI$2:$AI$167*(_xlfn.NORM.DIST(CC$3,economics!$AK$2:$AK$167,economics!$AJ$2:$AJ$167,TRUE)-_xlfn.NORM.DIST(CC$30,economics!$AK$2:$AK$167,economics!$AJ$2:$AJ$167,TRUE)))),"")</f>
        <v/>
      </c>
      <c r="CD57">
        <f t="array" ref="CD57">IFERROR((SUMPRODUCT((economics!$AG$2:$AG$167=$B57)*(economics!$D$2:$D$167="whr")*economics!$AI$2:$AI$167*(_xlfn.NORM.DIST(CD$3,economics!$AK$2:$AK$167,economics!$AJ$2:$AJ$167,TRUE)-_xlfn.NORM.DIST(CD$30,economics!$AK$2:$AK$167,economics!$AJ$2:$AJ$167,TRUE))*economics!$AM$2:$AM$167))/(SUMPRODUCT((economics!$AG$2:$AG$167=$B57)*(economics!$D$2:$D$167="whr")*economics!$AI$2:$AI$167*(_xlfn.NORM.DIST(CD$3,economics!$AK$2:$AK$167,economics!$AJ$2:$AJ$167,TRUE)-_xlfn.NORM.DIST(CD$30,economics!$AK$2:$AK$167,economics!$AJ$2:$AJ$167,TRUE)))),"")</f>
        <v/>
      </c>
      <c r="CE57">
        <f t="array" ref="CE57">IFERROR((SUMPRODUCT((economics!$AG$2:$AG$167=$B57)*(economics!$D$2:$D$167="whr")*economics!$AI$2:$AI$167*(_xlfn.NORM.DIST(CE$3,economics!$AK$2:$AK$167,economics!$AJ$2:$AJ$167,TRUE)-_xlfn.NORM.DIST(CE$30,economics!$AK$2:$AK$167,economics!$AJ$2:$AJ$167,TRUE))*economics!$AM$2:$AM$167))/(SUMPRODUCT((economics!$AG$2:$AG$167=$B57)*(economics!$D$2:$D$167="whr")*economics!$AI$2:$AI$167*(_xlfn.NORM.DIST(CE$3,economics!$AK$2:$AK$167,economics!$AJ$2:$AJ$167,TRUE)-_xlfn.NORM.DIST(CE$30,economics!$AK$2:$AK$167,economics!$AJ$2:$AJ$167,TRUE)))),"")</f>
        <v/>
      </c>
      <c r="CF57">
        <f t="array" ref="CF57">IFERROR((SUMPRODUCT((economics!$AG$2:$AG$167=$B57)*(economics!$D$2:$D$167="whr")*economics!$AI$2:$AI$167*(_xlfn.NORM.DIST(CF$3,economics!$AK$2:$AK$167,economics!$AJ$2:$AJ$167,TRUE)-_xlfn.NORM.DIST(CF$30,economics!$AK$2:$AK$167,economics!$AJ$2:$AJ$167,TRUE))*economics!$AM$2:$AM$167))/(SUMPRODUCT((economics!$AG$2:$AG$167=$B57)*(economics!$D$2:$D$167="whr")*economics!$AI$2:$AI$167*(_xlfn.NORM.DIST(CF$3,economics!$AK$2:$AK$167,economics!$AJ$2:$AJ$167,TRUE)-_xlfn.NORM.DIST(CF$30,economics!$AK$2:$AK$167,economics!$AJ$2:$AJ$167,TRUE)))),"")</f>
        <v/>
      </c>
      <c r="CG57">
        <f t="array" ref="CG57">IFERROR((SUMPRODUCT((economics!$AG$2:$AG$167=$B57)*(economics!$D$2:$D$167="whr")*economics!$AI$2:$AI$167*(_xlfn.NORM.DIST(CG$3,economics!$AK$2:$AK$167,economics!$AJ$2:$AJ$167,TRUE)-_xlfn.NORM.DIST(CG$30,economics!$AK$2:$AK$167,economics!$AJ$2:$AJ$167,TRUE))*economics!$AM$2:$AM$167))/(SUMPRODUCT((economics!$AG$2:$AG$167=$B57)*(economics!$D$2:$D$167="whr")*economics!$AI$2:$AI$167*(_xlfn.NORM.DIST(CG$3,economics!$AK$2:$AK$167,economics!$AJ$2:$AJ$167,TRUE)-_xlfn.NORM.DIST(CG$30,economics!$AK$2:$AK$167,economics!$AJ$2:$AJ$167,TRUE)))),"")</f>
        <v/>
      </c>
      <c r="CH57">
        <f t="array" ref="CH57">IFERROR((SUMPRODUCT((economics!$AG$2:$AG$167=$B57)*(economics!$D$2:$D$167="whr")*economics!$AI$2:$AI$167*(_xlfn.NORM.DIST(CH$3,economics!$AK$2:$AK$167,economics!$AJ$2:$AJ$167,TRUE)-_xlfn.NORM.DIST(CH$30,economics!$AK$2:$AK$167,economics!$AJ$2:$AJ$167,TRUE))*economics!$AM$2:$AM$167))/(SUMPRODUCT((economics!$AG$2:$AG$167=$B57)*(economics!$D$2:$D$167="whr")*economics!$AI$2:$AI$167*(_xlfn.NORM.DIST(CH$3,economics!$AK$2:$AK$167,economics!$AJ$2:$AJ$167,TRUE)-_xlfn.NORM.DIST(CH$30,economics!$AK$2:$AK$167,economics!$AJ$2:$AJ$167,TRUE)))),"")</f>
        <v/>
      </c>
    </row>
    <row r="59">
      <c r="A59" s="1" t="inlineStr">
        <is>
          <t>CHECK: bins with incremental reduction but NO capex intensity (must be 0)</t>
        </is>
      </c>
      <c r="B59">
        <f t="array" ref="B59">SUMPRODUCT((E4:E28&gt;0.000000001)*(E33:E57=""))+SUMPRODUCT(((F4:CH28-E4:CG28)&gt;0.000000001)*(F33:CH57=""))</f>
        <v/>
      </c>
      <c r="C59">
        <f>IF(B59=0,"ok","FAIL")</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H59"/>
  <sheetViews>
    <sheetView workbookViewId="0">
      <pane xSplit="4" ySplit="3" topLeftCell="E34" activePane="bottomRight" state="frozen"/>
      <selection pane="topRight" activeCell="E1" sqref="E1"/>
      <selection pane="bottomLeft" activeCell="A4" sqref="A4"/>
      <selection pane="bottomRight" activeCell="G38" sqref="G38"/>
    </sheetView>
  </sheetViews>
  <sheetFormatPr baseColWidth="8" defaultRowHeight="14.5"/>
  <sheetData>
    <row r="1">
      <c r="A1" s="1" t="inlineStr">
        <is>
          <t>elec-process — cumulative % reduction (process efficiency, elec carrier). Rows=canonical WHRPbI industries; cols=CCE bins ($/MMBtu). No Bianchi fill.</t>
        </is>
      </c>
    </row>
    <row r="3">
      <c r="A3" s="1" t="inlineStr">
        <is>
          <t>Industry</t>
        </is>
      </c>
      <c r="B3" s="1" t="inlineStr">
        <is>
          <t>code</t>
        </is>
      </c>
      <c r="C3" s="1" t="inlineStr">
        <is>
          <t>Bianchi pot.</t>
        </is>
      </c>
      <c r="D3" s="1" t="inlineStr">
        <is>
          <t>covered</t>
        </is>
      </c>
      <c r="E3" s="7" t="n">
        <v>0</v>
      </c>
      <c r="F3" s="7" t="n">
        <v>0.25</v>
      </c>
      <c r="G3" s="7" t="n">
        <v>0.5</v>
      </c>
      <c r="H3" s="7" t="n">
        <v>0.75</v>
      </c>
      <c r="I3" s="7" t="n">
        <v>1</v>
      </c>
      <c r="J3" s="7" t="n">
        <v>1.25</v>
      </c>
      <c r="K3" s="7" t="n">
        <v>1.5</v>
      </c>
      <c r="L3" s="7" t="n">
        <v>1.75</v>
      </c>
      <c r="M3" s="7" t="n">
        <v>2</v>
      </c>
      <c r="N3" s="7" t="n">
        <v>2.25</v>
      </c>
      <c r="O3" s="7" t="n">
        <v>2.5</v>
      </c>
      <c r="P3" s="7" t="n">
        <v>2.75</v>
      </c>
      <c r="Q3" s="7" t="n">
        <v>3</v>
      </c>
      <c r="R3" s="7" t="n">
        <v>3.25</v>
      </c>
      <c r="S3" s="7" t="n">
        <v>3.5</v>
      </c>
      <c r="T3" s="7" t="n">
        <v>3.75</v>
      </c>
      <c r="U3" s="7" t="n">
        <v>4</v>
      </c>
      <c r="V3" s="7" t="n">
        <v>4.25</v>
      </c>
      <c r="W3" s="7" t="n">
        <v>4.5</v>
      </c>
      <c r="X3" s="7" t="n">
        <v>4.75</v>
      </c>
      <c r="Y3" s="7" t="n">
        <v>5</v>
      </c>
      <c r="Z3" s="7" t="n">
        <v>5.25</v>
      </c>
      <c r="AA3" s="7" t="n">
        <v>5.5</v>
      </c>
      <c r="AB3" s="7" t="n">
        <v>5.75</v>
      </c>
      <c r="AC3" s="7" t="n">
        <v>6</v>
      </c>
      <c r="AD3" s="7" t="n">
        <v>6.25</v>
      </c>
      <c r="AE3" s="7" t="n">
        <v>6.5</v>
      </c>
      <c r="AF3" s="7" t="n">
        <v>6.75</v>
      </c>
      <c r="AG3" s="7" t="n">
        <v>7</v>
      </c>
      <c r="AH3" s="7" t="n">
        <v>7.25</v>
      </c>
      <c r="AI3" s="7" t="n">
        <v>7.5</v>
      </c>
      <c r="AJ3" s="7" t="n">
        <v>7.75</v>
      </c>
      <c r="AK3" s="7" t="n">
        <v>8</v>
      </c>
      <c r="AL3" s="7" t="n">
        <v>8.25</v>
      </c>
      <c r="AM3" s="7" t="n">
        <v>8.5</v>
      </c>
      <c r="AN3" s="7" t="n">
        <v>8.75</v>
      </c>
      <c r="AO3" s="7" t="n">
        <v>9</v>
      </c>
      <c r="AP3" s="7" t="n">
        <v>9.25</v>
      </c>
      <c r="AQ3" s="7" t="n">
        <v>9.5</v>
      </c>
      <c r="AR3" s="7" t="n">
        <v>9.75</v>
      </c>
      <c r="AS3" s="7" t="n">
        <v>10</v>
      </c>
      <c r="AT3" s="7" t="n">
        <v>10.25</v>
      </c>
      <c r="AU3" s="7" t="n">
        <v>10.5</v>
      </c>
      <c r="AV3" s="7" t="n">
        <v>10.75</v>
      </c>
      <c r="AW3" s="7" t="n">
        <v>11</v>
      </c>
      <c r="AX3" s="7" t="n">
        <v>11.25</v>
      </c>
      <c r="AY3" s="7" t="n">
        <v>11.5</v>
      </c>
      <c r="AZ3" s="7" t="n">
        <v>11.75</v>
      </c>
      <c r="BA3" s="7" t="n">
        <v>12</v>
      </c>
      <c r="BB3" s="7" t="n">
        <v>12.25</v>
      </c>
      <c r="BC3" s="7" t="n">
        <v>12.5</v>
      </c>
      <c r="BD3" s="7" t="n">
        <v>12.75</v>
      </c>
      <c r="BE3" s="7" t="n">
        <v>13</v>
      </c>
      <c r="BF3" s="7" t="n">
        <v>13.25</v>
      </c>
      <c r="BG3" s="7" t="n">
        <v>13.5</v>
      </c>
      <c r="BH3" s="7" t="n">
        <v>13.75</v>
      </c>
      <c r="BI3" s="7" t="n">
        <v>14</v>
      </c>
      <c r="BJ3" s="7" t="n">
        <v>14.25</v>
      </c>
      <c r="BK3" s="7" t="n">
        <v>14.5</v>
      </c>
      <c r="BL3" s="7" t="n">
        <v>14.75</v>
      </c>
      <c r="BM3" s="7" t="n">
        <v>15</v>
      </c>
      <c r="BN3" s="7" t="n">
        <v>15.25</v>
      </c>
      <c r="BO3" s="7" t="n">
        <v>15.5</v>
      </c>
      <c r="BP3" s="7" t="n">
        <v>15.75</v>
      </c>
      <c r="BQ3" s="7" t="n">
        <v>16</v>
      </c>
      <c r="BR3" s="7" t="n">
        <v>16.25</v>
      </c>
      <c r="BS3" s="7" t="n">
        <v>16.5</v>
      </c>
      <c r="BT3" s="7" t="n">
        <v>16.75</v>
      </c>
      <c r="BU3" s="7" t="n">
        <v>17</v>
      </c>
      <c r="BV3" s="7" t="n">
        <v>17.25</v>
      </c>
      <c r="BW3" s="7" t="n">
        <v>17.5</v>
      </c>
      <c r="BX3" s="7" t="n">
        <v>17.75</v>
      </c>
      <c r="BY3" s="7" t="n">
        <v>18</v>
      </c>
      <c r="BZ3" s="7" t="n">
        <v>18.25</v>
      </c>
      <c r="CA3" s="7" t="n">
        <v>18.5</v>
      </c>
      <c r="CB3" s="7" t="n">
        <v>18.75</v>
      </c>
      <c r="CC3" s="7" t="n">
        <v>19</v>
      </c>
      <c r="CD3" s="7" t="n">
        <v>19.25</v>
      </c>
      <c r="CE3" s="7" t="n">
        <v>19.5</v>
      </c>
      <c r="CF3" s="7" t="n">
        <v>19.75</v>
      </c>
      <c r="CG3" s="7" t="n">
        <v>20</v>
      </c>
      <c r="CH3" s="7" t="n">
        <v>99999</v>
      </c>
    </row>
    <row r="4">
      <c r="A4">
        <f>WHRPbI!A2</f>
        <v/>
      </c>
      <c r="B4" t="inlineStr">
        <is>
          <t>01T03</t>
        </is>
      </c>
      <c r="C4" s="68">
        <f>WHRPbI!B2</f>
        <v/>
      </c>
      <c r="D4">
        <f>ISNUMBER(MATCH($B4,'energy base (MECS)'!$K$4:$K$9,0))</f>
        <v/>
      </c>
      <c r="E4" s="68">
        <f t="array" ref="E4">IF($D4,SUMPRODUCT((economics!$AG$2:$AG$167=$B4)*(economics!$D$2:$D$167="process")*economics!$AI$2:$AI$167*_xlfn.NORM.DIST(E$3,economics!$AK$2:$AK$167,economics!$AJ$2:$AJ$167,TRUE)),0)</f>
        <v/>
      </c>
      <c r="F4" s="68">
        <f t="array" ref="F4">IF($D4,SUMPRODUCT((economics!$AG$2:$AG$167=$B4)*(economics!$D$2:$D$167="process")*economics!$AI$2:$AI$167*_xlfn.NORM.DIST(F$3,economics!$AK$2:$AK$167,economics!$AJ$2:$AJ$167,TRUE)),0)</f>
        <v/>
      </c>
      <c r="G4" s="68">
        <f t="array" ref="G4">IF($D4,SUMPRODUCT((economics!$AG$2:$AG$167=$B4)*(economics!$D$2:$D$167="process")*economics!$AI$2:$AI$167*_xlfn.NORM.DIST(G$3,economics!$AK$2:$AK$167,economics!$AJ$2:$AJ$167,TRUE)),0)</f>
        <v/>
      </c>
      <c r="H4" s="68">
        <f t="array" ref="H4">IF($D4,SUMPRODUCT((economics!$AG$2:$AG$167=$B4)*(economics!$D$2:$D$167="process")*economics!$AI$2:$AI$167*_xlfn.NORM.DIST(H$3,economics!$AK$2:$AK$167,economics!$AJ$2:$AJ$167,TRUE)),0)</f>
        <v/>
      </c>
      <c r="I4" s="68">
        <f t="array" ref="I4">IF($D4,SUMPRODUCT((economics!$AG$2:$AG$167=$B4)*(economics!$D$2:$D$167="process")*economics!$AI$2:$AI$167*_xlfn.NORM.DIST(I$3,economics!$AK$2:$AK$167,economics!$AJ$2:$AJ$167,TRUE)),0)</f>
        <v/>
      </c>
      <c r="J4" s="68">
        <f t="array" ref="J4">IF($D4,SUMPRODUCT((economics!$AG$2:$AG$167=$B4)*(economics!$D$2:$D$167="process")*economics!$AI$2:$AI$167*_xlfn.NORM.DIST(J$3,economics!$AK$2:$AK$167,economics!$AJ$2:$AJ$167,TRUE)),0)</f>
        <v/>
      </c>
      <c r="K4" s="68">
        <f t="array" ref="K4">IF($D4,SUMPRODUCT((economics!$AG$2:$AG$167=$B4)*(economics!$D$2:$D$167="process")*economics!$AI$2:$AI$167*_xlfn.NORM.DIST(K$3,economics!$AK$2:$AK$167,economics!$AJ$2:$AJ$167,TRUE)),0)</f>
        <v/>
      </c>
      <c r="L4" s="68">
        <f t="array" ref="L4">IF($D4,SUMPRODUCT((economics!$AG$2:$AG$167=$B4)*(economics!$D$2:$D$167="process")*economics!$AI$2:$AI$167*_xlfn.NORM.DIST(L$3,economics!$AK$2:$AK$167,economics!$AJ$2:$AJ$167,TRUE)),0)</f>
        <v/>
      </c>
      <c r="M4" s="68">
        <f t="array" ref="M4">IF($D4,SUMPRODUCT((economics!$AG$2:$AG$167=$B4)*(economics!$D$2:$D$167="process")*economics!$AI$2:$AI$167*_xlfn.NORM.DIST(M$3,economics!$AK$2:$AK$167,economics!$AJ$2:$AJ$167,TRUE)),0)</f>
        <v/>
      </c>
      <c r="N4" s="68">
        <f t="array" ref="N4">IF($D4,SUMPRODUCT((economics!$AG$2:$AG$167=$B4)*(economics!$D$2:$D$167="process")*economics!$AI$2:$AI$167*_xlfn.NORM.DIST(N$3,economics!$AK$2:$AK$167,economics!$AJ$2:$AJ$167,TRUE)),0)</f>
        <v/>
      </c>
      <c r="O4" s="68">
        <f t="array" ref="O4">IF($D4,SUMPRODUCT((economics!$AG$2:$AG$167=$B4)*(economics!$D$2:$D$167="process")*economics!$AI$2:$AI$167*_xlfn.NORM.DIST(O$3,economics!$AK$2:$AK$167,economics!$AJ$2:$AJ$167,TRUE)),0)</f>
        <v/>
      </c>
      <c r="P4" s="68">
        <f t="array" ref="P4">IF($D4,SUMPRODUCT((economics!$AG$2:$AG$167=$B4)*(economics!$D$2:$D$167="process")*economics!$AI$2:$AI$167*_xlfn.NORM.DIST(P$3,economics!$AK$2:$AK$167,economics!$AJ$2:$AJ$167,TRUE)),0)</f>
        <v/>
      </c>
      <c r="Q4" s="68">
        <f t="array" ref="Q4">IF($D4,SUMPRODUCT((economics!$AG$2:$AG$167=$B4)*(economics!$D$2:$D$167="process")*economics!$AI$2:$AI$167*_xlfn.NORM.DIST(Q$3,economics!$AK$2:$AK$167,economics!$AJ$2:$AJ$167,TRUE)),0)</f>
        <v/>
      </c>
      <c r="R4" s="68">
        <f t="array" ref="R4">IF($D4,SUMPRODUCT((economics!$AG$2:$AG$167=$B4)*(economics!$D$2:$D$167="process")*economics!$AI$2:$AI$167*_xlfn.NORM.DIST(R$3,economics!$AK$2:$AK$167,economics!$AJ$2:$AJ$167,TRUE)),0)</f>
        <v/>
      </c>
      <c r="S4" s="68">
        <f t="array" ref="S4">IF($D4,SUMPRODUCT((economics!$AG$2:$AG$167=$B4)*(economics!$D$2:$D$167="process")*economics!$AI$2:$AI$167*_xlfn.NORM.DIST(S$3,economics!$AK$2:$AK$167,economics!$AJ$2:$AJ$167,TRUE)),0)</f>
        <v/>
      </c>
      <c r="T4" s="68">
        <f t="array" ref="T4">IF($D4,SUMPRODUCT((economics!$AG$2:$AG$167=$B4)*(economics!$D$2:$D$167="process")*economics!$AI$2:$AI$167*_xlfn.NORM.DIST(T$3,economics!$AK$2:$AK$167,economics!$AJ$2:$AJ$167,TRUE)),0)</f>
        <v/>
      </c>
      <c r="U4" s="68">
        <f t="array" ref="U4">IF($D4,SUMPRODUCT((economics!$AG$2:$AG$167=$B4)*(economics!$D$2:$D$167="process")*economics!$AI$2:$AI$167*_xlfn.NORM.DIST(U$3,economics!$AK$2:$AK$167,economics!$AJ$2:$AJ$167,TRUE)),0)</f>
        <v/>
      </c>
      <c r="V4" s="68">
        <f t="array" ref="V4">IF($D4,SUMPRODUCT((economics!$AG$2:$AG$167=$B4)*(economics!$D$2:$D$167="process")*economics!$AI$2:$AI$167*_xlfn.NORM.DIST(V$3,economics!$AK$2:$AK$167,economics!$AJ$2:$AJ$167,TRUE)),0)</f>
        <v/>
      </c>
      <c r="W4" s="68">
        <f t="array" ref="W4">IF($D4,SUMPRODUCT((economics!$AG$2:$AG$167=$B4)*(economics!$D$2:$D$167="process")*economics!$AI$2:$AI$167*_xlfn.NORM.DIST(W$3,economics!$AK$2:$AK$167,economics!$AJ$2:$AJ$167,TRUE)),0)</f>
        <v/>
      </c>
      <c r="X4" s="68">
        <f t="array" ref="X4">IF($D4,SUMPRODUCT((economics!$AG$2:$AG$167=$B4)*(economics!$D$2:$D$167="process")*economics!$AI$2:$AI$167*_xlfn.NORM.DIST(X$3,economics!$AK$2:$AK$167,economics!$AJ$2:$AJ$167,TRUE)),0)</f>
        <v/>
      </c>
      <c r="Y4" s="68">
        <f t="array" ref="Y4">IF($D4,SUMPRODUCT((economics!$AG$2:$AG$167=$B4)*(economics!$D$2:$D$167="process")*economics!$AI$2:$AI$167*_xlfn.NORM.DIST(Y$3,economics!$AK$2:$AK$167,economics!$AJ$2:$AJ$167,TRUE)),0)</f>
        <v/>
      </c>
      <c r="Z4" s="68">
        <f t="array" ref="Z4">IF($D4,SUMPRODUCT((economics!$AG$2:$AG$167=$B4)*(economics!$D$2:$D$167="process")*economics!$AI$2:$AI$167*_xlfn.NORM.DIST(Z$3,economics!$AK$2:$AK$167,economics!$AJ$2:$AJ$167,TRUE)),0)</f>
        <v/>
      </c>
      <c r="AA4" s="68">
        <f t="array" ref="AA4">IF($D4,SUMPRODUCT((economics!$AG$2:$AG$167=$B4)*(economics!$D$2:$D$167="process")*economics!$AI$2:$AI$167*_xlfn.NORM.DIST(AA$3,economics!$AK$2:$AK$167,economics!$AJ$2:$AJ$167,TRUE)),0)</f>
        <v/>
      </c>
      <c r="AB4" s="68">
        <f t="array" ref="AB4">IF($D4,SUMPRODUCT((economics!$AG$2:$AG$167=$B4)*(economics!$D$2:$D$167="process")*economics!$AI$2:$AI$167*_xlfn.NORM.DIST(AB$3,economics!$AK$2:$AK$167,economics!$AJ$2:$AJ$167,TRUE)),0)</f>
        <v/>
      </c>
      <c r="AC4" s="68">
        <f t="array" ref="AC4">IF($D4,SUMPRODUCT((economics!$AG$2:$AG$167=$B4)*(economics!$D$2:$D$167="process")*economics!$AI$2:$AI$167*_xlfn.NORM.DIST(AC$3,economics!$AK$2:$AK$167,economics!$AJ$2:$AJ$167,TRUE)),0)</f>
        <v/>
      </c>
      <c r="AD4" s="68">
        <f t="array" ref="AD4">IF($D4,SUMPRODUCT((economics!$AG$2:$AG$167=$B4)*(economics!$D$2:$D$167="process")*economics!$AI$2:$AI$167*_xlfn.NORM.DIST(AD$3,economics!$AK$2:$AK$167,economics!$AJ$2:$AJ$167,TRUE)),0)</f>
        <v/>
      </c>
      <c r="AE4" s="68">
        <f t="array" ref="AE4">IF($D4,SUMPRODUCT((economics!$AG$2:$AG$167=$B4)*(economics!$D$2:$D$167="process")*economics!$AI$2:$AI$167*_xlfn.NORM.DIST(AE$3,economics!$AK$2:$AK$167,economics!$AJ$2:$AJ$167,TRUE)),0)</f>
        <v/>
      </c>
      <c r="AF4" s="68">
        <f t="array" ref="AF4">IF($D4,SUMPRODUCT((economics!$AG$2:$AG$167=$B4)*(economics!$D$2:$D$167="process")*economics!$AI$2:$AI$167*_xlfn.NORM.DIST(AF$3,economics!$AK$2:$AK$167,economics!$AJ$2:$AJ$167,TRUE)),0)</f>
        <v/>
      </c>
      <c r="AG4" s="68">
        <f t="array" ref="AG4">IF($D4,SUMPRODUCT((economics!$AG$2:$AG$167=$B4)*(economics!$D$2:$D$167="process")*economics!$AI$2:$AI$167*_xlfn.NORM.DIST(AG$3,economics!$AK$2:$AK$167,economics!$AJ$2:$AJ$167,TRUE)),0)</f>
        <v/>
      </c>
      <c r="AH4" s="68">
        <f t="array" ref="AH4">IF($D4,SUMPRODUCT((economics!$AG$2:$AG$167=$B4)*(economics!$D$2:$D$167="process")*economics!$AI$2:$AI$167*_xlfn.NORM.DIST(AH$3,economics!$AK$2:$AK$167,economics!$AJ$2:$AJ$167,TRUE)),0)</f>
        <v/>
      </c>
      <c r="AI4" s="68">
        <f t="array" ref="AI4">IF($D4,SUMPRODUCT((economics!$AG$2:$AG$167=$B4)*(economics!$D$2:$D$167="process")*economics!$AI$2:$AI$167*_xlfn.NORM.DIST(AI$3,economics!$AK$2:$AK$167,economics!$AJ$2:$AJ$167,TRUE)),0)</f>
        <v/>
      </c>
      <c r="AJ4" s="68">
        <f t="array" ref="AJ4">IF($D4,SUMPRODUCT((economics!$AG$2:$AG$167=$B4)*(economics!$D$2:$D$167="process")*economics!$AI$2:$AI$167*_xlfn.NORM.DIST(AJ$3,economics!$AK$2:$AK$167,economics!$AJ$2:$AJ$167,TRUE)),0)</f>
        <v/>
      </c>
      <c r="AK4" s="68">
        <f t="array" ref="AK4">IF($D4,SUMPRODUCT((economics!$AG$2:$AG$167=$B4)*(economics!$D$2:$D$167="process")*economics!$AI$2:$AI$167*_xlfn.NORM.DIST(AK$3,economics!$AK$2:$AK$167,economics!$AJ$2:$AJ$167,TRUE)),0)</f>
        <v/>
      </c>
      <c r="AL4" s="68">
        <f t="array" ref="AL4">IF($D4,SUMPRODUCT((economics!$AG$2:$AG$167=$B4)*(economics!$D$2:$D$167="process")*economics!$AI$2:$AI$167*_xlfn.NORM.DIST(AL$3,economics!$AK$2:$AK$167,economics!$AJ$2:$AJ$167,TRUE)),0)</f>
        <v/>
      </c>
      <c r="AM4" s="68">
        <f t="array" ref="AM4">IF($D4,SUMPRODUCT((economics!$AG$2:$AG$167=$B4)*(economics!$D$2:$D$167="process")*economics!$AI$2:$AI$167*_xlfn.NORM.DIST(AM$3,economics!$AK$2:$AK$167,economics!$AJ$2:$AJ$167,TRUE)),0)</f>
        <v/>
      </c>
      <c r="AN4" s="68">
        <f t="array" ref="AN4">IF($D4,SUMPRODUCT((economics!$AG$2:$AG$167=$B4)*(economics!$D$2:$D$167="process")*economics!$AI$2:$AI$167*_xlfn.NORM.DIST(AN$3,economics!$AK$2:$AK$167,economics!$AJ$2:$AJ$167,TRUE)),0)</f>
        <v/>
      </c>
      <c r="AO4" s="68">
        <f t="array" ref="AO4">IF($D4,SUMPRODUCT((economics!$AG$2:$AG$167=$B4)*(economics!$D$2:$D$167="process")*economics!$AI$2:$AI$167*_xlfn.NORM.DIST(AO$3,economics!$AK$2:$AK$167,economics!$AJ$2:$AJ$167,TRUE)),0)</f>
        <v/>
      </c>
      <c r="AP4" s="68">
        <f t="array" ref="AP4">IF($D4,SUMPRODUCT((economics!$AG$2:$AG$167=$B4)*(economics!$D$2:$D$167="process")*economics!$AI$2:$AI$167*_xlfn.NORM.DIST(AP$3,economics!$AK$2:$AK$167,economics!$AJ$2:$AJ$167,TRUE)),0)</f>
        <v/>
      </c>
      <c r="AQ4" s="68">
        <f t="array" ref="AQ4">IF($D4,SUMPRODUCT((economics!$AG$2:$AG$167=$B4)*(economics!$D$2:$D$167="process")*economics!$AI$2:$AI$167*_xlfn.NORM.DIST(AQ$3,economics!$AK$2:$AK$167,economics!$AJ$2:$AJ$167,TRUE)),0)</f>
        <v/>
      </c>
      <c r="AR4" s="68">
        <f t="array" ref="AR4">IF($D4,SUMPRODUCT((economics!$AG$2:$AG$167=$B4)*(economics!$D$2:$D$167="process")*economics!$AI$2:$AI$167*_xlfn.NORM.DIST(AR$3,economics!$AK$2:$AK$167,economics!$AJ$2:$AJ$167,TRUE)),0)</f>
        <v/>
      </c>
      <c r="AS4" s="68">
        <f t="array" ref="AS4">IF($D4,SUMPRODUCT((economics!$AG$2:$AG$167=$B4)*(economics!$D$2:$D$167="process")*economics!$AI$2:$AI$167*_xlfn.NORM.DIST(AS$3,economics!$AK$2:$AK$167,economics!$AJ$2:$AJ$167,TRUE)),0)</f>
        <v/>
      </c>
      <c r="AT4" s="68">
        <f t="array" ref="AT4">IF($D4,SUMPRODUCT((economics!$AG$2:$AG$167=$B4)*(economics!$D$2:$D$167="process")*economics!$AI$2:$AI$167*_xlfn.NORM.DIST(AT$3,economics!$AK$2:$AK$167,economics!$AJ$2:$AJ$167,TRUE)),0)</f>
        <v/>
      </c>
      <c r="AU4" s="68">
        <f t="array" ref="AU4">IF($D4,SUMPRODUCT((economics!$AG$2:$AG$167=$B4)*(economics!$D$2:$D$167="process")*economics!$AI$2:$AI$167*_xlfn.NORM.DIST(AU$3,economics!$AK$2:$AK$167,economics!$AJ$2:$AJ$167,TRUE)),0)</f>
        <v/>
      </c>
      <c r="AV4" s="68">
        <f t="array" ref="AV4">IF($D4,SUMPRODUCT((economics!$AG$2:$AG$167=$B4)*(economics!$D$2:$D$167="process")*economics!$AI$2:$AI$167*_xlfn.NORM.DIST(AV$3,economics!$AK$2:$AK$167,economics!$AJ$2:$AJ$167,TRUE)),0)</f>
        <v/>
      </c>
      <c r="AW4" s="68">
        <f t="array" ref="AW4">IF($D4,SUMPRODUCT((economics!$AG$2:$AG$167=$B4)*(economics!$D$2:$D$167="process")*economics!$AI$2:$AI$167*_xlfn.NORM.DIST(AW$3,economics!$AK$2:$AK$167,economics!$AJ$2:$AJ$167,TRUE)),0)</f>
        <v/>
      </c>
      <c r="AX4" s="68">
        <f t="array" ref="AX4">IF($D4,SUMPRODUCT((economics!$AG$2:$AG$167=$B4)*(economics!$D$2:$D$167="process")*economics!$AI$2:$AI$167*_xlfn.NORM.DIST(AX$3,economics!$AK$2:$AK$167,economics!$AJ$2:$AJ$167,TRUE)),0)</f>
        <v/>
      </c>
      <c r="AY4" s="68">
        <f t="array" ref="AY4">IF($D4,SUMPRODUCT((economics!$AG$2:$AG$167=$B4)*(economics!$D$2:$D$167="process")*economics!$AI$2:$AI$167*_xlfn.NORM.DIST(AY$3,economics!$AK$2:$AK$167,economics!$AJ$2:$AJ$167,TRUE)),0)</f>
        <v/>
      </c>
      <c r="AZ4" s="68">
        <f t="array" ref="AZ4">IF($D4,SUMPRODUCT((economics!$AG$2:$AG$167=$B4)*(economics!$D$2:$D$167="process")*economics!$AI$2:$AI$167*_xlfn.NORM.DIST(AZ$3,economics!$AK$2:$AK$167,economics!$AJ$2:$AJ$167,TRUE)),0)</f>
        <v/>
      </c>
      <c r="BA4" s="68">
        <f t="array" ref="BA4">IF($D4,SUMPRODUCT((economics!$AG$2:$AG$167=$B4)*(economics!$D$2:$D$167="process")*economics!$AI$2:$AI$167*_xlfn.NORM.DIST(BA$3,economics!$AK$2:$AK$167,economics!$AJ$2:$AJ$167,TRUE)),0)</f>
        <v/>
      </c>
      <c r="BB4" s="68">
        <f t="array" ref="BB4">IF($D4,SUMPRODUCT((economics!$AG$2:$AG$167=$B4)*(economics!$D$2:$D$167="process")*economics!$AI$2:$AI$167*_xlfn.NORM.DIST(BB$3,economics!$AK$2:$AK$167,economics!$AJ$2:$AJ$167,TRUE)),0)</f>
        <v/>
      </c>
      <c r="BC4" s="68">
        <f t="array" ref="BC4">IF($D4,SUMPRODUCT((economics!$AG$2:$AG$167=$B4)*(economics!$D$2:$D$167="process")*economics!$AI$2:$AI$167*_xlfn.NORM.DIST(BC$3,economics!$AK$2:$AK$167,economics!$AJ$2:$AJ$167,TRUE)),0)</f>
        <v/>
      </c>
      <c r="BD4" s="68">
        <f t="array" ref="BD4">IF($D4,SUMPRODUCT((economics!$AG$2:$AG$167=$B4)*(economics!$D$2:$D$167="process")*economics!$AI$2:$AI$167*_xlfn.NORM.DIST(BD$3,economics!$AK$2:$AK$167,economics!$AJ$2:$AJ$167,TRUE)),0)</f>
        <v/>
      </c>
      <c r="BE4" s="68">
        <f t="array" ref="BE4">IF($D4,SUMPRODUCT((economics!$AG$2:$AG$167=$B4)*(economics!$D$2:$D$167="process")*economics!$AI$2:$AI$167*_xlfn.NORM.DIST(BE$3,economics!$AK$2:$AK$167,economics!$AJ$2:$AJ$167,TRUE)),0)</f>
        <v/>
      </c>
      <c r="BF4" s="68">
        <f t="array" ref="BF4">IF($D4,SUMPRODUCT((economics!$AG$2:$AG$167=$B4)*(economics!$D$2:$D$167="process")*economics!$AI$2:$AI$167*_xlfn.NORM.DIST(BF$3,economics!$AK$2:$AK$167,economics!$AJ$2:$AJ$167,TRUE)),0)</f>
        <v/>
      </c>
      <c r="BG4" s="68">
        <f t="array" ref="BG4">IF($D4,SUMPRODUCT((economics!$AG$2:$AG$167=$B4)*(economics!$D$2:$D$167="process")*economics!$AI$2:$AI$167*_xlfn.NORM.DIST(BG$3,economics!$AK$2:$AK$167,economics!$AJ$2:$AJ$167,TRUE)),0)</f>
        <v/>
      </c>
      <c r="BH4" s="68">
        <f t="array" ref="BH4">IF($D4,SUMPRODUCT((economics!$AG$2:$AG$167=$B4)*(economics!$D$2:$D$167="process")*economics!$AI$2:$AI$167*_xlfn.NORM.DIST(BH$3,economics!$AK$2:$AK$167,economics!$AJ$2:$AJ$167,TRUE)),0)</f>
        <v/>
      </c>
      <c r="BI4" s="68">
        <f t="array" ref="BI4">IF($D4,SUMPRODUCT((economics!$AG$2:$AG$167=$B4)*(economics!$D$2:$D$167="process")*economics!$AI$2:$AI$167*_xlfn.NORM.DIST(BI$3,economics!$AK$2:$AK$167,economics!$AJ$2:$AJ$167,TRUE)),0)</f>
        <v/>
      </c>
      <c r="BJ4" s="68">
        <f t="array" ref="BJ4">IF($D4,SUMPRODUCT((economics!$AG$2:$AG$167=$B4)*(economics!$D$2:$D$167="process")*economics!$AI$2:$AI$167*_xlfn.NORM.DIST(BJ$3,economics!$AK$2:$AK$167,economics!$AJ$2:$AJ$167,TRUE)),0)</f>
        <v/>
      </c>
      <c r="BK4" s="68">
        <f t="array" ref="BK4">IF($D4,SUMPRODUCT((economics!$AG$2:$AG$167=$B4)*(economics!$D$2:$D$167="process")*economics!$AI$2:$AI$167*_xlfn.NORM.DIST(BK$3,economics!$AK$2:$AK$167,economics!$AJ$2:$AJ$167,TRUE)),0)</f>
        <v/>
      </c>
      <c r="BL4" s="68">
        <f t="array" ref="BL4">IF($D4,SUMPRODUCT((economics!$AG$2:$AG$167=$B4)*(economics!$D$2:$D$167="process")*economics!$AI$2:$AI$167*_xlfn.NORM.DIST(BL$3,economics!$AK$2:$AK$167,economics!$AJ$2:$AJ$167,TRUE)),0)</f>
        <v/>
      </c>
      <c r="BM4" s="68">
        <f t="array" ref="BM4">IF($D4,SUMPRODUCT((economics!$AG$2:$AG$167=$B4)*(economics!$D$2:$D$167="process")*economics!$AI$2:$AI$167*_xlfn.NORM.DIST(BM$3,economics!$AK$2:$AK$167,economics!$AJ$2:$AJ$167,TRUE)),0)</f>
        <v/>
      </c>
      <c r="BN4" s="68">
        <f t="array" ref="BN4">IF($D4,SUMPRODUCT((economics!$AG$2:$AG$167=$B4)*(economics!$D$2:$D$167="process")*economics!$AI$2:$AI$167*_xlfn.NORM.DIST(BN$3,economics!$AK$2:$AK$167,economics!$AJ$2:$AJ$167,TRUE)),0)</f>
        <v/>
      </c>
      <c r="BO4" s="68">
        <f t="array" ref="BO4">IF($D4,SUMPRODUCT((economics!$AG$2:$AG$167=$B4)*(economics!$D$2:$D$167="process")*economics!$AI$2:$AI$167*_xlfn.NORM.DIST(BO$3,economics!$AK$2:$AK$167,economics!$AJ$2:$AJ$167,TRUE)),0)</f>
        <v/>
      </c>
      <c r="BP4" s="68">
        <f t="array" ref="BP4">IF($D4,SUMPRODUCT((economics!$AG$2:$AG$167=$B4)*(economics!$D$2:$D$167="process")*economics!$AI$2:$AI$167*_xlfn.NORM.DIST(BP$3,economics!$AK$2:$AK$167,economics!$AJ$2:$AJ$167,TRUE)),0)</f>
        <v/>
      </c>
      <c r="BQ4" s="68">
        <f t="array" ref="BQ4">IF($D4,SUMPRODUCT((economics!$AG$2:$AG$167=$B4)*(economics!$D$2:$D$167="process")*economics!$AI$2:$AI$167*_xlfn.NORM.DIST(BQ$3,economics!$AK$2:$AK$167,economics!$AJ$2:$AJ$167,TRUE)),0)</f>
        <v/>
      </c>
      <c r="BR4" s="68">
        <f t="array" ref="BR4">IF($D4,SUMPRODUCT((economics!$AG$2:$AG$167=$B4)*(economics!$D$2:$D$167="process")*economics!$AI$2:$AI$167*_xlfn.NORM.DIST(BR$3,economics!$AK$2:$AK$167,economics!$AJ$2:$AJ$167,TRUE)),0)</f>
        <v/>
      </c>
      <c r="BS4" s="68">
        <f t="array" ref="BS4">IF($D4,SUMPRODUCT((economics!$AG$2:$AG$167=$B4)*(economics!$D$2:$D$167="process")*economics!$AI$2:$AI$167*_xlfn.NORM.DIST(BS$3,economics!$AK$2:$AK$167,economics!$AJ$2:$AJ$167,TRUE)),0)</f>
        <v/>
      </c>
      <c r="BT4" s="68">
        <f t="array" ref="BT4">IF($D4,SUMPRODUCT((economics!$AG$2:$AG$167=$B4)*(economics!$D$2:$D$167="process")*economics!$AI$2:$AI$167*_xlfn.NORM.DIST(BT$3,economics!$AK$2:$AK$167,economics!$AJ$2:$AJ$167,TRUE)),0)</f>
        <v/>
      </c>
      <c r="BU4" s="68">
        <f t="array" ref="BU4">IF($D4,SUMPRODUCT((economics!$AG$2:$AG$167=$B4)*(economics!$D$2:$D$167="process")*economics!$AI$2:$AI$167*_xlfn.NORM.DIST(BU$3,economics!$AK$2:$AK$167,economics!$AJ$2:$AJ$167,TRUE)),0)</f>
        <v/>
      </c>
      <c r="BV4" s="68">
        <f t="array" ref="BV4">IF($D4,SUMPRODUCT((economics!$AG$2:$AG$167=$B4)*(economics!$D$2:$D$167="process")*economics!$AI$2:$AI$167*_xlfn.NORM.DIST(BV$3,economics!$AK$2:$AK$167,economics!$AJ$2:$AJ$167,TRUE)),0)</f>
        <v/>
      </c>
      <c r="BW4" s="68">
        <f t="array" ref="BW4">IF($D4,SUMPRODUCT((economics!$AG$2:$AG$167=$B4)*(economics!$D$2:$D$167="process")*economics!$AI$2:$AI$167*_xlfn.NORM.DIST(BW$3,economics!$AK$2:$AK$167,economics!$AJ$2:$AJ$167,TRUE)),0)</f>
        <v/>
      </c>
      <c r="BX4" s="68">
        <f t="array" ref="BX4">IF($D4,SUMPRODUCT((economics!$AG$2:$AG$167=$B4)*(economics!$D$2:$D$167="process")*economics!$AI$2:$AI$167*_xlfn.NORM.DIST(BX$3,economics!$AK$2:$AK$167,economics!$AJ$2:$AJ$167,TRUE)),0)</f>
        <v/>
      </c>
      <c r="BY4" s="68">
        <f t="array" ref="BY4">IF($D4,SUMPRODUCT((economics!$AG$2:$AG$167=$B4)*(economics!$D$2:$D$167="process")*economics!$AI$2:$AI$167*_xlfn.NORM.DIST(BY$3,economics!$AK$2:$AK$167,economics!$AJ$2:$AJ$167,TRUE)),0)</f>
        <v/>
      </c>
      <c r="BZ4" s="68">
        <f t="array" ref="BZ4">IF($D4,SUMPRODUCT((economics!$AG$2:$AG$167=$B4)*(economics!$D$2:$D$167="process")*economics!$AI$2:$AI$167*_xlfn.NORM.DIST(BZ$3,economics!$AK$2:$AK$167,economics!$AJ$2:$AJ$167,TRUE)),0)</f>
        <v/>
      </c>
      <c r="CA4" s="68">
        <f t="array" ref="CA4">IF($D4,SUMPRODUCT((economics!$AG$2:$AG$167=$B4)*(economics!$D$2:$D$167="process")*economics!$AI$2:$AI$167*_xlfn.NORM.DIST(CA$3,economics!$AK$2:$AK$167,economics!$AJ$2:$AJ$167,TRUE)),0)</f>
        <v/>
      </c>
      <c r="CB4" s="68">
        <f t="array" ref="CB4">IF($D4,SUMPRODUCT((economics!$AG$2:$AG$167=$B4)*(economics!$D$2:$D$167="process")*economics!$AI$2:$AI$167*_xlfn.NORM.DIST(CB$3,economics!$AK$2:$AK$167,economics!$AJ$2:$AJ$167,TRUE)),0)</f>
        <v/>
      </c>
      <c r="CC4" s="68">
        <f t="array" ref="CC4">IF($D4,SUMPRODUCT((economics!$AG$2:$AG$167=$B4)*(economics!$D$2:$D$167="process")*economics!$AI$2:$AI$167*_xlfn.NORM.DIST(CC$3,economics!$AK$2:$AK$167,economics!$AJ$2:$AJ$167,TRUE)),0)</f>
        <v/>
      </c>
      <c r="CD4" s="68">
        <f t="array" ref="CD4">IF($D4,SUMPRODUCT((economics!$AG$2:$AG$167=$B4)*(economics!$D$2:$D$167="process")*economics!$AI$2:$AI$167*_xlfn.NORM.DIST(CD$3,economics!$AK$2:$AK$167,economics!$AJ$2:$AJ$167,TRUE)),0)</f>
        <v/>
      </c>
      <c r="CE4" s="68">
        <f t="array" ref="CE4">IF($D4,SUMPRODUCT((economics!$AG$2:$AG$167=$B4)*(economics!$D$2:$D$167="process")*economics!$AI$2:$AI$167*_xlfn.NORM.DIST(CE$3,economics!$AK$2:$AK$167,economics!$AJ$2:$AJ$167,TRUE)),0)</f>
        <v/>
      </c>
      <c r="CF4" s="68">
        <f t="array" ref="CF4">IF($D4,SUMPRODUCT((economics!$AG$2:$AG$167=$B4)*(economics!$D$2:$D$167="process")*economics!$AI$2:$AI$167*_xlfn.NORM.DIST(CF$3,economics!$AK$2:$AK$167,economics!$AJ$2:$AJ$167,TRUE)),0)</f>
        <v/>
      </c>
      <c r="CG4" s="68">
        <f t="array" ref="CG4">IF($D4,SUMPRODUCT((economics!$AG$2:$AG$167=$B4)*(economics!$D$2:$D$167="process")*economics!$AI$2:$AI$167*_xlfn.NORM.DIST(CG$3,economics!$AK$2:$AK$167,economics!$AJ$2:$AJ$167,TRUE)),0)</f>
        <v/>
      </c>
      <c r="CH4" s="68">
        <f t="array" ref="CH4">IF($D4,SUMPRODUCT((economics!$AG$2:$AG$167=$B4)*(economics!$D$2:$D$167="process")*economics!$AI$2:$AI$167*_xlfn.NORM.DIST(CH$3,economics!$AK$2:$AK$167,economics!$AJ$2:$AJ$167,TRUE)),0)</f>
        <v/>
      </c>
    </row>
    <row r="5">
      <c r="A5">
        <f>WHRPbI!A3</f>
        <v/>
      </c>
      <c r="B5" t="n">
        <v>5</v>
      </c>
      <c r="C5" s="68">
        <f>WHRPbI!B3</f>
        <v/>
      </c>
      <c r="D5">
        <f>ISNUMBER(MATCH($B5,'energy base (MECS)'!$K$4:$K$9,0))</f>
        <v/>
      </c>
      <c r="E5" s="68">
        <f t="array" ref="E5">IF($D5,SUMPRODUCT((economics!$AG$2:$AG$167=$B5)*(economics!$D$2:$D$167="process")*economics!$AI$2:$AI$167*_xlfn.NORM.DIST(E$3,economics!$AK$2:$AK$167,economics!$AJ$2:$AJ$167,TRUE)),0)</f>
        <v/>
      </c>
      <c r="F5" s="68">
        <f t="array" ref="F5">IF($D5,SUMPRODUCT((economics!$AG$2:$AG$167=$B5)*(economics!$D$2:$D$167="process")*economics!$AI$2:$AI$167*_xlfn.NORM.DIST(F$3,economics!$AK$2:$AK$167,economics!$AJ$2:$AJ$167,TRUE)),0)</f>
        <v/>
      </c>
      <c r="G5" s="68">
        <f t="array" ref="G5">IF($D5,SUMPRODUCT((economics!$AG$2:$AG$167=$B5)*(economics!$D$2:$D$167="process")*economics!$AI$2:$AI$167*_xlfn.NORM.DIST(G$3,economics!$AK$2:$AK$167,economics!$AJ$2:$AJ$167,TRUE)),0)</f>
        <v/>
      </c>
      <c r="H5" s="68">
        <f t="array" ref="H5">IF($D5,SUMPRODUCT((economics!$AG$2:$AG$167=$B5)*(economics!$D$2:$D$167="process")*economics!$AI$2:$AI$167*_xlfn.NORM.DIST(H$3,economics!$AK$2:$AK$167,economics!$AJ$2:$AJ$167,TRUE)),0)</f>
        <v/>
      </c>
      <c r="I5" s="68">
        <f t="array" ref="I5">IF($D5,SUMPRODUCT((economics!$AG$2:$AG$167=$B5)*(economics!$D$2:$D$167="process")*economics!$AI$2:$AI$167*_xlfn.NORM.DIST(I$3,economics!$AK$2:$AK$167,economics!$AJ$2:$AJ$167,TRUE)),0)</f>
        <v/>
      </c>
      <c r="J5" s="68">
        <f t="array" ref="J5">IF($D5,SUMPRODUCT((economics!$AG$2:$AG$167=$B5)*(economics!$D$2:$D$167="process")*economics!$AI$2:$AI$167*_xlfn.NORM.DIST(J$3,economics!$AK$2:$AK$167,economics!$AJ$2:$AJ$167,TRUE)),0)</f>
        <v/>
      </c>
      <c r="K5" s="68">
        <f t="array" ref="K5">IF($D5,SUMPRODUCT((economics!$AG$2:$AG$167=$B5)*(economics!$D$2:$D$167="process")*economics!$AI$2:$AI$167*_xlfn.NORM.DIST(K$3,economics!$AK$2:$AK$167,economics!$AJ$2:$AJ$167,TRUE)),0)</f>
        <v/>
      </c>
      <c r="L5" s="68">
        <f t="array" ref="L5">IF($D5,SUMPRODUCT((economics!$AG$2:$AG$167=$B5)*(economics!$D$2:$D$167="process")*economics!$AI$2:$AI$167*_xlfn.NORM.DIST(L$3,economics!$AK$2:$AK$167,economics!$AJ$2:$AJ$167,TRUE)),0)</f>
        <v/>
      </c>
      <c r="M5" s="68">
        <f t="array" ref="M5">IF($D5,SUMPRODUCT((economics!$AG$2:$AG$167=$B5)*(economics!$D$2:$D$167="process")*economics!$AI$2:$AI$167*_xlfn.NORM.DIST(M$3,economics!$AK$2:$AK$167,economics!$AJ$2:$AJ$167,TRUE)),0)</f>
        <v/>
      </c>
      <c r="N5" s="68">
        <f t="array" ref="N5">IF($D5,SUMPRODUCT((economics!$AG$2:$AG$167=$B5)*(economics!$D$2:$D$167="process")*economics!$AI$2:$AI$167*_xlfn.NORM.DIST(N$3,economics!$AK$2:$AK$167,economics!$AJ$2:$AJ$167,TRUE)),0)</f>
        <v/>
      </c>
      <c r="O5" s="68">
        <f t="array" ref="O5">IF($D5,SUMPRODUCT((economics!$AG$2:$AG$167=$B5)*(economics!$D$2:$D$167="process")*economics!$AI$2:$AI$167*_xlfn.NORM.DIST(O$3,economics!$AK$2:$AK$167,economics!$AJ$2:$AJ$167,TRUE)),0)</f>
        <v/>
      </c>
      <c r="P5" s="68">
        <f t="array" ref="P5">IF($D5,SUMPRODUCT((economics!$AG$2:$AG$167=$B5)*(economics!$D$2:$D$167="process")*economics!$AI$2:$AI$167*_xlfn.NORM.DIST(P$3,economics!$AK$2:$AK$167,economics!$AJ$2:$AJ$167,TRUE)),0)</f>
        <v/>
      </c>
      <c r="Q5" s="68">
        <f t="array" ref="Q5">IF($D5,SUMPRODUCT((economics!$AG$2:$AG$167=$B5)*(economics!$D$2:$D$167="process")*economics!$AI$2:$AI$167*_xlfn.NORM.DIST(Q$3,economics!$AK$2:$AK$167,economics!$AJ$2:$AJ$167,TRUE)),0)</f>
        <v/>
      </c>
      <c r="R5" s="68">
        <f t="array" ref="R5">IF($D5,SUMPRODUCT((economics!$AG$2:$AG$167=$B5)*(economics!$D$2:$D$167="process")*economics!$AI$2:$AI$167*_xlfn.NORM.DIST(R$3,economics!$AK$2:$AK$167,economics!$AJ$2:$AJ$167,TRUE)),0)</f>
        <v/>
      </c>
      <c r="S5" s="68">
        <f t="array" ref="S5">IF($D5,SUMPRODUCT((economics!$AG$2:$AG$167=$B5)*(economics!$D$2:$D$167="process")*economics!$AI$2:$AI$167*_xlfn.NORM.DIST(S$3,economics!$AK$2:$AK$167,economics!$AJ$2:$AJ$167,TRUE)),0)</f>
        <v/>
      </c>
      <c r="T5" s="68">
        <f t="array" ref="T5">IF($D5,SUMPRODUCT((economics!$AG$2:$AG$167=$B5)*(economics!$D$2:$D$167="process")*economics!$AI$2:$AI$167*_xlfn.NORM.DIST(T$3,economics!$AK$2:$AK$167,economics!$AJ$2:$AJ$167,TRUE)),0)</f>
        <v/>
      </c>
      <c r="U5" s="68">
        <f t="array" ref="U5">IF($D5,SUMPRODUCT((economics!$AG$2:$AG$167=$B5)*(economics!$D$2:$D$167="process")*economics!$AI$2:$AI$167*_xlfn.NORM.DIST(U$3,economics!$AK$2:$AK$167,economics!$AJ$2:$AJ$167,TRUE)),0)</f>
        <v/>
      </c>
      <c r="V5" s="68">
        <f t="array" ref="V5">IF($D5,SUMPRODUCT((economics!$AG$2:$AG$167=$B5)*(economics!$D$2:$D$167="process")*economics!$AI$2:$AI$167*_xlfn.NORM.DIST(V$3,economics!$AK$2:$AK$167,economics!$AJ$2:$AJ$167,TRUE)),0)</f>
        <v/>
      </c>
      <c r="W5" s="68">
        <f t="array" ref="W5">IF($D5,SUMPRODUCT((economics!$AG$2:$AG$167=$B5)*(economics!$D$2:$D$167="process")*economics!$AI$2:$AI$167*_xlfn.NORM.DIST(W$3,economics!$AK$2:$AK$167,economics!$AJ$2:$AJ$167,TRUE)),0)</f>
        <v/>
      </c>
      <c r="X5" s="68">
        <f t="array" ref="X5">IF($D5,SUMPRODUCT((economics!$AG$2:$AG$167=$B5)*(economics!$D$2:$D$167="process")*economics!$AI$2:$AI$167*_xlfn.NORM.DIST(X$3,economics!$AK$2:$AK$167,economics!$AJ$2:$AJ$167,TRUE)),0)</f>
        <v/>
      </c>
      <c r="Y5" s="68">
        <f t="array" ref="Y5">IF($D5,SUMPRODUCT((economics!$AG$2:$AG$167=$B5)*(economics!$D$2:$D$167="process")*economics!$AI$2:$AI$167*_xlfn.NORM.DIST(Y$3,economics!$AK$2:$AK$167,economics!$AJ$2:$AJ$167,TRUE)),0)</f>
        <v/>
      </c>
      <c r="Z5" s="68">
        <f t="array" ref="Z5">IF($D5,SUMPRODUCT((economics!$AG$2:$AG$167=$B5)*(economics!$D$2:$D$167="process")*economics!$AI$2:$AI$167*_xlfn.NORM.DIST(Z$3,economics!$AK$2:$AK$167,economics!$AJ$2:$AJ$167,TRUE)),0)</f>
        <v/>
      </c>
      <c r="AA5" s="68">
        <f t="array" ref="AA5">IF($D5,SUMPRODUCT((economics!$AG$2:$AG$167=$B5)*(economics!$D$2:$D$167="process")*economics!$AI$2:$AI$167*_xlfn.NORM.DIST(AA$3,economics!$AK$2:$AK$167,economics!$AJ$2:$AJ$167,TRUE)),0)</f>
        <v/>
      </c>
      <c r="AB5" s="68">
        <f t="array" ref="AB5">IF($D5,SUMPRODUCT((economics!$AG$2:$AG$167=$B5)*(economics!$D$2:$D$167="process")*economics!$AI$2:$AI$167*_xlfn.NORM.DIST(AB$3,economics!$AK$2:$AK$167,economics!$AJ$2:$AJ$167,TRUE)),0)</f>
        <v/>
      </c>
      <c r="AC5" s="68">
        <f t="array" ref="AC5">IF($D5,SUMPRODUCT((economics!$AG$2:$AG$167=$B5)*(economics!$D$2:$D$167="process")*economics!$AI$2:$AI$167*_xlfn.NORM.DIST(AC$3,economics!$AK$2:$AK$167,economics!$AJ$2:$AJ$167,TRUE)),0)</f>
        <v/>
      </c>
      <c r="AD5" s="68">
        <f t="array" ref="AD5">IF($D5,SUMPRODUCT((economics!$AG$2:$AG$167=$B5)*(economics!$D$2:$D$167="process")*economics!$AI$2:$AI$167*_xlfn.NORM.DIST(AD$3,economics!$AK$2:$AK$167,economics!$AJ$2:$AJ$167,TRUE)),0)</f>
        <v/>
      </c>
      <c r="AE5" s="68">
        <f t="array" ref="AE5">IF($D5,SUMPRODUCT((economics!$AG$2:$AG$167=$B5)*(economics!$D$2:$D$167="process")*economics!$AI$2:$AI$167*_xlfn.NORM.DIST(AE$3,economics!$AK$2:$AK$167,economics!$AJ$2:$AJ$167,TRUE)),0)</f>
        <v/>
      </c>
      <c r="AF5" s="68">
        <f t="array" ref="AF5">IF($D5,SUMPRODUCT((economics!$AG$2:$AG$167=$B5)*(economics!$D$2:$D$167="process")*economics!$AI$2:$AI$167*_xlfn.NORM.DIST(AF$3,economics!$AK$2:$AK$167,economics!$AJ$2:$AJ$167,TRUE)),0)</f>
        <v/>
      </c>
      <c r="AG5" s="68">
        <f t="array" ref="AG5">IF($D5,SUMPRODUCT((economics!$AG$2:$AG$167=$B5)*(economics!$D$2:$D$167="process")*economics!$AI$2:$AI$167*_xlfn.NORM.DIST(AG$3,economics!$AK$2:$AK$167,economics!$AJ$2:$AJ$167,TRUE)),0)</f>
        <v/>
      </c>
      <c r="AH5" s="68">
        <f t="array" ref="AH5">IF($D5,SUMPRODUCT((economics!$AG$2:$AG$167=$B5)*(economics!$D$2:$D$167="process")*economics!$AI$2:$AI$167*_xlfn.NORM.DIST(AH$3,economics!$AK$2:$AK$167,economics!$AJ$2:$AJ$167,TRUE)),0)</f>
        <v/>
      </c>
      <c r="AI5" s="68">
        <f t="array" ref="AI5">IF($D5,SUMPRODUCT((economics!$AG$2:$AG$167=$B5)*(economics!$D$2:$D$167="process")*economics!$AI$2:$AI$167*_xlfn.NORM.DIST(AI$3,economics!$AK$2:$AK$167,economics!$AJ$2:$AJ$167,TRUE)),0)</f>
        <v/>
      </c>
      <c r="AJ5" s="68">
        <f t="array" ref="AJ5">IF($D5,SUMPRODUCT((economics!$AG$2:$AG$167=$B5)*(economics!$D$2:$D$167="process")*economics!$AI$2:$AI$167*_xlfn.NORM.DIST(AJ$3,economics!$AK$2:$AK$167,economics!$AJ$2:$AJ$167,TRUE)),0)</f>
        <v/>
      </c>
      <c r="AK5" s="68">
        <f t="array" ref="AK5">IF($D5,SUMPRODUCT((economics!$AG$2:$AG$167=$B5)*(economics!$D$2:$D$167="process")*economics!$AI$2:$AI$167*_xlfn.NORM.DIST(AK$3,economics!$AK$2:$AK$167,economics!$AJ$2:$AJ$167,TRUE)),0)</f>
        <v/>
      </c>
      <c r="AL5" s="68">
        <f t="array" ref="AL5">IF($D5,SUMPRODUCT((economics!$AG$2:$AG$167=$B5)*(economics!$D$2:$D$167="process")*economics!$AI$2:$AI$167*_xlfn.NORM.DIST(AL$3,economics!$AK$2:$AK$167,economics!$AJ$2:$AJ$167,TRUE)),0)</f>
        <v/>
      </c>
      <c r="AM5" s="68">
        <f t="array" ref="AM5">IF($D5,SUMPRODUCT((economics!$AG$2:$AG$167=$B5)*(economics!$D$2:$D$167="process")*economics!$AI$2:$AI$167*_xlfn.NORM.DIST(AM$3,economics!$AK$2:$AK$167,economics!$AJ$2:$AJ$167,TRUE)),0)</f>
        <v/>
      </c>
      <c r="AN5" s="68">
        <f t="array" ref="AN5">IF($D5,SUMPRODUCT((economics!$AG$2:$AG$167=$B5)*(economics!$D$2:$D$167="process")*economics!$AI$2:$AI$167*_xlfn.NORM.DIST(AN$3,economics!$AK$2:$AK$167,economics!$AJ$2:$AJ$167,TRUE)),0)</f>
        <v/>
      </c>
      <c r="AO5" s="68">
        <f t="array" ref="AO5">IF($D5,SUMPRODUCT((economics!$AG$2:$AG$167=$B5)*(economics!$D$2:$D$167="process")*economics!$AI$2:$AI$167*_xlfn.NORM.DIST(AO$3,economics!$AK$2:$AK$167,economics!$AJ$2:$AJ$167,TRUE)),0)</f>
        <v/>
      </c>
      <c r="AP5" s="68">
        <f t="array" ref="AP5">IF($D5,SUMPRODUCT((economics!$AG$2:$AG$167=$B5)*(economics!$D$2:$D$167="process")*economics!$AI$2:$AI$167*_xlfn.NORM.DIST(AP$3,economics!$AK$2:$AK$167,economics!$AJ$2:$AJ$167,TRUE)),0)</f>
        <v/>
      </c>
      <c r="AQ5" s="68">
        <f t="array" ref="AQ5">IF($D5,SUMPRODUCT((economics!$AG$2:$AG$167=$B5)*(economics!$D$2:$D$167="process")*economics!$AI$2:$AI$167*_xlfn.NORM.DIST(AQ$3,economics!$AK$2:$AK$167,economics!$AJ$2:$AJ$167,TRUE)),0)</f>
        <v/>
      </c>
      <c r="AR5" s="68">
        <f t="array" ref="AR5">IF($D5,SUMPRODUCT((economics!$AG$2:$AG$167=$B5)*(economics!$D$2:$D$167="process")*economics!$AI$2:$AI$167*_xlfn.NORM.DIST(AR$3,economics!$AK$2:$AK$167,economics!$AJ$2:$AJ$167,TRUE)),0)</f>
        <v/>
      </c>
      <c r="AS5" s="68">
        <f t="array" ref="AS5">IF($D5,SUMPRODUCT((economics!$AG$2:$AG$167=$B5)*(economics!$D$2:$D$167="process")*economics!$AI$2:$AI$167*_xlfn.NORM.DIST(AS$3,economics!$AK$2:$AK$167,economics!$AJ$2:$AJ$167,TRUE)),0)</f>
        <v/>
      </c>
      <c r="AT5" s="68">
        <f t="array" ref="AT5">IF($D5,SUMPRODUCT((economics!$AG$2:$AG$167=$B5)*(economics!$D$2:$D$167="process")*economics!$AI$2:$AI$167*_xlfn.NORM.DIST(AT$3,economics!$AK$2:$AK$167,economics!$AJ$2:$AJ$167,TRUE)),0)</f>
        <v/>
      </c>
      <c r="AU5" s="68">
        <f t="array" ref="AU5">IF($D5,SUMPRODUCT((economics!$AG$2:$AG$167=$B5)*(economics!$D$2:$D$167="process")*economics!$AI$2:$AI$167*_xlfn.NORM.DIST(AU$3,economics!$AK$2:$AK$167,economics!$AJ$2:$AJ$167,TRUE)),0)</f>
        <v/>
      </c>
      <c r="AV5" s="68">
        <f t="array" ref="AV5">IF($D5,SUMPRODUCT((economics!$AG$2:$AG$167=$B5)*(economics!$D$2:$D$167="process")*economics!$AI$2:$AI$167*_xlfn.NORM.DIST(AV$3,economics!$AK$2:$AK$167,economics!$AJ$2:$AJ$167,TRUE)),0)</f>
        <v/>
      </c>
      <c r="AW5" s="68">
        <f t="array" ref="AW5">IF($D5,SUMPRODUCT((economics!$AG$2:$AG$167=$B5)*(economics!$D$2:$D$167="process")*economics!$AI$2:$AI$167*_xlfn.NORM.DIST(AW$3,economics!$AK$2:$AK$167,economics!$AJ$2:$AJ$167,TRUE)),0)</f>
        <v/>
      </c>
      <c r="AX5" s="68">
        <f t="array" ref="AX5">IF($D5,SUMPRODUCT((economics!$AG$2:$AG$167=$B5)*(economics!$D$2:$D$167="process")*economics!$AI$2:$AI$167*_xlfn.NORM.DIST(AX$3,economics!$AK$2:$AK$167,economics!$AJ$2:$AJ$167,TRUE)),0)</f>
        <v/>
      </c>
      <c r="AY5" s="68">
        <f t="array" ref="AY5">IF($D5,SUMPRODUCT((economics!$AG$2:$AG$167=$B5)*(economics!$D$2:$D$167="process")*economics!$AI$2:$AI$167*_xlfn.NORM.DIST(AY$3,economics!$AK$2:$AK$167,economics!$AJ$2:$AJ$167,TRUE)),0)</f>
        <v/>
      </c>
      <c r="AZ5" s="68">
        <f t="array" ref="AZ5">IF($D5,SUMPRODUCT((economics!$AG$2:$AG$167=$B5)*(economics!$D$2:$D$167="process")*economics!$AI$2:$AI$167*_xlfn.NORM.DIST(AZ$3,economics!$AK$2:$AK$167,economics!$AJ$2:$AJ$167,TRUE)),0)</f>
        <v/>
      </c>
      <c r="BA5" s="68">
        <f t="array" ref="BA5">IF($D5,SUMPRODUCT((economics!$AG$2:$AG$167=$B5)*(economics!$D$2:$D$167="process")*economics!$AI$2:$AI$167*_xlfn.NORM.DIST(BA$3,economics!$AK$2:$AK$167,economics!$AJ$2:$AJ$167,TRUE)),0)</f>
        <v/>
      </c>
      <c r="BB5" s="68">
        <f t="array" ref="BB5">IF($D5,SUMPRODUCT((economics!$AG$2:$AG$167=$B5)*(economics!$D$2:$D$167="process")*economics!$AI$2:$AI$167*_xlfn.NORM.DIST(BB$3,economics!$AK$2:$AK$167,economics!$AJ$2:$AJ$167,TRUE)),0)</f>
        <v/>
      </c>
      <c r="BC5" s="68">
        <f t="array" ref="BC5">IF($D5,SUMPRODUCT((economics!$AG$2:$AG$167=$B5)*(economics!$D$2:$D$167="process")*economics!$AI$2:$AI$167*_xlfn.NORM.DIST(BC$3,economics!$AK$2:$AK$167,economics!$AJ$2:$AJ$167,TRUE)),0)</f>
        <v/>
      </c>
      <c r="BD5" s="68">
        <f t="array" ref="BD5">IF($D5,SUMPRODUCT((economics!$AG$2:$AG$167=$B5)*(economics!$D$2:$D$167="process")*economics!$AI$2:$AI$167*_xlfn.NORM.DIST(BD$3,economics!$AK$2:$AK$167,economics!$AJ$2:$AJ$167,TRUE)),0)</f>
        <v/>
      </c>
      <c r="BE5" s="68">
        <f t="array" ref="BE5">IF($D5,SUMPRODUCT((economics!$AG$2:$AG$167=$B5)*(economics!$D$2:$D$167="process")*economics!$AI$2:$AI$167*_xlfn.NORM.DIST(BE$3,economics!$AK$2:$AK$167,economics!$AJ$2:$AJ$167,TRUE)),0)</f>
        <v/>
      </c>
      <c r="BF5" s="68">
        <f t="array" ref="BF5">IF($D5,SUMPRODUCT((economics!$AG$2:$AG$167=$B5)*(economics!$D$2:$D$167="process")*economics!$AI$2:$AI$167*_xlfn.NORM.DIST(BF$3,economics!$AK$2:$AK$167,economics!$AJ$2:$AJ$167,TRUE)),0)</f>
        <v/>
      </c>
      <c r="BG5" s="68">
        <f t="array" ref="BG5">IF($D5,SUMPRODUCT((economics!$AG$2:$AG$167=$B5)*(economics!$D$2:$D$167="process")*economics!$AI$2:$AI$167*_xlfn.NORM.DIST(BG$3,economics!$AK$2:$AK$167,economics!$AJ$2:$AJ$167,TRUE)),0)</f>
        <v/>
      </c>
      <c r="BH5" s="68">
        <f t="array" ref="BH5">IF($D5,SUMPRODUCT((economics!$AG$2:$AG$167=$B5)*(economics!$D$2:$D$167="process")*economics!$AI$2:$AI$167*_xlfn.NORM.DIST(BH$3,economics!$AK$2:$AK$167,economics!$AJ$2:$AJ$167,TRUE)),0)</f>
        <v/>
      </c>
      <c r="BI5" s="68">
        <f t="array" ref="BI5">IF($D5,SUMPRODUCT((economics!$AG$2:$AG$167=$B5)*(economics!$D$2:$D$167="process")*economics!$AI$2:$AI$167*_xlfn.NORM.DIST(BI$3,economics!$AK$2:$AK$167,economics!$AJ$2:$AJ$167,TRUE)),0)</f>
        <v/>
      </c>
      <c r="BJ5" s="68">
        <f t="array" ref="BJ5">IF($D5,SUMPRODUCT((economics!$AG$2:$AG$167=$B5)*(economics!$D$2:$D$167="process")*economics!$AI$2:$AI$167*_xlfn.NORM.DIST(BJ$3,economics!$AK$2:$AK$167,economics!$AJ$2:$AJ$167,TRUE)),0)</f>
        <v/>
      </c>
      <c r="BK5" s="68">
        <f t="array" ref="BK5">IF($D5,SUMPRODUCT((economics!$AG$2:$AG$167=$B5)*(economics!$D$2:$D$167="process")*economics!$AI$2:$AI$167*_xlfn.NORM.DIST(BK$3,economics!$AK$2:$AK$167,economics!$AJ$2:$AJ$167,TRUE)),0)</f>
        <v/>
      </c>
      <c r="BL5" s="68">
        <f t="array" ref="BL5">IF($D5,SUMPRODUCT((economics!$AG$2:$AG$167=$B5)*(economics!$D$2:$D$167="process")*economics!$AI$2:$AI$167*_xlfn.NORM.DIST(BL$3,economics!$AK$2:$AK$167,economics!$AJ$2:$AJ$167,TRUE)),0)</f>
        <v/>
      </c>
      <c r="BM5" s="68">
        <f t="array" ref="BM5">IF($D5,SUMPRODUCT((economics!$AG$2:$AG$167=$B5)*(economics!$D$2:$D$167="process")*economics!$AI$2:$AI$167*_xlfn.NORM.DIST(BM$3,economics!$AK$2:$AK$167,economics!$AJ$2:$AJ$167,TRUE)),0)</f>
        <v/>
      </c>
      <c r="BN5" s="68">
        <f t="array" ref="BN5">IF($D5,SUMPRODUCT((economics!$AG$2:$AG$167=$B5)*(economics!$D$2:$D$167="process")*economics!$AI$2:$AI$167*_xlfn.NORM.DIST(BN$3,economics!$AK$2:$AK$167,economics!$AJ$2:$AJ$167,TRUE)),0)</f>
        <v/>
      </c>
      <c r="BO5" s="68">
        <f t="array" ref="BO5">IF($D5,SUMPRODUCT((economics!$AG$2:$AG$167=$B5)*(economics!$D$2:$D$167="process")*economics!$AI$2:$AI$167*_xlfn.NORM.DIST(BO$3,economics!$AK$2:$AK$167,economics!$AJ$2:$AJ$167,TRUE)),0)</f>
        <v/>
      </c>
      <c r="BP5" s="68">
        <f t="array" ref="BP5">IF($D5,SUMPRODUCT((economics!$AG$2:$AG$167=$B5)*(economics!$D$2:$D$167="process")*economics!$AI$2:$AI$167*_xlfn.NORM.DIST(BP$3,economics!$AK$2:$AK$167,economics!$AJ$2:$AJ$167,TRUE)),0)</f>
        <v/>
      </c>
      <c r="BQ5" s="68">
        <f t="array" ref="BQ5">IF($D5,SUMPRODUCT((economics!$AG$2:$AG$167=$B5)*(economics!$D$2:$D$167="process")*economics!$AI$2:$AI$167*_xlfn.NORM.DIST(BQ$3,economics!$AK$2:$AK$167,economics!$AJ$2:$AJ$167,TRUE)),0)</f>
        <v/>
      </c>
      <c r="BR5" s="68">
        <f t="array" ref="BR5">IF($D5,SUMPRODUCT((economics!$AG$2:$AG$167=$B5)*(economics!$D$2:$D$167="process")*economics!$AI$2:$AI$167*_xlfn.NORM.DIST(BR$3,economics!$AK$2:$AK$167,economics!$AJ$2:$AJ$167,TRUE)),0)</f>
        <v/>
      </c>
      <c r="BS5" s="68">
        <f t="array" ref="BS5">IF($D5,SUMPRODUCT((economics!$AG$2:$AG$167=$B5)*(economics!$D$2:$D$167="process")*economics!$AI$2:$AI$167*_xlfn.NORM.DIST(BS$3,economics!$AK$2:$AK$167,economics!$AJ$2:$AJ$167,TRUE)),0)</f>
        <v/>
      </c>
      <c r="BT5" s="68">
        <f t="array" ref="BT5">IF($D5,SUMPRODUCT((economics!$AG$2:$AG$167=$B5)*(economics!$D$2:$D$167="process")*economics!$AI$2:$AI$167*_xlfn.NORM.DIST(BT$3,economics!$AK$2:$AK$167,economics!$AJ$2:$AJ$167,TRUE)),0)</f>
        <v/>
      </c>
      <c r="BU5" s="68">
        <f t="array" ref="BU5">IF($D5,SUMPRODUCT((economics!$AG$2:$AG$167=$B5)*(economics!$D$2:$D$167="process")*economics!$AI$2:$AI$167*_xlfn.NORM.DIST(BU$3,economics!$AK$2:$AK$167,economics!$AJ$2:$AJ$167,TRUE)),0)</f>
        <v/>
      </c>
      <c r="BV5" s="68">
        <f t="array" ref="BV5">IF($D5,SUMPRODUCT((economics!$AG$2:$AG$167=$B5)*(economics!$D$2:$D$167="process")*economics!$AI$2:$AI$167*_xlfn.NORM.DIST(BV$3,economics!$AK$2:$AK$167,economics!$AJ$2:$AJ$167,TRUE)),0)</f>
        <v/>
      </c>
      <c r="BW5" s="68">
        <f t="array" ref="BW5">IF($D5,SUMPRODUCT((economics!$AG$2:$AG$167=$B5)*(economics!$D$2:$D$167="process")*economics!$AI$2:$AI$167*_xlfn.NORM.DIST(BW$3,economics!$AK$2:$AK$167,economics!$AJ$2:$AJ$167,TRUE)),0)</f>
        <v/>
      </c>
      <c r="BX5" s="68">
        <f t="array" ref="BX5">IF($D5,SUMPRODUCT((economics!$AG$2:$AG$167=$B5)*(economics!$D$2:$D$167="process")*economics!$AI$2:$AI$167*_xlfn.NORM.DIST(BX$3,economics!$AK$2:$AK$167,economics!$AJ$2:$AJ$167,TRUE)),0)</f>
        <v/>
      </c>
      <c r="BY5" s="68">
        <f t="array" ref="BY5">IF($D5,SUMPRODUCT((economics!$AG$2:$AG$167=$B5)*(economics!$D$2:$D$167="process")*economics!$AI$2:$AI$167*_xlfn.NORM.DIST(BY$3,economics!$AK$2:$AK$167,economics!$AJ$2:$AJ$167,TRUE)),0)</f>
        <v/>
      </c>
      <c r="BZ5" s="68">
        <f t="array" ref="BZ5">IF($D5,SUMPRODUCT((economics!$AG$2:$AG$167=$B5)*(economics!$D$2:$D$167="process")*economics!$AI$2:$AI$167*_xlfn.NORM.DIST(BZ$3,economics!$AK$2:$AK$167,economics!$AJ$2:$AJ$167,TRUE)),0)</f>
        <v/>
      </c>
      <c r="CA5" s="68">
        <f t="array" ref="CA5">IF($D5,SUMPRODUCT((economics!$AG$2:$AG$167=$B5)*(economics!$D$2:$D$167="process")*economics!$AI$2:$AI$167*_xlfn.NORM.DIST(CA$3,economics!$AK$2:$AK$167,economics!$AJ$2:$AJ$167,TRUE)),0)</f>
        <v/>
      </c>
      <c r="CB5" s="68">
        <f t="array" ref="CB5">IF($D5,SUMPRODUCT((economics!$AG$2:$AG$167=$B5)*(economics!$D$2:$D$167="process")*economics!$AI$2:$AI$167*_xlfn.NORM.DIST(CB$3,economics!$AK$2:$AK$167,economics!$AJ$2:$AJ$167,TRUE)),0)</f>
        <v/>
      </c>
      <c r="CC5" s="68">
        <f t="array" ref="CC5">IF($D5,SUMPRODUCT((economics!$AG$2:$AG$167=$B5)*(economics!$D$2:$D$167="process")*economics!$AI$2:$AI$167*_xlfn.NORM.DIST(CC$3,economics!$AK$2:$AK$167,economics!$AJ$2:$AJ$167,TRUE)),0)</f>
        <v/>
      </c>
      <c r="CD5" s="68">
        <f t="array" ref="CD5">IF($D5,SUMPRODUCT((economics!$AG$2:$AG$167=$B5)*(economics!$D$2:$D$167="process")*economics!$AI$2:$AI$167*_xlfn.NORM.DIST(CD$3,economics!$AK$2:$AK$167,economics!$AJ$2:$AJ$167,TRUE)),0)</f>
        <v/>
      </c>
      <c r="CE5" s="68">
        <f t="array" ref="CE5">IF($D5,SUMPRODUCT((economics!$AG$2:$AG$167=$B5)*(economics!$D$2:$D$167="process")*economics!$AI$2:$AI$167*_xlfn.NORM.DIST(CE$3,economics!$AK$2:$AK$167,economics!$AJ$2:$AJ$167,TRUE)),0)</f>
        <v/>
      </c>
      <c r="CF5" s="68">
        <f t="array" ref="CF5">IF($D5,SUMPRODUCT((economics!$AG$2:$AG$167=$B5)*(economics!$D$2:$D$167="process")*economics!$AI$2:$AI$167*_xlfn.NORM.DIST(CF$3,economics!$AK$2:$AK$167,economics!$AJ$2:$AJ$167,TRUE)),0)</f>
        <v/>
      </c>
      <c r="CG5" s="68">
        <f t="array" ref="CG5">IF($D5,SUMPRODUCT((economics!$AG$2:$AG$167=$B5)*(economics!$D$2:$D$167="process")*economics!$AI$2:$AI$167*_xlfn.NORM.DIST(CG$3,economics!$AK$2:$AK$167,economics!$AJ$2:$AJ$167,TRUE)),0)</f>
        <v/>
      </c>
      <c r="CH5" s="68">
        <f t="array" ref="CH5">IF($D5,SUMPRODUCT((economics!$AG$2:$AG$167=$B5)*(economics!$D$2:$D$167="process")*economics!$AI$2:$AI$167*_xlfn.NORM.DIST(CH$3,economics!$AK$2:$AK$167,economics!$AJ$2:$AJ$167,TRUE)),0)</f>
        <v/>
      </c>
    </row>
    <row r="6">
      <c r="A6">
        <f>WHRPbI!A4</f>
        <v/>
      </c>
      <c r="B6" t="n">
        <v>6</v>
      </c>
      <c r="C6" s="68">
        <f>WHRPbI!B4</f>
        <v/>
      </c>
      <c r="D6">
        <f>ISNUMBER(MATCH($B6,'energy base (MECS)'!$K$4:$K$9,0))</f>
        <v/>
      </c>
      <c r="E6" s="68">
        <f t="array" ref="E6">IF($D6,SUMPRODUCT((economics!$AG$2:$AG$167=$B6)*(economics!$D$2:$D$167="process")*economics!$AI$2:$AI$167*_xlfn.NORM.DIST(E$3,economics!$AK$2:$AK$167,economics!$AJ$2:$AJ$167,TRUE)),0)</f>
        <v/>
      </c>
      <c r="F6" s="68">
        <f t="array" ref="F6">IF($D6,SUMPRODUCT((economics!$AG$2:$AG$167=$B6)*(economics!$D$2:$D$167="process")*economics!$AI$2:$AI$167*_xlfn.NORM.DIST(F$3,economics!$AK$2:$AK$167,economics!$AJ$2:$AJ$167,TRUE)),0)</f>
        <v/>
      </c>
      <c r="G6" s="68">
        <f t="array" ref="G6">IF($D6,SUMPRODUCT((economics!$AG$2:$AG$167=$B6)*(economics!$D$2:$D$167="process")*economics!$AI$2:$AI$167*_xlfn.NORM.DIST(G$3,economics!$AK$2:$AK$167,economics!$AJ$2:$AJ$167,TRUE)),0)</f>
        <v/>
      </c>
      <c r="H6" s="68">
        <f t="array" ref="H6">IF($D6,SUMPRODUCT((economics!$AG$2:$AG$167=$B6)*(economics!$D$2:$D$167="process")*economics!$AI$2:$AI$167*_xlfn.NORM.DIST(H$3,economics!$AK$2:$AK$167,economics!$AJ$2:$AJ$167,TRUE)),0)</f>
        <v/>
      </c>
      <c r="I6" s="68">
        <f t="array" ref="I6">IF($D6,SUMPRODUCT((economics!$AG$2:$AG$167=$B6)*(economics!$D$2:$D$167="process")*economics!$AI$2:$AI$167*_xlfn.NORM.DIST(I$3,economics!$AK$2:$AK$167,economics!$AJ$2:$AJ$167,TRUE)),0)</f>
        <v/>
      </c>
      <c r="J6" s="68">
        <f t="array" ref="J6">IF($D6,SUMPRODUCT((economics!$AG$2:$AG$167=$B6)*(economics!$D$2:$D$167="process")*economics!$AI$2:$AI$167*_xlfn.NORM.DIST(J$3,economics!$AK$2:$AK$167,economics!$AJ$2:$AJ$167,TRUE)),0)</f>
        <v/>
      </c>
      <c r="K6" s="68">
        <f t="array" ref="K6">IF($D6,SUMPRODUCT((economics!$AG$2:$AG$167=$B6)*(economics!$D$2:$D$167="process")*economics!$AI$2:$AI$167*_xlfn.NORM.DIST(K$3,economics!$AK$2:$AK$167,economics!$AJ$2:$AJ$167,TRUE)),0)</f>
        <v/>
      </c>
      <c r="L6" s="68">
        <f t="array" ref="L6">IF($D6,SUMPRODUCT((economics!$AG$2:$AG$167=$B6)*(economics!$D$2:$D$167="process")*economics!$AI$2:$AI$167*_xlfn.NORM.DIST(L$3,economics!$AK$2:$AK$167,economics!$AJ$2:$AJ$167,TRUE)),0)</f>
        <v/>
      </c>
      <c r="M6" s="68">
        <f t="array" ref="M6">IF($D6,SUMPRODUCT((economics!$AG$2:$AG$167=$B6)*(economics!$D$2:$D$167="process")*economics!$AI$2:$AI$167*_xlfn.NORM.DIST(M$3,economics!$AK$2:$AK$167,economics!$AJ$2:$AJ$167,TRUE)),0)</f>
        <v/>
      </c>
      <c r="N6" s="68">
        <f t="array" ref="N6">IF($D6,SUMPRODUCT((economics!$AG$2:$AG$167=$B6)*(economics!$D$2:$D$167="process")*economics!$AI$2:$AI$167*_xlfn.NORM.DIST(N$3,economics!$AK$2:$AK$167,economics!$AJ$2:$AJ$167,TRUE)),0)</f>
        <v/>
      </c>
      <c r="O6" s="68">
        <f t="array" ref="O6">IF($D6,SUMPRODUCT((economics!$AG$2:$AG$167=$B6)*(economics!$D$2:$D$167="process")*economics!$AI$2:$AI$167*_xlfn.NORM.DIST(O$3,economics!$AK$2:$AK$167,economics!$AJ$2:$AJ$167,TRUE)),0)</f>
        <v/>
      </c>
      <c r="P6" s="68">
        <f t="array" ref="P6">IF($D6,SUMPRODUCT((economics!$AG$2:$AG$167=$B6)*(economics!$D$2:$D$167="process")*economics!$AI$2:$AI$167*_xlfn.NORM.DIST(P$3,economics!$AK$2:$AK$167,economics!$AJ$2:$AJ$167,TRUE)),0)</f>
        <v/>
      </c>
      <c r="Q6" s="68">
        <f t="array" ref="Q6">IF($D6,SUMPRODUCT((economics!$AG$2:$AG$167=$B6)*(economics!$D$2:$D$167="process")*economics!$AI$2:$AI$167*_xlfn.NORM.DIST(Q$3,economics!$AK$2:$AK$167,economics!$AJ$2:$AJ$167,TRUE)),0)</f>
        <v/>
      </c>
      <c r="R6" s="68">
        <f t="array" ref="R6">IF($D6,SUMPRODUCT((economics!$AG$2:$AG$167=$B6)*(economics!$D$2:$D$167="process")*economics!$AI$2:$AI$167*_xlfn.NORM.DIST(R$3,economics!$AK$2:$AK$167,economics!$AJ$2:$AJ$167,TRUE)),0)</f>
        <v/>
      </c>
      <c r="S6" s="68">
        <f t="array" ref="S6">IF($D6,SUMPRODUCT((economics!$AG$2:$AG$167=$B6)*(economics!$D$2:$D$167="process")*economics!$AI$2:$AI$167*_xlfn.NORM.DIST(S$3,economics!$AK$2:$AK$167,economics!$AJ$2:$AJ$167,TRUE)),0)</f>
        <v/>
      </c>
      <c r="T6" s="68">
        <f t="array" ref="T6">IF($D6,SUMPRODUCT((economics!$AG$2:$AG$167=$B6)*(economics!$D$2:$D$167="process")*economics!$AI$2:$AI$167*_xlfn.NORM.DIST(T$3,economics!$AK$2:$AK$167,economics!$AJ$2:$AJ$167,TRUE)),0)</f>
        <v/>
      </c>
      <c r="U6" s="68">
        <f t="array" ref="U6">IF($D6,SUMPRODUCT((economics!$AG$2:$AG$167=$B6)*(economics!$D$2:$D$167="process")*economics!$AI$2:$AI$167*_xlfn.NORM.DIST(U$3,economics!$AK$2:$AK$167,economics!$AJ$2:$AJ$167,TRUE)),0)</f>
        <v/>
      </c>
      <c r="V6" s="68">
        <f t="array" ref="V6">IF($D6,SUMPRODUCT((economics!$AG$2:$AG$167=$B6)*(economics!$D$2:$D$167="process")*economics!$AI$2:$AI$167*_xlfn.NORM.DIST(V$3,economics!$AK$2:$AK$167,economics!$AJ$2:$AJ$167,TRUE)),0)</f>
        <v/>
      </c>
      <c r="W6" s="68">
        <f t="array" ref="W6">IF($D6,SUMPRODUCT((economics!$AG$2:$AG$167=$B6)*(economics!$D$2:$D$167="process")*economics!$AI$2:$AI$167*_xlfn.NORM.DIST(W$3,economics!$AK$2:$AK$167,economics!$AJ$2:$AJ$167,TRUE)),0)</f>
        <v/>
      </c>
      <c r="X6" s="68">
        <f t="array" ref="X6">IF($D6,SUMPRODUCT((economics!$AG$2:$AG$167=$B6)*(economics!$D$2:$D$167="process")*economics!$AI$2:$AI$167*_xlfn.NORM.DIST(X$3,economics!$AK$2:$AK$167,economics!$AJ$2:$AJ$167,TRUE)),0)</f>
        <v/>
      </c>
      <c r="Y6" s="68">
        <f t="array" ref="Y6">IF($D6,SUMPRODUCT((economics!$AG$2:$AG$167=$B6)*(economics!$D$2:$D$167="process")*economics!$AI$2:$AI$167*_xlfn.NORM.DIST(Y$3,economics!$AK$2:$AK$167,economics!$AJ$2:$AJ$167,TRUE)),0)</f>
        <v/>
      </c>
      <c r="Z6" s="68">
        <f t="array" ref="Z6">IF($D6,SUMPRODUCT((economics!$AG$2:$AG$167=$B6)*(economics!$D$2:$D$167="process")*economics!$AI$2:$AI$167*_xlfn.NORM.DIST(Z$3,economics!$AK$2:$AK$167,economics!$AJ$2:$AJ$167,TRUE)),0)</f>
        <v/>
      </c>
      <c r="AA6" s="68">
        <f t="array" ref="AA6">IF($D6,SUMPRODUCT((economics!$AG$2:$AG$167=$B6)*(economics!$D$2:$D$167="process")*economics!$AI$2:$AI$167*_xlfn.NORM.DIST(AA$3,economics!$AK$2:$AK$167,economics!$AJ$2:$AJ$167,TRUE)),0)</f>
        <v/>
      </c>
      <c r="AB6" s="68">
        <f t="array" ref="AB6">IF($D6,SUMPRODUCT((economics!$AG$2:$AG$167=$B6)*(economics!$D$2:$D$167="process")*economics!$AI$2:$AI$167*_xlfn.NORM.DIST(AB$3,economics!$AK$2:$AK$167,economics!$AJ$2:$AJ$167,TRUE)),0)</f>
        <v/>
      </c>
      <c r="AC6" s="68">
        <f t="array" ref="AC6">IF($D6,SUMPRODUCT((economics!$AG$2:$AG$167=$B6)*(economics!$D$2:$D$167="process")*economics!$AI$2:$AI$167*_xlfn.NORM.DIST(AC$3,economics!$AK$2:$AK$167,economics!$AJ$2:$AJ$167,TRUE)),0)</f>
        <v/>
      </c>
      <c r="AD6" s="68">
        <f t="array" ref="AD6">IF($D6,SUMPRODUCT((economics!$AG$2:$AG$167=$B6)*(economics!$D$2:$D$167="process")*economics!$AI$2:$AI$167*_xlfn.NORM.DIST(AD$3,economics!$AK$2:$AK$167,economics!$AJ$2:$AJ$167,TRUE)),0)</f>
        <v/>
      </c>
      <c r="AE6" s="68">
        <f t="array" ref="AE6">IF($D6,SUMPRODUCT((economics!$AG$2:$AG$167=$B6)*(economics!$D$2:$D$167="process")*economics!$AI$2:$AI$167*_xlfn.NORM.DIST(AE$3,economics!$AK$2:$AK$167,economics!$AJ$2:$AJ$167,TRUE)),0)</f>
        <v/>
      </c>
      <c r="AF6" s="68">
        <f t="array" ref="AF6">IF($D6,SUMPRODUCT((economics!$AG$2:$AG$167=$B6)*(economics!$D$2:$D$167="process")*economics!$AI$2:$AI$167*_xlfn.NORM.DIST(AF$3,economics!$AK$2:$AK$167,economics!$AJ$2:$AJ$167,TRUE)),0)</f>
        <v/>
      </c>
      <c r="AG6" s="68">
        <f t="array" ref="AG6">IF($D6,SUMPRODUCT((economics!$AG$2:$AG$167=$B6)*(economics!$D$2:$D$167="process")*economics!$AI$2:$AI$167*_xlfn.NORM.DIST(AG$3,economics!$AK$2:$AK$167,economics!$AJ$2:$AJ$167,TRUE)),0)</f>
        <v/>
      </c>
      <c r="AH6" s="68">
        <f t="array" ref="AH6">IF($D6,SUMPRODUCT((economics!$AG$2:$AG$167=$B6)*(economics!$D$2:$D$167="process")*economics!$AI$2:$AI$167*_xlfn.NORM.DIST(AH$3,economics!$AK$2:$AK$167,economics!$AJ$2:$AJ$167,TRUE)),0)</f>
        <v/>
      </c>
      <c r="AI6" s="68">
        <f t="array" ref="AI6">IF($D6,SUMPRODUCT((economics!$AG$2:$AG$167=$B6)*(economics!$D$2:$D$167="process")*economics!$AI$2:$AI$167*_xlfn.NORM.DIST(AI$3,economics!$AK$2:$AK$167,economics!$AJ$2:$AJ$167,TRUE)),0)</f>
        <v/>
      </c>
      <c r="AJ6" s="68">
        <f t="array" ref="AJ6">IF($D6,SUMPRODUCT((economics!$AG$2:$AG$167=$B6)*(economics!$D$2:$D$167="process")*economics!$AI$2:$AI$167*_xlfn.NORM.DIST(AJ$3,economics!$AK$2:$AK$167,economics!$AJ$2:$AJ$167,TRUE)),0)</f>
        <v/>
      </c>
      <c r="AK6" s="68">
        <f t="array" ref="AK6">IF($D6,SUMPRODUCT((economics!$AG$2:$AG$167=$B6)*(economics!$D$2:$D$167="process")*economics!$AI$2:$AI$167*_xlfn.NORM.DIST(AK$3,economics!$AK$2:$AK$167,economics!$AJ$2:$AJ$167,TRUE)),0)</f>
        <v/>
      </c>
      <c r="AL6" s="68">
        <f t="array" ref="AL6">IF($D6,SUMPRODUCT((economics!$AG$2:$AG$167=$B6)*(economics!$D$2:$D$167="process")*economics!$AI$2:$AI$167*_xlfn.NORM.DIST(AL$3,economics!$AK$2:$AK$167,economics!$AJ$2:$AJ$167,TRUE)),0)</f>
        <v/>
      </c>
      <c r="AM6" s="68">
        <f t="array" ref="AM6">IF($D6,SUMPRODUCT((economics!$AG$2:$AG$167=$B6)*(economics!$D$2:$D$167="process")*economics!$AI$2:$AI$167*_xlfn.NORM.DIST(AM$3,economics!$AK$2:$AK$167,economics!$AJ$2:$AJ$167,TRUE)),0)</f>
        <v/>
      </c>
      <c r="AN6" s="68">
        <f t="array" ref="AN6">IF($D6,SUMPRODUCT((economics!$AG$2:$AG$167=$B6)*(economics!$D$2:$D$167="process")*economics!$AI$2:$AI$167*_xlfn.NORM.DIST(AN$3,economics!$AK$2:$AK$167,economics!$AJ$2:$AJ$167,TRUE)),0)</f>
        <v/>
      </c>
      <c r="AO6" s="68">
        <f t="array" ref="AO6">IF($D6,SUMPRODUCT((economics!$AG$2:$AG$167=$B6)*(economics!$D$2:$D$167="process")*economics!$AI$2:$AI$167*_xlfn.NORM.DIST(AO$3,economics!$AK$2:$AK$167,economics!$AJ$2:$AJ$167,TRUE)),0)</f>
        <v/>
      </c>
      <c r="AP6" s="68">
        <f t="array" ref="AP6">IF($D6,SUMPRODUCT((economics!$AG$2:$AG$167=$B6)*(economics!$D$2:$D$167="process")*economics!$AI$2:$AI$167*_xlfn.NORM.DIST(AP$3,economics!$AK$2:$AK$167,economics!$AJ$2:$AJ$167,TRUE)),0)</f>
        <v/>
      </c>
      <c r="AQ6" s="68">
        <f t="array" ref="AQ6">IF($D6,SUMPRODUCT((economics!$AG$2:$AG$167=$B6)*(economics!$D$2:$D$167="process")*economics!$AI$2:$AI$167*_xlfn.NORM.DIST(AQ$3,economics!$AK$2:$AK$167,economics!$AJ$2:$AJ$167,TRUE)),0)</f>
        <v/>
      </c>
      <c r="AR6" s="68">
        <f t="array" ref="AR6">IF($D6,SUMPRODUCT((economics!$AG$2:$AG$167=$B6)*(economics!$D$2:$D$167="process")*economics!$AI$2:$AI$167*_xlfn.NORM.DIST(AR$3,economics!$AK$2:$AK$167,economics!$AJ$2:$AJ$167,TRUE)),0)</f>
        <v/>
      </c>
      <c r="AS6" s="68">
        <f t="array" ref="AS6">IF($D6,SUMPRODUCT((economics!$AG$2:$AG$167=$B6)*(economics!$D$2:$D$167="process")*economics!$AI$2:$AI$167*_xlfn.NORM.DIST(AS$3,economics!$AK$2:$AK$167,economics!$AJ$2:$AJ$167,TRUE)),0)</f>
        <v/>
      </c>
      <c r="AT6" s="68">
        <f t="array" ref="AT6">IF($D6,SUMPRODUCT((economics!$AG$2:$AG$167=$B6)*(economics!$D$2:$D$167="process")*economics!$AI$2:$AI$167*_xlfn.NORM.DIST(AT$3,economics!$AK$2:$AK$167,economics!$AJ$2:$AJ$167,TRUE)),0)</f>
        <v/>
      </c>
      <c r="AU6" s="68">
        <f t="array" ref="AU6">IF($D6,SUMPRODUCT((economics!$AG$2:$AG$167=$B6)*(economics!$D$2:$D$167="process")*economics!$AI$2:$AI$167*_xlfn.NORM.DIST(AU$3,economics!$AK$2:$AK$167,economics!$AJ$2:$AJ$167,TRUE)),0)</f>
        <v/>
      </c>
      <c r="AV6" s="68">
        <f t="array" ref="AV6">IF($D6,SUMPRODUCT((economics!$AG$2:$AG$167=$B6)*(economics!$D$2:$D$167="process")*economics!$AI$2:$AI$167*_xlfn.NORM.DIST(AV$3,economics!$AK$2:$AK$167,economics!$AJ$2:$AJ$167,TRUE)),0)</f>
        <v/>
      </c>
      <c r="AW6" s="68">
        <f t="array" ref="AW6">IF($D6,SUMPRODUCT((economics!$AG$2:$AG$167=$B6)*(economics!$D$2:$D$167="process")*economics!$AI$2:$AI$167*_xlfn.NORM.DIST(AW$3,economics!$AK$2:$AK$167,economics!$AJ$2:$AJ$167,TRUE)),0)</f>
        <v/>
      </c>
      <c r="AX6" s="68">
        <f t="array" ref="AX6">IF($D6,SUMPRODUCT((economics!$AG$2:$AG$167=$B6)*(economics!$D$2:$D$167="process")*economics!$AI$2:$AI$167*_xlfn.NORM.DIST(AX$3,economics!$AK$2:$AK$167,economics!$AJ$2:$AJ$167,TRUE)),0)</f>
        <v/>
      </c>
      <c r="AY6" s="68">
        <f t="array" ref="AY6">IF($D6,SUMPRODUCT((economics!$AG$2:$AG$167=$B6)*(economics!$D$2:$D$167="process")*economics!$AI$2:$AI$167*_xlfn.NORM.DIST(AY$3,economics!$AK$2:$AK$167,economics!$AJ$2:$AJ$167,TRUE)),0)</f>
        <v/>
      </c>
      <c r="AZ6" s="68">
        <f t="array" ref="AZ6">IF($D6,SUMPRODUCT((economics!$AG$2:$AG$167=$B6)*(economics!$D$2:$D$167="process")*economics!$AI$2:$AI$167*_xlfn.NORM.DIST(AZ$3,economics!$AK$2:$AK$167,economics!$AJ$2:$AJ$167,TRUE)),0)</f>
        <v/>
      </c>
      <c r="BA6" s="68">
        <f t="array" ref="BA6">IF($D6,SUMPRODUCT((economics!$AG$2:$AG$167=$B6)*(economics!$D$2:$D$167="process")*economics!$AI$2:$AI$167*_xlfn.NORM.DIST(BA$3,economics!$AK$2:$AK$167,economics!$AJ$2:$AJ$167,TRUE)),0)</f>
        <v/>
      </c>
      <c r="BB6" s="68">
        <f t="array" ref="BB6">IF($D6,SUMPRODUCT((economics!$AG$2:$AG$167=$B6)*(economics!$D$2:$D$167="process")*economics!$AI$2:$AI$167*_xlfn.NORM.DIST(BB$3,economics!$AK$2:$AK$167,economics!$AJ$2:$AJ$167,TRUE)),0)</f>
        <v/>
      </c>
      <c r="BC6" s="68">
        <f t="array" ref="BC6">IF($D6,SUMPRODUCT((economics!$AG$2:$AG$167=$B6)*(economics!$D$2:$D$167="process")*economics!$AI$2:$AI$167*_xlfn.NORM.DIST(BC$3,economics!$AK$2:$AK$167,economics!$AJ$2:$AJ$167,TRUE)),0)</f>
        <v/>
      </c>
      <c r="BD6" s="68">
        <f t="array" ref="BD6">IF($D6,SUMPRODUCT((economics!$AG$2:$AG$167=$B6)*(economics!$D$2:$D$167="process")*economics!$AI$2:$AI$167*_xlfn.NORM.DIST(BD$3,economics!$AK$2:$AK$167,economics!$AJ$2:$AJ$167,TRUE)),0)</f>
        <v/>
      </c>
      <c r="BE6" s="68">
        <f t="array" ref="BE6">IF($D6,SUMPRODUCT((economics!$AG$2:$AG$167=$B6)*(economics!$D$2:$D$167="process")*economics!$AI$2:$AI$167*_xlfn.NORM.DIST(BE$3,economics!$AK$2:$AK$167,economics!$AJ$2:$AJ$167,TRUE)),0)</f>
        <v/>
      </c>
      <c r="BF6" s="68">
        <f t="array" ref="BF6">IF($D6,SUMPRODUCT((economics!$AG$2:$AG$167=$B6)*(economics!$D$2:$D$167="process")*economics!$AI$2:$AI$167*_xlfn.NORM.DIST(BF$3,economics!$AK$2:$AK$167,economics!$AJ$2:$AJ$167,TRUE)),0)</f>
        <v/>
      </c>
      <c r="BG6" s="68">
        <f t="array" ref="BG6">IF($D6,SUMPRODUCT((economics!$AG$2:$AG$167=$B6)*(economics!$D$2:$D$167="process")*economics!$AI$2:$AI$167*_xlfn.NORM.DIST(BG$3,economics!$AK$2:$AK$167,economics!$AJ$2:$AJ$167,TRUE)),0)</f>
        <v/>
      </c>
      <c r="BH6" s="68">
        <f t="array" ref="BH6">IF($D6,SUMPRODUCT((economics!$AG$2:$AG$167=$B6)*(economics!$D$2:$D$167="process")*economics!$AI$2:$AI$167*_xlfn.NORM.DIST(BH$3,economics!$AK$2:$AK$167,economics!$AJ$2:$AJ$167,TRUE)),0)</f>
        <v/>
      </c>
      <c r="BI6" s="68">
        <f t="array" ref="BI6">IF($D6,SUMPRODUCT((economics!$AG$2:$AG$167=$B6)*(economics!$D$2:$D$167="process")*economics!$AI$2:$AI$167*_xlfn.NORM.DIST(BI$3,economics!$AK$2:$AK$167,economics!$AJ$2:$AJ$167,TRUE)),0)</f>
        <v/>
      </c>
      <c r="BJ6" s="68">
        <f t="array" ref="BJ6">IF($D6,SUMPRODUCT((economics!$AG$2:$AG$167=$B6)*(economics!$D$2:$D$167="process")*economics!$AI$2:$AI$167*_xlfn.NORM.DIST(BJ$3,economics!$AK$2:$AK$167,economics!$AJ$2:$AJ$167,TRUE)),0)</f>
        <v/>
      </c>
      <c r="BK6" s="68">
        <f t="array" ref="BK6">IF($D6,SUMPRODUCT((economics!$AG$2:$AG$167=$B6)*(economics!$D$2:$D$167="process")*economics!$AI$2:$AI$167*_xlfn.NORM.DIST(BK$3,economics!$AK$2:$AK$167,economics!$AJ$2:$AJ$167,TRUE)),0)</f>
        <v/>
      </c>
      <c r="BL6" s="68">
        <f t="array" ref="BL6">IF($D6,SUMPRODUCT((economics!$AG$2:$AG$167=$B6)*(economics!$D$2:$D$167="process")*economics!$AI$2:$AI$167*_xlfn.NORM.DIST(BL$3,economics!$AK$2:$AK$167,economics!$AJ$2:$AJ$167,TRUE)),0)</f>
        <v/>
      </c>
      <c r="BM6" s="68">
        <f t="array" ref="BM6">IF($D6,SUMPRODUCT((economics!$AG$2:$AG$167=$B6)*(economics!$D$2:$D$167="process")*economics!$AI$2:$AI$167*_xlfn.NORM.DIST(BM$3,economics!$AK$2:$AK$167,economics!$AJ$2:$AJ$167,TRUE)),0)</f>
        <v/>
      </c>
      <c r="BN6" s="68">
        <f t="array" ref="BN6">IF($D6,SUMPRODUCT((economics!$AG$2:$AG$167=$B6)*(economics!$D$2:$D$167="process")*economics!$AI$2:$AI$167*_xlfn.NORM.DIST(BN$3,economics!$AK$2:$AK$167,economics!$AJ$2:$AJ$167,TRUE)),0)</f>
        <v/>
      </c>
      <c r="BO6" s="68">
        <f t="array" ref="BO6">IF($D6,SUMPRODUCT((economics!$AG$2:$AG$167=$B6)*(economics!$D$2:$D$167="process")*economics!$AI$2:$AI$167*_xlfn.NORM.DIST(BO$3,economics!$AK$2:$AK$167,economics!$AJ$2:$AJ$167,TRUE)),0)</f>
        <v/>
      </c>
      <c r="BP6" s="68">
        <f t="array" ref="BP6">IF($D6,SUMPRODUCT((economics!$AG$2:$AG$167=$B6)*(economics!$D$2:$D$167="process")*economics!$AI$2:$AI$167*_xlfn.NORM.DIST(BP$3,economics!$AK$2:$AK$167,economics!$AJ$2:$AJ$167,TRUE)),0)</f>
        <v/>
      </c>
      <c r="BQ6" s="68">
        <f t="array" ref="BQ6">IF($D6,SUMPRODUCT((economics!$AG$2:$AG$167=$B6)*(economics!$D$2:$D$167="process")*economics!$AI$2:$AI$167*_xlfn.NORM.DIST(BQ$3,economics!$AK$2:$AK$167,economics!$AJ$2:$AJ$167,TRUE)),0)</f>
        <v/>
      </c>
      <c r="BR6" s="68">
        <f t="array" ref="BR6">IF($D6,SUMPRODUCT((economics!$AG$2:$AG$167=$B6)*(economics!$D$2:$D$167="process")*economics!$AI$2:$AI$167*_xlfn.NORM.DIST(BR$3,economics!$AK$2:$AK$167,economics!$AJ$2:$AJ$167,TRUE)),0)</f>
        <v/>
      </c>
      <c r="BS6" s="68">
        <f t="array" ref="BS6">IF($D6,SUMPRODUCT((economics!$AG$2:$AG$167=$B6)*(economics!$D$2:$D$167="process")*economics!$AI$2:$AI$167*_xlfn.NORM.DIST(BS$3,economics!$AK$2:$AK$167,economics!$AJ$2:$AJ$167,TRUE)),0)</f>
        <v/>
      </c>
      <c r="BT6" s="68">
        <f t="array" ref="BT6">IF($D6,SUMPRODUCT((economics!$AG$2:$AG$167=$B6)*(economics!$D$2:$D$167="process")*economics!$AI$2:$AI$167*_xlfn.NORM.DIST(BT$3,economics!$AK$2:$AK$167,economics!$AJ$2:$AJ$167,TRUE)),0)</f>
        <v/>
      </c>
      <c r="BU6" s="68">
        <f t="array" ref="BU6">IF($D6,SUMPRODUCT((economics!$AG$2:$AG$167=$B6)*(economics!$D$2:$D$167="process")*economics!$AI$2:$AI$167*_xlfn.NORM.DIST(BU$3,economics!$AK$2:$AK$167,economics!$AJ$2:$AJ$167,TRUE)),0)</f>
        <v/>
      </c>
      <c r="BV6" s="68">
        <f t="array" ref="BV6">IF($D6,SUMPRODUCT((economics!$AG$2:$AG$167=$B6)*(economics!$D$2:$D$167="process")*economics!$AI$2:$AI$167*_xlfn.NORM.DIST(BV$3,economics!$AK$2:$AK$167,economics!$AJ$2:$AJ$167,TRUE)),0)</f>
        <v/>
      </c>
      <c r="BW6" s="68">
        <f t="array" ref="BW6">IF($D6,SUMPRODUCT((economics!$AG$2:$AG$167=$B6)*(economics!$D$2:$D$167="process")*economics!$AI$2:$AI$167*_xlfn.NORM.DIST(BW$3,economics!$AK$2:$AK$167,economics!$AJ$2:$AJ$167,TRUE)),0)</f>
        <v/>
      </c>
      <c r="BX6" s="68">
        <f t="array" ref="BX6">IF($D6,SUMPRODUCT((economics!$AG$2:$AG$167=$B6)*(economics!$D$2:$D$167="process")*economics!$AI$2:$AI$167*_xlfn.NORM.DIST(BX$3,economics!$AK$2:$AK$167,economics!$AJ$2:$AJ$167,TRUE)),0)</f>
        <v/>
      </c>
      <c r="BY6" s="68">
        <f t="array" ref="BY6">IF($D6,SUMPRODUCT((economics!$AG$2:$AG$167=$B6)*(economics!$D$2:$D$167="process")*economics!$AI$2:$AI$167*_xlfn.NORM.DIST(BY$3,economics!$AK$2:$AK$167,economics!$AJ$2:$AJ$167,TRUE)),0)</f>
        <v/>
      </c>
      <c r="BZ6" s="68">
        <f t="array" ref="BZ6">IF($D6,SUMPRODUCT((economics!$AG$2:$AG$167=$B6)*(economics!$D$2:$D$167="process")*economics!$AI$2:$AI$167*_xlfn.NORM.DIST(BZ$3,economics!$AK$2:$AK$167,economics!$AJ$2:$AJ$167,TRUE)),0)</f>
        <v/>
      </c>
      <c r="CA6" s="68">
        <f t="array" ref="CA6">IF($D6,SUMPRODUCT((economics!$AG$2:$AG$167=$B6)*(economics!$D$2:$D$167="process")*economics!$AI$2:$AI$167*_xlfn.NORM.DIST(CA$3,economics!$AK$2:$AK$167,economics!$AJ$2:$AJ$167,TRUE)),0)</f>
        <v/>
      </c>
      <c r="CB6" s="68">
        <f t="array" ref="CB6">IF($D6,SUMPRODUCT((economics!$AG$2:$AG$167=$B6)*(economics!$D$2:$D$167="process")*economics!$AI$2:$AI$167*_xlfn.NORM.DIST(CB$3,economics!$AK$2:$AK$167,economics!$AJ$2:$AJ$167,TRUE)),0)</f>
        <v/>
      </c>
      <c r="CC6" s="68">
        <f t="array" ref="CC6">IF($D6,SUMPRODUCT((economics!$AG$2:$AG$167=$B6)*(economics!$D$2:$D$167="process")*economics!$AI$2:$AI$167*_xlfn.NORM.DIST(CC$3,economics!$AK$2:$AK$167,economics!$AJ$2:$AJ$167,TRUE)),0)</f>
        <v/>
      </c>
      <c r="CD6" s="68">
        <f t="array" ref="CD6">IF($D6,SUMPRODUCT((economics!$AG$2:$AG$167=$B6)*(economics!$D$2:$D$167="process")*economics!$AI$2:$AI$167*_xlfn.NORM.DIST(CD$3,economics!$AK$2:$AK$167,economics!$AJ$2:$AJ$167,TRUE)),0)</f>
        <v/>
      </c>
      <c r="CE6" s="68">
        <f t="array" ref="CE6">IF($D6,SUMPRODUCT((economics!$AG$2:$AG$167=$B6)*(economics!$D$2:$D$167="process")*economics!$AI$2:$AI$167*_xlfn.NORM.DIST(CE$3,economics!$AK$2:$AK$167,economics!$AJ$2:$AJ$167,TRUE)),0)</f>
        <v/>
      </c>
      <c r="CF6" s="68">
        <f t="array" ref="CF6">IF($D6,SUMPRODUCT((economics!$AG$2:$AG$167=$B6)*(economics!$D$2:$D$167="process")*economics!$AI$2:$AI$167*_xlfn.NORM.DIST(CF$3,economics!$AK$2:$AK$167,economics!$AJ$2:$AJ$167,TRUE)),0)</f>
        <v/>
      </c>
      <c r="CG6" s="68">
        <f t="array" ref="CG6">IF($D6,SUMPRODUCT((economics!$AG$2:$AG$167=$B6)*(economics!$D$2:$D$167="process")*economics!$AI$2:$AI$167*_xlfn.NORM.DIST(CG$3,economics!$AK$2:$AK$167,economics!$AJ$2:$AJ$167,TRUE)),0)</f>
        <v/>
      </c>
      <c r="CH6" s="68">
        <f t="array" ref="CH6">IF($D6,SUMPRODUCT((economics!$AG$2:$AG$167=$B6)*(economics!$D$2:$D$167="process")*economics!$AI$2:$AI$167*_xlfn.NORM.DIST(CH$3,economics!$AK$2:$AK$167,economics!$AJ$2:$AJ$167,TRUE)),0)</f>
        <v/>
      </c>
    </row>
    <row r="7">
      <c r="A7">
        <f>WHRPbI!A5</f>
        <v/>
      </c>
      <c r="B7" t="inlineStr">
        <is>
          <t>07T08</t>
        </is>
      </c>
      <c r="C7" s="68">
        <f>WHRPbI!B5</f>
        <v/>
      </c>
      <c r="D7">
        <f>ISNUMBER(MATCH($B7,'energy base (MECS)'!$K$4:$K$9,0))</f>
        <v/>
      </c>
      <c r="E7" s="68">
        <f t="array" ref="E7">IF($D7,SUMPRODUCT((economics!$AG$2:$AG$167=$B7)*(economics!$D$2:$D$167="process")*economics!$AI$2:$AI$167*_xlfn.NORM.DIST(E$3,economics!$AK$2:$AK$167,economics!$AJ$2:$AJ$167,TRUE)),0)</f>
        <v/>
      </c>
      <c r="F7" s="68">
        <f t="array" ref="F7">IF($D7,SUMPRODUCT((economics!$AG$2:$AG$167=$B7)*(economics!$D$2:$D$167="process")*economics!$AI$2:$AI$167*_xlfn.NORM.DIST(F$3,economics!$AK$2:$AK$167,economics!$AJ$2:$AJ$167,TRUE)),0)</f>
        <v/>
      </c>
      <c r="G7" s="68">
        <f t="array" ref="G7">IF($D7,SUMPRODUCT((economics!$AG$2:$AG$167=$B7)*(economics!$D$2:$D$167="process")*economics!$AI$2:$AI$167*_xlfn.NORM.DIST(G$3,economics!$AK$2:$AK$167,economics!$AJ$2:$AJ$167,TRUE)),0)</f>
        <v/>
      </c>
      <c r="H7" s="68">
        <f t="array" ref="H7">IF($D7,SUMPRODUCT((economics!$AG$2:$AG$167=$B7)*(economics!$D$2:$D$167="process")*economics!$AI$2:$AI$167*_xlfn.NORM.DIST(H$3,economics!$AK$2:$AK$167,economics!$AJ$2:$AJ$167,TRUE)),0)</f>
        <v/>
      </c>
      <c r="I7" s="68">
        <f t="array" ref="I7">IF($D7,SUMPRODUCT((economics!$AG$2:$AG$167=$B7)*(economics!$D$2:$D$167="process")*economics!$AI$2:$AI$167*_xlfn.NORM.DIST(I$3,economics!$AK$2:$AK$167,economics!$AJ$2:$AJ$167,TRUE)),0)</f>
        <v/>
      </c>
      <c r="J7" s="68">
        <f t="array" ref="J7">IF($D7,SUMPRODUCT((economics!$AG$2:$AG$167=$B7)*(economics!$D$2:$D$167="process")*economics!$AI$2:$AI$167*_xlfn.NORM.DIST(J$3,economics!$AK$2:$AK$167,economics!$AJ$2:$AJ$167,TRUE)),0)</f>
        <v/>
      </c>
      <c r="K7" s="68">
        <f t="array" ref="K7">IF($D7,SUMPRODUCT((economics!$AG$2:$AG$167=$B7)*(economics!$D$2:$D$167="process")*economics!$AI$2:$AI$167*_xlfn.NORM.DIST(K$3,economics!$AK$2:$AK$167,economics!$AJ$2:$AJ$167,TRUE)),0)</f>
        <v/>
      </c>
      <c r="L7" s="68">
        <f t="array" ref="L7">IF($D7,SUMPRODUCT((economics!$AG$2:$AG$167=$B7)*(economics!$D$2:$D$167="process")*economics!$AI$2:$AI$167*_xlfn.NORM.DIST(L$3,economics!$AK$2:$AK$167,economics!$AJ$2:$AJ$167,TRUE)),0)</f>
        <v/>
      </c>
      <c r="M7" s="68">
        <f t="array" ref="M7">IF($D7,SUMPRODUCT((economics!$AG$2:$AG$167=$B7)*(economics!$D$2:$D$167="process")*economics!$AI$2:$AI$167*_xlfn.NORM.DIST(M$3,economics!$AK$2:$AK$167,economics!$AJ$2:$AJ$167,TRUE)),0)</f>
        <v/>
      </c>
      <c r="N7" s="68">
        <f t="array" ref="N7">IF($D7,SUMPRODUCT((economics!$AG$2:$AG$167=$B7)*(economics!$D$2:$D$167="process")*economics!$AI$2:$AI$167*_xlfn.NORM.DIST(N$3,economics!$AK$2:$AK$167,economics!$AJ$2:$AJ$167,TRUE)),0)</f>
        <v/>
      </c>
      <c r="O7" s="68">
        <f t="array" ref="O7">IF($D7,SUMPRODUCT((economics!$AG$2:$AG$167=$B7)*(economics!$D$2:$D$167="process")*economics!$AI$2:$AI$167*_xlfn.NORM.DIST(O$3,economics!$AK$2:$AK$167,economics!$AJ$2:$AJ$167,TRUE)),0)</f>
        <v/>
      </c>
      <c r="P7" s="68">
        <f t="array" ref="P7">IF($D7,SUMPRODUCT((economics!$AG$2:$AG$167=$B7)*(economics!$D$2:$D$167="process")*economics!$AI$2:$AI$167*_xlfn.NORM.DIST(P$3,economics!$AK$2:$AK$167,economics!$AJ$2:$AJ$167,TRUE)),0)</f>
        <v/>
      </c>
      <c r="Q7" s="68">
        <f t="array" ref="Q7">IF($D7,SUMPRODUCT((economics!$AG$2:$AG$167=$B7)*(economics!$D$2:$D$167="process")*economics!$AI$2:$AI$167*_xlfn.NORM.DIST(Q$3,economics!$AK$2:$AK$167,economics!$AJ$2:$AJ$167,TRUE)),0)</f>
        <v/>
      </c>
      <c r="R7" s="68">
        <f t="array" ref="R7">IF($D7,SUMPRODUCT((economics!$AG$2:$AG$167=$B7)*(economics!$D$2:$D$167="process")*economics!$AI$2:$AI$167*_xlfn.NORM.DIST(R$3,economics!$AK$2:$AK$167,economics!$AJ$2:$AJ$167,TRUE)),0)</f>
        <v/>
      </c>
      <c r="S7" s="68">
        <f t="array" ref="S7">IF($D7,SUMPRODUCT((economics!$AG$2:$AG$167=$B7)*(economics!$D$2:$D$167="process")*economics!$AI$2:$AI$167*_xlfn.NORM.DIST(S$3,economics!$AK$2:$AK$167,economics!$AJ$2:$AJ$167,TRUE)),0)</f>
        <v/>
      </c>
      <c r="T7" s="68">
        <f t="array" ref="T7">IF($D7,SUMPRODUCT((economics!$AG$2:$AG$167=$B7)*(economics!$D$2:$D$167="process")*economics!$AI$2:$AI$167*_xlfn.NORM.DIST(T$3,economics!$AK$2:$AK$167,economics!$AJ$2:$AJ$167,TRUE)),0)</f>
        <v/>
      </c>
      <c r="U7" s="68">
        <f t="array" ref="U7">IF($D7,SUMPRODUCT((economics!$AG$2:$AG$167=$B7)*(economics!$D$2:$D$167="process")*economics!$AI$2:$AI$167*_xlfn.NORM.DIST(U$3,economics!$AK$2:$AK$167,economics!$AJ$2:$AJ$167,TRUE)),0)</f>
        <v/>
      </c>
      <c r="V7" s="68">
        <f t="array" ref="V7">IF($D7,SUMPRODUCT((economics!$AG$2:$AG$167=$B7)*(economics!$D$2:$D$167="process")*economics!$AI$2:$AI$167*_xlfn.NORM.DIST(V$3,economics!$AK$2:$AK$167,economics!$AJ$2:$AJ$167,TRUE)),0)</f>
        <v/>
      </c>
      <c r="W7" s="68">
        <f t="array" ref="W7">IF($D7,SUMPRODUCT((economics!$AG$2:$AG$167=$B7)*(economics!$D$2:$D$167="process")*economics!$AI$2:$AI$167*_xlfn.NORM.DIST(W$3,economics!$AK$2:$AK$167,economics!$AJ$2:$AJ$167,TRUE)),0)</f>
        <v/>
      </c>
      <c r="X7" s="68">
        <f t="array" ref="X7">IF($D7,SUMPRODUCT((economics!$AG$2:$AG$167=$B7)*(economics!$D$2:$D$167="process")*economics!$AI$2:$AI$167*_xlfn.NORM.DIST(X$3,economics!$AK$2:$AK$167,economics!$AJ$2:$AJ$167,TRUE)),0)</f>
        <v/>
      </c>
      <c r="Y7" s="68">
        <f t="array" ref="Y7">IF($D7,SUMPRODUCT((economics!$AG$2:$AG$167=$B7)*(economics!$D$2:$D$167="process")*economics!$AI$2:$AI$167*_xlfn.NORM.DIST(Y$3,economics!$AK$2:$AK$167,economics!$AJ$2:$AJ$167,TRUE)),0)</f>
        <v/>
      </c>
      <c r="Z7" s="68">
        <f t="array" ref="Z7">IF($D7,SUMPRODUCT((economics!$AG$2:$AG$167=$B7)*(economics!$D$2:$D$167="process")*economics!$AI$2:$AI$167*_xlfn.NORM.DIST(Z$3,economics!$AK$2:$AK$167,economics!$AJ$2:$AJ$167,TRUE)),0)</f>
        <v/>
      </c>
      <c r="AA7" s="68">
        <f t="array" ref="AA7">IF($D7,SUMPRODUCT((economics!$AG$2:$AG$167=$B7)*(economics!$D$2:$D$167="process")*economics!$AI$2:$AI$167*_xlfn.NORM.DIST(AA$3,economics!$AK$2:$AK$167,economics!$AJ$2:$AJ$167,TRUE)),0)</f>
        <v/>
      </c>
      <c r="AB7" s="68">
        <f t="array" ref="AB7">IF($D7,SUMPRODUCT((economics!$AG$2:$AG$167=$B7)*(economics!$D$2:$D$167="process")*economics!$AI$2:$AI$167*_xlfn.NORM.DIST(AB$3,economics!$AK$2:$AK$167,economics!$AJ$2:$AJ$167,TRUE)),0)</f>
        <v/>
      </c>
      <c r="AC7" s="68">
        <f t="array" ref="AC7">IF($D7,SUMPRODUCT((economics!$AG$2:$AG$167=$B7)*(economics!$D$2:$D$167="process")*economics!$AI$2:$AI$167*_xlfn.NORM.DIST(AC$3,economics!$AK$2:$AK$167,economics!$AJ$2:$AJ$167,TRUE)),0)</f>
        <v/>
      </c>
      <c r="AD7" s="68">
        <f t="array" ref="AD7">IF($D7,SUMPRODUCT((economics!$AG$2:$AG$167=$B7)*(economics!$D$2:$D$167="process")*economics!$AI$2:$AI$167*_xlfn.NORM.DIST(AD$3,economics!$AK$2:$AK$167,economics!$AJ$2:$AJ$167,TRUE)),0)</f>
        <v/>
      </c>
      <c r="AE7" s="68">
        <f t="array" ref="AE7">IF($D7,SUMPRODUCT((economics!$AG$2:$AG$167=$B7)*(economics!$D$2:$D$167="process")*economics!$AI$2:$AI$167*_xlfn.NORM.DIST(AE$3,economics!$AK$2:$AK$167,economics!$AJ$2:$AJ$167,TRUE)),0)</f>
        <v/>
      </c>
      <c r="AF7" s="68">
        <f t="array" ref="AF7">IF($D7,SUMPRODUCT((economics!$AG$2:$AG$167=$B7)*(economics!$D$2:$D$167="process")*economics!$AI$2:$AI$167*_xlfn.NORM.DIST(AF$3,economics!$AK$2:$AK$167,economics!$AJ$2:$AJ$167,TRUE)),0)</f>
        <v/>
      </c>
      <c r="AG7" s="68">
        <f t="array" ref="AG7">IF($D7,SUMPRODUCT((economics!$AG$2:$AG$167=$B7)*(economics!$D$2:$D$167="process")*economics!$AI$2:$AI$167*_xlfn.NORM.DIST(AG$3,economics!$AK$2:$AK$167,economics!$AJ$2:$AJ$167,TRUE)),0)</f>
        <v/>
      </c>
      <c r="AH7" s="68">
        <f t="array" ref="AH7">IF($D7,SUMPRODUCT((economics!$AG$2:$AG$167=$B7)*(economics!$D$2:$D$167="process")*economics!$AI$2:$AI$167*_xlfn.NORM.DIST(AH$3,economics!$AK$2:$AK$167,economics!$AJ$2:$AJ$167,TRUE)),0)</f>
        <v/>
      </c>
      <c r="AI7" s="68">
        <f t="array" ref="AI7">IF($D7,SUMPRODUCT((economics!$AG$2:$AG$167=$B7)*(economics!$D$2:$D$167="process")*economics!$AI$2:$AI$167*_xlfn.NORM.DIST(AI$3,economics!$AK$2:$AK$167,economics!$AJ$2:$AJ$167,TRUE)),0)</f>
        <v/>
      </c>
      <c r="AJ7" s="68">
        <f t="array" ref="AJ7">IF($D7,SUMPRODUCT((economics!$AG$2:$AG$167=$B7)*(economics!$D$2:$D$167="process")*economics!$AI$2:$AI$167*_xlfn.NORM.DIST(AJ$3,economics!$AK$2:$AK$167,economics!$AJ$2:$AJ$167,TRUE)),0)</f>
        <v/>
      </c>
      <c r="AK7" s="68">
        <f t="array" ref="AK7">IF($D7,SUMPRODUCT((economics!$AG$2:$AG$167=$B7)*(economics!$D$2:$D$167="process")*economics!$AI$2:$AI$167*_xlfn.NORM.DIST(AK$3,economics!$AK$2:$AK$167,economics!$AJ$2:$AJ$167,TRUE)),0)</f>
        <v/>
      </c>
      <c r="AL7" s="68">
        <f t="array" ref="AL7">IF($D7,SUMPRODUCT((economics!$AG$2:$AG$167=$B7)*(economics!$D$2:$D$167="process")*economics!$AI$2:$AI$167*_xlfn.NORM.DIST(AL$3,economics!$AK$2:$AK$167,economics!$AJ$2:$AJ$167,TRUE)),0)</f>
        <v/>
      </c>
      <c r="AM7" s="68">
        <f t="array" ref="AM7">IF($D7,SUMPRODUCT((economics!$AG$2:$AG$167=$B7)*(economics!$D$2:$D$167="process")*economics!$AI$2:$AI$167*_xlfn.NORM.DIST(AM$3,economics!$AK$2:$AK$167,economics!$AJ$2:$AJ$167,TRUE)),0)</f>
        <v/>
      </c>
      <c r="AN7" s="68">
        <f t="array" ref="AN7">IF($D7,SUMPRODUCT((economics!$AG$2:$AG$167=$B7)*(economics!$D$2:$D$167="process")*economics!$AI$2:$AI$167*_xlfn.NORM.DIST(AN$3,economics!$AK$2:$AK$167,economics!$AJ$2:$AJ$167,TRUE)),0)</f>
        <v/>
      </c>
      <c r="AO7" s="68">
        <f t="array" ref="AO7">IF($D7,SUMPRODUCT((economics!$AG$2:$AG$167=$B7)*(economics!$D$2:$D$167="process")*economics!$AI$2:$AI$167*_xlfn.NORM.DIST(AO$3,economics!$AK$2:$AK$167,economics!$AJ$2:$AJ$167,TRUE)),0)</f>
        <v/>
      </c>
      <c r="AP7" s="68">
        <f t="array" ref="AP7">IF($D7,SUMPRODUCT((economics!$AG$2:$AG$167=$B7)*(economics!$D$2:$D$167="process")*economics!$AI$2:$AI$167*_xlfn.NORM.DIST(AP$3,economics!$AK$2:$AK$167,economics!$AJ$2:$AJ$167,TRUE)),0)</f>
        <v/>
      </c>
      <c r="AQ7" s="68">
        <f t="array" ref="AQ7">IF($D7,SUMPRODUCT((economics!$AG$2:$AG$167=$B7)*(economics!$D$2:$D$167="process")*economics!$AI$2:$AI$167*_xlfn.NORM.DIST(AQ$3,economics!$AK$2:$AK$167,economics!$AJ$2:$AJ$167,TRUE)),0)</f>
        <v/>
      </c>
      <c r="AR7" s="68">
        <f t="array" ref="AR7">IF($D7,SUMPRODUCT((economics!$AG$2:$AG$167=$B7)*(economics!$D$2:$D$167="process")*economics!$AI$2:$AI$167*_xlfn.NORM.DIST(AR$3,economics!$AK$2:$AK$167,economics!$AJ$2:$AJ$167,TRUE)),0)</f>
        <v/>
      </c>
      <c r="AS7" s="68">
        <f t="array" ref="AS7">IF($D7,SUMPRODUCT((economics!$AG$2:$AG$167=$B7)*(economics!$D$2:$D$167="process")*economics!$AI$2:$AI$167*_xlfn.NORM.DIST(AS$3,economics!$AK$2:$AK$167,economics!$AJ$2:$AJ$167,TRUE)),0)</f>
        <v/>
      </c>
      <c r="AT7" s="68">
        <f t="array" ref="AT7">IF($D7,SUMPRODUCT((economics!$AG$2:$AG$167=$B7)*(economics!$D$2:$D$167="process")*economics!$AI$2:$AI$167*_xlfn.NORM.DIST(AT$3,economics!$AK$2:$AK$167,economics!$AJ$2:$AJ$167,TRUE)),0)</f>
        <v/>
      </c>
      <c r="AU7" s="68">
        <f t="array" ref="AU7">IF($D7,SUMPRODUCT((economics!$AG$2:$AG$167=$B7)*(economics!$D$2:$D$167="process")*economics!$AI$2:$AI$167*_xlfn.NORM.DIST(AU$3,economics!$AK$2:$AK$167,economics!$AJ$2:$AJ$167,TRUE)),0)</f>
        <v/>
      </c>
      <c r="AV7" s="68">
        <f t="array" ref="AV7">IF($D7,SUMPRODUCT((economics!$AG$2:$AG$167=$B7)*(economics!$D$2:$D$167="process")*economics!$AI$2:$AI$167*_xlfn.NORM.DIST(AV$3,economics!$AK$2:$AK$167,economics!$AJ$2:$AJ$167,TRUE)),0)</f>
        <v/>
      </c>
      <c r="AW7" s="68">
        <f t="array" ref="AW7">IF($D7,SUMPRODUCT((economics!$AG$2:$AG$167=$B7)*(economics!$D$2:$D$167="process")*economics!$AI$2:$AI$167*_xlfn.NORM.DIST(AW$3,economics!$AK$2:$AK$167,economics!$AJ$2:$AJ$167,TRUE)),0)</f>
        <v/>
      </c>
      <c r="AX7" s="68">
        <f t="array" ref="AX7">IF($D7,SUMPRODUCT((economics!$AG$2:$AG$167=$B7)*(economics!$D$2:$D$167="process")*economics!$AI$2:$AI$167*_xlfn.NORM.DIST(AX$3,economics!$AK$2:$AK$167,economics!$AJ$2:$AJ$167,TRUE)),0)</f>
        <v/>
      </c>
      <c r="AY7" s="68">
        <f t="array" ref="AY7">IF($D7,SUMPRODUCT((economics!$AG$2:$AG$167=$B7)*(economics!$D$2:$D$167="process")*economics!$AI$2:$AI$167*_xlfn.NORM.DIST(AY$3,economics!$AK$2:$AK$167,economics!$AJ$2:$AJ$167,TRUE)),0)</f>
        <v/>
      </c>
      <c r="AZ7" s="68">
        <f t="array" ref="AZ7">IF($D7,SUMPRODUCT((economics!$AG$2:$AG$167=$B7)*(economics!$D$2:$D$167="process")*economics!$AI$2:$AI$167*_xlfn.NORM.DIST(AZ$3,economics!$AK$2:$AK$167,economics!$AJ$2:$AJ$167,TRUE)),0)</f>
        <v/>
      </c>
      <c r="BA7" s="68">
        <f t="array" ref="BA7">IF($D7,SUMPRODUCT((economics!$AG$2:$AG$167=$B7)*(economics!$D$2:$D$167="process")*economics!$AI$2:$AI$167*_xlfn.NORM.DIST(BA$3,economics!$AK$2:$AK$167,economics!$AJ$2:$AJ$167,TRUE)),0)</f>
        <v/>
      </c>
      <c r="BB7" s="68">
        <f t="array" ref="BB7">IF($D7,SUMPRODUCT((economics!$AG$2:$AG$167=$B7)*(economics!$D$2:$D$167="process")*economics!$AI$2:$AI$167*_xlfn.NORM.DIST(BB$3,economics!$AK$2:$AK$167,economics!$AJ$2:$AJ$167,TRUE)),0)</f>
        <v/>
      </c>
      <c r="BC7" s="68">
        <f t="array" ref="BC7">IF($D7,SUMPRODUCT((economics!$AG$2:$AG$167=$B7)*(economics!$D$2:$D$167="process")*economics!$AI$2:$AI$167*_xlfn.NORM.DIST(BC$3,economics!$AK$2:$AK$167,economics!$AJ$2:$AJ$167,TRUE)),0)</f>
        <v/>
      </c>
      <c r="BD7" s="68">
        <f t="array" ref="BD7">IF($D7,SUMPRODUCT((economics!$AG$2:$AG$167=$B7)*(economics!$D$2:$D$167="process")*economics!$AI$2:$AI$167*_xlfn.NORM.DIST(BD$3,economics!$AK$2:$AK$167,economics!$AJ$2:$AJ$167,TRUE)),0)</f>
        <v/>
      </c>
      <c r="BE7" s="68">
        <f t="array" ref="BE7">IF($D7,SUMPRODUCT((economics!$AG$2:$AG$167=$B7)*(economics!$D$2:$D$167="process")*economics!$AI$2:$AI$167*_xlfn.NORM.DIST(BE$3,economics!$AK$2:$AK$167,economics!$AJ$2:$AJ$167,TRUE)),0)</f>
        <v/>
      </c>
      <c r="BF7" s="68">
        <f t="array" ref="BF7">IF($D7,SUMPRODUCT((economics!$AG$2:$AG$167=$B7)*(economics!$D$2:$D$167="process")*economics!$AI$2:$AI$167*_xlfn.NORM.DIST(BF$3,economics!$AK$2:$AK$167,economics!$AJ$2:$AJ$167,TRUE)),0)</f>
        <v/>
      </c>
      <c r="BG7" s="68">
        <f t="array" ref="BG7">IF($D7,SUMPRODUCT((economics!$AG$2:$AG$167=$B7)*(economics!$D$2:$D$167="process")*economics!$AI$2:$AI$167*_xlfn.NORM.DIST(BG$3,economics!$AK$2:$AK$167,economics!$AJ$2:$AJ$167,TRUE)),0)</f>
        <v/>
      </c>
      <c r="BH7" s="68">
        <f t="array" ref="BH7">IF($D7,SUMPRODUCT((economics!$AG$2:$AG$167=$B7)*(economics!$D$2:$D$167="process")*economics!$AI$2:$AI$167*_xlfn.NORM.DIST(BH$3,economics!$AK$2:$AK$167,economics!$AJ$2:$AJ$167,TRUE)),0)</f>
        <v/>
      </c>
      <c r="BI7" s="68">
        <f t="array" ref="BI7">IF($D7,SUMPRODUCT((economics!$AG$2:$AG$167=$B7)*(economics!$D$2:$D$167="process")*economics!$AI$2:$AI$167*_xlfn.NORM.DIST(BI$3,economics!$AK$2:$AK$167,economics!$AJ$2:$AJ$167,TRUE)),0)</f>
        <v/>
      </c>
      <c r="BJ7" s="68">
        <f t="array" ref="BJ7">IF($D7,SUMPRODUCT((economics!$AG$2:$AG$167=$B7)*(economics!$D$2:$D$167="process")*economics!$AI$2:$AI$167*_xlfn.NORM.DIST(BJ$3,economics!$AK$2:$AK$167,economics!$AJ$2:$AJ$167,TRUE)),0)</f>
        <v/>
      </c>
      <c r="BK7" s="68">
        <f t="array" ref="BK7">IF($D7,SUMPRODUCT((economics!$AG$2:$AG$167=$B7)*(economics!$D$2:$D$167="process")*economics!$AI$2:$AI$167*_xlfn.NORM.DIST(BK$3,economics!$AK$2:$AK$167,economics!$AJ$2:$AJ$167,TRUE)),0)</f>
        <v/>
      </c>
      <c r="BL7" s="68">
        <f t="array" ref="BL7">IF($D7,SUMPRODUCT((economics!$AG$2:$AG$167=$B7)*(economics!$D$2:$D$167="process")*economics!$AI$2:$AI$167*_xlfn.NORM.DIST(BL$3,economics!$AK$2:$AK$167,economics!$AJ$2:$AJ$167,TRUE)),0)</f>
        <v/>
      </c>
      <c r="BM7" s="68">
        <f t="array" ref="BM7">IF($D7,SUMPRODUCT((economics!$AG$2:$AG$167=$B7)*(economics!$D$2:$D$167="process")*economics!$AI$2:$AI$167*_xlfn.NORM.DIST(BM$3,economics!$AK$2:$AK$167,economics!$AJ$2:$AJ$167,TRUE)),0)</f>
        <v/>
      </c>
      <c r="BN7" s="68">
        <f t="array" ref="BN7">IF($D7,SUMPRODUCT((economics!$AG$2:$AG$167=$B7)*(economics!$D$2:$D$167="process")*economics!$AI$2:$AI$167*_xlfn.NORM.DIST(BN$3,economics!$AK$2:$AK$167,economics!$AJ$2:$AJ$167,TRUE)),0)</f>
        <v/>
      </c>
      <c r="BO7" s="68">
        <f t="array" ref="BO7">IF($D7,SUMPRODUCT((economics!$AG$2:$AG$167=$B7)*(economics!$D$2:$D$167="process")*economics!$AI$2:$AI$167*_xlfn.NORM.DIST(BO$3,economics!$AK$2:$AK$167,economics!$AJ$2:$AJ$167,TRUE)),0)</f>
        <v/>
      </c>
      <c r="BP7" s="68">
        <f t="array" ref="BP7">IF($D7,SUMPRODUCT((economics!$AG$2:$AG$167=$B7)*(economics!$D$2:$D$167="process")*economics!$AI$2:$AI$167*_xlfn.NORM.DIST(BP$3,economics!$AK$2:$AK$167,economics!$AJ$2:$AJ$167,TRUE)),0)</f>
        <v/>
      </c>
      <c r="BQ7" s="68">
        <f t="array" ref="BQ7">IF($D7,SUMPRODUCT((economics!$AG$2:$AG$167=$B7)*(economics!$D$2:$D$167="process")*economics!$AI$2:$AI$167*_xlfn.NORM.DIST(BQ$3,economics!$AK$2:$AK$167,economics!$AJ$2:$AJ$167,TRUE)),0)</f>
        <v/>
      </c>
      <c r="BR7" s="68">
        <f t="array" ref="BR7">IF($D7,SUMPRODUCT((economics!$AG$2:$AG$167=$B7)*(economics!$D$2:$D$167="process")*economics!$AI$2:$AI$167*_xlfn.NORM.DIST(BR$3,economics!$AK$2:$AK$167,economics!$AJ$2:$AJ$167,TRUE)),0)</f>
        <v/>
      </c>
      <c r="BS7" s="68">
        <f t="array" ref="BS7">IF($D7,SUMPRODUCT((economics!$AG$2:$AG$167=$B7)*(economics!$D$2:$D$167="process")*economics!$AI$2:$AI$167*_xlfn.NORM.DIST(BS$3,economics!$AK$2:$AK$167,economics!$AJ$2:$AJ$167,TRUE)),0)</f>
        <v/>
      </c>
      <c r="BT7" s="68">
        <f t="array" ref="BT7">IF($D7,SUMPRODUCT((economics!$AG$2:$AG$167=$B7)*(economics!$D$2:$D$167="process")*economics!$AI$2:$AI$167*_xlfn.NORM.DIST(BT$3,economics!$AK$2:$AK$167,economics!$AJ$2:$AJ$167,TRUE)),0)</f>
        <v/>
      </c>
      <c r="BU7" s="68">
        <f t="array" ref="BU7">IF($D7,SUMPRODUCT((economics!$AG$2:$AG$167=$B7)*(economics!$D$2:$D$167="process")*economics!$AI$2:$AI$167*_xlfn.NORM.DIST(BU$3,economics!$AK$2:$AK$167,economics!$AJ$2:$AJ$167,TRUE)),0)</f>
        <v/>
      </c>
      <c r="BV7" s="68">
        <f t="array" ref="BV7">IF($D7,SUMPRODUCT((economics!$AG$2:$AG$167=$B7)*(economics!$D$2:$D$167="process")*economics!$AI$2:$AI$167*_xlfn.NORM.DIST(BV$3,economics!$AK$2:$AK$167,economics!$AJ$2:$AJ$167,TRUE)),0)</f>
        <v/>
      </c>
      <c r="BW7" s="68">
        <f t="array" ref="BW7">IF($D7,SUMPRODUCT((economics!$AG$2:$AG$167=$B7)*(economics!$D$2:$D$167="process")*economics!$AI$2:$AI$167*_xlfn.NORM.DIST(BW$3,economics!$AK$2:$AK$167,economics!$AJ$2:$AJ$167,TRUE)),0)</f>
        <v/>
      </c>
      <c r="BX7" s="68">
        <f t="array" ref="BX7">IF($D7,SUMPRODUCT((economics!$AG$2:$AG$167=$B7)*(economics!$D$2:$D$167="process")*economics!$AI$2:$AI$167*_xlfn.NORM.DIST(BX$3,economics!$AK$2:$AK$167,economics!$AJ$2:$AJ$167,TRUE)),0)</f>
        <v/>
      </c>
      <c r="BY7" s="68">
        <f t="array" ref="BY7">IF($D7,SUMPRODUCT((economics!$AG$2:$AG$167=$B7)*(economics!$D$2:$D$167="process")*economics!$AI$2:$AI$167*_xlfn.NORM.DIST(BY$3,economics!$AK$2:$AK$167,economics!$AJ$2:$AJ$167,TRUE)),0)</f>
        <v/>
      </c>
      <c r="BZ7" s="68">
        <f t="array" ref="BZ7">IF($D7,SUMPRODUCT((economics!$AG$2:$AG$167=$B7)*(economics!$D$2:$D$167="process")*economics!$AI$2:$AI$167*_xlfn.NORM.DIST(BZ$3,economics!$AK$2:$AK$167,economics!$AJ$2:$AJ$167,TRUE)),0)</f>
        <v/>
      </c>
      <c r="CA7" s="68">
        <f t="array" ref="CA7">IF($D7,SUMPRODUCT((economics!$AG$2:$AG$167=$B7)*(economics!$D$2:$D$167="process")*economics!$AI$2:$AI$167*_xlfn.NORM.DIST(CA$3,economics!$AK$2:$AK$167,economics!$AJ$2:$AJ$167,TRUE)),0)</f>
        <v/>
      </c>
      <c r="CB7" s="68">
        <f t="array" ref="CB7">IF($D7,SUMPRODUCT((economics!$AG$2:$AG$167=$B7)*(economics!$D$2:$D$167="process")*economics!$AI$2:$AI$167*_xlfn.NORM.DIST(CB$3,economics!$AK$2:$AK$167,economics!$AJ$2:$AJ$167,TRUE)),0)</f>
        <v/>
      </c>
      <c r="CC7" s="68">
        <f t="array" ref="CC7">IF($D7,SUMPRODUCT((economics!$AG$2:$AG$167=$B7)*(economics!$D$2:$D$167="process")*economics!$AI$2:$AI$167*_xlfn.NORM.DIST(CC$3,economics!$AK$2:$AK$167,economics!$AJ$2:$AJ$167,TRUE)),0)</f>
        <v/>
      </c>
      <c r="CD7" s="68">
        <f t="array" ref="CD7">IF($D7,SUMPRODUCT((economics!$AG$2:$AG$167=$B7)*(economics!$D$2:$D$167="process")*economics!$AI$2:$AI$167*_xlfn.NORM.DIST(CD$3,economics!$AK$2:$AK$167,economics!$AJ$2:$AJ$167,TRUE)),0)</f>
        <v/>
      </c>
      <c r="CE7" s="68">
        <f t="array" ref="CE7">IF($D7,SUMPRODUCT((economics!$AG$2:$AG$167=$B7)*(economics!$D$2:$D$167="process")*economics!$AI$2:$AI$167*_xlfn.NORM.DIST(CE$3,economics!$AK$2:$AK$167,economics!$AJ$2:$AJ$167,TRUE)),0)</f>
        <v/>
      </c>
      <c r="CF7" s="68">
        <f t="array" ref="CF7">IF($D7,SUMPRODUCT((economics!$AG$2:$AG$167=$B7)*(economics!$D$2:$D$167="process")*economics!$AI$2:$AI$167*_xlfn.NORM.DIST(CF$3,economics!$AK$2:$AK$167,economics!$AJ$2:$AJ$167,TRUE)),0)</f>
        <v/>
      </c>
      <c r="CG7" s="68">
        <f t="array" ref="CG7">IF($D7,SUMPRODUCT((economics!$AG$2:$AG$167=$B7)*(economics!$D$2:$D$167="process")*economics!$AI$2:$AI$167*_xlfn.NORM.DIST(CG$3,economics!$AK$2:$AK$167,economics!$AJ$2:$AJ$167,TRUE)),0)</f>
        <v/>
      </c>
      <c r="CH7" s="68">
        <f t="array" ref="CH7">IF($D7,SUMPRODUCT((economics!$AG$2:$AG$167=$B7)*(economics!$D$2:$D$167="process")*economics!$AI$2:$AI$167*_xlfn.NORM.DIST(CH$3,economics!$AK$2:$AK$167,economics!$AJ$2:$AJ$167,TRUE)),0)</f>
        <v/>
      </c>
    </row>
    <row r="8">
      <c r="A8">
        <f>WHRPbI!A6</f>
        <v/>
      </c>
      <c r="B8" t="inlineStr">
        <is>
          <t>10T12</t>
        </is>
      </c>
      <c r="C8" s="68">
        <f>WHRPbI!B6</f>
        <v/>
      </c>
      <c r="D8">
        <f>ISNUMBER(MATCH($B8,'energy base (MECS)'!$K$4:$K$9,0))</f>
        <v/>
      </c>
      <c r="E8" s="68">
        <f t="array" ref="E8">IF($D8,SUMPRODUCT((economics!$AG$2:$AG$167=$B8)*(economics!$D$2:$D$167="process")*economics!$AI$2:$AI$167*_xlfn.NORM.DIST(E$3,economics!$AK$2:$AK$167,economics!$AJ$2:$AJ$167,TRUE)),0)</f>
        <v/>
      </c>
      <c r="F8" s="68">
        <f t="array" ref="F8">IF($D8,SUMPRODUCT((economics!$AG$2:$AG$167=$B8)*(economics!$D$2:$D$167="process")*economics!$AI$2:$AI$167*_xlfn.NORM.DIST(F$3,economics!$AK$2:$AK$167,economics!$AJ$2:$AJ$167,TRUE)),0)</f>
        <v/>
      </c>
      <c r="G8" s="68">
        <f t="array" ref="G8">IF($D8,SUMPRODUCT((economics!$AG$2:$AG$167=$B8)*(economics!$D$2:$D$167="process")*economics!$AI$2:$AI$167*_xlfn.NORM.DIST(G$3,economics!$AK$2:$AK$167,economics!$AJ$2:$AJ$167,TRUE)),0)</f>
        <v/>
      </c>
      <c r="H8" s="68">
        <f t="array" ref="H8">IF($D8,SUMPRODUCT((economics!$AG$2:$AG$167=$B8)*(economics!$D$2:$D$167="process")*economics!$AI$2:$AI$167*_xlfn.NORM.DIST(H$3,economics!$AK$2:$AK$167,economics!$AJ$2:$AJ$167,TRUE)),0)</f>
        <v/>
      </c>
      <c r="I8" s="68">
        <f t="array" ref="I8">IF($D8,SUMPRODUCT((economics!$AG$2:$AG$167=$B8)*(economics!$D$2:$D$167="process")*economics!$AI$2:$AI$167*_xlfn.NORM.DIST(I$3,economics!$AK$2:$AK$167,economics!$AJ$2:$AJ$167,TRUE)),0)</f>
        <v/>
      </c>
      <c r="J8" s="68">
        <f t="array" ref="J8">IF($D8,SUMPRODUCT((economics!$AG$2:$AG$167=$B8)*(economics!$D$2:$D$167="process")*economics!$AI$2:$AI$167*_xlfn.NORM.DIST(J$3,economics!$AK$2:$AK$167,economics!$AJ$2:$AJ$167,TRUE)),0)</f>
        <v/>
      </c>
      <c r="K8" s="68">
        <f t="array" ref="K8">IF($D8,SUMPRODUCT((economics!$AG$2:$AG$167=$B8)*(economics!$D$2:$D$167="process")*economics!$AI$2:$AI$167*_xlfn.NORM.DIST(K$3,economics!$AK$2:$AK$167,economics!$AJ$2:$AJ$167,TRUE)),0)</f>
        <v/>
      </c>
      <c r="L8" s="68">
        <f t="array" ref="L8">IF($D8,SUMPRODUCT((economics!$AG$2:$AG$167=$B8)*(economics!$D$2:$D$167="process")*economics!$AI$2:$AI$167*_xlfn.NORM.DIST(L$3,economics!$AK$2:$AK$167,economics!$AJ$2:$AJ$167,TRUE)),0)</f>
        <v/>
      </c>
      <c r="M8" s="68">
        <f t="array" ref="M8">IF($D8,SUMPRODUCT((economics!$AG$2:$AG$167=$B8)*(economics!$D$2:$D$167="process")*economics!$AI$2:$AI$167*_xlfn.NORM.DIST(M$3,economics!$AK$2:$AK$167,economics!$AJ$2:$AJ$167,TRUE)),0)</f>
        <v/>
      </c>
      <c r="N8" s="68">
        <f t="array" ref="N8">IF($D8,SUMPRODUCT((economics!$AG$2:$AG$167=$B8)*(economics!$D$2:$D$167="process")*economics!$AI$2:$AI$167*_xlfn.NORM.DIST(N$3,economics!$AK$2:$AK$167,economics!$AJ$2:$AJ$167,TRUE)),0)</f>
        <v/>
      </c>
      <c r="O8" s="68">
        <f t="array" ref="O8">IF($D8,SUMPRODUCT((economics!$AG$2:$AG$167=$B8)*(economics!$D$2:$D$167="process")*economics!$AI$2:$AI$167*_xlfn.NORM.DIST(O$3,economics!$AK$2:$AK$167,economics!$AJ$2:$AJ$167,TRUE)),0)</f>
        <v/>
      </c>
      <c r="P8" s="68">
        <f t="array" ref="P8">IF($D8,SUMPRODUCT((economics!$AG$2:$AG$167=$B8)*(economics!$D$2:$D$167="process")*economics!$AI$2:$AI$167*_xlfn.NORM.DIST(P$3,economics!$AK$2:$AK$167,economics!$AJ$2:$AJ$167,TRUE)),0)</f>
        <v/>
      </c>
      <c r="Q8" s="68">
        <f t="array" ref="Q8">IF($D8,SUMPRODUCT((economics!$AG$2:$AG$167=$B8)*(economics!$D$2:$D$167="process")*economics!$AI$2:$AI$167*_xlfn.NORM.DIST(Q$3,economics!$AK$2:$AK$167,economics!$AJ$2:$AJ$167,TRUE)),0)</f>
        <v/>
      </c>
      <c r="R8" s="68">
        <f t="array" ref="R8">IF($D8,SUMPRODUCT((economics!$AG$2:$AG$167=$B8)*(economics!$D$2:$D$167="process")*economics!$AI$2:$AI$167*_xlfn.NORM.DIST(R$3,economics!$AK$2:$AK$167,economics!$AJ$2:$AJ$167,TRUE)),0)</f>
        <v/>
      </c>
      <c r="S8" s="68">
        <f t="array" ref="S8">IF($D8,SUMPRODUCT((economics!$AG$2:$AG$167=$B8)*(economics!$D$2:$D$167="process")*economics!$AI$2:$AI$167*_xlfn.NORM.DIST(S$3,economics!$AK$2:$AK$167,economics!$AJ$2:$AJ$167,TRUE)),0)</f>
        <v/>
      </c>
      <c r="T8" s="68">
        <f t="array" ref="T8">IF($D8,SUMPRODUCT((economics!$AG$2:$AG$167=$B8)*(economics!$D$2:$D$167="process")*economics!$AI$2:$AI$167*_xlfn.NORM.DIST(T$3,economics!$AK$2:$AK$167,economics!$AJ$2:$AJ$167,TRUE)),0)</f>
        <v/>
      </c>
      <c r="U8" s="68">
        <f t="array" ref="U8">IF($D8,SUMPRODUCT((economics!$AG$2:$AG$167=$B8)*(economics!$D$2:$D$167="process")*economics!$AI$2:$AI$167*_xlfn.NORM.DIST(U$3,economics!$AK$2:$AK$167,economics!$AJ$2:$AJ$167,TRUE)),0)</f>
        <v/>
      </c>
      <c r="V8" s="68">
        <f t="array" ref="V8">IF($D8,SUMPRODUCT((economics!$AG$2:$AG$167=$B8)*(economics!$D$2:$D$167="process")*economics!$AI$2:$AI$167*_xlfn.NORM.DIST(V$3,economics!$AK$2:$AK$167,economics!$AJ$2:$AJ$167,TRUE)),0)</f>
        <v/>
      </c>
      <c r="W8" s="68">
        <f t="array" ref="W8">IF($D8,SUMPRODUCT((economics!$AG$2:$AG$167=$B8)*(economics!$D$2:$D$167="process")*economics!$AI$2:$AI$167*_xlfn.NORM.DIST(W$3,economics!$AK$2:$AK$167,economics!$AJ$2:$AJ$167,TRUE)),0)</f>
        <v/>
      </c>
      <c r="X8" s="68">
        <f t="array" ref="X8">IF($D8,SUMPRODUCT((economics!$AG$2:$AG$167=$B8)*(economics!$D$2:$D$167="process")*economics!$AI$2:$AI$167*_xlfn.NORM.DIST(X$3,economics!$AK$2:$AK$167,economics!$AJ$2:$AJ$167,TRUE)),0)</f>
        <v/>
      </c>
      <c r="Y8" s="68">
        <f t="array" ref="Y8">IF($D8,SUMPRODUCT((economics!$AG$2:$AG$167=$B8)*(economics!$D$2:$D$167="process")*economics!$AI$2:$AI$167*_xlfn.NORM.DIST(Y$3,economics!$AK$2:$AK$167,economics!$AJ$2:$AJ$167,TRUE)),0)</f>
        <v/>
      </c>
      <c r="Z8" s="68">
        <f t="array" ref="Z8">IF($D8,SUMPRODUCT((economics!$AG$2:$AG$167=$B8)*(economics!$D$2:$D$167="process")*economics!$AI$2:$AI$167*_xlfn.NORM.DIST(Z$3,economics!$AK$2:$AK$167,economics!$AJ$2:$AJ$167,TRUE)),0)</f>
        <v/>
      </c>
      <c r="AA8" s="68">
        <f t="array" ref="AA8">IF($D8,SUMPRODUCT((economics!$AG$2:$AG$167=$B8)*(economics!$D$2:$D$167="process")*economics!$AI$2:$AI$167*_xlfn.NORM.DIST(AA$3,economics!$AK$2:$AK$167,economics!$AJ$2:$AJ$167,TRUE)),0)</f>
        <v/>
      </c>
      <c r="AB8" s="68">
        <f t="array" ref="AB8">IF($D8,SUMPRODUCT((economics!$AG$2:$AG$167=$B8)*(economics!$D$2:$D$167="process")*economics!$AI$2:$AI$167*_xlfn.NORM.DIST(AB$3,economics!$AK$2:$AK$167,economics!$AJ$2:$AJ$167,TRUE)),0)</f>
        <v/>
      </c>
      <c r="AC8" s="68">
        <f t="array" ref="AC8">IF($D8,SUMPRODUCT((economics!$AG$2:$AG$167=$B8)*(economics!$D$2:$D$167="process")*economics!$AI$2:$AI$167*_xlfn.NORM.DIST(AC$3,economics!$AK$2:$AK$167,economics!$AJ$2:$AJ$167,TRUE)),0)</f>
        <v/>
      </c>
      <c r="AD8" s="68">
        <f t="array" ref="AD8">IF($D8,SUMPRODUCT((economics!$AG$2:$AG$167=$B8)*(economics!$D$2:$D$167="process")*economics!$AI$2:$AI$167*_xlfn.NORM.DIST(AD$3,economics!$AK$2:$AK$167,economics!$AJ$2:$AJ$167,TRUE)),0)</f>
        <v/>
      </c>
      <c r="AE8" s="68">
        <f t="array" ref="AE8">IF($D8,SUMPRODUCT((economics!$AG$2:$AG$167=$B8)*(economics!$D$2:$D$167="process")*economics!$AI$2:$AI$167*_xlfn.NORM.DIST(AE$3,economics!$AK$2:$AK$167,economics!$AJ$2:$AJ$167,TRUE)),0)</f>
        <v/>
      </c>
      <c r="AF8" s="68">
        <f t="array" ref="AF8">IF($D8,SUMPRODUCT((economics!$AG$2:$AG$167=$B8)*(economics!$D$2:$D$167="process")*economics!$AI$2:$AI$167*_xlfn.NORM.DIST(AF$3,economics!$AK$2:$AK$167,economics!$AJ$2:$AJ$167,TRUE)),0)</f>
        <v/>
      </c>
      <c r="AG8" s="68">
        <f t="array" ref="AG8">IF($D8,SUMPRODUCT((economics!$AG$2:$AG$167=$B8)*(economics!$D$2:$D$167="process")*economics!$AI$2:$AI$167*_xlfn.NORM.DIST(AG$3,economics!$AK$2:$AK$167,economics!$AJ$2:$AJ$167,TRUE)),0)</f>
        <v/>
      </c>
      <c r="AH8" s="68">
        <f t="array" ref="AH8">IF($D8,SUMPRODUCT((economics!$AG$2:$AG$167=$B8)*(economics!$D$2:$D$167="process")*economics!$AI$2:$AI$167*_xlfn.NORM.DIST(AH$3,economics!$AK$2:$AK$167,economics!$AJ$2:$AJ$167,TRUE)),0)</f>
        <v/>
      </c>
      <c r="AI8" s="68">
        <f t="array" ref="AI8">IF($D8,SUMPRODUCT((economics!$AG$2:$AG$167=$B8)*(economics!$D$2:$D$167="process")*economics!$AI$2:$AI$167*_xlfn.NORM.DIST(AI$3,economics!$AK$2:$AK$167,economics!$AJ$2:$AJ$167,TRUE)),0)</f>
        <v/>
      </c>
      <c r="AJ8" s="68">
        <f t="array" ref="AJ8">IF($D8,SUMPRODUCT((economics!$AG$2:$AG$167=$B8)*(economics!$D$2:$D$167="process")*economics!$AI$2:$AI$167*_xlfn.NORM.DIST(AJ$3,economics!$AK$2:$AK$167,economics!$AJ$2:$AJ$167,TRUE)),0)</f>
        <v/>
      </c>
      <c r="AK8" s="68">
        <f t="array" ref="AK8">IF($D8,SUMPRODUCT((economics!$AG$2:$AG$167=$B8)*(economics!$D$2:$D$167="process")*economics!$AI$2:$AI$167*_xlfn.NORM.DIST(AK$3,economics!$AK$2:$AK$167,economics!$AJ$2:$AJ$167,TRUE)),0)</f>
        <v/>
      </c>
      <c r="AL8" s="68">
        <f t="array" ref="AL8">IF($D8,SUMPRODUCT((economics!$AG$2:$AG$167=$B8)*(economics!$D$2:$D$167="process")*economics!$AI$2:$AI$167*_xlfn.NORM.DIST(AL$3,economics!$AK$2:$AK$167,economics!$AJ$2:$AJ$167,TRUE)),0)</f>
        <v/>
      </c>
      <c r="AM8" s="68">
        <f t="array" ref="AM8">IF($D8,SUMPRODUCT((economics!$AG$2:$AG$167=$B8)*(economics!$D$2:$D$167="process")*economics!$AI$2:$AI$167*_xlfn.NORM.DIST(AM$3,economics!$AK$2:$AK$167,economics!$AJ$2:$AJ$167,TRUE)),0)</f>
        <v/>
      </c>
      <c r="AN8" s="68">
        <f t="array" ref="AN8">IF($D8,SUMPRODUCT((economics!$AG$2:$AG$167=$B8)*(economics!$D$2:$D$167="process")*economics!$AI$2:$AI$167*_xlfn.NORM.DIST(AN$3,economics!$AK$2:$AK$167,economics!$AJ$2:$AJ$167,TRUE)),0)</f>
        <v/>
      </c>
      <c r="AO8" s="68">
        <f t="array" ref="AO8">IF($D8,SUMPRODUCT((economics!$AG$2:$AG$167=$B8)*(economics!$D$2:$D$167="process")*economics!$AI$2:$AI$167*_xlfn.NORM.DIST(AO$3,economics!$AK$2:$AK$167,economics!$AJ$2:$AJ$167,TRUE)),0)</f>
        <v/>
      </c>
      <c r="AP8" s="68">
        <f t="array" ref="AP8">IF($D8,SUMPRODUCT((economics!$AG$2:$AG$167=$B8)*(economics!$D$2:$D$167="process")*economics!$AI$2:$AI$167*_xlfn.NORM.DIST(AP$3,economics!$AK$2:$AK$167,economics!$AJ$2:$AJ$167,TRUE)),0)</f>
        <v/>
      </c>
      <c r="AQ8" s="68">
        <f t="array" ref="AQ8">IF($D8,SUMPRODUCT((economics!$AG$2:$AG$167=$B8)*(economics!$D$2:$D$167="process")*economics!$AI$2:$AI$167*_xlfn.NORM.DIST(AQ$3,economics!$AK$2:$AK$167,economics!$AJ$2:$AJ$167,TRUE)),0)</f>
        <v/>
      </c>
      <c r="AR8" s="68">
        <f t="array" ref="AR8">IF($D8,SUMPRODUCT((economics!$AG$2:$AG$167=$B8)*(economics!$D$2:$D$167="process")*economics!$AI$2:$AI$167*_xlfn.NORM.DIST(AR$3,economics!$AK$2:$AK$167,economics!$AJ$2:$AJ$167,TRUE)),0)</f>
        <v/>
      </c>
      <c r="AS8" s="68">
        <f t="array" ref="AS8">IF($D8,SUMPRODUCT((economics!$AG$2:$AG$167=$B8)*(economics!$D$2:$D$167="process")*economics!$AI$2:$AI$167*_xlfn.NORM.DIST(AS$3,economics!$AK$2:$AK$167,economics!$AJ$2:$AJ$167,TRUE)),0)</f>
        <v/>
      </c>
      <c r="AT8" s="68">
        <f t="array" ref="AT8">IF($D8,SUMPRODUCT((economics!$AG$2:$AG$167=$B8)*(economics!$D$2:$D$167="process")*economics!$AI$2:$AI$167*_xlfn.NORM.DIST(AT$3,economics!$AK$2:$AK$167,economics!$AJ$2:$AJ$167,TRUE)),0)</f>
        <v/>
      </c>
      <c r="AU8" s="68">
        <f t="array" ref="AU8">IF($D8,SUMPRODUCT((economics!$AG$2:$AG$167=$B8)*(economics!$D$2:$D$167="process")*economics!$AI$2:$AI$167*_xlfn.NORM.DIST(AU$3,economics!$AK$2:$AK$167,economics!$AJ$2:$AJ$167,TRUE)),0)</f>
        <v/>
      </c>
      <c r="AV8" s="68">
        <f t="array" ref="AV8">IF($D8,SUMPRODUCT((economics!$AG$2:$AG$167=$B8)*(economics!$D$2:$D$167="process")*economics!$AI$2:$AI$167*_xlfn.NORM.DIST(AV$3,economics!$AK$2:$AK$167,economics!$AJ$2:$AJ$167,TRUE)),0)</f>
        <v/>
      </c>
      <c r="AW8" s="68">
        <f t="array" ref="AW8">IF($D8,SUMPRODUCT((economics!$AG$2:$AG$167=$B8)*(economics!$D$2:$D$167="process")*economics!$AI$2:$AI$167*_xlfn.NORM.DIST(AW$3,economics!$AK$2:$AK$167,economics!$AJ$2:$AJ$167,TRUE)),0)</f>
        <v/>
      </c>
      <c r="AX8" s="68">
        <f t="array" ref="AX8">IF($D8,SUMPRODUCT((economics!$AG$2:$AG$167=$B8)*(economics!$D$2:$D$167="process")*economics!$AI$2:$AI$167*_xlfn.NORM.DIST(AX$3,economics!$AK$2:$AK$167,economics!$AJ$2:$AJ$167,TRUE)),0)</f>
        <v/>
      </c>
      <c r="AY8" s="68">
        <f t="array" ref="AY8">IF($D8,SUMPRODUCT((economics!$AG$2:$AG$167=$B8)*(economics!$D$2:$D$167="process")*economics!$AI$2:$AI$167*_xlfn.NORM.DIST(AY$3,economics!$AK$2:$AK$167,economics!$AJ$2:$AJ$167,TRUE)),0)</f>
        <v/>
      </c>
      <c r="AZ8" s="68">
        <f t="array" ref="AZ8">IF($D8,SUMPRODUCT((economics!$AG$2:$AG$167=$B8)*(economics!$D$2:$D$167="process")*economics!$AI$2:$AI$167*_xlfn.NORM.DIST(AZ$3,economics!$AK$2:$AK$167,economics!$AJ$2:$AJ$167,TRUE)),0)</f>
        <v/>
      </c>
      <c r="BA8" s="68">
        <f t="array" ref="BA8">IF($D8,SUMPRODUCT((economics!$AG$2:$AG$167=$B8)*(economics!$D$2:$D$167="process")*economics!$AI$2:$AI$167*_xlfn.NORM.DIST(BA$3,economics!$AK$2:$AK$167,economics!$AJ$2:$AJ$167,TRUE)),0)</f>
        <v/>
      </c>
      <c r="BB8" s="68">
        <f t="array" ref="BB8">IF($D8,SUMPRODUCT((economics!$AG$2:$AG$167=$B8)*(economics!$D$2:$D$167="process")*economics!$AI$2:$AI$167*_xlfn.NORM.DIST(BB$3,economics!$AK$2:$AK$167,economics!$AJ$2:$AJ$167,TRUE)),0)</f>
        <v/>
      </c>
      <c r="BC8" s="68">
        <f t="array" ref="BC8">IF($D8,SUMPRODUCT((economics!$AG$2:$AG$167=$B8)*(economics!$D$2:$D$167="process")*economics!$AI$2:$AI$167*_xlfn.NORM.DIST(BC$3,economics!$AK$2:$AK$167,economics!$AJ$2:$AJ$167,TRUE)),0)</f>
        <v/>
      </c>
      <c r="BD8" s="68">
        <f t="array" ref="BD8">IF($D8,SUMPRODUCT((economics!$AG$2:$AG$167=$B8)*(economics!$D$2:$D$167="process")*economics!$AI$2:$AI$167*_xlfn.NORM.DIST(BD$3,economics!$AK$2:$AK$167,economics!$AJ$2:$AJ$167,TRUE)),0)</f>
        <v/>
      </c>
      <c r="BE8" s="68">
        <f t="array" ref="BE8">IF($D8,SUMPRODUCT((economics!$AG$2:$AG$167=$B8)*(economics!$D$2:$D$167="process")*economics!$AI$2:$AI$167*_xlfn.NORM.DIST(BE$3,economics!$AK$2:$AK$167,economics!$AJ$2:$AJ$167,TRUE)),0)</f>
        <v/>
      </c>
      <c r="BF8" s="68">
        <f t="array" ref="BF8">IF($D8,SUMPRODUCT((economics!$AG$2:$AG$167=$B8)*(economics!$D$2:$D$167="process")*economics!$AI$2:$AI$167*_xlfn.NORM.DIST(BF$3,economics!$AK$2:$AK$167,economics!$AJ$2:$AJ$167,TRUE)),0)</f>
        <v/>
      </c>
      <c r="BG8" s="68">
        <f t="array" ref="BG8">IF($D8,SUMPRODUCT((economics!$AG$2:$AG$167=$B8)*(economics!$D$2:$D$167="process")*economics!$AI$2:$AI$167*_xlfn.NORM.DIST(BG$3,economics!$AK$2:$AK$167,economics!$AJ$2:$AJ$167,TRUE)),0)</f>
        <v/>
      </c>
      <c r="BH8" s="68">
        <f t="array" ref="BH8">IF($D8,SUMPRODUCT((economics!$AG$2:$AG$167=$B8)*(economics!$D$2:$D$167="process")*economics!$AI$2:$AI$167*_xlfn.NORM.DIST(BH$3,economics!$AK$2:$AK$167,economics!$AJ$2:$AJ$167,TRUE)),0)</f>
        <v/>
      </c>
      <c r="BI8" s="68">
        <f t="array" ref="BI8">IF($D8,SUMPRODUCT((economics!$AG$2:$AG$167=$B8)*(economics!$D$2:$D$167="process")*economics!$AI$2:$AI$167*_xlfn.NORM.DIST(BI$3,economics!$AK$2:$AK$167,economics!$AJ$2:$AJ$167,TRUE)),0)</f>
        <v/>
      </c>
      <c r="BJ8" s="68">
        <f t="array" ref="BJ8">IF($D8,SUMPRODUCT((economics!$AG$2:$AG$167=$B8)*(economics!$D$2:$D$167="process")*economics!$AI$2:$AI$167*_xlfn.NORM.DIST(BJ$3,economics!$AK$2:$AK$167,economics!$AJ$2:$AJ$167,TRUE)),0)</f>
        <v/>
      </c>
      <c r="BK8" s="68">
        <f t="array" ref="BK8">IF($D8,SUMPRODUCT((economics!$AG$2:$AG$167=$B8)*(economics!$D$2:$D$167="process")*economics!$AI$2:$AI$167*_xlfn.NORM.DIST(BK$3,economics!$AK$2:$AK$167,economics!$AJ$2:$AJ$167,TRUE)),0)</f>
        <v/>
      </c>
      <c r="BL8" s="68">
        <f t="array" ref="BL8">IF($D8,SUMPRODUCT((economics!$AG$2:$AG$167=$B8)*(economics!$D$2:$D$167="process")*economics!$AI$2:$AI$167*_xlfn.NORM.DIST(BL$3,economics!$AK$2:$AK$167,economics!$AJ$2:$AJ$167,TRUE)),0)</f>
        <v/>
      </c>
      <c r="BM8" s="68">
        <f t="array" ref="BM8">IF($D8,SUMPRODUCT((economics!$AG$2:$AG$167=$B8)*(economics!$D$2:$D$167="process")*economics!$AI$2:$AI$167*_xlfn.NORM.DIST(BM$3,economics!$AK$2:$AK$167,economics!$AJ$2:$AJ$167,TRUE)),0)</f>
        <v/>
      </c>
      <c r="BN8" s="68">
        <f t="array" ref="BN8">IF($D8,SUMPRODUCT((economics!$AG$2:$AG$167=$B8)*(economics!$D$2:$D$167="process")*economics!$AI$2:$AI$167*_xlfn.NORM.DIST(BN$3,economics!$AK$2:$AK$167,economics!$AJ$2:$AJ$167,TRUE)),0)</f>
        <v/>
      </c>
      <c r="BO8" s="68">
        <f t="array" ref="BO8">IF($D8,SUMPRODUCT((economics!$AG$2:$AG$167=$B8)*(economics!$D$2:$D$167="process")*economics!$AI$2:$AI$167*_xlfn.NORM.DIST(BO$3,economics!$AK$2:$AK$167,economics!$AJ$2:$AJ$167,TRUE)),0)</f>
        <v/>
      </c>
      <c r="BP8" s="68">
        <f t="array" ref="BP8">IF($D8,SUMPRODUCT((economics!$AG$2:$AG$167=$B8)*(economics!$D$2:$D$167="process")*economics!$AI$2:$AI$167*_xlfn.NORM.DIST(BP$3,economics!$AK$2:$AK$167,economics!$AJ$2:$AJ$167,TRUE)),0)</f>
        <v/>
      </c>
      <c r="BQ8" s="68">
        <f t="array" ref="BQ8">IF($D8,SUMPRODUCT((economics!$AG$2:$AG$167=$B8)*(economics!$D$2:$D$167="process")*economics!$AI$2:$AI$167*_xlfn.NORM.DIST(BQ$3,economics!$AK$2:$AK$167,economics!$AJ$2:$AJ$167,TRUE)),0)</f>
        <v/>
      </c>
      <c r="BR8" s="68">
        <f t="array" ref="BR8">IF($D8,SUMPRODUCT((economics!$AG$2:$AG$167=$B8)*(economics!$D$2:$D$167="process")*economics!$AI$2:$AI$167*_xlfn.NORM.DIST(BR$3,economics!$AK$2:$AK$167,economics!$AJ$2:$AJ$167,TRUE)),0)</f>
        <v/>
      </c>
      <c r="BS8" s="68">
        <f t="array" ref="BS8">IF($D8,SUMPRODUCT((economics!$AG$2:$AG$167=$B8)*(economics!$D$2:$D$167="process")*economics!$AI$2:$AI$167*_xlfn.NORM.DIST(BS$3,economics!$AK$2:$AK$167,economics!$AJ$2:$AJ$167,TRUE)),0)</f>
        <v/>
      </c>
      <c r="BT8" s="68">
        <f t="array" ref="BT8">IF($D8,SUMPRODUCT((economics!$AG$2:$AG$167=$B8)*(economics!$D$2:$D$167="process")*economics!$AI$2:$AI$167*_xlfn.NORM.DIST(BT$3,economics!$AK$2:$AK$167,economics!$AJ$2:$AJ$167,TRUE)),0)</f>
        <v/>
      </c>
      <c r="BU8" s="68">
        <f t="array" ref="BU8">IF($D8,SUMPRODUCT((economics!$AG$2:$AG$167=$B8)*(economics!$D$2:$D$167="process")*economics!$AI$2:$AI$167*_xlfn.NORM.DIST(BU$3,economics!$AK$2:$AK$167,economics!$AJ$2:$AJ$167,TRUE)),0)</f>
        <v/>
      </c>
      <c r="BV8" s="68">
        <f t="array" ref="BV8">IF($D8,SUMPRODUCT((economics!$AG$2:$AG$167=$B8)*(economics!$D$2:$D$167="process")*economics!$AI$2:$AI$167*_xlfn.NORM.DIST(BV$3,economics!$AK$2:$AK$167,economics!$AJ$2:$AJ$167,TRUE)),0)</f>
        <v/>
      </c>
      <c r="BW8" s="68">
        <f t="array" ref="BW8">IF($D8,SUMPRODUCT((economics!$AG$2:$AG$167=$B8)*(economics!$D$2:$D$167="process")*economics!$AI$2:$AI$167*_xlfn.NORM.DIST(BW$3,economics!$AK$2:$AK$167,economics!$AJ$2:$AJ$167,TRUE)),0)</f>
        <v/>
      </c>
      <c r="BX8" s="68">
        <f t="array" ref="BX8">IF($D8,SUMPRODUCT((economics!$AG$2:$AG$167=$B8)*(economics!$D$2:$D$167="process")*economics!$AI$2:$AI$167*_xlfn.NORM.DIST(BX$3,economics!$AK$2:$AK$167,economics!$AJ$2:$AJ$167,TRUE)),0)</f>
        <v/>
      </c>
      <c r="BY8" s="68">
        <f t="array" ref="BY8">IF($D8,SUMPRODUCT((economics!$AG$2:$AG$167=$B8)*(economics!$D$2:$D$167="process")*economics!$AI$2:$AI$167*_xlfn.NORM.DIST(BY$3,economics!$AK$2:$AK$167,economics!$AJ$2:$AJ$167,TRUE)),0)</f>
        <v/>
      </c>
      <c r="BZ8" s="68">
        <f t="array" ref="BZ8">IF($D8,SUMPRODUCT((economics!$AG$2:$AG$167=$B8)*(economics!$D$2:$D$167="process")*economics!$AI$2:$AI$167*_xlfn.NORM.DIST(BZ$3,economics!$AK$2:$AK$167,economics!$AJ$2:$AJ$167,TRUE)),0)</f>
        <v/>
      </c>
      <c r="CA8" s="68">
        <f t="array" ref="CA8">IF($D8,SUMPRODUCT((economics!$AG$2:$AG$167=$B8)*(economics!$D$2:$D$167="process")*economics!$AI$2:$AI$167*_xlfn.NORM.DIST(CA$3,economics!$AK$2:$AK$167,economics!$AJ$2:$AJ$167,TRUE)),0)</f>
        <v/>
      </c>
      <c r="CB8" s="68">
        <f t="array" ref="CB8">IF($D8,SUMPRODUCT((economics!$AG$2:$AG$167=$B8)*(economics!$D$2:$D$167="process")*economics!$AI$2:$AI$167*_xlfn.NORM.DIST(CB$3,economics!$AK$2:$AK$167,economics!$AJ$2:$AJ$167,TRUE)),0)</f>
        <v/>
      </c>
      <c r="CC8" s="68">
        <f t="array" ref="CC8">IF($D8,SUMPRODUCT((economics!$AG$2:$AG$167=$B8)*(economics!$D$2:$D$167="process")*economics!$AI$2:$AI$167*_xlfn.NORM.DIST(CC$3,economics!$AK$2:$AK$167,economics!$AJ$2:$AJ$167,TRUE)),0)</f>
        <v/>
      </c>
      <c r="CD8" s="68">
        <f t="array" ref="CD8">IF($D8,SUMPRODUCT((economics!$AG$2:$AG$167=$B8)*(economics!$D$2:$D$167="process")*economics!$AI$2:$AI$167*_xlfn.NORM.DIST(CD$3,economics!$AK$2:$AK$167,economics!$AJ$2:$AJ$167,TRUE)),0)</f>
        <v/>
      </c>
      <c r="CE8" s="68">
        <f t="array" ref="CE8">IF($D8,SUMPRODUCT((economics!$AG$2:$AG$167=$B8)*(economics!$D$2:$D$167="process")*economics!$AI$2:$AI$167*_xlfn.NORM.DIST(CE$3,economics!$AK$2:$AK$167,economics!$AJ$2:$AJ$167,TRUE)),0)</f>
        <v/>
      </c>
      <c r="CF8" s="68">
        <f t="array" ref="CF8">IF($D8,SUMPRODUCT((economics!$AG$2:$AG$167=$B8)*(economics!$D$2:$D$167="process")*economics!$AI$2:$AI$167*_xlfn.NORM.DIST(CF$3,economics!$AK$2:$AK$167,economics!$AJ$2:$AJ$167,TRUE)),0)</f>
        <v/>
      </c>
      <c r="CG8" s="68">
        <f t="array" ref="CG8">IF($D8,SUMPRODUCT((economics!$AG$2:$AG$167=$B8)*(economics!$D$2:$D$167="process")*economics!$AI$2:$AI$167*_xlfn.NORM.DIST(CG$3,economics!$AK$2:$AK$167,economics!$AJ$2:$AJ$167,TRUE)),0)</f>
        <v/>
      </c>
      <c r="CH8" s="68">
        <f t="array" ref="CH8">IF($D8,SUMPRODUCT((economics!$AG$2:$AG$167=$B8)*(economics!$D$2:$D$167="process")*economics!$AI$2:$AI$167*_xlfn.NORM.DIST(CH$3,economics!$AK$2:$AK$167,economics!$AJ$2:$AJ$167,TRUE)),0)</f>
        <v/>
      </c>
    </row>
    <row r="9">
      <c r="A9">
        <f>WHRPbI!A7</f>
        <v/>
      </c>
      <c r="B9" t="inlineStr">
        <is>
          <t>13T15</t>
        </is>
      </c>
      <c r="C9" s="68">
        <f>WHRPbI!B7</f>
        <v/>
      </c>
      <c r="D9">
        <f>ISNUMBER(MATCH($B9,'energy base (MECS)'!$K$4:$K$9,0))</f>
        <v/>
      </c>
      <c r="E9" s="68">
        <f t="array" ref="E9">IF($D9,SUMPRODUCT((economics!$AG$2:$AG$167=$B9)*(economics!$D$2:$D$167="process")*economics!$AI$2:$AI$167*_xlfn.NORM.DIST(E$3,economics!$AK$2:$AK$167,economics!$AJ$2:$AJ$167,TRUE)),0)</f>
        <v/>
      </c>
      <c r="F9" s="68">
        <f t="array" ref="F9">IF($D9,SUMPRODUCT((economics!$AG$2:$AG$167=$B9)*(economics!$D$2:$D$167="process")*economics!$AI$2:$AI$167*_xlfn.NORM.DIST(F$3,economics!$AK$2:$AK$167,economics!$AJ$2:$AJ$167,TRUE)),0)</f>
        <v/>
      </c>
      <c r="G9" s="68">
        <f t="array" ref="G9">IF($D9,SUMPRODUCT((economics!$AG$2:$AG$167=$B9)*(economics!$D$2:$D$167="process")*economics!$AI$2:$AI$167*_xlfn.NORM.DIST(G$3,economics!$AK$2:$AK$167,economics!$AJ$2:$AJ$167,TRUE)),0)</f>
        <v/>
      </c>
      <c r="H9" s="68">
        <f t="array" ref="H9">IF($D9,SUMPRODUCT((economics!$AG$2:$AG$167=$B9)*(economics!$D$2:$D$167="process")*economics!$AI$2:$AI$167*_xlfn.NORM.DIST(H$3,economics!$AK$2:$AK$167,economics!$AJ$2:$AJ$167,TRUE)),0)</f>
        <v/>
      </c>
      <c r="I9" s="68">
        <f t="array" ref="I9">IF($D9,SUMPRODUCT((economics!$AG$2:$AG$167=$B9)*(economics!$D$2:$D$167="process")*economics!$AI$2:$AI$167*_xlfn.NORM.DIST(I$3,economics!$AK$2:$AK$167,economics!$AJ$2:$AJ$167,TRUE)),0)</f>
        <v/>
      </c>
      <c r="J9" s="68">
        <f t="array" ref="J9">IF($D9,SUMPRODUCT((economics!$AG$2:$AG$167=$B9)*(economics!$D$2:$D$167="process")*economics!$AI$2:$AI$167*_xlfn.NORM.DIST(J$3,economics!$AK$2:$AK$167,economics!$AJ$2:$AJ$167,TRUE)),0)</f>
        <v/>
      </c>
      <c r="K9" s="68">
        <f t="array" ref="K9">IF($D9,SUMPRODUCT((economics!$AG$2:$AG$167=$B9)*(economics!$D$2:$D$167="process")*economics!$AI$2:$AI$167*_xlfn.NORM.DIST(K$3,economics!$AK$2:$AK$167,economics!$AJ$2:$AJ$167,TRUE)),0)</f>
        <v/>
      </c>
      <c r="L9" s="68">
        <f t="array" ref="L9">IF($D9,SUMPRODUCT((economics!$AG$2:$AG$167=$B9)*(economics!$D$2:$D$167="process")*economics!$AI$2:$AI$167*_xlfn.NORM.DIST(L$3,economics!$AK$2:$AK$167,economics!$AJ$2:$AJ$167,TRUE)),0)</f>
        <v/>
      </c>
      <c r="M9" s="68">
        <f t="array" ref="M9">IF($D9,SUMPRODUCT((economics!$AG$2:$AG$167=$B9)*(economics!$D$2:$D$167="process")*economics!$AI$2:$AI$167*_xlfn.NORM.DIST(M$3,economics!$AK$2:$AK$167,economics!$AJ$2:$AJ$167,TRUE)),0)</f>
        <v/>
      </c>
      <c r="N9" s="68">
        <f t="array" ref="N9">IF($D9,SUMPRODUCT((economics!$AG$2:$AG$167=$B9)*(economics!$D$2:$D$167="process")*economics!$AI$2:$AI$167*_xlfn.NORM.DIST(N$3,economics!$AK$2:$AK$167,economics!$AJ$2:$AJ$167,TRUE)),0)</f>
        <v/>
      </c>
      <c r="O9" s="68">
        <f t="array" ref="O9">IF($D9,SUMPRODUCT((economics!$AG$2:$AG$167=$B9)*(economics!$D$2:$D$167="process")*economics!$AI$2:$AI$167*_xlfn.NORM.DIST(O$3,economics!$AK$2:$AK$167,economics!$AJ$2:$AJ$167,TRUE)),0)</f>
        <v/>
      </c>
      <c r="P9" s="68">
        <f t="array" ref="P9">IF($D9,SUMPRODUCT((economics!$AG$2:$AG$167=$B9)*(economics!$D$2:$D$167="process")*economics!$AI$2:$AI$167*_xlfn.NORM.DIST(P$3,economics!$AK$2:$AK$167,economics!$AJ$2:$AJ$167,TRUE)),0)</f>
        <v/>
      </c>
      <c r="Q9" s="68">
        <f t="array" ref="Q9">IF($D9,SUMPRODUCT((economics!$AG$2:$AG$167=$B9)*(economics!$D$2:$D$167="process")*economics!$AI$2:$AI$167*_xlfn.NORM.DIST(Q$3,economics!$AK$2:$AK$167,economics!$AJ$2:$AJ$167,TRUE)),0)</f>
        <v/>
      </c>
      <c r="R9" s="68">
        <f t="array" ref="R9">IF($D9,SUMPRODUCT((economics!$AG$2:$AG$167=$B9)*(economics!$D$2:$D$167="process")*economics!$AI$2:$AI$167*_xlfn.NORM.DIST(R$3,economics!$AK$2:$AK$167,economics!$AJ$2:$AJ$167,TRUE)),0)</f>
        <v/>
      </c>
      <c r="S9" s="68">
        <f t="array" ref="S9">IF($D9,SUMPRODUCT((economics!$AG$2:$AG$167=$B9)*(economics!$D$2:$D$167="process")*economics!$AI$2:$AI$167*_xlfn.NORM.DIST(S$3,economics!$AK$2:$AK$167,economics!$AJ$2:$AJ$167,TRUE)),0)</f>
        <v/>
      </c>
      <c r="T9" s="68">
        <f t="array" ref="T9">IF($D9,SUMPRODUCT((economics!$AG$2:$AG$167=$B9)*(economics!$D$2:$D$167="process")*economics!$AI$2:$AI$167*_xlfn.NORM.DIST(T$3,economics!$AK$2:$AK$167,economics!$AJ$2:$AJ$167,TRUE)),0)</f>
        <v/>
      </c>
      <c r="U9" s="68">
        <f t="array" ref="U9">IF($D9,SUMPRODUCT((economics!$AG$2:$AG$167=$B9)*(economics!$D$2:$D$167="process")*economics!$AI$2:$AI$167*_xlfn.NORM.DIST(U$3,economics!$AK$2:$AK$167,economics!$AJ$2:$AJ$167,TRUE)),0)</f>
        <v/>
      </c>
      <c r="V9" s="68">
        <f t="array" ref="V9">IF($D9,SUMPRODUCT((economics!$AG$2:$AG$167=$B9)*(economics!$D$2:$D$167="process")*economics!$AI$2:$AI$167*_xlfn.NORM.DIST(V$3,economics!$AK$2:$AK$167,economics!$AJ$2:$AJ$167,TRUE)),0)</f>
        <v/>
      </c>
      <c r="W9" s="68">
        <f t="array" ref="W9">IF($D9,SUMPRODUCT((economics!$AG$2:$AG$167=$B9)*(economics!$D$2:$D$167="process")*economics!$AI$2:$AI$167*_xlfn.NORM.DIST(W$3,economics!$AK$2:$AK$167,economics!$AJ$2:$AJ$167,TRUE)),0)</f>
        <v/>
      </c>
      <c r="X9" s="68">
        <f t="array" ref="X9">IF($D9,SUMPRODUCT((economics!$AG$2:$AG$167=$B9)*(economics!$D$2:$D$167="process")*economics!$AI$2:$AI$167*_xlfn.NORM.DIST(X$3,economics!$AK$2:$AK$167,economics!$AJ$2:$AJ$167,TRUE)),0)</f>
        <v/>
      </c>
      <c r="Y9" s="68">
        <f t="array" ref="Y9">IF($D9,SUMPRODUCT((economics!$AG$2:$AG$167=$B9)*(economics!$D$2:$D$167="process")*economics!$AI$2:$AI$167*_xlfn.NORM.DIST(Y$3,economics!$AK$2:$AK$167,economics!$AJ$2:$AJ$167,TRUE)),0)</f>
        <v/>
      </c>
      <c r="Z9" s="68">
        <f t="array" ref="Z9">IF($D9,SUMPRODUCT((economics!$AG$2:$AG$167=$B9)*(economics!$D$2:$D$167="process")*economics!$AI$2:$AI$167*_xlfn.NORM.DIST(Z$3,economics!$AK$2:$AK$167,economics!$AJ$2:$AJ$167,TRUE)),0)</f>
        <v/>
      </c>
      <c r="AA9" s="68">
        <f t="array" ref="AA9">IF($D9,SUMPRODUCT((economics!$AG$2:$AG$167=$B9)*(economics!$D$2:$D$167="process")*economics!$AI$2:$AI$167*_xlfn.NORM.DIST(AA$3,economics!$AK$2:$AK$167,economics!$AJ$2:$AJ$167,TRUE)),0)</f>
        <v/>
      </c>
      <c r="AB9" s="68">
        <f t="array" ref="AB9">IF($D9,SUMPRODUCT((economics!$AG$2:$AG$167=$B9)*(economics!$D$2:$D$167="process")*economics!$AI$2:$AI$167*_xlfn.NORM.DIST(AB$3,economics!$AK$2:$AK$167,economics!$AJ$2:$AJ$167,TRUE)),0)</f>
        <v/>
      </c>
      <c r="AC9" s="68">
        <f t="array" ref="AC9">IF($D9,SUMPRODUCT((economics!$AG$2:$AG$167=$B9)*(economics!$D$2:$D$167="process")*economics!$AI$2:$AI$167*_xlfn.NORM.DIST(AC$3,economics!$AK$2:$AK$167,economics!$AJ$2:$AJ$167,TRUE)),0)</f>
        <v/>
      </c>
      <c r="AD9" s="68">
        <f t="array" ref="AD9">IF($D9,SUMPRODUCT((economics!$AG$2:$AG$167=$B9)*(economics!$D$2:$D$167="process")*economics!$AI$2:$AI$167*_xlfn.NORM.DIST(AD$3,economics!$AK$2:$AK$167,economics!$AJ$2:$AJ$167,TRUE)),0)</f>
        <v/>
      </c>
      <c r="AE9" s="68">
        <f t="array" ref="AE9">IF($D9,SUMPRODUCT((economics!$AG$2:$AG$167=$B9)*(economics!$D$2:$D$167="process")*economics!$AI$2:$AI$167*_xlfn.NORM.DIST(AE$3,economics!$AK$2:$AK$167,economics!$AJ$2:$AJ$167,TRUE)),0)</f>
        <v/>
      </c>
      <c r="AF9" s="68">
        <f t="array" ref="AF9">IF($D9,SUMPRODUCT((economics!$AG$2:$AG$167=$B9)*(economics!$D$2:$D$167="process")*economics!$AI$2:$AI$167*_xlfn.NORM.DIST(AF$3,economics!$AK$2:$AK$167,economics!$AJ$2:$AJ$167,TRUE)),0)</f>
        <v/>
      </c>
      <c r="AG9" s="68">
        <f t="array" ref="AG9">IF($D9,SUMPRODUCT((economics!$AG$2:$AG$167=$B9)*(economics!$D$2:$D$167="process")*economics!$AI$2:$AI$167*_xlfn.NORM.DIST(AG$3,economics!$AK$2:$AK$167,economics!$AJ$2:$AJ$167,TRUE)),0)</f>
        <v/>
      </c>
      <c r="AH9" s="68">
        <f t="array" ref="AH9">IF($D9,SUMPRODUCT((economics!$AG$2:$AG$167=$B9)*(economics!$D$2:$D$167="process")*economics!$AI$2:$AI$167*_xlfn.NORM.DIST(AH$3,economics!$AK$2:$AK$167,economics!$AJ$2:$AJ$167,TRUE)),0)</f>
        <v/>
      </c>
      <c r="AI9" s="68">
        <f t="array" ref="AI9">IF($D9,SUMPRODUCT((economics!$AG$2:$AG$167=$B9)*(economics!$D$2:$D$167="process")*economics!$AI$2:$AI$167*_xlfn.NORM.DIST(AI$3,economics!$AK$2:$AK$167,economics!$AJ$2:$AJ$167,TRUE)),0)</f>
        <v/>
      </c>
      <c r="AJ9" s="68">
        <f t="array" ref="AJ9">IF($D9,SUMPRODUCT((economics!$AG$2:$AG$167=$B9)*(economics!$D$2:$D$167="process")*economics!$AI$2:$AI$167*_xlfn.NORM.DIST(AJ$3,economics!$AK$2:$AK$167,economics!$AJ$2:$AJ$167,TRUE)),0)</f>
        <v/>
      </c>
      <c r="AK9" s="68">
        <f t="array" ref="AK9">IF($D9,SUMPRODUCT((economics!$AG$2:$AG$167=$B9)*(economics!$D$2:$D$167="process")*economics!$AI$2:$AI$167*_xlfn.NORM.DIST(AK$3,economics!$AK$2:$AK$167,economics!$AJ$2:$AJ$167,TRUE)),0)</f>
        <v/>
      </c>
      <c r="AL9" s="68">
        <f t="array" ref="AL9">IF($D9,SUMPRODUCT((economics!$AG$2:$AG$167=$B9)*(economics!$D$2:$D$167="process")*economics!$AI$2:$AI$167*_xlfn.NORM.DIST(AL$3,economics!$AK$2:$AK$167,economics!$AJ$2:$AJ$167,TRUE)),0)</f>
        <v/>
      </c>
      <c r="AM9" s="68">
        <f t="array" ref="AM9">IF($D9,SUMPRODUCT((economics!$AG$2:$AG$167=$B9)*(economics!$D$2:$D$167="process")*economics!$AI$2:$AI$167*_xlfn.NORM.DIST(AM$3,economics!$AK$2:$AK$167,economics!$AJ$2:$AJ$167,TRUE)),0)</f>
        <v/>
      </c>
      <c r="AN9" s="68">
        <f t="array" ref="AN9">IF($D9,SUMPRODUCT((economics!$AG$2:$AG$167=$B9)*(economics!$D$2:$D$167="process")*economics!$AI$2:$AI$167*_xlfn.NORM.DIST(AN$3,economics!$AK$2:$AK$167,economics!$AJ$2:$AJ$167,TRUE)),0)</f>
        <v/>
      </c>
      <c r="AO9" s="68">
        <f t="array" ref="AO9">IF($D9,SUMPRODUCT((economics!$AG$2:$AG$167=$B9)*(economics!$D$2:$D$167="process")*economics!$AI$2:$AI$167*_xlfn.NORM.DIST(AO$3,economics!$AK$2:$AK$167,economics!$AJ$2:$AJ$167,TRUE)),0)</f>
        <v/>
      </c>
      <c r="AP9" s="68">
        <f t="array" ref="AP9">IF($D9,SUMPRODUCT((economics!$AG$2:$AG$167=$B9)*(economics!$D$2:$D$167="process")*economics!$AI$2:$AI$167*_xlfn.NORM.DIST(AP$3,economics!$AK$2:$AK$167,economics!$AJ$2:$AJ$167,TRUE)),0)</f>
        <v/>
      </c>
      <c r="AQ9" s="68">
        <f t="array" ref="AQ9">IF($D9,SUMPRODUCT((economics!$AG$2:$AG$167=$B9)*(economics!$D$2:$D$167="process")*economics!$AI$2:$AI$167*_xlfn.NORM.DIST(AQ$3,economics!$AK$2:$AK$167,economics!$AJ$2:$AJ$167,TRUE)),0)</f>
        <v/>
      </c>
      <c r="AR9" s="68">
        <f t="array" ref="AR9">IF($D9,SUMPRODUCT((economics!$AG$2:$AG$167=$B9)*(economics!$D$2:$D$167="process")*economics!$AI$2:$AI$167*_xlfn.NORM.DIST(AR$3,economics!$AK$2:$AK$167,economics!$AJ$2:$AJ$167,TRUE)),0)</f>
        <v/>
      </c>
      <c r="AS9" s="68">
        <f t="array" ref="AS9">IF($D9,SUMPRODUCT((economics!$AG$2:$AG$167=$B9)*(economics!$D$2:$D$167="process")*economics!$AI$2:$AI$167*_xlfn.NORM.DIST(AS$3,economics!$AK$2:$AK$167,economics!$AJ$2:$AJ$167,TRUE)),0)</f>
        <v/>
      </c>
      <c r="AT9" s="68">
        <f t="array" ref="AT9">IF($D9,SUMPRODUCT((economics!$AG$2:$AG$167=$B9)*(economics!$D$2:$D$167="process")*economics!$AI$2:$AI$167*_xlfn.NORM.DIST(AT$3,economics!$AK$2:$AK$167,economics!$AJ$2:$AJ$167,TRUE)),0)</f>
        <v/>
      </c>
      <c r="AU9" s="68">
        <f t="array" ref="AU9">IF($D9,SUMPRODUCT((economics!$AG$2:$AG$167=$B9)*(economics!$D$2:$D$167="process")*economics!$AI$2:$AI$167*_xlfn.NORM.DIST(AU$3,economics!$AK$2:$AK$167,economics!$AJ$2:$AJ$167,TRUE)),0)</f>
        <v/>
      </c>
      <c r="AV9" s="68">
        <f t="array" ref="AV9">IF($D9,SUMPRODUCT((economics!$AG$2:$AG$167=$B9)*(economics!$D$2:$D$167="process")*economics!$AI$2:$AI$167*_xlfn.NORM.DIST(AV$3,economics!$AK$2:$AK$167,economics!$AJ$2:$AJ$167,TRUE)),0)</f>
        <v/>
      </c>
      <c r="AW9" s="68">
        <f t="array" ref="AW9">IF($D9,SUMPRODUCT((economics!$AG$2:$AG$167=$B9)*(economics!$D$2:$D$167="process")*economics!$AI$2:$AI$167*_xlfn.NORM.DIST(AW$3,economics!$AK$2:$AK$167,economics!$AJ$2:$AJ$167,TRUE)),0)</f>
        <v/>
      </c>
      <c r="AX9" s="68">
        <f t="array" ref="AX9">IF($D9,SUMPRODUCT((economics!$AG$2:$AG$167=$B9)*(economics!$D$2:$D$167="process")*economics!$AI$2:$AI$167*_xlfn.NORM.DIST(AX$3,economics!$AK$2:$AK$167,economics!$AJ$2:$AJ$167,TRUE)),0)</f>
        <v/>
      </c>
      <c r="AY9" s="68">
        <f t="array" ref="AY9">IF($D9,SUMPRODUCT((economics!$AG$2:$AG$167=$B9)*(economics!$D$2:$D$167="process")*economics!$AI$2:$AI$167*_xlfn.NORM.DIST(AY$3,economics!$AK$2:$AK$167,economics!$AJ$2:$AJ$167,TRUE)),0)</f>
        <v/>
      </c>
      <c r="AZ9" s="68">
        <f t="array" ref="AZ9">IF($D9,SUMPRODUCT((economics!$AG$2:$AG$167=$B9)*(economics!$D$2:$D$167="process")*economics!$AI$2:$AI$167*_xlfn.NORM.DIST(AZ$3,economics!$AK$2:$AK$167,economics!$AJ$2:$AJ$167,TRUE)),0)</f>
        <v/>
      </c>
      <c r="BA9" s="68">
        <f t="array" ref="BA9">IF($D9,SUMPRODUCT((economics!$AG$2:$AG$167=$B9)*(economics!$D$2:$D$167="process")*economics!$AI$2:$AI$167*_xlfn.NORM.DIST(BA$3,economics!$AK$2:$AK$167,economics!$AJ$2:$AJ$167,TRUE)),0)</f>
        <v/>
      </c>
      <c r="BB9" s="68">
        <f t="array" ref="BB9">IF($D9,SUMPRODUCT((economics!$AG$2:$AG$167=$B9)*(economics!$D$2:$D$167="process")*economics!$AI$2:$AI$167*_xlfn.NORM.DIST(BB$3,economics!$AK$2:$AK$167,economics!$AJ$2:$AJ$167,TRUE)),0)</f>
        <v/>
      </c>
      <c r="BC9" s="68">
        <f t="array" ref="BC9">IF($D9,SUMPRODUCT((economics!$AG$2:$AG$167=$B9)*(economics!$D$2:$D$167="process")*economics!$AI$2:$AI$167*_xlfn.NORM.DIST(BC$3,economics!$AK$2:$AK$167,economics!$AJ$2:$AJ$167,TRUE)),0)</f>
        <v/>
      </c>
      <c r="BD9" s="68">
        <f t="array" ref="BD9">IF($D9,SUMPRODUCT((economics!$AG$2:$AG$167=$B9)*(economics!$D$2:$D$167="process")*economics!$AI$2:$AI$167*_xlfn.NORM.DIST(BD$3,economics!$AK$2:$AK$167,economics!$AJ$2:$AJ$167,TRUE)),0)</f>
        <v/>
      </c>
      <c r="BE9" s="68">
        <f t="array" ref="BE9">IF($D9,SUMPRODUCT((economics!$AG$2:$AG$167=$B9)*(economics!$D$2:$D$167="process")*economics!$AI$2:$AI$167*_xlfn.NORM.DIST(BE$3,economics!$AK$2:$AK$167,economics!$AJ$2:$AJ$167,TRUE)),0)</f>
        <v/>
      </c>
      <c r="BF9" s="68">
        <f t="array" ref="BF9">IF($D9,SUMPRODUCT((economics!$AG$2:$AG$167=$B9)*(economics!$D$2:$D$167="process")*economics!$AI$2:$AI$167*_xlfn.NORM.DIST(BF$3,economics!$AK$2:$AK$167,economics!$AJ$2:$AJ$167,TRUE)),0)</f>
        <v/>
      </c>
      <c r="BG9" s="68">
        <f t="array" ref="BG9">IF($D9,SUMPRODUCT((economics!$AG$2:$AG$167=$B9)*(economics!$D$2:$D$167="process")*economics!$AI$2:$AI$167*_xlfn.NORM.DIST(BG$3,economics!$AK$2:$AK$167,economics!$AJ$2:$AJ$167,TRUE)),0)</f>
        <v/>
      </c>
      <c r="BH9" s="68">
        <f t="array" ref="BH9">IF($D9,SUMPRODUCT((economics!$AG$2:$AG$167=$B9)*(economics!$D$2:$D$167="process")*economics!$AI$2:$AI$167*_xlfn.NORM.DIST(BH$3,economics!$AK$2:$AK$167,economics!$AJ$2:$AJ$167,TRUE)),0)</f>
        <v/>
      </c>
      <c r="BI9" s="68">
        <f t="array" ref="BI9">IF($D9,SUMPRODUCT((economics!$AG$2:$AG$167=$B9)*(economics!$D$2:$D$167="process")*economics!$AI$2:$AI$167*_xlfn.NORM.DIST(BI$3,economics!$AK$2:$AK$167,economics!$AJ$2:$AJ$167,TRUE)),0)</f>
        <v/>
      </c>
      <c r="BJ9" s="68">
        <f t="array" ref="BJ9">IF($D9,SUMPRODUCT((economics!$AG$2:$AG$167=$B9)*(economics!$D$2:$D$167="process")*economics!$AI$2:$AI$167*_xlfn.NORM.DIST(BJ$3,economics!$AK$2:$AK$167,economics!$AJ$2:$AJ$167,TRUE)),0)</f>
        <v/>
      </c>
      <c r="BK9" s="68">
        <f t="array" ref="BK9">IF($D9,SUMPRODUCT((economics!$AG$2:$AG$167=$B9)*(economics!$D$2:$D$167="process")*economics!$AI$2:$AI$167*_xlfn.NORM.DIST(BK$3,economics!$AK$2:$AK$167,economics!$AJ$2:$AJ$167,TRUE)),0)</f>
        <v/>
      </c>
      <c r="BL9" s="68">
        <f t="array" ref="BL9">IF($D9,SUMPRODUCT((economics!$AG$2:$AG$167=$B9)*(economics!$D$2:$D$167="process")*economics!$AI$2:$AI$167*_xlfn.NORM.DIST(BL$3,economics!$AK$2:$AK$167,economics!$AJ$2:$AJ$167,TRUE)),0)</f>
        <v/>
      </c>
      <c r="BM9" s="68">
        <f t="array" ref="BM9">IF($D9,SUMPRODUCT((economics!$AG$2:$AG$167=$B9)*(economics!$D$2:$D$167="process")*economics!$AI$2:$AI$167*_xlfn.NORM.DIST(BM$3,economics!$AK$2:$AK$167,economics!$AJ$2:$AJ$167,TRUE)),0)</f>
        <v/>
      </c>
      <c r="BN9" s="68">
        <f t="array" ref="BN9">IF($D9,SUMPRODUCT((economics!$AG$2:$AG$167=$B9)*(economics!$D$2:$D$167="process")*economics!$AI$2:$AI$167*_xlfn.NORM.DIST(BN$3,economics!$AK$2:$AK$167,economics!$AJ$2:$AJ$167,TRUE)),0)</f>
        <v/>
      </c>
      <c r="BO9" s="68">
        <f t="array" ref="BO9">IF($D9,SUMPRODUCT((economics!$AG$2:$AG$167=$B9)*(economics!$D$2:$D$167="process")*economics!$AI$2:$AI$167*_xlfn.NORM.DIST(BO$3,economics!$AK$2:$AK$167,economics!$AJ$2:$AJ$167,TRUE)),0)</f>
        <v/>
      </c>
      <c r="BP9" s="68">
        <f t="array" ref="BP9">IF($D9,SUMPRODUCT((economics!$AG$2:$AG$167=$B9)*(economics!$D$2:$D$167="process")*economics!$AI$2:$AI$167*_xlfn.NORM.DIST(BP$3,economics!$AK$2:$AK$167,economics!$AJ$2:$AJ$167,TRUE)),0)</f>
        <v/>
      </c>
      <c r="BQ9" s="68">
        <f t="array" ref="BQ9">IF($D9,SUMPRODUCT((economics!$AG$2:$AG$167=$B9)*(economics!$D$2:$D$167="process")*economics!$AI$2:$AI$167*_xlfn.NORM.DIST(BQ$3,economics!$AK$2:$AK$167,economics!$AJ$2:$AJ$167,TRUE)),0)</f>
        <v/>
      </c>
      <c r="BR9" s="68">
        <f t="array" ref="BR9">IF($D9,SUMPRODUCT((economics!$AG$2:$AG$167=$B9)*(economics!$D$2:$D$167="process")*economics!$AI$2:$AI$167*_xlfn.NORM.DIST(BR$3,economics!$AK$2:$AK$167,economics!$AJ$2:$AJ$167,TRUE)),0)</f>
        <v/>
      </c>
      <c r="BS9" s="68">
        <f t="array" ref="BS9">IF($D9,SUMPRODUCT((economics!$AG$2:$AG$167=$B9)*(economics!$D$2:$D$167="process")*economics!$AI$2:$AI$167*_xlfn.NORM.DIST(BS$3,economics!$AK$2:$AK$167,economics!$AJ$2:$AJ$167,TRUE)),0)</f>
        <v/>
      </c>
      <c r="BT9" s="68">
        <f t="array" ref="BT9">IF($D9,SUMPRODUCT((economics!$AG$2:$AG$167=$B9)*(economics!$D$2:$D$167="process")*economics!$AI$2:$AI$167*_xlfn.NORM.DIST(BT$3,economics!$AK$2:$AK$167,economics!$AJ$2:$AJ$167,TRUE)),0)</f>
        <v/>
      </c>
      <c r="BU9" s="68">
        <f t="array" ref="BU9">IF($D9,SUMPRODUCT((economics!$AG$2:$AG$167=$B9)*(economics!$D$2:$D$167="process")*economics!$AI$2:$AI$167*_xlfn.NORM.DIST(BU$3,economics!$AK$2:$AK$167,economics!$AJ$2:$AJ$167,TRUE)),0)</f>
        <v/>
      </c>
      <c r="BV9" s="68">
        <f t="array" ref="BV9">IF($D9,SUMPRODUCT((economics!$AG$2:$AG$167=$B9)*(economics!$D$2:$D$167="process")*economics!$AI$2:$AI$167*_xlfn.NORM.DIST(BV$3,economics!$AK$2:$AK$167,economics!$AJ$2:$AJ$167,TRUE)),0)</f>
        <v/>
      </c>
      <c r="BW9" s="68">
        <f t="array" ref="BW9">IF($D9,SUMPRODUCT((economics!$AG$2:$AG$167=$B9)*(economics!$D$2:$D$167="process")*economics!$AI$2:$AI$167*_xlfn.NORM.DIST(BW$3,economics!$AK$2:$AK$167,economics!$AJ$2:$AJ$167,TRUE)),0)</f>
        <v/>
      </c>
      <c r="BX9" s="68">
        <f t="array" ref="BX9">IF($D9,SUMPRODUCT((economics!$AG$2:$AG$167=$B9)*(economics!$D$2:$D$167="process")*economics!$AI$2:$AI$167*_xlfn.NORM.DIST(BX$3,economics!$AK$2:$AK$167,economics!$AJ$2:$AJ$167,TRUE)),0)</f>
        <v/>
      </c>
      <c r="BY9" s="68">
        <f t="array" ref="BY9">IF($D9,SUMPRODUCT((economics!$AG$2:$AG$167=$B9)*(economics!$D$2:$D$167="process")*economics!$AI$2:$AI$167*_xlfn.NORM.DIST(BY$3,economics!$AK$2:$AK$167,economics!$AJ$2:$AJ$167,TRUE)),0)</f>
        <v/>
      </c>
      <c r="BZ9" s="68">
        <f t="array" ref="BZ9">IF($D9,SUMPRODUCT((economics!$AG$2:$AG$167=$B9)*(economics!$D$2:$D$167="process")*economics!$AI$2:$AI$167*_xlfn.NORM.DIST(BZ$3,economics!$AK$2:$AK$167,economics!$AJ$2:$AJ$167,TRUE)),0)</f>
        <v/>
      </c>
      <c r="CA9" s="68">
        <f t="array" ref="CA9">IF($D9,SUMPRODUCT((economics!$AG$2:$AG$167=$B9)*(economics!$D$2:$D$167="process")*economics!$AI$2:$AI$167*_xlfn.NORM.DIST(CA$3,economics!$AK$2:$AK$167,economics!$AJ$2:$AJ$167,TRUE)),0)</f>
        <v/>
      </c>
      <c r="CB9" s="68">
        <f t="array" ref="CB9">IF($D9,SUMPRODUCT((economics!$AG$2:$AG$167=$B9)*(economics!$D$2:$D$167="process")*economics!$AI$2:$AI$167*_xlfn.NORM.DIST(CB$3,economics!$AK$2:$AK$167,economics!$AJ$2:$AJ$167,TRUE)),0)</f>
        <v/>
      </c>
      <c r="CC9" s="68">
        <f t="array" ref="CC9">IF($D9,SUMPRODUCT((economics!$AG$2:$AG$167=$B9)*(economics!$D$2:$D$167="process")*economics!$AI$2:$AI$167*_xlfn.NORM.DIST(CC$3,economics!$AK$2:$AK$167,economics!$AJ$2:$AJ$167,TRUE)),0)</f>
        <v/>
      </c>
      <c r="CD9" s="68">
        <f t="array" ref="CD9">IF($D9,SUMPRODUCT((economics!$AG$2:$AG$167=$B9)*(economics!$D$2:$D$167="process")*economics!$AI$2:$AI$167*_xlfn.NORM.DIST(CD$3,economics!$AK$2:$AK$167,economics!$AJ$2:$AJ$167,TRUE)),0)</f>
        <v/>
      </c>
      <c r="CE9" s="68">
        <f t="array" ref="CE9">IF($D9,SUMPRODUCT((economics!$AG$2:$AG$167=$B9)*(economics!$D$2:$D$167="process")*economics!$AI$2:$AI$167*_xlfn.NORM.DIST(CE$3,economics!$AK$2:$AK$167,economics!$AJ$2:$AJ$167,TRUE)),0)</f>
        <v/>
      </c>
      <c r="CF9" s="68">
        <f t="array" ref="CF9">IF($D9,SUMPRODUCT((economics!$AG$2:$AG$167=$B9)*(economics!$D$2:$D$167="process")*economics!$AI$2:$AI$167*_xlfn.NORM.DIST(CF$3,economics!$AK$2:$AK$167,economics!$AJ$2:$AJ$167,TRUE)),0)</f>
        <v/>
      </c>
      <c r="CG9" s="68">
        <f t="array" ref="CG9">IF($D9,SUMPRODUCT((economics!$AG$2:$AG$167=$B9)*(economics!$D$2:$D$167="process")*economics!$AI$2:$AI$167*_xlfn.NORM.DIST(CG$3,economics!$AK$2:$AK$167,economics!$AJ$2:$AJ$167,TRUE)),0)</f>
        <v/>
      </c>
      <c r="CH9" s="68">
        <f t="array" ref="CH9">IF($D9,SUMPRODUCT((economics!$AG$2:$AG$167=$B9)*(economics!$D$2:$D$167="process")*economics!$AI$2:$AI$167*_xlfn.NORM.DIST(CH$3,economics!$AK$2:$AK$167,economics!$AJ$2:$AJ$167,TRUE)),0)</f>
        <v/>
      </c>
    </row>
    <row r="10">
      <c r="A10">
        <f>WHRPbI!A8</f>
        <v/>
      </c>
      <c r="B10" t="n">
        <v>16</v>
      </c>
      <c r="C10" s="68">
        <f>WHRPbI!B8</f>
        <v/>
      </c>
      <c r="D10">
        <f>ISNUMBER(MATCH($B10,'energy base (MECS)'!$K$4:$K$9,0))</f>
        <v/>
      </c>
      <c r="E10" s="68">
        <f t="array" ref="E10">IF($D10,SUMPRODUCT((economics!$AG$2:$AG$167=$B10)*(economics!$D$2:$D$167="process")*economics!$AI$2:$AI$167*_xlfn.NORM.DIST(E$3,economics!$AK$2:$AK$167,economics!$AJ$2:$AJ$167,TRUE)),0)</f>
        <v/>
      </c>
      <c r="F10" s="68">
        <f t="array" ref="F10">IF($D10,SUMPRODUCT((economics!$AG$2:$AG$167=$B10)*(economics!$D$2:$D$167="process")*economics!$AI$2:$AI$167*_xlfn.NORM.DIST(F$3,economics!$AK$2:$AK$167,economics!$AJ$2:$AJ$167,TRUE)),0)</f>
        <v/>
      </c>
      <c r="G10" s="68">
        <f t="array" ref="G10">IF($D10,SUMPRODUCT((economics!$AG$2:$AG$167=$B10)*(economics!$D$2:$D$167="process")*economics!$AI$2:$AI$167*_xlfn.NORM.DIST(G$3,economics!$AK$2:$AK$167,economics!$AJ$2:$AJ$167,TRUE)),0)</f>
        <v/>
      </c>
      <c r="H10" s="68">
        <f t="array" ref="H10">IF($D10,SUMPRODUCT((economics!$AG$2:$AG$167=$B10)*(economics!$D$2:$D$167="process")*economics!$AI$2:$AI$167*_xlfn.NORM.DIST(H$3,economics!$AK$2:$AK$167,economics!$AJ$2:$AJ$167,TRUE)),0)</f>
        <v/>
      </c>
      <c r="I10" s="68">
        <f t="array" ref="I10">IF($D10,SUMPRODUCT((economics!$AG$2:$AG$167=$B10)*(economics!$D$2:$D$167="process")*economics!$AI$2:$AI$167*_xlfn.NORM.DIST(I$3,economics!$AK$2:$AK$167,economics!$AJ$2:$AJ$167,TRUE)),0)</f>
        <v/>
      </c>
      <c r="J10" s="68">
        <f t="array" ref="J10">IF($D10,SUMPRODUCT((economics!$AG$2:$AG$167=$B10)*(economics!$D$2:$D$167="process")*economics!$AI$2:$AI$167*_xlfn.NORM.DIST(J$3,economics!$AK$2:$AK$167,economics!$AJ$2:$AJ$167,TRUE)),0)</f>
        <v/>
      </c>
      <c r="K10" s="68">
        <f t="array" ref="K10">IF($D10,SUMPRODUCT((economics!$AG$2:$AG$167=$B10)*(economics!$D$2:$D$167="process")*economics!$AI$2:$AI$167*_xlfn.NORM.DIST(K$3,economics!$AK$2:$AK$167,economics!$AJ$2:$AJ$167,TRUE)),0)</f>
        <v/>
      </c>
      <c r="L10" s="68">
        <f t="array" ref="L10">IF($D10,SUMPRODUCT((economics!$AG$2:$AG$167=$B10)*(economics!$D$2:$D$167="process")*economics!$AI$2:$AI$167*_xlfn.NORM.DIST(L$3,economics!$AK$2:$AK$167,economics!$AJ$2:$AJ$167,TRUE)),0)</f>
        <v/>
      </c>
      <c r="M10" s="68">
        <f t="array" ref="M10">IF($D10,SUMPRODUCT((economics!$AG$2:$AG$167=$B10)*(economics!$D$2:$D$167="process")*economics!$AI$2:$AI$167*_xlfn.NORM.DIST(M$3,economics!$AK$2:$AK$167,economics!$AJ$2:$AJ$167,TRUE)),0)</f>
        <v/>
      </c>
      <c r="N10" s="68">
        <f t="array" ref="N10">IF($D10,SUMPRODUCT((economics!$AG$2:$AG$167=$B10)*(economics!$D$2:$D$167="process")*economics!$AI$2:$AI$167*_xlfn.NORM.DIST(N$3,economics!$AK$2:$AK$167,economics!$AJ$2:$AJ$167,TRUE)),0)</f>
        <v/>
      </c>
      <c r="O10" s="68">
        <f t="array" ref="O10">IF($D10,SUMPRODUCT((economics!$AG$2:$AG$167=$B10)*(economics!$D$2:$D$167="process")*economics!$AI$2:$AI$167*_xlfn.NORM.DIST(O$3,economics!$AK$2:$AK$167,economics!$AJ$2:$AJ$167,TRUE)),0)</f>
        <v/>
      </c>
      <c r="P10" s="68">
        <f t="array" ref="P10">IF($D10,SUMPRODUCT((economics!$AG$2:$AG$167=$B10)*(economics!$D$2:$D$167="process")*economics!$AI$2:$AI$167*_xlfn.NORM.DIST(P$3,economics!$AK$2:$AK$167,economics!$AJ$2:$AJ$167,TRUE)),0)</f>
        <v/>
      </c>
      <c r="Q10" s="68">
        <f t="array" ref="Q10">IF($D10,SUMPRODUCT((economics!$AG$2:$AG$167=$B10)*(economics!$D$2:$D$167="process")*economics!$AI$2:$AI$167*_xlfn.NORM.DIST(Q$3,economics!$AK$2:$AK$167,economics!$AJ$2:$AJ$167,TRUE)),0)</f>
        <v/>
      </c>
      <c r="R10" s="68">
        <f t="array" ref="R10">IF($D10,SUMPRODUCT((economics!$AG$2:$AG$167=$B10)*(economics!$D$2:$D$167="process")*economics!$AI$2:$AI$167*_xlfn.NORM.DIST(R$3,economics!$AK$2:$AK$167,economics!$AJ$2:$AJ$167,TRUE)),0)</f>
        <v/>
      </c>
      <c r="S10" s="68">
        <f t="array" ref="S10">IF($D10,SUMPRODUCT((economics!$AG$2:$AG$167=$B10)*(economics!$D$2:$D$167="process")*economics!$AI$2:$AI$167*_xlfn.NORM.DIST(S$3,economics!$AK$2:$AK$167,economics!$AJ$2:$AJ$167,TRUE)),0)</f>
        <v/>
      </c>
      <c r="T10" s="68">
        <f t="array" ref="T10">IF($D10,SUMPRODUCT((economics!$AG$2:$AG$167=$B10)*(economics!$D$2:$D$167="process")*economics!$AI$2:$AI$167*_xlfn.NORM.DIST(T$3,economics!$AK$2:$AK$167,economics!$AJ$2:$AJ$167,TRUE)),0)</f>
        <v/>
      </c>
      <c r="U10" s="68">
        <f t="array" ref="U10">IF($D10,SUMPRODUCT((economics!$AG$2:$AG$167=$B10)*(economics!$D$2:$D$167="process")*economics!$AI$2:$AI$167*_xlfn.NORM.DIST(U$3,economics!$AK$2:$AK$167,economics!$AJ$2:$AJ$167,TRUE)),0)</f>
        <v/>
      </c>
      <c r="V10" s="68">
        <f t="array" ref="V10">IF($D10,SUMPRODUCT((economics!$AG$2:$AG$167=$B10)*(economics!$D$2:$D$167="process")*economics!$AI$2:$AI$167*_xlfn.NORM.DIST(V$3,economics!$AK$2:$AK$167,economics!$AJ$2:$AJ$167,TRUE)),0)</f>
        <v/>
      </c>
      <c r="W10" s="68">
        <f t="array" ref="W10">IF($D10,SUMPRODUCT((economics!$AG$2:$AG$167=$B10)*(economics!$D$2:$D$167="process")*economics!$AI$2:$AI$167*_xlfn.NORM.DIST(W$3,economics!$AK$2:$AK$167,economics!$AJ$2:$AJ$167,TRUE)),0)</f>
        <v/>
      </c>
      <c r="X10" s="68">
        <f t="array" ref="X10">IF($D10,SUMPRODUCT((economics!$AG$2:$AG$167=$B10)*(economics!$D$2:$D$167="process")*economics!$AI$2:$AI$167*_xlfn.NORM.DIST(X$3,economics!$AK$2:$AK$167,economics!$AJ$2:$AJ$167,TRUE)),0)</f>
        <v/>
      </c>
      <c r="Y10" s="68">
        <f t="array" ref="Y10">IF($D10,SUMPRODUCT((economics!$AG$2:$AG$167=$B10)*(economics!$D$2:$D$167="process")*economics!$AI$2:$AI$167*_xlfn.NORM.DIST(Y$3,economics!$AK$2:$AK$167,economics!$AJ$2:$AJ$167,TRUE)),0)</f>
        <v/>
      </c>
      <c r="Z10" s="68">
        <f t="array" ref="Z10">IF($D10,SUMPRODUCT((economics!$AG$2:$AG$167=$B10)*(economics!$D$2:$D$167="process")*economics!$AI$2:$AI$167*_xlfn.NORM.DIST(Z$3,economics!$AK$2:$AK$167,economics!$AJ$2:$AJ$167,TRUE)),0)</f>
        <v/>
      </c>
      <c r="AA10" s="68">
        <f t="array" ref="AA10">IF($D10,SUMPRODUCT((economics!$AG$2:$AG$167=$B10)*(economics!$D$2:$D$167="process")*economics!$AI$2:$AI$167*_xlfn.NORM.DIST(AA$3,economics!$AK$2:$AK$167,economics!$AJ$2:$AJ$167,TRUE)),0)</f>
        <v/>
      </c>
      <c r="AB10" s="68">
        <f t="array" ref="AB10">IF($D10,SUMPRODUCT((economics!$AG$2:$AG$167=$B10)*(economics!$D$2:$D$167="process")*economics!$AI$2:$AI$167*_xlfn.NORM.DIST(AB$3,economics!$AK$2:$AK$167,economics!$AJ$2:$AJ$167,TRUE)),0)</f>
        <v/>
      </c>
      <c r="AC10" s="68">
        <f t="array" ref="AC10">IF($D10,SUMPRODUCT((economics!$AG$2:$AG$167=$B10)*(economics!$D$2:$D$167="process")*economics!$AI$2:$AI$167*_xlfn.NORM.DIST(AC$3,economics!$AK$2:$AK$167,economics!$AJ$2:$AJ$167,TRUE)),0)</f>
        <v/>
      </c>
      <c r="AD10" s="68">
        <f t="array" ref="AD10">IF($D10,SUMPRODUCT((economics!$AG$2:$AG$167=$B10)*(economics!$D$2:$D$167="process")*economics!$AI$2:$AI$167*_xlfn.NORM.DIST(AD$3,economics!$AK$2:$AK$167,economics!$AJ$2:$AJ$167,TRUE)),0)</f>
        <v/>
      </c>
      <c r="AE10" s="68">
        <f t="array" ref="AE10">IF($D10,SUMPRODUCT((economics!$AG$2:$AG$167=$B10)*(economics!$D$2:$D$167="process")*economics!$AI$2:$AI$167*_xlfn.NORM.DIST(AE$3,economics!$AK$2:$AK$167,economics!$AJ$2:$AJ$167,TRUE)),0)</f>
        <v/>
      </c>
      <c r="AF10" s="68">
        <f t="array" ref="AF10">IF($D10,SUMPRODUCT((economics!$AG$2:$AG$167=$B10)*(economics!$D$2:$D$167="process")*economics!$AI$2:$AI$167*_xlfn.NORM.DIST(AF$3,economics!$AK$2:$AK$167,economics!$AJ$2:$AJ$167,TRUE)),0)</f>
        <v/>
      </c>
      <c r="AG10" s="68">
        <f t="array" ref="AG10">IF($D10,SUMPRODUCT((economics!$AG$2:$AG$167=$B10)*(economics!$D$2:$D$167="process")*economics!$AI$2:$AI$167*_xlfn.NORM.DIST(AG$3,economics!$AK$2:$AK$167,economics!$AJ$2:$AJ$167,TRUE)),0)</f>
        <v/>
      </c>
      <c r="AH10" s="68">
        <f t="array" ref="AH10">IF($D10,SUMPRODUCT((economics!$AG$2:$AG$167=$B10)*(economics!$D$2:$D$167="process")*economics!$AI$2:$AI$167*_xlfn.NORM.DIST(AH$3,economics!$AK$2:$AK$167,economics!$AJ$2:$AJ$167,TRUE)),0)</f>
        <v/>
      </c>
      <c r="AI10" s="68">
        <f t="array" ref="AI10">IF($D10,SUMPRODUCT((economics!$AG$2:$AG$167=$B10)*(economics!$D$2:$D$167="process")*economics!$AI$2:$AI$167*_xlfn.NORM.DIST(AI$3,economics!$AK$2:$AK$167,economics!$AJ$2:$AJ$167,TRUE)),0)</f>
        <v/>
      </c>
      <c r="AJ10" s="68">
        <f t="array" ref="AJ10">IF($D10,SUMPRODUCT((economics!$AG$2:$AG$167=$B10)*(economics!$D$2:$D$167="process")*economics!$AI$2:$AI$167*_xlfn.NORM.DIST(AJ$3,economics!$AK$2:$AK$167,economics!$AJ$2:$AJ$167,TRUE)),0)</f>
        <v/>
      </c>
      <c r="AK10" s="68">
        <f t="array" ref="AK10">IF($D10,SUMPRODUCT((economics!$AG$2:$AG$167=$B10)*(economics!$D$2:$D$167="process")*economics!$AI$2:$AI$167*_xlfn.NORM.DIST(AK$3,economics!$AK$2:$AK$167,economics!$AJ$2:$AJ$167,TRUE)),0)</f>
        <v/>
      </c>
      <c r="AL10" s="68">
        <f t="array" ref="AL10">IF($D10,SUMPRODUCT((economics!$AG$2:$AG$167=$B10)*(economics!$D$2:$D$167="process")*economics!$AI$2:$AI$167*_xlfn.NORM.DIST(AL$3,economics!$AK$2:$AK$167,economics!$AJ$2:$AJ$167,TRUE)),0)</f>
        <v/>
      </c>
      <c r="AM10" s="68">
        <f t="array" ref="AM10">IF($D10,SUMPRODUCT((economics!$AG$2:$AG$167=$B10)*(economics!$D$2:$D$167="process")*economics!$AI$2:$AI$167*_xlfn.NORM.DIST(AM$3,economics!$AK$2:$AK$167,economics!$AJ$2:$AJ$167,TRUE)),0)</f>
        <v/>
      </c>
      <c r="AN10" s="68">
        <f t="array" ref="AN10">IF($D10,SUMPRODUCT((economics!$AG$2:$AG$167=$B10)*(economics!$D$2:$D$167="process")*economics!$AI$2:$AI$167*_xlfn.NORM.DIST(AN$3,economics!$AK$2:$AK$167,economics!$AJ$2:$AJ$167,TRUE)),0)</f>
        <v/>
      </c>
      <c r="AO10" s="68">
        <f t="array" ref="AO10">IF($D10,SUMPRODUCT((economics!$AG$2:$AG$167=$B10)*(economics!$D$2:$D$167="process")*economics!$AI$2:$AI$167*_xlfn.NORM.DIST(AO$3,economics!$AK$2:$AK$167,economics!$AJ$2:$AJ$167,TRUE)),0)</f>
        <v/>
      </c>
      <c r="AP10" s="68">
        <f t="array" ref="AP10">IF($D10,SUMPRODUCT((economics!$AG$2:$AG$167=$B10)*(economics!$D$2:$D$167="process")*economics!$AI$2:$AI$167*_xlfn.NORM.DIST(AP$3,economics!$AK$2:$AK$167,economics!$AJ$2:$AJ$167,TRUE)),0)</f>
        <v/>
      </c>
      <c r="AQ10" s="68">
        <f t="array" ref="AQ10">IF($D10,SUMPRODUCT((economics!$AG$2:$AG$167=$B10)*(economics!$D$2:$D$167="process")*economics!$AI$2:$AI$167*_xlfn.NORM.DIST(AQ$3,economics!$AK$2:$AK$167,economics!$AJ$2:$AJ$167,TRUE)),0)</f>
        <v/>
      </c>
      <c r="AR10" s="68">
        <f t="array" ref="AR10">IF($D10,SUMPRODUCT((economics!$AG$2:$AG$167=$B10)*(economics!$D$2:$D$167="process")*economics!$AI$2:$AI$167*_xlfn.NORM.DIST(AR$3,economics!$AK$2:$AK$167,economics!$AJ$2:$AJ$167,TRUE)),0)</f>
        <v/>
      </c>
      <c r="AS10" s="68">
        <f t="array" ref="AS10">IF($D10,SUMPRODUCT((economics!$AG$2:$AG$167=$B10)*(economics!$D$2:$D$167="process")*economics!$AI$2:$AI$167*_xlfn.NORM.DIST(AS$3,economics!$AK$2:$AK$167,economics!$AJ$2:$AJ$167,TRUE)),0)</f>
        <v/>
      </c>
      <c r="AT10" s="68">
        <f t="array" ref="AT10">IF($D10,SUMPRODUCT((economics!$AG$2:$AG$167=$B10)*(economics!$D$2:$D$167="process")*economics!$AI$2:$AI$167*_xlfn.NORM.DIST(AT$3,economics!$AK$2:$AK$167,economics!$AJ$2:$AJ$167,TRUE)),0)</f>
        <v/>
      </c>
      <c r="AU10" s="68">
        <f t="array" ref="AU10">IF($D10,SUMPRODUCT((economics!$AG$2:$AG$167=$B10)*(economics!$D$2:$D$167="process")*economics!$AI$2:$AI$167*_xlfn.NORM.DIST(AU$3,economics!$AK$2:$AK$167,economics!$AJ$2:$AJ$167,TRUE)),0)</f>
        <v/>
      </c>
      <c r="AV10" s="68">
        <f t="array" ref="AV10">IF($D10,SUMPRODUCT((economics!$AG$2:$AG$167=$B10)*(economics!$D$2:$D$167="process")*economics!$AI$2:$AI$167*_xlfn.NORM.DIST(AV$3,economics!$AK$2:$AK$167,economics!$AJ$2:$AJ$167,TRUE)),0)</f>
        <v/>
      </c>
      <c r="AW10" s="68">
        <f t="array" ref="AW10">IF($D10,SUMPRODUCT((economics!$AG$2:$AG$167=$B10)*(economics!$D$2:$D$167="process")*economics!$AI$2:$AI$167*_xlfn.NORM.DIST(AW$3,economics!$AK$2:$AK$167,economics!$AJ$2:$AJ$167,TRUE)),0)</f>
        <v/>
      </c>
      <c r="AX10" s="68">
        <f t="array" ref="AX10">IF($D10,SUMPRODUCT((economics!$AG$2:$AG$167=$B10)*(economics!$D$2:$D$167="process")*economics!$AI$2:$AI$167*_xlfn.NORM.DIST(AX$3,economics!$AK$2:$AK$167,economics!$AJ$2:$AJ$167,TRUE)),0)</f>
        <v/>
      </c>
      <c r="AY10" s="68">
        <f t="array" ref="AY10">IF($D10,SUMPRODUCT((economics!$AG$2:$AG$167=$B10)*(economics!$D$2:$D$167="process")*economics!$AI$2:$AI$167*_xlfn.NORM.DIST(AY$3,economics!$AK$2:$AK$167,economics!$AJ$2:$AJ$167,TRUE)),0)</f>
        <v/>
      </c>
      <c r="AZ10" s="68">
        <f t="array" ref="AZ10">IF($D10,SUMPRODUCT((economics!$AG$2:$AG$167=$B10)*(economics!$D$2:$D$167="process")*economics!$AI$2:$AI$167*_xlfn.NORM.DIST(AZ$3,economics!$AK$2:$AK$167,economics!$AJ$2:$AJ$167,TRUE)),0)</f>
        <v/>
      </c>
      <c r="BA10" s="68">
        <f t="array" ref="BA10">IF($D10,SUMPRODUCT((economics!$AG$2:$AG$167=$B10)*(economics!$D$2:$D$167="process")*economics!$AI$2:$AI$167*_xlfn.NORM.DIST(BA$3,economics!$AK$2:$AK$167,economics!$AJ$2:$AJ$167,TRUE)),0)</f>
        <v/>
      </c>
      <c r="BB10" s="68">
        <f t="array" ref="BB10">IF($D10,SUMPRODUCT((economics!$AG$2:$AG$167=$B10)*(economics!$D$2:$D$167="process")*economics!$AI$2:$AI$167*_xlfn.NORM.DIST(BB$3,economics!$AK$2:$AK$167,economics!$AJ$2:$AJ$167,TRUE)),0)</f>
        <v/>
      </c>
      <c r="BC10" s="68">
        <f t="array" ref="BC10">IF($D10,SUMPRODUCT((economics!$AG$2:$AG$167=$B10)*(economics!$D$2:$D$167="process")*economics!$AI$2:$AI$167*_xlfn.NORM.DIST(BC$3,economics!$AK$2:$AK$167,economics!$AJ$2:$AJ$167,TRUE)),0)</f>
        <v/>
      </c>
      <c r="BD10" s="68">
        <f t="array" ref="BD10">IF($D10,SUMPRODUCT((economics!$AG$2:$AG$167=$B10)*(economics!$D$2:$D$167="process")*economics!$AI$2:$AI$167*_xlfn.NORM.DIST(BD$3,economics!$AK$2:$AK$167,economics!$AJ$2:$AJ$167,TRUE)),0)</f>
        <v/>
      </c>
      <c r="BE10" s="68">
        <f t="array" ref="BE10">IF($D10,SUMPRODUCT((economics!$AG$2:$AG$167=$B10)*(economics!$D$2:$D$167="process")*economics!$AI$2:$AI$167*_xlfn.NORM.DIST(BE$3,economics!$AK$2:$AK$167,economics!$AJ$2:$AJ$167,TRUE)),0)</f>
        <v/>
      </c>
      <c r="BF10" s="68">
        <f t="array" ref="BF10">IF($D10,SUMPRODUCT((economics!$AG$2:$AG$167=$B10)*(economics!$D$2:$D$167="process")*economics!$AI$2:$AI$167*_xlfn.NORM.DIST(BF$3,economics!$AK$2:$AK$167,economics!$AJ$2:$AJ$167,TRUE)),0)</f>
        <v/>
      </c>
      <c r="BG10" s="68">
        <f t="array" ref="BG10">IF($D10,SUMPRODUCT((economics!$AG$2:$AG$167=$B10)*(economics!$D$2:$D$167="process")*economics!$AI$2:$AI$167*_xlfn.NORM.DIST(BG$3,economics!$AK$2:$AK$167,economics!$AJ$2:$AJ$167,TRUE)),0)</f>
        <v/>
      </c>
      <c r="BH10" s="68">
        <f t="array" ref="BH10">IF($D10,SUMPRODUCT((economics!$AG$2:$AG$167=$B10)*(economics!$D$2:$D$167="process")*economics!$AI$2:$AI$167*_xlfn.NORM.DIST(BH$3,economics!$AK$2:$AK$167,economics!$AJ$2:$AJ$167,TRUE)),0)</f>
        <v/>
      </c>
      <c r="BI10" s="68">
        <f t="array" ref="BI10">IF($D10,SUMPRODUCT((economics!$AG$2:$AG$167=$B10)*(economics!$D$2:$D$167="process")*economics!$AI$2:$AI$167*_xlfn.NORM.DIST(BI$3,economics!$AK$2:$AK$167,economics!$AJ$2:$AJ$167,TRUE)),0)</f>
        <v/>
      </c>
      <c r="BJ10" s="68">
        <f t="array" ref="BJ10">IF($D10,SUMPRODUCT((economics!$AG$2:$AG$167=$B10)*(economics!$D$2:$D$167="process")*economics!$AI$2:$AI$167*_xlfn.NORM.DIST(BJ$3,economics!$AK$2:$AK$167,economics!$AJ$2:$AJ$167,TRUE)),0)</f>
        <v/>
      </c>
      <c r="BK10" s="68">
        <f t="array" ref="BK10">IF($D10,SUMPRODUCT((economics!$AG$2:$AG$167=$B10)*(economics!$D$2:$D$167="process")*economics!$AI$2:$AI$167*_xlfn.NORM.DIST(BK$3,economics!$AK$2:$AK$167,economics!$AJ$2:$AJ$167,TRUE)),0)</f>
        <v/>
      </c>
      <c r="BL10" s="68">
        <f t="array" ref="BL10">IF($D10,SUMPRODUCT((economics!$AG$2:$AG$167=$B10)*(economics!$D$2:$D$167="process")*economics!$AI$2:$AI$167*_xlfn.NORM.DIST(BL$3,economics!$AK$2:$AK$167,economics!$AJ$2:$AJ$167,TRUE)),0)</f>
        <v/>
      </c>
      <c r="BM10" s="68">
        <f t="array" ref="BM10">IF($D10,SUMPRODUCT((economics!$AG$2:$AG$167=$B10)*(economics!$D$2:$D$167="process")*economics!$AI$2:$AI$167*_xlfn.NORM.DIST(BM$3,economics!$AK$2:$AK$167,economics!$AJ$2:$AJ$167,TRUE)),0)</f>
        <v/>
      </c>
      <c r="BN10" s="68">
        <f t="array" ref="BN10">IF($D10,SUMPRODUCT((economics!$AG$2:$AG$167=$B10)*(economics!$D$2:$D$167="process")*economics!$AI$2:$AI$167*_xlfn.NORM.DIST(BN$3,economics!$AK$2:$AK$167,economics!$AJ$2:$AJ$167,TRUE)),0)</f>
        <v/>
      </c>
      <c r="BO10" s="68">
        <f t="array" ref="BO10">IF($D10,SUMPRODUCT((economics!$AG$2:$AG$167=$B10)*(economics!$D$2:$D$167="process")*economics!$AI$2:$AI$167*_xlfn.NORM.DIST(BO$3,economics!$AK$2:$AK$167,economics!$AJ$2:$AJ$167,TRUE)),0)</f>
        <v/>
      </c>
      <c r="BP10" s="68">
        <f t="array" ref="BP10">IF($D10,SUMPRODUCT((economics!$AG$2:$AG$167=$B10)*(economics!$D$2:$D$167="process")*economics!$AI$2:$AI$167*_xlfn.NORM.DIST(BP$3,economics!$AK$2:$AK$167,economics!$AJ$2:$AJ$167,TRUE)),0)</f>
        <v/>
      </c>
      <c r="BQ10" s="68">
        <f t="array" ref="BQ10">IF($D10,SUMPRODUCT((economics!$AG$2:$AG$167=$B10)*(economics!$D$2:$D$167="process")*economics!$AI$2:$AI$167*_xlfn.NORM.DIST(BQ$3,economics!$AK$2:$AK$167,economics!$AJ$2:$AJ$167,TRUE)),0)</f>
        <v/>
      </c>
      <c r="BR10" s="68">
        <f t="array" ref="BR10">IF($D10,SUMPRODUCT((economics!$AG$2:$AG$167=$B10)*(economics!$D$2:$D$167="process")*economics!$AI$2:$AI$167*_xlfn.NORM.DIST(BR$3,economics!$AK$2:$AK$167,economics!$AJ$2:$AJ$167,TRUE)),0)</f>
        <v/>
      </c>
      <c r="BS10" s="68">
        <f t="array" ref="BS10">IF($D10,SUMPRODUCT((economics!$AG$2:$AG$167=$B10)*(economics!$D$2:$D$167="process")*economics!$AI$2:$AI$167*_xlfn.NORM.DIST(BS$3,economics!$AK$2:$AK$167,economics!$AJ$2:$AJ$167,TRUE)),0)</f>
        <v/>
      </c>
      <c r="BT10" s="68">
        <f t="array" ref="BT10">IF($D10,SUMPRODUCT((economics!$AG$2:$AG$167=$B10)*(economics!$D$2:$D$167="process")*economics!$AI$2:$AI$167*_xlfn.NORM.DIST(BT$3,economics!$AK$2:$AK$167,economics!$AJ$2:$AJ$167,TRUE)),0)</f>
        <v/>
      </c>
      <c r="BU10" s="68">
        <f t="array" ref="BU10">IF($D10,SUMPRODUCT((economics!$AG$2:$AG$167=$B10)*(economics!$D$2:$D$167="process")*economics!$AI$2:$AI$167*_xlfn.NORM.DIST(BU$3,economics!$AK$2:$AK$167,economics!$AJ$2:$AJ$167,TRUE)),0)</f>
        <v/>
      </c>
      <c r="BV10" s="68">
        <f t="array" ref="BV10">IF($D10,SUMPRODUCT((economics!$AG$2:$AG$167=$B10)*(economics!$D$2:$D$167="process")*economics!$AI$2:$AI$167*_xlfn.NORM.DIST(BV$3,economics!$AK$2:$AK$167,economics!$AJ$2:$AJ$167,TRUE)),0)</f>
        <v/>
      </c>
      <c r="BW10" s="68">
        <f t="array" ref="BW10">IF($D10,SUMPRODUCT((economics!$AG$2:$AG$167=$B10)*(economics!$D$2:$D$167="process")*economics!$AI$2:$AI$167*_xlfn.NORM.DIST(BW$3,economics!$AK$2:$AK$167,economics!$AJ$2:$AJ$167,TRUE)),0)</f>
        <v/>
      </c>
      <c r="BX10" s="68">
        <f t="array" ref="BX10">IF($D10,SUMPRODUCT((economics!$AG$2:$AG$167=$B10)*(economics!$D$2:$D$167="process")*economics!$AI$2:$AI$167*_xlfn.NORM.DIST(BX$3,economics!$AK$2:$AK$167,economics!$AJ$2:$AJ$167,TRUE)),0)</f>
        <v/>
      </c>
      <c r="BY10" s="68">
        <f t="array" ref="BY10">IF($D10,SUMPRODUCT((economics!$AG$2:$AG$167=$B10)*(economics!$D$2:$D$167="process")*economics!$AI$2:$AI$167*_xlfn.NORM.DIST(BY$3,economics!$AK$2:$AK$167,economics!$AJ$2:$AJ$167,TRUE)),0)</f>
        <v/>
      </c>
      <c r="BZ10" s="68">
        <f t="array" ref="BZ10">IF($D10,SUMPRODUCT((economics!$AG$2:$AG$167=$B10)*(economics!$D$2:$D$167="process")*economics!$AI$2:$AI$167*_xlfn.NORM.DIST(BZ$3,economics!$AK$2:$AK$167,economics!$AJ$2:$AJ$167,TRUE)),0)</f>
        <v/>
      </c>
      <c r="CA10" s="68">
        <f t="array" ref="CA10">IF($D10,SUMPRODUCT((economics!$AG$2:$AG$167=$B10)*(economics!$D$2:$D$167="process")*economics!$AI$2:$AI$167*_xlfn.NORM.DIST(CA$3,economics!$AK$2:$AK$167,economics!$AJ$2:$AJ$167,TRUE)),0)</f>
        <v/>
      </c>
      <c r="CB10" s="68">
        <f t="array" ref="CB10">IF($D10,SUMPRODUCT((economics!$AG$2:$AG$167=$B10)*(economics!$D$2:$D$167="process")*economics!$AI$2:$AI$167*_xlfn.NORM.DIST(CB$3,economics!$AK$2:$AK$167,economics!$AJ$2:$AJ$167,TRUE)),0)</f>
        <v/>
      </c>
      <c r="CC10" s="68">
        <f t="array" ref="CC10">IF($D10,SUMPRODUCT((economics!$AG$2:$AG$167=$B10)*(economics!$D$2:$D$167="process")*economics!$AI$2:$AI$167*_xlfn.NORM.DIST(CC$3,economics!$AK$2:$AK$167,economics!$AJ$2:$AJ$167,TRUE)),0)</f>
        <v/>
      </c>
      <c r="CD10" s="68">
        <f t="array" ref="CD10">IF($D10,SUMPRODUCT((economics!$AG$2:$AG$167=$B10)*(economics!$D$2:$D$167="process")*economics!$AI$2:$AI$167*_xlfn.NORM.DIST(CD$3,economics!$AK$2:$AK$167,economics!$AJ$2:$AJ$167,TRUE)),0)</f>
        <v/>
      </c>
      <c r="CE10" s="68">
        <f t="array" ref="CE10">IF($D10,SUMPRODUCT((economics!$AG$2:$AG$167=$B10)*(economics!$D$2:$D$167="process")*economics!$AI$2:$AI$167*_xlfn.NORM.DIST(CE$3,economics!$AK$2:$AK$167,economics!$AJ$2:$AJ$167,TRUE)),0)</f>
        <v/>
      </c>
      <c r="CF10" s="68">
        <f t="array" ref="CF10">IF($D10,SUMPRODUCT((economics!$AG$2:$AG$167=$B10)*(economics!$D$2:$D$167="process")*economics!$AI$2:$AI$167*_xlfn.NORM.DIST(CF$3,economics!$AK$2:$AK$167,economics!$AJ$2:$AJ$167,TRUE)),0)</f>
        <v/>
      </c>
      <c r="CG10" s="68">
        <f t="array" ref="CG10">IF($D10,SUMPRODUCT((economics!$AG$2:$AG$167=$B10)*(economics!$D$2:$D$167="process")*economics!$AI$2:$AI$167*_xlfn.NORM.DIST(CG$3,economics!$AK$2:$AK$167,economics!$AJ$2:$AJ$167,TRUE)),0)</f>
        <v/>
      </c>
      <c r="CH10" s="68">
        <f t="array" ref="CH10">IF($D10,SUMPRODUCT((economics!$AG$2:$AG$167=$B10)*(economics!$D$2:$D$167="process")*economics!$AI$2:$AI$167*_xlfn.NORM.DIST(CH$3,economics!$AK$2:$AK$167,economics!$AJ$2:$AJ$167,TRUE)),0)</f>
        <v/>
      </c>
    </row>
    <row r="11">
      <c r="A11">
        <f>WHRPbI!A9</f>
        <v/>
      </c>
      <c r="B11" t="inlineStr">
        <is>
          <t>17T18</t>
        </is>
      </c>
      <c r="C11" s="68">
        <f>WHRPbI!B9</f>
        <v/>
      </c>
      <c r="D11">
        <f>ISNUMBER(MATCH($B11,'energy base (MECS)'!$K$4:$K$9,0))</f>
        <v/>
      </c>
      <c r="E11" s="68">
        <f t="array" ref="E11">IF($D11,SUMPRODUCT((economics!$AG$2:$AG$167=$B11)*(economics!$D$2:$D$167="process")*economics!$AI$2:$AI$167*_xlfn.NORM.DIST(E$3,economics!$AK$2:$AK$167,economics!$AJ$2:$AJ$167,TRUE)),0)</f>
        <v/>
      </c>
      <c r="F11" s="68">
        <f t="array" ref="F11">IF($D11,SUMPRODUCT((economics!$AG$2:$AG$167=$B11)*(economics!$D$2:$D$167="process")*economics!$AI$2:$AI$167*_xlfn.NORM.DIST(F$3,economics!$AK$2:$AK$167,economics!$AJ$2:$AJ$167,TRUE)),0)</f>
        <v/>
      </c>
      <c r="G11" s="68">
        <f t="array" ref="G11">IF($D11,SUMPRODUCT((economics!$AG$2:$AG$167=$B11)*(economics!$D$2:$D$167="process")*economics!$AI$2:$AI$167*_xlfn.NORM.DIST(G$3,economics!$AK$2:$AK$167,economics!$AJ$2:$AJ$167,TRUE)),0)</f>
        <v/>
      </c>
      <c r="H11" s="68">
        <f t="array" ref="H11">IF($D11,SUMPRODUCT((economics!$AG$2:$AG$167=$B11)*(economics!$D$2:$D$167="process")*economics!$AI$2:$AI$167*_xlfn.NORM.DIST(H$3,economics!$AK$2:$AK$167,economics!$AJ$2:$AJ$167,TRUE)),0)</f>
        <v/>
      </c>
      <c r="I11" s="68">
        <f t="array" ref="I11">IF($D11,SUMPRODUCT((economics!$AG$2:$AG$167=$B11)*(economics!$D$2:$D$167="process")*economics!$AI$2:$AI$167*_xlfn.NORM.DIST(I$3,economics!$AK$2:$AK$167,economics!$AJ$2:$AJ$167,TRUE)),0)</f>
        <v/>
      </c>
      <c r="J11" s="68">
        <f t="array" ref="J11">IF($D11,SUMPRODUCT((economics!$AG$2:$AG$167=$B11)*(economics!$D$2:$D$167="process")*economics!$AI$2:$AI$167*_xlfn.NORM.DIST(J$3,economics!$AK$2:$AK$167,economics!$AJ$2:$AJ$167,TRUE)),0)</f>
        <v/>
      </c>
      <c r="K11" s="68">
        <f t="array" ref="K11">IF($D11,SUMPRODUCT((economics!$AG$2:$AG$167=$B11)*(economics!$D$2:$D$167="process")*economics!$AI$2:$AI$167*_xlfn.NORM.DIST(K$3,economics!$AK$2:$AK$167,economics!$AJ$2:$AJ$167,TRUE)),0)</f>
        <v/>
      </c>
      <c r="L11" s="68">
        <f t="array" ref="L11">IF($D11,SUMPRODUCT((economics!$AG$2:$AG$167=$B11)*(economics!$D$2:$D$167="process")*economics!$AI$2:$AI$167*_xlfn.NORM.DIST(L$3,economics!$AK$2:$AK$167,economics!$AJ$2:$AJ$167,TRUE)),0)</f>
        <v/>
      </c>
      <c r="M11" s="68">
        <f t="array" ref="M11">IF($D11,SUMPRODUCT((economics!$AG$2:$AG$167=$B11)*(economics!$D$2:$D$167="process")*economics!$AI$2:$AI$167*_xlfn.NORM.DIST(M$3,economics!$AK$2:$AK$167,economics!$AJ$2:$AJ$167,TRUE)),0)</f>
        <v/>
      </c>
      <c r="N11" s="68">
        <f t="array" ref="N11">IF($D11,SUMPRODUCT((economics!$AG$2:$AG$167=$B11)*(economics!$D$2:$D$167="process")*economics!$AI$2:$AI$167*_xlfn.NORM.DIST(N$3,economics!$AK$2:$AK$167,economics!$AJ$2:$AJ$167,TRUE)),0)</f>
        <v/>
      </c>
      <c r="O11" s="68">
        <f t="array" ref="O11">IF($D11,SUMPRODUCT((economics!$AG$2:$AG$167=$B11)*(economics!$D$2:$D$167="process")*economics!$AI$2:$AI$167*_xlfn.NORM.DIST(O$3,economics!$AK$2:$AK$167,economics!$AJ$2:$AJ$167,TRUE)),0)</f>
        <v/>
      </c>
      <c r="P11" s="68">
        <f t="array" ref="P11">IF($D11,SUMPRODUCT((economics!$AG$2:$AG$167=$B11)*(economics!$D$2:$D$167="process")*economics!$AI$2:$AI$167*_xlfn.NORM.DIST(P$3,economics!$AK$2:$AK$167,economics!$AJ$2:$AJ$167,TRUE)),0)</f>
        <v/>
      </c>
      <c r="Q11" s="68">
        <f t="array" ref="Q11">IF($D11,SUMPRODUCT((economics!$AG$2:$AG$167=$B11)*(economics!$D$2:$D$167="process")*economics!$AI$2:$AI$167*_xlfn.NORM.DIST(Q$3,economics!$AK$2:$AK$167,economics!$AJ$2:$AJ$167,TRUE)),0)</f>
        <v/>
      </c>
      <c r="R11" s="68">
        <f t="array" ref="R11">IF($D11,SUMPRODUCT((economics!$AG$2:$AG$167=$B11)*(economics!$D$2:$D$167="process")*economics!$AI$2:$AI$167*_xlfn.NORM.DIST(R$3,economics!$AK$2:$AK$167,economics!$AJ$2:$AJ$167,TRUE)),0)</f>
        <v/>
      </c>
      <c r="S11" s="68">
        <f t="array" ref="S11">IF($D11,SUMPRODUCT((economics!$AG$2:$AG$167=$B11)*(economics!$D$2:$D$167="process")*economics!$AI$2:$AI$167*_xlfn.NORM.DIST(S$3,economics!$AK$2:$AK$167,economics!$AJ$2:$AJ$167,TRUE)),0)</f>
        <v/>
      </c>
      <c r="T11" s="68">
        <f t="array" ref="T11">IF($D11,SUMPRODUCT((economics!$AG$2:$AG$167=$B11)*(economics!$D$2:$D$167="process")*economics!$AI$2:$AI$167*_xlfn.NORM.DIST(T$3,economics!$AK$2:$AK$167,economics!$AJ$2:$AJ$167,TRUE)),0)</f>
        <v/>
      </c>
      <c r="U11" s="68">
        <f t="array" ref="U11">IF($D11,SUMPRODUCT((economics!$AG$2:$AG$167=$B11)*(economics!$D$2:$D$167="process")*economics!$AI$2:$AI$167*_xlfn.NORM.DIST(U$3,economics!$AK$2:$AK$167,economics!$AJ$2:$AJ$167,TRUE)),0)</f>
        <v/>
      </c>
      <c r="V11" s="68">
        <f t="array" ref="V11">IF($D11,SUMPRODUCT((economics!$AG$2:$AG$167=$B11)*(economics!$D$2:$D$167="process")*economics!$AI$2:$AI$167*_xlfn.NORM.DIST(V$3,economics!$AK$2:$AK$167,economics!$AJ$2:$AJ$167,TRUE)),0)</f>
        <v/>
      </c>
      <c r="W11" s="68">
        <f t="array" ref="W11">IF($D11,SUMPRODUCT((economics!$AG$2:$AG$167=$B11)*(economics!$D$2:$D$167="process")*economics!$AI$2:$AI$167*_xlfn.NORM.DIST(W$3,economics!$AK$2:$AK$167,economics!$AJ$2:$AJ$167,TRUE)),0)</f>
        <v/>
      </c>
      <c r="X11" s="68">
        <f t="array" ref="X11">IF($D11,SUMPRODUCT((economics!$AG$2:$AG$167=$B11)*(economics!$D$2:$D$167="process")*economics!$AI$2:$AI$167*_xlfn.NORM.DIST(X$3,economics!$AK$2:$AK$167,economics!$AJ$2:$AJ$167,TRUE)),0)</f>
        <v/>
      </c>
      <c r="Y11" s="68">
        <f t="array" ref="Y11">IF($D11,SUMPRODUCT((economics!$AG$2:$AG$167=$B11)*(economics!$D$2:$D$167="process")*economics!$AI$2:$AI$167*_xlfn.NORM.DIST(Y$3,economics!$AK$2:$AK$167,economics!$AJ$2:$AJ$167,TRUE)),0)</f>
        <v/>
      </c>
      <c r="Z11" s="68">
        <f t="array" ref="Z11">IF($D11,SUMPRODUCT((economics!$AG$2:$AG$167=$B11)*(economics!$D$2:$D$167="process")*economics!$AI$2:$AI$167*_xlfn.NORM.DIST(Z$3,economics!$AK$2:$AK$167,economics!$AJ$2:$AJ$167,TRUE)),0)</f>
        <v/>
      </c>
      <c r="AA11" s="68">
        <f t="array" ref="AA11">IF($D11,SUMPRODUCT((economics!$AG$2:$AG$167=$B11)*(economics!$D$2:$D$167="process")*economics!$AI$2:$AI$167*_xlfn.NORM.DIST(AA$3,economics!$AK$2:$AK$167,economics!$AJ$2:$AJ$167,TRUE)),0)</f>
        <v/>
      </c>
      <c r="AB11" s="68">
        <f t="array" ref="AB11">IF($D11,SUMPRODUCT((economics!$AG$2:$AG$167=$B11)*(economics!$D$2:$D$167="process")*economics!$AI$2:$AI$167*_xlfn.NORM.DIST(AB$3,economics!$AK$2:$AK$167,economics!$AJ$2:$AJ$167,TRUE)),0)</f>
        <v/>
      </c>
      <c r="AC11" s="68">
        <f t="array" ref="AC11">IF($D11,SUMPRODUCT((economics!$AG$2:$AG$167=$B11)*(economics!$D$2:$D$167="process")*economics!$AI$2:$AI$167*_xlfn.NORM.DIST(AC$3,economics!$AK$2:$AK$167,economics!$AJ$2:$AJ$167,TRUE)),0)</f>
        <v/>
      </c>
      <c r="AD11" s="68">
        <f t="array" ref="AD11">IF($D11,SUMPRODUCT((economics!$AG$2:$AG$167=$B11)*(economics!$D$2:$D$167="process")*economics!$AI$2:$AI$167*_xlfn.NORM.DIST(AD$3,economics!$AK$2:$AK$167,economics!$AJ$2:$AJ$167,TRUE)),0)</f>
        <v/>
      </c>
      <c r="AE11" s="68">
        <f t="array" ref="AE11">IF($D11,SUMPRODUCT((economics!$AG$2:$AG$167=$B11)*(economics!$D$2:$D$167="process")*economics!$AI$2:$AI$167*_xlfn.NORM.DIST(AE$3,economics!$AK$2:$AK$167,economics!$AJ$2:$AJ$167,TRUE)),0)</f>
        <v/>
      </c>
      <c r="AF11" s="68">
        <f t="array" ref="AF11">IF($D11,SUMPRODUCT((economics!$AG$2:$AG$167=$B11)*(economics!$D$2:$D$167="process")*economics!$AI$2:$AI$167*_xlfn.NORM.DIST(AF$3,economics!$AK$2:$AK$167,economics!$AJ$2:$AJ$167,TRUE)),0)</f>
        <v/>
      </c>
      <c r="AG11" s="68">
        <f t="array" ref="AG11">IF($D11,SUMPRODUCT((economics!$AG$2:$AG$167=$B11)*(economics!$D$2:$D$167="process")*economics!$AI$2:$AI$167*_xlfn.NORM.DIST(AG$3,economics!$AK$2:$AK$167,economics!$AJ$2:$AJ$167,TRUE)),0)</f>
        <v/>
      </c>
      <c r="AH11" s="68">
        <f t="array" ref="AH11">IF($D11,SUMPRODUCT((economics!$AG$2:$AG$167=$B11)*(economics!$D$2:$D$167="process")*economics!$AI$2:$AI$167*_xlfn.NORM.DIST(AH$3,economics!$AK$2:$AK$167,economics!$AJ$2:$AJ$167,TRUE)),0)</f>
        <v/>
      </c>
      <c r="AI11" s="68">
        <f t="array" ref="AI11">IF($D11,SUMPRODUCT((economics!$AG$2:$AG$167=$B11)*(economics!$D$2:$D$167="process")*economics!$AI$2:$AI$167*_xlfn.NORM.DIST(AI$3,economics!$AK$2:$AK$167,economics!$AJ$2:$AJ$167,TRUE)),0)</f>
        <v/>
      </c>
      <c r="AJ11" s="68">
        <f t="array" ref="AJ11">IF($D11,SUMPRODUCT((economics!$AG$2:$AG$167=$B11)*(economics!$D$2:$D$167="process")*economics!$AI$2:$AI$167*_xlfn.NORM.DIST(AJ$3,economics!$AK$2:$AK$167,economics!$AJ$2:$AJ$167,TRUE)),0)</f>
        <v/>
      </c>
      <c r="AK11" s="68">
        <f t="array" ref="AK11">IF($D11,SUMPRODUCT((economics!$AG$2:$AG$167=$B11)*(economics!$D$2:$D$167="process")*economics!$AI$2:$AI$167*_xlfn.NORM.DIST(AK$3,economics!$AK$2:$AK$167,economics!$AJ$2:$AJ$167,TRUE)),0)</f>
        <v/>
      </c>
      <c r="AL11" s="68">
        <f t="array" ref="AL11">IF($D11,SUMPRODUCT((economics!$AG$2:$AG$167=$B11)*(economics!$D$2:$D$167="process")*economics!$AI$2:$AI$167*_xlfn.NORM.DIST(AL$3,economics!$AK$2:$AK$167,economics!$AJ$2:$AJ$167,TRUE)),0)</f>
        <v/>
      </c>
      <c r="AM11" s="68">
        <f t="array" ref="AM11">IF($D11,SUMPRODUCT((economics!$AG$2:$AG$167=$B11)*(economics!$D$2:$D$167="process")*economics!$AI$2:$AI$167*_xlfn.NORM.DIST(AM$3,economics!$AK$2:$AK$167,economics!$AJ$2:$AJ$167,TRUE)),0)</f>
        <v/>
      </c>
      <c r="AN11" s="68">
        <f t="array" ref="AN11">IF($D11,SUMPRODUCT((economics!$AG$2:$AG$167=$B11)*(economics!$D$2:$D$167="process")*economics!$AI$2:$AI$167*_xlfn.NORM.DIST(AN$3,economics!$AK$2:$AK$167,economics!$AJ$2:$AJ$167,TRUE)),0)</f>
        <v/>
      </c>
      <c r="AO11" s="68">
        <f t="array" ref="AO11">IF($D11,SUMPRODUCT((economics!$AG$2:$AG$167=$B11)*(economics!$D$2:$D$167="process")*economics!$AI$2:$AI$167*_xlfn.NORM.DIST(AO$3,economics!$AK$2:$AK$167,economics!$AJ$2:$AJ$167,TRUE)),0)</f>
        <v/>
      </c>
      <c r="AP11" s="68">
        <f t="array" ref="AP11">IF($D11,SUMPRODUCT((economics!$AG$2:$AG$167=$B11)*(economics!$D$2:$D$167="process")*economics!$AI$2:$AI$167*_xlfn.NORM.DIST(AP$3,economics!$AK$2:$AK$167,economics!$AJ$2:$AJ$167,TRUE)),0)</f>
        <v/>
      </c>
      <c r="AQ11" s="68">
        <f t="array" ref="AQ11">IF($D11,SUMPRODUCT((economics!$AG$2:$AG$167=$B11)*(economics!$D$2:$D$167="process")*economics!$AI$2:$AI$167*_xlfn.NORM.DIST(AQ$3,economics!$AK$2:$AK$167,economics!$AJ$2:$AJ$167,TRUE)),0)</f>
        <v/>
      </c>
      <c r="AR11" s="68">
        <f t="array" ref="AR11">IF($D11,SUMPRODUCT((economics!$AG$2:$AG$167=$B11)*(economics!$D$2:$D$167="process")*economics!$AI$2:$AI$167*_xlfn.NORM.DIST(AR$3,economics!$AK$2:$AK$167,economics!$AJ$2:$AJ$167,TRUE)),0)</f>
        <v/>
      </c>
      <c r="AS11" s="68">
        <f t="array" ref="AS11">IF($D11,SUMPRODUCT((economics!$AG$2:$AG$167=$B11)*(economics!$D$2:$D$167="process")*economics!$AI$2:$AI$167*_xlfn.NORM.DIST(AS$3,economics!$AK$2:$AK$167,economics!$AJ$2:$AJ$167,TRUE)),0)</f>
        <v/>
      </c>
      <c r="AT11" s="68">
        <f t="array" ref="AT11">IF($D11,SUMPRODUCT((economics!$AG$2:$AG$167=$B11)*(economics!$D$2:$D$167="process")*economics!$AI$2:$AI$167*_xlfn.NORM.DIST(AT$3,economics!$AK$2:$AK$167,economics!$AJ$2:$AJ$167,TRUE)),0)</f>
        <v/>
      </c>
      <c r="AU11" s="68">
        <f t="array" ref="AU11">IF($D11,SUMPRODUCT((economics!$AG$2:$AG$167=$B11)*(economics!$D$2:$D$167="process")*economics!$AI$2:$AI$167*_xlfn.NORM.DIST(AU$3,economics!$AK$2:$AK$167,economics!$AJ$2:$AJ$167,TRUE)),0)</f>
        <v/>
      </c>
      <c r="AV11" s="68">
        <f t="array" ref="AV11">IF($D11,SUMPRODUCT((economics!$AG$2:$AG$167=$B11)*(economics!$D$2:$D$167="process")*economics!$AI$2:$AI$167*_xlfn.NORM.DIST(AV$3,economics!$AK$2:$AK$167,economics!$AJ$2:$AJ$167,TRUE)),0)</f>
        <v/>
      </c>
      <c r="AW11" s="68">
        <f t="array" ref="AW11">IF($D11,SUMPRODUCT((economics!$AG$2:$AG$167=$B11)*(economics!$D$2:$D$167="process")*economics!$AI$2:$AI$167*_xlfn.NORM.DIST(AW$3,economics!$AK$2:$AK$167,economics!$AJ$2:$AJ$167,TRUE)),0)</f>
        <v/>
      </c>
      <c r="AX11" s="68">
        <f t="array" ref="AX11">IF($D11,SUMPRODUCT((economics!$AG$2:$AG$167=$B11)*(economics!$D$2:$D$167="process")*economics!$AI$2:$AI$167*_xlfn.NORM.DIST(AX$3,economics!$AK$2:$AK$167,economics!$AJ$2:$AJ$167,TRUE)),0)</f>
        <v/>
      </c>
      <c r="AY11" s="68">
        <f t="array" ref="AY11">IF($D11,SUMPRODUCT((economics!$AG$2:$AG$167=$B11)*(economics!$D$2:$D$167="process")*economics!$AI$2:$AI$167*_xlfn.NORM.DIST(AY$3,economics!$AK$2:$AK$167,economics!$AJ$2:$AJ$167,TRUE)),0)</f>
        <v/>
      </c>
      <c r="AZ11" s="68">
        <f t="array" ref="AZ11">IF($D11,SUMPRODUCT((economics!$AG$2:$AG$167=$B11)*(economics!$D$2:$D$167="process")*economics!$AI$2:$AI$167*_xlfn.NORM.DIST(AZ$3,economics!$AK$2:$AK$167,economics!$AJ$2:$AJ$167,TRUE)),0)</f>
        <v/>
      </c>
      <c r="BA11" s="68">
        <f t="array" ref="BA11">IF($D11,SUMPRODUCT((economics!$AG$2:$AG$167=$B11)*(economics!$D$2:$D$167="process")*economics!$AI$2:$AI$167*_xlfn.NORM.DIST(BA$3,economics!$AK$2:$AK$167,economics!$AJ$2:$AJ$167,TRUE)),0)</f>
        <v/>
      </c>
      <c r="BB11" s="68">
        <f t="array" ref="BB11">IF($D11,SUMPRODUCT((economics!$AG$2:$AG$167=$B11)*(economics!$D$2:$D$167="process")*economics!$AI$2:$AI$167*_xlfn.NORM.DIST(BB$3,economics!$AK$2:$AK$167,economics!$AJ$2:$AJ$167,TRUE)),0)</f>
        <v/>
      </c>
      <c r="BC11" s="68">
        <f t="array" ref="BC11">IF($D11,SUMPRODUCT((economics!$AG$2:$AG$167=$B11)*(economics!$D$2:$D$167="process")*economics!$AI$2:$AI$167*_xlfn.NORM.DIST(BC$3,economics!$AK$2:$AK$167,economics!$AJ$2:$AJ$167,TRUE)),0)</f>
        <v/>
      </c>
      <c r="BD11" s="68">
        <f t="array" ref="BD11">IF($D11,SUMPRODUCT((economics!$AG$2:$AG$167=$B11)*(economics!$D$2:$D$167="process")*economics!$AI$2:$AI$167*_xlfn.NORM.DIST(BD$3,economics!$AK$2:$AK$167,economics!$AJ$2:$AJ$167,TRUE)),0)</f>
        <v/>
      </c>
      <c r="BE11" s="68">
        <f t="array" ref="BE11">IF($D11,SUMPRODUCT((economics!$AG$2:$AG$167=$B11)*(economics!$D$2:$D$167="process")*economics!$AI$2:$AI$167*_xlfn.NORM.DIST(BE$3,economics!$AK$2:$AK$167,economics!$AJ$2:$AJ$167,TRUE)),0)</f>
        <v/>
      </c>
      <c r="BF11" s="68">
        <f t="array" ref="BF11">IF($D11,SUMPRODUCT((economics!$AG$2:$AG$167=$B11)*(economics!$D$2:$D$167="process")*economics!$AI$2:$AI$167*_xlfn.NORM.DIST(BF$3,economics!$AK$2:$AK$167,economics!$AJ$2:$AJ$167,TRUE)),0)</f>
        <v/>
      </c>
      <c r="BG11" s="68">
        <f t="array" ref="BG11">IF($D11,SUMPRODUCT((economics!$AG$2:$AG$167=$B11)*(economics!$D$2:$D$167="process")*economics!$AI$2:$AI$167*_xlfn.NORM.DIST(BG$3,economics!$AK$2:$AK$167,economics!$AJ$2:$AJ$167,TRUE)),0)</f>
        <v/>
      </c>
      <c r="BH11" s="68">
        <f t="array" ref="BH11">IF($D11,SUMPRODUCT((economics!$AG$2:$AG$167=$B11)*(economics!$D$2:$D$167="process")*economics!$AI$2:$AI$167*_xlfn.NORM.DIST(BH$3,economics!$AK$2:$AK$167,economics!$AJ$2:$AJ$167,TRUE)),0)</f>
        <v/>
      </c>
      <c r="BI11" s="68">
        <f t="array" ref="BI11">IF($D11,SUMPRODUCT((economics!$AG$2:$AG$167=$B11)*(economics!$D$2:$D$167="process")*economics!$AI$2:$AI$167*_xlfn.NORM.DIST(BI$3,economics!$AK$2:$AK$167,economics!$AJ$2:$AJ$167,TRUE)),0)</f>
        <v/>
      </c>
      <c r="BJ11" s="68">
        <f t="array" ref="BJ11">IF($D11,SUMPRODUCT((economics!$AG$2:$AG$167=$B11)*(economics!$D$2:$D$167="process")*economics!$AI$2:$AI$167*_xlfn.NORM.DIST(BJ$3,economics!$AK$2:$AK$167,economics!$AJ$2:$AJ$167,TRUE)),0)</f>
        <v/>
      </c>
      <c r="BK11" s="68">
        <f t="array" ref="BK11">IF($D11,SUMPRODUCT((economics!$AG$2:$AG$167=$B11)*(economics!$D$2:$D$167="process")*economics!$AI$2:$AI$167*_xlfn.NORM.DIST(BK$3,economics!$AK$2:$AK$167,economics!$AJ$2:$AJ$167,TRUE)),0)</f>
        <v/>
      </c>
      <c r="BL11" s="68">
        <f t="array" ref="BL11">IF($D11,SUMPRODUCT((economics!$AG$2:$AG$167=$B11)*(economics!$D$2:$D$167="process")*economics!$AI$2:$AI$167*_xlfn.NORM.DIST(BL$3,economics!$AK$2:$AK$167,economics!$AJ$2:$AJ$167,TRUE)),0)</f>
        <v/>
      </c>
      <c r="BM11" s="68">
        <f t="array" ref="BM11">IF($D11,SUMPRODUCT((economics!$AG$2:$AG$167=$B11)*(economics!$D$2:$D$167="process")*economics!$AI$2:$AI$167*_xlfn.NORM.DIST(BM$3,economics!$AK$2:$AK$167,economics!$AJ$2:$AJ$167,TRUE)),0)</f>
        <v/>
      </c>
      <c r="BN11" s="68">
        <f t="array" ref="BN11">IF($D11,SUMPRODUCT((economics!$AG$2:$AG$167=$B11)*(economics!$D$2:$D$167="process")*economics!$AI$2:$AI$167*_xlfn.NORM.DIST(BN$3,economics!$AK$2:$AK$167,economics!$AJ$2:$AJ$167,TRUE)),0)</f>
        <v/>
      </c>
      <c r="BO11" s="68">
        <f t="array" ref="BO11">IF($D11,SUMPRODUCT((economics!$AG$2:$AG$167=$B11)*(economics!$D$2:$D$167="process")*economics!$AI$2:$AI$167*_xlfn.NORM.DIST(BO$3,economics!$AK$2:$AK$167,economics!$AJ$2:$AJ$167,TRUE)),0)</f>
        <v/>
      </c>
      <c r="BP11" s="68">
        <f t="array" ref="BP11">IF($D11,SUMPRODUCT((economics!$AG$2:$AG$167=$B11)*(economics!$D$2:$D$167="process")*economics!$AI$2:$AI$167*_xlfn.NORM.DIST(BP$3,economics!$AK$2:$AK$167,economics!$AJ$2:$AJ$167,TRUE)),0)</f>
        <v/>
      </c>
      <c r="BQ11" s="68">
        <f t="array" ref="BQ11">IF($D11,SUMPRODUCT((economics!$AG$2:$AG$167=$B11)*(economics!$D$2:$D$167="process")*economics!$AI$2:$AI$167*_xlfn.NORM.DIST(BQ$3,economics!$AK$2:$AK$167,economics!$AJ$2:$AJ$167,TRUE)),0)</f>
        <v/>
      </c>
      <c r="BR11" s="68">
        <f t="array" ref="BR11">IF($D11,SUMPRODUCT((economics!$AG$2:$AG$167=$B11)*(economics!$D$2:$D$167="process")*economics!$AI$2:$AI$167*_xlfn.NORM.DIST(BR$3,economics!$AK$2:$AK$167,economics!$AJ$2:$AJ$167,TRUE)),0)</f>
        <v/>
      </c>
      <c r="BS11" s="68">
        <f t="array" ref="BS11">IF($D11,SUMPRODUCT((economics!$AG$2:$AG$167=$B11)*(economics!$D$2:$D$167="process")*economics!$AI$2:$AI$167*_xlfn.NORM.DIST(BS$3,economics!$AK$2:$AK$167,economics!$AJ$2:$AJ$167,TRUE)),0)</f>
        <v/>
      </c>
      <c r="BT11" s="68">
        <f t="array" ref="BT11">IF($D11,SUMPRODUCT((economics!$AG$2:$AG$167=$B11)*(economics!$D$2:$D$167="process")*economics!$AI$2:$AI$167*_xlfn.NORM.DIST(BT$3,economics!$AK$2:$AK$167,economics!$AJ$2:$AJ$167,TRUE)),0)</f>
        <v/>
      </c>
      <c r="BU11" s="68">
        <f t="array" ref="BU11">IF($D11,SUMPRODUCT((economics!$AG$2:$AG$167=$B11)*(economics!$D$2:$D$167="process")*economics!$AI$2:$AI$167*_xlfn.NORM.DIST(BU$3,economics!$AK$2:$AK$167,economics!$AJ$2:$AJ$167,TRUE)),0)</f>
        <v/>
      </c>
      <c r="BV11" s="68">
        <f t="array" ref="BV11">IF($D11,SUMPRODUCT((economics!$AG$2:$AG$167=$B11)*(economics!$D$2:$D$167="process")*economics!$AI$2:$AI$167*_xlfn.NORM.DIST(BV$3,economics!$AK$2:$AK$167,economics!$AJ$2:$AJ$167,TRUE)),0)</f>
        <v/>
      </c>
      <c r="BW11" s="68">
        <f t="array" ref="BW11">IF($D11,SUMPRODUCT((economics!$AG$2:$AG$167=$B11)*(economics!$D$2:$D$167="process")*economics!$AI$2:$AI$167*_xlfn.NORM.DIST(BW$3,economics!$AK$2:$AK$167,economics!$AJ$2:$AJ$167,TRUE)),0)</f>
        <v/>
      </c>
      <c r="BX11" s="68">
        <f t="array" ref="BX11">IF($D11,SUMPRODUCT((economics!$AG$2:$AG$167=$B11)*(economics!$D$2:$D$167="process")*economics!$AI$2:$AI$167*_xlfn.NORM.DIST(BX$3,economics!$AK$2:$AK$167,economics!$AJ$2:$AJ$167,TRUE)),0)</f>
        <v/>
      </c>
      <c r="BY11" s="68">
        <f t="array" ref="BY11">IF($D11,SUMPRODUCT((economics!$AG$2:$AG$167=$B11)*(economics!$D$2:$D$167="process")*economics!$AI$2:$AI$167*_xlfn.NORM.DIST(BY$3,economics!$AK$2:$AK$167,economics!$AJ$2:$AJ$167,TRUE)),0)</f>
        <v/>
      </c>
      <c r="BZ11" s="68">
        <f t="array" ref="BZ11">IF($D11,SUMPRODUCT((economics!$AG$2:$AG$167=$B11)*(economics!$D$2:$D$167="process")*economics!$AI$2:$AI$167*_xlfn.NORM.DIST(BZ$3,economics!$AK$2:$AK$167,economics!$AJ$2:$AJ$167,TRUE)),0)</f>
        <v/>
      </c>
      <c r="CA11" s="68">
        <f t="array" ref="CA11">IF($D11,SUMPRODUCT((economics!$AG$2:$AG$167=$B11)*(economics!$D$2:$D$167="process")*economics!$AI$2:$AI$167*_xlfn.NORM.DIST(CA$3,economics!$AK$2:$AK$167,economics!$AJ$2:$AJ$167,TRUE)),0)</f>
        <v/>
      </c>
      <c r="CB11" s="68">
        <f t="array" ref="CB11">IF($D11,SUMPRODUCT((economics!$AG$2:$AG$167=$B11)*(economics!$D$2:$D$167="process")*economics!$AI$2:$AI$167*_xlfn.NORM.DIST(CB$3,economics!$AK$2:$AK$167,economics!$AJ$2:$AJ$167,TRUE)),0)</f>
        <v/>
      </c>
      <c r="CC11" s="68">
        <f t="array" ref="CC11">IF($D11,SUMPRODUCT((economics!$AG$2:$AG$167=$B11)*(economics!$D$2:$D$167="process")*economics!$AI$2:$AI$167*_xlfn.NORM.DIST(CC$3,economics!$AK$2:$AK$167,economics!$AJ$2:$AJ$167,TRUE)),0)</f>
        <v/>
      </c>
      <c r="CD11" s="68">
        <f t="array" ref="CD11">IF($D11,SUMPRODUCT((economics!$AG$2:$AG$167=$B11)*(economics!$D$2:$D$167="process")*economics!$AI$2:$AI$167*_xlfn.NORM.DIST(CD$3,economics!$AK$2:$AK$167,economics!$AJ$2:$AJ$167,TRUE)),0)</f>
        <v/>
      </c>
      <c r="CE11" s="68">
        <f t="array" ref="CE11">IF($D11,SUMPRODUCT((economics!$AG$2:$AG$167=$B11)*(economics!$D$2:$D$167="process")*economics!$AI$2:$AI$167*_xlfn.NORM.DIST(CE$3,economics!$AK$2:$AK$167,economics!$AJ$2:$AJ$167,TRUE)),0)</f>
        <v/>
      </c>
      <c r="CF11" s="68">
        <f t="array" ref="CF11">IF($D11,SUMPRODUCT((economics!$AG$2:$AG$167=$B11)*(economics!$D$2:$D$167="process")*economics!$AI$2:$AI$167*_xlfn.NORM.DIST(CF$3,economics!$AK$2:$AK$167,economics!$AJ$2:$AJ$167,TRUE)),0)</f>
        <v/>
      </c>
      <c r="CG11" s="68">
        <f t="array" ref="CG11">IF($D11,SUMPRODUCT((economics!$AG$2:$AG$167=$B11)*(economics!$D$2:$D$167="process")*economics!$AI$2:$AI$167*_xlfn.NORM.DIST(CG$3,economics!$AK$2:$AK$167,economics!$AJ$2:$AJ$167,TRUE)),0)</f>
        <v/>
      </c>
      <c r="CH11" s="68">
        <f t="array" ref="CH11">IF($D11,SUMPRODUCT((economics!$AG$2:$AG$167=$B11)*(economics!$D$2:$D$167="process")*economics!$AI$2:$AI$167*_xlfn.NORM.DIST(CH$3,economics!$AK$2:$AK$167,economics!$AJ$2:$AJ$167,TRUE)),0)</f>
        <v/>
      </c>
    </row>
    <row r="12">
      <c r="A12">
        <f>WHRPbI!A10</f>
        <v/>
      </c>
      <c r="B12" t="n">
        <v>19</v>
      </c>
      <c r="C12" s="68">
        <f>WHRPbI!B10</f>
        <v/>
      </c>
      <c r="D12">
        <f>ISNUMBER(MATCH($B12,'energy base (MECS)'!$K$4:$K$9,0))</f>
        <v/>
      </c>
      <c r="E12" s="68">
        <f t="array" ref="E12">IF($D12,SUMPRODUCT((economics!$AG$2:$AG$167=$B12)*(economics!$D$2:$D$167="process")*economics!$AI$2:$AI$167*_xlfn.NORM.DIST(E$3,economics!$AK$2:$AK$167,economics!$AJ$2:$AJ$167,TRUE)),0)</f>
        <v/>
      </c>
      <c r="F12" s="68">
        <f t="array" ref="F12">IF($D12,SUMPRODUCT((economics!$AG$2:$AG$167=$B12)*(economics!$D$2:$D$167="process")*economics!$AI$2:$AI$167*_xlfn.NORM.DIST(F$3,economics!$AK$2:$AK$167,economics!$AJ$2:$AJ$167,TRUE)),0)</f>
        <v/>
      </c>
      <c r="G12" s="68">
        <f t="array" ref="G12">IF($D12,SUMPRODUCT((economics!$AG$2:$AG$167=$B12)*(economics!$D$2:$D$167="process")*economics!$AI$2:$AI$167*_xlfn.NORM.DIST(G$3,economics!$AK$2:$AK$167,economics!$AJ$2:$AJ$167,TRUE)),0)</f>
        <v/>
      </c>
      <c r="H12" s="68">
        <f t="array" ref="H12">IF($D12,SUMPRODUCT((economics!$AG$2:$AG$167=$B12)*(economics!$D$2:$D$167="process")*economics!$AI$2:$AI$167*_xlfn.NORM.DIST(H$3,economics!$AK$2:$AK$167,economics!$AJ$2:$AJ$167,TRUE)),0)</f>
        <v/>
      </c>
      <c r="I12" s="68">
        <f t="array" ref="I12">IF($D12,SUMPRODUCT((economics!$AG$2:$AG$167=$B12)*(economics!$D$2:$D$167="process")*economics!$AI$2:$AI$167*_xlfn.NORM.DIST(I$3,economics!$AK$2:$AK$167,economics!$AJ$2:$AJ$167,TRUE)),0)</f>
        <v/>
      </c>
      <c r="J12" s="68">
        <f t="array" ref="J12">IF($D12,SUMPRODUCT((economics!$AG$2:$AG$167=$B12)*(economics!$D$2:$D$167="process")*economics!$AI$2:$AI$167*_xlfn.NORM.DIST(J$3,economics!$AK$2:$AK$167,economics!$AJ$2:$AJ$167,TRUE)),0)</f>
        <v/>
      </c>
      <c r="K12" s="68">
        <f t="array" ref="K12">IF($D12,SUMPRODUCT((economics!$AG$2:$AG$167=$B12)*(economics!$D$2:$D$167="process")*economics!$AI$2:$AI$167*_xlfn.NORM.DIST(K$3,economics!$AK$2:$AK$167,economics!$AJ$2:$AJ$167,TRUE)),0)</f>
        <v/>
      </c>
      <c r="L12" s="68">
        <f t="array" ref="L12">IF($D12,SUMPRODUCT((economics!$AG$2:$AG$167=$B12)*(economics!$D$2:$D$167="process")*economics!$AI$2:$AI$167*_xlfn.NORM.DIST(L$3,economics!$AK$2:$AK$167,economics!$AJ$2:$AJ$167,TRUE)),0)</f>
        <v/>
      </c>
      <c r="M12" s="68">
        <f t="array" ref="M12">IF($D12,SUMPRODUCT((economics!$AG$2:$AG$167=$B12)*(economics!$D$2:$D$167="process")*economics!$AI$2:$AI$167*_xlfn.NORM.DIST(M$3,economics!$AK$2:$AK$167,economics!$AJ$2:$AJ$167,TRUE)),0)</f>
        <v/>
      </c>
      <c r="N12" s="68">
        <f t="array" ref="N12">IF($D12,SUMPRODUCT((economics!$AG$2:$AG$167=$B12)*(economics!$D$2:$D$167="process")*economics!$AI$2:$AI$167*_xlfn.NORM.DIST(N$3,economics!$AK$2:$AK$167,economics!$AJ$2:$AJ$167,TRUE)),0)</f>
        <v/>
      </c>
      <c r="O12" s="68">
        <f t="array" ref="O12">IF($D12,SUMPRODUCT((economics!$AG$2:$AG$167=$B12)*(economics!$D$2:$D$167="process")*economics!$AI$2:$AI$167*_xlfn.NORM.DIST(O$3,economics!$AK$2:$AK$167,economics!$AJ$2:$AJ$167,TRUE)),0)</f>
        <v/>
      </c>
      <c r="P12" s="68">
        <f t="array" ref="P12">IF($D12,SUMPRODUCT((economics!$AG$2:$AG$167=$B12)*(economics!$D$2:$D$167="process")*economics!$AI$2:$AI$167*_xlfn.NORM.DIST(P$3,economics!$AK$2:$AK$167,economics!$AJ$2:$AJ$167,TRUE)),0)</f>
        <v/>
      </c>
      <c r="Q12" s="68">
        <f t="array" ref="Q12">IF($D12,SUMPRODUCT((economics!$AG$2:$AG$167=$B12)*(economics!$D$2:$D$167="process")*economics!$AI$2:$AI$167*_xlfn.NORM.DIST(Q$3,economics!$AK$2:$AK$167,economics!$AJ$2:$AJ$167,TRUE)),0)</f>
        <v/>
      </c>
      <c r="R12" s="68">
        <f t="array" ref="R12">IF($D12,SUMPRODUCT((economics!$AG$2:$AG$167=$B12)*(economics!$D$2:$D$167="process")*economics!$AI$2:$AI$167*_xlfn.NORM.DIST(R$3,economics!$AK$2:$AK$167,economics!$AJ$2:$AJ$167,TRUE)),0)</f>
        <v/>
      </c>
      <c r="S12" s="68">
        <f t="array" ref="S12">IF($D12,SUMPRODUCT((economics!$AG$2:$AG$167=$B12)*(economics!$D$2:$D$167="process")*economics!$AI$2:$AI$167*_xlfn.NORM.DIST(S$3,economics!$AK$2:$AK$167,economics!$AJ$2:$AJ$167,TRUE)),0)</f>
        <v/>
      </c>
      <c r="T12" s="68">
        <f t="array" ref="T12">IF($D12,SUMPRODUCT((economics!$AG$2:$AG$167=$B12)*(economics!$D$2:$D$167="process")*economics!$AI$2:$AI$167*_xlfn.NORM.DIST(T$3,economics!$AK$2:$AK$167,economics!$AJ$2:$AJ$167,TRUE)),0)</f>
        <v/>
      </c>
      <c r="U12" s="68">
        <f t="array" ref="U12">IF($D12,SUMPRODUCT((economics!$AG$2:$AG$167=$B12)*(economics!$D$2:$D$167="process")*economics!$AI$2:$AI$167*_xlfn.NORM.DIST(U$3,economics!$AK$2:$AK$167,economics!$AJ$2:$AJ$167,TRUE)),0)</f>
        <v/>
      </c>
      <c r="V12" s="68">
        <f t="array" ref="V12">IF($D12,SUMPRODUCT((economics!$AG$2:$AG$167=$B12)*(economics!$D$2:$D$167="process")*economics!$AI$2:$AI$167*_xlfn.NORM.DIST(V$3,economics!$AK$2:$AK$167,economics!$AJ$2:$AJ$167,TRUE)),0)</f>
        <v/>
      </c>
      <c r="W12" s="68">
        <f t="array" ref="W12">IF($D12,SUMPRODUCT((economics!$AG$2:$AG$167=$B12)*(economics!$D$2:$D$167="process")*economics!$AI$2:$AI$167*_xlfn.NORM.DIST(W$3,economics!$AK$2:$AK$167,economics!$AJ$2:$AJ$167,TRUE)),0)</f>
        <v/>
      </c>
      <c r="X12" s="68">
        <f t="array" ref="X12">IF($D12,SUMPRODUCT((economics!$AG$2:$AG$167=$B12)*(economics!$D$2:$D$167="process")*economics!$AI$2:$AI$167*_xlfn.NORM.DIST(X$3,economics!$AK$2:$AK$167,economics!$AJ$2:$AJ$167,TRUE)),0)</f>
        <v/>
      </c>
      <c r="Y12" s="68">
        <f t="array" ref="Y12">IF($D12,SUMPRODUCT((economics!$AG$2:$AG$167=$B12)*(economics!$D$2:$D$167="process")*economics!$AI$2:$AI$167*_xlfn.NORM.DIST(Y$3,economics!$AK$2:$AK$167,economics!$AJ$2:$AJ$167,TRUE)),0)</f>
        <v/>
      </c>
      <c r="Z12" s="68">
        <f t="array" ref="Z12">IF($D12,SUMPRODUCT((economics!$AG$2:$AG$167=$B12)*(economics!$D$2:$D$167="process")*economics!$AI$2:$AI$167*_xlfn.NORM.DIST(Z$3,economics!$AK$2:$AK$167,economics!$AJ$2:$AJ$167,TRUE)),0)</f>
        <v/>
      </c>
      <c r="AA12" s="68">
        <f t="array" ref="AA12">IF($D12,SUMPRODUCT((economics!$AG$2:$AG$167=$B12)*(economics!$D$2:$D$167="process")*economics!$AI$2:$AI$167*_xlfn.NORM.DIST(AA$3,economics!$AK$2:$AK$167,economics!$AJ$2:$AJ$167,TRUE)),0)</f>
        <v/>
      </c>
      <c r="AB12" s="68">
        <f t="array" ref="AB12">IF($D12,SUMPRODUCT((economics!$AG$2:$AG$167=$B12)*(economics!$D$2:$D$167="process")*economics!$AI$2:$AI$167*_xlfn.NORM.DIST(AB$3,economics!$AK$2:$AK$167,economics!$AJ$2:$AJ$167,TRUE)),0)</f>
        <v/>
      </c>
      <c r="AC12" s="68">
        <f t="array" ref="AC12">IF($D12,SUMPRODUCT((economics!$AG$2:$AG$167=$B12)*(economics!$D$2:$D$167="process")*economics!$AI$2:$AI$167*_xlfn.NORM.DIST(AC$3,economics!$AK$2:$AK$167,economics!$AJ$2:$AJ$167,TRUE)),0)</f>
        <v/>
      </c>
      <c r="AD12" s="68">
        <f t="array" ref="AD12">IF($D12,SUMPRODUCT((economics!$AG$2:$AG$167=$B12)*(economics!$D$2:$D$167="process")*economics!$AI$2:$AI$167*_xlfn.NORM.DIST(AD$3,economics!$AK$2:$AK$167,economics!$AJ$2:$AJ$167,TRUE)),0)</f>
        <v/>
      </c>
      <c r="AE12" s="68">
        <f t="array" ref="AE12">IF($D12,SUMPRODUCT((economics!$AG$2:$AG$167=$B12)*(economics!$D$2:$D$167="process")*economics!$AI$2:$AI$167*_xlfn.NORM.DIST(AE$3,economics!$AK$2:$AK$167,economics!$AJ$2:$AJ$167,TRUE)),0)</f>
        <v/>
      </c>
      <c r="AF12" s="68">
        <f t="array" ref="AF12">IF($D12,SUMPRODUCT((economics!$AG$2:$AG$167=$B12)*(economics!$D$2:$D$167="process")*economics!$AI$2:$AI$167*_xlfn.NORM.DIST(AF$3,economics!$AK$2:$AK$167,economics!$AJ$2:$AJ$167,TRUE)),0)</f>
        <v/>
      </c>
      <c r="AG12" s="68">
        <f t="array" ref="AG12">IF($D12,SUMPRODUCT((economics!$AG$2:$AG$167=$B12)*(economics!$D$2:$D$167="process")*economics!$AI$2:$AI$167*_xlfn.NORM.DIST(AG$3,economics!$AK$2:$AK$167,economics!$AJ$2:$AJ$167,TRUE)),0)</f>
        <v/>
      </c>
      <c r="AH12" s="68">
        <f t="array" ref="AH12">IF($D12,SUMPRODUCT((economics!$AG$2:$AG$167=$B12)*(economics!$D$2:$D$167="process")*economics!$AI$2:$AI$167*_xlfn.NORM.DIST(AH$3,economics!$AK$2:$AK$167,economics!$AJ$2:$AJ$167,TRUE)),0)</f>
        <v/>
      </c>
      <c r="AI12" s="68">
        <f t="array" ref="AI12">IF($D12,SUMPRODUCT((economics!$AG$2:$AG$167=$B12)*(economics!$D$2:$D$167="process")*economics!$AI$2:$AI$167*_xlfn.NORM.DIST(AI$3,economics!$AK$2:$AK$167,economics!$AJ$2:$AJ$167,TRUE)),0)</f>
        <v/>
      </c>
      <c r="AJ12" s="68">
        <f t="array" ref="AJ12">IF($D12,SUMPRODUCT((economics!$AG$2:$AG$167=$B12)*(economics!$D$2:$D$167="process")*economics!$AI$2:$AI$167*_xlfn.NORM.DIST(AJ$3,economics!$AK$2:$AK$167,economics!$AJ$2:$AJ$167,TRUE)),0)</f>
        <v/>
      </c>
      <c r="AK12" s="68">
        <f t="array" ref="AK12">IF($D12,SUMPRODUCT((economics!$AG$2:$AG$167=$B12)*(economics!$D$2:$D$167="process")*economics!$AI$2:$AI$167*_xlfn.NORM.DIST(AK$3,economics!$AK$2:$AK$167,economics!$AJ$2:$AJ$167,TRUE)),0)</f>
        <v/>
      </c>
      <c r="AL12" s="68">
        <f t="array" ref="AL12">IF($D12,SUMPRODUCT((economics!$AG$2:$AG$167=$B12)*(economics!$D$2:$D$167="process")*economics!$AI$2:$AI$167*_xlfn.NORM.DIST(AL$3,economics!$AK$2:$AK$167,economics!$AJ$2:$AJ$167,TRUE)),0)</f>
        <v/>
      </c>
      <c r="AM12" s="68">
        <f t="array" ref="AM12">IF($D12,SUMPRODUCT((economics!$AG$2:$AG$167=$B12)*(economics!$D$2:$D$167="process")*economics!$AI$2:$AI$167*_xlfn.NORM.DIST(AM$3,economics!$AK$2:$AK$167,economics!$AJ$2:$AJ$167,TRUE)),0)</f>
        <v/>
      </c>
      <c r="AN12" s="68">
        <f t="array" ref="AN12">IF($D12,SUMPRODUCT((economics!$AG$2:$AG$167=$B12)*(economics!$D$2:$D$167="process")*economics!$AI$2:$AI$167*_xlfn.NORM.DIST(AN$3,economics!$AK$2:$AK$167,economics!$AJ$2:$AJ$167,TRUE)),0)</f>
        <v/>
      </c>
      <c r="AO12" s="68">
        <f t="array" ref="AO12">IF($D12,SUMPRODUCT((economics!$AG$2:$AG$167=$B12)*(economics!$D$2:$D$167="process")*economics!$AI$2:$AI$167*_xlfn.NORM.DIST(AO$3,economics!$AK$2:$AK$167,economics!$AJ$2:$AJ$167,TRUE)),0)</f>
        <v/>
      </c>
      <c r="AP12" s="68">
        <f t="array" ref="AP12">IF($D12,SUMPRODUCT((economics!$AG$2:$AG$167=$B12)*(economics!$D$2:$D$167="process")*economics!$AI$2:$AI$167*_xlfn.NORM.DIST(AP$3,economics!$AK$2:$AK$167,economics!$AJ$2:$AJ$167,TRUE)),0)</f>
        <v/>
      </c>
      <c r="AQ12" s="68">
        <f t="array" ref="AQ12">IF($D12,SUMPRODUCT((economics!$AG$2:$AG$167=$B12)*(economics!$D$2:$D$167="process")*economics!$AI$2:$AI$167*_xlfn.NORM.DIST(AQ$3,economics!$AK$2:$AK$167,economics!$AJ$2:$AJ$167,TRUE)),0)</f>
        <v/>
      </c>
      <c r="AR12" s="68">
        <f t="array" ref="AR12">IF($D12,SUMPRODUCT((economics!$AG$2:$AG$167=$B12)*(economics!$D$2:$D$167="process")*economics!$AI$2:$AI$167*_xlfn.NORM.DIST(AR$3,economics!$AK$2:$AK$167,economics!$AJ$2:$AJ$167,TRUE)),0)</f>
        <v/>
      </c>
      <c r="AS12" s="68">
        <f t="array" ref="AS12">IF($D12,SUMPRODUCT((economics!$AG$2:$AG$167=$B12)*(economics!$D$2:$D$167="process")*economics!$AI$2:$AI$167*_xlfn.NORM.DIST(AS$3,economics!$AK$2:$AK$167,economics!$AJ$2:$AJ$167,TRUE)),0)</f>
        <v/>
      </c>
      <c r="AT12" s="68">
        <f t="array" ref="AT12">IF($D12,SUMPRODUCT((economics!$AG$2:$AG$167=$B12)*(economics!$D$2:$D$167="process")*economics!$AI$2:$AI$167*_xlfn.NORM.DIST(AT$3,economics!$AK$2:$AK$167,economics!$AJ$2:$AJ$167,TRUE)),0)</f>
        <v/>
      </c>
      <c r="AU12" s="68">
        <f t="array" ref="AU12">IF($D12,SUMPRODUCT((economics!$AG$2:$AG$167=$B12)*(economics!$D$2:$D$167="process")*economics!$AI$2:$AI$167*_xlfn.NORM.DIST(AU$3,economics!$AK$2:$AK$167,economics!$AJ$2:$AJ$167,TRUE)),0)</f>
        <v/>
      </c>
      <c r="AV12" s="68">
        <f t="array" ref="AV12">IF($D12,SUMPRODUCT((economics!$AG$2:$AG$167=$B12)*(economics!$D$2:$D$167="process")*economics!$AI$2:$AI$167*_xlfn.NORM.DIST(AV$3,economics!$AK$2:$AK$167,economics!$AJ$2:$AJ$167,TRUE)),0)</f>
        <v/>
      </c>
      <c r="AW12" s="68">
        <f t="array" ref="AW12">IF($D12,SUMPRODUCT((economics!$AG$2:$AG$167=$B12)*(economics!$D$2:$D$167="process")*economics!$AI$2:$AI$167*_xlfn.NORM.DIST(AW$3,economics!$AK$2:$AK$167,economics!$AJ$2:$AJ$167,TRUE)),0)</f>
        <v/>
      </c>
      <c r="AX12" s="68">
        <f t="array" ref="AX12">IF($D12,SUMPRODUCT((economics!$AG$2:$AG$167=$B12)*(economics!$D$2:$D$167="process")*economics!$AI$2:$AI$167*_xlfn.NORM.DIST(AX$3,economics!$AK$2:$AK$167,economics!$AJ$2:$AJ$167,TRUE)),0)</f>
        <v/>
      </c>
      <c r="AY12" s="68">
        <f t="array" ref="AY12">IF($D12,SUMPRODUCT((economics!$AG$2:$AG$167=$B12)*(economics!$D$2:$D$167="process")*economics!$AI$2:$AI$167*_xlfn.NORM.DIST(AY$3,economics!$AK$2:$AK$167,economics!$AJ$2:$AJ$167,TRUE)),0)</f>
        <v/>
      </c>
      <c r="AZ12" s="68">
        <f t="array" ref="AZ12">IF($D12,SUMPRODUCT((economics!$AG$2:$AG$167=$B12)*(economics!$D$2:$D$167="process")*economics!$AI$2:$AI$167*_xlfn.NORM.DIST(AZ$3,economics!$AK$2:$AK$167,economics!$AJ$2:$AJ$167,TRUE)),0)</f>
        <v/>
      </c>
      <c r="BA12" s="68">
        <f t="array" ref="BA12">IF($D12,SUMPRODUCT((economics!$AG$2:$AG$167=$B12)*(economics!$D$2:$D$167="process")*economics!$AI$2:$AI$167*_xlfn.NORM.DIST(BA$3,economics!$AK$2:$AK$167,economics!$AJ$2:$AJ$167,TRUE)),0)</f>
        <v/>
      </c>
      <c r="BB12" s="68">
        <f t="array" ref="BB12">IF($D12,SUMPRODUCT((economics!$AG$2:$AG$167=$B12)*(economics!$D$2:$D$167="process")*economics!$AI$2:$AI$167*_xlfn.NORM.DIST(BB$3,economics!$AK$2:$AK$167,economics!$AJ$2:$AJ$167,TRUE)),0)</f>
        <v/>
      </c>
      <c r="BC12" s="68">
        <f t="array" ref="BC12">IF($D12,SUMPRODUCT((economics!$AG$2:$AG$167=$B12)*(economics!$D$2:$D$167="process")*economics!$AI$2:$AI$167*_xlfn.NORM.DIST(BC$3,economics!$AK$2:$AK$167,economics!$AJ$2:$AJ$167,TRUE)),0)</f>
        <v/>
      </c>
      <c r="BD12" s="68">
        <f t="array" ref="BD12">IF($D12,SUMPRODUCT((economics!$AG$2:$AG$167=$B12)*(economics!$D$2:$D$167="process")*economics!$AI$2:$AI$167*_xlfn.NORM.DIST(BD$3,economics!$AK$2:$AK$167,economics!$AJ$2:$AJ$167,TRUE)),0)</f>
        <v/>
      </c>
      <c r="BE12" s="68">
        <f t="array" ref="BE12">IF($D12,SUMPRODUCT((economics!$AG$2:$AG$167=$B12)*(economics!$D$2:$D$167="process")*economics!$AI$2:$AI$167*_xlfn.NORM.DIST(BE$3,economics!$AK$2:$AK$167,economics!$AJ$2:$AJ$167,TRUE)),0)</f>
        <v/>
      </c>
      <c r="BF12" s="68">
        <f t="array" ref="BF12">IF($D12,SUMPRODUCT((economics!$AG$2:$AG$167=$B12)*(economics!$D$2:$D$167="process")*economics!$AI$2:$AI$167*_xlfn.NORM.DIST(BF$3,economics!$AK$2:$AK$167,economics!$AJ$2:$AJ$167,TRUE)),0)</f>
        <v/>
      </c>
      <c r="BG12" s="68">
        <f t="array" ref="BG12">IF($D12,SUMPRODUCT((economics!$AG$2:$AG$167=$B12)*(economics!$D$2:$D$167="process")*economics!$AI$2:$AI$167*_xlfn.NORM.DIST(BG$3,economics!$AK$2:$AK$167,economics!$AJ$2:$AJ$167,TRUE)),0)</f>
        <v/>
      </c>
      <c r="BH12" s="68">
        <f t="array" ref="BH12">IF($D12,SUMPRODUCT((economics!$AG$2:$AG$167=$B12)*(economics!$D$2:$D$167="process")*economics!$AI$2:$AI$167*_xlfn.NORM.DIST(BH$3,economics!$AK$2:$AK$167,economics!$AJ$2:$AJ$167,TRUE)),0)</f>
        <v/>
      </c>
      <c r="BI12" s="68">
        <f t="array" ref="BI12">IF($D12,SUMPRODUCT((economics!$AG$2:$AG$167=$B12)*(economics!$D$2:$D$167="process")*economics!$AI$2:$AI$167*_xlfn.NORM.DIST(BI$3,economics!$AK$2:$AK$167,economics!$AJ$2:$AJ$167,TRUE)),0)</f>
        <v/>
      </c>
      <c r="BJ12" s="68">
        <f t="array" ref="BJ12">IF($D12,SUMPRODUCT((economics!$AG$2:$AG$167=$B12)*(economics!$D$2:$D$167="process")*economics!$AI$2:$AI$167*_xlfn.NORM.DIST(BJ$3,economics!$AK$2:$AK$167,economics!$AJ$2:$AJ$167,TRUE)),0)</f>
        <v/>
      </c>
      <c r="BK12" s="68">
        <f t="array" ref="BK12">IF($D12,SUMPRODUCT((economics!$AG$2:$AG$167=$B12)*(economics!$D$2:$D$167="process")*economics!$AI$2:$AI$167*_xlfn.NORM.DIST(BK$3,economics!$AK$2:$AK$167,economics!$AJ$2:$AJ$167,TRUE)),0)</f>
        <v/>
      </c>
      <c r="BL12" s="68">
        <f t="array" ref="BL12">IF($D12,SUMPRODUCT((economics!$AG$2:$AG$167=$B12)*(economics!$D$2:$D$167="process")*economics!$AI$2:$AI$167*_xlfn.NORM.DIST(BL$3,economics!$AK$2:$AK$167,economics!$AJ$2:$AJ$167,TRUE)),0)</f>
        <v/>
      </c>
      <c r="BM12" s="68">
        <f t="array" ref="BM12">IF($D12,SUMPRODUCT((economics!$AG$2:$AG$167=$B12)*(economics!$D$2:$D$167="process")*economics!$AI$2:$AI$167*_xlfn.NORM.DIST(BM$3,economics!$AK$2:$AK$167,economics!$AJ$2:$AJ$167,TRUE)),0)</f>
        <v/>
      </c>
      <c r="BN12" s="68">
        <f t="array" ref="BN12">IF($D12,SUMPRODUCT((economics!$AG$2:$AG$167=$B12)*(economics!$D$2:$D$167="process")*economics!$AI$2:$AI$167*_xlfn.NORM.DIST(BN$3,economics!$AK$2:$AK$167,economics!$AJ$2:$AJ$167,TRUE)),0)</f>
        <v/>
      </c>
      <c r="BO12" s="68">
        <f t="array" ref="BO12">IF($D12,SUMPRODUCT((economics!$AG$2:$AG$167=$B12)*(economics!$D$2:$D$167="process")*economics!$AI$2:$AI$167*_xlfn.NORM.DIST(BO$3,economics!$AK$2:$AK$167,economics!$AJ$2:$AJ$167,TRUE)),0)</f>
        <v/>
      </c>
      <c r="BP12" s="68">
        <f t="array" ref="BP12">IF($D12,SUMPRODUCT((economics!$AG$2:$AG$167=$B12)*(economics!$D$2:$D$167="process")*economics!$AI$2:$AI$167*_xlfn.NORM.DIST(BP$3,economics!$AK$2:$AK$167,economics!$AJ$2:$AJ$167,TRUE)),0)</f>
        <v/>
      </c>
      <c r="BQ12" s="68">
        <f t="array" ref="BQ12">IF($D12,SUMPRODUCT((economics!$AG$2:$AG$167=$B12)*(economics!$D$2:$D$167="process")*economics!$AI$2:$AI$167*_xlfn.NORM.DIST(BQ$3,economics!$AK$2:$AK$167,economics!$AJ$2:$AJ$167,TRUE)),0)</f>
        <v/>
      </c>
      <c r="BR12" s="68">
        <f t="array" ref="BR12">IF($D12,SUMPRODUCT((economics!$AG$2:$AG$167=$B12)*(economics!$D$2:$D$167="process")*economics!$AI$2:$AI$167*_xlfn.NORM.DIST(BR$3,economics!$AK$2:$AK$167,economics!$AJ$2:$AJ$167,TRUE)),0)</f>
        <v/>
      </c>
      <c r="BS12" s="68">
        <f t="array" ref="BS12">IF($D12,SUMPRODUCT((economics!$AG$2:$AG$167=$B12)*(economics!$D$2:$D$167="process")*economics!$AI$2:$AI$167*_xlfn.NORM.DIST(BS$3,economics!$AK$2:$AK$167,economics!$AJ$2:$AJ$167,TRUE)),0)</f>
        <v/>
      </c>
      <c r="BT12" s="68">
        <f t="array" ref="BT12">IF($D12,SUMPRODUCT((economics!$AG$2:$AG$167=$B12)*(economics!$D$2:$D$167="process")*economics!$AI$2:$AI$167*_xlfn.NORM.DIST(BT$3,economics!$AK$2:$AK$167,economics!$AJ$2:$AJ$167,TRUE)),0)</f>
        <v/>
      </c>
      <c r="BU12" s="68">
        <f t="array" ref="BU12">IF($D12,SUMPRODUCT((economics!$AG$2:$AG$167=$B12)*(economics!$D$2:$D$167="process")*economics!$AI$2:$AI$167*_xlfn.NORM.DIST(BU$3,economics!$AK$2:$AK$167,economics!$AJ$2:$AJ$167,TRUE)),0)</f>
        <v/>
      </c>
      <c r="BV12" s="68">
        <f t="array" ref="BV12">IF($D12,SUMPRODUCT((economics!$AG$2:$AG$167=$B12)*(economics!$D$2:$D$167="process")*economics!$AI$2:$AI$167*_xlfn.NORM.DIST(BV$3,economics!$AK$2:$AK$167,economics!$AJ$2:$AJ$167,TRUE)),0)</f>
        <v/>
      </c>
      <c r="BW12" s="68">
        <f t="array" ref="BW12">IF($D12,SUMPRODUCT((economics!$AG$2:$AG$167=$B12)*(economics!$D$2:$D$167="process")*economics!$AI$2:$AI$167*_xlfn.NORM.DIST(BW$3,economics!$AK$2:$AK$167,economics!$AJ$2:$AJ$167,TRUE)),0)</f>
        <v/>
      </c>
      <c r="BX12" s="68">
        <f t="array" ref="BX12">IF($D12,SUMPRODUCT((economics!$AG$2:$AG$167=$B12)*(economics!$D$2:$D$167="process")*economics!$AI$2:$AI$167*_xlfn.NORM.DIST(BX$3,economics!$AK$2:$AK$167,economics!$AJ$2:$AJ$167,TRUE)),0)</f>
        <v/>
      </c>
      <c r="BY12" s="68">
        <f t="array" ref="BY12">IF($D12,SUMPRODUCT((economics!$AG$2:$AG$167=$B12)*(economics!$D$2:$D$167="process")*economics!$AI$2:$AI$167*_xlfn.NORM.DIST(BY$3,economics!$AK$2:$AK$167,economics!$AJ$2:$AJ$167,TRUE)),0)</f>
        <v/>
      </c>
      <c r="BZ12" s="68">
        <f t="array" ref="BZ12">IF($D12,SUMPRODUCT((economics!$AG$2:$AG$167=$B12)*(economics!$D$2:$D$167="process")*economics!$AI$2:$AI$167*_xlfn.NORM.DIST(BZ$3,economics!$AK$2:$AK$167,economics!$AJ$2:$AJ$167,TRUE)),0)</f>
        <v/>
      </c>
      <c r="CA12" s="68">
        <f t="array" ref="CA12">IF($D12,SUMPRODUCT((economics!$AG$2:$AG$167=$B12)*(economics!$D$2:$D$167="process")*economics!$AI$2:$AI$167*_xlfn.NORM.DIST(CA$3,economics!$AK$2:$AK$167,economics!$AJ$2:$AJ$167,TRUE)),0)</f>
        <v/>
      </c>
      <c r="CB12" s="68">
        <f t="array" ref="CB12">IF($D12,SUMPRODUCT((economics!$AG$2:$AG$167=$B12)*(economics!$D$2:$D$167="process")*economics!$AI$2:$AI$167*_xlfn.NORM.DIST(CB$3,economics!$AK$2:$AK$167,economics!$AJ$2:$AJ$167,TRUE)),0)</f>
        <v/>
      </c>
      <c r="CC12" s="68">
        <f t="array" ref="CC12">IF($D12,SUMPRODUCT((economics!$AG$2:$AG$167=$B12)*(economics!$D$2:$D$167="process")*economics!$AI$2:$AI$167*_xlfn.NORM.DIST(CC$3,economics!$AK$2:$AK$167,economics!$AJ$2:$AJ$167,TRUE)),0)</f>
        <v/>
      </c>
      <c r="CD12" s="68">
        <f t="array" ref="CD12">IF($D12,SUMPRODUCT((economics!$AG$2:$AG$167=$B12)*(economics!$D$2:$D$167="process")*economics!$AI$2:$AI$167*_xlfn.NORM.DIST(CD$3,economics!$AK$2:$AK$167,economics!$AJ$2:$AJ$167,TRUE)),0)</f>
        <v/>
      </c>
      <c r="CE12" s="68">
        <f t="array" ref="CE12">IF($D12,SUMPRODUCT((economics!$AG$2:$AG$167=$B12)*(economics!$D$2:$D$167="process")*economics!$AI$2:$AI$167*_xlfn.NORM.DIST(CE$3,economics!$AK$2:$AK$167,economics!$AJ$2:$AJ$167,TRUE)),0)</f>
        <v/>
      </c>
      <c r="CF12" s="68">
        <f t="array" ref="CF12">IF($D12,SUMPRODUCT((economics!$AG$2:$AG$167=$B12)*(economics!$D$2:$D$167="process")*economics!$AI$2:$AI$167*_xlfn.NORM.DIST(CF$3,economics!$AK$2:$AK$167,economics!$AJ$2:$AJ$167,TRUE)),0)</f>
        <v/>
      </c>
      <c r="CG12" s="68">
        <f t="array" ref="CG12">IF($D12,SUMPRODUCT((economics!$AG$2:$AG$167=$B12)*(economics!$D$2:$D$167="process")*economics!$AI$2:$AI$167*_xlfn.NORM.DIST(CG$3,economics!$AK$2:$AK$167,economics!$AJ$2:$AJ$167,TRUE)),0)</f>
        <v/>
      </c>
      <c r="CH12" s="68">
        <f t="array" ref="CH12">IF($D12,SUMPRODUCT((economics!$AG$2:$AG$167=$B12)*(economics!$D$2:$D$167="process")*economics!$AI$2:$AI$167*_xlfn.NORM.DIST(CH$3,economics!$AK$2:$AK$167,economics!$AJ$2:$AJ$167,TRUE)),0)</f>
        <v/>
      </c>
    </row>
    <row r="13">
      <c r="A13">
        <f>WHRPbI!A11</f>
        <v/>
      </c>
      <c r="B13" t="n">
        <v>20</v>
      </c>
      <c r="C13" s="68">
        <f>WHRPbI!B11</f>
        <v/>
      </c>
      <c r="D13">
        <f>ISNUMBER(MATCH($B13,'energy base (MECS)'!$K$4:$K$9,0))</f>
        <v/>
      </c>
      <c r="E13" s="68">
        <f t="array" ref="E13">IF($D13,SUMPRODUCT((economics!$AG$2:$AG$167=$B13)*(economics!$D$2:$D$167="process")*economics!$AI$2:$AI$167*_xlfn.NORM.DIST(E$3,economics!$AK$2:$AK$167,economics!$AJ$2:$AJ$167,TRUE)),0)</f>
        <v/>
      </c>
      <c r="F13" s="68">
        <f t="array" ref="F13">IF($D13,SUMPRODUCT((economics!$AG$2:$AG$167=$B13)*(economics!$D$2:$D$167="process")*economics!$AI$2:$AI$167*_xlfn.NORM.DIST(F$3,economics!$AK$2:$AK$167,economics!$AJ$2:$AJ$167,TRUE)),0)</f>
        <v/>
      </c>
      <c r="G13" s="68">
        <f t="array" ref="G13">IF($D13,SUMPRODUCT((economics!$AG$2:$AG$167=$B13)*(economics!$D$2:$D$167="process")*economics!$AI$2:$AI$167*_xlfn.NORM.DIST(G$3,economics!$AK$2:$AK$167,economics!$AJ$2:$AJ$167,TRUE)),0)</f>
        <v/>
      </c>
      <c r="H13" s="68">
        <f t="array" ref="H13">IF($D13,SUMPRODUCT((economics!$AG$2:$AG$167=$B13)*(economics!$D$2:$D$167="process")*economics!$AI$2:$AI$167*_xlfn.NORM.DIST(H$3,economics!$AK$2:$AK$167,economics!$AJ$2:$AJ$167,TRUE)),0)</f>
        <v/>
      </c>
      <c r="I13" s="68">
        <f t="array" ref="I13">IF($D13,SUMPRODUCT((economics!$AG$2:$AG$167=$B13)*(economics!$D$2:$D$167="process")*economics!$AI$2:$AI$167*_xlfn.NORM.DIST(I$3,economics!$AK$2:$AK$167,economics!$AJ$2:$AJ$167,TRUE)),0)</f>
        <v/>
      </c>
      <c r="J13" s="68">
        <f t="array" ref="J13">IF($D13,SUMPRODUCT((economics!$AG$2:$AG$167=$B13)*(economics!$D$2:$D$167="process")*economics!$AI$2:$AI$167*_xlfn.NORM.DIST(J$3,economics!$AK$2:$AK$167,economics!$AJ$2:$AJ$167,TRUE)),0)</f>
        <v/>
      </c>
      <c r="K13" s="68">
        <f t="array" ref="K13">IF($D13,SUMPRODUCT((economics!$AG$2:$AG$167=$B13)*(economics!$D$2:$D$167="process")*economics!$AI$2:$AI$167*_xlfn.NORM.DIST(K$3,economics!$AK$2:$AK$167,economics!$AJ$2:$AJ$167,TRUE)),0)</f>
        <v/>
      </c>
      <c r="L13" s="68">
        <f t="array" ref="L13">IF($D13,SUMPRODUCT((economics!$AG$2:$AG$167=$B13)*(economics!$D$2:$D$167="process")*economics!$AI$2:$AI$167*_xlfn.NORM.DIST(L$3,economics!$AK$2:$AK$167,economics!$AJ$2:$AJ$167,TRUE)),0)</f>
        <v/>
      </c>
      <c r="M13" s="68">
        <f t="array" ref="M13">IF($D13,SUMPRODUCT((economics!$AG$2:$AG$167=$B13)*(economics!$D$2:$D$167="process")*economics!$AI$2:$AI$167*_xlfn.NORM.DIST(M$3,economics!$AK$2:$AK$167,economics!$AJ$2:$AJ$167,TRUE)),0)</f>
        <v/>
      </c>
      <c r="N13" s="68">
        <f t="array" ref="N13">IF($D13,SUMPRODUCT((economics!$AG$2:$AG$167=$B13)*(economics!$D$2:$D$167="process")*economics!$AI$2:$AI$167*_xlfn.NORM.DIST(N$3,economics!$AK$2:$AK$167,economics!$AJ$2:$AJ$167,TRUE)),0)</f>
        <v/>
      </c>
      <c r="O13" s="68">
        <f t="array" ref="O13">IF($D13,SUMPRODUCT((economics!$AG$2:$AG$167=$B13)*(economics!$D$2:$D$167="process")*economics!$AI$2:$AI$167*_xlfn.NORM.DIST(O$3,economics!$AK$2:$AK$167,economics!$AJ$2:$AJ$167,TRUE)),0)</f>
        <v/>
      </c>
      <c r="P13" s="68">
        <f t="array" ref="P13">IF($D13,SUMPRODUCT((economics!$AG$2:$AG$167=$B13)*(economics!$D$2:$D$167="process")*economics!$AI$2:$AI$167*_xlfn.NORM.DIST(P$3,economics!$AK$2:$AK$167,economics!$AJ$2:$AJ$167,TRUE)),0)</f>
        <v/>
      </c>
      <c r="Q13" s="68">
        <f t="array" ref="Q13">IF($D13,SUMPRODUCT((economics!$AG$2:$AG$167=$B13)*(economics!$D$2:$D$167="process")*economics!$AI$2:$AI$167*_xlfn.NORM.DIST(Q$3,economics!$AK$2:$AK$167,economics!$AJ$2:$AJ$167,TRUE)),0)</f>
        <v/>
      </c>
      <c r="R13" s="68">
        <f t="array" ref="R13">IF($D13,SUMPRODUCT((economics!$AG$2:$AG$167=$B13)*(economics!$D$2:$D$167="process")*economics!$AI$2:$AI$167*_xlfn.NORM.DIST(R$3,economics!$AK$2:$AK$167,economics!$AJ$2:$AJ$167,TRUE)),0)</f>
        <v/>
      </c>
      <c r="S13" s="68">
        <f t="array" ref="S13">IF($D13,SUMPRODUCT((economics!$AG$2:$AG$167=$B13)*(economics!$D$2:$D$167="process")*economics!$AI$2:$AI$167*_xlfn.NORM.DIST(S$3,economics!$AK$2:$AK$167,economics!$AJ$2:$AJ$167,TRUE)),0)</f>
        <v/>
      </c>
      <c r="T13" s="68">
        <f t="array" ref="T13">IF($D13,SUMPRODUCT((economics!$AG$2:$AG$167=$B13)*(economics!$D$2:$D$167="process")*economics!$AI$2:$AI$167*_xlfn.NORM.DIST(T$3,economics!$AK$2:$AK$167,economics!$AJ$2:$AJ$167,TRUE)),0)</f>
        <v/>
      </c>
      <c r="U13" s="68">
        <f t="array" ref="U13">IF($D13,SUMPRODUCT((economics!$AG$2:$AG$167=$B13)*(economics!$D$2:$D$167="process")*economics!$AI$2:$AI$167*_xlfn.NORM.DIST(U$3,economics!$AK$2:$AK$167,economics!$AJ$2:$AJ$167,TRUE)),0)</f>
        <v/>
      </c>
      <c r="V13" s="68">
        <f t="array" ref="V13">IF($D13,SUMPRODUCT((economics!$AG$2:$AG$167=$B13)*(economics!$D$2:$D$167="process")*economics!$AI$2:$AI$167*_xlfn.NORM.DIST(V$3,economics!$AK$2:$AK$167,economics!$AJ$2:$AJ$167,TRUE)),0)</f>
        <v/>
      </c>
      <c r="W13" s="68">
        <f t="array" ref="W13">IF($D13,SUMPRODUCT((economics!$AG$2:$AG$167=$B13)*(economics!$D$2:$D$167="process")*economics!$AI$2:$AI$167*_xlfn.NORM.DIST(W$3,economics!$AK$2:$AK$167,economics!$AJ$2:$AJ$167,TRUE)),0)</f>
        <v/>
      </c>
      <c r="X13" s="68">
        <f t="array" ref="X13">IF($D13,SUMPRODUCT((economics!$AG$2:$AG$167=$B13)*(economics!$D$2:$D$167="process")*economics!$AI$2:$AI$167*_xlfn.NORM.DIST(X$3,economics!$AK$2:$AK$167,economics!$AJ$2:$AJ$167,TRUE)),0)</f>
        <v/>
      </c>
      <c r="Y13" s="68">
        <f t="array" ref="Y13">IF($D13,SUMPRODUCT((economics!$AG$2:$AG$167=$B13)*(economics!$D$2:$D$167="process")*economics!$AI$2:$AI$167*_xlfn.NORM.DIST(Y$3,economics!$AK$2:$AK$167,economics!$AJ$2:$AJ$167,TRUE)),0)</f>
        <v/>
      </c>
      <c r="Z13" s="68">
        <f t="array" ref="Z13">IF($D13,SUMPRODUCT((economics!$AG$2:$AG$167=$B13)*(economics!$D$2:$D$167="process")*economics!$AI$2:$AI$167*_xlfn.NORM.DIST(Z$3,economics!$AK$2:$AK$167,economics!$AJ$2:$AJ$167,TRUE)),0)</f>
        <v/>
      </c>
      <c r="AA13" s="68">
        <f t="array" ref="AA13">IF($D13,SUMPRODUCT((economics!$AG$2:$AG$167=$B13)*(economics!$D$2:$D$167="process")*economics!$AI$2:$AI$167*_xlfn.NORM.DIST(AA$3,economics!$AK$2:$AK$167,economics!$AJ$2:$AJ$167,TRUE)),0)</f>
        <v/>
      </c>
      <c r="AB13" s="68">
        <f t="array" ref="AB13">IF($D13,SUMPRODUCT((economics!$AG$2:$AG$167=$B13)*(economics!$D$2:$D$167="process")*economics!$AI$2:$AI$167*_xlfn.NORM.DIST(AB$3,economics!$AK$2:$AK$167,economics!$AJ$2:$AJ$167,TRUE)),0)</f>
        <v/>
      </c>
      <c r="AC13" s="68">
        <f t="array" ref="AC13">IF($D13,SUMPRODUCT((economics!$AG$2:$AG$167=$B13)*(economics!$D$2:$D$167="process")*economics!$AI$2:$AI$167*_xlfn.NORM.DIST(AC$3,economics!$AK$2:$AK$167,economics!$AJ$2:$AJ$167,TRUE)),0)</f>
        <v/>
      </c>
      <c r="AD13" s="68">
        <f t="array" ref="AD13">IF($D13,SUMPRODUCT((economics!$AG$2:$AG$167=$B13)*(economics!$D$2:$D$167="process")*economics!$AI$2:$AI$167*_xlfn.NORM.DIST(AD$3,economics!$AK$2:$AK$167,economics!$AJ$2:$AJ$167,TRUE)),0)</f>
        <v/>
      </c>
      <c r="AE13" s="68">
        <f t="array" ref="AE13">IF($D13,SUMPRODUCT((economics!$AG$2:$AG$167=$B13)*(economics!$D$2:$D$167="process")*economics!$AI$2:$AI$167*_xlfn.NORM.DIST(AE$3,economics!$AK$2:$AK$167,economics!$AJ$2:$AJ$167,TRUE)),0)</f>
        <v/>
      </c>
      <c r="AF13" s="68">
        <f t="array" ref="AF13">IF($D13,SUMPRODUCT((economics!$AG$2:$AG$167=$B13)*(economics!$D$2:$D$167="process")*economics!$AI$2:$AI$167*_xlfn.NORM.DIST(AF$3,economics!$AK$2:$AK$167,economics!$AJ$2:$AJ$167,TRUE)),0)</f>
        <v/>
      </c>
      <c r="AG13" s="68">
        <f t="array" ref="AG13">IF($D13,SUMPRODUCT((economics!$AG$2:$AG$167=$B13)*(economics!$D$2:$D$167="process")*economics!$AI$2:$AI$167*_xlfn.NORM.DIST(AG$3,economics!$AK$2:$AK$167,economics!$AJ$2:$AJ$167,TRUE)),0)</f>
        <v/>
      </c>
      <c r="AH13" s="68">
        <f t="array" ref="AH13">IF($D13,SUMPRODUCT((economics!$AG$2:$AG$167=$B13)*(economics!$D$2:$D$167="process")*economics!$AI$2:$AI$167*_xlfn.NORM.DIST(AH$3,economics!$AK$2:$AK$167,economics!$AJ$2:$AJ$167,TRUE)),0)</f>
        <v/>
      </c>
      <c r="AI13" s="68">
        <f t="array" ref="AI13">IF($D13,SUMPRODUCT((economics!$AG$2:$AG$167=$B13)*(economics!$D$2:$D$167="process")*economics!$AI$2:$AI$167*_xlfn.NORM.DIST(AI$3,economics!$AK$2:$AK$167,economics!$AJ$2:$AJ$167,TRUE)),0)</f>
        <v/>
      </c>
      <c r="AJ13" s="68">
        <f t="array" ref="AJ13">IF($D13,SUMPRODUCT((economics!$AG$2:$AG$167=$B13)*(economics!$D$2:$D$167="process")*economics!$AI$2:$AI$167*_xlfn.NORM.DIST(AJ$3,economics!$AK$2:$AK$167,economics!$AJ$2:$AJ$167,TRUE)),0)</f>
        <v/>
      </c>
      <c r="AK13" s="68">
        <f t="array" ref="AK13">IF($D13,SUMPRODUCT((economics!$AG$2:$AG$167=$B13)*(economics!$D$2:$D$167="process")*economics!$AI$2:$AI$167*_xlfn.NORM.DIST(AK$3,economics!$AK$2:$AK$167,economics!$AJ$2:$AJ$167,TRUE)),0)</f>
        <v/>
      </c>
      <c r="AL13" s="68">
        <f t="array" ref="AL13">IF($D13,SUMPRODUCT((economics!$AG$2:$AG$167=$B13)*(economics!$D$2:$D$167="process")*economics!$AI$2:$AI$167*_xlfn.NORM.DIST(AL$3,economics!$AK$2:$AK$167,economics!$AJ$2:$AJ$167,TRUE)),0)</f>
        <v/>
      </c>
      <c r="AM13" s="68">
        <f t="array" ref="AM13">IF($D13,SUMPRODUCT((economics!$AG$2:$AG$167=$B13)*(economics!$D$2:$D$167="process")*economics!$AI$2:$AI$167*_xlfn.NORM.DIST(AM$3,economics!$AK$2:$AK$167,economics!$AJ$2:$AJ$167,TRUE)),0)</f>
        <v/>
      </c>
      <c r="AN13" s="68">
        <f t="array" ref="AN13">IF($D13,SUMPRODUCT((economics!$AG$2:$AG$167=$B13)*(economics!$D$2:$D$167="process")*economics!$AI$2:$AI$167*_xlfn.NORM.DIST(AN$3,economics!$AK$2:$AK$167,economics!$AJ$2:$AJ$167,TRUE)),0)</f>
        <v/>
      </c>
      <c r="AO13" s="68">
        <f t="array" ref="AO13">IF($D13,SUMPRODUCT((economics!$AG$2:$AG$167=$B13)*(economics!$D$2:$D$167="process")*economics!$AI$2:$AI$167*_xlfn.NORM.DIST(AO$3,economics!$AK$2:$AK$167,economics!$AJ$2:$AJ$167,TRUE)),0)</f>
        <v/>
      </c>
      <c r="AP13" s="68">
        <f t="array" ref="AP13">IF($D13,SUMPRODUCT((economics!$AG$2:$AG$167=$B13)*(economics!$D$2:$D$167="process")*economics!$AI$2:$AI$167*_xlfn.NORM.DIST(AP$3,economics!$AK$2:$AK$167,economics!$AJ$2:$AJ$167,TRUE)),0)</f>
        <v/>
      </c>
      <c r="AQ13" s="68">
        <f t="array" ref="AQ13">IF($D13,SUMPRODUCT((economics!$AG$2:$AG$167=$B13)*(economics!$D$2:$D$167="process")*economics!$AI$2:$AI$167*_xlfn.NORM.DIST(AQ$3,economics!$AK$2:$AK$167,economics!$AJ$2:$AJ$167,TRUE)),0)</f>
        <v/>
      </c>
      <c r="AR13" s="68">
        <f t="array" ref="AR13">IF($D13,SUMPRODUCT((economics!$AG$2:$AG$167=$B13)*(economics!$D$2:$D$167="process")*economics!$AI$2:$AI$167*_xlfn.NORM.DIST(AR$3,economics!$AK$2:$AK$167,economics!$AJ$2:$AJ$167,TRUE)),0)</f>
        <v/>
      </c>
      <c r="AS13" s="68">
        <f t="array" ref="AS13">IF($D13,SUMPRODUCT((economics!$AG$2:$AG$167=$B13)*(economics!$D$2:$D$167="process")*economics!$AI$2:$AI$167*_xlfn.NORM.DIST(AS$3,economics!$AK$2:$AK$167,economics!$AJ$2:$AJ$167,TRUE)),0)</f>
        <v/>
      </c>
      <c r="AT13" s="68">
        <f t="array" ref="AT13">IF($D13,SUMPRODUCT((economics!$AG$2:$AG$167=$B13)*(economics!$D$2:$D$167="process")*economics!$AI$2:$AI$167*_xlfn.NORM.DIST(AT$3,economics!$AK$2:$AK$167,economics!$AJ$2:$AJ$167,TRUE)),0)</f>
        <v/>
      </c>
      <c r="AU13" s="68">
        <f t="array" ref="AU13">IF($D13,SUMPRODUCT((economics!$AG$2:$AG$167=$B13)*(economics!$D$2:$D$167="process")*economics!$AI$2:$AI$167*_xlfn.NORM.DIST(AU$3,economics!$AK$2:$AK$167,economics!$AJ$2:$AJ$167,TRUE)),0)</f>
        <v/>
      </c>
      <c r="AV13" s="68">
        <f t="array" ref="AV13">IF($D13,SUMPRODUCT((economics!$AG$2:$AG$167=$B13)*(economics!$D$2:$D$167="process")*economics!$AI$2:$AI$167*_xlfn.NORM.DIST(AV$3,economics!$AK$2:$AK$167,economics!$AJ$2:$AJ$167,TRUE)),0)</f>
        <v/>
      </c>
      <c r="AW13" s="68">
        <f t="array" ref="AW13">IF($D13,SUMPRODUCT((economics!$AG$2:$AG$167=$B13)*(economics!$D$2:$D$167="process")*economics!$AI$2:$AI$167*_xlfn.NORM.DIST(AW$3,economics!$AK$2:$AK$167,economics!$AJ$2:$AJ$167,TRUE)),0)</f>
        <v/>
      </c>
      <c r="AX13" s="68">
        <f t="array" ref="AX13">IF($D13,SUMPRODUCT((economics!$AG$2:$AG$167=$B13)*(economics!$D$2:$D$167="process")*economics!$AI$2:$AI$167*_xlfn.NORM.DIST(AX$3,economics!$AK$2:$AK$167,economics!$AJ$2:$AJ$167,TRUE)),0)</f>
        <v/>
      </c>
      <c r="AY13" s="68">
        <f t="array" ref="AY13">IF($D13,SUMPRODUCT((economics!$AG$2:$AG$167=$B13)*(economics!$D$2:$D$167="process")*economics!$AI$2:$AI$167*_xlfn.NORM.DIST(AY$3,economics!$AK$2:$AK$167,economics!$AJ$2:$AJ$167,TRUE)),0)</f>
        <v/>
      </c>
      <c r="AZ13" s="68">
        <f t="array" ref="AZ13">IF($D13,SUMPRODUCT((economics!$AG$2:$AG$167=$B13)*(economics!$D$2:$D$167="process")*economics!$AI$2:$AI$167*_xlfn.NORM.DIST(AZ$3,economics!$AK$2:$AK$167,economics!$AJ$2:$AJ$167,TRUE)),0)</f>
        <v/>
      </c>
      <c r="BA13" s="68">
        <f t="array" ref="BA13">IF($D13,SUMPRODUCT((economics!$AG$2:$AG$167=$B13)*(economics!$D$2:$D$167="process")*economics!$AI$2:$AI$167*_xlfn.NORM.DIST(BA$3,economics!$AK$2:$AK$167,economics!$AJ$2:$AJ$167,TRUE)),0)</f>
        <v/>
      </c>
      <c r="BB13" s="68">
        <f t="array" ref="BB13">IF($D13,SUMPRODUCT((economics!$AG$2:$AG$167=$B13)*(economics!$D$2:$D$167="process")*economics!$AI$2:$AI$167*_xlfn.NORM.DIST(BB$3,economics!$AK$2:$AK$167,economics!$AJ$2:$AJ$167,TRUE)),0)</f>
        <v/>
      </c>
      <c r="BC13" s="68">
        <f t="array" ref="BC13">IF($D13,SUMPRODUCT((economics!$AG$2:$AG$167=$B13)*(economics!$D$2:$D$167="process")*economics!$AI$2:$AI$167*_xlfn.NORM.DIST(BC$3,economics!$AK$2:$AK$167,economics!$AJ$2:$AJ$167,TRUE)),0)</f>
        <v/>
      </c>
      <c r="BD13" s="68">
        <f t="array" ref="BD13">IF($D13,SUMPRODUCT((economics!$AG$2:$AG$167=$B13)*(economics!$D$2:$D$167="process")*economics!$AI$2:$AI$167*_xlfn.NORM.DIST(BD$3,economics!$AK$2:$AK$167,economics!$AJ$2:$AJ$167,TRUE)),0)</f>
        <v/>
      </c>
      <c r="BE13" s="68">
        <f t="array" ref="BE13">IF($D13,SUMPRODUCT((economics!$AG$2:$AG$167=$B13)*(economics!$D$2:$D$167="process")*economics!$AI$2:$AI$167*_xlfn.NORM.DIST(BE$3,economics!$AK$2:$AK$167,economics!$AJ$2:$AJ$167,TRUE)),0)</f>
        <v/>
      </c>
      <c r="BF13" s="68">
        <f t="array" ref="BF13">IF($D13,SUMPRODUCT((economics!$AG$2:$AG$167=$B13)*(economics!$D$2:$D$167="process")*economics!$AI$2:$AI$167*_xlfn.NORM.DIST(BF$3,economics!$AK$2:$AK$167,economics!$AJ$2:$AJ$167,TRUE)),0)</f>
        <v/>
      </c>
      <c r="BG13" s="68">
        <f t="array" ref="BG13">IF($D13,SUMPRODUCT((economics!$AG$2:$AG$167=$B13)*(economics!$D$2:$D$167="process")*economics!$AI$2:$AI$167*_xlfn.NORM.DIST(BG$3,economics!$AK$2:$AK$167,economics!$AJ$2:$AJ$167,TRUE)),0)</f>
        <v/>
      </c>
      <c r="BH13" s="68">
        <f t="array" ref="BH13">IF($D13,SUMPRODUCT((economics!$AG$2:$AG$167=$B13)*(economics!$D$2:$D$167="process")*economics!$AI$2:$AI$167*_xlfn.NORM.DIST(BH$3,economics!$AK$2:$AK$167,economics!$AJ$2:$AJ$167,TRUE)),0)</f>
        <v/>
      </c>
      <c r="BI13" s="68">
        <f t="array" ref="BI13">IF($D13,SUMPRODUCT((economics!$AG$2:$AG$167=$B13)*(economics!$D$2:$D$167="process")*economics!$AI$2:$AI$167*_xlfn.NORM.DIST(BI$3,economics!$AK$2:$AK$167,economics!$AJ$2:$AJ$167,TRUE)),0)</f>
        <v/>
      </c>
      <c r="BJ13" s="68">
        <f t="array" ref="BJ13">IF($D13,SUMPRODUCT((economics!$AG$2:$AG$167=$B13)*(economics!$D$2:$D$167="process")*economics!$AI$2:$AI$167*_xlfn.NORM.DIST(BJ$3,economics!$AK$2:$AK$167,economics!$AJ$2:$AJ$167,TRUE)),0)</f>
        <v/>
      </c>
      <c r="BK13" s="68">
        <f t="array" ref="BK13">IF($D13,SUMPRODUCT((economics!$AG$2:$AG$167=$B13)*(economics!$D$2:$D$167="process")*economics!$AI$2:$AI$167*_xlfn.NORM.DIST(BK$3,economics!$AK$2:$AK$167,economics!$AJ$2:$AJ$167,TRUE)),0)</f>
        <v/>
      </c>
      <c r="BL13" s="68">
        <f t="array" ref="BL13">IF($D13,SUMPRODUCT((economics!$AG$2:$AG$167=$B13)*(economics!$D$2:$D$167="process")*economics!$AI$2:$AI$167*_xlfn.NORM.DIST(BL$3,economics!$AK$2:$AK$167,economics!$AJ$2:$AJ$167,TRUE)),0)</f>
        <v/>
      </c>
      <c r="BM13" s="68">
        <f t="array" ref="BM13">IF($D13,SUMPRODUCT((economics!$AG$2:$AG$167=$B13)*(economics!$D$2:$D$167="process")*economics!$AI$2:$AI$167*_xlfn.NORM.DIST(BM$3,economics!$AK$2:$AK$167,economics!$AJ$2:$AJ$167,TRUE)),0)</f>
        <v/>
      </c>
      <c r="BN13" s="68">
        <f t="array" ref="BN13">IF($D13,SUMPRODUCT((economics!$AG$2:$AG$167=$B13)*(economics!$D$2:$D$167="process")*economics!$AI$2:$AI$167*_xlfn.NORM.DIST(BN$3,economics!$AK$2:$AK$167,economics!$AJ$2:$AJ$167,TRUE)),0)</f>
        <v/>
      </c>
      <c r="BO13" s="68">
        <f t="array" ref="BO13">IF($D13,SUMPRODUCT((economics!$AG$2:$AG$167=$B13)*(economics!$D$2:$D$167="process")*economics!$AI$2:$AI$167*_xlfn.NORM.DIST(BO$3,economics!$AK$2:$AK$167,economics!$AJ$2:$AJ$167,TRUE)),0)</f>
        <v/>
      </c>
      <c r="BP13" s="68">
        <f t="array" ref="BP13">IF($D13,SUMPRODUCT((economics!$AG$2:$AG$167=$B13)*(economics!$D$2:$D$167="process")*economics!$AI$2:$AI$167*_xlfn.NORM.DIST(BP$3,economics!$AK$2:$AK$167,economics!$AJ$2:$AJ$167,TRUE)),0)</f>
        <v/>
      </c>
      <c r="BQ13" s="68">
        <f t="array" ref="BQ13">IF($D13,SUMPRODUCT((economics!$AG$2:$AG$167=$B13)*(economics!$D$2:$D$167="process")*economics!$AI$2:$AI$167*_xlfn.NORM.DIST(BQ$3,economics!$AK$2:$AK$167,economics!$AJ$2:$AJ$167,TRUE)),0)</f>
        <v/>
      </c>
      <c r="BR13" s="68">
        <f t="array" ref="BR13">IF($D13,SUMPRODUCT((economics!$AG$2:$AG$167=$B13)*(economics!$D$2:$D$167="process")*economics!$AI$2:$AI$167*_xlfn.NORM.DIST(BR$3,economics!$AK$2:$AK$167,economics!$AJ$2:$AJ$167,TRUE)),0)</f>
        <v/>
      </c>
      <c r="BS13" s="68">
        <f t="array" ref="BS13">IF($D13,SUMPRODUCT((economics!$AG$2:$AG$167=$B13)*(economics!$D$2:$D$167="process")*economics!$AI$2:$AI$167*_xlfn.NORM.DIST(BS$3,economics!$AK$2:$AK$167,economics!$AJ$2:$AJ$167,TRUE)),0)</f>
        <v/>
      </c>
      <c r="BT13" s="68">
        <f t="array" ref="BT13">IF($D13,SUMPRODUCT((economics!$AG$2:$AG$167=$B13)*(economics!$D$2:$D$167="process")*economics!$AI$2:$AI$167*_xlfn.NORM.DIST(BT$3,economics!$AK$2:$AK$167,economics!$AJ$2:$AJ$167,TRUE)),0)</f>
        <v/>
      </c>
      <c r="BU13" s="68">
        <f t="array" ref="BU13">IF($D13,SUMPRODUCT((economics!$AG$2:$AG$167=$B13)*(economics!$D$2:$D$167="process")*economics!$AI$2:$AI$167*_xlfn.NORM.DIST(BU$3,economics!$AK$2:$AK$167,economics!$AJ$2:$AJ$167,TRUE)),0)</f>
        <v/>
      </c>
      <c r="BV13" s="68">
        <f t="array" ref="BV13">IF($D13,SUMPRODUCT((economics!$AG$2:$AG$167=$B13)*(economics!$D$2:$D$167="process")*economics!$AI$2:$AI$167*_xlfn.NORM.DIST(BV$3,economics!$AK$2:$AK$167,economics!$AJ$2:$AJ$167,TRUE)),0)</f>
        <v/>
      </c>
      <c r="BW13" s="68">
        <f t="array" ref="BW13">IF($D13,SUMPRODUCT((economics!$AG$2:$AG$167=$B13)*(economics!$D$2:$D$167="process")*economics!$AI$2:$AI$167*_xlfn.NORM.DIST(BW$3,economics!$AK$2:$AK$167,economics!$AJ$2:$AJ$167,TRUE)),0)</f>
        <v/>
      </c>
      <c r="BX13" s="68">
        <f t="array" ref="BX13">IF($D13,SUMPRODUCT((economics!$AG$2:$AG$167=$B13)*(economics!$D$2:$D$167="process")*economics!$AI$2:$AI$167*_xlfn.NORM.DIST(BX$3,economics!$AK$2:$AK$167,economics!$AJ$2:$AJ$167,TRUE)),0)</f>
        <v/>
      </c>
      <c r="BY13" s="68">
        <f t="array" ref="BY13">IF($D13,SUMPRODUCT((economics!$AG$2:$AG$167=$B13)*(economics!$D$2:$D$167="process")*economics!$AI$2:$AI$167*_xlfn.NORM.DIST(BY$3,economics!$AK$2:$AK$167,economics!$AJ$2:$AJ$167,TRUE)),0)</f>
        <v/>
      </c>
      <c r="BZ13" s="68">
        <f t="array" ref="BZ13">IF($D13,SUMPRODUCT((economics!$AG$2:$AG$167=$B13)*(economics!$D$2:$D$167="process")*economics!$AI$2:$AI$167*_xlfn.NORM.DIST(BZ$3,economics!$AK$2:$AK$167,economics!$AJ$2:$AJ$167,TRUE)),0)</f>
        <v/>
      </c>
      <c r="CA13" s="68">
        <f t="array" ref="CA13">IF($D13,SUMPRODUCT((economics!$AG$2:$AG$167=$B13)*(economics!$D$2:$D$167="process")*economics!$AI$2:$AI$167*_xlfn.NORM.DIST(CA$3,economics!$AK$2:$AK$167,economics!$AJ$2:$AJ$167,TRUE)),0)</f>
        <v/>
      </c>
      <c r="CB13" s="68">
        <f t="array" ref="CB13">IF($D13,SUMPRODUCT((economics!$AG$2:$AG$167=$B13)*(economics!$D$2:$D$167="process")*economics!$AI$2:$AI$167*_xlfn.NORM.DIST(CB$3,economics!$AK$2:$AK$167,economics!$AJ$2:$AJ$167,TRUE)),0)</f>
        <v/>
      </c>
      <c r="CC13" s="68">
        <f t="array" ref="CC13">IF($D13,SUMPRODUCT((economics!$AG$2:$AG$167=$B13)*(economics!$D$2:$D$167="process")*economics!$AI$2:$AI$167*_xlfn.NORM.DIST(CC$3,economics!$AK$2:$AK$167,economics!$AJ$2:$AJ$167,TRUE)),0)</f>
        <v/>
      </c>
      <c r="CD13" s="68">
        <f t="array" ref="CD13">IF($D13,SUMPRODUCT((economics!$AG$2:$AG$167=$B13)*(economics!$D$2:$D$167="process")*economics!$AI$2:$AI$167*_xlfn.NORM.DIST(CD$3,economics!$AK$2:$AK$167,economics!$AJ$2:$AJ$167,TRUE)),0)</f>
        <v/>
      </c>
      <c r="CE13" s="68">
        <f t="array" ref="CE13">IF($D13,SUMPRODUCT((economics!$AG$2:$AG$167=$B13)*(economics!$D$2:$D$167="process")*economics!$AI$2:$AI$167*_xlfn.NORM.DIST(CE$3,economics!$AK$2:$AK$167,economics!$AJ$2:$AJ$167,TRUE)),0)</f>
        <v/>
      </c>
      <c r="CF13" s="68">
        <f t="array" ref="CF13">IF($D13,SUMPRODUCT((economics!$AG$2:$AG$167=$B13)*(economics!$D$2:$D$167="process")*economics!$AI$2:$AI$167*_xlfn.NORM.DIST(CF$3,economics!$AK$2:$AK$167,economics!$AJ$2:$AJ$167,TRUE)),0)</f>
        <v/>
      </c>
      <c r="CG13" s="68">
        <f t="array" ref="CG13">IF($D13,SUMPRODUCT((economics!$AG$2:$AG$167=$B13)*(economics!$D$2:$D$167="process")*economics!$AI$2:$AI$167*_xlfn.NORM.DIST(CG$3,economics!$AK$2:$AK$167,economics!$AJ$2:$AJ$167,TRUE)),0)</f>
        <v/>
      </c>
      <c r="CH13" s="68">
        <f t="array" ref="CH13">IF($D13,SUMPRODUCT((economics!$AG$2:$AG$167=$B13)*(economics!$D$2:$D$167="process")*economics!$AI$2:$AI$167*_xlfn.NORM.DIST(CH$3,economics!$AK$2:$AK$167,economics!$AJ$2:$AJ$167,TRUE)),0)</f>
        <v/>
      </c>
    </row>
    <row r="14">
      <c r="A14">
        <f>WHRPbI!A12</f>
        <v/>
      </c>
      <c r="B14" t="n">
        <v>22</v>
      </c>
      <c r="C14" s="68">
        <f>WHRPbI!B12</f>
        <v/>
      </c>
      <c r="D14">
        <f>ISNUMBER(MATCH($B14,'energy base (MECS)'!$K$4:$K$9,0))</f>
        <v/>
      </c>
      <c r="E14" s="68">
        <f t="array" ref="E14">IF($D14,SUMPRODUCT((economics!$AG$2:$AG$167=$B14)*(economics!$D$2:$D$167="process")*economics!$AI$2:$AI$167*_xlfn.NORM.DIST(E$3,economics!$AK$2:$AK$167,economics!$AJ$2:$AJ$167,TRUE)),0)</f>
        <v/>
      </c>
      <c r="F14" s="68">
        <f t="array" ref="F14">IF($D14,SUMPRODUCT((economics!$AG$2:$AG$167=$B14)*(economics!$D$2:$D$167="process")*economics!$AI$2:$AI$167*_xlfn.NORM.DIST(F$3,economics!$AK$2:$AK$167,economics!$AJ$2:$AJ$167,TRUE)),0)</f>
        <v/>
      </c>
      <c r="G14" s="68">
        <f t="array" ref="G14">IF($D14,SUMPRODUCT((economics!$AG$2:$AG$167=$B14)*(economics!$D$2:$D$167="process")*economics!$AI$2:$AI$167*_xlfn.NORM.DIST(G$3,economics!$AK$2:$AK$167,economics!$AJ$2:$AJ$167,TRUE)),0)</f>
        <v/>
      </c>
      <c r="H14" s="68">
        <f t="array" ref="H14">IF($D14,SUMPRODUCT((economics!$AG$2:$AG$167=$B14)*(economics!$D$2:$D$167="process")*economics!$AI$2:$AI$167*_xlfn.NORM.DIST(H$3,economics!$AK$2:$AK$167,economics!$AJ$2:$AJ$167,TRUE)),0)</f>
        <v/>
      </c>
      <c r="I14" s="68">
        <f t="array" ref="I14">IF($D14,SUMPRODUCT((economics!$AG$2:$AG$167=$B14)*(economics!$D$2:$D$167="process")*economics!$AI$2:$AI$167*_xlfn.NORM.DIST(I$3,economics!$AK$2:$AK$167,economics!$AJ$2:$AJ$167,TRUE)),0)</f>
        <v/>
      </c>
      <c r="J14" s="68">
        <f t="array" ref="J14">IF($D14,SUMPRODUCT((economics!$AG$2:$AG$167=$B14)*(economics!$D$2:$D$167="process")*economics!$AI$2:$AI$167*_xlfn.NORM.DIST(J$3,economics!$AK$2:$AK$167,economics!$AJ$2:$AJ$167,TRUE)),0)</f>
        <v/>
      </c>
      <c r="K14" s="68">
        <f t="array" ref="K14">IF($D14,SUMPRODUCT((economics!$AG$2:$AG$167=$B14)*(economics!$D$2:$D$167="process")*economics!$AI$2:$AI$167*_xlfn.NORM.DIST(K$3,economics!$AK$2:$AK$167,economics!$AJ$2:$AJ$167,TRUE)),0)</f>
        <v/>
      </c>
      <c r="L14" s="68">
        <f t="array" ref="L14">IF($D14,SUMPRODUCT((economics!$AG$2:$AG$167=$B14)*(economics!$D$2:$D$167="process")*economics!$AI$2:$AI$167*_xlfn.NORM.DIST(L$3,economics!$AK$2:$AK$167,economics!$AJ$2:$AJ$167,TRUE)),0)</f>
        <v/>
      </c>
      <c r="M14" s="68">
        <f t="array" ref="M14">IF($D14,SUMPRODUCT((economics!$AG$2:$AG$167=$B14)*(economics!$D$2:$D$167="process")*economics!$AI$2:$AI$167*_xlfn.NORM.DIST(M$3,economics!$AK$2:$AK$167,economics!$AJ$2:$AJ$167,TRUE)),0)</f>
        <v/>
      </c>
      <c r="N14" s="68">
        <f t="array" ref="N14">IF($D14,SUMPRODUCT((economics!$AG$2:$AG$167=$B14)*(economics!$D$2:$D$167="process")*economics!$AI$2:$AI$167*_xlfn.NORM.DIST(N$3,economics!$AK$2:$AK$167,economics!$AJ$2:$AJ$167,TRUE)),0)</f>
        <v/>
      </c>
      <c r="O14" s="68">
        <f t="array" ref="O14">IF($D14,SUMPRODUCT((economics!$AG$2:$AG$167=$B14)*(economics!$D$2:$D$167="process")*economics!$AI$2:$AI$167*_xlfn.NORM.DIST(O$3,economics!$AK$2:$AK$167,economics!$AJ$2:$AJ$167,TRUE)),0)</f>
        <v/>
      </c>
      <c r="P14" s="68">
        <f t="array" ref="P14">IF($D14,SUMPRODUCT((economics!$AG$2:$AG$167=$B14)*(economics!$D$2:$D$167="process")*economics!$AI$2:$AI$167*_xlfn.NORM.DIST(P$3,economics!$AK$2:$AK$167,economics!$AJ$2:$AJ$167,TRUE)),0)</f>
        <v/>
      </c>
      <c r="Q14" s="68">
        <f t="array" ref="Q14">IF($D14,SUMPRODUCT((economics!$AG$2:$AG$167=$B14)*(economics!$D$2:$D$167="process")*economics!$AI$2:$AI$167*_xlfn.NORM.DIST(Q$3,economics!$AK$2:$AK$167,economics!$AJ$2:$AJ$167,TRUE)),0)</f>
        <v/>
      </c>
      <c r="R14" s="68">
        <f t="array" ref="R14">IF($D14,SUMPRODUCT((economics!$AG$2:$AG$167=$B14)*(economics!$D$2:$D$167="process")*economics!$AI$2:$AI$167*_xlfn.NORM.DIST(R$3,economics!$AK$2:$AK$167,economics!$AJ$2:$AJ$167,TRUE)),0)</f>
        <v/>
      </c>
      <c r="S14" s="68">
        <f t="array" ref="S14">IF($D14,SUMPRODUCT((economics!$AG$2:$AG$167=$B14)*(economics!$D$2:$D$167="process")*economics!$AI$2:$AI$167*_xlfn.NORM.DIST(S$3,economics!$AK$2:$AK$167,economics!$AJ$2:$AJ$167,TRUE)),0)</f>
        <v/>
      </c>
      <c r="T14" s="68">
        <f t="array" ref="T14">IF($D14,SUMPRODUCT((economics!$AG$2:$AG$167=$B14)*(economics!$D$2:$D$167="process")*economics!$AI$2:$AI$167*_xlfn.NORM.DIST(T$3,economics!$AK$2:$AK$167,economics!$AJ$2:$AJ$167,TRUE)),0)</f>
        <v/>
      </c>
      <c r="U14" s="68">
        <f t="array" ref="U14">IF($D14,SUMPRODUCT((economics!$AG$2:$AG$167=$B14)*(economics!$D$2:$D$167="process")*economics!$AI$2:$AI$167*_xlfn.NORM.DIST(U$3,economics!$AK$2:$AK$167,economics!$AJ$2:$AJ$167,TRUE)),0)</f>
        <v/>
      </c>
      <c r="V14" s="68">
        <f t="array" ref="V14">IF($D14,SUMPRODUCT((economics!$AG$2:$AG$167=$B14)*(economics!$D$2:$D$167="process")*economics!$AI$2:$AI$167*_xlfn.NORM.DIST(V$3,economics!$AK$2:$AK$167,economics!$AJ$2:$AJ$167,TRUE)),0)</f>
        <v/>
      </c>
      <c r="W14" s="68">
        <f t="array" ref="W14">IF($D14,SUMPRODUCT((economics!$AG$2:$AG$167=$B14)*(economics!$D$2:$D$167="process")*economics!$AI$2:$AI$167*_xlfn.NORM.DIST(W$3,economics!$AK$2:$AK$167,economics!$AJ$2:$AJ$167,TRUE)),0)</f>
        <v/>
      </c>
      <c r="X14" s="68">
        <f t="array" ref="X14">IF($D14,SUMPRODUCT((economics!$AG$2:$AG$167=$B14)*(economics!$D$2:$D$167="process")*economics!$AI$2:$AI$167*_xlfn.NORM.DIST(X$3,economics!$AK$2:$AK$167,economics!$AJ$2:$AJ$167,TRUE)),0)</f>
        <v/>
      </c>
      <c r="Y14" s="68">
        <f t="array" ref="Y14">IF($D14,SUMPRODUCT((economics!$AG$2:$AG$167=$B14)*(economics!$D$2:$D$167="process")*economics!$AI$2:$AI$167*_xlfn.NORM.DIST(Y$3,economics!$AK$2:$AK$167,economics!$AJ$2:$AJ$167,TRUE)),0)</f>
        <v/>
      </c>
      <c r="Z14" s="68">
        <f t="array" ref="Z14">IF($D14,SUMPRODUCT((economics!$AG$2:$AG$167=$B14)*(economics!$D$2:$D$167="process")*economics!$AI$2:$AI$167*_xlfn.NORM.DIST(Z$3,economics!$AK$2:$AK$167,economics!$AJ$2:$AJ$167,TRUE)),0)</f>
        <v/>
      </c>
      <c r="AA14" s="68">
        <f t="array" ref="AA14">IF($D14,SUMPRODUCT((economics!$AG$2:$AG$167=$B14)*(economics!$D$2:$D$167="process")*economics!$AI$2:$AI$167*_xlfn.NORM.DIST(AA$3,economics!$AK$2:$AK$167,economics!$AJ$2:$AJ$167,TRUE)),0)</f>
        <v/>
      </c>
      <c r="AB14" s="68">
        <f t="array" ref="AB14">IF($D14,SUMPRODUCT((economics!$AG$2:$AG$167=$B14)*(economics!$D$2:$D$167="process")*economics!$AI$2:$AI$167*_xlfn.NORM.DIST(AB$3,economics!$AK$2:$AK$167,economics!$AJ$2:$AJ$167,TRUE)),0)</f>
        <v/>
      </c>
      <c r="AC14" s="68">
        <f t="array" ref="AC14">IF($D14,SUMPRODUCT((economics!$AG$2:$AG$167=$B14)*(economics!$D$2:$D$167="process")*economics!$AI$2:$AI$167*_xlfn.NORM.DIST(AC$3,economics!$AK$2:$AK$167,economics!$AJ$2:$AJ$167,TRUE)),0)</f>
        <v/>
      </c>
      <c r="AD14" s="68">
        <f t="array" ref="AD14">IF($D14,SUMPRODUCT((economics!$AG$2:$AG$167=$B14)*(economics!$D$2:$D$167="process")*economics!$AI$2:$AI$167*_xlfn.NORM.DIST(AD$3,economics!$AK$2:$AK$167,economics!$AJ$2:$AJ$167,TRUE)),0)</f>
        <v/>
      </c>
      <c r="AE14" s="68">
        <f t="array" ref="AE14">IF($D14,SUMPRODUCT((economics!$AG$2:$AG$167=$B14)*(economics!$D$2:$D$167="process")*economics!$AI$2:$AI$167*_xlfn.NORM.DIST(AE$3,economics!$AK$2:$AK$167,economics!$AJ$2:$AJ$167,TRUE)),0)</f>
        <v/>
      </c>
      <c r="AF14" s="68">
        <f t="array" ref="AF14">IF($D14,SUMPRODUCT((economics!$AG$2:$AG$167=$B14)*(economics!$D$2:$D$167="process")*economics!$AI$2:$AI$167*_xlfn.NORM.DIST(AF$3,economics!$AK$2:$AK$167,economics!$AJ$2:$AJ$167,TRUE)),0)</f>
        <v/>
      </c>
      <c r="AG14" s="68">
        <f t="array" ref="AG14">IF($D14,SUMPRODUCT((economics!$AG$2:$AG$167=$B14)*(economics!$D$2:$D$167="process")*economics!$AI$2:$AI$167*_xlfn.NORM.DIST(AG$3,economics!$AK$2:$AK$167,economics!$AJ$2:$AJ$167,TRUE)),0)</f>
        <v/>
      </c>
      <c r="AH14" s="68">
        <f t="array" ref="AH14">IF($D14,SUMPRODUCT((economics!$AG$2:$AG$167=$B14)*(economics!$D$2:$D$167="process")*economics!$AI$2:$AI$167*_xlfn.NORM.DIST(AH$3,economics!$AK$2:$AK$167,economics!$AJ$2:$AJ$167,TRUE)),0)</f>
        <v/>
      </c>
      <c r="AI14" s="68">
        <f t="array" ref="AI14">IF($D14,SUMPRODUCT((economics!$AG$2:$AG$167=$B14)*(economics!$D$2:$D$167="process")*economics!$AI$2:$AI$167*_xlfn.NORM.DIST(AI$3,economics!$AK$2:$AK$167,economics!$AJ$2:$AJ$167,TRUE)),0)</f>
        <v/>
      </c>
      <c r="AJ14" s="68">
        <f t="array" ref="AJ14">IF($D14,SUMPRODUCT((economics!$AG$2:$AG$167=$B14)*(economics!$D$2:$D$167="process")*economics!$AI$2:$AI$167*_xlfn.NORM.DIST(AJ$3,economics!$AK$2:$AK$167,economics!$AJ$2:$AJ$167,TRUE)),0)</f>
        <v/>
      </c>
      <c r="AK14" s="68">
        <f t="array" ref="AK14">IF($D14,SUMPRODUCT((economics!$AG$2:$AG$167=$B14)*(economics!$D$2:$D$167="process")*economics!$AI$2:$AI$167*_xlfn.NORM.DIST(AK$3,economics!$AK$2:$AK$167,economics!$AJ$2:$AJ$167,TRUE)),0)</f>
        <v/>
      </c>
      <c r="AL14" s="68">
        <f t="array" ref="AL14">IF($D14,SUMPRODUCT((economics!$AG$2:$AG$167=$B14)*(economics!$D$2:$D$167="process")*economics!$AI$2:$AI$167*_xlfn.NORM.DIST(AL$3,economics!$AK$2:$AK$167,economics!$AJ$2:$AJ$167,TRUE)),0)</f>
        <v/>
      </c>
      <c r="AM14" s="68">
        <f t="array" ref="AM14">IF($D14,SUMPRODUCT((economics!$AG$2:$AG$167=$B14)*(economics!$D$2:$D$167="process")*economics!$AI$2:$AI$167*_xlfn.NORM.DIST(AM$3,economics!$AK$2:$AK$167,economics!$AJ$2:$AJ$167,TRUE)),0)</f>
        <v/>
      </c>
      <c r="AN14" s="68">
        <f t="array" ref="AN14">IF($D14,SUMPRODUCT((economics!$AG$2:$AG$167=$B14)*(economics!$D$2:$D$167="process")*economics!$AI$2:$AI$167*_xlfn.NORM.DIST(AN$3,economics!$AK$2:$AK$167,economics!$AJ$2:$AJ$167,TRUE)),0)</f>
        <v/>
      </c>
      <c r="AO14" s="68">
        <f t="array" ref="AO14">IF($D14,SUMPRODUCT((economics!$AG$2:$AG$167=$B14)*(economics!$D$2:$D$167="process")*economics!$AI$2:$AI$167*_xlfn.NORM.DIST(AO$3,economics!$AK$2:$AK$167,economics!$AJ$2:$AJ$167,TRUE)),0)</f>
        <v/>
      </c>
      <c r="AP14" s="68">
        <f t="array" ref="AP14">IF($D14,SUMPRODUCT((economics!$AG$2:$AG$167=$B14)*(economics!$D$2:$D$167="process")*economics!$AI$2:$AI$167*_xlfn.NORM.DIST(AP$3,economics!$AK$2:$AK$167,economics!$AJ$2:$AJ$167,TRUE)),0)</f>
        <v/>
      </c>
      <c r="AQ14" s="68">
        <f t="array" ref="AQ14">IF($D14,SUMPRODUCT((economics!$AG$2:$AG$167=$B14)*(economics!$D$2:$D$167="process")*economics!$AI$2:$AI$167*_xlfn.NORM.DIST(AQ$3,economics!$AK$2:$AK$167,economics!$AJ$2:$AJ$167,TRUE)),0)</f>
        <v/>
      </c>
      <c r="AR14" s="68">
        <f t="array" ref="AR14">IF($D14,SUMPRODUCT((economics!$AG$2:$AG$167=$B14)*(economics!$D$2:$D$167="process")*economics!$AI$2:$AI$167*_xlfn.NORM.DIST(AR$3,economics!$AK$2:$AK$167,economics!$AJ$2:$AJ$167,TRUE)),0)</f>
        <v/>
      </c>
      <c r="AS14" s="68">
        <f t="array" ref="AS14">IF($D14,SUMPRODUCT((economics!$AG$2:$AG$167=$B14)*(economics!$D$2:$D$167="process")*economics!$AI$2:$AI$167*_xlfn.NORM.DIST(AS$3,economics!$AK$2:$AK$167,economics!$AJ$2:$AJ$167,TRUE)),0)</f>
        <v/>
      </c>
      <c r="AT14" s="68">
        <f t="array" ref="AT14">IF($D14,SUMPRODUCT((economics!$AG$2:$AG$167=$B14)*(economics!$D$2:$D$167="process")*economics!$AI$2:$AI$167*_xlfn.NORM.DIST(AT$3,economics!$AK$2:$AK$167,economics!$AJ$2:$AJ$167,TRUE)),0)</f>
        <v/>
      </c>
      <c r="AU14" s="68">
        <f t="array" ref="AU14">IF($D14,SUMPRODUCT((economics!$AG$2:$AG$167=$B14)*(economics!$D$2:$D$167="process")*economics!$AI$2:$AI$167*_xlfn.NORM.DIST(AU$3,economics!$AK$2:$AK$167,economics!$AJ$2:$AJ$167,TRUE)),0)</f>
        <v/>
      </c>
      <c r="AV14" s="68">
        <f t="array" ref="AV14">IF($D14,SUMPRODUCT((economics!$AG$2:$AG$167=$B14)*(economics!$D$2:$D$167="process")*economics!$AI$2:$AI$167*_xlfn.NORM.DIST(AV$3,economics!$AK$2:$AK$167,economics!$AJ$2:$AJ$167,TRUE)),0)</f>
        <v/>
      </c>
      <c r="AW14" s="68">
        <f t="array" ref="AW14">IF($D14,SUMPRODUCT((economics!$AG$2:$AG$167=$B14)*(economics!$D$2:$D$167="process")*economics!$AI$2:$AI$167*_xlfn.NORM.DIST(AW$3,economics!$AK$2:$AK$167,economics!$AJ$2:$AJ$167,TRUE)),0)</f>
        <v/>
      </c>
      <c r="AX14" s="68">
        <f t="array" ref="AX14">IF($D14,SUMPRODUCT((economics!$AG$2:$AG$167=$B14)*(economics!$D$2:$D$167="process")*economics!$AI$2:$AI$167*_xlfn.NORM.DIST(AX$3,economics!$AK$2:$AK$167,economics!$AJ$2:$AJ$167,TRUE)),0)</f>
        <v/>
      </c>
      <c r="AY14" s="68">
        <f t="array" ref="AY14">IF($D14,SUMPRODUCT((economics!$AG$2:$AG$167=$B14)*(economics!$D$2:$D$167="process")*economics!$AI$2:$AI$167*_xlfn.NORM.DIST(AY$3,economics!$AK$2:$AK$167,economics!$AJ$2:$AJ$167,TRUE)),0)</f>
        <v/>
      </c>
      <c r="AZ14" s="68">
        <f t="array" ref="AZ14">IF($D14,SUMPRODUCT((economics!$AG$2:$AG$167=$B14)*(economics!$D$2:$D$167="process")*economics!$AI$2:$AI$167*_xlfn.NORM.DIST(AZ$3,economics!$AK$2:$AK$167,economics!$AJ$2:$AJ$167,TRUE)),0)</f>
        <v/>
      </c>
      <c r="BA14" s="68">
        <f t="array" ref="BA14">IF($D14,SUMPRODUCT((economics!$AG$2:$AG$167=$B14)*(economics!$D$2:$D$167="process")*economics!$AI$2:$AI$167*_xlfn.NORM.DIST(BA$3,economics!$AK$2:$AK$167,economics!$AJ$2:$AJ$167,TRUE)),0)</f>
        <v/>
      </c>
      <c r="BB14" s="68">
        <f t="array" ref="BB14">IF($D14,SUMPRODUCT((economics!$AG$2:$AG$167=$B14)*(economics!$D$2:$D$167="process")*economics!$AI$2:$AI$167*_xlfn.NORM.DIST(BB$3,economics!$AK$2:$AK$167,economics!$AJ$2:$AJ$167,TRUE)),0)</f>
        <v/>
      </c>
      <c r="BC14" s="68">
        <f t="array" ref="BC14">IF($D14,SUMPRODUCT((economics!$AG$2:$AG$167=$B14)*(economics!$D$2:$D$167="process")*economics!$AI$2:$AI$167*_xlfn.NORM.DIST(BC$3,economics!$AK$2:$AK$167,economics!$AJ$2:$AJ$167,TRUE)),0)</f>
        <v/>
      </c>
      <c r="BD14" s="68">
        <f t="array" ref="BD14">IF($D14,SUMPRODUCT((economics!$AG$2:$AG$167=$B14)*(economics!$D$2:$D$167="process")*economics!$AI$2:$AI$167*_xlfn.NORM.DIST(BD$3,economics!$AK$2:$AK$167,economics!$AJ$2:$AJ$167,TRUE)),0)</f>
        <v/>
      </c>
      <c r="BE14" s="68">
        <f t="array" ref="BE14">IF($D14,SUMPRODUCT((economics!$AG$2:$AG$167=$B14)*(economics!$D$2:$D$167="process")*economics!$AI$2:$AI$167*_xlfn.NORM.DIST(BE$3,economics!$AK$2:$AK$167,economics!$AJ$2:$AJ$167,TRUE)),0)</f>
        <v/>
      </c>
      <c r="BF14" s="68">
        <f t="array" ref="BF14">IF($D14,SUMPRODUCT((economics!$AG$2:$AG$167=$B14)*(economics!$D$2:$D$167="process")*economics!$AI$2:$AI$167*_xlfn.NORM.DIST(BF$3,economics!$AK$2:$AK$167,economics!$AJ$2:$AJ$167,TRUE)),0)</f>
        <v/>
      </c>
      <c r="BG14" s="68">
        <f t="array" ref="BG14">IF($D14,SUMPRODUCT((economics!$AG$2:$AG$167=$B14)*(economics!$D$2:$D$167="process")*economics!$AI$2:$AI$167*_xlfn.NORM.DIST(BG$3,economics!$AK$2:$AK$167,economics!$AJ$2:$AJ$167,TRUE)),0)</f>
        <v/>
      </c>
      <c r="BH14" s="68">
        <f t="array" ref="BH14">IF($D14,SUMPRODUCT((economics!$AG$2:$AG$167=$B14)*(economics!$D$2:$D$167="process")*economics!$AI$2:$AI$167*_xlfn.NORM.DIST(BH$3,economics!$AK$2:$AK$167,economics!$AJ$2:$AJ$167,TRUE)),0)</f>
        <v/>
      </c>
      <c r="BI14" s="68">
        <f t="array" ref="BI14">IF($D14,SUMPRODUCT((economics!$AG$2:$AG$167=$B14)*(economics!$D$2:$D$167="process")*economics!$AI$2:$AI$167*_xlfn.NORM.DIST(BI$3,economics!$AK$2:$AK$167,economics!$AJ$2:$AJ$167,TRUE)),0)</f>
        <v/>
      </c>
      <c r="BJ14" s="68">
        <f t="array" ref="BJ14">IF($D14,SUMPRODUCT((economics!$AG$2:$AG$167=$B14)*(economics!$D$2:$D$167="process")*economics!$AI$2:$AI$167*_xlfn.NORM.DIST(BJ$3,economics!$AK$2:$AK$167,economics!$AJ$2:$AJ$167,TRUE)),0)</f>
        <v/>
      </c>
      <c r="BK14" s="68">
        <f t="array" ref="BK14">IF($D14,SUMPRODUCT((economics!$AG$2:$AG$167=$B14)*(economics!$D$2:$D$167="process")*economics!$AI$2:$AI$167*_xlfn.NORM.DIST(BK$3,economics!$AK$2:$AK$167,economics!$AJ$2:$AJ$167,TRUE)),0)</f>
        <v/>
      </c>
      <c r="BL14" s="68">
        <f t="array" ref="BL14">IF($D14,SUMPRODUCT((economics!$AG$2:$AG$167=$B14)*(economics!$D$2:$D$167="process")*economics!$AI$2:$AI$167*_xlfn.NORM.DIST(BL$3,economics!$AK$2:$AK$167,economics!$AJ$2:$AJ$167,TRUE)),0)</f>
        <v/>
      </c>
      <c r="BM14" s="68">
        <f t="array" ref="BM14">IF($D14,SUMPRODUCT((economics!$AG$2:$AG$167=$B14)*(economics!$D$2:$D$167="process")*economics!$AI$2:$AI$167*_xlfn.NORM.DIST(BM$3,economics!$AK$2:$AK$167,economics!$AJ$2:$AJ$167,TRUE)),0)</f>
        <v/>
      </c>
      <c r="BN14" s="68">
        <f t="array" ref="BN14">IF($D14,SUMPRODUCT((economics!$AG$2:$AG$167=$B14)*(economics!$D$2:$D$167="process")*economics!$AI$2:$AI$167*_xlfn.NORM.DIST(BN$3,economics!$AK$2:$AK$167,economics!$AJ$2:$AJ$167,TRUE)),0)</f>
        <v/>
      </c>
      <c r="BO14" s="68">
        <f t="array" ref="BO14">IF($D14,SUMPRODUCT((economics!$AG$2:$AG$167=$B14)*(economics!$D$2:$D$167="process")*economics!$AI$2:$AI$167*_xlfn.NORM.DIST(BO$3,economics!$AK$2:$AK$167,economics!$AJ$2:$AJ$167,TRUE)),0)</f>
        <v/>
      </c>
      <c r="BP14" s="68">
        <f t="array" ref="BP14">IF($D14,SUMPRODUCT((economics!$AG$2:$AG$167=$B14)*(economics!$D$2:$D$167="process")*economics!$AI$2:$AI$167*_xlfn.NORM.DIST(BP$3,economics!$AK$2:$AK$167,economics!$AJ$2:$AJ$167,TRUE)),0)</f>
        <v/>
      </c>
      <c r="BQ14" s="68">
        <f t="array" ref="BQ14">IF($D14,SUMPRODUCT((economics!$AG$2:$AG$167=$B14)*(economics!$D$2:$D$167="process")*economics!$AI$2:$AI$167*_xlfn.NORM.DIST(BQ$3,economics!$AK$2:$AK$167,economics!$AJ$2:$AJ$167,TRUE)),0)</f>
        <v/>
      </c>
      <c r="BR14" s="68">
        <f t="array" ref="BR14">IF($D14,SUMPRODUCT((economics!$AG$2:$AG$167=$B14)*(economics!$D$2:$D$167="process")*economics!$AI$2:$AI$167*_xlfn.NORM.DIST(BR$3,economics!$AK$2:$AK$167,economics!$AJ$2:$AJ$167,TRUE)),0)</f>
        <v/>
      </c>
      <c r="BS14" s="68">
        <f t="array" ref="BS14">IF($D14,SUMPRODUCT((economics!$AG$2:$AG$167=$B14)*(economics!$D$2:$D$167="process")*economics!$AI$2:$AI$167*_xlfn.NORM.DIST(BS$3,economics!$AK$2:$AK$167,economics!$AJ$2:$AJ$167,TRUE)),0)</f>
        <v/>
      </c>
      <c r="BT14" s="68">
        <f t="array" ref="BT14">IF($D14,SUMPRODUCT((economics!$AG$2:$AG$167=$B14)*(economics!$D$2:$D$167="process")*economics!$AI$2:$AI$167*_xlfn.NORM.DIST(BT$3,economics!$AK$2:$AK$167,economics!$AJ$2:$AJ$167,TRUE)),0)</f>
        <v/>
      </c>
      <c r="BU14" s="68">
        <f t="array" ref="BU14">IF($D14,SUMPRODUCT((economics!$AG$2:$AG$167=$B14)*(economics!$D$2:$D$167="process")*economics!$AI$2:$AI$167*_xlfn.NORM.DIST(BU$3,economics!$AK$2:$AK$167,economics!$AJ$2:$AJ$167,TRUE)),0)</f>
        <v/>
      </c>
      <c r="BV14" s="68">
        <f t="array" ref="BV14">IF($D14,SUMPRODUCT((economics!$AG$2:$AG$167=$B14)*(economics!$D$2:$D$167="process")*economics!$AI$2:$AI$167*_xlfn.NORM.DIST(BV$3,economics!$AK$2:$AK$167,economics!$AJ$2:$AJ$167,TRUE)),0)</f>
        <v/>
      </c>
      <c r="BW14" s="68">
        <f t="array" ref="BW14">IF($D14,SUMPRODUCT((economics!$AG$2:$AG$167=$B14)*(economics!$D$2:$D$167="process")*economics!$AI$2:$AI$167*_xlfn.NORM.DIST(BW$3,economics!$AK$2:$AK$167,economics!$AJ$2:$AJ$167,TRUE)),0)</f>
        <v/>
      </c>
      <c r="BX14" s="68">
        <f t="array" ref="BX14">IF($D14,SUMPRODUCT((economics!$AG$2:$AG$167=$B14)*(economics!$D$2:$D$167="process")*economics!$AI$2:$AI$167*_xlfn.NORM.DIST(BX$3,economics!$AK$2:$AK$167,economics!$AJ$2:$AJ$167,TRUE)),0)</f>
        <v/>
      </c>
      <c r="BY14" s="68">
        <f t="array" ref="BY14">IF($D14,SUMPRODUCT((economics!$AG$2:$AG$167=$B14)*(economics!$D$2:$D$167="process")*economics!$AI$2:$AI$167*_xlfn.NORM.DIST(BY$3,economics!$AK$2:$AK$167,economics!$AJ$2:$AJ$167,TRUE)),0)</f>
        <v/>
      </c>
      <c r="BZ14" s="68">
        <f t="array" ref="BZ14">IF($D14,SUMPRODUCT((economics!$AG$2:$AG$167=$B14)*(economics!$D$2:$D$167="process")*economics!$AI$2:$AI$167*_xlfn.NORM.DIST(BZ$3,economics!$AK$2:$AK$167,economics!$AJ$2:$AJ$167,TRUE)),0)</f>
        <v/>
      </c>
      <c r="CA14" s="68">
        <f t="array" ref="CA14">IF($D14,SUMPRODUCT((economics!$AG$2:$AG$167=$B14)*(economics!$D$2:$D$167="process")*economics!$AI$2:$AI$167*_xlfn.NORM.DIST(CA$3,economics!$AK$2:$AK$167,economics!$AJ$2:$AJ$167,TRUE)),0)</f>
        <v/>
      </c>
      <c r="CB14" s="68">
        <f t="array" ref="CB14">IF($D14,SUMPRODUCT((economics!$AG$2:$AG$167=$B14)*(economics!$D$2:$D$167="process")*economics!$AI$2:$AI$167*_xlfn.NORM.DIST(CB$3,economics!$AK$2:$AK$167,economics!$AJ$2:$AJ$167,TRUE)),0)</f>
        <v/>
      </c>
      <c r="CC14" s="68">
        <f t="array" ref="CC14">IF($D14,SUMPRODUCT((economics!$AG$2:$AG$167=$B14)*(economics!$D$2:$D$167="process")*economics!$AI$2:$AI$167*_xlfn.NORM.DIST(CC$3,economics!$AK$2:$AK$167,economics!$AJ$2:$AJ$167,TRUE)),0)</f>
        <v/>
      </c>
      <c r="CD14" s="68">
        <f t="array" ref="CD14">IF($D14,SUMPRODUCT((economics!$AG$2:$AG$167=$B14)*(economics!$D$2:$D$167="process")*economics!$AI$2:$AI$167*_xlfn.NORM.DIST(CD$3,economics!$AK$2:$AK$167,economics!$AJ$2:$AJ$167,TRUE)),0)</f>
        <v/>
      </c>
      <c r="CE14" s="68">
        <f t="array" ref="CE14">IF($D14,SUMPRODUCT((economics!$AG$2:$AG$167=$B14)*(economics!$D$2:$D$167="process")*economics!$AI$2:$AI$167*_xlfn.NORM.DIST(CE$3,economics!$AK$2:$AK$167,economics!$AJ$2:$AJ$167,TRUE)),0)</f>
        <v/>
      </c>
      <c r="CF14" s="68">
        <f t="array" ref="CF14">IF($D14,SUMPRODUCT((economics!$AG$2:$AG$167=$B14)*(economics!$D$2:$D$167="process")*economics!$AI$2:$AI$167*_xlfn.NORM.DIST(CF$3,economics!$AK$2:$AK$167,economics!$AJ$2:$AJ$167,TRUE)),0)</f>
        <v/>
      </c>
      <c r="CG14" s="68">
        <f t="array" ref="CG14">IF($D14,SUMPRODUCT((economics!$AG$2:$AG$167=$B14)*(economics!$D$2:$D$167="process")*economics!$AI$2:$AI$167*_xlfn.NORM.DIST(CG$3,economics!$AK$2:$AK$167,economics!$AJ$2:$AJ$167,TRUE)),0)</f>
        <v/>
      </c>
      <c r="CH14" s="68">
        <f t="array" ref="CH14">IF($D14,SUMPRODUCT((economics!$AG$2:$AG$167=$B14)*(economics!$D$2:$D$167="process")*economics!$AI$2:$AI$167*_xlfn.NORM.DIST(CH$3,economics!$AK$2:$AK$167,economics!$AJ$2:$AJ$167,TRUE)),0)</f>
        <v/>
      </c>
    </row>
    <row r="15">
      <c r="A15">
        <f>WHRPbI!A13</f>
        <v/>
      </c>
      <c r="B15" t="n">
        <v>231</v>
      </c>
      <c r="C15" s="68">
        <f>WHRPbI!B13</f>
        <v/>
      </c>
      <c r="D15">
        <f>ISNUMBER(MATCH($B15,'energy base (MECS)'!$K$4:$K$9,0))</f>
        <v/>
      </c>
      <c r="E15" s="68">
        <f t="array" ref="E15">IF($D15,SUMPRODUCT((economics!$AG$2:$AG$167=$B15)*(economics!$D$2:$D$167="process")*economics!$AI$2:$AI$167*_xlfn.NORM.DIST(E$3,economics!$AK$2:$AK$167,economics!$AJ$2:$AJ$167,TRUE)),0)</f>
        <v/>
      </c>
      <c r="F15" s="68">
        <f t="array" ref="F15">IF($D15,SUMPRODUCT((economics!$AG$2:$AG$167=$B15)*(economics!$D$2:$D$167="process")*economics!$AI$2:$AI$167*_xlfn.NORM.DIST(F$3,economics!$AK$2:$AK$167,economics!$AJ$2:$AJ$167,TRUE)),0)</f>
        <v/>
      </c>
      <c r="G15" s="68">
        <f t="array" ref="G15">IF($D15,SUMPRODUCT((economics!$AG$2:$AG$167=$B15)*(economics!$D$2:$D$167="process")*economics!$AI$2:$AI$167*_xlfn.NORM.DIST(G$3,economics!$AK$2:$AK$167,economics!$AJ$2:$AJ$167,TRUE)),0)</f>
        <v/>
      </c>
      <c r="H15" s="68">
        <f t="array" ref="H15">IF($D15,SUMPRODUCT((economics!$AG$2:$AG$167=$B15)*(economics!$D$2:$D$167="process")*economics!$AI$2:$AI$167*_xlfn.NORM.DIST(H$3,economics!$AK$2:$AK$167,economics!$AJ$2:$AJ$167,TRUE)),0)</f>
        <v/>
      </c>
      <c r="I15" s="68">
        <f t="array" ref="I15">IF($D15,SUMPRODUCT((economics!$AG$2:$AG$167=$B15)*(economics!$D$2:$D$167="process")*economics!$AI$2:$AI$167*_xlfn.NORM.DIST(I$3,economics!$AK$2:$AK$167,economics!$AJ$2:$AJ$167,TRUE)),0)</f>
        <v/>
      </c>
      <c r="J15" s="68">
        <f t="array" ref="J15">IF($D15,SUMPRODUCT((economics!$AG$2:$AG$167=$B15)*(economics!$D$2:$D$167="process")*economics!$AI$2:$AI$167*_xlfn.NORM.DIST(J$3,economics!$AK$2:$AK$167,economics!$AJ$2:$AJ$167,TRUE)),0)</f>
        <v/>
      </c>
      <c r="K15" s="68">
        <f t="array" ref="K15">IF($D15,SUMPRODUCT((economics!$AG$2:$AG$167=$B15)*(economics!$D$2:$D$167="process")*economics!$AI$2:$AI$167*_xlfn.NORM.DIST(K$3,economics!$AK$2:$AK$167,economics!$AJ$2:$AJ$167,TRUE)),0)</f>
        <v/>
      </c>
      <c r="L15" s="68">
        <f t="array" ref="L15">IF($D15,SUMPRODUCT((economics!$AG$2:$AG$167=$B15)*(economics!$D$2:$D$167="process")*economics!$AI$2:$AI$167*_xlfn.NORM.DIST(L$3,economics!$AK$2:$AK$167,economics!$AJ$2:$AJ$167,TRUE)),0)</f>
        <v/>
      </c>
      <c r="M15" s="68">
        <f t="array" ref="M15">IF($D15,SUMPRODUCT((economics!$AG$2:$AG$167=$B15)*(economics!$D$2:$D$167="process")*economics!$AI$2:$AI$167*_xlfn.NORM.DIST(M$3,economics!$AK$2:$AK$167,economics!$AJ$2:$AJ$167,TRUE)),0)</f>
        <v/>
      </c>
      <c r="N15" s="68">
        <f t="array" ref="N15">IF($D15,SUMPRODUCT((economics!$AG$2:$AG$167=$B15)*(economics!$D$2:$D$167="process")*economics!$AI$2:$AI$167*_xlfn.NORM.DIST(N$3,economics!$AK$2:$AK$167,economics!$AJ$2:$AJ$167,TRUE)),0)</f>
        <v/>
      </c>
      <c r="O15" s="68">
        <f t="array" ref="O15">IF($D15,SUMPRODUCT((economics!$AG$2:$AG$167=$B15)*(economics!$D$2:$D$167="process")*economics!$AI$2:$AI$167*_xlfn.NORM.DIST(O$3,economics!$AK$2:$AK$167,economics!$AJ$2:$AJ$167,TRUE)),0)</f>
        <v/>
      </c>
      <c r="P15" s="68">
        <f t="array" ref="P15">IF($D15,SUMPRODUCT((economics!$AG$2:$AG$167=$B15)*(economics!$D$2:$D$167="process")*economics!$AI$2:$AI$167*_xlfn.NORM.DIST(P$3,economics!$AK$2:$AK$167,economics!$AJ$2:$AJ$167,TRUE)),0)</f>
        <v/>
      </c>
      <c r="Q15" s="68">
        <f t="array" ref="Q15">IF($D15,SUMPRODUCT((economics!$AG$2:$AG$167=$B15)*(economics!$D$2:$D$167="process")*economics!$AI$2:$AI$167*_xlfn.NORM.DIST(Q$3,economics!$AK$2:$AK$167,economics!$AJ$2:$AJ$167,TRUE)),0)</f>
        <v/>
      </c>
      <c r="R15" s="68">
        <f t="array" ref="R15">IF($D15,SUMPRODUCT((economics!$AG$2:$AG$167=$B15)*(economics!$D$2:$D$167="process")*economics!$AI$2:$AI$167*_xlfn.NORM.DIST(R$3,economics!$AK$2:$AK$167,economics!$AJ$2:$AJ$167,TRUE)),0)</f>
        <v/>
      </c>
      <c r="S15" s="68">
        <f t="array" ref="S15">IF($D15,SUMPRODUCT((economics!$AG$2:$AG$167=$B15)*(economics!$D$2:$D$167="process")*economics!$AI$2:$AI$167*_xlfn.NORM.DIST(S$3,economics!$AK$2:$AK$167,economics!$AJ$2:$AJ$167,TRUE)),0)</f>
        <v/>
      </c>
      <c r="T15" s="68">
        <f t="array" ref="T15">IF($D15,SUMPRODUCT((economics!$AG$2:$AG$167=$B15)*(economics!$D$2:$D$167="process")*economics!$AI$2:$AI$167*_xlfn.NORM.DIST(T$3,economics!$AK$2:$AK$167,economics!$AJ$2:$AJ$167,TRUE)),0)</f>
        <v/>
      </c>
      <c r="U15" s="68">
        <f t="array" ref="U15">IF($D15,SUMPRODUCT((economics!$AG$2:$AG$167=$B15)*(economics!$D$2:$D$167="process")*economics!$AI$2:$AI$167*_xlfn.NORM.DIST(U$3,economics!$AK$2:$AK$167,economics!$AJ$2:$AJ$167,TRUE)),0)</f>
        <v/>
      </c>
      <c r="V15" s="68">
        <f t="array" ref="V15">IF($D15,SUMPRODUCT((economics!$AG$2:$AG$167=$B15)*(economics!$D$2:$D$167="process")*economics!$AI$2:$AI$167*_xlfn.NORM.DIST(V$3,economics!$AK$2:$AK$167,economics!$AJ$2:$AJ$167,TRUE)),0)</f>
        <v/>
      </c>
      <c r="W15" s="68">
        <f t="array" ref="W15">IF($D15,SUMPRODUCT((economics!$AG$2:$AG$167=$B15)*(economics!$D$2:$D$167="process")*economics!$AI$2:$AI$167*_xlfn.NORM.DIST(W$3,economics!$AK$2:$AK$167,economics!$AJ$2:$AJ$167,TRUE)),0)</f>
        <v/>
      </c>
      <c r="X15" s="68">
        <f t="array" ref="X15">IF($D15,SUMPRODUCT((economics!$AG$2:$AG$167=$B15)*(economics!$D$2:$D$167="process")*economics!$AI$2:$AI$167*_xlfn.NORM.DIST(X$3,economics!$AK$2:$AK$167,economics!$AJ$2:$AJ$167,TRUE)),0)</f>
        <v/>
      </c>
      <c r="Y15" s="68">
        <f t="array" ref="Y15">IF($D15,SUMPRODUCT((economics!$AG$2:$AG$167=$B15)*(economics!$D$2:$D$167="process")*economics!$AI$2:$AI$167*_xlfn.NORM.DIST(Y$3,economics!$AK$2:$AK$167,economics!$AJ$2:$AJ$167,TRUE)),0)</f>
        <v/>
      </c>
      <c r="Z15" s="68">
        <f t="array" ref="Z15">IF($D15,SUMPRODUCT((economics!$AG$2:$AG$167=$B15)*(economics!$D$2:$D$167="process")*economics!$AI$2:$AI$167*_xlfn.NORM.DIST(Z$3,economics!$AK$2:$AK$167,economics!$AJ$2:$AJ$167,TRUE)),0)</f>
        <v/>
      </c>
      <c r="AA15" s="68">
        <f t="array" ref="AA15">IF($D15,SUMPRODUCT((economics!$AG$2:$AG$167=$B15)*(economics!$D$2:$D$167="process")*economics!$AI$2:$AI$167*_xlfn.NORM.DIST(AA$3,economics!$AK$2:$AK$167,economics!$AJ$2:$AJ$167,TRUE)),0)</f>
        <v/>
      </c>
      <c r="AB15" s="68">
        <f t="array" ref="AB15">IF($D15,SUMPRODUCT((economics!$AG$2:$AG$167=$B15)*(economics!$D$2:$D$167="process")*economics!$AI$2:$AI$167*_xlfn.NORM.DIST(AB$3,economics!$AK$2:$AK$167,economics!$AJ$2:$AJ$167,TRUE)),0)</f>
        <v/>
      </c>
      <c r="AC15" s="68">
        <f t="array" ref="AC15">IF($D15,SUMPRODUCT((economics!$AG$2:$AG$167=$B15)*(economics!$D$2:$D$167="process")*economics!$AI$2:$AI$167*_xlfn.NORM.DIST(AC$3,economics!$AK$2:$AK$167,economics!$AJ$2:$AJ$167,TRUE)),0)</f>
        <v/>
      </c>
      <c r="AD15" s="68">
        <f t="array" ref="AD15">IF($D15,SUMPRODUCT((economics!$AG$2:$AG$167=$B15)*(economics!$D$2:$D$167="process")*economics!$AI$2:$AI$167*_xlfn.NORM.DIST(AD$3,economics!$AK$2:$AK$167,economics!$AJ$2:$AJ$167,TRUE)),0)</f>
        <v/>
      </c>
      <c r="AE15" s="68">
        <f t="array" ref="AE15">IF($D15,SUMPRODUCT((economics!$AG$2:$AG$167=$B15)*(economics!$D$2:$D$167="process")*economics!$AI$2:$AI$167*_xlfn.NORM.DIST(AE$3,economics!$AK$2:$AK$167,economics!$AJ$2:$AJ$167,TRUE)),0)</f>
        <v/>
      </c>
      <c r="AF15" s="68">
        <f t="array" ref="AF15">IF($D15,SUMPRODUCT((economics!$AG$2:$AG$167=$B15)*(economics!$D$2:$D$167="process")*economics!$AI$2:$AI$167*_xlfn.NORM.DIST(AF$3,economics!$AK$2:$AK$167,economics!$AJ$2:$AJ$167,TRUE)),0)</f>
        <v/>
      </c>
      <c r="AG15" s="68">
        <f t="array" ref="AG15">IF($D15,SUMPRODUCT((economics!$AG$2:$AG$167=$B15)*(economics!$D$2:$D$167="process")*economics!$AI$2:$AI$167*_xlfn.NORM.DIST(AG$3,economics!$AK$2:$AK$167,economics!$AJ$2:$AJ$167,TRUE)),0)</f>
        <v/>
      </c>
      <c r="AH15" s="68">
        <f t="array" ref="AH15">IF($D15,SUMPRODUCT((economics!$AG$2:$AG$167=$B15)*(economics!$D$2:$D$167="process")*economics!$AI$2:$AI$167*_xlfn.NORM.DIST(AH$3,economics!$AK$2:$AK$167,economics!$AJ$2:$AJ$167,TRUE)),0)</f>
        <v/>
      </c>
      <c r="AI15" s="68">
        <f t="array" ref="AI15">IF($D15,SUMPRODUCT((economics!$AG$2:$AG$167=$B15)*(economics!$D$2:$D$167="process")*economics!$AI$2:$AI$167*_xlfn.NORM.DIST(AI$3,economics!$AK$2:$AK$167,economics!$AJ$2:$AJ$167,TRUE)),0)</f>
        <v/>
      </c>
      <c r="AJ15" s="68">
        <f t="array" ref="AJ15">IF($D15,SUMPRODUCT((economics!$AG$2:$AG$167=$B15)*(economics!$D$2:$D$167="process")*economics!$AI$2:$AI$167*_xlfn.NORM.DIST(AJ$3,economics!$AK$2:$AK$167,economics!$AJ$2:$AJ$167,TRUE)),0)</f>
        <v/>
      </c>
      <c r="AK15" s="68">
        <f t="array" ref="AK15">IF($D15,SUMPRODUCT((economics!$AG$2:$AG$167=$B15)*(economics!$D$2:$D$167="process")*economics!$AI$2:$AI$167*_xlfn.NORM.DIST(AK$3,economics!$AK$2:$AK$167,economics!$AJ$2:$AJ$167,TRUE)),0)</f>
        <v/>
      </c>
      <c r="AL15" s="68">
        <f t="array" ref="AL15">IF($D15,SUMPRODUCT((economics!$AG$2:$AG$167=$B15)*(economics!$D$2:$D$167="process")*economics!$AI$2:$AI$167*_xlfn.NORM.DIST(AL$3,economics!$AK$2:$AK$167,economics!$AJ$2:$AJ$167,TRUE)),0)</f>
        <v/>
      </c>
      <c r="AM15" s="68">
        <f t="array" ref="AM15">IF($D15,SUMPRODUCT((economics!$AG$2:$AG$167=$B15)*(economics!$D$2:$D$167="process")*economics!$AI$2:$AI$167*_xlfn.NORM.DIST(AM$3,economics!$AK$2:$AK$167,economics!$AJ$2:$AJ$167,TRUE)),0)</f>
        <v/>
      </c>
      <c r="AN15" s="68">
        <f t="array" ref="AN15">IF($D15,SUMPRODUCT((economics!$AG$2:$AG$167=$B15)*(economics!$D$2:$D$167="process")*economics!$AI$2:$AI$167*_xlfn.NORM.DIST(AN$3,economics!$AK$2:$AK$167,economics!$AJ$2:$AJ$167,TRUE)),0)</f>
        <v/>
      </c>
      <c r="AO15" s="68">
        <f t="array" ref="AO15">IF($D15,SUMPRODUCT((economics!$AG$2:$AG$167=$B15)*(economics!$D$2:$D$167="process")*economics!$AI$2:$AI$167*_xlfn.NORM.DIST(AO$3,economics!$AK$2:$AK$167,economics!$AJ$2:$AJ$167,TRUE)),0)</f>
        <v/>
      </c>
      <c r="AP15" s="68">
        <f t="array" ref="AP15">IF($D15,SUMPRODUCT((economics!$AG$2:$AG$167=$B15)*(economics!$D$2:$D$167="process")*economics!$AI$2:$AI$167*_xlfn.NORM.DIST(AP$3,economics!$AK$2:$AK$167,economics!$AJ$2:$AJ$167,TRUE)),0)</f>
        <v/>
      </c>
      <c r="AQ15" s="68">
        <f t="array" ref="AQ15">IF($D15,SUMPRODUCT((economics!$AG$2:$AG$167=$B15)*(economics!$D$2:$D$167="process")*economics!$AI$2:$AI$167*_xlfn.NORM.DIST(AQ$3,economics!$AK$2:$AK$167,economics!$AJ$2:$AJ$167,TRUE)),0)</f>
        <v/>
      </c>
      <c r="AR15" s="68">
        <f t="array" ref="AR15">IF($D15,SUMPRODUCT((economics!$AG$2:$AG$167=$B15)*(economics!$D$2:$D$167="process")*economics!$AI$2:$AI$167*_xlfn.NORM.DIST(AR$3,economics!$AK$2:$AK$167,economics!$AJ$2:$AJ$167,TRUE)),0)</f>
        <v/>
      </c>
      <c r="AS15" s="68">
        <f t="array" ref="AS15">IF($D15,SUMPRODUCT((economics!$AG$2:$AG$167=$B15)*(economics!$D$2:$D$167="process")*economics!$AI$2:$AI$167*_xlfn.NORM.DIST(AS$3,economics!$AK$2:$AK$167,economics!$AJ$2:$AJ$167,TRUE)),0)</f>
        <v/>
      </c>
      <c r="AT15" s="68">
        <f t="array" ref="AT15">IF($D15,SUMPRODUCT((economics!$AG$2:$AG$167=$B15)*(economics!$D$2:$D$167="process")*economics!$AI$2:$AI$167*_xlfn.NORM.DIST(AT$3,economics!$AK$2:$AK$167,economics!$AJ$2:$AJ$167,TRUE)),0)</f>
        <v/>
      </c>
      <c r="AU15" s="68">
        <f t="array" ref="AU15">IF($D15,SUMPRODUCT((economics!$AG$2:$AG$167=$B15)*(economics!$D$2:$D$167="process")*economics!$AI$2:$AI$167*_xlfn.NORM.DIST(AU$3,economics!$AK$2:$AK$167,economics!$AJ$2:$AJ$167,TRUE)),0)</f>
        <v/>
      </c>
      <c r="AV15" s="68">
        <f t="array" ref="AV15">IF($D15,SUMPRODUCT((economics!$AG$2:$AG$167=$B15)*(economics!$D$2:$D$167="process")*economics!$AI$2:$AI$167*_xlfn.NORM.DIST(AV$3,economics!$AK$2:$AK$167,economics!$AJ$2:$AJ$167,TRUE)),0)</f>
        <v/>
      </c>
      <c r="AW15" s="68">
        <f t="array" ref="AW15">IF($D15,SUMPRODUCT((economics!$AG$2:$AG$167=$B15)*(economics!$D$2:$D$167="process")*economics!$AI$2:$AI$167*_xlfn.NORM.DIST(AW$3,economics!$AK$2:$AK$167,economics!$AJ$2:$AJ$167,TRUE)),0)</f>
        <v/>
      </c>
      <c r="AX15" s="68">
        <f t="array" ref="AX15">IF($D15,SUMPRODUCT((economics!$AG$2:$AG$167=$B15)*(economics!$D$2:$D$167="process")*economics!$AI$2:$AI$167*_xlfn.NORM.DIST(AX$3,economics!$AK$2:$AK$167,economics!$AJ$2:$AJ$167,TRUE)),0)</f>
        <v/>
      </c>
      <c r="AY15" s="68">
        <f t="array" ref="AY15">IF($D15,SUMPRODUCT((economics!$AG$2:$AG$167=$B15)*(economics!$D$2:$D$167="process")*economics!$AI$2:$AI$167*_xlfn.NORM.DIST(AY$3,economics!$AK$2:$AK$167,economics!$AJ$2:$AJ$167,TRUE)),0)</f>
        <v/>
      </c>
      <c r="AZ15" s="68">
        <f t="array" ref="AZ15">IF($D15,SUMPRODUCT((economics!$AG$2:$AG$167=$B15)*(economics!$D$2:$D$167="process")*economics!$AI$2:$AI$167*_xlfn.NORM.DIST(AZ$3,economics!$AK$2:$AK$167,economics!$AJ$2:$AJ$167,TRUE)),0)</f>
        <v/>
      </c>
      <c r="BA15" s="68">
        <f t="array" ref="BA15">IF($D15,SUMPRODUCT((economics!$AG$2:$AG$167=$B15)*(economics!$D$2:$D$167="process")*economics!$AI$2:$AI$167*_xlfn.NORM.DIST(BA$3,economics!$AK$2:$AK$167,economics!$AJ$2:$AJ$167,TRUE)),0)</f>
        <v/>
      </c>
      <c r="BB15" s="68">
        <f t="array" ref="BB15">IF($D15,SUMPRODUCT((economics!$AG$2:$AG$167=$B15)*(economics!$D$2:$D$167="process")*economics!$AI$2:$AI$167*_xlfn.NORM.DIST(BB$3,economics!$AK$2:$AK$167,economics!$AJ$2:$AJ$167,TRUE)),0)</f>
        <v/>
      </c>
      <c r="BC15" s="68">
        <f t="array" ref="BC15">IF($D15,SUMPRODUCT((economics!$AG$2:$AG$167=$B15)*(economics!$D$2:$D$167="process")*economics!$AI$2:$AI$167*_xlfn.NORM.DIST(BC$3,economics!$AK$2:$AK$167,economics!$AJ$2:$AJ$167,TRUE)),0)</f>
        <v/>
      </c>
      <c r="BD15" s="68">
        <f t="array" ref="BD15">IF($D15,SUMPRODUCT((economics!$AG$2:$AG$167=$B15)*(economics!$D$2:$D$167="process")*economics!$AI$2:$AI$167*_xlfn.NORM.DIST(BD$3,economics!$AK$2:$AK$167,economics!$AJ$2:$AJ$167,TRUE)),0)</f>
        <v/>
      </c>
      <c r="BE15" s="68">
        <f t="array" ref="BE15">IF($D15,SUMPRODUCT((economics!$AG$2:$AG$167=$B15)*(economics!$D$2:$D$167="process")*economics!$AI$2:$AI$167*_xlfn.NORM.DIST(BE$3,economics!$AK$2:$AK$167,economics!$AJ$2:$AJ$167,TRUE)),0)</f>
        <v/>
      </c>
      <c r="BF15" s="68">
        <f t="array" ref="BF15">IF($D15,SUMPRODUCT((economics!$AG$2:$AG$167=$B15)*(economics!$D$2:$D$167="process")*economics!$AI$2:$AI$167*_xlfn.NORM.DIST(BF$3,economics!$AK$2:$AK$167,economics!$AJ$2:$AJ$167,TRUE)),0)</f>
        <v/>
      </c>
      <c r="BG15" s="68">
        <f t="array" ref="BG15">IF($D15,SUMPRODUCT((economics!$AG$2:$AG$167=$B15)*(economics!$D$2:$D$167="process")*economics!$AI$2:$AI$167*_xlfn.NORM.DIST(BG$3,economics!$AK$2:$AK$167,economics!$AJ$2:$AJ$167,TRUE)),0)</f>
        <v/>
      </c>
      <c r="BH15" s="68">
        <f t="array" ref="BH15">IF($D15,SUMPRODUCT((economics!$AG$2:$AG$167=$B15)*(economics!$D$2:$D$167="process")*economics!$AI$2:$AI$167*_xlfn.NORM.DIST(BH$3,economics!$AK$2:$AK$167,economics!$AJ$2:$AJ$167,TRUE)),0)</f>
        <v/>
      </c>
      <c r="BI15" s="68">
        <f t="array" ref="BI15">IF($D15,SUMPRODUCT((economics!$AG$2:$AG$167=$B15)*(economics!$D$2:$D$167="process")*economics!$AI$2:$AI$167*_xlfn.NORM.DIST(BI$3,economics!$AK$2:$AK$167,economics!$AJ$2:$AJ$167,TRUE)),0)</f>
        <v/>
      </c>
      <c r="BJ15" s="68">
        <f t="array" ref="BJ15">IF($D15,SUMPRODUCT((economics!$AG$2:$AG$167=$B15)*(economics!$D$2:$D$167="process")*economics!$AI$2:$AI$167*_xlfn.NORM.DIST(BJ$3,economics!$AK$2:$AK$167,economics!$AJ$2:$AJ$167,TRUE)),0)</f>
        <v/>
      </c>
      <c r="BK15" s="68">
        <f t="array" ref="BK15">IF($D15,SUMPRODUCT((economics!$AG$2:$AG$167=$B15)*(economics!$D$2:$D$167="process")*economics!$AI$2:$AI$167*_xlfn.NORM.DIST(BK$3,economics!$AK$2:$AK$167,economics!$AJ$2:$AJ$167,TRUE)),0)</f>
        <v/>
      </c>
      <c r="BL15" s="68">
        <f t="array" ref="BL15">IF($D15,SUMPRODUCT((economics!$AG$2:$AG$167=$B15)*(economics!$D$2:$D$167="process")*economics!$AI$2:$AI$167*_xlfn.NORM.DIST(BL$3,economics!$AK$2:$AK$167,economics!$AJ$2:$AJ$167,TRUE)),0)</f>
        <v/>
      </c>
      <c r="BM15" s="68">
        <f t="array" ref="BM15">IF($D15,SUMPRODUCT((economics!$AG$2:$AG$167=$B15)*(economics!$D$2:$D$167="process")*economics!$AI$2:$AI$167*_xlfn.NORM.DIST(BM$3,economics!$AK$2:$AK$167,economics!$AJ$2:$AJ$167,TRUE)),0)</f>
        <v/>
      </c>
      <c r="BN15" s="68">
        <f t="array" ref="BN15">IF($D15,SUMPRODUCT((economics!$AG$2:$AG$167=$B15)*(economics!$D$2:$D$167="process")*economics!$AI$2:$AI$167*_xlfn.NORM.DIST(BN$3,economics!$AK$2:$AK$167,economics!$AJ$2:$AJ$167,TRUE)),0)</f>
        <v/>
      </c>
      <c r="BO15" s="68">
        <f t="array" ref="BO15">IF($D15,SUMPRODUCT((economics!$AG$2:$AG$167=$B15)*(economics!$D$2:$D$167="process")*economics!$AI$2:$AI$167*_xlfn.NORM.DIST(BO$3,economics!$AK$2:$AK$167,economics!$AJ$2:$AJ$167,TRUE)),0)</f>
        <v/>
      </c>
      <c r="BP15" s="68">
        <f t="array" ref="BP15">IF($D15,SUMPRODUCT((economics!$AG$2:$AG$167=$B15)*(economics!$D$2:$D$167="process")*economics!$AI$2:$AI$167*_xlfn.NORM.DIST(BP$3,economics!$AK$2:$AK$167,economics!$AJ$2:$AJ$167,TRUE)),0)</f>
        <v/>
      </c>
      <c r="BQ15" s="68">
        <f t="array" ref="BQ15">IF($D15,SUMPRODUCT((economics!$AG$2:$AG$167=$B15)*(economics!$D$2:$D$167="process")*economics!$AI$2:$AI$167*_xlfn.NORM.DIST(BQ$3,economics!$AK$2:$AK$167,economics!$AJ$2:$AJ$167,TRUE)),0)</f>
        <v/>
      </c>
      <c r="BR15" s="68">
        <f t="array" ref="BR15">IF($D15,SUMPRODUCT((economics!$AG$2:$AG$167=$B15)*(economics!$D$2:$D$167="process")*economics!$AI$2:$AI$167*_xlfn.NORM.DIST(BR$3,economics!$AK$2:$AK$167,economics!$AJ$2:$AJ$167,TRUE)),0)</f>
        <v/>
      </c>
      <c r="BS15" s="68">
        <f t="array" ref="BS15">IF($D15,SUMPRODUCT((economics!$AG$2:$AG$167=$B15)*(economics!$D$2:$D$167="process")*economics!$AI$2:$AI$167*_xlfn.NORM.DIST(BS$3,economics!$AK$2:$AK$167,economics!$AJ$2:$AJ$167,TRUE)),0)</f>
        <v/>
      </c>
      <c r="BT15" s="68">
        <f t="array" ref="BT15">IF($D15,SUMPRODUCT((economics!$AG$2:$AG$167=$B15)*(economics!$D$2:$D$167="process")*economics!$AI$2:$AI$167*_xlfn.NORM.DIST(BT$3,economics!$AK$2:$AK$167,economics!$AJ$2:$AJ$167,TRUE)),0)</f>
        <v/>
      </c>
      <c r="BU15" s="68">
        <f t="array" ref="BU15">IF($D15,SUMPRODUCT((economics!$AG$2:$AG$167=$B15)*(economics!$D$2:$D$167="process")*economics!$AI$2:$AI$167*_xlfn.NORM.DIST(BU$3,economics!$AK$2:$AK$167,economics!$AJ$2:$AJ$167,TRUE)),0)</f>
        <v/>
      </c>
      <c r="BV15" s="68">
        <f t="array" ref="BV15">IF($D15,SUMPRODUCT((economics!$AG$2:$AG$167=$B15)*(economics!$D$2:$D$167="process")*economics!$AI$2:$AI$167*_xlfn.NORM.DIST(BV$3,economics!$AK$2:$AK$167,economics!$AJ$2:$AJ$167,TRUE)),0)</f>
        <v/>
      </c>
      <c r="BW15" s="68">
        <f t="array" ref="BW15">IF($D15,SUMPRODUCT((economics!$AG$2:$AG$167=$B15)*(economics!$D$2:$D$167="process")*economics!$AI$2:$AI$167*_xlfn.NORM.DIST(BW$3,economics!$AK$2:$AK$167,economics!$AJ$2:$AJ$167,TRUE)),0)</f>
        <v/>
      </c>
      <c r="BX15" s="68">
        <f t="array" ref="BX15">IF($D15,SUMPRODUCT((economics!$AG$2:$AG$167=$B15)*(economics!$D$2:$D$167="process")*economics!$AI$2:$AI$167*_xlfn.NORM.DIST(BX$3,economics!$AK$2:$AK$167,economics!$AJ$2:$AJ$167,TRUE)),0)</f>
        <v/>
      </c>
      <c r="BY15" s="68">
        <f t="array" ref="BY15">IF($D15,SUMPRODUCT((economics!$AG$2:$AG$167=$B15)*(economics!$D$2:$D$167="process")*economics!$AI$2:$AI$167*_xlfn.NORM.DIST(BY$3,economics!$AK$2:$AK$167,economics!$AJ$2:$AJ$167,TRUE)),0)</f>
        <v/>
      </c>
      <c r="BZ15" s="68">
        <f t="array" ref="BZ15">IF($D15,SUMPRODUCT((economics!$AG$2:$AG$167=$B15)*(economics!$D$2:$D$167="process")*economics!$AI$2:$AI$167*_xlfn.NORM.DIST(BZ$3,economics!$AK$2:$AK$167,economics!$AJ$2:$AJ$167,TRUE)),0)</f>
        <v/>
      </c>
      <c r="CA15" s="68">
        <f t="array" ref="CA15">IF($D15,SUMPRODUCT((economics!$AG$2:$AG$167=$B15)*(economics!$D$2:$D$167="process")*economics!$AI$2:$AI$167*_xlfn.NORM.DIST(CA$3,economics!$AK$2:$AK$167,economics!$AJ$2:$AJ$167,TRUE)),0)</f>
        <v/>
      </c>
      <c r="CB15" s="68">
        <f t="array" ref="CB15">IF($D15,SUMPRODUCT((economics!$AG$2:$AG$167=$B15)*(economics!$D$2:$D$167="process")*economics!$AI$2:$AI$167*_xlfn.NORM.DIST(CB$3,economics!$AK$2:$AK$167,economics!$AJ$2:$AJ$167,TRUE)),0)</f>
        <v/>
      </c>
      <c r="CC15" s="68">
        <f t="array" ref="CC15">IF($D15,SUMPRODUCT((economics!$AG$2:$AG$167=$B15)*(economics!$D$2:$D$167="process")*economics!$AI$2:$AI$167*_xlfn.NORM.DIST(CC$3,economics!$AK$2:$AK$167,economics!$AJ$2:$AJ$167,TRUE)),0)</f>
        <v/>
      </c>
      <c r="CD15" s="68">
        <f t="array" ref="CD15">IF($D15,SUMPRODUCT((economics!$AG$2:$AG$167=$B15)*(economics!$D$2:$D$167="process")*economics!$AI$2:$AI$167*_xlfn.NORM.DIST(CD$3,economics!$AK$2:$AK$167,economics!$AJ$2:$AJ$167,TRUE)),0)</f>
        <v/>
      </c>
      <c r="CE15" s="68">
        <f t="array" ref="CE15">IF($D15,SUMPRODUCT((economics!$AG$2:$AG$167=$B15)*(economics!$D$2:$D$167="process")*economics!$AI$2:$AI$167*_xlfn.NORM.DIST(CE$3,economics!$AK$2:$AK$167,economics!$AJ$2:$AJ$167,TRUE)),0)</f>
        <v/>
      </c>
      <c r="CF15" s="68">
        <f t="array" ref="CF15">IF($D15,SUMPRODUCT((economics!$AG$2:$AG$167=$B15)*(economics!$D$2:$D$167="process")*economics!$AI$2:$AI$167*_xlfn.NORM.DIST(CF$3,economics!$AK$2:$AK$167,economics!$AJ$2:$AJ$167,TRUE)),0)</f>
        <v/>
      </c>
      <c r="CG15" s="68">
        <f t="array" ref="CG15">IF($D15,SUMPRODUCT((economics!$AG$2:$AG$167=$B15)*(economics!$D$2:$D$167="process")*economics!$AI$2:$AI$167*_xlfn.NORM.DIST(CG$3,economics!$AK$2:$AK$167,economics!$AJ$2:$AJ$167,TRUE)),0)</f>
        <v/>
      </c>
      <c r="CH15" s="68">
        <f t="array" ref="CH15">IF($D15,SUMPRODUCT((economics!$AG$2:$AG$167=$B15)*(economics!$D$2:$D$167="process")*economics!$AI$2:$AI$167*_xlfn.NORM.DIST(CH$3,economics!$AK$2:$AK$167,economics!$AJ$2:$AJ$167,TRUE)),0)</f>
        <v/>
      </c>
    </row>
    <row r="16">
      <c r="A16">
        <f>WHRPbI!A14</f>
        <v/>
      </c>
      <c r="B16" t="n">
        <v>239</v>
      </c>
      <c r="C16" s="68">
        <f>WHRPbI!B14</f>
        <v/>
      </c>
      <c r="D16">
        <f>ISNUMBER(MATCH($B16,'energy base (MECS)'!$K$4:$K$9,0))</f>
        <v/>
      </c>
      <c r="E16" s="68">
        <f t="array" ref="E16">IF($D16,SUMPRODUCT((economics!$AG$2:$AG$167=$B16)*(economics!$D$2:$D$167="process")*economics!$AI$2:$AI$167*_xlfn.NORM.DIST(E$3,economics!$AK$2:$AK$167,economics!$AJ$2:$AJ$167,TRUE)),0)</f>
        <v/>
      </c>
      <c r="F16" s="68">
        <f t="array" ref="F16">IF($D16,SUMPRODUCT((economics!$AG$2:$AG$167=$B16)*(economics!$D$2:$D$167="process")*economics!$AI$2:$AI$167*_xlfn.NORM.DIST(F$3,economics!$AK$2:$AK$167,economics!$AJ$2:$AJ$167,TRUE)),0)</f>
        <v/>
      </c>
      <c r="G16" s="68">
        <f t="array" ref="G16">IF($D16,SUMPRODUCT((economics!$AG$2:$AG$167=$B16)*(economics!$D$2:$D$167="process")*economics!$AI$2:$AI$167*_xlfn.NORM.DIST(G$3,economics!$AK$2:$AK$167,economics!$AJ$2:$AJ$167,TRUE)),0)</f>
        <v/>
      </c>
      <c r="H16" s="68">
        <f t="array" ref="H16">IF($D16,SUMPRODUCT((economics!$AG$2:$AG$167=$B16)*(economics!$D$2:$D$167="process")*economics!$AI$2:$AI$167*_xlfn.NORM.DIST(H$3,economics!$AK$2:$AK$167,economics!$AJ$2:$AJ$167,TRUE)),0)</f>
        <v/>
      </c>
      <c r="I16" s="68">
        <f t="array" ref="I16">IF($D16,SUMPRODUCT((economics!$AG$2:$AG$167=$B16)*(economics!$D$2:$D$167="process")*economics!$AI$2:$AI$167*_xlfn.NORM.DIST(I$3,economics!$AK$2:$AK$167,economics!$AJ$2:$AJ$167,TRUE)),0)</f>
        <v/>
      </c>
      <c r="J16" s="68">
        <f t="array" ref="J16">IF($D16,SUMPRODUCT((economics!$AG$2:$AG$167=$B16)*(economics!$D$2:$D$167="process")*economics!$AI$2:$AI$167*_xlfn.NORM.DIST(J$3,economics!$AK$2:$AK$167,economics!$AJ$2:$AJ$167,TRUE)),0)</f>
        <v/>
      </c>
      <c r="K16" s="68">
        <f t="array" ref="K16">IF($D16,SUMPRODUCT((economics!$AG$2:$AG$167=$B16)*(economics!$D$2:$D$167="process")*economics!$AI$2:$AI$167*_xlfn.NORM.DIST(K$3,economics!$AK$2:$AK$167,economics!$AJ$2:$AJ$167,TRUE)),0)</f>
        <v/>
      </c>
      <c r="L16" s="68">
        <f t="array" ref="L16">IF($D16,SUMPRODUCT((economics!$AG$2:$AG$167=$B16)*(economics!$D$2:$D$167="process")*economics!$AI$2:$AI$167*_xlfn.NORM.DIST(L$3,economics!$AK$2:$AK$167,economics!$AJ$2:$AJ$167,TRUE)),0)</f>
        <v/>
      </c>
      <c r="M16" s="68">
        <f t="array" ref="M16">IF($D16,SUMPRODUCT((economics!$AG$2:$AG$167=$B16)*(economics!$D$2:$D$167="process")*economics!$AI$2:$AI$167*_xlfn.NORM.DIST(M$3,economics!$AK$2:$AK$167,economics!$AJ$2:$AJ$167,TRUE)),0)</f>
        <v/>
      </c>
      <c r="N16" s="68">
        <f t="array" ref="N16">IF($D16,SUMPRODUCT((economics!$AG$2:$AG$167=$B16)*(economics!$D$2:$D$167="process")*economics!$AI$2:$AI$167*_xlfn.NORM.DIST(N$3,economics!$AK$2:$AK$167,economics!$AJ$2:$AJ$167,TRUE)),0)</f>
        <v/>
      </c>
      <c r="O16" s="68">
        <f t="array" ref="O16">IF($D16,SUMPRODUCT((economics!$AG$2:$AG$167=$B16)*(economics!$D$2:$D$167="process")*economics!$AI$2:$AI$167*_xlfn.NORM.DIST(O$3,economics!$AK$2:$AK$167,economics!$AJ$2:$AJ$167,TRUE)),0)</f>
        <v/>
      </c>
      <c r="P16" s="68">
        <f t="array" ref="P16">IF($D16,SUMPRODUCT((economics!$AG$2:$AG$167=$B16)*(economics!$D$2:$D$167="process")*economics!$AI$2:$AI$167*_xlfn.NORM.DIST(P$3,economics!$AK$2:$AK$167,economics!$AJ$2:$AJ$167,TRUE)),0)</f>
        <v/>
      </c>
      <c r="Q16" s="68">
        <f t="array" ref="Q16">IF($D16,SUMPRODUCT((economics!$AG$2:$AG$167=$B16)*(economics!$D$2:$D$167="process")*economics!$AI$2:$AI$167*_xlfn.NORM.DIST(Q$3,economics!$AK$2:$AK$167,economics!$AJ$2:$AJ$167,TRUE)),0)</f>
        <v/>
      </c>
      <c r="R16" s="68">
        <f t="array" ref="R16">IF($D16,SUMPRODUCT((economics!$AG$2:$AG$167=$B16)*(economics!$D$2:$D$167="process")*economics!$AI$2:$AI$167*_xlfn.NORM.DIST(R$3,economics!$AK$2:$AK$167,economics!$AJ$2:$AJ$167,TRUE)),0)</f>
        <v/>
      </c>
      <c r="S16" s="68">
        <f t="array" ref="S16">IF($D16,SUMPRODUCT((economics!$AG$2:$AG$167=$B16)*(economics!$D$2:$D$167="process")*economics!$AI$2:$AI$167*_xlfn.NORM.DIST(S$3,economics!$AK$2:$AK$167,economics!$AJ$2:$AJ$167,TRUE)),0)</f>
        <v/>
      </c>
      <c r="T16" s="68">
        <f t="array" ref="T16">IF($D16,SUMPRODUCT((economics!$AG$2:$AG$167=$B16)*(economics!$D$2:$D$167="process")*economics!$AI$2:$AI$167*_xlfn.NORM.DIST(T$3,economics!$AK$2:$AK$167,economics!$AJ$2:$AJ$167,TRUE)),0)</f>
        <v/>
      </c>
      <c r="U16" s="68">
        <f t="array" ref="U16">IF($D16,SUMPRODUCT((economics!$AG$2:$AG$167=$B16)*(economics!$D$2:$D$167="process")*economics!$AI$2:$AI$167*_xlfn.NORM.DIST(U$3,economics!$AK$2:$AK$167,economics!$AJ$2:$AJ$167,TRUE)),0)</f>
        <v/>
      </c>
      <c r="V16" s="68">
        <f t="array" ref="V16">IF($D16,SUMPRODUCT((economics!$AG$2:$AG$167=$B16)*(economics!$D$2:$D$167="process")*economics!$AI$2:$AI$167*_xlfn.NORM.DIST(V$3,economics!$AK$2:$AK$167,economics!$AJ$2:$AJ$167,TRUE)),0)</f>
        <v/>
      </c>
      <c r="W16" s="68">
        <f t="array" ref="W16">IF($D16,SUMPRODUCT((economics!$AG$2:$AG$167=$B16)*(economics!$D$2:$D$167="process")*economics!$AI$2:$AI$167*_xlfn.NORM.DIST(W$3,economics!$AK$2:$AK$167,economics!$AJ$2:$AJ$167,TRUE)),0)</f>
        <v/>
      </c>
      <c r="X16" s="68">
        <f t="array" ref="X16">IF($D16,SUMPRODUCT((economics!$AG$2:$AG$167=$B16)*(economics!$D$2:$D$167="process")*economics!$AI$2:$AI$167*_xlfn.NORM.DIST(X$3,economics!$AK$2:$AK$167,economics!$AJ$2:$AJ$167,TRUE)),0)</f>
        <v/>
      </c>
      <c r="Y16" s="68">
        <f t="array" ref="Y16">IF($D16,SUMPRODUCT((economics!$AG$2:$AG$167=$B16)*(economics!$D$2:$D$167="process")*economics!$AI$2:$AI$167*_xlfn.NORM.DIST(Y$3,economics!$AK$2:$AK$167,economics!$AJ$2:$AJ$167,TRUE)),0)</f>
        <v/>
      </c>
      <c r="Z16" s="68">
        <f t="array" ref="Z16">IF($D16,SUMPRODUCT((economics!$AG$2:$AG$167=$B16)*(economics!$D$2:$D$167="process")*economics!$AI$2:$AI$167*_xlfn.NORM.DIST(Z$3,economics!$AK$2:$AK$167,economics!$AJ$2:$AJ$167,TRUE)),0)</f>
        <v/>
      </c>
      <c r="AA16" s="68">
        <f t="array" ref="AA16">IF($D16,SUMPRODUCT((economics!$AG$2:$AG$167=$B16)*(economics!$D$2:$D$167="process")*economics!$AI$2:$AI$167*_xlfn.NORM.DIST(AA$3,economics!$AK$2:$AK$167,economics!$AJ$2:$AJ$167,TRUE)),0)</f>
        <v/>
      </c>
      <c r="AB16" s="68">
        <f t="array" ref="AB16">IF($D16,SUMPRODUCT((economics!$AG$2:$AG$167=$B16)*(economics!$D$2:$D$167="process")*economics!$AI$2:$AI$167*_xlfn.NORM.DIST(AB$3,economics!$AK$2:$AK$167,economics!$AJ$2:$AJ$167,TRUE)),0)</f>
        <v/>
      </c>
      <c r="AC16" s="68">
        <f t="array" ref="AC16">IF($D16,SUMPRODUCT((economics!$AG$2:$AG$167=$B16)*(economics!$D$2:$D$167="process")*economics!$AI$2:$AI$167*_xlfn.NORM.DIST(AC$3,economics!$AK$2:$AK$167,economics!$AJ$2:$AJ$167,TRUE)),0)</f>
        <v/>
      </c>
      <c r="AD16" s="68">
        <f t="array" ref="AD16">IF($D16,SUMPRODUCT((economics!$AG$2:$AG$167=$B16)*(economics!$D$2:$D$167="process")*economics!$AI$2:$AI$167*_xlfn.NORM.DIST(AD$3,economics!$AK$2:$AK$167,economics!$AJ$2:$AJ$167,TRUE)),0)</f>
        <v/>
      </c>
      <c r="AE16" s="68">
        <f t="array" ref="AE16">IF($D16,SUMPRODUCT((economics!$AG$2:$AG$167=$B16)*(economics!$D$2:$D$167="process")*economics!$AI$2:$AI$167*_xlfn.NORM.DIST(AE$3,economics!$AK$2:$AK$167,economics!$AJ$2:$AJ$167,TRUE)),0)</f>
        <v/>
      </c>
      <c r="AF16" s="68">
        <f t="array" ref="AF16">IF($D16,SUMPRODUCT((economics!$AG$2:$AG$167=$B16)*(economics!$D$2:$D$167="process")*economics!$AI$2:$AI$167*_xlfn.NORM.DIST(AF$3,economics!$AK$2:$AK$167,economics!$AJ$2:$AJ$167,TRUE)),0)</f>
        <v/>
      </c>
      <c r="AG16" s="68">
        <f t="array" ref="AG16">IF($D16,SUMPRODUCT((economics!$AG$2:$AG$167=$B16)*(economics!$D$2:$D$167="process")*economics!$AI$2:$AI$167*_xlfn.NORM.DIST(AG$3,economics!$AK$2:$AK$167,economics!$AJ$2:$AJ$167,TRUE)),0)</f>
        <v/>
      </c>
      <c r="AH16" s="68">
        <f t="array" ref="AH16">IF($D16,SUMPRODUCT((economics!$AG$2:$AG$167=$B16)*(economics!$D$2:$D$167="process")*economics!$AI$2:$AI$167*_xlfn.NORM.DIST(AH$3,economics!$AK$2:$AK$167,economics!$AJ$2:$AJ$167,TRUE)),0)</f>
        <v/>
      </c>
      <c r="AI16" s="68">
        <f t="array" ref="AI16">IF($D16,SUMPRODUCT((economics!$AG$2:$AG$167=$B16)*(economics!$D$2:$D$167="process")*economics!$AI$2:$AI$167*_xlfn.NORM.DIST(AI$3,economics!$AK$2:$AK$167,economics!$AJ$2:$AJ$167,TRUE)),0)</f>
        <v/>
      </c>
      <c r="AJ16" s="68">
        <f t="array" ref="AJ16">IF($D16,SUMPRODUCT((economics!$AG$2:$AG$167=$B16)*(economics!$D$2:$D$167="process")*economics!$AI$2:$AI$167*_xlfn.NORM.DIST(AJ$3,economics!$AK$2:$AK$167,economics!$AJ$2:$AJ$167,TRUE)),0)</f>
        <v/>
      </c>
      <c r="AK16" s="68">
        <f t="array" ref="AK16">IF($D16,SUMPRODUCT((economics!$AG$2:$AG$167=$B16)*(economics!$D$2:$D$167="process")*economics!$AI$2:$AI$167*_xlfn.NORM.DIST(AK$3,economics!$AK$2:$AK$167,economics!$AJ$2:$AJ$167,TRUE)),0)</f>
        <v/>
      </c>
      <c r="AL16" s="68">
        <f t="array" ref="AL16">IF($D16,SUMPRODUCT((economics!$AG$2:$AG$167=$B16)*(economics!$D$2:$D$167="process")*economics!$AI$2:$AI$167*_xlfn.NORM.DIST(AL$3,economics!$AK$2:$AK$167,economics!$AJ$2:$AJ$167,TRUE)),0)</f>
        <v/>
      </c>
      <c r="AM16" s="68">
        <f t="array" ref="AM16">IF($D16,SUMPRODUCT((economics!$AG$2:$AG$167=$B16)*(economics!$D$2:$D$167="process")*economics!$AI$2:$AI$167*_xlfn.NORM.DIST(AM$3,economics!$AK$2:$AK$167,economics!$AJ$2:$AJ$167,TRUE)),0)</f>
        <v/>
      </c>
      <c r="AN16" s="68">
        <f t="array" ref="AN16">IF($D16,SUMPRODUCT((economics!$AG$2:$AG$167=$B16)*(economics!$D$2:$D$167="process")*economics!$AI$2:$AI$167*_xlfn.NORM.DIST(AN$3,economics!$AK$2:$AK$167,economics!$AJ$2:$AJ$167,TRUE)),0)</f>
        <v/>
      </c>
      <c r="AO16" s="68">
        <f t="array" ref="AO16">IF($D16,SUMPRODUCT((economics!$AG$2:$AG$167=$B16)*(economics!$D$2:$D$167="process")*economics!$AI$2:$AI$167*_xlfn.NORM.DIST(AO$3,economics!$AK$2:$AK$167,economics!$AJ$2:$AJ$167,TRUE)),0)</f>
        <v/>
      </c>
      <c r="AP16" s="68">
        <f t="array" ref="AP16">IF($D16,SUMPRODUCT((economics!$AG$2:$AG$167=$B16)*(economics!$D$2:$D$167="process")*economics!$AI$2:$AI$167*_xlfn.NORM.DIST(AP$3,economics!$AK$2:$AK$167,economics!$AJ$2:$AJ$167,TRUE)),0)</f>
        <v/>
      </c>
      <c r="AQ16" s="68">
        <f t="array" ref="AQ16">IF($D16,SUMPRODUCT((economics!$AG$2:$AG$167=$B16)*(economics!$D$2:$D$167="process")*economics!$AI$2:$AI$167*_xlfn.NORM.DIST(AQ$3,economics!$AK$2:$AK$167,economics!$AJ$2:$AJ$167,TRUE)),0)</f>
        <v/>
      </c>
      <c r="AR16" s="68">
        <f t="array" ref="AR16">IF($D16,SUMPRODUCT((economics!$AG$2:$AG$167=$B16)*(economics!$D$2:$D$167="process")*economics!$AI$2:$AI$167*_xlfn.NORM.DIST(AR$3,economics!$AK$2:$AK$167,economics!$AJ$2:$AJ$167,TRUE)),0)</f>
        <v/>
      </c>
      <c r="AS16" s="68">
        <f t="array" ref="AS16">IF($D16,SUMPRODUCT((economics!$AG$2:$AG$167=$B16)*(economics!$D$2:$D$167="process")*economics!$AI$2:$AI$167*_xlfn.NORM.DIST(AS$3,economics!$AK$2:$AK$167,economics!$AJ$2:$AJ$167,TRUE)),0)</f>
        <v/>
      </c>
      <c r="AT16" s="68">
        <f t="array" ref="AT16">IF($D16,SUMPRODUCT((economics!$AG$2:$AG$167=$B16)*(economics!$D$2:$D$167="process")*economics!$AI$2:$AI$167*_xlfn.NORM.DIST(AT$3,economics!$AK$2:$AK$167,economics!$AJ$2:$AJ$167,TRUE)),0)</f>
        <v/>
      </c>
      <c r="AU16" s="68">
        <f t="array" ref="AU16">IF($D16,SUMPRODUCT((economics!$AG$2:$AG$167=$B16)*(economics!$D$2:$D$167="process")*economics!$AI$2:$AI$167*_xlfn.NORM.DIST(AU$3,economics!$AK$2:$AK$167,economics!$AJ$2:$AJ$167,TRUE)),0)</f>
        <v/>
      </c>
      <c r="AV16" s="68">
        <f t="array" ref="AV16">IF($D16,SUMPRODUCT((economics!$AG$2:$AG$167=$B16)*(economics!$D$2:$D$167="process")*economics!$AI$2:$AI$167*_xlfn.NORM.DIST(AV$3,economics!$AK$2:$AK$167,economics!$AJ$2:$AJ$167,TRUE)),0)</f>
        <v/>
      </c>
      <c r="AW16" s="68">
        <f t="array" ref="AW16">IF($D16,SUMPRODUCT((economics!$AG$2:$AG$167=$B16)*(economics!$D$2:$D$167="process")*economics!$AI$2:$AI$167*_xlfn.NORM.DIST(AW$3,economics!$AK$2:$AK$167,economics!$AJ$2:$AJ$167,TRUE)),0)</f>
        <v/>
      </c>
      <c r="AX16" s="68">
        <f t="array" ref="AX16">IF($D16,SUMPRODUCT((economics!$AG$2:$AG$167=$B16)*(economics!$D$2:$D$167="process")*economics!$AI$2:$AI$167*_xlfn.NORM.DIST(AX$3,economics!$AK$2:$AK$167,economics!$AJ$2:$AJ$167,TRUE)),0)</f>
        <v/>
      </c>
      <c r="AY16" s="68">
        <f t="array" ref="AY16">IF($D16,SUMPRODUCT((economics!$AG$2:$AG$167=$B16)*(economics!$D$2:$D$167="process")*economics!$AI$2:$AI$167*_xlfn.NORM.DIST(AY$3,economics!$AK$2:$AK$167,economics!$AJ$2:$AJ$167,TRUE)),0)</f>
        <v/>
      </c>
      <c r="AZ16" s="68">
        <f t="array" ref="AZ16">IF($D16,SUMPRODUCT((economics!$AG$2:$AG$167=$B16)*(economics!$D$2:$D$167="process")*economics!$AI$2:$AI$167*_xlfn.NORM.DIST(AZ$3,economics!$AK$2:$AK$167,economics!$AJ$2:$AJ$167,TRUE)),0)</f>
        <v/>
      </c>
      <c r="BA16" s="68">
        <f t="array" ref="BA16">IF($D16,SUMPRODUCT((economics!$AG$2:$AG$167=$B16)*(economics!$D$2:$D$167="process")*economics!$AI$2:$AI$167*_xlfn.NORM.DIST(BA$3,economics!$AK$2:$AK$167,economics!$AJ$2:$AJ$167,TRUE)),0)</f>
        <v/>
      </c>
      <c r="BB16" s="68">
        <f t="array" ref="BB16">IF($D16,SUMPRODUCT((economics!$AG$2:$AG$167=$B16)*(economics!$D$2:$D$167="process")*economics!$AI$2:$AI$167*_xlfn.NORM.DIST(BB$3,economics!$AK$2:$AK$167,economics!$AJ$2:$AJ$167,TRUE)),0)</f>
        <v/>
      </c>
      <c r="BC16" s="68">
        <f t="array" ref="BC16">IF($D16,SUMPRODUCT((economics!$AG$2:$AG$167=$B16)*(economics!$D$2:$D$167="process")*economics!$AI$2:$AI$167*_xlfn.NORM.DIST(BC$3,economics!$AK$2:$AK$167,economics!$AJ$2:$AJ$167,TRUE)),0)</f>
        <v/>
      </c>
      <c r="BD16" s="68">
        <f t="array" ref="BD16">IF($D16,SUMPRODUCT((economics!$AG$2:$AG$167=$B16)*(economics!$D$2:$D$167="process")*economics!$AI$2:$AI$167*_xlfn.NORM.DIST(BD$3,economics!$AK$2:$AK$167,economics!$AJ$2:$AJ$167,TRUE)),0)</f>
        <v/>
      </c>
      <c r="BE16" s="68">
        <f t="array" ref="BE16">IF($D16,SUMPRODUCT((economics!$AG$2:$AG$167=$B16)*(economics!$D$2:$D$167="process")*economics!$AI$2:$AI$167*_xlfn.NORM.DIST(BE$3,economics!$AK$2:$AK$167,economics!$AJ$2:$AJ$167,TRUE)),0)</f>
        <v/>
      </c>
      <c r="BF16" s="68">
        <f t="array" ref="BF16">IF($D16,SUMPRODUCT((economics!$AG$2:$AG$167=$B16)*(economics!$D$2:$D$167="process")*economics!$AI$2:$AI$167*_xlfn.NORM.DIST(BF$3,economics!$AK$2:$AK$167,economics!$AJ$2:$AJ$167,TRUE)),0)</f>
        <v/>
      </c>
      <c r="BG16" s="68">
        <f t="array" ref="BG16">IF($D16,SUMPRODUCT((economics!$AG$2:$AG$167=$B16)*(economics!$D$2:$D$167="process")*economics!$AI$2:$AI$167*_xlfn.NORM.DIST(BG$3,economics!$AK$2:$AK$167,economics!$AJ$2:$AJ$167,TRUE)),0)</f>
        <v/>
      </c>
      <c r="BH16" s="68">
        <f t="array" ref="BH16">IF($D16,SUMPRODUCT((economics!$AG$2:$AG$167=$B16)*(economics!$D$2:$D$167="process")*economics!$AI$2:$AI$167*_xlfn.NORM.DIST(BH$3,economics!$AK$2:$AK$167,economics!$AJ$2:$AJ$167,TRUE)),0)</f>
        <v/>
      </c>
      <c r="BI16" s="68">
        <f t="array" ref="BI16">IF($D16,SUMPRODUCT((economics!$AG$2:$AG$167=$B16)*(economics!$D$2:$D$167="process")*economics!$AI$2:$AI$167*_xlfn.NORM.DIST(BI$3,economics!$AK$2:$AK$167,economics!$AJ$2:$AJ$167,TRUE)),0)</f>
        <v/>
      </c>
      <c r="BJ16" s="68">
        <f t="array" ref="BJ16">IF($D16,SUMPRODUCT((economics!$AG$2:$AG$167=$B16)*(economics!$D$2:$D$167="process")*economics!$AI$2:$AI$167*_xlfn.NORM.DIST(BJ$3,economics!$AK$2:$AK$167,economics!$AJ$2:$AJ$167,TRUE)),0)</f>
        <v/>
      </c>
      <c r="BK16" s="68">
        <f t="array" ref="BK16">IF($D16,SUMPRODUCT((economics!$AG$2:$AG$167=$B16)*(economics!$D$2:$D$167="process")*economics!$AI$2:$AI$167*_xlfn.NORM.DIST(BK$3,economics!$AK$2:$AK$167,economics!$AJ$2:$AJ$167,TRUE)),0)</f>
        <v/>
      </c>
      <c r="BL16" s="68">
        <f t="array" ref="BL16">IF($D16,SUMPRODUCT((economics!$AG$2:$AG$167=$B16)*(economics!$D$2:$D$167="process")*economics!$AI$2:$AI$167*_xlfn.NORM.DIST(BL$3,economics!$AK$2:$AK$167,economics!$AJ$2:$AJ$167,TRUE)),0)</f>
        <v/>
      </c>
      <c r="BM16" s="68">
        <f t="array" ref="BM16">IF($D16,SUMPRODUCT((economics!$AG$2:$AG$167=$B16)*(economics!$D$2:$D$167="process")*economics!$AI$2:$AI$167*_xlfn.NORM.DIST(BM$3,economics!$AK$2:$AK$167,economics!$AJ$2:$AJ$167,TRUE)),0)</f>
        <v/>
      </c>
      <c r="BN16" s="68">
        <f t="array" ref="BN16">IF($D16,SUMPRODUCT((economics!$AG$2:$AG$167=$B16)*(economics!$D$2:$D$167="process")*economics!$AI$2:$AI$167*_xlfn.NORM.DIST(BN$3,economics!$AK$2:$AK$167,economics!$AJ$2:$AJ$167,TRUE)),0)</f>
        <v/>
      </c>
      <c r="BO16" s="68">
        <f t="array" ref="BO16">IF($D16,SUMPRODUCT((economics!$AG$2:$AG$167=$B16)*(economics!$D$2:$D$167="process")*economics!$AI$2:$AI$167*_xlfn.NORM.DIST(BO$3,economics!$AK$2:$AK$167,economics!$AJ$2:$AJ$167,TRUE)),0)</f>
        <v/>
      </c>
      <c r="BP16" s="68">
        <f t="array" ref="BP16">IF($D16,SUMPRODUCT((economics!$AG$2:$AG$167=$B16)*(economics!$D$2:$D$167="process")*economics!$AI$2:$AI$167*_xlfn.NORM.DIST(BP$3,economics!$AK$2:$AK$167,economics!$AJ$2:$AJ$167,TRUE)),0)</f>
        <v/>
      </c>
      <c r="BQ16" s="68">
        <f t="array" ref="BQ16">IF($D16,SUMPRODUCT((economics!$AG$2:$AG$167=$B16)*(economics!$D$2:$D$167="process")*economics!$AI$2:$AI$167*_xlfn.NORM.DIST(BQ$3,economics!$AK$2:$AK$167,economics!$AJ$2:$AJ$167,TRUE)),0)</f>
        <v/>
      </c>
      <c r="BR16" s="68">
        <f t="array" ref="BR16">IF($D16,SUMPRODUCT((economics!$AG$2:$AG$167=$B16)*(economics!$D$2:$D$167="process")*economics!$AI$2:$AI$167*_xlfn.NORM.DIST(BR$3,economics!$AK$2:$AK$167,economics!$AJ$2:$AJ$167,TRUE)),0)</f>
        <v/>
      </c>
      <c r="BS16" s="68">
        <f t="array" ref="BS16">IF($D16,SUMPRODUCT((economics!$AG$2:$AG$167=$B16)*(economics!$D$2:$D$167="process")*economics!$AI$2:$AI$167*_xlfn.NORM.DIST(BS$3,economics!$AK$2:$AK$167,economics!$AJ$2:$AJ$167,TRUE)),0)</f>
        <v/>
      </c>
      <c r="BT16" s="68">
        <f t="array" ref="BT16">IF($D16,SUMPRODUCT((economics!$AG$2:$AG$167=$B16)*(economics!$D$2:$D$167="process")*economics!$AI$2:$AI$167*_xlfn.NORM.DIST(BT$3,economics!$AK$2:$AK$167,economics!$AJ$2:$AJ$167,TRUE)),0)</f>
        <v/>
      </c>
      <c r="BU16" s="68">
        <f t="array" ref="BU16">IF($D16,SUMPRODUCT((economics!$AG$2:$AG$167=$B16)*(economics!$D$2:$D$167="process")*economics!$AI$2:$AI$167*_xlfn.NORM.DIST(BU$3,economics!$AK$2:$AK$167,economics!$AJ$2:$AJ$167,TRUE)),0)</f>
        <v/>
      </c>
      <c r="BV16" s="68">
        <f t="array" ref="BV16">IF($D16,SUMPRODUCT((economics!$AG$2:$AG$167=$B16)*(economics!$D$2:$D$167="process")*economics!$AI$2:$AI$167*_xlfn.NORM.DIST(BV$3,economics!$AK$2:$AK$167,economics!$AJ$2:$AJ$167,TRUE)),0)</f>
        <v/>
      </c>
      <c r="BW16" s="68">
        <f t="array" ref="BW16">IF($D16,SUMPRODUCT((economics!$AG$2:$AG$167=$B16)*(economics!$D$2:$D$167="process")*economics!$AI$2:$AI$167*_xlfn.NORM.DIST(BW$3,economics!$AK$2:$AK$167,economics!$AJ$2:$AJ$167,TRUE)),0)</f>
        <v/>
      </c>
      <c r="BX16" s="68">
        <f t="array" ref="BX16">IF($D16,SUMPRODUCT((economics!$AG$2:$AG$167=$B16)*(economics!$D$2:$D$167="process")*economics!$AI$2:$AI$167*_xlfn.NORM.DIST(BX$3,economics!$AK$2:$AK$167,economics!$AJ$2:$AJ$167,TRUE)),0)</f>
        <v/>
      </c>
      <c r="BY16" s="68">
        <f t="array" ref="BY16">IF($D16,SUMPRODUCT((economics!$AG$2:$AG$167=$B16)*(economics!$D$2:$D$167="process")*economics!$AI$2:$AI$167*_xlfn.NORM.DIST(BY$3,economics!$AK$2:$AK$167,economics!$AJ$2:$AJ$167,TRUE)),0)</f>
        <v/>
      </c>
      <c r="BZ16" s="68">
        <f t="array" ref="BZ16">IF($D16,SUMPRODUCT((economics!$AG$2:$AG$167=$B16)*(economics!$D$2:$D$167="process")*economics!$AI$2:$AI$167*_xlfn.NORM.DIST(BZ$3,economics!$AK$2:$AK$167,economics!$AJ$2:$AJ$167,TRUE)),0)</f>
        <v/>
      </c>
      <c r="CA16" s="68">
        <f t="array" ref="CA16">IF($D16,SUMPRODUCT((economics!$AG$2:$AG$167=$B16)*(economics!$D$2:$D$167="process")*economics!$AI$2:$AI$167*_xlfn.NORM.DIST(CA$3,economics!$AK$2:$AK$167,economics!$AJ$2:$AJ$167,TRUE)),0)</f>
        <v/>
      </c>
      <c r="CB16" s="68">
        <f t="array" ref="CB16">IF($D16,SUMPRODUCT((economics!$AG$2:$AG$167=$B16)*(economics!$D$2:$D$167="process")*economics!$AI$2:$AI$167*_xlfn.NORM.DIST(CB$3,economics!$AK$2:$AK$167,economics!$AJ$2:$AJ$167,TRUE)),0)</f>
        <v/>
      </c>
      <c r="CC16" s="68">
        <f t="array" ref="CC16">IF($D16,SUMPRODUCT((economics!$AG$2:$AG$167=$B16)*(economics!$D$2:$D$167="process")*economics!$AI$2:$AI$167*_xlfn.NORM.DIST(CC$3,economics!$AK$2:$AK$167,economics!$AJ$2:$AJ$167,TRUE)),0)</f>
        <v/>
      </c>
      <c r="CD16" s="68">
        <f t="array" ref="CD16">IF($D16,SUMPRODUCT((economics!$AG$2:$AG$167=$B16)*(economics!$D$2:$D$167="process")*economics!$AI$2:$AI$167*_xlfn.NORM.DIST(CD$3,economics!$AK$2:$AK$167,economics!$AJ$2:$AJ$167,TRUE)),0)</f>
        <v/>
      </c>
      <c r="CE16" s="68">
        <f t="array" ref="CE16">IF($D16,SUMPRODUCT((economics!$AG$2:$AG$167=$B16)*(economics!$D$2:$D$167="process")*economics!$AI$2:$AI$167*_xlfn.NORM.DIST(CE$3,economics!$AK$2:$AK$167,economics!$AJ$2:$AJ$167,TRUE)),0)</f>
        <v/>
      </c>
      <c r="CF16" s="68">
        <f t="array" ref="CF16">IF($D16,SUMPRODUCT((economics!$AG$2:$AG$167=$B16)*(economics!$D$2:$D$167="process")*economics!$AI$2:$AI$167*_xlfn.NORM.DIST(CF$3,economics!$AK$2:$AK$167,economics!$AJ$2:$AJ$167,TRUE)),0)</f>
        <v/>
      </c>
      <c r="CG16" s="68">
        <f t="array" ref="CG16">IF($D16,SUMPRODUCT((economics!$AG$2:$AG$167=$B16)*(economics!$D$2:$D$167="process")*economics!$AI$2:$AI$167*_xlfn.NORM.DIST(CG$3,economics!$AK$2:$AK$167,economics!$AJ$2:$AJ$167,TRUE)),0)</f>
        <v/>
      </c>
      <c r="CH16" s="68">
        <f t="array" ref="CH16">IF($D16,SUMPRODUCT((economics!$AG$2:$AG$167=$B16)*(economics!$D$2:$D$167="process")*economics!$AI$2:$AI$167*_xlfn.NORM.DIST(CH$3,economics!$AK$2:$AK$167,economics!$AJ$2:$AJ$167,TRUE)),0)</f>
        <v/>
      </c>
    </row>
    <row r="17">
      <c r="A17">
        <f>WHRPbI!A15</f>
        <v/>
      </c>
      <c r="B17" t="n">
        <v>241</v>
      </c>
      <c r="C17" s="68">
        <f>WHRPbI!B15</f>
        <v/>
      </c>
      <c r="D17">
        <f>ISNUMBER(MATCH($B17,'energy base (MECS)'!$K$4:$K$9,0))</f>
        <v/>
      </c>
      <c r="E17" s="68">
        <f t="array" ref="E17">IF($D17,SUMPRODUCT((economics!$AG$2:$AG$167=$B17)*(economics!$D$2:$D$167="process")*economics!$AI$2:$AI$167*_xlfn.NORM.DIST(E$3,economics!$AK$2:$AK$167,economics!$AJ$2:$AJ$167,TRUE)),0)</f>
        <v/>
      </c>
      <c r="F17" s="68">
        <f t="array" ref="F17">IF($D17,SUMPRODUCT((economics!$AG$2:$AG$167=$B17)*(economics!$D$2:$D$167="process")*economics!$AI$2:$AI$167*_xlfn.NORM.DIST(F$3,economics!$AK$2:$AK$167,economics!$AJ$2:$AJ$167,TRUE)),0)</f>
        <v/>
      </c>
      <c r="G17" s="68">
        <f t="array" ref="G17">IF($D17,SUMPRODUCT((economics!$AG$2:$AG$167=$B17)*(economics!$D$2:$D$167="process")*economics!$AI$2:$AI$167*_xlfn.NORM.DIST(G$3,economics!$AK$2:$AK$167,economics!$AJ$2:$AJ$167,TRUE)),0)</f>
        <v/>
      </c>
      <c r="H17" s="68">
        <f t="array" ref="H17">IF($D17,SUMPRODUCT((economics!$AG$2:$AG$167=$B17)*(economics!$D$2:$D$167="process")*economics!$AI$2:$AI$167*_xlfn.NORM.DIST(H$3,economics!$AK$2:$AK$167,economics!$AJ$2:$AJ$167,TRUE)),0)</f>
        <v/>
      </c>
      <c r="I17" s="68">
        <f t="array" ref="I17">IF($D17,SUMPRODUCT((economics!$AG$2:$AG$167=$B17)*(economics!$D$2:$D$167="process")*economics!$AI$2:$AI$167*_xlfn.NORM.DIST(I$3,economics!$AK$2:$AK$167,economics!$AJ$2:$AJ$167,TRUE)),0)</f>
        <v/>
      </c>
      <c r="J17" s="68">
        <f t="array" ref="J17">IF($D17,SUMPRODUCT((economics!$AG$2:$AG$167=$B17)*(economics!$D$2:$D$167="process")*economics!$AI$2:$AI$167*_xlfn.NORM.DIST(J$3,economics!$AK$2:$AK$167,economics!$AJ$2:$AJ$167,TRUE)),0)</f>
        <v/>
      </c>
      <c r="K17" s="68">
        <f t="array" ref="K17">IF($D17,SUMPRODUCT((economics!$AG$2:$AG$167=$B17)*(economics!$D$2:$D$167="process")*economics!$AI$2:$AI$167*_xlfn.NORM.DIST(K$3,economics!$AK$2:$AK$167,economics!$AJ$2:$AJ$167,TRUE)),0)</f>
        <v/>
      </c>
      <c r="L17" s="68">
        <f t="array" ref="L17">IF($D17,SUMPRODUCT((economics!$AG$2:$AG$167=$B17)*(economics!$D$2:$D$167="process")*economics!$AI$2:$AI$167*_xlfn.NORM.DIST(L$3,economics!$AK$2:$AK$167,economics!$AJ$2:$AJ$167,TRUE)),0)</f>
        <v/>
      </c>
      <c r="M17" s="68">
        <f t="array" ref="M17">IF($D17,SUMPRODUCT((economics!$AG$2:$AG$167=$B17)*(economics!$D$2:$D$167="process")*economics!$AI$2:$AI$167*_xlfn.NORM.DIST(M$3,economics!$AK$2:$AK$167,economics!$AJ$2:$AJ$167,TRUE)),0)</f>
        <v/>
      </c>
      <c r="N17" s="68">
        <f t="array" ref="N17">IF($D17,SUMPRODUCT((economics!$AG$2:$AG$167=$B17)*(economics!$D$2:$D$167="process")*economics!$AI$2:$AI$167*_xlfn.NORM.DIST(N$3,economics!$AK$2:$AK$167,economics!$AJ$2:$AJ$167,TRUE)),0)</f>
        <v/>
      </c>
      <c r="O17" s="68">
        <f t="array" ref="O17">IF($D17,SUMPRODUCT((economics!$AG$2:$AG$167=$B17)*(economics!$D$2:$D$167="process")*economics!$AI$2:$AI$167*_xlfn.NORM.DIST(O$3,economics!$AK$2:$AK$167,economics!$AJ$2:$AJ$167,TRUE)),0)</f>
        <v/>
      </c>
      <c r="P17" s="68">
        <f t="array" ref="P17">IF($D17,SUMPRODUCT((economics!$AG$2:$AG$167=$B17)*(economics!$D$2:$D$167="process")*economics!$AI$2:$AI$167*_xlfn.NORM.DIST(P$3,economics!$AK$2:$AK$167,economics!$AJ$2:$AJ$167,TRUE)),0)</f>
        <v/>
      </c>
      <c r="Q17" s="68">
        <f t="array" ref="Q17">IF($D17,SUMPRODUCT((economics!$AG$2:$AG$167=$B17)*(economics!$D$2:$D$167="process")*economics!$AI$2:$AI$167*_xlfn.NORM.DIST(Q$3,economics!$AK$2:$AK$167,economics!$AJ$2:$AJ$167,TRUE)),0)</f>
        <v/>
      </c>
      <c r="R17" s="68">
        <f t="array" ref="R17">IF($D17,SUMPRODUCT((economics!$AG$2:$AG$167=$B17)*(economics!$D$2:$D$167="process")*economics!$AI$2:$AI$167*_xlfn.NORM.DIST(R$3,economics!$AK$2:$AK$167,economics!$AJ$2:$AJ$167,TRUE)),0)</f>
        <v/>
      </c>
      <c r="S17" s="68">
        <f t="array" ref="S17">IF($D17,SUMPRODUCT((economics!$AG$2:$AG$167=$B17)*(economics!$D$2:$D$167="process")*economics!$AI$2:$AI$167*_xlfn.NORM.DIST(S$3,economics!$AK$2:$AK$167,economics!$AJ$2:$AJ$167,TRUE)),0)</f>
        <v/>
      </c>
      <c r="T17" s="68">
        <f t="array" ref="T17">IF($D17,SUMPRODUCT((economics!$AG$2:$AG$167=$B17)*(economics!$D$2:$D$167="process")*economics!$AI$2:$AI$167*_xlfn.NORM.DIST(T$3,economics!$AK$2:$AK$167,economics!$AJ$2:$AJ$167,TRUE)),0)</f>
        <v/>
      </c>
      <c r="U17" s="68">
        <f t="array" ref="U17">IF($D17,SUMPRODUCT((economics!$AG$2:$AG$167=$B17)*(economics!$D$2:$D$167="process")*economics!$AI$2:$AI$167*_xlfn.NORM.DIST(U$3,economics!$AK$2:$AK$167,economics!$AJ$2:$AJ$167,TRUE)),0)</f>
        <v/>
      </c>
      <c r="V17" s="68">
        <f t="array" ref="V17">IF($D17,SUMPRODUCT((economics!$AG$2:$AG$167=$B17)*(economics!$D$2:$D$167="process")*economics!$AI$2:$AI$167*_xlfn.NORM.DIST(V$3,economics!$AK$2:$AK$167,economics!$AJ$2:$AJ$167,TRUE)),0)</f>
        <v/>
      </c>
      <c r="W17" s="68">
        <f t="array" ref="W17">IF($D17,SUMPRODUCT((economics!$AG$2:$AG$167=$B17)*(economics!$D$2:$D$167="process")*economics!$AI$2:$AI$167*_xlfn.NORM.DIST(W$3,economics!$AK$2:$AK$167,economics!$AJ$2:$AJ$167,TRUE)),0)</f>
        <v/>
      </c>
      <c r="X17" s="68">
        <f t="array" ref="X17">IF($D17,SUMPRODUCT((economics!$AG$2:$AG$167=$B17)*(economics!$D$2:$D$167="process")*economics!$AI$2:$AI$167*_xlfn.NORM.DIST(X$3,economics!$AK$2:$AK$167,economics!$AJ$2:$AJ$167,TRUE)),0)</f>
        <v/>
      </c>
      <c r="Y17" s="68">
        <f t="array" ref="Y17">IF($D17,SUMPRODUCT((economics!$AG$2:$AG$167=$B17)*(economics!$D$2:$D$167="process")*economics!$AI$2:$AI$167*_xlfn.NORM.DIST(Y$3,economics!$AK$2:$AK$167,economics!$AJ$2:$AJ$167,TRUE)),0)</f>
        <v/>
      </c>
      <c r="Z17" s="68">
        <f t="array" ref="Z17">IF($D17,SUMPRODUCT((economics!$AG$2:$AG$167=$B17)*(economics!$D$2:$D$167="process")*economics!$AI$2:$AI$167*_xlfn.NORM.DIST(Z$3,economics!$AK$2:$AK$167,economics!$AJ$2:$AJ$167,TRUE)),0)</f>
        <v/>
      </c>
      <c r="AA17" s="68">
        <f t="array" ref="AA17">IF($D17,SUMPRODUCT((economics!$AG$2:$AG$167=$B17)*(economics!$D$2:$D$167="process")*economics!$AI$2:$AI$167*_xlfn.NORM.DIST(AA$3,economics!$AK$2:$AK$167,economics!$AJ$2:$AJ$167,TRUE)),0)</f>
        <v/>
      </c>
      <c r="AB17" s="68">
        <f t="array" ref="AB17">IF($D17,SUMPRODUCT((economics!$AG$2:$AG$167=$B17)*(economics!$D$2:$D$167="process")*economics!$AI$2:$AI$167*_xlfn.NORM.DIST(AB$3,economics!$AK$2:$AK$167,economics!$AJ$2:$AJ$167,TRUE)),0)</f>
        <v/>
      </c>
      <c r="AC17" s="68">
        <f t="array" ref="AC17">IF($D17,SUMPRODUCT((economics!$AG$2:$AG$167=$B17)*(economics!$D$2:$D$167="process")*economics!$AI$2:$AI$167*_xlfn.NORM.DIST(AC$3,economics!$AK$2:$AK$167,economics!$AJ$2:$AJ$167,TRUE)),0)</f>
        <v/>
      </c>
      <c r="AD17" s="68">
        <f t="array" ref="AD17">IF($D17,SUMPRODUCT((economics!$AG$2:$AG$167=$B17)*(economics!$D$2:$D$167="process")*economics!$AI$2:$AI$167*_xlfn.NORM.DIST(AD$3,economics!$AK$2:$AK$167,economics!$AJ$2:$AJ$167,TRUE)),0)</f>
        <v/>
      </c>
      <c r="AE17" s="68">
        <f t="array" ref="AE17">IF($D17,SUMPRODUCT((economics!$AG$2:$AG$167=$B17)*(economics!$D$2:$D$167="process")*economics!$AI$2:$AI$167*_xlfn.NORM.DIST(AE$3,economics!$AK$2:$AK$167,economics!$AJ$2:$AJ$167,TRUE)),0)</f>
        <v/>
      </c>
      <c r="AF17" s="68">
        <f t="array" ref="AF17">IF($D17,SUMPRODUCT((economics!$AG$2:$AG$167=$B17)*(economics!$D$2:$D$167="process")*economics!$AI$2:$AI$167*_xlfn.NORM.DIST(AF$3,economics!$AK$2:$AK$167,economics!$AJ$2:$AJ$167,TRUE)),0)</f>
        <v/>
      </c>
      <c r="AG17" s="68">
        <f t="array" ref="AG17">IF($D17,SUMPRODUCT((economics!$AG$2:$AG$167=$B17)*(economics!$D$2:$D$167="process")*economics!$AI$2:$AI$167*_xlfn.NORM.DIST(AG$3,economics!$AK$2:$AK$167,economics!$AJ$2:$AJ$167,TRUE)),0)</f>
        <v/>
      </c>
      <c r="AH17" s="68">
        <f t="array" ref="AH17">IF($D17,SUMPRODUCT((economics!$AG$2:$AG$167=$B17)*(economics!$D$2:$D$167="process")*economics!$AI$2:$AI$167*_xlfn.NORM.DIST(AH$3,economics!$AK$2:$AK$167,economics!$AJ$2:$AJ$167,TRUE)),0)</f>
        <v/>
      </c>
      <c r="AI17" s="68">
        <f t="array" ref="AI17">IF($D17,SUMPRODUCT((economics!$AG$2:$AG$167=$B17)*(economics!$D$2:$D$167="process")*economics!$AI$2:$AI$167*_xlfn.NORM.DIST(AI$3,economics!$AK$2:$AK$167,economics!$AJ$2:$AJ$167,TRUE)),0)</f>
        <v/>
      </c>
      <c r="AJ17" s="68">
        <f t="array" ref="AJ17">IF($D17,SUMPRODUCT((economics!$AG$2:$AG$167=$B17)*(economics!$D$2:$D$167="process")*economics!$AI$2:$AI$167*_xlfn.NORM.DIST(AJ$3,economics!$AK$2:$AK$167,economics!$AJ$2:$AJ$167,TRUE)),0)</f>
        <v/>
      </c>
      <c r="AK17" s="68">
        <f t="array" ref="AK17">IF($D17,SUMPRODUCT((economics!$AG$2:$AG$167=$B17)*(economics!$D$2:$D$167="process")*economics!$AI$2:$AI$167*_xlfn.NORM.DIST(AK$3,economics!$AK$2:$AK$167,economics!$AJ$2:$AJ$167,TRUE)),0)</f>
        <v/>
      </c>
      <c r="AL17" s="68">
        <f t="array" ref="AL17">IF($D17,SUMPRODUCT((economics!$AG$2:$AG$167=$B17)*(economics!$D$2:$D$167="process")*economics!$AI$2:$AI$167*_xlfn.NORM.DIST(AL$3,economics!$AK$2:$AK$167,economics!$AJ$2:$AJ$167,TRUE)),0)</f>
        <v/>
      </c>
      <c r="AM17" s="68">
        <f t="array" ref="AM17">IF($D17,SUMPRODUCT((economics!$AG$2:$AG$167=$B17)*(economics!$D$2:$D$167="process")*economics!$AI$2:$AI$167*_xlfn.NORM.DIST(AM$3,economics!$AK$2:$AK$167,economics!$AJ$2:$AJ$167,TRUE)),0)</f>
        <v/>
      </c>
      <c r="AN17" s="68">
        <f t="array" ref="AN17">IF($D17,SUMPRODUCT((economics!$AG$2:$AG$167=$B17)*(economics!$D$2:$D$167="process")*economics!$AI$2:$AI$167*_xlfn.NORM.DIST(AN$3,economics!$AK$2:$AK$167,economics!$AJ$2:$AJ$167,TRUE)),0)</f>
        <v/>
      </c>
      <c r="AO17" s="68">
        <f t="array" ref="AO17">IF($D17,SUMPRODUCT((economics!$AG$2:$AG$167=$B17)*(economics!$D$2:$D$167="process")*economics!$AI$2:$AI$167*_xlfn.NORM.DIST(AO$3,economics!$AK$2:$AK$167,economics!$AJ$2:$AJ$167,TRUE)),0)</f>
        <v/>
      </c>
      <c r="AP17" s="68">
        <f t="array" ref="AP17">IF($D17,SUMPRODUCT((economics!$AG$2:$AG$167=$B17)*(economics!$D$2:$D$167="process")*economics!$AI$2:$AI$167*_xlfn.NORM.DIST(AP$3,economics!$AK$2:$AK$167,economics!$AJ$2:$AJ$167,TRUE)),0)</f>
        <v/>
      </c>
      <c r="AQ17" s="68">
        <f t="array" ref="AQ17">IF($D17,SUMPRODUCT((economics!$AG$2:$AG$167=$B17)*(economics!$D$2:$D$167="process")*economics!$AI$2:$AI$167*_xlfn.NORM.DIST(AQ$3,economics!$AK$2:$AK$167,economics!$AJ$2:$AJ$167,TRUE)),0)</f>
        <v/>
      </c>
      <c r="AR17" s="68">
        <f t="array" ref="AR17">IF($D17,SUMPRODUCT((economics!$AG$2:$AG$167=$B17)*(economics!$D$2:$D$167="process")*economics!$AI$2:$AI$167*_xlfn.NORM.DIST(AR$3,economics!$AK$2:$AK$167,economics!$AJ$2:$AJ$167,TRUE)),0)</f>
        <v/>
      </c>
      <c r="AS17" s="68">
        <f t="array" ref="AS17">IF($D17,SUMPRODUCT((economics!$AG$2:$AG$167=$B17)*(economics!$D$2:$D$167="process")*economics!$AI$2:$AI$167*_xlfn.NORM.DIST(AS$3,economics!$AK$2:$AK$167,economics!$AJ$2:$AJ$167,TRUE)),0)</f>
        <v/>
      </c>
      <c r="AT17" s="68">
        <f t="array" ref="AT17">IF($D17,SUMPRODUCT((economics!$AG$2:$AG$167=$B17)*(economics!$D$2:$D$167="process")*economics!$AI$2:$AI$167*_xlfn.NORM.DIST(AT$3,economics!$AK$2:$AK$167,economics!$AJ$2:$AJ$167,TRUE)),0)</f>
        <v/>
      </c>
      <c r="AU17" s="68">
        <f t="array" ref="AU17">IF($D17,SUMPRODUCT((economics!$AG$2:$AG$167=$B17)*(economics!$D$2:$D$167="process")*economics!$AI$2:$AI$167*_xlfn.NORM.DIST(AU$3,economics!$AK$2:$AK$167,economics!$AJ$2:$AJ$167,TRUE)),0)</f>
        <v/>
      </c>
      <c r="AV17" s="68">
        <f t="array" ref="AV17">IF($D17,SUMPRODUCT((economics!$AG$2:$AG$167=$B17)*(economics!$D$2:$D$167="process")*economics!$AI$2:$AI$167*_xlfn.NORM.DIST(AV$3,economics!$AK$2:$AK$167,economics!$AJ$2:$AJ$167,TRUE)),0)</f>
        <v/>
      </c>
      <c r="AW17" s="68">
        <f t="array" ref="AW17">IF($D17,SUMPRODUCT((economics!$AG$2:$AG$167=$B17)*(economics!$D$2:$D$167="process")*economics!$AI$2:$AI$167*_xlfn.NORM.DIST(AW$3,economics!$AK$2:$AK$167,economics!$AJ$2:$AJ$167,TRUE)),0)</f>
        <v/>
      </c>
      <c r="AX17" s="68">
        <f t="array" ref="AX17">IF($D17,SUMPRODUCT((economics!$AG$2:$AG$167=$B17)*(economics!$D$2:$D$167="process")*economics!$AI$2:$AI$167*_xlfn.NORM.DIST(AX$3,economics!$AK$2:$AK$167,economics!$AJ$2:$AJ$167,TRUE)),0)</f>
        <v/>
      </c>
      <c r="AY17" s="68">
        <f t="array" ref="AY17">IF($D17,SUMPRODUCT((economics!$AG$2:$AG$167=$B17)*(economics!$D$2:$D$167="process")*economics!$AI$2:$AI$167*_xlfn.NORM.DIST(AY$3,economics!$AK$2:$AK$167,economics!$AJ$2:$AJ$167,TRUE)),0)</f>
        <v/>
      </c>
      <c r="AZ17" s="68">
        <f t="array" ref="AZ17">IF($D17,SUMPRODUCT((economics!$AG$2:$AG$167=$B17)*(economics!$D$2:$D$167="process")*economics!$AI$2:$AI$167*_xlfn.NORM.DIST(AZ$3,economics!$AK$2:$AK$167,economics!$AJ$2:$AJ$167,TRUE)),0)</f>
        <v/>
      </c>
      <c r="BA17" s="68">
        <f t="array" ref="BA17">IF($D17,SUMPRODUCT((economics!$AG$2:$AG$167=$B17)*(economics!$D$2:$D$167="process")*economics!$AI$2:$AI$167*_xlfn.NORM.DIST(BA$3,economics!$AK$2:$AK$167,economics!$AJ$2:$AJ$167,TRUE)),0)</f>
        <v/>
      </c>
      <c r="BB17" s="68">
        <f t="array" ref="BB17">IF($D17,SUMPRODUCT((economics!$AG$2:$AG$167=$B17)*(economics!$D$2:$D$167="process")*economics!$AI$2:$AI$167*_xlfn.NORM.DIST(BB$3,economics!$AK$2:$AK$167,economics!$AJ$2:$AJ$167,TRUE)),0)</f>
        <v/>
      </c>
      <c r="BC17" s="68">
        <f t="array" ref="BC17">IF($D17,SUMPRODUCT((economics!$AG$2:$AG$167=$B17)*(economics!$D$2:$D$167="process")*economics!$AI$2:$AI$167*_xlfn.NORM.DIST(BC$3,economics!$AK$2:$AK$167,economics!$AJ$2:$AJ$167,TRUE)),0)</f>
        <v/>
      </c>
      <c r="BD17" s="68">
        <f t="array" ref="BD17">IF($D17,SUMPRODUCT((economics!$AG$2:$AG$167=$B17)*(economics!$D$2:$D$167="process")*economics!$AI$2:$AI$167*_xlfn.NORM.DIST(BD$3,economics!$AK$2:$AK$167,economics!$AJ$2:$AJ$167,TRUE)),0)</f>
        <v/>
      </c>
      <c r="BE17" s="68">
        <f t="array" ref="BE17">IF($D17,SUMPRODUCT((economics!$AG$2:$AG$167=$B17)*(economics!$D$2:$D$167="process")*economics!$AI$2:$AI$167*_xlfn.NORM.DIST(BE$3,economics!$AK$2:$AK$167,economics!$AJ$2:$AJ$167,TRUE)),0)</f>
        <v/>
      </c>
      <c r="BF17" s="68">
        <f t="array" ref="BF17">IF($D17,SUMPRODUCT((economics!$AG$2:$AG$167=$B17)*(economics!$D$2:$D$167="process")*economics!$AI$2:$AI$167*_xlfn.NORM.DIST(BF$3,economics!$AK$2:$AK$167,economics!$AJ$2:$AJ$167,TRUE)),0)</f>
        <v/>
      </c>
      <c r="BG17" s="68">
        <f t="array" ref="BG17">IF($D17,SUMPRODUCT((economics!$AG$2:$AG$167=$B17)*(economics!$D$2:$D$167="process")*economics!$AI$2:$AI$167*_xlfn.NORM.DIST(BG$3,economics!$AK$2:$AK$167,economics!$AJ$2:$AJ$167,TRUE)),0)</f>
        <v/>
      </c>
      <c r="BH17" s="68">
        <f t="array" ref="BH17">IF($D17,SUMPRODUCT((economics!$AG$2:$AG$167=$B17)*(economics!$D$2:$D$167="process")*economics!$AI$2:$AI$167*_xlfn.NORM.DIST(BH$3,economics!$AK$2:$AK$167,economics!$AJ$2:$AJ$167,TRUE)),0)</f>
        <v/>
      </c>
      <c r="BI17" s="68">
        <f t="array" ref="BI17">IF($D17,SUMPRODUCT((economics!$AG$2:$AG$167=$B17)*(economics!$D$2:$D$167="process")*economics!$AI$2:$AI$167*_xlfn.NORM.DIST(BI$3,economics!$AK$2:$AK$167,economics!$AJ$2:$AJ$167,TRUE)),0)</f>
        <v/>
      </c>
      <c r="BJ17" s="68">
        <f t="array" ref="BJ17">IF($D17,SUMPRODUCT((economics!$AG$2:$AG$167=$B17)*(economics!$D$2:$D$167="process")*economics!$AI$2:$AI$167*_xlfn.NORM.DIST(BJ$3,economics!$AK$2:$AK$167,economics!$AJ$2:$AJ$167,TRUE)),0)</f>
        <v/>
      </c>
      <c r="BK17" s="68">
        <f t="array" ref="BK17">IF($D17,SUMPRODUCT((economics!$AG$2:$AG$167=$B17)*(economics!$D$2:$D$167="process")*economics!$AI$2:$AI$167*_xlfn.NORM.DIST(BK$3,economics!$AK$2:$AK$167,economics!$AJ$2:$AJ$167,TRUE)),0)</f>
        <v/>
      </c>
      <c r="BL17" s="68">
        <f t="array" ref="BL17">IF($D17,SUMPRODUCT((economics!$AG$2:$AG$167=$B17)*(economics!$D$2:$D$167="process")*economics!$AI$2:$AI$167*_xlfn.NORM.DIST(BL$3,economics!$AK$2:$AK$167,economics!$AJ$2:$AJ$167,TRUE)),0)</f>
        <v/>
      </c>
      <c r="BM17" s="68">
        <f t="array" ref="BM17">IF($D17,SUMPRODUCT((economics!$AG$2:$AG$167=$B17)*(economics!$D$2:$D$167="process")*economics!$AI$2:$AI$167*_xlfn.NORM.DIST(BM$3,economics!$AK$2:$AK$167,economics!$AJ$2:$AJ$167,TRUE)),0)</f>
        <v/>
      </c>
      <c r="BN17" s="68">
        <f t="array" ref="BN17">IF($D17,SUMPRODUCT((economics!$AG$2:$AG$167=$B17)*(economics!$D$2:$D$167="process")*economics!$AI$2:$AI$167*_xlfn.NORM.DIST(BN$3,economics!$AK$2:$AK$167,economics!$AJ$2:$AJ$167,TRUE)),0)</f>
        <v/>
      </c>
      <c r="BO17" s="68">
        <f t="array" ref="BO17">IF($D17,SUMPRODUCT((economics!$AG$2:$AG$167=$B17)*(economics!$D$2:$D$167="process")*economics!$AI$2:$AI$167*_xlfn.NORM.DIST(BO$3,economics!$AK$2:$AK$167,economics!$AJ$2:$AJ$167,TRUE)),0)</f>
        <v/>
      </c>
      <c r="BP17" s="68">
        <f t="array" ref="BP17">IF($D17,SUMPRODUCT((economics!$AG$2:$AG$167=$B17)*(economics!$D$2:$D$167="process")*economics!$AI$2:$AI$167*_xlfn.NORM.DIST(BP$3,economics!$AK$2:$AK$167,economics!$AJ$2:$AJ$167,TRUE)),0)</f>
        <v/>
      </c>
      <c r="BQ17" s="68">
        <f t="array" ref="BQ17">IF($D17,SUMPRODUCT((economics!$AG$2:$AG$167=$B17)*(economics!$D$2:$D$167="process")*economics!$AI$2:$AI$167*_xlfn.NORM.DIST(BQ$3,economics!$AK$2:$AK$167,economics!$AJ$2:$AJ$167,TRUE)),0)</f>
        <v/>
      </c>
      <c r="BR17" s="68">
        <f t="array" ref="BR17">IF($D17,SUMPRODUCT((economics!$AG$2:$AG$167=$B17)*(economics!$D$2:$D$167="process")*economics!$AI$2:$AI$167*_xlfn.NORM.DIST(BR$3,economics!$AK$2:$AK$167,economics!$AJ$2:$AJ$167,TRUE)),0)</f>
        <v/>
      </c>
      <c r="BS17" s="68">
        <f t="array" ref="BS17">IF($D17,SUMPRODUCT((economics!$AG$2:$AG$167=$B17)*(economics!$D$2:$D$167="process")*economics!$AI$2:$AI$167*_xlfn.NORM.DIST(BS$3,economics!$AK$2:$AK$167,economics!$AJ$2:$AJ$167,TRUE)),0)</f>
        <v/>
      </c>
      <c r="BT17" s="68">
        <f t="array" ref="BT17">IF($D17,SUMPRODUCT((economics!$AG$2:$AG$167=$B17)*(economics!$D$2:$D$167="process")*economics!$AI$2:$AI$167*_xlfn.NORM.DIST(BT$3,economics!$AK$2:$AK$167,economics!$AJ$2:$AJ$167,TRUE)),0)</f>
        <v/>
      </c>
      <c r="BU17" s="68">
        <f t="array" ref="BU17">IF($D17,SUMPRODUCT((economics!$AG$2:$AG$167=$B17)*(economics!$D$2:$D$167="process")*economics!$AI$2:$AI$167*_xlfn.NORM.DIST(BU$3,economics!$AK$2:$AK$167,economics!$AJ$2:$AJ$167,TRUE)),0)</f>
        <v/>
      </c>
      <c r="BV17" s="68">
        <f t="array" ref="BV17">IF($D17,SUMPRODUCT((economics!$AG$2:$AG$167=$B17)*(economics!$D$2:$D$167="process")*economics!$AI$2:$AI$167*_xlfn.NORM.DIST(BV$3,economics!$AK$2:$AK$167,economics!$AJ$2:$AJ$167,TRUE)),0)</f>
        <v/>
      </c>
      <c r="BW17" s="68">
        <f t="array" ref="BW17">IF($D17,SUMPRODUCT((economics!$AG$2:$AG$167=$B17)*(economics!$D$2:$D$167="process")*economics!$AI$2:$AI$167*_xlfn.NORM.DIST(BW$3,economics!$AK$2:$AK$167,economics!$AJ$2:$AJ$167,TRUE)),0)</f>
        <v/>
      </c>
      <c r="BX17" s="68">
        <f t="array" ref="BX17">IF($D17,SUMPRODUCT((economics!$AG$2:$AG$167=$B17)*(economics!$D$2:$D$167="process")*economics!$AI$2:$AI$167*_xlfn.NORM.DIST(BX$3,economics!$AK$2:$AK$167,economics!$AJ$2:$AJ$167,TRUE)),0)</f>
        <v/>
      </c>
      <c r="BY17" s="68">
        <f t="array" ref="BY17">IF($D17,SUMPRODUCT((economics!$AG$2:$AG$167=$B17)*(economics!$D$2:$D$167="process")*economics!$AI$2:$AI$167*_xlfn.NORM.DIST(BY$3,economics!$AK$2:$AK$167,economics!$AJ$2:$AJ$167,TRUE)),0)</f>
        <v/>
      </c>
      <c r="BZ17" s="68">
        <f t="array" ref="BZ17">IF($D17,SUMPRODUCT((economics!$AG$2:$AG$167=$B17)*(economics!$D$2:$D$167="process")*economics!$AI$2:$AI$167*_xlfn.NORM.DIST(BZ$3,economics!$AK$2:$AK$167,economics!$AJ$2:$AJ$167,TRUE)),0)</f>
        <v/>
      </c>
      <c r="CA17" s="68">
        <f t="array" ref="CA17">IF($D17,SUMPRODUCT((economics!$AG$2:$AG$167=$B17)*(economics!$D$2:$D$167="process")*economics!$AI$2:$AI$167*_xlfn.NORM.DIST(CA$3,economics!$AK$2:$AK$167,economics!$AJ$2:$AJ$167,TRUE)),0)</f>
        <v/>
      </c>
      <c r="CB17" s="68">
        <f t="array" ref="CB17">IF($D17,SUMPRODUCT((economics!$AG$2:$AG$167=$B17)*(economics!$D$2:$D$167="process")*economics!$AI$2:$AI$167*_xlfn.NORM.DIST(CB$3,economics!$AK$2:$AK$167,economics!$AJ$2:$AJ$167,TRUE)),0)</f>
        <v/>
      </c>
      <c r="CC17" s="68">
        <f t="array" ref="CC17">IF($D17,SUMPRODUCT((economics!$AG$2:$AG$167=$B17)*(economics!$D$2:$D$167="process")*economics!$AI$2:$AI$167*_xlfn.NORM.DIST(CC$3,economics!$AK$2:$AK$167,economics!$AJ$2:$AJ$167,TRUE)),0)</f>
        <v/>
      </c>
      <c r="CD17" s="68">
        <f t="array" ref="CD17">IF($D17,SUMPRODUCT((economics!$AG$2:$AG$167=$B17)*(economics!$D$2:$D$167="process")*economics!$AI$2:$AI$167*_xlfn.NORM.DIST(CD$3,economics!$AK$2:$AK$167,economics!$AJ$2:$AJ$167,TRUE)),0)</f>
        <v/>
      </c>
      <c r="CE17" s="68">
        <f t="array" ref="CE17">IF($D17,SUMPRODUCT((economics!$AG$2:$AG$167=$B17)*(economics!$D$2:$D$167="process")*economics!$AI$2:$AI$167*_xlfn.NORM.DIST(CE$3,economics!$AK$2:$AK$167,economics!$AJ$2:$AJ$167,TRUE)),0)</f>
        <v/>
      </c>
      <c r="CF17" s="68">
        <f t="array" ref="CF17">IF($D17,SUMPRODUCT((economics!$AG$2:$AG$167=$B17)*(economics!$D$2:$D$167="process")*economics!$AI$2:$AI$167*_xlfn.NORM.DIST(CF$3,economics!$AK$2:$AK$167,economics!$AJ$2:$AJ$167,TRUE)),0)</f>
        <v/>
      </c>
      <c r="CG17" s="68">
        <f t="array" ref="CG17">IF($D17,SUMPRODUCT((economics!$AG$2:$AG$167=$B17)*(economics!$D$2:$D$167="process")*economics!$AI$2:$AI$167*_xlfn.NORM.DIST(CG$3,economics!$AK$2:$AK$167,economics!$AJ$2:$AJ$167,TRUE)),0)</f>
        <v/>
      </c>
      <c r="CH17" s="68">
        <f t="array" ref="CH17">IF($D17,SUMPRODUCT((economics!$AG$2:$AG$167=$B17)*(economics!$D$2:$D$167="process")*economics!$AI$2:$AI$167*_xlfn.NORM.DIST(CH$3,economics!$AK$2:$AK$167,economics!$AJ$2:$AJ$167,TRUE)),0)</f>
        <v/>
      </c>
    </row>
    <row r="18">
      <c r="A18">
        <f>WHRPbI!A16</f>
        <v/>
      </c>
      <c r="B18" t="n">
        <v>242</v>
      </c>
      <c r="C18" s="68">
        <f>WHRPbI!B16</f>
        <v/>
      </c>
      <c r="D18">
        <f>ISNUMBER(MATCH($B18,'energy base (MECS)'!$K$4:$K$9,0))</f>
        <v/>
      </c>
      <c r="E18" s="68">
        <f t="array" ref="E18">IF($D18,SUMPRODUCT((economics!$AG$2:$AG$167=$B18)*(economics!$D$2:$D$167="process")*economics!$AI$2:$AI$167*_xlfn.NORM.DIST(E$3,economics!$AK$2:$AK$167,economics!$AJ$2:$AJ$167,TRUE)),0)</f>
        <v/>
      </c>
      <c r="F18" s="68">
        <f t="array" ref="F18">IF($D18,SUMPRODUCT((economics!$AG$2:$AG$167=$B18)*(economics!$D$2:$D$167="process")*economics!$AI$2:$AI$167*_xlfn.NORM.DIST(F$3,economics!$AK$2:$AK$167,economics!$AJ$2:$AJ$167,TRUE)),0)</f>
        <v/>
      </c>
      <c r="G18" s="68">
        <f t="array" ref="G18">IF($D18,SUMPRODUCT((economics!$AG$2:$AG$167=$B18)*(economics!$D$2:$D$167="process")*economics!$AI$2:$AI$167*_xlfn.NORM.DIST(G$3,economics!$AK$2:$AK$167,economics!$AJ$2:$AJ$167,TRUE)),0)</f>
        <v/>
      </c>
      <c r="H18" s="68">
        <f t="array" ref="H18">IF($D18,SUMPRODUCT((economics!$AG$2:$AG$167=$B18)*(economics!$D$2:$D$167="process")*economics!$AI$2:$AI$167*_xlfn.NORM.DIST(H$3,economics!$AK$2:$AK$167,economics!$AJ$2:$AJ$167,TRUE)),0)</f>
        <v/>
      </c>
      <c r="I18" s="68">
        <f t="array" ref="I18">IF($D18,SUMPRODUCT((economics!$AG$2:$AG$167=$B18)*(economics!$D$2:$D$167="process")*economics!$AI$2:$AI$167*_xlfn.NORM.DIST(I$3,economics!$AK$2:$AK$167,economics!$AJ$2:$AJ$167,TRUE)),0)</f>
        <v/>
      </c>
      <c r="J18" s="68">
        <f t="array" ref="J18">IF($D18,SUMPRODUCT((economics!$AG$2:$AG$167=$B18)*(economics!$D$2:$D$167="process")*economics!$AI$2:$AI$167*_xlfn.NORM.DIST(J$3,economics!$AK$2:$AK$167,economics!$AJ$2:$AJ$167,TRUE)),0)</f>
        <v/>
      </c>
      <c r="K18" s="68">
        <f t="array" ref="K18">IF($D18,SUMPRODUCT((economics!$AG$2:$AG$167=$B18)*(economics!$D$2:$D$167="process")*economics!$AI$2:$AI$167*_xlfn.NORM.DIST(K$3,economics!$AK$2:$AK$167,economics!$AJ$2:$AJ$167,TRUE)),0)</f>
        <v/>
      </c>
      <c r="L18" s="68">
        <f t="array" ref="L18">IF($D18,SUMPRODUCT((economics!$AG$2:$AG$167=$B18)*(economics!$D$2:$D$167="process")*economics!$AI$2:$AI$167*_xlfn.NORM.DIST(L$3,economics!$AK$2:$AK$167,economics!$AJ$2:$AJ$167,TRUE)),0)</f>
        <v/>
      </c>
      <c r="M18" s="68">
        <f t="array" ref="M18">IF($D18,SUMPRODUCT((economics!$AG$2:$AG$167=$B18)*(economics!$D$2:$D$167="process")*economics!$AI$2:$AI$167*_xlfn.NORM.DIST(M$3,economics!$AK$2:$AK$167,economics!$AJ$2:$AJ$167,TRUE)),0)</f>
        <v/>
      </c>
      <c r="N18" s="68">
        <f t="array" ref="N18">IF($D18,SUMPRODUCT((economics!$AG$2:$AG$167=$B18)*(economics!$D$2:$D$167="process")*economics!$AI$2:$AI$167*_xlfn.NORM.DIST(N$3,economics!$AK$2:$AK$167,economics!$AJ$2:$AJ$167,TRUE)),0)</f>
        <v/>
      </c>
      <c r="O18" s="68">
        <f t="array" ref="O18">IF($D18,SUMPRODUCT((economics!$AG$2:$AG$167=$B18)*(economics!$D$2:$D$167="process")*economics!$AI$2:$AI$167*_xlfn.NORM.DIST(O$3,economics!$AK$2:$AK$167,economics!$AJ$2:$AJ$167,TRUE)),0)</f>
        <v/>
      </c>
      <c r="P18" s="68">
        <f t="array" ref="P18">IF($D18,SUMPRODUCT((economics!$AG$2:$AG$167=$B18)*(economics!$D$2:$D$167="process")*economics!$AI$2:$AI$167*_xlfn.NORM.DIST(P$3,economics!$AK$2:$AK$167,economics!$AJ$2:$AJ$167,TRUE)),0)</f>
        <v/>
      </c>
      <c r="Q18" s="68">
        <f t="array" ref="Q18">IF($D18,SUMPRODUCT((economics!$AG$2:$AG$167=$B18)*(economics!$D$2:$D$167="process")*economics!$AI$2:$AI$167*_xlfn.NORM.DIST(Q$3,economics!$AK$2:$AK$167,economics!$AJ$2:$AJ$167,TRUE)),0)</f>
        <v/>
      </c>
      <c r="R18" s="68">
        <f t="array" ref="R18">IF($D18,SUMPRODUCT((economics!$AG$2:$AG$167=$B18)*(economics!$D$2:$D$167="process")*economics!$AI$2:$AI$167*_xlfn.NORM.DIST(R$3,economics!$AK$2:$AK$167,economics!$AJ$2:$AJ$167,TRUE)),0)</f>
        <v/>
      </c>
      <c r="S18" s="68">
        <f t="array" ref="S18">IF($D18,SUMPRODUCT((economics!$AG$2:$AG$167=$B18)*(economics!$D$2:$D$167="process")*economics!$AI$2:$AI$167*_xlfn.NORM.DIST(S$3,economics!$AK$2:$AK$167,economics!$AJ$2:$AJ$167,TRUE)),0)</f>
        <v/>
      </c>
      <c r="T18" s="68">
        <f t="array" ref="T18">IF($D18,SUMPRODUCT((economics!$AG$2:$AG$167=$B18)*(economics!$D$2:$D$167="process")*economics!$AI$2:$AI$167*_xlfn.NORM.DIST(T$3,economics!$AK$2:$AK$167,economics!$AJ$2:$AJ$167,TRUE)),0)</f>
        <v/>
      </c>
      <c r="U18" s="68">
        <f t="array" ref="U18">IF($D18,SUMPRODUCT((economics!$AG$2:$AG$167=$B18)*(economics!$D$2:$D$167="process")*economics!$AI$2:$AI$167*_xlfn.NORM.DIST(U$3,economics!$AK$2:$AK$167,economics!$AJ$2:$AJ$167,TRUE)),0)</f>
        <v/>
      </c>
      <c r="V18" s="68">
        <f t="array" ref="V18">IF($D18,SUMPRODUCT((economics!$AG$2:$AG$167=$B18)*(economics!$D$2:$D$167="process")*economics!$AI$2:$AI$167*_xlfn.NORM.DIST(V$3,economics!$AK$2:$AK$167,economics!$AJ$2:$AJ$167,TRUE)),0)</f>
        <v/>
      </c>
      <c r="W18" s="68">
        <f t="array" ref="W18">IF($D18,SUMPRODUCT((economics!$AG$2:$AG$167=$B18)*(economics!$D$2:$D$167="process")*economics!$AI$2:$AI$167*_xlfn.NORM.DIST(W$3,economics!$AK$2:$AK$167,economics!$AJ$2:$AJ$167,TRUE)),0)</f>
        <v/>
      </c>
      <c r="X18" s="68">
        <f t="array" ref="X18">IF($D18,SUMPRODUCT((economics!$AG$2:$AG$167=$B18)*(economics!$D$2:$D$167="process")*economics!$AI$2:$AI$167*_xlfn.NORM.DIST(X$3,economics!$AK$2:$AK$167,economics!$AJ$2:$AJ$167,TRUE)),0)</f>
        <v/>
      </c>
      <c r="Y18" s="68">
        <f t="array" ref="Y18">IF($D18,SUMPRODUCT((economics!$AG$2:$AG$167=$B18)*(economics!$D$2:$D$167="process")*economics!$AI$2:$AI$167*_xlfn.NORM.DIST(Y$3,economics!$AK$2:$AK$167,economics!$AJ$2:$AJ$167,TRUE)),0)</f>
        <v/>
      </c>
      <c r="Z18" s="68">
        <f t="array" ref="Z18">IF($D18,SUMPRODUCT((economics!$AG$2:$AG$167=$B18)*(economics!$D$2:$D$167="process")*economics!$AI$2:$AI$167*_xlfn.NORM.DIST(Z$3,economics!$AK$2:$AK$167,economics!$AJ$2:$AJ$167,TRUE)),0)</f>
        <v/>
      </c>
      <c r="AA18" s="68">
        <f t="array" ref="AA18">IF($D18,SUMPRODUCT((economics!$AG$2:$AG$167=$B18)*(economics!$D$2:$D$167="process")*economics!$AI$2:$AI$167*_xlfn.NORM.DIST(AA$3,economics!$AK$2:$AK$167,economics!$AJ$2:$AJ$167,TRUE)),0)</f>
        <v/>
      </c>
      <c r="AB18" s="68">
        <f t="array" ref="AB18">IF($D18,SUMPRODUCT((economics!$AG$2:$AG$167=$B18)*(economics!$D$2:$D$167="process")*economics!$AI$2:$AI$167*_xlfn.NORM.DIST(AB$3,economics!$AK$2:$AK$167,economics!$AJ$2:$AJ$167,TRUE)),0)</f>
        <v/>
      </c>
      <c r="AC18" s="68">
        <f t="array" ref="AC18">IF($D18,SUMPRODUCT((economics!$AG$2:$AG$167=$B18)*(economics!$D$2:$D$167="process")*economics!$AI$2:$AI$167*_xlfn.NORM.DIST(AC$3,economics!$AK$2:$AK$167,economics!$AJ$2:$AJ$167,TRUE)),0)</f>
        <v/>
      </c>
      <c r="AD18" s="68">
        <f t="array" ref="AD18">IF($D18,SUMPRODUCT((economics!$AG$2:$AG$167=$B18)*(economics!$D$2:$D$167="process")*economics!$AI$2:$AI$167*_xlfn.NORM.DIST(AD$3,economics!$AK$2:$AK$167,economics!$AJ$2:$AJ$167,TRUE)),0)</f>
        <v/>
      </c>
      <c r="AE18" s="68">
        <f t="array" ref="AE18">IF($D18,SUMPRODUCT((economics!$AG$2:$AG$167=$B18)*(economics!$D$2:$D$167="process")*economics!$AI$2:$AI$167*_xlfn.NORM.DIST(AE$3,economics!$AK$2:$AK$167,economics!$AJ$2:$AJ$167,TRUE)),0)</f>
        <v/>
      </c>
      <c r="AF18" s="68">
        <f t="array" ref="AF18">IF($D18,SUMPRODUCT((economics!$AG$2:$AG$167=$B18)*(economics!$D$2:$D$167="process")*economics!$AI$2:$AI$167*_xlfn.NORM.DIST(AF$3,economics!$AK$2:$AK$167,economics!$AJ$2:$AJ$167,TRUE)),0)</f>
        <v/>
      </c>
      <c r="AG18" s="68">
        <f t="array" ref="AG18">IF($D18,SUMPRODUCT((economics!$AG$2:$AG$167=$B18)*(economics!$D$2:$D$167="process")*economics!$AI$2:$AI$167*_xlfn.NORM.DIST(AG$3,economics!$AK$2:$AK$167,economics!$AJ$2:$AJ$167,TRUE)),0)</f>
        <v/>
      </c>
      <c r="AH18" s="68">
        <f t="array" ref="AH18">IF($D18,SUMPRODUCT((economics!$AG$2:$AG$167=$B18)*(economics!$D$2:$D$167="process")*economics!$AI$2:$AI$167*_xlfn.NORM.DIST(AH$3,economics!$AK$2:$AK$167,economics!$AJ$2:$AJ$167,TRUE)),0)</f>
        <v/>
      </c>
      <c r="AI18" s="68">
        <f t="array" ref="AI18">IF($D18,SUMPRODUCT((economics!$AG$2:$AG$167=$B18)*(economics!$D$2:$D$167="process")*economics!$AI$2:$AI$167*_xlfn.NORM.DIST(AI$3,economics!$AK$2:$AK$167,economics!$AJ$2:$AJ$167,TRUE)),0)</f>
        <v/>
      </c>
      <c r="AJ18" s="68">
        <f t="array" ref="AJ18">IF($D18,SUMPRODUCT((economics!$AG$2:$AG$167=$B18)*(economics!$D$2:$D$167="process")*economics!$AI$2:$AI$167*_xlfn.NORM.DIST(AJ$3,economics!$AK$2:$AK$167,economics!$AJ$2:$AJ$167,TRUE)),0)</f>
        <v/>
      </c>
      <c r="AK18" s="68">
        <f t="array" ref="AK18">IF($D18,SUMPRODUCT((economics!$AG$2:$AG$167=$B18)*(economics!$D$2:$D$167="process")*economics!$AI$2:$AI$167*_xlfn.NORM.DIST(AK$3,economics!$AK$2:$AK$167,economics!$AJ$2:$AJ$167,TRUE)),0)</f>
        <v/>
      </c>
      <c r="AL18" s="68">
        <f t="array" ref="AL18">IF($D18,SUMPRODUCT((economics!$AG$2:$AG$167=$B18)*(economics!$D$2:$D$167="process")*economics!$AI$2:$AI$167*_xlfn.NORM.DIST(AL$3,economics!$AK$2:$AK$167,economics!$AJ$2:$AJ$167,TRUE)),0)</f>
        <v/>
      </c>
      <c r="AM18" s="68">
        <f t="array" ref="AM18">IF($D18,SUMPRODUCT((economics!$AG$2:$AG$167=$B18)*(economics!$D$2:$D$167="process")*economics!$AI$2:$AI$167*_xlfn.NORM.DIST(AM$3,economics!$AK$2:$AK$167,economics!$AJ$2:$AJ$167,TRUE)),0)</f>
        <v/>
      </c>
      <c r="AN18" s="68">
        <f t="array" ref="AN18">IF($D18,SUMPRODUCT((economics!$AG$2:$AG$167=$B18)*(economics!$D$2:$D$167="process")*economics!$AI$2:$AI$167*_xlfn.NORM.DIST(AN$3,economics!$AK$2:$AK$167,economics!$AJ$2:$AJ$167,TRUE)),0)</f>
        <v/>
      </c>
      <c r="AO18" s="68">
        <f t="array" ref="AO18">IF($D18,SUMPRODUCT((economics!$AG$2:$AG$167=$B18)*(economics!$D$2:$D$167="process")*economics!$AI$2:$AI$167*_xlfn.NORM.DIST(AO$3,economics!$AK$2:$AK$167,economics!$AJ$2:$AJ$167,TRUE)),0)</f>
        <v/>
      </c>
      <c r="AP18" s="68">
        <f t="array" ref="AP18">IF($D18,SUMPRODUCT((economics!$AG$2:$AG$167=$B18)*(economics!$D$2:$D$167="process")*economics!$AI$2:$AI$167*_xlfn.NORM.DIST(AP$3,economics!$AK$2:$AK$167,economics!$AJ$2:$AJ$167,TRUE)),0)</f>
        <v/>
      </c>
      <c r="AQ18" s="68">
        <f t="array" ref="AQ18">IF($D18,SUMPRODUCT((economics!$AG$2:$AG$167=$B18)*(economics!$D$2:$D$167="process")*economics!$AI$2:$AI$167*_xlfn.NORM.DIST(AQ$3,economics!$AK$2:$AK$167,economics!$AJ$2:$AJ$167,TRUE)),0)</f>
        <v/>
      </c>
      <c r="AR18" s="68">
        <f t="array" ref="AR18">IF($D18,SUMPRODUCT((economics!$AG$2:$AG$167=$B18)*(economics!$D$2:$D$167="process")*economics!$AI$2:$AI$167*_xlfn.NORM.DIST(AR$3,economics!$AK$2:$AK$167,economics!$AJ$2:$AJ$167,TRUE)),0)</f>
        <v/>
      </c>
      <c r="AS18" s="68">
        <f t="array" ref="AS18">IF($D18,SUMPRODUCT((economics!$AG$2:$AG$167=$B18)*(economics!$D$2:$D$167="process")*economics!$AI$2:$AI$167*_xlfn.NORM.DIST(AS$3,economics!$AK$2:$AK$167,economics!$AJ$2:$AJ$167,TRUE)),0)</f>
        <v/>
      </c>
      <c r="AT18" s="68">
        <f t="array" ref="AT18">IF($D18,SUMPRODUCT((economics!$AG$2:$AG$167=$B18)*(economics!$D$2:$D$167="process")*economics!$AI$2:$AI$167*_xlfn.NORM.DIST(AT$3,economics!$AK$2:$AK$167,economics!$AJ$2:$AJ$167,TRUE)),0)</f>
        <v/>
      </c>
      <c r="AU18" s="68">
        <f t="array" ref="AU18">IF($D18,SUMPRODUCT((economics!$AG$2:$AG$167=$B18)*(economics!$D$2:$D$167="process")*economics!$AI$2:$AI$167*_xlfn.NORM.DIST(AU$3,economics!$AK$2:$AK$167,economics!$AJ$2:$AJ$167,TRUE)),0)</f>
        <v/>
      </c>
      <c r="AV18" s="68">
        <f t="array" ref="AV18">IF($D18,SUMPRODUCT((economics!$AG$2:$AG$167=$B18)*(economics!$D$2:$D$167="process")*economics!$AI$2:$AI$167*_xlfn.NORM.DIST(AV$3,economics!$AK$2:$AK$167,economics!$AJ$2:$AJ$167,TRUE)),0)</f>
        <v/>
      </c>
      <c r="AW18" s="68">
        <f t="array" ref="AW18">IF($D18,SUMPRODUCT((economics!$AG$2:$AG$167=$B18)*(economics!$D$2:$D$167="process")*economics!$AI$2:$AI$167*_xlfn.NORM.DIST(AW$3,economics!$AK$2:$AK$167,economics!$AJ$2:$AJ$167,TRUE)),0)</f>
        <v/>
      </c>
      <c r="AX18" s="68">
        <f t="array" ref="AX18">IF($D18,SUMPRODUCT((economics!$AG$2:$AG$167=$B18)*(economics!$D$2:$D$167="process")*economics!$AI$2:$AI$167*_xlfn.NORM.DIST(AX$3,economics!$AK$2:$AK$167,economics!$AJ$2:$AJ$167,TRUE)),0)</f>
        <v/>
      </c>
      <c r="AY18" s="68">
        <f t="array" ref="AY18">IF($D18,SUMPRODUCT((economics!$AG$2:$AG$167=$B18)*(economics!$D$2:$D$167="process")*economics!$AI$2:$AI$167*_xlfn.NORM.DIST(AY$3,economics!$AK$2:$AK$167,economics!$AJ$2:$AJ$167,TRUE)),0)</f>
        <v/>
      </c>
      <c r="AZ18" s="68">
        <f t="array" ref="AZ18">IF($D18,SUMPRODUCT((economics!$AG$2:$AG$167=$B18)*(economics!$D$2:$D$167="process")*economics!$AI$2:$AI$167*_xlfn.NORM.DIST(AZ$3,economics!$AK$2:$AK$167,economics!$AJ$2:$AJ$167,TRUE)),0)</f>
        <v/>
      </c>
      <c r="BA18" s="68">
        <f t="array" ref="BA18">IF($D18,SUMPRODUCT((economics!$AG$2:$AG$167=$B18)*(economics!$D$2:$D$167="process")*economics!$AI$2:$AI$167*_xlfn.NORM.DIST(BA$3,economics!$AK$2:$AK$167,economics!$AJ$2:$AJ$167,TRUE)),0)</f>
        <v/>
      </c>
      <c r="BB18" s="68">
        <f t="array" ref="BB18">IF($D18,SUMPRODUCT((economics!$AG$2:$AG$167=$B18)*(economics!$D$2:$D$167="process")*economics!$AI$2:$AI$167*_xlfn.NORM.DIST(BB$3,economics!$AK$2:$AK$167,economics!$AJ$2:$AJ$167,TRUE)),0)</f>
        <v/>
      </c>
      <c r="BC18" s="68">
        <f t="array" ref="BC18">IF($D18,SUMPRODUCT((economics!$AG$2:$AG$167=$B18)*(economics!$D$2:$D$167="process")*economics!$AI$2:$AI$167*_xlfn.NORM.DIST(BC$3,economics!$AK$2:$AK$167,economics!$AJ$2:$AJ$167,TRUE)),0)</f>
        <v/>
      </c>
      <c r="BD18" s="68">
        <f t="array" ref="BD18">IF($D18,SUMPRODUCT((economics!$AG$2:$AG$167=$B18)*(economics!$D$2:$D$167="process")*economics!$AI$2:$AI$167*_xlfn.NORM.DIST(BD$3,economics!$AK$2:$AK$167,economics!$AJ$2:$AJ$167,TRUE)),0)</f>
        <v/>
      </c>
      <c r="BE18" s="68">
        <f t="array" ref="BE18">IF($D18,SUMPRODUCT((economics!$AG$2:$AG$167=$B18)*(economics!$D$2:$D$167="process")*economics!$AI$2:$AI$167*_xlfn.NORM.DIST(BE$3,economics!$AK$2:$AK$167,economics!$AJ$2:$AJ$167,TRUE)),0)</f>
        <v/>
      </c>
      <c r="BF18" s="68">
        <f t="array" ref="BF18">IF($D18,SUMPRODUCT((economics!$AG$2:$AG$167=$B18)*(economics!$D$2:$D$167="process")*economics!$AI$2:$AI$167*_xlfn.NORM.DIST(BF$3,economics!$AK$2:$AK$167,economics!$AJ$2:$AJ$167,TRUE)),0)</f>
        <v/>
      </c>
      <c r="BG18" s="68">
        <f t="array" ref="BG18">IF($D18,SUMPRODUCT((economics!$AG$2:$AG$167=$B18)*(economics!$D$2:$D$167="process")*economics!$AI$2:$AI$167*_xlfn.NORM.DIST(BG$3,economics!$AK$2:$AK$167,economics!$AJ$2:$AJ$167,TRUE)),0)</f>
        <v/>
      </c>
      <c r="BH18" s="68">
        <f t="array" ref="BH18">IF($D18,SUMPRODUCT((economics!$AG$2:$AG$167=$B18)*(economics!$D$2:$D$167="process")*economics!$AI$2:$AI$167*_xlfn.NORM.DIST(BH$3,economics!$AK$2:$AK$167,economics!$AJ$2:$AJ$167,TRUE)),0)</f>
        <v/>
      </c>
      <c r="BI18" s="68">
        <f t="array" ref="BI18">IF($D18,SUMPRODUCT((economics!$AG$2:$AG$167=$B18)*(economics!$D$2:$D$167="process")*economics!$AI$2:$AI$167*_xlfn.NORM.DIST(BI$3,economics!$AK$2:$AK$167,economics!$AJ$2:$AJ$167,TRUE)),0)</f>
        <v/>
      </c>
      <c r="BJ18" s="68">
        <f t="array" ref="BJ18">IF($D18,SUMPRODUCT((economics!$AG$2:$AG$167=$B18)*(economics!$D$2:$D$167="process")*economics!$AI$2:$AI$167*_xlfn.NORM.DIST(BJ$3,economics!$AK$2:$AK$167,economics!$AJ$2:$AJ$167,TRUE)),0)</f>
        <v/>
      </c>
      <c r="BK18" s="68">
        <f t="array" ref="BK18">IF($D18,SUMPRODUCT((economics!$AG$2:$AG$167=$B18)*(economics!$D$2:$D$167="process")*economics!$AI$2:$AI$167*_xlfn.NORM.DIST(BK$3,economics!$AK$2:$AK$167,economics!$AJ$2:$AJ$167,TRUE)),0)</f>
        <v/>
      </c>
      <c r="BL18" s="68">
        <f t="array" ref="BL18">IF($D18,SUMPRODUCT((economics!$AG$2:$AG$167=$B18)*(economics!$D$2:$D$167="process")*economics!$AI$2:$AI$167*_xlfn.NORM.DIST(BL$3,economics!$AK$2:$AK$167,economics!$AJ$2:$AJ$167,TRUE)),0)</f>
        <v/>
      </c>
      <c r="BM18" s="68">
        <f t="array" ref="BM18">IF($D18,SUMPRODUCT((economics!$AG$2:$AG$167=$B18)*(economics!$D$2:$D$167="process")*economics!$AI$2:$AI$167*_xlfn.NORM.DIST(BM$3,economics!$AK$2:$AK$167,economics!$AJ$2:$AJ$167,TRUE)),0)</f>
        <v/>
      </c>
      <c r="BN18" s="68">
        <f t="array" ref="BN18">IF($D18,SUMPRODUCT((economics!$AG$2:$AG$167=$B18)*(economics!$D$2:$D$167="process")*economics!$AI$2:$AI$167*_xlfn.NORM.DIST(BN$3,economics!$AK$2:$AK$167,economics!$AJ$2:$AJ$167,TRUE)),0)</f>
        <v/>
      </c>
      <c r="BO18" s="68">
        <f t="array" ref="BO18">IF($D18,SUMPRODUCT((economics!$AG$2:$AG$167=$B18)*(economics!$D$2:$D$167="process")*economics!$AI$2:$AI$167*_xlfn.NORM.DIST(BO$3,economics!$AK$2:$AK$167,economics!$AJ$2:$AJ$167,TRUE)),0)</f>
        <v/>
      </c>
      <c r="BP18" s="68">
        <f t="array" ref="BP18">IF($D18,SUMPRODUCT((economics!$AG$2:$AG$167=$B18)*(economics!$D$2:$D$167="process")*economics!$AI$2:$AI$167*_xlfn.NORM.DIST(BP$3,economics!$AK$2:$AK$167,economics!$AJ$2:$AJ$167,TRUE)),0)</f>
        <v/>
      </c>
      <c r="BQ18" s="68">
        <f t="array" ref="BQ18">IF($D18,SUMPRODUCT((economics!$AG$2:$AG$167=$B18)*(economics!$D$2:$D$167="process")*economics!$AI$2:$AI$167*_xlfn.NORM.DIST(BQ$3,economics!$AK$2:$AK$167,economics!$AJ$2:$AJ$167,TRUE)),0)</f>
        <v/>
      </c>
      <c r="BR18" s="68">
        <f t="array" ref="BR18">IF($D18,SUMPRODUCT((economics!$AG$2:$AG$167=$B18)*(economics!$D$2:$D$167="process")*economics!$AI$2:$AI$167*_xlfn.NORM.DIST(BR$3,economics!$AK$2:$AK$167,economics!$AJ$2:$AJ$167,TRUE)),0)</f>
        <v/>
      </c>
      <c r="BS18" s="68">
        <f t="array" ref="BS18">IF($D18,SUMPRODUCT((economics!$AG$2:$AG$167=$B18)*(economics!$D$2:$D$167="process")*economics!$AI$2:$AI$167*_xlfn.NORM.DIST(BS$3,economics!$AK$2:$AK$167,economics!$AJ$2:$AJ$167,TRUE)),0)</f>
        <v/>
      </c>
      <c r="BT18" s="68">
        <f t="array" ref="BT18">IF($D18,SUMPRODUCT((economics!$AG$2:$AG$167=$B18)*(economics!$D$2:$D$167="process")*economics!$AI$2:$AI$167*_xlfn.NORM.DIST(BT$3,economics!$AK$2:$AK$167,economics!$AJ$2:$AJ$167,TRUE)),0)</f>
        <v/>
      </c>
      <c r="BU18" s="68">
        <f t="array" ref="BU18">IF($D18,SUMPRODUCT((economics!$AG$2:$AG$167=$B18)*(economics!$D$2:$D$167="process")*economics!$AI$2:$AI$167*_xlfn.NORM.DIST(BU$3,economics!$AK$2:$AK$167,economics!$AJ$2:$AJ$167,TRUE)),0)</f>
        <v/>
      </c>
      <c r="BV18" s="68">
        <f t="array" ref="BV18">IF($D18,SUMPRODUCT((economics!$AG$2:$AG$167=$B18)*(economics!$D$2:$D$167="process")*economics!$AI$2:$AI$167*_xlfn.NORM.DIST(BV$3,economics!$AK$2:$AK$167,economics!$AJ$2:$AJ$167,TRUE)),0)</f>
        <v/>
      </c>
      <c r="BW18" s="68">
        <f t="array" ref="BW18">IF($D18,SUMPRODUCT((economics!$AG$2:$AG$167=$B18)*(economics!$D$2:$D$167="process")*economics!$AI$2:$AI$167*_xlfn.NORM.DIST(BW$3,economics!$AK$2:$AK$167,economics!$AJ$2:$AJ$167,TRUE)),0)</f>
        <v/>
      </c>
      <c r="BX18" s="68">
        <f t="array" ref="BX18">IF($D18,SUMPRODUCT((economics!$AG$2:$AG$167=$B18)*(economics!$D$2:$D$167="process")*economics!$AI$2:$AI$167*_xlfn.NORM.DIST(BX$3,economics!$AK$2:$AK$167,economics!$AJ$2:$AJ$167,TRUE)),0)</f>
        <v/>
      </c>
      <c r="BY18" s="68">
        <f t="array" ref="BY18">IF($D18,SUMPRODUCT((economics!$AG$2:$AG$167=$B18)*(economics!$D$2:$D$167="process")*economics!$AI$2:$AI$167*_xlfn.NORM.DIST(BY$3,economics!$AK$2:$AK$167,economics!$AJ$2:$AJ$167,TRUE)),0)</f>
        <v/>
      </c>
      <c r="BZ18" s="68">
        <f t="array" ref="BZ18">IF($D18,SUMPRODUCT((economics!$AG$2:$AG$167=$B18)*(economics!$D$2:$D$167="process")*economics!$AI$2:$AI$167*_xlfn.NORM.DIST(BZ$3,economics!$AK$2:$AK$167,economics!$AJ$2:$AJ$167,TRUE)),0)</f>
        <v/>
      </c>
      <c r="CA18" s="68">
        <f t="array" ref="CA18">IF($D18,SUMPRODUCT((economics!$AG$2:$AG$167=$B18)*(economics!$D$2:$D$167="process")*economics!$AI$2:$AI$167*_xlfn.NORM.DIST(CA$3,economics!$AK$2:$AK$167,economics!$AJ$2:$AJ$167,TRUE)),0)</f>
        <v/>
      </c>
      <c r="CB18" s="68">
        <f t="array" ref="CB18">IF($D18,SUMPRODUCT((economics!$AG$2:$AG$167=$B18)*(economics!$D$2:$D$167="process")*economics!$AI$2:$AI$167*_xlfn.NORM.DIST(CB$3,economics!$AK$2:$AK$167,economics!$AJ$2:$AJ$167,TRUE)),0)</f>
        <v/>
      </c>
      <c r="CC18" s="68">
        <f t="array" ref="CC18">IF($D18,SUMPRODUCT((economics!$AG$2:$AG$167=$B18)*(economics!$D$2:$D$167="process")*economics!$AI$2:$AI$167*_xlfn.NORM.DIST(CC$3,economics!$AK$2:$AK$167,economics!$AJ$2:$AJ$167,TRUE)),0)</f>
        <v/>
      </c>
      <c r="CD18" s="68">
        <f t="array" ref="CD18">IF($D18,SUMPRODUCT((economics!$AG$2:$AG$167=$B18)*(economics!$D$2:$D$167="process")*economics!$AI$2:$AI$167*_xlfn.NORM.DIST(CD$3,economics!$AK$2:$AK$167,economics!$AJ$2:$AJ$167,TRUE)),0)</f>
        <v/>
      </c>
      <c r="CE18" s="68">
        <f t="array" ref="CE18">IF($D18,SUMPRODUCT((economics!$AG$2:$AG$167=$B18)*(economics!$D$2:$D$167="process")*economics!$AI$2:$AI$167*_xlfn.NORM.DIST(CE$3,economics!$AK$2:$AK$167,economics!$AJ$2:$AJ$167,TRUE)),0)</f>
        <v/>
      </c>
      <c r="CF18" s="68">
        <f t="array" ref="CF18">IF($D18,SUMPRODUCT((economics!$AG$2:$AG$167=$B18)*(economics!$D$2:$D$167="process")*economics!$AI$2:$AI$167*_xlfn.NORM.DIST(CF$3,economics!$AK$2:$AK$167,economics!$AJ$2:$AJ$167,TRUE)),0)</f>
        <v/>
      </c>
      <c r="CG18" s="68">
        <f t="array" ref="CG18">IF($D18,SUMPRODUCT((economics!$AG$2:$AG$167=$B18)*(economics!$D$2:$D$167="process")*economics!$AI$2:$AI$167*_xlfn.NORM.DIST(CG$3,economics!$AK$2:$AK$167,economics!$AJ$2:$AJ$167,TRUE)),0)</f>
        <v/>
      </c>
      <c r="CH18" s="68">
        <f t="array" ref="CH18">IF($D18,SUMPRODUCT((economics!$AG$2:$AG$167=$B18)*(economics!$D$2:$D$167="process")*economics!$AI$2:$AI$167*_xlfn.NORM.DIST(CH$3,economics!$AK$2:$AK$167,economics!$AJ$2:$AJ$167,TRUE)),0)</f>
        <v/>
      </c>
    </row>
    <row r="19">
      <c r="A19">
        <f>WHRPbI!A17</f>
        <v/>
      </c>
      <c r="B19" t="n">
        <v>25</v>
      </c>
      <c r="C19" s="68">
        <f>WHRPbI!B17</f>
        <v/>
      </c>
      <c r="D19">
        <f>ISNUMBER(MATCH($B19,'energy base (MECS)'!$K$4:$K$9,0))</f>
        <v/>
      </c>
      <c r="E19" s="68">
        <f t="array" ref="E19">IF($D19,SUMPRODUCT((economics!$AG$2:$AG$167=$B19)*(economics!$D$2:$D$167="process")*economics!$AI$2:$AI$167*_xlfn.NORM.DIST(E$3,economics!$AK$2:$AK$167,economics!$AJ$2:$AJ$167,TRUE)),0)</f>
        <v/>
      </c>
      <c r="F19" s="68">
        <f t="array" ref="F19">IF($D19,SUMPRODUCT((economics!$AG$2:$AG$167=$B19)*(economics!$D$2:$D$167="process")*economics!$AI$2:$AI$167*_xlfn.NORM.DIST(F$3,economics!$AK$2:$AK$167,economics!$AJ$2:$AJ$167,TRUE)),0)</f>
        <v/>
      </c>
      <c r="G19" s="68">
        <f t="array" ref="G19">IF($D19,SUMPRODUCT((economics!$AG$2:$AG$167=$B19)*(economics!$D$2:$D$167="process")*economics!$AI$2:$AI$167*_xlfn.NORM.DIST(G$3,economics!$AK$2:$AK$167,economics!$AJ$2:$AJ$167,TRUE)),0)</f>
        <v/>
      </c>
      <c r="H19" s="68">
        <f t="array" ref="H19">IF($D19,SUMPRODUCT((economics!$AG$2:$AG$167=$B19)*(economics!$D$2:$D$167="process")*economics!$AI$2:$AI$167*_xlfn.NORM.DIST(H$3,economics!$AK$2:$AK$167,economics!$AJ$2:$AJ$167,TRUE)),0)</f>
        <v/>
      </c>
      <c r="I19" s="68">
        <f t="array" ref="I19">IF($D19,SUMPRODUCT((economics!$AG$2:$AG$167=$B19)*(economics!$D$2:$D$167="process")*economics!$AI$2:$AI$167*_xlfn.NORM.DIST(I$3,economics!$AK$2:$AK$167,economics!$AJ$2:$AJ$167,TRUE)),0)</f>
        <v/>
      </c>
      <c r="J19" s="68">
        <f t="array" ref="J19">IF($D19,SUMPRODUCT((economics!$AG$2:$AG$167=$B19)*(economics!$D$2:$D$167="process")*economics!$AI$2:$AI$167*_xlfn.NORM.DIST(J$3,economics!$AK$2:$AK$167,economics!$AJ$2:$AJ$167,TRUE)),0)</f>
        <v/>
      </c>
      <c r="K19" s="68">
        <f t="array" ref="K19">IF($D19,SUMPRODUCT((economics!$AG$2:$AG$167=$B19)*(economics!$D$2:$D$167="process")*economics!$AI$2:$AI$167*_xlfn.NORM.DIST(K$3,economics!$AK$2:$AK$167,economics!$AJ$2:$AJ$167,TRUE)),0)</f>
        <v/>
      </c>
      <c r="L19" s="68">
        <f t="array" ref="L19">IF($D19,SUMPRODUCT((economics!$AG$2:$AG$167=$B19)*(economics!$D$2:$D$167="process")*economics!$AI$2:$AI$167*_xlfn.NORM.DIST(L$3,economics!$AK$2:$AK$167,economics!$AJ$2:$AJ$167,TRUE)),0)</f>
        <v/>
      </c>
      <c r="M19" s="68">
        <f t="array" ref="M19">IF($D19,SUMPRODUCT((economics!$AG$2:$AG$167=$B19)*(economics!$D$2:$D$167="process")*economics!$AI$2:$AI$167*_xlfn.NORM.DIST(M$3,economics!$AK$2:$AK$167,economics!$AJ$2:$AJ$167,TRUE)),0)</f>
        <v/>
      </c>
      <c r="N19" s="68">
        <f t="array" ref="N19">IF($D19,SUMPRODUCT((economics!$AG$2:$AG$167=$B19)*(economics!$D$2:$D$167="process")*economics!$AI$2:$AI$167*_xlfn.NORM.DIST(N$3,economics!$AK$2:$AK$167,economics!$AJ$2:$AJ$167,TRUE)),0)</f>
        <v/>
      </c>
      <c r="O19" s="68">
        <f t="array" ref="O19">IF($D19,SUMPRODUCT((economics!$AG$2:$AG$167=$B19)*(economics!$D$2:$D$167="process")*economics!$AI$2:$AI$167*_xlfn.NORM.DIST(O$3,economics!$AK$2:$AK$167,economics!$AJ$2:$AJ$167,TRUE)),0)</f>
        <v/>
      </c>
      <c r="P19" s="68">
        <f t="array" ref="P19">IF($D19,SUMPRODUCT((economics!$AG$2:$AG$167=$B19)*(economics!$D$2:$D$167="process")*economics!$AI$2:$AI$167*_xlfn.NORM.DIST(P$3,economics!$AK$2:$AK$167,economics!$AJ$2:$AJ$167,TRUE)),0)</f>
        <v/>
      </c>
      <c r="Q19" s="68">
        <f t="array" ref="Q19">IF($D19,SUMPRODUCT((economics!$AG$2:$AG$167=$B19)*(economics!$D$2:$D$167="process")*economics!$AI$2:$AI$167*_xlfn.NORM.DIST(Q$3,economics!$AK$2:$AK$167,economics!$AJ$2:$AJ$167,TRUE)),0)</f>
        <v/>
      </c>
      <c r="R19" s="68">
        <f t="array" ref="R19">IF($D19,SUMPRODUCT((economics!$AG$2:$AG$167=$B19)*(economics!$D$2:$D$167="process")*economics!$AI$2:$AI$167*_xlfn.NORM.DIST(R$3,economics!$AK$2:$AK$167,economics!$AJ$2:$AJ$167,TRUE)),0)</f>
        <v/>
      </c>
      <c r="S19" s="68">
        <f t="array" ref="S19">IF($D19,SUMPRODUCT((economics!$AG$2:$AG$167=$B19)*(economics!$D$2:$D$167="process")*economics!$AI$2:$AI$167*_xlfn.NORM.DIST(S$3,economics!$AK$2:$AK$167,economics!$AJ$2:$AJ$167,TRUE)),0)</f>
        <v/>
      </c>
      <c r="T19" s="68">
        <f t="array" ref="T19">IF($D19,SUMPRODUCT((economics!$AG$2:$AG$167=$B19)*(economics!$D$2:$D$167="process")*economics!$AI$2:$AI$167*_xlfn.NORM.DIST(T$3,economics!$AK$2:$AK$167,economics!$AJ$2:$AJ$167,TRUE)),0)</f>
        <v/>
      </c>
      <c r="U19" s="68">
        <f t="array" ref="U19">IF($D19,SUMPRODUCT((economics!$AG$2:$AG$167=$B19)*(economics!$D$2:$D$167="process")*economics!$AI$2:$AI$167*_xlfn.NORM.DIST(U$3,economics!$AK$2:$AK$167,economics!$AJ$2:$AJ$167,TRUE)),0)</f>
        <v/>
      </c>
      <c r="V19" s="68">
        <f t="array" ref="V19">IF($D19,SUMPRODUCT((economics!$AG$2:$AG$167=$B19)*(economics!$D$2:$D$167="process")*economics!$AI$2:$AI$167*_xlfn.NORM.DIST(V$3,economics!$AK$2:$AK$167,economics!$AJ$2:$AJ$167,TRUE)),0)</f>
        <v/>
      </c>
      <c r="W19" s="68">
        <f t="array" ref="W19">IF($D19,SUMPRODUCT((economics!$AG$2:$AG$167=$B19)*(economics!$D$2:$D$167="process")*economics!$AI$2:$AI$167*_xlfn.NORM.DIST(W$3,economics!$AK$2:$AK$167,economics!$AJ$2:$AJ$167,TRUE)),0)</f>
        <v/>
      </c>
      <c r="X19" s="68">
        <f t="array" ref="X19">IF($D19,SUMPRODUCT((economics!$AG$2:$AG$167=$B19)*(economics!$D$2:$D$167="process")*economics!$AI$2:$AI$167*_xlfn.NORM.DIST(X$3,economics!$AK$2:$AK$167,economics!$AJ$2:$AJ$167,TRUE)),0)</f>
        <v/>
      </c>
      <c r="Y19" s="68">
        <f t="array" ref="Y19">IF($D19,SUMPRODUCT((economics!$AG$2:$AG$167=$B19)*(economics!$D$2:$D$167="process")*economics!$AI$2:$AI$167*_xlfn.NORM.DIST(Y$3,economics!$AK$2:$AK$167,economics!$AJ$2:$AJ$167,TRUE)),0)</f>
        <v/>
      </c>
      <c r="Z19" s="68">
        <f t="array" ref="Z19">IF($D19,SUMPRODUCT((economics!$AG$2:$AG$167=$B19)*(economics!$D$2:$D$167="process")*economics!$AI$2:$AI$167*_xlfn.NORM.DIST(Z$3,economics!$AK$2:$AK$167,economics!$AJ$2:$AJ$167,TRUE)),0)</f>
        <v/>
      </c>
      <c r="AA19" s="68">
        <f t="array" ref="AA19">IF($D19,SUMPRODUCT((economics!$AG$2:$AG$167=$B19)*(economics!$D$2:$D$167="process")*economics!$AI$2:$AI$167*_xlfn.NORM.DIST(AA$3,economics!$AK$2:$AK$167,economics!$AJ$2:$AJ$167,TRUE)),0)</f>
        <v/>
      </c>
      <c r="AB19" s="68">
        <f t="array" ref="AB19">IF($D19,SUMPRODUCT((economics!$AG$2:$AG$167=$B19)*(economics!$D$2:$D$167="process")*economics!$AI$2:$AI$167*_xlfn.NORM.DIST(AB$3,economics!$AK$2:$AK$167,economics!$AJ$2:$AJ$167,TRUE)),0)</f>
        <v/>
      </c>
      <c r="AC19" s="68">
        <f t="array" ref="AC19">IF($D19,SUMPRODUCT((economics!$AG$2:$AG$167=$B19)*(economics!$D$2:$D$167="process")*economics!$AI$2:$AI$167*_xlfn.NORM.DIST(AC$3,economics!$AK$2:$AK$167,economics!$AJ$2:$AJ$167,TRUE)),0)</f>
        <v/>
      </c>
      <c r="AD19" s="68">
        <f t="array" ref="AD19">IF($D19,SUMPRODUCT((economics!$AG$2:$AG$167=$B19)*(economics!$D$2:$D$167="process")*economics!$AI$2:$AI$167*_xlfn.NORM.DIST(AD$3,economics!$AK$2:$AK$167,economics!$AJ$2:$AJ$167,TRUE)),0)</f>
        <v/>
      </c>
      <c r="AE19" s="68">
        <f t="array" ref="AE19">IF($D19,SUMPRODUCT((economics!$AG$2:$AG$167=$B19)*(economics!$D$2:$D$167="process")*economics!$AI$2:$AI$167*_xlfn.NORM.DIST(AE$3,economics!$AK$2:$AK$167,economics!$AJ$2:$AJ$167,TRUE)),0)</f>
        <v/>
      </c>
      <c r="AF19" s="68">
        <f t="array" ref="AF19">IF($D19,SUMPRODUCT((economics!$AG$2:$AG$167=$B19)*(economics!$D$2:$D$167="process")*economics!$AI$2:$AI$167*_xlfn.NORM.DIST(AF$3,economics!$AK$2:$AK$167,economics!$AJ$2:$AJ$167,TRUE)),0)</f>
        <v/>
      </c>
      <c r="AG19" s="68">
        <f t="array" ref="AG19">IF($D19,SUMPRODUCT((economics!$AG$2:$AG$167=$B19)*(economics!$D$2:$D$167="process")*economics!$AI$2:$AI$167*_xlfn.NORM.DIST(AG$3,economics!$AK$2:$AK$167,economics!$AJ$2:$AJ$167,TRUE)),0)</f>
        <v/>
      </c>
      <c r="AH19" s="68">
        <f t="array" ref="AH19">IF($D19,SUMPRODUCT((economics!$AG$2:$AG$167=$B19)*(economics!$D$2:$D$167="process")*economics!$AI$2:$AI$167*_xlfn.NORM.DIST(AH$3,economics!$AK$2:$AK$167,economics!$AJ$2:$AJ$167,TRUE)),0)</f>
        <v/>
      </c>
      <c r="AI19" s="68">
        <f t="array" ref="AI19">IF($D19,SUMPRODUCT((economics!$AG$2:$AG$167=$B19)*(economics!$D$2:$D$167="process")*economics!$AI$2:$AI$167*_xlfn.NORM.DIST(AI$3,economics!$AK$2:$AK$167,economics!$AJ$2:$AJ$167,TRUE)),0)</f>
        <v/>
      </c>
      <c r="AJ19" s="68">
        <f t="array" ref="AJ19">IF($D19,SUMPRODUCT((economics!$AG$2:$AG$167=$B19)*(economics!$D$2:$D$167="process")*economics!$AI$2:$AI$167*_xlfn.NORM.DIST(AJ$3,economics!$AK$2:$AK$167,economics!$AJ$2:$AJ$167,TRUE)),0)</f>
        <v/>
      </c>
      <c r="AK19" s="68">
        <f t="array" ref="AK19">IF($D19,SUMPRODUCT((economics!$AG$2:$AG$167=$B19)*(economics!$D$2:$D$167="process")*economics!$AI$2:$AI$167*_xlfn.NORM.DIST(AK$3,economics!$AK$2:$AK$167,economics!$AJ$2:$AJ$167,TRUE)),0)</f>
        <v/>
      </c>
      <c r="AL19" s="68">
        <f t="array" ref="AL19">IF($D19,SUMPRODUCT((economics!$AG$2:$AG$167=$B19)*(economics!$D$2:$D$167="process")*economics!$AI$2:$AI$167*_xlfn.NORM.DIST(AL$3,economics!$AK$2:$AK$167,economics!$AJ$2:$AJ$167,TRUE)),0)</f>
        <v/>
      </c>
      <c r="AM19" s="68">
        <f t="array" ref="AM19">IF($D19,SUMPRODUCT((economics!$AG$2:$AG$167=$B19)*(economics!$D$2:$D$167="process")*economics!$AI$2:$AI$167*_xlfn.NORM.DIST(AM$3,economics!$AK$2:$AK$167,economics!$AJ$2:$AJ$167,TRUE)),0)</f>
        <v/>
      </c>
      <c r="AN19" s="68">
        <f t="array" ref="AN19">IF($D19,SUMPRODUCT((economics!$AG$2:$AG$167=$B19)*(economics!$D$2:$D$167="process")*economics!$AI$2:$AI$167*_xlfn.NORM.DIST(AN$3,economics!$AK$2:$AK$167,economics!$AJ$2:$AJ$167,TRUE)),0)</f>
        <v/>
      </c>
      <c r="AO19" s="68">
        <f t="array" ref="AO19">IF($D19,SUMPRODUCT((economics!$AG$2:$AG$167=$B19)*(economics!$D$2:$D$167="process")*economics!$AI$2:$AI$167*_xlfn.NORM.DIST(AO$3,economics!$AK$2:$AK$167,economics!$AJ$2:$AJ$167,TRUE)),0)</f>
        <v/>
      </c>
      <c r="AP19" s="68">
        <f t="array" ref="AP19">IF($D19,SUMPRODUCT((economics!$AG$2:$AG$167=$B19)*(economics!$D$2:$D$167="process")*economics!$AI$2:$AI$167*_xlfn.NORM.DIST(AP$3,economics!$AK$2:$AK$167,economics!$AJ$2:$AJ$167,TRUE)),0)</f>
        <v/>
      </c>
      <c r="AQ19" s="68">
        <f t="array" ref="AQ19">IF($D19,SUMPRODUCT((economics!$AG$2:$AG$167=$B19)*(economics!$D$2:$D$167="process")*economics!$AI$2:$AI$167*_xlfn.NORM.DIST(AQ$3,economics!$AK$2:$AK$167,economics!$AJ$2:$AJ$167,TRUE)),0)</f>
        <v/>
      </c>
      <c r="AR19" s="68">
        <f t="array" ref="AR19">IF($D19,SUMPRODUCT((economics!$AG$2:$AG$167=$B19)*(economics!$D$2:$D$167="process")*economics!$AI$2:$AI$167*_xlfn.NORM.DIST(AR$3,economics!$AK$2:$AK$167,economics!$AJ$2:$AJ$167,TRUE)),0)</f>
        <v/>
      </c>
      <c r="AS19" s="68">
        <f t="array" ref="AS19">IF($D19,SUMPRODUCT((economics!$AG$2:$AG$167=$B19)*(economics!$D$2:$D$167="process")*economics!$AI$2:$AI$167*_xlfn.NORM.DIST(AS$3,economics!$AK$2:$AK$167,economics!$AJ$2:$AJ$167,TRUE)),0)</f>
        <v/>
      </c>
      <c r="AT19" s="68">
        <f t="array" ref="AT19">IF($D19,SUMPRODUCT((economics!$AG$2:$AG$167=$B19)*(economics!$D$2:$D$167="process")*economics!$AI$2:$AI$167*_xlfn.NORM.DIST(AT$3,economics!$AK$2:$AK$167,economics!$AJ$2:$AJ$167,TRUE)),0)</f>
        <v/>
      </c>
      <c r="AU19" s="68">
        <f t="array" ref="AU19">IF($D19,SUMPRODUCT((economics!$AG$2:$AG$167=$B19)*(economics!$D$2:$D$167="process")*economics!$AI$2:$AI$167*_xlfn.NORM.DIST(AU$3,economics!$AK$2:$AK$167,economics!$AJ$2:$AJ$167,TRUE)),0)</f>
        <v/>
      </c>
      <c r="AV19" s="68">
        <f t="array" ref="AV19">IF($D19,SUMPRODUCT((economics!$AG$2:$AG$167=$B19)*(economics!$D$2:$D$167="process")*economics!$AI$2:$AI$167*_xlfn.NORM.DIST(AV$3,economics!$AK$2:$AK$167,economics!$AJ$2:$AJ$167,TRUE)),0)</f>
        <v/>
      </c>
      <c r="AW19" s="68">
        <f t="array" ref="AW19">IF($D19,SUMPRODUCT((economics!$AG$2:$AG$167=$B19)*(economics!$D$2:$D$167="process")*economics!$AI$2:$AI$167*_xlfn.NORM.DIST(AW$3,economics!$AK$2:$AK$167,economics!$AJ$2:$AJ$167,TRUE)),0)</f>
        <v/>
      </c>
      <c r="AX19" s="68">
        <f t="array" ref="AX19">IF($D19,SUMPRODUCT((economics!$AG$2:$AG$167=$B19)*(economics!$D$2:$D$167="process")*economics!$AI$2:$AI$167*_xlfn.NORM.DIST(AX$3,economics!$AK$2:$AK$167,economics!$AJ$2:$AJ$167,TRUE)),0)</f>
        <v/>
      </c>
      <c r="AY19" s="68">
        <f t="array" ref="AY19">IF($D19,SUMPRODUCT((economics!$AG$2:$AG$167=$B19)*(economics!$D$2:$D$167="process")*economics!$AI$2:$AI$167*_xlfn.NORM.DIST(AY$3,economics!$AK$2:$AK$167,economics!$AJ$2:$AJ$167,TRUE)),0)</f>
        <v/>
      </c>
      <c r="AZ19" s="68">
        <f t="array" ref="AZ19">IF($D19,SUMPRODUCT((economics!$AG$2:$AG$167=$B19)*(economics!$D$2:$D$167="process")*economics!$AI$2:$AI$167*_xlfn.NORM.DIST(AZ$3,economics!$AK$2:$AK$167,economics!$AJ$2:$AJ$167,TRUE)),0)</f>
        <v/>
      </c>
      <c r="BA19" s="68">
        <f t="array" ref="BA19">IF($D19,SUMPRODUCT((economics!$AG$2:$AG$167=$B19)*(economics!$D$2:$D$167="process")*economics!$AI$2:$AI$167*_xlfn.NORM.DIST(BA$3,economics!$AK$2:$AK$167,economics!$AJ$2:$AJ$167,TRUE)),0)</f>
        <v/>
      </c>
      <c r="BB19" s="68">
        <f t="array" ref="BB19">IF($D19,SUMPRODUCT((economics!$AG$2:$AG$167=$B19)*(economics!$D$2:$D$167="process")*economics!$AI$2:$AI$167*_xlfn.NORM.DIST(BB$3,economics!$AK$2:$AK$167,economics!$AJ$2:$AJ$167,TRUE)),0)</f>
        <v/>
      </c>
      <c r="BC19" s="68">
        <f t="array" ref="BC19">IF($D19,SUMPRODUCT((economics!$AG$2:$AG$167=$B19)*(economics!$D$2:$D$167="process")*economics!$AI$2:$AI$167*_xlfn.NORM.DIST(BC$3,economics!$AK$2:$AK$167,economics!$AJ$2:$AJ$167,TRUE)),0)</f>
        <v/>
      </c>
      <c r="BD19" s="68">
        <f t="array" ref="BD19">IF($D19,SUMPRODUCT((economics!$AG$2:$AG$167=$B19)*(economics!$D$2:$D$167="process")*economics!$AI$2:$AI$167*_xlfn.NORM.DIST(BD$3,economics!$AK$2:$AK$167,economics!$AJ$2:$AJ$167,TRUE)),0)</f>
        <v/>
      </c>
      <c r="BE19" s="68">
        <f t="array" ref="BE19">IF($D19,SUMPRODUCT((economics!$AG$2:$AG$167=$B19)*(economics!$D$2:$D$167="process")*economics!$AI$2:$AI$167*_xlfn.NORM.DIST(BE$3,economics!$AK$2:$AK$167,economics!$AJ$2:$AJ$167,TRUE)),0)</f>
        <v/>
      </c>
      <c r="BF19" s="68">
        <f t="array" ref="BF19">IF($D19,SUMPRODUCT((economics!$AG$2:$AG$167=$B19)*(economics!$D$2:$D$167="process")*economics!$AI$2:$AI$167*_xlfn.NORM.DIST(BF$3,economics!$AK$2:$AK$167,economics!$AJ$2:$AJ$167,TRUE)),0)</f>
        <v/>
      </c>
      <c r="BG19" s="68">
        <f t="array" ref="BG19">IF($D19,SUMPRODUCT((economics!$AG$2:$AG$167=$B19)*(economics!$D$2:$D$167="process")*economics!$AI$2:$AI$167*_xlfn.NORM.DIST(BG$3,economics!$AK$2:$AK$167,economics!$AJ$2:$AJ$167,TRUE)),0)</f>
        <v/>
      </c>
      <c r="BH19" s="68">
        <f t="array" ref="BH19">IF($D19,SUMPRODUCT((economics!$AG$2:$AG$167=$B19)*(economics!$D$2:$D$167="process")*economics!$AI$2:$AI$167*_xlfn.NORM.DIST(BH$3,economics!$AK$2:$AK$167,economics!$AJ$2:$AJ$167,TRUE)),0)</f>
        <v/>
      </c>
      <c r="BI19" s="68">
        <f t="array" ref="BI19">IF($D19,SUMPRODUCT((economics!$AG$2:$AG$167=$B19)*(economics!$D$2:$D$167="process")*economics!$AI$2:$AI$167*_xlfn.NORM.DIST(BI$3,economics!$AK$2:$AK$167,economics!$AJ$2:$AJ$167,TRUE)),0)</f>
        <v/>
      </c>
      <c r="BJ19" s="68">
        <f t="array" ref="BJ19">IF($D19,SUMPRODUCT((economics!$AG$2:$AG$167=$B19)*(economics!$D$2:$D$167="process")*economics!$AI$2:$AI$167*_xlfn.NORM.DIST(BJ$3,economics!$AK$2:$AK$167,economics!$AJ$2:$AJ$167,TRUE)),0)</f>
        <v/>
      </c>
      <c r="BK19" s="68">
        <f t="array" ref="BK19">IF($D19,SUMPRODUCT((economics!$AG$2:$AG$167=$B19)*(economics!$D$2:$D$167="process")*economics!$AI$2:$AI$167*_xlfn.NORM.DIST(BK$3,economics!$AK$2:$AK$167,economics!$AJ$2:$AJ$167,TRUE)),0)</f>
        <v/>
      </c>
      <c r="BL19" s="68">
        <f t="array" ref="BL19">IF($D19,SUMPRODUCT((economics!$AG$2:$AG$167=$B19)*(economics!$D$2:$D$167="process")*economics!$AI$2:$AI$167*_xlfn.NORM.DIST(BL$3,economics!$AK$2:$AK$167,economics!$AJ$2:$AJ$167,TRUE)),0)</f>
        <v/>
      </c>
      <c r="BM19" s="68">
        <f t="array" ref="BM19">IF($D19,SUMPRODUCT((economics!$AG$2:$AG$167=$B19)*(economics!$D$2:$D$167="process")*economics!$AI$2:$AI$167*_xlfn.NORM.DIST(BM$3,economics!$AK$2:$AK$167,economics!$AJ$2:$AJ$167,TRUE)),0)</f>
        <v/>
      </c>
      <c r="BN19" s="68">
        <f t="array" ref="BN19">IF($D19,SUMPRODUCT((economics!$AG$2:$AG$167=$B19)*(economics!$D$2:$D$167="process")*economics!$AI$2:$AI$167*_xlfn.NORM.DIST(BN$3,economics!$AK$2:$AK$167,economics!$AJ$2:$AJ$167,TRUE)),0)</f>
        <v/>
      </c>
      <c r="BO19" s="68">
        <f t="array" ref="BO19">IF($D19,SUMPRODUCT((economics!$AG$2:$AG$167=$B19)*(economics!$D$2:$D$167="process")*economics!$AI$2:$AI$167*_xlfn.NORM.DIST(BO$3,economics!$AK$2:$AK$167,economics!$AJ$2:$AJ$167,TRUE)),0)</f>
        <v/>
      </c>
      <c r="BP19" s="68">
        <f t="array" ref="BP19">IF($D19,SUMPRODUCT((economics!$AG$2:$AG$167=$B19)*(economics!$D$2:$D$167="process")*economics!$AI$2:$AI$167*_xlfn.NORM.DIST(BP$3,economics!$AK$2:$AK$167,economics!$AJ$2:$AJ$167,TRUE)),0)</f>
        <v/>
      </c>
      <c r="BQ19" s="68">
        <f t="array" ref="BQ19">IF($D19,SUMPRODUCT((economics!$AG$2:$AG$167=$B19)*(economics!$D$2:$D$167="process")*economics!$AI$2:$AI$167*_xlfn.NORM.DIST(BQ$3,economics!$AK$2:$AK$167,economics!$AJ$2:$AJ$167,TRUE)),0)</f>
        <v/>
      </c>
      <c r="BR19" s="68">
        <f t="array" ref="BR19">IF($D19,SUMPRODUCT((economics!$AG$2:$AG$167=$B19)*(economics!$D$2:$D$167="process")*economics!$AI$2:$AI$167*_xlfn.NORM.DIST(BR$3,economics!$AK$2:$AK$167,economics!$AJ$2:$AJ$167,TRUE)),0)</f>
        <v/>
      </c>
      <c r="BS19" s="68">
        <f t="array" ref="BS19">IF($D19,SUMPRODUCT((economics!$AG$2:$AG$167=$B19)*(economics!$D$2:$D$167="process")*economics!$AI$2:$AI$167*_xlfn.NORM.DIST(BS$3,economics!$AK$2:$AK$167,economics!$AJ$2:$AJ$167,TRUE)),0)</f>
        <v/>
      </c>
      <c r="BT19" s="68">
        <f t="array" ref="BT19">IF($D19,SUMPRODUCT((economics!$AG$2:$AG$167=$B19)*(economics!$D$2:$D$167="process")*economics!$AI$2:$AI$167*_xlfn.NORM.DIST(BT$3,economics!$AK$2:$AK$167,economics!$AJ$2:$AJ$167,TRUE)),0)</f>
        <v/>
      </c>
      <c r="BU19" s="68">
        <f t="array" ref="BU19">IF($D19,SUMPRODUCT((economics!$AG$2:$AG$167=$B19)*(economics!$D$2:$D$167="process")*economics!$AI$2:$AI$167*_xlfn.NORM.DIST(BU$3,economics!$AK$2:$AK$167,economics!$AJ$2:$AJ$167,TRUE)),0)</f>
        <v/>
      </c>
      <c r="BV19" s="68">
        <f t="array" ref="BV19">IF($D19,SUMPRODUCT((economics!$AG$2:$AG$167=$B19)*(economics!$D$2:$D$167="process")*economics!$AI$2:$AI$167*_xlfn.NORM.DIST(BV$3,economics!$AK$2:$AK$167,economics!$AJ$2:$AJ$167,TRUE)),0)</f>
        <v/>
      </c>
      <c r="BW19" s="68">
        <f t="array" ref="BW19">IF($D19,SUMPRODUCT((economics!$AG$2:$AG$167=$B19)*(economics!$D$2:$D$167="process")*economics!$AI$2:$AI$167*_xlfn.NORM.DIST(BW$3,economics!$AK$2:$AK$167,economics!$AJ$2:$AJ$167,TRUE)),0)</f>
        <v/>
      </c>
      <c r="BX19" s="68">
        <f t="array" ref="BX19">IF($D19,SUMPRODUCT((economics!$AG$2:$AG$167=$B19)*(economics!$D$2:$D$167="process")*economics!$AI$2:$AI$167*_xlfn.NORM.DIST(BX$3,economics!$AK$2:$AK$167,economics!$AJ$2:$AJ$167,TRUE)),0)</f>
        <v/>
      </c>
      <c r="BY19" s="68">
        <f t="array" ref="BY19">IF($D19,SUMPRODUCT((economics!$AG$2:$AG$167=$B19)*(economics!$D$2:$D$167="process")*economics!$AI$2:$AI$167*_xlfn.NORM.DIST(BY$3,economics!$AK$2:$AK$167,economics!$AJ$2:$AJ$167,TRUE)),0)</f>
        <v/>
      </c>
      <c r="BZ19" s="68">
        <f t="array" ref="BZ19">IF($D19,SUMPRODUCT((economics!$AG$2:$AG$167=$B19)*(economics!$D$2:$D$167="process")*economics!$AI$2:$AI$167*_xlfn.NORM.DIST(BZ$3,economics!$AK$2:$AK$167,economics!$AJ$2:$AJ$167,TRUE)),0)</f>
        <v/>
      </c>
      <c r="CA19" s="68">
        <f t="array" ref="CA19">IF($D19,SUMPRODUCT((economics!$AG$2:$AG$167=$B19)*(economics!$D$2:$D$167="process")*economics!$AI$2:$AI$167*_xlfn.NORM.DIST(CA$3,economics!$AK$2:$AK$167,economics!$AJ$2:$AJ$167,TRUE)),0)</f>
        <v/>
      </c>
      <c r="CB19" s="68">
        <f t="array" ref="CB19">IF($D19,SUMPRODUCT((economics!$AG$2:$AG$167=$B19)*(economics!$D$2:$D$167="process")*economics!$AI$2:$AI$167*_xlfn.NORM.DIST(CB$3,economics!$AK$2:$AK$167,economics!$AJ$2:$AJ$167,TRUE)),0)</f>
        <v/>
      </c>
      <c r="CC19" s="68">
        <f t="array" ref="CC19">IF($D19,SUMPRODUCT((economics!$AG$2:$AG$167=$B19)*(economics!$D$2:$D$167="process")*economics!$AI$2:$AI$167*_xlfn.NORM.DIST(CC$3,economics!$AK$2:$AK$167,economics!$AJ$2:$AJ$167,TRUE)),0)</f>
        <v/>
      </c>
      <c r="CD19" s="68">
        <f t="array" ref="CD19">IF($D19,SUMPRODUCT((economics!$AG$2:$AG$167=$B19)*(economics!$D$2:$D$167="process")*economics!$AI$2:$AI$167*_xlfn.NORM.DIST(CD$3,economics!$AK$2:$AK$167,economics!$AJ$2:$AJ$167,TRUE)),0)</f>
        <v/>
      </c>
      <c r="CE19" s="68">
        <f t="array" ref="CE19">IF($D19,SUMPRODUCT((economics!$AG$2:$AG$167=$B19)*(economics!$D$2:$D$167="process")*economics!$AI$2:$AI$167*_xlfn.NORM.DIST(CE$3,economics!$AK$2:$AK$167,economics!$AJ$2:$AJ$167,TRUE)),0)</f>
        <v/>
      </c>
      <c r="CF19" s="68">
        <f t="array" ref="CF19">IF($D19,SUMPRODUCT((economics!$AG$2:$AG$167=$B19)*(economics!$D$2:$D$167="process")*economics!$AI$2:$AI$167*_xlfn.NORM.DIST(CF$3,economics!$AK$2:$AK$167,economics!$AJ$2:$AJ$167,TRUE)),0)</f>
        <v/>
      </c>
      <c r="CG19" s="68">
        <f t="array" ref="CG19">IF($D19,SUMPRODUCT((economics!$AG$2:$AG$167=$B19)*(economics!$D$2:$D$167="process")*economics!$AI$2:$AI$167*_xlfn.NORM.DIST(CG$3,economics!$AK$2:$AK$167,economics!$AJ$2:$AJ$167,TRUE)),0)</f>
        <v/>
      </c>
      <c r="CH19" s="68">
        <f t="array" ref="CH19">IF($D19,SUMPRODUCT((economics!$AG$2:$AG$167=$B19)*(economics!$D$2:$D$167="process")*economics!$AI$2:$AI$167*_xlfn.NORM.DIST(CH$3,economics!$AK$2:$AK$167,economics!$AJ$2:$AJ$167,TRUE)),0)</f>
        <v/>
      </c>
    </row>
    <row r="20">
      <c r="A20">
        <f>WHRPbI!A18</f>
        <v/>
      </c>
      <c r="B20" t="n">
        <v>26</v>
      </c>
      <c r="C20" s="68">
        <f>WHRPbI!B18</f>
        <v/>
      </c>
      <c r="D20">
        <f>ISNUMBER(MATCH($B20,'energy base (MECS)'!$K$4:$K$9,0))</f>
        <v/>
      </c>
      <c r="E20" s="68">
        <f t="array" ref="E20">IF($D20,SUMPRODUCT((economics!$AG$2:$AG$167=$B20)*(economics!$D$2:$D$167="process")*economics!$AI$2:$AI$167*_xlfn.NORM.DIST(E$3,economics!$AK$2:$AK$167,economics!$AJ$2:$AJ$167,TRUE)),0)</f>
        <v/>
      </c>
      <c r="F20" s="68">
        <f t="array" ref="F20">IF($D20,SUMPRODUCT((economics!$AG$2:$AG$167=$B20)*(economics!$D$2:$D$167="process")*economics!$AI$2:$AI$167*_xlfn.NORM.DIST(F$3,economics!$AK$2:$AK$167,economics!$AJ$2:$AJ$167,TRUE)),0)</f>
        <v/>
      </c>
      <c r="G20" s="68">
        <f t="array" ref="G20">IF($D20,SUMPRODUCT((economics!$AG$2:$AG$167=$B20)*(economics!$D$2:$D$167="process")*economics!$AI$2:$AI$167*_xlfn.NORM.DIST(G$3,economics!$AK$2:$AK$167,economics!$AJ$2:$AJ$167,TRUE)),0)</f>
        <v/>
      </c>
      <c r="H20" s="68">
        <f t="array" ref="H20">IF($D20,SUMPRODUCT((economics!$AG$2:$AG$167=$B20)*(economics!$D$2:$D$167="process")*economics!$AI$2:$AI$167*_xlfn.NORM.DIST(H$3,economics!$AK$2:$AK$167,economics!$AJ$2:$AJ$167,TRUE)),0)</f>
        <v/>
      </c>
      <c r="I20" s="68">
        <f t="array" ref="I20">IF($D20,SUMPRODUCT((economics!$AG$2:$AG$167=$B20)*(economics!$D$2:$D$167="process")*economics!$AI$2:$AI$167*_xlfn.NORM.DIST(I$3,economics!$AK$2:$AK$167,economics!$AJ$2:$AJ$167,TRUE)),0)</f>
        <v/>
      </c>
      <c r="J20" s="68">
        <f t="array" ref="J20">IF($D20,SUMPRODUCT((economics!$AG$2:$AG$167=$B20)*(economics!$D$2:$D$167="process")*economics!$AI$2:$AI$167*_xlfn.NORM.DIST(J$3,economics!$AK$2:$AK$167,economics!$AJ$2:$AJ$167,TRUE)),0)</f>
        <v/>
      </c>
      <c r="K20" s="68">
        <f t="array" ref="K20">IF($D20,SUMPRODUCT((economics!$AG$2:$AG$167=$B20)*(economics!$D$2:$D$167="process")*economics!$AI$2:$AI$167*_xlfn.NORM.DIST(K$3,economics!$AK$2:$AK$167,economics!$AJ$2:$AJ$167,TRUE)),0)</f>
        <v/>
      </c>
      <c r="L20" s="68">
        <f t="array" ref="L20">IF($D20,SUMPRODUCT((economics!$AG$2:$AG$167=$B20)*(economics!$D$2:$D$167="process")*economics!$AI$2:$AI$167*_xlfn.NORM.DIST(L$3,economics!$AK$2:$AK$167,economics!$AJ$2:$AJ$167,TRUE)),0)</f>
        <v/>
      </c>
      <c r="M20" s="68">
        <f t="array" ref="M20">IF($D20,SUMPRODUCT((economics!$AG$2:$AG$167=$B20)*(economics!$D$2:$D$167="process")*economics!$AI$2:$AI$167*_xlfn.NORM.DIST(M$3,economics!$AK$2:$AK$167,economics!$AJ$2:$AJ$167,TRUE)),0)</f>
        <v/>
      </c>
      <c r="N20" s="68">
        <f t="array" ref="N20">IF($D20,SUMPRODUCT((economics!$AG$2:$AG$167=$B20)*(economics!$D$2:$D$167="process")*economics!$AI$2:$AI$167*_xlfn.NORM.DIST(N$3,economics!$AK$2:$AK$167,economics!$AJ$2:$AJ$167,TRUE)),0)</f>
        <v/>
      </c>
      <c r="O20" s="68">
        <f t="array" ref="O20">IF($D20,SUMPRODUCT((economics!$AG$2:$AG$167=$B20)*(economics!$D$2:$D$167="process")*economics!$AI$2:$AI$167*_xlfn.NORM.DIST(O$3,economics!$AK$2:$AK$167,economics!$AJ$2:$AJ$167,TRUE)),0)</f>
        <v/>
      </c>
      <c r="P20" s="68">
        <f t="array" ref="P20">IF($D20,SUMPRODUCT((economics!$AG$2:$AG$167=$B20)*(economics!$D$2:$D$167="process")*economics!$AI$2:$AI$167*_xlfn.NORM.DIST(P$3,economics!$AK$2:$AK$167,economics!$AJ$2:$AJ$167,TRUE)),0)</f>
        <v/>
      </c>
      <c r="Q20" s="68">
        <f t="array" ref="Q20">IF($D20,SUMPRODUCT((economics!$AG$2:$AG$167=$B20)*(economics!$D$2:$D$167="process")*economics!$AI$2:$AI$167*_xlfn.NORM.DIST(Q$3,economics!$AK$2:$AK$167,economics!$AJ$2:$AJ$167,TRUE)),0)</f>
        <v/>
      </c>
      <c r="R20" s="68">
        <f t="array" ref="R20">IF($D20,SUMPRODUCT((economics!$AG$2:$AG$167=$B20)*(economics!$D$2:$D$167="process")*economics!$AI$2:$AI$167*_xlfn.NORM.DIST(R$3,economics!$AK$2:$AK$167,economics!$AJ$2:$AJ$167,TRUE)),0)</f>
        <v/>
      </c>
      <c r="S20" s="68">
        <f t="array" ref="S20">IF($D20,SUMPRODUCT((economics!$AG$2:$AG$167=$B20)*(economics!$D$2:$D$167="process")*economics!$AI$2:$AI$167*_xlfn.NORM.DIST(S$3,economics!$AK$2:$AK$167,economics!$AJ$2:$AJ$167,TRUE)),0)</f>
        <v/>
      </c>
      <c r="T20" s="68">
        <f t="array" ref="T20">IF($D20,SUMPRODUCT((economics!$AG$2:$AG$167=$B20)*(economics!$D$2:$D$167="process")*economics!$AI$2:$AI$167*_xlfn.NORM.DIST(T$3,economics!$AK$2:$AK$167,economics!$AJ$2:$AJ$167,TRUE)),0)</f>
        <v/>
      </c>
      <c r="U20" s="68">
        <f t="array" ref="U20">IF($D20,SUMPRODUCT((economics!$AG$2:$AG$167=$B20)*(economics!$D$2:$D$167="process")*economics!$AI$2:$AI$167*_xlfn.NORM.DIST(U$3,economics!$AK$2:$AK$167,economics!$AJ$2:$AJ$167,TRUE)),0)</f>
        <v/>
      </c>
      <c r="V20" s="68">
        <f t="array" ref="V20">IF($D20,SUMPRODUCT((economics!$AG$2:$AG$167=$B20)*(economics!$D$2:$D$167="process")*economics!$AI$2:$AI$167*_xlfn.NORM.DIST(V$3,economics!$AK$2:$AK$167,economics!$AJ$2:$AJ$167,TRUE)),0)</f>
        <v/>
      </c>
      <c r="W20" s="68">
        <f t="array" ref="W20">IF($D20,SUMPRODUCT((economics!$AG$2:$AG$167=$B20)*(economics!$D$2:$D$167="process")*economics!$AI$2:$AI$167*_xlfn.NORM.DIST(W$3,economics!$AK$2:$AK$167,economics!$AJ$2:$AJ$167,TRUE)),0)</f>
        <v/>
      </c>
      <c r="X20" s="68">
        <f t="array" ref="X20">IF($D20,SUMPRODUCT((economics!$AG$2:$AG$167=$B20)*(economics!$D$2:$D$167="process")*economics!$AI$2:$AI$167*_xlfn.NORM.DIST(X$3,economics!$AK$2:$AK$167,economics!$AJ$2:$AJ$167,TRUE)),0)</f>
        <v/>
      </c>
      <c r="Y20" s="68">
        <f t="array" ref="Y20">IF($D20,SUMPRODUCT((economics!$AG$2:$AG$167=$B20)*(economics!$D$2:$D$167="process")*economics!$AI$2:$AI$167*_xlfn.NORM.DIST(Y$3,economics!$AK$2:$AK$167,economics!$AJ$2:$AJ$167,TRUE)),0)</f>
        <v/>
      </c>
      <c r="Z20" s="68">
        <f t="array" ref="Z20">IF($D20,SUMPRODUCT((economics!$AG$2:$AG$167=$B20)*(economics!$D$2:$D$167="process")*economics!$AI$2:$AI$167*_xlfn.NORM.DIST(Z$3,economics!$AK$2:$AK$167,economics!$AJ$2:$AJ$167,TRUE)),0)</f>
        <v/>
      </c>
      <c r="AA20" s="68">
        <f t="array" ref="AA20">IF($D20,SUMPRODUCT((economics!$AG$2:$AG$167=$B20)*(economics!$D$2:$D$167="process")*economics!$AI$2:$AI$167*_xlfn.NORM.DIST(AA$3,economics!$AK$2:$AK$167,economics!$AJ$2:$AJ$167,TRUE)),0)</f>
        <v/>
      </c>
      <c r="AB20" s="68">
        <f t="array" ref="AB20">IF($D20,SUMPRODUCT((economics!$AG$2:$AG$167=$B20)*(economics!$D$2:$D$167="process")*economics!$AI$2:$AI$167*_xlfn.NORM.DIST(AB$3,economics!$AK$2:$AK$167,economics!$AJ$2:$AJ$167,TRUE)),0)</f>
        <v/>
      </c>
      <c r="AC20" s="68">
        <f t="array" ref="AC20">IF($D20,SUMPRODUCT((economics!$AG$2:$AG$167=$B20)*(economics!$D$2:$D$167="process")*economics!$AI$2:$AI$167*_xlfn.NORM.DIST(AC$3,economics!$AK$2:$AK$167,economics!$AJ$2:$AJ$167,TRUE)),0)</f>
        <v/>
      </c>
      <c r="AD20" s="68">
        <f t="array" ref="AD20">IF($D20,SUMPRODUCT((economics!$AG$2:$AG$167=$B20)*(economics!$D$2:$D$167="process")*economics!$AI$2:$AI$167*_xlfn.NORM.DIST(AD$3,economics!$AK$2:$AK$167,economics!$AJ$2:$AJ$167,TRUE)),0)</f>
        <v/>
      </c>
      <c r="AE20" s="68">
        <f t="array" ref="AE20">IF($D20,SUMPRODUCT((economics!$AG$2:$AG$167=$B20)*(economics!$D$2:$D$167="process")*economics!$AI$2:$AI$167*_xlfn.NORM.DIST(AE$3,economics!$AK$2:$AK$167,economics!$AJ$2:$AJ$167,TRUE)),0)</f>
        <v/>
      </c>
      <c r="AF20" s="68">
        <f t="array" ref="AF20">IF($D20,SUMPRODUCT((economics!$AG$2:$AG$167=$B20)*(economics!$D$2:$D$167="process")*economics!$AI$2:$AI$167*_xlfn.NORM.DIST(AF$3,economics!$AK$2:$AK$167,economics!$AJ$2:$AJ$167,TRUE)),0)</f>
        <v/>
      </c>
      <c r="AG20" s="68">
        <f t="array" ref="AG20">IF($D20,SUMPRODUCT((economics!$AG$2:$AG$167=$B20)*(economics!$D$2:$D$167="process")*economics!$AI$2:$AI$167*_xlfn.NORM.DIST(AG$3,economics!$AK$2:$AK$167,economics!$AJ$2:$AJ$167,TRUE)),0)</f>
        <v/>
      </c>
      <c r="AH20" s="68">
        <f t="array" ref="AH20">IF($D20,SUMPRODUCT((economics!$AG$2:$AG$167=$B20)*(economics!$D$2:$D$167="process")*economics!$AI$2:$AI$167*_xlfn.NORM.DIST(AH$3,economics!$AK$2:$AK$167,economics!$AJ$2:$AJ$167,TRUE)),0)</f>
        <v/>
      </c>
      <c r="AI20" s="68">
        <f t="array" ref="AI20">IF($D20,SUMPRODUCT((economics!$AG$2:$AG$167=$B20)*(economics!$D$2:$D$167="process")*economics!$AI$2:$AI$167*_xlfn.NORM.DIST(AI$3,economics!$AK$2:$AK$167,economics!$AJ$2:$AJ$167,TRUE)),0)</f>
        <v/>
      </c>
      <c r="AJ20" s="68">
        <f t="array" ref="AJ20">IF($D20,SUMPRODUCT((economics!$AG$2:$AG$167=$B20)*(economics!$D$2:$D$167="process")*economics!$AI$2:$AI$167*_xlfn.NORM.DIST(AJ$3,economics!$AK$2:$AK$167,economics!$AJ$2:$AJ$167,TRUE)),0)</f>
        <v/>
      </c>
      <c r="AK20" s="68">
        <f t="array" ref="AK20">IF($D20,SUMPRODUCT((economics!$AG$2:$AG$167=$B20)*(economics!$D$2:$D$167="process")*economics!$AI$2:$AI$167*_xlfn.NORM.DIST(AK$3,economics!$AK$2:$AK$167,economics!$AJ$2:$AJ$167,TRUE)),0)</f>
        <v/>
      </c>
      <c r="AL20" s="68">
        <f t="array" ref="AL20">IF($D20,SUMPRODUCT((economics!$AG$2:$AG$167=$B20)*(economics!$D$2:$D$167="process")*economics!$AI$2:$AI$167*_xlfn.NORM.DIST(AL$3,economics!$AK$2:$AK$167,economics!$AJ$2:$AJ$167,TRUE)),0)</f>
        <v/>
      </c>
      <c r="AM20" s="68">
        <f t="array" ref="AM20">IF($D20,SUMPRODUCT((economics!$AG$2:$AG$167=$B20)*(economics!$D$2:$D$167="process")*economics!$AI$2:$AI$167*_xlfn.NORM.DIST(AM$3,economics!$AK$2:$AK$167,economics!$AJ$2:$AJ$167,TRUE)),0)</f>
        <v/>
      </c>
      <c r="AN20" s="68">
        <f t="array" ref="AN20">IF($D20,SUMPRODUCT((economics!$AG$2:$AG$167=$B20)*(economics!$D$2:$D$167="process")*economics!$AI$2:$AI$167*_xlfn.NORM.DIST(AN$3,economics!$AK$2:$AK$167,economics!$AJ$2:$AJ$167,TRUE)),0)</f>
        <v/>
      </c>
      <c r="AO20" s="68">
        <f t="array" ref="AO20">IF($D20,SUMPRODUCT((economics!$AG$2:$AG$167=$B20)*(economics!$D$2:$D$167="process")*economics!$AI$2:$AI$167*_xlfn.NORM.DIST(AO$3,economics!$AK$2:$AK$167,economics!$AJ$2:$AJ$167,TRUE)),0)</f>
        <v/>
      </c>
      <c r="AP20" s="68">
        <f t="array" ref="AP20">IF($D20,SUMPRODUCT((economics!$AG$2:$AG$167=$B20)*(economics!$D$2:$D$167="process")*economics!$AI$2:$AI$167*_xlfn.NORM.DIST(AP$3,economics!$AK$2:$AK$167,economics!$AJ$2:$AJ$167,TRUE)),0)</f>
        <v/>
      </c>
      <c r="AQ20" s="68">
        <f t="array" ref="AQ20">IF($D20,SUMPRODUCT((economics!$AG$2:$AG$167=$B20)*(economics!$D$2:$D$167="process")*economics!$AI$2:$AI$167*_xlfn.NORM.DIST(AQ$3,economics!$AK$2:$AK$167,economics!$AJ$2:$AJ$167,TRUE)),0)</f>
        <v/>
      </c>
      <c r="AR20" s="68">
        <f t="array" ref="AR20">IF($D20,SUMPRODUCT((economics!$AG$2:$AG$167=$B20)*(economics!$D$2:$D$167="process")*economics!$AI$2:$AI$167*_xlfn.NORM.DIST(AR$3,economics!$AK$2:$AK$167,economics!$AJ$2:$AJ$167,TRUE)),0)</f>
        <v/>
      </c>
      <c r="AS20" s="68">
        <f t="array" ref="AS20">IF($D20,SUMPRODUCT((economics!$AG$2:$AG$167=$B20)*(economics!$D$2:$D$167="process")*economics!$AI$2:$AI$167*_xlfn.NORM.DIST(AS$3,economics!$AK$2:$AK$167,economics!$AJ$2:$AJ$167,TRUE)),0)</f>
        <v/>
      </c>
      <c r="AT20" s="68">
        <f t="array" ref="AT20">IF($D20,SUMPRODUCT((economics!$AG$2:$AG$167=$B20)*(economics!$D$2:$D$167="process")*economics!$AI$2:$AI$167*_xlfn.NORM.DIST(AT$3,economics!$AK$2:$AK$167,economics!$AJ$2:$AJ$167,TRUE)),0)</f>
        <v/>
      </c>
      <c r="AU20" s="68">
        <f t="array" ref="AU20">IF($D20,SUMPRODUCT((economics!$AG$2:$AG$167=$B20)*(economics!$D$2:$D$167="process")*economics!$AI$2:$AI$167*_xlfn.NORM.DIST(AU$3,economics!$AK$2:$AK$167,economics!$AJ$2:$AJ$167,TRUE)),0)</f>
        <v/>
      </c>
      <c r="AV20" s="68">
        <f t="array" ref="AV20">IF($D20,SUMPRODUCT((economics!$AG$2:$AG$167=$B20)*(economics!$D$2:$D$167="process")*economics!$AI$2:$AI$167*_xlfn.NORM.DIST(AV$3,economics!$AK$2:$AK$167,economics!$AJ$2:$AJ$167,TRUE)),0)</f>
        <v/>
      </c>
      <c r="AW20" s="68">
        <f t="array" ref="AW20">IF($D20,SUMPRODUCT((economics!$AG$2:$AG$167=$B20)*(economics!$D$2:$D$167="process")*economics!$AI$2:$AI$167*_xlfn.NORM.DIST(AW$3,economics!$AK$2:$AK$167,economics!$AJ$2:$AJ$167,TRUE)),0)</f>
        <v/>
      </c>
      <c r="AX20" s="68">
        <f t="array" ref="AX20">IF($D20,SUMPRODUCT((economics!$AG$2:$AG$167=$B20)*(economics!$D$2:$D$167="process")*economics!$AI$2:$AI$167*_xlfn.NORM.DIST(AX$3,economics!$AK$2:$AK$167,economics!$AJ$2:$AJ$167,TRUE)),0)</f>
        <v/>
      </c>
      <c r="AY20" s="68">
        <f t="array" ref="AY20">IF($D20,SUMPRODUCT((economics!$AG$2:$AG$167=$B20)*(economics!$D$2:$D$167="process")*economics!$AI$2:$AI$167*_xlfn.NORM.DIST(AY$3,economics!$AK$2:$AK$167,economics!$AJ$2:$AJ$167,TRUE)),0)</f>
        <v/>
      </c>
      <c r="AZ20" s="68">
        <f t="array" ref="AZ20">IF($D20,SUMPRODUCT((economics!$AG$2:$AG$167=$B20)*(economics!$D$2:$D$167="process")*economics!$AI$2:$AI$167*_xlfn.NORM.DIST(AZ$3,economics!$AK$2:$AK$167,economics!$AJ$2:$AJ$167,TRUE)),0)</f>
        <v/>
      </c>
      <c r="BA20" s="68">
        <f t="array" ref="BA20">IF($D20,SUMPRODUCT((economics!$AG$2:$AG$167=$B20)*(economics!$D$2:$D$167="process")*economics!$AI$2:$AI$167*_xlfn.NORM.DIST(BA$3,economics!$AK$2:$AK$167,economics!$AJ$2:$AJ$167,TRUE)),0)</f>
        <v/>
      </c>
      <c r="BB20" s="68">
        <f t="array" ref="BB20">IF($D20,SUMPRODUCT((economics!$AG$2:$AG$167=$B20)*(economics!$D$2:$D$167="process")*economics!$AI$2:$AI$167*_xlfn.NORM.DIST(BB$3,economics!$AK$2:$AK$167,economics!$AJ$2:$AJ$167,TRUE)),0)</f>
        <v/>
      </c>
      <c r="BC20" s="68">
        <f t="array" ref="BC20">IF($D20,SUMPRODUCT((economics!$AG$2:$AG$167=$B20)*(economics!$D$2:$D$167="process")*economics!$AI$2:$AI$167*_xlfn.NORM.DIST(BC$3,economics!$AK$2:$AK$167,economics!$AJ$2:$AJ$167,TRUE)),0)</f>
        <v/>
      </c>
      <c r="BD20" s="68">
        <f t="array" ref="BD20">IF($D20,SUMPRODUCT((economics!$AG$2:$AG$167=$B20)*(economics!$D$2:$D$167="process")*economics!$AI$2:$AI$167*_xlfn.NORM.DIST(BD$3,economics!$AK$2:$AK$167,economics!$AJ$2:$AJ$167,TRUE)),0)</f>
        <v/>
      </c>
      <c r="BE20" s="68">
        <f t="array" ref="BE20">IF($D20,SUMPRODUCT((economics!$AG$2:$AG$167=$B20)*(economics!$D$2:$D$167="process")*economics!$AI$2:$AI$167*_xlfn.NORM.DIST(BE$3,economics!$AK$2:$AK$167,economics!$AJ$2:$AJ$167,TRUE)),0)</f>
        <v/>
      </c>
      <c r="BF20" s="68">
        <f t="array" ref="BF20">IF($D20,SUMPRODUCT((economics!$AG$2:$AG$167=$B20)*(economics!$D$2:$D$167="process")*economics!$AI$2:$AI$167*_xlfn.NORM.DIST(BF$3,economics!$AK$2:$AK$167,economics!$AJ$2:$AJ$167,TRUE)),0)</f>
        <v/>
      </c>
      <c r="BG20" s="68">
        <f t="array" ref="BG20">IF($D20,SUMPRODUCT((economics!$AG$2:$AG$167=$B20)*(economics!$D$2:$D$167="process")*economics!$AI$2:$AI$167*_xlfn.NORM.DIST(BG$3,economics!$AK$2:$AK$167,economics!$AJ$2:$AJ$167,TRUE)),0)</f>
        <v/>
      </c>
      <c r="BH20" s="68">
        <f t="array" ref="BH20">IF($D20,SUMPRODUCT((economics!$AG$2:$AG$167=$B20)*(economics!$D$2:$D$167="process")*economics!$AI$2:$AI$167*_xlfn.NORM.DIST(BH$3,economics!$AK$2:$AK$167,economics!$AJ$2:$AJ$167,TRUE)),0)</f>
        <v/>
      </c>
      <c r="BI20" s="68">
        <f t="array" ref="BI20">IF($D20,SUMPRODUCT((economics!$AG$2:$AG$167=$B20)*(economics!$D$2:$D$167="process")*economics!$AI$2:$AI$167*_xlfn.NORM.DIST(BI$3,economics!$AK$2:$AK$167,economics!$AJ$2:$AJ$167,TRUE)),0)</f>
        <v/>
      </c>
      <c r="BJ20" s="68">
        <f t="array" ref="BJ20">IF($D20,SUMPRODUCT((economics!$AG$2:$AG$167=$B20)*(economics!$D$2:$D$167="process")*economics!$AI$2:$AI$167*_xlfn.NORM.DIST(BJ$3,economics!$AK$2:$AK$167,economics!$AJ$2:$AJ$167,TRUE)),0)</f>
        <v/>
      </c>
      <c r="BK20" s="68">
        <f t="array" ref="BK20">IF($D20,SUMPRODUCT((economics!$AG$2:$AG$167=$B20)*(economics!$D$2:$D$167="process")*economics!$AI$2:$AI$167*_xlfn.NORM.DIST(BK$3,economics!$AK$2:$AK$167,economics!$AJ$2:$AJ$167,TRUE)),0)</f>
        <v/>
      </c>
      <c r="BL20" s="68">
        <f t="array" ref="BL20">IF($D20,SUMPRODUCT((economics!$AG$2:$AG$167=$B20)*(economics!$D$2:$D$167="process")*economics!$AI$2:$AI$167*_xlfn.NORM.DIST(BL$3,economics!$AK$2:$AK$167,economics!$AJ$2:$AJ$167,TRUE)),0)</f>
        <v/>
      </c>
      <c r="BM20" s="68">
        <f t="array" ref="BM20">IF($D20,SUMPRODUCT((economics!$AG$2:$AG$167=$B20)*(economics!$D$2:$D$167="process")*economics!$AI$2:$AI$167*_xlfn.NORM.DIST(BM$3,economics!$AK$2:$AK$167,economics!$AJ$2:$AJ$167,TRUE)),0)</f>
        <v/>
      </c>
      <c r="BN20" s="68">
        <f t="array" ref="BN20">IF($D20,SUMPRODUCT((economics!$AG$2:$AG$167=$B20)*(economics!$D$2:$D$167="process")*economics!$AI$2:$AI$167*_xlfn.NORM.DIST(BN$3,economics!$AK$2:$AK$167,economics!$AJ$2:$AJ$167,TRUE)),0)</f>
        <v/>
      </c>
      <c r="BO20" s="68">
        <f t="array" ref="BO20">IF($D20,SUMPRODUCT((economics!$AG$2:$AG$167=$B20)*(economics!$D$2:$D$167="process")*economics!$AI$2:$AI$167*_xlfn.NORM.DIST(BO$3,economics!$AK$2:$AK$167,economics!$AJ$2:$AJ$167,TRUE)),0)</f>
        <v/>
      </c>
      <c r="BP20" s="68">
        <f t="array" ref="BP20">IF($D20,SUMPRODUCT((economics!$AG$2:$AG$167=$B20)*(economics!$D$2:$D$167="process")*economics!$AI$2:$AI$167*_xlfn.NORM.DIST(BP$3,economics!$AK$2:$AK$167,economics!$AJ$2:$AJ$167,TRUE)),0)</f>
        <v/>
      </c>
      <c r="BQ20" s="68">
        <f t="array" ref="BQ20">IF($D20,SUMPRODUCT((economics!$AG$2:$AG$167=$B20)*(economics!$D$2:$D$167="process")*economics!$AI$2:$AI$167*_xlfn.NORM.DIST(BQ$3,economics!$AK$2:$AK$167,economics!$AJ$2:$AJ$167,TRUE)),0)</f>
        <v/>
      </c>
      <c r="BR20" s="68">
        <f t="array" ref="BR20">IF($D20,SUMPRODUCT((economics!$AG$2:$AG$167=$B20)*(economics!$D$2:$D$167="process")*economics!$AI$2:$AI$167*_xlfn.NORM.DIST(BR$3,economics!$AK$2:$AK$167,economics!$AJ$2:$AJ$167,TRUE)),0)</f>
        <v/>
      </c>
      <c r="BS20" s="68">
        <f t="array" ref="BS20">IF($D20,SUMPRODUCT((economics!$AG$2:$AG$167=$B20)*(economics!$D$2:$D$167="process")*economics!$AI$2:$AI$167*_xlfn.NORM.DIST(BS$3,economics!$AK$2:$AK$167,economics!$AJ$2:$AJ$167,TRUE)),0)</f>
        <v/>
      </c>
      <c r="BT20" s="68">
        <f t="array" ref="BT20">IF($D20,SUMPRODUCT((economics!$AG$2:$AG$167=$B20)*(economics!$D$2:$D$167="process")*economics!$AI$2:$AI$167*_xlfn.NORM.DIST(BT$3,economics!$AK$2:$AK$167,economics!$AJ$2:$AJ$167,TRUE)),0)</f>
        <v/>
      </c>
      <c r="BU20" s="68">
        <f t="array" ref="BU20">IF($D20,SUMPRODUCT((economics!$AG$2:$AG$167=$B20)*(economics!$D$2:$D$167="process")*economics!$AI$2:$AI$167*_xlfn.NORM.DIST(BU$3,economics!$AK$2:$AK$167,economics!$AJ$2:$AJ$167,TRUE)),0)</f>
        <v/>
      </c>
      <c r="BV20" s="68">
        <f t="array" ref="BV20">IF($D20,SUMPRODUCT((economics!$AG$2:$AG$167=$B20)*(economics!$D$2:$D$167="process")*economics!$AI$2:$AI$167*_xlfn.NORM.DIST(BV$3,economics!$AK$2:$AK$167,economics!$AJ$2:$AJ$167,TRUE)),0)</f>
        <v/>
      </c>
      <c r="BW20" s="68">
        <f t="array" ref="BW20">IF($D20,SUMPRODUCT((economics!$AG$2:$AG$167=$B20)*(economics!$D$2:$D$167="process")*economics!$AI$2:$AI$167*_xlfn.NORM.DIST(BW$3,economics!$AK$2:$AK$167,economics!$AJ$2:$AJ$167,TRUE)),0)</f>
        <v/>
      </c>
      <c r="BX20" s="68">
        <f t="array" ref="BX20">IF($D20,SUMPRODUCT((economics!$AG$2:$AG$167=$B20)*(economics!$D$2:$D$167="process")*economics!$AI$2:$AI$167*_xlfn.NORM.DIST(BX$3,economics!$AK$2:$AK$167,economics!$AJ$2:$AJ$167,TRUE)),0)</f>
        <v/>
      </c>
      <c r="BY20" s="68">
        <f t="array" ref="BY20">IF($D20,SUMPRODUCT((economics!$AG$2:$AG$167=$B20)*(economics!$D$2:$D$167="process")*economics!$AI$2:$AI$167*_xlfn.NORM.DIST(BY$3,economics!$AK$2:$AK$167,economics!$AJ$2:$AJ$167,TRUE)),0)</f>
        <v/>
      </c>
      <c r="BZ20" s="68">
        <f t="array" ref="BZ20">IF($D20,SUMPRODUCT((economics!$AG$2:$AG$167=$B20)*(economics!$D$2:$D$167="process")*economics!$AI$2:$AI$167*_xlfn.NORM.DIST(BZ$3,economics!$AK$2:$AK$167,economics!$AJ$2:$AJ$167,TRUE)),0)</f>
        <v/>
      </c>
      <c r="CA20" s="68">
        <f t="array" ref="CA20">IF($D20,SUMPRODUCT((economics!$AG$2:$AG$167=$B20)*(economics!$D$2:$D$167="process")*economics!$AI$2:$AI$167*_xlfn.NORM.DIST(CA$3,economics!$AK$2:$AK$167,economics!$AJ$2:$AJ$167,TRUE)),0)</f>
        <v/>
      </c>
      <c r="CB20" s="68">
        <f t="array" ref="CB20">IF($D20,SUMPRODUCT((economics!$AG$2:$AG$167=$B20)*(economics!$D$2:$D$167="process")*economics!$AI$2:$AI$167*_xlfn.NORM.DIST(CB$3,economics!$AK$2:$AK$167,economics!$AJ$2:$AJ$167,TRUE)),0)</f>
        <v/>
      </c>
      <c r="CC20" s="68">
        <f t="array" ref="CC20">IF($D20,SUMPRODUCT((economics!$AG$2:$AG$167=$B20)*(economics!$D$2:$D$167="process")*economics!$AI$2:$AI$167*_xlfn.NORM.DIST(CC$3,economics!$AK$2:$AK$167,economics!$AJ$2:$AJ$167,TRUE)),0)</f>
        <v/>
      </c>
      <c r="CD20" s="68">
        <f t="array" ref="CD20">IF($D20,SUMPRODUCT((economics!$AG$2:$AG$167=$B20)*(economics!$D$2:$D$167="process")*economics!$AI$2:$AI$167*_xlfn.NORM.DIST(CD$3,economics!$AK$2:$AK$167,economics!$AJ$2:$AJ$167,TRUE)),0)</f>
        <v/>
      </c>
      <c r="CE20" s="68">
        <f t="array" ref="CE20">IF($D20,SUMPRODUCT((economics!$AG$2:$AG$167=$B20)*(economics!$D$2:$D$167="process")*economics!$AI$2:$AI$167*_xlfn.NORM.DIST(CE$3,economics!$AK$2:$AK$167,economics!$AJ$2:$AJ$167,TRUE)),0)</f>
        <v/>
      </c>
      <c r="CF20" s="68">
        <f t="array" ref="CF20">IF($D20,SUMPRODUCT((economics!$AG$2:$AG$167=$B20)*(economics!$D$2:$D$167="process")*economics!$AI$2:$AI$167*_xlfn.NORM.DIST(CF$3,economics!$AK$2:$AK$167,economics!$AJ$2:$AJ$167,TRUE)),0)</f>
        <v/>
      </c>
      <c r="CG20" s="68">
        <f t="array" ref="CG20">IF($D20,SUMPRODUCT((economics!$AG$2:$AG$167=$B20)*(economics!$D$2:$D$167="process")*economics!$AI$2:$AI$167*_xlfn.NORM.DIST(CG$3,economics!$AK$2:$AK$167,economics!$AJ$2:$AJ$167,TRUE)),0)</f>
        <v/>
      </c>
      <c r="CH20" s="68">
        <f t="array" ref="CH20">IF($D20,SUMPRODUCT((economics!$AG$2:$AG$167=$B20)*(economics!$D$2:$D$167="process")*economics!$AI$2:$AI$167*_xlfn.NORM.DIST(CH$3,economics!$AK$2:$AK$167,economics!$AJ$2:$AJ$167,TRUE)),0)</f>
        <v/>
      </c>
    </row>
    <row r="21">
      <c r="A21">
        <f>WHRPbI!A19</f>
        <v/>
      </c>
      <c r="B21" t="n">
        <v>27</v>
      </c>
      <c r="C21" s="68">
        <f>WHRPbI!B19</f>
        <v/>
      </c>
      <c r="D21">
        <f>ISNUMBER(MATCH($B21,'energy base (MECS)'!$K$4:$K$9,0))</f>
        <v/>
      </c>
      <c r="E21" s="68">
        <f t="array" ref="E21">IF($D21,SUMPRODUCT((economics!$AG$2:$AG$167=$B21)*(economics!$D$2:$D$167="process")*economics!$AI$2:$AI$167*_xlfn.NORM.DIST(E$3,economics!$AK$2:$AK$167,economics!$AJ$2:$AJ$167,TRUE)),0)</f>
        <v/>
      </c>
      <c r="F21" s="68">
        <f t="array" ref="F21">IF($D21,SUMPRODUCT((economics!$AG$2:$AG$167=$B21)*(economics!$D$2:$D$167="process")*economics!$AI$2:$AI$167*_xlfn.NORM.DIST(F$3,economics!$AK$2:$AK$167,economics!$AJ$2:$AJ$167,TRUE)),0)</f>
        <v/>
      </c>
      <c r="G21" s="68">
        <f t="array" ref="G21">IF($D21,SUMPRODUCT((economics!$AG$2:$AG$167=$B21)*(economics!$D$2:$D$167="process")*economics!$AI$2:$AI$167*_xlfn.NORM.DIST(G$3,economics!$AK$2:$AK$167,economics!$AJ$2:$AJ$167,TRUE)),0)</f>
        <v/>
      </c>
      <c r="H21" s="68">
        <f t="array" ref="H21">IF($D21,SUMPRODUCT((economics!$AG$2:$AG$167=$B21)*(economics!$D$2:$D$167="process")*economics!$AI$2:$AI$167*_xlfn.NORM.DIST(H$3,economics!$AK$2:$AK$167,economics!$AJ$2:$AJ$167,TRUE)),0)</f>
        <v/>
      </c>
      <c r="I21" s="68">
        <f t="array" ref="I21">IF($D21,SUMPRODUCT((economics!$AG$2:$AG$167=$B21)*(economics!$D$2:$D$167="process")*economics!$AI$2:$AI$167*_xlfn.NORM.DIST(I$3,economics!$AK$2:$AK$167,economics!$AJ$2:$AJ$167,TRUE)),0)</f>
        <v/>
      </c>
      <c r="J21" s="68">
        <f t="array" ref="J21">IF($D21,SUMPRODUCT((economics!$AG$2:$AG$167=$B21)*(economics!$D$2:$D$167="process")*economics!$AI$2:$AI$167*_xlfn.NORM.DIST(J$3,economics!$AK$2:$AK$167,economics!$AJ$2:$AJ$167,TRUE)),0)</f>
        <v/>
      </c>
      <c r="K21" s="68">
        <f t="array" ref="K21">IF($D21,SUMPRODUCT((economics!$AG$2:$AG$167=$B21)*(economics!$D$2:$D$167="process")*economics!$AI$2:$AI$167*_xlfn.NORM.DIST(K$3,economics!$AK$2:$AK$167,economics!$AJ$2:$AJ$167,TRUE)),0)</f>
        <v/>
      </c>
      <c r="L21" s="68">
        <f t="array" ref="L21">IF($D21,SUMPRODUCT((economics!$AG$2:$AG$167=$B21)*(economics!$D$2:$D$167="process")*economics!$AI$2:$AI$167*_xlfn.NORM.DIST(L$3,economics!$AK$2:$AK$167,economics!$AJ$2:$AJ$167,TRUE)),0)</f>
        <v/>
      </c>
      <c r="M21" s="68">
        <f t="array" ref="M21">IF($D21,SUMPRODUCT((economics!$AG$2:$AG$167=$B21)*(economics!$D$2:$D$167="process")*economics!$AI$2:$AI$167*_xlfn.NORM.DIST(M$3,economics!$AK$2:$AK$167,economics!$AJ$2:$AJ$167,TRUE)),0)</f>
        <v/>
      </c>
      <c r="N21" s="68">
        <f t="array" ref="N21">IF($D21,SUMPRODUCT((economics!$AG$2:$AG$167=$B21)*(economics!$D$2:$D$167="process")*economics!$AI$2:$AI$167*_xlfn.NORM.DIST(N$3,economics!$AK$2:$AK$167,economics!$AJ$2:$AJ$167,TRUE)),0)</f>
        <v/>
      </c>
      <c r="O21" s="68">
        <f t="array" ref="O21">IF($D21,SUMPRODUCT((economics!$AG$2:$AG$167=$B21)*(economics!$D$2:$D$167="process")*economics!$AI$2:$AI$167*_xlfn.NORM.DIST(O$3,economics!$AK$2:$AK$167,economics!$AJ$2:$AJ$167,TRUE)),0)</f>
        <v/>
      </c>
      <c r="P21" s="68">
        <f t="array" ref="P21">IF($D21,SUMPRODUCT((economics!$AG$2:$AG$167=$B21)*(economics!$D$2:$D$167="process")*economics!$AI$2:$AI$167*_xlfn.NORM.DIST(P$3,economics!$AK$2:$AK$167,economics!$AJ$2:$AJ$167,TRUE)),0)</f>
        <v/>
      </c>
      <c r="Q21" s="68">
        <f t="array" ref="Q21">IF($D21,SUMPRODUCT((economics!$AG$2:$AG$167=$B21)*(economics!$D$2:$D$167="process")*economics!$AI$2:$AI$167*_xlfn.NORM.DIST(Q$3,economics!$AK$2:$AK$167,economics!$AJ$2:$AJ$167,TRUE)),0)</f>
        <v/>
      </c>
      <c r="R21" s="68">
        <f t="array" ref="R21">IF($D21,SUMPRODUCT((economics!$AG$2:$AG$167=$B21)*(economics!$D$2:$D$167="process")*economics!$AI$2:$AI$167*_xlfn.NORM.DIST(R$3,economics!$AK$2:$AK$167,economics!$AJ$2:$AJ$167,TRUE)),0)</f>
        <v/>
      </c>
      <c r="S21" s="68">
        <f t="array" ref="S21">IF($D21,SUMPRODUCT((economics!$AG$2:$AG$167=$B21)*(economics!$D$2:$D$167="process")*economics!$AI$2:$AI$167*_xlfn.NORM.DIST(S$3,economics!$AK$2:$AK$167,economics!$AJ$2:$AJ$167,TRUE)),0)</f>
        <v/>
      </c>
      <c r="T21" s="68">
        <f t="array" ref="T21">IF($D21,SUMPRODUCT((economics!$AG$2:$AG$167=$B21)*(economics!$D$2:$D$167="process")*economics!$AI$2:$AI$167*_xlfn.NORM.DIST(T$3,economics!$AK$2:$AK$167,economics!$AJ$2:$AJ$167,TRUE)),0)</f>
        <v/>
      </c>
      <c r="U21" s="68">
        <f t="array" ref="U21">IF($D21,SUMPRODUCT((economics!$AG$2:$AG$167=$B21)*(economics!$D$2:$D$167="process")*economics!$AI$2:$AI$167*_xlfn.NORM.DIST(U$3,economics!$AK$2:$AK$167,economics!$AJ$2:$AJ$167,TRUE)),0)</f>
        <v/>
      </c>
      <c r="V21" s="68">
        <f t="array" ref="V21">IF($D21,SUMPRODUCT((economics!$AG$2:$AG$167=$B21)*(economics!$D$2:$D$167="process")*economics!$AI$2:$AI$167*_xlfn.NORM.DIST(V$3,economics!$AK$2:$AK$167,economics!$AJ$2:$AJ$167,TRUE)),0)</f>
        <v/>
      </c>
      <c r="W21" s="68">
        <f t="array" ref="W21">IF($D21,SUMPRODUCT((economics!$AG$2:$AG$167=$B21)*(economics!$D$2:$D$167="process")*economics!$AI$2:$AI$167*_xlfn.NORM.DIST(W$3,economics!$AK$2:$AK$167,economics!$AJ$2:$AJ$167,TRUE)),0)</f>
        <v/>
      </c>
      <c r="X21" s="68">
        <f t="array" ref="X21">IF($D21,SUMPRODUCT((economics!$AG$2:$AG$167=$B21)*(economics!$D$2:$D$167="process")*economics!$AI$2:$AI$167*_xlfn.NORM.DIST(X$3,economics!$AK$2:$AK$167,economics!$AJ$2:$AJ$167,TRUE)),0)</f>
        <v/>
      </c>
      <c r="Y21" s="68">
        <f t="array" ref="Y21">IF($D21,SUMPRODUCT((economics!$AG$2:$AG$167=$B21)*(economics!$D$2:$D$167="process")*economics!$AI$2:$AI$167*_xlfn.NORM.DIST(Y$3,economics!$AK$2:$AK$167,economics!$AJ$2:$AJ$167,TRUE)),0)</f>
        <v/>
      </c>
      <c r="Z21" s="68">
        <f t="array" ref="Z21">IF($D21,SUMPRODUCT((economics!$AG$2:$AG$167=$B21)*(economics!$D$2:$D$167="process")*economics!$AI$2:$AI$167*_xlfn.NORM.DIST(Z$3,economics!$AK$2:$AK$167,economics!$AJ$2:$AJ$167,TRUE)),0)</f>
        <v/>
      </c>
      <c r="AA21" s="68">
        <f t="array" ref="AA21">IF($D21,SUMPRODUCT((economics!$AG$2:$AG$167=$B21)*(economics!$D$2:$D$167="process")*economics!$AI$2:$AI$167*_xlfn.NORM.DIST(AA$3,economics!$AK$2:$AK$167,economics!$AJ$2:$AJ$167,TRUE)),0)</f>
        <v/>
      </c>
      <c r="AB21" s="68">
        <f t="array" ref="AB21">IF($D21,SUMPRODUCT((economics!$AG$2:$AG$167=$B21)*(economics!$D$2:$D$167="process")*economics!$AI$2:$AI$167*_xlfn.NORM.DIST(AB$3,economics!$AK$2:$AK$167,economics!$AJ$2:$AJ$167,TRUE)),0)</f>
        <v/>
      </c>
      <c r="AC21" s="68">
        <f t="array" ref="AC21">IF($D21,SUMPRODUCT((economics!$AG$2:$AG$167=$B21)*(economics!$D$2:$D$167="process")*economics!$AI$2:$AI$167*_xlfn.NORM.DIST(AC$3,economics!$AK$2:$AK$167,economics!$AJ$2:$AJ$167,TRUE)),0)</f>
        <v/>
      </c>
      <c r="AD21" s="68">
        <f t="array" ref="AD21">IF($D21,SUMPRODUCT((economics!$AG$2:$AG$167=$B21)*(economics!$D$2:$D$167="process")*economics!$AI$2:$AI$167*_xlfn.NORM.DIST(AD$3,economics!$AK$2:$AK$167,economics!$AJ$2:$AJ$167,TRUE)),0)</f>
        <v/>
      </c>
      <c r="AE21" s="68">
        <f t="array" ref="AE21">IF($D21,SUMPRODUCT((economics!$AG$2:$AG$167=$B21)*(economics!$D$2:$D$167="process")*economics!$AI$2:$AI$167*_xlfn.NORM.DIST(AE$3,economics!$AK$2:$AK$167,economics!$AJ$2:$AJ$167,TRUE)),0)</f>
        <v/>
      </c>
      <c r="AF21" s="68">
        <f t="array" ref="AF21">IF($D21,SUMPRODUCT((economics!$AG$2:$AG$167=$B21)*(economics!$D$2:$D$167="process")*economics!$AI$2:$AI$167*_xlfn.NORM.DIST(AF$3,economics!$AK$2:$AK$167,economics!$AJ$2:$AJ$167,TRUE)),0)</f>
        <v/>
      </c>
      <c r="AG21" s="68">
        <f t="array" ref="AG21">IF($D21,SUMPRODUCT((economics!$AG$2:$AG$167=$B21)*(economics!$D$2:$D$167="process")*economics!$AI$2:$AI$167*_xlfn.NORM.DIST(AG$3,economics!$AK$2:$AK$167,economics!$AJ$2:$AJ$167,TRUE)),0)</f>
        <v/>
      </c>
      <c r="AH21" s="68">
        <f t="array" ref="AH21">IF($D21,SUMPRODUCT((economics!$AG$2:$AG$167=$B21)*(economics!$D$2:$D$167="process")*economics!$AI$2:$AI$167*_xlfn.NORM.DIST(AH$3,economics!$AK$2:$AK$167,economics!$AJ$2:$AJ$167,TRUE)),0)</f>
        <v/>
      </c>
      <c r="AI21" s="68">
        <f t="array" ref="AI21">IF($D21,SUMPRODUCT((economics!$AG$2:$AG$167=$B21)*(economics!$D$2:$D$167="process")*economics!$AI$2:$AI$167*_xlfn.NORM.DIST(AI$3,economics!$AK$2:$AK$167,economics!$AJ$2:$AJ$167,TRUE)),0)</f>
        <v/>
      </c>
      <c r="AJ21" s="68">
        <f t="array" ref="AJ21">IF($D21,SUMPRODUCT((economics!$AG$2:$AG$167=$B21)*(economics!$D$2:$D$167="process")*economics!$AI$2:$AI$167*_xlfn.NORM.DIST(AJ$3,economics!$AK$2:$AK$167,economics!$AJ$2:$AJ$167,TRUE)),0)</f>
        <v/>
      </c>
      <c r="AK21" s="68">
        <f t="array" ref="AK21">IF($D21,SUMPRODUCT((economics!$AG$2:$AG$167=$B21)*(economics!$D$2:$D$167="process")*economics!$AI$2:$AI$167*_xlfn.NORM.DIST(AK$3,economics!$AK$2:$AK$167,economics!$AJ$2:$AJ$167,TRUE)),0)</f>
        <v/>
      </c>
      <c r="AL21" s="68">
        <f t="array" ref="AL21">IF($D21,SUMPRODUCT((economics!$AG$2:$AG$167=$B21)*(economics!$D$2:$D$167="process")*economics!$AI$2:$AI$167*_xlfn.NORM.DIST(AL$3,economics!$AK$2:$AK$167,economics!$AJ$2:$AJ$167,TRUE)),0)</f>
        <v/>
      </c>
      <c r="AM21" s="68">
        <f t="array" ref="AM21">IF($D21,SUMPRODUCT((economics!$AG$2:$AG$167=$B21)*(economics!$D$2:$D$167="process")*economics!$AI$2:$AI$167*_xlfn.NORM.DIST(AM$3,economics!$AK$2:$AK$167,economics!$AJ$2:$AJ$167,TRUE)),0)</f>
        <v/>
      </c>
      <c r="AN21" s="68">
        <f t="array" ref="AN21">IF($D21,SUMPRODUCT((economics!$AG$2:$AG$167=$B21)*(economics!$D$2:$D$167="process")*economics!$AI$2:$AI$167*_xlfn.NORM.DIST(AN$3,economics!$AK$2:$AK$167,economics!$AJ$2:$AJ$167,TRUE)),0)</f>
        <v/>
      </c>
      <c r="AO21" s="68">
        <f t="array" ref="AO21">IF($D21,SUMPRODUCT((economics!$AG$2:$AG$167=$B21)*(economics!$D$2:$D$167="process")*economics!$AI$2:$AI$167*_xlfn.NORM.DIST(AO$3,economics!$AK$2:$AK$167,economics!$AJ$2:$AJ$167,TRUE)),0)</f>
        <v/>
      </c>
      <c r="AP21" s="68">
        <f t="array" ref="AP21">IF($D21,SUMPRODUCT((economics!$AG$2:$AG$167=$B21)*(economics!$D$2:$D$167="process")*economics!$AI$2:$AI$167*_xlfn.NORM.DIST(AP$3,economics!$AK$2:$AK$167,economics!$AJ$2:$AJ$167,TRUE)),0)</f>
        <v/>
      </c>
      <c r="AQ21" s="68">
        <f t="array" ref="AQ21">IF($D21,SUMPRODUCT((economics!$AG$2:$AG$167=$B21)*(economics!$D$2:$D$167="process")*economics!$AI$2:$AI$167*_xlfn.NORM.DIST(AQ$3,economics!$AK$2:$AK$167,economics!$AJ$2:$AJ$167,TRUE)),0)</f>
        <v/>
      </c>
      <c r="AR21" s="68">
        <f t="array" ref="AR21">IF($D21,SUMPRODUCT((economics!$AG$2:$AG$167=$B21)*(economics!$D$2:$D$167="process")*economics!$AI$2:$AI$167*_xlfn.NORM.DIST(AR$3,economics!$AK$2:$AK$167,economics!$AJ$2:$AJ$167,TRUE)),0)</f>
        <v/>
      </c>
      <c r="AS21" s="68">
        <f t="array" ref="AS21">IF($D21,SUMPRODUCT((economics!$AG$2:$AG$167=$B21)*(economics!$D$2:$D$167="process")*economics!$AI$2:$AI$167*_xlfn.NORM.DIST(AS$3,economics!$AK$2:$AK$167,economics!$AJ$2:$AJ$167,TRUE)),0)</f>
        <v/>
      </c>
      <c r="AT21" s="68">
        <f t="array" ref="AT21">IF($D21,SUMPRODUCT((economics!$AG$2:$AG$167=$B21)*(economics!$D$2:$D$167="process")*economics!$AI$2:$AI$167*_xlfn.NORM.DIST(AT$3,economics!$AK$2:$AK$167,economics!$AJ$2:$AJ$167,TRUE)),0)</f>
        <v/>
      </c>
      <c r="AU21" s="68">
        <f t="array" ref="AU21">IF($D21,SUMPRODUCT((economics!$AG$2:$AG$167=$B21)*(economics!$D$2:$D$167="process")*economics!$AI$2:$AI$167*_xlfn.NORM.DIST(AU$3,economics!$AK$2:$AK$167,economics!$AJ$2:$AJ$167,TRUE)),0)</f>
        <v/>
      </c>
      <c r="AV21" s="68">
        <f t="array" ref="AV21">IF($D21,SUMPRODUCT((economics!$AG$2:$AG$167=$B21)*(economics!$D$2:$D$167="process")*economics!$AI$2:$AI$167*_xlfn.NORM.DIST(AV$3,economics!$AK$2:$AK$167,economics!$AJ$2:$AJ$167,TRUE)),0)</f>
        <v/>
      </c>
      <c r="AW21" s="68">
        <f t="array" ref="AW21">IF($D21,SUMPRODUCT((economics!$AG$2:$AG$167=$B21)*(economics!$D$2:$D$167="process")*economics!$AI$2:$AI$167*_xlfn.NORM.DIST(AW$3,economics!$AK$2:$AK$167,economics!$AJ$2:$AJ$167,TRUE)),0)</f>
        <v/>
      </c>
      <c r="AX21" s="68">
        <f t="array" ref="AX21">IF($D21,SUMPRODUCT((economics!$AG$2:$AG$167=$B21)*(economics!$D$2:$D$167="process")*economics!$AI$2:$AI$167*_xlfn.NORM.DIST(AX$3,economics!$AK$2:$AK$167,economics!$AJ$2:$AJ$167,TRUE)),0)</f>
        <v/>
      </c>
      <c r="AY21" s="68">
        <f t="array" ref="AY21">IF($D21,SUMPRODUCT((economics!$AG$2:$AG$167=$B21)*(economics!$D$2:$D$167="process")*economics!$AI$2:$AI$167*_xlfn.NORM.DIST(AY$3,economics!$AK$2:$AK$167,economics!$AJ$2:$AJ$167,TRUE)),0)</f>
        <v/>
      </c>
      <c r="AZ21" s="68">
        <f t="array" ref="AZ21">IF($D21,SUMPRODUCT((economics!$AG$2:$AG$167=$B21)*(economics!$D$2:$D$167="process")*economics!$AI$2:$AI$167*_xlfn.NORM.DIST(AZ$3,economics!$AK$2:$AK$167,economics!$AJ$2:$AJ$167,TRUE)),0)</f>
        <v/>
      </c>
      <c r="BA21" s="68">
        <f t="array" ref="BA21">IF($D21,SUMPRODUCT((economics!$AG$2:$AG$167=$B21)*(economics!$D$2:$D$167="process")*economics!$AI$2:$AI$167*_xlfn.NORM.DIST(BA$3,economics!$AK$2:$AK$167,economics!$AJ$2:$AJ$167,TRUE)),0)</f>
        <v/>
      </c>
      <c r="BB21" s="68">
        <f t="array" ref="BB21">IF($D21,SUMPRODUCT((economics!$AG$2:$AG$167=$B21)*(economics!$D$2:$D$167="process")*economics!$AI$2:$AI$167*_xlfn.NORM.DIST(BB$3,economics!$AK$2:$AK$167,economics!$AJ$2:$AJ$167,TRUE)),0)</f>
        <v/>
      </c>
      <c r="BC21" s="68">
        <f t="array" ref="BC21">IF($D21,SUMPRODUCT((economics!$AG$2:$AG$167=$B21)*(economics!$D$2:$D$167="process")*economics!$AI$2:$AI$167*_xlfn.NORM.DIST(BC$3,economics!$AK$2:$AK$167,economics!$AJ$2:$AJ$167,TRUE)),0)</f>
        <v/>
      </c>
      <c r="BD21" s="68">
        <f t="array" ref="BD21">IF($D21,SUMPRODUCT((economics!$AG$2:$AG$167=$B21)*(economics!$D$2:$D$167="process")*economics!$AI$2:$AI$167*_xlfn.NORM.DIST(BD$3,economics!$AK$2:$AK$167,economics!$AJ$2:$AJ$167,TRUE)),0)</f>
        <v/>
      </c>
      <c r="BE21" s="68">
        <f t="array" ref="BE21">IF($D21,SUMPRODUCT((economics!$AG$2:$AG$167=$B21)*(economics!$D$2:$D$167="process")*economics!$AI$2:$AI$167*_xlfn.NORM.DIST(BE$3,economics!$AK$2:$AK$167,economics!$AJ$2:$AJ$167,TRUE)),0)</f>
        <v/>
      </c>
      <c r="BF21" s="68">
        <f t="array" ref="BF21">IF($D21,SUMPRODUCT((economics!$AG$2:$AG$167=$B21)*(economics!$D$2:$D$167="process")*economics!$AI$2:$AI$167*_xlfn.NORM.DIST(BF$3,economics!$AK$2:$AK$167,economics!$AJ$2:$AJ$167,TRUE)),0)</f>
        <v/>
      </c>
      <c r="BG21" s="68">
        <f t="array" ref="BG21">IF($D21,SUMPRODUCT((economics!$AG$2:$AG$167=$B21)*(economics!$D$2:$D$167="process")*economics!$AI$2:$AI$167*_xlfn.NORM.DIST(BG$3,economics!$AK$2:$AK$167,economics!$AJ$2:$AJ$167,TRUE)),0)</f>
        <v/>
      </c>
      <c r="BH21" s="68">
        <f t="array" ref="BH21">IF($D21,SUMPRODUCT((economics!$AG$2:$AG$167=$B21)*(economics!$D$2:$D$167="process")*economics!$AI$2:$AI$167*_xlfn.NORM.DIST(BH$3,economics!$AK$2:$AK$167,economics!$AJ$2:$AJ$167,TRUE)),0)</f>
        <v/>
      </c>
      <c r="BI21" s="68">
        <f t="array" ref="BI21">IF($D21,SUMPRODUCT((economics!$AG$2:$AG$167=$B21)*(economics!$D$2:$D$167="process")*economics!$AI$2:$AI$167*_xlfn.NORM.DIST(BI$3,economics!$AK$2:$AK$167,economics!$AJ$2:$AJ$167,TRUE)),0)</f>
        <v/>
      </c>
      <c r="BJ21" s="68">
        <f t="array" ref="BJ21">IF($D21,SUMPRODUCT((economics!$AG$2:$AG$167=$B21)*(economics!$D$2:$D$167="process")*economics!$AI$2:$AI$167*_xlfn.NORM.DIST(BJ$3,economics!$AK$2:$AK$167,economics!$AJ$2:$AJ$167,TRUE)),0)</f>
        <v/>
      </c>
      <c r="BK21" s="68">
        <f t="array" ref="BK21">IF($D21,SUMPRODUCT((economics!$AG$2:$AG$167=$B21)*(economics!$D$2:$D$167="process")*economics!$AI$2:$AI$167*_xlfn.NORM.DIST(BK$3,economics!$AK$2:$AK$167,economics!$AJ$2:$AJ$167,TRUE)),0)</f>
        <v/>
      </c>
      <c r="BL21" s="68">
        <f t="array" ref="BL21">IF($D21,SUMPRODUCT((economics!$AG$2:$AG$167=$B21)*(economics!$D$2:$D$167="process")*economics!$AI$2:$AI$167*_xlfn.NORM.DIST(BL$3,economics!$AK$2:$AK$167,economics!$AJ$2:$AJ$167,TRUE)),0)</f>
        <v/>
      </c>
      <c r="BM21" s="68">
        <f t="array" ref="BM21">IF($D21,SUMPRODUCT((economics!$AG$2:$AG$167=$B21)*(economics!$D$2:$D$167="process")*economics!$AI$2:$AI$167*_xlfn.NORM.DIST(BM$3,economics!$AK$2:$AK$167,economics!$AJ$2:$AJ$167,TRUE)),0)</f>
        <v/>
      </c>
      <c r="BN21" s="68">
        <f t="array" ref="BN21">IF($D21,SUMPRODUCT((economics!$AG$2:$AG$167=$B21)*(economics!$D$2:$D$167="process")*economics!$AI$2:$AI$167*_xlfn.NORM.DIST(BN$3,economics!$AK$2:$AK$167,economics!$AJ$2:$AJ$167,TRUE)),0)</f>
        <v/>
      </c>
      <c r="BO21" s="68">
        <f t="array" ref="BO21">IF($D21,SUMPRODUCT((economics!$AG$2:$AG$167=$B21)*(economics!$D$2:$D$167="process")*economics!$AI$2:$AI$167*_xlfn.NORM.DIST(BO$3,economics!$AK$2:$AK$167,economics!$AJ$2:$AJ$167,TRUE)),0)</f>
        <v/>
      </c>
      <c r="BP21" s="68">
        <f t="array" ref="BP21">IF($D21,SUMPRODUCT((economics!$AG$2:$AG$167=$B21)*(economics!$D$2:$D$167="process")*economics!$AI$2:$AI$167*_xlfn.NORM.DIST(BP$3,economics!$AK$2:$AK$167,economics!$AJ$2:$AJ$167,TRUE)),0)</f>
        <v/>
      </c>
      <c r="BQ21" s="68">
        <f t="array" ref="BQ21">IF($D21,SUMPRODUCT((economics!$AG$2:$AG$167=$B21)*(economics!$D$2:$D$167="process")*economics!$AI$2:$AI$167*_xlfn.NORM.DIST(BQ$3,economics!$AK$2:$AK$167,economics!$AJ$2:$AJ$167,TRUE)),0)</f>
        <v/>
      </c>
      <c r="BR21" s="68">
        <f t="array" ref="BR21">IF($D21,SUMPRODUCT((economics!$AG$2:$AG$167=$B21)*(economics!$D$2:$D$167="process")*economics!$AI$2:$AI$167*_xlfn.NORM.DIST(BR$3,economics!$AK$2:$AK$167,economics!$AJ$2:$AJ$167,TRUE)),0)</f>
        <v/>
      </c>
      <c r="BS21" s="68">
        <f t="array" ref="BS21">IF($D21,SUMPRODUCT((economics!$AG$2:$AG$167=$B21)*(economics!$D$2:$D$167="process")*economics!$AI$2:$AI$167*_xlfn.NORM.DIST(BS$3,economics!$AK$2:$AK$167,economics!$AJ$2:$AJ$167,TRUE)),0)</f>
        <v/>
      </c>
      <c r="BT21" s="68">
        <f t="array" ref="BT21">IF($D21,SUMPRODUCT((economics!$AG$2:$AG$167=$B21)*(economics!$D$2:$D$167="process")*economics!$AI$2:$AI$167*_xlfn.NORM.DIST(BT$3,economics!$AK$2:$AK$167,economics!$AJ$2:$AJ$167,TRUE)),0)</f>
        <v/>
      </c>
      <c r="BU21" s="68">
        <f t="array" ref="BU21">IF($D21,SUMPRODUCT((economics!$AG$2:$AG$167=$B21)*(economics!$D$2:$D$167="process")*economics!$AI$2:$AI$167*_xlfn.NORM.DIST(BU$3,economics!$AK$2:$AK$167,economics!$AJ$2:$AJ$167,TRUE)),0)</f>
        <v/>
      </c>
      <c r="BV21" s="68">
        <f t="array" ref="BV21">IF($D21,SUMPRODUCT((economics!$AG$2:$AG$167=$B21)*(economics!$D$2:$D$167="process")*economics!$AI$2:$AI$167*_xlfn.NORM.DIST(BV$3,economics!$AK$2:$AK$167,economics!$AJ$2:$AJ$167,TRUE)),0)</f>
        <v/>
      </c>
      <c r="BW21" s="68">
        <f t="array" ref="BW21">IF($D21,SUMPRODUCT((economics!$AG$2:$AG$167=$B21)*(economics!$D$2:$D$167="process")*economics!$AI$2:$AI$167*_xlfn.NORM.DIST(BW$3,economics!$AK$2:$AK$167,economics!$AJ$2:$AJ$167,TRUE)),0)</f>
        <v/>
      </c>
      <c r="BX21" s="68">
        <f t="array" ref="BX21">IF($D21,SUMPRODUCT((economics!$AG$2:$AG$167=$B21)*(economics!$D$2:$D$167="process")*economics!$AI$2:$AI$167*_xlfn.NORM.DIST(BX$3,economics!$AK$2:$AK$167,economics!$AJ$2:$AJ$167,TRUE)),0)</f>
        <v/>
      </c>
      <c r="BY21" s="68">
        <f t="array" ref="BY21">IF($D21,SUMPRODUCT((economics!$AG$2:$AG$167=$B21)*(economics!$D$2:$D$167="process")*economics!$AI$2:$AI$167*_xlfn.NORM.DIST(BY$3,economics!$AK$2:$AK$167,economics!$AJ$2:$AJ$167,TRUE)),0)</f>
        <v/>
      </c>
      <c r="BZ21" s="68">
        <f t="array" ref="BZ21">IF($D21,SUMPRODUCT((economics!$AG$2:$AG$167=$B21)*(economics!$D$2:$D$167="process")*economics!$AI$2:$AI$167*_xlfn.NORM.DIST(BZ$3,economics!$AK$2:$AK$167,economics!$AJ$2:$AJ$167,TRUE)),0)</f>
        <v/>
      </c>
      <c r="CA21" s="68">
        <f t="array" ref="CA21">IF($D21,SUMPRODUCT((economics!$AG$2:$AG$167=$B21)*(economics!$D$2:$D$167="process")*economics!$AI$2:$AI$167*_xlfn.NORM.DIST(CA$3,economics!$AK$2:$AK$167,economics!$AJ$2:$AJ$167,TRUE)),0)</f>
        <v/>
      </c>
      <c r="CB21" s="68">
        <f t="array" ref="CB21">IF($D21,SUMPRODUCT((economics!$AG$2:$AG$167=$B21)*(economics!$D$2:$D$167="process")*economics!$AI$2:$AI$167*_xlfn.NORM.DIST(CB$3,economics!$AK$2:$AK$167,economics!$AJ$2:$AJ$167,TRUE)),0)</f>
        <v/>
      </c>
      <c r="CC21" s="68">
        <f t="array" ref="CC21">IF($D21,SUMPRODUCT((economics!$AG$2:$AG$167=$B21)*(economics!$D$2:$D$167="process")*economics!$AI$2:$AI$167*_xlfn.NORM.DIST(CC$3,economics!$AK$2:$AK$167,economics!$AJ$2:$AJ$167,TRUE)),0)</f>
        <v/>
      </c>
      <c r="CD21" s="68">
        <f t="array" ref="CD21">IF($D21,SUMPRODUCT((economics!$AG$2:$AG$167=$B21)*(economics!$D$2:$D$167="process")*economics!$AI$2:$AI$167*_xlfn.NORM.DIST(CD$3,economics!$AK$2:$AK$167,economics!$AJ$2:$AJ$167,TRUE)),0)</f>
        <v/>
      </c>
      <c r="CE21" s="68">
        <f t="array" ref="CE21">IF($D21,SUMPRODUCT((economics!$AG$2:$AG$167=$B21)*(economics!$D$2:$D$167="process")*economics!$AI$2:$AI$167*_xlfn.NORM.DIST(CE$3,economics!$AK$2:$AK$167,economics!$AJ$2:$AJ$167,TRUE)),0)</f>
        <v/>
      </c>
      <c r="CF21" s="68">
        <f t="array" ref="CF21">IF($D21,SUMPRODUCT((economics!$AG$2:$AG$167=$B21)*(economics!$D$2:$D$167="process")*economics!$AI$2:$AI$167*_xlfn.NORM.DIST(CF$3,economics!$AK$2:$AK$167,economics!$AJ$2:$AJ$167,TRUE)),0)</f>
        <v/>
      </c>
      <c r="CG21" s="68">
        <f t="array" ref="CG21">IF($D21,SUMPRODUCT((economics!$AG$2:$AG$167=$B21)*(economics!$D$2:$D$167="process")*economics!$AI$2:$AI$167*_xlfn.NORM.DIST(CG$3,economics!$AK$2:$AK$167,economics!$AJ$2:$AJ$167,TRUE)),0)</f>
        <v/>
      </c>
      <c r="CH21" s="68">
        <f t="array" ref="CH21">IF($D21,SUMPRODUCT((economics!$AG$2:$AG$167=$B21)*(economics!$D$2:$D$167="process")*economics!$AI$2:$AI$167*_xlfn.NORM.DIST(CH$3,economics!$AK$2:$AK$167,economics!$AJ$2:$AJ$167,TRUE)),0)</f>
        <v/>
      </c>
    </row>
    <row r="22">
      <c r="A22">
        <f>WHRPbI!A20</f>
        <v/>
      </c>
      <c r="B22" t="n">
        <v>28</v>
      </c>
      <c r="C22" s="68">
        <f>WHRPbI!B20</f>
        <v/>
      </c>
      <c r="D22">
        <f>ISNUMBER(MATCH($B22,'energy base (MECS)'!$K$4:$K$9,0))</f>
        <v/>
      </c>
      <c r="E22" s="68">
        <f t="array" ref="E22">IF($D22,SUMPRODUCT((economics!$AG$2:$AG$167=$B22)*(economics!$D$2:$D$167="process")*economics!$AI$2:$AI$167*_xlfn.NORM.DIST(E$3,economics!$AK$2:$AK$167,economics!$AJ$2:$AJ$167,TRUE)),0)</f>
        <v/>
      </c>
      <c r="F22" s="68">
        <f t="array" ref="F22">IF($D22,SUMPRODUCT((economics!$AG$2:$AG$167=$B22)*(economics!$D$2:$D$167="process")*economics!$AI$2:$AI$167*_xlfn.NORM.DIST(F$3,economics!$AK$2:$AK$167,economics!$AJ$2:$AJ$167,TRUE)),0)</f>
        <v/>
      </c>
      <c r="G22" s="68">
        <f t="array" ref="G22">IF($D22,SUMPRODUCT((economics!$AG$2:$AG$167=$B22)*(economics!$D$2:$D$167="process")*economics!$AI$2:$AI$167*_xlfn.NORM.DIST(G$3,economics!$AK$2:$AK$167,economics!$AJ$2:$AJ$167,TRUE)),0)</f>
        <v/>
      </c>
      <c r="H22" s="68">
        <f t="array" ref="H22">IF($D22,SUMPRODUCT((economics!$AG$2:$AG$167=$B22)*(economics!$D$2:$D$167="process")*economics!$AI$2:$AI$167*_xlfn.NORM.DIST(H$3,economics!$AK$2:$AK$167,economics!$AJ$2:$AJ$167,TRUE)),0)</f>
        <v/>
      </c>
      <c r="I22" s="68">
        <f t="array" ref="I22">IF($D22,SUMPRODUCT((economics!$AG$2:$AG$167=$B22)*(economics!$D$2:$D$167="process")*economics!$AI$2:$AI$167*_xlfn.NORM.DIST(I$3,economics!$AK$2:$AK$167,economics!$AJ$2:$AJ$167,TRUE)),0)</f>
        <v/>
      </c>
      <c r="J22" s="68">
        <f t="array" ref="J22">IF($D22,SUMPRODUCT((economics!$AG$2:$AG$167=$B22)*(economics!$D$2:$D$167="process")*economics!$AI$2:$AI$167*_xlfn.NORM.DIST(J$3,economics!$AK$2:$AK$167,economics!$AJ$2:$AJ$167,TRUE)),0)</f>
        <v/>
      </c>
      <c r="K22" s="68">
        <f t="array" ref="K22">IF($D22,SUMPRODUCT((economics!$AG$2:$AG$167=$B22)*(economics!$D$2:$D$167="process")*economics!$AI$2:$AI$167*_xlfn.NORM.DIST(K$3,economics!$AK$2:$AK$167,economics!$AJ$2:$AJ$167,TRUE)),0)</f>
        <v/>
      </c>
      <c r="L22" s="68">
        <f t="array" ref="L22">IF($D22,SUMPRODUCT((economics!$AG$2:$AG$167=$B22)*(economics!$D$2:$D$167="process")*economics!$AI$2:$AI$167*_xlfn.NORM.DIST(L$3,economics!$AK$2:$AK$167,economics!$AJ$2:$AJ$167,TRUE)),0)</f>
        <v/>
      </c>
      <c r="M22" s="68">
        <f t="array" ref="M22">IF($D22,SUMPRODUCT((economics!$AG$2:$AG$167=$B22)*(economics!$D$2:$D$167="process")*economics!$AI$2:$AI$167*_xlfn.NORM.DIST(M$3,economics!$AK$2:$AK$167,economics!$AJ$2:$AJ$167,TRUE)),0)</f>
        <v/>
      </c>
      <c r="N22" s="68">
        <f t="array" ref="N22">IF($D22,SUMPRODUCT((economics!$AG$2:$AG$167=$B22)*(economics!$D$2:$D$167="process")*economics!$AI$2:$AI$167*_xlfn.NORM.DIST(N$3,economics!$AK$2:$AK$167,economics!$AJ$2:$AJ$167,TRUE)),0)</f>
        <v/>
      </c>
      <c r="O22" s="68">
        <f t="array" ref="O22">IF($D22,SUMPRODUCT((economics!$AG$2:$AG$167=$B22)*(economics!$D$2:$D$167="process")*economics!$AI$2:$AI$167*_xlfn.NORM.DIST(O$3,economics!$AK$2:$AK$167,economics!$AJ$2:$AJ$167,TRUE)),0)</f>
        <v/>
      </c>
      <c r="P22" s="68">
        <f t="array" ref="P22">IF($D22,SUMPRODUCT((economics!$AG$2:$AG$167=$B22)*(economics!$D$2:$D$167="process")*economics!$AI$2:$AI$167*_xlfn.NORM.DIST(P$3,economics!$AK$2:$AK$167,economics!$AJ$2:$AJ$167,TRUE)),0)</f>
        <v/>
      </c>
      <c r="Q22" s="68">
        <f t="array" ref="Q22">IF($D22,SUMPRODUCT((economics!$AG$2:$AG$167=$B22)*(economics!$D$2:$D$167="process")*economics!$AI$2:$AI$167*_xlfn.NORM.DIST(Q$3,economics!$AK$2:$AK$167,economics!$AJ$2:$AJ$167,TRUE)),0)</f>
        <v/>
      </c>
      <c r="R22" s="68">
        <f t="array" ref="R22">IF($D22,SUMPRODUCT((economics!$AG$2:$AG$167=$B22)*(economics!$D$2:$D$167="process")*economics!$AI$2:$AI$167*_xlfn.NORM.DIST(R$3,economics!$AK$2:$AK$167,economics!$AJ$2:$AJ$167,TRUE)),0)</f>
        <v/>
      </c>
      <c r="S22" s="68">
        <f t="array" ref="S22">IF($D22,SUMPRODUCT((economics!$AG$2:$AG$167=$B22)*(economics!$D$2:$D$167="process")*economics!$AI$2:$AI$167*_xlfn.NORM.DIST(S$3,economics!$AK$2:$AK$167,economics!$AJ$2:$AJ$167,TRUE)),0)</f>
        <v/>
      </c>
      <c r="T22" s="68">
        <f t="array" ref="T22">IF($D22,SUMPRODUCT((economics!$AG$2:$AG$167=$B22)*(economics!$D$2:$D$167="process")*economics!$AI$2:$AI$167*_xlfn.NORM.DIST(T$3,economics!$AK$2:$AK$167,economics!$AJ$2:$AJ$167,TRUE)),0)</f>
        <v/>
      </c>
      <c r="U22" s="68">
        <f t="array" ref="U22">IF($D22,SUMPRODUCT((economics!$AG$2:$AG$167=$B22)*(economics!$D$2:$D$167="process")*economics!$AI$2:$AI$167*_xlfn.NORM.DIST(U$3,economics!$AK$2:$AK$167,economics!$AJ$2:$AJ$167,TRUE)),0)</f>
        <v/>
      </c>
      <c r="V22" s="68">
        <f t="array" ref="V22">IF($D22,SUMPRODUCT((economics!$AG$2:$AG$167=$B22)*(economics!$D$2:$D$167="process")*economics!$AI$2:$AI$167*_xlfn.NORM.DIST(V$3,economics!$AK$2:$AK$167,economics!$AJ$2:$AJ$167,TRUE)),0)</f>
        <v/>
      </c>
      <c r="W22" s="68">
        <f t="array" ref="W22">IF($D22,SUMPRODUCT((economics!$AG$2:$AG$167=$B22)*(economics!$D$2:$D$167="process")*economics!$AI$2:$AI$167*_xlfn.NORM.DIST(W$3,economics!$AK$2:$AK$167,economics!$AJ$2:$AJ$167,TRUE)),0)</f>
        <v/>
      </c>
      <c r="X22" s="68">
        <f t="array" ref="X22">IF($D22,SUMPRODUCT((economics!$AG$2:$AG$167=$B22)*(economics!$D$2:$D$167="process")*economics!$AI$2:$AI$167*_xlfn.NORM.DIST(X$3,economics!$AK$2:$AK$167,economics!$AJ$2:$AJ$167,TRUE)),0)</f>
        <v/>
      </c>
      <c r="Y22" s="68">
        <f t="array" ref="Y22">IF($D22,SUMPRODUCT((economics!$AG$2:$AG$167=$B22)*(economics!$D$2:$D$167="process")*economics!$AI$2:$AI$167*_xlfn.NORM.DIST(Y$3,economics!$AK$2:$AK$167,economics!$AJ$2:$AJ$167,TRUE)),0)</f>
        <v/>
      </c>
      <c r="Z22" s="68">
        <f t="array" ref="Z22">IF($D22,SUMPRODUCT((economics!$AG$2:$AG$167=$B22)*(economics!$D$2:$D$167="process")*economics!$AI$2:$AI$167*_xlfn.NORM.DIST(Z$3,economics!$AK$2:$AK$167,economics!$AJ$2:$AJ$167,TRUE)),0)</f>
        <v/>
      </c>
      <c r="AA22" s="68">
        <f t="array" ref="AA22">IF($D22,SUMPRODUCT((economics!$AG$2:$AG$167=$B22)*(economics!$D$2:$D$167="process")*economics!$AI$2:$AI$167*_xlfn.NORM.DIST(AA$3,economics!$AK$2:$AK$167,economics!$AJ$2:$AJ$167,TRUE)),0)</f>
        <v/>
      </c>
      <c r="AB22" s="68">
        <f t="array" ref="AB22">IF($D22,SUMPRODUCT((economics!$AG$2:$AG$167=$B22)*(economics!$D$2:$D$167="process")*economics!$AI$2:$AI$167*_xlfn.NORM.DIST(AB$3,economics!$AK$2:$AK$167,economics!$AJ$2:$AJ$167,TRUE)),0)</f>
        <v/>
      </c>
      <c r="AC22" s="68">
        <f t="array" ref="AC22">IF($D22,SUMPRODUCT((economics!$AG$2:$AG$167=$B22)*(economics!$D$2:$D$167="process")*economics!$AI$2:$AI$167*_xlfn.NORM.DIST(AC$3,economics!$AK$2:$AK$167,economics!$AJ$2:$AJ$167,TRUE)),0)</f>
        <v/>
      </c>
      <c r="AD22" s="68">
        <f t="array" ref="AD22">IF($D22,SUMPRODUCT((economics!$AG$2:$AG$167=$B22)*(economics!$D$2:$D$167="process")*economics!$AI$2:$AI$167*_xlfn.NORM.DIST(AD$3,economics!$AK$2:$AK$167,economics!$AJ$2:$AJ$167,TRUE)),0)</f>
        <v/>
      </c>
      <c r="AE22" s="68">
        <f t="array" ref="AE22">IF($D22,SUMPRODUCT((economics!$AG$2:$AG$167=$B22)*(economics!$D$2:$D$167="process")*economics!$AI$2:$AI$167*_xlfn.NORM.DIST(AE$3,economics!$AK$2:$AK$167,economics!$AJ$2:$AJ$167,TRUE)),0)</f>
        <v/>
      </c>
      <c r="AF22" s="68">
        <f t="array" ref="AF22">IF($D22,SUMPRODUCT((economics!$AG$2:$AG$167=$B22)*(economics!$D$2:$D$167="process")*economics!$AI$2:$AI$167*_xlfn.NORM.DIST(AF$3,economics!$AK$2:$AK$167,economics!$AJ$2:$AJ$167,TRUE)),0)</f>
        <v/>
      </c>
      <c r="AG22" s="68">
        <f t="array" ref="AG22">IF($D22,SUMPRODUCT((economics!$AG$2:$AG$167=$B22)*(economics!$D$2:$D$167="process")*economics!$AI$2:$AI$167*_xlfn.NORM.DIST(AG$3,economics!$AK$2:$AK$167,economics!$AJ$2:$AJ$167,TRUE)),0)</f>
        <v/>
      </c>
      <c r="AH22" s="68">
        <f t="array" ref="AH22">IF($D22,SUMPRODUCT((economics!$AG$2:$AG$167=$B22)*(economics!$D$2:$D$167="process")*economics!$AI$2:$AI$167*_xlfn.NORM.DIST(AH$3,economics!$AK$2:$AK$167,economics!$AJ$2:$AJ$167,TRUE)),0)</f>
        <v/>
      </c>
      <c r="AI22" s="68">
        <f t="array" ref="AI22">IF($D22,SUMPRODUCT((economics!$AG$2:$AG$167=$B22)*(economics!$D$2:$D$167="process")*economics!$AI$2:$AI$167*_xlfn.NORM.DIST(AI$3,economics!$AK$2:$AK$167,economics!$AJ$2:$AJ$167,TRUE)),0)</f>
        <v/>
      </c>
      <c r="AJ22" s="68">
        <f t="array" ref="AJ22">IF($D22,SUMPRODUCT((economics!$AG$2:$AG$167=$B22)*(economics!$D$2:$D$167="process")*economics!$AI$2:$AI$167*_xlfn.NORM.DIST(AJ$3,economics!$AK$2:$AK$167,economics!$AJ$2:$AJ$167,TRUE)),0)</f>
        <v/>
      </c>
      <c r="AK22" s="68">
        <f t="array" ref="AK22">IF($D22,SUMPRODUCT((economics!$AG$2:$AG$167=$B22)*(economics!$D$2:$D$167="process")*economics!$AI$2:$AI$167*_xlfn.NORM.DIST(AK$3,economics!$AK$2:$AK$167,economics!$AJ$2:$AJ$167,TRUE)),0)</f>
        <v/>
      </c>
      <c r="AL22" s="68">
        <f t="array" ref="AL22">IF($D22,SUMPRODUCT((economics!$AG$2:$AG$167=$B22)*(economics!$D$2:$D$167="process")*economics!$AI$2:$AI$167*_xlfn.NORM.DIST(AL$3,economics!$AK$2:$AK$167,economics!$AJ$2:$AJ$167,TRUE)),0)</f>
        <v/>
      </c>
      <c r="AM22" s="68">
        <f t="array" ref="AM22">IF($D22,SUMPRODUCT((economics!$AG$2:$AG$167=$B22)*(economics!$D$2:$D$167="process")*economics!$AI$2:$AI$167*_xlfn.NORM.DIST(AM$3,economics!$AK$2:$AK$167,economics!$AJ$2:$AJ$167,TRUE)),0)</f>
        <v/>
      </c>
      <c r="AN22" s="68">
        <f t="array" ref="AN22">IF($D22,SUMPRODUCT((economics!$AG$2:$AG$167=$B22)*(economics!$D$2:$D$167="process")*economics!$AI$2:$AI$167*_xlfn.NORM.DIST(AN$3,economics!$AK$2:$AK$167,economics!$AJ$2:$AJ$167,TRUE)),0)</f>
        <v/>
      </c>
      <c r="AO22" s="68">
        <f t="array" ref="AO22">IF($D22,SUMPRODUCT((economics!$AG$2:$AG$167=$B22)*(economics!$D$2:$D$167="process")*economics!$AI$2:$AI$167*_xlfn.NORM.DIST(AO$3,economics!$AK$2:$AK$167,economics!$AJ$2:$AJ$167,TRUE)),0)</f>
        <v/>
      </c>
      <c r="AP22" s="68">
        <f t="array" ref="AP22">IF($D22,SUMPRODUCT((economics!$AG$2:$AG$167=$B22)*(economics!$D$2:$D$167="process")*economics!$AI$2:$AI$167*_xlfn.NORM.DIST(AP$3,economics!$AK$2:$AK$167,economics!$AJ$2:$AJ$167,TRUE)),0)</f>
        <v/>
      </c>
      <c r="AQ22" s="68">
        <f t="array" ref="AQ22">IF($D22,SUMPRODUCT((economics!$AG$2:$AG$167=$B22)*(economics!$D$2:$D$167="process")*economics!$AI$2:$AI$167*_xlfn.NORM.DIST(AQ$3,economics!$AK$2:$AK$167,economics!$AJ$2:$AJ$167,TRUE)),0)</f>
        <v/>
      </c>
      <c r="AR22" s="68">
        <f t="array" ref="AR22">IF($D22,SUMPRODUCT((economics!$AG$2:$AG$167=$B22)*(economics!$D$2:$D$167="process")*economics!$AI$2:$AI$167*_xlfn.NORM.DIST(AR$3,economics!$AK$2:$AK$167,economics!$AJ$2:$AJ$167,TRUE)),0)</f>
        <v/>
      </c>
      <c r="AS22" s="68">
        <f t="array" ref="AS22">IF($D22,SUMPRODUCT((economics!$AG$2:$AG$167=$B22)*(economics!$D$2:$D$167="process")*economics!$AI$2:$AI$167*_xlfn.NORM.DIST(AS$3,economics!$AK$2:$AK$167,economics!$AJ$2:$AJ$167,TRUE)),0)</f>
        <v/>
      </c>
      <c r="AT22" s="68">
        <f t="array" ref="AT22">IF($D22,SUMPRODUCT((economics!$AG$2:$AG$167=$B22)*(economics!$D$2:$D$167="process")*economics!$AI$2:$AI$167*_xlfn.NORM.DIST(AT$3,economics!$AK$2:$AK$167,economics!$AJ$2:$AJ$167,TRUE)),0)</f>
        <v/>
      </c>
      <c r="AU22" s="68">
        <f t="array" ref="AU22">IF($D22,SUMPRODUCT((economics!$AG$2:$AG$167=$B22)*(economics!$D$2:$D$167="process")*economics!$AI$2:$AI$167*_xlfn.NORM.DIST(AU$3,economics!$AK$2:$AK$167,economics!$AJ$2:$AJ$167,TRUE)),0)</f>
        <v/>
      </c>
      <c r="AV22" s="68">
        <f t="array" ref="AV22">IF($D22,SUMPRODUCT((economics!$AG$2:$AG$167=$B22)*(economics!$D$2:$D$167="process")*economics!$AI$2:$AI$167*_xlfn.NORM.DIST(AV$3,economics!$AK$2:$AK$167,economics!$AJ$2:$AJ$167,TRUE)),0)</f>
        <v/>
      </c>
      <c r="AW22" s="68">
        <f t="array" ref="AW22">IF($D22,SUMPRODUCT((economics!$AG$2:$AG$167=$B22)*(economics!$D$2:$D$167="process")*economics!$AI$2:$AI$167*_xlfn.NORM.DIST(AW$3,economics!$AK$2:$AK$167,economics!$AJ$2:$AJ$167,TRUE)),0)</f>
        <v/>
      </c>
      <c r="AX22" s="68">
        <f t="array" ref="AX22">IF($D22,SUMPRODUCT((economics!$AG$2:$AG$167=$B22)*(economics!$D$2:$D$167="process")*economics!$AI$2:$AI$167*_xlfn.NORM.DIST(AX$3,economics!$AK$2:$AK$167,economics!$AJ$2:$AJ$167,TRUE)),0)</f>
        <v/>
      </c>
      <c r="AY22" s="68">
        <f t="array" ref="AY22">IF($D22,SUMPRODUCT((economics!$AG$2:$AG$167=$B22)*(economics!$D$2:$D$167="process")*economics!$AI$2:$AI$167*_xlfn.NORM.DIST(AY$3,economics!$AK$2:$AK$167,economics!$AJ$2:$AJ$167,TRUE)),0)</f>
        <v/>
      </c>
      <c r="AZ22" s="68">
        <f t="array" ref="AZ22">IF($D22,SUMPRODUCT((economics!$AG$2:$AG$167=$B22)*(economics!$D$2:$D$167="process")*economics!$AI$2:$AI$167*_xlfn.NORM.DIST(AZ$3,economics!$AK$2:$AK$167,economics!$AJ$2:$AJ$167,TRUE)),0)</f>
        <v/>
      </c>
      <c r="BA22" s="68">
        <f t="array" ref="BA22">IF($D22,SUMPRODUCT((economics!$AG$2:$AG$167=$B22)*(economics!$D$2:$D$167="process")*economics!$AI$2:$AI$167*_xlfn.NORM.DIST(BA$3,economics!$AK$2:$AK$167,economics!$AJ$2:$AJ$167,TRUE)),0)</f>
        <v/>
      </c>
      <c r="BB22" s="68">
        <f t="array" ref="BB22">IF($D22,SUMPRODUCT((economics!$AG$2:$AG$167=$B22)*(economics!$D$2:$D$167="process")*economics!$AI$2:$AI$167*_xlfn.NORM.DIST(BB$3,economics!$AK$2:$AK$167,economics!$AJ$2:$AJ$167,TRUE)),0)</f>
        <v/>
      </c>
      <c r="BC22" s="68">
        <f t="array" ref="BC22">IF($D22,SUMPRODUCT((economics!$AG$2:$AG$167=$B22)*(economics!$D$2:$D$167="process")*economics!$AI$2:$AI$167*_xlfn.NORM.DIST(BC$3,economics!$AK$2:$AK$167,economics!$AJ$2:$AJ$167,TRUE)),0)</f>
        <v/>
      </c>
      <c r="BD22" s="68">
        <f t="array" ref="BD22">IF($D22,SUMPRODUCT((economics!$AG$2:$AG$167=$B22)*(economics!$D$2:$D$167="process")*economics!$AI$2:$AI$167*_xlfn.NORM.DIST(BD$3,economics!$AK$2:$AK$167,economics!$AJ$2:$AJ$167,TRUE)),0)</f>
        <v/>
      </c>
      <c r="BE22" s="68">
        <f t="array" ref="BE22">IF($D22,SUMPRODUCT((economics!$AG$2:$AG$167=$B22)*(economics!$D$2:$D$167="process")*economics!$AI$2:$AI$167*_xlfn.NORM.DIST(BE$3,economics!$AK$2:$AK$167,economics!$AJ$2:$AJ$167,TRUE)),0)</f>
        <v/>
      </c>
      <c r="BF22" s="68">
        <f t="array" ref="BF22">IF($D22,SUMPRODUCT((economics!$AG$2:$AG$167=$B22)*(economics!$D$2:$D$167="process")*economics!$AI$2:$AI$167*_xlfn.NORM.DIST(BF$3,economics!$AK$2:$AK$167,economics!$AJ$2:$AJ$167,TRUE)),0)</f>
        <v/>
      </c>
      <c r="BG22" s="68">
        <f t="array" ref="BG22">IF($D22,SUMPRODUCT((economics!$AG$2:$AG$167=$B22)*(economics!$D$2:$D$167="process")*economics!$AI$2:$AI$167*_xlfn.NORM.DIST(BG$3,economics!$AK$2:$AK$167,economics!$AJ$2:$AJ$167,TRUE)),0)</f>
        <v/>
      </c>
      <c r="BH22" s="68">
        <f t="array" ref="BH22">IF($D22,SUMPRODUCT((economics!$AG$2:$AG$167=$B22)*(economics!$D$2:$D$167="process")*economics!$AI$2:$AI$167*_xlfn.NORM.DIST(BH$3,economics!$AK$2:$AK$167,economics!$AJ$2:$AJ$167,TRUE)),0)</f>
        <v/>
      </c>
      <c r="BI22" s="68">
        <f t="array" ref="BI22">IF($D22,SUMPRODUCT((economics!$AG$2:$AG$167=$B22)*(economics!$D$2:$D$167="process")*economics!$AI$2:$AI$167*_xlfn.NORM.DIST(BI$3,economics!$AK$2:$AK$167,economics!$AJ$2:$AJ$167,TRUE)),0)</f>
        <v/>
      </c>
      <c r="BJ22" s="68">
        <f t="array" ref="BJ22">IF($D22,SUMPRODUCT((economics!$AG$2:$AG$167=$B22)*(economics!$D$2:$D$167="process")*economics!$AI$2:$AI$167*_xlfn.NORM.DIST(BJ$3,economics!$AK$2:$AK$167,economics!$AJ$2:$AJ$167,TRUE)),0)</f>
        <v/>
      </c>
      <c r="BK22" s="68">
        <f t="array" ref="BK22">IF($D22,SUMPRODUCT((economics!$AG$2:$AG$167=$B22)*(economics!$D$2:$D$167="process")*economics!$AI$2:$AI$167*_xlfn.NORM.DIST(BK$3,economics!$AK$2:$AK$167,economics!$AJ$2:$AJ$167,TRUE)),0)</f>
        <v/>
      </c>
      <c r="BL22" s="68">
        <f t="array" ref="BL22">IF($D22,SUMPRODUCT((economics!$AG$2:$AG$167=$B22)*(economics!$D$2:$D$167="process")*economics!$AI$2:$AI$167*_xlfn.NORM.DIST(BL$3,economics!$AK$2:$AK$167,economics!$AJ$2:$AJ$167,TRUE)),0)</f>
        <v/>
      </c>
      <c r="BM22" s="68">
        <f t="array" ref="BM22">IF($D22,SUMPRODUCT((economics!$AG$2:$AG$167=$B22)*(economics!$D$2:$D$167="process")*economics!$AI$2:$AI$167*_xlfn.NORM.DIST(BM$3,economics!$AK$2:$AK$167,economics!$AJ$2:$AJ$167,TRUE)),0)</f>
        <v/>
      </c>
      <c r="BN22" s="68">
        <f t="array" ref="BN22">IF($D22,SUMPRODUCT((economics!$AG$2:$AG$167=$B22)*(economics!$D$2:$D$167="process")*economics!$AI$2:$AI$167*_xlfn.NORM.DIST(BN$3,economics!$AK$2:$AK$167,economics!$AJ$2:$AJ$167,TRUE)),0)</f>
        <v/>
      </c>
      <c r="BO22" s="68">
        <f t="array" ref="BO22">IF($D22,SUMPRODUCT((economics!$AG$2:$AG$167=$B22)*(economics!$D$2:$D$167="process")*economics!$AI$2:$AI$167*_xlfn.NORM.DIST(BO$3,economics!$AK$2:$AK$167,economics!$AJ$2:$AJ$167,TRUE)),0)</f>
        <v/>
      </c>
      <c r="BP22" s="68">
        <f t="array" ref="BP22">IF($D22,SUMPRODUCT((economics!$AG$2:$AG$167=$B22)*(economics!$D$2:$D$167="process")*economics!$AI$2:$AI$167*_xlfn.NORM.DIST(BP$3,economics!$AK$2:$AK$167,economics!$AJ$2:$AJ$167,TRUE)),0)</f>
        <v/>
      </c>
      <c r="BQ22" s="68">
        <f t="array" ref="BQ22">IF($D22,SUMPRODUCT((economics!$AG$2:$AG$167=$B22)*(economics!$D$2:$D$167="process")*economics!$AI$2:$AI$167*_xlfn.NORM.DIST(BQ$3,economics!$AK$2:$AK$167,economics!$AJ$2:$AJ$167,TRUE)),0)</f>
        <v/>
      </c>
      <c r="BR22" s="68">
        <f t="array" ref="BR22">IF($D22,SUMPRODUCT((economics!$AG$2:$AG$167=$B22)*(economics!$D$2:$D$167="process")*economics!$AI$2:$AI$167*_xlfn.NORM.DIST(BR$3,economics!$AK$2:$AK$167,economics!$AJ$2:$AJ$167,TRUE)),0)</f>
        <v/>
      </c>
      <c r="BS22" s="68">
        <f t="array" ref="BS22">IF($D22,SUMPRODUCT((economics!$AG$2:$AG$167=$B22)*(economics!$D$2:$D$167="process")*economics!$AI$2:$AI$167*_xlfn.NORM.DIST(BS$3,economics!$AK$2:$AK$167,economics!$AJ$2:$AJ$167,TRUE)),0)</f>
        <v/>
      </c>
      <c r="BT22" s="68">
        <f t="array" ref="BT22">IF($D22,SUMPRODUCT((economics!$AG$2:$AG$167=$B22)*(economics!$D$2:$D$167="process")*economics!$AI$2:$AI$167*_xlfn.NORM.DIST(BT$3,economics!$AK$2:$AK$167,economics!$AJ$2:$AJ$167,TRUE)),0)</f>
        <v/>
      </c>
      <c r="BU22" s="68">
        <f t="array" ref="BU22">IF($D22,SUMPRODUCT((economics!$AG$2:$AG$167=$B22)*(economics!$D$2:$D$167="process")*economics!$AI$2:$AI$167*_xlfn.NORM.DIST(BU$3,economics!$AK$2:$AK$167,economics!$AJ$2:$AJ$167,TRUE)),0)</f>
        <v/>
      </c>
      <c r="BV22" s="68">
        <f t="array" ref="BV22">IF($D22,SUMPRODUCT((economics!$AG$2:$AG$167=$B22)*(economics!$D$2:$D$167="process")*economics!$AI$2:$AI$167*_xlfn.NORM.DIST(BV$3,economics!$AK$2:$AK$167,economics!$AJ$2:$AJ$167,TRUE)),0)</f>
        <v/>
      </c>
      <c r="BW22" s="68">
        <f t="array" ref="BW22">IF($D22,SUMPRODUCT((economics!$AG$2:$AG$167=$B22)*(economics!$D$2:$D$167="process")*economics!$AI$2:$AI$167*_xlfn.NORM.DIST(BW$3,economics!$AK$2:$AK$167,economics!$AJ$2:$AJ$167,TRUE)),0)</f>
        <v/>
      </c>
      <c r="BX22" s="68">
        <f t="array" ref="BX22">IF($D22,SUMPRODUCT((economics!$AG$2:$AG$167=$B22)*(economics!$D$2:$D$167="process")*economics!$AI$2:$AI$167*_xlfn.NORM.DIST(BX$3,economics!$AK$2:$AK$167,economics!$AJ$2:$AJ$167,TRUE)),0)</f>
        <v/>
      </c>
      <c r="BY22" s="68">
        <f t="array" ref="BY22">IF($D22,SUMPRODUCT((economics!$AG$2:$AG$167=$B22)*(economics!$D$2:$D$167="process")*economics!$AI$2:$AI$167*_xlfn.NORM.DIST(BY$3,economics!$AK$2:$AK$167,economics!$AJ$2:$AJ$167,TRUE)),0)</f>
        <v/>
      </c>
      <c r="BZ22" s="68">
        <f t="array" ref="BZ22">IF($D22,SUMPRODUCT((economics!$AG$2:$AG$167=$B22)*(economics!$D$2:$D$167="process")*economics!$AI$2:$AI$167*_xlfn.NORM.DIST(BZ$3,economics!$AK$2:$AK$167,economics!$AJ$2:$AJ$167,TRUE)),0)</f>
        <v/>
      </c>
      <c r="CA22" s="68">
        <f t="array" ref="CA22">IF($D22,SUMPRODUCT((economics!$AG$2:$AG$167=$B22)*(economics!$D$2:$D$167="process")*economics!$AI$2:$AI$167*_xlfn.NORM.DIST(CA$3,economics!$AK$2:$AK$167,economics!$AJ$2:$AJ$167,TRUE)),0)</f>
        <v/>
      </c>
      <c r="CB22" s="68">
        <f t="array" ref="CB22">IF($D22,SUMPRODUCT((economics!$AG$2:$AG$167=$B22)*(economics!$D$2:$D$167="process")*economics!$AI$2:$AI$167*_xlfn.NORM.DIST(CB$3,economics!$AK$2:$AK$167,economics!$AJ$2:$AJ$167,TRUE)),0)</f>
        <v/>
      </c>
      <c r="CC22" s="68">
        <f t="array" ref="CC22">IF($D22,SUMPRODUCT((economics!$AG$2:$AG$167=$B22)*(economics!$D$2:$D$167="process")*economics!$AI$2:$AI$167*_xlfn.NORM.DIST(CC$3,economics!$AK$2:$AK$167,economics!$AJ$2:$AJ$167,TRUE)),0)</f>
        <v/>
      </c>
      <c r="CD22" s="68">
        <f t="array" ref="CD22">IF($D22,SUMPRODUCT((economics!$AG$2:$AG$167=$B22)*(economics!$D$2:$D$167="process")*economics!$AI$2:$AI$167*_xlfn.NORM.DIST(CD$3,economics!$AK$2:$AK$167,economics!$AJ$2:$AJ$167,TRUE)),0)</f>
        <v/>
      </c>
      <c r="CE22" s="68">
        <f t="array" ref="CE22">IF($D22,SUMPRODUCT((economics!$AG$2:$AG$167=$B22)*(economics!$D$2:$D$167="process")*economics!$AI$2:$AI$167*_xlfn.NORM.DIST(CE$3,economics!$AK$2:$AK$167,economics!$AJ$2:$AJ$167,TRUE)),0)</f>
        <v/>
      </c>
      <c r="CF22" s="68">
        <f t="array" ref="CF22">IF($D22,SUMPRODUCT((economics!$AG$2:$AG$167=$B22)*(economics!$D$2:$D$167="process")*economics!$AI$2:$AI$167*_xlfn.NORM.DIST(CF$3,economics!$AK$2:$AK$167,economics!$AJ$2:$AJ$167,TRUE)),0)</f>
        <v/>
      </c>
      <c r="CG22" s="68">
        <f t="array" ref="CG22">IF($D22,SUMPRODUCT((economics!$AG$2:$AG$167=$B22)*(economics!$D$2:$D$167="process")*economics!$AI$2:$AI$167*_xlfn.NORM.DIST(CG$3,economics!$AK$2:$AK$167,economics!$AJ$2:$AJ$167,TRUE)),0)</f>
        <v/>
      </c>
      <c r="CH22" s="68">
        <f t="array" ref="CH22">IF($D22,SUMPRODUCT((economics!$AG$2:$AG$167=$B22)*(economics!$D$2:$D$167="process")*economics!$AI$2:$AI$167*_xlfn.NORM.DIST(CH$3,economics!$AK$2:$AK$167,economics!$AJ$2:$AJ$167,TRUE)),0)</f>
        <v/>
      </c>
    </row>
    <row r="23">
      <c r="A23">
        <f>WHRPbI!A21</f>
        <v/>
      </c>
      <c r="B23" t="n">
        <v>29</v>
      </c>
      <c r="C23" s="68">
        <f>WHRPbI!B21</f>
        <v/>
      </c>
      <c r="D23">
        <f>ISNUMBER(MATCH($B23,'energy base (MECS)'!$K$4:$K$9,0))</f>
        <v/>
      </c>
      <c r="E23" s="68">
        <f t="array" ref="E23">IF($D23,SUMPRODUCT((economics!$AG$2:$AG$167=$B23)*(economics!$D$2:$D$167="process")*economics!$AI$2:$AI$167*_xlfn.NORM.DIST(E$3,economics!$AK$2:$AK$167,economics!$AJ$2:$AJ$167,TRUE)),0)</f>
        <v/>
      </c>
      <c r="F23" s="68">
        <f t="array" ref="F23">IF($D23,SUMPRODUCT((economics!$AG$2:$AG$167=$B23)*(economics!$D$2:$D$167="process")*economics!$AI$2:$AI$167*_xlfn.NORM.DIST(F$3,economics!$AK$2:$AK$167,economics!$AJ$2:$AJ$167,TRUE)),0)</f>
        <v/>
      </c>
      <c r="G23" s="68">
        <f t="array" ref="G23">IF($D23,SUMPRODUCT((economics!$AG$2:$AG$167=$B23)*(economics!$D$2:$D$167="process")*economics!$AI$2:$AI$167*_xlfn.NORM.DIST(G$3,economics!$AK$2:$AK$167,economics!$AJ$2:$AJ$167,TRUE)),0)</f>
        <v/>
      </c>
      <c r="H23" s="68">
        <f t="array" ref="H23">IF($D23,SUMPRODUCT((economics!$AG$2:$AG$167=$B23)*(economics!$D$2:$D$167="process")*economics!$AI$2:$AI$167*_xlfn.NORM.DIST(H$3,economics!$AK$2:$AK$167,economics!$AJ$2:$AJ$167,TRUE)),0)</f>
        <v/>
      </c>
      <c r="I23" s="68">
        <f t="array" ref="I23">IF($D23,SUMPRODUCT((economics!$AG$2:$AG$167=$B23)*(economics!$D$2:$D$167="process")*economics!$AI$2:$AI$167*_xlfn.NORM.DIST(I$3,economics!$AK$2:$AK$167,economics!$AJ$2:$AJ$167,TRUE)),0)</f>
        <v/>
      </c>
      <c r="J23" s="68">
        <f t="array" ref="J23">IF($D23,SUMPRODUCT((economics!$AG$2:$AG$167=$B23)*(economics!$D$2:$D$167="process")*economics!$AI$2:$AI$167*_xlfn.NORM.DIST(J$3,economics!$AK$2:$AK$167,economics!$AJ$2:$AJ$167,TRUE)),0)</f>
        <v/>
      </c>
      <c r="K23" s="68">
        <f t="array" ref="K23">IF($D23,SUMPRODUCT((economics!$AG$2:$AG$167=$B23)*(economics!$D$2:$D$167="process")*economics!$AI$2:$AI$167*_xlfn.NORM.DIST(K$3,economics!$AK$2:$AK$167,economics!$AJ$2:$AJ$167,TRUE)),0)</f>
        <v/>
      </c>
      <c r="L23" s="68">
        <f t="array" ref="L23">IF($D23,SUMPRODUCT((economics!$AG$2:$AG$167=$B23)*(economics!$D$2:$D$167="process")*economics!$AI$2:$AI$167*_xlfn.NORM.DIST(L$3,economics!$AK$2:$AK$167,economics!$AJ$2:$AJ$167,TRUE)),0)</f>
        <v/>
      </c>
      <c r="M23" s="68">
        <f t="array" ref="M23">IF($D23,SUMPRODUCT((economics!$AG$2:$AG$167=$B23)*(economics!$D$2:$D$167="process")*economics!$AI$2:$AI$167*_xlfn.NORM.DIST(M$3,economics!$AK$2:$AK$167,economics!$AJ$2:$AJ$167,TRUE)),0)</f>
        <v/>
      </c>
      <c r="N23" s="68">
        <f t="array" ref="N23">IF($D23,SUMPRODUCT((economics!$AG$2:$AG$167=$B23)*(economics!$D$2:$D$167="process")*economics!$AI$2:$AI$167*_xlfn.NORM.DIST(N$3,economics!$AK$2:$AK$167,economics!$AJ$2:$AJ$167,TRUE)),0)</f>
        <v/>
      </c>
      <c r="O23" s="68">
        <f t="array" ref="O23">IF($D23,SUMPRODUCT((economics!$AG$2:$AG$167=$B23)*(economics!$D$2:$D$167="process")*economics!$AI$2:$AI$167*_xlfn.NORM.DIST(O$3,economics!$AK$2:$AK$167,economics!$AJ$2:$AJ$167,TRUE)),0)</f>
        <v/>
      </c>
      <c r="P23" s="68">
        <f t="array" ref="P23">IF($D23,SUMPRODUCT((economics!$AG$2:$AG$167=$B23)*(economics!$D$2:$D$167="process")*economics!$AI$2:$AI$167*_xlfn.NORM.DIST(P$3,economics!$AK$2:$AK$167,economics!$AJ$2:$AJ$167,TRUE)),0)</f>
        <v/>
      </c>
      <c r="Q23" s="68">
        <f t="array" ref="Q23">IF($D23,SUMPRODUCT((economics!$AG$2:$AG$167=$B23)*(economics!$D$2:$D$167="process")*economics!$AI$2:$AI$167*_xlfn.NORM.DIST(Q$3,economics!$AK$2:$AK$167,economics!$AJ$2:$AJ$167,TRUE)),0)</f>
        <v/>
      </c>
      <c r="R23" s="68">
        <f t="array" ref="R23">IF($D23,SUMPRODUCT((economics!$AG$2:$AG$167=$B23)*(economics!$D$2:$D$167="process")*economics!$AI$2:$AI$167*_xlfn.NORM.DIST(R$3,economics!$AK$2:$AK$167,economics!$AJ$2:$AJ$167,TRUE)),0)</f>
        <v/>
      </c>
      <c r="S23" s="68">
        <f t="array" ref="S23">IF($D23,SUMPRODUCT((economics!$AG$2:$AG$167=$B23)*(economics!$D$2:$D$167="process")*economics!$AI$2:$AI$167*_xlfn.NORM.DIST(S$3,economics!$AK$2:$AK$167,economics!$AJ$2:$AJ$167,TRUE)),0)</f>
        <v/>
      </c>
      <c r="T23" s="68">
        <f t="array" ref="T23">IF($D23,SUMPRODUCT((economics!$AG$2:$AG$167=$B23)*(economics!$D$2:$D$167="process")*economics!$AI$2:$AI$167*_xlfn.NORM.DIST(T$3,economics!$AK$2:$AK$167,economics!$AJ$2:$AJ$167,TRUE)),0)</f>
        <v/>
      </c>
      <c r="U23" s="68">
        <f t="array" ref="U23">IF($D23,SUMPRODUCT((economics!$AG$2:$AG$167=$B23)*(economics!$D$2:$D$167="process")*economics!$AI$2:$AI$167*_xlfn.NORM.DIST(U$3,economics!$AK$2:$AK$167,economics!$AJ$2:$AJ$167,TRUE)),0)</f>
        <v/>
      </c>
      <c r="V23" s="68">
        <f t="array" ref="V23">IF($D23,SUMPRODUCT((economics!$AG$2:$AG$167=$B23)*(economics!$D$2:$D$167="process")*economics!$AI$2:$AI$167*_xlfn.NORM.DIST(V$3,economics!$AK$2:$AK$167,economics!$AJ$2:$AJ$167,TRUE)),0)</f>
        <v/>
      </c>
      <c r="W23" s="68">
        <f t="array" ref="W23">IF($D23,SUMPRODUCT((economics!$AG$2:$AG$167=$B23)*(economics!$D$2:$D$167="process")*economics!$AI$2:$AI$167*_xlfn.NORM.DIST(W$3,economics!$AK$2:$AK$167,economics!$AJ$2:$AJ$167,TRUE)),0)</f>
        <v/>
      </c>
      <c r="X23" s="68">
        <f t="array" ref="X23">IF($D23,SUMPRODUCT((economics!$AG$2:$AG$167=$B23)*(economics!$D$2:$D$167="process")*economics!$AI$2:$AI$167*_xlfn.NORM.DIST(X$3,economics!$AK$2:$AK$167,economics!$AJ$2:$AJ$167,TRUE)),0)</f>
        <v/>
      </c>
      <c r="Y23" s="68">
        <f t="array" ref="Y23">IF($D23,SUMPRODUCT((economics!$AG$2:$AG$167=$B23)*(economics!$D$2:$D$167="process")*economics!$AI$2:$AI$167*_xlfn.NORM.DIST(Y$3,economics!$AK$2:$AK$167,economics!$AJ$2:$AJ$167,TRUE)),0)</f>
        <v/>
      </c>
      <c r="Z23" s="68">
        <f t="array" ref="Z23">IF($D23,SUMPRODUCT((economics!$AG$2:$AG$167=$B23)*(economics!$D$2:$D$167="process")*economics!$AI$2:$AI$167*_xlfn.NORM.DIST(Z$3,economics!$AK$2:$AK$167,economics!$AJ$2:$AJ$167,TRUE)),0)</f>
        <v/>
      </c>
      <c r="AA23" s="68">
        <f t="array" ref="AA23">IF($D23,SUMPRODUCT((economics!$AG$2:$AG$167=$B23)*(economics!$D$2:$D$167="process")*economics!$AI$2:$AI$167*_xlfn.NORM.DIST(AA$3,economics!$AK$2:$AK$167,economics!$AJ$2:$AJ$167,TRUE)),0)</f>
        <v/>
      </c>
      <c r="AB23" s="68">
        <f t="array" ref="AB23">IF($D23,SUMPRODUCT((economics!$AG$2:$AG$167=$B23)*(economics!$D$2:$D$167="process")*economics!$AI$2:$AI$167*_xlfn.NORM.DIST(AB$3,economics!$AK$2:$AK$167,economics!$AJ$2:$AJ$167,TRUE)),0)</f>
        <v/>
      </c>
      <c r="AC23" s="68">
        <f t="array" ref="AC23">IF($D23,SUMPRODUCT((economics!$AG$2:$AG$167=$B23)*(economics!$D$2:$D$167="process")*economics!$AI$2:$AI$167*_xlfn.NORM.DIST(AC$3,economics!$AK$2:$AK$167,economics!$AJ$2:$AJ$167,TRUE)),0)</f>
        <v/>
      </c>
      <c r="AD23" s="68">
        <f t="array" ref="AD23">IF($D23,SUMPRODUCT((economics!$AG$2:$AG$167=$B23)*(economics!$D$2:$D$167="process")*economics!$AI$2:$AI$167*_xlfn.NORM.DIST(AD$3,economics!$AK$2:$AK$167,economics!$AJ$2:$AJ$167,TRUE)),0)</f>
        <v/>
      </c>
      <c r="AE23" s="68">
        <f t="array" ref="AE23">IF($D23,SUMPRODUCT((economics!$AG$2:$AG$167=$B23)*(economics!$D$2:$D$167="process")*economics!$AI$2:$AI$167*_xlfn.NORM.DIST(AE$3,economics!$AK$2:$AK$167,economics!$AJ$2:$AJ$167,TRUE)),0)</f>
        <v/>
      </c>
      <c r="AF23" s="68">
        <f t="array" ref="AF23">IF($D23,SUMPRODUCT((economics!$AG$2:$AG$167=$B23)*(economics!$D$2:$D$167="process")*economics!$AI$2:$AI$167*_xlfn.NORM.DIST(AF$3,economics!$AK$2:$AK$167,economics!$AJ$2:$AJ$167,TRUE)),0)</f>
        <v/>
      </c>
      <c r="AG23" s="68">
        <f t="array" ref="AG23">IF($D23,SUMPRODUCT((economics!$AG$2:$AG$167=$B23)*(economics!$D$2:$D$167="process")*economics!$AI$2:$AI$167*_xlfn.NORM.DIST(AG$3,economics!$AK$2:$AK$167,economics!$AJ$2:$AJ$167,TRUE)),0)</f>
        <v/>
      </c>
      <c r="AH23" s="68">
        <f t="array" ref="AH23">IF($D23,SUMPRODUCT((economics!$AG$2:$AG$167=$B23)*(economics!$D$2:$D$167="process")*economics!$AI$2:$AI$167*_xlfn.NORM.DIST(AH$3,economics!$AK$2:$AK$167,economics!$AJ$2:$AJ$167,TRUE)),0)</f>
        <v/>
      </c>
      <c r="AI23" s="68">
        <f t="array" ref="AI23">IF($D23,SUMPRODUCT((economics!$AG$2:$AG$167=$B23)*(economics!$D$2:$D$167="process")*economics!$AI$2:$AI$167*_xlfn.NORM.DIST(AI$3,economics!$AK$2:$AK$167,economics!$AJ$2:$AJ$167,TRUE)),0)</f>
        <v/>
      </c>
      <c r="AJ23" s="68">
        <f t="array" ref="AJ23">IF($D23,SUMPRODUCT((economics!$AG$2:$AG$167=$B23)*(economics!$D$2:$D$167="process")*economics!$AI$2:$AI$167*_xlfn.NORM.DIST(AJ$3,economics!$AK$2:$AK$167,economics!$AJ$2:$AJ$167,TRUE)),0)</f>
        <v/>
      </c>
      <c r="AK23" s="68">
        <f t="array" ref="AK23">IF($D23,SUMPRODUCT((economics!$AG$2:$AG$167=$B23)*(economics!$D$2:$D$167="process")*economics!$AI$2:$AI$167*_xlfn.NORM.DIST(AK$3,economics!$AK$2:$AK$167,economics!$AJ$2:$AJ$167,TRUE)),0)</f>
        <v/>
      </c>
      <c r="AL23" s="68">
        <f t="array" ref="AL23">IF($D23,SUMPRODUCT((economics!$AG$2:$AG$167=$B23)*(economics!$D$2:$D$167="process")*economics!$AI$2:$AI$167*_xlfn.NORM.DIST(AL$3,economics!$AK$2:$AK$167,economics!$AJ$2:$AJ$167,TRUE)),0)</f>
        <v/>
      </c>
      <c r="AM23" s="68">
        <f t="array" ref="AM23">IF($D23,SUMPRODUCT((economics!$AG$2:$AG$167=$B23)*(economics!$D$2:$D$167="process")*economics!$AI$2:$AI$167*_xlfn.NORM.DIST(AM$3,economics!$AK$2:$AK$167,economics!$AJ$2:$AJ$167,TRUE)),0)</f>
        <v/>
      </c>
      <c r="AN23" s="68">
        <f t="array" ref="AN23">IF($D23,SUMPRODUCT((economics!$AG$2:$AG$167=$B23)*(economics!$D$2:$D$167="process")*economics!$AI$2:$AI$167*_xlfn.NORM.DIST(AN$3,economics!$AK$2:$AK$167,economics!$AJ$2:$AJ$167,TRUE)),0)</f>
        <v/>
      </c>
      <c r="AO23" s="68">
        <f t="array" ref="AO23">IF($D23,SUMPRODUCT((economics!$AG$2:$AG$167=$B23)*(economics!$D$2:$D$167="process")*economics!$AI$2:$AI$167*_xlfn.NORM.DIST(AO$3,economics!$AK$2:$AK$167,economics!$AJ$2:$AJ$167,TRUE)),0)</f>
        <v/>
      </c>
      <c r="AP23" s="68">
        <f t="array" ref="AP23">IF($D23,SUMPRODUCT((economics!$AG$2:$AG$167=$B23)*(economics!$D$2:$D$167="process")*economics!$AI$2:$AI$167*_xlfn.NORM.DIST(AP$3,economics!$AK$2:$AK$167,economics!$AJ$2:$AJ$167,TRUE)),0)</f>
        <v/>
      </c>
      <c r="AQ23" s="68">
        <f t="array" ref="AQ23">IF($D23,SUMPRODUCT((economics!$AG$2:$AG$167=$B23)*(economics!$D$2:$D$167="process")*economics!$AI$2:$AI$167*_xlfn.NORM.DIST(AQ$3,economics!$AK$2:$AK$167,economics!$AJ$2:$AJ$167,TRUE)),0)</f>
        <v/>
      </c>
      <c r="AR23" s="68">
        <f t="array" ref="AR23">IF($D23,SUMPRODUCT((economics!$AG$2:$AG$167=$B23)*(economics!$D$2:$D$167="process")*economics!$AI$2:$AI$167*_xlfn.NORM.DIST(AR$3,economics!$AK$2:$AK$167,economics!$AJ$2:$AJ$167,TRUE)),0)</f>
        <v/>
      </c>
      <c r="AS23" s="68">
        <f t="array" ref="AS23">IF($D23,SUMPRODUCT((economics!$AG$2:$AG$167=$B23)*(economics!$D$2:$D$167="process")*economics!$AI$2:$AI$167*_xlfn.NORM.DIST(AS$3,economics!$AK$2:$AK$167,economics!$AJ$2:$AJ$167,TRUE)),0)</f>
        <v/>
      </c>
      <c r="AT23" s="68">
        <f t="array" ref="AT23">IF($D23,SUMPRODUCT((economics!$AG$2:$AG$167=$B23)*(economics!$D$2:$D$167="process")*economics!$AI$2:$AI$167*_xlfn.NORM.DIST(AT$3,economics!$AK$2:$AK$167,economics!$AJ$2:$AJ$167,TRUE)),0)</f>
        <v/>
      </c>
      <c r="AU23" s="68">
        <f t="array" ref="AU23">IF($D23,SUMPRODUCT((economics!$AG$2:$AG$167=$B23)*(economics!$D$2:$D$167="process")*economics!$AI$2:$AI$167*_xlfn.NORM.DIST(AU$3,economics!$AK$2:$AK$167,economics!$AJ$2:$AJ$167,TRUE)),0)</f>
        <v/>
      </c>
      <c r="AV23" s="68">
        <f t="array" ref="AV23">IF($D23,SUMPRODUCT((economics!$AG$2:$AG$167=$B23)*(economics!$D$2:$D$167="process")*economics!$AI$2:$AI$167*_xlfn.NORM.DIST(AV$3,economics!$AK$2:$AK$167,economics!$AJ$2:$AJ$167,TRUE)),0)</f>
        <v/>
      </c>
      <c r="AW23" s="68">
        <f t="array" ref="AW23">IF($D23,SUMPRODUCT((economics!$AG$2:$AG$167=$B23)*(economics!$D$2:$D$167="process")*economics!$AI$2:$AI$167*_xlfn.NORM.DIST(AW$3,economics!$AK$2:$AK$167,economics!$AJ$2:$AJ$167,TRUE)),0)</f>
        <v/>
      </c>
      <c r="AX23" s="68">
        <f t="array" ref="AX23">IF($D23,SUMPRODUCT((economics!$AG$2:$AG$167=$B23)*(economics!$D$2:$D$167="process")*economics!$AI$2:$AI$167*_xlfn.NORM.DIST(AX$3,economics!$AK$2:$AK$167,economics!$AJ$2:$AJ$167,TRUE)),0)</f>
        <v/>
      </c>
      <c r="AY23" s="68">
        <f t="array" ref="AY23">IF($D23,SUMPRODUCT((economics!$AG$2:$AG$167=$B23)*(economics!$D$2:$D$167="process")*economics!$AI$2:$AI$167*_xlfn.NORM.DIST(AY$3,economics!$AK$2:$AK$167,economics!$AJ$2:$AJ$167,TRUE)),0)</f>
        <v/>
      </c>
      <c r="AZ23" s="68">
        <f t="array" ref="AZ23">IF($D23,SUMPRODUCT((economics!$AG$2:$AG$167=$B23)*(economics!$D$2:$D$167="process")*economics!$AI$2:$AI$167*_xlfn.NORM.DIST(AZ$3,economics!$AK$2:$AK$167,economics!$AJ$2:$AJ$167,TRUE)),0)</f>
        <v/>
      </c>
      <c r="BA23" s="68">
        <f t="array" ref="BA23">IF($D23,SUMPRODUCT((economics!$AG$2:$AG$167=$B23)*(economics!$D$2:$D$167="process")*economics!$AI$2:$AI$167*_xlfn.NORM.DIST(BA$3,economics!$AK$2:$AK$167,economics!$AJ$2:$AJ$167,TRUE)),0)</f>
        <v/>
      </c>
      <c r="BB23" s="68">
        <f t="array" ref="BB23">IF($D23,SUMPRODUCT((economics!$AG$2:$AG$167=$B23)*(economics!$D$2:$D$167="process")*economics!$AI$2:$AI$167*_xlfn.NORM.DIST(BB$3,economics!$AK$2:$AK$167,economics!$AJ$2:$AJ$167,TRUE)),0)</f>
        <v/>
      </c>
      <c r="BC23" s="68">
        <f t="array" ref="BC23">IF($D23,SUMPRODUCT((economics!$AG$2:$AG$167=$B23)*(economics!$D$2:$D$167="process")*economics!$AI$2:$AI$167*_xlfn.NORM.DIST(BC$3,economics!$AK$2:$AK$167,economics!$AJ$2:$AJ$167,TRUE)),0)</f>
        <v/>
      </c>
      <c r="BD23" s="68">
        <f t="array" ref="BD23">IF($D23,SUMPRODUCT((economics!$AG$2:$AG$167=$B23)*(economics!$D$2:$D$167="process")*economics!$AI$2:$AI$167*_xlfn.NORM.DIST(BD$3,economics!$AK$2:$AK$167,economics!$AJ$2:$AJ$167,TRUE)),0)</f>
        <v/>
      </c>
      <c r="BE23" s="68">
        <f t="array" ref="BE23">IF($D23,SUMPRODUCT((economics!$AG$2:$AG$167=$B23)*(economics!$D$2:$D$167="process")*economics!$AI$2:$AI$167*_xlfn.NORM.DIST(BE$3,economics!$AK$2:$AK$167,economics!$AJ$2:$AJ$167,TRUE)),0)</f>
        <v/>
      </c>
      <c r="BF23" s="68">
        <f t="array" ref="BF23">IF($D23,SUMPRODUCT((economics!$AG$2:$AG$167=$B23)*(economics!$D$2:$D$167="process")*economics!$AI$2:$AI$167*_xlfn.NORM.DIST(BF$3,economics!$AK$2:$AK$167,economics!$AJ$2:$AJ$167,TRUE)),0)</f>
        <v/>
      </c>
      <c r="BG23" s="68">
        <f t="array" ref="BG23">IF($D23,SUMPRODUCT((economics!$AG$2:$AG$167=$B23)*(economics!$D$2:$D$167="process")*economics!$AI$2:$AI$167*_xlfn.NORM.DIST(BG$3,economics!$AK$2:$AK$167,economics!$AJ$2:$AJ$167,TRUE)),0)</f>
        <v/>
      </c>
      <c r="BH23" s="68">
        <f t="array" ref="BH23">IF($D23,SUMPRODUCT((economics!$AG$2:$AG$167=$B23)*(economics!$D$2:$D$167="process")*economics!$AI$2:$AI$167*_xlfn.NORM.DIST(BH$3,economics!$AK$2:$AK$167,economics!$AJ$2:$AJ$167,TRUE)),0)</f>
        <v/>
      </c>
      <c r="BI23" s="68">
        <f t="array" ref="BI23">IF($D23,SUMPRODUCT((economics!$AG$2:$AG$167=$B23)*(economics!$D$2:$D$167="process")*economics!$AI$2:$AI$167*_xlfn.NORM.DIST(BI$3,economics!$AK$2:$AK$167,economics!$AJ$2:$AJ$167,TRUE)),0)</f>
        <v/>
      </c>
      <c r="BJ23" s="68">
        <f t="array" ref="BJ23">IF($D23,SUMPRODUCT((economics!$AG$2:$AG$167=$B23)*(economics!$D$2:$D$167="process")*economics!$AI$2:$AI$167*_xlfn.NORM.DIST(BJ$3,economics!$AK$2:$AK$167,economics!$AJ$2:$AJ$167,TRUE)),0)</f>
        <v/>
      </c>
      <c r="BK23" s="68">
        <f t="array" ref="BK23">IF($D23,SUMPRODUCT((economics!$AG$2:$AG$167=$B23)*(economics!$D$2:$D$167="process")*economics!$AI$2:$AI$167*_xlfn.NORM.DIST(BK$3,economics!$AK$2:$AK$167,economics!$AJ$2:$AJ$167,TRUE)),0)</f>
        <v/>
      </c>
      <c r="BL23" s="68">
        <f t="array" ref="BL23">IF($D23,SUMPRODUCT((economics!$AG$2:$AG$167=$B23)*(economics!$D$2:$D$167="process")*economics!$AI$2:$AI$167*_xlfn.NORM.DIST(BL$3,economics!$AK$2:$AK$167,economics!$AJ$2:$AJ$167,TRUE)),0)</f>
        <v/>
      </c>
      <c r="BM23" s="68">
        <f t="array" ref="BM23">IF($D23,SUMPRODUCT((economics!$AG$2:$AG$167=$B23)*(economics!$D$2:$D$167="process")*economics!$AI$2:$AI$167*_xlfn.NORM.DIST(BM$3,economics!$AK$2:$AK$167,economics!$AJ$2:$AJ$167,TRUE)),0)</f>
        <v/>
      </c>
      <c r="BN23" s="68">
        <f t="array" ref="BN23">IF($D23,SUMPRODUCT((economics!$AG$2:$AG$167=$B23)*(economics!$D$2:$D$167="process")*economics!$AI$2:$AI$167*_xlfn.NORM.DIST(BN$3,economics!$AK$2:$AK$167,economics!$AJ$2:$AJ$167,TRUE)),0)</f>
        <v/>
      </c>
      <c r="BO23" s="68">
        <f t="array" ref="BO23">IF($D23,SUMPRODUCT((economics!$AG$2:$AG$167=$B23)*(economics!$D$2:$D$167="process")*economics!$AI$2:$AI$167*_xlfn.NORM.DIST(BO$3,economics!$AK$2:$AK$167,economics!$AJ$2:$AJ$167,TRUE)),0)</f>
        <v/>
      </c>
      <c r="BP23" s="68">
        <f t="array" ref="BP23">IF($D23,SUMPRODUCT((economics!$AG$2:$AG$167=$B23)*(economics!$D$2:$D$167="process")*economics!$AI$2:$AI$167*_xlfn.NORM.DIST(BP$3,economics!$AK$2:$AK$167,economics!$AJ$2:$AJ$167,TRUE)),0)</f>
        <v/>
      </c>
      <c r="BQ23" s="68">
        <f t="array" ref="BQ23">IF($D23,SUMPRODUCT((economics!$AG$2:$AG$167=$B23)*(economics!$D$2:$D$167="process")*economics!$AI$2:$AI$167*_xlfn.NORM.DIST(BQ$3,economics!$AK$2:$AK$167,economics!$AJ$2:$AJ$167,TRUE)),0)</f>
        <v/>
      </c>
      <c r="BR23" s="68">
        <f t="array" ref="BR23">IF($D23,SUMPRODUCT((economics!$AG$2:$AG$167=$B23)*(economics!$D$2:$D$167="process")*economics!$AI$2:$AI$167*_xlfn.NORM.DIST(BR$3,economics!$AK$2:$AK$167,economics!$AJ$2:$AJ$167,TRUE)),0)</f>
        <v/>
      </c>
      <c r="BS23" s="68">
        <f t="array" ref="BS23">IF($D23,SUMPRODUCT((economics!$AG$2:$AG$167=$B23)*(economics!$D$2:$D$167="process")*economics!$AI$2:$AI$167*_xlfn.NORM.DIST(BS$3,economics!$AK$2:$AK$167,economics!$AJ$2:$AJ$167,TRUE)),0)</f>
        <v/>
      </c>
      <c r="BT23" s="68">
        <f t="array" ref="BT23">IF($D23,SUMPRODUCT((economics!$AG$2:$AG$167=$B23)*(economics!$D$2:$D$167="process")*economics!$AI$2:$AI$167*_xlfn.NORM.DIST(BT$3,economics!$AK$2:$AK$167,economics!$AJ$2:$AJ$167,TRUE)),0)</f>
        <v/>
      </c>
      <c r="BU23" s="68">
        <f t="array" ref="BU23">IF($D23,SUMPRODUCT((economics!$AG$2:$AG$167=$B23)*(economics!$D$2:$D$167="process")*economics!$AI$2:$AI$167*_xlfn.NORM.DIST(BU$3,economics!$AK$2:$AK$167,economics!$AJ$2:$AJ$167,TRUE)),0)</f>
        <v/>
      </c>
      <c r="BV23" s="68">
        <f t="array" ref="BV23">IF($D23,SUMPRODUCT((economics!$AG$2:$AG$167=$B23)*(economics!$D$2:$D$167="process")*economics!$AI$2:$AI$167*_xlfn.NORM.DIST(BV$3,economics!$AK$2:$AK$167,economics!$AJ$2:$AJ$167,TRUE)),0)</f>
        <v/>
      </c>
      <c r="BW23" s="68">
        <f t="array" ref="BW23">IF($D23,SUMPRODUCT((economics!$AG$2:$AG$167=$B23)*(economics!$D$2:$D$167="process")*economics!$AI$2:$AI$167*_xlfn.NORM.DIST(BW$3,economics!$AK$2:$AK$167,economics!$AJ$2:$AJ$167,TRUE)),0)</f>
        <v/>
      </c>
      <c r="BX23" s="68">
        <f t="array" ref="BX23">IF($D23,SUMPRODUCT((economics!$AG$2:$AG$167=$B23)*(economics!$D$2:$D$167="process")*economics!$AI$2:$AI$167*_xlfn.NORM.DIST(BX$3,economics!$AK$2:$AK$167,economics!$AJ$2:$AJ$167,TRUE)),0)</f>
        <v/>
      </c>
      <c r="BY23" s="68">
        <f t="array" ref="BY23">IF($D23,SUMPRODUCT((economics!$AG$2:$AG$167=$B23)*(economics!$D$2:$D$167="process")*economics!$AI$2:$AI$167*_xlfn.NORM.DIST(BY$3,economics!$AK$2:$AK$167,economics!$AJ$2:$AJ$167,TRUE)),0)</f>
        <v/>
      </c>
      <c r="BZ23" s="68">
        <f t="array" ref="BZ23">IF($D23,SUMPRODUCT((economics!$AG$2:$AG$167=$B23)*(economics!$D$2:$D$167="process")*economics!$AI$2:$AI$167*_xlfn.NORM.DIST(BZ$3,economics!$AK$2:$AK$167,economics!$AJ$2:$AJ$167,TRUE)),0)</f>
        <v/>
      </c>
      <c r="CA23" s="68">
        <f t="array" ref="CA23">IF($D23,SUMPRODUCT((economics!$AG$2:$AG$167=$B23)*(economics!$D$2:$D$167="process")*economics!$AI$2:$AI$167*_xlfn.NORM.DIST(CA$3,economics!$AK$2:$AK$167,economics!$AJ$2:$AJ$167,TRUE)),0)</f>
        <v/>
      </c>
      <c r="CB23" s="68">
        <f t="array" ref="CB23">IF($D23,SUMPRODUCT((economics!$AG$2:$AG$167=$B23)*(economics!$D$2:$D$167="process")*economics!$AI$2:$AI$167*_xlfn.NORM.DIST(CB$3,economics!$AK$2:$AK$167,economics!$AJ$2:$AJ$167,TRUE)),0)</f>
        <v/>
      </c>
      <c r="CC23" s="68">
        <f t="array" ref="CC23">IF($D23,SUMPRODUCT((economics!$AG$2:$AG$167=$B23)*(economics!$D$2:$D$167="process")*economics!$AI$2:$AI$167*_xlfn.NORM.DIST(CC$3,economics!$AK$2:$AK$167,economics!$AJ$2:$AJ$167,TRUE)),0)</f>
        <v/>
      </c>
      <c r="CD23" s="68">
        <f t="array" ref="CD23">IF($D23,SUMPRODUCT((economics!$AG$2:$AG$167=$B23)*(economics!$D$2:$D$167="process")*economics!$AI$2:$AI$167*_xlfn.NORM.DIST(CD$3,economics!$AK$2:$AK$167,economics!$AJ$2:$AJ$167,TRUE)),0)</f>
        <v/>
      </c>
      <c r="CE23" s="68">
        <f t="array" ref="CE23">IF($D23,SUMPRODUCT((economics!$AG$2:$AG$167=$B23)*(economics!$D$2:$D$167="process")*economics!$AI$2:$AI$167*_xlfn.NORM.DIST(CE$3,economics!$AK$2:$AK$167,economics!$AJ$2:$AJ$167,TRUE)),0)</f>
        <v/>
      </c>
      <c r="CF23" s="68">
        <f t="array" ref="CF23">IF($D23,SUMPRODUCT((economics!$AG$2:$AG$167=$B23)*(economics!$D$2:$D$167="process")*economics!$AI$2:$AI$167*_xlfn.NORM.DIST(CF$3,economics!$AK$2:$AK$167,economics!$AJ$2:$AJ$167,TRUE)),0)</f>
        <v/>
      </c>
      <c r="CG23" s="68">
        <f t="array" ref="CG23">IF($D23,SUMPRODUCT((economics!$AG$2:$AG$167=$B23)*(economics!$D$2:$D$167="process")*economics!$AI$2:$AI$167*_xlfn.NORM.DIST(CG$3,economics!$AK$2:$AK$167,economics!$AJ$2:$AJ$167,TRUE)),0)</f>
        <v/>
      </c>
      <c r="CH23" s="68">
        <f t="array" ref="CH23">IF($D23,SUMPRODUCT((economics!$AG$2:$AG$167=$B23)*(economics!$D$2:$D$167="process")*economics!$AI$2:$AI$167*_xlfn.NORM.DIST(CH$3,economics!$AK$2:$AK$167,economics!$AJ$2:$AJ$167,TRUE)),0)</f>
        <v/>
      </c>
    </row>
    <row r="24">
      <c r="A24">
        <f>WHRPbI!A22</f>
        <v/>
      </c>
      <c r="B24" t="n">
        <v>30</v>
      </c>
      <c r="C24" s="68">
        <f>WHRPbI!B22</f>
        <v/>
      </c>
      <c r="D24">
        <f>ISNUMBER(MATCH($B24,'energy base (MECS)'!$K$4:$K$9,0))</f>
        <v/>
      </c>
      <c r="E24" s="68">
        <f t="array" ref="E24">IF($D24,SUMPRODUCT((economics!$AG$2:$AG$167=$B24)*(economics!$D$2:$D$167="process")*economics!$AI$2:$AI$167*_xlfn.NORM.DIST(E$3,economics!$AK$2:$AK$167,economics!$AJ$2:$AJ$167,TRUE)),0)</f>
        <v/>
      </c>
      <c r="F24" s="68">
        <f t="array" ref="F24">IF($D24,SUMPRODUCT((economics!$AG$2:$AG$167=$B24)*(economics!$D$2:$D$167="process")*economics!$AI$2:$AI$167*_xlfn.NORM.DIST(F$3,economics!$AK$2:$AK$167,economics!$AJ$2:$AJ$167,TRUE)),0)</f>
        <v/>
      </c>
      <c r="G24" s="68">
        <f t="array" ref="G24">IF($D24,SUMPRODUCT((economics!$AG$2:$AG$167=$B24)*(economics!$D$2:$D$167="process")*economics!$AI$2:$AI$167*_xlfn.NORM.DIST(G$3,economics!$AK$2:$AK$167,economics!$AJ$2:$AJ$167,TRUE)),0)</f>
        <v/>
      </c>
      <c r="H24" s="68">
        <f t="array" ref="H24">IF($D24,SUMPRODUCT((economics!$AG$2:$AG$167=$B24)*(economics!$D$2:$D$167="process")*economics!$AI$2:$AI$167*_xlfn.NORM.DIST(H$3,economics!$AK$2:$AK$167,economics!$AJ$2:$AJ$167,TRUE)),0)</f>
        <v/>
      </c>
      <c r="I24" s="68">
        <f t="array" ref="I24">IF($D24,SUMPRODUCT((economics!$AG$2:$AG$167=$B24)*(economics!$D$2:$D$167="process")*economics!$AI$2:$AI$167*_xlfn.NORM.DIST(I$3,economics!$AK$2:$AK$167,economics!$AJ$2:$AJ$167,TRUE)),0)</f>
        <v/>
      </c>
      <c r="J24" s="68">
        <f t="array" ref="J24">IF($D24,SUMPRODUCT((economics!$AG$2:$AG$167=$B24)*(economics!$D$2:$D$167="process")*economics!$AI$2:$AI$167*_xlfn.NORM.DIST(J$3,economics!$AK$2:$AK$167,economics!$AJ$2:$AJ$167,TRUE)),0)</f>
        <v/>
      </c>
      <c r="K24" s="68">
        <f t="array" ref="K24">IF($D24,SUMPRODUCT((economics!$AG$2:$AG$167=$B24)*(economics!$D$2:$D$167="process")*economics!$AI$2:$AI$167*_xlfn.NORM.DIST(K$3,economics!$AK$2:$AK$167,economics!$AJ$2:$AJ$167,TRUE)),0)</f>
        <v/>
      </c>
      <c r="L24" s="68">
        <f t="array" ref="L24">IF($D24,SUMPRODUCT((economics!$AG$2:$AG$167=$B24)*(economics!$D$2:$D$167="process")*economics!$AI$2:$AI$167*_xlfn.NORM.DIST(L$3,economics!$AK$2:$AK$167,economics!$AJ$2:$AJ$167,TRUE)),0)</f>
        <v/>
      </c>
      <c r="M24" s="68">
        <f t="array" ref="M24">IF($D24,SUMPRODUCT((economics!$AG$2:$AG$167=$B24)*(economics!$D$2:$D$167="process")*economics!$AI$2:$AI$167*_xlfn.NORM.DIST(M$3,economics!$AK$2:$AK$167,economics!$AJ$2:$AJ$167,TRUE)),0)</f>
        <v/>
      </c>
      <c r="N24" s="68">
        <f t="array" ref="N24">IF($D24,SUMPRODUCT((economics!$AG$2:$AG$167=$B24)*(economics!$D$2:$D$167="process")*economics!$AI$2:$AI$167*_xlfn.NORM.DIST(N$3,economics!$AK$2:$AK$167,economics!$AJ$2:$AJ$167,TRUE)),0)</f>
        <v/>
      </c>
      <c r="O24" s="68">
        <f t="array" ref="O24">IF($D24,SUMPRODUCT((economics!$AG$2:$AG$167=$B24)*(economics!$D$2:$D$167="process")*economics!$AI$2:$AI$167*_xlfn.NORM.DIST(O$3,economics!$AK$2:$AK$167,economics!$AJ$2:$AJ$167,TRUE)),0)</f>
        <v/>
      </c>
      <c r="P24" s="68">
        <f t="array" ref="P24">IF($D24,SUMPRODUCT((economics!$AG$2:$AG$167=$B24)*(economics!$D$2:$D$167="process")*economics!$AI$2:$AI$167*_xlfn.NORM.DIST(P$3,economics!$AK$2:$AK$167,economics!$AJ$2:$AJ$167,TRUE)),0)</f>
        <v/>
      </c>
      <c r="Q24" s="68">
        <f t="array" ref="Q24">IF($D24,SUMPRODUCT((economics!$AG$2:$AG$167=$B24)*(economics!$D$2:$D$167="process")*economics!$AI$2:$AI$167*_xlfn.NORM.DIST(Q$3,economics!$AK$2:$AK$167,economics!$AJ$2:$AJ$167,TRUE)),0)</f>
        <v/>
      </c>
      <c r="R24" s="68">
        <f t="array" ref="R24">IF($D24,SUMPRODUCT((economics!$AG$2:$AG$167=$B24)*(economics!$D$2:$D$167="process")*economics!$AI$2:$AI$167*_xlfn.NORM.DIST(R$3,economics!$AK$2:$AK$167,economics!$AJ$2:$AJ$167,TRUE)),0)</f>
        <v/>
      </c>
      <c r="S24" s="68">
        <f t="array" ref="S24">IF($D24,SUMPRODUCT((economics!$AG$2:$AG$167=$B24)*(economics!$D$2:$D$167="process")*economics!$AI$2:$AI$167*_xlfn.NORM.DIST(S$3,economics!$AK$2:$AK$167,economics!$AJ$2:$AJ$167,TRUE)),0)</f>
        <v/>
      </c>
      <c r="T24" s="68">
        <f t="array" ref="T24">IF($D24,SUMPRODUCT((economics!$AG$2:$AG$167=$B24)*(economics!$D$2:$D$167="process")*economics!$AI$2:$AI$167*_xlfn.NORM.DIST(T$3,economics!$AK$2:$AK$167,economics!$AJ$2:$AJ$167,TRUE)),0)</f>
        <v/>
      </c>
      <c r="U24" s="68">
        <f t="array" ref="U24">IF($D24,SUMPRODUCT((economics!$AG$2:$AG$167=$B24)*(economics!$D$2:$D$167="process")*economics!$AI$2:$AI$167*_xlfn.NORM.DIST(U$3,economics!$AK$2:$AK$167,economics!$AJ$2:$AJ$167,TRUE)),0)</f>
        <v/>
      </c>
      <c r="V24" s="68">
        <f t="array" ref="V24">IF($D24,SUMPRODUCT((economics!$AG$2:$AG$167=$B24)*(economics!$D$2:$D$167="process")*economics!$AI$2:$AI$167*_xlfn.NORM.DIST(V$3,economics!$AK$2:$AK$167,economics!$AJ$2:$AJ$167,TRUE)),0)</f>
        <v/>
      </c>
      <c r="W24" s="68">
        <f t="array" ref="W24">IF($D24,SUMPRODUCT((economics!$AG$2:$AG$167=$B24)*(economics!$D$2:$D$167="process")*economics!$AI$2:$AI$167*_xlfn.NORM.DIST(W$3,economics!$AK$2:$AK$167,economics!$AJ$2:$AJ$167,TRUE)),0)</f>
        <v/>
      </c>
      <c r="X24" s="68">
        <f t="array" ref="X24">IF($D24,SUMPRODUCT((economics!$AG$2:$AG$167=$B24)*(economics!$D$2:$D$167="process")*economics!$AI$2:$AI$167*_xlfn.NORM.DIST(X$3,economics!$AK$2:$AK$167,economics!$AJ$2:$AJ$167,TRUE)),0)</f>
        <v/>
      </c>
      <c r="Y24" s="68">
        <f t="array" ref="Y24">IF($D24,SUMPRODUCT((economics!$AG$2:$AG$167=$B24)*(economics!$D$2:$D$167="process")*economics!$AI$2:$AI$167*_xlfn.NORM.DIST(Y$3,economics!$AK$2:$AK$167,economics!$AJ$2:$AJ$167,TRUE)),0)</f>
        <v/>
      </c>
      <c r="Z24" s="68">
        <f t="array" ref="Z24">IF($D24,SUMPRODUCT((economics!$AG$2:$AG$167=$B24)*(economics!$D$2:$D$167="process")*economics!$AI$2:$AI$167*_xlfn.NORM.DIST(Z$3,economics!$AK$2:$AK$167,economics!$AJ$2:$AJ$167,TRUE)),0)</f>
        <v/>
      </c>
      <c r="AA24" s="68">
        <f t="array" ref="AA24">IF($D24,SUMPRODUCT((economics!$AG$2:$AG$167=$B24)*(economics!$D$2:$D$167="process")*economics!$AI$2:$AI$167*_xlfn.NORM.DIST(AA$3,economics!$AK$2:$AK$167,economics!$AJ$2:$AJ$167,TRUE)),0)</f>
        <v/>
      </c>
      <c r="AB24" s="68">
        <f t="array" ref="AB24">IF($D24,SUMPRODUCT((economics!$AG$2:$AG$167=$B24)*(economics!$D$2:$D$167="process")*economics!$AI$2:$AI$167*_xlfn.NORM.DIST(AB$3,economics!$AK$2:$AK$167,economics!$AJ$2:$AJ$167,TRUE)),0)</f>
        <v/>
      </c>
      <c r="AC24" s="68">
        <f t="array" ref="AC24">IF($D24,SUMPRODUCT((economics!$AG$2:$AG$167=$B24)*(economics!$D$2:$D$167="process")*economics!$AI$2:$AI$167*_xlfn.NORM.DIST(AC$3,economics!$AK$2:$AK$167,economics!$AJ$2:$AJ$167,TRUE)),0)</f>
        <v/>
      </c>
      <c r="AD24" s="68">
        <f t="array" ref="AD24">IF($D24,SUMPRODUCT((economics!$AG$2:$AG$167=$B24)*(economics!$D$2:$D$167="process")*economics!$AI$2:$AI$167*_xlfn.NORM.DIST(AD$3,economics!$AK$2:$AK$167,economics!$AJ$2:$AJ$167,TRUE)),0)</f>
        <v/>
      </c>
      <c r="AE24" s="68">
        <f t="array" ref="AE24">IF($D24,SUMPRODUCT((economics!$AG$2:$AG$167=$B24)*(economics!$D$2:$D$167="process")*economics!$AI$2:$AI$167*_xlfn.NORM.DIST(AE$3,economics!$AK$2:$AK$167,economics!$AJ$2:$AJ$167,TRUE)),0)</f>
        <v/>
      </c>
      <c r="AF24" s="68">
        <f t="array" ref="AF24">IF($D24,SUMPRODUCT((economics!$AG$2:$AG$167=$B24)*(economics!$D$2:$D$167="process")*economics!$AI$2:$AI$167*_xlfn.NORM.DIST(AF$3,economics!$AK$2:$AK$167,economics!$AJ$2:$AJ$167,TRUE)),0)</f>
        <v/>
      </c>
      <c r="AG24" s="68">
        <f t="array" ref="AG24">IF($D24,SUMPRODUCT((economics!$AG$2:$AG$167=$B24)*(economics!$D$2:$D$167="process")*economics!$AI$2:$AI$167*_xlfn.NORM.DIST(AG$3,economics!$AK$2:$AK$167,economics!$AJ$2:$AJ$167,TRUE)),0)</f>
        <v/>
      </c>
      <c r="AH24" s="68">
        <f t="array" ref="AH24">IF($D24,SUMPRODUCT((economics!$AG$2:$AG$167=$B24)*(economics!$D$2:$D$167="process")*economics!$AI$2:$AI$167*_xlfn.NORM.DIST(AH$3,economics!$AK$2:$AK$167,economics!$AJ$2:$AJ$167,TRUE)),0)</f>
        <v/>
      </c>
      <c r="AI24" s="68">
        <f t="array" ref="AI24">IF($D24,SUMPRODUCT((economics!$AG$2:$AG$167=$B24)*(economics!$D$2:$D$167="process")*economics!$AI$2:$AI$167*_xlfn.NORM.DIST(AI$3,economics!$AK$2:$AK$167,economics!$AJ$2:$AJ$167,TRUE)),0)</f>
        <v/>
      </c>
      <c r="AJ24" s="68">
        <f t="array" ref="AJ24">IF($D24,SUMPRODUCT((economics!$AG$2:$AG$167=$B24)*(economics!$D$2:$D$167="process")*economics!$AI$2:$AI$167*_xlfn.NORM.DIST(AJ$3,economics!$AK$2:$AK$167,economics!$AJ$2:$AJ$167,TRUE)),0)</f>
        <v/>
      </c>
      <c r="AK24" s="68">
        <f t="array" ref="AK24">IF($D24,SUMPRODUCT((economics!$AG$2:$AG$167=$B24)*(economics!$D$2:$D$167="process")*economics!$AI$2:$AI$167*_xlfn.NORM.DIST(AK$3,economics!$AK$2:$AK$167,economics!$AJ$2:$AJ$167,TRUE)),0)</f>
        <v/>
      </c>
      <c r="AL24" s="68">
        <f t="array" ref="AL24">IF($D24,SUMPRODUCT((economics!$AG$2:$AG$167=$B24)*(economics!$D$2:$D$167="process")*economics!$AI$2:$AI$167*_xlfn.NORM.DIST(AL$3,economics!$AK$2:$AK$167,economics!$AJ$2:$AJ$167,TRUE)),0)</f>
        <v/>
      </c>
      <c r="AM24" s="68">
        <f t="array" ref="AM24">IF($D24,SUMPRODUCT((economics!$AG$2:$AG$167=$B24)*(economics!$D$2:$D$167="process")*economics!$AI$2:$AI$167*_xlfn.NORM.DIST(AM$3,economics!$AK$2:$AK$167,economics!$AJ$2:$AJ$167,TRUE)),0)</f>
        <v/>
      </c>
      <c r="AN24" s="68">
        <f t="array" ref="AN24">IF($D24,SUMPRODUCT((economics!$AG$2:$AG$167=$B24)*(economics!$D$2:$D$167="process")*economics!$AI$2:$AI$167*_xlfn.NORM.DIST(AN$3,economics!$AK$2:$AK$167,economics!$AJ$2:$AJ$167,TRUE)),0)</f>
        <v/>
      </c>
      <c r="AO24" s="68">
        <f t="array" ref="AO24">IF($D24,SUMPRODUCT((economics!$AG$2:$AG$167=$B24)*(economics!$D$2:$D$167="process")*economics!$AI$2:$AI$167*_xlfn.NORM.DIST(AO$3,economics!$AK$2:$AK$167,economics!$AJ$2:$AJ$167,TRUE)),0)</f>
        <v/>
      </c>
      <c r="AP24" s="68">
        <f t="array" ref="AP24">IF($D24,SUMPRODUCT((economics!$AG$2:$AG$167=$B24)*(economics!$D$2:$D$167="process")*economics!$AI$2:$AI$167*_xlfn.NORM.DIST(AP$3,economics!$AK$2:$AK$167,economics!$AJ$2:$AJ$167,TRUE)),0)</f>
        <v/>
      </c>
      <c r="AQ24" s="68">
        <f t="array" ref="AQ24">IF($D24,SUMPRODUCT((economics!$AG$2:$AG$167=$B24)*(economics!$D$2:$D$167="process")*economics!$AI$2:$AI$167*_xlfn.NORM.DIST(AQ$3,economics!$AK$2:$AK$167,economics!$AJ$2:$AJ$167,TRUE)),0)</f>
        <v/>
      </c>
      <c r="AR24" s="68">
        <f t="array" ref="AR24">IF($D24,SUMPRODUCT((economics!$AG$2:$AG$167=$B24)*(economics!$D$2:$D$167="process")*economics!$AI$2:$AI$167*_xlfn.NORM.DIST(AR$3,economics!$AK$2:$AK$167,economics!$AJ$2:$AJ$167,TRUE)),0)</f>
        <v/>
      </c>
      <c r="AS24" s="68">
        <f t="array" ref="AS24">IF($D24,SUMPRODUCT((economics!$AG$2:$AG$167=$B24)*(economics!$D$2:$D$167="process")*economics!$AI$2:$AI$167*_xlfn.NORM.DIST(AS$3,economics!$AK$2:$AK$167,economics!$AJ$2:$AJ$167,TRUE)),0)</f>
        <v/>
      </c>
      <c r="AT24" s="68">
        <f t="array" ref="AT24">IF($D24,SUMPRODUCT((economics!$AG$2:$AG$167=$B24)*(economics!$D$2:$D$167="process")*economics!$AI$2:$AI$167*_xlfn.NORM.DIST(AT$3,economics!$AK$2:$AK$167,economics!$AJ$2:$AJ$167,TRUE)),0)</f>
        <v/>
      </c>
      <c r="AU24" s="68">
        <f t="array" ref="AU24">IF($D24,SUMPRODUCT((economics!$AG$2:$AG$167=$B24)*(economics!$D$2:$D$167="process")*economics!$AI$2:$AI$167*_xlfn.NORM.DIST(AU$3,economics!$AK$2:$AK$167,economics!$AJ$2:$AJ$167,TRUE)),0)</f>
        <v/>
      </c>
      <c r="AV24" s="68">
        <f t="array" ref="AV24">IF($D24,SUMPRODUCT((economics!$AG$2:$AG$167=$B24)*(economics!$D$2:$D$167="process")*economics!$AI$2:$AI$167*_xlfn.NORM.DIST(AV$3,economics!$AK$2:$AK$167,economics!$AJ$2:$AJ$167,TRUE)),0)</f>
        <v/>
      </c>
      <c r="AW24" s="68">
        <f t="array" ref="AW24">IF($D24,SUMPRODUCT((economics!$AG$2:$AG$167=$B24)*(economics!$D$2:$D$167="process")*economics!$AI$2:$AI$167*_xlfn.NORM.DIST(AW$3,economics!$AK$2:$AK$167,economics!$AJ$2:$AJ$167,TRUE)),0)</f>
        <v/>
      </c>
      <c r="AX24" s="68">
        <f t="array" ref="AX24">IF($D24,SUMPRODUCT((economics!$AG$2:$AG$167=$B24)*(economics!$D$2:$D$167="process")*economics!$AI$2:$AI$167*_xlfn.NORM.DIST(AX$3,economics!$AK$2:$AK$167,economics!$AJ$2:$AJ$167,TRUE)),0)</f>
        <v/>
      </c>
      <c r="AY24" s="68">
        <f t="array" ref="AY24">IF($D24,SUMPRODUCT((economics!$AG$2:$AG$167=$B24)*(economics!$D$2:$D$167="process")*economics!$AI$2:$AI$167*_xlfn.NORM.DIST(AY$3,economics!$AK$2:$AK$167,economics!$AJ$2:$AJ$167,TRUE)),0)</f>
        <v/>
      </c>
      <c r="AZ24" s="68">
        <f t="array" ref="AZ24">IF($D24,SUMPRODUCT((economics!$AG$2:$AG$167=$B24)*(economics!$D$2:$D$167="process")*economics!$AI$2:$AI$167*_xlfn.NORM.DIST(AZ$3,economics!$AK$2:$AK$167,economics!$AJ$2:$AJ$167,TRUE)),0)</f>
        <v/>
      </c>
      <c r="BA24" s="68">
        <f t="array" ref="BA24">IF($D24,SUMPRODUCT((economics!$AG$2:$AG$167=$B24)*(economics!$D$2:$D$167="process")*economics!$AI$2:$AI$167*_xlfn.NORM.DIST(BA$3,economics!$AK$2:$AK$167,economics!$AJ$2:$AJ$167,TRUE)),0)</f>
        <v/>
      </c>
      <c r="BB24" s="68">
        <f t="array" ref="BB24">IF($D24,SUMPRODUCT((economics!$AG$2:$AG$167=$B24)*(economics!$D$2:$D$167="process")*economics!$AI$2:$AI$167*_xlfn.NORM.DIST(BB$3,economics!$AK$2:$AK$167,economics!$AJ$2:$AJ$167,TRUE)),0)</f>
        <v/>
      </c>
      <c r="BC24" s="68">
        <f t="array" ref="BC24">IF($D24,SUMPRODUCT((economics!$AG$2:$AG$167=$B24)*(economics!$D$2:$D$167="process")*economics!$AI$2:$AI$167*_xlfn.NORM.DIST(BC$3,economics!$AK$2:$AK$167,economics!$AJ$2:$AJ$167,TRUE)),0)</f>
        <v/>
      </c>
      <c r="BD24" s="68">
        <f t="array" ref="BD24">IF($D24,SUMPRODUCT((economics!$AG$2:$AG$167=$B24)*(economics!$D$2:$D$167="process")*economics!$AI$2:$AI$167*_xlfn.NORM.DIST(BD$3,economics!$AK$2:$AK$167,economics!$AJ$2:$AJ$167,TRUE)),0)</f>
        <v/>
      </c>
      <c r="BE24" s="68">
        <f t="array" ref="BE24">IF($D24,SUMPRODUCT((economics!$AG$2:$AG$167=$B24)*(economics!$D$2:$D$167="process")*economics!$AI$2:$AI$167*_xlfn.NORM.DIST(BE$3,economics!$AK$2:$AK$167,economics!$AJ$2:$AJ$167,TRUE)),0)</f>
        <v/>
      </c>
      <c r="BF24" s="68">
        <f t="array" ref="BF24">IF($D24,SUMPRODUCT((economics!$AG$2:$AG$167=$B24)*(economics!$D$2:$D$167="process")*economics!$AI$2:$AI$167*_xlfn.NORM.DIST(BF$3,economics!$AK$2:$AK$167,economics!$AJ$2:$AJ$167,TRUE)),0)</f>
        <v/>
      </c>
      <c r="BG24" s="68">
        <f t="array" ref="BG24">IF($D24,SUMPRODUCT((economics!$AG$2:$AG$167=$B24)*(economics!$D$2:$D$167="process")*economics!$AI$2:$AI$167*_xlfn.NORM.DIST(BG$3,economics!$AK$2:$AK$167,economics!$AJ$2:$AJ$167,TRUE)),0)</f>
        <v/>
      </c>
      <c r="BH24" s="68">
        <f t="array" ref="BH24">IF($D24,SUMPRODUCT((economics!$AG$2:$AG$167=$B24)*(economics!$D$2:$D$167="process")*economics!$AI$2:$AI$167*_xlfn.NORM.DIST(BH$3,economics!$AK$2:$AK$167,economics!$AJ$2:$AJ$167,TRUE)),0)</f>
        <v/>
      </c>
      <c r="BI24" s="68">
        <f t="array" ref="BI24">IF($D24,SUMPRODUCT((economics!$AG$2:$AG$167=$B24)*(economics!$D$2:$D$167="process")*economics!$AI$2:$AI$167*_xlfn.NORM.DIST(BI$3,economics!$AK$2:$AK$167,economics!$AJ$2:$AJ$167,TRUE)),0)</f>
        <v/>
      </c>
      <c r="BJ24" s="68">
        <f t="array" ref="BJ24">IF($D24,SUMPRODUCT((economics!$AG$2:$AG$167=$B24)*(economics!$D$2:$D$167="process")*economics!$AI$2:$AI$167*_xlfn.NORM.DIST(BJ$3,economics!$AK$2:$AK$167,economics!$AJ$2:$AJ$167,TRUE)),0)</f>
        <v/>
      </c>
      <c r="BK24" s="68">
        <f t="array" ref="BK24">IF($D24,SUMPRODUCT((economics!$AG$2:$AG$167=$B24)*(economics!$D$2:$D$167="process")*economics!$AI$2:$AI$167*_xlfn.NORM.DIST(BK$3,economics!$AK$2:$AK$167,economics!$AJ$2:$AJ$167,TRUE)),0)</f>
        <v/>
      </c>
      <c r="BL24" s="68">
        <f t="array" ref="BL24">IF($D24,SUMPRODUCT((economics!$AG$2:$AG$167=$B24)*(economics!$D$2:$D$167="process")*economics!$AI$2:$AI$167*_xlfn.NORM.DIST(BL$3,economics!$AK$2:$AK$167,economics!$AJ$2:$AJ$167,TRUE)),0)</f>
        <v/>
      </c>
      <c r="BM24" s="68">
        <f t="array" ref="BM24">IF($D24,SUMPRODUCT((economics!$AG$2:$AG$167=$B24)*(economics!$D$2:$D$167="process")*economics!$AI$2:$AI$167*_xlfn.NORM.DIST(BM$3,economics!$AK$2:$AK$167,economics!$AJ$2:$AJ$167,TRUE)),0)</f>
        <v/>
      </c>
      <c r="BN24" s="68">
        <f t="array" ref="BN24">IF($D24,SUMPRODUCT((economics!$AG$2:$AG$167=$B24)*(economics!$D$2:$D$167="process")*economics!$AI$2:$AI$167*_xlfn.NORM.DIST(BN$3,economics!$AK$2:$AK$167,economics!$AJ$2:$AJ$167,TRUE)),0)</f>
        <v/>
      </c>
      <c r="BO24" s="68">
        <f t="array" ref="BO24">IF($D24,SUMPRODUCT((economics!$AG$2:$AG$167=$B24)*(economics!$D$2:$D$167="process")*economics!$AI$2:$AI$167*_xlfn.NORM.DIST(BO$3,economics!$AK$2:$AK$167,economics!$AJ$2:$AJ$167,TRUE)),0)</f>
        <v/>
      </c>
      <c r="BP24" s="68">
        <f t="array" ref="BP24">IF($D24,SUMPRODUCT((economics!$AG$2:$AG$167=$B24)*(economics!$D$2:$D$167="process")*economics!$AI$2:$AI$167*_xlfn.NORM.DIST(BP$3,economics!$AK$2:$AK$167,economics!$AJ$2:$AJ$167,TRUE)),0)</f>
        <v/>
      </c>
      <c r="BQ24" s="68">
        <f t="array" ref="BQ24">IF($D24,SUMPRODUCT((economics!$AG$2:$AG$167=$B24)*(economics!$D$2:$D$167="process")*economics!$AI$2:$AI$167*_xlfn.NORM.DIST(BQ$3,economics!$AK$2:$AK$167,economics!$AJ$2:$AJ$167,TRUE)),0)</f>
        <v/>
      </c>
      <c r="BR24" s="68">
        <f t="array" ref="BR24">IF($D24,SUMPRODUCT((economics!$AG$2:$AG$167=$B24)*(economics!$D$2:$D$167="process")*economics!$AI$2:$AI$167*_xlfn.NORM.DIST(BR$3,economics!$AK$2:$AK$167,economics!$AJ$2:$AJ$167,TRUE)),0)</f>
        <v/>
      </c>
      <c r="BS24" s="68">
        <f t="array" ref="BS24">IF($D24,SUMPRODUCT((economics!$AG$2:$AG$167=$B24)*(economics!$D$2:$D$167="process")*economics!$AI$2:$AI$167*_xlfn.NORM.DIST(BS$3,economics!$AK$2:$AK$167,economics!$AJ$2:$AJ$167,TRUE)),0)</f>
        <v/>
      </c>
      <c r="BT24" s="68">
        <f t="array" ref="BT24">IF($D24,SUMPRODUCT((economics!$AG$2:$AG$167=$B24)*(economics!$D$2:$D$167="process")*economics!$AI$2:$AI$167*_xlfn.NORM.DIST(BT$3,economics!$AK$2:$AK$167,economics!$AJ$2:$AJ$167,TRUE)),0)</f>
        <v/>
      </c>
      <c r="BU24" s="68">
        <f t="array" ref="BU24">IF($D24,SUMPRODUCT((economics!$AG$2:$AG$167=$B24)*(economics!$D$2:$D$167="process")*economics!$AI$2:$AI$167*_xlfn.NORM.DIST(BU$3,economics!$AK$2:$AK$167,economics!$AJ$2:$AJ$167,TRUE)),0)</f>
        <v/>
      </c>
      <c r="BV24" s="68">
        <f t="array" ref="BV24">IF($D24,SUMPRODUCT((economics!$AG$2:$AG$167=$B24)*(economics!$D$2:$D$167="process")*economics!$AI$2:$AI$167*_xlfn.NORM.DIST(BV$3,economics!$AK$2:$AK$167,economics!$AJ$2:$AJ$167,TRUE)),0)</f>
        <v/>
      </c>
      <c r="BW24" s="68">
        <f t="array" ref="BW24">IF($D24,SUMPRODUCT((economics!$AG$2:$AG$167=$B24)*(economics!$D$2:$D$167="process")*economics!$AI$2:$AI$167*_xlfn.NORM.DIST(BW$3,economics!$AK$2:$AK$167,economics!$AJ$2:$AJ$167,TRUE)),0)</f>
        <v/>
      </c>
      <c r="BX24" s="68">
        <f t="array" ref="BX24">IF($D24,SUMPRODUCT((economics!$AG$2:$AG$167=$B24)*(economics!$D$2:$D$167="process")*economics!$AI$2:$AI$167*_xlfn.NORM.DIST(BX$3,economics!$AK$2:$AK$167,economics!$AJ$2:$AJ$167,TRUE)),0)</f>
        <v/>
      </c>
      <c r="BY24" s="68">
        <f t="array" ref="BY24">IF($D24,SUMPRODUCT((economics!$AG$2:$AG$167=$B24)*(economics!$D$2:$D$167="process")*economics!$AI$2:$AI$167*_xlfn.NORM.DIST(BY$3,economics!$AK$2:$AK$167,economics!$AJ$2:$AJ$167,TRUE)),0)</f>
        <v/>
      </c>
      <c r="BZ24" s="68">
        <f t="array" ref="BZ24">IF($D24,SUMPRODUCT((economics!$AG$2:$AG$167=$B24)*(economics!$D$2:$D$167="process")*economics!$AI$2:$AI$167*_xlfn.NORM.DIST(BZ$3,economics!$AK$2:$AK$167,economics!$AJ$2:$AJ$167,TRUE)),0)</f>
        <v/>
      </c>
      <c r="CA24" s="68">
        <f t="array" ref="CA24">IF($D24,SUMPRODUCT((economics!$AG$2:$AG$167=$B24)*(economics!$D$2:$D$167="process")*economics!$AI$2:$AI$167*_xlfn.NORM.DIST(CA$3,economics!$AK$2:$AK$167,economics!$AJ$2:$AJ$167,TRUE)),0)</f>
        <v/>
      </c>
      <c r="CB24" s="68">
        <f t="array" ref="CB24">IF($D24,SUMPRODUCT((economics!$AG$2:$AG$167=$B24)*(economics!$D$2:$D$167="process")*economics!$AI$2:$AI$167*_xlfn.NORM.DIST(CB$3,economics!$AK$2:$AK$167,economics!$AJ$2:$AJ$167,TRUE)),0)</f>
        <v/>
      </c>
      <c r="CC24" s="68">
        <f t="array" ref="CC24">IF($D24,SUMPRODUCT((economics!$AG$2:$AG$167=$B24)*(economics!$D$2:$D$167="process")*economics!$AI$2:$AI$167*_xlfn.NORM.DIST(CC$3,economics!$AK$2:$AK$167,economics!$AJ$2:$AJ$167,TRUE)),0)</f>
        <v/>
      </c>
      <c r="CD24" s="68">
        <f t="array" ref="CD24">IF($D24,SUMPRODUCT((economics!$AG$2:$AG$167=$B24)*(economics!$D$2:$D$167="process")*economics!$AI$2:$AI$167*_xlfn.NORM.DIST(CD$3,economics!$AK$2:$AK$167,economics!$AJ$2:$AJ$167,TRUE)),0)</f>
        <v/>
      </c>
      <c r="CE24" s="68">
        <f t="array" ref="CE24">IF($D24,SUMPRODUCT((economics!$AG$2:$AG$167=$B24)*(economics!$D$2:$D$167="process")*economics!$AI$2:$AI$167*_xlfn.NORM.DIST(CE$3,economics!$AK$2:$AK$167,economics!$AJ$2:$AJ$167,TRUE)),0)</f>
        <v/>
      </c>
      <c r="CF24" s="68">
        <f t="array" ref="CF24">IF($D24,SUMPRODUCT((economics!$AG$2:$AG$167=$B24)*(economics!$D$2:$D$167="process")*economics!$AI$2:$AI$167*_xlfn.NORM.DIST(CF$3,economics!$AK$2:$AK$167,economics!$AJ$2:$AJ$167,TRUE)),0)</f>
        <v/>
      </c>
      <c r="CG24" s="68">
        <f t="array" ref="CG24">IF($D24,SUMPRODUCT((economics!$AG$2:$AG$167=$B24)*(economics!$D$2:$D$167="process")*economics!$AI$2:$AI$167*_xlfn.NORM.DIST(CG$3,economics!$AK$2:$AK$167,economics!$AJ$2:$AJ$167,TRUE)),0)</f>
        <v/>
      </c>
      <c r="CH24" s="68">
        <f t="array" ref="CH24">IF($D24,SUMPRODUCT((economics!$AG$2:$AG$167=$B24)*(economics!$D$2:$D$167="process")*economics!$AI$2:$AI$167*_xlfn.NORM.DIST(CH$3,economics!$AK$2:$AK$167,economics!$AJ$2:$AJ$167,TRUE)),0)</f>
        <v/>
      </c>
    </row>
    <row r="25">
      <c r="A25">
        <f>WHRPbI!A23</f>
        <v/>
      </c>
      <c r="B25" t="inlineStr">
        <is>
          <t>31T33</t>
        </is>
      </c>
      <c r="C25" s="68">
        <f>WHRPbI!B23</f>
        <v/>
      </c>
      <c r="D25">
        <f>ISNUMBER(MATCH($B25,'energy base (MECS)'!$K$4:$K$9,0))</f>
        <v/>
      </c>
      <c r="E25" s="68">
        <f t="array" ref="E25">IF($D25,SUMPRODUCT((economics!$AG$2:$AG$167=$B25)*(economics!$D$2:$D$167="process")*economics!$AI$2:$AI$167*_xlfn.NORM.DIST(E$3,economics!$AK$2:$AK$167,economics!$AJ$2:$AJ$167,TRUE)),0)</f>
        <v/>
      </c>
      <c r="F25" s="68">
        <f t="array" ref="F25">IF($D25,SUMPRODUCT((economics!$AG$2:$AG$167=$B25)*(economics!$D$2:$D$167="process")*economics!$AI$2:$AI$167*_xlfn.NORM.DIST(F$3,economics!$AK$2:$AK$167,economics!$AJ$2:$AJ$167,TRUE)),0)</f>
        <v/>
      </c>
      <c r="G25" s="68">
        <f t="array" ref="G25">IF($D25,SUMPRODUCT((economics!$AG$2:$AG$167=$B25)*(economics!$D$2:$D$167="process")*economics!$AI$2:$AI$167*_xlfn.NORM.DIST(G$3,economics!$AK$2:$AK$167,economics!$AJ$2:$AJ$167,TRUE)),0)</f>
        <v/>
      </c>
      <c r="H25" s="68">
        <f t="array" ref="H25">IF($D25,SUMPRODUCT((economics!$AG$2:$AG$167=$B25)*(economics!$D$2:$D$167="process")*economics!$AI$2:$AI$167*_xlfn.NORM.DIST(H$3,economics!$AK$2:$AK$167,economics!$AJ$2:$AJ$167,TRUE)),0)</f>
        <v/>
      </c>
      <c r="I25" s="68">
        <f t="array" ref="I25">IF($D25,SUMPRODUCT((economics!$AG$2:$AG$167=$B25)*(economics!$D$2:$D$167="process")*economics!$AI$2:$AI$167*_xlfn.NORM.DIST(I$3,economics!$AK$2:$AK$167,economics!$AJ$2:$AJ$167,TRUE)),0)</f>
        <v/>
      </c>
      <c r="J25" s="68">
        <f t="array" ref="J25">IF($D25,SUMPRODUCT((economics!$AG$2:$AG$167=$B25)*(economics!$D$2:$D$167="process")*economics!$AI$2:$AI$167*_xlfn.NORM.DIST(J$3,economics!$AK$2:$AK$167,economics!$AJ$2:$AJ$167,TRUE)),0)</f>
        <v/>
      </c>
      <c r="K25" s="68">
        <f t="array" ref="K25">IF($D25,SUMPRODUCT((economics!$AG$2:$AG$167=$B25)*(economics!$D$2:$D$167="process")*economics!$AI$2:$AI$167*_xlfn.NORM.DIST(K$3,economics!$AK$2:$AK$167,economics!$AJ$2:$AJ$167,TRUE)),0)</f>
        <v/>
      </c>
      <c r="L25" s="68">
        <f t="array" ref="L25">IF($D25,SUMPRODUCT((economics!$AG$2:$AG$167=$B25)*(economics!$D$2:$D$167="process")*economics!$AI$2:$AI$167*_xlfn.NORM.DIST(L$3,economics!$AK$2:$AK$167,economics!$AJ$2:$AJ$167,TRUE)),0)</f>
        <v/>
      </c>
      <c r="M25" s="68">
        <f t="array" ref="M25">IF($D25,SUMPRODUCT((economics!$AG$2:$AG$167=$B25)*(economics!$D$2:$D$167="process")*economics!$AI$2:$AI$167*_xlfn.NORM.DIST(M$3,economics!$AK$2:$AK$167,economics!$AJ$2:$AJ$167,TRUE)),0)</f>
        <v/>
      </c>
      <c r="N25" s="68">
        <f t="array" ref="N25">IF($D25,SUMPRODUCT((economics!$AG$2:$AG$167=$B25)*(economics!$D$2:$D$167="process")*economics!$AI$2:$AI$167*_xlfn.NORM.DIST(N$3,economics!$AK$2:$AK$167,economics!$AJ$2:$AJ$167,TRUE)),0)</f>
        <v/>
      </c>
      <c r="O25" s="68">
        <f t="array" ref="O25">IF($D25,SUMPRODUCT((economics!$AG$2:$AG$167=$B25)*(economics!$D$2:$D$167="process")*economics!$AI$2:$AI$167*_xlfn.NORM.DIST(O$3,economics!$AK$2:$AK$167,economics!$AJ$2:$AJ$167,TRUE)),0)</f>
        <v/>
      </c>
      <c r="P25" s="68">
        <f t="array" ref="P25">IF($D25,SUMPRODUCT((economics!$AG$2:$AG$167=$B25)*(economics!$D$2:$D$167="process")*economics!$AI$2:$AI$167*_xlfn.NORM.DIST(P$3,economics!$AK$2:$AK$167,economics!$AJ$2:$AJ$167,TRUE)),0)</f>
        <v/>
      </c>
      <c r="Q25" s="68">
        <f t="array" ref="Q25">IF($D25,SUMPRODUCT((economics!$AG$2:$AG$167=$B25)*(economics!$D$2:$D$167="process")*economics!$AI$2:$AI$167*_xlfn.NORM.DIST(Q$3,economics!$AK$2:$AK$167,economics!$AJ$2:$AJ$167,TRUE)),0)</f>
        <v/>
      </c>
      <c r="R25" s="68">
        <f t="array" ref="R25">IF($D25,SUMPRODUCT((economics!$AG$2:$AG$167=$B25)*(economics!$D$2:$D$167="process")*economics!$AI$2:$AI$167*_xlfn.NORM.DIST(R$3,economics!$AK$2:$AK$167,economics!$AJ$2:$AJ$167,TRUE)),0)</f>
        <v/>
      </c>
      <c r="S25" s="68">
        <f t="array" ref="S25">IF($D25,SUMPRODUCT((economics!$AG$2:$AG$167=$B25)*(economics!$D$2:$D$167="process")*economics!$AI$2:$AI$167*_xlfn.NORM.DIST(S$3,economics!$AK$2:$AK$167,economics!$AJ$2:$AJ$167,TRUE)),0)</f>
        <v/>
      </c>
      <c r="T25" s="68">
        <f t="array" ref="T25">IF($D25,SUMPRODUCT((economics!$AG$2:$AG$167=$B25)*(economics!$D$2:$D$167="process")*economics!$AI$2:$AI$167*_xlfn.NORM.DIST(T$3,economics!$AK$2:$AK$167,economics!$AJ$2:$AJ$167,TRUE)),0)</f>
        <v/>
      </c>
      <c r="U25" s="68">
        <f t="array" ref="U25">IF($D25,SUMPRODUCT((economics!$AG$2:$AG$167=$B25)*(economics!$D$2:$D$167="process")*economics!$AI$2:$AI$167*_xlfn.NORM.DIST(U$3,economics!$AK$2:$AK$167,economics!$AJ$2:$AJ$167,TRUE)),0)</f>
        <v/>
      </c>
      <c r="V25" s="68">
        <f t="array" ref="V25">IF($D25,SUMPRODUCT((economics!$AG$2:$AG$167=$B25)*(economics!$D$2:$D$167="process")*economics!$AI$2:$AI$167*_xlfn.NORM.DIST(V$3,economics!$AK$2:$AK$167,economics!$AJ$2:$AJ$167,TRUE)),0)</f>
        <v/>
      </c>
      <c r="W25" s="68">
        <f t="array" ref="W25">IF($D25,SUMPRODUCT((economics!$AG$2:$AG$167=$B25)*(economics!$D$2:$D$167="process")*economics!$AI$2:$AI$167*_xlfn.NORM.DIST(W$3,economics!$AK$2:$AK$167,economics!$AJ$2:$AJ$167,TRUE)),0)</f>
        <v/>
      </c>
      <c r="X25" s="68">
        <f t="array" ref="X25">IF($D25,SUMPRODUCT((economics!$AG$2:$AG$167=$B25)*(economics!$D$2:$D$167="process")*economics!$AI$2:$AI$167*_xlfn.NORM.DIST(X$3,economics!$AK$2:$AK$167,economics!$AJ$2:$AJ$167,TRUE)),0)</f>
        <v/>
      </c>
      <c r="Y25" s="68">
        <f t="array" ref="Y25">IF($D25,SUMPRODUCT((economics!$AG$2:$AG$167=$B25)*(economics!$D$2:$D$167="process")*economics!$AI$2:$AI$167*_xlfn.NORM.DIST(Y$3,economics!$AK$2:$AK$167,economics!$AJ$2:$AJ$167,TRUE)),0)</f>
        <v/>
      </c>
      <c r="Z25" s="68">
        <f t="array" ref="Z25">IF($D25,SUMPRODUCT((economics!$AG$2:$AG$167=$B25)*(economics!$D$2:$D$167="process")*economics!$AI$2:$AI$167*_xlfn.NORM.DIST(Z$3,economics!$AK$2:$AK$167,economics!$AJ$2:$AJ$167,TRUE)),0)</f>
        <v/>
      </c>
      <c r="AA25" s="68">
        <f t="array" ref="AA25">IF($D25,SUMPRODUCT((economics!$AG$2:$AG$167=$B25)*(economics!$D$2:$D$167="process")*economics!$AI$2:$AI$167*_xlfn.NORM.DIST(AA$3,economics!$AK$2:$AK$167,economics!$AJ$2:$AJ$167,TRUE)),0)</f>
        <v/>
      </c>
      <c r="AB25" s="68">
        <f t="array" ref="AB25">IF($D25,SUMPRODUCT((economics!$AG$2:$AG$167=$B25)*(economics!$D$2:$D$167="process")*economics!$AI$2:$AI$167*_xlfn.NORM.DIST(AB$3,economics!$AK$2:$AK$167,economics!$AJ$2:$AJ$167,TRUE)),0)</f>
        <v/>
      </c>
      <c r="AC25" s="68">
        <f t="array" ref="AC25">IF($D25,SUMPRODUCT((economics!$AG$2:$AG$167=$B25)*(economics!$D$2:$D$167="process")*economics!$AI$2:$AI$167*_xlfn.NORM.DIST(AC$3,economics!$AK$2:$AK$167,economics!$AJ$2:$AJ$167,TRUE)),0)</f>
        <v/>
      </c>
      <c r="AD25" s="68">
        <f t="array" ref="AD25">IF($D25,SUMPRODUCT((economics!$AG$2:$AG$167=$B25)*(economics!$D$2:$D$167="process")*economics!$AI$2:$AI$167*_xlfn.NORM.DIST(AD$3,economics!$AK$2:$AK$167,economics!$AJ$2:$AJ$167,TRUE)),0)</f>
        <v/>
      </c>
      <c r="AE25" s="68">
        <f t="array" ref="AE25">IF($D25,SUMPRODUCT((economics!$AG$2:$AG$167=$B25)*(economics!$D$2:$D$167="process")*economics!$AI$2:$AI$167*_xlfn.NORM.DIST(AE$3,economics!$AK$2:$AK$167,economics!$AJ$2:$AJ$167,TRUE)),0)</f>
        <v/>
      </c>
      <c r="AF25" s="68">
        <f t="array" ref="AF25">IF($D25,SUMPRODUCT((economics!$AG$2:$AG$167=$B25)*(economics!$D$2:$D$167="process")*economics!$AI$2:$AI$167*_xlfn.NORM.DIST(AF$3,economics!$AK$2:$AK$167,economics!$AJ$2:$AJ$167,TRUE)),0)</f>
        <v/>
      </c>
      <c r="AG25" s="68">
        <f t="array" ref="AG25">IF($D25,SUMPRODUCT((economics!$AG$2:$AG$167=$B25)*(economics!$D$2:$D$167="process")*economics!$AI$2:$AI$167*_xlfn.NORM.DIST(AG$3,economics!$AK$2:$AK$167,economics!$AJ$2:$AJ$167,TRUE)),0)</f>
        <v/>
      </c>
      <c r="AH25" s="68">
        <f t="array" ref="AH25">IF($D25,SUMPRODUCT((economics!$AG$2:$AG$167=$B25)*(economics!$D$2:$D$167="process")*economics!$AI$2:$AI$167*_xlfn.NORM.DIST(AH$3,economics!$AK$2:$AK$167,economics!$AJ$2:$AJ$167,TRUE)),0)</f>
        <v/>
      </c>
      <c r="AI25" s="68">
        <f t="array" ref="AI25">IF($D25,SUMPRODUCT((economics!$AG$2:$AG$167=$B25)*(economics!$D$2:$D$167="process")*economics!$AI$2:$AI$167*_xlfn.NORM.DIST(AI$3,economics!$AK$2:$AK$167,economics!$AJ$2:$AJ$167,TRUE)),0)</f>
        <v/>
      </c>
      <c r="AJ25" s="68">
        <f t="array" ref="AJ25">IF($D25,SUMPRODUCT((economics!$AG$2:$AG$167=$B25)*(economics!$D$2:$D$167="process")*economics!$AI$2:$AI$167*_xlfn.NORM.DIST(AJ$3,economics!$AK$2:$AK$167,economics!$AJ$2:$AJ$167,TRUE)),0)</f>
        <v/>
      </c>
      <c r="AK25" s="68">
        <f t="array" ref="AK25">IF($D25,SUMPRODUCT((economics!$AG$2:$AG$167=$B25)*(economics!$D$2:$D$167="process")*economics!$AI$2:$AI$167*_xlfn.NORM.DIST(AK$3,economics!$AK$2:$AK$167,economics!$AJ$2:$AJ$167,TRUE)),0)</f>
        <v/>
      </c>
      <c r="AL25" s="68">
        <f t="array" ref="AL25">IF($D25,SUMPRODUCT((economics!$AG$2:$AG$167=$B25)*(economics!$D$2:$D$167="process")*economics!$AI$2:$AI$167*_xlfn.NORM.DIST(AL$3,economics!$AK$2:$AK$167,economics!$AJ$2:$AJ$167,TRUE)),0)</f>
        <v/>
      </c>
      <c r="AM25" s="68">
        <f t="array" ref="AM25">IF($D25,SUMPRODUCT((economics!$AG$2:$AG$167=$B25)*(economics!$D$2:$D$167="process")*economics!$AI$2:$AI$167*_xlfn.NORM.DIST(AM$3,economics!$AK$2:$AK$167,economics!$AJ$2:$AJ$167,TRUE)),0)</f>
        <v/>
      </c>
      <c r="AN25" s="68">
        <f t="array" ref="AN25">IF($D25,SUMPRODUCT((economics!$AG$2:$AG$167=$B25)*(economics!$D$2:$D$167="process")*economics!$AI$2:$AI$167*_xlfn.NORM.DIST(AN$3,economics!$AK$2:$AK$167,economics!$AJ$2:$AJ$167,TRUE)),0)</f>
        <v/>
      </c>
      <c r="AO25" s="68">
        <f t="array" ref="AO25">IF($D25,SUMPRODUCT((economics!$AG$2:$AG$167=$B25)*(economics!$D$2:$D$167="process")*economics!$AI$2:$AI$167*_xlfn.NORM.DIST(AO$3,economics!$AK$2:$AK$167,economics!$AJ$2:$AJ$167,TRUE)),0)</f>
        <v/>
      </c>
      <c r="AP25" s="68">
        <f t="array" ref="AP25">IF($D25,SUMPRODUCT((economics!$AG$2:$AG$167=$B25)*(economics!$D$2:$D$167="process")*economics!$AI$2:$AI$167*_xlfn.NORM.DIST(AP$3,economics!$AK$2:$AK$167,economics!$AJ$2:$AJ$167,TRUE)),0)</f>
        <v/>
      </c>
      <c r="AQ25" s="68">
        <f t="array" ref="AQ25">IF($D25,SUMPRODUCT((economics!$AG$2:$AG$167=$B25)*(economics!$D$2:$D$167="process")*economics!$AI$2:$AI$167*_xlfn.NORM.DIST(AQ$3,economics!$AK$2:$AK$167,economics!$AJ$2:$AJ$167,TRUE)),0)</f>
        <v/>
      </c>
      <c r="AR25" s="68">
        <f t="array" ref="AR25">IF($D25,SUMPRODUCT((economics!$AG$2:$AG$167=$B25)*(economics!$D$2:$D$167="process")*economics!$AI$2:$AI$167*_xlfn.NORM.DIST(AR$3,economics!$AK$2:$AK$167,economics!$AJ$2:$AJ$167,TRUE)),0)</f>
        <v/>
      </c>
      <c r="AS25" s="68">
        <f t="array" ref="AS25">IF($D25,SUMPRODUCT((economics!$AG$2:$AG$167=$B25)*(economics!$D$2:$D$167="process")*economics!$AI$2:$AI$167*_xlfn.NORM.DIST(AS$3,economics!$AK$2:$AK$167,economics!$AJ$2:$AJ$167,TRUE)),0)</f>
        <v/>
      </c>
      <c r="AT25" s="68">
        <f t="array" ref="AT25">IF($D25,SUMPRODUCT((economics!$AG$2:$AG$167=$B25)*(economics!$D$2:$D$167="process")*economics!$AI$2:$AI$167*_xlfn.NORM.DIST(AT$3,economics!$AK$2:$AK$167,economics!$AJ$2:$AJ$167,TRUE)),0)</f>
        <v/>
      </c>
      <c r="AU25" s="68">
        <f t="array" ref="AU25">IF($D25,SUMPRODUCT((economics!$AG$2:$AG$167=$B25)*(economics!$D$2:$D$167="process")*economics!$AI$2:$AI$167*_xlfn.NORM.DIST(AU$3,economics!$AK$2:$AK$167,economics!$AJ$2:$AJ$167,TRUE)),0)</f>
        <v/>
      </c>
      <c r="AV25" s="68">
        <f t="array" ref="AV25">IF($D25,SUMPRODUCT((economics!$AG$2:$AG$167=$B25)*(economics!$D$2:$D$167="process")*economics!$AI$2:$AI$167*_xlfn.NORM.DIST(AV$3,economics!$AK$2:$AK$167,economics!$AJ$2:$AJ$167,TRUE)),0)</f>
        <v/>
      </c>
      <c r="AW25" s="68">
        <f t="array" ref="AW25">IF($D25,SUMPRODUCT((economics!$AG$2:$AG$167=$B25)*(economics!$D$2:$D$167="process")*economics!$AI$2:$AI$167*_xlfn.NORM.DIST(AW$3,economics!$AK$2:$AK$167,economics!$AJ$2:$AJ$167,TRUE)),0)</f>
        <v/>
      </c>
      <c r="AX25" s="68">
        <f t="array" ref="AX25">IF($D25,SUMPRODUCT((economics!$AG$2:$AG$167=$B25)*(economics!$D$2:$D$167="process")*economics!$AI$2:$AI$167*_xlfn.NORM.DIST(AX$3,economics!$AK$2:$AK$167,economics!$AJ$2:$AJ$167,TRUE)),0)</f>
        <v/>
      </c>
      <c r="AY25" s="68">
        <f t="array" ref="AY25">IF($D25,SUMPRODUCT((economics!$AG$2:$AG$167=$B25)*(economics!$D$2:$D$167="process")*economics!$AI$2:$AI$167*_xlfn.NORM.DIST(AY$3,economics!$AK$2:$AK$167,economics!$AJ$2:$AJ$167,TRUE)),0)</f>
        <v/>
      </c>
      <c r="AZ25" s="68">
        <f t="array" ref="AZ25">IF($D25,SUMPRODUCT((economics!$AG$2:$AG$167=$B25)*(economics!$D$2:$D$167="process")*economics!$AI$2:$AI$167*_xlfn.NORM.DIST(AZ$3,economics!$AK$2:$AK$167,economics!$AJ$2:$AJ$167,TRUE)),0)</f>
        <v/>
      </c>
      <c r="BA25" s="68">
        <f t="array" ref="BA25">IF($D25,SUMPRODUCT((economics!$AG$2:$AG$167=$B25)*(economics!$D$2:$D$167="process")*economics!$AI$2:$AI$167*_xlfn.NORM.DIST(BA$3,economics!$AK$2:$AK$167,economics!$AJ$2:$AJ$167,TRUE)),0)</f>
        <v/>
      </c>
      <c r="BB25" s="68">
        <f t="array" ref="BB25">IF($D25,SUMPRODUCT((economics!$AG$2:$AG$167=$B25)*(economics!$D$2:$D$167="process")*economics!$AI$2:$AI$167*_xlfn.NORM.DIST(BB$3,economics!$AK$2:$AK$167,economics!$AJ$2:$AJ$167,TRUE)),0)</f>
        <v/>
      </c>
      <c r="BC25" s="68">
        <f t="array" ref="BC25">IF($D25,SUMPRODUCT((economics!$AG$2:$AG$167=$B25)*(economics!$D$2:$D$167="process")*economics!$AI$2:$AI$167*_xlfn.NORM.DIST(BC$3,economics!$AK$2:$AK$167,economics!$AJ$2:$AJ$167,TRUE)),0)</f>
        <v/>
      </c>
      <c r="BD25" s="68">
        <f t="array" ref="BD25">IF($D25,SUMPRODUCT((economics!$AG$2:$AG$167=$B25)*(economics!$D$2:$D$167="process")*economics!$AI$2:$AI$167*_xlfn.NORM.DIST(BD$3,economics!$AK$2:$AK$167,economics!$AJ$2:$AJ$167,TRUE)),0)</f>
        <v/>
      </c>
      <c r="BE25" s="68">
        <f t="array" ref="BE25">IF($D25,SUMPRODUCT((economics!$AG$2:$AG$167=$B25)*(economics!$D$2:$D$167="process")*economics!$AI$2:$AI$167*_xlfn.NORM.DIST(BE$3,economics!$AK$2:$AK$167,economics!$AJ$2:$AJ$167,TRUE)),0)</f>
        <v/>
      </c>
      <c r="BF25" s="68">
        <f t="array" ref="BF25">IF($D25,SUMPRODUCT((economics!$AG$2:$AG$167=$B25)*(economics!$D$2:$D$167="process")*economics!$AI$2:$AI$167*_xlfn.NORM.DIST(BF$3,economics!$AK$2:$AK$167,economics!$AJ$2:$AJ$167,TRUE)),0)</f>
        <v/>
      </c>
      <c r="BG25" s="68">
        <f t="array" ref="BG25">IF($D25,SUMPRODUCT((economics!$AG$2:$AG$167=$B25)*(economics!$D$2:$D$167="process")*economics!$AI$2:$AI$167*_xlfn.NORM.DIST(BG$3,economics!$AK$2:$AK$167,economics!$AJ$2:$AJ$167,TRUE)),0)</f>
        <v/>
      </c>
      <c r="BH25" s="68">
        <f t="array" ref="BH25">IF($D25,SUMPRODUCT((economics!$AG$2:$AG$167=$B25)*(economics!$D$2:$D$167="process")*economics!$AI$2:$AI$167*_xlfn.NORM.DIST(BH$3,economics!$AK$2:$AK$167,economics!$AJ$2:$AJ$167,TRUE)),0)</f>
        <v/>
      </c>
      <c r="BI25" s="68">
        <f t="array" ref="BI25">IF($D25,SUMPRODUCT((economics!$AG$2:$AG$167=$B25)*(economics!$D$2:$D$167="process")*economics!$AI$2:$AI$167*_xlfn.NORM.DIST(BI$3,economics!$AK$2:$AK$167,economics!$AJ$2:$AJ$167,TRUE)),0)</f>
        <v/>
      </c>
      <c r="BJ25" s="68">
        <f t="array" ref="BJ25">IF($D25,SUMPRODUCT((economics!$AG$2:$AG$167=$B25)*(economics!$D$2:$D$167="process")*economics!$AI$2:$AI$167*_xlfn.NORM.DIST(BJ$3,economics!$AK$2:$AK$167,economics!$AJ$2:$AJ$167,TRUE)),0)</f>
        <v/>
      </c>
      <c r="BK25" s="68">
        <f t="array" ref="BK25">IF($D25,SUMPRODUCT((economics!$AG$2:$AG$167=$B25)*(economics!$D$2:$D$167="process")*economics!$AI$2:$AI$167*_xlfn.NORM.DIST(BK$3,economics!$AK$2:$AK$167,economics!$AJ$2:$AJ$167,TRUE)),0)</f>
        <v/>
      </c>
      <c r="BL25" s="68">
        <f t="array" ref="BL25">IF($D25,SUMPRODUCT((economics!$AG$2:$AG$167=$B25)*(economics!$D$2:$D$167="process")*economics!$AI$2:$AI$167*_xlfn.NORM.DIST(BL$3,economics!$AK$2:$AK$167,economics!$AJ$2:$AJ$167,TRUE)),0)</f>
        <v/>
      </c>
      <c r="BM25" s="68">
        <f t="array" ref="BM25">IF($D25,SUMPRODUCT((economics!$AG$2:$AG$167=$B25)*(economics!$D$2:$D$167="process")*economics!$AI$2:$AI$167*_xlfn.NORM.DIST(BM$3,economics!$AK$2:$AK$167,economics!$AJ$2:$AJ$167,TRUE)),0)</f>
        <v/>
      </c>
      <c r="BN25" s="68">
        <f t="array" ref="BN25">IF($D25,SUMPRODUCT((economics!$AG$2:$AG$167=$B25)*(economics!$D$2:$D$167="process")*economics!$AI$2:$AI$167*_xlfn.NORM.DIST(BN$3,economics!$AK$2:$AK$167,economics!$AJ$2:$AJ$167,TRUE)),0)</f>
        <v/>
      </c>
      <c r="BO25" s="68">
        <f t="array" ref="BO25">IF($D25,SUMPRODUCT((economics!$AG$2:$AG$167=$B25)*(economics!$D$2:$D$167="process")*economics!$AI$2:$AI$167*_xlfn.NORM.DIST(BO$3,economics!$AK$2:$AK$167,economics!$AJ$2:$AJ$167,TRUE)),0)</f>
        <v/>
      </c>
      <c r="BP25" s="68">
        <f t="array" ref="BP25">IF($D25,SUMPRODUCT((economics!$AG$2:$AG$167=$B25)*(economics!$D$2:$D$167="process")*economics!$AI$2:$AI$167*_xlfn.NORM.DIST(BP$3,economics!$AK$2:$AK$167,economics!$AJ$2:$AJ$167,TRUE)),0)</f>
        <v/>
      </c>
      <c r="BQ25" s="68">
        <f t="array" ref="BQ25">IF($D25,SUMPRODUCT((economics!$AG$2:$AG$167=$B25)*(economics!$D$2:$D$167="process")*economics!$AI$2:$AI$167*_xlfn.NORM.DIST(BQ$3,economics!$AK$2:$AK$167,economics!$AJ$2:$AJ$167,TRUE)),0)</f>
        <v/>
      </c>
      <c r="BR25" s="68">
        <f t="array" ref="BR25">IF($D25,SUMPRODUCT((economics!$AG$2:$AG$167=$B25)*(economics!$D$2:$D$167="process")*economics!$AI$2:$AI$167*_xlfn.NORM.DIST(BR$3,economics!$AK$2:$AK$167,economics!$AJ$2:$AJ$167,TRUE)),0)</f>
        <v/>
      </c>
      <c r="BS25" s="68">
        <f t="array" ref="BS25">IF($D25,SUMPRODUCT((economics!$AG$2:$AG$167=$B25)*(economics!$D$2:$D$167="process")*economics!$AI$2:$AI$167*_xlfn.NORM.DIST(BS$3,economics!$AK$2:$AK$167,economics!$AJ$2:$AJ$167,TRUE)),0)</f>
        <v/>
      </c>
      <c r="BT25" s="68">
        <f t="array" ref="BT25">IF($D25,SUMPRODUCT((economics!$AG$2:$AG$167=$B25)*(economics!$D$2:$D$167="process")*economics!$AI$2:$AI$167*_xlfn.NORM.DIST(BT$3,economics!$AK$2:$AK$167,economics!$AJ$2:$AJ$167,TRUE)),0)</f>
        <v/>
      </c>
      <c r="BU25" s="68">
        <f t="array" ref="BU25">IF($D25,SUMPRODUCT((economics!$AG$2:$AG$167=$B25)*(economics!$D$2:$D$167="process")*economics!$AI$2:$AI$167*_xlfn.NORM.DIST(BU$3,economics!$AK$2:$AK$167,economics!$AJ$2:$AJ$167,TRUE)),0)</f>
        <v/>
      </c>
      <c r="BV25" s="68">
        <f t="array" ref="BV25">IF($D25,SUMPRODUCT((economics!$AG$2:$AG$167=$B25)*(economics!$D$2:$D$167="process")*economics!$AI$2:$AI$167*_xlfn.NORM.DIST(BV$3,economics!$AK$2:$AK$167,economics!$AJ$2:$AJ$167,TRUE)),0)</f>
        <v/>
      </c>
      <c r="BW25" s="68">
        <f t="array" ref="BW25">IF($D25,SUMPRODUCT((economics!$AG$2:$AG$167=$B25)*(economics!$D$2:$D$167="process")*economics!$AI$2:$AI$167*_xlfn.NORM.DIST(BW$3,economics!$AK$2:$AK$167,economics!$AJ$2:$AJ$167,TRUE)),0)</f>
        <v/>
      </c>
      <c r="BX25" s="68">
        <f t="array" ref="BX25">IF($D25,SUMPRODUCT((economics!$AG$2:$AG$167=$B25)*(economics!$D$2:$D$167="process")*economics!$AI$2:$AI$167*_xlfn.NORM.DIST(BX$3,economics!$AK$2:$AK$167,economics!$AJ$2:$AJ$167,TRUE)),0)</f>
        <v/>
      </c>
      <c r="BY25" s="68">
        <f t="array" ref="BY25">IF($D25,SUMPRODUCT((economics!$AG$2:$AG$167=$B25)*(economics!$D$2:$D$167="process")*economics!$AI$2:$AI$167*_xlfn.NORM.DIST(BY$3,economics!$AK$2:$AK$167,economics!$AJ$2:$AJ$167,TRUE)),0)</f>
        <v/>
      </c>
      <c r="BZ25" s="68">
        <f t="array" ref="BZ25">IF($D25,SUMPRODUCT((economics!$AG$2:$AG$167=$B25)*(economics!$D$2:$D$167="process")*economics!$AI$2:$AI$167*_xlfn.NORM.DIST(BZ$3,economics!$AK$2:$AK$167,economics!$AJ$2:$AJ$167,TRUE)),0)</f>
        <v/>
      </c>
      <c r="CA25" s="68">
        <f t="array" ref="CA25">IF($D25,SUMPRODUCT((economics!$AG$2:$AG$167=$B25)*(economics!$D$2:$D$167="process")*economics!$AI$2:$AI$167*_xlfn.NORM.DIST(CA$3,economics!$AK$2:$AK$167,economics!$AJ$2:$AJ$167,TRUE)),0)</f>
        <v/>
      </c>
      <c r="CB25" s="68">
        <f t="array" ref="CB25">IF($D25,SUMPRODUCT((economics!$AG$2:$AG$167=$B25)*(economics!$D$2:$D$167="process")*economics!$AI$2:$AI$167*_xlfn.NORM.DIST(CB$3,economics!$AK$2:$AK$167,economics!$AJ$2:$AJ$167,TRUE)),0)</f>
        <v/>
      </c>
      <c r="CC25" s="68">
        <f t="array" ref="CC25">IF($D25,SUMPRODUCT((economics!$AG$2:$AG$167=$B25)*(economics!$D$2:$D$167="process")*economics!$AI$2:$AI$167*_xlfn.NORM.DIST(CC$3,economics!$AK$2:$AK$167,economics!$AJ$2:$AJ$167,TRUE)),0)</f>
        <v/>
      </c>
      <c r="CD25" s="68">
        <f t="array" ref="CD25">IF($D25,SUMPRODUCT((economics!$AG$2:$AG$167=$B25)*(economics!$D$2:$D$167="process")*economics!$AI$2:$AI$167*_xlfn.NORM.DIST(CD$3,economics!$AK$2:$AK$167,economics!$AJ$2:$AJ$167,TRUE)),0)</f>
        <v/>
      </c>
      <c r="CE25" s="68">
        <f t="array" ref="CE25">IF($D25,SUMPRODUCT((economics!$AG$2:$AG$167=$B25)*(economics!$D$2:$D$167="process")*economics!$AI$2:$AI$167*_xlfn.NORM.DIST(CE$3,economics!$AK$2:$AK$167,economics!$AJ$2:$AJ$167,TRUE)),0)</f>
        <v/>
      </c>
      <c r="CF25" s="68">
        <f t="array" ref="CF25">IF($D25,SUMPRODUCT((economics!$AG$2:$AG$167=$B25)*(economics!$D$2:$D$167="process")*economics!$AI$2:$AI$167*_xlfn.NORM.DIST(CF$3,economics!$AK$2:$AK$167,economics!$AJ$2:$AJ$167,TRUE)),0)</f>
        <v/>
      </c>
      <c r="CG25" s="68">
        <f t="array" ref="CG25">IF($D25,SUMPRODUCT((economics!$AG$2:$AG$167=$B25)*(economics!$D$2:$D$167="process")*economics!$AI$2:$AI$167*_xlfn.NORM.DIST(CG$3,economics!$AK$2:$AK$167,economics!$AJ$2:$AJ$167,TRUE)),0)</f>
        <v/>
      </c>
      <c r="CH25" s="68">
        <f t="array" ref="CH25">IF($D25,SUMPRODUCT((economics!$AG$2:$AG$167=$B25)*(economics!$D$2:$D$167="process")*economics!$AI$2:$AI$167*_xlfn.NORM.DIST(CH$3,economics!$AK$2:$AK$167,economics!$AJ$2:$AJ$167,TRUE)),0)</f>
        <v/>
      </c>
    </row>
    <row r="26">
      <c r="A26">
        <f>WHRPbI!A24</f>
        <v/>
      </c>
      <c r="B26" t="inlineStr">
        <is>
          <t>352T353</t>
        </is>
      </c>
      <c r="C26" s="68">
        <f>WHRPbI!B24</f>
        <v/>
      </c>
      <c r="D26">
        <f>ISNUMBER(MATCH($B26,'energy base (MECS)'!$K$4:$K$9,0))</f>
        <v/>
      </c>
      <c r="E26" s="68">
        <f t="array" ref="E26">IF($D26,SUMPRODUCT((economics!$AG$2:$AG$167=$B26)*(economics!$D$2:$D$167="process")*economics!$AI$2:$AI$167*_xlfn.NORM.DIST(E$3,economics!$AK$2:$AK$167,economics!$AJ$2:$AJ$167,TRUE)),0)</f>
        <v/>
      </c>
      <c r="F26" s="68">
        <f t="array" ref="F26">IF($D26,SUMPRODUCT((economics!$AG$2:$AG$167=$B26)*(economics!$D$2:$D$167="process")*economics!$AI$2:$AI$167*_xlfn.NORM.DIST(F$3,economics!$AK$2:$AK$167,economics!$AJ$2:$AJ$167,TRUE)),0)</f>
        <v/>
      </c>
      <c r="G26" s="68">
        <f t="array" ref="G26">IF($D26,SUMPRODUCT((economics!$AG$2:$AG$167=$B26)*(economics!$D$2:$D$167="process")*economics!$AI$2:$AI$167*_xlfn.NORM.DIST(G$3,economics!$AK$2:$AK$167,economics!$AJ$2:$AJ$167,TRUE)),0)</f>
        <v/>
      </c>
      <c r="H26" s="68">
        <f t="array" ref="H26">IF($D26,SUMPRODUCT((economics!$AG$2:$AG$167=$B26)*(economics!$D$2:$D$167="process")*economics!$AI$2:$AI$167*_xlfn.NORM.DIST(H$3,economics!$AK$2:$AK$167,economics!$AJ$2:$AJ$167,TRUE)),0)</f>
        <v/>
      </c>
      <c r="I26" s="68">
        <f t="array" ref="I26">IF($D26,SUMPRODUCT((economics!$AG$2:$AG$167=$B26)*(economics!$D$2:$D$167="process")*economics!$AI$2:$AI$167*_xlfn.NORM.DIST(I$3,economics!$AK$2:$AK$167,economics!$AJ$2:$AJ$167,TRUE)),0)</f>
        <v/>
      </c>
      <c r="J26" s="68">
        <f t="array" ref="J26">IF($D26,SUMPRODUCT((economics!$AG$2:$AG$167=$B26)*(economics!$D$2:$D$167="process")*economics!$AI$2:$AI$167*_xlfn.NORM.DIST(J$3,economics!$AK$2:$AK$167,economics!$AJ$2:$AJ$167,TRUE)),0)</f>
        <v/>
      </c>
      <c r="K26" s="68">
        <f t="array" ref="K26">IF($D26,SUMPRODUCT((economics!$AG$2:$AG$167=$B26)*(economics!$D$2:$D$167="process")*economics!$AI$2:$AI$167*_xlfn.NORM.DIST(K$3,economics!$AK$2:$AK$167,economics!$AJ$2:$AJ$167,TRUE)),0)</f>
        <v/>
      </c>
      <c r="L26" s="68">
        <f t="array" ref="L26">IF($D26,SUMPRODUCT((economics!$AG$2:$AG$167=$B26)*(economics!$D$2:$D$167="process")*economics!$AI$2:$AI$167*_xlfn.NORM.DIST(L$3,economics!$AK$2:$AK$167,economics!$AJ$2:$AJ$167,TRUE)),0)</f>
        <v/>
      </c>
      <c r="M26" s="68">
        <f t="array" ref="M26">IF($D26,SUMPRODUCT((economics!$AG$2:$AG$167=$B26)*(economics!$D$2:$D$167="process")*economics!$AI$2:$AI$167*_xlfn.NORM.DIST(M$3,economics!$AK$2:$AK$167,economics!$AJ$2:$AJ$167,TRUE)),0)</f>
        <v/>
      </c>
      <c r="N26" s="68">
        <f t="array" ref="N26">IF($D26,SUMPRODUCT((economics!$AG$2:$AG$167=$B26)*(economics!$D$2:$D$167="process")*economics!$AI$2:$AI$167*_xlfn.NORM.DIST(N$3,economics!$AK$2:$AK$167,economics!$AJ$2:$AJ$167,TRUE)),0)</f>
        <v/>
      </c>
      <c r="O26" s="68">
        <f t="array" ref="O26">IF($D26,SUMPRODUCT((economics!$AG$2:$AG$167=$B26)*(economics!$D$2:$D$167="process")*economics!$AI$2:$AI$167*_xlfn.NORM.DIST(O$3,economics!$AK$2:$AK$167,economics!$AJ$2:$AJ$167,TRUE)),0)</f>
        <v/>
      </c>
      <c r="P26" s="68">
        <f t="array" ref="P26">IF($D26,SUMPRODUCT((economics!$AG$2:$AG$167=$B26)*(economics!$D$2:$D$167="process")*economics!$AI$2:$AI$167*_xlfn.NORM.DIST(P$3,economics!$AK$2:$AK$167,economics!$AJ$2:$AJ$167,TRUE)),0)</f>
        <v/>
      </c>
      <c r="Q26" s="68">
        <f t="array" ref="Q26">IF($D26,SUMPRODUCT((economics!$AG$2:$AG$167=$B26)*(economics!$D$2:$D$167="process")*economics!$AI$2:$AI$167*_xlfn.NORM.DIST(Q$3,economics!$AK$2:$AK$167,economics!$AJ$2:$AJ$167,TRUE)),0)</f>
        <v/>
      </c>
      <c r="R26" s="68">
        <f t="array" ref="R26">IF($D26,SUMPRODUCT((economics!$AG$2:$AG$167=$B26)*(economics!$D$2:$D$167="process")*economics!$AI$2:$AI$167*_xlfn.NORM.DIST(R$3,economics!$AK$2:$AK$167,economics!$AJ$2:$AJ$167,TRUE)),0)</f>
        <v/>
      </c>
      <c r="S26" s="68">
        <f t="array" ref="S26">IF($D26,SUMPRODUCT((economics!$AG$2:$AG$167=$B26)*(economics!$D$2:$D$167="process")*economics!$AI$2:$AI$167*_xlfn.NORM.DIST(S$3,economics!$AK$2:$AK$167,economics!$AJ$2:$AJ$167,TRUE)),0)</f>
        <v/>
      </c>
      <c r="T26" s="68">
        <f t="array" ref="T26">IF($D26,SUMPRODUCT((economics!$AG$2:$AG$167=$B26)*(economics!$D$2:$D$167="process")*economics!$AI$2:$AI$167*_xlfn.NORM.DIST(T$3,economics!$AK$2:$AK$167,economics!$AJ$2:$AJ$167,TRUE)),0)</f>
        <v/>
      </c>
      <c r="U26" s="68">
        <f t="array" ref="U26">IF($D26,SUMPRODUCT((economics!$AG$2:$AG$167=$B26)*(economics!$D$2:$D$167="process")*economics!$AI$2:$AI$167*_xlfn.NORM.DIST(U$3,economics!$AK$2:$AK$167,economics!$AJ$2:$AJ$167,TRUE)),0)</f>
        <v/>
      </c>
      <c r="V26" s="68">
        <f t="array" ref="V26">IF($D26,SUMPRODUCT((economics!$AG$2:$AG$167=$B26)*(economics!$D$2:$D$167="process")*economics!$AI$2:$AI$167*_xlfn.NORM.DIST(V$3,economics!$AK$2:$AK$167,economics!$AJ$2:$AJ$167,TRUE)),0)</f>
        <v/>
      </c>
      <c r="W26" s="68">
        <f t="array" ref="W26">IF($D26,SUMPRODUCT((economics!$AG$2:$AG$167=$B26)*(economics!$D$2:$D$167="process")*economics!$AI$2:$AI$167*_xlfn.NORM.DIST(W$3,economics!$AK$2:$AK$167,economics!$AJ$2:$AJ$167,TRUE)),0)</f>
        <v/>
      </c>
      <c r="X26" s="68">
        <f t="array" ref="X26">IF($D26,SUMPRODUCT((economics!$AG$2:$AG$167=$B26)*(economics!$D$2:$D$167="process")*economics!$AI$2:$AI$167*_xlfn.NORM.DIST(X$3,economics!$AK$2:$AK$167,economics!$AJ$2:$AJ$167,TRUE)),0)</f>
        <v/>
      </c>
      <c r="Y26" s="68">
        <f t="array" ref="Y26">IF($D26,SUMPRODUCT((economics!$AG$2:$AG$167=$B26)*(economics!$D$2:$D$167="process")*economics!$AI$2:$AI$167*_xlfn.NORM.DIST(Y$3,economics!$AK$2:$AK$167,economics!$AJ$2:$AJ$167,TRUE)),0)</f>
        <v/>
      </c>
      <c r="Z26" s="68">
        <f t="array" ref="Z26">IF($D26,SUMPRODUCT((economics!$AG$2:$AG$167=$B26)*(economics!$D$2:$D$167="process")*economics!$AI$2:$AI$167*_xlfn.NORM.DIST(Z$3,economics!$AK$2:$AK$167,economics!$AJ$2:$AJ$167,TRUE)),0)</f>
        <v/>
      </c>
      <c r="AA26" s="68">
        <f t="array" ref="AA26">IF($D26,SUMPRODUCT((economics!$AG$2:$AG$167=$B26)*(economics!$D$2:$D$167="process")*economics!$AI$2:$AI$167*_xlfn.NORM.DIST(AA$3,economics!$AK$2:$AK$167,economics!$AJ$2:$AJ$167,TRUE)),0)</f>
        <v/>
      </c>
      <c r="AB26" s="68">
        <f t="array" ref="AB26">IF($D26,SUMPRODUCT((economics!$AG$2:$AG$167=$B26)*(economics!$D$2:$D$167="process")*economics!$AI$2:$AI$167*_xlfn.NORM.DIST(AB$3,economics!$AK$2:$AK$167,economics!$AJ$2:$AJ$167,TRUE)),0)</f>
        <v/>
      </c>
      <c r="AC26" s="68">
        <f t="array" ref="AC26">IF($D26,SUMPRODUCT((economics!$AG$2:$AG$167=$B26)*(economics!$D$2:$D$167="process")*economics!$AI$2:$AI$167*_xlfn.NORM.DIST(AC$3,economics!$AK$2:$AK$167,economics!$AJ$2:$AJ$167,TRUE)),0)</f>
        <v/>
      </c>
      <c r="AD26" s="68">
        <f t="array" ref="AD26">IF($D26,SUMPRODUCT((economics!$AG$2:$AG$167=$B26)*(economics!$D$2:$D$167="process")*economics!$AI$2:$AI$167*_xlfn.NORM.DIST(AD$3,economics!$AK$2:$AK$167,economics!$AJ$2:$AJ$167,TRUE)),0)</f>
        <v/>
      </c>
      <c r="AE26" s="68">
        <f t="array" ref="AE26">IF($D26,SUMPRODUCT((economics!$AG$2:$AG$167=$B26)*(economics!$D$2:$D$167="process")*economics!$AI$2:$AI$167*_xlfn.NORM.DIST(AE$3,economics!$AK$2:$AK$167,economics!$AJ$2:$AJ$167,TRUE)),0)</f>
        <v/>
      </c>
      <c r="AF26" s="68">
        <f t="array" ref="AF26">IF($D26,SUMPRODUCT((economics!$AG$2:$AG$167=$B26)*(economics!$D$2:$D$167="process")*economics!$AI$2:$AI$167*_xlfn.NORM.DIST(AF$3,economics!$AK$2:$AK$167,economics!$AJ$2:$AJ$167,TRUE)),0)</f>
        <v/>
      </c>
      <c r="AG26" s="68">
        <f t="array" ref="AG26">IF($D26,SUMPRODUCT((economics!$AG$2:$AG$167=$B26)*(economics!$D$2:$D$167="process")*economics!$AI$2:$AI$167*_xlfn.NORM.DIST(AG$3,economics!$AK$2:$AK$167,economics!$AJ$2:$AJ$167,TRUE)),0)</f>
        <v/>
      </c>
      <c r="AH26" s="68">
        <f t="array" ref="AH26">IF($D26,SUMPRODUCT((economics!$AG$2:$AG$167=$B26)*(economics!$D$2:$D$167="process")*economics!$AI$2:$AI$167*_xlfn.NORM.DIST(AH$3,economics!$AK$2:$AK$167,economics!$AJ$2:$AJ$167,TRUE)),0)</f>
        <v/>
      </c>
      <c r="AI26" s="68">
        <f t="array" ref="AI26">IF($D26,SUMPRODUCT((economics!$AG$2:$AG$167=$B26)*(economics!$D$2:$D$167="process")*economics!$AI$2:$AI$167*_xlfn.NORM.DIST(AI$3,economics!$AK$2:$AK$167,economics!$AJ$2:$AJ$167,TRUE)),0)</f>
        <v/>
      </c>
      <c r="AJ26" s="68">
        <f t="array" ref="AJ26">IF($D26,SUMPRODUCT((economics!$AG$2:$AG$167=$B26)*(economics!$D$2:$D$167="process")*economics!$AI$2:$AI$167*_xlfn.NORM.DIST(AJ$3,economics!$AK$2:$AK$167,economics!$AJ$2:$AJ$167,TRUE)),0)</f>
        <v/>
      </c>
      <c r="AK26" s="68">
        <f t="array" ref="AK26">IF($D26,SUMPRODUCT((economics!$AG$2:$AG$167=$B26)*(economics!$D$2:$D$167="process")*economics!$AI$2:$AI$167*_xlfn.NORM.DIST(AK$3,economics!$AK$2:$AK$167,economics!$AJ$2:$AJ$167,TRUE)),0)</f>
        <v/>
      </c>
      <c r="AL26" s="68">
        <f t="array" ref="AL26">IF($D26,SUMPRODUCT((economics!$AG$2:$AG$167=$B26)*(economics!$D$2:$D$167="process")*economics!$AI$2:$AI$167*_xlfn.NORM.DIST(AL$3,economics!$AK$2:$AK$167,economics!$AJ$2:$AJ$167,TRUE)),0)</f>
        <v/>
      </c>
      <c r="AM26" s="68">
        <f t="array" ref="AM26">IF($D26,SUMPRODUCT((economics!$AG$2:$AG$167=$B26)*(economics!$D$2:$D$167="process")*economics!$AI$2:$AI$167*_xlfn.NORM.DIST(AM$3,economics!$AK$2:$AK$167,economics!$AJ$2:$AJ$167,TRUE)),0)</f>
        <v/>
      </c>
      <c r="AN26" s="68">
        <f t="array" ref="AN26">IF($D26,SUMPRODUCT((economics!$AG$2:$AG$167=$B26)*(economics!$D$2:$D$167="process")*economics!$AI$2:$AI$167*_xlfn.NORM.DIST(AN$3,economics!$AK$2:$AK$167,economics!$AJ$2:$AJ$167,TRUE)),0)</f>
        <v/>
      </c>
      <c r="AO26" s="68">
        <f t="array" ref="AO26">IF($D26,SUMPRODUCT((economics!$AG$2:$AG$167=$B26)*(economics!$D$2:$D$167="process")*economics!$AI$2:$AI$167*_xlfn.NORM.DIST(AO$3,economics!$AK$2:$AK$167,economics!$AJ$2:$AJ$167,TRUE)),0)</f>
        <v/>
      </c>
      <c r="AP26" s="68">
        <f t="array" ref="AP26">IF($D26,SUMPRODUCT((economics!$AG$2:$AG$167=$B26)*(economics!$D$2:$D$167="process")*economics!$AI$2:$AI$167*_xlfn.NORM.DIST(AP$3,economics!$AK$2:$AK$167,economics!$AJ$2:$AJ$167,TRUE)),0)</f>
        <v/>
      </c>
      <c r="AQ26" s="68">
        <f t="array" ref="AQ26">IF($D26,SUMPRODUCT((economics!$AG$2:$AG$167=$B26)*(economics!$D$2:$D$167="process")*economics!$AI$2:$AI$167*_xlfn.NORM.DIST(AQ$3,economics!$AK$2:$AK$167,economics!$AJ$2:$AJ$167,TRUE)),0)</f>
        <v/>
      </c>
      <c r="AR26" s="68">
        <f t="array" ref="AR26">IF($D26,SUMPRODUCT((economics!$AG$2:$AG$167=$B26)*(economics!$D$2:$D$167="process")*economics!$AI$2:$AI$167*_xlfn.NORM.DIST(AR$3,economics!$AK$2:$AK$167,economics!$AJ$2:$AJ$167,TRUE)),0)</f>
        <v/>
      </c>
      <c r="AS26" s="68">
        <f t="array" ref="AS26">IF($D26,SUMPRODUCT((economics!$AG$2:$AG$167=$B26)*(economics!$D$2:$D$167="process")*economics!$AI$2:$AI$167*_xlfn.NORM.DIST(AS$3,economics!$AK$2:$AK$167,economics!$AJ$2:$AJ$167,TRUE)),0)</f>
        <v/>
      </c>
      <c r="AT26" s="68">
        <f t="array" ref="AT26">IF($D26,SUMPRODUCT((economics!$AG$2:$AG$167=$B26)*(economics!$D$2:$D$167="process")*economics!$AI$2:$AI$167*_xlfn.NORM.DIST(AT$3,economics!$AK$2:$AK$167,economics!$AJ$2:$AJ$167,TRUE)),0)</f>
        <v/>
      </c>
      <c r="AU26" s="68">
        <f t="array" ref="AU26">IF($D26,SUMPRODUCT((economics!$AG$2:$AG$167=$B26)*(economics!$D$2:$D$167="process")*economics!$AI$2:$AI$167*_xlfn.NORM.DIST(AU$3,economics!$AK$2:$AK$167,economics!$AJ$2:$AJ$167,TRUE)),0)</f>
        <v/>
      </c>
      <c r="AV26" s="68">
        <f t="array" ref="AV26">IF($D26,SUMPRODUCT((economics!$AG$2:$AG$167=$B26)*(economics!$D$2:$D$167="process")*economics!$AI$2:$AI$167*_xlfn.NORM.DIST(AV$3,economics!$AK$2:$AK$167,economics!$AJ$2:$AJ$167,TRUE)),0)</f>
        <v/>
      </c>
      <c r="AW26" s="68">
        <f t="array" ref="AW26">IF($D26,SUMPRODUCT((economics!$AG$2:$AG$167=$B26)*(economics!$D$2:$D$167="process")*economics!$AI$2:$AI$167*_xlfn.NORM.DIST(AW$3,economics!$AK$2:$AK$167,economics!$AJ$2:$AJ$167,TRUE)),0)</f>
        <v/>
      </c>
      <c r="AX26" s="68">
        <f t="array" ref="AX26">IF($D26,SUMPRODUCT((economics!$AG$2:$AG$167=$B26)*(economics!$D$2:$D$167="process")*economics!$AI$2:$AI$167*_xlfn.NORM.DIST(AX$3,economics!$AK$2:$AK$167,economics!$AJ$2:$AJ$167,TRUE)),0)</f>
        <v/>
      </c>
      <c r="AY26" s="68">
        <f t="array" ref="AY26">IF($D26,SUMPRODUCT((economics!$AG$2:$AG$167=$B26)*(economics!$D$2:$D$167="process")*economics!$AI$2:$AI$167*_xlfn.NORM.DIST(AY$3,economics!$AK$2:$AK$167,economics!$AJ$2:$AJ$167,TRUE)),0)</f>
        <v/>
      </c>
      <c r="AZ26" s="68">
        <f t="array" ref="AZ26">IF($D26,SUMPRODUCT((economics!$AG$2:$AG$167=$B26)*(economics!$D$2:$D$167="process")*economics!$AI$2:$AI$167*_xlfn.NORM.DIST(AZ$3,economics!$AK$2:$AK$167,economics!$AJ$2:$AJ$167,TRUE)),0)</f>
        <v/>
      </c>
      <c r="BA26" s="68">
        <f t="array" ref="BA26">IF($D26,SUMPRODUCT((economics!$AG$2:$AG$167=$B26)*(economics!$D$2:$D$167="process")*economics!$AI$2:$AI$167*_xlfn.NORM.DIST(BA$3,economics!$AK$2:$AK$167,economics!$AJ$2:$AJ$167,TRUE)),0)</f>
        <v/>
      </c>
      <c r="BB26" s="68">
        <f t="array" ref="BB26">IF($D26,SUMPRODUCT((economics!$AG$2:$AG$167=$B26)*(economics!$D$2:$D$167="process")*economics!$AI$2:$AI$167*_xlfn.NORM.DIST(BB$3,economics!$AK$2:$AK$167,economics!$AJ$2:$AJ$167,TRUE)),0)</f>
        <v/>
      </c>
      <c r="BC26" s="68">
        <f t="array" ref="BC26">IF($D26,SUMPRODUCT((economics!$AG$2:$AG$167=$B26)*(economics!$D$2:$D$167="process")*economics!$AI$2:$AI$167*_xlfn.NORM.DIST(BC$3,economics!$AK$2:$AK$167,economics!$AJ$2:$AJ$167,TRUE)),0)</f>
        <v/>
      </c>
      <c r="BD26" s="68">
        <f t="array" ref="BD26">IF($D26,SUMPRODUCT((economics!$AG$2:$AG$167=$B26)*(economics!$D$2:$D$167="process")*economics!$AI$2:$AI$167*_xlfn.NORM.DIST(BD$3,economics!$AK$2:$AK$167,economics!$AJ$2:$AJ$167,TRUE)),0)</f>
        <v/>
      </c>
      <c r="BE26" s="68">
        <f t="array" ref="BE26">IF($D26,SUMPRODUCT((economics!$AG$2:$AG$167=$B26)*(economics!$D$2:$D$167="process")*economics!$AI$2:$AI$167*_xlfn.NORM.DIST(BE$3,economics!$AK$2:$AK$167,economics!$AJ$2:$AJ$167,TRUE)),0)</f>
        <v/>
      </c>
      <c r="BF26" s="68">
        <f t="array" ref="BF26">IF($D26,SUMPRODUCT((economics!$AG$2:$AG$167=$B26)*(economics!$D$2:$D$167="process")*economics!$AI$2:$AI$167*_xlfn.NORM.DIST(BF$3,economics!$AK$2:$AK$167,economics!$AJ$2:$AJ$167,TRUE)),0)</f>
        <v/>
      </c>
      <c r="BG26" s="68">
        <f t="array" ref="BG26">IF($D26,SUMPRODUCT((economics!$AG$2:$AG$167=$B26)*(economics!$D$2:$D$167="process")*economics!$AI$2:$AI$167*_xlfn.NORM.DIST(BG$3,economics!$AK$2:$AK$167,economics!$AJ$2:$AJ$167,TRUE)),0)</f>
        <v/>
      </c>
      <c r="BH26" s="68">
        <f t="array" ref="BH26">IF($D26,SUMPRODUCT((economics!$AG$2:$AG$167=$B26)*(economics!$D$2:$D$167="process")*economics!$AI$2:$AI$167*_xlfn.NORM.DIST(BH$3,economics!$AK$2:$AK$167,economics!$AJ$2:$AJ$167,TRUE)),0)</f>
        <v/>
      </c>
      <c r="BI26" s="68">
        <f t="array" ref="BI26">IF($D26,SUMPRODUCT((economics!$AG$2:$AG$167=$B26)*(economics!$D$2:$D$167="process")*economics!$AI$2:$AI$167*_xlfn.NORM.DIST(BI$3,economics!$AK$2:$AK$167,economics!$AJ$2:$AJ$167,TRUE)),0)</f>
        <v/>
      </c>
      <c r="BJ26" s="68">
        <f t="array" ref="BJ26">IF($D26,SUMPRODUCT((economics!$AG$2:$AG$167=$B26)*(economics!$D$2:$D$167="process")*economics!$AI$2:$AI$167*_xlfn.NORM.DIST(BJ$3,economics!$AK$2:$AK$167,economics!$AJ$2:$AJ$167,TRUE)),0)</f>
        <v/>
      </c>
      <c r="BK26" s="68">
        <f t="array" ref="BK26">IF($D26,SUMPRODUCT((economics!$AG$2:$AG$167=$B26)*(economics!$D$2:$D$167="process")*economics!$AI$2:$AI$167*_xlfn.NORM.DIST(BK$3,economics!$AK$2:$AK$167,economics!$AJ$2:$AJ$167,TRUE)),0)</f>
        <v/>
      </c>
      <c r="BL26" s="68">
        <f t="array" ref="BL26">IF($D26,SUMPRODUCT((economics!$AG$2:$AG$167=$B26)*(economics!$D$2:$D$167="process")*economics!$AI$2:$AI$167*_xlfn.NORM.DIST(BL$3,economics!$AK$2:$AK$167,economics!$AJ$2:$AJ$167,TRUE)),0)</f>
        <v/>
      </c>
      <c r="BM26" s="68">
        <f t="array" ref="BM26">IF($D26,SUMPRODUCT((economics!$AG$2:$AG$167=$B26)*(economics!$D$2:$D$167="process")*economics!$AI$2:$AI$167*_xlfn.NORM.DIST(BM$3,economics!$AK$2:$AK$167,economics!$AJ$2:$AJ$167,TRUE)),0)</f>
        <v/>
      </c>
      <c r="BN26" s="68">
        <f t="array" ref="BN26">IF($D26,SUMPRODUCT((economics!$AG$2:$AG$167=$B26)*(economics!$D$2:$D$167="process")*economics!$AI$2:$AI$167*_xlfn.NORM.DIST(BN$3,economics!$AK$2:$AK$167,economics!$AJ$2:$AJ$167,TRUE)),0)</f>
        <v/>
      </c>
      <c r="BO26" s="68">
        <f t="array" ref="BO26">IF($D26,SUMPRODUCT((economics!$AG$2:$AG$167=$B26)*(economics!$D$2:$D$167="process")*economics!$AI$2:$AI$167*_xlfn.NORM.DIST(BO$3,economics!$AK$2:$AK$167,economics!$AJ$2:$AJ$167,TRUE)),0)</f>
        <v/>
      </c>
      <c r="BP26" s="68">
        <f t="array" ref="BP26">IF($D26,SUMPRODUCT((economics!$AG$2:$AG$167=$B26)*(economics!$D$2:$D$167="process")*economics!$AI$2:$AI$167*_xlfn.NORM.DIST(BP$3,economics!$AK$2:$AK$167,economics!$AJ$2:$AJ$167,TRUE)),0)</f>
        <v/>
      </c>
      <c r="BQ26" s="68">
        <f t="array" ref="BQ26">IF($D26,SUMPRODUCT((economics!$AG$2:$AG$167=$B26)*(economics!$D$2:$D$167="process")*economics!$AI$2:$AI$167*_xlfn.NORM.DIST(BQ$3,economics!$AK$2:$AK$167,economics!$AJ$2:$AJ$167,TRUE)),0)</f>
        <v/>
      </c>
      <c r="BR26" s="68">
        <f t="array" ref="BR26">IF($D26,SUMPRODUCT((economics!$AG$2:$AG$167=$B26)*(economics!$D$2:$D$167="process")*economics!$AI$2:$AI$167*_xlfn.NORM.DIST(BR$3,economics!$AK$2:$AK$167,economics!$AJ$2:$AJ$167,TRUE)),0)</f>
        <v/>
      </c>
      <c r="BS26" s="68">
        <f t="array" ref="BS26">IF($D26,SUMPRODUCT((economics!$AG$2:$AG$167=$B26)*(economics!$D$2:$D$167="process")*economics!$AI$2:$AI$167*_xlfn.NORM.DIST(BS$3,economics!$AK$2:$AK$167,economics!$AJ$2:$AJ$167,TRUE)),0)</f>
        <v/>
      </c>
      <c r="BT26" s="68">
        <f t="array" ref="BT26">IF($D26,SUMPRODUCT((economics!$AG$2:$AG$167=$B26)*(economics!$D$2:$D$167="process")*economics!$AI$2:$AI$167*_xlfn.NORM.DIST(BT$3,economics!$AK$2:$AK$167,economics!$AJ$2:$AJ$167,TRUE)),0)</f>
        <v/>
      </c>
      <c r="BU26" s="68">
        <f t="array" ref="BU26">IF($D26,SUMPRODUCT((economics!$AG$2:$AG$167=$B26)*(economics!$D$2:$D$167="process")*economics!$AI$2:$AI$167*_xlfn.NORM.DIST(BU$3,economics!$AK$2:$AK$167,economics!$AJ$2:$AJ$167,TRUE)),0)</f>
        <v/>
      </c>
      <c r="BV26" s="68">
        <f t="array" ref="BV26">IF($D26,SUMPRODUCT((economics!$AG$2:$AG$167=$B26)*(economics!$D$2:$D$167="process")*economics!$AI$2:$AI$167*_xlfn.NORM.DIST(BV$3,economics!$AK$2:$AK$167,economics!$AJ$2:$AJ$167,TRUE)),0)</f>
        <v/>
      </c>
      <c r="BW26" s="68">
        <f t="array" ref="BW26">IF($D26,SUMPRODUCT((economics!$AG$2:$AG$167=$B26)*(economics!$D$2:$D$167="process")*economics!$AI$2:$AI$167*_xlfn.NORM.DIST(BW$3,economics!$AK$2:$AK$167,economics!$AJ$2:$AJ$167,TRUE)),0)</f>
        <v/>
      </c>
      <c r="BX26" s="68">
        <f t="array" ref="BX26">IF($D26,SUMPRODUCT((economics!$AG$2:$AG$167=$B26)*(economics!$D$2:$D$167="process")*economics!$AI$2:$AI$167*_xlfn.NORM.DIST(BX$3,economics!$AK$2:$AK$167,economics!$AJ$2:$AJ$167,TRUE)),0)</f>
        <v/>
      </c>
      <c r="BY26" s="68">
        <f t="array" ref="BY26">IF($D26,SUMPRODUCT((economics!$AG$2:$AG$167=$B26)*(economics!$D$2:$D$167="process")*economics!$AI$2:$AI$167*_xlfn.NORM.DIST(BY$3,economics!$AK$2:$AK$167,economics!$AJ$2:$AJ$167,TRUE)),0)</f>
        <v/>
      </c>
      <c r="BZ26" s="68">
        <f t="array" ref="BZ26">IF($D26,SUMPRODUCT((economics!$AG$2:$AG$167=$B26)*(economics!$D$2:$D$167="process")*economics!$AI$2:$AI$167*_xlfn.NORM.DIST(BZ$3,economics!$AK$2:$AK$167,economics!$AJ$2:$AJ$167,TRUE)),0)</f>
        <v/>
      </c>
      <c r="CA26" s="68">
        <f t="array" ref="CA26">IF($D26,SUMPRODUCT((economics!$AG$2:$AG$167=$B26)*(economics!$D$2:$D$167="process")*economics!$AI$2:$AI$167*_xlfn.NORM.DIST(CA$3,economics!$AK$2:$AK$167,economics!$AJ$2:$AJ$167,TRUE)),0)</f>
        <v/>
      </c>
      <c r="CB26" s="68">
        <f t="array" ref="CB26">IF($D26,SUMPRODUCT((economics!$AG$2:$AG$167=$B26)*(economics!$D$2:$D$167="process")*economics!$AI$2:$AI$167*_xlfn.NORM.DIST(CB$3,economics!$AK$2:$AK$167,economics!$AJ$2:$AJ$167,TRUE)),0)</f>
        <v/>
      </c>
      <c r="CC26" s="68">
        <f t="array" ref="CC26">IF($D26,SUMPRODUCT((economics!$AG$2:$AG$167=$B26)*(economics!$D$2:$D$167="process")*economics!$AI$2:$AI$167*_xlfn.NORM.DIST(CC$3,economics!$AK$2:$AK$167,economics!$AJ$2:$AJ$167,TRUE)),0)</f>
        <v/>
      </c>
      <c r="CD26" s="68">
        <f t="array" ref="CD26">IF($D26,SUMPRODUCT((economics!$AG$2:$AG$167=$B26)*(economics!$D$2:$D$167="process")*economics!$AI$2:$AI$167*_xlfn.NORM.DIST(CD$3,economics!$AK$2:$AK$167,economics!$AJ$2:$AJ$167,TRUE)),0)</f>
        <v/>
      </c>
      <c r="CE26" s="68">
        <f t="array" ref="CE26">IF($D26,SUMPRODUCT((economics!$AG$2:$AG$167=$B26)*(economics!$D$2:$D$167="process")*economics!$AI$2:$AI$167*_xlfn.NORM.DIST(CE$3,economics!$AK$2:$AK$167,economics!$AJ$2:$AJ$167,TRUE)),0)</f>
        <v/>
      </c>
      <c r="CF26" s="68">
        <f t="array" ref="CF26">IF($D26,SUMPRODUCT((economics!$AG$2:$AG$167=$B26)*(economics!$D$2:$D$167="process")*economics!$AI$2:$AI$167*_xlfn.NORM.DIST(CF$3,economics!$AK$2:$AK$167,economics!$AJ$2:$AJ$167,TRUE)),0)</f>
        <v/>
      </c>
      <c r="CG26" s="68">
        <f t="array" ref="CG26">IF($D26,SUMPRODUCT((economics!$AG$2:$AG$167=$B26)*(economics!$D$2:$D$167="process")*economics!$AI$2:$AI$167*_xlfn.NORM.DIST(CG$3,economics!$AK$2:$AK$167,economics!$AJ$2:$AJ$167,TRUE)),0)</f>
        <v/>
      </c>
      <c r="CH26" s="68">
        <f t="array" ref="CH26">IF($D26,SUMPRODUCT((economics!$AG$2:$AG$167=$B26)*(economics!$D$2:$D$167="process")*economics!$AI$2:$AI$167*_xlfn.NORM.DIST(CH$3,economics!$AK$2:$AK$167,economics!$AJ$2:$AJ$167,TRUE)),0)</f>
        <v/>
      </c>
    </row>
    <row r="27">
      <c r="A27">
        <f>WHRPbI!A25</f>
        <v/>
      </c>
      <c r="B27" t="inlineStr">
        <is>
          <t>36T39</t>
        </is>
      </c>
      <c r="C27" s="68">
        <f>WHRPbI!B25</f>
        <v/>
      </c>
      <c r="D27">
        <f>ISNUMBER(MATCH($B27,'energy base (MECS)'!$K$4:$K$9,0))</f>
        <v/>
      </c>
      <c r="E27" s="68">
        <f t="array" ref="E27">IF($D27,SUMPRODUCT((economics!$AG$2:$AG$167=$B27)*(economics!$D$2:$D$167="process")*economics!$AI$2:$AI$167*_xlfn.NORM.DIST(E$3,economics!$AK$2:$AK$167,economics!$AJ$2:$AJ$167,TRUE)),0)</f>
        <v/>
      </c>
      <c r="F27" s="68">
        <f t="array" ref="F27">IF($D27,SUMPRODUCT((economics!$AG$2:$AG$167=$B27)*(economics!$D$2:$D$167="process")*economics!$AI$2:$AI$167*_xlfn.NORM.DIST(F$3,economics!$AK$2:$AK$167,economics!$AJ$2:$AJ$167,TRUE)),0)</f>
        <v/>
      </c>
      <c r="G27" s="68">
        <f t="array" ref="G27">IF($D27,SUMPRODUCT((economics!$AG$2:$AG$167=$B27)*(economics!$D$2:$D$167="process")*economics!$AI$2:$AI$167*_xlfn.NORM.DIST(G$3,economics!$AK$2:$AK$167,economics!$AJ$2:$AJ$167,TRUE)),0)</f>
        <v/>
      </c>
      <c r="H27" s="68">
        <f t="array" ref="H27">IF($D27,SUMPRODUCT((economics!$AG$2:$AG$167=$B27)*(economics!$D$2:$D$167="process")*economics!$AI$2:$AI$167*_xlfn.NORM.DIST(H$3,economics!$AK$2:$AK$167,economics!$AJ$2:$AJ$167,TRUE)),0)</f>
        <v/>
      </c>
      <c r="I27" s="68">
        <f t="array" ref="I27">IF($D27,SUMPRODUCT((economics!$AG$2:$AG$167=$B27)*(economics!$D$2:$D$167="process")*economics!$AI$2:$AI$167*_xlfn.NORM.DIST(I$3,economics!$AK$2:$AK$167,economics!$AJ$2:$AJ$167,TRUE)),0)</f>
        <v/>
      </c>
      <c r="J27" s="68">
        <f t="array" ref="J27">IF($D27,SUMPRODUCT((economics!$AG$2:$AG$167=$B27)*(economics!$D$2:$D$167="process")*economics!$AI$2:$AI$167*_xlfn.NORM.DIST(J$3,economics!$AK$2:$AK$167,economics!$AJ$2:$AJ$167,TRUE)),0)</f>
        <v/>
      </c>
      <c r="K27" s="68">
        <f t="array" ref="K27">IF($D27,SUMPRODUCT((economics!$AG$2:$AG$167=$B27)*(economics!$D$2:$D$167="process")*economics!$AI$2:$AI$167*_xlfn.NORM.DIST(K$3,economics!$AK$2:$AK$167,economics!$AJ$2:$AJ$167,TRUE)),0)</f>
        <v/>
      </c>
      <c r="L27" s="68">
        <f t="array" ref="L27">IF($D27,SUMPRODUCT((economics!$AG$2:$AG$167=$B27)*(economics!$D$2:$D$167="process")*economics!$AI$2:$AI$167*_xlfn.NORM.DIST(L$3,economics!$AK$2:$AK$167,economics!$AJ$2:$AJ$167,TRUE)),0)</f>
        <v/>
      </c>
      <c r="M27" s="68">
        <f t="array" ref="M27">IF($D27,SUMPRODUCT((economics!$AG$2:$AG$167=$B27)*(economics!$D$2:$D$167="process")*economics!$AI$2:$AI$167*_xlfn.NORM.DIST(M$3,economics!$AK$2:$AK$167,economics!$AJ$2:$AJ$167,TRUE)),0)</f>
        <v/>
      </c>
      <c r="N27" s="68">
        <f t="array" ref="N27">IF($D27,SUMPRODUCT((economics!$AG$2:$AG$167=$B27)*(economics!$D$2:$D$167="process")*economics!$AI$2:$AI$167*_xlfn.NORM.DIST(N$3,economics!$AK$2:$AK$167,economics!$AJ$2:$AJ$167,TRUE)),0)</f>
        <v/>
      </c>
      <c r="O27" s="68">
        <f t="array" ref="O27">IF($D27,SUMPRODUCT((economics!$AG$2:$AG$167=$B27)*(economics!$D$2:$D$167="process")*economics!$AI$2:$AI$167*_xlfn.NORM.DIST(O$3,economics!$AK$2:$AK$167,economics!$AJ$2:$AJ$167,TRUE)),0)</f>
        <v/>
      </c>
      <c r="P27" s="68">
        <f t="array" ref="P27">IF($D27,SUMPRODUCT((economics!$AG$2:$AG$167=$B27)*(economics!$D$2:$D$167="process")*economics!$AI$2:$AI$167*_xlfn.NORM.DIST(P$3,economics!$AK$2:$AK$167,economics!$AJ$2:$AJ$167,TRUE)),0)</f>
        <v/>
      </c>
      <c r="Q27" s="68">
        <f t="array" ref="Q27">IF($D27,SUMPRODUCT((economics!$AG$2:$AG$167=$B27)*(economics!$D$2:$D$167="process")*economics!$AI$2:$AI$167*_xlfn.NORM.DIST(Q$3,economics!$AK$2:$AK$167,economics!$AJ$2:$AJ$167,TRUE)),0)</f>
        <v/>
      </c>
      <c r="R27" s="68">
        <f t="array" ref="R27">IF($D27,SUMPRODUCT((economics!$AG$2:$AG$167=$B27)*(economics!$D$2:$D$167="process")*economics!$AI$2:$AI$167*_xlfn.NORM.DIST(R$3,economics!$AK$2:$AK$167,economics!$AJ$2:$AJ$167,TRUE)),0)</f>
        <v/>
      </c>
      <c r="S27" s="68">
        <f t="array" ref="S27">IF($D27,SUMPRODUCT((economics!$AG$2:$AG$167=$B27)*(economics!$D$2:$D$167="process")*economics!$AI$2:$AI$167*_xlfn.NORM.DIST(S$3,economics!$AK$2:$AK$167,economics!$AJ$2:$AJ$167,TRUE)),0)</f>
        <v/>
      </c>
      <c r="T27" s="68">
        <f t="array" ref="T27">IF($D27,SUMPRODUCT((economics!$AG$2:$AG$167=$B27)*(economics!$D$2:$D$167="process")*economics!$AI$2:$AI$167*_xlfn.NORM.DIST(T$3,economics!$AK$2:$AK$167,economics!$AJ$2:$AJ$167,TRUE)),0)</f>
        <v/>
      </c>
      <c r="U27" s="68">
        <f t="array" ref="U27">IF($D27,SUMPRODUCT((economics!$AG$2:$AG$167=$B27)*(economics!$D$2:$D$167="process")*economics!$AI$2:$AI$167*_xlfn.NORM.DIST(U$3,economics!$AK$2:$AK$167,economics!$AJ$2:$AJ$167,TRUE)),0)</f>
        <v/>
      </c>
      <c r="V27" s="68">
        <f t="array" ref="V27">IF($D27,SUMPRODUCT((economics!$AG$2:$AG$167=$B27)*(economics!$D$2:$D$167="process")*economics!$AI$2:$AI$167*_xlfn.NORM.DIST(V$3,economics!$AK$2:$AK$167,economics!$AJ$2:$AJ$167,TRUE)),0)</f>
        <v/>
      </c>
      <c r="W27" s="68">
        <f t="array" ref="W27">IF($D27,SUMPRODUCT((economics!$AG$2:$AG$167=$B27)*(economics!$D$2:$D$167="process")*economics!$AI$2:$AI$167*_xlfn.NORM.DIST(W$3,economics!$AK$2:$AK$167,economics!$AJ$2:$AJ$167,TRUE)),0)</f>
        <v/>
      </c>
      <c r="X27" s="68">
        <f t="array" ref="X27">IF($D27,SUMPRODUCT((economics!$AG$2:$AG$167=$B27)*(economics!$D$2:$D$167="process")*economics!$AI$2:$AI$167*_xlfn.NORM.DIST(X$3,economics!$AK$2:$AK$167,economics!$AJ$2:$AJ$167,TRUE)),0)</f>
        <v/>
      </c>
      <c r="Y27" s="68">
        <f t="array" ref="Y27">IF($D27,SUMPRODUCT((economics!$AG$2:$AG$167=$B27)*(economics!$D$2:$D$167="process")*economics!$AI$2:$AI$167*_xlfn.NORM.DIST(Y$3,economics!$AK$2:$AK$167,economics!$AJ$2:$AJ$167,TRUE)),0)</f>
        <v/>
      </c>
      <c r="Z27" s="68">
        <f t="array" ref="Z27">IF($D27,SUMPRODUCT((economics!$AG$2:$AG$167=$B27)*(economics!$D$2:$D$167="process")*economics!$AI$2:$AI$167*_xlfn.NORM.DIST(Z$3,economics!$AK$2:$AK$167,economics!$AJ$2:$AJ$167,TRUE)),0)</f>
        <v/>
      </c>
      <c r="AA27" s="68">
        <f t="array" ref="AA27">IF($D27,SUMPRODUCT((economics!$AG$2:$AG$167=$B27)*(economics!$D$2:$D$167="process")*economics!$AI$2:$AI$167*_xlfn.NORM.DIST(AA$3,economics!$AK$2:$AK$167,economics!$AJ$2:$AJ$167,TRUE)),0)</f>
        <v/>
      </c>
      <c r="AB27" s="68">
        <f t="array" ref="AB27">IF($D27,SUMPRODUCT((economics!$AG$2:$AG$167=$B27)*(economics!$D$2:$D$167="process")*economics!$AI$2:$AI$167*_xlfn.NORM.DIST(AB$3,economics!$AK$2:$AK$167,economics!$AJ$2:$AJ$167,TRUE)),0)</f>
        <v/>
      </c>
      <c r="AC27" s="68">
        <f t="array" ref="AC27">IF($D27,SUMPRODUCT((economics!$AG$2:$AG$167=$B27)*(economics!$D$2:$D$167="process")*economics!$AI$2:$AI$167*_xlfn.NORM.DIST(AC$3,economics!$AK$2:$AK$167,economics!$AJ$2:$AJ$167,TRUE)),0)</f>
        <v/>
      </c>
      <c r="AD27" s="68">
        <f t="array" ref="AD27">IF($D27,SUMPRODUCT((economics!$AG$2:$AG$167=$B27)*(economics!$D$2:$D$167="process")*economics!$AI$2:$AI$167*_xlfn.NORM.DIST(AD$3,economics!$AK$2:$AK$167,economics!$AJ$2:$AJ$167,TRUE)),0)</f>
        <v/>
      </c>
      <c r="AE27" s="68">
        <f t="array" ref="AE27">IF($D27,SUMPRODUCT((economics!$AG$2:$AG$167=$B27)*(economics!$D$2:$D$167="process")*economics!$AI$2:$AI$167*_xlfn.NORM.DIST(AE$3,economics!$AK$2:$AK$167,economics!$AJ$2:$AJ$167,TRUE)),0)</f>
        <v/>
      </c>
      <c r="AF27" s="68">
        <f t="array" ref="AF27">IF($D27,SUMPRODUCT((economics!$AG$2:$AG$167=$B27)*(economics!$D$2:$D$167="process")*economics!$AI$2:$AI$167*_xlfn.NORM.DIST(AF$3,economics!$AK$2:$AK$167,economics!$AJ$2:$AJ$167,TRUE)),0)</f>
        <v/>
      </c>
      <c r="AG27" s="68">
        <f t="array" ref="AG27">IF($D27,SUMPRODUCT((economics!$AG$2:$AG$167=$B27)*(economics!$D$2:$D$167="process")*economics!$AI$2:$AI$167*_xlfn.NORM.DIST(AG$3,economics!$AK$2:$AK$167,economics!$AJ$2:$AJ$167,TRUE)),0)</f>
        <v/>
      </c>
      <c r="AH27" s="68">
        <f t="array" ref="AH27">IF($D27,SUMPRODUCT((economics!$AG$2:$AG$167=$B27)*(economics!$D$2:$D$167="process")*economics!$AI$2:$AI$167*_xlfn.NORM.DIST(AH$3,economics!$AK$2:$AK$167,economics!$AJ$2:$AJ$167,TRUE)),0)</f>
        <v/>
      </c>
      <c r="AI27" s="68">
        <f t="array" ref="AI27">IF($D27,SUMPRODUCT((economics!$AG$2:$AG$167=$B27)*(economics!$D$2:$D$167="process")*economics!$AI$2:$AI$167*_xlfn.NORM.DIST(AI$3,economics!$AK$2:$AK$167,economics!$AJ$2:$AJ$167,TRUE)),0)</f>
        <v/>
      </c>
      <c r="AJ27" s="68">
        <f t="array" ref="AJ27">IF($D27,SUMPRODUCT((economics!$AG$2:$AG$167=$B27)*(economics!$D$2:$D$167="process")*economics!$AI$2:$AI$167*_xlfn.NORM.DIST(AJ$3,economics!$AK$2:$AK$167,economics!$AJ$2:$AJ$167,TRUE)),0)</f>
        <v/>
      </c>
      <c r="AK27" s="68">
        <f t="array" ref="AK27">IF($D27,SUMPRODUCT((economics!$AG$2:$AG$167=$B27)*(economics!$D$2:$D$167="process")*economics!$AI$2:$AI$167*_xlfn.NORM.DIST(AK$3,economics!$AK$2:$AK$167,economics!$AJ$2:$AJ$167,TRUE)),0)</f>
        <v/>
      </c>
      <c r="AL27" s="68">
        <f t="array" ref="AL27">IF($D27,SUMPRODUCT((economics!$AG$2:$AG$167=$B27)*(economics!$D$2:$D$167="process")*economics!$AI$2:$AI$167*_xlfn.NORM.DIST(AL$3,economics!$AK$2:$AK$167,economics!$AJ$2:$AJ$167,TRUE)),0)</f>
        <v/>
      </c>
      <c r="AM27" s="68">
        <f t="array" ref="AM27">IF($D27,SUMPRODUCT((economics!$AG$2:$AG$167=$B27)*(economics!$D$2:$D$167="process")*economics!$AI$2:$AI$167*_xlfn.NORM.DIST(AM$3,economics!$AK$2:$AK$167,economics!$AJ$2:$AJ$167,TRUE)),0)</f>
        <v/>
      </c>
      <c r="AN27" s="68">
        <f t="array" ref="AN27">IF($D27,SUMPRODUCT((economics!$AG$2:$AG$167=$B27)*(economics!$D$2:$D$167="process")*economics!$AI$2:$AI$167*_xlfn.NORM.DIST(AN$3,economics!$AK$2:$AK$167,economics!$AJ$2:$AJ$167,TRUE)),0)</f>
        <v/>
      </c>
      <c r="AO27" s="68">
        <f t="array" ref="AO27">IF($D27,SUMPRODUCT((economics!$AG$2:$AG$167=$B27)*(economics!$D$2:$D$167="process")*economics!$AI$2:$AI$167*_xlfn.NORM.DIST(AO$3,economics!$AK$2:$AK$167,economics!$AJ$2:$AJ$167,TRUE)),0)</f>
        <v/>
      </c>
      <c r="AP27" s="68">
        <f t="array" ref="AP27">IF($D27,SUMPRODUCT((economics!$AG$2:$AG$167=$B27)*(economics!$D$2:$D$167="process")*economics!$AI$2:$AI$167*_xlfn.NORM.DIST(AP$3,economics!$AK$2:$AK$167,economics!$AJ$2:$AJ$167,TRUE)),0)</f>
        <v/>
      </c>
      <c r="AQ27" s="68">
        <f t="array" ref="AQ27">IF($D27,SUMPRODUCT((economics!$AG$2:$AG$167=$B27)*(economics!$D$2:$D$167="process")*economics!$AI$2:$AI$167*_xlfn.NORM.DIST(AQ$3,economics!$AK$2:$AK$167,economics!$AJ$2:$AJ$167,TRUE)),0)</f>
        <v/>
      </c>
      <c r="AR27" s="68">
        <f t="array" ref="AR27">IF($D27,SUMPRODUCT((economics!$AG$2:$AG$167=$B27)*(economics!$D$2:$D$167="process")*economics!$AI$2:$AI$167*_xlfn.NORM.DIST(AR$3,economics!$AK$2:$AK$167,economics!$AJ$2:$AJ$167,TRUE)),0)</f>
        <v/>
      </c>
      <c r="AS27" s="68">
        <f t="array" ref="AS27">IF($D27,SUMPRODUCT((economics!$AG$2:$AG$167=$B27)*(economics!$D$2:$D$167="process")*economics!$AI$2:$AI$167*_xlfn.NORM.DIST(AS$3,economics!$AK$2:$AK$167,economics!$AJ$2:$AJ$167,TRUE)),0)</f>
        <v/>
      </c>
      <c r="AT27" s="68">
        <f t="array" ref="AT27">IF($D27,SUMPRODUCT((economics!$AG$2:$AG$167=$B27)*(economics!$D$2:$D$167="process")*economics!$AI$2:$AI$167*_xlfn.NORM.DIST(AT$3,economics!$AK$2:$AK$167,economics!$AJ$2:$AJ$167,TRUE)),0)</f>
        <v/>
      </c>
      <c r="AU27" s="68">
        <f t="array" ref="AU27">IF($D27,SUMPRODUCT((economics!$AG$2:$AG$167=$B27)*(economics!$D$2:$D$167="process")*economics!$AI$2:$AI$167*_xlfn.NORM.DIST(AU$3,economics!$AK$2:$AK$167,economics!$AJ$2:$AJ$167,TRUE)),0)</f>
        <v/>
      </c>
      <c r="AV27" s="68">
        <f t="array" ref="AV27">IF($D27,SUMPRODUCT((economics!$AG$2:$AG$167=$B27)*(economics!$D$2:$D$167="process")*economics!$AI$2:$AI$167*_xlfn.NORM.DIST(AV$3,economics!$AK$2:$AK$167,economics!$AJ$2:$AJ$167,TRUE)),0)</f>
        <v/>
      </c>
      <c r="AW27" s="68">
        <f t="array" ref="AW27">IF($D27,SUMPRODUCT((economics!$AG$2:$AG$167=$B27)*(economics!$D$2:$D$167="process")*economics!$AI$2:$AI$167*_xlfn.NORM.DIST(AW$3,economics!$AK$2:$AK$167,economics!$AJ$2:$AJ$167,TRUE)),0)</f>
        <v/>
      </c>
      <c r="AX27" s="68">
        <f t="array" ref="AX27">IF($D27,SUMPRODUCT((economics!$AG$2:$AG$167=$B27)*(economics!$D$2:$D$167="process")*economics!$AI$2:$AI$167*_xlfn.NORM.DIST(AX$3,economics!$AK$2:$AK$167,economics!$AJ$2:$AJ$167,TRUE)),0)</f>
        <v/>
      </c>
      <c r="AY27" s="68">
        <f t="array" ref="AY27">IF($D27,SUMPRODUCT((economics!$AG$2:$AG$167=$B27)*(economics!$D$2:$D$167="process")*economics!$AI$2:$AI$167*_xlfn.NORM.DIST(AY$3,economics!$AK$2:$AK$167,economics!$AJ$2:$AJ$167,TRUE)),0)</f>
        <v/>
      </c>
      <c r="AZ27" s="68">
        <f t="array" ref="AZ27">IF($D27,SUMPRODUCT((economics!$AG$2:$AG$167=$B27)*(economics!$D$2:$D$167="process")*economics!$AI$2:$AI$167*_xlfn.NORM.DIST(AZ$3,economics!$AK$2:$AK$167,economics!$AJ$2:$AJ$167,TRUE)),0)</f>
        <v/>
      </c>
      <c r="BA27" s="68">
        <f t="array" ref="BA27">IF($D27,SUMPRODUCT((economics!$AG$2:$AG$167=$B27)*(economics!$D$2:$D$167="process")*economics!$AI$2:$AI$167*_xlfn.NORM.DIST(BA$3,economics!$AK$2:$AK$167,economics!$AJ$2:$AJ$167,TRUE)),0)</f>
        <v/>
      </c>
      <c r="BB27" s="68">
        <f t="array" ref="BB27">IF($D27,SUMPRODUCT((economics!$AG$2:$AG$167=$B27)*(economics!$D$2:$D$167="process")*economics!$AI$2:$AI$167*_xlfn.NORM.DIST(BB$3,economics!$AK$2:$AK$167,economics!$AJ$2:$AJ$167,TRUE)),0)</f>
        <v/>
      </c>
      <c r="BC27" s="68">
        <f t="array" ref="BC27">IF($D27,SUMPRODUCT((economics!$AG$2:$AG$167=$B27)*(economics!$D$2:$D$167="process")*economics!$AI$2:$AI$167*_xlfn.NORM.DIST(BC$3,economics!$AK$2:$AK$167,economics!$AJ$2:$AJ$167,TRUE)),0)</f>
        <v/>
      </c>
      <c r="BD27" s="68">
        <f t="array" ref="BD27">IF($D27,SUMPRODUCT((economics!$AG$2:$AG$167=$B27)*(economics!$D$2:$D$167="process")*economics!$AI$2:$AI$167*_xlfn.NORM.DIST(BD$3,economics!$AK$2:$AK$167,economics!$AJ$2:$AJ$167,TRUE)),0)</f>
        <v/>
      </c>
      <c r="BE27" s="68">
        <f t="array" ref="BE27">IF($D27,SUMPRODUCT((economics!$AG$2:$AG$167=$B27)*(economics!$D$2:$D$167="process")*economics!$AI$2:$AI$167*_xlfn.NORM.DIST(BE$3,economics!$AK$2:$AK$167,economics!$AJ$2:$AJ$167,TRUE)),0)</f>
        <v/>
      </c>
      <c r="BF27" s="68">
        <f t="array" ref="BF27">IF($D27,SUMPRODUCT((economics!$AG$2:$AG$167=$B27)*(economics!$D$2:$D$167="process")*economics!$AI$2:$AI$167*_xlfn.NORM.DIST(BF$3,economics!$AK$2:$AK$167,economics!$AJ$2:$AJ$167,TRUE)),0)</f>
        <v/>
      </c>
      <c r="BG27" s="68">
        <f t="array" ref="BG27">IF($D27,SUMPRODUCT((economics!$AG$2:$AG$167=$B27)*(economics!$D$2:$D$167="process")*economics!$AI$2:$AI$167*_xlfn.NORM.DIST(BG$3,economics!$AK$2:$AK$167,economics!$AJ$2:$AJ$167,TRUE)),0)</f>
        <v/>
      </c>
      <c r="BH27" s="68">
        <f t="array" ref="BH27">IF($D27,SUMPRODUCT((economics!$AG$2:$AG$167=$B27)*(economics!$D$2:$D$167="process")*economics!$AI$2:$AI$167*_xlfn.NORM.DIST(BH$3,economics!$AK$2:$AK$167,economics!$AJ$2:$AJ$167,TRUE)),0)</f>
        <v/>
      </c>
      <c r="BI27" s="68">
        <f t="array" ref="BI27">IF($D27,SUMPRODUCT((economics!$AG$2:$AG$167=$B27)*(economics!$D$2:$D$167="process")*economics!$AI$2:$AI$167*_xlfn.NORM.DIST(BI$3,economics!$AK$2:$AK$167,economics!$AJ$2:$AJ$167,TRUE)),0)</f>
        <v/>
      </c>
      <c r="BJ27" s="68">
        <f t="array" ref="BJ27">IF($D27,SUMPRODUCT((economics!$AG$2:$AG$167=$B27)*(economics!$D$2:$D$167="process")*economics!$AI$2:$AI$167*_xlfn.NORM.DIST(BJ$3,economics!$AK$2:$AK$167,economics!$AJ$2:$AJ$167,TRUE)),0)</f>
        <v/>
      </c>
      <c r="BK27" s="68">
        <f t="array" ref="BK27">IF($D27,SUMPRODUCT((economics!$AG$2:$AG$167=$B27)*(economics!$D$2:$D$167="process")*economics!$AI$2:$AI$167*_xlfn.NORM.DIST(BK$3,economics!$AK$2:$AK$167,economics!$AJ$2:$AJ$167,TRUE)),0)</f>
        <v/>
      </c>
      <c r="BL27" s="68">
        <f t="array" ref="BL27">IF($D27,SUMPRODUCT((economics!$AG$2:$AG$167=$B27)*(economics!$D$2:$D$167="process")*economics!$AI$2:$AI$167*_xlfn.NORM.DIST(BL$3,economics!$AK$2:$AK$167,economics!$AJ$2:$AJ$167,TRUE)),0)</f>
        <v/>
      </c>
      <c r="BM27" s="68">
        <f t="array" ref="BM27">IF($D27,SUMPRODUCT((economics!$AG$2:$AG$167=$B27)*(economics!$D$2:$D$167="process")*economics!$AI$2:$AI$167*_xlfn.NORM.DIST(BM$3,economics!$AK$2:$AK$167,economics!$AJ$2:$AJ$167,TRUE)),0)</f>
        <v/>
      </c>
      <c r="BN27" s="68">
        <f t="array" ref="BN27">IF($D27,SUMPRODUCT((economics!$AG$2:$AG$167=$B27)*(economics!$D$2:$D$167="process")*economics!$AI$2:$AI$167*_xlfn.NORM.DIST(BN$3,economics!$AK$2:$AK$167,economics!$AJ$2:$AJ$167,TRUE)),0)</f>
        <v/>
      </c>
      <c r="BO27" s="68">
        <f t="array" ref="BO27">IF($D27,SUMPRODUCT((economics!$AG$2:$AG$167=$B27)*(economics!$D$2:$D$167="process")*economics!$AI$2:$AI$167*_xlfn.NORM.DIST(BO$3,economics!$AK$2:$AK$167,economics!$AJ$2:$AJ$167,TRUE)),0)</f>
        <v/>
      </c>
      <c r="BP27" s="68">
        <f t="array" ref="BP27">IF($D27,SUMPRODUCT((economics!$AG$2:$AG$167=$B27)*(economics!$D$2:$D$167="process")*economics!$AI$2:$AI$167*_xlfn.NORM.DIST(BP$3,economics!$AK$2:$AK$167,economics!$AJ$2:$AJ$167,TRUE)),0)</f>
        <v/>
      </c>
      <c r="BQ27" s="68">
        <f t="array" ref="BQ27">IF($D27,SUMPRODUCT((economics!$AG$2:$AG$167=$B27)*(economics!$D$2:$D$167="process")*economics!$AI$2:$AI$167*_xlfn.NORM.DIST(BQ$3,economics!$AK$2:$AK$167,economics!$AJ$2:$AJ$167,TRUE)),0)</f>
        <v/>
      </c>
      <c r="BR27" s="68">
        <f t="array" ref="BR27">IF($D27,SUMPRODUCT((economics!$AG$2:$AG$167=$B27)*(economics!$D$2:$D$167="process")*economics!$AI$2:$AI$167*_xlfn.NORM.DIST(BR$3,economics!$AK$2:$AK$167,economics!$AJ$2:$AJ$167,TRUE)),0)</f>
        <v/>
      </c>
      <c r="BS27" s="68">
        <f t="array" ref="BS27">IF($D27,SUMPRODUCT((economics!$AG$2:$AG$167=$B27)*(economics!$D$2:$D$167="process")*economics!$AI$2:$AI$167*_xlfn.NORM.DIST(BS$3,economics!$AK$2:$AK$167,economics!$AJ$2:$AJ$167,TRUE)),0)</f>
        <v/>
      </c>
      <c r="BT27" s="68">
        <f t="array" ref="BT27">IF($D27,SUMPRODUCT((economics!$AG$2:$AG$167=$B27)*(economics!$D$2:$D$167="process")*economics!$AI$2:$AI$167*_xlfn.NORM.DIST(BT$3,economics!$AK$2:$AK$167,economics!$AJ$2:$AJ$167,TRUE)),0)</f>
        <v/>
      </c>
      <c r="BU27" s="68">
        <f t="array" ref="BU27">IF($D27,SUMPRODUCT((economics!$AG$2:$AG$167=$B27)*(economics!$D$2:$D$167="process")*economics!$AI$2:$AI$167*_xlfn.NORM.DIST(BU$3,economics!$AK$2:$AK$167,economics!$AJ$2:$AJ$167,TRUE)),0)</f>
        <v/>
      </c>
      <c r="BV27" s="68">
        <f t="array" ref="BV27">IF($D27,SUMPRODUCT((economics!$AG$2:$AG$167=$B27)*(economics!$D$2:$D$167="process")*economics!$AI$2:$AI$167*_xlfn.NORM.DIST(BV$3,economics!$AK$2:$AK$167,economics!$AJ$2:$AJ$167,TRUE)),0)</f>
        <v/>
      </c>
      <c r="BW27" s="68">
        <f t="array" ref="BW27">IF($D27,SUMPRODUCT((economics!$AG$2:$AG$167=$B27)*(economics!$D$2:$D$167="process")*economics!$AI$2:$AI$167*_xlfn.NORM.DIST(BW$3,economics!$AK$2:$AK$167,economics!$AJ$2:$AJ$167,TRUE)),0)</f>
        <v/>
      </c>
      <c r="BX27" s="68">
        <f t="array" ref="BX27">IF($D27,SUMPRODUCT((economics!$AG$2:$AG$167=$B27)*(economics!$D$2:$D$167="process")*economics!$AI$2:$AI$167*_xlfn.NORM.DIST(BX$3,economics!$AK$2:$AK$167,economics!$AJ$2:$AJ$167,TRUE)),0)</f>
        <v/>
      </c>
      <c r="BY27" s="68">
        <f t="array" ref="BY27">IF($D27,SUMPRODUCT((economics!$AG$2:$AG$167=$B27)*(economics!$D$2:$D$167="process")*economics!$AI$2:$AI$167*_xlfn.NORM.DIST(BY$3,economics!$AK$2:$AK$167,economics!$AJ$2:$AJ$167,TRUE)),0)</f>
        <v/>
      </c>
      <c r="BZ27" s="68">
        <f t="array" ref="BZ27">IF($D27,SUMPRODUCT((economics!$AG$2:$AG$167=$B27)*(economics!$D$2:$D$167="process")*economics!$AI$2:$AI$167*_xlfn.NORM.DIST(BZ$3,economics!$AK$2:$AK$167,economics!$AJ$2:$AJ$167,TRUE)),0)</f>
        <v/>
      </c>
      <c r="CA27" s="68">
        <f t="array" ref="CA27">IF($D27,SUMPRODUCT((economics!$AG$2:$AG$167=$B27)*(economics!$D$2:$D$167="process")*economics!$AI$2:$AI$167*_xlfn.NORM.DIST(CA$3,economics!$AK$2:$AK$167,economics!$AJ$2:$AJ$167,TRUE)),0)</f>
        <v/>
      </c>
      <c r="CB27" s="68">
        <f t="array" ref="CB27">IF($D27,SUMPRODUCT((economics!$AG$2:$AG$167=$B27)*(economics!$D$2:$D$167="process")*economics!$AI$2:$AI$167*_xlfn.NORM.DIST(CB$3,economics!$AK$2:$AK$167,economics!$AJ$2:$AJ$167,TRUE)),0)</f>
        <v/>
      </c>
      <c r="CC27" s="68">
        <f t="array" ref="CC27">IF($D27,SUMPRODUCT((economics!$AG$2:$AG$167=$B27)*(economics!$D$2:$D$167="process")*economics!$AI$2:$AI$167*_xlfn.NORM.DIST(CC$3,economics!$AK$2:$AK$167,economics!$AJ$2:$AJ$167,TRUE)),0)</f>
        <v/>
      </c>
      <c r="CD27" s="68">
        <f t="array" ref="CD27">IF($D27,SUMPRODUCT((economics!$AG$2:$AG$167=$B27)*(economics!$D$2:$D$167="process")*economics!$AI$2:$AI$167*_xlfn.NORM.DIST(CD$3,economics!$AK$2:$AK$167,economics!$AJ$2:$AJ$167,TRUE)),0)</f>
        <v/>
      </c>
      <c r="CE27" s="68">
        <f t="array" ref="CE27">IF($D27,SUMPRODUCT((economics!$AG$2:$AG$167=$B27)*(economics!$D$2:$D$167="process")*economics!$AI$2:$AI$167*_xlfn.NORM.DIST(CE$3,economics!$AK$2:$AK$167,economics!$AJ$2:$AJ$167,TRUE)),0)</f>
        <v/>
      </c>
      <c r="CF27" s="68">
        <f t="array" ref="CF27">IF($D27,SUMPRODUCT((economics!$AG$2:$AG$167=$B27)*(economics!$D$2:$D$167="process")*economics!$AI$2:$AI$167*_xlfn.NORM.DIST(CF$3,economics!$AK$2:$AK$167,economics!$AJ$2:$AJ$167,TRUE)),0)</f>
        <v/>
      </c>
      <c r="CG27" s="68">
        <f t="array" ref="CG27">IF($D27,SUMPRODUCT((economics!$AG$2:$AG$167=$B27)*(economics!$D$2:$D$167="process")*economics!$AI$2:$AI$167*_xlfn.NORM.DIST(CG$3,economics!$AK$2:$AK$167,economics!$AJ$2:$AJ$167,TRUE)),0)</f>
        <v/>
      </c>
      <c r="CH27" s="68">
        <f t="array" ref="CH27">IF($D27,SUMPRODUCT((economics!$AG$2:$AG$167=$B27)*(economics!$D$2:$D$167="process")*economics!$AI$2:$AI$167*_xlfn.NORM.DIST(CH$3,economics!$AK$2:$AK$167,economics!$AJ$2:$AJ$167,TRUE)),0)</f>
        <v/>
      </c>
    </row>
    <row r="28">
      <c r="A28">
        <f>WHRPbI!A26</f>
        <v/>
      </c>
      <c r="B28" t="inlineStr">
        <is>
          <t>41T43</t>
        </is>
      </c>
      <c r="C28" s="68">
        <f>WHRPbI!B26</f>
        <v/>
      </c>
      <c r="D28">
        <f>ISNUMBER(MATCH($B28,'energy base (MECS)'!$K$4:$K$9,0))</f>
        <v/>
      </c>
      <c r="E28" s="68">
        <f t="array" ref="E28">IF($D28,SUMPRODUCT((economics!$AG$2:$AG$167=$B28)*(economics!$D$2:$D$167="process")*economics!$AI$2:$AI$167*_xlfn.NORM.DIST(E$3,economics!$AK$2:$AK$167,economics!$AJ$2:$AJ$167,TRUE)),0)</f>
        <v/>
      </c>
      <c r="F28" s="68">
        <f t="array" ref="F28">IF($D28,SUMPRODUCT((economics!$AG$2:$AG$167=$B28)*(economics!$D$2:$D$167="process")*economics!$AI$2:$AI$167*_xlfn.NORM.DIST(F$3,economics!$AK$2:$AK$167,economics!$AJ$2:$AJ$167,TRUE)),0)</f>
        <v/>
      </c>
      <c r="G28" s="68">
        <f t="array" ref="G28">IF($D28,SUMPRODUCT((economics!$AG$2:$AG$167=$B28)*(economics!$D$2:$D$167="process")*economics!$AI$2:$AI$167*_xlfn.NORM.DIST(G$3,economics!$AK$2:$AK$167,economics!$AJ$2:$AJ$167,TRUE)),0)</f>
        <v/>
      </c>
      <c r="H28" s="68">
        <f t="array" ref="H28">IF($D28,SUMPRODUCT((economics!$AG$2:$AG$167=$B28)*(economics!$D$2:$D$167="process")*economics!$AI$2:$AI$167*_xlfn.NORM.DIST(H$3,economics!$AK$2:$AK$167,economics!$AJ$2:$AJ$167,TRUE)),0)</f>
        <v/>
      </c>
      <c r="I28" s="68">
        <f t="array" ref="I28">IF($D28,SUMPRODUCT((economics!$AG$2:$AG$167=$B28)*(economics!$D$2:$D$167="process")*economics!$AI$2:$AI$167*_xlfn.NORM.DIST(I$3,economics!$AK$2:$AK$167,economics!$AJ$2:$AJ$167,TRUE)),0)</f>
        <v/>
      </c>
      <c r="J28" s="68">
        <f t="array" ref="J28">IF($D28,SUMPRODUCT((economics!$AG$2:$AG$167=$B28)*(economics!$D$2:$D$167="process")*economics!$AI$2:$AI$167*_xlfn.NORM.DIST(J$3,economics!$AK$2:$AK$167,economics!$AJ$2:$AJ$167,TRUE)),0)</f>
        <v/>
      </c>
      <c r="K28" s="68">
        <f t="array" ref="K28">IF($D28,SUMPRODUCT((economics!$AG$2:$AG$167=$B28)*(economics!$D$2:$D$167="process")*economics!$AI$2:$AI$167*_xlfn.NORM.DIST(K$3,economics!$AK$2:$AK$167,economics!$AJ$2:$AJ$167,TRUE)),0)</f>
        <v/>
      </c>
      <c r="L28" s="68">
        <f t="array" ref="L28">IF($D28,SUMPRODUCT((economics!$AG$2:$AG$167=$B28)*(economics!$D$2:$D$167="process")*economics!$AI$2:$AI$167*_xlfn.NORM.DIST(L$3,economics!$AK$2:$AK$167,economics!$AJ$2:$AJ$167,TRUE)),0)</f>
        <v/>
      </c>
      <c r="M28" s="68">
        <f t="array" ref="M28">IF($D28,SUMPRODUCT((economics!$AG$2:$AG$167=$B28)*(economics!$D$2:$D$167="process")*economics!$AI$2:$AI$167*_xlfn.NORM.DIST(M$3,economics!$AK$2:$AK$167,economics!$AJ$2:$AJ$167,TRUE)),0)</f>
        <v/>
      </c>
      <c r="N28" s="68">
        <f t="array" ref="N28">IF($D28,SUMPRODUCT((economics!$AG$2:$AG$167=$B28)*(economics!$D$2:$D$167="process")*economics!$AI$2:$AI$167*_xlfn.NORM.DIST(N$3,economics!$AK$2:$AK$167,economics!$AJ$2:$AJ$167,TRUE)),0)</f>
        <v/>
      </c>
      <c r="O28" s="68">
        <f t="array" ref="O28">IF($D28,SUMPRODUCT((economics!$AG$2:$AG$167=$B28)*(economics!$D$2:$D$167="process")*economics!$AI$2:$AI$167*_xlfn.NORM.DIST(O$3,economics!$AK$2:$AK$167,economics!$AJ$2:$AJ$167,TRUE)),0)</f>
        <v/>
      </c>
      <c r="P28" s="68">
        <f t="array" ref="P28">IF($D28,SUMPRODUCT((economics!$AG$2:$AG$167=$B28)*(economics!$D$2:$D$167="process")*economics!$AI$2:$AI$167*_xlfn.NORM.DIST(P$3,economics!$AK$2:$AK$167,economics!$AJ$2:$AJ$167,TRUE)),0)</f>
        <v/>
      </c>
      <c r="Q28" s="68">
        <f t="array" ref="Q28">IF($D28,SUMPRODUCT((economics!$AG$2:$AG$167=$B28)*(economics!$D$2:$D$167="process")*economics!$AI$2:$AI$167*_xlfn.NORM.DIST(Q$3,economics!$AK$2:$AK$167,economics!$AJ$2:$AJ$167,TRUE)),0)</f>
        <v/>
      </c>
      <c r="R28" s="68">
        <f t="array" ref="R28">IF($D28,SUMPRODUCT((economics!$AG$2:$AG$167=$B28)*(economics!$D$2:$D$167="process")*economics!$AI$2:$AI$167*_xlfn.NORM.DIST(R$3,economics!$AK$2:$AK$167,economics!$AJ$2:$AJ$167,TRUE)),0)</f>
        <v/>
      </c>
      <c r="S28" s="68">
        <f t="array" ref="S28">IF($D28,SUMPRODUCT((economics!$AG$2:$AG$167=$B28)*(economics!$D$2:$D$167="process")*economics!$AI$2:$AI$167*_xlfn.NORM.DIST(S$3,economics!$AK$2:$AK$167,economics!$AJ$2:$AJ$167,TRUE)),0)</f>
        <v/>
      </c>
      <c r="T28" s="68">
        <f t="array" ref="T28">IF($D28,SUMPRODUCT((economics!$AG$2:$AG$167=$B28)*(economics!$D$2:$D$167="process")*economics!$AI$2:$AI$167*_xlfn.NORM.DIST(T$3,economics!$AK$2:$AK$167,economics!$AJ$2:$AJ$167,TRUE)),0)</f>
        <v/>
      </c>
      <c r="U28" s="68">
        <f t="array" ref="U28">IF($D28,SUMPRODUCT((economics!$AG$2:$AG$167=$B28)*(economics!$D$2:$D$167="process")*economics!$AI$2:$AI$167*_xlfn.NORM.DIST(U$3,economics!$AK$2:$AK$167,economics!$AJ$2:$AJ$167,TRUE)),0)</f>
        <v/>
      </c>
      <c r="V28" s="68">
        <f t="array" ref="V28">IF($D28,SUMPRODUCT((economics!$AG$2:$AG$167=$B28)*(economics!$D$2:$D$167="process")*economics!$AI$2:$AI$167*_xlfn.NORM.DIST(V$3,economics!$AK$2:$AK$167,economics!$AJ$2:$AJ$167,TRUE)),0)</f>
        <v/>
      </c>
      <c r="W28" s="68">
        <f t="array" ref="W28">IF($D28,SUMPRODUCT((economics!$AG$2:$AG$167=$B28)*(economics!$D$2:$D$167="process")*economics!$AI$2:$AI$167*_xlfn.NORM.DIST(W$3,economics!$AK$2:$AK$167,economics!$AJ$2:$AJ$167,TRUE)),0)</f>
        <v/>
      </c>
      <c r="X28" s="68">
        <f t="array" ref="X28">IF($D28,SUMPRODUCT((economics!$AG$2:$AG$167=$B28)*(economics!$D$2:$D$167="process")*economics!$AI$2:$AI$167*_xlfn.NORM.DIST(X$3,economics!$AK$2:$AK$167,economics!$AJ$2:$AJ$167,TRUE)),0)</f>
        <v/>
      </c>
      <c r="Y28" s="68">
        <f t="array" ref="Y28">IF($D28,SUMPRODUCT((economics!$AG$2:$AG$167=$B28)*(economics!$D$2:$D$167="process")*economics!$AI$2:$AI$167*_xlfn.NORM.DIST(Y$3,economics!$AK$2:$AK$167,economics!$AJ$2:$AJ$167,TRUE)),0)</f>
        <v/>
      </c>
      <c r="Z28" s="68">
        <f t="array" ref="Z28">IF($D28,SUMPRODUCT((economics!$AG$2:$AG$167=$B28)*(economics!$D$2:$D$167="process")*economics!$AI$2:$AI$167*_xlfn.NORM.DIST(Z$3,economics!$AK$2:$AK$167,economics!$AJ$2:$AJ$167,TRUE)),0)</f>
        <v/>
      </c>
      <c r="AA28" s="68">
        <f t="array" ref="AA28">IF($D28,SUMPRODUCT((economics!$AG$2:$AG$167=$B28)*(economics!$D$2:$D$167="process")*economics!$AI$2:$AI$167*_xlfn.NORM.DIST(AA$3,economics!$AK$2:$AK$167,economics!$AJ$2:$AJ$167,TRUE)),0)</f>
        <v/>
      </c>
      <c r="AB28" s="68">
        <f t="array" ref="AB28">IF($D28,SUMPRODUCT((economics!$AG$2:$AG$167=$B28)*(economics!$D$2:$D$167="process")*economics!$AI$2:$AI$167*_xlfn.NORM.DIST(AB$3,economics!$AK$2:$AK$167,economics!$AJ$2:$AJ$167,TRUE)),0)</f>
        <v/>
      </c>
      <c r="AC28" s="68">
        <f t="array" ref="AC28">IF($D28,SUMPRODUCT((economics!$AG$2:$AG$167=$B28)*(economics!$D$2:$D$167="process")*economics!$AI$2:$AI$167*_xlfn.NORM.DIST(AC$3,economics!$AK$2:$AK$167,economics!$AJ$2:$AJ$167,TRUE)),0)</f>
        <v/>
      </c>
      <c r="AD28" s="68">
        <f t="array" ref="AD28">IF($D28,SUMPRODUCT((economics!$AG$2:$AG$167=$B28)*(economics!$D$2:$D$167="process")*economics!$AI$2:$AI$167*_xlfn.NORM.DIST(AD$3,economics!$AK$2:$AK$167,economics!$AJ$2:$AJ$167,TRUE)),0)</f>
        <v/>
      </c>
      <c r="AE28" s="68">
        <f t="array" ref="AE28">IF($D28,SUMPRODUCT((economics!$AG$2:$AG$167=$B28)*(economics!$D$2:$D$167="process")*economics!$AI$2:$AI$167*_xlfn.NORM.DIST(AE$3,economics!$AK$2:$AK$167,economics!$AJ$2:$AJ$167,TRUE)),0)</f>
        <v/>
      </c>
      <c r="AF28" s="68">
        <f t="array" ref="AF28">IF($D28,SUMPRODUCT((economics!$AG$2:$AG$167=$B28)*(economics!$D$2:$D$167="process")*economics!$AI$2:$AI$167*_xlfn.NORM.DIST(AF$3,economics!$AK$2:$AK$167,economics!$AJ$2:$AJ$167,TRUE)),0)</f>
        <v/>
      </c>
      <c r="AG28" s="68">
        <f t="array" ref="AG28">IF($D28,SUMPRODUCT((economics!$AG$2:$AG$167=$B28)*(economics!$D$2:$D$167="process")*economics!$AI$2:$AI$167*_xlfn.NORM.DIST(AG$3,economics!$AK$2:$AK$167,economics!$AJ$2:$AJ$167,TRUE)),0)</f>
        <v/>
      </c>
      <c r="AH28" s="68">
        <f t="array" ref="AH28">IF($D28,SUMPRODUCT((economics!$AG$2:$AG$167=$B28)*(economics!$D$2:$D$167="process")*economics!$AI$2:$AI$167*_xlfn.NORM.DIST(AH$3,economics!$AK$2:$AK$167,economics!$AJ$2:$AJ$167,TRUE)),0)</f>
        <v/>
      </c>
      <c r="AI28" s="68">
        <f t="array" ref="AI28">IF($D28,SUMPRODUCT((economics!$AG$2:$AG$167=$B28)*(economics!$D$2:$D$167="process")*economics!$AI$2:$AI$167*_xlfn.NORM.DIST(AI$3,economics!$AK$2:$AK$167,economics!$AJ$2:$AJ$167,TRUE)),0)</f>
        <v/>
      </c>
      <c r="AJ28" s="68">
        <f t="array" ref="AJ28">IF($D28,SUMPRODUCT((economics!$AG$2:$AG$167=$B28)*(economics!$D$2:$D$167="process")*economics!$AI$2:$AI$167*_xlfn.NORM.DIST(AJ$3,economics!$AK$2:$AK$167,economics!$AJ$2:$AJ$167,TRUE)),0)</f>
        <v/>
      </c>
      <c r="AK28" s="68">
        <f t="array" ref="AK28">IF($D28,SUMPRODUCT((economics!$AG$2:$AG$167=$B28)*(economics!$D$2:$D$167="process")*economics!$AI$2:$AI$167*_xlfn.NORM.DIST(AK$3,economics!$AK$2:$AK$167,economics!$AJ$2:$AJ$167,TRUE)),0)</f>
        <v/>
      </c>
      <c r="AL28" s="68">
        <f t="array" ref="AL28">IF($D28,SUMPRODUCT((economics!$AG$2:$AG$167=$B28)*(economics!$D$2:$D$167="process")*economics!$AI$2:$AI$167*_xlfn.NORM.DIST(AL$3,economics!$AK$2:$AK$167,economics!$AJ$2:$AJ$167,TRUE)),0)</f>
        <v/>
      </c>
      <c r="AM28" s="68">
        <f t="array" ref="AM28">IF($D28,SUMPRODUCT((economics!$AG$2:$AG$167=$B28)*(economics!$D$2:$D$167="process")*economics!$AI$2:$AI$167*_xlfn.NORM.DIST(AM$3,economics!$AK$2:$AK$167,economics!$AJ$2:$AJ$167,TRUE)),0)</f>
        <v/>
      </c>
      <c r="AN28" s="68">
        <f t="array" ref="AN28">IF($D28,SUMPRODUCT((economics!$AG$2:$AG$167=$B28)*(economics!$D$2:$D$167="process")*economics!$AI$2:$AI$167*_xlfn.NORM.DIST(AN$3,economics!$AK$2:$AK$167,economics!$AJ$2:$AJ$167,TRUE)),0)</f>
        <v/>
      </c>
      <c r="AO28" s="68">
        <f t="array" ref="AO28">IF($D28,SUMPRODUCT((economics!$AG$2:$AG$167=$B28)*(economics!$D$2:$D$167="process")*economics!$AI$2:$AI$167*_xlfn.NORM.DIST(AO$3,economics!$AK$2:$AK$167,economics!$AJ$2:$AJ$167,TRUE)),0)</f>
        <v/>
      </c>
      <c r="AP28" s="68">
        <f t="array" ref="AP28">IF($D28,SUMPRODUCT((economics!$AG$2:$AG$167=$B28)*(economics!$D$2:$D$167="process")*economics!$AI$2:$AI$167*_xlfn.NORM.DIST(AP$3,economics!$AK$2:$AK$167,economics!$AJ$2:$AJ$167,TRUE)),0)</f>
        <v/>
      </c>
      <c r="AQ28" s="68">
        <f t="array" ref="AQ28">IF($D28,SUMPRODUCT((economics!$AG$2:$AG$167=$B28)*(economics!$D$2:$D$167="process")*economics!$AI$2:$AI$167*_xlfn.NORM.DIST(AQ$3,economics!$AK$2:$AK$167,economics!$AJ$2:$AJ$167,TRUE)),0)</f>
        <v/>
      </c>
      <c r="AR28" s="68">
        <f t="array" ref="AR28">IF($D28,SUMPRODUCT((economics!$AG$2:$AG$167=$B28)*(economics!$D$2:$D$167="process")*economics!$AI$2:$AI$167*_xlfn.NORM.DIST(AR$3,economics!$AK$2:$AK$167,economics!$AJ$2:$AJ$167,TRUE)),0)</f>
        <v/>
      </c>
      <c r="AS28" s="68">
        <f t="array" ref="AS28">IF($D28,SUMPRODUCT((economics!$AG$2:$AG$167=$B28)*(economics!$D$2:$D$167="process")*economics!$AI$2:$AI$167*_xlfn.NORM.DIST(AS$3,economics!$AK$2:$AK$167,economics!$AJ$2:$AJ$167,TRUE)),0)</f>
        <v/>
      </c>
      <c r="AT28" s="68">
        <f t="array" ref="AT28">IF($D28,SUMPRODUCT((economics!$AG$2:$AG$167=$B28)*(economics!$D$2:$D$167="process")*economics!$AI$2:$AI$167*_xlfn.NORM.DIST(AT$3,economics!$AK$2:$AK$167,economics!$AJ$2:$AJ$167,TRUE)),0)</f>
        <v/>
      </c>
      <c r="AU28" s="68">
        <f t="array" ref="AU28">IF($D28,SUMPRODUCT((economics!$AG$2:$AG$167=$B28)*(economics!$D$2:$D$167="process")*economics!$AI$2:$AI$167*_xlfn.NORM.DIST(AU$3,economics!$AK$2:$AK$167,economics!$AJ$2:$AJ$167,TRUE)),0)</f>
        <v/>
      </c>
      <c r="AV28" s="68">
        <f t="array" ref="AV28">IF($D28,SUMPRODUCT((economics!$AG$2:$AG$167=$B28)*(economics!$D$2:$D$167="process")*economics!$AI$2:$AI$167*_xlfn.NORM.DIST(AV$3,economics!$AK$2:$AK$167,economics!$AJ$2:$AJ$167,TRUE)),0)</f>
        <v/>
      </c>
      <c r="AW28" s="68">
        <f t="array" ref="AW28">IF($D28,SUMPRODUCT((economics!$AG$2:$AG$167=$B28)*(economics!$D$2:$D$167="process")*economics!$AI$2:$AI$167*_xlfn.NORM.DIST(AW$3,economics!$AK$2:$AK$167,economics!$AJ$2:$AJ$167,TRUE)),0)</f>
        <v/>
      </c>
      <c r="AX28" s="68">
        <f t="array" ref="AX28">IF($D28,SUMPRODUCT((economics!$AG$2:$AG$167=$B28)*(economics!$D$2:$D$167="process")*economics!$AI$2:$AI$167*_xlfn.NORM.DIST(AX$3,economics!$AK$2:$AK$167,economics!$AJ$2:$AJ$167,TRUE)),0)</f>
        <v/>
      </c>
      <c r="AY28" s="68">
        <f t="array" ref="AY28">IF($D28,SUMPRODUCT((economics!$AG$2:$AG$167=$B28)*(economics!$D$2:$D$167="process")*economics!$AI$2:$AI$167*_xlfn.NORM.DIST(AY$3,economics!$AK$2:$AK$167,economics!$AJ$2:$AJ$167,TRUE)),0)</f>
        <v/>
      </c>
      <c r="AZ28" s="68">
        <f t="array" ref="AZ28">IF($D28,SUMPRODUCT((economics!$AG$2:$AG$167=$B28)*(economics!$D$2:$D$167="process")*economics!$AI$2:$AI$167*_xlfn.NORM.DIST(AZ$3,economics!$AK$2:$AK$167,economics!$AJ$2:$AJ$167,TRUE)),0)</f>
        <v/>
      </c>
      <c r="BA28" s="68">
        <f t="array" ref="BA28">IF($D28,SUMPRODUCT((economics!$AG$2:$AG$167=$B28)*(economics!$D$2:$D$167="process")*economics!$AI$2:$AI$167*_xlfn.NORM.DIST(BA$3,economics!$AK$2:$AK$167,economics!$AJ$2:$AJ$167,TRUE)),0)</f>
        <v/>
      </c>
      <c r="BB28" s="68">
        <f t="array" ref="BB28">IF($D28,SUMPRODUCT((economics!$AG$2:$AG$167=$B28)*(economics!$D$2:$D$167="process")*economics!$AI$2:$AI$167*_xlfn.NORM.DIST(BB$3,economics!$AK$2:$AK$167,economics!$AJ$2:$AJ$167,TRUE)),0)</f>
        <v/>
      </c>
      <c r="BC28" s="68">
        <f t="array" ref="BC28">IF($D28,SUMPRODUCT((economics!$AG$2:$AG$167=$B28)*(economics!$D$2:$D$167="process")*economics!$AI$2:$AI$167*_xlfn.NORM.DIST(BC$3,economics!$AK$2:$AK$167,economics!$AJ$2:$AJ$167,TRUE)),0)</f>
        <v/>
      </c>
      <c r="BD28" s="68">
        <f t="array" ref="BD28">IF($D28,SUMPRODUCT((economics!$AG$2:$AG$167=$B28)*(economics!$D$2:$D$167="process")*economics!$AI$2:$AI$167*_xlfn.NORM.DIST(BD$3,economics!$AK$2:$AK$167,economics!$AJ$2:$AJ$167,TRUE)),0)</f>
        <v/>
      </c>
      <c r="BE28" s="68">
        <f t="array" ref="BE28">IF($D28,SUMPRODUCT((economics!$AG$2:$AG$167=$B28)*(economics!$D$2:$D$167="process")*economics!$AI$2:$AI$167*_xlfn.NORM.DIST(BE$3,economics!$AK$2:$AK$167,economics!$AJ$2:$AJ$167,TRUE)),0)</f>
        <v/>
      </c>
      <c r="BF28" s="68">
        <f t="array" ref="BF28">IF($D28,SUMPRODUCT((economics!$AG$2:$AG$167=$B28)*(economics!$D$2:$D$167="process")*economics!$AI$2:$AI$167*_xlfn.NORM.DIST(BF$3,economics!$AK$2:$AK$167,economics!$AJ$2:$AJ$167,TRUE)),0)</f>
        <v/>
      </c>
      <c r="BG28" s="68">
        <f t="array" ref="BG28">IF($D28,SUMPRODUCT((economics!$AG$2:$AG$167=$B28)*(economics!$D$2:$D$167="process")*economics!$AI$2:$AI$167*_xlfn.NORM.DIST(BG$3,economics!$AK$2:$AK$167,economics!$AJ$2:$AJ$167,TRUE)),0)</f>
        <v/>
      </c>
      <c r="BH28" s="68">
        <f t="array" ref="BH28">IF($D28,SUMPRODUCT((economics!$AG$2:$AG$167=$B28)*(economics!$D$2:$D$167="process")*economics!$AI$2:$AI$167*_xlfn.NORM.DIST(BH$3,economics!$AK$2:$AK$167,economics!$AJ$2:$AJ$167,TRUE)),0)</f>
        <v/>
      </c>
      <c r="BI28" s="68">
        <f t="array" ref="BI28">IF($D28,SUMPRODUCT((economics!$AG$2:$AG$167=$B28)*(economics!$D$2:$D$167="process")*economics!$AI$2:$AI$167*_xlfn.NORM.DIST(BI$3,economics!$AK$2:$AK$167,economics!$AJ$2:$AJ$167,TRUE)),0)</f>
        <v/>
      </c>
      <c r="BJ28" s="68">
        <f t="array" ref="BJ28">IF($D28,SUMPRODUCT((economics!$AG$2:$AG$167=$B28)*(economics!$D$2:$D$167="process")*economics!$AI$2:$AI$167*_xlfn.NORM.DIST(BJ$3,economics!$AK$2:$AK$167,economics!$AJ$2:$AJ$167,TRUE)),0)</f>
        <v/>
      </c>
      <c r="BK28" s="68">
        <f t="array" ref="BK28">IF($D28,SUMPRODUCT((economics!$AG$2:$AG$167=$B28)*(economics!$D$2:$D$167="process")*economics!$AI$2:$AI$167*_xlfn.NORM.DIST(BK$3,economics!$AK$2:$AK$167,economics!$AJ$2:$AJ$167,TRUE)),0)</f>
        <v/>
      </c>
      <c r="BL28" s="68">
        <f t="array" ref="BL28">IF($D28,SUMPRODUCT((economics!$AG$2:$AG$167=$B28)*(economics!$D$2:$D$167="process")*economics!$AI$2:$AI$167*_xlfn.NORM.DIST(BL$3,economics!$AK$2:$AK$167,economics!$AJ$2:$AJ$167,TRUE)),0)</f>
        <v/>
      </c>
      <c r="BM28" s="68">
        <f t="array" ref="BM28">IF($D28,SUMPRODUCT((economics!$AG$2:$AG$167=$B28)*(economics!$D$2:$D$167="process")*economics!$AI$2:$AI$167*_xlfn.NORM.DIST(BM$3,economics!$AK$2:$AK$167,economics!$AJ$2:$AJ$167,TRUE)),0)</f>
        <v/>
      </c>
      <c r="BN28" s="68">
        <f t="array" ref="BN28">IF($D28,SUMPRODUCT((economics!$AG$2:$AG$167=$B28)*(economics!$D$2:$D$167="process")*economics!$AI$2:$AI$167*_xlfn.NORM.DIST(BN$3,economics!$AK$2:$AK$167,economics!$AJ$2:$AJ$167,TRUE)),0)</f>
        <v/>
      </c>
      <c r="BO28" s="68">
        <f t="array" ref="BO28">IF($D28,SUMPRODUCT((economics!$AG$2:$AG$167=$B28)*(economics!$D$2:$D$167="process")*economics!$AI$2:$AI$167*_xlfn.NORM.DIST(BO$3,economics!$AK$2:$AK$167,economics!$AJ$2:$AJ$167,TRUE)),0)</f>
        <v/>
      </c>
      <c r="BP28" s="68">
        <f t="array" ref="BP28">IF($D28,SUMPRODUCT((economics!$AG$2:$AG$167=$B28)*(economics!$D$2:$D$167="process")*economics!$AI$2:$AI$167*_xlfn.NORM.DIST(BP$3,economics!$AK$2:$AK$167,economics!$AJ$2:$AJ$167,TRUE)),0)</f>
        <v/>
      </c>
      <c r="BQ28" s="68">
        <f t="array" ref="BQ28">IF($D28,SUMPRODUCT((economics!$AG$2:$AG$167=$B28)*(economics!$D$2:$D$167="process")*economics!$AI$2:$AI$167*_xlfn.NORM.DIST(BQ$3,economics!$AK$2:$AK$167,economics!$AJ$2:$AJ$167,TRUE)),0)</f>
        <v/>
      </c>
      <c r="BR28" s="68">
        <f t="array" ref="BR28">IF($D28,SUMPRODUCT((economics!$AG$2:$AG$167=$B28)*(economics!$D$2:$D$167="process")*economics!$AI$2:$AI$167*_xlfn.NORM.DIST(BR$3,economics!$AK$2:$AK$167,economics!$AJ$2:$AJ$167,TRUE)),0)</f>
        <v/>
      </c>
      <c r="BS28" s="68">
        <f t="array" ref="BS28">IF($D28,SUMPRODUCT((economics!$AG$2:$AG$167=$B28)*(economics!$D$2:$D$167="process")*economics!$AI$2:$AI$167*_xlfn.NORM.DIST(BS$3,economics!$AK$2:$AK$167,economics!$AJ$2:$AJ$167,TRUE)),0)</f>
        <v/>
      </c>
      <c r="BT28" s="68">
        <f t="array" ref="BT28">IF($D28,SUMPRODUCT((economics!$AG$2:$AG$167=$B28)*(economics!$D$2:$D$167="process")*economics!$AI$2:$AI$167*_xlfn.NORM.DIST(BT$3,economics!$AK$2:$AK$167,economics!$AJ$2:$AJ$167,TRUE)),0)</f>
        <v/>
      </c>
      <c r="BU28" s="68">
        <f t="array" ref="BU28">IF($D28,SUMPRODUCT((economics!$AG$2:$AG$167=$B28)*(economics!$D$2:$D$167="process")*economics!$AI$2:$AI$167*_xlfn.NORM.DIST(BU$3,economics!$AK$2:$AK$167,economics!$AJ$2:$AJ$167,TRUE)),0)</f>
        <v/>
      </c>
      <c r="BV28" s="68">
        <f t="array" ref="BV28">IF($D28,SUMPRODUCT((economics!$AG$2:$AG$167=$B28)*(economics!$D$2:$D$167="process")*economics!$AI$2:$AI$167*_xlfn.NORM.DIST(BV$3,economics!$AK$2:$AK$167,economics!$AJ$2:$AJ$167,TRUE)),0)</f>
        <v/>
      </c>
      <c r="BW28" s="68">
        <f t="array" ref="BW28">IF($D28,SUMPRODUCT((economics!$AG$2:$AG$167=$B28)*(economics!$D$2:$D$167="process")*economics!$AI$2:$AI$167*_xlfn.NORM.DIST(BW$3,economics!$AK$2:$AK$167,economics!$AJ$2:$AJ$167,TRUE)),0)</f>
        <v/>
      </c>
      <c r="BX28" s="68">
        <f t="array" ref="BX28">IF($D28,SUMPRODUCT((economics!$AG$2:$AG$167=$B28)*(economics!$D$2:$D$167="process")*economics!$AI$2:$AI$167*_xlfn.NORM.DIST(BX$3,economics!$AK$2:$AK$167,economics!$AJ$2:$AJ$167,TRUE)),0)</f>
        <v/>
      </c>
      <c r="BY28" s="68">
        <f t="array" ref="BY28">IF($D28,SUMPRODUCT((economics!$AG$2:$AG$167=$B28)*(economics!$D$2:$D$167="process")*economics!$AI$2:$AI$167*_xlfn.NORM.DIST(BY$3,economics!$AK$2:$AK$167,economics!$AJ$2:$AJ$167,TRUE)),0)</f>
        <v/>
      </c>
      <c r="BZ28" s="68">
        <f t="array" ref="BZ28">IF($D28,SUMPRODUCT((economics!$AG$2:$AG$167=$B28)*(economics!$D$2:$D$167="process")*economics!$AI$2:$AI$167*_xlfn.NORM.DIST(BZ$3,economics!$AK$2:$AK$167,economics!$AJ$2:$AJ$167,TRUE)),0)</f>
        <v/>
      </c>
      <c r="CA28" s="68">
        <f t="array" ref="CA28">IF($D28,SUMPRODUCT((economics!$AG$2:$AG$167=$B28)*(economics!$D$2:$D$167="process")*economics!$AI$2:$AI$167*_xlfn.NORM.DIST(CA$3,economics!$AK$2:$AK$167,economics!$AJ$2:$AJ$167,TRUE)),0)</f>
        <v/>
      </c>
      <c r="CB28" s="68">
        <f t="array" ref="CB28">IF($D28,SUMPRODUCT((economics!$AG$2:$AG$167=$B28)*(economics!$D$2:$D$167="process")*economics!$AI$2:$AI$167*_xlfn.NORM.DIST(CB$3,economics!$AK$2:$AK$167,economics!$AJ$2:$AJ$167,TRUE)),0)</f>
        <v/>
      </c>
      <c r="CC28" s="68">
        <f t="array" ref="CC28">IF($D28,SUMPRODUCT((economics!$AG$2:$AG$167=$B28)*(economics!$D$2:$D$167="process")*economics!$AI$2:$AI$167*_xlfn.NORM.DIST(CC$3,economics!$AK$2:$AK$167,economics!$AJ$2:$AJ$167,TRUE)),0)</f>
        <v/>
      </c>
      <c r="CD28" s="68">
        <f t="array" ref="CD28">IF($D28,SUMPRODUCT((economics!$AG$2:$AG$167=$B28)*(economics!$D$2:$D$167="process")*economics!$AI$2:$AI$167*_xlfn.NORM.DIST(CD$3,economics!$AK$2:$AK$167,economics!$AJ$2:$AJ$167,TRUE)),0)</f>
        <v/>
      </c>
      <c r="CE28" s="68">
        <f t="array" ref="CE28">IF($D28,SUMPRODUCT((economics!$AG$2:$AG$167=$B28)*(economics!$D$2:$D$167="process")*economics!$AI$2:$AI$167*_xlfn.NORM.DIST(CE$3,economics!$AK$2:$AK$167,economics!$AJ$2:$AJ$167,TRUE)),0)</f>
        <v/>
      </c>
      <c r="CF28" s="68">
        <f t="array" ref="CF28">IF($D28,SUMPRODUCT((economics!$AG$2:$AG$167=$B28)*(economics!$D$2:$D$167="process")*economics!$AI$2:$AI$167*_xlfn.NORM.DIST(CF$3,economics!$AK$2:$AK$167,economics!$AJ$2:$AJ$167,TRUE)),0)</f>
        <v/>
      </c>
      <c r="CG28" s="68">
        <f t="array" ref="CG28">IF($D28,SUMPRODUCT((economics!$AG$2:$AG$167=$B28)*(economics!$D$2:$D$167="process")*economics!$AI$2:$AI$167*_xlfn.NORM.DIST(CG$3,economics!$AK$2:$AK$167,economics!$AJ$2:$AJ$167,TRUE)),0)</f>
        <v/>
      </c>
      <c r="CH28" s="68">
        <f t="array" ref="CH28">IF($D28,SUMPRODUCT((economics!$AG$2:$AG$167=$B28)*(economics!$D$2:$D$167="process")*economics!$AI$2:$AI$167*_xlfn.NORM.DIST(CH$3,economics!$AK$2:$AK$167,economics!$AJ$2:$AJ$167,TRUE)),0)</f>
        <v/>
      </c>
    </row>
    <row r="30">
      <c r="A30" t="inlineStr">
        <is>
          <t>bin lower edges (helper)</t>
        </is>
      </c>
      <c r="E30" t="n">
        <v>-9999</v>
      </c>
      <c r="F30" t="n">
        <v>0</v>
      </c>
      <c r="G30" t="n">
        <v>0.25</v>
      </c>
      <c r="H30" t="n">
        <v>0.5</v>
      </c>
      <c r="I30" t="n">
        <v>0.75</v>
      </c>
      <c r="J30" t="n">
        <v>1</v>
      </c>
      <c r="K30" t="n">
        <v>1.25</v>
      </c>
      <c r="L30" t="n">
        <v>1.5</v>
      </c>
      <c r="M30" t="n">
        <v>1.75</v>
      </c>
      <c r="N30" t="n">
        <v>2</v>
      </c>
      <c r="O30" t="n">
        <v>2.25</v>
      </c>
      <c r="P30" t="n">
        <v>2.5</v>
      </c>
      <c r="Q30" t="n">
        <v>2.75</v>
      </c>
      <c r="R30" t="n">
        <v>3</v>
      </c>
      <c r="S30" t="n">
        <v>3.25</v>
      </c>
      <c r="T30" t="n">
        <v>3.5</v>
      </c>
      <c r="U30" t="n">
        <v>3.75</v>
      </c>
      <c r="V30" t="n">
        <v>4</v>
      </c>
      <c r="W30" t="n">
        <v>4.25</v>
      </c>
      <c r="X30" t="n">
        <v>4.5</v>
      </c>
      <c r="Y30" t="n">
        <v>4.75</v>
      </c>
      <c r="Z30" t="n">
        <v>5</v>
      </c>
      <c r="AA30" t="n">
        <v>5.25</v>
      </c>
      <c r="AB30" t="n">
        <v>5.5</v>
      </c>
      <c r="AC30" t="n">
        <v>5.75</v>
      </c>
      <c r="AD30" t="n">
        <v>6</v>
      </c>
      <c r="AE30" t="n">
        <v>6.25</v>
      </c>
      <c r="AF30" t="n">
        <v>6.5</v>
      </c>
      <c r="AG30" t="n">
        <v>6.75</v>
      </c>
      <c r="AH30" t="n">
        <v>7</v>
      </c>
      <c r="AI30" t="n">
        <v>7.25</v>
      </c>
      <c r="AJ30" t="n">
        <v>7.5</v>
      </c>
      <c r="AK30" t="n">
        <v>7.75</v>
      </c>
      <c r="AL30" t="n">
        <v>8</v>
      </c>
      <c r="AM30" t="n">
        <v>8.25</v>
      </c>
      <c r="AN30" t="n">
        <v>8.5</v>
      </c>
      <c r="AO30" t="n">
        <v>8.75</v>
      </c>
      <c r="AP30" t="n">
        <v>9</v>
      </c>
      <c r="AQ30" t="n">
        <v>9.25</v>
      </c>
      <c r="AR30" t="n">
        <v>9.5</v>
      </c>
      <c r="AS30" t="n">
        <v>9.75</v>
      </c>
      <c r="AT30" t="n">
        <v>10</v>
      </c>
      <c r="AU30" t="n">
        <v>10.25</v>
      </c>
      <c r="AV30" t="n">
        <v>10.5</v>
      </c>
      <c r="AW30" t="n">
        <v>10.75</v>
      </c>
      <c r="AX30" t="n">
        <v>11</v>
      </c>
      <c r="AY30" t="n">
        <v>11.25</v>
      </c>
      <c r="AZ30" t="n">
        <v>11.5</v>
      </c>
      <c r="BA30" t="n">
        <v>11.75</v>
      </c>
      <c r="BB30" t="n">
        <v>12</v>
      </c>
      <c r="BC30" t="n">
        <v>12.25</v>
      </c>
      <c r="BD30" t="n">
        <v>12.5</v>
      </c>
      <c r="BE30" t="n">
        <v>12.75</v>
      </c>
      <c r="BF30" t="n">
        <v>13</v>
      </c>
      <c r="BG30" t="n">
        <v>13.25</v>
      </c>
      <c r="BH30" t="n">
        <v>13.5</v>
      </c>
      <c r="BI30" t="n">
        <v>13.75</v>
      </c>
      <c r="BJ30" t="n">
        <v>14</v>
      </c>
      <c r="BK30" t="n">
        <v>14.25</v>
      </c>
      <c r="BL30" t="n">
        <v>14.5</v>
      </c>
      <c r="BM30" t="n">
        <v>14.75</v>
      </c>
      <c r="BN30" t="n">
        <v>15</v>
      </c>
      <c r="BO30" t="n">
        <v>15.25</v>
      </c>
      <c r="BP30" t="n">
        <v>15.5</v>
      </c>
      <c r="BQ30" t="n">
        <v>15.75</v>
      </c>
      <c r="BR30" t="n">
        <v>16</v>
      </c>
      <c r="BS30" t="n">
        <v>16.25</v>
      </c>
      <c r="BT30" t="n">
        <v>16.5</v>
      </c>
      <c r="BU30" t="n">
        <v>16.75</v>
      </c>
      <c r="BV30" t="n">
        <v>17</v>
      </c>
      <c r="BW30" t="n">
        <v>17.25</v>
      </c>
      <c r="BX30" t="n">
        <v>17.5</v>
      </c>
      <c r="BY30" t="n">
        <v>17.75</v>
      </c>
      <c r="BZ30" t="n">
        <v>18</v>
      </c>
      <c r="CA30" t="n">
        <v>18.25</v>
      </c>
      <c r="CB30" t="n">
        <v>18.5</v>
      </c>
      <c r="CC30" t="n">
        <v>18.75</v>
      </c>
      <c r="CD30" t="n">
        <v>19</v>
      </c>
      <c r="CE30" t="n">
        <v>19.25</v>
      </c>
      <c r="CF30" t="n">
        <v>19.5</v>
      </c>
      <c r="CG30" t="n">
        <v>19.75</v>
      </c>
      <c r="CH30" t="n">
        <v>20</v>
      </c>
    </row>
    <row r="31">
      <c r="A31" s="1" t="inlineStr">
        <is>
          <t>Per-bin capital intensity (2012$ per MMBtu/yr of savings capacity) — savings-weighted</t>
        </is>
      </c>
    </row>
    <row r="33">
      <c r="A33">
        <f>A4</f>
        <v/>
      </c>
      <c r="B33">
        <f>B4</f>
        <v/>
      </c>
      <c r="E33">
        <f t="array" ref="E33">IFERROR((SUMPRODUCT((economics!$AG$2:$AG$167=$B33)*(economics!$D$2:$D$167="process")*economics!$AI$2:$AI$167*(_xlfn.NORM.DIST(E$3,economics!$AK$2:$AK$167,economics!$AJ$2:$AJ$167,TRUE)-_xlfn.NORM.DIST(E$30,economics!$AK$2:$AK$167,economics!$AJ$2:$AJ$167,TRUE))*economics!$AM$2:$AM$167))/(SUMPRODUCT((economics!$AG$2:$AG$167=$B33)*(economics!$D$2:$D$167="process")*economics!$AI$2:$AI$167*(_xlfn.NORM.DIST(E$3,economics!$AK$2:$AK$167,economics!$AJ$2:$AJ$167,TRUE)-_xlfn.NORM.DIST(E$30,economics!$AK$2:$AK$167,economics!$AJ$2:$AJ$167,TRUE)))),"")</f>
        <v/>
      </c>
      <c r="F33">
        <f t="array" ref="F33">IFERROR((SUMPRODUCT((economics!$AG$2:$AG$167=$B33)*(economics!$D$2:$D$167="process")*economics!$AI$2:$AI$167*(_xlfn.NORM.DIST(F$3,economics!$AK$2:$AK$167,economics!$AJ$2:$AJ$167,TRUE)-_xlfn.NORM.DIST(F$30,economics!$AK$2:$AK$167,economics!$AJ$2:$AJ$167,TRUE))*economics!$AM$2:$AM$167))/(SUMPRODUCT((economics!$AG$2:$AG$167=$B33)*(economics!$D$2:$D$167="process")*economics!$AI$2:$AI$167*(_xlfn.NORM.DIST(F$3,economics!$AK$2:$AK$167,economics!$AJ$2:$AJ$167,TRUE)-_xlfn.NORM.DIST(F$30,economics!$AK$2:$AK$167,economics!$AJ$2:$AJ$167,TRUE)))),"")</f>
        <v/>
      </c>
      <c r="G33">
        <f t="array" ref="G33">IFERROR((SUMPRODUCT((economics!$AG$2:$AG$167=$B33)*(economics!$D$2:$D$167="process")*economics!$AI$2:$AI$167*(_xlfn.NORM.DIST(G$3,economics!$AK$2:$AK$167,economics!$AJ$2:$AJ$167,TRUE)-_xlfn.NORM.DIST(G$30,economics!$AK$2:$AK$167,economics!$AJ$2:$AJ$167,TRUE))*economics!$AM$2:$AM$167))/(SUMPRODUCT((economics!$AG$2:$AG$167=$B33)*(economics!$D$2:$D$167="process")*economics!$AI$2:$AI$167*(_xlfn.NORM.DIST(G$3,economics!$AK$2:$AK$167,economics!$AJ$2:$AJ$167,TRUE)-_xlfn.NORM.DIST(G$30,economics!$AK$2:$AK$167,economics!$AJ$2:$AJ$167,TRUE)))),"")</f>
        <v/>
      </c>
      <c r="H33">
        <f t="array" ref="H33">IFERROR((SUMPRODUCT((economics!$AG$2:$AG$167=$B33)*(economics!$D$2:$D$167="process")*economics!$AI$2:$AI$167*(_xlfn.NORM.DIST(H$3,economics!$AK$2:$AK$167,economics!$AJ$2:$AJ$167,TRUE)-_xlfn.NORM.DIST(H$30,economics!$AK$2:$AK$167,economics!$AJ$2:$AJ$167,TRUE))*economics!$AM$2:$AM$167))/(SUMPRODUCT((economics!$AG$2:$AG$167=$B33)*(economics!$D$2:$D$167="process")*economics!$AI$2:$AI$167*(_xlfn.NORM.DIST(H$3,economics!$AK$2:$AK$167,economics!$AJ$2:$AJ$167,TRUE)-_xlfn.NORM.DIST(H$30,economics!$AK$2:$AK$167,economics!$AJ$2:$AJ$167,TRUE)))),"")</f>
        <v/>
      </c>
      <c r="I33">
        <f t="array" ref="I33">IFERROR((SUMPRODUCT((economics!$AG$2:$AG$167=$B33)*(economics!$D$2:$D$167="process")*economics!$AI$2:$AI$167*(_xlfn.NORM.DIST(I$3,economics!$AK$2:$AK$167,economics!$AJ$2:$AJ$167,TRUE)-_xlfn.NORM.DIST(I$30,economics!$AK$2:$AK$167,economics!$AJ$2:$AJ$167,TRUE))*economics!$AM$2:$AM$167))/(SUMPRODUCT((economics!$AG$2:$AG$167=$B33)*(economics!$D$2:$D$167="process")*economics!$AI$2:$AI$167*(_xlfn.NORM.DIST(I$3,economics!$AK$2:$AK$167,economics!$AJ$2:$AJ$167,TRUE)-_xlfn.NORM.DIST(I$30,economics!$AK$2:$AK$167,economics!$AJ$2:$AJ$167,TRUE)))),"")</f>
        <v/>
      </c>
      <c r="J33">
        <f t="array" ref="J33">IFERROR((SUMPRODUCT((economics!$AG$2:$AG$167=$B33)*(economics!$D$2:$D$167="process")*economics!$AI$2:$AI$167*(_xlfn.NORM.DIST(J$3,economics!$AK$2:$AK$167,economics!$AJ$2:$AJ$167,TRUE)-_xlfn.NORM.DIST(J$30,economics!$AK$2:$AK$167,economics!$AJ$2:$AJ$167,TRUE))*economics!$AM$2:$AM$167))/(SUMPRODUCT((economics!$AG$2:$AG$167=$B33)*(economics!$D$2:$D$167="process")*economics!$AI$2:$AI$167*(_xlfn.NORM.DIST(J$3,economics!$AK$2:$AK$167,economics!$AJ$2:$AJ$167,TRUE)-_xlfn.NORM.DIST(J$30,economics!$AK$2:$AK$167,economics!$AJ$2:$AJ$167,TRUE)))),"")</f>
        <v/>
      </c>
      <c r="K33">
        <f t="array" ref="K33">IFERROR((SUMPRODUCT((economics!$AG$2:$AG$167=$B33)*(economics!$D$2:$D$167="process")*economics!$AI$2:$AI$167*(_xlfn.NORM.DIST(K$3,economics!$AK$2:$AK$167,economics!$AJ$2:$AJ$167,TRUE)-_xlfn.NORM.DIST(K$30,economics!$AK$2:$AK$167,economics!$AJ$2:$AJ$167,TRUE))*economics!$AM$2:$AM$167))/(SUMPRODUCT((economics!$AG$2:$AG$167=$B33)*(economics!$D$2:$D$167="process")*economics!$AI$2:$AI$167*(_xlfn.NORM.DIST(K$3,economics!$AK$2:$AK$167,economics!$AJ$2:$AJ$167,TRUE)-_xlfn.NORM.DIST(K$30,economics!$AK$2:$AK$167,economics!$AJ$2:$AJ$167,TRUE)))),"")</f>
        <v/>
      </c>
      <c r="L33">
        <f t="array" ref="L33">IFERROR((SUMPRODUCT((economics!$AG$2:$AG$167=$B33)*(economics!$D$2:$D$167="process")*economics!$AI$2:$AI$167*(_xlfn.NORM.DIST(L$3,economics!$AK$2:$AK$167,economics!$AJ$2:$AJ$167,TRUE)-_xlfn.NORM.DIST(L$30,economics!$AK$2:$AK$167,economics!$AJ$2:$AJ$167,TRUE))*economics!$AM$2:$AM$167))/(SUMPRODUCT((economics!$AG$2:$AG$167=$B33)*(economics!$D$2:$D$167="process")*economics!$AI$2:$AI$167*(_xlfn.NORM.DIST(L$3,economics!$AK$2:$AK$167,economics!$AJ$2:$AJ$167,TRUE)-_xlfn.NORM.DIST(L$30,economics!$AK$2:$AK$167,economics!$AJ$2:$AJ$167,TRUE)))),"")</f>
        <v/>
      </c>
      <c r="M33">
        <f t="array" ref="M33">IFERROR((SUMPRODUCT((economics!$AG$2:$AG$167=$B33)*(economics!$D$2:$D$167="process")*economics!$AI$2:$AI$167*(_xlfn.NORM.DIST(M$3,economics!$AK$2:$AK$167,economics!$AJ$2:$AJ$167,TRUE)-_xlfn.NORM.DIST(M$30,economics!$AK$2:$AK$167,economics!$AJ$2:$AJ$167,TRUE))*economics!$AM$2:$AM$167))/(SUMPRODUCT((economics!$AG$2:$AG$167=$B33)*(economics!$D$2:$D$167="process")*economics!$AI$2:$AI$167*(_xlfn.NORM.DIST(M$3,economics!$AK$2:$AK$167,economics!$AJ$2:$AJ$167,TRUE)-_xlfn.NORM.DIST(M$30,economics!$AK$2:$AK$167,economics!$AJ$2:$AJ$167,TRUE)))),"")</f>
        <v/>
      </c>
      <c r="N33">
        <f t="array" ref="N33">IFERROR((SUMPRODUCT((economics!$AG$2:$AG$167=$B33)*(economics!$D$2:$D$167="process")*economics!$AI$2:$AI$167*(_xlfn.NORM.DIST(N$3,economics!$AK$2:$AK$167,economics!$AJ$2:$AJ$167,TRUE)-_xlfn.NORM.DIST(N$30,economics!$AK$2:$AK$167,economics!$AJ$2:$AJ$167,TRUE))*economics!$AM$2:$AM$167))/(SUMPRODUCT((economics!$AG$2:$AG$167=$B33)*(economics!$D$2:$D$167="process")*economics!$AI$2:$AI$167*(_xlfn.NORM.DIST(N$3,economics!$AK$2:$AK$167,economics!$AJ$2:$AJ$167,TRUE)-_xlfn.NORM.DIST(N$30,economics!$AK$2:$AK$167,economics!$AJ$2:$AJ$167,TRUE)))),"")</f>
        <v/>
      </c>
      <c r="O33">
        <f t="array" ref="O33">IFERROR((SUMPRODUCT((economics!$AG$2:$AG$167=$B33)*(economics!$D$2:$D$167="process")*economics!$AI$2:$AI$167*(_xlfn.NORM.DIST(O$3,economics!$AK$2:$AK$167,economics!$AJ$2:$AJ$167,TRUE)-_xlfn.NORM.DIST(O$30,economics!$AK$2:$AK$167,economics!$AJ$2:$AJ$167,TRUE))*economics!$AM$2:$AM$167))/(SUMPRODUCT((economics!$AG$2:$AG$167=$B33)*(economics!$D$2:$D$167="process")*economics!$AI$2:$AI$167*(_xlfn.NORM.DIST(O$3,economics!$AK$2:$AK$167,economics!$AJ$2:$AJ$167,TRUE)-_xlfn.NORM.DIST(O$30,economics!$AK$2:$AK$167,economics!$AJ$2:$AJ$167,TRUE)))),"")</f>
        <v/>
      </c>
      <c r="P33">
        <f t="array" ref="P33">IFERROR((SUMPRODUCT((economics!$AG$2:$AG$167=$B33)*(economics!$D$2:$D$167="process")*economics!$AI$2:$AI$167*(_xlfn.NORM.DIST(P$3,economics!$AK$2:$AK$167,economics!$AJ$2:$AJ$167,TRUE)-_xlfn.NORM.DIST(P$30,economics!$AK$2:$AK$167,economics!$AJ$2:$AJ$167,TRUE))*economics!$AM$2:$AM$167))/(SUMPRODUCT((economics!$AG$2:$AG$167=$B33)*(economics!$D$2:$D$167="process")*economics!$AI$2:$AI$167*(_xlfn.NORM.DIST(P$3,economics!$AK$2:$AK$167,economics!$AJ$2:$AJ$167,TRUE)-_xlfn.NORM.DIST(P$30,economics!$AK$2:$AK$167,economics!$AJ$2:$AJ$167,TRUE)))),"")</f>
        <v/>
      </c>
      <c r="Q33">
        <f t="array" ref="Q33">IFERROR((SUMPRODUCT((economics!$AG$2:$AG$167=$B33)*(economics!$D$2:$D$167="process")*economics!$AI$2:$AI$167*(_xlfn.NORM.DIST(Q$3,economics!$AK$2:$AK$167,economics!$AJ$2:$AJ$167,TRUE)-_xlfn.NORM.DIST(Q$30,economics!$AK$2:$AK$167,economics!$AJ$2:$AJ$167,TRUE))*economics!$AM$2:$AM$167))/(SUMPRODUCT((economics!$AG$2:$AG$167=$B33)*(economics!$D$2:$D$167="process")*economics!$AI$2:$AI$167*(_xlfn.NORM.DIST(Q$3,economics!$AK$2:$AK$167,economics!$AJ$2:$AJ$167,TRUE)-_xlfn.NORM.DIST(Q$30,economics!$AK$2:$AK$167,economics!$AJ$2:$AJ$167,TRUE)))),"")</f>
        <v/>
      </c>
      <c r="R33">
        <f t="array" ref="R33">IFERROR((SUMPRODUCT((economics!$AG$2:$AG$167=$B33)*(economics!$D$2:$D$167="process")*economics!$AI$2:$AI$167*(_xlfn.NORM.DIST(R$3,economics!$AK$2:$AK$167,economics!$AJ$2:$AJ$167,TRUE)-_xlfn.NORM.DIST(R$30,economics!$AK$2:$AK$167,economics!$AJ$2:$AJ$167,TRUE))*economics!$AM$2:$AM$167))/(SUMPRODUCT((economics!$AG$2:$AG$167=$B33)*(economics!$D$2:$D$167="process")*economics!$AI$2:$AI$167*(_xlfn.NORM.DIST(R$3,economics!$AK$2:$AK$167,economics!$AJ$2:$AJ$167,TRUE)-_xlfn.NORM.DIST(R$30,economics!$AK$2:$AK$167,economics!$AJ$2:$AJ$167,TRUE)))),"")</f>
        <v/>
      </c>
      <c r="S33">
        <f t="array" ref="S33">IFERROR((SUMPRODUCT((economics!$AG$2:$AG$167=$B33)*(economics!$D$2:$D$167="process")*economics!$AI$2:$AI$167*(_xlfn.NORM.DIST(S$3,economics!$AK$2:$AK$167,economics!$AJ$2:$AJ$167,TRUE)-_xlfn.NORM.DIST(S$30,economics!$AK$2:$AK$167,economics!$AJ$2:$AJ$167,TRUE))*economics!$AM$2:$AM$167))/(SUMPRODUCT((economics!$AG$2:$AG$167=$B33)*(economics!$D$2:$D$167="process")*economics!$AI$2:$AI$167*(_xlfn.NORM.DIST(S$3,economics!$AK$2:$AK$167,economics!$AJ$2:$AJ$167,TRUE)-_xlfn.NORM.DIST(S$30,economics!$AK$2:$AK$167,economics!$AJ$2:$AJ$167,TRUE)))),"")</f>
        <v/>
      </c>
      <c r="T33">
        <f t="array" ref="T33">IFERROR((SUMPRODUCT((economics!$AG$2:$AG$167=$B33)*(economics!$D$2:$D$167="process")*economics!$AI$2:$AI$167*(_xlfn.NORM.DIST(T$3,economics!$AK$2:$AK$167,economics!$AJ$2:$AJ$167,TRUE)-_xlfn.NORM.DIST(T$30,economics!$AK$2:$AK$167,economics!$AJ$2:$AJ$167,TRUE))*economics!$AM$2:$AM$167))/(SUMPRODUCT((economics!$AG$2:$AG$167=$B33)*(economics!$D$2:$D$167="process")*economics!$AI$2:$AI$167*(_xlfn.NORM.DIST(T$3,economics!$AK$2:$AK$167,economics!$AJ$2:$AJ$167,TRUE)-_xlfn.NORM.DIST(T$30,economics!$AK$2:$AK$167,economics!$AJ$2:$AJ$167,TRUE)))),"")</f>
        <v/>
      </c>
      <c r="U33">
        <f t="array" ref="U33">IFERROR((SUMPRODUCT((economics!$AG$2:$AG$167=$B33)*(economics!$D$2:$D$167="process")*economics!$AI$2:$AI$167*(_xlfn.NORM.DIST(U$3,economics!$AK$2:$AK$167,economics!$AJ$2:$AJ$167,TRUE)-_xlfn.NORM.DIST(U$30,economics!$AK$2:$AK$167,economics!$AJ$2:$AJ$167,TRUE))*economics!$AM$2:$AM$167))/(SUMPRODUCT((economics!$AG$2:$AG$167=$B33)*(economics!$D$2:$D$167="process")*economics!$AI$2:$AI$167*(_xlfn.NORM.DIST(U$3,economics!$AK$2:$AK$167,economics!$AJ$2:$AJ$167,TRUE)-_xlfn.NORM.DIST(U$30,economics!$AK$2:$AK$167,economics!$AJ$2:$AJ$167,TRUE)))),"")</f>
        <v/>
      </c>
      <c r="V33">
        <f t="array" ref="V33">IFERROR((SUMPRODUCT((economics!$AG$2:$AG$167=$B33)*(economics!$D$2:$D$167="process")*economics!$AI$2:$AI$167*(_xlfn.NORM.DIST(V$3,economics!$AK$2:$AK$167,economics!$AJ$2:$AJ$167,TRUE)-_xlfn.NORM.DIST(V$30,economics!$AK$2:$AK$167,economics!$AJ$2:$AJ$167,TRUE))*economics!$AM$2:$AM$167))/(SUMPRODUCT((economics!$AG$2:$AG$167=$B33)*(economics!$D$2:$D$167="process")*economics!$AI$2:$AI$167*(_xlfn.NORM.DIST(V$3,economics!$AK$2:$AK$167,economics!$AJ$2:$AJ$167,TRUE)-_xlfn.NORM.DIST(V$30,economics!$AK$2:$AK$167,economics!$AJ$2:$AJ$167,TRUE)))),"")</f>
        <v/>
      </c>
      <c r="W33">
        <f t="array" ref="W33">IFERROR((SUMPRODUCT((economics!$AG$2:$AG$167=$B33)*(economics!$D$2:$D$167="process")*economics!$AI$2:$AI$167*(_xlfn.NORM.DIST(W$3,economics!$AK$2:$AK$167,economics!$AJ$2:$AJ$167,TRUE)-_xlfn.NORM.DIST(W$30,economics!$AK$2:$AK$167,economics!$AJ$2:$AJ$167,TRUE))*economics!$AM$2:$AM$167))/(SUMPRODUCT((economics!$AG$2:$AG$167=$B33)*(economics!$D$2:$D$167="process")*economics!$AI$2:$AI$167*(_xlfn.NORM.DIST(W$3,economics!$AK$2:$AK$167,economics!$AJ$2:$AJ$167,TRUE)-_xlfn.NORM.DIST(W$30,economics!$AK$2:$AK$167,economics!$AJ$2:$AJ$167,TRUE)))),"")</f>
        <v/>
      </c>
      <c r="X33">
        <f t="array" ref="X33">IFERROR((SUMPRODUCT((economics!$AG$2:$AG$167=$B33)*(economics!$D$2:$D$167="process")*economics!$AI$2:$AI$167*(_xlfn.NORM.DIST(X$3,economics!$AK$2:$AK$167,economics!$AJ$2:$AJ$167,TRUE)-_xlfn.NORM.DIST(X$30,economics!$AK$2:$AK$167,economics!$AJ$2:$AJ$167,TRUE))*economics!$AM$2:$AM$167))/(SUMPRODUCT((economics!$AG$2:$AG$167=$B33)*(economics!$D$2:$D$167="process")*economics!$AI$2:$AI$167*(_xlfn.NORM.DIST(X$3,economics!$AK$2:$AK$167,economics!$AJ$2:$AJ$167,TRUE)-_xlfn.NORM.DIST(X$30,economics!$AK$2:$AK$167,economics!$AJ$2:$AJ$167,TRUE)))),"")</f>
        <v/>
      </c>
      <c r="Y33">
        <f t="array" ref="Y33">IFERROR((SUMPRODUCT((economics!$AG$2:$AG$167=$B33)*(economics!$D$2:$D$167="process")*economics!$AI$2:$AI$167*(_xlfn.NORM.DIST(Y$3,economics!$AK$2:$AK$167,economics!$AJ$2:$AJ$167,TRUE)-_xlfn.NORM.DIST(Y$30,economics!$AK$2:$AK$167,economics!$AJ$2:$AJ$167,TRUE))*economics!$AM$2:$AM$167))/(SUMPRODUCT((economics!$AG$2:$AG$167=$B33)*(economics!$D$2:$D$167="process")*economics!$AI$2:$AI$167*(_xlfn.NORM.DIST(Y$3,economics!$AK$2:$AK$167,economics!$AJ$2:$AJ$167,TRUE)-_xlfn.NORM.DIST(Y$30,economics!$AK$2:$AK$167,economics!$AJ$2:$AJ$167,TRUE)))),"")</f>
        <v/>
      </c>
      <c r="Z33">
        <f t="array" ref="Z33">IFERROR((SUMPRODUCT((economics!$AG$2:$AG$167=$B33)*(economics!$D$2:$D$167="process")*economics!$AI$2:$AI$167*(_xlfn.NORM.DIST(Z$3,economics!$AK$2:$AK$167,economics!$AJ$2:$AJ$167,TRUE)-_xlfn.NORM.DIST(Z$30,economics!$AK$2:$AK$167,economics!$AJ$2:$AJ$167,TRUE))*economics!$AM$2:$AM$167))/(SUMPRODUCT((economics!$AG$2:$AG$167=$B33)*(economics!$D$2:$D$167="process")*economics!$AI$2:$AI$167*(_xlfn.NORM.DIST(Z$3,economics!$AK$2:$AK$167,economics!$AJ$2:$AJ$167,TRUE)-_xlfn.NORM.DIST(Z$30,economics!$AK$2:$AK$167,economics!$AJ$2:$AJ$167,TRUE)))),"")</f>
        <v/>
      </c>
      <c r="AA33">
        <f t="array" ref="AA33">IFERROR((SUMPRODUCT((economics!$AG$2:$AG$167=$B33)*(economics!$D$2:$D$167="process")*economics!$AI$2:$AI$167*(_xlfn.NORM.DIST(AA$3,economics!$AK$2:$AK$167,economics!$AJ$2:$AJ$167,TRUE)-_xlfn.NORM.DIST(AA$30,economics!$AK$2:$AK$167,economics!$AJ$2:$AJ$167,TRUE))*economics!$AM$2:$AM$167))/(SUMPRODUCT((economics!$AG$2:$AG$167=$B33)*(economics!$D$2:$D$167="process")*economics!$AI$2:$AI$167*(_xlfn.NORM.DIST(AA$3,economics!$AK$2:$AK$167,economics!$AJ$2:$AJ$167,TRUE)-_xlfn.NORM.DIST(AA$30,economics!$AK$2:$AK$167,economics!$AJ$2:$AJ$167,TRUE)))),"")</f>
        <v/>
      </c>
      <c r="AB33">
        <f t="array" ref="AB33">IFERROR((SUMPRODUCT((economics!$AG$2:$AG$167=$B33)*(economics!$D$2:$D$167="process")*economics!$AI$2:$AI$167*(_xlfn.NORM.DIST(AB$3,economics!$AK$2:$AK$167,economics!$AJ$2:$AJ$167,TRUE)-_xlfn.NORM.DIST(AB$30,economics!$AK$2:$AK$167,economics!$AJ$2:$AJ$167,TRUE))*economics!$AM$2:$AM$167))/(SUMPRODUCT((economics!$AG$2:$AG$167=$B33)*(economics!$D$2:$D$167="process")*economics!$AI$2:$AI$167*(_xlfn.NORM.DIST(AB$3,economics!$AK$2:$AK$167,economics!$AJ$2:$AJ$167,TRUE)-_xlfn.NORM.DIST(AB$30,economics!$AK$2:$AK$167,economics!$AJ$2:$AJ$167,TRUE)))),"")</f>
        <v/>
      </c>
      <c r="AC33">
        <f t="array" ref="AC33">IFERROR((SUMPRODUCT((economics!$AG$2:$AG$167=$B33)*(economics!$D$2:$D$167="process")*economics!$AI$2:$AI$167*(_xlfn.NORM.DIST(AC$3,economics!$AK$2:$AK$167,economics!$AJ$2:$AJ$167,TRUE)-_xlfn.NORM.DIST(AC$30,economics!$AK$2:$AK$167,economics!$AJ$2:$AJ$167,TRUE))*economics!$AM$2:$AM$167))/(SUMPRODUCT((economics!$AG$2:$AG$167=$B33)*(economics!$D$2:$D$167="process")*economics!$AI$2:$AI$167*(_xlfn.NORM.DIST(AC$3,economics!$AK$2:$AK$167,economics!$AJ$2:$AJ$167,TRUE)-_xlfn.NORM.DIST(AC$30,economics!$AK$2:$AK$167,economics!$AJ$2:$AJ$167,TRUE)))),"")</f>
        <v/>
      </c>
      <c r="AD33">
        <f t="array" ref="AD33">IFERROR((SUMPRODUCT((economics!$AG$2:$AG$167=$B33)*(economics!$D$2:$D$167="process")*economics!$AI$2:$AI$167*(_xlfn.NORM.DIST(AD$3,economics!$AK$2:$AK$167,economics!$AJ$2:$AJ$167,TRUE)-_xlfn.NORM.DIST(AD$30,economics!$AK$2:$AK$167,economics!$AJ$2:$AJ$167,TRUE))*economics!$AM$2:$AM$167))/(SUMPRODUCT((economics!$AG$2:$AG$167=$B33)*(economics!$D$2:$D$167="process")*economics!$AI$2:$AI$167*(_xlfn.NORM.DIST(AD$3,economics!$AK$2:$AK$167,economics!$AJ$2:$AJ$167,TRUE)-_xlfn.NORM.DIST(AD$30,economics!$AK$2:$AK$167,economics!$AJ$2:$AJ$167,TRUE)))),"")</f>
        <v/>
      </c>
      <c r="AE33">
        <f t="array" ref="AE33">IFERROR((SUMPRODUCT((economics!$AG$2:$AG$167=$B33)*(economics!$D$2:$D$167="process")*economics!$AI$2:$AI$167*(_xlfn.NORM.DIST(AE$3,economics!$AK$2:$AK$167,economics!$AJ$2:$AJ$167,TRUE)-_xlfn.NORM.DIST(AE$30,economics!$AK$2:$AK$167,economics!$AJ$2:$AJ$167,TRUE))*economics!$AM$2:$AM$167))/(SUMPRODUCT((economics!$AG$2:$AG$167=$B33)*(economics!$D$2:$D$167="process")*economics!$AI$2:$AI$167*(_xlfn.NORM.DIST(AE$3,economics!$AK$2:$AK$167,economics!$AJ$2:$AJ$167,TRUE)-_xlfn.NORM.DIST(AE$30,economics!$AK$2:$AK$167,economics!$AJ$2:$AJ$167,TRUE)))),"")</f>
        <v/>
      </c>
      <c r="AF33">
        <f t="array" ref="AF33">IFERROR((SUMPRODUCT((economics!$AG$2:$AG$167=$B33)*(economics!$D$2:$D$167="process")*economics!$AI$2:$AI$167*(_xlfn.NORM.DIST(AF$3,economics!$AK$2:$AK$167,economics!$AJ$2:$AJ$167,TRUE)-_xlfn.NORM.DIST(AF$30,economics!$AK$2:$AK$167,economics!$AJ$2:$AJ$167,TRUE))*economics!$AM$2:$AM$167))/(SUMPRODUCT((economics!$AG$2:$AG$167=$B33)*(economics!$D$2:$D$167="process")*economics!$AI$2:$AI$167*(_xlfn.NORM.DIST(AF$3,economics!$AK$2:$AK$167,economics!$AJ$2:$AJ$167,TRUE)-_xlfn.NORM.DIST(AF$30,economics!$AK$2:$AK$167,economics!$AJ$2:$AJ$167,TRUE)))),"")</f>
        <v/>
      </c>
      <c r="AG33">
        <f t="array" ref="AG33">IFERROR((SUMPRODUCT((economics!$AG$2:$AG$167=$B33)*(economics!$D$2:$D$167="process")*economics!$AI$2:$AI$167*(_xlfn.NORM.DIST(AG$3,economics!$AK$2:$AK$167,economics!$AJ$2:$AJ$167,TRUE)-_xlfn.NORM.DIST(AG$30,economics!$AK$2:$AK$167,economics!$AJ$2:$AJ$167,TRUE))*economics!$AM$2:$AM$167))/(SUMPRODUCT((economics!$AG$2:$AG$167=$B33)*(economics!$D$2:$D$167="process")*economics!$AI$2:$AI$167*(_xlfn.NORM.DIST(AG$3,economics!$AK$2:$AK$167,economics!$AJ$2:$AJ$167,TRUE)-_xlfn.NORM.DIST(AG$30,economics!$AK$2:$AK$167,economics!$AJ$2:$AJ$167,TRUE)))),"")</f>
        <v/>
      </c>
      <c r="AH33">
        <f t="array" ref="AH33">IFERROR((SUMPRODUCT((economics!$AG$2:$AG$167=$B33)*(economics!$D$2:$D$167="process")*economics!$AI$2:$AI$167*(_xlfn.NORM.DIST(AH$3,economics!$AK$2:$AK$167,economics!$AJ$2:$AJ$167,TRUE)-_xlfn.NORM.DIST(AH$30,economics!$AK$2:$AK$167,economics!$AJ$2:$AJ$167,TRUE))*economics!$AM$2:$AM$167))/(SUMPRODUCT((economics!$AG$2:$AG$167=$B33)*(economics!$D$2:$D$167="process")*economics!$AI$2:$AI$167*(_xlfn.NORM.DIST(AH$3,economics!$AK$2:$AK$167,economics!$AJ$2:$AJ$167,TRUE)-_xlfn.NORM.DIST(AH$30,economics!$AK$2:$AK$167,economics!$AJ$2:$AJ$167,TRUE)))),"")</f>
        <v/>
      </c>
      <c r="AI33">
        <f t="array" ref="AI33">IFERROR((SUMPRODUCT((economics!$AG$2:$AG$167=$B33)*(economics!$D$2:$D$167="process")*economics!$AI$2:$AI$167*(_xlfn.NORM.DIST(AI$3,economics!$AK$2:$AK$167,economics!$AJ$2:$AJ$167,TRUE)-_xlfn.NORM.DIST(AI$30,economics!$AK$2:$AK$167,economics!$AJ$2:$AJ$167,TRUE))*economics!$AM$2:$AM$167))/(SUMPRODUCT((economics!$AG$2:$AG$167=$B33)*(economics!$D$2:$D$167="process")*economics!$AI$2:$AI$167*(_xlfn.NORM.DIST(AI$3,economics!$AK$2:$AK$167,economics!$AJ$2:$AJ$167,TRUE)-_xlfn.NORM.DIST(AI$30,economics!$AK$2:$AK$167,economics!$AJ$2:$AJ$167,TRUE)))),"")</f>
        <v/>
      </c>
      <c r="AJ33">
        <f t="array" ref="AJ33">IFERROR((SUMPRODUCT((economics!$AG$2:$AG$167=$B33)*(economics!$D$2:$D$167="process")*economics!$AI$2:$AI$167*(_xlfn.NORM.DIST(AJ$3,economics!$AK$2:$AK$167,economics!$AJ$2:$AJ$167,TRUE)-_xlfn.NORM.DIST(AJ$30,economics!$AK$2:$AK$167,economics!$AJ$2:$AJ$167,TRUE))*economics!$AM$2:$AM$167))/(SUMPRODUCT((economics!$AG$2:$AG$167=$B33)*(economics!$D$2:$D$167="process")*economics!$AI$2:$AI$167*(_xlfn.NORM.DIST(AJ$3,economics!$AK$2:$AK$167,economics!$AJ$2:$AJ$167,TRUE)-_xlfn.NORM.DIST(AJ$30,economics!$AK$2:$AK$167,economics!$AJ$2:$AJ$167,TRUE)))),"")</f>
        <v/>
      </c>
      <c r="AK33">
        <f t="array" ref="AK33">IFERROR((SUMPRODUCT((economics!$AG$2:$AG$167=$B33)*(economics!$D$2:$D$167="process")*economics!$AI$2:$AI$167*(_xlfn.NORM.DIST(AK$3,economics!$AK$2:$AK$167,economics!$AJ$2:$AJ$167,TRUE)-_xlfn.NORM.DIST(AK$30,economics!$AK$2:$AK$167,economics!$AJ$2:$AJ$167,TRUE))*economics!$AM$2:$AM$167))/(SUMPRODUCT((economics!$AG$2:$AG$167=$B33)*(economics!$D$2:$D$167="process")*economics!$AI$2:$AI$167*(_xlfn.NORM.DIST(AK$3,economics!$AK$2:$AK$167,economics!$AJ$2:$AJ$167,TRUE)-_xlfn.NORM.DIST(AK$30,economics!$AK$2:$AK$167,economics!$AJ$2:$AJ$167,TRUE)))),"")</f>
        <v/>
      </c>
      <c r="AL33">
        <f t="array" ref="AL33">IFERROR((SUMPRODUCT((economics!$AG$2:$AG$167=$B33)*(economics!$D$2:$D$167="process")*economics!$AI$2:$AI$167*(_xlfn.NORM.DIST(AL$3,economics!$AK$2:$AK$167,economics!$AJ$2:$AJ$167,TRUE)-_xlfn.NORM.DIST(AL$30,economics!$AK$2:$AK$167,economics!$AJ$2:$AJ$167,TRUE))*economics!$AM$2:$AM$167))/(SUMPRODUCT((economics!$AG$2:$AG$167=$B33)*(economics!$D$2:$D$167="process")*economics!$AI$2:$AI$167*(_xlfn.NORM.DIST(AL$3,economics!$AK$2:$AK$167,economics!$AJ$2:$AJ$167,TRUE)-_xlfn.NORM.DIST(AL$30,economics!$AK$2:$AK$167,economics!$AJ$2:$AJ$167,TRUE)))),"")</f>
        <v/>
      </c>
      <c r="AM33">
        <f t="array" ref="AM33">IFERROR((SUMPRODUCT((economics!$AG$2:$AG$167=$B33)*(economics!$D$2:$D$167="process")*economics!$AI$2:$AI$167*(_xlfn.NORM.DIST(AM$3,economics!$AK$2:$AK$167,economics!$AJ$2:$AJ$167,TRUE)-_xlfn.NORM.DIST(AM$30,economics!$AK$2:$AK$167,economics!$AJ$2:$AJ$167,TRUE))*economics!$AM$2:$AM$167))/(SUMPRODUCT((economics!$AG$2:$AG$167=$B33)*(economics!$D$2:$D$167="process")*economics!$AI$2:$AI$167*(_xlfn.NORM.DIST(AM$3,economics!$AK$2:$AK$167,economics!$AJ$2:$AJ$167,TRUE)-_xlfn.NORM.DIST(AM$30,economics!$AK$2:$AK$167,economics!$AJ$2:$AJ$167,TRUE)))),"")</f>
        <v/>
      </c>
      <c r="AN33">
        <f t="array" ref="AN33">IFERROR((SUMPRODUCT((economics!$AG$2:$AG$167=$B33)*(economics!$D$2:$D$167="process")*economics!$AI$2:$AI$167*(_xlfn.NORM.DIST(AN$3,economics!$AK$2:$AK$167,economics!$AJ$2:$AJ$167,TRUE)-_xlfn.NORM.DIST(AN$30,economics!$AK$2:$AK$167,economics!$AJ$2:$AJ$167,TRUE))*economics!$AM$2:$AM$167))/(SUMPRODUCT((economics!$AG$2:$AG$167=$B33)*(economics!$D$2:$D$167="process")*economics!$AI$2:$AI$167*(_xlfn.NORM.DIST(AN$3,economics!$AK$2:$AK$167,economics!$AJ$2:$AJ$167,TRUE)-_xlfn.NORM.DIST(AN$30,economics!$AK$2:$AK$167,economics!$AJ$2:$AJ$167,TRUE)))),"")</f>
        <v/>
      </c>
      <c r="AO33">
        <f t="array" ref="AO33">IFERROR((SUMPRODUCT((economics!$AG$2:$AG$167=$B33)*(economics!$D$2:$D$167="process")*economics!$AI$2:$AI$167*(_xlfn.NORM.DIST(AO$3,economics!$AK$2:$AK$167,economics!$AJ$2:$AJ$167,TRUE)-_xlfn.NORM.DIST(AO$30,economics!$AK$2:$AK$167,economics!$AJ$2:$AJ$167,TRUE))*economics!$AM$2:$AM$167))/(SUMPRODUCT((economics!$AG$2:$AG$167=$B33)*(economics!$D$2:$D$167="process")*economics!$AI$2:$AI$167*(_xlfn.NORM.DIST(AO$3,economics!$AK$2:$AK$167,economics!$AJ$2:$AJ$167,TRUE)-_xlfn.NORM.DIST(AO$30,economics!$AK$2:$AK$167,economics!$AJ$2:$AJ$167,TRUE)))),"")</f>
        <v/>
      </c>
      <c r="AP33">
        <f t="array" ref="AP33">IFERROR((SUMPRODUCT((economics!$AG$2:$AG$167=$B33)*(economics!$D$2:$D$167="process")*economics!$AI$2:$AI$167*(_xlfn.NORM.DIST(AP$3,economics!$AK$2:$AK$167,economics!$AJ$2:$AJ$167,TRUE)-_xlfn.NORM.DIST(AP$30,economics!$AK$2:$AK$167,economics!$AJ$2:$AJ$167,TRUE))*economics!$AM$2:$AM$167))/(SUMPRODUCT((economics!$AG$2:$AG$167=$B33)*(economics!$D$2:$D$167="process")*economics!$AI$2:$AI$167*(_xlfn.NORM.DIST(AP$3,economics!$AK$2:$AK$167,economics!$AJ$2:$AJ$167,TRUE)-_xlfn.NORM.DIST(AP$30,economics!$AK$2:$AK$167,economics!$AJ$2:$AJ$167,TRUE)))),"")</f>
        <v/>
      </c>
      <c r="AQ33">
        <f t="array" ref="AQ33">IFERROR((SUMPRODUCT((economics!$AG$2:$AG$167=$B33)*(economics!$D$2:$D$167="process")*economics!$AI$2:$AI$167*(_xlfn.NORM.DIST(AQ$3,economics!$AK$2:$AK$167,economics!$AJ$2:$AJ$167,TRUE)-_xlfn.NORM.DIST(AQ$30,economics!$AK$2:$AK$167,economics!$AJ$2:$AJ$167,TRUE))*economics!$AM$2:$AM$167))/(SUMPRODUCT((economics!$AG$2:$AG$167=$B33)*(economics!$D$2:$D$167="process")*economics!$AI$2:$AI$167*(_xlfn.NORM.DIST(AQ$3,economics!$AK$2:$AK$167,economics!$AJ$2:$AJ$167,TRUE)-_xlfn.NORM.DIST(AQ$30,economics!$AK$2:$AK$167,economics!$AJ$2:$AJ$167,TRUE)))),"")</f>
        <v/>
      </c>
      <c r="AR33">
        <f t="array" ref="AR33">IFERROR((SUMPRODUCT((economics!$AG$2:$AG$167=$B33)*(economics!$D$2:$D$167="process")*economics!$AI$2:$AI$167*(_xlfn.NORM.DIST(AR$3,economics!$AK$2:$AK$167,economics!$AJ$2:$AJ$167,TRUE)-_xlfn.NORM.DIST(AR$30,economics!$AK$2:$AK$167,economics!$AJ$2:$AJ$167,TRUE))*economics!$AM$2:$AM$167))/(SUMPRODUCT((economics!$AG$2:$AG$167=$B33)*(economics!$D$2:$D$167="process")*economics!$AI$2:$AI$167*(_xlfn.NORM.DIST(AR$3,economics!$AK$2:$AK$167,economics!$AJ$2:$AJ$167,TRUE)-_xlfn.NORM.DIST(AR$30,economics!$AK$2:$AK$167,economics!$AJ$2:$AJ$167,TRUE)))),"")</f>
        <v/>
      </c>
      <c r="AS33">
        <f t="array" ref="AS33">IFERROR((SUMPRODUCT((economics!$AG$2:$AG$167=$B33)*(economics!$D$2:$D$167="process")*economics!$AI$2:$AI$167*(_xlfn.NORM.DIST(AS$3,economics!$AK$2:$AK$167,economics!$AJ$2:$AJ$167,TRUE)-_xlfn.NORM.DIST(AS$30,economics!$AK$2:$AK$167,economics!$AJ$2:$AJ$167,TRUE))*economics!$AM$2:$AM$167))/(SUMPRODUCT((economics!$AG$2:$AG$167=$B33)*(economics!$D$2:$D$167="process")*economics!$AI$2:$AI$167*(_xlfn.NORM.DIST(AS$3,economics!$AK$2:$AK$167,economics!$AJ$2:$AJ$167,TRUE)-_xlfn.NORM.DIST(AS$30,economics!$AK$2:$AK$167,economics!$AJ$2:$AJ$167,TRUE)))),"")</f>
        <v/>
      </c>
      <c r="AT33">
        <f t="array" ref="AT33">IFERROR((SUMPRODUCT((economics!$AG$2:$AG$167=$B33)*(economics!$D$2:$D$167="process")*economics!$AI$2:$AI$167*(_xlfn.NORM.DIST(AT$3,economics!$AK$2:$AK$167,economics!$AJ$2:$AJ$167,TRUE)-_xlfn.NORM.DIST(AT$30,economics!$AK$2:$AK$167,economics!$AJ$2:$AJ$167,TRUE))*economics!$AM$2:$AM$167))/(SUMPRODUCT((economics!$AG$2:$AG$167=$B33)*(economics!$D$2:$D$167="process")*economics!$AI$2:$AI$167*(_xlfn.NORM.DIST(AT$3,economics!$AK$2:$AK$167,economics!$AJ$2:$AJ$167,TRUE)-_xlfn.NORM.DIST(AT$30,economics!$AK$2:$AK$167,economics!$AJ$2:$AJ$167,TRUE)))),"")</f>
        <v/>
      </c>
      <c r="AU33">
        <f t="array" ref="AU33">IFERROR((SUMPRODUCT((economics!$AG$2:$AG$167=$B33)*(economics!$D$2:$D$167="process")*economics!$AI$2:$AI$167*(_xlfn.NORM.DIST(AU$3,economics!$AK$2:$AK$167,economics!$AJ$2:$AJ$167,TRUE)-_xlfn.NORM.DIST(AU$30,economics!$AK$2:$AK$167,economics!$AJ$2:$AJ$167,TRUE))*economics!$AM$2:$AM$167))/(SUMPRODUCT((economics!$AG$2:$AG$167=$B33)*(economics!$D$2:$D$167="process")*economics!$AI$2:$AI$167*(_xlfn.NORM.DIST(AU$3,economics!$AK$2:$AK$167,economics!$AJ$2:$AJ$167,TRUE)-_xlfn.NORM.DIST(AU$30,economics!$AK$2:$AK$167,economics!$AJ$2:$AJ$167,TRUE)))),"")</f>
        <v/>
      </c>
      <c r="AV33">
        <f t="array" ref="AV33">IFERROR((SUMPRODUCT((economics!$AG$2:$AG$167=$B33)*(economics!$D$2:$D$167="process")*economics!$AI$2:$AI$167*(_xlfn.NORM.DIST(AV$3,economics!$AK$2:$AK$167,economics!$AJ$2:$AJ$167,TRUE)-_xlfn.NORM.DIST(AV$30,economics!$AK$2:$AK$167,economics!$AJ$2:$AJ$167,TRUE))*economics!$AM$2:$AM$167))/(SUMPRODUCT((economics!$AG$2:$AG$167=$B33)*(economics!$D$2:$D$167="process")*economics!$AI$2:$AI$167*(_xlfn.NORM.DIST(AV$3,economics!$AK$2:$AK$167,economics!$AJ$2:$AJ$167,TRUE)-_xlfn.NORM.DIST(AV$30,economics!$AK$2:$AK$167,economics!$AJ$2:$AJ$167,TRUE)))),"")</f>
        <v/>
      </c>
      <c r="AW33">
        <f t="array" ref="AW33">IFERROR((SUMPRODUCT((economics!$AG$2:$AG$167=$B33)*(economics!$D$2:$D$167="process")*economics!$AI$2:$AI$167*(_xlfn.NORM.DIST(AW$3,economics!$AK$2:$AK$167,economics!$AJ$2:$AJ$167,TRUE)-_xlfn.NORM.DIST(AW$30,economics!$AK$2:$AK$167,economics!$AJ$2:$AJ$167,TRUE))*economics!$AM$2:$AM$167))/(SUMPRODUCT((economics!$AG$2:$AG$167=$B33)*(economics!$D$2:$D$167="process")*economics!$AI$2:$AI$167*(_xlfn.NORM.DIST(AW$3,economics!$AK$2:$AK$167,economics!$AJ$2:$AJ$167,TRUE)-_xlfn.NORM.DIST(AW$30,economics!$AK$2:$AK$167,economics!$AJ$2:$AJ$167,TRUE)))),"")</f>
        <v/>
      </c>
      <c r="AX33">
        <f t="array" ref="AX33">IFERROR((SUMPRODUCT((economics!$AG$2:$AG$167=$B33)*(economics!$D$2:$D$167="process")*economics!$AI$2:$AI$167*(_xlfn.NORM.DIST(AX$3,economics!$AK$2:$AK$167,economics!$AJ$2:$AJ$167,TRUE)-_xlfn.NORM.DIST(AX$30,economics!$AK$2:$AK$167,economics!$AJ$2:$AJ$167,TRUE))*economics!$AM$2:$AM$167))/(SUMPRODUCT((economics!$AG$2:$AG$167=$B33)*(economics!$D$2:$D$167="process")*economics!$AI$2:$AI$167*(_xlfn.NORM.DIST(AX$3,economics!$AK$2:$AK$167,economics!$AJ$2:$AJ$167,TRUE)-_xlfn.NORM.DIST(AX$30,economics!$AK$2:$AK$167,economics!$AJ$2:$AJ$167,TRUE)))),"")</f>
        <v/>
      </c>
      <c r="AY33">
        <f t="array" ref="AY33">IFERROR((SUMPRODUCT((economics!$AG$2:$AG$167=$B33)*(economics!$D$2:$D$167="process")*economics!$AI$2:$AI$167*(_xlfn.NORM.DIST(AY$3,economics!$AK$2:$AK$167,economics!$AJ$2:$AJ$167,TRUE)-_xlfn.NORM.DIST(AY$30,economics!$AK$2:$AK$167,economics!$AJ$2:$AJ$167,TRUE))*economics!$AM$2:$AM$167))/(SUMPRODUCT((economics!$AG$2:$AG$167=$B33)*(economics!$D$2:$D$167="process")*economics!$AI$2:$AI$167*(_xlfn.NORM.DIST(AY$3,economics!$AK$2:$AK$167,economics!$AJ$2:$AJ$167,TRUE)-_xlfn.NORM.DIST(AY$30,economics!$AK$2:$AK$167,economics!$AJ$2:$AJ$167,TRUE)))),"")</f>
        <v/>
      </c>
      <c r="AZ33">
        <f t="array" ref="AZ33">IFERROR((SUMPRODUCT((economics!$AG$2:$AG$167=$B33)*(economics!$D$2:$D$167="process")*economics!$AI$2:$AI$167*(_xlfn.NORM.DIST(AZ$3,economics!$AK$2:$AK$167,economics!$AJ$2:$AJ$167,TRUE)-_xlfn.NORM.DIST(AZ$30,economics!$AK$2:$AK$167,economics!$AJ$2:$AJ$167,TRUE))*economics!$AM$2:$AM$167))/(SUMPRODUCT((economics!$AG$2:$AG$167=$B33)*(economics!$D$2:$D$167="process")*economics!$AI$2:$AI$167*(_xlfn.NORM.DIST(AZ$3,economics!$AK$2:$AK$167,economics!$AJ$2:$AJ$167,TRUE)-_xlfn.NORM.DIST(AZ$30,economics!$AK$2:$AK$167,economics!$AJ$2:$AJ$167,TRUE)))),"")</f>
        <v/>
      </c>
      <c r="BA33">
        <f t="array" ref="BA33">IFERROR((SUMPRODUCT((economics!$AG$2:$AG$167=$B33)*(economics!$D$2:$D$167="process")*economics!$AI$2:$AI$167*(_xlfn.NORM.DIST(BA$3,economics!$AK$2:$AK$167,economics!$AJ$2:$AJ$167,TRUE)-_xlfn.NORM.DIST(BA$30,economics!$AK$2:$AK$167,economics!$AJ$2:$AJ$167,TRUE))*economics!$AM$2:$AM$167))/(SUMPRODUCT((economics!$AG$2:$AG$167=$B33)*(economics!$D$2:$D$167="process")*economics!$AI$2:$AI$167*(_xlfn.NORM.DIST(BA$3,economics!$AK$2:$AK$167,economics!$AJ$2:$AJ$167,TRUE)-_xlfn.NORM.DIST(BA$30,economics!$AK$2:$AK$167,economics!$AJ$2:$AJ$167,TRUE)))),"")</f>
        <v/>
      </c>
      <c r="BB33">
        <f t="array" ref="BB33">IFERROR((SUMPRODUCT((economics!$AG$2:$AG$167=$B33)*(economics!$D$2:$D$167="process")*economics!$AI$2:$AI$167*(_xlfn.NORM.DIST(BB$3,economics!$AK$2:$AK$167,economics!$AJ$2:$AJ$167,TRUE)-_xlfn.NORM.DIST(BB$30,economics!$AK$2:$AK$167,economics!$AJ$2:$AJ$167,TRUE))*economics!$AM$2:$AM$167))/(SUMPRODUCT((economics!$AG$2:$AG$167=$B33)*(economics!$D$2:$D$167="process")*economics!$AI$2:$AI$167*(_xlfn.NORM.DIST(BB$3,economics!$AK$2:$AK$167,economics!$AJ$2:$AJ$167,TRUE)-_xlfn.NORM.DIST(BB$30,economics!$AK$2:$AK$167,economics!$AJ$2:$AJ$167,TRUE)))),"")</f>
        <v/>
      </c>
      <c r="BC33">
        <f t="array" ref="BC33">IFERROR((SUMPRODUCT((economics!$AG$2:$AG$167=$B33)*(economics!$D$2:$D$167="process")*economics!$AI$2:$AI$167*(_xlfn.NORM.DIST(BC$3,economics!$AK$2:$AK$167,economics!$AJ$2:$AJ$167,TRUE)-_xlfn.NORM.DIST(BC$30,economics!$AK$2:$AK$167,economics!$AJ$2:$AJ$167,TRUE))*economics!$AM$2:$AM$167))/(SUMPRODUCT((economics!$AG$2:$AG$167=$B33)*(economics!$D$2:$D$167="process")*economics!$AI$2:$AI$167*(_xlfn.NORM.DIST(BC$3,economics!$AK$2:$AK$167,economics!$AJ$2:$AJ$167,TRUE)-_xlfn.NORM.DIST(BC$30,economics!$AK$2:$AK$167,economics!$AJ$2:$AJ$167,TRUE)))),"")</f>
        <v/>
      </c>
      <c r="BD33">
        <f t="array" ref="BD33">IFERROR((SUMPRODUCT((economics!$AG$2:$AG$167=$B33)*(economics!$D$2:$D$167="process")*economics!$AI$2:$AI$167*(_xlfn.NORM.DIST(BD$3,economics!$AK$2:$AK$167,economics!$AJ$2:$AJ$167,TRUE)-_xlfn.NORM.DIST(BD$30,economics!$AK$2:$AK$167,economics!$AJ$2:$AJ$167,TRUE))*economics!$AM$2:$AM$167))/(SUMPRODUCT((economics!$AG$2:$AG$167=$B33)*(economics!$D$2:$D$167="process")*economics!$AI$2:$AI$167*(_xlfn.NORM.DIST(BD$3,economics!$AK$2:$AK$167,economics!$AJ$2:$AJ$167,TRUE)-_xlfn.NORM.DIST(BD$30,economics!$AK$2:$AK$167,economics!$AJ$2:$AJ$167,TRUE)))),"")</f>
        <v/>
      </c>
      <c r="BE33">
        <f t="array" ref="BE33">IFERROR((SUMPRODUCT((economics!$AG$2:$AG$167=$B33)*(economics!$D$2:$D$167="process")*economics!$AI$2:$AI$167*(_xlfn.NORM.DIST(BE$3,economics!$AK$2:$AK$167,economics!$AJ$2:$AJ$167,TRUE)-_xlfn.NORM.DIST(BE$30,economics!$AK$2:$AK$167,economics!$AJ$2:$AJ$167,TRUE))*economics!$AM$2:$AM$167))/(SUMPRODUCT((economics!$AG$2:$AG$167=$B33)*(economics!$D$2:$D$167="process")*economics!$AI$2:$AI$167*(_xlfn.NORM.DIST(BE$3,economics!$AK$2:$AK$167,economics!$AJ$2:$AJ$167,TRUE)-_xlfn.NORM.DIST(BE$30,economics!$AK$2:$AK$167,economics!$AJ$2:$AJ$167,TRUE)))),"")</f>
        <v/>
      </c>
      <c r="BF33">
        <f t="array" ref="BF33">IFERROR((SUMPRODUCT((economics!$AG$2:$AG$167=$B33)*(economics!$D$2:$D$167="process")*economics!$AI$2:$AI$167*(_xlfn.NORM.DIST(BF$3,economics!$AK$2:$AK$167,economics!$AJ$2:$AJ$167,TRUE)-_xlfn.NORM.DIST(BF$30,economics!$AK$2:$AK$167,economics!$AJ$2:$AJ$167,TRUE))*economics!$AM$2:$AM$167))/(SUMPRODUCT((economics!$AG$2:$AG$167=$B33)*(economics!$D$2:$D$167="process")*economics!$AI$2:$AI$167*(_xlfn.NORM.DIST(BF$3,economics!$AK$2:$AK$167,economics!$AJ$2:$AJ$167,TRUE)-_xlfn.NORM.DIST(BF$30,economics!$AK$2:$AK$167,economics!$AJ$2:$AJ$167,TRUE)))),"")</f>
        <v/>
      </c>
      <c r="BG33">
        <f t="array" ref="BG33">IFERROR((SUMPRODUCT((economics!$AG$2:$AG$167=$B33)*(economics!$D$2:$D$167="process")*economics!$AI$2:$AI$167*(_xlfn.NORM.DIST(BG$3,economics!$AK$2:$AK$167,economics!$AJ$2:$AJ$167,TRUE)-_xlfn.NORM.DIST(BG$30,economics!$AK$2:$AK$167,economics!$AJ$2:$AJ$167,TRUE))*economics!$AM$2:$AM$167))/(SUMPRODUCT((economics!$AG$2:$AG$167=$B33)*(economics!$D$2:$D$167="process")*economics!$AI$2:$AI$167*(_xlfn.NORM.DIST(BG$3,economics!$AK$2:$AK$167,economics!$AJ$2:$AJ$167,TRUE)-_xlfn.NORM.DIST(BG$30,economics!$AK$2:$AK$167,economics!$AJ$2:$AJ$167,TRUE)))),"")</f>
        <v/>
      </c>
      <c r="BH33">
        <f t="array" ref="BH33">IFERROR((SUMPRODUCT((economics!$AG$2:$AG$167=$B33)*(economics!$D$2:$D$167="process")*economics!$AI$2:$AI$167*(_xlfn.NORM.DIST(BH$3,economics!$AK$2:$AK$167,economics!$AJ$2:$AJ$167,TRUE)-_xlfn.NORM.DIST(BH$30,economics!$AK$2:$AK$167,economics!$AJ$2:$AJ$167,TRUE))*economics!$AM$2:$AM$167))/(SUMPRODUCT((economics!$AG$2:$AG$167=$B33)*(economics!$D$2:$D$167="process")*economics!$AI$2:$AI$167*(_xlfn.NORM.DIST(BH$3,economics!$AK$2:$AK$167,economics!$AJ$2:$AJ$167,TRUE)-_xlfn.NORM.DIST(BH$30,economics!$AK$2:$AK$167,economics!$AJ$2:$AJ$167,TRUE)))),"")</f>
        <v/>
      </c>
      <c r="BI33">
        <f t="array" ref="BI33">IFERROR((SUMPRODUCT((economics!$AG$2:$AG$167=$B33)*(economics!$D$2:$D$167="process")*economics!$AI$2:$AI$167*(_xlfn.NORM.DIST(BI$3,economics!$AK$2:$AK$167,economics!$AJ$2:$AJ$167,TRUE)-_xlfn.NORM.DIST(BI$30,economics!$AK$2:$AK$167,economics!$AJ$2:$AJ$167,TRUE))*economics!$AM$2:$AM$167))/(SUMPRODUCT((economics!$AG$2:$AG$167=$B33)*(economics!$D$2:$D$167="process")*economics!$AI$2:$AI$167*(_xlfn.NORM.DIST(BI$3,economics!$AK$2:$AK$167,economics!$AJ$2:$AJ$167,TRUE)-_xlfn.NORM.DIST(BI$30,economics!$AK$2:$AK$167,economics!$AJ$2:$AJ$167,TRUE)))),"")</f>
        <v/>
      </c>
      <c r="BJ33">
        <f t="array" ref="BJ33">IFERROR((SUMPRODUCT((economics!$AG$2:$AG$167=$B33)*(economics!$D$2:$D$167="process")*economics!$AI$2:$AI$167*(_xlfn.NORM.DIST(BJ$3,economics!$AK$2:$AK$167,economics!$AJ$2:$AJ$167,TRUE)-_xlfn.NORM.DIST(BJ$30,economics!$AK$2:$AK$167,economics!$AJ$2:$AJ$167,TRUE))*economics!$AM$2:$AM$167))/(SUMPRODUCT((economics!$AG$2:$AG$167=$B33)*(economics!$D$2:$D$167="process")*economics!$AI$2:$AI$167*(_xlfn.NORM.DIST(BJ$3,economics!$AK$2:$AK$167,economics!$AJ$2:$AJ$167,TRUE)-_xlfn.NORM.DIST(BJ$30,economics!$AK$2:$AK$167,economics!$AJ$2:$AJ$167,TRUE)))),"")</f>
        <v/>
      </c>
      <c r="BK33">
        <f t="array" ref="BK33">IFERROR((SUMPRODUCT((economics!$AG$2:$AG$167=$B33)*(economics!$D$2:$D$167="process")*economics!$AI$2:$AI$167*(_xlfn.NORM.DIST(BK$3,economics!$AK$2:$AK$167,economics!$AJ$2:$AJ$167,TRUE)-_xlfn.NORM.DIST(BK$30,economics!$AK$2:$AK$167,economics!$AJ$2:$AJ$167,TRUE))*economics!$AM$2:$AM$167))/(SUMPRODUCT((economics!$AG$2:$AG$167=$B33)*(economics!$D$2:$D$167="process")*economics!$AI$2:$AI$167*(_xlfn.NORM.DIST(BK$3,economics!$AK$2:$AK$167,economics!$AJ$2:$AJ$167,TRUE)-_xlfn.NORM.DIST(BK$30,economics!$AK$2:$AK$167,economics!$AJ$2:$AJ$167,TRUE)))),"")</f>
        <v/>
      </c>
      <c r="BL33">
        <f t="array" ref="BL33">IFERROR((SUMPRODUCT((economics!$AG$2:$AG$167=$B33)*(economics!$D$2:$D$167="process")*economics!$AI$2:$AI$167*(_xlfn.NORM.DIST(BL$3,economics!$AK$2:$AK$167,economics!$AJ$2:$AJ$167,TRUE)-_xlfn.NORM.DIST(BL$30,economics!$AK$2:$AK$167,economics!$AJ$2:$AJ$167,TRUE))*economics!$AM$2:$AM$167))/(SUMPRODUCT((economics!$AG$2:$AG$167=$B33)*(economics!$D$2:$D$167="process")*economics!$AI$2:$AI$167*(_xlfn.NORM.DIST(BL$3,economics!$AK$2:$AK$167,economics!$AJ$2:$AJ$167,TRUE)-_xlfn.NORM.DIST(BL$30,economics!$AK$2:$AK$167,economics!$AJ$2:$AJ$167,TRUE)))),"")</f>
        <v/>
      </c>
      <c r="BM33">
        <f t="array" ref="BM33">IFERROR((SUMPRODUCT((economics!$AG$2:$AG$167=$B33)*(economics!$D$2:$D$167="process")*economics!$AI$2:$AI$167*(_xlfn.NORM.DIST(BM$3,economics!$AK$2:$AK$167,economics!$AJ$2:$AJ$167,TRUE)-_xlfn.NORM.DIST(BM$30,economics!$AK$2:$AK$167,economics!$AJ$2:$AJ$167,TRUE))*economics!$AM$2:$AM$167))/(SUMPRODUCT((economics!$AG$2:$AG$167=$B33)*(economics!$D$2:$D$167="process")*economics!$AI$2:$AI$167*(_xlfn.NORM.DIST(BM$3,economics!$AK$2:$AK$167,economics!$AJ$2:$AJ$167,TRUE)-_xlfn.NORM.DIST(BM$30,economics!$AK$2:$AK$167,economics!$AJ$2:$AJ$167,TRUE)))),"")</f>
        <v/>
      </c>
      <c r="BN33">
        <f t="array" ref="BN33">IFERROR((SUMPRODUCT((economics!$AG$2:$AG$167=$B33)*(economics!$D$2:$D$167="process")*economics!$AI$2:$AI$167*(_xlfn.NORM.DIST(BN$3,economics!$AK$2:$AK$167,economics!$AJ$2:$AJ$167,TRUE)-_xlfn.NORM.DIST(BN$30,economics!$AK$2:$AK$167,economics!$AJ$2:$AJ$167,TRUE))*economics!$AM$2:$AM$167))/(SUMPRODUCT((economics!$AG$2:$AG$167=$B33)*(economics!$D$2:$D$167="process")*economics!$AI$2:$AI$167*(_xlfn.NORM.DIST(BN$3,economics!$AK$2:$AK$167,economics!$AJ$2:$AJ$167,TRUE)-_xlfn.NORM.DIST(BN$30,economics!$AK$2:$AK$167,economics!$AJ$2:$AJ$167,TRUE)))),"")</f>
        <v/>
      </c>
      <c r="BO33">
        <f t="array" ref="BO33">IFERROR((SUMPRODUCT((economics!$AG$2:$AG$167=$B33)*(economics!$D$2:$D$167="process")*economics!$AI$2:$AI$167*(_xlfn.NORM.DIST(BO$3,economics!$AK$2:$AK$167,economics!$AJ$2:$AJ$167,TRUE)-_xlfn.NORM.DIST(BO$30,economics!$AK$2:$AK$167,economics!$AJ$2:$AJ$167,TRUE))*economics!$AM$2:$AM$167))/(SUMPRODUCT((economics!$AG$2:$AG$167=$B33)*(economics!$D$2:$D$167="process")*economics!$AI$2:$AI$167*(_xlfn.NORM.DIST(BO$3,economics!$AK$2:$AK$167,economics!$AJ$2:$AJ$167,TRUE)-_xlfn.NORM.DIST(BO$30,economics!$AK$2:$AK$167,economics!$AJ$2:$AJ$167,TRUE)))),"")</f>
        <v/>
      </c>
      <c r="BP33">
        <f t="array" ref="BP33">IFERROR((SUMPRODUCT((economics!$AG$2:$AG$167=$B33)*(economics!$D$2:$D$167="process")*economics!$AI$2:$AI$167*(_xlfn.NORM.DIST(BP$3,economics!$AK$2:$AK$167,economics!$AJ$2:$AJ$167,TRUE)-_xlfn.NORM.DIST(BP$30,economics!$AK$2:$AK$167,economics!$AJ$2:$AJ$167,TRUE))*economics!$AM$2:$AM$167))/(SUMPRODUCT((economics!$AG$2:$AG$167=$B33)*(economics!$D$2:$D$167="process")*economics!$AI$2:$AI$167*(_xlfn.NORM.DIST(BP$3,economics!$AK$2:$AK$167,economics!$AJ$2:$AJ$167,TRUE)-_xlfn.NORM.DIST(BP$30,economics!$AK$2:$AK$167,economics!$AJ$2:$AJ$167,TRUE)))),"")</f>
        <v/>
      </c>
      <c r="BQ33">
        <f t="array" ref="BQ33">IFERROR((SUMPRODUCT((economics!$AG$2:$AG$167=$B33)*(economics!$D$2:$D$167="process")*economics!$AI$2:$AI$167*(_xlfn.NORM.DIST(BQ$3,economics!$AK$2:$AK$167,economics!$AJ$2:$AJ$167,TRUE)-_xlfn.NORM.DIST(BQ$30,economics!$AK$2:$AK$167,economics!$AJ$2:$AJ$167,TRUE))*economics!$AM$2:$AM$167))/(SUMPRODUCT((economics!$AG$2:$AG$167=$B33)*(economics!$D$2:$D$167="process")*economics!$AI$2:$AI$167*(_xlfn.NORM.DIST(BQ$3,economics!$AK$2:$AK$167,economics!$AJ$2:$AJ$167,TRUE)-_xlfn.NORM.DIST(BQ$30,economics!$AK$2:$AK$167,economics!$AJ$2:$AJ$167,TRUE)))),"")</f>
        <v/>
      </c>
      <c r="BR33">
        <f t="array" ref="BR33">IFERROR((SUMPRODUCT((economics!$AG$2:$AG$167=$B33)*(economics!$D$2:$D$167="process")*economics!$AI$2:$AI$167*(_xlfn.NORM.DIST(BR$3,economics!$AK$2:$AK$167,economics!$AJ$2:$AJ$167,TRUE)-_xlfn.NORM.DIST(BR$30,economics!$AK$2:$AK$167,economics!$AJ$2:$AJ$167,TRUE))*economics!$AM$2:$AM$167))/(SUMPRODUCT((economics!$AG$2:$AG$167=$B33)*(economics!$D$2:$D$167="process")*economics!$AI$2:$AI$167*(_xlfn.NORM.DIST(BR$3,economics!$AK$2:$AK$167,economics!$AJ$2:$AJ$167,TRUE)-_xlfn.NORM.DIST(BR$30,economics!$AK$2:$AK$167,economics!$AJ$2:$AJ$167,TRUE)))),"")</f>
        <v/>
      </c>
      <c r="BS33">
        <f t="array" ref="BS33">IFERROR((SUMPRODUCT((economics!$AG$2:$AG$167=$B33)*(economics!$D$2:$D$167="process")*economics!$AI$2:$AI$167*(_xlfn.NORM.DIST(BS$3,economics!$AK$2:$AK$167,economics!$AJ$2:$AJ$167,TRUE)-_xlfn.NORM.DIST(BS$30,economics!$AK$2:$AK$167,economics!$AJ$2:$AJ$167,TRUE))*economics!$AM$2:$AM$167))/(SUMPRODUCT((economics!$AG$2:$AG$167=$B33)*(economics!$D$2:$D$167="process")*economics!$AI$2:$AI$167*(_xlfn.NORM.DIST(BS$3,economics!$AK$2:$AK$167,economics!$AJ$2:$AJ$167,TRUE)-_xlfn.NORM.DIST(BS$30,economics!$AK$2:$AK$167,economics!$AJ$2:$AJ$167,TRUE)))),"")</f>
        <v/>
      </c>
      <c r="BT33">
        <f t="array" ref="BT33">IFERROR((SUMPRODUCT((economics!$AG$2:$AG$167=$B33)*(economics!$D$2:$D$167="process")*economics!$AI$2:$AI$167*(_xlfn.NORM.DIST(BT$3,economics!$AK$2:$AK$167,economics!$AJ$2:$AJ$167,TRUE)-_xlfn.NORM.DIST(BT$30,economics!$AK$2:$AK$167,economics!$AJ$2:$AJ$167,TRUE))*economics!$AM$2:$AM$167))/(SUMPRODUCT((economics!$AG$2:$AG$167=$B33)*(economics!$D$2:$D$167="process")*economics!$AI$2:$AI$167*(_xlfn.NORM.DIST(BT$3,economics!$AK$2:$AK$167,economics!$AJ$2:$AJ$167,TRUE)-_xlfn.NORM.DIST(BT$30,economics!$AK$2:$AK$167,economics!$AJ$2:$AJ$167,TRUE)))),"")</f>
        <v/>
      </c>
      <c r="BU33">
        <f t="array" ref="BU33">IFERROR((SUMPRODUCT((economics!$AG$2:$AG$167=$B33)*(economics!$D$2:$D$167="process")*economics!$AI$2:$AI$167*(_xlfn.NORM.DIST(BU$3,economics!$AK$2:$AK$167,economics!$AJ$2:$AJ$167,TRUE)-_xlfn.NORM.DIST(BU$30,economics!$AK$2:$AK$167,economics!$AJ$2:$AJ$167,TRUE))*economics!$AM$2:$AM$167))/(SUMPRODUCT((economics!$AG$2:$AG$167=$B33)*(economics!$D$2:$D$167="process")*economics!$AI$2:$AI$167*(_xlfn.NORM.DIST(BU$3,economics!$AK$2:$AK$167,economics!$AJ$2:$AJ$167,TRUE)-_xlfn.NORM.DIST(BU$30,economics!$AK$2:$AK$167,economics!$AJ$2:$AJ$167,TRUE)))),"")</f>
        <v/>
      </c>
      <c r="BV33">
        <f t="array" ref="BV33">IFERROR((SUMPRODUCT((economics!$AG$2:$AG$167=$B33)*(economics!$D$2:$D$167="process")*economics!$AI$2:$AI$167*(_xlfn.NORM.DIST(BV$3,economics!$AK$2:$AK$167,economics!$AJ$2:$AJ$167,TRUE)-_xlfn.NORM.DIST(BV$30,economics!$AK$2:$AK$167,economics!$AJ$2:$AJ$167,TRUE))*economics!$AM$2:$AM$167))/(SUMPRODUCT((economics!$AG$2:$AG$167=$B33)*(economics!$D$2:$D$167="process")*economics!$AI$2:$AI$167*(_xlfn.NORM.DIST(BV$3,economics!$AK$2:$AK$167,economics!$AJ$2:$AJ$167,TRUE)-_xlfn.NORM.DIST(BV$30,economics!$AK$2:$AK$167,economics!$AJ$2:$AJ$167,TRUE)))),"")</f>
        <v/>
      </c>
      <c r="BW33">
        <f t="array" ref="BW33">IFERROR((SUMPRODUCT((economics!$AG$2:$AG$167=$B33)*(economics!$D$2:$D$167="process")*economics!$AI$2:$AI$167*(_xlfn.NORM.DIST(BW$3,economics!$AK$2:$AK$167,economics!$AJ$2:$AJ$167,TRUE)-_xlfn.NORM.DIST(BW$30,economics!$AK$2:$AK$167,economics!$AJ$2:$AJ$167,TRUE))*economics!$AM$2:$AM$167))/(SUMPRODUCT((economics!$AG$2:$AG$167=$B33)*(economics!$D$2:$D$167="process")*economics!$AI$2:$AI$167*(_xlfn.NORM.DIST(BW$3,economics!$AK$2:$AK$167,economics!$AJ$2:$AJ$167,TRUE)-_xlfn.NORM.DIST(BW$30,economics!$AK$2:$AK$167,economics!$AJ$2:$AJ$167,TRUE)))),"")</f>
        <v/>
      </c>
      <c r="BX33">
        <f t="array" ref="BX33">IFERROR((SUMPRODUCT((economics!$AG$2:$AG$167=$B33)*(economics!$D$2:$D$167="process")*economics!$AI$2:$AI$167*(_xlfn.NORM.DIST(BX$3,economics!$AK$2:$AK$167,economics!$AJ$2:$AJ$167,TRUE)-_xlfn.NORM.DIST(BX$30,economics!$AK$2:$AK$167,economics!$AJ$2:$AJ$167,TRUE))*economics!$AM$2:$AM$167))/(SUMPRODUCT((economics!$AG$2:$AG$167=$B33)*(economics!$D$2:$D$167="process")*economics!$AI$2:$AI$167*(_xlfn.NORM.DIST(BX$3,economics!$AK$2:$AK$167,economics!$AJ$2:$AJ$167,TRUE)-_xlfn.NORM.DIST(BX$30,economics!$AK$2:$AK$167,economics!$AJ$2:$AJ$167,TRUE)))),"")</f>
        <v/>
      </c>
      <c r="BY33">
        <f t="array" ref="BY33">IFERROR((SUMPRODUCT((economics!$AG$2:$AG$167=$B33)*(economics!$D$2:$D$167="process")*economics!$AI$2:$AI$167*(_xlfn.NORM.DIST(BY$3,economics!$AK$2:$AK$167,economics!$AJ$2:$AJ$167,TRUE)-_xlfn.NORM.DIST(BY$30,economics!$AK$2:$AK$167,economics!$AJ$2:$AJ$167,TRUE))*economics!$AM$2:$AM$167))/(SUMPRODUCT((economics!$AG$2:$AG$167=$B33)*(economics!$D$2:$D$167="process")*economics!$AI$2:$AI$167*(_xlfn.NORM.DIST(BY$3,economics!$AK$2:$AK$167,economics!$AJ$2:$AJ$167,TRUE)-_xlfn.NORM.DIST(BY$30,economics!$AK$2:$AK$167,economics!$AJ$2:$AJ$167,TRUE)))),"")</f>
        <v/>
      </c>
      <c r="BZ33">
        <f t="array" ref="BZ33">IFERROR((SUMPRODUCT((economics!$AG$2:$AG$167=$B33)*(economics!$D$2:$D$167="process")*economics!$AI$2:$AI$167*(_xlfn.NORM.DIST(BZ$3,economics!$AK$2:$AK$167,economics!$AJ$2:$AJ$167,TRUE)-_xlfn.NORM.DIST(BZ$30,economics!$AK$2:$AK$167,economics!$AJ$2:$AJ$167,TRUE))*economics!$AM$2:$AM$167))/(SUMPRODUCT((economics!$AG$2:$AG$167=$B33)*(economics!$D$2:$D$167="process")*economics!$AI$2:$AI$167*(_xlfn.NORM.DIST(BZ$3,economics!$AK$2:$AK$167,economics!$AJ$2:$AJ$167,TRUE)-_xlfn.NORM.DIST(BZ$30,economics!$AK$2:$AK$167,economics!$AJ$2:$AJ$167,TRUE)))),"")</f>
        <v/>
      </c>
      <c r="CA33">
        <f t="array" ref="CA33">IFERROR((SUMPRODUCT((economics!$AG$2:$AG$167=$B33)*(economics!$D$2:$D$167="process")*economics!$AI$2:$AI$167*(_xlfn.NORM.DIST(CA$3,economics!$AK$2:$AK$167,economics!$AJ$2:$AJ$167,TRUE)-_xlfn.NORM.DIST(CA$30,economics!$AK$2:$AK$167,economics!$AJ$2:$AJ$167,TRUE))*economics!$AM$2:$AM$167))/(SUMPRODUCT((economics!$AG$2:$AG$167=$B33)*(economics!$D$2:$D$167="process")*economics!$AI$2:$AI$167*(_xlfn.NORM.DIST(CA$3,economics!$AK$2:$AK$167,economics!$AJ$2:$AJ$167,TRUE)-_xlfn.NORM.DIST(CA$30,economics!$AK$2:$AK$167,economics!$AJ$2:$AJ$167,TRUE)))),"")</f>
        <v/>
      </c>
      <c r="CB33">
        <f t="array" ref="CB33">IFERROR((SUMPRODUCT((economics!$AG$2:$AG$167=$B33)*(economics!$D$2:$D$167="process")*economics!$AI$2:$AI$167*(_xlfn.NORM.DIST(CB$3,economics!$AK$2:$AK$167,economics!$AJ$2:$AJ$167,TRUE)-_xlfn.NORM.DIST(CB$30,economics!$AK$2:$AK$167,economics!$AJ$2:$AJ$167,TRUE))*economics!$AM$2:$AM$167))/(SUMPRODUCT((economics!$AG$2:$AG$167=$B33)*(economics!$D$2:$D$167="process")*economics!$AI$2:$AI$167*(_xlfn.NORM.DIST(CB$3,economics!$AK$2:$AK$167,economics!$AJ$2:$AJ$167,TRUE)-_xlfn.NORM.DIST(CB$30,economics!$AK$2:$AK$167,economics!$AJ$2:$AJ$167,TRUE)))),"")</f>
        <v/>
      </c>
      <c r="CC33">
        <f t="array" ref="CC33">IFERROR((SUMPRODUCT((economics!$AG$2:$AG$167=$B33)*(economics!$D$2:$D$167="process")*economics!$AI$2:$AI$167*(_xlfn.NORM.DIST(CC$3,economics!$AK$2:$AK$167,economics!$AJ$2:$AJ$167,TRUE)-_xlfn.NORM.DIST(CC$30,economics!$AK$2:$AK$167,economics!$AJ$2:$AJ$167,TRUE))*economics!$AM$2:$AM$167))/(SUMPRODUCT((economics!$AG$2:$AG$167=$B33)*(economics!$D$2:$D$167="process")*economics!$AI$2:$AI$167*(_xlfn.NORM.DIST(CC$3,economics!$AK$2:$AK$167,economics!$AJ$2:$AJ$167,TRUE)-_xlfn.NORM.DIST(CC$30,economics!$AK$2:$AK$167,economics!$AJ$2:$AJ$167,TRUE)))),"")</f>
        <v/>
      </c>
      <c r="CD33">
        <f t="array" ref="CD33">IFERROR((SUMPRODUCT((economics!$AG$2:$AG$167=$B33)*(economics!$D$2:$D$167="process")*economics!$AI$2:$AI$167*(_xlfn.NORM.DIST(CD$3,economics!$AK$2:$AK$167,economics!$AJ$2:$AJ$167,TRUE)-_xlfn.NORM.DIST(CD$30,economics!$AK$2:$AK$167,economics!$AJ$2:$AJ$167,TRUE))*economics!$AM$2:$AM$167))/(SUMPRODUCT((economics!$AG$2:$AG$167=$B33)*(economics!$D$2:$D$167="process")*economics!$AI$2:$AI$167*(_xlfn.NORM.DIST(CD$3,economics!$AK$2:$AK$167,economics!$AJ$2:$AJ$167,TRUE)-_xlfn.NORM.DIST(CD$30,economics!$AK$2:$AK$167,economics!$AJ$2:$AJ$167,TRUE)))),"")</f>
        <v/>
      </c>
      <c r="CE33">
        <f t="array" ref="CE33">IFERROR((SUMPRODUCT((economics!$AG$2:$AG$167=$B33)*(economics!$D$2:$D$167="process")*economics!$AI$2:$AI$167*(_xlfn.NORM.DIST(CE$3,economics!$AK$2:$AK$167,economics!$AJ$2:$AJ$167,TRUE)-_xlfn.NORM.DIST(CE$30,economics!$AK$2:$AK$167,economics!$AJ$2:$AJ$167,TRUE))*economics!$AM$2:$AM$167))/(SUMPRODUCT((economics!$AG$2:$AG$167=$B33)*(economics!$D$2:$D$167="process")*economics!$AI$2:$AI$167*(_xlfn.NORM.DIST(CE$3,economics!$AK$2:$AK$167,economics!$AJ$2:$AJ$167,TRUE)-_xlfn.NORM.DIST(CE$30,economics!$AK$2:$AK$167,economics!$AJ$2:$AJ$167,TRUE)))),"")</f>
        <v/>
      </c>
      <c r="CF33">
        <f t="array" ref="CF33">IFERROR((SUMPRODUCT((economics!$AG$2:$AG$167=$B33)*(economics!$D$2:$D$167="process")*economics!$AI$2:$AI$167*(_xlfn.NORM.DIST(CF$3,economics!$AK$2:$AK$167,economics!$AJ$2:$AJ$167,TRUE)-_xlfn.NORM.DIST(CF$30,economics!$AK$2:$AK$167,economics!$AJ$2:$AJ$167,TRUE))*economics!$AM$2:$AM$167))/(SUMPRODUCT((economics!$AG$2:$AG$167=$B33)*(economics!$D$2:$D$167="process")*economics!$AI$2:$AI$167*(_xlfn.NORM.DIST(CF$3,economics!$AK$2:$AK$167,economics!$AJ$2:$AJ$167,TRUE)-_xlfn.NORM.DIST(CF$30,economics!$AK$2:$AK$167,economics!$AJ$2:$AJ$167,TRUE)))),"")</f>
        <v/>
      </c>
      <c r="CG33">
        <f t="array" ref="CG33">IFERROR((SUMPRODUCT((economics!$AG$2:$AG$167=$B33)*(economics!$D$2:$D$167="process")*economics!$AI$2:$AI$167*(_xlfn.NORM.DIST(CG$3,economics!$AK$2:$AK$167,economics!$AJ$2:$AJ$167,TRUE)-_xlfn.NORM.DIST(CG$30,economics!$AK$2:$AK$167,economics!$AJ$2:$AJ$167,TRUE))*economics!$AM$2:$AM$167))/(SUMPRODUCT((economics!$AG$2:$AG$167=$B33)*(economics!$D$2:$D$167="process")*economics!$AI$2:$AI$167*(_xlfn.NORM.DIST(CG$3,economics!$AK$2:$AK$167,economics!$AJ$2:$AJ$167,TRUE)-_xlfn.NORM.DIST(CG$30,economics!$AK$2:$AK$167,economics!$AJ$2:$AJ$167,TRUE)))),"")</f>
        <v/>
      </c>
      <c r="CH33">
        <f t="array" ref="CH33">IFERROR((SUMPRODUCT((economics!$AG$2:$AG$167=$B33)*(economics!$D$2:$D$167="process")*economics!$AI$2:$AI$167*(_xlfn.NORM.DIST(CH$3,economics!$AK$2:$AK$167,economics!$AJ$2:$AJ$167,TRUE)-_xlfn.NORM.DIST(CH$30,economics!$AK$2:$AK$167,economics!$AJ$2:$AJ$167,TRUE))*economics!$AM$2:$AM$167))/(SUMPRODUCT((economics!$AG$2:$AG$167=$B33)*(economics!$D$2:$D$167="process")*economics!$AI$2:$AI$167*(_xlfn.NORM.DIST(CH$3,economics!$AK$2:$AK$167,economics!$AJ$2:$AJ$167,TRUE)-_xlfn.NORM.DIST(CH$30,economics!$AK$2:$AK$167,economics!$AJ$2:$AJ$167,TRUE)))),"")</f>
        <v/>
      </c>
    </row>
    <row r="34">
      <c r="A34">
        <f>A5</f>
        <v/>
      </c>
      <c r="B34">
        <f>B5</f>
        <v/>
      </c>
      <c r="E34">
        <f t="array" ref="E34">IFERROR((SUMPRODUCT((economics!$AG$2:$AG$167=$B34)*(economics!$D$2:$D$167="process")*economics!$AI$2:$AI$167*(_xlfn.NORM.DIST(E$3,economics!$AK$2:$AK$167,economics!$AJ$2:$AJ$167,TRUE)-_xlfn.NORM.DIST(E$30,economics!$AK$2:$AK$167,economics!$AJ$2:$AJ$167,TRUE))*economics!$AM$2:$AM$167))/(SUMPRODUCT((economics!$AG$2:$AG$167=$B34)*(economics!$D$2:$D$167="process")*economics!$AI$2:$AI$167*(_xlfn.NORM.DIST(E$3,economics!$AK$2:$AK$167,economics!$AJ$2:$AJ$167,TRUE)-_xlfn.NORM.DIST(E$30,economics!$AK$2:$AK$167,economics!$AJ$2:$AJ$167,TRUE)))),"")</f>
        <v/>
      </c>
      <c r="F34">
        <f t="array" ref="F34">IFERROR((SUMPRODUCT((economics!$AG$2:$AG$167=$B34)*(economics!$D$2:$D$167="process")*economics!$AI$2:$AI$167*(_xlfn.NORM.DIST(F$3,economics!$AK$2:$AK$167,economics!$AJ$2:$AJ$167,TRUE)-_xlfn.NORM.DIST(F$30,economics!$AK$2:$AK$167,economics!$AJ$2:$AJ$167,TRUE))*economics!$AM$2:$AM$167))/(SUMPRODUCT((economics!$AG$2:$AG$167=$B34)*(economics!$D$2:$D$167="process")*economics!$AI$2:$AI$167*(_xlfn.NORM.DIST(F$3,economics!$AK$2:$AK$167,economics!$AJ$2:$AJ$167,TRUE)-_xlfn.NORM.DIST(F$30,economics!$AK$2:$AK$167,economics!$AJ$2:$AJ$167,TRUE)))),"")</f>
        <v/>
      </c>
      <c r="G34">
        <f t="array" ref="G34">IFERROR((SUMPRODUCT((economics!$AG$2:$AG$167=$B34)*(economics!$D$2:$D$167="process")*economics!$AI$2:$AI$167*(_xlfn.NORM.DIST(G$3,economics!$AK$2:$AK$167,economics!$AJ$2:$AJ$167,TRUE)-_xlfn.NORM.DIST(G$30,economics!$AK$2:$AK$167,economics!$AJ$2:$AJ$167,TRUE))*economics!$AM$2:$AM$167))/(SUMPRODUCT((economics!$AG$2:$AG$167=$B34)*(economics!$D$2:$D$167="process")*economics!$AI$2:$AI$167*(_xlfn.NORM.DIST(G$3,economics!$AK$2:$AK$167,economics!$AJ$2:$AJ$167,TRUE)-_xlfn.NORM.DIST(G$30,economics!$AK$2:$AK$167,economics!$AJ$2:$AJ$167,TRUE)))),"")</f>
        <v/>
      </c>
      <c r="H34">
        <f t="array" ref="H34">IFERROR((SUMPRODUCT((economics!$AG$2:$AG$167=$B34)*(economics!$D$2:$D$167="process")*economics!$AI$2:$AI$167*(_xlfn.NORM.DIST(H$3,economics!$AK$2:$AK$167,economics!$AJ$2:$AJ$167,TRUE)-_xlfn.NORM.DIST(H$30,economics!$AK$2:$AK$167,economics!$AJ$2:$AJ$167,TRUE))*economics!$AM$2:$AM$167))/(SUMPRODUCT((economics!$AG$2:$AG$167=$B34)*(economics!$D$2:$D$167="process")*economics!$AI$2:$AI$167*(_xlfn.NORM.DIST(H$3,economics!$AK$2:$AK$167,economics!$AJ$2:$AJ$167,TRUE)-_xlfn.NORM.DIST(H$30,economics!$AK$2:$AK$167,economics!$AJ$2:$AJ$167,TRUE)))),"")</f>
        <v/>
      </c>
      <c r="I34">
        <f t="array" ref="I34">IFERROR((SUMPRODUCT((economics!$AG$2:$AG$167=$B34)*(economics!$D$2:$D$167="process")*economics!$AI$2:$AI$167*(_xlfn.NORM.DIST(I$3,economics!$AK$2:$AK$167,economics!$AJ$2:$AJ$167,TRUE)-_xlfn.NORM.DIST(I$30,economics!$AK$2:$AK$167,economics!$AJ$2:$AJ$167,TRUE))*economics!$AM$2:$AM$167))/(SUMPRODUCT((economics!$AG$2:$AG$167=$B34)*(economics!$D$2:$D$167="process")*economics!$AI$2:$AI$167*(_xlfn.NORM.DIST(I$3,economics!$AK$2:$AK$167,economics!$AJ$2:$AJ$167,TRUE)-_xlfn.NORM.DIST(I$30,economics!$AK$2:$AK$167,economics!$AJ$2:$AJ$167,TRUE)))),"")</f>
        <v/>
      </c>
      <c r="J34">
        <f t="array" ref="J34">IFERROR((SUMPRODUCT((economics!$AG$2:$AG$167=$B34)*(economics!$D$2:$D$167="process")*economics!$AI$2:$AI$167*(_xlfn.NORM.DIST(J$3,economics!$AK$2:$AK$167,economics!$AJ$2:$AJ$167,TRUE)-_xlfn.NORM.DIST(J$30,economics!$AK$2:$AK$167,economics!$AJ$2:$AJ$167,TRUE))*economics!$AM$2:$AM$167))/(SUMPRODUCT((economics!$AG$2:$AG$167=$B34)*(economics!$D$2:$D$167="process")*economics!$AI$2:$AI$167*(_xlfn.NORM.DIST(J$3,economics!$AK$2:$AK$167,economics!$AJ$2:$AJ$167,TRUE)-_xlfn.NORM.DIST(J$30,economics!$AK$2:$AK$167,economics!$AJ$2:$AJ$167,TRUE)))),"")</f>
        <v/>
      </c>
      <c r="K34">
        <f t="array" ref="K34">IFERROR((SUMPRODUCT((economics!$AG$2:$AG$167=$B34)*(economics!$D$2:$D$167="process")*economics!$AI$2:$AI$167*(_xlfn.NORM.DIST(K$3,economics!$AK$2:$AK$167,economics!$AJ$2:$AJ$167,TRUE)-_xlfn.NORM.DIST(K$30,economics!$AK$2:$AK$167,economics!$AJ$2:$AJ$167,TRUE))*economics!$AM$2:$AM$167))/(SUMPRODUCT((economics!$AG$2:$AG$167=$B34)*(economics!$D$2:$D$167="process")*economics!$AI$2:$AI$167*(_xlfn.NORM.DIST(K$3,economics!$AK$2:$AK$167,economics!$AJ$2:$AJ$167,TRUE)-_xlfn.NORM.DIST(K$30,economics!$AK$2:$AK$167,economics!$AJ$2:$AJ$167,TRUE)))),"")</f>
        <v/>
      </c>
      <c r="L34">
        <f t="array" ref="L34">IFERROR((SUMPRODUCT((economics!$AG$2:$AG$167=$B34)*(economics!$D$2:$D$167="process")*economics!$AI$2:$AI$167*(_xlfn.NORM.DIST(L$3,economics!$AK$2:$AK$167,economics!$AJ$2:$AJ$167,TRUE)-_xlfn.NORM.DIST(L$30,economics!$AK$2:$AK$167,economics!$AJ$2:$AJ$167,TRUE))*economics!$AM$2:$AM$167))/(SUMPRODUCT((economics!$AG$2:$AG$167=$B34)*(economics!$D$2:$D$167="process")*economics!$AI$2:$AI$167*(_xlfn.NORM.DIST(L$3,economics!$AK$2:$AK$167,economics!$AJ$2:$AJ$167,TRUE)-_xlfn.NORM.DIST(L$30,economics!$AK$2:$AK$167,economics!$AJ$2:$AJ$167,TRUE)))),"")</f>
        <v/>
      </c>
      <c r="M34">
        <f t="array" ref="M34">IFERROR((SUMPRODUCT((economics!$AG$2:$AG$167=$B34)*(economics!$D$2:$D$167="process")*economics!$AI$2:$AI$167*(_xlfn.NORM.DIST(M$3,economics!$AK$2:$AK$167,economics!$AJ$2:$AJ$167,TRUE)-_xlfn.NORM.DIST(M$30,economics!$AK$2:$AK$167,economics!$AJ$2:$AJ$167,TRUE))*economics!$AM$2:$AM$167))/(SUMPRODUCT((economics!$AG$2:$AG$167=$B34)*(economics!$D$2:$D$167="process")*economics!$AI$2:$AI$167*(_xlfn.NORM.DIST(M$3,economics!$AK$2:$AK$167,economics!$AJ$2:$AJ$167,TRUE)-_xlfn.NORM.DIST(M$30,economics!$AK$2:$AK$167,economics!$AJ$2:$AJ$167,TRUE)))),"")</f>
        <v/>
      </c>
      <c r="N34">
        <f t="array" ref="N34">IFERROR((SUMPRODUCT((economics!$AG$2:$AG$167=$B34)*(economics!$D$2:$D$167="process")*economics!$AI$2:$AI$167*(_xlfn.NORM.DIST(N$3,economics!$AK$2:$AK$167,economics!$AJ$2:$AJ$167,TRUE)-_xlfn.NORM.DIST(N$30,economics!$AK$2:$AK$167,economics!$AJ$2:$AJ$167,TRUE))*economics!$AM$2:$AM$167))/(SUMPRODUCT((economics!$AG$2:$AG$167=$B34)*(economics!$D$2:$D$167="process")*economics!$AI$2:$AI$167*(_xlfn.NORM.DIST(N$3,economics!$AK$2:$AK$167,economics!$AJ$2:$AJ$167,TRUE)-_xlfn.NORM.DIST(N$30,economics!$AK$2:$AK$167,economics!$AJ$2:$AJ$167,TRUE)))),"")</f>
        <v/>
      </c>
      <c r="O34">
        <f t="array" ref="O34">IFERROR((SUMPRODUCT((economics!$AG$2:$AG$167=$B34)*(economics!$D$2:$D$167="process")*economics!$AI$2:$AI$167*(_xlfn.NORM.DIST(O$3,economics!$AK$2:$AK$167,economics!$AJ$2:$AJ$167,TRUE)-_xlfn.NORM.DIST(O$30,economics!$AK$2:$AK$167,economics!$AJ$2:$AJ$167,TRUE))*economics!$AM$2:$AM$167))/(SUMPRODUCT((economics!$AG$2:$AG$167=$B34)*(economics!$D$2:$D$167="process")*economics!$AI$2:$AI$167*(_xlfn.NORM.DIST(O$3,economics!$AK$2:$AK$167,economics!$AJ$2:$AJ$167,TRUE)-_xlfn.NORM.DIST(O$30,economics!$AK$2:$AK$167,economics!$AJ$2:$AJ$167,TRUE)))),"")</f>
        <v/>
      </c>
      <c r="P34">
        <f t="array" ref="P34">IFERROR((SUMPRODUCT((economics!$AG$2:$AG$167=$B34)*(economics!$D$2:$D$167="process")*economics!$AI$2:$AI$167*(_xlfn.NORM.DIST(P$3,economics!$AK$2:$AK$167,economics!$AJ$2:$AJ$167,TRUE)-_xlfn.NORM.DIST(P$30,economics!$AK$2:$AK$167,economics!$AJ$2:$AJ$167,TRUE))*economics!$AM$2:$AM$167))/(SUMPRODUCT((economics!$AG$2:$AG$167=$B34)*(economics!$D$2:$D$167="process")*economics!$AI$2:$AI$167*(_xlfn.NORM.DIST(P$3,economics!$AK$2:$AK$167,economics!$AJ$2:$AJ$167,TRUE)-_xlfn.NORM.DIST(P$30,economics!$AK$2:$AK$167,economics!$AJ$2:$AJ$167,TRUE)))),"")</f>
        <v/>
      </c>
      <c r="Q34">
        <f t="array" ref="Q34">IFERROR((SUMPRODUCT((economics!$AG$2:$AG$167=$B34)*(economics!$D$2:$D$167="process")*economics!$AI$2:$AI$167*(_xlfn.NORM.DIST(Q$3,economics!$AK$2:$AK$167,economics!$AJ$2:$AJ$167,TRUE)-_xlfn.NORM.DIST(Q$30,economics!$AK$2:$AK$167,economics!$AJ$2:$AJ$167,TRUE))*economics!$AM$2:$AM$167))/(SUMPRODUCT((economics!$AG$2:$AG$167=$B34)*(economics!$D$2:$D$167="process")*economics!$AI$2:$AI$167*(_xlfn.NORM.DIST(Q$3,economics!$AK$2:$AK$167,economics!$AJ$2:$AJ$167,TRUE)-_xlfn.NORM.DIST(Q$30,economics!$AK$2:$AK$167,economics!$AJ$2:$AJ$167,TRUE)))),"")</f>
        <v/>
      </c>
      <c r="R34">
        <f t="array" ref="R34">IFERROR((SUMPRODUCT((economics!$AG$2:$AG$167=$B34)*(economics!$D$2:$D$167="process")*economics!$AI$2:$AI$167*(_xlfn.NORM.DIST(R$3,economics!$AK$2:$AK$167,economics!$AJ$2:$AJ$167,TRUE)-_xlfn.NORM.DIST(R$30,economics!$AK$2:$AK$167,economics!$AJ$2:$AJ$167,TRUE))*economics!$AM$2:$AM$167))/(SUMPRODUCT((economics!$AG$2:$AG$167=$B34)*(economics!$D$2:$D$167="process")*economics!$AI$2:$AI$167*(_xlfn.NORM.DIST(R$3,economics!$AK$2:$AK$167,economics!$AJ$2:$AJ$167,TRUE)-_xlfn.NORM.DIST(R$30,economics!$AK$2:$AK$167,economics!$AJ$2:$AJ$167,TRUE)))),"")</f>
        <v/>
      </c>
      <c r="S34">
        <f t="array" ref="S34">IFERROR((SUMPRODUCT((economics!$AG$2:$AG$167=$B34)*(economics!$D$2:$D$167="process")*economics!$AI$2:$AI$167*(_xlfn.NORM.DIST(S$3,economics!$AK$2:$AK$167,economics!$AJ$2:$AJ$167,TRUE)-_xlfn.NORM.DIST(S$30,economics!$AK$2:$AK$167,economics!$AJ$2:$AJ$167,TRUE))*economics!$AM$2:$AM$167))/(SUMPRODUCT((economics!$AG$2:$AG$167=$B34)*(economics!$D$2:$D$167="process")*economics!$AI$2:$AI$167*(_xlfn.NORM.DIST(S$3,economics!$AK$2:$AK$167,economics!$AJ$2:$AJ$167,TRUE)-_xlfn.NORM.DIST(S$30,economics!$AK$2:$AK$167,economics!$AJ$2:$AJ$167,TRUE)))),"")</f>
        <v/>
      </c>
      <c r="T34">
        <f t="array" ref="T34">IFERROR((SUMPRODUCT((economics!$AG$2:$AG$167=$B34)*(economics!$D$2:$D$167="process")*economics!$AI$2:$AI$167*(_xlfn.NORM.DIST(T$3,economics!$AK$2:$AK$167,economics!$AJ$2:$AJ$167,TRUE)-_xlfn.NORM.DIST(T$30,economics!$AK$2:$AK$167,economics!$AJ$2:$AJ$167,TRUE))*economics!$AM$2:$AM$167))/(SUMPRODUCT((economics!$AG$2:$AG$167=$B34)*(economics!$D$2:$D$167="process")*economics!$AI$2:$AI$167*(_xlfn.NORM.DIST(T$3,economics!$AK$2:$AK$167,economics!$AJ$2:$AJ$167,TRUE)-_xlfn.NORM.DIST(T$30,economics!$AK$2:$AK$167,economics!$AJ$2:$AJ$167,TRUE)))),"")</f>
        <v/>
      </c>
      <c r="U34">
        <f t="array" ref="U34">IFERROR((SUMPRODUCT((economics!$AG$2:$AG$167=$B34)*(economics!$D$2:$D$167="process")*economics!$AI$2:$AI$167*(_xlfn.NORM.DIST(U$3,economics!$AK$2:$AK$167,economics!$AJ$2:$AJ$167,TRUE)-_xlfn.NORM.DIST(U$30,economics!$AK$2:$AK$167,economics!$AJ$2:$AJ$167,TRUE))*economics!$AM$2:$AM$167))/(SUMPRODUCT((economics!$AG$2:$AG$167=$B34)*(economics!$D$2:$D$167="process")*economics!$AI$2:$AI$167*(_xlfn.NORM.DIST(U$3,economics!$AK$2:$AK$167,economics!$AJ$2:$AJ$167,TRUE)-_xlfn.NORM.DIST(U$30,economics!$AK$2:$AK$167,economics!$AJ$2:$AJ$167,TRUE)))),"")</f>
        <v/>
      </c>
      <c r="V34">
        <f t="array" ref="V34">IFERROR((SUMPRODUCT((economics!$AG$2:$AG$167=$B34)*(economics!$D$2:$D$167="process")*economics!$AI$2:$AI$167*(_xlfn.NORM.DIST(V$3,economics!$AK$2:$AK$167,economics!$AJ$2:$AJ$167,TRUE)-_xlfn.NORM.DIST(V$30,economics!$AK$2:$AK$167,economics!$AJ$2:$AJ$167,TRUE))*economics!$AM$2:$AM$167))/(SUMPRODUCT((economics!$AG$2:$AG$167=$B34)*(economics!$D$2:$D$167="process")*economics!$AI$2:$AI$167*(_xlfn.NORM.DIST(V$3,economics!$AK$2:$AK$167,economics!$AJ$2:$AJ$167,TRUE)-_xlfn.NORM.DIST(V$30,economics!$AK$2:$AK$167,economics!$AJ$2:$AJ$167,TRUE)))),"")</f>
        <v/>
      </c>
      <c r="W34">
        <f t="array" ref="W34">IFERROR((SUMPRODUCT((economics!$AG$2:$AG$167=$B34)*(economics!$D$2:$D$167="process")*economics!$AI$2:$AI$167*(_xlfn.NORM.DIST(W$3,economics!$AK$2:$AK$167,economics!$AJ$2:$AJ$167,TRUE)-_xlfn.NORM.DIST(W$30,economics!$AK$2:$AK$167,economics!$AJ$2:$AJ$167,TRUE))*economics!$AM$2:$AM$167))/(SUMPRODUCT((economics!$AG$2:$AG$167=$B34)*(economics!$D$2:$D$167="process")*economics!$AI$2:$AI$167*(_xlfn.NORM.DIST(W$3,economics!$AK$2:$AK$167,economics!$AJ$2:$AJ$167,TRUE)-_xlfn.NORM.DIST(W$30,economics!$AK$2:$AK$167,economics!$AJ$2:$AJ$167,TRUE)))),"")</f>
        <v/>
      </c>
      <c r="X34">
        <f t="array" ref="X34">IFERROR((SUMPRODUCT((economics!$AG$2:$AG$167=$B34)*(economics!$D$2:$D$167="process")*economics!$AI$2:$AI$167*(_xlfn.NORM.DIST(X$3,economics!$AK$2:$AK$167,economics!$AJ$2:$AJ$167,TRUE)-_xlfn.NORM.DIST(X$30,economics!$AK$2:$AK$167,economics!$AJ$2:$AJ$167,TRUE))*economics!$AM$2:$AM$167))/(SUMPRODUCT((economics!$AG$2:$AG$167=$B34)*(economics!$D$2:$D$167="process")*economics!$AI$2:$AI$167*(_xlfn.NORM.DIST(X$3,economics!$AK$2:$AK$167,economics!$AJ$2:$AJ$167,TRUE)-_xlfn.NORM.DIST(X$30,economics!$AK$2:$AK$167,economics!$AJ$2:$AJ$167,TRUE)))),"")</f>
        <v/>
      </c>
      <c r="Y34">
        <f t="array" ref="Y34">IFERROR((SUMPRODUCT((economics!$AG$2:$AG$167=$B34)*(economics!$D$2:$D$167="process")*economics!$AI$2:$AI$167*(_xlfn.NORM.DIST(Y$3,economics!$AK$2:$AK$167,economics!$AJ$2:$AJ$167,TRUE)-_xlfn.NORM.DIST(Y$30,economics!$AK$2:$AK$167,economics!$AJ$2:$AJ$167,TRUE))*economics!$AM$2:$AM$167))/(SUMPRODUCT((economics!$AG$2:$AG$167=$B34)*(economics!$D$2:$D$167="process")*economics!$AI$2:$AI$167*(_xlfn.NORM.DIST(Y$3,economics!$AK$2:$AK$167,economics!$AJ$2:$AJ$167,TRUE)-_xlfn.NORM.DIST(Y$30,economics!$AK$2:$AK$167,economics!$AJ$2:$AJ$167,TRUE)))),"")</f>
        <v/>
      </c>
      <c r="Z34">
        <f t="array" ref="Z34">IFERROR((SUMPRODUCT((economics!$AG$2:$AG$167=$B34)*(economics!$D$2:$D$167="process")*economics!$AI$2:$AI$167*(_xlfn.NORM.DIST(Z$3,economics!$AK$2:$AK$167,economics!$AJ$2:$AJ$167,TRUE)-_xlfn.NORM.DIST(Z$30,economics!$AK$2:$AK$167,economics!$AJ$2:$AJ$167,TRUE))*economics!$AM$2:$AM$167))/(SUMPRODUCT((economics!$AG$2:$AG$167=$B34)*(economics!$D$2:$D$167="process")*economics!$AI$2:$AI$167*(_xlfn.NORM.DIST(Z$3,economics!$AK$2:$AK$167,economics!$AJ$2:$AJ$167,TRUE)-_xlfn.NORM.DIST(Z$30,economics!$AK$2:$AK$167,economics!$AJ$2:$AJ$167,TRUE)))),"")</f>
        <v/>
      </c>
      <c r="AA34">
        <f t="array" ref="AA34">IFERROR((SUMPRODUCT((economics!$AG$2:$AG$167=$B34)*(economics!$D$2:$D$167="process")*economics!$AI$2:$AI$167*(_xlfn.NORM.DIST(AA$3,economics!$AK$2:$AK$167,economics!$AJ$2:$AJ$167,TRUE)-_xlfn.NORM.DIST(AA$30,economics!$AK$2:$AK$167,economics!$AJ$2:$AJ$167,TRUE))*economics!$AM$2:$AM$167))/(SUMPRODUCT((economics!$AG$2:$AG$167=$B34)*(economics!$D$2:$D$167="process")*economics!$AI$2:$AI$167*(_xlfn.NORM.DIST(AA$3,economics!$AK$2:$AK$167,economics!$AJ$2:$AJ$167,TRUE)-_xlfn.NORM.DIST(AA$30,economics!$AK$2:$AK$167,economics!$AJ$2:$AJ$167,TRUE)))),"")</f>
        <v/>
      </c>
      <c r="AB34">
        <f t="array" ref="AB34">IFERROR((SUMPRODUCT((economics!$AG$2:$AG$167=$B34)*(economics!$D$2:$D$167="process")*economics!$AI$2:$AI$167*(_xlfn.NORM.DIST(AB$3,economics!$AK$2:$AK$167,economics!$AJ$2:$AJ$167,TRUE)-_xlfn.NORM.DIST(AB$30,economics!$AK$2:$AK$167,economics!$AJ$2:$AJ$167,TRUE))*economics!$AM$2:$AM$167))/(SUMPRODUCT((economics!$AG$2:$AG$167=$B34)*(economics!$D$2:$D$167="process")*economics!$AI$2:$AI$167*(_xlfn.NORM.DIST(AB$3,economics!$AK$2:$AK$167,economics!$AJ$2:$AJ$167,TRUE)-_xlfn.NORM.DIST(AB$30,economics!$AK$2:$AK$167,economics!$AJ$2:$AJ$167,TRUE)))),"")</f>
        <v/>
      </c>
      <c r="AC34">
        <f t="array" ref="AC34">IFERROR((SUMPRODUCT((economics!$AG$2:$AG$167=$B34)*(economics!$D$2:$D$167="process")*economics!$AI$2:$AI$167*(_xlfn.NORM.DIST(AC$3,economics!$AK$2:$AK$167,economics!$AJ$2:$AJ$167,TRUE)-_xlfn.NORM.DIST(AC$30,economics!$AK$2:$AK$167,economics!$AJ$2:$AJ$167,TRUE))*economics!$AM$2:$AM$167))/(SUMPRODUCT((economics!$AG$2:$AG$167=$B34)*(economics!$D$2:$D$167="process")*economics!$AI$2:$AI$167*(_xlfn.NORM.DIST(AC$3,economics!$AK$2:$AK$167,economics!$AJ$2:$AJ$167,TRUE)-_xlfn.NORM.DIST(AC$30,economics!$AK$2:$AK$167,economics!$AJ$2:$AJ$167,TRUE)))),"")</f>
        <v/>
      </c>
      <c r="AD34">
        <f t="array" ref="AD34">IFERROR((SUMPRODUCT((economics!$AG$2:$AG$167=$B34)*(economics!$D$2:$D$167="process")*economics!$AI$2:$AI$167*(_xlfn.NORM.DIST(AD$3,economics!$AK$2:$AK$167,economics!$AJ$2:$AJ$167,TRUE)-_xlfn.NORM.DIST(AD$30,economics!$AK$2:$AK$167,economics!$AJ$2:$AJ$167,TRUE))*economics!$AM$2:$AM$167))/(SUMPRODUCT((economics!$AG$2:$AG$167=$B34)*(economics!$D$2:$D$167="process")*economics!$AI$2:$AI$167*(_xlfn.NORM.DIST(AD$3,economics!$AK$2:$AK$167,economics!$AJ$2:$AJ$167,TRUE)-_xlfn.NORM.DIST(AD$30,economics!$AK$2:$AK$167,economics!$AJ$2:$AJ$167,TRUE)))),"")</f>
        <v/>
      </c>
      <c r="AE34">
        <f t="array" ref="AE34">IFERROR((SUMPRODUCT((economics!$AG$2:$AG$167=$B34)*(economics!$D$2:$D$167="process")*economics!$AI$2:$AI$167*(_xlfn.NORM.DIST(AE$3,economics!$AK$2:$AK$167,economics!$AJ$2:$AJ$167,TRUE)-_xlfn.NORM.DIST(AE$30,economics!$AK$2:$AK$167,economics!$AJ$2:$AJ$167,TRUE))*economics!$AM$2:$AM$167))/(SUMPRODUCT((economics!$AG$2:$AG$167=$B34)*(economics!$D$2:$D$167="process")*economics!$AI$2:$AI$167*(_xlfn.NORM.DIST(AE$3,economics!$AK$2:$AK$167,economics!$AJ$2:$AJ$167,TRUE)-_xlfn.NORM.DIST(AE$30,economics!$AK$2:$AK$167,economics!$AJ$2:$AJ$167,TRUE)))),"")</f>
        <v/>
      </c>
      <c r="AF34">
        <f t="array" ref="AF34">IFERROR((SUMPRODUCT((economics!$AG$2:$AG$167=$B34)*(economics!$D$2:$D$167="process")*economics!$AI$2:$AI$167*(_xlfn.NORM.DIST(AF$3,economics!$AK$2:$AK$167,economics!$AJ$2:$AJ$167,TRUE)-_xlfn.NORM.DIST(AF$30,economics!$AK$2:$AK$167,economics!$AJ$2:$AJ$167,TRUE))*economics!$AM$2:$AM$167))/(SUMPRODUCT((economics!$AG$2:$AG$167=$B34)*(economics!$D$2:$D$167="process")*economics!$AI$2:$AI$167*(_xlfn.NORM.DIST(AF$3,economics!$AK$2:$AK$167,economics!$AJ$2:$AJ$167,TRUE)-_xlfn.NORM.DIST(AF$30,economics!$AK$2:$AK$167,economics!$AJ$2:$AJ$167,TRUE)))),"")</f>
        <v/>
      </c>
      <c r="AG34">
        <f t="array" ref="AG34">IFERROR((SUMPRODUCT((economics!$AG$2:$AG$167=$B34)*(economics!$D$2:$D$167="process")*economics!$AI$2:$AI$167*(_xlfn.NORM.DIST(AG$3,economics!$AK$2:$AK$167,economics!$AJ$2:$AJ$167,TRUE)-_xlfn.NORM.DIST(AG$30,economics!$AK$2:$AK$167,economics!$AJ$2:$AJ$167,TRUE))*economics!$AM$2:$AM$167))/(SUMPRODUCT((economics!$AG$2:$AG$167=$B34)*(economics!$D$2:$D$167="process")*economics!$AI$2:$AI$167*(_xlfn.NORM.DIST(AG$3,economics!$AK$2:$AK$167,economics!$AJ$2:$AJ$167,TRUE)-_xlfn.NORM.DIST(AG$30,economics!$AK$2:$AK$167,economics!$AJ$2:$AJ$167,TRUE)))),"")</f>
        <v/>
      </c>
      <c r="AH34">
        <f t="array" ref="AH34">IFERROR((SUMPRODUCT((economics!$AG$2:$AG$167=$B34)*(economics!$D$2:$D$167="process")*economics!$AI$2:$AI$167*(_xlfn.NORM.DIST(AH$3,economics!$AK$2:$AK$167,economics!$AJ$2:$AJ$167,TRUE)-_xlfn.NORM.DIST(AH$30,economics!$AK$2:$AK$167,economics!$AJ$2:$AJ$167,TRUE))*economics!$AM$2:$AM$167))/(SUMPRODUCT((economics!$AG$2:$AG$167=$B34)*(economics!$D$2:$D$167="process")*economics!$AI$2:$AI$167*(_xlfn.NORM.DIST(AH$3,economics!$AK$2:$AK$167,economics!$AJ$2:$AJ$167,TRUE)-_xlfn.NORM.DIST(AH$30,economics!$AK$2:$AK$167,economics!$AJ$2:$AJ$167,TRUE)))),"")</f>
        <v/>
      </c>
      <c r="AI34">
        <f t="array" ref="AI34">IFERROR((SUMPRODUCT((economics!$AG$2:$AG$167=$B34)*(economics!$D$2:$D$167="process")*economics!$AI$2:$AI$167*(_xlfn.NORM.DIST(AI$3,economics!$AK$2:$AK$167,economics!$AJ$2:$AJ$167,TRUE)-_xlfn.NORM.DIST(AI$30,economics!$AK$2:$AK$167,economics!$AJ$2:$AJ$167,TRUE))*economics!$AM$2:$AM$167))/(SUMPRODUCT((economics!$AG$2:$AG$167=$B34)*(economics!$D$2:$D$167="process")*economics!$AI$2:$AI$167*(_xlfn.NORM.DIST(AI$3,economics!$AK$2:$AK$167,economics!$AJ$2:$AJ$167,TRUE)-_xlfn.NORM.DIST(AI$30,economics!$AK$2:$AK$167,economics!$AJ$2:$AJ$167,TRUE)))),"")</f>
        <v/>
      </c>
      <c r="AJ34">
        <f t="array" ref="AJ34">IFERROR((SUMPRODUCT((economics!$AG$2:$AG$167=$B34)*(economics!$D$2:$D$167="process")*economics!$AI$2:$AI$167*(_xlfn.NORM.DIST(AJ$3,economics!$AK$2:$AK$167,economics!$AJ$2:$AJ$167,TRUE)-_xlfn.NORM.DIST(AJ$30,economics!$AK$2:$AK$167,economics!$AJ$2:$AJ$167,TRUE))*economics!$AM$2:$AM$167))/(SUMPRODUCT((economics!$AG$2:$AG$167=$B34)*(economics!$D$2:$D$167="process")*economics!$AI$2:$AI$167*(_xlfn.NORM.DIST(AJ$3,economics!$AK$2:$AK$167,economics!$AJ$2:$AJ$167,TRUE)-_xlfn.NORM.DIST(AJ$30,economics!$AK$2:$AK$167,economics!$AJ$2:$AJ$167,TRUE)))),"")</f>
        <v/>
      </c>
      <c r="AK34">
        <f t="array" ref="AK34">IFERROR((SUMPRODUCT((economics!$AG$2:$AG$167=$B34)*(economics!$D$2:$D$167="process")*economics!$AI$2:$AI$167*(_xlfn.NORM.DIST(AK$3,economics!$AK$2:$AK$167,economics!$AJ$2:$AJ$167,TRUE)-_xlfn.NORM.DIST(AK$30,economics!$AK$2:$AK$167,economics!$AJ$2:$AJ$167,TRUE))*economics!$AM$2:$AM$167))/(SUMPRODUCT((economics!$AG$2:$AG$167=$B34)*(economics!$D$2:$D$167="process")*economics!$AI$2:$AI$167*(_xlfn.NORM.DIST(AK$3,economics!$AK$2:$AK$167,economics!$AJ$2:$AJ$167,TRUE)-_xlfn.NORM.DIST(AK$30,economics!$AK$2:$AK$167,economics!$AJ$2:$AJ$167,TRUE)))),"")</f>
        <v/>
      </c>
      <c r="AL34">
        <f t="array" ref="AL34">IFERROR((SUMPRODUCT((economics!$AG$2:$AG$167=$B34)*(economics!$D$2:$D$167="process")*economics!$AI$2:$AI$167*(_xlfn.NORM.DIST(AL$3,economics!$AK$2:$AK$167,economics!$AJ$2:$AJ$167,TRUE)-_xlfn.NORM.DIST(AL$30,economics!$AK$2:$AK$167,economics!$AJ$2:$AJ$167,TRUE))*economics!$AM$2:$AM$167))/(SUMPRODUCT((economics!$AG$2:$AG$167=$B34)*(economics!$D$2:$D$167="process")*economics!$AI$2:$AI$167*(_xlfn.NORM.DIST(AL$3,economics!$AK$2:$AK$167,economics!$AJ$2:$AJ$167,TRUE)-_xlfn.NORM.DIST(AL$30,economics!$AK$2:$AK$167,economics!$AJ$2:$AJ$167,TRUE)))),"")</f>
        <v/>
      </c>
      <c r="AM34">
        <f t="array" ref="AM34">IFERROR((SUMPRODUCT((economics!$AG$2:$AG$167=$B34)*(economics!$D$2:$D$167="process")*economics!$AI$2:$AI$167*(_xlfn.NORM.DIST(AM$3,economics!$AK$2:$AK$167,economics!$AJ$2:$AJ$167,TRUE)-_xlfn.NORM.DIST(AM$30,economics!$AK$2:$AK$167,economics!$AJ$2:$AJ$167,TRUE))*economics!$AM$2:$AM$167))/(SUMPRODUCT((economics!$AG$2:$AG$167=$B34)*(economics!$D$2:$D$167="process")*economics!$AI$2:$AI$167*(_xlfn.NORM.DIST(AM$3,economics!$AK$2:$AK$167,economics!$AJ$2:$AJ$167,TRUE)-_xlfn.NORM.DIST(AM$30,economics!$AK$2:$AK$167,economics!$AJ$2:$AJ$167,TRUE)))),"")</f>
        <v/>
      </c>
      <c r="AN34">
        <f t="array" ref="AN34">IFERROR((SUMPRODUCT((economics!$AG$2:$AG$167=$B34)*(economics!$D$2:$D$167="process")*economics!$AI$2:$AI$167*(_xlfn.NORM.DIST(AN$3,economics!$AK$2:$AK$167,economics!$AJ$2:$AJ$167,TRUE)-_xlfn.NORM.DIST(AN$30,economics!$AK$2:$AK$167,economics!$AJ$2:$AJ$167,TRUE))*economics!$AM$2:$AM$167))/(SUMPRODUCT((economics!$AG$2:$AG$167=$B34)*(economics!$D$2:$D$167="process")*economics!$AI$2:$AI$167*(_xlfn.NORM.DIST(AN$3,economics!$AK$2:$AK$167,economics!$AJ$2:$AJ$167,TRUE)-_xlfn.NORM.DIST(AN$30,economics!$AK$2:$AK$167,economics!$AJ$2:$AJ$167,TRUE)))),"")</f>
        <v/>
      </c>
      <c r="AO34">
        <f t="array" ref="AO34">IFERROR((SUMPRODUCT((economics!$AG$2:$AG$167=$B34)*(economics!$D$2:$D$167="process")*economics!$AI$2:$AI$167*(_xlfn.NORM.DIST(AO$3,economics!$AK$2:$AK$167,economics!$AJ$2:$AJ$167,TRUE)-_xlfn.NORM.DIST(AO$30,economics!$AK$2:$AK$167,economics!$AJ$2:$AJ$167,TRUE))*economics!$AM$2:$AM$167))/(SUMPRODUCT((economics!$AG$2:$AG$167=$B34)*(economics!$D$2:$D$167="process")*economics!$AI$2:$AI$167*(_xlfn.NORM.DIST(AO$3,economics!$AK$2:$AK$167,economics!$AJ$2:$AJ$167,TRUE)-_xlfn.NORM.DIST(AO$30,economics!$AK$2:$AK$167,economics!$AJ$2:$AJ$167,TRUE)))),"")</f>
        <v/>
      </c>
      <c r="AP34">
        <f t="array" ref="AP34">IFERROR((SUMPRODUCT((economics!$AG$2:$AG$167=$B34)*(economics!$D$2:$D$167="process")*economics!$AI$2:$AI$167*(_xlfn.NORM.DIST(AP$3,economics!$AK$2:$AK$167,economics!$AJ$2:$AJ$167,TRUE)-_xlfn.NORM.DIST(AP$30,economics!$AK$2:$AK$167,economics!$AJ$2:$AJ$167,TRUE))*economics!$AM$2:$AM$167))/(SUMPRODUCT((economics!$AG$2:$AG$167=$B34)*(economics!$D$2:$D$167="process")*economics!$AI$2:$AI$167*(_xlfn.NORM.DIST(AP$3,economics!$AK$2:$AK$167,economics!$AJ$2:$AJ$167,TRUE)-_xlfn.NORM.DIST(AP$30,economics!$AK$2:$AK$167,economics!$AJ$2:$AJ$167,TRUE)))),"")</f>
        <v/>
      </c>
      <c r="AQ34">
        <f t="array" ref="AQ34">IFERROR((SUMPRODUCT((economics!$AG$2:$AG$167=$B34)*(economics!$D$2:$D$167="process")*economics!$AI$2:$AI$167*(_xlfn.NORM.DIST(AQ$3,economics!$AK$2:$AK$167,economics!$AJ$2:$AJ$167,TRUE)-_xlfn.NORM.DIST(AQ$30,economics!$AK$2:$AK$167,economics!$AJ$2:$AJ$167,TRUE))*economics!$AM$2:$AM$167))/(SUMPRODUCT((economics!$AG$2:$AG$167=$B34)*(economics!$D$2:$D$167="process")*economics!$AI$2:$AI$167*(_xlfn.NORM.DIST(AQ$3,economics!$AK$2:$AK$167,economics!$AJ$2:$AJ$167,TRUE)-_xlfn.NORM.DIST(AQ$30,economics!$AK$2:$AK$167,economics!$AJ$2:$AJ$167,TRUE)))),"")</f>
        <v/>
      </c>
      <c r="AR34">
        <f t="array" ref="AR34">IFERROR((SUMPRODUCT((economics!$AG$2:$AG$167=$B34)*(economics!$D$2:$D$167="process")*economics!$AI$2:$AI$167*(_xlfn.NORM.DIST(AR$3,economics!$AK$2:$AK$167,economics!$AJ$2:$AJ$167,TRUE)-_xlfn.NORM.DIST(AR$30,economics!$AK$2:$AK$167,economics!$AJ$2:$AJ$167,TRUE))*economics!$AM$2:$AM$167))/(SUMPRODUCT((economics!$AG$2:$AG$167=$B34)*(economics!$D$2:$D$167="process")*economics!$AI$2:$AI$167*(_xlfn.NORM.DIST(AR$3,economics!$AK$2:$AK$167,economics!$AJ$2:$AJ$167,TRUE)-_xlfn.NORM.DIST(AR$30,economics!$AK$2:$AK$167,economics!$AJ$2:$AJ$167,TRUE)))),"")</f>
        <v/>
      </c>
      <c r="AS34">
        <f t="array" ref="AS34">IFERROR((SUMPRODUCT((economics!$AG$2:$AG$167=$B34)*(economics!$D$2:$D$167="process")*economics!$AI$2:$AI$167*(_xlfn.NORM.DIST(AS$3,economics!$AK$2:$AK$167,economics!$AJ$2:$AJ$167,TRUE)-_xlfn.NORM.DIST(AS$30,economics!$AK$2:$AK$167,economics!$AJ$2:$AJ$167,TRUE))*economics!$AM$2:$AM$167))/(SUMPRODUCT((economics!$AG$2:$AG$167=$B34)*(economics!$D$2:$D$167="process")*economics!$AI$2:$AI$167*(_xlfn.NORM.DIST(AS$3,economics!$AK$2:$AK$167,economics!$AJ$2:$AJ$167,TRUE)-_xlfn.NORM.DIST(AS$30,economics!$AK$2:$AK$167,economics!$AJ$2:$AJ$167,TRUE)))),"")</f>
        <v/>
      </c>
      <c r="AT34">
        <f t="array" ref="AT34">IFERROR((SUMPRODUCT((economics!$AG$2:$AG$167=$B34)*(economics!$D$2:$D$167="process")*economics!$AI$2:$AI$167*(_xlfn.NORM.DIST(AT$3,economics!$AK$2:$AK$167,economics!$AJ$2:$AJ$167,TRUE)-_xlfn.NORM.DIST(AT$30,economics!$AK$2:$AK$167,economics!$AJ$2:$AJ$167,TRUE))*economics!$AM$2:$AM$167))/(SUMPRODUCT((economics!$AG$2:$AG$167=$B34)*(economics!$D$2:$D$167="process")*economics!$AI$2:$AI$167*(_xlfn.NORM.DIST(AT$3,economics!$AK$2:$AK$167,economics!$AJ$2:$AJ$167,TRUE)-_xlfn.NORM.DIST(AT$30,economics!$AK$2:$AK$167,economics!$AJ$2:$AJ$167,TRUE)))),"")</f>
        <v/>
      </c>
      <c r="AU34">
        <f t="array" ref="AU34">IFERROR((SUMPRODUCT((economics!$AG$2:$AG$167=$B34)*(economics!$D$2:$D$167="process")*economics!$AI$2:$AI$167*(_xlfn.NORM.DIST(AU$3,economics!$AK$2:$AK$167,economics!$AJ$2:$AJ$167,TRUE)-_xlfn.NORM.DIST(AU$30,economics!$AK$2:$AK$167,economics!$AJ$2:$AJ$167,TRUE))*economics!$AM$2:$AM$167))/(SUMPRODUCT((economics!$AG$2:$AG$167=$B34)*(economics!$D$2:$D$167="process")*economics!$AI$2:$AI$167*(_xlfn.NORM.DIST(AU$3,economics!$AK$2:$AK$167,economics!$AJ$2:$AJ$167,TRUE)-_xlfn.NORM.DIST(AU$30,economics!$AK$2:$AK$167,economics!$AJ$2:$AJ$167,TRUE)))),"")</f>
        <v/>
      </c>
      <c r="AV34">
        <f t="array" ref="AV34">IFERROR((SUMPRODUCT((economics!$AG$2:$AG$167=$B34)*(economics!$D$2:$D$167="process")*economics!$AI$2:$AI$167*(_xlfn.NORM.DIST(AV$3,economics!$AK$2:$AK$167,economics!$AJ$2:$AJ$167,TRUE)-_xlfn.NORM.DIST(AV$30,economics!$AK$2:$AK$167,economics!$AJ$2:$AJ$167,TRUE))*economics!$AM$2:$AM$167))/(SUMPRODUCT((economics!$AG$2:$AG$167=$B34)*(economics!$D$2:$D$167="process")*economics!$AI$2:$AI$167*(_xlfn.NORM.DIST(AV$3,economics!$AK$2:$AK$167,economics!$AJ$2:$AJ$167,TRUE)-_xlfn.NORM.DIST(AV$30,economics!$AK$2:$AK$167,economics!$AJ$2:$AJ$167,TRUE)))),"")</f>
        <v/>
      </c>
      <c r="AW34">
        <f t="array" ref="AW34">IFERROR((SUMPRODUCT((economics!$AG$2:$AG$167=$B34)*(economics!$D$2:$D$167="process")*economics!$AI$2:$AI$167*(_xlfn.NORM.DIST(AW$3,economics!$AK$2:$AK$167,economics!$AJ$2:$AJ$167,TRUE)-_xlfn.NORM.DIST(AW$30,economics!$AK$2:$AK$167,economics!$AJ$2:$AJ$167,TRUE))*economics!$AM$2:$AM$167))/(SUMPRODUCT((economics!$AG$2:$AG$167=$B34)*(economics!$D$2:$D$167="process")*economics!$AI$2:$AI$167*(_xlfn.NORM.DIST(AW$3,economics!$AK$2:$AK$167,economics!$AJ$2:$AJ$167,TRUE)-_xlfn.NORM.DIST(AW$30,economics!$AK$2:$AK$167,economics!$AJ$2:$AJ$167,TRUE)))),"")</f>
        <v/>
      </c>
      <c r="AX34">
        <f t="array" ref="AX34">IFERROR((SUMPRODUCT((economics!$AG$2:$AG$167=$B34)*(economics!$D$2:$D$167="process")*economics!$AI$2:$AI$167*(_xlfn.NORM.DIST(AX$3,economics!$AK$2:$AK$167,economics!$AJ$2:$AJ$167,TRUE)-_xlfn.NORM.DIST(AX$30,economics!$AK$2:$AK$167,economics!$AJ$2:$AJ$167,TRUE))*economics!$AM$2:$AM$167))/(SUMPRODUCT((economics!$AG$2:$AG$167=$B34)*(economics!$D$2:$D$167="process")*economics!$AI$2:$AI$167*(_xlfn.NORM.DIST(AX$3,economics!$AK$2:$AK$167,economics!$AJ$2:$AJ$167,TRUE)-_xlfn.NORM.DIST(AX$30,economics!$AK$2:$AK$167,economics!$AJ$2:$AJ$167,TRUE)))),"")</f>
        <v/>
      </c>
      <c r="AY34">
        <f t="array" ref="AY34">IFERROR((SUMPRODUCT((economics!$AG$2:$AG$167=$B34)*(economics!$D$2:$D$167="process")*economics!$AI$2:$AI$167*(_xlfn.NORM.DIST(AY$3,economics!$AK$2:$AK$167,economics!$AJ$2:$AJ$167,TRUE)-_xlfn.NORM.DIST(AY$30,economics!$AK$2:$AK$167,economics!$AJ$2:$AJ$167,TRUE))*economics!$AM$2:$AM$167))/(SUMPRODUCT((economics!$AG$2:$AG$167=$B34)*(economics!$D$2:$D$167="process")*economics!$AI$2:$AI$167*(_xlfn.NORM.DIST(AY$3,economics!$AK$2:$AK$167,economics!$AJ$2:$AJ$167,TRUE)-_xlfn.NORM.DIST(AY$30,economics!$AK$2:$AK$167,economics!$AJ$2:$AJ$167,TRUE)))),"")</f>
        <v/>
      </c>
      <c r="AZ34">
        <f t="array" ref="AZ34">IFERROR((SUMPRODUCT((economics!$AG$2:$AG$167=$B34)*(economics!$D$2:$D$167="process")*economics!$AI$2:$AI$167*(_xlfn.NORM.DIST(AZ$3,economics!$AK$2:$AK$167,economics!$AJ$2:$AJ$167,TRUE)-_xlfn.NORM.DIST(AZ$30,economics!$AK$2:$AK$167,economics!$AJ$2:$AJ$167,TRUE))*economics!$AM$2:$AM$167))/(SUMPRODUCT((economics!$AG$2:$AG$167=$B34)*(economics!$D$2:$D$167="process")*economics!$AI$2:$AI$167*(_xlfn.NORM.DIST(AZ$3,economics!$AK$2:$AK$167,economics!$AJ$2:$AJ$167,TRUE)-_xlfn.NORM.DIST(AZ$30,economics!$AK$2:$AK$167,economics!$AJ$2:$AJ$167,TRUE)))),"")</f>
        <v/>
      </c>
      <c r="BA34">
        <f t="array" ref="BA34">IFERROR((SUMPRODUCT((economics!$AG$2:$AG$167=$B34)*(economics!$D$2:$D$167="process")*economics!$AI$2:$AI$167*(_xlfn.NORM.DIST(BA$3,economics!$AK$2:$AK$167,economics!$AJ$2:$AJ$167,TRUE)-_xlfn.NORM.DIST(BA$30,economics!$AK$2:$AK$167,economics!$AJ$2:$AJ$167,TRUE))*economics!$AM$2:$AM$167))/(SUMPRODUCT((economics!$AG$2:$AG$167=$B34)*(economics!$D$2:$D$167="process")*economics!$AI$2:$AI$167*(_xlfn.NORM.DIST(BA$3,economics!$AK$2:$AK$167,economics!$AJ$2:$AJ$167,TRUE)-_xlfn.NORM.DIST(BA$30,economics!$AK$2:$AK$167,economics!$AJ$2:$AJ$167,TRUE)))),"")</f>
        <v/>
      </c>
      <c r="BB34">
        <f t="array" ref="BB34">IFERROR((SUMPRODUCT((economics!$AG$2:$AG$167=$B34)*(economics!$D$2:$D$167="process")*economics!$AI$2:$AI$167*(_xlfn.NORM.DIST(BB$3,economics!$AK$2:$AK$167,economics!$AJ$2:$AJ$167,TRUE)-_xlfn.NORM.DIST(BB$30,economics!$AK$2:$AK$167,economics!$AJ$2:$AJ$167,TRUE))*economics!$AM$2:$AM$167))/(SUMPRODUCT((economics!$AG$2:$AG$167=$B34)*(economics!$D$2:$D$167="process")*economics!$AI$2:$AI$167*(_xlfn.NORM.DIST(BB$3,economics!$AK$2:$AK$167,economics!$AJ$2:$AJ$167,TRUE)-_xlfn.NORM.DIST(BB$30,economics!$AK$2:$AK$167,economics!$AJ$2:$AJ$167,TRUE)))),"")</f>
        <v/>
      </c>
      <c r="BC34">
        <f t="array" ref="BC34">IFERROR((SUMPRODUCT((economics!$AG$2:$AG$167=$B34)*(economics!$D$2:$D$167="process")*economics!$AI$2:$AI$167*(_xlfn.NORM.DIST(BC$3,economics!$AK$2:$AK$167,economics!$AJ$2:$AJ$167,TRUE)-_xlfn.NORM.DIST(BC$30,economics!$AK$2:$AK$167,economics!$AJ$2:$AJ$167,TRUE))*economics!$AM$2:$AM$167))/(SUMPRODUCT((economics!$AG$2:$AG$167=$B34)*(economics!$D$2:$D$167="process")*economics!$AI$2:$AI$167*(_xlfn.NORM.DIST(BC$3,economics!$AK$2:$AK$167,economics!$AJ$2:$AJ$167,TRUE)-_xlfn.NORM.DIST(BC$30,economics!$AK$2:$AK$167,economics!$AJ$2:$AJ$167,TRUE)))),"")</f>
        <v/>
      </c>
      <c r="BD34">
        <f t="array" ref="BD34">IFERROR((SUMPRODUCT((economics!$AG$2:$AG$167=$B34)*(economics!$D$2:$D$167="process")*economics!$AI$2:$AI$167*(_xlfn.NORM.DIST(BD$3,economics!$AK$2:$AK$167,economics!$AJ$2:$AJ$167,TRUE)-_xlfn.NORM.DIST(BD$30,economics!$AK$2:$AK$167,economics!$AJ$2:$AJ$167,TRUE))*economics!$AM$2:$AM$167))/(SUMPRODUCT((economics!$AG$2:$AG$167=$B34)*(economics!$D$2:$D$167="process")*economics!$AI$2:$AI$167*(_xlfn.NORM.DIST(BD$3,economics!$AK$2:$AK$167,economics!$AJ$2:$AJ$167,TRUE)-_xlfn.NORM.DIST(BD$30,economics!$AK$2:$AK$167,economics!$AJ$2:$AJ$167,TRUE)))),"")</f>
        <v/>
      </c>
      <c r="BE34">
        <f t="array" ref="BE34">IFERROR((SUMPRODUCT((economics!$AG$2:$AG$167=$B34)*(economics!$D$2:$D$167="process")*economics!$AI$2:$AI$167*(_xlfn.NORM.DIST(BE$3,economics!$AK$2:$AK$167,economics!$AJ$2:$AJ$167,TRUE)-_xlfn.NORM.DIST(BE$30,economics!$AK$2:$AK$167,economics!$AJ$2:$AJ$167,TRUE))*economics!$AM$2:$AM$167))/(SUMPRODUCT((economics!$AG$2:$AG$167=$B34)*(economics!$D$2:$D$167="process")*economics!$AI$2:$AI$167*(_xlfn.NORM.DIST(BE$3,economics!$AK$2:$AK$167,economics!$AJ$2:$AJ$167,TRUE)-_xlfn.NORM.DIST(BE$30,economics!$AK$2:$AK$167,economics!$AJ$2:$AJ$167,TRUE)))),"")</f>
        <v/>
      </c>
      <c r="BF34">
        <f t="array" ref="BF34">IFERROR((SUMPRODUCT((economics!$AG$2:$AG$167=$B34)*(economics!$D$2:$D$167="process")*economics!$AI$2:$AI$167*(_xlfn.NORM.DIST(BF$3,economics!$AK$2:$AK$167,economics!$AJ$2:$AJ$167,TRUE)-_xlfn.NORM.DIST(BF$30,economics!$AK$2:$AK$167,economics!$AJ$2:$AJ$167,TRUE))*economics!$AM$2:$AM$167))/(SUMPRODUCT((economics!$AG$2:$AG$167=$B34)*(economics!$D$2:$D$167="process")*economics!$AI$2:$AI$167*(_xlfn.NORM.DIST(BF$3,economics!$AK$2:$AK$167,economics!$AJ$2:$AJ$167,TRUE)-_xlfn.NORM.DIST(BF$30,economics!$AK$2:$AK$167,economics!$AJ$2:$AJ$167,TRUE)))),"")</f>
        <v/>
      </c>
      <c r="BG34">
        <f t="array" ref="BG34">IFERROR((SUMPRODUCT((economics!$AG$2:$AG$167=$B34)*(economics!$D$2:$D$167="process")*economics!$AI$2:$AI$167*(_xlfn.NORM.DIST(BG$3,economics!$AK$2:$AK$167,economics!$AJ$2:$AJ$167,TRUE)-_xlfn.NORM.DIST(BG$30,economics!$AK$2:$AK$167,economics!$AJ$2:$AJ$167,TRUE))*economics!$AM$2:$AM$167))/(SUMPRODUCT((economics!$AG$2:$AG$167=$B34)*(economics!$D$2:$D$167="process")*economics!$AI$2:$AI$167*(_xlfn.NORM.DIST(BG$3,economics!$AK$2:$AK$167,economics!$AJ$2:$AJ$167,TRUE)-_xlfn.NORM.DIST(BG$30,economics!$AK$2:$AK$167,economics!$AJ$2:$AJ$167,TRUE)))),"")</f>
        <v/>
      </c>
      <c r="BH34">
        <f t="array" ref="BH34">IFERROR((SUMPRODUCT((economics!$AG$2:$AG$167=$B34)*(economics!$D$2:$D$167="process")*economics!$AI$2:$AI$167*(_xlfn.NORM.DIST(BH$3,economics!$AK$2:$AK$167,economics!$AJ$2:$AJ$167,TRUE)-_xlfn.NORM.DIST(BH$30,economics!$AK$2:$AK$167,economics!$AJ$2:$AJ$167,TRUE))*economics!$AM$2:$AM$167))/(SUMPRODUCT((economics!$AG$2:$AG$167=$B34)*(economics!$D$2:$D$167="process")*economics!$AI$2:$AI$167*(_xlfn.NORM.DIST(BH$3,economics!$AK$2:$AK$167,economics!$AJ$2:$AJ$167,TRUE)-_xlfn.NORM.DIST(BH$30,economics!$AK$2:$AK$167,economics!$AJ$2:$AJ$167,TRUE)))),"")</f>
        <v/>
      </c>
      <c r="BI34">
        <f t="array" ref="BI34">IFERROR((SUMPRODUCT((economics!$AG$2:$AG$167=$B34)*(economics!$D$2:$D$167="process")*economics!$AI$2:$AI$167*(_xlfn.NORM.DIST(BI$3,economics!$AK$2:$AK$167,economics!$AJ$2:$AJ$167,TRUE)-_xlfn.NORM.DIST(BI$30,economics!$AK$2:$AK$167,economics!$AJ$2:$AJ$167,TRUE))*economics!$AM$2:$AM$167))/(SUMPRODUCT((economics!$AG$2:$AG$167=$B34)*(economics!$D$2:$D$167="process")*economics!$AI$2:$AI$167*(_xlfn.NORM.DIST(BI$3,economics!$AK$2:$AK$167,economics!$AJ$2:$AJ$167,TRUE)-_xlfn.NORM.DIST(BI$30,economics!$AK$2:$AK$167,economics!$AJ$2:$AJ$167,TRUE)))),"")</f>
        <v/>
      </c>
      <c r="BJ34">
        <f t="array" ref="BJ34">IFERROR((SUMPRODUCT((economics!$AG$2:$AG$167=$B34)*(economics!$D$2:$D$167="process")*economics!$AI$2:$AI$167*(_xlfn.NORM.DIST(BJ$3,economics!$AK$2:$AK$167,economics!$AJ$2:$AJ$167,TRUE)-_xlfn.NORM.DIST(BJ$30,economics!$AK$2:$AK$167,economics!$AJ$2:$AJ$167,TRUE))*economics!$AM$2:$AM$167))/(SUMPRODUCT((economics!$AG$2:$AG$167=$B34)*(economics!$D$2:$D$167="process")*economics!$AI$2:$AI$167*(_xlfn.NORM.DIST(BJ$3,economics!$AK$2:$AK$167,economics!$AJ$2:$AJ$167,TRUE)-_xlfn.NORM.DIST(BJ$30,economics!$AK$2:$AK$167,economics!$AJ$2:$AJ$167,TRUE)))),"")</f>
        <v/>
      </c>
      <c r="BK34">
        <f t="array" ref="BK34">IFERROR((SUMPRODUCT((economics!$AG$2:$AG$167=$B34)*(economics!$D$2:$D$167="process")*economics!$AI$2:$AI$167*(_xlfn.NORM.DIST(BK$3,economics!$AK$2:$AK$167,economics!$AJ$2:$AJ$167,TRUE)-_xlfn.NORM.DIST(BK$30,economics!$AK$2:$AK$167,economics!$AJ$2:$AJ$167,TRUE))*economics!$AM$2:$AM$167))/(SUMPRODUCT((economics!$AG$2:$AG$167=$B34)*(economics!$D$2:$D$167="process")*economics!$AI$2:$AI$167*(_xlfn.NORM.DIST(BK$3,economics!$AK$2:$AK$167,economics!$AJ$2:$AJ$167,TRUE)-_xlfn.NORM.DIST(BK$30,economics!$AK$2:$AK$167,economics!$AJ$2:$AJ$167,TRUE)))),"")</f>
        <v/>
      </c>
      <c r="BL34">
        <f t="array" ref="BL34">IFERROR((SUMPRODUCT((economics!$AG$2:$AG$167=$B34)*(economics!$D$2:$D$167="process")*economics!$AI$2:$AI$167*(_xlfn.NORM.DIST(BL$3,economics!$AK$2:$AK$167,economics!$AJ$2:$AJ$167,TRUE)-_xlfn.NORM.DIST(BL$30,economics!$AK$2:$AK$167,economics!$AJ$2:$AJ$167,TRUE))*economics!$AM$2:$AM$167))/(SUMPRODUCT((economics!$AG$2:$AG$167=$B34)*(economics!$D$2:$D$167="process")*economics!$AI$2:$AI$167*(_xlfn.NORM.DIST(BL$3,economics!$AK$2:$AK$167,economics!$AJ$2:$AJ$167,TRUE)-_xlfn.NORM.DIST(BL$30,economics!$AK$2:$AK$167,economics!$AJ$2:$AJ$167,TRUE)))),"")</f>
        <v/>
      </c>
      <c r="BM34">
        <f t="array" ref="BM34">IFERROR((SUMPRODUCT((economics!$AG$2:$AG$167=$B34)*(economics!$D$2:$D$167="process")*economics!$AI$2:$AI$167*(_xlfn.NORM.DIST(BM$3,economics!$AK$2:$AK$167,economics!$AJ$2:$AJ$167,TRUE)-_xlfn.NORM.DIST(BM$30,economics!$AK$2:$AK$167,economics!$AJ$2:$AJ$167,TRUE))*economics!$AM$2:$AM$167))/(SUMPRODUCT((economics!$AG$2:$AG$167=$B34)*(economics!$D$2:$D$167="process")*economics!$AI$2:$AI$167*(_xlfn.NORM.DIST(BM$3,economics!$AK$2:$AK$167,economics!$AJ$2:$AJ$167,TRUE)-_xlfn.NORM.DIST(BM$30,economics!$AK$2:$AK$167,economics!$AJ$2:$AJ$167,TRUE)))),"")</f>
        <v/>
      </c>
      <c r="BN34">
        <f t="array" ref="BN34">IFERROR((SUMPRODUCT((economics!$AG$2:$AG$167=$B34)*(economics!$D$2:$D$167="process")*economics!$AI$2:$AI$167*(_xlfn.NORM.DIST(BN$3,economics!$AK$2:$AK$167,economics!$AJ$2:$AJ$167,TRUE)-_xlfn.NORM.DIST(BN$30,economics!$AK$2:$AK$167,economics!$AJ$2:$AJ$167,TRUE))*economics!$AM$2:$AM$167))/(SUMPRODUCT((economics!$AG$2:$AG$167=$B34)*(economics!$D$2:$D$167="process")*economics!$AI$2:$AI$167*(_xlfn.NORM.DIST(BN$3,economics!$AK$2:$AK$167,economics!$AJ$2:$AJ$167,TRUE)-_xlfn.NORM.DIST(BN$30,economics!$AK$2:$AK$167,economics!$AJ$2:$AJ$167,TRUE)))),"")</f>
        <v/>
      </c>
      <c r="BO34">
        <f t="array" ref="BO34">IFERROR((SUMPRODUCT((economics!$AG$2:$AG$167=$B34)*(economics!$D$2:$D$167="process")*economics!$AI$2:$AI$167*(_xlfn.NORM.DIST(BO$3,economics!$AK$2:$AK$167,economics!$AJ$2:$AJ$167,TRUE)-_xlfn.NORM.DIST(BO$30,economics!$AK$2:$AK$167,economics!$AJ$2:$AJ$167,TRUE))*economics!$AM$2:$AM$167))/(SUMPRODUCT((economics!$AG$2:$AG$167=$B34)*(economics!$D$2:$D$167="process")*economics!$AI$2:$AI$167*(_xlfn.NORM.DIST(BO$3,economics!$AK$2:$AK$167,economics!$AJ$2:$AJ$167,TRUE)-_xlfn.NORM.DIST(BO$30,economics!$AK$2:$AK$167,economics!$AJ$2:$AJ$167,TRUE)))),"")</f>
        <v/>
      </c>
      <c r="BP34">
        <f t="array" ref="BP34">IFERROR((SUMPRODUCT((economics!$AG$2:$AG$167=$B34)*(economics!$D$2:$D$167="process")*economics!$AI$2:$AI$167*(_xlfn.NORM.DIST(BP$3,economics!$AK$2:$AK$167,economics!$AJ$2:$AJ$167,TRUE)-_xlfn.NORM.DIST(BP$30,economics!$AK$2:$AK$167,economics!$AJ$2:$AJ$167,TRUE))*economics!$AM$2:$AM$167))/(SUMPRODUCT((economics!$AG$2:$AG$167=$B34)*(economics!$D$2:$D$167="process")*economics!$AI$2:$AI$167*(_xlfn.NORM.DIST(BP$3,economics!$AK$2:$AK$167,economics!$AJ$2:$AJ$167,TRUE)-_xlfn.NORM.DIST(BP$30,economics!$AK$2:$AK$167,economics!$AJ$2:$AJ$167,TRUE)))),"")</f>
        <v/>
      </c>
      <c r="BQ34">
        <f t="array" ref="BQ34">IFERROR((SUMPRODUCT((economics!$AG$2:$AG$167=$B34)*(economics!$D$2:$D$167="process")*economics!$AI$2:$AI$167*(_xlfn.NORM.DIST(BQ$3,economics!$AK$2:$AK$167,economics!$AJ$2:$AJ$167,TRUE)-_xlfn.NORM.DIST(BQ$30,economics!$AK$2:$AK$167,economics!$AJ$2:$AJ$167,TRUE))*economics!$AM$2:$AM$167))/(SUMPRODUCT((economics!$AG$2:$AG$167=$B34)*(economics!$D$2:$D$167="process")*economics!$AI$2:$AI$167*(_xlfn.NORM.DIST(BQ$3,economics!$AK$2:$AK$167,economics!$AJ$2:$AJ$167,TRUE)-_xlfn.NORM.DIST(BQ$30,economics!$AK$2:$AK$167,economics!$AJ$2:$AJ$167,TRUE)))),"")</f>
        <v/>
      </c>
      <c r="BR34">
        <f t="array" ref="BR34">IFERROR((SUMPRODUCT((economics!$AG$2:$AG$167=$B34)*(economics!$D$2:$D$167="process")*economics!$AI$2:$AI$167*(_xlfn.NORM.DIST(BR$3,economics!$AK$2:$AK$167,economics!$AJ$2:$AJ$167,TRUE)-_xlfn.NORM.DIST(BR$30,economics!$AK$2:$AK$167,economics!$AJ$2:$AJ$167,TRUE))*economics!$AM$2:$AM$167))/(SUMPRODUCT((economics!$AG$2:$AG$167=$B34)*(economics!$D$2:$D$167="process")*economics!$AI$2:$AI$167*(_xlfn.NORM.DIST(BR$3,economics!$AK$2:$AK$167,economics!$AJ$2:$AJ$167,TRUE)-_xlfn.NORM.DIST(BR$30,economics!$AK$2:$AK$167,economics!$AJ$2:$AJ$167,TRUE)))),"")</f>
        <v/>
      </c>
      <c r="BS34">
        <f t="array" ref="BS34">IFERROR((SUMPRODUCT((economics!$AG$2:$AG$167=$B34)*(economics!$D$2:$D$167="process")*economics!$AI$2:$AI$167*(_xlfn.NORM.DIST(BS$3,economics!$AK$2:$AK$167,economics!$AJ$2:$AJ$167,TRUE)-_xlfn.NORM.DIST(BS$30,economics!$AK$2:$AK$167,economics!$AJ$2:$AJ$167,TRUE))*economics!$AM$2:$AM$167))/(SUMPRODUCT((economics!$AG$2:$AG$167=$B34)*(economics!$D$2:$D$167="process")*economics!$AI$2:$AI$167*(_xlfn.NORM.DIST(BS$3,economics!$AK$2:$AK$167,economics!$AJ$2:$AJ$167,TRUE)-_xlfn.NORM.DIST(BS$30,economics!$AK$2:$AK$167,economics!$AJ$2:$AJ$167,TRUE)))),"")</f>
        <v/>
      </c>
      <c r="BT34">
        <f t="array" ref="BT34">IFERROR((SUMPRODUCT((economics!$AG$2:$AG$167=$B34)*(economics!$D$2:$D$167="process")*economics!$AI$2:$AI$167*(_xlfn.NORM.DIST(BT$3,economics!$AK$2:$AK$167,economics!$AJ$2:$AJ$167,TRUE)-_xlfn.NORM.DIST(BT$30,economics!$AK$2:$AK$167,economics!$AJ$2:$AJ$167,TRUE))*economics!$AM$2:$AM$167))/(SUMPRODUCT((economics!$AG$2:$AG$167=$B34)*(economics!$D$2:$D$167="process")*economics!$AI$2:$AI$167*(_xlfn.NORM.DIST(BT$3,economics!$AK$2:$AK$167,economics!$AJ$2:$AJ$167,TRUE)-_xlfn.NORM.DIST(BT$30,economics!$AK$2:$AK$167,economics!$AJ$2:$AJ$167,TRUE)))),"")</f>
        <v/>
      </c>
      <c r="BU34">
        <f t="array" ref="BU34">IFERROR((SUMPRODUCT((economics!$AG$2:$AG$167=$B34)*(economics!$D$2:$D$167="process")*economics!$AI$2:$AI$167*(_xlfn.NORM.DIST(BU$3,economics!$AK$2:$AK$167,economics!$AJ$2:$AJ$167,TRUE)-_xlfn.NORM.DIST(BU$30,economics!$AK$2:$AK$167,economics!$AJ$2:$AJ$167,TRUE))*economics!$AM$2:$AM$167))/(SUMPRODUCT((economics!$AG$2:$AG$167=$B34)*(economics!$D$2:$D$167="process")*economics!$AI$2:$AI$167*(_xlfn.NORM.DIST(BU$3,economics!$AK$2:$AK$167,economics!$AJ$2:$AJ$167,TRUE)-_xlfn.NORM.DIST(BU$30,economics!$AK$2:$AK$167,economics!$AJ$2:$AJ$167,TRUE)))),"")</f>
        <v/>
      </c>
      <c r="BV34">
        <f t="array" ref="BV34">IFERROR((SUMPRODUCT((economics!$AG$2:$AG$167=$B34)*(economics!$D$2:$D$167="process")*economics!$AI$2:$AI$167*(_xlfn.NORM.DIST(BV$3,economics!$AK$2:$AK$167,economics!$AJ$2:$AJ$167,TRUE)-_xlfn.NORM.DIST(BV$30,economics!$AK$2:$AK$167,economics!$AJ$2:$AJ$167,TRUE))*economics!$AM$2:$AM$167))/(SUMPRODUCT((economics!$AG$2:$AG$167=$B34)*(economics!$D$2:$D$167="process")*economics!$AI$2:$AI$167*(_xlfn.NORM.DIST(BV$3,economics!$AK$2:$AK$167,economics!$AJ$2:$AJ$167,TRUE)-_xlfn.NORM.DIST(BV$30,economics!$AK$2:$AK$167,economics!$AJ$2:$AJ$167,TRUE)))),"")</f>
        <v/>
      </c>
      <c r="BW34">
        <f t="array" ref="BW34">IFERROR((SUMPRODUCT((economics!$AG$2:$AG$167=$B34)*(economics!$D$2:$D$167="process")*economics!$AI$2:$AI$167*(_xlfn.NORM.DIST(BW$3,economics!$AK$2:$AK$167,economics!$AJ$2:$AJ$167,TRUE)-_xlfn.NORM.DIST(BW$30,economics!$AK$2:$AK$167,economics!$AJ$2:$AJ$167,TRUE))*economics!$AM$2:$AM$167))/(SUMPRODUCT((economics!$AG$2:$AG$167=$B34)*(economics!$D$2:$D$167="process")*economics!$AI$2:$AI$167*(_xlfn.NORM.DIST(BW$3,economics!$AK$2:$AK$167,economics!$AJ$2:$AJ$167,TRUE)-_xlfn.NORM.DIST(BW$30,economics!$AK$2:$AK$167,economics!$AJ$2:$AJ$167,TRUE)))),"")</f>
        <v/>
      </c>
      <c r="BX34">
        <f t="array" ref="BX34">IFERROR((SUMPRODUCT((economics!$AG$2:$AG$167=$B34)*(economics!$D$2:$D$167="process")*economics!$AI$2:$AI$167*(_xlfn.NORM.DIST(BX$3,economics!$AK$2:$AK$167,economics!$AJ$2:$AJ$167,TRUE)-_xlfn.NORM.DIST(BX$30,economics!$AK$2:$AK$167,economics!$AJ$2:$AJ$167,TRUE))*economics!$AM$2:$AM$167))/(SUMPRODUCT((economics!$AG$2:$AG$167=$B34)*(economics!$D$2:$D$167="process")*economics!$AI$2:$AI$167*(_xlfn.NORM.DIST(BX$3,economics!$AK$2:$AK$167,economics!$AJ$2:$AJ$167,TRUE)-_xlfn.NORM.DIST(BX$30,economics!$AK$2:$AK$167,economics!$AJ$2:$AJ$167,TRUE)))),"")</f>
        <v/>
      </c>
      <c r="BY34">
        <f t="array" ref="BY34">IFERROR((SUMPRODUCT((economics!$AG$2:$AG$167=$B34)*(economics!$D$2:$D$167="process")*economics!$AI$2:$AI$167*(_xlfn.NORM.DIST(BY$3,economics!$AK$2:$AK$167,economics!$AJ$2:$AJ$167,TRUE)-_xlfn.NORM.DIST(BY$30,economics!$AK$2:$AK$167,economics!$AJ$2:$AJ$167,TRUE))*economics!$AM$2:$AM$167))/(SUMPRODUCT((economics!$AG$2:$AG$167=$B34)*(economics!$D$2:$D$167="process")*economics!$AI$2:$AI$167*(_xlfn.NORM.DIST(BY$3,economics!$AK$2:$AK$167,economics!$AJ$2:$AJ$167,TRUE)-_xlfn.NORM.DIST(BY$30,economics!$AK$2:$AK$167,economics!$AJ$2:$AJ$167,TRUE)))),"")</f>
        <v/>
      </c>
      <c r="BZ34">
        <f t="array" ref="BZ34">IFERROR((SUMPRODUCT((economics!$AG$2:$AG$167=$B34)*(economics!$D$2:$D$167="process")*economics!$AI$2:$AI$167*(_xlfn.NORM.DIST(BZ$3,economics!$AK$2:$AK$167,economics!$AJ$2:$AJ$167,TRUE)-_xlfn.NORM.DIST(BZ$30,economics!$AK$2:$AK$167,economics!$AJ$2:$AJ$167,TRUE))*economics!$AM$2:$AM$167))/(SUMPRODUCT((economics!$AG$2:$AG$167=$B34)*(economics!$D$2:$D$167="process")*economics!$AI$2:$AI$167*(_xlfn.NORM.DIST(BZ$3,economics!$AK$2:$AK$167,economics!$AJ$2:$AJ$167,TRUE)-_xlfn.NORM.DIST(BZ$30,economics!$AK$2:$AK$167,economics!$AJ$2:$AJ$167,TRUE)))),"")</f>
        <v/>
      </c>
      <c r="CA34">
        <f t="array" ref="CA34">IFERROR((SUMPRODUCT((economics!$AG$2:$AG$167=$B34)*(economics!$D$2:$D$167="process")*economics!$AI$2:$AI$167*(_xlfn.NORM.DIST(CA$3,economics!$AK$2:$AK$167,economics!$AJ$2:$AJ$167,TRUE)-_xlfn.NORM.DIST(CA$30,economics!$AK$2:$AK$167,economics!$AJ$2:$AJ$167,TRUE))*economics!$AM$2:$AM$167))/(SUMPRODUCT((economics!$AG$2:$AG$167=$B34)*(economics!$D$2:$D$167="process")*economics!$AI$2:$AI$167*(_xlfn.NORM.DIST(CA$3,economics!$AK$2:$AK$167,economics!$AJ$2:$AJ$167,TRUE)-_xlfn.NORM.DIST(CA$30,economics!$AK$2:$AK$167,economics!$AJ$2:$AJ$167,TRUE)))),"")</f>
        <v/>
      </c>
      <c r="CB34">
        <f t="array" ref="CB34">IFERROR((SUMPRODUCT((economics!$AG$2:$AG$167=$B34)*(economics!$D$2:$D$167="process")*economics!$AI$2:$AI$167*(_xlfn.NORM.DIST(CB$3,economics!$AK$2:$AK$167,economics!$AJ$2:$AJ$167,TRUE)-_xlfn.NORM.DIST(CB$30,economics!$AK$2:$AK$167,economics!$AJ$2:$AJ$167,TRUE))*economics!$AM$2:$AM$167))/(SUMPRODUCT((economics!$AG$2:$AG$167=$B34)*(economics!$D$2:$D$167="process")*economics!$AI$2:$AI$167*(_xlfn.NORM.DIST(CB$3,economics!$AK$2:$AK$167,economics!$AJ$2:$AJ$167,TRUE)-_xlfn.NORM.DIST(CB$30,economics!$AK$2:$AK$167,economics!$AJ$2:$AJ$167,TRUE)))),"")</f>
        <v/>
      </c>
      <c r="CC34">
        <f t="array" ref="CC34">IFERROR((SUMPRODUCT((economics!$AG$2:$AG$167=$B34)*(economics!$D$2:$D$167="process")*economics!$AI$2:$AI$167*(_xlfn.NORM.DIST(CC$3,economics!$AK$2:$AK$167,economics!$AJ$2:$AJ$167,TRUE)-_xlfn.NORM.DIST(CC$30,economics!$AK$2:$AK$167,economics!$AJ$2:$AJ$167,TRUE))*economics!$AM$2:$AM$167))/(SUMPRODUCT((economics!$AG$2:$AG$167=$B34)*(economics!$D$2:$D$167="process")*economics!$AI$2:$AI$167*(_xlfn.NORM.DIST(CC$3,economics!$AK$2:$AK$167,economics!$AJ$2:$AJ$167,TRUE)-_xlfn.NORM.DIST(CC$30,economics!$AK$2:$AK$167,economics!$AJ$2:$AJ$167,TRUE)))),"")</f>
        <v/>
      </c>
      <c r="CD34">
        <f t="array" ref="CD34">IFERROR((SUMPRODUCT((economics!$AG$2:$AG$167=$B34)*(economics!$D$2:$D$167="process")*economics!$AI$2:$AI$167*(_xlfn.NORM.DIST(CD$3,economics!$AK$2:$AK$167,economics!$AJ$2:$AJ$167,TRUE)-_xlfn.NORM.DIST(CD$30,economics!$AK$2:$AK$167,economics!$AJ$2:$AJ$167,TRUE))*economics!$AM$2:$AM$167))/(SUMPRODUCT((economics!$AG$2:$AG$167=$B34)*(economics!$D$2:$D$167="process")*economics!$AI$2:$AI$167*(_xlfn.NORM.DIST(CD$3,economics!$AK$2:$AK$167,economics!$AJ$2:$AJ$167,TRUE)-_xlfn.NORM.DIST(CD$30,economics!$AK$2:$AK$167,economics!$AJ$2:$AJ$167,TRUE)))),"")</f>
        <v/>
      </c>
      <c r="CE34">
        <f t="array" ref="CE34">IFERROR((SUMPRODUCT((economics!$AG$2:$AG$167=$B34)*(economics!$D$2:$D$167="process")*economics!$AI$2:$AI$167*(_xlfn.NORM.DIST(CE$3,economics!$AK$2:$AK$167,economics!$AJ$2:$AJ$167,TRUE)-_xlfn.NORM.DIST(CE$30,economics!$AK$2:$AK$167,economics!$AJ$2:$AJ$167,TRUE))*economics!$AM$2:$AM$167))/(SUMPRODUCT((economics!$AG$2:$AG$167=$B34)*(economics!$D$2:$D$167="process")*economics!$AI$2:$AI$167*(_xlfn.NORM.DIST(CE$3,economics!$AK$2:$AK$167,economics!$AJ$2:$AJ$167,TRUE)-_xlfn.NORM.DIST(CE$30,economics!$AK$2:$AK$167,economics!$AJ$2:$AJ$167,TRUE)))),"")</f>
        <v/>
      </c>
      <c r="CF34">
        <f t="array" ref="CF34">IFERROR((SUMPRODUCT((economics!$AG$2:$AG$167=$B34)*(economics!$D$2:$D$167="process")*economics!$AI$2:$AI$167*(_xlfn.NORM.DIST(CF$3,economics!$AK$2:$AK$167,economics!$AJ$2:$AJ$167,TRUE)-_xlfn.NORM.DIST(CF$30,economics!$AK$2:$AK$167,economics!$AJ$2:$AJ$167,TRUE))*economics!$AM$2:$AM$167))/(SUMPRODUCT((economics!$AG$2:$AG$167=$B34)*(economics!$D$2:$D$167="process")*economics!$AI$2:$AI$167*(_xlfn.NORM.DIST(CF$3,economics!$AK$2:$AK$167,economics!$AJ$2:$AJ$167,TRUE)-_xlfn.NORM.DIST(CF$30,economics!$AK$2:$AK$167,economics!$AJ$2:$AJ$167,TRUE)))),"")</f>
        <v/>
      </c>
      <c r="CG34">
        <f t="array" ref="CG34">IFERROR((SUMPRODUCT((economics!$AG$2:$AG$167=$B34)*(economics!$D$2:$D$167="process")*economics!$AI$2:$AI$167*(_xlfn.NORM.DIST(CG$3,economics!$AK$2:$AK$167,economics!$AJ$2:$AJ$167,TRUE)-_xlfn.NORM.DIST(CG$30,economics!$AK$2:$AK$167,economics!$AJ$2:$AJ$167,TRUE))*economics!$AM$2:$AM$167))/(SUMPRODUCT((economics!$AG$2:$AG$167=$B34)*(economics!$D$2:$D$167="process")*economics!$AI$2:$AI$167*(_xlfn.NORM.DIST(CG$3,economics!$AK$2:$AK$167,economics!$AJ$2:$AJ$167,TRUE)-_xlfn.NORM.DIST(CG$30,economics!$AK$2:$AK$167,economics!$AJ$2:$AJ$167,TRUE)))),"")</f>
        <v/>
      </c>
      <c r="CH34">
        <f t="array" ref="CH34">IFERROR((SUMPRODUCT((economics!$AG$2:$AG$167=$B34)*(economics!$D$2:$D$167="process")*economics!$AI$2:$AI$167*(_xlfn.NORM.DIST(CH$3,economics!$AK$2:$AK$167,economics!$AJ$2:$AJ$167,TRUE)-_xlfn.NORM.DIST(CH$30,economics!$AK$2:$AK$167,economics!$AJ$2:$AJ$167,TRUE))*economics!$AM$2:$AM$167))/(SUMPRODUCT((economics!$AG$2:$AG$167=$B34)*(economics!$D$2:$D$167="process")*economics!$AI$2:$AI$167*(_xlfn.NORM.DIST(CH$3,economics!$AK$2:$AK$167,economics!$AJ$2:$AJ$167,TRUE)-_xlfn.NORM.DIST(CH$30,economics!$AK$2:$AK$167,economics!$AJ$2:$AJ$167,TRUE)))),"")</f>
        <v/>
      </c>
    </row>
    <row r="35">
      <c r="A35">
        <f>A6</f>
        <v/>
      </c>
      <c r="B35">
        <f>B6</f>
        <v/>
      </c>
      <c r="E35">
        <f t="array" ref="E35">IFERROR((SUMPRODUCT((economics!$AG$2:$AG$167=$B35)*(economics!$D$2:$D$167="process")*economics!$AI$2:$AI$167*(_xlfn.NORM.DIST(E$3,economics!$AK$2:$AK$167,economics!$AJ$2:$AJ$167,TRUE)-_xlfn.NORM.DIST(E$30,economics!$AK$2:$AK$167,economics!$AJ$2:$AJ$167,TRUE))*economics!$AM$2:$AM$167))/(SUMPRODUCT((economics!$AG$2:$AG$167=$B35)*(economics!$D$2:$D$167="process")*economics!$AI$2:$AI$167*(_xlfn.NORM.DIST(E$3,economics!$AK$2:$AK$167,economics!$AJ$2:$AJ$167,TRUE)-_xlfn.NORM.DIST(E$30,economics!$AK$2:$AK$167,economics!$AJ$2:$AJ$167,TRUE)))),"")</f>
        <v/>
      </c>
      <c r="F35">
        <f t="array" ref="F35">IFERROR((SUMPRODUCT((economics!$AG$2:$AG$167=$B35)*(economics!$D$2:$D$167="process")*economics!$AI$2:$AI$167*(_xlfn.NORM.DIST(F$3,economics!$AK$2:$AK$167,economics!$AJ$2:$AJ$167,TRUE)-_xlfn.NORM.DIST(F$30,economics!$AK$2:$AK$167,economics!$AJ$2:$AJ$167,TRUE))*economics!$AM$2:$AM$167))/(SUMPRODUCT((economics!$AG$2:$AG$167=$B35)*(economics!$D$2:$D$167="process")*economics!$AI$2:$AI$167*(_xlfn.NORM.DIST(F$3,economics!$AK$2:$AK$167,economics!$AJ$2:$AJ$167,TRUE)-_xlfn.NORM.DIST(F$30,economics!$AK$2:$AK$167,economics!$AJ$2:$AJ$167,TRUE)))),"")</f>
        <v/>
      </c>
      <c r="G35">
        <f t="array" ref="G35">IFERROR((SUMPRODUCT((economics!$AG$2:$AG$167=$B35)*(economics!$D$2:$D$167="process")*economics!$AI$2:$AI$167*(_xlfn.NORM.DIST(G$3,economics!$AK$2:$AK$167,economics!$AJ$2:$AJ$167,TRUE)-_xlfn.NORM.DIST(G$30,economics!$AK$2:$AK$167,economics!$AJ$2:$AJ$167,TRUE))*economics!$AM$2:$AM$167))/(SUMPRODUCT((economics!$AG$2:$AG$167=$B35)*(economics!$D$2:$D$167="process")*economics!$AI$2:$AI$167*(_xlfn.NORM.DIST(G$3,economics!$AK$2:$AK$167,economics!$AJ$2:$AJ$167,TRUE)-_xlfn.NORM.DIST(G$30,economics!$AK$2:$AK$167,economics!$AJ$2:$AJ$167,TRUE)))),"")</f>
        <v/>
      </c>
      <c r="H35">
        <f t="array" ref="H35">IFERROR((SUMPRODUCT((economics!$AG$2:$AG$167=$B35)*(economics!$D$2:$D$167="process")*economics!$AI$2:$AI$167*(_xlfn.NORM.DIST(H$3,economics!$AK$2:$AK$167,economics!$AJ$2:$AJ$167,TRUE)-_xlfn.NORM.DIST(H$30,economics!$AK$2:$AK$167,economics!$AJ$2:$AJ$167,TRUE))*economics!$AM$2:$AM$167))/(SUMPRODUCT((economics!$AG$2:$AG$167=$B35)*(economics!$D$2:$D$167="process")*economics!$AI$2:$AI$167*(_xlfn.NORM.DIST(H$3,economics!$AK$2:$AK$167,economics!$AJ$2:$AJ$167,TRUE)-_xlfn.NORM.DIST(H$30,economics!$AK$2:$AK$167,economics!$AJ$2:$AJ$167,TRUE)))),"")</f>
        <v/>
      </c>
      <c r="I35">
        <f t="array" ref="I35">IFERROR((SUMPRODUCT((economics!$AG$2:$AG$167=$B35)*(economics!$D$2:$D$167="process")*economics!$AI$2:$AI$167*(_xlfn.NORM.DIST(I$3,economics!$AK$2:$AK$167,economics!$AJ$2:$AJ$167,TRUE)-_xlfn.NORM.DIST(I$30,economics!$AK$2:$AK$167,economics!$AJ$2:$AJ$167,TRUE))*economics!$AM$2:$AM$167))/(SUMPRODUCT((economics!$AG$2:$AG$167=$B35)*(economics!$D$2:$D$167="process")*economics!$AI$2:$AI$167*(_xlfn.NORM.DIST(I$3,economics!$AK$2:$AK$167,economics!$AJ$2:$AJ$167,TRUE)-_xlfn.NORM.DIST(I$30,economics!$AK$2:$AK$167,economics!$AJ$2:$AJ$167,TRUE)))),"")</f>
        <v/>
      </c>
      <c r="J35">
        <f t="array" ref="J35">IFERROR((SUMPRODUCT((economics!$AG$2:$AG$167=$B35)*(economics!$D$2:$D$167="process")*economics!$AI$2:$AI$167*(_xlfn.NORM.DIST(J$3,economics!$AK$2:$AK$167,economics!$AJ$2:$AJ$167,TRUE)-_xlfn.NORM.DIST(J$30,economics!$AK$2:$AK$167,economics!$AJ$2:$AJ$167,TRUE))*economics!$AM$2:$AM$167))/(SUMPRODUCT((economics!$AG$2:$AG$167=$B35)*(economics!$D$2:$D$167="process")*economics!$AI$2:$AI$167*(_xlfn.NORM.DIST(J$3,economics!$AK$2:$AK$167,economics!$AJ$2:$AJ$167,TRUE)-_xlfn.NORM.DIST(J$30,economics!$AK$2:$AK$167,economics!$AJ$2:$AJ$167,TRUE)))),"")</f>
        <v/>
      </c>
      <c r="K35">
        <f t="array" ref="K35">IFERROR((SUMPRODUCT((economics!$AG$2:$AG$167=$B35)*(economics!$D$2:$D$167="process")*economics!$AI$2:$AI$167*(_xlfn.NORM.DIST(K$3,economics!$AK$2:$AK$167,economics!$AJ$2:$AJ$167,TRUE)-_xlfn.NORM.DIST(K$30,economics!$AK$2:$AK$167,economics!$AJ$2:$AJ$167,TRUE))*economics!$AM$2:$AM$167))/(SUMPRODUCT((economics!$AG$2:$AG$167=$B35)*(economics!$D$2:$D$167="process")*economics!$AI$2:$AI$167*(_xlfn.NORM.DIST(K$3,economics!$AK$2:$AK$167,economics!$AJ$2:$AJ$167,TRUE)-_xlfn.NORM.DIST(K$30,economics!$AK$2:$AK$167,economics!$AJ$2:$AJ$167,TRUE)))),"")</f>
        <v/>
      </c>
      <c r="L35">
        <f t="array" ref="L35">IFERROR((SUMPRODUCT((economics!$AG$2:$AG$167=$B35)*(economics!$D$2:$D$167="process")*economics!$AI$2:$AI$167*(_xlfn.NORM.DIST(L$3,economics!$AK$2:$AK$167,economics!$AJ$2:$AJ$167,TRUE)-_xlfn.NORM.DIST(L$30,economics!$AK$2:$AK$167,economics!$AJ$2:$AJ$167,TRUE))*economics!$AM$2:$AM$167))/(SUMPRODUCT((economics!$AG$2:$AG$167=$B35)*(economics!$D$2:$D$167="process")*economics!$AI$2:$AI$167*(_xlfn.NORM.DIST(L$3,economics!$AK$2:$AK$167,economics!$AJ$2:$AJ$167,TRUE)-_xlfn.NORM.DIST(L$30,economics!$AK$2:$AK$167,economics!$AJ$2:$AJ$167,TRUE)))),"")</f>
        <v/>
      </c>
      <c r="M35">
        <f t="array" ref="M35">IFERROR((SUMPRODUCT((economics!$AG$2:$AG$167=$B35)*(economics!$D$2:$D$167="process")*economics!$AI$2:$AI$167*(_xlfn.NORM.DIST(M$3,economics!$AK$2:$AK$167,economics!$AJ$2:$AJ$167,TRUE)-_xlfn.NORM.DIST(M$30,economics!$AK$2:$AK$167,economics!$AJ$2:$AJ$167,TRUE))*economics!$AM$2:$AM$167))/(SUMPRODUCT((economics!$AG$2:$AG$167=$B35)*(economics!$D$2:$D$167="process")*economics!$AI$2:$AI$167*(_xlfn.NORM.DIST(M$3,economics!$AK$2:$AK$167,economics!$AJ$2:$AJ$167,TRUE)-_xlfn.NORM.DIST(M$30,economics!$AK$2:$AK$167,economics!$AJ$2:$AJ$167,TRUE)))),"")</f>
        <v/>
      </c>
      <c r="N35">
        <f t="array" ref="N35">IFERROR((SUMPRODUCT((economics!$AG$2:$AG$167=$B35)*(economics!$D$2:$D$167="process")*economics!$AI$2:$AI$167*(_xlfn.NORM.DIST(N$3,economics!$AK$2:$AK$167,economics!$AJ$2:$AJ$167,TRUE)-_xlfn.NORM.DIST(N$30,economics!$AK$2:$AK$167,economics!$AJ$2:$AJ$167,TRUE))*economics!$AM$2:$AM$167))/(SUMPRODUCT((economics!$AG$2:$AG$167=$B35)*(economics!$D$2:$D$167="process")*economics!$AI$2:$AI$167*(_xlfn.NORM.DIST(N$3,economics!$AK$2:$AK$167,economics!$AJ$2:$AJ$167,TRUE)-_xlfn.NORM.DIST(N$30,economics!$AK$2:$AK$167,economics!$AJ$2:$AJ$167,TRUE)))),"")</f>
        <v/>
      </c>
      <c r="O35">
        <f t="array" ref="O35">IFERROR((SUMPRODUCT((economics!$AG$2:$AG$167=$B35)*(economics!$D$2:$D$167="process")*economics!$AI$2:$AI$167*(_xlfn.NORM.DIST(O$3,economics!$AK$2:$AK$167,economics!$AJ$2:$AJ$167,TRUE)-_xlfn.NORM.DIST(O$30,economics!$AK$2:$AK$167,economics!$AJ$2:$AJ$167,TRUE))*economics!$AM$2:$AM$167))/(SUMPRODUCT((economics!$AG$2:$AG$167=$B35)*(economics!$D$2:$D$167="process")*economics!$AI$2:$AI$167*(_xlfn.NORM.DIST(O$3,economics!$AK$2:$AK$167,economics!$AJ$2:$AJ$167,TRUE)-_xlfn.NORM.DIST(O$30,economics!$AK$2:$AK$167,economics!$AJ$2:$AJ$167,TRUE)))),"")</f>
        <v/>
      </c>
      <c r="P35">
        <f t="array" ref="P35">IFERROR((SUMPRODUCT((economics!$AG$2:$AG$167=$B35)*(economics!$D$2:$D$167="process")*economics!$AI$2:$AI$167*(_xlfn.NORM.DIST(P$3,economics!$AK$2:$AK$167,economics!$AJ$2:$AJ$167,TRUE)-_xlfn.NORM.DIST(P$30,economics!$AK$2:$AK$167,economics!$AJ$2:$AJ$167,TRUE))*economics!$AM$2:$AM$167))/(SUMPRODUCT((economics!$AG$2:$AG$167=$B35)*(economics!$D$2:$D$167="process")*economics!$AI$2:$AI$167*(_xlfn.NORM.DIST(P$3,economics!$AK$2:$AK$167,economics!$AJ$2:$AJ$167,TRUE)-_xlfn.NORM.DIST(P$30,economics!$AK$2:$AK$167,economics!$AJ$2:$AJ$167,TRUE)))),"")</f>
        <v/>
      </c>
      <c r="Q35">
        <f t="array" ref="Q35">IFERROR((SUMPRODUCT((economics!$AG$2:$AG$167=$B35)*(economics!$D$2:$D$167="process")*economics!$AI$2:$AI$167*(_xlfn.NORM.DIST(Q$3,economics!$AK$2:$AK$167,economics!$AJ$2:$AJ$167,TRUE)-_xlfn.NORM.DIST(Q$30,economics!$AK$2:$AK$167,economics!$AJ$2:$AJ$167,TRUE))*economics!$AM$2:$AM$167))/(SUMPRODUCT((economics!$AG$2:$AG$167=$B35)*(economics!$D$2:$D$167="process")*economics!$AI$2:$AI$167*(_xlfn.NORM.DIST(Q$3,economics!$AK$2:$AK$167,economics!$AJ$2:$AJ$167,TRUE)-_xlfn.NORM.DIST(Q$30,economics!$AK$2:$AK$167,economics!$AJ$2:$AJ$167,TRUE)))),"")</f>
        <v/>
      </c>
      <c r="R35">
        <f t="array" ref="R35">IFERROR((SUMPRODUCT((economics!$AG$2:$AG$167=$B35)*(economics!$D$2:$D$167="process")*economics!$AI$2:$AI$167*(_xlfn.NORM.DIST(R$3,economics!$AK$2:$AK$167,economics!$AJ$2:$AJ$167,TRUE)-_xlfn.NORM.DIST(R$30,economics!$AK$2:$AK$167,economics!$AJ$2:$AJ$167,TRUE))*economics!$AM$2:$AM$167))/(SUMPRODUCT((economics!$AG$2:$AG$167=$B35)*(economics!$D$2:$D$167="process")*economics!$AI$2:$AI$167*(_xlfn.NORM.DIST(R$3,economics!$AK$2:$AK$167,economics!$AJ$2:$AJ$167,TRUE)-_xlfn.NORM.DIST(R$30,economics!$AK$2:$AK$167,economics!$AJ$2:$AJ$167,TRUE)))),"")</f>
        <v/>
      </c>
      <c r="S35">
        <f t="array" ref="S35">IFERROR((SUMPRODUCT((economics!$AG$2:$AG$167=$B35)*(economics!$D$2:$D$167="process")*economics!$AI$2:$AI$167*(_xlfn.NORM.DIST(S$3,economics!$AK$2:$AK$167,economics!$AJ$2:$AJ$167,TRUE)-_xlfn.NORM.DIST(S$30,economics!$AK$2:$AK$167,economics!$AJ$2:$AJ$167,TRUE))*economics!$AM$2:$AM$167))/(SUMPRODUCT((economics!$AG$2:$AG$167=$B35)*(economics!$D$2:$D$167="process")*economics!$AI$2:$AI$167*(_xlfn.NORM.DIST(S$3,economics!$AK$2:$AK$167,economics!$AJ$2:$AJ$167,TRUE)-_xlfn.NORM.DIST(S$30,economics!$AK$2:$AK$167,economics!$AJ$2:$AJ$167,TRUE)))),"")</f>
        <v/>
      </c>
      <c r="T35">
        <f t="array" ref="T35">IFERROR((SUMPRODUCT((economics!$AG$2:$AG$167=$B35)*(economics!$D$2:$D$167="process")*economics!$AI$2:$AI$167*(_xlfn.NORM.DIST(T$3,economics!$AK$2:$AK$167,economics!$AJ$2:$AJ$167,TRUE)-_xlfn.NORM.DIST(T$30,economics!$AK$2:$AK$167,economics!$AJ$2:$AJ$167,TRUE))*economics!$AM$2:$AM$167))/(SUMPRODUCT((economics!$AG$2:$AG$167=$B35)*(economics!$D$2:$D$167="process")*economics!$AI$2:$AI$167*(_xlfn.NORM.DIST(T$3,economics!$AK$2:$AK$167,economics!$AJ$2:$AJ$167,TRUE)-_xlfn.NORM.DIST(T$30,economics!$AK$2:$AK$167,economics!$AJ$2:$AJ$167,TRUE)))),"")</f>
        <v/>
      </c>
      <c r="U35">
        <f t="array" ref="U35">IFERROR((SUMPRODUCT((economics!$AG$2:$AG$167=$B35)*(economics!$D$2:$D$167="process")*economics!$AI$2:$AI$167*(_xlfn.NORM.DIST(U$3,economics!$AK$2:$AK$167,economics!$AJ$2:$AJ$167,TRUE)-_xlfn.NORM.DIST(U$30,economics!$AK$2:$AK$167,economics!$AJ$2:$AJ$167,TRUE))*economics!$AM$2:$AM$167))/(SUMPRODUCT((economics!$AG$2:$AG$167=$B35)*(economics!$D$2:$D$167="process")*economics!$AI$2:$AI$167*(_xlfn.NORM.DIST(U$3,economics!$AK$2:$AK$167,economics!$AJ$2:$AJ$167,TRUE)-_xlfn.NORM.DIST(U$30,economics!$AK$2:$AK$167,economics!$AJ$2:$AJ$167,TRUE)))),"")</f>
        <v/>
      </c>
      <c r="V35">
        <f t="array" ref="V35">IFERROR((SUMPRODUCT((economics!$AG$2:$AG$167=$B35)*(economics!$D$2:$D$167="process")*economics!$AI$2:$AI$167*(_xlfn.NORM.DIST(V$3,economics!$AK$2:$AK$167,economics!$AJ$2:$AJ$167,TRUE)-_xlfn.NORM.DIST(V$30,economics!$AK$2:$AK$167,economics!$AJ$2:$AJ$167,TRUE))*economics!$AM$2:$AM$167))/(SUMPRODUCT((economics!$AG$2:$AG$167=$B35)*(economics!$D$2:$D$167="process")*economics!$AI$2:$AI$167*(_xlfn.NORM.DIST(V$3,economics!$AK$2:$AK$167,economics!$AJ$2:$AJ$167,TRUE)-_xlfn.NORM.DIST(V$30,economics!$AK$2:$AK$167,economics!$AJ$2:$AJ$167,TRUE)))),"")</f>
        <v/>
      </c>
      <c r="W35">
        <f t="array" ref="W35">IFERROR((SUMPRODUCT((economics!$AG$2:$AG$167=$B35)*(economics!$D$2:$D$167="process")*economics!$AI$2:$AI$167*(_xlfn.NORM.DIST(W$3,economics!$AK$2:$AK$167,economics!$AJ$2:$AJ$167,TRUE)-_xlfn.NORM.DIST(W$30,economics!$AK$2:$AK$167,economics!$AJ$2:$AJ$167,TRUE))*economics!$AM$2:$AM$167))/(SUMPRODUCT((economics!$AG$2:$AG$167=$B35)*(economics!$D$2:$D$167="process")*economics!$AI$2:$AI$167*(_xlfn.NORM.DIST(W$3,economics!$AK$2:$AK$167,economics!$AJ$2:$AJ$167,TRUE)-_xlfn.NORM.DIST(W$30,economics!$AK$2:$AK$167,economics!$AJ$2:$AJ$167,TRUE)))),"")</f>
        <v/>
      </c>
      <c r="X35">
        <f t="array" ref="X35">IFERROR((SUMPRODUCT((economics!$AG$2:$AG$167=$B35)*(economics!$D$2:$D$167="process")*economics!$AI$2:$AI$167*(_xlfn.NORM.DIST(X$3,economics!$AK$2:$AK$167,economics!$AJ$2:$AJ$167,TRUE)-_xlfn.NORM.DIST(X$30,economics!$AK$2:$AK$167,economics!$AJ$2:$AJ$167,TRUE))*economics!$AM$2:$AM$167))/(SUMPRODUCT((economics!$AG$2:$AG$167=$B35)*(economics!$D$2:$D$167="process")*economics!$AI$2:$AI$167*(_xlfn.NORM.DIST(X$3,economics!$AK$2:$AK$167,economics!$AJ$2:$AJ$167,TRUE)-_xlfn.NORM.DIST(X$30,economics!$AK$2:$AK$167,economics!$AJ$2:$AJ$167,TRUE)))),"")</f>
        <v/>
      </c>
      <c r="Y35">
        <f t="array" ref="Y35">IFERROR((SUMPRODUCT((economics!$AG$2:$AG$167=$B35)*(economics!$D$2:$D$167="process")*economics!$AI$2:$AI$167*(_xlfn.NORM.DIST(Y$3,economics!$AK$2:$AK$167,economics!$AJ$2:$AJ$167,TRUE)-_xlfn.NORM.DIST(Y$30,economics!$AK$2:$AK$167,economics!$AJ$2:$AJ$167,TRUE))*economics!$AM$2:$AM$167))/(SUMPRODUCT((economics!$AG$2:$AG$167=$B35)*(economics!$D$2:$D$167="process")*economics!$AI$2:$AI$167*(_xlfn.NORM.DIST(Y$3,economics!$AK$2:$AK$167,economics!$AJ$2:$AJ$167,TRUE)-_xlfn.NORM.DIST(Y$30,economics!$AK$2:$AK$167,economics!$AJ$2:$AJ$167,TRUE)))),"")</f>
        <v/>
      </c>
      <c r="Z35">
        <f t="array" ref="Z35">IFERROR((SUMPRODUCT((economics!$AG$2:$AG$167=$B35)*(economics!$D$2:$D$167="process")*economics!$AI$2:$AI$167*(_xlfn.NORM.DIST(Z$3,economics!$AK$2:$AK$167,economics!$AJ$2:$AJ$167,TRUE)-_xlfn.NORM.DIST(Z$30,economics!$AK$2:$AK$167,economics!$AJ$2:$AJ$167,TRUE))*economics!$AM$2:$AM$167))/(SUMPRODUCT((economics!$AG$2:$AG$167=$B35)*(economics!$D$2:$D$167="process")*economics!$AI$2:$AI$167*(_xlfn.NORM.DIST(Z$3,economics!$AK$2:$AK$167,economics!$AJ$2:$AJ$167,TRUE)-_xlfn.NORM.DIST(Z$30,economics!$AK$2:$AK$167,economics!$AJ$2:$AJ$167,TRUE)))),"")</f>
        <v/>
      </c>
      <c r="AA35">
        <f t="array" ref="AA35">IFERROR((SUMPRODUCT((economics!$AG$2:$AG$167=$B35)*(economics!$D$2:$D$167="process")*economics!$AI$2:$AI$167*(_xlfn.NORM.DIST(AA$3,economics!$AK$2:$AK$167,economics!$AJ$2:$AJ$167,TRUE)-_xlfn.NORM.DIST(AA$30,economics!$AK$2:$AK$167,economics!$AJ$2:$AJ$167,TRUE))*economics!$AM$2:$AM$167))/(SUMPRODUCT((economics!$AG$2:$AG$167=$B35)*(economics!$D$2:$D$167="process")*economics!$AI$2:$AI$167*(_xlfn.NORM.DIST(AA$3,economics!$AK$2:$AK$167,economics!$AJ$2:$AJ$167,TRUE)-_xlfn.NORM.DIST(AA$30,economics!$AK$2:$AK$167,economics!$AJ$2:$AJ$167,TRUE)))),"")</f>
        <v/>
      </c>
      <c r="AB35">
        <f t="array" ref="AB35">IFERROR((SUMPRODUCT((economics!$AG$2:$AG$167=$B35)*(economics!$D$2:$D$167="process")*economics!$AI$2:$AI$167*(_xlfn.NORM.DIST(AB$3,economics!$AK$2:$AK$167,economics!$AJ$2:$AJ$167,TRUE)-_xlfn.NORM.DIST(AB$30,economics!$AK$2:$AK$167,economics!$AJ$2:$AJ$167,TRUE))*economics!$AM$2:$AM$167))/(SUMPRODUCT((economics!$AG$2:$AG$167=$B35)*(economics!$D$2:$D$167="process")*economics!$AI$2:$AI$167*(_xlfn.NORM.DIST(AB$3,economics!$AK$2:$AK$167,economics!$AJ$2:$AJ$167,TRUE)-_xlfn.NORM.DIST(AB$30,economics!$AK$2:$AK$167,economics!$AJ$2:$AJ$167,TRUE)))),"")</f>
        <v/>
      </c>
      <c r="AC35">
        <f t="array" ref="AC35">IFERROR((SUMPRODUCT((economics!$AG$2:$AG$167=$B35)*(economics!$D$2:$D$167="process")*economics!$AI$2:$AI$167*(_xlfn.NORM.DIST(AC$3,economics!$AK$2:$AK$167,economics!$AJ$2:$AJ$167,TRUE)-_xlfn.NORM.DIST(AC$30,economics!$AK$2:$AK$167,economics!$AJ$2:$AJ$167,TRUE))*economics!$AM$2:$AM$167))/(SUMPRODUCT((economics!$AG$2:$AG$167=$B35)*(economics!$D$2:$D$167="process")*economics!$AI$2:$AI$167*(_xlfn.NORM.DIST(AC$3,economics!$AK$2:$AK$167,economics!$AJ$2:$AJ$167,TRUE)-_xlfn.NORM.DIST(AC$30,economics!$AK$2:$AK$167,economics!$AJ$2:$AJ$167,TRUE)))),"")</f>
        <v/>
      </c>
      <c r="AD35">
        <f t="array" ref="AD35">IFERROR((SUMPRODUCT((economics!$AG$2:$AG$167=$B35)*(economics!$D$2:$D$167="process")*economics!$AI$2:$AI$167*(_xlfn.NORM.DIST(AD$3,economics!$AK$2:$AK$167,economics!$AJ$2:$AJ$167,TRUE)-_xlfn.NORM.DIST(AD$30,economics!$AK$2:$AK$167,economics!$AJ$2:$AJ$167,TRUE))*economics!$AM$2:$AM$167))/(SUMPRODUCT((economics!$AG$2:$AG$167=$B35)*(economics!$D$2:$D$167="process")*economics!$AI$2:$AI$167*(_xlfn.NORM.DIST(AD$3,economics!$AK$2:$AK$167,economics!$AJ$2:$AJ$167,TRUE)-_xlfn.NORM.DIST(AD$30,economics!$AK$2:$AK$167,economics!$AJ$2:$AJ$167,TRUE)))),"")</f>
        <v/>
      </c>
      <c r="AE35">
        <f t="array" ref="AE35">IFERROR((SUMPRODUCT((economics!$AG$2:$AG$167=$B35)*(economics!$D$2:$D$167="process")*economics!$AI$2:$AI$167*(_xlfn.NORM.DIST(AE$3,economics!$AK$2:$AK$167,economics!$AJ$2:$AJ$167,TRUE)-_xlfn.NORM.DIST(AE$30,economics!$AK$2:$AK$167,economics!$AJ$2:$AJ$167,TRUE))*economics!$AM$2:$AM$167))/(SUMPRODUCT((economics!$AG$2:$AG$167=$B35)*(economics!$D$2:$D$167="process")*economics!$AI$2:$AI$167*(_xlfn.NORM.DIST(AE$3,economics!$AK$2:$AK$167,economics!$AJ$2:$AJ$167,TRUE)-_xlfn.NORM.DIST(AE$30,economics!$AK$2:$AK$167,economics!$AJ$2:$AJ$167,TRUE)))),"")</f>
        <v/>
      </c>
      <c r="AF35">
        <f t="array" ref="AF35">IFERROR((SUMPRODUCT((economics!$AG$2:$AG$167=$B35)*(economics!$D$2:$D$167="process")*economics!$AI$2:$AI$167*(_xlfn.NORM.DIST(AF$3,economics!$AK$2:$AK$167,economics!$AJ$2:$AJ$167,TRUE)-_xlfn.NORM.DIST(AF$30,economics!$AK$2:$AK$167,economics!$AJ$2:$AJ$167,TRUE))*economics!$AM$2:$AM$167))/(SUMPRODUCT((economics!$AG$2:$AG$167=$B35)*(economics!$D$2:$D$167="process")*economics!$AI$2:$AI$167*(_xlfn.NORM.DIST(AF$3,economics!$AK$2:$AK$167,economics!$AJ$2:$AJ$167,TRUE)-_xlfn.NORM.DIST(AF$30,economics!$AK$2:$AK$167,economics!$AJ$2:$AJ$167,TRUE)))),"")</f>
        <v/>
      </c>
      <c r="AG35">
        <f t="array" ref="AG35">IFERROR((SUMPRODUCT((economics!$AG$2:$AG$167=$B35)*(economics!$D$2:$D$167="process")*economics!$AI$2:$AI$167*(_xlfn.NORM.DIST(AG$3,economics!$AK$2:$AK$167,economics!$AJ$2:$AJ$167,TRUE)-_xlfn.NORM.DIST(AG$30,economics!$AK$2:$AK$167,economics!$AJ$2:$AJ$167,TRUE))*economics!$AM$2:$AM$167))/(SUMPRODUCT((economics!$AG$2:$AG$167=$B35)*(economics!$D$2:$D$167="process")*economics!$AI$2:$AI$167*(_xlfn.NORM.DIST(AG$3,economics!$AK$2:$AK$167,economics!$AJ$2:$AJ$167,TRUE)-_xlfn.NORM.DIST(AG$30,economics!$AK$2:$AK$167,economics!$AJ$2:$AJ$167,TRUE)))),"")</f>
        <v/>
      </c>
      <c r="AH35">
        <f t="array" ref="AH35">IFERROR((SUMPRODUCT((economics!$AG$2:$AG$167=$B35)*(economics!$D$2:$D$167="process")*economics!$AI$2:$AI$167*(_xlfn.NORM.DIST(AH$3,economics!$AK$2:$AK$167,economics!$AJ$2:$AJ$167,TRUE)-_xlfn.NORM.DIST(AH$30,economics!$AK$2:$AK$167,economics!$AJ$2:$AJ$167,TRUE))*economics!$AM$2:$AM$167))/(SUMPRODUCT((economics!$AG$2:$AG$167=$B35)*(economics!$D$2:$D$167="process")*economics!$AI$2:$AI$167*(_xlfn.NORM.DIST(AH$3,economics!$AK$2:$AK$167,economics!$AJ$2:$AJ$167,TRUE)-_xlfn.NORM.DIST(AH$30,economics!$AK$2:$AK$167,economics!$AJ$2:$AJ$167,TRUE)))),"")</f>
        <v/>
      </c>
      <c r="AI35">
        <f t="array" ref="AI35">IFERROR((SUMPRODUCT((economics!$AG$2:$AG$167=$B35)*(economics!$D$2:$D$167="process")*economics!$AI$2:$AI$167*(_xlfn.NORM.DIST(AI$3,economics!$AK$2:$AK$167,economics!$AJ$2:$AJ$167,TRUE)-_xlfn.NORM.DIST(AI$30,economics!$AK$2:$AK$167,economics!$AJ$2:$AJ$167,TRUE))*economics!$AM$2:$AM$167))/(SUMPRODUCT((economics!$AG$2:$AG$167=$B35)*(economics!$D$2:$D$167="process")*economics!$AI$2:$AI$167*(_xlfn.NORM.DIST(AI$3,economics!$AK$2:$AK$167,economics!$AJ$2:$AJ$167,TRUE)-_xlfn.NORM.DIST(AI$30,economics!$AK$2:$AK$167,economics!$AJ$2:$AJ$167,TRUE)))),"")</f>
        <v/>
      </c>
      <c r="AJ35">
        <f t="array" ref="AJ35">IFERROR((SUMPRODUCT((economics!$AG$2:$AG$167=$B35)*(economics!$D$2:$D$167="process")*economics!$AI$2:$AI$167*(_xlfn.NORM.DIST(AJ$3,economics!$AK$2:$AK$167,economics!$AJ$2:$AJ$167,TRUE)-_xlfn.NORM.DIST(AJ$30,economics!$AK$2:$AK$167,economics!$AJ$2:$AJ$167,TRUE))*economics!$AM$2:$AM$167))/(SUMPRODUCT((economics!$AG$2:$AG$167=$B35)*(economics!$D$2:$D$167="process")*economics!$AI$2:$AI$167*(_xlfn.NORM.DIST(AJ$3,economics!$AK$2:$AK$167,economics!$AJ$2:$AJ$167,TRUE)-_xlfn.NORM.DIST(AJ$30,economics!$AK$2:$AK$167,economics!$AJ$2:$AJ$167,TRUE)))),"")</f>
        <v/>
      </c>
      <c r="AK35">
        <f t="array" ref="AK35">IFERROR((SUMPRODUCT((economics!$AG$2:$AG$167=$B35)*(economics!$D$2:$D$167="process")*economics!$AI$2:$AI$167*(_xlfn.NORM.DIST(AK$3,economics!$AK$2:$AK$167,economics!$AJ$2:$AJ$167,TRUE)-_xlfn.NORM.DIST(AK$30,economics!$AK$2:$AK$167,economics!$AJ$2:$AJ$167,TRUE))*economics!$AM$2:$AM$167))/(SUMPRODUCT((economics!$AG$2:$AG$167=$B35)*(economics!$D$2:$D$167="process")*economics!$AI$2:$AI$167*(_xlfn.NORM.DIST(AK$3,economics!$AK$2:$AK$167,economics!$AJ$2:$AJ$167,TRUE)-_xlfn.NORM.DIST(AK$30,economics!$AK$2:$AK$167,economics!$AJ$2:$AJ$167,TRUE)))),"")</f>
        <v/>
      </c>
      <c r="AL35">
        <f t="array" ref="AL35">IFERROR((SUMPRODUCT((economics!$AG$2:$AG$167=$B35)*(economics!$D$2:$D$167="process")*economics!$AI$2:$AI$167*(_xlfn.NORM.DIST(AL$3,economics!$AK$2:$AK$167,economics!$AJ$2:$AJ$167,TRUE)-_xlfn.NORM.DIST(AL$30,economics!$AK$2:$AK$167,economics!$AJ$2:$AJ$167,TRUE))*economics!$AM$2:$AM$167))/(SUMPRODUCT((economics!$AG$2:$AG$167=$B35)*(economics!$D$2:$D$167="process")*economics!$AI$2:$AI$167*(_xlfn.NORM.DIST(AL$3,economics!$AK$2:$AK$167,economics!$AJ$2:$AJ$167,TRUE)-_xlfn.NORM.DIST(AL$30,economics!$AK$2:$AK$167,economics!$AJ$2:$AJ$167,TRUE)))),"")</f>
        <v/>
      </c>
      <c r="AM35">
        <f t="array" ref="AM35">IFERROR((SUMPRODUCT((economics!$AG$2:$AG$167=$B35)*(economics!$D$2:$D$167="process")*economics!$AI$2:$AI$167*(_xlfn.NORM.DIST(AM$3,economics!$AK$2:$AK$167,economics!$AJ$2:$AJ$167,TRUE)-_xlfn.NORM.DIST(AM$30,economics!$AK$2:$AK$167,economics!$AJ$2:$AJ$167,TRUE))*economics!$AM$2:$AM$167))/(SUMPRODUCT((economics!$AG$2:$AG$167=$B35)*(economics!$D$2:$D$167="process")*economics!$AI$2:$AI$167*(_xlfn.NORM.DIST(AM$3,economics!$AK$2:$AK$167,economics!$AJ$2:$AJ$167,TRUE)-_xlfn.NORM.DIST(AM$30,economics!$AK$2:$AK$167,economics!$AJ$2:$AJ$167,TRUE)))),"")</f>
        <v/>
      </c>
      <c r="AN35">
        <f t="array" ref="AN35">IFERROR((SUMPRODUCT((economics!$AG$2:$AG$167=$B35)*(economics!$D$2:$D$167="process")*economics!$AI$2:$AI$167*(_xlfn.NORM.DIST(AN$3,economics!$AK$2:$AK$167,economics!$AJ$2:$AJ$167,TRUE)-_xlfn.NORM.DIST(AN$30,economics!$AK$2:$AK$167,economics!$AJ$2:$AJ$167,TRUE))*economics!$AM$2:$AM$167))/(SUMPRODUCT((economics!$AG$2:$AG$167=$B35)*(economics!$D$2:$D$167="process")*economics!$AI$2:$AI$167*(_xlfn.NORM.DIST(AN$3,economics!$AK$2:$AK$167,economics!$AJ$2:$AJ$167,TRUE)-_xlfn.NORM.DIST(AN$30,economics!$AK$2:$AK$167,economics!$AJ$2:$AJ$167,TRUE)))),"")</f>
        <v/>
      </c>
      <c r="AO35">
        <f t="array" ref="AO35">IFERROR((SUMPRODUCT((economics!$AG$2:$AG$167=$B35)*(economics!$D$2:$D$167="process")*economics!$AI$2:$AI$167*(_xlfn.NORM.DIST(AO$3,economics!$AK$2:$AK$167,economics!$AJ$2:$AJ$167,TRUE)-_xlfn.NORM.DIST(AO$30,economics!$AK$2:$AK$167,economics!$AJ$2:$AJ$167,TRUE))*economics!$AM$2:$AM$167))/(SUMPRODUCT((economics!$AG$2:$AG$167=$B35)*(economics!$D$2:$D$167="process")*economics!$AI$2:$AI$167*(_xlfn.NORM.DIST(AO$3,economics!$AK$2:$AK$167,economics!$AJ$2:$AJ$167,TRUE)-_xlfn.NORM.DIST(AO$30,economics!$AK$2:$AK$167,economics!$AJ$2:$AJ$167,TRUE)))),"")</f>
        <v/>
      </c>
      <c r="AP35">
        <f t="array" ref="AP35">IFERROR((SUMPRODUCT((economics!$AG$2:$AG$167=$B35)*(economics!$D$2:$D$167="process")*economics!$AI$2:$AI$167*(_xlfn.NORM.DIST(AP$3,economics!$AK$2:$AK$167,economics!$AJ$2:$AJ$167,TRUE)-_xlfn.NORM.DIST(AP$30,economics!$AK$2:$AK$167,economics!$AJ$2:$AJ$167,TRUE))*economics!$AM$2:$AM$167))/(SUMPRODUCT((economics!$AG$2:$AG$167=$B35)*(economics!$D$2:$D$167="process")*economics!$AI$2:$AI$167*(_xlfn.NORM.DIST(AP$3,economics!$AK$2:$AK$167,economics!$AJ$2:$AJ$167,TRUE)-_xlfn.NORM.DIST(AP$30,economics!$AK$2:$AK$167,economics!$AJ$2:$AJ$167,TRUE)))),"")</f>
        <v/>
      </c>
      <c r="AQ35">
        <f t="array" ref="AQ35">IFERROR((SUMPRODUCT((economics!$AG$2:$AG$167=$B35)*(economics!$D$2:$D$167="process")*economics!$AI$2:$AI$167*(_xlfn.NORM.DIST(AQ$3,economics!$AK$2:$AK$167,economics!$AJ$2:$AJ$167,TRUE)-_xlfn.NORM.DIST(AQ$30,economics!$AK$2:$AK$167,economics!$AJ$2:$AJ$167,TRUE))*economics!$AM$2:$AM$167))/(SUMPRODUCT((economics!$AG$2:$AG$167=$B35)*(economics!$D$2:$D$167="process")*economics!$AI$2:$AI$167*(_xlfn.NORM.DIST(AQ$3,economics!$AK$2:$AK$167,economics!$AJ$2:$AJ$167,TRUE)-_xlfn.NORM.DIST(AQ$30,economics!$AK$2:$AK$167,economics!$AJ$2:$AJ$167,TRUE)))),"")</f>
        <v/>
      </c>
      <c r="AR35">
        <f t="array" ref="AR35">IFERROR((SUMPRODUCT((economics!$AG$2:$AG$167=$B35)*(economics!$D$2:$D$167="process")*economics!$AI$2:$AI$167*(_xlfn.NORM.DIST(AR$3,economics!$AK$2:$AK$167,economics!$AJ$2:$AJ$167,TRUE)-_xlfn.NORM.DIST(AR$30,economics!$AK$2:$AK$167,economics!$AJ$2:$AJ$167,TRUE))*economics!$AM$2:$AM$167))/(SUMPRODUCT((economics!$AG$2:$AG$167=$B35)*(economics!$D$2:$D$167="process")*economics!$AI$2:$AI$167*(_xlfn.NORM.DIST(AR$3,economics!$AK$2:$AK$167,economics!$AJ$2:$AJ$167,TRUE)-_xlfn.NORM.DIST(AR$30,economics!$AK$2:$AK$167,economics!$AJ$2:$AJ$167,TRUE)))),"")</f>
        <v/>
      </c>
      <c r="AS35">
        <f t="array" ref="AS35">IFERROR((SUMPRODUCT((economics!$AG$2:$AG$167=$B35)*(economics!$D$2:$D$167="process")*economics!$AI$2:$AI$167*(_xlfn.NORM.DIST(AS$3,economics!$AK$2:$AK$167,economics!$AJ$2:$AJ$167,TRUE)-_xlfn.NORM.DIST(AS$30,economics!$AK$2:$AK$167,economics!$AJ$2:$AJ$167,TRUE))*economics!$AM$2:$AM$167))/(SUMPRODUCT((economics!$AG$2:$AG$167=$B35)*(economics!$D$2:$D$167="process")*economics!$AI$2:$AI$167*(_xlfn.NORM.DIST(AS$3,economics!$AK$2:$AK$167,economics!$AJ$2:$AJ$167,TRUE)-_xlfn.NORM.DIST(AS$30,economics!$AK$2:$AK$167,economics!$AJ$2:$AJ$167,TRUE)))),"")</f>
        <v/>
      </c>
      <c r="AT35">
        <f t="array" ref="AT35">IFERROR((SUMPRODUCT((economics!$AG$2:$AG$167=$B35)*(economics!$D$2:$D$167="process")*economics!$AI$2:$AI$167*(_xlfn.NORM.DIST(AT$3,economics!$AK$2:$AK$167,economics!$AJ$2:$AJ$167,TRUE)-_xlfn.NORM.DIST(AT$30,economics!$AK$2:$AK$167,economics!$AJ$2:$AJ$167,TRUE))*economics!$AM$2:$AM$167))/(SUMPRODUCT((economics!$AG$2:$AG$167=$B35)*(economics!$D$2:$D$167="process")*economics!$AI$2:$AI$167*(_xlfn.NORM.DIST(AT$3,economics!$AK$2:$AK$167,economics!$AJ$2:$AJ$167,TRUE)-_xlfn.NORM.DIST(AT$30,economics!$AK$2:$AK$167,economics!$AJ$2:$AJ$167,TRUE)))),"")</f>
        <v/>
      </c>
      <c r="AU35">
        <f t="array" ref="AU35">IFERROR((SUMPRODUCT((economics!$AG$2:$AG$167=$B35)*(economics!$D$2:$D$167="process")*economics!$AI$2:$AI$167*(_xlfn.NORM.DIST(AU$3,economics!$AK$2:$AK$167,economics!$AJ$2:$AJ$167,TRUE)-_xlfn.NORM.DIST(AU$30,economics!$AK$2:$AK$167,economics!$AJ$2:$AJ$167,TRUE))*economics!$AM$2:$AM$167))/(SUMPRODUCT((economics!$AG$2:$AG$167=$B35)*(economics!$D$2:$D$167="process")*economics!$AI$2:$AI$167*(_xlfn.NORM.DIST(AU$3,economics!$AK$2:$AK$167,economics!$AJ$2:$AJ$167,TRUE)-_xlfn.NORM.DIST(AU$30,economics!$AK$2:$AK$167,economics!$AJ$2:$AJ$167,TRUE)))),"")</f>
        <v/>
      </c>
      <c r="AV35">
        <f t="array" ref="AV35">IFERROR((SUMPRODUCT((economics!$AG$2:$AG$167=$B35)*(economics!$D$2:$D$167="process")*economics!$AI$2:$AI$167*(_xlfn.NORM.DIST(AV$3,economics!$AK$2:$AK$167,economics!$AJ$2:$AJ$167,TRUE)-_xlfn.NORM.DIST(AV$30,economics!$AK$2:$AK$167,economics!$AJ$2:$AJ$167,TRUE))*economics!$AM$2:$AM$167))/(SUMPRODUCT((economics!$AG$2:$AG$167=$B35)*(economics!$D$2:$D$167="process")*economics!$AI$2:$AI$167*(_xlfn.NORM.DIST(AV$3,economics!$AK$2:$AK$167,economics!$AJ$2:$AJ$167,TRUE)-_xlfn.NORM.DIST(AV$30,economics!$AK$2:$AK$167,economics!$AJ$2:$AJ$167,TRUE)))),"")</f>
        <v/>
      </c>
      <c r="AW35">
        <f t="array" ref="AW35">IFERROR((SUMPRODUCT((economics!$AG$2:$AG$167=$B35)*(economics!$D$2:$D$167="process")*economics!$AI$2:$AI$167*(_xlfn.NORM.DIST(AW$3,economics!$AK$2:$AK$167,economics!$AJ$2:$AJ$167,TRUE)-_xlfn.NORM.DIST(AW$30,economics!$AK$2:$AK$167,economics!$AJ$2:$AJ$167,TRUE))*economics!$AM$2:$AM$167))/(SUMPRODUCT((economics!$AG$2:$AG$167=$B35)*(economics!$D$2:$D$167="process")*economics!$AI$2:$AI$167*(_xlfn.NORM.DIST(AW$3,economics!$AK$2:$AK$167,economics!$AJ$2:$AJ$167,TRUE)-_xlfn.NORM.DIST(AW$30,economics!$AK$2:$AK$167,economics!$AJ$2:$AJ$167,TRUE)))),"")</f>
        <v/>
      </c>
      <c r="AX35">
        <f t="array" ref="AX35">IFERROR((SUMPRODUCT((economics!$AG$2:$AG$167=$B35)*(economics!$D$2:$D$167="process")*economics!$AI$2:$AI$167*(_xlfn.NORM.DIST(AX$3,economics!$AK$2:$AK$167,economics!$AJ$2:$AJ$167,TRUE)-_xlfn.NORM.DIST(AX$30,economics!$AK$2:$AK$167,economics!$AJ$2:$AJ$167,TRUE))*economics!$AM$2:$AM$167))/(SUMPRODUCT((economics!$AG$2:$AG$167=$B35)*(economics!$D$2:$D$167="process")*economics!$AI$2:$AI$167*(_xlfn.NORM.DIST(AX$3,economics!$AK$2:$AK$167,economics!$AJ$2:$AJ$167,TRUE)-_xlfn.NORM.DIST(AX$30,economics!$AK$2:$AK$167,economics!$AJ$2:$AJ$167,TRUE)))),"")</f>
        <v/>
      </c>
      <c r="AY35">
        <f t="array" ref="AY35">IFERROR((SUMPRODUCT((economics!$AG$2:$AG$167=$B35)*(economics!$D$2:$D$167="process")*economics!$AI$2:$AI$167*(_xlfn.NORM.DIST(AY$3,economics!$AK$2:$AK$167,economics!$AJ$2:$AJ$167,TRUE)-_xlfn.NORM.DIST(AY$30,economics!$AK$2:$AK$167,economics!$AJ$2:$AJ$167,TRUE))*economics!$AM$2:$AM$167))/(SUMPRODUCT((economics!$AG$2:$AG$167=$B35)*(economics!$D$2:$D$167="process")*economics!$AI$2:$AI$167*(_xlfn.NORM.DIST(AY$3,economics!$AK$2:$AK$167,economics!$AJ$2:$AJ$167,TRUE)-_xlfn.NORM.DIST(AY$30,economics!$AK$2:$AK$167,economics!$AJ$2:$AJ$167,TRUE)))),"")</f>
        <v/>
      </c>
      <c r="AZ35">
        <f t="array" ref="AZ35">IFERROR((SUMPRODUCT((economics!$AG$2:$AG$167=$B35)*(economics!$D$2:$D$167="process")*economics!$AI$2:$AI$167*(_xlfn.NORM.DIST(AZ$3,economics!$AK$2:$AK$167,economics!$AJ$2:$AJ$167,TRUE)-_xlfn.NORM.DIST(AZ$30,economics!$AK$2:$AK$167,economics!$AJ$2:$AJ$167,TRUE))*economics!$AM$2:$AM$167))/(SUMPRODUCT((economics!$AG$2:$AG$167=$B35)*(economics!$D$2:$D$167="process")*economics!$AI$2:$AI$167*(_xlfn.NORM.DIST(AZ$3,economics!$AK$2:$AK$167,economics!$AJ$2:$AJ$167,TRUE)-_xlfn.NORM.DIST(AZ$30,economics!$AK$2:$AK$167,economics!$AJ$2:$AJ$167,TRUE)))),"")</f>
        <v/>
      </c>
      <c r="BA35">
        <f t="array" ref="BA35">IFERROR((SUMPRODUCT((economics!$AG$2:$AG$167=$B35)*(economics!$D$2:$D$167="process")*economics!$AI$2:$AI$167*(_xlfn.NORM.DIST(BA$3,economics!$AK$2:$AK$167,economics!$AJ$2:$AJ$167,TRUE)-_xlfn.NORM.DIST(BA$30,economics!$AK$2:$AK$167,economics!$AJ$2:$AJ$167,TRUE))*economics!$AM$2:$AM$167))/(SUMPRODUCT((economics!$AG$2:$AG$167=$B35)*(economics!$D$2:$D$167="process")*economics!$AI$2:$AI$167*(_xlfn.NORM.DIST(BA$3,economics!$AK$2:$AK$167,economics!$AJ$2:$AJ$167,TRUE)-_xlfn.NORM.DIST(BA$30,economics!$AK$2:$AK$167,economics!$AJ$2:$AJ$167,TRUE)))),"")</f>
        <v/>
      </c>
      <c r="BB35">
        <f t="array" ref="BB35">IFERROR((SUMPRODUCT((economics!$AG$2:$AG$167=$B35)*(economics!$D$2:$D$167="process")*economics!$AI$2:$AI$167*(_xlfn.NORM.DIST(BB$3,economics!$AK$2:$AK$167,economics!$AJ$2:$AJ$167,TRUE)-_xlfn.NORM.DIST(BB$30,economics!$AK$2:$AK$167,economics!$AJ$2:$AJ$167,TRUE))*economics!$AM$2:$AM$167))/(SUMPRODUCT((economics!$AG$2:$AG$167=$B35)*(economics!$D$2:$D$167="process")*economics!$AI$2:$AI$167*(_xlfn.NORM.DIST(BB$3,economics!$AK$2:$AK$167,economics!$AJ$2:$AJ$167,TRUE)-_xlfn.NORM.DIST(BB$30,economics!$AK$2:$AK$167,economics!$AJ$2:$AJ$167,TRUE)))),"")</f>
        <v/>
      </c>
      <c r="BC35">
        <f t="array" ref="BC35">IFERROR((SUMPRODUCT((economics!$AG$2:$AG$167=$B35)*(economics!$D$2:$D$167="process")*economics!$AI$2:$AI$167*(_xlfn.NORM.DIST(BC$3,economics!$AK$2:$AK$167,economics!$AJ$2:$AJ$167,TRUE)-_xlfn.NORM.DIST(BC$30,economics!$AK$2:$AK$167,economics!$AJ$2:$AJ$167,TRUE))*economics!$AM$2:$AM$167))/(SUMPRODUCT((economics!$AG$2:$AG$167=$B35)*(economics!$D$2:$D$167="process")*economics!$AI$2:$AI$167*(_xlfn.NORM.DIST(BC$3,economics!$AK$2:$AK$167,economics!$AJ$2:$AJ$167,TRUE)-_xlfn.NORM.DIST(BC$30,economics!$AK$2:$AK$167,economics!$AJ$2:$AJ$167,TRUE)))),"")</f>
        <v/>
      </c>
      <c r="BD35">
        <f t="array" ref="BD35">IFERROR((SUMPRODUCT((economics!$AG$2:$AG$167=$B35)*(economics!$D$2:$D$167="process")*economics!$AI$2:$AI$167*(_xlfn.NORM.DIST(BD$3,economics!$AK$2:$AK$167,economics!$AJ$2:$AJ$167,TRUE)-_xlfn.NORM.DIST(BD$30,economics!$AK$2:$AK$167,economics!$AJ$2:$AJ$167,TRUE))*economics!$AM$2:$AM$167))/(SUMPRODUCT((economics!$AG$2:$AG$167=$B35)*(economics!$D$2:$D$167="process")*economics!$AI$2:$AI$167*(_xlfn.NORM.DIST(BD$3,economics!$AK$2:$AK$167,economics!$AJ$2:$AJ$167,TRUE)-_xlfn.NORM.DIST(BD$30,economics!$AK$2:$AK$167,economics!$AJ$2:$AJ$167,TRUE)))),"")</f>
        <v/>
      </c>
      <c r="BE35">
        <f t="array" ref="BE35">IFERROR((SUMPRODUCT((economics!$AG$2:$AG$167=$B35)*(economics!$D$2:$D$167="process")*economics!$AI$2:$AI$167*(_xlfn.NORM.DIST(BE$3,economics!$AK$2:$AK$167,economics!$AJ$2:$AJ$167,TRUE)-_xlfn.NORM.DIST(BE$30,economics!$AK$2:$AK$167,economics!$AJ$2:$AJ$167,TRUE))*economics!$AM$2:$AM$167))/(SUMPRODUCT((economics!$AG$2:$AG$167=$B35)*(economics!$D$2:$D$167="process")*economics!$AI$2:$AI$167*(_xlfn.NORM.DIST(BE$3,economics!$AK$2:$AK$167,economics!$AJ$2:$AJ$167,TRUE)-_xlfn.NORM.DIST(BE$30,economics!$AK$2:$AK$167,economics!$AJ$2:$AJ$167,TRUE)))),"")</f>
        <v/>
      </c>
      <c r="BF35">
        <f t="array" ref="BF35">IFERROR((SUMPRODUCT((economics!$AG$2:$AG$167=$B35)*(economics!$D$2:$D$167="process")*economics!$AI$2:$AI$167*(_xlfn.NORM.DIST(BF$3,economics!$AK$2:$AK$167,economics!$AJ$2:$AJ$167,TRUE)-_xlfn.NORM.DIST(BF$30,economics!$AK$2:$AK$167,economics!$AJ$2:$AJ$167,TRUE))*economics!$AM$2:$AM$167))/(SUMPRODUCT((economics!$AG$2:$AG$167=$B35)*(economics!$D$2:$D$167="process")*economics!$AI$2:$AI$167*(_xlfn.NORM.DIST(BF$3,economics!$AK$2:$AK$167,economics!$AJ$2:$AJ$167,TRUE)-_xlfn.NORM.DIST(BF$30,economics!$AK$2:$AK$167,economics!$AJ$2:$AJ$167,TRUE)))),"")</f>
        <v/>
      </c>
      <c r="BG35">
        <f t="array" ref="BG35">IFERROR((SUMPRODUCT((economics!$AG$2:$AG$167=$B35)*(economics!$D$2:$D$167="process")*economics!$AI$2:$AI$167*(_xlfn.NORM.DIST(BG$3,economics!$AK$2:$AK$167,economics!$AJ$2:$AJ$167,TRUE)-_xlfn.NORM.DIST(BG$30,economics!$AK$2:$AK$167,economics!$AJ$2:$AJ$167,TRUE))*economics!$AM$2:$AM$167))/(SUMPRODUCT((economics!$AG$2:$AG$167=$B35)*(economics!$D$2:$D$167="process")*economics!$AI$2:$AI$167*(_xlfn.NORM.DIST(BG$3,economics!$AK$2:$AK$167,economics!$AJ$2:$AJ$167,TRUE)-_xlfn.NORM.DIST(BG$30,economics!$AK$2:$AK$167,economics!$AJ$2:$AJ$167,TRUE)))),"")</f>
        <v/>
      </c>
      <c r="BH35">
        <f t="array" ref="BH35">IFERROR((SUMPRODUCT((economics!$AG$2:$AG$167=$B35)*(economics!$D$2:$D$167="process")*economics!$AI$2:$AI$167*(_xlfn.NORM.DIST(BH$3,economics!$AK$2:$AK$167,economics!$AJ$2:$AJ$167,TRUE)-_xlfn.NORM.DIST(BH$30,economics!$AK$2:$AK$167,economics!$AJ$2:$AJ$167,TRUE))*economics!$AM$2:$AM$167))/(SUMPRODUCT((economics!$AG$2:$AG$167=$B35)*(economics!$D$2:$D$167="process")*economics!$AI$2:$AI$167*(_xlfn.NORM.DIST(BH$3,economics!$AK$2:$AK$167,economics!$AJ$2:$AJ$167,TRUE)-_xlfn.NORM.DIST(BH$30,economics!$AK$2:$AK$167,economics!$AJ$2:$AJ$167,TRUE)))),"")</f>
        <v/>
      </c>
      <c r="BI35">
        <f t="array" ref="BI35">IFERROR((SUMPRODUCT((economics!$AG$2:$AG$167=$B35)*(economics!$D$2:$D$167="process")*economics!$AI$2:$AI$167*(_xlfn.NORM.DIST(BI$3,economics!$AK$2:$AK$167,economics!$AJ$2:$AJ$167,TRUE)-_xlfn.NORM.DIST(BI$30,economics!$AK$2:$AK$167,economics!$AJ$2:$AJ$167,TRUE))*economics!$AM$2:$AM$167))/(SUMPRODUCT((economics!$AG$2:$AG$167=$B35)*(economics!$D$2:$D$167="process")*economics!$AI$2:$AI$167*(_xlfn.NORM.DIST(BI$3,economics!$AK$2:$AK$167,economics!$AJ$2:$AJ$167,TRUE)-_xlfn.NORM.DIST(BI$30,economics!$AK$2:$AK$167,economics!$AJ$2:$AJ$167,TRUE)))),"")</f>
        <v/>
      </c>
      <c r="BJ35">
        <f t="array" ref="BJ35">IFERROR((SUMPRODUCT((economics!$AG$2:$AG$167=$B35)*(economics!$D$2:$D$167="process")*economics!$AI$2:$AI$167*(_xlfn.NORM.DIST(BJ$3,economics!$AK$2:$AK$167,economics!$AJ$2:$AJ$167,TRUE)-_xlfn.NORM.DIST(BJ$30,economics!$AK$2:$AK$167,economics!$AJ$2:$AJ$167,TRUE))*economics!$AM$2:$AM$167))/(SUMPRODUCT((economics!$AG$2:$AG$167=$B35)*(economics!$D$2:$D$167="process")*economics!$AI$2:$AI$167*(_xlfn.NORM.DIST(BJ$3,economics!$AK$2:$AK$167,economics!$AJ$2:$AJ$167,TRUE)-_xlfn.NORM.DIST(BJ$30,economics!$AK$2:$AK$167,economics!$AJ$2:$AJ$167,TRUE)))),"")</f>
        <v/>
      </c>
      <c r="BK35">
        <f t="array" ref="BK35">IFERROR((SUMPRODUCT((economics!$AG$2:$AG$167=$B35)*(economics!$D$2:$D$167="process")*economics!$AI$2:$AI$167*(_xlfn.NORM.DIST(BK$3,economics!$AK$2:$AK$167,economics!$AJ$2:$AJ$167,TRUE)-_xlfn.NORM.DIST(BK$30,economics!$AK$2:$AK$167,economics!$AJ$2:$AJ$167,TRUE))*economics!$AM$2:$AM$167))/(SUMPRODUCT((economics!$AG$2:$AG$167=$B35)*(economics!$D$2:$D$167="process")*economics!$AI$2:$AI$167*(_xlfn.NORM.DIST(BK$3,economics!$AK$2:$AK$167,economics!$AJ$2:$AJ$167,TRUE)-_xlfn.NORM.DIST(BK$30,economics!$AK$2:$AK$167,economics!$AJ$2:$AJ$167,TRUE)))),"")</f>
        <v/>
      </c>
      <c r="BL35">
        <f t="array" ref="BL35">IFERROR((SUMPRODUCT((economics!$AG$2:$AG$167=$B35)*(economics!$D$2:$D$167="process")*economics!$AI$2:$AI$167*(_xlfn.NORM.DIST(BL$3,economics!$AK$2:$AK$167,economics!$AJ$2:$AJ$167,TRUE)-_xlfn.NORM.DIST(BL$30,economics!$AK$2:$AK$167,economics!$AJ$2:$AJ$167,TRUE))*economics!$AM$2:$AM$167))/(SUMPRODUCT((economics!$AG$2:$AG$167=$B35)*(economics!$D$2:$D$167="process")*economics!$AI$2:$AI$167*(_xlfn.NORM.DIST(BL$3,economics!$AK$2:$AK$167,economics!$AJ$2:$AJ$167,TRUE)-_xlfn.NORM.DIST(BL$30,economics!$AK$2:$AK$167,economics!$AJ$2:$AJ$167,TRUE)))),"")</f>
        <v/>
      </c>
      <c r="BM35">
        <f t="array" ref="BM35">IFERROR((SUMPRODUCT((economics!$AG$2:$AG$167=$B35)*(economics!$D$2:$D$167="process")*economics!$AI$2:$AI$167*(_xlfn.NORM.DIST(BM$3,economics!$AK$2:$AK$167,economics!$AJ$2:$AJ$167,TRUE)-_xlfn.NORM.DIST(BM$30,economics!$AK$2:$AK$167,economics!$AJ$2:$AJ$167,TRUE))*economics!$AM$2:$AM$167))/(SUMPRODUCT((economics!$AG$2:$AG$167=$B35)*(economics!$D$2:$D$167="process")*economics!$AI$2:$AI$167*(_xlfn.NORM.DIST(BM$3,economics!$AK$2:$AK$167,economics!$AJ$2:$AJ$167,TRUE)-_xlfn.NORM.DIST(BM$30,economics!$AK$2:$AK$167,economics!$AJ$2:$AJ$167,TRUE)))),"")</f>
        <v/>
      </c>
      <c r="BN35">
        <f t="array" ref="BN35">IFERROR((SUMPRODUCT((economics!$AG$2:$AG$167=$B35)*(economics!$D$2:$D$167="process")*economics!$AI$2:$AI$167*(_xlfn.NORM.DIST(BN$3,economics!$AK$2:$AK$167,economics!$AJ$2:$AJ$167,TRUE)-_xlfn.NORM.DIST(BN$30,economics!$AK$2:$AK$167,economics!$AJ$2:$AJ$167,TRUE))*economics!$AM$2:$AM$167))/(SUMPRODUCT((economics!$AG$2:$AG$167=$B35)*(economics!$D$2:$D$167="process")*economics!$AI$2:$AI$167*(_xlfn.NORM.DIST(BN$3,economics!$AK$2:$AK$167,economics!$AJ$2:$AJ$167,TRUE)-_xlfn.NORM.DIST(BN$30,economics!$AK$2:$AK$167,economics!$AJ$2:$AJ$167,TRUE)))),"")</f>
        <v/>
      </c>
      <c r="BO35">
        <f t="array" ref="BO35">IFERROR((SUMPRODUCT((economics!$AG$2:$AG$167=$B35)*(economics!$D$2:$D$167="process")*economics!$AI$2:$AI$167*(_xlfn.NORM.DIST(BO$3,economics!$AK$2:$AK$167,economics!$AJ$2:$AJ$167,TRUE)-_xlfn.NORM.DIST(BO$30,economics!$AK$2:$AK$167,economics!$AJ$2:$AJ$167,TRUE))*economics!$AM$2:$AM$167))/(SUMPRODUCT((economics!$AG$2:$AG$167=$B35)*(economics!$D$2:$D$167="process")*economics!$AI$2:$AI$167*(_xlfn.NORM.DIST(BO$3,economics!$AK$2:$AK$167,economics!$AJ$2:$AJ$167,TRUE)-_xlfn.NORM.DIST(BO$30,economics!$AK$2:$AK$167,economics!$AJ$2:$AJ$167,TRUE)))),"")</f>
        <v/>
      </c>
      <c r="BP35">
        <f t="array" ref="BP35">IFERROR((SUMPRODUCT((economics!$AG$2:$AG$167=$B35)*(economics!$D$2:$D$167="process")*economics!$AI$2:$AI$167*(_xlfn.NORM.DIST(BP$3,economics!$AK$2:$AK$167,economics!$AJ$2:$AJ$167,TRUE)-_xlfn.NORM.DIST(BP$30,economics!$AK$2:$AK$167,economics!$AJ$2:$AJ$167,TRUE))*economics!$AM$2:$AM$167))/(SUMPRODUCT((economics!$AG$2:$AG$167=$B35)*(economics!$D$2:$D$167="process")*economics!$AI$2:$AI$167*(_xlfn.NORM.DIST(BP$3,economics!$AK$2:$AK$167,economics!$AJ$2:$AJ$167,TRUE)-_xlfn.NORM.DIST(BP$30,economics!$AK$2:$AK$167,economics!$AJ$2:$AJ$167,TRUE)))),"")</f>
        <v/>
      </c>
      <c r="BQ35">
        <f t="array" ref="BQ35">IFERROR((SUMPRODUCT((economics!$AG$2:$AG$167=$B35)*(economics!$D$2:$D$167="process")*economics!$AI$2:$AI$167*(_xlfn.NORM.DIST(BQ$3,economics!$AK$2:$AK$167,economics!$AJ$2:$AJ$167,TRUE)-_xlfn.NORM.DIST(BQ$30,economics!$AK$2:$AK$167,economics!$AJ$2:$AJ$167,TRUE))*economics!$AM$2:$AM$167))/(SUMPRODUCT((economics!$AG$2:$AG$167=$B35)*(economics!$D$2:$D$167="process")*economics!$AI$2:$AI$167*(_xlfn.NORM.DIST(BQ$3,economics!$AK$2:$AK$167,economics!$AJ$2:$AJ$167,TRUE)-_xlfn.NORM.DIST(BQ$30,economics!$AK$2:$AK$167,economics!$AJ$2:$AJ$167,TRUE)))),"")</f>
        <v/>
      </c>
      <c r="BR35">
        <f t="array" ref="BR35">IFERROR((SUMPRODUCT((economics!$AG$2:$AG$167=$B35)*(economics!$D$2:$D$167="process")*economics!$AI$2:$AI$167*(_xlfn.NORM.DIST(BR$3,economics!$AK$2:$AK$167,economics!$AJ$2:$AJ$167,TRUE)-_xlfn.NORM.DIST(BR$30,economics!$AK$2:$AK$167,economics!$AJ$2:$AJ$167,TRUE))*economics!$AM$2:$AM$167))/(SUMPRODUCT((economics!$AG$2:$AG$167=$B35)*(economics!$D$2:$D$167="process")*economics!$AI$2:$AI$167*(_xlfn.NORM.DIST(BR$3,economics!$AK$2:$AK$167,economics!$AJ$2:$AJ$167,TRUE)-_xlfn.NORM.DIST(BR$30,economics!$AK$2:$AK$167,economics!$AJ$2:$AJ$167,TRUE)))),"")</f>
        <v/>
      </c>
      <c r="BS35">
        <f t="array" ref="BS35">IFERROR((SUMPRODUCT((economics!$AG$2:$AG$167=$B35)*(economics!$D$2:$D$167="process")*economics!$AI$2:$AI$167*(_xlfn.NORM.DIST(BS$3,economics!$AK$2:$AK$167,economics!$AJ$2:$AJ$167,TRUE)-_xlfn.NORM.DIST(BS$30,economics!$AK$2:$AK$167,economics!$AJ$2:$AJ$167,TRUE))*economics!$AM$2:$AM$167))/(SUMPRODUCT((economics!$AG$2:$AG$167=$B35)*(economics!$D$2:$D$167="process")*economics!$AI$2:$AI$167*(_xlfn.NORM.DIST(BS$3,economics!$AK$2:$AK$167,economics!$AJ$2:$AJ$167,TRUE)-_xlfn.NORM.DIST(BS$30,economics!$AK$2:$AK$167,economics!$AJ$2:$AJ$167,TRUE)))),"")</f>
        <v/>
      </c>
      <c r="BT35">
        <f t="array" ref="BT35">IFERROR((SUMPRODUCT((economics!$AG$2:$AG$167=$B35)*(economics!$D$2:$D$167="process")*economics!$AI$2:$AI$167*(_xlfn.NORM.DIST(BT$3,economics!$AK$2:$AK$167,economics!$AJ$2:$AJ$167,TRUE)-_xlfn.NORM.DIST(BT$30,economics!$AK$2:$AK$167,economics!$AJ$2:$AJ$167,TRUE))*economics!$AM$2:$AM$167))/(SUMPRODUCT((economics!$AG$2:$AG$167=$B35)*(economics!$D$2:$D$167="process")*economics!$AI$2:$AI$167*(_xlfn.NORM.DIST(BT$3,economics!$AK$2:$AK$167,economics!$AJ$2:$AJ$167,TRUE)-_xlfn.NORM.DIST(BT$30,economics!$AK$2:$AK$167,economics!$AJ$2:$AJ$167,TRUE)))),"")</f>
        <v/>
      </c>
      <c r="BU35">
        <f t="array" ref="BU35">IFERROR((SUMPRODUCT((economics!$AG$2:$AG$167=$B35)*(economics!$D$2:$D$167="process")*economics!$AI$2:$AI$167*(_xlfn.NORM.DIST(BU$3,economics!$AK$2:$AK$167,economics!$AJ$2:$AJ$167,TRUE)-_xlfn.NORM.DIST(BU$30,economics!$AK$2:$AK$167,economics!$AJ$2:$AJ$167,TRUE))*economics!$AM$2:$AM$167))/(SUMPRODUCT((economics!$AG$2:$AG$167=$B35)*(economics!$D$2:$D$167="process")*economics!$AI$2:$AI$167*(_xlfn.NORM.DIST(BU$3,economics!$AK$2:$AK$167,economics!$AJ$2:$AJ$167,TRUE)-_xlfn.NORM.DIST(BU$30,economics!$AK$2:$AK$167,economics!$AJ$2:$AJ$167,TRUE)))),"")</f>
        <v/>
      </c>
      <c r="BV35">
        <f t="array" ref="BV35">IFERROR((SUMPRODUCT((economics!$AG$2:$AG$167=$B35)*(economics!$D$2:$D$167="process")*economics!$AI$2:$AI$167*(_xlfn.NORM.DIST(BV$3,economics!$AK$2:$AK$167,economics!$AJ$2:$AJ$167,TRUE)-_xlfn.NORM.DIST(BV$30,economics!$AK$2:$AK$167,economics!$AJ$2:$AJ$167,TRUE))*economics!$AM$2:$AM$167))/(SUMPRODUCT((economics!$AG$2:$AG$167=$B35)*(economics!$D$2:$D$167="process")*economics!$AI$2:$AI$167*(_xlfn.NORM.DIST(BV$3,economics!$AK$2:$AK$167,economics!$AJ$2:$AJ$167,TRUE)-_xlfn.NORM.DIST(BV$30,economics!$AK$2:$AK$167,economics!$AJ$2:$AJ$167,TRUE)))),"")</f>
        <v/>
      </c>
      <c r="BW35">
        <f t="array" ref="BW35">IFERROR((SUMPRODUCT((economics!$AG$2:$AG$167=$B35)*(economics!$D$2:$D$167="process")*economics!$AI$2:$AI$167*(_xlfn.NORM.DIST(BW$3,economics!$AK$2:$AK$167,economics!$AJ$2:$AJ$167,TRUE)-_xlfn.NORM.DIST(BW$30,economics!$AK$2:$AK$167,economics!$AJ$2:$AJ$167,TRUE))*economics!$AM$2:$AM$167))/(SUMPRODUCT((economics!$AG$2:$AG$167=$B35)*(economics!$D$2:$D$167="process")*economics!$AI$2:$AI$167*(_xlfn.NORM.DIST(BW$3,economics!$AK$2:$AK$167,economics!$AJ$2:$AJ$167,TRUE)-_xlfn.NORM.DIST(BW$30,economics!$AK$2:$AK$167,economics!$AJ$2:$AJ$167,TRUE)))),"")</f>
        <v/>
      </c>
      <c r="BX35">
        <f t="array" ref="BX35">IFERROR((SUMPRODUCT((economics!$AG$2:$AG$167=$B35)*(economics!$D$2:$D$167="process")*economics!$AI$2:$AI$167*(_xlfn.NORM.DIST(BX$3,economics!$AK$2:$AK$167,economics!$AJ$2:$AJ$167,TRUE)-_xlfn.NORM.DIST(BX$30,economics!$AK$2:$AK$167,economics!$AJ$2:$AJ$167,TRUE))*economics!$AM$2:$AM$167))/(SUMPRODUCT((economics!$AG$2:$AG$167=$B35)*(economics!$D$2:$D$167="process")*economics!$AI$2:$AI$167*(_xlfn.NORM.DIST(BX$3,economics!$AK$2:$AK$167,economics!$AJ$2:$AJ$167,TRUE)-_xlfn.NORM.DIST(BX$30,economics!$AK$2:$AK$167,economics!$AJ$2:$AJ$167,TRUE)))),"")</f>
        <v/>
      </c>
      <c r="BY35">
        <f t="array" ref="BY35">IFERROR((SUMPRODUCT((economics!$AG$2:$AG$167=$B35)*(economics!$D$2:$D$167="process")*economics!$AI$2:$AI$167*(_xlfn.NORM.DIST(BY$3,economics!$AK$2:$AK$167,economics!$AJ$2:$AJ$167,TRUE)-_xlfn.NORM.DIST(BY$30,economics!$AK$2:$AK$167,economics!$AJ$2:$AJ$167,TRUE))*economics!$AM$2:$AM$167))/(SUMPRODUCT((economics!$AG$2:$AG$167=$B35)*(economics!$D$2:$D$167="process")*economics!$AI$2:$AI$167*(_xlfn.NORM.DIST(BY$3,economics!$AK$2:$AK$167,economics!$AJ$2:$AJ$167,TRUE)-_xlfn.NORM.DIST(BY$30,economics!$AK$2:$AK$167,economics!$AJ$2:$AJ$167,TRUE)))),"")</f>
        <v/>
      </c>
      <c r="BZ35">
        <f t="array" ref="BZ35">IFERROR((SUMPRODUCT((economics!$AG$2:$AG$167=$B35)*(economics!$D$2:$D$167="process")*economics!$AI$2:$AI$167*(_xlfn.NORM.DIST(BZ$3,economics!$AK$2:$AK$167,economics!$AJ$2:$AJ$167,TRUE)-_xlfn.NORM.DIST(BZ$30,economics!$AK$2:$AK$167,economics!$AJ$2:$AJ$167,TRUE))*economics!$AM$2:$AM$167))/(SUMPRODUCT((economics!$AG$2:$AG$167=$B35)*(economics!$D$2:$D$167="process")*economics!$AI$2:$AI$167*(_xlfn.NORM.DIST(BZ$3,economics!$AK$2:$AK$167,economics!$AJ$2:$AJ$167,TRUE)-_xlfn.NORM.DIST(BZ$30,economics!$AK$2:$AK$167,economics!$AJ$2:$AJ$167,TRUE)))),"")</f>
        <v/>
      </c>
      <c r="CA35">
        <f t="array" ref="CA35">IFERROR((SUMPRODUCT((economics!$AG$2:$AG$167=$B35)*(economics!$D$2:$D$167="process")*economics!$AI$2:$AI$167*(_xlfn.NORM.DIST(CA$3,economics!$AK$2:$AK$167,economics!$AJ$2:$AJ$167,TRUE)-_xlfn.NORM.DIST(CA$30,economics!$AK$2:$AK$167,economics!$AJ$2:$AJ$167,TRUE))*economics!$AM$2:$AM$167))/(SUMPRODUCT((economics!$AG$2:$AG$167=$B35)*(economics!$D$2:$D$167="process")*economics!$AI$2:$AI$167*(_xlfn.NORM.DIST(CA$3,economics!$AK$2:$AK$167,economics!$AJ$2:$AJ$167,TRUE)-_xlfn.NORM.DIST(CA$30,economics!$AK$2:$AK$167,economics!$AJ$2:$AJ$167,TRUE)))),"")</f>
        <v/>
      </c>
      <c r="CB35">
        <f t="array" ref="CB35">IFERROR((SUMPRODUCT((economics!$AG$2:$AG$167=$B35)*(economics!$D$2:$D$167="process")*economics!$AI$2:$AI$167*(_xlfn.NORM.DIST(CB$3,economics!$AK$2:$AK$167,economics!$AJ$2:$AJ$167,TRUE)-_xlfn.NORM.DIST(CB$30,economics!$AK$2:$AK$167,economics!$AJ$2:$AJ$167,TRUE))*economics!$AM$2:$AM$167))/(SUMPRODUCT((economics!$AG$2:$AG$167=$B35)*(economics!$D$2:$D$167="process")*economics!$AI$2:$AI$167*(_xlfn.NORM.DIST(CB$3,economics!$AK$2:$AK$167,economics!$AJ$2:$AJ$167,TRUE)-_xlfn.NORM.DIST(CB$30,economics!$AK$2:$AK$167,economics!$AJ$2:$AJ$167,TRUE)))),"")</f>
        <v/>
      </c>
      <c r="CC35">
        <f t="array" ref="CC35">IFERROR((SUMPRODUCT((economics!$AG$2:$AG$167=$B35)*(economics!$D$2:$D$167="process")*economics!$AI$2:$AI$167*(_xlfn.NORM.DIST(CC$3,economics!$AK$2:$AK$167,economics!$AJ$2:$AJ$167,TRUE)-_xlfn.NORM.DIST(CC$30,economics!$AK$2:$AK$167,economics!$AJ$2:$AJ$167,TRUE))*economics!$AM$2:$AM$167))/(SUMPRODUCT((economics!$AG$2:$AG$167=$B35)*(economics!$D$2:$D$167="process")*economics!$AI$2:$AI$167*(_xlfn.NORM.DIST(CC$3,economics!$AK$2:$AK$167,economics!$AJ$2:$AJ$167,TRUE)-_xlfn.NORM.DIST(CC$30,economics!$AK$2:$AK$167,economics!$AJ$2:$AJ$167,TRUE)))),"")</f>
        <v/>
      </c>
      <c r="CD35">
        <f t="array" ref="CD35">IFERROR((SUMPRODUCT((economics!$AG$2:$AG$167=$B35)*(economics!$D$2:$D$167="process")*economics!$AI$2:$AI$167*(_xlfn.NORM.DIST(CD$3,economics!$AK$2:$AK$167,economics!$AJ$2:$AJ$167,TRUE)-_xlfn.NORM.DIST(CD$30,economics!$AK$2:$AK$167,economics!$AJ$2:$AJ$167,TRUE))*economics!$AM$2:$AM$167))/(SUMPRODUCT((economics!$AG$2:$AG$167=$B35)*(economics!$D$2:$D$167="process")*economics!$AI$2:$AI$167*(_xlfn.NORM.DIST(CD$3,economics!$AK$2:$AK$167,economics!$AJ$2:$AJ$167,TRUE)-_xlfn.NORM.DIST(CD$30,economics!$AK$2:$AK$167,economics!$AJ$2:$AJ$167,TRUE)))),"")</f>
        <v/>
      </c>
      <c r="CE35">
        <f t="array" ref="CE35">IFERROR((SUMPRODUCT((economics!$AG$2:$AG$167=$B35)*(economics!$D$2:$D$167="process")*economics!$AI$2:$AI$167*(_xlfn.NORM.DIST(CE$3,economics!$AK$2:$AK$167,economics!$AJ$2:$AJ$167,TRUE)-_xlfn.NORM.DIST(CE$30,economics!$AK$2:$AK$167,economics!$AJ$2:$AJ$167,TRUE))*economics!$AM$2:$AM$167))/(SUMPRODUCT((economics!$AG$2:$AG$167=$B35)*(economics!$D$2:$D$167="process")*economics!$AI$2:$AI$167*(_xlfn.NORM.DIST(CE$3,economics!$AK$2:$AK$167,economics!$AJ$2:$AJ$167,TRUE)-_xlfn.NORM.DIST(CE$30,economics!$AK$2:$AK$167,economics!$AJ$2:$AJ$167,TRUE)))),"")</f>
        <v/>
      </c>
      <c r="CF35">
        <f t="array" ref="CF35">IFERROR((SUMPRODUCT((economics!$AG$2:$AG$167=$B35)*(economics!$D$2:$D$167="process")*economics!$AI$2:$AI$167*(_xlfn.NORM.DIST(CF$3,economics!$AK$2:$AK$167,economics!$AJ$2:$AJ$167,TRUE)-_xlfn.NORM.DIST(CF$30,economics!$AK$2:$AK$167,economics!$AJ$2:$AJ$167,TRUE))*economics!$AM$2:$AM$167))/(SUMPRODUCT((economics!$AG$2:$AG$167=$B35)*(economics!$D$2:$D$167="process")*economics!$AI$2:$AI$167*(_xlfn.NORM.DIST(CF$3,economics!$AK$2:$AK$167,economics!$AJ$2:$AJ$167,TRUE)-_xlfn.NORM.DIST(CF$30,economics!$AK$2:$AK$167,economics!$AJ$2:$AJ$167,TRUE)))),"")</f>
        <v/>
      </c>
      <c r="CG35">
        <f t="array" ref="CG35">IFERROR((SUMPRODUCT((economics!$AG$2:$AG$167=$B35)*(economics!$D$2:$D$167="process")*economics!$AI$2:$AI$167*(_xlfn.NORM.DIST(CG$3,economics!$AK$2:$AK$167,economics!$AJ$2:$AJ$167,TRUE)-_xlfn.NORM.DIST(CG$30,economics!$AK$2:$AK$167,economics!$AJ$2:$AJ$167,TRUE))*economics!$AM$2:$AM$167))/(SUMPRODUCT((economics!$AG$2:$AG$167=$B35)*(economics!$D$2:$D$167="process")*economics!$AI$2:$AI$167*(_xlfn.NORM.DIST(CG$3,economics!$AK$2:$AK$167,economics!$AJ$2:$AJ$167,TRUE)-_xlfn.NORM.DIST(CG$30,economics!$AK$2:$AK$167,economics!$AJ$2:$AJ$167,TRUE)))),"")</f>
        <v/>
      </c>
      <c r="CH35">
        <f t="array" ref="CH35">IFERROR((SUMPRODUCT((economics!$AG$2:$AG$167=$B35)*(economics!$D$2:$D$167="process")*economics!$AI$2:$AI$167*(_xlfn.NORM.DIST(CH$3,economics!$AK$2:$AK$167,economics!$AJ$2:$AJ$167,TRUE)-_xlfn.NORM.DIST(CH$30,economics!$AK$2:$AK$167,economics!$AJ$2:$AJ$167,TRUE))*economics!$AM$2:$AM$167))/(SUMPRODUCT((economics!$AG$2:$AG$167=$B35)*(economics!$D$2:$D$167="process")*economics!$AI$2:$AI$167*(_xlfn.NORM.DIST(CH$3,economics!$AK$2:$AK$167,economics!$AJ$2:$AJ$167,TRUE)-_xlfn.NORM.DIST(CH$30,economics!$AK$2:$AK$167,economics!$AJ$2:$AJ$167,TRUE)))),"")</f>
        <v/>
      </c>
    </row>
    <row r="36">
      <c r="A36">
        <f>A7</f>
        <v/>
      </c>
      <c r="B36">
        <f>B7</f>
        <v/>
      </c>
      <c r="E36">
        <f t="array" ref="E36">IFERROR((SUMPRODUCT((economics!$AG$2:$AG$167=$B36)*(economics!$D$2:$D$167="process")*economics!$AI$2:$AI$167*(_xlfn.NORM.DIST(E$3,economics!$AK$2:$AK$167,economics!$AJ$2:$AJ$167,TRUE)-_xlfn.NORM.DIST(E$30,economics!$AK$2:$AK$167,economics!$AJ$2:$AJ$167,TRUE))*economics!$AM$2:$AM$167))/(SUMPRODUCT((economics!$AG$2:$AG$167=$B36)*(economics!$D$2:$D$167="process")*economics!$AI$2:$AI$167*(_xlfn.NORM.DIST(E$3,economics!$AK$2:$AK$167,economics!$AJ$2:$AJ$167,TRUE)-_xlfn.NORM.DIST(E$30,economics!$AK$2:$AK$167,economics!$AJ$2:$AJ$167,TRUE)))),"")</f>
        <v/>
      </c>
      <c r="F36">
        <f t="array" ref="F36">IFERROR((SUMPRODUCT((economics!$AG$2:$AG$167=$B36)*(economics!$D$2:$D$167="process")*economics!$AI$2:$AI$167*(_xlfn.NORM.DIST(F$3,economics!$AK$2:$AK$167,economics!$AJ$2:$AJ$167,TRUE)-_xlfn.NORM.DIST(F$30,economics!$AK$2:$AK$167,economics!$AJ$2:$AJ$167,TRUE))*economics!$AM$2:$AM$167))/(SUMPRODUCT((economics!$AG$2:$AG$167=$B36)*(economics!$D$2:$D$167="process")*economics!$AI$2:$AI$167*(_xlfn.NORM.DIST(F$3,economics!$AK$2:$AK$167,economics!$AJ$2:$AJ$167,TRUE)-_xlfn.NORM.DIST(F$30,economics!$AK$2:$AK$167,economics!$AJ$2:$AJ$167,TRUE)))),"")</f>
        <v/>
      </c>
      <c r="G36">
        <f t="array" ref="G36">IFERROR((SUMPRODUCT((economics!$AG$2:$AG$167=$B36)*(economics!$D$2:$D$167="process")*economics!$AI$2:$AI$167*(_xlfn.NORM.DIST(G$3,economics!$AK$2:$AK$167,economics!$AJ$2:$AJ$167,TRUE)-_xlfn.NORM.DIST(G$30,economics!$AK$2:$AK$167,economics!$AJ$2:$AJ$167,TRUE))*economics!$AM$2:$AM$167))/(SUMPRODUCT((economics!$AG$2:$AG$167=$B36)*(economics!$D$2:$D$167="process")*economics!$AI$2:$AI$167*(_xlfn.NORM.DIST(G$3,economics!$AK$2:$AK$167,economics!$AJ$2:$AJ$167,TRUE)-_xlfn.NORM.DIST(G$30,economics!$AK$2:$AK$167,economics!$AJ$2:$AJ$167,TRUE)))),"")</f>
        <v/>
      </c>
      <c r="H36">
        <f t="array" ref="H36">IFERROR((SUMPRODUCT((economics!$AG$2:$AG$167=$B36)*(economics!$D$2:$D$167="process")*economics!$AI$2:$AI$167*(_xlfn.NORM.DIST(H$3,economics!$AK$2:$AK$167,economics!$AJ$2:$AJ$167,TRUE)-_xlfn.NORM.DIST(H$30,economics!$AK$2:$AK$167,economics!$AJ$2:$AJ$167,TRUE))*economics!$AM$2:$AM$167))/(SUMPRODUCT((economics!$AG$2:$AG$167=$B36)*(economics!$D$2:$D$167="process")*economics!$AI$2:$AI$167*(_xlfn.NORM.DIST(H$3,economics!$AK$2:$AK$167,economics!$AJ$2:$AJ$167,TRUE)-_xlfn.NORM.DIST(H$30,economics!$AK$2:$AK$167,economics!$AJ$2:$AJ$167,TRUE)))),"")</f>
        <v/>
      </c>
      <c r="I36">
        <f t="array" ref="I36">IFERROR((SUMPRODUCT((economics!$AG$2:$AG$167=$B36)*(economics!$D$2:$D$167="process")*economics!$AI$2:$AI$167*(_xlfn.NORM.DIST(I$3,economics!$AK$2:$AK$167,economics!$AJ$2:$AJ$167,TRUE)-_xlfn.NORM.DIST(I$30,economics!$AK$2:$AK$167,economics!$AJ$2:$AJ$167,TRUE))*economics!$AM$2:$AM$167))/(SUMPRODUCT((economics!$AG$2:$AG$167=$B36)*(economics!$D$2:$D$167="process")*economics!$AI$2:$AI$167*(_xlfn.NORM.DIST(I$3,economics!$AK$2:$AK$167,economics!$AJ$2:$AJ$167,TRUE)-_xlfn.NORM.DIST(I$30,economics!$AK$2:$AK$167,economics!$AJ$2:$AJ$167,TRUE)))),"")</f>
        <v/>
      </c>
      <c r="J36">
        <f t="array" ref="J36">IFERROR((SUMPRODUCT((economics!$AG$2:$AG$167=$B36)*(economics!$D$2:$D$167="process")*economics!$AI$2:$AI$167*(_xlfn.NORM.DIST(J$3,economics!$AK$2:$AK$167,economics!$AJ$2:$AJ$167,TRUE)-_xlfn.NORM.DIST(J$30,economics!$AK$2:$AK$167,economics!$AJ$2:$AJ$167,TRUE))*economics!$AM$2:$AM$167))/(SUMPRODUCT((economics!$AG$2:$AG$167=$B36)*(economics!$D$2:$D$167="process")*economics!$AI$2:$AI$167*(_xlfn.NORM.DIST(J$3,economics!$AK$2:$AK$167,economics!$AJ$2:$AJ$167,TRUE)-_xlfn.NORM.DIST(J$30,economics!$AK$2:$AK$167,economics!$AJ$2:$AJ$167,TRUE)))),"")</f>
        <v/>
      </c>
      <c r="K36">
        <f t="array" ref="K36">IFERROR((SUMPRODUCT((economics!$AG$2:$AG$167=$B36)*(economics!$D$2:$D$167="process")*economics!$AI$2:$AI$167*(_xlfn.NORM.DIST(K$3,economics!$AK$2:$AK$167,economics!$AJ$2:$AJ$167,TRUE)-_xlfn.NORM.DIST(K$30,economics!$AK$2:$AK$167,economics!$AJ$2:$AJ$167,TRUE))*economics!$AM$2:$AM$167))/(SUMPRODUCT((economics!$AG$2:$AG$167=$B36)*(economics!$D$2:$D$167="process")*economics!$AI$2:$AI$167*(_xlfn.NORM.DIST(K$3,economics!$AK$2:$AK$167,economics!$AJ$2:$AJ$167,TRUE)-_xlfn.NORM.DIST(K$30,economics!$AK$2:$AK$167,economics!$AJ$2:$AJ$167,TRUE)))),"")</f>
        <v/>
      </c>
      <c r="L36">
        <f t="array" ref="L36">IFERROR((SUMPRODUCT((economics!$AG$2:$AG$167=$B36)*(economics!$D$2:$D$167="process")*economics!$AI$2:$AI$167*(_xlfn.NORM.DIST(L$3,economics!$AK$2:$AK$167,economics!$AJ$2:$AJ$167,TRUE)-_xlfn.NORM.DIST(L$30,economics!$AK$2:$AK$167,economics!$AJ$2:$AJ$167,TRUE))*economics!$AM$2:$AM$167))/(SUMPRODUCT((economics!$AG$2:$AG$167=$B36)*(economics!$D$2:$D$167="process")*economics!$AI$2:$AI$167*(_xlfn.NORM.DIST(L$3,economics!$AK$2:$AK$167,economics!$AJ$2:$AJ$167,TRUE)-_xlfn.NORM.DIST(L$30,economics!$AK$2:$AK$167,economics!$AJ$2:$AJ$167,TRUE)))),"")</f>
        <v/>
      </c>
      <c r="M36">
        <f t="array" ref="M36">IFERROR((SUMPRODUCT((economics!$AG$2:$AG$167=$B36)*(economics!$D$2:$D$167="process")*economics!$AI$2:$AI$167*(_xlfn.NORM.DIST(M$3,economics!$AK$2:$AK$167,economics!$AJ$2:$AJ$167,TRUE)-_xlfn.NORM.DIST(M$30,economics!$AK$2:$AK$167,economics!$AJ$2:$AJ$167,TRUE))*economics!$AM$2:$AM$167))/(SUMPRODUCT((economics!$AG$2:$AG$167=$B36)*(economics!$D$2:$D$167="process")*economics!$AI$2:$AI$167*(_xlfn.NORM.DIST(M$3,economics!$AK$2:$AK$167,economics!$AJ$2:$AJ$167,TRUE)-_xlfn.NORM.DIST(M$30,economics!$AK$2:$AK$167,economics!$AJ$2:$AJ$167,TRUE)))),"")</f>
        <v/>
      </c>
      <c r="N36">
        <f t="array" ref="N36">IFERROR((SUMPRODUCT((economics!$AG$2:$AG$167=$B36)*(economics!$D$2:$D$167="process")*economics!$AI$2:$AI$167*(_xlfn.NORM.DIST(N$3,economics!$AK$2:$AK$167,economics!$AJ$2:$AJ$167,TRUE)-_xlfn.NORM.DIST(N$30,economics!$AK$2:$AK$167,economics!$AJ$2:$AJ$167,TRUE))*economics!$AM$2:$AM$167))/(SUMPRODUCT((economics!$AG$2:$AG$167=$B36)*(economics!$D$2:$D$167="process")*economics!$AI$2:$AI$167*(_xlfn.NORM.DIST(N$3,economics!$AK$2:$AK$167,economics!$AJ$2:$AJ$167,TRUE)-_xlfn.NORM.DIST(N$30,economics!$AK$2:$AK$167,economics!$AJ$2:$AJ$167,TRUE)))),"")</f>
        <v/>
      </c>
      <c r="O36">
        <f t="array" ref="O36">IFERROR((SUMPRODUCT((economics!$AG$2:$AG$167=$B36)*(economics!$D$2:$D$167="process")*economics!$AI$2:$AI$167*(_xlfn.NORM.DIST(O$3,economics!$AK$2:$AK$167,economics!$AJ$2:$AJ$167,TRUE)-_xlfn.NORM.DIST(O$30,economics!$AK$2:$AK$167,economics!$AJ$2:$AJ$167,TRUE))*economics!$AM$2:$AM$167))/(SUMPRODUCT((economics!$AG$2:$AG$167=$B36)*(economics!$D$2:$D$167="process")*economics!$AI$2:$AI$167*(_xlfn.NORM.DIST(O$3,economics!$AK$2:$AK$167,economics!$AJ$2:$AJ$167,TRUE)-_xlfn.NORM.DIST(O$30,economics!$AK$2:$AK$167,economics!$AJ$2:$AJ$167,TRUE)))),"")</f>
        <v/>
      </c>
      <c r="P36">
        <f t="array" ref="P36">IFERROR((SUMPRODUCT((economics!$AG$2:$AG$167=$B36)*(economics!$D$2:$D$167="process")*economics!$AI$2:$AI$167*(_xlfn.NORM.DIST(P$3,economics!$AK$2:$AK$167,economics!$AJ$2:$AJ$167,TRUE)-_xlfn.NORM.DIST(P$30,economics!$AK$2:$AK$167,economics!$AJ$2:$AJ$167,TRUE))*economics!$AM$2:$AM$167))/(SUMPRODUCT((economics!$AG$2:$AG$167=$B36)*(economics!$D$2:$D$167="process")*economics!$AI$2:$AI$167*(_xlfn.NORM.DIST(P$3,economics!$AK$2:$AK$167,economics!$AJ$2:$AJ$167,TRUE)-_xlfn.NORM.DIST(P$30,economics!$AK$2:$AK$167,economics!$AJ$2:$AJ$167,TRUE)))),"")</f>
        <v/>
      </c>
      <c r="Q36">
        <f t="array" ref="Q36">IFERROR((SUMPRODUCT((economics!$AG$2:$AG$167=$B36)*(economics!$D$2:$D$167="process")*economics!$AI$2:$AI$167*(_xlfn.NORM.DIST(Q$3,economics!$AK$2:$AK$167,economics!$AJ$2:$AJ$167,TRUE)-_xlfn.NORM.DIST(Q$30,economics!$AK$2:$AK$167,economics!$AJ$2:$AJ$167,TRUE))*economics!$AM$2:$AM$167))/(SUMPRODUCT((economics!$AG$2:$AG$167=$B36)*(economics!$D$2:$D$167="process")*economics!$AI$2:$AI$167*(_xlfn.NORM.DIST(Q$3,economics!$AK$2:$AK$167,economics!$AJ$2:$AJ$167,TRUE)-_xlfn.NORM.DIST(Q$30,economics!$AK$2:$AK$167,economics!$AJ$2:$AJ$167,TRUE)))),"")</f>
        <v/>
      </c>
      <c r="R36">
        <f t="array" ref="R36">IFERROR((SUMPRODUCT((economics!$AG$2:$AG$167=$B36)*(economics!$D$2:$D$167="process")*economics!$AI$2:$AI$167*(_xlfn.NORM.DIST(R$3,economics!$AK$2:$AK$167,economics!$AJ$2:$AJ$167,TRUE)-_xlfn.NORM.DIST(R$30,economics!$AK$2:$AK$167,economics!$AJ$2:$AJ$167,TRUE))*economics!$AM$2:$AM$167))/(SUMPRODUCT((economics!$AG$2:$AG$167=$B36)*(economics!$D$2:$D$167="process")*economics!$AI$2:$AI$167*(_xlfn.NORM.DIST(R$3,economics!$AK$2:$AK$167,economics!$AJ$2:$AJ$167,TRUE)-_xlfn.NORM.DIST(R$30,economics!$AK$2:$AK$167,economics!$AJ$2:$AJ$167,TRUE)))),"")</f>
        <v/>
      </c>
      <c r="S36">
        <f t="array" ref="S36">IFERROR((SUMPRODUCT((economics!$AG$2:$AG$167=$B36)*(economics!$D$2:$D$167="process")*economics!$AI$2:$AI$167*(_xlfn.NORM.DIST(S$3,economics!$AK$2:$AK$167,economics!$AJ$2:$AJ$167,TRUE)-_xlfn.NORM.DIST(S$30,economics!$AK$2:$AK$167,economics!$AJ$2:$AJ$167,TRUE))*economics!$AM$2:$AM$167))/(SUMPRODUCT((economics!$AG$2:$AG$167=$B36)*(economics!$D$2:$D$167="process")*economics!$AI$2:$AI$167*(_xlfn.NORM.DIST(S$3,economics!$AK$2:$AK$167,economics!$AJ$2:$AJ$167,TRUE)-_xlfn.NORM.DIST(S$30,economics!$AK$2:$AK$167,economics!$AJ$2:$AJ$167,TRUE)))),"")</f>
        <v/>
      </c>
      <c r="T36">
        <f t="array" ref="T36">IFERROR((SUMPRODUCT((economics!$AG$2:$AG$167=$B36)*(economics!$D$2:$D$167="process")*economics!$AI$2:$AI$167*(_xlfn.NORM.DIST(T$3,economics!$AK$2:$AK$167,economics!$AJ$2:$AJ$167,TRUE)-_xlfn.NORM.DIST(T$30,economics!$AK$2:$AK$167,economics!$AJ$2:$AJ$167,TRUE))*economics!$AM$2:$AM$167))/(SUMPRODUCT((economics!$AG$2:$AG$167=$B36)*(economics!$D$2:$D$167="process")*economics!$AI$2:$AI$167*(_xlfn.NORM.DIST(T$3,economics!$AK$2:$AK$167,economics!$AJ$2:$AJ$167,TRUE)-_xlfn.NORM.DIST(T$30,economics!$AK$2:$AK$167,economics!$AJ$2:$AJ$167,TRUE)))),"")</f>
        <v/>
      </c>
      <c r="U36">
        <f t="array" ref="U36">IFERROR((SUMPRODUCT((economics!$AG$2:$AG$167=$B36)*(economics!$D$2:$D$167="process")*economics!$AI$2:$AI$167*(_xlfn.NORM.DIST(U$3,economics!$AK$2:$AK$167,economics!$AJ$2:$AJ$167,TRUE)-_xlfn.NORM.DIST(U$30,economics!$AK$2:$AK$167,economics!$AJ$2:$AJ$167,TRUE))*economics!$AM$2:$AM$167))/(SUMPRODUCT((economics!$AG$2:$AG$167=$B36)*(economics!$D$2:$D$167="process")*economics!$AI$2:$AI$167*(_xlfn.NORM.DIST(U$3,economics!$AK$2:$AK$167,economics!$AJ$2:$AJ$167,TRUE)-_xlfn.NORM.DIST(U$30,economics!$AK$2:$AK$167,economics!$AJ$2:$AJ$167,TRUE)))),"")</f>
        <v/>
      </c>
      <c r="V36">
        <f t="array" ref="V36">IFERROR((SUMPRODUCT((economics!$AG$2:$AG$167=$B36)*(economics!$D$2:$D$167="process")*economics!$AI$2:$AI$167*(_xlfn.NORM.DIST(V$3,economics!$AK$2:$AK$167,economics!$AJ$2:$AJ$167,TRUE)-_xlfn.NORM.DIST(V$30,economics!$AK$2:$AK$167,economics!$AJ$2:$AJ$167,TRUE))*economics!$AM$2:$AM$167))/(SUMPRODUCT((economics!$AG$2:$AG$167=$B36)*(economics!$D$2:$D$167="process")*economics!$AI$2:$AI$167*(_xlfn.NORM.DIST(V$3,economics!$AK$2:$AK$167,economics!$AJ$2:$AJ$167,TRUE)-_xlfn.NORM.DIST(V$30,economics!$AK$2:$AK$167,economics!$AJ$2:$AJ$167,TRUE)))),"")</f>
        <v/>
      </c>
      <c r="W36">
        <f t="array" ref="W36">IFERROR((SUMPRODUCT((economics!$AG$2:$AG$167=$B36)*(economics!$D$2:$D$167="process")*economics!$AI$2:$AI$167*(_xlfn.NORM.DIST(W$3,economics!$AK$2:$AK$167,economics!$AJ$2:$AJ$167,TRUE)-_xlfn.NORM.DIST(W$30,economics!$AK$2:$AK$167,economics!$AJ$2:$AJ$167,TRUE))*economics!$AM$2:$AM$167))/(SUMPRODUCT((economics!$AG$2:$AG$167=$B36)*(economics!$D$2:$D$167="process")*economics!$AI$2:$AI$167*(_xlfn.NORM.DIST(W$3,economics!$AK$2:$AK$167,economics!$AJ$2:$AJ$167,TRUE)-_xlfn.NORM.DIST(W$30,economics!$AK$2:$AK$167,economics!$AJ$2:$AJ$167,TRUE)))),"")</f>
        <v/>
      </c>
      <c r="X36">
        <f t="array" ref="X36">IFERROR((SUMPRODUCT((economics!$AG$2:$AG$167=$B36)*(economics!$D$2:$D$167="process")*economics!$AI$2:$AI$167*(_xlfn.NORM.DIST(X$3,economics!$AK$2:$AK$167,economics!$AJ$2:$AJ$167,TRUE)-_xlfn.NORM.DIST(X$30,economics!$AK$2:$AK$167,economics!$AJ$2:$AJ$167,TRUE))*economics!$AM$2:$AM$167))/(SUMPRODUCT((economics!$AG$2:$AG$167=$B36)*(economics!$D$2:$D$167="process")*economics!$AI$2:$AI$167*(_xlfn.NORM.DIST(X$3,economics!$AK$2:$AK$167,economics!$AJ$2:$AJ$167,TRUE)-_xlfn.NORM.DIST(X$30,economics!$AK$2:$AK$167,economics!$AJ$2:$AJ$167,TRUE)))),"")</f>
        <v/>
      </c>
      <c r="Y36">
        <f t="array" ref="Y36">IFERROR((SUMPRODUCT((economics!$AG$2:$AG$167=$B36)*(economics!$D$2:$D$167="process")*economics!$AI$2:$AI$167*(_xlfn.NORM.DIST(Y$3,economics!$AK$2:$AK$167,economics!$AJ$2:$AJ$167,TRUE)-_xlfn.NORM.DIST(Y$30,economics!$AK$2:$AK$167,economics!$AJ$2:$AJ$167,TRUE))*economics!$AM$2:$AM$167))/(SUMPRODUCT((economics!$AG$2:$AG$167=$B36)*(economics!$D$2:$D$167="process")*economics!$AI$2:$AI$167*(_xlfn.NORM.DIST(Y$3,economics!$AK$2:$AK$167,economics!$AJ$2:$AJ$167,TRUE)-_xlfn.NORM.DIST(Y$30,economics!$AK$2:$AK$167,economics!$AJ$2:$AJ$167,TRUE)))),"")</f>
        <v/>
      </c>
      <c r="Z36">
        <f t="array" ref="Z36">IFERROR((SUMPRODUCT((economics!$AG$2:$AG$167=$B36)*(economics!$D$2:$D$167="process")*economics!$AI$2:$AI$167*(_xlfn.NORM.DIST(Z$3,economics!$AK$2:$AK$167,economics!$AJ$2:$AJ$167,TRUE)-_xlfn.NORM.DIST(Z$30,economics!$AK$2:$AK$167,economics!$AJ$2:$AJ$167,TRUE))*economics!$AM$2:$AM$167))/(SUMPRODUCT((economics!$AG$2:$AG$167=$B36)*(economics!$D$2:$D$167="process")*economics!$AI$2:$AI$167*(_xlfn.NORM.DIST(Z$3,economics!$AK$2:$AK$167,economics!$AJ$2:$AJ$167,TRUE)-_xlfn.NORM.DIST(Z$30,economics!$AK$2:$AK$167,economics!$AJ$2:$AJ$167,TRUE)))),"")</f>
        <v/>
      </c>
      <c r="AA36">
        <f t="array" ref="AA36">IFERROR((SUMPRODUCT((economics!$AG$2:$AG$167=$B36)*(economics!$D$2:$D$167="process")*economics!$AI$2:$AI$167*(_xlfn.NORM.DIST(AA$3,economics!$AK$2:$AK$167,economics!$AJ$2:$AJ$167,TRUE)-_xlfn.NORM.DIST(AA$30,economics!$AK$2:$AK$167,economics!$AJ$2:$AJ$167,TRUE))*economics!$AM$2:$AM$167))/(SUMPRODUCT((economics!$AG$2:$AG$167=$B36)*(economics!$D$2:$D$167="process")*economics!$AI$2:$AI$167*(_xlfn.NORM.DIST(AA$3,economics!$AK$2:$AK$167,economics!$AJ$2:$AJ$167,TRUE)-_xlfn.NORM.DIST(AA$30,economics!$AK$2:$AK$167,economics!$AJ$2:$AJ$167,TRUE)))),"")</f>
        <v/>
      </c>
      <c r="AB36">
        <f t="array" ref="AB36">IFERROR((SUMPRODUCT((economics!$AG$2:$AG$167=$B36)*(economics!$D$2:$D$167="process")*economics!$AI$2:$AI$167*(_xlfn.NORM.DIST(AB$3,economics!$AK$2:$AK$167,economics!$AJ$2:$AJ$167,TRUE)-_xlfn.NORM.DIST(AB$30,economics!$AK$2:$AK$167,economics!$AJ$2:$AJ$167,TRUE))*economics!$AM$2:$AM$167))/(SUMPRODUCT((economics!$AG$2:$AG$167=$B36)*(economics!$D$2:$D$167="process")*economics!$AI$2:$AI$167*(_xlfn.NORM.DIST(AB$3,economics!$AK$2:$AK$167,economics!$AJ$2:$AJ$167,TRUE)-_xlfn.NORM.DIST(AB$30,economics!$AK$2:$AK$167,economics!$AJ$2:$AJ$167,TRUE)))),"")</f>
        <v/>
      </c>
      <c r="AC36">
        <f t="array" ref="AC36">IFERROR((SUMPRODUCT((economics!$AG$2:$AG$167=$B36)*(economics!$D$2:$D$167="process")*economics!$AI$2:$AI$167*(_xlfn.NORM.DIST(AC$3,economics!$AK$2:$AK$167,economics!$AJ$2:$AJ$167,TRUE)-_xlfn.NORM.DIST(AC$30,economics!$AK$2:$AK$167,economics!$AJ$2:$AJ$167,TRUE))*economics!$AM$2:$AM$167))/(SUMPRODUCT((economics!$AG$2:$AG$167=$B36)*(economics!$D$2:$D$167="process")*economics!$AI$2:$AI$167*(_xlfn.NORM.DIST(AC$3,economics!$AK$2:$AK$167,economics!$AJ$2:$AJ$167,TRUE)-_xlfn.NORM.DIST(AC$30,economics!$AK$2:$AK$167,economics!$AJ$2:$AJ$167,TRUE)))),"")</f>
        <v/>
      </c>
      <c r="AD36">
        <f t="array" ref="AD36">IFERROR((SUMPRODUCT((economics!$AG$2:$AG$167=$B36)*(economics!$D$2:$D$167="process")*economics!$AI$2:$AI$167*(_xlfn.NORM.DIST(AD$3,economics!$AK$2:$AK$167,economics!$AJ$2:$AJ$167,TRUE)-_xlfn.NORM.DIST(AD$30,economics!$AK$2:$AK$167,economics!$AJ$2:$AJ$167,TRUE))*economics!$AM$2:$AM$167))/(SUMPRODUCT((economics!$AG$2:$AG$167=$B36)*(economics!$D$2:$D$167="process")*economics!$AI$2:$AI$167*(_xlfn.NORM.DIST(AD$3,economics!$AK$2:$AK$167,economics!$AJ$2:$AJ$167,TRUE)-_xlfn.NORM.DIST(AD$30,economics!$AK$2:$AK$167,economics!$AJ$2:$AJ$167,TRUE)))),"")</f>
        <v/>
      </c>
      <c r="AE36">
        <f t="array" ref="AE36">IFERROR((SUMPRODUCT((economics!$AG$2:$AG$167=$B36)*(economics!$D$2:$D$167="process")*economics!$AI$2:$AI$167*(_xlfn.NORM.DIST(AE$3,economics!$AK$2:$AK$167,economics!$AJ$2:$AJ$167,TRUE)-_xlfn.NORM.DIST(AE$30,economics!$AK$2:$AK$167,economics!$AJ$2:$AJ$167,TRUE))*economics!$AM$2:$AM$167))/(SUMPRODUCT((economics!$AG$2:$AG$167=$B36)*(economics!$D$2:$D$167="process")*economics!$AI$2:$AI$167*(_xlfn.NORM.DIST(AE$3,economics!$AK$2:$AK$167,economics!$AJ$2:$AJ$167,TRUE)-_xlfn.NORM.DIST(AE$30,economics!$AK$2:$AK$167,economics!$AJ$2:$AJ$167,TRUE)))),"")</f>
        <v/>
      </c>
      <c r="AF36">
        <f t="array" ref="AF36">IFERROR((SUMPRODUCT((economics!$AG$2:$AG$167=$B36)*(economics!$D$2:$D$167="process")*economics!$AI$2:$AI$167*(_xlfn.NORM.DIST(AF$3,economics!$AK$2:$AK$167,economics!$AJ$2:$AJ$167,TRUE)-_xlfn.NORM.DIST(AF$30,economics!$AK$2:$AK$167,economics!$AJ$2:$AJ$167,TRUE))*economics!$AM$2:$AM$167))/(SUMPRODUCT((economics!$AG$2:$AG$167=$B36)*(economics!$D$2:$D$167="process")*economics!$AI$2:$AI$167*(_xlfn.NORM.DIST(AF$3,economics!$AK$2:$AK$167,economics!$AJ$2:$AJ$167,TRUE)-_xlfn.NORM.DIST(AF$30,economics!$AK$2:$AK$167,economics!$AJ$2:$AJ$167,TRUE)))),"")</f>
        <v/>
      </c>
      <c r="AG36">
        <f t="array" ref="AG36">IFERROR((SUMPRODUCT((economics!$AG$2:$AG$167=$B36)*(economics!$D$2:$D$167="process")*economics!$AI$2:$AI$167*(_xlfn.NORM.DIST(AG$3,economics!$AK$2:$AK$167,economics!$AJ$2:$AJ$167,TRUE)-_xlfn.NORM.DIST(AG$30,economics!$AK$2:$AK$167,economics!$AJ$2:$AJ$167,TRUE))*economics!$AM$2:$AM$167))/(SUMPRODUCT((economics!$AG$2:$AG$167=$B36)*(economics!$D$2:$D$167="process")*economics!$AI$2:$AI$167*(_xlfn.NORM.DIST(AG$3,economics!$AK$2:$AK$167,economics!$AJ$2:$AJ$167,TRUE)-_xlfn.NORM.DIST(AG$30,economics!$AK$2:$AK$167,economics!$AJ$2:$AJ$167,TRUE)))),"")</f>
        <v/>
      </c>
      <c r="AH36">
        <f t="array" ref="AH36">IFERROR((SUMPRODUCT((economics!$AG$2:$AG$167=$B36)*(economics!$D$2:$D$167="process")*economics!$AI$2:$AI$167*(_xlfn.NORM.DIST(AH$3,economics!$AK$2:$AK$167,economics!$AJ$2:$AJ$167,TRUE)-_xlfn.NORM.DIST(AH$30,economics!$AK$2:$AK$167,economics!$AJ$2:$AJ$167,TRUE))*economics!$AM$2:$AM$167))/(SUMPRODUCT((economics!$AG$2:$AG$167=$B36)*(economics!$D$2:$D$167="process")*economics!$AI$2:$AI$167*(_xlfn.NORM.DIST(AH$3,economics!$AK$2:$AK$167,economics!$AJ$2:$AJ$167,TRUE)-_xlfn.NORM.DIST(AH$30,economics!$AK$2:$AK$167,economics!$AJ$2:$AJ$167,TRUE)))),"")</f>
        <v/>
      </c>
      <c r="AI36">
        <f t="array" ref="AI36">IFERROR((SUMPRODUCT((economics!$AG$2:$AG$167=$B36)*(economics!$D$2:$D$167="process")*economics!$AI$2:$AI$167*(_xlfn.NORM.DIST(AI$3,economics!$AK$2:$AK$167,economics!$AJ$2:$AJ$167,TRUE)-_xlfn.NORM.DIST(AI$30,economics!$AK$2:$AK$167,economics!$AJ$2:$AJ$167,TRUE))*economics!$AM$2:$AM$167))/(SUMPRODUCT((economics!$AG$2:$AG$167=$B36)*(economics!$D$2:$D$167="process")*economics!$AI$2:$AI$167*(_xlfn.NORM.DIST(AI$3,economics!$AK$2:$AK$167,economics!$AJ$2:$AJ$167,TRUE)-_xlfn.NORM.DIST(AI$30,economics!$AK$2:$AK$167,economics!$AJ$2:$AJ$167,TRUE)))),"")</f>
        <v/>
      </c>
      <c r="AJ36">
        <f t="array" ref="AJ36">IFERROR((SUMPRODUCT((economics!$AG$2:$AG$167=$B36)*(economics!$D$2:$D$167="process")*economics!$AI$2:$AI$167*(_xlfn.NORM.DIST(AJ$3,economics!$AK$2:$AK$167,economics!$AJ$2:$AJ$167,TRUE)-_xlfn.NORM.DIST(AJ$30,economics!$AK$2:$AK$167,economics!$AJ$2:$AJ$167,TRUE))*economics!$AM$2:$AM$167))/(SUMPRODUCT((economics!$AG$2:$AG$167=$B36)*(economics!$D$2:$D$167="process")*economics!$AI$2:$AI$167*(_xlfn.NORM.DIST(AJ$3,economics!$AK$2:$AK$167,economics!$AJ$2:$AJ$167,TRUE)-_xlfn.NORM.DIST(AJ$30,economics!$AK$2:$AK$167,economics!$AJ$2:$AJ$167,TRUE)))),"")</f>
        <v/>
      </c>
      <c r="AK36">
        <f t="array" ref="AK36">IFERROR((SUMPRODUCT((economics!$AG$2:$AG$167=$B36)*(economics!$D$2:$D$167="process")*economics!$AI$2:$AI$167*(_xlfn.NORM.DIST(AK$3,economics!$AK$2:$AK$167,economics!$AJ$2:$AJ$167,TRUE)-_xlfn.NORM.DIST(AK$30,economics!$AK$2:$AK$167,economics!$AJ$2:$AJ$167,TRUE))*economics!$AM$2:$AM$167))/(SUMPRODUCT((economics!$AG$2:$AG$167=$B36)*(economics!$D$2:$D$167="process")*economics!$AI$2:$AI$167*(_xlfn.NORM.DIST(AK$3,economics!$AK$2:$AK$167,economics!$AJ$2:$AJ$167,TRUE)-_xlfn.NORM.DIST(AK$30,economics!$AK$2:$AK$167,economics!$AJ$2:$AJ$167,TRUE)))),"")</f>
        <v/>
      </c>
      <c r="AL36">
        <f t="array" ref="AL36">IFERROR((SUMPRODUCT((economics!$AG$2:$AG$167=$B36)*(economics!$D$2:$D$167="process")*economics!$AI$2:$AI$167*(_xlfn.NORM.DIST(AL$3,economics!$AK$2:$AK$167,economics!$AJ$2:$AJ$167,TRUE)-_xlfn.NORM.DIST(AL$30,economics!$AK$2:$AK$167,economics!$AJ$2:$AJ$167,TRUE))*economics!$AM$2:$AM$167))/(SUMPRODUCT((economics!$AG$2:$AG$167=$B36)*(economics!$D$2:$D$167="process")*economics!$AI$2:$AI$167*(_xlfn.NORM.DIST(AL$3,economics!$AK$2:$AK$167,economics!$AJ$2:$AJ$167,TRUE)-_xlfn.NORM.DIST(AL$30,economics!$AK$2:$AK$167,economics!$AJ$2:$AJ$167,TRUE)))),"")</f>
        <v/>
      </c>
      <c r="AM36">
        <f t="array" ref="AM36">IFERROR((SUMPRODUCT((economics!$AG$2:$AG$167=$B36)*(economics!$D$2:$D$167="process")*economics!$AI$2:$AI$167*(_xlfn.NORM.DIST(AM$3,economics!$AK$2:$AK$167,economics!$AJ$2:$AJ$167,TRUE)-_xlfn.NORM.DIST(AM$30,economics!$AK$2:$AK$167,economics!$AJ$2:$AJ$167,TRUE))*economics!$AM$2:$AM$167))/(SUMPRODUCT((economics!$AG$2:$AG$167=$B36)*(economics!$D$2:$D$167="process")*economics!$AI$2:$AI$167*(_xlfn.NORM.DIST(AM$3,economics!$AK$2:$AK$167,economics!$AJ$2:$AJ$167,TRUE)-_xlfn.NORM.DIST(AM$30,economics!$AK$2:$AK$167,economics!$AJ$2:$AJ$167,TRUE)))),"")</f>
        <v/>
      </c>
      <c r="AN36">
        <f t="array" ref="AN36">IFERROR((SUMPRODUCT((economics!$AG$2:$AG$167=$B36)*(economics!$D$2:$D$167="process")*economics!$AI$2:$AI$167*(_xlfn.NORM.DIST(AN$3,economics!$AK$2:$AK$167,economics!$AJ$2:$AJ$167,TRUE)-_xlfn.NORM.DIST(AN$30,economics!$AK$2:$AK$167,economics!$AJ$2:$AJ$167,TRUE))*economics!$AM$2:$AM$167))/(SUMPRODUCT((economics!$AG$2:$AG$167=$B36)*(economics!$D$2:$D$167="process")*economics!$AI$2:$AI$167*(_xlfn.NORM.DIST(AN$3,economics!$AK$2:$AK$167,economics!$AJ$2:$AJ$167,TRUE)-_xlfn.NORM.DIST(AN$30,economics!$AK$2:$AK$167,economics!$AJ$2:$AJ$167,TRUE)))),"")</f>
        <v/>
      </c>
      <c r="AO36">
        <f t="array" ref="AO36">IFERROR((SUMPRODUCT((economics!$AG$2:$AG$167=$B36)*(economics!$D$2:$D$167="process")*economics!$AI$2:$AI$167*(_xlfn.NORM.DIST(AO$3,economics!$AK$2:$AK$167,economics!$AJ$2:$AJ$167,TRUE)-_xlfn.NORM.DIST(AO$30,economics!$AK$2:$AK$167,economics!$AJ$2:$AJ$167,TRUE))*economics!$AM$2:$AM$167))/(SUMPRODUCT((economics!$AG$2:$AG$167=$B36)*(economics!$D$2:$D$167="process")*economics!$AI$2:$AI$167*(_xlfn.NORM.DIST(AO$3,economics!$AK$2:$AK$167,economics!$AJ$2:$AJ$167,TRUE)-_xlfn.NORM.DIST(AO$30,economics!$AK$2:$AK$167,economics!$AJ$2:$AJ$167,TRUE)))),"")</f>
        <v/>
      </c>
      <c r="AP36">
        <f t="array" ref="AP36">IFERROR((SUMPRODUCT((economics!$AG$2:$AG$167=$B36)*(economics!$D$2:$D$167="process")*economics!$AI$2:$AI$167*(_xlfn.NORM.DIST(AP$3,economics!$AK$2:$AK$167,economics!$AJ$2:$AJ$167,TRUE)-_xlfn.NORM.DIST(AP$30,economics!$AK$2:$AK$167,economics!$AJ$2:$AJ$167,TRUE))*economics!$AM$2:$AM$167))/(SUMPRODUCT((economics!$AG$2:$AG$167=$B36)*(economics!$D$2:$D$167="process")*economics!$AI$2:$AI$167*(_xlfn.NORM.DIST(AP$3,economics!$AK$2:$AK$167,economics!$AJ$2:$AJ$167,TRUE)-_xlfn.NORM.DIST(AP$30,economics!$AK$2:$AK$167,economics!$AJ$2:$AJ$167,TRUE)))),"")</f>
        <v/>
      </c>
      <c r="AQ36">
        <f t="array" ref="AQ36">IFERROR((SUMPRODUCT((economics!$AG$2:$AG$167=$B36)*(economics!$D$2:$D$167="process")*economics!$AI$2:$AI$167*(_xlfn.NORM.DIST(AQ$3,economics!$AK$2:$AK$167,economics!$AJ$2:$AJ$167,TRUE)-_xlfn.NORM.DIST(AQ$30,economics!$AK$2:$AK$167,economics!$AJ$2:$AJ$167,TRUE))*economics!$AM$2:$AM$167))/(SUMPRODUCT((economics!$AG$2:$AG$167=$B36)*(economics!$D$2:$D$167="process")*economics!$AI$2:$AI$167*(_xlfn.NORM.DIST(AQ$3,economics!$AK$2:$AK$167,economics!$AJ$2:$AJ$167,TRUE)-_xlfn.NORM.DIST(AQ$30,economics!$AK$2:$AK$167,economics!$AJ$2:$AJ$167,TRUE)))),"")</f>
        <v/>
      </c>
      <c r="AR36">
        <f t="array" ref="AR36">IFERROR((SUMPRODUCT((economics!$AG$2:$AG$167=$B36)*(economics!$D$2:$D$167="process")*economics!$AI$2:$AI$167*(_xlfn.NORM.DIST(AR$3,economics!$AK$2:$AK$167,economics!$AJ$2:$AJ$167,TRUE)-_xlfn.NORM.DIST(AR$30,economics!$AK$2:$AK$167,economics!$AJ$2:$AJ$167,TRUE))*economics!$AM$2:$AM$167))/(SUMPRODUCT((economics!$AG$2:$AG$167=$B36)*(economics!$D$2:$D$167="process")*economics!$AI$2:$AI$167*(_xlfn.NORM.DIST(AR$3,economics!$AK$2:$AK$167,economics!$AJ$2:$AJ$167,TRUE)-_xlfn.NORM.DIST(AR$30,economics!$AK$2:$AK$167,economics!$AJ$2:$AJ$167,TRUE)))),"")</f>
        <v/>
      </c>
      <c r="AS36">
        <f t="array" ref="AS36">IFERROR((SUMPRODUCT((economics!$AG$2:$AG$167=$B36)*(economics!$D$2:$D$167="process")*economics!$AI$2:$AI$167*(_xlfn.NORM.DIST(AS$3,economics!$AK$2:$AK$167,economics!$AJ$2:$AJ$167,TRUE)-_xlfn.NORM.DIST(AS$30,economics!$AK$2:$AK$167,economics!$AJ$2:$AJ$167,TRUE))*economics!$AM$2:$AM$167))/(SUMPRODUCT((economics!$AG$2:$AG$167=$B36)*(economics!$D$2:$D$167="process")*economics!$AI$2:$AI$167*(_xlfn.NORM.DIST(AS$3,economics!$AK$2:$AK$167,economics!$AJ$2:$AJ$167,TRUE)-_xlfn.NORM.DIST(AS$30,economics!$AK$2:$AK$167,economics!$AJ$2:$AJ$167,TRUE)))),"")</f>
        <v/>
      </c>
      <c r="AT36">
        <f t="array" ref="AT36">IFERROR((SUMPRODUCT((economics!$AG$2:$AG$167=$B36)*(economics!$D$2:$D$167="process")*economics!$AI$2:$AI$167*(_xlfn.NORM.DIST(AT$3,economics!$AK$2:$AK$167,economics!$AJ$2:$AJ$167,TRUE)-_xlfn.NORM.DIST(AT$30,economics!$AK$2:$AK$167,economics!$AJ$2:$AJ$167,TRUE))*economics!$AM$2:$AM$167))/(SUMPRODUCT((economics!$AG$2:$AG$167=$B36)*(economics!$D$2:$D$167="process")*economics!$AI$2:$AI$167*(_xlfn.NORM.DIST(AT$3,economics!$AK$2:$AK$167,economics!$AJ$2:$AJ$167,TRUE)-_xlfn.NORM.DIST(AT$30,economics!$AK$2:$AK$167,economics!$AJ$2:$AJ$167,TRUE)))),"")</f>
        <v/>
      </c>
      <c r="AU36">
        <f t="array" ref="AU36">IFERROR((SUMPRODUCT((economics!$AG$2:$AG$167=$B36)*(economics!$D$2:$D$167="process")*economics!$AI$2:$AI$167*(_xlfn.NORM.DIST(AU$3,economics!$AK$2:$AK$167,economics!$AJ$2:$AJ$167,TRUE)-_xlfn.NORM.DIST(AU$30,economics!$AK$2:$AK$167,economics!$AJ$2:$AJ$167,TRUE))*economics!$AM$2:$AM$167))/(SUMPRODUCT((economics!$AG$2:$AG$167=$B36)*(economics!$D$2:$D$167="process")*economics!$AI$2:$AI$167*(_xlfn.NORM.DIST(AU$3,economics!$AK$2:$AK$167,economics!$AJ$2:$AJ$167,TRUE)-_xlfn.NORM.DIST(AU$30,economics!$AK$2:$AK$167,economics!$AJ$2:$AJ$167,TRUE)))),"")</f>
        <v/>
      </c>
      <c r="AV36">
        <f t="array" ref="AV36">IFERROR((SUMPRODUCT((economics!$AG$2:$AG$167=$B36)*(economics!$D$2:$D$167="process")*economics!$AI$2:$AI$167*(_xlfn.NORM.DIST(AV$3,economics!$AK$2:$AK$167,economics!$AJ$2:$AJ$167,TRUE)-_xlfn.NORM.DIST(AV$30,economics!$AK$2:$AK$167,economics!$AJ$2:$AJ$167,TRUE))*economics!$AM$2:$AM$167))/(SUMPRODUCT((economics!$AG$2:$AG$167=$B36)*(economics!$D$2:$D$167="process")*economics!$AI$2:$AI$167*(_xlfn.NORM.DIST(AV$3,economics!$AK$2:$AK$167,economics!$AJ$2:$AJ$167,TRUE)-_xlfn.NORM.DIST(AV$30,economics!$AK$2:$AK$167,economics!$AJ$2:$AJ$167,TRUE)))),"")</f>
        <v/>
      </c>
      <c r="AW36">
        <f t="array" ref="AW36">IFERROR((SUMPRODUCT((economics!$AG$2:$AG$167=$B36)*(economics!$D$2:$D$167="process")*economics!$AI$2:$AI$167*(_xlfn.NORM.DIST(AW$3,economics!$AK$2:$AK$167,economics!$AJ$2:$AJ$167,TRUE)-_xlfn.NORM.DIST(AW$30,economics!$AK$2:$AK$167,economics!$AJ$2:$AJ$167,TRUE))*economics!$AM$2:$AM$167))/(SUMPRODUCT((economics!$AG$2:$AG$167=$B36)*(economics!$D$2:$D$167="process")*economics!$AI$2:$AI$167*(_xlfn.NORM.DIST(AW$3,economics!$AK$2:$AK$167,economics!$AJ$2:$AJ$167,TRUE)-_xlfn.NORM.DIST(AW$30,economics!$AK$2:$AK$167,economics!$AJ$2:$AJ$167,TRUE)))),"")</f>
        <v/>
      </c>
      <c r="AX36">
        <f t="array" ref="AX36">IFERROR((SUMPRODUCT((economics!$AG$2:$AG$167=$B36)*(economics!$D$2:$D$167="process")*economics!$AI$2:$AI$167*(_xlfn.NORM.DIST(AX$3,economics!$AK$2:$AK$167,economics!$AJ$2:$AJ$167,TRUE)-_xlfn.NORM.DIST(AX$30,economics!$AK$2:$AK$167,economics!$AJ$2:$AJ$167,TRUE))*economics!$AM$2:$AM$167))/(SUMPRODUCT((economics!$AG$2:$AG$167=$B36)*(economics!$D$2:$D$167="process")*economics!$AI$2:$AI$167*(_xlfn.NORM.DIST(AX$3,economics!$AK$2:$AK$167,economics!$AJ$2:$AJ$167,TRUE)-_xlfn.NORM.DIST(AX$30,economics!$AK$2:$AK$167,economics!$AJ$2:$AJ$167,TRUE)))),"")</f>
        <v/>
      </c>
      <c r="AY36">
        <f t="array" ref="AY36">IFERROR((SUMPRODUCT((economics!$AG$2:$AG$167=$B36)*(economics!$D$2:$D$167="process")*economics!$AI$2:$AI$167*(_xlfn.NORM.DIST(AY$3,economics!$AK$2:$AK$167,economics!$AJ$2:$AJ$167,TRUE)-_xlfn.NORM.DIST(AY$30,economics!$AK$2:$AK$167,economics!$AJ$2:$AJ$167,TRUE))*economics!$AM$2:$AM$167))/(SUMPRODUCT((economics!$AG$2:$AG$167=$B36)*(economics!$D$2:$D$167="process")*economics!$AI$2:$AI$167*(_xlfn.NORM.DIST(AY$3,economics!$AK$2:$AK$167,economics!$AJ$2:$AJ$167,TRUE)-_xlfn.NORM.DIST(AY$30,economics!$AK$2:$AK$167,economics!$AJ$2:$AJ$167,TRUE)))),"")</f>
        <v/>
      </c>
      <c r="AZ36">
        <f t="array" ref="AZ36">IFERROR((SUMPRODUCT((economics!$AG$2:$AG$167=$B36)*(economics!$D$2:$D$167="process")*economics!$AI$2:$AI$167*(_xlfn.NORM.DIST(AZ$3,economics!$AK$2:$AK$167,economics!$AJ$2:$AJ$167,TRUE)-_xlfn.NORM.DIST(AZ$30,economics!$AK$2:$AK$167,economics!$AJ$2:$AJ$167,TRUE))*economics!$AM$2:$AM$167))/(SUMPRODUCT((economics!$AG$2:$AG$167=$B36)*(economics!$D$2:$D$167="process")*economics!$AI$2:$AI$167*(_xlfn.NORM.DIST(AZ$3,economics!$AK$2:$AK$167,economics!$AJ$2:$AJ$167,TRUE)-_xlfn.NORM.DIST(AZ$30,economics!$AK$2:$AK$167,economics!$AJ$2:$AJ$167,TRUE)))),"")</f>
        <v/>
      </c>
      <c r="BA36">
        <f t="array" ref="BA36">IFERROR((SUMPRODUCT((economics!$AG$2:$AG$167=$B36)*(economics!$D$2:$D$167="process")*economics!$AI$2:$AI$167*(_xlfn.NORM.DIST(BA$3,economics!$AK$2:$AK$167,economics!$AJ$2:$AJ$167,TRUE)-_xlfn.NORM.DIST(BA$30,economics!$AK$2:$AK$167,economics!$AJ$2:$AJ$167,TRUE))*economics!$AM$2:$AM$167))/(SUMPRODUCT((economics!$AG$2:$AG$167=$B36)*(economics!$D$2:$D$167="process")*economics!$AI$2:$AI$167*(_xlfn.NORM.DIST(BA$3,economics!$AK$2:$AK$167,economics!$AJ$2:$AJ$167,TRUE)-_xlfn.NORM.DIST(BA$30,economics!$AK$2:$AK$167,economics!$AJ$2:$AJ$167,TRUE)))),"")</f>
        <v/>
      </c>
      <c r="BB36">
        <f t="array" ref="BB36">IFERROR((SUMPRODUCT((economics!$AG$2:$AG$167=$B36)*(economics!$D$2:$D$167="process")*economics!$AI$2:$AI$167*(_xlfn.NORM.DIST(BB$3,economics!$AK$2:$AK$167,economics!$AJ$2:$AJ$167,TRUE)-_xlfn.NORM.DIST(BB$30,economics!$AK$2:$AK$167,economics!$AJ$2:$AJ$167,TRUE))*economics!$AM$2:$AM$167))/(SUMPRODUCT((economics!$AG$2:$AG$167=$B36)*(economics!$D$2:$D$167="process")*economics!$AI$2:$AI$167*(_xlfn.NORM.DIST(BB$3,economics!$AK$2:$AK$167,economics!$AJ$2:$AJ$167,TRUE)-_xlfn.NORM.DIST(BB$30,economics!$AK$2:$AK$167,economics!$AJ$2:$AJ$167,TRUE)))),"")</f>
        <v/>
      </c>
      <c r="BC36">
        <f t="array" ref="BC36">IFERROR((SUMPRODUCT((economics!$AG$2:$AG$167=$B36)*(economics!$D$2:$D$167="process")*economics!$AI$2:$AI$167*(_xlfn.NORM.DIST(BC$3,economics!$AK$2:$AK$167,economics!$AJ$2:$AJ$167,TRUE)-_xlfn.NORM.DIST(BC$30,economics!$AK$2:$AK$167,economics!$AJ$2:$AJ$167,TRUE))*economics!$AM$2:$AM$167))/(SUMPRODUCT((economics!$AG$2:$AG$167=$B36)*(economics!$D$2:$D$167="process")*economics!$AI$2:$AI$167*(_xlfn.NORM.DIST(BC$3,economics!$AK$2:$AK$167,economics!$AJ$2:$AJ$167,TRUE)-_xlfn.NORM.DIST(BC$30,economics!$AK$2:$AK$167,economics!$AJ$2:$AJ$167,TRUE)))),"")</f>
        <v/>
      </c>
      <c r="BD36">
        <f t="array" ref="BD36">IFERROR((SUMPRODUCT((economics!$AG$2:$AG$167=$B36)*(economics!$D$2:$D$167="process")*economics!$AI$2:$AI$167*(_xlfn.NORM.DIST(BD$3,economics!$AK$2:$AK$167,economics!$AJ$2:$AJ$167,TRUE)-_xlfn.NORM.DIST(BD$30,economics!$AK$2:$AK$167,economics!$AJ$2:$AJ$167,TRUE))*economics!$AM$2:$AM$167))/(SUMPRODUCT((economics!$AG$2:$AG$167=$B36)*(economics!$D$2:$D$167="process")*economics!$AI$2:$AI$167*(_xlfn.NORM.DIST(BD$3,economics!$AK$2:$AK$167,economics!$AJ$2:$AJ$167,TRUE)-_xlfn.NORM.DIST(BD$30,economics!$AK$2:$AK$167,economics!$AJ$2:$AJ$167,TRUE)))),"")</f>
        <v/>
      </c>
      <c r="BE36">
        <f t="array" ref="BE36">IFERROR((SUMPRODUCT((economics!$AG$2:$AG$167=$B36)*(economics!$D$2:$D$167="process")*economics!$AI$2:$AI$167*(_xlfn.NORM.DIST(BE$3,economics!$AK$2:$AK$167,economics!$AJ$2:$AJ$167,TRUE)-_xlfn.NORM.DIST(BE$30,economics!$AK$2:$AK$167,economics!$AJ$2:$AJ$167,TRUE))*economics!$AM$2:$AM$167))/(SUMPRODUCT((economics!$AG$2:$AG$167=$B36)*(economics!$D$2:$D$167="process")*economics!$AI$2:$AI$167*(_xlfn.NORM.DIST(BE$3,economics!$AK$2:$AK$167,economics!$AJ$2:$AJ$167,TRUE)-_xlfn.NORM.DIST(BE$30,economics!$AK$2:$AK$167,economics!$AJ$2:$AJ$167,TRUE)))),"")</f>
        <v/>
      </c>
      <c r="BF36">
        <f t="array" ref="BF36">IFERROR((SUMPRODUCT((economics!$AG$2:$AG$167=$B36)*(economics!$D$2:$D$167="process")*economics!$AI$2:$AI$167*(_xlfn.NORM.DIST(BF$3,economics!$AK$2:$AK$167,economics!$AJ$2:$AJ$167,TRUE)-_xlfn.NORM.DIST(BF$30,economics!$AK$2:$AK$167,economics!$AJ$2:$AJ$167,TRUE))*economics!$AM$2:$AM$167))/(SUMPRODUCT((economics!$AG$2:$AG$167=$B36)*(economics!$D$2:$D$167="process")*economics!$AI$2:$AI$167*(_xlfn.NORM.DIST(BF$3,economics!$AK$2:$AK$167,economics!$AJ$2:$AJ$167,TRUE)-_xlfn.NORM.DIST(BF$30,economics!$AK$2:$AK$167,economics!$AJ$2:$AJ$167,TRUE)))),"")</f>
        <v/>
      </c>
      <c r="BG36">
        <f t="array" ref="BG36">IFERROR((SUMPRODUCT((economics!$AG$2:$AG$167=$B36)*(economics!$D$2:$D$167="process")*economics!$AI$2:$AI$167*(_xlfn.NORM.DIST(BG$3,economics!$AK$2:$AK$167,economics!$AJ$2:$AJ$167,TRUE)-_xlfn.NORM.DIST(BG$30,economics!$AK$2:$AK$167,economics!$AJ$2:$AJ$167,TRUE))*economics!$AM$2:$AM$167))/(SUMPRODUCT((economics!$AG$2:$AG$167=$B36)*(economics!$D$2:$D$167="process")*economics!$AI$2:$AI$167*(_xlfn.NORM.DIST(BG$3,economics!$AK$2:$AK$167,economics!$AJ$2:$AJ$167,TRUE)-_xlfn.NORM.DIST(BG$30,economics!$AK$2:$AK$167,economics!$AJ$2:$AJ$167,TRUE)))),"")</f>
        <v/>
      </c>
      <c r="BH36">
        <f t="array" ref="BH36">IFERROR((SUMPRODUCT((economics!$AG$2:$AG$167=$B36)*(economics!$D$2:$D$167="process")*economics!$AI$2:$AI$167*(_xlfn.NORM.DIST(BH$3,economics!$AK$2:$AK$167,economics!$AJ$2:$AJ$167,TRUE)-_xlfn.NORM.DIST(BH$30,economics!$AK$2:$AK$167,economics!$AJ$2:$AJ$167,TRUE))*economics!$AM$2:$AM$167))/(SUMPRODUCT((economics!$AG$2:$AG$167=$B36)*(economics!$D$2:$D$167="process")*economics!$AI$2:$AI$167*(_xlfn.NORM.DIST(BH$3,economics!$AK$2:$AK$167,economics!$AJ$2:$AJ$167,TRUE)-_xlfn.NORM.DIST(BH$30,economics!$AK$2:$AK$167,economics!$AJ$2:$AJ$167,TRUE)))),"")</f>
        <v/>
      </c>
      <c r="BI36">
        <f t="array" ref="BI36">IFERROR((SUMPRODUCT((economics!$AG$2:$AG$167=$B36)*(economics!$D$2:$D$167="process")*economics!$AI$2:$AI$167*(_xlfn.NORM.DIST(BI$3,economics!$AK$2:$AK$167,economics!$AJ$2:$AJ$167,TRUE)-_xlfn.NORM.DIST(BI$30,economics!$AK$2:$AK$167,economics!$AJ$2:$AJ$167,TRUE))*economics!$AM$2:$AM$167))/(SUMPRODUCT((economics!$AG$2:$AG$167=$B36)*(economics!$D$2:$D$167="process")*economics!$AI$2:$AI$167*(_xlfn.NORM.DIST(BI$3,economics!$AK$2:$AK$167,economics!$AJ$2:$AJ$167,TRUE)-_xlfn.NORM.DIST(BI$30,economics!$AK$2:$AK$167,economics!$AJ$2:$AJ$167,TRUE)))),"")</f>
        <v/>
      </c>
      <c r="BJ36">
        <f t="array" ref="BJ36">IFERROR((SUMPRODUCT((economics!$AG$2:$AG$167=$B36)*(economics!$D$2:$D$167="process")*economics!$AI$2:$AI$167*(_xlfn.NORM.DIST(BJ$3,economics!$AK$2:$AK$167,economics!$AJ$2:$AJ$167,TRUE)-_xlfn.NORM.DIST(BJ$30,economics!$AK$2:$AK$167,economics!$AJ$2:$AJ$167,TRUE))*economics!$AM$2:$AM$167))/(SUMPRODUCT((economics!$AG$2:$AG$167=$B36)*(economics!$D$2:$D$167="process")*economics!$AI$2:$AI$167*(_xlfn.NORM.DIST(BJ$3,economics!$AK$2:$AK$167,economics!$AJ$2:$AJ$167,TRUE)-_xlfn.NORM.DIST(BJ$30,economics!$AK$2:$AK$167,economics!$AJ$2:$AJ$167,TRUE)))),"")</f>
        <v/>
      </c>
      <c r="BK36">
        <f t="array" ref="BK36">IFERROR((SUMPRODUCT((economics!$AG$2:$AG$167=$B36)*(economics!$D$2:$D$167="process")*economics!$AI$2:$AI$167*(_xlfn.NORM.DIST(BK$3,economics!$AK$2:$AK$167,economics!$AJ$2:$AJ$167,TRUE)-_xlfn.NORM.DIST(BK$30,economics!$AK$2:$AK$167,economics!$AJ$2:$AJ$167,TRUE))*economics!$AM$2:$AM$167))/(SUMPRODUCT((economics!$AG$2:$AG$167=$B36)*(economics!$D$2:$D$167="process")*economics!$AI$2:$AI$167*(_xlfn.NORM.DIST(BK$3,economics!$AK$2:$AK$167,economics!$AJ$2:$AJ$167,TRUE)-_xlfn.NORM.DIST(BK$30,economics!$AK$2:$AK$167,economics!$AJ$2:$AJ$167,TRUE)))),"")</f>
        <v/>
      </c>
      <c r="BL36">
        <f t="array" ref="BL36">IFERROR((SUMPRODUCT((economics!$AG$2:$AG$167=$B36)*(economics!$D$2:$D$167="process")*economics!$AI$2:$AI$167*(_xlfn.NORM.DIST(BL$3,economics!$AK$2:$AK$167,economics!$AJ$2:$AJ$167,TRUE)-_xlfn.NORM.DIST(BL$30,economics!$AK$2:$AK$167,economics!$AJ$2:$AJ$167,TRUE))*economics!$AM$2:$AM$167))/(SUMPRODUCT((economics!$AG$2:$AG$167=$B36)*(economics!$D$2:$D$167="process")*economics!$AI$2:$AI$167*(_xlfn.NORM.DIST(BL$3,economics!$AK$2:$AK$167,economics!$AJ$2:$AJ$167,TRUE)-_xlfn.NORM.DIST(BL$30,economics!$AK$2:$AK$167,economics!$AJ$2:$AJ$167,TRUE)))),"")</f>
        <v/>
      </c>
      <c r="BM36">
        <f t="array" ref="BM36">IFERROR((SUMPRODUCT((economics!$AG$2:$AG$167=$B36)*(economics!$D$2:$D$167="process")*economics!$AI$2:$AI$167*(_xlfn.NORM.DIST(BM$3,economics!$AK$2:$AK$167,economics!$AJ$2:$AJ$167,TRUE)-_xlfn.NORM.DIST(BM$30,economics!$AK$2:$AK$167,economics!$AJ$2:$AJ$167,TRUE))*economics!$AM$2:$AM$167))/(SUMPRODUCT((economics!$AG$2:$AG$167=$B36)*(economics!$D$2:$D$167="process")*economics!$AI$2:$AI$167*(_xlfn.NORM.DIST(BM$3,economics!$AK$2:$AK$167,economics!$AJ$2:$AJ$167,TRUE)-_xlfn.NORM.DIST(BM$30,economics!$AK$2:$AK$167,economics!$AJ$2:$AJ$167,TRUE)))),"")</f>
        <v/>
      </c>
      <c r="BN36">
        <f t="array" ref="BN36">IFERROR((SUMPRODUCT((economics!$AG$2:$AG$167=$B36)*(economics!$D$2:$D$167="process")*economics!$AI$2:$AI$167*(_xlfn.NORM.DIST(BN$3,economics!$AK$2:$AK$167,economics!$AJ$2:$AJ$167,TRUE)-_xlfn.NORM.DIST(BN$30,economics!$AK$2:$AK$167,economics!$AJ$2:$AJ$167,TRUE))*economics!$AM$2:$AM$167))/(SUMPRODUCT((economics!$AG$2:$AG$167=$B36)*(economics!$D$2:$D$167="process")*economics!$AI$2:$AI$167*(_xlfn.NORM.DIST(BN$3,economics!$AK$2:$AK$167,economics!$AJ$2:$AJ$167,TRUE)-_xlfn.NORM.DIST(BN$30,economics!$AK$2:$AK$167,economics!$AJ$2:$AJ$167,TRUE)))),"")</f>
        <v/>
      </c>
      <c r="BO36">
        <f t="array" ref="BO36">IFERROR((SUMPRODUCT((economics!$AG$2:$AG$167=$B36)*(economics!$D$2:$D$167="process")*economics!$AI$2:$AI$167*(_xlfn.NORM.DIST(BO$3,economics!$AK$2:$AK$167,economics!$AJ$2:$AJ$167,TRUE)-_xlfn.NORM.DIST(BO$30,economics!$AK$2:$AK$167,economics!$AJ$2:$AJ$167,TRUE))*economics!$AM$2:$AM$167))/(SUMPRODUCT((economics!$AG$2:$AG$167=$B36)*(economics!$D$2:$D$167="process")*economics!$AI$2:$AI$167*(_xlfn.NORM.DIST(BO$3,economics!$AK$2:$AK$167,economics!$AJ$2:$AJ$167,TRUE)-_xlfn.NORM.DIST(BO$30,economics!$AK$2:$AK$167,economics!$AJ$2:$AJ$167,TRUE)))),"")</f>
        <v/>
      </c>
      <c r="BP36">
        <f t="array" ref="BP36">IFERROR((SUMPRODUCT((economics!$AG$2:$AG$167=$B36)*(economics!$D$2:$D$167="process")*economics!$AI$2:$AI$167*(_xlfn.NORM.DIST(BP$3,economics!$AK$2:$AK$167,economics!$AJ$2:$AJ$167,TRUE)-_xlfn.NORM.DIST(BP$30,economics!$AK$2:$AK$167,economics!$AJ$2:$AJ$167,TRUE))*economics!$AM$2:$AM$167))/(SUMPRODUCT((economics!$AG$2:$AG$167=$B36)*(economics!$D$2:$D$167="process")*economics!$AI$2:$AI$167*(_xlfn.NORM.DIST(BP$3,economics!$AK$2:$AK$167,economics!$AJ$2:$AJ$167,TRUE)-_xlfn.NORM.DIST(BP$30,economics!$AK$2:$AK$167,economics!$AJ$2:$AJ$167,TRUE)))),"")</f>
        <v/>
      </c>
      <c r="BQ36">
        <f t="array" ref="BQ36">IFERROR((SUMPRODUCT((economics!$AG$2:$AG$167=$B36)*(economics!$D$2:$D$167="process")*economics!$AI$2:$AI$167*(_xlfn.NORM.DIST(BQ$3,economics!$AK$2:$AK$167,economics!$AJ$2:$AJ$167,TRUE)-_xlfn.NORM.DIST(BQ$30,economics!$AK$2:$AK$167,economics!$AJ$2:$AJ$167,TRUE))*economics!$AM$2:$AM$167))/(SUMPRODUCT((economics!$AG$2:$AG$167=$B36)*(economics!$D$2:$D$167="process")*economics!$AI$2:$AI$167*(_xlfn.NORM.DIST(BQ$3,economics!$AK$2:$AK$167,economics!$AJ$2:$AJ$167,TRUE)-_xlfn.NORM.DIST(BQ$30,economics!$AK$2:$AK$167,economics!$AJ$2:$AJ$167,TRUE)))),"")</f>
        <v/>
      </c>
      <c r="BR36">
        <f t="array" ref="BR36">IFERROR((SUMPRODUCT((economics!$AG$2:$AG$167=$B36)*(economics!$D$2:$D$167="process")*economics!$AI$2:$AI$167*(_xlfn.NORM.DIST(BR$3,economics!$AK$2:$AK$167,economics!$AJ$2:$AJ$167,TRUE)-_xlfn.NORM.DIST(BR$30,economics!$AK$2:$AK$167,economics!$AJ$2:$AJ$167,TRUE))*economics!$AM$2:$AM$167))/(SUMPRODUCT((economics!$AG$2:$AG$167=$B36)*(economics!$D$2:$D$167="process")*economics!$AI$2:$AI$167*(_xlfn.NORM.DIST(BR$3,economics!$AK$2:$AK$167,economics!$AJ$2:$AJ$167,TRUE)-_xlfn.NORM.DIST(BR$30,economics!$AK$2:$AK$167,economics!$AJ$2:$AJ$167,TRUE)))),"")</f>
        <v/>
      </c>
      <c r="BS36">
        <f t="array" ref="BS36">IFERROR((SUMPRODUCT((economics!$AG$2:$AG$167=$B36)*(economics!$D$2:$D$167="process")*economics!$AI$2:$AI$167*(_xlfn.NORM.DIST(BS$3,economics!$AK$2:$AK$167,economics!$AJ$2:$AJ$167,TRUE)-_xlfn.NORM.DIST(BS$30,economics!$AK$2:$AK$167,economics!$AJ$2:$AJ$167,TRUE))*economics!$AM$2:$AM$167))/(SUMPRODUCT((economics!$AG$2:$AG$167=$B36)*(economics!$D$2:$D$167="process")*economics!$AI$2:$AI$167*(_xlfn.NORM.DIST(BS$3,economics!$AK$2:$AK$167,economics!$AJ$2:$AJ$167,TRUE)-_xlfn.NORM.DIST(BS$30,economics!$AK$2:$AK$167,economics!$AJ$2:$AJ$167,TRUE)))),"")</f>
        <v/>
      </c>
      <c r="BT36">
        <f t="array" ref="BT36">IFERROR((SUMPRODUCT((economics!$AG$2:$AG$167=$B36)*(economics!$D$2:$D$167="process")*economics!$AI$2:$AI$167*(_xlfn.NORM.DIST(BT$3,economics!$AK$2:$AK$167,economics!$AJ$2:$AJ$167,TRUE)-_xlfn.NORM.DIST(BT$30,economics!$AK$2:$AK$167,economics!$AJ$2:$AJ$167,TRUE))*economics!$AM$2:$AM$167))/(SUMPRODUCT((economics!$AG$2:$AG$167=$B36)*(economics!$D$2:$D$167="process")*economics!$AI$2:$AI$167*(_xlfn.NORM.DIST(BT$3,economics!$AK$2:$AK$167,economics!$AJ$2:$AJ$167,TRUE)-_xlfn.NORM.DIST(BT$30,economics!$AK$2:$AK$167,economics!$AJ$2:$AJ$167,TRUE)))),"")</f>
        <v/>
      </c>
      <c r="BU36">
        <f t="array" ref="BU36">IFERROR((SUMPRODUCT((economics!$AG$2:$AG$167=$B36)*(economics!$D$2:$D$167="process")*economics!$AI$2:$AI$167*(_xlfn.NORM.DIST(BU$3,economics!$AK$2:$AK$167,economics!$AJ$2:$AJ$167,TRUE)-_xlfn.NORM.DIST(BU$30,economics!$AK$2:$AK$167,economics!$AJ$2:$AJ$167,TRUE))*economics!$AM$2:$AM$167))/(SUMPRODUCT((economics!$AG$2:$AG$167=$B36)*(economics!$D$2:$D$167="process")*economics!$AI$2:$AI$167*(_xlfn.NORM.DIST(BU$3,economics!$AK$2:$AK$167,economics!$AJ$2:$AJ$167,TRUE)-_xlfn.NORM.DIST(BU$30,economics!$AK$2:$AK$167,economics!$AJ$2:$AJ$167,TRUE)))),"")</f>
        <v/>
      </c>
      <c r="BV36">
        <f t="array" ref="BV36">IFERROR((SUMPRODUCT((economics!$AG$2:$AG$167=$B36)*(economics!$D$2:$D$167="process")*economics!$AI$2:$AI$167*(_xlfn.NORM.DIST(BV$3,economics!$AK$2:$AK$167,economics!$AJ$2:$AJ$167,TRUE)-_xlfn.NORM.DIST(BV$30,economics!$AK$2:$AK$167,economics!$AJ$2:$AJ$167,TRUE))*economics!$AM$2:$AM$167))/(SUMPRODUCT((economics!$AG$2:$AG$167=$B36)*(economics!$D$2:$D$167="process")*economics!$AI$2:$AI$167*(_xlfn.NORM.DIST(BV$3,economics!$AK$2:$AK$167,economics!$AJ$2:$AJ$167,TRUE)-_xlfn.NORM.DIST(BV$30,economics!$AK$2:$AK$167,economics!$AJ$2:$AJ$167,TRUE)))),"")</f>
        <v/>
      </c>
      <c r="BW36">
        <f t="array" ref="BW36">IFERROR((SUMPRODUCT((economics!$AG$2:$AG$167=$B36)*(economics!$D$2:$D$167="process")*economics!$AI$2:$AI$167*(_xlfn.NORM.DIST(BW$3,economics!$AK$2:$AK$167,economics!$AJ$2:$AJ$167,TRUE)-_xlfn.NORM.DIST(BW$30,economics!$AK$2:$AK$167,economics!$AJ$2:$AJ$167,TRUE))*economics!$AM$2:$AM$167))/(SUMPRODUCT((economics!$AG$2:$AG$167=$B36)*(economics!$D$2:$D$167="process")*economics!$AI$2:$AI$167*(_xlfn.NORM.DIST(BW$3,economics!$AK$2:$AK$167,economics!$AJ$2:$AJ$167,TRUE)-_xlfn.NORM.DIST(BW$30,economics!$AK$2:$AK$167,economics!$AJ$2:$AJ$167,TRUE)))),"")</f>
        <v/>
      </c>
      <c r="BX36">
        <f t="array" ref="BX36">IFERROR((SUMPRODUCT((economics!$AG$2:$AG$167=$B36)*(economics!$D$2:$D$167="process")*economics!$AI$2:$AI$167*(_xlfn.NORM.DIST(BX$3,economics!$AK$2:$AK$167,economics!$AJ$2:$AJ$167,TRUE)-_xlfn.NORM.DIST(BX$30,economics!$AK$2:$AK$167,economics!$AJ$2:$AJ$167,TRUE))*economics!$AM$2:$AM$167))/(SUMPRODUCT((economics!$AG$2:$AG$167=$B36)*(economics!$D$2:$D$167="process")*economics!$AI$2:$AI$167*(_xlfn.NORM.DIST(BX$3,economics!$AK$2:$AK$167,economics!$AJ$2:$AJ$167,TRUE)-_xlfn.NORM.DIST(BX$30,economics!$AK$2:$AK$167,economics!$AJ$2:$AJ$167,TRUE)))),"")</f>
        <v/>
      </c>
      <c r="BY36">
        <f t="array" ref="BY36">IFERROR((SUMPRODUCT((economics!$AG$2:$AG$167=$B36)*(economics!$D$2:$D$167="process")*economics!$AI$2:$AI$167*(_xlfn.NORM.DIST(BY$3,economics!$AK$2:$AK$167,economics!$AJ$2:$AJ$167,TRUE)-_xlfn.NORM.DIST(BY$30,economics!$AK$2:$AK$167,economics!$AJ$2:$AJ$167,TRUE))*economics!$AM$2:$AM$167))/(SUMPRODUCT((economics!$AG$2:$AG$167=$B36)*(economics!$D$2:$D$167="process")*economics!$AI$2:$AI$167*(_xlfn.NORM.DIST(BY$3,economics!$AK$2:$AK$167,economics!$AJ$2:$AJ$167,TRUE)-_xlfn.NORM.DIST(BY$30,economics!$AK$2:$AK$167,economics!$AJ$2:$AJ$167,TRUE)))),"")</f>
        <v/>
      </c>
      <c r="BZ36">
        <f t="array" ref="BZ36">IFERROR((SUMPRODUCT((economics!$AG$2:$AG$167=$B36)*(economics!$D$2:$D$167="process")*economics!$AI$2:$AI$167*(_xlfn.NORM.DIST(BZ$3,economics!$AK$2:$AK$167,economics!$AJ$2:$AJ$167,TRUE)-_xlfn.NORM.DIST(BZ$30,economics!$AK$2:$AK$167,economics!$AJ$2:$AJ$167,TRUE))*economics!$AM$2:$AM$167))/(SUMPRODUCT((economics!$AG$2:$AG$167=$B36)*(economics!$D$2:$D$167="process")*economics!$AI$2:$AI$167*(_xlfn.NORM.DIST(BZ$3,economics!$AK$2:$AK$167,economics!$AJ$2:$AJ$167,TRUE)-_xlfn.NORM.DIST(BZ$30,economics!$AK$2:$AK$167,economics!$AJ$2:$AJ$167,TRUE)))),"")</f>
        <v/>
      </c>
      <c r="CA36">
        <f t="array" ref="CA36">IFERROR((SUMPRODUCT((economics!$AG$2:$AG$167=$B36)*(economics!$D$2:$D$167="process")*economics!$AI$2:$AI$167*(_xlfn.NORM.DIST(CA$3,economics!$AK$2:$AK$167,economics!$AJ$2:$AJ$167,TRUE)-_xlfn.NORM.DIST(CA$30,economics!$AK$2:$AK$167,economics!$AJ$2:$AJ$167,TRUE))*economics!$AM$2:$AM$167))/(SUMPRODUCT((economics!$AG$2:$AG$167=$B36)*(economics!$D$2:$D$167="process")*economics!$AI$2:$AI$167*(_xlfn.NORM.DIST(CA$3,economics!$AK$2:$AK$167,economics!$AJ$2:$AJ$167,TRUE)-_xlfn.NORM.DIST(CA$30,economics!$AK$2:$AK$167,economics!$AJ$2:$AJ$167,TRUE)))),"")</f>
        <v/>
      </c>
      <c r="CB36">
        <f t="array" ref="CB36">IFERROR((SUMPRODUCT((economics!$AG$2:$AG$167=$B36)*(economics!$D$2:$D$167="process")*economics!$AI$2:$AI$167*(_xlfn.NORM.DIST(CB$3,economics!$AK$2:$AK$167,economics!$AJ$2:$AJ$167,TRUE)-_xlfn.NORM.DIST(CB$30,economics!$AK$2:$AK$167,economics!$AJ$2:$AJ$167,TRUE))*economics!$AM$2:$AM$167))/(SUMPRODUCT((economics!$AG$2:$AG$167=$B36)*(economics!$D$2:$D$167="process")*economics!$AI$2:$AI$167*(_xlfn.NORM.DIST(CB$3,economics!$AK$2:$AK$167,economics!$AJ$2:$AJ$167,TRUE)-_xlfn.NORM.DIST(CB$30,economics!$AK$2:$AK$167,economics!$AJ$2:$AJ$167,TRUE)))),"")</f>
        <v/>
      </c>
      <c r="CC36">
        <f t="array" ref="CC36">IFERROR((SUMPRODUCT((economics!$AG$2:$AG$167=$B36)*(economics!$D$2:$D$167="process")*economics!$AI$2:$AI$167*(_xlfn.NORM.DIST(CC$3,economics!$AK$2:$AK$167,economics!$AJ$2:$AJ$167,TRUE)-_xlfn.NORM.DIST(CC$30,economics!$AK$2:$AK$167,economics!$AJ$2:$AJ$167,TRUE))*economics!$AM$2:$AM$167))/(SUMPRODUCT((economics!$AG$2:$AG$167=$B36)*(economics!$D$2:$D$167="process")*economics!$AI$2:$AI$167*(_xlfn.NORM.DIST(CC$3,economics!$AK$2:$AK$167,economics!$AJ$2:$AJ$167,TRUE)-_xlfn.NORM.DIST(CC$30,economics!$AK$2:$AK$167,economics!$AJ$2:$AJ$167,TRUE)))),"")</f>
        <v/>
      </c>
      <c r="CD36">
        <f t="array" ref="CD36">IFERROR((SUMPRODUCT((economics!$AG$2:$AG$167=$B36)*(economics!$D$2:$D$167="process")*economics!$AI$2:$AI$167*(_xlfn.NORM.DIST(CD$3,economics!$AK$2:$AK$167,economics!$AJ$2:$AJ$167,TRUE)-_xlfn.NORM.DIST(CD$30,economics!$AK$2:$AK$167,economics!$AJ$2:$AJ$167,TRUE))*economics!$AM$2:$AM$167))/(SUMPRODUCT((economics!$AG$2:$AG$167=$B36)*(economics!$D$2:$D$167="process")*economics!$AI$2:$AI$167*(_xlfn.NORM.DIST(CD$3,economics!$AK$2:$AK$167,economics!$AJ$2:$AJ$167,TRUE)-_xlfn.NORM.DIST(CD$30,economics!$AK$2:$AK$167,economics!$AJ$2:$AJ$167,TRUE)))),"")</f>
        <v/>
      </c>
      <c r="CE36">
        <f t="array" ref="CE36">IFERROR((SUMPRODUCT((economics!$AG$2:$AG$167=$B36)*(economics!$D$2:$D$167="process")*economics!$AI$2:$AI$167*(_xlfn.NORM.DIST(CE$3,economics!$AK$2:$AK$167,economics!$AJ$2:$AJ$167,TRUE)-_xlfn.NORM.DIST(CE$30,economics!$AK$2:$AK$167,economics!$AJ$2:$AJ$167,TRUE))*economics!$AM$2:$AM$167))/(SUMPRODUCT((economics!$AG$2:$AG$167=$B36)*(economics!$D$2:$D$167="process")*economics!$AI$2:$AI$167*(_xlfn.NORM.DIST(CE$3,economics!$AK$2:$AK$167,economics!$AJ$2:$AJ$167,TRUE)-_xlfn.NORM.DIST(CE$30,economics!$AK$2:$AK$167,economics!$AJ$2:$AJ$167,TRUE)))),"")</f>
        <v/>
      </c>
      <c r="CF36">
        <f t="array" ref="CF36">IFERROR((SUMPRODUCT((economics!$AG$2:$AG$167=$B36)*(economics!$D$2:$D$167="process")*economics!$AI$2:$AI$167*(_xlfn.NORM.DIST(CF$3,economics!$AK$2:$AK$167,economics!$AJ$2:$AJ$167,TRUE)-_xlfn.NORM.DIST(CF$30,economics!$AK$2:$AK$167,economics!$AJ$2:$AJ$167,TRUE))*economics!$AM$2:$AM$167))/(SUMPRODUCT((economics!$AG$2:$AG$167=$B36)*(economics!$D$2:$D$167="process")*economics!$AI$2:$AI$167*(_xlfn.NORM.DIST(CF$3,economics!$AK$2:$AK$167,economics!$AJ$2:$AJ$167,TRUE)-_xlfn.NORM.DIST(CF$30,economics!$AK$2:$AK$167,economics!$AJ$2:$AJ$167,TRUE)))),"")</f>
        <v/>
      </c>
      <c r="CG36">
        <f t="array" ref="CG36">IFERROR((SUMPRODUCT((economics!$AG$2:$AG$167=$B36)*(economics!$D$2:$D$167="process")*economics!$AI$2:$AI$167*(_xlfn.NORM.DIST(CG$3,economics!$AK$2:$AK$167,economics!$AJ$2:$AJ$167,TRUE)-_xlfn.NORM.DIST(CG$30,economics!$AK$2:$AK$167,economics!$AJ$2:$AJ$167,TRUE))*economics!$AM$2:$AM$167))/(SUMPRODUCT((economics!$AG$2:$AG$167=$B36)*(economics!$D$2:$D$167="process")*economics!$AI$2:$AI$167*(_xlfn.NORM.DIST(CG$3,economics!$AK$2:$AK$167,economics!$AJ$2:$AJ$167,TRUE)-_xlfn.NORM.DIST(CG$30,economics!$AK$2:$AK$167,economics!$AJ$2:$AJ$167,TRUE)))),"")</f>
        <v/>
      </c>
      <c r="CH36">
        <f t="array" ref="CH36">IFERROR((SUMPRODUCT((economics!$AG$2:$AG$167=$B36)*(economics!$D$2:$D$167="process")*economics!$AI$2:$AI$167*(_xlfn.NORM.DIST(CH$3,economics!$AK$2:$AK$167,economics!$AJ$2:$AJ$167,TRUE)-_xlfn.NORM.DIST(CH$30,economics!$AK$2:$AK$167,economics!$AJ$2:$AJ$167,TRUE))*economics!$AM$2:$AM$167))/(SUMPRODUCT((economics!$AG$2:$AG$167=$B36)*(economics!$D$2:$D$167="process")*economics!$AI$2:$AI$167*(_xlfn.NORM.DIST(CH$3,economics!$AK$2:$AK$167,economics!$AJ$2:$AJ$167,TRUE)-_xlfn.NORM.DIST(CH$30,economics!$AK$2:$AK$167,economics!$AJ$2:$AJ$167,TRUE)))),"")</f>
        <v/>
      </c>
    </row>
    <row r="37">
      <c r="A37">
        <f>A8</f>
        <v/>
      </c>
      <c r="B37">
        <f>B8</f>
        <v/>
      </c>
      <c r="E37">
        <f t="array" ref="E37">IFERROR((SUMPRODUCT((economics!$AG$2:$AG$167=$B37)*(economics!$D$2:$D$167="process")*economics!$AI$2:$AI$167*(_xlfn.NORM.DIST(E$3,economics!$AK$2:$AK$167,economics!$AJ$2:$AJ$167,TRUE)-_xlfn.NORM.DIST(E$30,economics!$AK$2:$AK$167,economics!$AJ$2:$AJ$167,TRUE))*economics!$AM$2:$AM$167))/(SUMPRODUCT((economics!$AG$2:$AG$167=$B37)*(economics!$D$2:$D$167="process")*economics!$AI$2:$AI$167*(_xlfn.NORM.DIST(E$3,economics!$AK$2:$AK$167,economics!$AJ$2:$AJ$167,TRUE)-_xlfn.NORM.DIST(E$30,economics!$AK$2:$AK$167,economics!$AJ$2:$AJ$167,TRUE)))),"")</f>
        <v/>
      </c>
      <c r="F37">
        <f t="array" ref="F37">IFERROR((SUMPRODUCT((economics!$AG$2:$AG$167=$B37)*(economics!$D$2:$D$167="process")*economics!$AI$2:$AI$167*(_xlfn.NORM.DIST(F$3,economics!$AK$2:$AK$167,economics!$AJ$2:$AJ$167,TRUE)-_xlfn.NORM.DIST(F$30,economics!$AK$2:$AK$167,economics!$AJ$2:$AJ$167,TRUE))*economics!$AM$2:$AM$167))/(SUMPRODUCT((economics!$AG$2:$AG$167=$B37)*(economics!$D$2:$D$167="process")*economics!$AI$2:$AI$167*(_xlfn.NORM.DIST(F$3,economics!$AK$2:$AK$167,economics!$AJ$2:$AJ$167,TRUE)-_xlfn.NORM.DIST(F$30,economics!$AK$2:$AK$167,economics!$AJ$2:$AJ$167,TRUE)))),"")</f>
        <v/>
      </c>
      <c r="G37">
        <f t="array" ref="G37">IFERROR((SUMPRODUCT((economics!$AG$2:$AG$167=$B37)*(economics!$D$2:$D$167="process")*economics!$AI$2:$AI$167*(_xlfn.NORM.DIST(G$3,economics!$AK$2:$AK$167,economics!$AJ$2:$AJ$167,TRUE)-_xlfn.NORM.DIST(G$30,economics!$AK$2:$AK$167,economics!$AJ$2:$AJ$167,TRUE))*economics!$AM$2:$AM$167))/(SUMPRODUCT((economics!$AG$2:$AG$167=$B37)*(economics!$D$2:$D$167="process")*economics!$AI$2:$AI$167*(_xlfn.NORM.DIST(G$3,economics!$AK$2:$AK$167,economics!$AJ$2:$AJ$167,TRUE)-_xlfn.NORM.DIST(G$30,economics!$AK$2:$AK$167,economics!$AJ$2:$AJ$167,TRUE)))),"")</f>
        <v/>
      </c>
      <c r="H37">
        <f t="array" ref="H37">IFERROR((SUMPRODUCT((economics!$AG$2:$AG$167=$B37)*(economics!$D$2:$D$167="process")*economics!$AI$2:$AI$167*(_xlfn.NORM.DIST(H$3,economics!$AK$2:$AK$167,economics!$AJ$2:$AJ$167,TRUE)-_xlfn.NORM.DIST(H$30,economics!$AK$2:$AK$167,economics!$AJ$2:$AJ$167,TRUE))*economics!$AM$2:$AM$167))/(SUMPRODUCT((economics!$AG$2:$AG$167=$B37)*(economics!$D$2:$D$167="process")*economics!$AI$2:$AI$167*(_xlfn.NORM.DIST(H$3,economics!$AK$2:$AK$167,economics!$AJ$2:$AJ$167,TRUE)-_xlfn.NORM.DIST(H$30,economics!$AK$2:$AK$167,economics!$AJ$2:$AJ$167,TRUE)))),"")</f>
        <v/>
      </c>
      <c r="I37">
        <f t="array" ref="I37">IFERROR((SUMPRODUCT((economics!$AG$2:$AG$167=$B37)*(economics!$D$2:$D$167="process")*economics!$AI$2:$AI$167*(_xlfn.NORM.DIST(I$3,economics!$AK$2:$AK$167,economics!$AJ$2:$AJ$167,TRUE)-_xlfn.NORM.DIST(I$30,economics!$AK$2:$AK$167,economics!$AJ$2:$AJ$167,TRUE))*economics!$AM$2:$AM$167))/(SUMPRODUCT((economics!$AG$2:$AG$167=$B37)*(economics!$D$2:$D$167="process")*economics!$AI$2:$AI$167*(_xlfn.NORM.DIST(I$3,economics!$AK$2:$AK$167,economics!$AJ$2:$AJ$167,TRUE)-_xlfn.NORM.DIST(I$30,economics!$AK$2:$AK$167,economics!$AJ$2:$AJ$167,TRUE)))),"")</f>
        <v/>
      </c>
      <c r="J37">
        <f t="array" ref="J37">IFERROR((SUMPRODUCT((economics!$AG$2:$AG$167=$B37)*(economics!$D$2:$D$167="process")*economics!$AI$2:$AI$167*(_xlfn.NORM.DIST(J$3,economics!$AK$2:$AK$167,economics!$AJ$2:$AJ$167,TRUE)-_xlfn.NORM.DIST(J$30,economics!$AK$2:$AK$167,economics!$AJ$2:$AJ$167,TRUE))*economics!$AM$2:$AM$167))/(SUMPRODUCT((economics!$AG$2:$AG$167=$B37)*(economics!$D$2:$D$167="process")*economics!$AI$2:$AI$167*(_xlfn.NORM.DIST(J$3,economics!$AK$2:$AK$167,economics!$AJ$2:$AJ$167,TRUE)-_xlfn.NORM.DIST(J$30,economics!$AK$2:$AK$167,economics!$AJ$2:$AJ$167,TRUE)))),"")</f>
        <v/>
      </c>
      <c r="K37">
        <f t="array" ref="K37">IFERROR((SUMPRODUCT((economics!$AG$2:$AG$167=$B37)*(economics!$D$2:$D$167="process")*economics!$AI$2:$AI$167*(_xlfn.NORM.DIST(K$3,economics!$AK$2:$AK$167,economics!$AJ$2:$AJ$167,TRUE)-_xlfn.NORM.DIST(K$30,economics!$AK$2:$AK$167,economics!$AJ$2:$AJ$167,TRUE))*economics!$AM$2:$AM$167))/(SUMPRODUCT((economics!$AG$2:$AG$167=$B37)*(economics!$D$2:$D$167="process")*economics!$AI$2:$AI$167*(_xlfn.NORM.DIST(K$3,economics!$AK$2:$AK$167,economics!$AJ$2:$AJ$167,TRUE)-_xlfn.NORM.DIST(K$30,economics!$AK$2:$AK$167,economics!$AJ$2:$AJ$167,TRUE)))),"")</f>
        <v/>
      </c>
      <c r="L37">
        <f t="array" ref="L37">IFERROR((SUMPRODUCT((economics!$AG$2:$AG$167=$B37)*(economics!$D$2:$D$167="process")*economics!$AI$2:$AI$167*(_xlfn.NORM.DIST(L$3,economics!$AK$2:$AK$167,economics!$AJ$2:$AJ$167,TRUE)-_xlfn.NORM.DIST(L$30,economics!$AK$2:$AK$167,economics!$AJ$2:$AJ$167,TRUE))*economics!$AM$2:$AM$167))/(SUMPRODUCT((economics!$AG$2:$AG$167=$B37)*(economics!$D$2:$D$167="process")*economics!$AI$2:$AI$167*(_xlfn.NORM.DIST(L$3,economics!$AK$2:$AK$167,economics!$AJ$2:$AJ$167,TRUE)-_xlfn.NORM.DIST(L$30,economics!$AK$2:$AK$167,economics!$AJ$2:$AJ$167,TRUE)))),"")</f>
        <v/>
      </c>
      <c r="M37">
        <f t="array" ref="M37">IFERROR((SUMPRODUCT((economics!$AG$2:$AG$167=$B37)*(economics!$D$2:$D$167="process")*economics!$AI$2:$AI$167*(_xlfn.NORM.DIST(M$3,economics!$AK$2:$AK$167,economics!$AJ$2:$AJ$167,TRUE)-_xlfn.NORM.DIST(M$30,economics!$AK$2:$AK$167,economics!$AJ$2:$AJ$167,TRUE))*economics!$AM$2:$AM$167))/(SUMPRODUCT((economics!$AG$2:$AG$167=$B37)*(economics!$D$2:$D$167="process")*economics!$AI$2:$AI$167*(_xlfn.NORM.DIST(M$3,economics!$AK$2:$AK$167,economics!$AJ$2:$AJ$167,TRUE)-_xlfn.NORM.DIST(M$30,economics!$AK$2:$AK$167,economics!$AJ$2:$AJ$167,TRUE)))),"")</f>
        <v/>
      </c>
      <c r="N37">
        <f t="array" ref="N37">IFERROR((SUMPRODUCT((economics!$AG$2:$AG$167=$B37)*(economics!$D$2:$D$167="process")*economics!$AI$2:$AI$167*(_xlfn.NORM.DIST(N$3,economics!$AK$2:$AK$167,economics!$AJ$2:$AJ$167,TRUE)-_xlfn.NORM.DIST(N$30,economics!$AK$2:$AK$167,economics!$AJ$2:$AJ$167,TRUE))*economics!$AM$2:$AM$167))/(SUMPRODUCT((economics!$AG$2:$AG$167=$B37)*(economics!$D$2:$D$167="process")*economics!$AI$2:$AI$167*(_xlfn.NORM.DIST(N$3,economics!$AK$2:$AK$167,economics!$AJ$2:$AJ$167,TRUE)-_xlfn.NORM.DIST(N$30,economics!$AK$2:$AK$167,economics!$AJ$2:$AJ$167,TRUE)))),"")</f>
        <v/>
      </c>
      <c r="O37">
        <f t="array" ref="O37">IFERROR((SUMPRODUCT((economics!$AG$2:$AG$167=$B37)*(economics!$D$2:$D$167="process")*economics!$AI$2:$AI$167*(_xlfn.NORM.DIST(O$3,economics!$AK$2:$AK$167,economics!$AJ$2:$AJ$167,TRUE)-_xlfn.NORM.DIST(O$30,economics!$AK$2:$AK$167,economics!$AJ$2:$AJ$167,TRUE))*economics!$AM$2:$AM$167))/(SUMPRODUCT((economics!$AG$2:$AG$167=$B37)*(economics!$D$2:$D$167="process")*economics!$AI$2:$AI$167*(_xlfn.NORM.DIST(O$3,economics!$AK$2:$AK$167,economics!$AJ$2:$AJ$167,TRUE)-_xlfn.NORM.DIST(O$30,economics!$AK$2:$AK$167,economics!$AJ$2:$AJ$167,TRUE)))),"")</f>
        <v/>
      </c>
      <c r="P37">
        <f t="array" ref="P37">IFERROR((SUMPRODUCT((economics!$AG$2:$AG$167=$B37)*(economics!$D$2:$D$167="process")*economics!$AI$2:$AI$167*(_xlfn.NORM.DIST(P$3,economics!$AK$2:$AK$167,economics!$AJ$2:$AJ$167,TRUE)-_xlfn.NORM.DIST(P$30,economics!$AK$2:$AK$167,economics!$AJ$2:$AJ$167,TRUE))*economics!$AM$2:$AM$167))/(SUMPRODUCT((economics!$AG$2:$AG$167=$B37)*(economics!$D$2:$D$167="process")*economics!$AI$2:$AI$167*(_xlfn.NORM.DIST(P$3,economics!$AK$2:$AK$167,economics!$AJ$2:$AJ$167,TRUE)-_xlfn.NORM.DIST(P$30,economics!$AK$2:$AK$167,economics!$AJ$2:$AJ$167,TRUE)))),"")</f>
        <v/>
      </c>
      <c r="Q37">
        <f t="array" ref="Q37">IFERROR((SUMPRODUCT((economics!$AG$2:$AG$167=$B37)*(economics!$D$2:$D$167="process")*economics!$AI$2:$AI$167*(_xlfn.NORM.DIST(Q$3,economics!$AK$2:$AK$167,economics!$AJ$2:$AJ$167,TRUE)-_xlfn.NORM.DIST(Q$30,economics!$AK$2:$AK$167,economics!$AJ$2:$AJ$167,TRUE))*economics!$AM$2:$AM$167))/(SUMPRODUCT((economics!$AG$2:$AG$167=$B37)*(economics!$D$2:$D$167="process")*economics!$AI$2:$AI$167*(_xlfn.NORM.DIST(Q$3,economics!$AK$2:$AK$167,economics!$AJ$2:$AJ$167,TRUE)-_xlfn.NORM.DIST(Q$30,economics!$AK$2:$AK$167,economics!$AJ$2:$AJ$167,TRUE)))),"")</f>
        <v/>
      </c>
      <c r="R37">
        <f t="array" ref="R37">IFERROR((SUMPRODUCT((economics!$AG$2:$AG$167=$B37)*(economics!$D$2:$D$167="process")*economics!$AI$2:$AI$167*(_xlfn.NORM.DIST(R$3,economics!$AK$2:$AK$167,economics!$AJ$2:$AJ$167,TRUE)-_xlfn.NORM.DIST(R$30,economics!$AK$2:$AK$167,economics!$AJ$2:$AJ$167,TRUE))*economics!$AM$2:$AM$167))/(SUMPRODUCT((economics!$AG$2:$AG$167=$B37)*(economics!$D$2:$D$167="process")*economics!$AI$2:$AI$167*(_xlfn.NORM.DIST(R$3,economics!$AK$2:$AK$167,economics!$AJ$2:$AJ$167,TRUE)-_xlfn.NORM.DIST(R$30,economics!$AK$2:$AK$167,economics!$AJ$2:$AJ$167,TRUE)))),"")</f>
        <v/>
      </c>
      <c r="S37">
        <f t="array" ref="S37">IFERROR((SUMPRODUCT((economics!$AG$2:$AG$167=$B37)*(economics!$D$2:$D$167="process")*economics!$AI$2:$AI$167*(_xlfn.NORM.DIST(S$3,economics!$AK$2:$AK$167,economics!$AJ$2:$AJ$167,TRUE)-_xlfn.NORM.DIST(S$30,economics!$AK$2:$AK$167,economics!$AJ$2:$AJ$167,TRUE))*economics!$AM$2:$AM$167))/(SUMPRODUCT((economics!$AG$2:$AG$167=$B37)*(economics!$D$2:$D$167="process")*economics!$AI$2:$AI$167*(_xlfn.NORM.DIST(S$3,economics!$AK$2:$AK$167,economics!$AJ$2:$AJ$167,TRUE)-_xlfn.NORM.DIST(S$30,economics!$AK$2:$AK$167,economics!$AJ$2:$AJ$167,TRUE)))),"")</f>
        <v/>
      </c>
      <c r="T37">
        <f t="array" ref="T37">IFERROR((SUMPRODUCT((economics!$AG$2:$AG$167=$B37)*(economics!$D$2:$D$167="process")*economics!$AI$2:$AI$167*(_xlfn.NORM.DIST(T$3,economics!$AK$2:$AK$167,economics!$AJ$2:$AJ$167,TRUE)-_xlfn.NORM.DIST(T$30,economics!$AK$2:$AK$167,economics!$AJ$2:$AJ$167,TRUE))*economics!$AM$2:$AM$167))/(SUMPRODUCT((economics!$AG$2:$AG$167=$B37)*(economics!$D$2:$D$167="process")*economics!$AI$2:$AI$167*(_xlfn.NORM.DIST(T$3,economics!$AK$2:$AK$167,economics!$AJ$2:$AJ$167,TRUE)-_xlfn.NORM.DIST(T$30,economics!$AK$2:$AK$167,economics!$AJ$2:$AJ$167,TRUE)))),"")</f>
        <v/>
      </c>
      <c r="U37">
        <f t="array" ref="U37">IFERROR((SUMPRODUCT((economics!$AG$2:$AG$167=$B37)*(economics!$D$2:$D$167="process")*economics!$AI$2:$AI$167*(_xlfn.NORM.DIST(U$3,economics!$AK$2:$AK$167,economics!$AJ$2:$AJ$167,TRUE)-_xlfn.NORM.DIST(U$30,economics!$AK$2:$AK$167,economics!$AJ$2:$AJ$167,TRUE))*economics!$AM$2:$AM$167))/(SUMPRODUCT((economics!$AG$2:$AG$167=$B37)*(economics!$D$2:$D$167="process")*economics!$AI$2:$AI$167*(_xlfn.NORM.DIST(U$3,economics!$AK$2:$AK$167,economics!$AJ$2:$AJ$167,TRUE)-_xlfn.NORM.DIST(U$30,economics!$AK$2:$AK$167,economics!$AJ$2:$AJ$167,TRUE)))),"")</f>
        <v/>
      </c>
      <c r="V37">
        <f t="array" ref="V37">IFERROR((SUMPRODUCT((economics!$AG$2:$AG$167=$B37)*(economics!$D$2:$D$167="process")*economics!$AI$2:$AI$167*(_xlfn.NORM.DIST(V$3,economics!$AK$2:$AK$167,economics!$AJ$2:$AJ$167,TRUE)-_xlfn.NORM.DIST(V$30,economics!$AK$2:$AK$167,economics!$AJ$2:$AJ$167,TRUE))*economics!$AM$2:$AM$167))/(SUMPRODUCT((economics!$AG$2:$AG$167=$B37)*(economics!$D$2:$D$167="process")*economics!$AI$2:$AI$167*(_xlfn.NORM.DIST(V$3,economics!$AK$2:$AK$167,economics!$AJ$2:$AJ$167,TRUE)-_xlfn.NORM.DIST(V$30,economics!$AK$2:$AK$167,economics!$AJ$2:$AJ$167,TRUE)))),"")</f>
        <v/>
      </c>
      <c r="W37">
        <f t="array" ref="W37">IFERROR((SUMPRODUCT((economics!$AG$2:$AG$167=$B37)*(economics!$D$2:$D$167="process")*economics!$AI$2:$AI$167*(_xlfn.NORM.DIST(W$3,economics!$AK$2:$AK$167,economics!$AJ$2:$AJ$167,TRUE)-_xlfn.NORM.DIST(W$30,economics!$AK$2:$AK$167,economics!$AJ$2:$AJ$167,TRUE))*economics!$AM$2:$AM$167))/(SUMPRODUCT((economics!$AG$2:$AG$167=$B37)*(economics!$D$2:$D$167="process")*economics!$AI$2:$AI$167*(_xlfn.NORM.DIST(W$3,economics!$AK$2:$AK$167,economics!$AJ$2:$AJ$167,TRUE)-_xlfn.NORM.DIST(W$30,economics!$AK$2:$AK$167,economics!$AJ$2:$AJ$167,TRUE)))),"")</f>
        <v/>
      </c>
      <c r="X37">
        <f t="array" ref="X37">IFERROR((SUMPRODUCT((economics!$AG$2:$AG$167=$B37)*(economics!$D$2:$D$167="process")*economics!$AI$2:$AI$167*(_xlfn.NORM.DIST(X$3,economics!$AK$2:$AK$167,economics!$AJ$2:$AJ$167,TRUE)-_xlfn.NORM.DIST(X$30,economics!$AK$2:$AK$167,economics!$AJ$2:$AJ$167,TRUE))*economics!$AM$2:$AM$167))/(SUMPRODUCT((economics!$AG$2:$AG$167=$B37)*(economics!$D$2:$D$167="process")*economics!$AI$2:$AI$167*(_xlfn.NORM.DIST(X$3,economics!$AK$2:$AK$167,economics!$AJ$2:$AJ$167,TRUE)-_xlfn.NORM.DIST(X$30,economics!$AK$2:$AK$167,economics!$AJ$2:$AJ$167,TRUE)))),"")</f>
        <v/>
      </c>
      <c r="Y37">
        <f t="array" ref="Y37">IFERROR((SUMPRODUCT((economics!$AG$2:$AG$167=$B37)*(economics!$D$2:$D$167="process")*economics!$AI$2:$AI$167*(_xlfn.NORM.DIST(Y$3,economics!$AK$2:$AK$167,economics!$AJ$2:$AJ$167,TRUE)-_xlfn.NORM.DIST(Y$30,economics!$AK$2:$AK$167,economics!$AJ$2:$AJ$167,TRUE))*economics!$AM$2:$AM$167))/(SUMPRODUCT((economics!$AG$2:$AG$167=$B37)*(economics!$D$2:$D$167="process")*economics!$AI$2:$AI$167*(_xlfn.NORM.DIST(Y$3,economics!$AK$2:$AK$167,economics!$AJ$2:$AJ$167,TRUE)-_xlfn.NORM.DIST(Y$30,economics!$AK$2:$AK$167,economics!$AJ$2:$AJ$167,TRUE)))),"")</f>
        <v/>
      </c>
      <c r="Z37">
        <f t="array" ref="Z37">IFERROR((SUMPRODUCT((economics!$AG$2:$AG$167=$B37)*(economics!$D$2:$D$167="process")*economics!$AI$2:$AI$167*(_xlfn.NORM.DIST(Z$3,economics!$AK$2:$AK$167,economics!$AJ$2:$AJ$167,TRUE)-_xlfn.NORM.DIST(Z$30,economics!$AK$2:$AK$167,economics!$AJ$2:$AJ$167,TRUE))*economics!$AM$2:$AM$167))/(SUMPRODUCT((economics!$AG$2:$AG$167=$B37)*(economics!$D$2:$D$167="process")*economics!$AI$2:$AI$167*(_xlfn.NORM.DIST(Z$3,economics!$AK$2:$AK$167,economics!$AJ$2:$AJ$167,TRUE)-_xlfn.NORM.DIST(Z$30,economics!$AK$2:$AK$167,economics!$AJ$2:$AJ$167,TRUE)))),"")</f>
        <v/>
      </c>
      <c r="AA37">
        <f t="array" ref="AA37">IFERROR((SUMPRODUCT((economics!$AG$2:$AG$167=$B37)*(economics!$D$2:$D$167="process")*economics!$AI$2:$AI$167*(_xlfn.NORM.DIST(AA$3,economics!$AK$2:$AK$167,economics!$AJ$2:$AJ$167,TRUE)-_xlfn.NORM.DIST(AA$30,economics!$AK$2:$AK$167,economics!$AJ$2:$AJ$167,TRUE))*economics!$AM$2:$AM$167))/(SUMPRODUCT((economics!$AG$2:$AG$167=$B37)*(economics!$D$2:$D$167="process")*economics!$AI$2:$AI$167*(_xlfn.NORM.DIST(AA$3,economics!$AK$2:$AK$167,economics!$AJ$2:$AJ$167,TRUE)-_xlfn.NORM.DIST(AA$30,economics!$AK$2:$AK$167,economics!$AJ$2:$AJ$167,TRUE)))),"")</f>
        <v/>
      </c>
      <c r="AB37">
        <f t="array" ref="AB37">IFERROR((SUMPRODUCT((economics!$AG$2:$AG$167=$B37)*(economics!$D$2:$D$167="process")*economics!$AI$2:$AI$167*(_xlfn.NORM.DIST(AB$3,economics!$AK$2:$AK$167,economics!$AJ$2:$AJ$167,TRUE)-_xlfn.NORM.DIST(AB$30,economics!$AK$2:$AK$167,economics!$AJ$2:$AJ$167,TRUE))*economics!$AM$2:$AM$167))/(SUMPRODUCT((economics!$AG$2:$AG$167=$B37)*(economics!$D$2:$D$167="process")*economics!$AI$2:$AI$167*(_xlfn.NORM.DIST(AB$3,economics!$AK$2:$AK$167,economics!$AJ$2:$AJ$167,TRUE)-_xlfn.NORM.DIST(AB$30,economics!$AK$2:$AK$167,economics!$AJ$2:$AJ$167,TRUE)))),"")</f>
        <v/>
      </c>
      <c r="AC37">
        <f t="array" ref="AC37">IFERROR((SUMPRODUCT((economics!$AG$2:$AG$167=$B37)*(economics!$D$2:$D$167="process")*economics!$AI$2:$AI$167*(_xlfn.NORM.DIST(AC$3,economics!$AK$2:$AK$167,economics!$AJ$2:$AJ$167,TRUE)-_xlfn.NORM.DIST(AC$30,economics!$AK$2:$AK$167,economics!$AJ$2:$AJ$167,TRUE))*economics!$AM$2:$AM$167))/(SUMPRODUCT((economics!$AG$2:$AG$167=$B37)*(economics!$D$2:$D$167="process")*economics!$AI$2:$AI$167*(_xlfn.NORM.DIST(AC$3,economics!$AK$2:$AK$167,economics!$AJ$2:$AJ$167,TRUE)-_xlfn.NORM.DIST(AC$30,economics!$AK$2:$AK$167,economics!$AJ$2:$AJ$167,TRUE)))),"")</f>
        <v/>
      </c>
      <c r="AD37">
        <f t="array" ref="AD37">IFERROR((SUMPRODUCT((economics!$AG$2:$AG$167=$B37)*(economics!$D$2:$D$167="process")*economics!$AI$2:$AI$167*(_xlfn.NORM.DIST(AD$3,economics!$AK$2:$AK$167,economics!$AJ$2:$AJ$167,TRUE)-_xlfn.NORM.DIST(AD$30,economics!$AK$2:$AK$167,economics!$AJ$2:$AJ$167,TRUE))*economics!$AM$2:$AM$167))/(SUMPRODUCT((economics!$AG$2:$AG$167=$B37)*(economics!$D$2:$D$167="process")*economics!$AI$2:$AI$167*(_xlfn.NORM.DIST(AD$3,economics!$AK$2:$AK$167,economics!$AJ$2:$AJ$167,TRUE)-_xlfn.NORM.DIST(AD$30,economics!$AK$2:$AK$167,economics!$AJ$2:$AJ$167,TRUE)))),"")</f>
        <v/>
      </c>
      <c r="AE37">
        <f t="array" ref="AE37">IFERROR((SUMPRODUCT((economics!$AG$2:$AG$167=$B37)*(economics!$D$2:$D$167="process")*economics!$AI$2:$AI$167*(_xlfn.NORM.DIST(AE$3,economics!$AK$2:$AK$167,economics!$AJ$2:$AJ$167,TRUE)-_xlfn.NORM.DIST(AE$30,economics!$AK$2:$AK$167,economics!$AJ$2:$AJ$167,TRUE))*economics!$AM$2:$AM$167))/(SUMPRODUCT((economics!$AG$2:$AG$167=$B37)*(economics!$D$2:$D$167="process")*economics!$AI$2:$AI$167*(_xlfn.NORM.DIST(AE$3,economics!$AK$2:$AK$167,economics!$AJ$2:$AJ$167,TRUE)-_xlfn.NORM.DIST(AE$30,economics!$AK$2:$AK$167,economics!$AJ$2:$AJ$167,TRUE)))),"")</f>
        <v/>
      </c>
      <c r="AF37">
        <f t="array" ref="AF37">IFERROR((SUMPRODUCT((economics!$AG$2:$AG$167=$B37)*(economics!$D$2:$D$167="process")*economics!$AI$2:$AI$167*(_xlfn.NORM.DIST(AF$3,economics!$AK$2:$AK$167,economics!$AJ$2:$AJ$167,TRUE)-_xlfn.NORM.DIST(AF$30,economics!$AK$2:$AK$167,economics!$AJ$2:$AJ$167,TRUE))*economics!$AM$2:$AM$167))/(SUMPRODUCT((economics!$AG$2:$AG$167=$B37)*(economics!$D$2:$D$167="process")*economics!$AI$2:$AI$167*(_xlfn.NORM.DIST(AF$3,economics!$AK$2:$AK$167,economics!$AJ$2:$AJ$167,TRUE)-_xlfn.NORM.DIST(AF$30,economics!$AK$2:$AK$167,economics!$AJ$2:$AJ$167,TRUE)))),"")</f>
        <v/>
      </c>
      <c r="AG37">
        <f t="array" ref="AG37">IFERROR((SUMPRODUCT((economics!$AG$2:$AG$167=$B37)*(economics!$D$2:$D$167="process")*economics!$AI$2:$AI$167*(_xlfn.NORM.DIST(AG$3,economics!$AK$2:$AK$167,economics!$AJ$2:$AJ$167,TRUE)-_xlfn.NORM.DIST(AG$30,economics!$AK$2:$AK$167,economics!$AJ$2:$AJ$167,TRUE))*economics!$AM$2:$AM$167))/(SUMPRODUCT((economics!$AG$2:$AG$167=$B37)*(economics!$D$2:$D$167="process")*economics!$AI$2:$AI$167*(_xlfn.NORM.DIST(AG$3,economics!$AK$2:$AK$167,economics!$AJ$2:$AJ$167,TRUE)-_xlfn.NORM.DIST(AG$30,economics!$AK$2:$AK$167,economics!$AJ$2:$AJ$167,TRUE)))),"")</f>
        <v/>
      </c>
      <c r="AH37">
        <f t="array" ref="AH37">IFERROR((SUMPRODUCT((economics!$AG$2:$AG$167=$B37)*(economics!$D$2:$D$167="process")*economics!$AI$2:$AI$167*(_xlfn.NORM.DIST(AH$3,economics!$AK$2:$AK$167,economics!$AJ$2:$AJ$167,TRUE)-_xlfn.NORM.DIST(AH$30,economics!$AK$2:$AK$167,economics!$AJ$2:$AJ$167,TRUE))*economics!$AM$2:$AM$167))/(SUMPRODUCT((economics!$AG$2:$AG$167=$B37)*(economics!$D$2:$D$167="process")*economics!$AI$2:$AI$167*(_xlfn.NORM.DIST(AH$3,economics!$AK$2:$AK$167,economics!$AJ$2:$AJ$167,TRUE)-_xlfn.NORM.DIST(AH$30,economics!$AK$2:$AK$167,economics!$AJ$2:$AJ$167,TRUE)))),"")</f>
        <v/>
      </c>
      <c r="AI37">
        <f t="array" ref="AI37">IFERROR((SUMPRODUCT((economics!$AG$2:$AG$167=$B37)*(economics!$D$2:$D$167="process")*economics!$AI$2:$AI$167*(_xlfn.NORM.DIST(AI$3,economics!$AK$2:$AK$167,economics!$AJ$2:$AJ$167,TRUE)-_xlfn.NORM.DIST(AI$30,economics!$AK$2:$AK$167,economics!$AJ$2:$AJ$167,TRUE))*economics!$AM$2:$AM$167))/(SUMPRODUCT((economics!$AG$2:$AG$167=$B37)*(economics!$D$2:$D$167="process")*economics!$AI$2:$AI$167*(_xlfn.NORM.DIST(AI$3,economics!$AK$2:$AK$167,economics!$AJ$2:$AJ$167,TRUE)-_xlfn.NORM.DIST(AI$30,economics!$AK$2:$AK$167,economics!$AJ$2:$AJ$167,TRUE)))),"")</f>
        <v/>
      </c>
      <c r="AJ37">
        <f t="array" ref="AJ37">IFERROR((SUMPRODUCT((economics!$AG$2:$AG$167=$B37)*(economics!$D$2:$D$167="process")*economics!$AI$2:$AI$167*(_xlfn.NORM.DIST(AJ$3,economics!$AK$2:$AK$167,economics!$AJ$2:$AJ$167,TRUE)-_xlfn.NORM.DIST(AJ$30,economics!$AK$2:$AK$167,economics!$AJ$2:$AJ$167,TRUE))*economics!$AM$2:$AM$167))/(SUMPRODUCT((economics!$AG$2:$AG$167=$B37)*(economics!$D$2:$D$167="process")*economics!$AI$2:$AI$167*(_xlfn.NORM.DIST(AJ$3,economics!$AK$2:$AK$167,economics!$AJ$2:$AJ$167,TRUE)-_xlfn.NORM.DIST(AJ$30,economics!$AK$2:$AK$167,economics!$AJ$2:$AJ$167,TRUE)))),"")</f>
        <v/>
      </c>
      <c r="AK37">
        <f t="array" ref="AK37">IFERROR((SUMPRODUCT((economics!$AG$2:$AG$167=$B37)*(economics!$D$2:$D$167="process")*economics!$AI$2:$AI$167*(_xlfn.NORM.DIST(AK$3,economics!$AK$2:$AK$167,economics!$AJ$2:$AJ$167,TRUE)-_xlfn.NORM.DIST(AK$30,economics!$AK$2:$AK$167,economics!$AJ$2:$AJ$167,TRUE))*economics!$AM$2:$AM$167))/(SUMPRODUCT((economics!$AG$2:$AG$167=$B37)*(economics!$D$2:$D$167="process")*economics!$AI$2:$AI$167*(_xlfn.NORM.DIST(AK$3,economics!$AK$2:$AK$167,economics!$AJ$2:$AJ$167,TRUE)-_xlfn.NORM.DIST(AK$30,economics!$AK$2:$AK$167,economics!$AJ$2:$AJ$167,TRUE)))),"")</f>
        <v/>
      </c>
      <c r="AL37">
        <f t="array" ref="AL37">IFERROR((SUMPRODUCT((economics!$AG$2:$AG$167=$B37)*(economics!$D$2:$D$167="process")*economics!$AI$2:$AI$167*(_xlfn.NORM.DIST(AL$3,economics!$AK$2:$AK$167,economics!$AJ$2:$AJ$167,TRUE)-_xlfn.NORM.DIST(AL$30,economics!$AK$2:$AK$167,economics!$AJ$2:$AJ$167,TRUE))*economics!$AM$2:$AM$167))/(SUMPRODUCT((economics!$AG$2:$AG$167=$B37)*(economics!$D$2:$D$167="process")*economics!$AI$2:$AI$167*(_xlfn.NORM.DIST(AL$3,economics!$AK$2:$AK$167,economics!$AJ$2:$AJ$167,TRUE)-_xlfn.NORM.DIST(AL$30,economics!$AK$2:$AK$167,economics!$AJ$2:$AJ$167,TRUE)))),"")</f>
        <v/>
      </c>
      <c r="AM37">
        <f t="array" ref="AM37">IFERROR((SUMPRODUCT((economics!$AG$2:$AG$167=$B37)*(economics!$D$2:$D$167="process")*economics!$AI$2:$AI$167*(_xlfn.NORM.DIST(AM$3,economics!$AK$2:$AK$167,economics!$AJ$2:$AJ$167,TRUE)-_xlfn.NORM.DIST(AM$30,economics!$AK$2:$AK$167,economics!$AJ$2:$AJ$167,TRUE))*economics!$AM$2:$AM$167))/(SUMPRODUCT((economics!$AG$2:$AG$167=$B37)*(economics!$D$2:$D$167="process")*economics!$AI$2:$AI$167*(_xlfn.NORM.DIST(AM$3,economics!$AK$2:$AK$167,economics!$AJ$2:$AJ$167,TRUE)-_xlfn.NORM.DIST(AM$30,economics!$AK$2:$AK$167,economics!$AJ$2:$AJ$167,TRUE)))),"")</f>
        <v/>
      </c>
      <c r="AN37">
        <f t="array" ref="AN37">IFERROR((SUMPRODUCT((economics!$AG$2:$AG$167=$B37)*(economics!$D$2:$D$167="process")*economics!$AI$2:$AI$167*(_xlfn.NORM.DIST(AN$3,economics!$AK$2:$AK$167,economics!$AJ$2:$AJ$167,TRUE)-_xlfn.NORM.DIST(AN$30,economics!$AK$2:$AK$167,economics!$AJ$2:$AJ$167,TRUE))*economics!$AM$2:$AM$167))/(SUMPRODUCT((economics!$AG$2:$AG$167=$B37)*(economics!$D$2:$D$167="process")*economics!$AI$2:$AI$167*(_xlfn.NORM.DIST(AN$3,economics!$AK$2:$AK$167,economics!$AJ$2:$AJ$167,TRUE)-_xlfn.NORM.DIST(AN$30,economics!$AK$2:$AK$167,economics!$AJ$2:$AJ$167,TRUE)))),"")</f>
        <v/>
      </c>
      <c r="AO37">
        <f t="array" ref="AO37">IFERROR((SUMPRODUCT((economics!$AG$2:$AG$167=$B37)*(economics!$D$2:$D$167="process")*economics!$AI$2:$AI$167*(_xlfn.NORM.DIST(AO$3,economics!$AK$2:$AK$167,economics!$AJ$2:$AJ$167,TRUE)-_xlfn.NORM.DIST(AO$30,economics!$AK$2:$AK$167,economics!$AJ$2:$AJ$167,TRUE))*economics!$AM$2:$AM$167))/(SUMPRODUCT((economics!$AG$2:$AG$167=$B37)*(economics!$D$2:$D$167="process")*economics!$AI$2:$AI$167*(_xlfn.NORM.DIST(AO$3,economics!$AK$2:$AK$167,economics!$AJ$2:$AJ$167,TRUE)-_xlfn.NORM.DIST(AO$30,economics!$AK$2:$AK$167,economics!$AJ$2:$AJ$167,TRUE)))),"")</f>
        <v/>
      </c>
      <c r="AP37">
        <f t="array" ref="AP37">IFERROR((SUMPRODUCT((economics!$AG$2:$AG$167=$B37)*(economics!$D$2:$D$167="process")*economics!$AI$2:$AI$167*(_xlfn.NORM.DIST(AP$3,economics!$AK$2:$AK$167,economics!$AJ$2:$AJ$167,TRUE)-_xlfn.NORM.DIST(AP$30,economics!$AK$2:$AK$167,economics!$AJ$2:$AJ$167,TRUE))*economics!$AM$2:$AM$167))/(SUMPRODUCT((economics!$AG$2:$AG$167=$B37)*(economics!$D$2:$D$167="process")*economics!$AI$2:$AI$167*(_xlfn.NORM.DIST(AP$3,economics!$AK$2:$AK$167,economics!$AJ$2:$AJ$167,TRUE)-_xlfn.NORM.DIST(AP$30,economics!$AK$2:$AK$167,economics!$AJ$2:$AJ$167,TRUE)))),"")</f>
        <v/>
      </c>
      <c r="AQ37">
        <f t="array" ref="AQ37">IFERROR((SUMPRODUCT((economics!$AG$2:$AG$167=$B37)*(economics!$D$2:$D$167="process")*economics!$AI$2:$AI$167*(_xlfn.NORM.DIST(AQ$3,economics!$AK$2:$AK$167,economics!$AJ$2:$AJ$167,TRUE)-_xlfn.NORM.DIST(AQ$30,economics!$AK$2:$AK$167,economics!$AJ$2:$AJ$167,TRUE))*economics!$AM$2:$AM$167))/(SUMPRODUCT((economics!$AG$2:$AG$167=$B37)*(economics!$D$2:$D$167="process")*economics!$AI$2:$AI$167*(_xlfn.NORM.DIST(AQ$3,economics!$AK$2:$AK$167,economics!$AJ$2:$AJ$167,TRUE)-_xlfn.NORM.DIST(AQ$30,economics!$AK$2:$AK$167,economics!$AJ$2:$AJ$167,TRUE)))),"")</f>
        <v/>
      </c>
      <c r="AR37">
        <f t="array" ref="AR37">IFERROR((SUMPRODUCT((economics!$AG$2:$AG$167=$B37)*(economics!$D$2:$D$167="process")*economics!$AI$2:$AI$167*(_xlfn.NORM.DIST(AR$3,economics!$AK$2:$AK$167,economics!$AJ$2:$AJ$167,TRUE)-_xlfn.NORM.DIST(AR$30,economics!$AK$2:$AK$167,economics!$AJ$2:$AJ$167,TRUE))*economics!$AM$2:$AM$167))/(SUMPRODUCT((economics!$AG$2:$AG$167=$B37)*(economics!$D$2:$D$167="process")*economics!$AI$2:$AI$167*(_xlfn.NORM.DIST(AR$3,economics!$AK$2:$AK$167,economics!$AJ$2:$AJ$167,TRUE)-_xlfn.NORM.DIST(AR$30,economics!$AK$2:$AK$167,economics!$AJ$2:$AJ$167,TRUE)))),"")</f>
        <v/>
      </c>
      <c r="AS37">
        <f t="array" ref="AS37">IFERROR((SUMPRODUCT((economics!$AG$2:$AG$167=$B37)*(economics!$D$2:$D$167="process")*economics!$AI$2:$AI$167*(_xlfn.NORM.DIST(AS$3,economics!$AK$2:$AK$167,economics!$AJ$2:$AJ$167,TRUE)-_xlfn.NORM.DIST(AS$30,economics!$AK$2:$AK$167,economics!$AJ$2:$AJ$167,TRUE))*economics!$AM$2:$AM$167))/(SUMPRODUCT((economics!$AG$2:$AG$167=$B37)*(economics!$D$2:$D$167="process")*economics!$AI$2:$AI$167*(_xlfn.NORM.DIST(AS$3,economics!$AK$2:$AK$167,economics!$AJ$2:$AJ$167,TRUE)-_xlfn.NORM.DIST(AS$30,economics!$AK$2:$AK$167,economics!$AJ$2:$AJ$167,TRUE)))),"")</f>
        <v/>
      </c>
      <c r="AT37">
        <f t="array" ref="AT37">IFERROR((SUMPRODUCT((economics!$AG$2:$AG$167=$B37)*(economics!$D$2:$D$167="process")*economics!$AI$2:$AI$167*(_xlfn.NORM.DIST(AT$3,economics!$AK$2:$AK$167,economics!$AJ$2:$AJ$167,TRUE)-_xlfn.NORM.DIST(AT$30,economics!$AK$2:$AK$167,economics!$AJ$2:$AJ$167,TRUE))*economics!$AM$2:$AM$167))/(SUMPRODUCT((economics!$AG$2:$AG$167=$B37)*(economics!$D$2:$D$167="process")*economics!$AI$2:$AI$167*(_xlfn.NORM.DIST(AT$3,economics!$AK$2:$AK$167,economics!$AJ$2:$AJ$167,TRUE)-_xlfn.NORM.DIST(AT$30,economics!$AK$2:$AK$167,economics!$AJ$2:$AJ$167,TRUE)))),"")</f>
        <v/>
      </c>
      <c r="AU37">
        <f t="array" ref="AU37">IFERROR((SUMPRODUCT((economics!$AG$2:$AG$167=$B37)*(economics!$D$2:$D$167="process")*economics!$AI$2:$AI$167*(_xlfn.NORM.DIST(AU$3,economics!$AK$2:$AK$167,economics!$AJ$2:$AJ$167,TRUE)-_xlfn.NORM.DIST(AU$30,economics!$AK$2:$AK$167,economics!$AJ$2:$AJ$167,TRUE))*economics!$AM$2:$AM$167))/(SUMPRODUCT((economics!$AG$2:$AG$167=$B37)*(economics!$D$2:$D$167="process")*economics!$AI$2:$AI$167*(_xlfn.NORM.DIST(AU$3,economics!$AK$2:$AK$167,economics!$AJ$2:$AJ$167,TRUE)-_xlfn.NORM.DIST(AU$30,economics!$AK$2:$AK$167,economics!$AJ$2:$AJ$167,TRUE)))),"")</f>
        <v/>
      </c>
      <c r="AV37">
        <f t="array" ref="AV37">IFERROR((SUMPRODUCT((economics!$AG$2:$AG$167=$B37)*(economics!$D$2:$D$167="process")*economics!$AI$2:$AI$167*(_xlfn.NORM.DIST(AV$3,economics!$AK$2:$AK$167,economics!$AJ$2:$AJ$167,TRUE)-_xlfn.NORM.DIST(AV$30,economics!$AK$2:$AK$167,economics!$AJ$2:$AJ$167,TRUE))*economics!$AM$2:$AM$167))/(SUMPRODUCT((economics!$AG$2:$AG$167=$B37)*(economics!$D$2:$D$167="process")*economics!$AI$2:$AI$167*(_xlfn.NORM.DIST(AV$3,economics!$AK$2:$AK$167,economics!$AJ$2:$AJ$167,TRUE)-_xlfn.NORM.DIST(AV$30,economics!$AK$2:$AK$167,economics!$AJ$2:$AJ$167,TRUE)))),"")</f>
        <v/>
      </c>
      <c r="AW37">
        <f t="array" ref="AW37">IFERROR((SUMPRODUCT((economics!$AG$2:$AG$167=$B37)*(economics!$D$2:$D$167="process")*economics!$AI$2:$AI$167*(_xlfn.NORM.DIST(AW$3,economics!$AK$2:$AK$167,economics!$AJ$2:$AJ$167,TRUE)-_xlfn.NORM.DIST(AW$30,economics!$AK$2:$AK$167,economics!$AJ$2:$AJ$167,TRUE))*economics!$AM$2:$AM$167))/(SUMPRODUCT((economics!$AG$2:$AG$167=$B37)*(economics!$D$2:$D$167="process")*economics!$AI$2:$AI$167*(_xlfn.NORM.DIST(AW$3,economics!$AK$2:$AK$167,economics!$AJ$2:$AJ$167,TRUE)-_xlfn.NORM.DIST(AW$30,economics!$AK$2:$AK$167,economics!$AJ$2:$AJ$167,TRUE)))),"")</f>
        <v/>
      </c>
      <c r="AX37">
        <f t="array" ref="AX37">IFERROR((SUMPRODUCT((economics!$AG$2:$AG$167=$B37)*(economics!$D$2:$D$167="process")*economics!$AI$2:$AI$167*(_xlfn.NORM.DIST(AX$3,economics!$AK$2:$AK$167,economics!$AJ$2:$AJ$167,TRUE)-_xlfn.NORM.DIST(AX$30,economics!$AK$2:$AK$167,economics!$AJ$2:$AJ$167,TRUE))*economics!$AM$2:$AM$167))/(SUMPRODUCT((economics!$AG$2:$AG$167=$B37)*(economics!$D$2:$D$167="process")*economics!$AI$2:$AI$167*(_xlfn.NORM.DIST(AX$3,economics!$AK$2:$AK$167,economics!$AJ$2:$AJ$167,TRUE)-_xlfn.NORM.DIST(AX$30,economics!$AK$2:$AK$167,economics!$AJ$2:$AJ$167,TRUE)))),"")</f>
        <v/>
      </c>
      <c r="AY37">
        <f t="array" ref="AY37">IFERROR((SUMPRODUCT((economics!$AG$2:$AG$167=$B37)*(economics!$D$2:$D$167="process")*economics!$AI$2:$AI$167*(_xlfn.NORM.DIST(AY$3,economics!$AK$2:$AK$167,economics!$AJ$2:$AJ$167,TRUE)-_xlfn.NORM.DIST(AY$30,economics!$AK$2:$AK$167,economics!$AJ$2:$AJ$167,TRUE))*economics!$AM$2:$AM$167))/(SUMPRODUCT((economics!$AG$2:$AG$167=$B37)*(economics!$D$2:$D$167="process")*economics!$AI$2:$AI$167*(_xlfn.NORM.DIST(AY$3,economics!$AK$2:$AK$167,economics!$AJ$2:$AJ$167,TRUE)-_xlfn.NORM.DIST(AY$30,economics!$AK$2:$AK$167,economics!$AJ$2:$AJ$167,TRUE)))),"")</f>
        <v/>
      </c>
      <c r="AZ37">
        <f t="array" ref="AZ37">IFERROR((SUMPRODUCT((economics!$AG$2:$AG$167=$B37)*(economics!$D$2:$D$167="process")*economics!$AI$2:$AI$167*(_xlfn.NORM.DIST(AZ$3,economics!$AK$2:$AK$167,economics!$AJ$2:$AJ$167,TRUE)-_xlfn.NORM.DIST(AZ$30,economics!$AK$2:$AK$167,economics!$AJ$2:$AJ$167,TRUE))*economics!$AM$2:$AM$167))/(SUMPRODUCT((economics!$AG$2:$AG$167=$B37)*(economics!$D$2:$D$167="process")*economics!$AI$2:$AI$167*(_xlfn.NORM.DIST(AZ$3,economics!$AK$2:$AK$167,economics!$AJ$2:$AJ$167,TRUE)-_xlfn.NORM.DIST(AZ$30,economics!$AK$2:$AK$167,economics!$AJ$2:$AJ$167,TRUE)))),"")</f>
        <v/>
      </c>
      <c r="BA37">
        <f t="array" ref="BA37">IFERROR((SUMPRODUCT((economics!$AG$2:$AG$167=$B37)*(economics!$D$2:$D$167="process")*economics!$AI$2:$AI$167*(_xlfn.NORM.DIST(BA$3,economics!$AK$2:$AK$167,economics!$AJ$2:$AJ$167,TRUE)-_xlfn.NORM.DIST(BA$30,economics!$AK$2:$AK$167,economics!$AJ$2:$AJ$167,TRUE))*economics!$AM$2:$AM$167))/(SUMPRODUCT((economics!$AG$2:$AG$167=$B37)*(economics!$D$2:$D$167="process")*economics!$AI$2:$AI$167*(_xlfn.NORM.DIST(BA$3,economics!$AK$2:$AK$167,economics!$AJ$2:$AJ$167,TRUE)-_xlfn.NORM.DIST(BA$30,economics!$AK$2:$AK$167,economics!$AJ$2:$AJ$167,TRUE)))),"")</f>
        <v/>
      </c>
      <c r="BB37">
        <f t="array" ref="BB37">IFERROR((SUMPRODUCT((economics!$AG$2:$AG$167=$B37)*(economics!$D$2:$D$167="process")*economics!$AI$2:$AI$167*(_xlfn.NORM.DIST(BB$3,economics!$AK$2:$AK$167,economics!$AJ$2:$AJ$167,TRUE)-_xlfn.NORM.DIST(BB$30,economics!$AK$2:$AK$167,economics!$AJ$2:$AJ$167,TRUE))*economics!$AM$2:$AM$167))/(SUMPRODUCT((economics!$AG$2:$AG$167=$B37)*(economics!$D$2:$D$167="process")*economics!$AI$2:$AI$167*(_xlfn.NORM.DIST(BB$3,economics!$AK$2:$AK$167,economics!$AJ$2:$AJ$167,TRUE)-_xlfn.NORM.DIST(BB$30,economics!$AK$2:$AK$167,economics!$AJ$2:$AJ$167,TRUE)))),"")</f>
        <v/>
      </c>
      <c r="BC37">
        <f t="array" ref="BC37">IFERROR((SUMPRODUCT((economics!$AG$2:$AG$167=$B37)*(economics!$D$2:$D$167="process")*economics!$AI$2:$AI$167*(_xlfn.NORM.DIST(BC$3,economics!$AK$2:$AK$167,economics!$AJ$2:$AJ$167,TRUE)-_xlfn.NORM.DIST(BC$30,economics!$AK$2:$AK$167,economics!$AJ$2:$AJ$167,TRUE))*economics!$AM$2:$AM$167))/(SUMPRODUCT((economics!$AG$2:$AG$167=$B37)*(economics!$D$2:$D$167="process")*economics!$AI$2:$AI$167*(_xlfn.NORM.DIST(BC$3,economics!$AK$2:$AK$167,economics!$AJ$2:$AJ$167,TRUE)-_xlfn.NORM.DIST(BC$30,economics!$AK$2:$AK$167,economics!$AJ$2:$AJ$167,TRUE)))),"")</f>
        <v/>
      </c>
      <c r="BD37">
        <f t="array" ref="BD37">IFERROR((SUMPRODUCT((economics!$AG$2:$AG$167=$B37)*(economics!$D$2:$D$167="process")*economics!$AI$2:$AI$167*(_xlfn.NORM.DIST(BD$3,economics!$AK$2:$AK$167,economics!$AJ$2:$AJ$167,TRUE)-_xlfn.NORM.DIST(BD$30,economics!$AK$2:$AK$167,economics!$AJ$2:$AJ$167,TRUE))*economics!$AM$2:$AM$167))/(SUMPRODUCT((economics!$AG$2:$AG$167=$B37)*(economics!$D$2:$D$167="process")*economics!$AI$2:$AI$167*(_xlfn.NORM.DIST(BD$3,economics!$AK$2:$AK$167,economics!$AJ$2:$AJ$167,TRUE)-_xlfn.NORM.DIST(BD$30,economics!$AK$2:$AK$167,economics!$AJ$2:$AJ$167,TRUE)))),"")</f>
        <v/>
      </c>
      <c r="BE37">
        <f t="array" ref="BE37">IFERROR((SUMPRODUCT((economics!$AG$2:$AG$167=$B37)*(economics!$D$2:$D$167="process")*economics!$AI$2:$AI$167*(_xlfn.NORM.DIST(BE$3,economics!$AK$2:$AK$167,economics!$AJ$2:$AJ$167,TRUE)-_xlfn.NORM.DIST(BE$30,economics!$AK$2:$AK$167,economics!$AJ$2:$AJ$167,TRUE))*economics!$AM$2:$AM$167))/(SUMPRODUCT((economics!$AG$2:$AG$167=$B37)*(economics!$D$2:$D$167="process")*economics!$AI$2:$AI$167*(_xlfn.NORM.DIST(BE$3,economics!$AK$2:$AK$167,economics!$AJ$2:$AJ$167,TRUE)-_xlfn.NORM.DIST(BE$30,economics!$AK$2:$AK$167,economics!$AJ$2:$AJ$167,TRUE)))),"")</f>
        <v/>
      </c>
      <c r="BF37">
        <f t="array" ref="BF37">IFERROR((SUMPRODUCT((economics!$AG$2:$AG$167=$B37)*(economics!$D$2:$D$167="process")*economics!$AI$2:$AI$167*(_xlfn.NORM.DIST(BF$3,economics!$AK$2:$AK$167,economics!$AJ$2:$AJ$167,TRUE)-_xlfn.NORM.DIST(BF$30,economics!$AK$2:$AK$167,economics!$AJ$2:$AJ$167,TRUE))*economics!$AM$2:$AM$167))/(SUMPRODUCT((economics!$AG$2:$AG$167=$B37)*(economics!$D$2:$D$167="process")*economics!$AI$2:$AI$167*(_xlfn.NORM.DIST(BF$3,economics!$AK$2:$AK$167,economics!$AJ$2:$AJ$167,TRUE)-_xlfn.NORM.DIST(BF$30,economics!$AK$2:$AK$167,economics!$AJ$2:$AJ$167,TRUE)))),"")</f>
        <v/>
      </c>
      <c r="BG37">
        <f t="array" ref="BG37">IFERROR((SUMPRODUCT((economics!$AG$2:$AG$167=$B37)*(economics!$D$2:$D$167="process")*economics!$AI$2:$AI$167*(_xlfn.NORM.DIST(BG$3,economics!$AK$2:$AK$167,economics!$AJ$2:$AJ$167,TRUE)-_xlfn.NORM.DIST(BG$30,economics!$AK$2:$AK$167,economics!$AJ$2:$AJ$167,TRUE))*economics!$AM$2:$AM$167))/(SUMPRODUCT((economics!$AG$2:$AG$167=$B37)*(economics!$D$2:$D$167="process")*economics!$AI$2:$AI$167*(_xlfn.NORM.DIST(BG$3,economics!$AK$2:$AK$167,economics!$AJ$2:$AJ$167,TRUE)-_xlfn.NORM.DIST(BG$30,economics!$AK$2:$AK$167,economics!$AJ$2:$AJ$167,TRUE)))),"")</f>
        <v/>
      </c>
      <c r="BH37">
        <f t="array" ref="BH37">IFERROR((SUMPRODUCT((economics!$AG$2:$AG$167=$B37)*(economics!$D$2:$D$167="process")*economics!$AI$2:$AI$167*(_xlfn.NORM.DIST(BH$3,economics!$AK$2:$AK$167,economics!$AJ$2:$AJ$167,TRUE)-_xlfn.NORM.DIST(BH$30,economics!$AK$2:$AK$167,economics!$AJ$2:$AJ$167,TRUE))*economics!$AM$2:$AM$167))/(SUMPRODUCT((economics!$AG$2:$AG$167=$B37)*(economics!$D$2:$D$167="process")*economics!$AI$2:$AI$167*(_xlfn.NORM.DIST(BH$3,economics!$AK$2:$AK$167,economics!$AJ$2:$AJ$167,TRUE)-_xlfn.NORM.DIST(BH$30,economics!$AK$2:$AK$167,economics!$AJ$2:$AJ$167,TRUE)))),"")</f>
        <v/>
      </c>
      <c r="BI37">
        <f t="array" ref="BI37">IFERROR((SUMPRODUCT((economics!$AG$2:$AG$167=$B37)*(economics!$D$2:$D$167="process")*economics!$AI$2:$AI$167*(_xlfn.NORM.DIST(BI$3,economics!$AK$2:$AK$167,economics!$AJ$2:$AJ$167,TRUE)-_xlfn.NORM.DIST(BI$30,economics!$AK$2:$AK$167,economics!$AJ$2:$AJ$167,TRUE))*economics!$AM$2:$AM$167))/(SUMPRODUCT((economics!$AG$2:$AG$167=$B37)*(economics!$D$2:$D$167="process")*economics!$AI$2:$AI$167*(_xlfn.NORM.DIST(BI$3,economics!$AK$2:$AK$167,economics!$AJ$2:$AJ$167,TRUE)-_xlfn.NORM.DIST(BI$30,economics!$AK$2:$AK$167,economics!$AJ$2:$AJ$167,TRUE)))),"")</f>
        <v/>
      </c>
      <c r="BJ37">
        <f t="array" ref="BJ37">IFERROR((SUMPRODUCT((economics!$AG$2:$AG$167=$B37)*(economics!$D$2:$D$167="process")*economics!$AI$2:$AI$167*(_xlfn.NORM.DIST(BJ$3,economics!$AK$2:$AK$167,economics!$AJ$2:$AJ$167,TRUE)-_xlfn.NORM.DIST(BJ$30,economics!$AK$2:$AK$167,economics!$AJ$2:$AJ$167,TRUE))*economics!$AM$2:$AM$167))/(SUMPRODUCT((economics!$AG$2:$AG$167=$B37)*(economics!$D$2:$D$167="process")*economics!$AI$2:$AI$167*(_xlfn.NORM.DIST(BJ$3,economics!$AK$2:$AK$167,economics!$AJ$2:$AJ$167,TRUE)-_xlfn.NORM.DIST(BJ$30,economics!$AK$2:$AK$167,economics!$AJ$2:$AJ$167,TRUE)))),"")</f>
        <v/>
      </c>
      <c r="BK37">
        <f t="array" ref="BK37">IFERROR((SUMPRODUCT((economics!$AG$2:$AG$167=$B37)*(economics!$D$2:$D$167="process")*economics!$AI$2:$AI$167*(_xlfn.NORM.DIST(BK$3,economics!$AK$2:$AK$167,economics!$AJ$2:$AJ$167,TRUE)-_xlfn.NORM.DIST(BK$30,economics!$AK$2:$AK$167,economics!$AJ$2:$AJ$167,TRUE))*economics!$AM$2:$AM$167))/(SUMPRODUCT((economics!$AG$2:$AG$167=$B37)*(economics!$D$2:$D$167="process")*economics!$AI$2:$AI$167*(_xlfn.NORM.DIST(BK$3,economics!$AK$2:$AK$167,economics!$AJ$2:$AJ$167,TRUE)-_xlfn.NORM.DIST(BK$30,economics!$AK$2:$AK$167,economics!$AJ$2:$AJ$167,TRUE)))),"")</f>
        <v/>
      </c>
      <c r="BL37">
        <f t="array" ref="BL37">IFERROR((SUMPRODUCT((economics!$AG$2:$AG$167=$B37)*(economics!$D$2:$D$167="process")*economics!$AI$2:$AI$167*(_xlfn.NORM.DIST(BL$3,economics!$AK$2:$AK$167,economics!$AJ$2:$AJ$167,TRUE)-_xlfn.NORM.DIST(BL$30,economics!$AK$2:$AK$167,economics!$AJ$2:$AJ$167,TRUE))*economics!$AM$2:$AM$167))/(SUMPRODUCT((economics!$AG$2:$AG$167=$B37)*(economics!$D$2:$D$167="process")*economics!$AI$2:$AI$167*(_xlfn.NORM.DIST(BL$3,economics!$AK$2:$AK$167,economics!$AJ$2:$AJ$167,TRUE)-_xlfn.NORM.DIST(BL$30,economics!$AK$2:$AK$167,economics!$AJ$2:$AJ$167,TRUE)))),"")</f>
        <v/>
      </c>
      <c r="BM37">
        <f t="array" ref="BM37">IFERROR((SUMPRODUCT((economics!$AG$2:$AG$167=$B37)*(economics!$D$2:$D$167="process")*economics!$AI$2:$AI$167*(_xlfn.NORM.DIST(BM$3,economics!$AK$2:$AK$167,economics!$AJ$2:$AJ$167,TRUE)-_xlfn.NORM.DIST(BM$30,economics!$AK$2:$AK$167,economics!$AJ$2:$AJ$167,TRUE))*economics!$AM$2:$AM$167))/(SUMPRODUCT((economics!$AG$2:$AG$167=$B37)*(economics!$D$2:$D$167="process")*economics!$AI$2:$AI$167*(_xlfn.NORM.DIST(BM$3,economics!$AK$2:$AK$167,economics!$AJ$2:$AJ$167,TRUE)-_xlfn.NORM.DIST(BM$30,economics!$AK$2:$AK$167,economics!$AJ$2:$AJ$167,TRUE)))),"")</f>
        <v/>
      </c>
      <c r="BN37">
        <f t="array" ref="BN37">IFERROR((SUMPRODUCT((economics!$AG$2:$AG$167=$B37)*(economics!$D$2:$D$167="process")*economics!$AI$2:$AI$167*(_xlfn.NORM.DIST(BN$3,economics!$AK$2:$AK$167,economics!$AJ$2:$AJ$167,TRUE)-_xlfn.NORM.DIST(BN$30,economics!$AK$2:$AK$167,economics!$AJ$2:$AJ$167,TRUE))*economics!$AM$2:$AM$167))/(SUMPRODUCT((economics!$AG$2:$AG$167=$B37)*(economics!$D$2:$D$167="process")*economics!$AI$2:$AI$167*(_xlfn.NORM.DIST(BN$3,economics!$AK$2:$AK$167,economics!$AJ$2:$AJ$167,TRUE)-_xlfn.NORM.DIST(BN$30,economics!$AK$2:$AK$167,economics!$AJ$2:$AJ$167,TRUE)))),"")</f>
        <v/>
      </c>
      <c r="BO37">
        <f t="array" ref="BO37">IFERROR((SUMPRODUCT((economics!$AG$2:$AG$167=$B37)*(economics!$D$2:$D$167="process")*economics!$AI$2:$AI$167*(_xlfn.NORM.DIST(BO$3,economics!$AK$2:$AK$167,economics!$AJ$2:$AJ$167,TRUE)-_xlfn.NORM.DIST(BO$30,economics!$AK$2:$AK$167,economics!$AJ$2:$AJ$167,TRUE))*economics!$AM$2:$AM$167))/(SUMPRODUCT((economics!$AG$2:$AG$167=$B37)*(economics!$D$2:$D$167="process")*economics!$AI$2:$AI$167*(_xlfn.NORM.DIST(BO$3,economics!$AK$2:$AK$167,economics!$AJ$2:$AJ$167,TRUE)-_xlfn.NORM.DIST(BO$30,economics!$AK$2:$AK$167,economics!$AJ$2:$AJ$167,TRUE)))),"")</f>
        <v/>
      </c>
      <c r="BP37">
        <f t="array" ref="BP37">IFERROR((SUMPRODUCT((economics!$AG$2:$AG$167=$B37)*(economics!$D$2:$D$167="process")*economics!$AI$2:$AI$167*(_xlfn.NORM.DIST(BP$3,economics!$AK$2:$AK$167,economics!$AJ$2:$AJ$167,TRUE)-_xlfn.NORM.DIST(BP$30,economics!$AK$2:$AK$167,economics!$AJ$2:$AJ$167,TRUE))*economics!$AM$2:$AM$167))/(SUMPRODUCT((economics!$AG$2:$AG$167=$B37)*(economics!$D$2:$D$167="process")*economics!$AI$2:$AI$167*(_xlfn.NORM.DIST(BP$3,economics!$AK$2:$AK$167,economics!$AJ$2:$AJ$167,TRUE)-_xlfn.NORM.DIST(BP$30,economics!$AK$2:$AK$167,economics!$AJ$2:$AJ$167,TRUE)))),"")</f>
        <v/>
      </c>
      <c r="BQ37">
        <f t="array" ref="BQ37">IFERROR((SUMPRODUCT((economics!$AG$2:$AG$167=$B37)*(economics!$D$2:$D$167="process")*economics!$AI$2:$AI$167*(_xlfn.NORM.DIST(BQ$3,economics!$AK$2:$AK$167,economics!$AJ$2:$AJ$167,TRUE)-_xlfn.NORM.DIST(BQ$30,economics!$AK$2:$AK$167,economics!$AJ$2:$AJ$167,TRUE))*economics!$AM$2:$AM$167))/(SUMPRODUCT((economics!$AG$2:$AG$167=$B37)*(economics!$D$2:$D$167="process")*economics!$AI$2:$AI$167*(_xlfn.NORM.DIST(BQ$3,economics!$AK$2:$AK$167,economics!$AJ$2:$AJ$167,TRUE)-_xlfn.NORM.DIST(BQ$30,economics!$AK$2:$AK$167,economics!$AJ$2:$AJ$167,TRUE)))),"")</f>
        <v/>
      </c>
      <c r="BR37">
        <f t="array" ref="BR37">IFERROR((SUMPRODUCT((economics!$AG$2:$AG$167=$B37)*(economics!$D$2:$D$167="process")*economics!$AI$2:$AI$167*(_xlfn.NORM.DIST(BR$3,economics!$AK$2:$AK$167,economics!$AJ$2:$AJ$167,TRUE)-_xlfn.NORM.DIST(BR$30,economics!$AK$2:$AK$167,economics!$AJ$2:$AJ$167,TRUE))*economics!$AM$2:$AM$167))/(SUMPRODUCT((economics!$AG$2:$AG$167=$B37)*(economics!$D$2:$D$167="process")*economics!$AI$2:$AI$167*(_xlfn.NORM.DIST(BR$3,economics!$AK$2:$AK$167,economics!$AJ$2:$AJ$167,TRUE)-_xlfn.NORM.DIST(BR$30,economics!$AK$2:$AK$167,economics!$AJ$2:$AJ$167,TRUE)))),"")</f>
        <v/>
      </c>
      <c r="BS37">
        <f t="array" ref="BS37">IFERROR((SUMPRODUCT((economics!$AG$2:$AG$167=$B37)*(economics!$D$2:$D$167="process")*economics!$AI$2:$AI$167*(_xlfn.NORM.DIST(BS$3,economics!$AK$2:$AK$167,economics!$AJ$2:$AJ$167,TRUE)-_xlfn.NORM.DIST(BS$30,economics!$AK$2:$AK$167,economics!$AJ$2:$AJ$167,TRUE))*economics!$AM$2:$AM$167))/(SUMPRODUCT((economics!$AG$2:$AG$167=$B37)*(economics!$D$2:$D$167="process")*economics!$AI$2:$AI$167*(_xlfn.NORM.DIST(BS$3,economics!$AK$2:$AK$167,economics!$AJ$2:$AJ$167,TRUE)-_xlfn.NORM.DIST(BS$30,economics!$AK$2:$AK$167,economics!$AJ$2:$AJ$167,TRUE)))),"")</f>
        <v/>
      </c>
      <c r="BT37">
        <f t="array" ref="BT37">IFERROR((SUMPRODUCT((economics!$AG$2:$AG$167=$B37)*(economics!$D$2:$D$167="process")*economics!$AI$2:$AI$167*(_xlfn.NORM.DIST(BT$3,economics!$AK$2:$AK$167,economics!$AJ$2:$AJ$167,TRUE)-_xlfn.NORM.DIST(BT$30,economics!$AK$2:$AK$167,economics!$AJ$2:$AJ$167,TRUE))*economics!$AM$2:$AM$167))/(SUMPRODUCT((economics!$AG$2:$AG$167=$B37)*(economics!$D$2:$D$167="process")*economics!$AI$2:$AI$167*(_xlfn.NORM.DIST(BT$3,economics!$AK$2:$AK$167,economics!$AJ$2:$AJ$167,TRUE)-_xlfn.NORM.DIST(BT$30,economics!$AK$2:$AK$167,economics!$AJ$2:$AJ$167,TRUE)))),"")</f>
        <v/>
      </c>
      <c r="BU37">
        <f t="array" ref="BU37">IFERROR((SUMPRODUCT((economics!$AG$2:$AG$167=$B37)*(economics!$D$2:$D$167="process")*economics!$AI$2:$AI$167*(_xlfn.NORM.DIST(BU$3,economics!$AK$2:$AK$167,economics!$AJ$2:$AJ$167,TRUE)-_xlfn.NORM.DIST(BU$30,economics!$AK$2:$AK$167,economics!$AJ$2:$AJ$167,TRUE))*economics!$AM$2:$AM$167))/(SUMPRODUCT((economics!$AG$2:$AG$167=$B37)*(economics!$D$2:$D$167="process")*economics!$AI$2:$AI$167*(_xlfn.NORM.DIST(BU$3,economics!$AK$2:$AK$167,economics!$AJ$2:$AJ$167,TRUE)-_xlfn.NORM.DIST(BU$30,economics!$AK$2:$AK$167,economics!$AJ$2:$AJ$167,TRUE)))),"")</f>
        <v/>
      </c>
      <c r="BV37">
        <f t="array" ref="BV37">IFERROR((SUMPRODUCT((economics!$AG$2:$AG$167=$B37)*(economics!$D$2:$D$167="process")*economics!$AI$2:$AI$167*(_xlfn.NORM.DIST(BV$3,economics!$AK$2:$AK$167,economics!$AJ$2:$AJ$167,TRUE)-_xlfn.NORM.DIST(BV$30,economics!$AK$2:$AK$167,economics!$AJ$2:$AJ$167,TRUE))*economics!$AM$2:$AM$167))/(SUMPRODUCT((economics!$AG$2:$AG$167=$B37)*(economics!$D$2:$D$167="process")*economics!$AI$2:$AI$167*(_xlfn.NORM.DIST(BV$3,economics!$AK$2:$AK$167,economics!$AJ$2:$AJ$167,TRUE)-_xlfn.NORM.DIST(BV$30,economics!$AK$2:$AK$167,economics!$AJ$2:$AJ$167,TRUE)))),"")</f>
        <v/>
      </c>
      <c r="BW37">
        <f t="array" ref="BW37">IFERROR((SUMPRODUCT((economics!$AG$2:$AG$167=$B37)*(economics!$D$2:$D$167="process")*economics!$AI$2:$AI$167*(_xlfn.NORM.DIST(BW$3,economics!$AK$2:$AK$167,economics!$AJ$2:$AJ$167,TRUE)-_xlfn.NORM.DIST(BW$30,economics!$AK$2:$AK$167,economics!$AJ$2:$AJ$167,TRUE))*economics!$AM$2:$AM$167))/(SUMPRODUCT((economics!$AG$2:$AG$167=$B37)*(economics!$D$2:$D$167="process")*economics!$AI$2:$AI$167*(_xlfn.NORM.DIST(BW$3,economics!$AK$2:$AK$167,economics!$AJ$2:$AJ$167,TRUE)-_xlfn.NORM.DIST(BW$30,economics!$AK$2:$AK$167,economics!$AJ$2:$AJ$167,TRUE)))),"")</f>
        <v/>
      </c>
      <c r="BX37">
        <f t="array" ref="BX37">IFERROR((SUMPRODUCT((economics!$AG$2:$AG$167=$B37)*(economics!$D$2:$D$167="process")*economics!$AI$2:$AI$167*(_xlfn.NORM.DIST(BX$3,economics!$AK$2:$AK$167,economics!$AJ$2:$AJ$167,TRUE)-_xlfn.NORM.DIST(BX$30,economics!$AK$2:$AK$167,economics!$AJ$2:$AJ$167,TRUE))*economics!$AM$2:$AM$167))/(SUMPRODUCT((economics!$AG$2:$AG$167=$B37)*(economics!$D$2:$D$167="process")*economics!$AI$2:$AI$167*(_xlfn.NORM.DIST(BX$3,economics!$AK$2:$AK$167,economics!$AJ$2:$AJ$167,TRUE)-_xlfn.NORM.DIST(BX$30,economics!$AK$2:$AK$167,economics!$AJ$2:$AJ$167,TRUE)))),"")</f>
        <v/>
      </c>
      <c r="BY37">
        <f t="array" ref="BY37">IFERROR((SUMPRODUCT((economics!$AG$2:$AG$167=$B37)*(economics!$D$2:$D$167="process")*economics!$AI$2:$AI$167*(_xlfn.NORM.DIST(BY$3,economics!$AK$2:$AK$167,economics!$AJ$2:$AJ$167,TRUE)-_xlfn.NORM.DIST(BY$30,economics!$AK$2:$AK$167,economics!$AJ$2:$AJ$167,TRUE))*economics!$AM$2:$AM$167))/(SUMPRODUCT((economics!$AG$2:$AG$167=$B37)*(economics!$D$2:$D$167="process")*economics!$AI$2:$AI$167*(_xlfn.NORM.DIST(BY$3,economics!$AK$2:$AK$167,economics!$AJ$2:$AJ$167,TRUE)-_xlfn.NORM.DIST(BY$30,economics!$AK$2:$AK$167,economics!$AJ$2:$AJ$167,TRUE)))),"")</f>
        <v/>
      </c>
      <c r="BZ37">
        <f t="array" ref="BZ37">IFERROR((SUMPRODUCT((economics!$AG$2:$AG$167=$B37)*(economics!$D$2:$D$167="process")*economics!$AI$2:$AI$167*(_xlfn.NORM.DIST(BZ$3,economics!$AK$2:$AK$167,economics!$AJ$2:$AJ$167,TRUE)-_xlfn.NORM.DIST(BZ$30,economics!$AK$2:$AK$167,economics!$AJ$2:$AJ$167,TRUE))*economics!$AM$2:$AM$167))/(SUMPRODUCT((economics!$AG$2:$AG$167=$B37)*(economics!$D$2:$D$167="process")*economics!$AI$2:$AI$167*(_xlfn.NORM.DIST(BZ$3,economics!$AK$2:$AK$167,economics!$AJ$2:$AJ$167,TRUE)-_xlfn.NORM.DIST(BZ$30,economics!$AK$2:$AK$167,economics!$AJ$2:$AJ$167,TRUE)))),"")</f>
        <v/>
      </c>
      <c r="CA37">
        <f t="array" ref="CA37">IFERROR((SUMPRODUCT((economics!$AG$2:$AG$167=$B37)*(economics!$D$2:$D$167="process")*economics!$AI$2:$AI$167*(_xlfn.NORM.DIST(CA$3,economics!$AK$2:$AK$167,economics!$AJ$2:$AJ$167,TRUE)-_xlfn.NORM.DIST(CA$30,economics!$AK$2:$AK$167,economics!$AJ$2:$AJ$167,TRUE))*economics!$AM$2:$AM$167))/(SUMPRODUCT((economics!$AG$2:$AG$167=$B37)*(economics!$D$2:$D$167="process")*economics!$AI$2:$AI$167*(_xlfn.NORM.DIST(CA$3,economics!$AK$2:$AK$167,economics!$AJ$2:$AJ$167,TRUE)-_xlfn.NORM.DIST(CA$30,economics!$AK$2:$AK$167,economics!$AJ$2:$AJ$167,TRUE)))),"")</f>
        <v/>
      </c>
      <c r="CB37">
        <f t="array" ref="CB37">IFERROR((SUMPRODUCT((economics!$AG$2:$AG$167=$B37)*(economics!$D$2:$D$167="process")*economics!$AI$2:$AI$167*(_xlfn.NORM.DIST(CB$3,economics!$AK$2:$AK$167,economics!$AJ$2:$AJ$167,TRUE)-_xlfn.NORM.DIST(CB$30,economics!$AK$2:$AK$167,economics!$AJ$2:$AJ$167,TRUE))*economics!$AM$2:$AM$167))/(SUMPRODUCT((economics!$AG$2:$AG$167=$B37)*(economics!$D$2:$D$167="process")*economics!$AI$2:$AI$167*(_xlfn.NORM.DIST(CB$3,economics!$AK$2:$AK$167,economics!$AJ$2:$AJ$167,TRUE)-_xlfn.NORM.DIST(CB$30,economics!$AK$2:$AK$167,economics!$AJ$2:$AJ$167,TRUE)))),"")</f>
        <v/>
      </c>
      <c r="CC37">
        <f t="array" ref="CC37">IFERROR((SUMPRODUCT((economics!$AG$2:$AG$167=$B37)*(economics!$D$2:$D$167="process")*economics!$AI$2:$AI$167*(_xlfn.NORM.DIST(CC$3,economics!$AK$2:$AK$167,economics!$AJ$2:$AJ$167,TRUE)-_xlfn.NORM.DIST(CC$30,economics!$AK$2:$AK$167,economics!$AJ$2:$AJ$167,TRUE))*economics!$AM$2:$AM$167))/(SUMPRODUCT((economics!$AG$2:$AG$167=$B37)*(economics!$D$2:$D$167="process")*economics!$AI$2:$AI$167*(_xlfn.NORM.DIST(CC$3,economics!$AK$2:$AK$167,economics!$AJ$2:$AJ$167,TRUE)-_xlfn.NORM.DIST(CC$30,economics!$AK$2:$AK$167,economics!$AJ$2:$AJ$167,TRUE)))),"")</f>
        <v/>
      </c>
      <c r="CD37">
        <f t="array" ref="CD37">IFERROR((SUMPRODUCT((economics!$AG$2:$AG$167=$B37)*(economics!$D$2:$D$167="process")*economics!$AI$2:$AI$167*(_xlfn.NORM.DIST(CD$3,economics!$AK$2:$AK$167,economics!$AJ$2:$AJ$167,TRUE)-_xlfn.NORM.DIST(CD$30,economics!$AK$2:$AK$167,economics!$AJ$2:$AJ$167,TRUE))*economics!$AM$2:$AM$167))/(SUMPRODUCT((economics!$AG$2:$AG$167=$B37)*(economics!$D$2:$D$167="process")*economics!$AI$2:$AI$167*(_xlfn.NORM.DIST(CD$3,economics!$AK$2:$AK$167,economics!$AJ$2:$AJ$167,TRUE)-_xlfn.NORM.DIST(CD$30,economics!$AK$2:$AK$167,economics!$AJ$2:$AJ$167,TRUE)))),"")</f>
        <v/>
      </c>
      <c r="CE37">
        <f t="array" ref="CE37">IFERROR((SUMPRODUCT((economics!$AG$2:$AG$167=$B37)*(economics!$D$2:$D$167="process")*economics!$AI$2:$AI$167*(_xlfn.NORM.DIST(CE$3,economics!$AK$2:$AK$167,economics!$AJ$2:$AJ$167,TRUE)-_xlfn.NORM.DIST(CE$30,economics!$AK$2:$AK$167,economics!$AJ$2:$AJ$167,TRUE))*economics!$AM$2:$AM$167))/(SUMPRODUCT((economics!$AG$2:$AG$167=$B37)*(economics!$D$2:$D$167="process")*economics!$AI$2:$AI$167*(_xlfn.NORM.DIST(CE$3,economics!$AK$2:$AK$167,economics!$AJ$2:$AJ$167,TRUE)-_xlfn.NORM.DIST(CE$30,economics!$AK$2:$AK$167,economics!$AJ$2:$AJ$167,TRUE)))),"")</f>
        <v/>
      </c>
      <c r="CF37">
        <f t="array" ref="CF37">IFERROR((SUMPRODUCT((economics!$AG$2:$AG$167=$B37)*(economics!$D$2:$D$167="process")*economics!$AI$2:$AI$167*(_xlfn.NORM.DIST(CF$3,economics!$AK$2:$AK$167,economics!$AJ$2:$AJ$167,TRUE)-_xlfn.NORM.DIST(CF$30,economics!$AK$2:$AK$167,economics!$AJ$2:$AJ$167,TRUE))*economics!$AM$2:$AM$167))/(SUMPRODUCT((economics!$AG$2:$AG$167=$B37)*(economics!$D$2:$D$167="process")*economics!$AI$2:$AI$167*(_xlfn.NORM.DIST(CF$3,economics!$AK$2:$AK$167,economics!$AJ$2:$AJ$167,TRUE)-_xlfn.NORM.DIST(CF$30,economics!$AK$2:$AK$167,economics!$AJ$2:$AJ$167,TRUE)))),"")</f>
        <v/>
      </c>
      <c r="CG37">
        <f t="array" ref="CG37">IFERROR((SUMPRODUCT((economics!$AG$2:$AG$167=$B37)*(economics!$D$2:$D$167="process")*economics!$AI$2:$AI$167*(_xlfn.NORM.DIST(CG$3,economics!$AK$2:$AK$167,economics!$AJ$2:$AJ$167,TRUE)-_xlfn.NORM.DIST(CG$30,economics!$AK$2:$AK$167,economics!$AJ$2:$AJ$167,TRUE))*economics!$AM$2:$AM$167))/(SUMPRODUCT((economics!$AG$2:$AG$167=$B37)*(economics!$D$2:$D$167="process")*economics!$AI$2:$AI$167*(_xlfn.NORM.DIST(CG$3,economics!$AK$2:$AK$167,economics!$AJ$2:$AJ$167,TRUE)-_xlfn.NORM.DIST(CG$30,economics!$AK$2:$AK$167,economics!$AJ$2:$AJ$167,TRUE)))),"")</f>
        <v/>
      </c>
      <c r="CH37">
        <f t="array" ref="CH37">IFERROR((SUMPRODUCT((economics!$AG$2:$AG$167=$B37)*(economics!$D$2:$D$167="process")*economics!$AI$2:$AI$167*(_xlfn.NORM.DIST(CH$3,economics!$AK$2:$AK$167,economics!$AJ$2:$AJ$167,TRUE)-_xlfn.NORM.DIST(CH$30,economics!$AK$2:$AK$167,economics!$AJ$2:$AJ$167,TRUE))*economics!$AM$2:$AM$167))/(SUMPRODUCT((economics!$AG$2:$AG$167=$B37)*(economics!$D$2:$D$167="process")*economics!$AI$2:$AI$167*(_xlfn.NORM.DIST(CH$3,economics!$AK$2:$AK$167,economics!$AJ$2:$AJ$167,TRUE)-_xlfn.NORM.DIST(CH$30,economics!$AK$2:$AK$167,economics!$AJ$2:$AJ$167,TRUE)))),"")</f>
        <v/>
      </c>
    </row>
    <row r="38">
      <c r="A38">
        <f>A9</f>
        <v/>
      </c>
      <c r="B38">
        <f>B9</f>
        <v/>
      </c>
      <c r="E38">
        <f t="array" ref="E38">IFERROR((SUMPRODUCT((economics!$AG$2:$AG$167=$B38)*(economics!$D$2:$D$167="process")*economics!$AI$2:$AI$167*(_xlfn.NORM.DIST(E$3,economics!$AK$2:$AK$167,economics!$AJ$2:$AJ$167,TRUE)-_xlfn.NORM.DIST(E$30,economics!$AK$2:$AK$167,economics!$AJ$2:$AJ$167,TRUE))*economics!$AM$2:$AM$167))/(SUMPRODUCT((economics!$AG$2:$AG$167=$B38)*(economics!$D$2:$D$167="process")*economics!$AI$2:$AI$167*(_xlfn.NORM.DIST(E$3,economics!$AK$2:$AK$167,economics!$AJ$2:$AJ$167,TRUE)-_xlfn.NORM.DIST(E$30,economics!$AK$2:$AK$167,economics!$AJ$2:$AJ$167,TRUE)))),"")</f>
        <v/>
      </c>
      <c r="F38">
        <f t="array" ref="F38">IFERROR((SUMPRODUCT((economics!$AG$2:$AG$167=$B38)*(economics!$D$2:$D$167="process")*economics!$AI$2:$AI$167*(_xlfn.NORM.DIST(F$3,economics!$AK$2:$AK$167,economics!$AJ$2:$AJ$167,TRUE)-_xlfn.NORM.DIST(F$30,economics!$AK$2:$AK$167,economics!$AJ$2:$AJ$167,TRUE))*economics!$AM$2:$AM$167))/(SUMPRODUCT((economics!$AG$2:$AG$167=$B38)*(economics!$D$2:$D$167="process")*economics!$AI$2:$AI$167*(_xlfn.NORM.DIST(F$3,economics!$AK$2:$AK$167,economics!$AJ$2:$AJ$167,TRUE)-_xlfn.NORM.DIST(F$30,economics!$AK$2:$AK$167,economics!$AJ$2:$AJ$167,TRUE)))),"")</f>
        <v/>
      </c>
      <c r="G38">
        <f t="array" ref="G38">IFERROR((SUMPRODUCT((economics!$AG$2:$AG$167=$B38)*(economics!$D$2:$D$167="process")*economics!$AI$2:$AI$167*(_xlfn.NORM.DIST(G$3,economics!$AK$2:$AK$167,economics!$AJ$2:$AJ$167,TRUE)-_xlfn.NORM.DIST(G$30,economics!$AK$2:$AK$167,economics!$AJ$2:$AJ$167,TRUE))*economics!$AM$2:$AM$167))/(SUMPRODUCT((economics!$AG$2:$AG$167=$B38)*(economics!$D$2:$D$167="process")*economics!$AI$2:$AI$167*(_xlfn.NORM.DIST(G$3,economics!$AK$2:$AK$167,economics!$AJ$2:$AJ$167,TRUE)-_xlfn.NORM.DIST(G$30,economics!$AK$2:$AK$167,economics!$AJ$2:$AJ$167,TRUE)))),"")</f>
        <v/>
      </c>
      <c r="H38">
        <f t="array" ref="H38">IFERROR((SUMPRODUCT((economics!$AG$2:$AG$167=$B38)*(economics!$D$2:$D$167="process")*economics!$AI$2:$AI$167*(_xlfn.NORM.DIST(H$3,economics!$AK$2:$AK$167,economics!$AJ$2:$AJ$167,TRUE)-_xlfn.NORM.DIST(H$30,economics!$AK$2:$AK$167,economics!$AJ$2:$AJ$167,TRUE))*economics!$AM$2:$AM$167))/(SUMPRODUCT((economics!$AG$2:$AG$167=$B38)*(economics!$D$2:$D$167="process")*economics!$AI$2:$AI$167*(_xlfn.NORM.DIST(H$3,economics!$AK$2:$AK$167,economics!$AJ$2:$AJ$167,TRUE)-_xlfn.NORM.DIST(H$30,economics!$AK$2:$AK$167,economics!$AJ$2:$AJ$167,TRUE)))),"")</f>
        <v/>
      </c>
      <c r="I38">
        <f t="array" ref="I38">IFERROR((SUMPRODUCT((economics!$AG$2:$AG$167=$B38)*(economics!$D$2:$D$167="process")*economics!$AI$2:$AI$167*(_xlfn.NORM.DIST(I$3,economics!$AK$2:$AK$167,economics!$AJ$2:$AJ$167,TRUE)-_xlfn.NORM.DIST(I$30,economics!$AK$2:$AK$167,economics!$AJ$2:$AJ$167,TRUE))*economics!$AM$2:$AM$167))/(SUMPRODUCT((economics!$AG$2:$AG$167=$B38)*(economics!$D$2:$D$167="process")*economics!$AI$2:$AI$167*(_xlfn.NORM.DIST(I$3,economics!$AK$2:$AK$167,economics!$AJ$2:$AJ$167,TRUE)-_xlfn.NORM.DIST(I$30,economics!$AK$2:$AK$167,economics!$AJ$2:$AJ$167,TRUE)))),"")</f>
        <v/>
      </c>
      <c r="J38">
        <f t="array" ref="J38">IFERROR((SUMPRODUCT((economics!$AG$2:$AG$167=$B38)*(economics!$D$2:$D$167="process")*economics!$AI$2:$AI$167*(_xlfn.NORM.DIST(J$3,economics!$AK$2:$AK$167,economics!$AJ$2:$AJ$167,TRUE)-_xlfn.NORM.DIST(J$30,economics!$AK$2:$AK$167,economics!$AJ$2:$AJ$167,TRUE))*economics!$AM$2:$AM$167))/(SUMPRODUCT((economics!$AG$2:$AG$167=$B38)*(economics!$D$2:$D$167="process")*economics!$AI$2:$AI$167*(_xlfn.NORM.DIST(J$3,economics!$AK$2:$AK$167,economics!$AJ$2:$AJ$167,TRUE)-_xlfn.NORM.DIST(J$30,economics!$AK$2:$AK$167,economics!$AJ$2:$AJ$167,TRUE)))),"")</f>
        <v/>
      </c>
      <c r="K38">
        <f t="array" ref="K38">IFERROR((SUMPRODUCT((economics!$AG$2:$AG$167=$B38)*(economics!$D$2:$D$167="process")*economics!$AI$2:$AI$167*(_xlfn.NORM.DIST(K$3,economics!$AK$2:$AK$167,economics!$AJ$2:$AJ$167,TRUE)-_xlfn.NORM.DIST(K$30,economics!$AK$2:$AK$167,economics!$AJ$2:$AJ$167,TRUE))*economics!$AM$2:$AM$167))/(SUMPRODUCT((economics!$AG$2:$AG$167=$B38)*(economics!$D$2:$D$167="process")*economics!$AI$2:$AI$167*(_xlfn.NORM.DIST(K$3,economics!$AK$2:$AK$167,economics!$AJ$2:$AJ$167,TRUE)-_xlfn.NORM.DIST(K$30,economics!$AK$2:$AK$167,economics!$AJ$2:$AJ$167,TRUE)))),"")</f>
        <v/>
      </c>
      <c r="L38">
        <f t="array" ref="L38">IFERROR((SUMPRODUCT((economics!$AG$2:$AG$167=$B38)*(economics!$D$2:$D$167="process")*economics!$AI$2:$AI$167*(_xlfn.NORM.DIST(L$3,economics!$AK$2:$AK$167,economics!$AJ$2:$AJ$167,TRUE)-_xlfn.NORM.DIST(L$30,economics!$AK$2:$AK$167,economics!$AJ$2:$AJ$167,TRUE))*economics!$AM$2:$AM$167))/(SUMPRODUCT((economics!$AG$2:$AG$167=$B38)*(economics!$D$2:$D$167="process")*economics!$AI$2:$AI$167*(_xlfn.NORM.DIST(L$3,economics!$AK$2:$AK$167,economics!$AJ$2:$AJ$167,TRUE)-_xlfn.NORM.DIST(L$30,economics!$AK$2:$AK$167,economics!$AJ$2:$AJ$167,TRUE)))),"")</f>
        <v/>
      </c>
      <c r="M38">
        <f t="array" ref="M38">IFERROR((SUMPRODUCT((economics!$AG$2:$AG$167=$B38)*(economics!$D$2:$D$167="process")*economics!$AI$2:$AI$167*(_xlfn.NORM.DIST(M$3,economics!$AK$2:$AK$167,economics!$AJ$2:$AJ$167,TRUE)-_xlfn.NORM.DIST(M$30,economics!$AK$2:$AK$167,economics!$AJ$2:$AJ$167,TRUE))*economics!$AM$2:$AM$167))/(SUMPRODUCT((economics!$AG$2:$AG$167=$B38)*(economics!$D$2:$D$167="process")*economics!$AI$2:$AI$167*(_xlfn.NORM.DIST(M$3,economics!$AK$2:$AK$167,economics!$AJ$2:$AJ$167,TRUE)-_xlfn.NORM.DIST(M$30,economics!$AK$2:$AK$167,economics!$AJ$2:$AJ$167,TRUE)))),"")</f>
        <v/>
      </c>
      <c r="N38">
        <f t="array" ref="N38">IFERROR((SUMPRODUCT((economics!$AG$2:$AG$167=$B38)*(economics!$D$2:$D$167="process")*economics!$AI$2:$AI$167*(_xlfn.NORM.DIST(N$3,economics!$AK$2:$AK$167,economics!$AJ$2:$AJ$167,TRUE)-_xlfn.NORM.DIST(N$30,economics!$AK$2:$AK$167,economics!$AJ$2:$AJ$167,TRUE))*economics!$AM$2:$AM$167))/(SUMPRODUCT((economics!$AG$2:$AG$167=$B38)*(economics!$D$2:$D$167="process")*economics!$AI$2:$AI$167*(_xlfn.NORM.DIST(N$3,economics!$AK$2:$AK$167,economics!$AJ$2:$AJ$167,TRUE)-_xlfn.NORM.DIST(N$30,economics!$AK$2:$AK$167,economics!$AJ$2:$AJ$167,TRUE)))),"")</f>
        <v/>
      </c>
      <c r="O38">
        <f t="array" ref="O38">IFERROR((SUMPRODUCT((economics!$AG$2:$AG$167=$B38)*(economics!$D$2:$D$167="process")*economics!$AI$2:$AI$167*(_xlfn.NORM.DIST(O$3,economics!$AK$2:$AK$167,economics!$AJ$2:$AJ$167,TRUE)-_xlfn.NORM.DIST(O$30,economics!$AK$2:$AK$167,economics!$AJ$2:$AJ$167,TRUE))*economics!$AM$2:$AM$167))/(SUMPRODUCT((economics!$AG$2:$AG$167=$B38)*(economics!$D$2:$D$167="process")*economics!$AI$2:$AI$167*(_xlfn.NORM.DIST(O$3,economics!$AK$2:$AK$167,economics!$AJ$2:$AJ$167,TRUE)-_xlfn.NORM.DIST(O$30,economics!$AK$2:$AK$167,economics!$AJ$2:$AJ$167,TRUE)))),"")</f>
        <v/>
      </c>
      <c r="P38">
        <f t="array" ref="P38">IFERROR((SUMPRODUCT((economics!$AG$2:$AG$167=$B38)*(economics!$D$2:$D$167="process")*economics!$AI$2:$AI$167*(_xlfn.NORM.DIST(P$3,economics!$AK$2:$AK$167,economics!$AJ$2:$AJ$167,TRUE)-_xlfn.NORM.DIST(P$30,economics!$AK$2:$AK$167,economics!$AJ$2:$AJ$167,TRUE))*economics!$AM$2:$AM$167))/(SUMPRODUCT((economics!$AG$2:$AG$167=$B38)*(economics!$D$2:$D$167="process")*economics!$AI$2:$AI$167*(_xlfn.NORM.DIST(P$3,economics!$AK$2:$AK$167,economics!$AJ$2:$AJ$167,TRUE)-_xlfn.NORM.DIST(P$30,economics!$AK$2:$AK$167,economics!$AJ$2:$AJ$167,TRUE)))),"")</f>
        <v/>
      </c>
      <c r="Q38">
        <f t="array" ref="Q38">IFERROR((SUMPRODUCT((economics!$AG$2:$AG$167=$B38)*(economics!$D$2:$D$167="process")*economics!$AI$2:$AI$167*(_xlfn.NORM.DIST(Q$3,economics!$AK$2:$AK$167,economics!$AJ$2:$AJ$167,TRUE)-_xlfn.NORM.DIST(Q$30,economics!$AK$2:$AK$167,economics!$AJ$2:$AJ$167,TRUE))*economics!$AM$2:$AM$167))/(SUMPRODUCT((economics!$AG$2:$AG$167=$B38)*(economics!$D$2:$D$167="process")*economics!$AI$2:$AI$167*(_xlfn.NORM.DIST(Q$3,economics!$AK$2:$AK$167,economics!$AJ$2:$AJ$167,TRUE)-_xlfn.NORM.DIST(Q$30,economics!$AK$2:$AK$167,economics!$AJ$2:$AJ$167,TRUE)))),"")</f>
        <v/>
      </c>
      <c r="R38">
        <f t="array" ref="R38">IFERROR((SUMPRODUCT((economics!$AG$2:$AG$167=$B38)*(economics!$D$2:$D$167="process")*economics!$AI$2:$AI$167*(_xlfn.NORM.DIST(R$3,economics!$AK$2:$AK$167,economics!$AJ$2:$AJ$167,TRUE)-_xlfn.NORM.DIST(R$30,economics!$AK$2:$AK$167,economics!$AJ$2:$AJ$167,TRUE))*economics!$AM$2:$AM$167))/(SUMPRODUCT((economics!$AG$2:$AG$167=$B38)*(economics!$D$2:$D$167="process")*economics!$AI$2:$AI$167*(_xlfn.NORM.DIST(R$3,economics!$AK$2:$AK$167,economics!$AJ$2:$AJ$167,TRUE)-_xlfn.NORM.DIST(R$30,economics!$AK$2:$AK$167,economics!$AJ$2:$AJ$167,TRUE)))),"")</f>
        <v/>
      </c>
      <c r="S38">
        <f t="array" ref="S38">IFERROR((SUMPRODUCT((economics!$AG$2:$AG$167=$B38)*(economics!$D$2:$D$167="process")*economics!$AI$2:$AI$167*(_xlfn.NORM.DIST(S$3,economics!$AK$2:$AK$167,economics!$AJ$2:$AJ$167,TRUE)-_xlfn.NORM.DIST(S$30,economics!$AK$2:$AK$167,economics!$AJ$2:$AJ$167,TRUE))*economics!$AM$2:$AM$167))/(SUMPRODUCT((economics!$AG$2:$AG$167=$B38)*(economics!$D$2:$D$167="process")*economics!$AI$2:$AI$167*(_xlfn.NORM.DIST(S$3,economics!$AK$2:$AK$167,economics!$AJ$2:$AJ$167,TRUE)-_xlfn.NORM.DIST(S$30,economics!$AK$2:$AK$167,economics!$AJ$2:$AJ$167,TRUE)))),"")</f>
        <v/>
      </c>
      <c r="T38">
        <f t="array" ref="T38">IFERROR((SUMPRODUCT((economics!$AG$2:$AG$167=$B38)*(economics!$D$2:$D$167="process")*economics!$AI$2:$AI$167*(_xlfn.NORM.DIST(T$3,economics!$AK$2:$AK$167,economics!$AJ$2:$AJ$167,TRUE)-_xlfn.NORM.DIST(T$30,economics!$AK$2:$AK$167,economics!$AJ$2:$AJ$167,TRUE))*economics!$AM$2:$AM$167))/(SUMPRODUCT((economics!$AG$2:$AG$167=$B38)*(economics!$D$2:$D$167="process")*economics!$AI$2:$AI$167*(_xlfn.NORM.DIST(T$3,economics!$AK$2:$AK$167,economics!$AJ$2:$AJ$167,TRUE)-_xlfn.NORM.DIST(T$30,economics!$AK$2:$AK$167,economics!$AJ$2:$AJ$167,TRUE)))),"")</f>
        <v/>
      </c>
      <c r="U38">
        <f t="array" ref="U38">IFERROR((SUMPRODUCT((economics!$AG$2:$AG$167=$B38)*(economics!$D$2:$D$167="process")*economics!$AI$2:$AI$167*(_xlfn.NORM.DIST(U$3,economics!$AK$2:$AK$167,economics!$AJ$2:$AJ$167,TRUE)-_xlfn.NORM.DIST(U$30,economics!$AK$2:$AK$167,economics!$AJ$2:$AJ$167,TRUE))*economics!$AM$2:$AM$167))/(SUMPRODUCT((economics!$AG$2:$AG$167=$B38)*(economics!$D$2:$D$167="process")*economics!$AI$2:$AI$167*(_xlfn.NORM.DIST(U$3,economics!$AK$2:$AK$167,economics!$AJ$2:$AJ$167,TRUE)-_xlfn.NORM.DIST(U$30,economics!$AK$2:$AK$167,economics!$AJ$2:$AJ$167,TRUE)))),"")</f>
        <v/>
      </c>
      <c r="V38">
        <f t="array" ref="V38">IFERROR((SUMPRODUCT((economics!$AG$2:$AG$167=$B38)*(economics!$D$2:$D$167="process")*economics!$AI$2:$AI$167*(_xlfn.NORM.DIST(V$3,economics!$AK$2:$AK$167,economics!$AJ$2:$AJ$167,TRUE)-_xlfn.NORM.DIST(V$30,economics!$AK$2:$AK$167,economics!$AJ$2:$AJ$167,TRUE))*economics!$AM$2:$AM$167))/(SUMPRODUCT((economics!$AG$2:$AG$167=$B38)*(economics!$D$2:$D$167="process")*economics!$AI$2:$AI$167*(_xlfn.NORM.DIST(V$3,economics!$AK$2:$AK$167,economics!$AJ$2:$AJ$167,TRUE)-_xlfn.NORM.DIST(V$30,economics!$AK$2:$AK$167,economics!$AJ$2:$AJ$167,TRUE)))),"")</f>
        <v/>
      </c>
      <c r="W38">
        <f t="array" ref="W38">IFERROR((SUMPRODUCT((economics!$AG$2:$AG$167=$B38)*(economics!$D$2:$D$167="process")*economics!$AI$2:$AI$167*(_xlfn.NORM.DIST(W$3,economics!$AK$2:$AK$167,economics!$AJ$2:$AJ$167,TRUE)-_xlfn.NORM.DIST(W$30,economics!$AK$2:$AK$167,economics!$AJ$2:$AJ$167,TRUE))*economics!$AM$2:$AM$167))/(SUMPRODUCT((economics!$AG$2:$AG$167=$B38)*(economics!$D$2:$D$167="process")*economics!$AI$2:$AI$167*(_xlfn.NORM.DIST(W$3,economics!$AK$2:$AK$167,economics!$AJ$2:$AJ$167,TRUE)-_xlfn.NORM.DIST(W$30,economics!$AK$2:$AK$167,economics!$AJ$2:$AJ$167,TRUE)))),"")</f>
        <v/>
      </c>
      <c r="X38">
        <f t="array" ref="X38">IFERROR((SUMPRODUCT((economics!$AG$2:$AG$167=$B38)*(economics!$D$2:$D$167="process")*economics!$AI$2:$AI$167*(_xlfn.NORM.DIST(X$3,economics!$AK$2:$AK$167,economics!$AJ$2:$AJ$167,TRUE)-_xlfn.NORM.DIST(X$30,economics!$AK$2:$AK$167,economics!$AJ$2:$AJ$167,TRUE))*economics!$AM$2:$AM$167))/(SUMPRODUCT((economics!$AG$2:$AG$167=$B38)*(economics!$D$2:$D$167="process")*economics!$AI$2:$AI$167*(_xlfn.NORM.DIST(X$3,economics!$AK$2:$AK$167,economics!$AJ$2:$AJ$167,TRUE)-_xlfn.NORM.DIST(X$30,economics!$AK$2:$AK$167,economics!$AJ$2:$AJ$167,TRUE)))),"")</f>
        <v/>
      </c>
      <c r="Y38">
        <f t="array" ref="Y38">IFERROR((SUMPRODUCT((economics!$AG$2:$AG$167=$B38)*(economics!$D$2:$D$167="process")*economics!$AI$2:$AI$167*(_xlfn.NORM.DIST(Y$3,economics!$AK$2:$AK$167,economics!$AJ$2:$AJ$167,TRUE)-_xlfn.NORM.DIST(Y$30,economics!$AK$2:$AK$167,economics!$AJ$2:$AJ$167,TRUE))*economics!$AM$2:$AM$167))/(SUMPRODUCT((economics!$AG$2:$AG$167=$B38)*(economics!$D$2:$D$167="process")*economics!$AI$2:$AI$167*(_xlfn.NORM.DIST(Y$3,economics!$AK$2:$AK$167,economics!$AJ$2:$AJ$167,TRUE)-_xlfn.NORM.DIST(Y$30,economics!$AK$2:$AK$167,economics!$AJ$2:$AJ$167,TRUE)))),"")</f>
        <v/>
      </c>
      <c r="Z38">
        <f t="array" ref="Z38">IFERROR((SUMPRODUCT((economics!$AG$2:$AG$167=$B38)*(economics!$D$2:$D$167="process")*economics!$AI$2:$AI$167*(_xlfn.NORM.DIST(Z$3,economics!$AK$2:$AK$167,economics!$AJ$2:$AJ$167,TRUE)-_xlfn.NORM.DIST(Z$30,economics!$AK$2:$AK$167,economics!$AJ$2:$AJ$167,TRUE))*economics!$AM$2:$AM$167))/(SUMPRODUCT((economics!$AG$2:$AG$167=$B38)*(economics!$D$2:$D$167="process")*economics!$AI$2:$AI$167*(_xlfn.NORM.DIST(Z$3,economics!$AK$2:$AK$167,economics!$AJ$2:$AJ$167,TRUE)-_xlfn.NORM.DIST(Z$30,economics!$AK$2:$AK$167,economics!$AJ$2:$AJ$167,TRUE)))),"")</f>
        <v/>
      </c>
      <c r="AA38">
        <f t="array" ref="AA38">IFERROR((SUMPRODUCT((economics!$AG$2:$AG$167=$B38)*(economics!$D$2:$D$167="process")*economics!$AI$2:$AI$167*(_xlfn.NORM.DIST(AA$3,economics!$AK$2:$AK$167,economics!$AJ$2:$AJ$167,TRUE)-_xlfn.NORM.DIST(AA$30,economics!$AK$2:$AK$167,economics!$AJ$2:$AJ$167,TRUE))*economics!$AM$2:$AM$167))/(SUMPRODUCT((economics!$AG$2:$AG$167=$B38)*(economics!$D$2:$D$167="process")*economics!$AI$2:$AI$167*(_xlfn.NORM.DIST(AA$3,economics!$AK$2:$AK$167,economics!$AJ$2:$AJ$167,TRUE)-_xlfn.NORM.DIST(AA$30,economics!$AK$2:$AK$167,economics!$AJ$2:$AJ$167,TRUE)))),"")</f>
        <v/>
      </c>
      <c r="AB38">
        <f t="array" ref="AB38">IFERROR((SUMPRODUCT((economics!$AG$2:$AG$167=$B38)*(economics!$D$2:$D$167="process")*economics!$AI$2:$AI$167*(_xlfn.NORM.DIST(AB$3,economics!$AK$2:$AK$167,economics!$AJ$2:$AJ$167,TRUE)-_xlfn.NORM.DIST(AB$30,economics!$AK$2:$AK$167,economics!$AJ$2:$AJ$167,TRUE))*economics!$AM$2:$AM$167))/(SUMPRODUCT((economics!$AG$2:$AG$167=$B38)*(economics!$D$2:$D$167="process")*economics!$AI$2:$AI$167*(_xlfn.NORM.DIST(AB$3,economics!$AK$2:$AK$167,economics!$AJ$2:$AJ$167,TRUE)-_xlfn.NORM.DIST(AB$30,economics!$AK$2:$AK$167,economics!$AJ$2:$AJ$167,TRUE)))),"")</f>
        <v/>
      </c>
      <c r="AC38">
        <f t="array" ref="AC38">IFERROR((SUMPRODUCT((economics!$AG$2:$AG$167=$B38)*(economics!$D$2:$D$167="process")*economics!$AI$2:$AI$167*(_xlfn.NORM.DIST(AC$3,economics!$AK$2:$AK$167,economics!$AJ$2:$AJ$167,TRUE)-_xlfn.NORM.DIST(AC$30,economics!$AK$2:$AK$167,economics!$AJ$2:$AJ$167,TRUE))*economics!$AM$2:$AM$167))/(SUMPRODUCT((economics!$AG$2:$AG$167=$B38)*(economics!$D$2:$D$167="process")*economics!$AI$2:$AI$167*(_xlfn.NORM.DIST(AC$3,economics!$AK$2:$AK$167,economics!$AJ$2:$AJ$167,TRUE)-_xlfn.NORM.DIST(AC$30,economics!$AK$2:$AK$167,economics!$AJ$2:$AJ$167,TRUE)))),"")</f>
        <v/>
      </c>
      <c r="AD38">
        <f t="array" ref="AD38">IFERROR((SUMPRODUCT((economics!$AG$2:$AG$167=$B38)*(economics!$D$2:$D$167="process")*economics!$AI$2:$AI$167*(_xlfn.NORM.DIST(AD$3,economics!$AK$2:$AK$167,economics!$AJ$2:$AJ$167,TRUE)-_xlfn.NORM.DIST(AD$30,economics!$AK$2:$AK$167,economics!$AJ$2:$AJ$167,TRUE))*economics!$AM$2:$AM$167))/(SUMPRODUCT((economics!$AG$2:$AG$167=$B38)*(economics!$D$2:$D$167="process")*economics!$AI$2:$AI$167*(_xlfn.NORM.DIST(AD$3,economics!$AK$2:$AK$167,economics!$AJ$2:$AJ$167,TRUE)-_xlfn.NORM.DIST(AD$30,economics!$AK$2:$AK$167,economics!$AJ$2:$AJ$167,TRUE)))),"")</f>
        <v/>
      </c>
      <c r="AE38">
        <f t="array" ref="AE38">IFERROR((SUMPRODUCT((economics!$AG$2:$AG$167=$B38)*(economics!$D$2:$D$167="process")*economics!$AI$2:$AI$167*(_xlfn.NORM.DIST(AE$3,economics!$AK$2:$AK$167,economics!$AJ$2:$AJ$167,TRUE)-_xlfn.NORM.DIST(AE$30,economics!$AK$2:$AK$167,economics!$AJ$2:$AJ$167,TRUE))*economics!$AM$2:$AM$167))/(SUMPRODUCT((economics!$AG$2:$AG$167=$B38)*(economics!$D$2:$D$167="process")*economics!$AI$2:$AI$167*(_xlfn.NORM.DIST(AE$3,economics!$AK$2:$AK$167,economics!$AJ$2:$AJ$167,TRUE)-_xlfn.NORM.DIST(AE$30,economics!$AK$2:$AK$167,economics!$AJ$2:$AJ$167,TRUE)))),"")</f>
        <v/>
      </c>
      <c r="AF38">
        <f t="array" ref="AF38">IFERROR((SUMPRODUCT((economics!$AG$2:$AG$167=$B38)*(economics!$D$2:$D$167="process")*economics!$AI$2:$AI$167*(_xlfn.NORM.DIST(AF$3,economics!$AK$2:$AK$167,economics!$AJ$2:$AJ$167,TRUE)-_xlfn.NORM.DIST(AF$30,economics!$AK$2:$AK$167,economics!$AJ$2:$AJ$167,TRUE))*economics!$AM$2:$AM$167))/(SUMPRODUCT((economics!$AG$2:$AG$167=$B38)*(economics!$D$2:$D$167="process")*economics!$AI$2:$AI$167*(_xlfn.NORM.DIST(AF$3,economics!$AK$2:$AK$167,economics!$AJ$2:$AJ$167,TRUE)-_xlfn.NORM.DIST(AF$30,economics!$AK$2:$AK$167,economics!$AJ$2:$AJ$167,TRUE)))),"")</f>
        <v/>
      </c>
      <c r="AG38">
        <f t="array" ref="AG38">IFERROR((SUMPRODUCT((economics!$AG$2:$AG$167=$B38)*(economics!$D$2:$D$167="process")*economics!$AI$2:$AI$167*(_xlfn.NORM.DIST(AG$3,economics!$AK$2:$AK$167,economics!$AJ$2:$AJ$167,TRUE)-_xlfn.NORM.DIST(AG$30,economics!$AK$2:$AK$167,economics!$AJ$2:$AJ$167,TRUE))*economics!$AM$2:$AM$167))/(SUMPRODUCT((economics!$AG$2:$AG$167=$B38)*(economics!$D$2:$D$167="process")*economics!$AI$2:$AI$167*(_xlfn.NORM.DIST(AG$3,economics!$AK$2:$AK$167,economics!$AJ$2:$AJ$167,TRUE)-_xlfn.NORM.DIST(AG$30,economics!$AK$2:$AK$167,economics!$AJ$2:$AJ$167,TRUE)))),"")</f>
        <v/>
      </c>
      <c r="AH38">
        <f t="array" ref="AH38">IFERROR((SUMPRODUCT((economics!$AG$2:$AG$167=$B38)*(economics!$D$2:$D$167="process")*economics!$AI$2:$AI$167*(_xlfn.NORM.DIST(AH$3,economics!$AK$2:$AK$167,economics!$AJ$2:$AJ$167,TRUE)-_xlfn.NORM.DIST(AH$30,economics!$AK$2:$AK$167,economics!$AJ$2:$AJ$167,TRUE))*economics!$AM$2:$AM$167))/(SUMPRODUCT((economics!$AG$2:$AG$167=$B38)*(economics!$D$2:$D$167="process")*economics!$AI$2:$AI$167*(_xlfn.NORM.DIST(AH$3,economics!$AK$2:$AK$167,economics!$AJ$2:$AJ$167,TRUE)-_xlfn.NORM.DIST(AH$30,economics!$AK$2:$AK$167,economics!$AJ$2:$AJ$167,TRUE)))),"")</f>
        <v/>
      </c>
      <c r="AI38">
        <f t="array" ref="AI38">IFERROR((SUMPRODUCT((economics!$AG$2:$AG$167=$B38)*(economics!$D$2:$D$167="process")*economics!$AI$2:$AI$167*(_xlfn.NORM.DIST(AI$3,economics!$AK$2:$AK$167,economics!$AJ$2:$AJ$167,TRUE)-_xlfn.NORM.DIST(AI$30,economics!$AK$2:$AK$167,economics!$AJ$2:$AJ$167,TRUE))*economics!$AM$2:$AM$167))/(SUMPRODUCT((economics!$AG$2:$AG$167=$B38)*(economics!$D$2:$D$167="process")*economics!$AI$2:$AI$167*(_xlfn.NORM.DIST(AI$3,economics!$AK$2:$AK$167,economics!$AJ$2:$AJ$167,TRUE)-_xlfn.NORM.DIST(AI$30,economics!$AK$2:$AK$167,economics!$AJ$2:$AJ$167,TRUE)))),"")</f>
        <v/>
      </c>
      <c r="AJ38">
        <f t="array" ref="AJ38">IFERROR((SUMPRODUCT((economics!$AG$2:$AG$167=$B38)*(economics!$D$2:$D$167="process")*economics!$AI$2:$AI$167*(_xlfn.NORM.DIST(AJ$3,economics!$AK$2:$AK$167,economics!$AJ$2:$AJ$167,TRUE)-_xlfn.NORM.DIST(AJ$30,economics!$AK$2:$AK$167,economics!$AJ$2:$AJ$167,TRUE))*economics!$AM$2:$AM$167))/(SUMPRODUCT((economics!$AG$2:$AG$167=$B38)*(economics!$D$2:$D$167="process")*economics!$AI$2:$AI$167*(_xlfn.NORM.DIST(AJ$3,economics!$AK$2:$AK$167,economics!$AJ$2:$AJ$167,TRUE)-_xlfn.NORM.DIST(AJ$30,economics!$AK$2:$AK$167,economics!$AJ$2:$AJ$167,TRUE)))),"")</f>
        <v/>
      </c>
      <c r="AK38">
        <f t="array" ref="AK38">IFERROR((SUMPRODUCT((economics!$AG$2:$AG$167=$B38)*(economics!$D$2:$D$167="process")*economics!$AI$2:$AI$167*(_xlfn.NORM.DIST(AK$3,economics!$AK$2:$AK$167,economics!$AJ$2:$AJ$167,TRUE)-_xlfn.NORM.DIST(AK$30,economics!$AK$2:$AK$167,economics!$AJ$2:$AJ$167,TRUE))*economics!$AM$2:$AM$167))/(SUMPRODUCT((economics!$AG$2:$AG$167=$B38)*(economics!$D$2:$D$167="process")*economics!$AI$2:$AI$167*(_xlfn.NORM.DIST(AK$3,economics!$AK$2:$AK$167,economics!$AJ$2:$AJ$167,TRUE)-_xlfn.NORM.DIST(AK$30,economics!$AK$2:$AK$167,economics!$AJ$2:$AJ$167,TRUE)))),"")</f>
        <v/>
      </c>
      <c r="AL38">
        <f t="array" ref="AL38">IFERROR((SUMPRODUCT((economics!$AG$2:$AG$167=$B38)*(economics!$D$2:$D$167="process")*economics!$AI$2:$AI$167*(_xlfn.NORM.DIST(AL$3,economics!$AK$2:$AK$167,economics!$AJ$2:$AJ$167,TRUE)-_xlfn.NORM.DIST(AL$30,economics!$AK$2:$AK$167,economics!$AJ$2:$AJ$167,TRUE))*economics!$AM$2:$AM$167))/(SUMPRODUCT((economics!$AG$2:$AG$167=$B38)*(economics!$D$2:$D$167="process")*economics!$AI$2:$AI$167*(_xlfn.NORM.DIST(AL$3,economics!$AK$2:$AK$167,economics!$AJ$2:$AJ$167,TRUE)-_xlfn.NORM.DIST(AL$30,economics!$AK$2:$AK$167,economics!$AJ$2:$AJ$167,TRUE)))),"")</f>
        <v/>
      </c>
      <c r="AM38">
        <f t="array" ref="AM38">IFERROR((SUMPRODUCT((economics!$AG$2:$AG$167=$B38)*(economics!$D$2:$D$167="process")*economics!$AI$2:$AI$167*(_xlfn.NORM.DIST(AM$3,economics!$AK$2:$AK$167,economics!$AJ$2:$AJ$167,TRUE)-_xlfn.NORM.DIST(AM$30,economics!$AK$2:$AK$167,economics!$AJ$2:$AJ$167,TRUE))*economics!$AM$2:$AM$167))/(SUMPRODUCT((economics!$AG$2:$AG$167=$B38)*(economics!$D$2:$D$167="process")*economics!$AI$2:$AI$167*(_xlfn.NORM.DIST(AM$3,economics!$AK$2:$AK$167,economics!$AJ$2:$AJ$167,TRUE)-_xlfn.NORM.DIST(AM$30,economics!$AK$2:$AK$167,economics!$AJ$2:$AJ$167,TRUE)))),"")</f>
        <v/>
      </c>
      <c r="AN38">
        <f t="array" ref="AN38">IFERROR((SUMPRODUCT((economics!$AG$2:$AG$167=$B38)*(economics!$D$2:$D$167="process")*economics!$AI$2:$AI$167*(_xlfn.NORM.DIST(AN$3,economics!$AK$2:$AK$167,economics!$AJ$2:$AJ$167,TRUE)-_xlfn.NORM.DIST(AN$30,economics!$AK$2:$AK$167,economics!$AJ$2:$AJ$167,TRUE))*economics!$AM$2:$AM$167))/(SUMPRODUCT((economics!$AG$2:$AG$167=$B38)*(economics!$D$2:$D$167="process")*economics!$AI$2:$AI$167*(_xlfn.NORM.DIST(AN$3,economics!$AK$2:$AK$167,economics!$AJ$2:$AJ$167,TRUE)-_xlfn.NORM.DIST(AN$30,economics!$AK$2:$AK$167,economics!$AJ$2:$AJ$167,TRUE)))),"")</f>
        <v/>
      </c>
      <c r="AO38">
        <f t="array" ref="AO38">IFERROR((SUMPRODUCT((economics!$AG$2:$AG$167=$B38)*(economics!$D$2:$D$167="process")*economics!$AI$2:$AI$167*(_xlfn.NORM.DIST(AO$3,economics!$AK$2:$AK$167,economics!$AJ$2:$AJ$167,TRUE)-_xlfn.NORM.DIST(AO$30,economics!$AK$2:$AK$167,economics!$AJ$2:$AJ$167,TRUE))*economics!$AM$2:$AM$167))/(SUMPRODUCT((economics!$AG$2:$AG$167=$B38)*(economics!$D$2:$D$167="process")*economics!$AI$2:$AI$167*(_xlfn.NORM.DIST(AO$3,economics!$AK$2:$AK$167,economics!$AJ$2:$AJ$167,TRUE)-_xlfn.NORM.DIST(AO$30,economics!$AK$2:$AK$167,economics!$AJ$2:$AJ$167,TRUE)))),"")</f>
        <v/>
      </c>
      <c r="AP38">
        <f t="array" ref="AP38">IFERROR((SUMPRODUCT((economics!$AG$2:$AG$167=$B38)*(economics!$D$2:$D$167="process")*economics!$AI$2:$AI$167*(_xlfn.NORM.DIST(AP$3,economics!$AK$2:$AK$167,economics!$AJ$2:$AJ$167,TRUE)-_xlfn.NORM.DIST(AP$30,economics!$AK$2:$AK$167,economics!$AJ$2:$AJ$167,TRUE))*economics!$AM$2:$AM$167))/(SUMPRODUCT((economics!$AG$2:$AG$167=$B38)*(economics!$D$2:$D$167="process")*economics!$AI$2:$AI$167*(_xlfn.NORM.DIST(AP$3,economics!$AK$2:$AK$167,economics!$AJ$2:$AJ$167,TRUE)-_xlfn.NORM.DIST(AP$30,economics!$AK$2:$AK$167,economics!$AJ$2:$AJ$167,TRUE)))),"")</f>
        <v/>
      </c>
      <c r="AQ38">
        <f t="array" ref="AQ38">IFERROR((SUMPRODUCT((economics!$AG$2:$AG$167=$B38)*(economics!$D$2:$D$167="process")*economics!$AI$2:$AI$167*(_xlfn.NORM.DIST(AQ$3,economics!$AK$2:$AK$167,economics!$AJ$2:$AJ$167,TRUE)-_xlfn.NORM.DIST(AQ$30,economics!$AK$2:$AK$167,economics!$AJ$2:$AJ$167,TRUE))*economics!$AM$2:$AM$167))/(SUMPRODUCT((economics!$AG$2:$AG$167=$B38)*(economics!$D$2:$D$167="process")*economics!$AI$2:$AI$167*(_xlfn.NORM.DIST(AQ$3,economics!$AK$2:$AK$167,economics!$AJ$2:$AJ$167,TRUE)-_xlfn.NORM.DIST(AQ$30,economics!$AK$2:$AK$167,economics!$AJ$2:$AJ$167,TRUE)))),"")</f>
        <v/>
      </c>
      <c r="AR38">
        <f t="array" ref="AR38">IFERROR((SUMPRODUCT((economics!$AG$2:$AG$167=$B38)*(economics!$D$2:$D$167="process")*economics!$AI$2:$AI$167*(_xlfn.NORM.DIST(AR$3,economics!$AK$2:$AK$167,economics!$AJ$2:$AJ$167,TRUE)-_xlfn.NORM.DIST(AR$30,economics!$AK$2:$AK$167,economics!$AJ$2:$AJ$167,TRUE))*economics!$AM$2:$AM$167))/(SUMPRODUCT((economics!$AG$2:$AG$167=$B38)*(economics!$D$2:$D$167="process")*economics!$AI$2:$AI$167*(_xlfn.NORM.DIST(AR$3,economics!$AK$2:$AK$167,economics!$AJ$2:$AJ$167,TRUE)-_xlfn.NORM.DIST(AR$30,economics!$AK$2:$AK$167,economics!$AJ$2:$AJ$167,TRUE)))),"")</f>
        <v/>
      </c>
      <c r="AS38">
        <f t="array" ref="AS38">IFERROR((SUMPRODUCT((economics!$AG$2:$AG$167=$B38)*(economics!$D$2:$D$167="process")*economics!$AI$2:$AI$167*(_xlfn.NORM.DIST(AS$3,economics!$AK$2:$AK$167,economics!$AJ$2:$AJ$167,TRUE)-_xlfn.NORM.DIST(AS$30,economics!$AK$2:$AK$167,economics!$AJ$2:$AJ$167,TRUE))*economics!$AM$2:$AM$167))/(SUMPRODUCT((economics!$AG$2:$AG$167=$B38)*(economics!$D$2:$D$167="process")*economics!$AI$2:$AI$167*(_xlfn.NORM.DIST(AS$3,economics!$AK$2:$AK$167,economics!$AJ$2:$AJ$167,TRUE)-_xlfn.NORM.DIST(AS$30,economics!$AK$2:$AK$167,economics!$AJ$2:$AJ$167,TRUE)))),"")</f>
        <v/>
      </c>
      <c r="AT38">
        <f t="array" ref="AT38">IFERROR((SUMPRODUCT((economics!$AG$2:$AG$167=$B38)*(economics!$D$2:$D$167="process")*economics!$AI$2:$AI$167*(_xlfn.NORM.DIST(AT$3,economics!$AK$2:$AK$167,economics!$AJ$2:$AJ$167,TRUE)-_xlfn.NORM.DIST(AT$30,economics!$AK$2:$AK$167,economics!$AJ$2:$AJ$167,TRUE))*economics!$AM$2:$AM$167))/(SUMPRODUCT((economics!$AG$2:$AG$167=$B38)*(economics!$D$2:$D$167="process")*economics!$AI$2:$AI$167*(_xlfn.NORM.DIST(AT$3,economics!$AK$2:$AK$167,economics!$AJ$2:$AJ$167,TRUE)-_xlfn.NORM.DIST(AT$30,economics!$AK$2:$AK$167,economics!$AJ$2:$AJ$167,TRUE)))),"")</f>
        <v/>
      </c>
      <c r="AU38">
        <f t="array" ref="AU38">IFERROR((SUMPRODUCT((economics!$AG$2:$AG$167=$B38)*(economics!$D$2:$D$167="process")*economics!$AI$2:$AI$167*(_xlfn.NORM.DIST(AU$3,economics!$AK$2:$AK$167,economics!$AJ$2:$AJ$167,TRUE)-_xlfn.NORM.DIST(AU$30,economics!$AK$2:$AK$167,economics!$AJ$2:$AJ$167,TRUE))*economics!$AM$2:$AM$167))/(SUMPRODUCT((economics!$AG$2:$AG$167=$B38)*(economics!$D$2:$D$167="process")*economics!$AI$2:$AI$167*(_xlfn.NORM.DIST(AU$3,economics!$AK$2:$AK$167,economics!$AJ$2:$AJ$167,TRUE)-_xlfn.NORM.DIST(AU$30,economics!$AK$2:$AK$167,economics!$AJ$2:$AJ$167,TRUE)))),"")</f>
        <v/>
      </c>
      <c r="AV38">
        <f t="array" ref="AV38">IFERROR((SUMPRODUCT((economics!$AG$2:$AG$167=$B38)*(economics!$D$2:$D$167="process")*economics!$AI$2:$AI$167*(_xlfn.NORM.DIST(AV$3,economics!$AK$2:$AK$167,economics!$AJ$2:$AJ$167,TRUE)-_xlfn.NORM.DIST(AV$30,economics!$AK$2:$AK$167,economics!$AJ$2:$AJ$167,TRUE))*economics!$AM$2:$AM$167))/(SUMPRODUCT((economics!$AG$2:$AG$167=$B38)*(economics!$D$2:$D$167="process")*economics!$AI$2:$AI$167*(_xlfn.NORM.DIST(AV$3,economics!$AK$2:$AK$167,economics!$AJ$2:$AJ$167,TRUE)-_xlfn.NORM.DIST(AV$30,economics!$AK$2:$AK$167,economics!$AJ$2:$AJ$167,TRUE)))),"")</f>
        <v/>
      </c>
      <c r="AW38">
        <f t="array" ref="AW38">IFERROR((SUMPRODUCT((economics!$AG$2:$AG$167=$B38)*(economics!$D$2:$D$167="process")*economics!$AI$2:$AI$167*(_xlfn.NORM.DIST(AW$3,economics!$AK$2:$AK$167,economics!$AJ$2:$AJ$167,TRUE)-_xlfn.NORM.DIST(AW$30,economics!$AK$2:$AK$167,economics!$AJ$2:$AJ$167,TRUE))*economics!$AM$2:$AM$167))/(SUMPRODUCT((economics!$AG$2:$AG$167=$B38)*(economics!$D$2:$D$167="process")*economics!$AI$2:$AI$167*(_xlfn.NORM.DIST(AW$3,economics!$AK$2:$AK$167,economics!$AJ$2:$AJ$167,TRUE)-_xlfn.NORM.DIST(AW$30,economics!$AK$2:$AK$167,economics!$AJ$2:$AJ$167,TRUE)))),"")</f>
        <v/>
      </c>
      <c r="AX38">
        <f t="array" ref="AX38">IFERROR((SUMPRODUCT((economics!$AG$2:$AG$167=$B38)*(economics!$D$2:$D$167="process")*economics!$AI$2:$AI$167*(_xlfn.NORM.DIST(AX$3,economics!$AK$2:$AK$167,economics!$AJ$2:$AJ$167,TRUE)-_xlfn.NORM.DIST(AX$30,economics!$AK$2:$AK$167,economics!$AJ$2:$AJ$167,TRUE))*economics!$AM$2:$AM$167))/(SUMPRODUCT((economics!$AG$2:$AG$167=$B38)*(economics!$D$2:$D$167="process")*economics!$AI$2:$AI$167*(_xlfn.NORM.DIST(AX$3,economics!$AK$2:$AK$167,economics!$AJ$2:$AJ$167,TRUE)-_xlfn.NORM.DIST(AX$30,economics!$AK$2:$AK$167,economics!$AJ$2:$AJ$167,TRUE)))),"")</f>
        <v/>
      </c>
      <c r="AY38">
        <f t="array" ref="AY38">IFERROR((SUMPRODUCT((economics!$AG$2:$AG$167=$B38)*(economics!$D$2:$D$167="process")*economics!$AI$2:$AI$167*(_xlfn.NORM.DIST(AY$3,economics!$AK$2:$AK$167,economics!$AJ$2:$AJ$167,TRUE)-_xlfn.NORM.DIST(AY$30,economics!$AK$2:$AK$167,economics!$AJ$2:$AJ$167,TRUE))*economics!$AM$2:$AM$167))/(SUMPRODUCT((economics!$AG$2:$AG$167=$B38)*(economics!$D$2:$D$167="process")*economics!$AI$2:$AI$167*(_xlfn.NORM.DIST(AY$3,economics!$AK$2:$AK$167,economics!$AJ$2:$AJ$167,TRUE)-_xlfn.NORM.DIST(AY$30,economics!$AK$2:$AK$167,economics!$AJ$2:$AJ$167,TRUE)))),"")</f>
        <v/>
      </c>
      <c r="AZ38">
        <f t="array" ref="AZ38">IFERROR((SUMPRODUCT((economics!$AG$2:$AG$167=$B38)*(economics!$D$2:$D$167="process")*economics!$AI$2:$AI$167*(_xlfn.NORM.DIST(AZ$3,economics!$AK$2:$AK$167,economics!$AJ$2:$AJ$167,TRUE)-_xlfn.NORM.DIST(AZ$30,economics!$AK$2:$AK$167,economics!$AJ$2:$AJ$167,TRUE))*economics!$AM$2:$AM$167))/(SUMPRODUCT((economics!$AG$2:$AG$167=$B38)*(economics!$D$2:$D$167="process")*economics!$AI$2:$AI$167*(_xlfn.NORM.DIST(AZ$3,economics!$AK$2:$AK$167,economics!$AJ$2:$AJ$167,TRUE)-_xlfn.NORM.DIST(AZ$30,economics!$AK$2:$AK$167,economics!$AJ$2:$AJ$167,TRUE)))),"")</f>
        <v/>
      </c>
      <c r="BA38">
        <f t="array" ref="BA38">IFERROR((SUMPRODUCT((economics!$AG$2:$AG$167=$B38)*(economics!$D$2:$D$167="process")*economics!$AI$2:$AI$167*(_xlfn.NORM.DIST(BA$3,economics!$AK$2:$AK$167,economics!$AJ$2:$AJ$167,TRUE)-_xlfn.NORM.DIST(BA$30,economics!$AK$2:$AK$167,economics!$AJ$2:$AJ$167,TRUE))*economics!$AM$2:$AM$167))/(SUMPRODUCT((economics!$AG$2:$AG$167=$B38)*(economics!$D$2:$D$167="process")*economics!$AI$2:$AI$167*(_xlfn.NORM.DIST(BA$3,economics!$AK$2:$AK$167,economics!$AJ$2:$AJ$167,TRUE)-_xlfn.NORM.DIST(BA$30,economics!$AK$2:$AK$167,economics!$AJ$2:$AJ$167,TRUE)))),"")</f>
        <v/>
      </c>
      <c r="BB38">
        <f t="array" ref="BB38">IFERROR((SUMPRODUCT((economics!$AG$2:$AG$167=$B38)*(economics!$D$2:$D$167="process")*economics!$AI$2:$AI$167*(_xlfn.NORM.DIST(BB$3,economics!$AK$2:$AK$167,economics!$AJ$2:$AJ$167,TRUE)-_xlfn.NORM.DIST(BB$30,economics!$AK$2:$AK$167,economics!$AJ$2:$AJ$167,TRUE))*economics!$AM$2:$AM$167))/(SUMPRODUCT((economics!$AG$2:$AG$167=$B38)*(economics!$D$2:$D$167="process")*economics!$AI$2:$AI$167*(_xlfn.NORM.DIST(BB$3,economics!$AK$2:$AK$167,economics!$AJ$2:$AJ$167,TRUE)-_xlfn.NORM.DIST(BB$30,economics!$AK$2:$AK$167,economics!$AJ$2:$AJ$167,TRUE)))),"")</f>
        <v/>
      </c>
      <c r="BC38">
        <f t="array" ref="BC38">IFERROR((SUMPRODUCT((economics!$AG$2:$AG$167=$B38)*(economics!$D$2:$D$167="process")*economics!$AI$2:$AI$167*(_xlfn.NORM.DIST(BC$3,economics!$AK$2:$AK$167,economics!$AJ$2:$AJ$167,TRUE)-_xlfn.NORM.DIST(BC$30,economics!$AK$2:$AK$167,economics!$AJ$2:$AJ$167,TRUE))*economics!$AM$2:$AM$167))/(SUMPRODUCT((economics!$AG$2:$AG$167=$B38)*(economics!$D$2:$D$167="process")*economics!$AI$2:$AI$167*(_xlfn.NORM.DIST(BC$3,economics!$AK$2:$AK$167,economics!$AJ$2:$AJ$167,TRUE)-_xlfn.NORM.DIST(BC$30,economics!$AK$2:$AK$167,economics!$AJ$2:$AJ$167,TRUE)))),"")</f>
        <v/>
      </c>
      <c r="BD38">
        <f t="array" ref="BD38">IFERROR((SUMPRODUCT((economics!$AG$2:$AG$167=$B38)*(economics!$D$2:$D$167="process")*economics!$AI$2:$AI$167*(_xlfn.NORM.DIST(BD$3,economics!$AK$2:$AK$167,economics!$AJ$2:$AJ$167,TRUE)-_xlfn.NORM.DIST(BD$30,economics!$AK$2:$AK$167,economics!$AJ$2:$AJ$167,TRUE))*economics!$AM$2:$AM$167))/(SUMPRODUCT((economics!$AG$2:$AG$167=$B38)*(economics!$D$2:$D$167="process")*economics!$AI$2:$AI$167*(_xlfn.NORM.DIST(BD$3,economics!$AK$2:$AK$167,economics!$AJ$2:$AJ$167,TRUE)-_xlfn.NORM.DIST(BD$30,economics!$AK$2:$AK$167,economics!$AJ$2:$AJ$167,TRUE)))),"")</f>
        <v/>
      </c>
      <c r="BE38">
        <f t="array" ref="BE38">IFERROR((SUMPRODUCT((economics!$AG$2:$AG$167=$B38)*(economics!$D$2:$D$167="process")*economics!$AI$2:$AI$167*(_xlfn.NORM.DIST(BE$3,economics!$AK$2:$AK$167,economics!$AJ$2:$AJ$167,TRUE)-_xlfn.NORM.DIST(BE$30,economics!$AK$2:$AK$167,economics!$AJ$2:$AJ$167,TRUE))*economics!$AM$2:$AM$167))/(SUMPRODUCT((economics!$AG$2:$AG$167=$B38)*(economics!$D$2:$D$167="process")*economics!$AI$2:$AI$167*(_xlfn.NORM.DIST(BE$3,economics!$AK$2:$AK$167,economics!$AJ$2:$AJ$167,TRUE)-_xlfn.NORM.DIST(BE$30,economics!$AK$2:$AK$167,economics!$AJ$2:$AJ$167,TRUE)))),"")</f>
        <v/>
      </c>
      <c r="BF38">
        <f t="array" ref="BF38">IFERROR((SUMPRODUCT((economics!$AG$2:$AG$167=$B38)*(economics!$D$2:$D$167="process")*economics!$AI$2:$AI$167*(_xlfn.NORM.DIST(BF$3,economics!$AK$2:$AK$167,economics!$AJ$2:$AJ$167,TRUE)-_xlfn.NORM.DIST(BF$30,economics!$AK$2:$AK$167,economics!$AJ$2:$AJ$167,TRUE))*economics!$AM$2:$AM$167))/(SUMPRODUCT((economics!$AG$2:$AG$167=$B38)*(economics!$D$2:$D$167="process")*economics!$AI$2:$AI$167*(_xlfn.NORM.DIST(BF$3,economics!$AK$2:$AK$167,economics!$AJ$2:$AJ$167,TRUE)-_xlfn.NORM.DIST(BF$30,economics!$AK$2:$AK$167,economics!$AJ$2:$AJ$167,TRUE)))),"")</f>
        <v/>
      </c>
      <c r="BG38">
        <f t="array" ref="BG38">IFERROR((SUMPRODUCT((economics!$AG$2:$AG$167=$B38)*(economics!$D$2:$D$167="process")*economics!$AI$2:$AI$167*(_xlfn.NORM.DIST(BG$3,economics!$AK$2:$AK$167,economics!$AJ$2:$AJ$167,TRUE)-_xlfn.NORM.DIST(BG$30,economics!$AK$2:$AK$167,economics!$AJ$2:$AJ$167,TRUE))*economics!$AM$2:$AM$167))/(SUMPRODUCT((economics!$AG$2:$AG$167=$B38)*(economics!$D$2:$D$167="process")*economics!$AI$2:$AI$167*(_xlfn.NORM.DIST(BG$3,economics!$AK$2:$AK$167,economics!$AJ$2:$AJ$167,TRUE)-_xlfn.NORM.DIST(BG$30,economics!$AK$2:$AK$167,economics!$AJ$2:$AJ$167,TRUE)))),"")</f>
        <v/>
      </c>
      <c r="BH38">
        <f t="array" ref="BH38">IFERROR((SUMPRODUCT((economics!$AG$2:$AG$167=$B38)*(economics!$D$2:$D$167="process")*economics!$AI$2:$AI$167*(_xlfn.NORM.DIST(BH$3,economics!$AK$2:$AK$167,economics!$AJ$2:$AJ$167,TRUE)-_xlfn.NORM.DIST(BH$30,economics!$AK$2:$AK$167,economics!$AJ$2:$AJ$167,TRUE))*economics!$AM$2:$AM$167))/(SUMPRODUCT((economics!$AG$2:$AG$167=$B38)*(economics!$D$2:$D$167="process")*economics!$AI$2:$AI$167*(_xlfn.NORM.DIST(BH$3,economics!$AK$2:$AK$167,economics!$AJ$2:$AJ$167,TRUE)-_xlfn.NORM.DIST(BH$30,economics!$AK$2:$AK$167,economics!$AJ$2:$AJ$167,TRUE)))),"")</f>
        <v/>
      </c>
      <c r="BI38">
        <f t="array" ref="BI38">IFERROR((SUMPRODUCT((economics!$AG$2:$AG$167=$B38)*(economics!$D$2:$D$167="process")*economics!$AI$2:$AI$167*(_xlfn.NORM.DIST(BI$3,economics!$AK$2:$AK$167,economics!$AJ$2:$AJ$167,TRUE)-_xlfn.NORM.DIST(BI$30,economics!$AK$2:$AK$167,economics!$AJ$2:$AJ$167,TRUE))*economics!$AM$2:$AM$167))/(SUMPRODUCT((economics!$AG$2:$AG$167=$B38)*(economics!$D$2:$D$167="process")*economics!$AI$2:$AI$167*(_xlfn.NORM.DIST(BI$3,economics!$AK$2:$AK$167,economics!$AJ$2:$AJ$167,TRUE)-_xlfn.NORM.DIST(BI$30,economics!$AK$2:$AK$167,economics!$AJ$2:$AJ$167,TRUE)))),"")</f>
        <v/>
      </c>
      <c r="BJ38">
        <f t="array" ref="BJ38">IFERROR((SUMPRODUCT((economics!$AG$2:$AG$167=$B38)*(economics!$D$2:$D$167="process")*economics!$AI$2:$AI$167*(_xlfn.NORM.DIST(BJ$3,economics!$AK$2:$AK$167,economics!$AJ$2:$AJ$167,TRUE)-_xlfn.NORM.DIST(BJ$30,economics!$AK$2:$AK$167,economics!$AJ$2:$AJ$167,TRUE))*economics!$AM$2:$AM$167))/(SUMPRODUCT((economics!$AG$2:$AG$167=$B38)*(economics!$D$2:$D$167="process")*economics!$AI$2:$AI$167*(_xlfn.NORM.DIST(BJ$3,economics!$AK$2:$AK$167,economics!$AJ$2:$AJ$167,TRUE)-_xlfn.NORM.DIST(BJ$30,economics!$AK$2:$AK$167,economics!$AJ$2:$AJ$167,TRUE)))),"")</f>
        <v/>
      </c>
      <c r="BK38">
        <f t="array" ref="BK38">IFERROR((SUMPRODUCT((economics!$AG$2:$AG$167=$B38)*(economics!$D$2:$D$167="process")*economics!$AI$2:$AI$167*(_xlfn.NORM.DIST(BK$3,economics!$AK$2:$AK$167,economics!$AJ$2:$AJ$167,TRUE)-_xlfn.NORM.DIST(BK$30,economics!$AK$2:$AK$167,economics!$AJ$2:$AJ$167,TRUE))*economics!$AM$2:$AM$167))/(SUMPRODUCT((economics!$AG$2:$AG$167=$B38)*(economics!$D$2:$D$167="process")*economics!$AI$2:$AI$167*(_xlfn.NORM.DIST(BK$3,economics!$AK$2:$AK$167,economics!$AJ$2:$AJ$167,TRUE)-_xlfn.NORM.DIST(BK$30,economics!$AK$2:$AK$167,economics!$AJ$2:$AJ$167,TRUE)))),"")</f>
        <v/>
      </c>
      <c r="BL38">
        <f t="array" ref="BL38">IFERROR((SUMPRODUCT((economics!$AG$2:$AG$167=$B38)*(economics!$D$2:$D$167="process")*economics!$AI$2:$AI$167*(_xlfn.NORM.DIST(BL$3,economics!$AK$2:$AK$167,economics!$AJ$2:$AJ$167,TRUE)-_xlfn.NORM.DIST(BL$30,economics!$AK$2:$AK$167,economics!$AJ$2:$AJ$167,TRUE))*economics!$AM$2:$AM$167))/(SUMPRODUCT((economics!$AG$2:$AG$167=$B38)*(economics!$D$2:$D$167="process")*economics!$AI$2:$AI$167*(_xlfn.NORM.DIST(BL$3,economics!$AK$2:$AK$167,economics!$AJ$2:$AJ$167,TRUE)-_xlfn.NORM.DIST(BL$30,economics!$AK$2:$AK$167,economics!$AJ$2:$AJ$167,TRUE)))),"")</f>
        <v/>
      </c>
      <c r="BM38">
        <f t="array" ref="BM38">IFERROR((SUMPRODUCT((economics!$AG$2:$AG$167=$B38)*(economics!$D$2:$D$167="process")*economics!$AI$2:$AI$167*(_xlfn.NORM.DIST(BM$3,economics!$AK$2:$AK$167,economics!$AJ$2:$AJ$167,TRUE)-_xlfn.NORM.DIST(BM$30,economics!$AK$2:$AK$167,economics!$AJ$2:$AJ$167,TRUE))*economics!$AM$2:$AM$167))/(SUMPRODUCT((economics!$AG$2:$AG$167=$B38)*(economics!$D$2:$D$167="process")*economics!$AI$2:$AI$167*(_xlfn.NORM.DIST(BM$3,economics!$AK$2:$AK$167,economics!$AJ$2:$AJ$167,TRUE)-_xlfn.NORM.DIST(BM$30,economics!$AK$2:$AK$167,economics!$AJ$2:$AJ$167,TRUE)))),"")</f>
        <v/>
      </c>
      <c r="BN38">
        <f t="array" ref="BN38">IFERROR((SUMPRODUCT((economics!$AG$2:$AG$167=$B38)*(economics!$D$2:$D$167="process")*economics!$AI$2:$AI$167*(_xlfn.NORM.DIST(BN$3,economics!$AK$2:$AK$167,economics!$AJ$2:$AJ$167,TRUE)-_xlfn.NORM.DIST(BN$30,economics!$AK$2:$AK$167,economics!$AJ$2:$AJ$167,TRUE))*economics!$AM$2:$AM$167))/(SUMPRODUCT((economics!$AG$2:$AG$167=$B38)*(economics!$D$2:$D$167="process")*economics!$AI$2:$AI$167*(_xlfn.NORM.DIST(BN$3,economics!$AK$2:$AK$167,economics!$AJ$2:$AJ$167,TRUE)-_xlfn.NORM.DIST(BN$30,economics!$AK$2:$AK$167,economics!$AJ$2:$AJ$167,TRUE)))),"")</f>
        <v/>
      </c>
      <c r="BO38">
        <f t="array" ref="BO38">IFERROR((SUMPRODUCT((economics!$AG$2:$AG$167=$B38)*(economics!$D$2:$D$167="process")*economics!$AI$2:$AI$167*(_xlfn.NORM.DIST(BO$3,economics!$AK$2:$AK$167,economics!$AJ$2:$AJ$167,TRUE)-_xlfn.NORM.DIST(BO$30,economics!$AK$2:$AK$167,economics!$AJ$2:$AJ$167,TRUE))*economics!$AM$2:$AM$167))/(SUMPRODUCT((economics!$AG$2:$AG$167=$B38)*(economics!$D$2:$D$167="process")*economics!$AI$2:$AI$167*(_xlfn.NORM.DIST(BO$3,economics!$AK$2:$AK$167,economics!$AJ$2:$AJ$167,TRUE)-_xlfn.NORM.DIST(BO$30,economics!$AK$2:$AK$167,economics!$AJ$2:$AJ$167,TRUE)))),"")</f>
        <v/>
      </c>
      <c r="BP38">
        <f t="array" ref="BP38">IFERROR((SUMPRODUCT((economics!$AG$2:$AG$167=$B38)*(economics!$D$2:$D$167="process")*economics!$AI$2:$AI$167*(_xlfn.NORM.DIST(BP$3,economics!$AK$2:$AK$167,economics!$AJ$2:$AJ$167,TRUE)-_xlfn.NORM.DIST(BP$30,economics!$AK$2:$AK$167,economics!$AJ$2:$AJ$167,TRUE))*economics!$AM$2:$AM$167))/(SUMPRODUCT((economics!$AG$2:$AG$167=$B38)*(economics!$D$2:$D$167="process")*economics!$AI$2:$AI$167*(_xlfn.NORM.DIST(BP$3,economics!$AK$2:$AK$167,economics!$AJ$2:$AJ$167,TRUE)-_xlfn.NORM.DIST(BP$30,economics!$AK$2:$AK$167,economics!$AJ$2:$AJ$167,TRUE)))),"")</f>
        <v/>
      </c>
      <c r="BQ38">
        <f t="array" ref="BQ38">IFERROR((SUMPRODUCT((economics!$AG$2:$AG$167=$B38)*(economics!$D$2:$D$167="process")*economics!$AI$2:$AI$167*(_xlfn.NORM.DIST(BQ$3,economics!$AK$2:$AK$167,economics!$AJ$2:$AJ$167,TRUE)-_xlfn.NORM.DIST(BQ$30,economics!$AK$2:$AK$167,economics!$AJ$2:$AJ$167,TRUE))*economics!$AM$2:$AM$167))/(SUMPRODUCT((economics!$AG$2:$AG$167=$B38)*(economics!$D$2:$D$167="process")*economics!$AI$2:$AI$167*(_xlfn.NORM.DIST(BQ$3,economics!$AK$2:$AK$167,economics!$AJ$2:$AJ$167,TRUE)-_xlfn.NORM.DIST(BQ$30,economics!$AK$2:$AK$167,economics!$AJ$2:$AJ$167,TRUE)))),"")</f>
        <v/>
      </c>
      <c r="BR38">
        <f t="array" ref="BR38">IFERROR((SUMPRODUCT((economics!$AG$2:$AG$167=$B38)*(economics!$D$2:$D$167="process")*economics!$AI$2:$AI$167*(_xlfn.NORM.DIST(BR$3,economics!$AK$2:$AK$167,economics!$AJ$2:$AJ$167,TRUE)-_xlfn.NORM.DIST(BR$30,economics!$AK$2:$AK$167,economics!$AJ$2:$AJ$167,TRUE))*economics!$AM$2:$AM$167))/(SUMPRODUCT((economics!$AG$2:$AG$167=$B38)*(economics!$D$2:$D$167="process")*economics!$AI$2:$AI$167*(_xlfn.NORM.DIST(BR$3,economics!$AK$2:$AK$167,economics!$AJ$2:$AJ$167,TRUE)-_xlfn.NORM.DIST(BR$30,economics!$AK$2:$AK$167,economics!$AJ$2:$AJ$167,TRUE)))),"")</f>
        <v/>
      </c>
      <c r="BS38">
        <f t="array" ref="BS38">IFERROR((SUMPRODUCT((economics!$AG$2:$AG$167=$B38)*(economics!$D$2:$D$167="process")*economics!$AI$2:$AI$167*(_xlfn.NORM.DIST(BS$3,economics!$AK$2:$AK$167,economics!$AJ$2:$AJ$167,TRUE)-_xlfn.NORM.DIST(BS$30,economics!$AK$2:$AK$167,economics!$AJ$2:$AJ$167,TRUE))*economics!$AM$2:$AM$167))/(SUMPRODUCT((economics!$AG$2:$AG$167=$B38)*(economics!$D$2:$D$167="process")*economics!$AI$2:$AI$167*(_xlfn.NORM.DIST(BS$3,economics!$AK$2:$AK$167,economics!$AJ$2:$AJ$167,TRUE)-_xlfn.NORM.DIST(BS$30,economics!$AK$2:$AK$167,economics!$AJ$2:$AJ$167,TRUE)))),"")</f>
        <v/>
      </c>
      <c r="BT38">
        <f t="array" ref="BT38">IFERROR((SUMPRODUCT((economics!$AG$2:$AG$167=$B38)*(economics!$D$2:$D$167="process")*economics!$AI$2:$AI$167*(_xlfn.NORM.DIST(BT$3,economics!$AK$2:$AK$167,economics!$AJ$2:$AJ$167,TRUE)-_xlfn.NORM.DIST(BT$30,economics!$AK$2:$AK$167,economics!$AJ$2:$AJ$167,TRUE))*economics!$AM$2:$AM$167))/(SUMPRODUCT((economics!$AG$2:$AG$167=$B38)*(economics!$D$2:$D$167="process")*economics!$AI$2:$AI$167*(_xlfn.NORM.DIST(BT$3,economics!$AK$2:$AK$167,economics!$AJ$2:$AJ$167,TRUE)-_xlfn.NORM.DIST(BT$30,economics!$AK$2:$AK$167,economics!$AJ$2:$AJ$167,TRUE)))),"")</f>
        <v/>
      </c>
      <c r="BU38">
        <f t="array" ref="BU38">IFERROR((SUMPRODUCT((economics!$AG$2:$AG$167=$B38)*(economics!$D$2:$D$167="process")*economics!$AI$2:$AI$167*(_xlfn.NORM.DIST(BU$3,economics!$AK$2:$AK$167,economics!$AJ$2:$AJ$167,TRUE)-_xlfn.NORM.DIST(BU$30,economics!$AK$2:$AK$167,economics!$AJ$2:$AJ$167,TRUE))*economics!$AM$2:$AM$167))/(SUMPRODUCT((economics!$AG$2:$AG$167=$B38)*(economics!$D$2:$D$167="process")*economics!$AI$2:$AI$167*(_xlfn.NORM.DIST(BU$3,economics!$AK$2:$AK$167,economics!$AJ$2:$AJ$167,TRUE)-_xlfn.NORM.DIST(BU$30,economics!$AK$2:$AK$167,economics!$AJ$2:$AJ$167,TRUE)))),"")</f>
        <v/>
      </c>
      <c r="BV38">
        <f t="array" ref="BV38">IFERROR((SUMPRODUCT((economics!$AG$2:$AG$167=$B38)*(economics!$D$2:$D$167="process")*economics!$AI$2:$AI$167*(_xlfn.NORM.DIST(BV$3,economics!$AK$2:$AK$167,economics!$AJ$2:$AJ$167,TRUE)-_xlfn.NORM.DIST(BV$30,economics!$AK$2:$AK$167,economics!$AJ$2:$AJ$167,TRUE))*economics!$AM$2:$AM$167))/(SUMPRODUCT((economics!$AG$2:$AG$167=$B38)*(economics!$D$2:$D$167="process")*economics!$AI$2:$AI$167*(_xlfn.NORM.DIST(BV$3,economics!$AK$2:$AK$167,economics!$AJ$2:$AJ$167,TRUE)-_xlfn.NORM.DIST(BV$30,economics!$AK$2:$AK$167,economics!$AJ$2:$AJ$167,TRUE)))),"")</f>
        <v/>
      </c>
      <c r="BW38">
        <f t="array" ref="BW38">IFERROR((SUMPRODUCT((economics!$AG$2:$AG$167=$B38)*(economics!$D$2:$D$167="process")*economics!$AI$2:$AI$167*(_xlfn.NORM.DIST(BW$3,economics!$AK$2:$AK$167,economics!$AJ$2:$AJ$167,TRUE)-_xlfn.NORM.DIST(BW$30,economics!$AK$2:$AK$167,economics!$AJ$2:$AJ$167,TRUE))*economics!$AM$2:$AM$167))/(SUMPRODUCT((economics!$AG$2:$AG$167=$B38)*(economics!$D$2:$D$167="process")*economics!$AI$2:$AI$167*(_xlfn.NORM.DIST(BW$3,economics!$AK$2:$AK$167,economics!$AJ$2:$AJ$167,TRUE)-_xlfn.NORM.DIST(BW$30,economics!$AK$2:$AK$167,economics!$AJ$2:$AJ$167,TRUE)))),"")</f>
        <v/>
      </c>
      <c r="BX38">
        <f t="array" ref="BX38">IFERROR((SUMPRODUCT((economics!$AG$2:$AG$167=$B38)*(economics!$D$2:$D$167="process")*economics!$AI$2:$AI$167*(_xlfn.NORM.DIST(BX$3,economics!$AK$2:$AK$167,economics!$AJ$2:$AJ$167,TRUE)-_xlfn.NORM.DIST(BX$30,economics!$AK$2:$AK$167,economics!$AJ$2:$AJ$167,TRUE))*economics!$AM$2:$AM$167))/(SUMPRODUCT((economics!$AG$2:$AG$167=$B38)*(economics!$D$2:$D$167="process")*economics!$AI$2:$AI$167*(_xlfn.NORM.DIST(BX$3,economics!$AK$2:$AK$167,economics!$AJ$2:$AJ$167,TRUE)-_xlfn.NORM.DIST(BX$30,economics!$AK$2:$AK$167,economics!$AJ$2:$AJ$167,TRUE)))),"")</f>
        <v/>
      </c>
      <c r="BY38">
        <f t="array" ref="BY38">IFERROR((SUMPRODUCT((economics!$AG$2:$AG$167=$B38)*(economics!$D$2:$D$167="process")*economics!$AI$2:$AI$167*(_xlfn.NORM.DIST(BY$3,economics!$AK$2:$AK$167,economics!$AJ$2:$AJ$167,TRUE)-_xlfn.NORM.DIST(BY$30,economics!$AK$2:$AK$167,economics!$AJ$2:$AJ$167,TRUE))*economics!$AM$2:$AM$167))/(SUMPRODUCT((economics!$AG$2:$AG$167=$B38)*(economics!$D$2:$D$167="process")*economics!$AI$2:$AI$167*(_xlfn.NORM.DIST(BY$3,economics!$AK$2:$AK$167,economics!$AJ$2:$AJ$167,TRUE)-_xlfn.NORM.DIST(BY$30,economics!$AK$2:$AK$167,economics!$AJ$2:$AJ$167,TRUE)))),"")</f>
        <v/>
      </c>
      <c r="BZ38">
        <f t="array" ref="BZ38">IFERROR((SUMPRODUCT((economics!$AG$2:$AG$167=$B38)*(economics!$D$2:$D$167="process")*economics!$AI$2:$AI$167*(_xlfn.NORM.DIST(BZ$3,economics!$AK$2:$AK$167,economics!$AJ$2:$AJ$167,TRUE)-_xlfn.NORM.DIST(BZ$30,economics!$AK$2:$AK$167,economics!$AJ$2:$AJ$167,TRUE))*economics!$AM$2:$AM$167))/(SUMPRODUCT((economics!$AG$2:$AG$167=$B38)*(economics!$D$2:$D$167="process")*economics!$AI$2:$AI$167*(_xlfn.NORM.DIST(BZ$3,economics!$AK$2:$AK$167,economics!$AJ$2:$AJ$167,TRUE)-_xlfn.NORM.DIST(BZ$30,economics!$AK$2:$AK$167,economics!$AJ$2:$AJ$167,TRUE)))),"")</f>
        <v/>
      </c>
      <c r="CA38">
        <f t="array" ref="CA38">IFERROR((SUMPRODUCT((economics!$AG$2:$AG$167=$B38)*(economics!$D$2:$D$167="process")*economics!$AI$2:$AI$167*(_xlfn.NORM.DIST(CA$3,economics!$AK$2:$AK$167,economics!$AJ$2:$AJ$167,TRUE)-_xlfn.NORM.DIST(CA$30,economics!$AK$2:$AK$167,economics!$AJ$2:$AJ$167,TRUE))*economics!$AM$2:$AM$167))/(SUMPRODUCT((economics!$AG$2:$AG$167=$B38)*(economics!$D$2:$D$167="process")*economics!$AI$2:$AI$167*(_xlfn.NORM.DIST(CA$3,economics!$AK$2:$AK$167,economics!$AJ$2:$AJ$167,TRUE)-_xlfn.NORM.DIST(CA$30,economics!$AK$2:$AK$167,economics!$AJ$2:$AJ$167,TRUE)))),"")</f>
        <v/>
      </c>
      <c r="CB38">
        <f t="array" ref="CB38">IFERROR((SUMPRODUCT((economics!$AG$2:$AG$167=$B38)*(economics!$D$2:$D$167="process")*economics!$AI$2:$AI$167*(_xlfn.NORM.DIST(CB$3,economics!$AK$2:$AK$167,economics!$AJ$2:$AJ$167,TRUE)-_xlfn.NORM.DIST(CB$30,economics!$AK$2:$AK$167,economics!$AJ$2:$AJ$167,TRUE))*economics!$AM$2:$AM$167))/(SUMPRODUCT((economics!$AG$2:$AG$167=$B38)*(economics!$D$2:$D$167="process")*economics!$AI$2:$AI$167*(_xlfn.NORM.DIST(CB$3,economics!$AK$2:$AK$167,economics!$AJ$2:$AJ$167,TRUE)-_xlfn.NORM.DIST(CB$30,economics!$AK$2:$AK$167,economics!$AJ$2:$AJ$167,TRUE)))),"")</f>
        <v/>
      </c>
      <c r="CC38">
        <f t="array" ref="CC38">IFERROR((SUMPRODUCT((economics!$AG$2:$AG$167=$B38)*(economics!$D$2:$D$167="process")*economics!$AI$2:$AI$167*(_xlfn.NORM.DIST(CC$3,economics!$AK$2:$AK$167,economics!$AJ$2:$AJ$167,TRUE)-_xlfn.NORM.DIST(CC$30,economics!$AK$2:$AK$167,economics!$AJ$2:$AJ$167,TRUE))*economics!$AM$2:$AM$167))/(SUMPRODUCT((economics!$AG$2:$AG$167=$B38)*(economics!$D$2:$D$167="process")*economics!$AI$2:$AI$167*(_xlfn.NORM.DIST(CC$3,economics!$AK$2:$AK$167,economics!$AJ$2:$AJ$167,TRUE)-_xlfn.NORM.DIST(CC$30,economics!$AK$2:$AK$167,economics!$AJ$2:$AJ$167,TRUE)))),"")</f>
        <v/>
      </c>
      <c r="CD38">
        <f t="array" ref="CD38">IFERROR((SUMPRODUCT((economics!$AG$2:$AG$167=$B38)*(economics!$D$2:$D$167="process")*economics!$AI$2:$AI$167*(_xlfn.NORM.DIST(CD$3,economics!$AK$2:$AK$167,economics!$AJ$2:$AJ$167,TRUE)-_xlfn.NORM.DIST(CD$30,economics!$AK$2:$AK$167,economics!$AJ$2:$AJ$167,TRUE))*economics!$AM$2:$AM$167))/(SUMPRODUCT((economics!$AG$2:$AG$167=$B38)*(economics!$D$2:$D$167="process")*economics!$AI$2:$AI$167*(_xlfn.NORM.DIST(CD$3,economics!$AK$2:$AK$167,economics!$AJ$2:$AJ$167,TRUE)-_xlfn.NORM.DIST(CD$30,economics!$AK$2:$AK$167,economics!$AJ$2:$AJ$167,TRUE)))),"")</f>
        <v/>
      </c>
      <c r="CE38">
        <f t="array" ref="CE38">IFERROR((SUMPRODUCT((economics!$AG$2:$AG$167=$B38)*(economics!$D$2:$D$167="process")*economics!$AI$2:$AI$167*(_xlfn.NORM.DIST(CE$3,economics!$AK$2:$AK$167,economics!$AJ$2:$AJ$167,TRUE)-_xlfn.NORM.DIST(CE$30,economics!$AK$2:$AK$167,economics!$AJ$2:$AJ$167,TRUE))*economics!$AM$2:$AM$167))/(SUMPRODUCT((economics!$AG$2:$AG$167=$B38)*(economics!$D$2:$D$167="process")*economics!$AI$2:$AI$167*(_xlfn.NORM.DIST(CE$3,economics!$AK$2:$AK$167,economics!$AJ$2:$AJ$167,TRUE)-_xlfn.NORM.DIST(CE$30,economics!$AK$2:$AK$167,economics!$AJ$2:$AJ$167,TRUE)))),"")</f>
        <v/>
      </c>
      <c r="CF38">
        <f t="array" ref="CF38">IFERROR((SUMPRODUCT((economics!$AG$2:$AG$167=$B38)*(economics!$D$2:$D$167="process")*economics!$AI$2:$AI$167*(_xlfn.NORM.DIST(CF$3,economics!$AK$2:$AK$167,economics!$AJ$2:$AJ$167,TRUE)-_xlfn.NORM.DIST(CF$30,economics!$AK$2:$AK$167,economics!$AJ$2:$AJ$167,TRUE))*economics!$AM$2:$AM$167))/(SUMPRODUCT((economics!$AG$2:$AG$167=$B38)*(economics!$D$2:$D$167="process")*economics!$AI$2:$AI$167*(_xlfn.NORM.DIST(CF$3,economics!$AK$2:$AK$167,economics!$AJ$2:$AJ$167,TRUE)-_xlfn.NORM.DIST(CF$30,economics!$AK$2:$AK$167,economics!$AJ$2:$AJ$167,TRUE)))),"")</f>
        <v/>
      </c>
      <c r="CG38">
        <f t="array" ref="CG38">IFERROR((SUMPRODUCT((economics!$AG$2:$AG$167=$B38)*(economics!$D$2:$D$167="process")*economics!$AI$2:$AI$167*(_xlfn.NORM.DIST(CG$3,economics!$AK$2:$AK$167,economics!$AJ$2:$AJ$167,TRUE)-_xlfn.NORM.DIST(CG$30,economics!$AK$2:$AK$167,economics!$AJ$2:$AJ$167,TRUE))*economics!$AM$2:$AM$167))/(SUMPRODUCT((economics!$AG$2:$AG$167=$B38)*(economics!$D$2:$D$167="process")*economics!$AI$2:$AI$167*(_xlfn.NORM.DIST(CG$3,economics!$AK$2:$AK$167,economics!$AJ$2:$AJ$167,TRUE)-_xlfn.NORM.DIST(CG$30,economics!$AK$2:$AK$167,economics!$AJ$2:$AJ$167,TRUE)))),"")</f>
        <v/>
      </c>
      <c r="CH38">
        <f t="array" ref="CH38">IFERROR((SUMPRODUCT((economics!$AG$2:$AG$167=$B38)*(economics!$D$2:$D$167="process")*economics!$AI$2:$AI$167*(_xlfn.NORM.DIST(CH$3,economics!$AK$2:$AK$167,economics!$AJ$2:$AJ$167,TRUE)-_xlfn.NORM.DIST(CH$30,economics!$AK$2:$AK$167,economics!$AJ$2:$AJ$167,TRUE))*economics!$AM$2:$AM$167))/(SUMPRODUCT((economics!$AG$2:$AG$167=$B38)*(economics!$D$2:$D$167="process")*economics!$AI$2:$AI$167*(_xlfn.NORM.DIST(CH$3,economics!$AK$2:$AK$167,economics!$AJ$2:$AJ$167,TRUE)-_xlfn.NORM.DIST(CH$30,economics!$AK$2:$AK$167,economics!$AJ$2:$AJ$167,TRUE)))),"")</f>
        <v/>
      </c>
    </row>
    <row r="39">
      <c r="A39">
        <f>A10</f>
        <v/>
      </c>
      <c r="B39">
        <f>B10</f>
        <v/>
      </c>
      <c r="E39">
        <f t="array" ref="E39">IFERROR((SUMPRODUCT((economics!$AG$2:$AG$167=$B39)*(economics!$D$2:$D$167="process")*economics!$AI$2:$AI$167*(_xlfn.NORM.DIST(E$3,economics!$AK$2:$AK$167,economics!$AJ$2:$AJ$167,TRUE)-_xlfn.NORM.DIST(E$30,economics!$AK$2:$AK$167,economics!$AJ$2:$AJ$167,TRUE))*economics!$AM$2:$AM$167))/(SUMPRODUCT((economics!$AG$2:$AG$167=$B39)*(economics!$D$2:$D$167="process")*economics!$AI$2:$AI$167*(_xlfn.NORM.DIST(E$3,economics!$AK$2:$AK$167,economics!$AJ$2:$AJ$167,TRUE)-_xlfn.NORM.DIST(E$30,economics!$AK$2:$AK$167,economics!$AJ$2:$AJ$167,TRUE)))),"")</f>
        <v/>
      </c>
      <c r="F39">
        <f t="array" ref="F39">IFERROR((SUMPRODUCT((economics!$AG$2:$AG$167=$B39)*(economics!$D$2:$D$167="process")*economics!$AI$2:$AI$167*(_xlfn.NORM.DIST(F$3,economics!$AK$2:$AK$167,economics!$AJ$2:$AJ$167,TRUE)-_xlfn.NORM.DIST(F$30,economics!$AK$2:$AK$167,economics!$AJ$2:$AJ$167,TRUE))*economics!$AM$2:$AM$167))/(SUMPRODUCT((economics!$AG$2:$AG$167=$B39)*(economics!$D$2:$D$167="process")*economics!$AI$2:$AI$167*(_xlfn.NORM.DIST(F$3,economics!$AK$2:$AK$167,economics!$AJ$2:$AJ$167,TRUE)-_xlfn.NORM.DIST(F$30,economics!$AK$2:$AK$167,economics!$AJ$2:$AJ$167,TRUE)))),"")</f>
        <v/>
      </c>
      <c r="G39">
        <f t="array" ref="G39">IFERROR((SUMPRODUCT((economics!$AG$2:$AG$167=$B39)*(economics!$D$2:$D$167="process")*economics!$AI$2:$AI$167*(_xlfn.NORM.DIST(G$3,economics!$AK$2:$AK$167,economics!$AJ$2:$AJ$167,TRUE)-_xlfn.NORM.DIST(G$30,economics!$AK$2:$AK$167,economics!$AJ$2:$AJ$167,TRUE))*economics!$AM$2:$AM$167))/(SUMPRODUCT((economics!$AG$2:$AG$167=$B39)*(economics!$D$2:$D$167="process")*economics!$AI$2:$AI$167*(_xlfn.NORM.DIST(G$3,economics!$AK$2:$AK$167,economics!$AJ$2:$AJ$167,TRUE)-_xlfn.NORM.DIST(G$30,economics!$AK$2:$AK$167,economics!$AJ$2:$AJ$167,TRUE)))),"")</f>
        <v/>
      </c>
      <c r="H39">
        <f t="array" ref="H39">IFERROR((SUMPRODUCT((economics!$AG$2:$AG$167=$B39)*(economics!$D$2:$D$167="process")*economics!$AI$2:$AI$167*(_xlfn.NORM.DIST(H$3,economics!$AK$2:$AK$167,economics!$AJ$2:$AJ$167,TRUE)-_xlfn.NORM.DIST(H$30,economics!$AK$2:$AK$167,economics!$AJ$2:$AJ$167,TRUE))*economics!$AM$2:$AM$167))/(SUMPRODUCT((economics!$AG$2:$AG$167=$B39)*(economics!$D$2:$D$167="process")*economics!$AI$2:$AI$167*(_xlfn.NORM.DIST(H$3,economics!$AK$2:$AK$167,economics!$AJ$2:$AJ$167,TRUE)-_xlfn.NORM.DIST(H$30,economics!$AK$2:$AK$167,economics!$AJ$2:$AJ$167,TRUE)))),"")</f>
        <v/>
      </c>
      <c r="I39">
        <f t="array" ref="I39">IFERROR((SUMPRODUCT((economics!$AG$2:$AG$167=$B39)*(economics!$D$2:$D$167="process")*economics!$AI$2:$AI$167*(_xlfn.NORM.DIST(I$3,economics!$AK$2:$AK$167,economics!$AJ$2:$AJ$167,TRUE)-_xlfn.NORM.DIST(I$30,economics!$AK$2:$AK$167,economics!$AJ$2:$AJ$167,TRUE))*economics!$AM$2:$AM$167))/(SUMPRODUCT((economics!$AG$2:$AG$167=$B39)*(economics!$D$2:$D$167="process")*economics!$AI$2:$AI$167*(_xlfn.NORM.DIST(I$3,economics!$AK$2:$AK$167,economics!$AJ$2:$AJ$167,TRUE)-_xlfn.NORM.DIST(I$30,economics!$AK$2:$AK$167,economics!$AJ$2:$AJ$167,TRUE)))),"")</f>
        <v/>
      </c>
      <c r="J39">
        <f t="array" ref="J39">IFERROR((SUMPRODUCT((economics!$AG$2:$AG$167=$B39)*(economics!$D$2:$D$167="process")*economics!$AI$2:$AI$167*(_xlfn.NORM.DIST(J$3,economics!$AK$2:$AK$167,economics!$AJ$2:$AJ$167,TRUE)-_xlfn.NORM.DIST(J$30,economics!$AK$2:$AK$167,economics!$AJ$2:$AJ$167,TRUE))*economics!$AM$2:$AM$167))/(SUMPRODUCT((economics!$AG$2:$AG$167=$B39)*(economics!$D$2:$D$167="process")*economics!$AI$2:$AI$167*(_xlfn.NORM.DIST(J$3,economics!$AK$2:$AK$167,economics!$AJ$2:$AJ$167,TRUE)-_xlfn.NORM.DIST(J$30,economics!$AK$2:$AK$167,economics!$AJ$2:$AJ$167,TRUE)))),"")</f>
        <v/>
      </c>
      <c r="K39">
        <f t="array" ref="K39">IFERROR((SUMPRODUCT((economics!$AG$2:$AG$167=$B39)*(economics!$D$2:$D$167="process")*economics!$AI$2:$AI$167*(_xlfn.NORM.DIST(K$3,economics!$AK$2:$AK$167,economics!$AJ$2:$AJ$167,TRUE)-_xlfn.NORM.DIST(K$30,economics!$AK$2:$AK$167,economics!$AJ$2:$AJ$167,TRUE))*economics!$AM$2:$AM$167))/(SUMPRODUCT((economics!$AG$2:$AG$167=$B39)*(economics!$D$2:$D$167="process")*economics!$AI$2:$AI$167*(_xlfn.NORM.DIST(K$3,economics!$AK$2:$AK$167,economics!$AJ$2:$AJ$167,TRUE)-_xlfn.NORM.DIST(K$30,economics!$AK$2:$AK$167,economics!$AJ$2:$AJ$167,TRUE)))),"")</f>
        <v/>
      </c>
      <c r="L39">
        <f t="array" ref="L39">IFERROR((SUMPRODUCT((economics!$AG$2:$AG$167=$B39)*(economics!$D$2:$D$167="process")*economics!$AI$2:$AI$167*(_xlfn.NORM.DIST(L$3,economics!$AK$2:$AK$167,economics!$AJ$2:$AJ$167,TRUE)-_xlfn.NORM.DIST(L$30,economics!$AK$2:$AK$167,economics!$AJ$2:$AJ$167,TRUE))*economics!$AM$2:$AM$167))/(SUMPRODUCT((economics!$AG$2:$AG$167=$B39)*(economics!$D$2:$D$167="process")*economics!$AI$2:$AI$167*(_xlfn.NORM.DIST(L$3,economics!$AK$2:$AK$167,economics!$AJ$2:$AJ$167,TRUE)-_xlfn.NORM.DIST(L$30,economics!$AK$2:$AK$167,economics!$AJ$2:$AJ$167,TRUE)))),"")</f>
        <v/>
      </c>
      <c r="M39">
        <f t="array" ref="M39">IFERROR((SUMPRODUCT((economics!$AG$2:$AG$167=$B39)*(economics!$D$2:$D$167="process")*economics!$AI$2:$AI$167*(_xlfn.NORM.DIST(M$3,economics!$AK$2:$AK$167,economics!$AJ$2:$AJ$167,TRUE)-_xlfn.NORM.DIST(M$30,economics!$AK$2:$AK$167,economics!$AJ$2:$AJ$167,TRUE))*economics!$AM$2:$AM$167))/(SUMPRODUCT((economics!$AG$2:$AG$167=$B39)*(economics!$D$2:$D$167="process")*economics!$AI$2:$AI$167*(_xlfn.NORM.DIST(M$3,economics!$AK$2:$AK$167,economics!$AJ$2:$AJ$167,TRUE)-_xlfn.NORM.DIST(M$30,economics!$AK$2:$AK$167,economics!$AJ$2:$AJ$167,TRUE)))),"")</f>
        <v/>
      </c>
      <c r="N39">
        <f t="array" ref="N39">IFERROR((SUMPRODUCT((economics!$AG$2:$AG$167=$B39)*(economics!$D$2:$D$167="process")*economics!$AI$2:$AI$167*(_xlfn.NORM.DIST(N$3,economics!$AK$2:$AK$167,economics!$AJ$2:$AJ$167,TRUE)-_xlfn.NORM.DIST(N$30,economics!$AK$2:$AK$167,economics!$AJ$2:$AJ$167,TRUE))*economics!$AM$2:$AM$167))/(SUMPRODUCT((economics!$AG$2:$AG$167=$B39)*(economics!$D$2:$D$167="process")*economics!$AI$2:$AI$167*(_xlfn.NORM.DIST(N$3,economics!$AK$2:$AK$167,economics!$AJ$2:$AJ$167,TRUE)-_xlfn.NORM.DIST(N$30,economics!$AK$2:$AK$167,economics!$AJ$2:$AJ$167,TRUE)))),"")</f>
        <v/>
      </c>
      <c r="O39">
        <f t="array" ref="O39">IFERROR((SUMPRODUCT((economics!$AG$2:$AG$167=$B39)*(economics!$D$2:$D$167="process")*economics!$AI$2:$AI$167*(_xlfn.NORM.DIST(O$3,economics!$AK$2:$AK$167,economics!$AJ$2:$AJ$167,TRUE)-_xlfn.NORM.DIST(O$30,economics!$AK$2:$AK$167,economics!$AJ$2:$AJ$167,TRUE))*economics!$AM$2:$AM$167))/(SUMPRODUCT((economics!$AG$2:$AG$167=$B39)*(economics!$D$2:$D$167="process")*economics!$AI$2:$AI$167*(_xlfn.NORM.DIST(O$3,economics!$AK$2:$AK$167,economics!$AJ$2:$AJ$167,TRUE)-_xlfn.NORM.DIST(O$30,economics!$AK$2:$AK$167,economics!$AJ$2:$AJ$167,TRUE)))),"")</f>
        <v/>
      </c>
      <c r="P39">
        <f t="array" ref="P39">IFERROR((SUMPRODUCT((economics!$AG$2:$AG$167=$B39)*(economics!$D$2:$D$167="process")*economics!$AI$2:$AI$167*(_xlfn.NORM.DIST(P$3,economics!$AK$2:$AK$167,economics!$AJ$2:$AJ$167,TRUE)-_xlfn.NORM.DIST(P$30,economics!$AK$2:$AK$167,economics!$AJ$2:$AJ$167,TRUE))*economics!$AM$2:$AM$167))/(SUMPRODUCT((economics!$AG$2:$AG$167=$B39)*(economics!$D$2:$D$167="process")*economics!$AI$2:$AI$167*(_xlfn.NORM.DIST(P$3,economics!$AK$2:$AK$167,economics!$AJ$2:$AJ$167,TRUE)-_xlfn.NORM.DIST(P$30,economics!$AK$2:$AK$167,economics!$AJ$2:$AJ$167,TRUE)))),"")</f>
        <v/>
      </c>
      <c r="Q39">
        <f t="array" ref="Q39">IFERROR((SUMPRODUCT((economics!$AG$2:$AG$167=$B39)*(economics!$D$2:$D$167="process")*economics!$AI$2:$AI$167*(_xlfn.NORM.DIST(Q$3,economics!$AK$2:$AK$167,economics!$AJ$2:$AJ$167,TRUE)-_xlfn.NORM.DIST(Q$30,economics!$AK$2:$AK$167,economics!$AJ$2:$AJ$167,TRUE))*economics!$AM$2:$AM$167))/(SUMPRODUCT((economics!$AG$2:$AG$167=$B39)*(economics!$D$2:$D$167="process")*economics!$AI$2:$AI$167*(_xlfn.NORM.DIST(Q$3,economics!$AK$2:$AK$167,economics!$AJ$2:$AJ$167,TRUE)-_xlfn.NORM.DIST(Q$30,economics!$AK$2:$AK$167,economics!$AJ$2:$AJ$167,TRUE)))),"")</f>
        <v/>
      </c>
      <c r="R39">
        <f t="array" ref="R39">IFERROR((SUMPRODUCT((economics!$AG$2:$AG$167=$B39)*(economics!$D$2:$D$167="process")*economics!$AI$2:$AI$167*(_xlfn.NORM.DIST(R$3,economics!$AK$2:$AK$167,economics!$AJ$2:$AJ$167,TRUE)-_xlfn.NORM.DIST(R$30,economics!$AK$2:$AK$167,economics!$AJ$2:$AJ$167,TRUE))*economics!$AM$2:$AM$167))/(SUMPRODUCT((economics!$AG$2:$AG$167=$B39)*(economics!$D$2:$D$167="process")*economics!$AI$2:$AI$167*(_xlfn.NORM.DIST(R$3,economics!$AK$2:$AK$167,economics!$AJ$2:$AJ$167,TRUE)-_xlfn.NORM.DIST(R$30,economics!$AK$2:$AK$167,economics!$AJ$2:$AJ$167,TRUE)))),"")</f>
        <v/>
      </c>
      <c r="S39">
        <f t="array" ref="S39">IFERROR((SUMPRODUCT((economics!$AG$2:$AG$167=$B39)*(economics!$D$2:$D$167="process")*economics!$AI$2:$AI$167*(_xlfn.NORM.DIST(S$3,economics!$AK$2:$AK$167,economics!$AJ$2:$AJ$167,TRUE)-_xlfn.NORM.DIST(S$30,economics!$AK$2:$AK$167,economics!$AJ$2:$AJ$167,TRUE))*economics!$AM$2:$AM$167))/(SUMPRODUCT((economics!$AG$2:$AG$167=$B39)*(economics!$D$2:$D$167="process")*economics!$AI$2:$AI$167*(_xlfn.NORM.DIST(S$3,economics!$AK$2:$AK$167,economics!$AJ$2:$AJ$167,TRUE)-_xlfn.NORM.DIST(S$30,economics!$AK$2:$AK$167,economics!$AJ$2:$AJ$167,TRUE)))),"")</f>
        <v/>
      </c>
      <c r="T39">
        <f t="array" ref="T39">IFERROR((SUMPRODUCT((economics!$AG$2:$AG$167=$B39)*(economics!$D$2:$D$167="process")*economics!$AI$2:$AI$167*(_xlfn.NORM.DIST(T$3,economics!$AK$2:$AK$167,economics!$AJ$2:$AJ$167,TRUE)-_xlfn.NORM.DIST(T$30,economics!$AK$2:$AK$167,economics!$AJ$2:$AJ$167,TRUE))*economics!$AM$2:$AM$167))/(SUMPRODUCT((economics!$AG$2:$AG$167=$B39)*(economics!$D$2:$D$167="process")*economics!$AI$2:$AI$167*(_xlfn.NORM.DIST(T$3,economics!$AK$2:$AK$167,economics!$AJ$2:$AJ$167,TRUE)-_xlfn.NORM.DIST(T$30,economics!$AK$2:$AK$167,economics!$AJ$2:$AJ$167,TRUE)))),"")</f>
        <v/>
      </c>
      <c r="U39">
        <f t="array" ref="U39">IFERROR((SUMPRODUCT((economics!$AG$2:$AG$167=$B39)*(economics!$D$2:$D$167="process")*economics!$AI$2:$AI$167*(_xlfn.NORM.DIST(U$3,economics!$AK$2:$AK$167,economics!$AJ$2:$AJ$167,TRUE)-_xlfn.NORM.DIST(U$30,economics!$AK$2:$AK$167,economics!$AJ$2:$AJ$167,TRUE))*economics!$AM$2:$AM$167))/(SUMPRODUCT((economics!$AG$2:$AG$167=$B39)*(economics!$D$2:$D$167="process")*economics!$AI$2:$AI$167*(_xlfn.NORM.DIST(U$3,economics!$AK$2:$AK$167,economics!$AJ$2:$AJ$167,TRUE)-_xlfn.NORM.DIST(U$30,economics!$AK$2:$AK$167,economics!$AJ$2:$AJ$167,TRUE)))),"")</f>
        <v/>
      </c>
      <c r="V39">
        <f t="array" ref="V39">IFERROR((SUMPRODUCT((economics!$AG$2:$AG$167=$B39)*(economics!$D$2:$D$167="process")*economics!$AI$2:$AI$167*(_xlfn.NORM.DIST(V$3,economics!$AK$2:$AK$167,economics!$AJ$2:$AJ$167,TRUE)-_xlfn.NORM.DIST(V$30,economics!$AK$2:$AK$167,economics!$AJ$2:$AJ$167,TRUE))*economics!$AM$2:$AM$167))/(SUMPRODUCT((economics!$AG$2:$AG$167=$B39)*(economics!$D$2:$D$167="process")*economics!$AI$2:$AI$167*(_xlfn.NORM.DIST(V$3,economics!$AK$2:$AK$167,economics!$AJ$2:$AJ$167,TRUE)-_xlfn.NORM.DIST(V$30,economics!$AK$2:$AK$167,economics!$AJ$2:$AJ$167,TRUE)))),"")</f>
        <v/>
      </c>
      <c r="W39">
        <f t="array" ref="W39">IFERROR((SUMPRODUCT((economics!$AG$2:$AG$167=$B39)*(economics!$D$2:$D$167="process")*economics!$AI$2:$AI$167*(_xlfn.NORM.DIST(W$3,economics!$AK$2:$AK$167,economics!$AJ$2:$AJ$167,TRUE)-_xlfn.NORM.DIST(W$30,economics!$AK$2:$AK$167,economics!$AJ$2:$AJ$167,TRUE))*economics!$AM$2:$AM$167))/(SUMPRODUCT((economics!$AG$2:$AG$167=$B39)*(economics!$D$2:$D$167="process")*economics!$AI$2:$AI$167*(_xlfn.NORM.DIST(W$3,economics!$AK$2:$AK$167,economics!$AJ$2:$AJ$167,TRUE)-_xlfn.NORM.DIST(W$30,economics!$AK$2:$AK$167,economics!$AJ$2:$AJ$167,TRUE)))),"")</f>
        <v/>
      </c>
      <c r="X39">
        <f t="array" ref="X39">IFERROR((SUMPRODUCT((economics!$AG$2:$AG$167=$B39)*(economics!$D$2:$D$167="process")*economics!$AI$2:$AI$167*(_xlfn.NORM.DIST(X$3,economics!$AK$2:$AK$167,economics!$AJ$2:$AJ$167,TRUE)-_xlfn.NORM.DIST(X$30,economics!$AK$2:$AK$167,economics!$AJ$2:$AJ$167,TRUE))*economics!$AM$2:$AM$167))/(SUMPRODUCT((economics!$AG$2:$AG$167=$B39)*(economics!$D$2:$D$167="process")*economics!$AI$2:$AI$167*(_xlfn.NORM.DIST(X$3,economics!$AK$2:$AK$167,economics!$AJ$2:$AJ$167,TRUE)-_xlfn.NORM.DIST(X$30,economics!$AK$2:$AK$167,economics!$AJ$2:$AJ$167,TRUE)))),"")</f>
        <v/>
      </c>
      <c r="Y39">
        <f t="array" ref="Y39">IFERROR((SUMPRODUCT((economics!$AG$2:$AG$167=$B39)*(economics!$D$2:$D$167="process")*economics!$AI$2:$AI$167*(_xlfn.NORM.DIST(Y$3,economics!$AK$2:$AK$167,economics!$AJ$2:$AJ$167,TRUE)-_xlfn.NORM.DIST(Y$30,economics!$AK$2:$AK$167,economics!$AJ$2:$AJ$167,TRUE))*economics!$AM$2:$AM$167))/(SUMPRODUCT((economics!$AG$2:$AG$167=$B39)*(economics!$D$2:$D$167="process")*economics!$AI$2:$AI$167*(_xlfn.NORM.DIST(Y$3,economics!$AK$2:$AK$167,economics!$AJ$2:$AJ$167,TRUE)-_xlfn.NORM.DIST(Y$30,economics!$AK$2:$AK$167,economics!$AJ$2:$AJ$167,TRUE)))),"")</f>
        <v/>
      </c>
      <c r="Z39">
        <f t="array" ref="Z39">IFERROR((SUMPRODUCT((economics!$AG$2:$AG$167=$B39)*(economics!$D$2:$D$167="process")*economics!$AI$2:$AI$167*(_xlfn.NORM.DIST(Z$3,economics!$AK$2:$AK$167,economics!$AJ$2:$AJ$167,TRUE)-_xlfn.NORM.DIST(Z$30,economics!$AK$2:$AK$167,economics!$AJ$2:$AJ$167,TRUE))*economics!$AM$2:$AM$167))/(SUMPRODUCT((economics!$AG$2:$AG$167=$B39)*(economics!$D$2:$D$167="process")*economics!$AI$2:$AI$167*(_xlfn.NORM.DIST(Z$3,economics!$AK$2:$AK$167,economics!$AJ$2:$AJ$167,TRUE)-_xlfn.NORM.DIST(Z$30,economics!$AK$2:$AK$167,economics!$AJ$2:$AJ$167,TRUE)))),"")</f>
        <v/>
      </c>
      <c r="AA39">
        <f t="array" ref="AA39">IFERROR((SUMPRODUCT((economics!$AG$2:$AG$167=$B39)*(economics!$D$2:$D$167="process")*economics!$AI$2:$AI$167*(_xlfn.NORM.DIST(AA$3,economics!$AK$2:$AK$167,economics!$AJ$2:$AJ$167,TRUE)-_xlfn.NORM.DIST(AA$30,economics!$AK$2:$AK$167,economics!$AJ$2:$AJ$167,TRUE))*economics!$AM$2:$AM$167))/(SUMPRODUCT((economics!$AG$2:$AG$167=$B39)*(economics!$D$2:$D$167="process")*economics!$AI$2:$AI$167*(_xlfn.NORM.DIST(AA$3,economics!$AK$2:$AK$167,economics!$AJ$2:$AJ$167,TRUE)-_xlfn.NORM.DIST(AA$30,economics!$AK$2:$AK$167,economics!$AJ$2:$AJ$167,TRUE)))),"")</f>
        <v/>
      </c>
      <c r="AB39">
        <f t="array" ref="AB39">IFERROR((SUMPRODUCT((economics!$AG$2:$AG$167=$B39)*(economics!$D$2:$D$167="process")*economics!$AI$2:$AI$167*(_xlfn.NORM.DIST(AB$3,economics!$AK$2:$AK$167,economics!$AJ$2:$AJ$167,TRUE)-_xlfn.NORM.DIST(AB$30,economics!$AK$2:$AK$167,economics!$AJ$2:$AJ$167,TRUE))*economics!$AM$2:$AM$167))/(SUMPRODUCT((economics!$AG$2:$AG$167=$B39)*(economics!$D$2:$D$167="process")*economics!$AI$2:$AI$167*(_xlfn.NORM.DIST(AB$3,economics!$AK$2:$AK$167,economics!$AJ$2:$AJ$167,TRUE)-_xlfn.NORM.DIST(AB$30,economics!$AK$2:$AK$167,economics!$AJ$2:$AJ$167,TRUE)))),"")</f>
        <v/>
      </c>
      <c r="AC39">
        <f t="array" ref="AC39">IFERROR((SUMPRODUCT((economics!$AG$2:$AG$167=$B39)*(economics!$D$2:$D$167="process")*economics!$AI$2:$AI$167*(_xlfn.NORM.DIST(AC$3,economics!$AK$2:$AK$167,economics!$AJ$2:$AJ$167,TRUE)-_xlfn.NORM.DIST(AC$30,economics!$AK$2:$AK$167,economics!$AJ$2:$AJ$167,TRUE))*economics!$AM$2:$AM$167))/(SUMPRODUCT((economics!$AG$2:$AG$167=$B39)*(economics!$D$2:$D$167="process")*economics!$AI$2:$AI$167*(_xlfn.NORM.DIST(AC$3,economics!$AK$2:$AK$167,economics!$AJ$2:$AJ$167,TRUE)-_xlfn.NORM.DIST(AC$30,economics!$AK$2:$AK$167,economics!$AJ$2:$AJ$167,TRUE)))),"")</f>
        <v/>
      </c>
      <c r="AD39">
        <f t="array" ref="AD39">IFERROR((SUMPRODUCT((economics!$AG$2:$AG$167=$B39)*(economics!$D$2:$D$167="process")*economics!$AI$2:$AI$167*(_xlfn.NORM.DIST(AD$3,economics!$AK$2:$AK$167,economics!$AJ$2:$AJ$167,TRUE)-_xlfn.NORM.DIST(AD$30,economics!$AK$2:$AK$167,economics!$AJ$2:$AJ$167,TRUE))*economics!$AM$2:$AM$167))/(SUMPRODUCT((economics!$AG$2:$AG$167=$B39)*(economics!$D$2:$D$167="process")*economics!$AI$2:$AI$167*(_xlfn.NORM.DIST(AD$3,economics!$AK$2:$AK$167,economics!$AJ$2:$AJ$167,TRUE)-_xlfn.NORM.DIST(AD$30,economics!$AK$2:$AK$167,economics!$AJ$2:$AJ$167,TRUE)))),"")</f>
        <v/>
      </c>
      <c r="AE39">
        <f t="array" ref="AE39">IFERROR((SUMPRODUCT((economics!$AG$2:$AG$167=$B39)*(economics!$D$2:$D$167="process")*economics!$AI$2:$AI$167*(_xlfn.NORM.DIST(AE$3,economics!$AK$2:$AK$167,economics!$AJ$2:$AJ$167,TRUE)-_xlfn.NORM.DIST(AE$30,economics!$AK$2:$AK$167,economics!$AJ$2:$AJ$167,TRUE))*economics!$AM$2:$AM$167))/(SUMPRODUCT((economics!$AG$2:$AG$167=$B39)*(economics!$D$2:$D$167="process")*economics!$AI$2:$AI$167*(_xlfn.NORM.DIST(AE$3,economics!$AK$2:$AK$167,economics!$AJ$2:$AJ$167,TRUE)-_xlfn.NORM.DIST(AE$30,economics!$AK$2:$AK$167,economics!$AJ$2:$AJ$167,TRUE)))),"")</f>
        <v/>
      </c>
      <c r="AF39">
        <f t="array" ref="AF39">IFERROR((SUMPRODUCT((economics!$AG$2:$AG$167=$B39)*(economics!$D$2:$D$167="process")*economics!$AI$2:$AI$167*(_xlfn.NORM.DIST(AF$3,economics!$AK$2:$AK$167,economics!$AJ$2:$AJ$167,TRUE)-_xlfn.NORM.DIST(AF$30,economics!$AK$2:$AK$167,economics!$AJ$2:$AJ$167,TRUE))*economics!$AM$2:$AM$167))/(SUMPRODUCT((economics!$AG$2:$AG$167=$B39)*(economics!$D$2:$D$167="process")*economics!$AI$2:$AI$167*(_xlfn.NORM.DIST(AF$3,economics!$AK$2:$AK$167,economics!$AJ$2:$AJ$167,TRUE)-_xlfn.NORM.DIST(AF$30,economics!$AK$2:$AK$167,economics!$AJ$2:$AJ$167,TRUE)))),"")</f>
        <v/>
      </c>
      <c r="AG39">
        <f t="array" ref="AG39">IFERROR((SUMPRODUCT((economics!$AG$2:$AG$167=$B39)*(economics!$D$2:$D$167="process")*economics!$AI$2:$AI$167*(_xlfn.NORM.DIST(AG$3,economics!$AK$2:$AK$167,economics!$AJ$2:$AJ$167,TRUE)-_xlfn.NORM.DIST(AG$30,economics!$AK$2:$AK$167,economics!$AJ$2:$AJ$167,TRUE))*economics!$AM$2:$AM$167))/(SUMPRODUCT((economics!$AG$2:$AG$167=$B39)*(economics!$D$2:$D$167="process")*economics!$AI$2:$AI$167*(_xlfn.NORM.DIST(AG$3,economics!$AK$2:$AK$167,economics!$AJ$2:$AJ$167,TRUE)-_xlfn.NORM.DIST(AG$30,economics!$AK$2:$AK$167,economics!$AJ$2:$AJ$167,TRUE)))),"")</f>
        <v/>
      </c>
      <c r="AH39">
        <f t="array" ref="AH39">IFERROR((SUMPRODUCT((economics!$AG$2:$AG$167=$B39)*(economics!$D$2:$D$167="process")*economics!$AI$2:$AI$167*(_xlfn.NORM.DIST(AH$3,economics!$AK$2:$AK$167,economics!$AJ$2:$AJ$167,TRUE)-_xlfn.NORM.DIST(AH$30,economics!$AK$2:$AK$167,economics!$AJ$2:$AJ$167,TRUE))*economics!$AM$2:$AM$167))/(SUMPRODUCT((economics!$AG$2:$AG$167=$B39)*(economics!$D$2:$D$167="process")*economics!$AI$2:$AI$167*(_xlfn.NORM.DIST(AH$3,economics!$AK$2:$AK$167,economics!$AJ$2:$AJ$167,TRUE)-_xlfn.NORM.DIST(AH$30,economics!$AK$2:$AK$167,economics!$AJ$2:$AJ$167,TRUE)))),"")</f>
        <v/>
      </c>
      <c r="AI39">
        <f t="array" ref="AI39">IFERROR((SUMPRODUCT((economics!$AG$2:$AG$167=$B39)*(economics!$D$2:$D$167="process")*economics!$AI$2:$AI$167*(_xlfn.NORM.DIST(AI$3,economics!$AK$2:$AK$167,economics!$AJ$2:$AJ$167,TRUE)-_xlfn.NORM.DIST(AI$30,economics!$AK$2:$AK$167,economics!$AJ$2:$AJ$167,TRUE))*economics!$AM$2:$AM$167))/(SUMPRODUCT((economics!$AG$2:$AG$167=$B39)*(economics!$D$2:$D$167="process")*economics!$AI$2:$AI$167*(_xlfn.NORM.DIST(AI$3,economics!$AK$2:$AK$167,economics!$AJ$2:$AJ$167,TRUE)-_xlfn.NORM.DIST(AI$30,economics!$AK$2:$AK$167,economics!$AJ$2:$AJ$167,TRUE)))),"")</f>
        <v/>
      </c>
      <c r="AJ39">
        <f t="array" ref="AJ39">IFERROR((SUMPRODUCT((economics!$AG$2:$AG$167=$B39)*(economics!$D$2:$D$167="process")*economics!$AI$2:$AI$167*(_xlfn.NORM.DIST(AJ$3,economics!$AK$2:$AK$167,economics!$AJ$2:$AJ$167,TRUE)-_xlfn.NORM.DIST(AJ$30,economics!$AK$2:$AK$167,economics!$AJ$2:$AJ$167,TRUE))*economics!$AM$2:$AM$167))/(SUMPRODUCT((economics!$AG$2:$AG$167=$B39)*(economics!$D$2:$D$167="process")*economics!$AI$2:$AI$167*(_xlfn.NORM.DIST(AJ$3,economics!$AK$2:$AK$167,economics!$AJ$2:$AJ$167,TRUE)-_xlfn.NORM.DIST(AJ$30,economics!$AK$2:$AK$167,economics!$AJ$2:$AJ$167,TRUE)))),"")</f>
        <v/>
      </c>
      <c r="AK39">
        <f t="array" ref="AK39">IFERROR((SUMPRODUCT((economics!$AG$2:$AG$167=$B39)*(economics!$D$2:$D$167="process")*economics!$AI$2:$AI$167*(_xlfn.NORM.DIST(AK$3,economics!$AK$2:$AK$167,economics!$AJ$2:$AJ$167,TRUE)-_xlfn.NORM.DIST(AK$30,economics!$AK$2:$AK$167,economics!$AJ$2:$AJ$167,TRUE))*economics!$AM$2:$AM$167))/(SUMPRODUCT((economics!$AG$2:$AG$167=$B39)*(economics!$D$2:$D$167="process")*economics!$AI$2:$AI$167*(_xlfn.NORM.DIST(AK$3,economics!$AK$2:$AK$167,economics!$AJ$2:$AJ$167,TRUE)-_xlfn.NORM.DIST(AK$30,economics!$AK$2:$AK$167,economics!$AJ$2:$AJ$167,TRUE)))),"")</f>
        <v/>
      </c>
      <c r="AL39">
        <f t="array" ref="AL39">IFERROR((SUMPRODUCT((economics!$AG$2:$AG$167=$B39)*(economics!$D$2:$D$167="process")*economics!$AI$2:$AI$167*(_xlfn.NORM.DIST(AL$3,economics!$AK$2:$AK$167,economics!$AJ$2:$AJ$167,TRUE)-_xlfn.NORM.DIST(AL$30,economics!$AK$2:$AK$167,economics!$AJ$2:$AJ$167,TRUE))*economics!$AM$2:$AM$167))/(SUMPRODUCT((economics!$AG$2:$AG$167=$B39)*(economics!$D$2:$D$167="process")*economics!$AI$2:$AI$167*(_xlfn.NORM.DIST(AL$3,economics!$AK$2:$AK$167,economics!$AJ$2:$AJ$167,TRUE)-_xlfn.NORM.DIST(AL$30,economics!$AK$2:$AK$167,economics!$AJ$2:$AJ$167,TRUE)))),"")</f>
        <v/>
      </c>
      <c r="AM39">
        <f t="array" ref="AM39">IFERROR((SUMPRODUCT((economics!$AG$2:$AG$167=$B39)*(economics!$D$2:$D$167="process")*economics!$AI$2:$AI$167*(_xlfn.NORM.DIST(AM$3,economics!$AK$2:$AK$167,economics!$AJ$2:$AJ$167,TRUE)-_xlfn.NORM.DIST(AM$30,economics!$AK$2:$AK$167,economics!$AJ$2:$AJ$167,TRUE))*economics!$AM$2:$AM$167))/(SUMPRODUCT((economics!$AG$2:$AG$167=$B39)*(economics!$D$2:$D$167="process")*economics!$AI$2:$AI$167*(_xlfn.NORM.DIST(AM$3,economics!$AK$2:$AK$167,economics!$AJ$2:$AJ$167,TRUE)-_xlfn.NORM.DIST(AM$30,economics!$AK$2:$AK$167,economics!$AJ$2:$AJ$167,TRUE)))),"")</f>
        <v/>
      </c>
      <c r="AN39">
        <f t="array" ref="AN39">IFERROR((SUMPRODUCT((economics!$AG$2:$AG$167=$B39)*(economics!$D$2:$D$167="process")*economics!$AI$2:$AI$167*(_xlfn.NORM.DIST(AN$3,economics!$AK$2:$AK$167,economics!$AJ$2:$AJ$167,TRUE)-_xlfn.NORM.DIST(AN$30,economics!$AK$2:$AK$167,economics!$AJ$2:$AJ$167,TRUE))*economics!$AM$2:$AM$167))/(SUMPRODUCT((economics!$AG$2:$AG$167=$B39)*(economics!$D$2:$D$167="process")*economics!$AI$2:$AI$167*(_xlfn.NORM.DIST(AN$3,economics!$AK$2:$AK$167,economics!$AJ$2:$AJ$167,TRUE)-_xlfn.NORM.DIST(AN$30,economics!$AK$2:$AK$167,economics!$AJ$2:$AJ$167,TRUE)))),"")</f>
        <v/>
      </c>
      <c r="AO39">
        <f t="array" ref="AO39">IFERROR((SUMPRODUCT((economics!$AG$2:$AG$167=$B39)*(economics!$D$2:$D$167="process")*economics!$AI$2:$AI$167*(_xlfn.NORM.DIST(AO$3,economics!$AK$2:$AK$167,economics!$AJ$2:$AJ$167,TRUE)-_xlfn.NORM.DIST(AO$30,economics!$AK$2:$AK$167,economics!$AJ$2:$AJ$167,TRUE))*economics!$AM$2:$AM$167))/(SUMPRODUCT((economics!$AG$2:$AG$167=$B39)*(economics!$D$2:$D$167="process")*economics!$AI$2:$AI$167*(_xlfn.NORM.DIST(AO$3,economics!$AK$2:$AK$167,economics!$AJ$2:$AJ$167,TRUE)-_xlfn.NORM.DIST(AO$30,economics!$AK$2:$AK$167,economics!$AJ$2:$AJ$167,TRUE)))),"")</f>
        <v/>
      </c>
      <c r="AP39">
        <f t="array" ref="AP39">IFERROR((SUMPRODUCT((economics!$AG$2:$AG$167=$B39)*(economics!$D$2:$D$167="process")*economics!$AI$2:$AI$167*(_xlfn.NORM.DIST(AP$3,economics!$AK$2:$AK$167,economics!$AJ$2:$AJ$167,TRUE)-_xlfn.NORM.DIST(AP$30,economics!$AK$2:$AK$167,economics!$AJ$2:$AJ$167,TRUE))*economics!$AM$2:$AM$167))/(SUMPRODUCT((economics!$AG$2:$AG$167=$B39)*(economics!$D$2:$D$167="process")*economics!$AI$2:$AI$167*(_xlfn.NORM.DIST(AP$3,economics!$AK$2:$AK$167,economics!$AJ$2:$AJ$167,TRUE)-_xlfn.NORM.DIST(AP$30,economics!$AK$2:$AK$167,economics!$AJ$2:$AJ$167,TRUE)))),"")</f>
        <v/>
      </c>
      <c r="AQ39">
        <f t="array" ref="AQ39">IFERROR((SUMPRODUCT((economics!$AG$2:$AG$167=$B39)*(economics!$D$2:$D$167="process")*economics!$AI$2:$AI$167*(_xlfn.NORM.DIST(AQ$3,economics!$AK$2:$AK$167,economics!$AJ$2:$AJ$167,TRUE)-_xlfn.NORM.DIST(AQ$30,economics!$AK$2:$AK$167,economics!$AJ$2:$AJ$167,TRUE))*economics!$AM$2:$AM$167))/(SUMPRODUCT((economics!$AG$2:$AG$167=$B39)*(economics!$D$2:$D$167="process")*economics!$AI$2:$AI$167*(_xlfn.NORM.DIST(AQ$3,economics!$AK$2:$AK$167,economics!$AJ$2:$AJ$167,TRUE)-_xlfn.NORM.DIST(AQ$30,economics!$AK$2:$AK$167,economics!$AJ$2:$AJ$167,TRUE)))),"")</f>
        <v/>
      </c>
      <c r="AR39">
        <f t="array" ref="AR39">IFERROR((SUMPRODUCT((economics!$AG$2:$AG$167=$B39)*(economics!$D$2:$D$167="process")*economics!$AI$2:$AI$167*(_xlfn.NORM.DIST(AR$3,economics!$AK$2:$AK$167,economics!$AJ$2:$AJ$167,TRUE)-_xlfn.NORM.DIST(AR$30,economics!$AK$2:$AK$167,economics!$AJ$2:$AJ$167,TRUE))*economics!$AM$2:$AM$167))/(SUMPRODUCT((economics!$AG$2:$AG$167=$B39)*(economics!$D$2:$D$167="process")*economics!$AI$2:$AI$167*(_xlfn.NORM.DIST(AR$3,economics!$AK$2:$AK$167,economics!$AJ$2:$AJ$167,TRUE)-_xlfn.NORM.DIST(AR$30,economics!$AK$2:$AK$167,economics!$AJ$2:$AJ$167,TRUE)))),"")</f>
        <v/>
      </c>
      <c r="AS39">
        <f t="array" ref="AS39">IFERROR((SUMPRODUCT((economics!$AG$2:$AG$167=$B39)*(economics!$D$2:$D$167="process")*economics!$AI$2:$AI$167*(_xlfn.NORM.DIST(AS$3,economics!$AK$2:$AK$167,economics!$AJ$2:$AJ$167,TRUE)-_xlfn.NORM.DIST(AS$30,economics!$AK$2:$AK$167,economics!$AJ$2:$AJ$167,TRUE))*economics!$AM$2:$AM$167))/(SUMPRODUCT((economics!$AG$2:$AG$167=$B39)*(economics!$D$2:$D$167="process")*economics!$AI$2:$AI$167*(_xlfn.NORM.DIST(AS$3,economics!$AK$2:$AK$167,economics!$AJ$2:$AJ$167,TRUE)-_xlfn.NORM.DIST(AS$30,economics!$AK$2:$AK$167,economics!$AJ$2:$AJ$167,TRUE)))),"")</f>
        <v/>
      </c>
      <c r="AT39">
        <f t="array" ref="AT39">IFERROR((SUMPRODUCT((economics!$AG$2:$AG$167=$B39)*(economics!$D$2:$D$167="process")*economics!$AI$2:$AI$167*(_xlfn.NORM.DIST(AT$3,economics!$AK$2:$AK$167,economics!$AJ$2:$AJ$167,TRUE)-_xlfn.NORM.DIST(AT$30,economics!$AK$2:$AK$167,economics!$AJ$2:$AJ$167,TRUE))*economics!$AM$2:$AM$167))/(SUMPRODUCT((economics!$AG$2:$AG$167=$B39)*(economics!$D$2:$D$167="process")*economics!$AI$2:$AI$167*(_xlfn.NORM.DIST(AT$3,economics!$AK$2:$AK$167,economics!$AJ$2:$AJ$167,TRUE)-_xlfn.NORM.DIST(AT$30,economics!$AK$2:$AK$167,economics!$AJ$2:$AJ$167,TRUE)))),"")</f>
        <v/>
      </c>
      <c r="AU39">
        <f t="array" ref="AU39">IFERROR((SUMPRODUCT((economics!$AG$2:$AG$167=$B39)*(economics!$D$2:$D$167="process")*economics!$AI$2:$AI$167*(_xlfn.NORM.DIST(AU$3,economics!$AK$2:$AK$167,economics!$AJ$2:$AJ$167,TRUE)-_xlfn.NORM.DIST(AU$30,economics!$AK$2:$AK$167,economics!$AJ$2:$AJ$167,TRUE))*economics!$AM$2:$AM$167))/(SUMPRODUCT((economics!$AG$2:$AG$167=$B39)*(economics!$D$2:$D$167="process")*economics!$AI$2:$AI$167*(_xlfn.NORM.DIST(AU$3,economics!$AK$2:$AK$167,economics!$AJ$2:$AJ$167,TRUE)-_xlfn.NORM.DIST(AU$30,economics!$AK$2:$AK$167,economics!$AJ$2:$AJ$167,TRUE)))),"")</f>
        <v/>
      </c>
      <c r="AV39">
        <f t="array" ref="AV39">IFERROR((SUMPRODUCT((economics!$AG$2:$AG$167=$B39)*(economics!$D$2:$D$167="process")*economics!$AI$2:$AI$167*(_xlfn.NORM.DIST(AV$3,economics!$AK$2:$AK$167,economics!$AJ$2:$AJ$167,TRUE)-_xlfn.NORM.DIST(AV$30,economics!$AK$2:$AK$167,economics!$AJ$2:$AJ$167,TRUE))*economics!$AM$2:$AM$167))/(SUMPRODUCT((economics!$AG$2:$AG$167=$B39)*(economics!$D$2:$D$167="process")*economics!$AI$2:$AI$167*(_xlfn.NORM.DIST(AV$3,economics!$AK$2:$AK$167,economics!$AJ$2:$AJ$167,TRUE)-_xlfn.NORM.DIST(AV$30,economics!$AK$2:$AK$167,economics!$AJ$2:$AJ$167,TRUE)))),"")</f>
        <v/>
      </c>
      <c r="AW39">
        <f t="array" ref="AW39">IFERROR((SUMPRODUCT((economics!$AG$2:$AG$167=$B39)*(economics!$D$2:$D$167="process")*economics!$AI$2:$AI$167*(_xlfn.NORM.DIST(AW$3,economics!$AK$2:$AK$167,economics!$AJ$2:$AJ$167,TRUE)-_xlfn.NORM.DIST(AW$30,economics!$AK$2:$AK$167,economics!$AJ$2:$AJ$167,TRUE))*economics!$AM$2:$AM$167))/(SUMPRODUCT((economics!$AG$2:$AG$167=$B39)*(economics!$D$2:$D$167="process")*economics!$AI$2:$AI$167*(_xlfn.NORM.DIST(AW$3,economics!$AK$2:$AK$167,economics!$AJ$2:$AJ$167,TRUE)-_xlfn.NORM.DIST(AW$30,economics!$AK$2:$AK$167,economics!$AJ$2:$AJ$167,TRUE)))),"")</f>
        <v/>
      </c>
      <c r="AX39">
        <f t="array" ref="AX39">IFERROR((SUMPRODUCT((economics!$AG$2:$AG$167=$B39)*(economics!$D$2:$D$167="process")*economics!$AI$2:$AI$167*(_xlfn.NORM.DIST(AX$3,economics!$AK$2:$AK$167,economics!$AJ$2:$AJ$167,TRUE)-_xlfn.NORM.DIST(AX$30,economics!$AK$2:$AK$167,economics!$AJ$2:$AJ$167,TRUE))*economics!$AM$2:$AM$167))/(SUMPRODUCT((economics!$AG$2:$AG$167=$B39)*(economics!$D$2:$D$167="process")*economics!$AI$2:$AI$167*(_xlfn.NORM.DIST(AX$3,economics!$AK$2:$AK$167,economics!$AJ$2:$AJ$167,TRUE)-_xlfn.NORM.DIST(AX$30,economics!$AK$2:$AK$167,economics!$AJ$2:$AJ$167,TRUE)))),"")</f>
        <v/>
      </c>
      <c r="AY39">
        <f t="array" ref="AY39">IFERROR((SUMPRODUCT((economics!$AG$2:$AG$167=$B39)*(economics!$D$2:$D$167="process")*economics!$AI$2:$AI$167*(_xlfn.NORM.DIST(AY$3,economics!$AK$2:$AK$167,economics!$AJ$2:$AJ$167,TRUE)-_xlfn.NORM.DIST(AY$30,economics!$AK$2:$AK$167,economics!$AJ$2:$AJ$167,TRUE))*economics!$AM$2:$AM$167))/(SUMPRODUCT((economics!$AG$2:$AG$167=$B39)*(economics!$D$2:$D$167="process")*economics!$AI$2:$AI$167*(_xlfn.NORM.DIST(AY$3,economics!$AK$2:$AK$167,economics!$AJ$2:$AJ$167,TRUE)-_xlfn.NORM.DIST(AY$30,economics!$AK$2:$AK$167,economics!$AJ$2:$AJ$167,TRUE)))),"")</f>
        <v/>
      </c>
      <c r="AZ39">
        <f t="array" ref="AZ39">IFERROR((SUMPRODUCT((economics!$AG$2:$AG$167=$B39)*(economics!$D$2:$D$167="process")*economics!$AI$2:$AI$167*(_xlfn.NORM.DIST(AZ$3,economics!$AK$2:$AK$167,economics!$AJ$2:$AJ$167,TRUE)-_xlfn.NORM.DIST(AZ$30,economics!$AK$2:$AK$167,economics!$AJ$2:$AJ$167,TRUE))*economics!$AM$2:$AM$167))/(SUMPRODUCT((economics!$AG$2:$AG$167=$B39)*(economics!$D$2:$D$167="process")*economics!$AI$2:$AI$167*(_xlfn.NORM.DIST(AZ$3,economics!$AK$2:$AK$167,economics!$AJ$2:$AJ$167,TRUE)-_xlfn.NORM.DIST(AZ$30,economics!$AK$2:$AK$167,economics!$AJ$2:$AJ$167,TRUE)))),"")</f>
        <v/>
      </c>
      <c r="BA39">
        <f t="array" ref="BA39">IFERROR((SUMPRODUCT((economics!$AG$2:$AG$167=$B39)*(economics!$D$2:$D$167="process")*economics!$AI$2:$AI$167*(_xlfn.NORM.DIST(BA$3,economics!$AK$2:$AK$167,economics!$AJ$2:$AJ$167,TRUE)-_xlfn.NORM.DIST(BA$30,economics!$AK$2:$AK$167,economics!$AJ$2:$AJ$167,TRUE))*economics!$AM$2:$AM$167))/(SUMPRODUCT((economics!$AG$2:$AG$167=$B39)*(economics!$D$2:$D$167="process")*economics!$AI$2:$AI$167*(_xlfn.NORM.DIST(BA$3,economics!$AK$2:$AK$167,economics!$AJ$2:$AJ$167,TRUE)-_xlfn.NORM.DIST(BA$30,economics!$AK$2:$AK$167,economics!$AJ$2:$AJ$167,TRUE)))),"")</f>
        <v/>
      </c>
      <c r="BB39">
        <f t="array" ref="BB39">IFERROR((SUMPRODUCT((economics!$AG$2:$AG$167=$B39)*(economics!$D$2:$D$167="process")*economics!$AI$2:$AI$167*(_xlfn.NORM.DIST(BB$3,economics!$AK$2:$AK$167,economics!$AJ$2:$AJ$167,TRUE)-_xlfn.NORM.DIST(BB$30,economics!$AK$2:$AK$167,economics!$AJ$2:$AJ$167,TRUE))*economics!$AM$2:$AM$167))/(SUMPRODUCT((economics!$AG$2:$AG$167=$B39)*(economics!$D$2:$D$167="process")*economics!$AI$2:$AI$167*(_xlfn.NORM.DIST(BB$3,economics!$AK$2:$AK$167,economics!$AJ$2:$AJ$167,TRUE)-_xlfn.NORM.DIST(BB$30,economics!$AK$2:$AK$167,economics!$AJ$2:$AJ$167,TRUE)))),"")</f>
        <v/>
      </c>
      <c r="BC39">
        <f t="array" ref="BC39">IFERROR((SUMPRODUCT((economics!$AG$2:$AG$167=$B39)*(economics!$D$2:$D$167="process")*economics!$AI$2:$AI$167*(_xlfn.NORM.DIST(BC$3,economics!$AK$2:$AK$167,economics!$AJ$2:$AJ$167,TRUE)-_xlfn.NORM.DIST(BC$30,economics!$AK$2:$AK$167,economics!$AJ$2:$AJ$167,TRUE))*economics!$AM$2:$AM$167))/(SUMPRODUCT((economics!$AG$2:$AG$167=$B39)*(economics!$D$2:$D$167="process")*economics!$AI$2:$AI$167*(_xlfn.NORM.DIST(BC$3,economics!$AK$2:$AK$167,economics!$AJ$2:$AJ$167,TRUE)-_xlfn.NORM.DIST(BC$30,economics!$AK$2:$AK$167,economics!$AJ$2:$AJ$167,TRUE)))),"")</f>
        <v/>
      </c>
      <c r="BD39">
        <f t="array" ref="BD39">IFERROR((SUMPRODUCT((economics!$AG$2:$AG$167=$B39)*(economics!$D$2:$D$167="process")*economics!$AI$2:$AI$167*(_xlfn.NORM.DIST(BD$3,economics!$AK$2:$AK$167,economics!$AJ$2:$AJ$167,TRUE)-_xlfn.NORM.DIST(BD$30,economics!$AK$2:$AK$167,economics!$AJ$2:$AJ$167,TRUE))*economics!$AM$2:$AM$167))/(SUMPRODUCT((economics!$AG$2:$AG$167=$B39)*(economics!$D$2:$D$167="process")*economics!$AI$2:$AI$167*(_xlfn.NORM.DIST(BD$3,economics!$AK$2:$AK$167,economics!$AJ$2:$AJ$167,TRUE)-_xlfn.NORM.DIST(BD$30,economics!$AK$2:$AK$167,economics!$AJ$2:$AJ$167,TRUE)))),"")</f>
        <v/>
      </c>
      <c r="BE39">
        <f t="array" ref="BE39">IFERROR((SUMPRODUCT((economics!$AG$2:$AG$167=$B39)*(economics!$D$2:$D$167="process")*economics!$AI$2:$AI$167*(_xlfn.NORM.DIST(BE$3,economics!$AK$2:$AK$167,economics!$AJ$2:$AJ$167,TRUE)-_xlfn.NORM.DIST(BE$30,economics!$AK$2:$AK$167,economics!$AJ$2:$AJ$167,TRUE))*economics!$AM$2:$AM$167))/(SUMPRODUCT((economics!$AG$2:$AG$167=$B39)*(economics!$D$2:$D$167="process")*economics!$AI$2:$AI$167*(_xlfn.NORM.DIST(BE$3,economics!$AK$2:$AK$167,economics!$AJ$2:$AJ$167,TRUE)-_xlfn.NORM.DIST(BE$30,economics!$AK$2:$AK$167,economics!$AJ$2:$AJ$167,TRUE)))),"")</f>
        <v/>
      </c>
      <c r="BF39">
        <f t="array" ref="BF39">IFERROR((SUMPRODUCT((economics!$AG$2:$AG$167=$B39)*(economics!$D$2:$D$167="process")*economics!$AI$2:$AI$167*(_xlfn.NORM.DIST(BF$3,economics!$AK$2:$AK$167,economics!$AJ$2:$AJ$167,TRUE)-_xlfn.NORM.DIST(BF$30,economics!$AK$2:$AK$167,economics!$AJ$2:$AJ$167,TRUE))*economics!$AM$2:$AM$167))/(SUMPRODUCT((economics!$AG$2:$AG$167=$B39)*(economics!$D$2:$D$167="process")*economics!$AI$2:$AI$167*(_xlfn.NORM.DIST(BF$3,economics!$AK$2:$AK$167,economics!$AJ$2:$AJ$167,TRUE)-_xlfn.NORM.DIST(BF$30,economics!$AK$2:$AK$167,economics!$AJ$2:$AJ$167,TRUE)))),"")</f>
        <v/>
      </c>
      <c r="BG39">
        <f t="array" ref="BG39">IFERROR((SUMPRODUCT((economics!$AG$2:$AG$167=$B39)*(economics!$D$2:$D$167="process")*economics!$AI$2:$AI$167*(_xlfn.NORM.DIST(BG$3,economics!$AK$2:$AK$167,economics!$AJ$2:$AJ$167,TRUE)-_xlfn.NORM.DIST(BG$30,economics!$AK$2:$AK$167,economics!$AJ$2:$AJ$167,TRUE))*economics!$AM$2:$AM$167))/(SUMPRODUCT((economics!$AG$2:$AG$167=$B39)*(economics!$D$2:$D$167="process")*economics!$AI$2:$AI$167*(_xlfn.NORM.DIST(BG$3,economics!$AK$2:$AK$167,economics!$AJ$2:$AJ$167,TRUE)-_xlfn.NORM.DIST(BG$30,economics!$AK$2:$AK$167,economics!$AJ$2:$AJ$167,TRUE)))),"")</f>
        <v/>
      </c>
      <c r="BH39">
        <f t="array" ref="BH39">IFERROR((SUMPRODUCT((economics!$AG$2:$AG$167=$B39)*(economics!$D$2:$D$167="process")*economics!$AI$2:$AI$167*(_xlfn.NORM.DIST(BH$3,economics!$AK$2:$AK$167,economics!$AJ$2:$AJ$167,TRUE)-_xlfn.NORM.DIST(BH$30,economics!$AK$2:$AK$167,economics!$AJ$2:$AJ$167,TRUE))*economics!$AM$2:$AM$167))/(SUMPRODUCT((economics!$AG$2:$AG$167=$B39)*(economics!$D$2:$D$167="process")*economics!$AI$2:$AI$167*(_xlfn.NORM.DIST(BH$3,economics!$AK$2:$AK$167,economics!$AJ$2:$AJ$167,TRUE)-_xlfn.NORM.DIST(BH$30,economics!$AK$2:$AK$167,economics!$AJ$2:$AJ$167,TRUE)))),"")</f>
        <v/>
      </c>
      <c r="BI39">
        <f t="array" ref="BI39">IFERROR((SUMPRODUCT((economics!$AG$2:$AG$167=$B39)*(economics!$D$2:$D$167="process")*economics!$AI$2:$AI$167*(_xlfn.NORM.DIST(BI$3,economics!$AK$2:$AK$167,economics!$AJ$2:$AJ$167,TRUE)-_xlfn.NORM.DIST(BI$30,economics!$AK$2:$AK$167,economics!$AJ$2:$AJ$167,TRUE))*economics!$AM$2:$AM$167))/(SUMPRODUCT((economics!$AG$2:$AG$167=$B39)*(economics!$D$2:$D$167="process")*economics!$AI$2:$AI$167*(_xlfn.NORM.DIST(BI$3,economics!$AK$2:$AK$167,economics!$AJ$2:$AJ$167,TRUE)-_xlfn.NORM.DIST(BI$30,economics!$AK$2:$AK$167,economics!$AJ$2:$AJ$167,TRUE)))),"")</f>
        <v/>
      </c>
      <c r="BJ39">
        <f t="array" ref="BJ39">IFERROR((SUMPRODUCT((economics!$AG$2:$AG$167=$B39)*(economics!$D$2:$D$167="process")*economics!$AI$2:$AI$167*(_xlfn.NORM.DIST(BJ$3,economics!$AK$2:$AK$167,economics!$AJ$2:$AJ$167,TRUE)-_xlfn.NORM.DIST(BJ$30,economics!$AK$2:$AK$167,economics!$AJ$2:$AJ$167,TRUE))*economics!$AM$2:$AM$167))/(SUMPRODUCT((economics!$AG$2:$AG$167=$B39)*(economics!$D$2:$D$167="process")*economics!$AI$2:$AI$167*(_xlfn.NORM.DIST(BJ$3,economics!$AK$2:$AK$167,economics!$AJ$2:$AJ$167,TRUE)-_xlfn.NORM.DIST(BJ$30,economics!$AK$2:$AK$167,economics!$AJ$2:$AJ$167,TRUE)))),"")</f>
        <v/>
      </c>
      <c r="BK39">
        <f t="array" ref="BK39">IFERROR((SUMPRODUCT((economics!$AG$2:$AG$167=$B39)*(economics!$D$2:$D$167="process")*economics!$AI$2:$AI$167*(_xlfn.NORM.DIST(BK$3,economics!$AK$2:$AK$167,economics!$AJ$2:$AJ$167,TRUE)-_xlfn.NORM.DIST(BK$30,economics!$AK$2:$AK$167,economics!$AJ$2:$AJ$167,TRUE))*economics!$AM$2:$AM$167))/(SUMPRODUCT((economics!$AG$2:$AG$167=$B39)*(economics!$D$2:$D$167="process")*economics!$AI$2:$AI$167*(_xlfn.NORM.DIST(BK$3,economics!$AK$2:$AK$167,economics!$AJ$2:$AJ$167,TRUE)-_xlfn.NORM.DIST(BK$30,economics!$AK$2:$AK$167,economics!$AJ$2:$AJ$167,TRUE)))),"")</f>
        <v/>
      </c>
      <c r="BL39">
        <f t="array" ref="BL39">IFERROR((SUMPRODUCT((economics!$AG$2:$AG$167=$B39)*(economics!$D$2:$D$167="process")*economics!$AI$2:$AI$167*(_xlfn.NORM.DIST(BL$3,economics!$AK$2:$AK$167,economics!$AJ$2:$AJ$167,TRUE)-_xlfn.NORM.DIST(BL$30,economics!$AK$2:$AK$167,economics!$AJ$2:$AJ$167,TRUE))*economics!$AM$2:$AM$167))/(SUMPRODUCT((economics!$AG$2:$AG$167=$B39)*(economics!$D$2:$D$167="process")*economics!$AI$2:$AI$167*(_xlfn.NORM.DIST(BL$3,economics!$AK$2:$AK$167,economics!$AJ$2:$AJ$167,TRUE)-_xlfn.NORM.DIST(BL$30,economics!$AK$2:$AK$167,economics!$AJ$2:$AJ$167,TRUE)))),"")</f>
        <v/>
      </c>
      <c r="BM39">
        <f t="array" ref="BM39">IFERROR((SUMPRODUCT((economics!$AG$2:$AG$167=$B39)*(economics!$D$2:$D$167="process")*economics!$AI$2:$AI$167*(_xlfn.NORM.DIST(BM$3,economics!$AK$2:$AK$167,economics!$AJ$2:$AJ$167,TRUE)-_xlfn.NORM.DIST(BM$30,economics!$AK$2:$AK$167,economics!$AJ$2:$AJ$167,TRUE))*economics!$AM$2:$AM$167))/(SUMPRODUCT((economics!$AG$2:$AG$167=$B39)*(economics!$D$2:$D$167="process")*economics!$AI$2:$AI$167*(_xlfn.NORM.DIST(BM$3,economics!$AK$2:$AK$167,economics!$AJ$2:$AJ$167,TRUE)-_xlfn.NORM.DIST(BM$30,economics!$AK$2:$AK$167,economics!$AJ$2:$AJ$167,TRUE)))),"")</f>
        <v/>
      </c>
      <c r="BN39">
        <f t="array" ref="BN39">IFERROR((SUMPRODUCT((economics!$AG$2:$AG$167=$B39)*(economics!$D$2:$D$167="process")*economics!$AI$2:$AI$167*(_xlfn.NORM.DIST(BN$3,economics!$AK$2:$AK$167,economics!$AJ$2:$AJ$167,TRUE)-_xlfn.NORM.DIST(BN$30,economics!$AK$2:$AK$167,economics!$AJ$2:$AJ$167,TRUE))*economics!$AM$2:$AM$167))/(SUMPRODUCT((economics!$AG$2:$AG$167=$B39)*(economics!$D$2:$D$167="process")*economics!$AI$2:$AI$167*(_xlfn.NORM.DIST(BN$3,economics!$AK$2:$AK$167,economics!$AJ$2:$AJ$167,TRUE)-_xlfn.NORM.DIST(BN$30,economics!$AK$2:$AK$167,economics!$AJ$2:$AJ$167,TRUE)))),"")</f>
        <v/>
      </c>
      <c r="BO39">
        <f t="array" ref="BO39">IFERROR((SUMPRODUCT((economics!$AG$2:$AG$167=$B39)*(economics!$D$2:$D$167="process")*economics!$AI$2:$AI$167*(_xlfn.NORM.DIST(BO$3,economics!$AK$2:$AK$167,economics!$AJ$2:$AJ$167,TRUE)-_xlfn.NORM.DIST(BO$30,economics!$AK$2:$AK$167,economics!$AJ$2:$AJ$167,TRUE))*economics!$AM$2:$AM$167))/(SUMPRODUCT((economics!$AG$2:$AG$167=$B39)*(economics!$D$2:$D$167="process")*economics!$AI$2:$AI$167*(_xlfn.NORM.DIST(BO$3,economics!$AK$2:$AK$167,economics!$AJ$2:$AJ$167,TRUE)-_xlfn.NORM.DIST(BO$30,economics!$AK$2:$AK$167,economics!$AJ$2:$AJ$167,TRUE)))),"")</f>
        <v/>
      </c>
      <c r="BP39">
        <f t="array" ref="BP39">IFERROR((SUMPRODUCT((economics!$AG$2:$AG$167=$B39)*(economics!$D$2:$D$167="process")*economics!$AI$2:$AI$167*(_xlfn.NORM.DIST(BP$3,economics!$AK$2:$AK$167,economics!$AJ$2:$AJ$167,TRUE)-_xlfn.NORM.DIST(BP$30,economics!$AK$2:$AK$167,economics!$AJ$2:$AJ$167,TRUE))*economics!$AM$2:$AM$167))/(SUMPRODUCT((economics!$AG$2:$AG$167=$B39)*(economics!$D$2:$D$167="process")*economics!$AI$2:$AI$167*(_xlfn.NORM.DIST(BP$3,economics!$AK$2:$AK$167,economics!$AJ$2:$AJ$167,TRUE)-_xlfn.NORM.DIST(BP$30,economics!$AK$2:$AK$167,economics!$AJ$2:$AJ$167,TRUE)))),"")</f>
        <v/>
      </c>
      <c r="BQ39">
        <f t="array" ref="BQ39">IFERROR((SUMPRODUCT((economics!$AG$2:$AG$167=$B39)*(economics!$D$2:$D$167="process")*economics!$AI$2:$AI$167*(_xlfn.NORM.DIST(BQ$3,economics!$AK$2:$AK$167,economics!$AJ$2:$AJ$167,TRUE)-_xlfn.NORM.DIST(BQ$30,economics!$AK$2:$AK$167,economics!$AJ$2:$AJ$167,TRUE))*economics!$AM$2:$AM$167))/(SUMPRODUCT((economics!$AG$2:$AG$167=$B39)*(economics!$D$2:$D$167="process")*economics!$AI$2:$AI$167*(_xlfn.NORM.DIST(BQ$3,economics!$AK$2:$AK$167,economics!$AJ$2:$AJ$167,TRUE)-_xlfn.NORM.DIST(BQ$30,economics!$AK$2:$AK$167,economics!$AJ$2:$AJ$167,TRUE)))),"")</f>
        <v/>
      </c>
      <c r="BR39">
        <f t="array" ref="BR39">IFERROR((SUMPRODUCT((economics!$AG$2:$AG$167=$B39)*(economics!$D$2:$D$167="process")*economics!$AI$2:$AI$167*(_xlfn.NORM.DIST(BR$3,economics!$AK$2:$AK$167,economics!$AJ$2:$AJ$167,TRUE)-_xlfn.NORM.DIST(BR$30,economics!$AK$2:$AK$167,economics!$AJ$2:$AJ$167,TRUE))*economics!$AM$2:$AM$167))/(SUMPRODUCT((economics!$AG$2:$AG$167=$B39)*(economics!$D$2:$D$167="process")*economics!$AI$2:$AI$167*(_xlfn.NORM.DIST(BR$3,economics!$AK$2:$AK$167,economics!$AJ$2:$AJ$167,TRUE)-_xlfn.NORM.DIST(BR$30,economics!$AK$2:$AK$167,economics!$AJ$2:$AJ$167,TRUE)))),"")</f>
        <v/>
      </c>
      <c r="BS39">
        <f t="array" ref="BS39">IFERROR((SUMPRODUCT((economics!$AG$2:$AG$167=$B39)*(economics!$D$2:$D$167="process")*economics!$AI$2:$AI$167*(_xlfn.NORM.DIST(BS$3,economics!$AK$2:$AK$167,economics!$AJ$2:$AJ$167,TRUE)-_xlfn.NORM.DIST(BS$30,economics!$AK$2:$AK$167,economics!$AJ$2:$AJ$167,TRUE))*economics!$AM$2:$AM$167))/(SUMPRODUCT((economics!$AG$2:$AG$167=$B39)*(economics!$D$2:$D$167="process")*economics!$AI$2:$AI$167*(_xlfn.NORM.DIST(BS$3,economics!$AK$2:$AK$167,economics!$AJ$2:$AJ$167,TRUE)-_xlfn.NORM.DIST(BS$30,economics!$AK$2:$AK$167,economics!$AJ$2:$AJ$167,TRUE)))),"")</f>
        <v/>
      </c>
      <c r="BT39">
        <f t="array" ref="BT39">IFERROR((SUMPRODUCT((economics!$AG$2:$AG$167=$B39)*(economics!$D$2:$D$167="process")*economics!$AI$2:$AI$167*(_xlfn.NORM.DIST(BT$3,economics!$AK$2:$AK$167,economics!$AJ$2:$AJ$167,TRUE)-_xlfn.NORM.DIST(BT$30,economics!$AK$2:$AK$167,economics!$AJ$2:$AJ$167,TRUE))*economics!$AM$2:$AM$167))/(SUMPRODUCT((economics!$AG$2:$AG$167=$B39)*(economics!$D$2:$D$167="process")*economics!$AI$2:$AI$167*(_xlfn.NORM.DIST(BT$3,economics!$AK$2:$AK$167,economics!$AJ$2:$AJ$167,TRUE)-_xlfn.NORM.DIST(BT$30,economics!$AK$2:$AK$167,economics!$AJ$2:$AJ$167,TRUE)))),"")</f>
        <v/>
      </c>
      <c r="BU39">
        <f t="array" ref="BU39">IFERROR((SUMPRODUCT((economics!$AG$2:$AG$167=$B39)*(economics!$D$2:$D$167="process")*economics!$AI$2:$AI$167*(_xlfn.NORM.DIST(BU$3,economics!$AK$2:$AK$167,economics!$AJ$2:$AJ$167,TRUE)-_xlfn.NORM.DIST(BU$30,economics!$AK$2:$AK$167,economics!$AJ$2:$AJ$167,TRUE))*economics!$AM$2:$AM$167))/(SUMPRODUCT((economics!$AG$2:$AG$167=$B39)*(economics!$D$2:$D$167="process")*economics!$AI$2:$AI$167*(_xlfn.NORM.DIST(BU$3,economics!$AK$2:$AK$167,economics!$AJ$2:$AJ$167,TRUE)-_xlfn.NORM.DIST(BU$30,economics!$AK$2:$AK$167,economics!$AJ$2:$AJ$167,TRUE)))),"")</f>
        <v/>
      </c>
      <c r="BV39">
        <f t="array" ref="BV39">IFERROR((SUMPRODUCT((economics!$AG$2:$AG$167=$B39)*(economics!$D$2:$D$167="process")*economics!$AI$2:$AI$167*(_xlfn.NORM.DIST(BV$3,economics!$AK$2:$AK$167,economics!$AJ$2:$AJ$167,TRUE)-_xlfn.NORM.DIST(BV$30,economics!$AK$2:$AK$167,economics!$AJ$2:$AJ$167,TRUE))*economics!$AM$2:$AM$167))/(SUMPRODUCT((economics!$AG$2:$AG$167=$B39)*(economics!$D$2:$D$167="process")*economics!$AI$2:$AI$167*(_xlfn.NORM.DIST(BV$3,economics!$AK$2:$AK$167,economics!$AJ$2:$AJ$167,TRUE)-_xlfn.NORM.DIST(BV$30,economics!$AK$2:$AK$167,economics!$AJ$2:$AJ$167,TRUE)))),"")</f>
        <v/>
      </c>
      <c r="BW39">
        <f t="array" ref="BW39">IFERROR((SUMPRODUCT((economics!$AG$2:$AG$167=$B39)*(economics!$D$2:$D$167="process")*economics!$AI$2:$AI$167*(_xlfn.NORM.DIST(BW$3,economics!$AK$2:$AK$167,economics!$AJ$2:$AJ$167,TRUE)-_xlfn.NORM.DIST(BW$30,economics!$AK$2:$AK$167,economics!$AJ$2:$AJ$167,TRUE))*economics!$AM$2:$AM$167))/(SUMPRODUCT((economics!$AG$2:$AG$167=$B39)*(economics!$D$2:$D$167="process")*economics!$AI$2:$AI$167*(_xlfn.NORM.DIST(BW$3,economics!$AK$2:$AK$167,economics!$AJ$2:$AJ$167,TRUE)-_xlfn.NORM.DIST(BW$30,economics!$AK$2:$AK$167,economics!$AJ$2:$AJ$167,TRUE)))),"")</f>
        <v/>
      </c>
      <c r="BX39">
        <f t="array" ref="BX39">IFERROR((SUMPRODUCT((economics!$AG$2:$AG$167=$B39)*(economics!$D$2:$D$167="process")*economics!$AI$2:$AI$167*(_xlfn.NORM.DIST(BX$3,economics!$AK$2:$AK$167,economics!$AJ$2:$AJ$167,TRUE)-_xlfn.NORM.DIST(BX$30,economics!$AK$2:$AK$167,economics!$AJ$2:$AJ$167,TRUE))*economics!$AM$2:$AM$167))/(SUMPRODUCT((economics!$AG$2:$AG$167=$B39)*(economics!$D$2:$D$167="process")*economics!$AI$2:$AI$167*(_xlfn.NORM.DIST(BX$3,economics!$AK$2:$AK$167,economics!$AJ$2:$AJ$167,TRUE)-_xlfn.NORM.DIST(BX$30,economics!$AK$2:$AK$167,economics!$AJ$2:$AJ$167,TRUE)))),"")</f>
        <v/>
      </c>
      <c r="BY39">
        <f t="array" ref="BY39">IFERROR((SUMPRODUCT((economics!$AG$2:$AG$167=$B39)*(economics!$D$2:$D$167="process")*economics!$AI$2:$AI$167*(_xlfn.NORM.DIST(BY$3,economics!$AK$2:$AK$167,economics!$AJ$2:$AJ$167,TRUE)-_xlfn.NORM.DIST(BY$30,economics!$AK$2:$AK$167,economics!$AJ$2:$AJ$167,TRUE))*economics!$AM$2:$AM$167))/(SUMPRODUCT((economics!$AG$2:$AG$167=$B39)*(economics!$D$2:$D$167="process")*economics!$AI$2:$AI$167*(_xlfn.NORM.DIST(BY$3,economics!$AK$2:$AK$167,economics!$AJ$2:$AJ$167,TRUE)-_xlfn.NORM.DIST(BY$30,economics!$AK$2:$AK$167,economics!$AJ$2:$AJ$167,TRUE)))),"")</f>
        <v/>
      </c>
      <c r="BZ39">
        <f t="array" ref="BZ39">IFERROR((SUMPRODUCT((economics!$AG$2:$AG$167=$B39)*(economics!$D$2:$D$167="process")*economics!$AI$2:$AI$167*(_xlfn.NORM.DIST(BZ$3,economics!$AK$2:$AK$167,economics!$AJ$2:$AJ$167,TRUE)-_xlfn.NORM.DIST(BZ$30,economics!$AK$2:$AK$167,economics!$AJ$2:$AJ$167,TRUE))*economics!$AM$2:$AM$167))/(SUMPRODUCT((economics!$AG$2:$AG$167=$B39)*(economics!$D$2:$D$167="process")*economics!$AI$2:$AI$167*(_xlfn.NORM.DIST(BZ$3,economics!$AK$2:$AK$167,economics!$AJ$2:$AJ$167,TRUE)-_xlfn.NORM.DIST(BZ$30,economics!$AK$2:$AK$167,economics!$AJ$2:$AJ$167,TRUE)))),"")</f>
        <v/>
      </c>
      <c r="CA39">
        <f t="array" ref="CA39">IFERROR((SUMPRODUCT((economics!$AG$2:$AG$167=$B39)*(economics!$D$2:$D$167="process")*economics!$AI$2:$AI$167*(_xlfn.NORM.DIST(CA$3,economics!$AK$2:$AK$167,economics!$AJ$2:$AJ$167,TRUE)-_xlfn.NORM.DIST(CA$30,economics!$AK$2:$AK$167,economics!$AJ$2:$AJ$167,TRUE))*economics!$AM$2:$AM$167))/(SUMPRODUCT((economics!$AG$2:$AG$167=$B39)*(economics!$D$2:$D$167="process")*economics!$AI$2:$AI$167*(_xlfn.NORM.DIST(CA$3,economics!$AK$2:$AK$167,economics!$AJ$2:$AJ$167,TRUE)-_xlfn.NORM.DIST(CA$30,economics!$AK$2:$AK$167,economics!$AJ$2:$AJ$167,TRUE)))),"")</f>
        <v/>
      </c>
      <c r="CB39">
        <f t="array" ref="CB39">IFERROR((SUMPRODUCT((economics!$AG$2:$AG$167=$B39)*(economics!$D$2:$D$167="process")*economics!$AI$2:$AI$167*(_xlfn.NORM.DIST(CB$3,economics!$AK$2:$AK$167,economics!$AJ$2:$AJ$167,TRUE)-_xlfn.NORM.DIST(CB$30,economics!$AK$2:$AK$167,economics!$AJ$2:$AJ$167,TRUE))*economics!$AM$2:$AM$167))/(SUMPRODUCT((economics!$AG$2:$AG$167=$B39)*(economics!$D$2:$D$167="process")*economics!$AI$2:$AI$167*(_xlfn.NORM.DIST(CB$3,economics!$AK$2:$AK$167,economics!$AJ$2:$AJ$167,TRUE)-_xlfn.NORM.DIST(CB$30,economics!$AK$2:$AK$167,economics!$AJ$2:$AJ$167,TRUE)))),"")</f>
        <v/>
      </c>
      <c r="CC39">
        <f t="array" ref="CC39">IFERROR((SUMPRODUCT((economics!$AG$2:$AG$167=$B39)*(economics!$D$2:$D$167="process")*economics!$AI$2:$AI$167*(_xlfn.NORM.DIST(CC$3,economics!$AK$2:$AK$167,economics!$AJ$2:$AJ$167,TRUE)-_xlfn.NORM.DIST(CC$30,economics!$AK$2:$AK$167,economics!$AJ$2:$AJ$167,TRUE))*economics!$AM$2:$AM$167))/(SUMPRODUCT((economics!$AG$2:$AG$167=$B39)*(economics!$D$2:$D$167="process")*economics!$AI$2:$AI$167*(_xlfn.NORM.DIST(CC$3,economics!$AK$2:$AK$167,economics!$AJ$2:$AJ$167,TRUE)-_xlfn.NORM.DIST(CC$30,economics!$AK$2:$AK$167,economics!$AJ$2:$AJ$167,TRUE)))),"")</f>
        <v/>
      </c>
      <c r="CD39">
        <f t="array" ref="CD39">IFERROR((SUMPRODUCT((economics!$AG$2:$AG$167=$B39)*(economics!$D$2:$D$167="process")*economics!$AI$2:$AI$167*(_xlfn.NORM.DIST(CD$3,economics!$AK$2:$AK$167,economics!$AJ$2:$AJ$167,TRUE)-_xlfn.NORM.DIST(CD$30,economics!$AK$2:$AK$167,economics!$AJ$2:$AJ$167,TRUE))*economics!$AM$2:$AM$167))/(SUMPRODUCT((economics!$AG$2:$AG$167=$B39)*(economics!$D$2:$D$167="process")*economics!$AI$2:$AI$167*(_xlfn.NORM.DIST(CD$3,economics!$AK$2:$AK$167,economics!$AJ$2:$AJ$167,TRUE)-_xlfn.NORM.DIST(CD$30,economics!$AK$2:$AK$167,economics!$AJ$2:$AJ$167,TRUE)))),"")</f>
        <v/>
      </c>
      <c r="CE39">
        <f t="array" ref="CE39">IFERROR((SUMPRODUCT((economics!$AG$2:$AG$167=$B39)*(economics!$D$2:$D$167="process")*economics!$AI$2:$AI$167*(_xlfn.NORM.DIST(CE$3,economics!$AK$2:$AK$167,economics!$AJ$2:$AJ$167,TRUE)-_xlfn.NORM.DIST(CE$30,economics!$AK$2:$AK$167,economics!$AJ$2:$AJ$167,TRUE))*economics!$AM$2:$AM$167))/(SUMPRODUCT((economics!$AG$2:$AG$167=$B39)*(economics!$D$2:$D$167="process")*economics!$AI$2:$AI$167*(_xlfn.NORM.DIST(CE$3,economics!$AK$2:$AK$167,economics!$AJ$2:$AJ$167,TRUE)-_xlfn.NORM.DIST(CE$30,economics!$AK$2:$AK$167,economics!$AJ$2:$AJ$167,TRUE)))),"")</f>
        <v/>
      </c>
      <c r="CF39">
        <f t="array" ref="CF39">IFERROR((SUMPRODUCT((economics!$AG$2:$AG$167=$B39)*(economics!$D$2:$D$167="process")*economics!$AI$2:$AI$167*(_xlfn.NORM.DIST(CF$3,economics!$AK$2:$AK$167,economics!$AJ$2:$AJ$167,TRUE)-_xlfn.NORM.DIST(CF$30,economics!$AK$2:$AK$167,economics!$AJ$2:$AJ$167,TRUE))*economics!$AM$2:$AM$167))/(SUMPRODUCT((economics!$AG$2:$AG$167=$B39)*(economics!$D$2:$D$167="process")*economics!$AI$2:$AI$167*(_xlfn.NORM.DIST(CF$3,economics!$AK$2:$AK$167,economics!$AJ$2:$AJ$167,TRUE)-_xlfn.NORM.DIST(CF$30,economics!$AK$2:$AK$167,economics!$AJ$2:$AJ$167,TRUE)))),"")</f>
        <v/>
      </c>
      <c r="CG39">
        <f t="array" ref="CG39">IFERROR((SUMPRODUCT((economics!$AG$2:$AG$167=$B39)*(economics!$D$2:$D$167="process")*economics!$AI$2:$AI$167*(_xlfn.NORM.DIST(CG$3,economics!$AK$2:$AK$167,economics!$AJ$2:$AJ$167,TRUE)-_xlfn.NORM.DIST(CG$30,economics!$AK$2:$AK$167,economics!$AJ$2:$AJ$167,TRUE))*economics!$AM$2:$AM$167))/(SUMPRODUCT((economics!$AG$2:$AG$167=$B39)*(economics!$D$2:$D$167="process")*economics!$AI$2:$AI$167*(_xlfn.NORM.DIST(CG$3,economics!$AK$2:$AK$167,economics!$AJ$2:$AJ$167,TRUE)-_xlfn.NORM.DIST(CG$30,economics!$AK$2:$AK$167,economics!$AJ$2:$AJ$167,TRUE)))),"")</f>
        <v/>
      </c>
      <c r="CH39">
        <f t="array" ref="CH39">IFERROR((SUMPRODUCT((economics!$AG$2:$AG$167=$B39)*(economics!$D$2:$D$167="process")*economics!$AI$2:$AI$167*(_xlfn.NORM.DIST(CH$3,economics!$AK$2:$AK$167,economics!$AJ$2:$AJ$167,TRUE)-_xlfn.NORM.DIST(CH$30,economics!$AK$2:$AK$167,economics!$AJ$2:$AJ$167,TRUE))*economics!$AM$2:$AM$167))/(SUMPRODUCT((economics!$AG$2:$AG$167=$B39)*(economics!$D$2:$D$167="process")*economics!$AI$2:$AI$167*(_xlfn.NORM.DIST(CH$3,economics!$AK$2:$AK$167,economics!$AJ$2:$AJ$167,TRUE)-_xlfn.NORM.DIST(CH$30,economics!$AK$2:$AK$167,economics!$AJ$2:$AJ$167,TRUE)))),"")</f>
        <v/>
      </c>
    </row>
    <row r="40">
      <c r="A40">
        <f>A11</f>
        <v/>
      </c>
      <c r="B40">
        <f>B11</f>
        <v/>
      </c>
      <c r="E40">
        <f t="array" ref="E40">IFERROR((SUMPRODUCT((economics!$AG$2:$AG$167=$B40)*(economics!$D$2:$D$167="process")*economics!$AI$2:$AI$167*(_xlfn.NORM.DIST(E$3,economics!$AK$2:$AK$167,economics!$AJ$2:$AJ$167,TRUE)-_xlfn.NORM.DIST(E$30,economics!$AK$2:$AK$167,economics!$AJ$2:$AJ$167,TRUE))*economics!$AM$2:$AM$167))/(SUMPRODUCT((economics!$AG$2:$AG$167=$B40)*(economics!$D$2:$D$167="process")*economics!$AI$2:$AI$167*(_xlfn.NORM.DIST(E$3,economics!$AK$2:$AK$167,economics!$AJ$2:$AJ$167,TRUE)-_xlfn.NORM.DIST(E$30,economics!$AK$2:$AK$167,economics!$AJ$2:$AJ$167,TRUE)))),"")</f>
        <v/>
      </c>
      <c r="F40">
        <f t="array" ref="F40">IFERROR((SUMPRODUCT((economics!$AG$2:$AG$167=$B40)*(economics!$D$2:$D$167="process")*economics!$AI$2:$AI$167*(_xlfn.NORM.DIST(F$3,economics!$AK$2:$AK$167,economics!$AJ$2:$AJ$167,TRUE)-_xlfn.NORM.DIST(F$30,economics!$AK$2:$AK$167,economics!$AJ$2:$AJ$167,TRUE))*economics!$AM$2:$AM$167))/(SUMPRODUCT((economics!$AG$2:$AG$167=$B40)*(economics!$D$2:$D$167="process")*economics!$AI$2:$AI$167*(_xlfn.NORM.DIST(F$3,economics!$AK$2:$AK$167,economics!$AJ$2:$AJ$167,TRUE)-_xlfn.NORM.DIST(F$30,economics!$AK$2:$AK$167,economics!$AJ$2:$AJ$167,TRUE)))),"")</f>
        <v/>
      </c>
      <c r="G40">
        <f t="array" ref="G40">IFERROR((SUMPRODUCT((economics!$AG$2:$AG$167=$B40)*(economics!$D$2:$D$167="process")*economics!$AI$2:$AI$167*(_xlfn.NORM.DIST(G$3,economics!$AK$2:$AK$167,economics!$AJ$2:$AJ$167,TRUE)-_xlfn.NORM.DIST(G$30,economics!$AK$2:$AK$167,economics!$AJ$2:$AJ$167,TRUE))*economics!$AM$2:$AM$167))/(SUMPRODUCT((economics!$AG$2:$AG$167=$B40)*(economics!$D$2:$D$167="process")*economics!$AI$2:$AI$167*(_xlfn.NORM.DIST(G$3,economics!$AK$2:$AK$167,economics!$AJ$2:$AJ$167,TRUE)-_xlfn.NORM.DIST(G$30,economics!$AK$2:$AK$167,economics!$AJ$2:$AJ$167,TRUE)))),"")</f>
        <v/>
      </c>
      <c r="H40">
        <f t="array" ref="H40">IFERROR((SUMPRODUCT((economics!$AG$2:$AG$167=$B40)*(economics!$D$2:$D$167="process")*economics!$AI$2:$AI$167*(_xlfn.NORM.DIST(H$3,economics!$AK$2:$AK$167,economics!$AJ$2:$AJ$167,TRUE)-_xlfn.NORM.DIST(H$30,economics!$AK$2:$AK$167,economics!$AJ$2:$AJ$167,TRUE))*economics!$AM$2:$AM$167))/(SUMPRODUCT((economics!$AG$2:$AG$167=$B40)*(economics!$D$2:$D$167="process")*economics!$AI$2:$AI$167*(_xlfn.NORM.DIST(H$3,economics!$AK$2:$AK$167,economics!$AJ$2:$AJ$167,TRUE)-_xlfn.NORM.DIST(H$30,economics!$AK$2:$AK$167,economics!$AJ$2:$AJ$167,TRUE)))),"")</f>
        <v/>
      </c>
      <c r="I40">
        <f t="array" ref="I40">IFERROR((SUMPRODUCT((economics!$AG$2:$AG$167=$B40)*(economics!$D$2:$D$167="process")*economics!$AI$2:$AI$167*(_xlfn.NORM.DIST(I$3,economics!$AK$2:$AK$167,economics!$AJ$2:$AJ$167,TRUE)-_xlfn.NORM.DIST(I$30,economics!$AK$2:$AK$167,economics!$AJ$2:$AJ$167,TRUE))*economics!$AM$2:$AM$167))/(SUMPRODUCT((economics!$AG$2:$AG$167=$B40)*(economics!$D$2:$D$167="process")*economics!$AI$2:$AI$167*(_xlfn.NORM.DIST(I$3,economics!$AK$2:$AK$167,economics!$AJ$2:$AJ$167,TRUE)-_xlfn.NORM.DIST(I$30,economics!$AK$2:$AK$167,economics!$AJ$2:$AJ$167,TRUE)))),"")</f>
        <v/>
      </c>
      <c r="J40">
        <f t="array" ref="J40">IFERROR((SUMPRODUCT((economics!$AG$2:$AG$167=$B40)*(economics!$D$2:$D$167="process")*economics!$AI$2:$AI$167*(_xlfn.NORM.DIST(J$3,economics!$AK$2:$AK$167,economics!$AJ$2:$AJ$167,TRUE)-_xlfn.NORM.DIST(J$30,economics!$AK$2:$AK$167,economics!$AJ$2:$AJ$167,TRUE))*economics!$AM$2:$AM$167))/(SUMPRODUCT((economics!$AG$2:$AG$167=$B40)*(economics!$D$2:$D$167="process")*economics!$AI$2:$AI$167*(_xlfn.NORM.DIST(J$3,economics!$AK$2:$AK$167,economics!$AJ$2:$AJ$167,TRUE)-_xlfn.NORM.DIST(J$30,economics!$AK$2:$AK$167,economics!$AJ$2:$AJ$167,TRUE)))),"")</f>
        <v/>
      </c>
      <c r="K40">
        <f t="array" ref="K40">IFERROR((SUMPRODUCT((economics!$AG$2:$AG$167=$B40)*(economics!$D$2:$D$167="process")*economics!$AI$2:$AI$167*(_xlfn.NORM.DIST(K$3,economics!$AK$2:$AK$167,economics!$AJ$2:$AJ$167,TRUE)-_xlfn.NORM.DIST(K$30,economics!$AK$2:$AK$167,economics!$AJ$2:$AJ$167,TRUE))*economics!$AM$2:$AM$167))/(SUMPRODUCT((economics!$AG$2:$AG$167=$B40)*(economics!$D$2:$D$167="process")*economics!$AI$2:$AI$167*(_xlfn.NORM.DIST(K$3,economics!$AK$2:$AK$167,economics!$AJ$2:$AJ$167,TRUE)-_xlfn.NORM.DIST(K$30,economics!$AK$2:$AK$167,economics!$AJ$2:$AJ$167,TRUE)))),"")</f>
        <v/>
      </c>
      <c r="L40">
        <f t="array" ref="L40">IFERROR((SUMPRODUCT((economics!$AG$2:$AG$167=$B40)*(economics!$D$2:$D$167="process")*economics!$AI$2:$AI$167*(_xlfn.NORM.DIST(L$3,economics!$AK$2:$AK$167,economics!$AJ$2:$AJ$167,TRUE)-_xlfn.NORM.DIST(L$30,economics!$AK$2:$AK$167,economics!$AJ$2:$AJ$167,TRUE))*economics!$AM$2:$AM$167))/(SUMPRODUCT((economics!$AG$2:$AG$167=$B40)*(economics!$D$2:$D$167="process")*economics!$AI$2:$AI$167*(_xlfn.NORM.DIST(L$3,economics!$AK$2:$AK$167,economics!$AJ$2:$AJ$167,TRUE)-_xlfn.NORM.DIST(L$30,economics!$AK$2:$AK$167,economics!$AJ$2:$AJ$167,TRUE)))),"")</f>
        <v/>
      </c>
      <c r="M40">
        <f t="array" ref="M40">IFERROR((SUMPRODUCT((economics!$AG$2:$AG$167=$B40)*(economics!$D$2:$D$167="process")*economics!$AI$2:$AI$167*(_xlfn.NORM.DIST(M$3,economics!$AK$2:$AK$167,economics!$AJ$2:$AJ$167,TRUE)-_xlfn.NORM.DIST(M$30,economics!$AK$2:$AK$167,economics!$AJ$2:$AJ$167,TRUE))*economics!$AM$2:$AM$167))/(SUMPRODUCT((economics!$AG$2:$AG$167=$B40)*(economics!$D$2:$D$167="process")*economics!$AI$2:$AI$167*(_xlfn.NORM.DIST(M$3,economics!$AK$2:$AK$167,economics!$AJ$2:$AJ$167,TRUE)-_xlfn.NORM.DIST(M$30,economics!$AK$2:$AK$167,economics!$AJ$2:$AJ$167,TRUE)))),"")</f>
        <v/>
      </c>
      <c r="N40">
        <f t="array" ref="N40">IFERROR((SUMPRODUCT((economics!$AG$2:$AG$167=$B40)*(economics!$D$2:$D$167="process")*economics!$AI$2:$AI$167*(_xlfn.NORM.DIST(N$3,economics!$AK$2:$AK$167,economics!$AJ$2:$AJ$167,TRUE)-_xlfn.NORM.DIST(N$30,economics!$AK$2:$AK$167,economics!$AJ$2:$AJ$167,TRUE))*economics!$AM$2:$AM$167))/(SUMPRODUCT((economics!$AG$2:$AG$167=$B40)*(economics!$D$2:$D$167="process")*economics!$AI$2:$AI$167*(_xlfn.NORM.DIST(N$3,economics!$AK$2:$AK$167,economics!$AJ$2:$AJ$167,TRUE)-_xlfn.NORM.DIST(N$30,economics!$AK$2:$AK$167,economics!$AJ$2:$AJ$167,TRUE)))),"")</f>
        <v/>
      </c>
      <c r="O40">
        <f t="array" ref="O40">IFERROR((SUMPRODUCT((economics!$AG$2:$AG$167=$B40)*(economics!$D$2:$D$167="process")*economics!$AI$2:$AI$167*(_xlfn.NORM.DIST(O$3,economics!$AK$2:$AK$167,economics!$AJ$2:$AJ$167,TRUE)-_xlfn.NORM.DIST(O$30,economics!$AK$2:$AK$167,economics!$AJ$2:$AJ$167,TRUE))*economics!$AM$2:$AM$167))/(SUMPRODUCT((economics!$AG$2:$AG$167=$B40)*(economics!$D$2:$D$167="process")*economics!$AI$2:$AI$167*(_xlfn.NORM.DIST(O$3,economics!$AK$2:$AK$167,economics!$AJ$2:$AJ$167,TRUE)-_xlfn.NORM.DIST(O$30,economics!$AK$2:$AK$167,economics!$AJ$2:$AJ$167,TRUE)))),"")</f>
        <v/>
      </c>
      <c r="P40">
        <f t="array" ref="P40">IFERROR((SUMPRODUCT((economics!$AG$2:$AG$167=$B40)*(economics!$D$2:$D$167="process")*economics!$AI$2:$AI$167*(_xlfn.NORM.DIST(P$3,economics!$AK$2:$AK$167,economics!$AJ$2:$AJ$167,TRUE)-_xlfn.NORM.DIST(P$30,economics!$AK$2:$AK$167,economics!$AJ$2:$AJ$167,TRUE))*economics!$AM$2:$AM$167))/(SUMPRODUCT((economics!$AG$2:$AG$167=$B40)*(economics!$D$2:$D$167="process")*economics!$AI$2:$AI$167*(_xlfn.NORM.DIST(P$3,economics!$AK$2:$AK$167,economics!$AJ$2:$AJ$167,TRUE)-_xlfn.NORM.DIST(P$30,economics!$AK$2:$AK$167,economics!$AJ$2:$AJ$167,TRUE)))),"")</f>
        <v/>
      </c>
      <c r="Q40">
        <f t="array" ref="Q40">IFERROR((SUMPRODUCT((economics!$AG$2:$AG$167=$B40)*(economics!$D$2:$D$167="process")*economics!$AI$2:$AI$167*(_xlfn.NORM.DIST(Q$3,economics!$AK$2:$AK$167,economics!$AJ$2:$AJ$167,TRUE)-_xlfn.NORM.DIST(Q$30,economics!$AK$2:$AK$167,economics!$AJ$2:$AJ$167,TRUE))*economics!$AM$2:$AM$167))/(SUMPRODUCT((economics!$AG$2:$AG$167=$B40)*(economics!$D$2:$D$167="process")*economics!$AI$2:$AI$167*(_xlfn.NORM.DIST(Q$3,economics!$AK$2:$AK$167,economics!$AJ$2:$AJ$167,TRUE)-_xlfn.NORM.DIST(Q$30,economics!$AK$2:$AK$167,economics!$AJ$2:$AJ$167,TRUE)))),"")</f>
        <v/>
      </c>
      <c r="R40">
        <f t="array" ref="R40">IFERROR((SUMPRODUCT((economics!$AG$2:$AG$167=$B40)*(economics!$D$2:$D$167="process")*economics!$AI$2:$AI$167*(_xlfn.NORM.DIST(R$3,economics!$AK$2:$AK$167,economics!$AJ$2:$AJ$167,TRUE)-_xlfn.NORM.DIST(R$30,economics!$AK$2:$AK$167,economics!$AJ$2:$AJ$167,TRUE))*economics!$AM$2:$AM$167))/(SUMPRODUCT((economics!$AG$2:$AG$167=$B40)*(economics!$D$2:$D$167="process")*economics!$AI$2:$AI$167*(_xlfn.NORM.DIST(R$3,economics!$AK$2:$AK$167,economics!$AJ$2:$AJ$167,TRUE)-_xlfn.NORM.DIST(R$30,economics!$AK$2:$AK$167,economics!$AJ$2:$AJ$167,TRUE)))),"")</f>
        <v/>
      </c>
      <c r="S40">
        <f t="array" ref="S40">IFERROR((SUMPRODUCT((economics!$AG$2:$AG$167=$B40)*(economics!$D$2:$D$167="process")*economics!$AI$2:$AI$167*(_xlfn.NORM.DIST(S$3,economics!$AK$2:$AK$167,economics!$AJ$2:$AJ$167,TRUE)-_xlfn.NORM.DIST(S$30,economics!$AK$2:$AK$167,economics!$AJ$2:$AJ$167,TRUE))*economics!$AM$2:$AM$167))/(SUMPRODUCT((economics!$AG$2:$AG$167=$B40)*(economics!$D$2:$D$167="process")*economics!$AI$2:$AI$167*(_xlfn.NORM.DIST(S$3,economics!$AK$2:$AK$167,economics!$AJ$2:$AJ$167,TRUE)-_xlfn.NORM.DIST(S$30,economics!$AK$2:$AK$167,economics!$AJ$2:$AJ$167,TRUE)))),"")</f>
        <v/>
      </c>
      <c r="T40">
        <f t="array" ref="T40">IFERROR((SUMPRODUCT((economics!$AG$2:$AG$167=$B40)*(economics!$D$2:$D$167="process")*economics!$AI$2:$AI$167*(_xlfn.NORM.DIST(T$3,economics!$AK$2:$AK$167,economics!$AJ$2:$AJ$167,TRUE)-_xlfn.NORM.DIST(T$30,economics!$AK$2:$AK$167,economics!$AJ$2:$AJ$167,TRUE))*economics!$AM$2:$AM$167))/(SUMPRODUCT((economics!$AG$2:$AG$167=$B40)*(economics!$D$2:$D$167="process")*economics!$AI$2:$AI$167*(_xlfn.NORM.DIST(T$3,economics!$AK$2:$AK$167,economics!$AJ$2:$AJ$167,TRUE)-_xlfn.NORM.DIST(T$30,economics!$AK$2:$AK$167,economics!$AJ$2:$AJ$167,TRUE)))),"")</f>
        <v/>
      </c>
      <c r="U40">
        <f t="array" ref="U40">IFERROR((SUMPRODUCT((economics!$AG$2:$AG$167=$B40)*(economics!$D$2:$D$167="process")*economics!$AI$2:$AI$167*(_xlfn.NORM.DIST(U$3,economics!$AK$2:$AK$167,economics!$AJ$2:$AJ$167,TRUE)-_xlfn.NORM.DIST(U$30,economics!$AK$2:$AK$167,economics!$AJ$2:$AJ$167,TRUE))*economics!$AM$2:$AM$167))/(SUMPRODUCT((economics!$AG$2:$AG$167=$B40)*(economics!$D$2:$D$167="process")*economics!$AI$2:$AI$167*(_xlfn.NORM.DIST(U$3,economics!$AK$2:$AK$167,economics!$AJ$2:$AJ$167,TRUE)-_xlfn.NORM.DIST(U$30,economics!$AK$2:$AK$167,economics!$AJ$2:$AJ$167,TRUE)))),"")</f>
        <v/>
      </c>
      <c r="V40">
        <f t="array" ref="V40">IFERROR((SUMPRODUCT((economics!$AG$2:$AG$167=$B40)*(economics!$D$2:$D$167="process")*economics!$AI$2:$AI$167*(_xlfn.NORM.DIST(V$3,economics!$AK$2:$AK$167,economics!$AJ$2:$AJ$167,TRUE)-_xlfn.NORM.DIST(V$30,economics!$AK$2:$AK$167,economics!$AJ$2:$AJ$167,TRUE))*economics!$AM$2:$AM$167))/(SUMPRODUCT((economics!$AG$2:$AG$167=$B40)*(economics!$D$2:$D$167="process")*economics!$AI$2:$AI$167*(_xlfn.NORM.DIST(V$3,economics!$AK$2:$AK$167,economics!$AJ$2:$AJ$167,TRUE)-_xlfn.NORM.DIST(V$30,economics!$AK$2:$AK$167,economics!$AJ$2:$AJ$167,TRUE)))),"")</f>
        <v/>
      </c>
      <c r="W40">
        <f t="array" ref="W40">IFERROR((SUMPRODUCT((economics!$AG$2:$AG$167=$B40)*(economics!$D$2:$D$167="process")*economics!$AI$2:$AI$167*(_xlfn.NORM.DIST(W$3,economics!$AK$2:$AK$167,economics!$AJ$2:$AJ$167,TRUE)-_xlfn.NORM.DIST(W$30,economics!$AK$2:$AK$167,economics!$AJ$2:$AJ$167,TRUE))*economics!$AM$2:$AM$167))/(SUMPRODUCT((economics!$AG$2:$AG$167=$B40)*(economics!$D$2:$D$167="process")*economics!$AI$2:$AI$167*(_xlfn.NORM.DIST(W$3,economics!$AK$2:$AK$167,economics!$AJ$2:$AJ$167,TRUE)-_xlfn.NORM.DIST(W$30,economics!$AK$2:$AK$167,economics!$AJ$2:$AJ$167,TRUE)))),"")</f>
        <v/>
      </c>
      <c r="X40">
        <f t="array" ref="X40">IFERROR((SUMPRODUCT((economics!$AG$2:$AG$167=$B40)*(economics!$D$2:$D$167="process")*economics!$AI$2:$AI$167*(_xlfn.NORM.DIST(X$3,economics!$AK$2:$AK$167,economics!$AJ$2:$AJ$167,TRUE)-_xlfn.NORM.DIST(X$30,economics!$AK$2:$AK$167,economics!$AJ$2:$AJ$167,TRUE))*economics!$AM$2:$AM$167))/(SUMPRODUCT((economics!$AG$2:$AG$167=$B40)*(economics!$D$2:$D$167="process")*economics!$AI$2:$AI$167*(_xlfn.NORM.DIST(X$3,economics!$AK$2:$AK$167,economics!$AJ$2:$AJ$167,TRUE)-_xlfn.NORM.DIST(X$30,economics!$AK$2:$AK$167,economics!$AJ$2:$AJ$167,TRUE)))),"")</f>
        <v/>
      </c>
      <c r="Y40">
        <f t="array" ref="Y40">IFERROR((SUMPRODUCT((economics!$AG$2:$AG$167=$B40)*(economics!$D$2:$D$167="process")*economics!$AI$2:$AI$167*(_xlfn.NORM.DIST(Y$3,economics!$AK$2:$AK$167,economics!$AJ$2:$AJ$167,TRUE)-_xlfn.NORM.DIST(Y$30,economics!$AK$2:$AK$167,economics!$AJ$2:$AJ$167,TRUE))*economics!$AM$2:$AM$167))/(SUMPRODUCT((economics!$AG$2:$AG$167=$B40)*(economics!$D$2:$D$167="process")*economics!$AI$2:$AI$167*(_xlfn.NORM.DIST(Y$3,economics!$AK$2:$AK$167,economics!$AJ$2:$AJ$167,TRUE)-_xlfn.NORM.DIST(Y$30,economics!$AK$2:$AK$167,economics!$AJ$2:$AJ$167,TRUE)))),"")</f>
        <v/>
      </c>
      <c r="Z40">
        <f t="array" ref="Z40">IFERROR((SUMPRODUCT((economics!$AG$2:$AG$167=$B40)*(economics!$D$2:$D$167="process")*economics!$AI$2:$AI$167*(_xlfn.NORM.DIST(Z$3,economics!$AK$2:$AK$167,economics!$AJ$2:$AJ$167,TRUE)-_xlfn.NORM.DIST(Z$30,economics!$AK$2:$AK$167,economics!$AJ$2:$AJ$167,TRUE))*economics!$AM$2:$AM$167))/(SUMPRODUCT((economics!$AG$2:$AG$167=$B40)*(economics!$D$2:$D$167="process")*economics!$AI$2:$AI$167*(_xlfn.NORM.DIST(Z$3,economics!$AK$2:$AK$167,economics!$AJ$2:$AJ$167,TRUE)-_xlfn.NORM.DIST(Z$30,economics!$AK$2:$AK$167,economics!$AJ$2:$AJ$167,TRUE)))),"")</f>
        <v/>
      </c>
      <c r="AA40">
        <f t="array" ref="AA40">IFERROR((SUMPRODUCT((economics!$AG$2:$AG$167=$B40)*(economics!$D$2:$D$167="process")*economics!$AI$2:$AI$167*(_xlfn.NORM.DIST(AA$3,economics!$AK$2:$AK$167,economics!$AJ$2:$AJ$167,TRUE)-_xlfn.NORM.DIST(AA$30,economics!$AK$2:$AK$167,economics!$AJ$2:$AJ$167,TRUE))*economics!$AM$2:$AM$167))/(SUMPRODUCT((economics!$AG$2:$AG$167=$B40)*(economics!$D$2:$D$167="process")*economics!$AI$2:$AI$167*(_xlfn.NORM.DIST(AA$3,economics!$AK$2:$AK$167,economics!$AJ$2:$AJ$167,TRUE)-_xlfn.NORM.DIST(AA$30,economics!$AK$2:$AK$167,economics!$AJ$2:$AJ$167,TRUE)))),"")</f>
        <v/>
      </c>
      <c r="AB40">
        <f t="array" ref="AB40">IFERROR((SUMPRODUCT((economics!$AG$2:$AG$167=$B40)*(economics!$D$2:$D$167="process")*economics!$AI$2:$AI$167*(_xlfn.NORM.DIST(AB$3,economics!$AK$2:$AK$167,economics!$AJ$2:$AJ$167,TRUE)-_xlfn.NORM.DIST(AB$30,economics!$AK$2:$AK$167,economics!$AJ$2:$AJ$167,TRUE))*economics!$AM$2:$AM$167))/(SUMPRODUCT((economics!$AG$2:$AG$167=$B40)*(economics!$D$2:$D$167="process")*economics!$AI$2:$AI$167*(_xlfn.NORM.DIST(AB$3,economics!$AK$2:$AK$167,economics!$AJ$2:$AJ$167,TRUE)-_xlfn.NORM.DIST(AB$30,economics!$AK$2:$AK$167,economics!$AJ$2:$AJ$167,TRUE)))),"")</f>
        <v/>
      </c>
      <c r="AC40">
        <f t="array" ref="AC40">IFERROR((SUMPRODUCT((economics!$AG$2:$AG$167=$B40)*(economics!$D$2:$D$167="process")*economics!$AI$2:$AI$167*(_xlfn.NORM.DIST(AC$3,economics!$AK$2:$AK$167,economics!$AJ$2:$AJ$167,TRUE)-_xlfn.NORM.DIST(AC$30,economics!$AK$2:$AK$167,economics!$AJ$2:$AJ$167,TRUE))*economics!$AM$2:$AM$167))/(SUMPRODUCT((economics!$AG$2:$AG$167=$B40)*(economics!$D$2:$D$167="process")*economics!$AI$2:$AI$167*(_xlfn.NORM.DIST(AC$3,economics!$AK$2:$AK$167,economics!$AJ$2:$AJ$167,TRUE)-_xlfn.NORM.DIST(AC$30,economics!$AK$2:$AK$167,economics!$AJ$2:$AJ$167,TRUE)))),"")</f>
        <v/>
      </c>
      <c r="AD40">
        <f t="array" ref="AD40">IFERROR((SUMPRODUCT((economics!$AG$2:$AG$167=$B40)*(economics!$D$2:$D$167="process")*economics!$AI$2:$AI$167*(_xlfn.NORM.DIST(AD$3,economics!$AK$2:$AK$167,economics!$AJ$2:$AJ$167,TRUE)-_xlfn.NORM.DIST(AD$30,economics!$AK$2:$AK$167,economics!$AJ$2:$AJ$167,TRUE))*economics!$AM$2:$AM$167))/(SUMPRODUCT((economics!$AG$2:$AG$167=$B40)*(economics!$D$2:$D$167="process")*economics!$AI$2:$AI$167*(_xlfn.NORM.DIST(AD$3,economics!$AK$2:$AK$167,economics!$AJ$2:$AJ$167,TRUE)-_xlfn.NORM.DIST(AD$30,economics!$AK$2:$AK$167,economics!$AJ$2:$AJ$167,TRUE)))),"")</f>
        <v/>
      </c>
      <c r="AE40">
        <f t="array" ref="AE40">IFERROR((SUMPRODUCT((economics!$AG$2:$AG$167=$B40)*(economics!$D$2:$D$167="process")*economics!$AI$2:$AI$167*(_xlfn.NORM.DIST(AE$3,economics!$AK$2:$AK$167,economics!$AJ$2:$AJ$167,TRUE)-_xlfn.NORM.DIST(AE$30,economics!$AK$2:$AK$167,economics!$AJ$2:$AJ$167,TRUE))*economics!$AM$2:$AM$167))/(SUMPRODUCT((economics!$AG$2:$AG$167=$B40)*(economics!$D$2:$D$167="process")*economics!$AI$2:$AI$167*(_xlfn.NORM.DIST(AE$3,economics!$AK$2:$AK$167,economics!$AJ$2:$AJ$167,TRUE)-_xlfn.NORM.DIST(AE$30,economics!$AK$2:$AK$167,economics!$AJ$2:$AJ$167,TRUE)))),"")</f>
        <v/>
      </c>
      <c r="AF40">
        <f t="array" ref="AF40">IFERROR((SUMPRODUCT((economics!$AG$2:$AG$167=$B40)*(economics!$D$2:$D$167="process")*economics!$AI$2:$AI$167*(_xlfn.NORM.DIST(AF$3,economics!$AK$2:$AK$167,economics!$AJ$2:$AJ$167,TRUE)-_xlfn.NORM.DIST(AF$30,economics!$AK$2:$AK$167,economics!$AJ$2:$AJ$167,TRUE))*economics!$AM$2:$AM$167))/(SUMPRODUCT((economics!$AG$2:$AG$167=$B40)*(economics!$D$2:$D$167="process")*economics!$AI$2:$AI$167*(_xlfn.NORM.DIST(AF$3,economics!$AK$2:$AK$167,economics!$AJ$2:$AJ$167,TRUE)-_xlfn.NORM.DIST(AF$30,economics!$AK$2:$AK$167,economics!$AJ$2:$AJ$167,TRUE)))),"")</f>
        <v/>
      </c>
      <c r="AG40">
        <f t="array" ref="AG40">IFERROR((SUMPRODUCT((economics!$AG$2:$AG$167=$B40)*(economics!$D$2:$D$167="process")*economics!$AI$2:$AI$167*(_xlfn.NORM.DIST(AG$3,economics!$AK$2:$AK$167,economics!$AJ$2:$AJ$167,TRUE)-_xlfn.NORM.DIST(AG$30,economics!$AK$2:$AK$167,economics!$AJ$2:$AJ$167,TRUE))*economics!$AM$2:$AM$167))/(SUMPRODUCT((economics!$AG$2:$AG$167=$B40)*(economics!$D$2:$D$167="process")*economics!$AI$2:$AI$167*(_xlfn.NORM.DIST(AG$3,economics!$AK$2:$AK$167,economics!$AJ$2:$AJ$167,TRUE)-_xlfn.NORM.DIST(AG$30,economics!$AK$2:$AK$167,economics!$AJ$2:$AJ$167,TRUE)))),"")</f>
        <v/>
      </c>
      <c r="AH40">
        <f t="array" ref="AH40">IFERROR((SUMPRODUCT((economics!$AG$2:$AG$167=$B40)*(economics!$D$2:$D$167="process")*economics!$AI$2:$AI$167*(_xlfn.NORM.DIST(AH$3,economics!$AK$2:$AK$167,economics!$AJ$2:$AJ$167,TRUE)-_xlfn.NORM.DIST(AH$30,economics!$AK$2:$AK$167,economics!$AJ$2:$AJ$167,TRUE))*economics!$AM$2:$AM$167))/(SUMPRODUCT((economics!$AG$2:$AG$167=$B40)*(economics!$D$2:$D$167="process")*economics!$AI$2:$AI$167*(_xlfn.NORM.DIST(AH$3,economics!$AK$2:$AK$167,economics!$AJ$2:$AJ$167,TRUE)-_xlfn.NORM.DIST(AH$30,economics!$AK$2:$AK$167,economics!$AJ$2:$AJ$167,TRUE)))),"")</f>
        <v/>
      </c>
      <c r="AI40">
        <f t="array" ref="AI40">IFERROR((SUMPRODUCT((economics!$AG$2:$AG$167=$B40)*(economics!$D$2:$D$167="process")*economics!$AI$2:$AI$167*(_xlfn.NORM.DIST(AI$3,economics!$AK$2:$AK$167,economics!$AJ$2:$AJ$167,TRUE)-_xlfn.NORM.DIST(AI$30,economics!$AK$2:$AK$167,economics!$AJ$2:$AJ$167,TRUE))*economics!$AM$2:$AM$167))/(SUMPRODUCT((economics!$AG$2:$AG$167=$B40)*(economics!$D$2:$D$167="process")*economics!$AI$2:$AI$167*(_xlfn.NORM.DIST(AI$3,economics!$AK$2:$AK$167,economics!$AJ$2:$AJ$167,TRUE)-_xlfn.NORM.DIST(AI$30,economics!$AK$2:$AK$167,economics!$AJ$2:$AJ$167,TRUE)))),"")</f>
        <v/>
      </c>
      <c r="AJ40">
        <f t="array" ref="AJ40">IFERROR((SUMPRODUCT((economics!$AG$2:$AG$167=$B40)*(economics!$D$2:$D$167="process")*economics!$AI$2:$AI$167*(_xlfn.NORM.DIST(AJ$3,economics!$AK$2:$AK$167,economics!$AJ$2:$AJ$167,TRUE)-_xlfn.NORM.DIST(AJ$30,economics!$AK$2:$AK$167,economics!$AJ$2:$AJ$167,TRUE))*economics!$AM$2:$AM$167))/(SUMPRODUCT((economics!$AG$2:$AG$167=$B40)*(economics!$D$2:$D$167="process")*economics!$AI$2:$AI$167*(_xlfn.NORM.DIST(AJ$3,economics!$AK$2:$AK$167,economics!$AJ$2:$AJ$167,TRUE)-_xlfn.NORM.DIST(AJ$30,economics!$AK$2:$AK$167,economics!$AJ$2:$AJ$167,TRUE)))),"")</f>
        <v/>
      </c>
      <c r="AK40">
        <f t="array" ref="AK40">IFERROR((SUMPRODUCT((economics!$AG$2:$AG$167=$B40)*(economics!$D$2:$D$167="process")*economics!$AI$2:$AI$167*(_xlfn.NORM.DIST(AK$3,economics!$AK$2:$AK$167,economics!$AJ$2:$AJ$167,TRUE)-_xlfn.NORM.DIST(AK$30,economics!$AK$2:$AK$167,economics!$AJ$2:$AJ$167,TRUE))*economics!$AM$2:$AM$167))/(SUMPRODUCT((economics!$AG$2:$AG$167=$B40)*(economics!$D$2:$D$167="process")*economics!$AI$2:$AI$167*(_xlfn.NORM.DIST(AK$3,economics!$AK$2:$AK$167,economics!$AJ$2:$AJ$167,TRUE)-_xlfn.NORM.DIST(AK$30,economics!$AK$2:$AK$167,economics!$AJ$2:$AJ$167,TRUE)))),"")</f>
        <v/>
      </c>
      <c r="AL40">
        <f t="array" ref="AL40">IFERROR((SUMPRODUCT((economics!$AG$2:$AG$167=$B40)*(economics!$D$2:$D$167="process")*economics!$AI$2:$AI$167*(_xlfn.NORM.DIST(AL$3,economics!$AK$2:$AK$167,economics!$AJ$2:$AJ$167,TRUE)-_xlfn.NORM.DIST(AL$30,economics!$AK$2:$AK$167,economics!$AJ$2:$AJ$167,TRUE))*economics!$AM$2:$AM$167))/(SUMPRODUCT((economics!$AG$2:$AG$167=$B40)*(economics!$D$2:$D$167="process")*economics!$AI$2:$AI$167*(_xlfn.NORM.DIST(AL$3,economics!$AK$2:$AK$167,economics!$AJ$2:$AJ$167,TRUE)-_xlfn.NORM.DIST(AL$30,economics!$AK$2:$AK$167,economics!$AJ$2:$AJ$167,TRUE)))),"")</f>
        <v/>
      </c>
      <c r="AM40">
        <f t="array" ref="AM40">IFERROR((SUMPRODUCT((economics!$AG$2:$AG$167=$B40)*(economics!$D$2:$D$167="process")*economics!$AI$2:$AI$167*(_xlfn.NORM.DIST(AM$3,economics!$AK$2:$AK$167,economics!$AJ$2:$AJ$167,TRUE)-_xlfn.NORM.DIST(AM$30,economics!$AK$2:$AK$167,economics!$AJ$2:$AJ$167,TRUE))*economics!$AM$2:$AM$167))/(SUMPRODUCT((economics!$AG$2:$AG$167=$B40)*(economics!$D$2:$D$167="process")*economics!$AI$2:$AI$167*(_xlfn.NORM.DIST(AM$3,economics!$AK$2:$AK$167,economics!$AJ$2:$AJ$167,TRUE)-_xlfn.NORM.DIST(AM$30,economics!$AK$2:$AK$167,economics!$AJ$2:$AJ$167,TRUE)))),"")</f>
        <v/>
      </c>
      <c r="AN40">
        <f t="array" ref="AN40">IFERROR((SUMPRODUCT((economics!$AG$2:$AG$167=$B40)*(economics!$D$2:$D$167="process")*economics!$AI$2:$AI$167*(_xlfn.NORM.DIST(AN$3,economics!$AK$2:$AK$167,economics!$AJ$2:$AJ$167,TRUE)-_xlfn.NORM.DIST(AN$30,economics!$AK$2:$AK$167,economics!$AJ$2:$AJ$167,TRUE))*economics!$AM$2:$AM$167))/(SUMPRODUCT((economics!$AG$2:$AG$167=$B40)*(economics!$D$2:$D$167="process")*economics!$AI$2:$AI$167*(_xlfn.NORM.DIST(AN$3,economics!$AK$2:$AK$167,economics!$AJ$2:$AJ$167,TRUE)-_xlfn.NORM.DIST(AN$30,economics!$AK$2:$AK$167,economics!$AJ$2:$AJ$167,TRUE)))),"")</f>
        <v/>
      </c>
      <c r="AO40">
        <f t="array" ref="AO40">IFERROR((SUMPRODUCT((economics!$AG$2:$AG$167=$B40)*(economics!$D$2:$D$167="process")*economics!$AI$2:$AI$167*(_xlfn.NORM.DIST(AO$3,economics!$AK$2:$AK$167,economics!$AJ$2:$AJ$167,TRUE)-_xlfn.NORM.DIST(AO$30,economics!$AK$2:$AK$167,economics!$AJ$2:$AJ$167,TRUE))*economics!$AM$2:$AM$167))/(SUMPRODUCT((economics!$AG$2:$AG$167=$B40)*(economics!$D$2:$D$167="process")*economics!$AI$2:$AI$167*(_xlfn.NORM.DIST(AO$3,economics!$AK$2:$AK$167,economics!$AJ$2:$AJ$167,TRUE)-_xlfn.NORM.DIST(AO$30,economics!$AK$2:$AK$167,economics!$AJ$2:$AJ$167,TRUE)))),"")</f>
        <v/>
      </c>
      <c r="AP40">
        <f t="array" ref="AP40">IFERROR((SUMPRODUCT((economics!$AG$2:$AG$167=$B40)*(economics!$D$2:$D$167="process")*economics!$AI$2:$AI$167*(_xlfn.NORM.DIST(AP$3,economics!$AK$2:$AK$167,economics!$AJ$2:$AJ$167,TRUE)-_xlfn.NORM.DIST(AP$30,economics!$AK$2:$AK$167,economics!$AJ$2:$AJ$167,TRUE))*economics!$AM$2:$AM$167))/(SUMPRODUCT((economics!$AG$2:$AG$167=$B40)*(economics!$D$2:$D$167="process")*economics!$AI$2:$AI$167*(_xlfn.NORM.DIST(AP$3,economics!$AK$2:$AK$167,economics!$AJ$2:$AJ$167,TRUE)-_xlfn.NORM.DIST(AP$30,economics!$AK$2:$AK$167,economics!$AJ$2:$AJ$167,TRUE)))),"")</f>
        <v/>
      </c>
      <c r="AQ40">
        <f t="array" ref="AQ40">IFERROR((SUMPRODUCT((economics!$AG$2:$AG$167=$B40)*(economics!$D$2:$D$167="process")*economics!$AI$2:$AI$167*(_xlfn.NORM.DIST(AQ$3,economics!$AK$2:$AK$167,economics!$AJ$2:$AJ$167,TRUE)-_xlfn.NORM.DIST(AQ$30,economics!$AK$2:$AK$167,economics!$AJ$2:$AJ$167,TRUE))*economics!$AM$2:$AM$167))/(SUMPRODUCT((economics!$AG$2:$AG$167=$B40)*(economics!$D$2:$D$167="process")*economics!$AI$2:$AI$167*(_xlfn.NORM.DIST(AQ$3,economics!$AK$2:$AK$167,economics!$AJ$2:$AJ$167,TRUE)-_xlfn.NORM.DIST(AQ$30,economics!$AK$2:$AK$167,economics!$AJ$2:$AJ$167,TRUE)))),"")</f>
        <v/>
      </c>
      <c r="AR40">
        <f t="array" ref="AR40">IFERROR((SUMPRODUCT((economics!$AG$2:$AG$167=$B40)*(economics!$D$2:$D$167="process")*economics!$AI$2:$AI$167*(_xlfn.NORM.DIST(AR$3,economics!$AK$2:$AK$167,economics!$AJ$2:$AJ$167,TRUE)-_xlfn.NORM.DIST(AR$30,economics!$AK$2:$AK$167,economics!$AJ$2:$AJ$167,TRUE))*economics!$AM$2:$AM$167))/(SUMPRODUCT((economics!$AG$2:$AG$167=$B40)*(economics!$D$2:$D$167="process")*economics!$AI$2:$AI$167*(_xlfn.NORM.DIST(AR$3,economics!$AK$2:$AK$167,economics!$AJ$2:$AJ$167,TRUE)-_xlfn.NORM.DIST(AR$30,economics!$AK$2:$AK$167,economics!$AJ$2:$AJ$167,TRUE)))),"")</f>
        <v/>
      </c>
      <c r="AS40">
        <f t="array" ref="AS40">IFERROR((SUMPRODUCT((economics!$AG$2:$AG$167=$B40)*(economics!$D$2:$D$167="process")*economics!$AI$2:$AI$167*(_xlfn.NORM.DIST(AS$3,economics!$AK$2:$AK$167,economics!$AJ$2:$AJ$167,TRUE)-_xlfn.NORM.DIST(AS$30,economics!$AK$2:$AK$167,economics!$AJ$2:$AJ$167,TRUE))*economics!$AM$2:$AM$167))/(SUMPRODUCT((economics!$AG$2:$AG$167=$B40)*(economics!$D$2:$D$167="process")*economics!$AI$2:$AI$167*(_xlfn.NORM.DIST(AS$3,economics!$AK$2:$AK$167,economics!$AJ$2:$AJ$167,TRUE)-_xlfn.NORM.DIST(AS$30,economics!$AK$2:$AK$167,economics!$AJ$2:$AJ$167,TRUE)))),"")</f>
        <v/>
      </c>
      <c r="AT40">
        <f t="array" ref="AT40">IFERROR((SUMPRODUCT((economics!$AG$2:$AG$167=$B40)*(economics!$D$2:$D$167="process")*economics!$AI$2:$AI$167*(_xlfn.NORM.DIST(AT$3,economics!$AK$2:$AK$167,economics!$AJ$2:$AJ$167,TRUE)-_xlfn.NORM.DIST(AT$30,economics!$AK$2:$AK$167,economics!$AJ$2:$AJ$167,TRUE))*economics!$AM$2:$AM$167))/(SUMPRODUCT((economics!$AG$2:$AG$167=$B40)*(economics!$D$2:$D$167="process")*economics!$AI$2:$AI$167*(_xlfn.NORM.DIST(AT$3,economics!$AK$2:$AK$167,economics!$AJ$2:$AJ$167,TRUE)-_xlfn.NORM.DIST(AT$30,economics!$AK$2:$AK$167,economics!$AJ$2:$AJ$167,TRUE)))),"")</f>
        <v/>
      </c>
      <c r="AU40">
        <f t="array" ref="AU40">IFERROR((SUMPRODUCT((economics!$AG$2:$AG$167=$B40)*(economics!$D$2:$D$167="process")*economics!$AI$2:$AI$167*(_xlfn.NORM.DIST(AU$3,economics!$AK$2:$AK$167,economics!$AJ$2:$AJ$167,TRUE)-_xlfn.NORM.DIST(AU$30,economics!$AK$2:$AK$167,economics!$AJ$2:$AJ$167,TRUE))*economics!$AM$2:$AM$167))/(SUMPRODUCT((economics!$AG$2:$AG$167=$B40)*(economics!$D$2:$D$167="process")*economics!$AI$2:$AI$167*(_xlfn.NORM.DIST(AU$3,economics!$AK$2:$AK$167,economics!$AJ$2:$AJ$167,TRUE)-_xlfn.NORM.DIST(AU$30,economics!$AK$2:$AK$167,economics!$AJ$2:$AJ$167,TRUE)))),"")</f>
        <v/>
      </c>
      <c r="AV40">
        <f t="array" ref="AV40">IFERROR((SUMPRODUCT((economics!$AG$2:$AG$167=$B40)*(economics!$D$2:$D$167="process")*economics!$AI$2:$AI$167*(_xlfn.NORM.DIST(AV$3,economics!$AK$2:$AK$167,economics!$AJ$2:$AJ$167,TRUE)-_xlfn.NORM.DIST(AV$30,economics!$AK$2:$AK$167,economics!$AJ$2:$AJ$167,TRUE))*economics!$AM$2:$AM$167))/(SUMPRODUCT((economics!$AG$2:$AG$167=$B40)*(economics!$D$2:$D$167="process")*economics!$AI$2:$AI$167*(_xlfn.NORM.DIST(AV$3,economics!$AK$2:$AK$167,economics!$AJ$2:$AJ$167,TRUE)-_xlfn.NORM.DIST(AV$30,economics!$AK$2:$AK$167,economics!$AJ$2:$AJ$167,TRUE)))),"")</f>
        <v/>
      </c>
      <c r="AW40">
        <f t="array" ref="AW40">IFERROR((SUMPRODUCT((economics!$AG$2:$AG$167=$B40)*(economics!$D$2:$D$167="process")*economics!$AI$2:$AI$167*(_xlfn.NORM.DIST(AW$3,economics!$AK$2:$AK$167,economics!$AJ$2:$AJ$167,TRUE)-_xlfn.NORM.DIST(AW$30,economics!$AK$2:$AK$167,economics!$AJ$2:$AJ$167,TRUE))*economics!$AM$2:$AM$167))/(SUMPRODUCT((economics!$AG$2:$AG$167=$B40)*(economics!$D$2:$D$167="process")*economics!$AI$2:$AI$167*(_xlfn.NORM.DIST(AW$3,economics!$AK$2:$AK$167,economics!$AJ$2:$AJ$167,TRUE)-_xlfn.NORM.DIST(AW$30,economics!$AK$2:$AK$167,economics!$AJ$2:$AJ$167,TRUE)))),"")</f>
        <v/>
      </c>
      <c r="AX40">
        <f t="array" ref="AX40">IFERROR((SUMPRODUCT((economics!$AG$2:$AG$167=$B40)*(economics!$D$2:$D$167="process")*economics!$AI$2:$AI$167*(_xlfn.NORM.DIST(AX$3,economics!$AK$2:$AK$167,economics!$AJ$2:$AJ$167,TRUE)-_xlfn.NORM.DIST(AX$30,economics!$AK$2:$AK$167,economics!$AJ$2:$AJ$167,TRUE))*economics!$AM$2:$AM$167))/(SUMPRODUCT((economics!$AG$2:$AG$167=$B40)*(economics!$D$2:$D$167="process")*economics!$AI$2:$AI$167*(_xlfn.NORM.DIST(AX$3,economics!$AK$2:$AK$167,economics!$AJ$2:$AJ$167,TRUE)-_xlfn.NORM.DIST(AX$30,economics!$AK$2:$AK$167,economics!$AJ$2:$AJ$167,TRUE)))),"")</f>
        <v/>
      </c>
      <c r="AY40">
        <f t="array" ref="AY40">IFERROR((SUMPRODUCT((economics!$AG$2:$AG$167=$B40)*(economics!$D$2:$D$167="process")*economics!$AI$2:$AI$167*(_xlfn.NORM.DIST(AY$3,economics!$AK$2:$AK$167,economics!$AJ$2:$AJ$167,TRUE)-_xlfn.NORM.DIST(AY$30,economics!$AK$2:$AK$167,economics!$AJ$2:$AJ$167,TRUE))*economics!$AM$2:$AM$167))/(SUMPRODUCT((economics!$AG$2:$AG$167=$B40)*(economics!$D$2:$D$167="process")*economics!$AI$2:$AI$167*(_xlfn.NORM.DIST(AY$3,economics!$AK$2:$AK$167,economics!$AJ$2:$AJ$167,TRUE)-_xlfn.NORM.DIST(AY$30,economics!$AK$2:$AK$167,economics!$AJ$2:$AJ$167,TRUE)))),"")</f>
        <v/>
      </c>
      <c r="AZ40">
        <f t="array" ref="AZ40">IFERROR((SUMPRODUCT((economics!$AG$2:$AG$167=$B40)*(economics!$D$2:$D$167="process")*economics!$AI$2:$AI$167*(_xlfn.NORM.DIST(AZ$3,economics!$AK$2:$AK$167,economics!$AJ$2:$AJ$167,TRUE)-_xlfn.NORM.DIST(AZ$30,economics!$AK$2:$AK$167,economics!$AJ$2:$AJ$167,TRUE))*economics!$AM$2:$AM$167))/(SUMPRODUCT((economics!$AG$2:$AG$167=$B40)*(economics!$D$2:$D$167="process")*economics!$AI$2:$AI$167*(_xlfn.NORM.DIST(AZ$3,economics!$AK$2:$AK$167,economics!$AJ$2:$AJ$167,TRUE)-_xlfn.NORM.DIST(AZ$30,economics!$AK$2:$AK$167,economics!$AJ$2:$AJ$167,TRUE)))),"")</f>
        <v/>
      </c>
      <c r="BA40">
        <f t="array" ref="BA40">IFERROR((SUMPRODUCT((economics!$AG$2:$AG$167=$B40)*(economics!$D$2:$D$167="process")*economics!$AI$2:$AI$167*(_xlfn.NORM.DIST(BA$3,economics!$AK$2:$AK$167,economics!$AJ$2:$AJ$167,TRUE)-_xlfn.NORM.DIST(BA$30,economics!$AK$2:$AK$167,economics!$AJ$2:$AJ$167,TRUE))*economics!$AM$2:$AM$167))/(SUMPRODUCT((economics!$AG$2:$AG$167=$B40)*(economics!$D$2:$D$167="process")*economics!$AI$2:$AI$167*(_xlfn.NORM.DIST(BA$3,economics!$AK$2:$AK$167,economics!$AJ$2:$AJ$167,TRUE)-_xlfn.NORM.DIST(BA$30,economics!$AK$2:$AK$167,economics!$AJ$2:$AJ$167,TRUE)))),"")</f>
        <v/>
      </c>
      <c r="BB40">
        <f t="array" ref="BB40">IFERROR((SUMPRODUCT((economics!$AG$2:$AG$167=$B40)*(economics!$D$2:$D$167="process")*economics!$AI$2:$AI$167*(_xlfn.NORM.DIST(BB$3,economics!$AK$2:$AK$167,economics!$AJ$2:$AJ$167,TRUE)-_xlfn.NORM.DIST(BB$30,economics!$AK$2:$AK$167,economics!$AJ$2:$AJ$167,TRUE))*economics!$AM$2:$AM$167))/(SUMPRODUCT((economics!$AG$2:$AG$167=$B40)*(economics!$D$2:$D$167="process")*economics!$AI$2:$AI$167*(_xlfn.NORM.DIST(BB$3,economics!$AK$2:$AK$167,economics!$AJ$2:$AJ$167,TRUE)-_xlfn.NORM.DIST(BB$30,economics!$AK$2:$AK$167,economics!$AJ$2:$AJ$167,TRUE)))),"")</f>
        <v/>
      </c>
      <c r="BC40">
        <f t="array" ref="BC40">IFERROR((SUMPRODUCT((economics!$AG$2:$AG$167=$B40)*(economics!$D$2:$D$167="process")*economics!$AI$2:$AI$167*(_xlfn.NORM.DIST(BC$3,economics!$AK$2:$AK$167,economics!$AJ$2:$AJ$167,TRUE)-_xlfn.NORM.DIST(BC$30,economics!$AK$2:$AK$167,economics!$AJ$2:$AJ$167,TRUE))*economics!$AM$2:$AM$167))/(SUMPRODUCT((economics!$AG$2:$AG$167=$B40)*(economics!$D$2:$D$167="process")*economics!$AI$2:$AI$167*(_xlfn.NORM.DIST(BC$3,economics!$AK$2:$AK$167,economics!$AJ$2:$AJ$167,TRUE)-_xlfn.NORM.DIST(BC$30,economics!$AK$2:$AK$167,economics!$AJ$2:$AJ$167,TRUE)))),"")</f>
        <v/>
      </c>
      <c r="BD40">
        <f t="array" ref="BD40">IFERROR((SUMPRODUCT((economics!$AG$2:$AG$167=$B40)*(economics!$D$2:$D$167="process")*economics!$AI$2:$AI$167*(_xlfn.NORM.DIST(BD$3,economics!$AK$2:$AK$167,economics!$AJ$2:$AJ$167,TRUE)-_xlfn.NORM.DIST(BD$30,economics!$AK$2:$AK$167,economics!$AJ$2:$AJ$167,TRUE))*economics!$AM$2:$AM$167))/(SUMPRODUCT((economics!$AG$2:$AG$167=$B40)*(economics!$D$2:$D$167="process")*economics!$AI$2:$AI$167*(_xlfn.NORM.DIST(BD$3,economics!$AK$2:$AK$167,economics!$AJ$2:$AJ$167,TRUE)-_xlfn.NORM.DIST(BD$30,economics!$AK$2:$AK$167,economics!$AJ$2:$AJ$167,TRUE)))),"")</f>
        <v/>
      </c>
      <c r="BE40">
        <f t="array" ref="BE40">IFERROR((SUMPRODUCT((economics!$AG$2:$AG$167=$B40)*(economics!$D$2:$D$167="process")*economics!$AI$2:$AI$167*(_xlfn.NORM.DIST(BE$3,economics!$AK$2:$AK$167,economics!$AJ$2:$AJ$167,TRUE)-_xlfn.NORM.DIST(BE$30,economics!$AK$2:$AK$167,economics!$AJ$2:$AJ$167,TRUE))*economics!$AM$2:$AM$167))/(SUMPRODUCT((economics!$AG$2:$AG$167=$B40)*(economics!$D$2:$D$167="process")*economics!$AI$2:$AI$167*(_xlfn.NORM.DIST(BE$3,economics!$AK$2:$AK$167,economics!$AJ$2:$AJ$167,TRUE)-_xlfn.NORM.DIST(BE$30,economics!$AK$2:$AK$167,economics!$AJ$2:$AJ$167,TRUE)))),"")</f>
        <v/>
      </c>
      <c r="BF40">
        <f t="array" ref="BF40">IFERROR((SUMPRODUCT((economics!$AG$2:$AG$167=$B40)*(economics!$D$2:$D$167="process")*economics!$AI$2:$AI$167*(_xlfn.NORM.DIST(BF$3,economics!$AK$2:$AK$167,economics!$AJ$2:$AJ$167,TRUE)-_xlfn.NORM.DIST(BF$30,economics!$AK$2:$AK$167,economics!$AJ$2:$AJ$167,TRUE))*economics!$AM$2:$AM$167))/(SUMPRODUCT((economics!$AG$2:$AG$167=$B40)*(economics!$D$2:$D$167="process")*economics!$AI$2:$AI$167*(_xlfn.NORM.DIST(BF$3,economics!$AK$2:$AK$167,economics!$AJ$2:$AJ$167,TRUE)-_xlfn.NORM.DIST(BF$30,economics!$AK$2:$AK$167,economics!$AJ$2:$AJ$167,TRUE)))),"")</f>
        <v/>
      </c>
      <c r="BG40">
        <f t="array" ref="BG40">IFERROR((SUMPRODUCT((economics!$AG$2:$AG$167=$B40)*(economics!$D$2:$D$167="process")*economics!$AI$2:$AI$167*(_xlfn.NORM.DIST(BG$3,economics!$AK$2:$AK$167,economics!$AJ$2:$AJ$167,TRUE)-_xlfn.NORM.DIST(BG$30,economics!$AK$2:$AK$167,economics!$AJ$2:$AJ$167,TRUE))*economics!$AM$2:$AM$167))/(SUMPRODUCT((economics!$AG$2:$AG$167=$B40)*(economics!$D$2:$D$167="process")*economics!$AI$2:$AI$167*(_xlfn.NORM.DIST(BG$3,economics!$AK$2:$AK$167,economics!$AJ$2:$AJ$167,TRUE)-_xlfn.NORM.DIST(BG$30,economics!$AK$2:$AK$167,economics!$AJ$2:$AJ$167,TRUE)))),"")</f>
        <v/>
      </c>
      <c r="BH40">
        <f t="array" ref="BH40">IFERROR((SUMPRODUCT((economics!$AG$2:$AG$167=$B40)*(economics!$D$2:$D$167="process")*economics!$AI$2:$AI$167*(_xlfn.NORM.DIST(BH$3,economics!$AK$2:$AK$167,economics!$AJ$2:$AJ$167,TRUE)-_xlfn.NORM.DIST(BH$30,economics!$AK$2:$AK$167,economics!$AJ$2:$AJ$167,TRUE))*economics!$AM$2:$AM$167))/(SUMPRODUCT((economics!$AG$2:$AG$167=$B40)*(economics!$D$2:$D$167="process")*economics!$AI$2:$AI$167*(_xlfn.NORM.DIST(BH$3,economics!$AK$2:$AK$167,economics!$AJ$2:$AJ$167,TRUE)-_xlfn.NORM.DIST(BH$30,economics!$AK$2:$AK$167,economics!$AJ$2:$AJ$167,TRUE)))),"")</f>
        <v/>
      </c>
      <c r="BI40">
        <f t="array" ref="BI40">IFERROR((SUMPRODUCT((economics!$AG$2:$AG$167=$B40)*(economics!$D$2:$D$167="process")*economics!$AI$2:$AI$167*(_xlfn.NORM.DIST(BI$3,economics!$AK$2:$AK$167,economics!$AJ$2:$AJ$167,TRUE)-_xlfn.NORM.DIST(BI$30,economics!$AK$2:$AK$167,economics!$AJ$2:$AJ$167,TRUE))*economics!$AM$2:$AM$167))/(SUMPRODUCT((economics!$AG$2:$AG$167=$B40)*(economics!$D$2:$D$167="process")*economics!$AI$2:$AI$167*(_xlfn.NORM.DIST(BI$3,economics!$AK$2:$AK$167,economics!$AJ$2:$AJ$167,TRUE)-_xlfn.NORM.DIST(BI$30,economics!$AK$2:$AK$167,economics!$AJ$2:$AJ$167,TRUE)))),"")</f>
        <v/>
      </c>
      <c r="BJ40">
        <f t="array" ref="BJ40">IFERROR((SUMPRODUCT((economics!$AG$2:$AG$167=$B40)*(economics!$D$2:$D$167="process")*economics!$AI$2:$AI$167*(_xlfn.NORM.DIST(BJ$3,economics!$AK$2:$AK$167,economics!$AJ$2:$AJ$167,TRUE)-_xlfn.NORM.DIST(BJ$30,economics!$AK$2:$AK$167,economics!$AJ$2:$AJ$167,TRUE))*economics!$AM$2:$AM$167))/(SUMPRODUCT((economics!$AG$2:$AG$167=$B40)*(economics!$D$2:$D$167="process")*economics!$AI$2:$AI$167*(_xlfn.NORM.DIST(BJ$3,economics!$AK$2:$AK$167,economics!$AJ$2:$AJ$167,TRUE)-_xlfn.NORM.DIST(BJ$30,economics!$AK$2:$AK$167,economics!$AJ$2:$AJ$167,TRUE)))),"")</f>
        <v/>
      </c>
      <c r="BK40">
        <f t="array" ref="BK40">IFERROR((SUMPRODUCT((economics!$AG$2:$AG$167=$B40)*(economics!$D$2:$D$167="process")*economics!$AI$2:$AI$167*(_xlfn.NORM.DIST(BK$3,economics!$AK$2:$AK$167,economics!$AJ$2:$AJ$167,TRUE)-_xlfn.NORM.DIST(BK$30,economics!$AK$2:$AK$167,economics!$AJ$2:$AJ$167,TRUE))*economics!$AM$2:$AM$167))/(SUMPRODUCT((economics!$AG$2:$AG$167=$B40)*(economics!$D$2:$D$167="process")*economics!$AI$2:$AI$167*(_xlfn.NORM.DIST(BK$3,economics!$AK$2:$AK$167,economics!$AJ$2:$AJ$167,TRUE)-_xlfn.NORM.DIST(BK$30,economics!$AK$2:$AK$167,economics!$AJ$2:$AJ$167,TRUE)))),"")</f>
        <v/>
      </c>
      <c r="BL40">
        <f t="array" ref="BL40">IFERROR((SUMPRODUCT((economics!$AG$2:$AG$167=$B40)*(economics!$D$2:$D$167="process")*economics!$AI$2:$AI$167*(_xlfn.NORM.DIST(BL$3,economics!$AK$2:$AK$167,economics!$AJ$2:$AJ$167,TRUE)-_xlfn.NORM.DIST(BL$30,economics!$AK$2:$AK$167,economics!$AJ$2:$AJ$167,TRUE))*economics!$AM$2:$AM$167))/(SUMPRODUCT((economics!$AG$2:$AG$167=$B40)*(economics!$D$2:$D$167="process")*economics!$AI$2:$AI$167*(_xlfn.NORM.DIST(BL$3,economics!$AK$2:$AK$167,economics!$AJ$2:$AJ$167,TRUE)-_xlfn.NORM.DIST(BL$30,economics!$AK$2:$AK$167,economics!$AJ$2:$AJ$167,TRUE)))),"")</f>
        <v/>
      </c>
      <c r="BM40">
        <f t="array" ref="BM40">IFERROR((SUMPRODUCT((economics!$AG$2:$AG$167=$B40)*(economics!$D$2:$D$167="process")*economics!$AI$2:$AI$167*(_xlfn.NORM.DIST(BM$3,economics!$AK$2:$AK$167,economics!$AJ$2:$AJ$167,TRUE)-_xlfn.NORM.DIST(BM$30,economics!$AK$2:$AK$167,economics!$AJ$2:$AJ$167,TRUE))*economics!$AM$2:$AM$167))/(SUMPRODUCT((economics!$AG$2:$AG$167=$B40)*(economics!$D$2:$D$167="process")*economics!$AI$2:$AI$167*(_xlfn.NORM.DIST(BM$3,economics!$AK$2:$AK$167,economics!$AJ$2:$AJ$167,TRUE)-_xlfn.NORM.DIST(BM$30,economics!$AK$2:$AK$167,economics!$AJ$2:$AJ$167,TRUE)))),"")</f>
        <v/>
      </c>
      <c r="BN40">
        <f t="array" ref="BN40">IFERROR((SUMPRODUCT((economics!$AG$2:$AG$167=$B40)*(economics!$D$2:$D$167="process")*economics!$AI$2:$AI$167*(_xlfn.NORM.DIST(BN$3,economics!$AK$2:$AK$167,economics!$AJ$2:$AJ$167,TRUE)-_xlfn.NORM.DIST(BN$30,economics!$AK$2:$AK$167,economics!$AJ$2:$AJ$167,TRUE))*economics!$AM$2:$AM$167))/(SUMPRODUCT((economics!$AG$2:$AG$167=$B40)*(economics!$D$2:$D$167="process")*economics!$AI$2:$AI$167*(_xlfn.NORM.DIST(BN$3,economics!$AK$2:$AK$167,economics!$AJ$2:$AJ$167,TRUE)-_xlfn.NORM.DIST(BN$30,economics!$AK$2:$AK$167,economics!$AJ$2:$AJ$167,TRUE)))),"")</f>
        <v/>
      </c>
      <c r="BO40">
        <f t="array" ref="BO40">IFERROR((SUMPRODUCT((economics!$AG$2:$AG$167=$B40)*(economics!$D$2:$D$167="process")*economics!$AI$2:$AI$167*(_xlfn.NORM.DIST(BO$3,economics!$AK$2:$AK$167,economics!$AJ$2:$AJ$167,TRUE)-_xlfn.NORM.DIST(BO$30,economics!$AK$2:$AK$167,economics!$AJ$2:$AJ$167,TRUE))*economics!$AM$2:$AM$167))/(SUMPRODUCT((economics!$AG$2:$AG$167=$B40)*(economics!$D$2:$D$167="process")*economics!$AI$2:$AI$167*(_xlfn.NORM.DIST(BO$3,economics!$AK$2:$AK$167,economics!$AJ$2:$AJ$167,TRUE)-_xlfn.NORM.DIST(BO$30,economics!$AK$2:$AK$167,economics!$AJ$2:$AJ$167,TRUE)))),"")</f>
        <v/>
      </c>
      <c r="BP40">
        <f t="array" ref="BP40">IFERROR((SUMPRODUCT((economics!$AG$2:$AG$167=$B40)*(economics!$D$2:$D$167="process")*economics!$AI$2:$AI$167*(_xlfn.NORM.DIST(BP$3,economics!$AK$2:$AK$167,economics!$AJ$2:$AJ$167,TRUE)-_xlfn.NORM.DIST(BP$30,economics!$AK$2:$AK$167,economics!$AJ$2:$AJ$167,TRUE))*economics!$AM$2:$AM$167))/(SUMPRODUCT((economics!$AG$2:$AG$167=$B40)*(economics!$D$2:$D$167="process")*economics!$AI$2:$AI$167*(_xlfn.NORM.DIST(BP$3,economics!$AK$2:$AK$167,economics!$AJ$2:$AJ$167,TRUE)-_xlfn.NORM.DIST(BP$30,economics!$AK$2:$AK$167,economics!$AJ$2:$AJ$167,TRUE)))),"")</f>
        <v/>
      </c>
      <c r="BQ40">
        <f t="array" ref="BQ40">IFERROR((SUMPRODUCT((economics!$AG$2:$AG$167=$B40)*(economics!$D$2:$D$167="process")*economics!$AI$2:$AI$167*(_xlfn.NORM.DIST(BQ$3,economics!$AK$2:$AK$167,economics!$AJ$2:$AJ$167,TRUE)-_xlfn.NORM.DIST(BQ$30,economics!$AK$2:$AK$167,economics!$AJ$2:$AJ$167,TRUE))*economics!$AM$2:$AM$167))/(SUMPRODUCT((economics!$AG$2:$AG$167=$B40)*(economics!$D$2:$D$167="process")*economics!$AI$2:$AI$167*(_xlfn.NORM.DIST(BQ$3,economics!$AK$2:$AK$167,economics!$AJ$2:$AJ$167,TRUE)-_xlfn.NORM.DIST(BQ$30,economics!$AK$2:$AK$167,economics!$AJ$2:$AJ$167,TRUE)))),"")</f>
        <v/>
      </c>
      <c r="BR40">
        <f t="array" ref="BR40">IFERROR((SUMPRODUCT((economics!$AG$2:$AG$167=$B40)*(economics!$D$2:$D$167="process")*economics!$AI$2:$AI$167*(_xlfn.NORM.DIST(BR$3,economics!$AK$2:$AK$167,economics!$AJ$2:$AJ$167,TRUE)-_xlfn.NORM.DIST(BR$30,economics!$AK$2:$AK$167,economics!$AJ$2:$AJ$167,TRUE))*economics!$AM$2:$AM$167))/(SUMPRODUCT((economics!$AG$2:$AG$167=$B40)*(economics!$D$2:$D$167="process")*economics!$AI$2:$AI$167*(_xlfn.NORM.DIST(BR$3,economics!$AK$2:$AK$167,economics!$AJ$2:$AJ$167,TRUE)-_xlfn.NORM.DIST(BR$30,economics!$AK$2:$AK$167,economics!$AJ$2:$AJ$167,TRUE)))),"")</f>
        <v/>
      </c>
      <c r="BS40">
        <f t="array" ref="BS40">IFERROR((SUMPRODUCT((economics!$AG$2:$AG$167=$B40)*(economics!$D$2:$D$167="process")*economics!$AI$2:$AI$167*(_xlfn.NORM.DIST(BS$3,economics!$AK$2:$AK$167,economics!$AJ$2:$AJ$167,TRUE)-_xlfn.NORM.DIST(BS$30,economics!$AK$2:$AK$167,economics!$AJ$2:$AJ$167,TRUE))*economics!$AM$2:$AM$167))/(SUMPRODUCT((economics!$AG$2:$AG$167=$B40)*(economics!$D$2:$D$167="process")*economics!$AI$2:$AI$167*(_xlfn.NORM.DIST(BS$3,economics!$AK$2:$AK$167,economics!$AJ$2:$AJ$167,TRUE)-_xlfn.NORM.DIST(BS$30,economics!$AK$2:$AK$167,economics!$AJ$2:$AJ$167,TRUE)))),"")</f>
        <v/>
      </c>
      <c r="BT40">
        <f t="array" ref="BT40">IFERROR((SUMPRODUCT((economics!$AG$2:$AG$167=$B40)*(economics!$D$2:$D$167="process")*economics!$AI$2:$AI$167*(_xlfn.NORM.DIST(BT$3,economics!$AK$2:$AK$167,economics!$AJ$2:$AJ$167,TRUE)-_xlfn.NORM.DIST(BT$30,economics!$AK$2:$AK$167,economics!$AJ$2:$AJ$167,TRUE))*economics!$AM$2:$AM$167))/(SUMPRODUCT((economics!$AG$2:$AG$167=$B40)*(economics!$D$2:$D$167="process")*economics!$AI$2:$AI$167*(_xlfn.NORM.DIST(BT$3,economics!$AK$2:$AK$167,economics!$AJ$2:$AJ$167,TRUE)-_xlfn.NORM.DIST(BT$30,economics!$AK$2:$AK$167,economics!$AJ$2:$AJ$167,TRUE)))),"")</f>
        <v/>
      </c>
      <c r="BU40">
        <f t="array" ref="BU40">IFERROR((SUMPRODUCT((economics!$AG$2:$AG$167=$B40)*(economics!$D$2:$D$167="process")*economics!$AI$2:$AI$167*(_xlfn.NORM.DIST(BU$3,economics!$AK$2:$AK$167,economics!$AJ$2:$AJ$167,TRUE)-_xlfn.NORM.DIST(BU$30,economics!$AK$2:$AK$167,economics!$AJ$2:$AJ$167,TRUE))*economics!$AM$2:$AM$167))/(SUMPRODUCT((economics!$AG$2:$AG$167=$B40)*(economics!$D$2:$D$167="process")*economics!$AI$2:$AI$167*(_xlfn.NORM.DIST(BU$3,economics!$AK$2:$AK$167,economics!$AJ$2:$AJ$167,TRUE)-_xlfn.NORM.DIST(BU$30,economics!$AK$2:$AK$167,economics!$AJ$2:$AJ$167,TRUE)))),"")</f>
        <v/>
      </c>
      <c r="BV40">
        <f t="array" ref="BV40">IFERROR((SUMPRODUCT((economics!$AG$2:$AG$167=$B40)*(economics!$D$2:$D$167="process")*economics!$AI$2:$AI$167*(_xlfn.NORM.DIST(BV$3,economics!$AK$2:$AK$167,economics!$AJ$2:$AJ$167,TRUE)-_xlfn.NORM.DIST(BV$30,economics!$AK$2:$AK$167,economics!$AJ$2:$AJ$167,TRUE))*economics!$AM$2:$AM$167))/(SUMPRODUCT((economics!$AG$2:$AG$167=$B40)*(economics!$D$2:$D$167="process")*economics!$AI$2:$AI$167*(_xlfn.NORM.DIST(BV$3,economics!$AK$2:$AK$167,economics!$AJ$2:$AJ$167,TRUE)-_xlfn.NORM.DIST(BV$30,economics!$AK$2:$AK$167,economics!$AJ$2:$AJ$167,TRUE)))),"")</f>
        <v/>
      </c>
      <c r="BW40">
        <f t="array" ref="BW40">IFERROR((SUMPRODUCT((economics!$AG$2:$AG$167=$B40)*(economics!$D$2:$D$167="process")*economics!$AI$2:$AI$167*(_xlfn.NORM.DIST(BW$3,economics!$AK$2:$AK$167,economics!$AJ$2:$AJ$167,TRUE)-_xlfn.NORM.DIST(BW$30,economics!$AK$2:$AK$167,economics!$AJ$2:$AJ$167,TRUE))*economics!$AM$2:$AM$167))/(SUMPRODUCT((economics!$AG$2:$AG$167=$B40)*(economics!$D$2:$D$167="process")*economics!$AI$2:$AI$167*(_xlfn.NORM.DIST(BW$3,economics!$AK$2:$AK$167,economics!$AJ$2:$AJ$167,TRUE)-_xlfn.NORM.DIST(BW$30,economics!$AK$2:$AK$167,economics!$AJ$2:$AJ$167,TRUE)))),"")</f>
        <v/>
      </c>
      <c r="BX40">
        <f t="array" ref="BX40">IFERROR((SUMPRODUCT((economics!$AG$2:$AG$167=$B40)*(economics!$D$2:$D$167="process")*economics!$AI$2:$AI$167*(_xlfn.NORM.DIST(BX$3,economics!$AK$2:$AK$167,economics!$AJ$2:$AJ$167,TRUE)-_xlfn.NORM.DIST(BX$30,economics!$AK$2:$AK$167,economics!$AJ$2:$AJ$167,TRUE))*economics!$AM$2:$AM$167))/(SUMPRODUCT((economics!$AG$2:$AG$167=$B40)*(economics!$D$2:$D$167="process")*economics!$AI$2:$AI$167*(_xlfn.NORM.DIST(BX$3,economics!$AK$2:$AK$167,economics!$AJ$2:$AJ$167,TRUE)-_xlfn.NORM.DIST(BX$30,economics!$AK$2:$AK$167,economics!$AJ$2:$AJ$167,TRUE)))),"")</f>
        <v/>
      </c>
      <c r="BY40">
        <f t="array" ref="BY40">IFERROR((SUMPRODUCT((economics!$AG$2:$AG$167=$B40)*(economics!$D$2:$D$167="process")*economics!$AI$2:$AI$167*(_xlfn.NORM.DIST(BY$3,economics!$AK$2:$AK$167,economics!$AJ$2:$AJ$167,TRUE)-_xlfn.NORM.DIST(BY$30,economics!$AK$2:$AK$167,economics!$AJ$2:$AJ$167,TRUE))*economics!$AM$2:$AM$167))/(SUMPRODUCT((economics!$AG$2:$AG$167=$B40)*(economics!$D$2:$D$167="process")*economics!$AI$2:$AI$167*(_xlfn.NORM.DIST(BY$3,economics!$AK$2:$AK$167,economics!$AJ$2:$AJ$167,TRUE)-_xlfn.NORM.DIST(BY$30,economics!$AK$2:$AK$167,economics!$AJ$2:$AJ$167,TRUE)))),"")</f>
        <v/>
      </c>
      <c r="BZ40">
        <f t="array" ref="BZ40">IFERROR((SUMPRODUCT((economics!$AG$2:$AG$167=$B40)*(economics!$D$2:$D$167="process")*economics!$AI$2:$AI$167*(_xlfn.NORM.DIST(BZ$3,economics!$AK$2:$AK$167,economics!$AJ$2:$AJ$167,TRUE)-_xlfn.NORM.DIST(BZ$30,economics!$AK$2:$AK$167,economics!$AJ$2:$AJ$167,TRUE))*economics!$AM$2:$AM$167))/(SUMPRODUCT((economics!$AG$2:$AG$167=$B40)*(economics!$D$2:$D$167="process")*economics!$AI$2:$AI$167*(_xlfn.NORM.DIST(BZ$3,economics!$AK$2:$AK$167,economics!$AJ$2:$AJ$167,TRUE)-_xlfn.NORM.DIST(BZ$30,economics!$AK$2:$AK$167,economics!$AJ$2:$AJ$167,TRUE)))),"")</f>
        <v/>
      </c>
      <c r="CA40">
        <f t="array" ref="CA40">IFERROR((SUMPRODUCT((economics!$AG$2:$AG$167=$B40)*(economics!$D$2:$D$167="process")*economics!$AI$2:$AI$167*(_xlfn.NORM.DIST(CA$3,economics!$AK$2:$AK$167,economics!$AJ$2:$AJ$167,TRUE)-_xlfn.NORM.DIST(CA$30,economics!$AK$2:$AK$167,economics!$AJ$2:$AJ$167,TRUE))*economics!$AM$2:$AM$167))/(SUMPRODUCT((economics!$AG$2:$AG$167=$B40)*(economics!$D$2:$D$167="process")*economics!$AI$2:$AI$167*(_xlfn.NORM.DIST(CA$3,economics!$AK$2:$AK$167,economics!$AJ$2:$AJ$167,TRUE)-_xlfn.NORM.DIST(CA$30,economics!$AK$2:$AK$167,economics!$AJ$2:$AJ$167,TRUE)))),"")</f>
        <v/>
      </c>
      <c r="CB40">
        <f t="array" ref="CB40">IFERROR((SUMPRODUCT((economics!$AG$2:$AG$167=$B40)*(economics!$D$2:$D$167="process")*economics!$AI$2:$AI$167*(_xlfn.NORM.DIST(CB$3,economics!$AK$2:$AK$167,economics!$AJ$2:$AJ$167,TRUE)-_xlfn.NORM.DIST(CB$30,economics!$AK$2:$AK$167,economics!$AJ$2:$AJ$167,TRUE))*economics!$AM$2:$AM$167))/(SUMPRODUCT((economics!$AG$2:$AG$167=$B40)*(economics!$D$2:$D$167="process")*economics!$AI$2:$AI$167*(_xlfn.NORM.DIST(CB$3,economics!$AK$2:$AK$167,economics!$AJ$2:$AJ$167,TRUE)-_xlfn.NORM.DIST(CB$30,economics!$AK$2:$AK$167,economics!$AJ$2:$AJ$167,TRUE)))),"")</f>
        <v/>
      </c>
      <c r="CC40">
        <f t="array" ref="CC40">IFERROR((SUMPRODUCT((economics!$AG$2:$AG$167=$B40)*(economics!$D$2:$D$167="process")*economics!$AI$2:$AI$167*(_xlfn.NORM.DIST(CC$3,economics!$AK$2:$AK$167,economics!$AJ$2:$AJ$167,TRUE)-_xlfn.NORM.DIST(CC$30,economics!$AK$2:$AK$167,economics!$AJ$2:$AJ$167,TRUE))*economics!$AM$2:$AM$167))/(SUMPRODUCT((economics!$AG$2:$AG$167=$B40)*(economics!$D$2:$D$167="process")*economics!$AI$2:$AI$167*(_xlfn.NORM.DIST(CC$3,economics!$AK$2:$AK$167,economics!$AJ$2:$AJ$167,TRUE)-_xlfn.NORM.DIST(CC$30,economics!$AK$2:$AK$167,economics!$AJ$2:$AJ$167,TRUE)))),"")</f>
        <v/>
      </c>
      <c r="CD40">
        <f t="array" ref="CD40">IFERROR((SUMPRODUCT((economics!$AG$2:$AG$167=$B40)*(economics!$D$2:$D$167="process")*economics!$AI$2:$AI$167*(_xlfn.NORM.DIST(CD$3,economics!$AK$2:$AK$167,economics!$AJ$2:$AJ$167,TRUE)-_xlfn.NORM.DIST(CD$30,economics!$AK$2:$AK$167,economics!$AJ$2:$AJ$167,TRUE))*economics!$AM$2:$AM$167))/(SUMPRODUCT((economics!$AG$2:$AG$167=$B40)*(economics!$D$2:$D$167="process")*economics!$AI$2:$AI$167*(_xlfn.NORM.DIST(CD$3,economics!$AK$2:$AK$167,economics!$AJ$2:$AJ$167,TRUE)-_xlfn.NORM.DIST(CD$30,economics!$AK$2:$AK$167,economics!$AJ$2:$AJ$167,TRUE)))),"")</f>
        <v/>
      </c>
      <c r="CE40">
        <f t="array" ref="CE40">IFERROR((SUMPRODUCT((economics!$AG$2:$AG$167=$B40)*(economics!$D$2:$D$167="process")*economics!$AI$2:$AI$167*(_xlfn.NORM.DIST(CE$3,economics!$AK$2:$AK$167,economics!$AJ$2:$AJ$167,TRUE)-_xlfn.NORM.DIST(CE$30,economics!$AK$2:$AK$167,economics!$AJ$2:$AJ$167,TRUE))*economics!$AM$2:$AM$167))/(SUMPRODUCT((economics!$AG$2:$AG$167=$B40)*(economics!$D$2:$D$167="process")*economics!$AI$2:$AI$167*(_xlfn.NORM.DIST(CE$3,economics!$AK$2:$AK$167,economics!$AJ$2:$AJ$167,TRUE)-_xlfn.NORM.DIST(CE$30,economics!$AK$2:$AK$167,economics!$AJ$2:$AJ$167,TRUE)))),"")</f>
        <v/>
      </c>
      <c r="CF40">
        <f t="array" ref="CF40">IFERROR((SUMPRODUCT((economics!$AG$2:$AG$167=$B40)*(economics!$D$2:$D$167="process")*economics!$AI$2:$AI$167*(_xlfn.NORM.DIST(CF$3,economics!$AK$2:$AK$167,economics!$AJ$2:$AJ$167,TRUE)-_xlfn.NORM.DIST(CF$30,economics!$AK$2:$AK$167,economics!$AJ$2:$AJ$167,TRUE))*economics!$AM$2:$AM$167))/(SUMPRODUCT((economics!$AG$2:$AG$167=$B40)*(economics!$D$2:$D$167="process")*economics!$AI$2:$AI$167*(_xlfn.NORM.DIST(CF$3,economics!$AK$2:$AK$167,economics!$AJ$2:$AJ$167,TRUE)-_xlfn.NORM.DIST(CF$30,economics!$AK$2:$AK$167,economics!$AJ$2:$AJ$167,TRUE)))),"")</f>
        <v/>
      </c>
      <c r="CG40">
        <f t="array" ref="CG40">IFERROR((SUMPRODUCT((economics!$AG$2:$AG$167=$B40)*(economics!$D$2:$D$167="process")*economics!$AI$2:$AI$167*(_xlfn.NORM.DIST(CG$3,economics!$AK$2:$AK$167,economics!$AJ$2:$AJ$167,TRUE)-_xlfn.NORM.DIST(CG$30,economics!$AK$2:$AK$167,economics!$AJ$2:$AJ$167,TRUE))*economics!$AM$2:$AM$167))/(SUMPRODUCT((economics!$AG$2:$AG$167=$B40)*(economics!$D$2:$D$167="process")*economics!$AI$2:$AI$167*(_xlfn.NORM.DIST(CG$3,economics!$AK$2:$AK$167,economics!$AJ$2:$AJ$167,TRUE)-_xlfn.NORM.DIST(CG$30,economics!$AK$2:$AK$167,economics!$AJ$2:$AJ$167,TRUE)))),"")</f>
        <v/>
      </c>
      <c r="CH40">
        <f t="array" ref="CH40">IFERROR((SUMPRODUCT((economics!$AG$2:$AG$167=$B40)*(economics!$D$2:$D$167="process")*economics!$AI$2:$AI$167*(_xlfn.NORM.DIST(CH$3,economics!$AK$2:$AK$167,economics!$AJ$2:$AJ$167,TRUE)-_xlfn.NORM.DIST(CH$30,economics!$AK$2:$AK$167,economics!$AJ$2:$AJ$167,TRUE))*economics!$AM$2:$AM$167))/(SUMPRODUCT((economics!$AG$2:$AG$167=$B40)*(economics!$D$2:$D$167="process")*economics!$AI$2:$AI$167*(_xlfn.NORM.DIST(CH$3,economics!$AK$2:$AK$167,economics!$AJ$2:$AJ$167,TRUE)-_xlfn.NORM.DIST(CH$30,economics!$AK$2:$AK$167,economics!$AJ$2:$AJ$167,TRUE)))),"")</f>
        <v/>
      </c>
    </row>
    <row r="41">
      <c r="A41">
        <f>A12</f>
        <v/>
      </c>
      <c r="B41">
        <f>B12</f>
        <v/>
      </c>
      <c r="E41">
        <f t="array" ref="E41">IFERROR((SUMPRODUCT((economics!$AG$2:$AG$167=$B41)*(economics!$D$2:$D$167="process")*economics!$AI$2:$AI$167*(_xlfn.NORM.DIST(E$3,economics!$AK$2:$AK$167,economics!$AJ$2:$AJ$167,TRUE)-_xlfn.NORM.DIST(E$30,economics!$AK$2:$AK$167,economics!$AJ$2:$AJ$167,TRUE))*economics!$AM$2:$AM$167))/(SUMPRODUCT((economics!$AG$2:$AG$167=$B41)*(economics!$D$2:$D$167="process")*economics!$AI$2:$AI$167*(_xlfn.NORM.DIST(E$3,economics!$AK$2:$AK$167,economics!$AJ$2:$AJ$167,TRUE)-_xlfn.NORM.DIST(E$30,economics!$AK$2:$AK$167,economics!$AJ$2:$AJ$167,TRUE)))),"")</f>
        <v/>
      </c>
      <c r="F41">
        <f t="array" ref="F41">IFERROR((SUMPRODUCT((economics!$AG$2:$AG$167=$B41)*(economics!$D$2:$D$167="process")*economics!$AI$2:$AI$167*(_xlfn.NORM.DIST(F$3,economics!$AK$2:$AK$167,economics!$AJ$2:$AJ$167,TRUE)-_xlfn.NORM.DIST(F$30,economics!$AK$2:$AK$167,economics!$AJ$2:$AJ$167,TRUE))*economics!$AM$2:$AM$167))/(SUMPRODUCT((economics!$AG$2:$AG$167=$B41)*(economics!$D$2:$D$167="process")*economics!$AI$2:$AI$167*(_xlfn.NORM.DIST(F$3,economics!$AK$2:$AK$167,economics!$AJ$2:$AJ$167,TRUE)-_xlfn.NORM.DIST(F$30,economics!$AK$2:$AK$167,economics!$AJ$2:$AJ$167,TRUE)))),"")</f>
        <v/>
      </c>
      <c r="G41">
        <f t="array" ref="G41">IFERROR((SUMPRODUCT((economics!$AG$2:$AG$167=$B41)*(economics!$D$2:$D$167="process")*economics!$AI$2:$AI$167*(_xlfn.NORM.DIST(G$3,economics!$AK$2:$AK$167,economics!$AJ$2:$AJ$167,TRUE)-_xlfn.NORM.DIST(G$30,economics!$AK$2:$AK$167,economics!$AJ$2:$AJ$167,TRUE))*economics!$AM$2:$AM$167))/(SUMPRODUCT((economics!$AG$2:$AG$167=$B41)*(economics!$D$2:$D$167="process")*economics!$AI$2:$AI$167*(_xlfn.NORM.DIST(G$3,economics!$AK$2:$AK$167,economics!$AJ$2:$AJ$167,TRUE)-_xlfn.NORM.DIST(G$30,economics!$AK$2:$AK$167,economics!$AJ$2:$AJ$167,TRUE)))),"")</f>
        <v/>
      </c>
      <c r="H41">
        <f t="array" ref="H41">IFERROR((SUMPRODUCT((economics!$AG$2:$AG$167=$B41)*(economics!$D$2:$D$167="process")*economics!$AI$2:$AI$167*(_xlfn.NORM.DIST(H$3,economics!$AK$2:$AK$167,economics!$AJ$2:$AJ$167,TRUE)-_xlfn.NORM.DIST(H$30,economics!$AK$2:$AK$167,economics!$AJ$2:$AJ$167,TRUE))*economics!$AM$2:$AM$167))/(SUMPRODUCT((economics!$AG$2:$AG$167=$B41)*(economics!$D$2:$D$167="process")*economics!$AI$2:$AI$167*(_xlfn.NORM.DIST(H$3,economics!$AK$2:$AK$167,economics!$AJ$2:$AJ$167,TRUE)-_xlfn.NORM.DIST(H$30,economics!$AK$2:$AK$167,economics!$AJ$2:$AJ$167,TRUE)))),"")</f>
        <v/>
      </c>
      <c r="I41">
        <f t="array" ref="I41">IFERROR((SUMPRODUCT((economics!$AG$2:$AG$167=$B41)*(economics!$D$2:$D$167="process")*economics!$AI$2:$AI$167*(_xlfn.NORM.DIST(I$3,economics!$AK$2:$AK$167,economics!$AJ$2:$AJ$167,TRUE)-_xlfn.NORM.DIST(I$30,economics!$AK$2:$AK$167,economics!$AJ$2:$AJ$167,TRUE))*economics!$AM$2:$AM$167))/(SUMPRODUCT((economics!$AG$2:$AG$167=$B41)*(economics!$D$2:$D$167="process")*economics!$AI$2:$AI$167*(_xlfn.NORM.DIST(I$3,economics!$AK$2:$AK$167,economics!$AJ$2:$AJ$167,TRUE)-_xlfn.NORM.DIST(I$30,economics!$AK$2:$AK$167,economics!$AJ$2:$AJ$167,TRUE)))),"")</f>
        <v/>
      </c>
      <c r="J41">
        <f t="array" ref="J41">IFERROR((SUMPRODUCT((economics!$AG$2:$AG$167=$B41)*(economics!$D$2:$D$167="process")*economics!$AI$2:$AI$167*(_xlfn.NORM.DIST(J$3,economics!$AK$2:$AK$167,economics!$AJ$2:$AJ$167,TRUE)-_xlfn.NORM.DIST(J$30,economics!$AK$2:$AK$167,economics!$AJ$2:$AJ$167,TRUE))*economics!$AM$2:$AM$167))/(SUMPRODUCT((economics!$AG$2:$AG$167=$B41)*(economics!$D$2:$D$167="process")*economics!$AI$2:$AI$167*(_xlfn.NORM.DIST(J$3,economics!$AK$2:$AK$167,economics!$AJ$2:$AJ$167,TRUE)-_xlfn.NORM.DIST(J$30,economics!$AK$2:$AK$167,economics!$AJ$2:$AJ$167,TRUE)))),"")</f>
        <v/>
      </c>
      <c r="K41">
        <f t="array" ref="K41">IFERROR((SUMPRODUCT((economics!$AG$2:$AG$167=$B41)*(economics!$D$2:$D$167="process")*economics!$AI$2:$AI$167*(_xlfn.NORM.DIST(K$3,economics!$AK$2:$AK$167,economics!$AJ$2:$AJ$167,TRUE)-_xlfn.NORM.DIST(K$30,economics!$AK$2:$AK$167,economics!$AJ$2:$AJ$167,TRUE))*economics!$AM$2:$AM$167))/(SUMPRODUCT((economics!$AG$2:$AG$167=$B41)*(economics!$D$2:$D$167="process")*economics!$AI$2:$AI$167*(_xlfn.NORM.DIST(K$3,economics!$AK$2:$AK$167,economics!$AJ$2:$AJ$167,TRUE)-_xlfn.NORM.DIST(K$30,economics!$AK$2:$AK$167,economics!$AJ$2:$AJ$167,TRUE)))),"")</f>
        <v/>
      </c>
      <c r="L41">
        <f t="array" ref="L41">IFERROR((SUMPRODUCT((economics!$AG$2:$AG$167=$B41)*(economics!$D$2:$D$167="process")*economics!$AI$2:$AI$167*(_xlfn.NORM.DIST(L$3,economics!$AK$2:$AK$167,economics!$AJ$2:$AJ$167,TRUE)-_xlfn.NORM.DIST(L$30,economics!$AK$2:$AK$167,economics!$AJ$2:$AJ$167,TRUE))*economics!$AM$2:$AM$167))/(SUMPRODUCT((economics!$AG$2:$AG$167=$B41)*(economics!$D$2:$D$167="process")*economics!$AI$2:$AI$167*(_xlfn.NORM.DIST(L$3,economics!$AK$2:$AK$167,economics!$AJ$2:$AJ$167,TRUE)-_xlfn.NORM.DIST(L$30,economics!$AK$2:$AK$167,economics!$AJ$2:$AJ$167,TRUE)))),"")</f>
        <v/>
      </c>
      <c r="M41">
        <f t="array" ref="M41">IFERROR((SUMPRODUCT((economics!$AG$2:$AG$167=$B41)*(economics!$D$2:$D$167="process")*economics!$AI$2:$AI$167*(_xlfn.NORM.DIST(M$3,economics!$AK$2:$AK$167,economics!$AJ$2:$AJ$167,TRUE)-_xlfn.NORM.DIST(M$30,economics!$AK$2:$AK$167,economics!$AJ$2:$AJ$167,TRUE))*economics!$AM$2:$AM$167))/(SUMPRODUCT((economics!$AG$2:$AG$167=$B41)*(economics!$D$2:$D$167="process")*economics!$AI$2:$AI$167*(_xlfn.NORM.DIST(M$3,economics!$AK$2:$AK$167,economics!$AJ$2:$AJ$167,TRUE)-_xlfn.NORM.DIST(M$30,economics!$AK$2:$AK$167,economics!$AJ$2:$AJ$167,TRUE)))),"")</f>
        <v/>
      </c>
      <c r="N41">
        <f t="array" ref="N41">IFERROR((SUMPRODUCT((economics!$AG$2:$AG$167=$B41)*(economics!$D$2:$D$167="process")*economics!$AI$2:$AI$167*(_xlfn.NORM.DIST(N$3,economics!$AK$2:$AK$167,economics!$AJ$2:$AJ$167,TRUE)-_xlfn.NORM.DIST(N$30,economics!$AK$2:$AK$167,economics!$AJ$2:$AJ$167,TRUE))*economics!$AM$2:$AM$167))/(SUMPRODUCT((economics!$AG$2:$AG$167=$B41)*(economics!$D$2:$D$167="process")*economics!$AI$2:$AI$167*(_xlfn.NORM.DIST(N$3,economics!$AK$2:$AK$167,economics!$AJ$2:$AJ$167,TRUE)-_xlfn.NORM.DIST(N$30,economics!$AK$2:$AK$167,economics!$AJ$2:$AJ$167,TRUE)))),"")</f>
        <v/>
      </c>
      <c r="O41">
        <f t="array" ref="O41">IFERROR((SUMPRODUCT((economics!$AG$2:$AG$167=$B41)*(economics!$D$2:$D$167="process")*economics!$AI$2:$AI$167*(_xlfn.NORM.DIST(O$3,economics!$AK$2:$AK$167,economics!$AJ$2:$AJ$167,TRUE)-_xlfn.NORM.DIST(O$30,economics!$AK$2:$AK$167,economics!$AJ$2:$AJ$167,TRUE))*economics!$AM$2:$AM$167))/(SUMPRODUCT((economics!$AG$2:$AG$167=$B41)*(economics!$D$2:$D$167="process")*economics!$AI$2:$AI$167*(_xlfn.NORM.DIST(O$3,economics!$AK$2:$AK$167,economics!$AJ$2:$AJ$167,TRUE)-_xlfn.NORM.DIST(O$30,economics!$AK$2:$AK$167,economics!$AJ$2:$AJ$167,TRUE)))),"")</f>
        <v/>
      </c>
      <c r="P41">
        <f t="array" ref="P41">IFERROR((SUMPRODUCT((economics!$AG$2:$AG$167=$B41)*(economics!$D$2:$D$167="process")*economics!$AI$2:$AI$167*(_xlfn.NORM.DIST(P$3,economics!$AK$2:$AK$167,economics!$AJ$2:$AJ$167,TRUE)-_xlfn.NORM.DIST(P$30,economics!$AK$2:$AK$167,economics!$AJ$2:$AJ$167,TRUE))*economics!$AM$2:$AM$167))/(SUMPRODUCT((economics!$AG$2:$AG$167=$B41)*(economics!$D$2:$D$167="process")*economics!$AI$2:$AI$167*(_xlfn.NORM.DIST(P$3,economics!$AK$2:$AK$167,economics!$AJ$2:$AJ$167,TRUE)-_xlfn.NORM.DIST(P$30,economics!$AK$2:$AK$167,economics!$AJ$2:$AJ$167,TRUE)))),"")</f>
        <v/>
      </c>
      <c r="Q41">
        <f t="array" ref="Q41">IFERROR((SUMPRODUCT((economics!$AG$2:$AG$167=$B41)*(economics!$D$2:$D$167="process")*economics!$AI$2:$AI$167*(_xlfn.NORM.DIST(Q$3,economics!$AK$2:$AK$167,economics!$AJ$2:$AJ$167,TRUE)-_xlfn.NORM.DIST(Q$30,economics!$AK$2:$AK$167,economics!$AJ$2:$AJ$167,TRUE))*economics!$AM$2:$AM$167))/(SUMPRODUCT((economics!$AG$2:$AG$167=$B41)*(economics!$D$2:$D$167="process")*economics!$AI$2:$AI$167*(_xlfn.NORM.DIST(Q$3,economics!$AK$2:$AK$167,economics!$AJ$2:$AJ$167,TRUE)-_xlfn.NORM.DIST(Q$30,economics!$AK$2:$AK$167,economics!$AJ$2:$AJ$167,TRUE)))),"")</f>
        <v/>
      </c>
      <c r="R41">
        <f t="array" ref="R41">IFERROR((SUMPRODUCT((economics!$AG$2:$AG$167=$B41)*(economics!$D$2:$D$167="process")*economics!$AI$2:$AI$167*(_xlfn.NORM.DIST(R$3,economics!$AK$2:$AK$167,economics!$AJ$2:$AJ$167,TRUE)-_xlfn.NORM.DIST(R$30,economics!$AK$2:$AK$167,economics!$AJ$2:$AJ$167,TRUE))*economics!$AM$2:$AM$167))/(SUMPRODUCT((economics!$AG$2:$AG$167=$B41)*(economics!$D$2:$D$167="process")*economics!$AI$2:$AI$167*(_xlfn.NORM.DIST(R$3,economics!$AK$2:$AK$167,economics!$AJ$2:$AJ$167,TRUE)-_xlfn.NORM.DIST(R$30,economics!$AK$2:$AK$167,economics!$AJ$2:$AJ$167,TRUE)))),"")</f>
        <v/>
      </c>
      <c r="S41">
        <f t="array" ref="S41">IFERROR((SUMPRODUCT((economics!$AG$2:$AG$167=$B41)*(economics!$D$2:$D$167="process")*economics!$AI$2:$AI$167*(_xlfn.NORM.DIST(S$3,economics!$AK$2:$AK$167,economics!$AJ$2:$AJ$167,TRUE)-_xlfn.NORM.DIST(S$30,economics!$AK$2:$AK$167,economics!$AJ$2:$AJ$167,TRUE))*economics!$AM$2:$AM$167))/(SUMPRODUCT((economics!$AG$2:$AG$167=$B41)*(economics!$D$2:$D$167="process")*economics!$AI$2:$AI$167*(_xlfn.NORM.DIST(S$3,economics!$AK$2:$AK$167,economics!$AJ$2:$AJ$167,TRUE)-_xlfn.NORM.DIST(S$30,economics!$AK$2:$AK$167,economics!$AJ$2:$AJ$167,TRUE)))),"")</f>
        <v/>
      </c>
      <c r="T41">
        <f t="array" ref="T41">IFERROR((SUMPRODUCT((economics!$AG$2:$AG$167=$B41)*(economics!$D$2:$D$167="process")*economics!$AI$2:$AI$167*(_xlfn.NORM.DIST(T$3,economics!$AK$2:$AK$167,economics!$AJ$2:$AJ$167,TRUE)-_xlfn.NORM.DIST(T$30,economics!$AK$2:$AK$167,economics!$AJ$2:$AJ$167,TRUE))*economics!$AM$2:$AM$167))/(SUMPRODUCT((economics!$AG$2:$AG$167=$B41)*(economics!$D$2:$D$167="process")*economics!$AI$2:$AI$167*(_xlfn.NORM.DIST(T$3,economics!$AK$2:$AK$167,economics!$AJ$2:$AJ$167,TRUE)-_xlfn.NORM.DIST(T$30,economics!$AK$2:$AK$167,economics!$AJ$2:$AJ$167,TRUE)))),"")</f>
        <v/>
      </c>
      <c r="U41">
        <f t="array" ref="U41">IFERROR((SUMPRODUCT((economics!$AG$2:$AG$167=$B41)*(economics!$D$2:$D$167="process")*economics!$AI$2:$AI$167*(_xlfn.NORM.DIST(U$3,economics!$AK$2:$AK$167,economics!$AJ$2:$AJ$167,TRUE)-_xlfn.NORM.DIST(U$30,economics!$AK$2:$AK$167,economics!$AJ$2:$AJ$167,TRUE))*economics!$AM$2:$AM$167))/(SUMPRODUCT((economics!$AG$2:$AG$167=$B41)*(economics!$D$2:$D$167="process")*economics!$AI$2:$AI$167*(_xlfn.NORM.DIST(U$3,economics!$AK$2:$AK$167,economics!$AJ$2:$AJ$167,TRUE)-_xlfn.NORM.DIST(U$30,economics!$AK$2:$AK$167,economics!$AJ$2:$AJ$167,TRUE)))),"")</f>
        <v/>
      </c>
      <c r="V41">
        <f t="array" ref="V41">IFERROR((SUMPRODUCT((economics!$AG$2:$AG$167=$B41)*(economics!$D$2:$D$167="process")*economics!$AI$2:$AI$167*(_xlfn.NORM.DIST(V$3,economics!$AK$2:$AK$167,economics!$AJ$2:$AJ$167,TRUE)-_xlfn.NORM.DIST(V$30,economics!$AK$2:$AK$167,economics!$AJ$2:$AJ$167,TRUE))*economics!$AM$2:$AM$167))/(SUMPRODUCT((economics!$AG$2:$AG$167=$B41)*(economics!$D$2:$D$167="process")*economics!$AI$2:$AI$167*(_xlfn.NORM.DIST(V$3,economics!$AK$2:$AK$167,economics!$AJ$2:$AJ$167,TRUE)-_xlfn.NORM.DIST(V$30,economics!$AK$2:$AK$167,economics!$AJ$2:$AJ$167,TRUE)))),"")</f>
        <v/>
      </c>
      <c r="W41">
        <f t="array" ref="W41">IFERROR((SUMPRODUCT((economics!$AG$2:$AG$167=$B41)*(economics!$D$2:$D$167="process")*economics!$AI$2:$AI$167*(_xlfn.NORM.DIST(W$3,economics!$AK$2:$AK$167,economics!$AJ$2:$AJ$167,TRUE)-_xlfn.NORM.DIST(W$30,economics!$AK$2:$AK$167,economics!$AJ$2:$AJ$167,TRUE))*economics!$AM$2:$AM$167))/(SUMPRODUCT((economics!$AG$2:$AG$167=$B41)*(economics!$D$2:$D$167="process")*economics!$AI$2:$AI$167*(_xlfn.NORM.DIST(W$3,economics!$AK$2:$AK$167,economics!$AJ$2:$AJ$167,TRUE)-_xlfn.NORM.DIST(W$30,economics!$AK$2:$AK$167,economics!$AJ$2:$AJ$167,TRUE)))),"")</f>
        <v/>
      </c>
      <c r="X41">
        <f t="array" ref="X41">IFERROR((SUMPRODUCT((economics!$AG$2:$AG$167=$B41)*(economics!$D$2:$D$167="process")*economics!$AI$2:$AI$167*(_xlfn.NORM.DIST(X$3,economics!$AK$2:$AK$167,economics!$AJ$2:$AJ$167,TRUE)-_xlfn.NORM.DIST(X$30,economics!$AK$2:$AK$167,economics!$AJ$2:$AJ$167,TRUE))*economics!$AM$2:$AM$167))/(SUMPRODUCT((economics!$AG$2:$AG$167=$B41)*(economics!$D$2:$D$167="process")*economics!$AI$2:$AI$167*(_xlfn.NORM.DIST(X$3,economics!$AK$2:$AK$167,economics!$AJ$2:$AJ$167,TRUE)-_xlfn.NORM.DIST(X$30,economics!$AK$2:$AK$167,economics!$AJ$2:$AJ$167,TRUE)))),"")</f>
        <v/>
      </c>
      <c r="Y41">
        <f t="array" ref="Y41">IFERROR((SUMPRODUCT((economics!$AG$2:$AG$167=$B41)*(economics!$D$2:$D$167="process")*economics!$AI$2:$AI$167*(_xlfn.NORM.DIST(Y$3,economics!$AK$2:$AK$167,economics!$AJ$2:$AJ$167,TRUE)-_xlfn.NORM.DIST(Y$30,economics!$AK$2:$AK$167,economics!$AJ$2:$AJ$167,TRUE))*economics!$AM$2:$AM$167))/(SUMPRODUCT((economics!$AG$2:$AG$167=$B41)*(economics!$D$2:$D$167="process")*economics!$AI$2:$AI$167*(_xlfn.NORM.DIST(Y$3,economics!$AK$2:$AK$167,economics!$AJ$2:$AJ$167,TRUE)-_xlfn.NORM.DIST(Y$30,economics!$AK$2:$AK$167,economics!$AJ$2:$AJ$167,TRUE)))),"")</f>
        <v/>
      </c>
      <c r="Z41">
        <f t="array" ref="Z41">IFERROR((SUMPRODUCT((economics!$AG$2:$AG$167=$B41)*(economics!$D$2:$D$167="process")*economics!$AI$2:$AI$167*(_xlfn.NORM.DIST(Z$3,economics!$AK$2:$AK$167,economics!$AJ$2:$AJ$167,TRUE)-_xlfn.NORM.DIST(Z$30,economics!$AK$2:$AK$167,economics!$AJ$2:$AJ$167,TRUE))*economics!$AM$2:$AM$167))/(SUMPRODUCT((economics!$AG$2:$AG$167=$B41)*(economics!$D$2:$D$167="process")*economics!$AI$2:$AI$167*(_xlfn.NORM.DIST(Z$3,economics!$AK$2:$AK$167,economics!$AJ$2:$AJ$167,TRUE)-_xlfn.NORM.DIST(Z$30,economics!$AK$2:$AK$167,economics!$AJ$2:$AJ$167,TRUE)))),"")</f>
        <v/>
      </c>
      <c r="AA41">
        <f t="array" ref="AA41">IFERROR((SUMPRODUCT((economics!$AG$2:$AG$167=$B41)*(economics!$D$2:$D$167="process")*economics!$AI$2:$AI$167*(_xlfn.NORM.DIST(AA$3,economics!$AK$2:$AK$167,economics!$AJ$2:$AJ$167,TRUE)-_xlfn.NORM.DIST(AA$30,economics!$AK$2:$AK$167,economics!$AJ$2:$AJ$167,TRUE))*economics!$AM$2:$AM$167))/(SUMPRODUCT((economics!$AG$2:$AG$167=$B41)*(economics!$D$2:$D$167="process")*economics!$AI$2:$AI$167*(_xlfn.NORM.DIST(AA$3,economics!$AK$2:$AK$167,economics!$AJ$2:$AJ$167,TRUE)-_xlfn.NORM.DIST(AA$30,economics!$AK$2:$AK$167,economics!$AJ$2:$AJ$167,TRUE)))),"")</f>
        <v/>
      </c>
      <c r="AB41">
        <f t="array" ref="AB41">IFERROR((SUMPRODUCT((economics!$AG$2:$AG$167=$B41)*(economics!$D$2:$D$167="process")*economics!$AI$2:$AI$167*(_xlfn.NORM.DIST(AB$3,economics!$AK$2:$AK$167,economics!$AJ$2:$AJ$167,TRUE)-_xlfn.NORM.DIST(AB$30,economics!$AK$2:$AK$167,economics!$AJ$2:$AJ$167,TRUE))*economics!$AM$2:$AM$167))/(SUMPRODUCT((economics!$AG$2:$AG$167=$B41)*(economics!$D$2:$D$167="process")*economics!$AI$2:$AI$167*(_xlfn.NORM.DIST(AB$3,economics!$AK$2:$AK$167,economics!$AJ$2:$AJ$167,TRUE)-_xlfn.NORM.DIST(AB$30,economics!$AK$2:$AK$167,economics!$AJ$2:$AJ$167,TRUE)))),"")</f>
        <v/>
      </c>
      <c r="AC41">
        <f t="array" ref="AC41">IFERROR((SUMPRODUCT((economics!$AG$2:$AG$167=$B41)*(economics!$D$2:$D$167="process")*economics!$AI$2:$AI$167*(_xlfn.NORM.DIST(AC$3,economics!$AK$2:$AK$167,economics!$AJ$2:$AJ$167,TRUE)-_xlfn.NORM.DIST(AC$30,economics!$AK$2:$AK$167,economics!$AJ$2:$AJ$167,TRUE))*economics!$AM$2:$AM$167))/(SUMPRODUCT((economics!$AG$2:$AG$167=$B41)*(economics!$D$2:$D$167="process")*economics!$AI$2:$AI$167*(_xlfn.NORM.DIST(AC$3,economics!$AK$2:$AK$167,economics!$AJ$2:$AJ$167,TRUE)-_xlfn.NORM.DIST(AC$30,economics!$AK$2:$AK$167,economics!$AJ$2:$AJ$167,TRUE)))),"")</f>
        <v/>
      </c>
      <c r="AD41">
        <f t="array" ref="AD41">IFERROR((SUMPRODUCT((economics!$AG$2:$AG$167=$B41)*(economics!$D$2:$D$167="process")*economics!$AI$2:$AI$167*(_xlfn.NORM.DIST(AD$3,economics!$AK$2:$AK$167,economics!$AJ$2:$AJ$167,TRUE)-_xlfn.NORM.DIST(AD$30,economics!$AK$2:$AK$167,economics!$AJ$2:$AJ$167,TRUE))*economics!$AM$2:$AM$167))/(SUMPRODUCT((economics!$AG$2:$AG$167=$B41)*(economics!$D$2:$D$167="process")*economics!$AI$2:$AI$167*(_xlfn.NORM.DIST(AD$3,economics!$AK$2:$AK$167,economics!$AJ$2:$AJ$167,TRUE)-_xlfn.NORM.DIST(AD$30,economics!$AK$2:$AK$167,economics!$AJ$2:$AJ$167,TRUE)))),"")</f>
        <v/>
      </c>
      <c r="AE41">
        <f t="array" ref="AE41">IFERROR((SUMPRODUCT((economics!$AG$2:$AG$167=$B41)*(economics!$D$2:$D$167="process")*economics!$AI$2:$AI$167*(_xlfn.NORM.DIST(AE$3,economics!$AK$2:$AK$167,economics!$AJ$2:$AJ$167,TRUE)-_xlfn.NORM.DIST(AE$30,economics!$AK$2:$AK$167,economics!$AJ$2:$AJ$167,TRUE))*economics!$AM$2:$AM$167))/(SUMPRODUCT((economics!$AG$2:$AG$167=$B41)*(economics!$D$2:$D$167="process")*economics!$AI$2:$AI$167*(_xlfn.NORM.DIST(AE$3,economics!$AK$2:$AK$167,economics!$AJ$2:$AJ$167,TRUE)-_xlfn.NORM.DIST(AE$30,economics!$AK$2:$AK$167,economics!$AJ$2:$AJ$167,TRUE)))),"")</f>
        <v/>
      </c>
      <c r="AF41">
        <f t="array" ref="AF41">IFERROR((SUMPRODUCT((economics!$AG$2:$AG$167=$B41)*(economics!$D$2:$D$167="process")*economics!$AI$2:$AI$167*(_xlfn.NORM.DIST(AF$3,economics!$AK$2:$AK$167,economics!$AJ$2:$AJ$167,TRUE)-_xlfn.NORM.DIST(AF$30,economics!$AK$2:$AK$167,economics!$AJ$2:$AJ$167,TRUE))*economics!$AM$2:$AM$167))/(SUMPRODUCT((economics!$AG$2:$AG$167=$B41)*(economics!$D$2:$D$167="process")*economics!$AI$2:$AI$167*(_xlfn.NORM.DIST(AF$3,economics!$AK$2:$AK$167,economics!$AJ$2:$AJ$167,TRUE)-_xlfn.NORM.DIST(AF$30,economics!$AK$2:$AK$167,economics!$AJ$2:$AJ$167,TRUE)))),"")</f>
        <v/>
      </c>
      <c r="AG41">
        <f t="array" ref="AG41">IFERROR((SUMPRODUCT((economics!$AG$2:$AG$167=$B41)*(economics!$D$2:$D$167="process")*economics!$AI$2:$AI$167*(_xlfn.NORM.DIST(AG$3,economics!$AK$2:$AK$167,economics!$AJ$2:$AJ$167,TRUE)-_xlfn.NORM.DIST(AG$30,economics!$AK$2:$AK$167,economics!$AJ$2:$AJ$167,TRUE))*economics!$AM$2:$AM$167))/(SUMPRODUCT((economics!$AG$2:$AG$167=$B41)*(economics!$D$2:$D$167="process")*economics!$AI$2:$AI$167*(_xlfn.NORM.DIST(AG$3,economics!$AK$2:$AK$167,economics!$AJ$2:$AJ$167,TRUE)-_xlfn.NORM.DIST(AG$30,economics!$AK$2:$AK$167,economics!$AJ$2:$AJ$167,TRUE)))),"")</f>
        <v/>
      </c>
      <c r="AH41">
        <f t="array" ref="AH41">IFERROR((SUMPRODUCT((economics!$AG$2:$AG$167=$B41)*(economics!$D$2:$D$167="process")*economics!$AI$2:$AI$167*(_xlfn.NORM.DIST(AH$3,economics!$AK$2:$AK$167,economics!$AJ$2:$AJ$167,TRUE)-_xlfn.NORM.DIST(AH$30,economics!$AK$2:$AK$167,economics!$AJ$2:$AJ$167,TRUE))*economics!$AM$2:$AM$167))/(SUMPRODUCT((economics!$AG$2:$AG$167=$B41)*(economics!$D$2:$D$167="process")*economics!$AI$2:$AI$167*(_xlfn.NORM.DIST(AH$3,economics!$AK$2:$AK$167,economics!$AJ$2:$AJ$167,TRUE)-_xlfn.NORM.DIST(AH$30,economics!$AK$2:$AK$167,economics!$AJ$2:$AJ$167,TRUE)))),"")</f>
        <v/>
      </c>
      <c r="AI41">
        <f t="array" ref="AI41">IFERROR((SUMPRODUCT((economics!$AG$2:$AG$167=$B41)*(economics!$D$2:$D$167="process")*economics!$AI$2:$AI$167*(_xlfn.NORM.DIST(AI$3,economics!$AK$2:$AK$167,economics!$AJ$2:$AJ$167,TRUE)-_xlfn.NORM.DIST(AI$30,economics!$AK$2:$AK$167,economics!$AJ$2:$AJ$167,TRUE))*economics!$AM$2:$AM$167))/(SUMPRODUCT((economics!$AG$2:$AG$167=$B41)*(economics!$D$2:$D$167="process")*economics!$AI$2:$AI$167*(_xlfn.NORM.DIST(AI$3,economics!$AK$2:$AK$167,economics!$AJ$2:$AJ$167,TRUE)-_xlfn.NORM.DIST(AI$30,economics!$AK$2:$AK$167,economics!$AJ$2:$AJ$167,TRUE)))),"")</f>
        <v/>
      </c>
      <c r="AJ41">
        <f t="array" ref="AJ41">IFERROR((SUMPRODUCT((economics!$AG$2:$AG$167=$B41)*(economics!$D$2:$D$167="process")*economics!$AI$2:$AI$167*(_xlfn.NORM.DIST(AJ$3,economics!$AK$2:$AK$167,economics!$AJ$2:$AJ$167,TRUE)-_xlfn.NORM.DIST(AJ$30,economics!$AK$2:$AK$167,economics!$AJ$2:$AJ$167,TRUE))*economics!$AM$2:$AM$167))/(SUMPRODUCT((economics!$AG$2:$AG$167=$B41)*(economics!$D$2:$D$167="process")*economics!$AI$2:$AI$167*(_xlfn.NORM.DIST(AJ$3,economics!$AK$2:$AK$167,economics!$AJ$2:$AJ$167,TRUE)-_xlfn.NORM.DIST(AJ$30,economics!$AK$2:$AK$167,economics!$AJ$2:$AJ$167,TRUE)))),"")</f>
        <v/>
      </c>
      <c r="AK41">
        <f t="array" ref="AK41">IFERROR((SUMPRODUCT((economics!$AG$2:$AG$167=$B41)*(economics!$D$2:$D$167="process")*economics!$AI$2:$AI$167*(_xlfn.NORM.DIST(AK$3,economics!$AK$2:$AK$167,economics!$AJ$2:$AJ$167,TRUE)-_xlfn.NORM.DIST(AK$30,economics!$AK$2:$AK$167,economics!$AJ$2:$AJ$167,TRUE))*economics!$AM$2:$AM$167))/(SUMPRODUCT((economics!$AG$2:$AG$167=$B41)*(economics!$D$2:$D$167="process")*economics!$AI$2:$AI$167*(_xlfn.NORM.DIST(AK$3,economics!$AK$2:$AK$167,economics!$AJ$2:$AJ$167,TRUE)-_xlfn.NORM.DIST(AK$30,economics!$AK$2:$AK$167,economics!$AJ$2:$AJ$167,TRUE)))),"")</f>
        <v/>
      </c>
      <c r="AL41">
        <f t="array" ref="AL41">IFERROR((SUMPRODUCT((economics!$AG$2:$AG$167=$B41)*(economics!$D$2:$D$167="process")*economics!$AI$2:$AI$167*(_xlfn.NORM.DIST(AL$3,economics!$AK$2:$AK$167,economics!$AJ$2:$AJ$167,TRUE)-_xlfn.NORM.DIST(AL$30,economics!$AK$2:$AK$167,economics!$AJ$2:$AJ$167,TRUE))*economics!$AM$2:$AM$167))/(SUMPRODUCT((economics!$AG$2:$AG$167=$B41)*(economics!$D$2:$D$167="process")*economics!$AI$2:$AI$167*(_xlfn.NORM.DIST(AL$3,economics!$AK$2:$AK$167,economics!$AJ$2:$AJ$167,TRUE)-_xlfn.NORM.DIST(AL$30,economics!$AK$2:$AK$167,economics!$AJ$2:$AJ$167,TRUE)))),"")</f>
        <v/>
      </c>
      <c r="AM41">
        <f t="array" ref="AM41">IFERROR((SUMPRODUCT((economics!$AG$2:$AG$167=$B41)*(economics!$D$2:$D$167="process")*economics!$AI$2:$AI$167*(_xlfn.NORM.DIST(AM$3,economics!$AK$2:$AK$167,economics!$AJ$2:$AJ$167,TRUE)-_xlfn.NORM.DIST(AM$30,economics!$AK$2:$AK$167,economics!$AJ$2:$AJ$167,TRUE))*economics!$AM$2:$AM$167))/(SUMPRODUCT((economics!$AG$2:$AG$167=$B41)*(economics!$D$2:$D$167="process")*economics!$AI$2:$AI$167*(_xlfn.NORM.DIST(AM$3,economics!$AK$2:$AK$167,economics!$AJ$2:$AJ$167,TRUE)-_xlfn.NORM.DIST(AM$30,economics!$AK$2:$AK$167,economics!$AJ$2:$AJ$167,TRUE)))),"")</f>
        <v/>
      </c>
      <c r="AN41">
        <f t="array" ref="AN41">IFERROR((SUMPRODUCT((economics!$AG$2:$AG$167=$B41)*(economics!$D$2:$D$167="process")*economics!$AI$2:$AI$167*(_xlfn.NORM.DIST(AN$3,economics!$AK$2:$AK$167,economics!$AJ$2:$AJ$167,TRUE)-_xlfn.NORM.DIST(AN$30,economics!$AK$2:$AK$167,economics!$AJ$2:$AJ$167,TRUE))*economics!$AM$2:$AM$167))/(SUMPRODUCT((economics!$AG$2:$AG$167=$B41)*(economics!$D$2:$D$167="process")*economics!$AI$2:$AI$167*(_xlfn.NORM.DIST(AN$3,economics!$AK$2:$AK$167,economics!$AJ$2:$AJ$167,TRUE)-_xlfn.NORM.DIST(AN$30,economics!$AK$2:$AK$167,economics!$AJ$2:$AJ$167,TRUE)))),"")</f>
        <v/>
      </c>
      <c r="AO41">
        <f t="array" ref="AO41">IFERROR((SUMPRODUCT((economics!$AG$2:$AG$167=$B41)*(economics!$D$2:$D$167="process")*economics!$AI$2:$AI$167*(_xlfn.NORM.DIST(AO$3,economics!$AK$2:$AK$167,economics!$AJ$2:$AJ$167,TRUE)-_xlfn.NORM.DIST(AO$30,economics!$AK$2:$AK$167,economics!$AJ$2:$AJ$167,TRUE))*economics!$AM$2:$AM$167))/(SUMPRODUCT((economics!$AG$2:$AG$167=$B41)*(economics!$D$2:$D$167="process")*economics!$AI$2:$AI$167*(_xlfn.NORM.DIST(AO$3,economics!$AK$2:$AK$167,economics!$AJ$2:$AJ$167,TRUE)-_xlfn.NORM.DIST(AO$30,economics!$AK$2:$AK$167,economics!$AJ$2:$AJ$167,TRUE)))),"")</f>
        <v/>
      </c>
      <c r="AP41">
        <f t="array" ref="AP41">IFERROR((SUMPRODUCT((economics!$AG$2:$AG$167=$B41)*(economics!$D$2:$D$167="process")*economics!$AI$2:$AI$167*(_xlfn.NORM.DIST(AP$3,economics!$AK$2:$AK$167,economics!$AJ$2:$AJ$167,TRUE)-_xlfn.NORM.DIST(AP$30,economics!$AK$2:$AK$167,economics!$AJ$2:$AJ$167,TRUE))*economics!$AM$2:$AM$167))/(SUMPRODUCT((economics!$AG$2:$AG$167=$B41)*(economics!$D$2:$D$167="process")*economics!$AI$2:$AI$167*(_xlfn.NORM.DIST(AP$3,economics!$AK$2:$AK$167,economics!$AJ$2:$AJ$167,TRUE)-_xlfn.NORM.DIST(AP$30,economics!$AK$2:$AK$167,economics!$AJ$2:$AJ$167,TRUE)))),"")</f>
        <v/>
      </c>
      <c r="AQ41">
        <f t="array" ref="AQ41">IFERROR((SUMPRODUCT((economics!$AG$2:$AG$167=$B41)*(economics!$D$2:$D$167="process")*economics!$AI$2:$AI$167*(_xlfn.NORM.DIST(AQ$3,economics!$AK$2:$AK$167,economics!$AJ$2:$AJ$167,TRUE)-_xlfn.NORM.DIST(AQ$30,economics!$AK$2:$AK$167,economics!$AJ$2:$AJ$167,TRUE))*economics!$AM$2:$AM$167))/(SUMPRODUCT((economics!$AG$2:$AG$167=$B41)*(economics!$D$2:$D$167="process")*economics!$AI$2:$AI$167*(_xlfn.NORM.DIST(AQ$3,economics!$AK$2:$AK$167,economics!$AJ$2:$AJ$167,TRUE)-_xlfn.NORM.DIST(AQ$30,economics!$AK$2:$AK$167,economics!$AJ$2:$AJ$167,TRUE)))),"")</f>
        <v/>
      </c>
      <c r="AR41">
        <f t="array" ref="AR41">IFERROR((SUMPRODUCT((economics!$AG$2:$AG$167=$B41)*(economics!$D$2:$D$167="process")*economics!$AI$2:$AI$167*(_xlfn.NORM.DIST(AR$3,economics!$AK$2:$AK$167,economics!$AJ$2:$AJ$167,TRUE)-_xlfn.NORM.DIST(AR$30,economics!$AK$2:$AK$167,economics!$AJ$2:$AJ$167,TRUE))*economics!$AM$2:$AM$167))/(SUMPRODUCT((economics!$AG$2:$AG$167=$B41)*(economics!$D$2:$D$167="process")*economics!$AI$2:$AI$167*(_xlfn.NORM.DIST(AR$3,economics!$AK$2:$AK$167,economics!$AJ$2:$AJ$167,TRUE)-_xlfn.NORM.DIST(AR$30,economics!$AK$2:$AK$167,economics!$AJ$2:$AJ$167,TRUE)))),"")</f>
        <v/>
      </c>
      <c r="AS41">
        <f t="array" ref="AS41">IFERROR((SUMPRODUCT((economics!$AG$2:$AG$167=$B41)*(economics!$D$2:$D$167="process")*economics!$AI$2:$AI$167*(_xlfn.NORM.DIST(AS$3,economics!$AK$2:$AK$167,economics!$AJ$2:$AJ$167,TRUE)-_xlfn.NORM.DIST(AS$30,economics!$AK$2:$AK$167,economics!$AJ$2:$AJ$167,TRUE))*economics!$AM$2:$AM$167))/(SUMPRODUCT((economics!$AG$2:$AG$167=$B41)*(economics!$D$2:$D$167="process")*economics!$AI$2:$AI$167*(_xlfn.NORM.DIST(AS$3,economics!$AK$2:$AK$167,economics!$AJ$2:$AJ$167,TRUE)-_xlfn.NORM.DIST(AS$30,economics!$AK$2:$AK$167,economics!$AJ$2:$AJ$167,TRUE)))),"")</f>
        <v/>
      </c>
      <c r="AT41">
        <f t="array" ref="AT41">IFERROR((SUMPRODUCT((economics!$AG$2:$AG$167=$B41)*(economics!$D$2:$D$167="process")*economics!$AI$2:$AI$167*(_xlfn.NORM.DIST(AT$3,economics!$AK$2:$AK$167,economics!$AJ$2:$AJ$167,TRUE)-_xlfn.NORM.DIST(AT$30,economics!$AK$2:$AK$167,economics!$AJ$2:$AJ$167,TRUE))*economics!$AM$2:$AM$167))/(SUMPRODUCT((economics!$AG$2:$AG$167=$B41)*(economics!$D$2:$D$167="process")*economics!$AI$2:$AI$167*(_xlfn.NORM.DIST(AT$3,economics!$AK$2:$AK$167,economics!$AJ$2:$AJ$167,TRUE)-_xlfn.NORM.DIST(AT$30,economics!$AK$2:$AK$167,economics!$AJ$2:$AJ$167,TRUE)))),"")</f>
        <v/>
      </c>
      <c r="AU41">
        <f t="array" ref="AU41">IFERROR((SUMPRODUCT((economics!$AG$2:$AG$167=$B41)*(economics!$D$2:$D$167="process")*economics!$AI$2:$AI$167*(_xlfn.NORM.DIST(AU$3,economics!$AK$2:$AK$167,economics!$AJ$2:$AJ$167,TRUE)-_xlfn.NORM.DIST(AU$30,economics!$AK$2:$AK$167,economics!$AJ$2:$AJ$167,TRUE))*economics!$AM$2:$AM$167))/(SUMPRODUCT((economics!$AG$2:$AG$167=$B41)*(economics!$D$2:$D$167="process")*economics!$AI$2:$AI$167*(_xlfn.NORM.DIST(AU$3,economics!$AK$2:$AK$167,economics!$AJ$2:$AJ$167,TRUE)-_xlfn.NORM.DIST(AU$30,economics!$AK$2:$AK$167,economics!$AJ$2:$AJ$167,TRUE)))),"")</f>
        <v/>
      </c>
      <c r="AV41">
        <f t="array" ref="AV41">IFERROR((SUMPRODUCT((economics!$AG$2:$AG$167=$B41)*(economics!$D$2:$D$167="process")*economics!$AI$2:$AI$167*(_xlfn.NORM.DIST(AV$3,economics!$AK$2:$AK$167,economics!$AJ$2:$AJ$167,TRUE)-_xlfn.NORM.DIST(AV$30,economics!$AK$2:$AK$167,economics!$AJ$2:$AJ$167,TRUE))*economics!$AM$2:$AM$167))/(SUMPRODUCT((economics!$AG$2:$AG$167=$B41)*(economics!$D$2:$D$167="process")*economics!$AI$2:$AI$167*(_xlfn.NORM.DIST(AV$3,economics!$AK$2:$AK$167,economics!$AJ$2:$AJ$167,TRUE)-_xlfn.NORM.DIST(AV$30,economics!$AK$2:$AK$167,economics!$AJ$2:$AJ$167,TRUE)))),"")</f>
        <v/>
      </c>
      <c r="AW41">
        <f t="array" ref="AW41">IFERROR((SUMPRODUCT((economics!$AG$2:$AG$167=$B41)*(economics!$D$2:$D$167="process")*economics!$AI$2:$AI$167*(_xlfn.NORM.DIST(AW$3,economics!$AK$2:$AK$167,economics!$AJ$2:$AJ$167,TRUE)-_xlfn.NORM.DIST(AW$30,economics!$AK$2:$AK$167,economics!$AJ$2:$AJ$167,TRUE))*economics!$AM$2:$AM$167))/(SUMPRODUCT((economics!$AG$2:$AG$167=$B41)*(economics!$D$2:$D$167="process")*economics!$AI$2:$AI$167*(_xlfn.NORM.DIST(AW$3,economics!$AK$2:$AK$167,economics!$AJ$2:$AJ$167,TRUE)-_xlfn.NORM.DIST(AW$30,economics!$AK$2:$AK$167,economics!$AJ$2:$AJ$167,TRUE)))),"")</f>
        <v/>
      </c>
      <c r="AX41">
        <f t="array" ref="AX41">IFERROR((SUMPRODUCT((economics!$AG$2:$AG$167=$B41)*(economics!$D$2:$D$167="process")*economics!$AI$2:$AI$167*(_xlfn.NORM.DIST(AX$3,economics!$AK$2:$AK$167,economics!$AJ$2:$AJ$167,TRUE)-_xlfn.NORM.DIST(AX$30,economics!$AK$2:$AK$167,economics!$AJ$2:$AJ$167,TRUE))*economics!$AM$2:$AM$167))/(SUMPRODUCT((economics!$AG$2:$AG$167=$B41)*(economics!$D$2:$D$167="process")*economics!$AI$2:$AI$167*(_xlfn.NORM.DIST(AX$3,economics!$AK$2:$AK$167,economics!$AJ$2:$AJ$167,TRUE)-_xlfn.NORM.DIST(AX$30,economics!$AK$2:$AK$167,economics!$AJ$2:$AJ$167,TRUE)))),"")</f>
        <v/>
      </c>
      <c r="AY41">
        <f t="array" ref="AY41">IFERROR((SUMPRODUCT((economics!$AG$2:$AG$167=$B41)*(economics!$D$2:$D$167="process")*economics!$AI$2:$AI$167*(_xlfn.NORM.DIST(AY$3,economics!$AK$2:$AK$167,economics!$AJ$2:$AJ$167,TRUE)-_xlfn.NORM.DIST(AY$30,economics!$AK$2:$AK$167,economics!$AJ$2:$AJ$167,TRUE))*economics!$AM$2:$AM$167))/(SUMPRODUCT((economics!$AG$2:$AG$167=$B41)*(economics!$D$2:$D$167="process")*economics!$AI$2:$AI$167*(_xlfn.NORM.DIST(AY$3,economics!$AK$2:$AK$167,economics!$AJ$2:$AJ$167,TRUE)-_xlfn.NORM.DIST(AY$30,economics!$AK$2:$AK$167,economics!$AJ$2:$AJ$167,TRUE)))),"")</f>
        <v/>
      </c>
      <c r="AZ41">
        <f t="array" ref="AZ41">IFERROR((SUMPRODUCT((economics!$AG$2:$AG$167=$B41)*(economics!$D$2:$D$167="process")*economics!$AI$2:$AI$167*(_xlfn.NORM.DIST(AZ$3,economics!$AK$2:$AK$167,economics!$AJ$2:$AJ$167,TRUE)-_xlfn.NORM.DIST(AZ$30,economics!$AK$2:$AK$167,economics!$AJ$2:$AJ$167,TRUE))*economics!$AM$2:$AM$167))/(SUMPRODUCT((economics!$AG$2:$AG$167=$B41)*(economics!$D$2:$D$167="process")*economics!$AI$2:$AI$167*(_xlfn.NORM.DIST(AZ$3,economics!$AK$2:$AK$167,economics!$AJ$2:$AJ$167,TRUE)-_xlfn.NORM.DIST(AZ$30,economics!$AK$2:$AK$167,economics!$AJ$2:$AJ$167,TRUE)))),"")</f>
        <v/>
      </c>
      <c r="BA41">
        <f t="array" ref="BA41">IFERROR((SUMPRODUCT((economics!$AG$2:$AG$167=$B41)*(economics!$D$2:$D$167="process")*economics!$AI$2:$AI$167*(_xlfn.NORM.DIST(BA$3,economics!$AK$2:$AK$167,economics!$AJ$2:$AJ$167,TRUE)-_xlfn.NORM.DIST(BA$30,economics!$AK$2:$AK$167,economics!$AJ$2:$AJ$167,TRUE))*economics!$AM$2:$AM$167))/(SUMPRODUCT((economics!$AG$2:$AG$167=$B41)*(economics!$D$2:$D$167="process")*economics!$AI$2:$AI$167*(_xlfn.NORM.DIST(BA$3,economics!$AK$2:$AK$167,economics!$AJ$2:$AJ$167,TRUE)-_xlfn.NORM.DIST(BA$30,economics!$AK$2:$AK$167,economics!$AJ$2:$AJ$167,TRUE)))),"")</f>
        <v/>
      </c>
      <c r="BB41">
        <f t="array" ref="BB41">IFERROR((SUMPRODUCT((economics!$AG$2:$AG$167=$B41)*(economics!$D$2:$D$167="process")*economics!$AI$2:$AI$167*(_xlfn.NORM.DIST(BB$3,economics!$AK$2:$AK$167,economics!$AJ$2:$AJ$167,TRUE)-_xlfn.NORM.DIST(BB$30,economics!$AK$2:$AK$167,economics!$AJ$2:$AJ$167,TRUE))*economics!$AM$2:$AM$167))/(SUMPRODUCT((economics!$AG$2:$AG$167=$B41)*(economics!$D$2:$D$167="process")*economics!$AI$2:$AI$167*(_xlfn.NORM.DIST(BB$3,economics!$AK$2:$AK$167,economics!$AJ$2:$AJ$167,TRUE)-_xlfn.NORM.DIST(BB$30,economics!$AK$2:$AK$167,economics!$AJ$2:$AJ$167,TRUE)))),"")</f>
        <v/>
      </c>
      <c r="BC41">
        <f t="array" ref="BC41">IFERROR((SUMPRODUCT((economics!$AG$2:$AG$167=$B41)*(economics!$D$2:$D$167="process")*economics!$AI$2:$AI$167*(_xlfn.NORM.DIST(BC$3,economics!$AK$2:$AK$167,economics!$AJ$2:$AJ$167,TRUE)-_xlfn.NORM.DIST(BC$30,economics!$AK$2:$AK$167,economics!$AJ$2:$AJ$167,TRUE))*economics!$AM$2:$AM$167))/(SUMPRODUCT((economics!$AG$2:$AG$167=$B41)*(economics!$D$2:$D$167="process")*economics!$AI$2:$AI$167*(_xlfn.NORM.DIST(BC$3,economics!$AK$2:$AK$167,economics!$AJ$2:$AJ$167,TRUE)-_xlfn.NORM.DIST(BC$30,economics!$AK$2:$AK$167,economics!$AJ$2:$AJ$167,TRUE)))),"")</f>
        <v/>
      </c>
      <c r="BD41">
        <f t="array" ref="BD41">IFERROR((SUMPRODUCT((economics!$AG$2:$AG$167=$B41)*(economics!$D$2:$D$167="process")*economics!$AI$2:$AI$167*(_xlfn.NORM.DIST(BD$3,economics!$AK$2:$AK$167,economics!$AJ$2:$AJ$167,TRUE)-_xlfn.NORM.DIST(BD$30,economics!$AK$2:$AK$167,economics!$AJ$2:$AJ$167,TRUE))*economics!$AM$2:$AM$167))/(SUMPRODUCT((economics!$AG$2:$AG$167=$B41)*(economics!$D$2:$D$167="process")*economics!$AI$2:$AI$167*(_xlfn.NORM.DIST(BD$3,economics!$AK$2:$AK$167,economics!$AJ$2:$AJ$167,TRUE)-_xlfn.NORM.DIST(BD$30,economics!$AK$2:$AK$167,economics!$AJ$2:$AJ$167,TRUE)))),"")</f>
        <v/>
      </c>
      <c r="BE41">
        <f t="array" ref="BE41">IFERROR((SUMPRODUCT((economics!$AG$2:$AG$167=$B41)*(economics!$D$2:$D$167="process")*economics!$AI$2:$AI$167*(_xlfn.NORM.DIST(BE$3,economics!$AK$2:$AK$167,economics!$AJ$2:$AJ$167,TRUE)-_xlfn.NORM.DIST(BE$30,economics!$AK$2:$AK$167,economics!$AJ$2:$AJ$167,TRUE))*economics!$AM$2:$AM$167))/(SUMPRODUCT((economics!$AG$2:$AG$167=$B41)*(economics!$D$2:$D$167="process")*economics!$AI$2:$AI$167*(_xlfn.NORM.DIST(BE$3,economics!$AK$2:$AK$167,economics!$AJ$2:$AJ$167,TRUE)-_xlfn.NORM.DIST(BE$30,economics!$AK$2:$AK$167,economics!$AJ$2:$AJ$167,TRUE)))),"")</f>
        <v/>
      </c>
      <c r="BF41">
        <f t="array" ref="BF41">IFERROR((SUMPRODUCT((economics!$AG$2:$AG$167=$B41)*(economics!$D$2:$D$167="process")*economics!$AI$2:$AI$167*(_xlfn.NORM.DIST(BF$3,economics!$AK$2:$AK$167,economics!$AJ$2:$AJ$167,TRUE)-_xlfn.NORM.DIST(BF$30,economics!$AK$2:$AK$167,economics!$AJ$2:$AJ$167,TRUE))*economics!$AM$2:$AM$167))/(SUMPRODUCT((economics!$AG$2:$AG$167=$B41)*(economics!$D$2:$D$167="process")*economics!$AI$2:$AI$167*(_xlfn.NORM.DIST(BF$3,economics!$AK$2:$AK$167,economics!$AJ$2:$AJ$167,TRUE)-_xlfn.NORM.DIST(BF$30,economics!$AK$2:$AK$167,economics!$AJ$2:$AJ$167,TRUE)))),"")</f>
        <v/>
      </c>
      <c r="BG41">
        <f t="array" ref="BG41">IFERROR((SUMPRODUCT((economics!$AG$2:$AG$167=$B41)*(economics!$D$2:$D$167="process")*economics!$AI$2:$AI$167*(_xlfn.NORM.DIST(BG$3,economics!$AK$2:$AK$167,economics!$AJ$2:$AJ$167,TRUE)-_xlfn.NORM.DIST(BG$30,economics!$AK$2:$AK$167,economics!$AJ$2:$AJ$167,TRUE))*economics!$AM$2:$AM$167))/(SUMPRODUCT((economics!$AG$2:$AG$167=$B41)*(economics!$D$2:$D$167="process")*economics!$AI$2:$AI$167*(_xlfn.NORM.DIST(BG$3,economics!$AK$2:$AK$167,economics!$AJ$2:$AJ$167,TRUE)-_xlfn.NORM.DIST(BG$30,economics!$AK$2:$AK$167,economics!$AJ$2:$AJ$167,TRUE)))),"")</f>
        <v/>
      </c>
      <c r="BH41">
        <f t="array" ref="BH41">IFERROR((SUMPRODUCT((economics!$AG$2:$AG$167=$B41)*(economics!$D$2:$D$167="process")*economics!$AI$2:$AI$167*(_xlfn.NORM.DIST(BH$3,economics!$AK$2:$AK$167,economics!$AJ$2:$AJ$167,TRUE)-_xlfn.NORM.DIST(BH$30,economics!$AK$2:$AK$167,economics!$AJ$2:$AJ$167,TRUE))*economics!$AM$2:$AM$167))/(SUMPRODUCT((economics!$AG$2:$AG$167=$B41)*(economics!$D$2:$D$167="process")*economics!$AI$2:$AI$167*(_xlfn.NORM.DIST(BH$3,economics!$AK$2:$AK$167,economics!$AJ$2:$AJ$167,TRUE)-_xlfn.NORM.DIST(BH$30,economics!$AK$2:$AK$167,economics!$AJ$2:$AJ$167,TRUE)))),"")</f>
        <v/>
      </c>
      <c r="BI41">
        <f t="array" ref="BI41">IFERROR((SUMPRODUCT((economics!$AG$2:$AG$167=$B41)*(economics!$D$2:$D$167="process")*economics!$AI$2:$AI$167*(_xlfn.NORM.DIST(BI$3,economics!$AK$2:$AK$167,economics!$AJ$2:$AJ$167,TRUE)-_xlfn.NORM.DIST(BI$30,economics!$AK$2:$AK$167,economics!$AJ$2:$AJ$167,TRUE))*economics!$AM$2:$AM$167))/(SUMPRODUCT((economics!$AG$2:$AG$167=$B41)*(economics!$D$2:$D$167="process")*economics!$AI$2:$AI$167*(_xlfn.NORM.DIST(BI$3,economics!$AK$2:$AK$167,economics!$AJ$2:$AJ$167,TRUE)-_xlfn.NORM.DIST(BI$30,economics!$AK$2:$AK$167,economics!$AJ$2:$AJ$167,TRUE)))),"")</f>
        <v/>
      </c>
      <c r="BJ41">
        <f t="array" ref="BJ41">IFERROR((SUMPRODUCT((economics!$AG$2:$AG$167=$B41)*(economics!$D$2:$D$167="process")*economics!$AI$2:$AI$167*(_xlfn.NORM.DIST(BJ$3,economics!$AK$2:$AK$167,economics!$AJ$2:$AJ$167,TRUE)-_xlfn.NORM.DIST(BJ$30,economics!$AK$2:$AK$167,economics!$AJ$2:$AJ$167,TRUE))*economics!$AM$2:$AM$167))/(SUMPRODUCT((economics!$AG$2:$AG$167=$B41)*(economics!$D$2:$D$167="process")*economics!$AI$2:$AI$167*(_xlfn.NORM.DIST(BJ$3,economics!$AK$2:$AK$167,economics!$AJ$2:$AJ$167,TRUE)-_xlfn.NORM.DIST(BJ$30,economics!$AK$2:$AK$167,economics!$AJ$2:$AJ$167,TRUE)))),"")</f>
        <v/>
      </c>
      <c r="BK41">
        <f t="array" ref="BK41">IFERROR((SUMPRODUCT((economics!$AG$2:$AG$167=$B41)*(economics!$D$2:$D$167="process")*economics!$AI$2:$AI$167*(_xlfn.NORM.DIST(BK$3,economics!$AK$2:$AK$167,economics!$AJ$2:$AJ$167,TRUE)-_xlfn.NORM.DIST(BK$30,economics!$AK$2:$AK$167,economics!$AJ$2:$AJ$167,TRUE))*economics!$AM$2:$AM$167))/(SUMPRODUCT((economics!$AG$2:$AG$167=$B41)*(economics!$D$2:$D$167="process")*economics!$AI$2:$AI$167*(_xlfn.NORM.DIST(BK$3,economics!$AK$2:$AK$167,economics!$AJ$2:$AJ$167,TRUE)-_xlfn.NORM.DIST(BK$30,economics!$AK$2:$AK$167,economics!$AJ$2:$AJ$167,TRUE)))),"")</f>
        <v/>
      </c>
      <c r="BL41">
        <f t="array" ref="BL41">IFERROR((SUMPRODUCT((economics!$AG$2:$AG$167=$B41)*(economics!$D$2:$D$167="process")*economics!$AI$2:$AI$167*(_xlfn.NORM.DIST(BL$3,economics!$AK$2:$AK$167,economics!$AJ$2:$AJ$167,TRUE)-_xlfn.NORM.DIST(BL$30,economics!$AK$2:$AK$167,economics!$AJ$2:$AJ$167,TRUE))*economics!$AM$2:$AM$167))/(SUMPRODUCT((economics!$AG$2:$AG$167=$B41)*(economics!$D$2:$D$167="process")*economics!$AI$2:$AI$167*(_xlfn.NORM.DIST(BL$3,economics!$AK$2:$AK$167,economics!$AJ$2:$AJ$167,TRUE)-_xlfn.NORM.DIST(BL$30,economics!$AK$2:$AK$167,economics!$AJ$2:$AJ$167,TRUE)))),"")</f>
        <v/>
      </c>
      <c r="BM41">
        <f t="array" ref="BM41">IFERROR((SUMPRODUCT((economics!$AG$2:$AG$167=$B41)*(economics!$D$2:$D$167="process")*economics!$AI$2:$AI$167*(_xlfn.NORM.DIST(BM$3,economics!$AK$2:$AK$167,economics!$AJ$2:$AJ$167,TRUE)-_xlfn.NORM.DIST(BM$30,economics!$AK$2:$AK$167,economics!$AJ$2:$AJ$167,TRUE))*economics!$AM$2:$AM$167))/(SUMPRODUCT((economics!$AG$2:$AG$167=$B41)*(economics!$D$2:$D$167="process")*economics!$AI$2:$AI$167*(_xlfn.NORM.DIST(BM$3,economics!$AK$2:$AK$167,economics!$AJ$2:$AJ$167,TRUE)-_xlfn.NORM.DIST(BM$30,economics!$AK$2:$AK$167,economics!$AJ$2:$AJ$167,TRUE)))),"")</f>
        <v/>
      </c>
      <c r="BN41">
        <f t="array" ref="BN41">IFERROR((SUMPRODUCT((economics!$AG$2:$AG$167=$B41)*(economics!$D$2:$D$167="process")*economics!$AI$2:$AI$167*(_xlfn.NORM.DIST(BN$3,economics!$AK$2:$AK$167,economics!$AJ$2:$AJ$167,TRUE)-_xlfn.NORM.DIST(BN$30,economics!$AK$2:$AK$167,economics!$AJ$2:$AJ$167,TRUE))*economics!$AM$2:$AM$167))/(SUMPRODUCT((economics!$AG$2:$AG$167=$B41)*(economics!$D$2:$D$167="process")*economics!$AI$2:$AI$167*(_xlfn.NORM.DIST(BN$3,economics!$AK$2:$AK$167,economics!$AJ$2:$AJ$167,TRUE)-_xlfn.NORM.DIST(BN$30,economics!$AK$2:$AK$167,economics!$AJ$2:$AJ$167,TRUE)))),"")</f>
        <v/>
      </c>
      <c r="BO41">
        <f t="array" ref="BO41">IFERROR((SUMPRODUCT((economics!$AG$2:$AG$167=$B41)*(economics!$D$2:$D$167="process")*economics!$AI$2:$AI$167*(_xlfn.NORM.DIST(BO$3,economics!$AK$2:$AK$167,economics!$AJ$2:$AJ$167,TRUE)-_xlfn.NORM.DIST(BO$30,economics!$AK$2:$AK$167,economics!$AJ$2:$AJ$167,TRUE))*economics!$AM$2:$AM$167))/(SUMPRODUCT((economics!$AG$2:$AG$167=$B41)*(economics!$D$2:$D$167="process")*economics!$AI$2:$AI$167*(_xlfn.NORM.DIST(BO$3,economics!$AK$2:$AK$167,economics!$AJ$2:$AJ$167,TRUE)-_xlfn.NORM.DIST(BO$30,economics!$AK$2:$AK$167,economics!$AJ$2:$AJ$167,TRUE)))),"")</f>
        <v/>
      </c>
      <c r="BP41">
        <f t="array" ref="BP41">IFERROR((SUMPRODUCT((economics!$AG$2:$AG$167=$B41)*(economics!$D$2:$D$167="process")*economics!$AI$2:$AI$167*(_xlfn.NORM.DIST(BP$3,economics!$AK$2:$AK$167,economics!$AJ$2:$AJ$167,TRUE)-_xlfn.NORM.DIST(BP$30,economics!$AK$2:$AK$167,economics!$AJ$2:$AJ$167,TRUE))*economics!$AM$2:$AM$167))/(SUMPRODUCT((economics!$AG$2:$AG$167=$B41)*(economics!$D$2:$D$167="process")*economics!$AI$2:$AI$167*(_xlfn.NORM.DIST(BP$3,economics!$AK$2:$AK$167,economics!$AJ$2:$AJ$167,TRUE)-_xlfn.NORM.DIST(BP$30,economics!$AK$2:$AK$167,economics!$AJ$2:$AJ$167,TRUE)))),"")</f>
        <v/>
      </c>
      <c r="BQ41">
        <f t="array" ref="BQ41">IFERROR((SUMPRODUCT((economics!$AG$2:$AG$167=$B41)*(economics!$D$2:$D$167="process")*economics!$AI$2:$AI$167*(_xlfn.NORM.DIST(BQ$3,economics!$AK$2:$AK$167,economics!$AJ$2:$AJ$167,TRUE)-_xlfn.NORM.DIST(BQ$30,economics!$AK$2:$AK$167,economics!$AJ$2:$AJ$167,TRUE))*economics!$AM$2:$AM$167))/(SUMPRODUCT((economics!$AG$2:$AG$167=$B41)*(economics!$D$2:$D$167="process")*economics!$AI$2:$AI$167*(_xlfn.NORM.DIST(BQ$3,economics!$AK$2:$AK$167,economics!$AJ$2:$AJ$167,TRUE)-_xlfn.NORM.DIST(BQ$30,economics!$AK$2:$AK$167,economics!$AJ$2:$AJ$167,TRUE)))),"")</f>
        <v/>
      </c>
      <c r="BR41">
        <f t="array" ref="BR41">IFERROR((SUMPRODUCT((economics!$AG$2:$AG$167=$B41)*(economics!$D$2:$D$167="process")*economics!$AI$2:$AI$167*(_xlfn.NORM.DIST(BR$3,economics!$AK$2:$AK$167,economics!$AJ$2:$AJ$167,TRUE)-_xlfn.NORM.DIST(BR$30,economics!$AK$2:$AK$167,economics!$AJ$2:$AJ$167,TRUE))*economics!$AM$2:$AM$167))/(SUMPRODUCT((economics!$AG$2:$AG$167=$B41)*(economics!$D$2:$D$167="process")*economics!$AI$2:$AI$167*(_xlfn.NORM.DIST(BR$3,economics!$AK$2:$AK$167,economics!$AJ$2:$AJ$167,TRUE)-_xlfn.NORM.DIST(BR$30,economics!$AK$2:$AK$167,economics!$AJ$2:$AJ$167,TRUE)))),"")</f>
        <v/>
      </c>
      <c r="BS41">
        <f t="array" ref="BS41">IFERROR((SUMPRODUCT((economics!$AG$2:$AG$167=$B41)*(economics!$D$2:$D$167="process")*economics!$AI$2:$AI$167*(_xlfn.NORM.DIST(BS$3,economics!$AK$2:$AK$167,economics!$AJ$2:$AJ$167,TRUE)-_xlfn.NORM.DIST(BS$30,economics!$AK$2:$AK$167,economics!$AJ$2:$AJ$167,TRUE))*economics!$AM$2:$AM$167))/(SUMPRODUCT((economics!$AG$2:$AG$167=$B41)*(economics!$D$2:$D$167="process")*economics!$AI$2:$AI$167*(_xlfn.NORM.DIST(BS$3,economics!$AK$2:$AK$167,economics!$AJ$2:$AJ$167,TRUE)-_xlfn.NORM.DIST(BS$30,economics!$AK$2:$AK$167,economics!$AJ$2:$AJ$167,TRUE)))),"")</f>
        <v/>
      </c>
      <c r="BT41">
        <f t="array" ref="BT41">IFERROR((SUMPRODUCT((economics!$AG$2:$AG$167=$B41)*(economics!$D$2:$D$167="process")*economics!$AI$2:$AI$167*(_xlfn.NORM.DIST(BT$3,economics!$AK$2:$AK$167,economics!$AJ$2:$AJ$167,TRUE)-_xlfn.NORM.DIST(BT$30,economics!$AK$2:$AK$167,economics!$AJ$2:$AJ$167,TRUE))*economics!$AM$2:$AM$167))/(SUMPRODUCT((economics!$AG$2:$AG$167=$B41)*(economics!$D$2:$D$167="process")*economics!$AI$2:$AI$167*(_xlfn.NORM.DIST(BT$3,economics!$AK$2:$AK$167,economics!$AJ$2:$AJ$167,TRUE)-_xlfn.NORM.DIST(BT$30,economics!$AK$2:$AK$167,economics!$AJ$2:$AJ$167,TRUE)))),"")</f>
        <v/>
      </c>
      <c r="BU41">
        <f t="array" ref="BU41">IFERROR((SUMPRODUCT((economics!$AG$2:$AG$167=$B41)*(economics!$D$2:$D$167="process")*economics!$AI$2:$AI$167*(_xlfn.NORM.DIST(BU$3,economics!$AK$2:$AK$167,economics!$AJ$2:$AJ$167,TRUE)-_xlfn.NORM.DIST(BU$30,economics!$AK$2:$AK$167,economics!$AJ$2:$AJ$167,TRUE))*economics!$AM$2:$AM$167))/(SUMPRODUCT((economics!$AG$2:$AG$167=$B41)*(economics!$D$2:$D$167="process")*economics!$AI$2:$AI$167*(_xlfn.NORM.DIST(BU$3,economics!$AK$2:$AK$167,economics!$AJ$2:$AJ$167,TRUE)-_xlfn.NORM.DIST(BU$30,economics!$AK$2:$AK$167,economics!$AJ$2:$AJ$167,TRUE)))),"")</f>
        <v/>
      </c>
      <c r="BV41">
        <f t="array" ref="BV41">IFERROR((SUMPRODUCT((economics!$AG$2:$AG$167=$B41)*(economics!$D$2:$D$167="process")*economics!$AI$2:$AI$167*(_xlfn.NORM.DIST(BV$3,economics!$AK$2:$AK$167,economics!$AJ$2:$AJ$167,TRUE)-_xlfn.NORM.DIST(BV$30,economics!$AK$2:$AK$167,economics!$AJ$2:$AJ$167,TRUE))*economics!$AM$2:$AM$167))/(SUMPRODUCT((economics!$AG$2:$AG$167=$B41)*(economics!$D$2:$D$167="process")*economics!$AI$2:$AI$167*(_xlfn.NORM.DIST(BV$3,economics!$AK$2:$AK$167,economics!$AJ$2:$AJ$167,TRUE)-_xlfn.NORM.DIST(BV$30,economics!$AK$2:$AK$167,economics!$AJ$2:$AJ$167,TRUE)))),"")</f>
        <v/>
      </c>
      <c r="BW41">
        <f t="array" ref="BW41">IFERROR((SUMPRODUCT((economics!$AG$2:$AG$167=$B41)*(economics!$D$2:$D$167="process")*economics!$AI$2:$AI$167*(_xlfn.NORM.DIST(BW$3,economics!$AK$2:$AK$167,economics!$AJ$2:$AJ$167,TRUE)-_xlfn.NORM.DIST(BW$30,economics!$AK$2:$AK$167,economics!$AJ$2:$AJ$167,TRUE))*economics!$AM$2:$AM$167))/(SUMPRODUCT((economics!$AG$2:$AG$167=$B41)*(economics!$D$2:$D$167="process")*economics!$AI$2:$AI$167*(_xlfn.NORM.DIST(BW$3,economics!$AK$2:$AK$167,economics!$AJ$2:$AJ$167,TRUE)-_xlfn.NORM.DIST(BW$30,economics!$AK$2:$AK$167,economics!$AJ$2:$AJ$167,TRUE)))),"")</f>
        <v/>
      </c>
      <c r="BX41">
        <f t="array" ref="BX41">IFERROR((SUMPRODUCT((economics!$AG$2:$AG$167=$B41)*(economics!$D$2:$D$167="process")*economics!$AI$2:$AI$167*(_xlfn.NORM.DIST(BX$3,economics!$AK$2:$AK$167,economics!$AJ$2:$AJ$167,TRUE)-_xlfn.NORM.DIST(BX$30,economics!$AK$2:$AK$167,economics!$AJ$2:$AJ$167,TRUE))*economics!$AM$2:$AM$167))/(SUMPRODUCT((economics!$AG$2:$AG$167=$B41)*(economics!$D$2:$D$167="process")*economics!$AI$2:$AI$167*(_xlfn.NORM.DIST(BX$3,economics!$AK$2:$AK$167,economics!$AJ$2:$AJ$167,TRUE)-_xlfn.NORM.DIST(BX$30,economics!$AK$2:$AK$167,economics!$AJ$2:$AJ$167,TRUE)))),"")</f>
        <v/>
      </c>
      <c r="BY41">
        <f t="array" ref="BY41">IFERROR((SUMPRODUCT((economics!$AG$2:$AG$167=$B41)*(economics!$D$2:$D$167="process")*economics!$AI$2:$AI$167*(_xlfn.NORM.DIST(BY$3,economics!$AK$2:$AK$167,economics!$AJ$2:$AJ$167,TRUE)-_xlfn.NORM.DIST(BY$30,economics!$AK$2:$AK$167,economics!$AJ$2:$AJ$167,TRUE))*economics!$AM$2:$AM$167))/(SUMPRODUCT((economics!$AG$2:$AG$167=$B41)*(economics!$D$2:$D$167="process")*economics!$AI$2:$AI$167*(_xlfn.NORM.DIST(BY$3,economics!$AK$2:$AK$167,economics!$AJ$2:$AJ$167,TRUE)-_xlfn.NORM.DIST(BY$30,economics!$AK$2:$AK$167,economics!$AJ$2:$AJ$167,TRUE)))),"")</f>
        <v/>
      </c>
      <c r="BZ41">
        <f t="array" ref="BZ41">IFERROR((SUMPRODUCT((economics!$AG$2:$AG$167=$B41)*(economics!$D$2:$D$167="process")*economics!$AI$2:$AI$167*(_xlfn.NORM.DIST(BZ$3,economics!$AK$2:$AK$167,economics!$AJ$2:$AJ$167,TRUE)-_xlfn.NORM.DIST(BZ$30,economics!$AK$2:$AK$167,economics!$AJ$2:$AJ$167,TRUE))*economics!$AM$2:$AM$167))/(SUMPRODUCT((economics!$AG$2:$AG$167=$B41)*(economics!$D$2:$D$167="process")*economics!$AI$2:$AI$167*(_xlfn.NORM.DIST(BZ$3,economics!$AK$2:$AK$167,economics!$AJ$2:$AJ$167,TRUE)-_xlfn.NORM.DIST(BZ$30,economics!$AK$2:$AK$167,economics!$AJ$2:$AJ$167,TRUE)))),"")</f>
        <v/>
      </c>
      <c r="CA41">
        <f t="array" ref="CA41">IFERROR((SUMPRODUCT((economics!$AG$2:$AG$167=$B41)*(economics!$D$2:$D$167="process")*economics!$AI$2:$AI$167*(_xlfn.NORM.DIST(CA$3,economics!$AK$2:$AK$167,economics!$AJ$2:$AJ$167,TRUE)-_xlfn.NORM.DIST(CA$30,economics!$AK$2:$AK$167,economics!$AJ$2:$AJ$167,TRUE))*economics!$AM$2:$AM$167))/(SUMPRODUCT((economics!$AG$2:$AG$167=$B41)*(economics!$D$2:$D$167="process")*economics!$AI$2:$AI$167*(_xlfn.NORM.DIST(CA$3,economics!$AK$2:$AK$167,economics!$AJ$2:$AJ$167,TRUE)-_xlfn.NORM.DIST(CA$30,economics!$AK$2:$AK$167,economics!$AJ$2:$AJ$167,TRUE)))),"")</f>
        <v/>
      </c>
      <c r="CB41">
        <f t="array" ref="CB41">IFERROR((SUMPRODUCT((economics!$AG$2:$AG$167=$B41)*(economics!$D$2:$D$167="process")*economics!$AI$2:$AI$167*(_xlfn.NORM.DIST(CB$3,economics!$AK$2:$AK$167,economics!$AJ$2:$AJ$167,TRUE)-_xlfn.NORM.DIST(CB$30,economics!$AK$2:$AK$167,economics!$AJ$2:$AJ$167,TRUE))*economics!$AM$2:$AM$167))/(SUMPRODUCT((economics!$AG$2:$AG$167=$B41)*(economics!$D$2:$D$167="process")*economics!$AI$2:$AI$167*(_xlfn.NORM.DIST(CB$3,economics!$AK$2:$AK$167,economics!$AJ$2:$AJ$167,TRUE)-_xlfn.NORM.DIST(CB$30,economics!$AK$2:$AK$167,economics!$AJ$2:$AJ$167,TRUE)))),"")</f>
        <v/>
      </c>
      <c r="CC41">
        <f t="array" ref="CC41">IFERROR((SUMPRODUCT((economics!$AG$2:$AG$167=$B41)*(economics!$D$2:$D$167="process")*economics!$AI$2:$AI$167*(_xlfn.NORM.DIST(CC$3,economics!$AK$2:$AK$167,economics!$AJ$2:$AJ$167,TRUE)-_xlfn.NORM.DIST(CC$30,economics!$AK$2:$AK$167,economics!$AJ$2:$AJ$167,TRUE))*economics!$AM$2:$AM$167))/(SUMPRODUCT((economics!$AG$2:$AG$167=$B41)*(economics!$D$2:$D$167="process")*economics!$AI$2:$AI$167*(_xlfn.NORM.DIST(CC$3,economics!$AK$2:$AK$167,economics!$AJ$2:$AJ$167,TRUE)-_xlfn.NORM.DIST(CC$30,economics!$AK$2:$AK$167,economics!$AJ$2:$AJ$167,TRUE)))),"")</f>
        <v/>
      </c>
      <c r="CD41">
        <f t="array" ref="CD41">IFERROR((SUMPRODUCT((economics!$AG$2:$AG$167=$B41)*(economics!$D$2:$D$167="process")*economics!$AI$2:$AI$167*(_xlfn.NORM.DIST(CD$3,economics!$AK$2:$AK$167,economics!$AJ$2:$AJ$167,TRUE)-_xlfn.NORM.DIST(CD$30,economics!$AK$2:$AK$167,economics!$AJ$2:$AJ$167,TRUE))*economics!$AM$2:$AM$167))/(SUMPRODUCT((economics!$AG$2:$AG$167=$B41)*(economics!$D$2:$D$167="process")*economics!$AI$2:$AI$167*(_xlfn.NORM.DIST(CD$3,economics!$AK$2:$AK$167,economics!$AJ$2:$AJ$167,TRUE)-_xlfn.NORM.DIST(CD$30,economics!$AK$2:$AK$167,economics!$AJ$2:$AJ$167,TRUE)))),"")</f>
        <v/>
      </c>
      <c r="CE41">
        <f t="array" ref="CE41">IFERROR((SUMPRODUCT((economics!$AG$2:$AG$167=$B41)*(economics!$D$2:$D$167="process")*economics!$AI$2:$AI$167*(_xlfn.NORM.DIST(CE$3,economics!$AK$2:$AK$167,economics!$AJ$2:$AJ$167,TRUE)-_xlfn.NORM.DIST(CE$30,economics!$AK$2:$AK$167,economics!$AJ$2:$AJ$167,TRUE))*economics!$AM$2:$AM$167))/(SUMPRODUCT((economics!$AG$2:$AG$167=$B41)*(economics!$D$2:$D$167="process")*economics!$AI$2:$AI$167*(_xlfn.NORM.DIST(CE$3,economics!$AK$2:$AK$167,economics!$AJ$2:$AJ$167,TRUE)-_xlfn.NORM.DIST(CE$30,economics!$AK$2:$AK$167,economics!$AJ$2:$AJ$167,TRUE)))),"")</f>
        <v/>
      </c>
      <c r="CF41">
        <f t="array" ref="CF41">IFERROR((SUMPRODUCT((economics!$AG$2:$AG$167=$B41)*(economics!$D$2:$D$167="process")*economics!$AI$2:$AI$167*(_xlfn.NORM.DIST(CF$3,economics!$AK$2:$AK$167,economics!$AJ$2:$AJ$167,TRUE)-_xlfn.NORM.DIST(CF$30,economics!$AK$2:$AK$167,economics!$AJ$2:$AJ$167,TRUE))*economics!$AM$2:$AM$167))/(SUMPRODUCT((economics!$AG$2:$AG$167=$B41)*(economics!$D$2:$D$167="process")*economics!$AI$2:$AI$167*(_xlfn.NORM.DIST(CF$3,economics!$AK$2:$AK$167,economics!$AJ$2:$AJ$167,TRUE)-_xlfn.NORM.DIST(CF$30,economics!$AK$2:$AK$167,economics!$AJ$2:$AJ$167,TRUE)))),"")</f>
        <v/>
      </c>
      <c r="CG41">
        <f t="array" ref="CG41">IFERROR((SUMPRODUCT((economics!$AG$2:$AG$167=$B41)*(economics!$D$2:$D$167="process")*economics!$AI$2:$AI$167*(_xlfn.NORM.DIST(CG$3,economics!$AK$2:$AK$167,economics!$AJ$2:$AJ$167,TRUE)-_xlfn.NORM.DIST(CG$30,economics!$AK$2:$AK$167,economics!$AJ$2:$AJ$167,TRUE))*economics!$AM$2:$AM$167))/(SUMPRODUCT((economics!$AG$2:$AG$167=$B41)*(economics!$D$2:$D$167="process")*economics!$AI$2:$AI$167*(_xlfn.NORM.DIST(CG$3,economics!$AK$2:$AK$167,economics!$AJ$2:$AJ$167,TRUE)-_xlfn.NORM.DIST(CG$30,economics!$AK$2:$AK$167,economics!$AJ$2:$AJ$167,TRUE)))),"")</f>
        <v/>
      </c>
      <c r="CH41">
        <f t="array" ref="CH41">IFERROR((SUMPRODUCT((economics!$AG$2:$AG$167=$B41)*(economics!$D$2:$D$167="process")*economics!$AI$2:$AI$167*(_xlfn.NORM.DIST(CH$3,economics!$AK$2:$AK$167,economics!$AJ$2:$AJ$167,TRUE)-_xlfn.NORM.DIST(CH$30,economics!$AK$2:$AK$167,economics!$AJ$2:$AJ$167,TRUE))*economics!$AM$2:$AM$167))/(SUMPRODUCT((economics!$AG$2:$AG$167=$B41)*(economics!$D$2:$D$167="process")*economics!$AI$2:$AI$167*(_xlfn.NORM.DIST(CH$3,economics!$AK$2:$AK$167,economics!$AJ$2:$AJ$167,TRUE)-_xlfn.NORM.DIST(CH$30,economics!$AK$2:$AK$167,economics!$AJ$2:$AJ$167,TRUE)))),"")</f>
        <v/>
      </c>
    </row>
    <row r="42">
      <c r="A42">
        <f>A13</f>
        <v/>
      </c>
      <c r="B42">
        <f>B13</f>
        <v/>
      </c>
      <c r="E42">
        <f t="array" ref="E42">IFERROR((SUMPRODUCT((economics!$AG$2:$AG$167=$B42)*(economics!$D$2:$D$167="process")*economics!$AI$2:$AI$167*(_xlfn.NORM.DIST(E$3,economics!$AK$2:$AK$167,economics!$AJ$2:$AJ$167,TRUE)-_xlfn.NORM.DIST(E$30,economics!$AK$2:$AK$167,economics!$AJ$2:$AJ$167,TRUE))*economics!$AM$2:$AM$167))/(SUMPRODUCT((economics!$AG$2:$AG$167=$B42)*(economics!$D$2:$D$167="process")*economics!$AI$2:$AI$167*(_xlfn.NORM.DIST(E$3,economics!$AK$2:$AK$167,economics!$AJ$2:$AJ$167,TRUE)-_xlfn.NORM.DIST(E$30,economics!$AK$2:$AK$167,economics!$AJ$2:$AJ$167,TRUE)))),"")</f>
        <v/>
      </c>
      <c r="F42">
        <f t="array" ref="F42">IFERROR((SUMPRODUCT((economics!$AG$2:$AG$167=$B42)*(economics!$D$2:$D$167="process")*economics!$AI$2:$AI$167*(_xlfn.NORM.DIST(F$3,economics!$AK$2:$AK$167,economics!$AJ$2:$AJ$167,TRUE)-_xlfn.NORM.DIST(F$30,economics!$AK$2:$AK$167,economics!$AJ$2:$AJ$167,TRUE))*economics!$AM$2:$AM$167))/(SUMPRODUCT((economics!$AG$2:$AG$167=$B42)*(economics!$D$2:$D$167="process")*economics!$AI$2:$AI$167*(_xlfn.NORM.DIST(F$3,economics!$AK$2:$AK$167,economics!$AJ$2:$AJ$167,TRUE)-_xlfn.NORM.DIST(F$30,economics!$AK$2:$AK$167,economics!$AJ$2:$AJ$167,TRUE)))),"")</f>
        <v/>
      </c>
      <c r="G42">
        <f t="array" ref="G42">IFERROR((SUMPRODUCT((economics!$AG$2:$AG$167=$B42)*(economics!$D$2:$D$167="process")*economics!$AI$2:$AI$167*(_xlfn.NORM.DIST(G$3,economics!$AK$2:$AK$167,economics!$AJ$2:$AJ$167,TRUE)-_xlfn.NORM.DIST(G$30,economics!$AK$2:$AK$167,economics!$AJ$2:$AJ$167,TRUE))*economics!$AM$2:$AM$167))/(SUMPRODUCT((economics!$AG$2:$AG$167=$B42)*(economics!$D$2:$D$167="process")*economics!$AI$2:$AI$167*(_xlfn.NORM.DIST(G$3,economics!$AK$2:$AK$167,economics!$AJ$2:$AJ$167,TRUE)-_xlfn.NORM.DIST(G$30,economics!$AK$2:$AK$167,economics!$AJ$2:$AJ$167,TRUE)))),"")</f>
        <v/>
      </c>
      <c r="H42">
        <f t="array" ref="H42">IFERROR((SUMPRODUCT((economics!$AG$2:$AG$167=$B42)*(economics!$D$2:$D$167="process")*economics!$AI$2:$AI$167*(_xlfn.NORM.DIST(H$3,economics!$AK$2:$AK$167,economics!$AJ$2:$AJ$167,TRUE)-_xlfn.NORM.DIST(H$30,economics!$AK$2:$AK$167,economics!$AJ$2:$AJ$167,TRUE))*economics!$AM$2:$AM$167))/(SUMPRODUCT((economics!$AG$2:$AG$167=$B42)*(economics!$D$2:$D$167="process")*economics!$AI$2:$AI$167*(_xlfn.NORM.DIST(H$3,economics!$AK$2:$AK$167,economics!$AJ$2:$AJ$167,TRUE)-_xlfn.NORM.DIST(H$30,economics!$AK$2:$AK$167,economics!$AJ$2:$AJ$167,TRUE)))),"")</f>
        <v/>
      </c>
      <c r="I42">
        <f t="array" ref="I42">IFERROR((SUMPRODUCT((economics!$AG$2:$AG$167=$B42)*(economics!$D$2:$D$167="process")*economics!$AI$2:$AI$167*(_xlfn.NORM.DIST(I$3,economics!$AK$2:$AK$167,economics!$AJ$2:$AJ$167,TRUE)-_xlfn.NORM.DIST(I$30,economics!$AK$2:$AK$167,economics!$AJ$2:$AJ$167,TRUE))*economics!$AM$2:$AM$167))/(SUMPRODUCT((economics!$AG$2:$AG$167=$B42)*(economics!$D$2:$D$167="process")*economics!$AI$2:$AI$167*(_xlfn.NORM.DIST(I$3,economics!$AK$2:$AK$167,economics!$AJ$2:$AJ$167,TRUE)-_xlfn.NORM.DIST(I$30,economics!$AK$2:$AK$167,economics!$AJ$2:$AJ$167,TRUE)))),"")</f>
        <v/>
      </c>
      <c r="J42">
        <f t="array" ref="J42">IFERROR((SUMPRODUCT((economics!$AG$2:$AG$167=$B42)*(economics!$D$2:$D$167="process")*economics!$AI$2:$AI$167*(_xlfn.NORM.DIST(J$3,economics!$AK$2:$AK$167,economics!$AJ$2:$AJ$167,TRUE)-_xlfn.NORM.DIST(J$30,economics!$AK$2:$AK$167,economics!$AJ$2:$AJ$167,TRUE))*economics!$AM$2:$AM$167))/(SUMPRODUCT((economics!$AG$2:$AG$167=$B42)*(economics!$D$2:$D$167="process")*economics!$AI$2:$AI$167*(_xlfn.NORM.DIST(J$3,economics!$AK$2:$AK$167,economics!$AJ$2:$AJ$167,TRUE)-_xlfn.NORM.DIST(J$30,economics!$AK$2:$AK$167,economics!$AJ$2:$AJ$167,TRUE)))),"")</f>
        <v/>
      </c>
      <c r="K42">
        <f t="array" ref="K42">IFERROR((SUMPRODUCT((economics!$AG$2:$AG$167=$B42)*(economics!$D$2:$D$167="process")*economics!$AI$2:$AI$167*(_xlfn.NORM.DIST(K$3,economics!$AK$2:$AK$167,economics!$AJ$2:$AJ$167,TRUE)-_xlfn.NORM.DIST(K$30,economics!$AK$2:$AK$167,economics!$AJ$2:$AJ$167,TRUE))*economics!$AM$2:$AM$167))/(SUMPRODUCT((economics!$AG$2:$AG$167=$B42)*(economics!$D$2:$D$167="process")*economics!$AI$2:$AI$167*(_xlfn.NORM.DIST(K$3,economics!$AK$2:$AK$167,economics!$AJ$2:$AJ$167,TRUE)-_xlfn.NORM.DIST(K$30,economics!$AK$2:$AK$167,economics!$AJ$2:$AJ$167,TRUE)))),"")</f>
        <v/>
      </c>
      <c r="L42">
        <f t="array" ref="L42">IFERROR((SUMPRODUCT((economics!$AG$2:$AG$167=$B42)*(economics!$D$2:$D$167="process")*economics!$AI$2:$AI$167*(_xlfn.NORM.DIST(L$3,economics!$AK$2:$AK$167,economics!$AJ$2:$AJ$167,TRUE)-_xlfn.NORM.DIST(L$30,economics!$AK$2:$AK$167,economics!$AJ$2:$AJ$167,TRUE))*economics!$AM$2:$AM$167))/(SUMPRODUCT((economics!$AG$2:$AG$167=$B42)*(economics!$D$2:$D$167="process")*economics!$AI$2:$AI$167*(_xlfn.NORM.DIST(L$3,economics!$AK$2:$AK$167,economics!$AJ$2:$AJ$167,TRUE)-_xlfn.NORM.DIST(L$30,economics!$AK$2:$AK$167,economics!$AJ$2:$AJ$167,TRUE)))),"")</f>
        <v/>
      </c>
      <c r="M42">
        <f t="array" ref="M42">IFERROR((SUMPRODUCT((economics!$AG$2:$AG$167=$B42)*(economics!$D$2:$D$167="process")*economics!$AI$2:$AI$167*(_xlfn.NORM.DIST(M$3,economics!$AK$2:$AK$167,economics!$AJ$2:$AJ$167,TRUE)-_xlfn.NORM.DIST(M$30,economics!$AK$2:$AK$167,economics!$AJ$2:$AJ$167,TRUE))*economics!$AM$2:$AM$167))/(SUMPRODUCT((economics!$AG$2:$AG$167=$B42)*(economics!$D$2:$D$167="process")*economics!$AI$2:$AI$167*(_xlfn.NORM.DIST(M$3,economics!$AK$2:$AK$167,economics!$AJ$2:$AJ$167,TRUE)-_xlfn.NORM.DIST(M$30,economics!$AK$2:$AK$167,economics!$AJ$2:$AJ$167,TRUE)))),"")</f>
        <v/>
      </c>
      <c r="N42">
        <f t="array" ref="N42">IFERROR((SUMPRODUCT((economics!$AG$2:$AG$167=$B42)*(economics!$D$2:$D$167="process")*economics!$AI$2:$AI$167*(_xlfn.NORM.DIST(N$3,economics!$AK$2:$AK$167,economics!$AJ$2:$AJ$167,TRUE)-_xlfn.NORM.DIST(N$30,economics!$AK$2:$AK$167,economics!$AJ$2:$AJ$167,TRUE))*economics!$AM$2:$AM$167))/(SUMPRODUCT((economics!$AG$2:$AG$167=$B42)*(economics!$D$2:$D$167="process")*economics!$AI$2:$AI$167*(_xlfn.NORM.DIST(N$3,economics!$AK$2:$AK$167,economics!$AJ$2:$AJ$167,TRUE)-_xlfn.NORM.DIST(N$30,economics!$AK$2:$AK$167,economics!$AJ$2:$AJ$167,TRUE)))),"")</f>
        <v/>
      </c>
      <c r="O42">
        <f t="array" ref="O42">IFERROR((SUMPRODUCT((economics!$AG$2:$AG$167=$B42)*(economics!$D$2:$D$167="process")*economics!$AI$2:$AI$167*(_xlfn.NORM.DIST(O$3,economics!$AK$2:$AK$167,economics!$AJ$2:$AJ$167,TRUE)-_xlfn.NORM.DIST(O$30,economics!$AK$2:$AK$167,economics!$AJ$2:$AJ$167,TRUE))*economics!$AM$2:$AM$167))/(SUMPRODUCT((economics!$AG$2:$AG$167=$B42)*(economics!$D$2:$D$167="process")*economics!$AI$2:$AI$167*(_xlfn.NORM.DIST(O$3,economics!$AK$2:$AK$167,economics!$AJ$2:$AJ$167,TRUE)-_xlfn.NORM.DIST(O$30,economics!$AK$2:$AK$167,economics!$AJ$2:$AJ$167,TRUE)))),"")</f>
        <v/>
      </c>
      <c r="P42">
        <f t="array" ref="P42">IFERROR((SUMPRODUCT((economics!$AG$2:$AG$167=$B42)*(economics!$D$2:$D$167="process")*economics!$AI$2:$AI$167*(_xlfn.NORM.DIST(P$3,economics!$AK$2:$AK$167,economics!$AJ$2:$AJ$167,TRUE)-_xlfn.NORM.DIST(P$30,economics!$AK$2:$AK$167,economics!$AJ$2:$AJ$167,TRUE))*economics!$AM$2:$AM$167))/(SUMPRODUCT((economics!$AG$2:$AG$167=$B42)*(economics!$D$2:$D$167="process")*economics!$AI$2:$AI$167*(_xlfn.NORM.DIST(P$3,economics!$AK$2:$AK$167,economics!$AJ$2:$AJ$167,TRUE)-_xlfn.NORM.DIST(P$30,economics!$AK$2:$AK$167,economics!$AJ$2:$AJ$167,TRUE)))),"")</f>
        <v/>
      </c>
      <c r="Q42">
        <f t="array" ref="Q42">IFERROR((SUMPRODUCT((economics!$AG$2:$AG$167=$B42)*(economics!$D$2:$D$167="process")*economics!$AI$2:$AI$167*(_xlfn.NORM.DIST(Q$3,economics!$AK$2:$AK$167,economics!$AJ$2:$AJ$167,TRUE)-_xlfn.NORM.DIST(Q$30,economics!$AK$2:$AK$167,economics!$AJ$2:$AJ$167,TRUE))*economics!$AM$2:$AM$167))/(SUMPRODUCT((economics!$AG$2:$AG$167=$B42)*(economics!$D$2:$D$167="process")*economics!$AI$2:$AI$167*(_xlfn.NORM.DIST(Q$3,economics!$AK$2:$AK$167,economics!$AJ$2:$AJ$167,TRUE)-_xlfn.NORM.DIST(Q$30,economics!$AK$2:$AK$167,economics!$AJ$2:$AJ$167,TRUE)))),"")</f>
        <v/>
      </c>
      <c r="R42">
        <f t="array" ref="R42">IFERROR((SUMPRODUCT((economics!$AG$2:$AG$167=$B42)*(economics!$D$2:$D$167="process")*economics!$AI$2:$AI$167*(_xlfn.NORM.DIST(R$3,economics!$AK$2:$AK$167,economics!$AJ$2:$AJ$167,TRUE)-_xlfn.NORM.DIST(R$30,economics!$AK$2:$AK$167,economics!$AJ$2:$AJ$167,TRUE))*economics!$AM$2:$AM$167))/(SUMPRODUCT((economics!$AG$2:$AG$167=$B42)*(economics!$D$2:$D$167="process")*economics!$AI$2:$AI$167*(_xlfn.NORM.DIST(R$3,economics!$AK$2:$AK$167,economics!$AJ$2:$AJ$167,TRUE)-_xlfn.NORM.DIST(R$30,economics!$AK$2:$AK$167,economics!$AJ$2:$AJ$167,TRUE)))),"")</f>
        <v/>
      </c>
      <c r="S42">
        <f t="array" ref="S42">IFERROR((SUMPRODUCT((economics!$AG$2:$AG$167=$B42)*(economics!$D$2:$D$167="process")*economics!$AI$2:$AI$167*(_xlfn.NORM.DIST(S$3,economics!$AK$2:$AK$167,economics!$AJ$2:$AJ$167,TRUE)-_xlfn.NORM.DIST(S$30,economics!$AK$2:$AK$167,economics!$AJ$2:$AJ$167,TRUE))*economics!$AM$2:$AM$167))/(SUMPRODUCT((economics!$AG$2:$AG$167=$B42)*(economics!$D$2:$D$167="process")*economics!$AI$2:$AI$167*(_xlfn.NORM.DIST(S$3,economics!$AK$2:$AK$167,economics!$AJ$2:$AJ$167,TRUE)-_xlfn.NORM.DIST(S$30,economics!$AK$2:$AK$167,economics!$AJ$2:$AJ$167,TRUE)))),"")</f>
        <v/>
      </c>
      <c r="T42">
        <f t="array" ref="T42">IFERROR((SUMPRODUCT((economics!$AG$2:$AG$167=$B42)*(economics!$D$2:$D$167="process")*economics!$AI$2:$AI$167*(_xlfn.NORM.DIST(T$3,economics!$AK$2:$AK$167,economics!$AJ$2:$AJ$167,TRUE)-_xlfn.NORM.DIST(T$30,economics!$AK$2:$AK$167,economics!$AJ$2:$AJ$167,TRUE))*economics!$AM$2:$AM$167))/(SUMPRODUCT((economics!$AG$2:$AG$167=$B42)*(economics!$D$2:$D$167="process")*economics!$AI$2:$AI$167*(_xlfn.NORM.DIST(T$3,economics!$AK$2:$AK$167,economics!$AJ$2:$AJ$167,TRUE)-_xlfn.NORM.DIST(T$30,economics!$AK$2:$AK$167,economics!$AJ$2:$AJ$167,TRUE)))),"")</f>
        <v/>
      </c>
      <c r="U42">
        <f t="array" ref="U42">IFERROR((SUMPRODUCT((economics!$AG$2:$AG$167=$B42)*(economics!$D$2:$D$167="process")*economics!$AI$2:$AI$167*(_xlfn.NORM.DIST(U$3,economics!$AK$2:$AK$167,economics!$AJ$2:$AJ$167,TRUE)-_xlfn.NORM.DIST(U$30,economics!$AK$2:$AK$167,economics!$AJ$2:$AJ$167,TRUE))*economics!$AM$2:$AM$167))/(SUMPRODUCT((economics!$AG$2:$AG$167=$B42)*(economics!$D$2:$D$167="process")*economics!$AI$2:$AI$167*(_xlfn.NORM.DIST(U$3,economics!$AK$2:$AK$167,economics!$AJ$2:$AJ$167,TRUE)-_xlfn.NORM.DIST(U$30,economics!$AK$2:$AK$167,economics!$AJ$2:$AJ$167,TRUE)))),"")</f>
        <v/>
      </c>
      <c r="V42">
        <f t="array" ref="V42">IFERROR((SUMPRODUCT((economics!$AG$2:$AG$167=$B42)*(economics!$D$2:$D$167="process")*economics!$AI$2:$AI$167*(_xlfn.NORM.DIST(V$3,economics!$AK$2:$AK$167,economics!$AJ$2:$AJ$167,TRUE)-_xlfn.NORM.DIST(V$30,economics!$AK$2:$AK$167,economics!$AJ$2:$AJ$167,TRUE))*economics!$AM$2:$AM$167))/(SUMPRODUCT((economics!$AG$2:$AG$167=$B42)*(economics!$D$2:$D$167="process")*economics!$AI$2:$AI$167*(_xlfn.NORM.DIST(V$3,economics!$AK$2:$AK$167,economics!$AJ$2:$AJ$167,TRUE)-_xlfn.NORM.DIST(V$30,economics!$AK$2:$AK$167,economics!$AJ$2:$AJ$167,TRUE)))),"")</f>
        <v/>
      </c>
      <c r="W42">
        <f t="array" ref="W42">IFERROR((SUMPRODUCT((economics!$AG$2:$AG$167=$B42)*(economics!$D$2:$D$167="process")*economics!$AI$2:$AI$167*(_xlfn.NORM.DIST(W$3,economics!$AK$2:$AK$167,economics!$AJ$2:$AJ$167,TRUE)-_xlfn.NORM.DIST(W$30,economics!$AK$2:$AK$167,economics!$AJ$2:$AJ$167,TRUE))*economics!$AM$2:$AM$167))/(SUMPRODUCT((economics!$AG$2:$AG$167=$B42)*(economics!$D$2:$D$167="process")*economics!$AI$2:$AI$167*(_xlfn.NORM.DIST(W$3,economics!$AK$2:$AK$167,economics!$AJ$2:$AJ$167,TRUE)-_xlfn.NORM.DIST(W$30,economics!$AK$2:$AK$167,economics!$AJ$2:$AJ$167,TRUE)))),"")</f>
        <v/>
      </c>
      <c r="X42">
        <f t="array" ref="X42">IFERROR((SUMPRODUCT((economics!$AG$2:$AG$167=$B42)*(economics!$D$2:$D$167="process")*economics!$AI$2:$AI$167*(_xlfn.NORM.DIST(X$3,economics!$AK$2:$AK$167,economics!$AJ$2:$AJ$167,TRUE)-_xlfn.NORM.DIST(X$30,economics!$AK$2:$AK$167,economics!$AJ$2:$AJ$167,TRUE))*economics!$AM$2:$AM$167))/(SUMPRODUCT((economics!$AG$2:$AG$167=$B42)*(economics!$D$2:$D$167="process")*economics!$AI$2:$AI$167*(_xlfn.NORM.DIST(X$3,economics!$AK$2:$AK$167,economics!$AJ$2:$AJ$167,TRUE)-_xlfn.NORM.DIST(X$30,economics!$AK$2:$AK$167,economics!$AJ$2:$AJ$167,TRUE)))),"")</f>
        <v/>
      </c>
      <c r="Y42">
        <f t="array" ref="Y42">IFERROR((SUMPRODUCT((economics!$AG$2:$AG$167=$B42)*(economics!$D$2:$D$167="process")*economics!$AI$2:$AI$167*(_xlfn.NORM.DIST(Y$3,economics!$AK$2:$AK$167,economics!$AJ$2:$AJ$167,TRUE)-_xlfn.NORM.DIST(Y$30,economics!$AK$2:$AK$167,economics!$AJ$2:$AJ$167,TRUE))*economics!$AM$2:$AM$167))/(SUMPRODUCT((economics!$AG$2:$AG$167=$B42)*(economics!$D$2:$D$167="process")*economics!$AI$2:$AI$167*(_xlfn.NORM.DIST(Y$3,economics!$AK$2:$AK$167,economics!$AJ$2:$AJ$167,TRUE)-_xlfn.NORM.DIST(Y$30,economics!$AK$2:$AK$167,economics!$AJ$2:$AJ$167,TRUE)))),"")</f>
        <v/>
      </c>
      <c r="Z42">
        <f t="array" ref="Z42">IFERROR((SUMPRODUCT((economics!$AG$2:$AG$167=$B42)*(economics!$D$2:$D$167="process")*economics!$AI$2:$AI$167*(_xlfn.NORM.DIST(Z$3,economics!$AK$2:$AK$167,economics!$AJ$2:$AJ$167,TRUE)-_xlfn.NORM.DIST(Z$30,economics!$AK$2:$AK$167,economics!$AJ$2:$AJ$167,TRUE))*economics!$AM$2:$AM$167))/(SUMPRODUCT((economics!$AG$2:$AG$167=$B42)*(economics!$D$2:$D$167="process")*economics!$AI$2:$AI$167*(_xlfn.NORM.DIST(Z$3,economics!$AK$2:$AK$167,economics!$AJ$2:$AJ$167,TRUE)-_xlfn.NORM.DIST(Z$30,economics!$AK$2:$AK$167,economics!$AJ$2:$AJ$167,TRUE)))),"")</f>
        <v/>
      </c>
      <c r="AA42">
        <f t="array" ref="AA42">IFERROR((SUMPRODUCT((economics!$AG$2:$AG$167=$B42)*(economics!$D$2:$D$167="process")*economics!$AI$2:$AI$167*(_xlfn.NORM.DIST(AA$3,economics!$AK$2:$AK$167,economics!$AJ$2:$AJ$167,TRUE)-_xlfn.NORM.DIST(AA$30,economics!$AK$2:$AK$167,economics!$AJ$2:$AJ$167,TRUE))*economics!$AM$2:$AM$167))/(SUMPRODUCT((economics!$AG$2:$AG$167=$B42)*(economics!$D$2:$D$167="process")*economics!$AI$2:$AI$167*(_xlfn.NORM.DIST(AA$3,economics!$AK$2:$AK$167,economics!$AJ$2:$AJ$167,TRUE)-_xlfn.NORM.DIST(AA$30,economics!$AK$2:$AK$167,economics!$AJ$2:$AJ$167,TRUE)))),"")</f>
        <v/>
      </c>
      <c r="AB42">
        <f t="array" ref="AB42">IFERROR((SUMPRODUCT((economics!$AG$2:$AG$167=$B42)*(economics!$D$2:$D$167="process")*economics!$AI$2:$AI$167*(_xlfn.NORM.DIST(AB$3,economics!$AK$2:$AK$167,economics!$AJ$2:$AJ$167,TRUE)-_xlfn.NORM.DIST(AB$30,economics!$AK$2:$AK$167,economics!$AJ$2:$AJ$167,TRUE))*economics!$AM$2:$AM$167))/(SUMPRODUCT((economics!$AG$2:$AG$167=$B42)*(economics!$D$2:$D$167="process")*economics!$AI$2:$AI$167*(_xlfn.NORM.DIST(AB$3,economics!$AK$2:$AK$167,economics!$AJ$2:$AJ$167,TRUE)-_xlfn.NORM.DIST(AB$30,economics!$AK$2:$AK$167,economics!$AJ$2:$AJ$167,TRUE)))),"")</f>
        <v/>
      </c>
      <c r="AC42">
        <f t="array" ref="AC42">IFERROR((SUMPRODUCT((economics!$AG$2:$AG$167=$B42)*(economics!$D$2:$D$167="process")*economics!$AI$2:$AI$167*(_xlfn.NORM.DIST(AC$3,economics!$AK$2:$AK$167,economics!$AJ$2:$AJ$167,TRUE)-_xlfn.NORM.DIST(AC$30,economics!$AK$2:$AK$167,economics!$AJ$2:$AJ$167,TRUE))*economics!$AM$2:$AM$167))/(SUMPRODUCT((economics!$AG$2:$AG$167=$B42)*(economics!$D$2:$D$167="process")*economics!$AI$2:$AI$167*(_xlfn.NORM.DIST(AC$3,economics!$AK$2:$AK$167,economics!$AJ$2:$AJ$167,TRUE)-_xlfn.NORM.DIST(AC$30,economics!$AK$2:$AK$167,economics!$AJ$2:$AJ$167,TRUE)))),"")</f>
        <v/>
      </c>
      <c r="AD42">
        <f t="array" ref="AD42">IFERROR((SUMPRODUCT((economics!$AG$2:$AG$167=$B42)*(economics!$D$2:$D$167="process")*economics!$AI$2:$AI$167*(_xlfn.NORM.DIST(AD$3,economics!$AK$2:$AK$167,economics!$AJ$2:$AJ$167,TRUE)-_xlfn.NORM.DIST(AD$30,economics!$AK$2:$AK$167,economics!$AJ$2:$AJ$167,TRUE))*economics!$AM$2:$AM$167))/(SUMPRODUCT((economics!$AG$2:$AG$167=$B42)*(economics!$D$2:$D$167="process")*economics!$AI$2:$AI$167*(_xlfn.NORM.DIST(AD$3,economics!$AK$2:$AK$167,economics!$AJ$2:$AJ$167,TRUE)-_xlfn.NORM.DIST(AD$30,economics!$AK$2:$AK$167,economics!$AJ$2:$AJ$167,TRUE)))),"")</f>
        <v/>
      </c>
      <c r="AE42">
        <f t="array" ref="AE42">IFERROR((SUMPRODUCT((economics!$AG$2:$AG$167=$B42)*(economics!$D$2:$D$167="process")*economics!$AI$2:$AI$167*(_xlfn.NORM.DIST(AE$3,economics!$AK$2:$AK$167,economics!$AJ$2:$AJ$167,TRUE)-_xlfn.NORM.DIST(AE$30,economics!$AK$2:$AK$167,economics!$AJ$2:$AJ$167,TRUE))*economics!$AM$2:$AM$167))/(SUMPRODUCT((economics!$AG$2:$AG$167=$B42)*(economics!$D$2:$D$167="process")*economics!$AI$2:$AI$167*(_xlfn.NORM.DIST(AE$3,economics!$AK$2:$AK$167,economics!$AJ$2:$AJ$167,TRUE)-_xlfn.NORM.DIST(AE$30,economics!$AK$2:$AK$167,economics!$AJ$2:$AJ$167,TRUE)))),"")</f>
        <v/>
      </c>
      <c r="AF42">
        <f t="array" ref="AF42">IFERROR((SUMPRODUCT((economics!$AG$2:$AG$167=$B42)*(economics!$D$2:$D$167="process")*economics!$AI$2:$AI$167*(_xlfn.NORM.DIST(AF$3,economics!$AK$2:$AK$167,economics!$AJ$2:$AJ$167,TRUE)-_xlfn.NORM.DIST(AF$30,economics!$AK$2:$AK$167,economics!$AJ$2:$AJ$167,TRUE))*economics!$AM$2:$AM$167))/(SUMPRODUCT((economics!$AG$2:$AG$167=$B42)*(economics!$D$2:$D$167="process")*economics!$AI$2:$AI$167*(_xlfn.NORM.DIST(AF$3,economics!$AK$2:$AK$167,economics!$AJ$2:$AJ$167,TRUE)-_xlfn.NORM.DIST(AF$30,economics!$AK$2:$AK$167,economics!$AJ$2:$AJ$167,TRUE)))),"")</f>
        <v/>
      </c>
      <c r="AG42">
        <f t="array" ref="AG42">IFERROR((SUMPRODUCT((economics!$AG$2:$AG$167=$B42)*(economics!$D$2:$D$167="process")*economics!$AI$2:$AI$167*(_xlfn.NORM.DIST(AG$3,economics!$AK$2:$AK$167,economics!$AJ$2:$AJ$167,TRUE)-_xlfn.NORM.DIST(AG$30,economics!$AK$2:$AK$167,economics!$AJ$2:$AJ$167,TRUE))*economics!$AM$2:$AM$167))/(SUMPRODUCT((economics!$AG$2:$AG$167=$B42)*(economics!$D$2:$D$167="process")*economics!$AI$2:$AI$167*(_xlfn.NORM.DIST(AG$3,economics!$AK$2:$AK$167,economics!$AJ$2:$AJ$167,TRUE)-_xlfn.NORM.DIST(AG$30,economics!$AK$2:$AK$167,economics!$AJ$2:$AJ$167,TRUE)))),"")</f>
        <v/>
      </c>
      <c r="AH42">
        <f t="array" ref="AH42">IFERROR((SUMPRODUCT((economics!$AG$2:$AG$167=$B42)*(economics!$D$2:$D$167="process")*economics!$AI$2:$AI$167*(_xlfn.NORM.DIST(AH$3,economics!$AK$2:$AK$167,economics!$AJ$2:$AJ$167,TRUE)-_xlfn.NORM.DIST(AH$30,economics!$AK$2:$AK$167,economics!$AJ$2:$AJ$167,TRUE))*economics!$AM$2:$AM$167))/(SUMPRODUCT((economics!$AG$2:$AG$167=$B42)*(economics!$D$2:$D$167="process")*economics!$AI$2:$AI$167*(_xlfn.NORM.DIST(AH$3,economics!$AK$2:$AK$167,economics!$AJ$2:$AJ$167,TRUE)-_xlfn.NORM.DIST(AH$30,economics!$AK$2:$AK$167,economics!$AJ$2:$AJ$167,TRUE)))),"")</f>
        <v/>
      </c>
      <c r="AI42">
        <f t="array" ref="AI42">IFERROR((SUMPRODUCT((economics!$AG$2:$AG$167=$B42)*(economics!$D$2:$D$167="process")*economics!$AI$2:$AI$167*(_xlfn.NORM.DIST(AI$3,economics!$AK$2:$AK$167,economics!$AJ$2:$AJ$167,TRUE)-_xlfn.NORM.DIST(AI$30,economics!$AK$2:$AK$167,economics!$AJ$2:$AJ$167,TRUE))*economics!$AM$2:$AM$167))/(SUMPRODUCT((economics!$AG$2:$AG$167=$B42)*(economics!$D$2:$D$167="process")*economics!$AI$2:$AI$167*(_xlfn.NORM.DIST(AI$3,economics!$AK$2:$AK$167,economics!$AJ$2:$AJ$167,TRUE)-_xlfn.NORM.DIST(AI$30,economics!$AK$2:$AK$167,economics!$AJ$2:$AJ$167,TRUE)))),"")</f>
        <v/>
      </c>
      <c r="AJ42">
        <f t="array" ref="AJ42">IFERROR((SUMPRODUCT((economics!$AG$2:$AG$167=$B42)*(economics!$D$2:$D$167="process")*economics!$AI$2:$AI$167*(_xlfn.NORM.DIST(AJ$3,economics!$AK$2:$AK$167,economics!$AJ$2:$AJ$167,TRUE)-_xlfn.NORM.DIST(AJ$30,economics!$AK$2:$AK$167,economics!$AJ$2:$AJ$167,TRUE))*economics!$AM$2:$AM$167))/(SUMPRODUCT((economics!$AG$2:$AG$167=$B42)*(economics!$D$2:$D$167="process")*economics!$AI$2:$AI$167*(_xlfn.NORM.DIST(AJ$3,economics!$AK$2:$AK$167,economics!$AJ$2:$AJ$167,TRUE)-_xlfn.NORM.DIST(AJ$30,economics!$AK$2:$AK$167,economics!$AJ$2:$AJ$167,TRUE)))),"")</f>
        <v/>
      </c>
      <c r="AK42">
        <f t="array" ref="AK42">IFERROR((SUMPRODUCT((economics!$AG$2:$AG$167=$B42)*(economics!$D$2:$D$167="process")*economics!$AI$2:$AI$167*(_xlfn.NORM.DIST(AK$3,economics!$AK$2:$AK$167,economics!$AJ$2:$AJ$167,TRUE)-_xlfn.NORM.DIST(AK$30,economics!$AK$2:$AK$167,economics!$AJ$2:$AJ$167,TRUE))*economics!$AM$2:$AM$167))/(SUMPRODUCT((economics!$AG$2:$AG$167=$B42)*(economics!$D$2:$D$167="process")*economics!$AI$2:$AI$167*(_xlfn.NORM.DIST(AK$3,economics!$AK$2:$AK$167,economics!$AJ$2:$AJ$167,TRUE)-_xlfn.NORM.DIST(AK$30,economics!$AK$2:$AK$167,economics!$AJ$2:$AJ$167,TRUE)))),"")</f>
        <v/>
      </c>
      <c r="AL42">
        <f t="array" ref="AL42">IFERROR((SUMPRODUCT((economics!$AG$2:$AG$167=$B42)*(economics!$D$2:$D$167="process")*economics!$AI$2:$AI$167*(_xlfn.NORM.DIST(AL$3,economics!$AK$2:$AK$167,economics!$AJ$2:$AJ$167,TRUE)-_xlfn.NORM.DIST(AL$30,economics!$AK$2:$AK$167,economics!$AJ$2:$AJ$167,TRUE))*economics!$AM$2:$AM$167))/(SUMPRODUCT((economics!$AG$2:$AG$167=$B42)*(economics!$D$2:$D$167="process")*economics!$AI$2:$AI$167*(_xlfn.NORM.DIST(AL$3,economics!$AK$2:$AK$167,economics!$AJ$2:$AJ$167,TRUE)-_xlfn.NORM.DIST(AL$30,economics!$AK$2:$AK$167,economics!$AJ$2:$AJ$167,TRUE)))),"")</f>
        <v/>
      </c>
      <c r="AM42">
        <f t="array" ref="AM42">IFERROR((SUMPRODUCT((economics!$AG$2:$AG$167=$B42)*(economics!$D$2:$D$167="process")*economics!$AI$2:$AI$167*(_xlfn.NORM.DIST(AM$3,economics!$AK$2:$AK$167,economics!$AJ$2:$AJ$167,TRUE)-_xlfn.NORM.DIST(AM$30,economics!$AK$2:$AK$167,economics!$AJ$2:$AJ$167,TRUE))*economics!$AM$2:$AM$167))/(SUMPRODUCT((economics!$AG$2:$AG$167=$B42)*(economics!$D$2:$D$167="process")*economics!$AI$2:$AI$167*(_xlfn.NORM.DIST(AM$3,economics!$AK$2:$AK$167,economics!$AJ$2:$AJ$167,TRUE)-_xlfn.NORM.DIST(AM$30,economics!$AK$2:$AK$167,economics!$AJ$2:$AJ$167,TRUE)))),"")</f>
        <v/>
      </c>
      <c r="AN42">
        <f t="array" ref="AN42">IFERROR((SUMPRODUCT((economics!$AG$2:$AG$167=$B42)*(economics!$D$2:$D$167="process")*economics!$AI$2:$AI$167*(_xlfn.NORM.DIST(AN$3,economics!$AK$2:$AK$167,economics!$AJ$2:$AJ$167,TRUE)-_xlfn.NORM.DIST(AN$30,economics!$AK$2:$AK$167,economics!$AJ$2:$AJ$167,TRUE))*economics!$AM$2:$AM$167))/(SUMPRODUCT((economics!$AG$2:$AG$167=$B42)*(economics!$D$2:$D$167="process")*economics!$AI$2:$AI$167*(_xlfn.NORM.DIST(AN$3,economics!$AK$2:$AK$167,economics!$AJ$2:$AJ$167,TRUE)-_xlfn.NORM.DIST(AN$30,economics!$AK$2:$AK$167,economics!$AJ$2:$AJ$167,TRUE)))),"")</f>
        <v/>
      </c>
      <c r="AO42">
        <f t="array" ref="AO42">IFERROR((SUMPRODUCT((economics!$AG$2:$AG$167=$B42)*(economics!$D$2:$D$167="process")*economics!$AI$2:$AI$167*(_xlfn.NORM.DIST(AO$3,economics!$AK$2:$AK$167,economics!$AJ$2:$AJ$167,TRUE)-_xlfn.NORM.DIST(AO$30,economics!$AK$2:$AK$167,economics!$AJ$2:$AJ$167,TRUE))*economics!$AM$2:$AM$167))/(SUMPRODUCT((economics!$AG$2:$AG$167=$B42)*(economics!$D$2:$D$167="process")*economics!$AI$2:$AI$167*(_xlfn.NORM.DIST(AO$3,economics!$AK$2:$AK$167,economics!$AJ$2:$AJ$167,TRUE)-_xlfn.NORM.DIST(AO$30,economics!$AK$2:$AK$167,economics!$AJ$2:$AJ$167,TRUE)))),"")</f>
        <v/>
      </c>
      <c r="AP42">
        <f t="array" ref="AP42">IFERROR((SUMPRODUCT((economics!$AG$2:$AG$167=$B42)*(economics!$D$2:$D$167="process")*economics!$AI$2:$AI$167*(_xlfn.NORM.DIST(AP$3,economics!$AK$2:$AK$167,economics!$AJ$2:$AJ$167,TRUE)-_xlfn.NORM.DIST(AP$30,economics!$AK$2:$AK$167,economics!$AJ$2:$AJ$167,TRUE))*economics!$AM$2:$AM$167))/(SUMPRODUCT((economics!$AG$2:$AG$167=$B42)*(economics!$D$2:$D$167="process")*economics!$AI$2:$AI$167*(_xlfn.NORM.DIST(AP$3,economics!$AK$2:$AK$167,economics!$AJ$2:$AJ$167,TRUE)-_xlfn.NORM.DIST(AP$30,economics!$AK$2:$AK$167,economics!$AJ$2:$AJ$167,TRUE)))),"")</f>
        <v/>
      </c>
      <c r="AQ42">
        <f t="array" ref="AQ42">IFERROR((SUMPRODUCT((economics!$AG$2:$AG$167=$B42)*(economics!$D$2:$D$167="process")*economics!$AI$2:$AI$167*(_xlfn.NORM.DIST(AQ$3,economics!$AK$2:$AK$167,economics!$AJ$2:$AJ$167,TRUE)-_xlfn.NORM.DIST(AQ$30,economics!$AK$2:$AK$167,economics!$AJ$2:$AJ$167,TRUE))*economics!$AM$2:$AM$167))/(SUMPRODUCT((economics!$AG$2:$AG$167=$B42)*(economics!$D$2:$D$167="process")*economics!$AI$2:$AI$167*(_xlfn.NORM.DIST(AQ$3,economics!$AK$2:$AK$167,economics!$AJ$2:$AJ$167,TRUE)-_xlfn.NORM.DIST(AQ$30,economics!$AK$2:$AK$167,economics!$AJ$2:$AJ$167,TRUE)))),"")</f>
        <v/>
      </c>
      <c r="AR42">
        <f t="array" ref="AR42">IFERROR((SUMPRODUCT((economics!$AG$2:$AG$167=$B42)*(economics!$D$2:$D$167="process")*economics!$AI$2:$AI$167*(_xlfn.NORM.DIST(AR$3,economics!$AK$2:$AK$167,economics!$AJ$2:$AJ$167,TRUE)-_xlfn.NORM.DIST(AR$30,economics!$AK$2:$AK$167,economics!$AJ$2:$AJ$167,TRUE))*economics!$AM$2:$AM$167))/(SUMPRODUCT((economics!$AG$2:$AG$167=$B42)*(economics!$D$2:$D$167="process")*economics!$AI$2:$AI$167*(_xlfn.NORM.DIST(AR$3,economics!$AK$2:$AK$167,economics!$AJ$2:$AJ$167,TRUE)-_xlfn.NORM.DIST(AR$30,economics!$AK$2:$AK$167,economics!$AJ$2:$AJ$167,TRUE)))),"")</f>
        <v/>
      </c>
      <c r="AS42">
        <f t="array" ref="AS42">IFERROR((SUMPRODUCT((economics!$AG$2:$AG$167=$B42)*(economics!$D$2:$D$167="process")*economics!$AI$2:$AI$167*(_xlfn.NORM.DIST(AS$3,economics!$AK$2:$AK$167,economics!$AJ$2:$AJ$167,TRUE)-_xlfn.NORM.DIST(AS$30,economics!$AK$2:$AK$167,economics!$AJ$2:$AJ$167,TRUE))*economics!$AM$2:$AM$167))/(SUMPRODUCT((economics!$AG$2:$AG$167=$B42)*(economics!$D$2:$D$167="process")*economics!$AI$2:$AI$167*(_xlfn.NORM.DIST(AS$3,economics!$AK$2:$AK$167,economics!$AJ$2:$AJ$167,TRUE)-_xlfn.NORM.DIST(AS$30,economics!$AK$2:$AK$167,economics!$AJ$2:$AJ$167,TRUE)))),"")</f>
        <v/>
      </c>
      <c r="AT42">
        <f t="array" ref="AT42">IFERROR((SUMPRODUCT((economics!$AG$2:$AG$167=$B42)*(economics!$D$2:$D$167="process")*economics!$AI$2:$AI$167*(_xlfn.NORM.DIST(AT$3,economics!$AK$2:$AK$167,economics!$AJ$2:$AJ$167,TRUE)-_xlfn.NORM.DIST(AT$30,economics!$AK$2:$AK$167,economics!$AJ$2:$AJ$167,TRUE))*economics!$AM$2:$AM$167))/(SUMPRODUCT((economics!$AG$2:$AG$167=$B42)*(economics!$D$2:$D$167="process")*economics!$AI$2:$AI$167*(_xlfn.NORM.DIST(AT$3,economics!$AK$2:$AK$167,economics!$AJ$2:$AJ$167,TRUE)-_xlfn.NORM.DIST(AT$30,economics!$AK$2:$AK$167,economics!$AJ$2:$AJ$167,TRUE)))),"")</f>
        <v/>
      </c>
      <c r="AU42">
        <f t="array" ref="AU42">IFERROR((SUMPRODUCT((economics!$AG$2:$AG$167=$B42)*(economics!$D$2:$D$167="process")*economics!$AI$2:$AI$167*(_xlfn.NORM.DIST(AU$3,economics!$AK$2:$AK$167,economics!$AJ$2:$AJ$167,TRUE)-_xlfn.NORM.DIST(AU$30,economics!$AK$2:$AK$167,economics!$AJ$2:$AJ$167,TRUE))*economics!$AM$2:$AM$167))/(SUMPRODUCT((economics!$AG$2:$AG$167=$B42)*(economics!$D$2:$D$167="process")*economics!$AI$2:$AI$167*(_xlfn.NORM.DIST(AU$3,economics!$AK$2:$AK$167,economics!$AJ$2:$AJ$167,TRUE)-_xlfn.NORM.DIST(AU$30,economics!$AK$2:$AK$167,economics!$AJ$2:$AJ$167,TRUE)))),"")</f>
        <v/>
      </c>
      <c r="AV42">
        <f t="array" ref="AV42">IFERROR((SUMPRODUCT((economics!$AG$2:$AG$167=$B42)*(economics!$D$2:$D$167="process")*economics!$AI$2:$AI$167*(_xlfn.NORM.DIST(AV$3,economics!$AK$2:$AK$167,economics!$AJ$2:$AJ$167,TRUE)-_xlfn.NORM.DIST(AV$30,economics!$AK$2:$AK$167,economics!$AJ$2:$AJ$167,TRUE))*economics!$AM$2:$AM$167))/(SUMPRODUCT((economics!$AG$2:$AG$167=$B42)*(economics!$D$2:$D$167="process")*economics!$AI$2:$AI$167*(_xlfn.NORM.DIST(AV$3,economics!$AK$2:$AK$167,economics!$AJ$2:$AJ$167,TRUE)-_xlfn.NORM.DIST(AV$30,economics!$AK$2:$AK$167,economics!$AJ$2:$AJ$167,TRUE)))),"")</f>
        <v/>
      </c>
      <c r="AW42">
        <f t="array" ref="AW42">IFERROR((SUMPRODUCT((economics!$AG$2:$AG$167=$B42)*(economics!$D$2:$D$167="process")*economics!$AI$2:$AI$167*(_xlfn.NORM.DIST(AW$3,economics!$AK$2:$AK$167,economics!$AJ$2:$AJ$167,TRUE)-_xlfn.NORM.DIST(AW$30,economics!$AK$2:$AK$167,economics!$AJ$2:$AJ$167,TRUE))*economics!$AM$2:$AM$167))/(SUMPRODUCT((economics!$AG$2:$AG$167=$B42)*(economics!$D$2:$D$167="process")*economics!$AI$2:$AI$167*(_xlfn.NORM.DIST(AW$3,economics!$AK$2:$AK$167,economics!$AJ$2:$AJ$167,TRUE)-_xlfn.NORM.DIST(AW$30,economics!$AK$2:$AK$167,economics!$AJ$2:$AJ$167,TRUE)))),"")</f>
        <v/>
      </c>
      <c r="AX42">
        <f t="array" ref="AX42">IFERROR((SUMPRODUCT((economics!$AG$2:$AG$167=$B42)*(economics!$D$2:$D$167="process")*economics!$AI$2:$AI$167*(_xlfn.NORM.DIST(AX$3,economics!$AK$2:$AK$167,economics!$AJ$2:$AJ$167,TRUE)-_xlfn.NORM.DIST(AX$30,economics!$AK$2:$AK$167,economics!$AJ$2:$AJ$167,TRUE))*economics!$AM$2:$AM$167))/(SUMPRODUCT((economics!$AG$2:$AG$167=$B42)*(economics!$D$2:$D$167="process")*economics!$AI$2:$AI$167*(_xlfn.NORM.DIST(AX$3,economics!$AK$2:$AK$167,economics!$AJ$2:$AJ$167,TRUE)-_xlfn.NORM.DIST(AX$30,economics!$AK$2:$AK$167,economics!$AJ$2:$AJ$167,TRUE)))),"")</f>
        <v/>
      </c>
      <c r="AY42">
        <f t="array" ref="AY42">IFERROR((SUMPRODUCT((economics!$AG$2:$AG$167=$B42)*(economics!$D$2:$D$167="process")*economics!$AI$2:$AI$167*(_xlfn.NORM.DIST(AY$3,economics!$AK$2:$AK$167,economics!$AJ$2:$AJ$167,TRUE)-_xlfn.NORM.DIST(AY$30,economics!$AK$2:$AK$167,economics!$AJ$2:$AJ$167,TRUE))*economics!$AM$2:$AM$167))/(SUMPRODUCT((economics!$AG$2:$AG$167=$B42)*(economics!$D$2:$D$167="process")*economics!$AI$2:$AI$167*(_xlfn.NORM.DIST(AY$3,economics!$AK$2:$AK$167,economics!$AJ$2:$AJ$167,TRUE)-_xlfn.NORM.DIST(AY$30,economics!$AK$2:$AK$167,economics!$AJ$2:$AJ$167,TRUE)))),"")</f>
        <v/>
      </c>
      <c r="AZ42">
        <f t="array" ref="AZ42">IFERROR((SUMPRODUCT((economics!$AG$2:$AG$167=$B42)*(economics!$D$2:$D$167="process")*economics!$AI$2:$AI$167*(_xlfn.NORM.DIST(AZ$3,economics!$AK$2:$AK$167,economics!$AJ$2:$AJ$167,TRUE)-_xlfn.NORM.DIST(AZ$30,economics!$AK$2:$AK$167,economics!$AJ$2:$AJ$167,TRUE))*economics!$AM$2:$AM$167))/(SUMPRODUCT((economics!$AG$2:$AG$167=$B42)*(economics!$D$2:$D$167="process")*economics!$AI$2:$AI$167*(_xlfn.NORM.DIST(AZ$3,economics!$AK$2:$AK$167,economics!$AJ$2:$AJ$167,TRUE)-_xlfn.NORM.DIST(AZ$30,economics!$AK$2:$AK$167,economics!$AJ$2:$AJ$167,TRUE)))),"")</f>
        <v/>
      </c>
      <c r="BA42">
        <f t="array" ref="BA42">IFERROR((SUMPRODUCT((economics!$AG$2:$AG$167=$B42)*(economics!$D$2:$D$167="process")*economics!$AI$2:$AI$167*(_xlfn.NORM.DIST(BA$3,economics!$AK$2:$AK$167,economics!$AJ$2:$AJ$167,TRUE)-_xlfn.NORM.DIST(BA$30,economics!$AK$2:$AK$167,economics!$AJ$2:$AJ$167,TRUE))*economics!$AM$2:$AM$167))/(SUMPRODUCT((economics!$AG$2:$AG$167=$B42)*(economics!$D$2:$D$167="process")*economics!$AI$2:$AI$167*(_xlfn.NORM.DIST(BA$3,economics!$AK$2:$AK$167,economics!$AJ$2:$AJ$167,TRUE)-_xlfn.NORM.DIST(BA$30,economics!$AK$2:$AK$167,economics!$AJ$2:$AJ$167,TRUE)))),"")</f>
        <v/>
      </c>
      <c r="BB42">
        <f t="array" ref="BB42">IFERROR((SUMPRODUCT((economics!$AG$2:$AG$167=$B42)*(economics!$D$2:$D$167="process")*economics!$AI$2:$AI$167*(_xlfn.NORM.DIST(BB$3,economics!$AK$2:$AK$167,economics!$AJ$2:$AJ$167,TRUE)-_xlfn.NORM.DIST(BB$30,economics!$AK$2:$AK$167,economics!$AJ$2:$AJ$167,TRUE))*economics!$AM$2:$AM$167))/(SUMPRODUCT((economics!$AG$2:$AG$167=$B42)*(economics!$D$2:$D$167="process")*economics!$AI$2:$AI$167*(_xlfn.NORM.DIST(BB$3,economics!$AK$2:$AK$167,economics!$AJ$2:$AJ$167,TRUE)-_xlfn.NORM.DIST(BB$30,economics!$AK$2:$AK$167,economics!$AJ$2:$AJ$167,TRUE)))),"")</f>
        <v/>
      </c>
      <c r="BC42">
        <f t="array" ref="BC42">IFERROR((SUMPRODUCT((economics!$AG$2:$AG$167=$B42)*(economics!$D$2:$D$167="process")*economics!$AI$2:$AI$167*(_xlfn.NORM.DIST(BC$3,economics!$AK$2:$AK$167,economics!$AJ$2:$AJ$167,TRUE)-_xlfn.NORM.DIST(BC$30,economics!$AK$2:$AK$167,economics!$AJ$2:$AJ$167,TRUE))*economics!$AM$2:$AM$167))/(SUMPRODUCT((economics!$AG$2:$AG$167=$B42)*(economics!$D$2:$D$167="process")*economics!$AI$2:$AI$167*(_xlfn.NORM.DIST(BC$3,economics!$AK$2:$AK$167,economics!$AJ$2:$AJ$167,TRUE)-_xlfn.NORM.DIST(BC$30,economics!$AK$2:$AK$167,economics!$AJ$2:$AJ$167,TRUE)))),"")</f>
        <v/>
      </c>
      <c r="BD42">
        <f t="array" ref="BD42">IFERROR((SUMPRODUCT((economics!$AG$2:$AG$167=$B42)*(economics!$D$2:$D$167="process")*economics!$AI$2:$AI$167*(_xlfn.NORM.DIST(BD$3,economics!$AK$2:$AK$167,economics!$AJ$2:$AJ$167,TRUE)-_xlfn.NORM.DIST(BD$30,economics!$AK$2:$AK$167,economics!$AJ$2:$AJ$167,TRUE))*economics!$AM$2:$AM$167))/(SUMPRODUCT((economics!$AG$2:$AG$167=$B42)*(economics!$D$2:$D$167="process")*economics!$AI$2:$AI$167*(_xlfn.NORM.DIST(BD$3,economics!$AK$2:$AK$167,economics!$AJ$2:$AJ$167,TRUE)-_xlfn.NORM.DIST(BD$30,economics!$AK$2:$AK$167,economics!$AJ$2:$AJ$167,TRUE)))),"")</f>
        <v/>
      </c>
      <c r="BE42">
        <f t="array" ref="BE42">IFERROR((SUMPRODUCT((economics!$AG$2:$AG$167=$B42)*(economics!$D$2:$D$167="process")*economics!$AI$2:$AI$167*(_xlfn.NORM.DIST(BE$3,economics!$AK$2:$AK$167,economics!$AJ$2:$AJ$167,TRUE)-_xlfn.NORM.DIST(BE$30,economics!$AK$2:$AK$167,economics!$AJ$2:$AJ$167,TRUE))*economics!$AM$2:$AM$167))/(SUMPRODUCT((economics!$AG$2:$AG$167=$B42)*(economics!$D$2:$D$167="process")*economics!$AI$2:$AI$167*(_xlfn.NORM.DIST(BE$3,economics!$AK$2:$AK$167,economics!$AJ$2:$AJ$167,TRUE)-_xlfn.NORM.DIST(BE$30,economics!$AK$2:$AK$167,economics!$AJ$2:$AJ$167,TRUE)))),"")</f>
        <v/>
      </c>
      <c r="BF42">
        <f t="array" ref="BF42">IFERROR((SUMPRODUCT((economics!$AG$2:$AG$167=$B42)*(economics!$D$2:$D$167="process")*economics!$AI$2:$AI$167*(_xlfn.NORM.DIST(BF$3,economics!$AK$2:$AK$167,economics!$AJ$2:$AJ$167,TRUE)-_xlfn.NORM.DIST(BF$30,economics!$AK$2:$AK$167,economics!$AJ$2:$AJ$167,TRUE))*economics!$AM$2:$AM$167))/(SUMPRODUCT((economics!$AG$2:$AG$167=$B42)*(economics!$D$2:$D$167="process")*economics!$AI$2:$AI$167*(_xlfn.NORM.DIST(BF$3,economics!$AK$2:$AK$167,economics!$AJ$2:$AJ$167,TRUE)-_xlfn.NORM.DIST(BF$30,economics!$AK$2:$AK$167,economics!$AJ$2:$AJ$167,TRUE)))),"")</f>
        <v/>
      </c>
      <c r="BG42">
        <f t="array" ref="BG42">IFERROR((SUMPRODUCT((economics!$AG$2:$AG$167=$B42)*(economics!$D$2:$D$167="process")*economics!$AI$2:$AI$167*(_xlfn.NORM.DIST(BG$3,economics!$AK$2:$AK$167,economics!$AJ$2:$AJ$167,TRUE)-_xlfn.NORM.DIST(BG$30,economics!$AK$2:$AK$167,economics!$AJ$2:$AJ$167,TRUE))*economics!$AM$2:$AM$167))/(SUMPRODUCT((economics!$AG$2:$AG$167=$B42)*(economics!$D$2:$D$167="process")*economics!$AI$2:$AI$167*(_xlfn.NORM.DIST(BG$3,economics!$AK$2:$AK$167,economics!$AJ$2:$AJ$167,TRUE)-_xlfn.NORM.DIST(BG$30,economics!$AK$2:$AK$167,economics!$AJ$2:$AJ$167,TRUE)))),"")</f>
        <v/>
      </c>
      <c r="BH42">
        <f t="array" ref="BH42">IFERROR((SUMPRODUCT((economics!$AG$2:$AG$167=$B42)*(economics!$D$2:$D$167="process")*economics!$AI$2:$AI$167*(_xlfn.NORM.DIST(BH$3,economics!$AK$2:$AK$167,economics!$AJ$2:$AJ$167,TRUE)-_xlfn.NORM.DIST(BH$30,economics!$AK$2:$AK$167,economics!$AJ$2:$AJ$167,TRUE))*economics!$AM$2:$AM$167))/(SUMPRODUCT((economics!$AG$2:$AG$167=$B42)*(economics!$D$2:$D$167="process")*economics!$AI$2:$AI$167*(_xlfn.NORM.DIST(BH$3,economics!$AK$2:$AK$167,economics!$AJ$2:$AJ$167,TRUE)-_xlfn.NORM.DIST(BH$30,economics!$AK$2:$AK$167,economics!$AJ$2:$AJ$167,TRUE)))),"")</f>
        <v/>
      </c>
      <c r="BI42">
        <f t="array" ref="BI42">IFERROR((SUMPRODUCT((economics!$AG$2:$AG$167=$B42)*(economics!$D$2:$D$167="process")*economics!$AI$2:$AI$167*(_xlfn.NORM.DIST(BI$3,economics!$AK$2:$AK$167,economics!$AJ$2:$AJ$167,TRUE)-_xlfn.NORM.DIST(BI$30,economics!$AK$2:$AK$167,economics!$AJ$2:$AJ$167,TRUE))*economics!$AM$2:$AM$167))/(SUMPRODUCT((economics!$AG$2:$AG$167=$B42)*(economics!$D$2:$D$167="process")*economics!$AI$2:$AI$167*(_xlfn.NORM.DIST(BI$3,economics!$AK$2:$AK$167,economics!$AJ$2:$AJ$167,TRUE)-_xlfn.NORM.DIST(BI$30,economics!$AK$2:$AK$167,economics!$AJ$2:$AJ$167,TRUE)))),"")</f>
        <v/>
      </c>
      <c r="BJ42">
        <f t="array" ref="BJ42">IFERROR((SUMPRODUCT((economics!$AG$2:$AG$167=$B42)*(economics!$D$2:$D$167="process")*economics!$AI$2:$AI$167*(_xlfn.NORM.DIST(BJ$3,economics!$AK$2:$AK$167,economics!$AJ$2:$AJ$167,TRUE)-_xlfn.NORM.DIST(BJ$30,economics!$AK$2:$AK$167,economics!$AJ$2:$AJ$167,TRUE))*economics!$AM$2:$AM$167))/(SUMPRODUCT((economics!$AG$2:$AG$167=$B42)*(economics!$D$2:$D$167="process")*economics!$AI$2:$AI$167*(_xlfn.NORM.DIST(BJ$3,economics!$AK$2:$AK$167,economics!$AJ$2:$AJ$167,TRUE)-_xlfn.NORM.DIST(BJ$30,economics!$AK$2:$AK$167,economics!$AJ$2:$AJ$167,TRUE)))),"")</f>
        <v/>
      </c>
      <c r="BK42">
        <f t="array" ref="BK42">IFERROR((SUMPRODUCT((economics!$AG$2:$AG$167=$B42)*(economics!$D$2:$D$167="process")*economics!$AI$2:$AI$167*(_xlfn.NORM.DIST(BK$3,economics!$AK$2:$AK$167,economics!$AJ$2:$AJ$167,TRUE)-_xlfn.NORM.DIST(BK$30,economics!$AK$2:$AK$167,economics!$AJ$2:$AJ$167,TRUE))*economics!$AM$2:$AM$167))/(SUMPRODUCT((economics!$AG$2:$AG$167=$B42)*(economics!$D$2:$D$167="process")*economics!$AI$2:$AI$167*(_xlfn.NORM.DIST(BK$3,economics!$AK$2:$AK$167,economics!$AJ$2:$AJ$167,TRUE)-_xlfn.NORM.DIST(BK$30,economics!$AK$2:$AK$167,economics!$AJ$2:$AJ$167,TRUE)))),"")</f>
        <v/>
      </c>
      <c r="BL42">
        <f t="array" ref="BL42">IFERROR((SUMPRODUCT((economics!$AG$2:$AG$167=$B42)*(economics!$D$2:$D$167="process")*economics!$AI$2:$AI$167*(_xlfn.NORM.DIST(BL$3,economics!$AK$2:$AK$167,economics!$AJ$2:$AJ$167,TRUE)-_xlfn.NORM.DIST(BL$30,economics!$AK$2:$AK$167,economics!$AJ$2:$AJ$167,TRUE))*economics!$AM$2:$AM$167))/(SUMPRODUCT((economics!$AG$2:$AG$167=$B42)*(economics!$D$2:$D$167="process")*economics!$AI$2:$AI$167*(_xlfn.NORM.DIST(BL$3,economics!$AK$2:$AK$167,economics!$AJ$2:$AJ$167,TRUE)-_xlfn.NORM.DIST(BL$30,economics!$AK$2:$AK$167,economics!$AJ$2:$AJ$167,TRUE)))),"")</f>
        <v/>
      </c>
      <c r="BM42">
        <f t="array" ref="BM42">IFERROR((SUMPRODUCT((economics!$AG$2:$AG$167=$B42)*(economics!$D$2:$D$167="process")*economics!$AI$2:$AI$167*(_xlfn.NORM.DIST(BM$3,economics!$AK$2:$AK$167,economics!$AJ$2:$AJ$167,TRUE)-_xlfn.NORM.DIST(BM$30,economics!$AK$2:$AK$167,economics!$AJ$2:$AJ$167,TRUE))*economics!$AM$2:$AM$167))/(SUMPRODUCT((economics!$AG$2:$AG$167=$B42)*(economics!$D$2:$D$167="process")*economics!$AI$2:$AI$167*(_xlfn.NORM.DIST(BM$3,economics!$AK$2:$AK$167,economics!$AJ$2:$AJ$167,TRUE)-_xlfn.NORM.DIST(BM$30,economics!$AK$2:$AK$167,economics!$AJ$2:$AJ$167,TRUE)))),"")</f>
        <v/>
      </c>
      <c r="BN42">
        <f t="array" ref="BN42">IFERROR((SUMPRODUCT((economics!$AG$2:$AG$167=$B42)*(economics!$D$2:$D$167="process")*economics!$AI$2:$AI$167*(_xlfn.NORM.DIST(BN$3,economics!$AK$2:$AK$167,economics!$AJ$2:$AJ$167,TRUE)-_xlfn.NORM.DIST(BN$30,economics!$AK$2:$AK$167,economics!$AJ$2:$AJ$167,TRUE))*economics!$AM$2:$AM$167))/(SUMPRODUCT((economics!$AG$2:$AG$167=$B42)*(economics!$D$2:$D$167="process")*economics!$AI$2:$AI$167*(_xlfn.NORM.DIST(BN$3,economics!$AK$2:$AK$167,economics!$AJ$2:$AJ$167,TRUE)-_xlfn.NORM.DIST(BN$30,economics!$AK$2:$AK$167,economics!$AJ$2:$AJ$167,TRUE)))),"")</f>
        <v/>
      </c>
      <c r="BO42">
        <f t="array" ref="BO42">IFERROR((SUMPRODUCT((economics!$AG$2:$AG$167=$B42)*(economics!$D$2:$D$167="process")*economics!$AI$2:$AI$167*(_xlfn.NORM.DIST(BO$3,economics!$AK$2:$AK$167,economics!$AJ$2:$AJ$167,TRUE)-_xlfn.NORM.DIST(BO$30,economics!$AK$2:$AK$167,economics!$AJ$2:$AJ$167,TRUE))*economics!$AM$2:$AM$167))/(SUMPRODUCT((economics!$AG$2:$AG$167=$B42)*(economics!$D$2:$D$167="process")*economics!$AI$2:$AI$167*(_xlfn.NORM.DIST(BO$3,economics!$AK$2:$AK$167,economics!$AJ$2:$AJ$167,TRUE)-_xlfn.NORM.DIST(BO$30,economics!$AK$2:$AK$167,economics!$AJ$2:$AJ$167,TRUE)))),"")</f>
        <v/>
      </c>
      <c r="BP42">
        <f t="array" ref="BP42">IFERROR((SUMPRODUCT((economics!$AG$2:$AG$167=$B42)*(economics!$D$2:$D$167="process")*economics!$AI$2:$AI$167*(_xlfn.NORM.DIST(BP$3,economics!$AK$2:$AK$167,economics!$AJ$2:$AJ$167,TRUE)-_xlfn.NORM.DIST(BP$30,economics!$AK$2:$AK$167,economics!$AJ$2:$AJ$167,TRUE))*economics!$AM$2:$AM$167))/(SUMPRODUCT((economics!$AG$2:$AG$167=$B42)*(economics!$D$2:$D$167="process")*economics!$AI$2:$AI$167*(_xlfn.NORM.DIST(BP$3,economics!$AK$2:$AK$167,economics!$AJ$2:$AJ$167,TRUE)-_xlfn.NORM.DIST(BP$30,economics!$AK$2:$AK$167,economics!$AJ$2:$AJ$167,TRUE)))),"")</f>
        <v/>
      </c>
      <c r="BQ42">
        <f t="array" ref="BQ42">IFERROR((SUMPRODUCT((economics!$AG$2:$AG$167=$B42)*(economics!$D$2:$D$167="process")*economics!$AI$2:$AI$167*(_xlfn.NORM.DIST(BQ$3,economics!$AK$2:$AK$167,economics!$AJ$2:$AJ$167,TRUE)-_xlfn.NORM.DIST(BQ$30,economics!$AK$2:$AK$167,economics!$AJ$2:$AJ$167,TRUE))*economics!$AM$2:$AM$167))/(SUMPRODUCT((economics!$AG$2:$AG$167=$B42)*(economics!$D$2:$D$167="process")*economics!$AI$2:$AI$167*(_xlfn.NORM.DIST(BQ$3,economics!$AK$2:$AK$167,economics!$AJ$2:$AJ$167,TRUE)-_xlfn.NORM.DIST(BQ$30,economics!$AK$2:$AK$167,economics!$AJ$2:$AJ$167,TRUE)))),"")</f>
        <v/>
      </c>
      <c r="BR42">
        <f t="array" ref="BR42">IFERROR((SUMPRODUCT((economics!$AG$2:$AG$167=$B42)*(economics!$D$2:$D$167="process")*economics!$AI$2:$AI$167*(_xlfn.NORM.DIST(BR$3,economics!$AK$2:$AK$167,economics!$AJ$2:$AJ$167,TRUE)-_xlfn.NORM.DIST(BR$30,economics!$AK$2:$AK$167,economics!$AJ$2:$AJ$167,TRUE))*economics!$AM$2:$AM$167))/(SUMPRODUCT((economics!$AG$2:$AG$167=$B42)*(economics!$D$2:$D$167="process")*economics!$AI$2:$AI$167*(_xlfn.NORM.DIST(BR$3,economics!$AK$2:$AK$167,economics!$AJ$2:$AJ$167,TRUE)-_xlfn.NORM.DIST(BR$30,economics!$AK$2:$AK$167,economics!$AJ$2:$AJ$167,TRUE)))),"")</f>
        <v/>
      </c>
      <c r="BS42">
        <f t="array" ref="BS42">IFERROR((SUMPRODUCT((economics!$AG$2:$AG$167=$B42)*(economics!$D$2:$D$167="process")*economics!$AI$2:$AI$167*(_xlfn.NORM.DIST(BS$3,economics!$AK$2:$AK$167,economics!$AJ$2:$AJ$167,TRUE)-_xlfn.NORM.DIST(BS$30,economics!$AK$2:$AK$167,economics!$AJ$2:$AJ$167,TRUE))*economics!$AM$2:$AM$167))/(SUMPRODUCT((economics!$AG$2:$AG$167=$B42)*(economics!$D$2:$D$167="process")*economics!$AI$2:$AI$167*(_xlfn.NORM.DIST(BS$3,economics!$AK$2:$AK$167,economics!$AJ$2:$AJ$167,TRUE)-_xlfn.NORM.DIST(BS$30,economics!$AK$2:$AK$167,economics!$AJ$2:$AJ$167,TRUE)))),"")</f>
        <v/>
      </c>
      <c r="BT42">
        <f t="array" ref="BT42">IFERROR((SUMPRODUCT((economics!$AG$2:$AG$167=$B42)*(economics!$D$2:$D$167="process")*economics!$AI$2:$AI$167*(_xlfn.NORM.DIST(BT$3,economics!$AK$2:$AK$167,economics!$AJ$2:$AJ$167,TRUE)-_xlfn.NORM.DIST(BT$30,economics!$AK$2:$AK$167,economics!$AJ$2:$AJ$167,TRUE))*economics!$AM$2:$AM$167))/(SUMPRODUCT((economics!$AG$2:$AG$167=$B42)*(economics!$D$2:$D$167="process")*economics!$AI$2:$AI$167*(_xlfn.NORM.DIST(BT$3,economics!$AK$2:$AK$167,economics!$AJ$2:$AJ$167,TRUE)-_xlfn.NORM.DIST(BT$30,economics!$AK$2:$AK$167,economics!$AJ$2:$AJ$167,TRUE)))),"")</f>
        <v/>
      </c>
      <c r="BU42">
        <f t="array" ref="BU42">IFERROR((SUMPRODUCT((economics!$AG$2:$AG$167=$B42)*(economics!$D$2:$D$167="process")*economics!$AI$2:$AI$167*(_xlfn.NORM.DIST(BU$3,economics!$AK$2:$AK$167,economics!$AJ$2:$AJ$167,TRUE)-_xlfn.NORM.DIST(BU$30,economics!$AK$2:$AK$167,economics!$AJ$2:$AJ$167,TRUE))*economics!$AM$2:$AM$167))/(SUMPRODUCT((economics!$AG$2:$AG$167=$B42)*(economics!$D$2:$D$167="process")*economics!$AI$2:$AI$167*(_xlfn.NORM.DIST(BU$3,economics!$AK$2:$AK$167,economics!$AJ$2:$AJ$167,TRUE)-_xlfn.NORM.DIST(BU$30,economics!$AK$2:$AK$167,economics!$AJ$2:$AJ$167,TRUE)))),"")</f>
        <v/>
      </c>
      <c r="BV42">
        <f t="array" ref="BV42">IFERROR((SUMPRODUCT((economics!$AG$2:$AG$167=$B42)*(economics!$D$2:$D$167="process")*economics!$AI$2:$AI$167*(_xlfn.NORM.DIST(BV$3,economics!$AK$2:$AK$167,economics!$AJ$2:$AJ$167,TRUE)-_xlfn.NORM.DIST(BV$30,economics!$AK$2:$AK$167,economics!$AJ$2:$AJ$167,TRUE))*economics!$AM$2:$AM$167))/(SUMPRODUCT((economics!$AG$2:$AG$167=$B42)*(economics!$D$2:$D$167="process")*economics!$AI$2:$AI$167*(_xlfn.NORM.DIST(BV$3,economics!$AK$2:$AK$167,economics!$AJ$2:$AJ$167,TRUE)-_xlfn.NORM.DIST(BV$30,economics!$AK$2:$AK$167,economics!$AJ$2:$AJ$167,TRUE)))),"")</f>
        <v/>
      </c>
      <c r="BW42">
        <f t="array" ref="BW42">IFERROR((SUMPRODUCT((economics!$AG$2:$AG$167=$B42)*(economics!$D$2:$D$167="process")*economics!$AI$2:$AI$167*(_xlfn.NORM.DIST(BW$3,economics!$AK$2:$AK$167,economics!$AJ$2:$AJ$167,TRUE)-_xlfn.NORM.DIST(BW$30,economics!$AK$2:$AK$167,economics!$AJ$2:$AJ$167,TRUE))*economics!$AM$2:$AM$167))/(SUMPRODUCT((economics!$AG$2:$AG$167=$B42)*(economics!$D$2:$D$167="process")*economics!$AI$2:$AI$167*(_xlfn.NORM.DIST(BW$3,economics!$AK$2:$AK$167,economics!$AJ$2:$AJ$167,TRUE)-_xlfn.NORM.DIST(BW$30,economics!$AK$2:$AK$167,economics!$AJ$2:$AJ$167,TRUE)))),"")</f>
        <v/>
      </c>
      <c r="BX42">
        <f t="array" ref="BX42">IFERROR((SUMPRODUCT((economics!$AG$2:$AG$167=$B42)*(economics!$D$2:$D$167="process")*economics!$AI$2:$AI$167*(_xlfn.NORM.DIST(BX$3,economics!$AK$2:$AK$167,economics!$AJ$2:$AJ$167,TRUE)-_xlfn.NORM.DIST(BX$30,economics!$AK$2:$AK$167,economics!$AJ$2:$AJ$167,TRUE))*economics!$AM$2:$AM$167))/(SUMPRODUCT((economics!$AG$2:$AG$167=$B42)*(economics!$D$2:$D$167="process")*economics!$AI$2:$AI$167*(_xlfn.NORM.DIST(BX$3,economics!$AK$2:$AK$167,economics!$AJ$2:$AJ$167,TRUE)-_xlfn.NORM.DIST(BX$30,economics!$AK$2:$AK$167,economics!$AJ$2:$AJ$167,TRUE)))),"")</f>
        <v/>
      </c>
      <c r="BY42">
        <f t="array" ref="BY42">IFERROR((SUMPRODUCT((economics!$AG$2:$AG$167=$B42)*(economics!$D$2:$D$167="process")*economics!$AI$2:$AI$167*(_xlfn.NORM.DIST(BY$3,economics!$AK$2:$AK$167,economics!$AJ$2:$AJ$167,TRUE)-_xlfn.NORM.DIST(BY$30,economics!$AK$2:$AK$167,economics!$AJ$2:$AJ$167,TRUE))*economics!$AM$2:$AM$167))/(SUMPRODUCT((economics!$AG$2:$AG$167=$B42)*(economics!$D$2:$D$167="process")*economics!$AI$2:$AI$167*(_xlfn.NORM.DIST(BY$3,economics!$AK$2:$AK$167,economics!$AJ$2:$AJ$167,TRUE)-_xlfn.NORM.DIST(BY$30,economics!$AK$2:$AK$167,economics!$AJ$2:$AJ$167,TRUE)))),"")</f>
        <v/>
      </c>
      <c r="BZ42">
        <f t="array" ref="BZ42">IFERROR((SUMPRODUCT((economics!$AG$2:$AG$167=$B42)*(economics!$D$2:$D$167="process")*economics!$AI$2:$AI$167*(_xlfn.NORM.DIST(BZ$3,economics!$AK$2:$AK$167,economics!$AJ$2:$AJ$167,TRUE)-_xlfn.NORM.DIST(BZ$30,economics!$AK$2:$AK$167,economics!$AJ$2:$AJ$167,TRUE))*economics!$AM$2:$AM$167))/(SUMPRODUCT((economics!$AG$2:$AG$167=$B42)*(economics!$D$2:$D$167="process")*economics!$AI$2:$AI$167*(_xlfn.NORM.DIST(BZ$3,economics!$AK$2:$AK$167,economics!$AJ$2:$AJ$167,TRUE)-_xlfn.NORM.DIST(BZ$30,economics!$AK$2:$AK$167,economics!$AJ$2:$AJ$167,TRUE)))),"")</f>
        <v/>
      </c>
      <c r="CA42">
        <f t="array" ref="CA42">IFERROR((SUMPRODUCT((economics!$AG$2:$AG$167=$B42)*(economics!$D$2:$D$167="process")*economics!$AI$2:$AI$167*(_xlfn.NORM.DIST(CA$3,economics!$AK$2:$AK$167,economics!$AJ$2:$AJ$167,TRUE)-_xlfn.NORM.DIST(CA$30,economics!$AK$2:$AK$167,economics!$AJ$2:$AJ$167,TRUE))*economics!$AM$2:$AM$167))/(SUMPRODUCT((economics!$AG$2:$AG$167=$B42)*(economics!$D$2:$D$167="process")*economics!$AI$2:$AI$167*(_xlfn.NORM.DIST(CA$3,economics!$AK$2:$AK$167,economics!$AJ$2:$AJ$167,TRUE)-_xlfn.NORM.DIST(CA$30,economics!$AK$2:$AK$167,economics!$AJ$2:$AJ$167,TRUE)))),"")</f>
        <v/>
      </c>
      <c r="CB42">
        <f t="array" ref="CB42">IFERROR((SUMPRODUCT((economics!$AG$2:$AG$167=$B42)*(economics!$D$2:$D$167="process")*economics!$AI$2:$AI$167*(_xlfn.NORM.DIST(CB$3,economics!$AK$2:$AK$167,economics!$AJ$2:$AJ$167,TRUE)-_xlfn.NORM.DIST(CB$30,economics!$AK$2:$AK$167,economics!$AJ$2:$AJ$167,TRUE))*economics!$AM$2:$AM$167))/(SUMPRODUCT((economics!$AG$2:$AG$167=$B42)*(economics!$D$2:$D$167="process")*economics!$AI$2:$AI$167*(_xlfn.NORM.DIST(CB$3,economics!$AK$2:$AK$167,economics!$AJ$2:$AJ$167,TRUE)-_xlfn.NORM.DIST(CB$30,economics!$AK$2:$AK$167,economics!$AJ$2:$AJ$167,TRUE)))),"")</f>
        <v/>
      </c>
      <c r="CC42">
        <f t="array" ref="CC42">IFERROR((SUMPRODUCT((economics!$AG$2:$AG$167=$B42)*(economics!$D$2:$D$167="process")*economics!$AI$2:$AI$167*(_xlfn.NORM.DIST(CC$3,economics!$AK$2:$AK$167,economics!$AJ$2:$AJ$167,TRUE)-_xlfn.NORM.DIST(CC$30,economics!$AK$2:$AK$167,economics!$AJ$2:$AJ$167,TRUE))*economics!$AM$2:$AM$167))/(SUMPRODUCT((economics!$AG$2:$AG$167=$B42)*(economics!$D$2:$D$167="process")*economics!$AI$2:$AI$167*(_xlfn.NORM.DIST(CC$3,economics!$AK$2:$AK$167,economics!$AJ$2:$AJ$167,TRUE)-_xlfn.NORM.DIST(CC$30,economics!$AK$2:$AK$167,economics!$AJ$2:$AJ$167,TRUE)))),"")</f>
        <v/>
      </c>
      <c r="CD42">
        <f t="array" ref="CD42">IFERROR((SUMPRODUCT((economics!$AG$2:$AG$167=$B42)*(economics!$D$2:$D$167="process")*economics!$AI$2:$AI$167*(_xlfn.NORM.DIST(CD$3,economics!$AK$2:$AK$167,economics!$AJ$2:$AJ$167,TRUE)-_xlfn.NORM.DIST(CD$30,economics!$AK$2:$AK$167,economics!$AJ$2:$AJ$167,TRUE))*economics!$AM$2:$AM$167))/(SUMPRODUCT((economics!$AG$2:$AG$167=$B42)*(economics!$D$2:$D$167="process")*economics!$AI$2:$AI$167*(_xlfn.NORM.DIST(CD$3,economics!$AK$2:$AK$167,economics!$AJ$2:$AJ$167,TRUE)-_xlfn.NORM.DIST(CD$30,economics!$AK$2:$AK$167,economics!$AJ$2:$AJ$167,TRUE)))),"")</f>
        <v/>
      </c>
      <c r="CE42">
        <f t="array" ref="CE42">IFERROR((SUMPRODUCT((economics!$AG$2:$AG$167=$B42)*(economics!$D$2:$D$167="process")*economics!$AI$2:$AI$167*(_xlfn.NORM.DIST(CE$3,economics!$AK$2:$AK$167,economics!$AJ$2:$AJ$167,TRUE)-_xlfn.NORM.DIST(CE$30,economics!$AK$2:$AK$167,economics!$AJ$2:$AJ$167,TRUE))*economics!$AM$2:$AM$167))/(SUMPRODUCT((economics!$AG$2:$AG$167=$B42)*(economics!$D$2:$D$167="process")*economics!$AI$2:$AI$167*(_xlfn.NORM.DIST(CE$3,economics!$AK$2:$AK$167,economics!$AJ$2:$AJ$167,TRUE)-_xlfn.NORM.DIST(CE$30,economics!$AK$2:$AK$167,economics!$AJ$2:$AJ$167,TRUE)))),"")</f>
        <v/>
      </c>
      <c r="CF42">
        <f t="array" ref="CF42">IFERROR((SUMPRODUCT((economics!$AG$2:$AG$167=$B42)*(economics!$D$2:$D$167="process")*economics!$AI$2:$AI$167*(_xlfn.NORM.DIST(CF$3,economics!$AK$2:$AK$167,economics!$AJ$2:$AJ$167,TRUE)-_xlfn.NORM.DIST(CF$30,economics!$AK$2:$AK$167,economics!$AJ$2:$AJ$167,TRUE))*economics!$AM$2:$AM$167))/(SUMPRODUCT((economics!$AG$2:$AG$167=$B42)*(economics!$D$2:$D$167="process")*economics!$AI$2:$AI$167*(_xlfn.NORM.DIST(CF$3,economics!$AK$2:$AK$167,economics!$AJ$2:$AJ$167,TRUE)-_xlfn.NORM.DIST(CF$30,economics!$AK$2:$AK$167,economics!$AJ$2:$AJ$167,TRUE)))),"")</f>
        <v/>
      </c>
      <c r="CG42">
        <f t="array" ref="CG42">IFERROR((SUMPRODUCT((economics!$AG$2:$AG$167=$B42)*(economics!$D$2:$D$167="process")*economics!$AI$2:$AI$167*(_xlfn.NORM.DIST(CG$3,economics!$AK$2:$AK$167,economics!$AJ$2:$AJ$167,TRUE)-_xlfn.NORM.DIST(CG$30,economics!$AK$2:$AK$167,economics!$AJ$2:$AJ$167,TRUE))*economics!$AM$2:$AM$167))/(SUMPRODUCT((economics!$AG$2:$AG$167=$B42)*(economics!$D$2:$D$167="process")*economics!$AI$2:$AI$167*(_xlfn.NORM.DIST(CG$3,economics!$AK$2:$AK$167,economics!$AJ$2:$AJ$167,TRUE)-_xlfn.NORM.DIST(CG$30,economics!$AK$2:$AK$167,economics!$AJ$2:$AJ$167,TRUE)))),"")</f>
        <v/>
      </c>
      <c r="CH42">
        <f t="array" ref="CH42">IFERROR((SUMPRODUCT((economics!$AG$2:$AG$167=$B42)*(economics!$D$2:$D$167="process")*economics!$AI$2:$AI$167*(_xlfn.NORM.DIST(CH$3,economics!$AK$2:$AK$167,economics!$AJ$2:$AJ$167,TRUE)-_xlfn.NORM.DIST(CH$30,economics!$AK$2:$AK$167,economics!$AJ$2:$AJ$167,TRUE))*economics!$AM$2:$AM$167))/(SUMPRODUCT((economics!$AG$2:$AG$167=$B42)*(economics!$D$2:$D$167="process")*economics!$AI$2:$AI$167*(_xlfn.NORM.DIST(CH$3,economics!$AK$2:$AK$167,economics!$AJ$2:$AJ$167,TRUE)-_xlfn.NORM.DIST(CH$30,economics!$AK$2:$AK$167,economics!$AJ$2:$AJ$167,TRUE)))),"")</f>
        <v/>
      </c>
    </row>
    <row r="43">
      <c r="A43">
        <f>A14</f>
        <v/>
      </c>
      <c r="B43">
        <f>B14</f>
        <v/>
      </c>
      <c r="E43">
        <f t="array" ref="E43">IFERROR((SUMPRODUCT((economics!$AG$2:$AG$167=$B43)*(economics!$D$2:$D$167="process")*economics!$AI$2:$AI$167*(_xlfn.NORM.DIST(E$3,economics!$AK$2:$AK$167,economics!$AJ$2:$AJ$167,TRUE)-_xlfn.NORM.DIST(E$30,economics!$AK$2:$AK$167,economics!$AJ$2:$AJ$167,TRUE))*economics!$AM$2:$AM$167))/(SUMPRODUCT((economics!$AG$2:$AG$167=$B43)*(economics!$D$2:$D$167="process")*economics!$AI$2:$AI$167*(_xlfn.NORM.DIST(E$3,economics!$AK$2:$AK$167,economics!$AJ$2:$AJ$167,TRUE)-_xlfn.NORM.DIST(E$30,economics!$AK$2:$AK$167,economics!$AJ$2:$AJ$167,TRUE)))),"")</f>
        <v/>
      </c>
      <c r="F43">
        <f t="array" ref="F43">IFERROR((SUMPRODUCT((economics!$AG$2:$AG$167=$B43)*(economics!$D$2:$D$167="process")*economics!$AI$2:$AI$167*(_xlfn.NORM.DIST(F$3,economics!$AK$2:$AK$167,economics!$AJ$2:$AJ$167,TRUE)-_xlfn.NORM.DIST(F$30,economics!$AK$2:$AK$167,economics!$AJ$2:$AJ$167,TRUE))*economics!$AM$2:$AM$167))/(SUMPRODUCT((economics!$AG$2:$AG$167=$B43)*(economics!$D$2:$D$167="process")*economics!$AI$2:$AI$167*(_xlfn.NORM.DIST(F$3,economics!$AK$2:$AK$167,economics!$AJ$2:$AJ$167,TRUE)-_xlfn.NORM.DIST(F$30,economics!$AK$2:$AK$167,economics!$AJ$2:$AJ$167,TRUE)))),"")</f>
        <v/>
      </c>
      <c r="G43">
        <f t="array" ref="G43">IFERROR((SUMPRODUCT((economics!$AG$2:$AG$167=$B43)*(economics!$D$2:$D$167="process")*economics!$AI$2:$AI$167*(_xlfn.NORM.DIST(G$3,economics!$AK$2:$AK$167,economics!$AJ$2:$AJ$167,TRUE)-_xlfn.NORM.DIST(G$30,economics!$AK$2:$AK$167,economics!$AJ$2:$AJ$167,TRUE))*economics!$AM$2:$AM$167))/(SUMPRODUCT((economics!$AG$2:$AG$167=$B43)*(economics!$D$2:$D$167="process")*economics!$AI$2:$AI$167*(_xlfn.NORM.DIST(G$3,economics!$AK$2:$AK$167,economics!$AJ$2:$AJ$167,TRUE)-_xlfn.NORM.DIST(G$30,economics!$AK$2:$AK$167,economics!$AJ$2:$AJ$167,TRUE)))),"")</f>
        <v/>
      </c>
      <c r="H43">
        <f t="array" ref="H43">IFERROR((SUMPRODUCT((economics!$AG$2:$AG$167=$B43)*(economics!$D$2:$D$167="process")*economics!$AI$2:$AI$167*(_xlfn.NORM.DIST(H$3,economics!$AK$2:$AK$167,economics!$AJ$2:$AJ$167,TRUE)-_xlfn.NORM.DIST(H$30,economics!$AK$2:$AK$167,economics!$AJ$2:$AJ$167,TRUE))*economics!$AM$2:$AM$167))/(SUMPRODUCT((economics!$AG$2:$AG$167=$B43)*(economics!$D$2:$D$167="process")*economics!$AI$2:$AI$167*(_xlfn.NORM.DIST(H$3,economics!$AK$2:$AK$167,economics!$AJ$2:$AJ$167,TRUE)-_xlfn.NORM.DIST(H$30,economics!$AK$2:$AK$167,economics!$AJ$2:$AJ$167,TRUE)))),"")</f>
        <v/>
      </c>
      <c r="I43">
        <f t="array" ref="I43">IFERROR((SUMPRODUCT((economics!$AG$2:$AG$167=$B43)*(economics!$D$2:$D$167="process")*economics!$AI$2:$AI$167*(_xlfn.NORM.DIST(I$3,economics!$AK$2:$AK$167,economics!$AJ$2:$AJ$167,TRUE)-_xlfn.NORM.DIST(I$30,economics!$AK$2:$AK$167,economics!$AJ$2:$AJ$167,TRUE))*economics!$AM$2:$AM$167))/(SUMPRODUCT((economics!$AG$2:$AG$167=$B43)*(economics!$D$2:$D$167="process")*economics!$AI$2:$AI$167*(_xlfn.NORM.DIST(I$3,economics!$AK$2:$AK$167,economics!$AJ$2:$AJ$167,TRUE)-_xlfn.NORM.DIST(I$30,economics!$AK$2:$AK$167,economics!$AJ$2:$AJ$167,TRUE)))),"")</f>
        <v/>
      </c>
      <c r="J43">
        <f t="array" ref="J43">IFERROR((SUMPRODUCT((economics!$AG$2:$AG$167=$B43)*(economics!$D$2:$D$167="process")*economics!$AI$2:$AI$167*(_xlfn.NORM.DIST(J$3,economics!$AK$2:$AK$167,economics!$AJ$2:$AJ$167,TRUE)-_xlfn.NORM.DIST(J$30,economics!$AK$2:$AK$167,economics!$AJ$2:$AJ$167,TRUE))*economics!$AM$2:$AM$167))/(SUMPRODUCT((economics!$AG$2:$AG$167=$B43)*(economics!$D$2:$D$167="process")*economics!$AI$2:$AI$167*(_xlfn.NORM.DIST(J$3,economics!$AK$2:$AK$167,economics!$AJ$2:$AJ$167,TRUE)-_xlfn.NORM.DIST(J$30,economics!$AK$2:$AK$167,economics!$AJ$2:$AJ$167,TRUE)))),"")</f>
        <v/>
      </c>
      <c r="K43">
        <f t="array" ref="K43">IFERROR((SUMPRODUCT((economics!$AG$2:$AG$167=$B43)*(economics!$D$2:$D$167="process")*economics!$AI$2:$AI$167*(_xlfn.NORM.DIST(K$3,economics!$AK$2:$AK$167,economics!$AJ$2:$AJ$167,TRUE)-_xlfn.NORM.DIST(K$30,economics!$AK$2:$AK$167,economics!$AJ$2:$AJ$167,TRUE))*economics!$AM$2:$AM$167))/(SUMPRODUCT((economics!$AG$2:$AG$167=$B43)*(economics!$D$2:$D$167="process")*economics!$AI$2:$AI$167*(_xlfn.NORM.DIST(K$3,economics!$AK$2:$AK$167,economics!$AJ$2:$AJ$167,TRUE)-_xlfn.NORM.DIST(K$30,economics!$AK$2:$AK$167,economics!$AJ$2:$AJ$167,TRUE)))),"")</f>
        <v/>
      </c>
      <c r="L43">
        <f t="array" ref="L43">IFERROR((SUMPRODUCT((economics!$AG$2:$AG$167=$B43)*(economics!$D$2:$D$167="process")*economics!$AI$2:$AI$167*(_xlfn.NORM.DIST(L$3,economics!$AK$2:$AK$167,economics!$AJ$2:$AJ$167,TRUE)-_xlfn.NORM.DIST(L$30,economics!$AK$2:$AK$167,economics!$AJ$2:$AJ$167,TRUE))*economics!$AM$2:$AM$167))/(SUMPRODUCT((economics!$AG$2:$AG$167=$B43)*(economics!$D$2:$D$167="process")*economics!$AI$2:$AI$167*(_xlfn.NORM.DIST(L$3,economics!$AK$2:$AK$167,economics!$AJ$2:$AJ$167,TRUE)-_xlfn.NORM.DIST(L$30,economics!$AK$2:$AK$167,economics!$AJ$2:$AJ$167,TRUE)))),"")</f>
        <v/>
      </c>
      <c r="M43">
        <f t="array" ref="M43">IFERROR((SUMPRODUCT((economics!$AG$2:$AG$167=$B43)*(economics!$D$2:$D$167="process")*economics!$AI$2:$AI$167*(_xlfn.NORM.DIST(M$3,economics!$AK$2:$AK$167,economics!$AJ$2:$AJ$167,TRUE)-_xlfn.NORM.DIST(M$30,economics!$AK$2:$AK$167,economics!$AJ$2:$AJ$167,TRUE))*economics!$AM$2:$AM$167))/(SUMPRODUCT((economics!$AG$2:$AG$167=$B43)*(economics!$D$2:$D$167="process")*economics!$AI$2:$AI$167*(_xlfn.NORM.DIST(M$3,economics!$AK$2:$AK$167,economics!$AJ$2:$AJ$167,TRUE)-_xlfn.NORM.DIST(M$30,economics!$AK$2:$AK$167,economics!$AJ$2:$AJ$167,TRUE)))),"")</f>
        <v/>
      </c>
      <c r="N43">
        <f t="array" ref="N43">IFERROR((SUMPRODUCT((economics!$AG$2:$AG$167=$B43)*(economics!$D$2:$D$167="process")*economics!$AI$2:$AI$167*(_xlfn.NORM.DIST(N$3,economics!$AK$2:$AK$167,economics!$AJ$2:$AJ$167,TRUE)-_xlfn.NORM.DIST(N$30,economics!$AK$2:$AK$167,economics!$AJ$2:$AJ$167,TRUE))*economics!$AM$2:$AM$167))/(SUMPRODUCT((economics!$AG$2:$AG$167=$B43)*(economics!$D$2:$D$167="process")*economics!$AI$2:$AI$167*(_xlfn.NORM.DIST(N$3,economics!$AK$2:$AK$167,economics!$AJ$2:$AJ$167,TRUE)-_xlfn.NORM.DIST(N$30,economics!$AK$2:$AK$167,economics!$AJ$2:$AJ$167,TRUE)))),"")</f>
        <v/>
      </c>
      <c r="O43">
        <f t="array" ref="O43">IFERROR((SUMPRODUCT((economics!$AG$2:$AG$167=$B43)*(economics!$D$2:$D$167="process")*economics!$AI$2:$AI$167*(_xlfn.NORM.DIST(O$3,economics!$AK$2:$AK$167,economics!$AJ$2:$AJ$167,TRUE)-_xlfn.NORM.DIST(O$30,economics!$AK$2:$AK$167,economics!$AJ$2:$AJ$167,TRUE))*economics!$AM$2:$AM$167))/(SUMPRODUCT((economics!$AG$2:$AG$167=$B43)*(economics!$D$2:$D$167="process")*economics!$AI$2:$AI$167*(_xlfn.NORM.DIST(O$3,economics!$AK$2:$AK$167,economics!$AJ$2:$AJ$167,TRUE)-_xlfn.NORM.DIST(O$30,economics!$AK$2:$AK$167,economics!$AJ$2:$AJ$167,TRUE)))),"")</f>
        <v/>
      </c>
      <c r="P43">
        <f t="array" ref="P43">IFERROR((SUMPRODUCT((economics!$AG$2:$AG$167=$B43)*(economics!$D$2:$D$167="process")*economics!$AI$2:$AI$167*(_xlfn.NORM.DIST(P$3,economics!$AK$2:$AK$167,economics!$AJ$2:$AJ$167,TRUE)-_xlfn.NORM.DIST(P$30,economics!$AK$2:$AK$167,economics!$AJ$2:$AJ$167,TRUE))*economics!$AM$2:$AM$167))/(SUMPRODUCT((economics!$AG$2:$AG$167=$B43)*(economics!$D$2:$D$167="process")*economics!$AI$2:$AI$167*(_xlfn.NORM.DIST(P$3,economics!$AK$2:$AK$167,economics!$AJ$2:$AJ$167,TRUE)-_xlfn.NORM.DIST(P$30,economics!$AK$2:$AK$167,economics!$AJ$2:$AJ$167,TRUE)))),"")</f>
        <v/>
      </c>
      <c r="Q43">
        <f t="array" ref="Q43">IFERROR((SUMPRODUCT((economics!$AG$2:$AG$167=$B43)*(economics!$D$2:$D$167="process")*economics!$AI$2:$AI$167*(_xlfn.NORM.DIST(Q$3,economics!$AK$2:$AK$167,economics!$AJ$2:$AJ$167,TRUE)-_xlfn.NORM.DIST(Q$30,economics!$AK$2:$AK$167,economics!$AJ$2:$AJ$167,TRUE))*economics!$AM$2:$AM$167))/(SUMPRODUCT((economics!$AG$2:$AG$167=$B43)*(economics!$D$2:$D$167="process")*economics!$AI$2:$AI$167*(_xlfn.NORM.DIST(Q$3,economics!$AK$2:$AK$167,economics!$AJ$2:$AJ$167,TRUE)-_xlfn.NORM.DIST(Q$30,economics!$AK$2:$AK$167,economics!$AJ$2:$AJ$167,TRUE)))),"")</f>
        <v/>
      </c>
      <c r="R43">
        <f t="array" ref="R43">IFERROR((SUMPRODUCT((economics!$AG$2:$AG$167=$B43)*(economics!$D$2:$D$167="process")*economics!$AI$2:$AI$167*(_xlfn.NORM.DIST(R$3,economics!$AK$2:$AK$167,economics!$AJ$2:$AJ$167,TRUE)-_xlfn.NORM.DIST(R$30,economics!$AK$2:$AK$167,economics!$AJ$2:$AJ$167,TRUE))*economics!$AM$2:$AM$167))/(SUMPRODUCT((economics!$AG$2:$AG$167=$B43)*(economics!$D$2:$D$167="process")*economics!$AI$2:$AI$167*(_xlfn.NORM.DIST(R$3,economics!$AK$2:$AK$167,economics!$AJ$2:$AJ$167,TRUE)-_xlfn.NORM.DIST(R$30,economics!$AK$2:$AK$167,economics!$AJ$2:$AJ$167,TRUE)))),"")</f>
        <v/>
      </c>
      <c r="S43">
        <f t="array" ref="S43">IFERROR((SUMPRODUCT((economics!$AG$2:$AG$167=$B43)*(economics!$D$2:$D$167="process")*economics!$AI$2:$AI$167*(_xlfn.NORM.DIST(S$3,economics!$AK$2:$AK$167,economics!$AJ$2:$AJ$167,TRUE)-_xlfn.NORM.DIST(S$30,economics!$AK$2:$AK$167,economics!$AJ$2:$AJ$167,TRUE))*economics!$AM$2:$AM$167))/(SUMPRODUCT((economics!$AG$2:$AG$167=$B43)*(economics!$D$2:$D$167="process")*economics!$AI$2:$AI$167*(_xlfn.NORM.DIST(S$3,economics!$AK$2:$AK$167,economics!$AJ$2:$AJ$167,TRUE)-_xlfn.NORM.DIST(S$30,economics!$AK$2:$AK$167,economics!$AJ$2:$AJ$167,TRUE)))),"")</f>
        <v/>
      </c>
      <c r="T43">
        <f t="array" ref="T43">IFERROR((SUMPRODUCT((economics!$AG$2:$AG$167=$B43)*(economics!$D$2:$D$167="process")*economics!$AI$2:$AI$167*(_xlfn.NORM.DIST(T$3,economics!$AK$2:$AK$167,economics!$AJ$2:$AJ$167,TRUE)-_xlfn.NORM.DIST(T$30,economics!$AK$2:$AK$167,economics!$AJ$2:$AJ$167,TRUE))*economics!$AM$2:$AM$167))/(SUMPRODUCT((economics!$AG$2:$AG$167=$B43)*(economics!$D$2:$D$167="process")*economics!$AI$2:$AI$167*(_xlfn.NORM.DIST(T$3,economics!$AK$2:$AK$167,economics!$AJ$2:$AJ$167,TRUE)-_xlfn.NORM.DIST(T$30,economics!$AK$2:$AK$167,economics!$AJ$2:$AJ$167,TRUE)))),"")</f>
        <v/>
      </c>
      <c r="U43">
        <f t="array" ref="U43">IFERROR((SUMPRODUCT((economics!$AG$2:$AG$167=$B43)*(economics!$D$2:$D$167="process")*economics!$AI$2:$AI$167*(_xlfn.NORM.DIST(U$3,economics!$AK$2:$AK$167,economics!$AJ$2:$AJ$167,TRUE)-_xlfn.NORM.DIST(U$30,economics!$AK$2:$AK$167,economics!$AJ$2:$AJ$167,TRUE))*economics!$AM$2:$AM$167))/(SUMPRODUCT((economics!$AG$2:$AG$167=$B43)*(economics!$D$2:$D$167="process")*economics!$AI$2:$AI$167*(_xlfn.NORM.DIST(U$3,economics!$AK$2:$AK$167,economics!$AJ$2:$AJ$167,TRUE)-_xlfn.NORM.DIST(U$30,economics!$AK$2:$AK$167,economics!$AJ$2:$AJ$167,TRUE)))),"")</f>
        <v/>
      </c>
      <c r="V43">
        <f t="array" ref="V43">IFERROR((SUMPRODUCT((economics!$AG$2:$AG$167=$B43)*(economics!$D$2:$D$167="process")*economics!$AI$2:$AI$167*(_xlfn.NORM.DIST(V$3,economics!$AK$2:$AK$167,economics!$AJ$2:$AJ$167,TRUE)-_xlfn.NORM.DIST(V$30,economics!$AK$2:$AK$167,economics!$AJ$2:$AJ$167,TRUE))*economics!$AM$2:$AM$167))/(SUMPRODUCT((economics!$AG$2:$AG$167=$B43)*(economics!$D$2:$D$167="process")*economics!$AI$2:$AI$167*(_xlfn.NORM.DIST(V$3,economics!$AK$2:$AK$167,economics!$AJ$2:$AJ$167,TRUE)-_xlfn.NORM.DIST(V$30,economics!$AK$2:$AK$167,economics!$AJ$2:$AJ$167,TRUE)))),"")</f>
        <v/>
      </c>
      <c r="W43">
        <f t="array" ref="W43">IFERROR((SUMPRODUCT((economics!$AG$2:$AG$167=$B43)*(economics!$D$2:$D$167="process")*economics!$AI$2:$AI$167*(_xlfn.NORM.DIST(W$3,economics!$AK$2:$AK$167,economics!$AJ$2:$AJ$167,TRUE)-_xlfn.NORM.DIST(W$30,economics!$AK$2:$AK$167,economics!$AJ$2:$AJ$167,TRUE))*economics!$AM$2:$AM$167))/(SUMPRODUCT((economics!$AG$2:$AG$167=$B43)*(economics!$D$2:$D$167="process")*economics!$AI$2:$AI$167*(_xlfn.NORM.DIST(W$3,economics!$AK$2:$AK$167,economics!$AJ$2:$AJ$167,TRUE)-_xlfn.NORM.DIST(W$30,economics!$AK$2:$AK$167,economics!$AJ$2:$AJ$167,TRUE)))),"")</f>
        <v/>
      </c>
      <c r="X43">
        <f t="array" ref="X43">IFERROR((SUMPRODUCT((economics!$AG$2:$AG$167=$B43)*(economics!$D$2:$D$167="process")*economics!$AI$2:$AI$167*(_xlfn.NORM.DIST(X$3,economics!$AK$2:$AK$167,economics!$AJ$2:$AJ$167,TRUE)-_xlfn.NORM.DIST(X$30,economics!$AK$2:$AK$167,economics!$AJ$2:$AJ$167,TRUE))*economics!$AM$2:$AM$167))/(SUMPRODUCT((economics!$AG$2:$AG$167=$B43)*(economics!$D$2:$D$167="process")*economics!$AI$2:$AI$167*(_xlfn.NORM.DIST(X$3,economics!$AK$2:$AK$167,economics!$AJ$2:$AJ$167,TRUE)-_xlfn.NORM.DIST(X$30,economics!$AK$2:$AK$167,economics!$AJ$2:$AJ$167,TRUE)))),"")</f>
        <v/>
      </c>
      <c r="Y43">
        <f t="array" ref="Y43">IFERROR((SUMPRODUCT((economics!$AG$2:$AG$167=$B43)*(economics!$D$2:$D$167="process")*economics!$AI$2:$AI$167*(_xlfn.NORM.DIST(Y$3,economics!$AK$2:$AK$167,economics!$AJ$2:$AJ$167,TRUE)-_xlfn.NORM.DIST(Y$30,economics!$AK$2:$AK$167,economics!$AJ$2:$AJ$167,TRUE))*economics!$AM$2:$AM$167))/(SUMPRODUCT((economics!$AG$2:$AG$167=$B43)*(economics!$D$2:$D$167="process")*economics!$AI$2:$AI$167*(_xlfn.NORM.DIST(Y$3,economics!$AK$2:$AK$167,economics!$AJ$2:$AJ$167,TRUE)-_xlfn.NORM.DIST(Y$30,economics!$AK$2:$AK$167,economics!$AJ$2:$AJ$167,TRUE)))),"")</f>
        <v/>
      </c>
      <c r="Z43">
        <f t="array" ref="Z43">IFERROR((SUMPRODUCT((economics!$AG$2:$AG$167=$B43)*(economics!$D$2:$D$167="process")*economics!$AI$2:$AI$167*(_xlfn.NORM.DIST(Z$3,economics!$AK$2:$AK$167,economics!$AJ$2:$AJ$167,TRUE)-_xlfn.NORM.DIST(Z$30,economics!$AK$2:$AK$167,economics!$AJ$2:$AJ$167,TRUE))*economics!$AM$2:$AM$167))/(SUMPRODUCT((economics!$AG$2:$AG$167=$B43)*(economics!$D$2:$D$167="process")*economics!$AI$2:$AI$167*(_xlfn.NORM.DIST(Z$3,economics!$AK$2:$AK$167,economics!$AJ$2:$AJ$167,TRUE)-_xlfn.NORM.DIST(Z$30,economics!$AK$2:$AK$167,economics!$AJ$2:$AJ$167,TRUE)))),"")</f>
        <v/>
      </c>
      <c r="AA43">
        <f t="array" ref="AA43">IFERROR((SUMPRODUCT((economics!$AG$2:$AG$167=$B43)*(economics!$D$2:$D$167="process")*economics!$AI$2:$AI$167*(_xlfn.NORM.DIST(AA$3,economics!$AK$2:$AK$167,economics!$AJ$2:$AJ$167,TRUE)-_xlfn.NORM.DIST(AA$30,economics!$AK$2:$AK$167,economics!$AJ$2:$AJ$167,TRUE))*economics!$AM$2:$AM$167))/(SUMPRODUCT((economics!$AG$2:$AG$167=$B43)*(economics!$D$2:$D$167="process")*economics!$AI$2:$AI$167*(_xlfn.NORM.DIST(AA$3,economics!$AK$2:$AK$167,economics!$AJ$2:$AJ$167,TRUE)-_xlfn.NORM.DIST(AA$30,economics!$AK$2:$AK$167,economics!$AJ$2:$AJ$167,TRUE)))),"")</f>
        <v/>
      </c>
      <c r="AB43">
        <f t="array" ref="AB43">IFERROR((SUMPRODUCT((economics!$AG$2:$AG$167=$B43)*(economics!$D$2:$D$167="process")*economics!$AI$2:$AI$167*(_xlfn.NORM.DIST(AB$3,economics!$AK$2:$AK$167,economics!$AJ$2:$AJ$167,TRUE)-_xlfn.NORM.DIST(AB$30,economics!$AK$2:$AK$167,economics!$AJ$2:$AJ$167,TRUE))*economics!$AM$2:$AM$167))/(SUMPRODUCT((economics!$AG$2:$AG$167=$B43)*(economics!$D$2:$D$167="process")*economics!$AI$2:$AI$167*(_xlfn.NORM.DIST(AB$3,economics!$AK$2:$AK$167,economics!$AJ$2:$AJ$167,TRUE)-_xlfn.NORM.DIST(AB$30,economics!$AK$2:$AK$167,economics!$AJ$2:$AJ$167,TRUE)))),"")</f>
        <v/>
      </c>
      <c r="AC43">
        <f t="array" ref="AC43">IFERROR((SUMPRODUCT((economics!$AG$2:$AG$167=$B43)*(economics!$D$2:$D$167="process")*economics!$AI$2:$AI$167*(_xlfn.NORM.DIST(AC$3,economics!$AK$2:$AK$167,economics!$AJ$2:$AJ$167,TRUE)-_xlfn.NORM.DIST(AC$30,economics!$AK$2:$AK$167,economics!$AJ$2:$AJ$167,TRUE))*economics!$AM$2:$AM$167))/(SUMPRODUCT((economics!$AG$2:$AG$167=$B43)*(economics!$D$2:$D$167="process")*economics!$AI$2:$AI$167*(_xlfn.NORM.DIST(AC$3,economics!$AK$2:$AK$167,economics!$AJ$2:$AJ$167,TRUE)-_xlfn.NORM.DIST(AC$30,economics!$AK$2:$AK$167,economics!$AJ$2:$AJ$167,TRUE)))),"")</f>
        <v/>
      </c>
      <c r="AD43">
        <f t="array" ref="AD43">IFERROR((SUMPRODUCT((economics!$AG$2:$AG$167=$B43)*(economics!$D$2:$D$167="process")*economics!$AI$2:$AI$167*(_xlfn.NORM.DIST(AD$3,economics!$AK$2:$AK$167,economics!$AJ$2:$AJ$167,TRUE)-_xlfn.NORM.DIST(AD$30,economics!$AK$2:$AK$167,economics!$AJ$2:$AJ$167,TRUE))*economics!$AM$2:$AM$167))/(SUMPRODUCT((economics!$AG$2:$AG$167=$B43)*(economics!$D$2:$D$167="process")*economics!$AI$2:$AI$167*(_xlfn.NORM.DIST(AD$3,economics!$AK$2:$AK$167,economics!$AJ$2:$AJ$167,TRUE)-_xlfn.NORM.DIST(AD$30,economics!$AK$2:$AK$167,economics!$AJ$2:$AJ$167,TRUE)))),"")</f>
        <v/>
      </c>
      <c r="AE43">
        <f t="array" ref="AE43">IFERROR((SUMPRODUCT((economics!$AG$2:$AG$167=$B43)*(economics!$D$2:$D$167="process")*economics!$AI$2:$AI$167*(_xlfn.NORM.DIST(AE$3,economics!$AK$2:$AK$167,economics!$AJ$2:$AJ$167,TRUE)-_xlfn.NORM.DIST(AE$30,economics!$AK$2:$AK$167,economics!$AJ$2:$AJ$167,TRUE))*economics!$AM$2:$AM$167))/(SUMPRODUCT((economics!$AG$2:$AG$167=$B43)*(economics!$D$2:$D$167="process")*economics!$AI$2:$AI$167*(_xlfn.NORM.DIST(AE$3,economics!$AK$2:$AK$167,economics!$AJ$2:$AJ$167,TRUE)-_xlfn.NORM.DIST(AE$30,economics!$AK$2:$AK$167,economics!$AJ$2:$AJ$167,TRUE)))),"")</f>
        <v/>
      </c>
      <c r="AF43">
        <f t="array" ref="AF43">IFERROR((SUMPRODUCT((economics!$AG$2:$AG$167=$B43)*(economics!$D$2:$D$167="process")*economics!$AI$2:$AI$167*(_xlfn.NORM.DIST(AF$3,economics!$AK$2:$AK$167,economics!$AJ$2:$AJ$167,TRUE)-_xlfn.NORM.DIST(AF$30,economics!$AK$2:$AK$167,economics!$AJ$2:$AJ$167,TRUE))*economics!$AM$2:$AM$167))/(SUMPRODUCT((economics!$AG$2:$AG$167=$B43)*(economics!$D$2:$D$167="process")*economics!$AI$2:$AI$167*(_xlfn.NORM.DIST(AF$3,economics!$AK$2:$AK$167,economics!$AJ$2:$AJ$167,TRUE)-_xlfn.NORM.DIST(AF$30,economics!$AK$2:$AK$167,economics!$AJ$2:$AJ$167,TRUE)))),"")</f>
        <v/>
      </c>
      <c r="AG43">
        <f t="array" ref="AG43">IFERROR((SUMPRODUCT((economics!$AG$2:$AG$167=$B43)*(economics!$D$2:$D$167="process")*economics!$AI$2:$AI$167*(_xlfn.NORM.DIST(AG$3,economics!$AK$2:$AK$167,economics!$AJ$2:$AJ$167,TRUE)-_xlfn.NORM.DIST(AG$30,economics!$AK$2:$AK$167,economics!$AJ$2:$AJ$167,TRUE))*economics!$AM$2:$AM$167))/(SUMPRODUCT((economics!$AG$2:$AG$167=$B43)*(economics!$D$2:$D$167="process")*economics!$AI$2:$AI$167*(_xlfn.NORM.DIST(AG$3,economics!$AK$2:$AK$167,economics!$AJ$2:$AJ$167,TRUE)-_xlfn.NORM.DIST(AG$30,economics!$AK$2:$AK$167,economics!$AJ$2:$AJ$167,TRUE)))),"")</f>
        <v/>
      </c>
      <c r="AH43">
        <f t="array" ref="AH43">IFERROR((SUMPRODUCT((economics!$AG$2:$AG$167=$B43)*(economics!$D$2:$D$167="process")*economics!$AI$2:$AI$167*(_xlfn.NORM.DIST(AH$3,economics!$AK$2:$AK$167,economics!$AJ$2:$AJ$167,TRUE)-_xlfn.NORM.DIST(AH$30,economics!$AK$2:$AK$167,economics!$AJ$2:$AJ$167,TRUE))*economics!$AM$2:$AM$167))/(SUMPRODUCT((economics!$AG$2:$AG$167=$B43)*(economics!$D$2:$D$167="process")*economics!$AI$2:$AI$167*(_xlfn.NORM.DIST(AH$3,economics!$AK$2:$AK$167,economics!$AJ$2:$AJ$167,TRUE)-_xlfn.NORM.DIST(AH$30,economics!$AK$2:$AK$167,economics!$AJ$2:$AJ$167,TRUE)))),"")</f>
        <v/>
      </c>
      <c r="AI43">
        <f t="array" ref="AI43">IFERROR((SUMPRODUCT((economics!$AG$2:$AG$167=$B43)*(economics!$D$2:$D$167="process")*economics!$AI$2:$AI$167*(_xlfn.NORM.DIST(AI$3,economics!$AK$2:$AK$167,economics!$AJ$2:$AJ$167,TRUE)-_xlfn.NORM.DIST(AI$30,economics!$AK$2:$AK$167,economics!$AJ$2:$AJ$167,TRUE))*economics!$AM$2:$AM$167))/(SUMPRODUCT((economics!$AG$2:$AG$167=$B43)*(economics!$D$2:$D$167="process")*economics!$AI$2:$AI$167*(_xlfn.NORM.DIST(AI$3,economics!$AK$2:$AK$167,economics!$AJ$2:$AJ$167,TRUE)-_xlfn.NORM.DIST(AI$30,economics!$AK$2:$AK$167,economics!$AJ$2:$AJ$167,TRUE)))),"")</f>
        <v/>
      </c>
      <c r="AJ43">
        <f t="array" ref="AJ43">IFERROR((SUMPRODUCT((economics!$AG$2:$AG$167=$B43)*(economics!$D$2:$D$167="process")*economics!$AI$2:$AI$167*(_xlfn.NORM.DIST(AJ$3,economics!$AK$2:$AK$167,economics!$AJ$2:$AJ$167,TRUE)-_xlfn.NORM.DIST(AJ$30,economics!$AK$2:$AK$167,economics!$AJ$2:$AJ$167,TRUE))*economics!$AM$2:$AM$167))/(SUMPRODUCT((economics!$AG$2:$AG$167=$B43)*(economics!$D$2:$D$167="process")*economics!$AI$2:$AI$167*(_xlfn.NORM.DIST(AJ$3,economics!$AK$2:$AK$167,economics!$AJ$2:$AJ$167,TRUE)-_xlfn.NORM.DIST(AJ$30,economics!$AK$2:$AK$167,economics!$AJ$2:$AJ$167,TRUE)))),"")</f>
        <v/>
      </c>
      <c r="AK43">
        <f t="array" ref="AK43">IFERROR((SUMPRODUCT((economics!$AG$2:$AG$167=$B43)*(economics!$D$2:$D$167="process")*economics!$AI$2:$AI$167*(_xlfn.NORM.DIST(AK$3,economics!$AK$2:$AK$167,economics!$AJ$2:$AJ$167,TRUE)-_xlfn.NORM.DIST(AK$30,economics!$AK$2:$AK$167,economics!$AJ$2:$AJ$167,TRUE))*economics!$AM$2:$AM$167))/(SUMPRODUCT((economics!$AG$2:$AG$167=$B43)*(economics!$D$2:$D$167="process")*economics!$AI$2:$AI$167*(_xlfn.NORM.DIST(AK$3,economics!$AK$2:$AK$167,economics!$AJ$2:$AJ$167,TRUE)-_xlfn.NORM.DIST(AK$30,economics!$AK$2:$AK$167,economics!$AJ$2:$AJ$167,TRUE)))),"")</f>
        <v/>
      </c>
      <c r="AL43">
        <f t="array" ref="AL43">IFERROR((SUMPRODUCT((economics!$AG$2:$AG$167=$B43)*(economics!$D$2:$D$167="process")*economics!$AI$2:$AI$167*(_xlfn.NORM.DIST(AL$3,economics!$AK$2:$AK$167,economics!$AJ$2:$AJ$167,TRUE)-_xlfn.NORM.DIST(AL$30,economics!$AK$2:$AK$167,economics!$AJ$2:$AJ$167,TRUE))*economics!$AM$2:$AM$167))/(SUMPRODUCT((economics!$AG$2:$AG$167=$B43)*(economics!$D$2:$D$167="process")*economics!$AI$2:$AI$167*(_xlfn.NORM.DIST(AL$3,economics!$AK$2:$AK$167,economics!$AJ$2:$AJ$167,TRUE)-_xlfn.NORM.DIST(AL$30,economics!$AK$2:$AK$167,economics!$AJ$2:$AJ$167,TRUE)))),"")</f>
        <v/>
      </c>
      <c r="AM43">
        <f t="array" ref="AM43">IFERROR((SUMPRODUCT((economics!$AG$2:$AG$167=$B43)*(economics!$D$2:$D$167="process")*economics!$AI$2:$AI$167*(_xlfn.NORM.DIST(AM$3,economics!$AK$2:$AK$167,economics!$AJ$2:$AJ$167,TRUE)-_xlfn.NORM.DIST(AM$30,economics!$AK$2:$AK$167,economics!$AJ$2:$AJ$167,TRUE))*economics!$AM$2:$AM$167))/(SUMPRODUCT((economics!$AG$2:$AG$167=$B43)*(economics!$D$2:$D$167="process")*economics!$AI$2:$AI$167*(_xlfn.NORM.DIST(AM$3,economics!$AK$2:$AK$167,economics!$AJ$2:$AJ$167,TRUE)-_xlfn.NORM.DIST(AM$30,economics!$AK$2:$AK$167,economics!$AJ$2:$AJ$167,TRUE)))),"")</f>
        <v/>
      </c>
      <c r="AN43">
        <f t="array" ref="AN43">IFERROR((SUMPRODUCT((economics!$AG$2:$AG$167=$B43)*(economics!$D$2:$D$167="process")*economics!$AI$2:$AI$167*(_xlfn.NORM.DIST(AN$3,economics!$AK$2:$AK$167,economics!$AJ$2:$AJ$167,TRUE)-_xlfn.NORM.DIST(AN$30,economics!$AK$2:$AK$167,economics!$AJ$2:$AJ$167,TRUE))*economics!$AM$2:$AM$167))/(SUMPRODUCT((economics!$AG$2:$AG$167=$B43)*(economics!$D$2:$D$167="process")*economics!$AI$2:$AI$167*(_xlfn.NORM.DIST(AN$3,economics!$AK$2:$AK$167,economics!$AJ$2:$AJ$167,TRUE)-_xlfn.NORM.DIST(AN$30,economics!$AK$2:$AK$167,economics!$AJ$2:$AJ$167,TRUE)))),"")</f>
        <v/>
      </c>
      <c r="AO43">
        <f t="array" ref="AO43">IFERROR((SUMPRODUCT((economics!$AG$2:$AG$167=$B43)*(economics!$D$2:$D$167="process")*economics!$AI$2:$AI$167*(_xlfn.NORM.DIST(AO$3,economics!$AK$2:$AK$167,economics!$AJ$2:$AJ$167,TRUE)-_xlfn.NORM.DIST(AO$30,economics!$AK$2:$AK$167,economics!$AJ$2:$AJ$167,TRUE))*economics!$AM$2:$AM$167))/(SUMPRODUCT((economics!$AG$2:$AG$167=$B43)*(economics!$D$2:$D$167="process")*economics!$AI$2:$AI$167*(_xlfn.NORM.DIST(AO$3,economics!$AK$2:$AK$167,economics!$AJ$2:$AJ$167,TRUE)-_xlfn.NORM.DIST(AO$30,economics!$AK$2:$AK$167,economics!$AJ$2:$AJ$167,TRUE)))),"")</f>
        <v/>
      </c>
      <c r="AP43">
        <f t="array" ref="AP43">IFERROR((SUMPRODUCT((economics!$AG$2:$AG$167=$B43)*(economics!$D$2:$D$167="process")*economics!$AI$2:$AI$167*(_xlfn.NORM.DIST(AP$3,economics!$AK$2:$AK$167,economics!$AJ$2:$AJ$167,TRUE)-_xlfn.NORM.DIST(AP$30,economics!$AK$2:$AK$167,economics!$AJ$2:$AJ$167,TRUE))*economics!$AM$2:$AM$167))/(SUMPRODUCT((economics!$AG$2:$AG$167=$B43)*(economics!$D$2:$D$167="process")*economics!$AI$2:$AI$167*(_xlfn.NORM.DIST(AP$3,economics!$AK$2:$AK$167,economics!$AJ$2:$AJ$167,TRUE)-_xlfn.NORM.DIST(AP$30,economics!$AK$2:$AK$167,economics!$AJ$2:$AJ$167,TRUE)))),"")</f>
        <v/>
      </c>
      <c r="AQ43">
        <f t="array" ref="AQ43">IFERROR((SUMPRODUCT((economics!$AG$2:$AG$167=$B43)*(economics!$D$2:$D$167="process")*economics!$AI$2:$AI$167*(_xlfn.NORM.DIST(AQ$3,economics!$AK$2:$AK$167,economics!$AJ$2:$AJ$167,TRUE)-_xlfn.NORM.DIST(AQ$30,economics!$AK$2:$AK$167,economics!$AJ$2:$AJ$167,TRUE))*economics!$AM$2:$AM$167))/(SUMPRODUCT((economics!$AG$2:$AG$167=$B43)*(economics!$D$2:$D$167="process")*economics!$AI$2:$AI$167*(_xlfn.NORM.DIST(AQ$3,economics!$AK$2:$AK$167,economics!$AJ$2:$AJ$167,TRUE)-_xlfn.NORM.DIST(AQ$30,economics!$AK$2:$AK$167,economics!$AJ$2:$AJ$167,TRUE)))),"")</f>
        <v/>
      </c>
      <c r="AR43">
        <f t="array" ref="AR43">IFERROR((SUMPRODUCT((economics!$AG$2:$AG$167=$B43)*(economics!$D$2:$D$167="process")*economics!$AI$2:$AI$167*(_xlfn.NORM.DIST(AR$3,economics!$AK$2:$AK$167,economics!$AJ$2:$AJ$167,TRUE)-_xlfn.NORM.DIST(AR$30,economics!$AK$2:$AK$167,economics!$AJ$2:$AJ$167,TRUE))*economics!$AM$2:$AM$167))/(SUMPRODUCT((economics!$AG$2:$AG$167=$B43)*(economics!$D$2:$D$167="process")*economics!$AI$2:$AI$167*(_xlfn.NORM.DIST(AR$3,economics!$AK$2:$AK$167,economics!$AJ$2:$AJ$167,TRUE)-_xlfn.NORM.DIST(AR$30,economics!$AK$2:$AK$167,economics!$AJ$2:$AJ$167,TRUE)))),"")</f>
        <v/>
      </c>
      <c r="AS43">
        <f t="array" ref="AS43">IFERROR((SUMPRODUCT((economics!$AG$2:$AG$167=$B43)*(economics!$D$2:$D$167="process")*economics!$AI$2:$AI$167*(_xlfn.NORM.DIST(AS$3,economics!$AK$2:$AK$167,economics!$AJ$2:$AJ$167,TRUE)-_xlfn.NORM.DIST(AS$30,economics!$AK$2:$AK$167,economics!$AJ$2:$AJ$167,TRUE))*economics!$AM$2:$AM$167))/(SUMPRODUCT((economics!$AG$2:$AG$167=$B43)*(economics!$D$2:$D$167="process")*economics!$AI$2:$AI$167*(_xlfn.NORM.DIST(AS$3,economics!$AK$2:$AK$167,economics!$AJ$2:$AJ$167,TRUE)-_xlfn.NORM.DIST(AS$30,economics!$AK$2:$AK$167,economics!$AJ$2:$AJ$167,TRUE)))),"")</f>
        <v/>
      </c>
      <c r="AT43">
        <f t="array" ref="AT43">IFERROR((SUMPRODUCT((economics!$AG$2:$AG$167=$B43)*(economics!$D$2:$D$167="process")*economics!$AI$2:$AI$167*(_xlfn.NORM.DIST(AT$3,economics!$AK$2:$AK$167,economics!$AJ$2:$AJ$167,TRUE)-_xlfn.NORM.DIST(AT$30,economics!$AK$2:$AK$167,economics!$AJ$2:$AJ$167,TRUE))*economics!$AM$2:$AM$167))/(SUMPRODUCT((economics!$AG$2:$AG$167=$B43)*(economics!$D$2:$D$167="process")*economics!$AI$2:$AI$167*(_xlfn.NORM.DIST(AT$3,economics!$AK$2:$AK$167,economics!$AJ$2:$AJ$167,TRUE)-_xlfn.NORM.DIST(AT$30,economics!$AK$2:$AK$167,economics!$AJ$2:$AJ$167,TRUE)))),"")</f>
        <v/>
      </c>
      <c r="AU43">
        <f t="array" ref="AU43">IFERROR((SUMPRODUCT((economics!$AG$2:$AG$167=$B43)*(economics!$D$2:$D$167="process")*economics!$AI$2:$AI$167*(_xlfn.NORM.DIST(AU$3,economics!$AK$2:$AK$167,economics!$AJ$2:$AJ$167,TRUE)-_xlfn.NORM.DIST(AU$30,economics!$AK$2:$AK$167,economics!$AJ$2:$AJ$167,TRUE))*economics!$AM$2:$AM$167))/(SUMPRODUCT((economics!$AG$2:$AG$167=$B43)*(economics!$D$2:$D$167="process")*economics!$AI$2:$AI$167*(_xlfn.NORM.DIST(AU$3,economics!$AK$2:$AK$167,economics!$AJ$2:$AJ$167,TRUE)-_xlfn.NORM.DIST(AU$30,economics!$AK$2:$AK$167,economics!$AJ$2:$AJ$167,TRUE)))),"")</f>
        <v/>
      </c>
      <c r="AV43">
        <f t="array" ref="AV43">IFERROR((SUMPRODUCT((economics!$AG$2:$AG$167=$B43)*(economics!$D$2:$D$167="process")*economics!$AI$2:$AI$167*(_xlfn.NORM.DIST(AV$3,economics!$AK$2:$AK$167,economics!$AJ$2:$AJ$167,TRUE)-_xlfn.NORM.DIST(AV$30,economics!$AK$2:$AK$167,economics!$AJ$2:$AJ$167,TRUE))*economics!$AM$2:$AM$167))/(SUMPRODUCT((economics!$AG$2:$AG$167=$B43)*(economics!$D$2:$D$167="process")*economics!$AI$2:$AI$167*(_xlfn.NORM.DIST(AV$3,economics!$AK$2:$AK$167,economics!$AJ$2:$AJ$167,TRUE)-_xlfn.NORM.DIST(AV$30,economics!$AK$2:$AK$167,economics!$AJ$2:$AJ$167,TRUE)))),"")</f>
        <v/>
      </c>
      <c r="AW43">
        <f t="array" ref="AW43">IFERROR((SUMPRODUCT((economics!$AG$2:$AG$167=$B43)*(economics!$D$2:$D$167="process")*economics!$AI$2:$AI$167*(_xlfn.NORM.DIST(AW$3,economics!$AK$2:$AK$167,economics!$AJ$2:$AJ$167,TRUE)-_xlfn.NORM.DIST(AW$30,economics!$AK$2:$AK$167,economics!$AJ$2:$AJ$167,TRUE))*economics!$AM$2:$AM$167))/(SUMPRODUCT((economics!$AG$2:$AG$167=$B43)*(economics!$D$2:$D$167="process")*economics!$AI$2:$AI$167*(_xlfn.NORM.DIST(AW$3,economics!$AK$2:$AK$167,economics!$AJ$2:$AJ$167,TRUE)-_xlfn.NORM.DIST(AW$30,economics!$AK$2:$AK$167,economics!$AJ$2:$AJ$167,TRUE)))),"")</f>
        <v/>
      </c>
      <c r="AX43">
        <f t="array" ref="AX43">IFERROR((SUMPRODUCT((economics!$AG$2:$AG$167=$B43)*(economics!$D$2:$D$167="process")*economics!$AI$2:$AI$167*(_xlfn.NORM.DIST(AX$3,economics!$AK$2:$AK$167,economics!$AJ$2:$AJ$167,TRUE)-_xlfn.NORM.DIST(AX$30,economics!$AK$2:$AK$167,economics!$AJ$2:$AJ$167,TRUE))*economics!$AM$2:$AM$167))/(SUMPRODUCT((economics!$AG$2:$AG$167=$B43)*(economics!$D$2:$D$167="process")*economics!$AI$2:$AI$167*(_xlfn.NORM.DIST(AX$3,economics!$AK$2:$AK$167,economics!$AJ$2:$AJ$167,TRUE)-_xlfn.NORM.DIST(AX$30,economics!$AK$2:$AK$167,economics!$AJ$2:$AJ$167,TRUE)))),"")</f>
        <v/>
      </c>
      <c r="AY43">
        <f t="array" ref="AY43">IFERROR((SUMPRODUCT((economics!$AG$2:$AG$167=$B43)*(economics!$D$2:$D$167="process")*economics!$AI$2:$AI$167*(_xlfn.NORM.DIST(AY$3,economics!$AK$2:$AK$167,economics!$AJ$2:$AJ$167,TRUE)-_xlfn.NORM.DIST(AY$30,economics!$AK$2:$AK$167,economics!$AJ$2:$AJ$167,TRUE))*economics!$AM$2:$AM$167))/(SUMPRODUCT((economics!$AG$2:$AG$167=$B43)*(economics!$D$2:$D$167="process")*economics!$AI$2:$AI$167*(_xlfn.NORM.DIST(AY$3,economics!$AK$2:$AK$167,economics!$AJ$2:$AJ$167,TRUE)-_xlfn.NORM.DIST(AY$30,economics!$AK$2:$AK$167,economics!$AJ$2:$AJ$167,TRUE)))),"")</f>
        <v/>
      </c>
      <c r="AZ43">
        <f t="array" ref="AZ43">IFERROR((SUMPRODUCT((economics!$AG$2:$AG$167=$B43)*(economics!$D$2:$D$167="process")*economics!$AI$2:$AI$167*(_xlfn.NORM.DIST(AZ$3,economics!$AK$2:$AK$167,economics!$AJ$2:$AJ$167,TRUE)-_xlfn.NORM.DIST(AZ$30,economics!$AK$2:$AK$167,economics!$AJ$2:$AJ$167,TRUE))*economics!$AM$2:$AM$167))/(SUMPRODUCT((economics!$AG$2:$AG$167=$B43)*(economics!$D$2:$D$167="process")*economics!$AI$2:$AI$167*(_xlfn.NORM.DIST(AZ$3,economics!$AK$2:$AK$167,economics!$AJ$2:$AJ$167,TRUE)-_xlfn.NORM.DIST(AZ$30,economics!$AK$2:$AK$167,economics!$AJ$2:$AJ$167,TRUE)))),"")</f>
        <v/>
      </c>
      <c r="BA43">
        <f t="array" ref="BA43">IFERROR((SUMPRODUCT((economics!$AG$2:$AG$167=$B43)*(economics!$D$2:$D$167="process")*economics!$AI$2:$AI$167*(_xlfn.NORM.DIST(BA$3,economics!$AK$2:$AK$167,economics!$AJ$2:$AJ$167,TRUE)-_xlfn.NORM.DIST(BA$30,economics!$AK$2:$AK$167,economics!$AJ$2:$AJ$167,TRUE))*economics!$AM$2:$AM$167))/(SUMPRODUCT((economics!$AG$2:$AG$167=$B43)*(economics!$D$2:$D$167="process")*economics!$AI$2:$AI$167*(_xlfn.NORM.DIST(BA$3,economics!$AK$2:$AK$167,economics!$AJ$2:$AJ$167,TRUE)-_xlfn.NORM.DIST(BA$30,economics!$AK$2:$AK$167,economics!$AJ$2:$AJ$167,TRUE)))),"")</f>
        <v/>
      </c>
      <c r="BB43">
        <f t="array" ref="BB43">IFERROR((SUMPRODUCT((economics!$AG$2:$AG$167=$B43)*(economics!$D$2:$D$167="process")*economics!$AI$2:$AI$167*(_xlfn.NORM.DIST(BB$3,economics!$AK$2:$AK$167,economics!$AJ$2:$AJ$167,TRUE)-_xlfn.NORM.DIST(BB$30,economics!$AK$2:$AK$167,economics!$AJ$2:$AJ$167,TRUE))*economics!$AM$2:$AM$167))/(SUMPRODUCT((economics!$AG$2:$AG$167=$B43)*(economics!$D$2:$D$167="process")*economics!$AI$2:$AI$167*(_xlfn.NORM.DIST(BB$3,economics!$AK$2:$AK$167,economics!$AJ$2:$AJ$167,TRUE)-_xlfn.NORM.DIST(BB$30,economics!$AK$2:$AK$167,economics!$AJ$2:$AJ$167,TRUE)))),"")</f>
        <v/>
      </c>
      <c r="BC43">
        <f t="array" ref="BC43">IFERROR((SUMPRODUCT((economics!$AG$2:$AG$167=$B43)*(economics!$D$2:$D$167="process")*economics!$AI$2:$AI$167*(_xlfn.NORM.DIST(BC$3,economics!$AK$2:$AK$167,economics!$AJ$2:$AJ$167,TRUE)-_xlfn.NORM.DIST(BC$30,economics!$AK$2:$AK$167,economics!$AJ$2:$AJ$167,TRUE))*economics!$AM$2:$AM$167))/(SUMPRODUCT((economics!$AG$2:$AG$167=$B43)*(economics!$D$2:$D$167="process")*economics!$AI$2:$AI$167*(_xlfn.NORM.DIST(BC$3,economics!$AK$2:$AK$167,economics!$AJ$2:$AJ$167,TRUE)-_xlfn.NORM.DIST(BC$30,economics!$AK$2:$AK$167,economics!$AJ$2:$AJ$167,TRUE)))),"")</f>
        <v/>
      </c>
      <c r="BD43">
        <f t="array" ref="BD43">IFERROR((SUMPRODUCT((economics!$AG$2:$AG$167=$B43)*(economics!$D$2:$D$167="process")*economics!$AI$2:$AI$167*(_xlfn.NORM.DIST(BD$3,economics!$AK$2:$AK$167,economics!$AJ$2:$AJ$167,TRUE)-_xlfn.NORM.DIST(BD$30,economics!$AK$2:$AK$167,economics!$AJ$2:$AJ$167,TRUE))*economics!$AM$2:$AM$167))/(SUMPRODUCT((economics!$AG$2:$AG$167=$B43)*(economics!$D$2:$D$167="process")*economics!$AI$2:$AI$167*(_xlfn.NORM.DIST(BD$3,economics!$AK$2:$AK$167,economics!$AJ$2:$AJ$167,TRUE)-_xlfn.NORM.DIST(BD$30,economics!$AK$2:$AK$167,economics!$AJ$2:$AJ$167,TRUE)))),"")</f>
        <v/>
      </c>
      <c r="BE43">
        <f t="array" ref="BE43">IFERROR((SUMPRODUCT((economics!$AG$2:$AG$167=$B43)*(economics!$D$2:$D$167="process")*economics!$AI$2:$AI$167*(_xlfn.NORM.DIST(BE$3,economics!$AK$2:$AK$167,economics!$AJ$2:$AJ$167,TRUE)-_xlfn.NORM.DIST(BE$30,economics!$AK$2:$AK$167,economics!$AJ$2:$AJ$167,TRUE))*economics!$AM$2:$AM$167))/(SUMPRODUCT((economics!$AG$2:$AG$167=$B43)*(economics!$D$2:$D$167="process")*economics!$AI$2:$AI$167*(_xlfn.NORM.DIST(BE$3,economics!$AK$2:$AK$167,economics!$AJ$2:$AJ$167,TRUE)-_xlfn.NORM.DIST(BE$30,economics!$AK$2:$AK$167,economics!$AJ$2:$AJ$167,TRUE)))),"")</f>
        <v/>
      </c>
      <c r="BF43">
        <f t="array" ref="BF43">IFERROR((SUMPRODUCT((economics!$AG$2:$AG$167=$B43)*(economics!$D$2:$D$167="process")*economics!$AI$2:$AI$167*(_xlfn.NORM.DIST(BF$3,economics!$AK$2:$AK$167,economics!$AJ$2:$AJ$167,TRUE)-_xlfn.NORM.DIST(BF$30,economics!$AK$2:$AK$167,economics!$AJ$2:$AJ$167,TRUE))*economics!$AM$2:$AM$167))/(SUMPRODUCT((economics!$AG$2:$AG$167=$B43)*(economics!$D$2:$D$167="process")*economics!$AI$2:$AI$167*(_xlfn.NORM.DIST(BF$3,economics!$AK$2:$AK$167,economics!$AJ$2:$AJ$167,TRUE)-_xlfn.NORM.DIST(BF$30,economics!$AK$2:$AK$167,economics!$AJ$2:$AJ$167,TRUE)))),"")</f>
        <v/>
      </c>
      <c r="BG43">
        <f t="array" ref="BG43">IFERROR((SUMPRODUCT((economics!$AG$2:$AG$167=$B43)*(economics!$D$2:$D$167="process")*economics!$AI$2:$AI$167*(_xlfn.NORM.DIST(BG$3,economics!$AK$2:$AK$167,economics!$AJ$2:$AJ$167,TRUE)-_xlfn.NORM.DIST(BG$30,economics!$AK$2:$AK$167,economics!$AJ$2:$AJ$167,TRUE))*economics!$AM$2:$AM$167))/(SUMPRODUCT((economics!$AG$2:$AG$167=$B43)*(economics!$D$2:$D$167="process")*economics!$AI$2:$AI$167*(_xlfn.NORM.DIST(BG$3,economics!$AK$2:$AK$167,economics!$AJ$2:$AJ$167,TRUE)-_xlfn.NORM.DIST(BG$30,economics!$AK$2:$AK$167,economics!$AJ$2:$AJ$167,TRUE)))),"")</f>
        <v/>
      </c>
      <c r="BH43">
        <f t="array" ref="BH43">IFERROR((SUMPRODUCT((economics!$AG$2:$AG$167=$B43)*(economics!$D$2:$D$167="process")*economics!$AI$2:$AI$167*(_xlfn.NORM.DIST(BH$3,economics!$AK$2:$AK$167,economics!$AJ$2:$AJ$167,TRUE)-_xlfn.NORM.DIST(BH$30,economics!$AK$2:$AK$167,economics!$AJ$2:$AJ$167,TRUE))*economics!$AM$2:$AM$167))/(SUMPRODUCT((economics!$AG$2:$AG$167=$B43)*(economics!$D$2:$D$167="process")*economics!$AI$2:$AI$167*(_xlfn.NORM.DIST(BH$3,economics!$AK$2:$AK$167,economics!$AJ$2:$AJ$167,TRUE)-_xlfn.NORM.DIST(BH$30,economics!$AK$2:$AK$167,economics!$AJ$2:$AJ$167,TRUE)))),"")</f>
        <v/>
      </c>
      <c r="BI43">
        <f t="array" ref="BI43">IFERROR((SUMPRODUCT((economics!$AG$2:$AG$167=$B43)*(economics!$D$2:$D$167="process")*economics!$AI$2:$AI$167*(_xlfn.NORM.DIST(BI$3,economics!$AK$2:$AK$167,economics!$AJ$2:$AJ$167,TRUE)-_xlfn.NORM.DIST(BI$30,economics!$AK$2:$AK$167,economics!$AJ$2:$AJ$167,TRUE))*economics!$AM$2:$AM$167))/(SUMPRODUCT((economics!$AG$2:$AG$167=$B43)*(economics!$D$2:$D$167="process")*economics!$AI$2:$AI$167*(_xlfn.NORM.DIST(BI$3,economics!$AK$2:$AK$167,economics!$AJ$2:$AJ$167,TRUE)-_xlfn.NORM.DIST(BI$30,economics!$AK$2:$AK$167,economics!$AJ$2:$AJ$167,TRUE)))),"")</f>
        <v/>
      </c>
      <c r="BJ43">
        <f t="array" ref="BJ43">IFERROR((SUMPRODUCT((economics!$AG$2:$AG$167=$B43)*(economics!$D$2:$D$167="process")*economics!$AI$2:$AI$167*(_xlfn.NORM.DIST(BJ$3,economics!$AK$2:$AK$167,economics!$AJ$2:$AJ$167,TRUE)-_xlfn.NORM.DIST(BJ$30,economics!$AK$2:$AK$167,economics!$AJ$2:$AJ$167,TRUE))*economics!$AM$2:$AM$167))/(SUMPRODUCT((economics!$AG$2:$AG$167=$B43)*(economics!$D$2:$D$167="process")*economics!$AI$2:$AI$167*(_xlfn.NORM.DIST(BJ$3,economics!$AK$2:$AK$167,economics!$AJ$2:$AJ$167,TRUE)-_xlfn.NORM.DIST(BJ$30,economics!$AK$2:$AK$167,economics!$AJ$2:$AJ$167,TRUE)))),"")</f>
        <v/>
      </c>
      <c r="BK43">
        <f t="array" ref="BK43">IFERROR((SUMPRODUCT((economics!$AG$2:$AG$167=$B43)*(economics!$D$2:$D$167="process")*economics!$AI$2:$AI$167*(_xlfn.NORM.DIST(BK$3,economics!$AK$2:$AK$167,economics!$AJ$2:$AJ$167,TRUE)-_xlfn.NORM.DIST(BK$30,economics!$AK$2:$AK$167,economics!$AJ$2:$AJ$167,TRUE))*economics!$AM$2:$AM$167))/(SUMPRODUCT((economics!$AG$2:$AG$167=$B43)*(economics!$D$2:$D$167="process")*economics!$AI$2:$AI$167*(_xlfn.NORM.DIST(BK$3,economics!$AK$2:$AK$167,economics!$AJ$2:$AJ$167,TRUE)-_xlfn.NORM.DIST(BK$30,economics!$AK$2:$AK$167,economics!$AJ$2:$AJ$167,TRUE)))),"")</f>
        <v/>
      </c>
      <c r="BL43">
        <f t="array" ref="BL43">IFERROR((SUMPRODUCT((economics!$AG$2:$AG$167=$B43)*(economics!$D$2:$D$167="process")*economics!$AI$2:$AI$167*(_xlfn.NORM.DIST(BL$3,economics!$AK$2:$AK$167,economics!$AJ$2:$AJ$167,TRUE)-_xlfn.NORM.DIST(BL$30,economics!$AK$2:$AK$167,economics!$AJ$2:$AJ$167,TRUE))*economics!$AM$2:$AM$167))/(SUMPRODUCT((economics!$AG$2:$AG$167=$B43)*(economics!$D$2:$D$167="process")*economics!$AI$2:$AI$167*(_xlfn.NORM.DIST(BL$3,economics!$AK$2:$AK$167,economics!$AJ$2:$AJ$167,TRUE)-_xlfn.NORM.DIST(BL$30,economics!$AK$2:$AK$167,economics!$AJ$2:$AJ$167,TRUE)))),"")</f>
        <v/>
      </c>
      <c r="BM43">
        <f t="array" ref="BM43">IFERROR((SUMPRODUCT((economics!$AG$2:$AG$167=$B43)*(economics!$D$2:$D$167="process")*economics!$AI$2:$AI$167*(_xlfn.NORM.DIST(BM$3,economics!$AK$2:$AK$167,economics!$AJ$2:$AJ$167,TRUE)-_xlfn.NORM.DIST(BM$30,economics!$AK$2:$AK$167,economics!$AJ$2:$AJ$167,TRUE))*economics!$AM$2:$AM$167))/(SUMPRODUCT((economics!$AG$2:$AG$167=$B43)*(economics!$D$2:$D$167="process")*economics!$AI$2:$AI$167*(_xlfn.NORM.DIST(BM$3,economics!$AK$2:$AK$167,economics!$AJ$2:$AJ$167,TRUE)-_xlfn.NORM.DIST(BM$30,economics!$AK$2:$AK$167,economics!$AJ$2:$AJ$167,TRUE)))),"")</f>
        <v/>
      </c>
      <c r="BN43">
        <f t="array" ref="BN43">IFERROR((SUMPRODUCT((economics!$AG$2:$AG$167=$B43)*(economics!$D$2:$D$167="process")*economics!$AI$2:$AI$167*(_xlfn.NORM.DIST(BN$3,economics!$AK$2:$AK$167,economics!$AJ$2:$AJ$167,TRUE)-_xlfn.NORM.DIST(BN$30,economics!$AK$2:$AK$167,economics!$AJ$2:$AJ$167,TRUE))*economics!$AM$2:$AM$167))/(SUMPRODUCT((economics!$AG$2:$AG$167=$B43)*(economics!$D$2:$D$167="process")*economics!$AI$2:$AI$167*(_xlfn.NORM.DIST(BN$3,economics!$AK$2:$AK$167,economics!$AJ$2:$AJ$167,TRUE)-_xlfn.NORM.DIST(BN$30,economics!$AK$2:$AK$167,economics!$AJ$2:$AJ$167,TRUE)))),"")</f>
        <v/>
      </c>
      <c r="BO43">
        <f t="array" ref="BO43">IFERROR((SUMPRODUCT((economics!$AG$2:$AG$167=$B43)*(economics!$D$2:$D$167="process")*economics!$AI$2:$AI$167*(_xlfn.NORM.DIST(BO$3,economics!$AK$2:$AK$167,economics!$AJ$2:$AJ$167,TRUE)-_xlfn.NORM.DIST(BO$30,economics!$AK$2:$AK$167,economics!$AJ$2:$AJ$167,TRUE))*economics!$AM$2:$AM$167))/(SUMPRODUCT((economics!$AG$2:$AG$167=$B43)*(economics!$D$2:$D$167="process")*economics!$AI$2:$AI$167*(_xlfn.NORM.DIST(BO$3,economics!$AK$2:$AK$167,economics!$AJ$2:$AJ$167,TRUE)-_xlfn.NORM.DIST(BO$30,economics!$AK$2:$AK$167,economics!$AJ$2:$AJ$167,TRUE)))),"")</f>
        <v/>
      </c>
      <c r="BP43">
        <f t="array" ref="BP43">IFERROR((SUMPRODUCT((economics!$AG$2:$AG$167=$B43)*(economics!$D$2:$D$167="process")*economics!$AI$2:$AI$167*(_xlfn.NORM.DIST(BP$3,economics!$AK$2:$AK$167,economics!$AJ$2:$AJ$167,TRUE)-_xlfn.NORM.DIST(BP$30,economics!$AK$2:$AK$167,economics!$AJ$2:$AJ$167,TRUE))*economics!$AM$2:$AM$167))/(SUMPRODUCT((economics!$AG$2:$AG$167=$B43)*(economics!$D$2:$D$167="process")*economics!$AI$2:$AI$167*(_xlfn.NORM.DIST(BP$3,economics!$AK$2:$AK$167,economics!$AJ$2:$AJ$167,TRUE)-_xlfn.NORM.DIST(BP$30,economics!$AK$2:$AK$167,economics!$AJ$2:$AJ$167,TRUE)))),"")</f>
        <v/>
      </c>
      <c r="BQ43">
        <f t="array" ref="BQ43">IFERROR((SUMPRODUCT((economics!$AG$2:$AG$167=$B43)*(economics!$D$2:$D$167="process")*economics!$AI$2:$AI$167*(_xlfn.NORM.DIST(BQ$3,economics!$AK$2:$AK$167,economics!$AJ$2:$AJ$167,TRUE)-_xlfn.NORM.DIST(BQ$30,economics!$AK$2:$AK$167,economics!$AJ$2:$AJ$167,TRUE))*economics!$AM$2:$AM$167))/(SUMPRODUCT((economics!$AG$2:$AG$167=$B43)*(economics!$D$2:$D$167="process")*economics!$AI$2:$AI$167*(_xlfn.NORM.DIST(BQ$3,economics!$AK$2:$AK$167,economics!$AJ$2:$AJ$167,TRUE)-_xlfn.NORM.DIST(BQ$30,economics!$AK$2:$AK$167,economics!$AJ$2:$AJ$167,TRUE)))),"")</f>
        <v/>
      </c>
      <c r="BR43">
        <f t="array" ref="BR43">IFERROR((SUMPRODUCT((economics!$AG$2:$AG$167=$B43)*(economics!$D$2:$D$167="process")*economics!$AI$2:$AI$167*(_xlfn.NORM.DIST(BR$3,economics!$AK$2:$AK$167,economics!$AJ$2:$AJ$167,TRUE)-_xlfn.NORM.DIST(BR$30,economics!$AK$2:$AK$167,economics!$AJ$2:$AJ$167,TRUE))*economics!$AM$2:$AM$167))/(SUMPRODUCT((economics!$AG$2:$AG$167=$B43)*(economics!$D$2:$D$167="process")*economics!$AI$2:$AI$167*(_xlfn.NORM.DIST(BR$3,economics!$AK$2:$AK$167,economics!$AJ$2:$AJ$167,TRUE)-_xlfn.NORM.DIST(BR$30,economics!$AK$2:$AK$167,economics!$AJ$2:$AJ$167,TRUE)))),"")</f>
        <v/>
      </c>
      <c r="BS43">
        <f t="array" ref="BS43">IFERROR((SUMPRODUCT((economics!$AG$2:$AG$167=$B43)*(economics!$D$2:$D$167="process")*economics!$AI$2:$AI$167*(_xlfn.NORM.DIST(BS$3,economics!$AK$2:$AK$167,economics!$AJ$2:$AJ$167,TRUE)-_xlfn.NORM.DIST(BS$30,economics!$AK$2:$AK$167,economics!$AJ$2:$AJ$167,TRUE))*economics!$AM$2:$AM$167))/(SUMPRODUCT((economics!$AG$2:$AG$167=$B43)*(economics!$D$2:$D$167="process")*economics!$AI$2:$AI$167*(_xlfn.NORM.DIST(BS$3,economics!$AK$2:$AK$167,economics!$AJ$2:$AJ$167,TRUE)-_xlfn.NORM.DIST(BS$30,economics!$AK$2:$AK$167,economics!$AJ$2:$AJ$167,TRUE)))),"")</f>
        <v/>
      </c>
      <c r="BT43">
        <f t="array" ref="BT43">IFERROR((SUMPRODUCT((economics!$AG$2:$AG$167=$B43)*(economics!$D$2:$D$167="process")*economics!$AI$2:$AI$167*(_xlfn.NORM.DIST(BT$3,economics!$AK$2:$AK$167,economics!$AJ$2:$AJ$167,TRUE)-_xlfn.NORM.DIST(BT$30,economics!$AK$2:$AK$167,economics!$AJ$2:$AJ$167,TRUE))*economics!$AM$2:$AM$167))/(SUMPRODUCT((economics!$AG$2:$AG$167=$B43)*(economics!$D$2:$D$167="process")*economics!$AI$2:$AI$167*(_xlfn.NORM.DIST(BT$3,economics!$AK$2:$AK$167,economics!$AJ$2:$AJ$167,TRUE)-_xlfn.NORM.DIST(BT$30,economics!$AK$2:$AK$167,economics!$AJ$2:$AJ$167,TRUE)))),"")</f>
        <v/>
      </c>
      <c r="BU43">
        <f t="array" ref="BU43">IFERROR((SUMPRODUCT((economics!$AG$2:$AG$167=$B43)*(economics!$D$2:$D$167="process")*economics!$AI$2:$AI$167*(_xlfn.NORM.DIST(BU$3,economics!$AK$2:$AK$167,economics!$AJ$2:$AJ$167,TRUE)-_xlfn.NORM.DIST(BU$30,economics!$AK$2:$AK$167,economics!$AJ$2:$AJ$167,TRUE))*economics!$AM$2:$AM$167))/(SUMPRODUCT((economics!$AG$2:$AG$167=$B43)*(economics!$D$2:$D$167="process")*economics!$AI$2:$AI$167*(_xlfn.NORM.DIST(BU$3,economics!$AK$2:$AK$167,economics!$AJ$2:$AJ$167,TRUE)-_xlfn.NORM.DIST(BU$30,economics!$AK$2:$AK$167,economics!$AJ$2:$AJ$167,TRUE)))),"")</f>
        <v/>
      </c>
      <c r="BV43">
        <f t="array" ref="BV43">IFERROR((SUMPRODUCT((economics!$AG$2:$AG$167=$B43)*(economics!$D$2:$D$167="process")*economics!$AI$2:$AI$167*(_xlfn.NORM.DIST(BV$3,economics!$AK$2:$AK$167,economics!$AJ$2:$AJ$167,TRUE)-_xlfn.NORM.DIST(BV$30,economics!$AK$2:$AK$167,economics!$AJ$2:$AJ$167,TRUE))*economics!$AM$2:$AM$167))/(SUMPRODUCT((economics!$AG$2:$AG$167=$B43)*(economics!$D$2:$D$167="process")*economics!$AI$2:$AI$167*(_xlfn.NORM.DIST(BV$3,economics!$AK$2:$AK$167,economics!$AJ$2:$AJ$167,TRUE)-_xlfn.NORM.DIST(BV$30,economics!$AK$2:$AK$167,economics!$AJ$2:$AJ$167,TRUE)))),"")</f>
        <v/>
      </c>
      <c r="BW43">
        <f t="array" ref="BW43">IFERROR((SUMPRODUCT((economics!$AG$2:$AG$167=$B43)*(economics!$D$2:$D$167="process")*economics!$AI$2:$AI$167*(_xlfn.NORM.DIST(BW$3,economics!$AK$2:$AK$167,economics!$AJ$2:$AJ$167,TRUE)-_xlfn.NORM.DIST(BW$30,economics!$AK$2:$AK$167,economics!$AJ$2:$AJ$167,TRUE))*economics!$AM$2:$AM$167))/(SUMPRODUCT((economics!$AG$2:$AG$167=$B43)*(economics!$D$2:$D$167="process")*economics!$AI$2:$AI$167*(_xlfn.NORM.DIST(BW$3,economics!$AK$2:$AK$167,economics!$AJ$2:$AJ$167,TRUE)-_xlfn.NORM.DIST(BW$30,economics!$AK$2:$AK$167,economics!$AJ$2:$AJ$167,TRUE)))),"")</f>
        <v/>
      </c>
      <c r="BX43">
        <f t="array" ref="BX43">IFERROR((SUMPRODUCT((economics!$AG$2:$AG$167=$B43)*(economics!$D$2:$D$167="process")*economics!$AI$2:$AI$167*(_xlfn.NORM.DIST(BX$3,economics!$AK$2:$AK$167,economics!$AJ$2:$AJ$167,TRUE)-_xlfn.NORM.DIST(BX$30,economics!$AK$2:$AK$167,economics!$AJ$2:$AJ$167,TRUE))*economics!$AM$2:$AM$167))/(SUMPRODUCT((economics!$AG$2:$AG$167=$B43)*(economics!$D$2:$D$167="process")*economics!$AI$2:$AI$167*(_xlfn.NORM.DIST(BX$3,economics!$AK$2:$AK$167,economics!$AJ$2:$AJ$167,TRUE)-_xlfn.NORM.DIST(BX$30,economics!$AK$2:$AK$167,economics!$AJ$2:$AJ$167,TRUE)))),"")</f>
        <v/>
      </c>
      <c r="BY43">
        <f t="array" ref="BY43">IFERROR((SUMPRODUCT((economics!$AG$2:$AG$167=$B43)*(economics!$D$2:$D$167="process")*economics!$AI$2:$AI$167*(_xlfn.NORM.DIST(BY$3,economics!$AK$2:$AK$167,economics!$AJ$2:$AJ$167,TRUE)-_xlfn.NORM.DIST(BY$30,economics!$AK$2:$AK$167,economics!$AJ$2:$AJ$167,TRUE))*economics!$AM$2:$AM$167))/(SUMPRODUCT((economics!$AG$2:$AG$167=$B43)*(economics!$D$2:$D$167="process")*economics!$AI$2:$AI$167*(_xlfn.NORM.DIST(BY$3,economics!$AK$2:$AK$167,economics!$AJ$2:$AJ$167,TRUE)-_xlfn.NORM.DIST(BY$30,economics!$AK$2:$AK$167,economics!$AJ$2:$AJ$167,TRUE)))),"")</f>
        <v/>
      </c>
      <c r="BZ43">
        <f t="array" ref="BZ43">IFERROR((SUMPRODUCT((economics!$AG$2:$AG$167=$B43)*(economics!$D$2:$D$167="process")*economics!$AI$2:$AI$167*(_xlfn.NORM.DIST(BZ$3,economics!$AK$2:$AK$167,economics!$AJ$2:$AJ$167,TRUE)-_xlfn.NORM.DIST(BZ$30,economics!$AK$2:$AK$167,economics!$AJ$2:$AJ$167,TRUE))*economics!$AM$2:$AM$167))/(SUMPRODUCT((economics!$AG$2:$AG$167=$B43)*(economics!$D$2:$D$167="process")*economics!$AI$2:$AI$167*(_xlfn.NORM.DIST(BZ$3,economics!$AK$2:$AK$167,economics!$AJ$2:$AJ$167,TRUE)-_xlfn.NORM.DIST(BZ$30,economics!$AK$2:$AK$167,economics!$AJ$2:$AJ$167,TRUE)))),"")</f>
        <v/>
      </c>
      <c r="CA43">
        <f t="array" ref="CA43">IFERROR((SUMPRODUCT((economics!$AG$2:$AG$167=$B43)*(economics!$D$2:$D$167="process")*economics!$AI$2:$AI$167*(_xlfn.NORM.DIST(CA$3,economics!$AK$2:$AK$167,economics!$AJ$2:$AJ$167,TRUE)-_xlfn.NORM.DIST(CA$30,economics!$AK$2:$AK$167,economics!$AJ$2:$AJ$167,TRUE))*economics!$AM$2:$AM$167))/(SUMPRODUCT((economics!$AG$2:$AG$167=$B43)*(economics!$D$2:$D$167="process")*economics!$AI$2:$AI$167*(_xlfn.NORM.DIST(CA$3,economics!$AK$2:$AK$167,economics!$AJ$2:$AJ$167,TRUE)-_xlfn.NORM.DIST(CA$30,economics!$AK$2:$AK$167,economics!$AJ$2:$AJ$167,TRUE)))),"")</f>
        <v/>
      </c>
      <c r="CB43">
        <f t="array" ref="CB43">IFERROR((SUMPRODUCT((economics!$AG$2:$AG$167=$B43)*(economics!$D$2:$D$167="process")*economics!$AI$2:$AI$167*(_xlfn.NORM.DIST(CB$3,economics!$AK$2:$AK$167,economics!$AJ$2:$AJ$167,TRUE)-_xlfn.NORM.DIST(CB$30,economics!$AK$2:$AK$167,economics!$AJ$2:$AJ$167,TRUE))*economics!$AM$2:$AM$167))/(SUMPRODUCT((economics!$AG$2:$AG$167=$B43)*(economics!$D$2:$D$167="process")*economics!$AI$2:$AI$167*(_xlfn.NORM.DIST(CB$3,economics!$AK$2:$AK$167,economics!$AJ$2:$AJ$167,TRUE)-_xlfn.NORM.DIST(CB$30,economics!$AK$2:$AK$167,economics!$AJ$2:$AJ$167,TRUE)))),"")</f>
        <v/>
      </c>
      <c r="CC43">
        <f t="array" ref="CC43">IFERROR((SUMPRODUCT((economics!$AG$2:$AG$167=$B43)*(economics!$D$2:$D$167="process")*economics!$AI$2:$AI$167*(_xlfn.NORM.DIST(CC$3,economics!$AK$2:$AK$167,economics!$AJ$2:$AJ$167,TRUE)-_xlfn.NORM.DIST(CC$30,economics!$AK$2:$AK$167,economics!$AJ$2:$AJ$167,TRUE))*economics!$AM$2:$AM$167))/(SUMPRODUCT((economics!$AG$2:$AG$167=$B43)*(economics!$D$2:$D$167="process")*economics!$AI$2:$AI$167*(_xlfn.NORM.DIST(CC$3,economics!$AK$2:$AK$167,economics!$AJ$2:$AJ$167,TRUE)-_xlfn.NORM.DIST(CC$30,economics!$AK$2:$AK$167,economics!$AJ$2:$AJ$167,TRUE)))),"")</f>
        <v/>
      </c>
      <c r="CD43">
        <f t="array" ref="CD43">IFERROR((SUMPRODUCT((economics!$AG$2:$AG$167=$B43)*(economics!$D$2:$D$167="process")*economics!$AI$2:$AI$167*(_xlfn.NORM.DIST(CD$3,economics!$AK$2:$AK$167,economics!$AJ$2:$AJ$167,TRUE)-_xlfn.NORM.DIST(CD$30,economics!$AK$2:$AK$167,economics!$AJ$2:$AJ$167,TRUE))*economics!$AM$2:$AM$167))/(SUMPRODUCT((economics!$AG$2:$AG$167=$B43)*(economics!$D$2:$D$167="process")*economics!$AI$2:$AI$167*(_xlfn.NORM.DIST(CD$3,economics!$AK$2:$AK$167,economics!$AJ$2:$AJ$167,TRUE)-_xlfn.NORM.DIST(CD$30,economics!$AK$2:$AK$167,economics!$AJ$2:$AJ$167,TRUE)))),"")</f>
        <v/>
      </c>
      <c r="CE43">
        <f t="array" ref="CE43">IFERROR((SUMPRODUCT((economics!$AG$2:$AG$167=$B43)*(economics!$D$2:$D$167="process")*economics!$AI$2:$AI$167*(_xlfn.NORM.DIST(CE$3,economics!$AK$2:$AK$167,economics!$AJ$2:$AJ$167,TRUE)-_xlfn.NORM.DIST(CE$30,economics!$AK$2:$AK$167,economics!$AJ$2:$AJ$167,TRUE))*economics!$AM$2:$AM$167))/(SUMPRODUCT((economics!$AG$2:$AG$167=$B43)*(economics!$D$2:$D$167="process")*economics!$AI$2:$AI$167*(_xlfn.NORM.DIST(CE$3,economics!$AK$2:$AK$167,economics!$AJ$2:$AJ$167,TRUE)-_xlfn.NORM.DIST(CE$30,economics!$AK$2:$AK$167,economics!$AJ$2:$AJ$167,TRUE)))),"")</f>
        <v/>
      </c>
      <c r="CF43">
        <f t="array" ref="CF43">IFERROR((SUMPRODUCT((economics!$AG$2:$AG$167=$B43)*(economics!$D$2:$D$167="process")*economics!$AI$2:$AI$167*(_xlfn.NORM.DIST(CF$3,economics!$AK$2:$AK$167,economics!$AJ$2:$AJ$167,TRUE)-_xlfn.NORM.DIST(CF$30,economics!$AK$2:$AK$167,economics!$AJ$2:$AJ$167,TRUE))*economics!$AM$2:$AM$167))/(SUMPRODUCT((economics!$AG$2:$AG$167=$B43)*(economics!$D$2:$D$167="process")*economics!$AI$2:$AI$167*(_xlfn.NORM.DIST(CF$3,economics!$AK$2:$AK$167,economics!$AJ$2:$AJ$167,TRUE)-_xlfn.NORM.DIST(CF$30,economics!$AK$2:$AK$167,economics!$AJ$2:$AJ$167,TRUE)))),"")</f>
        <v/>
      </c>
      <c r="CG43">
        <f t="array" ref="CG43">IFERROR((SUMPRODUCT((economics!$AG$2:$AG$167=$B43)*(economics!$D$2:$D$167="process")*economics!$AI$2:$AI$167*(_xlfn.NORM.DIST(CG$3,economics!$AK$2:$AK$167,economics!$AJ$2:$AJ$167,TRUE)-_xlfn.NORM.DIST(CG$30,economics!$AK$2:$AK$167,economics!$AJ$2:$AJ$167,TRUE))*economics!$AM$2:$AM$167))/(SUMPRODUCT((economics!$AG$2:$AG$167=$B43)*(economics!$D$2:$D$167="process")*economics!$AI$2:$AI$167*(_xlfn.NORM.DIST(CG$3,economics!$AK$2:$AK$167,economics!$AJ$2:$AJ$167,TRUE)-_xlfn.NORM.DIST(CG$30,economics!$AK$2:$AK$167,economics!$AJ$2:$AJ$167,TRUE)))),"")</f>
        <v/>
      </c>
      <c r="CH43">
        <f t="array" ref="CH43">IFERROR((SUMPRODUCT((economics!$AG$2:$AG$167=$B43)*(economics!$D$2:$D$167="process")*economics!$AI$2:$AI$167*(_xlfn.NORM.DIST(CH$3,economics!$AK$2:$AK$167,economics!$AJ$2:$AJ$167,TRUE)-_xlfn.NORM.DIST(CH$30,economics!$AK$2:$AK$167,economics!$AJ$2:$AJ$167,TRUE))*economics!$AM$2:$AM$167))/(SUMPRODUCT((economics!$AG$2:$AG$167=$B43)*(economics!$D$2:$D$167="process")*economics!$AI$2:$AI$167*(_xlfn.NORM.DIST(CH$3,economics!$AK$2:$AK$167,economics!$AJ$2:$AJ$167,TRUE)-_xlfn.NORM.DIST(CH$30,economics!$AK$2:$AK$167,economics!$AJ$2:$AJ$167,TRUE)))),"")</f>
        <v/>
      </c>
    </row>
    <row r="44">
      <c r="A44">
        <f>A15</f>
        <v/>
      </c>
      <c r="B44">
        <f>B15</f>
        <v/>
      </c>
      <c r="E44">
        <f t="array" ref="E44">IFERROR((SUMPRODUCT((economics!$AG$2:$AG$167=$B44)*(economics!$D$2:$D$167="process")*economics!$AI$2:$AI$167*(_xlfn.NORM.DIST(E$3,economics!$AK$2:$AK$167,economics!$AJ$2:$AJ$167,TRUE)-_xlfn.NORM.DIST(E$30,economics!$AK$2:$AK$167,economics!$AJ$2:$AJ$167,TRUE))*economics!$AM$2:$AM$167))/(SUMPRODUCT((economics!$AG$2:$AG$167=$B44)*(economics!$D$2:$D$167="process")*economics!$AI$2:$AI$167*(_xlfn.NORM.DIST(E$3,economics!$AK$2:$AK$167,economics!$AJ$2:$AJ$167,TRUE)-_xlfn.NORM.DIST(E$30,economics!$AK$2:$AK$167,economics!$AJ$2:$AJ$167,TRUE)))),"")</f>
        <v/>
      </c>
      <c r="F44">
        <f t="array" ref="F44">IFERROR((SUMPRODUCT((economics!$AG$2:$AG$167=$B44)*(economics!$D$2:$D$167="process")*economics!$AI$2:$AI$167*(_xlfn.NORM.DIST(F$3,economics!$AK$2:$AK$167,economics!$AJ$2:$AJ$167,TRUE)-_xlfn.NORM.DIST(F$30,economics!$AK$2:$AK$167,economics!$AJ$2:$AJ$167,TRUE))*economics!$AM$2:$AM$167))/(SUMPRODUCT((economics!$AG$2:$AG$167=$B44)*(economics!$D$2:$D$167="process")*economics!$AI$2:$AI$167*(_xlfn.NORM.DIST(F$3,economics!$AK$2:$AK$167,economics!$AJ$2:$AJ$167,TRUE)-_xlfn.NORM.DIST(F$30,economics!$AK$2:$AK$167,economics!$AJ$2:$AJ$167,TRUE)))),"")</f>
        <v/>
      </c>
      <c r="G44">
        <f t="array" ref="G44">IFERROR((SUMPRODUCT((economics!$AG$2:$AG$167=$B44)*(economics!$D$2:$D$167="process")*economics!$AI$2:$AI$167*(_xlfn.NORM.DIST(G$3,economics!$AK$2:$AK$167,economics!$AJ$2:$AJ$167,TRUE)-_xlfn.NORM.DIST(G$30,economics!$AK$2:$AK$167,economics!$AJ$2:$AJ$167,TRUE))*economics!$AM$2:$AM$167))/(SUMPRODUCT((economics!$AG$2:$AG$167=$B44)*(economics!$D$2:$D$167="process")*economics!$AI$2:$AI$167*(_xlfn.NORM.DIST(G$3,economics!$AK$2:$AK$167,economics!$AJ$2:$AJ$167,TRUE)-_xlfn.NORM.DIST(G$30,economics!$AK$2:$AK$167,economics!$AJ$2:$AJ$167,TRUE)))),"")</f>
        <v/>
      </c>
      <c r="H44">
        <f t="array" ref="H44">IFERROR((SUMPRODUCT((economics!$AG$2:$AG$167=$B44)*(economics!$D$2:$D$167="process")*economics!$AI$2:$AI$167*(_xlfn.NORM.DIST(H$3,economics!$AK$2:$AK$167,economics!$AJ$2:$AJ$167,TRUE)-_xlfn.NORM.DIST(H$30,economics!$AK$2:$AK$167,economics!$AJ$2:$AJ$167,TRUE))*economics!$AM$2:$AM$167))/(SUMPRODUCT((economics!$AG$2:$AG$167=$B44)*(economics!$D$2:$D$167="process")*economics!$AI$2:$AI$167*(_xlfn.NORM.DIST(H$3,economics!$AK$2:$AK$167,economics!$AJ$2:$AJ$167,TRUE)-_xlfn.NORM.DIST(H$30,economics!$AK$2:$AK$167,economics!$AJ$2:$AJ$167,TRUE)))),"")</f>
        <v/>
      </c>
      <c r="I44">
        <f t="array" ref="I44">IFERROR((SUMPRODUCT((economics!$AG$2:$AG$167=$B44)*(economics!$D$2:$D$167="process")*economics!$AI$2:$AI$167*(_xlfn.NORM.DIST(I$3,economics!$AK$2:$AK$167,economics!$AJ$2:$AJ$167,TRUE)-_xlfn.NORM.DIST(I$30,economics!$AK$2:$AK$167,economics!$AJ$2:$AJ$167,TRUE))*economics!$AM$2:$AM$167))/(SUMPRODUCT((economics!$AG$2:$AG$167=$B44)*(economics!$D$2:$D$167="process")*economics!$AI$2:$AI$167*(_xlfn.NORM.DIST(I$3,economics!$AK$2:$AK$167,economics!$AJ$2:$AJ$167,TRUE)-_xlfn.NORM.DIST(I$30,economics!$AK$2:$AK$167,economics!$AJ$2:$AJ$167,TRUE)))),"")</f>
        <v/>
      </c>
      <c r="J44">
        <f t="array" ref="J44">IFERROR((SUMPRODUCT((economics!$AG$2:$AG$167=$B44)*(economics!$D$2:$D$167="process")*economics!$AI$2:$AI$167*(_xlfn.NORM.DIST(J$3,economics!$AK$2:$AK$167,economics!$AJ$2:$AJ$167,TRUE)-_xlfn.NORM.DIST(J$30,economics!$AK$2:$AK$167,economics!$AJ$2:$AJ$167,TRUE))*economics!$AM$2:$AM$167))/(SUMPRODUCT((economics!$AG$2:$AG$167=$B44)*(economics!$D$2:$D$167="process")*economics!$AI$2:$AI$167*(_xlfn.NORM.DIST(J$3,economics!$AK$2:$AK$167,economics!$AJ$2:$AJ$167,TRUE)-_xlfn.NORM.DIST(J$30,economics!$AK$2:$AK$167,economics!$AJ$2:$AJ$167,TRUE)))),"")</f>
        <v/>
      </c>
      <c r="K44">
        <f t="array" ref="K44">IFERROR((SUMPRODUCT((economics!$AG$2:$AG$167=$B44)*(economics!$D$2:$D$167="process")*economics!$AI$2:$AI$167*(_xlfn.NORM.DIST(K$3,economics!$AK$2:$AK$167,economics!$AJ$2:$AJ$167,TRUE)-_xlfn.NORM.DIST(K$30,economics!$AK$2:$AK$167,economics!$AJ$2:$AJ$167,TRUE))*economics!$AM$2:$AM$167))/(SUMPRODUCT((economics!$AG$2:$AG$167=$B44)*(economics!$D$2:$D$167="process")*economics!$AI$2:$AI$167*(_xlfn.NORM.DIST(K$3,economics!$AK$2:$AK$167,economics!$AJ$2:$AJ$167,TRUE)-_xlfn.NORM.DIST(K$30,economics!$AK$2:$AK$167,economics!$AJ$2:$AJ$167,TRUE)))),"")</f>
        <v/>
      </c>
      <c r="L44">
        <f t="array" ref="L44">IFERROR((SUMPRODUCT((economics!$AG$2:$AG$167=$B44)*(economics!$D$2:$D$167="process")*economics!$AI$2:$AI$167*(_xlfn.NORM.DIST(L$3,economics!$AK$2:$AK$167,economics!$AJ$2:$AJ$167,TRUE)-_xlfn.NORM.DIST(L$30,economics!$AK$2:$AK$167,economics!$AJ$2:$AJ$167,TRUE))*economics!$AM$2:$AM$167))/(SUMPRODUCT((economics!$AG$2:$AG$167=$B44)*(economics!$D$2:$D$167="process")*economics!$AI$2:$AI$167*(_xlfn.NORM.DIST(L$3,economics!$AK$2:$AK$167,economics!$AJ$2:$AJ$167,TRUE)-_xlfn.NORM.DIST(L$30,economics!$AK$2:$AK$167,economics!$AJ$2:$AJ$167,TRUE)))),"")</f>
        <v/>
      </c>
      <c r="M44">
        <f t="array" ref="M44">IFERROR((SUMPRODUCT((economics!$AG$2:$AG$167=$B44)*(economics!$D$2:$D$167="process")*economics!$AI$2:$AI$167*(_xlfn.NORM.DIST(M$3,economics!$AK$2:$AK$167,economics!$AJ$2:$AJ$167,TRUE)-_xlfn.NORM.DIST(M$30,economics!$AK$2:$AK$167,economics!$AJ$2:$AJ$167,TRUE))*economics!$AM$2:$AM$167))/(SUMPRODUCT((economics!$AG$2:$AG$167=$B44)*(economics!$D$2:$D$167="process")*economics!$AI$2:$AI$167*(_xlfn.NORM.DIST(M$3,economics!$AK$2:$AK$167,economics!$AJ$2:$AJ$167,TRUE)-_xlfn.NORM.DIST(M$30,economics!$AK$2:$AK$167,economics!$AJ$2:$AJ$167,TRUE)))),"")</f>
        <v/>
      </c>
      <c r="N44">
        <f t="array" ref="N44">IFERROR((SUMPRODUCT((economics!$AG$2:$AG$167=$B44)*(economics!$D$2:$D$167="process")*economics!$AI$2:$AI$167*(_xlfn.NORM.DIST(N$3,economics!$AK$2:$AK$167,economics!$AJ$2:$AJ$167,TRUE)-_xlfn.NORM.DIST(N$30,economics!$AK$2:$AK$167,economics!$AJ$2:$AJ$167,TRUE))*economics!$AM$2:$AM$167))/(SUMPRODUCT((economics!$AG$2:$AG$167=$B44)*(economics!$D$2:$D$167="process")*economics!$AI$2:$AI$167*(_xlfn.NORM.DIST(N$3,economics!$AK$2:$AK$167,economics!$AJ$2:$AJ$167,TRUE)-_xlfn.NORM.DIST(N$30,economics!$AK$2:$AK$167,economics!$AJ$2:$AJ$167,TRUE)))),"")</f>
        <v/>
      </c>
      <c r="O44">
        <f t="array" ref="O44">IFERROR((SUMPRODUCT((economics!$AG$2:$AG$167=$B44)*(economics!$D$2:$D$167="process")*economics!$AI$2:$AI$167*(_xlfn.NORM.DIST(O$3,economics!$AK$2:$AK$167,economics!$AJ$2:$AJ$167,TRUE)-_xlfn.NORM.DIST(O$30,economics!$AK$2:$AK$167,economics!$AJ$2:$AJ$167,TRUE))*economics!$AM$2:$AM$167))/(SUMPRODUCT((economics!$AG$2:$AG$167=$B44)*(economics!$D$2:$D$167="process")*economics!$AI$2:$AI$167*(_xlfn.NORM.DIST(O$3,economics!$AK$2:$AK$167,economics!$AJ$2:$AJ$167,TRUE)-_xlfn.NORM.DIST(O$30,economics!$AK$2:$AK$167,economics!$AJ$2:$AJ$167,TRUE)))),"")</f>
        <v/>
      </c>
      <c r="P44">
        <f t="array" ref="P44">IFERROR((SUMPRODUCT((economics!$AG$2:$AG$167=$B44)*(economics!$D$2:$D$167="process")*economics!$AI$2:$AI$167*(_xlfn.NORM.DIST(P$3,economics!$AK$2:$AK$167,economics!$AJ$2:$AJ$167,TRUE)-_xlfn.NORM.DIST(P$30,economics!$AK$2:$AK$167,economics!$AJ$2:$AJ$167,TRUE))*economics!$AM$2:$AM$167))/(SUMPRODUCT((economics!$AG$2:$AG$167=$B44)*(economics!$D$2:$D$167="process")*economics!$AI$2:$AI$167*(_xlfn.NORM.DIST(P$3,economics!$AK$2:$AK$167,economics!$AJ$2:$AJ$167,TRUE)-_xlfn.NORM.DIST(P$30,economics!$AK$2:$AK$167,economics!$AJ$2:$AJ$167,TRUE)))),"")</f>
        <v/>
      </c>
      <c r="Q44">
        <f t="array" ref="Q44">IFERROR((SUMPRODUCT((economics!$AG$2:$AG$167=$B44)*(economics!$D$2:$D$167="process")*economics!$AI$2:$AI$167*(_xlfn.NORM.DIST(Q$3,economics!$AK$2:$AK$167,economics!$AJ$2:$AJ$167,TRUE)-_xlfn.NORM.DIST(Q$30,economics!$AK$2:$AK$167,economics!$AJ$2:$AJ$167,TRUE))*economics!$AM$2:$AM$167))/(SUMPRODUCT((economics!$AG$2:$AG$167=$B44)*(economics!$D$2:$D$167="process")*economics!$AI$2:$AI$167*(_xlfn.NORM.DIST(Q$3,economics!$AK$2:$AK$167,economics!$AJ$2:$AJ$167,TRUE)-_xlfn.NORM.DIST(Q$30,economics!$AK$2:$AK$167,economics!$AJ$2:$AJ$167,TRUE)))),"")</f>
        <v/>
      </c>
      <c r="R44">
        <f t="array" ref="R44">IFERROR((SUMPRODUCT((economics!$AG$2:$AG$167=$B44)*(economics!$D$2:$D$167="process")*economics!$AI$2:$AI$167*(_xlfn.NORM.DIST(R$3,economics!$AK$2:$AK$167,economics!$AJ$2:$AJ$167,TRUE)-_xlfn.NORM.DIST(R$30,economics!$AK$2:$AK$167,economics!$AJ$2:$AJ$167,TRUE))*economics!$AM$2:$AM$167))/(SUMPRODUCT((economics!$AG$2:$AG$167=$B44)*(economics!$D$2:$D$167="process")*economics!$AI$2:$AI$167*(_xlfn.NORM.DIST(R$3,economics!$AK$2:$AK$167,economics!$AJ$2:$AJ$167,TRUE)-_xlfn.NORM.DIST(R$30,economics!$AK$2:$AK$167,economics!$AJ$2:$AJ$167,TRUE)))),"")</f>
        <v/>
      </c>
      <c r="S44">
        <f t="array" ref="S44">IFERROR((SUMPRODUCT((economics!$AG$2:$AG$167=$B44)*(economics!$D$2:$D$167="process")*economics!$AI$2:$AI$167*(_xlfn.NORM.DIST(S$3,economics!$AK$2:$AK$167,economics!$AJ$2:$AJ$167,TRUE)-_xlfn.NORM.DIST(S$30,economics!$AK$2:$AK$167,economics!$AJ$2:$AJ$167,TRUE))*economics!$AM$2:$AM$167))/(SUMPRODUCT((economics!$AG$2:$AG$167=$B44)*(economics!$D$2:$D$167="process")*economics!$AI$2:$AI$167*(_xlfn.NORM.DIST(S$3,economics!$AK$2:$AK$167,economics!$AJ$2:$AJ$167,TRUE)-_xlfn.NORM.DIST(S$30,economics!$AK$2:$AK$167,economics!$AJ$2:$AJ$167,TRUE)))),"")</f>
        <v/>
      </c>
      <c r="T44">
        <f t="array" ref="T44">IFERROR((SUMPRODUCT((economics!$AG$2:$AG$167=$B44)*(economics!$D$2:$D$167="process")*economics!$AI$2:$AI$167*(_xlfn.NORM.DIST(T$3,economics!$AK$2:$AK$167,economics!$AJ$2:$AJ$167,TRUE)-_xlfn.NORM.DIST(T$30,economics!$AK$2:$AK$167,economics!$AJ$2:$AJ$167,TRUE))*economics!$AM$2:$AM$167))/(SUMPRODUCT((economics!$AG$2:$AG$167=$B44)*(economics!$D$2:$D$167="process")*economics!$AI$2:$AI$167*(_xlfn.NORM.DIST(T$3,economics!$AK$2:$AK$167,economics!$AJ$2:$AJ$167,TRUE)-_xlfn.NORM.DIST(T$30,economics!$AK$2:$AK$167,economics!$AJ$2:$AJ$167,TRUE)))),"")</f>
        <v/>
      </c>
      <c r="U44">
        <f t="array" ref="U44">IFERROR((SUMPRODUCT((economics!$AG$2:$AG$167=$B44)*(economics!$D$2:$D$167="process")*economics!$AI$2:$AI$167*(_xlfn.NORM.DIST(U$3,economics!$AK$2:$AK$167,economics!$AJ$2:$AJ$167,TRUE)-_xlfn.NORM.DIST(U$30,economics!$AK$2:$AK$167,economics!$AJ$2:$AJ$167,TRUE))*economics!$AM$2:$AM$167))/(SUMPRODUCT((economics!$AG$2:$AG$167=$B44)*(economics!$D$2:$D$167="process")*economics!$AI$2:$AI$167*(_xlfn.NORM.DIST(U$3,economics!$AK$2:$AK$167,economics!$AJ$2:$AJ$167,TRUE)-_xlfn.NORM.DIST(U$30,economics!$AK$2:$AK$167,economics!$AJ$2:$AJ$167,TRUE)))),"")</f>
        <v/>
      </c>
      <c r="V44">
        <f t="array" ref="V44">IFERROR((SUMPRODUCT((economics!$AG$2:$AG$167=$B44)*(economics!$D$2:$D$167="process")*economics!$AI$2:$AI$167*(_xlfn.NORM.DIST(V$3,economics!$AK$2:$AK$167,economics!$AJ$2:$AJ$167,TRUE)-_xlfn.NORM.DIST(V$30,economics!$AK$2:$AK$167,economics!$AJ$2:$AJ$167,TRUE))*economics!$AM$2:$AM$167))/(SUMPRODUCT((economics!$AG$2:$AG$167=$B44)*(economics!$D$2:$D$167="process")*economics!$AI$2:$AI$167*(_xlfn.NORM.DIST(V$3,economics!$AK$2:$AK$167,economics!$AJ$2:$AJ$167,TRUE)-_xlfn.NORM.DIST(V$30,economics!$AK$2:$AK$167,economics!$AJ$2:$AJ$167,TRUE)))),"")</f>
        <v/>
      </c>
      <c r="W44">
        <f t="array" ref="W44">IFERROR((SUMPRODUCT((economics!$AG$2:$AG$167=$B44)*(economics!$D$2:$D$167="process")*economics!$AI$2:$AI$167*(_xlfn.NORM.DIST(W$3,economics!$AK$2:$AK$167,economics!$AJ$2:$AJ$167,TRUE)-_xlfn.NORM.DIST(W$30,economics!$AK$2:$AK$167,economics!$AJ$2:$AJ$167,TRUE))*economics!$AM$2:$AM$167))/(SUMPRODUCT((economics!$AG$2:$AG$167=$B44)*(economics!$D$2:$D$167="process")*economics!$AI$2:$AI$167*(_xlfn.NORM.DIST(W$3,economics!$AK$2:$AK$167,economics!$AJ$2:$AJ$167,TRUE)-_xlfn.NORM.DIST(W$30,economics!$AK$2:$AK$167,economics!$AJ$2:$AJ$167,TRUE)))),"")</f>
        <v/>
      </c>
      <c r="X44">
        <f t="array" ref="X44">IFERROR((SUMPRODUCT((economics!$AG$2:$AG$167=$B44)*(economics!$D$2:$D$167="process")*economics!$AI$2:$AI$167*(_xlfn.NORM.DIST(X$3,economics!$AK$2:$AK$167,economics!$AJ$2:$AJ$167,TRUE)-_xlfn.NORM.DIST(X$30,economics!$AK$2:$AK$167,economics!$AJ$2:$AJ$167,TRUE))*economics!$AM$2:$AM$167))/(SUMPRODUCT((economics!$AG$2:$AG$167=$B44)*(economics!$D$2:$D$167="process")*economics!$AI$2:$AI$167*(_xlfn.NORM.DIST(X$3,economics!$AK$2:$AK$167,economics!$AJ$2:$AJ$167,TRUE)-_xlfn.NORM.DIST(X$30,economics!$AK$2:$AK$167,economics!$AJ$2:$AJ$167,TRUE)))),"")</f>
        <v/>
      </c>
      <c r="Y44">
        <f t="array" ref="Y44">IFERROR((SUMPRODUCT((economics!$AG$2:$AG$167=$B44)*(economics!$D$2:$D$167="process")*economics!$AI$2:$AI$167*(_xlfn.NORM.DIST(Y$3,economics!$AK$2:$AK$167,economics!$AJ$2:$AJ$167,TRUE)-_xlfn.NORM.DIST(Y$30,economics!$AK$2:$AK$167,economics!$AJ$2:$AJ$167,TRUE))*economics!$AM$2:$AM$167))/(SUMPRODUCT((economics!$AG$2:$AG$167=$B44)*(economics!$D$2:$D$167="process")*economics!$AI$2:$AI$167*(_xlfn.NORM.DIST(Y$3,economics!$AK$2:$AK$167,economics!$AJ$2:$AJ$167,TRUE)-_xlfn.NORM.DIST(Y$30,economics!$AK$2:$AK$167,economics!$AJ$2:$AJ$167,TRUE)))),"")</f>
        <v/>
      </c>
      <c r="Z44">
        <f t="array" ref="Z44">IFERROR((SUMPRODUCT((economics!$AG$2:$AG$167=$B44)*(economics!$D$2:$D$167="process")*economics!$AI$2:$AI$167*(_xlfn.NORM.DIST(Z$3,economics!$AK$2:$AK$167,economics!$AJ$2:$AJ$167,TRUE)-_xlfn.NORM.DIST(Z$30,economics!$AK$2:$AK$167,economics!$AJ$2:$AJ$167,TRUE))*economics!$AM$2:$AM$167))/(SUMPRODUCT((economics!$AG$2:$AG$167=$B44)*(economics!$D$2:$D$167="process")*economics!$AI$2:$AI$167*(_xlfn.NORM.DIST(Z$3,economics!$AK$2:$AK$167,economics!$AJ$2:$AJ$167,TRUE)-_xlfn.NORM.DIST(Z$30,economics!$AK$2:$AK$167,economics!$AJ$2:$AJ$167,TRUE)))),"")</f>
        <v/>
      </c>
      <c r="AA44">
        <f t="array" ref="AA44">IFERROR((SUMPRODUCT((economics!$AG$2:$AG$167=$B44)*(economics!$D$2:$D$167="process")*economics!$AI$2:$AI$167*(_xlfn.NORM.DIST(AA$3,economics!$AK$2:$AK$167,economics!$AJ$2:$AJ$167,TRUE)-_xlfn.NORM.DIST(AA$30,economics!$AK$2:$AK$167,economics!$AJ$2:$AJ$167,TRUE))*economics!$AM$2:$AM$167))/(SUMPRODUCT((economics!$AG$2:$AG$167=$B44)*(economics!$D$2:$D$167="process")*economics!$AI$2:$AI$167*(_xlfn.NORM.DIST(AA$3,economics!$AK$2:$AK$167,economics!$AJ$2:$AJ$167,TRUE)-_xlfn.NORM.DIST(AA$30,economics!$AK$2:$AK$167,economics!$AJ$2:$AJ$167,TRUE)))),"")</f>
        <v/>
      </c>
      <c r="AB44">
        <f t="array" ref="AB44">IFERROR((SUMPRODUCT((economics!$AG$2:$AG$167=$B44)*(economics!$D$2:$D$167="process")*economics!$AI$2:$AI$167*(_xlfn.NORM.DIST(AB$3,economics!$AK$2:$AK$167,economics!$AJ$2:$AJ$167,TRUE)-_xlfn.NORM.DIST(AB$30,economics!$AK$2:$AK$167,economics!$AJ$2:$AJ$167,TRUE))*economics!$AM$2:$AM$167))/(SUMPRODUCT((economics!$AG$2:$AG$167=$B44)*(economics!$D$2:$D$167="process")*economics!$AI$2:$AI$167*(_xlfn.NORM.DIST(AB$3,economics!$AK$2:$AK$167,economics!$AJ$2:$AJ$167,TRUE)-_xlfn.NORM.DIST(AB$30,economics!$AK$2:$AK$167,economics!$AJ$2:$AJ$167,TRUE)))),"")</f>
        <v/>
      </c>
      <c r="AC44">
        <f t="array" ref="AC44">IFERROR((SUMPRODUCT((economics!$AG$2:$AG$167=$B44)*(economics!$D$2:$D$167="process")*economics!$AI$2:$AI$167*(_xlfn.NORM.DIST(AC$3,economics!$AK$2:$AK$167,economics!$AJ$2:$AJ$167,TRUE)-_xlfn.NORM.DIST(AC$30,economics!$AK$2:$AK$167,economics!$AJ$2:$AJ$167,TRUE))*economics!$AM$2:$AM$167))/(SUMPRODUCT((economics!$AG$2:$AG$167=$B44)*(economics!$D$2:$D$167="process")*economics!$AI$2:$AI$167*(_xlfn.NORM.DIST(AC$3,economics!$AK$2:$AK$167,economics!$AJ$2:$AJ$167,TRUE)-_xlfn.NORM.DIST(AC$30,economics!$AK$2:$AK$167,economics!$AJ$2:$AJ$167,TRUE)))),"")</f>
        <v/>
      </c>
      <c r="AD44">
        <f t="array" ref="AD44">IFERROR((SUMPRODUCT((economics!$AG$2:$AG$167=$B44)*(economics!$D$2:$D$167="process")*economics!$AI$2:$AI$167*(_xlfn.NORM.DIST(AD$3,economics!$AK$2:$AK$167,economics!$AJ$2:$AJ$167,TRUE)-_xlfn.NORM.DIST(AD$30,economics!$AK$2:$AK$167,economics!$AJ$2:$AJ$167,TRUE))*economics!$AM$2:$AM$167))/(SUMPRODUCT((economics!$AG$2:$AG$167=$B44)*(economics!$D$2:$D$167="process")*economics!$AI$2:$AI$167*(_xlfn.NORM.DIST(AD$3,economics!$AK$2:$AK$167,economics!$AJ$2:$AJ$167,TRUE)-_xlfn.NORM.DIST(AD$30,economics!$AK$2:$AK$167,economics!$AJ$2:$AJ$167,TRUE)))),"")</f>
        <v/>
      </c>
      <c r="AE44">
        <f t="array" ref="AE44">IFERROR((SUMPRODUCT((economics!$AG$2:$AG$167=$B44)*(economics!$D$2:$D$167="process")*economics!$AI$2:$AI$167*(_xlfn.NORM.DIST(AE$3,economics!$AK$2:$AK$167,economics!$AJ$2:$AJ$167,TRUE)-_xlfn.NORM.DIST(AE$30,economics!$AK$2:$AK$167,economics!$AJ$2:$AJ$167,TRUE))*economics!$AM$2:$AM$167))/(SUMPRODUCT((economics!$AG$2:$AG$167=$B44)*(economics!$D$2:$D$167="process")*economics!$AI$2:$AI$167*(_xlfn.NORM.DIST(AE$3,economics!$AK$2:$AK$167,economics!$AJ$2:$AJ$167,TRUE)-_xlfn.NORM.DIST(AE$30,economics!$AK$2:$AK$167,economics!$AJ$2:$AJ$167,TRUE)))),"")</f>
        <v/>
      </c>
      <c r="AF44">
        <f t="array" ref="AF44">IFERROR((SUMPRODUCT((economics!$AG$2:$AG$167=$B44)*(economics!$D$2:$D$167="process")*economics!$AI$2:$AI$167*(_xlfn.NORM.DIST(AF$3,economics!$AK$2:$AK$167,economics!$AJ$2:$AJ$167,TRUE)-_xlfn.NORM.DIST(AF$30,economics!$AK$2:$AK$167,economics!$AJ$2:$AJ$167,TRUE))*economics!$AM$2:$AM$167))/(SUMPRODUCT((economics!$AG$2:$AG$167=$B44)*(economics!$D$2:$D$167="process")*economics!$AI$2:$AI$167*(_xlfn.NORM.DIST(AF$3,economics!$AK$2:$AK$167,economics!$AJ$2:$AJ$167,TRUE)-_xlfn.NORM.DIST(AF$30,economics!$AK$2:$AK$167,economics!$AJ$2:$AJ$167,TRUE)))),"")</f>
        <v/>
      </c>
      <c r="AG44">
        <f t="array" ref="AG44">IFERROR((SUMPRODUCT((economics!$AG$2:$AG$167=$B44)*(economics!$D$2:$D$167="process")*economics!$AI$2:$AI$167*(_xlfn.NORM.DIST(AG$3,economics!$AK$2:$AK$167,economics!$AJ$2:$AJ$167,TRUE)-_xlfn.NORM.DIST(AG$30,economics!$AK$2:$AK$167,economics!$AJ$2:$AJ$167,TRUE))*economics!$AM$2:$AM$167))/(SUMPRODUCT((economics!$AG$2:$AG$167=$B44)*(economics!$D$2:$D$167="process")*economics!$AI$2:$AI$167*(_xlfn.NORM.DIST(AG$3,economics!$AK$2:$AK$167,economics!$AJ$2:$AJ$167,TRUE)-_xlfn.NORM.DIST(AG$30,economics!$AK$2:$AK$167,economics!$AJ$2:$AJ$167,TRUE)))),"")</f>
        <v/>
      </c>
      <c r="AH44">
        <f t="array" ref="AH44">IFERROR((SUMPRODUCT((economics!$AG$2:$AG$167=$B44)*(economics!$D$2:$D$167="process")*economics!$AI$2:$AI$167*(_xlfn.NORM.DIST(AH$3,economics!$AK$2:$AK$167,economics!$AJ$2:$AJ$167,TRUE)-_xlfn.NORM.DIST(AH$30,economics!$AK$2:$AK$167,economics!$AJ$2:$AJ$167,TRUE))*economics!$AM$2:$AM$167))/(SUMPRODUCT((economics!$AG$2:$AG$167=$B44)*(economics!$D$2:$D$167="process")*economics!$AI$2:$AI$167*(_xlfn.NORM.DIST(AH$3,economics!$AK$2:$AK$167,economics!$AJ$2:$AJ$167,TRUE)-_xlfn.NORM.DIST(AH$30,economics!$AK$2:$AK$167,economics!$AJ$2:$AJ$167,TRUE)))),"")</f>
        <v/>
      </c>
      <c r="AI44">
        <f t="array" ref="AI44">IFERROR((SUMPRODUCT((economics!$AG$2:$AG$167=$B44)*(economics!$D$2:$D$167="process")*economics!$AI$2:$AI$167*(_xlfn.NORM.DIST(AI$3,economics!$AK$2:$AK$167,economics!$AJ$2:$AJ$167,TRUE)-_xlfn.NORM.DIST(AI$30,economics!$AK$2:$AK$167,economics!$AJ$2:$AJ$167,TRUE))*economics!$AM$2:$AM$167))/(SUMPRODUCT((economics!$AG$2:$AG$167=$B44)*(economics!$D$2:$D$167="process")*economics!$AI$2:$AI$167*(_xlfn.NORM.DIST(AI$3,economics!$AK$2:$AK$167,economics!$AJ$2:$AJ$167,TRUE)-_xlfn.NORM.DIST(AI$30,economics!$AK$2:$AK$167,economics!$AJ$2:$AJ$167,TRUE)))),"")</f>
        <v/>
      </c>
      <c r="AJ44">
        <f t="array" ref="AJ44">IFERROR((SUMPRODUCT((economics!$AG$2:$AG$167=$B44)*(economics!$D$2:$D$167="process")*economics!$AI$2:$AI$167*(_xlfn.NORM.DIST(AJ$3,economics!$AK$2:$AK$167,economics!$AJ$2:$AJ$167,TRUE)-_xlfn.NORM.DIST(AJ$30,economics!$AK$2:$AK$167,economics!$AJ$2:$AJ$167,TRUE))*economics!$AM$2:$AM$167))/(SUMPRODUCT((economics!$AG$2:$AG$167=$B44)*(economics!$D$2:$D$167="process")*economics!$AI$2:$AI$167*(_xlfn.NORM.DIST(AJ$3,economics!$AK$2:$AK$167,economics!$AJ$2:$AJ$167,TRUE)-_xlfn.NORM.DIST(AJ$30,economics!$AK$2:$AK$167,economics!$AJ$2:$AJ$167,TRUE)))),"")</f>
        <v/>
      </c>
      <c r="AK44">
        <f t="array" ref="AK44">IFERROR((SUMPRODUCT((economics!$AG$2:$AG$167=$B44)*(economics!$D$2:$D$167="process")*economics!$AI$2:$AI$167*(_xlfn.NORM.DIST(AK$3,economics!$AK$2:$AK$167,economics!$AJ$2:$AJ$167,TRUE)-_xlfn.NORM.DIST(AK$30,economics!$AK$2:$AK$167,economics!$AJ$2:$AJ$167,TRUE))*economics!$AM$2:$AM$167))/(SUMPRODUCT((economics!$AG$2:$AG$167=$B44)*(economics!$D$2:$D$167="process")*economics!$AI$2:$AI$167*(_xlfn.NORM.DIST(AK$3,economics!$AK$2:$AK$167,economics!$AJ$2:$AJ$167,TRUE)-_xlfn.NORM.DIST(AK$30,economics!$AK$2:$AK$167,economics!$AJ$2:$AJ$167,TRUE)))),"")</f>
        <v/>
      </c>
      <c r="AL44">
        <f t="array" ref="AL44">IFERROR((SUMPRODUCT((economics!$AG$2:$AG$167=$B44)*(economics!$D$2:$D$167="process")*economics!$AI$2:$AI$167*(_xlfn.NORM.DIST(AL$3,economics!$AK$2:$AK$167,economics!$AJ$2:$AJ$167,TRUE)-_xlfn.NORM.DIST(AL$30,economics!$AK$2:$AK$167,economics!$AJ$2:$AJ$167,TRUE))*economics!$AM$2:$AM$167))/(SUMPRODUCT((economics!$AG$2:$AG$167=$B44)*(economics!$D$2:$D$167="process")*economics!$AI$2:$AI$167*(_xlfn.NORM.DIST(AL$3,economics!$AK$2:$AK$167,economics!$AJ$2:$AJ$167,TRUE)-_xlfn.NORM.DIST(AL$30,economics!$AK$2:$AK$167,economics!$AJ$2:$AJ$167,TRUE)))),"")</f>
        <v/>
      </c>
      <c r="AM44">
        <f t="array" ref="AM44">IFERROR((SUMPRODUCT((economics!$AG$2:$AG$167=$B44)*(economics!$D$2:$D$167="process")*economics!$AI$2:$AI$167*(_xlfn.NORM.DIST(AM$3,economics!$AK$2:$AK$167,economics!$AJ$2:$AJ$167,TRUE)-_xlfn.NORM.DIST(AM$30,economics!$AK$2:$AK$167,economics!$AJ$2:$AJ$167,TRUE))*economics!$AM$2:$AM$167))/(SUMPRODUCT((economics!$AG$2:$AG$167=$B44)*(economics!$D$2:$D$167="process")*economics!$AI$2:$AI$167*(_xlfn.NORM.DIST(AM$3,economics!$AK$2:$AK$167,economics!$AJ$2:$AJ$167,TRUE)-_xlfn.NORM.DIST(AM$30,economics!$AK$2:$AK$167,economics!$AJ$2:$AJ$167,TRUE)))),"")</f>
        <v/>
      </c>
      <c r="AN44">
        <f t="array" ref="AN44">IFERROR((SUMPRODUCT((economics!$AG$2:$AG$167=$B44)*(economics!$D$2:$D$167="process")*economics!$AI$2:$AI$167*(_xlfn.NORM.DIST(AN$3,economics!$AK$2:$AK$167,economics!$AJ$2:$AJ$167,TRUE)-_xlfn.NORM.DIST(AN$30,economics!$AK$2:$AK$167,economics!$AJ$2:$AJ$167,TRUE))*economics!$AM$2:$AM$167))/(SUMPRODUCT((economics!$AG$2:$AG$167=$B44)*(economics!$D$2:$D$167="process")*economics!$AI$2:$AI$167*(_xlfn.NORM.DIST(AN$3,economics!$AK$2:$AK$167,economics!$AJ$2:$AJ$167,TRUE)-_xlfn.NORM.DIST(AN$30,economics!$AK$2:$AK$167,economics!$AJ$2:$AJ$167,TRUE)))),"")</f>
        <v/>
      </c>
      <c r="AO44">
        <f t="array" ref="AO44">IFERROR((SUMPRODUCT((economics!$AG$2:$AG$167=$B44)*(economics!$D$2:$D$167="process")*economics!$AI$2:$AI$167*(_xlfn.NORM.DIST(AO$3,economics!$AK$2:$AK$167,economics!$AJ$2:$AJ$167,TRUE)-_xlfn.NORM.DIST(AO$30,economics!$AK$2:$AK$167,economics!$AJ$2:$AJ$167,TRUE))*economics!$AM$2:$AM$167))/(SUMPRODUCT((economics!$AG$2:$AG$167=$B44)*(economics!$D$2:$D$167="process")*economics!$AI$2:$AI$167*(_xlfn.NORM.DIST(AO$3,economics!$AK$2:$AK$167,economics!$AJ$2:$AJ$167,TRUE)-_xlfn.NORM.DIST(AO$30,economics!$AK$2:$AK$167,economics!$AJ$2:$AJ$167,TRUE)))),"")</f>
        <v/>
      </c>
      <c r="AP44">
        <f t="array" ref="AP44">IFERROR((SUMPRODUCT((economics!$AG$2:$AG$167=$B44)*(economics!$D$2:$D$167="process")*economics!$AI$2:$AI$167*(_xlfn.NORM.DIST(AP$3,economics!$AK$2:$AK$167,economics!$AJ$2:$AJ$167,TRUE)-_xlfn.NORM.DIST(AP$30,economics!$AK$2:$AK$167,economics!$AJ$2:$AJ$167,TRUE))*economics!$AM$2:$AM$167))/(SUMPRODUCT((economics!$AG$2:$AG$167=$B44)*(economics!$D$2:$D$167="process")*economics!$AI$2:$AI$167*(_xlfn.NORM.DIST(AP$3,economics!$AK$2:$AK$167,economics!$AJ$2:$AJ$167,TRUE)-_xlfn.NORM.DIST(AP$30,economics!$AK$2:$AK$167,economics!$AJ$2:$AJ$167,TRUE)))),"")</f>
        <v/>
      </c>
      <c r="AQ44">
        <f t="array" ref="AQ44">IFERROR((SUMPRODUCT((economics!$AG$2:$AG$167=$B44)*(economics!$D$2:$D$167="process")*economics!$AI$2:$AI$167*(_xlfn.NORM.DIST(AQ$3,economics!$AK$2:$AK$167,economics!$AJ$2:$AJ$167,TRUE)-_xlfn.NORM.DIST(AQ$30,economics!$AK$2:$AK$167,economics!$AJ$2:$AJ$167,TRUE))*economics!$AM$2:$AM$167))/(SUMPRODUCT((economics!$AG$2:$AG$167=$B44)*(economics!$D$2:$D$167="process")*economics!$AI$2:$AI$167*(_xlfn.NORM.DIST(AQ$3,economics!$AK$2:$AK$167,economics!$AJ$2:$AJ$167,TRUE)-_xlfn.NORM.DIST(AQ$30,economics!$AK$2:$AK$167,economics!$AJ$2:$AJ$167,TRUE)))),"")</f>
        <v/>
      </c>
      <c r="AR44">
        <f t="array" ref="AR44">IFERROR((SUMPRODUCT((economics!$AG$2:$AG$167=$B44)*(economics!$D$2:$D$167="process")*economics!$AI$2:$AI$167*(_xlfn.NORM.DIST(AR$3,economics!$AK$2:$AK$167,economics!$AJ$2:$AJ$167,TRUE)-_xlfn.NORM.DIST(AR$30,economics!$AK$2:$AK$167,economics!$AJ$2:$AJ$167,TRUE))*economics!$AM$2:$AM$167))/(SUMPRODUCT((economics!$AG$2:$AG$167=$B44)*(economics!$D$2:$D$167="process")*economics!$AI$2:$AI$167*(_xlfn.NORM.DIST(AR$3,economics!$AK$2:$AK$167,economics!$AJ$2:$AJ$167,TRUE)-_xlfn.NORM.DIST(AR$30,economics!$AK$2:$AK$167,economics!$AJ$2:$AJ$167,TRUE)))),"")</f>
        <v/>
      </c>
      <c r="AS44">
        <f t="array" ref="AS44">IFERROR((SUMPRODUCT((economics!$AG$2:$AG$167=$B44)*(economics!$D$2:$D$167="process")*economics!$AI$2:$AI$167*(_xlfn.NORM.DIST(AS$3,economics!$AK$2:$AK$167,economics!$AJ$2:$AJ$167,TRUE)-_xlfn.NORM.DIST(AS$30,economics!$AK$2:$AK$167,economics!$AJ$2:$AJ$167,TRUE))*economics!$AM$2:$AM$167))/(SUMPRODUCT((economics!$AG$2:$AG$167=$B44)*(economics!$D$2:$D$167="process")*economics!$AI$2:$AI$167*(_xlfn.NORM.DIST(AS$3,economics!$AK$2:$AK$167,economics!$AJ$2:$AJ$167,TRUE)-_xlfn.NORM.DIST(AS$30,economics!$AK$2:$AK$167,economics!$AJ$2:$AJ$167,TRUE)))),"")</f>
        <v/>
      </c>
      <c r="AT44">
        <f t="array" ref="AT44">IFERROR((SUMPRODUCT((economics!$AG$2:$AG$167=$B44)*(economics!$D$2:$D$167="process")*economics!$AI$2:$AI$167*(_xlfn.NORM.DIST(AT$3,economics!$AK$2:$AK$167,economics!$AJ$2:$AJ$167,TRUE)-_xlfn.NORM.DIST(AT$30,economics!$AK$2:$AK$167,economics!$AJ$2:$AJ$167,TRUE))*economics!$AM$2:$AM$167))/(SUMPRODUCT((economics!$AG$2:$AG$167=$B44)*(economics!$D$2:$D$167="process")*economics!$AI$2:$AI$167*(_xlfn.NORM.DIST(AT$3,economics!$AK$2:$AK$167,economics!$AJ$2:$AJ$167,TRUE)-_xlfn.NORM.DIST(AT$30,economics!$AK$2:$AK$167,economics!$AJ$2:$AJ$167,TRUE)))),"")</f>
        <v/>
      </c>
      <c r="AU44">
        <f t="array" ref="AU44">IFERROR((SUMPRODUCT((economics!$AG$2:$AG$167=$B44)*(economics!$D$2:$D$167="process")*economics!$AI$2:$AI$167*(_xlfn.NORM.DIST(AU$3,economics!$AK$2:$AK$167,economics!$AJ$2:$AJ$167,TRUE)-_xlfn.NORM.DIST(AU$30,economics!$AK$2:$AK$167,economics!$AJ$2:$AJ$167,TRUE))*economics!$AM$2:$AM$167))/(SUMPRODUCT((economics!$AG$2:$AG$167=$B44)*(economics!$D$2:$D$167="process")*economics!$AI$2:$AI$167*(_xlfn.NORM.DIST(AU$3,economics!$AK$2:$AK$167,economics!$AJ$2:$AJ$167,TRUE)-_xlfn.NORM.DIST(AU$30,economics!$AK$2:$AK$167,economics!$AJ$2:$AJ$167,TRUE)))),"")</f>
        <v/>
      </c>
      <c r="AV44">
        <f t="array" ref="AV44">IFERROR((SUMPRODUCT((economics!$AG$2:$AG$167=$B44)*(economics!$D$2:$D$167="process")*economics!$AI$2:$AI$167*(_xlfn.NORM.DIST(AV$3,economics!$AK$2:$AK$167,economics!$AJ$2:$AJ$167,TRUE)-_xlfn.NORM.DIST(AV$30,economics!$AK$2:$AK$167,economics!$AJ$2:$AJ$167,TRUE))*economics!$AM$2:$AM$167))/(SUMPRODUCT((economics!$AG$2:$AG$167=$B44)*(economics!$D$2:$D$167="process")*economics!$AI$2:$AI$167*(_xlfn.NORM.DIST(AV$3,economics!$AK$2:$AK$167,economics!$AJ$2:$AJ$167,TRUE)-_xlfn.NORM.DIST(AV$30,economics!$AK$2:$AK$167,economics!$AJ$2:$AJ$167,TRUE)))),"")</f>
        <v/>
      </c>
      <c r="AW44">
        <f t="array" ref="AW44">IFERROR((SUMPRODUCT((economics!$AG$2:$AG$167=$B44)*(economics!$D$2:$D$167="process")*economics!$AI$2:$AI$167*(_xlfn.NORM.DIST(AW$3,economics!$AK$2:$AK$167,economics!$AJ$2:$AJ$167,TRUE)-_xlfn.NORM.DIST(AW$30,economics!$AK$2:$AK$167,economics!$AJ$2:$AJ$167,TRUE))*economics!$AM$2:$AM$167))/(SUMPRODUCT((economics!$AG$2:$AG$167=$B44)*(economics!$D$2:$D$167="process")*economics!$AI$2:$AI$167*(_xlfn.NORM.DIST(AW$3,economics!$AK$2:$AK$167,economics!$AJ$2:$AJ$167,TRUE)-_xlfn.NORM.DIST(AW$30,economics!$AK$2:$AK$167,economics!$AJ$2:$AJ$167,TRUE)))),"")</f>
        <v/>
      </c>
      <c r="AX44">
        <f t="array" ref="AX44">IFERROR((SUMPRODUCT((economics!$AG$2:$AG$167=$B44)*(economics!$D$2:$D$167="process")*economics!$AI$2:$AI$167*(_xlfn.NORM.DIST(AX$3,economics!$AK$2:$AK$167,economics!$AJ$2:$AJ$167,TRUE)-_xlfn.NORM.DIST(AX$30,economics!$AK$2:$AK$167,economics!$AJ$2:$AJ$167,TRUE))*economics!$AM$2:$AM$167))/(SUMPRODUCT((economics!$AG$2:$AG$167=$B44)*(economics!$D$2:$D$167="process")*economics!$AI$2:$AI$167*(_xlfn.NORM.DIST(AX$3,economics!$AK$2:$AK$167,economics!$AJ$2:$AJ$167,TRUE)-_xlfn.NORM.DIST(AX$30,economics!$AK$2:$AK$167,economics!$AJ$2:$AJ$167,TRUE)))),"")</f>
        <v/>
      </c>
      <c r="AY44">
        <f t="array" ref="AY44">IFERROR((SUMPRODUCT((economics!$AG$2:$AG$167=$B44)*(economics!$D$2:$D$167="process")*economics!$AI$2:$AI$167*(_xlfn.NORM.DIST(AY$3,economics!$AK$2:$AK$167,economics!$AJ$2:$AJ$167,TRUE)-_xlfn.NORM.DIST(AY$30,economics!$AK$2:$AK$167,economics!$AJ$2:$AJ$167,TRUE))*economics!$AM$2:$AM$167))/(SUMPRODUCT((economics!$AG$2:$AG$167=$B44)*(economics!$D$2:$D$167="process")*economics!$AI$2:$AI$167*(_xlfn.NORM.DIST(AY$3,economics!$AK$2:$AK$167,economics!$AJ$2:$AJ$167,TRUE)-_xlfn.NORM.DIST(AY$30,economics!$AK$2:$AK$167,economics!$AJ$2:$AJ$167,TRUE)))),"")</f>
        <v/>
      </c>
      <c r="AZ44">
        <f t="array" ref="AZ44">IFERROR((SUMPRODUCT((economics!$AG$2:$AG$167=$B44)*(economics!$D$2:$D$167="process")*economics!$AI$2:$AI$167*(_xlfn.NORM.DIST(AZ$3,economics!$AK$2:$AK$167,economics!$AJ$2:$AJ$167,TRUE)-_xlfn.NORM.DIST(AZ$30,economics!$AK$2:$AK$167,economics!$AJ$2:$AJ$167,TRUE))*economics!$AM$2:$AM$167))/(SUMPRODUCT((economics!$AG$2:$AG$167=$B44)*(economics!$D$2:$D$167="process")*economics!$AI$2:$AI$167*(_xlfn.NORM.DIST(AZ$3,economics!$AK$2:$AK$167,economics!$AJ$2:$AJ$167,TRUE)-_xlfn.NORM.DIST(AZ$30,economics!$AK$2:$AK$167,economics!$AJ$2:$AJ$167,TRUE)))),"")</f>
        <v/>
      </c>
      <c r="BA44">
        <f t="array" ref="BA44">IFERROR((SUMPRODUCT((economics!$AG$2:$AG$167=$B44)*(economics!$D$2:$D$167="process")*economics!$AI$2:$AI$167*(_xlfn.NORM.DIST(BA$3,economics!$AK$2:$AK$167,economics!$AJ$2:$AJ$167,TRUE)-_xlfn.NORM.DIST(BA$30,economics!$AK$2:$AK$167,economics!$AJ$2:$AJ$167,TRUE))*economics!$AM$2:$AM$167))/(SUMPRODUCT((economics!$AG$2:$AG$167=$B44)*(economics!$D$2:$D$167="process")*economics!$AI$2:$AI$167*(_xlfn.NORM.DIST(BA$3,economics!$AK$2:$AK$167,economics!$AJ$2:$AJ$167,TRUE)-_xlfn.NORM.DIST(BA$30,economics!$AK$2:$AK$167,economics!$AJ$2:$AJ$167,TRUE)))),"")</f>
        <v/>
      </c>
      <c r="BB44">
        <f t="array" ref="BB44">IFERROR((SUMPRODUCT((economics!$AG$2:$AG$167=$B44)*(economics!$D$2:$D$167="process")*economics!$AI$2:$AI$167*(_xlfn.NORM.DIST(BB$3,economics!$AK$2:$AK$167,economics!$AJ$2:$AJ$167,TRUE)-_xlfn.NORM.DIST(BB$30,economics!$AK$2:$AK$167,economics!$AJ$2:$AJ$167,TRUE))*economics!$AM$2:$AM$167))/(SUMPRODUCT((economics!$AG$2:$AG$167=$B44)*(economics!$D$2:$D$167="process")*economics!$AI$2:$AI$167*(_xlfn.NORM.DIST(BB$3,economics!$AK$2:$AK$167,economics!$AJ$2:$AJ$167,TRUE)-_xlfn.NORM.DIST(BB$30,economics!$AK$2:$AK$167,economics!$AJ$2:$AJ$167,TRUE)))),"")</f>
        <v/>
      </c>
      <c r="BC44">
        <f t="array" ref="BC44">IFERROR((SUMPRODUCT((economics!$AG$2:$AG$167=$B44)*(economics!$D$2:$D$167="process")*economics!$AI$2:$AI$167*(_xlfn.NORM.DIST(BC$3,economics!$AK$2:$AK$167,economics!$AJ$2:$AJ$167,TRUE)-_xlfn.NORM.DIST(BC$30,economics!$AK$2:$AK$167,economics!$AJ$2:$AJ$167,TRUE))*economics!$AM$2:$AM$167))/(SUMPRODUCT((economics!$AG$2:$AG$167=$B44)*(economics!$D$2:$D$167="process")*economics!$AI$2:$AI$167*(_xlfn.NORM.DIST(BC$3,economics!$AK$2:$AK$167,economics!$AJ$2:$AJ$167,TRUE)-_xlfn.NORM.DIST(BC$30,economics!$AK$2:$AK$167,economics!$AJ$2:$AJ$167,TRUE)))),"")</f>
        <v/>
      </c>
      <c r="BD44">
        <f t="array" ref="BD44">IFERROR((SUMPRODUCT((economics!$AG$2:$AG$167=$B44)*(economics!$D$2:$D$167="process")*economics!$AI$2:$AI$167*(_xlfn.NORM.DIST(BD$3,economics!$AK$2:$AK$167,economics!$AJ$2:$AJ$167,TRUE)-_xlfn.NORM.DIST(BD$30,economics!$AK$2:$AK$167,economics!$AJ$2:$AJ$167,TRUE))*economics!$AM$2:$AM$167))/(SUMPRODUCT((economics!$AG$2:$AG$167=$B44)*(economics!$D$2:$D$167="process")*economics!$AI$2:$AI$167*(_xlfn.NORM.DIST(BD$3,economics!$AK$2:$AK$167,economics!$AJ$2:$AJ$167,TRUE)-_xlfn.NORM.DIST(BD$30,economics!$AK$2:$AK$167,economics!$AJ$2:$AJ$167,TRUE)))),"")</f>
        <v/>
      </c>
      <c r="BE44">
        <f t="array" ref="BE44">IFERROR((SUMPRODUCT((economics!$AG$2:$AG$167=$B44)*(economics!$D$2:$D$167="process")*economics!$AI$2:$AI$167*(_xlfn.NORM.DIST(BE$3,economics!$AK$2:$AK$167,economics!$AJ$2:$AJ$167,TRUE)-_xlfn.NORM.DIST(BE$30,economics!$AK$2:$AK$167,economics!$AJ$2:$AJ$167,TRUE))*economics!$AM$2:$AM$167))/(SUMPRODUCT((economics!$AG$2:$AG$167=$B44)*(economics!$D$2:$D$167="process")*economics!$AI$2:$AI$167*(_xlfn.NORM.DIST(BE$3,economics!$AK$2:$AK$167,economics!$AJ$2:$AJ$167,TRUE)-_xlfn.NORM.DIST(BE$30,economics!$AK$2:$AK$167,economics!$AJ$2:$AJ$167,TRUE)))),"")</f>
        <v/>
      </c>
      <c r="BF44">
        <f t="array" ref="BF44">IFERROR((SUMPRODUCT((economics!$AG$2:$AG$167=$B44)*(economics!$D$2:$D$167="process")*economics!$AI$2:$AI$167*(_xlfn.NORM.DIST(BF$3,economics!$AK$2:$AK$167,economics!$AJ$2:$AJ$167,TRUE)-_xlfn.NORM.DIST(BF$30,economics!$AK$2:$AK$167,economics!$AJ$2:$AJ$167,TRUE))*economics!$AM$2:$AM$167))/(SUMPRODUCT((economics!$AG$2:$AG$167=$B44)*(economics!$D$2:$D$167="process")*economics!$AI$2:$AI$167*(_xlfn.NORM.DIST(BF$3,economics!$AK$2:$AK$167,economics!$AJ$2:$AJ$167,TRUE)-_xlfn.NORM.DIST(BF$30,economics!$AK$2:$AK$167,economics!$AJ$2:$AJ$167,TRUE)))),"")</f>
        <v/>
      </c>
      <c r="BG44">
        <f t="array" ref="BG44">IFERROR((SUMPRODUCT((economics!$AG$2:$AG$167=$B44)*(economics!$D$2:$D$167="process")*economics!$AI$2:$AI$167*(_xlfn.NORM.DIST(BG$3,economics!$AK$2:$AK$167,economics!$AJ$2:$AJ$167,TRUE)-_xlfn.NORM.DIST(BG$30,economics!$AK$2:$AK$167,economics!$AJ$2:$AJ$167,TRUE))*economics!$AM$2:$AM$167))/(SUMPRODUCT((economics!$AG$2:$AG$167=$B44)*(economics!$D$2:$D$167="process")*economics!$AI$2:$AI$167*(_xlfn.NORM.DIST(BG$3,economics!$AK$2:$AK$167,economics!$AJ$2:$AJ$167,TRUE)-_xlfn.NORM.DIST(BG$30,economics!$AK$2:$AK$167,economics!$AJ$2:$AJ$167,TRUE)))),"")</f>
        <v/>
      </c>
      <c r="BH44">
        <f t="array" ref="BH44">IFERROR((SUMPRODUCT((economics!$AG$2:$AG$167=$B44)*(economics!$D$2:$D$167="process")*economics!$AI$2:$AI$167*(_xlfn.NORM.DIST(BH$3,economics!$AK$2:$AK$167,economics!$AJ$2:$AJ$167,TRUE)-_xlfn.NORM.DIST(BH$30,economics!$AK$2:$AK$167,economics!$AJ$2:$AJ$167,TRUE))*economics!$AM$2:$AM$167))/(SUMPRODUCT((economics!$AG$2:$AG$167=$B44)*(economics!$D$2:$D$167="process")*economics!$AI$2:$AI$167*(_xlfn.NORM.DIST(BH$3,economics!$AK$2:$AK$167,economics!$AJ$2:$AJ$167,TRUE)-_xlfn.NORM.DIST(BH$30,economics!$AK$2:$AK$167,economics!$AJ$2:$AJ$167,TRUE)))),"")</f>
        <v/>
      </c>
      <c r="BI44">
        <f t="array" ref="BI44">IFERROR((SUMPRODUCT((economics!$AG$2:$AG$167=$B44)*(economics!$D$2:$D$167="process")*economics!$AI$2:$AI$167*(_xlfn.NORM.DIST(BI$3,economics!$AK$2:$AK$167,economics!$AJ$2:$AJ$167,TRUE)-_xlfn.NORM.DIST(BI$30,economics!$AK$2:$AK$167,economics!$AJ$2:$AJ$167,TRUE))*economics!$AM$2:$AM$167))/(SUMPRODUCT((economics!$AG$2:$AG$167=$B44)*(economics!$D$2:$D$167="process")*economics!$AI$2:$AI$167*(_xlfn.NORM.DIST(BI$3,economics!$AK$2:$AK$167,economics!$AJ$2:$AJ$167,TRUE)-_xlfn.NORM.DIST(BI$30,economics!$AK$2:$AK$167,economics!$AJ$2:$AJ$167,TRUE)))),"")</f>
        <v/>
      </c>
      <c r="BJ44">
        <f t="array" ref="BJ44">IFERROR((SUMPRODUCT((economics!$AG$2:$AG$167=$B44)*(economics!$D$2:$D$167="process")*economics!$AI$2:$AI$167*(_xlfn.NORM.DIST(BJ$3,economics!$AK$2:$AK$167,economics!$AJ$2:$AJ$167,TRUE)-_xlfn.NORM.DIST(BJ$30,economics!$AK$2:$AK$167,economics!$AJ$2:$AJ$167,TRUE))*economics!$AM$2:$AM$167))/(SUMPRODUCT((economics!$AG$2:$AG$167=$B44)*(economics!$D$2:$D$167="process")*economics!$AI$2:$AI$167*(_xlfn.NORM.DIST(BJ$3,economics!$AK$2:$AK$167,economics!$AJ$2:$AJ$167,TRUE)-_xlfn.NORM.DIST(BJ$30,economics!$AK$2:$AK$167,economics!$AJ$2:$AJ$167,TRUE)))),"")</f>
        <v/>
      </c>
      <c r="BK44">
        <f t="array" ref="BK44">IFERROR((SUMPRODUCT((economics!$AG$2:$AG$167=$B44)*(economics!$D$2:$D$167="process")*economics!$AI$2:$AI$167*(_xlfn.NORM.DIST(BK$3,economics!$AK$2:$AK$167,economics!$AJ$2:$AJ$167,TRUE)-_xlfn.NORM.DIST(BK$30,economics!$AK$2:$AK$167,economics!$AJ$2:$AJ$167,TRUE))*economics!$AM$2:$AM$167))/(SUMPRODUCT((economics!$AG$2:$AG$167=$B44)*(economics!$D$2:$D$167="process")*economics!$AI$2:$AI$167*(_xlfn.NORM.DIST(BK$3,economics!$AK$2:$AK$167,economics!$AJ$2:$AJ$167,TRUE)-_xlfn.NORM.DIST(BK$30,economics!$AK$2:$AK$167,economics!$AJ$2:$AJ$167,TRUE)))),"")</f>
        <v/>
      </c>
      <c r="BL44">
        <f t="array" ref="BL44">IFERROR((SUMPRODUCT((economics!$AG$2:$AG$167=$B44)*(economics!$D$2:$D$167="process")*economics!$AI$2:$AI$167*(_xlfn.NORM.DIST(BL$3,economics!$AK$2:$AK$167,economics!$AJ$2:$AJ$167,TRUE)-_xlfn.NORM.DIST(BL$30,economics!$AK$2:$AK$167,economics!$AJ$2:$AJ$167,TRUE))*economics!$AM$2:$AM$167))/(SUMPRODUCT((economics!$AG$2:$AG$167=$B44)*(economics!$D$2:$D$167="process")*economics!$AI$2:$AI$167*(_xlfn.NORM.DIST(BL$3,economics!$AK$2:$AK$167,economics!$AJ$2:$AJ$167,TRUE)-_xlfn.NORM.DIST(BL$30,economics!$AK$2:$AK$167,economics!$AJ$2:$AJ$167,TRUE)))),"")</f>
        <v/>
      </c>
      <c r="BM44">
        <f t="array" ref="BM44">IFERROR((SUMPRODUCT((economics!$AG$2:$AG$167=$B44)*(economics!$D$2:$D$167="process")*economics!$AI$2:$AI$167*(_xlfn.NORM.DIST(BM$3,economics!$AK$2:$AK$167,economics!$AJ$2:$AJ$167,TRUE)-_xlfn.NORM.DIST(BM$30,economics!$AK$2:$AK$167,economics!$AJ$2:$AJ$167,TRUE))*economics!$AM$2:$AM$167))/(SUMPRODUCT((economics!$AG$2:$AG$167=$B44)*(economics!$D$2:$D$167="process")*economics!$AI$2:$AI$167*(_xlfn.NORM.DIST(BM$3,economics!$AK$2:$AK$167,economics!$AJ$2:$AJ$167,TRUE)-_xlfn.NORM.DIST(BM$30,economics!$AK$2:$AK$167,economics!$AJ$2:$AJ$167,TRUE)))),"")</f>
        <v/>
      </c>
      <c r="BN44">
        <f t="array" ref="BN44">IFERROR((SUMPRODUCT((economics!$AG$2:$AG$167=$B44)*(economics!$D$2:$D$167="process")*economics!$AI$2:$AI$167*(_xlfn.NORM.DIST(BN$3,economics!$AK$2:$AK$167,economics!$AJ$2:$AJ$167,TRUE)-_xlfn.NORM.DIST(BN$30,economics!$AK$2:$AK$167,economics!$AJ$2:$AJ$167,TRUE))*economics!$AM$2:$AM$167))/(SUMPRODUCT((economics!$AG$2:$AG$167=$B44)*(economics!$D$2:$D$167="process")*economics!$AI$2:$AI$167*(_xlfn.NORM.DIST(BN$3,economics!$AK$2:$AK$167,economics!$AJ$2:$AJ$167,TRUE)-_xlfn.NORM.DIST(BN$30,economics!$AK$2:$AK$167,economics!$AJ$2:$AJ$167,TRUE)))),"")</f>
        <v/>
      </c>
      <c r="BO44">
        <f t="array" ref="BO44">IFERROR((SUMPRODUCT((economics!$AG$2:$AG$167=$B44)*(economics!$D$2:$D$167="process")*economics!$AI$2:$AI$167*(_xlfn.NORM.DIST(BO$3,economics!$AK$2:$AK$167,economics!$AJ$2:$AJ$167,TRUE)-_xlfn.NORM.DIST(BO$30,economics!$AK$2:$AK$167,economics!$AJ$2:$AJ$167,TRUE))*economics!$AM$2:$AM$167))/(SUMPRODUCT((economics!$AG$2:$AG$167=$B44)*(economics!$D$2:$D$167="process")*economics!$AI$2:$AI$167*(_xlfn.NORM.DIST(BO$3,economics!$AK$2:$AK$167,economics!$AJ$2:$AJ$167,TRUE)-_xlfn.NORM.DIST(BO$30,economics!$AK$2:$AK$167,economics!$AJ$2:$AJ$167,TRUE)))),"")</f>
        <v/>
      </c>
      <c r="BP44">
        <f t="array" ref="BP44">IFERROR((SUMPRODUCT((economics!$AG$2:$AG$167=$B44)*(economics!$D$2:$D$167="process")*economics!$AI$2:$AI$167*(_xlfn.NORM.DIST(BP$3,economics!$AK$2:$AK$167,economics!$AJ$2:$AJ$167,TRUE)-_xlfn.NORM.DIST(BP$30,economics!$AK$2:$AK$167,economics!$AJ$2:$AJ$167,TRUE))*economics!$AM$2:$AM$167))/(SUMPRODUCT((economics!$AG$2:$AG$167=$B44)*(economics!$D$2:$D$167="process")*economics!$AI$2:$AI$167*(_xlfn.NORM.DIST(BP$3,economics!$AK$2:$AK$167,economics!$AJ$2:$AJ$167,TRUE)-_xlfn.NORM.DIST(BP$30,economics!$AK$2:$AK$167,economics!$AJ$2:$AJ$167,TRUE)))),"")</f>
        <v/>
      </c>
      <c r="BQ44">
        <f t="array" ref="BQ44">IFERROR((SUMPRODUCT((economics!$AG$2:$AG$167=$B44)*(economics!$D$2:$D$167="process")*economics!$AI$2:$AI$167*(_xlfn.NORM.DIST(BQ$3,economics!$AK$2:$AK$167,economics!$AJ$2:$AJ$167,TRUE)-_xlfn.NORM.DIST(BQ$30,economics!$AK$2:$AK$167,economics!$AJ$2:$AJ$167,TRUE))*economics!$AM$2:$AM$167))/(SUMPRODUCT((economics!$AG$2:$AG$167=$B44)*(economics!$D$2:$D$167="process")*economics!$AI$2:$AI$167*(_xlfn.NORM.DIST(BQ$3,economics!$AK$2:$AK$167,economics!$AJ$2:$AJ$167,TRUE)-_xlfn.NORM.DIST(BQ$30,economics!$AK$2:$AK$167,economics!$AJ$2:$AJ$167,TRUE)))),"")</f>
        <v/>
      </c>
      <c r="BR44">
        <f t="array" ref="BR44">IFERROR((SUMPRODUCT((economics!$AG$2:$AG$167=$B44)*(economics!$D$2:$D$167="process")*economics!$AI$2:$AI$167*(_xlfn.NORM.DIST(BR$3,economics!$AK$2:$AK$167,economics!$AJ$2:$AJ$167,TRUE)-_xlfn.NORM.DIST(BR$30,economics!$AK$2:$AK$167,economics!$AJ$2:$AJ$167,TRUE))*economics!$AM$2:$AM$167))/(SUMPRODUCT((economics!$AG$2:$AG$167=$B44)*(economics!$D$2:$D$167="process")*economics!$AI$2:$AI$167*(_xlfn.NORM.DIST(BR$3,economics!$AK$2:$AK$167,economics!$AJ$2:$AJ$167,TRUE)-_xlfn.NORM.DIST(BR$30,economics!$AK$2:$AK$167,economics!$AJ$2:$AJ$167,TRUE)))),"")</f>
        <v/>
      </c>
      <c r="BS44">
        <f t="array" ref="BS44">IFERROR((SUMPRODUCT((economics!$AG$2:$AG$167=$B44)*(economics!$D$2:$D$167="process")*economics!$AI$2:$AI$167*(_xlfn.NORM.DIST(BS$3,economics!$AK$2:$AK$167,economics!$AJ$2:$AJ$167,TRUE)-_xlfn.NORM.DIST(BS$30,economics!$AK$2:$AK$167,economics!$AJ$2:$AJ$167,TRUE))*economics!$AM$2:$AM$167))/(SUMPRODUCT((economics!$AG$2:$AG$167=$B44)*(economics!$D$2:$D$167="process")*economics!$AI$2:$AI$167*(_xlfn.NORM.DIST(BS$3,economics!$AK$2:$AK$167,economics!$AJ$2:$AJ$167,TRUE)-_xlfn.NORM.DIST(BS$30,economics!$AK$2:$AK$167,economics!$AJ$2:$AJ$167,TRUE)))),"")</f>
        <v/>
      </c>
      <c r="BT44">
        <f t="array" ref="BT44">IFERROR((SUMPRODUCT((economics!$AG$2:$AG$167=$B44)*(economics!$D$2:$D$167="process")*economics!$AI$2:$AI$167*(_xlfn.NORM.DIST(BT$3,economics!$AK$2:$AK$167,economics!$AJ$2:$AJ$167,TRUE)-_xlfn.NORM.DIST(BT$30,economics!$AK$2:$AK$167,economics!$AJ$2:$AJ$167,TRUE))*economics!$AM$2:$AM$167))/(SUMPRODUCT((economics!$AG$2:$AG$167=$B44)*(economics!$D$2:$D$167="process")*economics!$AI$2:$AI$167*(_xlfn.NORM.DIST(BT$3,economics!$AK$2:$AK$167,economics!$AJ$2:$AJ$167,TRUE)-_xlfn.NORM.DIST(BT$30,economics!$AK$2:$AK$167,economics!$AJ$2:$AJ$167,TRUE)))),"")</f>
        <v/>
      </c>
      <c r="BU44">
        <f t="array" ref="BU44">IFERROR((SUMPRODUCT((economics!$AG$2:$AG$167=$B44)*(economics!$D$2:$D$167="process")*economics!$AI$2:$AI$167*(_xlfn.NORM.DIST(BU$3,economics!$AK$2:$AK$167,economics!$AJ$2:$AJ$167,TRUE)-_xlfn.NORM.DIST(BU$30,economics!$AK$2:$AK$167,economics!$AJ$2:$AJ$167,TRUE))*economics!$AM$2:$AM$167))/(SUMPRODUCT((economics!$AG$2:$AG$167=$B44)*(economics!$D$2:$D$167="process")*economics!$AI$2:$AI$167*(_xlfn.NORM.DIST(BU$3,economics!$AK$2:$AK$167,economics!$AJ$2:$AJ$167,TRUE)-_xlfn.NORM.DIST(BU$30,economics!$AK$2:$AK$167,economics!$AJ$2:$AJ$167,TRUE)))),"")</f>
        <v/>
      </c>
      <c r="BV44">
        <f t="array" ref="BV44">IFERROR((SUMPRODUCT((economics!$AG$2:$AG$167=$B44)*(economics!$D$2:$D$167="process")*economics!$AI$2:$AI$167*(_xlfn.NORM.DIST(BV$3,economics!$AK$2:$AK$167,economics!$AJ$2:$AJ$167,TRUE)-_xlfn.NORM.DIST(BV$30,economics!$AK$2:$AK$167,economics!$AJ$2:$AJ$167,TRUE))*economics!$AM$2:$AM$167))/(SUMPRODUCT((economics!$AG$2:$AG$167=$B44)*(economics!$D$2:$D$167="process")*economics!$AI$2:$AI$167*(_xlfn.NORM.DIST(BV$3,economics!$AK$2:$AK$167,economics!$AJ$2:$AJ$167,TRUE)-_xlfn.NORM.DIST(BV$30,economics!$AK$2:$AK$167,economics!$AJ$2:$AJ$167,TRUE)))),"")</f>
        <v/>
      </c>
      <c r="BW44">
        <f t="array" ref="BW44">IFERROR((SUMPRODUCT((economics!$AG$2:$AG$167=$B44)*(economics!$D$2:$D$167="process")*economics!$AI$2:$AI$167*(_xlfn.NORM.DIST(BW$3,economics!$AK$2:$AK$167,economics!$AJ$2:$AJ$167,TRUE)-_xlfn.NORM.DIST(BW$30,economics!$AK$2:$AK$167,economics!$AJ$2:$AJ$167,TRUE))*economics!$AM$2:$AM$167))/(SUMPRODUCT((economics!$AG$2:$AG$167=$B44)*(economics!$D$2:$D$167="process")*economics!$AI$2:$AI$167*(_xlfn.NORM.DIST(BW$3,economics!$AK$2:$AK$167,economics!$AJ$2:$AJ$167,TRUE)-_xlfn.NORM.DIST(BW$30,economics!$AK$2:$AK$167,economics!$AJ$2:$AJ$167,TRUE)))),"")</f>
        <v/>
      </c>
      <c r="BX44">
        <f t="array" ref="BX44">IFERROR((SUMPRODUCT((economics!$AG$2:$AG$167=$B44)*(economics!$D$2:$D$167="process")*economics!$AI$2:$AI$167*(_xlfn.NORM.DIST(BX$3,economics!$AK$2:$AK$167,economics!$AJ$2:$AJ$167,TRUE)-_xlfn.NORM.DIST(BX$30,economics!$AK$2:$AK$167,economics!$AJ$2:$AJ$167,TRUE))*economics!$AM$2:$AM$167))/(SUMPRODUCT((economics!$AG$2:$AG$167=$B44)*(economics!$D$2:$D$167="process")*economics!$AI$2:$AI$167*(_xlfn.NORM.DIST(BX$3,economics!$AK$2:$AK$167,economics!$AJ$2:$AJ$167,TRUE)-_xlfn.NORM.DIST(BX$30,economics!$AK$2:$AK$167,economics!$AJ$2:$AJ$167,TRUE)))),"")</f>
        <v/>
      </c>
      <c r="BY44">
        <f t="array" ref="BY44">IFERROR((SUMPRODUCT((economics!$AG$2:$AG$167=$B44)*(economics!$D$2:$D$167="process")*economics!$AI$2:$AI$167*(_xlfn.NORM.DIST(BY$3,economics!$AK$2:$AK$167,economics!$AJ$2:$AJ$167,TRUE)-_xlfn.NORM.DIST(BY$30,economics!$AK$2:$AK$167,economics!$AJ$2:$AJ$167,TRUE))*economics!$AM$2:$AM$167))/(SUMPRODUCT((economics!$AG$2:$AG$167=$B44)*(economics!$D$2:$D$167="process")*economics!$AI$2:$AI$167*(_xlfn.NORM.DIST(BY$3,economics!$AK$2:$AK$167,economics!$AJ$2:$AJ$167,TRUE)-_xlfn.NORM.DIST(BY$30,economics!$AK$2:$AK$167,economics!$AJ$2:$AJ$167,TRUE)))),"")</f>
        <v/>
      </c>
      <c r="BZ44">
        <f t="array" ref="BZ44">IFERROR((SUMPRODUCT((economics!$AG$2:$AG$167=$B44)*(economics!$D$2:$D$167="process")*economics!$AI$2:$AI$167*(_xlfn.NORM.DIST(BZ$3,economics!$AK$2:$AK$167,economics!$AJ$2:$AJ$167,TRUE)-_xlfn.NORM.DIST(BZ$30,economics!$AK$2:$AK$167,economics!$AJ$2:$AJ$167,TRUE))*economics!$AM$2:$AM$167))/(SUMPRODUCT((economics!$AG$2:$AG$167=$B44)*(economics!$D$2:$D$167="process")*economics!$AI$2:$AI$167*(_xlfn.NORM.DIST(BZ$3,economics!$AK$2:$AK$167,economics!$AJ$2:$AJ$167,TRUE)-_xlfn.NORM.DIST(BZ$30,economics!$AK$2:$AK$167,economics!$AJ$2:$AJ$167,TRUE)))),"")</f>
        <v/>
      </c>
      <c r="CA44">
        <f t="array" ref="CA44">IFERROR((SUMPRODUCT((economics!$AG$2:$AG$167=$B44)*(economics!$D$2:$D$167="process")*economics!$AI$2:$AI$167*(_xlfn.NORM.DIST(CA$3,economics!$AK$2:$AK$167,economics!$AJ$2:$AJ$167,TRUE)-_xlfn.NORM.DIST(CA$30,economics!$AK$2:$AK$167,economics!$AJ$2:$AJ$167,TRUE))*economics!$AM$2:$AM$167))/(SUMPRODUCT((economics!$AG$2:$AG$167=$B44)*(economics!$D$2:$D$167="process")*economics!$AI$2:$AI$167*(_xlfn.NORM.DIST(CA$3,economics!$AK$2:$AK$167,economics!$AJ$2:$AJ$167,TRUE)-_xlfn.NORM.DIST(CA$30,economics!$AK$2:$AK$167,economics!$AJ$2:$AJ$167,TRUE)))),"")</f>
        <v/>
      </c>
      <c r="CB44">
        <f t="array" ref="CB44">IFERROR((SUMPRODUCT((economics!$AG$2:$AG$167=$B44)*(economics!$D$2:$D$167="process")*economics!$AI$2:$AI$167*(_xlfn.NORM.DIST(CB$3,economics!$AK$2:$AK$167,economics!$AJ$2:$AJ$167,TRUE)-_xlfn.NORM.DIST(CB$30,economics!$AK$2:$AK$167,economics!$AJ$2:$AJ$167,TRUE))*economics!$AM$2:$AM$167))/(SUMPRODUCT((economics!$AG$2:$AG$167=$B44)*(economics!$D$2:$D$167="process")*economics!$AI$2:$AI$167*(_xlfn.NORM.DIST(CB$3,economics!$AK$2:$AK$167,economics!$AJ$2:$AJ$167,TRUE)-_xlfn.NORM.DIST(CB$30,economics!$AK$2:$AK$167,economics!$AJ$2:$AJ$167,TRUE)))),"")</f>
        <v/>
      </c>
      <c r="CC44">
        <f t="array" ref="CC44">IFERROR((SUMPRODUCT((economics!$AG$2:$AG$167=$B44)*(economics!$D$2:$D$167="process")*economics!$AI$2:$AI$167*(_xlfn.NORM.DIST(CC$3,economics!$AK$2:$AK$167,economics!$AJ$2:$AJ$167,TRUE)-_xlfn.NORM.DIST(CC$30,economics!$AK$2:$AK$167,economics!$AJ$2:$AJ$167,TRUE))*economics!$AM$2:$AM$167))/(SUMPRODUCT((economics!$AG$2:$AG$167=$B44)*(economics!$D$2:$D$167="process")*economics!$AI$2:$AI$167*(_xlfn.NORM.DIST(CC$3,economics!$AK$2:$AK$167,economics!$AJ$2:$AJ$167,TRUE)-_xlfn.NORM.DIST(CC$30,economics!$AK$2:$AK$167,economics!$AJ$2:$AJ$167,TRUE)))),"")</f>
        <v/>
      </c>
      <c r="CD44">
        <f t="array" ref="CD44">IFERROR((SUMPRODUCT((economics!$AG$2:$AG$167=$B44)*(economics!$D$2:$D$167="process")*economics!$AI$2:$AI$167*(_xlfn.NORM.DIST(CD$3,economics!$AK$2:$AK$167,economics!$AJ$2:$AJ$167,TRUE)-_xlfn.NORM.DIST(CD$30,economics!$AK$2:$AK$167,economics!$AJ$2:$AJ$167,TRUE))*economics!$AM$2:$AM$167))/(SUMPRODUCT((economics!$AG$2:$AG$167=$B44)*(economics!$D$2:$D$167="process")*economics!$AI$2:$AI$167*(_xlfn.NORM.DIST(CD$3,economics!$AK$2:$AK$167,economics!$AJ$2:$AJ$167,TRUE)-_xlfn.NORM.DIST(CD$30,economics!$AK$2:$AK$167,economics!$AJ$2:$AJ$167,TRUE)))),"")</f>
        <v/>
      </c>
      <c r="CE44">
        <f t="array" ref="CE44">IFERROR((SUMPRODUCT((economics!$AG$2:$AG$167=$B44)*(economics!$D$2:$D$167="process")*economics!$AI$2:$AI$167*(_xlfn.NORM.DIST(CE$3,economics!$AK$2:$AK$167,economics!$AJ$2:$AJ$167,TRUE)-_xlfn.NORM.DIST(CE$30,economics!$AK$2:$AK$167,economics!$AJ$2:$AJ$167,TRUE))*economics!$AM$2:$AM$167))/(SUMPRODUCT((economics!$AG$2:$AG$167=$B44)*(economics!$D$2:$D$167="process")*economics!$AI$2:$AI$167*(_xlfn.NORM.DIST(CE$3,economics!$AK$2:$AK$167,economics!$AJ$2:$AJ$167,TRUE)-_xlfn.NORM.DIST(CE$30,economics!$AK$2:$AK$167,economics!$AJ$2:$AJ$167,TRUE)))),"")</f>
        <v/>
      </c>
      <c r="CF44">
        <f t="array" ref="CF44">IFERROR((SUMPRODUCT((economics!$AG$2:$AG$167=$B44)*(economics!$D$2:$D$167="process")*economics!$AI$2:$AI$167*(_xlfn.NORM.DIST(CF$3,economics!$AK$2:$AK$167,economics!$AJ$2:$AJ$167,TRUE)-_xlfn.NORM.DIST(CF$30,economics!$AK$2:$AK$167,economics!$AJ$2:$AJ$167,TRUE))*economics!$AM$2:$AM$167))/(SUMPRODUCT((economics!$AG$2:$AG$167=$B44)*(economics!$D$2:$D$167="process")*economics!$AI$2:$AI$167*(_xlfn.NORM.DIST(CF$3,economics!$AK$2:$AK$167,economics!$AJ$2:$AJ$167,TRUE)-_xlfn.NORM.DIST(CF$30,economics!$AK$2:$AK$167,economics!$AJ$2:$AJ$167,TRUE)))),"")</f>
        <v/>
      </c>
      <c r="CG44">
        <f t="array" ref="CG44">IFERROR((SUMPRODUCT((economics!$AG$2:$AG$167=$B44)*(economics!$D$2:$D$167="process")*economics!$AI$2:$AI$167*(_xlfn.NORM.DIST(CG$3,economics!$AK$2:$AK$167,economics!$AJ$2:$AJ$167,TRUE)-_xlfn.NORM.DIST(CG$30,economics!$AK$2:$AK$167,economics!$AJ$2:$AJ$167,TRUE))*economics!$AM$2:$AM$167))/(SUMPRODUCT((economics!$AG$2:$AG$167=$B44)*(economics!$D$2:$D$167="process")*economics!$AI$2:$AI$167*(_xlfn.NORM.DIST(CG$3,economics!$AK$2:$AK$167,economics!$AJ$2:$AJ$167,TRUE)-_xlfn.NORM.DIST(CG$30,economics!$AK$2:$AK$167,economics!$AJ$2:$AJ$167,TRUE)))),"")</f>
        <v/>
      </c>
      <c r="CH44">
        <f t="array" ref="CH44">IFERROR((SUMPRODUCT((economics!$AG$2:$AG$167=$B44)*(economics!$D$2:$D$167="process")*economics!$AI$2:$AI$167*(_xlfn.NORM.DIST(CH$3,economics!$AK$2:$AK$167,economics!$AJ$2:$AJ$167,TRUE)-_xlfn.NORM.DIST(CH$30,economics!$AK$2:$AK$167,economics!$AJ$2:$AJ$167,TRUE))*economics!$AM$2:$AM$167))/(SUMPRODUCT((economics!$AG$2:$AG$167=$B44)*(economics!$D$2:$D$167="process")*economics!$AI$2:$AI$167*(_xlfn.NORM.DIST(CH$3,economics!$AK$2:$AK$167,economics!$AJ$2:$AJ$167,TRUE)-_xlfn.NORM.DIST(CH$30,economics!$AK$2:$AK$167,economics!$AJ$2:$AJ$167,TRUE)))),"")</f>
        <v/>
      </c>
    </row>
    <row r="45">
      <c r="A45">
        <f>A16</f>
        <v/>
      </c>
      <c r="B45">
        <f>B16</f>
        <v/>
      </c>
      <c r="E45">
        <f t="array" ref="E45">IFERROR((SUMPRODUCT((economics!$AG$2:$AG$167=$B45)*(economics!$D$2:$D$167="process")*economics!$AI$2:$AI$167*(_xlfn.NORM.DIST(E$3,economics!$AK$2:$AK$167,economics!$AJ$2:$AJ$167,TRUE)-_xlfn.NORM.DIST(E$30,economics!$AK$2:$AK$167,economics!$AJ$2:$AJ$167,TRUE))*economics!$AM$2:$AM$167))/(SUMPRODUCT((economics!$AG$2:$AG$167=$B45)*(economics!$D$2:$D$167="process")*economics!$AI$2:$AI$167*(_xlfn.NORM.DIST(E$3,economics!$AK$2:$AK$167,economics!$AJ$2:$AJ$167,TRUE)-_xlfn.NORM.DIST(E$30,economics!$AK$2:$AK$167,economics!$AJ$2:$AJ$167,TRUE)))),"")</f>
        <v/>
      </c>
      <c r="F45">
        <f t="array" ref="F45">IFERROR((SUMPRODUCT((economics!$AG$2:$AG$167=$B45)*(economics!$D$2:$D$167="process")*economics!$AI$2:$AI$167*(_xlfn.NORM.DIST(F$3,economics!$AK$2:$AK$167,economics!$AJ$2:$AJ$167,TRUE)-_xlfn.NORM.DIST(F$30,economics!$AK$2:$AK$167,economics!$AJ$2:$AJ$167,TRUE))*economics!$AM$2:$AM$167))/(SUMPRODUCT((economics!$AG$2:$AG$167=$B45)*(economics!$D$2:$D$167="process")*economics!$AI$2:$AI$167*(_xlfn.NORM.DIST(F$3,economics!$AK$2:$AK$167,economics!$AJ$2:$AJ$167,TRUE)-_xlfn.NORM.DIST(F$30,economics!$AK$2:$AK$167,economics!$AJ$2:$AJ$167,TRUE)))),"")</f>
        <v/>
      </c>
      <c r="G45">
        <f t="array" ref="G45">IFERROR((SUMPRODUCT((economics!$AG$2:$AG$167=$B45)*(economics!$D$2:$D$167="process")*economics!$AI$2:$AI$167*(_xlfn.NORM.DIST(G$3,economics!$AK$2:$AK$167,economics!$AJ$2:$AJ$167,TRUE)-_xlfn.NORM.DIST(G$30,economics!$AK$2:$AK$167,economics!$AJ$2:$AJ$167,TRUE))*economics!$AM$2:$AM$167))/(SUMPRODUCT((economics!$AG$2:$AG$167=$B45)*(economics!$D$2:$D$167="process")*economics!$AI$2:$AI$167*(_xlfn.NORM.DIST(G$3,economics!$AK$2:$AK$167,economics!$AJ$2:$AJ$167,TRUE)-_xlfn.NORM.DIST(G$30,economics!$AK$2:$AK$167,economics!$AJ$2:$AJ$167,TRUE)))),"")</f>
        <v/>
      </c>
      <c r="H45">
        <f t="array" ref="H45">IFERROR((SUMPRODUCT((economics!$AG$2:$AG$167=$B45)*(economics!$D$2:$D$167="process")*economics!$AI$2:$AI$167*(_xlfn.NORM.DIST(H$3,economics!$AK$2:$AK$167,economics!$AJ$2:$AJ$167,TRUE)-_xlfn.NORM.DIST(H$30,economics!$AK$2:$AK$167,economics!$AJ$2:$AJ$167,TRUE))*economics!$AM$2:$AM$167))/(SUMPRODUCT((economics!$AG$2:$AG$167=$B45)*(economics!$D$2:$D$167="process")*economics!$AI$2:$AI$167*(_xlfn.NORM.DIST(H$3,economics!$AK$2:$AK$167,economics!$AJ$2:$AJ$167,TRUE)-_xlfn.NORM.DIST(H$30,economics!$AK$2:$AK$167,economics!$AJ$2:$AJ$167,TRUE)))),"")</f>
        <v/>
      </c>
      <c r="I45">
        <f t="array" ref="I45">IFERROR((SUMPRODUCT((economics!$AG$2:$AG$167=$B45)*(economics!$D$2:$D$167="process")*economics!$AI$2:$AI$167*(_xlfn.NORM.DIST(I$3,economics!$AK$2:$AK$167,economics!$AJ$2:$AJ$167,TRUE)-_xlfn.NORM.DIST(I$30,economics!$AK$2:$AK$167,economics!$AJ$2:$AJ$167,TRUE))*economics!$AM$2:$AM$167))/(SUMPRODUCT((economics!$AG$2:$AG$167=$B45)*(economics!$D$2:$D$167="process")*economics!$AI$2:$AI$167*(_xlfn.NORM.DIST(I$3,economics!$AK$2:$AK$167,economics!$AJ$2:$AJ$167,TRUE)-_xlfn.NORM.DIST(I$30,economics!$AK$2:$AK$167,economics!$AJ$2:$AJ$167,TRUE)))),"")</f>
        <v/>
      </c>
      <c r="J45">
        <f t="array" ref="J45">IFERROR((SUMPRODUCT((economics!$AG$2:$AG$167=$B45)*(economics!$D$2:$D$167="process")*economics!$AI$2:$AI$167*(_xlfn.NORM.DIST(J$3,economics!$AK$2:$AK$167,economics!$AJ$2:$AJ$167,TRUE)-_xlfn.NORM.DIST(J$30,economics!$AK$2:$AK$167,economics!$AJ$2:$AJ$167,TRUE))*economics!$AM$2:$AM$167))/(SUMPRODUCT((economics!$AG$2:$AG$167=$B45)*(economics!$D$2:$D$167="process")*economics!$AI$2:$AI$167*(_xlfn.NORM.DIST(J$3,economics!$AK$2:$AK$167,economics!$AJ$2:$AJ$167,TRUE)-_xlfn.NORM.DIST(J$30,economics!$AK$2:$AK$167,economics!$AJ$2:$AJ$167,TRUE)))),"")</f>
        <v/>
      </c>
      <c r="K45">
        <f t="array" ref="K45">IFERROR((SUMPRODUCT((economics!$AG$2:$AG$167=$B45)*(economics!$D$2:$D$167="process")*economics!$AI$2:$AI$167*(_xlfn.NORM.DIST(K$3,economics!$AK$2:$AK$167,economics!$AJ$2:$AJ$167,TRUE)-_xlfn.NORM.DIST(K$30,economics!$AK$2:$AK$167,economics!$AJ$2:$AJ$167,TRUE))*economics!$AM$2:$AM$167))/(SUMPRODUCT((economics!$AG$2:$AG$167=$B45)*(economics!$D$2:$D$167="process")*economics!$AI$2:$AI$167*(_xlfn.NORM.DIST(K$3,economics!$AK$2:$AK$167,economics!$AJ$2:$AJ$167,TRUE)-_xlfn.NORM.DIST(K$30,economics!$AK$2:$AK$167,economics!$AJ$2:$AJ$167,TRUE)))),"")</f>
        <v/>
      </c>
      <c r="L45">
        <f t="array" ref="L45">IFERROR((SUMPRODUCT((economics!$AG$2:$AG$167=$B45)*(economics!$D$2:$D$167="process")*economics!$AI$2:$AI$167*(_xlfn.NORM.DIST(L$3,economics!$AK$2:$AK$167,economics!$AJ$2:$AJ$167,TRUE)-_xlfn.NORM.DIST(L$30,economics!$AK$2:$AK$167,economics!$AJ$2:$AJ$167,TRUE))*economics!$AM$2:$AM$167))/(SUMPRODUCT((economics!$AG$2:$AG$167=$B45)*(economics!$D$2:$D$167="process")*economics!$AI$2:$AI$167*(_xlfn.NORM.DIST(L$3,economics!$AK$2:$AK$167,economics!$AJ$2:$AJ$167,TRUE)-_xlfn.NORM.DIST(L$30,economics!$AK$2:$AK$167,economics!$AJ$2:$AJ$167,TRUE)))),"")</f>
        <v/>
      </c>
      <c r="M45">
        <f t="array" ref="M45">IFERROR((SUMPRODUCT((economics!$AG$2:$AG$167=$B45)*(economics!$D$2:$D$167="process")*economics!$AI$2:$AI$167*(_xlfn.NORM.DIST(M$3,economics!$AK$2:$AK$167,economics!$AJ$2:$AJ$167,TRUE)-_xlfn.NORM.DIST(M$30,economics!$AK$2:$AK$167,economics!$AJ$2:$AJ$167,TRUE))*economics!$AM$2:$AM$167))/(SUMPRODUCT((economics!$AG$2:$AG$167=$B45)*(economics!$D$2:$D$167="process")*economics!$AI$2:$AI$167*(_xlfn.NORM.DIST(M$3,economics!$AK$2:$AK$167,economics!$AJ$2:$AJ$167,TRUE)-_xlfn.NORM.DIST(M$30,economics!$AK$2:$AK$167,economics!$AJ$2:$AJ$167,TRUE)))),"")</f>
        <v/>
      </c>
      <c r="N45">
        <f t="array" ref="N45">IFERROR((SUMPRODUCT((economics!$AG$2:$AG$167=$B45)*(economics!$D$2:$D$167="process")*economics!$AI$2:$AI$167*(_xlfn.NORM.DIST(N$3,economics!$AK$2:$AK$167,economics!$AJ$2:$AJ$167,TRUE)-_xlfn.NORM.DIST(N$30,economics!$AK$2:$AK$167,economics!$AJ$2:$AJ$167,TRUE))*economics!$AM$2:$AM$167))/(SUMPRODUCT((economics!$AG$2:$AG$167=$B45)*(economics!$D$2:$D$167="process")*economics!$AI$2:$AI$167*(_xlfn.NORM.DIST(N$3,economics!$AK$2:$AK$167,economics!$AJ$2:$AJ$167,TRUE)-_xlfn.NORM.DIST(N$30,economics!$AK$2:$AK$167,economics!$AJ$2:$AJ$167,TRUE)))),"")</f>
        <v/>
      </c>
      <c r="O45">
        <f t="array" ref="O45">IFERROR((SUMPRODUCT((economics!$AG$2:$AG$167=$B45)*(economics!$D$2:$D$167="process")*economics!$AI$2:$AI$167*(_xlfn.NORM.DIST(O$3,economics!$AK$2:$AK$167,economics!$AJ$2:$AJ$167,TRUE)-_xlfn.NORM.DIST(O$30,economics!$AK$2:$AK$167,economics!$AJ$2:$AJ$167,TRUE))*economics!$AM$2:$AM$167))/(SUMPRODUCT((economics!$AG$2:$AG$167=$B45)*(economics!$D$2:$D$167="process")*economics!$AI$2:$AI$167*(_xlfn.NORM.DIST(O$3,economics!$AK$2:$AK$167,economics!$AJ$2:$AJ$167,TRUE)-_xlfn.NORM.DIST(O$30,economics!$AK$2:$AK$167,economics!$AJ$2:$AJ$167,TRUE)))),"")</f>
        <v/>
      </c>
      <c r="P45">
        <f t="array" ref="P45">IFERROR((SUMPRODUCT((economics!$AG$2:$AG$167=$B45)*(economics!$D$2:$D$167="process")*economics!$AI$2:$AI$167*(_xlfn.NORM.DIST(P$3,economics!$AK$2:$AK$167,economics!$AJ$2:$AJ$167,TRUE)-_xlfn.NORM.DIST(P$30,economics!$AK$2:$AK$167,economics!$AJ$2:$AJ$167,TRUE))*economics!$AM$2:$AM$167))/(SUMPRODUCT((economics!$AG$2:$AG$167=$B45)*(economics!$D$2:$D$167="process")*economics!$AI$2:$AI$167*(_xlfn.NORM.DIST(P$3,economics!$AK$2:$AK$167,economics!$AJ$2:$AJ$167,TRUE)-_xlfn.NORM.DIST(P$30,economics!$AK$2:$AK$167,economics!$AJ$2:$AJ$167,TRUE)))),"")</f>
        <v/>
      </c>
      <c r="Q45">
        <f t="array" ref="Q45">IFERROR((SUMPRODUCT((economics!$AG$2:$AG$167=$B45)*(economics!$D$2:$D$167="process")*economics!$AI$2:$AI$167*(_xlfn.NORM.DIST(Q$3,economics!$AK$2:$AK$167,economics!$AJ$2:$AJ$167,TRUE)-_xlfn.NORM.DIST(Q$30,economics!$AK$2:$AK$167,economics!$AJ$2:$AJ$167,TRUE))*economics!$AM$2:$AM$167))/(SUMPRODUCT((economics!$AG$2:$AG$167=$B45)*(economics!$D$2:$D$167="process")*economics!$AI$2:$AI$167*(_xlfn.NORM.DIST(Q$3,economics!$AK$2:$AK$167,economics!$AJ$2:$AJ$167,TRUE)-_xlfn.NORM.DIST(Q$30,economics!$AK$2:$AK$167,economics!$AJ$2:$AJ$167,TRUE)))),"")</f>
        <v/>
      </c>
      <c r="R45">
        <f t="array" ref="R45">IFERROR((SUMPRODUCT((economics!$AG$2:$AG$167=$B45)*(economics!$D$2:$D$167="process")*economics!$AI$2:$AI$167*(_xlfn.NORM.DIST(R$3,economics!$AK$2:$AK$167,economics!$AJ$2:$AJ$167,TRUE)-_xlfn.NORM.DIST(R$30,economics!$AK$2:$AK$167,economics!$AJ$2:$AJ$167,TRUE))*economics!$AM$2:$AM$167))/(SUMPRODUCT((economics!$AG$2:$AG$167=$B45)*(economics!$D$2:$D$167="process")*economics!$AI$2:$AI$167*(_xlfn.NORM.DIST(R$3,economics!$AK$2:$AK$167,economics!$AJ$2:$AJ$167,TRUE)-_xlfn.NORM.DIST(R$30,economics!$AK$2:$AK$167,economics!$AJ$2:$AJ$167,TRUE)))),"")</f>
        <v/>
      </c>
      <c r="S45">
        <f t="array" ref="S45">IFERROR((SUMPRODUCT((economics!$AG$2:$AG$167=$B45)*(economics!$D$2:$D$167="process")*economics!$AI$2:$AI$167*(_xlfn.NORM.DIST(S$3,economics!$AK$2:$AK$167,economics!$AJ$2:$AJ$167,TRUE)-_xlfn.NORM.DIST(S$30,economics!$AK$2:$AK$167,economics!$AJ$2:$AJ$167,TRUE))*economics!$AM$2:$AM$167))/(SUMPRODUCT((economics!$AG$2:$AG$167=$B45)*(economics!$D$2:$D$167="process")*economics!$AI$2:$AI$167*(_xlfn.NORM.DIST(S$3,economics!$AK$2:$AK$167,economics!$AJ$2:$AJ$167,TRUE)-_xlfn.NORM.DIST(S$30,economics!$AK$2:$AK$167,economics!$AJ$2:$AJ$167,TRUE)))),"")</f>
        <v/>
      </c>
      <c r="T45">
        <f t="array" ref="T45">IFERROR((SUMPRODUCT((economics!$AG$2:$AG$167=$B45)*(economics!$D$2:$D$167="process")*economics!$AI$2:$AI$167*(_xlfn.NORM.DIST(T$3,economics!$AK$2:$AK$167,economics!$AJ$2:$AJ$167,TRUE)-_xlfn.NORM.DIST(T$30,economics!$AK$2:$AK$167,economics!$AJ$2:$AJ$167,TRUE))*economics!$AM$2:$AM$167))/(SUMPRODUCT((economics!$AG$2:$AG$167=$B45)*(economics!$D$2:$D$167="process")*economics!$AI$2:$AI$167*(_xlfn.NORM.DIST(T$3,economics!$AK$2:$AK$167,economics!$AJ$2:$AJ$167,TRUE)-_xlfn.NORM.DIST(T$30,economics!$AK$2:$AK$167,economics!$AJ$2:$AJ$167,TRUE)))),"")</f>
        <v/>
      </c>
      <c r="U45">
        <f t="array" ref="U45">IFERROR((SUMPRODUCT((economics!$AG$2:$AG$167=$B45)*(economics!$D$2:$D$167="process")*economics!$AI$2:$AI$167*(_xlfn.NORM.DIST(U$3,economics!$AK$2:$AK$167,economics!$AJ$2:$AJ$167,TRUE)-_xlfn.NORM.DIST(U$30,economics!$AK$2:$AK$167,economics!$AJ$2:$AJ$167,TRUE))*economics!$AM$2:$AM$167))/(SUMPRODUCT((economics!$AG$2:$AG$167=$B45)*(economics!$D$2:$D$167="process")*economics!$AI$2:$AI$167*(_xlfn.NORM.DIST(U$3,economics!$AK$2:$AK$167,economics!$AJ$2:$AJ$167,TRUE)-_xlfn.NORM.DIST(U$30,economics!$AK$2:$AK$167,economics!$AJ$2:$AJ$167,TRUE)))),"")</f>
        <v/>
      </c>
      <c r="V45">
        <f t="array" ref="V45">IFERROR((SUMPRODUCT((economics!$AG$2:$AG$167=$B45)*(economics!$D$2:$D$167="process")*economics!$AI$2:$AI$167*(_xlfn.NORM.DIST(V$3,economics!$AK$2:$AK$167,economics!$AJ$2:$AJ$167,TRUE)-_xlfn.NORM.DIST(V$30,economics!$AK$2:$AK$167,economics!$AJ$2:$AJ$167,TRUE))*economics!$AM$2:$AM$167))/(SUMPRODUCT((economics!$AG$2:$AG$167=$B45)*(economics!$D$2:$D$167="process")*economics!$AI$2:$AI$167*(_xlfn.NORM.DIST(V$3,economics!$AK$2:$AK$167,economics!$AJ$2:$AJ$167,TRUE)-_xlfn.NORM.DIST(V$30,economics!$AK$2:$AK$167,economics!$AJ$2:$AJ$167,TRUE)))),"")</f>
        <v/>
      </c>
      <c r="W45">
        <f t="array" ref="W45">IFERROR((SUMPRODUCT((economics!$AG$2:$AG$167=$B45)*(economics!$D$2:$D$167="process")*economics!$AI$2:$AI$167*(_xlfn.NORM.DIST(W$3,economics!$AK$2:$AK$167,economics!$AJ$2:$AJ$167,TRUE)-_xlfn.NORM.DIST(W$30,economics!$AK$2:$AK$167,economics!$AJ$2:$AJ$167,TRUE))*economics!$AM$2:$AM$167))/(SUMPRODUCT((economics!$AG$2:$AG$167=$B45)*(economics!$D$2:$D$167="process")*economics!$AI$2:$AI$167*(_xlfn.NORM.DIST(W$3,economics!$AK$2:$AK$167,economics!$AJ$2:$AJ$167,TRUE)-_xlfn.NORM.DIST(W$30,economics!$AK$2:$AK$167,economics!$AJ$2:$AJ$167,TRUE)))),"")</f>
        <v/>
      </c>
      <c r="X45">
        <f t="array" ref="X45">IFERROR((SUMPRODUCT((economics!$AG$2:$AG$167=$B45)*(economics!$D$2:$D$167="process")*economics!$AI$2:$AI$167*(_xlfn.NORM.DIST(X$3,economics!$AK$2:$AK$167,economics!$AJ$2:$AJ$167,TRUE)-_xlfn.NORM.DIST(X$30,economics!$AK$2:$AK$167,economics!$AJ$2:$AJ$167,TRUE))*economics!$AM$2:$AM$167))/(SUMPRODUCT((economics!$AG$2:$AG$167=$B45)*(economics!$D$2:$D$167="process")*economics!$AI$2:$AI$167*(_xlfn.NORM.DIST(X$3,economics!$AK$2:$AK$167,economics!$AJ$2:$AJ$167,TRUE)-_xlfn.NORM.DIST(X$30,economics!$AK$2:$AK$167,economics!$AJ$2:$AJ$167,TRUE)))),"")</f>
        <v/>
      </c>
      <c r="Y45">
        <f t="array" ref="Y45">IFERROR((SUMPRODUCT((economics!$AG$2:$AG$167=$B45)*(economics!$D$2:$D$167="process")*economics!$AI$2:$AI$167*(_xlfn.NORM.DIST(Y$3,economics!$AK$2:$AK$167,economics!$AJ$2:$AJ$167,TRUE)-_xlfn.NORM.DIST(Y$30,economics!$AK$2:$AK$167,economics!$AJ$2:$AJ$167,TRUE))*economics!$AM$2:$AM$167))/(SUMPRODUCT((economics!$AG$2:$AG$167=$B45)*(economics!$D$2:$D$167="process")*economics!$AI$2:$AI$167*(_xlfn.NORM.DIST(Y$3,economics!$AK$2:$AK$167,economics!$AJ$2:$AJ$167,TRUE)-_xlfn.NORM.DIST(Y$30,economics!$AK$2:$AK$167,economics!$AJ$2:$AJ$167,TRUE)))),"")</f>
        <v/>
      </c>
      <c r="Z45">
        <f t="array" ref="Z45">IFERROR((SUMPRODUCT((economics!$AG$2:$AG$167=$B45)*(economics!$D$2:$D$167="process")*economics!$AI$2:$AI$167*(_xlfn.NORM.DIST(Z$3,economics!$AK$2:$AK$167,economics!$AJ$2:$AJ$167,TRUE)-_xlfn.NORM.DIST(Z$30,economics!$AK$2:$AK$167,economics!$AJ$2:$AJ$167,TRUE))*economics!$AM$2:$AM$167))/(SUMPRODUCT((economics!$AG$2:$AG$167=$B45)*(economics!$D$2:$D$167="process")*economics!$AI$2:$AI$167*(_xlfn.NORM.DIST(Z$3,economics!$AK$2:$AK$167,economics!$AJ$2:$AJ$167,TRUE)-_xlfn.NORM.DIST(Z$30,economics!$AK$2:$AK$167,economics!$AJ$2:$AJ$167,TRUE)))),"")</f>
        <v/>
      </c>
      <c r="AA45">
        <f t="array" ref="AA45">IFERROR((SUMPRODUCT((economics!$AG$2:$AG$167=$B45)*(economics!$D$2:$D$167="process")*economics!$AI$2:$AI$167*(_xlfn.NORM.DIST(AA$3,economics!$AK$2:$AK$167,economics!$AJ$2:$AJ$167,TRUE)-_xlfn.NORM.DIST(AA$30,economics!$AK$2:$AK$167,economics!$AJ$2:$AJ$167,TRUE))*economics!$AM$2:$AM$167))/(SUMPRODUCT((economics!$AG$2:$AG$167=$B45)*(economics!$D$2:$D$167="process")*economics!$AI$2:$AI$167*(_xlfn.NORM.DIST(AA$3,economics!$AK$2:$AK$167,economics!$AJ$2:$AJ$167,TRUE)-_xlfn.NORM.DIST(AA$30,economics!$AK$2:$AK$167,economics!$AJ$2:$AJ$167,TRUE)))),"")</f>
        <v/>
      </c>
      <c r="AB45">
        <f t="array" ref="AB45">IFERROR((SUMPRODUCT((economics!$AG$2:$AG$167=$B45)*(economics!$D$2:$D$167="process")*economics!$AI$2:$AI$167*(_xlfn.NORM.DIST(AB$3,economics!$AK$2:$AK$167,economics!$AJ$2:$AJ$167,TRUE)-_xlfn.NORM.DIST(AB$30,economics!$AK$2:$AK$167,economics!$AJ$2:$AJ$167,TRUE))*economics!$AM$2:$AM$167))/(SUMPRODUCT((economics!$AG$2:$AG$167=$B45)*(economics!$D$2:$D$167="process")*economics!$AI$2:$AI$167*(_xlfn.NORM.DIST(AB$3,economics!$AK$2:$AK$167,economics!$AJ$2:$AJ$167,TRUE)-_xlfn.NORM.DIST(AB$30,economics!$AK$2:$AK$167,economics!$AJ$2:$AJ$167,TRUE)))),"")</f>
        <v/>
      </c>
      <c r="AC45">
        <f t="array" ref="AC45">IFERROR((SUMPRODUCT((economics!$AG$2:$AG$167=$B45)*(economics!$D$2:$D$167="process")*economics!$AI$2:$AI$167*(_xlfn.NORM.DIST(AC$3,economics!$AK$2:$AK$167,economics!$AJ$2:$AJ$167,TRUE)-_xlfn.NORM.DIST(AC$30,economics!$AK$2:$AK$167,economics!$AJ$2:$AJ$167,TRUE))*economics!$AM$2:$AM$167))/(SUMPRODUCT((economics!$AG$2:$AG$167=$B45)*(economics!$D$2:$D$167="process")*economics!$AI$2:$AI$167*(_xlfn.NORM.DIST(AC$3,economics!$AK$2:$AK$167,economics!$AJ$2:$AJ$167,TRUE)-_xlfn.NORM.DIST(AC$30,economics!$AK$2:$AK$167,economics!$AJ$2:$AJ$167,TRUE)))),"")</f>
        <v/>
      </c>
      <c r="AD45">
        <f t="array" ref="AD45">IFERROR((SUMPRODUCT((economics!$AG$2:$AG$167=$B45)*(economics!$D$2:$D$167="process")*economics!$AI$2:$AI$167*(_xlfn.NORM.DIST(AD$3,economics!$AK$2:$AK$167,economics!$AJ$2:$AJ$167,TRUE)-_xlfn.NORM.DIST(AD$30,economics!$AK$2:$AK$167,economics!$AJ$2:$AJ$167,TRUE))*economics!$AM$2:$AM$167))/(SUMPRODUCT((economics!$AG$2:$AG$167=$B45)*(economics!$D$2:$D$167="process")*economics!$AI$2:$AI$167*(_xlfn.NORM.DIST(AD$3,economics!$AK$2:$AK$167,economics!$AJ$2:$AJ$167,TRUE)-_xlfn.NORM.DIST(AD$30,economics!$AK$2:$AK$167,economics!$AJ$2:$AJ$167,TRUE)))),"")</f>
        <v/>
      </c>
      <c r="AE45">
        <f t="array" ref="AE45">IFERROR((SUMPRODUCT((economics!$AG$2:$AG$167=$B45)*(economics!$D$2:$D$167="process")*economics!$AI$2:$AI$167*(_xlfn.NORM.DIST(AE$3,economics!$AK$2:$AK$167,economics!$AJ$2:$AJ$167,TRUE)-_xlfn.NORM.DIST(AE$30,economics!$AK$2:$AK$167,economics!$AJ$2:$AJ$167,TRUE))*economics!$AM$2:$AM$167))/(SUMPRODUCT((economics!$AG$2:$AG$167=$B45)*(economics!$D$2:$D$167="process")*economics!$AI$2:$AI$167*(_xlfn.NORM.DIST(AE$3,economics!$AK$2:$AK$167,economics!$AJ$2:$AJ$167,TRUE)-_xlfn.NORM.DIST(AE$30,economics!$AK$2:$AK$167,economics!$AJ$2:$AJ$167,TRUE)))),"")</f>
        <v/>
      </c>
      <c r="AF45">
        <f t="array" ref="AF45">IFERROR((SUMPRODUCT((economics!$AG$2:$AG$167=$B45)*(economics!$D$2:$D$167="process")*economics!$AI$2:$AI$167*(_xlfn.NORM.DIST(AF$3,economics!$AK$2:$AK$167,economics!$AJ$2:$AJ$167,TRUE)-_xlfn.NORM.DIST(AF$30,economics!$AK$2:$AK$167,economics!$AJ$2:$AJ$167,TRUE))*economics!$AM$2:$AM$167))/(SUMPRODUCT((economics!$AG$2:$AG$167=$B45)*(economics!$D$2:$D$167="process")*economics!$AI$2:$AI$167*(_xlfn.NORM.DIST(AF$3,economics!$AK$2:$AK$167,economics!$AJ$2:$AJ$167,TRUE)-_xlfn.NORM.DIST(AF$30,economics!$AK$2:$AK$167,economics!$AJ$2:$AJ$167,TRUE)))),"")</f>
        <v/>
      </c>
      <c r="AG45">
        <f t="array" ref="AG45">IFERROR((SUMPRODUCT((economics!$AG$2:$AG$167=$B45)*(economics!$D$2:$D$167="process")*economics!$AI$2:$AI$167*(_xlfn.NORM.DIST(AG$3,economics!$AK$2:$AK$167,economics!$AJ$2:$AJ$167,TRUE)-_xlfn.NORM.DIST(AG$30,economics!$AK$2:$AK$167,economics!$AJ$2:$AJ$167,TRUE))*economics!$AM$2:$AM$167))/(SUMPRODUCT((economics!$AG$2:$AG$167=$B45)*(economics!$D$2:$D$167="process")*economics!$AI$2:$AI$167*(_xlfn.NORM.DIST(AG$3,economics!$AK$2:$AK$167,economics!$AJ$2:$AJ$167,TRUE)-_xlfn.NORM.DIST(AG$30,economics!$AK$2:$AK$167,economics!$AJ$2:$AJ$167,TRUE)))),"")</f>
        <v/>
      </c>
      <c r="AH45">
        <f t="array" ref="AH45">IFERROR((SUMPRODUCT((economics!$AG$2:$AG$167=$B45)*(economics!$D$2:$D$167="process")*economics!$AI$2:$AI$167*(_xlfn.NORM.DIST(AH$3,economics!$AK$2:$AK$167,economics!$AJ$2:$AJ$167,TRUE)-_xlfn.NORM.DIST(AH$30,economics!$AK$2:$AK$167,economics!$AJ$2:$AJ$167,TRUE))*economics!$AM$2:$AM$167))/(SUMPRODUCT((economics!$AG$2:$AG$167=$B45)*(economics!$D$2:$D$167="process")*economics!$AI$2:$AI$167*(_xlfn.NORM.DIST(AH$3,economics!$AK$2:$AK$167,economics!$AJ$2:$AJ$167,TRUE)-_xlfn.NORM.DIST(AH$30,economics!$AK$2:$AK$167,economics!$AJ$2:$AJ$167,TRUE)))),"")</f>
        <v/>
      </c>
      <c r="AI45">
        <f t="array" ref="AI45">IFERROR((SUMPRODUCT((economics!$AG$2:$AG$167=$B45)*(economics!$D$2:$D$167="process")*economics!$AI$2:$AI$167*(_xlfn.NORM.DIST(AI$3,economics!$AK$2:$AK$167,economics!$AJ$2:$AJ$167,TRUE)-_xlfn.NORM.DIST(AI$30,economics!$AK$2:$AK$167,economics!$AJ$2:$AJ$167,TRUE))*economics!$AM$2:$AM$167))/(SUMPRODUCT((economics!$AG$2:$AG$167=$B45)*(economics!$D$2:$D$167="process")*economics!$AI$2:$AI$167*(_xlfn.NORM.DIST(AI$3,economics!$AK$2:$AK$167,economics!$AJ$2:$AJ$167,TRUE)-_xlfn.NORM.DIST(AI$30,economics!$AK$2:$AK$167,economics!$AJ$2:$AJ$167,TRUE)))),"")</f>
        <v/>
      </c>
      <c r="AJ45">
        <f t="array" ref="AJ45">IFERROR((SUMPRODUCT((economics!$AG$2:$AG$167=$B45)*(economics!$D$2:$D$167="process")*economics!$AI$2:$AI$167*(_xlfn.NORM.DIST(AJ$3,economics!$AK$2:$AK$167,economics!$AJ$2:$AJ$167,TRUE)-_xlfn.NORM.DIST(AJ$30,economics!$AK$2:$AK$167,economics!$AJ$2:$AJ$167,TRUE))*economics!$AM$2:$AM$167))/(SUMPRODUCT((economics!$AG$2:$AG$167=$B45)*(economics!$D$2:$D$167="process")*economics!$AI$2:$AI$167*(_xlfn.NORM.DIST(AJ$3,economics!$AK$2:$AK$167,economics!$AJ$2:$AJ$167,TRUE)-_xlfn.NORM.DIST(AJ$30,economics!$AK$2:$AK$167,economics!$AJ$2:$AJ$167,TRUE)))),"")</f>
        <v/>
      </c>
      <c r="AK45">
        <f t="array" ref="AK45">IFERROR((SUMPRODUCT((economics!$AG$2:$AG$167=$B45)*(economics!$D$2:$D$167="process")*economics!$AI$2:$AI$167*(_xlfn.NORM.DIST(AK$3,economics!$AK$2:$AK$167,economics!$AJ$2:$AJ$167,TRUE)-_xlfn.NORM.DIST(AK$30,economics!$AK$2:$AK$167,economics!$AJ$2:$AJ$167,TRUE))*economics!$AM$2:$AM$167))/(SUMPRODUCT((economics!$AG$2:$AG$167=$B45)*(economics!$D$2:$D$167="process")*economics!$AI$2:$AI$167*(_xlfn.NORM.DIST(AK$3,economics!$AK$2:$AK$167,economics!$AJ$2:$AJ$167,TRUE)-_xlfn.NORM.DIST(AK$30,economics!$AK$2:$AK$167,economics!$AJ$2:$AJ$167,TRUE)))),"")</f>
        <v/>
      </c>
      <c r="AL45">
        <f t="array" ref="AL45">IFERROR((SUMPRODUCT((economics!$AG$2:$AG$167=$B45)*(economics!$D$2:$D$167="process")*economics!$AI$2:$AI$167*(_xlfn.NORM.DIST(AL$3,economics!$AK$2:$AK$167,economics!$AJ$2:$AJ$167,TRUE)-_xlfn.NORM.DIST(AL$30,economics!$AK$2:$AK$167,economics!$AJ$2:$AJ$167,TRUE))*economics!$AM$2:$AM$167))/(SUMPRODUCT((economics!$AG$2:$AG$167=$B45)*(economics!$D$2:$D$167="process")*economics!$AI$2:$AI$167*(_xlfn.NORM.DIST(AL$3,economics!$AK$2:$AK$167,economics!$AJ$2:$AJ$167,TRUE)-_xlfn.NORM.DIST(AL$30,economics!$AK$2:$AK$167,economics!$AJ$2:$AJ$167,TRUE)))),"")</f>
        <v/>
      </c>
      <c r="AM45">
        <f t="array" ref="AM45">IFERROR((SUMPRODUCT((economics!$AG$2:$AG$167=$B45)*(economics!$D$2:$D$167="process")*economics!$AI$2:$AI$167*(_xlfn.NORM.DIST(AM$3,economics!$AK$2:$AK$167,economics!$AJ$2:$AJ$167,TRUE)-_xlfn.NORM.DIST(AM$30,economics!$AK$2:$AK$167,economics!$AJ$2:$AJ$167,TRUE))*economics!$AM$2:$AM$167))/(SUMPRODUCT((economics!$AG$2:$AG$167=$B45)*(economics!$D$2:$D$167="process")*economics!$AI$2:$AI$167*(_xlfn.NORM.DIST(AM$3,economics!$AK$2:$AK$167,economics!$AJ$2:$AJ$167,TRUE)-_xlfn.NORM.DIST(AM$30,economics!$AK$2:$AK$167,economics!$AJ$2:$AJ$167,TRUE)))),"")</f>
        <v/>
      </c>
      <c r="AN45">
        <f t="array" ref="AN45">IFERROR((SUMPRODUCT((economics!$AG$2:$AG$167=$B45)*(economics!$D$2:$D$167="process")*economics!$AI$2:$AI$167*(_xlfn.NORM.DIST(AN$3,economics!$AK$2:$AK$167,economics!$AJ$2:$AJ$167,TRUE)-_xlfn.NORM.DIST(AN$30,economics!$AK$2:$AK$167,economics!$AJ$2:$AJ$167,TRUE))*economics!$AM$2:$AM$167))/(SUMPRODUCT((economics!$AG$2:$AG$167=$B45)*(economics!$D$2:$D$167="process")*economics!$AI$2:$AI$167*(_xlfn.NORM.DIST(AN$3,economics!$AK$2:$AK$167,economics!$AJ$2:$AJ$167,TRUE)-_xlfn.NORM.DIST(AN$30,economics!$AK$2:$AK$167,economics!$AJ$2:$AJ$167,TRUE)))),"")</f>
        <v/>
      </c>
      <c r="AO45">
        <f t="array" ref="AO45">IFERROR((SUMPRODUCT((economics!$AG$2:$AG$167=$B45)*(economics!$D$2:$D$167="process")*economics!$AI$2:$AI$167*(_xlfn.NORM.DIST(AO$3,economics!$AK$2:$AK$167,economics!$AJ$2:$AJ$167,TRUE)-_xlfn.NORM.DIST(AO$30,economics!$AK$2:$AK$167,economics!$AJ$2:$AJ$167,TRUE))*economics!$AM$2:$AM$167))/(SUMPRODUCT((economics!$AG$2:$AG$167=$B45)*(economics!$D$2:$D$167="process")*economics!$AI$2:$AI$167*(_xlfn.NORM.DIST(AO$3,economics!$AK$2:$AK$167,economics!$AJ$2:$AJ$167,TRUE)-_xlfn.NORM.DIST(AO$30,economics!$AK$2:$AK$167,economics!$AJ$2:$AJ$167,TRUE)))),"")</f>
        <v/>
      </c>
      <c r="AP45">
        <f t="array" ref="AP45">IFERROR((SUMPRODUCT((economics!$AG$2:$AG$167=$B45)*(economics!$D$2:$D$167="process")*economics!$AI$2:$AI$167*(_xlfn.NORM.DIST(AP$3,economics!$AK$2:$AK$167,economics!$AJ$2:$AJ$167,TRUE)-_xlfn.NORM.DIST(AP$30,economics!$AK$2:$AK$167,economics!$AJ$2:$AJ$167,TRUE))*economics!$AM$2:$AM$167))/(SUMPRODUCT((economics!$AG$2:$AG$167=$B45)*(economics!$D$2:$D$167="process")*economics!$AI$2:$AI$167*(_xlfn.NORM.DIST(AP$3,economics!$AK$2:$AK$167,economics!$AJ$2:$AJ$167,TRUE)-_xlfn.NORM.DIST(AP$30,economics!$AK$2:$AK$167,economics!$AJ$2:$AJ$167,TRUE)))),"")</f>
        <v/>
      </c>
      <c r="AQ45">
        <f t="array" ref="AQ45">IFERROR((SUMPRODUCT((economics!$AG$2:$AG$167=$B45)*(economics!$D$2:$D$167="process")*economics!$AI$2:$AI$167*(_xlfn.NORM.DIST(AQ$3,economics!$AK$2:$AK$167,economics!$AJ$2:$AJ$167,TRUE)-_xlfn.NORM.DIST(AQ$30,economics!$AK$2:$AK$167,economics!$AJ$2:$AJ$167,TRUE))*economics!$AM$2:$AM$167))/(SUMPRODUCT((economics!$AG$2:$AG$167=$B45)*(economics!$D$2:$D$167="process")*economics!$AI$2:$AI$167*(_xlfn.NORM.DIST(AQ$3,economics!$AK$2:$AK$167,economics!$AJ$2:$AJ$167,TRUE)-_xlfn.NORM.DIST(AQ$30,economics!$AK$2:$AK$167,economics!$AJ$2:$AJ$167,TRUE)))),"")</f>
        <v/>
      </c>
      <c r="AR45">
        <f t="array" ref="AR45">IFERROR((SUMPRODUCT((economics!$AG$2:$AG$167=$B45)*(economics!$D$2:$D$167="process")*economics!$AI$2:$AI$167*(_xlfn.NORM.DIST(AR$3,economics!$AK$2:$AK$167,economics!$AJ$2:$AJ$167,TRUE)-_xlfn.NORM.DIST(AR$30,economics!$AK$2:$AK$167,economics!$AJ$2:$AJ$167,TRUE))*economics!$AM$2:$AM$167))/(SUMPRODUCT((economics!$AG$2:$AG$167=$B45)*(economics!$D$2:$D$167="process")*economics!$AI$2:$AI$167*(_xlfn.NORM.DIST(AR$3,economics!$AK$2:$AK$167,economics!$AJ$2:$AJ$167,TRUE)-_xlfn.NORM.DIST(AR$30,economics!$AK$2:$AK$167,economics!$AJ$2:$AJ$167,TRUE)))),"")</f>
        <v/>
      </c>
      <c r="AS45">
        <f t="array" ref="AS45">IFERROR((SUMPRODUCT((economics!$AG$2:$AG$167=$B45)*(economics!$D$2:$D$167="process")*economics!$AI$2:$AI$167*(_xlfn.NORM.DIST(AS$3,economics!$AK$2:$AK$167,economics!$AJ$2:$AJ$167,TRUE)-_xlfn.NORM.DIST(AS$30,economics!$AK$2:$AK$167,economics!$AJ$2:$AJ$167,TRUE))*economics!$AM$2:$AM$167))/(SUMPRODUCT((economics!$AG$2:$AG$167=$B45)*(economics!$D$2:$D$167="process")*economics!$AI$2:$AI$167*(_xlfn.NORM.DIST(AS$3,economics!$AK$2:$AK$167,economics!$AJ$2:$AJ$167,TRUE)-_xlfn.NORM.DIST(AS$30,economics!$AK$2:$AK$167,economics!$AJ$2:$AJ$167,TRUE)))),"")</f>
        <v/>
      </c>
      <c r="AT45">
        <f t="array" ref="AT45">IFERROR((SUMPRODUCT((economics!$AG$2:$AG$167=$B45)*(economics!$D$2:$D$167="process")*economics!$AI$2:$AI$167*(_xlfn.NORM.DIST(AT$3,economics!$AK$2:$AK$167,economics!$AJ$2:$AJ$167,TRUE)-_xlfn.NORM.DIST(AT$30,economics!$AK$2:$AK$167,economics!$AJ$2:$AJ$167,TRUE))*economics!$AM$2:$AM$167))/(SUMPRODUCT((economics!$AG$2:$AG$167=$B45)*(economics!$D$2:$D$167="process")*economics!$AI$2:$AI$167*(_xlfn.NORM.DIST(AT$3,economics!$AK$2:$AK$167,economics!$AJ$2:$AJ$167,TRUE)-_xlfn.NORM.DIST(AT$30,economics!$AK$2:$AK$167,economics!$AJ$2:$AJ$167,TRUE)))),"")</f>
        <v/>
      </c>
      <c r="AU45">
        <f t="array" ref="AU45">IFERROR((SUMPRODUCT((economics!$AG$2:$AG$167=$B45)*(economics!$D$2:$D$167="process")*economics!$AI$2:$AI$167*(_xlfn.NORM.DIST(AU$3,economics!$AK$2:$AK$167,economics!$AJ$2:$AJ$167,TRUE)-_xlfn.NORM.DIST(AU$30,economics!$AK$2:$AK$167,economics!$AJ$2:$AJ$167,TRUE))*economics!$AM$2:$AM$167))/(SUMPRODUCT((economics!$AG$2:$AG$167=$B45)*(economics!$D$2:$D$167="process")*economics!$AI$2:$AI$167*(_xlfn.NORM.DIST(AU$3,economics!$AK$2:$AK$167,economics!$AJ$2:$AJ$167,TRUE)-_xlfn.NORM.DIST(AU$30,economics!$AK$2:$AK$167,economics!$AJ$2:$AJ$167,TRUE)))),"")</f>
        <v/>
      </c>
      <c r="AV45">
        <f t="array" ref="AV45">IFERROR((SUMPRODUCT((economics!$AG$2:$AG$167=$B45)*(economics!$D$2:$D$167="process")*economics!$AI$2:$AI$167*(_xlfn.NORM.DIST(AV$3,economics!$AK$2:$AK$167,economics!$AJ$2:$AJ$167,TRUE)-_xlfn.NORM.DIST(AV$30,economics!$AK$2:$AK$167,economics!$AJ$2:$AJ$167,TRUE))*economics!$AM$2:$AM$167))/(SUMPRODUCT((economics!$AG$2:$AG$167=$B45)*(economics!$D$2:$D$167="process")*economics!$AI$2:$AI$167*(_xlfn.NORM.DIST(AV$3,economics!$AK$2:$AK$167,economics!$AJ$2:$AJ$167,TRUE)-_xlfn.NORM.DIST(AV$30,economics!$AK$2:$AK$167,economics!$AJ$2:$AJ$167,TRUE)))),"")</f>
        <v/>
      </c>
      <c r="AW45">
        <f t="array" ref="AW45">IFERROR((SUMPRODUCT((economics!$AG$2:$AG$167=$B45)*(economics!$D$2:$D$167="process")*economics!$AI$2:$AI$167*(_xlfn.NORM.DIST(AW$3,economics!$AK$2:$AK$167,economics!$AJ$2:$AJ$167,TRUE)-_xlfn.NORM.DIST(AW$30,economics!$AK$2:$AK$167,economics!$AJ$2:$AJ$167,TRUE))*economics!$AM$2:$AM$167))/(SUMPRODUCT((economics!$AG$2:$AG$167=$B45)*(economics!$D$2:$D$167="process")*economics!$AI$2:$AI$167*(_xlfn.NORM.DIST(AW$3,economics!$AK$2:$AK$167,economics!$AJ$2:$AJ$167,TRUE)-_xlfn.NORM.DIST(AW$30,economics!$AK$2:$AK$167,economics!$AJ$2:$AJ$167,TRUE)))),"")</f>
        <v/>
      </c>
      <c r="AX45">
        <f t="array" ref="AX45">IFERROR((SUMPRODUCT((economics!$AG$2:$AG$167=$B45)*(economics!$D$2:$D$167="process")*economics!$AI$2:$AI$167*(_xlfn.NORM.DIST(AX$3,economics!$AK$2:$AK$167,economics!$AJ$2:$AJ$167,TRUE)-_xlfn.NORM.DIST(AX$30,economics!$AK$2:$AK$167,economics!$AJ$2:$AJ$167,TRUE))*economics!$AM$2:$AM$167))/(SUMPRODUCT((economics!$AG$2:$AG$167=$B45)*(economics!$D$2:$D$167="process")*economics!$AI$2:$AI$167*(_xlfn.NORM.DIST(AX$3,economics!$AK$2:$AK$167,economics!$AJ$2:$AJ$167,TRUE)-_xlfn.NORM.DIST(AX$30,economics!$AK$2:$AK$167,economics!$AJ$2:$AJ$167,TRUE)))),"")</f>
        <v/>
      </c>
      <c r="AY45">
        <f t="array" ref="AY45">IFERROR((SUMPRODUCT((economics!$AG$2:$AG$167=$B45)*(economics!$D$2:$D$167="process")*economics!$AI$2:$AI$167*(_xlfn.NORM.DIST(AY$3,economics!$AK$2:$AK$167,economics!$AJ$2:$AJ$167,TRUE)-_xlfn.NORM.DIST(AY$30,economics!$AK$2:$AK$167,economics!$AJ$2:$AJ$167,TRUE))*economics!$AM$2:$AM$167))/(SUMPRODUCT((economics!$AG$2:$AG$167=$B45)*(economics!$D$2:$D$167="process")*economics!$AI$2:$AI$167*(_xlfn.NORM.DIST(AY$3,economics!$AK$2:$AK$167,economics!$AJ$2:$AJ$167,TRUE)-_xlfn.NORM.DIST(AY$30,economics!$AK$2:$AK$167,economics!$AJ$2:$AJ$167,TRUE)))),"")</f>
        <v/>
      </c>
      <c r="AZ45">
        <f t="array" ref="AZ45">IFERROR((SUMPRODUCT((economics!$AG$2:$AG$167=$B45)*(economics!$D$2:$D$167="process")*economics!$AI$2:$AI$167*(_xlfn.NORM.DIST(AZ$3,economics!$AK$2:$AK$167,economics!$AJ$2:$AJ$167,TRUE)-_xlfn.NORM.DIST(AZ$30,economics!$AK$2:$AK$167,economics!$AJ$2:$AJ$167,TRUE))*economics!$AM$2:$AM$167))/(SUMPRODUCT((economics!$AG$2:$AG$167=$B45)*(economics!$D$2:$D$167="process")*economics!$AI$2:$AI$167*(_xlfn.NORM.DIST(AZ$3,economics!$AK$2:$AK$167,economics!$AJ$2:$AJ$167,TRUE)-_xlfn.NORM.DIST(AZ$30,economics!$AK$2:$AK$167,economics!$AJ$2:$AJ$167,TRUE)))),"")</f>
        <v/>
      </c>
      <c r="BA45">
        <f t="array" ref="BA45">IFERROR((SUMPRODUCT((economics!$AG$2:$AG$167=$B45)*(economics!$D$2:$D$167="process")*economics!$AI$2:$AI$167*(_xlfn.NORM.DIST(BA$3,economics!$AK$2:$AK$167,economics!$AJ$2:$AJ$167,TRUE)-_xlfn.NORM.DIST(BA$30,economics!$AK$2:$AK$167,economics!$AJ$2:$AJ$167,TRUE))*economics!$AM$2:$AM$167))/(SUMPRODUCT((economics!$AG$2:$AG$167=$B45)*(economics!$D$2:$D$167="process")*economics!$AI$2:$AI$167*(_xlfn.NORM.DIST(BA$3,economics!$AK$2:$AK$167,economics!$AJ$2:$AJ$167,TRUE)-_xlfn.NORM.DIST(BA$30,economics!$AK$2:$AK$167,economics!$AJ$2:$AJ$167,TRUE)))),"")</f>
        <v/>
      </c>
      <c r="BB45">
        <f t="array" ref="BB45">IFERROR((SUMPRODUCT((economics!$AG$2:$AG$167=$B45)*(economics!$D$2:$D$167="process")*economics!$AI$2:$AI$167*(_xlfn.NORM.DIST(BB$3,economics!$AK$2:$AK$167,economics!$AJ$2:$AJ$167,TRUE)-_xlfn.NORM.DIST(BB$30,economics!$AK$2:$AK$167,economics!$AJ$2:$AJ$167,TRUE))*economics!$AM$2:$AM$167))/(SUMPRODUCT((economics!$AG$2:$AG$167=$B45)*(economics!$D$2:$D$167="process")*economics!$AI$2:$AI$167*(_xlfn.NORM.DIST(BB$3,economics!$AK$2:$AK$167,economics!$AJ$2:$AJ$167,TRUE)-_xlfn.NORM.DIST(BB$30,economics!$AK$2:$AK$167,economics!$AJ$2:$AJ$167,TRUE)))),"")</f>
        <v/>
      </c>
      <c r="BC45">
        <f t="array" ref="BC45">IFERROR((SUMPRODUCT((economics!$AG$2:$AG$167=$B45)*(economics!$D$2:$D$167="process")*economics!$AI$2:$AI$167*(_xlfn.NORM.DIST(BC$3,economics!$AK$2:$AK$167,economics!$AJ$2:$AJ$167,TRUE)-_xlfn.NORM.DIST(BC$30,economics!$AK$2:$AK$167,economics!$AJ$2:$AJ$167,TRUE))*economics!$AM$2:$AM$167))/(SUMPRODUCT((economics!$AG$2:$AG$167=$B45)*(economics!$D$2:$D$167="process")*economics!$AI$2:$AI$167*(_xlfn.NORM.DIST(BC$3,economics!$AK$2:$AK$167,economics!$AJ$2:$AJ$167,TRUE)-_xlfn.NORM.DIST(BC$30,economics!$AK$2:$AK$167,economics!$AJ$2:$AJ$167,TRUE)))),"")</f>
        <v/>
      </c>
      <c r="BD45">
        <f t="array" ref="BD45">IFERROR((SUMPRODUCT((economics!$AG$2:$AG$167=$B45)*(economics!$D$2:$D$167="process")*economics!$AI$2:$AI$167*(_xlfn.NORM.DIST(BD$3,economics!$AK$2:$AK$167,economics!$AJ$2:$AJ$167,TRUE)-_xlfn.NORM.DIST(BD$30,economics!$AK$2:$AK$167,economics!$AJ$2:$AJ$167,TRUE))*economics!$AM$2:$AM$167))/(SUMPRODUCT((economics!$AG$2:$AG$167=$B45)*(economics!$D$2:$D$167="process")*economics!$AI$2:$AI$167*(_xlfn.NORM.DIST(BD$3,economics!$AK$2:$AK$167,economics!$AJ$2:$AJ$167,TRUE)-_xlfn.NORM.DIST(BD$30,economics!$AK$2:$AK$167,economics!$AJ$2:$AJ$167,TRUE)))),"")</f>
        <v/>
      </c>
      <c r="BE45">
        <f t="array" ref="BE45">IFERROR((SUMPRODUCT((economics!$AG$2:$AG$167=$B45)*(economics!$D$2:$D$167="process")*economics!$AI$2:$AI$167*(_xlfn.NORM.DIST(BE$3,economics!$AK$2:$AK$167,economics!$AJ$2:$AJ$167,TRUE)-_xlfn.NORM.DIST(BE$30,economics!$AK$2:$AK$167,economics!$AJ$2:$AJ$167,TRUE))*economics!$AM$2:$AM$167))/(SUMPRODUCT((economics!$AG$2:$AG$167=$B45)*(economics!$D$2:$D$167="process")*economics!$AI$2:$AI$167*(_xlfn.NORM.DIST(BE$3,economics!$AK$2:$AK$167,economics!$AJ$2:$AJ$167,TRUE)-_xlfn.NORM.DIST(BE$30,economics!$AK$2:$AK$167,economics!$AJ$2:$AJ$167,TRUE)))),"")</f>
        <v/>
      </c>
      <c r="BF45">
        <f t="array" ref="BF45">IFERROR((SUMPRODUCT((economics!$AG$2:$AG$167=$B45)*(economics!$D$2:$D$167="process")*economics!$AI$2:$AI$167*(_xlfn.NORM.DIST(BF$3,economics!$AK$2:$AK$167,economics!$AJ$2:$AJ$167,TRUE)-_xlfn.NORM.DIST(BF$30,economics!$AK$2:$AK$167,economics!$AJ$2:$AJ$167,TRUE))*economics!$AM$2:$AM$167))/(SUMPRODUCT((economics!$AG$2:$AG$167=$B45)*(economics!$D$2:$D$167="process")*economics!$AI$2:$AI$167*(_xlfn.NORM.DIST(BF$3,economics!$AK$2:$AK$167,economics!$AJ$2:$AJ$167,TRUE)-_xlfn.NORM.DIST(BF$30,economics!$AK$2:$AK$167,economics!$AJ$2:$AJ$167,TRUE)))),"")</f>
        <v/>
      </c>
      <c r="BG45">
        <f t="array" ref="BG45">IFERROR((SUMPRODUCT((economics!$AG$2:$AG$167=$B45)*(economics!$D$2:$D$167="process")*economics!$AI$2:$AI$167*(_xlfn.NORM.DIST(BG$3,economics!$AK$2:$AK$167,economics!$AJ$2:$AJ$167,TRUE)-_xlfn.NORM.DIST(BG$30,economics!$AK$2:$AK$167,economics!$AJ$2:$AJ$167,TRUE))*economics!$AM$2:$AM$167))/(SUMPRODUCT((economics!$AG$2:$AG$167=$B45)*(economics!$D$2:$D$167="process")*economics!$AI$2:$AI$167*(_xlfn.NORM.DIST(BG$3,economics!$AK$2:$AK$167,economics!$AJ$2:$AJ$167,TRUE)-_xlfn.NORM.DIST(BG$30,economics!$AK$2:$AK$167,economics!$AJ$2:$AJ$167,TRUE)))),"")</f>
        <v/>
      </c>
      <c r="BH45">
        <f t="array" ref="BH45">IFERROR((SUMPRODUCT((economics!$AG$2:$AG$167=$B45)*(economics!$D$2:$D$167="process")*economics!$AI$2:$AI$167*(_xlfn.NORM.DIST(BH$3,economics!$AK$2:$AK$167,economics!$AJ$2:$AJ$167,TRUE)-_xlfn.NORM.DIST(BH$30,economics!$AK$2:$AK$167,economics!$AJ$2:$AJ$167,TRUE))*economics!$AM$2:$AM$167))/(SUMPRODUCT((economics!$AG$2:$AG$167=$B45)*(economics!$D$2:$D$167="process")*economics!$AI$2:$AI$167*(_xlfn.NORM.DIST(BH$3,economics!$AK$2:$AK$167,economics!$AJ$2:$AJ$167,TRUE)-_xlfn.NORM.DIST(BH$30,economics!$AK$2:$AK$167,economics!$AJ$2:$AJ$167,TRUE)))),"")</f>
        <v/>
      </c>
      <c r="BI45">
        <f t="array" ref="BI45">IFERROR((SUMPRODUCT((economics!$AG$2:$AG$167=$B45)*(economics!$D$2:$D$167="process")*economics!$AI$2:$AI$167*(_xlfn.NORM.DIST(BI$3,economics!$AK$2:$AK$167,economics!$AJ$2:$AJ$167,TRUE)-_xlfn.NORM.DIST(BI$30,economics!$AK$2:$AK$167,economics!$AJ$2:$AJ$167,TRUE))*economics!$AM$2:$AM$167))/(SUMPRODUCT((economics!$AG$2:$AG$167=$B45)*(economics!$D$2:$D$167="process")*economics!$AI$2:$AI$167*(_xlfn.NORM.DIST(BI$3,economics!$AK$2:$AK$167,economics!$AJ$2:$AJ$167,TRUE)-_xlfn.NORM.DIST(BI$30,economics!$AK$2:$AK$167,economics!$AJ$2:$AJ$167,TRUE)))),"")</f>
        <v/>
      </c>
      <c r="BJ45">
        <f t="array" ref="BJ45">IFERROR((SUMPRODUCT((economics!$AG$2:$AG$167=$B45)*(economics!$D$2:$D$167="process")*economics!$AI$2:$AI$167*(_xlfn.NORM.DIST(BJ$3,economics!$AK$2:$AK$167,economics!$AJ$2:$AJ$167,TRUE)-_xlfn.NORM.DIST(BJ$30,economics!$AK$2:$AK$167,economics!$AJ$2:$AJ$167,TRUE))*economics!$AM$2:$AM$167))/(SUMPRODUCT((economics!$AG$2:$AG$167=$B45)*(economics!$D$2:$D$167="process")*economics!$AI$2:$AI$167*(_xlfn.NORM.DIST(BJ$3,economics!$AK$2:$AK$167,economics!$AJ$2:$AJ$167,TRUE)-_xlfn.NORM.DIST(BJ$30,economics!$AK$2:$AK$167,economics!$AJ$2:$AJ$167,TRUE)))),"")</f>
        <v/>
      </c>
      <c r="BK45">
        <f t="array" ref="BK45">IFERROR((SUMPRODUCT((economics!$AG$2:$AG$167=$B45)*(economics!$D$2:$D$167="process")*economics!$AI$2:$AI$167*(_xlfn.NORM.DIST(BK$3,economics!$AK$2:$AK$167,economics!$AJ$2:$AJ$167,TRUE)-_xlfn.NORM.DIST(BK$30,economics!$AK$2:$AK$167,economics!$AJ$2:$AJ$167,TRUE))*economics!$AM$2:$AM$167))/(SUMPRODUCT((economics!$AG$2:$AG$167=$B45)*(economics!$D$2:$D$167="process")*economics!$AI$2:$AI$167*(_xlfn.NORM.DIST(BK$3,economics!$AK$2:$AK$167,economics!$AJ$2:$AJ$167,TRUE)-_xlfn.NORM.DIST(BK$30,economics!$AK$2:$AK$167,economics!$AJ$2:$AJ$167,TRUE)))),"")</f>
        <v/>
      </c>
      <c r="BL45">
        <f t="array" ref="BL45">IFERROR((SUMPRODUCT((economics!$AG$2:$AG$167=$B45)*(economics!$D$2:$D$167="process")*economics!$AI$2:$AI$167*(_xlfn.NORM.DIST(BL$3,economics!$AK$2:$AK$167,economics!$AJ$2:$AJ$167,TRUE)-_xlfn.NORM.DIST(BL$30,economics!$AK$2:$AK$167,economics!$AJ$2:$AJ$167,TRUE))*economics!$AM$2:$AM$167))/(SUMPRODUCT((economics!$AG$2:$AG$167=$B45)*(economics!$D$2:$D$167="process")*economics!$AI$2:$AI$167*(_xlfn.NORM.DIST(BL$3,economics!$AK$2:$AK$167,economics!$AJ$2:$AJ$167,TRUE)-_xlfn.NORM.DIST(BL$30,economics!$AK$2:$AK$167,economics!$AJ$2:$AJ$167,TRUE)))),"")</f>
        <v/>
      </c>
      <c r="BM45">
        <f t="array" ref="BM45">IFERROR((SUMPRODUCT((economics!$AG$2:$AG$167=$B45)*(economics!$D$2:$D$167="process")*economics!$AI$2:$AI$167*(_xlfn.NORM.DIST(BM$3,economics!$AK$2:$AK$167,economics!$AJ$2:$AJ$167,TRUE)-_xlfn.NORM.DIST(BM$30,economics!$AK$2:$AK$167,economics!$AJ$2:$AJ$167,TRUE))*economics!$AM$2:$AM$167))/(SUMPRODUCT((economics!$AG$2:$AG$167=$B45)*(economics!$D$2:$D$167="process")*economics!$AI$2:$AI$167*(_xlfn.NORM.DIST(BM$3,economics!$AK$2:$AK$167,economics!$AJ$2:$AJ$167,TRUE)-_xlfn.NORM.DIST(BM$30,economics!$AK$2:$AK$167,economics!$AJ$2:$AJ$167,TRUE)))),"")</f>
        <v/>
      </c>
      <c r="BN45">
        <f t="array" ref="BN45">IFERROR((SUMPRODUCT((economics!$AG$2:$AG$167=$B45)*(economics!$D$2:$D$167="process")*economics!$AI$2:$AI$167*(_xlfn.NORM.DIST(BN$3,economics!$AK$2:$AK$167,economics!$AJ$2:$AJ$167,TRUE)-_xlfn.NORM.DIST(BN$30,economics!$AK$2:$AK$167,economics!$AJ$2:$AJ$167,TRUE))*economics!$AM$2:$AM$167))/(SUMPRODUCT((economics!$AG$2:$AG$167=$B45)*(economics!$D$2:$D$167="process")*economics!$AI$2:$AI$167*(_xlfn.NORM.DIST(BN$3,economics!$AK$2:$AK$167,economics!$AJ$2:$AJ$167,TRUE)-_xlfn.NORM.DIST(BN$30,economics!$AK$2:$AK$167,economics!$AJ$2:$AJ$167,TRUE)))),"")</f>
        <v/>
      </c>
      <c r="BO45">
        <f t="array" ref="BO45">IFERROR((SUMPRODUCT((economics!$AG$2:$AG$167=$B45)*(economics!$D$2:$D$167="process")*economics!$AI$2:$AI$167*(_xlfn.NORM.DIST(BO$3,economics!$AK$2:$AK$167,economics!$AJ$2:$AJ$167,TRUE)-_xlfn.NORM.DIST(BO$30,economics!$AK$2:$AK$167,economics!$AJ$2:$AJ$167,TRUE))*economics!$AM$2:$AM$167))/(SUMPRODUCT((economics!$AG$2:$AG$167=$B45)*(economics!$D$2:$D$167="process")*economics!$AI$2:$AI$167*(_xlfn.NORM.DIST(BO$3,economics!$AK$2:$AK$167,economics!$AJ$2:$AJ$167,TRUE)-_xlfn.NORM.DIST(BO$30,economics!$AK$2:$AK$167,economics!$AJ$2:$AJ$167,TRUE)))),"")</f>
        <v/>
      </c>
      <c r="BP45">
        <f t="array" ref="BP45">IFERROR((SUMPRODUCT((economics!$AG$2:$AG$167=$B45)*(economics!$D$2:$D$167="process")*economics!$AI$2:$AI$167*(_xlfn.NORM.DIST(BP$3,economics!$AK$2:$AK$167,economics!$AJ$2:$AJ$167,TRUE)-_xlfn.NORM.DIST(BP$30,economics!$AK$2:$AK$167,economics!$AJ$2:$AJ$167,TRUE))*economics!$AM$2:$AM$167))/(SUMPRODUCT((economics!$AG$2:$AG$167=$B45)*(economics!$D$2:$D$167="process")*economics!$AI$2:$AI$167*(_xlfn.NORM.DIST(BP$3,economics!$AK$2:$AK$167,economics!$AJ$2:$AJ$167,TRUE)-_xlfn.NORM.DIST(BP$30,economics!$AK$2:$AK$167,economics!$AJ$2:$AJ$167,TRUE)))),"")</f>
        <v/>
      </c>
      <c r="BQ45">
        <f t="array" ref="BQ45">IFERROR((SUMPRODUCT((economics!$AG$2:$AG$167=$B45)*(economics!$D$2:$D$167="process")*economics!$AI$2:$AI$167*(_xlfn.NORM.DIST(BQ$3,economics!$AK$2:$AK$167,economics!$AJ$2:$AJ$167,TRUE)-_xlfn.NORM.DIST(BQ$30,economics!$AK$2:$AK$167,economics!$AJ$2:$AJ$167,TRUE))*economics!$AM$2:$AM$167))/(SUMPRODUCT((economics!$AG$2:$AG$167=$B45)*(economics!$D$2:$D$167="process")*economics!$AI$2:$AI$167*(_xlfn.NORM.DIST(BQ$3,economics!$AK$2:$AK$167,economics!$AJ$2:$AJ$167,TRUE)-_xlfn.NORM.DIST(BQ$30,economics!$AK$2:$AK$167,economics!$AJ$2:$AJ$167,TRUE)))),"")</f>
        <v/>
      </c>
      <c r="BR45">
        <f t="array" ref="BR45">IFERROR((SUMPRODUCT((economics!$AG$2:$AG$167=$B45)*(economics!$D$2:$D$167="process")*economics!$AI$2:$AI$167*(_xlfn.NORM.DIST(BR$3,economics!$AK$2:$AK$167,economics!$AJ$2:$AJ$167,TRUE)-_xlfn.NORM.DIST(BR$30,economics!$AK$2:$AK$167,economics!$AJ$2:$AJ$167,TRUE))*economics!$AM$2:$AM$167))/(SUMPRODUCT((economics!$AG$2:$AG$167=$B45)*(economics!$D$2:$D$167="process")*economics!$AI$2:$AI$167*(_xlfn.NORM.DIST(BR$3,economics!$AK$2:$AK$167,economics!$AJ$2:$AJ$167,TRUE)-_xlfn.NORM.DIST(BR$30,economics!$AK$2:$AK$167,economics!$AJ$2:$AJ$167,TRUE)))),"")</f>
        <v/>
      </c>
      <c r="BS45">
        <f t="array" ref="BS45">IFERROR((SUMPRODUCT((economics!$AG$2:$AG$167=$B45)*(economics!$D$2:$D$167="process")*economics!$AI$2:$AI$167*(_xlfn.NORM.DIST(BS$3,economics!$AK$2:$AK$167,economics!$AJ$2:$AJ$167,TRUE)-_xlfn.NORM.DIST(BS$30,economics!$AK$2:$AK$167,economics!$AJ$2:$AJ$167,TRUE))*economics!$AM$2:$AM$167))/(SUMPRODUCT((economics!$AG$2:$AG$167=$B45)*(economics!$D$2:$D$167="process")*economics!$AI$2:$AI$167*(_xlfn.NORM.DIST(BS$3,economics!$AK$2:$AK$167,economics!$AJ$2:$AJ$167,TRUE)-_xlfn.NORM.DIST(BS$30,economics!$AK$2:$AK$167,economics!$AJ$2:$AJ$167,TRUE)))),"")</f>
        <v/>
      </c>
      <c r="BT45">
        <f t="array" ref="BT45">IFERROR((SUMPRODUCT((economics!$AG$2:$AG$167=$B45)*(economics!$D$2:$D$167="process")*economics!$AI$2:$AI$167*(_xlfn.NORM.DIST(BT$3,economics!$AK$2:$AK$167,economics!$AJ$2:$AJ$167,TRUE)-_xlfn.NORM.DIST(BT$30,economics!$AK$2:$AK$167,economics!$AJ$2:$AJ$167,TRUE))*economics!$AM$2:$AM$167))/(SUMPRODUCT((economics!$AG$2:$AG$167=$B45)*(economics!$D$2:$D$167="process")*economics!$AI$2:$AI$167*(_xlfn.NORM.DIST(BT$3,economics!$AK$2:$AK$167,economics!$AJ$2:$AJ$167,TRUE)-_xlfn.NORM.DIST(BT$30,economics!$AK$2:$AK$167,economics!$AJ$2:$AJ$167,TRUE)))),"")</f>
        <v/>
      </c>
      <c r="BU45">
        <f t="array" ref="BU45">IFERROR((SUMPRODUCT((economics!$AG$2:$AG$167=$B45)*(economics!$D$2:$D$167="process")*economics!$AI$2:$AI$167*(_xlfn.NORM.DIST(BU$3,economics!$AK$2:$AK$167,economics!$AJ$2:$AJ$167,TRUE)-_xlfn.NORM.DIST(BU$30,economics!$AK$2:$AK$167,economics!$AJ$2:$AJ$167,TRUE))*economics!$AM$2:$AM$167))/(SUMPRODUCT((economics!$AG$2:$AG$167=$B45)*(economics!$D$2:$D$167="process")*economics!$AI$2:$AI$167*(_xlfn.NORM.DIST(BU$3,economics!$AK$2:$AK$167,economics!$AJ$2:$AJ$167,TRUE)-_xlfn.NORM.DIST(BU$30,economics!$AK$2:$AK$167,economics!$AJ$2:$AJ$167,TRUE)))),"")</f>
        <v/>
      </c>
      <c r="BV45">
        <f t="array" ref="BV45">IFERROR((SUMPRODUCT((economics!$AG$2:$AG$167=$B45)*(economics!$D$2:$D$167="process")*economics!$AI$2:$AI$167*(_xlfn.NORM.DIST(BV$3,economics!$AK$2:$AK$167,economics!$AJ$2:$AJ$167,TRUE)-_xlfn.NORM.DIST(BV$30,economics!$AK$2:$AK$167,economics!$AJ$2:$AJ$167,TRUE))*economics!$AM$2:$AM$167))/(SUMPRODUCT((economics!$AG$2:$AG$167=$B45)*(economics!$D$2:$D$167="process")*economics!$AI$2:$AI$167*(_xlfn.NORM.DIST(BV$3,economics!$AK$2:$AK$167,economics!$AJ$2:$AJ$167,TRUE)-_xlfn.NORM.DIST(BV$30,economics!$AK$2:$AK$167,economics!$AJ$2:$AJ$167,TRUE)))),"")</f>
        <v/>
      </c>
      <c r="BW45">
        <f t="array" ref="BW45">IFERROR((SUMPRODUCT((economics!$AG$2:$AG$167=$B45)*(economics!$D$2:$D$167="process")*economics!$AI$2:$AI$167*(_xlfn.NORM.DIST(BW$3,economics!$AK$2:$AK$167,economics!$AJ$2:$AJ$167,TRUE)-_xlfn.NORM.DIST(BW$30,economics!$AK$2:$AK$167,economics!$AJ$2:$AJ$167,TRUE))*economics!$AM$2:$AM$167))/(SUMPRODUCT((economics!$AG$2:$AG$167=$B45)*(economics!$D$2:$D$167="process")*economics!$AI$2:$AI$167*(_xlfn.NORM.DIST(BW$3,economics!$AK$2:$AK$167,economics!$AJ$2:$AJ$167,TRUE)-_xlfn.NORM.DIST(BW$30,economics!$AK$2:$AK$167,economics!$AJ$2:$AJ$167,TRUE)))),"")</f>
        <v/>
      </c>
      <c r="BX45">
        <f t="array" ref="BX45">IFERROR((SUMPRODUCT((economics!$AG$2:$AG$167=$B45)*(economics!$D$2:$D$167="process")*economics!$AI$2:$AI$167*(_xlfn.NORM.DIST(BX$3,economics!$AK$2:$AK$167,economics!$AJ$2:$AJ$167,TRUE)-_xlfn.NORM.DIST(BX$30,economics!$AK$2:$AK$167,economics!$AJ$2:$AJ$167,TRUE))*economics!$AM$2:$AM$167))/(SUMPRODUCT((economics!$AG$2:$AG$167=$B45)*(economics!$D$2:$D$167="process")*economics!$AI$2:$AI$167*(_xlfn.NORM.DIST(BX$3,economics!$AK$2:$AK$167,economics!$AJ$2:$AJ$167,TRUE)-_xlfn.NORM.DIST(BX$30,economics!$AK$2:$AK$167,economics!$AJ$2:$AJ$167,TRUE)))),"")</f>
        <v/>
      </c>
      <c r="BY45">
        <f t="array" ref="BY45">IFERROR((SUMPRODUCT((economics!$AG$2:$AG$167=$B45)*(economics!$D$2:$D$167="process")*economics!$AI$2:$AI$167*(_xlfn.NORM.DIST(BY$3,economics!$AK$2:$AK$167,economics!$AJ$2:$AJ$167,TRUE)-_xlfn.NORM.DIST(BY$30,economics!$AK$2:$AK$167,economics!$AJ$2:$AJ$167,TRUE))*economics!$AM$2:$AM$167))/(SUMPRODUCT((economics!$AG$2:$AG$167=$B45)*(economics!$D$2:$D$167="process")*economics!$AI$2:$AI$167*(_xlfn.NORM.DIST(BY$3,economics!$AK$2:$AK$167,economics!$AJ$2:$AJ$167,TRUE)-_xlfn.NORM.DIST(BY$30,economics!$AK$2:$AK$167,economics!$AJ$2:$AJ$167,TRUE)))),"")</f>
        <v/>
      </c>
      <c r="BZ45">
        <f t="array" ref="BZ45">IFERROR((SUMPRODUCT((economics!$AG$2:$AG$167=$B45)*(economics!$D$2:$D$167="process")*economics!$AI$2:$AI$167*(_xlfn.NORM.DIST(BZ$3,economics!$AK$2:$AK$167,economics!$AJ$2:$AJ$167,TRUE)-_xlfn.NORM.DIST(BZ$30,economics!$AK$2:$AK$167,economics!$AJ$2:$AJ$167,TRUE))*economics!$AM$2:$AM$167))/(SUMPRODUCT((economics!$AG$2:$AG$167=$B45)*(economics!$D$2:$D$167="process")*economics!$AI$2:$AI$167*(_xlfn.NORM.DIST(BZ$3,economics!$AK$2:$AK$167,economics!$AJ$2:$AJ$167,TRUE)-_xlfn.NORM.DIST(BZ$30,economics!$AK$2:$AK$167,economics!$AJ$2:$AJ$167,TRUE)))),"")</f>
        <v/>
      </c>
      <c r="CA45">
        <f t="array" ref="CA45">IFERROR((SUMPRODUCT((economics!$AG$2:$AG$167=$B45)*(economics!$D$2:$D$167="process")*economics!$AI$2:$AI$167*(_xlfn.NORM.DIST(CA$3,economics!$AK$2:$AK$167,economics!$AJ$2:$AJ$167,TRUE)-_xlfn.NORM.DIST(CA$30,economics!$AK$2:$AK$167,economics!$AJ$2:$AJ$167,TRUE))*economics!$AM$2:$AM$167))/(SUMPRODUCT((economics!$AG$2:$AG$167=$B45)*(economics!$D$2:$D$167="process")*economics!$AI$2:$AI$167*(_xlfn.NORM.DIST(CA$3,economics!$AK$2:$AK$167,economics!$AJ$2:$AJ$167,TRUE)-_xlfn.NORM.DIST(CA$30,economics!$AK$2:$AK$167,economics!$AJ$2:$AJ$167,TRUE)))),"")</f>
        <v/>
      </c>
      <c r="CB45">
        <f t="array" ref="CB45">IFERROR((SUMPRODUCT((economics!$AG$2:$AG$167=$B45)*(economics!$D$2:$D$167="process")*economics!$AI$2:$AI$167*(_xlfn.NORM.DIST(CB$3,economics!$AK$2:$AK$167,economics!$AJ$2:$AJ$167,TRUE)-_xlfn.NORM.DIST(CB$30,economics!$AK$2:$AK$167,economics!$AJ$2:$AJ$167,TRUE))*economics!$AM$2:$AM$167))/(SUMPRODUCT((economics!$AG$2:$AG$167=$B45)*(economics!$D$2:$D$167="process")*economics!$AI$2:$AI$167*(_xlfn.NORM.DIST(CB$3,economics!$AK$2:$AK$167,economics!$AJ$2:$AJ$167,TRUE)-_xlfn.NORM.DIST(CB$30,economics!$AK$2:$AK$167,economics!$AJ$2:$AJ$167,TRUE)))),"")</f>
        <v/>
      </c>
      <c r="CC45">
        <f t="array" ref="CC45">IFERROR((SUMPRODUCT((economics!$AG$2:$AG$167=$B45)*(economics!$D$2:$D$167="process")*economics!$AI$2:$AI$167*(_xlfn.NORM.DIST(CC$3,economics!$AK$2:$AK$167,economics!$AJ$2:$AJ$167,TRUE)-_xlfn.NORM.DIST(CC$30,economics!$AK$2:$AK$167,economics!$AJ$2:$AJ$167,TRUE))*economics!$AM$2:$AM$167))/(SUMPRODUCT((economics!$AG$2:$AG$167=$B45)*(economics!$D$2:$D$167="process")*economics!$AI$2:$AI$167*(_xlfn.NORM.DIST(CC$3,economics!$AK$2:$AK$167,economics!$AJ$2:$AJ$167,TRUE)-_xlfn.NORM.DIST(CC$30,economics!$AK$2:$AK$167,economics!$AJ$2:$AJ$167,TRUE)))),"")</f>
        <v/>
      </c>
      <c r="CD45">
        <f t="array" ref="CD45">IFERROR((SUMPRODUCT((economics!$AG$2:$AG$167=$B45)*(economics!$D$2:$D$167="process")*economics!$AI$2:$AI$167*(_xlfn.NORM.DIST(CD$3,economics!$AK$2:$AK$167,economics!$AJ$2:$AJ$167,TRUE)-_xlfn.NORM.DIST(CD$30,economics!$AK$2:$AK$167,economics!$AJ$2:$AJ$167,TRUE))*economics!$AM$2:$AM$167))/(SUMPRODUCT((economics!$AG$2:$AG$167=$B45)*(economics!$D$2:$D$167="process")*economics!$AI$2:$AI$167*(_xlfn.NORM.DIST(CD$3,economics!$AK$2:$AK$167,economics!$AJ$2:$AJ$167,TRUE)-_xlfn.NORM.DIST(CD$30,economics!$AK$2:$AK$167,economics!$AJ$2:$AJ$167,TRUE)))),"")</f>
        <v/>
      </c>
      <c r="CE45">
        <f t="array" ref="CE45">IFERROR((SUMPRODUCT((economics!$AG$2:$AG$167=$B45)*(economics!$D$2:$D$167="process")*economics!$AI$2:$AI$167*(_xlfn.NORM.DIST(CE$3,economics!$AK$2:$AK$167,economics!$AJ$2:$AJ$167,TRUE)-_xlfn.NORM.DIST(CE$30,economics!$AK$2:$AK$167,economics!$AJ$2:$AJ$167,TRUE))*economics!$AM$2:$AM$167))/(SUMPRODUCT((economics!$AG$2:$AG$167=$B45)*(economics!$D$2:$D$167="process")*economics!$AI$2:$AI$167*(_xlfn.NORM.DIST(CE$3,economics!$AK$2:$AK$167,economics!$AJ$2:$AJ$167,TRUE)-_xlfn.NORM.DIST(CE$30,economics!$AK$2:$AK$167,economics!$AJ$2:$AJ$167,TRUE)))),"")</f>
        <v/>
      </c>
      <c r="CF45">
        <f t="array" ref="CF45">IFERROR((SUMPRODUCT((economics!$AG$2:$AG$167=$B45)*(economics!$D$2:$D$167="process")*economics!$AI$2:$AI$167*(_xlfn.NORM.DIST(CF$3,economics!$AK$2:$AK$167,economics!$AJ$2:$AJ$167,TRUE)-_xlfn.NORM.DIST(CF$30,economics!$AK$2:$AK$167,economics!$AJ$2:$AJ$167,TRUE))*economics!$AM$2:$AM$167))/(SUMPRODUCT((economics!$AG$2:$AG$167=$B45)*(economics!$D$2:$D$167="process")*economics!$AI$2:$AI$167*(_xlfn.NORM.DIST(CF$3,economics!$AK$2:$AK$167,economics!$AJ$2:$AJ$167,TRUE)-_xlfn.NORM.DIST(CF$30,economics!$AK$2:$AK$167,economics!$AJ$2:$AJ$167,TRUE)))),"")</f>
        <v/>
      </c>
      <c r="CG45">
        <f t="array" ref="CG45">IFERROR((SUMPRODUCT((economics!$AG$2:$AG$167=$B45)*(economics!$D$2:$D$167="process")*economics!$AI$2:$AI$167*(_xlfn.NORM.DIST(CG$3,economics!$AK$2:$AK$167,economics!$AJ$2:$AJ$167,TRUE)-_xlfn.NORM.DIST(CG$30,economics!$AK$2:$AK$167,economics!$AJ$2:$AJ$167,TRUE))*economics!$AM$2:$AM$167))/(SUMPRODUCT((economics!$AG$2:$AG$167=$B45)*(economics!$D$2:$D$167="process")*economics!$AI$2:$AI$167*(_xlfn.NORM.DIST(CG$3,economics!$AK$2:$AK$167,economics!$AJ$2:$AJ$167,TRUE)-_xlfn.NORM.DIST(CG$30,economics!$AK$2:$AK$167,economics!$AJ$2:$AJ$167,TRUE)))),"")</f>
        <v/>
      </c>
      <c r="CH45">
        <f t="array" ref="CH45">IFERROR((SUMPRODUCT((economics!$AG$2:$AG$167=$B45)*(economics!$D$2:$D$167="process")*economics!$AI$2:$AI$167*(_xlfn.NORM.DIST(CH$3,economics!$AK$2:$AK$167,economics!$AJ$2:$AJ$167,TRUE)-_xlfn.NORM.DIST(CH$30,economics!$AK$2:$AK$167,economics!$AJ$2:$AJ$167,TRUE))*economics!$AM$2:$AM$167))/(SUMPRODUCT((economics!$AG$2:$AG$167=$B45)*(economics!$D$2:$D$167="process")*economics!$AI$2:$AI$167*(_xlfn.NORM.DIST(CH$3,economics!$AK$2:$AK$167,economics!$AJ$2:$AJ$167,TRUE)-_xlfn.NORM.DIST(CH$30,economics!$AK$2:$AK$167,economics!$AJ$2:$AJ$167,TRUE)))),"")</f>
        <v/>
      </c>
    </row>
    <row r="46">
      <c r="A46">
        <f>A17</f>
        <v/>
      </c>
      <c r="B46">
        <f>B17</f>
        <v/>
      </c>
      <c r="E46">
        <f t="array" ref="E46">IFERROR((SUMPRODUCT((economics!$AG$2:$AG$167=$B46)*(economics!$D$2:$D$167="process")*economics!$AI$2:$AI$167*(_xlfn.NORM.DIST(E$3,economics!$AK$2:$AK$167,economics!$AJ$2:$AJ$167,TRUE)-_xlfn.NORM.DIST(E$30,economics!$AK$2:$AK$167,economics!$AJ$2:$AJ$167,TRUE))*economics!$AM$2:$AM$167))/(SUMPRODUCT((economics!$AG$2:$AG$167=$B46)*(economics!$D$2:$D$167="process")*economics!$AI$2:$AI$167*(_xlfn.NORM.DIST(E$3,economics!$AK$2:$AK$167,economics!$AJ$2:$AJ$167,TRUE)-_xlfn.NORM.DIST(E$30,economics!$AK$2:$AK$167,economics!$AJ$2:$AJ$167,TRUE)))),"")</f>
        <v/>
      </c>
      <c r="F46">
        <f t="array" ref="F46">IFERROR((SUMPRODUCT((economics!$AG$2:$AG$167=$B46)*(economics!$D$2:$D$167="process")*economics!$AI$2:$AI$167*(_xlfn.NORM.DIST(F$3,economics!$AK$2:$AK$167,economics!$AJ$2:$AJ$167,TRUE)-_xlfn.NORM.DIST(F$30,economics!$AK$2:$AK$167,economics!$AJ$2:$AJ$167,TRUE))*economics!$AM$2:$AM$167))/(SUMPRODUCT((economics!$AG$2:$AG$167=$B46)*(economics!$D$2:$D$167="process")*economics!$AI$2:$AI$167*(_xlfn.NORM.DIST(F$3,economics!$AK$2:$AK$167,economics!$AJ$2:$AJ$167,TRUE)-_xlfn.NORM.DIST(F$30,economics!$AK$2:$AK$167,economics!$AJ$2:$AJ$167,TRUE)))),"")</f>
        <v/>
      </c>
      <c r="G46">
        <f t="array" ref="G46">IFERROR((SUMPRODUCT((economics!$AG$2:$AG$167=$B46)*(economics!$D$2:$D$167="process")*economics!$AI$2:$AI$167*(_xlfn.NORM.DIST(G$3,economics!$AK$2:$AK$167,economics!$AJ$2:$AJ$167,TRUE)-_xlfn.NORM.DIST(G$30,economics!$AK$2:$AK$167,economics!$AJ$2:$AJ$167,TRUE))*economics!$AM$2:$AM$167))/(SUMPRODUCT((economics!$AG$2:$AG$167=$B46)*(economics!$D$2:$D$167="process")*economics!$AI$2:$AI$167*(_xlfn.NORM.DIST(G$3,economics!$AK$2:$AK$167,economics!$AJ$2:$AJ$167,TRUE)-_xlfn.NORM.DIST(G$30,economics!$AK$2:$AK$167,economics!$AJ$2:$AJ$167,TRUE)))),"")</f>
        <v/>
      </c>
      <c r="H46">
        <f t="array" ref="H46">IFERROR((SUMPRODUCT((economics!$AG$2:$AG$167=$B46)*(economics!$D$2:$D$167="process")*economics!$AI$2:$AI$167*(_xlfn.NORM.DIST(H$3,economics!$AK$2:$AK$167,economics!$AJ$2:$AJ$167,TRUE)-_xlfn.NORM.DIST(H$30,economics!$AK$2:$AK$167,economics!$AJ$2:$AJ$167,TRUE))*economics!$AM$2:$AM$167))/(SUMPRODUCT((economics!$AG$2:$AG$167=$B46)*(economics!$D$2:$D$167="process")*economics!$AI$2:$AI$167*(_xlfn.NORM.DIST(H$3,economics!$AK$2:$AK$167,economics!$AJ$2:$AJ$167,TRUE)-_xlfn.NORM.DIST(H$30,economics!$AK$2:$AK$167,economics!$AJ$2:$AJ$167,TRUE)))),"")</f>
        <v/>
      </c>
      <c r="I46">
        <f t="array" ref="I46">IFERROR((SUMPRODUCT((economics!$AG$2:$AG$167=$B46)*(economics!$D$2:$D$167="process")*economics!$AI$2:$AI$167*(_xlfn.NORM.DIST(I$3,economics!$AK$2:$AK$167,economics!$AJ$2:$AJ$167,TRUE)-_xlfn.NORM.DIST(I$30,economics!$AK$2:$AK$167,economics!$AJ$2:$AJ$167,TRUE))*economics!$AM$2:$AM$167))/(SUMPRODUCT((economics!$AG$2:$AG$167=$B46)*(economics!$D$2:$D$167="process")*economics!$AI$2:$AI$167*(_xlfn.NORM.DIST(I$3,economics!$AK$2:$AK$167,economics!$AJ$2:$AJ$167,TRUE)-_xlfn.NORM.DIST(I$30,economics!$AK$2:$AK$167,economics!$AJ$2:$AJ$167,TRUE)))),"")</f>
        <v/>
      </c>
      <c r="J46">
        <f t="array" ref="J46">IFERROR((SUMPRODUCT((economics!$AG$2:$AG$167=$B46)*(economics!$D$2:$D$167="process")*economics!$AI$2:$AI$167*(_xlfn.NORM.DIST(J$3,economics!$AK$2:$AK$167,economics!$AJ$2:$AJ$167,TRUE)-_xlfn.NORM.DIST(J$30,economics!$AK$2:$AK$167,economics!$AJ$2:$AJ$167,TRUE))*economics!$AM$2:$AM$167))/(SUMPRODUCT((economics!$AG$2:$AG$167=$B46)*(economics!$D$2:$D$167="process")*economics!$AI$2:$AI$167*(_xlfn.NORM.DIST(J$3,economics!$AK$2:$AK$167,economics!$AJ$2:$AJ$167,TRUE)-_xlfn.NORM.DIST(J$30,economics!$AK$2:$AK$167,economics!$AJ$2:$AJ$167,TRUE)))),"")</f>
        <v/>
      </c>
      <c r="K46">
        <f t="array" ref="K46">IFERROR((SUMPRODUCT((economics!$AG$2:$AG$167=$B46)*(economics!$D$2:$D$167="process")*economics!$AI$2:$AI$167*(_xlfn.NORM.DIST(K$3,economics!$AK$2:$AK$167,economics!$AJ$2:$AJ$167,TRUE)-_xlfn.NORM.DIST(K$30,economics!$AK$2:$AK$167,economics!$AJ$2:$AJ$167,TRUE))*economics!$AM$2:$AM$167))/(SUMPRODUCT((economics!$AG$2:$AG$167=$B46)*(economics!$D$2:$D$167="process")*economics!$AI$2:$AI$167*(_xlfn.NORM.DIST(K$3,economics!$AK$2:$AK$167,economics!$AJ$2:$AJ$167,TRUE)-_xlfn.NORM.DIST(K$30,economics!$AK$2:$AK$167,economics!$AJ$2:$AJ$167,TRUE)))),"")</f>
        <v/>
      </c>
      <c r="L46">
        <f t="array" ref="L46">IFERROR((SUMPRODUCT((economics!$AG$2:$AG$167=$B46)*(economics!$D$2:$D$167="process")*economics!$AI$2:$AI$167*(_xlfn.NORM.DIST(L$3,economics!$AK$2:$AK$167,economics!$AJ$2:$AJ$167,TRUE)-_xlfn.NORM.DIST(L$30,economics!$AK$2:$AK$167,economics!$AJ$2:$AJ$167,TRUE))*economics!$AM$2:$AM$167))/(SUMPRODUCT((economics!$AG$2:$AG$167=$B46)*(economics!$D$2:$D$167="process")*economics!$AI$2:$AI$167*(_xlfn.NORM.DIST(L$3,economics!$AK$2:$AK$167,economics!$AJ$2:$AJ$167,TRUE)-_xlfn.NORM.DIST(L$30,economics!$AK$2:$AK$167,economics!$AJ$2:$AJ$167,TRUE)))),"")</f>
        <v/>
      </c>
      <c r="M46">
        <f t="array" ref="M46">IFERROR((SUMPRODUCT((economics!$AG$2:$AG$167=$B46)*(economics!$D$2:$D$167="process")*economics!$AI$2:$AI$167*(_xlfn.NORM.DIST(M$3,economics!$AK$2:$AK$167,economics!$AJ$2:$AJ$167,TRUE)-_xlfn.NORM.DIST(M$30,economics!$AK$2:$AK$167,economics!$AJ$2:$AJ$167,TRUE))*economics!$AM$2:$AM$167))/(SUMPRODUCT((economics!$AG$2:$AG$167=$B46)*(economics!$D$2:$D$167="process")*economics!$AI$2:$AI$167*(_xlfn.NORM.DIST(M$3,economics!$AK$2:$AK$167,economics!$AJ$2:$AJ$167,TRUE)-_xlfn.NORM.DIST(M$30,economics!$AK$2:$AK$167,economics!$AJ$2:$AJ$167,TRUE)))),"")</f>
        <v/>
      </c>
      <c r="N46">
        <f t="array" ref="N46">IFERROR((SUMPRODUCT((economics!$AG$2:$AG$167=$B46)*(economics!$D$2:$D$167="process")*economics!$AI$2:$AI$167*(_xlfn.NORM.DIST(N$3,economics!$AK$2:$AK$167,economics!$AJ$2:$AJ$167,TRUE)-_xlfn.NORM.DIST(N$30,economics!$AK$2:$AK$167,economics!$AJ$2:$AJ$167,TRUE))*economics!$AM$2:$AM$167))/(SUMPRODUCT((economics!$AG$2:$AG$167=$B46)*(economics!$D$2:$D$167="process")*economics!$AI$2:$AI$167*(_xlfn.NORM.DIST(N$3,economics!$AK$2:$AK$167,economics!$AJ$2:$AJ$167,TRUE)-_xlfn.NORM.DIST(N$30,economics!$AK$2:$AK$167,economics!$AJ$2:$AJ$167,TRUE)))),"")</f>
        <v/>
      </c>
      <c r="O46">
        <f t="array" ref="O46">IFERROR((SUMPRODUCT((economics!$AG$2:$AG$167=$B46)*(economics!$D$2:$D$167="process")*economics!$AI$2:$AI$167*(_xlfn.NORM.DIST(O$3,economics!$AK$2:$AK$167,economics!$AJ$2:$AJ$167,TRUE)-_xlfn.NORM.DIST(O$30,economics!$AK$2:$AK$167,economics!$AJ$2:$AJ$167,TRUE))*economics!$AM$2:$AM$167))/(SUMPRODUCT((economics!$AG$2:$AG$167=$B46)*(economics!$D$2:$D$167="process")*economics!$AI$2:$AI$167*(_xlfn.NORM.DIST(O$3,economics!$AK$2:$AK$167,economics!$AJ$2:$AJ$167,TRUE)-_xlfn.NORM.DIST(O$30,economics!$AK$2:$AK$167,economics!$AJ$2:$AJ$167,TRUE)))),"")</f>
        <v/>
      </c>
      <c r="P46">
        <f t="array" ref="P46">IFERROR((SUMPRODUCT((economics!$AG$2:$AG$167=$B46)*(economics!$D$2:$D$167="process")*economics!$AI$2:$AI$167*(_xlfn.NORM.DIST(P$3,economics!$AK$2:$AK$167,economics!$AJ$2:$AJ$167,TRUE)-_xlfn.NORM.DIST(P$30,economics!$AK$2:$AK$167,economics!$AJ$2:$AJ$167,TRUE))*economics!$AM$2:$AM$167))/(SUMPRODUCT((economics!$AG$2:$AG$167=$B46)*(economics!$D$2:$D$167="process")*economics!$AI$2:$AI$167*(_xlfn.NORM.DIST(P$3,economics!$AK$2:$AK$167,economics!$AJ$2:$AJ$167,TRUE)-_xlfn.NORM.DIST(P$30,economics!$AK$2:$AK$167,economics!$AJ$2:$AJ$167,TRUE)))),"")</f>
        <v/>
      </c>
      <c r="Q46">
        <f t="array" ref="Q46">IFERROR((SUMPRODUCT((economics!$AG$2:$AG$167=$B46)*(economics!$D$2:$D$167="process")*economics!$AI$2:$AI$167*(_xlfn.NORM.DIST(Q$3,economics!$AK$2:$AK$167,economics!$AJ$2:$AJ$167,TRUE)-_xlfn.NORM.DIST(Q$30,economics!$AK$2:$AK$167,economics!$AJ$2:$AJ$167,TRUE))*economics!$AM$2:$AM$167))/(SUMPRODUCT((economics!$AG$2:$AG$167=$B46)*(economics!$D$2:$D$167="process")*economics!$AI$2:$AI$167*(_xlfn.NORM.DIST(Q$3,economics!$AK$2:$AK$167,economics!$AJ$2:$AJ$167,TRUE)-_xlfn.NORM.DIST(Q$30,economics!$AK$2:$AK$167,economics!$AJ$2:$AJ$167,TRUE)))),"")</f>
        <v/>
      </c>
      <c r="R46">
        <f t="array" ref="R46">IFERROR((SUMPRODUCT((economics!$AG$2:$AG$167=$B46)*(economics!$D$2:$D$167="process")*economics!$AI$2:$AI$167*(_xlfn.NORM.DIST(R$3,economics!$AK$2:$AK$167,economics!$AJ$2:$AJ$167,TRUE)-_xlfn.NORM.DIST(R$30,economics!$AK$2:$AK$167,economics!$AJ$2:$AJ$167,TRUE))*economics!$AM$2:$AM$167))/(SUMPRODUCT((economics!$AG$2:$AG$167=$B46)*(economics!$D$2:$D$167="process")*economics!$AI$2:$AI$167*(_xlfn.NORM.DIST(R$3,economics!$AK$2:$AK$167,economics!$AJ$2:$AJ$167,TRUE)-_xlfn.NORM.DIST(R$30,economics!$AK$2:$AK$167,economics!$AJ$2:$AJ$167,TRUE)))),"")</f>
        <v/>
      </c>
      <c r="S46">
        <f t="array" ref="S46">IFERROR((SUMPRODUCT((economics!$AG$2:$AG$167=$B46)*(economics!$D$2:$D$167="process")*economics!$AI$2:$AI$167*(_xlfn.NORM.DIST(S$3,economics!$AK$2:$AK$167,economics!$AJ$2:$AJ$167,TRUE)-_xlfn.NORM.DIST(S$30,economics!$AK$2:$AK$167,economics!$AJ$2:$AJ$167,TRUE))*economics!$AM$2:$AM$167))/(SUMPRODUCT((economics!$AG$2:$AG$167=$B46)*(economics!$D$2:$D$167="process")*economics!$AI$2:$AI$167*(_xlfn.NORM.DIST(S$3,economics!$AK$2:$AK$167,economics!$AJ$2:$AJ$167,TRUE)-_xlfn.NORM.DIST(S$30,economics!$AK$2:$AK$167,economics!$AJ$2:$AJ$167,TRUE)))),"")</f>
        <v/>
      </c>
      <c r="T46">
        <f t="array" ref="T46">IFERROR((SUMPRODUCT((economics!$AG$2:$AG$167=$B46)*(economics!$D$2:$D$167="process")*economics!$AI$2:$AI$167*(_xlfn.NORM.DIST(T$3,economics!$AK$2:$AK$167,economics!$AJ$2:$AJ$167,TRUE)-_xlfn.NORM.DIST(T$30,economics!$AK$2:$AK$167,economics!$AJ$2:$AJ$167,TRUE))*economics!$AM$2:$AM$167))/(SUMPRODUCT((economics!$AG$2:$AG$167=$B46)*(economics!$D$2:$D$167="process")*economics!$AI$2:$AI$167*(_xlfn.NORM.DIST(T$3,economics!$AK$2:$AK$167,economics!$AJ$2:$AJ$167,TRUE)-_xlfn.NORM.DIST(T$30,economics!$AK$2:$AK$167,economics!$AJ$2:$AJ$167,TRUE)))),"")</f>
        <v/>
      </c>
      <c r="U46">
        <f t="array" ref="U46">IFERROR((SUMPRODUCT((economics!$AG$2:$AG$167=$B46)*(economics!$D$2:$D$167="process")*economics!$AI$2:$AI$167*(_xlfn.NORM.DIST(U$3,economics!$AK$2:$AK$167,economics!$AJ$2:$AJ$167,TRUE)-_xlfn.NORM.DIST(U$30,economics!$AK$2:$AK$167,economics!$AJ$2:$AJ$167,TRUE))*economics!$AM$2:$AM$167))/(SUMPRODUCT((economics!$AG$2:$AG$167=$B46)*(economics!$D$2:$D$167="process")*economics!$AI$2:$AI$167*(_xlfn.NORM.DIST(U$3,economics!$AK$2:$AK$167,economics!$AJ$2:$AJ$167,TRUE)-_xlfn.NORM.DIST(U$30,economics!$AK$2:$AK$167,economics!$AJ$2:$AJ$167,TRUE)))),"")</f>
        <v/>
      </c>
      <c r="V46">
        <f t="array" ref="V46">IFERROR((SUMPRODUCT((economics!$AG$2:$AG$167=$B46)*(economics!$D$2:$D$167="process")*economics!$AI$2:$AI$167*(_xlfn.NORM.DIST(V$3,economics!$AK$2:$AK$167,economics!$AJ$2:$AJ$167,TRUE)-_xlfn.NORM.DIST(V$30,economics!$AK$2:$AK$167,economics!$AJ$2:$AJ$167,TRUE))*economics!$AM$2:$AM$167))/(SUMPRODUCT((economics!$AG$2:$AG$167=$B46)*(economics!$D$2:$D$167="process")*economics!$AI$2:$AI$167*(_xlfn.NORM.DIST(V$3,economics!$AK$2:$AK$167,economics!$AJ$2:$AJ$167,TRUE)-_xlfn.NORM.DIST(V$30,economics!$AK$2:$AK$167,economics!$AJ$2:$AJ$167,TRUE)))),"")</f>
        <v/>
      </c>
      <c r="W46">
        <f t="array" ref="W46">IFERROR((SUMPRODUCT((economics!$AG$2:$AG$167=$B46)*(economics!$D$2:$D$167="process")*economics!$AI$2:$AI$167*(_xlfn.NORM.DIST(W$3,economics!$AK$2:$AK$167,economics!$AJ$2:$AJ$167,TRUE)-_xlfn.NORM.DIST(W$30,economics!$AK$2:$AK$167,economics!$AJ$2:$AJ$167,TRUE))*economics!$AM$2:$AM$167))/(SUMPRODUCT((economics!$AG$2:$AG$167=$B46)*(economics!$D$2:$D$167="process")*economics!$AI$2:$AI$167*(_xlfn.NORM.DIST(W$3,economics!$AK$2:$AK$167,economics!$AJ$2:$AJ$167,TRUE)-_xlfn.NORM.DIST(W$30,economics!$AK$2:$AK$167,economics!$AJ$2:$AJ$167,TRUE)))),"")</f>
        <v/>
      </c>
      <c r="X46">
        <f t="array" ref="X46">IFERROR((SUMPRODUCT((economics!$AG$2:$AG$167=$B46)*(economics!$D$2:$D$167="process")*economics!$AI$2:$AI$167*(_xlfn.NORM.DIST(X$3,economics!$AK$2:$AK$167,economics!$AJ$2:$AJ$167,TRUE)-_xlfn.NORM.DIST(X$30,economics!$AK$2:$AK$167,economics!$AJ$2:$AJ$167,TRUE))*economics!$AM$2:$AM$167))/(SUMPRODUCT((economics!$AG$2:$AG$167=$B46)*(economics!$D$2:$D$167="process")*economics!$AI$2:$AI$167*(_xlfn.NORM.DIST(X$3,economics!$AK$2:$AK$167,economics!$AJ$2:$AJ$167,TRUE)-_xlfn.NORM.DIST(X$30,economics!$AK$2:$AK$167,economics!$AJ$2:$AJ$167,TRUE)))),"")</f>
        <v/>
      </c>
      <c r="Y46">
        <f t="array" ref="Y46">IFERROR((SUMPRODUCT((economics!$AG$2:$AG$167=$B46)*(economics!$D$2:$D$167="process")*economics!$AI$2:$AI$167*(_xlfn.NORM.DIST(Y$3,economics!$AK$2:$AK$167,economics!$AJ$2:$AJ$167,TRUE)-_xlfn.NORM.DIST(Y$30,economics!$AK$2:$AK$167,economics!$AJ$2:$AJ$167,TRUE))*economics!$AM$2:$AM$167))/(SUMPRODUCT((economics!$AG$2:$AG$167=$B46)*(economics!$D$2:$D$167="process")*economics!$AI$2:$AI$167*(_xlfn.NORM.DIST(Y$3,economics!$AK$2:$AK$167,economics!$AJ$2:$AJ$167,TRUE)-_xlfn.NORM.DIST(Y$30,economics!$AK$2:$AK$167,economics!$AJ$2:$AJ$167,TRUE)))),"")</f>
        <v/>
      </c>
      <c r="Z46">
        <f t="array" ref="Z46">IFERROR((SUMPRODUCT((economics!$AG$2:$AG$167=$B46)*(economics!$D$2:$D$167="process")*economics!$AI$2:$AI$167*(_xlfn.NORM.DIST(Z$3,economics!$AK$2:$AK$167,economics!$AJ$2:$AJ$167,TRUE)-_xlfn.NORM.DIST(Z$30,economics!$AK$2:$AK$167,economics!$AJ$2:$AJ$167,TRUE))*economics!$AM$2:$AM$167))/(SUMPRODUCT((economics!$AG$2:$AG$167=$B46)*(economics!$D$2:$D$167="process")*economics!$AI$2:$AI$167*(_xlfn.NORM.DIST(Z$3,economics!$AK$2:$AK$167,economics!$AJ$2:$AJ$167,TRUE)-_xlfn.NORM.DIST(Z$30,economics!$AK$2:$AK$167,economics!$AJ$2:$AJ$167,TRUE)))),"")</f>
        <v/>
      </c>
      <c r="AA46">
        <f t="array" ref="AA46">IFERROR((SUMPRODUCT((economics!$AG$2:$AG$167=$B46)*(economics!$D$2:$D$167="process")*economics!$AI$2:$AI$167*(_xlfn.NORM.DIST(AA$3,economics!$AK$2:$AK$167,economics!$AJ$2:$AJ$167,TRUE)-_xlfn.NORM.DIST(AA$30,economics!$AK$2:$AK$167,economics!$AJ$2:$AJ$167,TRUE))*economics!$AM$2:$AM$167))/(SUMPRODUCT((economics!$AG$2:$AG$167=$B46)*(economics!$D$2:$D$167="process")*economics!$AI$2:$AI$167*(_xlfn.NORM.DIST(AA$3,economics!$AK$2:$AK$167,economics!$AJ$2:$AJ$167,TRUE)-_xlfn.NORM.DIST(AA$30,economics!$AK$2:$AK$167,economics!$AJ$2:$AJ$167,TRUE)))),"")</f>
        <v/>
      </c>
      <c r="AB46">
        <f t="array" ref="AB46">IFERROR((SUMPRODUCT((economics!$AG$2:$AG$167=$B46)*(economics!$D$2:$D$167="process")*economics!$AI$2:$AI$167*(_xlfn.NORM.DIST(AB$3,economics!$AK$2:$AK$167,economics!$AJ$2:$AJ$167,TRUE)-_xlfn.NORM.DIST(AB$30,economics!$AK$2:$AK$167,economics!$AJ$2:$AJ$167,TRUE))*economics!$AM$2:$AM$167))/(SUMPRODUCT((economics!$AG$2:$AG$167=$B46)*(economics!$D$2:$D$167="process")*economics!$AI$2:$AI$167*(_xlfn.NORM.DIST(AB$3,economics!$AK$2:$AK$167,economics!$AJ$2:$AJ$167,TRUE)-_xlfn.NORM.DIST(AB$30,economics!$AK$2:$AK$167,economics!$AJ$2:$AJ$167,TRUE)))),"")</f>
        <v/>
      </c>
      <c r="AC46">
        <f t="array" ref="AC46">IFERROR((SUMPRODUCT((economics!$AG$2:$AG$167=$B46)*(economics!$D$2:$D$167="process")*economics!$AI$2:$AI$167*(_xlfn.NORM.DIST(AC$3,economics!$AK$2:$AK$167,economics!$AJ$2:$AJ$167,TRUE)-_xlfn.NORM.DIST(AC$30,economics!$AK$2:$AK$167,economics!$AJ$2:$AJ$167,TRUE))*economics!$AM$2:$AM$167))/(SUMPRODUCT((economics!$AG$2:$AG$167=$B46)*(economics!$D$2:$D$167="process")*economics!$AI$2:$AI$167*(_xlfn.NORM.DIST(AC$3,economics!$AK$2:$AK$167,economics!$AJ$2:$AJ$167,TRUE)-_xlfn.NORM.DIST(AC$30,economics!$AK$2:$AK$167,economics!$AJ$2:$AJ$167,TRUE)))),"")</f>
        <v/>
      </c>
      <c r="AD46">
        <f t="array" ref="AD46">IFERROR((SUMPRODUCT((economics!$AG$2:$AG$167=$B46)*(economics!$D$2:$D$167="process")*economics!$AI$2:$AI$167*(_xlfn.NORM.DIST(AD$3,economics!$AK$2:$AK$167,economics!$AJ$2:$AJ$167,TRUE)-_xlfn.NORM.DIST(AD$30,economics!$AK$2:$AK$167,economics!$AJ$2:$AJ$167,TRUE))*economics!$AM$2:$AM$167))/(SUMPRODUCT((economics!$AG$2:$AG$167=$B46)*(economics!$D$2:$D$167="process")*economics!$AI$2:$AI$167*(_xlfn.NORM.DIST(AD$3,economics!$AK$2:$AK$167,economics!$AJ$2:$AJ$167,TRUE)-_xlfn.NORM.DIST(AD$30,economics!$AK$2:$AK$167,economics!$AJ$2:$AJ$167,TRUE)))),"")</f>
        <v/>
      </c>
      <c r="AE46">
        <f t="array" ref="AE46">IFERROR((SUMPRODUCT((economics!$AG$2:$AG$167=$B46)*(economics!$D$2:$D$167="process")*economics!$AI$2:$AI$167*(_xlfn.NORM.DIST(AE$3,economics!$AK$2:$AK$167,economics!$AJ$2:$AJ$167,TRUE)-_xlfn.NORM.DIST(AE$30,economics!$AK$2:$AK$167,economics!$AJ$2:$AJ$167,TRUE))*economics!$AM$2:$AM$167))/(SUMPRODUCT((economics!$AG$2:$AG$167=$B46)*(economics!$D$2:$D$167="process")*economics!$AI$2:$AI$167*(_xlfn.NORM.DIST(AE$3,economics!$AK$2:$AK$167,economics!$AJ$2:$AJ$167,TRUE)-_xlfn.NORM.DIST(AE$30,economics!$AK$2:$AK$167,economics!$AJ$2:$AJ$167,TRUE)))),"")</f>
        <v/>
      </c>
      <c r="AF46">
        <f t="array" ref="AF46">IFERROR((SUMPRODUCT((economics!$AG$2:$AG$167=$B46)*(economics!$D$2:$D$167="process")*economics!$AI$2:$AI$167*(_xlfn.NORM.DIST(AF$3,economics!$AK$2:$AK$167,economics!$AJ$2:$AJ$167,TRUE)-_xlfn.NORM.DIST(AF$30,economics!$AK$2:$AK$167,economics!$AJ$2:$AJ$167,TRUE))*economics!$AM$2:$AM$167))/(SUMPRODUCT((economics!$AG$2:$AG$167=$B46)*(economics!$D$2:$D$167="process")*economics!$AI$2:$AI$167*(_xlfn.NORM.DIST(AF$3,economics!$AK$2:$AK$167,economics!$AJ$2:$AJ$167,TRUE)-_xlfn.NORM.DIST(AF$30,economics!$AK$2:$AK$167,economics!$AJ$2:$AJ$167,TRUE)))),"")</f>
        <v/>
      </c>
      <c r="AG46">
        <f t="array" ref="AG46">IFERROR((SUMPRODUCT((economics!$AG$2:$AG$167=$B46)*(economics!$D$2:$D$167="process")*economics!$AI$2:$AI$167*(_xlfn.NORM.DIST(AG$3,economics!$AK$2:$AK$167,economics!$AJ$2:$AJ$167,TRUE)-_xlfn.NORM.DIST(AG$30,economics!$AK$2:$AK$167,economics!$AJ$2:$AJ$167,TRUE))*economics!$AM$2:$AM$167))/(SUMPRODUCT((economics!$AG$2:$AG$167=$B46)*(economics!$D$2:$D$167="process")*economics!$AI$2:$AI$167*(_xlfn.NORM.DIST(AG$3,economics!$AK$2:$AK$167,economics!$AJ$2:$AJ$167,TRUE)-_xlfn.NORM.DIST(AG$30,economics!$AK$2:$AK$167,economics!$AJ$2:$AJ$167,TRUE)))),"")</f>
        <v/>
      </c>
      <c r="AH46">
        <f t="array" ref="AH46">IFERROR((SUMPRODUCT((economics!$AG$2:$AG$167=$B46)*(economics!$D$2:$D$167="process")*economics!$AI$2:$AI$167*(_xlfn.NORM.DIST(AH$3,economics!$AK$2:$AK$167,economics!$AJ$2:$AJ$167,TRUE)-_xlfn.NORM.DIST(AH$30,economics!$AK$2:$AK$167,economics!$AJ$2:$AJ$167,TRUE))*economics!$AM$2:$AM$167))/(SUMPRODUCT((economics!$AG$2:$AG$167=$B46)*(economics!$D$2:$D$167="process")*economics!$AI$2:$AI$167*(_xlfn.NORM.DIST(AH$3,economics!$AK$2:$AK$167,economics!$AJ$2:$AJ$167,TRUE)-_xlfn.NORM.DIST(AH$30,economics!$AK$2:$AK$167,economics!$AJ$2:$AJ$167,TRUE)))),"")</f>
        <v/>
      </c>
      <c r="AI46">
        <f t="array" ref="AI46">IFERROR((SUMPRODUCT((economics!$AG$2:$AG$167=$B46)*(economics!$D$2:$D$167="process")*economics!$AI$2:$AI$167*(_xlfn.NORM.DIST(AI$3,economics!$AK$2:$AK$167,economics!$AJ$2:$AJ$167,TRUE)-_xlfn.NORM.DIST(AI$30,economics!$AK$2:$AK$167,economics!$AJ$2:$AJ$167,TRUE))*economics!$AM$2:$AM$167))/(SUMPRODUCT((economics!$AG$2:$AG$167=$B46)*(economics!$D$2:$D$167="process")*economics!$AI$2:$AI$167*(_xlfn.NORM.DIST(AI$3,economics!$AK$2:$AK$167,economics!$AJ$2:$AJ$167,TRUE)-_xlfn.NORM.DIST(AI$30,economics!$AK$2:$AK$167,economics!$AJ$2:$AJ$167,TRUE)))),"")</f>
        <v/>
      </c>
      <c r="AJ46">
        <f t="array" ref="AJ46">IFERROR((SUMPRODUCT((economics!$AG$2:$AG$167=$B46)*(economics!$D$2:$D$167="process")*economics!$AI$2:$AI$167*(_xlfn.NORM.DIST(AJ$3,economics!$AK$2:$AK$167,economics!$AJ$2:$AJ$167,TRUE)-_xlfn.NORM.DIST(AJ$30,economics!$AK$2:$AK$167,economics!$AJ$2:$AJ$167,TRUE))*economics!$AM$2:$AM$167))/(SUMPRODUCT((economics!$AG$2:$AG$167=$B46)*(economics!$D$2:$D$167="process")*economics!$AI$2:$AI$167*(_xlfn.NORM.DIST(AJ$3,economics!$AK$2:$AK$167,economics!$AJ$2:$AJ$167,TRUE)-_xlfn.NORM.DIST(AJ$30,economics!$AK$2:$AK$167,economics!$AJ$2:$AJ$167,TRUE)))),"")</f>
        <v/>
      </c>
      <c r="AK46">
        <f t="array" ref="AK46">IFERROR((SUMPRODUCT((economics!$AG$2:$AG$167=$B46)*(economics!$D$2:$D$167="process")*economics!$AI$2:$AI$167*(_xlfn.NORM.DIST(AK$3,economics!$AK$2:$AK$167,economics!$AJ$2:$AJ$167,TRUE)-_xlfn.NORM.DIST(AK$30,economics!$AK$2:$AK$167,economics!$AJ$2:$AJ$167,TRUE))*economics!$AM$2:$AM$167))/(SUMPRODUCT((economics!$AG$2:$AG$167=$B46)*(economics!$D$2:$D$167="process")*economics!$AI$2:$AI$167*(_xlfn.NORM.DIST(AK$3,economics!$AK$2:$AK$167,economics!$AJ$2:$AJ$167,TRUE)-_xlfn.NORM.DIST(AK$30,economics!$AK$2:$AK$167,economics!$AJ$2:$AJ$167,TRUE)))),"")</f>
        <v/>
      </c>
      <c r="AL46">
        <f t="array" ref="AL46">IFERROR((SUMPRODUCT((economics!$AG$2:$AG$167=$B46)*(economics!$D$2:$D$167="process")*economics!$AI$2:$AI$167*(_xlfn.NORM.DIST(AL$3,economics!$AK$2:$AK$167,economics!$AJ$2:$AJ$167,TRUE)-_xlfn.NORM.DIST(AL$30,economics!$AK$2:$AK$167,economics!$AJ$2:$AJ$167,TRUE))*economics!$AM$2:$AM$167))/(SUMPRODUCT((economics!$AG$2:$AG$167=$B46)*(economics!$D$2:$D$167="process")*economics!$AI$2:$AI$167*(_xlfn.NORM.DIST(AL$3,economics!$AK$2:$AK$167,economics!$AJ$2:$AJ$167,TRUE)-_xlfn.NORM.DIST(AL$30,economics!$AK$2:$AK$167,economics!$AJ$2:$AJ$167,TRUE)))),"")</f>
        <v/>
      </c>
      <c r="AM46">
        <f t="array" ref="AM46">IFERROR((SUMPRODUCT((economics!$AG$2:$AG$167=$B46)*(economics!$D$2:$D$167="process")*economics!$AI$2:$AI$167*(_xlfn.NORM.DIST(AM$3,economics!$AK$2:$AK$167,economics!$AJ$2:$AJ$167,TRUE)-_xlfn.NORM.DIST(AM$30,economics!$AK$2:$AK$167,economics!$AJ$2:$AJ$167,TRUE))*economics!$AM$2:$AM$167))/(SUMPRODUCT((economics!$AG$2:$AG$167=$B46)*(economics!$D$2:$D$167="process")*economics!$AI$2:$AI$167*(_xlfn.NORM.DIST(AM$3,economics!$AK$2:$AK$167,economics!$AJ$2:$AJ$167,TRUE)-_xlfn.NORM.DIST(AM$30,economics!$AK$2:$AK$167,economics!$AJ$2:$AJ$167,TRUE)))),"")</f>
        <v/>
      </c>
      <c r="AN46">
        <f t="array" ref="AN46">IFERROR((SUMPRODUCT((economics!$AG$2:$AG$167=$B46)*(economics!$D$2:$D$167="process")*economics!$AI$2:$AI$167*(_xlfn.NORM.DIST(AN$3,economics!$AK$2:$AK$167,economics!$AJ$2:$AJ$167,TRUE)-_xlfn.NORM.DIST(AN$30,economics!$AK$2:$AK$167,economics!$AJ$2:$AJ$167,TRUE))*economics!$AM$2:$AM$167))/(SUMPRODUCT((economics!$AG$2:$AG$167=$B46)*(economics!$D$2:$D$167="process")*economics!$AI$2:$AI$167*(_xlfn.NORM.DIST(AN$3,economics!$AK$2:$AK$167,economics!$AJ$2:$AJ$167,TRUE)-_xlfn.NORM.DIST(AN$30,economics!$AK$2:$AK$167,economics!$AJ$2:$AJ$167,TRUE)))),"")</f>
        <v/>
      </c>
      <c r="AO46">
        <f t="array" ref="AO46">IFERROR((SUMPRODUCT((economics!$AG$2:$AG$167=$B46)*(economics!$D$2:$D$167="process")*economics!$AI$2:$AI$167*(_xlfn.NORM.DIST(AO$3,economics!$AK$2:$AK$167,economics!$AJ$2:$AJ$167,TRUE)-_xlfn.NORM.DIST(AO$30,economics!$AK$2:$AK$167,economics!$AJ$2:$AJ$167,TRUE))*economics!$AM$2:$AM$167))/(SUMPRODUCT((economics!$AG$2:$AG$167=$B46)*(economics!$D$2:$D$167="process")*economics!$AI$2:$AI$167*(_xlfn.NORM.DIST(AO$3,economics!$AK$2:$AK$167,economics!$AJ$2:$AJ$167,TRUE)-_xlfn.NORM.DIST(AO$30,economics!$AK$2:$AK$167,economics!$AJ$2:$AJ$167,TRUE)))),"")</f>
        <v/>
      </c>
      <c r="AP46">
        <f t="array" ref="AP46">IFERROR((SUMPRODUCT((economics!$AG$2:$AG$167=$B46)*(economics!$D$2:$D$167="process")*economics!$AI$2:$AI$167*(_xlfn.NORM.DIST(AP$3,economics!$AK$2:$AK$167,economics!$AJ$2:$AJ$167,TRUE)-_xlfn.NORM.DIST(AP$30,economics!$AK$2:$AK$167,economics!$AJ$2:$AJ$167,TRUE))*economics!$AM$2:$AM$167))/(SUMPRODUCT((economics!$AG$2:$AG$167=$B46)*(economics!$D$2:$D$167="process")*economics!$AI$2:$AI$167*(_xlfn.NORM.DIST(AP$3,economics!$AK$2:$AK$167,economics!$AJ$2:$AJ$167,TRUE)-_xlfn.NORM.DIST(AP$30,economics!$AK$2:$AK$167,economics!$AJ$2:$AJ$167,TRUE)))),"")</f>
        <v/>
      </c>
      <c r="AQ46">
        <f t="array" ref="AQ46">IFERROR((SUMPRODUCT((economics!$AG$2:$AG$167=$B46)*(economics!$D$2:$D$167="process")*economics!$AI$2:$AI$167*(_xlfn.NORM.DIST(AQ$3,economics!$AK$2:$AK$167,economics!$AJ$2:$AJ$167,TRUE)-_xlfn.NORM.DIST(AQ$30,economics!$AK$2:$AK$167,economics!$AJ$2:$AJ$167,TRUE))*economics!$AM$2:$AM$167))/(SUMPRODUCT((economics!$AG$2:$AG$167=$B46)*(economics!$D$2:$D$167="process")*economics!$AI$2:$AI$167*(_xlfn.NORM.DIST(AQ$3,economics!$AK$2:$AK$167,economics!$AJ$2:$AJ$167,TRUE)-_xlfn.NORM.DIST(AQ$30,economics!$AK$2:$AK$167,economics!$AJ$2:$AJ$167,TRUE)))),"")</f>
        <v/>
      </c>
      <c r="AR46">
        <f t="array" ref="AR46">IFERROR((SUMPRODUCT((economics!$AG$2:$AG$167=$B46)*(economics!$D$2:$D$167="process")*economics!$AI$2:$AI$167*(_xlfn.NORM.DIST(AR$3,economics!$AK$2:$AK$167,economics!$AJ$2:$AJ$167,TRUE)-_xlfn.NORM.DIST(AR$30,economics!$AK$2:$AK$167,economics!$AJ$2:$AJ$167,TRUE))*economics!$AM$2:$AM$167))/(SUMPRODUCT((economics!$AG$2:$AG$167=$B46)*(economics!$D$2:$D$167="process")*economics!$AI$2:$AI$167*(_xlfn.NORM.DIST(AR$3,economics!$AK$2:$AK$167,economics!$AJ$2:$AJ$167,TRUE)-_xlfn.NORM.DIST(AR$30,economics!$AK$2:$AK$167,economics!$AJ$2:$AJ$167,TRUE)))),"")</f>
        <v/>
      </c>
      <c r="AS46">
        <f t="array" ref="AS46">IFERROR((SUMPRODUCT((economics!$AG$2:$AG$167=$B46)*(economics!$D$2:$D$167="process")*economics!$AI$2:$AI$167*(_xlfn.NORM.DIST(AS$3,economics!$AK$2:$AK$167,economics!$AJ$2:$AJ$167,TRUE)-_xlfn.NORM.DIST(AS$30,economics!$AK$2:$AK$167,economics!$AJ$2:$AJ$167,TRUE))*economics!$AM$2:$AM$167))/(SUMPRODUCT((economics!$AG$2:$AG$167=$B46)*(economics!$D$2:$D$167="process")*economics!$AI$2:$AI$167*(_xlfn.NORM.DIST(AS$3,economics!$AK$2:$AK$167,economics!$AJ$2:$AJ$167,TRUE)-_xlfn.NORM.DIST(AS$30,economics!$AK$2:$AK$167,economics!$AJ$2:$AJ$167,TRUE)))),"")</f>
        <v/>
      </c>
      <c r="AT46">
        <f t="array" ref="AT46">IFERROR((SUMPRODUCT((economics!$AG$2:$AG$167=$B46)*(economics!$D$2:$D$167="process")*economics!$AI$2:$AI$167*(_xlfn.NORM.DIST(AT$3,economics!$AK$2:$AK$167,economics!$AJ$2:$AJ$167,TRUE)-_xlfn.NORM.DIST(AT$30,economics!$AK$2:$AK$167,economics!$AJ$2:$AJ$167,TRUE))*economics!$AM$2:$AM$167))/(SUMPRODUCT((economics!$AG$2:$AG$167=$B46)*(economics!$D$2:$D$167="process")*economics!$AI$2:$AI$167*(_xlfn.NORM.DIST(AT$3,economics!$AK$2:$AK$167,economics!$AJ$2:$AJ$167,TRUE)-_xlfn.NORM.DIST(AT$30,economics!$AK$2:$AK$167,economics!$AJ$2:$AJ$167,TRUE)))),"")</f>
        <v/>
      </c>
      <c r="AU46">
        <f t="array" ref="AU46">IFERROR((SUMPRODUCT((economics!$AG$2:$AG$167=$B46)*(economics!$D$2:$D$167="process")*economics!$AI$2:$AI$167*(_xlfn.NORM.DIST(AU$3,economics!$AK$2:$AK$167,economics!$AJ$2:$AJ$167,TRUE)-_xlfn.NORM.DIST(AU$30,economics!$AK$2:$AK$167,economics!$AJ$2:$AJ$167,TRUE))*economics!$AM$2:$AM$167))/(SUMPRODUCT((economics!$AG$2:$AG$167=$B46)*(economics!$D$2:$D$167="process")*economics!$AI$2:$AI$167*(_xlfn.NORM.DIST(AU$3,economics!$AK$2:$AK$167,economics!$AJ$2:$AJ$167,TRUE)-_xlfn.NORM.DIST(AU$30,economics!$AK$2:$AK$167,economics!$AJ$2:$AJ$167,TRUE)))),"")</f>
        <v/>
      </c>
      <c r="AV46">
        <f t="array" ref="AV46">IFERROR((SUMPRODUCT((economics!$AG$2:$AG$167=$B46)*(economics!$D$2:$D$167="process")*economics!$AI$2:$AI$167*(_xlfn.NORM.DIST(AV$3,economics!$AK$2:$AK$167,economics!$AJ$2:$AJ$167,TRUE)-_xlfn.NORM.DIST(AV$30,economics!$AK$2:$AK$167,economics!$AJ$2:$AJ$167,TRUE))*economics!$AM$2:$AM$167))/(SUMPRODUCT((economics!$AG$2:$AG$167=$B46)*(economics!$D$2:$D$167="process")*economics!$AI$2:$AI$167*(_xlfn.NORM.DIST(AV$3,economics!$AK$2:$AK$167,economics!$AJ$2:$AJ$167,TRUE)-_xlfn.NORM.DIST(AV$30,economics!$AK$2:$AK$167,economics!$AJ$2:$AJ$167,TRUE)))),"")</f>
        <v/>
      </c>
      <c r="AW46">
        <f t="array" ref="AW46">IFERROR((SUMPRODUCT((economics!$AG$2:$AG$167=$B46)*(economics!$D$2:$D$167="process")*economics!$AI$2:$AI$167*(_xlfn.NORM.DIST(AW$3,economics!$AK$2:$AK$167,economics!$AJ$2:$AJ$167,TRUE)-_xlfn.NORM.DIST(AW$30,economics!$AK$2:$AK$167,economics!$AJ$2:$AJ$167,TRUE))*economics!$AM$2:$AM$167))/(SUMPRODUCT((economics!$AG$2:$AG$167=$B46)*(economics!$D$2:$D$167="process")*economics!$AI$2:$AI$167*(_xlfn.NORM.DIST(AW$3,economics!$AK$2:$AK$167,economics!$AJ$2:$AJ$167,TRUE)-_xlfn.NORM.DIST(AW$30,economics!$AK$2:$AK$167,economics!$AJ$2:$AJ$167,TRUE)))),"")</f>
        <v/>
      </c>
      <c r="AX46">
        <f t="array" ref="AX46">IFERROR((SUMPRODUCT((economics!$AG$2:$AG$167=$B46)*(economics!$D$2:$D$167="process")*economics!$AI$2:$AI$167*(_xlfn.NORM.DIST(AX$3,economics!$AK$2:$AK$167,economics!$AJ$2:$AJ$167,TRUE)-_xlfn.NORM.DIST(AX$30,economics!$AK$2:$AK$167,economics!$AJ$2:$AJ$167,TRUE))*economics!$AM$2:$AM$167))/(SUMPRODUCT((economics!$AG$2:$AG$167=$B46)*(economics!$D$2:$D$167="process")*economics!$AI$2:$AI$167*(_xlfn.NORM.DIST(AX$3,economics!$AK$2:$AK$167,economics!$AJ$2:$AJ$167,TRUE)-_xlfn.NORM.DIST(AX$30,economics!$AK$2:$AK$167,economics!$AJ$2:$AJ$167,TRUE)))),"")</f>
        <v/>
      </c>
      <c r="AY46">
        <f t="array" ref="AY46">IFERROR((SUMPRODUCT((economics!$AG$2:$AG$167=$B46)*(economics!$D$2:$D$167="process")*economics!$AI$2:$AI$167*(_xlfn.NORM.DIST(AY$3,economics!$AK$2:$AK$167,economics!$AJ$2:$AJ$167,TRUE)-_xlfn.NORM.DIST(AY$30,economics!$AK$2:$AK$167,economics!$AJ$2:$AJ$167,TRUE))*economics!$AM$2:$AM$167))/(SUMPRODUCT((economics!$AG$2:$AG$167=$B46)*(economics!$D$2:$D$167="process")*economics!$AI$2:$AI$167*(_xlfn.NORM.DIST(AY$3,economics!$AK$2:$AK$167,economics!$AJ$2:$AJ$167,TRUE)-_xlfn.NORM.DIST(AY$30,economics!$AK$2:$AK$167,economics!$AJ$2:$AJ$167,TRUE)))),"")</f>
        <v/>
      </c>
      <c r="AZ46">
        <f t="array" ref="AZ46">IFERROR((SUMPRODUCT((economics!$AG$2:$AG$167=$B46)*(economics!$D$2:$D$167="process")*economics!$AI$2:$AI$167*(_xlfn.NORM.DIST(AZ$3,economics!$AK$2:$AK$167,economics!$AJ$2:$AJ$167,TRUE)-_xlfn.NORM.DIST(AZ$30,economics!$AK$2:$AK$167,economics!$AJ$2:$AJ$167,TRUE))*economics!$AM$2:$AM$167))/(SUMPRODUCT((economics!$AG$2:$AG$167=$B46)*(economics!$D$2:$D$167="process")*economics!$AI$2:$AI$167*(_xlfn.NORM.DIST(AZ$3,economics!$AK$2:$AK$167,economics!$AJ$2:$AJ$167,TRUE)-_xlfn.NORM.DIST(AZ$30,economics!$AK$2:$AK$167,economics!$AJ$2:$AJ$167,TRUE)))),"")</f>
        <v/>
      </c>
      <c r="BA46">
        <f t="array" ref="BA46">IFERROR((SUMPRODUCT((economics!$AG$2:$AG$167=$B46)*(economics!$D$2:$D$167="process")*economics!$AI$2:$AI$167*(_xlfn.NORM.DIST(BA$3,economics!$AK$2:$AK$167,economics!$AJ$2:$AJ$167,TRUE)-_xlfn.NORM.DIST(BA$30,economics!$AK$2:$AK$167,economics!$AJ$2:$AJ$167,TRUE))*economics!$AM$2:$AM$167))/(SUMPRODUCT((economics!$AG$2:$AG$167=$B46)*(economics!$D$2:$D$167="process")*economics!$AI$2:$AI$167*(_xlfn.NORM.DIST(BA$3,economics!$AK$2:$AK$167,economics!$AJ$2:$AJ$167,TRUE)-_xlfn.NORM.DIST(BA$30,economics!$AK$2:$AK$167,economics!$AJ$2:$AJ$167,TRUE)))),"")</f>
        <v/>
      </c>
      <c r="BB46">
        <f t="array" ref="BB46">IFERROR((SUMPRODUCT((economics!$AG$2:$AG$167=$B46)*(economics!$D$2:$D$167="process")*economics!$AI$2:$AI$167*(_xlfn.NORM.DIST(BB$3,economics!$AK$2:$AK$167,economics!$AJ$2:$AJ$167,TRUE)-_xlfn.NORM.DIST(BB$30,economics!$AK$2:$AK$167,economics!$AJ$2:$AJ$167,TRUE))*economics!$AM$2:$AM$167))/(SUMPRODUCT((economics!$AG$2:$AG$167=$B46)*(economics!$D$2:$D$167="process")*economics!$AI$2:$AI$167*(_xlfn.NORM.DIST(BB$3,economics!$AK$2:$AK$167,economics!$AJ$2:$AJ$167,TRUE)-_xlfn.NORM.DIST(BB$30,economics!$AK$2:$AK$167,economics!$AJ$2:$AJ$167,TRUE)))),"")</f>
        <v/>
      </c>
      <c r="BC46">
        <f t="array" ref="BC46">IFERROR((SUMPRODUCT((economics!$AG$2:$AG$167=$B46)*(economics!$D$2:$D$167="process")*economics!$AI$2:$AI$167*(_xlfn.NORM.DIST(BC$3,economics!$AK$2:$AK$167,economics!$AJ$2:$AJ$167,TRUE)-_xlfn.NORM.DIST(BC$30,economics!$AK$2:$AK$167,economics!$AJ$2:$AJ$167,TRUE))*economics!$AM$2:$AM$167))/(SUMPRODUCT((economics!$AG$2:$AG$167=$B46)*(economics!$D$2:$D$167="process")*economics!$AI$2:$AI$167*(_xlfn.NORM.DIST(BC$3,economics!$AK$2:$AK$167,economics!$AJ$2:$AJ$167,TRUE)-_xlfn.NORM.DIST(BC$30,economics!$AK$2:$AK$167,economics!$AJ$2:$AJ$167,TRUE)))),"")</f>
        <v/>
      </c>
      <c r="BD46">
        <f t="array" ref="BD46">IFERROR((SUMPRODUCT((economics!$AG$2:$AG$167=$B46)*(economics!$D$2:$D$167="process")*economics!$AI$2:$AI$167*(_xlfn.NORM.DIST(BD$3,economics!$AK$2:$AK$167,economics!$AJ$2:$AJ$167,TRUE)-_xlfn.NORM.DIST(BD$30,economics!$AK$2:$AK$167,economics!$AJ$2:$AJ$167,TRUE))*economics!$AM$2:$AM$167))/(SUMPRODUCT((economics!$AG$2:$AG$167=$B46)*(economics!$D$2:$D$167="process")*economics!$AI$2:$AI$167*(_xlfn.NORM.DIST(BD$3,economics!$AK$2:$AK$167,economics!$AJ$2:$AJ$167,TRUE)-_xlfn.NORM.DIST(BD$30,economics!$AK$2:$AK$167,economics!$AJ$2:$AJ$167,TRUE)))),"")</f>
        <v/>
      </c>
      <c r="BE46">
        <f t="array" ref="BE46">IFERROR((SUMPRODUCT((economics!$AG$2:$AG$167=$B46)*(economics!$D$2:$D$167="process")*economics!$AI$2:$AI$167*(_xlfn.NORM.DIST(BE$3,economics!$AK$2:$AK$167,economics!$AJ$2:$AJ$167,TRUE)-_xlfn.NORM.DIST(BE$30,economics!$AK$2:$AK$167,economics!$AJ$2:$AJ$167,TRUE))*economics!$AM$2:$AM$167))/(SUMPRODUCT((economics!$AG$2:$AG$167=$B46)*(economics!$D$2:$D$167="process")*economics!$AI$2:$AI$167*(_xlfn.NORM.DIST(BE$3,economics!$AK$2:$AK$167,economics!$AJ$2:$AJ$167,TRUE)-_xlfn.NORM.DIST(BE$30,economics!$AK$2:$AK$167,economics!$AJ$2:$AJ$167,TRUE)))),"")</f>
        <v/>
      </c>
      <c r="BF46">
        <f t="array" ref="BF46">IFERROR((SUMPRODUCT((economics!$AG$2:$AG$167=$B46)*(economics!$D$2:$D$167="process")*economics!$AI$2:$AI$167*(_xlfn.NORM.DIST(BF$3,economics!$AK$2:$AK$167,economics!$AJ$2:$AJ$167,TRUE)-_xlfn.NORM.DIST(BF$30,economics!$AK$2:$AK$167,economics!$AJ$2:$AJ$167,TRUE))*economics!$AM$2:$AM$167))/(SUMPRODUCT((economics!$AG$2:$AG$167=$B46)*(economics!$D$2:$D$167="process")*economics!$AI$2:$AI$167*(_xlfn.NORM.DIST(BF$3,economics!$AK$2:$AK$167,economics!$AJ$2:$AJ$167,TRUE)-_xlfn.NORM.DIST(BF$30,economics!$AK$2:$AK$167,economics!$AJ$2:$AJ$167,TRUE)))),"")</f>
        <v/>
      </c>
      <c r="BG46">
        <f t="array" ref="BG46">IFERROR((SUMPRODUCT((economics!$AG$2:$AG$167=$B46)*(economics!$D$2:$D$167="process")*economics!$AI$2:$AI$167*(_xlfn.NORM.DIST(BG$3,economics!$AK$2:$AK$167,economics!$AJ$2:$AJ$167,TRUE)-_xlfn.NORM.DIST(BG$30,economics!$AK$2:$AK$167,economics!$AJ$2:$AJ$167,TRUE))*economics!$AM$2:$AM$167))/(SUMPRODUCT((economics!$AG$2:$AG$167=$B46)*(economics!$D$2:$D$167="process")*economics!$AI$2:$AI$167*(_xlfn.NORM.DIST(BG$3,economics!$AK$2:$AK$167,economics!$AJ$2:$AJ$167,TRUE)-_xlfn.NORM.DIST(BG$30,economics!$AK$2:$AK$167,economics!$AJ$2:$AJ$167,TRUE)))),"")</f>
        <v/>
      </c>
      <c r="BH46">
        <f t="array" ref="BH46">IFERROR((SUMPRODUCT((economics!$AG$2:$AG$167=$B46)*(economics!$D$2:$D$167="process")*economics!$AI$2:$AI$167*(_xlfn.NORM.DIST(BH$3,economics!$AK$2:$AK$167,economics!$AJ$2:$AJ$167,TRUE)-_xlfn.NORM.DIST(BH$30,economics!$AK$2:$AK$167,economics!$AJ$2:$AJ$167,TRUE))*economics!$AM$2:$AM$167))/(SUMPRODUCT((economics!$AG$2:$AG$167=$B46)*(economics!$D$2:$D$167="process")*economics!$AI$2:$AI$167*(_xlfn.NORM.DIST(BH$3,economics!$AK$2:$AK$167,economics!$AJ$2:$AJ$167,TRUE)-_xlfn.NORM.DIST(BH$30,economics!$AK$2:$AK$167,economics!$AJ$2:$AJ$167,TRUE)))),"")</f>
        <v/>
      </c>
      <c r="BI46">
        <f t="array" ref="BI46">IFERROR((SUMPRODUCT((economics!$AG$2:$AG$167=$B46)*(economics!$D$2:$D$167="process")*economics!$AI$2:$AI$167*(_xlfn.NORM.DIST(BI$3,economics!$AK$2:$AK$167,economics!$AJ$2:$AJ$167,TRUE)-_xlfn.NORM.DIST(BI$30,economics!$AK$2:$AK$167,economics!$AJ$2:$AJ$167,TRUE))*economics!$AM$2:$AM$167))/(SUMPRODUCT((economics!$AG$2:$AG$167=$B46)*(economics!$D$2:$D$167="process")*economics!$AI$2:$AI$167*(_xlfn.NORM.DIST(BI$3,economics!$AK$2:$AK$167,economics!$AJ$2:$AJ$167,TRUE)-_xlfn.NORM.DIST(BI$30,economics!$AK$2:$AK$167,economics!$AJ$2:$AJ$167,TRUE)))),"")</f>
        <v/>
      </c>
      <c r="BJ46">
        <f t="array" ref="BJ46">IFERROR((SUMPRODUCT((economics!$AG$2:$AG$167=$B46)*(economics!$D$2:$D$167="process")*economics!$AI$2:$AI$167*(_xlfn.NORM.DIST(BJ$3,economics!$AK$2:$AK$167,economics!$AJ$2:$AJ$167,TRUE)-_xlfn.NORM.DIST(BJ$30,economics!$AK$2:$AK$167,economics!$AJ$2:$AJ$167,TRUE))*economics!$AM$2:$AM$167))/(SUMPRODUCT((economics!$AG$2:$AG$167=$B46)*(economics!$D$2:$D$167="process")*economics!$AI$2:$AI$167*(_xlfn.NORM.DIST(BJ$3,economics!$AK$2:$AK$167,economics!$AJ$2:$AJ$167,TRUE)-_xlfn.NORM.DIST(BJ$30,economics!$AK$2:$AK$167,economics!$AJ$2:$AJ$167,TRUE)))),"")</f>
        <v/>
      </c>
      <c r="BK46">
        <f t="array" ref="BK46">IFERROR((SUMPRODUCT((economics!$AG$2:$AG$167=$B46)*(economics!$D$2:$D$167="process")*economics!$AI$2:$AI$167*(_xlfn.NORM.DIST(BK$3,economics!$AK$2:$AK$167,economics!$AJ$2:$AJ$167,TRUE)-_xlfn.NORM.DIST(BK$30,economics!$AK$2:$AK$167,economics!$AJ$2:$AJ$167,TRUE))*economics!$AM$2:$AM$167))/(SUMPRODUCT((economics!$AG$2:$AG$167=$B46)*(economics!$D$2:$D$167="process")*economics!$AI$2:$AI$167*(_xlfn.NORM.DIST(BK$3,economics!$AK$2:$AK$167,economics!$AJ$2:$AJ$167,TRUE)-_xlfn.NORM.DIST(BK$30,economics!$AK$2:$AK$167,economics!$AJ$2:$AJ$167,TRUE)))),"")</f>
        <v/>
      </c>
      <c r="BL46">
        <f t="array" ref="BL46">IFERROR((SUMPRODUCT((economics!$AG$2:$AG$167=$B46)*(economics!$D$2:$D$167="process")*economics!$AI$2:$AI$167*(_xlfn.NORM.DIST(BL$3,economics!$AK$2:$AK$167,economics!$AJ$2:$AJ$167,TRUE)-_xlfn.NORM.DIST(BL$30,economics!$AK$2:$AK$167,economics!$AJ$2:$AJ$167,TRUE))*economics!$AM$2:$AM$167))/(SUMPRODUCT((economics!$AG$2:$AG$167=$B46)*(economics!$D$2:$D$167="process")*economics!$AI$2:$AI$167*(_xlfn.NORM.DIST(BL$3,economics!$AK$2:$AK$167,economics!$AJ$2:$AJ$167,TRUE)-_xlfn.NORM.DIST(BL$30,economics!$AK$2:$AK$167,economics!$AJ$2:$AJ$167,TRUE)))),"")</f>
        <v/>
      </c>
      <c r="BM46">
        <f t="array" ref="BM46">IFERROR((SUMPRODUCT((economics!$AG$2:$AG$167=$B46)*(economics!$D$2:$D$167="process")*economics!$AI$2:$AI$167*(_xlfn.NORM.DIST(BM$3,economics!$AK$2:$AK$167,economics!$AJ$2:$AJ$167,TRUE)-_xlfn.NORM.DIST(BM$30,economics!$AK$2:$AK$167,economics!$AJ$2:$AJ$167,TRUE))*economics!$AM$2:$AM$167))/(SUMPRODUCT((economics!$AG$2:$AG$167=$B46)*(economics!$D$2:$D$167="process")*economics!$AI$2:$AI$167*(_xlfn.NORM.DIST(BM$3,economics!$AK$2:$AK$167,economics!$AJ$2:$AJ$167,TRUE)-_xlfn.NORM.DIST(BM$30,economics!$AK$2:$AK$167,economics!$AJ$2:$AJ$167,TRUE)))),"")</f>
        <v/>
      </c>
      <c r="BN46">
        <f t="array" ref="BN46">IFERROR((SUMPRODUCT((economics!$AG$2:$AG$167=$B46)*(economics!$D$2:$D$167="process")*economics!$AI$2:$AI$167*(_xlfn.NORM.DIST(BN$3,economics!$AK$2:$AK$167,economics!$AJ$2:$AJ$167,TRUE)-_xlfn.NORM.DIST(BN$30,economics!$AK$2:$AK$167,economics!$AJ$2:$AJ$167,TRUE))*economics!$AM$2:$AM$167))/(SUMPRODUCT((economics!$AG$2:$AG$167=$B46)*(economics!$D$2:$D$167="process")*economics!$AI$2:$AI$167*(_xlfn.NORM.DIST(BN$3,economics!$AK$2:$AK$167,economics!$AJ$2:$AJ$167,TRUE)-_xlfn.NORM.DIST(BN$30,economics!$AK$2:$AK$167,economics!$AJ$2:$AJ$167,TRUE)))),"")</f>
        <v/>
      </c>
      <c r="BO46">
        <f t="array" ref="BO46">IFERROR((SUMPRODUCT((economics!$AG$2:$AG$167=$B46)*(economics!$D$2:$D$167="process")*economics!$AI$2:$AI$167*(_xlfn.NORM.DIST(BO$3,economics!$AK$2:$AK$167,economics!$AJ$2:$AJ$167,TRUE)-_xlfn.NORM.DIST(BO$30,economics!$AK$2:$AK$167,economics!$AJ$2:$AJ$167,TRUE))*economics!$AM$2:$AM$167))/(SUMPRODUCT((economics!$AG$2:$AG$167=$B46)*(economics!$D$2:$D$167="process")*economics!$AI$2:$AI$167*(_xlfn.NORM.DIST(BO$3,economics!$AK$2:$AK$167,economics!$AJ$2:$AJ$167,TRUE)-_xlfn.NORM.DIST(BO$30,economics!$AK$2:$AK$167,economics!$AJ$2:$AJ$167,TRUE)))),"")</f>
        <v/>
      </c>
      <c r="BP46">
        <f t="array" ref="BP46">IFERROR((SUMPRODUCT((economics!$AG$2:$AG$167=$B46)*(economics!$D$2:$D$167="process")*economics!$AI$2:$AI$167*(_xlfn.NORM.DIST(BP$3,economics!$AK$2:$AK$167,economics!$AJ$2:$AJ$167,TRUE)-_xlfn.NORM.DIST(BP$30,economics!$AK$2:$AK$167,economics!$AJ$2:$AJ$167,TRUE))*economics!$AM$2:$AM$167))/(SUMPRODUCT((economics!$AG$2:$AG$167=$B46)*(economics!$D$2:$D$167="process")*economics!$AI$2:$AI$167*(_xlfn.NORM.DIST(BP$3,economics!$AK$2:$AK$167,economics!$AJ$2:$AJ$167,TRUE)-_xlfn.NORM.DIST(BP$30,economics!$AK$2:$AK$167,economics!$AJ$2:$AJ$167,TRUE)))),"")</f>
        <v/>
      </c>
      <c r="BQ46">
        <f t="array" ref="BQ46">IFERROR((SUMPRODUCT((economics!$AG$2:$AG$167=$B46)*(economics!$D$2:$D$167="process")*economics!$AI$2:$AI$167*(_xlfn.NORM.DIST(BQ$3,economics!$AK$2:$AK$167,economics!$AJ$2:$AJ$167,TRUE)-_xlfn.NORM.DIST(BQ$30,economics!$AK$2:$AK$167,economics!$AJ$2:$AJ$167,TRUE))*economics!$AM$2:$AM$167))/(SUMPRODUCT((economics!$AG$2:$AG$167=$B46)*(economics!$D$2:$D$167="process")*economics!$AI$2:$AI$167*(_xlfn.NORM.DIST(BQ$3,economics!$AK$2:$AK$167,economics!$AJ$2:$AJ$167,TRUE)-_xlfn.NORM.DIST(BQ$30,economics!$AK$2:$AK$167,economics!$AJ$2:$AJ$167,TRUE)))),"")</f>
        <v/>
      </c>
      <c r="BR46">
        <f t="array" ref="BR46">IFERROR((SUMPRODUCT((economics!$AG$2:$AG$167=$B46)*(economics!$D$2:$D$167="process")*economics!$AI$2:$AI$167*(_xlfn.NORM.DIST(BR$3,economics!$AK$2:$AK$167,economics!$AJ$2:$AJ$167,TRUE)-_xlfn.NORM.DIST(BR$30,economics!$AK$2:$AK$167,economics!$AJ$2:$AJ$167,TRUE))*economics!$AM$2:$AM$167))/(SUMPRODUCT((economics!$AG$2:$AG$167=$B46)*(economics!$D$2:$D$167="process")*economics!$AI$2:$AI$167*(_xlfn.NORM.DIST(BR$3,economics!$AK$2:$AK$167,economics!$AJ$2:$AJ$167,TRUE)-_xlfn.NORM.DIST(BR$30,economics!$AK$2:$AK$167,economics!$AJ$2:$AJ$167,TRUE)))),"")</f>
        <v/>
      </c>
      <c r="BS46">
        <f t="array" ref="BS46">IFERROR((SUMPRODUCT((economics!$AG$2:$AG$167=$B46)*(economics!$D$2:$D$167="process")*economics!$AI$2:$AI$167*(_xlfn.NORM.DIST(BS$3,economics!$AK$2:$AK$167,economics!$AJ$2:$AJ$167,TRUE)-_xlfn.NORM.DIST(BS$30,economics!$AK$2:$AK$167,economics!$AJ$2:$AJ$167,TRUE))*economics!$AM$2:$AM$167))/(SUMPRODUCT((economics!$AG$2:$AG$167=$B46)*(economics!$D$2:$D$167="process")*economics!$AI$2:$AI$167*(_xlfn.NORM.DIST(BS$3,economics!$AK$2:$AK$167,economics!$AJ$2:$AJ$167,TRUE)-_xlfn.NORM.DIST(BS$30,economics!$AK$2:$AK$167,economics!$AJ$2:$AJ$167,TRUE)))),"")</f>
        <v/>
      </c>
      <c r="BT46">
        <f t="array" ref="BT46">IFERROR((SUMPRODUCT((economics!$AG$2:$AG$167=$B46)*(economics!$D$2:$D$167="process")*economics!$AI$2:$AI$167*(_xlfn.NORM.DIST(BT$3,economics!$AK$2:$AK$167,economics!$AJ$2:$AJ$167,TRUE)-_xlfn.NORM.DIST(BT$30,economics!$AK$2:$AK$167,economics!$AJ$2:$AJ$167,TRUE))*economics!$AM$2:$AM$167))/(SUMPRODUCT((economics!$AG$2:$AG$167=$B46)*(economics!$D$2:$D$167="process")*economics!$AI$2:$AI$167*(_xlfn.NORM.DIST(BT$3,economics!$AK$2:$AK$167,economics!$AJ$2:$AJ$167,TRUE)-_xlfn.NORM.DIST(BT$30,economics!$AK$2:$AK$167,economics!$AJ$2:$AJ$167,TRUE)))),"")</f>
        <v/>
      </c>
      <c r="BU46">
        <f t="array" ref="BU46">IFERROR((SUMPRODUCT((economics!$AG$2:$AG$167=$B46)*(economics!$D$2:$D$167="process")*economics!$AI$2:$AI$167*(_xlfn.NORM.DIST(BU$3,economics!$AK$2:$AK$167,economics!$AJ$2:$AJ$167,TRUE)-_xlfn.NORM.DIST(BU$30,economics!$AK$2:$AK$167,economics!$AJ$2:$AJ$167,TRUE))*economics!$AM$2:$AM$167))/(SUMPRODUCT((economics!$AG$2:$AG$167=$B46)*(economics!$D$2:$D$167="process")*economics!$AI$2:$AI$167*(_xlfn.NORM.DIST(BU$3,economics!$AK$2:$AK$167,economics!$AJ$2:$AJ$167,TRUE)-_xlfn.NORM.DIST(BU$30,economics!$AK$2:$AK$167,economics!$AJ$2:$AJ$167,TRUE)))),"")</f>
        <v/>
      </c>
      <c r="BV46">
        <f t="array" ref="BV46">IFERROR((SUMPRODUCT((economics!$AG$2:$AG$167=$B46)*(economics!$D$2:$D$167="process")*economics!$AI$2:$AI$167*(_xlfn.NORM.DIST(BV$3,economics!$AK$2:$AK$167,economics!$AJ$2:$AJ$167,TRUE)-_xlfn.NORM.DIST(BV$30,economics!$AK$2:$AK$167,economics!$AJ$2:$AJ$167,TRUE))*economics!$AM$2:$AM$167))/(SUMPRODUCT((economics!$AG$2:$AG$167=$B46)*(economics!$D$2:$D$167="process")*economics!$AI$2:$AI$167*(_xlfn.NORM.DIST(BV$3,economics!$AK$2:$AK$167,economics!$AJ$2:$AJ$167,TRUE)-_xlfn.NORM.DIST(BV$30,economics!$AK$2:$AK$167,economics!$AJ$2:$AJ$167,TRUE)))),"")</f>
        <v/>
      </c>
      <c r="BW46">
        <f t="array" ref="BW46">IFERROR((SUMPRODUCT((economics!$AG$2:$AG$167=$B46)*(economics!$D$2:$D$167="process")*economics!$AI$2:$AI$167*(_xlfn.NORM.DIST(BW$3,economics!$AK$2:$AK$167,economics!$AJ$2:$AJ$167,TRUE)-_xlfn.NORM.DIST(BW$30,economics!$AK$2:$AK$167,economics!$AJ$2:$AJ$167,TRUE))*economics!$AM$2:$AM$167))/(SUMPRODUCT((economics!$AG$2:$AG$167=$B46)*(economics!$D$2:$D$167="process")*economics!$AI$2:$AI$167*(_xlfn.NORM.DIST(BW$3,economics!$AK$2:$AK$167,economics!$AJ$2:$AJ$167,TRUE)-_xlfn.NORM.DIST(BW$30,economics!$AK$2:$AK$167,economics!$AJ$2:$AJ$167,TRUE)))),"")</f>
        <v/>
      </c>
      <c r="BX46">
        <f t="array" ref="BX46">IFERROR((SUMPRODUCT((economics!$AG$2:$AG$167=$B46)*(economics!$D$2:$D$167="process")*economics!$AI$2:$AI$167*(_xlfn.NORM.DIST(BX$3,economics!$AK$2:$AK$167,economics!$AJ$2:$AJ$167,TRUE)-_xlfn.NORM.DIST(BX$30,economics!$AK$2:$AK$167,economics!$AJ$2:$AJ$167,TRUE))*economics!$AM$2:$AM$167))/(SUMPRODUCT((economics!$AG$2:$AG$167=$B46)*(economics!$D$2:$D$167="process")*economics!$AI$2:$AI$167*(_xlfn.NORM.DIST(BX$3,economics!$AK$2:$AK$167,economics!$AJ$2:$AJ$167,TRUE)-_xlfn.NORM.DIST(BX$30,economics!$AK$2:$AK$167,economics!$AJ$2:$AJ$167,TRUE)))),"")</f>
        <v/>
      </c>
      <c r="BY46">
        <f t="array" ref="BY46">IFERROR((SUMPRODUCT((economics!$AG$2:$AG$167=$B46)*(economics!$D$2:$D$167="process")*economics!$AI$2:$AI$167*(_xlfn.NORM.DIST(BY$3,economics!$AK$2:$AK$167,economics!$AJ$2:$AJ$167,TRUE)-_xlfn.NORM.DIST(BY$30,economics!$AK$2:$AK$167,economics!$AJ$2:$AJ$167,TRUE))*economics!$AM$2:$AM$167))/(SUMPRODUCT((economics!$AG$2:$AG$167=$B46)*(economics!$D$2:$D$167="process")*economics!$AI$2:$AI$167*(_xlfn.NORM.DIST(BY$3,economics!$AK$2:$AK$167,economics!$AJ$2:$AJ$167,TRUE)-_xlfn.NORM.DIST(BY$30,economics!$AK$2:$AK$167,economics!$AJ$2:$AJ$167,TRUE)))),"")</f>
        <v/>
      </c>
      <c r="BZ46">
        <f t="array" ref="BZ46">IFERROR((SUMPRODUCT((economics!$AG$2:$AG$167=$B46)*(economics!$D$2:$D$167="process")*economics!$AI$2:$AI$167*(_xlfn.NORM.DIST(BZ$3,economics!$AK$2:$AK$167,economics!$AJ$2:$AJ$167,TRUE)-_xlfn.NORM.DIST(BZ$30,economics!$AK$2:$AK$167,economics!$AJ$2:$AJ$167,TRUE))*economics!$AM$2:$AM$167))/(SUMPRODUCT((economics!$AG$2:$AG$167=$B46)*(economics!$D$2:$D$167="process")*economics!$AI$2:$AI$167*(_xlfn.NORM.DIST(BZ$3,economics!$AK$2:$AK$167,economics!$AJ$2:$AJ$167,TRUE)-_xlfn.NORM.DIST(BZ$30,economics!$AK$2:$AK$167,economics!$AJ$2:$AJ$167,TRUE)))),"")</f>
        <v/>
      </c>
      <c r="CA46">
        <f t="array" ref="CA46">IFERROR((SUMPRODUCT((economics!$AG$2:$AG$167=$B46)*(economics!$D$2:$D$167="process")*economics!$AI$2:$AI$167*(_xlfn.NORM.DIST(CA$3,economics!$AK$2:$AK$167,economics!$AJ$2:$AJ$167,TRUE)-_xlfn.NORM.DIST(CA$30,economics!$AK$2:$AK$167,economics!$AJ$2:$AJ$167,TRUE))*economics!$AM$2:$AM$167))/(SUMPRODUCT((economics!$AG$2:$AG$167=$B46)*(economics!$D$2:$D$167="process")*economics!$AI$2:$AI$167*(_xlfn.NORM.DIST(CA$3,economics!$AK$2:$AK$167,economics!$AJ$2:$AJ$167,TRUE)-_xlfn.NORM.DIST(CA$30,economics!$AK$2:$AK$167,economics!$AJ$2:$AJ$167,TRUE)))),"")</f>
        <v/>
      </c>
      <c r="CB46">
        <f t="array" ref="CB46">IFERROR((SUMPRODUCT((economics!$AG$2:$AG$167=$B46)*(economics!$D$2:$D$167="process")*economics!$AI$2:$AI$167*(_xlfn.NORM.DIST(CB$3,economics!$AK$2:$AK$167,economics!$AJ$2:$AJ$167,TRUE)-_xlfn.NORM.DIST(CB$30,economics!$AK$2:$AK$167,economics!$AJ$2:$AJ$167,TRUE))*economics!$AM$2:$AM$167))/(SUMPRODUCT((economics!$AG$2:$AG$167=$B46)*(economics!$D$2:$D$167="process")*economics!$AI$2:$AI$167*(_xlfn.NORM.DIST(CB$3,economics!$AK$2:$AK$167,economics!$AJ$2:$AJ$167,TRUE)-_xlfn.NORM.DIST(CB$30,economics!$AK$2:$AK$167,economics!$AJ$2:$AJ$167,TRUE)))),"")</f>
        <v/>
      </c>
      <c r="CC46">
        <f t="array" ref="CC46">IFERROR((SUMPRODUCT((economics!$AG$2:$AG$167=$B46)*(economics!$D$2:$D$167="process")*economics!$AI$2:$AI$167*(_xlfn.NORM.DIST(CC$3,economics!$AK$2:$AK$167,economics!$AJ$2:$AJ$167,TRUE)-_xlfn.NORM.DIST(CC$30,economics!$AK$2:$AK$167,economics!$AJ$2:$AJ$167,TRUE))*economics!$AM$2:$AM$167))/(SUMPRODUCT((economics!$AG$2:$AG$167=$B46)*(economics!$D$2:$D$167="process")*economics!$AI$2:$AI$167*(_xlfn.NORM.DIST(CC$3,economics!$AK$2:$AK$167,economics!$AJ$2:$AJ$167,TRUE)-_xlfn.NORM.DIST(CC$30,economics!$AK$2:$AK$167,economics!$AJ$2:$AJ$167,TRUE)))),"")</f>
        <v/>
      </c>
      <c r="CD46">
        <f t="array" ref="CD46">IFERROR((SUMPRODUCT((economics!$AG$2:$AG$167=$B46)*(economics!$D$2:$D$167="process")*economics!$AI$2:$AI$167*(_xlfn.NORM.DIST(CD$3,economics!$AK$2:$AK$167,economics!$AJ$2:$AJ$167,TRUE)-_xlfn.NORM.DIST(CD$30,economics!$AK$2:$AK$167,economics!$AJ$2:$AJ$167,TRUE))*economics!$AM$2:$AM$167))/(SUMPRODUCT((economics!$AG$2:$AG$167=$B46)*(economics!$D$2:$D$167="process")*economics!$AI$2:$AI$167*(_xlfn.NORM.DIST(CD$3,economics!$AK$2:$AK$167,economics!$AJ$2:$AJ$167,TRUE)-_xlfn.NORM.DIST(CD$30,economics!$AK$2:$AK$167,economics!$AJ$2:$AJ$167,TRUE)))),"")</f>
        <v/>
      </c>
      <c r="CE46">
        <f t="array" ref="CE46">IFERROR((SUMPRODUCT((economics!$AG$2:$AG$167=$B46)*(economics!$D$2:$D$167="process")*economics!$AI$2:$AI$167*(_xlfn.NORM.DIST(CE$3,economics!$AK$2:$AK$167,economics!$AJ$2:$AJ$167,TRUE)-_xlfn.NORM.DIST(CE$30,economics!$AK$2:$AK$167,economics!$AJ$2:$AJ$167,TRUE))*economics!$AM$2:$AM$167))/(SUMPRODUCT((economics!$AG$2:$AG$167=$B46)*(economics!$D$2:$D$167="process")*economics!$AI$2:$AI$167*(_xlfn.NORM.DIST(CE$3,economics!$AK$2:$AK$167,economics!$AJ$2:$AJ$167,TRUE)-_xlfn.NORM.DIST(CE$30,economics!$AK$2:$AK$167,economics!$AJ$2:$AJ$167,TRUE)))),"")</f>
        <v/>
      </c>
      <c r="CF46">
        <f t="array" ref="CF46">IFERROR((SUMPRODUCT((economics!$AG$2:$AG$167=$B46)*(economics!$D$2:$D$167="process")*economics!$AI$2:$AI$167*(_xlfn.NORM.DIST(CF$3,economics!$AK$2:$AK$167,economics!$AJ$2:$AJ$167,TRUE)-_xlfn.NORM.DIST(CF$30,economics!$AK$2:$AK$167,economics!$AJ$2:$AJ$167,TRUE))*economics!$AM$2:$AM$167))/(SUMPRODUCT((economics!$AG$2:$AG$167=$B46)*(economics!$D$2:$D$167="process")*economics!$AI$2:$AI$167*(_xlfn.NORM.DIST(CF$3,economics!$AK$2:$AK$167,economics!$AJ$2:$AJ$167,TRUE)-_xlfn.NORM.DIST(CF$30,economics!$AK$2:$AK$167,economics!$AJ$2:$AJ$167,TRUE)))),"")</f>
        <v/>
      </c>
      <c r="CG46">
        <f t="array" ref="CG46">IFERROR((SUMPRODUCT((economics!$AG$2:$AG$167=$B46)*(economics!$D$2:$D$167="process")*economics!$AI$2:$AI$167*(_xlfn.NORM.DIST(CG$3,economics!$AK$2:$AK$167,economics!$AJ$2:$AJ$167,TRUE)-_xlfn.NORM.DIST(CG$30,economics!$AK$2:$AK$167,economics!$AJ$2:$AJ$167,TRUE))*economics!$AM$2:$AM$167))/(SUMPRODUCT((economics!$AG$2:$AG$167=$B46)*(economics!$D$2:$D$167="process")*economics!$AI$2:$AI$167*(_xlfn.NORM.DIST(CG$3,economics!$AK$2:$AK$167,economics!$AJ$2:$AJ$167,TRUE)-_xlfn.NORM.DIST(CG$30,economics!$AK$2:$AK$167,economics!$AJ$2:$AJ$167,TRUE)))),"")</f>
        <v/>
      </c>
      <c r="CH46">
        <f t="array" ref="CH46">IFERROR((SUMPRODUCT((economics!$AG$2:$AG$167=$B46)*(economics!$D$2:$D$167="process")*economics!$AI$2:$AI$167*(_xlfn.NORM.DIST(CH$3,economics!$AK$2:$AK$167,economics!$AJ$2:$AJ$167,TRUE)-_xlfn.NORM.DIST(CH$30,economics!$AK$2:$AK$167,economics!$AJ$2:$AJ$167,TRUE))*economics!$AM$2:$AM$167))/(SUMPRODUCT((economics!$AG$2:$AG$167=$B46)*(economics!$D$2:$D$167="process")*economics!$AI$2:$AI$167*(_xlfn.NORM.DIST(CH$3,economics!$AK$2:$AK$167,economics!$AJ$2:$AJ$167,TRUE)-_xlfn.NORM.DIST(CH$30,economics!$AK$2:$AK$167,economics!$AJ$2:$AJ$167,TRUE)))),"")</f>
        <v/>
      </c>
    </row>
    <row r="47">
      <c r="A47">
        <f>A18</f>
        <v/>
      </c>
      <c r="B47">
        <f>B18</f>
        <v/>
      </c>
      <c r="E47">
        <f t="array" ref="E47">IFERROR((SUMPRODUCT((economics!$AG$2:$AG$167=$B47)*(economics!$D$2:$D$167="process")*economics!$AI$2:$AI$167*(_xlfn.NORM.DIST(E$3,economics!$AK$2:$AK$167,economics!$AJ$2:$AJ$167,TRUE)-_xlfn.NORM.DIST(E$30,economics!$AK$2:$AK$167,economics!$AJ$2:$AJ$167,TRUE))*economics!$AM$2:$AM$167))/(SUMPRODUCT((economics!$AG$2:$AG$167=$B47)*(economics!$D$2:$D$167="process")*economics!$AI$2:$AI$167*(_xlfn.NORM.DIST(E$3,economics!$AK$2:$AK$167,economics!$AJ$2:$AJ$167,TRUE)-_xlfn.NORM.DIST(E$30,economics!$AK$2:$AK$167,economics!$AJ$2:$AJ$167,TRUE)))),"")</f>
        <v/>
      </c>
      <c r="F47">
        <f t="array" ref="F47">IFERROR((SUMPRODUCT((economics!$AG$2:$AG$167=$B47)*(economics!$D$2:$D$167="process")*economics!$AI$2:$AI$167*(_xlfn.NORM.DIST(F$3,economics!$AK$2:$AK$167,economics!$AJ$2:$AJ$167,TRUE)-_xlfn.NORM.DIST(F$30,economics!$AK$2:$AK$167,economics!$AJ$2:$AJ$167,TRUE))*economics!$AM$2:$AM$167))/(SUMPRODUCT((economics!$AG$2:$AG$167=$B47)*(economics!$D$2:$D$167="process")*economics!$AI$2:$AI$167*(_xlfn.NORM.DIST(F$3,economics!$AK$2:$AK$167,economics!$AJ$2:$AJ$167,TRUE)-_xlfn.NORM.DIST(F$30,economics!$AK$2:$AK$167,economics!$AJ$2:$AJ$167,TRUE)))),"")</f>
        <v/>
      </c>
      <c r="G47">
        <f t="array" ref="G47">IFERROR((SUMPRODUCT((economics!$AG$2:$AG$167=$B47)*(economics!$D$2:$D$167="process")*economics!$AI$2:$AI$167*(_xlfn.NORM.DIST(G$3,economics!$AK$2:$AK$167,economics!$AJ$2:$AJ$167,TRUE)-_xlfn.NORM.DIST(G$30,economics!$AK$2:$AK$167,economics!$AJ$2:$AJ$167,TRUE))*economics!$AM$2:$AM$167))/(SUMPRODUCT((economics!$AG$2:$AG$167=$B47)*(economics!$D$2:$D$167="process")*economics!$AI$2:$AI$167*(_xlfn.NORM.DIST(G$3,economics!$AK$2:$AK$167,economics!$AJ$2:$AJ$167,TRUE)-_xlfn.NORM.DIST(G$30,economics!$AK$2:$AK$167,economics!$AJ$2:$AJ$167,TRUE)))),"")</f>
        <v/>
      </c>
      <c r="H47">
        <f t="array" ref="H47">IFERROR((SUMPRODUCT((economics!$AG$2:$AG$167=$B47)*(economics!$D$2:$D$167="process")*economics!$AI$2:$AI$167*(_xlfn.NORM.DIST(H$3,economics!$AK$2:$AK$167,economics!$AJ$2:$AJ$167,TRUE)-_xlfn.NORM.DIST(H$30,economics!$AK$2:$AK$167,economics!$AJ$2:$AJ$167,TRUE))*economics!$AM$2:$AM$167))/(SUMPRODUCT((economics!$AG$2:$AG$167=$B47)*(economics!$D$2:$D$167="process")*economics!$AI$2:$AI$167*(_xlfn.NORM.DIST(H$3,economics!$AK$2:$AK$167,economics!$AJ$2:$AJ$167,TRUE)-_xlfn.NORM.DIST(H$30,economics!$AK$2:$AK$167,economics!$AJ$2:$AJ$167,TRUE)))),"")</f>
        <v/>
      </c>
      <c r="I47">
        <f t="array" ref="I47">IFERROR((SUMPRODUCT((economics!$AG$2:$AG$167=$B47)*(economics!$D$2:$D$167="process")*economics!$AI$2:$AI$167*(_xlfn.NORM.DIST(I$3,economics!$AK$2:$AK$167,economics!$AJ$2:$AJ$167,TRUE)-_xlfn.NORM.DIST(I$30,economics!$AK$2:$AK$167,economics!$AJ$2:$AJ$167,TRUE))*economics!$AM$2:$AM$167))/(SUMPRODUCT((economics!$AG$2:$AG$167=$B47)*(economics!$D$2:$D$167="process")*economics!$AI$2:$AI$167*(_xlfn.NORM.DIST(I$3,economics!$AK$2:$AK$167,economics!$AJ$2:$AJ$167,TRUE)-_xlfn.NORM.DIST(I$30,economics!$AK$2:$AK$167,economics!$AJ$2:$AJ$167,TRUE)))),"")</f>
        <v/>
      </c>
      <c r="J47">
        <f t="array" ref="J47">IFERROR((SUMPRODUCT((economics!$AG$2:$AG$167=$B47)*(economics!$D$2:$D$167="process")*economics!$AI$2:$AI$167*(_xlfn.NORM.DIST(J$3,economics!$AK$2:$AK$167,economics!$AJ$2:$AJ$167,TRUE)-_xlfn.NORM.DIST(J$30,economics!$AK$2:$AK$167,economics!$AJ$2:$AJ$167,TRUE))*economics!$AM$2:$AM$167))/(SUMPRODUCT((economics!$AG$2:$AG$167=$B47)*(economics!$D$2:$D$167="process")*economics!$AI$2:$AI$167*(_xlfn.NORM.DIST(J$3,economics!$AK$2:$AK$167,economics!$AJ$2:$AJ$167,TRUE)-_xlfn.NORM.DIST(J$30,economics!$AK$2:$AK$167,economics!$AJ$2:$AJ$167,TRUE)))),"")</f>
        <v/>
      </c>
      <c r="K47">
        <f t="array" ref="K47">IFERROR((SUMPRODUCT((economics!$AG$2:$AG$167=$B47)*(economics!$D$2:$D$167="process")*economics!$AI$2:$AI$167*(_xlfn.NORM.DIST(K$3,economics!$AK$2:$AK$167,economics!$AJ$2:$AJ$167,TRUE)-_xlfn.NORM.DIST(K$30,economics!$AK$2:$AK$167,economics!$AJ$2:$AJ$167,TRUE))*economics!$AM$2:$AM$167))/(SUMPRODUCT((economics!$AG$2:$AG$167=$B47)*(economics!$D$2:$D$167="process")*economics!$AI$2:$AI$167*(_xlfn.NORM.DIST(K$3,economics!$AK$2:$AK$167,economics!$AJ$2:$AJ$167,TRUE)-_xlfn.NORM.DIST(K$30,economics!$AK$2:$AK$167,economics!$AJ$2:$AJ$167,TRUE)))),"")</f>
        <v/>
      </c>
      <c r="L47">
        <f t="array" ref="L47">IFERROR((SUMPRODUCT((economics!$AG$2:$AG$167=$B47)*(economics!$D$2:$D$167="process")*economics!$AI$2:$AI$167*(_xlfn.NORM.DIST(L$3,economics!$AK$2:$AK$167,economics!$AJ$2:$AJ$167,TRUE)-_xlfn.NORM.DIST(L$30,economics!$AK$2:$AK$167,economics!$AJ$2:$AJ$167,TRUE))*economics!$AM$2:$AM$167))/(SUMPRODUCT((economics!$AG$2:$AG$167=$B47)*(economics!$D$2:$D$167="process")*economics!$AI$2:$AI$167*(_xlfn.NORM.DIST(L$3,economics!$AK$2:$AK$167,economics!$AJ$2:$AJ$167,TRUE)-_xlfn.NORM.DIST(L$30,economics!$AK$2:$AK$167,economics!$AJ$2:$AJ$167,TRUE)))),"")</f>
        <v/>
      </c>
      <c r="M47">
        <f t="array" ref="M47">IFERROR((SUMPRODUCT((economics!$AG$2:$AG$167=$B47)*(economics!$D$2:$D$167="process")*economics!$AI$2:$AI$167*(_xlfn.NORM.DIST(M$3,economics!$AK$2:$AK$167,economics!$AJ$2:$AJ$167,TRUE)-_xlfn.NORM.DIST(M$30,economics!$AK$2:$AK$167,economics!$AJ$2:$AJ$167,TRUE))*economics!$AM$2:$AM$167))/(SUMPRODUCT((economics!$AG$2:$AG$167=$B47)*(economics!$D$2:$D$167="process")*economics!$AI$2:$AI$167*(_xlfn.NORM.DIST(M$3,economics!$AK$2:$AK$167,economics!$AJ$2:$AJ$167,TRUE)-_xlfn.NORM.DIST(M$30,economics!$AK$2:$AK$167,economics!$AJ$2:$AJ$167,TRUE)))),"")</f>
        <v/>
      </c>
      <c r="N47">
        <f t="array" ref="N47">IFERROR((SUMPRODUCT((economics!$AG$2:$AG$167=$B47)*(economics!$D$2:$D$167="process")*economics!$AI$2:$AI$167*(_xlfn.NORM.DIST(N$3,economics!$AK$2:$AK$167,economics!$AJ$2:$AJ$167,TRUE)-_xlfn.NORM.DIST(N$30,economics!$AK$2:$AK$167,economics!$AJ$2:$AJ$167,TRUE))*economics!$AM$2:$AM$167))/(SUMPRODUCT((economics!$AG$2:$AG$167=$B47)*(economics!$D$2:$D$167="process")*economics!$AI$2:$AI$167*(_xlfn.NORM.DIST(N$3,economics!$AK$2:$AK$167,economics!$AJ$2:$AJ$167,TRUE)-_xlfn.NORM.DIST(N$30,economics!$AK$2:$AK$167,economics!$AJ$2:$AJ$167,TRUE)))),"")</f>
        <v/>
      </c>
      <c r="O47">
        <f t="array" ref="O47">IFERROR((SUMPRODUCT((economics!$AG$2:$AG$167=$B47)*(economics!$D$2:$D$167="process")*economics!$AI$2:$AI$167*(_xlfn.NORM.DIST(O$3,economics!$AK$2:$AK$167,economics!$AJ$2:$AJ$167,TRUE)-_xlfn.NORM.DIST(O$30,economics!$AK$2:$AK$167,economics!$AJ$2:$AJ$167,TRUE))*economics!$AM$2:$AM$167))/(SUMPRODUCT((economics!$AG$2:$AG$167=$B47)*(economics!$D$2:$D$167="process")*economics!$AI$2:$AI$167*(_xlfn.NORM.DIST(O$3,economics!$AK$2:$AK$167,economics!$AJ$2:$AJ$167,TRUE)-_xlfn.NORM.DIST(O$30,economics!$AK$2:$AK$167,economics!$AJ$2:$AJ$167,TRUE)))),"")</f>
        <v/>
      </c>
      <c r="P47">
        <f t="array" ref="P47">IFERROR((SUMPRODUCT((economics!$AG$2:$AG$167=$B47)*(economics!$D$2:$D$167="process")*economics!$AI$2:$AI$167*(_xlfn.NORM.DIST(P$3,economics!$AK$2:$AK$167,economics!$AJ$2:$AJ$167,TRUE)-_xlfn.NORM.DIST(P$30,economics!$AK$2:$AK$167,economics!$AJ$2:$AJ$167,TRUE))*economics!$AM$2:$AM$167))/(SUMPRODUCT((economics!$AG$2:$AG$167=$B47)*(economics!$D$2:$D$167="process")*economics!$AI$2:$AI$167*(_xlfn.NORM.DIST(P$3,economics!$AK$2:$AK$167,economics!$AJ$2:$AJ$167,TRUE)-_xlfn.NORM.DIST(P$30,economics!$AK$2:$AK$167,economics!$AJ$2:$AJ$167,TRUE)))),"")</f>
        <v/>
      </c>
      <c r="Q47">
        <f t="array" ref="Q47">IFERROR((SUMPRODUCT((economics!$AG$2:$AG$167=$B47)*(economics!$D$2:$D$167="process")*economics!$AI$2:$AI$167*(_xlfn.NORM.DIST(Q$3,economics!$AK$2:$AK$167,economics!$AJ$2:$AJ$167,TRUE)-_xlfn.NORM.DIST(Q$30,economics!$AK$2:$AK$167,economics!$AJ$2:$AJ$167,TRUE))*economics!$AM$2:$AM$167))/(SUMPRODUCT((economics!$AG$2:$AG$167=$B47)*(economics!$D$2:$D$167="process")*economics!$AI$2:$AI$167*(_xlfn.NORM.DIST(Q$3,economics!$AK$2:$AK$167,economics!$AJ$2:$AJ$167,TRUE)-_xlfn.NORM.DIST(Q$30,economics!$AK$2:$AK$167,economics!$AJ$2:$AJ$167,TRUE)))),"")</f>
        <v/>
      </c>
      <c r="R47">
        <f t="array" ref="R47">IFERROR((SUMPRODUCT((economics!$AG$2:$AG$167=$B47)*(economics!$D$2:$D$167="process")*economics!$AI$2:$AI$167*(_xlfn.NORM.DIST(R$3,economics!$AK$2:$AK$167,economics!$AJ$2:$AJ$167,TRUE)-_xlfn.NORM.DIST(R$30,economics!$AK$2:$AK$167,economics!$AJ$2:$AJ$167,TRUE))*economics!$AM$2:$AM$167))/(SUMPRODUCT((economics!$AG$2:$AG$167=$B47)*(economics!$D$2:$D$167="process")*economics!$AI$2:$AI$167*(_xlfn.NORM.DIST(R$3,economics!$AK$2:$AK$167,economics!$AJ$2:$AJ$167,TRUE)-_xlfn.NORM.DIST(R$30,economics!$AK$2:$AK$167,economics!$AJ$2:$AJ$167,TRUE)))),"")</f>
        <v/>
      </c>
      <c r="S47">
        <f t="array" ref="S47">IFERROR((SUMPRODUCT((economics!$AG$2:$AG$167=$B47)*(economics!$D$2:$D$167="process")*economics!$AI$2:$AI$167*(_xlfn.NORM.DIST(S$3,economics!$AK$2:$AK$167,economics!$AJ$2:$AJ$167,TRUE)-_xlfn.NORM.DIST(S$30,economics!$AK$2:$AK$167,economics!$AJ$2:$AJ$167,TRUE))*economics!$AM$2:$AM$167))/(SUMPRODUCT((economics!$AG$2:$AG$167=$B47)*(economics!$D$2:$D$167="process")*economics!$AI$2:$AI$167*(_xlfn.NORM.DIST(S$3,economics!$AK$2:$AK$167,economics!$AJ$2:$AJ$167,TRUE)-_xlfn.NORM.DIST(S$30,economics!$AK$2:$AK$167,economics!$AJ$2:$AJ$167,TRUE)))),"")</f>
        <v/>
      </c>
      <c r="T47">
        <f t="array" ref="T47">IFERROR((SUMPRODUCT((economics!$AG$2:$AG$167=$B47)*(economics!$D$2:$D$167="process")*economics!$AI$2:$AI$167*(_xlfn.NORM.DIST(T$3,economics!$AK$2:$AK$167,economics!$AJ$2:$AJ$167,TRUE)-_xlfn.NORM.DIST(T$30,economics!$AK$2:$AK$167,economics!$AJ$2:$AJ$167,TRUE))*economics!$AM$2:$AM$167))/(SUMPRODUCT((economics!$AG$2:$AG$167=$B47)*(economics!$D$2:$D$167="process")*economics!$AI$2:$AI$167*(_xlfn.NORM.DIST(T$3,economics!$AK$2:$AK$167,economics!$AJ$2:$AJ$167,TRUE)-_xlfn.NORM.DIST(T$30,economics!$AK$2:$AK$167,economics!$AJ$2:$AJ$167,TRUE)))),"")</f>
        <v/>
      </c>
      <c r="U47">
        <f t="array" ref="U47">IFERROR((SUMPRODUCT((economics!$AG$2:$AG$167=$B47)*(economics!$D$2:$D$167="process")*economics!$AI$2:$AI$167*(_xlfn.NORM.DIST(U$3,economics!$AK$2:$AK$167,economics!$AJ$2:$AJ$167,TRUE)-_xlfn.NORM.DIST(U$30,economics!$AK$2:$AK$167,economics!$AJ$2:$AJ$167,TRUE))*economics!$AM$2:$AM$167))/(SUMPRODUCT((economics!$AG$2:$AG$167=$B47)*(economics!$D$2:$D$167="process")*economics!$AI$2:$AI$167*(_xlfn.NORM.DIST(U$3,economics!$AK$2:$AK$167,economics!$AJ$2:$AJ$167,TRUE)-_xlfn.NORM.DIST(U$30,economics!$AK$2:$AK$167,economics!$AJ$2:$AJ$167,TRUE)))),"")</f>
        <v/>
      </c>
      <c r="V47">
        <f t="array" ref="V47">IFERROR((SUMPRODUCT((economics!$AG$2:$AG$167=$B47)*(economics!$D$2:$D$167="process")*economics!$AI$2:$AI$167*(_xlfn.NORM.DIST(V$3,economics!$AK$2:$AK$167,economics!$AJ$2:$AJ$167,TRUE)-_xlfn.NORM.DIST(V$30,economics!$AK$2:$AK$167,economics!$AJ$2:$AJ$167,TRUE))*economics!$AM$2:$AM$167))/(SUMPRODUCT((economics!$AG$2:$AG$167=$B47)*(economics!$D$2:$D$167="process")*economics!$AI$2:$AI$167*(_xlfn.NORM.DIST(V$3,economics!$AK$2:$AK$167,economics!$AJ$2:$AJ$167,TRUE)-_xlfn.NORM.DIST(V$30,economics!$AK$2:$AK$167,economics!$AJ$2:$AJ$167,TRUE)))),"")</f>
        <v/>
      </c>
      <c r="W47">
        <f t="array" ref="W47">IFERROR((SUMPRODUCT((economics!$AG$2:$AG$167=$B47)*(economics!$D$2:$D$167="process")*economics!$AI$2:$AI$167*(_xlfn.NORM.DIST(W$3,economics!$AK$2:$AK$167,economics!$AJ$2:$AJ$167,TRUE)-_xlfn.NORM.DIST(W$30,economics!$AK$2:$AK$167,economics!$AJ$2:$AJ$167,TRUE))*economics!$AM$2:$AM$167))/(SUMPRODUCT((economics!$AG$2:$AG$167=$B47)*(economics!$D$2:$D$167="process")*economics!$AI$2:$AI$167*(_xlfn.NORM.DIST(W$3,economics!$AK$2:$AK$167,economics!$AJ$2:$AJ$167,TRUE)-_xlfn.NORM.DIST(W$30,economics!$AK$2:$AK$167,economics!$AJ$2:$AJ$167,TRUE)))),"")</f>
        <v/>
      </c>
      <c r="X47">
        <f t="array" ref="X47">IFERROR((SUMPRODUCT((economics!$AG$2:$AG$167=$B47)*(economics!$D$2:$D$167="process")*economics!$AI$2:$AI$167*(_xlfn.NORM.DIST(X$3,economics!$AK$2:$AK$167,economics!$AJ$2:$AJ$167,TRUE)-_xlfn.NORM.DIST(X$30,economics!$AK$2:$AK$167,economics!$AJ$2:$AJ$167,TRUE))*economics!$AM$2:$AM$167))/(SUMPRODUCT((economics!$AG$2:$AG$167=$B47)*(economics!$D$2:$D$167="process")*economics!$AI$2:$AI$167*(_xlfn.NORM.DIST(X$3,economics!$AK$2:$AK$167,economics!$AJ$2:$AJ$167,TRUE)-_xlfn.NORM.DIST(X$30,economics!$AK$2:$AK$167,economics!$AJ$2:$AJ$167,TRUE)))),"")</f>
        <v/>
      </c>
      <c r="Y47">
        <f t="array" ref="Y47">IFERROR((SUMPRODUCT((economics!$AG$2:$AG$167=$B47)*(economics!$D$2:$D$167="process")*economics!$AI$2:$AI$167*(_xlfn.NORM.DIST(Y$3,economics!$AK$2:$AK$167,economics!$AJ$2:$AJ$167,TRUE)-_xlfn.NORM.DIST(Y$30,economics!$AK$2:$AK$167,economics!$AJ$2:$AJ$167,TRUE))*economics!$AM$2:$AM$167))/(SUMPRODUCT((economics!$AG$2:$AG$167=$B47)*(economics!$D$2:$D$167="process")*economics!$AI$2:$AI$167*(_xlfn.NORM.DIST(Y$3,economics!$AK$2:$AK$167,economics!$AJ$2:$AJ$167,TRUE)-_xlfn.NORM.DIST(Y$30,economics!$AK$2:$AK$167,economics!$AJ$2:$AJ$167,TRUE)))),"")</f>
        <v/>
      </c>
      <c r="Z47">
        <f t="array" ref="Z47">IFERROR((SUMPRODUCT((economics!$AG$2:$AG$167=$B47)*(economics!$D$2:$D$167="process")*economics!$AI$2:$AI$167*(_xlfn.NORM.DIST(Z$3,economics!$AK$2:$AK$167,economics!$AJ$2:$AJ$167,TRUE)-_xlfn.NORM.DIST(Z$30,economics!$AK$2:$AK$167,economics!$AJ$2:$AJ$167,TRUE))*economics!$AM$2:$AM$167))/(SUMPRODUCT((economics!$AG$2:$AG$167=$B47)*(economics!$D$2:$D$167="process")*economics!$AI$2:$AI$167*(_xlfn.NORM.DIST(Z$3,economics!$AK$2:$AK$167,economics!$AJ$2:$AJ$167,TRUE)-_xlfn.NORM.DIST(Z$30,economics!$AK$2:$AK$167,economics!$AJ$2:$AJ$167,TRUE)))),"")</f>
        <v/>
      </c>
      <c r="AA47">
        <f t="array" ref="AA47">IFERROR((SUMPRODUCT((economics!$AG$2:$AG$167=$B47)*(economics!$D$2:$D$167="process")*economics!$AI$2:$AI$167*(_xlfn.NORM.DIST(AA$3,economics!$AK$2:$AK$167,economics!$AJ$2:$AJ$167,TRUE)-_xlfn.NORM.DIST(AA$30,economics!$AK$2:$AK$167,economics!$AJ$2:$AJ$167,TRUE))*economics!$AM$2:$AM$167))/(SUMPRODUCT((economics!$AG$2:$AG$167=$B47)*(economics!$D$2:$D$167="process")*economics!$AI$2:$AI$167*(_xlfn.NORM.DIST(AA$3,economics!$AK$2:$AK$167,economics!$AJ$2:$AJ$167,TRUE)-_xlfn.NORM.DIST(AA$30,economics!$AK$2:$AK$167,economics!$AJ$2:$AJ$167,TRUE)))),"")</f>
        <v/>
      </c>
      <c r="AB47">
        <f t="array" ref="AB47">IFERROR((SUMPRODUCT((economics!$AG$2:$AG$167=$B47)*(economics!$D$2:$D$167="process")*economics!$AI$2:$AI$167*(_xlfn.NORM.DIST(AB$3,economics!$AK$2:$AK$167,economics!$AJ$2:$AJ$167,TRUE)-_xlfn.NORM.DIST(AB$30,economics!$AK$2:$AK$167,economics!$AJ$2:$AJ$167,TRUE))*economics!$AM$2:$AM$167))/(SUMPRODUCT((economics!$AG$2:$AG$167=$B47)*(economics!$D$2:$D$167="process")*economics!$AI$2:$AI$167*(_xlfn.NORM.DIST(AB$3,economics!$AK$2:$AK$167,economics!$AJ$2:$AJ$167,TRUE)-_xlfn.NORM.DIST(AB$30,economics!$AK$2:$AK$167,economics!$AJ$2:$AJ$167,TRUE)))),"")</f>
        <v/>
      </c>
      <c r="AC47">
        <f t="array" ref="AC47">IFERROR((SUMPRODUCT((economics!$AG$2:$AG$167=$B47)*(economics!$D$2:$D$167="process")*economics!$AI$2:$AI$167*(_xlfn.NORM.DIST(AC$3,economics!$AK$2:$AK$167,economics!$AJ$2:$AJ$167,TRUE)-_xlfn.NORM.DIST(AC$30,economics!$AK$2:$AK$167,economics!$AJ$2:$AJ$167,TRUE))*economics!$AM$2:$AM$167))/(SUMPRODUCT((economics!$AG$2:$AG$167=$B47)*(economics!$D$2:$D$167="process")*economics!$AI$2:$AI$167*(_xlfn.NORM.DIST(AC$3,economics!$AK$2:$AK$167,economics!$AJ$2:$AJ$167,TRUE)-_xlfn.NORM.DIST(AC$30,economics!$AK$2:$AK$167,economics!$AJ$2:$AJ$167,TRUE)))),"")</f>
        <v/>
      </c>
      <c r="AD47">
        <f t="array" ref="AD47">IFERROR((SUMPRODUCT((economics!$AG$2:$AG$167=$B47)*(economics!$D$2:$D$167="process")*economics!$AI$2:$AI$167*(_xlfn.NORM.DIST(AD$3,economics!$AK$2:$AK$167,economics!$AJ$2:$AJ$167,TRUE)-_xlfn.NORM.DIST(AD$30,economics!$AK$2:$AK$167,economics!$AJ$2:$AJ$167,TRUE))*economics!$AM$2:$AM$167))/(SUMPRODUCT((economics!$AG$2:$AG$167=$B47)*(economics!$D$2:$D$167="process")*economics!$AI$2:$AI$167*(_xlfn.NORM.DIST(AD$3,economics!$AK$2:$AK$167,economics!$AJ$2:$AJ$167,TRUE)-_xlfn.NORM.DIST(AD$30,economics!$AK$2:$AK$167,economics!$AJ$2:$AJ$167,TRUE)))),"")</f>
        <v/>
      </c>
      <c r="AE47">
        <f t="array" ref="AE47">IFERROR((SUMPRODUCT((economics!$AG$2:$AG$167=$B47)*(economics!$D$2:$D$167="process")*economics!$AI$2:$AI$167*(_xlfn.NORM.DIST(AE$3,economics!$AK$2:$AK$167,economics!$AJ$2:$AJ$167,TRUE)-_xlfn.NORM.DIST(AE$30,economics!$AK$2:$AK$167,economics!$AJ$2:$AJ$167,TRUE))*economics!$AM$2:$AM$167))/(SUMPRODUCT((economics!$AG$2:$AG$167=$B47)*(economics!$D$2:$D$167="process")*economics!$AI$2:$AI$167*(_xlfn.NORM.DIST(AE$3,economics!$AK$2:$AK$167,economics!$AJ$2:$AJ$167,TRUE)-_xlfn.NORM.DIST(AE$30,economics!$AK$2:$AK$167,economics!$AJ$2:$AJ$167,TRUE)))),"")</f>
        <v/>
      </c>
      <c r="AF47">
        <f t="array" ref="AF47">IFERROR((SUMPRODUCT((economics!$AG$2:$AG$167=$B47)*(economics!$D$2:$D$167="process")*economics!$AI$2:$AI$167*(_xlfn.NORM.DIST(AF$3,economics!$AK$2:$AK$167,economics!$AJ$2:$AJ$167,TRUE)-_xlfn.NORM.DIST(AF$30,economics!$AK$2:$AK$167,economics!$AJ$2:$AJ$167,TRUE))*economics!$AM$2:$AM$167))/(SUMPRODUCT((economics!$AG$2:$AG$167=$B47)*(economics!$D$2:$D$167="process")*economics!$AI$2:$AI$167*(_xlfn.NORM.DIST(AF$3,economics!$AK$2:$AK$167,economics!$AJ$2:$AJ$167,TRUE)-_xlfn.NORM.DIST(AF$30,economics!$AK$2:$AK$167,economics!$AJ$2:$AJ$167,TRUE)))),"")</f>
        <v/>
      </c>
      <c r="AG47">
        <f t="array" ref="AG47">IFERROR((SUMPRODUCT((economics!$AG$2:$AG$167=$B47)*(economics!$D$2:$D$167="process")*economics!$AI$2:$AI$167*(_xlfn.NORM.DIST(AG$3,economics!$AK$2:$AK$167,economics!$AJ$2:$AJ$167,TRUE)-_xlfn.NORM.DIST(AG$30,economics!$AK$2:$AK$167,economics!$AJ$2:$AJ$167,TRUE))*economics!$AM$2:$AM$167))/(SUMPRODUCT((economics!$AG$2:$AG$167=$B47)*(economics!$D$2:$D$167="process")*economics!$AI$2:$AI$167*(_xlfn.NORM.DIST(AG$3,economics!$AK$2:$AK$167,economics!$AJ$2:$AJ$167,TRUE)-_xlfn.NORM.DIST(AG$30,economics!$AK$2:$AK$167,economics!$AJ$2:$AJ$167,TRUE)))),"")</f>
        <v/>
      </c>
      <c r="AH47">
        <f t="array" ref="AH47">IFERROR((SUMPRODUCT((economics!$AG$2:$AG$167=$B47)*(economics!$D$2:$D$167="process")*economics!$AI$2:$AI$167*(_xlfn.NORM.DIST(AH$3,economics!$AK$2:$AK$167,economics!$AJ$2:$AJ$167,TRUE)-_xlfn.NORM.DIST(AH$30,economics!$AK$2:$AK$167,economics!$AJ$2:$AJ$167,TRUE))*economics!$AM$2:$AM$167))/(SUMPRODUCT((economics!$AG$2:$AG$167=$B47)*(economics!$D$2:$D$167="process")*economics!$AI$2:$AI$167*(_xlfn.NORM.DIST(AH$3,economics!$AK$2:$AK$167,economics!$AJ$2:$AJ$167,TRUE)-_xlfn.NORM.DIST(AH$30,economics!$AK$2:$AK$167,economics!$AJ$2:$AJ$167,TRUE)))),"")</f>
        <v/>
      </c>
      <c r="AI47">
        <f t="array" ref="AI47">IFERROR((SUMPRODUCT((economics!$AG$2:$AG$167=$B47)*(economics!$D$2:$D$167="process")*economics!$AI$2:$AI$167*(_xlfn.NORM.DIST(AI$3,economics!$AK$2:$AK$167,economics!$AJ$2:$AJ$167,TRUE)-_xlfn.NORM.DIST(AI$30,economics!$AK$2:$AK$167,economics!$AJ$2:$AJ$167,TRUE))*economics!$AM$2:$AM$167))/(SUMPRODUCT((economics!$AG$2:$AG$167=$B47)*(economics!$D$2:$D$167="process")*economics!$AI$2:$AI$167*(_xlfn.NORM.DIST(AI$3,economics!$AK$2:$AK$167,economics!$AJ$2:$AJ$167,TRUE)-_xlfn.NORM.DIST(AI$30,economics!$AK$2:$AK$167,economics!$AJ$2:$AJ$167,TRUE)))),"")</f>
        <v/>
      </c>
      <c r="AJ47">
        <f t="array" ref="AJ47">IFERROR((SUMPRODUCT((economics!$AG$2:$AG$167=$B47)*(economics!$D$2:$D$167="process")*economics!$AI$2:$AI$167*(_xlfn.NORM.DIST(AJ$3,economics!$AK$2:$AK$167,economics!$AJ$2:$AJ$167,TRUE)-_xlfn.NORM.DIST(AJ$30,economics!$AK$2:$AK$167,economics!$AJ$2:$AJ$167,TRUE))*economics!$AM$2:$AM$167))/(SUMPRODUCT((economics!$AG$2:$AG$167=$B47)*(economics!$D$2:$D$167="process")*economics!$AI$2:$AI$167*(_xlfn.NORM.DIST(AJ$3,economics!$AK$2:$AK$167,economics!$AJ$2:$AJ$167,TRUE)-_xlfn.NORM.DIST(AJ$30,economics!$AK$2:$AK$167,economics!$AJ$2:$AJ$167,TRUE)))),"")</f>
        <v/>
      </c>
      <c r="AK47">
        <f t="array" ref="AK47">IFERROR((SUMPRODUCT((economics!$AG$2:$AG$167=$B47)*(economics!$D$2:$D$167="process")*economics!$AI$2:$AI$167*(_xlfn.NORM.DIST(AK$3,economics!$AK$2:$AK$167,economics!$AJ$2:$AJ$167,TRUE)-_xlfn.NORM.DIST(AK$30,economics!$AK$2:$AK$167,economics!$AJ$2:$AJ$167,TRUE))*economics!$AM$2:$AM$167))/(SUMPRODUCT((economics!$AG$2:$AG$167=$B47)*(economics!$D$2:$D$167="process")*economics!$AI$2:$AI$167*(_xlfn.NORM.DIST(AK$3,economics!$AK$2:$AK$167,economics!$AJ$2:$AJ$167,TRUE)-_xlfn.NORM.DIST(AK$30,economics!$AK$2:$AK$167,economics!$AJ$2:$AJ$167,TRUE)))),"")</f>
        <v/>
      </c>
      <c r="AL47">
        <f t="array" ref="AL47">IFERROR((SUMPRODUCT((economics!$AG$2:$AG$167=$B47)*(economics!$D$2:$D$167="process")*economics!$AI$2:$AI$167*(_xlfn.NORM.DIST(AL$3,economics!$AK$2:$AK$167,economics!$AJ$2:$AJ$167,TRUE)-_xlfn.NORM.DIST(AL$30,economics!$AK$2:$AK$167,economics!$AJ$2:$AJ$167,TRUE))*economics!$AM$2:$AM$167))/(SUMPRODUCT((economics!$AG$2:$AG$167=$B47)*(economics!$D$2:$D$167="process")*economics!$AI$2:$AI$167*(_xlfn.NORM.DIST(AL$3,economics!$AK$2:$AK$167,economics!$AJ$2:$AJ$167,TRUE)-_xlfn.NORM.DIST(AL$30,economics!$AK$2:$AK$167,economics!$AJ$2:$AJ$167,TRUE)))),"")</f>
        <v/>
      </c>
      <c r="AM47">
        <f t="array" ref="AM47">IFERROR((SUMPRODUCT((economics!$AG$2:$AG$167=$B47)*(economics!$D$2:$D$167="process")*economics!$AI$2:$AI$167*(_xlfn.NORM.DIST(AM$3,economics!$AK$2:$AK$167,economics!$AJ$2:$AJ$167,TRUE)-_xlfn.NORM.DIST(AM$30,economics!$AK$2:$AK$167,economics!$AJ$2:$AJ$167,TRUE))*economics!$AM$2:$AM$167))/(SUMPRODUCT((economics!$AG$2:$AG$167=$B47)*(economics!$D$2:$D$167="process")*economics!$AI$2:$AI$167*(_xlfn.NORM.DIST(AM$3,economics!$AK$2:$AK$167,economics!$AJ$2:$AJ$167,TRUE)-_xlfn.NORM.DIST(AM$30,economics!$AK$2:$AK$167,economics!$AJ$2:$AJ$167,TRUE)))),"")</f>
        <v/>
      </c>
      <c r="AN47">
        <f t="array" ref="AN47">IFERROR((SUMPRODUCT((economics!$AG$2:$AG$167=$B47)*(economics!$D$2:$D$167="process")*economics!$AI$2:$AI$167*(_xlfn.NORM.DIST(AN$3,economics!$AK$2:$AK$167,economics!$AJ$2:$AJ$167,TRUE)-_xlfn.NORM.DIST(AN$30,economics!$AK$2:$AK$167,economics!$AJ$2:$AJ$167,TRUE))*economics!$AM$2:$AM$167))/(SUMPRODUCT((economics!$AG$2:$AG$167=$B47)*(economics!$D$2:$D$167="process")*economics!$AI$2:$AI$167*(_xlfn.NORM.DIST(AN$3,economics!$AK$2:$AK$167,economics!$AJ$2:$AJ$167,TRUE)-_xlfn.NORM.DIST(AN$30,economics!$AK$2:$AK$167,economics!$AJ$2:$AJ$167,TRUE)))),"")</f>
        <v/>
      </c>
      <c r="AO47">
        <f t="array" ref="AO47">IFERROR((SUMPRODUCT((economics!$AG$2:$AG$167=$B47)*(economics!$D$2:$D$167="process")*economics!$AI$2:$AI$167*(_xlfn.NORM.DIST(AO$3,economics!$AK$2:$AK$167,economics!$AJ$2:$AJ$167,TRUE)-_xlfn.NORM.DIST(AO$30,economics!$AK$2:$AK$167,economics!$AJ$2:$AJ$167,TRUE))*economics!$AM$2:$AM$167))/(SUMPRODUCT((economics!$AG$2:$AG$167=$B47)*(economics!$D$2:$D$167="process")*economics!$AI$2:$AI$167*(_xlfn.NORM.DIST(AO$3,economics!$AK$2:$AK$167,economics!$AJ$2:$AJ$167,TRUE)-_xlfn.NORM.DIST(AO$30,economics!$AK$2:$AK$167,economics!$AJ$2:$AJ$167,TRUE)))),"")</f>
        <v/>
      </c>
      <c r="AP47">
        <f t="array" ref="AP47">IFERROR((SUMPRODUCT((economics!$AG$2:$AG$167=$B47)*(economics!$D$2:$D$167="process")*economics!$AI$2:$AI$167*(_xlfn.NORM.DIST(AP$3,economics!$AK$2:$AK$167,economics!$AJ$2:$AJ$167,TRUE)-_xlfn.NORM.DIST(AP$30,economics!$AK$2:$AK$167,economics!$AJ$2:$AJ$167,TRUE))*economics!$AM$2:$AM$167))/(SUMPRODUCT((economics!$AG$2:$AG$167=$B47)*(economics!$D$2:$D$167="process")*economics!$AI$2:$AI$167*(_xlfn.NORM.DIST(AP$3,economics!$AK$2:$AK$167,economics!$AJ$2:$AJ$167,TRUE)-_xlfn.NORM.DIST(AP$30,economics!$AK$2:$AK$167,economics!$AJ$2:$AJ$167,TRUE)))),"")</f>
        <v/>
      </c>
      <c r="AQ47">
        <f t="array" ref="AQ47">IFERROR((SUMPRODUCT((economics!$AG$2:$AG$167=$B47)*(economics!$D$2:$D$167="process")*economics!$AI$2:$AI$167*(_xlfn.NORM.DIST(AQ$3,economics!$AK$2:$AK$167,economics!$AJ$2:$AJ$167,TRUE)-_xlfn.NORM.DIST(AQ$30,economics!$AK$2:$AK$167,economics!$AJ$2:$AJ$167,TRUE))*economics!$AM$2:$AM$167))/(SUMPRODUCT((economics!$AG$2:$AG$167=$B47)*(economics!$D$2:$D$167="process")*economics!$AI$2:$AI$167*(_xlfn.NORM.DIST(AQ$3,economics!$AK$2:$AK$167,economics!$AJ$2:$AJ$167,TRUE)-_xlfn.NORM.DIST(AQ$30,economics!$AK$2:$AK$167,economics!$AJ$2:$AJ$167,TRUE)))),"")</f>
        <v/>
      </c>
      <c r="AR47">
        <f t="array" ref="AR47">IFERROR((SUMPRODUCT((economics!$AG$2:$AG$167=$B47)*(economics!$D$2:$D$167="process")*economics!$AI$2:$AI$167*(_xlfn.NORM.DIST(AR$3,economics!$AK$2:$AK$167,economics!$AJ$2:$AJ$167,TRUE)-_xlfn.NORM.DIST(AR$30,economics!$AK$2:$AK$167,economics!$AJ$2:$AJ$167,TRUE))*economics!$AM$2:$AM$167))/(SUMPRODUCT((economics!$AG$2:$AG$167=$B47)*(economics!$D$2:$D$167="process")*economics!$AI$2:$AI$167*(_xlfn.NORM.DIST(AR$3,economics!$AK$2:$AK$167,economics!$AJ$2:$AJ$167,TRUE)-_xlfn.NORM.DIST(AR$30,economics!$AK$2:$AK$167,economics!$AJ$2:$AJ$167,TRUE)))),"")</f>
        <v/>
      </c>
      <c r="AS47">
        <f t="array" ref="AS47">IFERROR((SUMPRODUCT((economics!$AG$2:$AG$167=$B47)*(economics!$D$2:$D$167="process")*economics!$AI$2:$AI$167*(_xlfn.NORM.DIST(AS$3,economics!$AK$2:$AK$167,economics!$AJ$2:$AJ$167,TRUE)-_xlfn.NORM.DIST(AS$30,economics!$AK$2:$AK$167,economics!$AJ$2:$AJ$167,TRUE))*economics!$AM$2:$AM$167))/(SUMPRODUCT((economics!$AG$2:$AG$167=$B47)*(economics!$D$2:$D$167="process")*economics!$AI$2:$AI$167*(_xlfn.NORM.DIST(AS$3,economics!$AK$2:$AK$167,economics!$AJ$2:$AJ$167,TRUE)-_xlfn.NORM.DIST(AS$30,economics!$AK$2:$AK$167,economics!$AJ$2:$AJ$167,TRUE)))),"")</f>
        <v/>
      </c>
      <c r="AT47">
        <f t="array" ref="AT47">IFERROR((SUMPRODUCT((economics!$AG$2:$AG$167=$B47)*(economics!$D$2:$D$167="process")*economics!$AI$2:$AI$167*(_xlfn.NORM.DIST(AT$3,economics!$AK$2:$AK$167,economics!$AJ$2:$AJ$167,TRUE)-_xlfn.NORM.DIST(AT$30,economics!$AK$2:$AK$167,economics!$AJ$2:$AJ$167,TRUE))*economics!$AM$2:$AM$167))/(SUMPRODUCT((economics!$AG$2:$AG$167=$B47)*(economics!$D$2:$D$167="process")*economics!$AI$2:$AI$167*(_xlfn.NORM.DIST(AT$3,economics!$AK$2:$AK$167,economics!$AJ$2:$AJ$167,TRUE)-_xlfn.NORM.DIST(AT$30,economics!$AK$2:$AK$167,economics!$AJ$2:$AJ$167,TRUE)))),"")</f>
        <v/>
      </c>
      <c r="AU47">
        <f t="array" ref="AU47">IFERROR((SUMPRODUCT((economics!$AG$2:$AG$167=$B47)*(economics!$D$2:$D$167="process")*economics!$AI$2:$AI$167*(_xlfn.NORM.DIST(AU$3,economics!$AK$2:$AK$167,economics!$AJ$2:$AJ$167,TRUE)-_xlfn.NORM.DIST(AU$30,economics!$AK$2:$AK$167,economics!$AJ$2:$AJ$167,TRUE))*economics!$AM$2:$AM$167))/(SUMPRODUCT((economics!$AG$2:$AG$167=$B47)*(economics!$D$2:$D$167="process")*economics!$AI$2:$AI$167*(_xlfn.NORM.DIST(AU$3,economics!$AK$2:$AK$167,economics!$AJ$2:$AJ$167,TRUE)-_xlfn.NORM.DIST(AU$30,economics!$AK$2:$AK$167,economics!$AJ$2:$AJ$167,TRUE)))),"")</f>
        <v/>
      </c>
      <c r="AV47">
        <f t="array" ref="AV47">IFERROR((SUMPRODUCT((economics!$AG$2:$AG$167=$B47)*(economics!$D$2:$D$167="process")*economics!$AI$2:$AI$167*(_xlfn.NORM.DIST(AV$3,economics!$AK$2:$AK$167,economics!$AJ$2:$AJ$167,TRUE)-_xlfn.NORM.DIST(AV$30,economics!$AK$2:$AK$167,economics!$AJ$2:$AJ$167,TRUE))*economics!$AM$2:$AM$167))/(SUMPRODUCT((economics!$AG$2:$AG$167=$B47)*(economics!$D$2:$D$167="process")*economics!$AI$2:$AI$167*(_xlfn.NORM.DIST(AV$3,economics!$AK$2:$AK$167,economics!$AJ$2:$AJ$167,TRUE)-_xlfn.NORM.DIST(AV$30,economics!$AK$2:$AK$167,economics!$AJ$2:$AJ$167,TRUE)))),"")</f>
        <v/>
      </c>
      <c r="AW47">
        <f t="array" ref="AW47">IFERROR((SUMPRODUCT((economics!$AG$2:$AG$167=$B47)*(economics!$D$2:$D$167="process")*economics!$AI$2:$AI$167*(_xlfn.NORM.DIST(AW$3,economics!$AK$2:$AK$167,economics!$AJ$2:$AJ$167,TRUE)-_xlfn.NORM.DIST(AW$30,economics!$AK$2:$AK$167,economics!$AJ$2:$AJ$167,TRUE))*economics!$AM$2:$AM$167))/(SUMPRODUCT((economics!$AG$2:$AG$167=$B47)*(economics!$D$2:$D$167="process")*economics!$AI$2:$AI$167*(_xlfn.NORM.DIST(AW$3,economics!$AK$2:$AK$167,economics!$AJ$2:$AJ$167,TRUE)-_xlfn.NORM.DIST(AW$30,economics!$AK$2:$AK$167,economics!$AJ$2:$AJ$167,TRUE)))),"")</f>
        <v/>
      </c>
      <c r="AX47">
        <f t="array" ref="AX47">IFERROR((SUMPRODUCT((economics!$AG$2:$AG$167=$B47)*(economics!$D$2:$D$167="process")*economics!$AI$2:$AI$167*(_xlfn.NORM.DIST(AX$3,economics!$AK$2:$AK$167,economics!$AJ$2:$AJ$167,TRUE)-_xlfn.NORM.DIST(AX$30,economics!$AK$2:$AK$167,economics!$AJ$2:$AJ$167,TRUE))*economics!$AM$2:$AM$167))/(SUMPRODUCT((economics!$AG$2:$AG$167=$B47)*(economics!$D$2:$D$167="process")*economics!$AI$2:$AI$167*(_xlfn.NORM.DIST(AX$3,economics!$AK$2:$AK$167,economics!$AJ$2:$AJ$167,TRUE)-_xlfn.NORM.DIST(AX$30,economics!$AK$2:$AK$167,economics!$AJ$2:$AJ$167,TRUE)))),"")</f>
        <v/>
      </c>
      <c r="AY47">
        <f t="array" ref="AY47">IFERROR((SUMPRODUCT((economics!$AG$2:$AG$167=$B47)*(economics!$D$2:$D$167="process")*economics!$AI$2:$AI$167*(_xlfn.NORM.DIST(AY$3,economics!$AK$2:$AK$167,economics!$AJ$2:$AJ$167,TRUE)-_xlfn.NORM.DIST(AY$30,economics!$AK$2:$AK$167,economics!$AJ$2:$AJ$167,TRUE))*economics!$AM$2:$AM$167))/(SUMPRODUCT((economics!$AG$2:$AG$167=$B47)*(economics!$D$2:$D$167="process")*economics!$AI$2:$AI$167*(_xlfn.NORM.DIST(AY$3,economics!$AK$2:$AK$167,economics!$AJ$2:$AJ$167,TRUE)-_xlfn.NORM.DIST(AY$30,economics!$AK$2:$AK$167,economics!$AJ$2:$AJ$167,TRUE)))),"")</f>
        <v/>
      </c>
      <c r="AZ47">
        <f t="array" ref="AZ47">IFERROR((SUMPRODUCT((economics!$AG$2:$AG$167=$B47)*(economics!$D$2:$D$167="process")*economics!$AI$2:$AI$167*(_xlfn.NORM.DIST(AZ$3,economics!$AK$2:$AK$167,economics!$AJ$2:$AJ$167,TRUE)-_xlfn.NORM.DIST(AZ$30,economics!$AK$2:$AK$167,economics!$AJ$2:$AJ$167,TRUE))*economics!$AM$2:$AM$167))/(SUMPRODUCT((economics!$AG$2:$AG$167=$B47)*(economics!$D$2:$D$167="process")*economics!$AI$2:$AI$167*(_xlfn.NORM.DIST(AZ$3,economics!$AK$2:$AK$167,economics!$AJ$2:$AJ$167,TRUE)-_xlfn.NORM.DIST(AZ$30,economics!$AK$2:$AK$167,economics!$AJ$2:$AJ$167,TRUE)))),"")</f>
        <v/>
      </c>
      <c r="BA47">
        <f t="array" ref="BA47">IFERROR((SUMPRODUCT((economics!$AG$2:$AG$167=$B47)*(economics!$D$2:$D$167="process")*economics!$AI$2:$AI$167*(_xlfn.NORM.DIST(BA$3,economics!$AK$2:$AK$167,economics!$AJ$2:$AJ$167,TRUE)-_xlfn.NORM.DIST(BA$30,economics!$AK$2:$AK$167,economics!$AJ$2:$AJ$167,TRUE))*economics!$AM$2:$AM$167))/(SUMPRODUCT((economics!$AG$2:$AG$167=$B47)*(economics!$D$2:$D$167="process")*economics!$AI$2:$AI$167*(_xlfn.NORM.DIST(BA$3,economics!$AK$2:$AK$167,economics!$AJ$2:$AJ$167,TRUE)-_xlfn.NORM.DIST(BA$30,economics!$AK$2:$AK$167,economics!$AJ$2:$AJ$167,TRUE)))),"")</f>
        <v/>
      </c>
      <c r="BB47">
        <f t="array" ref="BB47">IFERROR((SUMPRODUCT((economics!$AG$2:$AG$167=$B47)*(economics!$D$2:$D$167="process")*economics!$AI$2:$AI$167*(_xlfn.NORM.DIST(BB$3,economics!$AK$2:$AK$167,economics!$AJ$2:$AJ$167,TRUE)-_xlfn.NORM.DIST(BB$30,economics!$AK$2:$AK$167,economics!$AJ$2:$AJ$167,TRUE))*economics!$AM$2:$AM$167))/(SUMPRODUCT((economics!$AG$2:$AG$167=$B47)*(economics!$D$2:$D$167="process")*economics!$AI$2:$AI$167*(_xlfn.NORM.DIST(BB$3,economics!$AK$2:$AK$167,economics!$AJ$2:$AJ$167,TRUE)-_xlfn.NORM.DIST(BB$30,economics!$AK$2:$AK$167,economics!$AJ$2:$AJ$167,TRUE)))),"")</f>
        <v/>
      </c>
      <c r="BC47">
        <f t="array" ref="BC47">IFERROR((SUMPRODUCT((economics!$AG$2:$AG$167=$B47)*(economics!$D$2:$D$167="process")*economics!$AI$2:$AI$167*(_xlfn.NORM.DIST(BC$3,economics!$AK$2:$AK$167,economics!$AJ$2:$AJ$167,TRUE)-_xlfn.NORM.DIST(BC$30,economics!$AK$2:$AK$167,economics!$AJ$2:$AJ$167,TRUE))*economics!$AM$2:$AM$167))/(SUMPRODUCT((economics!$AG$2:$AG$167=$B47)*(economics!$D$2:$D$167="process")*economics!$AI$2:$AI$167*(_xlfn.NORM.DIST(BC$3,economics!$AK$2:$AK$167,economics!$AJ$2:$AJ$167,TRUE)-_xlfn.NORM.DIST(BC$30,economics!$AK$2:$AK$167,economics!$AJ$2:$AJ$167,TRUE)))),"")</f>
        <v/>
      </c>
      <c r="BD47">
        <f t="array" ref="BD47">IFERROR((SUMPRODUCT((economics!$AG$2:$AG$167=$B47)*(economics!$D$2:$D$167="process")*economics!$AI$2:$AI$167*(_xlfn.NORM.DIST(BD$3,economics!$AK$2:$AK$167,economics!$AJ$2:$AJ$167,TRUE)-_xlfn.NORM.DIST(BD$30,economics!$AK$2:$AK$167,economics!$AJ$2:$AJ$167,TRUE))*economics!$AM$2:$AM$167))/(SUMPRODUCT((economics!$AG$2:$AG$167=$B47)*(economics!$D$2:$D$167="process")*economics!$AI$2:$AI$167*(_xlfn.NORM.DIST(BD$3,economics!$AK$2:$AK$167,economics!$AJ$2:$AJ$167,TRUE)-_xlfn.NORM.DIST(BD$30,economics!$AK$2:$AK$167,economics!$AJ$2:$AJ$167,TRUE)))),"")</f>
        <v/>
      </c>
      <c r="BE47">
        <f t="array" ref="BE47">IFERROR((SUMPRODUCT((economics!$AG$2:$AG$167=$B47)*(economics!$D$2:$D$167="process")*economics!$AI$2:$AI$167*(_xlfn.NORM.DIST(BE$3,economics!$AK$2:$AK$167,economics!$AJ$2:$AJ$167,TRUE)-_xlfn.NORM.DIST(BE$30,economics!$AK$2:$AK$167,economics!$AJ$2:$AJ$167,TRUE))*economics!$AM$2:$AM$167))/(SUMPRODUCT((economics!$AG$2:$AG$167=$B47)*(economics!$D$2:$D$167="process")*economics!$AI$2:$AI$167*(_xlfn.NORM.DIST(BE$3,economics!$AK$2:$AK$167,economics!$AJ$2:$AJ$167,TRUE)-_xlfn.NORM.DIST(BE$30,economics!$AK$2:$AK$167,economics!$AJ$2:$AJ$167,TRUE)))),"")</f>
        <v/>
      </c>
      <c r="BF47">
        <f t="array" ref="BF47">IFERROR((SUMPRODUCT((economics!$AG$2:$AG$167=$B47)*(economics!$D$2:$D$167="process")*economics!$AI$2:$AI$167*(_xlfn.NORM.DIST(BF$3,economics!$AK$2:$AK$167,economics!$AJ$2:$AJ$167,TRUE)-_xlfn.NORM.DIST(BF$30,economics!$AK$2:$AK$167,economics!$AJ$2:$AJ$167,TRUE))*economics!$AM$2:$AM$167))/(SUMPRODUCT((economics!$AG$2:$AG$167=$B47)*(economics!$D$2:$D$167="process")*economics!$AI$2:$AI$167*(_xlfn.NORM.DIST(BF$3,economics!$AK$2:$AK$167,economics!$AJ$2:$AJ$167,TRUE)-_xlfn.NORM.DIST(BF$30,economics!$AK$2:$AK$167,economics!$AJ$2:$AJ$167,TRUE)))),"")</f>
        <v/>
      </c>
      <c r="BG47">
        <f t="array" ref="BG47">IFERROR((SUMPRODUCT((economics!$AG$2:$AG$167=$B47)*(economics!$D$2:$D$167="process")*economics!$AI$2:$AI$167*(_xlfn.NORM.DIST(BG$3,economics!$AK$2:$AK$167,economics!$AJ$2:$AJ$167,TRUE)-_xlfn.NORM.DIST(BG$30,economics!$AK$2:$AK$167,economics!$AJ$2:$AJ$167,TRUE))*economics!$AM$2:$AM$167))/(SUMPRODUCT((economics!$AG$2:$AG$167=$B47)*(economics!$D$2:$D$167="process")*economics!$AI$2:$AI$167*(_xlfn.NORM.DIST(BG$3,economics!$AK$2:$AK$167,economics!$AJ$2:$AJ$167,TRUE)-_xlfn.NORM.DIST(BG$30,economics!$AK$2:$AK$167,economics!$AJ$2:$AJ$167,TRUE)))),"")</f>
        <v/>
      </c>
      <c r="BH47">
        <f t="array" ref="BH47">IFERROR((SUMPRODUCT((economics!$AG$2:$AG$167=$B47)*(economics!$D$2:$D$167="process")*economics!$AI$2:$AI$167*(_xlfn.NORM.DIST(BH$3,economics!$AK$2:$AK$167,economics!$AJ$2:$AJ$167,TRUE)-_xlfn.NORM.DIST(BH$30,economics!$AK$2:$AK$167,economics!$AJ$2:$AJ$167,TRUE))*economics!$AM$2:$AM$167))/(SUMPRODUCT((economics!$AG$2:$AG$167=$B47)*(economics!$D$2:$D$167="process")*economics!$AI$2:$AI$167*(_xlfn.NORM.DIST(BH$3,economics!$AK$2:$AK$167,economics!$AJ$2:$AJ$167,TRUE)-_xlfn.NORM.DIST(BH$30,economics!$AK$2:$AK$167,economics!$AJ$2:$AJ$167,TRUE)))),"")</f>
        <v/>
      </c>
      <c r="BI47">
        <f t="array" ref="BI47">IFERROR((SUMPRODUCT((economics!$AG$2:$AG$167=$B47)*(economics!$D$2:$D$167="process")*economics!$AI$2:$AI$167*(_xlfn.NORM.DIST(BI$3,economics!$AK$2:$AK$167,economics!$AJ$2:$AJ$167,TRUE)-_xlfn.NORM.DIST(BI$30,economics!$AK$2:$AK$167,economics!$AJ$2:$AJ$167,TRUE))*economics!$AM$2:$AM$167))/(SUMPRODUCT((economics!$AG$2:$AG$167=$B47)*(economics!$D$2:$D$167="process")*economics!$AI$2:$AI$167*(_xlfn.NORM.DIST(BI$3,economics!$AK$2:$AK$167,economics!$AJ$2:$AJ$167,TRUE)-_xlfn.NORM.DIST(BI$30,economics!$AK$2:$AK$167,economics!$AJ$2:$AJ$167,TRUE)))),"")</f>
        <v/>
      </c>
      <c r="BJ47">
        <f t="array" ref="BJ47">IFERROR((SUMPRODUCT((economics!$AG$2:$AG$167=$B47)*(economics!$D$2:$D$167="process")*economics!$AI$2:$AI$167*(_xlfn.NORM.DIST(BJ$3,economics!$AK$2:$AK$167,economics!$AJ$2:$AJ$167,TRUE)-_xlfn.NORM.DIST(BJ$30,economics!$AK$2:$AK$167,economics!$AJ$2:$AJ$167,TRUE))*economics!$AM$2:$AM$167))/(SUMPRODUCT((economics!$AG$2:$AG$167=$B47)*(economics!$D$2:$D$167="process")*economics!$AI$2:$AI$167*(_xlfn.NORM.DIST(BJ$3,economics!$AK$2:$AK$167,economics!$AJ$2:$AJ$167,TRUE)-_xlfn.NORM.DIST(BJ$30,economics!$AK$2:$AK$167,economics!$AJ$2:$AJ$167,TRUE)))),"")</f>
        <v/>
      </c>
      <c r="BK47">
        <f t="array" ref="BK47">IFERROR((SUMPRODUCT((economics!$AG$2:$AG$167=$B47)*(economics!$D$2:$D$167="process")*economics!$AI$2:$AI$167*(_xlfn.NORM.DIST(BK$3,economics!$AK$2:$AK$167,economics!$AJ$2:$AJ$167,TRUE)-_xlfn.NORM.DIST(BK$30,economics!$AK$2:$AK$167,economics!$AJ$2:$AJ$167,TRUE))*economics!$AM$2:$AM$167))/(SUMPRODUCT((economics!$AG$2:$AG$167=$B47)*(economics!$D$2:$D$167="process")*economics!$AI$2:$AI$167*(_xlfn.NORM.DIST(BK$3,economics!$AK$2:$AK$167,economics!$AJ$2:$AJ$167,TRUE)-_xlfn.NORM.DIST(BK$30,economics!$AK$2:$AK$167,economics!$AJ$2:$AJ$167,TRUE)))),"")</f>
        <v/>
      </c>
      <c r="BL47">
        <f t="array" ref="BL47">IFERROR((SUMPRODUCT((economics!$AG$2:$AG$167=$B47)*(economics!$D$2:$D$167="process")*economics!$AI$2:$AI$167*(_xlfn.NORM.DIST(BL$3,economics!$AK$2:$AK$167,economics!$AJ$2:$AJ$167,TRUE)-_xlfn.NORM.DIST(BL$30,economics!$AK$2:$AK$167,economics!$AJ$2:$AJ$167,TRUE))*economics!$AM$2:$AM$167))/(SUMPRODUCT((economics!$AG$2:$AG$167=$B47)*(economics!$D$2:$D$167="process")*economics!$AI$2:$AI$167*(_xlfn.NORM.DIST(BL$3,economics!$AK$2:$AK$167,economics!$AJ$2:$AJ$167,TRUE)-_xlfn.NORM.DIST(BL$30,economics!$AK$2:$AK$167,economics!$AJ$2:$AJ$167,TRUE)))),"")</f>
        <v/>
      </c>
      <c r="BM47">
        <f t="array" ref="BM47">IFERROR((SUMPRODUCT((economics!$AG$2:$AG$167=$B47)*(economics!$D$2:$D$167="process")*economics!$AI$2:$AI$167*(_xlfn.NORM.DIST(BM$3,economics!$AK$2:$AK$167,economics!$AJ$2:$AJ$167,TRUE)-_xlfn.NORM.DIST(BM$30,economics!$AK$2:$AK$167,economics!$AJ$2:$AJ$167,TRUE))*economics!$AM$2:$AM$167))/(SUMPRODUCT((economics!$AG$2:$AG$167=$B47)*(economics!$D$2:$D$167="process")*economics!$AI$2:$AI$167*(_xlfn.NORM.DIST(BM$3,economics!$AK$2:$AK$167,economics!$AJ$2:$AJ$167,TRUE)-_xlfn.NORM.DIST(BM$30,economics!$AK$2:$AK$167,economics!$AJ$2:$AJ$167,TRUE)))),"")</f>
        <v/>
      </c>
      <c r="BN47">
        <f t="array" ref="BN47">IFERROR((SUMPRODUCT((economics!$AG$2:$AG$167=$B47)*(economics!$D$2:$D$167="process")*economics!$AI$2:$AI$167*(_xlfn.NORM.DIST(BN$3,economics!$AK$2:$AK$167,economics!$AJ$2:$AJ$167,TRUE)-_xlfn.NORM.DIST(BN$30,economics!$AK$2:$AK$167,economics!$AJ$2:$AJ$167,TRUE))*economics!$AM$2:$AM$167))/(SUMPRODUCT((economics!$AG$2:$AG$167=$B47)*(economics!$D$2:$D$167="process")*economics!$AI$2:$AI$167*(_xlfn.NORM.DIST(BN$3,economics!$AK$2:$AK$167,economics!$AJ$2:$AJ$167,TRUE)-_xlfn.NORM.DIST(BN$30,economics!$AK$2:$AK$167,economics!$AJ$2:$AJ$167,TRUE)))),"")</f>
        <v/>
      </c>
      <c r="BO47">
        <f t="array" ref="BO47">IFERROR((SUMPRODUCT((economics!$AG$2:$AG$167=$B47)*(economics!$D$2:$D$167="process")*economics!$AI$2:$AI$167*(_xlfn.NORM.DIST(BO$3,economics!$AK$2:$AK$167,economics!$AJ$2:$AJ$167,TRUE)-_xlfn.NORM.DIST(BO$30,economics!$AK$2:$AK$167,economics!$AJ$2:$AJ$167,TRUE))*economics!$AM$2:$AM$167))/(SUMPRODUCT((economics!$AG$2:$AG$167=$B47)*(economics!$D$2:$D$167="process")*economics!$AI$2:$AI$167*(_xlfn.NORM.DIST(BO$3,economics!$AK$2:$AK$167,economics!$AJ$2:$AJ$167,TRUE)-_xlfn.NORM.DIST(BO$30,economics!$AK$2:$AK$167,economics!$AJ$2:$AJ$167,TRUE)))),"")</f>
        <v/>
      </c>
      <c r="BP47">
        <f t="array" ref="BP47">IFERROR((SUMPRODUCT((economics!$AG$2:$AG$167=$B47)*(economics!$D$2:$D$167="process")*economics!$AI$2:$AI$167*(_xlfn.NORM.DIST(BP$3,economics!$AK$2:$AK$167,economics!$AJ$2:$AJ$167,TRUE)-_xlfn.NORM.DIST(BP$30,economics!$AK$2:$AK$167,economics!$AJ$2:$AJ$167,TRUE))*economics!$AM$2:$AM$167))/(SUMPRODUCT((economics!$AG$2:$AG$167=$B47)*(economics!$D$2:$D$167="process")*economics!$AI$2:$AI$167*(_xlfn.NORM.DIST(BP$3,economics!$AK$2:$AK$167,economics!$AJ$2:$AJ$167,TRUE)-_xlfn.NORM.DIST(BP$30,economics!$AK$2:$AK$167,economics!$AJ$2:$AJ$167,TRUE)))),"")</f>
        <v/>
      </c>
      <c r="BQ47">
        <f t="array" ref="BQ47">IFERROR((SUMPRODUCT((economics!$AG$2:$AG$167=$B47)*(economics!$D$2:$D$167="process")*economics!$AI$2:$AI$167*(_xlfn.NORM.DIST(BQ$3,economics!$AK$2:$AK$167,economics!$AJ$2:$AJ$167,TRUE)-_xlfn.NORM.DIST(BQ$30,economics!$AK$2:$AK$167,economics!$AJ$2:$AJ$167,TRUE))*economics!$AM$2:$AM$167))/(SUMPRODUCT((economics!$AG$2:$AG$167=$B47)*(economics!$D$2:$D$167="process")*economics!$AI$2:$AI$167*(_xlfn.NORM.DIST(BQ$3,economics!$AK$2:$AK$167,economics!$AJ$2:$AJ$167,TRUE)-_xlfn.NORM.DIST(BQ$30,economics!$AK$2:$AK$167,economics!$AJ$2:$AJ$167,TRUE)))),"")</f>
        <v/>
      </c>
      <c r="BR47">
        <f t="array" ref="BR47">IFERROR((SUMPRODUCT((economics!$AG$2:$AG$167=$B47)*(economics!$D$2:$D$167="process")*economics!$AI$2:$AI$167*(_xlfn.NORM.DIST(BR$3,economics!$AK$2:$AK$167,economics!$AJ$2:$AJ$167,TRUE)-_xlfn.NORM.DIST(BR$30,economics!$AK$2:$AK$167,economics!$AJ$2:$AJ$167,TRUE))*economics!$AM$2:$AM$167))/(SUMPRODUCT((economics!$AG$2:$AG$167=$B47)*(economics!$D$2:$D$167="process")*economics!$AI$2:$AI$167*(_xlfn.NORM.DIST(BR$3,economics!$AK$2:$AK$167,economics!$AJ$2:$AJ$167,TRUE)-_xlfn.NORM.DIST(BR$30,economics!$AK$2:$AK$167,economics!$AJ$2:$AJ$167,TRUE)))),"")</f>
        <v/>
      </c>
      <c r="BS47">
        <f t="array" ref="BS47">IFERROR((SUMPRODUCT((economics!$AG$2:$AG$167=$B47)*(economics!$D$2:$D$167="process")*economics!$AI$2:$AI$167*(_xlfn.NORM.DIST(BS$3,economics!$AK$2:$AK$167,economics!$AJ$2:$AJ$167,TRUE)-_xlfn.NORM.DIST(BS$30,economics!$AK$2:$AK$167,economics!$AJ$2:$AJ$167,TRUE))*economics!$AM$2:$AM$167))/(SUMPRODUCT((economics!$AG$2:$AG$167=$B47)*(economics!$D$2:$D$167="process")*economics!$AI$2:$AI$167*(_xlfn.NORM.DIST(BS$3,economics!$AK$2:$AK$167,economics!$AJ$2:$AJ$167,TRUE)-_xlfn.NORM.DIST(BS$30,economics!$AK$2:$AK$167,economics!$AJ$2:$AJ$167,TRUE)))),"")</f>
        <v/>
      </c>
      <c r="BT47">
        <f t="array" ref="BT47">IFERROR((SUMPRODUCT((economics!$AG$2:$AG$167=$B47)*(economics!$D$2:$D$167="process")*economics!$AI$2:$AI$167*(_xlfn.NORM.DIST(BT$3,economics!$AK$2:$AK$167,economics!$AJ$2:$AJ$167,TRUE)-_xlfn.NORM.DIST(BT$30,economics!$AK$2:$AK$167,economics!$AJ$2:$AJ$167,TRUE))*economics!$AM$2:$AM$167))/(SUMPRODUCT((economics!$AG$2:$AG$167=$B47)*(economics!$D$2:$D$167="process")*economics!$AI$2:$AI$167*(_xlfn.NORM.DIST(BT$3,economics!$AK$2:$AK$167,economics!$AJ$2:$AJ$167,TRUE)-_xlfn.NORM.DIST(BT$30,economics!$AK$2:$AK$167,economics!$AJ$2:$AJ$167,TRUE)))),"")</f>
        <v/>
      </c>
      <c r="BU47">
        <f t="array" ref="BU47">IFERROR((SUMPRODUCT((economics!$AG$2:$AG$167=$B47)*(economics!$D$2:$D$167="process")*economics!$AI$2:$AI$167*(_xlfn.NORM.DIST(BU$3,economics!$AK$2:$AK$167,economics!$AJ$2:$AJ$167,TRUE)-_xlfn.NORM.DIST(BU$30,economics!$AK$2:$AK$167,economics!$AJ$2:$AJ$167,TRUE))*economics!$AM$2:$AM$167))/(SUMPRODUCT((economics!$AG$2:$AG$167=$B47)*(economics!$D$2:$D$167="process")*economics!$AI$2:$AI$167*(_xlfn.NORM.DIST(BU$3,economics!$AK$2:$AK$167,economics!$AJ$2:$AJ$167,TRUE)-_xlfn.NORM.DIST(BU$30,economics!$AK$2:$AK$167,economics!$AJ$2:$AJ$167,TRUE)))),"")</f>
        <v/>
      </c>
      <c r="BV47">
        <f t="array" ref="BV47">IFERROR((SUMPRODUCT((economics!$AG$2:$AG$167=$B47)*(economics!$D$2:$D$167="process")*economics!$AI$2:$AI$167*(_xlfn.NORM.DIST(BV$3,economics!$AK$2:$AK$167,economics!$AJ$2:$AJ$167,TRUE)-_xlfn.NORM.DIST(BV$30,economics!$AK$2:$AK$167,economics!$AJ$2:$AJ$167,TRUE))*economics!$AM$2:$AM$167))/(SUMPRODUCT((economics!$AG$2:$AG$167=$B47)*(economics!$D$2:$D$167="process")*economics!$AI$2:$AI$167*(_xlfn.NORM.DIST(BV$3,economics!$AK$2:$AK$167,economics!$AJ$2:$AJ$167,TRUE)-_xlfn.NORM.DIST(BV$30,economics!$AK$2:$AK$167,economics!$AJ$2:$AJ$167,TRUE)))),"")</f>
        <v/>
      </c>
      <c r="BW47">
        <f t="array" ref="BW47">IFERROR((SUMPRODUCT((economics!$AG$2:$AG$167=$B47)*(economics!$D$2:$D$167="process")*economics!$AI$2:$AI$167*(_xlfn.NORM.DIST(BW$3,economics!$AK$2:$AK$167,economics!$AJ$2:$AJ$167,TRUE)-_xlfn.NORM.DIST(BW$30,economics!$AK$2:$AK$167,economics!$AJ$2:$AJ$167,TRUE))*economics!$AM$2:$AM$167))/(SUMPRODUCT((economics!$AG$2:$AG$167=$B47)*(economics!$D$2:$D$167="process")*economics!$AI$2:$AI$167*(_xlfn.NORM.DIST(BW$3,economics!$AK$2:$AK$167,economics!$AJ$2:$AJ$167,TRUE)-_xlfn.NORM.DIST(BW$30,economics!$AK$2:$AK$167,economics!$AJ$2:$AJ$167,TRUE)))),"")</f>
        <v/>
      </c>
      <c r="BX47">
        <f t="array" ref="BX47">IFERROR((SUMPRODUCT((economics!$AG$2:$AG$167=$B47)*(economics!$D$2:$D$167="process")*economics!$AI$2:$AI$167*(_xlfn.NORM.DIST(BX$3,economics!$AK$2:$AK$167,economics!$AJ$2:$AJ$167,TRUE)-_xlfn.NORM.DIST(BX$30,economics!$AK$2:$AK$167,economics!$AJ$2:$AJ$167,TRUE))*economics!$AM$2:$AM$167))/(SUMPRODUCT((economics!$AG$2:$AG$167=$B47)*(economics!$D$2:$D$167="process")*economics!$AI$2:$AI$167*(_xlfn.NORM.DIST(BX$3,economics!$AK$2:$AK$167,economics!$AJ$2:$AJ$167,TRUE)-_xlfn.NORM.DIST(BX$30,economics!$AK$2:$AK$167,economics!$AJ$2:$AJ$167,TRUE)))),"")</f>
        <v/>
      </c>
      <c r="BY47">
        <f t="array" ref="BY47">IFERROR((SUMPRODUCT((economics!$AG$2:$AG$167=$B47)*(economics!$D$2:$D$167="process")*economics!$AI$2:$AI$167*(_xlfn.NORM.DIST(BY$3,economics!$AK$2:$AK$167,economics!$AJ$2:$AJ$167,TRUE)-_xlfn.NORM.DIST(BY$30,economics!$AK$2:$AK$167,economics!$AJ$2:$AJ$167,TRUE))*economics!$AM$2:$AM$167))/(SUMPRODUCT((economics!$AG$2:$AG$167=$B47)*(economics!$D$2:$D$167="process")*economics!$AI$2:$AI$167*(_xlfn.NORM.DIST(BY$3,economics!$AK$2:$AK$167,economics!$AJ$2:$AJ$167,TRUE)-_xlfn.NORM.DIST(BY$30,economics!$AK$2:$AK$167,economics!$AJ$2:$AJ$167,TRUE)))),"")</f>
        <v/>
      </c>
      <c r="BZ47">
        <f t="array" ref="BZ47">IFERROR((SUMPRODUCT((economics!$AG$2:$AG$167=$B47)*(economics!$D$2:$D$167="process")*economics!$AI$2:$AI$167*(_xlfn.NORM.DIST(BZ$3,economics!$AK$2:$AK$167,economics!$AJ$2:$AJ$167,TRUE)-_xlfn.NORM.DIST(BZ$30,economics!$AK$2:$AK$167,economics!$AJ$2:$AJ$167,TRUE))*economics!$AM$2:$AM$167))/(SUMPRODUCT((economics!$AG$2:$AG$167=$B47)*(economics!$D$2:$D$167="process")*economics!$AI$2:$AI$167*(_xlfn.NORM.DIST(BZ$3,economics!$AK$2:$AK$167,economics!$AJ$2:$AJ$167,TRUE)-_xlfn.NORM.DIST(BZ$30,economics!$AK$2:$AK$167,economics!$AJ$2:$AJ$167,TRUE)))),"")</f>
        <v/>
      </c>
      <c r="CA47">
        <f t="array" ref="CA47">IFERROR((SUMPRODUCT((economics!$AG$2:$AG$167=$B47)*(economics!$D$2:$D$167="process")*economics!$AI$2:$AI$167*(_xlfn.NORM.DIST(CA$3,economics!$AK$2:$AK$167,economics!$AJ$2:$AJ$167,TRUE)-_xlfn.NORM.DIST(CA$30,economics!$AK$2:$AK$167,economics!$AJ$2:$AJ$167,TRUE))*economics!$AM$2:$AM$167))/(SUMPRODUCT((economics!$AG$2:$AG$167=$B47)*(economics!$D$2:$D$167="process")*economics!$AI$2:$AI$167*(_xlfn.NORM.DIST(CA$3,economics!$AK$2:$AK$167,economics!$AJ$2:$AJ$167,TRUE)-_xlfn.NORM.DIST(CA$30,economics!$AK$2:$AK$167,economics!$AJ$2:$AJ$167,TRUE)))),"")</f>
        <v/>
      </c>
      <c r="CB47">
        <f t="array" ref="CB47">IFERROR((SUMPRODUCT((economics!$AG$2:$AG$167=$B47)*(economics!$D$2:$D$167="process")*economics!$AI$2:$AI$167*(_xlfn.NORM.DIST(CB$3,economics!$AK$2:$AK$167,economics!$AJ$2:$AJ$167,TRUE)-_xlfn.NORM.DIST(CB$30,economics!$AK$2:$AK$167,economics!$AJ$2:$AJ$167,TRUE))*economics!$AM$2:$AM$167))/(SUMPRODUCT((economics!$AG$2:$AG$167=$B47)*(economics!$D$2:$D$167="process")*economics!$AI$2:$AI$167*(_xlfn.NORM.DIST(CB$3,economics!$AK$2:$AK$167,economics!$AJ$2:$AJ$167,TRUE)-_xlfn.NORM.DIST(CB$30,economics!$AK$2:$AK$167,economics!$AJ$2:$AJ$167,TRUE)))),"")</f>
        <v/>
      </c>
      <c r="CC47">
        <f t="array" ref="CC47">IFERROR((SUMPRODUCT((economics!$AG$2:$AG$167=$B47)*(economics!$D$2:$D$167="process")*economics!$AI$2:$AI$167*(_xlfn.NORM.DIST(CC$3,economics!$AK$2:$AK$167,economics!$AJ$2:$AJ$167,TRUE)-_xlfn.NORM.DIST(CC$30,economics!$AK$2:$AK$167,economics!$AJ$2:$AJ$167,TRUE))*economics!$AM$2:$AM$167))/(SUMPRODUCT((economics!$AG$2:$AG$167=$B47)*(economics!$D$2:$D$167="process")*economics!$AI$2:$AI$167*(_xlfn.NORM.DIST(CC$3,economics!$AK$2:$AK$167,economics!$AJ$2:$AJ$167,TRUE)-_xlfn.NORM.DIST(CC$30,economics!$AK$2:$AK$167,economics!$AJ$2:$AJ$167,TRUE)))),"")</f>
        <v/>
      </c>
      <c r="CD47">
        <f t="array" ref="CD47">IFERROR((SUMPRODUCT((economics!$AG$2:$AG$167=$B47)*(economics!$D$2:$D$167="process")*economics!$AI$2:$AI$167*(_xlfn.NORM.DIST(CD$3,economics!$AK$2:$AK$167,economics!$AJ$2:$AJ$167,TRUE)-_xlfn.NORM.DIST(CD$30,economics!$AK$2:$AK$167,economics!$AJ$2:$AJ$167,TRUE))*economics!$AM$2:$AM$167))/(SUMPRODUCT((economics!$AG$2:$AG$167=$B47)*(economics!$D$2:$D$167="process")*economics!$AI$2:$AI$167*(_xlfn.NORM.DIST(CD$3,economics!$AK$2:$AK$167,economics!$AJ$2:$AJ$167,TRUE)-_xlfn.NORM.DIST(CD$30,economics!$AK$2:$AK$167,economics!$AJ$2:$AJ$167,TRUE)))),"")</f>
        <v/>
      </c>
      <c r="CE47">
        <f t="array" ref="CE47">IFERROR((SUMPRODUCT((economics!$AG$2:$AG$167=$B47)*(economics!$D$2:$D$167="process")*economics!$AI$2:$AI$167*(_xlfn.NORM.DIST(CE$3,economics!$AK$2:$AK$167,economics!$AJ$2:$AJ$167,TRUE)-_xlfn.NORM.DIST(CE$30,economics!$AK$2:$AK$167,economics!$AJ$2:$AJ$167,TRUE))*economics!$AM$2:$AM$167))/(SUMPRODUCT((economics!$AG$2:$AG$167=$B47)*(economics!$D$2:$D$167="process")*economics!$AI$2:$AI$167*(_xlfn.NORM.DIST(CE$3,economics!$AK$2:$AK$167,economics!$AJ$2:$AJ$167,TRUE)-_xlfn.NORM.DIST(CE$30,economics!$AK$2:$AK$167,economics!$AJ$2:$AJ$167,TRUE)))),"")</f>
        <v/>
      </c>
      <c r="CF47">
        <f t="array" ref="CF47">IFERROR((SUMPRODUCT((economics!$AG$2:$AG$167=$B47)*(economics!$D$2:$D$167="process")*economics!$AI$2:$AI$167*(_xlfn.NORM.DIST(CF$3,economics!$AK$2:$AK$167,economics!$AJ$2:$AJ$167,TRUE)-_xlfn.NORM.DIST(CF$30,economics!$AK$2:$AK$167,economics!$AJ$2:$AJ$167,TRUE))*economics!$AM$2:$AM$167))/(SUMPRODUCT((economics!$AG$2:$AG$167=$B47)*(economics!$D$2:$D$167="process")*economics!$AI$2:$AI$167*(_xlfn.NORM.DIST(CF$3,economics!$AK$2:$AK$167,economics!$AJ$2:$AJ$167,TRUE)-_xlfn.NORM.DIST(CF$30,economics!$AK$2:$AK$167,economics!$AJ$2:$AJ$167,TRUE)))),"")</f>
        <v/>
      </c>
      <c r="CG47">
        <f t="array" ref="CG47">IFERROR((SUMPRODUCT((economics!$AG$2:$AG$167=$B47)*(economics!$D$2:$D$167="process")*economics!$AI$2:$AI$167*(_xlfn.NORM.DIST(CG$3,economics!$AK$2:$AK$167,economics!$AJ$2:$AJ$167,TRUE)-_xlfn.NORM.DIST(CG$30,economics!$AK$2:$AK$167,economics!$AJ$2:$AJ$167,TRUE))*economics!$AM$2:$AM$167))/(SUMPRODUCT((economics!$AG$2:$AG$167=$B47)*(economics!$D$2:$D$167="process")*economics!$AI$2:$AI$167*(_xlfn.NORM.DIST(CG$3,economics!$AK$2:$AK$167,economics!$AJ$2:$AJ$167,TRUE)-_xlfn.NORM.DIST(CG$30,economics!$AK$2:$AK$167,economics!$AJ$2:$AJ$167,TRUE)))),"")</f>
        <v/>
      </c>
      <c r="CH47">
        <f t="array" ref="CH47">IFERROR((SUMPRODUCT((economics!$AG$2:$AG$167=$B47)*(economics!$D$2:$D$167="process")*economics!$AI$2:$AI$167*(_xlfn.NORM.DIST(CH$3,economics!$AK$2:$AK$167,economics!$AJ$2:$AJ$167,TRUE)-_xlfn.NORM.DIST(CH$30,economics!$AK$2:$AK$167,economics!$AJ$2:$AJ$167,TRUE))*economics!$AM$2:$AM$167))/(SUMPRODUCT((economics!$AG$2:$AG$167=$B47)*(economics!$D$2:$D$167="process")*economics!$AI$2:$AI$167*(_xlfn.NORM.DIST(CH$3,economics!$AK$2:$AK$167,economics!$AJ$2:$AJ$167,TRUE)-_xlfn.NORM.DIST(CH$30,economics!$AK$2:$AK$167,economics!$AJ$2:$AJ$167,TRUE)))),"")</f>
        <v/>
      </c>
    </row>
    <row r="48">
      <c r="A48">
        <f>A19</f>
        <v/>
      </c>
      <c r="B48">
        <f>B19</f>
        <v/>
      </c>
      <c r="E48">
        <f t="array" ref="E48">IFERROR((SUMPRODUCT((economics!$AG$2:$AG$167=$B48)*(economics!$D$2:$D$167="process")*economics!$AI$2:$AI$167*(_xlfn.NORM.DIST(E$3,economics!$AK$2:$AK$167,economics!$AJ$2:$AJ$167,TRUE)-_xlfn.NORM.DIST(E$30,economics!$AK$2:$AK$167,economics!$AJ$2:$AJ$167,TRUE))*economics!$AM$2:$AM$167))/(SUMPRODUCT((economics!$AG$2:$AG$167=$B48)*(economics!$D$2:$D$167="process")*economics!$AI$2:$AI$167*(_xlfn.NORM.DIST(E$3,economics!$AK$2:$AK$167,economics!$AJ$2:$AJ$167,TRUE)-_xlfn.NORM.DIST(E$30,economics!$AK$2:$AK$167,economics!$AJ$2:$AJ$167,TRUE)))),"")</f>
        <v/>
      </c>
      <c r="F48">
        <f t="array" ref="F48">IFERROR((SUMPRODUCT((economics!$AG$2:$AG$167=$B48)*(economics!$D$2:$D$167="process")*economics!$AI$2:$AI$167*(_xlfn.NORM.DIST(F$3,economics!$AK$2:$AK$167,economics!$AJ$2:$AJ$167,TRUE)-_xlfn.NORM.DIST(F$30,economics!$AK$2:$AK$167,economics!$AJ$2:$AJ$167,TRUE))*economics!$AM$2:$AM$167))/(SUMPRODUCT((economics!$AG$2:$AG$167=$B48)*(economics!$D$2:$D$167="process")*economics!$AI$2:$AI$167*(_xlfn.NORM.DIST(F$3,economics!$AK$2:$AK$167,economics!$AJ$2:$AJ$167,TRUE)-_xlfn.NORM.DIST(F$30,economics!$AK$2:$AK$167,economics!$AJ$2:$AJ$167,TRUE)))),"")</f>
        <v/>
      </c>
      <c r="G48">
        <f t="array" ref="G48">IFERROR((SUMPRODUCT((economics!$AG$2:$AG$167=$B48)*(economics!$D$2:$D$167="process")*economics!$AI$2:$AI$167*(_xlfn.NORM.DIST(G$3,economics!$AK$2:$AK$167,economics!$AJ$2:$AJ$167,TRUE)-_xlfn.NORM.DIST(G$30,economics!$AK$2:$AK$167,economics!$AJ$2:$AJ$167,TRUE))*economics!$AM$2:$AM$167))/(SUMPRODUCT((economics!$AG$2:$AG$167=$B48)*(economics!$D$2:$D$167="process")*economics!$AI$2:$AI$167*(_xlfn.NORM.DIST(G$3,economics!$AK$2:$AK$167,economics!$AJ$2:$AJ$167,TRUE)-_xlfn.NORM.DIST(G$30,economics!$AK$2:$AK$167,economics!$AJ$2:$AJ$167,TRUE)))),"")</f>
        <v/>
      </c>
      <c r="H48">
        <f t="array" ref="H48">IFERROR((SUMPRODUCT((economics!$AG$2:$AG$167=$B48)*(economics!$D$2:$D$167="process")*economics!$AI$2:$AI$167*(_xlfn.NORM.DIST(H$3,economics!$AK$2:$AK$167,economics!$AJ$2:$AJ$167,TRUE)-_xlfn.NORM.DIST(H$30,economics!$AK$2:$AK$167,economics!$AJ$2:$AJ$167,TRUE))*economics!$AM$2:$AM$167))/(SUMPRODUCT((economics!$AG$2:$AG$167=$B48)*(economics!$D$2:$D$167="process")*economics!$AI$2:$AI$167*(_xlfn.NORM.DIST(H$3,economics!$AK$2:$AK$167,economics!$AJ$2:$AJ$167,TRUE)-_xlfn.NORM.DIST(H$30,economics!$AK$2:$AK$167,economics!$AJ$2:$AJ$167,TRUE)))),"")</f>
        <v/>
      </c>
      <c r="I48">
        <f t="array" ref="I48">IFERROR((SUMPRODUCT((economics!$AG$2:$AG$167=$B48)*(economics!$D$2:$D$167="process")*economics!$AI$2:$AI$167*(_xlfn.NORM.DIST(I$3,economics!$AK$2:$AK$167,economics!$AJ$2:$AJ$167,TRUE)-_xlfn.NORM.DIST(I$30,economics!$AK$2:$AK$167,economics!$AJ$2:$AJ$167,TRUE))*economics!$AM$2:$AM$167))/(SUMPRODUCT((economics!$AG$2:$AG$167=$B48)*(economics!$D$2:$D$167="process")*economics!$AI$2:$AI$167*(_xlfn.NORM.DIST(I$3,economics!$AK$2:$AK$167,economics!$AJ$2:$AJ$167,TRUE)-_xlfn.NORM.DIST(I$30,economics!$AK$2:$AK$167,economics!$AJ$2:$AJ$167,TRUE)))),"")</f>
        <v/>
      </c>
      <c r="J48">
        <f t="array" ref="J48">IFERROR((SUMPRODUCT((economics!$AG$2:$AG$167=$B48)*(economics!$D$2:$D$167="process")*economics!$AI$2:$AI$167*(_xlfn.NORM.DIST(J$3,economics!$AK$2:$AK$167,economics!$AJ$2:$AJ$167,TRUE)-_xlfn.NORM.DIST(J$30,economics!$AK$2:$AK$167,economics!$AJ$2:$AJ$167,TRUE))*economics!$AM$2:$AM$167))/(SUMPRODUCT((economics!$AG$2:$AG$167=$B48)*(economics!$D$2:$D$167="process")*economics!$AI$2:$AI$167*(_xlfn.NORM.DIST(J$3,economics!$AK$2:$AK$167,economics!$AJ$2:$AJ$167,TRUE)-_xlfn.NORM.DIST(J$30,economics!$AK$2:$AK$167,economics!$AJ$2:$AJ$167,TRUE)))),"")</f>
        <v/>
      </c>
      <c r="K48">
        <f t="array" ref="K48">IFERROR((SUMPRODUCT((economics!$AG$2:$AG$167=$B48)*(economics!$D$2:$D$167="process")*economics!$AI$2:$AI$167*(_xlfn.NORM.DIST(K$3,economics!$AK$2:$AK$167,economics!$AJ$2:$AJ$167,TRUE)-_xlfn.NORM.DIST(K$30,economics!$AK$2:$AK$167,economics!$AJ$2:$AJ$167,TRUE))*economics!$AM$2:$AM$167))/(SUMPRODUCT((economics!$AG$2:$AG$167=$B48)*(economics!$D$2:$D$167="process")*economics!$AI$2:$AI$167*(_xlfn.NORM.DIST(K$3,economics!$AK$2:$AK$167,economics!$AJ$2:$AJ$167,TRUE)-_xlfn.NORM.DIST(K$30,economics!$AK$2:$AK$167,economics!$AJ$2:$AJ$167,TRUE)))),"")</f>
        <v/>
      </c>
      <c r="L48">
        <f t="array" ref="L48">IFERROR((SUMPRODUCT((economics!$AG$2:$AG$167=$B48)*(economics!$D$2:$D$167="process")*economics!$AI$2:$AI$167*(_xlfn.NORM.DIST(L$3,economics!$AK$2:$AK$167,economics!$AJ$2:$AJ$167,TRUE)-_xlfn.NORM.DIST(L$30,economics!$AK$2:$AK$167,economics!$AJ$2:$AJ$167,TRUE))*economics!$AM$2:$AM$167))/(SUMPRODUCT((economics!$AG$2:$AG$167=$B48)*(economics!$D$2:$D$167="process")*economics!$AI$2:$AI$167*(_xlfn.NORM.DIST(L$3,economics!$AK$2:$AK$167,economics!$AJ$2:$AJ$167,TRUE)-_xlfn.NORM.DIST(L$30,economics!$AK$2:$AK$167,economics!$AJ$2:$AJ$167,TRUE)))),"")</f>
        <v/>
      </c>
      <c r="M48">
        <f t="array" ref="M48">IFERROR((SUMPRODUCT((economics!$AG$2:$AG$167=$B48)*(economics!$D$2:$D$167="process")*economics!$AI$2:$AI$167*(_xlfn.NORM.DIST(M$3,economics!$AK$2:$AK$167,economics!$AJ$2:$AJ$167,TRUE)-_xlfn.NORM.DIST(M$30,economics!$AK$2:$AK$167,economics!$AJ$2:$AJ$167,TRUE))*economics!$AM$2:$AM$167))/(SUMPRODUCT((economics!$AG$2:$AG$167=$B48)*(economics!$D$2:$D$167="process")*economics!$AI$2:$AI$167*(_xlfn.NORM.DIST(M$3,economics!$AK$2:$AK$167,economics!$AJ$2:$AJ$167,TRUE)-_xlfn.NORM.DIST(M$30,economics!$AK$2:$AK$167,economics!$AJ$2:$AJ$167,TRUE)))),"")</f>
        <v/>
      </c>
      <c r="N48">
        <f t="array" ref="N48">IFERROR((SUMPRODUCT((economics!$AG$2:$AG$167=$B48)*(economics!$D$2:$D$167="process")*economics!$AI$2:$AI$167*(_xlfn.NORM.DIST(N$3,economics!$AK$2:$AK$167,economics!$AJ$2:$AJ$167,TRUE)-_xlfn.NORM.DIST(N$30,economics!$AK$2:$AK$167,economics!$AJ$2:$AJ$167,TRUE))*economics!$AM$2:$AM$167))/(SUMPRODUCT((economics!$AG$2:$AG$167=$B48)*(economics!$D$2:$D$167="process")*economics!$AI$2:$AI$167*(_xlfn.NORM.DIST(N$3,economics!$AK$2:$AK$167,economics!$AJ$2:$AJ$167,TRUE)-_xlfn.NORM.DIST(N$30,economics!$AK$2:$AK$167,economics!$AJ$2:$AJ$167,TRUE)))),"")</f>
        <v/>
      </c>
      <c r="O48">
        <f t="array" ref="O48">IFERROR((SUMPRODUCT((economics!$AG$2:$AG$167=$B48)*(economics!$D$2:$D$167="process")*economics!$AI$2:$AI$167*(_xlfn.NORM.DIST(O$3,economics!$AK$2:$AK$167,economics!$AJ$2:$AJ$167,TRUE)-_xlfn.NORM.DIST(O$30,economics!$AK$2:$AK$167,economics!$AJ$2:$AJ$167,TRUE))*economics!$AM$2:$AM$167))/(SUMPRODUCT((economics!$AG$2:$AG$167=$B48)*(economics!$D$2:$D$167="process")*economics!$AI$2:$AI$167*(_xlfn.NORM.DIST(O$3,economics!$AK$2:$AK$167,economics!$AJ$2:$AJ$167,TRUE)-_xlfn.NORM.DIST(O$30,economics!$AK$2:$AK$167,economics!$AJ$2:$AJ$167,TRUE)))),"")</f>
        <v/>
      </c>
      <c r="P48">
        <f t="array" ref="P48">IFERROR((SUMPRODUCT((economics!$AG$2:$AG$167=$B48)*(economics!$D$2:$D$167="process")*economics!$AI$2:$AI$167*(_xlfn.NORM.DIST(P$3,economics!$AK$2:$AK$167,economics!$AJ$2:$AJ$167,TRUE)-_xlfn.NORM.DIST(P$30,economics!$AK$2:$AK$167,economics!$AJ$2:$AJ$167,TRUE))*economics!$AM$2:$AM$167))/(SUMPRODUCT((economics!$AG$2:$AG$167=$B48)*(economics!$D$2:$D$167="process")*economics!$AI$2:$AI$167*(_xlfn.NORM.DIST(P$3,economics!$AK$2:$AK$167,economics!$AJ$2:$AJ$167,TRUE)-_xlfn.NORM.DIST(P$30,economics!$AK$2:$AK$167,economics!$AJ$2:$AJ$167,TRUE)))),"")</f>
        <v/>
      </c>
      <c r="Q48">
        <f t="array" ref="Q48">IFERROR((SUMPRODUCT((economics!$AG$2:$AG$167=$B48)*(economics!$D$2:$D$167="process")*economics!$AI$2:$AI$167*(_xlfn.NORM.DIST(Q$3,economics!$AK$2:$AK$167,economics!$AJ$2:$AJ$167,TRUE)-_xlfn.NORM.DIST(Q$30,economics!$AK$2:$AK$167,economics!$AJ$2:$AJ$167,TRUE))*economics!$AM$2:$AM$167))/(SUMPRODUCT((economics!$AG$2:$AG$167=$B48)*(economics!$D$2:$D$167="process")*economics!$AI$2:$AI$167*(_xlfn.NORM.DIST(Q$3,economics!$AK$2:$AK$167,economics!$AJ$2:$AJ$167,TRUE)-_xlfn.NORM.DIST(Q$30,economics!$AK$2:$AK$167,economics!$AJ$2:$AJ$167,TRUE)))),"")</f>
        <v/>
      </c>
      <c r="R48">
        <f t="array" ref="R48">IFERROR((SUMPRODUCT((economics!$AG$2:$AG$167=$B48)*(economics!$D$2:$D$167="process")*economics!$AI$2:$AI$167*(_xlfn.NORM.DIST(R$3,economics!$AK$2:$AK$167,economics!$AJ$2:$AJ$167,TRUE)-_xlfn.NORM.DIST(R$30,economics!$AK$2:$AK$167,economics!$AJ$2:$AJ$167,TRUE))*economics!$AM$2:$AM$167))/(SUMPRODUCT((economics!$AG$2:$AG$167=$B48)*(economics!$D$2:$D$167="process")*economics!$AI$2:$AI$167*(_xlfn.NORM.DIST(R$3,economics!$AK$2:$AK$167,economics!$AJ$2:$AJ$167,TRUE)-_xlfn.NORM.DIST(R$30,economics!$AK$2:$AK$167,economics!$AJ$2:$AJ$167,TRUE)))),"")</f>
        <v/>
      </c>
      <c r="S48">
        <f t="array" ref="S48">IFERROR((SUMPRODUCT((economics!$AG$2:$AG$167=$B48)*(economics!$D$2:$D$167="process")*economics!$AI$2:$AI$167*(_xlfn.NORM.DIST(S$3,economics!$AK$2:$AK$167,economics!$AJ$2:$AJ$167,TRUE)-_xlfn.NORM.DIST(S$30,economics!$AK$2:$AK$167,economics!$AJ$2:$AJ$167,TRUE))*economics!$AM$2:$AM$167))/(SUMPRODUCT((economics!$AG$2:$AG$167=$B48)*(economics!$D$2:$D$167="process")*economics!$AI$2:$AI$167*(_xlfn.NORM.DIST(S$3,economics!$AK$2:$AK$167,economics!$AJ$2:$AJ$167,TRUE)-_xlfn.NORM.DIST(S$30,economics!$AK$2:$AK$167,economics!$AJ$2:$AJ$167,TRUE)))),"")</f>
        <v/>
      </c>
      <c r="T48">
        <f t="array" ref="T48">IFERROR((SUMPRODUCT((economics!$AG$2:$AG$167=$B48)*(economics!$D$2:$D$167="process")*economics!$AI$2:$AI$167*(_xlfn.NORM.DIST(T$3,economics!$AK$2:$AK$167,economics!$AJ$2:$AJ$167,TRUE)-_xlfn.NORM.DIST(T$30,economics!$AK$2:$AK$167,economics!$AJ$2:$AJ$167,TRUE))*economics!$AM$2:$AM$167))/(SUMPRODUCT((economics!$AG$2:$AG$167=$B48)*(economics!$D$2:$D$167="process")*economics!$AI$2:$AI$167*(_xlfn.NORM.DIST(T$3,economics!$AK$2:$AK$167,economics!$AJ$2:$AJ$167,TRUE)-_xlfn.NORM.DIST(T$30,economics!$AK$2:$AK$167,economics!$AJ$2:$AJ$167,TRUE)))),"")</f>
        <v/>
      </c>
      <c r="U48">
        <f t="array" ref="U48">IFERROR((SUMPRODUCT((economics!$AG$2:$AG$167=$B48)*(economics!$D$2:$D$167="process")*economics!$AI$2:$AI$167*(_xlfn.NORM.DIST(U$3,economics!$AK$2:$AK$167,economics!$AJ$2:$AJ$167,TRUE)-_xlfn.NORM.DIST(U$30,economics!$AK$2:$AK$167,economics!$AJ$2:$AJ$167,TRUE))*economics!$AM$2:$AM$167))/(SUMPRODUCT((economics!$AG$2:$AG$167=$B48)*(economics!$D$2:$D$167="process")*economics!$AI$2:$AI$167*(_xlfn.NORM.DIST(U$3,economics!$AK$2:$AK$167,economics!$AJ$2:$AJ$167,TRUE)-_xlfn.NORM.DIST(U$30,economics!$AK$2:$AK$167,economics!$AJ$2:$AJ$167,TRUE)))),"")</f>
        <v/>
      </c>
      <c r="V48">
        <f t="array" ref="V48">IFERROR((SUMPRODUCT((economics!$AG$2:$AG$167=$B48)*(economics!$D$2:$D$167="process")*economics!$AI$2:$AI$167*(_xlfn.NORM.DIST(V$3,economics!$AK$2:$AK$167,economics!$AJ$2:$AJ$167,TRUE)-_xlfn.NORM.DIST(V$30,economics!$AK$2:$AK$167,economics!$AJ$2:$AJ$167,TRUE))*economics!$AM$2:$AM$167))/(SUMPRODUCT((economics!$AG$2:$AG$167=$B48)*(economics!$D$2:$D$167="process")*economics!$AI$2:$AI$167*(_xlfn.NORM.DIST(V$3,economics!$AK$2:$AK$167,economics!$AJ$2:$AJ$167,TRUE)-_xlfn.NORM.DIST(V$30,economics!$AK$2:$AK$167,economics!$AJ$2:$AJ$167,TRUE)))),"")</f>
        <v/>
      </c>
      <c r="W48">
        <f t="array" ref="W48">IFERROR((SUMPRODUCT((economics!$AG$2:$AG$167=$B48)*(economics!$D$2:$D$167="process")*economics!$AI$2:$AI$167*(_xlfn.NORM.DIST(W$3,economics!$AK$2:$AK$167,economics!$AJ$2:$AJ$167,TRUE)-_xlfn.NORM.DIST(W$30,economics!$AK$2:$AK$167,economics!$AJ$2:$AJ$167,TRUE))*economics!$AM$2:$AM$167))/(SUMPRODUCT((economics!$AG$2:$AG$167=$B48)*(economics!$D$2:$D$167="process")*economics!$AI$2:$AI$167*(_xlfn.NORM.DIST(W$3,economics!$AK$2:$AK$167,economics!$AJ$2:$AJ$167,TRUE)-_xlfn.NORM.DIST(W$30,economics!$AK$2:$AK$167,economics!$AJ$2:$AJ$167,TRUE)))),"")</f>
        <v/>
      </c>
      <c r="X48">
        <f t="array" ref="X48">IFERROR((SUMPRODUCT((economics!$AG$2:$AG$167=$B48)*(economics!$D$2:$D$167="process")*economics!$AI$2:$AI$167*(_xlfn.NORM.DIST(X$3,economics!$AK$2:$AK$167,economics!$AJ$2:$AJ$167,TRUE)-_xlfn.NORM.DIST(X$30,economics!$AK$2:$AK$167,economics!$AJ$2:$AJ$167,TRUE))*economics!$AM$2:$AM$167))/(SUMPRODUCT((economics!$AG$2:$AG$167=$B48)*(economics!$D$2:$D$167="process")*economics!$AI$2:$AI$167*(_xlfn.NORM.DIST(X$3,economics!$AK$2:$AK$167,economics!$AJ$2:$AJ$167,TRUE)-_xlfn.NORM.DIST(X$30,economics!$AK$2:$AK$167,economics!$AJ$2:$AJ$167,TRUE)))),"")</f>
        <v/>
      </c>
      <c r="Y48">
        <f t="array" ref="Y48">IFERROR((SUMPRODUCT((economics!$AG$2:$AG$167=$B48)*(economics!$D$2:$D$167="process")*economics!$AI$2:$AI$167*(_xlfn.NORM.DIST(Y$3,economics!$AK$2:$AK$167,economics!$AJ$2:$AJ$167,TRUE)-_xlfn.NORM.DIST(Y$30,economics!$AK$2:$AK$167,economics!$AJ$2:$AJ$167,TRUE))*economics!$AM$2:$AM$167))/(SUMPRODUCT((economics!$AG$2:$AG$167=$B48)*(economics!$D$2:$D$167="process")*economics!$AI$2:$AI$167*(_xlfn.NORM.DIST(Y$3,economics!$AK$2:$AK$167,economics!$AJ$2:$AJ$167,TRUE)-_xlfn.NORM.DIST(Y$30,economics!$AK$2:$AK$167,economics!$AJ$2:$AJ$167,TRUE)))),"")</f>
        <v/>
      </c>
      <c r="Z48">
        <f t="array" ref="Z48">IFERROR((SUMPRODUCT((economics!$AG$2:$AG$167=$B48)*(economics!$D$2:$D$167="process")*economics!$AI$2:$AI$167*(_xlfn.NORM.DIST(Z$3,economics!$AK$2:$AK$167,economics!$AJ$2:$AJ$167,TRUE)-_xlfn.NORM.DIST(Z$30,economics!$AK$2:$AK$167,economics!$AJ$2:$AJ$167,TRUE))*economics!$AM$2:$AM$167))/(SUMPRODUCT((economics!$AG$2:$AG$167=$B48)*(economics!$D$2:$D$167="process")*economics!$AI$2:$AI$167*(_xlfn.NORM.DIST(Z$3,economics!$AK$2:$AK$167,economics!$AJ$2:$AJ$167,TRUE)-_xlfn.NORM.DIST(Z$30,economics!$AK$2:$AK$167,economics!$AJ$2:$AJ$167,TRUE)))),"")</f>
        <v/>
      </c>
      <c r="AA48">
        <f t="array" ref="AA48">IFERROR((SUMPRODUCT((economics!$AG$2:$AG$167=$B48)*(economics!$D$2:$D$167="process")*economics!$AI$2:$AI$167*(_xlfn.NORM.DIST(AA$3,economics!$AK$2:$AK$167,economics!$AJ$2:$AJ$167,TRUE)-_xlfn.NORM.DIST(AA$30,economics!$AK$2:$AK$167,economics!$AJ$2:$AJ$167,TRUE))*economics!$AM$2:$AM$167))/(SUMPRODUCT((economics!$AG$2:$AG$167=$B48)*(economics!$D$2:$D$167="process")*economics!$AI$2:$AI$167*(_xlfn.NORM.DIST(AA$3,economics!$AK$2:$AK$167,economics!$AJ$2:$AJ$167,TRUE)-_xlfn.NORM.DIST(AA$30,economics!$AK$2:$AK$167,economics!$AJ$2:$AJ$167,TRUE)))),"")</f>
        <v/>
      </c>
      <c r="AB48">
        <f t="array" ref="AB48">IFERROR((SUMPRODUCT((economics!$AG$2:$AG$167=$B48)*(economics!$D$2:$D$167="process")*economics!$AI$2:$AI$167*(_xlfn.NORM.DIST(AB$3,economics!$AK$2:$AK$167,economics!$AJ$2:$AJ$167,TRUE)-_xlfn.NORM.DIST(AB$30,economics!$AK$2:$AK$167,economics!$AJ$2:$AJ$167,TRUE))*economics!$AM$2:$AM$167))/(SUMPRODUCT((economics!$AG$2:$AG$167=$B48)*(economics!$D$2:$D$167="process")*economics!$AI$2:$AI$167*(_xlfn.NORM.DIST(AB$3,economics!$AK$2:$AK$167,economics!$AJ$2:$AJ$167,TRUE)-_xlfn.NORM.DIST(AB$30,economics!$AK$2:$AK$167,economics!$AJ$2:$AJ$167,TRUE)))),"")</f>
        <v/>
      </c>
      <c r="AC48">
        <f t="array" ref="AC48">IFERROR((SUMPRODUCT((economics!$AG$2:$AG$167=$B48)*(economics!$D$2:$D$167="process")*economics!$AI$2:$AI$167*(_xlfn.NORM.DIST(AC$3,economics!$AK$2:$AK$167,economics!$AJ$2:$AJ$167,TRUE)-_xlfn.NORM.DIST(AC$30,economics!$AK$2:$AK$167,economics!$AJ$2:$AJ$167,TRUE))*economics!$AM$2:$AM$167))/(SUMPRODUCT((economics!$AG$2:$AG$167=$B48)*(economics!$D$2:$D$167="process")*economics!$AI$2:$AI$167*(_xlfn.NORM.DIST(AC$3,economics!$AK$2:$AK$167,economics!$AJ$2:$AJ$167,TRUE)-_xlfn.NORM.DIST(AC$30,economics!$AK$2:$AK$167,economics!$AJ$2:$AJ$167,TRUE)))),"")</f>
        <v/>
      </c>
      <c r="AD48">
        <f t="array" ref="AD48">IFERROR((SUMPRODUCT((economics!$AG$2:$AG$167=$B48)*(economics!$D$2:$D$167="process")*economics!$AI$2:$AI$167*(_xlfn.NORM.DIST(AD$3,economics!$AK$2:$AK$167,economics!$AJ$2:$AJ$167,TRUE)-_xlfn.NORM.DIST(AD$30,economics!$AK$2:$AK$167,economics!$AJ$2:$AJ$167,TRUE))*economics!$AM$2:$AM$167))/(SUMPRODUCT((economics!$AG$2:$AG$167=$B48)*(economics!$D$2:$D$167="process")*economics!$AI$2:$AI$167*(_xlfn.NORM.DIST(AD$3,economics!$AK$2:$AK$167,economics!$AJ$2:$AJ$167,TRUE)-_xlfn.NORM.DIST(AD$30,economics!$AK$2:$AK$167,economics!$AJ$2:$AJ$167,TRUE)))),"")</f>
        <v/>
      </c>
      <c r="AE48">
        <f t="array" ref="AE48">IFERROR((SUMPRODUCT((economics!$AG$2:$AG$167=$B48)*(economics!$D$2:$D$167="process")*economics!$AI$2:$AI$167*(_xlfn.NORM.DIST(AE$3,economics!$AK$2:$AK$167,economics!$AJ$2:$AJ$167,TRUE)-_xlfn.NORM.DIST(AE$30,economics!$AK$2:$AK$167,economics!$AJ$2:$AJ$167,TRUE))*economics!$AM$2:$AM$167))/(SUMPRODUCT((economics!$AG$2:$AG$167=$B48)*(economics!$D$2:$D$167="process")*economics!$AI$2:$AI$167*(_xlfn.NORM.DIST(AE$3,economics!$AK$2:$AK$167,economics!$AJ$2:$AJ$167,TRUE)-_xlfn.NORM.DIST(AE$30,economics!$AK$2:$AK$167,economics!$AJ$2:$AJ$167,TRUE)))),"")</f>
        <v/>
      </c>
      <c r="AF48">
        <f t="array" ref="AF48">IFERROR((SUMPRODUCT((economics!$AG$2:$AG$167=$B48)*(economics!$D$2:$D$167="process")*economics!$AI$2:$AI$167*(_xlfn.NORM.DIST(AF$3,economics!$AK$2:$AK$167,economics!$AJ$2:$AJ$167,TRUE)-_xlfn.NORM.DIST(AF$30,economics!$AK$2:$AK$167,economics!$AJ$2:$AJ$167,TRUE))*economics!$AM$2:$AM$167))/(SUMPRODUCT((economics!$AG$2:$AG$167=$B48)*(economics!$D$2:$D$167="process")*economics!$AI$2:$AI$167*(_xlfn.NORM.DIST(AF$3,economics!$AK$2:$AK$167,economics!$AJ$2:$AJ$167,TRUE)-_xlfn.NORM.DIST(AF$30,economics!$AK$2:$AK$167,economics!$AJ$2:$AJ$167,TRUE)))),"")</f>
        <v/>
      </c>
      <c r="AG48">
        <f t="array" ref="AG48">IFERROR((SUMPRODUCT((economics!$AG$2:$AG$167=$B48)*(economics!$D$2:$D$167="process")*economics!$AI$2:$AI$167*(_xlfn.NORM.DIST(AG$3,economics!$AK$2:$AK$167,economics!$AJ$2:$AJ$167,TRUE)-_xlfn.NORM.DIST(AG$30,economics!$AK$2:$AK$167,economics!$AJ$2:$AJ$167,TRUE))*economics!$AM$2:$AM$167))/(SUMPRODUCT((economics!$AG$2:$AG$167=$B48)*(economics!$D$2:$D$167="process")*economics!$AI$2:$AI$167*(_xlfn.NORM.DIST(AG$3,economics!$AK$2:$AK$167,economics!$AJ$2:$AJ$167,TRUE)-_xlfn.NORM.DIST(AG$30,economics!$AK$2:$AK$167,economics!$AJ$2:$AJ$167,TRUE)))),"")</f>
        <v/>
      </c>
      <c r="AH48">
        <f t="array" ref="AH48">IFERROR((SUMPRODUCT((economics!$AG$2:$AG$167=$B48)*(economics!$D$2:$D$167="process")*economics!$AI$2:$AI$167*(_xlfn.NORM.DIST(AH$3,economics!$AK$2:$AK$167,economics!$AJ$2:$AJ$167,TRUE)-_xlfn.NORM.DIST(AH$30,economics!$AK$2:$AK$167,economics!$AJ$2:$AJ$167,TRUE))*economics!$AM$2:$AM$167))/(SUMPRODUCT((economics!$AG$2:$AG$167=$B48)*(economics!$D$2:$D$167="process")*economics!$AI$2:$AI$167*(_xlfn.NORM.DIST(AH$3,economics!$AK$2:$AK$167,economics!$AJ$2:$AJ$167,TRUE)-_xlfn.NORM.DIST(AH$30,economics!$AK$2:$AK$167,economics!$AJ$2:$AJ$167,TRUE)))),"")</f>
        <v/>
      </c>
      <c r="AI48">
        <f t="array" ref="AI48">IFERROR((SUMPRODUCT((economics!$AG$2:$AG$167=$B48)*(economics!$D$2:$D$167="process")*economics!$AI$2:$AI$167*(_xlfn.NORM.DIST(AI$3,economics!$AK$2:$AK$167,economics!$AJ$2:$AJ$167,TRUE)-_xlfn.NORM.DIST(AI$30,economics!$AK$2:$AK$167,economics!$AJ$2:$AJ$167,TRUE))*economics!$AM$2:$AM$167))/(SUMPRODUCT((economics!$AG$2:$AG$167=$B48)*(economics!$D$2:$D$167="process")*economics!$AI$2:$AI$167*(_xlfn.NORM.DIST(AI$3,economics!$AK$2:$AK$167,economics!$AJ$2:$AJ$167,TRUE)-_xlfn.NORM.DIST(AI$30,economics!$AK$2:$AK$167,economics!$AJ$2:$AJ$167,TRUE)))),"")</f>
        <v/>
      </c>
      <c r="AJ48">
        <f t="array" ref="AJ48">IFERROR((SUMPRODUCT((economics!$AG$2:$AG$167=$B48)*(economics!$D$2:$D$167="process")*economics!$AI$2:$AI$167*(_xlfn.NORM.DIST(AJ$3,economics!$AK$2:$AK$167,economics!$AJ$2:$AJ$167,TRUE)-_xlfn.NORM.DIST(AJ$30,economics!$AK$2:$AK$167,economics!$AJ$2:$AJ$167,TRUE))*economics!$AM$2:$AM$167))/(SUMPRODUCT((economics!$AG$2:$AG$167=$B48)*(economics!$D$2:$D$167="process")*economics!$AI$2:$AI$167*(_xlfn.NORM.DIST(AJ$3,economics!$AK$2:$AK$167,economics!$AJ$2:$AJ$167,TRUE)-_xlfn.NORM.DIST(AJ$30,economics!$AK$2:$AK$167,economics!$AJ$2:$AJ$167,TRUE)))),"")</f>
        <v/>
      </c>
      <c r="AK48">
        <f t="array" ref="AK48">IFERROR((SUMPRODUCT((economics!$AG$2:$AG$167=$B48)*(economics!$D$2:$D$167="process")*economics!$AI$2:$AI$167*(_xlfn.NORM.DIST(AK$3,economics!$AK$2:$AK$167,economics!$AJ$2:$AJ$167,TRUE)-_xlfn.NORM.DIST(AK$30,economics!$AK$2:$AK$167,economics!$AJ$2:$AJ$167,TRUE))*economics!$AM$2:$AM$167))/(SUMPRODUCT((economics!$AG$2:$AG$167=$B48)*(economics!$D$2:$D$167="process")*economics!$AI$2:$AI$167*(_xlfn.NORM.DIST(AK$3,economics!$AK$2:$AK$167,economics!$AJ$2:$AJ$167,TRUE)-_xlfn.NORM.DIST(AK$30,economics!$AK$2:$AK$167,economics!$AJ$2:$AJ$167,TRUE)))),"")</f>
        <v/>
      </c>
      <c r="AL48">
        <f t="array" ref="AL48">IFERROR((SUMPRODUCT((economics!$AG$2:$AG$167=$B48)*(economics!$D$2:$D$167="process")*economics!$AI$2:$AI$167*(_xlfn.NORM.DIST(AL$3,economics!$AK$2:$AK$167,economics!$AJ$2:$AJ$167,TRUE)-_xlfn.NORM.DIST(AL$30,economics!$AK$2:$AK$167,economics!$AJ$2:$AJ$167,TRUE))*economics!$AM$2:$AM$167))/(SUMPRODUCT((economics!$AG$2:$AG$167=$B48)*(economics!$D$2:$D$167="process")*economics!$AI$2:$AI$167*(_xlfn.NORM.DIST(AL$3,economics!$AK$2:$AK$167,economics!$AJ$2:$AJ$167,TRUE)-_xlfn.NORM.DIST(AL$30,economics!$AK$2:$AK$167,economics!$AJ$2:$AJ$167,TRUE)))),"")</f>
        <v/>
      </c>
      <c r="AM48">
        <f t="array" ref="AM48">IFERROR((SUMPRODUCT((economics!$AG$2:$AG$167=$B48)*(economics!$D$2:$D$167="process")*economics!$AI$2:$AI$167*(_xlfn.NORM.DIST(AM$3,economics!$AK$2:$AK$167,economics!$AJ$2:$AJ$167,TRUE)-_xlfn.NORM.DIST(AM$30,economics!$AK$2:$AK$167,economics!$AJ$2:$AJ$167,TRUE))*economics!$AM$2:$AM$167))/(SUMPRODUCT((economics!$AG$2:$AG$167=$B48)*(economics!$D$2:$D$167="process")*economics!$AI$2:$AI$167*(_xlfn.NORM.DIST(AM$3,economics!$AK$2:$AK$167,economics!$AJ$2:$AJ$167,TRUE)-_xlfn.NORM.DIST(AM$30,economics!$AK$2:$AK$167,economics!$AJ$2:$AJ$167,TRUE)))),"")</f>
        <v/>
      </c>
      <c r="AN48">
        <f t="array" ref="AN48">IFERROR((SUMPRODUCT((economics!$AG$2:$AG$167=$B48)*(economics!$D$2:$D$167="process")*economics!$AI$2:$AI$167*(_xlfn.NORM.DIST(AN$3,economics!$AK$2:$AK$167,economics!$AJ$2:$AJ$167,TRUE)-_xlfn.NORM.DIST(AN$30,economics!$AK$2:$AK$167,economics!$AJ$2:$AJ$167,TRUE))*economics!$AM$2:$AM$167))/(SUMPRODUCT((economics!$AG$2:$AG$167=$B48)*(economics!$D$2:$D$167="process")*economics!$AI$2:$AI$167*(_xlfn.NORM.DIST(AN$3,economics!$AK$2:$AK$167,economics!$AJ$2:$AJ$167,TRUE)-_xlfn.NORM.DIST(AN$30,economics!$AK$2:$AK$167,economics!$AJ$2:$AJ$167,TRUE)))),"")</f>
        <v/>
      </c>
      <c r="AO48">
        <f t="array" ref="AO48">IFERROR((SUMPRODUCT((economics!$AG$2:$AG$167=$B48)*(economics!$D$2:$D$167="process")*economics!$AI$2:$AI$167*(_xlfn.NORM.DIST(AO$3,economics!$AK$2:$AK$167,economics!$AJ$2:$AJ$167,TRUE)-_xlfn.NORM.DIST(AO$30,economics!$AK$2:$AK$167,economics!$AJ$2:$AJ$167,TRUE))*economics!$AM$2:$AM$167))/(SUMPRODUCT((economics!$AG$2:$AG$167=$B48)*(economics!$D$2:$D$167="process")*economics!$AI$2:$AI$167*(_xlfn.NORM.DIST(AO$3,economics!$AK$2:$AK$167,economics!$AJ$2:$AJ$167,TRUE)-_xlfn.NORM.DIST(AO$30,economics!$AK$2:$AK$167,economics!$AJ$2:$AJ$167,TRUE)))),"")</f>
        <v/>
      </c>
      <c r="AP48">
        <f t="array" ref="AP48">IFERROR((SUMPRODUCT((economics!$AG$2:$AG$167=$B48)*(economics!$D$2:$D$167="process")*economics!$AI$2:$AI$167*(_xlfn.NORM.DIST(AP$3,economics!$AK$2:$AK$167,economics!$AJ$2:$AJ$167,TRUE)-_xlfn.NORM.DIST(AP$30,economics!$AK$2:$AK$167,economics!$AJ$2:$AJ$167,TRUE))*economics!$AM$2:$AM$167))/(SUMPRODUCT((economics!$AG$2:$AG$167=$B48)*(economics!$D$2:$D$167="process")*economics!$AI$2:$AI$167*(_xlfn.NORM.DIST(AP$3,economics!$AK$2:$AK$167,economics!$AJ$2:$AJ$167,TRUE)-_xlfn.NORM.DIST(AP$30,economics!$AK$2:$AK$167,economics!$AJ$2:$AJ$167,TRUE)))),"")</f>
        <v/>
      </c>
      <c r="AQ48">
        <f t="array" ref="AQ48">IFERROR((SUMPRODUCT((economics!$AG$2:$AG$167=$B48)*(economics!$D$2:$D$167="process")*economics!$AI$2:$AI$167*(_xlfn.NORM.DIST(AQ$3,economics!$AK$2:$AK$167,economics!$AJ$2:$AJ$167,TRUE)-_xlfn.NORM.DIST(AQ$30,economics!$AK$2:$AK$167,economics!$AJ$2:$AJ$167,TRUE))*economics!$AM$2:$AM$167))/(SUMPRODUCT((economics!$AG$2:$AG$167=$B48)*(economics!$D$2:$D$167="process")*economics!$AI$2:$AI$167*(_xlfn.NORM.DIST(AQ$3,economics!$AK$2:$AK$167,economics!$AJ$2:$AJ$167,TRUE)-_xlfn.NORM.DIST(AQ$30,economics!$AK$2:$AK$167,economics!$AJ$2:$AJ$167,TRUE)))),"")</f>
        <v/>
      </c>
      <c r="AR48">
        <f t="array" ref="AR48">IFERROR((SUMPRODUCT((economics!$AG$2:$AG$167=$B48)*(economics!$D$2:$D$167="process")*economics!$AI$2:$AI$167*(_xlfn.NORM.DIST(AR$3,economics!$AK$2:$AK$167,economics!$AJ$2:$AJ$167,TRUE)-_xlfn.NORM.DIST(AR$30,economics!$AK$2:$AK$167,economics!$AJ$2:$AJ$167,TRUE))*economics!$AM$2:$AM$167))/(SUMPRODUCT((economics!$AG$2:$AG$167=$B48)*(economics!$D$2:$D$167="process")*economics!$AI$2:$AI$167*(_xlfn.NORM.DIST(AR$3,economics!$AK$2:$AK$167,economics!$AJ$2:$AJ$167,TRUE)-_xlfn.NORM.DIST(AR$30,economics!$AK$2:$AK$167,economics!$AJ$2:$AJ$167,TRUE)))),"")</f>
        <v/>
      </c>
      <c r="AS48">
        <f t="array" ref="AS48">IFERROR((SUMPRODUCT((economics!$AG$2:$AG$167=$B48)*(economics!$D$2:$D$167="process")*economics!$AI$2:$AI$167*(_xlfn.NORM.DIST(AS$3,economics!$AK$2:$AK$167,economics!$AJ$2:$AJ$167,TRUE)-_xlfn.NORM.DIST(AS$30,economics!$AK$2:$AK$167,economics!$AJ$2:$AJ$167,TRUE))*economics!$AM$2:$AM$167))/(SUMPRODUCT((economics!$AG$2:$AG$167=$B48)*(economics!$D$2:$D$167="process")*economics!$AI$2:$AI$167*(_xlfn.NORM.DIST(AS$3,economics!$AK$2:$AK$167,economics!$AJ$2:$AJ$167,TRUE)-_xlfn.NORM.DIST(AS$30,economics!$AK$2:$AK$167,economics!$AJ$2:$AJ$167,TRUE)))),"")</f>
        <v/>
      </c>
      <c r="AT48">
        <f t="array" ref="AT48">IFERROR((SUMPRODUCT((economics!$AG$2:$AG$167=$B48)*(economics!$D$2:$D$167="process")*economics!$AI$2:$AI$167*(_xlfn.NORM.DIST(AT$3,economics!$AK$2:$AK$167,economics!$AJ$2:$AJ$167,TRUE)-_xlfn.NORM.DIST(AT$30,economics!$AK$2:$AK$167,economics!$AJ$2:$AJ$167,TRUE))*economics!$AM$2:$AM$167))/(SUMPRODUCT((economics!$AG$2:$AG$167=$B48)*(economics!$D$2:$D$167="process")*economics!$AI$2:$AI$167*(_xlfn.NORM.DIST(AT$3,economics!$AK$2:$AK$167,economics!$AJ$2:$AJ$167,TRUE)-_xlfn.NORM.DIST(AT$30,economics!$AK$2:$AK$167,economics!$AJ$2:$AJ$167,TRUE)))),"")</f>
        <v/>
      </c>
      <c r="AU48">
        <f t="array" ref="AU48">IFERROR((SUMPRODUCT((economics!$AG$2:$AG$167=$B48)*(economics!$D$2:$D$167="process")*economics!$AI$2:$AI$167*(_xlfn.NORM.DIST(AU$3,economics!$AK$2:$AK$167,economics!$AJ$2:$AJ$167,TRUE)-_xlfn.NORM.DIST(AU$30,economics!$AK$2:$AK$167,economics!$AJ$2:$AJ$167,TRUE))*economics!$AM$2:$AM$167))/(SUMPRODUCT((economics!$AG$2:$AG$167=$B48)*(economics!$D$2:$D$167="process")*economics!$AI$2:$AI$167*(_xlfn.NORM.DIST(AU$3,economics!$AK$2:$AK$167,economics!$AJ$2:$AJ$167,TRUE)-_xlfn.NORM.DIST(AU$30,economics!$AK$2:$AK$167,economics!$AJ$2:$AJ$167,TRUE)))),"")</f>
        <v/>
      </c>
      <c r="AV48">
        <f t="array" ref="AV48">IFERROR((SUMPRODUCT((economics!$AG$2:$AG$167=$B48)*(economics!$D$2:$D$167="process")*economics!$AI$2:$AI$167*(_xlfn.NORM.DIST(AV$3,economics!$AK$2:$AK$167,economics!$AJ$2:$AJ$167,TRUE)-_xlfn.NORM.DIST(AV$30,economics!$AK$2:$AK$167,economics!$AJ$2:$AJ$167,TRUE))*economics!$AM$2:$AM$167))/(SUMPRODUCT((economics!$AG$2:$AG$167=$B48)*(economics!$D$2:$D$167="process")*economics!$AI$2:$AI$167*(_xlfn.NORM.DIST(AV$3,economics!$AK$2:$AK$167,economics!$AJ$2:$AJ$167,TRUE)-_xlfn.NORM.DIST(AV$30,economics!$AK$2:$AK$167,economics!$AJ$2:$AJ$167,TRUE)))),"")</f>
        <v/>
      </c>
      <c r="AW48">
        <f t="array" ref="AW48">IFERROR((SUMPRODUCT((economics!$AG$2:$AG$167=$B48)*(economics!$D$2:$D$167="process")*economics!$AI$2:$AI$167*(_xlfn.NORM.DIST(AW$3,economics!$AK$2:$AK$167,economics!$AJ$2:$AJ$167,TRUE)-_xlfn.NORM.DIST(AW$30,economics!$AK$2:$AK$167,economics!$AJ$2:$AJ$167,TRUE))*economics!$AM$2:$AM$167))/(SUMPRODUCT((economics!$AG$2:$AG$167=$B48)*(economics!$D$2:$D$167="process")*economics!$AI$2:$AI$167*(_xlfn.NORM.DIST(AW$3,economics!$AK$2:$AK$167,economics!$AJ$2:$AJ$167,TRUE)-_xlfn.NORM.DIST(AW$30,economics!$AK$2:$AK$167,economics!$AJ$2:$AJ$167,TRUE)))),"")</f>
        <v/>
      </c>
      <c r="AX48">
        <f t="array" ref="AX48">IFERROR((SUMPRODUCT((economics!$AG$2:$AG$167=$B48)*(economics!$D$2:$D$167="process")*economics!$AI$2:$AI$167*(_xlfn.NORM.DIST(AX$3,economics!$AK$2:$AK$167,economics!$AJ$2:$AJ$167,TRUE)-_xlfn.NORM.DIST(AX$30,economics!$AK$2:$AK$167,economics!$AJ$2:$AJ$167,TRUE))*economics!$AM$2:$AM$167))/(SUMPRODUCT((economics!$AG$2:$AG$167=$B48)*(economics!$D$2:$D$167="process")*economics!$AI$2:$AI$167*(_xlfn.NORM.DIST(AX$3,economics!$AK$2:$AK$167,economics!$AJ$2:$AJ$167,TRUE)-_xlfn.NORM.DIST(AX$30,economics!$AK$2:$AK$167,economics!$AJ$2:$AJ$167,TRUE)))),"")</f>
        <v/>
      </c>
      <c r="AY48">
        <f t="array" ref="AY48">IFERROR((SUMPRODUCT((economics!$AG$2:$AG$167=$B48)*(economics!$D$2:$D$167="process")*economics!$AI$2:$AI$167*(_xlfn.NORM.DIST(AY$3,economics!$AK$2:$AK$167,economics!$AJ$2:$AJ$167,TRUE)-_xlfn.NORM.DIST(AY$30,economics!$AK$2:$AK$167,economics!$AJ$2:$AJ$167,TRUE))*economics!$AM$2:$AM$167))/(SUMPRODUCT((economics!$AG$2:$AG$167=$B48)*(economics!$D$2:$D$167="process")*economics!$AI$2:$AI$167*(_xlfn.NORM.DIST(AY$3,economics!$AK$2:$AK$167,economics!$AJ$2:$AJ$167,TRUE)-_xlfn.NORM.DIST(AY$30,economics!$AK$2:$AK$167,economics!$AJ$2:$AJ$167,TRUE)))),"")</f>
        <v/>
      </c>
      <c r="AZ48">
        <f t="array" ref="AZ48">IFERROR((SUMPRODUCT((economics!$AG$2:$AG$167=$B48)*(economics!$D$2:$D$167="process")*economics!$AI$2:$AI$167*(_xlfn.NORM.DIST(AZ$3,economics!$AK$2:$AK$167,economics!$AJ$2:$AJ$167,TRUE)-_xlfn.NORM.DIST(AZ$30,economics!$AK$2:$AK$167,economics!$AJ$2:$AJ$167,TRUE))*economics!$AM$2:$AM$167))/(SUMPRODUCT((economics!$AG$2:$AG$167=$B48)*(economics!$D$2:$D$167="process")*economics!$AI$2:$AI$167*(_xlfn.NORM.DIST(AZ$3,economics!$AK$2:$AK$167,economics!$AJ$2:$AJ$167,TRUE)-_xlfn.NORM.DIST(AZ$30,economics!$AK$2:$AK$167,economics!$AJ$2:$AJ$167,TRUE)))),"")</f>
        <v/>
      </c>
      <c r="BA48">
        <f t="array" ref="BA48">IFERROR((SUMPRODUCT((economics!$AG$2:$AG$167=$B48)*(economics!$D$2:$D$167="process")*economics!$AI$2:$AI$167*(_xlfn.NORM.DIST(BA$3,economics!$AK$2:$AK$167,economics!$AJ$2:$AJ$167,TRUE)-_xlfn.NORM.DIST(BA$30,economics!$AK$2:$AK$167,economics!$AJ$2:$AJ$167,TRUE))*economics!$AM$2:$AM$167))/(SUMPRODUCT((economics!$AG$2:$AG$167=$B48)*(economics!$D$2:$D$167="process")*economics!$AI$2:$AI$167*(_xlfn.NORM.DIST(BA$3,economics!$AK$2:$AK$167,economics!$AJ$2:$AJ$167,TRUE)-_xlfn.NORM.DIST(BA$30,economics!$AK$2:$AK$167,economics!$AJ$2:$AJ$167,TRUE)))),"")</f>
        <v/>
      </c>
      <c r="BB48">
        <f t="array" ref="BB48">IFERROR((SUMPRODUCT((economics!$AG$2:$AG$167=$B48)*(economics!$D$2:$D$167="process")*economics!$AI$2:$AI$167*(_xlfn.NORM.DIST(BB$3,economics!$AK$2:$AK$167,economics!$AJ$2:$AJ$167,TRUE)-_xlfn.NORM.DIST(BB$30,economics!$AK$2:$AK$167,economics!$AJ$2:$AJ$167,TRUE))*economics!$AM$2:$AM$167))/(SUMPRODUCT((economics!$AG$2:$AG$167=$B48)*(economics!$D$2:$D$167="process")*economics!$AI$2:$AI$167*(_xlfn.NORM.DIST(BB$3,economics!$AK$2:$AK$167,economics!$AJ$2:$AJ$167,TRUE)-_xlfn.NORM.DIST(BB$30,economics!$AK$2:$AK$167,economics!$AJ$2:$AJ$167,TRUE)))),"")</f>
        <v/>
      </c>
      <c r="BC48">
        <f t="array" ref="BC48">IFERROR((SUMPRODUCT((economics!$AG$2:$AG$167=$B48)*(economics!$D$2:$D$167="process")*economics!$AI$2:$AI$167*(_xlfn.NORM.DIST(BC$3,economics!$AK$2:$AK$167,economics!$AJ$2:$AJ$167,TRUE)-_xlfn.NORM.DIST(BC$30,economics!$AK$2:$AK$167,economics!$AJ$2:$AJ$167,TRUE))*economics!$AM$2:$AM$167))/(SUMPRODUCT((economics!$AG$2:$AG$167=$B48)*(economics!$D$2:$D$167="process")*economics!$AI$2:$AI$167*(_xlfn.NORM.DIST(BC$3,economics!$AK$2:$AK$167,economics!$AJ$2:$AJ$167,TRUE)-_xlfn.NORM.DIST(BC$30,economics!$AK$2:$AK$167,economics!$AJ$2:$AJ$167,TRUE)))),"")</f>
        <v/>
      </c>
      <c r="BD48">
        <f t="array" ref="BD48">IFERROR((SUMPRODUCT((economics!$AG$2:$AG$167=$B48)*(economics!$D$2:$D$167="process")*economics!$AI$2:$AI$167*(_xlfn.NORM.DIST(BD$3,economics!$AK$2:$AK$167,economics!$AJ$2:$AJ$167,TRUE)-_xlfn.NORM.DIST(BD$30,economics!$AK$2:$AK$167,economics!$AJ$2:$AJ$167,TRUE))*economics!$AM$2:$AM$167))/(SUMPRODUCT((economics!$AG$2:$AG$167=$B48)*(economics!$D$2:$D$167="process")*economics!$AI$2:$AI$167*(_xlfn.NORM.DIST(BD$3,economics!$AK$2:$AK$167,economics!$AJ$2:$AJ$167,TRUE)-_xlfn.NORM.DIST(BD$30,economics!$AK$2:$AK$167,economics!$AJ$2:$AJ$167,TRUE)))),"")</f>
        <v/>
      </c>
      <c r="BE48">
        <f t="array" ref="BE48">IFERROR((SUMPRODUCT((economics!$AG$2:$AG$167=$B48)*(economics!$D$2:$D$167="process")*economics!$AI$2:$AI$167*(_xlfn.NORM.DIST(BE$3,economics!$AK$2:$AK$167,economics!$AJ$2:$AJ$167,TRUE)-_xlfn.NORM.DIST(BE$30,economics!$AK$2:$AK$167,economics!$AJ$2:$AJ$167,TRUE))*economics!$AM$2:$AM$167))/(SUMPRODUCT((economics!$AG$2:$AG$167=$B48)*(economics!$D$2:$D$167="process")*economics!$AI$2:$AI$167*(_xlfn.NORM.DIST(BE$3,economics!$AK$2:$AK$167,economics!$AJ$2:$AJ$167,TRUE)-_xlfn.NORM.DIST(BE$30,economics!$AK$2:$AK$167,economics!$AJ$2:$AJ$167,TRUE)))),"")</f>
        <v/>
      </c>
      <c r="BF48">
        <f t="array" ref="BF48">IFERROR((SUMPRODUCT((economics!$AG$2:$AG$167=$B48)*(economics!$D$2:$D$167="process")*economics!$AI$2:$AI$167*(_xlfn.NORM.DIST(BF$3,economics!$AK$2:$AK$167,economics!$AJ$2:$AJ$167,TRUE)-_xlfn.NORM.DIST(BF$30,economics!$AK$2:$AK$167,economics!$AJ$2:$AJ$167,TRUE))*economics!$AM$2:$AM$167))/(SUMPRODUCT((economics!$AG$2:$AG$167=$B48)*(economics!$D$2:$D$167="process")*economics!$AI$2:$AI$167*(_xlfn.NORM.DIST(BF$3,economics!$AK$2:$AK$167,economics!$AJ$2:$AJ$167,TRUE)-_xlfn.NORM.DIST(BF$30,economics!$AK$2:$AK$167,economics!$AJ$2:$AJ$167,TRUE)))),"")</f>
        <v/>
      </c>
      <c r="BG48">
        <f t="array" ref="BG48">IFERROR((SUMPRODUCT((economics!$AG$2:$AG$167=$B48)*(economics!$D$2:$D$167="process")*economics!$AI$2:$AI$167*(_xlfn.NORM.DIST(BG$3,economics!$AK$2:$AK$167,economics!$AJ$2:$AJ$167,TRUE)-_xlfn.NORM.DIST(BG$30,economics!$AK$2:$AK$167,economics!$AJ$2:$AJ$167,TRUE))*economics!$AM$2:$AM$167))/(SUMPRODUCT((economics!$AG$2:$AG$167=$B48)*(economics!$D$2:$D$167="process")*economics!$AI$2:$AI$167*(_xlfn.NORM.DIST(BG$3,economics!$AK$2:$AK$167,economics!$AJ$2:$AJ$167,TRUE)-_xlfn.NORM.DIST(BG$30,economics!$AK$2:$AK$167,economics!$AJ$2:$AJ$167,TRUE)))),"")</f>
        <v/>
      </c>
      <c r="BH48">
        <f t="array" ref="BH48">IFERROR((SUMPRODUCT((economics!$AG$2:$AG$167=$B48)*(economics!$D$2:$D$167="process")*economics!$AI$2:$AI$167*(_xlfn.NORM.DIST(BH$3,economics!$AK$2:$AK$167,economics!$AJ$2:$AJ$167,TRUE)-_xlfn.NORM.DIST(BH$30,economics!$AK$2:$AK$167,economics!$AJ$2:$AJ$167,TRUE))*economics!$AM$2:$AM$167))/(SUMPRODUCT((economics!$AG$2:$AG$167=$B48)*(economics!$D$2:$D$167="process")*economics!$AI$2:$AI$167*(_xlfn.NORM.DIST(BH$3,economics!$AK$2:$AK$167,economics!$AJ$2:$AJ$167,TRUE)-_xlfn.NORM.DIST(BH$30,economics!$AK$2:$AK$167,economics!$AJ$2:$AJ$167,TRUE)))),"")</f>
        <v/>
      </c>
      <c r="BI48">
        <f t="array" ref="BI48">IFERROR((SUMPRODUCT((economics!$AG$2:$AG$167=$B48)*(economics!$D$2:$D$167="process")*economics!$AI$2:$AI$167*(_xlfn.NORM.DIST(BI$3,economics!$AK$2:$AK$167,economics!$AJ$2:$AJ$167,TRUE)-_xlfn.NORM.DIST(BI$30,economics!$AK$2:$AK$167,economics!$AJ$2:$AJ$167,TRUE))*economics!$AM$2:$AM$167))/(SUMPRODUCT((economics!$AG$2:$AG$167=$B48)*(economics!$D$2:$D$167="process")*economics!$AI$2:$AI$167*(_xlfn.NORM.DIST(BI$3,economics!$AK$2:$AK$167,economics!$AJ$2:$AJ$167,TRUE)-_xlfn.NORM.DIST(BI$30,economics!$AK$2:$AK$167,economics!$AJ$2:$AJ$167,TRUE)))),"")</f>
        <v/>
      </c>
      <c r="BJ48">
        <f t="array" ref="BJ48">IFERROR((SUMPRODUCT((economics!$AG$2:$AG$167=$B48)*(economics!$D$2:$D$167="process")*economics!$AI$2:$AI$167*(_xlfn.NORM.DIST(BJ$3,economics!$AK$2:$AK$167,economics!$AJ$2:$AJ$167,TRUE)-_xlfn.NORM.DIST(BJ$30,economics!$AK$2:$AK$167,economics!$AJ$2:$AJ$167,TRUE))*economics!$AM$2:$AM$167))/(SUMPRODUCT((economics!$AG$2:$AG$167=$B48)*(economics!$D$2:$D$167="process")*economics!$AI$2:$AI$167*(_xlfn.NORM.DIST(BJ$3,economics!$AK$2:$AK$167,economics!$AJ$2:$AJ$167,TRUE)-_xlfn.NORM.DIST(BJ$30,economics!$AK$2:$AK$167,economics!$AJ$2:$AJ$167,TRUE)))),"")</f>
        <v/>
      </c>
      <c r="BK48">
        <f t="array" ref="BK48">IFERROR((SUMPRODUCT((economics!$AG$2:$AG$167=$B48)*(economics!$D$2:$D$167="process")*economics!$AI$2:$AI$167*(_xlfn.NORM.DIST(BK$3,economics!$AK$2:$AK$167,economics!$AJ$2:$AJ$167,TRUE)-_xlfn.NORM.DIST(BK$30,economics!$AK$2:$AK$167,economics!$AJ$2:$AJ$167,TRUE))*economics!$AM$2:$AM$167))/(SUMPRODUCT((economics!$AG$2:$AG$167=$B48)*(economics!$D$2:$D$167="process")*economics!$AI$2:$AI$167*(_xlfn.NORM.DIST(BK$3,economics!$AK$2:$AK$167,economics!$AJ$2:$AJ$167,TRUE)-_xlfn.NORM.DIST(BK$30,economics!$AK$2:$AK$167,economics!$AJ$2:$AJ$167,TRUE)))),"")</f>
        <v/>
      </c>
      <c r="BL48">
        <f t="array" ref="BL48">IFERROR((SUMPRODUCT((economics!$AG$2:$AG$167=$B48)*(economics!$D$2:$D$167="process")*economics!$AI$2:$AI$167*(_xlfn.NORM.DIST(BL$3,economics!$AK$2:$AK$167,economics!$AJ$2:$AJ$167,TRUE)-_xlfn.NORM.DIST(BL$30,economics!$AK$2:$AK$167,economics!$AJ$2:$AJ$167,TRUE))*economics!$AM$2:$AM$167))/(SUMPRODUCT((economics!$AG$2:$AG$167=$B48)*(economics!$D$2:$D$167="process")*economics!$AI$2:$AI$167*(_xlfn.NORM.DIST(BL$3,economics!$AK$2:$AK$167,economics!$AJ$2:$AJ$167,TRUE)-_xlfn.NORM.DIST(BL$30,economics!$AK$2:$AK$167,economics!$AJ$2:$AJ$167,TRUE)))),"")</f>
        <v/>
      </c>
      <c r="BM48">
        <f t="array" ref="BM48">IFERROR((SUMPRODUCT((economics!$AG$2:$AG$167=$B48)*(economics!$D$2:$D$167="process")*economics!$AI$2:$AI$167*(_xlfn.NORM.DIST(BM$3,economics!$AK$2:$AK$167,economics!$AJ$2:$AJ$167,TRUE)-_xlfn.NORM.DIST(BM$30,economics!$AK$2:$AK$167,economics!$AJ$2:$AJ$167,TRUE))*economics!$AM$2:$AM$167))/(SUMPRODUCT((economics!$AG$2:$AG$167=$B48)*(economics!$D$2:$D$167="process")*economics!$AI$2:$AI$167*(_xlfn.NORM.DIST(BM$3,economics!$AK$2:$AK$167,economics!$AJ$2:$AJ$167,TRUE)-_xlfn.NORM.DIST(BM$30,economics!$AK$2:$AK$167,economics!$AJ$2:$AJ$167,TRUE)))),"")</f>
        <v/>
      </c>
      <c r="BN48">
        <f t="array" ref="BN48">IFERROR((SUMPRODUCT((economics!$AG$2:$AG$167=$B48)*(economics!$D$2:$D$167="process")*economics!$AI$2:$AI$167*(_xlfn.NORM.DIST(BN$3,economics!$AK$2:$AK$167,economics!$AJ$2:$AJ$167,TRUE)-_xlfn.NORM.DIST(BN$30,economics!$AK$2:$AK$167,economics!$AJ$2:$AJ$167,TRUE))*economics!$AM$2:$AM$167))/(SUMPRODUCT((economics!$AG$2:$AG$167=$B48)*(economics!$D$2:$D$167="process")*economics!$AI$2:$AI$167*(_xlfn.NORM.DIST(BN$3,economics!$AK$2:$AK$167,economics!$AJ$2:$AJ$167,TRUE)-_xlfn.NORM.DIST(BN$30,economics!$AK$2:$AK$167,economics!$AJ$2:$AJ$167,TRUE)))),"")</f>
        <v/>
      </c>
      <c r="BO48">
        <f t="array" ref="BO48">IFERROR((SUMPRODUCT((economics!$AG$2:$AG$167=$B48)*(economics!$D$2:$D$167="process")*economics!$AI$2:$AI$167*(_xlfn.NORM.DIST(BO$3,economics!$AK$2:$AK$167,economics!$AJ$2:$AJ$167,TRUE)-_xlfn.NORM.DIST(BO$30,economics!$AK$2:$AK$167,economics!$AJ$2:$AJ$167,TRUE))*economics!$AM$2:$AM$167))/(SUMPRODUCT((economics!$AG$2:$AG$167=$B48)*(economics!$D$2:$D$167="process")*economics!$AI$2:$AI$167*(_xlfn.NORM.DIST(BO$3,economics!$AK$2:$AK$167,economics!$AJ$2:$AJ$167,TRUE)-_xlfn.NORM.DIST(BO$30,economics!$AK$2:$AK$167,economics!$AJ$2:$AJ$167,TRUE)))),"")</f>
        <v/>
      </c>
      <c r="BP48">
        <f t="array" ref="BP48">IFERROR((SUMPRODUCT((economics!$AG$2:$AG$167=$B48)*(economics!$D$2:$D$167="process")*economics!$AI$2:$AI$167*(_xlfn.NORM.DIST(BP$3,economics!$AK$2:$AK$167,economics!$AJ$2:$AJ$167,TRUE)-_xlfn.NORM.DIST(BP$30,economics!$AK$2:$AK$167,economics!$AJ$2:$AJ$167,TRUE))*economics!$AM$2:$AM$167))/(SUMPRODUCT((economics!$AG$2:$AG$167=$B48)*(economics!$D$2:$D$167="process")*economics!$AI$2:$AI$167*(_xlfn.NORM.DIST(BP$3,economics!$AK$2:$AK$167,economics!$AJ$2:$AJ$167,TRUE)-_xlfn.NORM.DIST(BP$30,economics!$AK$2:$AK$167,economics!$AJ$2:$AJ$167,TRUE)))),"")</f>
        <v/>
      </c>
      <c r="BQ48">
        <f t="array" ref="BQ48">IFERROR((SUMPRODUCT((economics!$AG$2:$AG$167=$B48)*(economics!$D$2:$D$167="process")*economics!$AI$2:$AI$167*(_xlfn.NORM.DIST(BQ$3,economics!$AK$2:$AK$167,economics!$AJ$2:$AJ$167,TRUE)-_xlfn.NORM.DIST(BQ$30,economics!$AK$2:$AK$167,economics!$AJ$2:$AJ$167,TRUE))*economics!$AM$2:$AM$167))/(SUMPRODUCT((economics!$AG$2:$AG$167=$B48)*(economics!$D$2:$D$167="process")*economics!$AI$2:$AI$167*(_xlfn.NORM.DIST(BQ$3,economics!$AK$2:$AK$167,economics!$AJ$2:$AJ$167,TRUE)-_xlfn.NORM.DIST(BQ$30,economics!$AK$2:$AK$167,economics!$AJ$2:$AJ$167,TRUE)))),"")</f>
        <v/>
      </c>
      <c r="BR48">
        <f t="array" ref="BR48">IFERROR((SUMPRODUCT((economics!$AG$2:$AG$167=$B48)*(economics!$D$2:$D$167="process")*economics!$AI$2:$AI$167*(_xlfn.NORM.DIST(BR$3,economics!$AK$2:$AK$167,economics!$AJ$2:$AJ$167,TRUE)-_xlfn.NORM.DIST(BR$30,economics!$AK$2:$AK$167,economics!$AJ$2:$AJ$167,TRUE))*economics!$AM$2:$AM$167))/(SUMPRODUCT((economics!$AG$2:$AG$167=$B48)*(economics!$D$2:$D$167="process")*economics!$AI$2:$AI$167*(_xlfn.NORM.DIST(BR$3,economics!$AK$2:$AK$167,economics!$AJ$2:$AJ$167,TRUE)-_xlfn.NORM.DIST(BR$30,economics!$AK$2:$AK$167,economics!$AJ$2:$AJ$167,TRUE)))),"")</f>
        <v/>
      </c>
      <c r="BS48">
        <f t="array" ref="BS48">IFERROR((SUMPRODUCT((economics!$AG$2:$AG$167=$B48)*(economics!$D$2:$D$167="process")*economics!$AI$2:$AI$167*(_xlfn.NORM.DIST(BS$3,economics!$AK$2:$AK$167,economics!$AJ$2:$AJ$167,TRUE)-_xlfn.NORM.DIST(BS$30,economics!$AK$2:$AK$167,economics!$AJ$2:$AJ$167,TRUE))*economics!$AM$2:$AM$167))/(SUMPRODUCT((economics!$AG$2:$AG$167=$B48)*(economics!$D$2:$D$167="process")*economics!$AI$2:$AI$167*(_xlfn.NORM.DIST(BS$3,economics!$AK$2:$AK$167,economics!$AJ$2:$AJ$167,TRUE)-_xlfn.NORM.DIST(BS$30,economics!$AK$2:$AK$167,economics!$AJ$2:$AJ$167,TRUE)))),"")</f>
        <v/>
      </c>
      <c r="BT48">
        <f t="array" ref="BT48">IFERROR((SUMPRODUCT((economics!$AG$2:$AG$167=$B48)*(economics!$D$2:$D$167="process")*economics!$AI$2:$AI$167*(_xlfn.NORM.DIST(BT$3,economics!$AK$2:$AK$167,economics!$AJ$2:$AJ$167,TRUE)-_xlfn.NORM.DIST(BT$30,economics!$AK$2:$AK$167,economics!$AJ$2:$AJ$167,TRUE))*economics!$AM$2:$AM$167))/(SUMPRODUCT((economics!$AG$2:$AG$167=$B48)*(economics!$D$2:$D$167="process")*economics!$AI$2:$AI$167*(_xlfn.NORM.DIST(BT$3,economics!$AK$2:$AK$167,economics!$AJ$2:$AJ$167,TRUE)-_xlfn.NORM.DIST(BT$30,economics!$AK$2:$AK$167,economics!$AJ$2:$AJ$167,TRUE)))),"")</f>
        <v/>
      </c>
      <c r="BU48">
        <f t="array" ref="BU48">IFERROR((SUMPRODUCT((economics!$AG$2:$AG$167=$B48)*(economics!$D$2:$D$167="process")*economics!$AI$2:$AI$167*(_xlfn.NORM.DIST(BU$3,economics!$AK$2:$AK$167,economics!$AJ$2:$AJ$167,TRUE)-_xlfn.NORM.DIST(BU$30,economics!$AK$2:$AK$167,economics!$AJ$2:$AJ$167,TRUE))*economics!$AM$2:$AM$167))/(SUMPRODUCT((economics!$AG$2:$AG$167=$B48)*(economics!$D$2:$D$167="process")*economics!$AI$2:$AI$167*(_xlfn.NORM.DIST(BU$3,economics!$AK$2:$AK$167,economics!$AJ$2:$AJ$167,TRUE)-_xlfn.NORM.DIST(BU$30,economics!$AK$2:$AK$167,economics!$AJ$2:$AJ$167,TRUE)))),"")</f>
        <v/>
      </c>
      <c r="BV48">
        <f t="array" ref="BV48">IFERROR((SUMPRODUCT((economics!$AG$2:$AG$167=$B48)*(economics!$D$2:$D$167="process")*economics!$AI$2:$AI$167*(_xlfn.NORM.DIST(BV$3,economics!$AK$2:$AK$167,economics!$AJ$2:$AJ$167,TRUE)-_xlfn.NORM.DIST(BV$30,economics!$AK$2:$AK$167,economics!$AJ$2:$AJ$167,TRUE))*economics!$AM$2:$AM$167))/(SUMPRODUCT((economics!$AG$2:$AG$167=$B48)*(economics!$D$2:$D$167="process")*economics!$AI$2:$AI$167*(_xlfn.NORM.DIST(BV$3,economics!$AK$2:$AK$167,economics!$AJ$2:$AJ$167,TRUE)-_xlfn.NORM.DIST(BV$30,economics!$AK$2:$AK$167,economics!$AJ$2:$AJ$167,TRUE)))),"")</f>
        <v/>
      </c>
      <c r="BW48">
        <f t="array" ref="BW48">IFERROR((SUMPRODUCT((economics!$AG$2:$AG$167=$B48)*(economics!$D$2:$D$167="process")*economics!$AI$2:$AI$167*(_xlfn.NORM.DIST(BW$3,economics!$AK$2:$AK$167,economics!$AJ$2:$AJ$167,TRUE)-_xlfn.NORM.DIST(BW$30,economics!$AK$2:$AK$167,economics!$AJ$2:$AJ$167,TRUE))*economics!$AM$2:$AM$167))/(SUMPRODUCT((economics!$AG$2:$AG$167=$B48)*(economics!$D$2:$D$167="process")*economics!$AI$2:$AI$167*(_xlfn.NORM.DIST(BW$3,economics!$AK$2:$AK$167,economics!$AJ$2:$AJ$167,TRUE)-_xlfn.NORM.DIST(BW$30,economics!$AK$2:$AK$167,economics!$AJ$2:$AJ$167,TRUE)))),"")</f>
        <v/>
      </c>
      <c r="BX48">
        <f t="array" ref="BX48">IFERROR((SUMPRODUCT((economics!$AG$2:$AG$167=$B48)*(economics!$D$2:$D$167="process")*economics!$AI$2:$AI$167*(_xlfn.NORM.DIST(BX$3,economics!$AK$2:$AK$167,economics!$AJ$2:$AJ$167,TRUE)-_xlfn.NORM.DIST(BX$30,economics!$AK$2:$AK$167,economics!$AJ$2:$AJ$167,TRUE))*economics!$AM$2:$AM$167))/(SUMPRODUCT((economics!$AG$2:$AG$167=$B48)*(economics!$D$2:$D$167="process")*economics!$AI$2:$AI$167*(_xlfn.NORM.DIST(BX$3,economics!$AK$2:$AK$167,economics!$AJ$2:$AJ$167,TRUE)-_xlfn.NORM.DIST(BX$30,economics!$AK$2:$AK$167,economics!$AJ$2:$AJ$167,TRUE)))),"")</f>
        <v/>
      </c>
      <c r="BY48">
        <f t="array" ref="BY48">IFERROR((SUMPRODUCT((economics!$AG$2:$AG$167=$B48)*(economics!$D$2:$D$167="process")*economics!$AI$2:$AI$167*(_xlfn.NORM.DIST(BY$3,economics!$AK$2:$AK$167,economics!$AJ$2:$AJ$167,TRUE)-_xlfn.NORM.DIST(BY$30,economics!$AK$2:$AK$167,economics!$AJ$2:$AJ$167,TRUE))*economics!$AM$2:$AM$167))/(SUMPRODUCT((economics!$AG$2:$AG$167=$B48)*(economics!$D$2:$D$167="process")*economics!$AI$2:$AI$167*(_xlfn.NORM.DIST(BY$3,economics!$AK$2:$AK$167,economics!$AJ$2:$AJ$167,TRUE)-_xlfn.NORM.DIST(BY$30,economics!$AK$2:$AK$167,economics!$AJ$2:$AJ$167,TRUE)))),"")</f>
        <v/>
      </c>
      <c r="BZ48">
        <f t="array" ref="BZ48">IFERROR((SUMPRODUCT((economics!$AG$2:$AG$167=$B48)*(economics!$D$2:$D$167="process")*economics!$AI$2:$AI$167*(_xlfn.NORM.DIST(BZ$3,economics!$AK$2:$AK$167,economics!$AJ$2:$AJ$167,TRUE)-_xlfn.NORM.DIST(BZ$30,economics!$AK$2:$AK$167,economics!$AJ$2:$AJ$167,TRUE))*economics!$AM$2:$AM$167))/(SUMPRODUCT((economics!$AG$2:$AG$167=$B48)*(economics!$D$2:$D$167="process")*economics!$AI$2:$AI$167*(_xlfn.NORM.DIST(BZ$3,economics!$AK$2:$AK$167,economics!$AJ$2:$AJ$167,TRUE)-_xlfn.NORM.DIST(BZ$30,economics!$AK$2:$AK$167,economics!$AJ$2:$AJ$167,TRUE)))),"")</f>
        <v/>
      </c>
      <c r="CA48">
        <f t="array" ref="CA48">IFERROR((SUMPRODUCT((economics!$AG$2:$AG$167=$B48)*(economics!$D$2:$D$167="process")*economics!$AI$2:$AI$167*(_xlfn.NORM.DIST(CA$3,economics!$AK$2:$AK$167,economics!$AJ$2:$AJ$167,TRUE)-_xlfn.NORM.DIST(CA$30,economics!$AK$2:$AK$167,economics!$AJ$2:$AJ$167,TRUE))*economics!$AM$2:$AM$167))/(SUMPRODUCT((economics!$AG$2:$AG$167=$B48)*(economics!$D$2:$D$167="process")*economics!$AI$2:$AI$167*(_xlfn.NORM.DIST(CA$3,economics!$AK$2:$AK$167,economics!$AJ$2:$AJ$167,TRUE)-_xlfn.NORM.DIST(CA$30,economics!$AK$2:$AK$167,economics!$AJ$2:$AJ$167,TRUE)))),"")</f>
        <v/>
      </c>
      <c r="CB48">
        <f t="array" ref="CB48">IFERROR((SUMPRODUCT((economics!$AG$2:$AG$167=$B48)*(economics!$D$2:$D$167="process")*economics!$AI$2:$AI$167*(_xlfn.NORM.DIST(CB$3,economics!$AK$2:$AK$167,economics!$AJ$2:$AJ$167,TRUE)-_xlfn.NORM.DIST(CB$30,economics!$AK$2:$AK$167,economics!$AJ$2:$AJ$167,TRUE))*economics!$AM$2:$AM$167))/(SUMPRODUCT((economics!$AG$2:$AG$167=$B48)*(economics!$D$2:$D$167="process")*economics!$AI$2:$AI$167*(_xlfn.NORM.DIST(CB$3,economics!$AK$2:$AK$167,economics!$AJ$2:$AJ$167,TRUE)-_xlfn.NORM.DIST(CB$30,economics!$AK$2:$AK$167,economics!$AJ$2:$AJ$167,TRUE)))),"")</f>
        <v/>
      </c>
      <c r="CC48">
        <f t="array" ref="CC48">IFERROR((SUMPRODUCT((economics!$AG$2:$AG$167=$B48)*(economics!$D$2:$D$167="process")*economics!$AI$2:$AI$167*(_xlfn.NORM.DIST(CC$3,economics!$AK$2:$AK$167,economics!$AJ$2:$AJ$167,TRUE)-_xlfn.NORM.DIST(CC$30,economics!$AK$2:$AK$167,economics!$AJ$2:$AJ$167,TRUE))*economics!$AM$2:$AM$167))/(SUMPRODUCT((economics!$AG$2:$AG$167=$B48)*(economics!$D$2:$D$167="process")*economics!$AI$2:$AI$167*(_xlfn.NORM.DIST(CC$3,economics!$AK$2:$AK$167,economics!$AJ$2:$AJ$167,TRUE)-_xlfn.NORM.DIST(CC$30,economics!$AK$2:$AK$167,economics!$AJ$2:$AJ$167,TRUE)))),"")</f>
        <v/>
      </c>
      <c r="CD48">
        <f t="array" ref="CD48">IFERROR((SUMPRODUCT((economics!$AG$2:$AG$167=$B48)*(economics!$D$2:$D$167="process")*economics!$AI$2:$AI$167*(_xlfn.NORM.DIST(CD$3,economics!$AK$2:$AK$167,economics!$AJ$2:$AJ$167,TRUE)-_xlfn.NORM.DIST(CD$30,economics!$AK$2:$AK$167,economics!$AJ$2:$AJ$167,TRUE))*economics!$AM$2:$AM$167))/(SUMPRODUCT((economics!$AG$2:$AG$167=$B48)*(economics!$D$2:$D$167="process")*economics!$AI$2:$AI$167*(_xlfn.NORM.DIST(CD$3,economics!$AK$2:$AK$167,economics!$AJ$2:$AJ$167,TRUE)-_xlfn.NORM.DIST(CD$30,economics!$AK$2:$AK$167,economics!$AJ$2:$AJ$167,TRUE)))),"")</f>
        <v/>
      </c>
      <c r="CE48">
        <f t="array" ref="CE48">IFERROR((SUMPRODUCT((economics!$AG$2:$AG$167=$B48)*(economics!$D$2:$D$167="process")*economics!$AI$2:$AI$167*(_xlfn.NORM.DIST(CE$3,economics!$AK$2:$AK$167,economics!$AJ$2:$AJ$167,TRUE)-_xlfn.NORM.DIST(CE$30,economics!$AK$2:$AK$167,economics!$AJ$2:$AJ$167,TRUE))*economics!$AM$2:$AM$167))/(SUMPRODUCT((economics!$AG$2:$AG$167=$B48)*(economics!$D$2:$D$167="process")*economics!$AI$2:$AI$167*(_xlfn.NORM.DIST(CE$3,economics!$AK$2:$AK$167,economics!$AJ$2:$AJ$167,TRUE)-_xlfn.NORM.DIST(CE$30,economics!$AK$2:$AK$167,economics!$AJ$2:$AJ$167,TRUE)))),"")</f>
        <v/>
      </c>
      <c r="CF48">
        <f t="array" ref="CF48">IFERROR((SUMPRODUCT((economics!$AG$2:$AG$167=$B48)*(economics!$D$2:$D$167="process")*economics!$AI$2:$AI$167*(_xlfn.NORM.DIST(CF$3,economics!$AK$2:$AK$167,economics!$AJ$2:$AJ$167,TRUE)-_xlfn.NORM.DIST(CF$30,economics!$AK$2:$AK$167,economics!$AJ$2:$AJ$167,TRUE))*economics!$AM$2:$AM$167))/(SUMPRODUCT((economics!$AG$2:$AG$167=$B48)*(economics!$D$2:$D$167="process")*economics!$AI$2:$AI$167*(_xlfn.NORM.DIST(CF$3,economics!$AK$2:$AK$167,economics!$AJ$2:$AJ$167,TRUE)-_xlfn.NORM.DIST(CF$30,economics!$AK$2:$AK$167,economics!$AJ$2:$AJ$167,TRUE)))),"")</f>
        <v/>
      </c>
      <c r="CG48">
        <f t="array" ref="CG48">IFERROR((SUMPRODUCT((economics!$AG$2:$AG$167=$B48)*(economics!$D$2:$D$167="process")*economics!$AI$2:$AI$167*(_xlfn.NORM.DIST(CG$3,economics!$AK$2:$AK$167,economics!$AJ$2:$AJ$167,TRUE)-_xlfn.NORM.DIST(CG$30,economics!$AK$2:$AK$167,economics!$AJ$2:$AJ$167,TRUE))*economics!$AM$2:$AM$167))/(SUMPRODUCT((economics!$AG$2:$AG$167=$B48)*(economics!$D$2:$D$167="process")*economics!$AI$2:$AI$167*(_xlfn.NORM.DIST(CG$3,economics!$AK$2:$AK$167,economics!$AJ$2:$AJ$167,TRUE)-_xlfn.NORM.DIST(CG$30,economics!$AK$2:$AK$167,economics!$AJ$2:$AJ$167,TRUE)))),"")</f>
        <v/>
      </c>
      <c r="CH48">
        <f t="array" ref="CH48">IFERROR((SUMPRODUCT((economics!$AG$2:$AG$167=$B48)*(economics!$D$2:$D$167="process")*economics!$AI$2:$AI$167*(_xlfn.NORM.DIST(CH$3,economics!$AK$2:$AK$167,economics!$AJ$2:$AJ$167,TRUE)-_xlfn.NORM.DIST(CH$30,economics!$AK$2:$AK$167,economics!$AJ$2:$AJ$167,TRUE))*economics!$AM$2:$AM$167))/(SUMPRODUCT((economics!$AG$2:$AG$167=$B48)*(economics!$D$2:$D$167="process")*economics!$AI$2:$AI$167*(_xlfn.NORM.DIST(CH$3,economics!$AK$2:$AK$167,economics!$AJ$2:$AJ$167,TRUE)-_xlfn.NORM.DIST(CH$30,economics!$AK$2:$AK$167,economics!$AJ$2:$AJ$167,TRUE)))),"")</f>
        <v/>
      </c>
    </row>
    <row r="49">
      <c r="A49">
        <f>A20</f>
        <v/>
      </c>
      <c r="B49">
        <f>B20</f>
        <v/>
      </c>
      <c r="E49">
        <f t="array" ref="E49">IFERROR((SUMPRODUCT((economics!$AG$2:$AG$167=$B49)*(economics!$D$2:$D$167="process")*economics!$AI$2:$AI$167*(_xlfn.NORM.DIST(E$3,economics!$AK$2:$AK$167,economics!$AJ$2:$AJ$167,TRUE)-_xlfn.NORM.DIST(E$30,economics!$AK$2:$AK$167,economics!$AJ$2:$AJ$167,TRUE))*economics!$AM$2:$AM$167))/(SUMPRODUCT((economics!$AG$2:$AG$167=$B49)*(economics!$D$2:$D$167="process")*economics!$AI$2:$AI$167*(_xlfn.NORM.DIST(E$3,economics!$AK$2:$AK$167,economics!$AJ$2:$AJ$167,TRUE)-_xlfn.NORM.DIST(E$30,economics!$AK$2:$AK$167,economics!$AJ$2:$AJ$167,TRUE)))),"")</f>
        <v/>
      </c>
      <c r="F49">
        <f t="array" ref="F49">IFERROR((SUMPRODUCT((economics!$AG$2:$AG$167=$B49)*(economics!$D$2:$D$167="process")*economics!$AI$2:$AI$167*(_xlfn.NORM.DIST(F$3,economics!$AK$2:$AK$167,economics!$AJ$2:$AJ$167,TRUE)-_xlfn.NORM.DIST(F$30,economics!$AK$2:$AK$167,economics!$AJ$2:$AJ$167,TRUE))*economics!$AM$2:$AM$167))/(SUMPRODUCT((economics!$AG$2:$AG$167=$B49)*(economics!$D$2:$D$167="process")*economics!$AI$2:$AI$167*(_xlfn.NORM.DIST(F$3,economics!$AK$2:$AK$167,economics!$AJ$2:$AJ$167,TRUE)-_xlfn.NORM.DIST(F$30,economics!$AK$2:$AK$167,economics!$AJ$2:$AJ$167,TRUE)))),"")</f>
        <v/>
      </c>
      <c r="G49">
        <f t="array" ref="G49">IFERROR((SUMPRODUCT((economics!$AG$2:$AG$167=$B49)*(economics!$D$2:$D$167="process")*economics!$AI$2:$AI$167*(_xlfn.NORM.DIST(G$3,economics!$AK$2:$AK$167,economics!$AJ$2:$AJ$167,TRUE)-_xlfn.NORM.DIST(G$30,economics!$AK$2:$AK$167,economics!$AJ$2:$AJ$167,TRUE))*economics!$AM$2:$AM$167))/(SUMPRODUCT((economics!$AG$2:$AG$167=$B49)*(economics!$D$2:$D$167="process")*economics!$AI$2:$AI$167*(_xlfn.NORM.DIST(G$3,economics!$AK$2:$AK$167,economics!$AJ$2:$AJ$167,TRUE)-_xlfn.NORM.DIST(G$30,economics!$AK$2:$AK$167,economics!$AJ$2:$AJ$167,TRUE)))),"")</f>
        <v/>
      </c>
      <c r="H49">
        <f t="array" ref="H49">IFERROR((SUMPRODUCT((economics!$AG$2:$AG$167=$B49)*(economics!$D$2:$D$167="process")*economics!$AI$2:$AI$167*(_xlfn.NORM.DIST(H$3,economics!$AK$2:$AK$167,economics!$AJ$2:$AJ$167,TRUE)-_xlfn.NORM.DIST(H$30,economics!$AK$2:$AK$167,economics!$AJ$2:$AJ$167,TRUE))*economics!$AM$2:$AM$167))/(SUMPRODUCT((economics!$AG$2:$AG$167=$B49)*(economics!$D$2:$D$167="process")*economics!$AI$2:$AI$167*(_xlfn.NORM.DIST(H$3,economics!$AK$2:$AK$167,economics!$AJ$2:$AJ$167,TRUE)-_xlfn.NORM.DIST(H$30,economics!$AK$2:$AK$167,economics!$AJ$2:$AJ$167,TRUE)))),"")</f>
        <v/>
      </c>
      <c r="I49">
        <f t="array" ref="I49">IFERROR((SUMPRODUCT((economics!$AG$2:$AG$167=$B49)*(economics!$D$2:$D$167="process")*economics!$AI$2:$AI$167*(_xlfn.NORM.DIST(I$3,economics!$AK$2:$AK$167,economics!$AJ$2:$AJ$167,TRUE)-_xlfn.NORM.DIST(I$30,economics!$AK$2:$AK$167,economics!$AJ$2:$AJ$167,TRUE))*economics!$AM$2:$AM$167))/(SUMPRODUCT((economics!$AG$2:$AG$167=$B49)*(economics!$D$2:$D$167="process")*economics!$AI$2:$AI$167*(_xlfn.NORM.DIST(I$3,economics!$AK$2:$AK$167,economics!$AJ$2:$AJ$167,TRUE)-_xlfn.NORM.DIST(I$30,economics!$AK$2:$AK$167,economics!$AJ$2:$AJ$167,TRUE)))),"")</f>
        <v/>
      </c>
      <c r="J49">
        <f t="array" ref="J49">IFERROR((SUMPRODUCT((economics!$AG$2:$AG$167=$B49)*(economics!$D$2:$D$167="process")*economics!$AI$2:$AI$167*(_xlfn.NORM.DIST(J$3,economics!$AK$2:$AK$167,economics!$AJ$2:$AJ$167,TRUE)-_xlfn.NORM.DIST(J$30,economics!$AK$2:$AK$167,economics!$AJ$2:$AJ$167,TRUE))*economics!$AM$2:$AM$167))/(SUMPRODUCT((economics!$AG$2:$AG$167=$B49)*(economics!$D$2:$D$167="process")*economics!$AI$2:$AI$167*(_xlfn.NORM.DIST(J$3,economics!$AK$2:$AK$167,economics!$AJ$2:$AJ$167,TRUE)-_xlfn.NORM.DIST(J$30,economics!$AK$2:$AK$167,economics!$AJ$2:$AJ$167,TRUE)))),"")</f>
        <v/>
      </c>
      <c r="K49">
        <f t="array" ref="K49">IFERROR((SUMPRODUCT((economics!$AG$2:$AG$167=$B49)*(economics!$D$2:$D$167="process")*economics!$AI$2:$AI$167*(_xlfn.NORM.DIST(K$3,economics!$AK$2:$AK$167,economics!$AJ$2:$AJ$167,TRUE)-_xlfn.NORM.DIST(K$30,economics!$AK$2:$AK$167,economics!$AJ$2:$AJ$167,TRUE))*economics!$AM$2:$AM$167))/(SUMPRODUCT((economics!$AG$2:$AG$167=$B49)*(economics!$D$2:$D$167="process")*economics!$AI$2:$AI$167*(_xlfn.NORM.DIST(K$3,economics!$AK$2:$AK$167,economics!$AJ$2:$AJ$167,TRUE)-_xlfn.NORM.DIST(K$30,economics!$AK$2:$AK$167,economics!$AJ$2:$AJ$167,TRUE)))),"")</f>
        <v/>
      </c>
      <c r="L49">
        <f t="array" ref="L49">IFERROR((SUMPRODUCT((economics!$AG$2:$AG$167=$B49)*(economics!$D$2:$D$167="process")*economics!$AI$2:$AI$167*(_xlfn.NORM.DIST(L$3,economics!$AK$2:$AK$167,economics!$AJ$2:$AJ$167,TRUE)-_xlfn.NORM.DIST(L$30,economics!$AK$2:$AK$167,economics!$AJ$2:$AJ$167,TRUE))*economics!$AM$2:$AM$167))/(SUMPRODUCT((economics!$AG$2:$AG$167=$B49)*(economics!$D$2:$D$167="process")*economics!$AI$2:$AI$167*(_xlfn.NORM.DIST(L$3,economics!$AK$2:$AK$167,economics!$AJ$2:$AJ$167,TRUE)-_xlfn.NORM.DIST(L$30,economics!$AK$2:$AK$167,economics!$AJ$2:$AJ$167,TRUE)))),"")</f>
        <v/>
      </c>
      <c r="M49">
        <f t="array" ref="M49">IFERROR((SUMPRODUCT((economics!$AG$2:$AG$167=$B49)*(economics!$D$2:$D$167="process")*economics!$AI$2:$AI$167*(_xlfn.NORM.DIST(M$3,economics!$AK$2:$AK$167,economics!$AJ$2:$AJ$167,TRUE)-_xlfn.NORM.DIST(M$30,economics!$AK$2:$AK$167,economics!$AJ$2:$AJ$167,TRUE))*economics!$AM$2:$AM$167))/(SUMPRODUCT((economics!$AG$2:$AG$167=$B49)*(economics!$D$2:$D$167="process")*economics!$AI$2:$AI$167*(_xlfn.NORM.DIST(M$3,economics!$AK$2:$AK$167,economics!$AJ$2:$AJ$167,TRUE)-_xlfn.NORM.DIST(M$30,economics!$AK$2:$AK$167,economics!$AJ$2:$AJ$167,TRUE)))),"")</f>
        <v/>
      </c>
      <c r="N49">
        <f t="array" ref="N49">IFERROR((SUMPRODUCT((economics!$AG$2:$AG$167=$B49)*(economics!$D$2:$D$167="process")*economics!$AI$2:$AI$167*(_xlfn.NORM.DIST(N$3,economics!$AK$2:$AK$167,economics!$AJ$2:$AJ$167,TRUE)-_xlfn.NORM.DIST(N$30,economics!$AK$2:$AK$167,economics!$AJ$2:$AJ$167,TRUE))*economics!$AM$2:$AM$167))/(SUMPRODUCT((economics!$AG$2:$AG$167=$B49)*(economics!$D$2:$D$167="process")*economics!$AI$2:$AI$167*(_xlfn.NORM.DIST(N$3,economics!$AK$2:$AK$167,economics!$AJ$2:$AJ$167,TRUE)-_xlfn.NORM.DIST(N$30,economics!$AK$2:$AK$167,economics!$AJ$2:$AJ$167,TRUE)))),"")</f>
        <v/>
      </c>
      <c r="O49">
        <f t="array" ref="O49">IFERROR((SUMPRODUCT((economics!$AG$2:$AG$167=$B49)*(economics!$D$2:$D$167="process")*economics!$AI$2:$AI$167*(_xlfn.NORM.DIST(O$3,economics!$AK$2:$AK$167,economics!$AJ$2:$AJ$167,TRUE)-_xlfn.NORM.DIST(O$30,economics!$AK$2:$AK$167,economics!$AJ$2:$AJ$167,TRUE))*economics!$AM$2:$AM$167))/(SUMPRODUCT((economics!$AG$2:$AG$167=$B49)*(economics!$D$2:$D$167="process")*economics!$AI$2:$AI$167*(_xlfn.NORM.DIST(O$3,economics!$AK$2:$AK$167,economics!$AJ$2:$AJ$167,TRUE)-_xlfn.NORM.DIST(O$30,economics!$AK$2:$AK$167,economics!$AJ$2:$AJ$167,TRUE)))),"")</f>
        <v/>
      </c>
      <c r="P49">
        <f t="array" ref="P49">IFERROR((SUMPRODUCT((economics!$AG$2:$AG$167=$B49)*(economics!$D$2:$D$167="process")*economics!$AI$2:$AI$167*(_xlfn.NORM.DIST(P$3,economics!$AK$2:$AK$167,economics!$AJ$2:$AJ$167,TRUE)-_xlfn.NORM.DIST(P$30,economics!$AK$2:$AK$167,economics!$AJ$2:$AJ$167,TRUE))*economics!$AM$2:$AM$167))/(SUMPRODUCT((economics!$AG$2:$AG$167=$B49)*(economics!$D$2:$D$167="process")*economics!$AI$2:$AI$167*(_xlfn.NORM.DIST(P$3,economics!$AK$2:$AK$167,economics!$AJ$2:$AJ$167,TRUE)-_xlfn.NORM.DIST(P$30,economics!$AK$2:$AK$167,economics!$AJ$2:$AJ$167,TRUE)))),"")</f>
        <v/>
      </c>
      <c r="Q49">
        <f t="array" ref="Q49">IFERROR((SUMPRODUCT((economics!$AG$2:$AG$167=$B49)*(economics!$D$2:$D$167="process")*economics!$AI$2:$AI$167*(_xlfn.NORM.DIST(Q$3,economics!$AK$2:$AK$167,economics!$AJ$2:$AJ$167,TRUE)-_xlfn.NORM.DIST(Q$30,economics!$AK$2:$AK$167,economics!$AJ$2:$AJ$167,TRUE))*economics!$AM$2:$AM$167))/(SUMPRODUCT((economics!$AG$2:$AG$167=$B49)*(economics!$D$2:$D$167="process")*economics!$AI$2:$AI$167*(_xlfn.NORM.DIST(Q$3,economics!$AK$2:$AK$167,economics!$AJ$2:$AJ$167,TRUE)-_xlfn.NORM.DIST(Q$30,economics!$AK$2:$AK$167,economics!$AJ$2:$AJ$167,TRUE)))),"")</f>
        <v/>
      </c>
      <c r="R49">
        <f t="array" ref="R49">IFERROR((SUMPRODUCT((economics!$AG$2:$AG$167=$B49)*(economics!$D$2:$D$167="process")*economics!$AI$2:$AI$167*(_xlfn.NORM.DIST(R$3,economics!$AK$2:$AK$167,economics!$AJ$2:$AJ$167,TRUE)-_xlfn.NORM.DIST(R$30,economics!$AK$2:$AK$167,economics!$AJ$2:$AJ$167,TRUE))*economics!$AM$2:$AM$167))/(SUMPRODUCT((economics!$AG$2:$AG$167=$B49)*(economics!$D$2:$D$167="process")*economics!$AI$2:$AI$167*(_xlfn.NORM.DIST(R$3,economics!$AK$2:$AK$167,economics!$AJ$2:$AJ$167,TRUE)-_xlfn.NORM.DIST(R$30,economics!$AK$2:$AK$167,economics!$AJ$2:$AJ$167,TRUE)))),"")</f>
        <v/>
      </c>
      <c r="S49">
        <f t="array" ref="S49">IFERROR((SUMPRODUCT((economics!$AG$2:$AG$167=$B49)*(economics!$D$2:$D$167="process")*economics!$AI$2:$AI$167*(_xlfn.NORM.DIST(S$3,economics!$AK$2:$AK$167,economics!$AJ$2:$AJ$167,TRUE)-_xlfn.NORM.DIST(S$30,economics!$AK$2:$AK$167,economics!$AJ$2:$AJ$167,TRUE))*economics!$AM$2:$AM$167))/(SUMPRODUCT((economics!$AG$2:$AG$167=$B49)*(economics!$D$2:$D$167="process")*economics!$AI$2:$AI$167*(_xlfn.NORM.DIST(S$3,economics!$AK$2:$AK$167,economics!$AJ$2:$AJ$167,TRUE)-_xlfn.NORM.DIST(S$30,economics!$AK$2:$AK$167,economics!$AJ$2:$AJ$167,TRUE)))),"")</f>
        <v/>
      </c>
      <c r="T49">
        <f t="array" ref="T49">IFERROR((SUMPRODUCT((economics!$AG$2:$AG$167=$B49)*(economics!$D$2:$D$167="process")*economics!$AI$2:$AI$167*(_xlfn.NORM.DIST(T$3,economics!$AK$2:$AK$167,economics!$AJ$2:$AJ$167,TRUE)-_xlfn.NORM.DIST(T$30,economics!$AK$2:$AK$167,economics!$AJ$2:$AJ$167,TRUE))*economics!$AM$2:$AM$167))/(SUMPRODUCT((economics!$AG$2:$AG$167=$B49)*(economics!$D$2:$D$167="process")*economics!$AI$2:$AI$167*(_xlfn.NORM.DIST(T$3,economics!$AK$2:$AK$167,economics!$AJ$2:$AJ$167,TRUE)-_xlfn.NORM.DIST(T$30,economics!$AK$2:$AK$167,economics!$AJ$2:$AJ$167,TRUE)))),"")</f>
        <v/>
      </c>
      <c r="U49">
        <f t="array" ref="U49">IFERROR((SUMPRODUCT((economics!$AG$2:$AG$167=$B49)*(economics!$D$2:$D$167="process")*economics!$AI$2:$AI$167*(_xlfn.NORM.DIST(U$3,economics!$AK$2:$AK$167,economics!$AJ$2:$AJ$167,TRUE)-_xlfn.NORM.DIST(U$30,economics!$AK$2:$AK$167,economics!$AJ$2:$AJ$167,TRUE))*economics!$AM$2:$AM$167))/(SUMPRODUCT((economics!$AG$2:$AG$167=$B49)*(economics!$D$2:$D$167="process")*economics!$AI$2:$AI$167*(_xlfn.NORM.DIST(U$3,economics!$AK$2:$AK$167,economics!$AJ$2:$AJ$167,TRUE)-_xlfn.NORM.DIST(U$30,economics!$AK$2:$AK$167,economics!$AJ$2:$AJ$167,TRUE)))),"")</f>
        <v/>
      </c>
      <c r="V49">
        <f t="array" ref="V49">IFERROR((SUMPRODUCT((economics!$AG$2:$AG$167=$B49)*(economics!$D$2:$D$167="process")*economics!$AI$2:$AI$167*(_xlfn.NORM.DIST(V$3,economics!$AK$2:$AK$167,economics!$AJ$2:$AJ$167,TRUE)-_xlfn.NORM.DIST(V$30,economics!$AK$2:$AK$167,economics!$AJ$2:$AJ$167,TRUE))*economics!$AM$2:$AM$167))/(SUMPRODUCT((economics!$AG$2:$AG$167=$B49)*(economics!$D$2:$D$167="process")*economics!$AI$2:$AI$167*(_xlfn.NORM.DIST(V$3,economics!$AK$2:$AK$167,economics!$AJ$2:$AJ$167,TRUE)-_xlfn.NORM.DIST(V$30,economics!$AK$2:$AK$167,economics!$AJ$2:$AJ$167,TRUE)))),"")</f>
        <v/>
      </c>
      <c r="W49">
        <f t="array" ref="W49">IFERROR((SUMPRODUCT((economics!$AG$2:$AG$167=$B49)*(economics!$D$2:$D$167="process")*economics!$AI$2:$AI$167*(_xlfn.NORM.DIST(W$3,economics!$AK$2:$AK$167,economics!$AJ$2:$AJ$167,TRUE)-_xlfn.NORM.DIST(W$30,economics!$AK$2:$AK$167,economics!$AJ$2:$AJ$167,TRUE))*economics!$AM$2:$AM$167))/(SUMPRODUCT((economics!$AG$2:$AG$167=$B49)*(economics!$D$2:$D$167="process")*economics!$AI$2:$AI$167*(_xlfn.NORM.DIST(W$3,economics!$AK$2:$AK$167,economics!$AJ$2:$AJ$167,TRUE)-_xlfn.NORM.DIST(W$30,economics!$AK$2:$AK$167,economics!$AJ$2:$AJ$167,TRUE)))),"")</f>
        <v/>
      </c>
      <c r="X49">
        <f t="array" ref="X49">IFERROR((SUMPRODUCT((economics!$AG$2:$AG$167=$B49)*(economics!$D$2:$D$167="process")*economics!$AI$2:$AI$167*(_xlfn.NORM.DIST(X$3,economics!$AK$2:$AK$167,economics!$AJ$2:$AJ$167,TRUE)-_xlfn.NORM.DIST(X$30,economics!$AK$2:$AK$167,economics!$AJ$2:$AJ$167,TRUE))*economics!$AM$2:$AM$167))/(SUMPRODUCT((economics!$AG$2:$AG$167=$B49)*(economics!$D$2:$D$167="process")*economics!$AI$2:$AI$167*(_xlfn.NORM.DIST(X$3,economics!$AK$2:$AK$167,economics!$AJ$2:$AJ$167,TRUE)-_xlfn.NORM.DIST(X$30,economics!$AK$2:$AK$167,economics!$AJ$2:$AJ$167,TRUE)))),"")</f>
        <v/>
      </c>
      <c r="Y49">
        <f t="array" ref="Y49">IFERROR((SUMPRODUCT((economics!$AG$2:$AG$167=$B49)*(economics!$D$2:$D$167="process")*economics!$AI$2:$AI$167*(_xlfn.NORM.DIST(Y$3,economics!$AK$2:$AK$167,economics!$AJ$2:$AJ$167,TRUE)-_xlfn.NORM.DIST(Y$30,economics!$AK$2:$AK$167,economics!$AJ$2:$AJ$167,TRUE))*economics!$AM$2:$AM$167))/(SUMPRODUCT((economics!$AG$2:$AG$167=$B49)*(economics!$D$2:$D$167="process")*economics!$AI$2:$AI$167*(_xlfn.NORM.DIST(Y$3,economics!$AK$2:$AK$167,economics!$AJ$2:$AJ$167,TRUE)-_xlfn.NORM.DIST(Y$30,economics!$AK$2:$AK$167,economics!$AJ$2:$AJ$167,TRUE)))),"")</f>
        <v/>
      </c>
      <c r="Z49">
        <f t="array" ref="Z49">IFERROR((SUMPRODUCT((economics!$AG$2:$AG$167=$B49)*(economics!$D$2:$D$167="process")*economics!$AI$2:$AI$167*(_xlfn.NORM.DIST(Z$3,economics!$AK$2:$AK$167,economics!$AJ$2:$AJ$167,TRUE)-_xlfn.NORM.DIST(Z$30,economics!$AK$2:$AK$167,economics!$AJ$2:$AJ$167,TRUE))*economics!$AM$2:$AM$167))/(SUMPRODUCT((economics!$AG$2:$AG$167=$B49)*(economics!$D$2:$D$167="process")*economics!$AI$2:$AI$167*(_xlfn.NORM.DIST(Z$3,economics!$AK$2:$AK$167,economics!$AJ$2:$AJ$167,TRUE)-_xlfn.NORM.DIST(Z$30,economics!$AK$2:$AK$167,economics!$AJ$2:$AJ$167,TRUE)))),"")</f>
        <v/>
      </c>
      <c r="AA49">
        <f t="array" ref="AA49">IFERROR((SUMPRODUCT((economics!$AG$2:$AG$167=$B49)*(economics!$D$2:$D$167="process")*economics!$AI$2:$AI$167*(_xlfn.NORM.DIST(AA$3,economics!$AK$2:$AK$167,economics!$AJ$2:$AJ$167,TRUE)-_xlfn.NORM.DIST(AA$30,economics!$AK$2:$AK$167,economics!$AJ$2:$AJ$167,TRUE))*economics!$AM$2:$AM$167))/(SUMPRODUCT((economics!$AG$2:$AG$167=$B49)*(economics!$D$2:$D$167="process")*economics!$AI$2:$AI$167*(_xlfn.NORM.DIST(AA$3,economics!$AK$2:$AK$167,economics!$AJ$2:$AJ$167,TRUE)-_xlfn.NORM.DIST(AA$30,economics!$AK$2:$AK$167,economics!$AJ$2:$AJ$167,TRUE)))),"")</f>
        <v/>
      </c>
      <c r="AB49">
        <f t="array" ref="AB49">IFERROR((SUMPRODUCT((economics!$AG$2:$AG$167=$B49)*(economics!$D$2:$D$167="process")*economics!$AI$2:$AI$167*(_xlfn.NORM.DIST(AB$3,economics!$AK$2:$AK$167,economics!$AJ$2:$AJ$167,TRUE)-_xlfn.NORM.DIST(AB$30,economics!$AK$2:$AK$167,economics!$AJ$2:$AJ$167,TRUE))*economics!$AM$2:$AM$167))/(SUMPRODUCT((economics!$AG$2:$AG$167=$B49)*(economics!$D$2:$D$167="process")*economics!$AI$2:$AI$167*(_xlfn.NORM.DIST(AB$3,economics!$AK$2:$AK$167,economics!$AJ$2:$AJ$167,TRUE)-_xlfn.NORM.DIST(AB$30,economics!$AK$2:$AK$167,economics!$AJ$2:$AJ$167,TRUE)))),"")</f>
        <v/>
      </c>
      <c r="AC49">
        <f t="array" ref="AC49">IFERROR((SUMPRODUCT((economics!$AG$2:$AG$167=$B49)*(economics!$D$2:$D$167="process")*economics!$AI$2:$AI$167*(_xlfn.NORM.DIST(AC$3,economics!$AK$2:$AK$167,economics!$AJ$2:$AJ$167,TRUE)-_xlfn.NORM.DIST(AC$30,economics!$AK$2:$AK$167,economics!$AJ$2:$AJ$167,TRUE))*economics!$AM$2:$AM$167))/(SUMPRODUCT((economics!$AG$2:$AG$167=$B49)*(economics!$D$2:$D$167="process")*economics!$AI$2:$AI$167*(_xlfn.NORM.DIST(AC$3,economics!$AK$2:$AK$167,economics!$AJ$2:$AJ$167,TRUE)-_xlfn.NORM.DIST(AC$30,economics!$AK$2:$AK$167,economics!$AJ$2:$AJ$167,TRUE)))),"")</f>
        <v/>
      </c>
      <c r="AD49">
        <f t="array" ref="AD49">IFERROR((SUMPRODUCT((economics!$AG$2:$AG$167=$B49)*(economics!$D$2:$D$167="process")*economics!$AI$2:$AI$167*(_xlfn.NORM.DIST(AD$3,economics!$AK$2:$AK$167,economics!$AJ$2:$AJ$167,TRUE)-_xlfn.NORM.DIST(AD$30,economics!$AK$2:$AK$167,economics!$AJ$2:$AJ$167,TRUE))*economics!$AM$2:$AM$167))/(SUMPRODUCT((economics!$AG$2:$AG$167=$B49)*(economics!$D$2:$D$167="process")*economics!$AI$2:$AI$167*(_xlfn.NORM.DIST(AD$3,economics!$AK$2:$AK$167,economics!$AJ$2:$AJ$167,TRUE)-_xlfn.NORM.DIST(AD$30,economics!$AK$2:$AK$167,economics!$AJ$2:$AJ$167,TRUE)))),"")</f>
        <v/>
      </c>
      <c r="AE49">
        <f t="array" ref="AE49">IFERROR((SUMPRODUCT((economics!$AG$2:$AG$167=$B49)*(economics!$D$2:$D$167="process")*economics!$AI$2:$AI$167*(_xlfn.NORM.DIST(AE$3,economics!$AK$2:$AK$167,economics!$AJ$2:$AJ$167,TRUE)-_xlfn.NORM.DIST(AE$30,economics!$AK$2:$AK$167,economics!$AJ$2:$AJ$167,TRUE))*economics!$AM$2:$AM$167))/(SUMPRODUCT((economics!$AG$2:$AG$167=$B49)*(economics!$D$2:$D$167="process")*economics!$AI$2:$AI$167*(_xlfn.NORM.DIST(AE$3,economics!$AK$2:$AK$167,economics!$AJ$2:$AJ$167,TRUE)-_xlfn.NORM.DIST(AE$30,economics!$AK$2:$AK$167,economics!$AJ$2:$AJ$167,TRUE)))),"")</f>
        <v/>
      </c>
      <c r="AF49">
        <f t="array" ref="AF49">IFERROR((SUMPRODUCT((economics!$AG$2:$AG$167=$B49)*(economics!$D$2:$D$167="process")*economics!$AI$2:$AI$167*(_xlfn.NORM.DIST(AF$3,economics!$AK$2:$AK$167,economics!$AJ$2:$AJ$167,TRUE)-_xlfn.NORM.DIST(AF$30,economics!$AK$2:$AK$167,economics!$AJ$2:$AJ$167,TRUE))*economics!$AM$2:$AM$167))/(SUMPRODUCT((economics!$AG$2:$AG$167=$B49)*(economics!$D$2:$D$167="process")*economics!$AI$2:$AI$167*(_xlfn.NORM.DIST(AF$3,economics!$AK$2:$AK$167,economics!$AJ$2:$AJ$167,TRUE)-_xlfn.NORM.DIST(AF$30,economics!$AK$2:$AK$167,economics!$AJ$2:$AJ$167,TRUE)))),"")</f>
        <v/>
      </c>
      <c r="AG49">
        <f t="array" ref="AG49">IFERROR((SUMPRODUCT((economics!$AG$2:$AG$167=$B49)*(economics!$D$2:$D$167="process")*economics!$AI$2:$AI$167*(_xlfn.NORM.DIST(AG$3,economics!$AK$2:$AK$167,economics!$AJ$2:$AJ$167,TRUE)-_xlfn.NORM.DIST(AG$30,economics!$AK$2:$AK$167,economics!$AJ$2:$AJ$167,TRUE))*economics!$AM$2:$AM$167))/(SUMPRODUCT((economics!$AG$2:$AG$167=$B49)*(economics!$D$2:$D$167="process")*economics!$AI$2:$AI$167*(_xlfn.NORM.DIST(AG$3,economics!$AK$2:$AK$167,economics!$AJ$2:$AJ$167,TRUE)-_xlfn.NORM.DIST(AG$30,economics!$AK$2:$AK$167,economics!$AJ$2:$AJ$167,TRUE)))),"")</f>
        <v/>
      </c>
      <c r="AH49">
        <f t="array" ref="AH49">IFERROR((SUMPRODUCT((economics!$AG$2:$AG$167=$B49)*(economics!$D$2:$D$167="process")*economics!$AI$2:$AI$167*(_xlfn.NORM.DIST(AH$3,economics!$AK$2:$AK$167,economics!$AJ$2:$AJ$167,TRUE)-_xlfn.NORM.DIST(AH$30,economics!$AK$2:$AK$167,economics!$AJ$2:$AJ$167,TRUE))*economics!$AM$2:$AM$167))/(SUMPRODUCT((economics!$AG$2:$AG$167=$B49)*(economics!$D$2:$D$167="process")*economics!$AI$2:$AI$167*(_xlfn.NORM.DIST(AH$3,economics!$AK$2:$AK$167,economics!$AJ$2:$AJ$167,TRUE)-_xlfn.NORM.DIST(AH$30,economics!$AK$2:$AK$167,economics!$AJ$2:$AJ$167,TRUE)))),"")</f>
        <v/>
      </c>
      <c r="AI49">
        <f t="array" ref="AI49">IFERROR((SUMPRODUCT((economics!$AG$2:$AG$167=$B49)*(economics!$D$2:$D$167="process")*economics!$AI$2:$AI$167*(_xlfn.NORM.DIST(AI$3,economics!$AK$2:$AK$167,economics!$AJ$2:$AJ$167,TRUE)-_xlfn.NORM.DIST(AI$30,economics!$AK$2:$AK$167,economics!$AJ$2:$AJ$167,TRUE))*economics!$AM$2:$AM$167))/(SUMPRODUCT((economics!$AG$2:$AG$167=$B49)*(economics!$D$2:$D$167="process")*economics!$AI$2:$AI$167*(_xlfn.NORM.DIST(AI$3,economics!$AK$2:$AK$167,economics!$AJ$2:$AJ$167,TRUE)-_xlfn.NORM.DIST(AI$30,economics!$AK$2:$AK$167,economics!$AJ$2:$AJ$167,TRUE)))),"")</f>
        <v/>
      </c>
      <c r="AJ49">
        <f t="array" ref="AJ49">IFERROR((SUMPRODUCT((economics!$AG$2:$AG$167=$B49)*(economics!$D$2:$D$167="process")*economics!$AI$2:$AI$167*(_xlfn.NORM.DIST(AJ$3,economics!$AK$2:$AK$167,economics!$AJ$2:$AJ$167,TRUE)-_xlfn.NORM.DIST(AJ$30,economics!$AK$2:$AK$167,economics!$AJ$2:$AJ$167,TRUE))*economics!$AM$2:$AM$167))/(SUMPRODUCT((economics!$AG$2:$AG$167=$B49)*(economics!$D$2:$D$167="process")*economics!$AI$2:$AI$167*(_xlfn.NORM.DIST(AJ$3,economics!$AK$2:$AK$167,economics!$AJ$2:$AJ$167,TRUE)-_xlfn.NORM.DIST(AJ$30,economics!$AK$2:$AK$167,economics!$AJ$2:$AJ$167,TRUE)))),"")</f>
        <v/>
      </c>
      <c r="AK49">
        <f t="array" ref="AK49">IFERROR((SUMPRODUCT((economics!$AG$2:$AG$167=$B49)*(economics!$D$2:$D$167="process")*economics!$AI$2:$AI$167*(_xlfn.NORM.DIST(AK$3,economics!$AK$2:$AK$167,economics!$AJ$2:$AJ$167,TRUE)-_xlfn.NORM.DIST(AK$30,economics!$AK$2:$AK$167,economics!$AJ$2:$AJ$167,TRUE))*economics!$AM$2:$AM$167))/(SUMPRODUCT((economics!$AG$2:$AG$167=$B49)*(economics!$D$2:$D$167="process")*economics!$AI$2:$AI$167*(_xlfn.NORM.DIST(AK$3,economics!$AK$2:$AK$167,economics!$AJ$2:$AJ$167,TRUE)-_xlfn.NORM.DIST(AK$30,economics!$AK$2:$AK$167,economics!$AJ$2:$AJ$167,TRUE)))),"")</f>
        <v/>
      </c>
      <c r="AL49">
        <f t="array" ref="AL49">IFERROR((SUMPRODUCT((economics!$AG$2:$AG$167=$B49)*(economics!$D$2:$D$167="process")*economics!$AI$2:$AI$167*(_xlfn.NORM.DIST(AL$3,economics!$AK$2:$AK$167,economics!$AJ$2:$AJ$167,TRUE)-_xlfn.NORM.DIST(AL$30,economics!$AK$2:$AK$167,economics!$AJ$2:$AJ$167,TRUE))*economics!$AM$2:$AM$167))/(SUMPRODUCT((economics!$AG$2:$AG$167=$B49)*(economics!$D$2:$D$167="process")*economics!$AI$2:$AI$167*(_xlfn.NORM.DIST(AL$3,economics!$AK$2:$AK$167,economics!$AJ$2:$AJ$167,TRUE)-_xlfn.NORM.DIST(AL$30,economics!$AK$2:$AK$167,economics!$AJ$2:$AJ$167,TRUE)))),"")</f>
        <v/>
      </c>
      <c r="AM49">
        <f t="array" ref="AM49">IFERROR((SUMPRODUCT((economics!$AG$2:$AG$167=$B49)*(economics!$D$2:$D$167="process")*economics!$AI$2:$AI$167*(_xlfn.NORM.DIST(AM$3,economics!$AK$2:$AK$167,economics!$AJ$2:$AJ$167,TRUE)-_xlfn.NORM.DIST(AM$30,economics!$AK$2:$AK$167,economics!$AJ$2:$AJ$167,TRUE))*economics!$AM$2:$AM$167))/(SUMPRODUCT((economics!$AG$2:$AG$167=$B49)*(economics!$D$2:$D$167="process")*economics!$AI$2:$AI$167*(_xlfn.NORM.DIST(AM$3,economics!$AK$2:$AK$167,economics!$AJ$2:$AJ$167,TRUE)-_xlfn.NORM.DIST(AM$30,economics!$AK$2:$AK$167,economics!$AJ$2:$AJ$167,TRUE)))),"")</f>
        <v/>
      </c>
      <c r="AN49">
        <f t="array" ref="AN49">IFERROR((SUMPRODUCT((economics!$AG$2:$AG$167=$B49)*(economics!$D$2:$D$167="process")*economics!$AI$2:$AI$167*(_xlfn.NORM.DIST(AN$3,economics!$AK$2:$AK$167,economics!$AJ$2:$AJ$167,TRUE)-_xlfn.NORM.DIST(AN$30,economics!$AK$2:$AK$167,economics!$AJ$2:$AJ$167,TRUE))*economics!$AM$2:$AM$167))/(SUMPRODUCT((economics!$AG$2:$AG$167=$B49)*(economics!$D$2:$D$167="process")*economics!$AI$2:$AI$167*(_xlfn.NORM.DIST(AN$3,economics!$AK$2:$AK$167,economics!$AJ$2:$AJ$167,TRUE)-_xlfn.NORM.DIST(AN$30,economics!$AK$2:$AK$167,economics!$AJ$2:$AJ$167,TRUE)))),"")</f>
        <v/>
      </c>
      <c r="AO49">
        <f t="array" ref="AO49">IFERROR((SUMPRODUCT((economics!$AG$2:$AG$167=$B49)*(economics!$D$2:$D$167="process")*economics!$AI$2:$AI$167*(_xlfn.NORM.DIST(AO$3,economics!$AK$2:$AK$167,economics!$AJ$2:$AJ$167,TRUE)-_xlfn.NORM.DIST(AO$30,economics!$AK$2:$AK$167,economics!$AJ$2:$AJ$167,TRUE))*economics!$AM$2:$AM$167))/(SUMPRODUCT((economics!$AG$2:$AG$167=$B49)*(economics!$D$2:$D$167="process")*economics!$AI$2:$AI$167*(_xlfn.NORM.DIST(AO$3,economics!$AK$2:$AK$167,economics!$AJ$2:$AJ$167,TRUE)-_xlfn.NORM.DIST(AO$30,economics!$AK$2:$AK$167,economics!$AJ$2:$AJ$167,TRUE)))),"")</f>
        <v/>
      </c>
      <c r="AP49">
        <f t="array" ref="AP49">IFERROR((SUMPRODUCT((economics!$AG$2:$AG$167=$B49)*(economics!$D$2:$D$167="process")*economics!$AI$2:$AI$167*(_xlfn.NORM.DIST(AP$3,economics!$AK$2:$AK$167,economics!$AJ$2:$AJ$167,TRUE)-_xlfn.NORM.DIST(AP$30,economics!$AK$2:$AK$167,economics!$AJ$2:$AJ$167,TRUE))*economics!$AM$2:$AM$167))/(SUMPRODUCT((economics!$AG$2:$AG$167=$B49)*(economics!$D$2:$D$167="process")*economics!$AI$2:$AI$167*(_xlfn.NORM.DIST(AP$3,economics!$AK$2:$AK$167,economics!$AJ$2:$AJ$167,TRUE)-_xlfn.NORM.DIST(AP$30,economics!$AK$2:$AK$167,economics!$AJ$2:$AJ$167,TRUE)))),"")</f>
        <v/>
      </c>
      <c r="AQ49">
        <f t="array" ref="AQ49">IFERROR((SUMPRODUCT((economics!$AG$2:$AG$167=$B49)*(economics!$D$2:$D$167="process")*economics!$AI$2:$AI$167*(_xlfn.NORM.DIST(AQ$3,economics!$AK$2:$AK$167,economics!$AJ$2:$AJ$167,TRUE)-_xlfn.NORM.DIST(AQ$30,economics!$AK$2:$AK$167,economics!$AJ$2:$AJ$167,TRUE))*economics!$AM$2:$AM$167))/(SUMPRODUCT((economics!$AG$2:$AG$167=$B49)*(economics!$D$2:$D$167="process")*economics!$AI$2:$AI$167*(_xlfn.NORM.DIST(AQ$3,economics!$AK$2:$AK$167,economics!$AJ$2:$AJ$167,TRUE)-_xlfn.NORM.DIST(AQ$30,economics!$AK$2:$AK$167,economics!$AJ$2:$AJ$167,TRUE)))),"")</f>
        <v/>
      </c>
      <c r="AR49">
        <f t="array" ref="AR49">IFERROR((SUMPRODUCT((economics!$AG$2:$AG$167=$B49)*(economics!$D$2:$D$167="process")*economics!$AI$2:$AI$167*(_xlfn.NORM.DIST(AR$3,economics!$AK$2:$AK$167,economics!$AJ$2:$AJ$167,TRUE)-_xlfn.NORM.DIST(AR$30,economics!$AK$2:$AK$167,economics!$AJ$2:$AJ$167,TRUE))*economics!$AM$2:$AM$167))/(SUMPRODUCT((economics!$AG$2:$AG$167=$B49)*(economics!$D$2:$D$167="process")*economics!$AI$2:$AI$167*(_xlfn.NORM.DIST(AR$3,economics!$AK$2:$AK$167,economics!$AJ$2:$AJ$167,TRUE)-_xlfn.NORM.DIST(AR$30,economics!$AK$2:$AK$167,economics!$AJ$2:$AJ$167,TRUE)))),"")</f>
        <v/>
      </c>
      <c r="AS49">
        <f t="array" ref="AS49">IFERROR((SUMPRODUCT((economics!$AG$2:$AG$167=$B49)*(economics!$D$2:$D$167="process")*economics!$AI$2:$AI$167*(_xlfn.NORM.DIST(AS$3,economics!$AK$2:$AK$167,economics!$AJ$2:$AJ$167,TRUE)-_xlfn.NORM.DIST(AS$30,economics!$AK$2:$AK$167,economics!$AJ$2:$AJ$167,TRUE))*economics!$AM$2:$AM$167))/(SUMPRODUCT((economics!$AG$2:$AG$167=$B49)*(economics!$D$2:$D$167="process")*economics!$AI$2:$AI$167*(_xlfn.NORM.DIST(AS$3,economics!$AK$2:$AK$167,economics!$AJ$2:$AJ$167,TRUE)-_xlfn.NORM.DIST(AS$30,economics!$AK$2:$AK$167,economics!$AJ$2:$AJ$167,TRUE)))),"")</f>
        <v/>
      </c>
      <c r="AT49">
        <f t="array" ref="AT49">IFERROR((SUMPRODUCT((economics!$AG$2:$AG$167=$B49)*(economics!$D$2:$D$167="process")*economics!$AI$2:$AI$167*(_xlfn.NORM.DIST(AT$3,economics!$AK$2:$AK$167,economics!$AJ$2:$AJ$167,TRUE)-_xlfn.NORM.DIST(AT$30,economics!$AK$2:$AK$167,economics!$AJ$2:$AJ$167,TRUE))*economics!$AM$2:$AM$167))/(SUMPRODUCT((economics!$AG$2:$AG$167=$B49)*(economics!$D$2:$D$167="process")*economics!$AI$2:$AI$167*(_xlfn.NORM.DIST(AT$3,economics!$AK$2:$AK$167,economics!$AJ$2:$AJ$167,TRUE)-_xlfn.NORM.DIST(AT$30,economics!$AK$2:$AK$167,economics!$AJ$2:$AJ$167,TRUE)))),"")</f>
        <v/>
      </c>
      <c r="AU49">
        <f t="array" ref="AU49">IFERROR((SUMPRODUCT((economics!$AG$2:$AG$167=$B49)*(economics!$D$2:$D$167="process")*economics!$AI$2:$AI$167*(_xlfn.NORM.DIST(AU$3,economics!$AK$2:$AK$167,economics!$AJ$2:$AJ$167,TRUE)-_xlfn.NORM.DIST(AU$30,economics!$AK$2:$AK$167,economics!$AJ$2:$AJ$167,TRUE))*economics!$AM$2:$AM$167))/(SUMPRODUCT((economics!$AG$2:$AG$167=$B49)*(economics!$D$2:$D$167="process")*economics!$AI$2:$AI$167*(_xlfn.NORM.DIST(AU$3,economics!$AK$2:$AK$167,economics!$AJ$2:$AJ$167,TRUE)-_xlfn.NORM.DIST(AU$30,economics!$AK$2:$AK$167,economics!$AJ$2:$AJ$167,TRUE)))),"")</f>
        <v/>
      </c>
      <c r="AV49">
        <f t="array" ref="AV49">IFERROR((SUMPRODUCT((economics!$AG$2:$AG$167=$B49)*(economics!$D$2:$D$167="process")*economics!$AI$2:$AI$167*(_xlfn.NORM.DIST(AV$3,economics!$AK$2:$AK$167,economics!$AJ$2:$AJ$167,TRUE)-_xlfn.NORM.DIST(AV$30,economics!$AK$2:$AK$167,economics!$AJ$2:$AJ$167,TRUE))*economics!$AM$2:$AM$167))/(SUMPRODUCT((economics!$AG$2:$AG$167=$B49)*(economics!$D$2:$D$167="process")*economics!$AI$2:$AI$167*(_xlfn.NORM.DIST(AV$3,economics!$AK$2:$AK$167,economics!$AJ$2:$AJ$167,TRUE)-_xlfn.NORM.DIST(AV$30,economics!$AK$2:$AK$167,economics!$AJ$2:$AJ$167,TRUE)))),"")</f>
        <v/>
      </c>
      <c r="AW49">
        <f t="array" ref="AW49">IFERROR((SUMPRODUCT((economics!$AG$2:$AG$167=$B49)*(economics!$D$2:$D$167="process")*economics!$AI$2:$AI$167*(_xlfn.NORM.DIST(AW$3,economics!$AK$2:$AK$167,economics!$AJ$2:$AJ$167,TRUE)-_xlfn.NORM.DIST(AW$30,economics!$AK$2:$AK$167,economics!$AJ$2:$AJ$167,TRUE))*economics!$AM$2:$AM$167))/(SUMPRODUCT((economics!$AG$2:$AG$167=$B49)*(economics!$D$2:$D$167="process")*economics!$AI$2:$AI$167*(_xlfn.NORM.DIST(AW$3,economics!$AK$2:$AK$167,economics!$AJ$2:$AJ$167,TRUE)-_xlfn.NORM.DIST(AW$30,economics!$AK$2:$AK$167,economics!$AJ$2:$AJ$167,TRUE)))),"")</f>
        <v/>
      </c>
      <c r="AX49">
        <f t="array" ref="AX49">IFERROR((SUMPRODUCT((economics!$AG$2:$AG$167=$B49)*(economics!$D$2:$D$167="process")*economics!$AI$2:$AI$167*(_xlfn.NORM.DIST(AX$3,economics!$AK$2:$AK$167,economics!$AJ$2:$AJ$167,TRUE)-_xlfn.NORM.DIST(AX$30,economics!$AK$2:$AK$167,economics!$AJ$2:$AJ$167,TRUE))*economics!$AM$2:$AM$167))/(SUMPRODUCT((economics!$AG$2:$AG$167=$B49)*(economics!$D$2:$D$167="process")*economics!$AI$2:$AI$167*(_xlfn.NORM.DIST(AX$3,economics!$AK$2:$AK$167,economics!$AJ$2:$AJ$167,TRUE)-_xlfn.NORM.DIST(AX$30,economics!$AK$2:$AK$167,economics!$AJ$2:$AJ$167,TRUE)))),"")</f>
        <v/>
      </c>
      <c r="AY49">
        <f t="array" ref="AY49">IFERROR((SUMPRODUCT((economics!$AG$2:$AG$167=$B49)*(economics!$D$2:$D$167="process")*economics!$AI$2:$AI$167*(_xlfn.NORM.DIST(AY$3,economics!$AK$2:$AK$167,economics!$AJ$2:$AJ$167,TRUE)-_xlfn.NORM.DIST(AY$30,economics!$AK$2:$AK$167,economics!$AJ$2:$AJ$167,TRUE))*economics!$AM$2:$AM$167))/(SUMPRODUCT((economics!$AG$2:$AG$167=$B49)*(economics!$D$2:$D$167="process")*economics!$AI$2:$AI$167*(_xlfn.NORM.DIST(AY$3,economics!$AK$2:$AK$167,economics!$AJ$2:$AJ$167,TRUE)-_xlfn.NORM.DIST(AY$30,economics!$AK$2:$AK$167,economics!$AJ$2:$AJ$167,TRUE)))),"")</f>
        <v/>
      </c>
      <c r="AZ49">
        <f t="array" ref="AZ49">IFERROR((SUMPRODUCT((economics!$AG$2:$AG$167=$B49)*(economics!$D$2:$D$167="process")*economics!$AI$2:$AI$167*(_xlfn.NORM.DIST(AZ$3,economics!$AK$2:$AK$167,economics!$AJ$2:$AJ$167,TRUE)-_xlfn.NORM.DIST(AZ$30,economics!$AK$2:$AK$167,economics!$AJ$2:$AJ$167,TRUE))*economics!$AM$2:$AM$167))/(SUMPRODUCT((economics!$AG$2:$AG$167=$B49)*(economics!$D$2:$D$167="process")*economics!$AI$2:$AI$167*(_xlfn.NORM.DIST(AZ$3,economics!$AK$2:$AK$167,economics!$AJ$2:$AJ$167,TRUE)-_xlfn.NORM.DIST(AZ$30,economics!$AK$2:$AK$167,economics!$AJ$2:$AJ$167,TRUE)))),"")</f>
        <v/>
      </c>
      <c r="BA49">
        <f t="array" ref="BA49">IFERROR((SUMPRODUCT((economics!$AG$2:$AG$167=$B49)*(economics!$D$2:$D$167="process")*economics!$AI$2:$AI$167*(_xlfn.NORM.DIST(BA$3,economics!$AK$2:$AK$167,economics!$AJ$2:$AJ$167,TRUE)-_xlfn.NORM.DIST(BA$30,economics!$AK$2:$AK$167,economics!$AJ$2:$AJ$167,TRUE))*economics!$AM$2:$AM$167))/(SUMPRODUCT((economics!$AG$2:$AG$167=$B49)*(economics!$D$2:$D$167="process")*economics!$AI$2:$AI$167*(_xlfn.NORM.DIST(BA$3,economics!$AK$2:$AK$167,economics!$AJ$2:$AJ$167,TRUE)-_xlfn.NORM.DIST(BA$30,economics!$AK$2:$AK$167,economics!$AJ$2:$AJ$167,TRUE)))),"")</f>
        <v/>
      </c>
      <c r="BB49">
        <f t="array" ref="BB49">IFERROR((SUMPRODUCT((economics!$AG$2:$AG$167=$B49)*(economics!$D$2:$D$167="process")*economics!$AI$2:$AI$167*(_xlfn.NORM.DIST(BB$3,economics!$AK$2:$AK$167,economics!$AJ$2:$AJ$167,TRUE)-_xlfn.NORM.DIST(BB$30,economics!$AK$2:$AK$167,economics!$AJ$2:$AJ$167,TRUE))*economics!$AM$2:$AM$167))/(SUMPRODUCT((economics!$AG$2:$AG$167=$B49)*(economics!$D$2:$D$167="process")*economics!$AI$2:$AI$167*(_xlfn.NORM.DIST(BB$3,economics!$AK$2:$AK$167,economics!$AJ$2:$AJ$167,TRUE)-_xlfn.NORM.DIST(BB$30,economics!$AK$2:$AK$167,economics!$AJ$2:$AJ$167,TRUE)))),"")</f>
        <v/>
      </c>
      <c r="BC49">
        <f t="array" ref="BC49">IFERROR((SUMPRODUCT((economics!$AG$2:$AG$167=$B49)*(economics!$D$2:$D$167="process")*economics!$AI$2:$AI$167*(_xlfn.NORM.DIST(BC$3,economics!$AK$2:$AK$167,economics!$AJ$2:$AJ$167,TRUE)-_xlfn.NORM.DIST(BC$30,economics!$AK$2:$AK$167,economics!$AJ$2:$AJ$167,TRUE))*economics!$AM$2:$AM$167))/(SUMPRODUCT((economics!$AG$2:$AG$167=$B49)*(economics!$D$2:$D$167="process")*economics!$AI$2:$AI$167*(_xlfn.NORM.DIST(BC$3,economics!$AK$2:$AK$167,economics!$AJ$2:$AJ$167,TRUE)-_xlfn.NORM.DIST(BC$30,economics!$AK$2:$AK$167,economics!$AJ$2:$AJ$167,TRUE)))),"")</f>
        <v/>
      </c>
      <c r="BD49">
        <f t="array" ref="BD49">IFERROR((SUMPRODUCT((economics!$AG$2:$AG$167=$B49)*(economics!$D$2:$D$167="process")*economics!$AI$2:$AI$167*(_xlfn.NORM.DIST(BD$3,economics!$AK$2:$AK$167,economics!$AJ$2:$AJ$167,TRUE)-_xlfn.NORM.DIST(BD$30,economics!$AK$2:$AK$167,economics!$AJ$2:$AJ$167,TRUE))*economics!$AM$2:$AM$167))/(SUMPRODUCT((economics!$AG$2:$AG$167=$B49)*(economics!$D$2:$D$167="process")*economics!$AI$2:$AI$167*(_xlfn.NORM.DIST(BD$3,economics!$AK$2:$AK$167,economics!$AJ$2:$AJ$167,TRUE)-_xlfn.NORM.DIST(BD$30,economics!$AK$2:$AK$167,economics!$AJ$2:$AJ$167,TRUE)))),"")</f>
        <v/>
      </c>
      <c r="BE49">
        <f t="array" ref="BE49">IFERROR((SUMPRODUCT((economics!$AG$2:$AG$167=$B49)*(economics!$D$2:$D$167="process")*economics!$AI$2:$AI$167*(_xlfn.NORM.DIST(BE$3,economics!$AK$2:$AK$167,economics!$AJ$2:$AJ$167,TRUE)-_xlfn.NORM.DIST(BE$30,economics!$AK$2:$AK$167,economics!$AJ$2:$AJ$167,TRUE))*economics!$AM$2:$AM$167))/(SUMPRODUCT((economics!$AG$2:$AG$167=$B49)*(economics!$D$2:$D$167="process")*economics!$AI$2:$AI$167*(_xlfn.NORM.DIST(BE$3,economics!$AK$2:$AK$167,economics!$AJ$2:$AJ$167,TRUE)-_xlfn.NORM.DIST(BE$30,economics!$AK$2:$AK$167,economics!$AJ$2:$AJ$167,TRUE)))),"")</f>
        <v/>
      </c>
      <c r="BF49">
        <f t="array" ref="BF49">IFERROR((SUMPRODUCT((economics!$AG$2:$AG$167=$B49)*(economics!$D$2:$D$167="process")*economics!$AI$2:$AI$167*(_xlfn.NORM.DIST(BF$3,economics!$AK$2:$AK$167,economics!$AJ$2:$AJ$167,TRUE)-_xlfn.NORM.DIST(BF$30,economics!$AK$2:$AK$167,economics!$AJ$2:$AJ$167,TRUE))*economics!$AM$2:$AM$167))/(SUMPRODUCT((economics!$AG$2:$AG$167=$B49)*(economics!$D$2:$D$167="process")*economics!$AI$2:$AI$167*(_xlfn.NORM.DIST(BF$3,economics!$AK$2:$AK$167,economics!$AJ$2:$AJ$167,TRUE)-_xlfn.NORM.DIST(BF$30,economics!$AK$2:$AK$167,economics!$AJ$2:$AJ$167,TRUE)))),"")</f>
        <v/>
      </c>
      <c r="BG49">
        <f t="array" ref="BG49">IFERROR((SUMPRODUCT((economics!$AG$2:$AG$167=$B49)*(economics!$D$2:$D$167="process")*economics!$AI$2:$AI$167*(_xlfn.NORM.DIST(BG$3,economics!$AK$2:$AK$167,economics!$AJ$2:$AJ$167,TRUE)-_xlfn.NORM.DIST(BG$30,economics!$AK$2:$AK$167,economics!$AJ$2:$AJ$167,TRUE))*economics!$AM$2:$AM$167))/(SUMPRODUCT((economics!$AG$2:$AG$167=$B49)*(economics!$D$2:$D$167="process")*economics!$AI$2:$AI$167*(_xlfn.NORM.DIST(BG$3,economics!$AK$2:$AK$167,economics!$AJ$2:$AJ$167,TRUE)-_xlfn.NORM.DIST(BG$30,economics!$AK$2:$AK$167,economics!$AJ$2:$AJ$167,TRUE)))),"")</f>
        <v/>
      </c>
      <c r="BH49">
        <f t="array" ref="BH49">IFERROR((SUMPRODUCT((economics!$AG$2:$AG$167=$B49)*(economics!$D$2:$D$167="process")*economics!$AI$2:$AI$167*(_xlfn.NORM.DIST(BH$3,economics!$AK$2:$AK$167,economics!$AJ$2:$AJ$167,TRUE)-_xlfn.NORM.DIST(BH$30,economics!$AK$2:$AK$167,economics!$AJ$2:$AJ$167,TRUE))*economics!$AM$2:$AM$167))/(SUMPRODUCT((economics!$AG$2:$AG$167=$B49)*(economics!$D$2:$D$167="process")*economics!$AI$2:$AI$167*(_xlfn.NORM.DIST(BH$3,economics!$AK$2:$AK$167,economics!$AJ$2:$AJ$167,TRUE)-_xlfn.NORM.DIST(BH$30,economics!$AK$2:$AK$167,economics!$AJ$2:$AJ$167,TRUE)))),"")</f>
        <v/>
      </c>
      <c r="BI49">
        <f t="array" ref="BI49">IFERROR((SUMPRODUCT((economics!$AG$2:$AG$167=$B49)*(economics!$D$2:$D$167="process")*economics!$AI$2:$AI$167*(_xlfn.NORM.DIST(BI$3,economics!$AK$2:$AK$167,economics!$AJ$2:$AJ$167,TRUE)-_xlfn.NORM.DIST(BI$30,economics!$AK$2:$AK$167,economics!$AJ$2:$AJ$167,TRUE))*economics!$AM$2:$AM$167))/(SUMPRODUCT((economics!$AG$2:$AG$167=$B49)*(economics!$D$2:$D$167="process")*economics!$AI$2:$AI$167*(_xlfn.NORM.DIST(BI$3,economics!$AK$2:$AK$167,economics!$AJ$2:$AJ$167,TRUE)-_xlfn.NORM.DIST(BI$30,economics!$AK$2:$AK$167,economics!$AJ$2:$AJ$167,TRUE)))),"")</f>
        <v/>
      </c>
      <c r="BJ49">
        <f t="array" ref="BJ49">IFERROR((SUMPRODUCT((economics!$AG$2:$AG$167=$B49)*(economics!$D$2:$D$167="process")*economics!$AI$2:$AI$167*(_xlfn.NORM.DIST(BJ$3,economics!$AK$2:$AK$167,economics!$AJ$2:$AJ$167,TRUE)-_xlfn.NORM.DIST(BJ$30,economics!$AK$2:$AK$167,economics!$AJ$2:$AJ$167,TRUE))*economics!$AM$2:$AM$167))/(SUMPRODUCT((economics!$AG$2:$AG$167=$B49)*(economics!$D$2:$D$167="process")*economics!$AI$2:$AI$167*(_xlfn.NORM.DIST(BJ$3,economics!$AK$2:$AK$167,economics!$AJ$2:$AJ$167,TRUE)-_xlfn.NORM.DIST(BJ$30,economics!$AK$2:$AK$167,economics!$AJ$2:$AJ$167,TRUE)))),"")</f>
        <v/>
      </c>
      <c r="BK49">
        <f t="array" ref="BK49">IFERROR((SUMPRODUCT((economics!$AG$2:$AG$167=$B49)*(economics!$D$2:$D$167="process")*economics!$AI$2:$AI$167*(_xlfn.NORM.DIST(BK$3,economics!$AK$2:$AK$167,economics!$AJ$2:$AJ$167,TRUE)-_xlfn.NORM.DIST(BK$30,economics!$AK$2:$AK$167,economics!$AJ$2:$AJ$167,TRUE))*economics!$AM$2:$AM$167))/(SUMPRODUCT((economics!$AG$2:$AG$167=$B49)*(economics!$D$2:$D$167="process")*economics!$AI$2:$AI$167*(_xlfn.NORM.DIST(BK$3,economics!$AK$2:$AK$167,economics!$AJ$2:$AJ$167,TRUE)-_xlfn.NORM.DIST(BK$30,economics!$AK$2:$AK$167,economics!$AJ$2:$AJ$167,TRUE)))),"")</f>
        <v/>
      </c>
      <c r="BL49">
        <f t="array" ref="BL49">IFERROR((SUMPRODUCT((economics!$AG$2:$AG$167=$B49)*(economics!$D$2:$D$167="process")*economics!$AI$2:$AI$167*(_xlfn.NORM.DIST(BL$3,economics!$AK$2:$AK$167,economics!$AJ$2:$AJ$167,TRUE)-_xlfn.NORM.DIST(BL$30,economics!$AK$2:$AK$167,economics!$AJ$2:$AJ$167,TRUE))*economics!$AM$2:$AM$167))/(SUMPRODUCT((economics!$AG$2:$AG$167=$B49)*(economics!$D$2:$D$167="process")*economics!$AI$2:$AI$167*(_xlfn.NORM.DIST(BL$3,economics!$AK$2:$AK$167,economics!$AJ$2:$AJ$167,TRUE)-_xlfn.NORM.DIST(BL$30,economics!$AK$2:$AK$167,economics!$AJ$2:$AJ$167,TRUE)))),"")</f>
        <v/>
      </c>
      <c r="BM49">
        <f t="array" ref="BM49">IFERROR((SUMPRODUCT((economics!$AG$2:$AG$167=$B49)*(economics!$D$2:$D$167="process")*economics!$AI$2:$AI$167*(_xlfn.NORM.DIST(BM$3,economics!$AK$2:$AK$167,economics!$AJ$2:$AJ$167,TRUE)-_xlfn.NORM.DIST(BM$30,economics!$AK$2:$AK$167,economics!$AJ$2:$AJ$167,TRUE))*economics!$AM$2:$AM$167))/(SUMPRODUCT((economics!$AG$2:$AG$167=$B49)*(economics!$D$2:$D$167="process")*economics!$AI$2:$AI$167*(_xlfn.NORM.DIST(BM$3,economics!$AK$2:$AK$167,economics!$AJ$2:$AJ$167,TRUE)-_xlfn.NORM.DIST(BM$30,economics!$AK$2:$AK$167,economics!$AJ$2:$AJ$167,TRUE)))),"")</f>
        <v/>
      </c>
      <c r="BN49">
        <f t="array" ref="BN49">IFERROR((SUMPRODUCT((economics!$AG$2:$AG$167=$B49)*(economics!$D$2:$D$167="process")*economics!$AI$2:$AI$167*(_xlfn.NORM.DIST(BN$3,economics!$AK$2:$AK$167,economics!$AJ$2:$AJ$167,TRUE)-_xlfn.NORM.DIST(BN$30,economics!$AK$2:$AK$167,economics!$AJ$2:$AJ$167,TRUE))*economics!$AM$2:$AM$167))/(SUMPRODUCT((economics!$AG$2:$AG$167=$B49)*(economics!$D$2:$D$167="process")*economics!$AI$2:$AI$167*(_xlfn.NORM.DIST(BN$3,economics!$AK$2:$AK$167,economics!$AJ$2:$AJ$167,TRUE)-_xlfn.NORM.DIST(BN$30,economics!$AK$2:$AK$167,economics!$AJ$2:$AJ$167,TRUE)))),"")</f>
        <v/>
      </c>
      <c r="BO49">
        <f t="array" ref="BO49">IFERROR((SUMPRODUCT((economics!$AG$2:$AG$167=$B49)*(economics!$D$2:$D$167="process")*economics!$AI$2:$AI$167*(_xlfn.NORM.DIST(BO$3,economics!$AK$2:$AK$167,economics!$AJ$2:$AJ$167,TRUE)-_xlfn.NORM.DIST(BO$30,economics!$AK$2:$AK$167,economics!$AJ$2:$AJ$167,TRUE))*economics!$AM$2:$AM$167))/(SUMPRODUCT((economics!$AG$2:$AG$167=$B49)*(economics!$D$2:$D$167="process")*economics!$AI$2:$AI$167*(_xlfn.NORM.DIST(BO$3,economics!$AK$2:$AK$167,economics!$AJ$2:$AJ$167,TRUE)-_xlfn.NORM.DIST(BO$30,economics!$AK$2:$AK$167,economics!$AJ$2:$AJ$167,TRUE)))),"")</f>
        <v/>
      </c>
      <c r="BP49">
        <f t="array" ref="BP49">IFERROR((SUMPRODUCT((economics!$AG$2:$AG$167=$B49)*(economics!$D$2:$D$167="process")*economics!$AI$2:$AI$167*(_xlfn.NORM.DIST(BP$3,economics!$AK$2:$AK$167,economics!$AJ$2:$AJ$167,TRUE)-_xlfn.NORM.DIST(BP$30,economics!$AK$2:$AK$167,economics!$AJ$2:$AJ$167,TRUE))*economics!$AM$2:$AM$167))/(SUMPRODUCT((economics!$AG$2:$AG$167=$B49)*(economics!$D$2:$D$167="process")*economics!$AI$2:$AI$167*(_xlfn.NORM.DIST(BP$3,economics!$AK$2:$AK$167,economics!$AJ$2:$AJ$167,TRUE)-_xlfn.NORM.DIST(BP$30,economics!$AK$2:$AK$167,economics!$AJ$2:$AJ$167,TRUE)))),"")</f>
        <v/>
      </c>
      <c r="BQ49">
        <f t="array" ref="BQ49">IFERROR((SUMPRODUCT((economics!$AG$2:$AG$167=$B49)*(economics!$D$2:$D$167="process")*economics!$AI$2:$AI$167*(_xlfn.NORM.DIST(BQ$3,economics!$AK$2:$AK$167,economics!$AJ$2:$AJ$167,TRUE)-_xlfn.NORM.DIST(BQ$30,economics!$AK$2:$AK$167,economics!$AJ$2:$AJ$167,TRUE))*economics!$AM$2:$AM$167))/(SUMPRODUCT((economics!$AG$2:$AG$167=$B49)*(economics!$D$2:$D$167="process")*economics!$AI$2:$AI$167*(_xlfn.NORM.DIST(BQ$3,economics!$AK$2:$AK$167,economics!$AJ$2:$AJ$167,TRUE)-_xlfn.NORM.DIST(BQ$30,economics!$AK$2:$AK$167,economics!$AJ$2:$AJ$167,TRUE)))),"")</f>
        <v/>
      </c>
      <c r="BR49">
        <f t="array" ref="BR49">IFERROR((SUMPRODUCT((economics!$AG$2:$AG$167=$B49)*(economics!$D$2:$D$167="process")*economics!$AI$2:$AI$167*(_xlfn.NORM.DIST(BR$3,economics!$AK$2:$AK$167,economics!$AJ$2:$AJ$167,TRUE)-_xlfn.NORM.DIST(BR$30,economics!$AK$2:$AK$167,economics!$AJ$2:$AJ$167,TRUE))*economics!$AM$2:$AM$167))/(SUMPRODUCT((economics!$AG$2:$AG$167=$B49)*(economics!$D$2:$D$167="process")*economics!$AI$2:$AI$167*(_xlfn.NORM.DIST(BR$3,economics!$AK$2:$AK$167,economics!$AJ$2:$AJ$167,TRUE)-_xlfn.NORM.DIST(BR$30,economics!$AK$2:$AK$167,economics!$AJ$2:$AJ$167,TRUE)))),"")</f>
        <v/>
      </c>
      <c r="BS49">
        <f t="array" ref="BS49">IFERROR((SUMPRODUCT((economics!$AG$2:$AG$167=$B49)*(economics!$D$2:$D$167="process")*economics!$AI$2:$AI$167*(_xlfn.NORM.DIST(BS$3,economics!$AK$2:$AK$167,economics!$AJ$2:$AJ$167,TRUE)-_xlfn.NORM.DIST(BS$30,economics!$AK$2:$AK$167,economics!$AJ$2:$AJ$167,TRUE))*economics!$AM$2:$AM$167))/(SUMPRODUCT((economics!$AG$2:$AG$167=$B49)*(economics!$D$2:$D$167="process")*economics!$AI$2:$AI$167*(_xlfn.NORM.DIST(BS$3,economics!$AK$2:$AK$167,economics!$AJ$2:$AJ$167,TRUE)-_xlfn.NORM.DIST(BS$30,economics!$AK$2:$AK$167,economics!$AJ$2:$AJ$167,TRUE)))),"")</f>
        <v/>
      </c>
      <c r="BT49">
        <f t="array" ref="BT49">IFERROR((SUMPRODUCT((economics!$AG$2:$AG$167=$B49)*(economics!$D$2:$D$167="process")*economics!$AI$2:$AI$167*(_xlfn.NORM.DIST(BT$3,economics!$AK$2:$AK$167,economics!$AJ$2:$AJ$167,TRUE)-_xlfn.NORM.DIST(BT$30,economics!$AK$2:$AK$167,economics!$AJ$2:$AJ$167,TRUE))*economics!$AM$2:$AM$167))/(SUMPRODUCT((economics!$AG$2:$AG$167=$B49)*(economics!$D$2:$D$167="process")*economics!$AI$2:$AI$167*(_xlfn.NORM.DIST(BT$3,economics!$AK$2:$AK$167,economics!$AJ$2:$AJ$167,TRUE)-_xlfn.NORM.DIST(BT$30,economics!$AK$2:$AK$167,economics!$AJ$2:$AJ$167,TRUE)))),"")</f>
        <v/>
      </c>
      <c r="BU49">
        <f t="array" ref="BU49">IFERROR((SUMPRODUCT((economics!$AG$2:$AG$167=$B49)*(economics!$D$2:$D$167="process")*economics!$AI$2:$AI$167*(_xlfn.NORM.DIST(BU$3,economics!$AK$2:$AK$167,economics!$AJ$2:$AJ$167,TRUE)-_xlfn.NORM.DIST(BU$30,economics!$AK$2:$AK$167,economics!$AJ$2:$AJ$167,TRUE))*economics!$AM$2:$AM$167))/(SUMPRODUCT((economics!$AG$2:$AG$167=$B49)*(economics!$D$2:$D$167="process")*economics!$AI$2:$AI$167*(_xlfn.NORM.DIST(BU$3,economics!$AK$2:$AK$167,economics!$AJ$2:$AJ$167,TRUE)-_xlfn.NORM.DIST(BU$30,economics!$AK$2:$AK$167,economics!$AJ$2:$AJ$167,TRUE)))),"")</f>
        <v/>
      </c>
      <c r="BV49">
        <f t="array" ref="BV49">IFERROR((SUMPRODUCT((economics!$AG$2:$AG$167=$B49)*(economics!$D$2:$D$167="process")*economics!$AI$2:$AI$167*(_xlfn.NORM.DIST(BV$3,economics!$AK$2:$AK$167,economics!$AJ$2:$AJ$167,TRUE)-_xlfn.NORM.DIST(BV$30,economics!$AK$2:$AK$167,economics!$AJ$2:$AJ$167,TRUE))*economics!$AM$2:$AM$167))/(SUMPRODUCT((economics!$AG$2:$AG$167=$B49)*(economics!$D$2:$D$167="process")*economics!$AI$2:$AI$167*(_xlfn.NORM.DIST(BV$3,economics!$AK$2:$AK$167,economics!$AJ$2:$AJ$167,TRUE)-_xlfn.NORM.DIST(BV$30,economics!$AK$2:$AK$167,economics!$AJ$2:$AJ$167,TRUE)))),"")</f>
        <v/>
      </c>
      <c r="BW49">
        <f t="array" ref="BW49">IFERROR((SUMPRODUCT((economics!$AG$2:$AG$167=$B49)*(economics!$D$2:$D$167="process")*economics!$AI$2:$AI$167*(_xlfn.NORM.DIST(BW$3,economics!$AK$2:$AK$167,economics!$AJ$2:$AJ$167,TRUE)-_xlfn.NORM.DIST(BW$30,economics!$AK$2:$AK$167,economics!$AJ$2:$AJ$167,TRUE))*economics!$AM$2:$AM$167))/(SUMPRODUCT((economics!$AG$2:$AG$167=$B49)*(economics!$D$2:$D$167="process")*economics!$AI$2:$AI$167*(_xlfn.NORM.DIST(BW$3,economics!$AK$2:$AK$167,economics!$AJ$2:$AJ$167,TRUE)-_xlfn.NORM.DIST(BW$30,economics!$AK$2:$AK$167,economics!$AJ$2:$AJ$167,TRUE)))),"")</f>
        <v/>
      </c>
      <c r="BX49">
        <f t="array" ref="BX49">IFERROR((SUMPRODUCT((economics!$AG$2:$AG$167=$B49)*(economics!$D$2:$D$167="process")*economics!$AI$2:$AI$167*(_xlfn.NORM.DIST(BX$3,economics!$AK$2:$AK$167,economics!$AJ$2:$AJ$167,TRUE)-_xlfn.NORM.DIST(BX$30,economics!$AK$2:$AK$167,economics!$AJ$2:$AJ$167,TRUE))*economics!$AM$2:$AM$167))/(SUMPRODUCT((economics!$AG$2:$AG$167=$B49)*(economics!$D$2:$D$167="process")*economics!$AI$2:$AI$167*(_xlfn.NORM.DIST(BX$3,economics!$AK$2:$AK$167,economics!$AJ$2:$AJ$167,TRUE)-_xlfn.NORM.DIST(BX$30,economics!$AK$2:$AK$167,economics!$AJ$2:$AJ$167,TRUE)))),"")</f>
        <v/>
      </c>
      <c r="BY49">
        <f t="array" ref="BY49">IFERROR((SUMPRODUCT((economics!$AG$2:$AG$167=$B49)*(economics!$D$2:$D$167="process")*economics!$AI$2:$AI$167*(_xlfn.NORM.DIST(BY$3,economics!$AK$2:$AK$167,economics!$AJ$2:$AJ$167,TRUE)-_xlfn.NORM.DIST(BY$30,economics!$AK$2:$AK$167,economics!$AJ$2:$AJ$167,TRUE))*economics!$AM$2:$AM$167))/(SUMPRODUCT((economics!$AG$2:$AG$167=$B49)*(economics!$D$2:$D$167="process")*economics!$AI$2:$AI$167*(_xlfn.NORM.DIST(BY$3,economics!$AK$2:$AK$167,economics!$AJ$2:$AJ$167,TRUE)-_xlfn.NORM.DIST(BY$30,economics!$AK$2:$AK$167,economics!$AJ$2:$AJ$167,TRUE)))),"")</f>
        <v/>
      </c>
      <c r="BZ49">
        <f t="array" ref="BZ49">IFERROR((SUMPRODUCT((economics!$AG$2:$AG$167=$B49)*(economics!$D$2:$D$167="process")*economics!$AI$2:$AI$167*(_xlfn.NORM.DIST(BZ$3,economics!$AK$2:$AK$167,economics!$AJ$2:$AJ$167,TRUE)-_xlfn.NORM.DIST(BZ$30,economics!$AK$2:$AK$167,economics!$AJ$2:$AJ$167,TRUE))*economics!$AM$2:$AM$167))/(SUMPRODUCT((economics!$AG$2:$AG$167=$B49)*(economics!$D$2:$D$167="process")*economics!$AI$2:$AI$167*(_xlfn.NORM.DIST(BZ$3,economics!$AK$2:$AK$167,economics!$AJ$2:$AJ$167,TRUE)-_xlfn.NORM.DIST(BZ$30,economics!$AK$2:$AK$167,economics!$AJ$2:$AJ$167,TRUE)))),"")</f>
        <v/>
      </c>
      <c r="CA49">
        <f t="array" ref="CA49">IFERROR((SUMPRODUCT((economics!$AG$2:$AG$167=$B49)*(economics!$D$2:$D$167="process")*economics!$AI$2:$AI$167*(_xlfn.NORM.DIST(CA$3,economics!$AK$2:$AK$167,economics!$AJ$2:$AJ$167,TRUE)-_xlfn.NORM.DIST(CA$30,economics!$AK$2:$AK$167,economics!$AJ$2:$AJ$167,TRUE))*economics!$AM$2:$AM$167))/(SUMPRODUCT((economics!$AG$2:$AG$167=$B49)*(economics!$D$2:$D$167="process")*economics!$AI$2:$AI$167*(_xlfn.NORM.DIST(CA$3,economics!$AK$2:$AK$167,economics!$AJ$2:$AJ$167,TRUE)-_xlfn.NORM.DIST(CA$30,economics!$AK$2:$AK$167,economics!$AJ$2:$AJ$167,TRUE)))),"")</f>
        <v/>
      </c>
      <c r="CB49">
        <f t="array" ref="CB49">IFERROR((SUMPRODUCT((economics!$AG$2:$AG$167=$B49)*(economics!$D$2:$D$167="process")*economics!$AI$2:$AI$167*(_xlfn.NORM.DIST(CB$3,economics!$AK$2:$AK$167,economics!$AJ$2:$AJ$167,TRUE)-_xlfn.NORM.DIST(CB$30,economics!$AK$2:$AK$167,economics!$AJ$2:$AJ$167,TRUE))*economics!$AM$2:$AM$167))/(SUMPRODUCT((economics!$AG$2:$AG$167=$B49)*(economics!$D$2:$D$167="process")*economics!$AI$2:$AI$167*(_xlfn.NORM.DIST(CB$3,economics!$AK$2:$AK$167,economics!$AJ$2:$AJ$167,TRUE)-_xlfn.NORM.DIST(CB$30,economics!$AK$2:$AK$167,economics!$AJ$2:$AJ$167,TRUE)))),"")</f>
        <v/>
      </c>
      <c r="CC49">
        <f t="array" ref="CC49">IFERROR((SUMPRODUCT((economics!$AG$2:$AG$167=$B49)*(economics!$D$2:$D$167="process")*economics!$AI$2:$AI$167*(_xlfn.NORM.DIST(CC$3,economics!$AK$2:$AK$167,economics!$AJ$2:$AJ$167,TRUE)-_xlfn.NORM.DIST(CC$30,economics!$AK$2:$AK$167,economics!$AJ$2:$AJ$167,TRUE))*economics!$AM$2:$AM$167))/(SUMPRODUCT((economics!$AG$2:$AG$167=$B49)*(economics!$D$2:$D$167="process")*economics!$AI$2:$AI$167*(_xlfn.NORM.DIST(CC$3,economics!$AK$2:$AK$167,economics!$AJ$2:$AJ$167,TRUE)-_xlfn.NORM.DIST(CC$30,economics!$AK$2:$AK$167,economics!$AJ$2:$AJ$167,TRUE)))),"")</f>
        <v/>
      </c>
      <c r="CD49">
        <f t="array" ref="CD49">IFERROR((SUMPRODUCT((economics!$AG$2:$AG$167=$B49)*(economics!$D$2:$D$167="process")*economics!$AI$2:$AI$167*(_xlfn.NORM.DIST(CD$3,economics!$AK$2:$AK$167,economics!$AJ$2:$AJ$167,TRUE)-_xlfn.NORM.DIST(CD$30,economics!$AK$2:$AK$167,economics!$AJ$2:$AJ$167,TRUE))*economics!$AM$2:$AM$167))/(SUMPRODUCT((economics!$AG$2:$AG$167=$B49)*(economics!$D$2:$D$167="process")*economics!$AI$2:$AI$167*(_xlfn.NORM.DIST(CD$3,economics!$AK$2:$AK$167,economics!$AJ$2:$AJ$167,TRUE)-_xlfn.NORM.DIST(CD$30,economics!$AK$2:$AK$167,economics!$AJ$2:$AJ$167,TRUE)))),"")</f>
        <v/>
      </c>
      <c r="CE49">
        <f t="array" ref="CE49">IFERROR((SUMPRODUCT((economics!$AG$2:$AG$167=$B49)*(economics!$D$2:$D$167="process")*economics!$AI$2:$AI$167*(_xlfn.NORM.DIST(CE$3,economics!$AK$2:$AK$167,economics!$AJ$2:$AJ$167,TRUE)-_xlfn.NORM.DIST(CE$30,economics!$AK$2:$AK$167,economics!$AJ$2:$AJ$167,TRUE))*economics!$AM$2:$AM$167))/(SUMPRODUCT((economics!$AG$2:$AG$167=$B49)*(economics!$D$2:$D$167="process")*economics!$AI$2:$AI$167*(_xlfn.NORM.DIST(CE$3,economics!$AK$2:$AK$167,economics!$AJ$2:$AJ$167,TRUE)-_xlfn.NORM.DIST(CE$30,economics!$AK$2:$AK$167,economics!$AJ$2:$AJ$167,TRUE)))),"")</f>
        <v/>
      </c>
      <c r="CF49">
        <f t="array" ref="CF49">IFERROR((SUMPRODUCT((economics!$AG$2:$AG$167=$B49)*(economics!$D$2:$D$167="process")*economics!$AI$2:$AI$167*(_xlfn.NORM.DIST(CF$3,economics!$AK$2:$AK$167,economics!$AJ$2:$AJ$167,TRUE)-_xlfn.NORM.DIST(CF$30,economics!$AK$2:$AK$167,economics!$AJ$2:$AJ$167,TRUE))*economics!$AM$2:$AM$167))/(SUMPRODUCT((economics!$AG$2:$AG$167=$B49)*(economics!$D$2:$D$167="process")*economics!$AI$2:$AI$167*(_xlfn.NORM.DIST(CF$3,economics!$AK$2:$AK$167,economics!$AJ$2:$AJ$167,TRUE)-_xlfn.NORM.DIST(CF$30,economics!$AK$2:$AK$167,economics!$AJ$2:$AJ$167,TRUE)))),"")</f>
        <v/>
      </c>
      <c r="CG49">
        <f t="array" ref="CG49">IFERROR((SUMPRODUCT((economics!$AG$2:$AG$167=$B49)*(economics!$D$2:$D$167="process")*economics!$AI$2:$AI$167*(_xlfn.NORM.DIST(CG$3,economics!$AK$2:$AK$167,economics!$AJ$2:$AJ$167,TRUE)-_xlfn.NORM.DIST(CG$30,economics!$AK$2:$AK$167,economics!$AJ$2:$AJ$167,TRUE))*economics!$AM$2:$AM$167))/(SUMPRODUCT((economics!$AG$2:$AG$167=$B49)*(economics!$D$2:$D$167="process")*economics!$AI$2:$AI$167*(_xlfn.NORM.DIST(CG$3,economics!$AK$2:$AK$167,economics!$AJ$2:$AJ$167,TRUE)-_xlfn.NORM.DIST(CG$30,economics!$AK$2:$AK$167,economics!$AJ$2:$AJ$167,TRUE)))),"")</f>
        <v/>
      </c>
      <c r="CH49">
        <f t="array" ref="CH49">IFERROR((SUMPRODUCT((economics!$AG$2:$AG$167=$B49)*(economics!$D$2:$D$167="process")*economics!$AI$2:$AI$167*(_xlfn.NORM.DIST(CH$3,economics!$AK$2:$AK$167,economics!$AJ$2:$AJ$167,TRUE)-_xlfn.NORM.DIST(CH$30,economics!$AK$2:$AK$167,economics!$AJ$2:$AJ$167,TRUE))*economics!$AM$2:$AM$167))/(SUMPRODUCT((economics!$AG$2:$AG$167=$B49)*(economics!$D$2:$D$167="process")*economics!$AI$2:$AI$167*(_xlfn.NORM.DIST(CH$3,economics!$AK$2:$AK$167,economics!$AJ$2:$AJ$167,TRUE)-_xlfn.NORM.DIST(CH$30,economics!$AK$2:$AK$167,economics!$AJ$2:$AJ$167,TRUE)))),"")</f>
        <v/>
      </c>
    </row>
    <row r="50">
      <c r="A50">
        <f>A21</f>
        <v/>
      </c>
      <c r="B50">
        <f>B21</f>
        <v/>
      </c>
      <c r="E50">
        <f t="array" ref="E50">IFERROR((SUMPRODUCT((economics!$AG$2:$AG$167=$B50)*(economics!$D$2:$D$167="process")*economics!$AI$2:$AI$167*(_xlfn.NORM.DIST(E$3,economics!$AK$2:$AK$167,economics!$AJ$2:$AJ$167,TRUE)-_xlfn.NORM.DIST(E$30,economics!$AK$2:$AK$167,economics!$AJ$2:$AJ$167,TRUE))*economics!$AM$2:$AM$167))/(SUMPRODUCT((economics!$AG$2:$AG$167=$B50)*(economics!$D$2:$D$167="process")*economics!$AI$2:$AI$167*(_xlfn.NORM.DIST(E$3,economics!$AK$2:$AK$167,economics!$AJ$2:$AJ$167,TRUE)-_xlfn.NORM.DIST(E$30,economics!$AK$2:$AK$167,economics!$AJ$2:$AJ$167,TRUE)))),"")</f>
        <v/>
      </c>
      <c r="F50">
        <f t="array" ref="F50">IFERROR((SUMPRODUCT((economics!$AG$2:$AG$167=$B50)*(economics!$D$2:$D$167="process")*economics!$AI$2:$AI$167*(_xlfn.NORM.DIST(F$3,economics!$AK$2:$AK$167,economics!$AJ$2:$AJ$167,TRUE)-_xlfn.NORM.DIST(F$30,economics!$AK$2:$AK$167,economics!$AJ$2:$AJ$167,TRUE))*economics!$AM$2:$AM$167))/(SUMPRODUCT((economics!$AG$2:$AG$167=$B50)*(economics!$D$2:$D$167="process")*economics!$AI$2:$AI$167*(_xlfn.NORM.DIST(F$3,economics!$AK$2:$AK$167,economics!$AJ$2:$AJ$167,TRUE)-_xlfn.NORM.DIST(F$30,economics!$AK$2:$AK$167,economics!$AJ$2:$AJ$167,TRUE)))),"")</f>
        <v/>
      </c>
      <c r="G50">
        <f t="array" ref="G50">IFERROR((SUMPRODUCT((economics!$AG$2:$AG$167=$B50)*(economics!$D$2:$D$167="process")*economics!$AI$2:$AI$167*(_xlfn.NORM.DIST(G$3,economics!$AK$2:$AK$167,economics!$AJ$2:$AJ$167,TRUE)-_xlfn.NORM.DIST(G$30,economics!$AK$2:$AK$167,economics!$AJ$2:$AJ$167,TRUE))*economics!$AM$2:$AM$167))/(SUMPRODUCT((economics!$AG$2:$AG$167=$B50)*(economics!$D$2:$D$167="process")*economics!$AI$2:$AI$167*(_xlfn.NORM.DIST(G$3,economics!$AK$2:$AK$167,economics!$AJ$2:$AJ$167,TRUE)-_xlfn.NORM.DIST(G$30,economics!$AK$2:$AK$167,economics!$AJ$2:$AJ$167,TRUE)))),"")</f>
        <v/>
      </c>
      <c r="H50">
        <f t="array" ref="H50">IFERROR((SUMPRODUCT((economics!$AG$2:$AG$167=$B50)*(economics!$D$2:$D$167="process")*economics!$AI$2:$AI$167*(_xlfn.NORM.DIST(H$3,economics!$AK$2:$AK$167,economics!$AJ$2:$AJ$167,TRUE)-_xlfn.NORM.DIST(H$30,economics!$AK$2:$AK$167,economics!$AJ$2:$AJ$167,TRUE))*economics!$AM$2:$AM$167))/(SUMPRODUCT((economics!$AG$2:$AG$167=$B50)*(economics!$D$2:$D$167="process")*economics!$AI$2:$AI$167*(_xlfn.NORM.DIST(H$3,economics!$AK$2:$AK$167,economics!$AJ$2:$AJ$167,TRUE)-_xlfn.NORM.DIST(H$30,economics!$AK$2:$AK$167,economics!$AJ$2:$AJ$167,TRUE)))),"")</f>
        <v/>
      </c>
      <c r="I50">
        <f t="array" ref="I50">IFERROR((SUMPRODUCT((economics!$AG$2:$AG$167=$B50)*(economics!$D$2:$D$167="process")*economics!$AI$2:$AI$167*(_xlfn.NORM.DIST(I$3,economics!$AK$2:$AK$167,economics!$AJ$2:$AJ$167,TRUE)-_xlfn.NORM.DIST(I$30,economics!$AK$2:$AK$167,economics!$AJ$2:$AJ$167,TRUE))*economics!$AM$2:$AM$167))/(SUMPRODUCT((economics!$AG$2:$AG$167=$B50)*(economics!$D$2:$D$167="process")*economics!$AI$2:$AI$167*(_xlfn.NORM.DIST(I$3,economics!$AK$2:$AK$167,economics!$AJ$2:$AJ$167,TRUE)-_xlfn.NORM.DIST(I$30,economics!$AK$2:$AK$167,economics!$AJ$2:$AJ$167,TRUE)))),"")</f>
        <v/>
      </c>
      <c r="J50">
        <f t="array" ref="J50">IFERROR((SUMPRODUCT((economics!$AG$2:$AG$167=$B50)*(economics!$D$2:$D$167="process")*economics!$AI$2:$AI$167*(_xlfn.NORM.DIST(J$3,economics!$AK$2:$AK$167,economics!$AJ$2:$AJ$167,TRUE)-_xlfn.NORM.DIST(J$30,economics!$AK$2:$AK$167,economics!$AJ$2:$AJ$167,TRUE))*economics!$AM$2:$AM$167))/(SUMPRODUCT((economics!$AG$2:$AG$167=$B50)*(economics!$D$2:$D$167="process")*economics!$AI$2:$AI$167*(_xlfn.NORM.DIST(J$3,economics!$AK$2:$AK$167,economics!$AJ$2:$AJ$167,TRUE)-_xlfn.NORM.DIST(J$30,economics!$AK$2:$AK$167,economics!$AJ$2:$AJ$167,TRUE)))),"")</f>
        <v/>
      </c>
      <c r="K50">
        <f t="array" ref="K50">IFERROR((SUMPRODUCT((economics!$AG$2:$AG$167=$B50)*(economics!$D$2:$D$167="process")*economics!$AI$2:$AI$167*(_xlfn.NORM.DIST(K$3,economics!$AK$2:$AK$167,economics!$AJ$2:$AJ$167,TRUE)-_xlfn.NORM.DIST(K$30,economics!$AK$2:$AK$167,economics!$AJ$2:$AJ$167,TRUE))*economics!$AM$2:$AM$167))/(SUMPRODUCT((economics!$AG$2:$AG$167=$B50)*(economics!$D$2:$D$167="process")*economics!$AI$2:$AI$167*(_xlfn.NORM.DIST(K$3,economics!$AK$2:$AK$167,economics!$AJ$2:$AJ$167,TRUE)-_xlfn.NORM.DIST(K$30,economics!$AK$2:$AK$167,economics!$AJ$2:$AJ$167,TRUE)))),"")</f>
        <v/>
      </c>
      <c r="L50">
        <f t="array" ref="L50">IFERROR((SUMPRODUCT((economics!$AG$2:$AG$167=$B50)*(economics!$D$2:$D$167="process")*economics!$AI$2:$AI$167*(_xlfn.NORM.DIST(L$3,economics!$AK$2:$AK$167,economics!$AJ$2:$AJ$167,TRUE)-_xlfn.NORM.DIST(L$30,economics!$AK$2:$AK$167,economics!$AJ$2:$AJ$167,TRUE))*economics!$AM$2:$AM$167))/(SUMPRODUCT((economics!$AG$2:$AG$167=$B50)*(economics!$D$2:$D$167="process")*economics!$AI$2:$AI$167*(_xlfn.NORM.DIST(L$3,economics!$AK$2:$AK$167,economics!$AJ$2:$AJ$167,TRUE)-_xlfn.NORM.DIST(L$30,economics!$AK$2:$AK$167,economics!$AJ$2:$AJ$167,TRUE)))),"")</f>
        <v/>
      </c>
      <c r="M50">
        <f t="array" ref="M50">IFERROR((SUMPRODUCT((economics!$AG$2:$AG$167=$B50)*(economics!$D$2:$D$167="process")*economics!$AI$2:$AI$167*(_xlfn.NORM.DIST(M$3,economics!$AK$2:$AK$167,economics!$AJ$2:$AJ$167,TRUE)-_xlfn.NORM.DIST(M$30,economics!$AK$2:$AK$167,economics!$AJ$2:$AJ$167,TRUE))*economics!$AM$2:$AM$167))/(SUMPRODUCT((economics!$AG$2:$AG$167=$B50)*(economics!$D$2:$D$167="process")*economics!$AI$2:$AI$167*(_xlfn.NORM.DIST(M$3,economics!$AK$2:$AK$167,economics!$AJ$2:$AJ$167,TRUE)-_xlfn.NORM.DIST(M$30,economics!$AK$2:$AK$167,economics!$AJ$2:$AJ$167,TRUE)))),"")</f>
        <v/>
      </c>
      <c r="N50">
        <f t="array" ref="N50">IFERROR((SUMPRODUCT((economics!$AG$2:$AG$167=$B50)*(economics!$D$2:$D$167="process")*economics!$AI$2:$AI$167*(_xlfn.NORM.DIST(N$3,economics!$AK$2:$AK$167,economics!$AJ$2:$AJ$167,TRUE)-_xlfn.NORM.DIST(N$30,economics!$AK$2:$AK$167,economics!$AJ$2:$AJ$167,TRUE))*economics!$AM$2:$AM$167))/(SUMPRODUCT((economics!$AG$2:$AG$167=$B50)*(economics!$D$2:$D$167="process")*economics!$AI$2:$AI$167*(_xlfn.NORM.DIST(N$3,economics!$AK$2:$AK$167,economics!$AJ$2:$AJ$167,TRUE)-_xlfn.NORM.DIST(N$30,economics!$AK$2:$AK$167,economics!$AJ$2:$AJ$167,TRUE)))),"")</f>
        <v/>
      </c>
      <c r="O50">
        <f t="array" ref="O50">IFERROR((SUMPRODUCT((economics!$AG$2:$AG$167=$B50)*(economics!$D$2:$D$167="process")*economics!$AI$2:$AI$167*(_xlfn.NORM.DIST(O$3,economics!$AK$2:$AK$167,economics!$AJ$2:$AJ$167,TRUE)-_xlfn.NORM.DIST(O$30,economics!$AK$2:$AK$167,economics!$AJ$2:$AJ$167,TRUE))*economics!$AM$2:$AM$167))/(SUMPRODUCT((economics!$AG$2:$AG$167=$B50)*(economics!$D$2:$D$167="process")*economics!$AI$2:$AI$167*(_xlfn.NORM.DIST(O$3,economics!$AK$2:$AK$167,economics!$AJ$2:$AJ$167,TRUE)-_xlfn.NORM.DIST(O$30,economics!$AK$2:$AK$167,economics!$AJ$2:$AJ$167,TRUE)))),"")</f>
        <v/>
      </c>
      <c r="P50">
        <f t="array" ref="P50">IFERROR((SUMPRODUCT((economics!$AG$2:$AG$167=$B50)*(economics!$D$2:$D$167="process")*economics!$AI$2:$AI$167*(_xlfn.NORM.DIST(P$3,economics!$AK$2:$AK$167,economics!$AJ$2:$AJ$167,TRUE)-_xlfn.NORM.DIST(P$30,economics!$AK$2:$AK$167,economics!$AJ$2:$AJ$167,TRUE))*economics!$AM$2:$AM$167))/(SUMPRODUCT((economics!$AG$2:$AG$167=$B50)*(economics!$D$2:$D$167="process")*economics!$AI$2:$AI$167*(_xlfn.NORM.DIST(P$3,economics!$AK$2:$AK$167,economics!$AJ$2:$AJ$167,TRUE)-_xlfn.NORM.DIST(P$30,economics!$AK$2:$AK$167,economics!$AJ$2:$AJ$167,TRUE)))),"")</f>
        <v/>
      </c>
      <c r="Q50">
        <f t="array" ref="Q50">IFERROR((SUMPRODUCT((economics!$AG$2:$AG$167=$B50)*(economics!$D$2:$D$167="process")*economics!$AI$2:$AI$167*(_xlfn.NORM.DIST(Q$3,economics!$AK$2:$AK$167,economics!$AJ$2:$AJ$167,TRUE)-_xlfn.NORM.DIST(Q$30,economics!$AK$2:$AK$167,economics!$AJ$2:$AJ$167,TRUE))*economics!$AM$2:$AM$167))/(SUMPRODUCT((economics!$AG$2:$AG$167=$B50)*(economics!$D$2:$D$167="process")*economics!$AI$2:$AI$167*(_xlfn.NORM.DIST(Q$3,economics!$AK$2:$AK$167,economics!$AJ$2:$AJ$167,TRUE)-_xlfn.NORM.DIST(Q$30,economics!$AK$2:$AK$167,economics!$AJ$2:$AJ$167,TRUE)))),"")</f>
        <v/>
      </c>
      <c r="R50">
        <f t="array" ref="R50">IFERROR((SUMPRODUCT((economics!$AG$2:$AG$167=$B50)*(economics!$D$2:$D$167="process")*economics!$AI$2:$AI$167*(_xlfn.NORM.DIST(R$3,economics!$AK$2:$AK$167,economics!$AJ$2:$AJ$167,TRUE)-_xlfn.NORM.DIST(R$30,economics!$AK$2:$AK$167,economics!$AJ$2:$AJ$167,TRUE))*economics!$AM$2:$AM$167))/(SUMPRODUCT((economics!$AG$2:$AG$167=$B50)*(economics!$D$2:$D$167="process")*economics!$AI$2:$AI$167*(_xlfn.NORM.DIST(R$3,economics!$AK$2:$AK$167,economics!$AJ$2:$AJ$167,TRUE)-_xlfn.NORM.DIST(R$30,economics!$AK$2:$AK$167,economics!$AJ$2:$AJ$167,TRUE)))),"")</f>
        <v/>
      </c>
      <c r="S50">
        <f t="array" ref="S50">IFERROR((SUMPRODUCT((economics!$AG$2:$AG$167=$B50)*(economics!$D$2:$D$167="process")*economics!$AI$2:$AI$167*(_xlfn.NORM.DIST(S$3,economics!$AK$2:$AK$167,economics!$AJ$2:$AJ$167,TRUE)-_xlfn.NORM.DIST(S$30,economics!$AK$2:$AK$167,economics!$AJ$2:$AJ$167,TRUE))*economics!$AM$2:$AM$167))/(SUMPRODUCT((economics!$AG$2:$AG$167=$B50)*(economics!$D$2:$D$167="process")*economics!$AI$2:$AI$167*(_xlfn.NORM.DIST(S$3,economics!$AK$2:$AK$167,economics!$AJ$2:$AJ$167,TRUE)-_xlfn.NORM.DIST(S$30,economics!$AK$2:$AK$167,economics!$AJ$2:$AJ$167,TRUE)))),"")</f>
        <v/>
      </c>
      <c r="T50">
        <f t="array" ref="T50">IFERROR((SUMPRODUCT((economics!$AG$2:$AG$167=$B50)*(economics!$D$2:$D$167="process")*economics!$AI$2:$AI$167*(_xlfn.NORM.DIST(T$3,economics!$AK$2:$AK$167,economics!$AJ$2:$AJ$167,TRUE)-_xlfn.NORM.DIST(T$30,economics!$AK$2:$AK$167,economics!$AJ$2:$AJ$167,TRUE))*economics!$AM$2:$AM$167))/(SUMPRODUCT((economics!$AG$2:$AG$167=$B50)*(economics!$D$2:$D$167="process")*economics!$AI$2:$AI$167*(_xlfn.NORM.DIST(T$3,economics!$AK$2:$AK$167,economics!$AJ$2:$AJ$167,TRUE)-_xlfn.NORM.DIST(T$30,economics!$AK$2:$AK$167,economics!$AJ$2:$AJ$167,TRUE)))),"")</f>
        <v/>
      </c>
      <c r="U50">
        <f t="array" ref="U50">IFERROR((SUMPRODUCT((economics!$AG$2:$AG$167=$B50)*(economics!$D$2:$D$167="process")*economics!$AI$2:$AI$167*(_xlfn.NORM.DIST(U$3,economics!$AK$2:$AK$167,economics!$AJ$2:$AJ$167,TRUE)-_xlfn.NORM.DIST(U$30,economics!$AK$2:$AK$167,economics!$AJ$2:$AJ$167,TRUE))*economics!$AM$2:$AM$167))/(SUMPRODUCT((economics!$AG$2:$AG$167=$B50)*(economics!$D$2:$D$167="process")*economics!$AI$2:$AI$167*(_xlfn.NORM.DIST(U$3,economics!$AK$2:$AK$167,economics!$AJ$2:$AJ$167,TRUE)-_xlfn.NORM.DIST(U$30,economics!$AK$2:$AK$167,economics!$AJ$2:$AJ$167,TRUE)))),"")</f>
        <v/>
      </c>
      <c r="V50">
        <f t="array" ref="V50">IFERROR((SUMPRODUCT((economics!$AG$2:$AG$167=$B50)*(economics!$D$2:$D$167="process")*economics!$AI$2:$AI$167*(_xlfn.NORM.DIST(V$3,economics!$AK$2:$AK$167,economics!$AJ$2:$AJ$167,TRUE)-_xlfn.NORM.DIST(V$30,economics!$AK$2:$AK$167,economics!$AJ$2:$AJ$167,TRUE))*economics!$AM$2:$AM$167))/(SUMPRODUCT((economics!$AG$2:$AG$167=$B50)*(economics!$D$2:$D$167="process")*economics!$AI$2:$AI$167*(_xlfn.NORM.DIST(V$3,economics!$AK$2:$AK$167,economics!$AJ$2:$AJ$167,TRUE)-_xlfn.NORM.DIST(V$30,economics!$AK$2:$AK$167,economics!$AJ$2:$AJ$167,TRUE)))),"")</f>
        <v/>
      </c>
      <c r="W50">
        <f t="array" ref="W50">IFERROR((SUMPRODUCT((economics!$AG$2:$AG$167=$B50)*(economics!$D$2:$D$167="process")*economics!$AI$2:$AI$167*(_xlfn.NORM.DIST(W$3,economics!$AK$2:$AK$167,economics!$AJ$2:$AJ$167,TRUE)-_xlfn.NORM.DIST(W$30,economics!$AK$2:$AK$167,economics!$AJ$2:$AJ$167,TRUE))*economics!$AM$2:$AM$167))/(SUMPRODUCT((economics!$AG$2:$AG$167=$B50)*(economics!$D$2:$D$167="process")*economics!$AI$2:$AI$167*(_xlfn.NORM.DIST(W$3,economics!$AK$2:$AK$167,economics!$AJ$2:$AJ$167,TRUE)-_xlfn.NORM.DIST(W$30,economics!$AK$2:$AK$167,economics!$AJ$2:$AJ$167,TRUE)))),"")</f>
        <v/>
      </c>
      <c r="X50">
        <f t="array" ref="X50">IFERROR((SUMPRODUCT((economics!$AG$2:$AG$167=$B50)*(economics!$D$2:$D$167="process")*economics!$AI$2:$AI$167*(_xlfn.NORM.DIST(X$3,economics!$AK$2:$AK$167,economics!$AJ$2:$AJ$167,TRUE)-_xlfn.NORM.DIST(X$30,economics!$AK$2:$AK$167,economics!$AJ$2:$AJ$167,TRUE))*economics!$AM$2:$AM$167))/(SUMPRODUCT((economics!$AG$2:$AG$167=$B50)*(economics!$D$2:$D$167="process")*economics!$AI$2:$AI$167*(_xlfn.NORM.DIST(X$3,economics!$AK$2:$AK$167,economics!$AJ$2:$AJ$167,TRUE)-_xlfn.NORM.DIST(X$30,economics!$AK$2:$AK$167,economics!$AJ$2:$AJ$167,TRUE)))),"")</f>
        <v/>
      </c>
      <c r="Y50">
        <f t="array" ref="Y50">IFERROR((SUMPRODUCT((economics!$AG$2:$AG$167=$B50)*(economics!$D$2:$D$167="process")*economics!$AI$2:$AI$167*(_xlfn.NORM.DIST(Y$3,economics!$AK$2:$AK$167,economics!$AJ$2:$AJ$167,TRUE)-_xlfn.NORM.DIST(Y$30,economics!$AK$2:$AK$167,economics!$AJ$2:$AJ$167,TRUE))*economics!$AM$2:$AM$167))/(SUMPRODUCT((economics!$AG$2:$AG$167=$B50)*(economics!$D$2:$D$167="process")*economics!$AI$2:$AI$167*(_xlfn.NORM.DIST(Y$3,economics!$AK$2:$AK$167,economics!$AJ$2:$AJ$167,TRUE)-_xlfn.NORM.DIST(Y$30,economics!$AK$2:$AK$167,economics!$AJ$2:$AJ$167,TRUE)))),"")</f>
        <v/>
      </c>
      <c r="Z50">
        <f t="array" ref="Z50">IFERROR((SUMPRODUCT((economics!$AG$2:$AG$167=$B50)*(economics!$D$2:$D$167="process")*economics!$AI$2:$AI$167*(_xlfn.NORM.DIST(Z$3,economics!$AK$2:$AK$167,economics!$AJ$2:$AJ$167,TRUE)-_xlfn.NORM.DIST(Z$30,economics!$AK$2:$AK$167,economics!$AJ$2:$AJ$167,TRUE))*economics!$AM$2:$AM$167))/(SUMPRODUCT((economics!$AG$2:$AG$167=$B50)*(economics!$D$2:$D$167="process")*economics!$AI$2:$AI$167*(_xlfn.NORM.DIST(Z$3,economics!$AK$2:$AK$167,economics!$AJ$2:$AJ$167,TRUE)-_xlfn.NORM.DIST(Z$30,economics!$AK$2:$AK$167,economics!$AJ$2:$AJ$167,TRUE)))),"")</f>
        <v/>
      </c>
      <c r="AA50">
        <f t="array" ref="AA50">IFERROR((SUMPRODUCT((economics!$AG$2:$AG$167=$B50)*(economics!$D$2:$D$167="process")*economics!$AI$2:$AI$167*(_xlfn.NORM.DIST(AA$3,economics!$AK$2:$AK$167,economics!$AJ$2:$AJ$167,TRUE)-_xlfn.NORM.DIST(AA$30,economics!$AK$2:$AK$167,economics!$AJ$2:$AJ$167,TRUE))*economics!$AM$2:$AM$167))/(SUMPRODUCT((economics!$AG$2:$AG$167=$B50)*(economics!$D$2:$D$167="process")*economics!$AI$2:$AI$167*(_xlfn.NORM.DIST(AA$3,economics!$AK$2:$AK$167,economics!$AJ$2:$AJ$167,TRUE)-_xlfn.NORM.DIST(AA$30,economics!$AK$2:$AK$167,economics!$AJ$2:$AJ$167,TRUE)))),"")</f>
        <v/>
      </c>
      <c r="AB50">
        <f t="array" ref="AB50">IFERROR((SUMPRODUCT((economics!$AG$2:$AG$167=$B50)*(economics!$D$2:$D$167="process")*economics!$AI$2:$AI$167*(_xlfn.NORM.DIST(AB$3,economics!$AK$2:$AK$167,economics!$AJ$2:$AJ$167,TRUE)-_xlfn.NORM.DIST(AB$30,economics!$AK$2:$AK$167,economics!$AJ$2:$AJ$167,TRUE))*economics!$AM$2:$AM$167))/(SUMPRODUCT((economics!$AG$2:$AG$167=$B50)*(economics!$D$2:$D$167="process")*economics!$AI$2:$AI$167*(_xlfn.NORM.DIST(AB$3,economics!$AK$2:$AK$167,economics!$AJ$2:$AJ$167,TRUE)-_xlfn.NORM.DIST(AB$30,economics!$AK$2:$AK$167,economics!$AJ$2:$AJ$167,TRUE)))),"")</f>
        <v/>
      </c>
      <c r="AC50">
        <f t="array" ref="AC50">IFERROR((SUMPRODUCT((economics!$AG$2:$AG$167=$B50)*(economics!$D$2:$D$167="process")*economics!$AI$2:$AI$167*(_xlfn.NORM.DIST(AC$3,economics!$AK$2:$AK$167,economics!$AJ$2:$AJ$167,TRUE)-_xlfn.NORM.DIST(AC$30,economics!$AK$2:$AK$167,economics!$AJ$2:$AJ$167,TRUE))*economics!$AM$2:$AM$167))/(SUMPRODUCT((economics!$AG$2:$AG$167=$B50)*(economics!$D$2:$D$167="process")*economics!$AI$2:$AI$167*(_xlfn.NORM.DIST(AC$3,economics!$AK$2:$AK$167,economics!$AJ$2:$AJ$167,TRUE)-_xlfn.NORM.DIST(AC$30,economics!$AK$2:$AK$167,economics!$AJ$2:$AJ$167,TRUE)))),"")</f>
        <v/>
      </c>
      <c r="AD50">
        <f t="array" ref="AD50">IFERROR((SUMPRODUCT((economics!$AG$2:$AG$167=$B50)*(economics!$D$2:$D$167="process")*economics!$AI$2:$AI$167*(_xlfn.NORM.DIST(AD$3,economics!$AK$2:$AK$167,economics!$AJ$2:$AJ$167,TRUE)-_xlfn.NORM.DIST(AD$30,economics!$AK$2:$AK$167,economics!$AJ$2:$AJ$167,TRUE))*economics!$AM$2:$AM$167))/(SUMPRODUCT((economics!$AG$2:$AG$167=$B50)*(economics!$D$2:$D$167="process")*economics!$AI$2:$AI$167*(_xlfn.NORM.DIST(AD$3,economics!$AK$2:$AK$167,economics!$AJ$2:$AJ$167,TRUE)-_xlfn.NORM.DIST(AD$30,economics!$AK$2:$AK$167,economics!$AJ$2:$AJ$167,TRUE)))),"")</f>
        <v/>
      </c>
      <c r="AE50">
        <f t="array" ref="AE50">IFERROR((SUMPRODUCT((economics!$AG$2:$AG$167=$B50)*(economics!$D$2:$D$167="process")*economics!$AI$2:$AI$167*(_xlfn.NORM.DIST(AE$3,economics!$AK$2:$AK$167,economics!$AJ$2:$AJ$167,TRUE)-_xlfn.NORM.DIST(AE$30,economics!$AK$2:$AK$167,economics!$AJ$2:$AJ$167,TRUE))*economics!$AM$2:$AM$167))/(SUMPRODUCT((economics!$AG$2:$AG$167=$B50)*(economics!$D$2:$D$167="process")*economics!$AI$2:$AI$167*(_xlfn.NORM.DIST(AE$3,economics!$AK$2:$AK$167,economics!$AJ$2:$AJ$167,TRUE)-_xlfn.NORM.DIST(AE$30,economics!$AK$2:$AK$167,economics!$AJ$2:$AJ$167,TRUE)))),"")</f>
        <v/>
      </c>
      <c r="AF50">
        <f t="array" ref="AF50">IFERROR((SUMPRODUCT((economics!$AG$2:$AG$167=$B50)*(economics!$D$2:$D$167="process")*economics!$AI$2:$AI$167*(_xlfn.NORM.DIST(AF$3,economics!$AK$2:$AK$167,economics!$AJ$2:$AJ$167,TRUE)-_xlfn.NORM.DIST(AF$30,economics!$AK$2:$AK$167,economics!$AJ$2:$AJ$167,TRUE))*economics!$AM$2:$AM$167))/(SUMPRODUCT((economics!$AG$2:$AG$167=$B50)*(economics!$D$2:$D$167="process")*economics!$AI$2:$AI$167*(_xlfn.NORM.DIST(AF$3,economics!$AK$2:$AK$167,economics!$AJ$2:$AJ$167,TRUE)-_xlfn.NORM.DIST(AF$30,economics!$AK$2:$AK$167,economics!$AJ$2:$AJ$167,TRUE)))),"")</f>
        <v/>
      </c>
      <c r="AG50">
        <f t="array" ref="AG50">IFERROR((SUMPRODUCT((economics!$AG$2:$AG$167=$B50)*(economics!$D$2:$D$167="process")*economics!$AI$2:$AI$167*(_xlfn.NORM.DIST(AG$3,economics!$AK$2:$AK$167,economics!$AJ$2:$AJ$167,TRUE)-_xlfn.NORM.DIST(AG$30,economics!$AK$2:$AK$167,economics!$AJ$2:$AJ$167,TRUE))*economics!$AM$2:$AM$167))/(SUMPRODUCT((economics!$AG$2:$AG$167=$B50)*(economics!$D$2:$D$167="process")*economics!$AI$2:$AI$167*(_xlfn.NORM.DIST(AG$3,economics!$AK$2:$AK$167,economics!$AJ$2:$AJ$167,TRUE)-_xlfn.NORM.DIST(AG$30,economics!$AK$2:$AK$167,economics!$AJ$2:$AJ$167,TRUE)))),"")</f>
        <v/>
      </c>
      <c r="AH50">
        <f t="array" ref="AH50">IFERROR((SUMPRODUCT((economics!$AG$2:$AG$167=$B50)*(economics!$D$2:$D$167="process")*economics!$AI$2:$AI$167*(_xlfn.NORM.DIST(AH$3,economics!$AK$2:$AK$167,economics!$AJ$2:$AJ$167,TRUE)-_xlfn.NORM.DIST(AH$30,economics!$AK$2:$AK$167,economics!$AJ$2:$AJ$167,TRUE))*economics!$AM$2:$AM$167))/(SUMPRODUCT((economics!$AG$2:$AG$167=$B50)*(economics!$D$2:$D$167="process")*economics!$AI$2:$AI$167*(_xlfn.NORM.DIST(AH$3,economics!$AK$2:$AK$167,economics!$AJ$2:$AJ$167,TRUE)-_xlfn.NORM.DIST(AH$30,economics!$AK$2:$AK$167,economics!$AJ$2:$AJ$167,TRUE)))),"")</f>
        <v/>
      </c>
      <c r="AI50">
        <f t="array" ref="AI50">IFERROR((SUMPRODUCT((economics!$AG$2:$AG$167=$B50)*(economics!$D$2:$D$167="process")*economics!$AI$2:$AI$167*(_xlfn.NORM.DIST(AI$3,economics!$AK$2:$AK$167,economics!$AJ$2:$AJ$167,TRUE)-_xlfn.NORM.DIST(AI$30,economics!$AK$2:$AK$167,economics!$AJ$2:$AJ$167,TRUE))*economics!$AM$2:$AM$167))/(SUMPRODUCT((economics!$AG$2:$AG$167=$B50)*(economics!$D$2:$D$167="process")*economics!$AI$2:$AI$167*(_xlfn.NORM.DIST(AI$3,economics!$AK$2:$AK$167,economics!$AJ$2:$AJ$167,TRUE)-_xlfn.NORM.DIST(AI$30,economics!$AK$2:$AK$167,economics!$AJ$2:$AJ$167,TRUE)))),"")</f>
        <v/>
      </c>
      <c r="AJ50">
        <f t="array" ref="AJ50">IFERROR((SUMPRODUCT((economics!$AG$2:$AG$167=$B50)*(economics!$D$2:$D$167="process")*economics!$AI$2:$AI$167*(_xlfn.NORM.DIST(AJ$3,economics!$AK$2:$AK$167,economics!$AJ$2:$AJ$167,TRUE)-_xlfn.NORM.DIST(AJ$30,economics!$AK$2:$AK$167,economics!$AJ$2:$AJ$167,TRUE))*economics!$AM$2:$AM$167))/(SUMPRODUCT((economics!$AG$2:$AG$167=$B50)*(economics!$D$2:$D$167="process")*economics!$AI$2:$AI$167*(_xlfn.NORM.DIST(AJ$3,economics!$AK$2:$AK$167,economics!$AJ$2:$AJ$167,TRUE)-_xlfn.NORM.DIST(AJ$30,economics!$AK$2:$AK$167,economics!$AJ$2:$AJ$167,TRUE)))),"")</f>
        <v/>
      </c>
      <c r="AK50">
        <f t="array" ref="AK50">IFERROR((SUMPRODUCT((economics!$AG$2:$AG$167=$B50)*(economics!$D$2:$D$167="process")*economics!$AI$2:$AI$167*(_xlfn.NORM.DIST(AK$3,economics!$AK$2:$AK$167,economics!$AJ$2:$AJ$167,TRUE)-_xlfn.NORM.DIST(AK$30,economics!$AK$2:$AK$167,economics!$AJ$2:$AJ$167,TRUE))*economics!$AM$2:$AM$167))/(SUMPRODUCT((economics!$AG$2:$AG$167=$B50)*(economics!$D$2:$D$167="process")*economics!$AI$2:$AI$167*(_xlfn.NORM.DIST(AK$3,economics!$AK$2:$AK$167,economics!$AJ$2:$AJ$167,TRUE)-_xlfn.NORM.DIST(AK$30,economics!$AK$2:$AK$167,economics!$AJ$2:$AJ$167,TRUE)))),"")</f>
        <v/>
      </c>
      <c r="AL50">
        <f t="array" ref="AL50">IFERROR((SUMPRODUCT((economics!$AG$2:$AG$167=$B50)*(economics!$D$2:$D$167="process")*economics!$AI$2:$AI$167*(_xlfn.NORM.DIST(AL$3,economics!$AK$2:$AK$167,economics!$AJ$2:$AJ$167,TRUE)-_xlfn.NORM.DIST(AL$30,economics!$AK$2:$AK$167,economics!$AJ$2:$AJ$167,TRUE))*economics!$AM$2:$AM$167))/(SUMPRODUCT((economics!$AG$2:$AG$167=$B50)*(economics!$D$2:$D$167="process")*economics!$AI$2:$AI$167*(_xlfn.NORM.DIST(AL$3,economics!$AK$2:$AK$167,economics!$AJ$2:$AJ$167,TRUE)-_xlfn.NORM.DIST(AL$30,economics!$AK$2:$AK$167,economics!$AJ$2:$AJ$167,TRUE)))),"")</f>
        <v/>
      </c>
      <c r="AM50">
        <f t="array" ref="AM50">IFERROR((SUMPRODUCT((economics!$AG$2:$AG$167=$B50)*(economics!$D$2:$D$167="process")*economics!$AI$2:$AI$167*(_xlfn.NORM.DIST(AM$3,economics!$AK$2:$AK$167,economics!$AJ$2:$AJ$167,TRUE)-_xlfn.NORM.DIST(AM$30,economics!$AK$2:$AK$167,economics!$AJ$2:$AJ$167,TRUE))*economics!$AM$2:$AM$167))/(SUMPRODUCT((economics!$AG$2:$AG$167=$B50)*(economics!$D$2:$D$167="process")*economics!$AI$2:$AI$167*(_xlfn.NORM.DIST(AM$3,economics!$AK$2:$AK$167,economics!$AJ$2:$AJ$167,TRUE)-_xlfn.NORM.DIST(AM$30,economics!$AK$2:$AK$167,economics!$AJ$2:$AJ$167,TRUE)))),"")</f>
        <v/>
      </c>
      <c r="AN50">
        <f t="array" ref="AN50">IFERROR((SUMPRODUCT((economics!$AG$2:$AG$167=$B50)*(economics!$D$2:$D$167="process")*economics!$AI$2:$AI$167*(_xlfn.NORM.DIST(AN$3,economics!$AK$2:$AK$167,economics!$AJ$2:$AJ$167,TRUE)-_xlfn.NORM.DIST(AN$30,economics!$AK$2:$AK$167,economics!$AJ$2:$AJ$167,TRUE))*economics!$AM$2:$AM$167))/(SUMPRODUCT((economics!$AG$2:$AG$167=$B50)*(economics!$D$2:$D$167="process")*economics!$AI$2:$AI$167*(_xlfn.NORM.DIST(AN$3,economics!$AK$2:$AK$167,economics!$AJ$2:$AJ$167,TRUE)-_xlfn.NORM.DIST(AN$30,economics!$AK$2:$AK$167,economics!$AJ$2:$AJ$167,TRUE)))),"")</f>
        <v/>
      </c>
      <c r="AO50">
        <f t="array" ref="AO50">IFERROR((SUMPRODUCT((economics!$AG$2:$AG$167=$B50)*(economics!$D$2:$D$167="process")*economics!$AI$2:$AI$167*(_xlfn.NORM.DIST(AO$3,economics!$AK$2:$AK$167,economics!$AJ$2:$AJ$167,TRUE)-_xlfn.NORM.DIST(AO$30,economics!$AK$2:$AK$167,economics!$AJ$2:$AJ$167,TRUE))*economics!$AM$2:$AM$167))/(SUMPRODUCT((economics!$AG$2:$AG$167=$B50)*(economics!$D$2:$D$167="process")*economics!$AI$2:$AI$167*(_xlfn.NORM.DIST(AO$3,economics!$AK$2:$AK$167,economics!$AJ$2:$AJ$167,TRUE)-_xlfn.NORM.DIST(AO$30,economics!$AK$2:$AK$167,economics!$AJ$2:$AJ$167,TRUE)))),"")</f>
        <v/>
      </c>
      <c r="AP50">
        <f t="array" ref="AP50">IFERROR((SUMPRODUCT((economics!$AG$2:$AG$167=$B50)*(economics!$D$2:$D$167="process")*economics!$AI$2:$AI$167*(_xlfn.NORM.DIST(AP$3,economics!$AK$2:$AK$167,economics!$AJ$2:$AJ$167,TRUE)-_xlfn.NORM.DIST(AP$30,economics!$AK$2:$AK$167,economics!$AJ$2:$AJ$167,TRUE))*economics!$AM$2:$AM$167))/(SUMPRODUCT((economics!$AG$2:$AG$167=$B50)*(economics!$D$2:$D$167="process")*economics!$AI$2:$AI$167*(_xlfn.NORM.DIST(AP$3,economics!$AK$2:$AK$167,economics!$AJ$2:$AJ$167,TRUE)-_xlfn.NORM.DIST(AP$30,economics!$AK$2:$AK$167,economics!$AJ$2:$AJ$167,TRUE)))),"")</f>
        <v/>
      </c>
      <c r="AQ50">
        <f t="array" ref="AQ50">IFERROR((SUMPRODUCT((economics!$AG$2:$AG$167=$B50)*(economics!$D$2:$D$167="process")*economics!$AI$2:$AI$167*(_xlfn.NORM.DIST(AQ$3,economics!$AK$2:$AK$167,economics!$AJ$2:$AJ$167,TRUE)-_xlfn.NORM.DIST(AQ$30,economics!$AK$2:$AK$167,economics!$AJ$2:$AJ$167,TRUE))*economics!$AM$2:$AM$167))/(SUMPRODUCT((economics!$AG$2:$AG$167=$B50)*(economics!$D$2:$D$167="process")*economics!$AI$2:$AI$167*(_xlfn.NORM.DIST(AQ$3,economics!$AK$2:$AK$167,economics!$AJ$2:$AJ$167,TRUE)-_xlfn.NORM.DIST(AQ$30,economics!$AK$2:$AK$167,economics!$AJ$2:$AJ$167,TRUE)))),"")</f>
        <v/>
      </c>
      <c r="AR50">
        <f t="array" ref="AR50">IFERROR((SUMPRODUCT((economics!$AG$2:$AG$167=$B50)*(economics!$D$2:$D$167="process")*economics!$AI$2:$AI$167*(_xlfn.NORM.DIST(AR$3,economics!$AK$2:$AK$167,economics!$AJ$2:$AJ$167,TRUE)-_xlfn.NORM.DIST(AR$30,economics!$AK$2:$AK$167,economics!$AJ$2:$AJ$167,TRUE))*economics!$AM$2:$AM$167))/(SUMPRODUCT((economics!$AG$2:$AG$167=$B50)*(economics!$D$2:$D$167="process")*economics!$AI$2:$AI$167*(_xlfn.NORM.DIST(AR$3,economics!$AK$2:$AK$167,economics!$AJ$2:$AJ$167,TRUE)-_xlfn.NORM.DIST(AR$30,economics!$AK$2:$AK$167,economics!$AJ$2:$AJ$167,TRUE)))),"")</f>
        <v/>
      </c>
      <c r="AS50">
        <f t="array" ref="AS50">IFERROR((SUMPRODUCT((economics!$AG$2:$AG$167=$B50)*(economics!$D$2:$D$167="process")*economics!$AI$2:$AI$167*(_xlfn.NORM.DIST(AS$3,economics!$AK$2:$AK$167,economics!$AJ$2:$AJ$167,TRUE)-_xlfn.NORM.DIST(AS$30,economics!$AK$2:$AK$167,economics!$AJ$2:$AJ$167,TRUE))*economics!$AM$2:$AM$167))/(SUMPRODUCT((economics!$AG$2:$AG$167=$B50)*(economics!$D$2:$D$167="process")*economics!$AI$2:$AI$167*(_xlfn.NORM.DIST(AS$3,economics!$AK$2:$AK$167,economics!$AJ$2:$AJ$167,TRUE)-_xlfn.NORM.DIST(AS$30,economics!$AK$2:$AK$167,economics!$AJ$2:$AJ$167,TRUE)))),"")</f>
        <v/>
      </c>
      <c r="AT50">
        <f t="array" ref="AT50">IFERROR((SUMPRODUCT((economics!$AG$2:$AG$167=$B50)*(economics!$D$2:$D$167="process")*economics!$AI$2:$AI$167*(_xlfn.NORM.DIST(AT$3,economics!$AK$2:$AK$167,economics!$AJ$2:$AJ$167,TRUE)-_xlfn.NORM.DIST(AT$30,economics!$AK$2:$AK$167,economics!$AJ$2:$AJ$167,TRUE))*economics!$AM$2:$AM$167))/(SUMPRODUCT((economics!$AG$2:$AG$167=$B50)*(economics!$D$2:$D$167="process")*economics!$AI$2:$AI$167*(_xlfn.NORM.DIST(AT$3,economics!$AK$2:$AK$167,economics!$AJ$2:$AJ$167,TRUE)-_xlfn.NORM.DIST(AT$30,economics!$AK$2:$AK$167,economics!$AJ$2:$AJ$167,TRUE)))),"")</f>
        <v/>
      </c>
      <c r="AU50">
        <f t="array" ref="AU50">IFERROR((SUMPRODUCT((economics!$AG$2:$AG$167=$B50)*(economics!$D$2:$D$167="process")*economics!$AI$2:$AI$167*(_xlfn.NORM.DIST(AU$3,economics!$AK$2:$AK$167,economics!$AJ$2:$AJ$167,TRUE)-_xlfn.NORM.DIST(AU$30,economics!$AK$2:$AK$167,economics!$AJ$2:$AJ$167,TRUE))*economics!$AM$2:$AM$167))/(SUMPRODUCT((economics!$AG$2:$AG$167=$B50)*(economics!$D$2:$D$167="process")*economics!$AI$2:$AI$167*(_xlfn.NORM.DIST(AU$3,economics!$AK$2:$AK$167,economics!$AJ$2:$AJ$167,TRUE)-_xlfn.NORM.DIST(AU$30,economics!$AK$2:$AK$167,economics!$AJ$2:$AJ$167,TRUE)))),"")</f>
        <v/>
      </c>
      <c r="AV50">
        <f t="array" ref="AV50">IFERROR((SUMPRODUCT((economics!$AG$2:$AG$167=$B50)*(economics!$D$2:$D$167="process")*economics!$AI$2:$AI$167*(_xlfn.NORM.DIST(AV$3,economics!$AK$2:$AK$167,economics!$AJ$2:$AJ$167,TRUE)-_xlfn.NORM.DIST(AV$30,economics!$AK$2:$AK$167,economics!$AJ$2:$AJ$167,TRUE))*economics!$AM$2:$AM$167))/(SUMPRODUCT((economics!$AG$2:$AG$167=$B50)*(economics!$D$2:$D$167="process")*economics!$AI$2:$AI$167*(_xlfn.NORM.DIST(AV$3,economics!$AK$2:$AK$167,economics!$AJ$2:$AJ$167,TRUE)-_xlfn.NORM.DIST(AV$30,economics!$AK$2:$AK$167,economics!$AJ$2:$AJ$167,TRUE)))),"")</f>
        <v/>
      </c>
      <c r="AW50">
        <f t="array" ref="AW50">IFERROR((SUMPRODUCT((economics!$AG$2:$AG$167=$B50)*(economics!$D$2:$D$167="process")*economics!$AI$2:$AI$167*(_xlfn.NORM.DIST(AW$3,economics!$AK$2:$AK$167,economics!$AJ$2:$AJ$167,TRUE)-_xlfn.NORM.DIST(AW$30,economics!$AK$2:$AK$167,economics!$AJ$2:$AJ$167,TRUE))*economics!$AM$2:$AM$167))/(SUMPRODUCT((economics!$AG$2:$AG$167=$B50)*(economics!$D$2:$D$167="process")*economics!$AI$2:$AI$167*(_xlfn.NORM.DIST(AW$3,economics!$AK$2:$AK$167,economics!$AJ$2:$AJ$167,TRUE)-_xlfn.NORM.DIST(AW$30,economics!$AK$2:$AK$167,economics!$AJ$2:$AJ$167,TRUE)))),"")</f>
        <v/>
      </c>
      <c r="AX50">
        <f t="array" ref="AX50">IFERROR((SUMPRODUCT((economics!$AG$2:$AG$167=$B50)*(economics!$D$2:$D$167="process")*economics!$AI$2:$AI$167*(_xlfn.NORM.DIST(AX$3,economics!$AK$2:$AK$167,economics!$AJ$2:$AJ$167,TRUE)-_xlfn.NORM.DIST(AX$30,economics!$AK$2:$AK$167,economics!$AJ$2:$AJ$167,TRUE))*economics!$AM$2:$AM$167))/(SUMPRODUCT((economics!$AG$2:$AG$167=$B50)*(economics!$D$2:$D$167="process")*economics!$AI$2:$AI$167*(_xlfn.NORM.DIST(AX$3,economics!$AK$2:$AK$167,economics!$AJ$2:$AJ$167,TRUE)-_xlfn.NORM.DIST(AX$30,economics!$AK$2:$AK$167,economics!$AJ$2:$AJ$167,TRUE)))),"")</f>
        <v/>
      </c>
      <c r="AY50">
        <f t="array" ref="AY50">IFERROR((SUMPRODUCT((economics!$AG$2:$AG$167=$B50)*(economics!$D$2:$D$167="process")*economics!$AI$2:$AI$167*(_xlfn.NORM.DIST(AY$3,economics!$AK$2:$AK$167,economics!$AJ$2:$AJ$167,TRUE)-_xlfn.NORM.DIST(AY$30,economics!$AK$2:$AK$167,economics!$AJ$2:$AJ$167,TRUE))*economics!$AM$2:$AM$167))/(SUMPRODUCT((economics!$AG$2:$AG$167=$B50)*(economics!$D$2:$D$167="process")*economics!$AI$2:$AI$167*(_xlfn.NORM.DIST(AY$3,economics!$AK$2:$AK$167,economics!$AJ$2:$AJ$167,TRUE)-_xlfn.NORM.DIST(AY$30,economics!$AK$2:$AK$167,economics!$AJ$2:$AJ$167,TRUE)))),"")</f>
        <v/>
      </c>
      <c r="AZ50">
        <f t="array" ref="AZ50">IFERROR((SUMPRODUCT((economics!$AG$2:$AG$167=$B50)*(economics!$D$2:$D$167="process")*economics!$AI$2:$AI$167*(_xlfn.NORM.DIST(AZ$3,economics!$AK$2:$AK$167,economics!$AJ$2:$AJ$167,TRUE)-_xlfn.NORM.DIST(AZ$30,economics!$AK$2:$AK$167,economics!$AJ$2:$AJ$167,TRUE))*economics!$AM$2:$AM$167))/(SUMPRODUCT((economics!$AG$2:$AG$167=$B50)*(economics!$D$2:$D$167="process")*economics!$AI$2:$AI$167*(_xlfn.NORM.DIST(AZ$3,economics!$AK$2:$AK$167,economics!$AJ$2:$AJ$167,TRUE)-_xlfn.NORM.DIST(AZ$30,economics!$AK$2:$AK$167,economics!$AJ$2:$AJ$167,TRUE)))),"")</f>
        <v/>
      </c>
      <c r="BA50">
        <f t="array" ref="BA50">IFERROR((SUMPRODUCT((economics!$AG$2:$AG$167=$B50)*(economics!$D$2:$D$167="process")*economics!$AI$2:$AI$167*(_xlfn.NORM.DIST(BA$3,economics!$AK$2:$AK$167,economics!$AJ$2:$AJ$167,TRUE)-_xlfn.NORM.DIST(BA$30,economics!$AK$2:$AK$167,economics!$AJ$2:$AJ$167,TRUE))*economics!$AM$2:$AM$167))/(SUMPRODUCT((economics!$AG$2:$AG$167=$B50)*(economics!$D$2:$D$167="process")*economics!$AI$2:$AI$167*(_xlfn.NORM.DIST(BA$3,economics!$AK$2:$AK$167,economics!$AJ$2:$AJ$167,TRUE)-_xlfn.NORM.DIST(BA$30,economics!$AK$2:$AK$167,economics!$AJ$2:$AJ$167,TRUE)))),"")</f>
        <v/>
      </c>
      <c r="BB50">
        <f t="array" ref="BB50">IFERROR((SUMPRODUCT((economics!$AG$2:$AG$167=$B50)*(economics!$D$2:$D$167="process")*economics!$AI$2:$AI$167*(_xlfn.NORM.DIST(BB$3,economics!$AK$2:$AK$167,economics!$AJ$2:$AJ$167,TRUE)-_xlfn.NORM.DIST(BB$30,economics!$AK$2:$AK$167,economics!$AJ$2:$AJ$167,TRUE))*economics!$AM$2:$AM$167))/(SUMPRODUCT((economics!$AG$2:$AG$167=$B50)*(economics!$D$2:$D$167="process")*economics!$AI$2:$AI$167*(_xlfn.NORM.DIST(BB$3,economics!$AK$2:$AK$167,economics!$AJ$2:$AJ$167,TRUE)-_xlfn.NORM.DIST(BB$30,economics!$AK$2:$AK$167,economics!$AJ$2:$AJ$167,TRUE)))),"")</f>
        <v/>
      </c>
      <c r="BC50">
        <f t="array" ref="BC50">IFERROR((SUMPRODUCT((economics!$AG$2:$AG$167=$B50)*(economics!$D$2:$D$167="process")*economics!$AI$2:$AI$167*(_xlfn.NORM.DIST(BC$3,economics!$AK$2:$AK$167,economics!$AJ$2:$AJ$167,TRUE)-_xlfn.NORM.DIST(BC$30,economics!$AK$2:$AK$167,economics!$AJ$2:$AJ$167,TRUE))*economics!$AM$2:$AM$167))/(SUMPRODUCT((economics!$AG$2:$AG$167=$B50)*(economics!$D$2:$D$167="process")*economics!$AI$2:$AI$167*(_xlfn.NORM.DIST(BC$3,economics!$AK$2:$AK$167,economics!$AJ$2:$AJ$167,TRUE)-_xlfn.NORM.DIST(BC$30,economics!$AK$2:$AK$167,economics!$AJ$2:$AJ$167,TRUE)))),"")</f>
        <v/>
      </c>
      <c r="BD50">
        <f t="array" ref="BD50">IFERROR((SUMPRODUCT((economics!$AG$2:$AG$167=$B50)*(economics!$D$2:$D$167="process")*economics!$AI$2:$AI$167*(_xlfn.NORM.DIST(BD$3,economics!$AK$2:$AK$167,economics!$AJ$2:$AJ$167,TRUE)-_xlfn.NORM.DIST(BD$30,economics!$AK$2:$AK$167,economics!$AJ$2:$AJ$167,TRUE))*economics!$AM$2:$AM$167))/(SUMPRODUCT((economics!$AG$2:$AG$167=$B50)*(economics!$D$2:$D$167="process")*economics!$AI$2:$AI$167*(_xlfn.NORM.DIST(BD$3,economics!$AK$2:$AK$167,economics!$AJ$2:$AJ$167,TRUE)-_xlfn.NORM.DIST(BD$30,economics!$AK$2:$AK$167,economics!$AJ$2:$AJ$167,TRUE)))),"")</f>
        <v/>
      </c>
      <c r="BE50">
        <f t="array" ref="BE50">IFERROR((SUMPRODUCT((economics!$AG$2:$AG$167=$B50)*(economics!$D$2:$D$167="process")*economics!$AI$2:$AI$167*(_xlfn.NORM.DIST(BE$3,economics!$AK$2:$AK$167,economics!$AJ$2:$AJ$167,TRUE)-_xlfn.NORM.DIST(BE$30,economics!$AK$2:$AK$167,economics!$AJ$2:$AJ$167,TRUE))*economics!$AM$2:$AM$167))/(SUMPRODUCT((economics!$AG$2:$AG$167=$B50)*(economics!$D$2:$D$167="process")*economics!$AI$2:$AI$167*(_xlfn.NORM.DIST(BE$3,economics!$AK$2:$AK$167,economics!$AJ$2:$AJ$167,TRUE)-_xlfn.NORM.DIST(BE$30,economics!$AK$2:$AK$167,economics!$AJ$2:$AJ$167,TRUE)))),"")</f>
        <v/>
      </c>
      <c r="BF50">
        <f t="array" ref="BF50">IFERROR((SUMPRODUCT((economics!$AG$2:$AG$167=$B50)*(economics!$D$2:$D$167="process")*economics!$AI$2:$AI$167*(_xlfn.NORM.DIST(BF$3,economics!$AK$2:$AK$167,economics!$AJ$2:$AJ$167,TRUE)-_xlfn.NORM.DIST(BF$30,economics!$AK$2:$AK$167,economics!$AJ$2:$AJ$167,TRUE))*economics!$AM$2:$AM$167))/(SUMPRODUCT((economics!$AG$2:$AG$167=$B50)*(economics!$D$2:$D$167="process")*economics!$AI$2:$AI$167*(_xlfn.NORM.DIST(BF$3,economics!$AK$2:$AK$167,economics!$AJ$2:$AJ$167,TRUE)-_xlfn.NORM.DIST(BF$30,economics!$AK$2:$AK$167,economics!$AJ$2:$AJ$167,TRUE)))),"")</f>
        <v/>
      </c>
      <c r="BG50">
        <f t="array" ref="BG50">IFERROR((SUMPRODUCT((economics!$AG$2:$AG$167=$B50)*(economics!$D$2:$D$167="process")*economics!$AI$2:$AI$167*(_xlfn.NORM.DIST(BG$3,economics!$AK$2:$AK$167,economics!$AJ$2:$AJ$167,TRUE)-_xlfn.NORM.DIST(BG$30,economics!$AK$2:$AK$167,economics!$AJ$2:$AJ$167,TRUE))*economics!$AM$2:$AM$167))/(SUMPRODUCT((economics!$AG$2:$AG$167=$B50)*(economics!$D$2:$D$167="process")*economics!$AI$2:$AI$167*(_xlfn.NORM.DIST(BG$3,economics!$AK$2:$AK$167,economics!$AJ$2:$AJ$167,TRUE)-_xlfn.NORM.DIST(BG$30,economics!$AK$2:$AK$167,economics!$AJ$2:$AJ$167,TRUE)))),"")</f>
        <v/>
      </c>
      <c r="BH50">
        <f t="array" ref="BH50">IFERROR((SUMPRODUCT((economics!$AG$2:$AG$167=$B50)*(economics!$D$2:$D$167="process")*economics!$AI$2:$AI$167*(_xlfn.NORM.DIST(BH$3,economics!$AK$2:$AK$167,economics!$AJ$2:$AJ$167,TRUE)-_xlfn.NORM.DIST(BH$30,economics!$AK$2:$AK$167,economics!$AJ$2:$AJ$167,TRUE))*economics!$AM$2:$AM$167))/(SUMPRODUCT((economics!$AG$2:$AG$167=$B50)*(economics!$D$2:$D$167="process")*economics!$AI$2:$AI$167*(_xlfn.NORM.DIST(BH$3,economics!$AK$2:$AK$167,economics!$AJ$2:$AJ$167,TRUE)-_xlfn.NORM.DIST(BH$30,economics!$AK$2:$AK$167,economics!$AJ$2:$AJ$167,TRUE)))),"")</f>
        <v/>
      </c>
      <c r="BI50">
        <f t="array" ref="BI50">IFERROR((SUMPRODUCT((economics!$AG$2:$AG$167=$B50)*(economics!$D$2:$D$167="process")*economics!$AI$2:$AI$167*(_xlfn.NORM.DIST(BI$3,economics!$AK$2:$AK$167,economics!$AJ$2:$AJ$167,TRUE)-_xlfn.NORM.DIST(BI$30,economics!$AK$2:$AK$167,economics!$AJ$2:$AJ$167,TRUE))*economics!$AM$2:$AM$167))/(SUMPRODUCT((economics!$AG$2:$AG$167=$B50)*(economics!$D$2:$D$167="process")*economics!$AI$2:$AI$167*(_xlfn.NORM.DIST(BI$3,economics!$AK$2:$AK$167,economics!$AJ$2:$AJ$167,TRUE)-_xlfn.NORM.DIST(BI$30,economics!$AK$2:$AK$167,economics!$AJ$2:$AJ$167,TRUE)))),"")</f>
        <v/>
      </c>
      <c r="BJ50">
        <f t="array" ref="BJ50">IFERROR((SUMPRODUCT((economics!$AG$2:$AG$167=$B50)*(economics!$D$2:$D$167="process")*economics!$AI$2:$AI$167*(_xlfn.NORM.DIST(BJ$3,economics!$AK$2:$AK$167,economics!$AJ$2:$AJ$167,TRUE)-_xlfn.NORM.DIST(BJ$30,economics!$AK$2:$AK$167,economics!$AJ$2:$AJ$167,TRUE))*economics!$AM$2:$AM$167))/(SUMPRODUCT((economics!$AG$2:$AG$167=$B50)*(economics!$D$2:$D$167="process")*economics!$AI$2:$AI$167*(_xlfn.NORM.DIST(BJ$3,economics!$AK$2:$AK$167,economics!$AJ$2:$AJ$167,TRUE)-_xlfn.NORM.DIST(BJ$30,economics!$AK$2:$AK$167,economics!$AJ$2:$AJ$167,TRUE)))),"")</f>
        <v/>
      </c>
      <c r="BK50">
        <f t="array" ref="BK50">IFERROR((SUMPRODUCT((economics!$AG$2:$AG$167=$B50)*(economics!$D$2:$D$167="process")*economics!$AI$2:$AI$167*(_xlfn.NORM.DIST(BK$3,economics!$AK$2:$AK$167,economics!$AJ$2:$AJ$167,TRUE)-_xlfn.NORM.DIST(BK$30,economics!$AK$2:$AK$167,economics!$AJ$2:$AJ$167,TRUE))*economics!$AM$2:$AM$167))/(SUMPRODUCT((economics!$AG$2:$AG$167=$B50)*(economics!$D$2:$D$167="process")*economics!$AI$2:$AI$167*(_xlfn.NORM.DIST(BK$3,economics!$AK$2:$AK$167,economics!$AJ$2:$AJ$167,TRUE)-_xlfn.NORM.DIST(BK$30,economics!$AK$2:$AK$167,economics!$AJ$2:$AJ$167,TRUE)))),"")</f>
        <v/>
      </c>
      <c r="BL50">
        <f t="array" ref="BL50">IFERROR((SUMPRODUCT((economics!$AG$2:$AG$167=$B50)*(economics!$D$2:$D$167="process")*economics!$AI$2:$AI$167*(_xlfn.NORM.DIST(BL$3,economics!$AK$2:$AK$167,economics!$AJ$2:$AJ$167,TRUE)-_xlfn.NORM.DIST(BL$30,economics!$AK$2:$AK$167,economics!$AJ$2:$AJ$167,TRUE))*economics!$AM$2:$AM$167))/(SUMPRODUCT((economics!$AG$2:$AG$167=$B50)*(economics!$D$2:$D$167="process")*economics!$AI$2:$AI$167*(_xlfn.NORM.DIST(BL$3,economics!$AK$2:$AK$167,economics!$AJ$2:$AJ$167,TRUE)-_xlfn.NORM.DIST(BL$30,economics!$AK$2:$AK$167,economics!$AJ$2:$AJ$167,TRUE)))),"")</f>
        <v/>
      </c>
      <c r="BM50">
        <f t="array" ref="BM50">IFERROR((SUMPRODUCT((economics!$AG$2:$AG$167=$B50)*(economics!$D$2:$D$167="process")*economics!$AI$2:$AI$167*(_xlfn.NORM.DIST(BM$3,economics!$AK$2:$AK$167,economics!$AJ$2:$AJ$167,TRUE)-_xlfn.NORM.DIST(BM$30,economics!$AK$2:$AK$167,economics!$AJ$2:$AJ$167,TRUE))*economics!$AM$2:$AM$167))/(SUMPRODUCT((economics!$AG$2:$AG$167=$B50)*(economics!$D$2:$D$167="process")*economics!$AI$2:$AI$167*(_xlfn.NORM.DIST(BM$3,economics!$AK$2:$AK$167,economics!$AJ$2:$AJ$167,TRUE)-_xlfn.NORM.DIST(BM$30,economics!$AK$2:$AK$167,economics!$AJ$2:$AJ$167,TRUE)))),"")</f>
        <v/>
      </c>
      <c r="BN50">
        <f t="array" ref="BN50">IFERROR((SUMPRODUCT((economics!$AG$2:$AG$167=$B50)*(economics!$D$2:$D$167="process")*economics!$AI$2:$AI$167*(_xlfn.NORM.DIST(BN$3,economics!$AK$2:$AK$167,economics!$AJ$2:$AJ$167,TRUE)-_xlfn.NORM.DIST(BN$30,economics!$AK$2:$AK$167,economics!$AJ$2:$AJ$167,TRUE))*economics!$AM$2:$AM$167))/(SUMPRODUCT((economics!$AG$2:$AG$167=$B50)*(economics!$D$2:$D$167="process")*economics!$AI$2:$AI$167*(_xlfn.NORM.DIST(BN$3,economics!$AK$2:$AK$167,economics!$AJ$2:$AJ$167,TRUE)-_xlfn.NORM.DIST(BN$30,economics!$AK$2:$AK$167,economics!$AJ$2:$AJ$167,TRUE)))),"")</f>
        <v/>
      </c>
      <c r="BO50">
        <f t="array" ref="BO50">IFERROR((SUMPRODUCT((economics!$AG$2:$AG$167=$B50)*(economics!$D$2:$D$167="process")*economics!$AI$2:$AI$167*(_xlfn.NORM.DIST(BO$3,economics!$AK$2:$AK$167,economics!$AJ$2:$AJ$167,TRUE)-_xlfn.NORM.DIST(BO$30,economics!$AK$2:$AK$167,economics!$AJ$2:$AJ$167,TRUE))*economics!$AM$2:$AM$167))/(SUMPRODUCT((economics!$AG$2:$AG$167=$B50)*(economics!$D$2:$D$167="process")*economics!$AI$2:$AI$167*(_xlfn.NORM.DIST(BO$3,economics!$AK$2:$AK$167,economics!$AJ$2:$AJ$167,TRUE)-_xlfn.NORM.DIST(BO$30,economics!$AK$2:$AK$167,economics!$AJ$2:$AJ$167,TRUE)))),"")</f>
        <v/>
      </c>
      <c r="BP50">
        <f t="array" ref="BP50">IFERROR((SUMPRODUCT((economics!$AG$2:$AG$167=$B50)*(economics!$D$2:$D$167="process")*economics!$AI$2:$AI$167*(_xlfn.NORM.DIST(BP$3,economics!$AK$2:$AK$167,economics!$AJ$2:$AJ$167,TRUE)-_xlfn.NORM.DIST(BP$30,economics!$AK$2:$AK$167,economics!$AJ$2:$AJ$167,TRUE))*economics!$AM$2:$AM$167))/(SUMPRODUCT((economics!$AG$2:$AG$167=$B50)*(economics!$D$2:$D$167="process")*economics!$AI$2:$AI$167*(_xlfn.NORM.DIST(BP$3,economics!$AK$2:$AK$167,economics!$AJ$2:$AJ$167,TRUE)-_xlfn.NORM.DIST(BP$30,economics!$AK$2:$AK$167,economics!$AJ$2:$AJ$167,TRUE)))),"")</f>
        <v/>
      </c>
      <c r="BQ50">
        <f t="array" ref="BQ50">IFERROR((SUMPRODUCT((economics!$AG$2:$AG$167=$B50)*(economics!$D$2:$D$167="process")*economics!$AI$2:$AI$167*(_xlfn.NORM.DIST(BQ$3,economics!$AK$2:$AK$167,economics!$AJ$2:$AJ$167,TRUE)-_xlfn.NORM.DIST(BQ$30,economics!$AK$2:$AK$167,economics!$AJ$2:$AJ$167,TRUE))*economics!$AM$2:$AM$167))/(SUMPRODUCT((economics!$AG$2:$AG$167=$B50)*(economics!$D$2:$D$167="process")*economics!$AI$2:$AI$167*(_xlfn.NORM.DIST(BQ$3,economics!$AK$2:$AK$167,economics!$AJ$2:$AJ$167,TRUE)-_xlfn.NORM.DIST(BQ$30,economics!$AK$2:$AK$167,economics!$AJ$2:$AJ$167,TRUE)))),"")</f>
        <v/>
      </c>
      <c r="BR50">
        <f t="array" ref="BR50">IFERROR((SUMPRODUCT((economics!$AG$2:$AG$167=$B50)*(economics!$D$2:$D$167="process")*economics!$AI$2:$AI$167*(_xlfn.NORM.DIST(BR$3,economics!$AK$2:$AK$167,economics!$AJ$2:$AJ$167,TRUE)-_xlfn.NORM.DIST(BR$30,economics!$AK$2:$AK$167,economics!$AJ$2:$AJ$167,TRUE))*economics!$AM$2:$AM$167))/(SUMPRODUCT((economics!$AG$2:$AG$167=$B50)*(economics!$D$2:$D$167="process")*economics!$AI$2:$AI$167*(_xlfn.NORM.DIST(BR$3,economics!$AK$2:$AK$167,economics!$AJ$2:$AJ$167,TRUE)-_xlfn.NORM.DIST(BR$30,economics!$AK$2:$AK$167,economics!$AJ$2:$AJ$167,TRUE)))),"")</f>
        <v/>
      </c>
      <c r="BS50">
        <f t="array" ref="BS50">IFERROR((SUMPRODUCT((economics!$AG$2:$AG$167=$B50)*(economics!$D$2:$D$167="process")*economics!$AI$2:$AI$167*(_xlfn.NORM.DIST(BS$3,economics!$AK$2:$AK$167,economics!$AJ$2:$AJ$167,TRUE)-_xlfn.NORM.DIST(BS$30,economics!$AK$2:$AK$167,economics!$AJ$2:$AJ$167,TRUE))*economics!$AM$2:$AM$167))/(SUMPRODUCT((economics!$AG$2:$AG$167=$B50)*(economics!$D$2:$D$167="process")*economics!$AI$2:$AI$167*(_xlfn.NORM.DIST(BS$3,economics!$AK$2:$AK$167,economics!$AJ$2:$AJ$167,TRUE)-_xlfn.NORM.DIST(BS$30,economics!$AK$2:$AK$167,economics!$AJ$2:$AJ$167,TRUE)))),"")</f>
        <v/>
      </c>
      <c r="BT50">
        <f t="array" ref="BT50">IFERROR((SUMPRODUCT((economics!$AG$2:$AG$167=$B50)*(economics!$D$2:$D$167="process")*economics!$AI$2:$AI$167*(_xlfn.NORM.DIST(BT$3,economics!$AK$2:$AK$167,economics!$AJ$2:$AJ$167,TRUE)-_xlfn.NORM.DIST(BT$30,economics!$AK$2:$AK$167,economics!$AJ$2:$AJ$167,TRUE))*economics!$AM$2:$AM$167))/(SUMPRODUCT((economics!$AG$2:$AG$167=$B50)*(economics!$D$2:$D$167="process")*economics!$AI$2:$AI$167*(_xlfn.NORM.DIST(BT$3,economics!$AK$2:$AK$167,economics!$AJ$2:$AJ$167,TRUE)-_xlfn.NORM.DIST(BT$30,economics!$AK$2:$AK$167,economics!$AJ$2:$AJ$167,TRUE)))),"")</f>
        <v/>
      </c>
      <c r="BU50">
        <f t="array" ref="BU50">IFERROR((SUMPRODUCT((economics!$AG$2:$AG$167=$B50)*(economics!$D$2:$D$167="process")*economics!$AI$2:$AI$167*(_xlfn.NORM.DIST(BU$3,economics!$AK$2:$AK$167,economics!$AJ$2:$AJ$167,TRUE)-_xlfn.NORM.DIST(BU$30,economics!$AK$2:$AK$167,economics!$AJ$2:$AJ$167,TRUE))*economics!$AM$2:$AM$167))/(SUMPRODUCT((economics!$AG$2:$AG$167=$B50)*(economics!$D$2:$D$167="process")*economics!$AI$2:$AI$167*(_xlfn.NORM.DIST(BU$3,economics!$AK$2:$AK$167,economics!$AJ$2:$AJ$167,TRUE)-_xlfn.NORM.DIST(BU$30,economics!$AK$2:$AK$167,economics!$AJ$2:$AJ$167,TRUE)))),"")</f>
        <v/>
      </c>
      <c r="BV50">
        <f t="array" ref="BV50">IFERROR((SUMPRODUCT((economics!$AG$2:$AG$167=$B50)*(economics!$D$2:$D$167="process")*economics!$AI$2:$AI$167*(_xlfn.NORM.DIST(BV$3,economics!$AK$2:$AK$167,economics!$AJ$2:$AJ$167,TRUE)-_xlfn.NORM.DIST(BV$30,economics!$AK$2:$AK$167,economics!$AJ$2:$AJ$167,TRUE))*economics!$AM$2:$AM$167))/(SUMPRODUCT((economics!$AG$2:$AG$167=$B50)*(economics!$D$2:$D$167="process")*economics!$AI$2:$AI$167*(_xlfn.NORM.DIST(BV$3,economics!$AK$2:$AK$167,economics!$AJ$2:$AJ$167,TRUE)-_xlfn.NORM.DIST(BV$30,economics!$AK$2:$AK$167,economics!$AJ$2:$AJ$167,TRUE)))),"")</f>
        <v/>
      </c>
      <c r="BW50">
        <f t="array" ref="BW50">IFERROR((SUMPRODUCT((economics!$AG$2:$AG$167=$B50)*(economics!$D$2:$D$167="process")*economics!$AI$2:$AI$167*(_xlfn.NORM.DIST(BW$3,economics!$AK$2:$AK$167,economics!$AJ$2:$AJ$167,TRUE)-_xlfn.NORM.DIST(BW$30,economics!$AK$2:$AK$167,economics!$AJ$2:$AJ$167,TRUE))*economics!$AM$2:$AM$167))/(SUMPRODUCT((economics!$AG$2:$AG$167=$B50)*(economics!$D$2:$D$167="process")*economics!$AI$2:$AI$167*(_xlfn.NORM.DIST(BW$3,economics!$AK$2:$AK$167,economics!$AJ$2:$AJ$167,TRUE)-_xlfn.NORM.DIST(BW$30,economics!$AK$2:$AK$167,economics!$AJ$2:$AJ$167,TRUE)))),"")</f>
        <v/>
      </c>
      <c r="BX50">
        <f t="array" ref="BX50">IFERROR((SUMPRODUCT((economics!$AG$2:$AG$167=$B50)*(economics!$D$2:$D$167="process")*economics!$AI$2:$AI$167*(_xlfn.NORM.DIST(BX$3,economics!$AK$2:$AK$167,economics!$AJ$2:$AJ$167,TRUE)-_xlfn.NORM.DIST(BX$30,economics!$AK$2:$AK$167,economics!$AJ$2:$AJ$167,TRUE))*economics!$AM$2:$AM$167))/(SUMPRODUCT((economics!$AG$2:$AG$167=$B50)*(economics!$D$2:$D$167="process")*economics!$AI$2:$AI$167*(_xlfn.NORM.DIST(BX$3,economics!$AK$2:$AK$167,economics!$AJ$2:$AJ$167,TRUE)-_xlfn.NORM.DIST(BX$30,economics!$AK$2:$AK$167,economics!$AJ$2:$AJ$167,TRUE)))),"")</f>
        <v/>
      </c>
      <c r="BY50">
        <f t="array" ref="BY50">IFERROR((SUMPRODUCT((economics!$AG$2:$AG$167=$B50)*(economics!$D$2:$D$167="process")*economics!$AI$2:$AI$167*(_xlfn.NORM.DIST(BY$3,economics!$AK$2:$AK$167,economics!$AJ$2:$AJ$167,TRUE)-_xlfn.NORM.DIST(BY$30,economics!$AK$2:$AK$167,economics!$AJ$2:$AJ$167,TRUE))*economics!$AM$2:$AM$167))/(SUMPRODUCT((economics!$AG$2:$AG$167=$B50)*(economics!$D$2:$D$167="process")*economics!$AI$2:$AI$167*(_xlfn.NORM.DIST(BY$3,economics!$AK$2:$AK$167,economics!$AJ$2:$AJ$167,TRUE)-_xlfn.NORM.DIST(BY$30,economics!$AK$2:$AK$167,economics!$AJ$2:$AJ$167,TRUE)))),"")</f>
        <v/>
      </c>
      <c r="BZ50">
        <f t="array" ref="BZ50">IFERROR((SUMPRODUCT((economics!$AG$2:$AG$167=$B50)*(economics!$D$2:$D$167="process")*economics!$AI$2:$AI$167*(_xlfn.NORM.DIST(BZ$3,economics!$AK$2:$AK$167,economics!$AJ$2:$AJ$167,TRUE)-_xlfn.NORM.DIST(BZ$30,economics!$AK$2:$AK$167,economics!$AJ$2:$AJ$167,TRUE))*economics!$AM$2:$AM$167))/(SUMPRODUCT((economics!$AG$2:$AG$167=$B50)*(economics!$D$2:$D$167="process")*economics!$AI$2:$AI$167*(_xlfn.NORM.DIST(BZ$3,economics!$AK$2:$AK$167,economics!$AJ$2:$AJ$167,TRUE)-_xlfn.NORM.DIST(BZ$30,economics!$AK$2:$AK$167,economics!$AJ$2:$AJ$167,TRUE)))),"")</f>
        <v/>
      </c>
      <c r="CA50">
        <f t="array" ref="CA50">IFERROR((SUMPRODUCT((economics!$AG$2:$AG$167=$B50)*(economics!$D$2:$D$167="process")*economics!$AI$2:$AI$167*(_xlfn.NORM.DIST(CA$3,economics!$AK$2:$AK$167,economics!$AJ$2:$AJ$167,TRUE)-_xlfn.NORM.DIST(CA$30,economics!$AK$2:$AK$167,economics!$AJ$2:$AJ$167,TRUE))*economics!$AM$2:$AM$167))/(SUMPRODUCT((economics!$AG$2:$AG$167=$B50)*(economics!$D$2:$D$167="process")*economics!$AI$2:$AI$167*(_xlfn.NORM.DIST(CA$3,economics!$AK$2:$AK$167,economics!$AJ$2:$AJ$167,TRUE)-_xlfn.NORM.DIST(CA$30,economics!$AK$2:$AK$167,economics!$AJ$2:$AJ$167,TRUE)))),"")</f>
        <v/>
      </c>
      <c r="CB50">
        <f t="array" ref="CB50">IFERROR((SUMPRODUCT((economics!$AG$2:$AG$167=$B50)*(economics!$D$2:$D$167="process")*economics!$AI$2:$AI$167*(_xlfn.NORM.DIST(CB$3,economics!$AK$2:$AK$167,economics!$AJ$2:$AJ$167,TRUE)-_xlfn.NORM.DIST(CB$30,economics!$AK$2:$AK$167,economics!$AJ$2:$AJ$167,TRUE))*economics!$AM$2:$AM$167))/(SUMPRODUCT((economics!$AG$2:$AG$167=$B50)*(economics!$D$2:$D$167="process")*economics!$AI$2:$AI$167*(_xlfn.NORM.DIST(CB$3,economics!$AK$2:$AK$167,economics!$AJ$2:$AJ$167,TRUE)-_xlfn.NORM.DIST(CB$30,economics!$AK$2:$AK$167,economics!$AJ$2:$AJ$167,TRUE)))),"")</f>
        <v/>
      </c>
      <c r="CC50">
        <f t="array" ref="CC50">IFERROR((SUMPRODUCT((economics!$AG$2:$AG$167=$B50)*(economics!$D$2:$D$167="process")*economics!$AI$2:$AI$167*(_xlfn.NORM.DIST(CC$3,economics!$AK$2:$AK$167,economics!$AJ$2:$AJ$167,TRUE)-_xlfn.NORM.DIST(CC$30,economics!$AK$2:$AK$167,economics!$AJ$2:$AJ$167,TRUE))*economics!$AM$2:$AM$167))/(SUMPRODUCT((economics!$AG$2:$AG$167=$B50)*(economics!$D$2:$D$167="process")*economics!$AI$2:$AI$167*(_xlfn.NORM.DIST(CC$3,economics!$AK$2:$AK$167,economics!$AJ$2:$AJ$167,TRUE)-_xlfn.NORM.DIST(CC$30,economics!$AK$2:$AK$167,economics!$AJ$2:$AJ$167,TRUE)))),"")</f>
        <v/>
      </c>
      <c r="CD50">
        <f t="array" ref="CD50">IFERROR((SUMPRODUCT((economics!$AG$2:$AG$167=$B50)*(economics!$D$2:$D$167="process")*economics!$AI$2:$AI$167*(_xlfn.NORM.DIST(CD$3,economics!$AK$2:$AK$167,economics!$AJ$2:$AJ$167,TRUE)-_xlfn.NORM.DIST(CD$30,economics!$AK$2:$AK$167,economics!$AJ$2:$AJ$167,TRUE))*economics!$AM$2:$AM$167))/(SUMPRODUCT((economics!$AG$2:$AG$167=$B50)*(economics!$D$2:$D$167="process")*economics!$AI$2:$AI$167*(_xlfn.NORM.DIST(CD$3,economics!$AK$2:$AK$167,economics!$AJ$2:$AJ$167,TRUE)-_xlfn.NORM.DIST(CD$30,economics!$AK$2:$AK$167,economics!$AJ$2:$AJ$167,TRUE)))),"")</f>
        <v/>
      </c>
      <c r="CE50">
        <f t="array" ref="CE50">IFERROR((SUMPRODUCT((economics!$AG$2:$AG$167=$B50)*(economics!$D$2:$D$167="process")*economics!$AI$2:$AI$167*(_xlfn.NORM.DIST(CE$3,economics!$AK$2:$AK$167,economics!$AJ$2:$AJ$167,TRUE)-_xlfn.NORM.DIST(CE$30,economics!$AK$2:$AK$167,economics!$AJ$2:$AJ$167,TRUE))*economics!$AM$2:$AM$167))/(SUMPRODUCT((economics!$AG$2:$AG$167=$B50)*(economics!$D$2:$D$167="process")*economics!$AI$2:$AI$167*(_xlfn.NORM.DIST(CE$3,economics!$AK$2:$AK$167,economics!$AJ$2:$AJ$167,TRUE)-_xlfn.NORM.DIST(CE$30,economics!$AK$2:$AK$167,economics!$AJ$2:$AJ$167,TRUE)))),"")</f>
        <v/>
      </c>
      <c r="CF50">
        <f t="array" ref="CF50">IFERROR((SUMPRODUCT((economics!$AG$2:$AG$167=$B50)*(economics!$D$2:$D$167="process")*economics!$AI$2:$AI$167*(_xlfn.NORM.DIST(CF$3,economics!$AK$2:$AK$167,economics!$AJ$2:$AJ$167,TRUE)-_xlfn.NORM.DIST(CF$30,economics!$AK$2:$AK$167,economics!$AJ$2:$AJ$167,TRUE))*economics!$AM$2:$AM$167))/(SUMPRODUCT((economics!$AG$2:$AG$167=$B50)*(economics!$D$2:$D$167="process")*economics!$AI$2:$AI$167*(_xlfn.NORM.DIST(CF$3,economics!$AK$2:$AK$167,economics!$AJ$2:$AJ$167,TRUE)-_xlfn.NORM.DIST(CF$30,economics!$AK$2:$AK$167,economics!$AJ$2:$AJ$167,TRUE)))),"")</f>
        <v/>
      </c>
      <c r="CG50">
        <f t="array" ref="CG50">IFERROR((SUMPRODUCT((economics!$AG$2:$AG$167=$B50)*(economics!$D$2:$D$167="process")*economics!$AI$2:$AI$167*(_xlfn.NORM.DIST(CG$3,economics!$AK$2:$AK$167,economics!$AJ$2:$AJ$167,TRUE)-_xlfn.NORM.DIST(CG$30,economics!$AK$2:$AK$167,economics!$AJ$2:$AJ$167,TRUE))*economics!$AM$2:$AM$167))/(SUMPRODUCT((economics!$AG$2:$AG$167=$B50)*(economics!$D$2:$D$167="process")*economics!$AI$2:$AI$167*(_xlfn.NORM.DIST(CG$3,economics!$AK$2:$AK$167,economics!$AJ$2:$AJ$167,TRUE)-_xlfn.NORM.DIST(CG$30,economics!$AK$2:$AK$167,economics!$AJ$2:$AJ$167,TRUE)))),"")</f>
        <v/>
      </c>
      <c r="CH50">
        <f t="array" ref="CH50">IFERROR((SUMPRODUCT((economics!$AG$2:$AG$167=$B50)*(economics!$D$2:$D$167="process")*economics!$AI$2:$AI$167*(_xlfn.NORM.DIST(CH$3,economics!$AK$2:$AK$167,economics!$AJ$2:$AJ$167,TRUE)-_xlfn.NORM.DIST(CH$30,economics!$AK$2:$AK$167,economics!$AJ$2:$AJ$167,TRUE))*economics!$AM$2:$AM$167))/(SUMPRODUCT((economics!$AG$2:$AG$167=$B50)*(economics!$D$2:$D$167="process")*economics!$AI$2:$AI$167*(_xlfn.NORM.DIST(CH$3,economics!$AK$2:$AK$167,economics!$AJ$2:$AJ$167,TRUE)-_xlfn.NORM.DIST(CH$30,economics!$AK$2:$AK$167,economics!$AJ$2:$AJ$167,TRUE)))),"")</f>
        <v/>
      </c>
    </row>
    <row r="51">
      <c r="A51">
        <f>A22</f>
        <v/>
      </c>
      <c r="B51">
        <f>B22</f>
        <v/>
      </c>
      <c r="E51">
        <f t="array" ref="E51">IFERROR((SUMPRODUCT((economics!$AG$2:$AG$167=$B51)*(economics!$D$2:$D$167="process")*economics!$AI$2:$AI$167*(_xlfn.NORM.DIST(E$3,economics!$AK$2:$AK$167,economics!$AJ$2:$AJ$167,TRUE)-_xlfn.NORM.DIST(E$30,economics!$AK$2:$AK$167,economics!$AJ$2:$AJ$167,TRUE))*economics!$AM$2:$AM$167))/(SUMPRODUCT((economics!$AG$2:$AG$167=$B51)*(economics!$D$2:$D$167="process")*economics!$AI$2:$AI$167*(_xlfn.NORM.DIST(E$3,economics!$AK$2:$AK$167,economics!$AJ$2:$AJ$167,TRUE)-_xlfn.NORM.DIST(E$30,economics!$AK$2:$AK$167,economics!$AJ$2:$AJ$167,TRUE)))),"")</f>
        <v/>
      </c>
      <c r="F51">
        <f t="array" ref="F51">IFERROR((SUMPRODUCT((economics!$AG$2:$AG$167=$B51)*(economics!$D$2:$D$167="process")*economics!$AI$2:$AI$167*(_xlfn.NORM.DIST(F$3,economics!$AK$2:$AK$167,economics!$AJ$2:$AJ$167,TRUE)-_xlfn.NORM.DIST(F$30,economics!$AK$2:$AK$167,economics!$AJ$2:$AJ$167,TRUE))*economics!$AM$2:$AM$167))/(SUMPRODUCT((economics!$AG$2:$AG$167=$B51)*(economics!$D$2:$D$167="process")*economics!$AI$2:$AI$167*(_xlfn.NORM.DIST(F$3,economics!$AK$2:$AK$167,economics!$AJ$2:$AJ$167,TRUE)-_xlfn.NORM.DIST(F$30,economics!$AK$2:$AK$167,economics!$AJ$2:$AJ$167,TRUE)))),"")</f>
        <v/>
      </c>
      <c r="G51">
        <f t="array" ref="G51">IFERROR((SUMPRODUCT((economics!$AG$2:$AG$167=$B51)*(economics!$D$2:$D$167="process")*economics!$AI$2:$AI$167*(_xlfn.NORM.DIST(G$3,economics!$AK$2:$AK$167,economics!$AJ$2:$AJ$167,TRUE)-_xlfn.NORM.DIST(G$30,economics!$AK$2:$AK$167,economics!$AJ$2:$AJ$167,TRUE))*economics!$AM$2:$AM$167))/(SUMPRODUCT((economics!$AG$2:$AG$167=$B51)*(economics!$D$2:$D$167="process")*economics!$AI$2:$AI$167*(_xlfn.NORM.DIST(G$3,economics!$AK$2:$AK$167,economics!$AJ$2:$AJ$167,TRUE)-_xlfn.NORM.DIST(G$30,economics!$AK$2:$AK$167,economics!$AJ$2:$AJ$167,TRUE)))),"")</f>
        <v/>
      </c>
      <c r="H51">
        <f t="array" ref="H51">IFERROR((SUMPRODUCT((economics!$AG$2:$AG$167=$B51)*(economics!$D$2:$D$167="process")*economics!$AI$2:$AI$167*(_xlfn.NORM.DIST(H$3,economics!$AK$2:$AK$167,economics!$AJ$2:$AJ$167,TRUE)-_xlfn.NORM.DIST(H$30,economics!$AK$2:$AK$167,economics!$AJ$2:$AJ$167,TRUE))*economics!$AM$2:$AM$167))/(SUMPRODUCT((economics!$AG$2:$AG$167=$B51)*(economics!$D$2:$D$167="process")*economics!$AI$2:$AI$167*(_xlfn.NORM.DIST(H$3,economics!$AK$2:$AK$167,economics!$AJ$2:$AJ$167,TRUE)-_xlfn.NORM.DIST(H$30,economics!$AK$2:$AK$167,economics!$AJ$2:$AJ$167,TRUE)))),"")</f>
        <v/>
      </c>
      <c r="I51">
        <f t="array" ref="I51">IFERROR((SUMPRODUCT((economics!$AG$2:$AG$167=$B51)*(economics!$D$2:$D$167="process")*economics!$AI$2:$AI$167*(_xlfn.NORM.DIST(I$3,economics!$AK$2:$AK$167,economics!$AJ$2:$AJ$167,TRUE)-_xlfn.NORM.DIST(I$30,economics!$AK$2:$AK$167,economics!$AJ$2:$AJ$167,TRUE))*economics!$AM$2:$AM$167))/(SUMPRODUCT((economics!$AG$2:$AG$167=$B51)*(economics!$D$2:$D$167="process")*economics!$AI$2:$AI$167*(_xlfn.NORM.DIST(I$3,economics!$AK$2:$AK$167,economics!$AJ$2:$AJ$167,TRUE)-_xlfn.NORM.DIST(I$30,economics!$AK$2:$AK$167,economics!$AJ$2:$AJ$167,TRUE)))),"")</f>
        <v/>
      </c>
      <c r="J51">
        <f t="array" ref="J51">IFERROR((SUMPRODUCT((economics!$AG$2:$AG$167=$B51)*(economics!$D$2:$D$167="process")*economics!$AI$2:$AI$167*(_xlfn.NORM.DIST(J$3,economics!$AK$2:$AK$167,economics!$AJ$2:$AJ$167,TRUE)-_xlfn.NORM.DIST(J$30,economics!$AK$2:$AK$167,economics!$AJ$2:$AJ$167,TRUE))*economics!$AM$2:$AM$167))/(SUMPRODUCT((economics!$AG$2:$AG$167=$B51)*(economics!$D$2:$D$167="process")*economics!$AI$2:$AI$167*(_xlfn.NORM.DIST(J$3,economics!$AK$2:$AK$167,economics!$AJ$2:$AJ$167,TRUE)-_xlfn.NORM.DIST(J$30,economics!$AK$2:$AK$167,economics!$AJ$2:$AJ$167,TRUE)))),"")</f>
        <v/>
      </c>
      <c r="K51">
        <f t="array" ref="K51">IFERROR((SUMPRODUCT((economics!$AG$2:$AG$167=$B51)*(economics!$D$2:$D$167="process")*economics!$AI$2:$AI$167*(_xlfn.NORM.DIST(K$3,economics!$AK$2:$AK$167,economics!$AJ$2:$AJ$167,TRUE)-_xlfn.NORM.DIST(K$30,economics!$AK$2:$AK$167,economics!$AJ$2:$AJ$167,TRUE))*economics!$AM$2:$AM$167))/(SUMPRODUCT((economics!$AG$2:$AG$167=$B51)*(economics!$D$2:$D$167="process")*economics!$AI$2:$AI$167*(_xlfn.NORM.DIST(K$3,economics!$AK$2:$AK$167,economics!$AJ$2:$AJ$167,TRUE)-_xlfn.NORM.DIST(K$30,economics!$AK$2:$AK$167,economics!$AJ$2:$AJ$167,TRUE)))),"")</f>
        <v/>
      </c>
      <c r="L51">
        <f t="array" ref="L51">IFERROR((SUMPRODUCT((economics!$AG$2:$AG$167=$B51)*(economics!$D$2:$D$167="process")*economics!$AI$2:$AI$167*(_xlfn.NORM.DIST(L$3,economics!$AK$2:$AK$167,economics!$AJ$2:$AJ$167,TRUE)-_xlfn.NORM.DIST(L$30,economics!$AK$2:$AK$167,economics!$AJ$2:$AJ$167,TRUE))*economics!$AM$2:$AM$167))/(SUMPRODUCT((economics!$AG$2:$AG$167=$B51)*(economics!$D$2:$D$167="process")*economics!$AI$2:$AI$167*(_xlfn.NORM.DIST(L$3,economics!$AK$2:$AK$167,economics!$AJ$2:$AJ$167,TRUE)-_xlfn.NORM.DIST(L$30,economics!$AK$2:$AK$167,economics!$AJ$2:$AJ$167,TRUE)))),"")</f>
        <v/>
      </c>
      <c r="M51">
        <f t="array" ref="M51">IFERROR((SUMPRODUCT((economics!$AG$2:$AG$167=$B51)*(economics!$D$2:$D$167="process")*economics!$AI$2:$AI$167*(_xlfn.NORM.DIST(M$3,economics!$AK$2:$AK$167,economics!$AJ$2:$AJ$167,TRUE)-_xlfn.NORM.DIST(M$30,economics!$AK$2:$AK$167,economics!$AJ$2:$AJ$167,TRUE))*economics!$AM$2:$AM$167))/(SUMPRODUCT((economics!$AG$2:$AG$167=$B51)*(economics!$D$2:$D$167="process")*economics!$AI$2:$AI$167*(_xlfn.NORM.DIST(M$3,economics!$AK$2:$AK$167,economics!$AJ$2:$AJ$167,TRUE)-_xlfn.NORM.DIST(M$30,economics!$AK$2:$AK$167,economics!$AJ$2:$AJ$167,TRUE)))),"")</f>
        <v/>
      </c>
      <c r="N51">
        <f t="array" ref="N51">IFERROR((SUMPRODUCT((economics!$AG$2:$AG$167=$B51)*(economics!$D$2:$D$167="process")*economics!$AI$2:$AI$167*(_xlfn.NORM.DIST(N$3,economics!$AK$2:$AK$167,economics!$AJ$2:$AJ$167,TRUE)-_xlfn.NORM.DIST(N$30,economics!$AK$2:$AK$167,economics!$AJ$2:$AJ$167,TRUE))*economics!$AM$2:$AM$167))/(SUMPRODUCT((economics!$AG$2:$AG$167=$B51)*(economics!$D$2:$D$167="process")*economics!$AI$2:$AI$167*(_xlfn.NORM.DIST(N$3,economics!$AK$2:$AK$167,economics!$AJ$2:$AJ$167,TRUE)-_xlfn.NORM.DIST(N$30,economics!$AK$2:$AK$167,economics!$AJ$2:$AJ$167,TRUE)))),"")</f>
        <v/>
      </c>
      <c r="O51">
        <f t="array" ref="O51">IFERROR((SUMPRODUCT((economics!$AG$2:$AG$167=$B51)*(economics!$D$2:$D$167="process")*economics!$AI$2:$AI$167*(_xlfn.NORM.DIST(O$3,economics!$AK$2:$AK$167,economics!$AJ$2:$AJ$167,TRUE)-_xlfn.NORM.DIST(O$30,economics!$AK$2:$AK$167,economics!$AJ$2:$AJ$167,TRUE))*economics!$AM$2:$AM$167))/(SUMPRODUCT((economics!$AG$2:$AG$167=$B51)*(economics!$D$2:$D$167="process")*economics!$AI$2:$AI$167*(_xlfn.NORM.DIST(O$3,economics!$AK$2:$AK$167,economics!$AJ$2:$AJ$167,TRUE)-_xlfn.NORM.DIST(O$30,economics!$AK$2:$AK$167,economics!$AJ$2:$AJ$167,TRUE)))),"")</f>
        <v/>
      </c>
      <c r="P51">
        <f t="array" ref="P51">IFERROR((SUMPRODUCT((economics!$AG$2:$AG$167=$B51)*(economics!$D$2:$D$167="process")*economics!$AI$2:$AI$167*(_xlfn.NORM.DIST(P$3,economics!$AK$2:$AK$167,economics!$AJ$2:$AJ$167,TRUE)-_xlfn.NORM.DIST(P$30,economics!$AK$2:$AK$167,economics!$AJ$2:$AJ$167,TRUE))*economics!$AM$2:$AM$167))/(SUMPRODUCT((economics!$AG$2:$AG$167=$B51)*(economics!$D$2:$D$167="process")*economics!$AI$2:$AI$167*(_xlfn.NORM.DIST(P$3,economics!$AK$2:$AK$167,economics!$AJ$2:$AJ$167,TRUE)-_xlfn.NORM.DIST(P$30,economics!$AK$2:$AK$167,economics!$AJ$2:$AJ$167,TRUE)))),"")</f>
        <v/>
      </c>
      <c r="Q51">
        <f t="array" ref="Q51">IFERROR((SUMPRODUCT((economics!$AG$2:$AG$167=$B51)*(economics!$D$2:$D$167="process")*economics!$AI$2:$AI$167*(_xlfn.NORM.DIST(Q$3,economics!$AK$2:$AK$167,economics!$AJ$2:$AJ$167,TRUE)-_xlfn.NORM.DIST(Q$30,economics!$AK$2:$AK$167,economics!$AJ$2:$AJ$167,TRUE))*economics!$AM$2:$AM$167))/(SUMPRODUCT((economics!$AG$2:$AG$167=$B51)*(economics!$D$2:$D$167="process")*economics!$AI$2:$AI$167*(_xlfn.NORM.DIST(Q$3,economics!$AK$2:$AK$167,economics!$AJ$2:$AJ$167,TRUE)-_xlfn.NORM.DIST(Q$30,economics!$AK$2:$AK$167,economics!$AJ$2:$AJ$167,TRUE)))),"")</f>
        <v/>
      </c>
      <c r="R51">
        <f t="array" ref="R51">IFERROR((SUMPRODUCT((economics!$AG$2:$AG$167=$B51)*(economics!$D$2:$D$167="process")*economics!$AI$2:$AI$167*(_xlfn.NORM.DIST(R$3,economics!$AK$2:$AK$167,economics!$AJ$2:$AJ$167,TRUE)-_xlfn.NORM.DIST(R$30,economics!$AK$2:$AK$167,economics!$AJ$2:$AJ$167,TRUE))*economics!$AM$2:$AM$167))/(SUMPRODUCT((economics!$AG$2:$AG$167=$B51)*(economics!$D$2:$D$167="process")*economics!$AI$2:$AI$167*(_xlfn.NORM.DIST(R$3,economics!$AK$2:$AK$167,economics!$AJ$2:$AJ$167,TRUE)-_xlfn.NORM.DIST(R$30,economics!$AK$2:$AK$167,economics!$AJ$2:$AJ$167,TRUE)))),"")</f>
        <v/>
      </c>
      <c r="S51">
        <f t="array" ref="S51">IFERROR((SUMPRODUCT((economics!$AG$2:$AG$167=$B51)*(economics!$D$2:$D$167="process")*economics!$AI$2:$AI$167*(_xlfn.NORM.DIST(S$3,economics!$AK$2:$AK$167,economics!$AJ$2:$AJ$167,TRUE)-_xlfn.NORM.DIST(S$30,economics!$AK$2:$AK$167,economics!$AJ$2:$AJ$167,TRUE))*economics!$AM$2:$AM$167))/(SUMPRODUCT((economics!$AG$2:$AG$167=$B51)*(economics!$D$2:$D$167="process")*economics!$AI$2:$AI$167*(_xlfn.NORM.DIST(S$3,economics!$AK$2:$AK$167,economics!$AJ$2:$AJ$167,TRUE)-_xlfn.NORM.DIST(S$30,economics!$AK$2:$AK$167,economics!$AJ$2:$AJ$167,TRUE)))),"")</f>
        <v/>
      </c>
      <c r="T51">
        <f t="array" ref="T51">IFERROR((SUMPRODUCT((economics!$AG$2:$AG$167=$B51)*(economics!$D$2:$D$167="process")*economics!$AI$2:$AI$167*(_xlfn.NORM.DIST(T$3,economics!$AK$2:$AK$167,economics!$AJ$2:$AJ$167,TRUE)-_xlfn.NORM.DIST(T$30,economics!$AK$2:$AK$167,economics!$AJ$2:$AJ$167,TRUE))*economics!$AM$2:$AM$167))/(SUMPRODUCT((economics!$AG$2:$AG$167=$B51)*(economics!$D$2:$D$167="process")*economics!$AI$2:$AI$167*(_xlfn.NORM.DIST(T$3,economics!$AK$2:$AK$167,economics!$AJ$2:$AJ$167,TRUE)-_xlfn.NORM.DIST(T$30,economics!$AK$2:$AK$167,economics!$AJ$2:$AJ$167,TRUE)))),"")</f>
        <v/>
      </c>
      <c r="U51">
        <f t="array" ref="U51">IFERROR((SUMPRODUCT((economics!$AG$2:$AG$167=$B51)*(economics!$D$2:$D$167="process")*economics!$AI$2:$AI$167*(_xlfn.NORM.DIST(U$3,economics!$AK$2:$AK$167,economics!$AJ$2:$AJ$167,TRUE)-_xlfn.NORM.DIST(U$30,economics!$AK$2:$AK$167,economics!$AJ$2:$AJ$167,TRUE))*economics!$AM$2:$AM$167))/(SUMPRODUCT((economics!$AG$2:$AG$167=$B51)*(economics!$D$2:$D$167="process")*economics!$AI$2:$AI$167*(_xlfn.NORM.DIST(U$3,economics!$AK$2:$AK$167,economics!$AJ$2:$AJ$167,TRUE)-_xlfn.NORM.DIST(U$30,economics!$AK$2:$AK$167,economics!$AJ$2:$AJ$167,TRUE)))),"")</f>
        <v/>
      </c>
      <c r="V51">
        <f t="array" ref="V51">IFERROR((SUMPRODUCT((economics!$AG$2:$AG$167=$B51)*(economics!$D$2:$D$167="process")*economics!$AI$2:$AI$167*(_xlfn.NORM.DIST(V$3,economics!$AK$2:$AK$167,economics!$AJ$2:$AJ$167,TRUE)-_xlfn.NORM.DIST(V$30,economics!$AK$2:$AK$167,economics!$AJ$2:$AJ$167,TRUE))*economics!$AM$2:$AM$167))/(SUMPRODUCT((economics!$AG$2:$AG$167=$B51)*(economics!$D$2:$D$167="process")*economics!$AI$2:$AI$167*(_xlfn.NORM.DIST(V$3,economics!$AK$2:$AK$167,economics!$AJ$2:$AJ$167,TRUE)-_xlfn.NORM.DIST(V$30,economics!$AK$2:$AK$167,economics!$AJ$2:$AJ$167,TRUE)))),"")</f>
        <v/>
      </c>
      <c r="W51">
        <f t="array" ref="W51">IFERROR((SUMPRODUCT((economics!$AG$2:$AG$167=$B51)*(economics!$D$2:$D$167="process")*economics!$AI$2:$AI$167*(_xlfn.NORM.DIST(W$3,economics!$AK$2:$AK$167,economics!$AJ$2:$AJ$167,TRUE)-_xlfn.NORM.DIST(W$30,economics!$AK$2:$AK$167,economics!$AJ$2:$AJ$167,TRUE))*economics!$AM$2:$AM$167))/(SUMPRODUCT((economics!$AG$2:$AG$167=$B51)*(economics!$D$2:$D$167="process")*economics!$AI$2:$AI$167*(_xlfn.NORM.DIST(W$3,economics!$AK$2:$AK$167,economics!$AJ$2:$AJ$167,TRUE)-_xlfn.NORM.DIST(W$30,economics!$AK$2:$AK$167,economics!$AJ$2:$AJ$167,TRUE)))),"")</f>
        <v/>
      </c>
      <c r="X51">
        <f t="array" ref="X51">IFERROR((SUMPRODUCT((economics!$AG$2:$AG$167=$B51)*(economics!$D$2:$D$167="process")*economics!$AI$2:$AI$167*(_xlfn.NORM.DIST(X$3,economics!$AK$2:$AK$167,economics!$AJ$2:$AJ$167,TRUE)-_xlfn.NORM.DIST(X$30,economics!$AK$2:$AK$167,economics!$AJ$2:$AJ$167,TRUE))*economics!$AM$2:$AM$167))/(SUMPRODUCT((economics!$AG$2:$AG$167=$B51)*(economics!$D$2:$D$167="process")*economics!$AI$2:$AI$167*(_xlfn.NORM.DIST(X$3,economics!$AK$2:$AK$167,economics!$AJ$2:$AJ$167,TRUE)-_xlfn.NORM.DIST(X$30,economics!$AK$2:$AK$167,economics!$AJ$2:$AJ$167,TRUE)))),"")</f>
        <v/>
      </c>
      <c r="Y51">
        <f t="array" ref="Y51">IFERROR((SUMPRODUCT((economics!$AG$2:$AG$167=$B51)*(economics!$D$2:$D$167="process")*economics!$AI$2:$AI$167*(_xlfn.NORM.DIST(Y$3,economics!$AK$2:$AK$167,economics!$AJ$2:$AJ$167,TRUE)-_xlfn.NORM.DIST(Y$30,economics!$AK$2:$AK$167,economics!$AJ$2:$AJ$167,TRUE))*economics!$AM$2:$AM$167))/(SUMPRODUCT((economics!$AG$2:$AG$167=$B51)*(economics!$D$2:$D$167="process")*economics!$AI$2:$AI$167*(_xlfn.NORM.DIST(Y$3,economics!$AK$2:$AK$167,economics!$AJ$2:$AJ$167,TRUE)-_xlfn.NORM.DIST(Y$30,economics!$AK$2:$AK$167,economics!$AJ$2:$AJ$167,TRUE)))),"")</f>
        <v/>
      </c>
      <c r="Z51">
        <f t="array" ref="Z51">IFERROR((SUMPRODUCT((economics!$AG$2:$AG$167=$B51)*(economics!$D$2:$D$167="process")*economics!$AI$2:$AI$167*(_xlfn.NORM.DIST(Z$3,economics!$AK$2:$AK$167,economics!$AJ$2:$AJ$167,TRUE)-_xlfn.NORM.DIST(Z$30,economics!$AK$2:$AK$167,economics!$AJ$2:$AJ$167,TRUE))*economics!$AM$2:$AM$167))/(SUMPRODUCT((economics!$AG$2:$AG$167=$B51)*(economics!$D$2:$D$167="process")*economics!$AI$2:$AI$167*(_xlfn.NORM.DIST(Z$3,economics!$AK$2:$AK$167,economics!$AJ$2:$AJ$167,TRUE)-_xlfn.NORM.DIST(Z$30,economics!$AK$2:$AK$167,economics!$AJ$2:$AJ$167,TRUE)))),"")</f>
        <v/>
      </c>
      <c r="AA51">
        <f t="array" ref="AA51">IFERROR((SUMPRODUCT((economics!$AG$2:$AG$167=$B51)*(economics!$D$2:$D$167="process")*economics!$AI$2:$AI$167*(_xlfn.NORM.DIST(AA$3,economics!$AK$2:$AK$167,economics!$AJ$2:$AJ$167,TRUE)-_xlfn.NORM.DIST(AA$30,economics!$AK$2:$AK$167,economics!$AJ$2:$AJ$167,TRUE))*economics!$AM$2:$AM$167))/(SUMPRODUCT((economics!$AG$2:$AG$167=$B51)*(economics!$D$2:$D$167="process")*economics!$AI$2:$AI$167*(_xlfn.NORM.DIST(AA$3,economics!$AK$2:$AK$167,economics!$AJ$2:$AJ$167,TRUE)-_xlfn.NORM.DIST(AA$30,economics!$AK$2:$AK$167,economics!$AJ$2:$AJ$167,TRUE)))),"")</f>
        <v/>
      </c>
      <c r="AB51">
        <f t="array" ref="AB51">IFERROR((SUMPRODUCT((economics!$AG$2:$AG$167=$B51)*(economics!$D$2:$D$167="process")*economics!$AI$2:$AI$167*(_xlfn.NORM.DIST(AB$3,economics!$AK$2:$AK$167,economics!$AJ$2:$AJ$167,TRUE)-_xlfn.NORM.DIST(AB$30,economics!$AK$2:$AK$167,economics!$AJ$2:$AJ$167,TRUE))*economics!$AM$2:$AM$167))/(SUMPRODUCT((economics!$AG$2:$AG$167=$B51)*(economics!$D$2:$D$167="process")*economics!$AI$2:$AI$167*(_xlfn.NORM.DIST(AB$3,economics!$AK$2:$AK$167,economics!$AJ$2:$AJ$167,TRUE)-_xlfn.NORM.DIST(AB$30,economics!$AK$2:$AK$167,economics!$AJ$2:$AJ$167,TRUE)))),"")</f>
        <v/>
      </c>
      <c r="AC51">
        <f t="array" ref="AC51">IFERROR((SUMPRODUCT((economics!$AG$2:$AG$167=$B51)*(economics!$D$2:$D$167="process")*economics!$AI$2:$AI$167*(_xlfn.NORM.DIST(AC$3,economics!$AK$2:$AK$167,economics!$AJ$2:$AJ$167,TRUE)-_xlfn.NORM.DIST(AC$30,economics!$AK$2:$AK$167,economics!$AJ$2:$AJ$167,TRUE))*economics!$AM$2:$AM$167))/(SUMPRODUCT((economics!$AG$2:$AG$167=$B51)*(economics!$D$2:$D$167="process")*economics!$AI$2:$AI$167*(_xlfn.NORM.DIST(AC$3,economics!$AK$2:$AK$167,economics!$AJ$2:$AJ$167,TRUE)-_xlfn.NORM.DIST(AC$30,economics!$AK$2:$AK$167,economics!$AJ$2:$AJ$167,TRUE)))),"")</f>
        <v/>
      </c>
      <c r="AD51">
        <f t="array" ref="AD51">IFERROR((SUMPRODUCT((economics!$AG$2:$AG$167=$B51)*(economics!$D$2:$D$167="process")*economics!$AI$2:$AI$167*(_xlfn.NORM.DIST(AD$3,economics!$AK$2:$AK$167,economics!$AJ$2:$AJ$167,TRUE)-_xlfn.NORM.DIST(AD$30,economics!$AK$2:$AK$167,economics!$AJ$2:$AJ$167,TRUE))*economics!$AM$2:$AM$167))/(SUMPRODUCT((economics!$AG$2:$AG$167=$B51)*(economics!$D$2:$D$167="process")*economics!$AI$2:$AI$167*(_xlfn.NORM.DIST(AD$3,economics!$AK$2:$AK$167,economics!$AJ$2:$AJ$167,TRUE)-_xlfn.NORM.DIST(AD$30,economics!$AK$2:$AK$167,economics!$AJ$2:$AJ$167,TRUE)))),"")</f>
        <v/>
      </c>
      <c r="AE51">
        <f t="array" ref="AE51">IFERROR((SUMPRODUCT((economics!$AG$2:$AG$167=$B51)*(economics!$D$2:$D$167="process")*economics!$AI$2:$AI$167*(_xlfn.NORM.DIST(AE$3,economics!$AK$2:$AK$167,economics!$AJ$2:$AJ$167,TRUE)-_xlfn.NORM.DIST(AE$30,economics!$AK$2:$AK$167,economics!$AJ$2:$AJ$167,TRUE))*economics!$AM$2:$AM$167))/(SUMPRODUCT((economics!$AG$2:$AG$167=$B51)*(economics!$D$2:$D$167="process")*economics!$AI$2:$AI$167*(_xlfn.NORM.DIST(AE$3,economics!$AK$2:$AK$167,economics!$AJ$2:$AJ$167,TRUE)-_xlfn.NORM.DIST(AE$30,economics!$AK$2:$AK$167,economics!$AJ$2:$AJ$167,TRUE)))),"")</f>
        <v/>
      </c>
      <c r="AF51">
        <f t="array" ref="AF51">IFERROR((SUMPRODUCT((economics!$AG$2:$AG$167=$B51)*(economics!$D$2:$D$167="process")*economics!$AI$2:$AI$167*(_xlfn.NORM.DIST(AF$3,economics!$AK$2:$AK$167,economics!$AJ$2:$AJ$167,TRUE)-_xlfn.NORM.DIST(AF$30,economics!$AK$2:$AK$167,economics!$AJ$2:$AJ$167,TRUE))*economics!$AM$2:$AM$167))/(SUMPRODUCT((economics!$AG$2:$AG$167=$B51)*(economics!$D$2:$D$167="process")*economics!$AI$2:$AI$167*(_xlfn.NORM.DIST(AF$3,economics!$AK$2:$AK$167,economics!$AJ$2:$AJ$167,TRUE)-_xlfn.NORM.DIST(AF$30,economics!$AK$2:$AK$167,economics!$AJ$2:$AJ$167,TRUE)))),"")</f>
        <v/>
      </c>
      <c r="AG51">
        <f t="array" ref="AG51">IFERROR((SUMPRODUCT((economics!$AG$2:$AG$167=$B51)*(economics!$D$2:$D$167="process")*economics!$AI$2:$AI$167*(_xlfn.NORM.DIST(AG$3,economics!$AK$2:$AK$167,economics!$AJ$2:$AJ$167,TRUE)-_xlfn.NORM.DIST(AG$30,economics!$AK$2:$AK$167,economics!$AJ$2:$AJ$167,TRUE))*economics!$AM$2:$AM$167))/(SUMPRODUCT((economics!$AG$2:$AG$167=$B51)*(economics!$D$2:$D$167="process")*economics!$AI$2:$AI$167*(_xlfn.NORM.DIST(AG$3,economics!$AK$2:$AK$167,economics!$AJ$2:$AJ$167,TRUE)-_xlfn.NORM.DIST(AG$30,economics!$AK$2:$AK$167,economics!$AJ$2:$AJ$167,TRUE)))),"")</f>
        <v/>
      </c>
      <c r="AH51">
        <f t="array" ref="AH51">IFERROR((SUMPRODUCT((economics!$AG$2:$AG$167=$B51)*(economics!$D$2:$D$167="process")*economics!$AI$2:$AI$167*(_xlfn.NORM.DIST(AH$3,economics!$AK$2:$AK$167,economics!$AJ$2:$AJ$167,TRUE)-_xlfn.NORM.DIST(AH$30,economics!$AK$2:$AK$167,economics!$AJ$2:$AJ$167,TRUE))*economics!$AM$2:$AM$167))/(SUMPRODUCT((economics!$AG$2:$AG$167=$B51)*(economics!$D$2:$D$167="process")*economics!$AI$2:$AI$167*(_xlfn.NORM.DIST(AH$3,economics!$AK$2:$AK$167,economics!$AJ$2:$AJ$167,TRUE)-_xlfn.NORM.DIST(AH$30,economics!$AK$2:$AK$167,economics!$AJ$2:$AJ$167,TRUE)))),"")</f>
        <v/>
      </c>
      <c r="AI51">
        <f t="array" ref="AI51">IFERROR((SUMPRODUCT((economics!$AG$2:$AG$167=$B51)*(economics!$D$2:$D$167="process")*economics!$AI$2:$AI$167*(_xlfn.NORM.DIST(AI$3,economics!$AK$2:$AK$167,economics!$AJ$2:$AJ$167,TRUE)-_xlfn.NORM.DIST(AI$30,economics!$AK$2:$AK$167,economics!$AJ$2:$AJ$167,TRUE))*economics!$AM$2:$AM$167))/(SUMPRODUCT((economics!$AG$2:$AG$167=$B51)*(economics!$D$2:$D$167="process")*economics!$AI$2:$AI$167*(_xlfn.NORM.DIST(AI$3,economics!$AK$2:$AK$167,economics!$AJ$2:$AJ$167,TRUE)-_xlfn.NORM.DIST(AI$30,economics!$AK$2:$AK$167,economics!$AJ$2:$AJ$167,TRUE)))),"")</f>
        <v/>
      </c>
      <c r="AJ51">
        <f t="array" ref="AJ51">IFERROR((SUMPRODUCT((economics!$AG$2:$AG$167=$B51)*(economics!$D$2:$D$167="process")*economics!$AI$2:$AI$167*(_xlfn.NORM.DIST(AJ$3,economics!$AK$2:$AK$167,economics!$AJ$2:$AJ$167,TRUE)-_xlfn.NORM.DIST(AJ$30,economics!$AK$2:$AK$167,economics!$AJ$2:$AJ$167,TRUE))*economics!$AM$2:$AM$167))/(SUMPRODUCT((economics!$AG$2:$AG$167=$B51)*(economics!$D$2:$D$167="process")*economics!$AI$2:$AI$167*(_xlfn.NORM.DIST(AJ$3,economics!$AK$2:$AK$167,economics!$AJ$2:$AJ$167,TRUE)-_xlfn.NORM.DIST(AJ$30,economics!$AK$2:$AK$167,economics!$AJ$2:$AJ$167,TRUE)))),"")</f>
        <v/>
      </c>
      <c r="AK51">
        <f t="array" ref="AK51">IFERROR((SUMPRODUCT((economics!$AG$2:$AG$167=$B51)*(economics!$D$2:$D$167="process")*economics!$AI$2:$AI$167*(_xlfn.NORM.DIST(AK$3,economics!$AK$2:$AK$167,economics!$AJ$2:$AJ$167,TRUE)-_xlfn.NORM.DIST(AK$30,economics!$AK$2:$AK$167,economics!$AJ$2:$AJ$167,TRUE))*economics!$AM$2:$AM$167))/(SUMPRODUCT((economics!$AG$2:$AG$167=$B51)*(economics!$D$2:$D$167="process")*economics!$AI$2:$AI$167*(_xlfn.NORM.DIST(AK$3,economics!$AK$2:$AK$167,economics!$AJ$2:$AJ$167,TRUE)-_xlfn.NORM.DIST(AK$30,economics!$AK$2:$AK$167,economics!$AJ$2:$AJ$167,TRUE)))),"")</f>
        <v/>
      </c>
      <c r="AL51">
        <f t="array" ref="AL51">IFERROR((SUMPRODUCT((economics!$AG$2:$AG$167=$B51)*(economics!$D$2:$D$167="process")*economics!$AI$2:$AI$167*(_xlfn.NORM.DIST(AL$3,economics!$AK$2:$AK$167,economics!$AJ$2:$AJ$167,TRUE)-_xlfn.NORM.DIST(AL$30,economics!$AK$2:$AK$167,economics!$AJ$2:$AJ$167,TRUE))*economics!$AM$2:$AM$167))/(SUMPRODUCT((economics!$AG$2:$AG$167=$B51)*(economics!$D$2:$D$167="process")*economics!$AI$2:$AI$167*(_xlfn.NORM.DIST(AL$3,economics!$AK$2:$AK$167,economics!$AJ$2:$AJ$167,TRUE)-_xlfn.NORM.DIST(AL$30,economics!$AK$2:$AK$167,economics!$AJ$2:$AJ$167,TRUE)))),"")</f>
        <v/>
      </c>
      <c r="AM51">
        <f t="array" ref="AM51">IFERROR((SUMPRODUCT((economics!$AG$2:$AG$167=$B51)*(economics!$D$2:$D$167="process")*economics!$AI$2:$AI$167*(_xlfn.NORM.DIST(AM$3,economics!$AK$2:$AK$167,economics!$AJ$2:$AJ$167,TRUE)-_xlfn.NORM.DIST(AM$30,economics!$AK$2:$AK$167,economics!$AJ$2:$AJ$167,TRUE))*economics!$AM$2:$AM$167))/(SUMPRODUCT((economics!$AG$2:$AG$167=$B51)*(economics!$D$2:$D$167="process")*economics!$AI$2:$AI$167*(_xlfn.NORM.DIST(AM$3,economics!$AK$2:$AK$167,economics!$AJ$2:$AJ$167,TRUE)-_xlfn.NORM.DIST(AM$30,economics!$AK$2:$AK$167,economics!$AJ$2:$AJ$167,TRUE)))),"")</f>
        <v/>
      </c>
      <c r="AN51">
        <f t="array" ref="AN51">IFERROR((SUMPRODUCT((economics!$AG$2:$AG$167=$B51)*(economics!$D$2:$D$167="process")*economics!$AI$2:$AI$167*(_xlfn.NORM.DIST(AN$3,economics!$AK$2:$AK$167,economics!$AJ$2:$AJ$167,TRUE)-_xlfn.NORM.DIST(AN$30,economics!$AK$2:$AK$167,economics!$AJ$2:$AJ$167,TRUE))*economics!$AM$2:$AM$167))/(SUMPRODUCT((economics!$AG$2:$AG$167=$B51)*(economics!$D$2:$D$167="process")*economics!$AI$2:$AI$167*(_xlfn.NORM.DIST(AN$3,economics!$AK$2:$AK$167,economics!$AJ$2:$AJ$167,TRUE)-_xlfn.NORM.DIST(AN$30,economics!$AK$2:$AK$167,economics!$AJ$2:$AJ$167,TRUE)))),"")</f>
        <v/>
      </c>
      <c r="AO51">
        <f t="array" ref="AO51">IFERROR((SUMPRODUCT((economics!$AG$2:$AG$167=$B51)*(economics!$D$2:$D$167="process")*economics!$AI$2:$AI$167*(_xlfn.NORM.DIST(AO$3,economics!$AK$2:$AK$167,economics!$AJ$2:$AJ$167,TRUE)-_xlfn.NORM.DIST(AO$30,economics!$AK$2:$AK$167,economics!$AJ$2:$AJ$167,TRUE))*economics!$AM$2:$AM$167))/(SUMPRODUCT((economics!$AG$2:$AG$167=$B51)*(economics!$D$2:$D$167="process")*economics!$AI$2:$AI$167*(_xlfn.NORM.DIST(AO$3,economics!$AK$2:$AK$167,economics!$AJ$2:$AJ$167,TRUE)-_xlfn.NORM.DIST(AO$30,economics!$AK$2:$AK$167,economics!$AJ$2:$AJ$167,TRUE)))),"")</f>
        <v/>
      </c>
      <c r="AP51">
        <f t="array" ref="AP51">IFERROR((SUMPRODUCT((economics!$AG$2:$AG$167=$B51)*(economics!$D$2:$D$167="process")*economics!$AI$2:$AI$167*(_xlfn.NORM.DIST(AP$3,economics!$AK$2:$AK$167,economics!$AJ$2:$AJ$167,TRUE)-_xlfn.NORM.DIST(AP$30,economics!$AK$2:$AK$167,economics!$AJ$2:$AJ$167,TRUE))*economics!$AM$2:$AM$167))/(SUMPRODUCT((economics!$AG$2:$AG$167=$B51)*(economics!$D$2:$D$167="process")*economics!$AI$2:$AI$167*(_xlfn.NORM.DIST(AP$3,economics!$AK$2:$AK$167,economics!$AJ$2:$AJ$167,TRUE)-_xlfn.NORM.DIST(AP$30,economics!$AK$2:$AK$167,economics!$AJ$2:$AJ$167,TRUE)))),"")</f>
        <v/>
      </c>
      <c r="AQ51">
        <f t="array" ref="AQ51">IFERROR((SUMPRODUCT((economics!$AG$2:$AG$167=$B51)*(economics!$D$2:$D$167="process")*economics!$AI$2:$AI$167*(_xlfn.NORM.DIST(AQ$3,economics!$AK$2:$AK$167,economics!$AJ$2:$AJ$167,TRUE)-_xlfn.NORM.DIST(AQ$30,economics!$AK$2:$AK$167,economics!$AJ$2:$AJ$167,TRUE))*economics!$AM$2:$AM$167))/(SUMPRODUCT((economics!$AG$2:$AG$167=$B51)*(economics!$D$2:$D$167="process")*economics!$AI$2:$AI$167*(_xlfn.NORM.DIST(AQ$3,economics!$AK$2:$AK$167,economics!$AJ$2:$AJ$167,TRUE)-_xlfn.NORM.DIST(AQ$30,economics!$AK$2:$AK$167,economics!$AJ$2:$AJ$167,TRUE)))),"")</f>
        <v/>
      </c>
      <c r="AR51">
        <f t="array" ref="AR51">IFERROR((SUMPRODUCT((economics!$AG$2:$AG$167=$B51)*(economics!$D$2:$D$167="process")*economics!$AI$2:$AI$167*(_xlfn.NORM.DIST(AR$3,economics!$AK$2:$AK$167,economics!$AJ$2:$AJ$167,TRUE)-_xlfn.NORM.DIST(AR$30,economics!$AK$2:$AK$167,economics!$AJ$2:$AJ$167,TRUE))*economics!$AM$2:$AM$167))/(SUMPRODUCT((economics!$AG$2:$AG$167=$B51)*(economics!$D$2:$D$167="process")*economics!$AI$2:$AI$167*(_xlfn.NORM.DIST(AR$3,economics!$AK$2:$AK$167,economics!$AJ$2:$AJ$167,TRUE)-_xlfn.NORM.DIST(AR$30,economics!$AK$2:$AK$167,economics!$AJ$2:$AJ$167,TRUE)))),"")</f>
        <v/>
      </c>
      <c r="AS51">
        <f t="array" ref="AS51">IFERROR((SUMPRODUCT((economics!$AG$2:$AG$167=$B51)*(economics!$D$2:$D$167="process")*economics!$AI$2:$AI$167*(_xlfn.NORM.DIST(AS$3,economics!$AK$2:$AK$167,economics!$AJ$2:$AJ$167,TRUE)-_xlfn.NORM.DIST(AS$30,economics!$AK$2:$AK$167,economics!$AJ$2:$AJ$167,TRUE))*economics!$AM$2:$AM$167))/(SUMPRODUCT((economics!$AG$2:$AG$167=$B51)*(economics!$D$2:$D$167="process")*economics!$AI$2:$AI$167*(_xlfn.NORM.DIST(AS$3,economics!$AK$2:$AK$167,economics!$AJ$2:$AJ$167,TRUE)-_xlfn.NORM.DIST(AS$30,economics!$AK$2:$AK$167,economics!$AJ$2:$AJ$167,TRUE)))),"")</f>
        <v/>
      </c>
      <c r="AT51">
        <f t="array" ref="AT51">IFERROR((SUMPRODUCT((economics!$AG$2:$AG$167=$B51)*(economics!$D$2:$D$167="process")*economics!$AI$2:$AI$167*(_xlfn.NORM.DIST(AT$3,economics!$AK$2:$AK$167,economics!$AJ$2:$AJ$167,TRUE)-_xlfn.NORM.DIST(AT$30,economics!$AK$2:$AK$167,economics!$AJ$2:$AJ$167,TRUE))*economics!$AM$2:$AM$167))/(SUMPRODUCT((economics!$AG$2:$AG$167=$B51)*(economics!$D$2:$D$167="process")*economics!$AI$2:$AI$167*(_xlfn.NORM.DIST(AT$3,economics!$AK$2:$AK$167,economics!$AJ$2:$AJ$167,TRUE)-_xlfn.NORM.DIST(AT$30,economics!$AK$2:$AK$167,economics!$AJ$2:$AJ$167,TRUE)))),"")</f>
        <v/>
      </c>
      <c r="AU51">
        <f t="array" ref="AU51">IFERROR((SUMPRODUCT((economics!$AG$2:$AG$167=$B51)*(economics!$D$2:$D$167="process")*economics!$AI$2:$AI$167*(_xlfn.NORM.DIST(AU$3,economics!$AK$2:$AK$167,economics!$AJ$2:$AJ$167,TRUE)-_xlfn.NORM.DIST(AU$30,economics!$AK$2:$AK$167,economics!$AJ$2:$AJ$167,TRUE))*economics!$AM$2:$AM$167))/(SUMPRODUCT((economics!$AG$2:$AG$167=$B51)*(economics!$D$2:$D$167="process")*economics!$AI$2:$AI$167*(_xlfn.NORM.DIST(AU$3,economics!$AK$2:$AK$167,economics!$AJ$2:$AJ$167,TRUE)-_xlfn.NORM.DIST(AU$30,economics!$AK$2:$AK$167,economics!$AJ$2:$AJ$167,TRUE)))),"")</f>
        <v/>
      </c>
      <c r="AV51">
        <f t="array" ref="AV51">IFERROR((SUMPRODUCT((economics!$AG$2:$AG$167=$B51)*(economics!$D$2:$D$167="process")*economics!$AI$2:$AI$167*(_xlfn.NORM.DIST(AV$3,economics!$AK$2:$AK$167,economics!$AJ$2:$AJ$167,TRUE)-_xlfn.NORM.DIST(AV$30,economics!$AK$2:$AK$167,economics!$AJ$2:$AJ$167,TRUE))*economics!$AM$2:$AM$167))/(SUMPRODUCT((economics!$AG$2:$AG$167=$B51)*(economics!$D$2:$D$167="process")*economics!$AI$2:$AI$167*(_xlfn.NORM.DIST(AV$3,economics!$AK$2:$AK$167,economics!$AJ$2:$AJ$167,TRUE)-_xlfn.NORM.DIST(AV$30,economics!$AK$2:$AK$167,economics!$AJ$2:$AJ$167,TRUE)))),"")</f>
        <v/>
      </c>
      <c r="AW51">
        <f t="array" ref="AW51">IFERROR((SUMPRODUCT((economics!$AG$2:$AG$167=$B51)*(economics!$D$2:$D$167="process")*economics!$AI$2:$AI$167*(_xlfn.NORM.DIST(AW$3,economics!$AK$2:$AK$167,economics!$AJ$2:$AJ$167,TRUE)-_xlfn.NORM.DIST(AW$30,economics!$AK$2:$AK$167,economics!$AJ$2:$AJ$167,TRUE))*economics!$AM$2:$AM$167))/(SUMPRODUCT((economics!$AG$2:$AG$167=$B51)*(economics!$D$2:$D$167="process")*economics!$AI$2:$AI$167*(_xlfn.NORM.DIST(AW$3,economics!$AK$2:$AK$167,economics!$AJ$2:$AJ$167,TRUE)-_xlfn.NORM.DIST(AW$30,economics!$AK$2:$AK$167,economics!$AJ$2:$AJ$167,TRUE)))),"")</f>
        <v/>
      </c>
      <c r="AX51">
        <f t="array" ref="AX51">IFERROR((SUMPRODUCT((economics!$AG$2:$AG$167=$B51)*(economics!$D$2:$D$167="process")*economics!$AI$2:$AI$167*(_xlfn.NORM.DIST(AX$3,economics!$AK$2:$AK$167,economics!$AJ$2:$AJ$167,TRUE)-_xlfn.NORM.DIST(AX$30,economics!$AK$2:$AK$167,economics!$AJ$2:$AJ$167,TRUE))*economics!$AM$2:$AM$167))/(SUMPRODUCT((economics!$AG$2:$AG$167=$B51)*(economics!$D$2:$D$167="process")*economics!$AI$2:$AI$167*(_xlfn.NORM.DIST(AX$3,economics!$AK$2:$AK$167,economics!$AJ$2:$AJ$167,TRUE)-_xlfn.NORM.DIST(AX$30,economics!$AK$2:$AK$167,economics!$AJ$2:$AJ$167,TRUE)))),"")</f>
        <v/>
      </c>
      <c r="AY51">
        <f t="array" ref="AY51">IFERROR((SUMPRODUCT((economics!$AG$2:$AG$167=$B51)*(economics!$D$2:$D$167="process")*economics!$AI$2:$AI$167*(_xlfn.NORM.DIST(AY$3,economics!$AK$2:$AK$167,economics!$AJ$2:$AJ$167,TRUE)-_xlfn.NORM.DIST(AY$30,economics!$AK$2:$AK$167,economics!$AJ$2:$AJ$167,TRUE))*economics!$AM$2:$AM$167))/(SUMPRODUCT((economics!$AG$2:$AG$167=$B51)*(economics!$D$2:$D$167="process")*economics!$AI$2:$AI$167*(_xlfn.NORM.DIST(AY$3,economics!$AK$2:$AK$167,economics!$AJ$2:$AJ$167,TRUE)-_xlfn.NORM.DIST(AY$30,economics!$AK$2:$AK$167,economics!$AJ$2:$AJ$167,TRUE)))),"")</f>
        <v/>
      </c>
      <c r="AZ51">
        <f t="array" ref="AZ51">IFERROR((SUMPRODUCT((economics!$AG$2:$AG$167=$B51)*(economics!$D$2:$D$167="process")*economics!$AI$2:$AI$167*(_xlfn.NORM.DIST(AZ$3,economics!$AK$2:$AK$167,economics!$AJ$2:$AJ$167,TRUE)-_xlfn.NORM.DIST(AZ$30,economics!$AK$2:$AK$167,economics!$AJ$2:$AJ$167,TRUE))*economics!$AM$2:$AM$167))/(SUMPRODUCT((economics!$AG$2:$AG$167=$B51)*(economics!$D$2:$D$167="process")*economics!$AI$2:$AI$167*(_xlfn.NORM.DIST(AZ$3,economics!$AK$2:$AK$167,economics!$AJ$2:$AJ$167,TRUE)-_xlfn.NORM.DIST(AZ$30,economics!$AK$2:$AK$167,economics!$AJ$2:$AJ$167,TRUE)))),"")</f>
        <v/>
      </c>
      <c r="BA51">
        <f t="array" ref="BA51">IFERROR((SUMPRODUCT((economics!$AG$2:$AG$167=$B51)*(economics!$D$2:$D$167="process")*economics!$AI$2:$AI$167*(_xlfn.NORM.DIST(BA$3,economics!$AK$2:$AK$167,economics!$AJ$2:$AJ$167,TRUE)-_xlfn.NORM.DIST(BA$30,economics!$AK$2:$AK$167,economics!$AJ$2:$AJ$167,TRUE))*economics!$AM$2:$AM$167))/(SUMPRODUCT((economics!$AG$2:$AG$167=$B51)*(economics!$D$2:$D$167="process")*economics!$AI$2:$AI$167*(_xlfn.NORM.DIST(BA$3,economics!$AK$2:$AK$167,economics!$AJ$2:$AJ$167,TRUE)-_xlfn.NORM.DIST(BA$30,economics!$AK$2:$AK$167,economics!$AJ$2:$AJ$167,TRUE)))),"")</f>
        <v/>
      </c>
      <c r="BB51">
        <f t="array" ref="BB51">IFERROR((SUMPRODUCT((economics!$AG$2:$AG$167=$B51)*(economics!$D$2:$D$167="process")*economics!$AI$2:$AI$167*(_xlfn.NORM.DIST(BB$3,economics!$AK$2:$AK$167,economics!$AJ$2:$AJ$167,TRUE)-_xlfn.NORM.DIST(BB$30,economics!$AK$2:$AK$167,economics!$AJ$2:$AJ$167,TRUE))*economics!$AM$2:$AM$167))/(SUMPRODUCT((economics!$AG$2:$AG$167=$B51)*(economics!$D$2:$D$167="process")*economics!$AI$2:$AI$167*(_xlfn.NORM.DIST(BB$3,economics!$AK$2:$AK$167,economics!$AJ$2:$AJ$167,TRUE)-_xlfn.NORM.DIST(BB$30,economics!$AK$2:$AK$167,economics!$AJ$2:$AJ$167,TRUE)))),"")</f>
        <v/>
      </c>
      <c r="BC51">
        <f t="array" ref="BC51">IFERROR((SUMPRODUCT((economics!$AG$2:$AG$167=$B51)*(economics!$D$2:$D$167="process")*economics!$AI$2:$AI$167*(_xlfn.NORM.DIST(BC$3,economics!$AK$2:$AK$167,economics!$AJ$2:$AJ$167,TRUE)-_xlfn.NORM.DIST(BC$30,economics!$AK$2:$AK$167,economics!$AJ$2:$AJ$167,TRUE))*economics!$AM$2:$AM$167))/(SUMPRODUCT((economics!$AG$2:$AG$167=$B51)*(economics!$D$2:$D$167="process")*economics!$AI$2:$AI$167*(_xlfn.NORM.DIST(BC$3,economics!$AK$2:$AK$167,economics!$AJ$2:$AJ$167,TRUE)-_xlfn.NORM.DIST(BC$30,economics!$AK$2:$AK$167,economics!$AJ$2:$AJ$167,TRUE)))),"")</f>
        <v/>
      </c>
      <c r="BD51">
        <f t="array" ref="BD51">IFERROR((SUMPRODUCT((economics!$AG$2:$AG$167=$B51)*(economics!$D$2:$D$167="process")*economics!$AI$2:$AI$167*(_xlfn.NORM.DIST(BD$3,economics!$AK$2:$AK$167,economics!$AJ$2:$AJ$167,TRUE)-_xlfn.NORM.DIST(BD$30,economics!$AK$2:$AK$167,economics!$AJ$2:$AJ$167,TRUE))*economics!$AM$2:$AM$167))/(SUMPRODUCT((economics!$AG$2:$AG$167=$B51)*(economics!$D$2:$D$167="process")*economics!$AI$2:$AI$167*(_xlfn.NORM.DIST(BD$3,economics!$AK$2:$AK$167,economics!$AJ$2:$AJ$167,TRUE)-_xlfn.NORM.DIST(BD$30,economics!$AK$2:$AK$167,economics!$AJ$2:$AJ$167,TRUE)))),"")</f>
        <v/>
      </c>
      <c r="BE51">
        <f t="array" ref="BE51">IFERROR((SUMPRODUCT((economics!$AG$2:$AG$167=$B51)*(economics!$D$2:$D$167="process")*economics!$AI$2:$AI$167*(_xlfn.NORM.DIST(BE$3,economics!$AK$2:$AK$167,economics!$AJ$2:$AJ$167,TRUE)-_xlfn.NORM.DIST(BE$30,economics!$AK$2:$AK$167,economics!$AJ$2:$AJ$167,TRUE))*economics!$AM$2:$AM$167))/(SUMPRODUCT((economics!$AG$2:$AG$167=$B51)*(economics!$D$2:$D$167="process")*economics!$AI$2:$AI$167*(_xlfn.NORM.DIST(BE$3,economics!$AK$2:$AK$167,economics!$AJ$2:$AJ$167,TRUE)-_xlfn.NORM.DIST(BE$30,economics!$AK$2:$AK$167,economics!$AJ$2:$AJ$167,TRUE)))),"")</f>
        <v/>
      </c>
      <c r="BF51">
        <f t="array" ref="BF51">IFERROR((SUMPRODUCT((economics!$AG$2:$AG$167=$B51)*(economics!$D$2:$D$167="process")*economics!$AI$2:$AI$167*(_xlfn.NORM.DIST(BF$3,economics!$AK$2:$AK$167,economics!$AJ$2:$AJ$167,TRUE)-_xlfn.NORM.DIST(BF$30,economics!$AK$2:$AK$167,economics!$AJ$2:$AJ$167,TRUE))*economics!$AM$2:$AM$167))/(SUMPRODUCT((economics!$AG$2:$AG$167=$B51)*(economics!$D$2:$D$167="process")*economics!$AI$2:$AI$167*(_xlfn.NORM.DIST(BF$3,economics!$AK$2:$AK$167,economics!$AJ$2:$AJ$167,TRUE)-_xlfn.NORM.DIST(BF$30,economics!$AK$2:$AK$167,economics!$AJ$2:$AJ$167,TRUE)))),"")</f>
        <v/>
      </c>
      <c r="BG51">
        <f t="array" ref="BG51">IFERROR((SUMPRODUCT((economics!$AG$2:$AG$167=$B51)*(economics!$D$2:$D$167="process")*economics!$AI$2:$AI$167*(_xlfn.NORM.DIST(BG$3,economics!$AK$2:$AK$167,economics!$AJ$2:$AJ$167,TRUE)-_xlfn.NORM.DIST(BG$30,economics!$AK$2:$AK$167,economics!$AJ$2:$AJ$167,TRUE))*economics!$AM$2:$AM$167))/(SUMPRODUCT((economics!$AG$2:$AG$167=$B51)*(economics!$D$2:$D$167="process")*economics!$AI$2:$AI$167*(_xlfn.NORM.DIST(BG$3,economics!$AK$2:$AK$167,economics!$AJ$2:$AJ$167,TRUE)-_xlfn.NORM.DIST(BG$30,economics!$AK$2:$AK$167,economics!$AJ$2:$AJ$167,TRUE)))),"")</f>
        <v/>
      </c>
      <c r="BH51">
        <f t="array" ref="BH51">IFERROR((SUMPRODUCT((economics!$AG$2:$AG$167=$B51)*(economics!$D$2:$D$167="process")*economics!$AI$2:$AI$167*(_xlfn.NORM.DIST(BH$3,economics!$AK$2:$AK$167,economics!$AJ$2:$AJ$167,TRUE)-_xlfn.NORM.DIST(BH$30,economics!$AK$2:$AK$167,economics!$AJ$2:$AJ$167,TRUE))*economics!$AM$2:$AM$167))/(SUMPRODUCT((economics!$AG$2:$AG$167=$B51)*(economics!$D$2:$D$167="process")*economics!$AI$2:$AI$167*(_xlfn.NORM.DIST(BH$3,economics!$AK$2:$AK$167,economics!$AJ$2:$AJ$167,TRUE)-_xlfn.NORM.DIST(BH$30,economics!$AK$2:$AK$167,economics!$AJ$2:$AJ$167,TRUE)))),"")</f>
        <v/>
      </c>
      <c r="BI51">
        <f t="array" ref="BI51">IFERROR((SUMPRODUCT((economics!$AG$2:$AG$167=$B51)*(economics!$D$2:$D$167="process")*economics!$AI$2:$AI$167*(_xlfn.NORM.DIST(BI$3,economics!$AK$2:$AK$167,economics!$AJ$2:$AJ$167,TRUE)-_xlfn.NORM.DIST(BI$30,economics!$AK$2:$AK$167,economics!$AJ$2:$AJ$167,TRUE))*economics!$AM$2:$AM$167))/(SUMPRODUCT((economics!$AG$2:$AG$167=$B51)*(economics!$D$2:$D$167="process")*economics!$AI$2:$AI$167*(_xlfn.NORM.DIST(BI$3,economics!$AK$2:$AK$167,economics!$AJ$2:$AJ$167,TRUE)-_xlfn.NORM.DIST(BI$30,economics!$AK$2:$AK$167,economics!$AJ$2:$AJ$167,TRUE)))),"")</f>
        <v/>
      </c>
      <c r="BJ51">
        <f t="array" ref="BJ51">IFERROR((SUMPRODUCT((economics!$AG$2:$AG$167=$B51)*(economics!$D$2:$D$167="process")*economics!$AI$2:$AI$167*(_xlfn.NORM.DIST(BJ$3,economics!$AK$2:$AK$167,economics!$AJ$2:$AJ$167,TRUE)-_xlfn.NORM.DIST(BJ$30,economics!$AK$2:$AK$167,economics!$AJ$2:$AJ$167,TRUE))*economics!$AM$2:$AM$167))/(SUMPRODUCT((economics!$AG$2:$AG$167=$B51)*(economics!$D$2:$D$167="process")*economics!$AI$2:$AI$167*(_xlfn.NORM.DIST(BJ$3,economics!$AK$2:$AK$167,economics!$AJ$2:$AJ$167,TRUE)-_xlfn.NORM.DIST(BJ$30,economics!$AK$2:$AK$167,economics!$AJ$2:$AJ$167,TRUE)))),"")</f>
        <v/>
      </c>
      <c r="BK51">
        <f t="array" ref="BK51">IFERROR((SUMPRODUCT((economics!$AG$2:$AG$167=$B51)*(economics!$D$2:$D$167="process")*economics!$AI$2:$AI$167*(_xlfn.NORM.DIST(BK$3,economics!$AK$2:$AK$167,economics!$AJ$2:$AJ$167,TRUE)-_xlfn.NORM.DIST(BK$30,economics!$AK$2:$AK$167,economics!$AJ$2:$AJ$167,TRUE))*economics!$AM$2:$AM$167))/(SUMPRODUCT((economics!$AG$2:$AG$167=$B51)*(economics!$D$2:$D$167="process")*economics!$AI$2:$AI$167*(_xlfn.NORM.DIST(BK$3,economics!$AK$2:$AK$167,economics!$AJ$2:$AJ$167,TRUE)-_xlfn.NORM.DIST(BK$30,economics!$AK$2:$AK$167,economics!$AJ$2:$AJ$167,TRUE)))),"")</f>
        <v/>
      </c>
      <c r="BL51">
        <f t="array" ref="BL51">IFERROR((SUMPRODUCT((economics!$AG$2:$AG$167=$B51)*(economics!$D$2:$D$167="process")*economics!$AI$2:$AI$167*(_xlfn.NORM.DIST(BL$3,economics!$AK$2:$AK$167,economics!$AJ$2:$AJ$167,TRUE)-_xlfn.NORM.DIST(BL$30,economics!$AK$2:$AK$167,economics!$AJ$2:$AJ$167,TRUE))*economics!$AM$2:$AM$167))/(SUMPRODUCT((economics!$AG$2:$AG$167=$B51)*(economics!$D$2:$D$167="process")*economics!$AI$2:$AI$167*(_xlfn.NORM.DIST(BL$3,economics!$AK$2:$AK$167,economics!$AJ$2:$AJ$167,TRUE)-_xlfn.NORM.DIST(BL$30,economics!$AK$2:$AK$167,economics!$AJ$2:$AJ$167,TRUE)))),"")</f>
        <v/>
      </c>
      <c r="BM51">
        <f t="array" ref="BM51">IFERROR((SUMPRODUCT((economics!$AG$2:$AG$167=$B51)*(economics!$D$2:$D$167="process")*economics!$AI$2:$AI$167*(_xlfn.NORM.DIST(BM$3,economics!$AK$2:$AK$167,economics!$AJ$2:$AJ$167,TRUE)-_xlfn.NORM.DIST(BM$30,economics!$AK$2:$AK$167,economics!$AJ$2:$AJ$167,TRUE))*economics!$AM$2:$AM$167))/(SUMPRODUCT((economics!$AG$2:$AG$167=$B51)*(economics!$D$2:$D$167="process")*economics!$AI$2:$AI$167*(_xlfn.NORM.DIST(BM$3,economics!$AK$2:$AK$167,economics!$AJ$2:$AJ$167,TRUE)-_xlfn.NORM.DIST(BM$30,economics!$AK$2:$AK$167,economics!$AJ$2:$AJ$167,TRUE)))),"")</f>
        <v/>
      </c>
      <c r="BN51">
        <f t="array" ref="BN51">IFERROR((SUMPRODUCT((economics!$AG$2:$AG$167=$B51)*(economics!$D$2:$D$167="process")*economics!$AI$2:$AI$167*(_xlfn.NORM.DIST(BN$3,economics!$AK$2:$AK$167,economics!$AJ$2:$AJ$167,TRUE)-_xlfn.NORM.DIST(BN$30,economics!$AK$2:$AK$167,economics!$AJ$2:$AJ$167,TRUE))*economics!$AM$2:$AM$167))/(SUMPRODUCT((economics!$AG$2:$AG$167=$B51)*(economics!$D$2:$D$167="process")*economics!$AI$2:$AI$167*(_xlfn.NORM.DIST(BN$3,economics!$AK$2:$AK$167,economics!$AJ$2:$AJ$167,TRUE)-_xlfn.NORM.DIST(BN$30,economics!$AK$2:$AK$167,economics!$AJ$2:$AJ$167,TRUE)))),"")</f>
        <v/>
      </c>
      <c r="BO51">
        <f t="array" ref="BO51">IFERROR((SUMPRODUCT((economics!$AG$2:$AG$167=$B51)*(economics!$D$2:$D$167="process")*economics!$AI$2:$AI$167*(_xlfn.NORM.DIST(BO$3,economics!$AK$2:$AK$167,economics!$AJ$2:$AJ$167,TRUE)-_xlfn.NORM.DIST(BO$30,economics!$AK$2:$AK$167,economics!$AJ$2:$AJ$167,TRUE))*economics!$AM$2:$AM$167))/(SUMPRODUCT((economics!$AG$2:$AG$167=$B51)*(economics!$D$2:$D$167="process")*economics!$AI$2:$AI$167*(_xlfn.NORM.DIST(BO$3,economics!$AK$2:$AK$167,economics!$AJ$2:$AJ$167,TRUE)-_xlfn.NORM.DIST(BO$30,economics!$AK$2:$AK$167,economics!$AJ$2:$AJ$167,TRUE)))),"")</f>
        <v/>
      </c>
      <c r="BP51">
        <f t="array" ref="BP51">IFERROR((SUMPRODUCT((economics!$AG$2:$AG$167=$B51)*(economics!$D$2:$D$167="process")*economics!$AI$2:$AI$167*(_xlfn.NORM.DIST(BP$3,economics!$AK$2:$AK$167,economics!$AJ$2:$AJ$167,TRUE)-_xlfn.NORM.DIST(BP$30,economics!$AK$2:$AK$167,economics!$AJ$2:$AJ$167,TRUE))*economics!$AM$2:$AM$167))/(SUMPRODUCT((economics!$AG$2:$AG$167=$B51)*(economics!$D$2:$D$167="process")*economics!$AI$2:$AI$167*(_xlfn.NORM.DIST(BP$3,economics!$AK$2:$AK$167,economics!$AJ$2:$AJ$167,TRUE)-_xlfn.NORM.DIST(BP$30,economics!$AK$2:$AK$167,economics!$AJ$2:$AJ$167,TRUE)))),"")</f>
        <v/>
      </c>
      <c r="BQ51">
        <f t="array" ref="BQ51">IFERROR((SUMPRODUCT((economics!$AG$2:$AG$167=$B51)*(economics!$D$2:$D$167="process")*economics!$AI$2:$AI$167*(_xlfn.NORM.DIST(BQ$3,economics!$AK$2:$AK$167,economics!$AJ$2:$AJ$167,TRUE)-_xlfn.NORM.DIST(BQ$30,economics!$AK$2:$AK$167,economics!$AJ$2:$AJ$167,TRUE))*economics!$AM$2:$AM$167))/(SUMPRODUCT((economics!$AG$2:$AG$167=$B51)*(economics!$D$2:$D$167="process")*economics!$AI$2:$AI$167*(_xlfn.NORM.DIST(BQ$3,economics!$AK$2:$AK$167,economics!$AJ$2:$AJ$167,TRUE)-_xlfn.NORM.DIST(BQ$30,economics!$AK$2:$AK$167,economics!$AJ$2:$AJ$167,TRUE)))),"")</f>
        <v/>
      </c>
      <c r="BR51">
        <f t="array" ref="BR51">IFERROR((SUMPRODUCT((economics!$AG$2:$AG$167=$B51)*(economics!$D$2:$D$167="process")*economics!$AI$2:$AI$167*(_xlfn.NORM.DIST(BR$3,economics!$AK$2:$AK$167,economics!$AJ$2:$AJ$167,TRUE)-_xlfn.NORM.DIST(BR$30,economics!$AK$2:$AK$167,economics!$AJ$2:$AJ$167,TRUE))*economics!$AM$2:$AM$167))/(SUMPRODUCT((economics!$AG$2:$AG$167=$B51)*(economics!$D$2:$D$167="process")*economics!$AI$2:$AI$167*(_xlfn.NORM.DIST(BR$3,economics!$AK$2:$AK$167,economics!$AJ$2:$AJ$167,TRUE)-_xlfn.NORM.DIST(BR$30,economics!$AK$2:$AK$167,economics!$AJ$2:$AJ$167,TRUE)))),"")</f>
        <v/>
      </c>
      <c r="BS51">
        <f t="array" ref="BS51">IFERROR((SUMPRODUCT((economics!$AG$2:$AG$167=$B51)*(economics!$D$2:$D$167="process")*economics!$AI$2:$AI$167*(_xlfn.NORM.DIST(BS$3,economics!$AK$2:$AK$167,economics!$AJ$2:$AJ$167,TRUE)-_xlfn.NORM.DIST(BS$30,economics!$AK$2:$AK$167,economics!$AJ$2:$AJ$167,TRUE))*economics!$AM$2:$AM$167))/(SUMPRODUCT((economics!$AG$2:$AG$167=$B51)*(economics!$D$2:$D$167="process")*economics!$AI$2:$AI$167*(_xlfn.NORM.DIST(BS$3,economics!$AK$2:$AK$167,economics!$AJ$2:$AJ$167,TRUE)-_xlfn.NORM.DIST(BS$30,economics!$AK$2:$AK$167,economics!$AJ$2:$AJ$167,TRUE)))),"")</f>
        <v/>
      </c>
      <c r="BT51">
        <f t="array" ref="BT51">IFERROR((SUMPRODUCT((economics!$AG$2:$AG$167=$B51)*(economics!$D$2:$D$167="process")*economics!$AI$2:$AI$167*(_xlfn.NORM.DIST(BT$3,economics!$AK$2:$AK$167,economics!$AJ$2:$AJ$167,TRUE)-_xlfn.NORM.DIST(BT$30,economics!$AK$2:$AK$167,economics!$AJ$2:$AJ$167,TRUE))*economics!$AM$2:$AM$167))/(SUMPRODUCT((economics!$AG$2:$AG$167=$B51)*(economics!$D$2:$D$167="process")*economics!$AI$2:$AI$167*(_xlfn.NORM.DIST(BT$3,economics!$AK$2:$AK$167,economics!$AJ$2:$AJ$167,TRUE)-_xlfn.NORM.DIST(BT$30,economics!$AK$2:$AK$167,economics!$AJ$2:$AJ$167,TRUE)))),"")</f>
        <v/>
      </c>
      <c r="BU51">
        <f t="array" ref="BU51">IFERROR((SUMPRODUCT((economics!$AG$2:$AG$167=$B51)*(economics!$D$2:$D$167="process")*economics!$AI$2:$AI$167*(_xlfn.NORM.DIST(BU$3,economics!$AK$2:$AK$167,economics!$AJ$2:$AJ$167,TRUE)-_xlfn.NORM.DIST(BU$30,economics!$AK$2:$AK$167,economics!$AJ$2:$AJ$167,TRUE))*economics!$AM$2:$AM$167))/(SUMPRODUCT((economics!$AG$2:$AG$167=$B51)*(economics!$D$2:$D$167="process")*economics!$AI$2:$AI$167*(_xlfn.NORM.DIST(BU$3,economics!$AK$2:$AK$167,economics!$AJ$2:$AJ$167,TRUE)-_xlfn.NORM.DIST(BU$30,economics!$AK$2:$AK$167,economics!$AJ$2:$AJ$167,TRUE)))),"")</f>
        <v/>
      </c>
      <c r="BV51">
        <f t="array" ref="BV51">IFERROR((SUMPRODUCT((economics!$AG$2:$AG$167=$B51)*(economics!$D$2:$D$167="process")*economics!$AI$2:$AI$167*(_xlfn.NORM.DIST(BV$3,economics!$AK$2:$AK$167,economics!$AJ$2:$AJ$167,TRUE)-_xlfn.NORM.DIST(BV$30,economics!$AK$2:$AK$167,economics!$AJ$2:$AJ$167,TRUE))*economics!$AM$2:$AM$167))/(SUMPRODUCT((economics!$AG$2:$AG$167=$B51)*(economics!$D$2:$D$167="process")*economics!$AI$2:$AI$167*(_xlfn.NORM.DIST(BV$3,economics!$AK$2:$AK$167,economics!$AJ$2:$AJ$167,TRUE)-_xlfn.NORM.DIST(BV$30,economics!$AK$2:$AK$167,economics!$AJ$2:$AJ$167,TRUE)))),"")</f>
        <v/>
      </c>
      <c r="BW51">
        <f t="array" ref="BW51">IFERROR((SUMPRODUCT((economics!$AG$2:$AG$167=$B51)*(economics!$D$2:$D$167="process")*economics!$AI$2:$AI$167*(_xlfn.NORM.DIST(BW$3,economics!$AK$2:$AK$167,economics!$AJ$2:$AJ$167,TRUE)-_xlfn.NORM.DIST(BW$30,economics!$AK$2:$AK$167,economics!$AJ$2:$AJ$167,TRUE))*economics!$AM$2:$AM$167))/(SUMPRODUCT((economics!$AG$2:$AG$167=$B51)*(economics!$D$2:$D$167="process")*economics!$AI$2:$AI$167*(_xlfn.NORM.DIST(BW$3,economics!$AK$2:$AK$167,economics!$AJ$2:$AJ$167,TRUE)-_xlfn.NORM.DIST(BW$30,economics!$AK$2:$AK$167,economics!$AJ$2:$AJ$167,TRUE)))),"")</f>
        <v/>
      </c>
      <c r="BX51">
        <f t="array" ref="BX51">IFERROR((SUMPRODUCT((economics!$AG$2:$AG$167=$B51)*(economics!$D$2:$D$167="process")*economics!$AI$2:$AI$167*(_xlfn.NORM.DIST(BX$3,economics!$AK$2:$AK$167,economics!$AJ$2:$AJ$167,TRUE)-_xlfn.NORM.DIST(BX$30,economics!$AK$2:$AK$167,economics!$AJ$2:$AJ$167,TRUE))*economics!$AM$2:$AM$167))/(SUMPRODUCT((economics!$AG$2:$AG$167=$B51)*(economics!$D$2:$D$167="process")*economics!$AI$2:$AI$167*(_xlfn.NORM.DIST(BX$3,economics!$AK$2:$AK$167,economics!$AJ$2:$AJ$167,TRUE)-_xlfn.NORM.DIST(BX$30,economics!$AK$2:$AK$167,economics!$AJ$2:$AJ$167,TRUE)))),"")</f>
        <v/>
      </c>
      <c r="BY51">
        <f t="array" ref="BY51">IFERROR((SUMPRODUCT((economics!$AG$2:$AG$167=$B51)*(economics!$D$2:$D$167="process")*economics!$AI$2:$AI$167*(_xlfn.NORM.DIST(BY$3,economics!$AK$2:$AK$167,economics!$AJ$2:$AJ$167,TRUE)-_xlfn.NORM.DIST(BY$30,economics!$AK$2:$AK$167,economics!$AJ$2:$AJ$167,TRUE))*economics!$AM$2:$AM$167))/(SUMPRODUCT((economics!$AG$2:$AG$167=$B51)*(economics!$D$2:$D$167="process")*economics!$AI$2:$AI$167*(_xlfn.NORM.DIST(BY$3,economics!$AK$2:$AK$167,economics!$AJ$2:$AJ$167,TRUE)-_xlfn.NORM.DIST(BY$30,economics!$AK$2:$AK$167,economics!$AJ$2:$AJ$167,TRUE)))),"")</f>
        <v/>
      </c>
      <c r="BZ51">
        <f t="array" ref="BZ51">IFERROR((SUMPRODUCT((economics!$AG$2:$AG$167=$B51)*(economics!$D$2:$D$167="process")*economics!$AI$2:$AI$167*(_xlfn.NORM.DIST(BZ$3,economics!$AK$2:$AK$167,economics!$AJ$2:$AJ$167,TRUE)-_xlfn.NORM.DIST(BZ$30,economics!$AK$2:$AK$167,economics!$AJ$2:$AJ$167,TRUE))*economics!$AM$2:$AM$167))/(SUMPRODUCT((economics!$AG$2:$AG$167=$B51)*(economics!$D$2:$D$167="process")*economics!$AI$2:$AI$167*(_xlfn.NORM.DIST(BZ$3,economics!$AK$2:$AK$167,economics!$AJ$2:$AJ$167,TRUE)-_xlfn.NORM.DIST(BZ$30,economics!$AK$2:$AK$167,economics!$AJ$2:$AJ$167,TRUE)))),"")</f>
        <v/>
      </c>
      <c r="CA51">
        <f t="array" ref="CA51">IFERROR((SUMPRODUCT((economics!$AG$2:$AG$167=$B51)*(economics!$D$2:$D$167="process")*economics!$AI$2:$AI$167*(_xlfn.NORM.DIST(CA$3,economics!$AK$2:$AK$167,economics!$AJ$2:$AJ$167,TRUE)-_xlfn.NORM.DIST(CA$30,economics!$AK$2:$AK$167,economics!$AJ$2:$AJ$167,TRUE))*economics!$AM$2:$AM$167))/(SUMPRODUCT((economics!$AG$2:$AG$167=$B51)*(economics!$D$2:$D$167="process")*economics!$AI$2:$AI$167*(_xlfn.NORM.DIST(CA$3,economics!$AK$2:$AK$167,economics!$AJ$2:$AJ$167,TRUE)-_xlfn.NORM.DIST(CA$30,economics!$AK$2:$AK$167,economics!$AJ$2:$AJ$167,TRUE)))),"")</f>
        <v/>
      </c>
      <c r="CB51">
        <f t="array" ref="CB51">IFERROR((SUMPRODUCT((economics!$AG$2:$AG$167=$B51)*(economics!$D$2:$D$167="process")*economics!$AI$2:$AI$167*(_xlfn.NORM.DIST(CB$3,economics!$AK$2:$AK$167,economics!$AJ$2:$AJ$167,TRUE)-_xlfn.NORM.DIST(CB$30,economics!$AK$2:$AK$167,economics!$AJ$2:$AJ$167,TRUE))*economics!$AM$2:$AM$167))/(SUMPRODUCT((economics!$AG$2:$AG$167=$B51)*(economics!$D$2:$D$167="process")*economics!$AI$2:$AI$167*(_xlfn.NORM.DIST(CB$3,economics!$AK$2:$AK$167,economics!$AJ$2:$AJ$167,TRUE)-_xlfn.NORM.DIST(CB$30,economics!$AK$2:$AK$167,economics!$AJ$2:$AJ$167,TRUE)))),"")</f>
        <v/>
      </c>
      <c r="CC51">
        <f t="array" ref="CC51">IFERROR((SUMPRODUCT((economics!$AG$2:$AG$167=$B51)*(economics!$D$2:$D$167="process")*economics!$AI$2:$AI$167*(_xlfn.NORM.DIST(CC$3,economics!$AK$2:$AK$167,economics!$AJ$2:$AJ$167,TRUE)-_xlfn.NORM.DIST(CC$30,economics!$AK$2:$AK$167,economics!$AJ$2:$AJ$167,TRUE))*economics!$AM$2:$AM$167))/(SUMPRODUCT((economics!$AG$2:$AG$167=$B51)*(economics!$D$2:$D$167="process")*economics!$AI$2:$AI$167*(_xlfn.NORM.DIST(CC$3,economics!$AK$2:$AK$167,economics!$AJ$2:$AJ$167,TRUE)-_xlfn.NORM.DIST(CC$30,economics!$AK$2:$AK$167,economics!$AJ$2:$AJ$167,TRUE)))),"")</f>
        <v/>
      </c>
      <c r="CD51">
        <f t="array" ref="CD51">IFERROR((SUMPRODUCT((economics!$AG$2:$AG$167=$B51)*(economics!$D$2:$D$167="process")*economics!$AI$2:$AI$167*(_xlfn.NORM.DIST(CD$3,economics!$AK$2:$AK$167,economics!$AJ$2:$AJ$167,TRUE)-_xlfn.NORM.DIST(CD$30,economics!$AK$2:$AK$167,economics!$AJ$2:$AJ$167,TRUE))*economics!$AM$2:$AM$167))/(SUMPRODUCT((economics!$AG$2:$AG$167=$B51)*(economics!$D$2:$D$167="process")*economics!$AI$2:$AI$167*(_xlfn.NORM.DIST(CD$3,economics!$AK$2:$AK$167,economics!$AJ$2:$AJ$167,TRUE)-_xlfn.NORM.DIST(CD$30,economics!$AK$2:$AK$167,economics!$AJ$2:$AJ$167,TRUE)))),"")</f>
        <v/>
      </c>
      <c r="CE51">
        <f t="array" ref="CE51">IFERROR((SUMPRODUCT((economics!$AG$2:$AG$167=$B51)*(economics!$D$2:$D$167="process")*economics!$AI$2:$AI$167*(_xlfn.NORM.DIST(CE$3,economics!$AK$2:$AK$167,economics!$AJ$2:$AJ$167,TRUE)-_xlfn.NORM.DIST(CE$30,economics!$AK$2:$AK$167,economics!$AJ$2:$AJ$167,TRUE))*economics!$AM$2:$AM$167))/(SUMPRODUCT((economics!$AG$2:$AG$167=$B51)*(economics!$D$2:$D$167="process")*economics!$AI$2:$AI$167*(_xlfn.NORM.DIST(CE$3,economics!$AK$2:$AK$167,economics!$AJ$2:$AJ$167,TRUE)-_xlfn.NORM.DIST(CE$30,economics!$AK$2:$AK$167,economics!$AJ$2:$AJ$167,TRUE)))),"")</f>
        <v/>
      </c>
      <c r="CF51">
        <f t="array" ref="CF51">IFERROR((SUMPRODUCT((economics!$AG$2:$AG$167=$B51)*(economics!$D$2:$D$167="process")*economics!$AI$2:$AI$167*(_xlfn.NORM.DIST(CF$3,economics!$AK$2:$AK$167,economics!$AJ$2:$AJ$167,TRUE)-_xlfn.NORM.DIST(CF$30,economics!$AK$2:$AK$167,economics!$AJ$2:$AJ$167,TRUE))*economics!$AM$2:$AM$167))/(SUMPRODUCT((economics!$AG$2:$AG$167=$B51)*(economics!$D$2:$D$167="process")*economics!$AI$2:$AI$167*(_xlfn.NORM.DIST(CF$3,economics!$AK$2:$AK$167,economics!$AJ$2:$AJ$167,TRUE)-_xlfn.NORM.DIST(CF$30,economics!$AK$2:$AK$167,economics!$AJ$2:$AJ$167,TRUE)))),"")</f>
        <v/>
      </c>
      <c r="CG51">
        <f t="array" ref="CG51">IFERROR((SUMPRODUCT((economics!$AG$2:$AG$167=$B51)*(economics!$D$2:$D$167="process")*economics!$AI$2:$AI$167*(_xlfn.NORM.DIST(CG$3,economics!$AK$2:$AK$167,economics!$AJ$2:$AJ$167,TRUE)-_xlfn.NORM.DIST(CG$30,economics!$AK$2:$AK$167,economics!$AJ$2:$AJ$167,TRUE))*economics!$AM$2:$AM$167))/(SUMPRODUCT((economics!$AG$2:$AG$167=$B51)*(economics!$D$2:$D$167="process")*economics!$AI$2:$AI$167*(_xlfn.NORM.DIST(CG$3,economics!$AK$2:$AK$167,economics!$AJ$2:$AJ$167,TRUE)-_xlfn.NORM.DIST(CG$30,economics!$AK$2:$AK$167,economics!$AJ$2:$AJ$167,TRUE)))),"")</f>
        <v/>
      </c>
      <c r="CH51">
        <f t="array" ref="CH51">IFERROR((SUMPRODUCT((economics!$AG$2:$AG$167=$B51)*(economics!$D$2:$D$167="process")*economics!$AI$2:$AI$167*(_xlfn.NORM.DIST(CH$3,economics!$AK$2:$AK$167,economics!$AJ$2:$AJ$167,TRUE)-_xlfn.NORM.DIST(CH$30,economics!$AK$2:$AK$167,economics!$AJ$2:$AJ$167,TRUE))*economics!$AM$2:$AM$167))/(SUMPRODUCT((economics!$AG$2:$AG$167=$B51)*(economics!$D$2:$D$167="process")*economics!$AI$2:$AI$167*(_xlfn.NORM.DIST(CH$3,economics!$AK$2:$AK$167,economics!$AJ$2:$AJ$167,TRUE)-_xlfn.NORM.DIST(CH$30,economics!$AK$2:$AK$167,economics!$AJ$2:$AJ$167,TRUE)))),"")</f>
        <v/>
      </c>
    </row>
    <row r="52">
      <c r="A52">
        <f>A23</f>
        <v/>
      </c>
      <c r="B52">
        <f>B23</f>
        <v/>
      </c>
      <c r="E52">
        <f t="array" ref="E52">IFERROR((SUMPRODUCT((economics!$AG$2:$AG$167=$B52)*(economics!$D$2:$D$167="process")*economics!$AI$2:$AI$167*(_xlfn.NORM.DIST(E$3,economics!$AK$2:$AK$167,economics!$AJ$2:$AJ$167,TRUE)-_xlfn.NORM.DIST(E$30,economics!$AK$2:$AK$167,economics!$AJ$2:$AJ$167,TRUE))*economics!$AM$2:$AM$167))/(SUMPRODUCT((economics!$AG$2:$AG$167=$B52)*(economics!$D$2:$D$167="process")*economics!$AI$2:$AI$167*(_xlfn.NORM.DIST(E$3,economics!$AK$2:$AK$167,economics!$AJ$2:$AJ$167,TRUE)-_xlfn.NORM.DIST(E$30,economics!$AK$2:$AK$167,economics!$AJ$2:$AJ$167,TRUE)))),"")</f>
        <v/>
      </c>
      <c r="F52">
        <f t="array" ref="F52">IFERROR((SUMPRODUCT((economics!$AG$2:$AG$167=$B52)*(economics!$D$2:$D$167="process")*economics!$AI$2:$AI$167*(_xlfn.NORM.DIST(F$3,economics!$AK$2:$AK$167,economics!$AJ$2:$AJ$167,TRUE)-_xlfn.NORM.DIST(F$30,economics!$AK$2:$AK$167,economics!$AJ$2:$AJ$167,TRUE))*economics!$AM$2:$AM$167))/(SUMPRODUCT((economics!$AG$2:$AG$167=$B52)*(economics!$D$2:$D$167="process")*economics!$AI$2:$AI$167*(_xlfn.NORM.DIST(F$3,economics!$AK$2:$AK$167,economics!$AJ$2:$AJ$167,TRUE)-_xlfn.NORM.DIST(F$30,economics!$AK$2:$AK$167,economics!$AJ$2:$AJ$167,TRUE)))),"")</f>
        <v/>
      </c>
      <c r="G52">
        <f t="array" ref="G52">IFERROR((SUMPRODUCT((economics!$AG$2:$AG$167=$B52)*(economics!$D$2:$D$167="process")*economics!$AI$2:$AI$167*(_xlfn.NORM.DIST(G$3,economics!$AK$2:$AK$167,economics!$AJ$2:$AJ$167,TRUE)-_xlfn.NORM.DIST(G$30,economics!$AK$2:$AK$167,economics!$AJ$2:$AJ$167,TRUE))*economics!$AM$2:$AM$167))/(SUMPRODUCT((economics!$AG$2:$AG$167=$B52)*(economics!$D$2:$D$167="process")*economics!$AI$2:$AI$167*(_xlfn.NORM.DIST(G$3,economics!$AK$2:$AK$167,economics!$AJ$2:$AJ$167,TRUE)-_xlfn.NORM.DIST(G$30,economics!$AK$2:$AK$167,economics!$AJ$2:$AJ$167,TRUE)))),"")</f>
        <v/>
      </c>
      <c r="H52">
        <f t="array" ref="H52">IFERROR((SUMPRODUCT((economics!$AG$2:$AG$167=$B52)*(economics!$D$2:$D$167="process")*economics!$AI$2:$AI$167*(_xlfn.NORM.DIST(H$3,economics!$AK$2:$AK$167,economics!$AJ$2:$AJ$167,TRUE)-_xlfn.NORM.DIST(H$30,economics!$AK$2:$AK$167,economics!$AJ$2:$AJ$167,TRUE))*economics!$AM$2:$AM$167))/(SUMPRODUCT((economics!$AG$2:$AG$167=$B52)*(economics!$D$2:$D$167="process")*economics!$AI$2:$AI$167*(_xlfn.NORM.DIST(H$3,economics!$AK$2:$AK$167,economics!$AJ$2:$AJ$167,TRUE)-_xlfn.NORM.DIST(H$30,economics!$AK$2:$AK$167,economics!$AJ$2:$AJ$167,TRUE)))),"")</f>
        <v/>
      </c>
      <c r="I52">
        <f t="array" ref="I52">IFERROR((SUMPRODUCT((economics!$AG$2:$AG$167=$B52)*(economics!$D$2:$D$167="process")*economics!$AI$2:$AI$167*(_xlfn.NORM.DIST(I$3,economics!$AK$2:$AK$167,economics!$AJ$2:$AJ$167,TRUE)-_xlfn.NORM.DIST(I$30,economics!$AK$2:$AK$167,economics!$AJ$2:$AJ$167,TRUE))*economics!$AM$2:$AM$167))/(SUMPRODUCT((economics!$AG$2:$AG$167=$B52)*(economics!$D$2:$D$167="process")*economics!$AI$2:$AI$167*(_xlfn.NORM.DIST(I$3,economics!$AK$2:$AK$167,economics!$AJ$2:$AJ$167,TRUE)-_xlfn.NORM.DIST(I$30,economics!$AK$2:$AK$167,economics!$AJ$2:$AJ$167,TRUE)))),"")</f>
        <v/>
      </c>
      <c r="J52">
        <f t="array" ref="J52">IFERROR((SUMPRODUCT((economics!$AG$2:$AG$167=$B52)*(economics!$D$2:$D$167="process")*economics!$AI$2:$AI$167*(_xlfn.NORM.DIST(J$3,economics!$AK$2:$AK$167,economics!$AJ$2:$AJ$167,TRUE)-_xlfn.NORM.DIST(J$30,economics!$AK$2:$AK$167,economics!$AJ$2:$AJ$167,TRUE))*economics!$AM$2:$AM$167))/(SUMPRODUCT((economics!$AG$2:$AG$167=$B52)*(economics!$D$2:$D$167="process")*economics!$AI$2:$AI$167*(_xlfn.NORM.DIST(J$3,economics!$AK$2:$AK$167,economics!$AJ$2:$AJ$167,TRUE)-_xlfn.NORM.DIST(J$30,economics!$AK$2:$AK$167,economics!$AJ$2:$AJ$167,TRUE)))),"")</f>
        <v/>
      </c>
      <c r="K52">
        <f t="array" ref="K52">IFERROR((SUMPRODUCT((economics!$AG$2:$AG$167=$B52)*(economics!$D$2:$D$167="process")*economics!$AI$2:$AI$167*(_xlfn.NORM.DIST(K$3,economics!$AK$2:$AK$167,economics!$AJ$2:$AJ$167,TRUE)-_xlfn.NORM.DIST(K$30,economics!$AK$2:$AK$167,economics!$AJ$2:$AJ$167,TRUE))*economics!$AM$2:$AM$167))/(SUMPRODUCT((economics!$AG$2:$AG$167=$B52)*(economics!$D$2:$D$167="process")*economics!$AI$2:$AI$167*(_xlfn.NORM.DIST(K$3,economics!$AK$2:$AK$167,economics!$AJ$2:$AJ$167,TRUE)-_xlfn.NORM.DIST(K$30,economics!$AK$2:$AK$167,economics!$AJ$2:$AJ$167,TRUE)))),"")</f>
        <v/>
      </c>
      <c r="L52">
        <f t="array" ref="L52">IFERROR((SUMPRODUCT((economics!$AG$2:$AG$167=$B52)*(economics!$D$2:$D$167="process")*economics!$AI$2:$AI$167*(_xlfn.NORM.DIST(L$3,economics!$AK$2:$AK$167,economics!$AJ$2:$AJ$167,TRUE)-_xlfn.NORM.DIST(L$30,economics!$AK$2:$AK$167,economics!$AJ$2:$AJ$167,TRUE))*economics!$AM$2:$AM$167))/(SUMPRODUCT((economics!$AG$2:$AG$167=$B52)*(economics!$D$2:$D$167="process")*economics!$AI$2:$AI$167*(_xlfn.NORM.DIST(L$3,economics!$AK$2:$AK$167,economics!$AJ$2:$AJ$167,TRUE)-_xlfn.NORM.DIST(L$30,economics!$AK$2:$AK$167,economics!$AJ$2:$AJ$167,TRUE)))),"")</f>
        <v/>
      </c>
      <c r="M52">
        <f t="array" ref="M52">IFERROR((SUMPRODUCT((economics!$AG$2:$AG$167=$B52)*(economics!$D$2:$D$167="process")*economics!$AI$2:$AI$167*(_xlfn.NORM.DIST(M$3,economics!$AK$2:$AK$167,economics!$AJ$2:$AJ$167,TRUE)-_xlfn.NORM.DIST(M$30,economics!$AK$2:$AK$167,economics!$AJ$2:$AJ$167,TRUE))*economics!$AM$2:$AM$167))/(SUMPRODUCT((economics!$AG$2:$AG$167=$B52)*(economics!$D$2:$D$167="process")*economics!$AI$2:$AI$167*(_xlfn.NORM.DIST(M$3,economics!$AK$2:$AK$167,economics!$AJ$2:$AJ$167,TRUE)-_xlfn.NORM.DIST(M$30,economics!$AK$2:$AK$167,economics!$AJ$2:$AJ$167,TRUE)))),"")</f>
        <v/>
      </c>
      <c r="N52">
        <f t="array" ref="N52">IFERROR((SUMPRODUCT((economics!$AG$2:$AG$167=$B52)*(economics!$D$2:$D$167="process")*economics!$AI$2:$AI$167*(_xlfn.NORM.DIST(N$3,economics!$AK$2:$AK$167,economics!$AJ$2:$AJ$167,TRUE)-_xlfn.NORM.DIST(N$30,economics!$AK$2:$AK$167,economics!$AJ$2:$AJ$167,TRUE))*economics!$AM$2:$AM$167))/(SUMPRODUCT((economics!$AG$2:$AG$167=$B52)*(economics!$D$2:$D$167="process")*economics!$AI$2:$AI$167*(_xlfn.NORM.DIST(N$3,economics!$AK$2:$AK$167,economics!$AJ$2:$AJ$167,TRUE)-_xlfn.NORM.DIST(N$30,economics!$AK$2:$AK$167,economics!$AJ$2:$AJ$167,TRUE)))),"")</f>
        <v/>
      </c>
      <c r="O52">
        <f t="array" ref="O52">IFERROR((SUMPRODUCT((economics!$AG$2:$AG$167=$B52)*(economics!$D$2:$D$167="process")*economics!$AI$2:$AI$167*(_xlfn.NORM.DIST(O$3,economics!$AK$2:$AK$167,economics!$AJ$2:$AJ$167,TRUE)-_xlfn.NORM.DIST(O$30,economics!$AK$2:$AK$167,economics!$AJ$2:$AJ$167,TRUE))*economics!$AM$2:$AM$167))/(SUMPRODUCT((economics!$AG$2:$AG$167=$B52)*(economics!$D$2:$D$167="process")*economics!$AI$2:$AI$167*(_xlfn.NORM.DIST(O$3,economics!$AK$2:$AK$167,economics!$AJ$2:$AJ$167,TRUE)-_xlfn.NORM.DIST(O$30,economics!$AK$2:$AK$167,economics!$AJ$2:$AJ$167,TRUE)))),"")</f>
        <v/>
      </c>
      <c r="P52">
        <f t="array" ref="P52">IFERROR((SUMPRODUCT((economics!$AG$2:$AG$167=$B52)*(economics!$D$2:$D$167="process")*economics!$AI$2:$AI$167*(_xlfn.NORM.DIST(P$3,economics!$AK$2:$AK$167,economics!$AJ$2:$AJ$167,TRUE)-_xlfn.NORM.DIST(P$30,economics!$AK$2:$AK$167,economics!$AJ$2:$AJ$167,TRUE))*economics!$AM$2:$AM$167))/(SUMPRODUCT((economics!$AG$2:$AG$167=$B52)*(economics!$D$2:$D$167="process")*economics!$AI$2:$AI$167*(_xlfn.NORM.DIST(P$3,economics!$AK$2:$AK$167,economics!$AJ$2:$AJ$167,TRUE)-_xlfn.NORM.DIST(P$30,economics!$AK$2:$AK$167,economics!$AJ$2:$AJ$167,TRUE)))),"")</f>
        <v/>
      </c>
      <c r="Q52">
        <f t="array" ref="Q52">IFERROR((SUMPRODUCT((economics!$AG$2:$AG$167=$B52)*(economics!$D$2:$D$167="process")*economics!$AI$2:$AI$167*(_xlfn.NORM.DIST(Q$3,economics!$AK$2:$AK$167,economics!$AJ$2:$AJ$167,TRUE)-_xlfn.NORM.DIST(Q$30,economics!$AK$2:$AK$167,economics!$AJ$2:$AJ$167,TRUE))*economics!$AM$2:$AM$167))/(SUMPRODUCT((economics!$AG$2:$AG$167=$B52)*(economics!$D$2:$D$167="process")*economics!$AI$2:$AI$167*(_xlfn.NORM.DIST(Q$3,economics!$AK$2:$AK$167,economics!$AJ$2:$AJ$167,TRUE)-_xlfn.NORM.DIST(Q$30,economics!$AK$2:$AK$167,economics!$AJ$2:$AJ$167,TRUE)))),"")</f>
        <v/>
      </c>
      <c r="R52">
        <f t="array" ref="R52">IFERROR((SUMPRODUCT((economics!$AG$2:$AG$167=$B52)*(economics!$D$2:$D$167="process")*economics!$AI$2:$AI$167*(_xlfn.NORM.DIST(R$3,economics!$AK$2:$AK$167,economics!$AJ$2:$AJ$167,TRUE)-_xlfn.NORM.DIST(R$30,economics!$AK$2:$AK$167,economics!$AJ$2:$AJ$167,TRUE))*economics!$AM$2:$AM$167))/(SUMPRODUCT((economics!$AG$2:$AG$167=$B52)*(economics!$D$2:$D$167="process")*economics!$AI$2:$AI$167*(_xlfn.NORM.DIST(R$3,economics!$AK$2:$AK$167,economics!$AJ$2:$AJ$167,TRUE)-_xlfn.NORM.DIST(R$30,economics!$AK$2:$AK$167,economics!$AJ$2:$AJ$167,TRUE)))),"")</f>
        <v/>
      </c>
      <c r="S52">
        <f t="array" ref="S52">IFERROR((SUMPRODUCT((economics!$AG$2:$AG$167=$B52)*(economics!$D$2:$D$167="process")*economics!$AI$2:$AI$167*(_xlfn.NORM.DIST(S$3,economics!$AK$2:$AK$167,economics!$AJ$2:$AJ$167,TRUE)-_xlfn.NORM.DIST(S$30,economics!$AK$2:$AK$167,economics!$AJ$2:$AJ$167,TRUE))*economics!$AM$2:$AM$167))/(SUMPRODUCT((economics!$AG$2:$AG$167=$B52)*(economics!$D$2:$D$167="process")*economics!$AI$2:$AI$167*(_xlfn.NORM.DIST(S$3,economics!$AK$2:$AK$167,economics!$AJ$2:$AJ$167,TRUE)-_xlfn.NORM.DIST(S$30,economics!$AK$2:$AK$167,economics!$AJ$2:$AJ$167,TRUE)))),"")</f>
        <v/>
      </c>
      <c r="T52">
        <f t="array" ref="T52">IFERROR((SUMPRODUCT((economics!$AG$2:$AG$167=$B52)*(economics!$D$2:$D$167="process")*economics!$AI$2:$AI$167*(_xlfn.NORM.DIST(T$3,economics!$AK$2:$AK$167,economics!$AJ$2:$AJ$167,TRUE)-_xlfn.NORM.DIST(T$30,economics!$AK$2:$AK$167,economics!$AJ$2:$AJ$167,TRUE))*economics!$AM$2:$AM$167))/(SUMPRODUCT((economics!$AG$2:$AG$167=$B52)*(economics!$D$2:$D$167="process")*economics!$AI$2:$AI$167*(_xlfn.NORM.DIST(T$3,economics!$AK$2:$AK$167,economics!$AJ$2:$AJ$167,TRUE)-_xlfn.NORM.DIST(T$30,economics!$AK$2:$AK$167,economics!$AJ$2:$AJ$167,TRUE)))),"")</f>
        <v/>
      </c>
      <c r="U52">
        <f t="array" ref="U52">IFERROR((SUMPRODUCT((economics!$AG$2:$AG$167=$B52)*(economics!$D$2:$D$167="process")*economics!$AI$2:$AI$167*(_xlfn.NORM.DIST(U$3,economics!$AK$2:$AK$167,economics!$AJ$2:$AJ$167,TRUE)-_xlfn.NORM.DIST(U$30,economics!$AK$2:$AK$167,economics!$AJ$2:$AJ$167,TRUE))*economics!$AM$2:$AM$167))/(SUMPRODUCT((economics!$AG$2:$AG$167=$B52)*(economics!$D$2:$D$167="process")*economics!$AI$2:$AI$167*(_xlfn.NORM.DIST(U$3,economics!$AK$2:$AK$167,economics!$AJ$2:$AJ$167,TRUE)-_xlfn.NORM.DIST(U$30,economics!$AK$2:$AK$167,economics!$AJ$2:$AJ$167,TRUE)))),"")</f>
        <v/>
      </c>
      <c r="V52">
        <f t="array" ref="V52">IFERROR((SUMPRODUCT((economics!$AG$2:$AG$167=$B52)*(economics!$D$2:$D$167="process")*economics!$AI$2:$AI$167*(_xlfn.NORM.DIST(V$3,economics!$AK$2:$AK$167,economics!$AJ$2:$AJ$167,TRUE)-_xlfn.NORM.DIST(V$30,economics!$AK$2:$AK$167,economics!$AJ$2:$AJ$167,TRUE))*economics!$AM$2:$AM$167))/(SUMPRODUCT((economics!$AG$2:$AG$167=$B52)*(economics!$D$2:$D$167="process")*economics!$AI$2:$AI$167*(_xlfn.NORM.DIST(V$3,economics!$AK$2:$AK$167,economics!$AJ$2:$AJ$167,TRUE)-_xlfn.NORM.DIST(V$30,economics!$AK$2:$AK$167,economics!$AJ$2:$AJ$167,TRUE)))),"")</f>
        <v/>
      </c>
      <c r="W52">
        <f t="array" ref="W52">IFERROR((SUMPRODUCT((economics!$AG$2:$AG$167=$B52)*(economics!$D$2:$D$167="process")*economics!$AI$2:$AI$167*(_xlfn.NORM.DIST(W$3,economics!$AK$2:$AK$167,economics!$AJ$2:$AJ$167,TRUE)-_xlfn.NORM.DIST(W$30,economics!$AK$2:$AK$167,economics!$AJ$2:$AJ$167,TRUE))*economics!$AM$2:$AM$167))/(SUMPRODUCT((economics!$AG$2:$AG$167=$B52)*(economics!$D$2:$D$167="process")*economics!$AI$2:$AI$167*(_xlfn.NORM.DIST(W$3,economics!$AK$2:$AK$167,economics!$AJ$2:$AJ$167,TRUE)-_xlfn.NORM.DIST(W$30,economics!$AK$2:$AK$167,economics!$AJ$2:$AJ$167,TRUE)))),"")</f>
        <v/>
      </c>
      <c r="X52">
        <f t="array" ref="X52">IFERROR((SUMPRODUCT((economics!$AG$2:$AG$167=$B52)*(economics!$D$2:$D$167="process")*economics!$AI$2:$AI$167*(_xlfn.NORM.DIST(X$3,economics!$AK$2:$AK$167,economics!$AJ$2:$AJ$167,TRUE)-_xlfn.NORM.DIST(X$30,economics!$AK$2:$AK$167,economics!$AJ$2:$AJ$167,TRUE))*economics!$AM$2:$AM$167))/(SUMPRODUCT((economics!$AG$2:$AG$167=$B52)*(economics!$D$2:$D$167="process")*economics!$AI$2:$AI$167*(_xlfn.NORM.DIST(X$3,economics!$AK$2:$AK$167,economics!$AJ$2:$AJ$167,TRUE)-_xlfn.NORM.DIST(X$30,economics!$AK$2:$AK$167,economics!$AJ$2:$AJ$167,TRUE)))),"")</f>
        <v/>
      </c>
      <c r="Y52">
        <f t="array" ref="Y52">IFERROR((SUMPRODUCT((economics!$AG$2:$AG$167=$B52)*(economics!$D$2:$D$167="process")*economics!$AI$2:$AI$167*(_xlfn.NORM.DIST(Y$3,economics!$AK$2:$AK$167,economics!$AJ$2:$AJ$167,TRUE)-_xlfn.NORM.DIST(Y$30,economics!$AK$2:$AK$167,economics!$AJ$2:$AJ$167,TRUE))*economics!$AM$2:$AM$167))/(SUMPRODUCT((economics!$AG$2:$AG$167=$B52)*(economics!$D$2:$D$167="process")*economics!$AI$2:$AI$167*(_xlfn.NORM.DIST(Y$3,economics!$AK$2:$AK$167,economics!$AJ$2:$AJ$167,TRUE)-_xlfn.NORM.DIST(Y$30,economics!$AK$2:$AK$167,economics!$AJ$2:$AJ$167,TRUE)))),"")</f>
        <v/>
      </c>
      <c r="Z52">
        <f t="array" ref="Z52">IFERROR((SUMPRODUCT((economics!$AG$2:$AG$167=$B52)*(economics!$D$2:$D$167="process")*economics!$AI$2:$AI$167*(_xlfn.NORM.DIST(Z$3,economics!$AK$2:$AK$167,economics!$AJ$2:$AJ$167,TRUE)-_xlfn.NORM.DIST(Z$30,economics!$AK$2:$AK$167,economics!$AJ$2:$AJ$167,TRUE))*economics!$AM$2:$AM$167))/(SUMPRODUCT((economics!$AG$2:$AG$167=$B52)*(economics!$D$2:$D$167="process")*economics!$AI$2:$AI$167*(_xlfn.NORM.DIST(Z$3,economics!$AK$2:$AK$167,economics!$AJ$2:$AJ$167,TRUE)-_xlfn.NORM.DIST(Z$30,economics!$AK$2:$AK$167,economics!$AJ$2:$AJ$167,TRUE)))),"")</f>
        <v/>
      </c>
      <c r="AA52">
        <f t="array" ref="AA52">IFERROR((SUMPRODUCT((economics!$AG$2:$AG$167=$B52)*(economics!$D$2:$D$167="process")*economics!$AI$2:$AI$167*(_xlfn.NORM.DIST(AA$3,economics!$AK$2:$AK$167,economics!$AJ$2:$AJ$167,TRUE)-_xlfn.NORM.DIST(AA$30,economics!$AK$2:$AK$167,economics!$AJ$2:$AJ$167,TRUE))*economics!$AM$2:$AM$167))/(SUMPRODUCT((economics!$AG$2:$AG$167=$B52)*(economics!$D$2:$D$167="process")*economics!$AI$2:$AI$167*(_xlfn.NORM.DIST(AA$3,economics!$AK$2:$AK$167,economics!$AJ$2:$AJ$167,TRUE)-_xlfn.NORM.DIST(AA$30,economics!$AK$2:$AK$167,economics!$AJ$2:$AJ$167,TRUE)))),"")</f>
        <v/>
      </c>
      <c r="AB52">
        <f t="array" ref="AB52">IFERROR((SUMPRODUCT((economics!$AG$2:$AG$167=$B52)*(economics!$D$2:$D$167="process")*economics!$AI$2:$AI$167*(_xlfn.NORM.DIST(AB$3,economics!$AK$2:$AK$167,economics!$AJ$2:$AJ$167,TRUE)-_xlfn.NORM.DIST(AB$30,economics!$AK$2:$AK$167,economics!$AJ$2:$AJ$167,TRUE))*economics!$AM$2:$AM$167))/(SUMPRODUCT((economics!$AG$2:$AG$167=$B52)*(economics!$D$2:$D$167="process")*economics!$AI$2:$AI$167*(_xlfn.NORM.DIST(AB$3,economics!$AK$2:$AK$167,economics!$AJ$2:$AJ$167,TRUE)-_xlfn.NORM.DIST(AB$30,economics!$AK$2:$AK$167,economics!$AJ$2:$AJ$167,TRUE)))),"")</f>
        <v/>
      </c>
      <c r="AC52">
        <f t="array" ref="AC52">IFERROR((SUMPRODUCT((economics!$AG$2:$AG$167=$B52)*(economics!$D$2:$D$167="process")*economics!$AI$2:$AI$167*(_xlfn.NORM.DIST(AC$3,economics!$AK$2:$AK$167,economics!$AJ$2:$AJ$167,TRUE)-_xlfn.NORM.DIST(AC$30,economics!$AK$2:$AK$167,economics!$AJ$2:$AJ$167,TRUE))*economics!$AM$2:$AM$167))/(SUMPRODUCT((economics!$AG$2:$AG$167=$B52)*(economics!$D$2:$D$167="process")*economics!$AI$2:$AI$167*(_xlfn.NORM.DIST(AC$3,economics!$AK$2:$AK$167,economics!$AJ$2:$AJ$167,TRUE)-_xlfn.NORM.DIST(AC$30,economics!$AK$2:$AK$167,economics!$AJ$2:$AJ$167,TRUE)))),"")</f>
        <v/>
      </c>
      <c r="AD52">
        <f t="array" ref="AD52">IFERROR((SUMPRODUCT((economics!$AG$2:$AG$167=$B52)*(economics!$D$2:$D$167="process")*economics!$AI$2:$AI$167*(_xlfn.NORM.DIST(AD$3,economics!$AK$2:$AK$167,economics!$AJ$2:$AJ$167,TRUE)-_xlfn.NORM.DIST(AD$30,economics!$AK$2:$AK$167,economics!$AJ$2:$AJ$167,TRUE))*economics!$AM$2:$AM$167))/(SUMPRODUCT((economics!$AG$2:$AG$167=$B52)*(economics!$D$2:$D$167="process")*economics!$AI$2:$AI$167*(_xlfn.NORM.DIST(AD$3,economics!$AK$2:$AK$167,economics!$AJ$2:$AJ$167,TRUE)-_xlfn.NORM.DIST(AD$30,economics!$AK$2:$AK$167,economics!$AJ$2:$AJ$167,TRUE)))),"")</f>
        <v/>
      </c>
      <c r="AE52">
        <f t="array" ref="AE52">IFERROR((SUMPRODUCT((economics!$AG$2:$AG$167=$B52)*(economics!$D$2:$D$167="process")*economics!$AI$2:$AI$167*(_xlfn.NORM.DIST(AE$3,economics!$AK$2:$AK$167,economics!$AJ$2:$AJ$167,TRUE)-_xlfn.NORM.DIST(AE$30,economics!$AK$2:$AK$167,economics!$AJ$2:$AJ$167,TRUE))*economics!$AM$2:$AM$167))/(SUMPRODUCT((economics!$AG$2:$AG$167=$B52)*(economics!$D$2:$D$167="process")*economics!$AI$2:$AI$167*(_xlfn.NORM.DIST(AE$3,economics!$AK$2:$AK$167,economics!$AJ$2:$AJ$167,TRUE)-_xlfn.NORM.DIST(AE$30,economics!$AK$2:$AK$167,economics!$AJ$2:$AJ$167,TRUE)))),"")</f>
        <v/>
      </c>
      <c r="AF52">
        <f t="array" ref="AF52">IFERROR((SUMPRODUCT((economics!$AG$2:$AG$167=$B52)*(economics!$D$2:$D$167="process")*economics!$AI$2:$AI$167*(_xlfn.NORM.DIST(AF$3,economics!$AK$2:$AK$167,economics!$AJ$2:$AJ$167,TRUE)-_xlfn.NORM.DIST(AF$30,economics!$AK$2:$AK$167,economics!$AJ$2:$AJ$167,TRUE))*economics!$AM$2:$AM$167))/(SUMPRODUCT((economics!$AG$2:$AG$167=$B52)*(economics!$D$2:$D$167="process")*economics!$AI$2:$AI$167*(_xlfn.NORM.DIST(AF$3,economics!$AK$2:$AK$167,economics!$AJ$2:$AJ$167,TRUE)-_xlfn.NORM.DIST(AF$30,economics!$AK$2:$AK$167,economics!$AJ$2:$AJ$167,TRUE)))),"")</f>
        <v/>
      </c>
      <c r="AG52">
        <f t="array" ref="AG52">IFERROR((SUMPRODUCT((economics!$AG$2:$AG$167=$B52)*(economics!$D$2:$D$167="process")*economics!$AI$2:$AI$167*(_xlfn.NORM.DIST(AG$3,economics!$AK$2:$AK$167,economics!$AJ$2:$AJ$167,TRUE)-_xlfn.NORM.DIST(AG$30,economics!$AK$2:$AK$167,economics!$AJ$2:$AJ$167,TRUE))*economics!$AM$2:$AM$167))/(SUMPRODUCT((economics!$AG$2:$AG$167=$B52)*(economics!$D$2:$D$167="process")*economics!$AI$2:$AI$167*(_xlfn.NORM.DIST(AG$3,economics!$AK$2:$AK$167,economics!$AJ$2:$AJ$167,TRUE)-_xlfn.NORM.DIST(AG$30,economics!$AK$2:$AK$167,economics!$AJ$2:$AJ$167,TRUE)))),"")</f>
        <v/>
      </c>
      <c r="AH52">
        <f t="array" ref="AH52">IFERROR((SUMPRODUCT((economics!$AG$2:$AG$167=$B52)*(economics!$D$2:$D$167="process")*economics!$AI$2:$AI$167*(_xlfn.NORM.DIST(AH$3,economics!$AK$2:$AK$167,economics!$AJ$2:$AJ$167,TRUE)-_xlfn.NORM.DIST(AH$30,economics!$AK$2:$AK$167,economics!$AJ$2:$AJ$167,TRUE))*economics!$AM$2:$AM$167))/(SUMPRODUCT((economics!$AG$2:$AG$167=$B52)*(economics!$D$2:$D$167="process")*economics!$AI$2:$AI$167*(_xlfn.NORM.DIST(AH$3,economics!$AK$2:$AK$167,economics!$AJ$2:$AJ$167,TRUE)-_xlfn.NORM.DIST(AH$30,economics!$AK$2:$AK$167,economics!$AJ$2:$AJ$167,TRUE)))),"")</f>
        <v/>
      </c>
      <c r="AI52">
        <f t="array" ref="AI52">IFERROR((SUMPRODUCT((economics!$AG$2:$AG$167=$B52)*(economics!$D$2:$D$167="process")*economics!$AI$2:$AI$167*(_xlfn.NORM.DIST(AI$3,economics!$AK$2:$AK$167,economics!$AJ$2:$AJ$167,TRUE)-_xlfn.NORM.DIST(AI$30,economics!$AK$2:$AK$167,economics!$AJ$2:$AJ$167,TRUE))*economics!$AM$2:$AM$167))/(SUMPRODUCT((economics!$AG$2:$AG$167=$B52)*(economics!$D$2:$D$167="process")*economics!$AI$2:$AI$167*(_xlfn.NORM.DIST(AI$3,economics!$AK$2:$AK$167,economics!$AJ$2:$AJ$167,TRUE)-_xlfn.NORM.DIST(AI$30,economics!$AK$2:$AK$167,economics!$AJ$2:$AJ$167,TRUE)))),"")</f>
        <v/>
      </c>
      <c r="AJ52">
        <f t="array" ref="AJ52">IFERROR((SUMPRODUCT((economics!$AG$2:$AG$167=$B52)*(economics!$D$2:$D$167="process")*economics!$AI$2:$AI$167*(_xlfn.NORM.DIST(AJ$3,economics!$AK$2:$AK$167,economics!$AJ$2:$AJ$167,TRUE)-_xlfn.NORM.DIST(AJ$30,economics!$AK$2:$AK$167,economics!$AJ$2:$AJ$167,TRUE))*economics!$AM$2:$AM$167))/(SUMPRODUCT((economics!$AG$2:$AG$167=$B52)*(economics!$D$2:$D$167="process")*economics!$AI$2:$AI$167*(_xlfn.NORM.DIST(AJ$3,economics!$AK$2:$AK$167,economics!$AJ$2:$AJ$167,TRUE)-_xlfn.NORM.DIST(AJ$30,economics!$AK$2:$AK$167,economics!$AJ$2:$AJ$167,TRUE)))),"")</f>
        <v/>
      </c>
      <c r="AK52">
        <f t="array" ref="AK52">IFERROR((SUMPRODUCT((economics!$AG$2:$AG$167=$B52)*(economics!$D$2:$D$167="process")*economics!$AI$2:$AI$167*(_xlfn.NORM.DIST(AK$3,economics!$AK$2:$AK$167,economics!$AJ$2:$AJ$167,TRUE)-_xlfn.NORM.DIST(AK$30,economics!$AK$2:$AK$167,economics!$AJ$2:$AJ$167,TRUE))*economics!$AM$2:$AM$167))/(SUMPRODUCT((economics!$AG$2:$AG$167=$B52)*(economics!$D$2:$D$167="process")*economics!$AI$2:$AI$167*(_xlfn.NORM.DIST(AK$3,economics!$AK$2:$AK$167,economics!$AJ$2:$AJ$167,TRUE)-_xlfn.NORM.DIST(AK$30,economics!$AK$2:$AK$167,economics!$AJ$2:$AJ$167,TRUE)))),"")</f>
        <v/>
      </c>
      <c r="AL52">
        <f t="array" ref="AL52">IFERROR((SUMPRODUCT((economics!$AG$2:$AG$167=$B52)*(economics!$D$2:$D$167="process")*economics!$AI$2:$AI$167*(_xlfn.NORM.DIST(AL$3,economics!$AK$2:$AK$167,economics!$AJ$2:$AJ$167,TRUE)-_xlfn.NORM.DIST(AL$30,economics!$AK$2:$AK$167,economics!$AJ$2:$AJ$167,TRUE))*economics!$AM$2:$AM$167))/(SUMPRODUCT((economics!$AG$2:$AG$167=$B52)*(economics!$D$2:$D$167="process")*economics!$AI$2:$AI$167*(_xlfn.NORM.DIST(AL$3,economics!$AK$2:$AK$167,economics!$AJ$2:$AJ$167,TRUE)-_xlfn.NORM.DIST(AL$30,economics!$AK$2:$AK$167,economics!$AJ$2:$AJ$167,TRUE)))),"")</f>
        <v/>
      </c>
      <c r="AM52">
        <f t="array" ref="AM52">IFERROR((SUMPRODUCT((economics!$AG$2:$AG$167=$B52)*(economics!$D$2:$D$167="process")*economics!$AI$2:$AI$167*(_xlfn.NORM.DIST(AM$3,economics!$AK$2:$AK$167,economics!$AJ$2:$AJ$167,TRUE)-_xlfn.NORM.DIST(AM$30,economics!$AK$2:$AK$167,economics!$AJ$2:$AJ$167,TRUE))*economics!$AM$2:$AM$167))/(SUMPRODUCT((economics!$AG$2:$AG$167=$B52)*(economics!$D$2:$D$167="process")*economics!$AI$2:$AI$167*(_xlfn.NORM.DIST(AM$3,economics!$AK$2:$AK$167,economics!$AJ$2:$AJ$167,TRUE)-_xlfn.NORM.DIST(AM$30,economics!$AK$2:$AK$167,economics!$AJ$2:$AJ$167,TRUE)))),"")</f>
        <v/>
      </c>
      <c r="AN52">
        <f t="array" ref="AN52">IFERROR((SUMPRODUCT((economics!$AG$2:$AG$167=$B52)*(economics!$D$2:$D$167="process")*economics!$AI$2:$AI$167*(_xlfn.NORM.DIST(AN$3,economics!$AK$2:$AK$167,economics!$AJ$2:$AJ$167,TRUE)-_xlfn.NORM.DIST(AN$30,economics!$AK$2:$AK$167,economics!$AJ$2:$AJ$167,TRUE))*economics!$AM$2:$AM$167))/(SUMPRODUCT((economics!$AG$2:$AG$167=$B52)*(economics!$D$2:$D$167="process")*economics!$AI$2:$AI$167*(_xlfn.NORM.DIST(AN$3,economics!$AK$2:$AK$167,economics!$AJ$2:$AJ$167,TRUE)-_xlfn.NORM.DIST(AN$30,economics!$AK$2:$AK$167,economics!$AJ$2:$AJ$167,TRUE)))),"")</f>
        <v/>
      </c>
      <c r="AO52">
        <f t="array" ref="AO52">IFERROR((SUMPRODUCT((economics!$AG$2:$AG$167=$B52)*(economics!$D$2:$D$167="process")*economics!$AI$2:$AI$167*(_xlfn.NORM.DIST(AO$3,economics!$AK$2:$AK$167,economics!$AJ$2:$AJ$167,TRUE)-_xlfn.NORM.DIST(AO$30,economics!$AK$2:$AK$167,economics!$AJ$2:$AJ$167,TRUE))*economics!$AM$2:$AM$167))/(SUMPRODUCT((economics!$AG$2:$AG$167=$B52)*(economics!$D$2:$D$167="process")*economics!$AI$2:$AI$167*(_xlfn.NORM.DIST(AO$3,economics!$AK$2:$AK$167,economics!$AJ$2:$AJ$167,TRUE)-_xlfn.NORM.DIST(AO$30,economics!$AK$2:$AK$167,economics!$AJ$2:$AJ$167,TRUE)))),"")</f>
        <v/>
      </c>
      <c r="AP52">
        <f t="array" ref="AP52">IFERROR((SUMPRODUCT((economics!$AG$2:$AG$167=$B52)*(economics!$D$2:$D$167="process")*economics!$AI$2:$AI$167*(_xlfn.NORM.DIST(AP$3,economics!$AK$2:$AK$167,economics!$AJ$2:$AJ$167,TRUE)-_xlfn.NORM.DIST(AP$30,economics!$AK$2:$AK$167,economics!$AJ$2:$AJ$167,TRUE))*economics!$AM$2:$AM$167))/(SUMPRODUCT((economics!$AG$2:$AG$167=$B52)*(economics!$D$2:$D$167="process")*economics!$AI$2:$AI$167*(_xlfn.NORM.DIST(AP$3,economics!$AK$2:$AK$167,economics!$AJ$2:$AJ$167,TRUE)-_xlfn.NORM.DIST(AP$30,economics!$AK$2:$AK$167,economics!$AJ$2:$AJ$167,TRUE)))),"")</f>
        <v/>
      </c>
      <c r="AQ52">
        <f t="array" ref="AQ52">IFERROR((SUMPRODUCT((economics!$AG$2:$AG$167=$B52)*(economics!$D$2:$D$167="process")*economics!$AI$2:$AI$167*(_xlfn.NORM.DIST(AQ$3,economics!$AK$2:$AK$167,economics!$AJ$2:$AJ$167,TRUE)-_xlfn.NORM.DIST(AQ$30,economics!$AK$2:$AK$167,economics!$AJ$2:$AJ$167,TRUE))*economics!$AM$2:$AM$167))/(SUMPRODUCT((economics!$AG$2:$AG$167=$B52)*(economics!$D$2:$D$167="process")*economics!$AI$2:$AI$167*(_xlfn.NORM.DIST(AQ$3,economics!$AK$2:$AK$167,economics!$AJ$2:$AJ$167,TRUE)-_xlfn.NORM.DIST(AQ$30,economics!$AK$2:$AK$167,economics!$AJ$2:$AJ$167,TRUE)))),"")</f>
        <v/>
      </c>
      <c r="AR52">
        <f t="array" ref="AR52">IFERROR((SUMPRODUCT((economics!$AG$2:$AG$167=$B52)*(economics!$D$2:$D$167="process")*economics!$AI$2:$AI$167*(_xlfn.NORM.DIST(AR$3,economics!$AK$2:$AK$167,economics!$AJ$2:$AJ$167,TRUE)-_xlfn.NORM.DIST(AR$30,economics!$AK$2:$AK$167,economics!$AJ$2:$AJ$167,TRUE))*economics!$AM$2:$AM$167))/(SUMPRODUCT((economics!$AG$2:$AG$167=$B52)*(economics!$D$2:$D$167="process")*economics!$AI$2:$AI$167*(_xlfn.NORM.DIST(AR$3,economics!$AK$2:$AK$167,economics!$AJ$2:$AJ$167,TRUE)-_xlfn.NORM.DIST(AR$30,economics!$AK$2:$AK$167,economics!$AJ$2:$AJ$167,TRUE)))),"")</f>
        <v/>
      </c>
      <c r="AS52">
        <f t="array" ref="AS52">IFERROR((SUMPRODUCT((economics!$AG$2:$AG$167=$B52)*(economics!$D$2:$D$167="process")*economics!$AI$2:$AI$167*(_xlfn.NORM.DIST(AS$3,economics!$AK$2:$AK$167,economics!$AJ$2:$AJ$167,TRUE)-_xlfn.NORM.DIST(AS$30,economics!$AK$2:$AK$167,economics!$AJ$2:$AJ$167,TRUE))*economics!$AM$2:$AM$167))/(SUMPRODUCT((economics!$AG$2:$AG$167=$B52)*(economics!$D$2:$D$167="process")*economics!$AI$2:$AI$167*(_xlfn.NORM.DIST(AS$3,economics!$AK$2:$AK$167,economics!$AJ$2:$AJ$167,TRUE)-_xlfn.NORM.DIST(AS$30,economics!$AK$2:$AK$167,economics!$AJ$2:$AJ$167,TRUE)))),"")</f>
        <v/>
      </c>
      <c r="AT52">
        <f t="array" ref="AT52">IFERROR((SUMPRODUCT((economics!$AG$2:$AG$167=$B52)*(economics!$D$2:$D$167="process")*economics!$AI$2:$AI$167*(_xlfn.NORM.DIST(AT$3,economics!$AK$2:$AK$167,economics!$AJ$2:$AJ$167,TRUE)-_xlfn.NORM.DIST(AT$30,economics!$AK$2:$AK$167,economics!$AJ$2:$AJ$167,TRUE))*economics!$AM$2:$AM$167))/(SUMPRODUCT((economics!$AG$2:$AG$167=$B52)*(economics!$D$2:$D$167="process")*economics!$AI$2:$AI$167*(_xlfn.NORM.DIST(AT$3,economics!$AK$2:$AK$167,economics!$AJ$2:$AJ$167,TRUE)-_xlfn.NORM.DIST(AT$30,economics!$AK$2:$AK$167,economics!$AJ$2:$AJ$167,TRUE)))),"")</f>
        <v/>
      </c>
      <c r="AU52">
        <f t="array" ref="AU52">IFERROR((SUMPRODUCT((economics!$AG$2:$AG$167=$B52)*(economics!$D$2:$D$167="process")*economics!$AI$2:$AI$167*(_xlfn.NORM.DIST(AU$3,economics!$AK$2:$AK$167,economics!$AJ$2:$AJ$167,TRUE)-_xlfn.NORM.DIST(AU$30,economics!$AK$2:$AK$167,economics!$AJ$2:$AJ$167,TRUE))*economics!$AM$2:$AM$167))/(SUMPRODUCT((economics!$AG$2:$AG$167=$B52)*(economics!$D$2:$D$167="process")*economics!$AI$2:$AI$167*(_xlfn.NORM.DIST(AU$3,economics!$AK$2:$AK$167,economics!$AJ$2:$AJ$167,TRUE)-_xlfn.NORM.DIST(AU$30,economics!$AK$2:$AK$167,economics!$AJ$2:$AJ$167,TRUE)))),"")</f>
        <v/>
      </c>
      <c r="AV52">
        <f t="array" ref="AV52">IFERROR((SUMPRODUCT((economics!$AG$2:$AG$167=$B52)*(economics!$D$2:$D$167="process")*economics!$AI$2:$AI$167*(_xlfn.NORM.DIST(AV$3,economics!$AK$2:$AK$167,economics!$AJ$2:$AJ$167,TRUE)-_xlfn.NORM.DIST(AV$30,economics!$AK$2:$AK$167,economics!$AJ$2:$AJ$167,TRUE))*economics!$AM$2:$AM$167))/(SUMPRODUCT((economics!$AG$2:$AG$167=$B52)*(economics!$D$2:$D$167="process")*economics!$AI$2:$AI$167*(_xlfn.NORM.DIST(AV$3,economics!$AK$2:$AK$167,economics!$AJ$2:$AJ$167,TRUE)-_xlfn.NORM.DIST(AV$30,economics!$AK$2:$AK$167,economics!$AJ$2:$AJ$167,TRUE)))),"")</f>
        <v/>
      </c>
      <c r="AW52">
        <f t="array" ref="AW52">IFERROR((SUMPRODUCT((economics!$AG$2:$AG$167=$B52)*(economics!$D$2:$D$167="process")*economics!$AI$2:$AI$167*(_xlfn.NORM.DIST(AW$3,economics!$AK$2:$AK$167,economics!$AJ$2:$AJ$167,TRUE)-_xlfn.NORM.DIST(AW$30,economics!$AK$2:$AK$167,economics!$AJ$2:$AJ$167,TRUE))*economics!$AM$2:$AM$167))/(SUMPRODUCT((economics!$AG$2:$AG$167=$B52)*(economics!$D$2:$D$167="process")*economics!$AI$2:$AI$167*(_xlfn.NORM.DIST(AW$3,economics!$AK$2:$AK$167,economics!$AJ$2:$AJ$167,TRUE)-_xlfn.NORM.DIST(AW$30,economics!$AK$2:$AK$167,economics!$AJ$2:$AJ$167,TRUE)))),"")</f>
        <v/>
      </c>
      <c r="AX52">
        <f t="array" ref="AX52">IFERROR((SUMPRODUCT((economics!$AG$2:$AG$167=$B52)*(economics!$D$2:$D$167="process")*economics!$AI$2:$AI$167*(_xlfn.NORM.DIST(AX$3,economics!$AK$2:$AK$167,economics!$AJ$2:$AJ$167,TRUE)-_xlfn.NORM.DIST(AX$30,economics!$AK$2:$AK$167,economics!$AJ$2:$AJ$167,TRUE))*economics!$AM$2:$AM$167))/(SUMPRODUCT((economics!$AG$2:$AG$167=$B52)*(economics!$D$2:$D$167="process")*economics!$AI$2:$AI$167*(_xlfn.NORM.DIST(AX$3,economics!$AK$2:$AK$167,economics!$AJ$2:$AJ$167,TRUE)-_xlfn.NORM.DIST(AX$30,economics!$AK$2:$AK$167,economics!$AJ$2:$AJ$167,TRUE)))),"")</f>
        <v/>
      </c>
      <c r="AY52">
        <f t="array" ref="AY52">IFERROR((SUMPRODUCT((economics!$AG$2:$AG$167=$B52)*(economics!$D$2:$D$167="process")*economics!$AI$2:$AI$167*(_xlfn.NORM.DIST(AY$3,economics!$AK$2:$AK$167,economics!$AJ$2:$AJ$167,TRUE)-_xlfn.NORM.DIST(AY$30,economics!$AK$2:$AK$167,economics!$AJ$2:$AJ$167,TRUE))*economics!$AM$2:$AM$167))/(SUMPRODUCT((economics!$AG$2:$AG$167=$B52)*(economics!$D$2:$D$167="process")*economics!$AI$2:$AI$167*(_xlfn.NORM.DIST(AY$3,economics!$AK$2:$AK$167,economics!$AJ$2:$AJ$167,TRUE)-_xlfn.NORM.DIST(AY$30,economics!$AK$2:$AK$167,economics!$AJ$2:$AJ$167,TRUE)))),"")</f>
        <v/>
      </c>
      <c r="AZ52">
        <f t="array" ref="AZ52">IFERROR((SUMPRODUCT((economics!$AG$2:$AG$167=$B52)*(economics!$D$2:$D$167="process")*economics!$AI$2:$AI$167*(_xlfn.NORM.DIST(AZ$3,economics!$AK$2:$AK$167,economics!$AJ$2:$AJ$167,TRUE)-_xlfn.NORM.DIST(AZ$30,economics!$AK$2:$AK$167,economics!$AJ$2:$AJ$167,TRUE))*economics!$AM$2:$AM$167))/(SUMPRODUCT((economics!$AG$2:$AG$167=$B52)*(economics!$D$2:$D$167="process")*economics!$AI$2:$AI$167*(_xlfn.NORM.DIST(AZ$3,economics!$AK$2:$AK$167,economics!$AJ$2:$AJ$167,TRUE)-_xlfn.NORM.DIST(AZ$30,economics!$AK$2:$AK$167,economics!$AJ$2:$AJ$167,TRUE)))),"")</f>
        <v/>
      </c>
      <c r="BA52">
        <f t="array" ref="BA52">IFERROR((SUMPRODUCT((economics!$AG$2:$AG$167=$B52)*(economics!$D$2:$D$167="process")*economics!$AI$2:$AI$167*(_xlfn.NORM.DIST(BA$3,economics!$AK$2:$AK$167,economics!$AJ$2:$AJ$167,TRUE)-_xlfn.NORM.DIST(BA$30,economics!$AK$2:$AK$167,economics!$AJ$2:$AJ$167,TRUE))*economics!$AM$2:$AM$167))/(SUMPRODUCT((economics!$AG$2:$AG$167=$B52)*(economics!$D$2:$D$167="process")*economics!$AI$2:$AI$167*(_xlfn.NORM.DIST(BA$3,economics!$AK$2:$AK$167,economics!$AJ$2:$AJ$167,TRUE)-_xlfn.NORM.DIST(BA$30,economics!$AK$2:$AK$167,economics!$AJ$2:$AJ$167,TRUE)))),"")</f>
        <v/>
      </c>
      <c r="BB52">
        <f t="array" ref="BB52">IFERROR((SUMPRODUCT((economics!$AG$2:$AG$167=$B52)*(economics!$D$2:$D$167="process")*economics!$AI$2:$AI$167*(_xlfn.NORM.DIST(BB$3,economics!$AK$2:$AK$167,economics!$AJ$2:$AJ$167,TRUE)-_xlfn.NORM.DIST(BB$30,economics!$AK$2:$AK$167,economics!$AJ$2:$AJ$167,TRUE))*economics!$AM$2:$AM$167))/(SUMPRODUCT((economics!$AG$2:$AG$167=$B52)*(economics!$D$2:$D$167="process")*economics!$AI$2:$AI$167*(_xlfn.NORM.DIST(BB$3,economics!$AK$2:$AK$167,economics!$AJ$2:$AJ$167,TRUE)-_xlfn.NORM.DIST(BB$30,economics!$AK$2:$AK$167,economics!$AJ$2:$AJ$167,TRUE)))),"")</f>
        <v/>
      </c>
      <c r="BC52">
        <f t="array" ref="BC52">IFERROR((SUMPRODUCT((economics!$AG$2:$AG$167=$B52)*(economics!$D$2:$D$167="process")*economics!$AI$2:$AI$167*(_xlfn.NORM.DIST(BC$3,economics!$AK$2:$AK$167,economics!$AJ$2:$AJ$167,TRUE)-_xlfn.NORM.DIST(BC$30,economics!$AK$2:$AK$167,economics!$AJ$2:$AJ$167,TRUE))*economics!$AM$2:$AM$167))/(SUMPRODUCT((economics!$AG$2:$AG$167=$B52)*(economics!$D$2:$D$167="process")*economics!$AI$2:$AI$167*(_xlfn.NORM.DIST(BC$3,economics!$AK$2:$AK$167,economics!$AJ$2:$AJ$167,TRUE)-_xlfn.NORM.DIST(BC$30,economics!$AK$2:$AK$167,economics!$AJ$2:$AJ$167,TRUE)))),"")</f>
        <v/>
      </c>
      <c r="BD52">
        <f t="array" ref="BD52">IFERROR((SUMPRODUCT((economics!$AG$2:$AG$167=$B52)*(economics!$D$2:$D$167="process")*economics!$AI$2:$AI$167*(_xlfn.NORM.DIST(BD$3,economics!$AK$2:$AK$167,economics!$AJ$2:$AJ$167,TRUE)-_xlfn.NORM.DIST(BD$30,economics!$AK$2:$AK$167,economics!$AJ$2:$AJ$167,TRUE))*economics!$AM$2:$AM$167))/(SUMPRODUCT((economics!$AG$2:$AG$167=$B52)*(economics!$D$2:$D$167="process")*economics!$AI$2:$AI$167*(_xlfn.NORM.DIST(BD$3,economics!$AK$2:$AK$167,economics!$AJ$2:$AJ$167,TRUE)-_xlfn.NORM.DIST(BD$30,economics!$AK$2:$AK$167,economics!$AJ$2:$AJ$167,TRUE)))),"")</f>
        <v/>
      </c>
      <c r="BE52">
        <f t="array" ref="BE52">IFERROR((SUMPRODUCT((economics!$AG$2:$AG$167=$B52)*(economics!$D$2:$D$167="process")*economics!$AI$2:$AI$167*(_xlfn.NORM.DIST(BE$3,economics!$AK$2:$AK$167,economics!$AJ$2:$AJ$167,TRUE)-_xlfn.NORM.DIST(BE$30,economics!$AK$2:$AK$167,economics!$AJ$2:$AJ$167,TRUE))*economics!$AM$2:$AM$167))/(SUMPRODUCT((economics!$AG$2:$AG$167=$B52)*(economics!$D$2:$D$167="process")*economics!$AI$2:$AI$167*(_xlfn.NORM.DIST(BE$3,economics!$AK$2:$AK$167,economics!$AJ$2:$AJ$167,TRUE)-_xlfn.NORM.DIST(BE$30,economics!$AK$2:$AK$167,economics!$AJ$2:$AJ$167,TRUE)))),"")</f>
        <v/>
      </c>
      <c r="BF52">
        <f t="array" ref="BF52">IFERROR((SUMPRODUCT((economics!$AG$2:$AG$167=$B52)*(economics!$D$2:$D$167="process")*economics!$AI$2:$AI$167*(_xlfn.NORM.DIST(BF$3,economics!$AK$2:$AK$167,economics!$AJ$2:$AJ$167,TRUE)-_xlfn.NORM.DIST(BF$30,economics!$AK$2:$AK$167,economics!$AJ$2:$AJ$167,TRUE))*economics!$AM$2:$AM$167))/(SUMPRODUCT((economics!$AG$2:$AG$167=$B52)*(economics!$D$2:$D$167="process")*economics!$AI$2:$AI$167*(_xlfn.NORM.DIST(BF$3,economics!$AK$2:$AK$167,economics!$AJ$2:$AJ$167,TRUE)-_xlfn.NORM.DIST(BF$30,economics!$AK$2:$AK$167,economics!$AJ$2:$AJ$167,TRUE)))),"")</f>
        <v/>
      </c>
      <c r="BG52">
        <f t="array" ref="BG52">IFERROR((SUMPRODUCT((economics!$AG$2:$AG$167=$B52)*(economics!$D$2:$D$167="process")*economics!$AI$2:$AI$167*(_xlfn.NORM.DIST(BG$3,economics!$AK$2:$AK$167,economics!$AJ$2:$AJ$167,TRUE)-_xlfn.NORM.DIST(BG$30,economics!$AK$2:$AK$167,economics!$AJ$2:$AJ$167,TRUE))*economics!$AM$2:$AM$167))/(SUMPRODUCT((economics!$AG$2:$AG$167=$B52)*(economics!$D$2:$D$167="process")*economics!$AI$2:$AI$167*(_xlfn.NORM.DIST(BG$3,economics!$AK$2:$AK$167,economics!$AJ$2:$AJ$167,TRUE)-_xlfn.NORM.DIST(BG$30,economics!$AK$2:$AK$167,economics!$AJ$2:$AJ$167,TRUE)))),"")</f>
        <v/>
      </c>
      <c r="BH52">
        <f t="array" ref="BH52">IFERROR((SUMPRODUCT((economics!$AG$2:$AG$167=$B52)*(economics!$D$2:$D$167="process")*economics!$AI$2:$AI$167*(_xlfn.NORM.DIST(BH$3,economics!$AK$2:$AK$167,economics!$AJ$2:$AJ$167,TRUE)-_xlfn.NORM.DIST(BH$30,economics!$AK$2:$AK$167,economics!$AJ$2:$AJ$167,TRUE))*economics!$AM$2:$AM$167))/(SUMPRODUCT((economics!$AG$2:$AG$167=$B52)*(economics!$D$2:$D$167="process")*economics!$AI$2:$AI$167*(_xlfn.NORM.DIST(BH$3,economics!$AK$2:$AK$167,economics!$AJ$2:$AJ$167,TRUE)-_xlfn.NORM.DIST(BH$30,economics!$AK$2:$AK$167,economics!$AJ$2:$AJ$167,TRUE)))),"")</f>
        <v/>
      </c>
      <c r="BI52">
        <f t="array" ref="BI52">IFERROR((SUMPRODUCT((economics!$AG$2:$AG$167=$B52)*(economics!$D$2:$D$167="process")*economics!$AI$2:$AI$167*(_xlfn.NORM.DIST(BI$3,economics!$AK$2:$AK$167,economics!$AJ$2:$AJ$167,TRUE)-_xlfn.NORM.DIST(BI$30,economics!$AK$2:$AK$167,economics!$AJ$2:$AJ$167,TRUE))*economics!$AM$2:$AM$167))/(SUMPRODUCT((economics!$AG$2:$AG$167=$B52)*(economics!$D$2:$D$167="process")*economics!$AI$2:$AI$167*(_xlfn.NORM.DIST(BI$3,economics!$AK$2:$AK$167,economics!$AJ$2:$AJ$167,TRUE)-_xlfn.NORM.DIST(BI$30,economics!$AK$2:$AK$167,economics!$AJ$2:$AJ$167,TRUE)))),"")</f>
        <v/>
      </c>
      <c r="BJ52">
        <f t="array" ref="BJ52">IFERROR((SUMPRODUCT((economics!$AG$2:$AG$167=$B52)*(economics!$D$2:$D$167="process")*economics!$AI$2:$AI$167*(_xlfn.NORM.DIST(BJ$3,economics!$AK$2:$AK$167,economics!$AJ$2:$AJ$167,TRUE)-_xlfn.NORM.DIST(BJ$30,economics!$AK$2:$AK$167,economics!$AJ$2:$AJ$167,TRUE))*economics!$AM$2:$AM$167))/(SUMPRODUCT((economics!$AG$2:$AG$167=$B52)*(economics!$D$2:$D$167="process")*economics!$AI$2:$AI$167*(_xlfn.NORM.DIST(BJ$3,economics!$AK$2:$AK$167,economics!$AJ$2:$AJ$167,TRUE)-_xlfn.NORM.DIST(BJ$30,economics!$AK$2:$AK$167,economics!$AJ$2:$AJ$167,TRUE)))),"")</f>
        <v/>
      </c>
      <c r="BK52">
        <f t="array" ref="BK52">IFERROR((SUMPRODUCT((economics!$AG$2:$AG$167=$B52)*(economics!$D$2:$D$167="process")*economics!$AI$2:$AI$167*(_xlfn.NORM.DIST(BK$3,economics!$AK$2:$AK$167,economics!$AJ$2:$AJ$167,TRUE)-_xlfn.NORM.DIST(BK$30,economics!$AK$2:$AK$167,economics!$AJ$2:$AJ$167,TRUE))*economics!$AM$2:$AM$167))/(SUMPRODUCT((economics!$AG$2:$AG$167=$B52)*(economics!$D$2:$D$167="process")*economics!$AI$2:$AI$167*(_xlfn.NORM.DIST(BK$3,economics!$AK$2:$AK$167,economics!$AJ$2:$AJ$167,TRUE)-_xlfn.NORM.DIST(BK$30,economics!$AK$2:$AK$167,economics!$AJ$2:$AJ$167,TRUE)))),"")</f>
        <v/>
      </c>
      <c r="BL52">
        <f t="array" ref="BL52">IFERROR((SUMPRODUCT((economics!$AG$2:$AG$167=$B52)*(economics!$D$2:$D$167="process")*economics!$AI$2:$AI$167*(_xlfn.NORM.DIST(BL$3,economics!$AK$2:$AK$167,economics!$AJ$2:$AJ$167,TRUE)-_xlfn.NORM.DIST(BL$30,economics!$AK$2:$AK$167,economics!$AJ$2:$AJ$167,TRUE))*economics!$AM$2:$AM$167))/(SUMPRODUCT((economics!$AG$2:$AG$167=$B52)*(economics!$D$2:$D$167="process")*economics!$AI$2:$AI$167*(_xlfn.NORM.DIST(BL$3,economics!$AK$2:$AK$167,economics!$AJ$2:$AJ$167,TRUE)-_xlfn.NORM.DIST(BL$30,economics!$AK$2:$AK$167,economics!$AJ$2:$AJ$167,TRUE)))),"")</f>
        <v/>
      </c>
      <c r="BM52">
        <f t="array" ref="BM52">IFERROR((SUMPRODUCT((economics!$AG$2:$AG$167=$B52)*(economics!$D$2:$D$167="process")*economics!$AI$2:$AI$167*(_xlfn.NORM.DIST(BM$3,economics!$AK$2:$AK$167,economics!$AJ$2:$AJ$167,TRUE)-_xlfn.NORM.DIST(BM$30,economics!$AK$2:$AK$167,economics!$AJ$2:$AJ$167,TRUE))*economics!$AM$2:$AM$167))/(SUMPRODUCT((economics!$AG$2:$AG$167=$B52)*(economics!$D$2:$D$167="process")*economics!$AI$2:$AI$167*(_xlfn.NORM.DIST(BM$3,economics!$AK$2:$AK$167,economics!$AJ$2:$AJ$167,TRUE)-_xlfn.NORM.DIST(BM$30,economics!$AK$2:$AK$167,economics!$AJ$2:$AJ$167,TRUE)))),"")</f>
        <v/>
      </c>
      <c r="BN52">
        <f t="array" ref="BN52">IFERROR((SUMPRODUCT((economics!$AG$2:$AG$167=$B52)*(economics!$D$2:$D$167="process")*economics!$AI$2:$AI$167*(_xlfn.NORM.DIST(BN$3,economics!$AK$2:$AK$167,economics!$AJ$2:$AJ$167,TRUE)-_xlfn.NORM.DIST(BN$30,economics!$AK$2:$AK$167,economics!$AJ$2:$AJ$167,TRUE))*economics!$AM$2:$AM$167))/(SUMPRODUCT((economics!$AG$2:$AG$167=$B52)*(economics!$D$2:$D$167="process")*economics!$AI$2:$AI$167*(_xlfn.NORM.DIST(BN$3,economics!$AK$2:$AK$167,economics!$AJ$2:$AJ$167,TRUE)-_xlfn.NORM.DIST(BN$30,economics!$AK$2:$AK$167,economics!$AJ$2:$AJ$167,TRUE)))),"")</f>
        <v/>
      </c>
      <c r="BO52">
        <f t="array" ref="BO52">IFERROR((SUMPRODUCT((economics!$AG$2:$AG$167=$B52)*(economics!$D$2:$D$167="process")*economics!$AI$2:$AI$167*(_xlfn.NORM.DIST(BO$3,economics!$AK$2:$AK$167,economics!$AJ$2:$AJ$167,TRUE)-_xlfn.NORM.DIST(BO$30,economics!$AK$2:$AK$167,economics!$AJ$2:$AJ$167,TRUE))*economics!$AM$2:$AM$167))/(SUMPRODUCT((economics!$AG$2:$AG$167=$B52)*(economics!$D$2:$D$167="process")*economics!$AI$2:$AI$167*(_xlfn.NORM.DIST(BO$3,economics!$AK$2:$AK$167,economics!$AJ$2:$AJ$167,TRUE)-_xlfn.NORM.DIST(BO$30,economics!$AK$2:$AK$167,economics!$AJ$2:$AJ$167,TRUE)))),"")</f>
        <v/>
      </c>
      <c r="BP52">
        <f t="array" ref="BP52">IFERROR((SUMPRODUCT((economics!$AG$2:$AG$167=$B52)*(economics!$D$2:$D$167="process")*economics!$AI$2:$AI$167*(_xlfn.NORM.DIST(BP$3,economics!$AK$2:$AK$167,economics!$AJ$2:$AJ$167,TRUE)-_xlfn.NORM.DIST(BP$30,economics!$AK$2:$AK$167,economics!$AJ$2:$AJ$167,TRUE))*economics!$AM$2:$AM$167))/(SUMPRODUCT((economics!$AG$2:$AG$167=$B52)*(economics!$D$2:$D$167="process")*economics!$AI$2:$AI$167*(_xlfn.NORM.DIST(BP$3,economics!$AK$2:$AK$167,economics!$AJ$2:$AJ$167,TRUE)-_xlfn.NORM.DIST(BP$30,economics!$AK$2:$AK$167,economics!$AJ$2:$AJ$167,TRUE)))),"")</f>
        <v/>
      </c>
      <c r="BQ52">
        <f t="array" ref="BQ52">IFERROR((SUMPRODUCT((economics!$AG$2:$AG$167=$B52)*(economics!$D$2:$D$167="process")*economics!$AI$2:$AI$167*(_xlfn.NORM.DIST(BQ$3,economics!$AK$2:$AK$167,economics!$AJ$2:$AJ$167,TRUE)-_xlfn.NORM.DIST(BQ$30,economics!$AK$2:$AK$167,economics!$AJ$2:$AJ$167,TRUE))*economics!$AM$2:$AM$167))/(SUMPRODUCT((economics!$AG$2:$AG$167=$B52)*(economics!$D$2:$D$167="process")*economics!$AI$2:$AI$167*(_xlfn.NORM.DIST(BQ$3,economics!$AK$2:$AK$167,economics!$AJ$2:$AJ$167,TRUE)-_xlfn.NORM.DIST(BQ$30,economics!$AK$2:$AK$167,economics!$AJ$2:$AJ$167,TRUE)))),"")</f>
        <v/>
      </c>
      <c r="BR52">
        <f t="array" ref="BR52">IFERROR((SUMPRODUCT((economics!$AG$2:$AG$167=$B52)*(economics!$D$2:$D$167="process")*economics!$AI$2:$AI$167*(_xlfn.NORM.DIST(BR$3,economics!$AK$2:$AK$167,economics!$AJ$2:$AJ$167,TRUE)-_xlfn.NORM.DIST(BR$30,economics!$AK$2:$AK$167,economics!$AJ$2:$AJ$167,TRUE))*economics!$AM$2:$AM$167))/(SUMPRODUCT((economics!$AG$2:$AG$167=$B52)*(economics!$D$2:$D$167="process")*economics!$AI$2:$AI$167*(_xlfn.NORM.DIST(BR$3,economics!$AK$2:$AK$167,economics!$AJ$2:$AJ$167,TRUE)-_xlfn.NORM.DIST(BR$30,economics!$AK$2:$AK$167,economics!$AJ$2:$AJ$167,TRUE)))),"")</f>
        <v/>
      </c>
      <c r="BS52">
        <f t="array" ref="BS52">IFERROR((SUMPRODUCT((economics!$AG$2:$AG$167=$B52)*(economics!$D$2:$D$167="process")*economics!$AI$2:$AI$167*(_xlfn.NORM.DIST(BS$3,economics!$AK$2:$AK$167,economics!$AJ$2:$AJ$167,TRUE)-_xlfn.NORM.DIST(BS$30,economics!$AK$2:$AK$167,economics!$AJ$2:$AJ$167,TRUE))*economics!$AM$2:$AM$167))/(SUMPRODUCT((economics!$AG$2:$AG$167=$B52)*(economics!$D$2:$D$167="process")*economics!$AI$2:$AI$167*(_xlfn.NORM.DIST(BS$3,economics!$AK$2:$AK$167,economics!$AJ$2:$AJ$167,TRUE)-_xlfn.NORM.DIST(BS$30,economics!$AK$2:$AK$167,economics!$AJ$2:$AJ$167,TRUE)))),"")</f>
        <v/>
      </c>
      <c r="BT52">
        <f t="array" ref="BT52">IFERROR((SUMPRODUCT((economics!$AG$2:$AG$167=$B52)*(economics!$D$2:$D$167="process")*economics!$AI$2:$AI$167*(_xlfn.NORM.DIST(BT$3,economics!$AK$2:$AK$167,economics!$AJ$2:$AJ$167,TRUE)-_xlfn.NORM.DIST(BT$30,economics!$AK$2:$AK$167,economics!$AJ$2:$AJ$167,TRUE))*economics!$AM$2:$AM$167))/(SUMPRODUCT((economics!$AG$2:$AG$167=$B52)*(economics!$D$2:$D$167="process")*economics!$AI$2:$AI$167*(_xlfn.NORM.DIST(BT$3,economics!$AK$2:$AK$167,economics!$AJ$2:$AJ$167,TRUE)-_xlfn.NORM.DIST(BT$30,economics!$AK$2:$AK$167,economics!$AJ$2:$AJ$167,TRUE)))),"")</f>
        <v/>
      </c>
      <c r="BU52">
        <f t="array" ref="BU52">IFERROR((SUMPRODUCT((economics!$AG$2:$AG$167=$B52)*(economics!$D$2:$D$167="process")*economics!$AI$2:$AI$167*(_xlfn.NORM.DIST(BU$3,economics!$AK$2:$AK$167,economics!$AJ$2:$AJ$167,TRUE)-_xlfn.NORM.DIST(BU$30,economics!$AK$2:$AK$167,economics!$AJ$2:$AJ$167,TRUE))*economics!$AM$2:$AM$167))/(SUMPRODUCT((economics!$AG$2:$AG$167=$B52)*(economics!$D$2:$D$167="process")*economics!$AI$2:$AI$167*(_xlfn.NORM.DIST(BU$3,economics!$AK$2:$AK$167,economics!$AJ$2:$AJ$167,TRUE)-_xlfn.NORM.DIST(BU$30,economics!$AK$2:$AK$167,economics!$AJ$2:$AJ$167,TRUE)))),"")</f>
        <v/>
      </c>
      <c r="BV52">
        <f t="array" ref="BV52">IFERROR((SUMPRODUCT((economics!$AG$2:$AG$167=$B52)*(economics!$D$2:$D$167="process")*economics!$AI$2:$AI$167*(_xlfn.NORM.DIST(BV$3,economics!$AK$2:$AK$167,economics!$AJ$2:$AJ$167,TRUE)-_xlfn.NORM.DIST(BV$30,economics!$AK$2:$AK$167,economics!$AJ$2:$AJ$167,TRUE))*economics!$AM$2:$AM$167))/(SUMPRODUCT((economics!$AG$2:$AG$167=$B52)*(economics!$D$2:$D$167="process")*economics!$AI$2:$AI$167*(_xlfn.NORM.DIST(BV$3,economics!$AK$2:$AK$167,economics!$AJ$2:$AJ$167,TRUE)-_xlfn.NORM.DIST(BV$30,economics!$AK$2:$AK$167,economics!$AJ$2:$AJ$167,TRUE)))),"")</f>
        <v/>
      </c>
      <c r="BW52">
        <f t="array" ref="BW52">IFERROR((SUMPRODUCT((economics!$AG$2:$AG$167=$B52)*(economics!$D$2:$D$167="process")*economics!$AI$2:$AI$167*(_xlfn.NORM.DIST(BW$3,economics!$AK$2:$AK$167,economics!$AJ$2:$AJ$167,TRUE)-_xlfn.NORM.DIST(BW$30,economics!$AK$2:$AK$167,economics!$AJ$2:$AJ$167,TRUE))*economics!$AM$2:$AM$167))/(SUMPRODUCT((economics!$AG$2:$AG$167=$B52)*(economics!$D$2:$D$167="process")*economics!$AI$2:$AI$167*(_xlfn.NORM.DIST(BW$3,economics!$AK$2:$AK$167,economics!$AJ$2:$AJ$167,TRUE)-_xlfn.NORM.DIST(BW$30,economics!$AK$2:$AK$167,economics!$AJ$2:$AJ$167,TRUE)))),"")</f>
        <v/>
      </c>
      <c r="BX52">
        <f t="array" ref="BX52">IFERROR((SUMPRODUCT((economics!$AG$2:$AG$167=$B52)*(economics!$D$2:$D$167="process")*economics!$AI$2:$AI$167*(_xlfn.NORM.DIST(BX$3,economics!$AK$2:$AK$167,economics!$AJ$2:$AJ$167,TRUE)-_xlfn.NORM.DIST(BX$30,economics!$AK$2:$AK$167,economics!$AJ$2:$AJ$167,TRUE))*economics!$AM$2:$AM$167))/(SUMPRODUCT((economics!$AG$2:$AG$167=$B52)*(economics!$D$2:$D$167="process")*economics!$AI$2:$AI$167*(_xlfn.NORM.DIST(BX$3,economics!$AK$2:$AK$167,economics!$AJ$2:$AJ$167,TRUE)-_xlfn.NORM.DIST(BX$30,economics!$AK$2:$AK$167,economics!$AJ$2:$AJ$167,TRUE)))),"")</f>
        <v/>
      </c>
      <c r="BY52">
        <f t="array" ref="BY52">IFERROR((SUMPRODUCT((economics!$AG$2:$AG$167=$B52)*(economics!$D$2:$D$167="process")*economics!$AI$2:$AI$167*(_xlfn.NORM.DIST(BY$3,economics!$AK$2:$AK$167,economics!$AJ$2:$AJ$167,TRUE)-_xlfn.NORM.DIST(BY$30,economics!$AK$2:$AK$167,economics!$AJ$2:$AJ$167,TRUE))*economics!$AM$2:$AM$167))/(SUMPRODUCT((economics!$AG$2:$AG$167=$B52)*(economics!$D$2:$D$167="process")*economics!$AI$2:$AI$167*(_xlfn.NORM.DIST(BY$3,economics!$AK$2:$AK$167,economics!$AJ$2:$AJ$167,TRUE)-_xlfn.NORM.DIST(BY$30,economics!$AK$2:$AK$167,economics!$AJ$2:$AJ$167,TRUE)))),"")</f>
        <v/>
      </c>
      <c r="BZ52">
        <f t="array" ref="BZ52">IFERROR((SUMPRODUCT((economics!$AG$2:$AG$167=$B52)*(economics!$D$2:$D$167="process")*economics!$AI$2:$AI$167*(_xlfn.NORM.DIST(BZ$3,economics!$AK$2:$AK$167,economics!$AJ$2:$AJ$167,TRUE)-_xlfn.NORM.DIST(BZ$30,economics!$AK$2:$AK$167,economics!$AJ$2:$AJ$167,TRUE))*economics!$AM$2:$AM$167))/(SUMPRODUCT((economics!$AG$2:$AG$167=$B52)*(economics!$D$2:$D$167="process")*economics!$AI$2:$AI$167*(_xlfn.NORM.DIST(BZ$3,economics!$AK$2:$AK$167,economics!$AJ$2:$AJ$167,TRUE)-_xlfn.NORM.DIST(BZ$30,economics!$AK$2:$AK$167,economics!$AJ$2:$AJ$167,TRUE)))),"")</f>
        <v/>
      </c>
      <c r="CA52">
        <f t="array" ref="CA52">IFERROR((SUMPRODUCT((economics!$AG$2:$AG$167=$B52)*(economics!$D$2:$D$167="process")*economics!$AI$2:$AI$167*(_xlfn.NORM.DIST(CA$3,economics!$AK$2:$AK$167,economics!$AJ$2:$AJ$167,TRUE)-_xlfn.NORM.DIST(CA$30,economics!$AK$2:$AK$167,economics!$AJ$2:$AJ$167,TRUE))*economics!$AM$2:$AM$167))/(SUMPRODUCT((economics!$AG$2:$AG$167=$B52)*(economics!$D$2:$D$167="process")*economics!$AI$2:$AI$167*(_xlfn.NORM.DIST(CA$3,economics!$AK$2:$AK$167,economics!$AJ$2:$AJ$167,TRUE)-_xlfn.NORM.DIST(CA$30,economics!$AK$2:$AK$167,economics!$AJ$2:$AJ$167,TRUE)))),"")</f>
        <v/>
      </c>
      <c r="CB52">
        <f t="array" ref="CB52">IFERROR((SUMPRODUCT((economics!$AG$2:$AG$167=$B52)*(economics!$D$2:$D$167="process")*economics!$AI$2:$AI$167*(_xlfn.NORM.DIST(CB$3,economics!$AK$2:$AK$167,economics!$AJ$2:$AJ$167,TRUE)-_xlfn.NORM.DIST(CB$30,economics!$AK$2:$AK$167,economics!$AJ$2:$AJ$167,TRUE))*economics!$AM$2:$AM$167))/(SUMPRODUCT((economics!$AG$2:$AG$167=$B52)*(economics!$D$2:$D$167="process")*economics!$AI$2:$AI$167*(_xlfn.NORM.DIST(CB$3,economics!$AK$2:$AK$167,economics!$AJ$2:$AJ$167,TRUE)-_xlfn.NORM.DIST(CB$30,economics!$AK$2:$AK$167,economics!$AJ$2:$AJ$167,TRUE)))),"")</f>
        <v/>
      </c>
      <c r="CC52">
        <f t="array" ref="CC52">IFERROR((SUMPRODUCT((economics!$AG$2:$AG$167=$B52)*(economics!$D$2:$D$167="process")*economics!$AI$2:$AI$167*(_xlfn.NORM.DIST(CC$3,economics!$AK$2:$AK$167,economics!$AJ$2:$AJ$167,TRUE)-_xlfn.NORM.DIST(CC$30,economics!$AK$2:$AK$167,economics!$AJ$2:$AJ$167,TRUE))*economics!$AM$2:$AM$167))/(SUMPRODUCT((economics!$AG$2:$AG$167=$B52)*(economics!$D$2:$D$167="process")*economics!$AI$2:$AI$167*(_xlfn.NORM.DIST(CC$3,economics!$AK$2:$AK$167,economics!$AJ$2:$AJ$167,TRUE)-_xlfn.NORM.DIST(CC$30,economics!$AK$2:$AK$167,economics!$AJ$2:$AJ$167,TRUE)))),"")</f>
        <v/>
      </c>
      <c r="CD52">
        <f t="array" ref="CD52">IFERROR((SUMPRODUCT((economics!$AG$2:$AG$167=$B52)*(economics!$D$2:$D$167="process")*economics!$AI$2:$AI$167*(_xlfn.NORM.DIST(CD$3,economics!$AK$2:$AK$167,economics!$AJ$2:$AJ$167,TRUE)-_xlfn.NORM.DIST(CD$30,economics!$AK$2:$AK$167,economics!$AJ$2:$AJ$167,TRUE))*economics!$AM$2:$AM$167))/(SUMPRODUCT((economics!$AG$2:$AG$167=$B52)*(economics!$D$2:$D$167="process")*economics!$AI$2:$AI$167*(_xlfn.NORM.DIST(CD$3,economics!$AK$2:$AK$167,economics!$AJ$2:$AJ$167,TRUE)-_xlfn.NORM.DIST(CD$30,economics!$AK$2:$AK$167,economics!$AJ$2:$AJ$167,TRUE)))),"")</f>
        <v/>
      </c>
      <c r="CE52">
        <f t="array" ref="CE52">IFERROR((SUMPRODUCT((economics!$AG$2:$AG$167=$B52)*(economics!$D$2:$D$167="process")*economics!$AI$2:$AI$167*(_xlfn.NORM.DIST(CE$3,economics!$AK$2:$AK$167,economics!$AJ$2:$AJ$167,TRUE)-_xlfn.NORM.DIST(CE$30,economics!$AK$2:$AK$167,economics!$AJ$2:$AJ$167,TRUE))*economics!$AM$2:$AM$167))/(SUMPRODUCT((economics!$AG$2:$AG$167=$B52)*(economics!$D$2:$D$167="process")*economics!$AI$2:$AI$167*(_xlfn.NORM.DIST(CE$3,economics!$AK$2:$AK$167,economics!$AJ$2:$AJ$167,TRUE)-_xlfn.NORM.DIST(CE$30,economics!$AK$2:$AK$167,economics!$AJ$2:$AJ$167,TRUE)))),"")</f>
        <v/>
      </c>
      <c r="CF52">
        <f t="array" ref="CF52">IFERROR((SUMPRODUCT((economics!$AG$2:$AG$167=$B52)*(economics!$D$2:$D$167="process")*economics!$AI$2:$AI$167*(_xlfn.NORM.DIST(CF$3,economics!$AK$2:$AK$167,economics!$AJ$2:$AJ$167,TRUE)-_xlfn.NORM.DIST(CF$30,economics!$AK$2:$AK$167,economics!$AJ$2:$AJ$167,TRUE))*economics!$AM$2:$AM$167))/(SUMPRODUCT((economics!$AG$2:$AG$167=$B52)*(economics!$D$2:$D$167="process")*economics!$AI$2:$AI$167*(_xlfn.NORM.DIST(CF$3,economics!$AK$2:$AK$167,economics!$AJ$2:$AJ$167,TRUE)-_xlfn.NORM.DIST(CF$30,economics!$AK$2:$AK$167,economics!$AJ$2:$AJ$167,TRUE)))),"")</f>
        <v/>
      </c>
      <c r="CG52">
        <f t="array" ref="CG52">IFERROR((SUMPRODUCT((economics!$AG$2:$AG$167=$B52)*(economics!$D$2:$D$167="process")*economics!$AI$2:$AI$167*(_xlfn.NORM.DIST(CG$3,economics!$AK$2:$AK$167,economics!$AJ$2:$AJ$167,TRUE)-_xlfn.NORM.DIST(CG$30,economics!$AK$2:$AK$167,economics!$AJ$2:$AJ$167,TRUE))*economics!$AM$2:$AM$167))/(SUMPRODUCT((economics!$AG$2:$AG$167=$B52)*(economics!$D$2:$D$167="process")*economics!$AI$2:$AI$167*(_xlfn.NORM.DIST(CG$3,economics!$AK$2:$AK$167,economics!$AJ$2:$AJ$167,TRUE)-_xlfn.NORM.DIST(CG$30,economics!$AK$2:$AK$167,economics!$AJ$2:$AJ$167,TRUE)))),"")</f>
        <v/>
      </c>
      <c r="CH52">
        <f t="array" ref="CH52">IFERROR((SUMPRODUCT((economics!$AG$2:$AG$167=$B52)*(economics!$D$2:$D$167="process")*economics!$AI$2:$AI$167*(_xlfn.NORM.DIST(CH$3,economics!$AK$2:$AK$167,economics!$AJ$2:$AJ$167,TRUE)-_xlfn.NORM.DIST(CH$30,economics!$AK$2:$AK$167,economics!$AJ$2:$AJ$167,TRUE))*economics!$AM$2:$AM$167))/(SUMPRODUCT((economics!$AG$2:$AG$167=$B52)*(economics!$D$2:$D$167="process")*economics!$AI$2:$AI$167*(_xlfn.NORM.DIST(CH$3,economics!$AK$2:$AK$167,economics!$AJ$2:$AJ$167,TRUE)-_xlfn.NORM.DIST(CH$30,economics!$AK$2:$AK$167,economics!$AJ$2:$AJ$167,TRUE)))),"")</f>
        <v/>
      </c>
    </row>
    <row r="53">
      <c r="A53">
        <f>A24</f>
        <v/>
      </c>
      <c r="B53">
        <f>B24</f>
        <v/>
      </c>
      <c r="E53">
        <f t="array" ref="E53">IFERROR((SUMPRODUCT((economics!$AG$2:$AG$167=$B53)*(economics!$D$2:$D$167="process")*economics!$AI$2:$AI$167*(_xlfn.NORM.DIST(E$3,economics!$AK$2:$AK$167,economics!$AJ$2:$AJ$167,TRUE)-_xlfn.NORM.DIST(E$30,economics!$AK$2:$AK$167,economics!$AJ$2:$AJ$167,TRUE))*economics!$AM$2:$AM$167))/(SUMPRODUCT((economics!$AG$2:$AG$167=$B53)*(economics!$D$2:$D$167="process")*economics!$AI$2:$AI$167*(_xlfn.NORM.DIST(E$3,economics!$AK$2:$AK$167,economics!$AJ$2:$AJ$167,TRUE)-_xlfn.NORM.DIST(E$30,economics!$AK$2:$AK$167,economics!$AJ$2:$AJ$167,TRUE)))),"")</f>
        <v/>
      </c>
      <c r="F53">
        <f t="array" ref="F53">IFERROR((SUMPRODUCT((economics!$AG$2:$AG$167=$B53)*(economics!$D$2:$D$167="process")*economics!$AI$2:$AI$167*(_xlfn.NORM.DIST(F$3,economics!$AK$2:$AK$167,economics!$AJ$2:$AJ$167,TRUE)-_xlfn.NORM.DIST(F$30,economics!$AK$2:$AK$167,economics!$AJ$2:$AJ$167,TRUE))*economics!$AM$2:$AM$167))/(SUMPRODUCT((economics!$AG$2:$AG$167=$B53)*(economics!$D$2:$D$167="process")*economics!$AI$2:$AI$167*(_xlfn.NORM.DIST(F$3,economics!$AK$2:$AK$167,economics!$AJ$2:$AJ$167,TRUE)-_xlfn.NORM.DIST(F$30,economics!$AK$2:$AK$167,economics!$AJ$2:$AJ$167,TRUE)))),"")</f>
        <v/>
      </c>
      <c r="G53">
        <f t="array" ref="G53">IFERROR((SUMPRODUCT((economics!$AG$2:$AG$167=$B53)*(economics!$D$2:$D$167="process")*economics!$AI$2:$AI$167*(_xlfn.NORM.DIST(G$3,economics!$AK$2:$AK$167,economics!$AJ$2:$AJ$167,TRUE)-_xlfn.NORM.DIST(G$30,economics!$AK$2:$AK$167,economics!$AJ$2:$AJ$167,TRUE))*economics!$AM$2:$AM$167))/(SUMPRODUCT((economics!$AG$2:$AG$167=$B53)*(economics!$D$2:$D$167="process")*economics!$AI$2:$AI$167*(_xlfn.NORM.DIST(G$3,economics!$AK$2:$AK$167,economics!$AJ$2:$AJ$167,TRUE)-_xlfn.NORM.DIST(G$30,economics!$AK$2:$AK$167,economics!$AJ$2:$AJ$167,TRUE)))),"")</f>
        <v/>
      </c>
      <c r="H53">
        <f t="array" ref="H53">IFERROR((SUMPRODUCT((economics!$AG$2:$AG$167=$B53)*(economics!$D$2:$D$167="process")*economics!$AI$2:$AI$167*(_xlfn.NORM.DIST(H$3,economics!$AK$2:$AK$167,economics!$AJ$2:$AJ$167,TRUE)-_xlfn.NORM.DIST(H$30,economics!$AK$2:$AK$167,economics!$AJ$2:$AJ$167,TRUE))*economics!$AM$2:$AM$167))/(SUMPRODUCT((economics!$AG$2:$AG$167=$B53)*(economics!$D$2:$D$167="process")*economics!$AI$2:$AI$167*(_xlfn.NORM.DIST(H$3,economics!$AK$2:$AK$167,economics!$AJ$2:$AJ$167,TRUE)-_xlfn.NORM.DIST(H$30,economics!$AK$2:$AK$167,economics!$AJ$2:$AJ$167,TRUE)))),"")</f>
        <v/>
      </c>
      <c r="I53">
        <f t="array" ref="I53">IFERROR((SUMPRODUCT((economics!$AG$2:$AG$167=$B53)*(economics!$D$2:$D$167="process")*economics!$AI$2:$AI$167*(_xlfn.NORM.DIST(I$3,economics!$AK$2:$AK$167,economics!$AJ$2:$AJ$167,TRUE)-_xlfn.NORM.DIST(I$30,economics!$AK$2:$AK$167,economics!$AJ$2:$AJ$167,TRUE))*economics!$AM$2:$AM$167))/(SUMPRODUCT((economics!$AG$2:$AG$167=$B53)*(economics!$D$2:$D$167="process")*economics!$AI$2:$AI$167*(_xlfn.NORM.DIST(I$3,economics!$AK$2:$AK$167,economics!$AJ$2:$AJ$167,TRUE)-_xlfn.NORM.DIST(I$30,economics!$AK$2:$AK$167,economics!$AJ$2:$AJ$167,TRUE)))),"")</f>
        <v/>
      </c>
      <c r="J53">
        <f t="array" ref="J53">IFERROR((SUMPRODUCT((economics!$AG$2:$AG$167=$B53)*(economics!$D$2:$D$167="process")*economics!$AI$2:$AI$167*(_xlfn.NORM.DIST(J$3,economics!$AK$2:$AK$167,economics!$AJ$2:$AJ$167,TRUE)-_xlfn.NORM.DIST(J$30,economics!$AK$2:$AK$167,economics!$AJ$2:$AJ$167,TRUE))*economics!$AM$2:$AM$167))/(SUMPRODUCT((economics!$AG$2:$AG$167=$B53)*(economics!$D$2:$D$167="process")*economics!$AI$2:$AI$167*(_xlfn.NORM.DIST(J$3,economics!$AK$2:$AK$167,economics!$AJ$2:$AJ$167,TRUE)-_xlfn.NORM.DIST(J$30,economics!$AK$2:$AK$167,economics!$AJ$2:$AJ$167,TRUE)))),"")</f>
        <v/>
      </c>
      <c r="K53">
        <f t="array" ref="K53">IFERROR((SUMPRODUCT((economics!$AG$2:$AG$167=$B53)*(economics!$D$2:$D$167="process")*economics!$AI$2:$AI$167*(_xlfn.NORM.DIST(K$3,economics!$AK$2:$AK$167,economics!$AJ$2:$AJ$167,TRUE)-_xlfn.NORM.DIST(K$30,economics!$AK$2:$AK$167,economics!$AJ$2:$AJ$167,TRUE))*economics!$AM$2:$AM$167))/(SUMPRODUCT((economics!$AG$2:$AG$167=$B53)*(economics!$D$2:$D$167="process")*economics!$AI$2:$AI$167*(_xlfn.NORM.DIST(K$3,economics!$AK$2:$AK$167,economics!$AJ$2:$AJ$167,TRUE)-_xlfn.NORM.DIST(K$30,economics!$AK$2:$AK$167,economics!$AJ$2:$AJ$167,TRUE)))),"")</f>
        <v/>
      </c>
      <c r="L53">
        <f t="array" ref="L53">IFERROR((SUMPRODUCT((economics!$AG$2:$AG$167=$B53)*(economics!$D$2:$D$167="process")*economics!$AI$2:$AI$167*(_xlfn.NORM.DIST(L$3,economics!$AK$2:$AK$167,economics!$AJ$2:$AJ$167,TRUE)-_xlfn.NORM.DIST(L$30,economics!$AK$2:$AK$167,economics!$AJ$2:$AJ$167,TRUE))*economics!$AM$2:$AM$167))/(SUMPRODUCT((economics!$AG$2:$AG$167=$B53)*(economics!$D$2:$D$167="process")*economics!$AI$2:$AI$167*(_xlfn.NORM.DIST(L$3,economics!$AK$2:$AK$167,economics!$AJ$2:$AJ$167,TRUE)-_xlfn.NORM.DIST(L$30,economics!$AK$2:$AK$167,economics!$AJ$2:$AJ$167,TRUE)))),"")</f>
        <v/>
      </c>
      <c r="M53">
        <f t="array" ref="M53">IFERROR((SUMPRODUCT((economics!$AG$2:$AG$167=$B53)*(economics!$D$2:$D$167="process")*economics!$AI$2:$AI$167*(_xlfn.NORM.DIST(M$3,economics!$AK$2:$AK$167,economics!$AJ$2:$AJ$167,TRUE)-_xlfn.NORM.DIST(M$30,economics!$AK$2:$AK$167,economics!$AJ$2:$AJ$167,TRUE))*economics!$AM$2:$AM$167))/(SUMPRODUCT((economics!$AG$2:$AG$167=$B53)*(economics!$D$2:$D$167="process")*economics!$AI$2:$AI$167*(_xlfn.NORM.DIST(M$3,economics!$AK$2:$AK$167,economics!$AJ$2:$AJ$167,TRUE)-_xlfn.NORM.DIST(M$30,economics!$AK$2:$AK$167,economics!$AJ$2:$AJ$167,TRUE)))),"")</f>
        <v/>
      </c>
      <c r="N53">
        <f t="array" ref="N53">IFERROR((SUMPRODUCT((economics!$AG$2:$AG$167=$B53)*(economics!$D$2:$D$167="process")*economics!$AI$2:$AI$167*(_xlfn.NORM.DIST(N$3,economics!$AK$2:$AK$167,economics!$AJ$2:$AJ$167,TRUE)-_xlfn.NORM.DIST(N$30,economics!$AK$2:$AK$167,economics!$AJ$2:$AJ$167,TRUE))*economics!$AM$2:$AM$167))/(SUMPRODUCT((economics!$AG$2:$AG$167=$B53)*(economics!$D$2:$D$167="process")*economics!$AI$2:$AI$167*(_xlfn.NORM.DIST(N$3,economics!$AK$2:$AK$167,economics!$AJ$2:$AJ$167,TRUE)-_xlfn.NORM.DIST(N$30,economics!$AK$2:$AK$167,economics!$AJ$2:$AJ$167,TRUE)))),"")</f>
        <v/>
      </c>
      <c r="O53">
        <f t="array" ref="O53">IFERROR((SUMPRODUCT((economics!$AG$2:$AG$167=$B53)*(economics!$D$2:$D$167="process")*economics!$AI$2:$AI$167*(_xlfn.NORM.DIST(O$3,economics!$AK$2:$AK$167,economics!$AJ$2:$AJ$167,TRUE)-_xlfn.NORM.DIST(O$30,economics!$AK$2:$AK$167,economics!$AJ$2:$AJ$167,TRUE))*economics!$AM$2:$AM$167))/(SUMPRODUCT((economics!$AG$2:$AG$167=$B53)*(economics!$D$2:$D$167="process")*economics!$AI$2:$AI$167*(_xlfn.NORM.DIST(O$3,economics!$AK$2:$AK$167,economics!$AJ$2:$AJ$167,TRUE)-_xlfn.NORM.DIST(O$30,economics!$AK$2:$AK$167,economics!$AJ$2:$AJ$167,TRUE)))),"")</f>
        <v/>
      </c>
      <c r="P53">
        <f t="array" ref="P53">IFERROR((SUMPRODUCT((economics!$AG$2:$AG$167=$B53)*(economics!$D$2:$D$167="process")*economics!$AI$2:$AI$167*(_xlfn.NORM.DIST(P$3,economics!$AK$2:$AK$167,economics!$AJ$2:$AJ$167,TRUE)-_xlfn.NORM.DIST(P$30,economics!$AK$2:$AK$167,economics!$AJ$2:$AJ$167,TRUE))*economics!$AM$2:$AM$167))/(SUMPRODUCT((economics!$AG$2:$AG$167=$B53)*(economics!$D$2:$D$167="process")*economics!$AI$2:$AI$167*(_xlfn.NORM.DIST(P$3,economics!$AK$2:$AK$167,economics!$AJ$2:$AJ$167,TRUE)-_xlfn.NORM.DIST(P$30,economics!$AK$2:$AK$167,economics!$AJ$2:$AJ$167,TRUE)))),"")</f>
        <v/>
      </c>
      <c r="Q53">
        <f t="array" ref="Q53">IFERROR((SUMPRODUCT((economics!$AG$2:$AG$167=$B53)*(economics!$D$2:$D$167="process")*economics!$AI$2:$AI$167*(_xlfn.NORM.DIST(Q$3,economics!$AK$2:$AK$167,economics!$AJ$2:$AJ$167,TRUE)-_xlfn.NORM.DIST(Q$30,economics!$AK$2:$AK$167,economics!$AJ$2:$AJ$167,TRUE))*economics!$AM$2:$AM$167))/(SUMPRODUCT((economics!$AG$2:$AG$167=$B53)*(economics!$D$2:$D$167="process")*economics!$AI$2:$AI$167*(_xlfn.NORM.DIST(Q$3,economics!$AK$2:$AK$167,economics!$AJ$2:$AJ$167,TRUE)-_xlfn.NORM.DIST(Q$30,economics!$AK$2:$AK$167,economics!$AJ$2:$AJ$167,TRUE)))),"")</f>
        <v/>
      </c>
      <c r="R53">
        <f t="array" ref="R53">IFERROR((SUMPRODUCT((economics!$AG$2:$AG$167=$B53)*(economics!$D$2:$D$167="process")*economics!$AI$2:$AI$167*(_xlfn.NORM.DIST(R$3,economics!$AK$2:$AK$167,economics!$AJ$2:$AJ$167,TRUE)-_xlfn.NORM.DIST(R$30,economics!$AK$2:$AK$167,economics!$AJ$2:$AJ$167,TRUE))*economics!$AM$2:$AM$167))/(SUMPRODUCT((economics!$AG$2:$AG$167=$B53)*(economics!$D$2:$D$167="process")*economics!$AI$2:$AI$167*(_xlfn.NORM.DIST(R$3,economics!$AK$2:$AK$167,economics!$AJ$2:$AJ$167,TRUE)-_xlfn.NORM.DIST(R$30,economics!$AK$2:$AK$167,economics!$AJ$2:$AJ$167,TRUE)))),"")</f>
        <v/>
      </c>
      <c r="S53">
        <f t="array" ref="S53">IFERROR((SUMPRODUCT((economics!$AG$2:$AG$167=$B53)*(economics!$D$2:$D$167="process")*economics!$AI$2:$AI$167*(_xlfn.NORM.DIST(S$3,economics!$AK$2:$AK$167,economics!$AJ$2:$AJ$167,TRUE)-_xlfn.NORM.DIST(S$30,economics!$AK$2:$AK$167,economics!$AJ$2:$AJ$167,TRUE))*economics!$AM$2:$AM$167))/(SUMPRODUCT((economics!$AG$2:$AG$167=$B53)*(economics!$D$2:$D$167="process")*economics!$AI$2:$AI$167*(_xlfn.NORM.DIST(S$3,economics!$AK$2:$AK$167,economics!$AJ$2:$AJ$167,TRUE)-_xlfn.NORM.DIST(S$30,economics!$AK$2:$AK$167,economics!$AJ$2:$AJ$167,TRUE)))),"")</f>
        <v/>
      </c>
      <c r="T53">
        <f t="array" ref="T53">IFERROR((SUMPRODUCT((economics!$AG$2:$AG$167=$B53)*(economics!$D$2:$D$167="process")*economics!$AI$2:$AI$167*(_xlfn.NORM.DIST(T$3,economics!$AK$2:$AK$167,economics!$AJ$2:$AJ$167,TRUE)-_xlfn.NORM.DIST(T$30,economics!$AK$2:$AK$167,economics!$AJ$2:$AJ$167,TRUE))*economics!$AM$2:$AM$167))/(SUMPRODUCT((economics!$AG$2:$AG$167=$B53)*(economics!$D$2:$D$167="process")*economics!$AI$2:$AI$167*(_xlfn.NORM.DIST(T$3,economics!$AK$2:$AK$167,economics!$AJ$2:$AJ$167,TRUE)-_xlfn.NORM.DIST(T$30,economics!$AK$2:$AK$167,economics!$AJ$2:$AJ$167,TRUE)))),"")</f>
        <v/>
      </c>
      <c r="U53">
        <f t="array" ref="U53">IFERROR((SUMPRODUCT((economics!$AG$2:$AG$167=$B53)*(economics!$D$2:$D$167="process")*economics!$AI$2:$AI$167*(_xlfn.NORM.DIST(U$3,economics!$AK$2:$AK$167,economics!$AJ$2:$AJ$167,TRUE)-_xlfn.NORM.DIST(U$30,economics!$AK$2:$AK$167,economics!$AJ$2:$AJ$167,TRUE))*economics!$AM$2:$AM$167))/(SUMPRODUCT((economics!$AG$2:$AG$167=$B53)*(economics!$D$2:$D$167="process")*economics!$AI$2:$AI$167*(_xlfn.NORM.DIST(U$3,economics!$AK$2:$AK$167,economics!$AJ$2:$AJ$167,TRUE)-_xlfn.NORM.DIST(U$30,economics!$AK$2:$AK$167,economics!$AJ$2:$AJ$167,TRUE)))),"")</f>
        <v/>
      </c>
      <c r="V53">
        <f t="array" ref="V53">IFERROR((SUMPRODUCT((economics!$AG$2:$AG$167=$B53)*(economics!$D$2:$D$167="process")*economics!$AI$2:$AI$167*(_xlfn.NORM.DIST(V$3,economics!$AK$2:$AK$167,economics!$AJ$2:$AJ$167,TRUE)-_xlfn.NORM.DIST(V$30,economics!$AK$2:$AK$167,economics!$AJ$2:$AJ$167,TRUE))*economics!$AM$2:$AM$167))/(SUMPRODUCT((economics!$AG$2:$AG$167=$B53)*(economics!$D$2:$D$167="process")*economics!$AI$2:$AI$167*(_xlfn.NORM.DIST(V$3,economics!$AK$2:$AK$167,economics!$AJ$2:$AJ$167,TRUE)-_xlfn.NORM.DIST(V$30,economics!$AK$2:$AK$167,economics!$AJ$2:$AJ$167,TRUE)))),"")</f>
        <v/>
      </c>
      <c r="W53">
        <f t="array" ref="W53">IFERROR((SUMPRODUCT((economics!$AG$2:$AG$167=$B53)*(economics!$D$2:$D$167="process")*economics!$AI$2:$AI$167*(_xlfn.NORM.DIST(W$3,economics!$AK$2:$AK$167,economics!$AJ$2:$AJ$167,TRUE)-_xlfn.NORM.DIST(W$30,economics!$AK$2:$AK$167,economics!$AJ$2:$AJ$167,TRUE))*economics!$AM$2:$AM$167))/(SUMPRODUCT((economics!$AG$2:$AG$167=$B53)*(economics!$D$2:$D$167="process")*economics!$AI$2:$AI$167*(_xlfn.NORM.DIST(W$3,economics!$AK$2:$AK$167,economics!$AJ$2:$AJ$167,TRUE)-_xlfn.NORM.DIST(W$30,economics!$AK$2:$AK$167,economics!$AJ$2:$AJ$167,TRUE)))),"")</f>
        <v/>
      </c>
      <c r="X53">
        <f t="array" ref="X53">IFERROR((SUMPRODUCT((economics!$AG$2:$AG$167=$B53)*(economics!$D$2:$D$167="process")*economics!$AI$2:$AI$167*(_xlfn.NORM.DIST(X$3,economics!$AK$2:$AK$167,economics!$AJ$2:$AJ$167,TRUE)-_xlfn.NORM.DIST(X$30,economics!$AK$2:$AK$167,economics!$AJ$2:$AJ$167,TRUE))*economics!$AM$2:$AM$167))/(SUMPRODUCT((economics!$AG$2:$AG$167=$B53)*(economics!$D$2:$D$167="process")*economics!$AI$2:$AI$167*(_xlfn.NORM.DIST(X$3,economics!$AK$2:$AK$167,economics!$AJ$2:$AJ$167,TRUE)-_xlfn.NORM.DIST(X$30,economics!$AK$2:$AK$167,economics!$AJ$2:$AJ$167,TRUE)))),"")</f>
        <v/>
      </c>
      <c r="Y53">
        <f t="array" ref="Y53">IFERROR((SUMPRODUCT((economics!$AG$2:$AG$167=$B53)*(economics!$D$2:$D$167="process")*economics!$AI$2:$AI$167*(_xlfn.NORM.DIST(Y$3,economics!$AK$2:$AK$167,economics!$AJ$2:$AJ$167,TRUE)-_xlfn.NORM.DIST(Y$30,economics!$AK$2:$AK$167,economics!$AJ$2:$AJ$167,TRUE))*economics!$AM$2:$AM$167))/(SUMPRODUCT((economics!$AG$2:$AG$167=$B53)*(economics!$D$2:$D$167="process")*economics!$AI$2:$AI$167*(_xlfn.NORM.DIST(Y$3,economics!$AK$2:$AK$167,economics!$AJ$2:$AJ$167,TRUE)-_xlfn.NORM.DIST(Y$30,economics!$AK$2:$AK$167,economics!$AJ$2:$AJ$167,TRUE)))),"")</f>
        <v/>
      </c>
      <c r="Z53">
        <f t="array" ref="Z53">IFERROR((SUMPRODUCT((economics!$AG$2:$AG$167=$B53)*(economics!$D$2:$D$167="process")*economics!$AI$2:$AI$167*(_xlfn.NORM.DIST(Z$3,economics!$AK$2:$AK$167,economics!$AJ$2:$AJ$167,TRUE)-_xlfn.NORM.DIST(Z$30,economics!$AK$2:$AK$167,economics!$AJ$2:$AJ$167,TRUE))*economics!$AM$2:$AM$167))/(SUMPRODUCT((economics!$AG$2:$AG$167=$B53)*(economics!$D$2:$D$167="process")*economics!$AI$2:$AI$167*(_xlfn.NORM.DIST(Z$3,economics!$AK$2:$AK$167,economics!$AJ$2:$AJ$167,TRUE)-_xlfn.NORM.DIST(Z$30,economics!$AK$2:$AK$167,economics!$AJ$2:$AJ$167,TRUE)))),"")</f>
        <v/>
      </c>
      <c r="AA53">
        <f t="array" ref="AA53">IFERROR((SUMPRODUCT((economics!$AG$2:$AG$167=$B53)*(economics!$D$2:$D$167="process")*economics!$AI$2:$AI$167*(_xlfn.NORM.DIST(AA$3,economics!$AK$2:$AK$167,economics!$AJ$2:$AJ$167,TRUE)-_xlfn.NORM.DIST(AA$30,economics!$AK$2:$AK$167,economics!$AJ$2:$AJ$167,TRUE))*economics!$AM$2:$AM$167))/(SUMPRODUCT((economics!$AG$2:$AG$167=$B53)*(economics!$D$2:$D$167="process")*economics!$AI$2:$AI$167*(_xlfn.NORM.DIST(AA$3,economics!$AK$2:$AK$167,economics!$AJ$2:$AJ$167,TRUE)-_xlfn.NORM.DIST(AA$30,economics!$AK$2:$AK$167,economics!$AJ$2:$AJ$167,TRUE)))),"")</f>
        <v/>
      </c>
      <c r="AB53">
        <f t="array" ref="AB53">IFERROR((SUMPRODUCT((economics!$AG$2:$AG$167=$B53)*(economics!$D$2:$D$167="process")*economics!$AI$2:$AI$167*(_xlfn.NORM.DIST(AB$3,economics!$AK$2:$AK$167,economics!$AJ$2:$AJ$167,TRUE)-_xlfn.NORM.DIST(AB$30,economics!$AK$2:$AK$167,economics!$AJ$2:$AJ$167,TRUE))*economics!$AM$2:$AM$167))/(SUMPRODUCT((economics!$AG$2:$AG$167=$B53)*(economics!$D$2:$D$167="process")*economics!$AI$2:$AI$167*(_xlfn.NORM.DIST(AB$3,economics!$AK$2:$AK$167,economics!$AJ$2:$AJ$167,TRUE)-_xlfn.NORM.DIST(AB$30,economics!$AK$2:$AK$167,economics!$AJ$2:$AJ$167,TRUE)))),"")</f>
        <v/>
      </c>
      <c r="AC53">
        <f t="array" ref="AC53">IFERROR((SUMPRODUCT((economics!$AG$2:$AG$167=$B53)*(economics!$D$2:$D$167="process")*economics!$AI$2:$AI$167*(_xlfn.NORM.DIST(AC$3,economics!$AK$2:$AK$167,economics!$AJ$2:$AJ$167,TRUE)-_xlfn.NORM.DIST(AC$30,economics!$AK$2:$AK$167,economics!$AJ$2:$AJ$167,TRUE))*economics!$AM$2:$AM$167))/(SUMPRODUCT((economics!$AG$2:$AG$167=$B53)*(economics!$D$2:$D$167="process")*economics!$AI$2:$AI$167*(_xlfn.NORM.DIST(AC$3,economics!$AK$2:$AK$167,economics!$AJ$2:$AJ$167,TRUE)-_xlfn.NORM.DIST(AC$30,economics!$AK$2:$AK$167,economics!$AJ$2:$AJ$167,TRUE)))),"")</f>
        <v/>
      </c>
      <c r="AD53">
        <f t="array" ref="AD53">IFERROR((SUMPRODUCT((economics!$AG$2:$AG$167=$B53)*(economics!$D$2:$D$167="process")*economics!$AI$2:$AI$167*(_xlfn.NORM.DIST(AD$3,economics!$AK$2:$AK$167,economics!$AJ$2:$AJ$167,TRUE)-_xlfn.NORM.DIST(AD$30,economics!$AK$2:$AK$167,economics!$AJ$2:$AJ$167,TRUE))*economics!$AM$2:$AM$167))/(SUMPRODUCT((economics!$AG$2:$AG$167=$B53)*(economics!$D$2:$D$167="process")*economics!$AI$2:$AI$167*(_xlfn.NORM.DIST(AD$3,economics!$AK$2:$AK$167,economics!$AJ$2:$AJ$167,TRUE)-_xlfn.NORM.DIST(AD$30,economics!$AK$2:$AK$167,economics!$AJ$2:$AJ$167,TRUE)))),"")</f>
        <v/>
      </c>
      <c r="AE53">
        <f t="array" ref="AE53">IFERROR((SUMPRODUCT((economics!$AG$2:$AG$167=$B53)*(economics!$D$2:$D$167="process")*economics!$AI$2:$AI$167*(_xlfn.NORM.DIST(AE$3,economics!$AK$2:$AK$167,economics!$AJ$2:$AJ$167,TRUE)-_xlfn.NORM.DIST(AE$30,economics!$AK$2:$AK$167,economics!$AJ$2:$AJ$167,TRUE))*economics!$AM$2:$AM$167))/(SUMPRODUCT((economics!$AG$2:$AG$167=$B53)*(economics!$D$2:$D$167="process")*economics!$AI$2:$AI$167*(_xlfn.NORM.DIST(AE$3,economics!$AK$2:$AK$167,economics!$AJ$2:$AJ$167,TRUE)-_xlfn.NORM.DIST(AE$30,economics!$AK$2:$AK$167,economics!$AJ$2:$AJ$167,TRUE)))),"")</f>
        <v/>
      </c>
      <c r="AF53">
        <f t="array" ref="AF53">IFERROR((SUMPRODUCT((economics!$AG$2:$AG$167=$B53)*(economics!$D$2:$D$167="process")*economics!$AI$2:$AI$167*(_xlfn.NORM.DIST(AF$3,economics!$AK$2:$AK$167,economics!$AJ$2:$AJ$167,TRUE)-_xlfn.NORM.DIST(AF$30,economics!$AK$2:$AK$167,economics!$AJ$2:$AJ$167,TRUE))*economics!$AM$2:$AM$167))/(SUMPRODUCT((economics!$AG$2:$AG$167=$B53)*(economics!$D$2:$D$167="process")*economics!$AI$2:$AI$167*(_xlfn.NORM.DIST(AF$3,economics!$AK$2:$AK$167,economics!$AJ$2:$AJ$167,TRUE)-_xlfn.NORM.DIST(AF$30,economics!$AK$2:$AK$167,economics!$AJ$2:$AJ$167,TRUE)))),"")</f>
        <v/>
      </c>
      <c r="AG53">
        <f t="array" ref="AG53">IFERROR((SUMPRODUCT((economics!$AG$2:$AG$167=$B53)*(economics!$D$2:$D$167="process")*economics!$AI$2:$AI$167*(_xlfn.NORM.DIST(AG$3,economics!$AK$2:$AK$167,economics!$AJ$2:$AJ$167,TRUE)-_xlfn.NORM.DIST(AG$30,economics!$AK$2:$AK$167,economics!$AJ$2:$AJ$167,TRUE))*economics!$AM$2:$AM$167))/(SUMPRODUCT((economics!$AG$2:$AG$167=$B53)*(economics!$D$2:$D$167="process")*economics!$AI$2:$AI$167*(_xlfn.NORM.DIST(AG$3,economics!$AK$2:$AK$167,economics!$AJ$2:$AJ$167,TRUE)-_xlfn.NORM.DIST(AG$30,economics!$AK$2:$AK$167,economics!$AJ$2:$AJ$167,TRUE)))),"")</f>
        <v/>
      </c>
      <c r="AH53">
        <f t="array" ref="AH53">IFERROR((SUMPRODUCT((economics!$AG$2:$AG$167=$B53)*(economics!$D$2:$D$167="process")*economics!$AI$2:$AI$167*(_xlfn.NORM.DIST(AH$3,economics!$AK$2:$AK$167,economics!$AJ$2:$AJ$167,TRUE)-_xlfn.NORM.DIST(AH$30,economics!$AK$2:$AK$167,economics!$AJ$2:$AJ$167,TRUE))*economics!$AM$2:$AM$167))/(SUMPRODUCT((economics!$AG$2:$AG$167=$B53)*(economics!$D$2:$D$167="process")*economics!$AI$2:$AI$167*(_xlfn.NORM.DIST(AH$3,economics!$AK$2:$AK$167,economics!$AJ$2:$AJ$167,TRUE)-_xlfn.NORM.DIST(AH$30,economics!$AK$2:$AK$167,economics!$AJ$2:$AJ$167,TRUE)))),"")</f>
        <v/>
      </c>
      <c r="AI53">
        <f t="array" ref="AI53">IFERROR((SUMPRODUCT((economics!$AG$2:$AG$167=$B53)*(economics!$D$2:$D$167="process")*economics!$AI$2:$AI$167*(_xlfn.NORM.DIST(AI$3,economics!$AK$2:$AK$167,economics!$AJ$2:$AJ$167,TRUE)-_xlfn.NORM.DIST(AI$30,economics!$AK$2:$AK$167,economics!$AJ$2:$AJ$167,TRUE))*economics!$AM$2:$AM$167))/(SUMPRODUCT((economics!$AG$2:$AG$167=$B53)*(economics!$D$2:$D$167="process")*economics!$AI$2:$AI$167*(_xlfn.NORM.DIST(AI$3,economics!$AK$2:$AK$167,economics!$AJ$2:$AJ$167,TRUE)-_xlfn.NORM.DIST(AI$30,economics!$AK$2:$AK$167,economics!$AJ$2:$AJ$167,TRUE)))),"")</f>
        <v/>
      </c>
      <c r="AJ53">
        <f t="array" ref="AJ53">IFERROR((SUMPRODUCT((economics!$AG$2:$AG$167=$B53)*(economics!$D$2:$D$167="process")*economics!$AI$2:$AI$167*(_xlfn.NORM.DIST(AJ$3,economics!$AK$2:$AK$167,economics!$AJ$2:$AJ$167,TRUE)-_xlfn.NORM.DIST(AJ$30,economics!$AK$2:$AK$167,economics!$AJ$2:$AJ$167,TRUE))*economics!$AM$2:$AM$167))/(SUMPRODUCT((economics!$AG$2:$AG$167=$B53)*(economics!$D$2:$D$167="process")*economics!$AI$2:$AI$167*(_xlfn.NORM.DIST(AJ$3,economics!$AK$2:$AK$167,economics!$AJ$2:$AJ$167,TRUE)-_xlfn.NORM.DIST(AJ$30,economics!$AK$2:$AK$167,economics!$AJ$2:$AJ$167,TRUE)))),"")</f>
        <v/>
      </c>
      <c r="AK53">
        <f t="array" ref="AK53">IFERROR((SUMPRODUCT((economics!$AG$2:$AG$167=$B53)*(economics!$D$2:$D$167="process")*economics!$AI$2:$AI$167*(_xlfn.NORM.DIST(AK$3,economics!$AK$2:$AK$167,economics!$AJ$2:$AJ$167,TRUE)-_xlfn.NORM.DIST(AK$30,economics!$AK$2:$AK$167,economics!$AJ$2:$AJ$167,TRUE))*economics!$AM$2:$AM$167))/(SUMPRODUCT((economics!$AG$2:$AG$167=$B53)*(economics!$D$2:$D$167="process")*economics!$AI$2:$AI$167*(_xlfn.NORM.DIST(AK$3,economics!$AK$2:$AK$167,economics!$AJ$2:$AJ$167,TRUE)-_xlfn.NORM.DIST(AK$30,economics!$AK$2:$AK$167,economics!$AJ$2:$AJ$167,TRUE)))),"")</f>
        <v/>
      </c>
      <c r="AL53">
        <f t="array" ref="AL53">IFERROR((SUMPRODUCT((economics!$AG$2:$AG$167=$B53)*(economics!$D$2:$D$167="process")*economics!$AI$2:$AI$167*(_xlfn.NORM.DIST(AL$3,economics!$AK$2:$AK$167,economics!$AJ$2:$AJ$167,TRUE)-_xlfn.NORM.DIST(AL$30,economics!$AK$2:$AK$167,economics!$AJ$2:$AJ$167,TRUE))*economics!$AM$2:$AM$167))/(SUMPRODUCT((economics!$AG$2:$AG$167=$B53)*(economics!$D$2:$D$167="process")*economics!$AI$2:$AI$167*(_xlfn.NORM.DIST(AL$3,economics!$AK$2:$AK$167,economics!$AJ$2:$AJ$167,TRUE)-_xlfn.NORM.DIST(AL$30,economics!$AK$2:$AK$167,economics!$AJ$2:$AJ$167,TRUE)))),"")</f>
        <v/>
      </c>
      <c r="AM53">
        <f t="array" ref="AM53">IFERROR((SUMPRODUCT((economics!$AG$2:$AG$167=$B53)*(economics!$D$2:$D$167="process")*economics!$AI$2:$AI$167*(_xlfn.NORM.DIST(AM$3,economics!$AK$2:$AK$167,economics!$AJ$2:$AJ$167,TRUE)-_xlfn.NORM.DIST(AM$30,economics!$AK$2:$AK$167,economics!$AJ$2:$AJ$167,TRUE))*economics!$AM$2:$AM$167))/(SUMPRODUCT((economics!$AG$2:$AG$167=$B53)*(economics!$D$2:$D$167="process")*economics!$AI$2:$AI$167*(_xlfn.NORM.DIST(AM$3,economics!$AK$2:$AK$167,economics!$AJ$2:$AJ$167,TRUE)-_xlfn.NORM.DIST(AM$30,economics!$AK$2:$AK$167,economics!$AJ$2:$AJ$167,TRUE)))),"")</f>
        <v/>
      </c>
      <c r="AN53">
        <f t="array" ref="AN53">IFERROR((SUMPRODUCT((economics!$AG$2:$AG$167=$B53)*(economics!$D$2:$D$167="process")*economics!$AI$2:$AI$167*(_xlfn.NORM.DIST(AN$3,economics!$AK$2:$AK$167,economics!$AJ$2:$AJ$167,TRUE)-_xlfn.NORM.DIST(AN$30,economics!$AK$2:$AK$167,economics!$AJ$2:$AJ$167,TRUE))*economics!$AM$2:$AM$167))/(SUMPRODUCT((economics!$AG$2:$AG$167=$B53)*(economics!$D$2:$D$167="process")*economics!$AI$2:$AI$167*(_xlfn.NORM.DIST(AN$3,economics!$AK$2:$AK$167,economics!$AJ$2:$AJ$167,TRUE)-_xlfn.NORM.DIST(AN$30,economics!$AK$2:$AK$167,economics!$AJ$2:$AJ$167,TRUE)))),"")</f>
        <v/>
      </c>
      <c r="AO53">
        <f t="array" ref="AO53">IFERROR((SUMPRODUCT((economics!$AG$2:$AG$167=$B53)*(economics!$D$2:$D$167="process")*economics!$AI$2:$AI$167*(_xlfn.NORM.DIST(AO$3,economics!$AK$2:$AK$167,economics!$AJ$2:$AJ$167,TRUE)-_xlfn.NORM.DIST(AO$30,economics!$AK$2:$AK$167,economics!$AJ$2:$AJ$167,TRUE))*economics!$AM$2:$AM$167))/(SUMPRODUCT((economics!$AG$2:$AG$167=$B53)*(economics!$D$2:$D$167="process")*economics!$AI$2:$AI$167*(_xlfn.NORM.DIST(AO$3,economics!$AK$2:$AK$167,economics!$AJ$2:$AJ$167,TRUE)-_xlfn.NORM.DIST(AO$30,economics!$AK$2:$AK$167,economics!$AJ$2:$AJ$167,TRUE)))),"")</f>
        <v/>
      </c>
      <c r="AP53">
        <f t="array" ref="AP53">IFERROR((SUMPRODUCT((economics!$AG$2:$AG$167=$B53)*(economics!$D$2:$D$167="process")*economics!$AI$2:$AI$167*(_xlfn.NORM.DIST(AP$3,economics!$AK$2:$AK$167,economics!$AJ$2:$AJ$167,TRUE)-_xlfn.NORM.DIST(AP$30,economics!$AK$2:$AK$167,economics!$AJ$2:$AJ$167,TRUE))*economics!$AM$2:$AM$167))/(SUMPRODUCT((economics!$AG$2:$AG$167=$B53)*(economics!$D$2:$D$167="process")*economics!$AI$2:$AI$167*(_xlfn.NORM.DIST(AP$3,economics!$AK$2:$AK$167,economics!$AJ$2:$AJ$167,TRUE)-_xlfn.NORM.DIST(AP$30,economics!$AK$2:$AK$167,economics!$AJ$2:$AJ$167,TRUE)))),"")</f>
        <v/>
      </c>
      <c r="AQ53">
        <f t="array" ref="AQ53">IFERROR((SUMPRODUCT((economics!$AG$2:$AG$167=$B53)*(economics!$D$2:$D$167="process")*economics!$AI$2:$AI$167*(_xlfn.NORM.DIST(AQ$3,economics!$AK$2:$AK$167,economics!$AJ$2:$AJ$167,TRUE)-_xlfn.NORM.DIST(AQ$30,economics!$AK$2:$AK$167,economics!$AJ$2:$AJ$167,TRUE))*economics!$AM$2:$AM$167))/(SUMPRODUCT((economics!$AG$2:$AG$167=$B53)*(economics!$D$2:$D$167="process")*economics!$AI$2:$AI$167*(_xlfn.NORM.DIST(AQ$3,economics!$AK$2:$AK$167,economics!$AJ$2:$AJ$167,TRUE)-_xlfn.NORM.DIST(AQ$30,economics!$AK$2:$AK$167,economics!$AJ$2:$AJ$167,TRUE)))),"")</f>
        <v/>
      </c>
      <c r="AR53">
        <f t="array" ref="AR53">IFERROR((SUMPRODUCT((economics!$AG$2:$AG$167=$B53)*(economics!$D$2:$D$167="process")*economics!$AI$2:$AI$167*(_xlfn.NORM.DIST(AR$3,economics!$AK$2:$AK$167,economics!$AJ$2:$AJ$167,TRUE)-_xlfn.NORM.DIST(AR$30,economics!$AK$2:$AK$167,economics!$AJ$2:$AJ$167,TRUE))*economics!$AM$2:$AM$167))/(SUMPRODUCT((economics!$AG$2:$AG$167=$B53)*(economics!$D$2:$D$167="process")*economics!$AI$2:$AI$167*(_xlfn.NORM.DIST(AR$3,economics!$AK$2:$AK$167,economics!$AJ$2:$AJ$167,TRUE)-_xlfn.NORM.DIST(AR$30,economics!$AK$2:$AK$167,economics!$AJ$2:$AJ$167,TRUE)))),"")</f>
        <v/>
      </c>
      <c r="AS53">
        <f t="array" ref="AS53">IFERROR((SUMPRODUCT((economics!$AG$2:$AG$167=$B53)*(economics!$D$2:$D$167="process")*economics!$AI$2:$AI$167*(_xlfn.NORM.DIST(AS$3,economics!$AK$2:$AK$167,economics!$AJ$2:$AJ$167,TRUE)-_xlfn.NORM.DIST(AS$30,economics!$AK$2:$AK$167,economics!$AJ$2:$AJ$167,TRUE))*economics!$AM$2:$AM$167))/(SUMPRODUCT((economics!$AG$2:$AG$167=$B53)*(economics!$D$2:$D$167="process")*economics!$AI$2:$AI$167*(_xlfn.NORM.DIST(AS$3,economics!$AK$2:$AK$167,economics!$AJ$2:$AJ$167,TRUE)-_xlfn.NORM.DIST(AS$30,economics!$AK$2:$AK$167,economics!$AJ$2:$AJ$167,TRUE)))),"")</f>
        <v/>
      </c>
      <c r="AT53">
        <f t="array" ref="AT53">IFERROR((SUMPRODUCT((economics!$AG$2:$AG$167=$B53)*(economics!$D$2:$D$167="process")*economics!$AI$2:$AI$167*(_xlfn.NORM.DIST(AT$3,economics!$AK$2:$AK$167,economics!$AJ$2:$AJ$167,TRUE)-_xlfn.NORM.DIST(AT$30,economics!$AK$2:$AK$167,economics!$AJ$2:$AJ$167,TRUE))*economics!$AM$2:$AM$167))/(SUMPRODUCT((economics!$AG$2:$AG$167=$B53)*(economics!$D$2:$D$167="process")*economics!$AI$2:$AI$167*(_xlfn.NORM.DIST(AT$3,economics!$AK$2:$AK$167,economics!$AJ$2:$AJ$167,TRUE)-_xlfn.NORM.DIST(AT$30,economics!$AK$2:$AK$167,economics!$AJ$2:$AJ$167,TRUE)))),"")</f>
        <v/>
      </c>
      <c r="AU53">
        <f t="array" ref="AU53">IFERROR((SUMPRODUCT((economics!$AG$2:$AG$167=$B53)*(economics!$D$2:$D$167="process")*economics!$AI$2:$AI$167*(_xlfn.NORM.DIST(AU$3,economics!$AK$2:$AK$167,economics!$AJ$2:$AJ$167,TRUE)-_xlfn.NORM.DIST(AU$30,economics!$AK$2:$AK$167,economics!$AJ$2:$AJ$167,TRUE))*economics!$AM$2:$AM$167))/(SUMPRODUCT((economics!$AG$2:$AG$167=$B53)*(economics!$D$2:$D$167="process")*economics!$AI$2:$AI$167*(_xlfn.NORM.DIST(AU$3,economics!$AK$2:$AK$167,economics!$AJ$2:$AJ$167,TRUE)-_xlfn.NORM.DIST(AU$30,economics!$AK$2:$AK$167,economics!$AJ$2:$AJ$167,TRUE)))),"")</f>
        <v/>
      </c>
      <c r="AV53">
        <f t="array" ref="AV53">IFERROR((SUMPRODUCT((economics!$AG$2:$AG$167=$B53)*(economics!$D$2:$D$167="process")*economics!$AI$2:$AI$167*(_xlfn.NORM.DIST(AV$3,economics!$AK$2:$AK$167,economics!$AJ$2:$AJ$167,TRUE)-_xlfn.NORM.DIST(AV$30,economics!$AK$2:$AK$167,economics!$AJ$2:$AJ$167,TRUE))*economics!$AM$2:$AM$167))/(SUMPRODUCT((economics!$AG$2:$AG$167=$B53)*(economics!$D$2:$D$167="process")*economics!$AI$2:$AI$167*(_xlfn.NORM.DIST(AV$3,economics!$AK$2:$AK$167,economics!$AJ$2:$AJ$167,TRUE)-_xlfn.NORM.DIST(AV$30,economics!$AK$2:$AK$167,economics!$AJ$2:$AJ$167,TRUE)))),"")</f>
        <v/>
      </c>
      <c r="AW53">
        <f t="array" ref="AW53">IFERROR((SUMPRODUCT((economics!$AG$2:$AG$167=$B53)*(economics!$D$2:$D$167="process")*economics!$AI$2:$AI$167*(_xlfn.NORM.DIST(AW$3,economics!$AK$2:$AK$167,economics!$AJ$2:$AJ$167,TRUE)-_xlfn.NORM.DIST(AW$30,economics!$AK$2:$AK$167,economics!$AJ$2:$AJ$167,TRUE))*economics!$AM$2:$AM$167))/(SUMPRODUCT((economics!$AG$2:$AG$167=$B53)*(economics!$D$2:$D$167="process")*economics!$AI$2:$AI$167*(_xlfn.NORM.DIST(AW$3,economics!$AK$2:$AK$167,economics!$AJ$2:$AJ$167,TRUE)-_xlfn.NORM.DIST(AW$30,economics!$AK$2:$AK$167,economics!$AJ$2:$AJ$167,TRUE)))),"")</f>
        <v/>
      </c>
      <c r="AX53">
        <f t="array" ref="AX53">IFERROR((SUMPRODUCT((economics!$AG$2:$AG$167=$B53)*(economics!$D$2:$D$167="process")*economics!$AI$2:$AI$167*(_xlfn.NORM.DIST(AX$3,economics!$AK$2:$AK$167,economics!$AJ$2:$AJ$167,TRUE)-_xlfn.NORM.DIST(AX$30,economics!$AK$2:$AK$167,economics!$AJ$2:$AJ$167,TRUE))*economics!$AM$2:$AM$167))/(SUMPRODUCT((economics!$AG$2:$AG$167=$B53)*(economics!$D$2:$D$167="process")*economics!$AI$2:$AI$167*(_xlfn.NORM.DIST(AX$3,economics!$AK$2:$AK$167,economics!$AJ$2:$AJ$167,TRUE)-_xlfn.NORM.DIST(AX$30,economics!$AK$2:$AK$167,economics!$AJ$2:$AJ$167,TRUE)))),"")</f>
        <v/>
      </c>
      <c r="AY53">
        <f t="array" ref="AY53">IFERROR((SUMPRODUCT((economics!$AG$2:$AG$167=$B53)*(economics!$D$2:$D$167="process")*economics!$AI$2:$AI$167*(_xlfn.NORM.DIST(AY$3,economics!$AK$2:$AK$167,economics!$AJ$2:$AJ$167,TRUE)-_xlfn.NORM.DIST(AY$30,economics!$AK$2:$AK$167,economics!$AJ$2:$AJ$167,TRUE))*economics!$AM$2:$AM$167))/(SUMPRODUCT((economics!$AG$2:$AG$167=$B53)*(economics!$D$2:$D$167="process")*economics!$AI$2:$AI$167*(_xlfn.NORM.DIST(AY$3,economics!$AK$2:$AK$167,economics!$AJ$2:$AJ$167,TRUE)-_xlfn.NORM.DIST(AY$30,economics!$AK$2:$AK$167,economics!$AJ$2:$AJ$167,TRUE)))),"")</f>
        <v/>
      </c>
      <c r="AZ53">
        <f t="array" ref="AZ53">IFERROR((SUMPRODUCT((economics!$AG$2:$AG$167=$B53)*(economics!$D$2:$D$167="process")*economics!$AI$2:$AI$167*(_xlfn.NORM.DIST(AZ$3,economics!$AK$2:$AK$167,economics!$AJ$2:$AJ$167,TRUE)-_xlfn.NORM.DIST(AZ$30,economics!$AK$2:$AK$167,economics!$AJ$2:$AJ$167,TRUE))*economics!$AM$2:$AM$167))/(SUMPRODUCT((economics!$AG$2:$AG$167=$B53)*(economics!$D$2:$D$167="process")*economics!$AI$2:$AI$167*(_xlfn.NORM.DIST(AZ$3,economics!$AK$2:$AK$167,economics!$AJ$2:$AJ$167,TRUE)-_xlfn.NORM.DIST(AZ$30,economics!$AK$2:$AK$167,economics!$AJ$2:$AJ$167,TRUE)))),"")</f>
        <v/>
      </c>
      <c r="BA53">
        <f t="array" ref="BA53">IFERROR((SUMPRODUCT((economics!$AG$2:$AG$167=$B53)*(economics!$D$2:$D$167="process")*economics!$AI$2:$AI$167*(_xlfn.NORM.DIST(BA$3,economics!$AK$2:$AK$167,economics!$AJ$2:$AJ$167,TRUE)-_xlfn.NORM.DIST(BA$30,economics!$AK$2:$AK$167,economics!$AJ$2:$AJ$167,TRUE))*economics!$AM$2:$AM$167))/(SUMPRODUCT((economics!$AG$2:$AG$167=$B53)*(economics!$D$2:$D$167="process")*economics!$AI$2:$AI$167*(_xlfn.NORM.DIST(BA$3,economics!$AK$2:$AK$167,economics!$AJ$2:$AJ$167,TRUE)-_xlfn.NORM.DIST(BA$30,economics!$AK$2:$AK$167,economics!$AJ$2:$AJ$167,TRUE)))),"")</f>
        <v/>
      </c>
      <c r="BB53">
        <f t="array" ref="BB53">IFERROR((SUMPRODUCT((economics!$AG$2:$AG$167=$B53)*(economics!$D$2:$D$167="process")*economics!$AI$2:$AI$167*(_xlfn.NORM.DIST(BB$3,economics!$AK$2:$AK$167,economics!$AJ$2:$AJ$167,TRUE)-_xlfn.NORM.DIST(BB$30,economics!$AK$2:$AK$167,economics!$AJ$2:$AJ$167,TRUE))*economics!$AM$2:$AM$167))/(SUMPRODUCT((economics!$AG$2:$AG$167=$B53)*(economics!$D$2:$D$167="process")*economics!$AI$2:$AI$167*(_xlfn.NORM.DIST(BB$3,economics!$AK$2:$AK$167,economics!$AJ$2:$AJ$167,TRUE)-_xlfn.NORM.DIST(BB$30,economics!$AK$2:$AK$167,economics!$AJ$2:$AJ$167,TRUE)))),"")</f>
        <v/>
      </c>
      <c r="BC53">
        <f t="array" ref="BC53">IFERROR((SUMPRODUCT((economics!$AG$2:$AG$167=$B53)*(economics!$D$2:$D$167="process")*economics!$AI$2:$AI$167*(_xlfn.NORM.DIST(BC$3,economics!$AK$2:$AK$167,economics!$AJ$2:$AJ$167,TRUE)-_xlfn.NORM.DIST(BC$30,economics!$AK$2:$AK$167,economics!$AJ$2:$AJ$167,TRUE))*economics!$AM$2:$AM$167))/(SUMPRODUCT((economics!$AG$2:$AG$167=$B53)*(economics!$D$2:$D$167="process")*economics!$AI$2:$AI$167*(_xlfn.NORM.DIST(BC$3,economics!$AK$2:$AK$167,economics!$AJ$2:$AJ$167,TRUE)-_xlfn.NORM.DIST(BC$30,economics!$AK$2:$AK$167,economics!$AJ$2:$AJ$167,TRUE)))),"")</f>
        <v/>
      </c>
      <c r="BD53">
        <f t="array" ref="BD53">IFERROR((SUMPRODUCT((economics!$AG$2:$AG$167=$B53)*(economics!$D$2:$D$167="process")*economics!$AI$2:$AI$167*(_xlfn.NORM.DIST(BD$3,economics!$AK$2:$AK$167,economics!$AJ$2:$AJ$167,TRUE)-_xlfn.NORM.DIST(BD$30,economics!$AK$2:$AK$167,economics!$AJ$2:$AJ$167,TRUE))*economics!$AM$2:$AM$167))/(SUMPRODUCT((economics!$AG$2:$AG$167=$B53)*(economics!$D$2:$D$167="process")*economics!$AI$2:$AI$167*(_xlfn.NORM.DIST(BD$3,economics!$AK$2:$AK$167,economics!$AJ$2:$AJ$167,TRUE)-_xlfn.NORM.DIST(BD$30,economics!$AK$2:$AK$167,economics!$AJ$2:$AJ$167,TRUE)))),"")</f>
        <v/>
      </c>
      <c r="BE53">
        <f t="array" ref="BE53">IFERROR((SUMPRODUCT((economics!$AG$2:$AG$167=$B53)*(economics!$D$2:$D$167="process")*economics!$AI$2:$AI$167*(_xlfn.NORM.DIST(BE$3,economics!$AK$2:$AK$167,economics!$AJ$2:$AJ$167,TRUE)-_xlfn.NORM.DIST(BE$30,economics!$AK$2:$AK$167,economics!$AJ$2:$AJ$167,TRUE))*economics!$AM$2:$AM$167))/(SUMPRODUCT((economics!$AG$2:$AG$167=$B53)*(economics!$D$2:$D$167="process")*economics!$AI$2:$AI$167*(_xlfn.NORM.DIST(BE$3,economics!$AK$2:$AK$167,economics!$AJ$2:$AJ$167,TRUE)-_xlfn.NORM.DIST(BE$30,economics!$AK$2:$AK$167,economics!$AJ$2:$AJ$167,TRUE)))),"")</f>
        <v/>
      </c>
      <c r="BF53">
        <f t="array" ref="BF53">IFERROR((SUMPRODUCT((economics!$AG$2:$AG$167=$B53)*(economics!$D$2:$D$167="process")*economics!$AI$2:$AI$167*(_xlfn.NORM.DIST(BF$3,economics!$AK$2:$AK$167,economics!$AJ$2:$AJ$167,TRUE)-_xlfn.NORM.DIST(BF$30,economics!$AK$2:$AK$167,economics!$AJ$2:$AJ$167,TRUE))*economics!$AM$2:$AM$167))/(SUMPRODUCT((economics!$AG$2:$AG$167=$B53)*(economics!$D$2:$D$167="process")*economics!$AI$2:$AI$167*(_xlfn.NORM.DIST(BF$3,economics!$AK$2:$AK$167,economics!$AJ$2:$AJ$167,TRUE)-_xlfn.NORM.DIST(BF$30,economics!$AK$2:$AK$167,economics!$AJ$2:$AJ$167,TRUE)))),"")</f>
        <v/>
      </c>
      <c r="BG53">
        <f t="array" ref="BG53">IFERROR((SUMPRODUCT((economics!$AG$2:$AG$167=$B53)*(economics!$D$2:$D$167="process")*economics!$AI$2:$AI$167*(_xlfn.NORM.DIST(BG$3,economics!$AK$2:$AK$167,economics!$AJ$2:$AJ$167,TRUE)-_xlfn.NORM.DIST(BG$30,economics!$AK$2:$AK$167,economics!$AJ$2:$AJ$167,TRUE))*economics!$AM$2:$AM$167))/(SUMPRODUCT((economics!$AG$2:$AG$167=$B53)*(economics!$D$2:$D$167="process")*economics!$AI$2:$AI$167*(_xlfn.NORM.DIST(BG$3,economics!$AK$2:$AK$167,economics!$AJ$2:$AJ$167,TRUE)-_xlfn.NORM.DIST(BG$30,economics!$AK$2:$AK$167,economics!$AJ$2:$AJ$167,TRUE)))),"")</f>
        <v/>
      </c>
      <c r="BH53">
        <f t="array" ref="BH53">IFERROR((SUMPRODUCT((economics!$AG$2:$AG$167=$B53)*(economics!$D$2:$D$167="process")*economics!$AI$2:$AI$167*(_xlfn.NORM.DIST(BH$3,economics!$AK$2:$AK$167,economics!$AJ$2:$AJ$167,TRUE)-_xlfn.NORM.DIST(BH$30,economics!$AK$2:$AK$167,economics!$AJ$2:$AJ$167,TRUE))*economics!$AM$2:$AM$167))/(SUMPRODUCT((economics!$AG$2:$AG$167=$B53)*(economics!$D$2:$D$167="process")*economics!$AI$2:$AI$167*(_xlfn.NORM.DIST(BH$3,economics!$AK$2:$AK$167,economics!$AJ$2:$AJ$167,TRUE)-_xlfn.NORM.DIST(BH$30,economics!$AK$2:$AK$167,economics!$AJ$2:$AJ$167,TRUE)))),"")</f>
        <v/>
      </c>
      <c r="BI53">
        <f t="array" ref="BI53">IFERROR((SUMPRODUCT((economics!$AG$2:$AG$167=$B53)*(economics!$D$2:$D$167="process")*economics!$AI$2:$AI$167*(_xlfn.NORM.DIST(BI$3,economics!$AK$2:$AK$167,economics!$AJ$2:$AJ$167,TRUE)-_xlfn.NORM.DIST(BI$30,economics!$AK$2:$AK$167,economics!$AJ$2:$AJ$167,TRUE))*economics!$AM$2:$AM$167))/(SUMPRODUCT((economics!$AG$2:$AG$167=$B53)*(economics!$D$2:$D$167="process")*economics!$AI$2:$AI$167*(_xlfn.NORM.DIST(BI$3,economics!$AK$2:$AK$167,economics!$AJ$2:$AJ$167,TRUE)-_xlfn.NORM.DIST(BI$30,economics!$AK$2:$AK$167,economics!$AJ$2:$AJ$167,TRUE)))),"")</f>
        <v/>
      </c>
      <c r="BJ53">
        <f t="array" ref="BJ53">IFERROR((SUMPRODUCT((economics!$AG$2:$AG$167=$B53)*(economics!$D$2:$D$167="process")*economics!$AI$2:$AI$167*(_xlfn.NORM.DIST(BJ$3,economics!$AK$2:$AK$167,economics!$AJ$2:$AJ$167,TRUE)-_xlfn.NORM.DIST(BJ$30,economics!$AK$2:$AK$167,economics!$AJ$2:$AJ$167,TRUE))*economics!$AM$2:$AM$167))/(SUMPRODUCT((economics!$AG$2:$AG$167=$B53)*(economics!$D$2:$D$167="process")*economics!$AI$2:$AI$167*(_xlfn.NORM.DIST(BJ$3,economics!$AK$2:$AK$167,economics!$AJ$2:$AJ$167,TRUE)-_xlfn.NORM.DIST(BJ$30,economics!$AK$2:$AK$167,economics!$AJ$2:$AJ$167,TRUE)))),"")</f>
        <v/>
      </c>
      <c r="BK53">
        <f t="array" ref="BK53">IFERROR((SUMPRODUCT((economics!$AG$2:$AG$167=$B53)*(economics!$D$2:$D$167="process")*economics!$AI$2:$AI$167*(_xlfn.NORM.DIST(BK$3,economics!$AK$2:$AK$167,economics!$AJ$2:$AJ$167,TRUE)-_xlfn.NORM.DIST(BK$30,economics!$AK$2:$AK$167,economics!$AJ$2:$AJ$167,TRUE))*economics!$AM$2:$AM$167))/(SUMPRODUCT((economics!$AG$2:$AG$167=$B53)*(economics!$D$2:$D$167="process")*economics!$AI$2:$AI$167*(_xlfn.NORM.DIST(BK$3,economics!$AK$2:$AK$167,economics!$AJ$2:$AJ$167,TRUE)-_xlfn.NORM.DIST(BK$30,economics!$AK$2:$AK$167,economics!$AJ$2:$AJ$167,TRUE)))),"")</f>
        <v/>
      </c>
      <c r="BL53">
        <f t="array" ref="BL53">IFERROR((SUMPRODUCT((economics!$AG$2:$AG$167=$B53)*(economics!$D$2:$D$167="process")*economics!$AI$2:$AI$167*(_xlfn.NORM.DIST(BL$3,economics!$AK$2:$AK$167,economics!$AJ$2:$AJ$167,TRUE)-_xlfn.NORM.DIST(BL$30,economics!$AK$2:$AK$167,economics!$AJ$2:$AJ$167,TRUE))*economics!$AM$2:$AM$167))/(SUMPRODUCT((economics!$AG$2:$AG$167=$B53)*(economics!$D$2:$D$167="process")*economics!$AI$2:$AI$167*(_xlfn.NORM.DIST(BL$3,economics!$AK$2:$AK$167,economics!$AJ$2:$AJ$167,TRUE)-_xlfn.NORM.DIST(BL$30,economics!$AK$2:$AK$167,economics!$AJ$2:$AJ$167,TRUE)))),"")</f>
        <v/>
      </c>
      <c r="BM53">
        <f t="array" ref="BM53">IFERROR((SUMPRODUCT((economics!$AG$2:$AG$167=$B53)*(economics!$D$2:$D$167="process")*economics!$AI$2:$AI$167*(_xlfn.NORM.DIST(BM$3,economics!$AK$2:$AK$167,economics!$AJ$2:$AJ$167,TRUE)-_xlfn.NORM.DIST(BM$30,economics!$AK$2:$AK$167,economics!$AJ$2:$AJ$167,TRUE))*economics!$AM$2:$AM$167))/(SUMPRODUCT((economics!$AG$2:$AG$167=$B53)*(economics!$D$2:$D$167="process")*economics!$AI$2:$AI$167*(_xlfn.NORM.DIST(BM$3,economics!$AK$2:$AK$167,economics!$AJ$2:$AJ$167,TRUE)-_xlfn.NORM.DIST(BM$30,economics!$AK$2:$AK$167,economics!$AJ$2:$AJ$167,TRUE)))),"")</f>
        <v/>
      </c>
      <c r="BN53">
        <f t="array" ref="BN53">IFERROR((SUMPRODUCT((economics!$AG$2:$AG$167=$B53)*(economics!$D$2:$D$167="process")*economics!$AI$2:$AI$167*(_xlfn.NORM.DIST(BN$3,economics!$AK$2:$AK$167,economics!$AJ$2:$AJ$167,TRUE)-_xlfn.NORM.DIST(BN$30,economics!$AK$2:$AK$167,economics!$AJ$2:$AJ$167,TRUE))*economics!$AM$2:$AM$167))/(SUMPRODUCT((economics!$AG$2:$AG$167=$B53)*(economics!$D$2:$D$167="process")*economics!$AI$2:$AI$167*(_xlfn.NORM.DIST(BN$3,economics!$AK$2:$AK$167,economics!$AJ$2:$AJ$167,TRUE)-_xlfn.NORM.DIST(BN$30,economics!$AK$2:$AK$167,economics!$AJ$2:$AJ$167,TRUE)))),"")</f>
        <v/>
      </c>
      <c r="BO53">
        <f t="array" ref="BO53">IFERROR((SUMPRODUCT((economics!$AG$2:$AG$167=$B53)*(economics!$D$2:$D$167="process")*economics!$AI$2:$AI$167*(_xlfn.NORM.DIST(BO$3,economics!$AK$2:$AK$167,economics!$AJ$2:$AJ$167,TRUE)-_xlfn.NORM.DIST(BO$30,economics!$AK$2:$AK$167,economics!$AJ$2:$AJ$167,TRUE))*economics!$AM$2:$AM$167))/(SUMPRODUCT((economics!$AG$2:$AG$167=$B53)*(economics!$D$2:$D$167="process")*economics!$AI$2:$AI$167*(_xlfn.NORM.DIST(BO$3,economics!$AK$2:$AK$167,economics!$AJ$2:$AJ$167,TRUE)-_xlfn.NORM.DIST(BO$30,economics!$AK$2:$AK$167,economics!$AJ$2:$AJ$167,TRUE)))),"")</f>
        <v/>
      </c>
      <c r="BP53">
        <f t="array" ref="BP53">IFERROR((SUMPRODUCT((economics!$AG$2:$AG$167=$B53)*(economics!$D$2:$D$167="process")*economics!$AI$2:$AI$167*(_xlfn.NORM.DIST(BP$3,economics!$AK$2:$AK$167,economics!$AJ$2:$AJ$167,TRUE)-_xlfn.NORM.DIST(BP$30,economics!$AK$2:$AK$167,economics!$AJ$2:$AJ$167,TRUE))*economics!$AM$2:$AM$167))/(SUMPRODUCT((economics!$AG$2:$AG$167=$B53)*(economics!$D$2:$D$167="process")*economics!$AI$2:$AI$167*(_xlfn.NORM.DIST(BP$3,economics!$AK$2:$AK$167,economics!$AJ$2:$AJ$167,TRUE)-_xlfn.NORM.DIST(BP$30,economics!$AK$2:$AK$167,economics!$AJ$2:$AJ$167,TRUE)))),"")</f>
        <v/>
      </c>
      <c r="BQ53">
        <f t="array" ref="BQ53">IFERROR((SUMPRODUCT((economics!$AG$2:$AG$167=$B53)*(economics!$D$2:$D$167="process")*economics!$AI$2:$AI$167*(_xlfn.NORM.DIST(BQ$3,economics!$AK$2:$AK$167,economics!$AJ$2:$AJ$167,TRUE)-_xlfn.NORM.DIST(BQ$30,economics!$AK$2:$AK$167,economics!$AJ$2:$AJ$167,TRUE))*economics!$AM$2:$AM$167))/(SUMPRODUCT((economics!$AG$2:$AG$167=$B53)*(economics!$D$2:$D$167="process")*economics!$AI$2:$AI$167*(_xlfn.NORM.DIST(BQ$3,economics!$AK$2:$AK$167,economics!$AJ$2:$AJ$167,TRUE)-_xlfn.NORM.DIST(BQ$30,economics!$AK$2:$AK$167,economics!$AJ$2:$AJ$167,TRUE)))),"")</f>
        <v/>
      </c>
      <c r="BR53">
        <f t="array" ref="BR53">IFERROR((SUMPRODUCT((economics!$AG$2:$AG$167=$B53)*(economics!$D$2:$D$167="process")*economics!$AI$2:$AI$167*(_xlfn.NORM.DIST(BR$3,economics!$AK$2:$AK$167,economics!$AJ$2:$AJ$167,TRUE)-_xlfn.NORM.DIST(BR$30,economics!$AK$2:$AK$167,economics!$AJ$2:$AJ$167,TRUE))*economics!$AM$2:$AM$167))/(SUMPRODUCT((economics!$AG$2:$AG$167=$B53)*(economics!$D$2:$D$167="process")*economics!$AI$2:$AI$167*(_xlfn.NORM.DIST(BR$3,economics!$AK$2:$AK$167,economics!$AJ$2:$AJ$167,TRUE)-_xlfn.NORM.DIST(BR$30,economics!$AK$2:$AK$167,economics!$AJ$2:$AJ$167,TRUE)))),"")</f>
        <v/>
      </c>
      <c r="BS53">
        <f t="array" ref="BS53">IFERROR((SUMPRODUCT((economics!$AG$2:$AG$167=$B53)*(economics!$D$2:$D$167="process")*economics!$AI$2:$AI$167*(_xlfn.NORM.DIST(BS$3,economics!$AK$2:$AK$167,economics!$AJ$2:$AJ$167,TRUE)-_xlfn.NORM.DIST(BS$30,economics!$AK$2:$AK$167,economics!$AJ$2:$AJ$167,TRUE))*economics!$AM$2:$AM$167))/(SUMPRODUCT((economics!$AG$2:$AG$167=$B53)*(economics!$D$2:$D$167="process")*economics!$AI$2:$AI$167*(_xlfn.NORM.DIST(BS$3,economics!$AK$2:$AK$167,economics!$AJ$2:$AJ$167,TRUE)-_xlfn.NORM.DIST(BS$30,economics!$AK$2:$AK$167,economics!$AJ$2:$AJ$167,TRUE)))),"")</f>
        <v/>
      </c>
      <c r="BT53">
        <f t="array" ref="BT53">IFERROR((SUMPRODUCT((economics!$AG$2:$AG$167=$B53)*(economics!$D$2:$D$167="process")*economics!$AI$2:$AI$167*(_xlfn.NORM.DIST(BT$3,economics!$AK$2:$AK$167,economics!$AJ$2:$AJ$167,TRUE)-_xlfn.NORM.DIST(BT$30,economics!$AK$2:$AK$167,economics!$AJ$2:$AJ$167,TRUE))*economics!$AM$2:$AM$167))/(SUMPRODUCT((economics!$AG$2:$AG$167=$B53)*(economics!$D$2:$D$167="process")*economics!$AI$2:$AI$167*(_xlfn.NORM.DIST(BT$3,economics!$AK$2:$AK$167,economics!$AJ$2:$AJ$167,TRUE)-_xlfn.NORM.DIST(BT$30,economics!$AK$2:$AK$167,economics!$AJ$2:$AJ$167,TRUE)))),"")</f>
        <v/>
      </c>
      <c r="BU53">
        <f t="array" ref="BU53">IFERROR((SUMPRODUCT((economics!$AG$2:$AG$167=$B53)*(economics!$D$2:$D$167="process")*economics!$AI$2:$AI$167*(_xlfn.NORM.DIST(BU$3,economics!$AK$2:$AK$167,economics!$AJ$2:$AJ$167,TRUE)-_xlfn.NORM.DIST(BU$30,economics!$AK$2:$AK$167,economics!$AJ$2:$AJ$167,TRUE))*economics!$AM$2:$AM$167))/(SUMPRODUCT((economics!$AG$2:$AG$167=$B53)*(economics!$D$2:$D$167="process")*economics!$AI$2:$AI$167*(_xlfn.NORM.DIST(BU$3,economics!$AK$2:$AK$167,economics!$AJ$2:$AJ$167,TRUE)-_xlfn.NORM.DIST(BU$30,economics!$AK$2:$AK$167,economics!$AJ$2:$AJ$167,TRUE)))),"")</f>
        <v/>
      </c>
      <c r="BV53">
        <f t="array" ref="BV53">IFERROR((SUMPRODUCT((economics!$AG$2:$AG$167=$B53)*(economics!$D$2:$D$167="process")*economics!$AI$2:$AI$167*(_xlfn.NORM.DIST(BV$3,economics!$AK$2:$AK$167,economics!$AJ$2:$AJ$167,TRUE)-_xlfn.NORM.DIST(BV$30,economics!$AK$2:$AK$167,economics!$AJ$2:$AJ$167,TRUE))*economics!$AM$2:$AM$167))/(SUMPRODUCT((economics!$AG$2:$AG$167=$B53)*(economics!$D$2:$D$167="process")*economics!$AI$2:$AI$167*(_xlfn.NORM.DIST(BV$3,economics!$AK$2:$AK$167,economics!$AJ$2:$AJ$167,TRUE)-_xlfn.NORM.DIST(BV$30,economics!$AK$2:$AK$167,economics!$AJ$2:$AJ$167,TRUE)))),"")</f>
        <v/>
      </c>
      <c r="BW53">
        <f t="array" ref="BW53">IFERROR((SUMPRODUCT((economics!$AG$2:$AG$167=$B53)*(economics!$D$2:$D$167="process")*economics!$AI$2:$AI$167*(_xlfn.NORM.DIST(BW$3,economics!$AK$2:$AK$167,economics!$AJ$2:$AJ$167,TRUE)-_xlfn.NORM.DIST(BW$30,economics!$AK$2:$AK$167,economics!$AJ$2:$AJ$167,TRUE))*economics!$AM$2:$AM$167))/(SUMPRODUCT((economics!$AG$2:$AG$167=$B53)*(economics!$D$2:$D$167="process")*economics!$AI$2:$AI$167*(_xlfn.NORM.DIST(BW$3,economics!$AK$2:$AK$167,economics!$AJ$2:$AJ$167,TRUE)-_xlfn.NORM.DIST(BW$30,economics!$AK$2:$AK$167,economics!$AJ$2:$AJ$167,TRUE)))),"")</f>
        <v/>
      </c>
      <c r="BX53">
        <f t="array" ref="BX53">IFERROR((SUMPRODUCT((economics!$AG$2:$AG$167=$B53)*(economics!$D$2:$D$167="process")*economics!$AI$2:$AI$167*(_xlfn.NORM.DIST(BX$3,economics!$AK$2:$AK$167,economics!$AJ$2:$AJ$167,TRUE)-_xlfn.NORM.DIST(BX$30,economics!$AK$2:$AK$167,economics!$AJ$2:$AJ$167,TRUE))*economics!$AM$2:$AM$167))/(SUMPRODUCT((economics!$AG$2:$AG$167=$B53)*(economics!$D$2:$D$167="process")*economics!$AI$2:$AI$167*(_xlfn.NORM.DIST(BX$3,economics!$AK$2:$AK$167,economics!$AJ$2:$AJ$167,TRUE)-_xlfn.NORM.DIST(BX$30,economics!$AK$2:$AK$167,economics!$AJ$2:$AJ$167,TRUE)))),"")</f>
        <v/>
      </c>
      <c r="BY53">
        <f t="array" ref="BY53">IFERROR((SUMPRODUCT((economics!$AG$2:$AG$167=$B53)*(economics!$D$2:$D$167="process")*economics!$AI$2:$AI$167*(_xlfn.NORM.DIST(BY$3,economics!$AK$2:$AK$167,economics!$AJ$2:$AJ$167,TRUE)-_xlfn.NORM.DIST(BY$30,economics!$AK$2:$AK$167,economics!$AJ$2:$AJ$167,TRUE))*economics!$AM$2:$AM$167))/(SUMPRODUCT((economics!$AG$2:$AG$167=$B53)*(economics!$D$2:$D$167="process")*economics!$AI$2:$AI$167*(_xlfn.NORM.DIST(BY$3,economics!$AK$2:$AK$167,economics!$AJ$2:$AJ$167,TRUE)-_xlfn.NORM.DIST(BY$30,economics!$AK$2:$AK$167,economics!$AJ$2:$AJ$167,TRUE)))),"")</f>
        <v/>
      </c>
      <c r="BZ53">
        <f t="array" ref="BZ53">IFERROR((SUMPRODUCT((economics!$AG$2:$AG$167=$B53)*(economics!$D$2:$D$167="process")*economics!$AI$2:$AI$167*(_xlfn.NORM.DIST(BZ$3,economics!$AK$2:$AK$167,economics!$AJ$2:$AJ$167,TRUE)-_xlfn.NORM.DIST(BZ$30,economics!$AK$2:$AK$167,economics!$AJ$2:$AJ$167,TRUE))*economics!$AM$2:$AM$167))/(SUMPRODUCT((economics!$AG$2:$AG$167=$B53)*(economics!$D$2:$D$167="process")*economics!$AI$2:$AI$167*(_xlfn.NORM.DIST(BZ$3,economics!$AK$2:$AK$167,economics!$AJ$2:$AJ$167,TRUE)-_xlfn.NORM.DIST(BZ$30,economics!$AK$2:$AK$167,economics!$AJ$2:$AJ$167,TRUE)))),"")</f>
        <v/>
      </c>
      <c r="CA53">
        <f t="array" ref="CA53">IFERROR((SUMPRODUCT((economics!$AG$2:$AG$167=$B53)*(economics!$D$2:$D$167="process")*economics!$AI$2:$AI$167*(_xlfn.NORM.DIST(CA$3,economics!$AK$2:$AK$167,economics!$AJ$2:$AJ$167,TRUE)-_xlfn.NORM.DIST(CA$30,economics!$AK$2:$AK$167,economics!$AJ$2:$AJ$167,TRUE))*economics!$AM$2:$AM$167))/(SUMPRODUCT((economics!$AG$2:$AG$167=$B53)*(economics!$D$2:$D$167="process")*economics!$AI$2:$AI$167*(_xlfn.NORM.DIST(CA$3,economics!$AK$2:$AK$167,economics!$AJ$2:$AJ$167,TRUE)-_xlfn.NORM.DIST(CA$30,economics!$AK$2:$AK$167,economics!$AJ$2:$AJ$167,TRUE)))),"")</f>
        <v/>
      </c>
      <c r="CB53">
        <f t="array" ref="CB53">IFERROR((SUMPRODUCT((economics!$AG$2:$AG$167=$B53)*(economics!$D$2:$D$167="process")*economics!$AI$2:$AI$167*(_xlfn.NORM.DIST(CB$3,economics!$AK$2:$AK$167,economics!$AJ$2:$AJ$167,TRUE)-_xlfn.NORM.DIST(CB$30,economics!$AK$2:$AK$167,economics!$AJ$2:$AJ$167,TRUE))*economics!$AM$2:$AM$167))/(SUMPRODUCT((economics!$AG$2:$AG$167=$B53)*(economics!$D$2:$D$167="process")*economics!$AI$2:$AI$167*(_xlfn.NORM.DIST(CB$3,economics!$AK$2:$AK$167,economics!$AJ$2:$AJ$167,TRUE)-_xlfn.NORM.DIST(CB$30,economics!$AK$2:$AK$167,economics!$AJ$2:$AJ$167,TRUE)))),"")</f>
        <v/>
      </c>
      <c r="CC53">
        <f t="array" ref="CC53">IFERROR((SUMPRODUCT((economics!$AG$2:$AG$167=$B53)*(economics!$D$2:$D$167="process")*economics!$AI$2:$AI$167*(_xlfn.NORM.DIST(CC$3,economics!$AK$2:$AK$167,economics!$AJ$2:$AJ$167,TRUE)-_xlfn.NORM.DIST(CC$30,economics!$AK$2:$AK$167,economics!$AJ$2:$AJ$167,TRUE))*economics!$AM$2:$AM$167))/(SUMPRODUCT((economics!$AG$2:$AG$167=$B53)*(economics!$D$2:$D$167="process")*economics!$AI$2:$AI$167*(_xlfn.NORM.DIST(CC$3,economics!$AK$2:$AK$167,economics!$AJ$2:$AJ$167,TRUE)-_xlfn.NORM.DIST(CC$30,economics!$AK$2:$AK$167,economics!$AJ$2:$AJ$167,TRUE)))),"")</f>
        <v/>
      </c>
      <c r="CD53">
        <f t="array" ref="CD53">IFERROR((SUMPRODUCT((economics!$AG$2:$AG$167=$B53)*(economics!$D$2:$D$167="process")*economics!$AI$2:$AI$167*(_xlfn.NORM.DIST(CD$3,economics!$AK$2:$AK$167,economics!$AJ$2:$AJ$167,TRUE)-_xlfn.NORM.DIST(CD$30,economics!$AK$2:$AK$167,economics!$AJ$2:$AJ$167,TRUE))*economics!$AM$2:$AM$167))/(SUMPRODUCT((economics!$AG$2:$AG$167=$B53)*(economics!$D$2:$D$167="process")*economics!$AI$2:$AI$167*(_xlfn.NORM.DIST(CD$3,economics!$AK$2:$AK$167,economics!$AJ$2:$AJ$167,TRUE)-_xlfn.NORM.DIST(CD$30,economics!$AK$2:$AK$167,economics!$AJ$2:$AJ$167,TRUE)))),"")</f>
        <v/>
      </c>
      <c r="CE53">
        <f t="array" ref="CE53">IFERROR((SUMPRODUCT((economics!$AG$2:$AG$167=$B53)*(economics!$D$2:$D$167="process")*economics!$AI$2:$AI$167*(_xlfn.NORM.DIST(CE$3,economics!$AK$2:$AK$167,economics!$AJ$2:$AJ$167,TRUE)-_xlfn.NORM.DIST(CE$30,economics!$AK$2:$AK$167,economics!$AJ$2:$AJ$167,TRUE))*economics!$AM$2:$AM$167))/(SUMPRODUCT((economics!$AG$2:$AG$167=$B53)*(economics!$D$2:$D$167="process")*economics!$AI$2:$AI$167*(_xlfn.NORM.DIST(CE$3,economics!$AK$2:$AK$167,economics!$AJ$2:$AJ$167,TRUE)-_xlfn.NORM.DIST(CE$30,economics!$AK$2:$AK$167,economics!$AJ$2:$AJ$167,TRUE)))),"")</f>
        <v/>
      </c>
      <c r="CF53">
        <f t="array" ref="CF53">IFERROR((SUMPRODUCT((economics!$AG$2:$AG$167=$B53)*(economics!$D$2:$D$167="process")*economics!$AI$2:$AI$167*(_xlfn.NORM.DIST(CF$3,economics!$AK$2:$AK$167,economics!$AJ$2:$AJ$167,TRUE)-_xlfn.NORM.DIST(CF$30,economics!$AK$2:$AK$167,economics!$AJ$2:$AJ$167,TRUE))*economics!$AM$2:$AM$167))/(SUMPRODUCT((economics!$AG$2:$AG$167=$B53)*(economics!$D$2:$D$167="process")*economics!$AI$2:$AI$167*(_xlfn.NORM.DIST(CF$3,economics!$AK$2:$AK$167,economics!$AJ$2:$AJ$167,TRUE)-_xlfn.NORM.DIST(CF$30,economics!$AK$2:$AK$167,economics!$AJ$2:$AJ$167,TRUE)))),"")</f>
        <v/>
      </c>
      <c r="CG53">
        <f t="array" ref="CG53">IFERROR((SUMPRODUCT((economics!$AG$2:$AG$167=$B53)*(economics!$D$2:$D$167="process")*economics!$AI$2:$AI$167*(_xlfn.NORM.DIST(CG$3,economics!$AK$2:$AK$167,economics!$AJ$2:$AJ$167,TRUE)-_xlfn.NORM.DIST(CG$30,economics!$AK$2:$AK$167,economics!$AJ$2:$AJ$167,TRUE))*economics!$AM$2:$AM$167))/(SUMPRODUCT((economics!$AG$2:$AG$167=$B53)*(economics!$D$2:$D$167="process")*economics!$AI$2:$AI$167*(_xlfn.NORM.DIST(CG$3,economics!$AK$2:$AK$167,economics!$AJ$2:$AJ$167,TRUE)-_xlfn.NORM.DIST(CG$30,economics!$AK$2:$AK$167,economics!$AJ$2:$AJ$167,TRUE)))),"")</f>
        <v/>
      </c>
      <c r="CH53">
        <f t="array" ref="CH53">IFERROR((SUMPRODUCT((economics!$AG$2:$AG$167=$B53)*(economics!$D$2:$D$167="process")*economics!$AI$2:$AI$167*(_xlfn.NORM.DIST(CH$3,economics!$AK$2:$AK$167,economics!$AJ$2:$AJ$167,TRUE)-_xlfn.NORM.DIST(CH$30,economics!$AK$2:$AK$167,economics!$AJ$2:$AJ$167,TRUE))*economics!$AM$2:$AM$167))/(SUMPRODUCT((economics!$AG$2:$AG$167=$B53)*(economics!$D$2:$D$167="process")*economics!$AI$2:$AI$167*(_xlfn.NORM.DIST(CH$3,economics!$AK$2:$AK$167,economics!$AJ$2:$AJ$167,TRUE)-_xlfn.NORM.DIST(CH$30,economics!$AK$2:$AK$167,economics!$AJ$2:$AJ$167,TRUE)))),"")</f>
        <v/>
      </c>
    </row>
    <row r="54">
      <c r="A54">
        <f>A25</f>
        <v/>
      </c>
      <c r="B54">
        <f>B25</f>
        <v/>
      </c>
      <c r="E54">
        <f t="array" ref="E54">IFERROR((SUMPRODUCT((economics!$AG$2:$AG$167=$B54)*(economics!$D$2:$D$167="process")*economics!$AI$2:$AI$167*(_xlfn.NORM.DIST(E$3,economics!$AK$2:$AK$167,economics!$AJ$2:$AJ$167,TRUE)-_xlfn.NORM.DIST(E$30,economics!$AK$2:$AK$167,economics!$AJ$2:$AJ$167,TRUE))*economics!$AM$2:$AM$167))/(SUMPRODUCT((economics!$AG$2:$AG$167=$B54)*(economics!$D$2:$D$167="process")*economics!$AI$2:$AI$167*(_xlfn.NORM.DIST(E$3,economics!$AK$2:$AK$167,economics!$AJ$2:$AJ$167,TRUE)-_xlfn.NORM.DIST(E$30,economics!$AK$2:$AK$167,economics!$AJ$2:$AJ$167,TRUE)))),"")</f>
        <v/>
      </c>
      <c r="F54">
        <f t="array" ref="F54">IFERROR((SUMPRODUCT((economics!$AG$2:$AG$167=$B54)*(economics!$D$2:$D$167="process")*economics!$AI$2:$AI$167*(_xlfn.NORM.DIST(F$3,economics!$AK$2:$AK$167,economics!$AJ$2:$AJ$167,TRUE)-_xlfn.NORM.DIST(F$30,economics!$AK$2:$AK$167,economics!$AJ$2:$AJ$167,TRUE))*economics!$AM$2:$AM$167))/(SUMPRODUCT((economics!$AG$2:$AG$167=$B54)*(economics!$D$2:$D$167="process")*economics!$AI$2:$AI$167*(_xlfn.NORM.DIST(F$3,economics!$AK$2:$AK$167,economics!$AJ$2:$AJ$167,TRUE)-_xlfn.NORM.DIST(F$30,economics!$AK$2:$AK$167,economics!$AJ$2:$AJ$167,TRUE)))),"")</f>
        <v/>
      </c>
      <c r="G54">
        <f t="array" ref="G54">IFERROR((SUMPRODUCT((economics!$AG$2:$AG$167=$B54)*(economics!$D$2:$D$167="process")*economics!$AI$2:$AI$167*(_xlfn.NORM.DIST(G$3,economics!$AK$2:$AK$167,economics!$AJ$2:$AJ$167,TRUE)-_xlfn.NORM.DIST(G$30,economics!$AK$2:$AK$167,economics!$AJ$2:$AJ$167,TRUE))*economics!$AM$2:$AM$167))/(SUMPRODUCT((economics!$AG$2:$AG$167=$B54)*(economics!$D$2:$D$167="process")*economics!$AI$2:$AI$167*(_xlfn.NORM.DIST(G$3,economics!$AK$2:$AK$167,economics!$AJ$2:$AJ$167,TRUE)-_xlfn.NORM.DIST(G$30,economics!$AK$2:$AK$167,economics!$AJ$2:$AJ$167,TRUE)))),"")</f>
        <v/>
      </c>
      <c r="H54">
        <f t="array" ref="H54">IFERROR((SUMPRODUCT((economics!$AG$2:$AG$167=$B54)*(economics!$D$2:$D$167="process")*economics!$AI$2:$AI$167*(_xlfn.NORM.DIST(H$3,economics!$AK$2:$AK$167,economics!$AJ$2:$AJ$167,TRUE)-_xlfn.NORM.DIST(H$30,economics!$AK$2:$AK$167,economics!$AJ$2:$AJ$167,TRUE))*economics!$AM$2:$AM$167))/(SUMPRODUCT((economics!$AG$2:$AG$167=$B54)*(economics!$D$2:$D$167="process")*economics!$AI$2:$AI$167*(_xlfn.NORM.DIST(H$3,economics!$AK$2:$AK$167,economics!$AJ$2:$AJ$167,TRUE)-_xlfn.NORM.DIST(H$30,economics!$AK$2:$AK$167,economics!$AJ$2:$AJ$167,TRUE)))),"")</f>
        <v/>
      </c>
      <c r="I54">
        <f t="array" ref="I54">IFERROR((SUMPRODUCT((economics!$AG$2:$AG$167=$B54)*(economics!$D$2:$D$167="process")*economics!$AI$2:$AI$167*(_xlfn.NORM.DIST(I$3,economics!$AK$2:$AK$167,economics!$AJ$2:$AJ$167,TRUE)-_xlfn.NORM.DIST(I$30,economics!$AK$2:$AK$167,economics!$AJ$2:$AJ$167,TRUE))*economics!$AM$2:$AM$167))/(SUMPRODUCT((economics!$AG$2:$AG$167=$B54)*(economics!$D$2:$D$167="process")*economics!$AI$2:$AI$167*(_xlfn.NORM.DIST(I$3,economics!$AK$2:$AK$167,economics!$AJ$2:$AJ$167,TRUE)-_xlfn.NORM.DIST(I$30,economics!$AK$2:$AK$167,economics!$AJ$2:$AJ$167,TRUE)))),"")</f>
        <v/>
      </c>
      <c r="J54">
        <f t="array" ref="J54">IFERROR((SUMPRODUCT((economics!$AG$2:$AG$167=$B54)*(economics!$D$2:$D$167="process")*economics!$AI$2:$AI$167*(_xlfn.NORM.DIST(J$3,economics!$AK$2:$AK$167,economics!$AJ$2:$AJ$167,TRUE)-_xlfn.NORM.DIST(J$30,economics!$AK$2:$AK$167,economics!$AJ$2:$AJ$167,TRUE))*economics!$AM$2:$AM$167))/(SUMPRODUCT((economics!$AG$2:$AG$167=$B54)*(economics!$D$2:$D$167="process")*economics!$AI$2:$AI$167*(_xlfn.NORM.DIST(J$3,economics!$AK$2:$AK$167,economics!$AJ$2:$AJ$167,TRUE)-_xlfn.NORM.DIST(J$30,economics!$AK$2:$AK$167,economics!$AJ$2:$AJ$167,TRUE)))),"")</f>
        <v/>
      </c>
      <c r="K54">
        <f t="array" ref="K54">IFERROR((SUMPRODUCT((economics!$AG$2:$AG$167=$B54)*(economics!$D$2:$D$167="process")*economics!$AI$2:$AI$167*(_xlfn.NORM.DIST(K$3,economics!$AK$2:$AK$167,economics!$AJ$2:$AJ$167,TRUE)-_xlfn.NORM.DIST(K$30,economics!$AK$2:$AK$167,economics!$AJ$2:$AJ$167,TRUE))*economics!$AM$2:$AM$167))/(SUMPRODUCT((economics!$AG$2:$AG$167=$B54)*(economics!$D$2:$D$167="process")*economics!$AI$2:$AI$167*(_xlfn.NORM.DIST(K$3,economics!$AK$2:$AK$167,economics!$AJ$2:$AJ$167,TRUE)-_xlfn.NORM.DIST(K$30,economics!$AK$2:$AK$167,economics!$AJ$2:$AJ$167,TRUE)))),"")</f>
        <v/>
      </c>
      <c r="L54">
        <f t="array" ref="L54">IFERROR((SUMPRODUCT((economics!$AG$2:$AG$167=$B54)*(economics!$D$2:$D$167="process")*economics!$AI$2:$AI$167*(_xlfn.NORM.DIST(L$3,economics!$AK$2:$AK$167,economics!$AJ$2:$AJ$167,TRUE)-_xlfn.NORM.DIST(L$30,economics!$AK$2:$AK$167,economics!$AJ$2:$AJ$167,TRUE))*economics!$AM$2:$AM$167))/(SUMPRODUCT((economics!$AG$2:$AG$167=$B54)*(economics!$D$2:$D$167="process")*economics!$AI$2:$AI$167*(_xlfn.NORM.DIST(L$3,economics!$AK$2:$AK$167,economics!$AJ$2:$AJ$167,TRUE)-_xlfn.NORM.DIST(L$30,economics!$AK$2:$AK$167,economics!$AJ$2:$AJ$167,TRUE)))),"")</f>
        <v/>
      </c>
      <c r="M54">
        <f t="array" ref="M54">IFERROR((SUMPRODUCT((economics!$AG$2:$AG$167=$B54)*(economics!$D$2:$D$167="process")*economics!$AI$2:$AI$167*(_xlfn.NORM.DIST(M$3,economics!$AK$2:$AK$167,economics!$AJ$2:$AJ$167,TRUE)-_xlfn.NORM.DIST(M$30,economics!$AK$2:$AK$167,economics!$AJ$2:$AJ$167,TRUE))*economics!$AM$2:$AM$167))/(SUMPRODUCT((economics!$AG$2:$AG$167=$B54)*(economics!$D$2:$D$167="process")*economics!$AI$2:$AI$167*(_xlfn.NORM.DIST(M$3,economics!$AK$2:$AK$167,economics!$AJ$2:$AJ$167,TRUE)-_xlfn.NORM.DIST(M$30,economics!$AK$2:$AK$167,economics!$AJ$2:$AJ$167,TRUE)))),"")</f>
        <v/>
      </c>
      <c r="N54">
        <f t="array" ref="N54">IFERROR((SUMPRODUCT((economics!$AG$2:$AG$167=$B54)*(economics!$D$2:$D$167="process")*economics!$AI$2:$AI$167*(_xlfn.NORM.DIST(N$3,economics!$AK$2:$AK$167,economics!$AJ$2:$AJ$167,TRUE)-_xlfn.NORM.DIST(N$30,economics!$AK$2:$AK$167,economics!$AJ$2:$AJ$167,TRUE))*economics!$AM$2:$AM$167))/(SUMPRODUCT((economics!$AG$2:$AG$167=$B54)*(economics!$D$2:$D$167="process")*economics!$AI$2:$AI$167*(_xlfn.NORM.DIST(N$3,economics!$AK$2:$AK$167,economics!$AJ$2:$AJ$167,TRUE)-_xlfn.NORM.DIST(N$30,economics!$AK$2:$AK$167,economics!$AJ$2:$AJ$167,TRUE)))),"")</f>
        <v/>
      </c>
      <c r="O54">
        <f t="array" ref="O54">IFERROR((SUMPRODUCT((economics!$AG$2:$AG$167=$B54)*(economics!$D$2:$D$167="process")*economics!$AI$2:$AI$167*(_xlfn.NORM.DIST(O$3,economics!$AK$2:$AK$167,economics!$AJ$2:$AJ$167,TRUE)-_xlfn.NORM.DIST(O$30,economics!$AK$2:$AK$167,economics!$AJ$2:$AJ$167,TRUE))*economics!$AM$2:$AM$167))/(SUMPRODUCT((economics!$AG$2:$AG$167=$B54)*(economics!$D$2:$D$167="process")*economics!$AI$2:$AI$167*(_xlfn.NORM.DIST(O$3,economics!$AK$2:$AK$167,economics!$AJ$2:$AJ$167,TRUE)-_xlfn.NORM.DIST(O$30,economics!$AK$2:$AK$167,economics!$AJ$2:$AJ$167,TRUE)))),"")</f>
        <v/>
      </c>
      <c r="P54">
        <f t="array" ref="P54">IFERROR((SUMPRODUCT((economics!$AG$2:$AG$167=$B54)*(economics!$D$2:$D$167="process")*economics!$AI$2:$AI$167*(_xlfn.NORM.DIST(P$3,economics!$AK$2:$AK$167,economics!$AJ$2:$AJ$167,TRUE)-_xlfn.NORM.DIST(P$30,economics!$AK$2:$AK$167,economics!$AJ$2:$AJ$167,TRUE))*economics!$AM$2:$AM$167))/(SUMPRODUCT((economics!$AG$2:$AG$167=$B54)*(economics!$D$2:$D$167="process")*economics!$AI$2:$AI$167*(_xlfn.NORM.DIST(P$3,economics!$AK$2:$AK$167,economics!$AJ$2:$AJ$167,TRUE)-_xlfn.NORM.DIST(P$30,economics!$AK$2:$AK$167,economics!$AJ$2:$AJ$167,TRUE)))),"")</f>
        <v/>
      </c>
      <c r="Q54">
        <f t="array" ref="Q54">IFERROR((SUMPRODUCT((economics!$AG$2:$AG$167=$B54)*(economics!$D$2:$D$167="process")*economics!$AI$2:$AI$167*(_xlfn.NORM.DIST(Q$3,economics!$AK$2:$AK$167,economics!$AJ$2:$AJ$167,TRUE)-_xlfn.NORM.DIST(Q$30,economics!$AK$2:$AK$167,economics!$AJ$2:$AJ$167,TRUE))*economics!$AM$2:$AM$167))/(SUMPRODUCT((economics!$AG$2:$AG$167=$B54)*(economics!$D$2:$D$167="process")*economics!$AI$2:$AI$167*(_xlfn.NORM.DIST(Q$3,economics!$AK$2:$AK$167,economics!$AJ$2:$AJ$167,TRUE)-_xlfn.NORM.DIST(Q$30,economics!$AK$2:$AK$167,economics!$AJ$2:$AJ$167,TRUE)))),"")</f>
        <v/>
      </c>
      <c r="R54">
        <f t="array" ref="R54">IFERROR((SUMPRODUCT((economics!$AG$2:$AG$167=$B54)*(economics!$D$2:$D$167="process")*economics!$AI$2:$AI$167*(_xlfn.NORM.DIST(R$3,economics!$AK$2:$AK$167,economics!$AJ$2:$AJ$167,TRUE)-_xlfn.NORM.DIST(R$30,economics!$AK$2:$AK$167,economics!$AJ$2:$AJ$167,TRUE))*economics!$AM$2:$AM$167))/(SUMPRODUCT((economics!$AG$2:$AG$167=$B54)*(economics!$D$2:$D$167="process")*economics!$AI$2:$AI$167*(_xlfn.NORM.DIST(R$3,economics!$AK$2:$AK$167,economics!$AJ$2:$AJ$167,TRUE)-_xlfn.NORM.DIST(R$30,economics!$AK$2:$AK$167,economics!$AJ$2:$AJ$167,TRUE)))),"")</f>
        <v/>
      </c>
      <c r="S54">
        <f t="array" ref="S54">IFERROR((SUMPRODUCT((economics!$AG$2:$AG$167=$B54)*(economics!$D$2:$D$167="process")*economics!$AI$2:$AI$167*(_xlfn.NORM.DIST(S$3,economics!$AK$2:$AK$167,economics!$AJ$2:$AJ$167,TRUE)-_xlfn.NORM.DIST(S$30,economics!$AK$2:$AK$167,economics!$AJ$2:$AJ$167,TRUE))*economics!$AM$2:$AM$167))/(SUMPRODUCT((economics!$AG$2:$AG$167=$B54)*(economics!$D$2:$D$167="process")*economics!$AI$2:$AI$167*(_xlfn.NORM.DIST(S$3,economics!$AK$2:$AK$167,economics!$AJ$2:$AJ$167,TRUE)-_xlfn.NORM.DIST(S$30,economics!$AK$2:$AK$167,economics!$AJ$2:$AJ$167,TRUE)))),"")</f>
        <v/>
      </c>
      <c r="T54">
        <f t="array" ref="T54">IFERROR((SUMPRODUCT((economics!$AG$2:$AG$167=$B54)*(economics!$D$2:$D$167="process")*economics!$AI$2:$AI$167*(_xlfn.NORM.DIST(T$3,economics!$AK$2:$AK$167,economics!$AJ$2:$AJ$167,TRUE)-_xlfn.NORM.DIST(T$30,economics!$AK$2:$AK$167,economics!$AJ$2:$AJ$167,TRUE))*economics!$AM$2:$AM$167))/(SUMPRODUCT((economics!$AG$2:$AG$167=$B54)*(economics!$D$2:$D$167="process")*economics!$AI$2:$AI$167*(_xlfn.NORM.DIST(T$3,economics!$AK$2:$AK$167,economics!$AJ$2:$AJ$167,TRUE)-_xlfn.NORM.DIST(T$30,economics!$AK$2:$AK$167,economics!$AJ$2:$AJ$167,TRUE)))),"")</f>
        <v/>
      </c>
      <c r="U54">
        <f t="array" ref="U54">IFERROR((SUMPRODUCT((economics!$AG$2:$AG$167=$B54)*(economics!$D$2:$D$167="process")*economics!$AI$2:$AI$167*(_xlfn.NORM.DIST(U$3,economics!$AK$2:$AK$167,economics!$AJ$2:$AJ$167,TRUE)-_xlfn.NORM.DIST(U$30,economics!$AK$2:$AK$167,economics!$AJ$2:$AJ$167,TRUE))*economics!$AM$2:$AM$167))/(SUMPRODUCT((economics!$AG$2:$AG$167=$B54)*(economics!$D$2:$D$167="process")*economics!$AI$2:$AI$167*(_xlfn.NORM.DIST(U$3,economics!$AK$2:$AK$167,economics!$AJ$2:$AJ$167,TRUE)-_xlfn.NORM.DIST(U$30,economics!$AK$2:$AK$167,economics!$AJ$2:$AJ$167,TRUE)))),"")</f>
        <v/>
      </c>
      <c r="V54">
        <f t="array" ref="V54">IFERROR((SUMPRODUCT((economics!$AG$2:$AG$167=$B54)*(economics!$D$2:$D$167="process")*economics!$AI$2:$AI$167*(_xlfn.NORM.DIST(V$3,economics!$AK$2:$AK$167,economics!$AJ$2:$AJ$167,TRUE)-_xlfn.NORM.DIST(V$30,economics!$AK$2:$AK$167,economics!$AJ$2:$AJ$167,TRUE))*economics!$AM$2:$AM$167))/(SUMPRODUCT((economics!$AG$2:$AG$167=$B54)*(economics!$D$2:$D$167="process")*economics!$AI$2:$AI$167*(_xlfn.NORM.DIST(V$3,economics!$AK$2:$AK$167,economics!$AJ$2:$AJ$167,TRUE)-_xlfn.NORM.DIST(V$30,economics!$AK$2:$AK$167,economics!$AJ$2:$AJ$167,TRUE)))),"")</f>
        <v/>
      </c>
      <c r="W54">
        <f t="array" ref="W54">IFERROR((SUMPRODUCT((economics!$AG$2:$AG$167=$B54)*(economics!$D$2:$D$167="process")*economics!$AI$2:$AI$167*(_xlfn.NORM.DIST(W$3,economics!$AK$2:$AK$167,economics!$AJ$2:$AJ$167,TRUE)-_xlfn.NORM.DIST(W$30,economics!$AK$2:$AK$167,economics!$AJ$2:$AJ$167,TRUE))*economics!$AM$2:$AM$167))/(SUMPRODUCT((economics!$AG$2:$AG$167=$B54)*(economics!$D$2:$D$167="process")*economics!$AI$2:$AI$167*(_xlfn.NORM.DIST(W$3,economics!$AK$2:$AK$167,economics!$AJ$2:$AJ$167,TRUE)-_xlfn.NORM.DIST(W$30,economics!$AK$2:$AK$167,economics!$AJ$2:$AJ$167,TRUE)))),"")</f>
        <v/>
      </c>
      <c r="X54">
        <f t="array" ref="X54">IFERROR((SUMPRODUCT((economics!$AG$2:$AG$167=$B54)*(economics!$D$2:$D$167="process")*economics!$AI$2:$AI$167*(_xlfn.NORM.DIST(X$3,economics!$AK$2:$AK$167,economics!$AJ$2:$AJ$167,TRUE)-_xlfn.NORM.DIST(X$30,economics!$AK$2:$AK$167,economics!$AJ$2:$AJ$167,TRUE))*economics!$AM$2:$AM$167))/(SUMPRODUCT((economics!$AG$2:$AG$167=$B54)*(economics!$D$2:$D$167="process")*economics!$AI$2:$AI$167*(_xlfn.NORM.DIST(X$3,economics!$AK$2:$AK$167,economics!$AJ$2:$AJ$167,TRUE)-_xlfn.NORM.DIST(X$30,economics!$AK$2:$AK$167,economics!$AJ$2:$AJ$167,TRUE)))),"")</f>
        <v/>
      </c>
      <c r="Y54">
        <f t="array" ref="Y54">IFERROR((SUMPRODUCT((economics!$AG$2:$AG$167=$B54)*(economics!$D$2:$D$167="process")*economics!$AI$2:$AI$167*(_xlfn.NORM.DIST(Y$3,economics!$AK$2:$AK$167,economics!$AJ$2:$AJ$167,TRUE)-_xlfn.NORM.DIST(Y$30,economics!$AK$2:$AK$167,economics!$AJ$2:$AJ$167,TRUE))*economics!$AM$2:$AM$167))/(SUMPRODUCT((economics!$AG$2:$AG$167=$B54)*(economics!$D$2:$D$167="process")*economics!$AI$2:$AI$167*(_xlfn.NORM.DIST(Y$3,economics!$AK$2:$AK$167,economics!$AJ$2:$AJ$167,TRUE)-_xlfn.NORM.DIST(Y$30,economics!$AK$2:$AK$167,economics!$AJ$2:$AJ$167,TRUE)))),"")</f>
        <v/>
      </c>
      <c r="Z54">
        <f t="array" ref="Z54">IFERROR((SUMPRODUCT((economics!$AG$2:$AG$167=$B54)*(economics!$D$2:$D$167="process")*economics!$AI$2:$AI$167*(_xlfn.NORM.DIST(Z$3,economics!$AK$2:$AK$167,economics!$AJ$2:$AJ$167,TRUE)-_xlfn.NORM.DIST(Z$30,economics!$AK$2:$AK$167,economics!$AJ$2:$AJ$167,TRUE))*economics!$AM$2:$AM$167))/(SUMPRODUCT((economics!$AG$2:$AG$167=$B54)*(economics!$D$2:$D$167="process")*economics!$AI$2:$AI$167*(_xlfn.NORM.DIST(Z$3,economics!$AK$2:$AK$167,economics!$AJ$2:$AJ$167,TRUE)-_xlfn.NORM.DIST(Z$30,economics!$AK$2:$AK$167,economics!$AJ$2:$AJ$167,TRUE)))),"")</f>
        <v/>
      </c>
      <c r="AA54">
        <f t="array" ref="AA54">IFERROR((SUMPRODUCT((economics!$AG$2:$AG$167=$B54)*(economics!$D$2:$D$167="process")*economics!$AI$2:$AI$167*(_xlfn.NORM.DIST(AA$3,economics!$AK$2:$AK$167,economics!$AJ$2:$AJ$167,TRUE)-_xlfn.NORM.DIST(AA$30,economics!$AK$2:$AK$167,economics!$AJ$2:$AJ$167,TRUE))*economics!$AM$2:$AM$167))/(SUMPRODUCT((economics!$AG$2:$AG$167=$B54)*(economics!$D$2:$D$167="process")*economics!$AI$2:$AI$167*(_xlfn.NORM.DIST(AA$3,economics!$AK$2:$AK$167,economics!$AJ$2:$AJ$167,TRUE)-_xlfn.NORM.DIST(AA$30,economics!$AK$2:$AK$167,economics!$AJ$2:$AJ$167,TRUE)))),"")</f>
        <v/>
      </c>
      <c r="AB54">
        <f t="array" ref="AB54">IFERROR((SUMPRODUCT((economics!$AG$2:$AG$167=$B54)*(economics!$D$2:$D$167="process")*economics!$AI$2:$AI$167*(_xlfn.NORM.DIST(AB$3,economics!$AK$2:$AK$167,economics!$AJ$2:$AJ$167,TRUE)-_xlfn.NORM.DIST(AB$30,economics!$AK$2:$AK$167,economics!$AJ$2:$AJ$167,TRUE))*economics!$AM$2:$AM$167))/(SUMPRODUCT((economics!$AG$2:$AG$167=$B54)*(economics!$D$2:$D$167="process")*economics!$AI$2:$AI$167*(_xlfn.NORM.DIST(AB$3,economics!$AK$2:$AK$167,economics!$AJ$2:$AJ$167,TRUE)-_xlfn.NORM.DIST(AB$30,economics!$AK$2:$AK$167,economics!$AJ$2:$AJ$167,TRUE)))),"")</f>
        <v/>
      </c>
      <c r="AC54">
        <f t="array" ref="AC54">IFERROR((SUMPRODUCT((economics!$AG$2:$AG$167=$B54)*(economics!$D$2:$D$167="process")*economics!$AI$2:$AI$167*(_xlfn.NORM.DIST(AC$3,economics!$AK$2:$AK$167,economics!$AJ$2:$AJ$167,TRUE)-_xlfn.NORM.DIST(AC$30,economics!$AK$2:$AK$167,economics!$AJ$2:$AJ$167,TRUE))*economics!$AM$2:$AM$167))/(SUMPRODUCT((economics!$AG$2:$AG$167=$B54)*(economics!$D$2:$D$167="process")*economics!$AI$2:$AI$167*(_xlfn.NORM.DIST(AC$3,economics!$AK$2:$AK$167,economics!$AJ$2:$AJ$167,TRUE)-_xlfn.NORM.DIST(AC$30,economics!$AK$2:$AK$167,economics!$AJ$2:$AJ$167,TRUE)))),"")</f>
        <v/>
      </c>
      <c r="AD54">
        <f t="array" ref="AD54">IFERROR((SUMPRODUCT((economics!$AG$2:$AG$167=$B54)*(economics!$D$2:$D$167="process")*economics!$AI$2:$AI$167*(_xlfn.NORM.DIST(AD$3,economics!$AK$2:$AK$167,economics!$AJ$2:$AJ$167,TRUE)-_xlfn.NORM.DIST(AD$30,economics!$AK$2:$AK$167,economics!$AJ$2:$AJ$167,TRUE))*economics!$AM$2:$AM$167))/(SUMPRODUCT((economics!$AG$2:$AG$167=$B54)*(economics!$D$2:$D$167="process")*economics!$AI$2:$AI$167*(_xlfn.NORM.DIST(AD$3,economics!$AK$2:$AK$167,economics!$AJ$2:$AJ$167,TRUE)-_xlfn.NORM.DIST(AD$30,economics!$AK$2:$AK$167,economics!$AJ$2:$AJ$167,TRUE)))),"")</f>
        <v/>
      </c>
      <c r="AE54">
        <f t="array" ref="AE54">IFERROR((SUMPRODUCT((economics!$AG$2:$AG$167=$B54)*(economics!$D$2:$D$167="process")*economics!$AI$2:$AI$167*(_xlfn.NORM.DIST(AE$3,economics!$AK$2:$AK$167,economics!$AJ$2:$AJ$167,TRUE)-_xlfn.NORM.DIST(AE$30,economics!$AK$2:$AK$167,economics!$AJ$2:$AJ$167,TRUE))*economics!$AM$2:$AM$167))/(SUMPRODUCT((economics!$AG$2:$AG$167=$B54)*(economics!$D$2:$D$167="process")*economics!$AI$2:$AI$167*(_xlfn.NORM.DIST(AE$3,economics!$AK$2:$AK$167,economics!$AJ$2:$AJ$167,TRUE)-_xlfn.NORM.DIST(AE$30,economics!$AK$2:$AK$167,economics!$AJ$2:$AJ$167,TRUE)))),"")</f>
        <v/>
      </c>
      <c r="AF54">
        <f t="array" ref="AF54">IFERROR((SUMPRODUCT((economics!$AG$2:$AG$167=$B54)*(economics!$D$2:$D$167="process")*economics!$AI$2:$AI$167*(_xlfn.NORM.DIST(AF$3,economics!$AK$2:$AK$167,economics!$AJ$2:$AJ$167,TRUE)-_xlfn.NORM.DIST(AF$30,economics!$AK$2:$AK$167,economics!$AJ$2:$AJ$167,TRUE))*economics!$AM$2:$AM$167))/(SUMPRODUCT((economics!$AG$2:$AG$167=$B54)*(economics!$D$2:$D$167="process")*economics!$AI$2:$AI$167*(_xlfn.NORM.DIST(AF$3,economics!$AK$2:$AK$167,economics!$AJ$2:$AJ$167,TRUE)-_xlfn.NORM.DIST(AF$30,economics!$AK$2:$AK$167,economics!$AJ$2:$AJ$167,TRUE)))),"")</f>
        <v/>
      </c>
      <c r="AG54">
        <f t="array" ref="AG54">IFERROR((SUMPRODUCT((economics!$AG$2:$AG$167=$B54)*(economics!$D$2:$D$167="process")*economics!$AI$2:$AI$167*(_xlfn.NORM.DIST(AG$3,economics!$AK$2:$AK$167,economics!$AJ$2:$AJ$167,TRUE)-_xlfn.NORM.DIST(AG$30,economics!$AK$2:$AK$167,economics!$AJ$2:$AJ$167,TRUE))*economics!$AM$2:$AM$167))/(SUMPRODUCT((economics!$AG$2:$AG$167=$B54)*(economics!$D$2:$D$167="process")*economics!$AI$2:$AI$167*(_xlfn.NORM.DIST(AG$3,economics!$AK$2:$AK$167,economics!$AJ$2:$AJ$167,TRUE)-_xlfn.NORM.DIST(AG$30,economics!$AK$2:$AK$167,economics!$AJ$2:$AJ$167,TRUE)))),"")</f>
        <v/>
      </c>
      <c r="AH54">
        <f t="array" ref="AH54">IFERROR((SUMPRODUCT((economics!$AG$2:$AG$167=$B54)*(economics!$D$2:$D$167="process")*economics!$AI$2:$AI$167*(_xlfn.NORM.DIST(AH$3,economics!$AK$2:$AK$167,economics!$AJ$2:$AJ$167,TRUE)-_xlfn.NORM.DIST(AH$30,economics!$AK$2:$AK$167,economics!$AJ$2:$AJ$167,TRUE))*economics!$AM$2:$AM$167))/(SUMPRODUCT((economics!$AG$2:$AG$167=$B54)*(economics!$D$2:$D$167="process")*economics!$AI$2:$AI$167*(_xlfn.NORM.DIST(AH$3,economics!$AK$2:$AK$167,economics!$AJ$2:$AJ$167,TRUE)-_xlfn.NORM.DIST(AH$30,economics!$AK$2:$AK$167,economics!$AJ$2:$AJ$167,TRUE)))),"")</f>
        <v/>
      </c>
      <c r="AI54">
        <f t="array" ref="AI54">IFERROR((SUMPRODUCT((economics!$AG$2:$AG$167=$B54)*(economics!$D$2:$D$167="process")*economics!$AI$2:$AI$167*(_xlfn.NORM.DIST(AI$3,economics!$AK$2:$AK$167,economics!$AJ$2:$AJ$167,TRUE)-_xlfn.NORM.DIST(AI$30,economics!$AK$2:$AK$167,economics!$AJ$2:$AJ$167,TRUE))*economics!$AM$2:$AM$167))/(SUMPRODUCT((economics!$AG$2:$AG$167=$B54)*(economics!$D$2:$D$167="process")*economics!$AI$2:$AI$167*(_xlfn.NORM.DIST(AI$3,economics!$AK$2:$AK$167,economics!$AJ$2:$AJ$167,TRUE)-_xlfn.NORM.DIST(AI$30,economics!$AK$2:$AK$167,economics!$AJ$2:$AJ$167,TRUE)))),"")</f>
        <v/>
      </c>
      <c r="AJ54">
        <f t="array" ref="AJ54">IFERROR((SUMPRODUCT((economics!$AG$2:$AG$167=$B54)*(economics!$D$2:$D$167="process")*economics!$AI$2:$AI$167*(_xlfn.NORM.DIST(AJ$3,economics!$AK$2:$AK$167,economics!$AJ$2:$AJ$167,TRUE)-_xlfn.NORM.DIST(AJ$30,economics!$AK$2:$AK$167,economics!$AJ$2:$AJ$167,TRUE))*economics!$AM$2:$AM$167))/(SUMPRODUCT((economics!$AG$2:$AG$167=$B54)*(economics!$D$2:$D$167="process")*economics!$AI$2:$AI$167*(_xlfn.NORM.DIST(AJ$3,economics!$AK$2:$AK$167,economics!$AJ$2:$AJ$167,TRUE)-_xlfn.NORM.DIST(AJ$30,economics!$AK$2:$AK$167,economics!$AJ$2:$AJ$167,TRUE)))),"")</f>
        <v/>
      </c>
      <c r="AK54">
        <f t="array" ref="AK54">IFERROR((SUMPRODUCT((economics!$AG$2:$AG$167=$B54)*(economics!$D$2:$D$167="process")*economics!$AI$2:$AI$167*(_xlfn.NORM.DIST(AK$3,economics!$AK$2:$AK$167,economics!$AJ$2:$AJ$167,TRUE)-_xlfn.NORM.DIST(AK$30,economics!$AK$2:$AK$167,economics!$AJ$2:$AJ$167,TRUE))*economics!$AM$2:$AM$167))/(SUMPRODUCT((economics!$AG$2:$AG$167=$B54)*(economics!$D$2:$D$167="process")*economics!$AI$2:$AI$167*(_xlfn.NORM.DIST(AK$3,economics!$AK$2:$AK$167,economics!$AJ$2:$AJ$167,TRUE)-_xlfn.NORM.DIST(AK$30,economics!$AK$2:$AK$167,economics!$AJ$2:$AJ$167,TRUE)))),"")</f>
        <v/>
      </c>
      <c r="AL54">
        <f t="array" ref="AL54">IFERROR((SUMPRODUCT((economics!$AG$2:$AG$167=$B54)*(economics!$D$2:$D$167="process")*economics!$AI$2:$AI$167*(_xlfn.NORM.DIST(AL$3,economics!$AK$2:$AK$167,economics!$AJ$2:$AJ$167,TRUE)-_xlfn.NORM.DIST(AL$30,economics!$AK$2:$AK$167,economics!$AJ$2:$AJ$167,TRUE))*economics!$AM$2:$AM$167))/(SUMPRODUCT((economics!$AG$2:$AG$167=$B54)*(economics!$D$2:$D$167="process")*economics!$AI$2:$AI$167*(_xlfn.NORM.DIST(AL$3,economics!$AK$2:$AK$167,economics!$AJ$2:$AJ$167,TRUE)-_xlfn.NORM.DIST(AL$30,economics!$AK$2:$AK$167,economics!$AJ$2:$AJ$167,TRUE)))),"")</f>
        <v/>
      </c>
      <c r="AM54">
        <f t="array" ref="AM54">IFERROR((SUMPRODUCT((economics!$AG$2:$AG$167=$B54)*(economics!$D$2:$D$167="process")*economics!$AI$2:$AI$167*(_xlfn.NORM.DIST(AM$3,economics!$AK$2:$AK$167,economics!$AJ$2:$AJ$167,TRUE)-_xlfn.NORM.DIST(AM$30,economics!$AK$2:$AK$167,economics!$AJ$2:$AJ$167,TRUE))*economics!$AM$2:$AM$167))/(SUMPRODUCT((economics!$AG$2:$AG$167=$B54)*(economics!$D$2:$D$167="process")*economics!$AI$2:$AI$167*(_xlfn.NORM.DIST(AM$3,economics!$AK$2:$AK$167,economics!$AJ$2:$AJ$167,TRUE)-_xlfn.NORM.DIST(AM$30,economics!$AK$2:$AK$167,economics!$AJ$2:$AJ$167,TRUE)))),"")</f>
        <v/>
      </c>
      <c r="AN54">
        <f t="array" ref="AN54">IFERROR((SUMPRODUCT((economics!$AG$2:$AG$167=$B54)*(economics!$D$2:$D$167="process")*economics!$AI$2:$AI$167*(_xlfn.NORM.DIST(AN$3,economics!$AK$2:$AK$167,economics!$AJ$2:$AJ$167,TRUE)-_xlfn.NORM.DIST(AN$30,economics!$AK$2:$AK$167,economics!$AJ$2:$AJ$167,TRUE))*economics!$AM$2:$AM$167))/(SUMPRODUCT((economics!$AG$2:$AG$167=$B54)*(economics!$D$2:$D$167="process")*economics!$AI$2:$AI$167*(_xlfn.NORM.DIST(AN$3,economics!$AK$2:$AK$167,economics!$AJ$2:$AJ$167,TRUE)-_xlfn.NORM.DIST(AN$30,economics!$AK$2:$AK$167,economics!$AJ$2:$AJ$167,TRUE)))),"")</f>
        <v/>
      </c>
      <c r="AO54">
        <f t="array" ref="AO54">IFERROR((SUMPRODUCT((economics!$AG$2:$AG$167=$B54)*(economics!$D$2:$D$167="process")*economics!$AI$2:$AI$167*(_xlfn.NORM.DIST(AO$3,economics!$AK$2:$AK$167,economics!$AJ$2:$AJ$167,TRUE)-_xlfn.NORM.DIST(AO$30,economics!$AK$2:$AK$167,economics!$AJ$2:$AJ$167,TRUE))*economics!$AM$2:$AM$167))/(SUMPRODUCT((economics!$AG$2:$AG$167=$B54)*(economics!$D$2:$D$167="process")*economics!$AI$2:$AI$167*(_xlfn.NORM.DIST(AO$3,economics!$AK$2:$AK$167,economics!$AJ$2:$AJ$167,TRUE)-_xlfn.NORM.DIST(AO$30,economics!$AK$2:$AK$167,economics!$AJ$2:$AJ$167,TRUE)))),"")</f>
        <v/>
      </c>
      <c r="AP54">
        <f t="array" ref="AP54">IFERROR((SUMPRODUCT((economics!$AG$2:$AG$167=$B54)*(economics!$D$2:$D$167="process")*economics!$AI$2:$AI$167*(_xlfn.NORM.DIST(AP$3,economics!$AK$2:$AK$167,economics!$AJ$2:$AJ$167,TRUE)-_xlfn.NORM.DIST(AP$30,economics!$AK$2:$AK$167,economics!$AJ$2:$AJ$167,TRUE))*economics!$AM$2:$AM$167))/(SUMPRODUCT((economics!$AG$2:$AG$167=$B54)*(economics!$D$2:$D$167="process")*economics!$AI$2:$AI$167*(_xlfn.NORM.DIST(AP$3,economics!$AK$2:$AK$167,economics!$AJ$2:$AJ$167,TRUE)-_xlfn.NORM.DIST(AP$30,economics!$AK$2:$AK$167,economics!$AJ$2:$AJ$167,TRUE)))),"")</f>
        <v/>
      </c>
      <c r="AQ54">
        <f t="array" ref="AQ54">IFERROR((SUMPRODUCT((economics!$AG$2:$AG$167=$B54)*(economics!$D$2:$D$167="process")*economics!$AI$2:$AI$167*(_xlfn.NORM.DIST(AQ$3,economics!$AK$2:$AK$167,economics!$AJ$2:$AJ$167,TRUE)-_xlfn.NORM.DIST(AQ$30,economics!$AK$2:$AK$167,economics!$AJ$2:$AJ$167,TRUE))*economics!$AM$2:$AM$167))/(SUMPRODUCT((economics!$AG$2:$AG$167=$B54)*(economics!$D$2:$D$167="process")*economics!$AI$2:$AI$167*(_xlfn.NORM.DIST(AQ$3,economics!$AK$2:$AK$167,economics!$AJ$2:$AJ$167,TRUE)-_xlfn.NORM.DIST(AQ$30,economics!$AK$2:$AK$167,economics!$AJ$2:$AJ$167,TRUE)))),"")</f>
        <v/>
      </c>
      <c r="AR54">
        <f t="array" ref="AR54">IFERROR((SUMPRODUCT((economics!$AG$2:$AG$167=$B54)*(economics!$D$2:$D$167="process")*economics!$AI$2:$AI$167*(_xlfn.NORM.DIST(AR$3,economics!$AK$2:$AK$167,economics!$AJ$2:$AJ$167,TRUE)-_xlfn.NORM.DIST(AR$30,economics!$AK$2:$AK$167,economics!$AJ$2:$AJ$167,TRUE))*economics!$AM$2:$AM$167))/(SUMPRODUCT((economics!$AG$2:$AG$167=$B54)*(economics!$D$2:$D$167="process")*economics!$AI$2:$AI$167*(_xlfn.NORM.DIST(AR$3,economics!$AK$2:$AK$167,economics!$AJ$2:$AJ$167,TRUE)-_xlfn.NORM.DIST(AR$30,economics!$AK$2:$AK$167,economics!$AJ$2:$AJ$167,TRUE)))),"")</f>
        <v/>
      </c>
      <c r="AS54">
        <f t="array" ref="AS54">IFERROR((SUMPRODUCT((economics!$AG$2:$AG$167=$B54)*(economics!$D$2:$D$167="process")*economics!$AI$2:$AI$167*(_xlfn.NORM.DIST(AS$3,economics!$AK$2:$AK$167,economics!$AJ$2:$AJ$167,TRUE)-_xlfn.NORM.DIST(AS$30,economics!$AK$2:$AK$167,economics!$AJ$2:$AJ$167,TRUE))*economics!$AM$2:$AM$167))/(SUMPRODUCT((economics!$AG$2:$AG$167=$B54)*(economics!$D$2:$D$167="process")*economics!$AI$2:$AI$167*(_xlfn.NORM.DIST(AS$3,economics!$AK$2:$AK$167,economics!$AJ$2:$AJ$167,TRUE)-_xlfn.NORM.DIST(AS$30,economics!$AK$2:$AK$167,economics!$AJ$2:$AJ$167,TRUE)))),"")</f>
        <v/>
      </c>
      <c r="AT54">
        <f t="array" ref="AT54">IFERROR((SUMPRODUCT((economics!$AG$2:$AG$167=$B54)*(economics!$D$2:$D$167="process")*economics!$AI$2:$AI$167*(_xlfn.NORM.DIST(AT$3,economics!$AK$2:$AK$167,economics!$AJ$2:$AJ$167,TRUE)-_xlfn.NORM.DIST(AT$30,economics!$AK$2:$AK$167,economics!$AJ$2:$AJ$167,TRUE))*economics!$AM$2:$AM$167))/(SUMPRODUCT((economics!$AG$2:$AG$167=$B54)*(economics!$D$2:$D$167="process")*economics!$AI$2:$AI$167*(_xlfn.NORM.DIST(AT$3,economics!$AK$2:$AK$167,economics!$AJ$2:$AJ$167,TRUE)-_xlfn.NORM.DIST(AT$30,economics!$AK$2:$AK$167,economics!$AJ$2:$AJ$167,TRUE)))),"")</f>
        <v/>
      </c>
      <c r="AU54">
        <f t="array" ref="AU54">IFERROR((SUMPRODUCT((economics!$AG$2:$AG$167=$B54)*(economics!$D$2:$D$167="process")*economics!$AI$2:$AI$167*(_xlfn.NORM.DIST(AU$3,economics!$AK$2:$AK$167,economics!$AJ$2:$AJ$167,TRUE)-_xlfn.NORM.DIST(AU$30,economics!$AK$2:$AK$167,economics!$AJ$2:$AJ$167,TRUE))*economics!$AM$2:$AM$167))/(SUMPRODUCT((economics!$AG$2:$AG$167=$B54)*(economics!$D$2:$D$167="process")*economics!$AI$2:$AI$167*(_xlfn.NORM.DIST(AU$3,economics!$AK$2:$AK$167,economics!$AJ$2:$AJ$167,TRUE)-_xlfn.NORM.DIST(AU$30,economics!$AK$2:$AK$167,economics!$AJ$2:$AJ$167,TRUE)))),"")</f>
        <v/>
      </c>
      <c r="AV54">
        <f t="array" ref="AV54">IFERROR((SUMPRODUCT((economics!$AG$2:$AG$167=$B54)*(economics!$D$2:$D$167="process")*economics!$AI$2:$AI$167*(_xlfn.NORM.DIST(AV$3,economics!$AK$2:$AK$167,economics!$AJ$2:$AJ$167,TRUE)-_xlfn.NORM.DIST(AV$30,economics!$AK$2:$AK$167,economics!$AJ$2:$AJ$167,TRUE))*economics!$AM$2:$AM$167))/(SUMPRODUCT((economics!$AG$2:$AG$167=$B54)*(economics!$D$2:$D$167="process")*economics!$AI$2:$AI$167*(_xlfn.NORM.DIST(AV$3,economics!$AK$2:$AK$167,economics!$AJ$2:$AJ$167,TRUE)-_xlfn.NORM.DIST(AV$30,economics!$AK$2:$AK$167,economics!$AJ$2:$AJ$167,TRUE)))),"")</f>
        <v/>
      </c>
      <c r="AW54">
        <f t="array" ref="AW54">IFERROR((SUMPRODUCT((economics!$AG$2:$AG$167=$B54)*(economics!$D$2:$D$167="process")*economics!$AI$2:$AI$167*(_xlfn.NORM.DIST(AW$3,economics!$AK$2:$AK$167,economics!$AJ$2:$AJ$167,TRUE)-_xlfn.NORM.DIST(AW$30,economics!$AK$2:$AK$167,economics!$AJ$2:$AJ$167,TRUE))*economics!$AM$2:$AM$167))/(SUMPRODUCT((economics!$AG$2:$AG$167=$B54)*(economics!$D$2:$D$167="process")*economics!$AI$2:$AI$167*(_xlfn.NORM.DIST(AW$3,economics!$AK$2:$AK$167,economics!$AJ$2:$AJ$167,TRUE)-_xlfn.NORM.DIST(AW$30,economics!$AK$2:$AK$167,economics!$AJ$2:$AJ$167,TRUE)))),"")</f>
        <v/>
      </c>
      <c r="AX54">
        <f t="array" ref="AX54">IFERROR((SUMPRODUCT((economics!$AG$2:$AG$167=$B54)*(economics!$D$2:$D$167="process")*economics!$AI$2:$AI$167*(_xlfn.NORM.DIST(AX$3,economics!$AK$2:$AK$167,economics!$AJ$2:$AJ$167,TRUE)-_xlfn.NORM.DIST(AX$30,economics!$AK$2:$AK$167,economics!$AJ$2:$AJ$167,TRUE))*economics!$AM$2:$AM$167))/(SUMPRODUCT((economics!$AG$2:$AG$167=$B54)*(economics!$D$2:$D$167="process")*economics!$AI$2:$AI$167*(_xlfn.NORM.DIST(AX$3,economics!$AK$2:$AK$167,economics!$AJ$2:$AJ$167,TRUE)-_xlfn.NORM.DIST(AX$30,economics!$AK$2:$AK$167,economics!$AJ$2:$AJ$167,TRUE)))),"")</f>
        <v/>
      </c>
      <c r="AY54">
        <f t="array" ref="AY54">IFERROR((SUMPRODUCT((economics!$AG$2:$AG$167=$B54)*(economics!$D$2:$D$167="process")*economics!$AI$2:$AI$167*(_xlfn.NORM.DIST(AY$3,economics!$AK$2:$AK$167,economics!$AJ$2:$AJ$167,TRUE)-_xlfn.NORM.DIST(AY$30,economics!$AK$2:$AK$167,economics!$AJ$2:$AJ$167,TRUE))*economics!$AM$2:$AM$167))/(SUMPRODUCT((economics!$AG$2:$AG$167=$B54)*(economics!$D$2:$D$167="process")*economics!$AI$2:$AI$167*(_xlfn.NORM.DIST(AY$3,economics!$AK$2:$AK$167,economics!$AJ$2:$AJ$167,TRUE)-_xlfn.NORM.DIST(AY$30,economics!$AK$2:$AK$167,economics!$AJ$2:$AJ$167,TRUE)))),"")</f>
        <v/>
      </c>
      <c r="AZ54">
        <f t="array" ref="AZ54">IFERROR((SUMPRODUCT((economics!$AG$2:$AG$167=$B54)*(economics!$D$2:$D$167="process")*economics!$AI$2:$AI$167*(_xlfn.NORM.DIST(AZ$3,economics!$AK$2:$AK$167,economics!$AJ$2:$AJ$167,TRUE)-_xlfn.NORM.DIST(AZ$30,economics!$AK$2:$AK$167,economics!$AJ$2:$AJ$167,TRUE))*economics!$AM$2:$AM$167))/(SUMPRODUCT((economics!$AG$2:$AG$167=$B54)*(economics!$D$2:$D$167="process")*economics!$AI$2:$AI$167*(_xlfn.NORM.DIST(AZ$3,economics!$AK$2:$AK$167,economics!$AJ$2:$AJ$167,TRUE)-_xlfn.NORM.DIST(AZ$30,economics!$AK$2:$AK$167,economics!$AJ$2:$AJ$167,TRUE)))),"")</f>
        <v/>
      </c>
      <c r="BA54">
        <f t="array" ref="BA54">IFERROR((SUMPRODUCT((economics!$AG$2:$AG$167=$B54)*(economics!$D$2:$D$167="process")*economics!$AI$2:$AI$167*(_xlfn.NORM.DIST(BA$3,economics!$AK$2:$AK$167,economics!$AJ$2:$AJ$167,TRUE)-_xlfn.NORM.DIST(BA$30,economics!$AK$2:$AK$167,economics!$AJ$2:$AJ$167,TRUE))*economics!$AM$2:$AM$167))/(SUMPRODUCT((economics!$AG$2:$AG$167=$B54)*(economics!$D$2:$D$167="process")*economics!$AI$2:$AI$167*(_xlfn.NORM.DIST(BA$3,economics!$AK$2:$AK$167,economics!$AJ$2:$AJ$167,TRUE)-_xlfn.NORM.DIST(BA$30,economics!$AK$2:$AK$167,economics!$AJ$2:$AJ$167,TRUE)))),"")</f>
        <v/>
      </c>
      <c r="BB54">
        <f t="array" ref="BB54">IFERROR((SUMPRODUCT((economics!$AG$2:$AG$167=$B54)*(economics!$D$2:$D$167="process")*economics!$AI$2:$AI$167*(_xlfn.NORM.DIST(BB$3,economics!$AK$2:$AK$167,economics!$AJ$2:$AJ$167,TRUE)-_xlfn.NORM.DIST(BB$30,economics!$AK$2:$AK$167,economics!$AJ$2:$AJ$167,TRUE))*economics!$AM$2:$AM$167))/(SUMPRODUCT((economics!$AG$2:$AG$167=$B54)*(economics!$D$2:$D$167="process")*economics!$AI$2:$AI$167*(_xlfn.NORM.DIST(BB$3,economics!$AK$2:$AK$167,economics!$AJ$2:$AJ$167,TRUE)-_xlfn.NORM.DIST(BB$30,economics!$AK$2:$AK$167,economics!$AJ$2:$AJ$167,TRUE)))),"")</f>
        <v/>
      </c>
      <c r="BC54">
        <f t="array" ref="BC54">IFERROR((SUMPRODUCT((economics!$AG$2:$AG$167=$B54)*(economics!$D$2:$D$167="process")*economics!$AI$2:$AI$167*(_xlfn.NORM.DIST(BC$3,economics!$AK$2:$AK$167,economics!$AJ$2:$AJ$167,TRUE)-_xlfn.NORM.DIST(BC$30,economics!$AK$2:$AK$167,economics!$AJ$2:$AJ$167,TRUE))*economics!$AM$2:$AM$167))/(SUMPRODUCT((economics!$AG$2:$AG$167=$B54)*(economics!$D$2:$D$167="process")*economics!$AI$2:$AI$167*(_xlfn.NORM.DIST(BC$3,economics!$AK$2:$AK$167,economics!$AJ$2:$AJ$167,TRUE)-_xlfn.NORM.DIST(BC$30,economics!$AK$2:$AK$167,economics!$AJ$2:$AJ$167,TRUE)))),"")</f>
        <v/>
      </c>
      <c r="BD54">
        <f t="array" ref="BD54">IFERROR((SUMPRODUCT((economics!$AG$2:$AG$167=$B54)*(economics!$D$2:$D$167="process")*economics!$AI$2:$AI$167*(_xlfn.NORM.DIST(BD$3,economics!$AK$2:$AK$167,economics!$AJ$2:$AJ$167,TRUE)-_xlfn.NORM.DIST(BD$30,economics!$AK$2:$AK$167,economics!$AJ$2:$AJ$167,TRUE))*economics!$AM$2:$AM$167))/(SUMPRODUCT((economics!$AG$2:$AG$167=$B54)*(economics!$D$2:$D$167="process")*economics!$AI$2:$AI$167*(_xlfn.NORM.DIST(BD$3,economics!$AK$2:$AK$167,economics!$AJ$2:$AJ$167,TRUE)-_xlfn.NORM.DIST(BD$30,economics!$AK$2:$AK$167,economics!$AJ$2:$AJ$167,TRUE)))),"")</f>
        <v/>
      </c>
      <c r="BE54">
        <f t="array" ref="BE54">IFERROR((SUMPRODUCT((economics!$AG$2:$AG$167=$B54)*(economics!$D$2:$D$167="process")*economics!$AI$2:$AI$167*(_xlfn.NORM.DIST(BE$3,economics!$AK$2:$AK$167,economics!$AJ$2:$AJ$167,TRUE)-_xlfn.NORM.DIST(BE$30,economics!$AK$2:$AK$167,economics!$AJ$2:$AJ$167,TRUE))*economics!$AM$2:$AM$167))/(SUMPRODUCT((economics!$AG$2:$AG$167=$B54)*(economics!$D$2:$D$167="process")*economics!$AI$2:$AI$167*(_xlfn.NORM.DIST(BE$3,economics!$AK$2:$AK$167,economics!$AJ$2:$AJ$167,TRUE)-_xlfn.NORM.DIST(BE$30,economics!$AK$2:$AK$167,economics!$AJ$2:$AJ$167,TRUE)))),"")</f>
        <v/>
      </c>
      <c r="BF54">
        <f t="array" ref="BF54">IFERROR((SUMPRODUCT((economics!$AG$2:$AG$167=$B54)*(economics!$D$2:$D$167="process")*economics!$AI$2:$AI$167*(_xlfn.NORM.DIST(BF$3,economics!$AK$2:$AK$167,economics!$AJ$2:$AJ$167,TRUE)-_xlfn.NORM.DIST(BF$30,economics!$AK$2:$AK$167,economics!$AJ$2:$AJ$167,TRUE))*economics!$AM$2:$AM$167))/(SUMPRODUCT((economics!$AG$2:$AG$167=$B54)*(economics!$D$2:$D$167="process")*economics!$AI$2:$AI$167*(_xlfn.NORM.DIST(BF$3,economics!$AK$2:$AK$167,economics!$AJ$2:$AJ$167,TRUE)-_xlfn.NORM.DIST(BF$30,economics!$AK$2:$AK$167,economics!$AJ$2:$AJ$167,TRUE)))),"")</f>
        <v/>
      </c>
      <c r="BG54">
        <f t="array" ref="BG54">IFERROR((SUMPRODUCT((economics!$AG$2:$AG$167=$B54)*(economics!$D$2:$D$167="process")*economics!$AI$2:$AI$167*(_xlfn.NORM.DIST(BG$3,economics!$AK$2:$AK$167,economics!$AJ$2:$AJ$167,TRUE)-_xlfn.NORM.DIST(BG$30,economics!$AK$2:$AK$167,economics!$AJ$2:$AJ$167,TRUE))*economics!$AM$2:$AM$167))/(SUMPRODUCT((economics!$AG$2:$AG$167=$B54)*(economics!$D$2:$D$167="process")*economics!$AI$2:$AI$167*(_xlfn.NORM.DIST(BG$3,economics!$AK$2:$AK$167,economics!$AJ$2:$AJ$167,TRUE)-_xlfn.NORM.DIST(BG$30,economics!$AK$2:$AK$167,economics!$AJ$2:$AJ$167,TRUE)))),"")</f>
        <v/>
      </c>
      <c r="BH54">
        <f t="array" ref="BH54">IFERROR((SUMPRODUCT((economics!$AG$2:$AG$167=$B54)*(economics!$D$2:$D$167="process")*economics!$AI$2:$AI$167*(_xlfn.NORM.DIST(BH$3,economics!$AK$2:$AK$167,economics!$AJ$2:$AJ$167,TRUE)-_xlfn.NORM.DIST(BH$30,economics!$AK$2:$AK$167,economics!$AJ$2:$AJ$167,TRUE))*economics!$AM$2:$AM$167))/(SUMPRODUCT((economics!$AG$2:$AG$167=$B54)*(economics!$D$2:$D$167="process")*economics!$AI$2:$AI$167*(_xlfn.NORM.DIST(BH$3,economics!$AK$2:$AK$167,economics!$AJ$2:$AJ$167,TRUE)-_xlfn.NORM.DIST(BH$30,economics!$AK$2:$AK$167,economics!$AJ$2:$AJ$167,TRUE)))),"")</f>
        <v/>
      </c>
      <c r="BI54">
        <f t="array" ref="BI54">IFERROR((SUMPRODUCT((economics!$AG$2:$AG$167=$B54)*(economics!$D$2:$D$167="process")*economics!$AI$2:$AI$167*(_xlfn.NORM.DIST(BI$3,economics!$AK$2:$AK$167,economics!$AJ$2:$AJ$167,TRUE)-_xlfn.NORM.DIST(BI$30,economics!$AK$2:$AK$167,economics!$AJ$2:$AJ$167,TRUE))*economics!$AM$2:$AM$167))/(SUMPRODUCT((economics!$AG$2:$AG$167=$B54)*(economics!$D$2:$D$167="process")*economics!$AI$2:$AI$167*(_xlfn.NORM.DIST(BI$3,economics!$AK$2:$AK$167,economics!$AJ$2:$AJ$167,TRUE)-_xlfn.NORM.DIST(BI$30,economics!$AK$2:$AK$167,economics!$AJ$2:$AJ$167,TRUE)))),"")</f>
        <v/>
      </c>
      <c r="BJ54">
        <f t="array" ref="BJ54">IFERROR((SUMPRODUCT((economics!$AG$2:$AG$167=$B54)*(economics!$D$2:$D$167="process")*economics!$AI$2:$AI$167*(_xlfn.NORM.DIST(BJ$3,economics!$AK$2:$AK$167,economics!$AJ$2:$AJ$167,TRUE)-_xlfn.NORM.DIST(BJ$30,economics!$AK$2:$AK$167,economics!$AJ$2:$AJ$167,TRUE))*economics!$AM$2:$AM$167))/(SUMPRODUCT((economics!$AG$2:$AG$167=$B54)*(economics!$D$2:$D$167="process")*economics!$AI$2:$AI$167*(_xlfn.NORM.DIST(BJ$3,economics!$AK$2:$AK$167,economics!$AJ$2:$AJ$167,TRUE)-_xlfn.NORM.DIST(BJ$30,economics!$AK$2:$AK$167,economics!$AJ$2:$AJ$167,TRUE)))),"")</f>
        <v/>
      </c>
      <c r="BK54">
        <f t="array" ref="BK54">IFERROR((SUMPRODUCT((economics!$AG$2:$AG$167=$B54)*(economics!$D$2:$D$167="process")*economics!$AI$2:$AI$167*(_xlfn.NORM.DIST(BK$3,economics!$AK$2:$AK$167,economics!$AJ$2:$AJ$167,TRUE)-_xlfn.NORM.DIST(BK$30,economics!$AK$2:$AK$167,economics!$AJ$2:$AJ$167,TRUE))*economics!$AM$2:$AM$167))/(SUMPRODUCT((economics!$AG$2:$AG$167=$B54)*(economics!$D$2:$D$167="process")*economics!$AI$2:$AI$167*(_xlfn.NORM.DIST(BK$3,economics!$AK$2:$AK$167,economics!$AJ$2:$AJ$167,TRUE)-_xlfn.NORM.DIST(BK$30,economics!$AK$2:$AK$167,economics!$AJ$2:$AJ$167,TRUE)))),"")</f>
        <v/>
      </c>
      <c r="BL54">
        <f t="array" ref="BL54">IFERROR((SUMPRODUCT((economics!$AG$2:$AG$167=$B54)*(economics!$D$2:$D$167="process")*economics!$AI$2:$AI$167*(_xlfn.NORM.DIST(BL$3,economics!$AK$2:$AK$167,economics!$AJ$2:$AJ$167,TRUE)-_xlfn.NORM.DIST(BL$30,economics!$AK$2:$AK$167,economics!$AJ$2:$AJ$167,TRUE))*economics!$AM$2:$AM$167))/(SUMPRODUCT((economics!$AG$2:$AG$167=$B54)*(economics!$D$2:$D$167="process")*economics!$AI$2:$AI$167*(_xlfn.NORM.DIST(BL$3,economics!$AK$2:$AK$167,economics!$AJ$2:$AJ$167,TRUE)-_xlfn.NORM.DIST(BL$30,economics!$AK$2:$AK$167,economics!$AJ$2:$AJ$167,TRUE)))),"")</f>
        <v/>
      </c>
      <c r="BM54">
        <f t="array" ref="BM54">IFERROR((SUMPRODUCT((economics!$AG$2:$AG$167=$B54)*(economics!$D$2:$D$167="process")*economics!$AI$2:$AI$167*(_xlfn.NORM.DIST(BM$3,economics!$AK$2:$AK$167,economics!$AJ$2:$AJ$167,TRUE)-_xlfn.NORM.DIST(BM$30,economics!$AK$2:$AK$167,economics!$AJ$2:$AJ$167,TRUE))*economics!$AM$2:$AM$167))/(SUMPRODUCT((economics!$AG$2:$AG$167=$B54)*(economics!$D$2:$D$167="process")*economics!$AI$2:$AI$167*(_xlfn.NORM.DIST(BM$3,economics!$AK$2:$AK$167,economics!$AJ$2:$AJ$167,TRUE)-_xlfn.NORM.DIST(BM$30,economics!$AK$2:$AK$167,economics!$AJ$2:$AJ$167,TRUE)))),"")</f>
        <v/>
      </c>
      <c r="BN54">
        <f t="array" ref="BN54">IFERROR((SUMPRODUCT((economics!$AG$2:$AG$167=$B54)*(economics!$D$2:$D$167="process")*economics!$AI$2:$AI$167*(_xlfn.NORM.DIST(BN$3,economics!$AK$2:$AK$167,economics!$AJ$2:$AJ$167,TRUE)-_xlfn.NORM.DIST(BN$30,economics!$AK$2:$AK$167,economics!$AJ$2:$AJ$167,TRUE))*economics!$AM$2:$AM$167))/(SUMPRODUCT((economics!$AG$2:$AG$167=$B54)*(economics!$D$2:$D$167="process")*economics!$AI$2:$AI$167*(_xlfn.NORM.DIST(BN$3,economics!$AK$2:$AK$167,economics!$AJ$2:$AJ$167,TRUE)-_xlfn.NORM.DIST(BN$30,economics!$AK$2:$AK$167,economics!$AJ$2:$AJ$167,TRUE)))),"")</f>
        <v/>
      </c>
      <c r="BO54">
        <f t="array" ref="BO54">IFERROR((SUMPRODUCT((economics!$AG$2:$AG$167=$B54)*(economics!$D$2:$D$167="process")*economics!$AI$2:$AI$167*(_xlfn.NORM.DIST(BO$3,economics!$AK$2:$AK$167,economics!$AJ$2:$AJ$167,TRUE)-_xlfn.NORM.DIST(BO$30,economics!$AK$2:$AK$167,economics!$AJ$2:$AJ$167,TRUE))*economics!$AM$2:$AM$167))/(SUMPRODUCT((economics!$AG$2:$AG$167=$B54)*(economics!$D$2:$D$167="process")*economics!$AI$2:$AI$167*(_xlfn.NORM.DIST(BO$3,economics!$AK$2:$AK$167,economics!$AJ$2:$AJ$167,TRUE)-_xlfn.NORM.DIST(BO$30,economics!$AK$2:$AK$167,economics!$AJ$2:$AJ$167,TRUE)))),"")</f>
        <v/>
      </c>
      <c r="BP54">
        <f t="array" ref="BP54">IFERROR((SUMPRODUCT((economics!$AG$2:$AG$167=$B54)*(economics!$D$2:$D$167="process")*economics!$AI$2:$AI$167*(_xlfn.NORM.DIST(BP$3,economics!$AK$2:$AK$167,economics!$AJ$2:$AJ$167,TRUE)-_xlfn.NORM.DIST(BP$30,economics!$AK$2:$AK$167,economics!$AJ$2:$AJ$167,TRUE))*economics!$AM$2:$AM$167))/(SUMPRODUCT((economics!$AG$2:$AG$167=$B54)*(economics!$D$2:$D$167="process")*economics!$AI$2:$AI$167*(_xlfn.NORM.DIST(BP$3,economics!$AK$2:$AK$167,economics!$AJ$2:$AJ$167,TRUE)-_xlfn.NORM.DIST(BP$30,economics!$AK$2:$AK$167,economics!$AJ$2:$AJ$167,TRUE)))),"")</f>
        <v/>
      </c>
      <c r="BQ54">
        <f t="array" ref="BQ54">IFERROR((SUMPRODUCT((economics!$AG$2:$AG$167=$B54)*(economics!$D$2:$D$167="process")*economics!$AI$2:$AI$167*(_xlfn.NORM.DIST(BQ$3,economics!$AK$2:$AK$167,economics!$AJ$2:$AJ$167,TRUE)-_xlfn.NORM.DIST(BQ$30,economics!$AK$2:$AK$167,economics!$AJ$2:$AJ$167,TRUE))*economics!$AM$2:$AM$167))/(SUMPRODUCT((economics!$AG$2:$AG$167=$B54)*(economics!$D$2:$D$167="process")*economics!$AI$2:$AI$167*(_xlfn.NORM.DIST(BQ$3,economics!$AK$2:$AK$167,economics!$AJ$2:$AJ$167,TRUE)-_xlfn.NORM.DIST(BQ$30,economics!$AK$2:$AK$167,economics!$AJ$2:$AJ$167,TRUE)))),"")</f>
        <v/>
      </c>
      <c r="BR54">
        <f t="array" ref="BR54">IFERROR((SUMPRODUCT((economics!$AG$2:$AG$167=$B54)*(economics!$D$2:$D$167="process")*economics!$AI$2:$AI$167*(_xlfn.NORM.DIST(BR$3,economics!$AK$2:$AK$167,economics!$AJ$2:$AJ$167,TRUE)-_xlfn.NORM.DIST(BR$30,economics!$AK$2:$AK$167,economics!$AJ$2:$AJ$167,TRUE))*economics!$AM$2:$AM$167))/(SUMPRODUCT((economics!$AG$2:$AG$167=$B54)*(economics!$D$2:$D$167="process")*economics!$AI$2:$AI$167*(_xlfn.NORM.DIST(BR$3,economics!$AK$2:$AK$167,economics!$AJ$2:$AJ$167,TRUE)-_xlfn.NORM.DIST(BR$30,economics!$AK$2:$AK$167,economics!$AJ$2:$AJ$167,TRUE)))),"")</f>
        <v/>
      </c>
      <c r="BS54">
        <f t="array" ref="BS54">IFERROR((SUMPRODUCT((economics!$AG$2:$AG$167=$B54)*(economics!$D$2:$D$167="process")*economics!$AI$2:$AI$167*(_xlfn.NORM.DIST(BS$3,economics!$AK$2:$AK$167,economics!$AJ$2:$AJ$167,TRUE)-_xlfn.NORM.DIST(BS$30,economics!$AK$2:$AK$167,economics!$AJ$2:$AJ$167,TRUE))*economics!$AM$2:$AM$167))/(SUMPRODUCT((economics!$AG$2:$AG$167=$B54)*(economics!$D$2:$D$167="process")*economics!$AI$2:$AI$167*(_xlfn.NORM.DIST(BS$3,economics!$AK$2:$AK$167,economics!$AJ$2:$AJ$167,TRUE)-_xlfn.NORM.DIST(BS$30,economics!$AK$2:$AK$167,economics!$AJ$2:$AJ$167,TRUE)))),"")</f>
        <v/>
      </c>
      <c r="BT54">
        <f t="array" ref="BT54">IFERROR((SUMPRODUCT((economics!$AG$2:$AG$167=$B54)*(economics!$D$2:$D$167="process")*economics!$AI$2:$AI$167*(_xlfn.NORM.DIST(BT$3,economics!$AK$2:$AK$167,economics!$AJ$2:$AJ$167,TRUE)-_xlfn.NORM.DIST(BT$30,economics!$AK$2:$AK$167,economics!$AJ$2:$AJ$167,TRUE))*economics!$AM$2:$AM$167))/(SUMPRODUCT((economics!$AG$2:$AG$167=$B54)*(economics!$D$2:$D$167="process")*economics!$AI$2:$AI$167*(_xlfn.NORM.DIST(BT$3,economics!$AK$2:$AK$167,economics!$AJ$2:$AJ$167,TRUE)-_xlfn.NORM.DIST(BT$30,economics!$AK$2:$AK$167,economics!$AJ$2:$AJ$167,TRUE)))),"")</f>
        <v/>
      </c>
      <c r="BU54">
        <f t="array" ref="BU54">IFERROR((SUMPRODUCT((economics!$AG$2:$AG$167=$B54)*(economics!$D$2:$D$167="process")*economics!$AI$2:$AI$167*(_xlfn.NORM.DIST(BU$3,economics!$AK$2:$AK$167,economics!$AJ$2:$AJ$167,TRUE)-_xlfn.NORM.DIST(BU$30,economics!$AK$2:$AK$167,economics!$AJ$2:$AJ$167,TRUE))*economics!$AM$2:$AM$167))/(SUMPRODUCT((economics!$AG$2:$AG$167=$B54)*(economics!$D$2:$D$167="process")*economics!$AI$2:$AI$167*(_xlfn.NORM.DIST(BU$3,economics!$AK$2:$AK$167,economics!$AJ$2:$AJ$167,TRUE)-_xlfn.NORM.DIST(BU$30,economics!$AK$2:$AK$167,economics!$AJ$2:$AJ$167,TRUE)))),"")</f>
        <v/>
      </c>
      <c r="BV54">
        <f t="array" ref="BV54">IFERROR((SUMPRODUCT((economics!$AG$2:$AG$167=$B54)*(economics!$D$2:$D$167="process")*economics!$AI$2:$AI$167*(_xlfn.NORM.DIST(BV$3,economics!$AK$2:$AK$167,economics!$AJ$2:$AJ$167,TRUE)-_xlfn.NORM.DIST(BV$30,economics!$AK$2:$AK$167,economics!$AJ$2:$AJ$167,TRUE))*economics!$AM$2:$AM$167))/(SUMPRODUCT((economics!$AG$2:$AG$167=$B54)*(economics!$D$2:$D$167="process")*economics!$AI$2:$AI$167*(_xlfn.NORM.DIST(BV$3,economics!$AK$2:$AK$167,economics!$AJ$2:$AJ$167,TRUE)-_xlfn.NORM.DIST(BV$30,economics!$AK$2:$AK$167,economics!$AJ$2:$AJ$167,TRUE)))),"")</f>
        <v/>
      </c>
      <c r="BW54">
        <f t="array" ref="BW54">IFERROR((SUMPRODUCT((economics!$AG$2:$AG$167=$B54)*(economics!$D$2:$D$167="process")*economics!$AI$2:$AI$167*(_xlfn.NORM.DIST(BW$3,economics!$AK$2:$AK$167,economics!$AJ$2:$AJ$167,TRUE)-_xlfn.NORM.DIST(BW$30,economics!$AK$2:$AK$167,economics!$AJ$2:$AJ$167,TRUE))*economics!$AM$2:$AM$167))/(SUMPRODUCT((economics!$AG$2:$AG$167=$B54)*(economics!$D$2:$D$167="process")*economics!$AI$2:$AI$167*(_xlfn.NORM.DIST(BW$3,economics!$AK$2:$AK$167,economics!$AJ$2:$AJ$167,TRUE)-_xlfn.NORM.DIST(BW$30,economics!$AK$2:$AK$167,economics!$AJ$2:$AJ$167,TRUE)))),"")</f>
        <v/>
      </c>
      <c r="BX54">
        <f t="array" ref="BX54">IFERROR((SUMPRODUCT((economics!$AG$2:$AG$167=$B54)*(economics!$D$2:$D$167="process")*economics!$AI$2:$AI$167*(_xlfn.NORM.DIST(BX$3,economics!$AK$2:$AK$167,economics!$AJ$2:$AJ$167,TRUE)-_xlfn.NORM.DIST(BX$30,economics!$AK$2:$AK$167,economics!$AJ$2:$AJ$167,TRUE))*economics!$AM$2:$AM$167))/(SUMPRODUCT((economics!$AG$2:$AG$167=$B54)*(economics!$D$2:$D$167="process")*economics!$AI$2:$AI$167*(_xlfn.NORM.DIST(BX$3,economics!$AK$2:$AK$167,economics!$AJ$2:$AJ$167,TRUE)-_xlfn.NORM.DIST(BX$30,economics!$AK$2:$AK$167,economics!$AJ$2:$AJ$167,TRUE)))),"")</f>
        <v/>
      </c>
      <c r="BY54">
        <f t="array" ref="BY54">IFERROR((SUMPRODUCT((economics!$AG$2:$AG$167=$B54)*(economics!$D$2:$D$167="process")*economics!$AI$2:$AI$167*(_xlfn.NORM.DIST(BY$3,economics!$AK$2:$AK$167,economics!$AJ$2:$AJ$167,TRUE)-_xlfn.NORM.DIST(BY$30,economics!$AK$2:$AK$167,economics!$AJ$2:$AJ$167,TRUE))*economics!$AM$2:$AM$167))/(SUMPRODUCT((economics!$AG$2:$AG$167=$B54)*(economics!$D$2:$D$167="process")*economics!$AI$2:$AI$167*(_xlfn.NORM.DIST(BY$3,economics!$AK$2:$AK$167,economics!$AJ$2:$AJ$167,TRUE)-_xlfn.NORM.DIST(BY$30,economics!$AK$2:$AK$167,economics!$AJ$2:$AJ$167,TRUE)))),"")</f>
        <v/>
      </c>
      <c r="BZ54">
        <f t="array" ref="BZ54">IFERROR((SUMPRODUCT((economics!$AG$2:$AG$167=$B54)*(economics!$D$2:$D$167="process")*economics!$AI$2:$AI$167*(_xlfn.NORM.DIST(BZ$3,economics!$AK$2:$AK$167,economics!$AJ$2:$AJ$167,TRUE)-_xlfn.NORM.DIST(BZ$30,economics!$AK$2:$AK$167,economics!$AJ$2:$AJ$167,TRUE))*economics!$AM$2:$AM$167))/(SUMPRODUCT((economics!$AG$2:$AG$167=$B54)*(economics!$D$2:$D$167="process")*economics!$AI$2:$AI$167*(_xlfn.NORM.DIST(BZ$3,economics!$AK$2:$AK$167,economics!$AJ$2:$AJ$167,TRUE)-_xlfn.NORM.DIST(BZ$30,economics!$AK$2:$AK$167,economics!$AJ$2:$AJ$167,TRUE)))),"")</f>
        <v/>
      </c>
      <c r="CA54">
        <f t="array" ref="CA54">IFERROR((SUMPRODUCT((economics!$AG$2:$AG$167=$B54)*(economics!$D$2:$D$167="process")*economics!$AI$2:$AI$167*(_xlfn.NORM.DIST(CA$3,economics!$AK$2:$AK$167,economics!$AJ$2:$AJ$167,TRUE)-_xlfn.NORM.DIST(CA$30,economics!$AK$2:$AK$167,economics!$AJ$2:$AJ$167,TRUE))*economics!$AM$2:$AM$167))/(SUMPRODUCT((economics!$AG$2:$AG$167=$B54)*(economics!$D$2:$D$167="process")*economics!$AI$2:$AI$167*(_xlfn.NORM.DIST(CA$3,economics!$AK$2:$AK$167,economics!$AJ$2:$AJ$167,TRUE)-_xlfn.NORM.DIST(CA$30,economics!$AK$2:$AK$167,economics!$AJ$2:$AJ$167,TRUE)))),"")</f>
        <v/>
      </c>
      <c r="CB54">
        <f t="array" ref="CB54">IFERROR((SUMPRODUCT((economics!$AG$2:$AG$167=$B54)*(economics!$D$2:$D$167="process")*economics!$AI$2:$AI$167*(_xlfn.NORM.DIST(CB$3,economics!$AK$2:$AK$167,economics!$AJ$2:$AJ$167,TRUE)-_xlfn.NORM.DIST(CB$30,economics!$AK$2:$AK$167,economics!$AJ$2:$AJ$167,TRUE))*economics!$AM$2:$AM$167))/(SUMPRODUCT((economics!$AG$2:$AG$167=$B54)*(economics!$D$2:$D$167="process")*economics!$AI$2:$AI$167*(_xlfn.NORM.DIST(CB$3,economics!$AK$2:$AK$167,economics!$AJ$2:$AJ$167,TRUE)-_xlfn.NORM.DIST(CB$30,economics!$AK$2:$AK$167,economics!$AJ$2:$AJ$167,TRUE)))),"")</f>
        <v/>
      </c>
      <c r="CC54">
        <f t="array" ref="CC54">IFERROR((SUMPRODUCT((economics!$AG$2:$AG$167=$B54)*(economics!$D$2:$D$167="process")*economics!$AI$2:$AI$167*(_xlfn.NORM.DIST(CC$3,economics!$AK$2:$AK$167,economics!$AJ$2:$AJ$167,TRUE)-_xlfn.NORM.DIST(CC$30,economics!$AK$2:$AK$167,economics!$AJ$2:$AJ$167,TRUE))*economics!$AM$2:$AM$167))/(SUMPRODUCT((economics!$AG$2:$AG$167=$B54)*(economics!$D$2:$D$167="process")*economics!$AI$2:$AI$167*(_xlfn.NORM.DIST(CC$3,economics!$AK$2:$AK$167,economics!$AJ$2:$AJ$167,TRUE)-_xlfn.NORM.DIST(CC$30,economics!$AK$2:$AK$167,economics!$AJ$2:$AJ$167,TRUE)))),"")</f>
        <v/>
      </c>
      <c r="CD54">
        <f t="array" ref="CD54">IFERROR((SUMPRODUCT((economics!$AG$2:$AG$167=$B54)*(economics!$D$2:$D$167="process")*economics!$AI$2:$AI$167*(_xlfn.NORM.DIST(CD$3,economics!$AK$2:$AK$167,economics!$AJ$2:$AJ$167,TRUE)-_xlfn.NORM.DIST(CD$30,economics!$AK$2:$AK$167,economics!$AJ$2:$AJ$167,TRUE))*economics!$AM$2:$AM$167))/(SUMPRODUCT((economics!$AG$2:$AG$167=$B54)*(economics!$D$2:$D$167="process")*economics!$AI$2:$AI$167*(_xlfn.NORM.DIST(CD$3,economics!$AK$2:$AK$167,economics!$AJ$2:$AJ$167,TRUE)-_xlfn.NORM.DIST(CD$30,economics!$AK$2:$AK$167,economics!$AJ$2:$AJ$167,TRUE)))),"")</f>
        <v/>
      </c>
      <c r="CE54">
        <f t="array" ref="CE54">IFERROR((SUMPRODUCT((economics!$AG$2:$AG$167=$B54)*(economics!$D$2:$D$167="process")*economics!$AI$2:$AI$167*(_xlfn.NORM.DIST(CE$3,economics!$AK$2:$AK$167,economics!$AJ$2:$AJ$167,TRUE)-_xlfn.NORM.DIST(CE$30,economics!$AK$2:$AK$167,economics!$AJ$2:$AJ$167,TRUE))*economics!$AM$2:$AM$167))/(SUMPRODUCT((economics!$AG$2:$AG$167=$B54)*(economics!$D$2:$D$167="process")*economics!$AI$2:$AI$167*(_xlfn.NORM.DIST(CE$3,economics!$AK$2:$AK$167,economics!$AJ$2:$AJ$167,TRUE)-_xlfn.NORM.DIST(CE$30,economics!$AK$2:$AK$167,economics!$AJ$2:$AJ$167,TRUE)))),"")</f>
        <v/>
      </c>
      <c r="CF54">
        <f t="array" ref="CF54">IFERROR((SUMPRODUCT((economics!$AG$2:$AG$167=$B54)*(economics!$D$2:$D$167="process")*economics!$AI$2:$AI$167*(_xlfn.NORM.DIST(CF$3,economics!$AK$2:$AK$167,economics!$AJ$2:$AJ$167,TRUE)-_xlfn.NORM.DIST(CF$30,economics!$AK$2:$AK$167,economics!$AJ$2:$AJ$167,TRUE))*economics!$AM$2:$AM$167))/(SUMPRODUCT((economics!$AG$2:$AG$167=$B54)*(economics!$D$2:$D$167="process")*economics!$AI$2:$AI$167*(_xlfn.NORM.DIST(CF$3,economics!$AK$2:$AK$167,economics!$AJ$2:$AJ$167,TRUE)-_xlfn.NORM.DIST(CF$30,economics!$AK$2:$AK$167,economics!$AJ$2:$AJ$167,TRUE)))),"")</f>
        <v/>
      </c>
      <c r="CG54">
        <f t="array" ref="CG54">IFERROR((SUMPRODUCT((economics!$AG$2:$AG$167=$B54)*(economics!$D$2:$D$167="process")*economics!$AI$2:$AI$167*(_xlfn.NORM.DIST(CG$3,economics!$AK$2:$AK$167,economics!$AJ$2:$AJ$167,TRUE)-_xlfn.NORM.DIST(CG$30,economics!$AK$2:$AK$167,economics!$AJ$2:$AJ$167,TRUE))*economics!$AM$2:$AM$167))/(SUMPRODUCT((economics!$AG$2:$AG$167=$B54)*(economics!$D$2:$D$167="process")*economics!$AI$2:$AI$167*(_xlfn.NORM.DIST(CG$3,economics!$AK$2:$AK$167,economics!$AJ$2:$AJ$167,TRUE)-_xlfn.NORM.DIST(CG$30,economics!$AK$2:$AK$167,economics!$AJ$2:$AJ$167,TRUE)))),"")</f>
        <v/>
      </c>
      <c r="CH54">
        <f t="array" ref="CH54">IFERROR((SUMPRODUCT((economics!$AG$2:$AG$167=$B54)*(economics!$D$2:$D$167="process")*economics!$AI$2:$AI$167*(_xlfn.NORM.DIST(CH$3,economics!$AK$2:$AK$167,economics!$AJ$2:$AJ$167,TRUE)-_xlfn.NORM.DIST(CH$30,economics!$AK$2:$AK$167,economics!$AJ$2:$AJ$167,TRUE))*economics!$AM$2:$AM$167))/(SUMPRODUCT((economics!$AG$2:$AG$167=$B54)*(economics!$D$2:$D$167="process")*economics!$AI$2:$AI$167*(_xlfn.NORM.DIST(CH$3,economics!$AK$2:$AK$167,economics!$AJ$2:$AJ$167,TRUE)-_xlfn.NORM.DIST(CH$30,economics!$AK$2:$AK$167,economics!$AJ$2:$AJ$167,TRUE)))),"")</f>
        <v/>
      </c>
    </row>
    <row r="55">
      <c r="A55">
        <f>A26</f>
        <v/>
      </c>
      <c r="B55">
        <f>B26</f>
        <v/>
      </c>
      <c r="E55">
        <f t="array" ref="E55">IFERROR((SUMPRODUCT((economics!$AG$2:$AG$167=$B55)*(economics!$D$2:$D$167="process")*economics!$AI$2:$AI$167*(_xlfn.NORM.DIST(E$3,economics!$AK$2:$AK$167,economics!$AJ$2:$AJ$167,TRUE)-_xlfn.NORM.DIST(E$30,economics!$AK$2:$AK$167,economics!$AJ$2:$AJ$167,TRUE))*economics!$AM$2:$AM$167))/(SUMPRODUCT((economics!$AG$2:$AG$167=$B55)*(economics!$D$2:$D$167="process")*economics!$AI$2:$AI$167*(_xlfn.NORM.DIST(E$3,economics!$AK$2:$AK$167,economics!$AJ$2:$AJ$167,TRUE)-_xlfn.NORM.DIST(E$30,economics!$AK$2:$AK$167,economics!$AJ$2:$AJ$167,TRUE)))),"")</f>
        <v/>
      </c>
      <c r="F55">
        <f t="array" ref="F55">IFERROR((SUMPRODUCT((economics!$AG$2:$AG$167=$B55)*(economics!$D$2:$D$167="process")*economics!$AI$2:$AI$167*(_xlfn.NORM.DIST(F$3,economics!$AK$2:$AK$167,economics!$AJ$2:$AJ$167,TRUE)-_xlfn.NORM.DIST(F$30,economics!$AK$2:$AK$167,economics!$AJ$2:$AJ$167,TRUE))*economics!$AM$2:$AM$167))/(SUMPRODUCT((economics!$AG$2:$AG$167=$B55)*(economics!$D$2:$D$167="process")*economics!$AI$2:$AI$167*(_xlfn.NORM.DIST(F$3,economics!$AK$2:$AK$167,economics!$AJ$2:$AJ$167,TRUE)-_xlfn.NORM.DIST(F$30,economics!$AK$2:$AK$167,economics!$AJ$2:$AJ$167,TRUE)))),"")</f>
        <v/>
      </c>
      <c r="G55">
        <f t="array" ref="G55">IFERROR((SUMPRODUCT((economics!$AG$2:$AG$167=$B55)*(economics!$D$2:$D$167="process")*economics!$AI$2:$AI$167*(_xlfn.NORM.DIST(G$3,economics!$AK$2:$AK$167,economics!$AJ$2:$AJ$167,TRUE)-_xlfn.NORM.DIST(G$30,economics!$AK$2:$AK$167,economics!$AJ$2:$AJ$167,TRUE))*economics!$AM$2:$AM$167))/(SUMPRODUCT((economics!$AG$2:$AG$167=$B55)*(economics!$D$2:$D$167="process")*economics!$AI$2:$AI$167*(_xlfn.NORM.DIST(G$3,economics!$AK$2:$AK$167,economics!$AJ$2:$AJ$167,TRUE)-_xlfn.NORM.DIST(G$30,economics!$AK$2:$AK$167,economics!$AJ$2:$AJ$167,TRUE)))),"")</f>
        <v/>
      </c>
      <c r="H55">
        <f t="array" ref="H55">IFERROR((SUMPRODUCT((economics!$AG$2:$AG$167=$B55)*(economics!$D$2:$D$167="process")*economics!$AI$2:$AI$167*(_xlfn.NORM.DIST(H$3,economics!$AK$2:$AK$167,economics!$AJ$2:$AJ$167,TRUE)-_xlfn.NORM.DIST(H$30,economics!$AK$2:$AK$167,economics!$AJ$2:$AJ$167,TRUE))*economics!$AM$2:$AM$167))/(SUMPRODUCT((economics!$AG$2:$AG$167=$B55)*(economics!$D$2:$D$167="process")*economics!$AI$2:$AI$167*(_xlfn.NORM.DIST(H$3,economics!$AK$2:$AK$167,economics!$AJ$2:$AJ$167,TRUE)-_xlfn.NORM.DIST(H$30,economics!$AK$2:$AK$167,economics!$AJ$2:$AJ$167,TRUE)))),"")</f>
        <v/>
      </c>
      <c r="I55">
        <f t="array" ref="I55">IFERROR((SUMPRODUCT((economics!$AG$2:$AG$167=$B55)*(economics!$D$2:$D$167="process")*economics!$AI$2:$AI$167*(_xlfn.NORM.DIST(I$3,economics!$AK$2:$AK$167,economics!$AJ$2:$AJ$167,TRUE)-_xlfn.NORM.DIST(I$30,economics!$AK$2:$AK$167,economics!$AJ$2:$AJ$167,TRUE))*economics!$AM$2:$AM$167))/(SUMPRODUCT((economics!$AG$2:$AG$167=$B55)*(economics!$D$2:$D$167="process")*economics!$AI$2:$AI$167*(_xlfn.NORM.DIST(I$3,economics!$AK$2:$AK$167,economics!$AJ$2:$AJ$167,TRUE)-_xlfn.NORM.DIST(I$30,economics!$AK$2:$AK$167,economics!$AJ$2:$AJ$167,TRUE)))),"")</f>
        <v/>
      </c>
      <c r="J55">
        <f t="array" ref="J55">IFERROR((SUMPRODUCT((economics!$AG$2:$AG$167=$B55)*(economics!$D$2:$D$167="process")*economics!$AI$2:$AI$167*(_xlfn.NORM.DIST(J$3,economics!$AK$2:$AK$167,economics!$AJ$2:$AJ$167,TRUE)-_xlfn.NORM.DIST(J$30,economics!$AK$2:$AK$167,economics!$AJ$2:$AJ$167,TRUE))*economics!$AM$2:$AM$167))/(SUMPRODUCT((economics!$AG$2:$AG$167=$B55)*(economics!$D$2:$D$167="process")*economics!$AI$2:$AI$167*(_xlfn.NORM.DIST(J$3,economics!$AK$2:$AK$167,economics!$AJ$2:$AJ$167,TRUE)-_xlfn.NORM.DIST(J$30,economics!$AK$2:$AK$167,economics!$AJ$2:$AJ$167,TRUE)))),"")</f>
        <v/>
      </c>
      <c r="K55">
        <f t="array" ref="K55">IFERROR((SUMPRODUCT((economics!$AG$2:$AG$167=$B55)*(economics!$D$2:$D$167="process")*economics!$AI$2:$AI$167*(_xlfn.NORM.DIST(K$3,economics!$AK$2:$AK$167,economics!$AJ$2:$AJ$167,TRUE)-_xlfn.NORM.DIST(K$30,economics!$AK$2:$AK$167,economics!$AJ$2:$AJ$167,TRUE))*economics!$AM$2:$AM$167))/(SUMPRODUCT((economics!$AG$2:$AG$167=$B55)*(economics!$D$2:$D$167="process")*economics!$AI$2:$AI$167*(_xlfn.NORM.DIST(K$3,economics!$AK$2:$AK$167,economics!$AJ$2:$AJ$167,TRUE)-_xlfn.NORM.DIST(K$30,economics!$AK$2:$AK$167,economics!$AJ$2:$AJ$167,TRUE)))),"")</f>
        <v/>
      </c>
      <c r="L55">
        <f t="array" ref="L55">IFERROR((SUMPRODUCT((economics!$AG$2:$AG$167=$B55)*(economics!$D$2:$D$167="process")*economics!$AI$2:$AI$167*(_xlfn.NORM.DIST(L$3,economics!$AK$2:$AK$167,economics!$AJ$2:$AJ$167,TRUE)-_xlfn.NORM.DIST(L$30,economics!$AK$2:$AK$167,economics!$AJ$2:$AJ$167,TRUE))*economics!$AM$2:$AM$167))/(SUMPRODUCT((economics!$AG$2:$AG$167=$B55)*(economics!$D$2:$D$167="process")*economics!$AI$2:$AI$167*(_xlfn.NORM.DIST(L$3,economics!$AK$2:$AK$167,economics!$AJ$2:$AJ$167,TRUE)-_xlfn.NORM.DIST(L$30,economics!$AK$2:$AK$167,economics!$AJ$2:$AJ$167,TRUE)))),"")</f>
        <v/>
      </c>
      <c r="M55">
        <f t="array" ref="M55">IFERROR((SUMPRODUCT((economics!$AG$2:$AG$167=$B55)*(economics!$D$2:$D$167="process")*economics!$AI$2:$AI$167*(_xlfn.NORM.DIST(M$3,economics!$AK$2:$AK$167,economics!$AJ$2:$AJ$167,TRUE)-_xlfn.NORM.DIST(M$30,economics!$AK$2:$AK$167,economics!$AJ$2:$AJ$167,TRUE))*economics!$AM$2:$AM$167))/(SUMPRODUCT((economics!$AG$2:$AG$167=$B55)*(economics!$D$2:$D$167="process")*economics!$AI$2:$AI$167*(_xlfn.NORM.DIST(M$3,economics!$AK$2:$AK$167,economics!$AJ$2:$AJ$167,TRUE)-_xlfn.NORM.DIST(M$30,economics!$AK$2:$AK$167,economics!$AJ$2:$AJ$167,TRUE)))),"")</f>
        <v/>
      </c>
      <c r="N55">
        <f t="array" ref="N55">IFERROR((SUMPRODUCT((economics!$AG$2:$AG$167=$B55)*(economics!$D$2:$D$167="process")*economics!$AI$2:$AI$167*(_xlfn.NORM.DIST(N$3,economics!$AK$2:$AK$167,economics!$AJ$2:$AJ$167,TRUE)-_xlfn.NORM.DIST(N$30,economics!$AK$2:$AK$167,economics!$AJ$2:$AJ$167,TRUE))*economics!$AM$2:$AM$167))/(SUMPRODUCT((economics!$AG$2:$AG$167=$B55)*(economics!$D$2:$D$167="process")*economics!$AI$2:$AI$167*(_xlfn.NORM.DIST(N$3,economics!$AK$2:$AK$167,economics!$AJ$2:$AJ$167,TRUE)-_xlfn.NORM.DIST(N$30,economics!$AK$2:$AK$167,economics!$AJ$2:$AJ$167,TRUE)))),"")</f>
        <v/>
      </c>
      <c r="O55">
        <f t="array" ref="O55">IFERROR((SUMPRODUCT((economics!$AG$2:$AG$167=$B55)*(economics!$D$2:$D$167="process")*economics!$AI$2:$AI$167*(_xlfn.NORM.DIST(O$3,economics!$AK$2:$AK$167,economics!$AJ$2:$AJ$167,TRUE)-_xlfn.NORM.DIST(O$30,economics!$AK$2:$AK$167,economics!$AJ$2:$AJ$167,TRUE))*economics!$AM$2:$AM$167))/(SUMPRODUCT((economics!$AG$2:$AG$167=$B55)*(economics!$D$2:$D$167="process")*economics!$AI$2:$AI$167*(_xlfn.NORM.DIST(O$3,economics!$AK$2:$AK$167,economics!$AJ$2:$AJ$167,TRUE)-_xlfn.NORM.DIST(O$30,economics!$AK$2:$AK$167,economics!$AJ$2:$AJ$167,TRUE)))),"")</f>
        <v/>
      </c>
      <c r="P55">
        <f t="array" ref="P55">IFERROR((SUMPRODUCT((economics!$AG$2:$AG$167=$B55)*(economics!$D$2:$D$167="process")*economics!$AI$2:$AI$167*(_xlfn.NORM.DIST(P$3,economics!$AK$2:$AK$167,economics!$AJ$2:$AJ$167,TRUE)-_xlfn.NORM.DIST(P$30,economics!$AK$2:$AK$167,economics!$AJ$2:$AJ$167,TRUE))*economics!$AM$2:$AM$167))/(SUMPRODUCT((economics!$AG$2:$AG$167=$B55)*(economics!$D$2:$D$167="process")*economics!$AI$2:$AI$167*(_xlfn.NORM.DIST(P$3,economics!$AK$2:$AK$167,economics!$AJ$2:$AJ$167,TRUE)-_xlfn.NORM.DIST(P$30,economics!$AK$2:$AK$167,economics!$AJ$2:$AJ$167,TRUE)))),"")</f>
        <v/>
      </c>
      <c r="Q55">
        <f t="array" ref="Q55">IFERROR((SUMPRODUCT((economics!$AG$2:$AG$167=$B55)*(economics!$D$2:$D$167="process")*economics!$AI$2:$AI$167*(_xlfn.NORM.DIST(Q$3,economics!$AK$2:$AK$167,economics!$AJ$2:$AJ$167,TRUE)-_xlfn.NORM.DIST(Q$30,economics!$AK$2:$AK$167,economics!$AJ$2:$AJ$167,TRUE))*economics!$AM$2:$AM$167))/(SUMPRODUCT((economics!$AG$2:$AG$167=$B55)*(economics!$D$2:$D$167="process")*economics!$AI$2:$AI$167*(_xlfn.NORM.DIST(Q$3,economics!$AK$2:$AK$167,economics!$AJ$2:$AJ$167,TRUE)-_xlfn.NORM.DIST(Q$30,economics!$AK$2:$AK$167,economics!$AJ$2:$AJ$167,TRUE)))),"")</f>
        <v/>
      </c>
      <c r="R55">
        <f t="array" ref="R55">IFERROR((SUMPRODUCT((economics!$AG$2:$AG$167=$B55)*(economics!$D$2:$D$167="process")*economics!$AI$2:$AI$167*(_xlfn.NORM.DIST(R$3,economics!$AK$2:$AK$167,economics!$AJ$2:$AJ$167,TRUE)-_xlfn.NORM.DIST(R$30,economics!$AK$2:$AK$167,economics!$AJ$2:$AJ$167,TRUE))*economics!$AM$2:$AM$167))/(SUMPRODUCT((economics!$AG$2:$AG$167=$B55)*(economics!$D$2:$D$167="process")*economics!$AI$2:$AI$167*(_xlfn.NORM.DIST(R$3,economics!$AK$2:$AK$167,economics!$AJ$2:$AJ$167,TRUE)-_xlfn.NORM.DIST(R$30,economics!$AK$2:$AK$167,economics!$AJ$2:$AJ$167,TRUE)))),"")</f>
        <v/>
      </c>
      <c r="S55">
        <f t="array" ref="S55">IFERROR((SUMPRODUCT((economics!$AG$2:$AG$167=$B55)*(economics!$D$2:$D$167="process")*economics!$AI$2:$AI$167*(_xlfn.NORM.DIST(S$3,economics!$AK$2:$AK$167,economics!$AJ$2:$AJ$167,TRUE)-_xlfn.NORM.DIST(S$30,economics!$AK$2:$AK$167,economics!$AJ$2:$AJ$167,TRUE))*economics!$AM$2:$AM$167))/(SUMPRODUCT((economics!$AG$2:$AG$167=$B55)*(economics!$D$2:$D$167="process")*economics!$AI$2:$AI$167*(_xlfn.NORM.DIST(S$3,economics!$AK$2:$AK$167,economics!$AJ$2:$AJ$167,TRUE)-_xlfn.NORM.DIST(S$30,economics!$AK$2:$AK$167,economics!$AJ$2:$AJ$167,TRUE)))),"")</f>
        <v/>
      </c>
      <c r="T55">
        <f t="array" ref="T55">IFERROR((SUMPRODUCT((economics!$AG$2:$AG$167=$B55)*(economics!$D$2:$D$167="process")*economics!$AI$2:$AI$167*(_xlfn.NORM.DIST(T$3,economics!$AK$2:$AK$167,economics!$AJ$2:$AJ$167,TRUE)-_xlfn.NORM.DIST(T$30,economics!$AK$2:$AK$167,economics!$AJ$2:$AJ$167,TRUE))*economics!$AM$2:$AM$167))/(SUMPRODUCT((economics!$AG$2:$AG$167=$B55)*(economics!$D$2:$D$167="process")*economics!$AI$2:$AI$167*(_xlfn.NORM.DIST(T$3,economics!$AK$2:$AK$167,economics!$AJ$2:$AJ$167,TRUE)-_xlfn.NORM.DIST(T$30,economics!$AK$2:$AK$167,economics!$AJ$2:$AJ$167,TRUE)))),"")</f>
        <v/>
      </c>
      <c r="U55">
        <f t="array" ref="U55">IFERROR((SUMPRODUCT((economics!$AG$2:$AG$167=$B55)*(economics!$D$2:$D$167="process")*economics!$AI$2:$AI$167*(_xlfn.NORM.DIST(U$3,economics!$AK$2:$AK$167,economics!$AJ$2:$AJ$167,TRUE)-_xlfn.NORM.DIST(U$30,economics!$AK$2:$AK$167,economics!$AJ$2:$AJ$167,TRUE))*economics!$AM$2:$AM$167))/(SUMPRODUCT((economics!$AG$2:$AG$167=$B55)*(economics!$D$2:$D$167="process")*economics!$AI$2:$AI$167*(_xlfn.NORM.DIST(U$3,economics!$AK$2:$AK$167,economics!$AJ$2:$AJ$167,TRUE)-_xlfn.NORM.DIST(U$30,economics!$AK$2:$AK$167,economics!$AJ$2:$AJ$167,TRUE)))),"")</f>
        <v/>
      </c>
      <c r="V55">
        <f t="array" ref="V55">IFERROR((SUMPRODUCT((economics!$AG$2:$AG$167=$B55)*(economics!$D$2:$D$167="process")*economics!$AI$2:$AI$167*(_xlfn.NORM.DIST(V$3,economics!$AK$2:$AK$167,economics!$AJ$2:$AJ$167,TRUE)-_xlfn.NORM.DIST(V$30,economics!$AK$2:$AK$167,economics!$AJ$2:$AJ$167,TRUE))*economics!$AM$2:$AM$167))/(SUMPRODUCT((economics!$AG$2:$AG$167=$B55)*(economics!$D$2:$D$167="process")*economics!$AI$2:$AI$167*(_xlfn.NORM.DIST(V$3,economics!$AK$2:$AK$167,economics!$AJ$2:$AJ$167,TRUE)-_xlfn.NORM.DIST(V$30,economics!$AK$2:$AK$167,economics!$AJ$2:$AJ$167,TRUE)))),"")</f>
        <v/>
      </c>
      <c r="W55">
        <f t="array" ref="W55">IFERROR((SUMPRODUCT((economics!$AG$2:$AG$167=$B55)*(economics!$D$2:$D$167="process")*economics!$AI$2:$AI$167*(_xlfn.NORM.DIST(W$3,economics!$AK$2:$AK$167,economics!$AJ$2:$AJ$167,TRUE)-_xlfn.NORM.DIST(W$30,economics!$AK$2:$AK$167,economics!$AJ$2:$AJ$167,TRUE))*economics!$AM$2:$AM$167))/(SUMPRODUCT((economics!$AG$2:$AG$167=$B55)*(economics!$D$2:$D$167="process")*economics!$AI$2:$AI$167*(_xlfn.NORM.DIST(W$3,economics!$AK$2:$AK$167,economics!$AJ$2:$AJ$167,TRUE)-_xlfn.NORM.DIST(W$30,economics!$AK$2:$AK$167,economics!$AJ$2:$AJ$167,TRUE)))),"")</f>
        <v/>
      </c>
      <c r="X55">
        <f t="array" ref="X55">IFERROR((SUMPRODUCT((economics!$AG$2:$AG$167=$B55)*(economics!$D$2:$D$167="process")*economics!$AI$2:$AI$167*(_xlfn.NORM.DIST(X$3,economics!$AK$2:$AK$167,economics!$AJ$2:$AJ$167,TRUE)-_xlfn.NORM.DIST(X$30,economics!$AK$2:$AK$167,economics!$AJ$2:$AJ$167,TRUE))*economics!$AM$2:$AM$167))/(SUMPRODUCT((economics!$AG$2:$AG$167=$B55)*(economics!$D$2:$D$167="process")*economics!$AI$2:$AI$167*(_xlfn.NORM.DIST(X$3,economics!$AK$2:$AK$167,economics!$AJ$2:$AJ$167,TRUE)-_xlfn.NORM.DIST(X$30,economics!$AK$2:$AK$167,economics!$AJ$2:$AJ$167,TRUE)))),"")</f>
        <v/>
      </c>
      <c r="Y55">
        <f t="array" ref="Y55">IFERROR((SUMPRODUCT((economics!$AG$2:$AG$167=$B55)*(economics!$D$2:$D$167="process")*economics!$AI$2:$AI$167*(_xlfn.NORM.DIST(Y$3,economics!$AK$2:$AK$167,economics!$AJ$2:$AJ$167,TRUE)-_xlfn.NORM.DIST(Y$30,economics!$AK$2:$AK$167,economics!$AJ$2:$AJ$167,TRUE))*economics!$AM$2:$AM$167))/(SUMPRODUCT((economics!$AG$2:$AG$167=$B55)*(economics!$D$2:$D$167="process")*economics!$AI$2:$AI$167*(_xlfn.NORM.DIST(Y$3,economics!$AK$2:$AK$167,economics!$AJ$2:$AJ$167,TRUE)-_xlfn.NORM.DIST(Y$30,economics!$AK$2:$AK$167,economics!$AJ$2:$AJ$167,TRUE)))),"")</f>
        <v/>
      </c>
      <c r="Z55">
        <f t="array" ref="Z55">IFERROR((SUMPRODUCT((economics!$AG$2:$AG$167=$B55)*(economics!$D$2:$D$167="process")*economics!$AI$2:$AI$167*(_xlfn.NORM.DIST(Z$3,economics!$AK$2:$AK$167,economics!$AJ$2:$AJ$167,TRUE)-_xlfn.NORM.DIST(Z$30,economics!$AK$2:$AK$167,economics!$AJ$2:$AJ$167,TRUE))*economics!$AM$2:$AM$167))/(SUMPRODUCT((economics!$AG$2:$AG$167=$B55)*(economics!$D$2:$D$167="process")*economics!$AI$2:$AI$167*(_xlfn.NORM.DIST(Z$3,economics!$AK$2:$AK$167,economics!$AJ$2:$AJ$167,TRUE)-_xlfn.NORM.DIST(Z$30,economics!$AK$2:$AK$167,economics!$AJ$2:$AJ$167,TRUE)))),"")</f>
        <v/>
      </c>
      <c r="AA55">
        <f t="array" ref="AA55">IFERROR((SUMPRODUCT((economics!$AG$2:$AG$167=$B55)*(economics!$D$2:$D$167="process")*economics!$AI$2:$AI$167*(_xlfn.NORM.DIST(AA$3,economics!$AK$2:$AK$167,economics!$AJ$2:$AJ$167,TRUE)-_xlfn.NORM.DIST(AA$30,economics!$AK$2:$AK$167,economics!$AJ$2:$AJ$167,TRUE))*economics!$AM$2:$AM$167))/(SUMPRODUCT((economics!$AG$2:$AG$167=$B55)*(economics!$D$2:$D$167="process")*economics!$AI$2:$AI$167*(_xlfn.NORM.DIST(AA$3,economics!$AK$2:$AK$167,economics!$AJ$2:$AJ$167,TRUE)-_xlfn.NORM.DIST(AA$30,economics!$AK$2:$AK$167,economics!$AJ$2:$AJ$167,TRUE)))),"")</f>
        <v/>
      </c>
      <c r="AB55">
        <f t="array" ref="AB55">IFERROR((SUMPRODUCT((economics!$AG$2:$AG$167=$B55)*(economics!$D$2:$D$167="process")*economics!$AI$2:$AI$167*(_xlfn.NORM.DIST(AB$3,economics!$AK$2:$AK$167,economics!$AJ$2:$AJ$167,TRUE)-_xlfn.NORM.DIST(AB$30,economics!$AK$2:$AK$167,economics!$AJ$2:$AJ$167,TRUE))*economics!$AM$2:$AM$167))/(SUMPRODUCT((economics!$AG$2:$AG$167=$B55)*(economics!$D$2:$D$167="process")*economics!$AI$2:$AI$167*(_xlfn.NORM.DIST(AB$3,economics!$AK$2:$AK$167,economics!$AJ$2:$AJ$167,TRUE)-_xlfn.NORM.DIST(AB$30,economics!$AK$2:$AK$167,economics!$AJ$2:$AJ$167,TRUE)))),"")</f>
        <v/>
      </c>
      <c r="AC55">
        <f t="array" ref="AC55">IFERROR((SUMPRODUCT((economics!$AG$2:$AG$167=$B55)*(economics!$D$2:$D$167="process")*economics!$AI$2:$AI$167*(_xlfn.NORM.DIST(AC$3,economics!$AK$2:$AK$167,economics!$AJ$2:$AJ$167,TRUE)-_xlfn.NORM.DIST(AC$30,economics!$AK$2:$AK$167,economics!$AJ$2:$AJ$167,TRUE))*economics!$AM$2:$AM$167))/(SUMPRODUCT((economics!$AG$2:$AG$167=$B55)*(economics!$D$2:$D$167="process")*economics!$AI$2:$AI$167*(_xlfn.NORM.DIST(AC$3,economics!$AK$2:$AK$167,economics!$AJ$2:$AJ$167,TRUE)-_xlfn.NORM.DIST(AC$30,economics!$AK$2:$AK$167,economics!$AJ$2:$AJ$167,TRUE)))),"")</f>
        <v/>
      </c>
      <c r="AD55">
        <f t="array" ref="AD55">IFERROR((SUMPRODUCT((economics!$AG$2:$AG$167=$B55)*(economics!$D$2:$D$167="process")*economics!$AI$2:$AI$167*(_xlfn.NORM.DIST(AD$3,economics!$AK$2:$AK$167,economics!$AJ$2:$AJ$167,TRUE)-_xlfn.NORM.DIST(AD$30,economics!$AK$2:$AK$167,economics!$AJ$2:$AJ$167,TRUE))*economics!$AM$2:$AM$167))/(SUMPRODUCT((economics!$AG$2:$AG$167=$B55)*(economics!$D$2:$D$167="process")*economics!$AI$2:$AI$167*(_xlfn.NORM.DIST(AD$3,economics!$AK$2:$AK$167,economics!$AJ$2:$AJ$167,TRUE)-_xlfn.NORM.DIST(AD$30,economics!$AK$2:$AK$167,economics!$AJ$2:$AJ$167,TRUE)))),"")</f>
        <v/>
      </c>
      <c r="AE55">
        <f t="array" ref="AE55">IFERROR((SUMPRODUCT((economics!$AG$2:$AG$167=$B55)*(economics!$D$2:$D$167="process")*economics!$AI$2:$AI$167*(_xlfn.NORM.DIST(AE$3,economics!$AK$2:$AK$167,economics!$AJ$2:$AJ$167,TRUE)-_xlfn.NORM.DIST(AE$30,economics!$AK$2:$AK$167,economics!$AJ$2:$AJ$167,TRUE))*economics!$AM$2:$AM$167))/(SUMPRODUCT((economics!$AG$2:$AG$167=$B55)*(economics!$D$2:$D$167="process")*economics!$AI$2:$AI$167*(_xlfn.NORM.DIST(AE$3,economics!$AK$2:$AK$167,economics!$AJ$2:$AJ$167,TRUE)-_xlfn.NORM.DIST(AE$30,economics!$AK$2:$AK$167,economics!$AJ$2:$AJ$167,TRUE)))),"")</f>
        <v/>
      </c>
      <c r="AF55">
        <f t="array" ref="AF55">IFERROR((SUMPRODUCT((economics!$AG$2:$AG$167=$B55)*(economics!$D$2:$D$167="process")*economics!$AI$2:$AI$167*(_xlfn.NORM.DIST(AF$3,economics!$AK$2:$AK$167,economics!$AJ$2:$AJ$167,TRUE)-_xlfn.NORM.DIST(AF$30,economics!$AK$2:$AK$167,economics!$AJ$2:$AJ$167,TRUE))*economics!$AM$2:$AM$167))/(SUMPRODUCT((economics!$AG$2:$AG$167=$B55)*(economics!$D$2:$D$167="process")*economics!$AI$2:$AI$167*(_xlfn.NORM.DIST(AF$3,economics!$AK$2:$AK$167,economics!$AJ$2:$AJ$167,TRUE)-_xlfn.NORM.DIST(AF$30,economics!$AK$2:$AK$167,economics!$AJ$2:$AJ$167,TRUE)))),"")</f>
        <v/>
      </c>
      <c r="AG55">
        <f t="array" ref="AG55">IFERROR((SUMPRODUCT((economics!$AG$2:$AG$167=$B55)*(economics!$D$2:$D$167="process")*economics!$AI$2:$AI$167*(_xlfn.NORM.DIST(AG$3,economics!$AK$2:$AK$167,economics!$AJ$2:$AJ$167,TRUE)-_xlfn.NORM.DIST(AG$30,economics!$AK$2:$AK$167,economics!$AJ$2:$AJ$167,TRUE))*economics!$AM$2:$AM$167))/(SUMPRODUCT((economics!$AG$2:$AG$167=$B55)*(economics!$D$2:$D$167="process")*economics!$AI$2:$AI$167*(_xlfn.NORM.DIST(AG$3,economics!$AK$2:$AK$167,economics!$AJ$2:$AJ$167,TRUE)-_xlfn.NORM.DIST(AG$30,economics!$AK$2:$AK$167,economics!$AJ$2:$AJ$167,TRUE)))),"")</f>
        <v/>
      </c>
      <c r="AH55">
        <f t="array" ref="AH55">IFERROR((SUMPRODUCT((economics!$AG$2:$AG$167=$B55)*(economics!$D$2:$D$167="process")*economics!$AI$2:$AI$167*(_xlfn.NORM.DIST(AH$3,economics!$AK$2:$AK$167,economics!$AJ$2:$AJ$167,TRUE)-_xlfn.NORM.DIST(AH$30,economics!$AK$2:$AK$167,economics!$AJ$2:$AJ$167,TRUE))*economics!$AM$2:$AM$167))/(SUMPRODUCT((economics!$AG$2:$AG$167=$B55)*(economics!$D$2:$D$167="process")*economics!$AI$2:$AI$167*(_xlfn.NORM.DIST(AH$3,economics!$AK$2:$AK$167,economics!$AJ$2:$AJ$167,TRUE)-_xlfn.NORM.DIST(AH$30,economics!$AK$2:$AK$167,economics!$AJ$2:$AJ$167,TRUE)))),"")</f>
        <v/>
      </c>
      <c r="AI55">
        <f t="array" ref="AI55">IFERROR((SUMPRODUCT((economics!$AG$2:$AG$167=$B55)*(economics!$D$2:$D$167="process")*economics!$AI$2:$AI$167*(_xlfn.NORM.DIST(AI$3,economics!$AK$2:$AK$167,economics!$AJ$2:$AJ$167,TRUE)-_xlfn.NORM.DIST(AI$30,economics!$AK$2:$AK$167,economics!$AJ$2:$AJ$167,TRUE))*economics!$AM$2:$AM$167))/(SUMPRODUCT((economics!$AG$2:$AG$167=$B55)*(economics!$D$2:$D$167="process")*economics!$AI$2:$AI$167*(_xlfn.NORM.DIST(AI$3,economics!$AK$2:$AK$167,economics!$AJ$2:$AJ$167,TRUE)-_xlfn.NORM.DIST(AI$30,economics!$AK$2:$AK$167,economics!$AJ$2:$AJ$167,TRUE)))),"")</f>
        <v/>
      </c>
      <c r="AJ55">
        <f t="array" ref="AJ55">IFERROR((SUMPRODUCT((economics!$AG$2:$AG$167=$B55)*(economics!$D$2:$D$167="process")*economics!$AI$2:$AI$167*(_xlfn.NORM.DIST(AJ$3,economics!$AK$2:$AK$167,economics!$AJ$2:$AJ$167,TRUE)-_xlfn.NORM.DIST(AJ$30,economics!$AK$2:$AK$167,economics!$AJ$2:$AJ$167,TRUE))*economics!$AM$2:$AM$167))/(SUMPRODUCT((economics!$AG$2:$AG$167=$B55)*(economics!$D$2:$D$167="process")*economics!$AI$2:$AI$167*(_xlfn.NORM.DIST(AJ$3,economics!$AK$2:$AK$167,economics!$AJ$2:$AJ$167,TRUE)-_xlfn.NORM.DIST(AJ$30,economics!$AK$2:$AK$167,economics!$AJ$2:$AJ$167,TRUE)))),"")</f>
        <v/>
      </c>
      <c r="AK55">
        <f t="array" ref="AK55">IFERROR((SUMPRODUCT((economics!$AG$2:$AG$167=$B55)*(economics!$D$2:$D$167="process")*economics!$AI$2:$AI$167*(_xlfn.NORM.DIST(AK$3,economics!$AK$2:$AK$167,economics!$AJ$2:$AJ$167,TRUE)-_xlfn.NORM.DIST(AK$30,economics!$AK$2:$AK$167,economics!$AJ$2:$AJ$167,TRUE))*economics!$AM$2:$AM$167))/(SUMPRODUCT((economics!$AG$2:$AG$167=$B55)*(economics!$D$2:$D$167="process")*economics!$AI$2:$AI$167*(_xlfn.NORM.DIST(AK$3,economics!$AK$2:$AK$167,economics!$AJ$2:$AJ$167,TRUE)-_xlfn.NORM.DIST(AK$30,economics!$AK$2:$AK$167,economics!$AJ$2:$AJ$167,TRUE)))),"")</f>
        <v/>
      </c>
      <c r="AL55">
        <f t="array" ref="AL55">IFERROR((SUMPRODUCT((economics!$AG$2:$AG$167=$B55)*(economics!$D$2:$D$167="process")*economics!$AI$2:$AI$167*(_xlfn.NORM.DIST(AL$3,economics!$AK$2:$AK$167,economics!$AJ$2:$AJ$167,TRUE)-_xlfn.NORM.DIST(AL$30,economics!$AK$2:$AK$167,economics!$AJ$2:$AJ$167,TRUE))*economics!$AM$2:$AM$167))/(SUMPRODUCT((economics!$AG$2:$AG$167=$B55)*(economics!$D$2:$D$167="process")*economics!$AI$2:$AI$167*(_xlfn.NORM.DIST(AL$3,economics!$AK$2:$AK$167,economics!$AJ$2:$AJ$167,TRUE)-_xlfn.NORM.DIST(AL$30,economics!$AK$2:$AK$167,economics!$AJ$2:$AJ$167,TRUE)))),"")</f>
        <v/>
      </c>
      <c r="AM55">
        <f t="array" ref="AM55">IFERROR((SUMPRODUCT((economics!$AG$2:$AG$167=$B55)*(economics!$D$2:$D$167="process")*economics!$AI$2:$AI$167*(_xlfn.NORM.DIST(AM$3,economics!$AK$2:$AK$167,economics!$AJ$2:$AJ$167,TRUE)-_xlfn.NORM.DIST(AM$30,economics!$AK$2:$AK$167,economics!$AJ$2:$AJ$167,TRUE))*economics!$AM$2:$AM$167))/(SUMPRODUCT((economics!$AG$2:$AG$167=$B55)*(economics!$D$2:$D$167="process")*economics!$AI$2:$AI$167*(_xlfn.NORM.DIST(AM$3,economics!$AK$2:$AK$167,economics!$AJ$2:$AJ$167,TRUE)-_xlfn.NORM.DIST(AM$30,economics!$AK$2:$AK$167,economics!$AJ$2:$AJ$167,TRUE)))),"")</f>
        <v/>
      </c>
      <c r="AN55">
        <f t="array" ref="AN55">IFERROR((SUMPRODUCT((economics!$AG$2:$AG$167=$B55)*(economics!$D$2:$D$167="process")*economics!$AI$2:$AI$167*(_xlfn.NORM.DIST(AN$3,economics!$AK$2:$AK$167,economics!$AJ$2:$AJ$167,TRUE)-_xlfn.NORM.DIST(AN$30,economics!$AK$2:$AK$167,economics!$AJ$2:$AJ$167,TRUE))*economics!$AM$2:$AM$167))/(SUMPRODUCT((economics!$AG$2:$AG$167=$B55)*(economics!$D$2:$D$167="process")*economics!$AI$2:$AI$167*(_xlfn.NORM.DIST(AN$3,economics!$AK$2:$AK$167,economics!$AJ$2:$AJ$167,TRUE)-_xlfn.NORM.DIST(AN$30,economics!$AK$2:$AK$167,economics!$AJ$2:$AJ$167,TRUE)))),"")</f>
        <v/>
      </c>
      <c r="AO55">
        <f t="array" ref="AO55">IFERROR((SUMPRODUCT((economics!$AG$2:$AG$167=$B55)*(economics!$D$2:$D$167="process")*economics!$AI$2:$AI$167*(_xlfn.NORM.DIST(AO$3,economics!$AK$2:$AK$167,economics!$AJ$2:$AJ$167,TRUE)-_xlfn.NORM.DIST(AO$30,economics!$AK$2:$AK$167,economics!$AJ$2:$AJ$167,TRUE))*economics!$AM$2:$AM$167))/(SUMPRODUCT((economics!$AG$2:$AG$167=$B55)*(economics!$D$2:$D$167="process")*economics!$AI$2:$AI$167*(_xlfn.NORM.DIST(AO$3,economics!$AK$2:$AK$167,economics!$AJ$2:$AJ$167,TRUE)-_xlfn.NORM.DIST(AO$30,economics!$AK$2:$AK$167,economics!$AJ$2:$AJ$167,TRUE)))),"")</f>
        <v/>
      </c>
      <c r="AP55">
        <f t="array" ref="AP55">IFERROR((SUMPRODUCT((economics!$AG$2:$AG$167=$B55)*(economics!$D$2:$D$167="process")*economics!$AI$2:$AI$167*(_xlfn.NORM.DIST(AP$3,economics!$AK$2:$AK$167,economics!$AJ$2:$AJ$167,TRUE)-_xlfn.NORM.DIST(AP$30,economics!$AK$2:$AK$167,economics!$AJ$2:$AJ$167,TRUE))*economics!$AM$2:$AM$167))/(SUMPRODUCT((economics!$AG$2:$AG$167=$B55)*(economics!$D$2:$D$167="process")*economics!$AI$2:$AI$167*(_xlfn.NORM.DIST(AP$3,economics!$AK$2:$AK$167,economics!$AJ$2:$AJ$167,TRUE)-_xlfn.NORM.DIST(AP$30,economics!$AK$2:$AK$167,economics!$AJ$2:$AJ$167,TRUE)))),"")</f>
        <v/>
      </c>
      <c r="AQ55">
        <f t="array" ref="AQ55">IFERROR((SUMPRODUCT((economics!$AG$2:$AG$167=$B55)*(economics!$D$2:$D$167="process")*economics!$AI$2:$AI$167*(_xlfn.NORM.DIST(AQ$3,economics!$AK$2:$AK$167,economics!$AJ$2:$AJ$167,TRUE)-_xlfn.NORM.DIST(AQ$30,economics!$AK$2:$AK$167,economics!$AJ$2:$AJ$167,TRUE))*economics!$AM$2:$AM$167))/(SUMPRODUCT((economics!$AG$2:$AG$167=$B55)*(economics!$D$2:$D$167="process")*economics!$AI$2:$AI$167*(_xlfn.NORM.DIST(AQ$3,economics!$AK$2:$AK$167,economics!$AJ$2:$AJ$167,TRUE)-_xlfn.NORM.DIST(AQ$30,economics!$AK$2:$AK$167,economics!$AJ$2:$AJ$167,TRUE)))),"")</f>
        <v/>
      </c>
      <c r="AR55">
        <f t="array" ref="AR55">IFERROR((SUMPRODUCT((economics!$AG$2:$AG$167=$B55)*(economics!$D$2:$D$167="process")*economics!$AI$2:$AI$167*(_xlfn.NORM.DIST(AR$3,economics!$AK$2:$AK$167,economics!$AJ$2:$AJ$167,TRUE)-_xlfn.NORM.DIST(AR$30,economics!$AK$2:$AK$167,economics!$AJ$2:$AJ$167,TRUE))*economics!$AM$2:$AM$167))/(SUMPRODUCT((economics!$AG$2:$AG$167=$B55)*(economics!$D$2:$D$167="process")*economics!$AI$2:$AI$167*(_xlfn.NORM.DIST(AR$3,economics!$AK$2:$AK$167,economics!$AJ$2:$AJ$167,TRUE)-_xlfn.NORM.DIST(AR$30,economics!$AK$2:$AK$167,economics!$AJ$2:$AJ$167,TRUE)))),"")</f>
        <v/>
      </c>
      <c r="AS55">
        <f t="array" ref="AS55">IFERROR((SUMPRODUCT((economics!$AG$2:$AG$167=$B55)*(economics!$D$2:$D$167="process")*economics!$AI$2:$AI$167*(_xlfn.NORM.DIST(AS$3,economics!$AK$2:$AK$167,economics!$AJ$2:$AJ$167,TRUE)-_xlfn.NORM.DIST(AS$30,economics!$AK$2:$AK$167,economics!$AJ$2:$AJ$167,TRUE))*economics!$AM$2:$AM$167))/(SUMPRODUCT((economics!$AG$2:$AG$167=$B55)*(economics!$D$2:$D$167="process")*economics!$AI$2:$AI$167*(_xlfn.NORM.DIST(AS$3,economics!$AK$2:$AK$167,economics!$AJ$2:$AJ$167,TRUE)-_xlfn.NORM.DIST(AS$30,economics!$AK$2:$AK$167,economics!$AJ$2:$AJ$167,TRUE)))),"")</f>
        <v/>
      </c>
      <c r="AT55">
        <f t="array" ref="AT55">IFERROR((SUMPRODUCT((economics!$AG$2:$AG$167=$B55)*(economics!$D$2:$D$167="process")*economics!$AI$2:$AI$167*(_xlfn.NORM.DIST(AT$3,economics!$AK$2:$AK$167,economics!$AJ$2:$AJ$167,TRUE)-_xlfn.NORM.DIST(AT$30,economics!$AK$2:$AK$167,economics!$AJ$2:$AJ$167,TRUE))*economics!$AM$2:$AM$167))/(SUMPRODUCT((economics!$AG$2:$AG$167=$B55)*(economics!$D$2:$D$167="process")*economics!$AI$2:$AI$167*(_xlfn.NORM.DIST(AT$3,economics!$AK$2:$AK$167,economics!$AJ$2:$AJ$167,TRUE)-_xlfn.NORM.DIST(AT$30,economics!$AK$2:$AK$167,economics!$AJ$2:$AJ$167,TRUE)))),"")</f>
        <v/>
      </c>
      <c r="AU55">
        <f t="array" ref="AU55">IFERROR((SUMPRODUCT((economics!$AG$2:$AG$167=$B55)*(economics!$D$2:$D$167="process")*economics!$AI$2:$AI$167*(_xlfn.NORM.DIST(AU$3,economics!$AK$2:$AK$167,economics!$AJ$2:$AJ$167,TRUE)-_xlfn.NORM.DIST(AU$30,economics!$AK$2:$AK$167,economics!$AJ$2:$AJ$167,TRUE))*economics!$AM$2:$AM$167))/(SUMPRODUCT((economics!$AG$2:$AG$167=$B55)*(economics!$D$2:$D$167="process")*economics!$AI$2:$AI$167*(_xlfn.NORM.DIST(AU$3,economics!$AK$2:$AK$167,economics!$AJ$2:$AJ$167,TRUE)-_xlfn.NORM.DIST(AU$30,economics!$AK$2:$AK$167,economics!$AJ$2:$AJ$167,TRUE)))),"")</f>
        <v/>
      </c>
      <c r="AV55">
        <f t="array" ref="AV55">IFERROR((SUMPRODUCT((economics!$AG$2:$AG$167=$B55)*(economics!$D$2:$D$167="process")*economics!$AI$2:$AI$167*(_xlfn.NORM.DIST(AV$3,economics!$AK$2:$AK$167,economics!$AJ$2:$AJ$167,TRUE)-_xlfn.NORM.DIST(AV$30,economics!$AK$2:$AK$167,economics!$AJ$2:$AJ$167,TRUE))*economics!$AM$2:$AM$167))/(SUMPRODUCT((economics!$AG$2:$AG$167=$B55)*(economics!$D$2:$D$167="process")*economics!$AI$2:$AI$167*(_xlfn.NORM.DIST(AV$3,economics!$AK$2:$AK$167,economics!$AJ$2:$AJ$167,TRUE)-_xlfn.NORM.DIST(AV$30,economics!$AK$2:$AK$167,economics!$AJ$2:$AJ$167,TRUE)))),"")</f>
        <v/>
      </c>
      <c r="AW55">
        <f t="array" ref="AW55">IFERROR((SUMPRODUCT((economics!$AG$2:$AG$167=$B55)*(economics!$D$2:$D$167="process")*economics!$AI$2:$AI$167*(_xlfn.NORM.DIST(AW$3,economics!$AK$2:$AK$167,economics!$AJ$2:$AJ$167,TRUE)-_xlfn.NORM.DIST(AW$30,economics!$AK$2:$AK$167,economics!$AJ$2:$AJ$167,TRUE))*economics!$AM$2:$AM$167))/(SUMPRODUCT((economics!$AG$2:$AG$167=$B55)*(economics!$D$2:$D$167="process")*economics!$AI$2:$AI$167*(_xlfn.NORM.DIST(AW$3,economics!$AK$2:$AK$167,economics!$AJ$2:$AJ$167,TRUE)-_xlfn.NORM.DIST(AW$30,economics!$AK$2:$AK$167,economics!$AJ$2:$AJ$167,TRUE)))),"")</f>
        <v/>
      </c>
      <c r="AX55">
        <f t="array" ref="AX55">IFERROR((SUMPRODUCT((economics!$AG$2:$AG$167=$B55)*(economics!$D$2:$D$167="process")*economics!$AI$2:$AI$167*(_xlfn.NORM.DIST(AX$3,economics!$AK$2:$AK$167,economics!$AJ$2:$AJ$167,TRUE)-_xlfn.NORM.DIST(AX$30,economics!$AK$2:$AK$167,economics!$AJ$2:$AJ$167,TRUE))*economics!$AM$2:$AM$167))/(SUMPRODUCT((economics!$AG$2:$AG$167=$B55)*(economics!$D$2:$D$167="process")*economics!$AI$2:$AI$167*(_xlfn.NORM.DIST(AX$3,economics!$AK$2:$AK$167,economics!$AJ$2:$AJ$167,TRUE)-_xlfn.NORM.DIST(AX$30,economics!$AK$2:$AK$167,economics!$AJ$2:$AJ$167,TRUE)))),"")</f>
        <v/>
      </c>
      <c r="AY55">
        <f t="array" ref="AY55">IFERROR((SUMPRODUCT((economics!$AG$2:$AG$167=$B55)*(economics!$D$2:$D$167="process")*economics!$AI$2:$AI$167*(_xlfn.NORM.DIST(AY$3,economics!$AK$2:$AK$167,economics!$AJ$2:$AJ$167,TRUE)-_xlfn.NORM.DIST(AY$30,economics!$AK$2:$AK$167,economics!$AJ$2:$AJ$167,TRUE))*economics!$AM$2:$AM$167))/(SUMPRODUCT((economics!$AG$2:$AG$167=$B55)*(economics!$D$2:$D$167="process")*economics!$AI$2:$AI$167*(_xlfn.NORM.DIST(AY$3,economics!$AK$2:$AK$167,economics!$AJ$2:$AJ$167,TRUE)-_xlfn.NORM.DIST(AY$30,economics!$AK$2:$AK$167,economics!$AJ$2:$AJ$167,TRUE)))),"")</f>
        <v/>
      </c>
      <c r="AZ55">
        <f t="array" ref="AZ55">IFERROR((SUMPRODUCT((economics!$AG$2:$AG$167=$B55)*(economics!$D$2:$D$167="process")*economics!$AI$2:$AI$167*(_xlfn.NORM.DIST(AZ$3,economics!$AK$2:$AK$167,economics!$AJ$2:$AJ$167,TRUE)-_xlfn.NORM.DIST(AZ$30,economics!$AK$2:$AK$167,economics!$AJ$2:$AJ$167,TRUE))*economics!$AM$2:$AM$167))/(SUMPRODUCT((economics!$AG$2:$AG$167=$B55)*(economics!$D$2:$D$167="process")*economics!$AI$2:$AI$167*(_xlfn.NORM.DIST(AZ$3,economics!$AK$2:$AK$167,economics!$AJ$2:$AJ$167,TRUE)-_xlfn.NORM.DIST(AZ$30,economics!$AK$2:$AK$167,economics!$AJ$2:$AJ$167,TRUE)))),"")</f>
        <v/>
      </c>
      <c r="BA55">
        <f t="array" ref="BA55">IFERROR((SUMPRODUCT((economics!$AG$2:$AG$167=$B55)*(economics!$D$2:$D$167="process")*economics!$AI$2:$AI$167*(_xlfn.NORM.DIST(BA$3,economics!$AK$2:$AK$167,economics!$AJ$2:$AJ$167,TRUE)-_xlfn.NORM.DIST(BA$30,economics!$AK$2:$AK$167,economics!$AJ$2:$AJ$167,TRUE))*economics!$AM$2:$AM$167))/(SUMPRODUCT((economics!$AG$2:$AG$167=$B55)*(economics!$D$2:$D$167="process")*economics!$AI$2:$AI$167*(_xlfn.NORM.DIST(BA$3,economics!$AK$2:$AK$167,economics!$AJ$2:$AJ$167,TRUE)-_xlfn.NORM.DIST(BA$30,economics!$AK$2:$AK$167,economics!$AJ$2:$AJ$167,TRUE)))),"")</f>
        <v/>
      </c>
      <c r="BB55">
        <f t="array" ref="BB55">IFERROR((SUMPRODUCT((economics!$AG$2:$AG$167=$B55)*(economics!$D$2:$D$167="process")*economics!$AI$2:$AI$167*(_xlfn.NORM.DIST(BB$3,economics!$AK$2:$AK$167,economics!$AJ$2:$AJ$167,TRUE)-_xlfn.NORM.DIST(BB$30,economics!$AK$2:$AK$167,economics!$AJ$2:$AJ$167,TRUE))*economics!$AM$2:$AM$167))/(SUMPRODUCT((economics!$AG$2:$AG$167=$B55)*(economics!$D$2:$D$167="process")*economics!$AI$2:$AI$167*(_xlfn.NORM.DIST(BB$3,economics!$AK$2:$AK$167,economics!$AJ$2:$AJ$167,TRUE)-_xlfn.NORM.DIST(BB$30,economics!$AK$2:$AK$167,economics!$AJ$2:$AJ$167,TRUE)))),"")</f>
        <v/>
      </c>
      <c r="BC55">
        <f t="array" ref="BC55">IFERROR((SUMPRODUCT((economics!$AG$2:$AG$167=$B55)*(economics!$D$2:$D$167="process")*economics!$AI$2:$AI$167*(_xlfn.NORM.DIST(BC$3,economics!$AK$2:$AK$167,economics!$AJ$2:$AJ$167,TRUE)-_xlfn.NORM.DIST(BC$30,economics!$AK$2:$AK$167,economics!$AJ$2:$AJ$167,TRUE))*economics!$AM$2:$AM$167))/(SUMPRODUCT((economics!$AG$2:$AG$167=$B55)*(economics!$D$2:$D$167="process")*economics!$AI$2:$AI$167*(_xlfn.NORM.DIST(BC$3,economics!$AK$2:$AK$167,economics!$AJ$2:$AJ$167,TRUE)-_xlfn.NORM.DIST(BC$30,economics!$AK$2:$AK$167,economics!$AJ$2:$AJ$167,TRUE)))),"")</f>
        <v/>
      </c>
      <c r="BD55">
        <f t="array" ref="BD55">IFERROR((SUMPRODUCT((economics!$AG$2:$AG$167=$B55)*(economics!$D$2:$D$167="process")*economics!$AI$2:$AI$167*(_xlfn.NORM.DIST(BD$3,economics!$AK$2:$AK$167,economics!$AJ$2:$AJ$167,TRUE)-_xlfn.NORM.DIST(BD$30,economics!$AK$2:$AK$167,economics!$AJ$2:$AJ$167,TRUE))*economics!$AM$2:$AM$167))/(SUMPRODUCT((economics!$AG$2:$AG$167=$B55)*(economics!$D$2:$D$167="process")*economics!$AI$2:$AI$167*(_xlfn.NORM.DIST(BD$3,economics!$AK$2:$AK$167,economics!$AJ$2:$AJ$167,TRUE)-_xlfn.NORM.DIST(BD$30,economics!$AK$2:$AK$167,economics!$AJ$2:$AJ$167,TRUE)))),"")</f>
        <v/>
      </c>
      <c r="BE55">
        <f t="array" ref="BE55">IFERROR((SUMPRODUCT((economics!$AG$2:$AG$167=$B55)*(economics!$D$2:$D$167="process")*economics!$AI$2:$AI$167*(_xlfn.NORM.DIST(BE$3,economics!$AK$2:$AK$167,economics!$AJ$2:$AJ$167,TRUE)-_xlfn.NORM.DIST(BE$30,economics!$AK$2:$AK$167,economics!$AJ$2:$AJ$167,TRUE))*economics!$AM$2:$AM$167))/(SUMPRODUCT((economics!$AG$2:$AG$167=$B55)*(economics!$D$2:$D$167="process")*economics!$AI$2:$AI$167*(_xlfn.NORM.DIST(BE$3,economics!$AK$2:$AK$167,economics!$AJ$2:$AJ$167,TRUE)-_xlfn.NORM.DIST(BE$30,economics!$AK$2:$AK$167,economics!$AJ$2:$AJ$167,TRUE)))),"")</f>
        <v/>
      </c>
      <c r="BF55">
        <f t="array" ref="BF55">IFERROR((SUMPRODUCT((economics!$AG$2:$AG$167=$B55)*(economics!$D$2:$D$167="process")*economics!$AI$2:$AI$167*(_xlfn.NORM.DIST(BF$3,economics!$AK$2:$AK$167,economics!$AJ$2:$AJ$167,TRUE)-_xlfn.NORM.DIST(BF$30,economics!$AK$2:$AK$167,economics!$AJ$2:$AJ$167,TRUE))*economics!$AM$2:$AM$167))/(SUMPRODUCT((economics!$AG$2:$AG$167=$B55)*(economics!$D$2:$D$167="process")*economics!$AI$2:$AI$167*(_xlfn.NORM.DIST(BF$3,economics!$AK$2:$AK$167,economics!$AJ$2:$AJ$167,TRUE)-_xlfn.NORM.DIST(BF$30,economics!$AK$2:$AK$167,economics!$AJ$2:$AJ$167,TRUE)))),"")</f>
        <v/>
      </c>
      <c r="BG55">
        <f t="array" ref="BG55">IFERROR((SUMPRODUCT((economics!$AG$2:$AG$167=$B55)*(economics!$D$2:$D$167="process")*economics!$AI$2:$AI$167*(_xlfn.NORM.DIST(BG$3,economics!$AK$2:$AK$167,economics!$AJ$2:$AJ$167,TRUE)-_xlfn.NORM.DIST(BG$30,economics!$AK$2:$AK$167,economics!$AJ$2:$AJ$167,TRUE))*economics!$AM$2:$AM$167))/(SUMPRODUCT((economics!$AG$2:$AG$167=$B55)*(economics!$D$2:$D$167="process")*economics!$AI$2:$AI$167*(_xlfn.NORM.DIST(BG$3,economics!$AK$2:$AK$167,economics!$AJ$2:$AJ$167,TRUE)-_xlfn.NORM.DIST(BG$30,economics!$AK$2:$AK$167,economics!$AJ$2:$AJ$167,TRUE)))),"")</f>
        <v/>
      </c>
      <c r="BH55">
        <f t="array" ref="BH55">IFERROR((SUMPRODUCT((economics!$AG$2:$AG$167=$B55)*(economics!$D$2:$D$167="process")*economics!$AI$2:$AI$167*(_xlfn.NORM.DIST(BH$3,economics!$AK$2:$AK$167,economics!$AJ$2:$AJ$167,TRUE)-_xlfn.NORM.DIST(BH$30,economics!$AK$2:$AK$167,economics!$AJ$2:$AJ$167,TRUE))*economics!$AM$2:$AM$167))/(SUMPRODUCT((economics!$AG$2:$AG$167=$B55)*(economics!$D$2:$D$167="process")*economics!$AI$2:$AI$167*(_xlfn.NORM.DIST(BH$3,economics!$AK$2:$AK$167,economics!$AJ$2:$AJ$167,TRUE)-_xlfn.NORM.DIST(BH$30,economics!$AK$2:$AK$167,economics!$AJ$2:$AJ$167,TRUE)))),"")</f>
        <v/>
      </c>
      <c r="BI55">
        <f t="array" ref="BI55">IFERROR((SUMPRODUCT((economics!$AG$2:$AG$167=$B55)*(economics!$D$2:$D$167="process")*economics!$AI$2:$AI$167*(_xlfn.NORM.DIST(BI$3,economics!$AK$2:$AK$167,economics!$AJ$2:$AJ$167,TRUE)-_xlfn.NORM.DIST(BI$30,economics!$AK$2:$AK$167,economics!$AJ$2:$AJ$167,TRUE))*economics!$AM$2:$AM$167))/(SUMPRODUCT((economics!$AG$2:$AG$167=$B55)*(economics!$D$2:$D$167="process")*economics!$AI$2:$AI$167*(_xlfn.NORM.DIST(BI$3,economics!$AK$2:$AK$167,economics!$AJ$2:$AJ$167,TRUE)-_xlfn.NORM.DIST(BI$30,economics!$AK$2:$AK$167,economics!$AJ$2:$AJ$167,TRUE)))),"")</f>
        <v/>
      </c>
      <c r="BJ55">
        <f t="array" ref="BJ55">IFERROR((SUMPRODUCT((economics!$AG$2:$AG$167=$B55)*(economics!$D$2:$D$167="process")*economics!$AI$2:$AI$167*(_xlfn.NORM.DIST(BJ$3,economics!$AK$2:$AK$167,economics!$AJ$2:$AJ$167,TRUE)-_xlfn.NORM.DIST(BJ$30,economics!$AK$2:$AK$167,economics!$AJ$2:$AJ$167,TRUE))*economics!$AM$2:$AM$167))/(SUMPRODUCT((economics!$AG$2:$AG$167=$B55)*(economics!$D$2:$D$167="process")*economics!$AI$2:$AI$167*(_xlfn.NORM.DIST(BJ$3,economics!$AK$2:$AK$167,economics!$AJ$2:$AJ$167,TRUE)-_xlfn.NORM.DIST(BJ$30,economics!$AK$2:$AK$167,economics!$AJ$2:$AJ$167,TRUE)))),"")</f>
        <v/>
      </c>
      <c r="BK55">
        <f t="array" ref="BK55">IFERROR((SUMPRODUCT((economics!$AG$2:$AG$167=$B55)*(economics!$D$2:$D$167="process")*economics!$AI$2:$AI$167*(_xlfn.NORM.DIST(BK$3,economics!$AK$2:$AK$167,economics!$AJ$2:$AJ$167,TRUE)-_xlfn.NORM.DIST(BK$30,economics!$AK$2:$AK$167,economics!$AJ$2:$AJ$167,TRUE))*economics!$AM$2:$AM$167))/(SUMPRODUCT((economics!$AG$2:$AG$167=$B55)*(economics!$D$2:$D$167="process")*economics!$AI$2:$AI$167*(_xlfn.NORM.DIST(BK$3,economics!$AK$2:$AK$167,economics!$AJ$2:$AJ$167,TRUE)-_xlfn.NORM.DIST(BK$30,economics!$AK$2:$AK$167,economics!$AJ$2:$AJ$167,TRUE)))),"")</f>
        <v/>
      </c>
      <c r="BL55">
        <f t="array" ref="BL55">IFERROR((SUMPRODUCT((economics!$AG$2:$AG$167=$B55)*(economics!$D$2:$D$167="process")*economics!$AI$2:$AI$167*(_xlfn.NORM.DIST(BL$3,economics!$AK$2:$AK$167,economics!$AJ$2:$AJ$167,TRUE)-_xlfn.NORM.DIST(BL$30,economics!$AK$2:$AK$167,economics!$AJ$2:$AJ$167,TRUE))*economics!$AM$2:$AM$167))/(SUMPRODUCT((economics!$AG$2:$AG$167=$B55)*(economics!$D$2:$D$167="process")*economics!$AI$2:$AI$167*(_xlfn.NORM.DIST(BL$3,economics!$AK$2:$AK$167,economics!$AJ$2:$AJ$167,TRUE)-_xlfn.NORM.DIST(BL$30,economics!$AK$2:$AK$167,economics!$AJ$2:$AJ$167,TRUE)))),"")</f>
        <v/>
      </c>
      <c r="BM55">
        <f t="array" ref="BM55">IFERROR((SUMPRODUCT((economics!$AG$2:$AG$167=$B55)*(economics!$D$2:$D$167="process")*economics!$AI$2:$AI$167*(_xlfn.NORM.DIST(BM$3,economics!$AK$2:$AK$167,economics!$AJ$2:$AJ$167,TRUE)-_xlfn.NORM.DIST(BM$30,economics!$AK$2:$AK$167,economics!$AJ$2:$AJ$167,TRUE))*economics!$AM$2:$AM$167))/(SUMPRODUCT((economics!$AG$2:$AG$167=$B55)*(economics!$D$2:$D$167="process")*economics!$AI$2:$AI$167*(_xlfn.NORM.DIST(BM$3,economics!$AK$2:$AK$167,economics!$AJ$2:$AJ$167,TRUE)-_xlfn.NORM.DIST(BM$30,economics!$AK$2:$AK$167,economics!$AJ$2:$AJ$167,TRUE)))),"")</f>
        <v/>
      </c>
      <c r="BN55">
        <f t="array" ref="BN55">IFERROR((SUMPRODUCT((economics!$AG$2:$AG$167=$B55)*(economics!$D$2:$D$167="process")*economics!$AI$2:$AI$167*(_xlfn.NORM.DIST(BN$3,economics!$AK$2:$AK$167,economics!$AJ$2:$AJ$167,TRUE)-_xlfn.NORM.DIST(BN$30,economics!$AK$2:$AK$167,economics!$AJ$2:$AJ$167,TRUE))*economics!$AM$2:$AM$167))/(SUMPRODUCT((economics!$AG$2:$AG$167=$B55)*(economics!$D$2:$D$167="process")*economics!$AI$2:$AI$167*(_xlfn.NORM.DIST(BN$3,economics!$AK$2:$AK$167,economics!$AJ$2:$AJ$167,TRUE)-_xlfn.NORM.DIST(BN$30,economics!$AK$2:$AK$167,economics!$AJ$2:$AJ$167,TRUE)))),"")</f>
        <v/>
      </c>
      <c r="BO55">
        <f t="array" ref="BO55">IFERROR((SUMPRODUCT((economics!$AG$2:$AG$167=$B55)*(economics!$D$2:$D$167="process")*economics!$AI$2:$AI$167*(_xlfn.NORM.DIST(BO$3,economics!$AK$2:$AK$167,economics!$AJ$2:$AJ$167,TRUE)-_xlfn.NORM.DIST(BO$30,economics!$AK$2:$AK$167,economics!$AJ$2:$AJ$167,TRUE))*economics!$AM$2:$AM$167))/(SUMPRODUCT((economics!$AG$2:$AG$167=$B55)*(economics!$D$2:$D$167="process")*economics!$AI$2:$AI$167*(_xlfn.NORM.DIST(BO$3,economics!$AK$2:$AK$167,economics!$AJ$2:$AJ$167,TRUE)-_xlfn.NORM.DIST(BO$30,economics!$AK$2:$AK$167,economics!$AJ$2:$AJ$167,TRUE)))),"")</f>
        <v/>
      </c>
      <c r="BP55">
        <f t="array" ref="BP55">IFERROR((SUMPRODUCT((economics!$AG$2:$AG$167=$B55)*(economics!$D$2:$D$167="process")*economics!$AI$2:$AI$167*(_xlfn.NORM.DIST(BP$3,economics!$AK$2:$AK$167,economics!$AJ$2:$AJ$167,TRUE)-_xlfn.NORM.DIST(BP$30,economics!$AK$2:$AK$167,economics!$AJ$2:$AJ$167,TRUE))*economics!$AM$2:$AM$167))/(SUMPRODUCT((economics!$AG$2:$AG$167=$B55)*(economics!$D$2:$D$167="process")*economics!$AI$2:$AI$167*(_xlfn.NORM.DIST(BP$3,economics!$AK$2:$AK$167,economics!$AJ$2:$AJ$167,TRUE)-_xlfn.NORM.DIST(BP$30,economics!$AK$2:$AK$167,economics!$AJ$2:$AJ$167,TRUE)))),"")</f>
        <v/>
      </c>
      <c r="BQ55">
        <f t="array" ref="BQ55">IFERROR((SUMPRODUCT((economics!$AG$2:$AG$167=$B55)*(economics!$D$2:$D$167="process")*economics!$AI$2:$AI$167*(_xlfn.NORM.DIST(BQ$3,economics!$AK$2:$AK$167,economics!$AJ$2:$AJ$167,TRUE)-_xlfn.NORM.DIST(BQ$30,economics!$AK$2:$AK$167,economics!$AJ$2:$AJ$167,TRUE))*economics!$AM$2:$AM$167))/(SUMPRODUCT((economics!$AG$2:$AG$167=$B55)*(economics!$D$2:$D$167="process")*economics!$AI$2:$AI$167*(_xlfn.NORM.DIST(BQ$3,economics!$AK$2:$AK$167,economics!$AJ$2:$AJ$167,TRUE)-_xlfn.NORM.DIST(BQ$30,economics!$AK$2:$AK$167,economics!$AJ$2:$AJ$167,TRUE)))),"")</f>
        <v/>
      </c>
      <c r="BR55">
        <f t="array" ref="BR55">IFERROR((SUMPRODUCT((economics!$AG$2:$AG$167=$B55)*(economics!$D$2:$D$167="process")*economics!$AI$2:$AI$167*(_xlfn.NORM.DIST(BR$3,economics!$AK$2:$AK$167,economics!$AJ$2:$AJ$167,TRUE)-_xlfn.NORM.DIST(BR$30,economics!$AK$2:$AK$167,economics!$AJ$2:$AJ$167,TRUE))*economics!$AM$2:$AM$167))/(SUMPRODUCT((economics!$AG$2:$AG$167=$B55)*(economics!$D$2:$D$167="process")*economics!$AI$2:$AI$167*(_xlfn.NORM.DIST(BR$3,economics!$AK$2:$AK$167,economics!$AJ$2:$AJ$167,TRUE)-_xlfn.NORM.DIST(BR$30,economics!$AK$2:$AK$167,economics!$AJ$2:$AJ$167,TRUE)))),"")</f>
        <v/>
      </c>
      <c r="BS55">
        <f t="array" ref="BS55">IFERROR((SUMPRODUCT((economics!$AG$2:$AG$167=$B55)*(economics!$D$2:$D$167="process")*economics!$AI$2:$AI$167*(_xlfn.NORM.DIST(BS$3,economics!$AK$2:$AK$167,economics!$AJ$2:$AJ$167,TRUE)-_xlfn.NORM.DIST(BS$30,economics!$AK$2:$AK$167,economics!$AJ$2:$AJ$167,TRUE))*economics!$AM$2:$AM$167))/(SUMPRODUCT((economics!$AG$2:$AG$167=$B55)*(economics!$D$2:$D$167="process")*economics!$AI$2:$AI$167*(_xlfn.NORM.DIST(BS$3,economics!$AK$2:$AK$167,economics!$AJ$2:$AJ$167,TRUE)-_xlfn.NORM.DIST(BS$30,economics!$AK$2:$AK$167,economics!$AJ$2:$AJ$167,TRUE)))),"")</f>
        <v/>
      </c>
      <c r="BT55">
        <f t="array" ref="BT55">IFERROR((SUMPRODUCT((economics!$AG$2:$AG$167=$B55)*(economics!$D$2:$D$167="process")*economics!$AI$2:$AI$167*(_xlfn.NORM.DIST(BT$3,economics!$AK$2:$AK$167,economics!$AJ$2:$AJ$167,TRUE)-_xlfn.NORM.DIST(BT$30,economics!$AK$2:$AK$167,economics!$AJ$2:$AJ$167,TRUE))*economics!$AM$2:$AM$167))/(SUMPRODUCT((economics!$AG$2:$AG$167=$B55)*(economics!$D$2:$D$167="process")*economics!$AI$2:$AI$167*(_xlfn.NORM.DIST(BT$3,economics!$AK$2:$AK$167,economics!$AJ$2:$AJ$167,TRUE)-_xlfn.NORM.DIST(BT$30,economics!$AK$2:$AK$167,economics!$AJ$2:$AJ$167,TRUE)))),"")</f>
        <v/>
      </c>
      <c r="BU55">
        <f t="array" ref="BU55">IFERROR((SUMPRODUCT((economics!$AG$2:$AG$167=$B55)*(economics!$D$2:$D$167="process")*economics!$AI$2:$AI$167*(_xlfn.NORM.DIST(BU$3,economics!$AK$2:$AK$167,economics!$AJ$2:$AJ$167,TRUE)-_xlfn.NORM.DIST(BU$30,economics!$AK$2:$AK$167,economics!$AJ$2:$AJ$167,TRUE))*economics!$AM$2:$AM$167))/(SUMPRODUCT((economics!$AG$2:$AG$167=$B55)*(economics!$D$2:$D$167="process")*economics!$AI$2:$AI$167*(_xlfn.NORM.DIST(BU$3,economics!$AK$2:$AK$167,economics!$AJ$2:$AJ$167,TRUE)-_xlfn.NORM.DIST(BU$30,economics!$AK$2:$AK$167,economics!$AJ$2:$AJ$167,TRUE)))),"")</f>
        <v/>
      </c>
      <c r="BV55">
        <f t="array" ref="BV55">IFERROR((SUMPRODUCT((economics!$AG$2:$AG$167=$B55)*(economics!$D$2:$D$167="process")*economics!$AI$2:$AI$167*(_xlfn.NORM.DIST(BV$3,economics!$AK$2:$AK$167,economics!$AJ$2:$AJ$167,TRUE)-_xlfn.NORM.DIST(BV$30,economics!$AK$2:$AK$167,economics!$AJ$2:$AJ$167,TRUE))*economics!$AM$2:$AM$167))/(SUMPRODUCT((economics!$AG$2:$AG$167=$B55)*(economics!$D$2:$D$167="process")*economics!$AI$2:$AI$167*(_xlfn.NORM.DIST(BV$3,economics!$AK$2:$AK$167,economics!$AJ$2:$AJ$167,TRUE)-_xlfn.NORM.DIST(BV$30,economics!$AK$2:$AK$167,economics!$AJ$2:$AJ$167,TRUE)))),"")</f>
        <v/>
      </c>
      <c r="BW55">
        <f t="array" ref="BW55">IFERROR((SUMPRODUCT((economics!$AG$2:$AG$167=$B55)*(economics!$D$2:$D$167="process")*economics!$AI$2:$AI$167*(_xlfn.NORM.DIST(BW$3,economics!$AK$2:$AK$167,economics!$AJ$2:$AJ$167,TRUE)-_xlfn.NORM.DIST(BW$30,economics!$AK$2:$AK$167,economics!$AJ$2:$AJ$167,TRUE))*economics!$AM$2:$AM$167))/(SUMPRODUCT((economics!$AG$2:$AG$167=$B55)*(economics!$D$2:$D$167="process")*economics!$AI$2:$AI$167*(_xlfn.NORM.DIST(BW$3,economics!$AK$2:$AK$167,economics!$AJ$2:$AJ$167,TRUE)-_xlfn.NORM.DIST(BW$30,economics!$AK$2:$AK$167,economics!$AJ$2:$AJ$167,TRUE)))),"")</f>
        <v/>
      </c>
      <c r="BX55">
        <f t="array" ref="BX55">IFERROR((SUMPRODUCT((economics!$AG$2:$AG$167=$B55)*(economics!$D$2:$D$167="process")*economics!$AI$2:$AI$167*(_xlfn.NORM.DIST(BX$3,economics!$AK$2:$AK$167,economics!$AJ$2:$AJ$167,TRUE)-_xlfn.NORM.DIST(BX$30,economics!$AK$2:$AK$167,economics!$AJ$2:$AJ$167,TRUE))*economics!$AM$2:$AM$167))/(SUMPRODUCT((economics!$AG$2:$AG$167=$B55)*(economics!$D$2:$D$167="process")*economics!$AI$2:$AI$167*(_xlfn.NORM.DIST(BX$3,economics!$AK$2:$AK$167,economics!$AJ$2:$AJ$167,TRUE)-_xlfn.NORM.DIST(BX$30,economics!$AK$2:$AK$167,economics!$AJ$2:$AJ$167,TRUE)))),"")</f>
        <v/>
      </c>
      <c r="BY55">
        <f t="array" ref="BY55">IFERROR((SUMPRODUCT((economics!$AG$2:$AG$167=$B55)*(economics!$D$2:$D$167="process")*economics!$AI$2:$AI$167*(_xlfn.NORM.DIST(BY$3,economics!$AK$2:$AK$167,economics!$AJ$2:$AJ$167,TRUE)-_xlfn.NORM.DIST(BY$30,economics!$AK$2:$AK$167,economics!$AJ$2:$AJ$167,TRUE))*economics!$AM$2:$AM$167))/(SUMPRODUCT((economics!$AG$2:$AG$167=$B55)*(economics!$D$2:$D$167="process")*economics!$AI$2:$AI$167*(_xlfn.NORM.DIST(BY$3,economics!$AK$2:$AK$167,economics!$AJ$2:$AJ$167,TRUE)-_xlfn.NORM.DIST(BY$30,economics!$AK$2:$AK$167,economics!$AJ$2:$AJ$167,TRUE)))),"")</f>
        <v/>
      </c>
      <c r="BZ55">
        <f t="array" ref="BZ55">IFERROR((SUMPRODUCT((economics!$AG$2:$AG$167=$B55)*(economics!$D$2:$D$167="process")*economics!$AI$2:$AI$167*(_xlfn.NORM.DIST(BZ$3,economics!$AK$2:$AK$167,economics!$AJ$2:$AJ$167,TRUE)-_xlfn.NORM.DIST(BZ$30,economics!$AK$2:$AK$167,economics!$AJ$2:$AJ$167,TRUE))*economics!$AM$2:$AM$167))/(SUMPRODUCT((economics!$AG$2:$AG$167=$B55)*(economics!$D$2:$D$167="process")*economics!$AI$2:$AI$167*(_xlfn.NORM.DIST(BZ$3,economics!$AK$2:$AK$167,economics!$AJ$2:$AJ$167,TRUE)-_xlfn.NORM.DIST(BZ$30,economics!$AK$2:$AK$167,economics!$AJ$2:$AJ$167,TRUE)))),"")</f>
        <v/>
      </c>
      <c r="CA55">
        <f t="array" ref="CA55">IFERROR((SUMPRODUCT((economics!$AG$2:$AG$167=$B55)*(economics!$D$2:$D$167="process")*economics!$AI$2:$AI$167*(_xlfn.NORM.DIST(CA$3,economics!$AK$2:$AK$167,economics!$AJ$2:$AJ$167,TRUE)-_xlfn.NORM.DIST(CA$30,economics!$AK$2:$AK$167,economics!$AJ$2:$AJ$167,TRUE))*economics!$AM$2:$AM$167))/(SUMPRODUCT((economics!$AG$2:$AG$167=$B55)*(economics!$D$2:$D$167="process")*economics!$AI$2:$AI$167*(_xlfn.NORM.DIST(CA$3,economics!$AK$2:$AK$167,economics!$AJ$2:$AJ$167,TRUE)-_xlfn.NORM.DIST(CA$30,economics!$AK$2:$AK$167,economics!$AJ$2:$AJ$167,TRUE)))),"")</f>
        <v/>
      </c>
      <c r="CB55">
        <f t="array" ref="CB55">IFERROR((SUMPRODUCT((economics!$AG$2:$AG$167=$B55)*(economics!$D$2:$D$167="process")*economics!$AI$2:$AI$167*(_xlfn.NORM.DIST(CB$3,economics!$AK$2:$AK$167,economics!$AJ$2:$AJ$167,TRUE)-_xlfn.NORM.DIST(CB$30,economics!$AK$2:$AK$167,economics!$AJ$2:$AJ$167,TRUE))*economics!$AM$2:$AM$167))/(SUMPRODUCT((economics!$AG$2:$AG$167=$B55)*(economics!$D$2:$D$167="process")*economics!$AI$2:$AI$167*(_xlfn.NORM.DIST(CB$3,economics!$AK$2:$AK$167,economics!$AJ$2:$AJ$167,TRUE)-_xlfn.NORM.DIST(CB$30,economics!$AK$2:$AK$167,economics!$AJ$2:$AJ$167,TRUE)))),"")</f>
        <v/>
      </c>
      <c r="CC55">
        <f t="array" ref="CC55">IFERROR((SUMPRODUCT((economics!$AG$2:$AG$167=$B55)*(economics!$D$2:$D$167="process")*economics!$AI$2:$AI$167*(_xlfn.NORM.DIST(CC$3,economics!$AK$2:$AK$167,economics!$AJ$2:$AJ$167,TRUE)-_xlfn.NORM.DIST(CC$30,economics!$AK$2:$AK$167,economics!$AJ$2:$AJ$167,TRUE))*economics!$AM$2:$AM$167))/(SUMPRODUCT((economics!$AG$2:$AG$167=$B55)*(economics!$D$2:$D$167="process")*economics!$AI$2:$AI$167*(_xlfn.NORM.DIST(CC$3,economics!$AK$2:$AK$167,economics!$AJ$2:$AJ$167,TRUE)-_xlfn.NORM.DIST(CC$30,economics!$AK$2:$AK$167,economics!$AJ$2:$AJ$167,TRUE)))),"")</f>
        <v/>
      </c>
      <c r="CD55">
        <f t="array" ref="CD55">IFERROR((SUMPRODUCT((economics!$AG$2:$AG$167=$B55)*(economics!$D$2:$D$167="process")*economics!$AI$2:$AI$167*(_xlfn.NORM.DIST(CD$3,economics!$AK$2:$AK$167,economics!$AJ$2:$AJ$167,TRUE)-_xlfn.NORM.DIST(CD$30,economics!$AK$2:$AK$167,economics!$AJ$2:$AJ$167,TRUE))*economics!$AM$2:$AM$167))/(SUMPRODUCT((economics!$AG$2:$AG$167=$B55)*(economics!$D$2:$D$167="process")*economics!$AI$2:$AI$167*(_xlfn.NORM.DIST(CD$3,economics!$AK$2:$AK$167,economics!$AJ$2:$AJ$167,TRUE)-_xlfn.NORM.DIST(CD$30,economics!$AK$2:$AK$167,economics!$AJ$2:$AJ$167,TRUE)))),"")</f>
        <v/>
      </c>
      <c r="CE55">
        <f t="array" ref="CE55">IFERROR((SUMPRODUCT((economics!$AG$2:$AG$167=$B55)*(economics!$D$2:$D$167="process")*economics!$AI$2:$AI$167*(_xlfn.NORM.DIST(CE$3,economics!$AK$2:$AK$167,economics!$AJ$2:$AJ$167,TRUE)-_xlfn.NORM.DIST(CE$30,economics!$AK$2:$AK$167,economics!$AJ$2:$AJ$167,TRUE))*economics!$AM$2:$AM$167))/(SUMPRODUCT((economics!$AG$2:$AG$167=$B55)*(economics!$D$2:$D$167="process")*economics!$AI$2:$AI$167*(_xlfn.NORM.DIST(CE$3,economics!$AK$2:$AK$167,economics!$AJ$2:$AJ$167,TRUE)-_xlfn.NORM.DIST(CE$30,economics!$AK$2:$AK$167,economics!$AJ$2:$AJ$167,TRUE)))),"")</f>
        <v/>
      </c>
      <c r="CF55">
        <f t="array" ref="CF55">IFERROR((SUMPRODUCT((economics!$AG$2:$AG$167=$B55)*(economics!$D$2:$D$167="process")*economics!$AI$2:$AI$167*(_xlfn.NORM.DIST(CF$3,economics!$AK$2:$AK$167,economics!$AJ$2:$AJ$167,TRUE)-_xlfn.NORM.DIST(CF$30,economics!$AK$2:$AK$167,economics!$AJ$2:$AJ$167,TRUE))*economics!$AM$2:$AM$167))/(SUMPRODUCT((economics!$AG$2:$AG$167=$B55)*(economics!$D$2:$D$167="process")*economics!$AI$2:$AI$167*(_xlfn.NORM.DIST(CF$3,economics!$AK$2:$AK$167,economics!$AJ$2:$AJ$167,TRUE)-_xlfn.NORM.DIST(CF$30,economics!$AK$2:$AK$167,economics!$AJ$2:$AJ$167,TRUE)))),"")</f>
        <v/>
      </c>
      <c r="CG55">
        <f t="array" ref="CG55">IFERROR((SUMPRODUCT((economics!$AG$2:$AG$167=$B55)*(economics!$D$2:$D$167="process")*economics!$AI$2:$AI$167*(_xlfn.NORM.DIST(CG$3,economics!$AK$2:$AK$167,economics!$AJ$2:$AJ$167,TRUE)-_xlfn.NORM.DIST(CG$30,economics!$AK$2:$AK$167,economics!$AJ$2:$AJ$167,TRUE))*economics!$AM$2:$AM$167))/(SUMPRODUCT((economics!$AG$2:$AG$167=$B55)*(economics!$D$2:$D$167="process")*economics!$AI$2:$AI$167*(_xlfn.NORM.DIST(CG$3,economics!$AK$2:$AK$167,economics!$AJ$2:$AJ$167,TRUE)-_xlfn.NORM.DIST(CG$30,economics!$AK$2:$AK$167,economics!$AJ$2:$AJ$167,TRUE)))),"")</f>
        <v/>
      </c>
      <c r="CH55">
        <f t="array" ref="CH55">IFERROR((SUMPRODUCT((economics!$AG$2:$AG$167=$B55)*(economics!$D$2:$D$167="process")*economics!$AI$2:$AI$167*(_xlfn.NORM.DIST(CH$3,economics!$AK$2:$AK$167,economics!$AJ$2:$AJ$167,TRUE)-_xlfn.NORM.DIST(CH$30,economics!$AK$2:$AK$167,economics!$AJ$2:$AJ$167,TRUE))*economics!$AM$2:$AM$167))/(SUMPRODUCT((economics!$AG$2:$AG$167=$B55)*(economics!$D$2:$D$167="process")*economics!$AI$2:$AI$167*(_xlfn.NORM.DIST(CH$3,economics!$AK$2:$AK$167,economics!$AJ$2:$AJ$167,TRUE)-_xlfn.NORM.DIST(CH$30,economics!$AK$2:$AK$167,economics!$AJ$2:$AJ$167,TRUE)))),"")</f>
        <v/>
      </c>
    </row>
    <row r="56">
      <c r="A56">
        <f>A27</f>
        <v/>
      </c>
      <c r="B56">
        <f>B27</f>
        <v/>
      </c>
      <c r="E56">
        <f t="array" ref="E56">IFERROR((SUMPRODUCT((economics!$AG$2:$AG$167=$B56)*(economics!$D$2:$D$167="process")*economics!$AI$2:$AI$167*(_xlfn.NORM.DIST(E$3,economics!$AK$2:$AK$167,economics!$AJ$2:$AJ$167,TRUE)-_xlfn.NORM.DIST(E$30,economics!$AK$2:$AK$167,economics!$AJ$2:$AJ$167,TRUE))*economics!$AM$2:$AM$167))/(SUMPRODUCT((economics!$AG$2:$AG$167=$B56)*(economics!$D$2:$D$167="process")*economics!$AI$2:$AI$167*(_xlfn.NORM.DIST(E$3,economics!$AK$2:$AK$167,economics!$AJ$2:$AJ$167,TRUE)-_xlfn.NORM.DIST(E$30,economics!$AK$2:$AK$167,economics!$AJ$2:$AJ$167,TRUE)))),"")</f>
        <v/>
      </c>
      <c r="F56">
        <f t="array" ref="F56">IFERROR((SUMPRODUCT((economics!$AG$2:$AG$167=$B56)*(economics!$D$2:$D$167="process")*economics!$AI$2:$AI$167*(_xlfn.NORM.DIST(F$3,economics!$AK$2:$AK$167,economics!$AJ$2:$AJ$167,TRUE)-_xlfn.NORM.DIST(F$30,economics!$AK$2:$AK$167,economics!$AJ$2:$AJ$167,TRUE))*economics!$AM$2:$AM$167))/(SUMPRODUCT((economics!$AG$2:$AG$167=$B56)*(economics!$D$2:$D$167="process")*economics!$AI$2:$AI$167*(_xlfn.NORM.DIST(F$3,economics!$AK$2:$AK$167,economics!$AJ$2:$AJ$167,TRUE)-_xlfn.NORM.DIST(F$30,economics!$AK$2:$AK$167,economics!$AJ$2:$AJ$167,TRUE)))),"")</f>
        <v/>
      </c>
      <c r="G56">
        <f t="array" ref="G56">IFERROR((SUMPRODUCT((economics!$AG$2:$AG$167=$B56)*(economics!$D$2:$D$167="process")*economics!$AI$2:$AI$167*(_xlfn.NORM.DIST(G$3,economics!$AK$2:$AK$167,economics!$AJ$2:$AJ$167,TRUE)-_xlfn.NORM.DIST(G$30,economics!$AK$2:$AK$167,economics!$AJ$2:$AJ$167,TRUE))*economics!$AM$2:$AM$167))/(SUMPRODUCT((economics!$AG$2:$AG$167=$B56)*(economics!$D$2:$D$167="process")*economics!$AI$2:$AI$167*(_xlfn.NORM.DIST(G$3,economics!$AK$2:$AK$167,economics!$AJ$2:$AJ$167,TRUE)-_xlfn.NORM.DIST(G$30,economics!$AK$2:$AK$167,economics!$AJ$2:$AJ$167,TRUE)))),"")</f>
        <v/>
      </c>
      <c r="H56">
        <f t="array" ref="H56">IFERROR((SUMPRODUCT((economics!$AG$2:$AG$167=$B56)*(economics!$D$2:$D$167="process")*economics!$AI$2:$AI$167*(_xlfn.NORM.DIST(H$3,economics!$AK$2:$AK$167,economics!$AJ$2:$AJ$167,TRUE)-_xlfn.NORM.DIST(H$30,economics!$AK$2:$AK$167,economics!$AJ$2:$AJ$167,TRUE))*economics!$AM$2:$AM$167))/(SUMPRODUCT((economics!$AG$2:$AG$167=$B56)*(economics!$D$2:$D$167="process")*economics!$AI$2:$AI$167*(_xlfn.NORM.DIST(H$3,economics!$AK$2:$AK$167,economics!$AJ$2:$AJ$167,TRUE)-_xlfn.NORM.DIST(H$30,economics!$AK$2:$AK$167,economics!$AJ$2:$AJ$167,TRUE)))),"")</f>
        <v/>
      </c>
      <c r="I56">
        <f t="array" ref="I56">IFERROR((SUMPRODUCT((economics!$AG$2:$AG$167=$B56)*(economics!$D$2:$D$167="process")*economics!$AI$2:$AI$167*(_xlfn.NORM.DIST(I$3,economics!$AK$2:$AK$167,economics!$AJ$2:$AJ$167,TRUE)-_xlfn.NORM.DIST(I$30,economics!$AK$2:$AK$167,economics!$AJ$2:$AJ$167,TRUE))*economics!$AM$2:$AM$167))/(SUMPRODUCT((economics!$AG$2:$AG$167=$B56)*(economics!$D$2:$D$167="process")*economics!$AI$2:$AI$167*(_xlfn.NORM.DIST(I$3,economics!$AK$2:$AK$167,economics!$AJ$2:$AJ$167,TRUE)-_xlfn.NORM.DIST(I$30,economics!$AK$2:$AK$167,economics!$AJ$2:$AJ$167,TRUE)))),"")</f>
        <v/>
      </c>
      <c r="J56">
        <f t="array" ref="J56">IFERROR((SUMPRODUCT((economics!$AG$2:$AG$167=$B56)*(economics!$D$2:$D$167="process")*economics!$AI$2:$AI$167*(_xlfn.NORM.DIST(J$3,economics!$AK$2:$AK$167,economics!$AJ$2:$AJ$167,TRUE)-_xlfn.NORM.DIST(J$30,economics!$AK$2:$AK$167,economics!$AJ$2:$AJ$167,TRUE))*economics!$AM$2:$AM$167))/(SUMPRODUCT((economics!$AG$2:$AG$167=$B56)*(economics!$D$2:$D$167="process")*economics!$AI$2:$AI$167*(_xlfn.NORM.DIST(J$3,economics!$AK$2:$AK$167,economics!$AJ$2:$AJ$167,TRUE)-_xlfn.NORM.DIST(J$30,economics!$AK$2:$AK$167,economics!$AJ$2:$AJ$167,TRUE)))),"")</f>
        <v/>
      </c>
      <c r="K56">
        <f t="array" ref="K56">IFERROR((SUMPRODUCT((economics!$AG$2:$AG$167=$B56)*(economics!$D$2:$D$167="process")*economics!$AI$2:$AI$167*(_xlfn.NORM.DIST(K$3,economics!$AK$2:$AK$167,economics!$AJ$2:$AJ$167,TRUE)-_xlfn.NORM.DIST(K$30,economics!$AK$2:$AK$167,economics!$AJ$2:$AJ$167,TRUE))*economics!$AM$2:$AM$167))/(SUMPRODUCT((economics!$AG$2:$AG$167=$B56)*(economics!$D$2:$D$167="process")*economics!$AI$2:$AI$167*(_xlfn.NORM.DIST(K$3,economics!$AK$2:$AK$167,economics!$AJ$2:$AJ$167,TRUE)-_xlfn.NORM.DIST(K$30,economics!$AK$2:$AK$167,economics!$AJ$2:$AJ$167,TRUE)))),"")</f>
        <v/>
      </c>
      <c r="L56">
        <f t="array" ref="L56">IFERROR((SUMPRODUCT((economics!$AG$2:$AG$167=$B56)*(economics!$D$2:$D$167="process")*economics!$AI$2:$AI$167*(_xlfn.NORM.DIST(L$3,economics!$AK$2:$AK$167,economics!$AJ$2:$AJ$167,TRUE)-_xlfn.NORM.DIST(L$30,economics!$AK$2:$AK$167,economics!$AJ$2:$AJ$167,TRUE))*economics!$AM$2:$AM$167))/(SUMPRODUCT((economics!$AG$2:$AG$167=$B56)*(economics!$D$2:$D$167="process")*economics!$AI$2:$AI$167*(_xlfn.NORM.DIST(L$3,economics!$AK$2:$AK$167,economics!$AJ$2:$AJ$167,TRUE)-_xlfn.NORM.DIST(L$30,economics!$AK$2:$AK$167,economics!$AJ$2:$AJ$167,TRUE)))),"")</f>
        <v/>
      </c>
      <c r="M56">
        <f t="array" ref="M56">IFERROR((SUMPRODUCT((economics!$AG$2:$AG$167=$B56)*(economics!$D$2:$D$167="process")*economics!$AI$2:$AI$167*(_xlfn.NORM.DIST(M$3,economics!$AK$2:$AK$167,economics!$AJ$2:$AJ$167,TRUE)-_xlfn.NORM.DIST(M$30,economics!$AK$2:$AK$167,economics!$AJ$2:$AJ$167,TRUE))*economics!$AM$2:$AM$167))/(SUMPRODUCT((economics!$AG$2:$AG$167=$B56)*(economics!$D$2:$D$167="process")*economics!$AI$2:$AI$167*(_xlfn.NORM.DIST(M$3,economics!$AK$2:$AK$167,economics!$AJ$2:$AJ$167,TRUE)-_xlfn.NORM.DIST(M$30,economics!$AK$2:$AK$167,economics!$AJ$2:$AJ$167,TRUE)))),"")</f>
        <v/>
      </c>
      <c r="N56">
        <f t="array" ref="N56">IFERROR((SUMPRODUCT((economics!$AG$2:$AG$167=$B56)*(economics!$D$2:$D$167="process")*economics!$AI$2:$AI$167*(_xlfn.NORM.DIST(N$3,economics!$AK$2:$AK$167,economics!$AJ$2:$AJ$167,TRUE)-_xlfn.NORM.DIST(N$30,economics!$AK$2:$AK$167,economics!$AJ$2:$AJ$167,TRUE))*economics!$AM$2:$AM$167))/(SUMPRODUCT((economics!$AG$2:$AG$167=$B56)*(economics!$D$2:$D$167="process")*economics!$AI$2:$AI$167*(_xlfn.NORM.DIST(N$3,economics!$AK$2:$AK$167,economics!$AJ$2:$AJ$167,TRUE)-_xlfn.NORM.DIST(N$30,economics!$AK$2:$AK$167,economics!$AJ$2:$AJ$167,TRUE)))),"")</f>
        <v/>
      </c>
      <c r="O56">
        <f t="array" ref="O56">IFERROR((SUMPRODUCT((economics!$AG$2:$AG$167=$B56)*(economics!$D$2:$D$167="process")*economics!$AI$2:$AI$167*(_xlfn.NORM.DIST(O$3,economics!$AK$2:$AK$167,economics!$AJ$2:$AJ$167,TRUE)-_xlfn.NORM.DIST(O$30,economics!$AK$2:$AK$167,economics!$AJ$2:$AJ$167,TRUE))*economics!$AM$2:$AM$167))/(SUMPRODUCT((economics!$AG$2:$AG$167=$B56)*(economics!$D$2:$D$167="process")*economics!$AI$2:$AI$167*(_xlfn.NORM.DIST(O$3,economics!$AK$2:$AK$167,economics!$AJ$2:$AJ$167,TRUE)-_xlfn.NORM.DIST(O$30,economics!$AK$2:$AK$167,economics!$AJ$2:$AJ$167,TRUE)))),"")</f>
        <v/>
      </c>
      <c r="P56">
        <f t="array" ref="P56">IFERROR((SUMPRODUCT((economics!$AG$2:$AG$167=$B56)*(economics!$D$2:$D$167="process")*economics!$AI$2:$AI$167*(_xlfn.NORM.DIST(P$3,economics!$AK$2:$AK$167,economics!$AJ$2:$AJ$167,TRUE)-_xlfn.NORM.DIST(P$30,economics!$AK$2:$AK$167,economics!$AJ$2:$AJ$167,TRUE))*economics!$AM$2:$AM$167))/(SUMPRODUCT((economics!$AG$2:$AG$167=$B56)*(economics!$D$2:$D$167="process")*economics!$AI$2:$AI$167*(_xlfn.NORM.DIST(P$3,economics!$AK$2:$AK$167,economics!$AJ$2:$AJ$167,TRUE)-_xlfn.NORM.DIST(P$30,economics!$AK$2:$AK$167,economics!$AJ$2:$AJ$167,TRUE)))),"")</f>
        <v/>
      </c>
      <c r="Q56">
        <f t="array" ref="Q56">IFERROR((SUMPRODUCT((economics!$AG$2:$AG$167=$B56)*(economics!$D$2:$D$167="process")*economics!$AI$2:$AI$167*(_xlfn.NORM.DIST(Q$3,economics!$AK$2:$AK$167,economics!$AJ$2:$AJ$167,TRUE)-_xlfn.NORM.DIST(Q$30,economics!$AK$2:$AK$167,economics!$AJ$2:$AJ$167,TRUE))*economics!$AM$2:$AM$167))/(SUMPRODUCT((economics!$AG$2:$AG$167=$B56)*(economics!$D$2:$D$167="process")*economics!$AI$2:$AI$167*(_xlfn.NORM.DIST(Q$3,economics!$AK$2:$AK$167,economics!$AJ$2:$AJ$167,TRUE)-_xlfn.NORM.DIST(Q$30,economics!$AK$2:$AK$167,economics!$AJ$2:$AJ$167,TRUE)))),"")</f>
        <v/>
      </c>
      <c r="R56">
        <f t="array" ref="R56">IFERROR((SUMPRODUCT((economics!$AG$2:$AG$167=$B56)*(economics!$D$2:$D$167="process")*economics!$AI$2:$AI$167*(_xlfn.NORM.DIST(R$3,economics!$AK$2:$AK$167,economics!$AJ$2:$AJ$167,TRUE)-_xlfn.NORM.DIST(R$30,economics!$AK$2:$AK$167,economics!$AJ$2:$AJ$167,TRUE))*economics!$AM$2:$AM$167))/(SUMPRODUCT((economics!$AG$2:$AG$167=$B56)*(economics!$D$2:$D$167="process")*economics!$AI$2:$AI$167*(_xlfn.NORM.DIST(R$3,economics!$AK$2:$AK$167,economics!$AJ$2:$AJ$167,TRUE)-_xlfn.NORM.DIST(R$30,economics!$AK$2:$AK$167,economics!$AJ$2:$AJ$167,TRUE)))),"")</f>
        <v/>
      </c>
      <c r="S56">
        <f t="array" ref="S56">IFERROR((SUMPRODUCT((economics!$AG$2:$AG$167=$B56)*(economics!$D$2:$D$167="process")*economics!$AI$2:$AI$167*(_xlfn.NORM.DIST(S$3,economics!$AK$2:$AK$167,economics!$AJ$2:$AJ$167,TRUE)-_xlfn.NORM.DIST(S$30,economics!$AK$2:$AK$167,economics!$AJ$2:$AJ$167,TRUE))*economics!$AM$2:$AM$167))/(SUMPRODUCT((economics!$AG$2:$AG$167=$B56)*(economics!$D$2:$D$167="process")*economics!$AI$2:$AI$167*(_xlfn.NORM.DIST(S$3,economics!$AK$2:$AK$167,economics!$AJ$2:$AJ$167,TRUE)-_xlfn.NORM.DIST(S$30,economics!$AK$2:$AK$167,economics!$AJ$2:$AJ$167,TRUE)))),"")</f>
        <v/>
      </c>
      <c r="T56">
        <f t="array" ref="T56">IFERROR((SUMPRODUCT((economics!$AG$2:$AG$167=$B56)*(economics!$D$2:$D$167="process")*economics!$AI$2:$AI$167*(_xlfn.NORM.DIST(T$3,economics!$AK$2:$AK$167,economics!$AJ$2:$AJ$167,TRUE)-_xlfn.NORM.DIST(T$30,economics!$AK$2:$AK$167,economics!$AJ$2:$AJ$167,TRUE))*economics!$AM$2:$AM$167))/(SUMPRODUCT((economics!$AG$2:$AG$167=$B56)*(economics!$D$2:$D$167="process")*economics!$AI$2:$AI$167*(_xlfn.NORM.DIST(T$3,economics!$AK$2:$AK$167,economics!$AJ$2:$AJ$167,TRUE)-_xlfn.NORM.DIST(T$30,economics!$AK$2:$AK$167,economics!$AJ$2:$AJ$167,TRUE)))),"")</f>
        <v/>
      </c>
      <c r="U56">
        <f t="array" ref="U56">IFERROR((SUMPRODUCT((economics!$AG$2:$AG$167=$B56)*(economics!$D$2:$D$167="process")*economics!$AI$2:$AI$167*(_xlfn.NORM.DIST(U$3,economics!$AK$2:$AK$167,economics!$AJ$2:$AJ$167,TRUE)-_xlfn.NORM.DIST(U$30,economics!$AK$2:$AK$167,economics!$AJ$2:$AJ$167,TRUE))*economics!$AM$2:$AM$167))/(SUMPRODUCT((economics!$AG$2:$AG$167=$B56)*(economics!$D$2:$D$167="process")*economics!$AI$2:$AI$167*(_xlfn.NORM.DIST(U$3,economics!$AK$2:$AK$167,economics!$AJ$2:$AJ$167,TRUE)-_xlfn.NORM.DIST(U$30,economics!$AK$2:$AK$167,economics!$AJ$2:$AJ$167,TRUE)))),"")</f>
        <v/>
      </c>
      <c r="V56">
        <f t="array" ref="V56">IFERROR((SUMPRODUCT((economics!$AG$2:$AG$167=$B56)*(economics!$D$2:$D$167="process")*economics!$AI$2:$AI$167*(_xlfn.NORM.DIST(V$3,economics!$AK$2:$AK$167,economics!$AJ$2:$AJ$167,TRUE)-_xlfn.NORM.DIST(V$30,economics!$AK$2:$AK$167,economics!$AJ$2:$AJ$167,TRUE))*economics!$AM$2:$AM$167))/(SUMPRODUCT((economics!$AG$2:$AG$167=$B56)*(economics!$D$2:$D$167="process")*economics!$AI$2:$AI$167*(_xlfn.NORM.DIST(V$3,economics!$AK$2:$AK$167,economics!$AJ$2:$AJ$167,TRUE)-_xlfn.NORM.DIST(V$30,economics!$AK$2:$AK$167,economics!$AJ$2:$AJ$167,TRUE)))),"")</f>
        <v/>
      </c>
      <c r="W56">
        <f t="array" ref="W56">IFERROR((SUMPRODUCT((economics!$AG$2:$AG$167=$B56)*(economics!$D$2:$D$167="process")*economics!$AI$2:$AI$167*(_xlfn.NORM.DIST(W$3,economics!$AK$2:$AK$167,economics!$AJ$2:$AJ$167,TRUE)-_xlfn.NORM.DIST(W$30,economics!$AK$2:$AK$167,economics!$AJ$2:$AJ$167,TRUE))*economics!$AM$2:$AM$167))/(SUMPRODUCT((economics!$AG$2:$AG$167=$B56)*(economics!$D$2:$D$167="process")*economics!$AI$2:$AI$167*(_xlfn.NORM.DIST(W$3,economics!$AK$2:$AK$167,economics!$AJ$2:$AJ$167,TRUE)-_xlfn.NORM.DIST(W$30,economics!$AK$2:$AK$167,economics!$AJ$2:$AJ$167,TRUE)))),"")</f>
        <v/>
      </c>
      <c r="X56">
        <f t="array" ref="X56">IFERROR((SUMPRODUCT((economics!$AG$2:$AG$167=$B56)*(economics!$D$2:$D$167="process")*economics!$AI$2:$AI$167*(_xlfn.NORM.DIST(X$3,economics!$AK$2:$AK$167,economics!$AJ$2:$AJ$167,TRUE)-_xlfn.NORM.DIST(X$30,economics!$AK$2:$AK$167,economics!$AJ$2:$AJ$167,TRUE))*economics!$AM$2:$AM$167))/(SUMPRODUCT((economics!$AG$2:$AG$167=$B56)*(economics!$D$2:$D$167="process")*economics!$AI$2:$AI$167*(_xlfn.NORM.DIST(X$3,economics!$AK$2:$AK$167,economics!$AJ$2:$AJ$167,TRUE)-_xlfn.NORM.DIST(X$30,economics!$AK$2:$AK$167,economics!$AJ$2:$AJ$167,TRUE)))),"")</f>
        <v/>
      </c>
      <c r="Y56">
        <f t="array" ref="Y56">IFERROR((SUMPRODUCT((economics!$AG$2:$AG$167=$B56)*(economics!$D$2:$D$167="process")*economics!$AI$2:$AI$167*(_xlfn.NORM.DIST(Y$3,economics!$AK$2:$AK$167,economics!$AJ$2:$AJ$167,TRUE)-_xlfn.NORM.DIST(Y$30,economics!$AK$2:$AK$167,economics!$AJ$2:$AJ$167,TRUE))*economics!$AM$2:$AM$167))/(SUMPRODUCT((economics!$AG$2:$AG$167=$B56)*(economics!$D$2:$D$167="process")*economics!$AI$2:$AI$167*(_xlfn.NORM.DIST(Y$3,economics!$AK$2:$AK$167,economics!$AJ$2:$AJ$167,TRUE)-_xlfn.NORM.DIST(Y$30,economics!$AK$2:$AK$167,economics!$AJ$2:$AJ$167,TRUE)))),"")</f>
        <v/>
      </c>
      <c r="Z56">
        <f t="array" ref="Z56">IFERROR((SUMPRODUCT((economics!$AG$2:$AG$167=$B56)*(economics!$D$2:$D$167="process")*economics!$AI$2:$AI$167*(_xlfn.NORM.DIST(Z$3,economics!$AK$2:$AK$167,economics!$AJ$2:$AJ$167,TRUE)-_xlfn.NORM.DIST(Z$30,economics!$AK$2:$AK$167,economics!$AJ$2:$AJ$167,TRUE))*economics!$AM$2:$AM$167))/(SUMPRODUCT((economics!$AG$2:$AG$167=$B56)*(economics!$D$2:$D$167="process")*economics!$AI$2:$AI$167*(_xlfn.NORM.DIST(Z$3,economics!$AK$2:$AK$167,economics!$AJ$2:$AJ$167,TRUE)-_xlfn.NORM.DIST(Z$30,economics!$AK$2:$AK$167,economics!$AJ$2:$AJ$167,TRUE)))),"")</f>
        <v/>
      </c>
      <c r="AA56">
        <f t="array" ref="AA56">IFERROR((SUMPRODUCT((economics!$AG$2:$AG$167=$B56)*(economics!$D$2:$D$167="process")*economics!$AI$2:$AI$167*(_xlfn.NORM.DIST(AA$3,economics!$AK$2:$AK$167,economics!$AJ$2:$AJ$167,TRUE)-_xlfn.NORM.DIST(AA$30,economics!$AK$2:$AK$167,economics!$AJ$2:$AJ$167,TRUE))*economics!$AM$2:$AM$167))/(SUMPRODUCT((economics!$AG$2:$AG$167=$B56)*(economics!$D$2:$D$167="process")*economics!$AI$2:$AI$167*(_xlfn.NORM.DIST(AA$3,economics!$AK$2:$AK$167,economics!$AJ$2:$AJ$167,TRUE)-_xlfn.NORM.DIST(AA$30,economics!$AK$2:$AK$167,economics!$AJ$2:$AJ$167,TRUE)))),"")</f>
        <v/>
      </c>
      <c r="AB56">
        <f t="array" ref="AB56">IFERROR((SUMPRODUCT((economics!$AG$2:$AG$167=$B56)*(economics!$D$2:$D$167="process")*economics!$AI$2:$AI$167*(_xlfn.NORM.DIST(AB$3,economics!$AK$2:$AK$167,economics!$AJ$2:$AJ$167,TRUE)-_xlfn.NORM.DIST(AB$30,economics!$AK$2:$AK$167,economics!$AJ$2:$AJ$167,TRUE))*economics!$AM$2:$AM$167))/(SUMPRODUCT((economics!$AG$2:$AG$167=$B56)*(economics!$D$2:$D$167="process")*economics!$AI$2:$AI$167*(_xlfn.NORM.DIST(AB$3,economics!$AK$2:$AK$167,economics!$AJ$2:$AJ$167,TRUE)-_xlfn.NORM.DIST(AB$30,economics!$AK$2:$AK$167,economics!$AJ$2:$AJ$167,TRUE)))),"")</f>
        <v/>
      </c>
      <c r="AC56">
        <f t="array" ref="AC56">IFERROR((SUMPRODUCT((economics!$AG$2:$AG$167=$B56)*(economics!$D$2:$D$167="process")*economics!$AI$2:$AI$167*(_xlfn.NORM.DIST(AC$3,economics!$AK$2:$AK$167,economics!$AJ$2:$AJ$167,TRUE)-_xlfn.NORM.DIST(AC$30,economics!$AK$2:$AK$167,economics!$AJ$2:$AJ$167,TRUE))*economics!$AM$2:$AM$167))/(SUMPRODUCT((economics!$AG$2:$AG$167=$B56)*(economics!$D$2:$D$167="process")*economics!$AI$2:$AI$167*(_xlfn.NORM.DIST(AC$3,economics!$AK$2:$AK$167,economics!$AJ$2:$AJ$167,TRUE)-_xlfn.NORM.DIST(AC$30,economics!$AK$2:$AK$167,economics!$AJ$2:$AJ$167,TRUE)))),"")</f>
        <v/>
      </c>
      <c r="AD56">
        <f t="array" ref="AD56">IFERROR((SUMPRODUCT((economics!$AG$2:$AG$167=$B56)*(economics!$D$2:$D$167="process")*economics!$AI$2:$AI$167*(_xlfn.NORM.DIST(AD$3,economics!$AK$2:$AK$167,economics!$AJ$2:$AJ$167,TRUE)-_xlfn.NORM.DIST(AD$30,economics!$AK$2:$AK$167,economics!$AJ$2:$AJ$167,TRUE))*economics!$AM$2:$AM$167))/(SUMPRODUCT((economics!$AG$2:$AG$167=$B56)*(economics!$D$2:$D$167="process")*economics!$AI$2:$AI$167*(_xlfn.NORM.DIST(AD$3,economics!$AK$2:$AK$167,economics!$AJ$2:$AJ$167,TRUE)-_xlfn.NORM.DIST(AD$30,economics!$AK$2:$AK$167,economics!$AJ$2:$AJ$167,TRUE)))),"")</f>
        <v/>
      </c>
      <c r="AE56">
        <f t="array" ref="AE56">IFERROR((SUMPRODUCT((economics!$AG$2:$AG$167=$B56)*(economics!$D$2:$D$167="process")*economics!$AI$2:$AI$167*(_xlfn.NORM.DIST(AE$3,economics!$AK$2:$AK$167,economics!$AJ$2:$AJ$167,TRUE)-_xlfn.NORM.DIST(AE$30,economics!$AK$2:$AK$167,economics!$AJ$2:$AJ$167,TRUE))*economics!$AM$2:$AM$167))/(SUMPRODUCT((economics!$AG$2:$AG$167=$B56)*(economics!$D$2:$D$167="process")*economics!$AI$2:$AI$167*(_xlfn.NORM.DIST(AE$3,economics!$AK$2:$AK$167,economics!$AJ$2:$AJ$167,TRUE)-_xlfn.NORM.DIST(AE$30,economics!$AK$2:$AK$167,economics!$AJ$2:$AJ$167,TRUE)))),"")</f>
        <v/>
      </c>
      <c r="AF56">
        <f t="array" ref="AF56">IFERROR((SUMPRODUCT((economics!$AG$2:$AG$167=$B56)*(economics!$D$2:$D$167="process")*economics!$AI$2:$AI$167*(_xlfn.NORM.DIST(AF$3,economics!$AK$2:$AK$167,economics!$AJ$2:$AJ$167,TRUE)-_xlfn.NORM.DIST(AF$30,economics!$AK$2:$AK$167,economics!$AJ$2:$AJ$167,TRUE))*economics!$AM$2:$AM$167))/(SUMPRODUCT((economics!$AG$2:$AG$167=$B56)*(economics!$D$2:$D$167="process")*economics!$AI$2:$AI$167*(_xlfn.NORM.DIST(AF$3,economics!$AK$2:$AK$167,economics!$AJ$2:$AJ$167,TRUE)-_xlfn.NORM.DIST(AF$30,economics!$AK$2:$AK$167,economics!$AJ$2:$AJ$167,TRUE)))),"")</f>
        <v/>
      </c>
      <c r="AG56">
        <f t="array" ref="AG56">IFERROR((SUMPRODUCT((economics!$AG$2:$AG$167=$B56)*(economics!$D$2:$D$167="process")*economics!$AI$2:$AI$167*(_xlfn.NORM.DIST(AG$3,economics!$AK$2:$AK$167,economics!$AJ$2:$AJ$167,TRUE)-_xlfn.NORM.DIST(AG$30,economics!$AK$2:$AK$167,economics!$AJ$2:$AJ$167,TRUE))*economics!$AM$2:$AM$167))/(SUMPRODUCT((economics!$AG$2:$AG$167=$B56)*(economics!$D$2:$D$167="process")*economics!$AI$2:$AI$167*(_xlfn.NORM.DIST(AG$3,economics!$AK$2:$AK$167,economics!$AJ$2:$AJ$167,TRUE)-_xlfn.NORM.DIST(AG$30,economics!$AK$2:$AK$167,economics!$AJ$2:$AJ$167,TRUE)))),"")</f>
        <v/>
      </c>
      <c r="AH56">
        <f t="array" ref="AH56">IFERROR((SUMPRODUCT((economics!$AG$2:$AG$167=$B56)*(economics!$D$2:$D$167="process")*economics!$AI$2:$AI$167*(_xlfn.NORM.DIST(AH$3,economics!$AK$2:$AK$167,economics!$AJ$2:$AJ$167,TRUE)-_xlfn.NORM.DIST(AH$30,economics!$AK$2:$AK$167,economics!$AJ$2:$AJ$167,TRUE))*economics!$AM$2:$AM$167))/(SUMPRODUCT((economics!$AG$2:$AG$167=$B56)*(economics!$D$2:$D$167="process")*economics!$AI$2:$AI$167*(_xlfn.NORM.DIST(AH$3,economics!$AK$2:$AK$167,economics!$AJ$2:$AJ$167,TRUE)-_xlfn.NORM.DIST(AH$30,economics!$AK$2:$AK$167,economics!$AJ$2:$AJ$167,TRUE)))),"")</f>
        <v/>
      </c>
      <c r="AI56">
        <f t="array" ref="AI56">IFERROR((SUMPRODUCT((economics!$AG$2:$AG$167=$B56)*(economics!$D$2:$D$167="process")*economics!$AI$2:$AI$167*(_xlfn.NORM.DIST(AI$3,economics!$AK$2:$AK$167,economics!$AJ$2:$AJ$167,TRUE)-_xlfn.NORM.DIST(AI$30,economics!$AK$2:$AK$167,economics!$AJ$2:$AJ$167,TRUE))*economics!$AM$2:$AM$167))/(SUMPRODUCT((economics!$AG$2:$AG$167=$B56)*(economics!$D$2:$D$167="process")*economics!$AI$2:$AI$167*(_xlfn.NORM.DIST(AI$3,economics!$AK$2:$AK$167,economics!$AJ$2:$AJ$167,TRUE)-_xlfn.NORM.DIST(AI$30,economics!$AK$2:$AK$167,economics!$AJ$2:$AJ$167,TRUE)))),"")</f>
        <v/>
      </c>
      <c r="AJ56">
        <f t="array" ref="AJ56">IFERROR((SUMPRODUCT((economics!$AG$2:$AG$167=$B56)*(economics!$D$2:$D$167="process")*economics!$AI$2:$AI$167*(_xlfn.NORM.DIST(AJ$3,economics!$AK$2:$AK$167,economics!$AJ$2:$AJ$167,TRUE)-_xlfn.NORM.DIST(AJ$30,economics!$AK$2:$AK$167,economics!$AJ$2:$AJ$167,TRUE))*economics!$AM$2:$AM$167))/(SUMPRODUCT((economics!$AG$2:$AG$167=$B56)*(economics!$D$2:$D$167="process")*economics!$AI$2:$AI$167*(_xlfn.NORM.DIST(AJ$3,economics!$AK$2:$AK$167,economics!$AJ$2:$AJ$167,TRUE)-_xlfn.NORM.DIST(AJ$30,economics!$AK$2:$AK$167,economics!$AJ$2:$AJ$167,TRUE)))),"")</f>
        <v/>
      </c>
      <c r="AK56">
        <f t="array" ref="AK56">IFERROR((SUMPRODUCT((economics!$AG$2:$AG$167=$B56)*(economics!$D$2:$D$167="process")*economics!$AI$2:$AI$167*(_xlfn.NORM.DIST(AK$3,economics!$AK$2:$AK$167,economics!$AJ$2:$AJ$167,TRUE)-_xlfn.NORM.DIST(AK$30,economics!$AK$2:$AK$167,economics!$AJ$2:$AJ$167,TRUE))*economics!$AM$2:$AM$167))/(SUMPRODUCT((economics!$AG$2:$AG$167=$B56)*(economics!$D$2:$D$167="process")*economics!$AI$2:$AI$167*(_xlfn.NORM.DIST(AK$3,economics!$AK$2:$AK$167,economics!$AJ$2:$AJ$167,TRUE)-_xlfn.NORM.DIST(AK$30,economics!$AK$2:$AK$167,economics!$AJ$2:$AJ$167,TRUE)))),"")</f>
        <v/>
      </c>
      <c r="AL56">
        <f t="array" ref="AL56">IFERROR((SUMPRODUCT((economics!$AG$2:$AG$167=$B56)*(economics!$D$2:$D$167="process")*economics!$AI$2:$AI$167*(_xlfn.NORM.DIST(AL$3,economics!$AK$2:$AK$167,economics!$AJ$2:$AJ$167,TRUE)-_xlfn.NORM.DIST(AL$30,economics!$AK$2:$AK$167,economics!$AJ$2:$AJ$167,TRUE))*economics!$AM$2:$AM$167))/(SUMPRODUCT((economics!$AG$2:$AG$167=$B56)*(economics!$D$2:$D$167="process")*economics!$AI$2:$AI$167*(_xlfn.NORM.DIST(AL$3,economics!$AK$2:$AK$167,economics!$AJ$2:$AJ$167,TRUE)-_xlfn.NORM.DIST(AL$30,economics!$AK$2:$AK$167,economics!$AJ$2:$AJ$167,TRUE)))),"")</f>
        <v/>
      </c>
      <c r="AM56">
        <f t="array" ref="AM56">IFERROR((SUMPRODUCT((economics!$AG$2:$AG$167=$B56)*(economics!$D$2:$D$167="process")*economics!$AI$2:$AI$167*(_xlfn.NORM.DIST(AM$3,economics!$AK$2:$AK$167,economics!$AJ$2:$AJ$167,TRUE)-_xlfn.NORM.DIST(AM$30,economics!$AK$2:$AK$167,economics!$AJ$2:$AJ$167,TRUE))*economics!$AM$2:$AM$167))/(SUMPRODUCT((economics!$AG$2:$AG$167=$B56)*(economics!$D$2:$D$167="process")*economics!$AI$2:$AI$167*(_xlfn.NORM.DIST(AM$3,economics!$AK$2:$AK$167,economics!$AJ$2:$AJ$167,TRUE)-_xlfn.NORM.DIST(AM$30,economics!$AK$2:$AK$167,economics!$AJ$2:$AJ$167,TRUE)))),"")</f>
        <v/>
      </c>
      <c r="AN56">
        <f t="array" ref="AN56">IFERROR((SUMPRODUCT((economics!$AG$2:$AG$167=$B56)*(economics!$D$2:$D$167="process")*economics!$AI$2:$AI$167*(_xlfn.NORM.DIST(AN$3,economics!$AK$2:$AK$167,economics!$AJ$2:$AJ$167,TRUE)-_xlfn.NORM.DIST(AN$30,economics!$AK$2:$AK$167,economics!$AJ$2:$AJ$167,TRUE))*economics!$AM$2:$AM$167))/(SUMPRODUCT((economics!$AG$2:$AG$167=$B56)*(economics!$D$2:$D$167="process")*economics!$AI$2:$AI$167*(_xlfn.NORM.DIST(AN$3,economics!$AK$2:$AK$167,economics!$AJ$2:$AJ$167,TRUE)-_xlfn.NORM.DIST(AN$30,economics!$AK$2:$AK$167,economics!$AJ$2:$AJ$167,TRUE)))),"")</f>
        <v/>
      </c>
      <c r="AO56">
        <f t="array" ref="AO56">IFERROR((SUMPRODUCT((economics!$AG$2:$AG$167=$B56)*(economics!$D$2:$D$167="process")*economics!$AI$2:$AI$167*(_xlfn.NORM.DIST(AO$3,economics!$AK$2:$AK$167,economics!$AJ$2:$AJ$167,TRUE)-_xlfn.NORM.DIST(AO$30,economics!$AK$2:$AK$167,economics!$AJ$2:$AJ$167,TRUE))*economics!$AM$2:$AM$167))/(SUMPRODUCT((economics!$AG$2:$AG$167=$B56)*(economics!$D$2:$D$167="process")*economics!$AI$2:$AI$167*(_xlfn.NORM.DIST(AO$3,economics!$AK$2:$AK$167,economics!$AJ$2:$AJ$167,TRUE)-_xlfn.NORM.DIST(AO$30,economics!$AK$2:$AK$167,economics!$AJ$2:$AJ$167,TRUE)))),"")</f>
        <v/>
      </c>
      <c r="AP56">
        <f t="array" ref="AP56">IFERROR((SUMPRODUCT((economics!$AG$2:$AG$167=$B56)*(economics!$D$2:$D$167="process")*economics!$AI$2:$AI$167*(_xlfn.NORM.DIST(AP$3,economics!$AK$2:$AK$167,economics!$AJ$2:$AJ$167,TRUE)-_xlfn.NORM.DIST(AP$30,economics!$AK$2:$AK$167,economics!$AJ$2:$AJ$167,TRUE))*economics!$AM$2:$AM$167))/(SUMPRODUCT((economics!$AG$2:$AG$167=$B56)*(economics!$D$2:$D$167="process")*economics!$AI$2:$AI$167*(_xlfn.NORM.DIST(AP$3,economics!$AK$2:$AK$167,economics!$AJ$2:$AJ$167,TRUE)-_xlfn.NORM.DIST(AP$30,economics!$AK$2:$AK$167,economics!$AJ$2:$AJ$167,TRUE)))),"")</f>
        <v/>
      </c>
      <c r="AQ56">
        <f t="array" ref="AQ56">IFERROR((SUMPRODUCT((economics!$AG$2:$AG$167=$B56)*(economics!$D$2:$D$167="process")*economics!$AI$2:$AI$167*(_xlfn.NORM.DIST(AQ$3,economics!$AK$2:$AK$167,economics!$AJ$2:$AJ$167,TRUE)-_xlfn.NORM.DIST(AQ$30,economics!$AK$2:$AK$167,economics!$AJ$2:$AJ$167,TRUE))*economics!$AM$2:$AM$167))/(SUMPRODUCT((economics!$AG$2:$AG$167=$B56)*(economics!$D$2:$D$167="process")*economics!$AI$2:$AI$167*(_xlfn.NORM.DIST(AQ$3,economics!$AK$2:$AK$167,economics!$AJ$2:$AJ$167,TRUE)-_xlfn.NORM.DIST(AQ$30,economics!$AK$2:$AK$167,economics!$AJ$2:$AJ$167,TRUE)))),"")</f>
        <v/>
      </c>
      <c r="AR56">
        <f t="array" ref="AR56">IFERROR((SUMPRODUCT((economics!$AG$2:$AG$167=$B56)*(economics!$D$2:$D$167="process")*economics!$AI$2:$AI$167*(_xlfn.NORM.DIST(AR$3,economics!$AK$2:$AK$167,economics!$AJ$2:$AJ$167,TRUE)-_xlfn.NORM.DIST(AR$30,economics!$AK$2:$AK$167,economics!$AJ$2:$AJ$167,TRUE))*economics!$AM$2:$AM$167))/(SUMPRODUCT((economics!$AG$2:$AG$167=$B56)*(economics!$D$2:$D$167="process")*economics!$AI$2:$AI$167*(_xlfn.NORM.DIST(AR$3,economics!$AK$2:$AK$167,economics!$AJ$2:$AJ$167,TRUE)-_xlfn.NORM.DIST(AR$30,economics!$AK$2:$AK$167,economics!$AJ$2:$AJ$167,TRUE)))),"")</f>
        <v/>
      </c>
      <c r="AS56">
        <f t="array" ref="AS56">IFERROR((SUMPRODUCT((economics!$AG$2:$AG$167=$B56)*(economics!$D$2:$D$167="process")*economics!$AI$2:$AI$167*(_xlfn.NORM.DIST(AS$3,economics!$AK$2:$AK$167,economics!$AJ$2:$AJ$167,TRUE)-_xlfn.NORM.DIST(AS$30,economics!$AK$2:$AK$167,economics!$AJ$2:$AJ$167,TRUE))*economics!$AM$2:$AM$167))/(SUMPRODUCT((economics!$AG$2:$AG$167=$B56)*(economics!$D$2:$D$167="process")*economics!$AI$2:$AI$167*(_xlfn.NORM.DIST(AS$3,economics!$AK$2:$AK$167,economics!$AJ$2:$AJ$167,TRUE)-_xlfn.NORM.DIST(AS$30,economics!$AK$2:$AK$167,economics!$AJ$2:$AJ$167,TRUE)))),"")</f>
        <v/>
      </c>
      <c r="AT56">
        <f t="array" ref="AT56">IFERROR((SUMPRODUCT((economics!$AG$2:$AG$167=$B56)*(economics!$D$2:$D$167="process")*economics!$AI$2:$AI$167*(_xlfn.NORM.DIST(AT$3,economics!$AK$2:$AK$167,economics!$AJ$2:$AJ$167,TRUE)-_xlfn.NORM.DIST(AT$30,economics!$AK$2:$AK$167,economics!$AJ$2:$AJ$167,TRUE))*economics!$AM$2:$AM$167))/(SUMPRODUCT((economics!$AG$2:$AG$167=$B56)*(economics!$D$2:$D$167="process")*economics!$AI$2:$AI$167*(_xlfn.NORM.DIST(AT$3,economics!$AK$2:$AK$167,economics!$AJ$2:$AJ$167,TRUE)-_xlfn.NORM.DIST(AT$30,economics!$AK$2:$AK$167,economics!$AJ$2:$AJ$167,TRUE)))),"")</f>
        <v/>
      </c>
      <c r="AU56">
        <f t="array" ref="AU56">IFERROR((SUMPRODUCT((economics!$AG$2:$AG$167=$B56)*(economics!$D$2:$D$167="process")*economics!$AI$2:$AI$167*(_xlfn.NORM.DIST(AU$3,economics!$AK$2:$AK$167,economics!$AJ$2:$AJ$167,TRUE)-_xlfn.NORM.DIST(AU$30,economics!$AK$2:$AK$167,economics!$AJ$2:$AJ$167,TRUE))*economics!$AM$2:$AM$167))/(SUMPRODUCT((economics!$AG$2:$AG$167=$B56)*(economics!$D$2:$D$167="process")*economics!$AI$2:$AI$167*(_xlfn.NORM.DIST(AU$3,economics!$AK$2:$AK$167,economics!$AJ$2:$AJ$167,TRUE)-_xlfn.NORM.DIST(AU$30,economics!$AK$2:$AK$167,economics!$AJ$2:$AJ$167,TRUE)))),"")</f>
        <v/>
      </c>
      <c r="AV56">
        <f t="array" ref="AV56">IFERROR((SUMPRODUCT((economics!$AG$2:$AG$167=$B56)*(economics!$D$2:$D$167="process")*economics!$AI$2:$AI$167*(_xlfn.NORM.DIST(AV$3,economics!$AK$2:$AK$167,economics!$AJ$2:$AJ$167,TRUE)-_xlfn.NORM.DIST(AV$30,economics!$AK$2:$AK$167,economics!$AJ$2:$AJ$167,TRUE))*economics!$AM$2:$AM$167))/(SUMPRODUCT((economics!$AG$2:$AG$167=$B56)*(economics!$D$2:$D$167="process")*economics!$AI$2:$AI$167*(_xlfn.NORM.DIST(AV$3,economics!$AK$2:$AK$167,economics!$AJ$2:$AJ$167,TRUE)-_xlfn.NORM.DIST(AV$30,economics!$AK$2:$AK$167,economics!$AJ$2:$AJ$167,TRUE)))),"")</f>
        <v/>
      </c>
      <c r="AW56">
        <f t="array" ref="AW56">IFERROR((SUMPRODUCT((economics!$AG$2:$AG$167=$B56)*(economics!$D$2:$D$167="process")*economics!$AI$2:$AI$167*(_xlfn.NORM.DIST(AW$3,economics!$AK$2:$AK$167,economics!$AJ$2:$AJ$167,TRUE)-_xlfn.NORM.DIST(AW$30,economics!$AK$2:$AK$167,economics!$AJ$2:$AJ$167,TRUE))*economics!$AM$2:$AM$167))/(SUMPRODUCT((economics!$AG$2:$AG$167=$B56)*(economics!$D$2:$D$167="process")*economics!$AI$2:$AI$167*(_xlfn.NORM.DIST(AW$3,economics!$AK$2:$AK$167,economics!$AJ$2:$AJ$167,TRUE)-_xlfn.NORM.DIST(AW$30,economics!$AK$2:$AK$167,economics!$AJ$2:$AJ$167,TRUE)))),"")</f>
        <v/>
      </c>
      <c r="AX56">
        <f t="array" ref="AX56">IFERROR((SUMPRODUCT((economics!$AG$2:$AG$167=$B56)*(economics!$D$2:$D$167="process")*economics!$AI$2:$AI$167*(_xlfn.NORM.DIST(AX$3,economics!$AK$2:$AK$167,economics!$AJ$2:$AJ$167,TRUE)-_xlfn.NORM.DIST(AX$30,economics!$AK$2:$AK$167,economics!$AJ$2:$AJ$167,TRUE))*economics!$AM$2:$AM$167))/(SUMPRODUCT((economics!$AG$2:$AG$167=$B56)*(economics!$D$2:$D$167="process")*economics!$AI$2:$AI$167*(_xlfn.NORM.DIST(AX$3,economics!$AK$2:$AK$167,economics!$AJ$2:$AJ$167,TRUE)-_xlfn.NORM.DIST(AX$30,economics!$AK$2:$AK$167,economics!$AJ$2:$AJ$167,TRUE)))),"")</f>
        <v/>
      </c>
      <c r="AY56">
        <f t="array" ref="AY56">IFERROR((SUMPRODUCT((economics!$AG$2:$AG$167=$B56)*(economics!$D$2:$D$167="process")*economics!$AI$2:$AI$167*(_xlfn.NORM.DIST(AY$3,economics!$AK$2:$AK$167,economics!$AJ$2:$AJ$167,TRUE)-_xlfn.NORM.DIST(AY$30,economics!$AK$2:$AK$167,economics!$AJ$2:$AJ$167,TRUE))*economics!$AM$2:$AM$167))/(SUMPRODUCT((economics!$AG$2:$AG$167=$B56)*(economics!$D$2:$D$167="process")*economics!$AI$2:$AI$167*(_xlfn.NORM.DIST(AY$3,economics!$AK$2:$AK$167,economics!$AJ$2:$AJ$167,TRUE)-_xlfn.NORM.DIST(AY$30,economics!$AK$2:$AK$167,economics!$AJ$2:$AJ$167,TRUE)))),"")</f>
        <v/>
      </c>
      <c r="AZ56">
        <f t="array" ref="AZ56">IFERROR((SUMPRODUCT((economics!$AG$2:$AG$167=$B56)*(economics!$D$2:$D$167="process")*economics!$AI$2:$AI$167*(_xlfn.NORM.DIST(AZ$3,economics!$AK$2:$AK$167,economics!$AJ$2:$AJ$167,TRUE)-_xlfn.NORM.DIST(AZ$30,economics!$AK$2:$AK$167,economics!$AJ$2:$AJ$167,TRUE))*economics!$AM$2:$AM$167))/(SUMPRODUCT((economics!$AG$2:$AG$167=$B56)*(economics!$D$2:$D$167="process")*economics!$AI$2:$AI$167*(_xlfn.NORM.DIST(AZ$3,economics!$AK$2:$AK$167,economics!$AJ$2:$AJ$167,TRUE)-_xlfn.NORM.DIST(AZ$30,economics!$AK$2:$AK$167,economics!$AJ$2:$AJ$167,TRUE)))),"")</f>
        <v/>
      </c>
      <c r="BA56">
        <f t="array" ref="BA56">IFERROR((SUMPRODUCT((economics!$AG$2:$AG$167=$B56)*(economics!$D$2:$D$167="process")*economics!$AI$2:$AI$167*(_xlfn.NORM.DIST(BA$3,economics!$AK$2:$AK$167,economics!$AJ$2:$AJ$167,TRUE)-_xlfn.NORM.DIST(BA$30,economics!$AK$2:$AK$167,economics!$AJ$2:$AJ$167,TRUE))*economics!$AM$2:$AM$167))/(SUMPRODUCT((economics!$AG$2:$AG$167=$B56)*(economics!$D$2:$D$167="process")*economics!$AI$2:$AI$167*(_xlfn.NORM.DIST(BA$3,economics!$AK$2:$AK$167,economics!$AJ$2:$AJ$167,TRUE)-_xlfn.NORM.DIST(BA$30,economics!$AK$2:$AK$167,economics!$AJ$2:$AJ$167,TRUE)))),"")</f>
        <v/>
      </c>
      <c r="BB56">
        <f t="array" ref="BB56">IFERROR((SUMPRODUCT((economics!$AG$2:$AG$167=$B56)*(economics!$D$2:$D$167="process")*economics!$AI$2:$AI$167*(_xlfn.NORM.DIST(BB$3,economics!$AK$2:$AK$167,economics!$AJ$2:$AJ$167,TRUE)-_xlfn.NORM.DIST(BB$30,economics!$AK$2:$AK$167,economics!$AJ$2:$AJ$167,TRUE))*economics!$AM$2:$AM$167))/(SUMPRODUCT((economics!$AG$2:$AG$167=$B56)*(economics!$D$2:$D$167="process")*economics!$AI$2:$AI$167*(_xlfn.NORM.DIST(BB$3,economics!$AK$2:$AK$167,economics!$AJ$2:$AJ$167,TRUE)-_xlfn.NORM.DIST(BB$30,economics!$AK$2:$AK$167,economics!$AJ$2:$AJ$167,TRUE)))),"")</f>
        <v/>
      </c>
      <c r="BC56">
        <f t="array" ref="BC56">IFERROR((SUMPRODUCT((economics!$AG$2:$AG$167=$B56)*(economics!$D$2:$D$167="process")*economics!$AI$2:$AI$167*(_xlfn.NORM.DIST(BC$3,economics!$AK$2:$AK$167,economics!$AJ$2:$AJ$167,TRUE)-_xlfn.NORM.DIST(BC$30,economics!$AK$2:$AK$167,economics!$AJ$2:$AJ$167,TRUE))*economics!$AM$2:$AM$167))/(SUMPRODUCT((economics!$AG$2:$AG$167=$B56)*(economics!$D$2:$D$167="process")*economics!$AI$2:$AI$167*(_xlfn.NORM.DIST(BC$3,economics!$AK$2:$AK$167,economics!$AJ$2:$AJ$167,TRUE)-_xlfn.NORM.DIST(BC$30,economics!$AK$2:$AK$167,economics!$AJ$2:$AJ$167,TRUE)))),"")</f>
        <v/>
      </c>
      <c r="BD56">
        <f t="array" ref="BD56">IFERROR((SUMPRODUCT((economics!$AG$2:$AG$167=$B56)*(economics!$D$2:$D$167="process")*economics!$AI$2:$AI$167*(_xlfn.NORM.DIST(BD$3,economics!$AK$2:$AK$167,economics!$AJ$2:$AJ$167,TRUE)-_xlfn.NORM.DIST(BD$30,economics!$AK$2:$AK$167,economics!$AJ$2:$AJ$167,TRUE))*economics!$AM$2:$AM$167))/(SUMPRODUCT((economics!$AG$2:$AG$167=$B56)*(economics!$D$2:$D$167="process")*economics!$AI$2:$AI$167*(_xlfn.NORM.DIST(BD$3,economics!$AK$2:$AK$167,economics!$AJ$2:$AJ$167,TRUE)-_xlfn.NORM.DIST(BD$30,economics!$AK$2:$AK$167,economics!$AJ$2:$AJ$167,TRUE)))),"")</f>
        <v/>
      </c>
      <c r="BE56">
        <f t="array" ref="BE56">IFERROR((SUMPRODUCT((economics!$AG$2:$AG$167=$B56)*(economics!$D$2:$D$167="process")*economics!$AI$2:$AI$167*(_xlfn.NORM.DIST(BE$3,economics!$AK$2:$AK$167,economics!$AJ$2:$AJ$167,TRUE)-_xlfn.NORM.DIST(BE$30,economics!$AK$2:$AK$167,economics!$AJ$2:$AJ$167,TRUE))*economics!$AM$2:$AM$167))/(SUMPRODUCT((economics!$AG$2:$AG$167=$B56)*(economics!$D$2:$D$167="process")*economics!$AI$2:$AI$167*(_xlfn.NORM.DIST(BE$3,economics!$AK$2:$AK$167,economics!$AJ$2:$AJ$167,TRUE)-_xlfn.NORM.DIST(BE$30,economics!$AK$2:$AK$167,economics!$AJ$2:$AJ$167,TRUE)))),"")</f>
        <v/>
      </c>
      <c r="BF56">
        <f t="array" ref="BF56">IFERROR((SUMPRODUCT((economics!$AG$2:$AG$167=$B56)*(economics!$D$2:$D$167="process")*economics!$AI$2:$AI$167*(_xlfn.NORM.DIST(BF$3,economics!$AK$2:$AK$167,economics!$AJ$2:$AJ$167,TRUE)-_xlfn.NORM.DIST(BF$30,economics!$AK$2:$AK$167,economics!$AJ$2:$AJ$167,TRUE))*economics!$AM$2:$AM$167))/(SUMPRODUCT((economics!$AG$2:$AG$167=$B56)*(economics!$D$2:$D$167="process")*economics!$AI$2:$AI$167*(_xlfn.NORM.DIST(BF$3,economics!$AK$2:$AK$167,economics!$AJ$2:$AJ$167,TRUE)-_xlfn.NORM.DIST(BF$30,economics!$AK$2:$AK$167,economics!$AJ$2:$AJ$167,TRUE)))),"")</f>
        <v/>
      </c>
      <c r="BG56">
        <f t="array" ref="BG56">IFERROR((SUMPRODUCT((economics!$AG$2:$AG$167=$B56)*(economics!$D$2:$D$167="process")*economics!$AI$2:$AI$167*(_xlfn.NORM.DIST(BG$3,economics!$AK$2:$AK$167,economics!$AJ$2:$AJ$167,TRUE)-_xlfn.NORM.DIST(BG$30,economics!$AK$2:$AK$167,economics!$AJ$2:$AJ$167,TRUE))*economics!$AM$2:$AM$167))/(SUMPRODUCT((economics!$AG$2:$AG$167=$B56)*(economics!$D$2:$D$167="process")*economics!$AI$2:$AI$167*(_xlfn.NORM.DIST(BG$3,economics!$AK$2:$AK$167,economics!$AJ$2:$AJ$167,TRUE)-_xlfn.NORM.DIST(BG$30,economics!$AK$2:$AK$167,economics!$AJ$2:$AJ$167,TRUE)))),"")</f>
        <v/>
      </c>
      <c r="BH56">
        <f t="array" ref="BH56">IFERROR((SUMPRODUCT((economics!$AG$2:$AG$167=$B56)*(economics!$D$2:$D$167="process")*economics!$AI$2:$AI$167*(_xlfn.NORM.DIST(BH$3,economics!$AK$2:$AK$167,economics!$AJ$2:$AJ$167,TRUE)-_xlfn.NORM.DIST(BH$30,economics!$AK$2:$AK$167,economics!$AJ$2:$AJ$167,TRUE))*economics!$AM$2:$AM$167))/(SUMPRODUCT((economics!$AG$2:$AG$167=$B56)*(economics!$D$2:$D$167="process")*economics!$AI$2:$AI$167*(_xlfn.NORM.DIST(BH$3,economics!$AK$2:$AK$167,economics!$AJ$2:$AJ$167,TRUE)-_xlfn.NORM.DIST(BH$30,economics!$AK$2:$AK$167,economics!$AJ$2:$AJ$167,TRUE)))),"")</f>
        <v/>
      </c>
      <c r="BI56">
        <f t="array" ref="BI56">IFERROR((SUMPRODUCT((economics!$AG$2:$AG$167=$B56)*(economics!$D$2:$D$167="process")*economics!$AI$2:$AI$167*(_xlfn.NORM.DIST(BI$3,economics!$AK$2:$AK$167,economics!$AJ$2:$AJ$167,TRUE)-_xlfn.NORM.DIST(BI$30,economics!$AK$2:$AK$167,economics!$AJ$2:$AJ$167,TRUE))*economics!$AM$2:$AM$167))/(SUMPRODUCT((economics!$AG$2:$AG$167=$B56)*(economics!$D$2:$D$167="process")*economics!$AI$2:$AI$167*(_xlfn.NORM.DIST(BI$3,economics!$AK$2:$AK$167,economics!$AJ$2:$AJ$167,TRUE)-_xlfn.NORM.DIST(BI$30,economics!$AK$2:$AK$167,economics!$AJ$2:$AJ$167,TRUE)))),"")</f>
        <v/>
      </c>
      <c r="BJ56">
        <f t="array" ref="BJ56">IFERROR((SUMPRODUCT((economics!$AG$2:$AG$167=$B56)*(economics!$D$2:$D$167="process")*economics!$AI$2:$AI$167*(_xlfn.NORM.DIST(BJ$3,economics!$AK$2:$AK$167,economics!$AJ$2:$AJ$167,TRUE)-_xlfn.NORM.DIST(BJ$30,economics!$AK$2:$AK$167,economics!$AJ$2:$AJ$167,TRUE))*economics!$AM$2:$AM$167))/(SUMPRODUCT((economics!$AG$2:$AG$167=$B56)*(economics!$D$2:$D$167="process")*economics!$AI$2:$AI$167*(_xlfn.NORM.DIST(BJ$3,economics!$AK$2:$AK$167,economics!$AJ$2:$AJ$167,TRUE)-_xlfn.NORM.DIST(BJ$30,economics!$AK$2:$AK$167,economics!$AJ$2:$AJ$167,TRUE)))),"")</f>
        <v/>
      </c>
      <c r="BK56">
        <f t="array" ref="BK56">IFERROR((SUMPRODUCT((economics!$AG$2:$AG$167=$B56)*(economics!$D$2:$D$167="process")*economics!$AI$2:$AI$167*(_xlfn.NORM.DIST(BK$3,economics!$AK$2:$AK$167,economics!$AJ$2:$AJ$167,TRUE)-_xlfn.NORM.DIST(BK$30,economics!$AK$2:$AK$167,economics!$AJ$2:$AJ$167,TRUE))*economics!$AM$2:$AM$167))/(SUMPRODUCT((economics!$AG$2:$AG$167=$B56)*(economics!$D$2:$D$167="process")*economics!$AI$2:$AI$167*(_xlfn.NORM.DIST(BK$3,economics!$AK$2:$AK$167,economics!$AJ$2:$AJ$167,TRUE)-_xlfn.NORM.DIST(BK$30,economics!$AK$2:$AK$167,economics!$AJ$2:$AJ$167,TRUE)))),"")</f>
        <v/>
      </c>
      <c r="BL56">
        <f t="array" ref="BL56">IFERROR((SUMPRODUCT((economics!$AG$2:$AG$167=$B56)*(economics!$D$2:$D$167="process")*economics!$AI$2:$AI$167*(_xlfn.NORM.DIST(BL$3,economics!$AK$2:$AK$167,economics!$AJ$2:$AJ$167,TRUE)-_xlfn.NORM.DIST(BL$30,economics!$AK$2:$AK$167,economics!$AJ$2:$AJ$167,TRUE))*economics!$AM$2:$AM$167))/(SUMPRODUCT((economics!$AG$2:$AG$167=$B56)*(economics!$D$2:$D$167="process")*economics!$AI$2:$AI$167*(_xlfn.NORM.DIST(BL$3,economics!$AK$2:$AK$167,economics!$AJ$2:$AJ$167,TRUE)-_xlfn.NORM.DIST(BL$30,economics!$AK$2:$AK$167,economics!$AJ$2:$AJ$167,TRUE)))),"")</f>
        <v/>
      </c>
      <c r="BM56">
        <f t="array" ref="BM56">IFERROR((SUMPRODUCT((economics!$AG$2:$AG$167=$B56)*(economics!$D$2:$D$167="process")*economics!$AI$2:$AI$167*(_xlfn.NORM.DIST(BM$3,economics!$AK$2:$AK$167,economics!$AJ$2:$AJ$167,TRUE)-_xlfn.NORM.DIST(BM$30,economics!$AK$2:$AK$167,economics!$AJ$2:$AJ$167,TRUE))*economics!$AM$2:$AM$167))/(SUMPRODUCT((economics!$AG$2:$AG$167=$B56)*(economics!$D$2:$D$167="process")*economics!$AI$2:$AI$167*(_xlfn.NORM.DIST(BM$3,economics!$AK$2:$AK$167,economics!$AJ$2:$AJ$167,TRUE)-_xlfn.NORM.DIST(BM$30,economics!$AK$2:$AK$167,economics!$AJ$2:$AJ$167,TRUE)))),"")</f>
        <v/>
      </c>
      <c r="BN56">
        <f t="array" ref="BN56">IFERROR((SUMPRODUCT((economics!$AG$2:$AG$167=$B56)*(economics!$D$2:$D$167="process")*economics!$AI$2:$AI$167*(_xlfn.NORM.DIST(BN$3,economics!$AK$2:$AK$167,economics!$AJ$2:$AJ$167,TRUE)-_xlfn.NORM.DIST(BN$30,economics!$AK$2:$AK$167,economics!$AJ$2:$AJ$167,TRUE))*economics!$AM$2:$AM$167))/(SUMPRODUCT((economics!$AG$2:$AG$167=$B56)*(economics!$D$2:$D$167="process")*economics!$AI$2:$AI$167*(_xlfn.NORM.DIST(BN$3,economics!$AK$2:$AK$167,economics!$AJ$2:$AJ$167,TRUE)-_xlfn.NORM.DIST(BN$30,economics!$AK$2:$AK$167,economics!$AJ$2:$AJ$167,TRUE)))),"")</f>
        <v/>
      </c>
      <c r="BO56">
        <f t="array" ref="BO56">IFERROR((SUMPRODUCT((economics!$AG$2:$AG$167=$B56)*(economics!$D$2:$D$167="process")*economics!$AI$2:$AI$167*(_xlfn.NORM.DIST(BO$3,economics!$AK$2:$AK$167,economics!$AJ$2:$AJ$167,TRUE)-_xlfn.NORM.DIST(BO$30,economics!$AK$2:$AK$167,economics!$AJ$2:$AJ$167,TRUE))*economics!$AM$2:$AM$167))/(SUMPRODUCT((economics!$AG$2:$AG$167=$B56)*(economics!$D$2:$D$167="process")*economics!$AI$2:$AI$167*(_xlfn.NORM.DIST(BO$3,economics!$AK$2:$AK$167,economics!$AJ$2:$AJ$167,TRUE)-_xlfn.NORM.DIST(BO$30,economics!$AK$2:$AK$167,economics!$AJ$2:$AJ$167,TRUE)))),"")</f>
        <v/>
      </c>
      <c r="BP56">
        <f t="array" ref="BP56">IFERROR((SUMPRODUCT((economics!$AG$2:$AG$167=$B56)*(economics!$D$2:$D$167="process")*economics!$AI$2:$AI$167*(_xlfn.NORM.DIST(BP$3,economics!$AK$2:$AK$167,economics!$AJ$2:$AJ$167,TRUE)-_xlfn.NORM.DIST(BP$30,economics!$AK$2:$AK$167,economics!$AJ$2:$AJ$167,TRUE))*economics!$AM$2:$AM$167))/(SUMPRODUCT((economics!$AG$2:$AG$167=$B56)*(economics!$D$2:$D$167="process")*economics!$AI$2:$AI$167*(_xlfn.NORM.DIST(BP$3,economics!$AK$2:$AK$167,economics!$AJ$2:$AJ$167,TRUE)-_xlfn.NORM.DIST(BP$30,economics!$AK$2:$AK$167,economics!$AJ$2:$AJ$167,TRUE)))),"")</f>
        <v/>
      </c>
      <c r="BQ56">
        <f t="array" ref="BQ56">IFERROR((SUMPRODUCT((economics!$AG$2:$AG$167=$B56)*(economics!$D$2:$D$167="process")*economics!$AI$2:$AI$167*(_xlfn.NORM.DIST(BQ$3,economics!$AK$2:$AK$167,economics!$AJ$2:$AJ$167,TRUE)-_xlfn.NORM.DIST(BQ$30,economics!$AK$2:$AK$167,economics!$AJ$2:$AJ$167,TRUE))*economics!$AM$2:$AM$167))/(SUMPRODUCT((economics!$AG$2:$AG$167=$B56)*(economics!$D$2:$D$167="process")*economics!$AI$2:$AI$167*(_xlfn.NORM.DIST(BQ$3,economics!$AK$2:$AK$167,economics!$AJ$2:$AJ$167,TRUE)-_xlfn.NORM.DIST(BQ$30,economics!$AK$2:$AK$167,economics!$AJ$2:$AJ$167,TRUE)))),"")</f>
        <v/>
      </c>
      <c r="BR56">
        <f t="array" ref="BR56">IFERROR((SUMPRODUCT((economics!$AG$2:$AG$167=$B56)*(economics!$D$2:$D$167="process")*economics!$AI$2:$AI$167*(_xlfn.NORM.DIST(BR$3,economics!$AK$2:$AK$167,economics!$AJ$2:$AJ$167,TRUE)-_xlfn.NORM.DIST(BR$30,economics!$AK$2:$AK$167,economics!$AJ$2:$AJ$167,TRUE))*economics!$AM$2:$AM$167))/(SUMPRODUCT((economics!$AG$2:$AG$167=$B56)*(economics!$D$2:$D$167="process")*economics!$AI$2:$AI$167*(_xlfn.NORM.DIST(BR$3,economics!$AK$2:$AK$167,economics!$AJ$2:$AJ$167,TRUE)-_xlfn.NORM.DIST(BR$30,economics!$AK$2:$AK$167,economics!$AJ$2:$AJ$167,TRUE)))),"")</f>
        <v/>
      </c>
      <c r="BS56">
        <f t="array" ref="BS56">IFERROR((SUMPRODUCT((economics!$AG$2:$AG$167=$B56)*(economics!$D$2:$D$167="process")*economics!$AI$2:$AI$167*(_xlfn.NORM.DIST(BS$3,economics!$AK$2:$AK$167,economics!$AJ$2:$AJ$167,TRUE)-_xlfn.NORM.DIST(BS$30,economics!$AK$2:$AK$167,economics!$AJ$2:$AJ$167,TRUE))*economics!$AM$2:$AM$167))/(SUMPRODUCT((economics!$AG$2:$AG$167=$B56)*(economics!$D$2:$D$167="process")*economics!$AI$2:$AI$167*(_xlfn.NORM.DIST(BS$3,economics!$AK$2:$AK$167,economics!$AJ$2:$AJ$167,TRUE)-_xlfn.NORM.DIST(BS$30,economics!$AK$2:$AK$167,economics!$AJ$2:$AJ$167,TRUE)))),"")</f>
        <v/>
      </c>
      <c r="BT56">
        <f t="array" ref="BT56">IFERROR((SUMPRODUCT((economics!$AG$2:$AG$167=$B56)*(economics!$D$2:$D$167="process")*economics!$AI$2:$AI$167*(_xlfn.NORM.DIST(BT$3,economics!$AK$2:$AK$167,economics!$AJ$2:$AJ$167,TRUE)-_xlfn.NORM.DIST(BT$30,economics!$AK$2:$AK$167,economics!$AJ$2:$AJ$167,TRUE))*economics!$AM$2:$AM$167))/(SUMPRODUCT((economics!$AG$2:$AG$167=$B56)*(economics!$D$2:$D$167="process")*economics!$AI$2:$AI$167*(_xlfn.NORM.DIST(BT$3,economics!$AK$2:$AK$167,economics!$AJ$2:$AJ$167,TRUE)-_xlfn.NORM.DIST(BT$30,economics!$AK$2:$AK$167,economics!$AJ$2:$AJ$167,TRUE)))),"")</f>
        <v/>
      </c>
      <c r="BU56">
        <f t="array" ref="BU56">IFERROR((SUMPRODUCT((economics!$AG$2:$AG$167=$B56)*(economics!$D$2:$D$167="process")*economics!$AI$2:$AI$167*(_xlfn.NORM.DIST(BU$3,economics!$AK$2:$AK$167,economics!$AJ$2:$AJ$167,TRUE)-_xlfn.NORM.DIST(BU$30,economics!$AK$2:$AK$167,economics!$AJ$2:$AJ$167,TRUE))*economics!$AM$2:$AM$167))/(SUMPRODUCT((economics!$AG$2:$AG$167=$B56)*(economics!$D$2:$D$167="process")*economics!$AI$2:$AI$167*(_xlfn.NORM.DIST(BU$3,economics!$AK$2:$AK$167,economics!$AJ$2:$AJ$167,TRUE)-_xlfn.NORM.DIST(BU$30,economics!$AK$2:$AK$167,economics!$AJ$2:$AJ$167,TRUE)))),"")</f>
        <v/>
      </c>
      <c r="BV56">
        <f t="array" ref="BV56">IFERROR((SUMPRODUCT((economics!$AG$2:$AG$167=$B56)*(economics!$D$2:$D$167="process")*economics!$AI$2:$AI$167*(_xlfn.NORM.DIST(BV$3,economics!$AK$2:$AK$167,economics!$AJ$2:$AJ$167,TRUE)-_xlfn.NORM.DIST(BV$30,economics!$AK$2:$AK$167,economics!$AJ$2:$AJ$167,TRUE))*economics!$AM$2:$AM$167))/(SUMPRODUCT((economics!$AG$2:$AG$167=$B56)*(economics!$D$2:$D$167="process")*economics!$AI$2:$AI$167*(_xlfn.NORM.DIST(BV$3,economics!$AK$2:$AK$167,economics!$AJ$2:$AJ$167,TRUE)-_xlfn.NORM.DIST(BV$30,economics!$AK$2:$AK$167,economics!$AJ$2:$AJ$167,TRUE)))),"")</f>
        <v/>
      </c>
      <c r="BW56">
        <f t="array" ref="BW56">IFERROR((SUMPRODUCT((economics!$AG$2:$AG$167=$B56)*(economics!$D$2:$D$167="process")*economics!$AI$2:$AI$167*(_xlfn.NORM.DIST(BW$3,economics!$AK$2:$AK$167,economics!$AJ$2:$AJ$167,TRUE)-_xlfn.NORM.DIST(BW$30,economics!$AK$2:$AK$167,economics!$AJ$2:$AJ$167,TRUE))*economics!$AM$2:$AM$167))/(SUMPRODUCT((economics!$AG$2:$AG$167=$B56)*(economics!$D$2:$D$167="process")*economics!$AI$2:$AI$167*(_xlfn.NORM.DIST(BW$3,economics!$AK$2:$AK$167,economics!$AJ$2:$AJ$167,TRUE)-_xlfn.NORM.DIST(BW$30,economics!$AK$2:$AK$167,economics!$AJ$2:$AJ$167,TRUE)))),"")</f>
        <v/>
      </c>
      <c r="BX56">
        <f t="array" ref="BX56">IFERROR((SUMPRODUCT((economics!$AG$2:$AG$167=$B56)*(economics!$D$2:$D$167="process")*economics!$AI$2:$AI$167*(_xlfn.NORM.DIST(BX$3,economics!$AK$2:$AK$167,economics!$AJ$2:$AJ$167,TRUE)-_xlfn.NORM.DIST(BX$30,economics!$AK$2:$AK$167,economics!$AJ$2:$AJ$167,TRUE))*economics!$AM$2:$AM$167))/(SUMPRODUCT((economics!$AG$2:$AG$167=$B56)*(economics!$D$2:$D$167="process")*economics!$AI$2:$AI$167*(_xlfn.NORM.DIST(BX$3,economics!$AK$2:$AK$167,economics!$AJ$2:$AJ$167,TRUE)-_xlfn.NORM.DIST(BX$30,economics!$AK$2:$AK$167,economics!$AJ$2:$AJ$167,TRUE)))),"")</f>
        <v/>
      </c>
      <c r="BY56">
        <f t="array" ref="BY56">IFERROR((SUMPRODUCT((economics!$AG$2:$AG$167=$B56)*(economics!$D$2:$D$167="process")*economics!$AI$2:$AI$167*(_xlfn.NORM.DIST(BY$3,economics!$AK$2:$AK$167,economics!$AJ$2:$AJ$167,TRUE)-_xlfn.NORM.DIST(BY$30,economics!$AK$2:$AK$167,economics!$AJ$2:$AJ$167,TRUE))*economics!$AM$2:$AM$167))/(SUMPRODUCT((economics!$AG$2:$AG$167=$B56)*(economics!$D$2:$D$167="process")*economics!$AI$2:$AI$167*(_xlfn.NORM.DIST(BY$3,economics!$AK$2:$AK$167,economics!$AJ$2:$AJ$167,TRUE)-_xlfn.NORM.DIST(BY$30,economics!$AK$2:$AK$167,economics!$AJ$2:$AJ$167,TRUE)))),"")</f>
        <v/>
      </c>
      <c r="BZ56">
        <f t="array" ref="BZ56">IFERROR((SUMPRODUCT((economics!$AG$2:$AG$167=$B56)*(economics!$D$2:$D$167="process")*economics!$AI$2:$AI$167*(_xlfn.NORM.DIST(BZ$3,economics!$AK$2:$AK$167,economics!$AJ$2:$AJ$167,TRUE)-_xlfn.NORM.DIST(BZ$30,economics!$AK$2:$AK$167,economics!$AJ$2:$AJ$167,TRUE))*economics!$AM$2:$AM$167))/(SUMPRODUCT((economics!$AG$2:$AG$167=$B56)*(economics!$D$2:$D$167="process")*economics!$AI$2:$AI$167*(_xlfn.NORM.DIST(BZ$3,economics!$AK$2:$AK$167,economics!$AJ$2:$AJ$167,TRUE)-_xlfn.NORM.DIST(BZ$30,economics!$AK$2:$AK$167,economics!$AJ$2:$AJ$167,TRUE)))),"")</f>
        <v/>
      </c>
      <c r="CA56">
        <f t="array" ref="CA56">IFERROR((SUMPRODUCT((economics!$AG$2:$AG$167=$B56)*(economics!$D$2:$D$167="process")*economics!$AI$2:$AI$167*(_xlfn.NORM.DIST(CA$3,economics!$AK$2:$AK$167,economics!$AJ$2:$AJ$167,TRUE)-_xlfn.NORM.DIST(CA$30,economics!$AK$2:$AK$167,economics!$AJ$2:$AJ$167,TRUE))*economics!$AM$2:$AM$167))/(SUMPRODUCT((economics!$AG$2:$AG$167=$B56)*(economics!$D$2:$D$167="process")*economics!$AI$2:$AI$167*(_xlfn.NORM.DIST(CA$3,economics!$AK$2:$AK$167,economics!$AJ$2:$AJ$167,TRUE)-_xlfn.NORM.DIST(CA$30,economics!$AK$2:$AK$167,economics!$AJ$2:$AJ$167,TRUE)))),"")</f>
        <v/>
      </c>
      <c r="CB56">
        <f t="array" ref="CB56">IFERROR((SUMPRODUCT((economics!$AG$2:$AG$167=$B56)*(economics!$D$2:$D$167="process")*economics!$AI$2:$AI$167*(_xlfn.NORM.DIST(CB$3,economics!$AK$2:$AK$167,economics!$AJ$2:$AJ$167,TRUE)-_xlfn.NORM.DIST(CB$30,economics!$AK$2:$AK$167,economics!$AJ$2:$AJ$167,TRUE))*economics!$AM$2:$AM$167))/(SUMPRODUCT((economics!$AG$2:$AG$167=$B56)*(economics!$D$2:$D$167="process")*economics!$AI$2:$AI$167*(_xlfn.NORM.DIST(CB$3,economics!$AK$2:$AK$167,economics!$AJ$2:$AJ$167,TRUE)-_xlfn.NORM.DIST(CB$30,economics!$AK$2:$AK$167,economics!$AJ$2:$AJ$167,TRUE)))),"")</f>
        <v/>
      </c>
      <c r="CC56">
        <f t="array" ref="CC56">IFERROR((SUMPRODUCT((economics!$AG$2:$AG$167=$B56)*(economics!$D$2:$D$167="process")*economics!$AI$2:$AI$167*(_xlfn.NORM.DIST(CC$3,economics!$AK$2:$AK$167,economics!$AJ$2:$AJ$167,TRUE)-_xlfn.NORM.DIST(CC$30,economics!$AK$2:$AK$167,economics!$AJ$2:$AJ$167,TRUE))*economics!$AM$2:$AM$167))/(SUMPRODUCT((economics!$AG$2:$AG$167=$B56)*(economics!$D$2:$D$167="process")*economics!$AI$2:$AI$167*(_xlfn.NORM.DIST(CC$3,economics!$AK$2:$AK$167,economics!$AJ$2:$AJ$167,TRUE)-_xlfn.NORM.DIST(CC$30,economics!$AK$2:$AK$167,economics!$AJ$2:$AJ$167,TRUE)))),"")</f>
        <v/>
      </c>
      <c r="CD56">
        <f t="array" ref="CD56">IFERROR((SUMPRODUCT((economics!$AG$2:$AG$167=$B56)*(economics!$D$2:$D$167="process")*economics!$AI$2:$AI$167*(_xlfn.NORM.DIST(CD$3,economics!$AK$2:$AK$167,economics!$AJ$2:$AJ$167,TRUE)-_xlfn.NORM.DIST(CD$30,economics!$AK$2:$AK$167,economics!$AJ$2:$AJ$167,TRUE))*economics!$AM$2:$AM$167))/(SUMPRODUCT((economics!$AG$2:$AG$167=$B56)*(economics!$D$2:$D$167="process")*economics!$AI$2:$AI$167*(_xlfn.NORM.DIST(CD$3,economics!$AK$2:$AK$167,economics!$AJ$2:$AJ$167,TRUE)-_xlfn.NORM.DIST(CD$30,economics!$AK$2:$AK$167,economics!$AJ$2:$AJ$167,TRUE)))),"")</f>
        <v/>
      </c>
      <c r="CE56">
        <f t="array" ref="CE56">IFERROR((SUMPRODUCT((economics!$AG$2:$AG$167=$B56)*(economics!$D$2:$D$167="process")*economics!$AI$2:$AI$167*(_xlfn.NORM.DIST(CE$3,economics!$AK$2:$AK$167,economics!$AJ$2:$AJ$167,TRUE)-_xlfn.NORM.DIST(CE$30,economics!$AK$2:$AK$167,economics!$AJ$2:$AJ$167,TRUE))*economics!$AM$2:$AM$167))/(SUMPRODUCT((economics!$AG$2:$AG$167=$B56)*(economics!$D$2:$D$167="process")*economics!$AI$2:$AI$167*(_xlfn.NORM.DIST(CE$3,economics!$AK$2:$AK$167,economics!$AJ$2:$AJ$167,TRUE)-_xlfn.NORM.DIST(CE$30,economics!$AK$2:$AK$167,economics!$AJ$2:$AJ$167,TRUE)))),"")</f>
        <v/>
      </c>
      <c r="CF56">
        <f t="array" ref="CF56">IFERROR((SUMPRODUCT((economics!$AG$2:$AG$167=$B56)*(economics!$D$2:$D$167="process")*economics!$AI$2:$AI$167*(_xlfn.NORM.DIST(CF$3,economics!$AK$2:$AK$167,economics!$AJ$2:$AJ$167,TRUE)-_xlfn.NORM.DIST(CF$30,economics!$AK$2:$AK$167,economics!$AJ$2:$AJ$167,TRUE))*economics!$AM$2:$AM$167))/(SUMPRODUCT((economics!$AG$2:$AG$167=$B56)*(economics!$D$2:$D$167="process")*economics!$AI$2:$AI$167*(_xlfn.NORM.DIST(CF$3,economics!$AK$2:$AK$167,economics!$AJ$2:$AJ$167,TRUE)-_xlfn.NORM.DIST(CF$30,economics!$AK$2:$AK$167,economics!$AJ$2:$AJ$167,TRUE)))),"")</f>
        <v/>
      </c>
      <c r="CG56">
        <f t="array" ref="CG56">IFERROR((SUMPRODUCT((economics!$AG$2:$AG$167=$B56)*(economics!$D$2:$D$167="process")*economics!$AI$2:$AI$167*(_xlfn.NORM.DIST(CG$3,economics!$AK$2:$AK$167,economics!$AJ$2:$AJ$167,TRUE)-_xlfn.NORM.DIST(CG$30,economics!$AK$2:$AK$167,economics!$AJ$2:$AJ$167,TRUE))*economics!$AM$2:$AM$167))/(SUMPRODUCT((economics!$AG$2:$AG$167=$B56)*(economics!$D$2:$D$167="process")*economics!$AI$2:$AI$167*(_xlfn.NORM.DIST(CG$3,economics!$AK$2:$AK$167,economics!$AJ$2:$AJ$167,TRUE)-_xlfn.NORM.DIST(CG$30,economics!$AK$2:$AK$167,economics!$AJ$2:$AJ$167,TRUE)))),"")</f>
        <v/>
      </c>
      <c r="CH56">
        <f t="array" ref="CH56">IFERROR((SUMPRODUCT((economics!$AG$2:$AG$167=$B56)*(economics!$D$2:$D$167="process")*economics!$AI$2:$AI$167*(_xlfn.NORM.DIST(CH$3,economics!$AK$2:$AK$167,economics!$AJ$2:$AJ$167,TRUE)-_xlfn.NORM.DIST(CH$30,economics!$AK$2:$AK$167,economics!$AJ$2:$AJ$167,TRUE))*economics!$AM$2:$AM$167))/(SUMPRODUCT((economics!$AG$2:$AG$167=$B56)*(economics!$D$2:$D$167="process")*economics!$AI$2:$AI$167*(_xlfn.NORM.DIST(CH$3,economics!$AK$2:$AK$167,economics!$AJ$2:$AJ$167,TRUE)-_xlfn.NORM.DIST(CH$30,economics!$AK$2:$AK$167,economics!$AJ$2:$AJ$167,TRUE)))),"")</f>
        <v/>
      </c>
    </row>
    <row r="57">
      <c r="A57">
        <f>A28</f>
        <v/>
      </c>
      <c r="B57">
        <f>B28</f>
        <v/>
      </c>
      <c r="E57">
        <f t="array" ref="E57">IFERROR((SUMPRODUCT((economics!$AG$2:$AG$167=$B57)*(economics!$D$2:$D$167="process")*economics!$AI$2:$AI$167*(_xlfn.NORM.DIST(E$3,economics!$AK$2:$AK$167,economics!$AJ$2:$AJ$167,TRUE)-_xlfn.NORM.DIST(E$30,economics!$AK$2:$AK$167,economics!$AJ$2:$AJ$167,TRUE))*economics!$AM$2:$AM$167))/(SUMPRODUCT((economics!$AG$2:$AG$167=$B57)*(economics!$D$2:$D$167="process")*economics!$AI$2:$AI$167*(_xlfn.NORM.DIST(E$3,economics!$AK$2:$AK$167,economics!$AJ$2:$AJ$167,TRUE)-_xlfn.NORM.DIST(E$30,economics!$AK$2:$AK$167,economics!$AJ$2:$AJ$167,TRUE)))),"")</f>
        <v/>
      </c>
      <c r="F57">
        <f t="array" ref="F57">IFERROR((SUMPRODUCT((economics!$AG$2:$AG$167=$B57)*(economics!$D$2:$D$167="process")*economics!$AI$2:$AI$167*(_xlfn.NORM.DIST(F$3,economics!$AK$2:$AK$167,economics!$AJ$2:$AJ$167,TRUE)-_xlfn.NORM.DIST(F$30,economics!$AK$2:$AK$167,economics!$AJ$2:$AJ$167,TRUE))*economics!$AM$2:$AM$167))/(SUMPRODUCT((economics!$AG$2:$AG$167=$B57)*(economics!$D$2:$D$167="process")*economics!$AI$2:$AI$167*(_xlfn.NORM.DIST(F$3,economics!$AK$2:$AK$167,economics!$AJ$2:$AJ$167,TRUE)-_xlfn.NORM.DIST(F$30,economics!$AK$2:$AK$167,economics!$AJ$2:$AJ$167,TRUE)))),"")</f>
        <v/>
      </c>
      <c r="G57">
        <f t="array" ref="G57">IFERROR((SUMPRODUCT((economics!$AG$2:$AG$167=$B57)*(economics!$D$2:$D$167="process")*economics!$AI$2:$AI$167*(_xlfn.NORM.DIST(G$3,economics!$AK$2:$AK$167,economics!$AJ$2:$AJ$167,TRUE)-_xlfn.NORM.DIST(G$30,economics!$AK$2:$AK$167,economics!$AJ$2:$AJ$167,TRUE))*economics!$AM$2:$AM$167))/(SUMPRODUCT((economics!$AG$2:$AG$167=$B57)*(economics!$D$2:$D$167="process")*economics!$AI$2:$AI$167*(_xlfn.NORM.DIST(G$3,economics!$AK$2:$AK$167,economics!$AJ$2:$AJ$167,TRUE)-_xlfn.NORM.DIST(G$30,economics!$AK$2:$AK$167,economics!$AJ$2:$AJ$167,TRUE)))),"")</f>
        <v/>
      </c>
      <c r="H57">
        <f t="array" ref="H57">IFERROR((SUMPRODUCT((economics!$AG$2:$AG$167=$B57)*(economics!$D$2:$D$167="process")*economics!$AI$2:$AI$167*(_xlfn.NORM.DIST(H$3,economics!$AK$2:$AK$167,economics!$AJ$2:$AJ$167,TRUE)-_xlfn.NORM.DIST(H$30,economics!$AK$2:$AK$167,economics!$AJ$2:$AJ$167,TRUE))*economics!$AM$2:$AM$167))/(SUMPRODUCT((economics!$AG$2:$AG$167=$B57)*(economics!$D$2:$D$167="process")*economics!$AI$2:$AI$167*(_xlfn.NORM.DIST(H$3,economics!$AK$2:$AK$167,economics!$AJ$2:$AJ$167,TRUE)-_xlfn.NORM.DIST(H$30,economics!$AK$2:$AK$167,economics!$AJ$2:$AJ$167,TRUE)))),"")</f>
        <v/>
      </c>
      <c r="I57">
        <f t="array" ref="I57">IFERROR((SUMPRODUCT((economics!$AG$2:$AG$167=$B57)*(economics!$D$2:$D$167="process")*economics!$AI$2:$AI$167*(_xlfn.NORM.DIST(I$3,economics!$AK$2:$AK$167,economics!$AJ$2:$AJ$167,TRUE)-_xlfn.NORM.DIST(I$30,economics!$AK$2:$AK$167,economics!$AJ$2:$AJ$167,TRUE))*economics!$AM$2:$AM$167))/(SUMPRODUCT((economics!$AG$2:$AG$167=$B57)*(economics!$D$2:$D$167="process")*economics!$AI$2:$AI$167*(_xlfn.NORM.DIST(I$3,economics!$AK$2:$AK$167,economics!$AJ$2:$AJ$167,TRUE)-_xlfn.NORM.DIST(I$30,economics!$AK$2:$AK$167,economics!$AJ$2:$AJ$167,TRUE)))),"")</f>
        <v/>
      </c>
      <c r="J57">
        <f t="array" ref="J57">IFERROR((SUMPRODUCT((economics!$AG$2:$AG$167=$B57)*(economics!$D$2:$D$167="process")*economics!$AI$2:$AI$167*(_xlfn.NORM.DIST(J$3,economics!$AK$2:$AK$167,economics!$AJ$2:$AJ$167,TRUE)-_xlfn.NORM.DIST(J$30,economics!$AK$2:$AK$167,economics!$AJ$2:$AJ$167,TRUE))*economics!$AM$2:$AM$167))/(SUMPRODUCT((economics!$AG$2:$AG$167=$B57)*(economics!$D$2:$D$167="process")*economics!$AI$2:$AI$167*(_xlfn.NORM.DIST(J$3,economics!$AK$2:$AK$167,economics!$AJ$2:$AJ$167,TRUE)-_xlfn.NORM.DIST(J$30,economics!$AK$2:$AK$167,economics!$AJ$2:$AJ$167,TRUE)))),"")</f>
        <v/>
      </c>
      <c r="K57">
        <f t="array" ref="K57">IFERROR((SUMPRODUCT((economics!$AG$2:$AG$167=$B57)*(economics!$D$2:$D$167="process")*economics!$AI$2:$AI$167*(_xlfn.NORM.DIST(K$3,economics!$AK$2:$AK$167,economics!$AJ$2:$AJ$167,TRUE)-_xlfn.NORM.DIST(K$30,economics!$AK$2:$AK$167,economics!$AJ$2:$AJ$167,TRUE))*economics!$AM$2:$AM$167))/(SUMPRODUCT((economics!$AG$2:$AG$167=$B57)*(economics!$D$2:$D$167="process")*economics!$AI$2:$AI$167*(_xlfn.NORM.DIST(K$3,economics!$AK$2:$AK$167,economics!$AJ$2:$AJ$167,TRUE)-_xlfn.NORM.DIST(K$30,economics!$AK$2:$AK$167,economics!$AJ$2:$AJ$167,TRUE)))),"")</f>
        <v/>
      </c>
      <c r="L57">
        <f t="array" ref="L57">IFERROR((SUMPRODUCT((economics!$AG$2:$AG$167=$B57)*(economics!$D$2:$D$167="process")*economics!$AI$2:$AI$167*(_xlfn.NORM.DIST(L$3,economics!$AK$2:$AK$167,economics!$AJ$2:$AJ$167,TRUE)-_xlfn.NORM.DIST(L$30,economics!$AK$2:$AK$167,economics!$AJ$2:$AJ$167,TRUE))*economics!$AM$2:$AM$167))/(SUMPRODUCT((economics!$AG$2:$AG$167=$B57)*(economics!$D$2:$D$167="process")*economics!$AI$2:$AI$167*(_xlfn.NORM.DIST(L$3,economics!$AK$2:$AK$167,economics!$AJ$2:$AJ$167,TRUE)-_xlfn.NORM.DIST(L$30,economics!$AK$2:$AK$167,economics!$AJ$2:$AJ$167,TRUE)))),"")</f>
        <v/>
      </c>
      <c r="M57">
        <f t="array" ref="M57">IFERROR((SUMPRODUCT((economics!$AG$2:$AG$167=$B57)*(economics!$D$2:$D$167="process")*economics!$AI$2:$AI$167*(_xlfn.NORM.DIST(M$3,economics!$AK$2:$AK$167,economics!$AJ$2:$AJ$167,TRUE)-_xlfn.NORM.DIST(M$30,economics!$AK$2:$AK$167,economics!$AJ$2:$AJ$167,TRUE))*economics!$AM$2:$AM$167))/(SUMPRODUCT((economics!$AG$2:$AG$167=$B57)*(economics!$D$2:$D$167="process")*economics!$AI$2:$AI$167*(_xlfn.NORM.DIST(M$3,economics!$AK$2:$AK$167,economics!$AJ$2:$AJ$167,TRUE)-_xlfn.NORM.DIST(M$30,economics!$AK$2:$AK$167,economics!$AJ$2:$AJ$167,TRUE)))),"")</f>
        <v/>
      </c>
      <c r="N57">
        <f t="array" ref="N57">IFERROR((SUMPRODUCT((economics!$AG$2:$AG$167=$B57)*(economics!$D$2:$D$167="process")*economics!$AI$2:$AI$167*(_xlfn.NORM.DIST(N$3,economics!$AK$2:$AK$167,economics!$AJ$2:$AJ$167,TRUE)-_xlfn.NORM.DIST(N$30,economics!$AK$2:$AK$167,economics!$AJ$2:$AJ$167,TRUE))*economics!$AM$2:$AM$167))/(SUMPRODUCT((economics!$AG$2:$AG$167=$B57)*(economics!$D$2:$D$167="process")*economics!$AI$2:$AI$167*(_xlfn.NORM.DIST(N$3,economics!$AK$2:$AK$167,economics!$AJ$2:$AJ$167,TRUE)-_xlfn.NORM.DIST(N$30,economics!$AK$2:$AK$167,economics!$AJ$2:$AJ$167,TRUE)))),"")</f>
        <v/>
      </c>
      <c r="O57">
        <f t="array" ref="O57">IFERROR((SUMPRODUCT((economics!$AG$2:$AG$167=$B57)*(economics!$D$2:$D$167="process")*economics!$AI$2:$AI$167*(_xlfn.NORM.DIST(O$3,economics!$AK$2:$AK$167,economics!$AJ$2:$AJ$167,TRUE)-_xlfn.NORM.DIST(O$30,economics!$AK$2:$AK$167,economics!$AJ$2:$AJ$167,TRUE))*economics!$AM$2:$AM$167))/(SUMPRODUCT((economics!$AG$2:$AG$167=$B57)*(economics!$D$2:$D$167="process")*economics!$AI$2:$AI$167*(_xlfn.NORM.DIST(O$3,economics!$AK$2:$AK$167,economics!$AJ$2:$AJ$167,TRUE)-_xlfn.NORM.DIST(O$30,economics!$AK$2:$AK$167,economics!$AJ$2:$AJ$167,TRUE)))),"")</f>
        <v/>
      </c>
      <c r="P57">
        <f t="array" ref="P57">IFERROR((SUMPRODUCT((economics!$AG$2:$AG$167=$B57)*(economics!$D$2:$D$167="process")*economics!$AI$2:$AI$167*(_xlfn.NORM.DIST(P$3,economics!$AK$2:$AK$167,economics!$AJ$2:$AJ$167,TRUE)-_xlfn.NORM.DIST(P$30,economics!$AK$2:$AK$167,economics!$AJ$2:$AJ$167,TRUE))*economics!$AM$2:$AM$167))/(SUMPRODUCT((economics!$AG$2:$AG$167=$B57)*(economics!$D$2:$D$167="process")*economics!$AI$2:$AI$167*(_xlfn.NORM.DIST(P$3,economics!$AK$2:$AK$167,economics!$AJ$2:$AJ$167,TRUE)-_xlfn.NORM.DIST(P$30,economics!$AK$2:$AK$167,economics!$AJ$2:$AJ$167,TRUE)))),"")</f>
        <v/>
      </c>
      <c r="Q57">
        <f t="array" ref="Q57">IFERROR((SUMPRODUCT((economics!$AG$2:$AG$167=$B57)*(economics!$D$2:$D$167="process")*economics!$AI$2:$AI$167*(_xlfn.NORM.DIST(Q$3,economics!$AK$2:$AK$167,economics!$AJ$2:$AJ$167,TRUE)-_xlfn.NORM.DIST(Q$30,economics!$AK$2:$AK$167,economics!$AJ$2:$AJ$167,TRUE))*economics!$AM$2:$AM$167))/(SUMPRODUCT((economics!$AG$2:$AG$167=$B57)*(economics!$D$2:$D$167="process")*economics!$AI$2:$AI$167*(_xlfn.NORM.DIST(Q$3,economics!$AK$2:$AK$167,economics!$AJ$2:$AJ$167,TRUE)-_xlfn.NORM.DIST(Q$30,economics!$AK$2:$AK$167,economics!$AJ$2:$AJ$167,TRUE)))),"")</f>
        <v/>
      </c>
      <c r="R57">
        <f t="array" ref="R57">IFERROR((SUMPRODUCT((economics!$AG$2:$AG$167=$B57)*(economics!$D$2:$D$167="process")*economics!$AI$2:$AI$167*(_xlfn.NORM.DIST(R$3,economics!$AK$2:$AK$167,economics!$AJ$2:$AJ$167,TRUE)-_xlfn.NORM.DIST(R$30,economics!$AK$2:$AK$167,economics!$AJ$2:$AJ$167,TRUE))*economics!$AM$2:$AM$167))/(SUMPRODUCT((economics!$AG$2:$AG$167=$B57)*(economics!$D$2:$D$167="process")*economics!$AI$2:$AI$167*(_xlfn.NORM.DIST(R$3,economics!$AK$2:$AK$167,economics!$AJ$2:$AJ$167,TRUE)-_xlfn.NORM.DIST(R$30,economics!$AK$2:$AK$167,economics!$AJ$2:$AJ$167,TRUE)))),"")</f>
        <v/>
      </c>
      <c r="S57">
        <f t="array" ref="S57">IFERROR((SUMPRODUCT((economics!$AG$2:$AG$167=$B57)*(economics!$D$2:$D$167="process")*economics!$AI$2:$AI$167*(_xlfn.NORM.DIST(S$3,economics!$AK$2:$AK$167,economics!$AJ$2:$AJ$167,TRUE)-_xlfn.NORM.DIST(S$30,economics!$AK$2:$AK$167,economics!$AJ$2:$AJ$167,TRUE))*economics!$AM$2:$AM$167))/(SUMPRODUCT((economics!$AG$2:$AG$167=$B57)*(economics!$D$2:$D$167="process")*economics!$AI$2:$AI$167*(_xlfn.NORM.DIST(S$3,economics!$AK$2:$AK$167,economics!$AJ$2:$AJ$167,TRUE)-_xlfn.NORM.DIST(S$30,economics!$AK$2:$AK$167,economics!$AJ$2:$AJ$167,TRUE)))),"")</f>
        <v/>
      </c>
      <c r="T57">
        <f t="array" ref="T57">IFERROR((SUMPRODUCT((economics!$AG$2:$AG$167=$B57)*(economics!$D$2:$D$167="process")*economics!$AI$2:$AI$167*(_xlfn.NORM.DIST(T$3,economics!$AK$2:$AK$167,economics!$AJ$2:$AJ$167,TRUE)-_xlfn.NORM.DIST(T$30,economics!$AK$2:$AK$167,economics!$AJ$2:$AJ$167,TRUE))*economics!$AM$2:$AM$167))/(SUMPRODUCT((economics!$AG$2:$AG$167=$B57)*(economics!$D$2:$D$167="process")*economics!$AI$2:$AI$167*(_xlfn.NORM.DIST(T$3,economics!$AK$2:$AK$167,economics!$AJ$2:$AJ$167,TRUE)-_xlfn.NORM.DIST(T$30,economics!$AK$2:$AK$167,economics!$AJ$2:$AJ$167,TRUE)))),"")</f>
        <v/>
      </c>
      <c r="U57">
        <f t="array" ref="U57">IFERROR((SUMPRODUCT((economics!$AG$2:$AG$167=$B57)*(economics!$D$2:$D$167="process")*economics!$AI$2:$AI$167*(_xlfn.NORM.DIST(U$3,economics!$AK$2:$AK$167,economics!$AJ$2:$AJ$167,TRUE)-_xlfn.NORM.DIST(U$30,economics!$AK$2:$AK$167,economics!$AJ$2:$AJ$167,TRUE))*economics!$AM$2:$AM$167))/(SUMPRODUCT((economics!$AG$2:$AG$167=$B57)*(economics!$D$2:$D$167="process")*economics!$AI$2:$AI$167*(_xlfn.NORM.DIST(U$3,economics!$AK$2:$AK$167,economics!$AJ$2:$AJ$167,TRUE)-_xlfn.NORM.DIST(U$30,economics!$AK$2:$AK$167,economics!$AJ$2:$AJ$167,TRUE)))),"")</f>
        <v/>
      </c>
      <c r="V57">
        <f t="array" ref="V57">IFERROR((SUMPRODUCT((economics!$AG$2:$AG$167=$B57)*(economics!$D$2:$D$167="process")*economics!$AI$2:$AI$167*(_xlfn.NORM.DIST(V$3,economics!$AK$2:$AK$167,economics!$AJ$2:$AJ$167,TRUE)-_xlfn.NORM.DIST(V$30,economics!$AK$2:$AK$167,economics!$AJ$2:$AJ$167,TRUE))*economics!$AM$2:$AM$167))/(SUMPRODUCT((economics!$AG$2:$AG$167=$B57)*(economics!$D$2:$D$167="process")*economics!$AI$2:$AI$167*(_xlfn.NORM.DIST(V$3,economics!$AK$2:$AK$167,economics!$AJ$2:$AJ$167,TRUE)-_xlfn.NORM.DIST(V$30,economics!$AK$2:$AK$167,economics!$AJ$2:$AJ$167,TRUE)))),"")</f>
        <v/>
      </c>
      <c r="W57">
        <f t="array" ref="W57">IFERROR((SUMPRODUCT((economics!$AG$2:$AG$167=$B57)*(economics!$D$2:$D$167="process")*economics!$AI$2:$AI$167*(_xlfn.NORM.DIST(W$3,economics!$AK$2:$AK$167,economics!$AJ$2:$AJ$167,TRUE)-_xlfn.NORM.DIST(W$30,economics!$AK$2:$AK$167,economics!$AJ$2:$AJ$167,TRUE))*economics!$AM$2:$AM$167))/(SUMPRODUCT((economics!$AG$2:$AG$167=$B57)*(economics!$D$2:$D$167="process")*economics!$AI$2:$AI$167*(_xlfn.NORM.DIST(W$3,economics!$AK$2:$AK$167,economics!$AJ$2:$AJ$167,TRUE)-_xlfn.NORM.DIST(W$30,economics!$AK$2:$AK$167,economics!$AJ$2:$AJ$167,TRUE)))),"")</f>
        <v/>
      </c>
      <c r="X57">
        <f t="array" ref="X57">IFERROR((SUMPRODUCT((economics!$AG$2:$AG$167=$B57)*(economics!$D$2:$D$167="process")*economics!$AI$2:$AI$167*(_xlfn.NORM.DIST(X$3,economics!$AK$2:$AK$167,economics!$AJ$2:$AJ$167,TRUE)-_xlfn.NORM.DIST(X$30,economics!$AK$2:$AK$167,economics!$AJ$2:$AJ$167,TRUE))*economics!$AM$2:$AM$167))/(SUMPRODUCT((economics!$AG$2:$AG$167=$B57)*(economics!$D$2:$D$167="process")*economics!$AI$2:$AI$167*(_xlfn.NORM.DIST(X$3,economics!$AK$2:$AK$167,economics!$AJ$2:$AJ$167,TRUE)-_xlfn.NORM.DIST(X$30,economics!$AK$2:$AK$167,economics!$AJ$2:$AJ$167,TRUE)))),"")</f>
        <v/>
      </c>
      <c r="Y57">
        <f t="array" ref="Y57">IFERROR((SUMPRODUCT((economics!$AG$2:$AG$167=$B57)*(economics!$D$2:$D$167="process")*economics!$AI$2:$AI$167*(_xlfn.NORM.DIST(Y$3,economics!$AK$2:$AK$167,economics!$AJ$2:$AJ$167,TRUE)-_xlfn.NORM.DIST(Y$30,economics!$AK$2:$AK$167,economics!$AJ$2:$AJ$167,TRUE))*economics!$AM$2:$AM$167))/(SUMPRODUCT((economics!$AG$2:$AG$167=$B57)*(economics!$D$2:$D$167="process")*economics!$AI$2:$AI$167*(_xlfn.NORM.DIST(Y$3,economics!$AK$2:$AK$167,economics!$AJ$2:$AJ$167,TRUE)-_xlfn.NORM.DIST(Y$30,economics!$AK$2:$AK$167,economics!$AJ$2:$AJ$167,TRUE)))),"")</f>
        <v/>
      </c>
      <c r="Z57">
        <f t="array" ref="Z57">IFERROR((SUMPRODUCT((economics!$AG$2:$AG$167=$B57)*(economics!$D$2:$D$167="process")*economics!$AI$2:$AI$167*(_xlfn.NORM.DIST(Z$3,economics!$AK$2:$AK$167,economics!$AJ$2:$AJ$167,TRUE)-_xlfn.NORM.DIST(Z$30,economics!$AK$2:$AK$167,economics!$AJ$2:$AJ$167,TRUE))*economics!$AM$2:$AM$167))/(SUMPRODUCT((economics!$AG$2:$AG$167=$B57)*(economics!$D$2:$D$167="process")*economics!$AI$2:$AI$167*(_xlfn.NORM.DIST(Z$3,economics!$AK$2:$AK$167,economics!$AJ$2:$AJ$167,TRUE)-_xlfn.NORM.DIST(Z$30,economics!$AK$2:$AK$167,economics!$AJ$2:$AJ$167,TRUE)))),"")</f>
        <v/>
      </c>
      <c r="AA57">
        <f t="array" ref="AA57">IFERROR((SUMPRODUCT((economics!$AG$2:$AG$167=$B57)*(economics!$D$2:$D$167="process")*economics!$AI$2:$AI$167*(_xlfn.NORM.DIST(AA$3,economics!$AK$2:$AK$167,economics!$AJ$2:$AJ$167,TRUE)-_xlfn.NORM.DIST(AA$30,economics!$AK$2:$AK$167,economics!$AJ$2:$AJ$167,TRUE))*economics!$AM$2:$AM$167))/(SUMPRODUCT((economics!$AG$2:$AG$167=$B57)*(economics!$D$2:$D$167="process")*economics!$AI$2:$AI$167*(_xlfn.NORM.DIST(AA$3,economics!$AK$2:$AK$167,economics!$AJ$2:$AJ$167,TRUE)-_xlfn.NORM.DIST(AA$30,economics!$AK$2:$AK$167,economics!$AJ$2:$AJ$167,TRUE)))),"")</f>
        <v/>
      </c>
      <c r="AB57">
        <f t="array" ref="AB57">IFERROR((SUMPRODUCT((economics!$AG$2:$AG$167=$B57)*(economics!$D$2:$D$167="process")*economics!$AI$2:$AI$167*(_xlfn.NORM.DIST(AB$3,economics!$AK$2:$AK$167,economics!$AJ$2:$AJ$167,TRUE)-_xlfn.NORM.DIST(AB$30,economics!$AK$2:$AK$167,economics!$AJ$2:$AJ$167,TRUE))*economics!$AM$2:$AM$167))/(SUMPRODUCT((economics!$AG$2:$AG$167=$B57)*(economics!$D$2:$D$167="process")*economics!$AI$2:$AI$167*(_xlfn.NORM.DIST(AB$3,economics!$AK$2:$AK$167,economics!$AJ$2:$AJ$167,TRUE)-_xlfn.NORM.DIST(AB$30,economics!$AK$2:$AK$167,economics!$AJ$2:$AJ$167,TRUE)))),"")</f>
        <v/>
      </c>
      <c r="AC57">
        <f t="array" ref="AC57">IFERROR((SUMPRODUCT((economics!$AG$2:$AG$167=$B57)*(economics!$D$2:$D$167="process")*economics!$AI$2:$AI$167*(_xlfn.NORM.DIST(AC$3,economics!$AK$2:$AK$167,economics!$AJ$2:$AJ$167,TRUE)-_xlfn.NORM.DIST(AC$30,economics!$AK$2:$AK$167,economics!$AJ$2:$AJ$167,TRUE))*economics!$AM$2:$AM$167))/(SUMPRODUCT((economics!$AG$2:$AG$167=$B57)*(economics!$D$2:$D$167="process")*economics!$AI$2:$AI$167*(_xlfn.NORM.DIST(AC$3,economics!$AK$2:$AK$167,economics!$AJ$2:$AJ$167,TRUE)-_xlfn.NORM.DIST(AC$30,economics!$AK$2:$AK$167,economics!$AJ$2:$AJ$167,TRUE)))),"")</f>
        <v/>
      </c>
      <c r="AD57">
        <f t="array" ref="AD57">IFERROR((SUMPRODUCT((economics!$AG$2:$AG$167=$B57)*(economics!$D$2:$D$167="process")*economics!$AI$2:$AI$167*(_xlfn.NORM.DIST(AD$3,economics!$AK$2:$AK$167,economics!$AJ$2:$AJ$167,TRUE)-_xlfn.NORM.DIST(AD$30,economics!$AK$2:$AK$167,economics!$AJ$2:$AJ$167,TRUE))*economics!$AM$2:$AM$167))/(SUMPRODUCT((economics!$AG$2:$AG$167=$B57)*(economics!$D$2:$D$167="process")*economics!$AI$2:$AI$167*(_xlfn.NORM.DIST(AD$3,economics!$AK$2:$AK$167,economics!$AJ$2:$AJ$167,TRUE)-_xlfn.NORM.DIST(AD$30,economics!$AK$2:$AK$167,economics!$AJ$2:$AJ$167,TRUE)))),"")</f>
        <v/>
      </c>
      <c r="AE57">
        <f t="array" ref="AE57">IFERROR((SUMPRODUCT((economics!$AG$2:$AG$167=$B57)*(economics!$D$2:$D$167="process")*economics!$AI$2:$AI$167*(_xlfn.NORM.DIST(AE$3,economics!$AK$2:$AK$167,economics!$AJ$2:$AJ$167,TRUE)-_xlfn.NORM.DIST(AE$30,economics!$AK$2:$AK$167,economics!$AJ$2:$AJ$167,TRUE))*economics!$AM$2:$AM$167))/(SUMPRODUCT((economics!$AG$2:$AG$167=$B57)*(economics!$D$2:$D$167="process")*economics!$AI$2:$AI$167*(_xlfn.NORM.DIST(AE$3,economics!$AK$2:$AK$167,economics!$AJ$2:$AJ$167,TRUE)-_xlfn.NORM.DIST(AE$30,economics!$AK$2:$AK$167,economics!$AJ$2:$AJ$167,TRUE)))),"")</f>
        <v/>
      </c>
      <c r="AF57">
        <f t="array" ref="AF57">IFERROR((SUMPRODUCT((economics!$AG$2:$AG$167=$B57)*(economics!$D$2:$D$167="process")*economics!$AI$2:$AI$167*(_xlfn.NORM.DIST(AF$3,economics!$AK$2:$AK$167,economics!$AJ$2:$AJ$167,TRUE)-_xlfn.NORM.DIST(AF$30,economics!$AK$2:$AK$167,economics!$AJ$2:$AJ$167,TRUE))*economics!$AM$2:$AM$167))/(SUMPRODUCT((economics!$AG$2:$AG$167=$B57)*(economics!$D$2:$D$167="process")*economics!$AI$2:$AI$167*(_xlfn.NORM.DIST(AF$3,economics!$AK$2:$AK$167,economics!$AJ$2:$AJ$167,TRUE)-_xlfn.NORM.DIST(AF$30,economics!$AK$2:$AK$167,economics!$AJ$2:$AJ$167,TRUE)))),"")</f>
        <v/>
      </c>
      <c r="AG57">
        <f t="array" ref="AG57">IFERROR((SUMPRODUCT((economics!$AG$2:$AG$167=$B57)*(economics!$D$2:$D$167="process")*economics!$AI$2:$AI$167*(_xlfn.NORM.DIST(AG$3,economics!$AK$2:$AK$167,economics!$AJ$2:$AJ$167,TRUE)-_xlfn.NORM.DIST(AG$30,economics!$AK$2:$AK$167,economics!$AJ$2:$AJ$167,TRUE))*economics!$AM$2:$AM$167))/(SUMPRODUCT((economics!$AG$2:$AG$167=$B57)*(economics!$D$2:$D$167="process")*economics!$AI$2:$AI$167*(_xlfn.NORM.DIST(AG$3,economics!$AK$2:$AK$167,economics!$AJ$2:$AJ$167,TRUE)-_xlfn.NORM.DIST(AG$30,economics!$AK$2:$AK$167,economics!$AJ$2:$AJ$167,TRUE)))),"")</f>
        <v/>
      </c>
      <c r="AH57">
        <f t="array" ref="AH57">IFERROR((SUMPRODUCT((economics!$AG$2:$AG$167=$B57)*(economics!$D$2:$D$167="process")*economics!$AI$2:$AI$167*(_xlfn.NORM.DIST(AH$3,economics!$AK$2:$AK$167,economics!$AJ$2:$AJ$167,TRUE)-_xlfn.NORM.DIST(AH$30,economics!$AK$2:$AK$167,economics!$AJ$2:$AJ$167,TRUE))*economics!$AM$2:$AM$167))/(SUMPRODUCT((economics!$AG$2:$AG$167=$B57)*(economics!$D$2:$D$167="process")*economics!$AI$2:$AI$167*(_xlfn.NORM.DIST(AH$3,economics!$AK$2:$AK$167,economics!$AJ$2:$AJ$167,TRUE)-_xlfn.NORM.DIST(AH$30,economics!$AK$2:$AK$167,economics!$AJ$2:$AJ$167,TRUE)))),"")</f>
        <v/>
      </c>
      <c r="AI57">
        <f t="array" ref="AI57">IFERROR((SUMPRODUCT((economics!$AG$2:$AG$167=$B57)*(economics!$D$2:$D$167="process")*economics!$AI$2:$AI$167*(_xlfn.NORM.DIST(AI$3,economics!$AK$2:$AK$167,economics!$AJ$2:$AJ$167,TRUE)-_xlfn.NORM.DIST(AI$30,economics!$AK$2:$AK$167,economics!$AJ$2:$AJ$167,TRUE))*economics!$AM$2:$AM$167))/(SUMPRODUCT((economics!$AG$2:$AG$167=$B57)*(economics!$D$2:$D$167="process")*economics!$AI$2:$AI$167*(_xlfn.NORM.DIST(AI$3,economics!$AK$2:$AK$167,economics!$AJ$2:$AJ$167,TRUE)-_xlfn.NORM.DIST(AI$30,economics!$AK$2:$AK$167,economics!$AJ$2:$AJ$167,TRUE)))),"")</f>
        <v/>
      </c>
      <c r="AJ57">
        <f t="array" ref="AJ57">IFERROR((SUMPRODUCT((economics!$AG$2:$AG$167=$B57)*(economics!$D$2:$D$167="process")*economics!$AI$2:$AI$167*(_xlfn.NORM.DIST(AJ$3,economics!$AK$2:$AK$167,economics!$AJ$2:$AJ$167,TRUE)-_xlfn.NORM.DIST(AJ$30,economics!$AK$2:$AK$167,economics!$AJ$2:$AJ$167,TRUE))*economics!$AM$2:$AM$167))/(SUMPRODUCT((economics!$AG$2:$AG$167=$B57)*(economics!$D$2:$D$167="process")*economics!$AI$2:$AI$167*(_xlfn.NORM.DIST(AJ$3,economics!$AK$2:$AK$167,economics!$AJ$2:$AJ$167,TRUE)-_xlfn.NORM.DIST(AJ$30,economics!$AK$2:$AK$167,economics!$AJ$2:$AJ$167,TRUE)))),"")</f>
        <v/>
      </c>
      <c r="AK57">
        <f t="array" ref="AK57">IFERROR((SUMPRODUCT((economics!$AG$2:$AG$167=$B57)*(economics!$D$2:$D$167="process")*economics!$AI$2:$AI$167*(_xlfn.NORM.DIST(AK$3,economics!$AK$2:$AK$167,economics!$AJ$2:$AJ$167,TRUE)-_xlfn.NORM.DIST(AK$30,economics!$AK$2:$AK$167,economics!$AJ$2:$AJ$167,TRUE))*economics!$AM$2:$AM$167))/(SUMPRODUCT((economics!$AG$2:$AG$167=$B57)*(economics!$D$2:$D$167="process")*economics!$AI$2:$AI$167*(_xlfn.NORM.DIST(AK$3,economics!$AK$2:$AK$167,economics!$AJ$2:$AJ$167,TRUE)-_xlfn.NORM.DIST(AK$30,economics!$AK$2:$AK$167,economics!$AJ$2:$AJ$167,TRUE)))),"")</f>
        <v/>
      </c>
      <c r="AL57">
        <f t="array" ref="AL57">IFERROR((SUMPRODUCT((economics!$AG$2:$AG$167=$B57)*(economics!$D$2:$D$167="process")*economics!$AI$2:$AI$167*(_xlfn.NORM.DIST(AL$3,economics!$AK$2:$AK$167,economics!$AJ$2:$AJ$167,TRUE)-_xlfn.NORM.DIST(AL$30,economics!$AK$2:$AK$167,economics!$AJ$2:$AJ$167,TRUE))*economics!$AM$2:$AM$167))/(SUMPRODUCT((economics!$AG$2:$AG$167=$B57)*(economics!$D$2:$D$167="process")*economics!$AI$2:$AI$167*(_xlfn.NORM.DIST(AL$3,economics!$AK$2:$AK$167,economics!$AJ$2:$AJ$167,TRUE)-_xlfn.NORM.DIST(AL$30,economics!$AK$2:$AK$167,economics!$AJ$2:$AJ$167,TRUE)))),"")</f>
        <v/>
      </c>
      <c r="AM57">
        <f t="array" ref="AM57">IFERROR((SUMPRODUCT((economics!$AG$2:$AG$167=$B57)*(economics!$D$2:$D$167="process")*economics!$AI$2:$AI$167*(_xlfn.NORM.DIST(AM$3,economics!$AK$2:$AK$167,economics!$AJ$2:$AJ$167,TRUE)-_xlfn.NORM.DIST(AM$30,economics!$AK$2:$AK$167,economics!$AJ$2:$AJ$167,TRUE))*economics!$AM$2:$AM$167))/(SUMPRODUCT((economics!$AG$2:$AG$167=$B57)*(economics!$D$2:$D$167="process")*economics!$AI$2:$AI$167*(_xlfn.NORM.DIST(AM$3,economics!$AK$2:$AK$167,economics!$AJ$2:$AJ$167,TRUE)-_xlfn.NORM.DIST(AM$30,economics!$AK$2:$AK$167,economics!$AJ$2:$AJ$167,TRUE)))),"")</f>
        <v/>
      </c>
      <c r="AN57">
        <f t="array" ref="AN57">IFERROR((SUMPRODUCT((economics!$AG$2:$AG$167=$B57)*(economics!$D$2:$D$167="process")*economics!$AI$2:$AI$167*(_xlfn.NORM.DIST(AN$3,economics!$AK$2:$AK$167,economics!$AJ$2:$AJ$167,TRUE)-_xlfn.NORM.DIST(AN$30,economics!$AK$2:$AK$167,economics!$AJ$2:$AJ$167,TRUE))*economics!$AM$2:$AM$167))/(SUMPRODUCT((economics!$AG$2:$AG$167=$B57)*(economics!$D$2:$D$167="process")*economics!$AI$2:$AI$167*(_xlfn.NORM.DIST(AN$3,economics!$AK$2:$AK$167,economics!$AJ$2:$AJ$167,TRUE)-_xlfn.NORM.DIST(AN$30,economics!$AK$2:$AK$167,economics!$AJ$2:$AJ$167,TRUE)))),"")</f>
        <v/>
      </c>
      <c r="AO57">
        <f t="array" ref="AO57">IFERROR((SUMPRODUCT((economics!$AG$2:$AG$167=$B57)*(economics!$D$2:$D$167="process")*economics!$AI$2:$AI$167*(_xlfn.NORM.DIST(AO$3,economics!$AK$2:$AK$167,economics!$AJ$2:$AJ$167,TRUE)-_xlfn.NORM.DIST(AO$30,economics!$AK$2:$AK$167,economics!$AJ$2:$AJ$167,TRUE))*economics!$AM$2:$AM$167))/(SUMPRODUCT((economics!$AG$2:$AG$167=$B57)*(economics!$D$2:$D$167="process")*economics!$AI$2:$AI$167*(_xlfn.NORM.DIST(AO$3,economics!$AK$2:$AK$167,economics!$AJ$2:$AJ$167,TRUE)-_xlfn.NORM.DIST(AO$30,economics!$AK$2:$AK$167,economics!$AJ$2:$AJ$167,TRUE)))),"")</f>
        <v/>
      </c>
      <c r="AP57">
        <f t="array" ref="AP57">IFERROR((SUMPRODUCT((economics!$AG$2:$AG$167=$B57)*(economics!$D$2:$D$167="process")*economics!$AI$2:$AI$167*(_xlfn.NORM.DIST(AP$3,economics!$AK$2:$AK$167,economics!$AJ$2:$AJ$167,TRUE)-_xlfn.NORM.DIST(AP$30,economics!$AK$2:$AK$167,economics!$AJ$2:$AJ$167,TRUE))*economics!$AM$2:$AM$167))/(SUMPRODUCT((economics!$AG$2:$AG$167=$B57)*(economics!$D$2:$D$167="process")*economics!$AI$2:$AI$167*(_xlfn.NORM.DIST(AP$3,economics!$AK$2:$AK$167,economics!$AJ$2:$AJ$167,TRUE)-_xlfn.NORM.DIST(AP$30,economics!$AK$2:$AK$167,economics!$AJ$2:$AJ$167,TRUE)))),"")</f>
        <v/>
      </c>
      <c r="AQ57">
        <f t="array" ref="AQ57">IFERROR((SUMPRODUCT((economics!$AG$2:$AG$167=$B57)*(economics!$D$2:$D$167="process")*economics!$AI$2:$AI$167*(_xlfn.NORM.DIST(AQ$3,economics!$AK$2:$AK$167,economics!$AJ$2:$AJ$167,TRUE)-_xlfn.NORM.DIST(AQ$30,economics!$AK$2:$AK$167,economics!$AJ$2:$AJ$167,TRUE))*economics!$AM$2:$AM$167))/(SUMPRODUCT((economics!$AG$2:$AG$167=$B57)*(economics!$D$2:$D$167="process")*economics!$AI$2:$AI$167*(_xlfn.NORM.DIST(AQ$3,economics!$AK$2:$AK$167,economics!$AJ$2:$AJ$167,TRUE)-_xlfn.NORM.DIST(AQ$30,economics!$AK$2:$AK$167,economics!$AJ$2:$AJ$167,TRUE)))),"")</f>
        <v/>
      </c>
      <c r="AR57">
        <f t="array" ref="AR57">IFERROR((SUMPRODUCT((economics!$AG$2:$AG$167=$B57)*(economics!$D$2:$D$167="process")*economics!$AI$2:$AI$167*(_xlfn.NORM.DIST(AR$3,economics!$AK$2:$AK$167,economics!$AJ$2:$AJ$167,TRUE)-_xlfn.NORM.DIST(AR$30,economics!$AK$2:$AK$167,economics!$AJ$2:$AJ$167,TRUE))*economics!$AM$2:$AM$167))/(SUMPRODUCT((economics!$AG$2:$AG$167=$B57)*(economics!$D$2:$D$167="process")*economics!$AI$2:$AI$167*(_xlfn.NORM.DIST(AR$3,economics!$AK$2:$AK$167,economics!$AJ$2:$AJ$167,TRUE)-_xlfn.NORM.DIST(AR$30,economics!$AK$2:$AK$167,economics!$AJ$2:$AJ$167,TRUE)))),"")</f>
        <v/>
      </c>
      <c r="AS57">
        <f t="array" ref="AS57">IFERROR((SUMPRODUCT((economics!$AG$2:$AG$167=$B57)*(economics!$D$2:$D$167="process")*economics!$AI$2:$AI$167*(_xlfn.NORM.DIST(AS$3,economics!$AK$2:$AK$167,economics!$AJ$2:$AJ$167,TRUE)-_xlfn.NORM.DIST(AS$30,economics!$AK$2:$AK$167,economics!$AJ$2:$AJ$167,TRUE))*economics!$AM$2:$AM$167))/(SUMPRODUCT((economics!$AG$2:$AG$167=$B57)*(economics!$D$2:$D$167="process")*economics!$AI$2:$AI$167*(_xlfn.NORM.DIST(AS$3,economics!$AK$2:$AK$167,economics!$AJ$2:$AJ$167,TRUE)-_xlfn.NORM.DIST(AS$30,economics!$AK$2:$AK$167,economics!$AJ$2:$AJ$167,TRUE)))),"")</f>
        <v/>
      </c>
      <c r="AT57">
        <f t="array" ref="AT57">IFERROR((SUMPRODUCT((economics!$AG$2:$AG$167=$B57)*(economics!$D$2:$D$167="process")*economics!$AI$2:$AI$167*(_xlfn.NORM.DIST(AT$3,economics!$AK$2:$AK$167,economics!$AJ$2:$AJ$167,TRUE)-_xlfn.NORM.DIST(AT$30,economics!$AK$2:$AK$167,economics!$AJ$2:$AJ$167,TRUE))*economics!$AM$2:$AM$167))/(SUMPRODUCT((economics!$AG$2:$AG$167=$B57)*(economics!$D$2:$D$167="process")*economics!$AI$2:$AI$167*(_xlfn.NORM.DIST(AT$3,economics!$AK$2:$AK$167,economics!$AJ$2:$AJ$167,TRUE)-_xlfn.NORM.DIST(AT$30,economics!$AK$2:$AK$167,economics!$AJ$2:$AJ$167,TRUE)))),"")</f>
        <v/>
      </c>
      <c r="AU57">
        <f t="array" ref="AU57">IFERROR((SUMPRODUCT((economics!$AG$2:$AG$167=$B57)*(economics!$D$2:$D$167="process")*economics!$AI$2:$AI$167*(_xlfn.NORM.DIST(AU$3,economics!$AK$2:$AK$167,economics!$AJ$2:$AJ$167,TRUE)-_xlfn.NORM.DIST(AU$30,economics!$AK$2:$AK$167,economics!$AJ$2:$AJ$167,TRUE))*economics!$AM$2:$AM$167))/(SUMPRODUCT((economics!$AG$2:$AG$167=$B57)*(economics!$D$2:$D$167="process")*economics!$AI$2:$AI$167*(_xlfn.NORM.DIST(AU$3,economics!$AK$2:$AK$167,economics!$AJ$2:$AJ$167,TRUE)-_xlfn.NORM.DIST(AU$30,economics!$AK$2:$AK$167,economics!$AJ$2:$AJ$167,TRUE)))),"")</f>
        <v/>
      </c>
      <c r="AV57">
        <f t="array" ref="AV57">IFERROR((SUMPRODUCT((economics!$AG$2:$AG$167=$B57)*(economics!$D$2:$D$167="process")*economics!$AI$2:$AI$167*(_xlfn.NORM.DIST(AV$3,economics!$AK$2:$AK$167,economics!$AJ$2:$AJ$167,TRUE)-_xlfn.NORM.DIST(AV$30,economics!$AK$2:$AK$167,economics!$AJ$2:$AJ$167,TRUE))*economics!$AM$2:$AM$167))/(SUMPRODUCT((economics!$AG$2:$AG$167=$B57)*(economics!$D$2:$D$167="process")*economics!$AI$2:$AI$167*(_xlfn.NORM.DIST(AV$3,economics!$AK$2:$AK$167,economics!$AJ$2:$AJ$167,TRUE)-_xlfn.NORM.DIST(AV$30,economics!$AK$2:$AK$167,economics!$AJ$2:$AJ$167,TRUE)))),"")</f>
        <v/>
      </c>
      <c r="AW57">
        <f t="array" ref="AW57">IFERROR((SUMPRODUCT((economics!$AG$2:$AG$167=$B57)*(economics!$D$2:$D$167="process")*economics!$AI$2:$AI$167*(_xlfn.NORM.DIST(AW$3,economics!$AK$2:$AK$167,economics!$AJ$2:$AJ$167,TRUE)-_xlfn.NORM.DIST(AW$30,economics!$AK$2:$AK$167,economics!$AJ$2:$AJ$167,TRUE))*economics!$AM$2:$AM$167))/(SUMPRODUCT((economics!$AG$2:$AG$167=$B57)*(economics!$D$2:$D$167="process")*economics!$AI$2:$AI$167*(_xlfn.NORM.DIST(AW$3,economics!$AK$2:$AK$167,economics!$AJ$2:$AJ$167,TRUE)-_xlfn.NORM.DIST(AW$30,economics!$AK$2:$AK$167,economics!$AJ$2:$AJ$167,TRUE)))),"")</f>
        <v/>
      </c>
      <c r="AX57">
        <f t="array" ref="AX57">IFERROR((SUMPRODUCT((economics!$AG$2:$AG$167=$B57)*(economics!$D$2:$D$167="process")*economics!$AI$2:$AI$167*(_xlfn.NORM.DIST(AX$3,economics!$AK$2:$AK$167,economics!$AJ$2:$AJ$167,TRUE)-_xlfn.NORM.DIST(AX$30,economics!$AK$2:$AK$167,economics!$AJ$2:$AJ$167,TRUE))*economics!$AM$2:$AM$167))/(SUMPRODUCT((economics!$AG$2:$AG$167=$B57)*(economics!$D$2:$D$167="process")*economics!$AI$2:$AI$167*(_xlfn.NORM.DIST(AX$3,economics!$AK$2:$AK$167,economics!$AJ$2:$AJ$167,TRUE)-_xlfn.NORM.DIST(AX$30,economics!$AK$2:$AK$167,economics!$AJ$2:$AJ$167,TRUE)))),"")</f>
        <v/>
      </c>
      <c r="AY57">
        <f t="array" ref="AY57">IFERROR((SUMPRODUCT((economics!$AG$2:$AG$167=$B57)*(economics!$D$2:$D$167="process")*economics!$AI$2:$AI$167*(_xlfn.NORM.DIST(AY$3,economics!$AK$2:$AK$167,economics!$AJ$2:$AJ$167,TRUE)-_xlfn.NORM.DIST(AY$30,economics!$AK$2:$AK$167,economics!$AJ$2:$AJ$167,TRUE))*economics!$AM$2:$AM$167))/(SUMPRODUCT((economics!$AG$2:$AG$167=$B57)*(economics!$D$2:$D$167="process")*economics!$AI$2:$AI$167*(_xlfn.NORM.DIST(AY$3,economics!$AK$2:$AK$167,economics!$AJ$2:$AJ$167,TRUE)-_xlfn.NORM.DIST(AY$30,economics!$AK$2:$AK$167,economics!$AJ$2:$AJ$167,TRUE)))),"")</f>
        <v/>
      </c>
      <c r="AZ57">
        <f t="array" ref="AZ57">IFERROR((SUMPRODUCT((economics!$AG$2:$AG$167=$B57)*(economics!$D$2:$D$167="process")*economics!$AI$2:$AI$167*(_xlfn.NORM.DIST(AZ$3,economics!$AK$2:$AK$167,economics!$AJ$2:$AJ$167,TRUE)-_xlfn.NORM.DIST(AZ$30,economics!$AK$2:$AK$167,economics!$AJ$2:$AJ$167,TRUE))*economics!$AM$2:$AM$167))/(SUMPRODUCT((economics!$AG$2:$AG$167=$B57)*(economics!$D$2:$D$167="process")*economics!$AI$2:$AI$167*(_xlfn.NORM.DIST(AZ$3,economics!$AK$2:$AK$167,economics!$AJ$2:$AJ$167,TRUE)-_xlfn.NORM.DIST(AZ$30,economics!$AK$2:$AK$167,economics!$AJ$2:$AJ$167,TRUE)))),"")</f>
        <v/>
      </c>
      <c r="BA57">
        <f t="array" ref="BA57">IFERROR((SUMPRODUCT((economics!$AG$2:$AG$167=$B57)*(economics!$D$2:$D$167="process")*economics!$AI$2:$AI$167*(_xlfn.NORM.DIST(BA$3,economics!$AK$2:$AK$167,economics!$AJ$2:$AJ$167,TRUE)-_xlfn.NORM.DIST(BA$30,economics!$AK$2:$AK$167,economics!$AJ$2:$AJ$167,TRUE))*economics!$AM$2:$AM$167))/(SUMPRODUCT((economics!$AG$2:$AG$167=$B57)*(economics!$D$2:$D$167="process")*economics!$AI$2:$AI$167*(_xlfn.NORM.DIST(BA$3,economics!$AK$2:$AK$167,economics!$AJ$2:$AJ$167,TRUE)-_xlfn.NORM.DIST(BA$30,economics!$AK$2:$AK$167,economics!$AJ$2:$AJ$167,TRUE)))),"")</f>
        <v/>
      </c>
      <c r="BB57">
        <f t="array" ref="BB57">IFERROR((SUMPRODUCT((economics!$AG$2:$AG$167=$B57)*(economics!$D$2:$D$167="process")*economics!$AI$2:$AI$167*(_xlfn.NORM.DIST(BB$3,economics!$AK$2:$AK$167,economics!$AJ$2:$AJ$167,TRUE)-_xlfn.NORM.DIST(BB$30,economics!$AK$2:$AK$167,economics!$AJ$2:$AJ$167,TRUE))*economics!$AM$2:$AM$167))/(SUMPRODUCT((economics!$AG$2:$AG$167=$B57)*(economics!$D$2:$D$167="process")*economics!$AI$2:$AI$167*(_xlfn.NORM.DIST(BB$3,economics!$AK$2:$AK$167,economics!$AJ$2:$AJ$167,TRUE)-_xlfn.NORM.DIST(BB$30,economics!$AK$2:$AK$167,economics!$AJ$2:$AJ$167,TRUE)))),"")</f>
        <v/>
      </c>
      <c r="BC57">
        <f t="array" ref="BC57">IFERROR((SUMPRODUCT((economics!$AG$2:$AG$167=$B57)*(economics!$D$2:$D$167="process")*economics!$AI$2:$AI$167*(_xlfn.NORM.DIST(BC$3,economics!$AK$2:$AK$167,economics!$AJ$2:$AJ$167,TRUE)-_xlfn.NORM.DIST(BC$30,economics!$AK$2:$AK$167,economics!$AJ$2:$AJ$167,TRUE))*economics!$AM$2:$AM$167))/(SUMPRODUCT((economics!$AG$2:$AG$167=$B57)*(economics!$D$2:$D$167="process")*economics!$AI$2:$AI$167*(_xlfn.NORM.DIST(BC$3,economics!$AK$2:$AK$167,economics!$AJ$2:$AJ$167,TRUE)-_xlfn.NORM.DIST(BC$30,economics!$AK$2:$AK$167,economics!$AJ$2:$AJ$167,TRUE)))),"")</f>
        <v/>
      </c>
      <c r="BD57">
        <f t="array" ref="BD57">IFERROR((SUMPRODUCT((economics!$AG$2:$AG$167=$B57)*(economics!$D$2:$D$167="process")*economics!$AI$2:$AI$167*(_xlfn.NORM.DIST(BD$3,economics!$AK$2:$AK$167,economics!$AJ$2:$AJ$167,TRUE)-_xlfn.NORM.DIST(BD$30,economics!$AK$2:$AK$167,economics!$AJ$2:$AJ$167,TRUE))*economics!$AM$2:$AM$167))/(SUMPRODUCT((economics!$AG$2:$AG$167=$B57)*(economics!$D$2:$D$167="process")*economics!$AI$2:$AI$167*(_xlfn.NORM.DIST(BD$3,economics!$AK$2:$AK$167,economics!$AJ$2:$AJ$167,TRUE)-_xlfn.NORM.DIST(BD$30,economics!$AK$2:$AK$167,economics!$AJ$2:$AJ$167,TRUE)))),"")</f>
        <v/>
      </c>
      <c r="BE57">
        <f t="array" ref="BE57">IFERROR((SUMPRODUCT((economics!$AG$2:$AG$167=$B57)*(economics!$D$2:$D$167="process")*economics!$AI$2:$AI$167*(_xlfn.NORM.DIST(BE$3,economics!$AK$2:$AK$167,economics!$AJ$2:$AJ$167,TRUE)-_xlfn.NORM.DIST(BE$30,economics!$AK$2:$AK$167,economics!$AJ$2:$AJ$167,TRUE))*economics!$AM$2:$AM$167))/(SUMPRODUCT((economics!$AG$2:$AG$167=$B57)*(economics!$D$2:$D$167="process")*economics!$AI$2:$AI$167*(_xlfn.NORM.DIST(BE$3,economics!$AK$2:$AK$167,economics!$AJ$2:$AJ$167,TRUE)-_xlfn.NORM.DIST(BE$30,economics!$AK$2:$AK$167,economics!$AJ$2:$AJ$167,TRUE)))),"")</f>
        <v/>
      </c>
      <c r="BF57">
        <f t="array" ref="BF57">IFERROR((SUMPRODUCT((economics!$AG$2:$AG$167=$B57)*(economics!$D$2:$D$167="process")*economics!$AI$2:$AI$167*(_xlfn.NORM.DIST(BF$3,economics!$AK$2:$AK$167,economics!$AJ$2:$AJ$167,TRUE)-_xlfn.NORM.DIST(BF$30,economics!$AK$2:$AK$167,economics!$AJ$2:$AJ$167,TRUE))*economics!$AM$2:$AM$167))/(SUMPRODUCT((economics!$AG$2:$AG$167=$B57)*(economics!$D$2:$D$167="process")*economics!$AI$2:$AI$167*(_xlfn.NORM.DIST(BF$3,economics!$AK$2:$AK$167,economics!$AJ$2:$AJ$167,TRUE)-_xlfn.NORM.DIST(BF$30,economics!$AK$2:$AK$167,economics!$AJ$2:$AJ$167,TRUE)))),"")</f>
        <v/>
      </c>
      <c r="BG57">
        <f t="array" ref="BG57">IFERROR((SUMPRODUCT((economics!$AG$2:$AG$167=$B57)*(economics!$D$2:$D$167="process")*economics!$AI$2:$AI$167*(_xlfn.NORM.DIST(BG$3,economics!$AK$2:$AK$167,economics!$AJ$2:$AJ$167,TRUE)-_xlfn.NORM.DIST(BG$30,economics!$AK$2:$AK$167,economics!$AJ$2:$AJ$167,TRUE))*economics!$AM$2:$AM$167))/(SUMPRODUCT((economics!$AG$2:$AG$167=$B57)*(economics!$D$2:$D$167="process")*economics!$AI$2:$AI$167*(_xlfn.NORM.DIST(BG$3,economics!$AK$2:$AK$167,economics!$AJ$2:$AJ$167,TRUE)-_xlfn.NORM.DIST(BG$30,economics!$AK$2:$AK$167,economics!$AJ$2:$AJ$167,TRUE)))),"")</f>
        <v/>
      </c>
      <c r="BH57">
        <f t="array" ref="BH57">IFERROR((SUMPRODUCT((economics!$AG$2:$AG$167=$B57)*(economics!$D$2:$D$167="process")*economics!$AI$2:$AI$167*(_xlfn.NORM.DIST(BH$3,economics!$AK$2:$AK$167,economics!$AJ$2:$AJ$167,TRUE)-_xlfn.NORM.DIST(BH$30,economics!$AK$2:$AK$167,economics!$AJ$2:$AJ$167,TRUE))*economics!$AM$2:$AM$167))/(SUMPRODUCT((economics!$AG$2:$AG$167=$B57)*(economics!$D$2:$D$167="process")*economics!$AI$2:$AI$167*(_xlfn.NORM.DIST(BH$3,economics!$AK$2:$AK$167,economics!$AJ$2:$AJ$167,TRUE)-_xlfn.NORM.DIST(BH$30,economics!$AK$2:$AK$167,economics!$AJ$2:$AJ$167,TRUE)))),"")</f>
        <v/>
      </c>
      <c r="BI57">
        <f t="array" ref="BI57">IFERROR((SUMPRODUCT((economics!$AG$2:$AG$167=$B57)*(economics!$D$2:$D$167="process")*economics!$AI$2:$AI$167*(_xlfn.NORM.DIST(BI$3,economics!$AK$2:$AK$167,economics!$AJ$2:$AJ$167,TRUE)-_xlfn.NORM.DIST(BI$30,economics!$AK$2:$AK$167,economics!$AJ$2:$AJ$167,TRUE))*economics!$AM$2:$AM$167))/(SUMPRODUCT((economics!$AG$2:$AG$167=$B57)*(economics!$D$2:$D$167="process")*economics!$AI$2:$AI$167*(_xlfn.NORM.DIST(BI$3,economics!$AK$2:$AK$167,economics!$AJ$2:$AJ$167,TRUE)-_xlfn.NORM.DIST(BI$30,economics!$AK$2:$AK$167,economics!$AJ$2:$AJ$167,TRUE)))),"")</f>
        <v/>
      </c>
      <c r="BJ57">
        <f t="array" ref="BJ57">IFERROR((SUMPRODUCT((economics!$AG$2:$AG$167=$B57)*(economics!$D$2:$D$167="process")*economics!$AI$2:$AI$167*(_xlfn.NORM.DIST(BJ$3,economics!$AK$2:$AK$167,economics!$AJ$2:$AJ$167,TRUE)-_xlfn.NORM.DIST(BJ$30,economics!$AK$2:$AK$167,economics!$AJ$2:$AJ$167,TRUE))*economics!$AM$2:$AM$167))/(SUMPRODUCT((economics!$AG$2:$AG$167=$B57)*(economics!$D$2:$D$167="process")*economics!$AI$2:$AI$167*(_xlfn.NORM.DIST(BJ$3,economics!$AK$2:$AK$167,economics!$AJ$2:$AJ$167,TRUE)-_xlfn.NORM.DIST(BJ$30,economics!$AK$2:$AK$167,economics!$AJ$2:$AJ$167,TRUE)))),"")</f>
        <v/>
      </c>
      <c r="BK57">
        <f t="array" ref="BK57">IFERROR((SUMPRODUCT((economics!$AG$2:$AG$167=$B57)*(economics!$D$2:$D$167="process")*economics!$AI$2:$AI$167*(_xlfn.NORM.DIST(BK$3,economics!$AK$2:$AK$167,economics!$AJ$2:$AJ$167,TRUE)-_xlfn.NORM.DIST(BK$30,economics!$AK$2:$AK$167,economics!$AJ$2:$AJ$167,TRUE))*economics!$AM$2:$AM$167))/(SUMPRODUCT((economics!$AG$2:$AG$167=$B57)*(economics!$D$2:$D$167="process")*economics!$AI$2:$AI$167*(_xlfn.NORM.DIST(BK$3,economics!$AK$2:$AK$167,economics!$AJ$2:$AJ$167,TRUE)-_xlfn.NORM.DIST(BK$30,economics!$AK$2:$AK$167,economics!$AJ$2:$AJ$167,TRUE)))),"")</f>
        <v/>
      </c>
      <c r="BL57">
        <f t="array" ref="BL57">IFERROR((SUMPRODUCT((economics!$AG$2:$AG$167=$B57)*(economics!$D$2:$D$167="process")*economics!$AI$2:$AI$167*(_xlfn.NORM.DIST(BL$3,economics!$AK$2:$AK$167,economics!$AJ$2:$AJ$167,TRUE)-_xlfn.NORM.DIST(BL$30,economics!$AK$2:$AK$167,economics!$AJ$2:$AJ$167,TRUE))*economics!$AM$2:$AM$167))/(SUMPRODUCT((economics!$AG$2:$AG$167=$B57)*(economics!$D$2:$D$167="process")*economics!$AI$2:$AI$167*(_xlfn.NORM.DIST(BL$3,economics!$AK$2:$AK$167,economics!$AJ$2:$AJ$167,TRUE)-_xlfn.NORM.DIST(BL$30,economics!$AK$2:$AK$167,economics!$AJ$2:$AJ$167,TRUE)))),"")</f>
        <v/>
      </c>
      <c r="BM57">
        <f t="array" ref="BM57">IFERROR((SUMPRODUCT((economics!$AG$2:$AG$167=$B57)*(economics!$D$2:$D$167="process")*economics!$AI$2:$AI$167*(_xlfn.NORM.DIST(BM$3,economics!$AK$2:$AK$167,economics!$AJ$2:$AJ$167,TRUE)-_xlfn.NORM.DIST(BM$30,economics!$AK$2:$AK$167,economics!$AJ$2:$AJ$167,TRUE))*economics!$AM$2:$AM$167))/(SUMPRODUCT((economics!$AG$2:$AG$167=$B57)*(economics!$D$2:$D$167="process")*economics!$AI$2:$AI$167*(_xlfn.NORM.DIST(BM$3,economics!$AK$2:$AK$167,economics!$AJ$2:$AJ$167,TRUE)-_xlfn.NORM.DIST(BM$30,economics!$AK$2:$AK$167,economics!$AJ$2:$AJ$167,TRUE)))),"")</f>
        <v/>
      </c>
      <c r="BN57">
        <f t="array" ref="BN57">IFERROR((SUMPRODUCT((economics!$AG$2:$AG$167=$B57)*(economics!$D$2:$D$167="process")*economics!$AI$2:$AI$167*(_xlfn.NORM.DIST(BN$3,economics!$AK$2:$AK$167,economics!$AJ$2:$AJ$167,TRUE)-_xlfn.NORM.DIST(BN$30,economics!$AK$2:$AK$167,economics!$AJ$2:$AJ$167,TRUE))*economics!$AM$2:$AM$167))/(SUMPRODUCT((economics!$AG$2:$AG$167=$B57)*(economics!$D$2:$D$167="process")*economics!$AI$2:$AI$167*(_xlfn.NORM.DIST(BN$3,economics!$AK$2:$AK$167,economics!$AJ$2:$AJ$167,TRUE)-_xlfn.NORM.DIST(BN$30,economics!$AK$2:$AK$167,economics!$AJ$2:$AJ$167,TRUE)))),"")</f>
        <v/>
      </c>
      <c r="BO57">
        <f t="array" ref="BO57">IFERROR((SUMPRODUCT((economics!$AG$2:$AG$167=$B57)*(economics!$D$2:$D$167="process")*economics!$AI$2:$AI$167*(_xlfn.NORM.DIST(BO$3,economics!$AK$2:$AK$167,economics!$AJ$2:$AJ$167,TRUE)-_xlfn.NORM.DIST(BO$30,economics!$AK$2:$AK$167,economics!$AJ$2:$AJ$167,TRUE))*economics!$AM$2:$AM$167))/(SUMPRODUCT((economics!$AG$2:$AG$167=$B57)*(economics!$D$2:$D$167="process")*economics!$AI$2:$AI$167*(_xlfn.NORM.DIST(BO$3,economics!$AK$2:$AK$167,economics!$AJ$2:$AJ$167,TRUE)-_xlfn.NORM.DIST(BO$30,economics!$AK$2:$AK$167,economics!$AJ$2:$AJ$167,TRUE)))),"")</f>
        <v/>
      </c>
      <c r="BP57">
        <f t="array" ref="BP57">IFERROR((SUMPRODUCT((economics!$AG$2:$AG$167=$B57)*(economics!$D$2:$D$167="process")*economics!$AI$2:$AI$167*(_xlfn.NORM.DIST(BP$3,economics!$AK$2:$AK$167,economics!$AJ$2:$AJ$167,TRUE)-_xlfn.NORM.DIST(BP$30,economics!$AK$2:$AK$167,economics!$AJ$2:$AJ$167,TRUE))*economics!$AM$2:$AM$167))/(SUMPRODUCT((economics!$AG$2:$AG$167=$B57)*(economics!$D$2:$D$167="process")*economics!$AI$2:$AI$167*(_xlfn.NORM.DIST(BP$3,economics!$AK$2:$AK$167,economics!$AJ$2:$AJ$167,TRUE)-_xlfn.NORM.DIST(BP$30,economics!$AK$2:$AK$167,economics!$AJ$2:$AJ$167,TRUE)))),"")</f>
        <v/>
      </c>
      <c r="BQ57">
        <f t="array" ref="BQ57">IFERROR((SUMPRODUCT((economics!$AG$2:$AG$167=$B57)*(economics!$D$2:$D$167="process")*economics!$AI$2:$AI$167*(_xlfn.NORM.DIST(BQ$3,economics!$AK$2:$AK$167,economics!$AJ$2:$AJ$167,TRUE)-_xlfn.NORM.DIST(BQ$30,economics!$AK$2:$AK$167,economics!$AJ$2:$AJ$167,TRUE))*economics!$AM$2:$AM$167))/(SUMPRODUCT((economics!$AG$2:$AG$167=$B57)*(economics!$D$2:$D$167="process")*economics!$AI$2:$AI$167*(_xlfn.NORM.DIST(BQ$3,economics!$AK$2:$AK$167,economics!$AJ$2:$AJ$167,TRUE)-_xlfn.NORM.DIST(BQ$30,economics!$AK$2:$AK$167,economics!$AJ$2:$AJ$167,TRUE)))),"")</f>
        <v/>
      </c>
      <c r="BR57">
        <f t="array" ref="BR57">IFERROR((SUMPRODUCT((economics!$AG$2:$AG$167=$B57)*(economics!$D$2:$D$167="process")*economics!$AI$2:$AI$167*(_xlfn.NORM.DIST(BR$3,economics!$AK$2:$AK$167,economics!$AJ$2:$AJ$167,TRUE)-_xlfn.NORM.DIST(BR$30,economics!$AK$2:$AK$167,economics!$AJ$2:$AJ$167,TRUE))*economics!$AM$2:$AM$167))/(SUMPRODUCT((economics!$AG$2:$AG$167=$B57)*(economics!$D$2:$D$167="process")*economics!$AI$2:$AI$167*(_xlfn.NORM.DIST(BR$3,economics!$AK$2:$AK$167,economics!$AJ$2:$AJ$167,TRUE)-_xlfn.NORM.DIST(BR$30,economics!$AK$2:$AK$167,economics!$AJ$2:$AJ$167,TRUE)))),"")</f>
        <v/>
      </c>
      <c r="BS57">
        <f t="array" ref="BS57">IFERROR((SUMPRODUCT((economics!$AG$2:$AG$167=$B57)*(economics!$D$2:$D$167="process")*economics!$AI$2:$AI$167*(_xlfn.NORM.DIST(BS$3,economics!$AK$2:$AK$167,economics!$AJ$2:$AJ$167,TRUE)-_xlfn.NORM.DIST(BS$30,economics!$AK$2:$AK$167,economics!$AJ$2:$AJ$167,TRUE))*economics!$AM$2:$AM$167))/(SUMPRODUCT((economics!$AG$2:$AG$167=$B57)*(economics!$D$2:$D$167="process")*economics!$AI$2:$AI$167*(_xlfn.NORM.DIST(BS$3,economics!$AK$2:$AK$167,economics!$AJ$2:$AJ$167,TRUE)-_xlfn.NORM.DIST(BS$30,economics!$AK$2:$AK$167,economics!$AJ$2:$AJ$167,TRUE)))),"")</f>
        <v/>
      </c>
      <c r="BT57">
        <f t="array" ref="BT57">IFERROR((SUMPRODUCT((economics!$AG$2:$AG$167=$B57)*(economics!$D$2:$D$167="process")*economics!$AI$2:$AI$167*(_xlfn.NORM.DIST(BT$3,economics!$AK$2:$AK$167,economics!$AJ$2:$AJ$167,TRUE)-_xlfn.NORM.DIST(BT$30,economics!$AK$2:$AK$167,economics!$AJ$2:$AJ$167,TRUE))*economics!$AM$2:$AM$167))/(SUMPRODUCT((economics!$AG$2:$AG$167=$B57)*(economics!$D$2:$D$167="process")*economics!$AI$2:$AI$167*(_xlfn.NORM.DIST(BT$3,economics!$AK$2:$AK$167,economics!$AJ$2:$AJ$167,TRUE)-_xlfn.NORM.DIST(BT$30,economics!$AK$2:$AK$167,economics!$AJ$2:$AJ$167,TRUE)))),"")</f>
        <v/>
      </c>
      <c r="BU57">
        <f t="array" ref="BU57">IFERROR((SUMPRODUCT((economics!$AG$2:$AG$167=$B57)*(economics!$D$2:$D$167="process")*economics!$AI$2:$AI$167*(_xlfn.NORM.DIST(BU$3,economics!$AK$2:$AK$167,economics!$AJ$2:$AJ$167,TRUE)-_xlfn.NORM.DIST(BU$30,economics!$AK$2:$AK$167,economics!$AJ$2:$AJ$167,TRUE))*economics!$AM$2:$AM$167))/(SUMPRODUCT((economics!$AG$2:$AG$167=$B57)*(economics!$D$2:$D$167="process")*economics!$AI$2:$AI$167*(_xlfn.NORM.DIST(BU$3,economics!$AK$2:$AK$167,economics!$AJ$2:$AJ$167,TRUE)-_xlfn.NORM.DIST(BU$30,economics!$AK$2:$AK$167,economics!$AJ$2:$AJ$167,TRUE)))),"")</f>
        <v/>
      </c>
      <c r="BV57">
        <f t="array" ref="BV57">IFERROR((SUMPRODUCT((economics!$AG$2:$AG$167=$B57)*(economics!$D$2:$D$167="process")*economics!$AI$2:$AI$167*(_xlfn.NORM.DIST(BV$3,economics!$AK$2:$AK$167,economics!$AJ$2:$AJ$167,TRUE)-_xlfn.NORM.DIST(BV$30,economics!$AK$2:$AK$167,economics!$AJ$2:$AJ$167,TRUE))*economics!$AM$2:$AM$167))/(SUMPRODUCT((economics!$AG$2:$AG$167=$B57)*(economics!$D$2:$D$167="process")*economics!$AI$2:$AI$167*(_xlfn.NORM.DIST(BV$3,economics!$AK$2:$AK$167,economics!$AJ$2:$AJ$167,TRUE)-_xlfn.NORM.DIST(BV$30,economics!$AK$2:$AK$167,economics!$AJ$2:$AJ$167,TRUE)))),"")</f>
        <v/>
      </c>
      <c r="BW57">
        <f t="array" ref="BW57">IFERROR((SUMPRODUCT((economics!$AG$2:$AG$167=$B57)*(economics!$D$2:$D$167="process")*economics!$AI$2:$AI$167*(_xlfn.NORM.DIST(BW$3,economics!$AK$2:$AK$167,economics!$AJ$2:$AJ$167,TRUE)-_xlfn.NORM.DIST(BW$30,economics!$AK$2:$AK$167,economics!$AJ$2:$AJ$167,TRUE))*economics!$AM$2:$AM$167))/(SUMPRODUCT((economics!$AG$2:$AG$167=$B57)*(economics!$D$2:$D$167="process")*economics!$AI$2:$AI$167*(_xlfn.NORM.DIST(BW$3,economics!$AK$2:$AK$167,economics!$AJ$2:$AJ$167,TRUE)-_xlfn.NORM.DIST(BW$30,economics!$AK$2:$AK$167,economics!$AJ$2:$AJ$167,TRUE)))),"")</f>
        <v/>
      </c>
      <c r="BX57">
        <f t="array" ref="BX57">IFERROR((SUMPRODUCT((economics!$AG$2:$AG$167=$B57)*(economics!$D$2:$D$167="process")*economics!$AI$2:$AI$167*(_xlfn.NORM.DIST(BX$3,economics!$AK$2:$AK$167,economics!$AJ$2:$AJ$167,TRUE)-_xlfn.NORM.DIST(BX$30,economics!$AK$2:$AK$167,economics!$AJ$2:$AJ$167,TRUE))*economics!$AM$2:$AM$167))/(SUMPRODUCT((economics!$AG$2:$AG$167=$B57)*(economics!$D$2:$D$167="process")*economics!$AI$2:$AI$167*(_xlfn.NORM.DIST(BX$3,economics!$AK$2:$AK$167,economics!$AJ$2:$AJ$167,TRUE)-_xlfn.NORM.DIST(BX$30,economics!$AK$2:$AK$167,economics!$AJ$2:$AJ$167,TRUE)))),"")</f>
        <v/>
      </c>
      <c r="BY57">
        <f t="array" ref="BY57">IFERROR((SUMPRODUCT((economics!$AG$2:$AG$167=$B57)*(economics!$D$2:$D$167="process")*economics!$AI$2:$AI$167*(_xlfn.NORM.DIST(BY$3,economics!$AK$2:$AK$167,economics!$AJ$2:$AJ$167,TRUE)-_xlfn.NORM.DIST(BY$30,economics!$AK$2:$AK$167,economics!$AJ$2:$AJ$167,TRUE))*economics!$AM$2:$AM$167))/(SUMPRODUCT((economics!$AG$2:$AG$167=$B57)*(economics!$D$2:$D$167="process")*economics!$AI$2:$AI$167*(_xlfn.NORM.DIST(BY$3,economics!$AK$2:$AK$167,economics!$AJ$2:$AJ$167,TRUE)-_xlfn.NORM.DIST(BY$30,economics!$AK$2:$AK$167,economics!$AJ$2:$AJ$167,TRUE)))),"")</f>
        <v/>
      </c>
      <c r="BZ57">
        <f t="array" ref="BZ57">IFERROR((SUMPRODUCT((economics!$AG$2:$AG$167=$B57)*(economics!$D$2:$D$167="process")*economics!$AI$2:$AI$167*(_xlfn.NORM.DIST(BZ$3,economics!$AK$2:$AK$167,economics!$AJ$2:$AJ$167,TRUE)-_xlfn.NORM.DIST(BZ$30,economics!$AK$2:$AK$167,economics!$AJ$2:$AJ$167,TRUE))*economics!$AM$2:$AM$167))/(SUMPRODUCT((economics!$AG$2:$AG$167=$B57)*(economics!$D$2:$D$167="process")*economics!$AI$2:$AI$167*(_xlfn.NORM.DIST(BZ$3,economics!$AK$2:$AK$167,economics!$AJ$2:$AJ$167,TRUE)-_xlfn.NORM.DIST(BZ$30,economics!$AK$2:$AK$167,economics!$AJ$2:$AJ$167,TRUE)))),"")</f>
        <v/>
      </c>
      <c r="CA57">
        <f t="array" ref="CA57">IFERROR((SUMPRODUCT((economics!$AG$2:$AG$167=$B57)*(economics!$D$2:$D$167="process")*economics!$AI$2:$AI$167*(_xlfn.NORM.DIST(CA$3,economics!$AK$2:$AK$167,economics!$AJ$2:$AJ$167,TRUE)-_xlfn.NORM.DIST(CA$30,economics!$AK$2:$AK$167,economics!$AJ$2:$AJ$167,TRUE))*economics!$AM$2:$AM$167))/(SUMPRODUCT((economics!$AG$2:$AG$167=$B57)*(economics!$D$2:$D$167="process")*economics!$AI$2:$AI$167*(_xlfn.NORM.DIST(CA$3,economics!$AK$2:$AK$167,economics!$AJ$2:$AJ$167,TRUE)-_xlfn.NORM.DIST(CA$30,economics!$AK$2:$AK$167,economics!$AJ$2:$AJ$167,TRUE)))),"")</f>
        <v/>
      </c>
      <c r="CB57">
        <f t="array" ref="CB57">IFERROR((SUMPRODUCT((economics!$AG$2:$AG$167=$B57)*(economics!$D$2:$D$167="process")*economics!$AI$2:$AI$167*(_xlfn.NORM.DIST(CB$3,economics!$AK$2:$AK$167,economics!$AJ$2:$AJ$167,TRUE)-_xlfn.NORM.DIST(CB$30,economics!$AK$2:$AK$167,economics!$AJ$2:$AJ$167,TRUE))*economics!$AM$2:$AM$167))/(SUMPRODUCT((economics!$AG$2:$AG$167=$B57)*(economics!$D$2:$D$167="process")*economics!$AI$2:$AI$167*(_xlfn.NORM.DIST(CB$3,economics!$AK$2:$AK$167,economics!$AJ$2:$AJ$167,TRUE)-_xlfn.NORM.DIST(CB$30,economics!$AK$2:$AK$167,economics!$AJ$2:$AJ$167,TRUE)))),"")</f>
        <v/>
      </c>
      <c r="CC57">
        <f t="array" ref="CC57">IFERROR((SUMPRODUCT((economics!$AG$2:$AG$167=$B57)*(economics!$D$2:$D$167="process")*economics!$AI$2:$AI$167*(_xlfn.NORM.DIST(CC$3,economics!$AK$2:$AK$167,economics!$AJ$2:$AJ$167,TRUE)-_xlfn.NORM.DIST(CC$30,economics!$AK$2:$AK$167,economics!$AJ$2:$AJ$167,TRUE))*economics!$AM$2:$AM$167))/(SUMPRODUCT((economics!$AG$2:$AG$167=$B57)*(economics!$D$2:$D$167="process")*economics!$AI$2:$AI$167*(_xlfn.NORM.DIST(CC$3,economics!$AK$2:$AK$167,economics!$AJ$2:$AJ$167,TRUE)-_xlfn.NORM.DIST(CC$30,economics!$AK$2:$AK$167,economics!$AJ$2:$AJ$167,TRUE)))),"")</f>
        <v/>
      </c>
      <c r="CD57">
        <f t="array" ref="CD57">IFERROR((SUMPRODUCT((economics!$AG$2:$AG$167=$B57)*(economics!$D$2:$D$167="process")*economics!$AI$2:$AI$167*(_xlfn.NORM.DIST(CD$3,economics!$AK$2:$AK$167,economics!$AJ$2:$AJ$167,TRUE)-_xlfn.NORM.DIST(CD$30,economics!$AK$2:$AK$167,economics!$AJ$2:$AJ$167,TRUE))*economics!$AM$2:$AM$167))/(SUMPRODUCT((economics!$AG$2:$AG$167=$B57)*(economics!$D$2:$D$167="process")*economics!$AI$2:$AI$167*(_xlfn.NORM.DIST(CD$3,economics!$AK$2:$AK$167,economics!$AJ$2:$AJ$167,TRUE)-_xlfn.NORM.DIST(CD$30,economics!$AK$2:$AK$167,economics!$AJ$2:$AJ$167,TRUE)))),"")</f>
        <v/>
      </c>
      <c r="CE57">
        <f t="array" ref="CE57">IFERROR((SUMPRODUCT((economics!$AG$2:$AG$167=$B57)*(economics!$D$2:$D$167="process")*economics!$AI$2:$AI$167*(_xlfn.NORM.DIST(CE$3,economics!$AK$2:$AK$167,economics!$AJ$2:$AJ$167,TRUE)-_xlfn.NORM.DIST(CE$30,economics!$AK$2:$AK$167,economics!$AJ$2:$AJ$167,TRUE))*economics!$AM$2:$AM$167))/(SUMPRODUCT((economics!$AG$2:$AG$167=$B57)*(economics!$D$2:$D$167="process")*economics!$AI$2:$AI$167*(_xlfn.NORM.DIST(CE$3,economics!$AK$2:$AK$167,economics!$AJ$2:$AJ$167,TRUE)-_xlfn.NORM.DIST(CE$30,economics!$AK$2:$AK$167,economics!$AJ$2:$AJ$167,TRUE)))),"")</f>
        <v/>
      </c>
      <c r="CF57">
        <f t="array" ref="CF57">IFERROR((SUMPRODUCT((economics!$AG$2:$AG$167=$B57)*(economics!$D$2:$D$167="process")*economics!$AI$2:$AI$167*(_xlfn.NORM.DIST(CF$3,economics!$AK$2:$AK$167,economics!$AJ$2:$AJ$167,TRUE)-_xlfn.NORM.DIST(CF$30,economics!$AK$2:$AK$167,economics!$AJ$2:$AJ$167,TRUE))*economics!$AM$2:$AM$167))/(SUMPRODUCT((economics!$AG$2:$AG$167=$B57)*(economics!$D$2:$D$167="process")*economics!$AI$2:$AI$167*(_xlfn.NORM.DIST(CF$3,economics!$AK$2:$AK$167,economics!$AJ$2:$AJ$167,TRUE)-_xlfn.NORM.DIST(CF$30,economics!$AK$2:$AK$167,economics!$AJ$2:$AJ$167,TRUE)))),"")</f>
        <v/>
      </c>
      <c r="CG57">
        <f t="array" ref="CG57">IFERROR((SUMPRODUCT((economics!$AG$2:$AG$167=$B57)*(economics!$D$2:$D$167="process")*economics!$AI$2:$AI$167*(_xlfn.NORM.DIST(CG$3,economics!$AK$2:$AK$167,economics!$AJ$2:$AJ$167,TRUE)-_xlfn.NORM.DIST(CG$30,economics!$AK$2:$AK$167,economics!$AJ$2:$AJ$167,TRUE))*economics!$AM$2:$AM$167))/(SUMPRODUCT((economics!$AG$2:$AG$167=$B57)*(economics!$D$2:$D$167="process")*economics!$AI$2:$AI$167*(_xlfn.NORM.DIST(CG$3,economics!$AK$2:$AK$167,economics!$AJ$2:$AJ$167,TRUE)-_xlfn.NORM.DIST(CG$30,economics!$AK$2:$AK$167,economics!$AJ$2:$AJ$167,TRUE)))),"")</f>
        <v/>
      </c>
      <c r="CH57">
        <f t="array" ref="CH57">IFERROR((SUMPRODUCT((economics!$AG$2:$AG$167=$B57)*(economics!$D$2:$D$167="process")*economics!$AI$2:$AI$167*(_xlfn.NORM.DIST(CH$3,economics!$AK$2:$AK$167,economics!$AJ$2:$AJ$167,TRUE)-_xlfn.NORM.DIST(CH$30,economics!$AK$2:$AK$167,economics!$AJ$2:$AJ$167,TRUE))*economics!$AM$2:$AM$167))/(SUMPRODUCT((economics!$AG$2:$AG$167=$B57)*(economics!$D$2:$D$167="process")*economics!$AI$2:$AI$167*(_xlfn.NORM.DIST(CH$3,economics!$AK$2:$AK$167,economics!$AJ$2:$AJ$167,TRUE)-_xlfn.NORM.DIST(CH$30,economics!$AK$2:$AK$167,economics!$AJ$2:$AJ$167,TRUE)))),"")</f>
        <v/>
      </c>
    </row>
    <row r="59">
      <c r="A59" s="1" t="inlineStr">
        <is>
          <t>CHECK: bins with incremental reduction but NO capex intensity (must be 0)</t>
        </is>
      </c>
      <c r="B59">
        <f t="array" ref="B59">SUMPRODUCT((E4:E28&gt;0.000000001)*(E33:E57=""))+SUMPRODUCT(((F4:CH28-E4:CG28)&gt;0.000000001)*(F33:CH57=""))</f>
        <v/>
      </c>
      <c r="C59">
        <f>IF(B59=0,"ok","FAIL")</f>
        <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29"/>
  <sheetViews>
    <sheetView workbookViewId="0">
      <selection activeCell="A26" sqref="A25:XFD26"/>
    </sheetView>
  </sheetViews>
  <sheetFormatPr baseColWidth="8" defaultRowHeight="14.5"/>
  <sheetData>
    <row r="1" ht="18.65" customHeight="1">
      <c r="A1" s="73" t="inlineStr">
        <is>
          <t>Validation (T4.8)</t>
        </is>
      </c>
    </row>
    <row r="3">
      <c r="A3" s="1" t="inlineStr">
        <is>
          <t>(a) fuel-whr top-bin cumulative &lt;= Bianchi potential (covered industries)</t>
        </is>
      </c>
    </row>
    <row r="4">
      <c r="A4" t="inlineStr">
        <is>
          <t>Industry</t>
        </is>
      </c>
      <c r="B4" t="inlineStr">
        <is>
          <t>fuel-whr top-bin cum</t>
        </is>
      </c>
      <c r="C4" t="inlineStr">
        <is>
          <t>Bianchi pot.</t>
        </is>
      </c>
      <c r="D4" t="inlineStr">
        <is>
          <t>check</t>
        </is>
      </c>
    </row>
    <row r="5">
      <c r="A5">
        <f>'fuel-whr'!A11</f>
        <v/>
      </c>
      <c r="B5" s="68">
        <f>'fuel-whr'!CH11</f>
        <v/>
      </c>
      <c r="C5" s="68">
        <f>'fuel-whr'!C11</f>
        <v/>
      </c>
      <c r="D5">
        <f>IF(B5&gt;C5+0.000000001,"EXCEED","ok")</f>
        <v/>
      </c>
    </row>
    <row r="6">
      <c r="A6">
        <f>'fuel-whr'!A13</f>
        <v/>
      </c>
      <c r="B6" s="68">
        <f>'fuel-whr'!CH13</f>
        <v/>
      </c>
      <c r="C6" s="68">
        <f>'fuel-whr'!C13</f>
        <v/>
      </c>
      <c r="D6">
        <f>IF(B6&gt;C6+0.000000001,"EXCEED","ok")</f>
        <v/>
      </c>
    </row>
    <row r="7">
      <c r="A7">
        <f>'fuel-whr'!A15</f>
        <v/>
      </c>
      <c r="B7" s="68">
        <f>'fuel-whr'!CH15</f>
        <v/>
      </c>
      <c r="C7" s="68">
        <f>'fuel-whr'!C15</f>
        <v/>
      </c>
      <c r="D7">
        <f>IF(B7&gt;C7+0.000000001,"EXCEED","ok")</f>
        <v/>
      </c>
    </row>
    <row r="8">
      <c r="A8">
        <f>'fuel-whr'!A16</f>
        <v/>
      </c>
      <c r="B8" s="68">
        <f>'fuel-whr'!CH16</f>
        <v/>
      </c>
      <c r="C8" s="68">
        <f>'fuel-whr'!C16</f>
        <v/>
      </c>
      <c r="D8">
        <f>IF(B8&gt;C8+0.000000001,"EXCEED","ok")</f>
        <v/>
      </c>
    </row>
    <row r="9">
      <c r="A9">
        <f>'fuel-whr'!A17</f>
        <v/>
      </c>
      <c r="B9" s="68">
        <f>'fuel-whr'!CH17</f>
        <v/>
      </c>
      <c r="C9" s="68">
        <f>'fuel-whr'!C17</f>
        <v/>
      </c>
      <c r="D9">
        <f>IF(B9&gt;C9+0.000000001,"EXCEED","ok")</f>
        <v/>
      </c>
    </row>
    <row r="10">
      <c r="A10">
        <f>'fuel-whr'!A18</f>
        <v/>
      </c>
      <c r="B10" s="68">
        <f>'fuel-whr'!CH18</f>
        <v/>
      </c>
      <c r="C10" s="68">
        <f>'fuel-whr'!C18</f>
        <v/>
      </c>
      <c r="D10">
        <f>IF(B10&gt;C10+0.000000001,"EXCEED","ok")</f>
        <v/>
      </c>
    </row>
    <row r="12">
      <c r="A12" s="1" t="inlineStr">
        <is>
          <t>(b) MECS (top-down) vs SEC x production (bottom-up) industry energy</t>
        </is>
      </c>
    </row>
    <row r="13">
      <c r="A13" t="inlineStr">
        <is>
          <t>MECS total fuel (TBtu), covered industries — base denominator:</t>
        </is>
      </c>
      <c r="F13" s="1" t="inlineStr">
        <is>
          <t>Industry (code)</t>
        </is>
      </c>
      <c r="G13" s="1" t="inlineStr">
        <is>
          <t>MECS total TBtu</t>
        </is>
      </c>
      <c r="H13" s="1" t="inlineStr">
        <is>
          <t>SEC x prod TBtu</t>
        </is>
      </c>
      <c r="I13" s="1" t="inlineStr">
        <is>
          <t>ratio (bottom-up / MECS)</t>
        </is>
      </c>
    </row>
    <row r="14">
      <c r="A14">
        <f>'energy base (MECS)'!A4</f>
        <v/>
      </c>
      <c r="B14">
        <f>'energy base (MECS)'!C4</f>
        <v/>
      </c>
      <c r="F14" t="inlineStr">
        <is>
          <t>17T18</t>
        </is>
      </c>
      <c r="G14">
        <f>'energy base (MECS)'!C4</f>
        <v/>
      </c>
      <c r="H14">
        <f>SUMIFS('product map'!$N$14:$N$36,'product map'!$C$14:$C$36,F14)</f>
        <v/>
      </c>
      <c r="I14" s="7">
        <f>H14/G14</f>
        <v/>
      </c>
    </row>
    <row r="15">
      <c r="A15">
        <f>'energy base (MECS)'!A8</f>
        <v/>
      </c>
      <c r="B15">
        <f>'energy base (MECS)'!C8</f>
        <v/>
      </c>
      <c r="F15" t="n">
        <v>20</v>
      </c>
      <c r="G15">
        <f>'energy base (MECS)'!C5</f>
        <v/>
      </c>
      <c r="H15">
        <f>SUMIFS('product map'!$N$14:$N$36,'product map'!$C$14:$C$36,F15)</f>
        <v/>
      </c>
      <c r="I15" s="7">
        <f>H15/G15</f>
        <v/>
      </c>
    </row>
    <row r="16">
      <c r="A16" t="inlineStr">
        <is>
          <t>SEC x production (bottom-up) cross-check</t>
        </is>
      </c>
      <c r="B16" t="inlineStr">
        <is>
          <t>NOW COMPLETE — see table at F13:I19 (SEC source: Kermeli Table 1, pasted 'Kermeli SEC' tab, citing Fleiter et al. 2017).</t>
        </is>
      </c>
      <c r="F16" t="n">
        <v>231</v>
      </c>
      <c r="G16">
        <f>'energy base (MECS)'!C6</f>
        <v/>
      </c>
      <c r="H16">
        <f>SUMIFS('product map'!$N$14:$N$36,'product map'!$C$14:$C$36,F16)</f>
        <v/>
      </c>
      <c r="I16" s="7">
        <f>H16/G16</f>
        <v/>
      </c>
    </row>
    <row r="17">
      <c r="F17" t="n">
        <v>239</v>
      </c>
      <c r="G17">
        <f>'energy base (MECS)'!C7</f>
        <v/>
      </c>
      <c r="H17">
        <f>SUMIFS('product map'!$N$14:$N$36,'product map'!$C$14:$C$36,F17)</f>
        <v/>
      </c>
      <c r="I17" s="7">
        <f>H17/G17</f>
        <v/>
      </c>
    </row>
    <row r="18">
      <c r="A18" s="1" t="inlineStr">
        <is>
          <t>(c) Hand-check: independent CCE recompute vs economics (2012$/MMBtu, @10%)</t>
        </is>
      </c>
      <c r="F18" t="n">
        <v>241</v>
      </c>
      <c r="G18">
        <f>'energy base (MECS)'!C8</f>
        <v/>
      </c>
      <c r="H18">
        <f>SUMIFS('product map'!$N$14:$N$36,'product map'!$C$14:$C$36,F18)</f>
        <v/>
      </c>
      <c r="I18" s="7">
        <f>H18/G18</f>
        <v/>
      </c>
    </row>
    <row r="19">
      <c r="A19" t="inlineStr">
        <is>
          <t>Measure</t>
        </is>
      </c>
      <c r="B19" t="inlineStr">
        <is>
          <t>manual CCE</t>
        </is>
      </c>
      <c r="C19" t="inlineStr">
        <is>
          <t>economics CCE</t>
        </is>
      </c>
      <c r="D19" t="inlineStr">
        <is>
          <t>diff</t>
        </is>
      </c>
      <c r="F19" t="n">
        <v>242</v>
      </c>
      <c r="G19">
        <f>'energy base (MECS)'!C9</f>
        <v/>
      </c>
      <c r="H19">
        <f>SUMIFS('product map'!$N$14:$N$36,'product map'!$C$14:$C$36,F19)</f>
        <v/>
      </c>
      <c r="I19" s="7">
        <f>H19/G19</f>
        <v/>
      </c>
    </row>
    <row r="20">
      <c r="A20">
        <f>'Kermeli Data'!B12</f>
        <v/>
      </c>
      <c r="B20" s="77">
        <f>('Kermeli Data'!I12*cpi!$B$12*cpi!$B$10*(economics!AL5/(1-(1+economics!AL5)^-'Kermeli Data'!J12))+'Kermeli Data'!K12*cpi!$B$12*cpi!$B$10)/(MAX('Kermeli Data'!F12,0)+MAX('Kermeli Data'!G12,0))/0.947817</f>
        <v/>
      </c>
      <c r="C20" s="77">
        <f>economics!T5</f>
        <v/>
      </c>
      <c r="D20" s="77">
        <f>B20-C20</f>
        <v/>
      </c>
    </row>
    <row r="21">
      <c r="A21">
        <f>'Kermeli Data'!B20</f>
        <v/>
      </c>
      <c r="B21">
        <f>('Kermeli Data'!I20*cpi!$B$12*cpi!$B$10*(economics!AL13/(1-(1+economics!AL13)^-'Kermeli Data'!J20))+'Kermeli Data'!K20*cpi!$B$12*cpi!$B$10)/(MAX('Kermeli Data'!F20,0)+MAX('Kermeli Data'!G20,0))/0.947817</f>
        <v/>
      </c>
      <c r="C21">
        <f>economics!T13</f>
        <v/>
      </c>
      <c r="D21">
        <f>B21-C21</f>
        <v/>
      </c>
    </row>
    <row r="22">
      <c r="A22">
        <f>'Kermeli Data'!B29</f>
        <v/>
      </c>
      <c r="B22">
        <f>('Kermeli Data'!I29*cpi!$B$12*cpi!$B$10*(economics!AL22/(1-(1+economics!AL22)^-'Kermeli Data'!J29))+'Kermeli Data'!K29*cpi!$B$12*cpi!$B$10)/(MAX('Kermeli Data'!F29,0)+MAX('Kermeli Data'!G29,0))/0.947817</f>
        <v/>
      </c>
      <c r="C22">
        <f>economics!T22</f>
        <v/>
      </c>
      <c r="D22">
        <f>B22-C22</f>
        <v/>
      </c>
    </row>
    <row r="23">
      <c r="A23">
        <f>'Kermeli Data'!B104</f>
        <v/>
      </c>
      <c r="B23">
        <f>('Kermeli Data'!I104*cpi!$B$12*cpi!$B$10*(economics!AL97/(1-(1+economics!AL97)^-'Kermeli Data'!J104))+'Kermeli Data'!K104*cpi!$B$12*cpi!$B$10)/(MAX('Kermeli Data'!F104,0)+MAX('Kermeli Data'!G104,0))/0.947817</f>
        <v/>
      </c>
      <c r="C23">
        <f>economics!T97</f>
        <v/>
      </c>
      <c r="D23">
        <f>B23-C23</f>
        <v/>
      </c>
    </row>
    <row r="24">
      <c r="A24">
        <f>'Kermeli Data'!B72</f>
        <v/>
      </c>
      <c r="B24">
        <f>('Kermeli Data'!I72*cpi!$B$12*cpi!$B$10*(economics!AL65/(1-(1+economics!AL65)^-'Kermeli Data'!J72))+'Kermeli Data'!K72*cpi!$B$12*cpi!$B$10)/(MAX('Kermeli Data'!F72,0)+MAX('Kermeli Data'!G72,0))/0.947817</f>
        <v/>
      </c>
      <c r="C24">
        <f>economics!T65</f>
        <v/>
      </c>
      <c r="D24">
        <f>B24-C24</f>
        <v/>
      </c>
    </row>
    <row r="26">
      <c r="A26" s="1" t="inlineStr">
        <is>
          <t>(d) Distribution conservation (dist engine sum of mass, should = 1)</t>
        </is>
      </c>
    </row>
    <row r="27">
      <c r="A27" t="inlineStr">
        <is>
          <t>min sum(mass)</t>
        </is>
      </c>
      <c r="B27">
        <f>_xlfn.MINIFS('dist engine'!CJ3:CJ168,'dist engine'!CJ3:CJ168,"&lt;&gt;")</f>
        <v/>
      </c>
    </row>
    <row r="28">
      <c r="A28" t="inlineStr">
        <is>
          <t>max sum(mass)</t>
        </is>
      </c>
      <c r="B28">
        <f>MAX('dist engine'!CJ3:CJ168)</f>
        <v/>
      </c>
    </row>
    <row r="29">
      <c r="A29" t="inlineStr">
        <is>
          <t># rows |sum-1|&gt;0.001</t>
        </is>
      </c>
      <c r="B29">
        <f>COUNTIF('dist engine'!CJ3:CJ168,"&lt;0.999")+COUNTIF('dist engine'!CJ3:CJ168,"&gt;1.001")</f>
        <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J168"/>
  <sheetViews>
    <sheetView workbookViewId="0">
      <selection activeCell="A1" sqref="A1"/>
    </sheetView>
  </sheetViews>
  <sheetFormatPr baseColWidth="8" defaultRowHeight="14.5"/>
  <sheetData>
    <row r="1">
      <c r="A1" s="1" t="inlineStr">
        <is>
          <t>Product</t>
        </is>
      </c>
      <c r="B1" s="1" t="inlineStr">
        <is>
          <t>Measure</t>
        </is>
      </c>
      <c r="C1" s="1" t="inlineStr">
        <is>
          <t>Curve</t>
        </is>
      </c>
      <c r="D1" s="1" t="inlineStr">
        <is>
          <t>CCE mu ($/MMBtu)</t>
        </is>
      </c>
      <c r="E1" s="1" t="inlineStr">
        <is>
          <t>sigma (0.30x|CCE|)</t>
        </is>
      </c>
      <c r="F1" s="70" t="n">
        <v>0</v>
      </c>
      <c r="G1" s="70" t="n">
        <v>0.25</v>
      </c>
      <c r="H1" s="70" t="n">
        <v>0.5</v>
      </c>
      <c r="I1" s="70" t="n">
        <v>0.75</v>
      </c>
      <c r="J1" s="70" t="n">
        <v>1</v>
      </c>
      <c r="K1" s="70" t="n">
        <v>1.25</v>
      </c>
      <c r="L1" s="70" t="n">
        <v>1.5</v>
      </c>
      <c r="M1" s="70" t="n">
        <v>1.75</v>
      </c>
      <c r="N1" s="70" t="n">
        <v>2</v>
      </c>
      <c r="O1" s="70" t="n">
        <v>2.25</v>
      </c>
      <c r="P1" s="70" t="n">
        <v>2.5</v>
      </c>
      <c r="Q1" s="70" t="n">
        <v>2.75</v>
      </c>
      <c r="R1" s="70" t="n">
        <v>3</v>
      </c>
      <c r="S1" s="70" t="n">
        <v>3.25</v>
      </c>
      <c r="T1" s="70" t="n">
        <v>3.5</v>
      </c>
      <c r="U1" s="70" t="n">
        <v>3.75</v>
      </c>
      <c r="V1" s="70" t="n">
        <v>4</v>
      </c>
      <c r="W1" s="70" t="n">
        <v>4.25</v>
      </c>
      <c r="X1" s="70" t="n">
        <v>4.5</v>
      </c>
      <c r="Y1" s="70" t="n">
        <v>4.75</v>
      </c>
      <c r="Z1" s="70" t="n">
        <v>5</v>
      </c>
      <c r="AA1" s="70" t="n">
        <v>5.25</v>
      </c>
      <c r="AB1" s="70" t="n">
        <v>5.5</v>
      </c>
      <c r="AC1" s="70" t="n">
        <v>5.75</v>
      </c>
      <c r="AD1" s="70" t="n">
        <v>6</v>
      </c>
      <c r="AE1" s="70" t="n">
        <v>6.25</v>
      </c>
      <c r="AF1" s="70" t="n">
        <v>6.5</v>
      </c>
      <c r="AG1" s="70" t="n">
        <v>6.75</v>
      </c>
      <c r="AH1" s="70" t="n">
        <v>7</v>
      </c>
      <c r="AI1" s="70" t="n">
        <v>7.25</v>
      </c>
      <c r="AJ1" s="70" t="n">
        <v>7.5</v>
      </c>
      <c r="AK1" s="70" t="n">
        <v>7.75</v>
      </c>
      <c r="AL1" s="70" t="n">
        <v>8</v>
      </c>
      <c r="AM1" s="70" t="n">
        <v>8.25</v>
      </c>
      <c r="AN1" s="70" t="n">
        <v>8.5</v>
      </c>
      <c r="AO1" s="70" t="n">
        <v>8.75</v>
      </c>
      <c r="AP1" s="70" t="n">
        <v>9</v>
      </c>
      <c r="AQ1" s="70" t="n">
        <v>9.25</v>
      </c>
      <c r="AR1" s="70" t="n">
        <v>9.5</v>
      </c>
      <c r="AS1" s="70" t="n">
        <v>9.75</v>
      </c>
      <c r="AT1" s="70" t="n">
        <v>10</v>
      </c>
      <c r="AU1" s="70" t="n">
        <v>10.25</v>
      </c>
      <c r="AV1" s="70" t="n">
        <v>10.5</v>
      </c>
      <c r="AW1" s="70" t="n">
        <v>10.75</v>
      </c>
      <c r="AX1" s="70" t="n">
        <v>11</v>
      </c>
      <c r="AY1" s="70" t="n">
        <v>11.25</v>
      </c>
      <c r="AZ1" s="70" t="n">
        <v>11.5</v>
      </c>
      <c r="BA1" s="70" t="n">
        <v>11.75</v>
      </c>
      <c r="BB1" s="70" t="n">
        <v>12</v>
      </c>
      <c r="BC1" s="70" t="n">
        <v>12.25</v>
      </c>
      <c r="BD1" s="70" t="n">
        <v>12.5</v>
      </c>
      <c r="BE1" s="70" t="n">
        <v>12.75</v>
      </c>
      <c r="BF1" s="70" t="n">
        <v>13</v>
      </c>
      <c r="BG1" s="70" t="n">
        <v>13.25</v>
      </c>
      <c r="BH1" s="70" t="n">
        <v>13.5</v>
      </c>
      <c r="BI1" s="70" t="n">
        <v>13.75</v>
      </c>
      <c r="BJ1" s="70" t="n">
        <v>14</v>
      </c>
      <c r="BK1" s="70" t="n">
        <v>14.25</v>
      </c>
      <c r="BL1" s="70" t="n">
        <v>14.5</v>
      </c>
      <c r="BM1" s="70" t="n">
        <v>14.75</v>
      </c>
      <c r="BN1" s="70" t="n">
        <v>15</v>
      </c>
      <c r="BO1" s="70" t="n">
        <v>15.25</v>
      </c>
      <c r="BP1" s="70" t="n">
        <v>15.5</v>
      </c>
      <c r="BQ1" s="70" t="n">
        <v>15.75</v>
      </c>
      <c r="BR1" s="70" t="n">
        <v>16</v>
      </c>
      <c r="BS1" s="70" t="n">
        <v>16.25</v>
      </c>
      <c r="BT1" s="70" t="n">
        <v>16.5</v>
      </c>
      <c r="BU1" s="70" t="n">
        <v>16.75</v>
      </c>
      <c r="BV1" s="70" t="n">
        <v>17</v>
      </c>
      <c r="BW1" s="70" t="n">
        <v>17.25</v>
      </c>
      <c r="BX1" s="70" t="n">
        <v>17.5</v>
      </c>
      <c r="BY1" s="70" t="n">
        <v>17.75</v>
      </c>
      <c r="BZ1" s="70" t="n">
        <v>18</v>
      </c>
      <c r="CA1" s="70" t="n">
        <v>18.25</v>
      </c>
      <c r="CB1" s="70" t="n">
        <v>18.5</v>
      </c>
      <c r="CC1" s="70" t="n">
        <v>18.75</v>
      </c>
      <c r="CD1" s="70" t="n">
        <v>19</v>
      </c>
      <c r="CE1" s="70" t="n">
        <v>19.25</v>
      </c>
      <c r="CF1" s="70" t="n">
        <v>19.5</v>
      </c>
      <c r="CG1" s="70" t="n">
        <v>19.75</v>
      </c>
      <c r="CH1" s="70" t="n">
        <v>20</v>
      </c>
      <c r="CI1" s="70" t="n">
        <v>99999</v>
      </c>
      <c r="CJ1" s="1" t="inlineStr">
        <is>
          <t>sum(mass) check</t>
        </is>
      </c>
    </row>
    <row r="2">
      <c r="F2" s="70" t="n">
        <v>-9999</v>
      </c>
      <c r="G2" s="70" t="n">
        <v>0</v>
      </c>
      <c r="H2" s="70" t="n">
        <v>0.25</v>
      </c>
      <c r="I2" s="70" t="n">
        <v>0.5</v>
      </c>
      <c r="J2" s="70" t="n">
        <v>0.75</v>
      </c>
      <c r="K2" s="70" t="n">
        <v>1</v>
      </c>
      <c r="L2" s="70" t="n">
        <v>1.25</v>
      </c>
      <c r="M2" s="70" t="n">
        <v>1.5</v>
      </c>
      <c r="N2" s="70" t="n">
        <v>1.75</v>
      </c>
      <c r="O2" s="70" t="n">
        <v>2</v>
      </c>
      <c r="P2" s="70" t="n">
        <v>2.25</v>
      </c>
      <c r="Q2" s="70" t="n">
        <v>2.5</v>
      </c>
      <c r="R2" s="70" t="n">
        <v>2.75</v>
      </c>
      <c r="S2" s="70" t="n">
        <v>3</v>
      </c>
      <c r="T2" s="70" t="n">
        <v>3.25</v>
      </c>
      <c r="U2" s="70" t="n">
        <v>3.5</v>
      </c>
      <c r="V2" s="70" t="n">
        <v>3.75</v>
      </c>
      <c r="W2" s="70" t="n">
        <v>4</v>
      </c>
      <c r="X2" s="70" t="n">
        <v>4.25</v>
      </c>
      <c r="Y2" s="70" t="n">
        <v>4.5</v>
      </c>
      <c r="Z2" s="70" t="n">
        <v>4.75</v>
      </c>
      <c r="AA2" s="70" t="n">
        <v>5</v>
      </c>
      <c r="AB2" s="70" t="n">
        <v>5.25</v>
      </c>
      <c r="AC2" s="70" t="n">
        <v>5.5</v>
      </c>
      <c r="AD2" s="70" t="n">
        <v>5.75</v>
      </c>
      <c r="AE2" s="70" t="n">
        <v>6</v>
      </c>
      <c r="AF2" s="70" t="n">
        <v>6.25</v>
      </c>
      <c r="AG2" s="70" t="n">
        <v>6.5</v>
      </c>
      <c r="AH2" s="70" t="n">
        <v>6.75</v>
      </c>
      <c r="AI2" s="70" t="n">
        <v>7</v>
      </c>
      <c r="AJ2" s="70" t="n">
        <v>7.25</v>
      </c>
      <c r="AK2" s="70" t="n">
        <v>7.5</v>
      </c>
      <c r="AL2" s="70" t="n">
        <v>7.75</v>
      </c>
      <c r="AM2" s="70" t="n">
        <v>8</v>
      </c>
      <c r="AN2" s="70" t="n">
        <v>8.25</v>
      </c>
      <c r="AO2" s="70" t="n">
        <v>8.5</v>
      </c>
      <c r="AP2" s="70" t="n">
        <v>8.75</v>
      </c>
      <c r="AQ2" s="70" t="n">
        <v>9</v>
      </c>
      <c r="AR2" s="70" t="n">
        <v>9.25</v>
      </c>
      <c r="AS2" s="70" t="n">
        <v>9.5</v>
      </c>
      <c r="AT2" s="70" t="n">
        <v>9.75</v>
      </c>
      <c r="AU2" s="70" t="n">
        <v>10</v>
      </c>
      <c r="AV2" s="70" t="n">
        <v>10.25</v>
      </c>
      <c r="AW2" s="70" t="n">
        <v>10.5</v>
      </c>
      <c r="AX2" s="70" t="n">
        <v>10.75</v>
      </c>
      <c r="AY2" s="70" t="n">
        <v>11</v>
      </c>
      <c r="AZ2" s="70" t="n">
        <v>11.25</v>
      </c>
      <c r="BA2" s="70" t="n">
        <v>11.5</v>
      </c>
      <c r="BB2" s="70" t="n">
        <v>11.75</v>
      </c>
      <c r="BC2" s="70" t="n">
        <v>12</v>
      </c>
      <c r="BD2" s="70" t="n">
        <v>12.25</v>
      </c>
      <c r="BE2" s="70" t="n">
        <v>12.5</v>
      </c>
      <c r="BF2" s="70" t="n">
        <v>12.75</v>
      </c>
      <c r="BG2" s="70" t="n">
        <v>13</v>
      </c>
      <c r="BH2" s="70" t="n">
        <v>13.25</v>
      </c>
      <c r="BI2" s="70" t="n">
        <v>13.5</v>
      </c>
      <c r="BJ2" s="70" t="n">
        <v>13.75</v>
      </c>
      <c r="BK2" s="70" t="n">
        <v>14</v>
      </c>
      <c r="BL2" s="70" t="n">
        <v>14.25</v>
      </c>
      <c r="BM2" s="70" t="n">
        <v>14.5</v>
      </c>
      <c r="BN2" s="70" t="n">
        <v>14.75</v>
      </c>
      <c r="BO2" s="70" t="n">
        <v>15</v>
      </c>
      <c r="BP2" s="70" t="n">
        <v>15.25</v>
      </c>
      <c r="BQ2" s="70" t="n">
        <v>15.5</v>
      </c>
      <c r="BR2" s="70" t="n">
        <v>15.75</v>
      </c>
      <c r="BS2" s="70" t="n">
        <v>16</v>
      </c>
      <c r="BT2" s="70" t="n">
        <v>16.25</v>
      </c>
      <c r="BU2" s="70" t="n">
        <v>16.5</v>
      </c>
      <c r="BV2" s="70" t="n">
        <v>16.75</v>
      </c>
      <c r="BW2" s="70" t="n">
        <v>17</v>
      </c>
      <c r="BX2" s="70" t="n">
        <v>17.25</v>
      </c>
      <c r="BY2" s="70" t="n">
        <v>17.5</v>
      </c>
      <c r="BZ2" s="70" t="n">
        <v>17.75</v>
      </c>
      <c r="CA2" s="70" t="n">
        <v>18</v>
      </c>
      <c r="CB2" s="70" t="n">
        <v>18.25</v>
      </c>
      <c r="CC2" s="70" t="n">
        <v>18.5</v>
      </c>
      <c r="CD2" s="70" t="n">
        <v>18.75</v>
      </c>
      <c r="CE2" s="70" t="n">
        <v>19</v>
      </c>
      <c r="CF2" s="70" t="n">
        <v>19.25</v>
      </c>
      <c r="CG2" s="70" t="n">
        <v>19.5</v>
      </c>
      <c r="CH2" s="70" t="n">
        <v>19.75</v>
      </c>
      <c r="CI2" s="70" t="n">
        <v>20</v>
      </c>
    </row>
    <row r="3">
      <c r="A3">
        <f>economics!A2</f>
        <v/>
      </c>
      <c r="B3">
        <f>economics!B2</f>
        <v/>
      </c>
      <c r="C3">
        <f>economics!D2</f>
        <v/>
      </c>
      <c r="D3">
        <f>IF(ISNUMBER(economics!T2),economics!T2,"na")</f>
        <v/>
      </c>
      <c r="E3">
        <f>IF(ISNUMBER(D3),MAX(0.3*ABS(D3),0.000001),"na")</f>
        <v/>
      </c>
      <c r="F3">
        <f>IF(NOT(ISNUMBER($D3)),"",_xlfn.NORM.DIST(F$1,$D3,$E3,TRUE)-_xlfn.NORM.DIST(F$2,$D3,$E3,TRUE))</f>
        <v/>
      </c>
      <c r="G3">
        <f>IF(NOT(ISNUMBER($D3)),"",_xlfn.NORM.DIST(G$1,$D3,$E3,TRUE)-_xlfn.NORM.DIST(G$2,$D3,$E3,TRUE))</f>
        <v/>
      </c>
      <c r="H3">
        <f>IF(NOT(ISNUMBER($D3)),"",_xlfn.NORM.DIST(H$1,$D3,$E3,TRUE)-_xlfn.NORM.DIST(H$2,$D3,$E3,TRUE))</f>
        <v/>
      </c>
      <c r="I3">
        <f>IF(NOT(ISNUMBER($D3)),"",_xlfn.NORM.DIST(I$1,$D3,$E3,TRUE)-_xlfn.NORM.DIST(I$2,$D3,$E3,TRUE))</f>
        <v/>
      </c>
      <c r="J3">
        <f>IF(NOT(ISNUMBER($D3)),"",_xlfn.NORM.DIST(J$1,$D3,$E3,TRUE)-_xlfn.NORM.DIST(J$2,$D3,$E3,TRUE))</f>
        <v/>
      </c>
      <c r="K3">
        <f>IF(NOT(ISNUMBER($D3)),"",_xlfn.NORM.DIST(K$1,$D3,$E3,TRUE)-_xlfn.NORM.DIST(K$2,$D3,$E3,TRUE))</f>
        <v/>
      </c>
      <c r="L3">
        <f>IF(NOT(ISNUMBER($D3)),"",_xlfn.NORM.DIST(L$1,$D3,$E3,TRUE)-_xlfn.NORM.DIST(L$2,$D3,$E3,TRUE))</f>
        <v/>
      </c>
      <c r="M3">
        <f>IF(NOT(ISNUMBER($D3)),"",_xlfn.NORM.DIST(M$1,$D3,$E3,TRUE)-_xlfn.NORM.DIST(M$2,$D3,$E3,TRUE))</f>
        <v/>
      </c>
      <c r="N3">
        <f>IF(NOT(ISNUMBER($D3)),"",_xlfn.NORM.DIST(N$1,$D3,$E3,TRUE)-_xlfn.NORM.DIST(N$2,$D3,$E3,TRUE))</f>
        <v/>
      </c>
      <c r="O3">
        <f>IF(NOT(ISNUMBER($D3)),"",_xlfn.NORM.DIST(O$1,$D3,$E3,TRUE)-_xlfn.NORM.DIST(O$2,$D3,$E3,TRUE))</f>
        <v/>
      </c>
      <c r="P3">
        <f>IF(NOT(ISNUMBER($D3)),"",_xlfn.NORM.DIST(P$1,$D3,$E3,TRUE)-_xlfn.NORM.DIST(P$2,$D3,$E3,TRUE))</f>
        <v/>
      </c>
      <c r="Q3">
        <f>IF(NOT(ISNUMBER($D3)),"",_xlfn.NORM.DIST(Q$1,$D3,$E3,TRUE)-_xlfn.NORM.DIST(Q$2,$D3,$E3,TRUE))</f>
        <v/>
      </c>
      <c r="R3">
        <f>IF(NOT(ISNUMBER($D3)),"",_xlfn.NORM.DIST(R$1,$D3,$E3,TRUE)-_xlfn.NORM.DIST(R$2,$D3,$E3,TRUE))</f>
        <v/>
      </c>
      <c r="S3">
        <f>IF(NOT(ISNUMBER($D3)),"",_xlfn.NORM.DIST(S$1,$D3,$E3,TRUE)-_xlfn.NORM.DIST(S$2,$D3,$E3,TRUE))</f>
        <v/>
      </c>
      <c r="T3">
        <f>IF(NOT(ISNUMBER($D3)),"",_xlfn.NORM.DIST(T$1,$D3,$E3,TRUE)-_xlfn.NORM.DIST(T$2,$D3,$E3,TRUE))</f>
        <v/>
      </c>
      <c r="U3">
        <f>IF(NOT(ISNUMBER($D3)),"",_xlfn.NORM.DIST(U$1,$D3,$E3,TRUE)-_xlfn.NORM.DIST(U$2,$D3,$E3,TRUE))</f>
        <v/>
      </c>
      <c r="V3">
        <f>IF(NOT(ISNUMBER($D3)),"",_xlfn.NORM.DIST(V$1,$D3,$E3,TRUE)-_xlfn.NORM.DIST(V$2,$D3,$E3,TRUE))</f>
        <v/>
      </c>
      <c r="W3">
        <f>IF(NOT(ISNUMBER($D3)),"",_xlfn.NORM.DIST(W$1,$D3,$E3,TRUE)-_xlfn.NORM.DIST(W$2,$D3,$E3,TRUE))</f>
        <v/>
      </c>
      <c r="X3">
        <f>IF(NOT(ISNUMBER($D3)),"",_xlfn.NORM.DIST(X$1,$D3,$E3,TRUE)-_xlfn.NORM.DIST(X$2,$D3,$E3,TRUE))</f>
        <v/>
      </c>
      <c r="Y3">
        <f>IF(NOT(ISNUMBER($D3)),"",_xlfn.NORM.DIST(Y$1,$D3,$E3,TRUE)-_xlfn.NORM.DIST(Y$2,$D3,$E3,TRUE))</f>
        <v/>
      </c>
      <c r="Z3">
        <f>IF(NOT(ISNUMBER($D3)),"",_xlfn.NORM.DIST(Z$1,$D3,$E3,TRUE)-_xlfn.NORM.DIST(Z$2,$D3,$E3,TRUE))</f>
        <v/>
      </c>
      <c r="AA3">
        <f>IF(NOT(ISNUMBER($D3)),"",_xlfn.NORM.DIST(AA$1,$D3,$E3,TRUE)-_xlfn.NORM.DIST(AA$2,$D3,$E3,TRUE))</f>
        <v/>
      </c>
      <c r="AB3">
        <f>IF(NOT(ISNUMBER($D3)),"",_xlfn.NORM.DIST(AB$1,$D3,$E3,TRUE)-_xlfn.NORM.DIST(AB$2,$D3,$E3,TRUE))</f>
        <v/>
      </c>
      <c r="AC3">
        <f>IF(NOT(ISNUMBER($D3)),"",_xlfn.NORM.DIST(AC$1,$D3,$E3,TRUE)-_xlfn.NORM.DIST(AC$2,$D3,$E3,TRUE))</f>
        <v/>
      </c>
      <c r="AD3">
        <f>IF(NOT(ISNUMBER($D3)),"",_xlfn.NORM.DIST(AD$1,$D3,$E3,TRUE)-_xlfn.NORM.DIST(AD$2,$D3,$E3,TRUE))</f>
        <v/>
      </c>
      <c r="AE3">
        <f>IF(NOT(ISNUMBER($D3)),"",_xlfn.NORM.DIST(AE$1,$D3,$E3,TRUE)-_xlfn.NORM.DIST(AE$2,$D3,$E3,TRUE))</f>
        <v/>
      </c>
      <c r="AF3">
        <f>IF(NOT(ISNUMBER($D3)),"",_xlfn.NORM.DIST(AF$1,$D3,$E3,TRUE)-_xlfn.NORM.DIST(AF$2,$D3,$E3,TRUE))</f>
        <v/>
      </c>
      <c r="AG3">
        <f>IF(NOT(ISNUMBER($D3)),"",_xlfn.NORM.DIST(AG$1,$D3,$E3,TRUE)-_xlfn.NORM.DIST(AG$2,$D3,$E3,TRUE))</f>
        <v/>
      </c>
      <c r="AH3">
        <f>IF(NOT(ISNUMBER($D3)),"",_xlfn.NORM.DIST(AH$1,$D3,$E3,TRUE)-_xlfn.NORM.DIST(AH$2,$D3,$E3,TRUE))</f>
        <v/>
      </c>
      <c r="AI3">
        <f>IF(NOT(ISNUMBER($D3)),"",_xlfn.NORM.DIST(AI$1,$D3,$E3,TRUE)-_xlfn.NORM.DIST(AI$2,$D3,$E3,TRUE))</f>
        <v/>
      </c>
      <c r="AJ3">
        <f>IF(NOT(ISNUMBER($D3)),"",_xlfn.NORM.DIST(AJ$1,$D3,$E3,TRUE)-_xlfn.NORM.DIST(AJ$2,$D3,$E3,TRUE))</f>
        <v/>
      </c>
      <c r="AK3">
        <f>IF(NOT(ISNUMBER($D3)),"",_xlfn.NORM.DIST(AK$1,$D3,$E3,TRUE)-_xlfn.NORM.DIST(AK$2,$D3,$E3,TRUE))</f>
        <v/>
      </c>
      <c r="AL3">
        <f>IF(NOT(ISNUMBER($D3)),"",_xlfn.NORM.DIST(AL$1,$D3,$E3,TRUE)-_xlfn.NORM.DIST(AL$2,$D3,$E3,TRUE))</f>
        <v/>
      </c>
      <c r="AM3">
        <f>IF(NOT(ISNUMBER($D3)),"",_xlfn.NORM.DIST(AM$1,$D3,$E3,TRUE)-_xlfn.NORM.DIST(AM$2,$D3,$E3,TRUE))</f>
        <v/>
      </c>
      <c r="AN3">
        <f>IF(NOT(ISNUMBER($D3)),"",_xlfn.NORM.DIST(AN$1,$D3,$E3,TRUE)-_xlfn.NORM.DIST(AN$2,$D3,$E3,TRUE))</f>
        <v/>
      </c>
      <c r="AO3">
        <f>IF(NOT(ISNUMBER($D3)),"",_xlfn.NORM.DIST(AO$1,$D3,$E3,TRUE)-_xlfn.NORM.DIST(AO$2,$D3,$E3,TRUE))</f>
        <v/>
      </c>
      <c r="AP3">
        <f>IF(NOT(ISNUMBER($D3)),"",_xlfn.NORM.DIST(AP$1,$D3,$E3,TRUE)-_xlfn.NORM.DIST(AP$2,$D3,$E3,TRUE))</f>
        <v/>
      </c>
      <c r="AQ3">
        <f>IF(NOT(ISNUMBER($D3)),"",_xlfn.NORM.DIST(AQ$1,$D3,$E3,TRUE)-_xlfn.NORM.DIST(AQ$2,$D3,$E3,TRUE))</f>
        <v/>
      </c>
      <c r="AR3">
        <f>IF(NOT(ISNUMBER($D3)),"",_xlfn.NORM.DIST(AR$1,$D3,$E3,TRUE)-_xlfn.NORM.DIST(AR$2,$D3,$E3,TRUE))</f>
        <v/>
      </c>
      <c r="AS3">
        <f>IF(NOT(ISNUMBER($D3)),"",_xlfn.NORM.DIST(AS$1,$D3,$E3,TRUE)-_xlfn.NORM.DIST(AS$2,$D3,$E3,TRUE))</f>
        <v/>
      </c>
      <c r="AT3">
        <f>IF(NOT(ISNUMBER($D3)),"",_xlfn.NORM.DIST(AT$1,$D3,$E3,TRUE)-_xlfn.NORM.DIST(AT$2,$D3,$E3,TRUE))</f>
        <v/>
      </c>
      <c r="AU3">
        <f>IF(NOT(ISNUMBER($D3)),"",_xlfn.NORM.DIST(AU$1,$D3,$E3,TRUE)-_xlfn.NORM.DIST(AU$2,$D3,$E3,TRUE))</f>
        <v/>
      </c>
      <c r="AV3">
        <f>IF(NOT(ISNUMBER($D3)),"",_xlfn.NORM.DIST(AV$1,$D3,$E3,TRUE)-_xlfn.NORM.DIST(AV$2,$D3,$E3,TRUE))</f>
        <v/>
      </c>
      <c r="AW3">
        <f>IF(NOT(ISNUMBER($D3)),"",_xlfn.NORM.DIST(AW$1,$D3,$E3,TRUE)-_xlfn.NORM.DIST(AW$2,$D3,$E3,TRUE))</f>
        <v/>
      </c>
      <c r="AX3">
        <f>IF(NOT(ISNUMBER($D3)),"",_xlfn.NORM.DIST(AX$1,$D3,$E3,TRUE)-_xlfn.NORM.DIST(AX$2,$D3,$E3,TRUE))</f>
        <v/>
      </c>
      <c r="AY3">
        <f>IF(NOT(ISNUMBER($D3)),"",_xlfn.NORM.DIST(AY$1,$D3,$E3,TRUE)-_xlfn.NORM.DIST(AY$2,$D3,$E3,TRUE))</f>
        <v/>
      </c>
      <c r="AZ3">
        <f>IF(NOT(ISNUMBER($D3)),"",_xlfn.NORM.DIST(AZ$1,$D3,$E3,TRUE)-_xlfn.NORM.DIST(AZ$2,$D3,$E3,TRUE))</f>
        <v/>
      </c>
      <c r="BA3">
        <f>IF(NOT(ISNUMBER($D3)),"",_xlfn.NORM.DIST(BA$1,$D3,$E3,TRUE)-_xlfn.NORM.DIST(BA$2,$D3,$E3,TRUE))</f>
        <v/>
      </c>
      <c r="BB3">
        <f>IF(NOT(ISNUMBER($D3)),"",_xlfn.NORM.DIST(BB$1,$D3,$E3,TRUE)-_xlfn.NORM.DIST(BB$2,$D3,$E3,TRUE))</f>
        <v/>
      </c>
      <c r="BC3">
        <f>IF(NOT(ISNUMBER($D3)),"",_xlfn.NORM.DIST(BC$1,$D3,$E3,TRUE)-_xlfn.NORM.DIST(BC$2,$D3,$E3,TRUE))</f>
        <v/>
      </c>
      <c r="BD3">
        <f>IF(NOT(ISNUMBER($D3)),"",_xlfn.NORM.DIST(BD$1,$D3,$E3,TRUE)-_xlfn.NORM.DIST(BD$2,$D3,$E3,TRUE))</f>
        <v/>
      </c>
      <c r="BE3">
        <f>IF(NOT(ISNUMBER($D3)),"",_xlfn.NORM.DIST(BE$1,$D3,$E3,TRUE)-_xlfn.NORM.DIST(BE$2,$D3,$E3,TRUE))</f>
        <v/>
      </c>
      <c r="BF3">
        <f>IF(NOT(ISNUMBER($D3)),"",_xlfn.NORM.DIST(BF$1,$D3,$E3,TRUE)-_xlfn.NORM.DIST(BF$2,$D3,$E3,TRUE))</f>
        <v/>
      </c>
      <c r="BG3">
        <f>IF(NOT(ISNUMBER($D3)),"",_xlfn.NORM.DIST(BG$1,$D3,$E3,TRUE)-_xlfn.NORM.DIST(BG$2,$D3,$E3,TRUE))</f>
        <v/>
      </c>
      <c r="BH3">
        <f>IF(NOT(ISNUMBER($D3)),"",_xlfn.NORM.DIST(BH$1,$D3,$E3,TRUE)-_xlfn.NORM.DIST(BH$2,$D3,$E3,TRUE))</f>
        <v/>
      </c>
      <c r="BI3">
        <f>IF(NOT(ISNUMBER($D3)),"",_xlfn.NORM.DIST(BI$1,$D3,$E3,TRUE)-_xlfn.NORM.DIST(BI$2,$D3,$E3,TRUE))</f>
        <v/>
      </c>
      <c r="BJ3">
        <f>IF(NOT(ISNUMBER($D3)),"",_xlfn.NORM.DIST(BJ$1,$D3,$E3,TRUE)-_xlfn.NORM.DIST(BJ$2,$D3,$E3,TRUE))</f>
        <v/>
      </c>
      <c r="BK3">
        <f>IF(NOT(ISNUMBER($D3)),"",_xlfn.NORM.DIST(BK$1,$D3,$E3,TRUE)-_xlfn.NORM.DIST(BK$2,$D3,$E3,TRUE))</f>
        <v/>
      </c>
      <c r="BL3">
        <f>IF(NOT(ISNUMBER($D3)),"",_xlfn.NORM.DIST(BL$1,$D3,$E3,TRUE)-_xlfn.NORM.DIST(BL$2,$D3,$E3,TRUE))</f>
        <v/>
      </c>
      <c r="BM3">
        <f>IF(NOT(ISNUMBER($D3)),"",_xlfn.NORM.DIST(BM$1,$D3,$E3,TRUE)-_xlfn.NORM.DIST(BM$2,$D3,$E3,TRUE))</f>
        <v/>
      </c>
      <c r="BN3">
        <f>IF(NOT(ISNUMBER($D3)),"",_xlfn.NORM.DIST(BN$1,$D3,$E3,TRUE)-_xlfn.NORM.DIST(BN$2,$D3,$E3,TRUE))</f>
        <v/>
      </c>
      <c r="BO3">
        <f>IF(NOT(ISNUMBER($D3)),"",_xlfn.NORM.DIST(BO$1,$D3,$E3,TRUE)-_xlfn.NORM.DIST(BO$2,$D3,$E3,TRUE))</f>
        <v/>
      </c>
      <c r="BP3">
        <f>IF(NOT(ISNUMBER($D3)),"",_xlfn.NORM.DIST(BP$1,$D3,$E3,TRUE)-_xlfn.NORM.DIST(BP$2,$D3,$E3,TRUE))</f>
        <v/>
      </c>
      <c r="BQ3">
        <f>IF(NOT(ISNUMBER($D3)),"",_xlfn.NORM.DIST(BQ$1,$D3,$E3,TRUE)-_xlfn.NORM.DIST(BQ$2,$D3,$E3,TRUE))</f>
        <v/>
      </c>
      <c r="BR3">
        <f>IF(NOT(ISNUMBER($D3)),"",_xlfn.NORM.DIST(BR$1,$D3,$E3,TRUE)-_xlfn.NORM.DIST(BR$2,$D3,$E3,TRUE))</f>
        <v/>
      </c>
      <c r="BS3">
        <f>IF(NOT(ISNUMBER($D3)),"",_xlfn.NORM.DIST(BS$1,$D3,$E3,TRUE)-_xlfn.NORM.DIST(BS$2,$D3,$E3,TRUE))</f>
        <v/>
      </c>
      <c r="BT3">
        <f>IF(NOT(ISNUMBER($D3)),"",_xlfn.NORM.DIST(BT$1,$D3,$E3,TRUE)-_xlfn.NORM.DIST(BT$2,$D3,$E3,TRUE))</f>
        <v/>
      </c>
      <c r="BU3">
        <f>IF(NOT(ISNUMBER($D3)),"",_xlfn.NORM.DIST(BU$1,$D3,$E3,TRUE)-_xlfn.NORM.DIST(BU$2,$D3,$E3,TRUE))</f>
        <v/>
      </c>
      <c r="BV3">
        <f>IF(NOT(ISNUMBER($D3)),"",_xlfn.NORM.DIST(BV$1,$D3,$E3,TRUE)-_xlfn.NORM.DIST(BV$2,$D3,$E3,TRUE))</f>
        <v/>
      </c>
      <c r="BW3">
        <f>IF(NOT(ISNUMBER($D3)),"",_xlfn.NORM.DIST(BW$1,$D3,$E3,TRUE)-_xlfn.NORM.DIST(BW$2,$D3,$E3,TRUE))</f>
        <v/>
      </c>
      <c r="BX3">
        <f>IF(NOT(ISNUMBER($D3)),"",_xlfn.NORM.DIST(BX$1,$D3,$E3,TRUE)-_xlfn.NORM.DIST(BX$2,$D3,$E3,TRUE))</f>
        <v/>
      </c>
      <c r="BY3">
        <f>IF(NOT(ISNUMBER($D3)),"",_xlfn.NORM.DIST(BY$1,$D3,$E3,TRUE)-_xlfn.NORM.DIST(BY$2,$D3,$E3,TRUE))</f>
        <v/>
      </c>
      <c r="BZ3">
        <f>IF(NOT(ISNUMBER($D3)),"",_xlfn.NORM.DIST(BZ$1,$D3,$E3,TRUE)-_xlfn.NORM.DIST(BZ$2,$D3,$E3,TRUE))</f>
        <v/>
      </c>
      <c r="CA3">
        <f>IF(NOT(ISNUMBER($D3)),"",_xlfn.NORM.DIST(CA$1,$D3,$E3,TRUE)-_xlfn.NORM.DIST(CA$2,$D3,$E3,TRUE))</f>
        <v/>
      </c>
      <c r="CB3">
        <f>IF(NOT(ISNUMBER($D3)),"",_xlfn.NORM.DIST(CB$1,$D3,$E3,TRUE)-_xlfn.NORM.DIST(CB$2,$D3,$E3,TRUE))</f>
        <v/>
      </c>
      <c r="CC3">
        <f>IF(NOT(ISNUMBER($D3)),"",_xlfn.NORM.DIST(CC$1,$D3,$E3,TRUE)-_xlfn.NORM.DIST(CC$2,$D3,$E3,TRUE))</f>
        <v/>
      </c>
      <c r="CD3">
        <f>IF(NOT(ISNUMBER($D3)),"",_xlfn.NORM.DIST(CD$1,$D3,$E3,TRUE)-_xlfn.NORM.DIST(CD$2,$D3,$E3,TRUE))</f>
        <v/>
      </c>
      <c r="CE3">
        <f>IF(NOT(ISNUMBER($D3)),"",_xlfn.NORM.DIST(CE$1,$D3,$E3,TRUE)-_xlfn.NORM.DIST(CE$2,$D3,$E3,TRUE))</f>
        <v/>
      </c>
      <c r="CF3">
        <f>IF(NOT(ISNUMBER($D3)),"",_xlfn.NORM.DIST(CF$1,$D3,$E3,TRUE)-_xlfn.NORM.DIST(CF$2,$D3,$E3,TRUE))</f>
        <v/>
      </c>
      <c r="CG3">
        <f>IF(NOT(ISNUMBER($D3)),"",_xlfn.NORM.DIST(CG$1,$D3,$E3,TRUE)-_xlfn.NORM.DIST(CG$2,$D3,$E3,TRUE))</f>
        <v/>
      </c>
      <c r="CH3">
        <f>IF(NOT(ISNUMBER($D3)),"",_xlfn.NORM.DIST(CH$1,$D3,$E3,TRUE)-_xlfn.NORM.DIST(CH$2,$D3,$E3,TRUE))</f>
        <v/>
      </c>
      <c r="CI3">
        <f>IF(NOT(ISNUMBER($D3)),"",_xlfn.NORM.DIST(CI$1,$D3,$E3,TRUE)-_xlfn.NORM.DIST(CI$2,$D3,$E3,TRUE))</f>
        <v/>
      </c>
      <c r="CJ3">
        <f>IF(ISNUMBER($D3),SUM(F3:CI3),"")</f>
        <v/>
      </c>
    </row>
    <row r="4">
      <c r="A4">
        <f>economics!A3</f>
        <v/>
      </c>
      <c r="B4">
        <f>economics!B3</f>
        <v/>
      </c>
      <c r="C4">
        <f>economics!D3</f>
        <v/>
      </c>
      <c r="D4">
        <f>IF(ISNUMBER(economics!T3),economics!T3,"na")</f>
        <v/>
      </c>
      <c r="E4">
        <f>IF(ISNUMBER(D4),MAX(0.3*ABS(D4),0.000001),"na")</f>
        <v/>
      </c>
      <c r="F4">
        <f>IF(NOT(ISNUMBER($D4)),"",_xlfn.NORM.DIST(F$1,$D4,$E4,TRUE)-_xlfn.NORM.DIST(F$2,$D4,$E4,TRUE))</f>
        <v/>
      </c>
      <c r="G4">
        <f>IF(NOT(ISNUMBER($D4)),"",_xlfn.NORM.DIST(G$1,$D4,$E4,TRUE)-_xlfn.NORM.DIST(G$2,$D4,$E4,TRUE))</f>
        <v/>
      </c>
      <c r="H4">
        <f>IF(NOT(ISNUMBER($D4)),"",_xlfn.NORM.DIST(H$1,$D4,$E4,TRUE)-_xlfn.NORM.DIST(H$2,$D4,$E4,TRUE))</f>
        <v/>
      </c>
      <c r="I4">
        <f>IF(NOT(ISNUMBER($D4)),"",_xlfn.NORM.DIST(I$1,$D4,$E4,TRUE)-_xlfn.NORM.DIST(I$2,$D4,$E4,TRUE))</f>
        <v/>
      </c>
      <c r="J4">
        <f>IF(NOT(ISNUMBER($D4)),"",_xlfn.NORM.DIST(J$1,$D4,$E4,TRUE)-_xlfn.NORM.DIST(J$2,$D4,$E4,TRUE))</f>
        <v/>
      </c>
      <c r="K4">
        <f>IF(NOT(ISNUMBER($D4)),"",_xlfn.NORM.DIST(K$1,$D4,$E4,TRUE)-_xlfn.NORM.DIST(K$2,$D4,$E4,TRUE))</f>
        <v/>
      </c>
      <c r="L4">
        <f>IF(NOT(ISNUMBER($D4)),"",_xlfn.NORM.DIST(L$1,$D4,$E4,TRUE)-_xlfn.NORM.DIST(L$2,$D4,$E4,TRUE))</f>
        <v/>
      </c>
      <c r="M4">
        <f>IF(NOT(ISNUMBER($D4)),"",_xlfn.NORM.DIST(M$1,$D4,$E4,TRUE)-_xlfn.NORM.DIST(M$2,$D4,$E4,TRUE))</f>
        <v/>
      </c>
      <c r="N4">
        <f>IF(NOT(ISNUMBER($D4)),"",_xlfn.NORM.DIST(N$1,$D4,$E4,TRUE)-_xlfn.NORM.DIST(N$2,$D4,$E4,TRUE))</f>
        <v/>
      </c>
      <c r="O4">
        <f>IF(NOT(ISNUMBER($D4)),"",_xlfn.NORM.DIST(O$1,$D4,$E4,TRUE)-_xlfn.NORM.DIST(O$2,$D4,$E4,TRUE))</f>
        <v/>
      </c>
      <c r="P4">
        <f>IF(NOT(ISNUMBER($D4)),"",_xlfn.NORM.DIST(P$1,$D4,$E4,TRUE)-_xlfn.NORM.DIST(P$2,$D4,$E4,TRUE))</f>
        <v/>
      </c>
      <c r="Q4">
        <f>IF(NOT(ISNUMBER($D4)),"",_xlfn.NORM.DIST(Q$1,$D4,$E4,TRUE)-_xlfn.NORM.DIST(Q$2,$D4,$E4,TRUE))</f>
        <v/>
      </c>
      <c r="R4">
        <f>IF(NOT(ISNUMBER($D4)),"",_xlfn.NORM.DIST(R$1,$D4,$E4,TRUE)-_xlfn.NORM.DIST(R$2,$D4,$E4,TRUE))</f>
        <v/>
      </c>
      <c r="S4">
        <f>IF(NOT(ISNUMBER($D4)),"",_xlfn.NORM.DIST(S$1,$D4,$E4,TRUE)-_xlfn.NORM.DIST(S$2,$D4,$E4,TRUE))</f>
        <v/>
      </c>
      <c r="T4">
        <f>IF(NOT(ISNUMBER($D4)),"",_xlfn.NORM.DIST(T$1,$D4,$E4,TRUE)-_xlfn.NORM.DIST(T$2,$D4,$E4,TRUE))</f>
        <v/>
      </c>
      <c r="U4">
        <f>IF(NOT(ISNUMBER($D4)),"",_xlfn.NORM.DIST(U$1,$D4,$E4,TRUE)-_xlfn.NORM.DIST(U$2,$D4,$E4,TRUE))</f>
        <v/>
      </c>
      <c r="V4">
        <f>IF(NOT(ISNUMBER($D4)),"",_xlfn.NORM.DIST(V$1,$D4,$E4,TRUE)-_xlfn.NORM.DIST(V$2,$D4,$E4,TRUE))</f>
        <v/>
      </c>
      <c r="W4">
        <f>IF(NOT(ISNUMBER($D4)),"",_xlfn.NORM.DIST(W$1,$D4,$E4,TRUE)-_xlfn.NORM.DIST(W$2,$D4,$E4,TRUE))</f>
        <v/>
      </c>
      <c r="X4">
        <f>IF(NOT(ISNUMBER($D4)),"",_xlfn.NORM.DIST(X$1,$D4,$E4,TRUE)-_xlfn.NORM.DIST(X$2,$D4,$E4,TRUE))</f>
        <v/>
      </c>
      <c r="Y4">
        <f>IF(NOT(ISNUMBER($D4)),"",_xlfn.NORM.DIST(Y$1,$D4,$E4,TRUE)-_xlfn.NORM.DIST(Y$2,$D4,$E4,TRUE))</f>
        <v/>
      </c>
      <c r="Z4">
        <f>IF(NOT(ISNUMBER($D4)),"",_xlfn.NORM.DIST(Z$1,$D4,$E4,TRUE)-_xlfn.NORM.DIST(Z$2,$D4,$E4,TRUE))</f>
        <v/>
      </c>
      <c r="AA4">
        <f>IF(NOT(ISNUMBER($D4)),"",_xlfn.NORM.DIST(AA$1,$D4,$E4,TRUE)-_xlfn.NORM.DIST(AA$2,$D4,$E4,TRUE))</f>
        <v/>
      </c>
      <c r="AB4">
        <f>IF(NOT(ISNUMBER($D4)),"",_xlfn.NORM.DIST(AB$1,$D4,$E4,TRUE)-_xlfn.NORM.DIST(AB$2,$D4,$E4,TRUE))</f>
        <v/>
      </c>
      <c r="AC4">
        <f>IF(NOT(ISNUMBER($D4)),"",_xlfn.NORM.DIST(AC$1,$D4,$E4,TRUE)-_xlfn.NORM.DIST(AC$2,$D4,$E4,TRUE))</f>
        <v/>
      </c>
      <c r="AD4">
        <f>IF(NOT(ISNUMBER($D4)),"",_xlfn.NORM.DIST(AD$1,$D4,$E4,TRUE)-_xlfn.NORM.DIST(AD$2,$D4,$E4,TRUE))</f>
        <v/>
      </c>
      <c r="AE4">
        <f>IF(NOT(ISNUMBER($D4)),"",_xlfn.NORM.DIST(AE$1,$D4,$E4,TRUE)-_xlfn.NORM.DIST(AE$2,$D4,$E4,TRUE))</f>
        <v/>
      </c>
      <c r="AF4">
        <f>IF(NOT(ISNUMBER($D4)),"",_xlfn.NORM.DIST(AF$1,$D4,$E4,TRUE)-_xlfn.NORM.DIST(AF$2,$D4,$E4,TRUE))</f>
        <v/>
      </c>
      <c r="AG4">
        <f>IF(NOT(ISNUMBER($D4)),"",_xlfn.NORM.DIST(AG$1,$D4,$E4,TRUE)-_xlfn.NORM.DIST(AG$2,$D4,$E4,TRUE))</f>
        <v/>
      </c>
      <c r="AH4">
        <f>IF(NOT(ISNUMBER($D4)),"",_xlfn.NORM.DIST(AH$1,$D4,$E4,TRUE)-_xlfn.NORM.DIST(AH$2,$D4,$E4,TRUE))</f>
        <v/>
      </c>
      <c r="AI4">
        <f>IF(NOT(ISNUMBER($D4)),"",_xlfn.NORM.DIST(AI$1,$D4,$E4,TRUE)-_xlfn.NORM.DIST(AI$2,$D4,$E4,TRUE))</f>
        <v/>
      </c>
      <c r="AJ4">
        <f>IF(NOT(ISNUMBER($D4)),"",_xlfn.NORM.DIST(AJ$1,$D4,$E4,TRUE)-_xlfn.NORM.DIST(AJ$2,$D4,$E4,TRUE))</f>
        <v/>
      </c>
      <c r="AK4">
        <f>IF(NOT(ISNUMBER($D4)),"",_xlfn.NORM.DIST(AK$1,$D4,$E4,TRUE)-_xlfn.NORM.DIST(AK$2,$D4,$E4,TRUE))</f>
        <v/>
      </c>
      <c r="AL4">
        <f>IF(NOT(ISNUMBER($D4)),"",_xlfn.NORM.DIST(AL$1,$D4,$E4,TRUE)-_xlfn.NORM.DIST(AL$2,$D4,$E4,TRUE))</f>
        <v/>
      </c>
      <c r="AM4">
        <f>IF(NOT(ISNUMBER($D4)),"",_xlfn.NORM.DIST(AM$1,$D4,$E4,TRUE)-_xlfn.NORM.DIST(AM$2,$D4,$E4,TRUE))</f>
        <v/>
      </c>
      <c r="AN4">
        <f>IF(NOT(ISNUMBER($D4)),"",_xlfn.NORM.DIST(AN$1,$D4,$E4,TRUE)-_xlfn.NORM.DIST(AN$2,$D4,$E4,TRUE))</f>
        <v/>
      </c>
      <c r="AO4">
        <f>IF(NOT(ISNUMBER($D4)),"",_xlfn.NORM.DIST(AO$1,$D4,$E4,TRUE)-_xlfn.NORM.DIST(AO$2,$D4,$E4,TRUE))</f>
        <v/>
      </c>
      <c r="AP4">
        <f>IF(NOT(ISNUMBER($D4)),"",_xlfn.NORM.DIST(AP$1,$D4,$E4,TRUE)-_xlfn.NORM.DIST(AP$2,$D4,$E4,TRUE))</f>
        <v/>
      </c>
      <c r="AQ4">
        <f>IF(NOT(ISNUMBER($D4)),"",_xlfn.NORM.DIST(AQ$1,$D4,$E4,TRUE)-_xlfn.NORM.DIST(AQ$2,$D4,$E4,TRUE))</f>
        <v/>
      </c>
      <c r="AR4">
        <f>IF(NOT(ISNUMBER($D4)),"",_xlfn.NORM.DIST(AR$1,$D4,$E4,TRUE)-_xlfn.NORM.DIST(AR$2,$D4,$E4,TRUE))</f>
        <v/>
      </c>
      <c r="AS4">
        <f>IF(NOT(ISNUMBER($D4)),"",_xlfn.NORM.DIST(AS$1,$D4,$E4,TRUE)-_xlfn.NORM.DIST(AS$2,$D4,$E4,TRUE))</f>
        <v/>
      </c>
      <c r="AT4">
        <f>IF(NOT(ISNUMBER($D4)),"",_xlfn.NORM.DIST(AT$1,$D4,$E4,TRUE)-_xlfn.NORM.DIST(AT$2,$D4,$E4,TRUE))</f>
        <v/>
      </c>
      <c r="AU4">
        <f>IF(NOT(ISNUMBER($D4)),"",_xlfn.NORM.DIST(AU$1,$D4,$E4,TRUE)-_xlfn.NORM.DIST(AU$2,$D4,$E4,TRUE))</f>
        <v/>
      </c>
      <c r="AV4">
        <f>IF(NOT(ISNUMBER($D4)),"",_xlfn.NORM.DIST(AV$1,$D4,$E4,TRUE)-_xlfn.NORM.DIST(AV$2,$D4,$E4,TRUE))</f>
        <v/>
      </c>
      <c r="AW4">
        <f>IF(NOT(ISNUMBER($D4)),"",_xlfn.NORM.DIST(AW$1,$D4,$E4,TRUE)-_xlfn.NORM.DIST(AW$2,$D4,$E4,TRUE))</f>
        <v/>
      </c>
      <c r="AX4">
        <f>IF(NOT(ISNUMBER($D4)),"",_xlfn.NORM.DIST(AX$1,$D4,$E4,TRUE)-_xlfn.NORM.DIST(AX$2,$D4,$E4,TRUE))</f>
        <v/>
      </c>
      <c r="AY4">
        <f>IF(NOT(ISNUMBER($D4)),"",_xlfn.NORM.DIST(AY$1,$D4,$E4,TRUE)-_xlfn.NORM.DIST(AY$2,$D4,$E4,TRUE))</f>
        <v/>
      </c>
      <c r="AZ4">
        <f>IF(NOT(ISNUMBER($D4)),"",_xlfn.NORM.DIST(AZ$1,$D4,$E4,TRUE)-_xlfn.NORM.DIST(AZ$2,$D4,$E4,TRUE))</f>
        <v/>
      </c>
      <c r="BA4">
        <f>IF(NOT(ISNUMBER($D4)),"",_xlfn.NORM.DIST(BA$1,$D4,$E4,TRUE)-_xlfn.NORM.DIST(BA$2,$D4,$E4,TRUE))</f>
        <v/>
      </c>
      <c r="BB4">
        <f>IF(NOT(ISNUMBER($D4)),"",_xlfn.NORM.DIST(BB$1,$D4,$E4,TRUE)-_xlfn.NORM.DIST(BB$2,$D4,$E4,TRUE))</f>
        <v/>
      </c>
      <c r="BC4">
        <f>IF(NOT(ISNUMBER($D4)),"",_xlfn.NORM.DIST(BC$1,$D4,$E4,TRUE)-_xlfn.NORM.DIST(BC$2,$D4,$E4,TRUE))</f>
        <v/>
      </c>
      <c r="BD4">
        <f>IF(NOT(ISNUMBER($D4)),"",_xlfn.NORM.DIST(BD$1,$D4,$E4,TRUE)-_xlfn.NORM.DIST(BD$2,$D4,$E4,TRUE))</f>
        <v/>
      </c>
      <c r="BE4">
        <f>IF(NOT(ISNUMBER($D4)),"",_xlfn.NORM.DIST(BE$1,$D4,$E4,TRUE)-_xlfn.NORM.DIST(BE$2,$D4,$E4,TRUE))</f>
        <v/>
      </c>
      <c r="BF4">
        <f>IF(NOT(ISNUMBER($D4)),"",_xlfn.NORM.DIST(BF$1,$D4,$E4,TRUE)-_xlfn.NORM.DIST(BF$2,$D4,$E4,TRUE))</f>
        <v/>
      </c>
      <c r="BG4">
        <f>IF(NOT(ISNUMBER($D4)),"",_xlfn.NORM.DIST(BG$1,$D4,$E4,TRUE)-_xlfn.NORM.DIST(BG$2,$D4,$E4,TRUE))</f>
        <v/>
      </c>
      <c r="BH4">
        <f>IF(NOT(ISNUMBER($D4)),"",_xlfn.NORM.DIST(BH$1,$D4,$E4,TRUE)-_xlfn.NORM.DIST(BH$2,$D4,$E4,TRUE))</f>
        <v/>
      </c>
      <c r="BI4">
        <f>IF(NOT(ISNUMBER($D4)),"",_xlfn.NORM.DIST(BI$1,$D4,$E4,TRUE)-_xlfn.NORM.DIST(BI$2,$D4,$E4,TRUE))</f>
        <v/>
      </c>
      <c r="BJ4">
        <f>IF(NOT(ISNUMBER($D4)),"",_xlfn.NORM.DIST(BJ$1,$D4,$E4,TRUE)-_xlfn.NORM.DIST(BJ$2,$D4,$E4,TRUE))</f>
        <v/>
      </c>
      <c r="BK4">
        <f>IF(NOT(ISNUMBER($D4)),"",_xlfn.NORM.DIST(BK$1,$D4,$E4,TRUE)-_xlfn.NORM.DIST(BK$2,$D4,$E4,TRUE))</f>
        <v/>
      </c>
      <c r="BL4">
        <f>IF(NOT(ISNUMBER($D4)),"",_xlfn.NORM.DIST(BL$1,$D4,$E4,TRUE)-_xlfn.NORM.DIST(BL$2,$D4,$E4,TRUE))</f>
        <v/>
      </c>
      <c r="BM4">
        <f>IF(NOT(ISNUMBER($D4)),"",_xlfn.NORM.DIST(BM$1,$D4,$E4,TRUE)-_xlfn.NORM.DIST(BM$2,$D4,$E4,TRUE))</f>
        <v/>
      </c>
      <c r="BN4">
        <f>IF(NOT(ISNUMBER($D4)),"",_xlfn.NORM.DIST(BN$1,$D4,$E4,TRUE)-_xlfn.NORM.DIST(BN$2,$D4,$E4,TRUE))</f>
        <v/>
      </c>
      <c r="BO4">
        <f>IF(NOT(ISNUMBER($D4)),"",_xlfn.NORM.DIST(BO$1,$D4,$E4,TRUE)-_xlfn.NORM.DIST(BO$2,$D4,$E4,TRUE))</f>
        <v/>
      </c>
      <c r="BP4">
        <f>IF(NOT(ISNUMBER($D4)),"",_xlfn.NORM.DIST(BP$1,$D4,$E4,TRUE)-_xlfn.NORM.DIST(BP$2,$D4,$E4,TRUE))</f>
        <v/>
      </c>
      <c r="BQ4">
        <f>IF(NOT(ISNUMBER($D4)),"",_xlfn.NORM.DIST(BQ$1,$D4,$E4,TRUE)-_xlfn.NORM.DIST(BQ$2,$D4,$E4,TRUE))</f>
        <v/>
      </c>
      <c r="BR4">
        <f>IF(NOT(ISNUMBER($D4)),"",_xlfn.NORM.DIST(BR$1,$D4,$E4,TRUE)-_xlfn.NORM.DIST(BR$2,$D4,$E4,TRUE))</f>
        <v/>
      </c>
      <c r="BS4">
        <f>IF(NOT(ISNUMBER($D4)),"",_xlfn.NORM.DIST(BS$1,$D4,$E4,TRUE)-_xlfn.NORM.DIST(BS$2,$D4,$E4,TRUE))</f>
        <v/>
      </c>
      <c r="BT4">
        <f>IF(NOT(ISNUMBER($D4)),"",_xlfn.NORM.DIST(BT$1,$D4,$E4,TRUE)-_xlfn.NORM.DIST(BT$2,$D4,$E4,TRUE))</f>
        <v/>
      </c>
      <c r="BU4">
        <f>IF(NOT(ISNUMBER($D4)),"",_xlfn.NORM.DIST(BU$1,$D4,$E4,TRUE)-_xlfn.NORM.DIST(BU$2,$D4,$E4,TRUE))</f>
        <v/>
      </c>
      <c r="BV4">
        <f>IF(NOT(ISNUMBER($D4)),"",_xlfn.NORM.DIST(BV$1,$D4,$E4,TRUE)-_xlfn.NORM.DIST(BV$2,$D4,$E4,TRUE))</f>
        <v/>
      </c>
      <c r="BW4">
        <f>IF(NOT(ISNUMBER($D4)),"",_xlfn.NORM.DIST(BW$1,$D4,$E4,TRUE)-_xlfn.NORM.DIST(BW$2,$D4,$E4,TRUE))</f>
        <v/>
      </c>
      <c r="BX4">
        <f>IF(NOT(ISNUMBER($D4)),"",_xlfn.NORM.DIST(BX$1,$D4,$E4,TRUE)-_xlfn.NORM.DIST(BX$2,$D4,$E4,TRUE))</f>
        <v/>
      </c>
      <c r="BY4">
        <f>IF(NOT(ISNUMBER($D4)),"",_xlfn.NORM.DIST(BY$1,$D4,$E4,TRUE)-_xlfn.NORM.DIST(BY$2,$D4,$E4,TRUE))</f>
        <v/>
      </c>
      <c r="BZ4">
        <f>IF(NOT(ISNUMBER($D4)),"",_xlfn.NORM.DIST(BZ$1,$D4,$E4,TRUE)-_xlfn.NORM.DIST(BZ$2,$D4,$E4,TRUE))</f>
        <v/>
      </c>
      <c r="CA4">
        <f>IF(NOT(ISNUMBER($D4)),"",_xlfn.NORM.DIST(CA$1,$D4,$E4,TRUE)-_xlfn.NORM.DIST(CA$2,$D4,$E4,TRUE))</f>
        <v/>
      </c>
      <c r="CB4">
        <f>IF(NOT(ISNUMBER($D4)),"",_xlfn.NORM.DIST(CB$1,$D4,$E4,TRUE)-_xlfn.NORM.DIST(CB$2,$D4,$E4,TRUE))</f>
        <v/>
      </c>
      <c r="CC4">
        <f>IF(NOT(ISNUMBER($D4)),"",_xlfn.NORM.DIST(CC$1,$D4,$E4,TRUE)-_xlfn.NORM.DIST(CC$2,$D4,$E4,TRUE))</f>
        <v/>
      </c>
      <c r="CD4">
        <f>IF(NOT(ISNUMBER($D4)),"",_xlfn.NORM.DIST(CD$1,$D4,$E4,TRUE)-_xlfn.NORM.DIST(CD$2,$D4,$E4,TRUE))</f>
        <v/>
      </c>
      <c r="CE4">
        <f>IF(NOT(ISNUMBER($D4)),"",_xlfn.NORM.DIST(CE$1,$D4,$E4,TRUE)-_xlfn.NORM.DIST(CE$2,$D4,$E4,TRUE))</f>
        <v/>
      </c>
      <c r="CF4">
        <f>IF(NOT(ISNUMBER($D4)),"",_xlfn.NORM.DIST(CF$1,$D4,$E4,TRUE)-_xlfn.NORM.DIST(CF$2,$D4,$E4,TRUE))</f>
        <v/>
      </c>
      <c r="CG4">
        <f>IF(NOT(ISNUMBER($D4)),"",_xlfn.NORM.DIST(CG$1,$D4,$E4,TRUE)-_xlfn.NORM.DIST(CG$2,$D4,$E4,TRUE))</f>
        <v/>
      </c>
      <c r="CH4">
        <f>IF(NOT(ISNUMBER($D4)),"",_xlfn.NORM.DIST(CH$1,$D4,$E4,TRUE)-_xlfn.NORM.DIST(CH$2,$D4,$E4,TRUE))</f>
        <v/>
      </c>
      <c r="CI4">
        <f>IF(NOT(ISNUMBER($D4)),"",_xlfn.NORM.DIST(CI$1,$D4,$E4,TRUE)-_xlfn.NORM.DIST(CI$2,$D4,$E4,TRUE))</f>
        <v/>
      </c>
      <c r="CJ4">
        <f>IF(ISNUMBER($D4),SUM(F4:CI4),"")</f>
        <v/>
      </c>
    </row>
    <row r="5">
      <c r="A5">
        <f>economics!A4</f>
        <v/>
      </c>
      <c r="B5">
        <f>economics!B4</f>
        <v/>
      </c>
      <c r="C5">
        <f>economics!D4</f>
        <v/>
      </c>
      <c r="D5">
        <f>IF(ISNUMBER(economics!T4),economics!T4,"na")</f>
        <v/>
      </c>
      <c r="E5">
        <f>IF(ISNUMBER(D5),MAX(0.3*ABS(D5),0.000001),"na")</f>
        <v/>
      </c>
      <c r="F5">
        <f>IF(NOT(ISNUMBER($D5)),"",_xlfn.NORM.DIST(F$1,$D5,$E5,TRUE)-_xlfn.NORM.DIST(F$2,$D5,$E5,TRUE))</f>
        <v/>
      </c>
      <c r="G5">
        <f>IF(NOT(ISNUMBER($D5)),"",_xlfn.NORM.DIST(G$1,$D5,$E5,TRUE)-_xlfn.NORM.DIST(G$2,$D5,$E5,TRUE))</f>
        <v/>
      </c>
      <c r="H5">
        <f>IF(NOT(ISNUMBER($D5)),"",_xlfn.NORM.DIST(H$1,$D5,$E5,TRUE)-_xlfn.NORM.DIST(H$2,$D5,$E5,TRUE))</f>
        <v/>
      </c>
      <c r="I5">
        <f>IF(NOT(ISNUMBER($D5)),"",_xlfn.NORM.DIST(I$1,$D5,$E5,TRUE)-_xlfn.NORM.DIST(I$2,$D5,$E5,TRUE))</f>
        <v/>
      </c>
      <c r="J5">
        <f>IF(NOT(ISNUMBER($D5)),"",_xlfn.NORM.DIST(J$1,$D5,$E5,TRUE)-_xlfn.NORM.DIST(J$2,$D5,$E5,TRUE))</f>
        <v/>
      </c>
      <c r="K5">
        <f>IF(NOT(ISNUMBER($D5)),"",_xlfn.NORM.DIST(K$1,$D5,$E5,TRUE)-_xlfn.NORM.DIST(K$2,$D5,$E5,TRUE))</f>
        <v/>
      </c>
      <c r="L5">
        <f>IF(NOT(ISNUMBER($D5)),"",_xlfn.NORM.DIST(L$1,$D5,$E5,TRUE)-_xlfn.NORM.DIST(L$2,$D5,$E5,TRUE))</f>
        <v/>
      </c>
      <c r="M5">
        <f>IF(NOT(ISNUMBER($D5)),"",_xlfn.NORM.DIST(M$1,$D5,$E5,TRUE)-_xlfn.NORM.DIST(M$2,$D5,$E5,TRUE))</f>
        <v/>
      </c>
      <c r="N5">
        <f>IF(NOT(ISNUMBER($D5)),"",_xlfn.NORM.DIST(N$1,$D5,$E5,TRUE)-_xlfn.NORM.DIST(N$2,$D5,$E5,TRUE))</f>
        <v/>
      </c>
      <c r="O5">
        <f>IF(NOT(ISNUMBER($D5)),"",_xlfn.NORM.DIST(O$1,$D5,$E5,TRUE)-_xlfn.NORM.DIST(O$2,$D5,$E5,TRUE))</f>
        <v/>
      </c>
      <c r="P5">
        <f>IF(NOT(ISNUMBER($D5)),"",_xlfn.NORM.DIST(P$1,$D5,$E5,TRUE)-_xlfn.NORM.DIST(P$2,$D5,$E5,TRUE))</f>
        <v/>
      </c>
      <c r="Q5">
        <f>IF(NOT(ISNUMBER($D5)),"",_xlfn.NORM.DIST(Q$1,$D5,$E5,TRUE)-_xlfn.NORM.DIST(Q$2,$D5,$E5,TRUE))</f>
        <v/>
      </c>
      <c r="R5">
        <f>IF(NOT(ISNUMBER($D5)),"",_xlfn.NORM.DIST(R$1,$D5,$E5,TRUE)-_xlfn.NORM.DIST(R$2,$D5,$E5,TRUE))</f>
        <v/>
      </c>
      <c r="S5">
        <f>IF(NOT(ISNUMBER($D5)),"",_xlfn.NORM.DIST(S$1,$D5,$E5,TRUE)-_xlfn.NORM.DIST(S$2,$D5,$E5,TRUE))</f>
        <v/>
      </c>
      <c r="T5">
        <f>IF(NOT(ISNUMBER($D5)),"",_xlfn.NORM.DIST(T$1,$D5,$E5,TRUE)-_xlfn.NORM.DIST(T$2,$D5,$E5,TRUE))</f>
        <v/>
      </c>
      <c r="U5">
        <f>IF(NOT(ISNUMBER($D5)),"",_xlfn.NORM.DIST(U$1,$D5,$E5,TRUE)-_xlfn.NORM.DIST(U$2,$D5,$E5,TRUE))</f>
        <v/>
      </c>
      <c r="V5">
        <f>IF(NOT(ISNUMBER($D5)),"",_xlfn.NORM.DIST(V$1,$D5,$E5,TRUE)-_xlfn.NORM.DIST(V$2,$D5,$E5,TRUE))</f>
        <v/>
      </c>
      <c r="W5">
        <f>IF(NOT(ISNUMBER($D5)),"",_xlfn.NORM.DIST(W$1,$D5,$E5,TRUE)-_xlfn.NORM.DIST(W$2,$D5,$E5,TRUE))</f>
        <v/>
      </c>
      <c r="X5">
        <f>IF(NOT(ISNUMBER($D5)),"",_xlfn.NORM.DIST(X$1,$D5,$E5,TRUE)-_xlfn.NORM.DIST(X$2,$D5,$E5,TRUE))</f>
        <v/>
      </c>
      <c r="Y5">
        <f>IF(NOT(ISNUMBER($D5)),"",_xlfn.NORM.DIST(Y$1,$D5,$E5,TRUE)-_xlfn.NORM.DIST(Y$2,$D5,$E5,TRUE))</f>
        <v/>
      </c>
      <c r="Z5">
        <f>IF(NOT(ISNUMBER($D5)),"",_xlfn.NORM.DIST(Z$1,$D5,$E5,TRUE)-_xlfn.NORM.DIST(Z$2,$D5,$E5,TRUE))</f>
        <v/>
      </c>
      <c r="AA5">
        <f>IF(NOT(ISNUMBER($D5)),"",_xlfn.NORM.DIST(AA$1,$D5,$E5,TRUE)-_xlfn.NORM.DIST(AA$2,$D5,$E5,TRUE))</f>
        <v/>
      </c>
      <c r="AB5">
        <f>IF(NOT(ISNUMBER($D5)),"",_xlfn.NORM.DIST(AB$1,$D5,$E5,TRUE)-_xlfn.NORM.DIST(AB$2,$D5,$E5,TRUE))</f>
        <v/>
      </c>
      <c r="AC5">
        <f>IF(NOT(ISNUMBER($D5)),"",_xlfn.NORM.DIST(AC$1,$D5,$E5,TRUE)-_xlfn.NORM.DIST(AC$2,$D5,$E5,TRUE))</f>
        <v/>
      </c>
      <c r="AD5">
        <f>IF(NOT(ISNUMBER($D5)),"",_xlfn.NORM.DIST(AD$1,$D5,$E5,TRUE)-_xlfn.NORM.DIST(AD$2,$D5,$E5,TRUE))</f>
        <v/>
      </c>
      <c r="AE5">
        <f>IF(NOT(ISNUMBER($D5)),"",_xlfn.NORM.DIST(AE$1,$D5,$E5,TRUE)-_xlfn.NORM.DIST(AE$2,$D5,$E5,TRUE))</f>
        <v/>
      </c>
      <c r="AF5">
        <f>IF(NOT(ISNUMBER($D5)),"",_xlfn.NORM.DIST(AF$1,$D5,$E5,TRUE)-_xlfn.NORM.DIST(AF$2,$D5,$E5,TRUE))</f>
        <v/>
      </c>
      <c r="AG5">
        <f>IF(NOT(ISNUMBER($D5)),"",_xlfn.NORM.DIST(AG$1,$D5,$E5,TRUE)-_xlfn.NORM.DIST(AG$2,$D5,$E5,TRUE))</f>
        <v/>
      </c>
      <c r="AH5">
        <f>IF(NOT(ISNUMBER($D5)),"",_xlfn.NORM.DIST(AH$1,$D5,$E5,TRUE)-_xlfn.NORM.DIST(AH$2,$D5,$E5,TRUE))</f>
        <v/>
      </c>
      <c r="AI5">
        <f>IF(NOT(ISNUMBER($D5)),"",_xlfn.NORM.DIST(AI$1,$D5,$E5,TRUE)-_xlfn.NORM.DIST(AI$2,$D5,$E5,TRUE))</f>
        <v/>
      </c>
      <c r="AJ5">
        <f>IF(NOT(ISNUMBER($D5)),"",_xlfn.NORM.DIST(AJ$1,$D5,$E5,TRUE)-_xlfn.NORM.DIST(AJ$2,$D5,$E5,TRUE))</f>
        <v/>
      </c>
      <c r="AK5">
        <f>IF(NOT(ISNUMBER($D5)),"",_xlfn.NORM.DIST(AK$1,$D5,$E5,TRUE)-_xlfn.NORM.DIST(AK$2,$D5,$E5,TRUE))</f>
        <v/>
      </c>
      <c r="AL5">
        <f>IF(NOT(ISNUMBER($D5)),"",_xlfn.NORM.DIST(AL$1,$D5,$E5,TRUE)-_xlfn.NORM.DIST(AL$2,$D5,$E5,TRUE))</f>
        <v/>
      </c>
      <c r="AM5">
        <f>IF(NOT(ISNUMBER($D5)),"",_xlfn.NORM.DIST(AM$1,$D5,$E5,TRUE)-_xlfn.NORM.DIST(AM$2,$D5,$E5,TRUE))</f>
        <v/>
      </c>
      <c r="AN5">
        <f>IF(NOT(ISNUMBER($D5)),"",_xlfn.NORM.DIST(AN$1,$D5,$E5,TRUE)-_xlfn.NORM.DIST(AN$2,$D5,$E5,TRUE))</f>
        <v/>
      </c>
      <c r="AO5">
        <f>IF(NOT(ISNUMBER($D5)),"",_xlfn.NORM.DIST(AO$1,$D5,$E5,TRUE)-_xlfn.NORM.DIST(AO$2,$D5,$E5,TRUE))</f>
        <v/>
      </c>
      <c r="AP5">
        <f>IF(NOT(ISNUMBER($D5)),"",_xlfn.NORM.DIST(AP$1,$D5,$E5,TRUE)-_xlfn.NORM.DIST(AP$2,$D5,$E5,TRUE))</f>
        <v/>
      </c>
      <c r="AQ5">
        <f>IF(NOT(ISNUMBER($D5)),"",_xlfn.NORM.DIST(AQ$1,$D5,$E5,TRUE)-_xlfn.NORM.DIST(AQ$2,$D5,$E5,TRUE))</f>
        <v/>
      </c>
      <c r="AR5">
        <f>IF(NOT(ISNUMBER($D5)),"",_xlfn.NORM.DIST(AR$1,$D5,$E5,TRUE)-_xlfn.NORM.DIST(AR$2,$D5,$E5,TRUE))</f>
        <v/>
      </c>
      <c r="AS5">
        <f>IF(NOT(ISNUMBER($D5)),"",_xlfn.NORM.DIST(AS$1,$D5,$E5,TRUE)-_xlfn.NORM.DIST(AS$2,$D5,$E5,TRUE))</f>
        <v/>
      </c>
      <c r="AT5">
        <f>IF(NOT(ISNUMBER($D5)),"",_xlfn.NORM.DIST(AT$1,$D5,$E5,TRUE)-_xlfn.NORM.DIST(AT$2,$D5,$E5,TRUE))</f>
        <v/>
      </c>
      <c r="AU5">
        <f>IF(NOT(ISNUMBER($D5)),"",_xlfn.NORM.DIST(AU$1,$D5,$E5,TRUE)-_xlfn.NORM.DIST(AU$2,$D5,$E5,TRUE))</f>
        <v/>
      </c>
      <c r="AV5">
        <f>IF(NOT(ISNUMBER($D5)),"",_xlfn.NORM.DIST(AV$1,$D5,$E5,TRUE)-_xlfn.NORM.DIST(AV$2,$D5,$E5,TRUE))</f>
        <v/>
      </c>
      <c r="AW5">
        <f>IF(NOT(ISNUMBER($D5)),"",_xlfn.NORM.DIST(AW$1,$D5,$E5,TRUE)-_xlfn.NORM.DIST(AW$2,$D5,$E5,TRUE))</f>
        <v/>
      </c>
      <c r="AX5">
        <f>IF(NOT(ISNUMBER($D5)),"",_xlfn.NORM.DIST(AX$1,$D5,$E5,TRUE)-_xlfn.NORM.DIST(AX$2,$D5,$E5,TRUE))</f>
        <v/>
      </c>
      <c r="AY5">
        <f>IF(NOT(ISNUMBER($D5)),"",_xlfn.NORM.DIST(AY$1,$D5,$E5,TRUE)-_xlfn.NORM.DIST(AY$2,$D5,$E5,TRUE))</f>
        <v/>
      </c>
      <c r="AZ5">
        <f>IF(NOT(ISNUMBER($D5)),"",_xlfn.NORM.DIST(AZ$1,$D5,$E5,TRUE)-_xlfn.NORM.DIST(AZ$2,$D5,$E5,TRUE))</f>
        <v/>
      </c>
      <c r="BA5">
        <f>IF(NOT(ISNUMBER($D5)),"",_xlfn.NORM.DIST(BA$1,$D5,$E5,TRUE)-_xlfn.NORM.DIST(BA$2,$D5,$E5,TRUE))</f>
        <v/>
      </c>
      <c r="BB5">
        <f>IF(NOT(ISNUMBER($D5)),"",_xlfn.NORM.DIST(BB$1,$D5,$E5,TRUE)-_xlfn.NORM.DIST(BB$2,$D5,$E5,TRUE))</f>
        <v/>
      </c>
      <c r="BC5">
        <f>IF(NOT(ISNUMBER($D5)),"",_xlfn.NORM.DIST(BC$1,$D5,$E5,TRUE)-_xlfn.NORM.DIST(BC$2,$D5,$E5,TRUE))</f>
        <v/>
      </c>
      <c r="BD5">
        <f>IF(NOT(ISNUMBER($D5)),"",_xlfn.NORM.DIST(BD$1,$D5,$E5,TRUE)-_xlfn.NORM.DIST(BD$2,$D5,$E5,TRUE))</f>
        <v/>
      </c>
      <c r="BE5">
        <f>IF(NOT(ISNUMBER($D5)),"",_xlfn.NORM.DIST(BE$1,$D5,$E5,TRUE)-_xlfn.NORM.DIST(BE$2,$D5,$E5,TRUE))</f>
        <v/>
      </c>
      <c r="BF5">
        <f>IF(NOT(ISNUMBER($D5)),"",_xlfn.NORM.DIST(BF$1,$D5,$E5,TRUE)-_xlfn.NORM.DIST(BF$2,$D5,$E5,TRUE))</f>
        <v/>
      </c>
      <c r="BG5">
        <f>IF(NOT(ISNUMBER($D5)),"",_xlfn.NORM.DIST(BG$1,$D5,$E5,TRUE)-_xlfn.NORM.DIST(BG$2,$D5,$E5,TRUE))</f>
        <v/>
      </c>
      <c r="BH5">
        <f>IF(NOT(ISNUMBER($D5)),"",_xlfn.NORM.DIST(BH$1,$D5,$E5,TRUE)-_xlfn.NORM.DIST(BH$2,$D5,$E5,TRUE))</f>
        <v/>
      </c>
      <c r="BI5">
        <f>IF(NOT(ISNUMBER($D5)),"",_xlfn.NORM.DIST(BI$1,$D5,$E5,TRUE)-_xlfn.NORM.DIST(BI$2,$D5,$E5,TRUE))</f>
        <v/>
      </c>
      <c r="BJ5">
        <f>IF(NOT(ISNUMBER($D5)),"",_xlfn.NORM.DIST(BJ$1,$D5,$E5,TRUE)-_xlfn.NORM.DIST(BJ$2,$D5,$E5,TRUE))</f>
        <v/>
      </c>
      <c r="BK5">
        <f>IF(NOT(ISNUMBER($D5)),"",_xlfn.NORM.DIST(BK$1,$D5,$E5,TRUE)-_xlfn.NORM.DIST(BK$2,$D5,$E5,TRUE))</f>
        <v/>
      </c>
      <c r="BL5">
        <f>IF(NOT(ISNUMBER($D5)),"",_xlfn.NORM.DIST(BL$1,$D5,$E5,TRUE)-_xlfn.NORM.DIST(BL$2,$D5,$E5,TRUE))</f>
        <v/>
      </c>
      <c r="BM5">
        <f>IF(NOT(ISNUMBER($D5)),"",_xlfn.NORM.DIST(BM$1,$D5,$E5,TRUE)-_xlfn.NORM.DIST(BM$2,$D5,$E5,TRUE))</f>
        <v/>
      </c>
      <c r="BN5">
        <f>IF(NOT(ISNUMBER($D5)),"",_xlfn.NORM.DIST(BN$1,$D5,$E5,TRUE)-_xlfn.NORM.DIST(BN$2,$D5,$E5,TRUE))</f>
        <v/>
      </c>
      <c r="BO5">
        <f>IF(NOT(ISNUMBER($D5)),"",_xlfn.NORM.DIST(BO$1,$D5,$E5,TRUE)-_xlfn.NORM.DIST(BO$2,$D5,$E5,TRUE))</f>
        <v/>
      </c>
      <c r="BP5">
        <f>IF(NOT(ISNUMBER($D5)),"",_xlfn.NORM.DIST(BP$1,$D5,$E5,TRUE)-_xlfn.NORM.DIST(BP$2,$D5,$E5,TRUE))</f>
        <v/>
      </c>
      <c r="BQ5">
        <f>IF(NOT(ISNUMBER($D5)),"",_xlfn.NORM.DIST(BQ$1,$D5,$E5,TRUE)-_xlfn.NORM.DIST(BQ$2,$D5,$E5,TRUE))</f>
        <v/>
      </c>
      <c r="BR5">
        <f>IF(NOT(ISNUMBER($D5)),"",_xlfn.NORM.DIST(BR$1,$D5,$E5,TRUE)-_xlfn.NORM.DIST(BR$2,$D5,$E5,TRUE))</f>
        <v/>
      </c>
      <c r="BS5">
        <f>IF(NOT(ISNUMBER($D5)),"",_xlfn.NORM.DIST(BS$1,$D5,$E5,TRUE)-_xlfn.NORM.DIST(BS$2,$D5,$E5,TRUE))</f>
        <v/>
      </c>
      <c r="BT5">
        <f>IF(NOT(ISNUMBER($D5)),"",_xlfn.NORM.DIST(BT$1,$D5,$E5,TRUE)-_xlfn.NORM.DIST(BT$2,$D5,$E5,TRUE))</f>
        <v/>
      </c>
      <c r="BU5">
        <f>IF(NOT(ISNUMBER($D5)),"",_xlfn.NORM.DIST(BU$1,$D5,$E5,TRUE)-_xlfn.NORM.DIST(BU$2,$D5,$E5,TRUE))</f>
        <v/>
      </c>
      <c r="BV5">
        <f>IF(NOT(ISNUMBER($D5)),"",_xlfn.NORM.DIST(BV$1,$D5,$E5,TRUE)-_xlfn.NORM.DIST(BV$2,$D5,$E5,TRUE))</f>
        <v/>
      </c>
      <c r="BW5">
        <f>IF(NOT(ISNUMBER($D5)),"",_xlfn.NORM.DIST(BW$1,$D5,$E5,TRUE)-_xlfn.NORM.DIST(BW$2,$D5,$E5,TRUE))</f>
        <v/>
      </c>
      <c r="BX5">
        <f>IF(NOT(ISNUMBER($D5)),"",_xlfn.NORM.DIST(BX$1,$D5,$E5,TRUE)-_xlfn.NORM.DIST(BX$2,$D5,$E5,TRUE))</f>
        <v/>
      </c>
      <c r="BY5">
        <f>IF(NOT(ISNUMBER($D5)),"",_xlfn.NORM.DIST(BY$1,$D5,$E5,TRUE)-_xlfn.NORM.DIST(BY$2,$D5,$E5,TRUE))</f>
        <v/>
      </c>
      <c r="BZ5">
        <f>IF(NOT(ISNUMBER($D5)),"",_xlfn.NORM.DIST(BZ$1,$D5,$E5,TRUE)-_xlfn.NORM.DIST(BZ$2,$D5,$E5,TRUE))</f>
        <v/>
      </c>
      <c r="CA5">
        <f>IF(NOT(ISNUMBER($D5)),"",_xlfn.NORM.DIST(CA$1,$D5,$E5,TRUE)-_xlfn.NORM.DIST(CA$2,$D5,$E5,TRUE))</f>
        <v/>
      </c>
      <c r="CB5">
        <f>IF(NOT(ISNUMBER($D5)),"",_xlfn.NORM.DIST(CB$1,$D5,$E5,TRUE)-_xlfn.NORM.DIST(CB$2,$D5,$E5,TRUE))</f>
        <v/>
      </c>
      <c r="CC5">
        <f>IF(NOT(ISNUMBER($D5)),"",_xlfn.NORM.DIST(CC$1,$D5,$E5,TRUE)-_xlfn.NORM.DIST(CC$2,$D5,$E5,TRUE))</f>
        <v/>
      </c>
      <c r="CD5">
        <f>IF(NOT(ISNUMBER($D5)),"",_xlfn.NORM.DIST(CD$1,$D5,$E5,TRUE)-_xlfn.NORM.DIST(CD$2,$D5,$E5,TRUE))</f>
        <v/>
      </c>
      <c r="CE5">
        <f>IF(NOT(ISNUMBER($D5)),"",_xlfn.NORM.DIST(CE$1,$D5,$E5,TRUE)-_xlfn.NORM.DIST(CE$2,$D5,$E5,TRUE))</f>
        <v/>
      </c>
      <c r="CF5">
        <f>IF(NOT(ISNUMBER($D5)),"",_xlfn.NORM.DIST(CF$1,$D5,$E5,TRUE)-_xlfn.NORM.DIST(CF$2,$D5,$E5,TRUE))</f>
        <v/>
      </c>
      <c r="CG5">
        <f>IF(NOT(ISNUMBER($D5)),"",_xlfn.NORM.DIST(CG$1,$D5,$E5,TRUE)-_xlfn.NORM.DIST(CG$2,$D5,$E5,TRUE))</f>
        <v/>
      </c>
      <c r="CH5">
        <f>IF(NOT(ISNUMBER($D5)),"",_xlfn.NORM.DIST(CH$1,$D5,$E5,TRUE)-_xlfn.NORM.DIST(CH$2,$D5,$E5,TRUE))</f>
        <v/>
      </c>
      <c r="CI5">
        <f>IF(NOT(ISNUMBER($D5)),"",_xlfn.NORM.DIST(CI$1,$D5,$E5,TRUE)-_xlfn.NORM.DIST(CI$2,$D5,$E5,TRUE))</f>
        <v/>
      </c>
      <c r="CJ5">
        <f>IF(ISNUMBER($D5),SUM(F5:CI5),"")</f>
        <v/>
      </c>
    </row>
    <row r="6">
      <c r="A6">
        <f>economics!A5</f>
        <v/>
      </c>
      <c r="B6">
        <f>economics!B5</f>
        <v/>
      </c>
      <c r="C6">
        <f>economics!D5</f>
        <v/>
      </c>
      <c r="D6">
        <f>IF(ISNUMBER(economics!T5),economics!T5,"na")</f>
        <v/>
      </c>
      <c r="E6">
        <f>IF(ISNUMBER(D6),MAX(0.3*ABS(D6),0.000001),"na")</f>
        <v/>
      </c>
      <c r="F6">
        <f>IF(NOT(ISNUMBER($D6)),"",_xlfn.NORM.DIST(F$1,$D6,$E6,TRUE)-_xlfn.NORM.DIST(F$2,$D6,$E6,TRUE))</f>
        <v/>
      </c>
      <c r="G6">
        <f>IF(NOT(ISNUMBER($D6)),"",_xlfn.NORM.DIST(G$1,$D6,$E6,TRUE)-_xlfn.NORM.DIST(G$2,$D6,$E6,TRUE))</f>
        <v/>
      </c>
      <c r="H6">
        <f>IF(NOT(ISNUMBER($D6)),"",_xlfn.NORM.DIST(H$1,$D6,$E6,TRUE)-_xlfn.NORM.DIST(H$2,$D6,$E6,TRUE))</f>
        <v/>
      </c>
      <c r="I6">
        <f>IF(NOT(ISNUMBER($D6)),"",_xlfn.NORM.DIST(I$1,$D6,$E6,TRUE)-_xlfn.NORM.DIST(I$2,$D6,$E6,TRUE))</f>
        <v/>
      </c>
      <c r="J6">
        <f>IF(NOT(ISNUMBER($D6)),"",_xlfn.NORM.DIST(J$1,$D6,$E6,TRUE)-_xlfn.NORM.DIST(J$2,$D6,$E6,TRUE))</f>
        <v/>
      </c>
      <c r="K6">
        <f>IF(NOT(ISNUMBER($D6)),"",_xlfn.NORM.DIST(K$1,$D6,$E6,TRUE)-_xlfn.NORM.DIST(K$2,$D6,$E6,TRUE))</f>
        <v/>
      </c>
      <c r="L6">
        <f>IF(NOT(ISNUMBER($D6)),"",_xlfn.NORM.DIST(L$1,$D6,$E6,TRUE)-_xlfn.NORM.DIST(L$2,$D6,$E6,TRUE))</f>
        <v/>
      </c>
      <c r="M6">
        <f>IF(NOT(ISNUMBER($D6)),"",_xlfn.NORM.DIST(M$1,$D6,$E6,TRUE)-_xlfn.NORM.DIST(M$2,$D6,$E6,TRUE))</f>
        <v/>
      </c>
      <c r="N6">
        <f>IF(NOT(ISNUMBER($D6)),"",_xlfn.NORM.DIST(N$1,$D6,$E6,TRUE)-_xlfn.NORM.DIST(N$2,$D6,$E6,TRUE))</f>
        <v/>
      </c>
      <c r="O6">
        <f>IF(NOT(ISNUMBER($D6)),"",_xlfn.NORM.DIST(O$1,$D6,$E6,TRUE)-_xlfn.NORM.DIST(O$2,$D6,$E6,TRUE))</f>
        <v/>
      </c>
      <c r="P6">
        <f>IF(NOT(ISNUMBER($D6)),"",_xlfn.NORM.DIST(P$1,$D6,$E6,TRUE)-_xlfn.NORM.DIST(P$2,$D6,$E6,TRUE))</f>
        <v/>
      </c>
      <c r="Q6">
        <f>IF(NOT(ISNUMBER($D6)),"",_xlfn.NORM.DIST(Q$1,$D6,$E6,TRUE)-_xlfn.NORM.DIST(Q$2,$D6,$E6,TRUE))</f>
        <v/>
      </c>
      <c r="R6">
        <f>IF(NOT(ISNUMBER($D6)),"",_xlfn.NORM.DIST(R$1,$D6,$E6,TRUE)-_xlfn.NORM.DIST(R$2,$D6,$E6,TRUE))</f>
        <v/>
      </c>
      <c r="S6">
        <f>IF(NOT(ISNUMBER($D6)),"",_xlfn.NORM.DIST(S$1,$D6,$E6,TRUE)-_xlfn.NORM.DIST(S$2,$D6,$E6,TRUE))</f>
        <v/>
      </c>
      <c r="T6">
        <f>IF(NOT(ISNUMBER($D6)),"",_xlfn.NORM.DIST(T$1,$D6,$E6,TRUE)-_xlfn.NORM.DIST(T$2,$D6,$E6,TRUE))</f>
        <v/>
      </c>
      <c r="U6">
        <f>IF(NOT(ISNUMBER($D6)),"",_xlfn.NORM.DIST(U$1,$D6,$E6,TRUE)-_xlfn.NORM.DIST(U$2,$D6,$E6,TRUE))</f>
        <v/>
      </c>
      <c r="V6">
        <f>IF(NOT(ISNUMBER($D6)),"",_xlfn.NORM.DIST(V$1,$D6,$E6,TRUE)-_xlfn.NORM.DIST(V$2,$D6,$E6,TRUE))</f>
        <v/>
      </c>
      <c r="W6">
        <f>IF(NOT(ISNUMBER($D6)),"",_xlfn.NORM.DIST(W$1,$D6,$E6,TRUE)-_xlfn.NORM.DIST(W$2,$D6,$E6,TRUE))</f>
        <v/>
      </c>
      <c r="X6">
        <f>IF(NOT(ISNUMBER($D6)),"",_xlfn.NORM.DIST(X$1,$D6,$E6,TRUE)-_xlfn.NORM.DIST(X$2,$D6,$E6,TRUE))</f>
        <v/>
      </c>
      <c r="Y6">
        <f>IF(NOT(ISNUMBER($D6)),"",_xlfn.NORM.DIST(Y$1,$D6,$E6,TRUE)-_xlfn.NORM.DIST(Y$2,$D6,$E6,TRUE))</f>
        <v/>
      </c>
      <c r="Z6">
        <f>IF(NOT(ISNUMBER($D6)),"",_xlfn.NORM.DIST(Z$1,$D6,$E6,TRUE)-_xlfn.NORM.DIST(Z$2,$D6,$E6,TRUE))</f>
        <v/>
      </c>
      <c r="AA6">
        <f>IF(NOT(ISNUMBER($D6)),"",_xlfn.NORM.DIST(AA$1,$D6,$E6,TRUE)-_xlfn.NORM.DIST(AA$2,$D6,$E6,TRUE))</f>
        <v/>
      </c>
      <c r="AB6">
        <f>IF(NOT(ISNUMBER($D6)),"",_xlfn.NORM.DIST(AB$1,$D6,$E6,TRUE)-_xlfn.NORM.DIST(AB$2,$D6,$E6,TRUE))</f>
        <v/>
      </c>
      <c r="AC6">
        <f>IF(NOT(ISNUMBER($D6)),"",_xlfn.NORM.DIST(AC$1,$D6,$E6,TRUE)-_xlfn.NORM.DIST(AC$2,$D6,$E6,TRUE))</f>
        <v/>
      </c>
      <c r="AD6">
        <f>IF(NOT(ISNUMBER($D6)),"",_xlfn.NORM.DIST(AD$1,$D6,$E6,TRUE)-_xlfn.NORM.DIST(AD$2,$D6,$E6,TRUE))</f>
        <v/>
      </c>
      <c r="AE6">
        <f>IF(NOT(ISNUMBER($D6)),"",_xlfn.NORM.DIST(AE$1,$D6,$E6,TRUE)-_xlfn.NORM.DIST(AE$2,$D6,$E6,TRUE))</f>
        <v/>
      </c>
      <c r="AF6">
        <f>IF(NOT(ISNUMBER($D6)),"",_xlfn.NORM.DIST(AF$1,$D6,$E6,TRUE)-_xlfn.NORM.DIST(AF$2,$D6,$E6,TRUE))</f>
        <v/>
      </c>
      <c r="AG6">
        <f>IF(NOT(ISNUMBER($D6)),"",_xlfn.NORM.DIST(AG$1,$D6,$E6,TRUE)-_xlfn.NORM.DIST(AG$2,$D6,$E6,TRUE))</f>
        <v/>
      </c>
      <c r="AH6">
        <f>IF(NOT(ISNUMBER($D6)),"",_xlfn.NORM.DIST(AH$1,$D6,$E6,TRUE)-_xlfn.NORM.DIST(AH$2,$D6,$E6,TRUE))</f>
        <v/>
      </c>
      <c r="AI6">
        <f>IF(NOT(ISNUMBER($D6)),"",_xlfn.NORM.DIST(AI$1,$D6,$E6,TRUE)-_xlfn.NORM.DIST(AI$2,$D6,$E6,TRUE))</f>
        <v/>
      </c>
      <c r="AJ6">
        <f>IF(NOT(ISNUMBER($D6)),"",_xlfn.NORM.DIST(AJ$1,$D6,$E6,TRUE)-_xlfn.NORM.DIST(AJ$2,$D6,$E6,TRUE))</f>
        <v/>
      </c>
      <c r="AK6">
        <f>IF(NOT(ISNUMBER($D6)),"",_xlfn.NORM.DIST(AK$1,$D6,$E6,TRUE)-_xlfn.NORM.DIST(AK$2,$D6,$E6,TRUE))</f>
        <v/>
      </c>
      <c r="AL6">
        <f>IF(NOT(ISNUMBER($D6)),"",_xlfn.NORM.DIST(AL$1,$D6,$E6,TRUE)-_xlfn.NORM.DIST(AL$2,$D6,$E6,TRUE))</f>
        <v/>
      </c>
      <c r="AM6">
        <f>IF(NOT(ISNUMBER($D6)),"",_xlfn.NORM.DIST(AM$1,$D6,$E6,TRUE)-_xlfn.NORM.DIST(AM$2,$D6,$E6,TRUE))</f>
        <v/>
      </c>
      <c r="AN6">
        <f>IF(NOT(ISNUMBER($D6)),"",_xlfn.NORM.DIST(AN$1,$D6,$E6,TRUE)-_xlfn.NORM.DIST(AN$2,$D6,$E6,TRUE))</f>
        <v/>
      </c>
      <c r="AO6">
        <f>IF(NOT(ISNUMBER($D6)),"",_xlfn.NORM.DIST(AO$1,$D6,$E6,TRUE)-_xlfn.NORM.DIST(AO$2,$D6,$E6,TRUE))</f>
        <v/>
      </c>
      <c r="AP6">
        <f>IF(NOT(ISNUMBER($D6)),"",_xlfn.NORM.DIST(AP$1,$D6,$E6,TRUE)-_xlfn.NORM.DIST(AP$2,$D6,$E6,TRUE))</f>
        <v/>
      </c>
      <c r="AQ6">
        <f>IF(NOT(ISNUMBER($D6)),"",_xlfn.NORM.DIST(AQ$1,$D6,$E6,TRUE)-_xlfn.NORM.DIST(AQ$2,$D6,$E6,TRUE))</f>
        <v/>
      </c>
      <c r="AR6">
        <f>IF(NOT(ISNUMBER($D6)),"",_xlfn.NORM.DIST(AR$1,$D6,$E6,TRUE)-_xlfn.NORM.DIST(AR$2,$D6,$E6,TRUE))</f>
        <v/>
      </c>
      <c r="AS6">
        <f>IF(NOT(ISNUMBER($D6)),"",_xlfn.NORM.DIST(AS$1,$D6,$E6,TRUE)-_xlfn.NORM.DIST(AS$2,$D6,$E6,TRUE))</f>
        <v/>
      </c>
      <c r="AT6">
        <f>IF(NOT(ISNUMBER($D6)),"",_xlfn.NORM.DIST(AT$1,$D6,$E6,TRUE)-_xlfn.NORM.DIST(AT$2,$D6,$E6,TRUE))</f>
        <v/>
      </c>
      <c r="AU6">
        <f>IF(NOT(ISNUMBER($D6)),"",_xlfn.NORM.DIST(AU$1,$D6,$E6,TRUE)-_xlfn.NORM.DIST(AU$2,$D6,$E6,TRUE))</f>
        <v/>
      </c>
      <c r="AV6">
        <f>IF(NOT(ISNUMBER($D6)),"",_xlfn.NORM.DIST(AV$1,$D6,$E6,TRUE)-_xlfn.NORM.DIST(AV$2,$D6,$E6,TRUE))</f>
        <v/>
      </c>
      <c r="AW6">
        <f>IF(NOT(ISNUMBER($D6)),"",_xlfn.NORM.DIST(AW$1,$D6,$E6,TRUE)-_xlfn.NORM.DIST(AW$2,$D6,$E6,TRUE))</f>
        <v/>
      </c>
      <c r="AX6">
        <f>IF(NOT(ISNUMBER($D6)),"",_xlfn.NORM.DIST(AX$1,$D6,$E6,TRUE)-_xlfn.NORM.DIST(AX$2,$D6,$E6,TRUE))</f>
        <v/>
      </c>
      <c r="AY6">
        <f>IF(NOT(ISNUMBER($D6)),"",_xlfn.NORM.DIST(AY$1,$D6,$E6,TRUE)-_xlfn.NORM.DIST(AY$2,$D6,$E6,TRUE))</f>
        <v/>
      </c>
      <c r="AZ6">
        <f>IF(NOT(ISNUMBER($D6)),"",_xlfn.NORM.DIST(AZ$1,$D6,$E6,TRUE)-_xlfn.NORM.DIST(AZ$2,$D6,$E6,TRUE))</f>
        <v/>
      </c>
      <c r="BA6">
        <f>IF(NOT(ISNUMBER($D6)),"",_xlfn.NORM.DIST(BA$1,$D6,$E6,TRUE)-_xlfn.NORM.DIST(BA$2,$D6,$E6,TRUE))</f>
        <v/>
      </c>
      <c r="BB6">
        <f>IF(NOT(ISNUMBER($D6)),"",_xlfn.NORM.DIST(BB$1,$D6,$E6,TRUE)-_xlfn.NORM.DIST(BB$2,$D6,$E6,TRUE))</f>
        <v/>
      </c>
      <c r="BC6">
        <f>IF(NOT(ISNUMBER($D6)),"",_xlfn.NORM.DIST(BC$1,$D6,$E6,TRUE)-_xlfn.NORM.DIST(BC$2,$D6,$E6,TRUE))</f>
        <v/>
      </c>
      <c r="BD6">
        <f>IF(NOT(ISNUMBER($D6)),"",_xlfn.NORM.DIST(BD$1,$D6,$E6,TRUE)-_xlfn.NORM.DIST(BD$2,$D6,$E6,TRUE))</f>
        <v/>
      </c>
      <c r="BE6">
        <f>IF(NOT(ISNUMBER($D6)),"",_xlfn.NORM.DIST(BE$1,$D6,$E6,TRUE)-_xlfn.NORM.DIST(BE$2,$D6,$E6,TRUE))</f>
        <v/>
      </c>
      <c r="BF6">
        <f>IF(NOT(ISNUMBER($D6)),"",_xlfn.NORM.DIST(BF$1,$D6,$E6,TRUE)-_xlfn.NORM.DIST(BF$2,$D6,$E6,TRUE))</f>
        <v/>
      </c>
      <c r="BG6">
        <f>IF(NOT(ISNUMBER($D6)),"",_xlfn.NORM.DIST(BG$1,$D6,$E6,TRUE)-_xlfn.NORM.DIST(BG$2,$D6,$E6,TRUE))</f>
        <v/>
      </c>
      <c r="BH6">
        <f>IF(NOT(ISNUMBER($D6)),"",_xlfn.NORM.DIST(BH$1,$D6,$E6,TRUE)-_xlfn.NORM.DIST(BH$2,$D6,$E6,TRUE))</f>
        <v/>
      </c>
      <c r="BI6">
        <f>IF(NOT(ISNUMBER($D6)),"",_xlfn.NORM.DIST(BI$1,$D6,$E6,TRUE)-_xlfn.NORM.DIST(BI$2,$D6,$E6,TRUE))</f>
        <v/>
      </c>
      <c r="BJ6">
        <f>IF(NOT(ISNUMBER($D6)),"",_xlfn.NORM.DIST(BJ$1,$D6,$E6,TRUE)-_xlfn.NORM.DIST(BJ$2,$D6,$E6,TRUE))</f>
        <v/>
      </c>
      <c r="BK6">
        <f>IF(NOT(ISNUMBER($D6)),"",_xlfn.NORM.DIST(BK$1,$D6,$E6,TRUE)-_xlfn.NORM.DIST(BK$2,$D6,$E6,TRUE))</f>
        <v/>
      </c>
      <c r="BL6">
        <f>IF(NOT(ISNUMBER($D6)),"",_xlfn.NORM.DIST(BL$1,$D6,$E6,TRUE)-_xlfn.NORM.DIST(BL$2,$D6,$E6,TRUE))</f>
        <v/>
      </c>
      <c r="BM6">
        <f>IF(NOT(ISNUMBER($D6)),"",_xlfn.NORM.DIST(BM$1,$D6,$E6,TRUE)-_xlfn.NORM.DIST(BM$2,$D6,$E6,TRUE))</f>
        <v/>
      </c>
      <c r="BN6">
        <f>IF(NOT(ISNUMBER($D6)),"",_xlfn.NORM.DIST(BN$1,$D6,$E6,TRUE)-_xlfn.NORM.DIST(BN$2,$D6,$E6,TRUE))</f>
        <v/>
      </c>
      <c r="BO6">
        <f>IF(NOT(ISNUMBER($D6)),"",_xlfn.NORM.DIST(BO$1,$D6,$E6,TRUE)-_xlfn.NORM.DIST(BO$2,$D6,$E6,TRUE))</f>
        <v/>
      </c>
      <c r="BP6">
        <f>IF(NOT(ISNUMBER($D6)),"",_xlfn.NORM.DIST(BP$1,$D6,$E6,TRUE)-_xlfn.NORM.DIST(BP$2,$D6,$E6,TRUE))</f>
        <v/>
      </c>
      <c r="BQ6">
        <f>IF(NOT(ISNUMBER($D6)),"",_xlfn.NORM.DIST(BQ$1,$D6,$E6,TRUE)-_xlfn.NORM.DIST(BQ$2,$D6,$E6,TRUE))</f>
        <v/>
      </c>
      <c r="BR6">
        <f>IF(NOT(ISNUMBER($D6)),"",_xlfn.NORM.DIST(BR$1,$D6,$E6,TRUE)-_xlfn.NORM.DIST(BR$2,$D6,$E6,TRUE))</f>
        <v/>
      </c>
      <c r="BS6">
        <f>IF(NOT(ISNUMBER($D6)),"",_xlfn.NORM.DIST(BS$1,$D6,$E6,TRUE)-_xlfn.NORM.DIST(BS$2,$D6,$E6,TRUE))</f>
        <v/>
      </c>
      <c r="BT6">
        <f>IF(NOT(ISNUMBER($D6)),"",_xlfn.NORM.DIST(BT$1,$D6,$E6,TRUE)-_xlfn.NORM.DIST(BT$2,$D6,$E6,TRUE))</f>
        <v/>
      </c>
      <c r="BU6">
        <f>IF(NOT(ISNUMBER($D6)),"",_xlfn.NORM.DIST(BU$1,$D6,$E6,TRUE)-_xlfn.NORM.DIST(BU$2,$D6,$E6,TRUE))</f>
        <v/>
      </c>
      <c r="BV6">
        <f>IF(NOT(ISNUMBER($D6)),"",_xlfn.NORM.DIST(BV$1,$D6,$E6,TRUE)-_xlfn.NORM.DIST(BV$2,$D6,$E6,TRUE))</f>
        <v/>
      </c>
      <c r="BW6">
        <f>IF(NOT(ISNUMBER($D6)),"",_xlfn.NORM.DIST(BW$1,$D6,$E6,TRUE)-_xlfn.NORM.DIST(BW$2,$D6,$E6,TRUE))</f>
        <v/>
      </c>
      <c r="BX6">
        <f>IF(NOT(ISNUMBER($D6)),"",_xlfn.NORM.DIST(BX$1,$D6,$E6,TRUE)-_xlfn.NORM.DIST(BX$2,$D6,$E6,TRUE))</f>
        <v/>
      </c>
      <c r="BY6">
        <f>IF(NOT(ISNUMBER($D6)),"",_xlfn.NORM.DIST(BY$1,$D6,$E6,TRUE)-_xlfn.NORM.DIST(BY$2,$D6,$E6,TRUE))</f>
        <v/>
      </c>
      <c r="BZ6">
        <f>IF(NOT(ISNUMBER($D6)),"",_xlfn.NORM.DIST(BZ$1,$D6,$E6,TRUE)-_xlfn.NORM.DIST(BZ$2,$D6,$E6,TRUE))</f>
        <v/>
      </c>
      <c r="CA6">
        <f>IF(NOT(ISNUMBER($D6)),"",_xlfn.NORM.DIST(CA$1,$D6,$E6,TRUE)-_xlfn.NORM.DIST(CA$2,$D6,$E6,TRUE))</f>
        <v/>
      </c>
      <c r="CB6">
        <f>IF(NOT(ISNUMBER($D6)),"",_xlfn.NORM.DIST(CB$1,$D6,$E6,TRUE)-_xlfn.NORM.DIST(CB$2,$D6,$E6,TRUE))</f>
        <v/>
      </c>
      <c r="CC6">
        <f>IF(NOT(ISNUMBER($D6)),"",_xlfn.NORM.DIST(CC$1,$D6,$E6,TRUE)-_xlfn.NORM.DIST(CC$2,$D6,$E6,TRUE))</f>
        <v/>
      </c>
      <c r="CD6">
        <f>IF(NOT(ISNUMBER($D6)),"",_xlfn.NORM.DIST(CD$1,$D6,$E6,TRUE)-_xlfn.NORM.DIST(CD$2,$D6,$E6,TRUE))</f>
        <v/>
      </c>
      <c r="CE6">
        <f>IF(NOT(ISNUMBER($D6)),"",_xlfn.NORM.DIST(CE$1,$D6,$E6,TRUE)-_xlfn.NORM.DIST(CE$2,$D6,$E6,TRUE))</f>
        <v/>
      </c>
      <c r="CF6">
        <f>IF(NOT(ISNUMBER($D6)),"",_xlfn.NORM.DIST(CF$1,$D6,$E6,TRUE)-_xlfn.NORM.DIST(CF$2,$D6,$E6,TRUE))</f>
        <v/>
      </c>
      <c r="CG6">
        <f>IF(NOT(ISNUMBER($D6)),"",_xlfn.NORM.DIST(CG$1,$D6,$E6,TRUE)-_xlfn.NORM.DIST(CG$2,$D6,$E6,TRUE))</f>
        <v/>
      </c>
      <c r="CH6">
        <f>IF(NOT(ISNUMBER($D6)),"",_xlfn.NORM.DIST(CH$1,$D6,$E6,TRUE)-_xlfn.NORM.DIST(CH$2,$D6,$E6,TRUE))</f>
        <v/>
      </c>
      <c r="CI6">
        <f>IF(NOT(ISNUMBER($D6)),"",_xlfn.NORM.DIST(CI$1,$D6,$E6,TRUE)-_xlfn.NORM.DIST(CI$2,$D6,$E6,TRUE))</f>
        <v/>
      </c>
      <c r="CJ6">
        <f>IF(ISNUMBER($D6),SUM(F6:CI6),"")</f>
        <v/>
      </c>
    </row>
    <row r="7">
      <c r="A7">
        <f>economics!A6</f>
        <v/>
      </c>
      <c r="B7">
        <f>economics!B6</f>
        <v/>
      </c>
      <c r="C7">
        <f>economics!D6</f>
        <v/>
      </c>
      <c r="D7">
        <f>IF(ISNUMBER(economics!T6),economics!T6,"na")</f>
        <v/>
      </c>
      <c r="E7">
        <f>IF(ISNUMBER(D7),MAX(0.3*ABS(D7),0.000001),"na")</f>
        <v/>
      </c>
      <c r="F7">
        <f>IF(NOT(ISNUMBER($D7)),"",_xlfn.NORM.DIST(F$1,$D7,$E7,TRUE)-_xlfn.NORM.DIST(F$2,$D7,$E7,TRUE))</f>
        <v/>
      </c>
      <c r="G7">
        <f>IF(NOT(ISNUMBER($D7)),"",_xlfn.NORM.DIST(G$1,$D7,$E7,TRUE)-_xlfn.NORM.DIST(G$2,$D7,$E7,TRUE))</f>
        <v/>
      </c>
      <c r="H7">
        <f>IF(NOT(ISNUMBER($D7)),"",_xlfn.NORM.DIST(H$1,$D7,$E7,TRUE)-_xlfn.NORM.DIST(H$2,$D7,$E7,TRUE))</f>
        <v/>
      </c>
      <c r="I7">
        <f>IF(NOT(ISNUMBER($D7)),"",_xlfn.NORM.DIST(I$1,$D7,$E7,TRUE)-_xlfn.NORM.DIST(I$2,$D7,$E7,TRUE))</f>
        <v/>
      </c>
      <c r="J7">
        <f>IF(NOT(ISNUMBER($D7)),"",_xlfn.NORM.DIST(J$1,$D7,$E7,TRUE)-_xlfn.NORM.DIST(J$2,$D7,$E7,TRUE))</f>
        <v/>
      </c>
      <c r="K7">
        <f>IF(NOT(ISNUMBER($D7)),"",_xlfn.NORM.DIST(K$1,$D7,$E7,TRUE)-_xlfn.NORM.DIST(K$2,$D7,$E7,TRUE))</f>
        <v/>
      </c>
      <c r="L7">
        <f>IF(NOT(ISNUMBER($D7)),"",_xlfn.NORM.DIST(L$1,$D7,$E7,TRUE)-_xlfn.NORM.DIST(L$2,$D7,$E7,TRUE))</f>
        <v/>
      </c>
      <c r="M7">
        <f>IF(NOT(ISNUMBER($D7)),"",_xlfn.NORM.DIST(M$1,$D7,$E7,TRUE)-_xlfn.NORM.DIST(M$2,$D7,$E7,TRUE))</f>
        <v/>
      </c>
      <c r="N7">
        <f>IF(NOT(ISNUMBER($D7)),"",_xlfn.NORM.DIST(N$1,$D7,$E7,TRUE)-_xlfn.NORM.DIST(N$2,$D7,$E7,TRUE))</f>
        <v/>
      </c>
      <c r="O7">
        <f>IF(NOT(ISNUMBER($D7)),"",_xlfn.NORM.DIST(O$1,$D7,$E7,TRUE)-_xlfn.NORM.DIST(O$2,$D7,$E7,TRUE))</f>
        <v/>
      </c>
      <c r="P7">
        <f>IF(NOT(ISNUMBER($D7)),"",_xlfn.NORM.DIST(P$1,$D7,$E7,TRUE)-_xlfn.NORM.DIST(P$2,$D7,$E7,TRUE))</f>
        <v/>
      </c>
      <c r="Q7">
        <f>IF(NOT(ISNUMBER($D7)),"",_xlfn.NORM.DIST(Q$1,$D7,$E7,TRUE)-_xlfn.NORM.DIST(Q$2,$D7,$E7,TRUE))</f>
        <v/>
      </c>
      <c r="R7">
        <f>IF(NOT(ISNUMBER($D7)),"",_xlfn.NORM.DIST(R$1,$D7,$E7,TRUE)-_xlfn.NORM.DIST(R$2,$D7,$E7,TRUE))</f>
        <v/>
      </c>
      <c r="S7">
        <f>IF(NOT(ISNUMBER($D7)),"",_xlfn.NORM.DIST(S$1,$D7,$E7,TRUE)-_xlfn.NORM.DIST(S$2,$D7,$E7,TRUE))</f>
        <v/>
      </c>
      <c r="T7">
        <f>IF(NOT(ISNUMBER($D7)),"",_xlfn.NORM.DIST(T$1,$D7,$E7,TRUE)-_xlfn.NORM.DIST(T$2,$D7,$E7,TRUE))</f>
        <v/>
      </c>
      <c r="U7">
        <f>IF(NOT(ISNUMBER($D7)),"",_xlfn.NORM.DIST(U$1,$D7,$E7,TRUE)-_xlfn.NORM.DIST(U$2,$D7,$E7,TRUE))</f>
        <v/>
      </c>
      <c r="V7">
        <f>IF(NOT(ISNUMBER($D7)),"",_xlfn.NORM.DIST(V$1,$D7,$E7,TRUE)-_xlfn.NORM.DIST(V$2,$D7,$E7,TRUE))</f>
        <v/>
      </c>
      <c r="W7">
        <f>IF(NOT(ISNUMBER($D7)),"",_xlfn.NORM.DIST(W$1,$D7,$E7,TRUE)-_xlfn.NORM.DIST(W$2,$D7,$E7,TRUE))</f>
        <v/>
      </c>
      <c r="X7">
        <f>IF(NOT(ISNUMBER($D7)),"",_xlfn.NORM.DIST(X$1,$D7,$E7,TRUE)-_xlfn.NORM.DIST(X$2,$D7,$E7,TRUE))</f>
        <v/>
      </c>
      <c r="Y7">
        <f>IF(NOT(ISNUMBER($D7)),"",_xlfn.NORM.DIST(Y$1,$D7,$E7,TRUE)-_xlfn.NORM.DIST(Y$2,$D7,$E7,TRUE))</f>
        <v/>
      </c>
      <c r="Z7">
        <f>IF(NOT(ISNUMBER($D7)),"",_xlfn.NORM.DIST(Z$1,$D7,$E7,TRUE)-_xlfn.NORM.DIST(Z$2,$D7,$E7,TRUE))</f>
        <v/>
      </c>
      <c r="AA7">
        <f>IF(NOT(ISNUMBER($D7)),"",_xlfn.NORM.DIST(AA$1,$D7,$E7,TRUE)-_xlfn.NORM.DIST(AA$2,$D7,$E7,TRUE))</f>
        <v/>
      </c>
      <c r="AB7">
        <f>IF(NOT(ISNUMBER($D7)),"",_xlfn.NORM.DIST(AB$1,$D7,$E7,TRUE)-_xlfn.NORM.DIST(AB$2,$D7,$E7,TRUE))</f>
        <v/>
      </c>
      <c r="AC7">
        <f>IF(NOT(ISNUMBER($D7)),"",_xlfn.NORM.DIST(AC$1,$D7,$E7,TRUE)-_xlfn.NORM.DIST(AC$2,$D7,$E7,TRUE))</f>
        <v/>
      </c>
      <c r="AD7">
        <f>IF(NOT(ISNUMBER($D7)),"",_xlfn.NORM.DIST(AD$1,$D7,$E7,TRUE)-_xlfn.NORM.DIST(AD$2,$D7,$E7,TRUE))</f>
        <v/>
      </c>
      <c r="AE7">
        <f>IF(NOT(ISNUMBER($D7)),"",_xlfn.NORM.DIST(AE$1,$D7,$E7,TRUE)-_xlfn.NORM.DIST(AE$2,$D7,$E7,TRUE))</f>
        <v/>
      </c>
      <c r="AF7">
        <f>IF(NOT(ISNUMBER($D7)),"",_xlfn.NORM.DIST(AF$1,$D7,$E7,TRUE)-_xlfn.NORM.DIST(AF$2,$D7,$E7,TRUE))</f>
        <v/>
      </c>
      <c r="AG7">
        <f>IF(NOT(ISNUMBER($D7)),"",_xlfn.NORM.DIST(AG$1,$D7,$E7,TRUE)-_xlfn.NORM.DIST(AG$2,$D7,$E7,TRUE))</f>
        <v/>
      </c>
      <c r="AH7">
        <f>IF(NOT(ISNUMBER($D7)),"",_xlfn.NORM.DIST(AH$1,$D7,$E7,TRUE)-_xlfn.NORM.DIST(AH$2,$D7,$E7,TRUE))</f>
        <v/>
      </c>
      <c r="AI7">
        <f>IF(NOT(ISNUMBER($D7)),"",_xlfn.NORM.DIST(AI$1,$D7,$E7,TRUE)-_xlfn.NORM.DIST(AI$2,$D7,$E7,TRUE))</f>
        <v/>
      </c>
      <c r="AJ7">
        <f>IF(NOT(ISNUMBER($D7)),"",_xlfn.NORM.DIST(AJ$1,$D7,$E7,TRUE)-_xlfn.NORM.DIST(AJ$2,$D7,$E7,TRUE))</f>
        <v/>
      </c>
      <c r="AK7">
        <f>IF(NOT(ISNUMBER($D7)),"",_xlfn.NORM.DIST(AK$1,$D7,$E7,TRUE)-_xlfn.NORM.DIST(AK$2,$D7,$E7,TRUE))</f>
        <v/>
      </c>
      <c r="AL7">
        <f>IF(NOT(ISNUMBER($D7)),"",_xlfn.NORM.DIST(AL$1,$D7,$E7,TRUE)-_xlfn.NORM.DIST(AL$2,$D7,$E7,TRUE))</f>
        <v/>
      </c>
      <c r="AM7">
        <f>IF(NOT(ISNUMBER($D7)),"",_xlfn.NORM.DIST(AM$1,$D7,$E7,TRUE)-_xlfn.NORM.DIST(AM$2,$D7,$E7,TRUE))</f>
        <v/>
      </c>
      <c r="AN7">
        <f>IF(NOT(ISNUMBER($D7)),"",_xlfn.NORM.DIST(AN$1,$D7,$E7,TRUE)-_xlfn.NORM.DIST(AN$2,$D7,$E7,TRUE))</f>
        <v/>
      </c>
      <c r="AO7">
        <f>IF(NOT(ISNUMBER($D7)),"",_xlfn.NORM.DIST(AO$1,$D7,$E7,TRUE)-_xlfn.NORM.DIST(AO$2,$D7,$E7,TRUE))</f>
        <v/>
      </c>
      <c r="AP7">
        <f>IF(NOT(ISNUMBER($D7)),"",_xlfn.NORM.DIST(AP$1,$D7,$E7,TRUE)-_xlfn.NORM.DIST(AP$2,$D7,$E7,TRUE))</f>
        <v/>
      </c>
      <c r="AQ7">
        <f>IF(NOT(ISNUMBER($D7)),"",_xlfn.NORM.DIST(AQ$1,$D7,$E7,TRUE)-_xlfn.NORM.DIST(AQ$2,$D7,$E7,TRUE))</f>
        <v/>
      </c>
      <c r="AR7">
        <f>IF(NOT(ISNUMBER($D7)),"",_xlfn.NORM.DIST(AR$1,$D7,$E7,TRUE)-_xlfn.NORM.DIST(AR$2,$D7,$E7,TRUE))</f>
        <v/>
      </c>
      <c r="AS7">
        <f>IF(NOT(ISNUMBER($D7)),"",_xlfn.NORM.DIST(AS$1,$D7,$E7,TRUE)-_xlfn.NORM.DIST(AS$2,$D7,$E7,TRUE))</f>
        <v/>
      </c>
      <c r="AT7">
        <f>IF(NOT(ISNUMBER($D7)),"",_xlfn.NORM.DIST(AT$1,$D7,$E7,TRUE)-_xlfn.NORM.DIST(AT$2,$D7,$E7,TRUE))</f>
        <v/>
      </c>
      <c r="AU7">
        <f>IF(NOT(ISNUMBER($D7)),"",_xlfn.NORM.DIST(AU$1,$D7,$E7,TRUE)-_xlfn.NORM.DIST(AU$2,$D7,$E7,TRUE))</f>
        <v/>
      </c>
      <c r="AV7">
        <f>IF(NOT(ISNUMBER($D7)),"",_xlfn.NORM.DIST(AV$1,$D7,$E7,TRUE)-_xlfn.NORM.DIST(AV$2,$D7,$E7,TRUE))</f>
        <v/>
      </c>
      <c r="AW7">
        <f>IF(NOT(ISNUMBER($D7)),"",_xlfn.NORM.DIST(AW$1,$D7,$E7,TRUE)-_xlfn.NORM.DIST(AW$2,$D7,$E7,TRUE))</f>
        <v/>
      </c>
      <c r="AX7">
        <f>IF(NOT(ISNUMBER($D7)),"",_xlfn.NORM.DIST(AX$1,$D7,$E7,TRUE)-_xlfn.NORM.DIST(AX$2,$D7,$E7,TRUE))</f>
        <v/>
      </c>
      <c r="AY7">
        <f>IF(NOT(ISNUMBER($D7)),"",_xlfn.NORM.DIST(AY$1,$D7,$E7,TRUE)-_xlfn.NORM.DIST(AY$2,$D7,$E7,TRUE))</f>
        <v/>
      </c>
      <c r="AZ7">
        <f>IF(NOT(ISNUMBER($D7)),"",_xlfn.NORM.DIST(AZ$1,$D7,$E7,TRUE)-_xlfn.NORM.DIST(AZ$2,$D7,$E7,TRUE))</f>
        <v/>
      </c>
      <c r="BA7">
        <f>IF(NOT(ISNUMBER($D7)),"",_xlfn.NORM.DIST(BA$1,$D7,$E7,TRUE)-_xlfn.NORM.DIST(BA$2,$D7,$E7,TRUE))</f>
        <v/>
      </c>
      <c r="BB7">
        <f>IF(NOT(ISNUMBER($D7)),"",_xlfn.NORM.DIST(BB$1,$D7,$E7,TRUE)-_xlfn.NORM.DIST(BB$2,$D7,$E7,TRUE))</f>
        <v/>
      </c>
      <c r="BC7">
        <f>IF(NOT(ISNUMBER($D7)),"",_xlfn.NORM.DIST(BC$1,$D7,$E7,TRUE)-_xlfn.NORM.DIST(BC$2,$D7,$E7,TRUE))</f>
        <v/>
      </c>
      <c r="BD7">
        <f>IF(NOT(ISNUMBER($D7)),"",_xlfn.NORM.DIST(BD$1,$D7,$E7,TRUE)-_xlfn.NORM.DIST(BD$2,$D7,$E7,TRUE))</f>
        <v/>
      </c>
      <c r="BE7">
        <f>IF(NOT(ISNUMBER($D7)),"",_xlfn.NORM.DIST(BE$1,$D7,$E7,TRUE)-_xlfn.NORM.DIST(BE$2,$D7,$E7,TRUE))</f>
        <v/>
      </c>
      <c r="BF7">
        <f>IF(NOT(ISNUMBER($D7)),"",_xlfn.NORM.DIST(BF$1,$D7,$E7,TRUE)-_xlfn.NORM.DIST(BF$2,$D7,$E7,TRUE))</f>
        <v/>
      </c>
      <c r="BG7">
        <f>IF(NOT(ISNUMBER($D7)),"",_xlfn.NORM.DIST(BG$1,$D7,$E7,TRUE)-_xlfn.NORM.DIST(BG$2,$D7,$E7,TRUE))</f>
        <v/>
      </c>
      <c r="BH7">
        <f>IF(NOT(ISNUMBER($D7)),"",_xlfn.NORM.DIST(BH$1,$D7,$E7,TRUE)-_xlfn.NORM.DIST(BH$2,$D7,$E7,TRUE))</f>
        <v/>
      </c>
      <c r="BI7">
        <f>IF(NOT(ISNUMBER($D7)),"",_xlfn.NORM.DIST(BI$1,$D7,$E7,TRUE)-_xlfn.NORM.DIST(BI$2,$D7,$E7,TRUE))</f>
        <v/>
      </c>
      <c r="BJ7">
        <f>IF(NOT(ISNUMBER($D7)),"",_xlfn.NORM.DIST(BJ$1,$D7,$E7,TRUE)-_xlfn.NORM.DIST(BJ$2,$D7,$E7,TRUE))</f>
        <v/>
      </c>
      <c r="BK7">
        <f>IF(NOT(ISNUMBER($D7)),"",_xlfn.NORM.DIST(BK$1,$D7,$E7,TRUE)-_xlfn.NORM.DIST(BK$2,$D7,$E7,TRUE))</f>
        <v/>
      </c>
      <c r="BL7">
        <f>IF(NOT(ISNUMBER($D7)),"",_xlfn.NORM.DIST(BL$1,$D7,$E7,TRUE)-_xlfn.NORM.DIST(BL$2,$D7,$E7,TRUE))</f>
        <v/>
      </c>
      <c r="BM7">
        <f>IF(NOT(ISNUMBER($D7)),"",_xlfn.NORM.DIST(BM$1,$D7,$E7,TRUE)-_xlfn.NORM.DIST(BM$2,$D7,$E7,TRUE))</f>
        <v/>
      </c>
      <c r="BN7">
        <f>IF(NOT(ISNUMBER($D7)),"",_xlfn.NORM.DIST(BN$1,$D7,$E7,TRUE)-_xlfn.NORM.DIST(BN$2,$D7,$E7,TRUE))</f>
        <v/>
      </c>
      <c r="BO7">
        <f>IF(NOT(ISNUMBER($D7)),"",_xlfn.NORM.DIST(BO$1,$D7,$E7,TRUE)-_xlfn.NORM.DIST(BO$2,$D7,$E7,TRUE))</f>
        <v/>
      </c>
      <c r="BP7">
        <f>IF(NOT(ISNUMBER($D7)),"",_xlfn.NORM.DIST(BP$1,$D7,$E7,TRUE)-_xlfn.NORM.DIST(BP$2,$D7,$E7,TRUE))</f>
        <v/>
      </c>
      <c r="BQ7">
        <f>IF(NOT(ISNUMBER($D7)),"",_xlfn.NORM.DIST(BQ$1,$D7,$E7,TRUE)-_xlfn.NORM.DIST(BQ$2,$D7,$E7,TRUE))</f>
        <v/>
      </c>
      <c r="BR7">
        <f>IF(NOT(ISNUMBER($D7)),"",_xlfn.NORM.DIST(BR$1,$D7,$E7,TRUE)-_xlfn.NORM.DIST(BR$2,$D7,$E7,TRUE))</f>
        <v/>
      </c>
      <c r="BS7">
        <f>IF(NOT(ISNUMBER($D7)),"",_xlfn.NORM.DIST(BS$1,$D7,$E7,TRUE)-_xlfn.NORM.DIST(BS$2,$D7,$E7,TRUE))</f>
        <v/>
      </c>
      <c r="BT7">
        <f>IF(NOT(ISNUMBER($D7)),"",_xlfn.NORM.DIST(BT$1,$D7,$E7,TRUE)-_xlfn.NORM.DIST(BT$2,$D7,$E7,TRUE))</f>
        <v/>
      </c>
      <c r="BU7">
        <f>IF(NOT(ISNUMBER($D7)),"",_xlfn.NORM.DIST(BU$1,$D7,$E7,TRUE)-_xlfn.NORM.DIST(BU$2,$D7,$E7,TRUE))</f>
        <v/>
      </c>
      <c r="BV7">
        <f>IF(NOT(ISNUMBER($D7)),"",_xlfn.NORM.DIST(BV$1,$D7,$E7,TRUE)-_xlfn.NORM.DIST(BV$2,$D7,$E7,TRUE))</f>
        <v/>
      </c>
      <c r="BW7">
        <f>IF(NOT(ISNUMBER($D7)),"",_xlfn.NORM.DIST(BW$1,$D7,$E7,TRUE)-_xlfn.NORM.DIST(BW$2,$D7,$E7,TRUE))</f>
        <v/>
      </c>
      <c r="BX7">
        <f>IF(NOT(ISNUMBER($D7)),"",_xlfn.NORM.DIST(BX$1,$D7,$E7,TRUE)-_xlfn.NORM.DIST(BX$2,$D7,$E7,TRUE))</f>
        <v/>
      </c>
      <c r="BY7">
        <f>IF(NOT(ISNUMBER($D7)),"",_xlfn.NORM.DIST(BY$1,$D7,$E7,TRUE)-_xlfn.NORM.DIST(BY$2,$D7,$E7,TRUE))</f>
        <v/>
      </c>
      <c r="BZ7">
        <f>IF(NOT(ISNUMBER($D7)),"",_xlfn.NORM.DIST(BZ$1,$D7,$E7,TRUE)-_xlfn.NORM.DIST(BZ$2,$D7,$E7,TRUE))</f>
        <v/>
      </c>
      <c r="CA7">
        <f>IF(NOT(ISNUMBER($D7)),"",_xlfn.NORM.DIST(CA$1,$D7,$E7,TRUE)-_xlfn.NORM.DIST(CA$2,$D7,$E7,TRUE))</f>
        <v/>
      </c>
      <c r="CB7">
        <f>IF(NOT(ISNUMBER($D7)),"",_xlfn.NORM.DIST(CB$1,$D7,$E7,TRUE)-_xlfn.NORM.DIST(CB$2,$D7,$E7,TRUE))</f>
        <v/>
      </c>
      <c r="CC7">
        <f>IF(NOT(ISNUMBER($D7)),"",_xlfn.NORM.DIST(CC$1,$D7,$E7,TRUE)-_xlfn.NORM.DIST(CC$2,$D7,$E7,TRUE))</f>
        <v/>
      </c>
      <c r="CD7">
        <f>IF(NOT(ISNUMBER($D7)),"",_xlfn.NORM.DIST(CD$1,$D7,$E7,TRUE)-_xlfn.NORM.DIST(CD$2,$D7,$E7,TRUE))</f>
        <v/>
      </c>
      <c r="CE7">
        <f>IF(NOT(ISNUMBER($D7)),"",_xlfn.NORM.DIST(CE$1,$D7,$E7,TRUE)-_xlfn.NORM.DIST(CE$2,$D7,$E7,TRUE))</f>
        <v/>
      </c>
      <c r="CF7">
        <f>IF(NOT(ISNUMBER($D7)),"",_xlfn.NORM.DIST(CF$1,$D7,$E7,TRUE)-_xlfn.NORM.DIST(CF$2,$D7,$E7,TRUE))</f>
        <v/>
      </c>
      <c r="CG7">
        <f>IF(NOT(ISNUMBER($D7)),"",_xlfn.NORM.DIST(CG$1,$D7,$E7,TRUE)-_xlfn.NORM.DIST(CG$2,$D7,$E7,TRUE))</f>
        <v/>
      </c>
      <c r="CH7">
        <f>IF(NOT(ISNUMBER($D7)),"",_xlfn.NORM.DIST(CH$1,$D7,$E7,TRUE)-_xlfn.NORM.DIST(CH$2,$D7,$E7,TRUE))</f>
        <v/>
      </c>
      <c r="CI7">
        <f>IF(NOT(ISNUMBER($D7)),"",_xlfn.NORM.DIST(CI$1,$D7,$E7,TRUE)-_xlfn.NORM.DIST(CI$2,$D7,$E7,TRUE))</f>
        <v/>
      </c>
      <c r="CJ7">
        <f>IF(ISNUMBER($D7),SUM(F7:CI7),"")</f>
        <v/>
      </c>
    </row>
    <row r="8">
      <c r="A8">
        <f>economics!A7</f>
        <v/>
      </c>
      <c r="B8">
        <f>economics!B7</f>
        <v/>
      </c>
      <c r="C8">
        <f>economics!D7</f>
        <v/>
      </c>
      <c r="D8">
        <f>IF(ISNUMBER(economics!T7),economics!T7,"na")</f>
        <v/>
      </c>
      <c r="E8">
        <f>IF(ISNUMBER(D8),MAX(0.3*ABS(D8),0.000001),"na")</f>
        <v/>
      </c>
      <c r="F8">
        <f>IF(NOT(ISNUMBER($D8)),"",_xlfn.NORM.DIST(F$1,$D8,$E8,TRUE)-_xlfn.NORM.DIST(F$2,$D8,$E8,TRUE))</f>
        <v/>
      </c>
      <c r="G8">
        <f>IF(NOT(ISNUMBER($D8)),"",_xlfn.NORM.DIST(G$1,$D8,$E8,TRUE)-_xlfn.NORM.DIST(G$2,$D8,$E8,TRUE))</f>
        <v/>
      </c>
      <c r="H8">
        <f>IF(NOT(ISNUMBER($D8)),"",_xlfn.NORM.DIST(H$1,$D8,$E8,TRUE)-_xlfn.NORM.DIST(H$2,$D8,$E8,TRUE))</f>
        <v/>
      </c>
      <c r="I8">
        <f>IF(NOT(ISNUMBER($D8)),"",_xlfn.NORM.DIST(I$1,$D8,$E8,TRUE)-_xlfn.NORM.DIST(I$2,$D8,$E8,TRUE))</f>
        <v/>
      </c>
      <c r="J8">
        <f>IF(NOT(ISNUMBER($D8)),"",_xlfn.NORM.DIST(J$1,$D8,$E8,TRUE)-_xlfn.NORM.DIST(J$2,$D8,$E8,TRUE))</f>
        <v/>
      </c>
      <c r="K8">
        <f>IF(NOT(ISNUMBER($D8)),"",_xlfn.NORM.DIST(K$1,$D8,$E8,TRUE)-_xlfn.NORM.DIST(K$2,$D8,$E8,TRUE))</f>
        <v/>
      </c>
      <c r="L8">
        <f>IF(NOT(ISNUMBER($D8)),"",_xlfn.NORM.DIST(L$1,$D8,$E8,TRUE)-_xlfn.NORM.DIST(L$2,$D8,$E8,TRUE))</f>
        <v/>
      </c>
      <c r="M8">
        <f>IF(NOT(ISNUMBER($D8)),"",_xlfn.NORM.DIST(M$1,$D8,$E8,TRUE)-_xlfn.NORM.DIST(M$2,$D8,$E8,TRUE))</f>
        <v/>
      </c>
      <c r="N8">
        <f>IF(NOT(ISNUMBER($D8)),"",_xlfn.NORM.DIST(N$1,$D8,$E8,TRUE)-_xlfn.NORM.DIST(N$2,$D8,$E8,TRUE))</f>
        <v/>
      </c>
      <c r="O8">
        <f>IF(NOT(ISNUMBER($D8)),"",_xlfn.NORM.DIST(O$1,$D8,$E8,TRUE)-_xlfn.NORM.DIST(O$2,$D8,$E8,TRUE))</f>
        <v/>
      </c>
      <c r="P8">
        <f>IF(NOT(ISNUMBER($D8)),"",_xlfn.NORM.DIST(P$1,$D8,$E8,TRUE)-_xlfn.NORM.DIST(P$2,$D8,$E8,TRUE))</f>
        <v/>
      </c>
      <c r="Q8">
        <f>IF(NOT(ISNUMBER($D8)),"",_xlfn.NORM.DIST(Q$1,$D8,$E8,TRUE)-_xlfn.NORM.DIST(Q$2,$D8,$E8,TRUE))</f>
        <v/>
      </c>
      <c r="R8">
        <f>IF(NOT(ISNUMBER($D8)),"",_xlfn.NORM.DIST(R$1,$D8,$E8,TRUE)-_xlfn.NORM.DIST(R$2,$D8,$E8,TRUE))</f>
        <v/>
      </c>
      <c r="S8">
        <f>IF(NOT(ISNUMBER($D8)),"",_xlfn.NORM.DIST(S$1,$D8,$E8,TRUE)-_xlfn.NORM.DIST(S$2,$D8,$E8,TRUE))</f>
        <v/>
      </c>
      <c r="T8">
        <f>IF(NOT(ISNUMBER($D8)),"",_xlfn.NORM.DIST(T$1,$D8,$E8,TRUE)-_xlfn.NORM.DIST(T$2,$D8,$E8,TRUE))</f>
        <v/>
      </c>
      <c r="U8">
        <f>IF(NOT(ISNUMBER($D8)),"",_xlfn.NORM.DIST(U$1,$D8,$E8,TRUE)-_xlfn.NORM.DIST(U$2,$D8,$E8,TRUE))</f>
        <v/>
      </c>
      <c r="V8">
        <f>IF(NOT(ISNUMBER($D8)),"",_xlfn.NORM.DIST(V$1,$D8,$E8,TRUE)-_xlfn.NORM.DIST(V$2,$D8,$E8,TRUE))</f>
        <v/>
      </c>
      <c r="W8">
        <f>IF(NOT(ISNUMBER($D8)),"",_xlfn.NORM.DIST(W$1,$D8,$E8,TRUE)-_xlfn.NORM.DIST(W$2,$D8,$E8,TRUE))</f>
        <v/>
      </c>
      <c r="X8">
        <f>IF(NOT(ISNUMBER($D8)),"",_xlfn.NORM.DIST(X$1,$D8,$E8,TRUE)-_xlfn.NORM.DIST(X$2,$D8,$E8,TRUE))</f>
        <v/>
      </c>
      <c r="Y8">
        <f>IF(NOT(ISNUMBER($D8)),"",_xlfn.NORM.DIST(Y$1,$D8,$E8,TRUE)-_xlfn.NORM.DIST(Y$2,$D8,$E8,TRUE))</f>
        <v/>
      </c>
      <c r="Z8">
        <f>IF(NOT(ISNUMBER($D8)),"",_xlfn.NORM.DIST(Z$1,$D8,$E8,TRUE)-_xlfn.NORM.DIST(Z$2,$D8,$E8,TRUE))</f>
        <v/>
      </c>
      <c r="AA8">
        <f>IF(NOT(ISNUMBER($D8)),"",_xlfn.NORM.DIST(AA$1,$D8,$E8,TRUE)-_xlfn.NORM.DIST(AA$2,$D8,$E8,TRUE))</f>
        <v/>
      </c>
      <c r="AB8">
        <f>IF(NOT(ISNUMBER($D8)),"",_xlfn.NORM.DIST(AB$1,$D8,$E8,TRUE)-_xlfn.NORM.DIST(AB$2,$D8,$E8,TRUE))</f>
        <v/>
      </c>
      <c r="AC8">
        <f>IF(NOT(ISNUMBER($D8)),"",_xlfn.NORM.DIST(AC$1,$D8,$E8,TRUE)-_xlfn.NORM.DIST(AC$2,$D8,$E8,TRUE))</f>
        <v/>
      </c>
      <c r="AD8">
        <f>IF(NOT(ISNUMBER($D8)),"",_xlfn.NORM.DIST(AD$1,$D8,$E8,TRUE)-_xlfn.NORM.DIST(AD$2,$D8,$E8,TRUE))</f>
        <v/>
      </c>
      <c r="AE8">
        <f>IF(NOT(ISNUMBER($D8)),"",_xlfn.NORM.DIST(AE$1,$D8,$E8,TRUE)-_xlfn.NORM.DIST(AE$2,$D8,$E8,TRUE))</f>
        <v/>
      </c>
      <c r="AF8">
        <f>IF(NOT(ISNUMBER($D8)),"",_xlfn.NORM.DIST(AF$1,$D8,$E8,TRUE)-_xlfn.NORM.DIST(AF$2,$D8,$E8,TRUE))</f>
        <v/>
      </c>
      <c r="AG8">
        <f>IF(NOT(ISNUMBER($D8)),"",_xlfn.NORM.DIST(AG$1,$D8,$E8,TRUE)-_xlfn.NORM.DIST(AG$2,$D8,$E8,TRUE))</f>
        <v/>
      </c>
      <c r="AH8">
        <f>IF(NOT(ISNUMBER($D8)),"",_xlfn.NORM.DIST(AH$1,$D8,$E8,TRUE)-_xlfn.NORM.DIST(AH$2,$D8,$E8,TRUE))</f>
        <v/>
      </c>
      <c r="AI8">
        <f>IF(NOT(ISNUMBER($D8)),"",_xlfn.NORM.DIST(AI$1,$D8,$E8,TRUE)-_xlfn.NORM.DIST(AI$2,$D8,$E8,TRUE))</f>
        <v/>
      </c>
      <c r="AJ8">
        <f>IF(NOT(ISNUMBER($D8)),"",_xlfn.NORM.DIST(AJ$1,$D8,$E8,TRUE)-_xlfn.NORM.DIST(AJ$2,$D8,$E8,TRUE))</f>
        <v/>
      </c>
      <c r="AK8">
        <f>IF(NOT(ISNUMBER($D8)),"",_xlfn.NORM.DIST(AK$1,$D8,$E8,TRUE)-_xlfn.NORM.DIST(AK$2,$D8,$E8,TRUE))</f>
        <v/>
      </c>
      <c r="AL8">
        <f>IF(NOT(ISNUMBER($D8)),"",_xlfn.NORM.DIST(AL$1,$D8,$E8,TRUE)-_xlfn.NORM.DIST(AL$2,$D8,$E8,TRUE))</f>
        <v/>
      </c>
      <c r="AM8">
        <f>IF(NOT(ISNUMBER($D8)),"",_xlfn.NORM.DIST(AM$1,$D8,$E8,TRUE)-_xlfn.NORM.DIST(AM$2,$D8,$E8,TRUE))</f>
        <v/>
      </c>
      <c r="AN8">
        <f>IF(NOT(ISNUMBER($D8)),"",_xlfn.NORM.DIST(AN$1,$D8,$E8,TRUE)-_xlfn.NORM.DIST(AN$2,$D8,$E8,TRUE))</f>
        <v/>
      </c>
      <c r="AO8">
        <f>IF(NOT(ISNUMBER($D8)),"",_xlfn.NORM.DIST(AO$1,$D8,$E8,TRUE)-_xlfn.NORM.DIST(AO$2,$D8,$E8,TRUE))</f>
        <v/>
      </c>
      <c r="AP8">
        <f>IF(NOT(ISNUMBER($D8)),"",_xlfn.NORM.DIST(AP$1,$D8,$E8,TRUE)-_xlfn.NORM.DIST(AP$2,$D8,$E8,TRUE))</f>
        <v/>
      </c>
      <c r="AQ8">
        <f>IF(NOT(ISNUMBER($D8)),"",_xlfn.NORM.DIST(AQ$1,$D8,$E8,TRUE)-_xlfn.NORM.DIST(AQ$2,$D8,$E8,TRUE))</f>
        <v/>
      </c>
      <c r="AR8">
        <f>IF(NOT(ISNUMBER($D8)),"",_xlfn.NORM.DIST(AR$1,$D8,$E8,TRUE)-_xlfn.NORM.DIST(AR$2,$D8,$E8,TRUE))</f>
        <v/>
      </c>
      <c r="AS8">
        <f>IF(NOT(ISNUMBER($D8)),"",_xlfn.NORM.DIST(AS$1,$D8,$E8,TRUE)-_xlfn.NORM.DIST(AS$2,$D8,$E8,TRUE))</f>
        <v/>
      </c>
      <c r="AT8">
        <f>IF(NOT(ISNUMBER($D8)),"",_xlfn.NORM.DIST(AT$1,$D8,$E8,TRUE)-_xlfn.NORM.DIST(AT$2,$D8,$E8,TRUE))</f>
        <v/>
      </c>
      <c r="AU8">
        <f>IF(NOT(ISNUMBER($D8)),"",_xlfn.NORM.DIST(AU$1,$D8,$E8,TRUE)-_xlfn.NORM.DIST(AU$2,$D8,$E8,TRUE))</f>
        <v/>
      </c>
      <c r="AV8">
        <f>IF(NOT(ISNUMBER($D8)),"",_xlfn.NORM.DIST(AV$1,$D8,$E8,TRUE)-_xlfn.NORM.DIST(AV$2,$D8,$E8,TRUE))</f>
        <v/>
      </c>
      <c r="AW8">
        <f>IF(NOT(ISNUMBER($D8)),"",_xlfn.NORM.DIST(AW$1,$D8,$E8,TRUE)-_xlfn.NORM.DIST(AW$2,$D8,$E8,TRUE))</f>
        <v/>
      </c>
      <c r="AX8">
        <f>IF(NOT(ISNUMBER($D8)),"",_xlfn.NORM.DIST(AX$1,$D8,$E8,TRUE)-_xlfn.NORM.DIST(AX$2,$D8,$E8,TRUE))</f>
        <v/>
      </c>
      <c r="AY8">
        <f>IF(NOT(ISNUMBER($D8)),"",_xlfn.NORM.DIST(AY$1,$D8,$E8,TRUE)-_xlfn.NORM.DIST(AY$2,$D8,$E8,TRUE))</f>
        <v/>
      </c>
      <c r="AZ8">
        <f>IF(NOT(ISNUMBER($D8)),"",_xlfn.NORM.DIST(AZ$1,$D8,$E8,TRUE)-_xlfn.NORM.DIST(AZ$2,$D8,$E8,TRUE))</f>
        <v/>
      </c>
      <c r="BA8">
        <f>IF(NOT(ISNUMBER($D8)),"",_xlfn.NORM.DIST(BA$1,$D8,$E8,TRUE)-_xlfn.NORM.DIST(BA$2,$D8,$E8,TRUE))</f>
        <v/>
      </c>
      <c r="BB8">
        <f>IF(NOT(ISNUMBER($D8)),"",_xlfn.NORM.DIST(BB$1,$D8,$E8,TRUE)-_xlfn.NORM.DIST(BB$2,$D8,$E8,TRUE))</f>
        <v/>
      </c>
      <c r="BC8">
        <f>IF(NOT(ISNUMBER($D8)),"",_xlfn.NORM.DIST(BC$1,$D8,$E8,TRUE)-_xlfn.NORM.DIST(BC$2,$D8,$E8,TRUE))</f>
        <v/>
      </c>
      <c r="BD8">
        <f>IF(NOT(ISNUMBER($D8)),"",_xlfn.NORM.DIST(BD$1,$D8,$E8,TRUE)-_xlfn.NORM.DIST(BD$2,$D8,$E8,TRUE))</f>
        <v/>
      </c>
      <c r="BE8">
        <f>IF(NOT(ISNUMBER($D8)),"",_xlfn.NORM.DIST(BE$1,$D8,$E8,TRUE)-_xlfn.NORM.DIST(BE$2,$D8,$E8,TRUE))</f>
        <v/>
      </c>
      <c r="BF8">
        <f>IF(NOT(ISNUMBER($D8)),"",_xlfn.NORM.DIST(BF$1,$D8,$E8,TRUE)-_xlfn.NORM.DIST(BF$2,$D8,$E8,TRUE))</f>
        <v/>
      </c>
      <c r="BG8">
        <f>IF(NOT(ISNUMBER($D8)),"",_xlfn.NORM.DIST(BG$1,$D8,$E8,TRUE)-_xlfn.NORM.DIST(BG$2,$D8,$E8,TRUE))</f>
        <v/>
      </c>
      <c r="BH8">
        <f>IF(NOT(ISNUMBER($D8)),"",_xlfn.NORM.DIST(BH$1,$D8,$E8,TRUE)-_xlfn.NORM.DIST(BH$2,$D8,$E8,TRUE))</f>
        <v/>
      </c>
      <c r="BI8">
        <f>IF(NOT(ISNUMBER($D8)),"",_xlfn.NORM.DIST(BI$1,$D8,$E8,TRUE)-_xlfn.NORM.DIST(BI$2,$D8,$E8,TRUE))</f>
        <v/>
      </c>
      <c r="BJ8">
        <f>IF(NOT(ISNUMBER($D8)),"",_xlfn.NORM.DIST(BJ$1,$D8,$E8,TRUE)-_xlfn.NORM.DIST(BJ$2,$D8,$E8,TRUE))</f>
        <v/>
      </c>
      <c r="BK8">
        <f>IF(NOT(ISNUMBER($D8)),"",_xlfn.NORM.DIST(BK$1,$D8,$E8,TRUE)-_xlfn.NORM.DIST(BK$2,$D8,$E8,TRUE))</f>
        <v/>
      </c>
      <c r="BL8">
        <f>IF(NOT(ISNUMBER($D8)),"",_xlfn.NORM.DIST(BL$1,$D8,$E8,TRUE)-_xlfn.NORM.DIST(BL$2,$D8,$E8,TRUE))</f>
        <v/>
      </c>
      <c r="BM8">
        <f>IF(NOT(ISNUMBER($D8)),"",_xlfn.NORM.DIST(BM$1,$D8,$E8,TRUE)-_xlfn.NORM.DIST(BM$2,$D8,$E8,TRUE))</f>
        <v/>
      </c>
      <c r="BN8">
        <f>IF(NOT(ISNUMBER($D8)),"",_xlfn.NORM.DIST(BN$1,$D8,$E8,TRUE)-_xlfn.NORM.DIST(BN$2,$D8,$E8,TRUE))</f>
        <v/>
      </c>
      <c r="BO8">
        <f>IF(NOT(ISNUMBER($D8)),"",_xlfn.NORM.DIST(BO$1,$D8,$E8,TRUE)-_xlfn.NORM.DIST(BO$2,$D8,$E8,TRUE))</f>
        <v/>
      </c>
      <c r="BP8">
        <f>IF(NOT(ISNUMBER($D8)),"",_xlfn.NORM.DIST(BP$1,$D8,$E8,TRUE)-_xlfn.NORM.DIST(BP$2,$D8,$E8,TRUE))</f>
        <v/>
      </c>
      <c r="BQ8">
        <f>IF(NOT(ISNUMBER($D8)),"",_xlfn.NORM.DIST(BQ$1,$D8,$E8,TRUE)-_xlfn.NORM.DIST(BQ$2,$D8,$E8,TRUE))</f>
        <v/>
      </c>
      <c r="BR8">
        <f>IF(NOT(ISNUMBER($D8)),"",_xlfn.NORM.DIST(BR$1,$D8,$E8,TRUE)-_xlfn.NORM.DIST(BR$2,$D8,$E8,TRUE))</f>
        <v/>
      </c>
      <c r="BS8">
        <f>IF(NOT(ISNUMBER($D8)),"",_xlfn.NORM.DIST(BS$1,$D8,$E8,TRUE)-_xlfn.NORM.DIST(BS$2,$D8,$E8,TRUE))</f>
        <v/>
      </c>
      <c r="BT8">
        <f>IF(NOT(ISNUMBER($D8)),"",_xlfn.NORM.DIST(BT$1,$D8,$E8,TRUE)-_xlfn.NORM.DIST(BT$2,$D8,$E8,TRUE))</f>
        <v/>
      </c>
      <c r="BU8">
        <f>IF(NOT(ISNUMBER($D8)),"",_xlfn.NORM.DIST(BU$1,$D8,$E8,TRUE)-_xlfn.NORM.DIST(BU$2,$D8,$E8,TRUE))</f>
        <v/>
      </c>
      <c r="BV8">
        <f>IF(NOT(ISNUMBER($D8)),"",_xlfn.NORM.DIST(BV$1,$D8,$E8,TRUE)-_xlfn.NORM.DIST(BV$2,$D8,$E8,TRUE))</f>
        <v/>
      </c>
      <c r="BW8">
        <f>IF(NOT(ISNUMBER($D8)),"",_xlfn.NORM.DIST(BW$1,$D8,$E8,TRUE)-_xlfn.NORM.DIST(BW$2,$D8,$E8,TRUE))</f>
        <v/>
      </c>
      <c r="BX8">
        <f>IF(NOT(ISNUMBER($D8)),"",_xlfn.NORM.DIST(BX$1,$D8,$E8,TRUE)-_xlfn.NORM.DIST(BX$2,$D8,$E8,TRUE))</f>
        <v/>
      </c>
      <c r="BY8">
        <f>IF(NOT(ISNUMBER($D8)),"",_xlfn.NORM.DIST(BY$1,$D8,$E8,TRUE)-_xlfn.NORM.DIST(BY$2,$D8,$E8,TRUE))</f>
        <v/>
      </c>
      <c r="BZ8">
        <f>IF(NOT(ISNUMBER($D8)),"",_xlfn.NORM.DIST(BZ$1,$D8,$E8,TRUE)-_xlfn.NORM.DIST(BZ$2,$D8,$E8,TRUE))</f>
        <v/>
      </c>
      <c r="CA8">
        <f>IF(NOT(ISNUMBER($D8)),"",_xlfn.NORM.DIST(CA$1,$D8,$E8,TRUE)-_xlfn.NORM.DIST(CA$2,$D8,$E8,TRUE))</f>
        <v/>
      </c>
      <c r="CB8">
        <f>IF(NOT(ISNUMBER($D8)),"",_xlfn.NORM.DIST(CB$1,$D8,$E8,TRUE)-_xlfn.NORM.DIST(CB$2,$D8,$E8,TRUE))</f>
        <v/>
      </c>
      <c r="CC8">
        <f>IF(NOT(ISNUMBER($D8)),"",_xlfn.NORM.DIST(CC$1,$D8,$E8,TRUE)-_xlfn.NORM.DIST(CC$2,$D8,$E8,TRUE))</f>
        <v/>
      </c>
      <c r="CD8">
        <f>IF(NOT(ISNUMBER($D8)),"",_xlfn.NORM.DIST(CD$1,$D8,$E8,TRUE)-_xlfn.NORM.DIST(CD$2,$D8,$E8,TRUE))</f>
        <v/>
      </c>
      <c r="CE8">
        <f>IF(NOT(ISNUMBER($D8)),"",_xlfn.NORM.DIST(CE$1,$D8,$E8,TRUE)-_xlfn.NORM.DIST(CE$2,$D8,$E8,TRUE))</f>
        <v/>
      </c>
      <c r="CF8">
        <f>IF(NOT(ISNUMBER($D8)),"",_xlfn.NORM.DIST(CF$1,$D8,$E8,TRUE)-_xlfn.NORM.DIST(CF$2,$D8,$E8,TRUE))</f>
        <v/>
      </c>
      <c r="CG8">
        <f>IF(NOT(ISNUMBER($D8)),"",_xlfn.NORM.DIST(CG$1,$D8,$E8,TRUE)-_xlfn.NORM.DIST(CG$2,$D8,$E8,TRUE))</f>
        <v/>
      </c>
      <c r="CH8">
        <f>IF(NOT(ISNUMBER($D8)),"",_xlfn.NORM.DIST(CH$1,$D8,$E8,TRUE)-_xlfn.NORM.DIST(CH$2,$D8,$E8,TRUE))</f>
        <v/>
      </c>
      <c r="CI8">
        <f>IF(NOT(ISNUMBER($D8)),"",_xlfn.NORM.DIST(CI$1,$D8,$E8,TRUE)-_xlfn.NORM.DIST(CI$2,$D8,$E8,TRUE))</f>
        <v/>
      </c>
      <c r="CJ8">
        <f>IF(ISNUMBER($D8),SUM(F8:CI8),"")</f>
        <v/>
      </c>
    </row>
    <row r="9">
      <c r="A9">
        <f>economics!A8</f>
        <v/>
      </c>
      <c r="B9">
        <f>economics!B8</f>
        <v/>
      </c>
      <c r="C9">
        <f>economics!D8</f>
        <v/>
      </c>
      <c r="D9">
        <f>IF(ISNUMBER(economics!T8),economics!T8,"na")</f>
        <v/>
      </c>
      <c r="E9">
        <f>IF(ISNUMBER(D9),MAX(0.3*ABS(D9),0.000001),"na")</f>
        <v/>
      </c>
      <c r="F9">
        <f>IF(NOT(ISNUMBER($D9)),"",_xlfn.NORM.DIST(F$1,$D9,$E9,TRUE)-_xlfn.NORM.DIST(F$2,$D9,$E9,TRUE))</f>
        <v/>
      </c>
      <c r="G9">
        <f>IF(NOT(ISNUMBER($D9)),"",_xlfn.NORM.DIST(G$1,$D9,$E9,TRUE)-_xlfn.NORM.DIST(G$2,$D9,$E9,TRUE))</f>
        <v/>
      </c>
      <c r="H9">
        <f>IF(NOT(ISNUMBER($D9)),"",_xlfn.NORM.DIST(H$1,$D9,$E9,TRUE)-_xlfn.NORM.DIST(H$2,$D9,$E9,TRUE))</f>
        <v/>
      </c>
      <c r="I9">
        <f>IF(NOT(ISNUMBER($D9)),"",_xlfn.NORM.DIST(I$1,$D9,$E9,TRUE)-_xlfn.NORM.DIST(I$2,$D9,$E9,TRUE))</f>
        <v/>
      </c>
      <c r="J9">
        <f>IF(NOT(ISNUMBER($D9)),"",_xlfn.NORM.DIST(J$1,$D9,$E9,TRUE)-_xlfn.NORM.DIST(J$2,$D9,$E9,TRUE))</f>
        <v/>
      </c>
      <c r="K9">
        <f>IF(NOT(ISNUMBER($D9)),"",_xlfn.NORM.DIST(K$1,$D9,$E9,TRUE)-_xlfn.NORM.DIST(K$2,$D9,$E9,TRUE))</f>
        <v/>
      </c>
      <c r="L9">
        <f>IF(NOT(ISNUMBER($D9)),"",_xlfn.NORM.DIST(L$1,$D9,$E9,TRUE)-_xlfn.NORM.DIST(L$2,$D9,$E9,TRUE))</f>
        <v/>
      </c>
      <c r="M9">
        <f>IF(NOT(ISNUMBER($D9)),"",_xlfn.NORM.DIST(M$1,$D9,$E9,TRUE)-_xlfn.NORM.DIST(M$2,$D9,$E9,TRUE))</f>
        <v/>
      </c>
      <c r="N9">
        <f>IF(NOT(ISNUMBER($D9)),"",_xlfn.NORM.DIST(N$1,$D9,$E9,TRUE)-_xlfn.NORM.DIST(N$2,$D9,$E9,TRUE))</f>
        <v/>
      </c>
      <c r="O9">
        <f>IF(NOT(ISNUMBER($D9)),"",_xlfn.NORM.DIST(O$1,$D9,$E9,TRUE)-_xlfn.NORM.DIST(O$2,$D9,$E9,TRUE))</f>
        <v/>
      </c>
      <c r="P9">
        <f>IF(NOT(ISNUMBER($D9)),"",_xlfn.NORM.DIST(P$1,$D9,$E9,TRUE)-_xlfn.NORM.DIST(P$2,$D9,$E9,TRUE))</f>
        <v/>
      </c>
      <c r="Q9">
        <f>IF(NOT(ISNUMBER($D9)),"",_xlfn.NORM.DIST(Q$1,$D9,$E9,TRUE)-_xlfn.NORM.DIST(Q$2,$D9,$E9,TRUE))</f>
        <v/>
      </c>
      <c r="R9">
        <f>IF(NOT(ISNUMBER($D9)),"",_xlfn.NORM.DIST(R$1,$D9,$E9,TRUE)-_xlfn.NORM.DIST(R$2,$D9,$E9,TRUE))</f>
        <v/>
      </c>
      <c r="S9">
        <f>IF(NOT(ISNUMBER($D9)),"",_xlfn.NORM.DIST(S$1,$D9,$E9,TRUE)-_xlfn.NORM.DIST(S$2,$D9,$E9,TRUE))</f>
        <v/>
      </c>
      <c r="T9">
        <f>IF(NOT(ISNUMBER($D9)),"",_xlfn.NORM.DIST(T$1,$D9,$E9,TRUE)-_xlfn.NORM.DIST(T$2,$D9,$E9,TRUE))</f>
        <v/>
      </c>
      <c r="U9">
        <f>IF(NOT(ISNUMBER($D9)),"",_xlfn.NORM.DIST(U$1,$D9,$E9,TRUE)-_xlfn.NORM.DIST(U$2,$D9,$E9,TRUE))</f>
        <v/>
      </c>
      <c r="V9">
        <f>IF(NOT(ISNUMBER($D9)),"",_xlfn.NORM.DIST(V$1,$D9,$E9,TRUE)-_xlfn.NORM.DIST(V$2,$D9,$E9,TRUE))</f>
        <v/>
      </c>
      <c r="W9">
        <f>IF(NOT(ISNUMBER($D9)),"",_xlfn.NORM.DIST(W$1,$D9,$E9,TRUE)-_xlfn.NORM.DIST(W$2,$D9,$E9,TRUE))</f>
        <v/>
      </c>
      <c r="X9">
        <f>IF(NOT(ISNUMBER($D9)),"",_xlfn.NORM.DIST(X$1,$D9,$E9,TRUE)-_xlfn.NORM.DIST(X$2,$D9,$E9,TRUE))</f>
        <v/>
      </c>
      <c r="Y9">
        <f>IF(NOT(ISNUMBER($D9)),"",_xlfn.NORM.DIST(Y$1,$D9,$E9,TRUE)-_xlfn.NORM.DIST(Y$2,$D9,$E9,TRUE))</f>
        <v/>
      </c>
      <c r="Z9">
        <f>IF(NOT(ISNUMBER($D9)),"",_xlfn.NORM.DIST(Z$1,$D9,$E9,TRUE)-_xlfn.NORM.DIST(Z$2,$D9,$E9,TRUE))</f>
        <v/>
      </c>
      <c r="AA9">
        <f>IF(NOT(ISNUMBER($D9)),"",_xlfn.NORM.DIST(AA$1,$D9,$E9,TRUE)-_xlfn.NORM.DIST(AA$2,$D9,$E9,TRUE))</f>
        <v/>
      </c>
      <c r="AB9">
        <f>IF(NOT(ISNUMBER($D9)),"",_xlfn.NORM.DIST(AB$1,$D9,$E9,TRUE)-_xlfn.NORM.DIST(AB$2,$D9,$E9,TRUE))</f>
        <v/>
      </c>
      <c r="AC9">
        <f>IF(NOT(ISNUMBER($D9)),"",_xlfn.NORM.DIST(AC$1,$D9,$E9,TRUE)-_xlfn.NORM.DIST(AC$2,$D9,$E9,TRUE))</f>
        <v/>
      </c>
      <c r="AD9">
        <f>IF(NOT(ISNUMBER($D9)),"",_xlfn.NORM.DIST(AD$1,$D9,$E9,TRUE)-_xlfn.NORM.DIST(AD$2,$D9,$E9,TRUE))</f>
        <v/>
      </c>
      <c r="AE9">
        <f>IF(NOT(ISNUMBER($D9)),"",_xlfn.NORM.DIST(AE$1,$D9,$E9,TRUE)-_xlfn.NORM.DIST(AE$2,$D9,$E9,TRUE))</f>
        <v/>
      </c>
      <c r="AF9">
        <f>IF(NOT(ISNUMBER($D9)),"",_xlfn.NORM.DIST(AF$1,$D9,$E9,TRUE)-_xlfn.NORM.DIST(AF$2,$D9,$E9,TRUE))</f>
        <v/>
      </c>
      <c r="AG9">
        <f>IF(NOT(ISNUMBER($D9)),"",_xlfn.NORM.DIST(AG$1,$D9,$E9,TRUE)-_xlfn.NORM.DIST(AG$2,$D9,$E9,TRUE))</f>
        <v/>
      </c>
      <c r="AH9">
        <f>IF(NOT(ISNUMBER($D9)),"",_xlfn.NORM.DIST(AH$1,$D9,$E9,TRUE)-_xlfn.NORM.DIST(AH$2,$D9,$E9,TRUE))</f>
        <v/>
      </c>
      <c r="AI9">
        <f>IF(NOT(ISNUMBER($D9)),"",_xlfn.NORM.DIST(AI$1,$D9,$E9,TRUE)-_xlfn.NORM.DIST(AI$2,$D9,$E9,TRUE))</f>
        <v/>
      </c>
      <c r="AJ9">
        <f>IF(NOT(ISNUMBER($D9)),"",_xlfn.NORM.DIST(AJ$1,$D9,$E9,TRUE)-_xlfn.NORM.DIST(AJ$2,$D9,$E9,TRUE))</f>
        <v/>
      </c>
      <c r="AK9">
        <f>IF(NOT(ISNUMBER($D9)),"",_xlfn.NORM.DIST(AK$1,$D9,$E9,TRUE)-_xlfn.NORM.DIST(AK$2,$D9,$E9,TRUE))</f>
        <v/>
      </c>
      <c r="AL9">
        <f>IF(NOT(ISNUMBER($D9)),"",_xlfn.NORM.DIST(AL$1,$D9,$E9,TRUE)-_xlfn.NORM.DIST(AL$2,$D9,$E9,TRUE))</f>
        <v/>
      </c>
      <c r="AM9">
        <f>IF(NOT(ISNUMBER($D9)),"",_xlfn.NORM.DIST(AM$1,$D9,$E9,TRUE)-_xlfn.NORM.DIST(AM$2,$D9,$E9,TRUE))</f>
        <v/>
      </c>
      <c r="AN9">
        <f>IF(NOT(ISNUMBER($D9)),"",_xlfn.NORM.DIST(AN$1,$D9,$E9,TRUE)-_xlfn.NORM.DIST(AN$2,$D9,$E9,TRUE))</f>
        <v/>
      </c>
      <c r="AO9">
        <f>IF(NOT(ISNUMBER($D9)),"",_xlfn.NORM.DIST(AO$1,$D9,$E9,TRUE)-_xlfn.NORM.DIST(AO$2,$D9,$E9,TRUE))</f>
        <v/>
      </c>
      <c r="AP9">
        <f>IF(NOT(ISNUMBER($D9)),"",_xlfn.NORM.DIST(AP$1,$D9,$E9,TRUE)-_xlfn.NORM.DIST(AP$2,$D9,$E9,TRUE))</f>
        <v/>
      </c>
      <c r="AQ9">
        <f>IF(NOT(ISNUMBER($D9)),"",_xlfn.NORM.DIST(AQ$1,$D9,$E9,TRUE)-_xlfn.NORM.DIST(AQ$2,$D9,$E9,TRUE))</f>
        <v/>
      </c>
      <c r="AR9">
        <f>IF(NOT(ISNUMBER($D9)),"",_xlfn.NORM.DIST(AR$1,$D9,$E9,TRUE)-_xlfn.NORM.DIST(AR$2,$D9,$E9,TRUE))</f>
        <v/>
      </c>
      <c r="AS9">
        <f>IF(NOT(ISNUMBER($D9)),"",_xlfn.NORM.DIST(AS$1,$D9,$E9,TRUE)-_xlfn.NORM.DIST(AS$2,$D9,$E9,TRUE))</f>
        <v/>
      </c>
      <c r="AT9">
        <f>IF(NOT(ISNUMBER($D9)),"",_xlfn.NORM.DIST(AT$1,$D9,$E9,TRUE)-_xlfn.NORM.DIST(AT$2,$D9,$E9,TRUE))</f>
        <v/>
      </c>
      <c r="AU9">
        <f>IF(NOT(ISNUMBER($D9)),"",_xlfn.NORM.DIST(AU$1,$D9,$E9,TRUE)-_xlfn.NORM.DIST(AU$2,$D9,$E9,TRUE))</f>
        <v/>
      </c>
      <c r="AV9">
        <f>IF(NOT(ISNUMBER($D9)),"",_xlfn.NORM.DIST(AV$1,$D9,$E9,TRUE)-_xlfn.NORM.DIST(AV$2,$D9,$E9,TRUE))</f>
        <v/>
      </c>
      <c r="AW9">
        <f>IF(NOT(ISNUMBER($D9)),"",_xlfn.NORM.DIST(AW$1,$D9,$E9,TRUE)-_xlfn.NORM.DIST(AW$2,$D9,$E9,TRUE))</f>
        <v/>
      </c>
      <c r="AX9">
        <f>IF(NOT(ISNUMBER($D9)),"",_xlfn.NORM.DIST(AX$1,$D9,$E9,TRUE)-_xlfn.NORM.DIST(AX$2,$D9,$E9,TRUE))</f>
        <v/>
      </c>
      <c r="AY9">
        <f>IF(NOT(ISNUMBER($D9)),"",_xlfn.NORM.DIST(AY$1,$D9,$E9,TRUE)-_xlfn.NORM.DIST(AY$2,$D9,$E9,TRUE))</f>
        <v/>
      </c>
      <c r="AZ9">
        <f>IF(NOT(ISNUMBER($D9)),"",_xlfn.NORM.DIST(AZ$1,$D9,$E9,TRUE)-_xlfn.NORM.DIST(AZ$2,$D9,$E9,TRUE))</f>
        <v/>
      </c>
      <c r="BA9">
        <f>IF(NOT(ISNUMBER($D9)),"",_xlfn.NORM.DIST(BA$1,$D9,$E9,TRUE)-_xlfn.NORM.DIST(BA$2,$D9,$E9,TRUE))</f>
        <v/>
      </c>
      <c r="BB9">
        <f>IF(NOT(ISNUMBER($D9)),"",_xlfn.NORM.DIST(BB$1,$D9,$E9,TRUE)-_xlfn.NORM.DIST(BB$2,$D9,$E9,TRUE))</f>
        <v/>
      </c>
      <c r="BC9">
        <f>IF(NOT(ISNUMBER($D9)),"",_xlfn.NORM.DIST(BC$1,$D9,$E9,TRUE)-_xlfn.NORM.DIST(BC$2,$D9,$E9,TRUE))</f>
        <v/>
      </c>
      <c r="BD9">
        <f>IF(NOT(ISNUMBER($D9)),"",_xlfn.NORM.DIST(BD$1,$D9,$E9,TRUE)-_xlfn.NORM.DIST(BD$2,$D9,$E9,TRUE))</f>
        <v/>
      </c>
      <c r="BE9">
        <f>IF(NOT(ISNUMBER($D9)),"",_xlfn.NORM.DIST(BE$1,$D9,$E9,TRUE)-_xlfn.NORM.DIST(BE$2,$D9,$E9,TRUE))</f>
        <v/>
      </c>
      <c r="BF9">
        <f>IF(NOT(ISNUMBER($D9)),"",_xlfn.NORM.DIST(BF$1,$D9,$E9,TRUE)-_xlfn.NORM.DIST(BF$2,$D9,$E9,TRUE))</f>
        <v/>
      </c>
      <c r="BG9">
        <f>IF(NOT(ISNUMBER($D9)),"",_xlfn.NORM.DIST(BG$1,$D9,$E9,TRUE)-_xlfn.NORM.DIST(BG$2,$D9,$E9,TRUE))</f>
        <v/>
      </c>
      <c r="BH9">
        <f>IF(NOT(ISNUMBER($D9)),"",_xlfn.NORM.DIST(BH$1,$D9,$E9,TRUE)-_xlfn.NORM.DIST(BH$2,$D9,$E9,TRUE))</f>
        <v/>
      </c>
      <c r="BI9">
        <f>IF(NOT(ISNUMBER($D9)),"",_xlfn.NORM.DIST(BI$1,$D9,$E9,TRUE)-_xlfn.NORM.DIST(BI$2,$D9,$E9,TRUE))</f>
        <v/>
      </c>
      <c r="BJ9">
        <f>IF(NOT(ISNUMBER($D9)),"",_xlfn.NORM.DIST(BJ$1,$D9,$E9,TRUE)-_xlfn.NORM.DIST(BJ$2,$D9,$E9,TRUE))</f>
        <v/>
      </c>
      <c r="BK9">
        <f>IF(NOT(ISNUMBER($D9)),"",_xlfn.NORM.DIST(BK$1,$D9,$E9,TRUE)-_xlfn.NORM.DIST(BK$2,$D9,$E9,TRUE))</f>
        <v/>
      </c>
      <c r="BL9">
        <f>IF(NOT(ISNUMBER($D9)),"",_xlfn.NORM.DIST(BL$1,$D9,$E9,TRUE)-_xlfn.NORM.DIST(BL$2,$D9,$E9,TRUE))</f>
        <v/>
      </c>
      <c r="BM9">
        <f>IF(NOT(ISNUMBER($D9)),"",_xlfn.NORM.DIST(BM$1,$D9,$E9,TRUE)-_xlfn.NORM.DIST(BM$2,$D9,$E9,TRUE))</f>
        <v/>
      </c>
      <c r="BN9">
        <f>IF(NOT(ISNUMBER($D9)),"",_xlfn.NORM.DIST(BN$1,$D9,$E9,TRUE)-_xlfn.NORM.DIST(BN$2,$D9,$E9,TRUE))</f>
        <v/>
      </c>
      <c r="BO9">
        <f>IF(NOT(ISNUMBER($D9)),"",_xlfn.NORM.DIST(BO$1,$D9,$E9,TRUE)-_xlfn.NORM.DIST(BO$2,$D9,$E9,TRUE))</f>
        <v/>
      </c>
      <c r="BP9">
        <f>IF(NOT(ISNUMBER($D9)),"",_xlfn.NORM.DIST(BP$1,$D9,$E9,TRUE)-_xlfn.NORM.DIST(BP$2,$D9,$E9,TRUE))</f>
        <v/>
      </c>
      <c r="BQ9">
        <f>IF(NOT(ISNUMBER($D9)),"",_xlfn.NORM.DIST(BQ$1,$D9,$E9,TRUE)-_xlfn.NORM.DIST(BQ$2,$D9,$E9,TRUE))</f>
        <v/>
      </c>
      <c r="BR9">
        <f>IF(NOT(ISNUMBER($D9)),"",_xlfn.NORM.DIST(BR$1,$D9,$E9,TRUE)-_xlfn.NORM.DIST(BR$2,$D9,$E9,TRUE))</f>
        <v/>
      </c>
      <c r="BS9">
        <f>IF(NOT(ISNUMBER($D9)),"",_xlfn.NORM.DIST(BS$1,$D9,$E9,TRUE)-_xlfn.NORM.DIST(BS$2,$D9,$E9,TRUE))</f>
        <v/>
      </c>
      <c r="BT9">
        <f>IF(NOT(ISNUMBER($D9)),"",_xlfn.NORM.DIST(BT$1,$D9,$E9,TRUE)-_xlfn.NORM.DIST(BT$2,$D9,$E9,TRUE))</f>
        <v/>
      </c>
      <c r="BU9">
        <f>IF(NOT(ISNUMBER($D9)),"",_xlfn.NORM.DIST(BU$1,$D9,$E9,TRUE)-_xlfn.NORM.DIST(BU$2,$D9,$E9,TRUE))</f>
        <v/>
      </c>
      <c r="BV9">
        <f>IF(NOT(ISNUMBER($D9)),"",_xlfn.NORM.DIST(BV$1,$D9,$E9,TRUE)-_xlfn.NORM.DIST(BV$2,$D9,$E9,TRUE))</f>
        <v/>
      </c>
      <c r="BW9">
        <f>IF(NOT(ISNUMBER($D9)),"",_xlfn.NORM.DIST(BW$1,$D9,$E9,TRUE)-_xlfn.NORM.DIST(BW$2,$D9,$E9,TRUE))</f>
        <v/>
      </c>
      <c r="BX9">
        <f>IF(NOT(ISNUMBER($D9)),"",_xlfn.NORM.DIST(BX$1,$D9,$E9,TRUE)-_xlfn.NORM.DIST(BX$2,$D9,$E9,TRUE))</f>
        <v/>
      </c>
      <c r="BY9">
        <f>IF(NOT(ISNUMBER($D9)),"",_xlfn.NORM.DIST(BY$1,$D9,$E9,TRUE)-_xlfn.NORM.DIST(BY$2,$D9,$E9,TRUE))</f>
        <v/>
      </c>
      <c r="BZ9">
        <f>IF(NOT(ISNUMBER($D9)),"",_xlfn.NORM.DIST(BZ$1,$D9,$E9,TRUE)-_xlfn.NORM.DIST(BZ$2,$D9,$E9,TRUE))</f>
        <v/>
      </c>
      <c r="CA9">
        <f>IF(NOT(ISNUMBER($D9)),"",_xlfn.NORM.DIST(CA$1,$D9,$E9,TRUE)-_xlfn.NORM.DIST(CA$2,$D9,$E9,TRUE))</f>
        <v/>
      </c>
      <c r="CB9">
        <f>IF(NOT(ISNUMBER($D9)),"",_xlfn.NORM.DIST(CB$1,$D9,$E9,TRUE)-_xlfn.NORM.DIST(CB$2,$D9,$E9,TRUE))</f>
        <v/>
      </c>
      <c r="CC9">
        <f>IF(NOT(ISNUMBER($D9)),"",_xlfn.NORM.DIST(CC$1,$D9,$E9,TRUE)-_xlfn.NORM.DIST(CC$2,$D9,$E9,TRUE))</f>
        <v/>
      </c>
      <c r="CD9">
        <f>IF(NOT(ISNUMBER($D9)),"",_xlfn.NORM.DIST(CD$1,$D9,$E9,TRUE)-_xlfn.NORM.DIST(CD$2,$D9,$E9,TRUE))</f>
        <v/>
      </c>
      <c r="CE9">
        <f>IF(NOT(ISNUMBER($D9)),"",_xlfn.NORM.DIST(CE$1,$D9,$E9,TRUE)-_xlfn.NORM.DIST(CE$2,$D9,$E9,TRUE))</f>
        <v/>
      </c>
      <c r="CF9">
        <f>IF(NOT(ISNUMBER($D9)),"",_xlfn.NORM.DIST(CF$1,$D9,$E9,TRUE)-_xlfn.NORM.DIST(CF$2,$D9,$E9,TRUE))</f>
        <v/>
      </c>
      <c r="CG9">
        <f>IF(NOT(ISNUMBER($D9)),"",_xlfn.NORM.DIST(CG$1,$D9,$E9,TRUE)-_xlfn.NORM.DIST(CG$2,$D9,$E9,TRUE))</f>
        <v/>
      </c>
      <c r="CH9">
        <f>IF(NOT(ISNUMBER($D9)),"",_xlfn.NORM.DIST(CH$1,$D9,$E9,TRUE)-_xlfn.NORM.DIST(CH$2,$D9,$E9,TRUE))</f>
        <v/>
      </c>
      <c r="CI9">
        <f>IF(NOT(ISNUMBER($D9)),"",_xlfn.NORM.DIST(CI$1,$D9,$E9,TRUE)-_xlfn.NORM.DIST(CI$2,$D9,$E9,TRUE))</f>
        <v/>
      </c>
      <c r="CJ9">
        <f>IF(ISNUMBER($D9),SUM(F9:CI9),"")</f>
        <v/>
      </c>
    </row>
    <row r="10">
      <c r="A10">
        <f>economics!A9</f>
        <v/>
      </c>
      <c r="B10">
        <f>economics!B9</f>
        <v/>
      </c>
      <c r="C10">
        <f>economics!D9</f>
        <v/>
      </c>
      <c r="D10">
        <f>IF(ISNUMBER(economics!T9),economics!T9,"na")</f>
        <v/>
      </c>
      <c r="E10">
        <f>IF(ISNUMBER(D10),MAX(0.3*ABS(D10),0.000001),"na")</f>
        <v/>
      </c>
      <c r="F10">
        <f>IF(NOT(ISNUMBER($D10)),"",_xlfn.NORM.DIST(F$1,$D10,$E10,TRUE)-_xlfn.NORM.DIST(F$2,$D10,$E10,TRUE))</f>
        <v/>
      </c>
      <c r="G10">
        <f>IF(NOT(ISNUMBER($D10)),"",_xlfn.NORM.DIST(G$1,$D10,$E10,TRUE)-_xlfn.NORM.DIST(G$2,$D10,$E10,TRUE))</f>
        <v/>
      </c>
      <c r="H10">
        <f>IF(NOT(ISNUMBER($D10)),"",_xlfn.NORM.DIST(H$1,$D10,$E10,TRUE)-_xlfn.NORM.DIST(H$2,$D10,$E10,TRUE))</f>
        <v/>
      </c>
      <c r="I10">
        <f>IF(NOT(ISNUMBER($D10)),"",_xlfn.NORM.DIST(I$1,$D10,$E10,TRUE)-_xlfn.NORM.DIST(I$2,$D10,$E10,TRUE))</f>
        <v/>
      </c>
      <c r="J10">
        <f>IF(NOT(ISNUMBER($D10)),"",_xlfn.NORM.DIST(J$1,$D10,$E10,TRUE)-_xlfn.NORM.DIST(J$2,$D10,$E10,TRUE))</f>
        <v/>
      </c>
      <c r="K10">
        <f>IF(NOT(ISNUMBER($D10)),"",_xlfn.NORM.DIST(K$1,$D10,$E10,TRUE)-_xlfn.NORM.DIST(K$2,$D10,$E10,TRUE))</f>
        <v/>
      </c>
      <c r="L10">
        <f>IF(NOT(ISNUMBER($D10)),"",_xlfn.NORM.DIST(L$1,$D10,$E10,TRUE)-_xlfn.NORM.DIST(L$2,$D10,$E10,TRUE))</f>
        <v/>
      </c>
      <c r="M10">
        <f>IF(NOT(ISNUMBER($D10)),"",_xlfn.NORM.DIST(M$1,$D10,$E10,TRUE)-_xlfn.NORM.DIST(M$2,$D10,$E10,TRUE))</f>
        <v/>
      </c>
      <c r="N10">
        <f>IF(NOT(ISNUMBER($D10)),"",_xlfn.NORM.DIST(N$1,$D10,$E10,TRUE)-_xlfn.NORM.DIST(N$2,$D10,$E10,TRUE))</f>
        <v/>
      </c>
      <c r="O10">
        <f>IF(NOT(ISNUMBER($D10)),"",_xlfn.NORM.DIST(O$1,$D10,$E10,TRUE)-_xlfn.NORM.DIST(O$2,$D10,$E10,TRUE))</f>
        <v/>
      </c>
      <c r="P10">
        <f>IF(NOT(ISNUMBER($D10)),"",_xlfn.NORM.DIST(P$1,$D10,$E10,TRUE)-_xlfn.NORM.DIST(P$2,$D10,$E10,TRUE))</f>
        <v/>
      </c>
      <c r="Q10">
        <f>IF(NOT(ISNUMBER($D10)),"",_xlfn.NORM.DIST(Q$1,$D10,$E10,TRUE)-_xlfn.NORM.DIST(Q$2,$D10,$E10,TRUE))</f>
        <v/>
      </c>
      <c r="R10">
        <f>IF(NOT(ISNUMBER($D10)),"",_xlfn.NORM.DIST(R$1,$D10,$E10,TRUE)-_xlfn.NORM.DIST(R$2,$D10,$E10,TRUE))</f>
        <v/>
      </c>
      <c r="S10">
        <f>IF(NOT(ISNUMBER($D10)),"",_xlfn.NORM.DIST(S$1,$D10,$E10,TRUE)-_xlfn.NORM.DIST(S$2,$D10,$E10,TRUE))</f>
        <v/>
      </c>
      <c r="T10">
        <f>IF(NOT(ISNUMBER($D10)),"",_xlfn.NORM.DIST(T$1,$D10,$E10,TRUE)-_xlfn.NORM.DIST(T$2,$D10,$E10,TRUE))</f>
        <v/>
      </c>
      <c r="U10">
        <f>IF(NOT(ISNUMBER($D10)),"",_xlfn.NORM.DIST(U$1,$D10,$E10,TRUE)-_xlfn.NORM.DIST(U$2,$D10,$E10,TRUE))</f>
        <v/>
      </c>
      <c r="V10">
        <f>IF(NOT(ISNUMBER($D10)),"",_xlfn.NORM.DIST(V$1,$D10,$E10,TRUE)-_xlfn.NORM.DIST(V$2,$D10,$E10,TRUE))</f>
        <v/>
      </c>
      <c r="W10">
        <f>IF(NOT(ISNUMBER($D10)),"",_xlfn.NORM.DIST(W$1,$D10,$E10,TRUE)-_xlfn.NORM.DIST(W$2,$D10,$E10,TRUE))</f>
        <v/>
      </c>
      <c r="X10">
        <f>IF(NOT(ISNUMBER($D10)),"",_xlfn.NORM.DIST(X$1,$D10,$E10,TRUE)-_xlfn.NORM.DIST(X$2,$D10,$E10,TRUE))</f>
        <v/>
      </c>
      <c r="Y10">
        <f>IF(NOT(ISNUMBER($D10)),"",_xlfn.NORM.DIST(Y$1,$D10,$E10,TRUE)-_xlfn.NORM.DIST(Y$2,$D10,$E10,TRUE))</f>
        <v/>
      </c>
      <c r="Z10">
        <f>IF(NOT(ISNUMBER($D10)),"",_xlfn.NORM.DIST(Z$1,$D10,$E10,TRUE)-_xlfn.NORM.DIST(Z$2,$D10,$E10,TRUE))</f>
        <v/>
      </c>
      <c r="AA10">
        <f>IF(NOT(ISNUMBER($D10)),"",_xlfn.NORM.DIST(AA$1,$D10,$E10,TRUE)-_xlfn.NORM.DIST(AA$2,$D10,$E10,TRUE))</f>
        <v/>
      </c>
      <c r="AB10">
        <f>IF(NOT(ISNUMBER($D10)),"",_xlfn.NORM.DIST(AB$1,$D10,$E10,TRUE)-_xlfn.NORM.DIST(AB$2,$D10,$E10,TRUE))</f>
        <v/>
      </c>
      <c r="AC10">
        <f>IF(NOT(ISNUMBER($D10)),"",_xlfn.NORM.DIST(AC$1,$D10,$E10,TRUE)-_xlfn.NORM.DIST(AC$2,$D10,$E10,TRUE))</f>
        <v/>
      </c>
      <c r="AD10">
        <f>IF(NOT(ISNUMBER($D10)),"",_xlfn.NORM.DIST(AD$1,$D10,$E10,TRUE)-_xlfn.NORM.DIST(AD$2,$D10,$E10,TRUE))</f>
        <v/>
      </c>
      <c r="AE10">
        <f>IF(NOT(ISNUMBER($D10)),"",_xlfn.NORM.DIST(AE$1,$D10,$E10,TRUE)-_xlfn.NORM.DIST(AE$2,$D10,$E10,TRUE))</f>
        <v/>
      </c>
      <c r="AF10">
        <f>IF(NOT(ISNUMBER($D10)),"",_xlfn.NORM.DIST(AF$1,$D10,$E10,TRUE)-_xlfn.NORM.DIST(AF$2,$D10,$E10,TRUE))</f>
        <v/>
      </c>
      <c r="AG10">
        <f>IF(NOT(ISNUMBER($D10)),"",_xlfn.NORM.DIST(AG$1,$D10,$E10,TRUE)-_xlfn.NORM.DIST(AG$2,$D10,$E10,TRUE))</f>
        <v/>
      </c>
      <c r="AH10">
        <f>IF(NOT(ISNUMBER($D10)),"",_xlfn.NORM.DIST(AH$1,$D10,$E10,TRUE)-_xlfn.NORM.DIST(AH$2,$D10,$E10,TRUE))</f>
        <v/>
      </c>
      <c r="AI10">
        <f>IF(NOT(ISNUMBER($D10)),"",_xlfn.NORM.DIST(AI$1,$D10,$E10,TRUE)-_xlfn.NORM.DIST(AI$2,$D10,$E10,TRUE))</f>
        <v/>
      </c>
      <c r="AJ10">
        <f>IF(NOT(ISNUMBER($D10)),"",_xlfn.NORM.DIST(AJ$1,$D10,$E10,TRUE)-_xlfn.NORM.DIST(AJ$2,$D10,$E10,TRUE))</f>
        <v/>
      </c>
      <c r="AK10">
        <f>IF(NOT(ISNUMBER($D10)),"",_xlfn.NORM.DIST(AK$1,$D10,$E10,TRUE)-_xlfn.NORM.DIST(AK$2,$D10,$E10,TRUE))</f>
        <v/>
      </c>
      <c r="AL10">
        <f>IF(NOT(ISNUMBER($D10)),"",_xlfn.NORM.DIST(AL$1,$D10,$E10,TRUE)-_xlfn.NORM.DIST(AL$2,$D10,$E10,TRUE))</f>
        <v/>
      </c>
      <c r="AM10">
        <f>IF(NOT(ISNUMBER($D10)),"",_xlfn.NORM.DIST(AM$1,$D10,$E10,TRUE)-_xlfn.NORM.DIST(AM$2,$D10,$E10,TRUE))</f>
        <v/>
      </c>
      <c r="AN10">
        <f>IF(NOT(ISNUMBER($D10)),"",_xlfn.NORM.DIST(AN$1,$D10,$E10,TRUE)-_xlfn.NORM.DIST(AN$2,$D10,$E10,TRUE))</f>
        <v/>
      </c>
      <c r="AO10">
        <f>IF(NOT(ISNUMBER($D10)),"",_xlfn.NORM.DIST(AO$1,$D10,$E10,TRUE)-_xlfn.NORM.DIST(AO$2,$D10,$E10,TRUE))</f>
        <v/>
      </c>
      <c r="AP10">
        <f>IF(NOT(ISNUMBER($D10)),"",_xlfn.NORM.DIST(AP$1,$D10,$E10,TRUE)-_xlfn.NORM.DIST(AP$2,$D10,$E10,TRUE))</f>
        <v/>
      </c>
      <c r="AQ10">
        <f>IF(NOT(ISNUMBER($D10)),"",_xlfn.NORM.DIST(AQ$1,$D10,$E10,TRUE)-_xlfn.NORM.DIST(AQ$2,$D10,$E10,TRUE))</f>
        <v/>
      </c>
      <c r="AR10">
        <f>IF(NOT(ISNUMBER($D10)),"",_xlfn.NORM.DIST(AR$1,$D10,$E10,TRUE)-_xlfn.NORM.DIST(AR$2,$D10,$E10,TRUE))</f>
        <v/>
      </c>
      <c r="AS10">
        <f>IF(NOT(ISNUMBER($D10)),"",_xlfn.NORM.DIST(AS$1,$D10,$E10,TRUE)-_xlfn.NORM.DIST(AS$2,$D10,$E10,TRUE))</f>
        <v/>
      </c>
      <c r="AT10">
        <f>IF(NOT(ISNUMBER($D10)),"",_xlfn.NORM.DIST(AT$1,$D10,$E10,TRUE)-_xlfn.NORM.DIST(AT$2,$D10,$E10,TRUE))</f>
        <v/>
      </c>
      <c r="AU10">
        <f>IF(NOT(ISNUMBER($D10)),"",_xlfn.NORM.DIST(AU$1,$D10,$E10,TRUE)-_xlfn.NORM.DIST(AU$2,$D10,$E10,TRUE))</f>
        <v/>
      </c>
      <c r="AV10">
        <f>IF(NOT(ISNUMBER($D10)),"",_xlfn.NORM.DIST(AV$1,$D10,$E10,TRUE)-_xlfn.NORM.DIST(AV$2,$D10,$E10,TRUE))</f>
        <v/>
      </c>
      <c r="AW10">
        <f>IF(NOT(ISNUMBER($D10)),"",_xlfn.NORM.DIST(AW$1,$D10,$E10,TRUE)-_xlfn.NORM.DIST(AW$2,$D10,$E10,TRUE))</f>
        <v/>
      </c>
      <c r="AX10">
        <f>IF(NOT(ISNUMBER($D10)),"",_xlfn.NORM.DIST(AX$1,$D10,$E10,TRUE)-_xlfn.NORM.DIST(AX$2,$D10,$E10,TRUE))</f>
        <v/>
      </c>
      <c r="AY10">
        <f>IF(NOT(ISNUMBER($D10)),"",_xlfn.NORM.DIST(AY$1,$D10,$E10,TRUE)-_xlfn.NORM.DIST(AY$2,$D10,$E10,TRUE))</f>
        <v/>
      </c>
      <c r="AZ10">
        <f>IF(NOT(ISNUMBER($D10)),"",_xlfn.NORM.DIST(AZ$1,$D10,$E10,TRUE)-_xlfn.NORM.DIST(AZ$2,$D10,$E10,TRUE))</f>
        <v/>
      </c>
      <c r="BA10">
        <f>IF(NOT(ISNUMBER($D10)),"",_xlfn.NORM.DIST(BA$1,$D10,$E10,TRUE)-_xlfn.NORM.DIST(BA$2,$D10,$E10,TRUE))</f>
        <v/>
      </c>
      <c r="BB10">
        <f>IF(NOT(ISNUMBER($D10)),"",_xlfn.NORM.DIST(BB$1,$D10,$E10,TRUE)-_xlfn.NORM.DIST(BB$2,$D10,$E10,TRUE))</f>
        <v/>
      </c>
      <c r="BC10">
        <f>IF(NOT(ISNUMBER($D10)),"",_xlfn.NORM.DIST(BC$1,$D10,$E10,TRUE)-_xlfn.NORM.DIST(BC$2,$D10,$E10,TRUE))</f>
        <v/>
      </c>
      <c r="BD10">
        <f>IF(NOT(ISNUMBER($D10)),"",_xlfn.NORM.DIST(BD$1,$D10,$E10,TRUE)-_xlfn.NORM.DIST(BD$2,$D10,$E10,TRUE))</f>
        <v/>
      </c>
      <c r="BE10">
        <f>IF(NOT(ISNUMBER($D10)),"",_xlfn.NORM.DIST(BE$1,$D10,$E10,TRUE)-_xlfn.NORM.DIST(BE$2,$D10,$E10,TRUE))</f>
        <v/>
      </c>
      <c r="BF10">
        <f>IF(NOT(ISNUMBER($D10)),"",_xlfn.NORM.DIST(BF$1,$D10,$E10,TRUE)-_xlfn.NORM.DIST(BF$2,$D10,$E10,TRUE))</f>
        <v/>
      </c>
      <c r="BG10">
        <f>IF(NOT(ISNUMBER($D10)),"",_xlfn.NORM.DIST(BG$1,$D10,$E10,TRUE)-_xlfn.NORM.DIST(BG$2,$D10,$E10,TRUE))</f>
        <v/>
      </c>
      <c r="BH10">
        <f>IF(NOT(ISNUMBER($D10)),"",_xlfn.NORM.DIST(BH$1,$D10,$E10,TRUE)-_xlfn.NORM.DIST(BH$2,$D10,$E10,TRUE))</f>
        <v/>
      </c>
      <c r="BI10">
        <f>IF(NOT(ISNUMBER($D10)),"",_xlfn.NORM.DIST(BI$1,$D10,$E10,TRUE)-_xlfn.NORM.DIST(BI$2,$D10,$E10,TRUE))</f>
        <v/>
      </c>
      <c r="BJ10">
        <f>IF(NOT(ISNUMBER($D10)),"",_xlfn.NORM.DIST(BJ$1,$D10,$E10,TRUE)-_xlfn.NORM.DIST(BJ$2,$D10,$E10,TRUE))</f>
        <v/>
      </c>
      <c r="BK10">
        <f>IF(NOT(ISNUMBER($D10)),"",_xlfn.NORM.DIST(BK$1,$D10,$E10,TRUE)-_xlfn.NORM.DIST(BK$2,$D10,$E10,TRUE))</f>
        <v/>
      </c>
      <c r="BL10">
        <f>IF(NOT(ISNUMBER($D10)),"",_xlfn.NORM.DIST(BL$1,$D10,$E10,TRUE)-_xlfn.NORM.DIST(BL$2,$D10,$E10,TRUE))</f>
        <v/>
      </c>
      <c r="BM10">
        <f>IF(NOT(ISNUMBER($D10)),"",_xlfn.NORM.DIST(BM$1,$D10,$E10,TRUE)-_xlfn.NORM.DIST(BM$2,$D10,$E10,TRUE))</f>
        <v/>
      </c>
      <c r="BN10">
        <f>IF(NOT(ISNUMBER($D10)),"",_xlfn.NORM.DIST(BN$1,$D10,$E10,TRUE)-_xlfn.NORM.DIST(BN$2,$D10,$E10,TRUE))</f>
        <v/>
      </c>
      <c r="BO10">
        <f>IF(NOT(ISNUMBER($D10)),"",_xlfn.NORM.DIST(BO$1,$D10,$E10,TRUE)-_xlfn.NORM.DIST(BO$2,$D10,$E10,TRUE))</f>
        <v/>
      </c>
      <c r="BP10">
        <f>IF(NOT(ISNUMBER($D10)),"",_xlfn.NORM.DIST(BP$1,$D10,$E10,TRUE)-_xlfn.NORM.DIST(BP$2,$D10,$E10,TRUE))</f>
        <v/>
      </c>
      <c r="BQ10">
        <f>IF(NOT(ISNUMBER($D10)),"",_xlfn.NORM.DIST(BQ$1,$D10,$E10,TRUE)-_xlfn.NORM.DIST(BQ$2,$D10,$E10,TRUE))</f>
        <v/>
      </c>
      <c r="BR10">
        <f>IF(NOT(ISNUMBER($D10)),"",_xlfn.NORM.DIST(BR$1,$D10,$E10,TRUE)-_xlfn.NORM.DIST(BR$2,$D10,$E10,TRUE))</f>
        <v/>
      </c>
      <c r="BS10">
        <f>IF(NOT(ISNUMBER($D10)),"",_xlfn.NORM.DIST(BS$1,$D10,$E10,TRUE)-_xlfn.NORM.DIST(BS$2,$D10,$E10,TRUE))</f>
        <v/>
      </c>
      <c r="BT10">
        <f>IF(NOT(ISNUMBER($D10)),"",_xlfn.NORM.DIST(BT$1,$D10,$E10,TRUE)-_xlfn.NORM.DIST(BT$2,$D10,$E10,TRUE))</f>
        <v/>
      </c>
      <c r="BU10">
        <f>IF(NOT(ISNUMBER($D10)),"",_xlfn.NORM.DIST(BU$1,$D10,$E10,TRUE)-_xlfn.NORM.DIST(BU$2,$D10,$E10,TRUE))</f>
        <v/>
      </c>
      <c r="BV10">
        <f>IF(NOT(ISNUMBER($D10)),"",_xlfn.NORM.DIST(BV$1,$D10,$E10,TRUE)-_xlfn.NORM.DIST(BV$2,$D10,$E10,TRUE))</f>
        <v/>
      </c>
      <c r="BW10">
        <f>IF(NOT(ISNUMBER($D10)),"",_xlfn.NORM.DIST(BW$1,$D10,$E10,TRUE)-_xlfn.NORM.DIST(BW$2,$D10,$E10,TRUE))</f>
        <v/>
      </c>
      <c r="BX10">
        <f>IF(NOT(ISNUMBER($D10)),"",_xlfn.NORM.DIST(BX$1,$D10,$E10,TRUE)-_xlfn.NORM.DIST(BX$2,$D10,$E10,TRUE))</f>
        <v/>
      </c>
      <c r="BY10">
        <f>IF(NOT(ISNUMBER($D10)),"",_xlfn.NORM.DIST(BY$1,$D10,$E10,TRUE)-_xlfn.NORM.DIST(BY$2,$D10,$E10,TRUE))</f>
        <v/>
      </c>
      <c r="BZ10">
        <f>IF(NOT(ISNUMBER($D10)),"",_xlfn.NORM.DIST(BZ$1,$D10,$E10,TRUE)-_xlfn.NORM.DIST(BZ$2,$D10,$E10,TRUE))</f>
        <v/>
      </c>
      <c r="CA10">
        <f>IF(NOT(ISNUMBER($D10)),"",_xlfn.NORM.DIST(CA$1,$D10,$E10,TRUE)-_xlfn.NORM.DIST(CA$2,$D10,$E10,TRUE))</f>
        <v/>
      </c>
      <c r="CB10">
        <f>IF(NOT(ISNUMBER($D10)),"",_xlfn.NORM.DIST(CB$1,$D10,$E10,TRUE)-_xlfn.NORM.DIST(CB$2,$D10,$E10,TRUE))</f>
        <v/>
      </c>
      <c r="CC10">
        <f>IF(NOT(ISNUMBER($D10)),"",_xlfn.NORM.DIST(CC$1,$D10,$E10,TRUE)-_xlfn.NORM.DIST(CC$2,$D10,$E10,TRUE))</f>
        <v/>
      </c>
      <c r="CD10">
        <f>IF(NOT(ISNUMBER($D10)),"",_xlfn.NORM.DIST(CD$1,$D10,$E10,TRUE)-_xlfn.NORM.DIST(CD$2,$D10,$E10,TRUE))</f>
        <v/>
      </c>
      <c r="CE10">
        <f>IF(NOT(ISNUMBER($D10)),"",_xlfn.NORM.DIST(CE$1,$D10,$E10,TRUE)-_xlfn.NORM.DIST(CE$2,$D10,$E10,TRUE))</f>
        <v/>
      </c>
      <c r="CF10">
        <f>IF(NOT(ISNUMBER($D10)),"",_xlfn.NORM.DIST(CF$1,$D10,$E10,TRUE)-_xlfn.NORM.DIST(CF$2,$D10,$E10,TRUE))</f>
        <v/>
      </c>
      <c r="CG10">
        <f>IF(NOT(ISNUMBER($D10)),"",_xlfn.NORM.DIST(CG$1,$D10,$E10,TRUE)-_xlfn.NORM.DIST(CG$2,$D10,$E10,TRUE))</f>
        <v/>
      </c>
      <c r="CH10">
        <f>IF(NOT(ISNUMBER($D10)),"",_xlfn.NORM.DIST(CH$1,$D10,$E10,TRUE)-_xlfn.NORM.DIST(CH$2,$D10,$E10,TRUE))</f>
        <v/>
      </c>
      <c r="CI10">
        <f>IF(NOT(ISNUMBER($D10)),"",_xlfn.NORM.DIST(CI$1,$D10,$E10,TRUE)-_xlfn.NORM.DIST(CI$2,$D10,$E10,TRUE))</f>
        <v/>
      </c>
      <c r="CJ10">
        <f>IF(ISNUMBER($D10),SUM(F10:CI10),"")</f>
        <v/>
      </c>
    </row>
    <row r="11">
      <c r="A11">
        <f>economics!A10</f>
        <v/>
      </c>
      <c r="B11">
        <f>economics!B10</f>
        <v/>
      </c>
      <c r="C11">
        <f>economics!D10</f>
        <v/>
      </c>
      <c r="D11">
        <f>IF(ISNUMBER(economics!T10),economics!T10,"na")</f>
        <v/>
      </c>
      <c r="E11">
        <f>IF(ISNUMBER(D11),MAX(0.3*ABS(D11),0.000001),"na")</f>
        <v/>
      </c>
      <c r="F11">
        <f>IF(NOT(ISNUMBER($D11)),"",_xlfn.NORM.DIST(F$1,$D11,$E11,TRUE)-_xlfn.NORM.DIST(F$2,$D11,$E11,TRUE))</f>
        <v/>
      </c>
      <c r="G11">
        <f>IF(NOT(ISNUMBER($D11)),"",_xlfn.NORM.DIST(G$1,$D11,$E11,TRUE)-_xlfn.NORM.DIST(G$2,$D11,$E11,TRUE))</f>
        <v/>
      </c>
      <c r="H11">
        <f>IF(NOT(ISNUMBER($D11)),"",_xlfn.NORM.DIST(H$1,$D11,$E11,TRUE)-_xlfn.NORM.DIST(H$2,$D11,$E11,TRUE))</f>
        <v/>
      </c>
      <c r="I11">
        <f>IF(NOT(ISNUMBER($D11)),"",_xlfn.NORM.DIST(I$1,$D11,$E11,TRUE)-_xlfn.NORM.DIST(I$2,$D11,$E11,TRUE))</f>
        <v/>
      </c>
      <c r="J11">
        <f>IF(NOT(ISNUMBER($D11)),"",_xlfn.NORM.DIST(J$1,$D11,$E11,TRUE)-_xlfn.NORM.DIST(J$2,$D11,$E11,TRUE))</f>
        <v/>
      </c>
      <c r="K11">
        <f>IF(NOT(ISNUMBER($D11)),"",_xlfn.NORM.DIST(K$1,$D11,$E11,TRUE)-_xlfn.NORM.DIST(K$2,$D11,$E11,TRUE))</f>
        <v/>
      </c>
      <c r="L11">
        <f>IF(NOT(ISNUMBER($D11)),"",_xlfn.NORM.DIST(L$1,$D11,$E11,TRUE)-_xlfn.NORM.DIST(L$2,$D11,$E11,TRUE))</f>
        <v/>
      </c>
      <c r="M11">
        <f>IF(NOT(ISNUMBER($D11)),"",_xlfn.NORM.DIST(M$1,$D11,$E11,TRUE)-_xlfn.NORM.DIST(M$2,$D11,$E11,TRUE))</f>
        <v/>
      </c>
      <c r="N11">
        <f>IF(NOT(ISNUMBER($D11)),"",_xlfn.NORM.DIST(N$1,$D11,$E11,TRUE)-_xlfn.NORM.DIST(N$2,$D11,$E11,TRUE))</f>
        <v/>
      </c>
      <c r="O11">
        <f>IF(NOT(ISNUMBER($D11)),"",_xlfn.NORM.DIST(O$1,$D11,$E11,TRUE)-_xlfn.NORM.DIST(O$2,$D11,$E11,TRUE))</f>
        <v/>
      </c>
      <c r="P11">
        <f>IF(NOT(ISNUMBER($D11)),"",_xlfn.NORM.DIST(P$1,$D11,$E11,TRUE)-_xlfn.NORM.DIST(P$2,$D11,$E11,TRUE))</f>
        <v/>
      </c>
      <c r="Q11">
        <f>IF(NOT(ISNUMBER($D11)),"",_xlfn.NORM.DIST(Q$1,$D11,$E11,TRUE)-_xlfn.NORM.DIST(Q$2,$D11,$E11,TRUE))</f>
        <v/>
      </c>
      <c r="R11">
        <f>IF(NOT(ISNUMBER($D11)),"",_xlfn.NORM.DIST(R$1,$D11,$E11,TRUE)-_xlfn.NORM.DIST(R$2,$D11,$E11,TRUE))</f>
        <v/>
      </c>
      <c r="S11">
        <f>IF(NOT(ISNUMBER($D11)),"",_xlfn.NORM.DIST(S$1,$D11,$E11,TRUE)-_xlfn.NORM.DIST(S$2,$D11,$E11,TRUE))</f>
        <v/>
      </c>
      <c r="T11">
        <f>IF(NOT(ISNUMBER($D11)),"",_xlfn.NORM.DIST(T$1,$D11,$E11,TRUE)-_xlfn.NORM.DIST(T$2,$D11,$E11,TRUE))</f>
        <v/>
      </c>
      <c r="U11">
        <f>IF(NOT(ISNUMBER($D11)),"",_xlfn.NORM.DIST(U$1,$D11,$E11,TRUE)-_xlfn.NORM.DIST(U$2,$D11,$E11,TRUE))</f>
        <v/>
      </c>
      <c r="V11">
        <f>IF(NOT(ISNUMBER($D11)),"",_xlfn.NORM.DIST(V$1,$D11,$E11,TRUE)-_xlfn.NORM.DIST(V$2,$D11,$E11,TRUE))</f>
        <v/>
      </c>
      <c r="W11">
        <f>IF(NOT(ISNUMBER($D11)),"",_xlfn.NORM.DIST(W$1,$D11,$E11,TRUE)-_xlfn.NORM.DIST(W$2,$D11,$E11,TRUE))</f>
        <v/>
      </c>
      <c r="X11">
        <f>IF(NOT(ISNUMBER($D11)),"",_xlfn.NORM.DIST(X$1,$D11,$E11,TRUE)-_xlfn.NORM.DIST(X$2,$D11,$E11,TRUE))</f>
        <v/>
      </c>
      <c r="Y11">
        <f>IF(NOT(ISNUMBER($D11)),"",_xlfn.NORM.DIST(Y$1,$D11,$E11,TRUE)-_xlfn.NORM.DIST(Y$2,$D11,$E11,TRUE))</f>
        <v/>
      </c>
      <c r="Z11">
        <f>IF(NOT(ISNUMBER($D11)),"",_xlfn.NORM.DIST(Z$1,$D11,$E11,TRUE)-_xlfn.NORM.DIST(Z$2,$D11,$E11,TRUE))</f>
        <v/>
      </c>
      <c r="AA11">
        <f>IF(NOT(ISNUMBER($D11)),"",_xlfn.NORM.DIST(AA$1,$D11,$E11,TRUE)-_xlfn.NORM.DIST(AA$2,$D11,$E11,TRUE))</f>
        <v/>
      </c>
      <c r="AB11">
        <f>IF(NOT(ISNUMBER($D11)),"",_xlfn.NORM.DIST(AB$1,$D11,$E11,TRUE)-_xlfn.NORM.DIST(AB$2,$D11,$E11,TRUE))</f>
        <v/>
      </c>
      <c r="AC11">
        <f>IF(NOT(ISNUMBER($D11)),"",_xlfn.NORM.DIST(AC$1,$D11,$E11,TRUE)-_xlfn.NORM.DIST(AC$2,$D11,$E11,TRUE))</f>
        <v/>
      </c>
      <c r="AD11">
        <f>IF(NOT(ISNUMBER($D11)),"",_xlfn.NORM.DIST(AD$1,$D11,$E11,TRUE)-_xlfn.NORM.DIST(AD$2,$D11,$E11,TRUE))</f>
        <v/>
      </c>
      <c r="AE11">
        <f>IF(NOT(ISNUMBER($D11)),"",_xlfn.NORM.DIST(AE$1,$D11,$E11,TRUE)-_xlfn.NORM.DIST(AE$2,$D11,$E11,TRUE))</f>
        <v/>
      </c>
      <c r="AF11">
        <f>IF(NOT(ISNUMBER($D11)),"",_xlfn.NORM.DIST(AF$1,$D11,$E11,TRUE)-_xlfn.NORM.DIST(AF$2,$D11,$E11,TRUE))</f>
        <v/>
      </c>
      <c r="AG11">
        <f>IF(NOT(ISNUMBER($D11)),"",_xlfn.NORM.DIST(AG$1,$D11,$E11,TRUE)-_xlfn.NORM.DIST(AG$2,$D11,$E11,TRUE))</f>
        <v/>
      </c>
      <c r="AH11">
        <f>IF(NOT(ISNUMBER($D11)),"",_xlfn.NORM.DIST(AH$1,$D11,$E11,TRUE)-_xlfn.NORM.DIST(AH$2,$D11,$E11,TRUE))</f>
        <v/>
      </c>
      <c r="AI11">
        <f>IF(NOT(ISNUMBER($D11)),"",_xlfn.NORM.DIST(AI$1,$D11,$E11,TRUE)-_xlfn.NORM.DIST(AI$2,$D11,$E11,TRUE))</f>
        <v/>
      </c>
      <c r="AJ11">
        <f>IF(NOT(ISNUMBER($D11)),"",_xlfn.NORM.DIST(AJ$1,$D11,$E11,TRUE)-_xlfn.NORM.DIST(AJ$2,$D11,$E11,TRUE))</f>
        <v/>
      </c>
      <c r="AK11">
        <f>IF(NOT(ISNUMBER($D11)),"",_xlfn.NORM.DIST(AK$1,$D11,$E11,TRUE)-_xlfn.NORM.DIST(AK$2,$D11,$E11,TRUE))</f>
        <v/>
      </c>
      <c r="AL11">
        <f>IF(NOT(ISNUMBER($D11)),"",_xlfn.NORM.DIST(AL$1,$D11,$E11,TRUE)-_xlfn.NORM.DIST(AL$2,$D11,$E11,TRUE))</f>
        <v/>
      </c>
      <c r="AM11">
        <f>IF(NOT(ISNUMBER($D11)),"",_xlfn.NORM.DIST(AM$1,$D11,$E11,TRUE)-_xlfn.NORM.DIST(AM$2,$D11,$E11,TRUE))</f>
        <v/>
      </c>
      <c r="AN11">
        <f>IF(NOT(ISNUMBER($D11)),"",_xlfn.NORM.DIST(AN$1,$D11,$E11,TRUE)-_xlfn.NORM.DIST(AN$2,$D11,$E11,TRUE))</f>
        <v/>
      </c>
      <c r="AO11">
        <f>IF(NOT(ISNUMBER($D11)),"",_xlfn.NORM.DIST(AO$1,$D11,$E11,TRUE)-_xlfn.NORM.DIST(AO$2,$D11,$E11,TRUE))</f>
        <v/>
      </c>
      <c r="AP11">
        <f>IF(NOT(ISNUMBER($D11)),"",_xlfn.NORM.DIST(AP$1,$D11,$E11,TRUE)-_xlfn.NORM.DIST(AP$2,$D11,$E11,TRUE))</f>
        <v/>
      </c>
      <c r="AQ11">
        <f>IF(NOT(ISNUMBER($D11)),"",_xlfn.NORM.DIST(AQ$1,$D11,$E11,TRUE)-_xlfn.NORM.DIST(AQ$2,$D11,$E11,TRUE))</f>
        <v/>
      </c>
      <c r="AR11">
        <f>IF(NOT(ISNUMBER($D11)),"",_xlfn.NORM.DIST(AR$1,$D11,$E11,TRUE)-_xlfn.NORM.DIST(AR$2,$D11,$E11,TRUE))</f>
        <v/>
      </c>
      <c r="AS11">
        <f>IF(NOT(ISNUMBER($D11)),"",_xlfn.NORM.DIST(AS$1,$D11,$E11,TRUE)-_xlfn.NORM.DIST(AS$2,$D11,$E11,TRUE))</f>
        <v/>
      </c>
      <c r="AT11">
        <f>IF(NOT(ISNUMBER($D11)),"",_xlfn.NORM.DIST(AT$1,$D11,$E11,TRUE)-_xlfn.NORM.DIST(AT$2,$D11,$E11,TRUE))</f>
        <v/>
      </c>
      <c r="AU11">
        <f>IF(NOT(ISNUMBER($D11)),"",_xlfn.NORM.DIST(AU$1,$D11,$E11,TRUE)-_xlfn.NORM.DIST(AU$2,$D11,$E11,TRUE))</f>
        <v/>
      </c>
      <c r="AV11">
        <f>IF(NOT(ISNUMBER($D11)),"",_xlfn.NORM.DIST(AV$1,$D11,$E11,TRUE)-_xlfn.NORM.DIST(AV$2,$D11,$E11,TRUE))</f>
        <v/>
      </c>
      <c r="AW11">
        <f>IF(NOT(ISNUMBER($D11)),"",_xlfn.NORM.DIST(AW$1,$D11,$E11,TRUE)-_xlfn.NORM.DIST(AW$2,$D11,$E11,TRUE))</f>
        <v/>
      </c>
      <c r="AX11">
        <f>IF(NOT(ISNUMBER($D11)),"",_xlfn.NORM.DIST(AX$1,$D11,$E11,TRUE)-_xlfn.NORM.DIST(AX$2,$D11,$E11,TRUE))</f>
        <v/>
      </c>
      <c r="AY11">
        <f>IF(NOT(ISNUMBER($D11)),"",_xlfn.NORM.DIST(AY$1,$D11,$E11,TRUE)-_xlfn.NORM.DIST(AY$2,$D11,$E11,TRUE))</f>
        <v/>
      </c>
      <c r="AZ11">
        <f>IF(NOT(ISNUMBER($D11)),"",_xlfn.NORM.DIST(AZ$1,$D11,$E11,TRUE)-_xlfn.NORM.DIST(AZ$2,$D11,$E11,TRUE))</f>
        <v/>
      </c>
      <c r="BA11">
        <f>IF(NOT(ISNUMBER($D11)),"",_xlfn.NORM.DIST(BA$1,$D11,$E11,TRUE)-_xlfn.NORM.DIST(BA$2,$D11,$E11,TRUE))</f>
        <v/>
      </c>
      <c r="BB11">
        <f>IF(NOT(ISNUMBER($D11)),"",_xlfn.NORM.DIST(BB$1,$D11,$E11,TRUE)-_xlfn.NORM.DIST(BB$2,$D11,$E11,TRUE))</f>
        <v/>
      </c>
      <c r="BC11">
        <f>IF(NOT(ISNUMBER($D11)),"",_xlfn.NORM.DIST(BC$1,$D11,$E11,TRUE)-_xlfn.NORM.DIST(BC$2,$D11,$E11,TRUE))</f>
        <v/>
      </c>
      <c r="BD11">
        <f>IF(NOT(ISNUMBER($D11)),"",_xlfn.NORM.DIST(BD$1,$D11,$E11,TRUE)-_xlfn.NORM.DIST(BD$2,$D11,$E11,TRUE))</f>
        <v/>
      </c>
      <c r="BE11">
        <f>IF(NOT(ISNUMBER($D11)),"",_xlfn.NORM.DIST(BE$1,$D11,$E11,TRUE)-_xlfn.NORM.DIST(BE$2,$D11,$E11,TRUE))</f>
        <v/>
      </c>
      <c r="BF11">
        <f>IF(NOT(ISNUMBER($D11)),"",_xlfn.NORM.DIST(BF$1,$D11,$E11,TRUE)-_xlfn.NORM.DIST(BF$2,$D11,$E11,TRUE))</f>
        <v/>
      </c>
      <c r="BG11">
        <f>IF(NOT(ISNUMBER($D11)),"",_xlfn.NORM.DIST(BG$1,$D11,$E11,TRUE)-_xlfn.NORM.DIST(BG$2,$D11,$E11,TRUE))</f>
        <v/>
      </c>
      <c r="BH11">
        <f>IF(NOT(ISNUMBER($D11)),"",_xlfn.NORM.DIST(BH$1,$D11,$E11,TRUE)-_xlfn.NORM.DIST(BH$2,$D11,$E11,TRUE))</f>
        <v/>
      </c>
      <c r="BI11">
        <f>IF(NOT(ISNUMBER($D11)),"",_xlfn.NORM.DIST(BI$1,$D11,$E11,TRUE)-_xlfn.NORM.DIST(BI$2,$D11,$E11,TRUE))</f>
        <v/>
      </c>
      <c r="BJ11">
        <f>IF(NOT(ISNUMBER($D11)),"",_xlfn.NORM.DIST(BJ$1,$D11,$E11,TRUE)-_xlfn.NORM.DIST(BJ$2,$D11,$E11,TRUE))</f>
        <v/>
      </c>
      <c r="BK11">
        <f>IF(NOT(ISNUMBER($D11)),"",_xlfn.NORM.DIST(BK$1,$D11,$E11,TRUE)-_xlfn.NORM.DIST(BK$2,$D11,$E11,TRUE))</f>
        <v/>
      </c>
      <c r="BL11">
        <f>IF(NOT(ISNUMBER($D11)),"",_xlfn.NORM.DIST(BL$1,$D11,$E11,TRUE)-_xlfn.NORM.DIST(BL$2,$D11,$E11,TRUE))</f>
        <v/>
      </c>
      <c r="BM11">
        <f>IF(NOT(ISNUMBER($D11)),"",_xlfn.NORM.DIST(BM$1,$D11,$E11,TRUE)-_xlfn.NORM.DIST(BM$2,$D11,$E11,TRUE))</f>
        <v/>
      </c>
      <c r="BN11">
        <f>IF(NOT(ISNUMBER($D11)),"",_xlfn.NORM.DIST(BN$1,$D11,$E11,TRUE)-_xlfn.NORM.DIST(BN$2,$D11,$E11,TRUE))</f>
        <v/>
      </c>
      <c r="BO11">
        <f>IF(NOT(ISNUMBER($D11)),"",_xlfn.NORM.DIST(BO$1,$D11,$E11,TRUE)-_xlfn.NORM.DIST(BO$2,$D11,$E11,TRUE))</f>
        <v/>
      </c>
      <c r="BP11">
        <f>IF(NOT(ISNUMBER($D11)),"",_xlfn.NORM.DIST(BP$1,$D11,$E11,TRUE)-_xlfn.NORM.DIST(BP$2,$D11,$E11,TRUE))</f>
        <v/>
      </c>
      <c r="BQ11">
        <f>IF(NOT(ISNUMBER($D11)),"",_xlfn.NORM.DIST(BQ$1,$D11,$E11,TRUE)-_xlfn.NORM.DIST(BQ$2,$D11,$E11,TRUE))</f>
        <v/>
      </c>
      <c r="BR11">
        <f>IF(NOT(ISNUMBER($D11)),"",_xlfn.NORM.DIST(BR$1,$D11,$E11,TRUE)-_xlfn.NORM.DIST(BR$2,$D11,$E11,TRUE))</f>
        <v/>
      </c>
      <c r="BS11">
        <f>IF(NOT(ISNUMBER($D11)),"",_xlfn.NORM.DIST(BS$1,$D11,$E11,TRUE)-_xlfn.NORM.DIST(BS$2,$D11,$E11,TRUE))</f>
        <v/>
      </c>
      <c r="BT11">
        <f>IF(NOT(ISNUMBER($D11)),"",_xlfn.NORM.DIST(BT$1,$D11,$E11,TRUE)-_xlfn.NORM.DIST(BT$2,$D11,$E11,TRUE))</f>
        <v/>
      </c>
      <c r="BU11">
        <f>IF(NOT(ISNUMBER($D11)),"",_xlfn.NORM.DIST(BU$1,$D11,$E11,TRUE)-_xlfn.NORM.DIST(BU$2,$D11,$E11,TRUE))</f>
        <v/>
      </c>
      <c r="BV11">
        <f>IF(NOT(ISNUMBER($D11)),"",_xlfn.NORM.DIST(BV$1,$D11,$E11,TRUE)-_xlfn.NORM.DIST(BV$2,$D11,$E11,TRUE))</f>
        <v/>
      </c>
      <c r="BW11">
        <f>IF(NOT(ISNUMBER($D11)),"",_xlfn.NORM.DIST(BW$1,$D11,$E11,TRUE)-_xlfn.NORM.DIST(BW$2,$D11,$E11,TRUE))</f>
        <v/>
      </c>
      <c r="BX11">
        <f>IF(NOT(ISNUMBER($D11)),"",_xlfn.NORM.DIST(BX$1,$D11,$E11,TRUE)-_xlfn.NORM.DIST(BX$2,$D11,$E11,TRUE))</f>
        <v/>
      </c>
      <c r="BY11">
        <f>IF(NOT(ISNUMBER($D11)),"",_xlfn.NORM.DIST(BY$1,$D11,$E11,TRUE)-_xlfn.NORM.DIST(BY$2,$D11,$E11,TRUE))</f>
        <v/>
      </c>
      <c r="BZ11">
        <f>IF(NOT(ISNUMBER($D11)),"",_xlfn.NORM.DIST(BZ$1,$D11,$E11,TRUE)-_xlfn.NORM.DIST(BZ$2,$D11,$E11,TRUE))</f>
        <v/>
      </c>
      <c r="CA11">
        <f>IF(NOT(ISNUMBER($D11)),"",_xlfn.NORM.DIST(CA$1,$D11,$E11,TRUE)-_xlfn.NORM.DIST(CA$2,$D11,$E11,TRUE))</f>
        <v/>
      </c>
      <c r="CB11">
        <f>IF(NOT(ISNUMBER($D11)),"",_xlfn.NORM.DIST(CB$1,$D11,$E11,TRUE)-_xlfn.NORM.DIST(CB$2,$D11,$E11,TRUE))</f>
        <v/>
      </c>
      <c r="CC11">
        <f>IF(NOT(ISNUMBER($D11)),"",_xlfn.NORM.DIST(CC$1,$D11,$E11,TRUE)-_xlfn.NORM.DIST(CC$2,$D11,$E11,TRUE))</f>
        <v/>
      </c>
      <c r="CD11">
        <f>IF(NOT(ISNUMBER($D11)),"",_xlfn.NORM.DIST(CD$1,$D11,$E11,TRUE)-_xlfn.NORM.DIST(CD$2,$D11,$E11,TRUE))</f>
        <v/>
      </c>
      <c r="CE11">
        <f>IF(NOT(ISNUMBER($D11)),"",_xlfn.NORM.DIST(CE$1,$D11,$E11,TRUE)-_xlfn.NORM.DIST(CE$2,$D11,$E11,TRUE))</f>
        <v/>
      </c>
      <c r="CF11">
        <f>IF(NOT(ISNUMBER($D11)),"",_xlfn.NORM.DIST(CF$1,$D11,$E11,TRUE)-_xlfn.NORM.DIST(CF$2,$D11,$E11,TRUE))</f>
        <v/>
      </c>
      <c r="CG11">
        <f>IF(NOT(ISNUMBER($D11)),"",_xlfn.NORM.DIST(CG$1,$D11,$E11,TRUE)-_xlfn.NORM.DIST(CG$2,$D11,$E11,TRUE))</f>
        <v/>
      </c>
      <c r="CH11">
        <f>IF(NOT(ISNUMBER($D11)),"",_xlfn.NORM.DIST(CH$1,$D11,$E11,TRUE)-_xlfn.NORM.DIST(CH$2,$D11,$E11,TRUE))</f>
        <v/>
      </c>
      <c r="CI11">
        <f>IF(NOT(ISNUMBER($D11)),"",_xlfn.NORM.DIST(CI$1,$D11,$E11,TRUE)-_xlfn.NORM.DIST(CI$2,$D11,$E11,TRUE))</f>
        <v/>
      </c>
      <c r="CJ11">
        <f>IF(ISNUMBER($D11),SUM(F11:CI11),"")</f>
        <v/>
      </c>
    </row>
    <row r="12">
      <c r="A12">
        <f>economics!A11</f>
        <v/>
      </c>
      <c r="B12">
        <f>economics!B11</f>
        <v/>
      </c>
      <c r="C12">
        <f>economics!D11</f>
        <v/>
      </c>
      <c r="D12">
        <f>IF(ISNUMBER(economics!T11),economics!T11,"na")</f>
        <v/>
      </c>
      <c r="E12">
        <f>IF(ISNUMBER(D12),MAX(0.3*ABS(D12),0.000001),"na")</f>
        <v/>
      </c>
      <c r="F12">
        <f>IF(NOT(ISNUMBER($D12)),"",_xlfn.NORM.DIST(F$1,$D12,$E12,TRUE)-_xlfn.NORM.DIST(F$2,$D12,$E12,TRUE))</f>
        <v/>
      </c>
      <c r="G12">
        <f>IF(NOT(ISNUMBER($D12)),"",_xlfn.NORM.DIST(G$1,$D12,$E12,TRUE)-_xlfn.NORM.DIST(G$2,$D12,$E12,TRUE))</f>
        <v/>
      </c>
      <c r="H12">
        <f>IF(NOT(ISNUMBER($D12)),"",_xlfn.NORM.DIST(H$1,$D12,$E12,TRUE)-_xlfn.NORM.DIST(H$2,$D12,$E12,TRUE))</f>
        <v/>
      </c>
      <c r="I12">
        <f>IF(NOT(ISNUMBER($D12)),"",_xlfn.NORM.DIST(I$1,$D12,$E12,TRUE)-_xlfn.NORM.DIST(I$2,$D12,$E12,TRUE))</f>
        <v/>
      </c>
      <c r="J12">
        <f>IF(NOT(ISNUMBER($D12)),"",_xlfn.NORM.DIST(J$1,$D12,$E12,TRUE)-_xlfn.NORM.DIST(J$2,$D12,$E12,TRUE))</f>
        <v/>
      </c>
      <c r="K12">
        <f>IF(NOT(ISNUMBER($D12)),"",_xlfn.NORM.DIST(K$1,$D12,$E12,TRUE)-_xlfn.NORM.DIST(K$2,$D12,$E12,TRUE))</f>
        <v/>
      </c>
      <c r="L12">
        <f>IF(NOT(ISNUMBER($D12)),"",_xlfn.NORM.DIST(L$1,$D12,$E12,TRUE)-_xlfn.NORM.DIST(L$2,$D12,$E12,TRUE))</f>
        <v/>
      </c>
      <c r="M12">
        <f>IF(NOT(ISNUMBER($D12)),"",_xlfn.NORM.DIST(M$1,$D12,$E12,TRUE)-_xlfn.NORM.DIST(M$2,$D12,$E12,TRUE))</f>
        <v/>
      </c>
      <c r="N12">
        <f>IF(NOT(ISNUMBER($D12)),"",_xlfn.NORM.DIST(N$1,$D12,$E12,TRUE)-_xlfn.NORM.DIST(N$2,$D12,$E12,TRUE))</f>
        <v/>
      </c>
      <c r="O12">
        <f>IF(NOT(ISNUMBER($D12)),"",_xlfn.NORM.DIST(O$1,$D12,$E12,TRUE)-_xlfn.NORM.DIST(O$2,$D12,$E12,TRUE))</f>
        <v/>
      </c>
      <c r="P12">
        <f>IF(NOT(ISNUMBER($D12)),"",_xlfn.NORM.DIST(P$1,$D12,$E12,TRUE)-_xlfn.NORM.DIST(P$2,$D12,$E12,TRUE))</f>
        <v/>
      </c>
      <c r="Q12">
        <f>IF(NOT(ISNUMBER($D12)),"",_xlfn.NORM.DIST(Q$1,$D12,$E12,TRUE)-_xlfn.NORM.DIST(Q$2,$D12,$E12,TRUE))</f>
        <v/>
      </c>
      <c r="R12">
        <f>IF(NOT(ISNUMBER($D12)),"",_xlfn.NORM.DIST(R$1,$D12,$E12,TRUE)-_xlfn.NORM.DIST(R$2,$D12,$E12,TRUE))</f>
        <v/>
      </c>
      <c r="S12">
        <f>IF(NOT(ISNUMBER($D12)),"",_xlfn.NORM.DIST(S$1,$D12,$E12,TRUE)-_xlfn.NORM.DIST(S$2,$D12,$E12,TRUE))</f>
        <v/>
      </c>
      <c r="T12">
        <f>IF(NOT(ISNUMBER($D12)),"",_xlfn.NORM.DIST(T$1,$D12,$E12,TRUE)-_xlfn.NORM.DIST(T$2,$D12,$E12,TRUE))</f>
        <v/>
      </c>
      <c r="U12">
        <f>IF(NOT(ISNUMBER($D12)),"",_xlfn.NORM.DIST(U$1,$D12,$E12,TRUE)-_xlfn.NORM.DIST(U$2,$D12,$E12,TRUE))</f>
        <v/>
      </c>
      <c r="V12">
        <f>IF(NOT(ISNUMBER($D12)),"",_xlfn.NORM.DIST(V$1,$D12,$E12,TRUE)-_xlfn.NORM.DIST(V$2,$D12,$E12,TRUE))</f>
        <v/>
      </c>
      <c r="W12">
        <f>IF(NOT(ISNUMBER($D12)),"",_xlfn.NORM.DIST(W$1,$D12,$E12,TRUE)-_xlfn.NORM.DIST(W$2,$D12,$E12,TRUE))</f>
        <v/>
      </c>
      <c r="X12">
        <f>IF(NOT(ISNUMBER($D12)),"",_xlfn.NORM.DIST(X$1,$D12,$E12,TRUE)-_xlfn.NORM.DIST(X$2,$D12,$E12,TRUE))</f>
        <v/>
      </c>
      <c r="Y12">
        <f>IF(NOT(ISNUMBER($D12)),"",_xlfn.NORM.DIST(Y$1,$D12,$E12,TRUE)-_xlfn.NORM.DIST(Y$2,$D12,$E12,TRUE))</f>
        <v/>
      </c>
      <c r="Z12">
        <f>IF(NOT(ISNUMBER($D12)),"",_xlfn.NORM.DIST(Z$1,$D12,$E12,TRUE)-_xlfn.NORM.DIST(Z$2,$D12,$E12,TRUE))</f>
        <v/>
      </c>
      <c r="AA12">
        <f>IF(NOT(ISNUMBER($D12)),"",_xlfn.NORM.DIST(AA$1,$D12,$E12,TRUE)-_xlfn.NORM.DIST(AA$2,$D12,$E12,TRUE))</f>
        <v/>
      </c>
      <c r="AB12">
        <f>IF(NOT(ISNUMBER($D12)),"",_xlfn.NORM.DIST(AB$1,$D12,$E12,TRUE)-_xlfn.NORM.DIST(AB$2,$D12,$E12,TRUE))</f>
        <v/>
      </c>
      <c r="AC12">
        <f>IF(NOT(ISNUMBER($D12)),"",_xlfn.NORM.DIST(AC$1,$D12,$E12,TRUE)-_xlfn.NORM.DIST(AC$2,$D12,$E12,TRUE))</f>
        <v/>
      </c>
      <c r="AD12">
        <f>IF(NOT(ISNUMBER($D12)),"",_xlfn.NORM.DIST(AD$1,$D12,$E12,TRUE)-_xlfn.NORM.DIST(AD$2,$D12,$E12,TRUE))</f>
        <v/>
      </c>
      <c r="AE12">
        <f>IF(NOT(ISNUMBER($D12)),"",_xlfn.NORM.DIST(AE$1,$D12,$E12,TRUE)-_xlfn.NORM.DIST(AE$2,$D12,$E12,TRUE))</f>
        <v/>
      </c>
      <c r="AF12">
        <f>IF(NOT(ISNUMBER($D12)),"",_xlfn.NORM.DIST(AF$1,$D12,$E12,TRUE)-_xlfn.NORM.DIST(AF$2,$D12,$E12,TRUE))</f>
        <v/>
      </c>
      <c r="AG12">
        <f>IF(NOT(ISNUMBER($D12)),"",_xlfn.NORM.DIST(AG$1,$D12,$E12,TRUE)-_xlfn.NORM.DIST(AG$2,$D12,$E12,TRUE))</f>
        <v/>
      </c>
      <c r="AH12">
        <f>IF(NOT(ISNUMBER($D12)),"",_xlfn.NORM.DIST(AH$1,$D12,$E12,TRUE)-_xlfn.NORM.DIST(AH$2,$D12,$E12,TRUE))</f>
        <v/>
      </c>
      <c r="AI12">
        <f>IF(NOT(ISNUMBER($D12)),"",_xlfn.NORM.DIST(AI$1,$D12,$E12,TRUE)-_xlfn.NORM.DIST(AI$2,$D12,$E12,TRUE))</f>
        <v/>
      </c>
      <c r="AJ12">
        <f>IF(NOT(ISNUMBER($D12)),"",_xlfn.NORM.DIST(AJ$1,$D12,$E12,TRUE)-_xlfn.NORM.DIST(AJ$2,$D12,$E12,TRUE))</f>
        <v/>
      </c>
      <c r="AK12">
        <f>IF(NOT(ISNUMBER($D12)),"",_xlfn.NORM.DIST(AK$1,$D12,$E12,TRUE)-_xlfn.NORM.DIST(AK$2,$D12,$E12,TRUE))</f>
        <v/>
      </c>
      <c r="AL12">
        <f>IF(NOT(ISNUMBER($D12)),"",_xlfn.NORM.DIST(AL$1,$D12,$E12,TRUE)-_xlfn.NORM.DIST(AL$2,$D12,$E12,TRUE))</f>
        <v/>
      </c>
      <c r="AM12">
        <f>IF(NOT(ISNUMBER($D12)),"",_xlfn.NORM.DIST(AM$1,$D12,$E12,TRUE)-_xlfn.NORM.DIST(AM$2,$D12,$E12,TRUE))</f>
        <v/>
      </c>
      <c r="AN12">
        <f>IF(NOT(ISNUMBER($D12)),"",_xlfn.NORM.DIST(AN$1,$D12,$E12,TRUE)-_xlfn.NORM.DIST(AN$2,$D12,$E12,TRUE))</f>
        <v/>
      </c>
      <c r="AO12">
        <f>IF(NOT(ISNUMBER($D12)),"",_xlfn.NORM.DIST(AO$1,$D12,$E12,TRUE)-_xlfn.NORM.DIST(AO$2,$D12,$E12,TRUE))</f>
        <v/>
      </c>
      <c r="AP12">
        <f>IF(NOT(ISNUMBER($D12)),"",_xlfn.NORM.DIST(AP$1,$D12,$E12,TRUE)-_xlfn.NORM.DIST(AP$2,$D12,$E12,TRUE))</f>
        <v/>
      </c>
      <c r="AQ12">
        <f>IF(NOT(ISNUMBER($D12)),"",_xlfn.NORM.DIST(AQ$1,$D12,$E12,TRUE)-_xlfn.NORM.DIST(AQ$2,$D12,$E12,TRUE))</f>
        <v/>
      </c>
      <c r="AR12">
        <f>IF(NOT(ISNUMBER($D12)),"",_xlfn.NORM.DIST(AR$1,$D12,$E12,TRUE)-_xlfn.NORM.DIST(AR$2,$D12,$E12,TRUE))</f>
        <v/>
      </c>
      <c r="AS12">
        <f>IF(NOT(ISNUMBER($D12)),"",_xlfn.NORM.DIST(AS$1,$D12,$E12,TRUE)-_xlfn.NORM.DIST(AS$2,$D12,$E12,TRUE))</f>
        <v/>
      </c>
      <c r="AT12">
        <f>IF(NOT(ISNUMBER($D12)),"",_xlfn.NORM.DIST(AT$1,$D12,$E12,TRUE)-_xlfn.NORM.DIST(AT$2,$D12,$E12,TRUE))</f>
        <v/>
      </c>
      <c r="AU12">
        <f>IF(NOT(ISNUMBER($D12)),"",_xlfn.NORM.DIST(AU$1,$D12,$E12,TRUE)-_xlfn.NORM.DIST(AU$2,$D12,$E12,TRUE))</f>
        <v/>
      </c>
      <c r="AV12">
        <f>IF(NOT(ISNUMBER($D12)),"",_xlfn.NORM.DIST(AV$1,$D12,$E12,TRUE)-_xlfn.NORM.DIST(AV$2,$D12,$E12,TRUE))</f>
        <v/>
      </c>
      <c r="AW12">
        <f>IF(NOT(ISNUMBER($D12)),"",_xlfn.NORM.DIST(AW$1,$D12,$E12,TRUE)-_xlfn.NORM.DIST(AW$2,$D12,$E12,TRUE))</f>
        <v/>
      </c>
      <c r="AX12">
        <f>IF(NOT(ISNUMBER($D12)),"",_xlfn.NORM.DIST(AX$1,$D12,$E12,TRUE)-_xlfn.NORM.DIST(AX$2,$D12,$E12,TRUE))</f>
        <v/>
      </c>
      <c r="AY12">
        <f>IF(NOT(ISNUMBER($D12)),"",_xlfn.NORM.DIST(AY$1,$D12,$E12,TRUE)-_xlfn.NORM.DIST(AY$2,$D12,$E12,TRUE))</f>
        <v/>
      </c>
      <c r="AZ12">
        <f>IF(NOT(ISNUMBER($D12)),"",_xlfn.NORM.DIST(AZ$1,$D12,$E12,TRUE)-_xlfn.NORM.DIST(AZ$2,$D12,$E12,TRUE))</f>
        <v/>
      </c>
      <c r="BA12">
        <f>IF(NOT(ISNUMBER($D12)),"",_xlfn.NORM.DIST(BA$1,$D12,$E12,TRUE)-_xlfn.NORM.DIST(BA$2,$D12,$E12,TRUE))</f>
        <v/>
      </c>
      <c r="BB12">
        <f>IF(NOT(ISNUMBER($D12)),"",_xlfn.NORM.DIST(BB$1,$D12,$E12,TRUE)-_xlfn.NORM.DIST(BB$2,$D12,$E12,TRUE))</f>
        <v/>
      </c>
      <c r="BC12">
        <f>IF(NOT(ISNUMBER($D12)),"",_xlfn.NORM.DIST(BC$1,$D12,$E12,TRUE)-_xlfn.NORM.DIST(BC$2,$D12,$E12,TRUE))</f>
        <v/>
      </c>
      <c r="BD12">
        <f>IF(NOT(ISNUMBER($D12)),"",_xlfn.NORM.DIST(BD$1,$D12,$E12,TRUE)-_xlfn.NORM.DIST(BD$2,$D12,$E12,TRUE))</f>
        <v/>
      </c>
      <c r="BE12">
        <f>IF(NOT(ISNUMBER($D12)),"",_xlfn.NORM.DIST(BE$1,$D12,$E12,TRUE)-_xlfn.NORM.DIST(BE$2,$D12,$E12,TRUE))</f>
        <v/>
      </c>
      <c r="BF12">
        <f>IF(NOT(ISNUMBER($D12)),"",_xlfn.NORM.DIST(BF$1,$D12,$E12,TRUE)-_xlfn.NORM.DIST(BF$2,$D12,$E12,TRUE))</f>
        <v/>
      </c>
      <c r="BG12">
        <f>IF(NOT(ISNUMBER($D12)),"",_xlfn.NORM.DIST(BG$1,$D12,$E12,TRUE)-_xlfn.NORM.DIST(BG$2,$D12,$E12,TRUE))</f>
        <v/>
      </c>
      <c r="BH12">
        <f>IF(NOT(ISNUMBER($D12)),"",_xlfn.NORM.DIST(BH$1,$D12,$E12,TRUE)-_xlfn.NORM.DIST(BH$2,$D12,$E12,TRUE))</f>
        <v/>
      </c>
      <c r="BI12">
        <f>IF(NOT(ISNUMBER($D12)),"",_xlfn.NORM.DIST(BI$1,$D12,$E12,TRUE)-_xlfn.NORM.DIST(BI$2,$D12,$E12,TRUE))</f>
        <v/>
      </c>
      <c r="BJ12">
        <f>IF(NOT(ISNUMBER($D12)),"",_xlfn.NORM.DIST(BJ$1,$D12,$E12,TRUE)-_xlfn.NORM.DIST(BJ$2,$D12,$E12,TRUE))</f>
        <v/>
      </c>
      <c r="BK12">
        <f>IF(NOT(ISNUMBER($D12)),"",_xlfn.NORM.DIST(BK$1,$D12,$E12,TRUE)-_xlfn.NORM.DIST(BK$2,$D12,$E12,TRUE))</f>
        <v/>
      </c>
      <c r="BL12">
        <f>IF(NOT(ISNUMBER($D12)),"",_xlfn.NORM.DIST(BL$1,$D12,$E12,TRUE)-_xlfn.NORM.DIST(BL$2,$D12,$E12,TRUE))</f>
        <v/>
      </c>
      <c r="BM12">
        <f>IF(NOT(ISNUMBER($D12)),"",_xlfn.NORM.DIST(BM$1,$D12,$E12,TRUE)-_xlfn.NORM.DIST(BM$2,$D12,$E12,TRUE))</f>
        <v/>
      </c>
      <c r="BN12">
        <f>IF(NOT(ISNUMBER($D12)),"",_xlfn.NORM.DIST(BN$1,$D12,$E12,TRUE)-_xlfn.NORM.DIST(BN$2,$D12,$E12,TRUE))</f>
        <v/>
      </c>
      <c r="BO12">
        <f>IF(NOT(ISNUMBER($D12)),"",_xlfn.NORM.DIST(BO$1,$D12,$E12,TRUE)-_xlfn.NORM.DIST(BO$2,$D12,$E12,TRUE))</f>
        <v/>
      </c>
      <c r="BP12">
        <f>IF(NOT(ISNUMBER($D12)),"",_xlfn.NORM.DIST(BP$1,$D12,$E12,TRUE)-_xlfn.NORM.DIST(BP$2,$D12,$E12,TRUE))</f>
        <v/>
      </c>
      <c r="BQ12">
        <f>IF(NOT(ISNUMBER($D12)),"",_xlfn.NORM.DIST(BQ$1,$D12,$E12,TRUE)-_xlfn.NORM.DIST(BQ$2,$D12,$E12,TRUE))</f>
        <v/>
      </c>
      <c r="BR12">
        <f>IF(NOT(ISNUMBER($D12)),"",_xlfn.NORM.DIST(BR$1,$D12,$E12,TRUE)-_xlfn.NORM.DIST(BR$2,$D12,$E12,TRUE))</f>
        <v/>
      </c>
      <c r="BS12">
        <f>IF(NOT(ISNUMBER($D12)),"",_xlfn.NORM.DIST(BS$1,$D12,$E12,TRUE)-_xlfn.NORM.DIST(BS$2,$D12,$E12,TRUE))</f>
        <v/>
      </c>
      <c r="BT12">
        <f>IF(NOT(ISNUMBER($D12)),"",_xlfn.NORM.DIST(BT$1,$D12,$E12,TRUE)-_xlfn.NORM.DIST(BT$2,$D12,$E12,TRUE))</f>
        <v/>
      </c>
      <c r="BU12">
        <f>IF(NOT(ISNUMBER($D12)),"",_xlfn.NORM.DIST(BU$1,$D12,$E12,TRUE)-_xlfn.NORM.DIST(BU$2,$D12,$E12,TRUE))</f>
        <v/>
      </c>
      <c r="BV12">
        <f>IF(NOT(ISNUMBER($D12)),"",_xlfn.NORM.DIST(BV$1,$D12,$E12,TRUE)-_xlfn.NORM.DIST(BV$2,$D12,$E12,TRUE))</f>
        <v/>
      </c>
      <c r="BW12">
        <f>IF(NOT(ISNUMBER($D12)),"",_xlfn.NORM.DIST(BW$1,$D12,$E12,TRUE)-_xlfn.NORM.DIST(BW$2,$D12,$E12,TRUE))</f>
        <v/>
      </c>
      <c r="BX12">
        <f>IF(NOT(ISNUMBER($D12)),"",_xlfn.NORM.DIST(BX$1,$D12,$E12,TRUE)-_xlfn.NORM.DIST(BX$2,$D12,$E12,TRUE))</f>
        <v/>
      </c>
      <c r="BY12">
        <f>IF(NOT(ISNUMBER($D12)),"",_xlfn.NORM.DIST(BY$1,$D12,$E12,TRUE)-_xlfn.NORM.DIST(BY$2,$D12,$E12,TRUE))</f>
        <v/>
      </c>
      <c r="BZ12">
        <f>IF(NOT(ISNUMBER($D12)),"",_xlfn.NORM.DIST(BZ$1,$D12,$E12,TRUE)-_xlfn.NORM.DIST(BZ$2,$D12,$E12,TRUE))</f>
        <v/>
      </c>
      <c r="CA12">
        <f>IF(NOT(ISNUMBER($D12)),"",_xlfn.NORM.DIST(CA$1,$D12,$E12,TRUE)-_xlfn.NORM.DIST(CA$2,$D12,$E12,TRUE))</f>
        <v/>
      </c>
      <c r="CB12">
        <f>IF(NOT(ISNUMBER($D12)),"",_xlfn.NORM.DIST(CB$1,$D12,$E12,TRUE)-_xlfn.NORM.DIST(CB$2,$D12,$E12,TRUE))</f>
        <v/>
      </c>
      <c r="CC12">
        <f>IF(NOT(ISNUMBER($D12)),"",_xlfn.NORM.DIST(CC$1,$D12,$E12,TRUE)-_xlfn.NORM.DIST(CC$2,$D12,$E12,TRUE))</f>
        <v/>
      </c>
      <c r="CD12">
        <f>IF(NOT(ISNUMBER($D12)),"",_xlfn.NORM.DIST(CD$1,$D12,$E12,TRUE)-_xlfn.NORM.DIST(CD$2,$D12,$E12,TRUE))</f>
        <v/>
      </c>
      <c r="CE12">
        <f>IF(NOT(ISNUMBER($D12)),"",_xlfn.NORM.DIST(CE$1,$D12,$E12,TRUE)-_xlfn.NORM.DIST(CE$2,$D12,$E12,TRUE))</f>
        <v/>
      </c>
      <c r="CF12">
        <f>IF(NOT(ISNUMBER($D12)),"",_xlfn.NORM.DIST(CF$1,$D12,$E12,TRUE)-_xlfn.NORM.DIST(CF$2,$D12,$E12,TRUE))</f>
        <v/>
      </c>
      <c r="CG12">
        <f>IF(NOT(ISNUMBER($D12)),"",_xlfn.NORM.DIST(CG$1,$D12,$E12,TRUE)-_xlfn.NORM.DIST(CG$2,$D12,$E12,TRUE))</f>
        <v/>
      </c>
      <c r="CH12">
        <f>IF(NOT(ISNUMBER($D12)),"",_xlfn.NORM.DIST(CH$1,$D12,$E12,TRUE)-_xlfn.NORM.DIST(CH$2,$D12,$E12,TRUE))</f>
        <v/>
      </c>
      <c r="CI12">
        <f>IF(NOT(ISNUMBER($D12)),"",_xlfn.NORM.DIST(CI$1,$D12,$E12,TRUE)-_xlfn.NORM.DIST(CI$2,$D12,$E12,TRUE))</f>
        <v/>
      </c>
      <c r="CJ12">
        <f>IF(ISNUMBER($D12),SUM(F12:CI12),"")</f>
        <v/>
      </c>
    </row>
    <row r="13">
      <c r="A13">
        <f>economics!A12</f>
        <v/>
      </c>
      <c r="B13">
        <f>economics!B12</f>
        <v/>
      </c>
      <c r="C13">
        <f>economics!D12</f>
        <v/>
      </c>
      <c r="D13">
        <f>IF(ISNUMBER(economics!T12),economics!T12,"na")</f>
        <v/>
      </c>
      <c r="E13">
        <f>IF(ISNUMBER(D13),MAX(0.3*ABS(D13),0.000001),"na")</f>
        <v/>
      </c>
      <c r="F13">
        <f>IF(NOT(ISNUMBER($D13)),"",_xlfn.NORM.DIST(F$1,$D13,$E13,TRUE)-_xlfn.NORM.DIST(F$2,$D13,$E13,TRUE))</f>
        <v/>
      </c>
      <c r="G13">
        <f>IF(NOT(ISNUMBER($D13)),"",_xlfn.NORM.DIST(G$1,$D13,$E13,TRUE)-_xlfn.NORM.DIST(G$2,$D13,$E13,TRUE))</f>
        <v/>
      </c>
      <c r="H13">
        <f>IF(NOT(ISNUMBER($D13)),"",_xlfn.NORM.DIST(H$1,$D13,$E13,TRUE)-_xlfn.NORM.DIST(H$2,$D13,$E13,TRUE))</f>
        <v/>
      </c>
      <c r="I13">
        <f>IF(NOT(ISNUMBER($D13)),"",_xlfn.NORM.DIST(I$1,$D13,$E13,TRUE)-_xlfn.NORM.DIST(I$2,$D13,$E13,TRUE))</f>
        <v/>
      </c>
      <c r="J13">
        <f>IF(NOT(ISNUMBER($D13)),"",_xlfn.NORM.DIST(J$1,$D13,$E13,TRUE)-_xlfn.NORM.DIST(J$2,$D13,$E13,TRUE))</f>
        <v/>
      </c>
      <c r="K13">
        <f>IF(NOT(ISNUMBER($D13)),"",_xlfn.NORM.DIST(K$1,$D13,$E13,TRUE)-_xlfn.NORM.DIST(K$2,$D13,$E13,TRUE))</f>
        <v/>
      </c>
      <c r="L13">
        <f>IF(NOT(ISNUMBER($D13)),"",_xlfn.NORM.DIST(L$1,$D13,$E13,TRUE)-_xlfn.NORM.DIST(L$2,$D13,$E13,TRUE))</f>
        <v/>
      </c>
      <c r="M13">
        <f>IF(NOT(ISNUMBER($D13)),"",_xlfn.NORM.DIST(M$1,$D13,$E13,TRUE)-_xlfn.NORM.DIST(M$2,$D13,$E13,TRUE))</f>
        <v/>
      </c>
      <c r="N13">
        <f>IF(NOT(ISNUMBER($D13)),"",_xlfn.NORM.DIST(N$1,$D13,$E13,TRUE)-_xlfn.NORM.DIST(N$2,$D13,$E13,TRUE))</f>
        <v/>
      </c>
      <c r="O13">
        <f>IF(NOT(ISNUMBER($D13)),"",_xlfn.NORM.DIST(O$1,$D13,$E13,TRUE)-_xlfn.NORM.DIST(O$2,$D13,$E13,TRUE))</f>
        <v/>
      </c>
      <c r="P13">
        <f>IF(NOT(ISNUMBER($D13)),"",_xlfn.NORM.DIST(P$1,$D13,$E13,TRUE)-_xlfn.NORM.DIST(P$2,$D13,$E13,TRUE))</f>
        <v/>
      </c>
      <c r="Q13">
        <f>IF(NOT(ISNUMBER($D13)),"",_xlfn.NORM.DIST(Q$1,$D13,$E13,TRUE)-_xlfn.NORM.DIST(Q$2,$D13,$E13,TRUE))</f>
        <v/>
      </c>
      <c r="R13">
        <f>IF(NOT(ISNUMBER($D13)),"",_xlfn.NORM.DIST(R$1,$D13,$E13,TRUE)-_xlfn.NORM.DIST(R$2,$D13,$E13,TRUE))</f>
        <v/>
      </c>
      <c r="S13">
        <f>IF(NOT(ISNUMBER($D13)),"",_xlfn.NORM.DIST(S$1,$D13,$E13,TRUE)-_xlfn.NORM.DIST(S$2,$D13,$E13,TRUE))</f>
        <v/>
      </c>
      <c r="T13">
        <f>IF(NOT(ISNUMBER($D13)),"",_xlfn.NORM.DIST(T$1,$D13,$E13,TRUE)-_xlfn.NORM.DIST(T$2,$D13,$E13,TRUE))</f>
        <v/>
      </c>
      <c r="U13">
        <f>IF(NOT(ISNUMBER($D13)),"",_xlfn.NORM.DIST(U$1,$D13,$E13,TRUE)-_xlfn.NORM.DIST(U$2,$D13,$E13,TRUE))</f>
        <v/>
      </c>
      <c r="V13">
        <f>IF(NOT(ISNUMBER($D13)),"",_xlfn.NORM.DIST(V$1,$D13,$E13,TRUE)-_xlfn.NORM.DIST(V$2,$D13,$E13,TRUE))</f>
        <v/>
      </c>
      <c r="W13">
        <f>IF(NOT(ISNUMBER($D13)),"",_xlfn.NORM.DIST(W$1,$D13,$E13,TRUE)-_xlfn.NORM.DIST(W$2,$D13,$E13,TRUE))</f>
        <v/>
      </c>
      <c r="X13">
        <f>IF(NOT(ISNUMBER($D13)),"",_xlfn.NORM.DIST(X$1,$D13,$E13,TRUE)-_xlfn.NORM.DIST(X$2,$D13,$E13,TRUE))</f>
        <v/>
      </c>
      <c r="Y13">
        <f>IF(NOT(ISNUMBER($D13)),"",_xlfn.NORM.DIST(Y$1,$D13,$E13,TRUE)-_xlfn.NORM.DIST(Y$2,$D13,$E13,TRUE))</f>
        <v/>
      </c>
      <c r="Z13">
        <f>IF(NOT(ISNUMBER($D13)),"",_xlfn.NORM.DIST(Z$1,$D13,$E13,TRUE)-_xlfn.NORM.DIST(Z$2,$D13,$E13,TRUE))</f>
        <v/>
      </c>
      <c r="AA13">
        <f>IF(NOT(ISNUMBER($D13)),"",_xlfn.NORM.DIST(AA$1,$D13,$E13,TRUE)-_xlfn.NORM.DIST(AA$2,$D13,$E13,TRUE))</f>
        <v/>
      </c>
      <c r="AB13">
        <f>IF(NOT(ISNUMBER($D13)),"",_xlfn.NORM.DIST(AB$1,$D13,$E13,TRUE)-_xlfn.NORM.DIST(AB$2,$D13,$E13,TRUE))</f>
        <v/>
      </c>
      <c r="AC13">
        <f>IF(NOT(ISNUMBER($D13)),"",_xlfn.NORM.DIST(AC$1,$D13,$E13,TRUE)-_xlfn.NORM.DIST(AC$2,$D13,$E13,TRUE))</f>
        <v/>
      </c>
      <c r="AD13">
        <f>IF(NOT(ISNUMBER($D13)),"",_xlfn.NORM.DIST(AD$1,$D13,$E13,TRUE)-_xlfn.NORM.DIST(AD$2,$D13,$E13,TRUE))</f>
        <v/>
      </c>
      <c r="AE13">
        <f>IF(NOT(ISNUMBER($D13)),"",_xlfn.NORM.DIST(AE$1,$D13,$E13,TRUE)-_xlfn.NORM.DIST(AE$2,$D13,$E13,TRUE))</f>
        <v/>
      </c>
      <c r="AF13">
        <f>IF(NOT(ISNUMBER($D13)),"",_xlfn.NORM.DIST(AF$1,$D13,$E13,TRUE)-_xlfn.NORM.DIST(AF$2,$D13,$E13,TRUE))</f>
        <v/>
      </c>
      <c r="AG13">
        <f>IF(NOT(ISNUMBER($D13)),"",_xlfn.NORM.DIST(AG$1,$D13,$E13,TRUE)-_xlfn.NORM.DIST(AG$2,$D13,$E13,TRUE))</f>
        <v/>
      </c>
      <c r="AH13">
        <f>IF(NOT(ISNUMBER($D13)),"",_xlfn.NORM.DIST(AH$1,$D13,$E13,TRUE)-_xlfn.NORM.DIST(AH$2,$D13,$E13,TRUE))</f>
        <v/>
      </c>
      <c r="AI13">
        <f>IF(NOT(ISNUMBER($D13)),"",_xlfn.NORM.DIST(AI$1,$D13,$E13,TRUE)-_xlfn.NORM.DIST(AI$2,$D13,$E13,TRUE))</f>
        <v/>
      </c>
      <c r="AJ13">
        <f>IF(NOT(ISNUMBER($D13)),"",_xlfn.NORM.DIST(AJ$1,$D13,$E13,TRUE)-_xlfn.NORM.DIST(AJ$2,$D13,$E13,TRUE))</f>
        <v/>
      </c>
      <c r="AK13">
        <f>IF(NOT(ISNUMBER($D13)),"",_xlfn.NORM.DIST(AK$1,$D13,$E13,TRUE)-_xlfn.NORM.DIST(AK$2,$D13,$E13,TRUE))</f>
        <v/>
      </c>
      <c r="AL13">
        <f>IF(NOT(ISNUMBER($D13)),"",_xlfn.NORM.DIST(AL$1,$D13,$E13,TRUE)-_xlfn.NORM.DIST(AL$2,$D13,$E13,TRUE))</f>
        <v/>
      </c>
      <c r="AM13">
        <f>IF(NOT(ISNUMBER($D13)),"",_xlfn.NORM.DIST(AM$1,$D13,$E13,TRUE)-_xlfn.NORM.DIST(AM$2,$D13,$E13,TRUE))</f>
        <v/>
      </c>
      <c r="AN13">
        <f>IF(NOT(ISNUMBER($D13)),"",_xlfn.NORM.DIST(AN$1,$D13,$E13,TRUE)-_xlfn.NORM.DIST(AN$2,$D13,$E13,TRUE))</f>
        <v/>
      </c>
      <c r="AO13">
        <f>IF(NOT(ISNUMBER($D13)),"",_xlfn.NORM.DIST(AO$1,$D13,$E13,TRUE)-_xlfn.NORM.DIST(AO$2,$D13,$E13,TRUE))</f>
        <v/>
      </c>
      <c r="AP13">
        <f>IF(NOT(ISNUMBER($D13)),"",_xlfn.NORM.DIST(AP$1,$D13,$E13,TRUE)-_xlfn.NORM.DIST(AP$2,$D13,$E13,TRUE))</f>
        <v/>
      </c>
      <c r="AQ13">
        <f>IF(NOT(ISNUMBER($D13)),"",_xlfn.NORM.DIST(AQ$1,$D13,$E13,TRUE)-_xlfn.NORM.DIST(AQ$2,$D13,$E13,TRUE))</f>
        <v/>
      </c>
      <c r="AR13">
        <f>IF(NOT(ISNUMBER($D13)),"",_xlfn.NORM.DIST(AR$1,$D13,$E13,TRUE)-_xlfn.NORM.DIST(AR$2,$D13,$E13,TRUE))</f>
        <v/>
      </c>
      <c r="AS13">
        <f>IF(NOT(ISNUMBER($D13)),"",_xlfn.NORM.DIST(AS$1,$D13,$E13,TRUE)-_xlfn.NORM.DIST(AS$2,$D13,$E13,TRUE))</f>
        <v/>
      </c>
      <c r="AT13">
        <f>IF(NOT(ISNUMBER($D13)),"",_xlfn.NORM.DIST(AT$1,$D13,$E13,TRUE)-_xlfn.NORM.DIST(AT$2,$D13,$E13,TRUE))</f>
        <v/>
      </c>
      <c r="AU13">
        <f>IF(NOT(ISNUMBER($D13)),"",_xlfn.NORM.DIST(AU$1,$D13,$E13,TRUE)-_xlfn.NORM.DIST(AU$2,$D13,$E13,TRUE))</f>
        <v/>
      </c>
      <c r="AV13">
        <f>IF(NOT(ISNUMBER($D13)),"",_xlfn.NORM.DIST(AV$1,$D13,$E13,TRUE)-_xlfn.NORM.DIST(AV$2,$D13,$E13,TRUE))</f>
        <v/>
      </c>
      <c r="AW13">
        <f>IF(NOT(ISNUMBER($D13)),"",_xlfn.NORM.DIST(AW$1,$D13,$E13,TRUE)-_xlfn.NORM.DIST(AW$2,$D13,$E13,TRUE))</f>
        <v/>
      </c>
      <c r="AX13">
        <f>IF(NOT(ISNUMBER($D13)),"",_xlfn.NORM.DIST(AX$1,$D13,$E13,TRUE)-_xlfn.NORM.DIST(AX$2,$D13,$E13,TRUE))</f>
        <v/>
      </c>
      <c r="AY13">
        <f>IF(NOT(ISNUMBER($D13)),"",_xlfn.NORM.DIST(AY$1,$D13,$E13,TRUE)-_xlfn.NORM.DIST(AY$2,$D13,$E13,TRUE))</f>
        <v/>
      </c>
      <c r="AZ13">
        <f>IF(NOT(ISNUMBER($D13)),"",_xlfn.NORM.DIST(AZ$1,$D13,$E13,TRUE)-_xlfn.NORM.DIST(AZ$2,$D13,$E13,TRUE))</f>
        <v/>
      </c>
      <c r="BA13">
        <f>IF(NOT(ISNUMBER($D13)),"",_xlfn.NORM.DIST(BA$1,$D13,$E13,TRUE)-_xlfn.NORM.DIST(BA$2,$D13,$E13,TRUE))</f>
        <v/>
      </c>
      <c r="BB13">
        <f>IF(NOT(ISNUMBER($D13)),"",_xlfn.NORM.DIST(BB$1,$D13,$E13,TRUE)-_xlfn.NORM.DIST(BB$2,$D13,$E13,TRUE))</f>
        <v/>
      </c>
      <c r="BC13">
        <f>IF(NOT(ISNUMBER($D13)),"",_xlfn.NORM.DIST(BC$1,$D13,$E13,TRUE)-_xlfn.NORM.DIST(BC$2,$D13,$E13,TRUE))</f>
        <v/>
      </c>
      <c r="BD13">
        <f>IF(NOT(ISNUMBER($D13)),"",_xlfn.NORM.DIST(BD$1,$D13,$E13,TRUE)-_xlfn.NORM.DIST(BD$2,$D13,$E13,TRUE))</f>
        <v/>
      </c>
      <c r="BE13">
        <f>IF(NOT(ISNUMBER($D13)),"",_xlfn.NORM.DIST(BE$1,$D13,$E13,TRUE)-_xlfn.NORM.DIST(BE$2,$D13,$E13,TRUE))</f>
        <v/>
      </c>
      <c r="BF13">
        <f>IF(NOT(ISNUMBER($D13)),"",_xlfn.NORM.DIST(BF$1,$D13,$E13,TRUE)-_xlfn.NORM.DIST(BF$2,$D13,$E13,TRUE))</f>
        <v/>
      </c>
      <c r="BG13">
        <f>IF(NOT(ISNUMBER($D13)),"",_xlfn.NORM.DIST(BG$1,$D13,$E13,TRUE)-_xlfn.NORM.DIST(BG$2,$D13,$E13,TRUE))</f>
        <v/>
      </c>
      <c r="BH13">
        <f>IF(NOT(ISNUMBER($D13)),"",_xlfn.NORM.DIST(BH$1,$D13,$E13,TRUE)-_xlfn.NORM.DIST(BH$2,$D13,$E13,TRUE))</f>
        <v/>
      </c>
      <c r="BI13">
        <f>IF(NOT(ISNUMBER($D13)),"",_xlfn.NORM.DIST(BI$1,$D13,$E13,TRUE)-_xlfn.NORM.DIST(BI$2,$D13,$E13,TRUE))</f>
        <v/>
      </c>
      <c r="BJ13">
        <f>IF(NOT(ISNUMBER($D13)),"",_xlfn.NORM.DIST(BJ$1,$D13,$E13,TRUE)-_xlfn.NORM.DIST(BJ$2,$D13,$E13,TRUE))</f>
        <v/>
      </c>
      <c r="BK13">
        <f>IF(NOT(ISNUMBER($D13)),"",_xlfn.NORM.DIST(BK$1,$D13,$E13,TRUE)-_xlfn.NORM.DIST(BK$2,$D13,$E13,TRUE))</f>
        <v/>
      </c>
      <c r="BL13">
        <f>IF(NOT(ISNUMBER($D13)),"",_xlfn.NORM.DIST(BL$1,$D13,$E13,TRUE)-_xlfn.NORM.DIST(BL$2,$D13,$E13,TRUE))</f>
        <v/>
      </c>
      <c r="BM13">
        <f>IF(NOT(ISNUMBER($D13)),"",_xlfn.NORM.DIST(BM$1,$D13,$E13,TRUE)-_xlfn.NORM.DIST(BM$2,$D13,$E13,TRUE))</f>
        <v/>
      </c>
      <c r="BN13">
        <f>IF(NOT(ISNUMBER($D13)),"",_xlfn.NORM.DIST(BN$1,$D13,$E13,TRUE)-_xlfn.NORM.DIST(BN$2,$D13,$E13,TRUE))</f>
        <v/>
      </c>
      <c r="BO13">
        <f>IF(NOT(ISNUMBER($D13)),"",_xlfn.NORM.DIST(BO$1,$D13,$E13,TRUE)-_xlfn.NORM.DIST(BO$2,$D13,$E13,TRUE))</f>
        <v/>
      </c>
      <c r="BP13">
        <f>IF(NOT(ISNUMBER($D13)),"",_xlfn.NORM.DIST(BP$1,$D13,$E13,TRUE)-_xlfn.NORM.DIST(BP$2,$D13,$E13,TRUE))</f>
        <v/>
      </c>
      <c r="BQ13">
        <f>IF(NOT(ISNUMBER($D13)),"",_xlfn.NORM.DIST(BQ$1,$D13,$E13,TRUE)-_xlfn.NORM.DIST(BQ$2,$D13,$E13,TRUE))</f>
        <v/>
      </c>
      <c r="BR13">
        <f>IF(NOT(ISNUMBER($D13)),"",_xlfn.NORM.DIST(BR$1,$D13,$E13,TRUE)-_xlfn.NORM.DIST(BR$2,$D13,$E13,TRUE))</f>
        <v/>
      </c>
      <c r="BS13">
        <f>IF(NOT(ISNUMBER($D13)),"",_xlfn.NORM.DIST(BS$1,$D13,$E13,TRUE)-_xlfn.NORM.DIST(BS$2,$D13,$E13,TRUE))</f>
        <v/>
      </c>
      <c r="BT13">
        <f>IF(NOT(ISNUMBER($D13)),"",_xlfn.NORM.DIST(BT$1,$D13,$E13,TRUE)-_xlfn.NORM.DIST(BT$2,$D13,$E13,TRUE))</f>
        <v/>
      </c>
      <c r="BU13">
        <f>IF(NOT(ISNUMBER($D13)),"",_xlfn.NORM.DIST(BU$1,$D13,$E13,TRUE)-_xlfn.NORM.DIST(BU$2,$D13,$E13,TRUE))</f>
        <v/>
      </c>
      <c r="BV13">
        <f>IF(NOT(ISNUMBER($D13)),"",_xlfn.NORM.DIST(BV$1,$D13,$E13,TRUE)-_xlfn.NORM.DIST(BV$2,$D13,$E13,TRUE))</f>
        <v/>
      </c>
      <c r="BW13">
        <f>IF(NOT(ISNUMBER($D13)),"",_xlfn.NORM.DIST(BW$1,$D13,$E13,TRUE)-_xlfn.NORM.DIST(BW$2,$D13,$E13,TRUE))</f>
        <v/>
      </c>
      <c r="BX13">
        <f>IF(NOT(ISNUMBER($D13)),"",_xlfn.NORM.DIST(BX$1,$D13,$E13,TRUE)-_xlfn.NORM.DIST(BX$2,$D13,$E13,TRUE))</f>
        <v/>
      </c>
      <c r="BY13">
        <f>IF(NOT(ISNUMBER($D13)),"",_xlfn.NORM.DIST(BY$1,$D13,$E13,TRUE)-_xlfn.NORM.DIST(BY$2,$D13,$E13,TRUE))</f>
        <v/>
      </c>
      <c r="BZ13">
        <f>IF(NOT(ISNUMBER($D13)),"",_xlfn.NORM.DIST(BZ$1,$D13,$E13,TRUE)-_xlfn.NORM.DIST(BZ$2,$D13,$E13,TRUE))</f>
        <v/>
      </c>
      <c r="CA13">
        <f>IF(NOT(ISNUMBER($D13)),"",_xlfn.NORM.DIST(CA$1,$D13,$E13,TRUE)-_xlfn.NORM.DIST(CA$2,$D13,$E13,TRUE))</f>
        <v/>
      </c>
      <c r="CB13">
        <f>IF(NOT(ISNUMBER($D13)),"",_xlfn.NORM.DIST(CB$1,$D13,$E13,TRUE)-_xlfn.NORM.DIST(CB$2,$D13,$E13,TRUE))</f>
        <v/>
      </c>
      <c r="CC13">
        <f>IF(NOT(ISNUMBER($D13)),"",_xlfn.NORM.DIST(CC$1,$D13,$E13,TRUE)-_xlfn.NORM.DIST(CC$2,$D13,$E13,TRUE))</f>
        <v/>
      </c>
      <c r="CD13">
        <f>IF(NOT(ISNUMBER($D13)),"",_xlfn.NORM.DIST(CD$1,$D13,$E13,TRUE)-_xlfn.NORM.DIST(CD$2,$D13,$E13,TRUE))</f>
        <v/>
      </c>
      <c r="CE13">
        <f>IF(NOT(ISNUMBER($D13)),"",_xlfn.NORM.DIST(CE$1,$D13,$E13,TRUE)-_xlfn.NORM.DIST(CE$2,$D13,$E13,TRUE))</f>
        <v/>
      </c>
      <c r="CF13">
        <f>IF(NOT(ISNUMBER($D13)),"",_xlfn.NORM.DIST(CF$1,$D13,$E13,TRUE)-_xlfn.NORM.DIST(CF$2,$D13,$E13,TRUE))</f>
        <v/>
      </c>
      <c r="CG13">
        <f>IF(NOT(ISNUMBER($D13)),"",_xlfn.NORM.DIST(CG$1,$D13,$E13,TRUE)-_xlfn.NORM.DIST(CG$2,$D13,$E13,TRUE))</f>
        <v/>
      </c>
      <c r="CH13">
        <f>IF(NOT(ISNUMBER($D13)),"",_xlfn.NORM.DIST(CH$1,$D13,$E13,TRUE)-_xlfn.NORM.DIST(CH$2,$D13,$E13,TRUE))</f>
        <v/>
      </c>
      <c r="CI13">
        <f>IF(NOT(ISNUMBER($D13)),"",_xlfn.NORM.DIST(CI$1,$D13,$E13,TRUE)-_xlfn.NORM.DIST(CI$2,$D13,$E13,TRUE))</f>
        <v/>
      </c>
      <c r="CJ13">
        <f>IF(ISNUMBER($D13),SUM(F13:CI13),"")</f>
        <v/>
      </c>
    </row>
    <row r="14">
      <c r="A14">
        <f>economics!A13</f>
        <v/>
      </c>
      <c r="B14">
        <f>economics!B13</f>
        <v/>
      </c>
      <c r="C14">
        <f>economics!D13</f>
        <v/>
      </c>
      <c r="D14">
        <f>IF(ISNUMBER(economics!T13),economics!T13,"na")</f>
        <v/>
      </c>
      <c r="E14">
        <f>IF(ISNUMBER(D14),MAX(0.3*ABS(D14),0.000001),"na")</f>
        <v/>
      </c>
      <c r="F14">
        <f>IF(NOT(ISNUMBER($D14)),"",_xlfn.NORM.DIST(F$1,$D14,$E14,TRUE)-_xlfn.NORM.DIST(F$2,$D14,$E14,TRUE))</f>
        <v/>
      </c>
      <c r="G14">
        <f>IF(NOT(ISNUMBER($D14)),"",_xlfn.NORM.DIST(G$1,$D14,$E14,TRUE)-_xlfn.NORM.DIST(G$2,$D14,$E14,TRUE))</f>
        <v/>
      </c>
      <c r="H14">
        <f>IF(NOT(ISNUMBER($D14)),"",_xlfn.NORM.DIST(H$1,$D14,$E14,TRUE)-_xlfn.NORM.DIST(H$2,$D14,$E14,TRUE))</f>
        <v/>
      </c>
      <c r="I14">
        <f>IF(NOT(ISNUMBER($D14)),"",_xlfn.NORM.DIST(I$1,$D14,$E14,TRUE)-_xlfn.NORM.DIST(I$2,$D14,$E14,TRUE))</f>
        <v/>
      </c>
      <c r="J14">
        <f>IF(NOT(ISNUMBER($D14)),"",_xlfn.NORM.DIST(J$1,$D14,$E14,TRUE)-_xlfn.NORM.DIST(J$2,$D14,$E14,TRUE))</f>
        <v/>
      </c>
      <c r="K14">
        <f>IF(NOT(ISNUMBER($D14)),"",_xlfn.NORM.DIST(K$1,$D14,$E14,TRUE)-_xlfn.NORM.DIST(K$2,$D14,$E14,TRUE))</f>
        <v/>
      </c>
      <c r="L14">
        <f>IF(NOT(ISNUMBER($D14)),"",_xlfn.NORM.DIST(L$1,$D14,$E14,TRUE)-_xlfn.NORM.DIST(L$2,$D14,$E14,TRUE))</f>
        <v/>
      </c>
      <c r="M14">
        <f>IF(NOT(ISNUMBER($D14)),"",_xlfn.NORM.DIST(M$1,$D14,$E14,TRUE)-_xlfn.NORM.DIST(M$2,$D14,$E14,TRUE))</f>
        <v/>
      </c>
      <c r="N14">
        <f>IF(NOT(ISNUMBER($D14)),"",_xlfn.NORM.DIST(N$1,$D14,$E14,TRUE)-_xlfn.NORM.DIST(N$2,$D14,$E14,TRUE))</f>
        <v/>
      </c>
      <c r="O14">
        <f>IF(NOT(ISNUMBER($D14)),"",_xlfn.NORM.DIST(O$1,$D14,$E14,TRUE)-_xlfn.NORM.DIST(O$2,$D14,$E14,TRUE))</f>
        <v/>
      </c>
      <c r="P14">
        <f>IF(NOT(ISNUMBER($D14)),"",_xlfn.NORM.DIST(P$1,$D14,$E14,TRUE)-_xlfn.NORM.DIST(P$2,$D14,$E14,TRUE))</f>
        <v/>
      </c>
      <c r="Q14">
        <f>IF(NOT(ISNUMBER($D14)),"",_xlfn.NORM.DIST(Q$1,$D14,$E14,TRUE)-_xlfn.NORM.DIST(Q$2,$D14,$E14,TRUE))</f>
        <v/>
      </c>
      <c r="R14">
        <f>IF(NOT(ISNUMBER($D14)),"",_xlfn.NORM.DIST(R$1,$D14,$E14,TRUE)-_xlfn.NORM.DIST(R$2,$D14,$E14,TRUE))</f>
        <v/>
      </c>
      <c r="S14">
        <f>IF(NOT(ISNUMBER($D14)),"",_xlfn.NORM.DIST(S$1,$D14,$E14,TRUE)-_xlfn.NORM.DIST(S$2,$D14,$E14,TRUE))</f>
        <v/>
      </c>
      <c r="T14">
        <f>IF(NOT(ISNUMBER($D14)),"",_xlfn.NORM.DIST(T$1,$D14,$E14,TRUE)-_xlfn.NORM.DIST(T$2,$D14,$E14,TRUE))</f>
        <v/>
      </c>
      <c r="U14">
        <f>IF(NOT(ISNUMBER($D14)),"",_xlfn.NORM.DIST(U$1,$D14,$E14,TRUE)-_xlfn.NORM.DIST(U$2,$D14,$E14,TRUE))</f>
        <v/>
      </c>
      <c r="V14">
        <f>IF(NOT(ISNUMBER($D14)),"",_xlfn.NORM.DIST(V$1,$D14,$E14,TRUE)-_xlfn.NORM.DIST(V$2,$D14,$E14,TRUE))</f>
        <v/>
      </c>
      <c r="W14">
        <f>IF(NOT(ISNUMBER($D14)),"",_xlfn.NORM.DIST(W$1,$D14,$E14,TRUE)-_xlfn.NORM.DIST(W$2,$D14,$E14,TRUE))</f>
        <v/>
      </c>
      <c r="X14">
        <f>IF(NOT(ISNUMBER($D14)),"",_xlfn.NORM.DIST(X$1,$D14,$E14,TRUE)-_xlfn.NORM.DIST(X$2,$D14,$E14,TRUE))</f>
        <v/>
      </c>
      <c r="Y14">
        <f>IF(NOT(ISNUMBER($D14)),"",_xlfn.NORM.DIST(Y$1,$D14,$E14,TRUE)-_xlfn.NORM.DIST(Y$2,$D14,$E14,TRUE))</f>
        <v/>
      </c>
      <c r="Z14">
        <f>IF(NOT(ISNUMBER($D14)),"",_xlfn.NORM.DIST(Z$1,$D14,$E14,TRUE)-_xlfn.NORM.DIST(Z$2,$D14,$E14,TRUE))</f>
        <v/>
      </c>
      <c r="AA14">
        <f>IF(NOT(ISNUMBER($D14)),"",_xlfn.NORM.DIST(AA$1,$D14,$E14,TRUE)-_xlfn.NORM.DIST(AA$2,$D14,$E14,TRUE))</f>
        <v/>
      </c>
      <c r="AB14">
        <f>IF(NOT(ISNUMBER($D14)),"",_xlfn.NORM.DIST(AB$1,$D14,$E14,TRUE)-_xlfn.NORM.DIST(AB$2,$D14,$E14,TRUE))</f>
        <v/>
      </c>
      <c r="AC14">
        <f>IF(NOT(ISNUMBER($D14)),"",_xlfn.NORM.DIST(AC$1,$D14,$E14,TRUE)-_xlfn.NORM.DIST(AC$2,$D14,$E14,TRUE))</f>
        <v/>
      </c>
      <c r="AD14">
        <f>IF(NOT(ISNUMBER($D14)),"",_xlfn.NORM.DIST(AD$1,$D14,$E14,TRUE)-_xlfn.NORM.DIST(AD$2,$D14,$E14,TRUE))</f>
        <v/>
      </c>
      <c r="AE14">
        <f>IF(NOT(ISNUMBER($D14)),"",_xlfn.NORM.DIST(AE$1,$D14,$E14,TRUE)-_xlfn.NORM.DIST(AE$2,$D14,$E14,TRUE))</f>
        <v/>
      </c>
      <c r="AF14">
        <f>IF(NOT(ISNUMBER($D14)),"",_xlfn.NORM.DIST(AF$1,$D14,$E14,TRUE)-_xlfn.NORM.DIST(AF$2,$D14,$E14,TRUE))</f>
        <v/>
      </c>
      <c r="AG14">
        <f>IF(NOT(ISNUMBER($D14)),"",_xlfn.NORM.DIST(AG$1,$D14,$E14,TRUE)-_xlfn.NORM.DIST(AG$2,$D14,$E14,TRUE))</f>
        <v/>
      </c>
      <c r="AH14">
        <f>IF(NOT(ISNUMBER($D14)),"",_xlfn.NORM.DIST(AH$1,$D14,$E14,TRUE)-_xlfn.NORM.DIST(AH$2,$D14,$E14,TRUE))</f>
        <v/>
      </c>
      <c r="AI14">
        <f>IF(NOT(ISNUMBER($D14)),"",_xlfn.NORM.DIST(AI$1,$D14,$E14,TRUE)-_xlfn.NORM.DIST(AI$2,$D14,$E14,TRUE))</f>
        <v/>
      </c>
      <c r="AJ14">
        <f>IF(NOT(ISNUMBER($D14)),"",_xlfn.NORM.DIST(AJ$1,$D14,$E14,TRUE)-_xlfn.NORM.DIST(AJ$2,$D14,$E14,TRUE))</f>
        <v/>
      </c>
      <c r="AK14">
        <f>IF(NOT(ISNUMBER($D14)),"",_xlfn.NORM.DIST(AK$1,$D14,$E14,TRUE)-_xlfn.NORM.DIST(AK$2,$D14,$E14,TRUE))</f>
        <v/>
      </c>
      <c r="AL14">
        <f>IF(NOT(ISNUMBER($D14)),"",_xlfn.NORM.DIST(AL$1,$D14,$E14,TRUE)-_xlfn.NORM.DIST(AL$2,$D14,$E14,TRUE))</f>
        <v/>
      </c>
      <c r="AM14">
        <f>IF(NOT(ISNUMBER($D14)),"",_xlfn.NORM.DIST(AM$1,$D14,$E14,TRUE)-_xlfn.NORM.DIST(AM$2,$D14,$E14,TRUE))</f>
        <v/>
      </c>
      <c r="AN14">
        <f>IF(NOT(ISNUMBER($D14)),"",_xlfn.NORM.DIST(AN$1,$D14,$E14,TRUE)-_xlfn.NORM.DIST(AN$2,$D14,$E14,TRUE))</f>
        <v/>
      </c>
      <c r="AO14">
        <f>IF(NOT(ISNUMBER($D14)),"",_xlfn.NORM.DIST(AO$1,$D14,$E14,TRUE)-_xlfn.NORM.DIST(AO$2,$D14,$E14,TRUE))</f>
        <v/>
      </c>
      <c r="AP14">
        <f>IF(NOT(ISNUMBER($D14)),"",_xlfn.NORM.DIST(AP$1,$D14,$E14,TRUE)-_xlfn.NORM.DIST(AP$2,$D14,$E14,TRUE))</f>
        <v/>
      </c>
      <c r="AQ14">
        <f>IF(NOT(ISNUMBER($D14)),"",_xlfn.NORM.DIST(AQ$1,$D14,$E14,TRUE)-_xlfn.NORM.DIST(AQ$2,$D14,$E14,TRUE))</f>
        <v/>
      </c>
      <c r="AR14">
        <f>IF(NOT(ISNUMBER($D14)),"",_xlfn.NORM.DIST(AR$1,$D14,$E14,TRUE)-_xlfn.NORM.DIST(AR$2,$D14,$E14,TRUE))</f>
        <v/>
      </c>
      <c r="AS14">
        <f>IF(NOT(ISNUMBER($D14)),"",_xlfn.NORM.DIST(AS$1,$D14,$E14,TRUE)-_xlfn.NORM.DIST(AS$2,$D14,$E14,TRUE))</f>
        <v/>
      </c>
      <c r="AT14">
        <f>IF(NOT(ISNUMBER($D14)),"",_xlfn.NORM.DIST(AT$1,$D14,$E14,TRUE)-_xlfn.NORM.DIST(AT$2,$D14,$E14,TRUE))</f>
        <v/>
      </c>
      <c r="AU14">
        <f>IF(NOT(ISNUMBER($D14)),"",_xlfn.NORM.DIST(AU$1,$D14,$E14,TRUE)-_xlfn.NORM.DIST(AU$2,$D14,$E14,TRUE))</f>
        <v/>
      </c>
      <c r="AV14">
        <f>IF(NOT(ISNUMBER($D14)),"",_xlfn.NORM.DIST(AV$1,$D14,$E14,TRUE)-_xlfn.NORM.DIST(AV$2,$D14,$E14,TRUE))</f>
        <v/>
      </c>
      <c r="AW14">
        <f>IF(NOT(ISNUMBER($D14)),"",_xlfn.NORM.DIST(AW$1,$D14,$E14,TRUE)-_xlfn.NORM.DIST(AW$2,$D14,$E14,TRUE))</f>
        <v/>
      </c>
      <c r="AX14">
        <f>IF(NOT(ISNUMBER($D14)),"",_xlfn.NORM.DIST(AX$1,$D14,$E14,TRUE)-_xlfn.NORM.DIST(AX$2,$D14,$E14,TRUE))</f>
        <v/>
      </c>
      <c r="AY14">
        <f>IF(NOT(ISNUMBER($D14)),"",_xlfn.NORM.DIST(AY$1,$D14,$E14,TRUE)-_xlfn.NORM.DIST(AY$2,$D14,$E14,TRUE))</f>
        <v/>
      </c>
      <c r="AZ14">
        <f>IF(NOT(ISNUMBER($D14)),"",_xlfn.NORM.DIST(AZ$1,$D14,$E14,TRUE)-_xlfn.NORM.DIST(AZ$2,$D14,$E14,TRUE))</f>
        <v/>
      </c>
      <c r="BA14">
        <f>IF(NOT(ISNUMBER($D14)),"",_xlfn.NORM.DIST(BA$1,$D14,$E14,TRUE)-_xlfn.NORM.DIST(BA$2,$D14,$E14,TRUE))</f>
        <v/>
      </c>
      <c r="BB14">
        <f>IF(NOT(ISNUMBER($D14)),"",_xlfn.NORM.DIST(BB$1,$D14,$E14,TRUE)-_xlfn.NORM.DIST(BB$2,$D14,$E14,TRUE))</f>
        <v/>
      </c>
      <c r="BC14">
        <f>IF(NOT(ISNUMBER($D14)),"",_xlfn.NORM.DIST(BC$1,$D14,$E14,TRUE)-_xlfn.NORM.DIST(BC$2,$D14,$E14,TRUE))</f>
        <v/>
      </c>
      <c r="BD14">
        <f>IF(NOT(ISNUMBER($D14)),"",_xlfn.NORM.DIST(BD$1,$D14,$E14,TRUE)-_xlfn.NORM.DIST(BD$2,$D14,$E14,TRUE))</f>
        <v/>
      </c>
      <c r="BE14">
        <f>IF(NOT(ISNUMBER($D14)),"",_xlfn.NORM.DIST(BE$1,$D14,$E14,TRUE)-_xlfn.NORM.DIST(BE$2,$D14,$E14,TRUE))</f>
        <v/>
      </c>
      <c r="BF14">
        <f>IF(NOT(ISNUMBER($D14)),"",_xlfn.NORM.DIST(BF$1,$D14,$E14,TRUE)-_xlfn.NORM.DIST(BF$2,$D14,$E14,TRUE))</f>
        <v/>
      </c>
      <c r="BG14">
        <f>IF(NOT(ISNUMBER($D14)),"",_xlfn.NORM.DIST(BG$1,$D14,$E14,TRUE)-_xlfn.NORM.DIST(BG$2,$D14,$E14,TRUE))</f>
        <v/>
      </c>
      <c r="BH14">
        <f>IF(NOT(ISNUMBER($D14)),"",_xlfn.NORM.DIST(BH$1,$D14,$E14,TRUE)-_xlfn.NORM.DIST(BH$2,$D14,$E14,TRUE))</f>
        <v/>
      </c>
      <c r="BI14">
        <f>IF(NOT(ISNUMBER($D14)),"",_xlfn.NORM.DIST(BI$1,$D14,$E14,TRUE)-_xlfn.NORM.DIST(BI$2,$D14,$E14,TRUE))</f>
        <v/>
      </c>
      <c r="BJ14">
        <f>IF(NOT(ISNUMBER($D14)),"",_xlfn.NORM.DIST(BJ$1,$D14,$E14,TRUE)-_xlfn.NORM.DIST(BJ$2,$D14,$E14,TRUE))</f>
        <v/>
      </c>
      <c r="BK14">
        <f>IF(NOT(ISNUMBER($D14)),"",_xlfn.NORM.DIST(BK$1,$D14,$E14,TRUE)-_xlfn.NORM.DIST(BK$2,$D14,$E14,TRUE))</f>
        <v/>
      </c>
      <c r="BL14">
        <f>IF(NOT(ISNUMBER($D14)),"",_xlfn.NORM.DIST(BL$1,$D14,$E14,TRUE)-_xlfn.NORM.DIST(BL$2,$D14,$E14,TRUE))</f>
        <v/>
      </c>
      <c r="BM14">
        <f>IF(NOT(ISNUMBER($D14)),"",_xlfn.NORM.DIST(BM$1,$D14,$E14,TRUE)-_xlfn.NORM.DIST(BM$2,$D14,$E14,TRUE))</f>
        <v/>
      </c>
      <c r="BN14">
        <f>IF(NOT(ISNUMBER($D14)),"",_xlfn.NORM.DIST(BN$1,$D14,$E14,TRUE)-_xlfn.NORM.DIST(BN$2,$D14,$E14,TRUE))</f>
        <v/>
      </c>
      <c r="BO14">
        <f>IF(NOT(ISNUMBER($D14)),"",_xlfn.NORM.DIST(BO$1,$D14,$E14,TRUE)-_xlfn.NORM.DIST(BO$2,$D14,$E14,TRUE))</f>
        <v/>
      </c>
      <c r="BP14">
        <f>IF(NOT(ISNUMBER($D14)),"",_xlfn.NORM.DIST(BP$1,$D14,$E14,TRUE)-_xlfn.NORM.DIST(BP$2,$D14,$E14,TRUE))</f>
        <v/>
      </c>
      <c r="BQ14">
        <f>IF(NOT(ISNUMBER($D14)),"",_xlfn.NORM.DIST(BQ$1,$D14,$E14,TRUE)-_xlfn.NORM.DIST(BQ$2,$D14,$E14,TRUE))</f>
        <v/>
      </c>
      <c r="BR14">
        <f>IF(NOT(ISNUMBER($D14)),"",_xlfn.NORM.DIST(BR$1,$D14,$E14,TRUE)-_xlfn.NORM.DIST(BR$2,$D14,$E14,TRUE))</f>
        <v/>
      </c>
      <c r="BS14">
        <f>IF(NOT(ISNUMBER($D14)),"",_xlfn.NORM.DIST(BS$1,$D14,$E14,TRUE)-_xlfn.NORM.DIST(BS$2,$D14,$E14,TRUE))</f>
        <v/>
      </c>
      <c r="BT14">
        <f>IF(NOT(ISNUMBER($D14)),"",_xlfn.NORM.DIST(BT$1,$D14,$E14,TRUE)-_xlfn.NORM.DIST(BT$2,$D14,$E14,TRUE))</f>
        <v/>
      </c>
      <c r="BU14">
        <f>IF(NOT(ISNUMBER($D14)),"",_xlfn.NORM.DIST(BU$1,$D14,$E14,TRUE)-_xlfn.NORM.DIST(BU$2,$D14,$E14,TRUE))</f>
        <v/>
      </c>
      <c r="BV14">
        <f>IF(NOT(ISNUMBER($D14)),"",_xlfn.NORM.DIST(BV$1,$D14,$E14,TRUE)-_xlfn.NORM.DIST(BV$2,$D14,$E14,TRUE))</f>
        <v/>
      </c>
      <c r="BW14">
        <f>IF(NOT(ISNUMBER($D14)),"",_xlfn.NORM.DIST(BW$1,$D14,$E14,TRUE)-_xlfn.NORM.DIST(BW$2,$D14,$E14,TRUE))</f>
        <v/>
      </c>
      <c r="BX14">
        <f>IF(NOT(ISNUMBER($D14)),"",_xlfn.NORM.DIST(BX$1,$D14,$E14,TRUE)-_xlfn.NORM.DIST(BX$2,$D14,$E14,TRUE))</f>
        <v/>
      </c>
      <c r="BY14">
        <f>IF(NOT(ISNUMBER($D14)),"",_xlfn.NORM.DIST(BY$1,$D14,$E14,TRUE)-_xlfn.NORM.DIST(BY$2,$D14,$E14,TRUE))</f>
        <v/>
      </c>
      <c r="BZ14">
        <f>IF(NOT(ISNUMBER($D14)),"",_xlfn.NORM.DIST(BZ$1,$D14,$E14,TRUE)-_xlfn.NORM.DIST(BZ$2,$D14,$E14,TRUE))</f>
        <v/>
      </c>
      <c r="CA14">
        <f>IF(NOT(ISNUMBER($D14)),"",_xlfn.NORM.DIST(CA$1,$D14,$E14,TRUE)-_xlfn.NORM.DIST(CA$2,$D14,$E14,TRUE))</f>
        <v/>
      </c>
      <c r="CB14">
        <f>IF(NOT(ISNUMBER($D14)),"",_xlfn.NORM.DIST(CB$1,$D14,$E14,TRUE)-_xlfn.NORM.DIST(CB$2,$D14,$E14,TRUE))</f>
        <v/>
      </c>
      <c r="CC14">
        <f>IF(NOT(ISNUMBER($D14)),"",_xlfn.NORM.DIST(CC$1,$D14,$E14,TRUE)-_xlfn.NORM.DIST(CC$2,$D14,$E14,TRUE))</f>
        <v/>
      </c>
      <c r="CD14">
        <f>IF(NOT(ISNUMBER($D14)),"",_xlfn.NORM.DIST(CD$1,$D14,$E14,TRUE)-_xlfn.NORM.DIST(CD$2,$D14,$E14,TRUE))</f>
        <v/>
      </c>
      <c r="CE14">
        <f>IF(NOT(ISNUMBER($D14)),"",_xlfn.NORM.DIST(CE$1,$D14,$E14,TRUE)-_xlfn.NORM.DIST(CE$2,$D14,$E14,TRUE))</f>
        <v/>
      </c>
      <c r="CF14">
        <f>IF(NOT(ISNUMBER($D14)),"",_xlfn.NORM.DIST(CF$1,$D14,$E14,TRUE)-_xlfn.NORM.DIST(CF$2,$D14,$E14,TRUE))</f>
        <v/>
      </c>
      <c r="CG14">
        <f>IF(NOT(ISNUMBER($D14)),"",_xlfn.NORM.DIST(CG$1,$D14,$E14,TRUE)-_xlfn.NORM.DIST(CG$2,$D14,$E14,TRUE))</f>
        <v/>
      </c>
      <c r="CH14">
        <f>IF(NOT(ISNUMBER($D14)),"",_xlfn.NORM.DIST(CH$1,$D14,$E14,TRUE)-_xlfn.NORM.DIST(CH$2,$D14,$E14,TRUE))</f>
        <v/>
      </c>
      <c r="CI14">
        <f>IF(NOT(ISNUMBER($D14)),"",_xlfn.NORM.DIST(CI$1,$D14,$E14,TRUE)-_xlfn.NORM.DIST(CI$2,$D14,$E14,TRUE))</f>
        <v/>
      </c>
      <c r="CJ14">
        <f>IF(ISNUMBER($D14),SUM(F14:CI14),"")</f>
        <v/>
      </c>
    </row>
    <row r="15">
      <c r="A15">
        <f>economics!A14</f>
        <v/>
      </c>
      <c r="B15">
        <f>economics!B14</f>
        <v/>
      </c>
      <c r="C15">
        <f>economics!D14</f>
        <v/>
      </c>
      <c r="D15">
        <f>IF(ISNUMBER(economics!T14),economics!T14,"na")</f>
        <v/>
      </c>
      <c r="E15">
        <f>IF(ISNUMBER(D15),MAX(0.3*ABS(D15),0.000001),"na")</f>
        <v/>
      </c>
      <c r="F15">
        <f>IF(NOT(ISNUMBER($D15)),"",_xlfn.NORM.DIST(F$1,$D15,$E15,TRUE)-_xlfn.NORM.DIST(F$2,$D15,$E15,TRUE))</f>
        <v/>
      </c>
      <c r="G15">
        <f>IF(NOT(ISNUMBER($D15)),"",_xlfn.NORM.DIST(G$1,$D15,$E15,TRUE)-_xlfn.NORM.DIST(G$2,$D15,$E15,TRUE))</f>
        <v/>
      </c>
      <c r="H15">
        <f>IF(NOT(ISNUMBER($D15)),"",_xlfn.NORM.DIST(H$1,$D15,$E15,TRUE)-_xlfn.NORM.DIST(H$2,$D15,$E15,TRUE))</f>
        <v/>
      </c>
      <c r="I15">
        <f>IF(NOT(ISNUMBER($D15)),"",_xlfn.NORM.DIST(I$1,$D15,$E15,TRUE)-_xlfn.NORM.DIST(I$2,$D15,$E15,TRUE))</f>
        <v/>
      </c>
      <c r="J15">
        <f>IF(NOT(ISNUMBER($D15)),"",_xlfn.NORM.DIST(J$1,$D15,$E15,TRUE)-_xlfn.NORM.DIST(J$2,$D15,$E15,TRUE))</f>
        <v/>
      </c>
      <c r="K15">
        <f>IF(NOT(ISNUMBER($D15)),"",_xlfn.NORM.DIST(K$1,$D15,$E15,TRUE)-_xlfn.NORM.DIST(K$2,$D15,$E15,TRUE))</f>
        <v/>
      </c>
      <c r="L15">
        <f>IF(NOT(ISNUMBER($D15)),"",_xlfn.NORM.DIST(L$1,$D15,$E15,TRUE)-_xlfn.NORM.DIST(L$2,$D15,$E15,TRUE))</f>
        <v/>
      </c>
      <c r="M15">
        <f>IF(NOT(ISNUMBER($D15)),"",_xlfn.NORM.DIST(M$1,$D15,$E15,TRUE)-_xlfn.NORM.DIST(M$2,$D15,$E15,TRUE))</f>
        <v/>
      </c>
      <c r="N15">
        <f>IF(NOT(ISNUMBER($D15)),"",_xlfn.NORM.DIST(N$1,$D15,$E15,TRUE)-_xlfn.NORM.DIST(N$2,$D15,$E15,TRUE))</f>
        <v/>
      </c>
      <c r="O15">
        <f>IF(NOT(ISNUMBER($D15)),"",_xlfn.NORM.DIST(O$1,$D15,$E15,TRUE)-_xlfn.NORM.DIST(O$2,$D15,$E15,TRUE))</f>
        <v/>
      </c>
      <c r="P15">
        <f>IF(NOT(ISNUMBER($D15)),"",_xlfn.NORM.DIST(P$1,$D15,$E15,TRUE)-_xlfn.NORM.DIST(P$2,$D15,$E15,TRUE))</f>
        <v/>
      </c>
      <c r="Q15">
        <f>IF(NOT(ISNUMBER($D15)),"",_xlfn.NORM.DIST(Q$1,$D15,$E15,TRUE)-_xlfn.NORM.DIST(Q$2,$D15,$E15,TRUE))</f>
        <v/>
      </c>
      <c r="R15">
        <f>IF(NOT(ISNUMBER($D15)),"",_xlfn.NORM.DIST(R$1,$D15,$E15,TRUE)-_xlfn.NORM.DIST(R$2,$D15,$E15,TRUE))</f>
        <v/>
      </c>
      <c r="S15">
        <f>IF(NOT(ISNUMBER($D15)),"",_xlfn.NORM.DIST(S$1,$D15,$E15,TRUE)-_xlfn.NORM.DIST(S$2,$D15,$E15,TRUE))</f>
        <v/>
      </c>
      <c r="T15">
        <f>IF(NOT(ISNUMBER($D15)),"",_xlfn.NORM.DIST(T$1,$D15,$E15,TRUE)-_xlfn.NORM.DIST(T$2,$D15,$E15,TRUE))</f>
        <v/>
      </c>
      <c r="U15">
        <f>IF(NOT(ISNUMBER($D15)),"",_xlfn.NORM.DIST(U$1,$D15,$E15,TRUE)-_xlfn.NORM.DIST(U$2,$D15,$E15,TRUE))</f>
        <v/>
      </c>
      <c r="V15">
        <f>IF(NOT(ISNUMBER($D15)),"",_xlfn.NORM.DIST(V$1,$D15,$E15,TRUE)-_xlfn.NORM.DIST(V$2,$D15,$E15,TRUE))</f>
        <v/>
      </c>
      <c r="W15">
        <f>IF(NOT(ISNUMBER($D15)),"",_xlfn.NORM.DIST(W$1,$D15,$E15,TRUE)-_xlfn.NORM.DIST(W$2,$D15,$E15,TRUE))</f>
        <v/>
      </c>
      <c r="X15">
        <f>IF(NOT(ISNUMBER($D15)),"",_xlfn.NORM.DIST(X$1,$D15,$E15,TRUE)-_xlfn.NORM.DIST(X$2,$D15,$E15,TRUE))</f>
        <v/>
      </c>
      <c r="Y15">
        <f>IF(NOT(ISNUMBER($D15)),"",_xlfn.NORM.DIST(Y$1,$D15,$E15,TRUE)-_xlfn.NORM.DIST(Y$2,$D15,$E15,TRUE))</f>
        <v/>
      </c>
      <c r="Z15">
        <f>IF(NOT(ISNUMBER($D15)),"",_xlfn.NORM.DIST(Z$1,$D15,$E15,TRUE)-_xlfn.NORM.DIST(Z$2,$D15,$E15,TRUE))</f>
        <v/>
      </c>
      <c r="AA15">
        <f>IF(NOT(ISNUMBER($D15)),"",_xlfn.NORM.DIST(AA$1,$D15,$E15,TRUE)-_xlfn.NORM.DIST(AA$2,$D15,$E15,TRUE))</f>
        <v/>
      </c>
      <c r="AB15">
        <f>IF(NOT(ISNUMBER($D15)),"",_xlfn.NORM.DIST(AB$1,$D15,$E15,TRUE)-_xlfn.NORM.DIST(AB$2,$D15,$E15,TRUE))</f>
        <v/>
      </c>
      <c r="AC15">
        <f>IF(NOT(ISNUMBER($D15)),"",_xlfn.NORM.DIST(AC$1,$D15,$E15,TRUE)-_xlfn.NORM.DIST(AC$2,$D15,$E15,TRUE))</f>
        <v/>
      </c>
      <c r="AD15">
        <f>IF(NOT(ISNUMBER($D15)),"",_xlfn.NORM.DIST(AD$1,$D15,$E15,TRUE)-_xlfn.NORM.DIST(AD$2,$D15,$E15,TRUE))</f>
        <v/>
      </c>
      <c r="AE15">
        <f>IF(NOT(ISNUMBER($D15)),"",_xlfn.NORM.DIST(AE$1,$D15,$E15,TRUE)-_xlfn.NORM.DIST(AE$2,$D15,$E15,TRUE))</f>
        <v/>
      </c>
      <c r="AF15">
        <f>IF(NOT(ISNUMBER($D15)),"",_xlfn.NORM.DIST(AF$1,$D15,$E15,TRUE)-_xlfn.NORM.DIST(AF$2,$D15,$E15,TRUE))</f>
        <v/>
      </c>
      <c r="AG15">
        <f>IF(NOT(ISNUMBER($D15)),"",_xlfn.NORM.DIST(AG$1,$D15,$E15,TRUE)-_xlfn.NORM.DIST(AG$2,$D15,$E15,TRUE))</f>
        <v/>
      </c>
      <c r="AH15">
        <f>IF(NOT(ISNUMBER($D15)),"",_xlfn.NORM.DIST(AH$1,$D15,$E15,TRUE)-_xlfn.NORM.DIST(AH$2,$D15,$E15,TRUE))</f>
        <v/>
      </c>
      <c r="AI15">
        <f>IF(NOT(ISNUMBER($D15)),"",_xlfn.NORM.DIST(AI$1,$D15,$E15,TRUE)-_xlfn.NORM.DIST(AI$2,$D15,$E15,TRUE))</f>
        <v/>
      </c>
      <c r="AJ15">
        <f>IF(NOT(ISNUMBER($D15)),"",_xlfn.NORM.DIST(AJ$1,$D15,$E15,TRUE)-_xlfn.NORM.DIST(AJ$2,$D15,$E15,TRUE))</f>
        <v/>
      </c>
      <c r="AK15">
        <f>IF(NOT(ISNUMBER($D15)),"",_xlfn.NORM.DIST(AK$1,$D15,$E15,TRUE)-_xlfn.NORM.DIST(AK$2,$D15,$E15,TRUE))</f>
        <v/>
      </c>
      <c r="AL15">
        <f>IF(NOT(ISNUMBER($D15)),"",_xlfn.NORM.DIST(AL$1,$D15,$E15,TRUE)-_xlfn.NORM.DIST(AL$2,$D15,$E15,TRUE))</f>
        <v/>
      </c>
      <c r="AM15">
        <f>IF(NOT(ISNUMBER($D15)),"",_xlfn.NORM.DIST(AM$1,$D15,$E15,TRUE)-_xlfn.NORM.DIST(AM$2,$D15,$E15,TRUE))</f>
        <v/>
      </c>
      <c r="AN15">
        <f>IF(NOT(ISNUMBER($D15)),"",_xlfn.NORM.DIST(AN$1,$D15,$E15,TRUE)-_xlfn.NORM.DIST(AN$2,$D15,$E15,TRUE))</f>
        <v/>
      </c>
      <c r="AO15">
        <f>IF(NOT(ISNUMBER($D15)),"",_xlfn.NORM.DIST(AO$1,$D15,$E15,TRUE)-_xlfn.NORM.DIST(AO$2,$D15,$E15,TRUE))</f>
        <v/>
      </c>
      <c r="AP15">
        <f>IF(NOT(ISNUMBER($D15)),"",_xlfn.NORM.DIST(AP$1,$D15,$E15,TRUE)-_xlfn.NORM.DIST(AP$2,$D15,$E15,TRUE))</f>
        <v/>
      </c>
      <c r="AQ15">
        <f>IF(NOT(ISNUMBER($D15)),"",_xlfn.NORM.DIST(AQ$1,$D15,$E15,TRUE)-_xlfn.NORM.DIST(AQ$2,$D15,$E15,TRUE))</f>
        <v/>
      </c>
      <c r="AR15">
        <f>IF(NOT(ISNUMBER($D15)),"",_xlfn.NORM.DIST(AR$1,$D15,$E15,TRUE)-_xlfn.NORM.DIST(AR$2,$D15,$E15,TRUE))</f>
        <v/>
      </c>
      <c r="AS15">
        <f>IF(NOT(ISNUMBER($D15)),"",_xlfn.NORM.DIST(AS$1,$D15,$E15,TRUE)-_xlfn.NORM.DIST(AS$2,$D15,$E15,TRUE))</f>
        <v/>
      </c>
      <c r="AT15">
        <f>IF(NOT(ISNUMBER($D15)),"",_xlfn.NORM.DIST(AT$1,$D15,$E15,TRUE)-_xlfn.NORM.DIST(AT$2,$D15,$E15,TRUE))</f>
        <v/>
      </c>
      <c r="AU15">
        <f>IF(NOT(ISNUMBER($D15)),"",_xlfn.NORM.DIST(AU$1,$D15,$E15,TRUE)-_xlfn.NORM.DIST(AU$2,$D15,$E15,TRUE))</f>
        <v/>
      </c>
      <c r="AV15">
        <f>IF(NOT(ISNUMBER($D15)),"",_xlfn.NORM.DIST(AV$1,$D15,$E15,TRUE)-_xlfn.NORM.DIST(AV$2,$D15,$E15,TRUE))</f>
        <v/>
      </c>
      <c r="AW15">
        <f>IF(NOT(ISNUMBER($D15)),"",_xlfn.NORM.DIST(AW$1,$D15,$E15,TRUE)-_xlfn.NORM.DIST(AW$2,$D15,$E15,TRUE))</f>
        <v/>
      </c>
      <c r="AX15">
        <f>IF(NOT(ISNUMBER($D15)),"",_xlfn.NORM.DIST(AX$1,$D15,$E15,TRUE)-_xlfn.NORM.DIST(AX$2,$D15,$E15,TRUE))</f>
        <v/>
      </c>
      <c r="AY15">
        <f>IF(NOT(ISNUMBER($D15)),"",_xlfn.NORM.DIST(AY$1,$D15,$E15,TRUE)-_xlfn.NORM.DIST(AY$2,$D15,$E15,TRUE))</f>
        <v/>
      </c>
      <c r="AZ15">
        <f>IF(NOT(ISNUMBER($D15)),"",_xlfn.NORM.DIST(AZ$1,$D15,$E15,TRUE)-_xlfn.NORM.DIST(AZ$2,$D15,$E15,TRUE))</f>
        <v/>
      </c>
      <c r="BA15">
        <f>IF(NOT(ISNUMBER($D15)),"",_xlfn.NORM.DIST(BA$1,$D15,$E15,TRUE)-_xlfn.NORM.DIST(BA$2,$D15,$E15,TRUE))</f>
        <v/>
      </c>
      <c r="BB15">
        <f>IF(NOT(ISNUMBER($D15)),"",_xlfn.NORM.DIST(BB$1,$D15,$E15,TRUE)-_xlfn.NORM.DIST(BB$2,$D15,$E15,TRUE))</f>
        <v/>
      </c>
      <c r="BC15">
        <f>IF(NOT(ISNUMBER($D15)),"",_xlfn.NORM.DIST(BC$1,$D15,$E15,TRUE)-_xlfn.NORM.DIST(BC$2,$D15,$E15,TRUE))</f>
        <v/>
      </c>
      <c r="BD15">
        <f>IF(NOT(ISNUMBER($D15)),"",_xlfn.NORM.DIST(BD$1,$D15,$E15,TRUE)-_xlfn.NORM.DIST(BD$2,$D15,$E15,TRUE))</f>
        <v/>
      </c>
      <c r="BE15">
        <f>IF(NOT(ISNUMBER($D15)),"",_xlfn.NORM.DIST(BE$1,$D15,$E15,TRUE)-_xlfn.NORM.DIST(BE$2,$D15,$E15,TRUE))</f>
        <v/>
      </c>
      <c r="BF15">
        <f>IF(NOT(ISNUMBER($D15)),"",_xlfn.NORM.DIST(BF$1,$D15,$E15,TRUE)-_xlfn.NORM.DIST(BF$2,$D15,$E15,TRUE))</f>
        <v/>
      </c>
      <c r="BG15">
        <f>IF(NOT(ISNUMBER($D15)),"",_xlfn.NORM.DIST(BG$1,$D15,$E15,TRUE)-_xlfn.NORM.DIST(BG$2,$D15,$E15,TRUE))</f>
        <v/>
      </c>
      <c r="BH15">
        <f>IF(NOT(ISNUMBER($D15)),"",_xlfn.NORM.DIST(BH$1,$D15,$E15,TRUE)-_xlfn.NORM.DIST(BH$2,$D15,$E15,TRUE))</f>
        <v/>
      </c>
      <c r="BI15">
        <f>IF(NOT(ISNUMBER($D15)),"",_xlfn.NORM.DIST(BI$1,$D15,$E15,TRUE)-_xlfn.NORM.DIST(BI$2,$D15,$E15,TRUE))</f>
        <v/>
      </c>
      <c r="BJ15">
        <f>IF(NOT(ISNUMBER($D15)),"",_xlfn.NORM.DIST(BJ$1,$D15,$E15,TRUE)-_xlfn.NORM.DIST(BJ$2,$D15,$E15,TRUE))</f>
        <v/>
      </c>
      <c r="BK15">
        <f>IF(NOT(ISNUMBER($D15)),"",_xlfn.NORM.DIST(BK$1,$D15,$E15,TRUE)-_xlfn.NORM.DIST(BK$2,$D15,$E15,TRUE))</f>
        <v/>
      </c>
      <c r="BL15">
        <f>IF(NOT(ISNUMBER($D15)),"",_xlfn.NORM.DIST(BL$1,$D15,$E15,TRUE)-_xlfn.NORM.DIST(BL$2,$D15,$E15,TRUE))</f>
        <v/>
      </c>
      <c r="BM15">
        <f>IF(NOT(ISNUMBER($D15)),"",_xlfn.NORM.DIST(BM$1,$D15,$E15,TRUE)-_xlfn.NORM.DIST(BM$2,$D15,$E15,TRUE))</f>
        <v/>
      </c>
      <c r="BN15">
        <f>IF(NOT(ISNUMBER($D15)),"",_xlfn.NORM.DIST(BN$1,$D15,$E15,TRUE)-_xlfn.NORM.DIST(BN$2,$D15,$E15,TRUE))</f>
        <v/>
      </c>
      <c r="BO15">
        <f>IF(NOT(ISNUMBER($D15)),"",_xlfn.NORM.DIST(BO$1,$D15,$E15,TRUE)-_xlfn.NORM.DIST(BO$2,$D15,$E15,TRUE))</f>
        <v/>
      </c>
      <c r="BP15">
        <f>IF(NOT(ISNUMBER($D15)),"",_xlfn.NORM.DIST(BP$1,$D15,$E15,TRUE)-_xlfn.NORM.DIST(BP$2,$D15,$E15,TRUE))</f>
        <v/>
      </c>
      <c r="BQ15">
        <f>IF(NOT(ISNUMBER($D15)),"",_xlfn.NORM.DIST(BQ$1,$D15,$E15,TRUE)-_xlfn.NORM.DIST(BQ$2,$D15,$E15,TRUE))</f>
        <v/>
      </c>
      <c r="BR15">
        <f>IF(NOT(ISNUMBER($D15)),"",_xlfn.NORM.DIST(BR$1,$D15,$E15,TRUE)-_xlfn.NORM.DIST(BR$2,$D15,$E15,TRUE))</f>
        <v/>
      </c>
      <c r="BS15">
        <f>IF(NOT(ISNUMBER($D15)),"",_xlfn.NORM.DIST(BS$1,$D15,$E15,TRUE)-_xlfn.NORM.DIST(BS$2,$D15,$E15,TRUE))</f>
        <v/>
      </c>
      <c r="BT15">
        <f>IF(NOT(ISNUMBER($D15)),"",_xlfn.NORM.DIST(BT$1,$D15,$E15,TRUE)-_xlfn.NORM.DIST(BT$2,$D15,$E15,TRUE))</f>
        <v/>
      </c>
      <c r="BU15">
        <f>IF(NOT(ISNUMBER($D15)),"",_xlfn.NORM.DIST(BU$1,$D15,$E15,TRUE)-_xlfn.NORM.DIST(BU$2,$D15,$E15,TRUE))</f>
        <v/>
      </c>
      <c r="BV15">
        <f>IF(NOT(ISNUMBER($D15)),"",_xlfn.NORM.DIST(BV$1,$D15,$E15,TRUE)-_xlfn.NORM.DIST(BV$2,$D15,$E15,TRUE))</f>
        <v/>
      </c>
      <c r="BW15">
        <f>IF(NOT(ISNUMBER($D15)),"",_xlfn.NORM.DIST(BW$1,$D15,$E15,TRUE)-_xlfn.NORM.DIST(BW$2,$D15,$E15,TRUE))</f>
        <v/>
      </c>
      <c r="BX15">
        <f>IF(NOT(ISNUMBER($D15)),"",_xlfn.NORM.DIST(BX$1,$D15,$E15,TRUE)-_xlfn.NORM.DIST(BX$2,$D15,$E15,TRUE))</f>
        <v/>
      </c>
      <c r="BY15">
        <f>IF(NOT(ISNUMBER($D15)),"",_xlfn.NORM.DIST(BY$1,$D15,$E15,TRUE)-_xlfn.NORM.DIST(BY$2,$D15,$E15,TRUE))</f>
        <v/>
      </c>
      <c r="BZ15">
        <f>IF(NOT(ISNUMBER($D15)),"",_xlfn.NORM.DIST(BZ$1,$D15,$E15,TRUE)-_xlfn.NORM.DIST(BZ$2,$D15,$E15,TRUE))</f>
        <v/>
      </c>
      <c r="CA15">
        <f>IF(NOT(ISNUMBER($D15)),"",_xlfn.NORM.DIST(CA$1,$D15,$E15,TRUE)-_xlfn.NORM.DIST(CA$2,$D15,$E15,TRUE))</f>
        <v/>
      </c>
      <c r="CB15">
        <f>IF(NOT(ISNUMBER($D15)),"",_xlfn.NORM.DIST(CB$1,$D15,$E15,TRUE)-_xlfn.NORM.DIST(CB$2,$D15,$E15,TRUE))</f>
        <v/>
      </c>
      <c r="CC15">
        <f>IF(NOT(ISNUMBER($D15)),"",_xlfn.NORM.DIST(CC$1,$D15,$E15,TRUE)-_xlfn.NORM.DIST(CC$2,$D15,$E15,TRUE))</f>
        <v/>
      </c>
      <c r="CD15">
        <f>IF(NOT(ISNUMBER($D15)),"",_xlfn.NORM.DIST(CD$1,$D15,$E15,TRUE)-_xlfn.NORM.DIST(CD$2,$D15,$E15,TRUE))</f>
        <v/>
      </c>
      <c r="CE15">
        <f>IF(NOT(ISNUMBER($D15)),"",_xlfn.NORM.DIST(CE$1,$D15,$E15,TRUE)-_xlfn.NORM.DIST(CE$2,$D15,$E15,TRUE))</f>
        <v/>
      </c>
      <c r="CF15">
        <f>IF(NOT(ISNUMBER($D15)),"",_xlfn.NORM.DIST(CF$1,$D15,$E15,TRUE)-_xlfn.NORM.DIST(CF$2,$D15,$E15,TRUE))</f>
        <v/>
      </c>
      <c r="CG15">
        <f>IF(NOT(ISNUMBER($D15)),"",_xlfn.NORM.DIST(CG$1,$D15,$E15,TRUE)-_xlfn.NORM.DIST(CG$2,$D15,$E15,TRUE))</f>
        <v/>
      </c>
      <c r="CH15">
        <f>IF(NOT(ISNUMBER($D15)),"",_xlfn.NORM.DIST(CH$1,$D15,$E15,TRUE)-_xlfn.NORM.DIST(CH$2,$D15,$E15,TRUE))</f>
        <v/>
      </c>
      <c r="CI15">
        <f>IF(NOT(ISNUMBER($D15)),"",_xlfn.NORM.DIST(CI$1,$D15,$E15,TRUE)-_xlfn.NORM.DIST(CI$2,$D15,$E15,TRUE))</f>
        <v/>
      </c>
      <c r="CJ15">
        <f>IF(ISNUMBER($D15),SUM(F15:CI15),"")</f>
        <v/>
      </c>
    </row>
    <row r="16">
      <c r="A16">
        <f>economics!A15</f>
        <v/>
      </c>
      <c r="B16">
        <f>economics!B15</f>
        <v/>
      </c>
      <c r="C16">
        <f>economics!D15</f>
        <v/>
      </c>
      <c r="D16">
        <f>IF(ISNUMBER(economics!T15),economics!T15,"na")</f>
        <v/>
      </c>
      <c r="E16">
        <f>IF(ISNUMBER(D16),MAX(0.3*ABS(D16),0.000001),"na")</f>
        <v/>
      </c>
      <c r="F16">
        <f>IF(NOT(ISNUMBER($D16)),"",_xlfn.NORM.DIST(F$1,$D16,$E16,TRUE)-_xlfn.NORM.DIST(F$2,$D16,$E16,TRUE))</f>
        <v/>
      </c>
      <c r="G16">
        <f>IF(NOT(ISNUMBER($D16)),"",_xlfn.NORM.DIST(G$1,$D16,$E16,TRUE)-_xlfn.NORM.DIST(G$2,$D16,$E16,TRUE))</f>
        <v/>
      </c>
      <c r="H16">
        <f>IF(NOT(ISNUMBER($D16)),"",_xlfn.NORM.DIST(H$1,$D16,$E16,TRUE)-_xlfn.NORM.DIST(H$2,$D16,$E16,TRUE))</f>
        <v/>
      </c>
      <c r="I16">
        <f>IF(NOT(ISNUMBER($D16)),"",_xlfn.NORM.DIST(I$1,$D16,$E16,TRUE)-_xlfn.NORM.DIST(I$2,$D16,$E16,TRUE))</f>
        <v/>
      </c>
      <c r="J16">
        <f>IF(NOT(ISNUMBER($D16)),"",_xlfn.NORM.DIST(J$1,$D16,$E16,TRUE)-_xlfn.NORM.DIST(J$2,$D16,$E16,TRUE))</f>
        <v/>
      </c>
      <c r="K16">
        <f>IF(NOT(ISNUMBER($D16)),"",_xlfn.NORM.DIST(K$1,$D16,$E16,TRUE)-_xlfn.NORM.DIST(K$2,$D16,$E16,TRUE))</f>
        <v/>
      </c>
      <c r="L16">
        <f>IF(NOT(ISNUMBER($D16)),"",_xlfn.NORM.DIST(L$1,$D16,$E16,TRUE)-_xlfn.NORM.DIST(L$2,$D16,$E16,TRUE))</f>
        <v/>
      </c>
      <c r="M16">
        <f>IF(NOT(ISNUMBER($D16)),"",_xlfn.NORM.DIST(M$1,$D16,$E16,TRUE)-_xlfn.NORM.DIST(M$2,$D16,$E16,TRUE))</f>
        <v/>
      </c>
      <c r="N16">
        <f>IF(NOT(ISNUMBER($D16)),"",_xlfn.NORM.DIST(N$1,$D16,$E16,TRUE)-_xlfn.NORM.DIST(N$2,$D16,$E16,TRUE))</f>
        <v/>
      </c>
      <c r="O16">
        <f>IF(NOT(ISNUMBER($D16)),"",_xlfn.NORM.DIST(O$1,$D16,$E16,TRUE)-_xlfn.NORM.DIST(O$2,$D16,$E16,TRUE))</f>
        <v/>
      </c>
      <c r="P16">
        <f>IF(NOT(ISNUMBER($D16)),"",_xlfn.NORM.DIST(P$1,$D16,$E16,TRUE)-_xlfn.NORM.DIST(P$2,$D16,$E16,TRUE))</f>
        <v/>
      </c>
      <c r="Q16">
        <f>IF(NOT(ISNUMBER($D16)),"",_xlfn.NORM.DIST(Q$1,$D16,$E16,TRUE)-_xlfn.NORM.DIST(Q$2,$D16,$E16,TRUE))</f>
        <v/>
      </c>
      <c r="R16">
        <f>IF(NOT(ISNUMBER($D16)),"",_xlfn.NORM.DIST(R$1,$D16,$E16,TRUE)-_xlfn.NORM.DIST(R$2,$D16,$E16,TRUE))</f>
        <v/>
      </c>
      <c r="S16">
        <f>IF(NOT(ISNUMBER($D16)),"",_xlfn.NORM.DIST(S$1,$D16,$E16,TRUE)-_xlfn.NORM.DIST(S$2,$D16,$E16,TRUE))</f>
        <v/>
      </c>
      <c r="T16">
        <f>IF(NOT(ISNUMBER($D16)),"",_xlfn.NORM.DIST(T$1,$D16,$E16,TRUE)-_xlfn.NORM.DIST(T$2,$D16,$E16,TRUE))</f>
        <v/>
      </c>
      <c r="U16">
        <f>IF(NOT(ISNUMBER($D16)),"",_xlfn.NORM.DIST(U$1,$D16,$E16,TRUE)-_xlfn.NORM.DIST(U$2,$D16,$E16,TRUE))</f>
        <v/>
      </c>
      <c r="V16">
        <f>IF(NOT(ISNUMBER($D16)),"",_xlfn.NORM.DIST(V$1,$D16,$E16,TRUE)-_xlfn.NORM.DIST(V$2,$D16,$E16,TRUE))</f>
        <v/>
      </c>
      <c r="W16">
        <f>IF(NOT(ISNUMBER($D16)),"",_xlfn.NORM.DIST(W$1,$D16,$E16,TRUE)-_xlfn.NORM.DIST(W$2,$D16,$E16,TRUE))</f>
        <v/>
      </c>
      <c r="X16">
        <f>IF(NOT(ISNUMBER($D16)),"",_xlfn.NORM.DIST(X$1,$D16,$E16,TRUE)-_xlfn.NORM.DIST(X$2,$D16,$E16,TRUE))</f>
        <v/>
      </c>
      <c r="Y16">
        <f>IF(NOT(ISNUMBER($D16)),"",_xlfn.NORM.DIST(Y$1,$D16,$E16,TRUE)-_xlfn.NORM.DIST(Y$2,$D16,$E16,TRUE))</f>
        <v/>
      </c>
      <c r="Z16">
        <f>IF(NOT(ISNUMBER($D16)),"",_xlfn.NORM.DIST(Z$1,$D16,$E16,TRUE)-_xlfn.NORM.DIST(Z$2,$D16,$E16,TRUE))</f>
        <v/>
      </c>
      <c r="AA16">
        <f>IF(NOT(ISNUMBER($D16)),"",_xlfn.NORM.DIST(AA$1,$D16,$E16,TRUE)-_xlfn.NORM.DIST(AA$2,$D16,$E16,TRUE))</f>
        <v/>
      </c>
      <c r="AB16">
        <f>IF(NOT(ISNUMBER($D16)),"",_xlfn.NORM.DIST(AB$1,$D16,$E16,TRUE)-_xlfn.NORM.DIST(AB$2,$D16,$E16,TRUE))</f>
        <v/>
      </c>
      <c r="AC16">
        <f>IF(NOT(ISNUMBER($D16)),"",_xlfn.NORM.DIST(AC$1,$D16,$E16,TRUE)-_xlfn.NORM.DIST(AC$2,$D16,$E16,TRUE))</f>
        <v/>
      </c>
      <c r="AD16">
        <f>IF(NOT(ISNUMBER($D16)),"",_xlfn.NORM.DIST(AD$1,$D16,$E16,TRUE)-_xlfn.NORM.DIST(AD$2,$D16,$E16,TRUE))</f>
        <v/>
      </c>
      <c r="AE16">
        <f>IF(NOT(ISNUMBER($D16)),"",_xlfn.NORM.DIST(AE$1,$D16,$E16,TRUE)-_xlfn.NORM.DIST(AE$2,$D16,$E16,TRUE))</f>
        <v/>
      </c>
      <c r="AF16">
        <f>IF(NOT(ISNUMBER($D16)),"",_xlfn.NORM.DIST(AF$1,$D16,$E16,TRUE)-_xlfn.NORM.DIST(AF$2,$D16,$E16,TRUE))</f>
        <v/>
      </c>
      <c r="AG16">
        <f>IF(NOT(ISNUMBER($D16)),"",_xlfn.NORM.DIST(AG$1,$D16,$E16,TRUE)-_xlfn.NORM.DIST(AG$2,$D16,$E16,TRUE))</f>
        <v/>
      </c>
      <c r="AH16">
        <f>IF(NOT(ISNUMBER($D16)),"",_xlfn.NORM.DIST(AH$1,$D16,$E16,TRUE)-_xlfn.NORM.DIST(AH$2,$D16,$E16,TRUE))</f>
        <v/>
      </c>
      <c r="AI16">
        <f>IF(NOT(ISNUMBER($D16)),"",_xlfn.NORM.DIST(AI$1,$D16,$E16,TRUE)-_xlfn.NORM.DIST(AI$2,$D16,$E16,TRUE))</f>
        <v/>
      </c>
      <c r="AJ16">
        <f>IF(NOT(ISNUMBER($D16)),"",_xlfn.NORM.DIST(AJ$1,$D16,$E16,TRUE)-_xlfn.NORM.DIST(AJ$2,$D16,$E16,TRUE))</f>
        <v/>
      </c>
      <c r="AK16">
        <f>IF(NOT(ISNUMBER($D16)),"",_xlfn.NORM.DIST(AK$1,$D16,$E16,TRUE)-_xlfn.NORM.DIST(AK$2,$D16,$E16,TRUE))</f>
        <v/>
      </c>
      <c r="AL16">
        <f>IF(NOT(ISNUMBER($D16)),"",_xlfn.NORM.DIST(AL$1,$D16,$E16,TRUE)-_xlfn.NORM.DIST(AL$2,$D16,$E16,TRUE))</f>
        <v/>
      </c>
      <c r="AM16">
        <f>IF(NOT(ISNUMBER($D16)),"",_xlfn.NORM.DIST(AM$1,$D16,$E16,TRUE)-_xlfn.NORM.DIST(AM$2,$D16,$E16,TRUE))</f>
        <v/>
      </c>
      <c r="AN16">
        <f>IF(NOT(ISNUMBER($D16)),"",_xlfn.NORM.DIST(AN$1,$D16,$E16,TRUE)-_xlfn.NORM.DIST(AN$2,$D16,$E16,TRUE))</f>
        <v/>
      </c>
      <c r="AO16">
        <f>IF(NOT(ISNUMBER($D16)),"",_xlfn.NORM.DIST(AO$1,$D16,$E16,TRUE)-_xlfn.NORM.DIST(AO$2,$D16,$E16,TRUE))</f>
        <v/>
      </c>
      <c r="AP16">
        <f>IF(NOT(ISNUMBER($D16)),"",_xlfn.NORM.DIST(AP$1,$D16,$E16,TRUE)-_xlfn.NORM.DIST(AP$2,$D16,$E16,TRUE))</f>
        <v/>
      </c>
      <c r="AQ16">
        <f>IF(NOT(ISNUMBER($D16)),"",_xlfn.NORM.DIST(AQ$1,$D16,$E16,TRUE)-_xlfn.NORM.DIST(AQ$2,$D16,$E16,TRUE))</f>
        <v/>
      </c>
      <c r="AR16">
        <f>IF(NOT(ISNUMBER($D16)),"",_xlfn.NORM.DIST(AR$1,$D16,$E16,TRUE)-_xlfn.NORM.DIST(AR$2,$D16,$E16,TRUE))</f>
        <v/>
      </c>
      <c r="AS16">
        <f>IF(NOT(ISNUMBER($D16)),"",_xlfn.NORM.DIST(AS$1,$D16,$E16,TRUE)-_xlfn.NORM.DIST(AS$2,$D16,$E16,TRUE))</f>
        <v/>
      </c>
      <c r="AT16">
        <f>IF(NOT(ISNUMBER($D16)),"",_xlfn.NORM.DIST(AT$1,$D16,$E16,TRUE)-_xlfn.NORM.DIST(AT$2,$D16,$E16,TRUE))</f>
        <v/>
      </c>
      <c r="AU16">
        <f>IF(NOT(ISNUMBER($D16)),"",_xlfn.NORM.DIST(AU$1,$D16,$E16,TRUE)-_xlfn.NORM.DIST(AU$2,$D16,$E16,TRUE))</f>
        <v/>
      </c>
      <c r="AV16">
        <f>IF(NOT(ISNUMBER($D16)),"",_xlfn.NORM.DIST(AV$1,$D16,$E16,TRUE)-_xlfn.NORM.DIST(AV$2,$D16,$E16,TRUE))</f>
        <v/>
      </c>
      <c r="AW16">
        <f>IF(NOT(ISNUMBER($D16)),"",_xlfn.NORM.DIST(AW$1,$D16,$E16,TRUE)-_xlfn.NORM.DIST(AW$2,$D16,$E16,TRUE))</f>
        <v/>
      </c>
      <c r="AX16">
        <f>IF(NOT(ISNUMBER($D16)),"",_xlfn.NORM.DIST(AX$1,$D16,$E16,TRUE)-_xlfn.NORM.DIST(AX$2,$D16,$E16,TRUE))</f>
        <v/>
      </c>
      <c r="AY16">
        <f>IF(NOT(ISNUMBER($D16)),"",_xlfn.NORM.DIST(AY$1,$D16,$E16,TRUE)-_xlfn.NORM.DIST(AY$2,$D16,$E16,TRUE))</f>
        <v/>
      </c>
      <c r="AZ16">
        <f>IF(NOT(ISNUMBER($D16)),"",_xlfn.NORM.DIST(AZ$1,$D16,$E16,TRUE)-_xlfn.NORM.DIST(AZ$2,$D16,$E16,TRUE))</f>
        <v/>
      </c>
      <c r="BA16">
        <f>IF(NOT(ISNUMBER($D16)),"",_xlfn.NORM.DIST(BA$1,$D16,$E16,TRUE)-_xlfn.NORM.DIST(BA$2,$D16,$E16,TRUE))</f>
        <v/>
      </c>
      <c r="BB16">
        <f>IF(NOT(ISNUMBER($D16)),"",_xlfn.NORM.DIST(BB$1,$D16,$E16,TRUE)-_xlfn.NORM.DIST(BB$2,$D16,$E16,TRUE))</f>
        <v/>
      </c>
      <c r="BC16">
        <f>IF(NOT(ISNUMBER($D16)),"",_xlfn.NORM.DIST(BC$1,$D16,$E16,TRUE)-_xlfn.NORM.DIST(BC$2,$D16,$E16,TRUE))</f>
        <v/>
      </c>
      <c r="BD16">
        <f>IF(NOT(ISNUMBER($D16)),"",_xlfn.NORM.DIST(BD$1,$D16,$E16,TRUE)-_xlfn.NORM.DIST(BD$2,$D16,$E16,TRUE))</f>
        <v/>
      </c>
      <c r="BE16">
        <f>IF(NOT(ISNUMBER($D16)),"",_xlfn.NORM.DIST(BE$1,$D16,$E16,TRUE)-_xlfn.NORM.DIST(BE$2,$D16,$E16,TRUE))</f>
        <v/>
      </c>
      <c r="BF16">
        <f>IF(NOT(ISNUMBER($D16)),"",_xlfn.NORM.DIST(BF$1,$D16,$E16,TRUE)-_xlfn.NORM.DIST(BF$2,$D16,$E16,TRUE))</f>
        <v/>
      </c>
      <c r="BG16">
        <f>IF(NOT(ISNUMBER($D16)),"",_xlfn.NORM.DIST(BG$1,$D16,$E16,TRUE)-_xlfn.NORM.DIST(BG$2,$D16,$E16,TRUE))</f>
        <v/>
      </c>
      <c r="BH16">
        <f>IF(NOT(ISNUMBER($D16)),"",_xlfn.NORM.DIST(BH$1,$D16,$E16,TRUE)-_xlfn.NORM.DIST(BH$2,$D16,$E16,TRUE))</f>
        <v/>
      </c>
      <c r="BI16">
        <f>IF(NOT(ISNUMBER($D16)),"",_xlfn.NORM.DIST(BI$1,$D16,$E16,TRUE)-_xlfn.NORM.DIST(BI$2,$D16,$E16,TRUE))</f>
        <v/>
      </c>
      <c r="BJ16">
        <f>IF(NOT(ISNUMBER($D16)),"",_xlfn.NORM.DIST(BJ$1,$D16,$E16,TRUE)-_xlfn.NORM.DIST(BJ$2,$D16,$E16,TRUE))</f>
        <v/>
      </c>
      <c r="BK16">
        <f>IF(NOT(ISNUMBER($D16)),"",_xlfn.NORM.DIST(BK$1,$D16,$E16,TRUE)-_xlfn.NORM.DIST(BK$2,$D16,$E16,TRUE))</f>
        <v/>
      </c>
      <c r="BL16">
        <f>IF(NOT(ISNUMBER($D16)),"",_xlfn.NORM.DIST(BL$1,$D16,$E16,TRUE)-_xlfn.NORM.DIST(BL$2,$D16,$E16,TRUE))</f>
        <v/>
      </c>
      <c r="BM16">
        <f>IF(NOT(ISNUMBER($D16)),"",_xlfn.NORM.DIST(BM$1,$D16,$E16,TRUE)-_xlfn.NORM.DIST(BM$2,$D16,$E16,TRUE))</f>
        <v/>
      </c>
      <c r="BN16">
        <f>IF(NOT(ISNUMBER($D16)),"",_xlfn.NORM.DIST(BN$1,$D16,$E16,TRUE)-_xlfn.NORM.DIST(BN$2,$D16,$E16,TRUE))</f>
        <v/>
      </c>
      <c r="BO16">
        <f>IF(NOT(ISNUMBER($D16)),"",_xlfn.NORM.DIST(BO$1,$D16,$E16,TRUE)-_xlfn.NORM.DIST(BO$2,$D16,$E16,TRUE))</f>
        <v/>
      </c>
      <c r="BP16">
        <f>IF(NOT(ISNUMBER($D16)),"",_xlfn.NORM.DIST(BP$1,$D16,$E16,TRUE)-_xlfn.NORM.DIST(BP$2,$D16,$E16,TRUE))</f>
        <v/>
      </c>
      <c r="BQ16">
        <f>IF(NOT(ISNUMBER($D16)),"",_xlfn.NORM.DIST(BQ$1,$D16,$E16,TRUE)-_xlfn.NORM.DIST(BQ$2,$D16,$E16,TRUE))</f>
        <v/>
      </c>
      <c r="BR16">
        <f>IF(NOT(ISNUMBER($D16)),"",_xlfn.NORM.DIST(BR$1,$D16,$E16,TRUE)-_xlfn.NORM.DIST(BR$2,$D16,$E16,TRUE))</f>
        <v/>
      </c>
      <c r="BS16">
        <f>IF(NOT(ISNUMBER($D16)),"",_xlfn.NORM.DIST(BS$1,$D16,$E16,TRUE)-_xlfn.NORM.DIST(BS$2,$D16,$E16,TRUE))</f>
        <v/>
      </c>
      <c r="BT16">
        <f>IF(NOT(ISNUMBER($D16)),"",_xlfn.NORM.DIST(BT$1,$D16,$E16,TRUE)-_xlfn.NORM.DIST(BT$2,$D16,$E16,TRUE))</f>
        <v/>
      </c>
      <c r="BU16">
        <f>IF(NOT(ISNUMBER($D16)),"",_xlfn.NORM.DIST(BU$1,$D16,$E16,TRUE)-_xlfn.NORM.DIST(BU$2,$D16,$E16,TRUE))</f>
        <v/>
      </c>
      <c r="BV16">
        <f>IF(NOT(ISNUMBER($D16)),"",_xlfn.NORM.DIST(BV$1,$D16,$E16,TRUE)-_xlfn.NORM.DIST(BV$2,$D16,$E16,TRUE))</f>
        <v/>
      </c>
      <c r="BW16">
        <f>IF(NOT(ISNUMBER($D16)),"",_xlfn.NORM.DIST(BW$1,$D16,$E16,TRUE)-_xlfn.NORM.DIST(BW$2,$D16,$E16,TRUE))</f>
        <v/>
      </c>
      <c r="BX16">
        <f>IF(NOT(ISNUMBER($D16)),"",_xlfn.NORM.DIST(BX$1,$D16,$E16,TRUE)-_xlfn.NORM.DIST(BX$2,$D16,$E16,TRUE))</f>
        <v/>
      </c>
      <c r="BY16">
        <f>IF(NOT(ISNUMBER($D16)),"",_xlfn.NORM.DIST(BY$1,$D16,$E16,TRUE)-_xlfn.NORM.DIST(BY$2,$D16,$E16,TRUE))</f>
        <v/>
      </c>
      <c r="BZ16">
        <f>IF(NOT(ISNUMBER($D16)),"",_xlfn.NORM.DIST(BZ$1,$D16,$E16,TRUE)-_xlfn.NORM.DIST(BZ$2,$D16,$E16,TRUE))</f>
        <v/>
      </c>
      <c r="CA16">
        <f>IF(NOT(ISNUMBER($D16)),"",_xlfn.NORM.DIST(CA$1,$D16,$E16,TRUE)-_xlfn.NORM.DIST(CA$2,$D16,$E16,TRUE))</f>
        <v/>
      </c>
      <c r="CB16">
        <f>IF(NOT(ISNUMBER($D16)),"",_xlfn.NORM.DIST(CB$1,$D16,$E16,TRUE)-_xlfn.NORM.DIST(CB$2,$D16,$E16,TRUE))</f>
        <v/>
      </c>
      <c r="CC16">
        <f>IF(NOT(ISNUMBER($D16)),"",_xlfn.NORM.DIST(CC$1,$D16,$E16,TRUE)-_xlfn.NORM.DIST(CC$2,$D16,$E16,TRUE))</f>
        <v/>
      </c>
      <c r="CD16">
        <f>IF(NOT(ISNUMBER($D16)),"",_xlfn.NORM.DIST(CD$1,$D16,$E16,TRUE)-_xlfn.NORM.DIST(CD$2,$D16,$E16,TRUE))</f>
        <v/>
      </c>
      <c r="CE16">
        <f>IF(NOT(ISNUMBER($D16)),"",_xlfn.NORM.DIST(CE$1,$D16,$E16,TRUE)-_xlfn.NORM.DIST(CE$2,$D16,$E16,TRUE))</f>
        <v/>
      </c>
      <c r="CF16">
        <f>IF(NOT(ISNUMBER($D16)),"",_xlfn.NORM.DIST(CF$1,$D16,$E16,TRUE)-_xlfn.NORM.DIST(CF$2,$D16,$E16,TRUE))</f>
        <v/>
      </c>
      <c r="CG16">
        <f>IF(NOT(ISNUMBER($D16)),"",_xlfn.NORM.DIST(CG$1,$D16,$E16,TRUE)-_xlfn.NORM.DIST(CG$2,$D16,$E16,TRUE))</f>
        <v/>
      </c>
      <c r="CH16">
        <f>IF(NOT(ISNUMBER($D16)),"",_xlfn.NORM.DIST(CH$1,$D16,$E16,TRUE)-_xlfn.NORM.DIST(CH$2,$D16,$E16,TRUE))</f>
        <v/>
      </c>
      <c r="CI16">
        <f>IF(NOT(ISNUMBER($D16)),"",_xlfn.NORM.DIST(CI$1,$D16,$E16,TRUE)-_xlfn.NORM.DIST(CI$2,$D16,$E16,TRUE))</f>
        <v/>
      </c>
      <c r="CJ16">
        <f>IF(ISNUMBER($D16),SUM(F16:CI16),"")</f>
        <v/>
      </c>
    </row>
    <row r="17">
      <c r="A17">
        <f>economics!A16</f>
        <v/>
      </c>
      <c r="B17">
        <f>economics!B16</f>
        <v/>
      </c>
      <c r="C17">
        <f>economics!D16</f>
        <v/>
      </c>
      <c r="D17">
        <f>IF(ISNUMBER(economics!T16),economics!T16,"na")</f>
        <v/>
      </c>
      <c r="E17">
        <f>IF(ISNUMBER(D17),MAX(0.3*ABS(D17),0.000001),"na")</f>
        <v/>
      </c>
      <c r="F17">
        <f>IF(NOT(ISNUMBER($D17)),"",_xlfn.NORM.DIST(F$1,$D17,$E17,TRUE)-_xlfn.NORM.DIST(F$2,$D17,$E17,TRUE))</f>
        <v/>
      </c>
      <c r="G17">
        <f>IF(NOT(ISNUMBER($D17)),"",_xlfn.NORM.DIST(G$1,$D17,$E17,TRUE)-_xlfn.NORM.DIST(G$2,$D17,$E17,TRUE))</f>
        <v/>
      </c>
      <c r="H17">
        <f>IF(NOT(ISNUMBER($D17)),"",_xlfn.NORM.DIST(H$1,$D17,$E17,TRUE)-_xlfn.NORM.DIST(H$2,$D17,$E17,TRUE))</f>
        <v/>
      </c>
      <c r="I17">
        <f>IF(NOT(ISNUMBER($D17)),"",_xlfn.NORM.DIST(I$1,$D17,$E17,TRUE)-_xlfn.NORM.DIST(I$2,$D17,$E17,TRUE))</f>
        <v/>
      </c>
      <c r="J17">
        <f>IF(NOT(ISNUMBER($D17)),"",_xlfn.NORM.DIST(J$1,$D17,$E17,TRUE)-_xlfn.NORM.DIST(J$2,$D17,$E17,TRUE))</f>
        <v/>
      </c>
      <c r="K17">
        <f>IF(NOT(ISNUMBER($D17)),"",_xlfn.NORM.DIST(K$1,$D17,$E17,TRUE)-_xlfn.NORM.DIST(K$2,$D17,$E17,TRUE))</f>
        <v/>
      </c>
      <c r="L17">
        <f>IF(NOT(ISNUMBER($D17)),"",_xlfn.NORM.DIST(L$1,$D17,$E17,TRUE)-_xlfn.NORM.DIST(L$2,$D17,$E17,TRUE))</f>
        <v/>
      </c>
      <c r="M17">
        <f>IF(NOT(ISNUMBER($D17)),"",_xlfn.NORM.DIST(M$1,$D17,$E17,TRUE)-_xlfn.NORM.DIST(M$2,$D17,$E17,TRUE))</f>
        <v/>
      </c>
      <c r="N17">
        <f>IF(NOT(ISNUMBER($D17)),"",_xlfn.NORM.DIST(N$1,$D17,$E17,TRUE)-_xlfn.NORM.DIST(N$2,$D17,$E17,TRUE))</f>
        <v/>
      </c>
      <c r="O17">
        <f>IF(NOT(ISNUMBER($D17)),"",_xlfn.NORM.DIST(O$1,$D17,$E17,TRUE)-_xlfn.NORM.DIST(O$2,$D17,$E17,TRUE))</f>
        <v/>
      </c>
      <c r="P17">
        <f>IF(NOT(ISNUMBER($D17)),"",_xlfn.NORM.DIST(P$1,$D17,$E17,TRUE)-_xlfn.NORM.DIST(P$2,$D17,$E17,TRUE))</f>
        <v/>
      </c>
      <c r="Q17">
        <f>IF(NOT(ISNUMBER($D17)),"",_xlfn.NORM.DIST(Q$1,$D17,$E17,TRUE)-_xlfn.NORM.DIST(Q$2,$D17,$E17,TRUE))</f>
        <v/>
      </c>
      <c r="R17">
        <f>IF(NOT(ISNUMBER($D17)),"",_xlfn.NORM.DIST(R$1,$D17,$E17,TRUE)-_xlfn.NORM.DIST(R$2,$D17,$E17,TRUE))</f>
        <v/>
      </c>
      <c r="S17">
        <f>IF(NOT(ISNUMBER($D17)),"",_xlfn.NORM.DIST(S$1,$D17,$E17,TRUE)-_xlfn.NORM.DIST(S$2,$D17,$E17,TRUE))</f>
        <v/>
      </c>
      <c r="T17">
        <f>IF(NOT(ISNUMBER($D17)),"",_xlfn.NORM.DIST(T$1,$D17,$E17,TRUE)-_xlfn.NORM.DIST(T$2,$D17,$E17,TRUE))</f>
        <v/>
      </c>
      <c r="U17">
        <f>IF(NOT(ISNUMBER($D17)),"",_xlfn.NORM.DIST(U$1,$D17,$E17,TRUE)-_xlfn.NORM.DIST(U$2,$D17,$E17,TRUE))</f>
        <v/>
      </c>
      <c r="V17">
        <f>IF(NOT(ISNUMBER($D17)),"",_xlfn.NORM.DIST(V$1,$D17,$E17,TRUE)-_xlfn.NORM.DIST(V$2,$D17,$E17,TRUE))</f>
        <v/>
      </c>
      <c r="W17">
        <f>IF(NOT(ISNUMBER($D17)),"",_xlfn.NORM.DIST(W$1,$D17,$E17,TRUE)-_xlfn.NORM.DIST(W$2,$D17,$E17,TRUE))</f>
        <v/>
      </c>
      <c r="X17">
        <f>IF(NOT(ISNUMBER($D17)),"",_xlfn.NORM.DIST(X$1,$D17,$E17,TRUE)-_xlfn.NORM.DIST(X$2,$D17,$E17,TRUE))</f>
        <v/>
      </c>
      <c r="Y17">
        <f>IF(NOT(ISNUMBER($D17)),"",_xlfn.NORM.DIST(Y$1,$D17,$E17,TRUE)-_xlfn.NORM.DIST(Y$2,$D17,$E17,TRUE))</f>
        <v/>
      </c>
      <c r="Z17">
        <f>IF(NOT(ISNUMBER($D17)),"",_xlfn.NORM.DIST(Z$1,$D17,$E17,TRUE)-_xlfn.NORM.DIST(Z$2,$D17,$E17,TRUE))</f>
        <v/>
      </c>
      <c r="AA17">
        <f>IF(NOT(ISNUMBER($D17)),"",_xlfn.NORM.DIST(AA$1,$D17,$E17,TRUE)-_xlfn.NORM.DIST(AA$2,$D17,$E17,TRUE))</f>
        <v/>
      </c>
      <c r="AB17">
        <f>IF(NOT(ISNUMBER($D17)),"",_xlfn.NORM.DIST(AB$1,$D17,$E17,TRUE)-_xlfn.NORM.DIST(AB$2,$D17,$E17,TRUE))</f>
        <v/>
      </c>
      <c r="AC17">
        <f>IF(NOT(ISNUMBER($D17)),"",_xlfn.NORM.DIST(AC$1,$D17,$E17,TRUE)-_xlfn.NORM.DIST(AC$2,$D17,$E17,TRUE))</f>
        <v/>
      </c>
      <c r="AD17">
        <f>IF(NOT(ISNUMBER($D17)),"",_xlfn.NORM.DIST(AD$1,$D17,$E17,TRUE)-_xlfn.NORM.DIST(AD$2,$D17,$E17,TRUE))</f>
        <v/>
      </c>
      <c r="AE17">
        <f>IF(NOT(ISNUMBER($D17)),"",_xlfn.NORM.DIST(AE$1,$D17,$E17,TRUE)-_xlfn.NORM.DIST(AE$2,$D17,$E17,TRUE))</f>
        <v/>
      </c>
      <c r="AF17">
        <f>IF(NOT(ISNUMBER($D17)),"",_xlfn.NORM.DIST(AF$1,$D17,$E17,TRUE)-_xlfn.NORM.DIST(AF$2,$D17,$E17,TRUE))</f>
        <v/>
      </c>
      <c r="AG17">
        <f>IF(NOT(ISNUMBER($D17)),"",_xlfn.NORM.DIST(AG$1,$D17,$E17,TRUE)-_xlfn.NORM.DIST(AG$2,$D17,$E17,TRUE))</f>
        <v/>
      </c>
      <c r="AH17">
        <f>IF(NOT(ISNUMBER($D17)),"",_xlfn.NORM.DIST(AH$1,$D17,$E17,TRUE)-_xlfn.NORM.DIST(AH$2,$D17,$E17,TRUE))</f>
        <v/>
      </c>
      <c r="AI17">
        <f>IF(NOT(ISNUMBER($D17)),"",_xlfn.NORM.DIST(AI$1,$D17,$E17,TRUE)-_xlfn.NORM.DIST(AI$2,$D17,$E17,TRUE))</f>
        <v/>
      </c>
      <c r="AJ17">
        <f>IF(NOT(ISNUMBER($D17)),"",_xlfn.NORM.DIST(AJ$1,$D17,$E17,TRUE)-_xlfn.NORM.DIST(AJ$2,$D17,$E17,TRUE))</f>
        <v/>
      </c>
      <c r="AK17">
        <f>IF(NOT(ISNUMBER($D17)),"",_xlfn.NORM.DIST(AK$1,$D17,$E17,TRUE)-_xlfn.NORM.DIST(AK$2,$D17,$E17,TRUE))</f>
        <v/>
      </c>
      <c r="AL17">
        <f>IF(NOT(ISNUMBER($D17)),"",_xlfn.NORM.DIST(AL$1,$D17,$E17,TRUE)-_xlfn.NORM.DIST(AL$2,$D17,$E17,TRUE))</f>
        <v/>
      </c>
      <c r="AM17">
        <f>IF(NOT(ISNUMBER($D17)),"",_xlfn.NORM.DIST(AM$1,$D17,$E17,TRUE)-_xlfn.NORM.DIST(AM$2,$D17,$E17,TRUE))</f>
        <v/>
      </c>
      <c r="AN17">
        <f>IF(NOT(ISNUMBER($D17)),"",_xlfn.NORM.DIST(AN$1,$D17,$E17,TRUE)-_xlfn.NORM.DIST(AN$2,$D17,$E17,TRUE))</f>
        <v/>
      </c>
      <c r="AO17">
        <f>IF(NOT(ISNUMBER($D17)),"",_xlfn.NORM.DIST(AO$1,$D17,$E17,TRUE)-_xlfn.NORM.DIST(AO$2,$D17,$E17,TRUE))</f>
        <v/>
      </c>
      <c r="AP17">
        <f>IF(NOT(ISNUMBER($D17)),"",_xlfn.NORM.DIST(AP$1,$D17,$E17,TRUE)-_xlfn.NORM.DIST(AP$2,$D17,$E17,TRUE))</f>
        <v/>
      </c>
      <c r="AQ17">
        <f>IF(NOT(ISNUMBER($D17)),"",_xlfn.NORM.DIST(AQ$1,$D17,$E17,TRUE)-_xlfn.NORM.DIST(AQ$2,$D17,$E17,TRUE))</f>
        <v/>
      </c>
      <c r="AR17">
        <f>IF(NOT(ISNUMBER($D17)),"",_xlfn.NORM.DIST(AR$1,$D17,$E17,TRUE)-_xlfn.NORM.DIST(AR$2,$D17,$E17,TRUE))</f>
        <v/>
      </c>
      <c r="AS17">
        <f>IF(NOT(ISNUMBER($D17)),"",_xlfn.NORM.DIST(AS$1,$D17,$E17,TRUE)-_xlfn.NORM.DIST(AS$2,$D17,$E17,TRUE))</f>
        <v/>
      </c>
      <c r="AT17">
        <f>IF(NOT(ISNUMBER($D17)),"",_xlfn.NORM.DIST(AT$1,$D17,$E17,TRUE)-_xlfn.NORM.DIST(AT$2,$D17,$E17,TRUE))</f>
        <v/>
      </c>
      <c r="AU17">
        <f>IF(NOT(ISNUMBER($D17)),"",_xlfn.NORM.DIST(AU$1,$D17,$E17,TRUE)-_xlfn.NORM.DIST(AU$2,$D17,$E17,TRUE))</f>
        <v/>
      </c>
      <c r="AV17">
        <f>IF(NOT(ISNUMBER($D17)),"",_xlfn.NORM.DIST(AV$1,$D17,$E17,TRUE)-_xlfn.NORM.DIST(AV$2,$D17,$E17,TRUE))</f>
        <v/>
      </c>
      <c r="AW17">
        <f>IF(NOT(ISNUMBER($D17)),"",_xlfn.NORM.DIST(AW$1,$D17,$E17,TRUE)-_xlfn.NORM.DIST(AW$2,$D17,$E17,TRUE))</f>
        <v/>
      </c>
      <c r="AX17">
        <f>IF(NOT(ISNUMBER($D17)),"",_xlfn.NORM.DIST(AX$1,$D17,$E17,TRUE)-_xlfn.NORM.DIST(AX$2,$D17,$E17,TRUE))</f>
        <v/>
      </c>
      <c r="AY17">
        <f>IF(NOT(ISNUMBER($D17)),"",_xlfn.NORM.DIST(AY$1,$D17,$E17,TRUE)-_xlfn.NORM.DIST(AY$2,$D17,$E17,TRUE))</f>
        <v/>
      </c>
      <c r="AZ17">
        <f>IF(NOT(ISNUMBER($D17)),"",_xlfn.NORM.DIST(AZ$1,$D17,$E17,TRUE)-_xlfn.NORM.DIST(AZ$2,$D17,$E17,TRUE))</f>
        <v/>
      </c>
      <c r="BA17">
        <f>IF(NOT(ISNUMBER($D17)),"",_xlfn.NORM.DIST(BA$1,$D17,$E17,TRUE)-_xlfn.NORM.DIST(BA$2,$D17,$E17,TRUE))</f>
        <v/>
      </c>
      <c r="BB17">
        <f>IF(NOT(ISNUMBER($D17)),"",_xlfn.NORM.DIST(BB$1,$D17,$E17,TRUE)-_xlfn.NORM.DIST(BB$2,$D17,$E17,TRUE))</f>
        <v/>
      </c>
      <c r="BC17">
        <f>IF(NOT(ISNUMBER($D17)),"",_xlfn.NORM.DIST(BC$1,$D17,$E17,TRUE)-_xlfn.NORM.DIST(BC$2,$D17,$E17,TRUE))</f>
        <v/>
      </c>
      <c r="BD17">
        <f>IF(NOT(ISNUMBER($D17)),"",_xlfn.NORM.DIST(BD$1,$D17,$E17,TRUE)-_xlfn.NORM.DIST(BD$2,$D17,$E17,TRUE))</f>
        <v/>
      </c>
      <c r="BE17">
        <f>IF(NOT(ISNUMBER($D17)),"",_xlfn.NORM.DIST(BE$1,$D17,$E17,TRUE)-_xlfn.NORM.DIST(BE$2,$D17,$E17,TRUE))</f>
        <v/>
      </c>
      <c r="BF17">
        <f>IF(NOT(ISNUMBER($D17)),"",_xlfn.NORM.DIST(BF$1,$D17,$E17,TRUE)-_xlfn.NORM.DIST(BF$2,$D17,$E17,TRUE))</f>
        <v/>
      </c>
      <c r="BG17">
        <f>IF(NOT(ISNUMBER($D17)),"",_xlfn.NORM.DIST(BG$1,$D17,$E17,TRUE)-_xlfn.NORM.DIST(BG$2,$D17,$E17,TRUE))</f>
        <v/>
      </c>
      <c r="BH17">
        <f>IF(NOT(ISNUMBER($D17)),"",_xlfn.NORM.DIST(BH$1,$D17,$E17,TRUE)-_xlfn.NORM.DIST(BH$2,$D17,$E17,TRUE))</f>
        <v/>
      </c>
      <c r="BI17">
        <f>IF(NOT(ISNUMBER($D17)),"",_xlfn.NORM.DIST(BI$1,$D17,$E17,TRUE)-_xlfn.NORM.DIST(BI$2,$D17,$E17,TRUE))</f>
        <v/>
      </c>
      <c r="BJ17">
        <f>IF(NOT(ISNUMBER($D17)),"",_xlfn.NORM.DIST(BJ$1,$D17,$E17,TRUE)-_xlfn.NORM.DIST(BJ$2,$D17,$E17,TRUE))</f>
        <v/>
      </c>
      <c r="BK17">
        <f>IF(NOT(ISNUMBER($D17)),"",_xlfn.NORM.DIST(BK$1,$D17,$E17,TRUE)-_xlfn.NORM.DIST(BK$2,$D17,$E17,TRUE))</f>
        <v/>
      </c>
      <c r="BL17">
        <f>IF(NOT(ISNUMBER($D17)),"",_xlfn.NORM.DIST(BL$1,$D17,$E17,TRUE)-_xlfn.NORM.DIST(BL$2,$D17,$E17,TRUE))</f>
        <v/>
      </c>
      <c r="BM17">
        <f>IF(NOT(ISNUMBER($D17)),"",_xlfn.NORM.DIST(BM$1,$D17,$E17,TRUE)-_xlfn.NORM.DIST(BM$2,$D17,$E17,TRUE))</f>
        <v/>
      </c>
      <c r="BN17">
        <f>IF(NOT(ISNUMBER($D17)),"",_xlfn.NORM.DIST(BN$1,$D17,$E17,TRUE)-_xlfn.NORM.DIST(BN$2,$D17,$E17,TRUE))</f>
        <v/>
      </c>
      <c r="BO17">
        <f>IF(NOT(ISNUMBER($D17)),"",_xlfn.NORM.DIST(BO$1,$D17,$E17,TRUE)-_xlfn.NORM.DIST(BO$2,$D17,$E17,TRUE))</f>
        <v/>
      </c>
      <c r="BP17">
        <f>IF(NOT(ISNUMBER($D17)),"",_xlfn.NORM.DIST(BP$1,$D17,$E17,TRUE)-_xlfn.NORM.DIST(BP$2,$D17,$E17,TRUE))</f>
        <v/>
      </c>
      <c r="BQ17">
        <f>IF(NOT(ISNUMBER($D17)),"",_xlfn.NORM.DIST(BQ$1,$D17,$E17,TRUE)-_xlfn.NORM.DIST(BQ$2,$D17,$E17,TRUE))</f>
        <v/>
      </c>
      <c r="BR17">
        <f>IF(NOT(ISNUMBER($D17)),"",_xlfn.NORM.DIST(BR$1,$D17,$E17,TRUE)-_xlfn.NORM.DIST(BR$2,$D17,$E17,TRUE))</f>
        <v/>
      </c>
      <c r="BS17">
        <f>IF(NOT(ISNUMBER($D17)),"",_xlfn.NORM.DIST(BS$1,$D17,$E17,TRUE)-_xlfn.NORM.DIST(BS$2,$D17,$E17,TRUE))</f>
        <v/>
      </c>
      <c r="BT17">
        <f>IF(NOT(ISNUMBER($D17)),"",_xlfn.NORM.DIST(BT$1,$D17,$E17,TRUE)-_xlfn.NORM.DIST(BT$2,$D17,$E17,TRUE))</f>
        <v/>
      </c>
      <c r="BU17">
        <f>IF(NOT(ISNUMBER($D17)),"",_xlfn.NORM.DIST(BU$1,$D17,$E17,TRUE)-_xlfn.NORM.DIST(BU$2,$D17,$E17,TRUE))</f>
        <v/>
      </c>
      <c r="BV17">
        <f>IF(NOT(ISNUMBER($D17)),"",_xlfn.NORM.DIST(BV$1,$D17,$E17,TRUE)-_xlfn.NORM.DIST(BV$2,$D17,$E17,TRUE))</f>
        <v/>
      </c>
      <c r="BW17">
        <f>IF(NOT(ISNUMBER($D17)),"",_xlfn.NORM.DIST(BW$1,$D17,$E17,TRUE)-_xlfn.NORM.DIST(BW$2,$D17,$E17,TRUE))</f>
        <v/>
      </c>
      <c r="BX17">
        <f>IF(NOT(ISNUMBER($D17)),"",_xlfn.NORM.DIST(BX$1,$D17,$E17,TRUE)-_xlfn.NORM.DIST(BX$2,$D17,$E17,TRUE))</f>
        <v/>
      </c>
      <c r="BY17">
        <f>IF(NOT(ISNUMBER($D17)),"",_xlfn.NORM.DIST(BY$1,$D17,$E17,TRUE)-_xlfn.NORM.DIST(BY$2,$D17,$E17,TRUE))</f>
        <v/>
      </c>
      <c r="BZ17">
        <f>IF(NOT(ISNUMBER($D17)),"",_xlfn.NORM.DIST(BZ$1,$D17,$E17,TRUE)-_xlfn.NORM.DIST(BZ$2,$D17,$E17,TRUE))</f>
        <v/>
      </c>
      <c r="CA17">
        <f>IF(NOT(ISNUMBER($D17)),"",_xlfn.NORM.DIST(CA$1,$D17,$E17,TRUE)-_xlfn.NORM.DIST(CA$2,$D17,$E17,TRUE))</f>
        <v/>
      </c>
      <c r="CB17">
        <f>IF(NOT(ISNUMBER($D17)),"",_xlfn.NORM.DIST(CB$1,$D17,$E17,TRUE)-_xlfn.NORM.DIST(CB$2,$D17,$E17,TRUE))</f>
        <v/>
      </c>
      <c r="CC17">
        <f>IF(NOT(ISNUMBER($D17)),"",_xlfn.NORM.DIST(CC$1,$D17,$E17,TRUE)-_xlfn.NORM.DIST(CC$2,$D17,$E17,TRUE))</f>
        <v/>
      </c>
      <c r="CD17">
        <f>IF(NOT(ISNUMBER($D17)),"",_xlfn.NORM.DIST(CD$1,$D17,$E17,TRUE)-_xlfn.NORM.DIST(CD$2,$D17,$E17,TRUE))</f>
        <v/>
      </c>
      <c r="CE17">
        <f>IF(NOT(ISNUMBER($D17)),"",_xlfn.NORM.DIST(CE$1,$D17,$E17,TRUE)-_xlfn.NORM.DIST(CE$2,$D17,$E17,TRUE))</f>
        <v/>
      </c>
      <c r="CF17">
        <f>IF(NOT(ISNUMBER($D17)),"",_xlfn.NORM.DIST(CF$1,$D17,$E17,TRUE)-_xlfn.NORM.DIST(CF$2,$D17,$E17,TRUE))</f>
        <v/>
      </c>
      <c r="CG17">
        <f>IF(NOT(ISNUMBER($D17)),"",_xlfn.NORM.DIST(CG$1,$D17,$E17,TRUE)-_xlfn.NORM.DIST(CG$2,$D17,$E17,TRUE))</f>
        <v/>
      </c>
      <c r="CH17">
        <f>IF(NOT(ISNUMBER($D17)),"",_xlfn.NORM.DIST(CH$1,$D17,$E17,TRUE)-_xlfn.NORM.DIST(CH$2,$D17,$E17,TRUE))</f>
        <v/>
      </c>
      <c r="CI17">
        <f>IF(NOT(ISNUMBER($D17)),"",_xlfn.NORM.DIST(CI$1,$D17,$E17,TRUE)-_xlfn.NORM.DIST(CI$2,$D17,$E17,TRUE))</f>
        <v/>
      </c>
      <c r="CJ17">
        <f>IF(ISNUMBER($D17),SUM(F17:CI17),"")</f>
        <v/>
      </c>
    </row>
    <row r="18">
      <c r="A18">
        <f>economics!A17</f>
        <v/>
      </c>
      <c r="B18">
        <f>economics!B17</f>
        <v/>
      </c>
      <c r="C18">
        <f>economics!D17</f>
        <v/>
      </c>
      <c r="D18">
        <f>IF(ISNUMBER(economics!T17),economics!T17,"na")</f>
        <v/>
      </c>
      <c r="E18">
        <f>IF(ISNUMBER(D18),MAX(0.3*ABS(D18),0.000001),"na")</f>
        <v/>
      </c>
      <c r="F18">
        <f>IF(NOT(ISNUMBER($D18)),"",_xlfn.NORM.DIST(F$1,$D18,$E18,TRUE)-_xlfn.NORM.DIST(F$2,$D18,$E18,TRUE))</f>
        <v/>
      </c>
      <c r="G18">
        <f>IF(NOT(ISNUMBER($D18)),"",_xlfn.NORM.DIST(G$1,$D18,$E18,TRUE)-_xlfn.NORM.DIST(G$2,$D18,$E18,TRUE))</f>
        <v/>
      </c>
      <c r="H18">
        <f>IF(NOT(ISNUMBER($D18)),"",_xlfn.NORM.DIST(H$1,$D18,$E18,TRUE)-_xlfn.NORM.DIST(H$2,$D18,$E18,TRUE))</f>
        <v/>
      </c>
      <c r="I18">
        <f>IF(NOT(ISNUMBER($D18)),"",_xlfn.NORM.DIST(I$1,$D18,$E18,TRUE)-_xlfn.NORM.DIST(I$2,$D18,$E18,TRUE))</f>
        <v/>
      </c>
      <c r="J18">
        <f>IF(NOT(ISNUMBER($D18)),"",_xlfn.NORM.DIST(J$1,$D18,$E18,TRUE)-_xlfn.NORM.DIST(J$2,$D18,$E18,TRUE))</f>
        <v/>
      </c>
      <c r="K18">
        <f>IF(NOT(ISNUMBER($D18)),"",_xlfn.NORM.DIST(K$1,$D18,$E18,TRUE)-_xlfn.NORM.DIST(K$2,$D18,$E18,TRUE))</f>
        <v/>
      </c>
      <c r="L18">
        <f>IF(NOT(ISNUMBER($D18)),"",_xlfn.NORM.DIST(L$1,$D18,$E18,TRUE)-_xlfn.NORM.DIST(L$2,$D18,$E18,TRUE))</f>
        <v/>
      </c>
      <c r="M18">
        <f>IF(NOT(ISNUMBER($D18)),"",_xlfn.NORM.DIST(M$1,$D18,$E18,TRUE)-_xlfn.NORM.DIST(M$2,$D18,$E18,TRUE))</f>
        <v/>
      </c>
      <c r="N18">
        <f>IF(NOT(ISNUMBER($D18)),"",_xlfn.NORM.DIST(N$1,$D18,$E18,TRUE)-_xlfn.NORM.DIST(N$2,$D18,$E18,TRUE))</f>
        <v/>
      </c>
      <c r="O18">
        <f>IF(NOT(ISNUMBER($D18)),"",_xlfn.NORM.DIST(O$1,$D18,$E18,TRUE)-_xlfn.NORM.DIST(O$2,$D18,$E18,TRUE))</f>
        <v/>
      </c>
      <c r="P18">
        <f>IF(NOT(ISNUMBER($D18)),"",_xlfn.NORM.DIST(P$1,$D18,$E18,TRUE)-_xlfn.NORM.DIST(P$2,$D18,$E18,TRUE))</f>
        <v/>
      </c>
      <c r="Q18">
        <f>IF(NOT(ISNUMBER($D18)),"",_xlfn.NORM.DIST(Q$1,$D18,$E18,TRUE)-_xlfn.NORM.DIST(Q$2,$D18,$E18,TRUE))</f>
        <v/>
      </c>
      <c r="R18">
        <f>IF(NOT(ISNUMBER($D18)),"",_xlfn.NORM.DIST(R$1,$D18,$E18,TRUE)-_xlfn.NORM.DIST(R$2,$D18,$E18,TRUE))</f>
        <v/>
      </c>
      <c r="S18">
        <f>IF(NOT(ISNUMBER($D18)),"",_xlfn.NORM.DIST(S$1,$D18,$E18,TRUE)-_xlfn.NORM.DIST(S$2,$D18,$E18,TRUE))</f>
        <v/>
      </c>
      <c r="T18">
        <f>IF(NOT(ISNUMBER($D18)),"",_xlfn.NORM.DIST(T$1,$D18,$E18,TRUE)-_xlfn.NORM.DIST(T$2,$D18,$E18,TRUE))</f>
        <v/>
      </c>
      <c r="U18">
        <f>IF(NOT(ISNUMBER($D18)),"",_xlfn.NORM.DIST(U$1,$D18,$E18,TRUE)-_xlfn.NORM.DIST(U$2,$D18,$E18,TRUE))</f>
        <v/>
      </c>
      <c r="V18">
        <f>IF(NOT(ISNUMBER($D18)),"",_xlfn.NORM.DIST(V$1,$D18,$E18,TRUE)-_xlfn.NORM.DIST(V$2,$D18,$E18,TRUE))</f>
        <v/>
      </c>
      <c r="W18">
        <f>IF(NOT(ISNUMBER($D18)),"",_xlfn.NORM.DIST(W$1,$D18,$E18,TRUE)-_xlfn.NORM.DIST(W$2,$D18,$E18,TRUE))</f>
        <v/>
      </c>
      <c r="X18">
        <f>IF(NOT(ISNUMBER($D18)),"",_xlfn.NORM.DIST(X$1,$D18,$E18,TRUE)-_xlfn.NORM.DIST(X$2,$D18,$E18,TRUE))</f>
        <v/>
      </c>
      <c r="Y18">
        <f>IF(NOT(ISNUMBER($D18)),"",_xlfn.NORM.DIST(Y$1,$D18,$E18,TRUE)-_xlfn.NORM.DIST(Y$2,$D18,$E18,TRUE))</f>
        <v/>
      </c>
      <c r="Z18">
        <f>IF(NOT(ISNUMBER($D18)),"",_xlfn.NORM.DIST(Z$1,$D18,$E18,TRUE)-_xlfn.NORM.DIST(Z$2,$D18,$E18,TRUE))</f>
        <v/>
      </c>
      <c r="AA18">
        <f>IF(NOT(ISNUMBER($D18)),"",_xlfn.NORM.DIST(AA$1,$D18,$E18,TRUE)-_xlfn.NORM.DIST(AA$2,$D18,$E18,TRUE))</f>
        <v/>
      </c>
      <c r="AB18">
        <f>IF(NOT(ISNUMBER($D18)),"",_xlfn.NORM.DIST(AB$1,$D18,$E18,TRUE)-_xlfn.NORM.DIST(AB$2,$D18,$E18,TRUE))</f>
        <v/>
      </c>
      <c r="AC18">
        <f>IF(NOT(ISNUMBER($D18)),"",_xlfn.NORM.DIST(AC$1,$D18,$E18,TRUE)-_xlfn.NORM.DIST(AC$2,$D18,$E18,TRUE))</f>
        <v/>
      </c>
      <c r="AD18">
        <f>IF(NOT(ISNUMBER($D18)),"",_xlfn.NORM.DIST(AD$1,$D18,$E18,TRUE)-_xlfn.NORM.DIST(AD$2,$D18,$E18,TRUE))</f>
        <v/>
      </c>
      <c r="AE18">
        <f>IF(NOT(ISNUMBER($D18)),"",_xlfn.NORM.DIST(AE$1,$D18,$E18,TRUE)-_xlfn.NORM.DIST(AE$2,$D18,$E18,TRUE))</f>
        <v/>
      </c>
      <c r="AF18">
        <f>IF(NOT(ISNUMBER($D18)),"",_xlfn.NORM.DIST(AF$1,$D18,$E18,TRUE)-_xlfn.NORM.DIST(AF$2,$D18,$E18,TRUE))</f>
        <v/>
      </c>
      <c r="AG18">
        <f>IF(NOT(ISNUMBER($D18)),"",_xlfn.NORM.DIST(AG$1,$D18,$E18,TRUE)-_xlfn.NORM.DIST(AG$2,$D18,$E18,TRUE))</f>
        <v/>
      </c>
      <c r="AH18">
        <f>IF(NOT(ISNUMBER($D18)),"",_xlfn.NORM.DIST(AH$1,$D18,$E18,TRUE)-_xlfn.NORM.DIST(AH$2,$D18,$E18,TRUE))</f>
        <v/>
      </c>
      <c r="AI18">
        <f>IF(NOT(ISNUMBER($D18)),"",_xlfn.NORM.DIST(AI$1,$D18,$E18,TRUE)-_xlfn.NORM.DIST(AI$2,$D18,$E18,TRUE))</f>
        <v/>
      </c>
      <c r="AJ18">
        <f>IF(NOT(ISNUMBER($D18)),"",_xlfn.NORM.DIST(AJ$1,$D18,$E18,TRUE)-_xlfn.NORM.DIST(AJ$2,$D18,$E18,TRUE))</f>
        <v/>
      </c>
      <c r="AK18">
        <f>IF(NOT(ISNUMBER($D18)),"",_xlfn.NORM.DIST(AK$1,$D18,$E18,TRUE)-_xlfn.NORM.DIST(AK$2,$D18,$E18,TRUE))</f>
        <v/>
      </c>
      <c r="AL18">
        <f>IF(NOT(ISNUMBER($D18)),"",_xlfn.NORM.DIST(AL$1,$D18,$E18,TRUE)-_xlfn.NORM.DIST(AL$2,$D18,$E18,TRUE))</f>
        <v/>
      </c>
      <c r="AM18">
        <f>IF(NOT(ISNUMBER($D18)),"",_xlfn.NORM.DIST(AM$1,$D18,$E18,TRUE)-_xlfn.NORM.DIST(AM$2,$D18,$E18,TRUE))</f>
        <v/>
      </c>
      <c r="AN18">
        <f>IF(NOT(ISNUMBER($D18)),"",_xlfn.NORM.DIST(AN$1,$D18,$E18,TRUE)-_xlfn.NORM.DIST(AN$2,$D18,$E18,TRUE))</f>
        <v/>
      </c>
      <c r="AO18">
        <f>IF(NOT(ISNUMBER($D18)),"",_xlfn.NORM.DIST(AO$1,$D18,$E18,TRUE)-_xlfn.NORM.DIST(AO$2,$D18,$E18,TRUE))</f>
        <v/>
      </c>
      <c r="AP18">
        <f>IF(NOT(ISNUMBER($D18)),"",_xlfn.NORM.DIST(AP$1,$D18,$E18,TRUE)-_xlfn.NORM.DIST(AP$2,$D18,$E18,TRUE))</f>
        <v/>
      </c>
      <c r="AQ18">
        <f>IF(NOT(ISNUMBER($D18)),"",_xlfn.NORM.DIST(AQ$1,$D18,$E18,TRUE)-_xlfn.NORM.DIST(AQ$2,$D18,$E18,TRUE))</f>
        <v/>
      </c>
      <c r="AR18">
        <f>IF(NOT(ISNUMBER($D18)),"",_xlfn.NORM.DIST(AR$1,$D18,$E18,TRUE)-_xlfn.NORM.DIST(AR$2,$D18,$E18,TRUE))</f>
        <v/>
      </c>
      <c r="AS18">
        <f>IF(NOT(ISNUMBER($D18)),"",_xlfn.NORM.DIST(AS$1,$D18,$E18,TRUE)-_xlfn.NORM.DIST(AS$2,$D18,$E18,TRUE))</f>
        <v/>
      </c>
      <c r="AT18">
        <f>IF(NOT(ISNUMBER($D18)),"",_xlfn.NORM.DIST(AT$1,$D18,$E18,TRUE)-_xlfn.NORM.DIST(AT$2,$D18,$E18,TRUE))</f>
        <v/>
      </c>
      <c r="AU18">
        <f>IF(NOT(ISNUMBER($D18)),"",_xlfn.NORM.DIST(AU$1,$D18,$E18,TRUE)-_xlfn.NORM.DIST(AU$2,$D18,$E18,TRUE))</f>
        <v/>
      </c>
      <c r="AV18">
        <f>IF(NOT(ISNUMBER($D18)),"",_xlfn.NORM.DIST(AV$1,$D18,$E18,TRUE)-_xlfn.NORM.DIST(AV$2,$D18,$E18,TRUE))</f>
        <v/>
      </c>
      <c r="AW18">
        <f>IF(NOT(ISNUMBER($D18)),"",_xlfn.NORM.DIST(AW$1,$D18,$E18,TRUE)-_xlfn.NORM.DIST(AW$2,$D18,$E18,TRUE))</f>
        <v/>
      </c>
      <c r="AX18">
        <f>IF(NOT(ISNUMBER($D18)),"",_xlfn.NORM.DIST(AX$1,$D18,$E18,TRUE)-_xlfn.NORM.DIST(AX$2,$D18,$E18,TRUE))</f>
        <v/>
      </c>
      <c r="AY18">
        <f>IF(NOT(ISNUMBER($D18)),"",_xlfn.NORM.DIST(AY$1,$D18,$E18,TRUE)-_xlfn.NORM.DIST(AY$2,$D18,$E18,TRUE))</f>
        <v/>
      </c>
      <c r="AZ18">
        <f>IF(NOT(ISNUMBER($D18)),"",_xlfn.NORM.DIST(AZ$1,$D18,$E18,TRUE)-_xlfn.NORM.DIST(AZ$2,$D18,$E18,TRUE))</f>
        <v/>
      </c>
      <c r="BA18">
        <f>IF(NOT(ISNUMBER($D18)),"",_xlfn.NORM.DIST(BA$1,$D18,$E18,TRUE)-_xlfn.NORM.DIST(BA$2,$D18,$E18,TRUE))</f>
        <v/>
      </c>
      <c r="BB18">
        <f>IF(NOT(ISNUMBER($D18)),"",_xlfn.NORM.DIST(BB$1,$D18,$E18,TRUE)-_xlfn.NORM.DIST(BB$2,$D18,$E18,TRUE))</f>
        <v/>
      </c>
      <c r="BC18">
        <f>IF(NOT(ISNUMBER($D18)),"",_xlfn.NORM.DIST(BC$1,$D18,$E18,TRUE)-_xlfn.NORM.DIST(BC$2,$D18,$E18,TRUE))</f>
        <v/>
      </c>
      <c r="BD18">
        <f>IF(NOT(ISNUMBER($D18)),"",_xlfn.NORM.DIST(BD$1,$D18,$E18,TRUE)-_xlfn.NORM.DIST(BD$2,$D18,$E18,TRUE))</f>
        <v/>
      </c>
      <c r="BE18">
        <f>IF(NOT(ISNUMBER($D18)),"",_xlfn.NORM.DIST(BE$1,$D18,$E18,TRUE)-_xlfn.NORM.DIST(BE$2,$D18,$E18,TRUE))</f>
        <v/>
      </c>
      <c r="BF18">
        <f>IF(NOT(ISNUMBER($D18)),"",_xlfn.NORM.DIST(BF$1,$D18,$E18,TRUE)-_xlfn.NORM.DIST(BF$2,$D18,$E18,TRUE))</f>
        <v/>
      </c>
      <c r="BG18">
        <f>IF(NOT(ISNUMBER($D18)),"",_xlfn.NORM.DIST(BG$1,$D18,$E18,TRUE)-_xlfn.NORM.DIST(BG$2,$D18,$E18,TRUE))</f>
        <v/>
      </c>
      <c r="BH18">
        <f>IF(NOT(ISNUMBER($D18)),"",_xlfn.NORM.DIST(BH$1,$D18,$E18,TRUE)-_xlfn.NORM.DIST(BH$2,$D18,$E18,TRUE))</f>
        <v/>
      </c>
      <c r="BI18">
        <f>IF(NOT(ISNUMBER($D18)),"",_xlfn.NORM.DIST(BI$1,$D18,$E18,TRUE)-_xlfn.NORM.DIST(BI$2,$D18,$E18,TRUE))</f>
        <v/>
      </c>
      <c r="BJ18">
        <f>IF(NOT(ISNUMBER($D18)),"",_xlfn.NORM.DIST(BJ$1,$D18,$E18,TRUE)-_xlfn.NORM.DIST(BJ$2,$D18,$E18,TRUE))</f>
        <v/>
      </c>
      <c r="BK18">
        <f>IF(NOT(ISNUMBER($D18)),"",_xlfn.NORM.DIST(BK$1,$D18,$E18,TRUE)-_xlfn.NORM.DIST(BK$2,$D18,$E18,TRUE))</f>
        <v/>
      </c>
      <c r="BL18">
        <f>IF(NOT(ISNUMBER($D18)),"",_xlfn.NORM.DIST(BL$1,$D18,$E18,TRUE)-_xlfn.NORM.DIST(BL$2,$D18,$E18,TRUE))</f>
        <v/>
      </c>
      <c r="BM18">
        <f>IF(NOT(ISNUMBER($D18)),"",_xlfn.NORM.DIST(BM$1,$D18,$E18,TRUE)-_xlfn.NORM.DIST(BM$2,$D18,$E18,TRUE))</f>
        <v/>
      </c>
      <c r="BN18">
        <f>IF(NOT(ISNUMBER($D18)),"",_xlfn.NORM.DIST(BN$1,$D18,$E18,TRUE)-_xlfn.NORM.DIST(BN$2,$D18,$E18,TRUE))</f>
        <v/>
      </c>
      <c r="BO18">
        <f>IF(NOT(ISNUMBER($D18)),"",_xlfn.NORM.DIST(BO$1,$D18,$E18,TRUE)-_xlfn.NORM.DIST(BO$2,$D18,$E18,TRUE))</f>
        <v/>
      </c>
      <c r="BP18">
        <f>IF(NOT(ISNUMBER($D18)),"",_xlfn.NORM.DIST(BP$1,$D18,$E18,TRUE)-_xlfn.NORM.DIST(BP$2,$D18,$E18,TRUE))</f>
        <v/>
      </c>
      <c r="BQ18">
        <f>IF(NOT(ISNUMBER($D18)),"",_xlfn.NORM.DIST(BQ$1,$D18,$E18,TRUE)-_xlfn.NORM.DIST(BQ$2,$D18,$E18,TRUE))</f>
        <v/>
      </c>
      <c r="BR18">
        <f>IF(NOT(ISNUMBER($D18)),"",_xlfn.NORM.DIST(BR$1,$D18,$E18,TRUE)-_xlfn.NORM.DIST(BR$2,$D18,$E18,TRUE))</f>
        <v/>
      </c>
      <c r="BS18">
        <f>IF(NOT(ISNUMBER($D18)),"",_xlfn.NORM.DIST(BS$1,$D18,$E18,TRUE)-_xlfn.NORM.DIST(BS$2,$D18,$E18,TRUE))</f>
        <v/>
      </c>
      <c r="BT18">
        <f>IF(NOT(ISNUMBER($D18)),"",_xlfn.NORM.DIST(BT$1,$D18,$E18,TRUE)-_xlfn.NORM.DIST(BT$2,$D18,$E18,TRUE))</f>
        <v/>
      </c>
      <c r="BU18">
        <f>IF(NOT(ISNUMBER($D18)),"",_xlfn.NORM.DIST(BU$1,$D18,$E18,TRUE)-_xlfn.NORM.DIST(BU$2,$D18,$E18,TRUE))</f>
        <v/>
      </c>
      <c r="BV18">
        <f>IF(NOT(ISNUMBER($D18)),"",_xlfn.NORM.DIST(BV$1,$D18,$E18,TRUE)-_xlfn.NORM.DIST(BV$2,$D18,$E18,TRUE))</f>
        <v/>
      </c>
      <c r="BW18">
        <f>IF(NOT(ISNUMBER($D18)),"",_xlfn.NORM.DIST(BW$1,$D18,$E18,TRUE)-_xlfn.NORM.DIST(BW$2,$D18,$E18,TRUE))</f>
        <v/>
      </c>
      <c r="BX18">
        <f>IF(NOT(ISNUMBER($D18)),"",_xlfn.NORM.DIST(BX$1,$D18,$E18,TRUE)-_xlfn.NORM.DIST(BX$2,$D18,$E18,TRUE))</f>
        <v/>
      </c>
      <c r="BY18">
        <f>IF(NOT(ISNUMBER($D18)),"",_xlfn.NORM.DIST(BY$1,$D18,$E18,TRUE)-_xlfn.NORM.DIST(BY$2,$D18,$E18,TRUE))</f>
        <v/>
      </c>
      <c r="BZ18">
        <f>IF(NOT(ISNUMBER($D18)),"",_xlfn.NORM.DIST(BZ$1,$D18,$E18,TRUE)-_xlfn.NORM.DIST(BZ$2,$D18,$E18,TRUE))</f>
        <v/>
      </c>
      <c r="CA18">
        <f>IF(NOT(ISNUMBER($D18)),"",_xlfn.NORM.DIST(CA$1,$D18,$E18,TRUE)-_xlfn.NORM.DIST(CA$2,$D18,$E18,TRUE))</f>
        <v/>
      </c>
      <c r="CB18">
        <f>IF(NOT(ISNUMBER($D18)),"",_xlfn.NORM.DIST(CB$1,$D18,$E18,TRUE)-_xlfn.NORM.DIST(CB$2,$D18,$E18,TRUE))</f>
        <v/>
      </c>
      <c r="CC18">
        <f>IF(NOT(ISNUMBER($D18)),"",_xlfn.NORM.DIST(CC$1,$D18,$E18,TRUE)-_xlfn.NORM.DIST(CC$2,$D18,$E18,TRUE))</f>
        <v/>
      </c>
      <c r="CD18">
        <f>IF(NOT(ISNUMBER($D18)),"",_xlfn.NORM.DIST(CD$1,$D18,$E18,TRUE)-_xlfn.NORM.DIST(CD$2,$D18,$E18,TRUE))</f>
        <v/>
      </c>
      <c r="CE18">
        <f>IF(NOT(ISNUMBER($D18)),"",_xlfn.NORM.DIST(CE$1,$D18,$E18,TRUE)-_xlfn.NORM.DIST(CE$2,$D18,$E18,TRUE))</f>
        <v/>
      </c>
      <c r="CF18">
        <f>IF(NOT(ISNUMBER($D18)),"",_xlfn.NORM.DIST(CF$1,$D18,$E18,TRUE)-_xlfn.NORM.DIST(CF$2,$D18,$E18,TRUE))</f>
        <v/>
      </c>
      <c r="CG18">
        <f>IF(NOT(ISNUMBER($D18)),"",_xlfn.NORM.DIST(CG$1,$D18,$E18,TRUE)-_xlfn.NORM.DIST(CG$2,$D18,$E18,TRUE))</f>
        <v/>
      </c>
      <c r="CH18">
        <f>IF(NOT(ISNUMBER($D18)),"",_xlfn.NORM.DIST(CH$1,$D18,$E18,TRUE)-_xlfn.NORM.DIST(CH$2,$D18,$E18,TRUE))</f>
        <v/>
      </c>
      <c r="CI18">
        <f>IF(NOT(ISNUMBER($D18)),"",_xlfn.NORM.DIST(CI$1,$D18,$E18,TRUE)-_xlfn.NORM.DIST(CI$2,$D18,$E18,TRUE))</f>
        <v/>
      </c>
      <c r="CJ18">
        <f>IF(ISNUMBER($D18),SUM(F18:CI18),"")</f>
        <v/>
      </c>
    </row>
    <row r="19">
      <c r="A19">
        <f>economics!A18</f>
        <v/>
      </c>
      <c r="B19">
        <f>economics!B18</f>
        <v/>
      </c>
      <c r="C19">
        <f>economics!D18</f>
        <v/>
      </c>
      <c r="D19">
        <f>IF(ISNUMBER(economics!T18),economics!T18,"na")</f>
        <v/>
      </c>
      <c r="E19">
        <f>IF(ISNUMBER(D19),MAX(0.3*ABS(D19),0.000001),"na")</f>
        <v/>
      </c>
      <c r="F19">
        <f>IF(NOT(ISNUMBER($D19)),"",_xlfn.NORM.DIST(F$1,$D19,$E19,TRUE)-_xlfn.NORM.DIST(F$2,$D19,$E19,TRUE))</f>
        <v/>
      </c>
      <c r="G19">
        <f>IF(NOT(ISNUMBER($D19)),"",_xlfn.NORM.DIST(G$1,$D19,$E19,TRUE)-_xlfn.NORM.DIST(G$2,$D19,$E19,TRUE))</f>
        <v/>
      </c>
      <c r="H19">
        <f>IF(NOT(ISNUMBER($D19)),"",_xlfn.NORM.DIST(H$1,$D19,$E19,TRUE)-_xlfn.NORM.DIST(H$2,$D19,$E19,TRUE))</f>
        <v/>
      </c>
      <c r="I19">
        <f>IF(NOT(ISNUMBER($D19)),"",_xlfn.NORM.DIST(I$1,$D19,$E19,TRUE)-_xlfn.NORM.DIST(I$2,$D19,$E19,TRUE))</f>
        <v/>
      </c>
      <c r="J19">
        <f>IF(NOT(ISNUMBER($D19)),"",_xlfn.NORM.DIST(J$1,$D19,$E19,TRUE)-_xlfn.NORM.DIST(J$2,$D19,$E19,TRUE))</f>
        <v/>
      </c>
      <c r="K19">
        <f>IF(NOT(ISNUMBER($D19)),"",_xlfn.NORM.DIST(K$1,$D19,$E19,TRUE)-_xlfn.NORM.DIST(K$2,$D19,$E19,TRUE))</f>
        <v/>
      </c>
      <c r="L19">
        <f>IF(NOT(ISNUMBER($D19)),"",_xlfn.NORM.DIST(L$1,$D19,$E19,TRUE)-_xlfn.NORM.DIST(L$2,$D19,$E19,TRUE))</f>
        <v/>
      </c>
      <c r="M19">
        <f>IF(NOT(ISNUMBER($D19)),"",_xlfn.NORM.DIST(M$1,$D19,$E19,TRUE)-_xlfn.NORM.DIST(M$2,$D19,$E19,TRUE))</f>
        <v/>
      </c>
      <c r="N19">
        <f>IF(NOT(ISNUMBER($D19)),"",_xlfn.NORM.DIST(N$1,$D19,$E19,TRUE)-_xlfn.NORM.DIST(N$2,$D19,$E19,TRUE))</f>
        <v/>
      </c>
      <c r="O19">
        <f>IF(NOT(ISNUMBER($D19)),"",_xlfn.NORM.DIST(O$1,$D19,$E19,TRUE)-_xlfn.NORM.DIST(O$2,$D19,$E19,TRUE))</f>
        <v/>
      </c>
      <c r="P19">
        <f>IF(NOT(ISNUMBER($D19)),"",_xlfn.NORM.DIST(P$1,$D19,$E19,TRUE)-_xlfn.NORM.DIST(P$2,$D19,$E19,TRUE))</f>
        <v/>
      </c>
      <c r="Q19">
        <f>IF(NOT(ISNUMBER($D19)),"",_xlfn.NORM.DIST(Q$1,$D19,$E19,TRUE)-_xlfn.NORM.DIST(Q$2,$D19,$E19,TRUE))</f>
        <v/>
      </c>
      <c r="R19">
        <f>IF(NOT(ISNUMBER($D19)),"",_xlfn.NORM.DIST(R$1,$D19,$E19,TRUE)-_xlfn.NORM.DIST(R$2,$D19,$E19,TRUE))</f>
        <v/>
      </c>
      <c r="S19">
        <f>IF(NOT(ISNUMBER($D19)),"",_xlfn.NORM.DIST(S$1,$D19,$E19,TRUE)-_xlfn.NORM.DIST(S$2,$D19,$E19,TRUE))</f>
        <v/>
      </c>
      <c r="T19">
        <f>IF(NOT(ISNUMBER($D19)),"",_xlfn.NORM.DIST(T$1,$D19,$E19,TRUE)-_xlfn.NORM.DIST(T$2,$D19,$E19,TRUE))</f>
        <v/>
      </c>
      <c r="U19">
        <f>IF(NOT(ISNUMBER($D19)),"",_xlfn.NORM.DIST(U$1,$D19,$E19,TRUE)-_xlfn.NORM.DIST(U$2,$D19,$E19,TRUE))</f>
        <v/>
      </c>
      <c r="V19">
        <f>IF(NOT(ISNUMBER($D19)),"",_xlfn.NORM.DIST(V$1,$D19,$E19,TRUE)-_xlfn.NORM.DIST(V$2,$D19,$E19,TRUE))</f>
        <v/>
      </c>
      <c r="W19">
        <f>IF(NOT(ISNUMBER($D19)),"",_xlfn.NORM.DIST(W$1,$D19,$E19,TRUE)-_xlfn.NORM.DIST(W$2,$D19,$E19,TRUE))</f>
        <v/>
      </c>
      <c r="X19">
        <f>IF(NOT(ISNUMBER($D19)),"",_xlfn.NORM.DIST(X$1,$D19,$E19,TRUE)-_xlfn.NORM.DIST(X$2,$D19,$E19,TRUE))</f>
        <v/>
      </c>
      <c r="Y19">
        <f>IF(NOT(ISNUMBER($D19)),"",_xlfn.NORM.DIST(Y$1,$D19,$E19,TRUE)-_xlfn.NORM.DIST(Y$2,$D19,$E19,TRUE))</f>
        <v/>
      </c>
      <c r="Z19">
        <f>IF(NOT(ISNUMBER($D19)),"",_xlfn.NORM.DIST(Z$1,$D19,$E19,TRUE)-_xlfn.NORM.DIST(Z$2,$D19,$E19,TRUE))</f>
        <v/>
      </c>
      <c r="AA19">
        <f>IF(NOT(ISNUMBER($D19)),"",_xlfn.NORM.DIST(AA$1,$D19,$E19,TRUE)-_xlfn.NORM.DIST(AA$2,$D19,$E19,TRUE))</f>
        <v/>
      </c>
      <c r="AB19">
        <f>IF(NOT(ISNUMBER($D19)),"",_xlfn.NORM.DIST(AB$1,$D19,$E19,TRUE)-_xlfn.NORM.DIST(AB$2,$D19,$E19,TRUE))</f>
        <v/>
      </c>
      <c r="AC19">
        <f>IF(NOT(ISNUMBER($D19)),"",_xlfn.NORM.DIST(AC$1,$D19,$E19,TRUE)-_xlfn.NORM.DIST(AC$2,$D19,$E19,TRUE))</f>
        <v/>
      </c>
      <c r="AD19">
        <f>IF(NOT(ISNUMBER($D19)),"",_xlfn.NORM.DIST(AD$1,$D19,$E19,TRUE)-_xlfn.NORM.DIST(AD$2,$D19,$E19,TRUE))</f>
        <v/>
      </c>
      <c r="AE19">
        <f>IF(NOT(ISNUMBER($D19)),"",_xlfn.NORM.DIST(AE$1,$D19,$E19,TRUE)-_xlfn.NORM.DIST(AE$2,$D19,$E19,TRUE))</f>
        <v/>
      </c>
      <c r="AF19">
        <f>IF(NOT(ISNUMBER($D19)),"",_xlfn.NORM.DIST(AF$1,$D19,$E19,TRUE)-_xlfn.NORM.DIST(AF$2,$D19,$E19,TRUE))</f>
        <v/>
      </c>
      <c r="AG19">
        <f>IF(NOT(ISNUMBER($D19)),"",_xlfn.NORM.DIST(AG$1,$D19,$E19,TRUE)-_xlfn.NORM.DIST(AG$2,$D19,$E19,TRUE))</f>
        <v/>
      </c>
      <c r="AH19">
        <f>IF(NOT(ISNUMBER($D19)),"",_xlfn.NORM.DIST(AH$1,$D19,$E19,TRUE)-_xlfn.NORM.DIST(AH$2,$D19,$E19,TRUE))</f>
        <v/>
      </c>
      <c r="AI19">
        <f>IF(NOT(ISNUMBER($D19)),"",_xlfn.NORM.DIST(AI$1,$D19,$E19,TRUE)-_xlfn.NORM.DIST(AI$2,$D19,$E19,TRUE))</f>
        <v/>
      </c>
      <c r="AJ19">
        <f>IF(NOT(ISNUMBER($D19)),"",_xlfn.NORM.DIST(AJ$1,$D19,$E19,TRUE)-_xlfn.NORM.DIST(AJ$2,$D19,$E19,TRUE))</f>
        <v/>
      </c>
      <c r="AK19">
        <f>IF(NOT(ISNUMBER($D19)),"",_xlfn.NORM.DIST(AK$1,$D19,$E19,TRUE)-_xlfn.NORM.DIST(AK$2,$D19,$E19,TRUE))</f>
        <v/>
      </c>
      <c r="AL19">
        <f>IF(NOT(ISNUMBER($D19)),"",_xlfn.NORM.DIST(AL$1,$D19,$E19,TRUE)-_xlfn.NORM.DIST(AL$2,$D19,$E19,TRUE))</f>
        <v/>
      </c>
      <c r="AM19">
        <f>IF(NOT(ISNUMBER($D19)),"",_xlfn.NORM.DIST(AM$1,$D19,$E19,TRUE)-_xlfn.NORM.DIST(AM$2,$D19,$E19,TRUE))</f>
        <v/>
      </c>
      <c r="AN19">
        <f>IF(NOT(ISNUMBER($D19)),"",_xlfn.NORM.DIST(AN$1,$D19,$E19,TRUE)-_xlfn.NORM.DIST(AN$2,$D19,$E19,TRUE))</f>
        <v/>
      </c>
      <c r="AO19">
        <f>IF(NOT(ISNUMBER($D19)),"",_xlfn.NORM.DIST(AO$1,$D19,$E19,TRUE)-_xlfn.NORM.DIST(AO$2,$D19,$E19,TRUE))</f>
        <v/>
      </c>
      <c r="AP19">
        <f>IF(NOT(ISNUMBER($D19)),"",_xlfn.NORM.DIST(AP$1,$D19,$E19,TRUE)-_xlfn.NORM.DIST(AP$2,$D19,$E19,TRUE))</f>
        <v/>
      </c>
      <c r="AQ19">
        <f>IF(NOT(ISNUMBER($D19)),"",_xlfn.NORM.DIST(AQ$1,$D19,$E19,TRUE)-_xlfn.NORM.DIST(AQ$2,$D19,$E19,TRUE))</f>
        <v/>
      </c>
      <c r="AR19">
        <f>IF(NOT(ISNUMBER($D19)),"",_xlfn.NORM.DIST(AR$1,$D19,$E19,TRUE)-_xlfn.NORM.DIST(AR$2,$D19,$E19,TRUE))</f>
        <v/>
      </c>
      <c r="AS19">
        <f>IF(NOT(ISNUMBER($D19)),"",_xlfn.NORM.DIST(AS$1,$D19,$E19,TRUE)-_xlfn.NORM.DIST(AS$2,$D19,$E19,TRUE))</f>
        <v/>
      </c>
      <c r="AT19">
        <f>IF(NOT(ISNUMBER($D19)),"",_xlfn.NORM.DIST(AT$1,$D19,$E19,TRUE)-_xlfn.NORM.DIST(AT$2,$D19,$E19,TRUE))</f>
        <v/>
      </c>
      <c r="AU19">
        <f>IF(NOT(ISNUMBER($D19)),"",_xlfn.NORM.DIST(AU$1,$D19,$E19,TRUE)-_xlfn.NORM.DIST(AU$2,$D19,$E19,TRUE))</f>
        <v/>
      </c>
      <c r="AV19">
        <f>IF(NOT(ISNUMBER($D19)),"",_xlfn.NORM.DIST(AV$1,$D19,$E19,TRUE)-_xlfn.NORM.DIST(AV$2,$D19,$E19,TRUE))</f>
        <v/>
      </c>
      <c r="AW19">
        <f>IF(NOT(ISNUMBER($D19)),"",_xlfn.NORM.DIST(AW$1,$D19,$E19,TRUE)-_xlfn.NORM.DIST(AW$2,$D19,$E19,TRUE))</f>
        <v/>
      </c>
      <c r="AX19">
        <f>IF(NOT(ISNUMBER($D19)),"",_xlfn.NORM.DIST(AX$1,$D19,$E19,TRUE)-_xlfn.NORM.DIST(AX$2,$D19,$E19,TRUE))</f>
        <v/>
      </c>
      <c r="AY19">
        <f>IF(NOT(ISNUMBER($D19)),"",_xlfn.NORM.DIST(AY$1,$D19,$E19,TRUE)-_xlfn.NORM.DIST(AY$2,$D19,$E19,TRUE))</f>
        <v/>
      </c>
      <c r="AZ19">
        <f>IF(NOT(ISNUMBER($D19)),"",_xlfn.NORM.DIST(AZ$1,$D19,$E19,TRUE)-_xlfn.NORM.DIST(AZ$2,$D19,$E19,TRUE))</f>
        <v/>
      </c>
      <c r="BA19">
        <f>IF(NOT(ISNUMBER($D19)),"",_xlfn.NORM.DIST(BA$1,$D19,$E19,TRUE)-_xlfn.NORM.DIST(BA$2,$D19,$E19,TRUE))</f>
        <v/>
      </c>
      <c r="BB19">
        <f>IF(NOT(ISNUMBER($D19)),"",_xlfn.NORM.DIST(BB$1,$D19,$E19,TRUE)-_xlfn.NORM.DIST(BB$2,$D19,$E19,TRUE))</f>
        <v/>
      </c>
      <c r="BC19">
        <f>IF(NOT(ISNUMBER($D19)),"",_xlfn.NORM.DIST(BC$1,$D19,$E19,TRUE)-_xlfn.NORM.DIST(BC$2,$D19,$E19,TRUE))</f>
        <v/>
      </c>
      <c r="BD19">
        <f>IF(NOT(ISNUMBER($D19)),"",_xlfn.NORM.DIST(BD$1,$D19,$E19,TRUE)-_xlfn.NORM.DIST(BD$2,$D19,$E19,TRUE))</f>
        <v/>
      </c>
      <c r="BE19">
        <f>IF(NOT(ISNUMBER($D19)),"",_xlfn.NORM.DIST(BE$1,$D19,$E19,TRUE)-_xlfn.NORM.DIST(BE$2,$D19,$E19,TRUE))</f>
        <v/>
      </c>
      <c r="BF19">
        <f>IF(NOT(ISNUMBER($D19)),"",_xlfn.NORM.DIST(BF$1,$D19,$E19,TRUE)-_xlfn.NORM.DIST(BF$2,$D19,$E19,TRUE))</f>
        <v/>
      </c>
      <c r="BG19">
        <f>IF(NOT(ISNUMBER($D19)),"",_xlfn.NORM.DIST(BG$1,$D19,$E19,TRUE)-_xlfn.NORM.DIST(BG$2,$D19,$E19,TRUE))</f>
        <v/>
      </c>
      <c r="BH19">
        <f>IF(NOT(ISNUMBER($D19)),"",_xlfn.NORM.DIST(BH$1,$D19,$E19,TRUE)-_xlfn.NORM.DIST(BH$2,$D19,$E19,TRUE))</f>
        <v/>
      </c>
      <c r="BI19">
        <f>IF(NOT(ISNUMBER($D19)),"",_xlfn.NORM.DIST(BI$1,$D19,$E19,TRUE)-_xlfn.NORM.DIST(BI$2,$D19,$E19,TRUE))</f>
        <v/>
      </c>
      <c r="BJ19">
        <f>IF(NOT(ISNUMBER($D19)),"",_xlfn.NORM.DIST(BJ$1,$D19,$E19,TRUE)-_xlfn.NORM.DIST(BJ$2,$D19,$E19,TRUE))</f>
        <v/>
      </c>
      <c r="BK19">
        <f>IF(NOT(ISNUMBER($D19)),"",_xlfn.NORM.DIST(BK$1,$D19,$E19,TRUE)-_xlfn.NORM.DIST(BK$2,$D19,$E19,TRUE))</f>
        <v/>
      </c>
      <c r="BL19">
        <f>IF(NOT(ISNUMBER($D19)),"",_xlfn.NORM.DIST(BL$1,$D19,$E19,TRUE)-_xlfn.NORM.DIST(BL$2,$D19,$E19,TRUE))</f>
        <v/>
      </c>
      <c r="BM19">
        <f>IF(NOT(ISNUMBER($D19)),"",_xlfn.NORM.DIST(BM$1,$D19,$E19,TRUE)-_xlfn.NORM.DIST(BM$2,$D19,$E19,TRUE))</f>
        <v/>
      </c>
      <c r="BN19">
        <f>IF(NOT(ISNUMBER($D19)),"",_xlfn.NORM.DIST(BN$1,$D19,$E19,TRUE)-_xlfn.NORM.DIST(BN$2,$D19,$E19,TRUE))</f>
        <v/>
      </c>
      <c r="BO19">
        <f>IF(NOT(ISNUMBER($D19)),"",_xlfn.NORM.DIST(BO$1,$D19,$E19,TRUE)-_xlfn.NORM.DIST(BO$2,$D19,$E19,TRUE))</f>
        <v/>
      </c>
      <c r="BP19">
        <f>IF(NOT(ISNUMBER($D19)),"",_xlfn.NORM.DIST(BP$1,$D19,$E19,TRUE)-_xlfn.NORM.DIST(BP$2,$D19,$E19,TRUE))</f>
        <v/>
      </c>
      <c r="BQ19">
        <f>IF(NOT(ISNUMBER($D19)),"",_xlfn.NORM.DIST(BQ$1,$D19,$E19,TRUE)-_xlfn.NORM.DIST(BQ$2,$D19,$E19,TRUE))</f>
        <v/>
      </c>
      <c r="BR19">
        <f>IF(NOT(ISNUMBER($D19)),"",_xlfn.NORM.DIST(BR$1,$D19,$E19,TRUE)-_xlfn.NORM.DIST(BR$2,$D19,$E19,TRUE))</f>
        <v/>
      </c>
      <c r="BS19">
        <f>IF(NOT(ISNUMBER($D19)),"",_xlfn.NORM.DIST(BS$1,$D19,$E19,TRUE)-_xlfn.NORM.DIST(BS$2,$D19,$E19,TRUE))</f>
        <v/>
      </c>
      <c r="BT19">
        <f>IF(NOT(ISNUMBER($D19)),"",_xlfn.NORM.DIST(BT$1,$D19,$E19,TRUE)-_xlfn.NORM.DIST(BT$2,$D19,$E19,TRUE))</f>
        <v/>
      </c>
      <c r="BU19">
        <f>IF(NOT(ISNUMBER($D19)),"",_xlfn.NORM.DIST(BU$1,$D19,$E19,TRUE)-_xlfn.NORM.DIST(BU$2,$D19,$E19,TRUE))</f>
        <v/>
      </c>
      <c r="BV19">
        <f>IF(NOT(ISNUMBER($D19)),"",_xlfn.NORM.DIST(BV$1,$D19,$E19,TRUE)-_xlfn.NORM.DIST(BV$2,$D19,$E19,TRUE))</f>
        <v/>
      </c>
      <c r="BW19">
        <f>IF(NOT(ISNUMBER($D19)),"",_xlfn.NORM.DIST(BW$1,$D19,$E19,TRUE)-_xlfn.NORM.DIST(BW$2,$D19,$E19,TRUE))</f>
        <v/>
      </c>
      <c r="BX19">
        <f>IF(NOT(ISNUMBER($D19)),"",_xlfn.NORM.DIST(BX$1,$D19,$E19,TRUE)-_xlfn.NORM.DIST(BX$2,$D19,$E19,TRUE))</f>
        <v/>
      </c>
      <c r="BY19">
        <f>IF(NOT(ISNUMBER($D19)),"",_xlfn.NORM.DIST(BY$1,$D19,$E19,TRUE)-_xlfn.NORM.DIST(BY$2,$D19,$E19,TRUE))</f>
        <v/>
      </c>
      <c r="BZ19">
        <f>IF(NOT(ISNUMBER($D19)),"",_xlfn.NORM.DIST(BZ$1,$D19,$E19,TRUE)-_xlfn.NORM.DIST(BZ$2,$D19,$E19,TRUE))</f>
        <v/>
      </c>
      <c r="CA19">
        <f>IF(NOT(ISNUMBER($D19)),"",_xlfn.NORM.DIST(CA$1,$D19,$E19,TRUE)-_xlfn.NORM.DIST(CA$2,$D19,$E19,TRUE))</f>
        <v/>
      </c>
      <c r="CB19">
        <f>IF(NOT(ISNUMBER($D19)),"",_xlfn.NORM.DIST(CB$1,$D19,$E19,TRUE)-_xlfn.NORM.DIST(CB$2,$D19,$E19,TRUE))</f>
        <v/>
      </c>
      <c r="CC19">
        <f>IF(NOT(ISNUMBER($D19)),"",_xlfn.NORM.DIST(CC$1,$D19,$E19,TRUE)-_xlfn.NORM.DIST(CC$2,$D19,$E19,TRUE))</f>
        <v/>
      </c>
      <c r="CD19">
        <f>IF(NOT(ISNUMBER($D19)),"",_xlfn.NORM.DIST(CD$1,$D19,$E19,TRUE)-_xlfn.NORM.DIST(CD$2,$D19,$E19,TRUE))</f>
        <v/>
      </c>
      <c r="CE19">
        <f>IF(NOT(ISNUMBER($D19)),"",_xlfn.NORM.DIST(CE$1,$D19,$E19,TRUE)-_xlfn.NORM.DIST(CE$2,$D19,$E19,TRUE))</f>
        <v/>
      </c>
      <c r="CF19">
        <f>IF(NOT(ISNUMBER($D19)),"",_xlfn.NORM.DIST(CF$1,$D19,$E19,TRUE)-_xlfn.NORM.DIST(CF$2,$D19,$E19,TRUE))</f>
        <v/>
      </c>
      <c r="CG19">
        <f>IF(NOT(ISNUMBER($D19)),"",_xlfn.NORM.DIST(CG$1,$D19,$E19,TRUE)-_xlfn.NORM.DIST(CG$2,$D19,$E19,TRUE))</f>
        <v/>
      </c>
      <c r="CH19">
        <f>IF(NOT(ISNUMBER($D19)),"",_xlfn.NORM.DIST(CH$1,$D19,$E19,TRUE)-_xlfn.NORM.DIST(CH$2,$D19,$E19,TRUE))</f>
        <v/>
      </c>
      <c r="CI19">
        <f>IF(NOT(ISNUMBER($D19)),"",_xlfn.NORM.DIST(CI$1,$D19,$E19,TRUE)-_xlfn.NORM.DIST(CI$2,$D19,$E19,TRUE))</f>
        <v/>
      </c>
      <c r="CJ19">
        <f>IF(ISNUMBER($D19),SUM(F19:CI19),"")</f>
        <v/>
      </c>
    </row>
    <row r="20">
      <c r="A20">
        <f>economics!A19</f>
        <v/>
      </c>
      <c r="B20">
        <f>economics!B19</f>
        <v/>
      </c>
      <c r="C20">
        <f>economics!D19</f>
        <v/>
      </c>
      <c r="D20">
        <f>IF(ISNUMBER(economics!T19),economics!T19,"na")</f>
        <v/>
      </c>
      <c r="E20">
        <f>IF(ISNUMBER(D20),MAX(0.3*ABS(D20),0.000001),"na")</f>
        <v/>
      </c>
      <c r="F20">
        <f>IF(NOT(ISNUMBER($D20)),"",_xlfn.NORM.DIST(F$1,$D20,$E20,TRUE)-_xlfn.NORM.DIST(F$2,$D20,$E20,TRUE))</f>
        <v/>
      </c>
      <c r="G20">
        <f>IF(NOT(ISNUMBER($D20)),"",_xlfn.NORM.DIST(G$1,$D20,$E20,TRUE)-_xlfn.NORM.DIST(G$2,$D20,$E20,TRUE))</f>
        <v/>
      </c>
      <c r="H20">
        <f>IF(NOT(ISNUMBER($D20)),"",_xlfn.NORM.DIST(H$1,$D20,$E20,TRUE)-_xlfn.NORM.DIST(H$2,$D20,$E20,TRUE))</f>
        <v/>
      </c>
      <c r="I20">
        <f>IF(NOT(ISNUMBER($D20)),"",_xlfn.NORM.DIST(I$1,$D20,$E20,TRUE)-_xlfn.NORM.DIST(I$2,$D20,$E20,TRUE))</f>
        <v/>
      </c>
      <c r="J20">
        <f>IF(NOT(ISNUMBER($D20)),"",_xlfn.NORM.DIST(J$1,$D20,$E20,TRUE)-_xlfn.NORM.DIST(J$2,$D20,$E20,TRUE))</f>
        <v/>
      </c>
      <c r="K20">
        <f>IF(NOT(ISNUMBER($D20)),"",_xlfn.NORM.DIST(K$1,$D20,$E20,TRUE)-_xlfn.NORM.DIST(K$2,$D20,$E20,TRUE))</f>
        <v/>
      </c>
      <c r="L20">
        <f>IF(NOT(ISNUMBER($D20)),"",_xlfn.NORM.DIST(L$1,$D20,$E20,TRUE)-_xlfn.NORM.DIST(L$2,$D20,$E20,TRUE))</f>
        <v/>
      </c>
      <c r="M20">
        <f>IF(NOT(ISNUMBER($D20)),"",_xlfn.NORM.DIST(M$1,$D20,$E20,TRUE)-_xlfn.NORM.DIST(M$2,$D20,$E20,TRUE))</f>
        <v/>
      </c>
      <c r="N20">
        <f>IF(NOT(ISNUMBER($D20)),"",_xlfn.NORM.DIST(N$1,$D20,$E20,TRUE)-_xlfn.NORM.DIST(N$2,$D20,$E20,TRUE))</f>
        <v/>
      </c>
      <c r="O20">
        <f>IF(NOT(ISNUMBER($D20)),"",_xlfn.NORM.DIST(O$1,$D20,$E20,TRUE)-_xlfn.NORM.DIST(O$2,$D20,$E20,TRUE))</f>
        <v/>
      </c>
      <c r="P20">
        <f>IF(NOT(ISNUMBER($D20)),"",_xlfn.NORM.DIST(P$1,$D20,$E20,TRUE)-_xlfn.NORM.DIST(P$2,$D20,$E20,TRUE))</f>
        <v/>
      </c>
      <c r="Q20">
        <f>IF(NOT(ISNUMBER($D20)),"",_xlfn.NORM.DIST(Q$1,$D20,$E20,TRUE)-_xlfn.NORM.DIST(Q$2,$D20,$E20,TRUE))</f>
        <v/>
      </c>
      <c r="R20">
        <f>IF(NOT(ISNUMBER($D20)),"",_xlfn.NORM.DIST(R$1,$D20,$E20,TRUE)-_xlfn.NORM.DIST(R$2,$D20,$E20,TRUE))</f>
        <v/>
      </c>
      <c r="S20">
        <f>IF(NOT(ISNUMBER($D20)),"",_xlfn.NORM.DIST(S$1,$D20,$E20,TRUE)-_xlfn.NORM.DIST(S$2,$D20,$E20,TRUE))</f>
        <v/>
      </c>
      <c r="T20">
        <f>IF(NOT(ISNUMBER($D20)),"",_xlfn.NORM.DIST(T$1,$D20,$E20,TRUE)-_xlfn.NORM.DIST(T$2,$D20,$E20,TRUE))</f>
        <v/>
      </c>
      <c r="U20">
        <f>IF(NOT(ISNUMBER($D20)),"",_xlfn.NORM.DIST(U$1,$D20,$E20,TRUE)-_xlfn.NORM.DIST(U$2,$D20,$E20,TRUE))</f>
        <v/>
      </c>
      <c r="V20">
        <f>IF(NOT(ISNUMBER($D20)),"",_xlfn.NORM.DIST(V$1,$D20,$E20,TRUE)-_xlfn.NORM.DIST(V$2,$D20,$E20,TRUE))</f>
        <v/>
      </c>
      <c r="W20">
        <f>IF(NOT(ISNUMBER($D20)),"",_xlfn.NORM.DIST(W$1,$D20,$E20,TRUE)-_xlfn.NORM.DIST(W$2,$D20,$E20,TRUE))</f>
        <v/>
      </c>
      <c r="X20">
        <f>IF(NOT(ISNUMBER($D20)),"",_xlfn.NORM.DIST(X$1,$D20,$E20,TRUE)-_xlfn.NORM.DIST(X$2,$D20,$E20,TRUE))</f>
        <v/>
      </c>
      <c r="Y20">
        <f>IF(NOT(ISNUMBER($D20)),"",_xlfn.NORM.DIST(Y$1,$D20,$E20,TRUE)-_xlfn.NORM.DIST(Y$2,$D20,$E20,TRUE))</f>
        <v/>
      </c>
      <c r="Z20">
        <f>IF(NOT(ISNUMBER($D20)),"",_xlfn.NORM.DIST(Z$1,$D20,$E20,TRUE)-_xlfn.NORM.DIST(Z$2,$D20,$E20,TRUE))</f>
        <v/>
      </c>
      <c r="AA20">
        <f>IF(NOT(ISNUMBER($D20)),"",_xlfn.NORM.DIST(AA$1,$D20,$E20,TRUE)-_xlfn.NORM.DIST(AA$2,$D20,$E20,TRUE))</f>
        <v/>
      </c>
      <c r="AB20">
        <f>IF(NOT(ISNUMBER($D20)),"",_xlfn.NORM.DIST(AB$1,$D20,$E20,TRUE)-_xlfn.NORM.DIST(AB$2,$D20,$E20,TRUE))</f>
        <v/>
      </c>
      <c r="AC20">
        <f>IF(NOT(ISNUMBER($D20)),"",_xlfn.NORM.DIST(AC$1,$D20,$E20,TRUE)-_xlfn.NORM.DIST(AC$2,$D20,$E20,TRUE))</f>
        <v/>
      </c>
      <c r="AD20">
        <f>IF(NOT(ISNUMBER($D20)),"",_xlfn.NORM.DIST(AD$1,$D20,$E20,TRUE)-_xlfn.NORM.DIST(AD$2,$D20,$E20,TRUE))</f>
        <v/>
      </c>
      <c r="AE20">
        <f>IF(NOT(ISNUMBER($D20)),"",_xlfn.NORM.DIST(AE$1,$D20,$E20,TRUE)-_xlfn.NORM.DIST(AE$2,$D20,$E20,TRUE))</f>
        <v/>
      </c>
      <c r="AF20">
        <f>IF(NOT(ISNUMBER($D20)),"",_xlfn.NORM.DIST(AF$1,$D20,$E20,TRUE)-_xlfn.NORM.DIST(AF$2,$D20,$E20,TRUE))</f>
        <v/>
      </c>
      <c r="AG20">
        <f>IF(NOT(ISNUMBER($D20)),"",_xlfn.NORM.DIST(AG$1,$D20,$E20,TRUE)-_xlfn.NORM.DIST(AG$2,$D20,$E20,TRUE))</f>
        <v/>
      </c>
      <c r="AH20">
        <f>IF(NOT(ISNUMBER($D20)),"",_xlfn.NORM.DIST(AH$1,$D20,$E20,TRUE)-_xlfn.NORM.DIST(AH$2,$D20,$E20,TRUE))</f>
        <v/>
      </c>
      <c r="AI20">
        <f>IF(NOT(ISNUMBER($D20)),"",_xlfn.NORM.DIST(AI$1,$D20,$E20,TRUE)-_xlfn.NORM.DIST(AI$2,$D20,$E20,TRUE))</f>
        <v/>
      </c>
      <c r="AJ20">
        <f>IF(NOT(ISNUMBER($D20)),"",_xlfn.NORM.DIST(AJ$1,$D20,$E20,TRUE)-_xlfn.NORM.DIST(AJ$2,$D20,$E20,TRUE))</f>
        <v/>
      </c>
      <c r="AK20">
        <f>IF(NOT(ISNUMBER($D20)),"",_xlfn.NORM.DIST(AK$1,$D20,$E20,TRUE)-_xlfn.NORM.DIST(AK$2,$D20,$E20,TRUE))</f>
        <v/>
      </c>
      <c r="AL20">
        <f>IF(NOT(ISNUMBER($D20)),"",_xlfn.NORM.DIST(AL$1,$D20,$E20,TRUE)-_xlfn.NORM.DIST(AL$2,$D20,$E20,TRUE))</f>
        <v/>
      </c>
      <c r="AM20">
        <f>IF(NOT(ISNUMBER($D20)),"",_xlfn.NORM.DIST(AM$1,$D20,$E20,TRUE)-_xlfn.NORM.DIST(AM$2,$D20,$E20,TRUE))</f>
        <v/>
      </c>
      <c r="AN20">
        <f>IF(NOT(ISNUMBER($D20)),"",_xlfn.NORM.DIST(AN$1,$D20,$E20,TRUE)-_xlfn.NORM.DIST(AN$2,$D20,$E20,TRUE))</f>
        <v/>
      </c>
      <c r="AO20">
        <f>IF(NOT(ISNUMBER($D20)),"",_xlfn.NORM.DIST(AO$1,$D20,$E20,TRUE)-_xlfn.NORM.DIST(AO$2,$D20,$E20,TRUE))</f>
        <v/>
      </c>
      <c r="AP20">
        <f>IF(NOT(ISNUMBER($D20)),"",_xlfn.NORM.DIST(AP$1,$D20,$E20,TRUE)-_xlfn.NORM.DIST(AP$2,$D20,$E20,TRUE))</f>
        <v/>
      </c>
      <c r="AQ20">
        <f>IF(NOT(ISNUMBER($D20)),"",_xlfn.NORM.DIST(AQ$1,$D20,$E20,TRUE)-_xlfn.NORM.DIST(AQ$2,$D20,$E20,TRUE))</f>
        <v/>
      </c>
      <c r="AR20">
        <f>IF(NOT(ISNUMBER($D20)),"",_xlfn.NORM.DIST(AR$1,$D20,$E20,TRUE)-_xlfn.NORM.DIST(AR$2,$D20,$E20,TRUE))</f>
        <v/>
      </c>
      <c r="AS20">
        <f>IF(NOT(ISNUMBER($D20)),"",_xlfn.NORM.DIST(AS$1,$D20,$E20,TRUE)-_xlfn.NORM.DIST(AS$2,$D20,$E20,TRUE))</f>
        <v/>
      </c>
      <c r="AT20">
        <f>IF(NOT(ISNUMBER($D20)),"",_xlfn.NORM.DIST(AT$1,$D20,$E20,TRUE)-_xlfn.NORM.DIST(AT$2,$D20,$E20,TRUE))</f>
        <v/>
      </c>
      <c r="AU20">
        <f>IF(NOT(ISNUMBER($D20)),"",_xlfn.NORM.DIST(AU$1,$D20,$E20,TRUE)-_xlfn.NORM.DIST(AU$2,$D20,$E20,TRUE))</f>
        <v/>
      </c>
      <c r="AV20">
        <f>IF(NOT(ISNUMBER($D20)),"",_xlfn.NORM.DIST(AV$1,$D20,$E20,TRUE)-_xlfn.NORM.DIST(AV$2,$D20,$E20,TRUE))</f>
        <v/>
      </c>
      <c r="AW20">
        <f>IF(NOT(ISNUMBER($D20)),"",_xlfn.NORM.DIST(AW$1,$D20,$E20,TRUE)-_xlfn.NORM.DIST(AW$2,$D20,$E20,TRUE))</f>
        <v/>
      </c>
      <c r="AX20">
        <f>IF(NOT(ISNUMBER($D20)),"",_xlfn.NORM.DIST(AX$1,$D20,$E20,TRUE)-_xlfn.NORM.DIST(AX$2,$D20,$E20,TRUE))</f>
        <v/>
      </c>
      <c r="AY20">
        <f>IF(NOT(ISNUMBER($D20)),"",_xlfn.NORM.DIST(AY$1,$D20,$E20,TRUE)-_xlfn.NORM.DIST(AY$2,$D20,$E20,TRUE))</f>
        <v/>
      </c>
      <c r="AZ20">
        <f>IF(NOT(ISNUMBER($D20)),"",_xlfn.NORM.DIST(AZ$1,$D20,$E20,TRUE)-_xlfn.NORM.DIST(AZ$2,$D20,$E20,TRUE))</f>
        <v/>
      </c>
      <c r="BA20">
        <f>IF(NOT(ISNUMBER($D20)),"",_xlfn.NORM.DIST(BA$1,$D20,$E20,TRUE)-_xlfn.NORM.DIST(BA$2,$D20,$E20,TRUE))</f>
        <v/>
      </c>
      <c r="BB20">
        <f>IF(NOT(ISNUMBER($D20)),"",_xlfn.NORM.DIST(BB$1,$D20,$E20,TRUE)-_xlfn.NORM.DIST(BB$2,$D20,$E20,TRUE))</f>
        <v/>
      </c>
      <c r="BC20">
        <f>IF(NOT(ISNUMBER($D20)),"",_xlfn.NORM.DIST(BC$1,$D20,$E20,TRUE)-_xlfn.NORM.DIST(BC$2,$D20,$E20,TRUE))</f>
        <v/>
      </c>
      <c r="BD20">
        <f>IF(NOT(ISNUMBER($D20)),"",_xlfn.NORM.DIST(BD$1,$D20,$E20,TRUE)-_xlfn.NORM.DIST(BD$2,$D20,$E20,TRUE))</f>
        <v/>
      </c>
      <c r="BE20">
        <f>IF(NOT(ISNUMBER($D20)),"",_xlfn.NORM.DIST(BE$1,$D20,$E20,TRUE)-_xlfn.NORM.DIST(BE$2,$D20,$E20,TRUE))</f>
        <v/>
      </c>
      <c r="BF20">
        <f>IF(NOT(ISNUMBER($D20)),"",_xlfn.NORM.DIST(BF$1,$D20,$E20,TRUE)-_xlfn.NORM.DIST(BF$2,$D20,$E20,TRUE))</f>
        <v/>
      </c>
      <c r="BG20">
        <f>IF(NOT(ISNUMBER($D20)),"",_xlfn.NORM.DIST(BG$1,$D20,$E20,TRUE)-_xlfn.NORM.DIST(BG$2,$D20,$E20,TRUE))</f>
        <v/>
      </c>
      <c r="BH20">
        <f>IF(NOT(ISNUMBER($D20)),"",_xlfn.NORM.DIST(BH$1,$D20,$E20,TRUE)-_xlfn.NORM.DIST(BH$2,$D20,$E20,TRUE))</f>
        <v/>
      </c>
      <c r="BI20">
        <f>IF(NOT(ISNUMBER($D20)),"",_xlfn.NORM.DIST(BI$1,$D20,$E20,TRUE)-_xlfn.NORM.DIST(BI$2,$D20,$E20,TRUE))</f>
        <v/>
      </c>
      <c r="BJ20">
        <f>IF(NOT(ISNUMBER($D20)),"",_xlfn.NORM.DIST(BJ$1,$D20,$E20,TRUE)-_xlfn.NORM.DIST(BJ$2,$D20,$E20,TRUE))</f>
        <v/>
      </c>
      <c r="BK20">
        <f>IF(NOT(ISNUMBER($D20)),"",_xlfn.NORM.DIST(BK$1,$D20,$E20,TRUE)-_xlfn.NORM.DIST(BK$2,$D20,$E20,TRUE))</f>
        <v/>
      </c>
      <c r="BL20">
        <f>IF(NOT(ISNUMBER($D20)),"",_xlfn.NORM.DIST(BL$1,$D20,$E20,TRUE)-_xlfn.NORM.DIST(BL$2,$D20,$E20,TRUE))</f>
        <v/>
      </c>
      <c r="BM20">
        <f>IF(NOT(ISNUMBER($D20)),"",_xlfn.NORM.DIST(BM$1,$D20,$E20,TRUE)-_xlfn.NORM.DIST(BM$2,$D20,$E20,TRUE))</f>
        <v/>
      </c>
      <c r="BN20">
        <f>IF(NOT(ISNUMBER($D20)),"",_xlfn.NORM.DIST(BN$1,$D20,$E20,TRUE)-_xlfn.NORM.DIST(BN$2,$D20,$E20,TRUE))</f>
        <v/>
      </c>
      <c r="BO20">
        <f>IF(NOT(ISNUMBER($D20)),"",_xlfn.NORM.DIST(BO$1,$D20,$E20,TRUE)-_xlfn.NORM.DIST(BO$2,$D20,$E20,TRUE))</f>
        <v/>
      </c>
      <c r="BP20">
        <f>IF(NOT(ISNUMBER($D20)),"",_xlfn.NORM.DIST(BP$1,$D20,$E20,TRUE)-_xlfn.NORM.DIST(BP$2,$D20,$E20,TRUE))</f>
        <v/>
      </c>
      <c r="BQ20">
        <f>IF(NOT(ISNUMBER($D20)),"",_xlfn.NORM.DIST(BQ$1,$D20,$E20,TRUE)-_xlfn.NORM.DIST(BQ$2,$D20,$E20,TRUE))</f>
        <v/>
      </c>
      <c r="BR20">
        <f>IF(NOT(ISNUMBER($D20)),"",_xlfn.NORM.DIST(BR$1,$D20,$E20,TRUE)-_xlfn.NORM.DIST(BR$2,$D20,$E20,TRUE))</f>
        <v/>
      </c>
      <c r="BS20">
        <f>IF(NOT(ISNUMBER($D20)),"",_xlfn.NORM.DIST(BS$1,$D20,$E20,TRUE)-_xlfn.NORM.DIST(BS$2,$D20,$E20,TRUE))</f>
        <v/>
      </c>
      <c r="BT20">
        <f>IF(NOT(ISNUMBER($D20)),"",_xlfn.NORM.DIST(BT$1,$D20,$E20,TRUE)-_xlfn.NORM.DIST(BT$2,$D20,$E20,TRUE))</f>
        <v/>
      </c>
      <c r="BU20">
        <f>IF(NOT(ISNUMBER($D20)),"",_xlfn.NORM.DIST(BU$1,$D20,$E20,TRUE)-_xlfn.NORM.DIST(BU$2,$D20,$E20,TRUE))</f>
        <v/>
      </c>
      <c r="BV20">
        <f>IF(NOT(ISNUMBER($D20)),"",_xlfn.NORM.DIST(BV$1,$D20,$E20,TRUE)-_xlfn.NORM.DIST(BV$2,$D20,$E20,TRUE))</f>
        <v/>
      </c>
      <c r="BW20">
        <f>IF(NOT(ISNUMBER($D20)),"",_xlfn.NORM.DIST(BW$1,$D20,$E20,TRUE)-_xlfn.NORM.DIST(BW$2,$D20,$E20,TRUE))</f>
        <v/>
      </c>
      <c r="BX20">
        <f>IF(NOT(ISNUMBER($D20)),"",_xlfn.NORM.DIST(BX$1,$D20,$E20,TRUE)-_xlfn.NORM.DIST(BX$2,$D20,$E20,TRUE))</f>
        <v/>
      </c>
      <c r="BY20">
        <f>IF(NOT(ISNUMBER($D20)),"",_xlfn.NORM.DIST(BY$1,$D20,$E20,TRUE)-_xlfn.NORM.DIST(BY$2,$D20,$E20,TRUE))</f>
        <v/>
      </c>
      <c r="BZ20">
        <f>IF(NOT(ISNUMBER($D20)),"",_xlfn.NORM.DIST(BZ$1,$D20,$E20,TRUE)-_xlfn.NORM.DIST(BZ$2,$D20,$E20,TRUE))</f>
        <v/>
      </c>
      <c r="CA20">
        <f>IF(NOT(ISNUMBER($D20)),"",_xlfn.NORM.DIST(CA$1,$D20,$E20,TRUE)-_xlfn.NORM.DIST(CA$2,$D20,$E20,TRUE))</f>
        <v/>
      </c>
      <c r="CB20">
        <f>IF(NOT(ISNUMBER($D20)),"",_xlfn.NORM.DIST(CB$1,$D20,$E20,TRUE)-_xlfn.NORM.DIST(CB$2,$D20,$E20,TRUE))</f>
        <v/>
      </c>
      <c r="CC20">
        <f>IF(NOT(ISNUMBER($D20)),"",_xlfn.NORM.DIST(CC$1,$D20,$E20,TRUE)-_xlfn.NORM.DIST(CC$2,$D20,$E20,TRUE))</f>
        <v/>
      </c>
      <c r="CD20">
        <f>IF(NOT(ISNUMBER($D20)),"",_xlfn.NORM.DIST(CD$1,$D20,$E20,TRUE)-_xlfn.NORM.DIST(CD$2,$D20,$E20,TRUE))</f>
        <v/>
      </c>
      <c r="CE20">
        <f>IF(NOT(ISNUMBER($D20)),"",_xlfn.NORM.DIST(CE$1,$D20,$E20,TRUE)-_xlfn.NORM.DIST(CE$2,$D20,$E20,TRUE))</f>
        <v/>
      </c>
      <c r="CF20">
        <f>IF(NOT(ISNUMBER($D20)),"",_xlfn.NORM.DIST(CF$1,$D20,$E20,TRUE)-_xlfn.NORM.DIST(CF$2,$D20,$E20,TRUE))</f>
        <v/>
      </c>
      <c r="CG20">
        <f>IF(NOT(ISNUMBER($D20)),"",_xlfn.NORM.DIST(CG$1,$D20,$E20,TRUE)-_xlfn.NORM.DIST(CG$2,$D20,$E20,TRUE))</f>
        <v/>
      </c>
      <c r="CH20">
        <f>IF(NOT(ISNUMBER($D20)),"",_xlfn.NORM.DIST(CH$1,$D20,$E20,TRUE)-_xlfn.NORM.DIST(CH$2,$D20,$E20,TRUE))</f>
        <v/>
      </c>
      <c r="CI20">
        <f>IF(NOT(ISNUMBER($D20)),"",_xlfn.NORM.DIST(CI$1,$D20,$E20,TRUE)-_xlfn.NORM.DIST(CI$2,$D20,$E20,TRUE))</f>
        <v/>
      </c>
      <c r="CJ20">
        <f>IF(ISNUMBER($D20),SUM(F20:CI20),"")</f>
        <v/>
      </c>
    </row>
    <row r="21">
      <c r="A21">
        <f>economics!A20</f>
        <v/>
      </c>
      <c r="B21">
        <f>economics!B20</f>
        <v/>
      </c>
      <c r="C21">
        <f>economics!D20</f>
        <v/>
      </c>
      <c r="D21">
        <f>IF(ISNUMBER(economics!T20),economics!T20,"na")</f>
        <v/>
      </c>
      <c r="E21">
        <f>IF(ISNUMBER(D21),MAX(0.3*ABS(D21),0.000001),"na")</f>
        <v/>
      </c>
      <c r="F21">
        <f>IF(NOT(ISNUMBER($D21)),"",_xlfn.NORM.DIST(F$1,$D21,$E21,TRUE)-_xlfn.NORM.DIST(F$2,$D21,$E21,TRUE))</f>
        <v/>
      </c>
      <c r="G21">
        <f>IF(NOT(ISNUMBER($D21)),"",_xlfn.NORM.DIST(G$1,$D21,$E21,TRUE)-_xlfn.NORM.DIST(G$2,$D21,$E21,TRUE))</f>
        <v/>
      </c>
      <c r="H21">
        <f>IF(NOT(ISNUMBER($D21)),"",_xlfn.NORM.DIST(H$1,$D21,$E21,TRUE)-_xlfn.NORM.DIST(H$2,$D21,$E21,TRUE))</f>
        <v/>
      </c>
      <c r="I21">
        <f>IF(NOT(ISNUMBER($D21)),"",_xlfn.NORM.DIST(I$1,$D21,$E21,TRUE)-_xlfn.NORM.DIST(I$2,$D21,$E21,TRUE))</f>
        <v/>
      </c>
      <c r="J21">
        <f>IF(NOT(ISNUMBER($D21)),"",_xlfn.NORM.DIST(J$1,$D21,$E21,TRUE)-_xlfn.NORM.DIST(J$2,$D21,$E21,TRUE))</f>
        <v/>
      </c>
      <c r="K21">
        <f>IF(NOT(ISNUMBER($D21)),"",_xlfn.NORM.DIST(K$1,$D21,$E21,TRUE)-_xlfn.NORM.DIST(K$2,$D21,$E21,TRUE))</f>
        <v/>
      </c>
      <c r="L21">
        <f>IF(NOT(ISNUMBER($D21)),"",_xlfn.NORM.DIST(L$1,$D21,$E21,TRUE)-_xlfn.NORM.DIST(L$2,$D21,$E21,TRUE))</f>
        <v/>
      </c>
      <c r="M21">
        <f>IF(NOT(ISNUMBER($D21)),"",_xlfn.NORM.DIST(M$1,$D21,$E21,TRUE)-_xlfn.NORM.DIST(M$2,$D21,$E21,TRUE))</f>
        <v/>
      </c>
      <c r="N21">
        <f>IF(NOT(ISNUMBER($D21)),"",_xlfn.NORM.DIST(N$1,$D21,$E21,TRUE)-_xlfn.NORM.DIST(N$2,$D21,$E21,TRUE))</f>
        <v/>
      </c>
      <c r="O21">
        <f>IF(NOT(ISNUMBER($D21)),"",_xlfn.NORM.DIST(O$1,$D21,$E21,TRUE)-_xlfn.NORM.DIST(O$2,$D21,$E21,TRUE))</f>
        <v/>
      </c>
      <c r="P21">
        <f>IF(NOT(ISNUMBER($D21)),"",_xlfn.NORM.DIST(P$1,$D21,$E21,TRUE)-_xlfn.NORM.DIST(P$2,$D21,$E21,TRUE))</f>
        <v/>
      </c>
      <c r="Q21">
        <f>IF(NOT(ISNUMBER($D21)),"",_xlfn.NORM.DIST(Q$1,$D21,$E21,TRUE)-_xlfn.NORM.DIST(Q$2,$D21,$E21,TRUE))</f>
        <v/>
      </c>
      <c r="R21">
        <f>IF(NOT(ISNUMBER($D21)),"",_xlfn.NORM.DIST(R$1,$D21,$E21,TRUE)-_xlfn.NORM.DIST(R$2,$D21,$E21,TRUE))</f>
        <v/>
      </c>
      <c r="S21">
        <f>IF(NOT(ISNUMBER($D21)),"",_xlfn.NORM.DIST(S$1,$D21,$E21,TRUE)-_xlfn.NORM.DIST(S$2,$D21,$E21,TRUE))</f>
        <v/>
      </c>
      <c r="T21">
        <f>IF(NOT(ISNUMBER($D21)),"",_xlfn.NORM.DIST(T$1,$D21,$E21,TRUE)-_xlfn.NORM.DIST(T$2,$D21,$E21,TRUE))</f>
        <v/>
      </c>
      <c r="U21">
        <f>IF(NOT(ISNUMBER($D21)),"",_xlfn.NORM.DIST(U$1,$D21,$E21,TRUE)-_xlfn.NORM.DIST(U$2,$D21,$E21,TRUE))</f>
        <v/>
      </c>
      <c r="V21">
        <f>IF(NOT(ISNUMBER($D21)),"",_xlfn.NORM.DIST(V$1,$D21,$E21,TRUE)-_xlfn.NORM.DIST(V$2,$D21,$E21,TRUE))</f>
        <v/>
      </c>
      <c r="W21">
        <f>IF(NOT(ISNUMBER($D21)),"",_xlfn.NORM.DIST(W$1,$D21,$E21,TRUE)-_xlfn.NORM.DIST(W$2,$D21,$E21,TRUE))</f>
        <v/>
      </c>
      <c r="X21">
        <f>IF(NOT(ISNUMBER($D21)),"",_xlfn.NORM.DIST(X$1,$D21,$E21,TRUE)-_xlfn.NORM.DIST(X$2,$D21,$E21,TRUE))</f>
        <v/>
      </c>
      <c r="Y21">
        <f>IF(NOT(ISNUMBER($D21)),"",_xlfn.NORM.DIST(Y$1,$D21,$E21,TRUE)-_xlfn.NORM.DIST(Y$2,$D21,$E21,TRUE))</f>
        <v/>
      </c>
      <c r="Z21">
        <f>IF(NOT(ISNUMBER($D21)),"",_xlfn.NORM.DIST(Z$1,$D21,$E21,TRUE)-_xlfn.NORM.DIST(Z$2,$D21,$E21,TRUE))</f>
        <v/>
      </c>
      <c r="AA21">
        <f>IF(NOT(ISNUMBER($D21)),"",_xlfn.NORM.DIST(AA$1,$D21,$E21,TRUE)-_xlfn.NORM.DIST(AA$2,$D21,$E21,TRUE))</f>
        <v/>
      </c>
      <c r="AB21">
        <f>IF(NOT(ISNUMBER($D21)),"",_xlfn.NORM.DIST(AB$1,$D21,$E21,TRUE)-_xlfn.NORM.DIST(AB$2,$D21,$E21,TRUE))</f>
        <v/>
      </c>
      <c r="AC21">
        <f>IF(NOT(ISNUMBER($D21)),"",_xlfn.NORM.DIST(AC$1,$D21,$E21,TRUE)-_xlfn.NORM.DIST(AC$2,$D21,$E21,TRUE))</f>
        <v/>
      </c>
      <c r="AD21">
        <f>IF(NOT(ISNUMBER($D21)),"",_xlfn.NORM.DIST(AD$1,$D21,$E21,TRUE)-_xlfn.NORM.DIST(AD$2,$D21,$E21,TRUE))</f>
        <v/>
      </c>
      <c r="AE21">
        <f>IF(NOT(ISNUMBER($D21)),"",_xlfn.NORM.DIST(AE$1,$D21,$E21,TRUE)-_xlfn.NORM.DIST(AE$2,$D21,$E21,TRUE))</f>
        <v/>
      </c>
      <c r="AF21">
        <f>IF(NOT(ISNUMBER($D21)),"",_xlfn.NORM.DIST(AF$1,$D21,$E21,TRUE)-_xlfn.NORM.DIST(AF$2,$D21,$E21,TRUE))</f>
        <v/>
      </c>
      <c r="AG21">
        <f>IF(NOT(ISNUMBER($D21)),"",_xlfn.NORM.DIST(AG$1,$D21,$E21,TRUE)-_xlfn.NORM.DIST(AG$2,$D21,$E21,TRUE))</f>
        <v/>
      </c>
      <c r="AH21">
        <f>IF(NOT(ISNUMBER($D21)),"",_xlfn.NORM.DIST(AH$1,$D21,$E21,TRUE)-_xlfn.NORM.DIST(AH$2,$D21,$E21,TRUE))</f>
        <v/>
      </c>
      <c r="AI21">
        <f>IF(NOT(ISNUMBER($D21)),"",_xlfn.NORM.DIST(AI$1,$D21,$E21,TRUE)-_xlfn.NORM.DIST(AI$2,$D21,$E21,TRUE))</f>
        <v/>
      </c>
      <c r="AJ21">
        <f>IF(NOT(ISNUMBER($D21)),"",_xlfn.NORM.DIST(AJ$1,$D21,$E21,TRUE)-_xlfn.NORM.DIST(AJ$2,$D21,$E21,TRUE))</f>
        <v/>
      </c>
      <c r="AK21">
        <f>IF(NOT(ISNUMBER($D21)),"",_xlfn.NORM.DIST(AK$1,$D21,$E21,TRUE)-_xlfn.NORM.DIST(AK$2,$D21,$E21,TRUE))</f>
        <v/>
      </c>
      <c r="AL21">
        <f>IF(NOT(ISNUMBER($D21)),"",_xlfn.NORM.DIST(AL$1,$D21,$E21,TRUE)-_xlfn.NORM.DIST(AL$2,$D21,$E21,TRUE))</f>
        <v/>
      </c>
      <c r="AM21">
        <f>IF(NOT(ISNUMBER($D21)),"",_xlfn.NORM.DIST(AM$1,$D21,$E21,TRUE)-_xlfn.NORM.DIST(AM$2,$D21,$E21,TRUE))</f>
        <v/>
      </c>
      <c r="AN21">
        <f>IF(NOT(ISNUMBER($D21)),"",_xlfn.NORM.DIST(AN$1,$D21,$E21,TRUE)-_xlfn.NORM.DIST(AN$2,$D21,$E21,TRUE))</f>
        <v/>
      </c>
      <c r="AO21">
        <f>IF(NOT(ISNUMBER($D21)),"",_xlfn.NORM.DIST(AO$1,$D21,$E21,TRUE)-_xlfn.NORM.DIST(AO$2,$D21,$E21,TRUE))</f>
        <v/>
      </c>
      <c r="AP21">
        <f>IF(NOT(ISNUMBER($D21)),"",_xlfn.NORM.DIST(AP$1,$D21,$E21,TRUE)-_xlfn.NORM.DIST(AP$2,$D21,$E21,TRUE))</f>
        <v/>
      </c>
      <c r="AQ21">
        <f>IF(NOT(ISNUMBER($D21)),"",_xlfn.NORM.DIST(AQ$1,$D21,$E21,TRUE)-_xlfn.NORM.DIST(AQ$2,$D21,$E21,TRUE))</f>
        <v/>
      </c>
      <c r="AR21">
        <f>IF(NOT(ISNUMBER($D21)),"",_xlfn.NORM.DIST(AR$1,$D21,$E21,TRUE)-_xlfn.NORM.DIST(AR$2,$D21,$E21,TRUE))</f>
        <v/>
      </c>
      <c r="AS21">
        <f>IF(NOT(ISNUMBER($D21)),"",_xlfn.NORM.DIST(AS$1,$D21,$E21,TRUE)-_xlfn.NORM.DIST(AS$2,$D21,$E21,TRUE))</f>
        <v/>
      </c>
      <c r="AT21">
        <f>IF(NOT(ISNUMBER($D21)),"",_xlfn.NORM.DIST(AT$1,$D21,$E21,TRUE)-_xlfn.NORM.DIST(AT$2,$D21,$E21,TRUE))</f>
        <v/>
      </c>
      <c r="AU21">
        <f>IF(NOT(ISNUMBER($D21)),"",_xlfn.NORM.DIST(AU$1,$D21,$E21,TRUE)-_xlfn.NORM.DIST(AU$2,$D21,$E21,TRUE))</f>
        <v/>
      </c>
      <c r="AV21">
        <f>IF(NOT(ISNUMBER($D21)),"",_xlfn.NORM.DIST(AV$1,$D21,$E21,TRUE)-_xlfn.NORM.DIST(AV$2,$D21,$E21,TRUE))</f>
        <v/>
      </c>
      <c r="AW21">
        <f>IF(NOT(ISNUMBER($D21)),"",_xlfn.NORM.DIST(AW$1,$D21,$E21,TRUE)-_xlfn.NORM.DIST(AW$2,$D21,$E21,TRUE))</f>
        <v/>
      </c>
      <c r="AX21">
        <f>IF(NOT(ISNUMBER($D21)),"",_xlfn.NORM.DIST(AX$1,$D21,$E21,TRUE)-_xlfn.NORM.DIST(AX$2,$D21,$E21,TRUE))</f>
        <v/>
      </c>
      <c r="AY21">
        <f>IF(NOT(ISNUMBER($D21)),"",_xlfn.NORM.DIST(AY$1,$D21,$E21,TRUE)-_xlfn.NORM.DIST(AY$2,$D21,$E21,TRUE))</f>
        <v/>
      </c>
      <c r="AZ21">
        <f>IF(NOT(ISNUMBER($D21)),"",_xlfn.NORM.DIST(AZ$1,$D21,$E21,TRUE)-_xlfn.NORM.DIST(AZ$2,$D21,$E21,TRUE))</f>
        <v/>
      </c>
      <c r="BA21">
        <f>IF(NOT(ISNUMBER($D21)),"",_xlfn.NORM.DIST(BA$1,$D21,$E21,TRUE)-_xlfn.NORM.DIST(BA$2,$D21,$E21,TRUE))</f>
        <v/>
      </c>
      <c r="BB21">
        <f>IF(NOT(ISNUMBER($D21)),"",_xlfn.NORM.DIST(BB$1,$D21,$E21,TRUE)-_xlfn.NORM.DIST(BB$2,$D21,$E21,TRUE))</f>
        <v/>
      </c>
      <c r="BC21">
        <f>IF(NOT(ISNUMBER($D21)),"",_xlfn.NORM.DIST(BC$1,$D21,$E21,TRUE)-_xlfn.NORM.DIST(BC$2,$D21,$E21,TRUE))</f>
        <v/>
      </c>
      <c r="BD21">
        <f>IF(NOT(ISNUMBER($D21)),"",_xlfn.NORM.DIST(BD$1,$D21,$E21,TRUE)-_xlfn.NORM.DIST(BD$2,$D21,$E21,TRUE))</f>
        <v/>
      </c>
      <c r="BE21">
        <f>IF(NOT(ISNUMBER($D21)),"",_xlfn.NORM.DIST(BE$1,$D21,$E21,TRUE)-_xlfn.NORM.DIST(BE$2,$D21,$E21,TRUE))</f>
        <v/>
      </c>
      <c r="BF21">
        <f>IF(NOT(ISNUMBER($D21)),"",_xlfn.NORM.DIST(BF$1,$D21,$E21,TRUE)-_xlfn.NORM.DIST(BF$2,$D21,$E21,TRUE))</f>
        <v/>
      </c>
      <c r="BG21">
        <f>IF(NOT(ISNUMBER($D21)),"",_xlfn.NORM.DIST(BG$1,$D21,$E21,TRUE)-_xlfn.NORM.DIST(BG$2,$D21,$E21,TRUE))</f>
        <v/>
      </c>
      <c r="BH21">
        <f>IF(NOT(ISNUMBER($D21)),"",_xlfn.NORM.DIST(BH$1,$D21,$E21,TRUE)-_xlfn.NORM.DIST(BH$2,$D21,$E21,TRUE))</f>
        <v/>
      </c>
      <c r="BI21">
        <f>IF(NOT(ISNUMBER($D21)),"",_xlfn.NORM.DIST(BI$1,$D21,$E21,TRUE)-_xlfn.NORM.DIST(BI$2,$D21,$E21,TRUE))</f>
        <v/>
      </c>
      <c r="BJ21">
        <f>IF(NOT(ISNUMBER($D21)),"",_xlfn.NORM.DIST(BJ$1,$D21,$E21,TRUE)-_xlfn.NORM.DIST(BJ$2,$D21,$E21,TRUE))</f>
        <v/>
      </c>
      <c r="BK21">
        <f>IF(NOT(ISNUMBER($D21)),"",_xlfn.NORM.DIST(BK$1,$D21,$E21,TRUE)-_xlfn.NORM.DIST(BK$2,$D21,$E21,TRUE))</f>
        <v/>
      </c>
      <c r="BL21">
        <f>IF(NOT(ISNUMBER($D21)),"",_xlfn.NORM.DIST(BL$1,$D21,$E21,TRUE)-_xlfn.NORM.DIST(BL$2,$D21,$E21,TRUE))</f>
        <v/>
      </c>
      <c r="BM21">
        <f>IF(NOT(ISNUMBER($D21)),"",_xlfn.NORM.DIST(BM$1,$D21,$E21,TRUE)-_xlfn.NORM.DIST(BM$2,$D21,$E21,TRUE))</f>
        <v/>
      </c>
      <c r="BN21">
        <f>IF(NOT(ISNUMBER($D21)),"",_xlfn.NORM.DIST(BN$1,$D21,$E21,TRUE)-_xlfn.NORM.DIST(BN$2,$D21,$E21,TRUE))</f>
        <v/>
      </c>
      <c r="BO21">
        <f>IF(NOT(ISNUMBER($D21)),"",_xlfn.NORM.DIST(BO$1,$D21,$E21,TRUE)-_xlfn.NORM.DIST(BO$2,$D21,$E21,TRUE))</f>
        <v/>
      </c>
      <c r="BP21">
        <f>IF(NOT(ISNUMBER($D21)),"",_xlfn.NORM.DIST(BP$1,$D21,$E21,TRUE)-_xlfn.NORM.DIST(BP$2,$D21,$E21,TRUE))</f>
        <v/>
      </c>
      <c r="BQ21">
        <f>IF(NOT(ISNUMBER($D21)),"",_xlfn.NORM.DIST(BQ$1,$D21,$E21,TRUE)-_xlfn.NORM.DIST(BQ$2,$D21,$E21,TRUE))</f>
        <v/>
      </c>
      <c r="BR21">
        <f>IF(NOT(ISNUMBER($D21)),"",_xlfn.NORM.DIST(BR$1,$D21,$E21,TRUE)-_xlfn.NORM.DIST(BR$2,$D21,$E21,TRUE))</f>
        <v/>
      </c>
      <c r="BS21">
        <f>IF(NOT(ISNUMBER($D21)),"",_xlfn.NORM.DIST(BS$1,$D21,$E21,TRUE)-_xlfn.NORM.DIST(BS$2,$D21,$E21,TRUE))</f>
        <v/>
      </c>
      <c r="BT21">
        <f>IF(NOT(ISNUMBER($D21)),"",_xlfn.NORM.DIST(BT$1,$D21,$E21,TRUE)-_xlfn.NORM.DIST(BT$2,$D21,$E21,TRUE))</f>
        <v/>
      </c>
      <c r="BU21">
        <f>IF(NOT(ISNUMBER($D21)),"",_xlfn.NORM.DIST(BU$1,$D21,$E21,TRUE)-_xlfn.NORM.DIST(BU$2,$D21,$E21,TRUE))</f>
        <v/>
      </c>
      <c r="BV21">
        <f>IF(NOT(ISNUMBER($D21)),"",_xlfn.NORM.DIST(BV$1,$D21,$E21,TRUE)-_xlfn.NORM.DIST(BV$2,$D21,$E21,TRUE))</f>
        <v/>
      </c>
      <c r="BW21">
        <f>IF(NOT(ISNUMBER($D21)),"",_xlfn.NORM.DIST(BW$1,$D21,$E21,TRUE)-_xlfn.NORM.DIST(BW$2,$D21,$E21,TRUE))</f>
        <v/>
      </c>
      <c r="BX21">
        <f>IF(NOT(ISNUMBER($D21)),"",_xlfn.NORM.DIST(BX$1,$D21,$E21,TRUE)-_xlfn.NORM.DIST(BX$2,$D21,$E21,TRUE))</f>
        <v/>
      </c>
      <c r="BY21">
        <f>IF(NOT(ISNUMBER($D21)),"",_xlfn.NORM.DIST(BY$1,$D21,$E21,TRUE)-_xlfn.NORM.DIST(BY$2,$D21,$E21,TRUE))</f>
        <v/>
      </c>
      <c r="BZ21">
        <f>IF(NOT(ISNUMBER($D21)),"",_xlfn.NORM.DIST(BZ$1,$D21,$E21,TRUE)-_xlfn.NORM.DIST(BZ$2,$D21,$E21,TRUE))</f>
        <v/>
      </c>
      <c r="CA21">
        <f>IF(NOT(ISNUMBER($D21)),"",_xlfn.NORM.DIST(CA$1,$D21,$E21,TRUE)-_xlfn.NORM.DIST(CA$2,$D21,$E21,TRUE))</f>
        <v/>
      </c>
      <c r="CB21">
        <f>IF(NOT(ISNUMBER($D21)),"",_xlfn.NORM.DIST(CB$1,$D21,$E21,TRUE)-_xlfn.NORM.DIST(CB$2,$D21,$E21,TRUE))</f>
        <v/>
      </c>
      <c r="CC21">
        <f>IF(NOT(ISNUMBER($D21)),"",_xlfn.NORM.DIST(CC$1,$D21,$E21,TRUE)-_xlfn.NORM.DIST(CC$2,$D21,$E21,TRUE))</f>
        <v/>
      </c>
      <c r="CD21">
        <f>IF(NOT(ISNUMBER($D21)),"",_xlfn.NORM.DIST(CD$1,$D21,$E21,TRUE)-_xlfn.NORM.DIST(CD$2,$D21,$E21,TRUE))</f>
        <v/>
      </c>
      <c r="CE21">
        <f>IF(NOT(ISNUMBER($D21)),"",_xlfn.NORM.DIST(CE$1,$D21,$E21,TRUE)-_xlfn.NORM.DIST(CE$2,$D21,$E21,TRUE))</f>
        <v/>
      </c>
      <c r="CF21">
        <f>IF(NOT(ISNUMBER($D21)),"",_xlfn.NORM.DIST(CF$1,$D21,$E21,TRUE)-_xlfn.NORM.DIST(CF$2,$D21,$E21,TRUE))</f>
        <v/>
      </c>
      <c r="CG21">
        <f>IF(NOT(ISNUMBER($D21)),"",_xlfn.NORM.DIST(CG$1,$D21,$E21,TRUE)-_xlfn.NORM.DIST(CG$2,$D21,$E21,TRUE))</f>
        <v/>
      </c>
      <c r="CH21">
        <f>IF(NOT(ISNUMBER($D21)),"",_xlfn.NORM.DIST(CH$1,$D21,$E21,TRUE)-_xlfn.NORM.DIST(CH$2,$D21,$E21,TRUE))</f>
        <v/>
      </c>
      <c r="CI21">
        <f>IF(NOT(ISNUMBER($D21)),"",_xlfn.NORM.DIST(CI$1,$D21,$E21,TRUE)-_xlfn.NORM.DIST(CI$2,$D21,$E21,TRUE))</f>
        <v/>
      </c>
      <c r="CJ21">
        <f>IF(ISNUMBER($D21),SUM(F21:CI21),"")</f>
        <v/>
      </c>
    </row>
    <row r="22">
      <c r="A22">
        <f>economics!A21</f>
        <v/>
      </c>
      <c r="B22">
        <f>economics!B21</f>
        <v/>
      </c>
      <c r="C22">
        <f>economics!D21</f>
        <v/>
      </c>
      <c r="D22">
        <f>IF(ISNUMBER(economics!T21),economics!T21,"na")</f>
        <v/>
      </c>
      <c r="E22">
        <f>IF(ISNUMBER(D22),MAX(0.3*ABS(D22),0.000001),"na")</f>
        <v/>
      </c>
      <c r="F22">
        <f>IF(NOT(ISNUMBER($D22)),"",_xlfn.NORM.DIST(F$1,$D22,$E22,TRUE)-_xlfn.NORM.DIST(F$2,$D22,$E22,TRUE))</f>
        <v/>
      </c>
      <c r="G22">
        <f>IF(NOT(ISNUMBER($D22)),"",_xlfn.NORM.DIST(G$1,$D22,$E22,TRUE)-_xlfn.NORM.DIST(G$2,$D22,$E22,TRUE))</f>
        <v/>
      </c>
      <c r="H22">
        <f>IF(NOT(ISNUMBER($D22)),"",_xlfn.NORM.DIST(H$1,$D22,$E22,TRUE)-_xlfn.NORM.DIST(H$2,$D22,$E22,TRUE))</f>
        <v/>
      </c>
      <c r="I22">
        <f>IF(NOT(ISNUMBER($D22)),"",_xlfn.NORM.DIST(I$1,$D22,$E22,TRUE)-_xlfn.NORM.DIST(I$2,$D22,$E22,TRUE))</f>
        <v/>
      </c>
      <c r="J22">
        <f>IF(NOT(ISNUMBER($D22)),"",_xlfn.NORM.DIST(J$1,$D22,$E22,TRUE)-_xlfn.NORM.DIST(J$2,$D22,$E22,TRUE))</f>
        <v/>
      </c>
      <c r="K22">
        <f>IF(NOT(ISNUMBER($D22)),"",_xlfn.NORM.DIST(K$1,$D22,$E22,TRUE)-_xlfn.NORM.DIST(K$2,$D22,$E22,TRUE))</f>
        <v/>
      </c>
      <c r="L22">
        <f>IF(NOT(ISNUMBER($D22)),"",_xlfn.NORM.DIST(L$1,$D22,$E22,TRUE)-_xlfn.NORM.DIST(L$2,$D22,$E22,TRUE))</f>
        <v/>
      </c>
      <c r="M22">
        <f>IF(NOT(ISNUMBER($D22)),"",_xlfn.NORM.DIST(M$1,$D22,$E22,TRUE)-_xlfn.NORM.DIST(M$2,$D22,$E22,TRUE))</f>
        <v/>
      </c>
      <c r="N22">
        <f>IF(NOT(ISNUMBER($D22)),"",_xlfn.NORM.DIST(N$1,$D22,$E22,TRUE)-_xlfn.NORM.DIST(N$2,$D22,$E22,TRUE))</f>
        <v/>
      </c>
      <c r="O22">
        <f>IF(NOT(ISNUMBER($D22)),"",_xlfn.NORM.DIST(O$1,$D22,$E22,TRUE)-_xlfn.NORM.DIST(O$2,$D22,$E22,TRUE))</f>
        <v/>
      </c>
      <c r="P22">
        <f>IF(NOT(ISNUMBER($D22)),"",_xlfn.NORM.DIST(P$1,$D22,$E22,TRUE)-_xlfn.NORM.DIST(P$2,$D22,$E22,TRUE))</f>
        <v/>
      </c>
      <c r="Q22">
        <f>IF(NOT(ISNUMBER($D22)),"",_xlfn.NORM.DIST(Q$1,$D22,$E22,TRUE)-_xlfn.NORM.DIST(Q$2,$D22,$E22,TRUE))</f>
        <v/>
      </c>
      <c r="R22">
        <f>IF(NOT(ISNUMBER($D22)),"",_xlfn.NORM.DIST(R$1,$D22,$E22,TRUE)-_xlfn.NORM.DIST(R$2,$D22,$E22,TRUE))</f>
        <v/>
      </c>
      <c r="S22">
        <f>IF(NOT(ISNUMBER($D22)),"",_xlfn.NORM.DIST(S$1,$D22,$E22,TRUE)-_xlfn.NORM.DIST(S$2,$D22,$E22,TRUE))</f>
        <v/>
      </c>
      <c r="T22">
        <f>IF(NOT(ISNUMBER($D22)),"",_xlfn.NORM.DIST(T$1,$D22,$E22,TRUE)-_xlfn.NORM.DIST(T$2,$D22,$E22,TRUE))</f>
        <v/>
      </c>
      <c r="U22">
        <f>IF(NOT(ISNUMBER($D22)),"",_xlfn.NORM.DIST(U$1,$D22,$E22,TRUE)-_xlfn.NORM.DIST(U$2,$D22,$E22,TRUE))</f>
        <v/>
      </c>
      <c r="V22">
        <f>IF(NOT(ISNUMBER($D22)),"",_xlfn.NORM.DIST(V$1,$D22,$E22,TRUE)-_xlfn.NORM.DIST(V$2,$D22,$E22,TRUE))</f>
        <v/>
      </c>
      <c r="W22">
        <f>IF(NOT(ISNUMBER($D22)),"",_xlfn.NORM.DIST(W$1,$D22,$E22,TRUE)-_xlfn.NORM.DIST(W$2,$D22,$E22,TRUE))</f>
        <v/>
      </c>
      <c r="X22">
        <f>IF(NOT(ISNUMBER($D22)),"",_xlfn.NORM.DIST(X$1,$D22,$E22,TRUE)-_xlfn.NORM.DIST(X$2,$D22,$E22,TRUE))</f>
        <v/>
      </c>
      <c r="Y22">
        <f>IF(NOT(ISNUMBER($D22)),"",_xlfn.NORM.DIST(Y$1,$D22,$E22,TRUE)-_xlfn.NORM.DIST(Y$2,$D22,$E22,TRUE))</f>
        <v/>
      </c>
      <c r="Z22">
        <f>IF(NOT(ISNUMBER($D22)),"",_xlfn.NORM.DIST(Z$1,$D22,$E22,TRUE)-_xlfn.NORM.DIST(Z$2,$D22,$E22,TRUE))</f>
        <v/>
      </c>
      <c r="AA22">
        <f>IF(NOT(ISNUMBER($D22)),"",_xlfn.NORM.DIST(AA$1,$D22,$E22,TRUE)-_xlfn.NORM.DIST(AA$2,$D22,$E22,TRUE))</f>
        <v/>
      </c>
      <c r="AB22">
        <f>IF(NOT(ISNUMBER($D22)),"",_xlfn.NORM.DIST(AB$1,$D22,$E22,TRUE)-_xlfn.NORM.DIST(AB$2,$D22,$E22,TRUE))</f>
        <v/>
      </c>
      <c r="AC22">
        <f>IF(NOT(ISNUMBER($D22)),"",_xlfn.NORM.DIST(AC$1,$D22,$E22,TRUE)-_xlfn.NORM.DIST(AC$2,$D22,$E22,TRUE))</f>
        <v/>
      </c>
      <c r="AD22">
        <f>IF(NOT(ISNUMBER($D22)),"",_xlfn.NORM.DIST(AD$1,$D22,$E22,TRUE)-_xlfn.NORM.DIST(AD$2,$D22,$E22,TRUE))</f>
        <v/>
      </c>
      <c r="AE22">
        <f>IF(NOT(ISNUMBER($D22)),"",_xlfn.NORM.DIST(AE$1,$D22,$E22,TRUE)-_xlfn.NORM.DIST(AE$2,$D22,$E22,TRUE))</f>
        <v/>
      </c>
      <c r="AF22">
        <f>IF(NOT(ISNUMBER($D22)),"",_xlfn.NORM.DIST(AF$1,$D22,$E22,TRUE)-_xlfn.NORM.DIST(AF$2,$D22,$E22,TRUE))</f>
        <v/>
      </c>
      <c r="AG22">
        <f>IF(NOT(ISNUMBER($D22)),"",_xlfn.NORM.DIST(AG$1,$D22,$E22,TRUE)-_xlfn.NORM.DIST(AG$2,$D22,$E22,TRUE))</f>
        <v/>
      </c>
      <c r="AH22">
        <f>IF(NOT(ISNUMBER($D22)),"",_xlfn.NORM.DIST(AH$1,$D22,$E22,TRUE)-_xlfn.NORM.DIST(AH$2,$D22,$E22,TRUE))</f>
        <v/>
      </c>
      <c r="AI22">
        <f>IF(NOT(ISNUMBER($D22)),"",_xlfn.NORM.DIST(AI$1,$D22,$E22,TRUE)-_xlfn.NORM.DIST(AI$2,$D22,$E22,TRUE))</f>
        <v/>
      </c>
      <c r="AJ22">
        <f>IF(NOT(ISNUMBER($D22)),"",_xlfn.NORM.DIST(AJ$1,$D22,$E22,TRUE)-_xlfn.NORM.DIST(AJ$2,$D22,$E22,TRUE))</f>
        <v/>
      </c>
      <c r="AK22">
        <f>IF(NOT(ISNUMBER($D22)),"",_xlfn.NORM.DIST(AK$1,$D22,$E22,TRUE)-_xlfn.NORM.DIST(AK$2,$D22,$E22,TRUE))</f>
        <v/>
      </c>
      <c r="AL22">
        <f>IF(NOT(ISNUMBER($D22)),"",_xlfn.NORM.DIST(AL$1,$D22,$E22,TRUE)-_xlfn.NORM.DIST(AL$2,$D22,$E22,TRUE))</f>
        <v/>
      </c>
      <c r="AM22">
        <f>IF(NOT(ISNUMBER($D22)),"",_xlfn.NORM.DIST(AM$1,$D22,$E22,TRUE)-_xlfn.NORM.DIST(AM$2,$D22,$E22,TRUE))</f>
        <v/>
      </c>
      <c r="AN22">
        <f>IF(NOT(ISNUMBER($D22)),"",_xlfn.NORM.DIST(AN$1,$D22,$E22,TRUE)-_xlfn.NORM.DIST(AN$2,$D22,$E22,TRUE))</f>
        <v/>
      </c>
      <c r="AO22">
        <f>IF(NOT(ISNUMBER($D22)),"",_xlfn.NORM.DIST(AO$1,$D22,$E22,TRUE)-_xlfn.NORM.DIST(AO$2,$D22,$E22,TRUE))</f>
        <v/>
      </c>
      <c r="AP22">
        <f>IF(NOT(ISNUMBER($D22)),"",_xlfn.NORM.DIST(AP$1,$D22,$E22,TRUE)-_xlfn.NORM.DIST(AP$2,$D22,$E22,TRUE))</f>
        <v/>
      </c>
      <c r="AQ22">
        <f>IF(NOT(ISNUMBER($D22)),"",_xlfn.NORM.DIST(AQ$1,$D22,$E22,TRUE)-_xlfn.NORM.DIST(AQ$2,$D22,$E22,TRUE))</f>
        <v/>
      </c>
      <c r="AR22">
        <f>IF(NOT(ISNUMBER($D22)),"",_xlfn.NORM.DIST(AR$1,$D22,$E22,TRUE)-_xlfn.NORM.DIST(AR$2,$D22,$E22,TRUE))</f>
        <v/>
      </c>
      <c r="AS22">
        <f>IF(NOT(ISNUMBER($D22)),"",_xlfn.NORM.DIST(AS$1,$D22,$E22,TRUE)-_xlfn.NORM.DIST(AS$2,$D22,$E22,TRUE))</f>
        <v/>
      </c>
      <c r="AT22">
        <f>IF(NOT(ISNUMBER($D22)),"",_xlfn.NORM.DIST(AT$1,$D22,$E22,TRUE)-_xlfn.NORM.DIST(AT$2,$D22,$E22,TRUE))</f>
        <v/>
      </c>
      <c r="AU22">
        <f>IF(NOT(ISNUMBER($D22)),"",_xlfn.NORM.DIST(AU$1,$D22,$E22,TRUE)-_xlfn.NORM.DIST(AU$2,$D22,$E22,TRUE))</f>
        <v/>
      </c>
      <c r="AV22">
        <f>IF(NOT(ISNUMBER($D22)),"",_xlfn.NORM.DIST(AV$1,$D22,$E22,TRUE)-_xlfn.NORM.DIST(AV$2,$D22,$E22,TRUE))</f>
        <v/>
      </c>
      <c r="AW22">
        <f>IF(NOT(ISNUMBER($D22)),"",_xlfn.NORM.DIST(AW$1,$D22,$E22,TRUE)-_xlfn.NORM.DIST(AW$2,$D22,$E22,TRUE))</f>
        <v/>
      </c>
      <c r="AX22">
        <f>IF(NOT(ISNUMBER($D22)),"",_xlfn.NORM.DIST(AX$1,$D22,$E22,TRUE)-_xlfn.NORM.DIST(AX$2,$D22,$E22,TRUE))</f>
        <v/>
      </c>
      <c r="AY22">
        <f>IF(NOT(ISNUMBER($D22)),"",_xlfn.NORM.DIST(AY$1,$D22,$E22,TRUE)-_xlfn.NORM.DIST(AY$2,$D22,$E22,TRUE))</f>
        <v/>
      </c>
      <c r="AZ22">
        <f>IF(NOT(ISNUMBER($D22)),"",_xlfn.NORM.DIST(AZ$1,$D22,$E22,TRUE)-_xlfn.NORM.DIST(AZ$2,$D22,$E22,TRUE))</f>
        <v/>
      </c>
      <c r="BA22">
        <f>IF(NOT(ISNUMBER($D22)),"",_xlfn.NORM.DIST(BA$1,$D22,$E22,TRUE)-_xlfn.NORM.DIST(BA$2,$D22,$E22,TRUE))</f>
        <v/>
      </c>
      <c r="BB22">
        <f>IF(NOT(ISNUMBER($D22)),"",_xlfn.NORM.DIST(BB$1,$D22,$E22,TRUE)-_xlfn.NORM.DIST(BB$2,$D22,$E22,TRUE))</f>
        <v/>
      </c>
      <c r="BC22">
        <f>IF(NOT(ISNUMBER($D22)),"",_xlfn.NORM.DIST(BC$1,$D22,$E22,TRUE)-_xlfn.NORM.DIST(BC$2,$D22,$E22,TRUE))</f>
        <v/>
      </c>
      <c r="BD22">
        <f>IF(NOT(ISNUMBER($D22)),"",_xlfn.NORM.DIST(BD$1,$D22,$E22,TRUE)-_xlfn.NORM.DIST(BD$2,$D22,$E22,TRUE))</f>
        <v/>
      </c>
      <c r="BE22">
        <f>IF(NOT(ISNUMBER($D22)),"",_xlfn.NORM.DIST(BE$1,$D22,$E22,TRUE)-_xlfn.NORM.DIST(BE$2,$D22,$E22,TRUE))</f>
        <v/>
      </c>
      <c r="BF22">
        <f>IF(NOT(ISNUMBER($D22)),"",_xlfn.NORM.DIST(BF$1,$D22,$E22,TRUE)-_xlfn.NORM.DIST(BF$2,$D22,$E22,TRUE))</f>
        <v/>
      </c>
      <c r="BG22">
        <f>IF(NOT(ISNUMBER($D22)),"",_xlfn.NORM.DIST(BG$1,$D22,$E22,TRUE)-_xlfn.NORM.DIST(BG$2,$D22,$E22,TRUE))</f>
        <v/>
      </c>
      <c r="BH22">
        <f>IF(NOT(ISNUMBER($D22)),"",_xlfn.NORM.DIST(BH$1,$D22,$E22,TRUE)-_xlfn.NORM.DIST(BH$2,$D22,$E22,TRUE))</f>
        <v/>
      </c>
      <c r="BI22">
        <f>IF(NOT(ISNUMBER($D22)),"",_xlfn.NORM.DIST(BI$1,$D22,$E22,TRUE)-_xlfn.NORM.DIST(BI$2,$D22,$E22,TRUE))</f>
        <v/>
      </c>
      <c r="BJ22">
        <f>IF(NOT(ISNUMBER($D22)),"",_xlfn.NORM.DIST(BJ$1,$D22,$E22,TRUE)-_xlfn.NORM.DIST(BJ$2,$D22,$E22,TRUE))</f>
        <v/>
      </c>
      <c r="BK22">
        <f>IF(NOT(ISNUMBER($D22)),"",_xlfn.NORM.DIST(BK$1,$D22,$E22,TRUE)-_xlfn.NORM.DIST(BK$2,$D22,$E22,TRUE))</f>
        <v/>
      </c>
      <c r="BL22">
        <f>IF(NOT(ISNUMBER($D22)),"",_xlfn.NORM.DIST(BL$1,$D22,$E22,TRUE)-_xlfn.NORM.DIST(BL$2,$D22,$E22,TRUE))</f>
        <v/>
      </c>
      <c r="BM22">
        <f>IF(NOT(ISNUMBER($D22)),"",_xlfn.NORM.DIST(BM$1,$D22,$E22,TRUE)-_xlfn.NORM.DIST(BM$2,$D22,$E22,TRUE))</f>
        <v/>
      </c>
      <c r="BN22">
        <f>IF(NOT(ISNUMBER($D22)),"",_xlfn.NORM.DIST(BN$1,$D22,$E22,TRUE)-_xlfn.NORM.DIST(BN$2,$D22,$E22,TRUE))</f>
        <v/>
      </c>
      <c r="BO22">
        <f>IF(NOT(ISNUMBER($D22)),"",_xlfn.NORM.DIST(BO$1,$D22,$E22,TRUE)-_xlfn.NORM.DIST(BO$2,$D22,$E22,TRUE))</f>
        <v/>
      </c>
      <c r="BP22">
        <f>IF(NOT(ISNUMBER($D22)),"",_xlfn.NORM.DIST(BP$1,$D22,$E22,TRUE)-_xlfn.NORM.DIST(BP$2,$D22,$E22,TRUE))</f>
        <v/>
      </c>
      <c r="BQ22">
        <f>IF(NOT(ISNUMBER($D22)),"",_xlfn.NORM.DIST(BQ$1,$D22,$E22,TRUE)-_xlfn.NORM.DIST(BQ$2,$D22,$E22,TRUE))</f>
        <v/>
      </c>
      <c r="BR22">
        <f>IF(NOT(ISNUMBER($D22)),"",_xlfn.NORM.DIST(BR$1,$D22,$E22,TRUE)-_xlfn.NORM.DIST(BR$2,$D22,$E22,TRUE))</f>
        <v/>
      </c>
      <c r="BS22">
        <f>IF(NOT(ISNUMBER($D22)),"",_xlfn.NORM.DIST(BS$1,$D22,$E22,TRUE)-_xlfn.NORM.DIST(BS$2,$D22,$E22,TRUE))</f>
        <v/>
      </c>
      <c r="BT22">
        <f>IF(NOT(ISNUMBER($D22)),"",_xlfn.NORM.DIST(BT$1,$D22,$E22,TRUE)-_xlfn.NORM.DIST(BT$2,$D22,$E22,TRUE))</f>
        <v/>
      </c>
      <c r="BU22">
        <f>IF(NOT(ISNUMBER($D22)),"",_xlfn.NORM.DIST(BU$1,$D22,$E22,TRUE)-_xlfn.NORM.DIST(BU$2,$D22,$E22,TRUE))</f>
        <v/>
      </c>
      <c r="BV22">
        <f>IF(NOT(ISNUMBER($D22)),"",_xlfn.NORM.DIST(BV$1,$D22,$E22,TRUE)-_xlfn.NORM.DIST(BV$2,$D22,$E22,TRUE))</f>
        <v/>
      </c>
      <c r="BW22">
        <f>IF(NOT(ISNUMBER($D22)),"",_xlfn.NORM.DIST(BW$1,$D22,$E22,TRUE)-_xlfn.NORM.DIST(BW$2,$D22,$E22,TRUE))</f>
        <v/>
      </c>
      <c r="BX22">
        <f>IF(NOT(ISNUMBER($D22)),"",_xlfn.NORM.DIST(BX$1,$D22,$E22,TRUE)-_xlfn.NORM.DIST(BX$2,$D22,$E22,TRUE))</f>
        <v/>
      </c>
      <c r="BY22">
        <f>IF(NOT(ISNUMBER($D22)),"",_xlfn.NORM.DIST(BY$1,$D22,$E22,TRUE)-_xlfn.NORM.DIST(BY$2,$D22,$E22,TRUE))</f>
        <v/>
      </c>
      <c r="BZ22">
        <f>IF(NOT(ISNUMBER($D22)),"",_xlfn.NORM.DIST(BZ$1,$D22,$E22,TRUE)-_xlfn.NORM.DIST(BZ$2,$D22,$E22,TRUE))</f>
        <v/>
      </c>
      <c r="CA22">
        <f>IF(NOT(ISNUMBER($D22)),"",_xlfn.NORM.DIST(CA$1,$D22,$E22,TRUE)-_xlfn.NORM.DIST(CA$2,$D22,$E22,TRUE))</f>
        <v/>
      </c>
      <c r="CB22">
        <f>IF(NOT(ISNUMBER($D22)),"",_xlfn.NORM.DIST(CB$1,$D22,$E22,TRUE)-_xlfn.NORM.DIST(CB$2,$D22,$E22,TRUE))</f>
        <v/>
      </c>
      <c r="CC22">
        <f>IF(NOT(ISNUMBER($D22)),"",_xlfn.NORM.DIST(CC$1,$D22,$E22,TRUE)-_xlfn.NORM.DIST(CC$2,$D22,$E22,TRUE))</f>
        <v/>
      </c>
      <c r="CD22">
        <f>IF(NOT(ISNUMBER($D22)),"",_xlfn.NORM.DIST(CD$1,$D22,$E22,TRUE)-_xlfn.NORM.DIST(CD$2,$D22,$E22,TRUE))</f>
        <v/>
      </c>
      <c r="CE22">
        <f>IF(NOT(ISNUMBER($D22)),"",_xlfn.NORM.DIST(CE$1,$D22,$E22,TRUE)-_xlfn.NORM.DIST(CE$2,$D22,$E22,TRUE))</f>
        <v/>
      </c>
      <c r="CF22">
        <f>IF(NOT(ISNUMBER($D22)),"",_xlfn.NORM.DIST(CF$1,$D22,$E22,TRUE)-_xlfn.NORM.DIST(CF$2,$D22,$E22,TRUE))</f>
        <v/>
      </c>
      <c r="CG22">
        <f>IF(NOT(ISNUMBER($D22)),"",_xlfn.NORM.DIST(CG$1,$D22,$E22,TRUE)-_xlfn.NORM.DIST(CG$2,$D22,$E22,TRUE))</f>
        <v/>
      </c>
      <c r="CH22">
        <f>IF(NOT(ISNUMBER($D22)),"",_xlfn.NORM.DIST(CH$1,$D22,$E22,TRUE)-_xlfn.NORM.DIST(CH$2,$D22,$E22,TRUE))</f>
        <v/>
      </c>
      <c r="CI22">
        <f>IF(NOT(ISNUMBER($D22)),"",_xlfn.NORM.DIST(CI$1,$D22,$E22,TRUE)-_xlfn.NORM.DIST(CI$2,$D22,$E22,TRUE))</f>
        <v/>
      </c>
      <c r="CJ22">
        <f>IF(ISNUMBER($D22),SUM(F22:CI22),"")</f>
        <v/>
      </c>
    </row>
    <row r="23">
      <c r="A23">
        <f>economics!A22</f>
        <v/>
      </c>
      <c r="B23">
        <f>economics!B22</f>
        <v/>
      </c>
      <c r="C23">
        <f>economics!D22</f>
        <v/>
      </c>
      <c r="D23">
        <f>IF(ISNUMBER(economics!T22),economics!T22,"na")</f>
        <v/>
      </c>
      <c r="E23">
        <f>IF(ISNUMBER(D23),MAX(0.3*ABS(D23),0.000001),"na")</f>
        <v/>
      </c>
      <c r="F23">
        <f>IF(NOT(ISNUMBER($D23)),"",_xlfn.NORM.DIST(F$1,$D23,$E23,TRUE)-_xlfn.NORM.DIST(F$2,$D23,$E23,TRUE))</f>
        <v/>
      </c>
      <c r="G23">
        <f>IF(NOT(ISNUMBER($D23)),"",_xlfn.NORM.DIST(G$1,$D23,$E23,TRUE)-_xlfn.NORM.DIST(G$2,$D23,$E23,TRUE))</f>
        <v/>
      </c>
      <c r="H23">
        <f>IF(NOT(ISNUMBER($D23)),"",_xlfn.NORM.DIST(H$1,$D23,$E23,TRUE)-_xlfn.NORM.DIST(H$2,$D23,$E23,TRUE))</f>
        <v/>
      </c>
      <c r="I23">
        <f>IF(NOT(ISNUMBER($D23)),"",_xlfn.NORM.DIST(I$1,$D23,$E23,TRUE)-_xlfn.NORM.DIST(I$2,$D23,$E23,TRUE))</f>
        <v/>
      </c>
      <c r="J23">
        <f>IF(NOT(ISNUMBER($D23)),"",_xlfn.NORM.DIST(J$1,$D23,$E23,TRUE)-_xlfn.NORM.DIST(J$2,$D23,$E23,TRUE))</f>
        <v/>
      </c>
      <c r="K23">
        <f>IF(NOT(ISNUMBER($D23)),"",_xlfn.NORM.DIST(K$1,$D23,$E23,TRUE)-_xlfn.NORM.DIST(K$2,$D23,$E23,TRUE))</f>
        <v/>
      </c>
      <c r="L23">
        <f>IF(NOT(ISNUMBER($D23)),"",_xlfn.NORM.DIST(L$1,$D23,$E23,TRUE)-_xlfn.NORM.DIST(L$2,$D23,$E23,TRUE))</f>
        <v/>
      </c>
      <c r="M23">
        <f>IF(NOT(ISNUMBER($D23)),"",_xlfn.NORM.DIST(M$1,$D23,$E23,TRUE)-_xlfn.NORM.DIST(M$2,$D23,$E23,TRUE))</f>
        <v/>
      </c>
      <c r="N23">
        <f>IF(NOT(ISNUMBER($D23)),"",_xlfn.NORM.DIST(N$1,$D23,$E23,TRUE)-_xlfn.NORM.DIST(N$2,$D23,$E23,TRUE))</f>
        <v/>
      </c>
      <c r="O23">
        <f>IF(NOT(ISNUMBER($D23)),"",_xlfn.NORM.DIST(O$1,$D23,$E23,TRUE)-_xlfn.NORM.DIST(O$2,$D23,$E23,TRUE))</f>
        <v/>
      </c>
      <c r="P23">
        <f>IF(NOT(ISNUMBER($D23)),"",_xlfn.NORM.DIST(P$1,$D23,$E23,TRUE)-_xlfn.NORM.DIST(P$2,$D23,$E23,TRUE))</f>
        <v/>
      </c>
      <c r="Q23">
        <f>IF(NOT(ISNUMBER($D23)),"",_xlfn.NORM.DIST(Q$1,$D23,$E23,TRUE)-_xlfn.NORM.DIST(Q$2,$D23,$E23,TRUE))</f>
        <v/>
      </c>
      <c r="R23">
        <f>IF(NOT(ISNUMBER($D23)),"",_xlfn.NORM.DIST(R$1,$D23,$E23,TRUE)-_xlfn.NORM.DIST(R$2,$D23,$E23,TRUE))</f>
        <v/>
      </c>
      <c r="S23">
        <f>IF(NOT(ISNUMBER($D23)),"",_xlfn.NORM.DIST(S$1,$D23,$E23,TRUE)-_xlfn.NORM.DIST(S$2,$D23,$E23,TRUE))</f>
        <v/>
      </c>
      <c r="T23">
        <f>IF(NOT(ISNUMBER($D23)),"",_xlfn.NORM.DIST(T$1,$D23,$E23,TRUE)-_xlfn.NORM.DIST(T$2,$D23,$E23,TRUE))</f>
        <v/>
      </c>
      <c r="U23">
        <f>IF(NOT(ISNUMBER($D23)),"",_xlfn.NORM.DIST(U$1,$D23,$E23,TRUE)-_xlfn.NORM.DIST(U$2,$D23,$E23,TRUE))</f>
        <v/>
      </c>
      <c r="V23">
        <f>IF(NOT(ISNUMBER($D23)),"",_xlfn.NORM.DIST(V$1,$D23,$E23,TRUE)-_xlfn.NORM.DIST(V$2,$D23,$E23,TRUE))</f>
        <v/>
      </c>
      <c r="W23">
        <f>IF(NOT(ISNUMBER($D23)),"",_xlfn.NORM.DIST(W$1,$D23,$E23,TRUE)-_xlfn.NORM.DIST(W$2,$D23,$E23,TRUE))</f>
        <v/>
      </c>
      <c r="X23">
        <f>IF(NOT(ISNUMBER($D23)),"",_xlfn.NORM.DIST(X$1,$D23,$E23,TRUE)-_xlfn.NORM.DIST(X$2,$D23,$E23,TRUE))</f>
        <v/>
      </c>
      <c r="Y23">
        <f>IF(NOT(ISNUMBER($D23)),"",_xlfn.NORM.DIST(Y$1,$D23,$E23,TRUE)-_xlfn.NORM.DIST(Y$2,$D23,$E23,TRUE))</f>
        <v/>
      </c>
      <c r="Z23">
        <f>IF(NOT(ISNUMBER($D23)),"",_xlfn.NORM.DIST(Z$1,$D23,$E23,TRUE)-_xlfn.NORM.DIST(Z$2,$D23,$E23,TRUE))</f>
        <v/>
      </c>
      <c r="AA23">
        <f>IF(NOT(ISNUMBER($D23)),"",_xlfn.NORM.DIST(AA$1,$D23,$E23,TRUE)-_xlfn.NORM.DIST(AA$2,$D23,$E23,TRUE))</f>
        <v/>
      </c>
      <c r="AB23">
        <f>IF(NOT(ISNUMBER($D23)),"",_xlfn.NORM.DIST(AB$1,$D23,$E23,TRUE)-_xlfn.NORM.DIST(AB$2,$D23,$E23,TRUE))</f>
        <v/>
      </c>
      <c r="AC23">
        <f>IF(NOT(ISNUMBER($D23)),"",_xlfn.NORM.DIST(AC$1,$D23,$E23,TRUE)-_xlfn.NORM.DIST(AC$2,$D23,$E23,TRUE))</f>
        <v/>
      </c>
      <c r="AD23">
        <f>IF(NOT(ISNUMBER($D23)),"",_xlfn.NORM.DIST(AD$1,$D23,$E23,TRUE)-_xlfn.NORM.DIST(AD$2,$D23,$E23,TRUE))</f>
        <v/>
      </c>
      <c r="AE23">
        <f>IF(NOT(ISNUMBER($D23)),"",_xlfn.NORM.DIST(AE$1,$D23,$E23,TRUE)-_xlfn.NORM.DIST(AE$2,$D23,$E23,TRUE))</f>
        <v/>
      </c>
      <c r="AF23">
        <f>IF(NOT(ISNUMBER($D23)),"",_xlfn.NORM.DIST(AF$1,$D23,$E23,TRUE)-_xlfn.NORM.DIST(AF$2,$D23,$E23,TRUE))</f>
        <v/>
      </c>
      <c r="AG23">
        <f>IF(NOT(ISNUMBER($D23)),"",_xlfn.NORM.DIST(AG$1,$D23,$E23,TRUE)-_xlfn.NORM.DIST(AG$2,$D23,$E23,TRUE))</f>
        <v/>
      </c>
      <c r="AH23">
        <f>IF(NOT(ISNUMBER($D23)),"",_xlfn.NORM.DIST(AH$1,$D23,$E23,TRUE)-_xlfn.NORM.DIST(AH$2,$D23,$E23,TRUE))</f>
        <v/>
      </c>
      <c r="AI23">
        <f>IF(NOT(ISNUMBER($D23)),"",_xlfn.NORM.DIST(AI$1,$D23,$E23,TRUE)-_xlfn.NORM.DIST(AI$2,$D23,$E23,TRUE))</f>
        <v/>
      </c>
      <c r="AJ23">
        <f>IF(NOT(ISNUMBER($D23)),"",_xlfn.NORM.DIST(AJ$1,$D23,$E23,TRUE)-_xlfn.NORM.DIST(AJ$2,$D23,$E23,TRUE))</f>
        <v/>
      </c>
      <c r="AK23">
        <f>IF(NOT(ISNUMBER($D23)),"",_xlfn.NORM.DIST(AK$1,$D23,$E23,TRUE)-_xlfn.NORM.DIST(AK$2,$D23,$E23,TRUE))</f>
        <v/>
      </c>
      <c r="AL23">
        <f>IF(NOT(ISNUMBER($D23)),"",_xlfn.NORM.DIST(AL$1,$D23,$E23,TRUE)-_xlfn.NORM.DIST(AL$2,$D23,$E23,TRUE))</f>
        <v/>
      </c>
      <c r="AM23">
        <f>IF(NOT(ISNUMBER($D23)),"",_xlfn.NORM.DIST(AM$1,$D23,$E23,TRUE)-_xlfn.NORM.DIST(AM$2,$D23,$E23,TRUE))</f>
        <v/>
      </c>
      <c r="AN23">
        <f>IF(NOT(ISNUMBER($D23)),"",_xlfn.NORM.DIST(AN$1,$D23,$E23,TRUE)-_xlfn.NORM.DIST(AN$2,$D23,$E23,TRUE))</f>
        <v/>
      </c>
      <c r="AO23">
        <f>IF(NOT(ISNUMBER($D23)),"",_xlfn.NORM.DIST(AO$1,$D23,$E23,TRUE)-_xlfn.NORM.DIST(AO$2,$D23,$E23,TRUE))</f>
        <v/>
      </c>
      <c r="AP23">
        <f>IF(NOT(ISNUMBER($D23)),"",_xlfn.NORM.DIST(AP$1,$D23,$E23,TRUE)-_xlfn.NORM.DIST(AP$2,$D23,$E23,TRUE))</f>
        <v/>
      </c>
      <c r="AQ23">
        <f>IF(NOT(ISNUMBER($D23)),"",_xlfn.NORM.DIST(AQ$1,$D23,$E23,TRUE)-_xlfn.NORM.DIST(AQ$2,$D23,$E23,TRUE))</f>
        <v/>
      </c>
      <c r="AR23">
        <f>IF(NOT(ISNUMBER($D23)),"",_xlfn.NORM.DIST(AR$1,$D23,$E23,TRUE)-_xlfn.NORM.DIST(AR$2,$D23,$E23,TRUE))</f>
        <v/>
      </c>
      <c r="AS23">
        <f>IF(NOT(ISNUMBER($D23)),"",_xlfn.NORM.DIST(AS$1,$D23,$E23,TRUE)-_xlfn.NORM.DIST(AS$2,$D23,$E23,TRUE))</f>
        <v/>
      </c>
      <c r="AT23">
        <f>IF(NOT(ISNUMBER($D23)),"",_xlfn.NORM.DIST(AT$1,$D23,$E23,TRUE)-_xlfn.NORM.DIST(AT$2,$D23,$E23,TRUE))</f>
        <v/>
      </c>
      <c r="AU23">
        <f>IF(NOT(ISNUMBER($D23)),"",_xlfn.NORM.DIST(AU$1,$D23,$E23,TRUE)-_xlfn.NORM.DIST(AU$2,$D23,$E23,TRUE))</f>
        <v/>
      </c>
      <c r="AV23">
        <f>IF(NOT(ISNUMBER($D23)),"",_xlfn.NORM.DIST(AV$1,$D23,$E23,TRUE)-_xlfn.NORM.DIST(AV$2,$D23,$E23,TRUE))</f>
        <v/>
      </c>
      <c r="AW23">
        <f>IF(NOT(ISNUMBER($D23)),"",_xlfn.NORM.DIST(AW$1,$D23,$E23,TRUE)-_xlfn.NORM.DIST(AW$2,$D23,$E23,TRUE))</f>
        <v/>
      </c>
      <c r="AX23">
        <f>IF(NOT(ISNUMBER($D23)),"",_xlfn.NORM.DIST(AX$1,$D23,$E23,TRUE)-_xlfn.NORM.DIST(AX$2,$D23,$E23,TRUE))</f>
        <v/>
      </c>
      <c r="AY23">
        <f>IF(NOT(ISNUMBER($D23)),"",_xlfn.NORM.DIST(AY$1,$D23,$E23,TRUE)-_xlfn.NORM.DIST(AY$2,$D23,$E23,TRUE))</f>
        <v/>
      </c>
      <c r="AZ23">
        <f>IF(NOT(ISNUMBER($D23)),"",_xlfn.NORM.DIST(AZ$1,$D23,$E23,TRUE)-_xlfn.NORM.DIST(AZ$2,$D23,$E23,TRUE))</f>
        <v/>
      </c>
      <c r="BA23">
        <f>IF(NOT(ISNUMBER($D23)),"",_xlfn.NORM.DIST(BA$1,$D23,$E23,TRUE)-_xlfn.NORM.DIST(BA$2,$D23,$E23,TRUE))</f>
        <v/>
      </c>
      <c r="BB23">
        <f>IF(NOT(ISNUMBER($D23)),"",_xlfn.NORM.DIST(BB$1,$D23,$E23,TRUE)-_xlfn.NORM.DIST(BB$2,$D23,$E23,TRUE))</f>
        <v/>
      </c>
      <c r="BC23">
        <f>IF(NOT(ISNUMBER($D23)),"",_xlfn.NORM.DIST(BC$1,$D23,$E23,TRUE)-_xlfn.NORM.DIST(BC$2,$D23,$E23,TRUE))</f>
        <v/>
      </c>
      <c r="BD23">
        <f>IF(NOT(ISNUMBER($D23)),"",_xlfn.NORM.DIST(BD$1,$D23,$E23,TRUE)-_xlfn.NORM.DIST(BD$2,$D23,$E23,TRUE))</f>
        <v/>
      </c>
      <c r="BE23">
        <f>IF(NOT(ISNUMBER($D23)),"",_xlfn.NORM.DIST(BE$1,$D23,$E23,TRUE)-_xlfn.NORM.DIST(BE$2,$D23,$E23,TRUE))</f>
        <v/>
      </c>
      <c r="BF23">
        <f>IF(NOT(ISNUMBER($D23)),"",_xlfn.NORM.DIST(BF$1,$D23,$E23,TRUE)-_xlfn.NORM.DIST(BF$2,$D23,$E23,TRUE))</f>
        <v/>
      </c>
      <c r="BG23">
        <f>IF(NOT(ISNUMBER($D23)),"",_xlfn.NORM.DIST(BG$1,$D23,$E23,TRUE)-_xlfn.NORM.DIST(BG$2,$D23,$E23,TRUE))</f>
        <v/>
      </c>
      <c r="BH23">
        <f>IF(NOT(ISNUMBER($D23)),"",_xlfn.NORM.DIST(BH$1,$D23,$E23,TRUE)-_xlfn.NORM.DIST(BH$2,$D23,$E23,TRUE))</f>
        <v/>
      </c>
      <c r="BI23">
        <f>IF(NOT(ISNUMBER($D23)),"",_xlfn.NORM.DIST(BI$1,$D23,$E23,TRUE)-_xlfn.NORM.DIST(BI$2,$D23,$E23,TRUE))</f>
        <v/>
      </c>
      <c r="BJ23">
        <f>IF(NOT(ISNUMBER($D23)),"",_xlfn.NORM.DIST(BJ$1,$D23,$E23,TRUE)-_xlfn.NORM.DIST(BJ$2,$D23,$E23,TRUE))</f>
        <v/>
      </c>
      <c r="BK23">
        <f>IF(NOT(ISNUMBER($D23)),"",_xlfn.NORM.DIST(BK$1,$D23,$E23,TRUE)-_xlfn.NORM.DIST(BK$2,$D23,$E23,TRUE))</f>
        <v/>
      </c>
      <c r="BL23">
        <f>IF(NOT(ISNUMBER($D23)),"",_xlfn.NORM.DIST(BL$1,$D23,$E23,TRUE)-_xlfn.NORM.DIST(BL$2,$D23,$E23,TRUE))</f>
        <v/>
      </c>
      <c r="BM23">
        <f>IF(NOT(ISNUMBER($D23)),"",_xlfn.NORM.DIST(BM$1,$D23,$E23,TRUE)-_xlfn.NORM.DIST(BM$2,$D23,$E23,TRUE))</f>
        <v/>
      </c>
      <c r="BN23">
        <f>IF(NOT(ISNUMBER($D23)),"",_xlfn.NORM.DIST(BN$1,$D23,$E23,TRUE)-_xlfn.NORM.DIST(BN$2,$D23,$E23,TRUE))</f>
        <v/>
      </c>
      <c r="BO23">
        <f>IF(NOT(ISNUMBER($D23)),"",_xlfn.NORM.DIST(BO$1,$D23,$E23,TRUE)-_xlfn.NORM.DIST(BO$2,$D23,$E23,TRUE))</f>
        <v/>
      </c>
      <c r="BP23">
        <f>IF(NOT(ISNUMBER($D23)),"",_xlfn.NORM.DIST(BP$1,$D23,$E23,TRUE)-_xlfn.NORM.DIST(BP$2,$D23,$E23,TRUE))</f>
        <v/>
      </c>
      <c r="BQ23">
        <f>IF(NOT(ISNUMBER($D23)),"",_xlfn.NORM.DIST(BQ$1,$D23,$E23,TRUE)-_xlfn.NORM.DIST(BQ$2,$D23,$E23,TRUE))</f>
        <v/>
      </c>
      <c r="BR23">
        <f>IF(NOT(ISNUMBER($D23)),"",_xlfn.NORM.DIST(BR$1,$D23,$E23,TRUE)-_xlfn.NORM.DIST(BR$2,$D23,$E23,TRUE))</f>
        <v/>
      </c>
      <c r="BS23">
        <f>IF(NOT(ISNUMBER($D23)),"",_xlfn.NORM.DIST(BS$1,$D23,$E23,TRUE)-_xlfn.NORM.DIST(BS$2,$D23,$E23,TRUE))</f>
        <v/>
      </c>
      <c r="BT23">
        <f>IF(NOT(ISNUMBER($D23)),"",_xlfn.NORM.DIST(BT$1,$D23,$E23,TRUE)-_xlfn.NORM.DIST(BT$2,$D23,$E23,TRUE))</f>
        <v/>
      </c>
      <c r="BU23">
        <f>IF(NOT(ISNUMBER($D23)),"",_xlfn.NORM.DIST(BU$1,$D23,$E23,TRUE)-_xlfn.NORM.DIST(BU$2,$D23,$E23,TRUE))</f>
        <v/>
      </c>
      <c r="BV23">
        <f>IF(NOT(ISNUMBER($D23)),"",_xlfn.NORM.DIST(BV$1,$D23,$E23,TRUE)-_xlfn.NORM.DIST(BV$2,$D23,$E23,TRUE))</f>
        <v/>
      </c>
      <c r="BW23">
        <f>IF(NOT(ISNUMBER($D23)),"",_xlfn.NORM.DIST(BW$1,$D23,$E23,TRUE)-_xlfn.NORM.DIST(BW$2,$D23,$E23,TRUE))</f>
        <v/>
      </c>
      <c r="BX23">
        <f>IF(NOT(ISNUMBER($D23)),"",_xlfn.NORM.DIST(BX$1,$D23,$E23,TRUE)-_xlfn.NORM.DIST(BX$2,$D23,$E23,TRUE))</f>
        <v/>
      </c>
      <c r="BY23">
        <f>IF(NOT(ISNUMBER($D23)),"",_xlfn.NORM.DIST(BY$1,$D23,$E23,TRUE)-_xlfn.NORM.DIST(BY$2,$D23,$E23,TRUE))</f>
        <v/>
      </c>
      <c r="BZ23">
        <f>IF(NOT(ISNUMBER($D23)),"",_xlfn.NORM.DIST(BZ$1,$D23,$E23,TRUE)-_xlfn.NORM.DIST(BZ$2,$D23,$E23,TRUE))</f>
        <v/>
      </c>
      <c r="CA23">
        <f>IF(NOT(ISNUMBER($D23)),"",_xlfn.NORM.DIST(CA$1,$D23,$E23,TRUE)-_xlfn.NORM.DIST(CA$2,$D23,$E23,TRUE))</f>
        <v/>
      </c>
      <c r="CB23">
        <f>IF(NOT(ISNUMBER($D23)),"",_xlfn.NORM.DIST(CB$1,$D23,$E23,TRUE)-_xlfn.NORM.DIST(CB$2,$D23,$E23,TRUE))</f>
        <v/>
      </c>
      <c r="CC23">
        <f>IF(NOT(ISNUMBER($D23)),"",_xlfn.NORM.DIST(CC$1,$D23,$E23,TRUE)-_xlfn.NORM.DIST(CC$2,$D23,$E23,TRUE))</f>
        <v/>
      </c>
      <c r="CD23">
        <f>IF(NOT(ISNUMBER($D23)),"",_xlfn.NORM.DIST(CD$1,$D23,$E23,TRUE)-_xlfn.NORM.DIST(CD$2,$D23,$E23,TRUE))</f>
        <v/>
      </c>
      <c r="CE23">
        <f>IF(NOT(ISNUMBER($D23)),"",_xlfn.NORM.DIST(CE$1,$D23,$E23,TRUE)-_xlfn.NORM.DIST(CE$2,$D23,$E23,TRUE))</f>
        <v/>
      </c>
      <c r="CF23">
        <f>IF(NOT(ISNUMBER($D23)),"",_xlfn.NORM.DIST(CF$1,$D23,$E23,TRUE)-_xlfn.NORM.DIST(CF$2,$D23,$E23,TRUE))</f>
        <v/>
      </c>
      <c r="CG23">
        <f>IF(NOT(ISNUMBER($D23)),"",_xlfn.NORM.DIST(CG$1,$D23,$E23,TRUE)-_xlfn.NORM.DIST(CG$2,$D23,$E23,TRUE))</f>
        <v/>
      </c>
      <c r="CH23">
        <f>IF(NOT(ISNUMBER($D23)),"",_xlfn.NORM.DIST(CH$1,$D23,$E23,TRUE)-_xlfn.NORM.DIST(CH$2,$D23,$E23,TRUE))</f>
        <v/>
      </c>
      <c r="CI23">
        <f>IF(NOT(ISNUMBER($D23)),"",_xlfn.NORM.DIST(CI$1,$D23,$E23,TRUE)-_xlfn.NORM.DIST(CI$2,$D23,$E23,TRUE))</f>
        <v/>
      </c>
      <c r="CJ23">
        <f>IF(ISNUMBER($D23),SUM(F23:CI23),"")</f>
        <v/>
      </c>
    </row>
    <row r="24">
      <c r="A24">
        <f>economics!A23</f>
        <v/>
      </c>
      <c r="B24">
        <f>economics!B23</f>
        <v/>
      </c>
      <c r="C24">
        <f>economics!D23</f>
        <v/>
      </c>
      <c r="D24">
        <f>IF(ISNUMBER(economics!T23),economics!T23,"na")</f>
        <v/>
      </c>
      <c r="E24">
        <f>IF(ISNUMBER(D24),MAX(0.3*ABS(D24),0.000001),"na")</f>
        <v/>
      </c>
      <c r="F24">
        <f>IF(NOT(ISNUMBER($D24)),"",_xlfn.NORM.DIST(F$1,$D24,$E24,TRUE)-_xlfn.NORM.DIST(F$2,$D24,$E24,TRUE))</f>
        <v/>
      </c>
      <c r="G24">
        <f>IF(NOT(ISNUMBER($D24)),"",_xlfn.NORM.DIST(G$1,$D24,$E24,TRUE)-_xlfn.NORM.DIST(G$2,$D24,$E24,TRUE))</f>
        <v/>
      </c>
      <c r="H24">
        <f>IF(NOT(ISNUMBER($D24)),"",_xlfn.NORM.DIST(H$1,$D24,$E24,TRUE)-_xlfn.NORM.DIST(H$2,$D24,$E24,TRUE))</f>
        <v/>
      </c>
      <c r="I24">
        <f>IF(NOT(ISNUMBER($D24)),"",_xlfn.NORM.DIST(I$1,$D24,$E24,TRUE)-_xlfn.NORM.DIST(I$2,$D24,$E24,TRUE))</f>
        <v/>
      </c>
      <c r="J24">
        <f>IF(NOT(ISNUMBER($D24)),"",_xlfn.NORM.DIST(J$1,$D24,$E24,TRUE)-_xlfn.NORM.DIST(J$2,$D24,$E24,TRUE))</f>
        <v/>
      </c>
      <c r="K24">
        <f>IF(NOT(ISNUMBER($D24)),"",_xlfn.NORM.DIST(K$1,$D24,$E24,TRUE)-_xlfn.NORM.DIST(K$2,$D24,$E24,TRUE))</f>
        <v/>
      </c>
      <c r="L24">
        <f>IF(NOT(ISNUMBER($D24)),"",_xlfn.NORM.DIST(L$1,$D24,$E24,TRUE)-_xlfn.NORM.DIST(L$2,$D24,$E24,TRUE))</f>
        <v/>
      </c>
      <c r="M24">
        <f>IF(NOT(ISNUMBER($D24)),"",_xlfn.NORM.DIST(M$1,$D24,$E24,TRUE)-_xlfn.NORM.DIST(M$2,$D24,$E24,TRUE))</f>
        <v/>
      </c>
      <c r="N24">
        <f>IF(NOT(ISNUMBER($D24)),"",_xlfn.NORM.DIST(N$1,$D24,$E24,TRUE)-_xlfn.NORM.DIST(N$2,$D24,$E24,TRUE))</f>
        <v/>
      </c>
      <c r="O24">
        <f>IF(NOT(ISNUMBER($D24)),"",_xlfn.NORM.DIST(O$1,$D24,$E24,TRUE)-_xlfn.NORM.DIST(O$2,$D24,$E24,TRUE))</f>
        <v/>
      </c>
      <c r="P24">
        <f>IF(NOT(ISNUMBER($D24)),"",_xlfn.NORM.DIST(P$1,$D24,$E24,TRUE)-_xlfn.NORM.DIST(P$2,$D24,$E24,TRUE))</f>
        <v/>
      </c>
      <c r="Q24">
        <f>IF(NOT(ISNUMBER($D24)),"",_xlfn.NORM.DIST(Q$1,$D24,$E24,TRUE)-_xlfn.NORM.DIST(Q$2,$D24,$E24,TRUE))</f>
        <v/>
      </c>
      <c r="R24">
        <f>IF(NOT(ISNUMBER($D24)),"",_xlfn.NORM.DIST(R$1,$D24,$E24,TRUE)-_xlfn.NORM.DIST(R$2,$D24,$E24,TRUE))</f>
        <v/>
      </c>
      <c r="S24">
        <f>IF(NOT(ISNUMBER($D24)),"",_xlfn.NORM.DIST(S$1,$D24,$E24,TRUE)-_xlfn.NORM.DIST(S$2,$D24,$E24,TRUE))</f>
        <v/>
      </c>
      <c r="T24">
        <f>IF(NOT(ISNUMBER($D24)),"",_xlfn.NORM.DIST(T$1,$D24,$E24,TRUE)-_xlfn.NORM.DIST(T$2,$D24,$E24,TRUE))</f>
        <v/>
      </c>
      <c r="U24">
        <f>IF(NOT(ISNUMBER($D24)),"",_xlfn.NORM.DIST(U$1,$D24,$E24,TRUE)-_xlfn.NORM.DIST(U$2,$D24,$E24,TRUE))</f>
        <v/>
      </c>
      <c r="V24">
        <f>IF(NOT(ISNUMBER($D24)),"",_xlfn.NORM.DIST(V$1,$D24,$E24,TRUE)-_xlfn.NORM.DIST(V$2,$D24,$E24,TRUE))</f>
        <v/>
      </c>
      <c r="W24">
        <f>IF(NOT(ISNUMBER($D24)),"",_xlfn.NORM.DIST(W$1,$D24,$E24,TRUE)-_xlfn.NORM.DIST(W$2,$D24,$E24,TRUE))</f>
        <v/>
      </c>
      <c r="X24">
        <f>IF(NOT(ISNUMBER($D24)),"",_xlfn.NORM.DIST(X$1,$D24,$E24,TRUE)-_xlfn.NORM.DIST(X$2,$D24,$E24,TRUE))</f>
        <v/>
      </c>
      <c r="Y24">
        <f>IF(NOT(ISNUMBER($D24)),"",_xlfn.NORM.DIST(Y$1,$D24,$E24,TRUE)-_xlfn.NORM.DIST(Y$2,$D24,$E24,TRUE))</f>
        <v/>
      </c>
      <c r="Z24">
        <f>IF(NOT(ISNUMBER($D24)),"",_xlfn.NORM.DIST(Z$1,$D24,$E24,TRUE)-_xlfn.NORM.DIST(Z$2,$D24,$E24,TRUE))</f>
        <v/>
      </c>
      <c r="AA24">
        <f>IF(NOT(ISNUMBER($D24)),"",_xlfn.NORM.DIST(AA$1,$D24,$E24,TRUE)-_xlfn.NORM.DIST(AA$2,$D24,$E24,TRUE))</f>
        <v/>
      </c>
      <c r="AB24">
        <f>IF(NOT(ISNUMBER($D24)),"",_xlfn.NORM.DIST(AB$1,$D24,$E24,TRUE)-_xlfn.NORM.DIST(AB$2,$D24,$E24,TRUE))</f>
        <v/>
      </c>
      <c r="AC24">
        <f>IF(NOT(ISNUMBER($D24)),"",_xlfn.NORM.DIST(AC$1,$D24,$E24,TRUE)-_xlfn.NORM.DIST(AC$2,$D24,$E24,TRUE))</f>
        <v/>
      </c>
      <c r="AD24">
        <f>IF(NOT(ISNUMBER($D24)),"",_xlfn.NORM.DIST(AD$1,$D24,$E24,TRUE)-_xlfn.NORM.DIST(AD$2,$D24,$E24,TRUE))</f>
        <v/>
      </c>
      <c r="AE24">
        <f>IF(NOT(ISNUMBER($D24)),"",_xlfn.NORM.DIST(AE$1,$D24,$E24,TRUE)-_xlfn.NORM.DIST(AE$2,$D24,$E24,TRUE))</f>
        <v/>
      </c>
      <c r="AF24">
        <f>IF(NOT(ISNUMBER($D24)),"",_xlfn.NORM.DIST(AF$1,$D24,$E24,TRUE)-_xlfn.NORM.DIST(AF$2,$D24,$E24,TRUE))</f>
        <v/>
      </c>
      <c r="AG24">
        <f>IF(NOT(ISNUMBER($D24)),"",_xlfn.NORM.DIST(AG$1,$D24,$E24,TRUE)-_xlfn.NORM.DIST(AG$2,$D24,$E24,TRUE))</f>
        <v/>
      </c>
      <c r="AH24">
        <f>IF(NOT(ISNUMBER($D24)),"",_xlfn.NORM.DIST(AH$1,$D24,$E24,TRUE)-_xlfn.NORM.DIST(AH$2,$D24,$E24,TRUE))</f>
        <v/>
      </c>
      <c r="AI24">
        <f>IF(NOT(ISNUMBER($D24)),"",_xlfn.NORM.DIST(AI$1,$D24,$E24,TRUE)-_xlfn.NORM.DIST(AI$2,$D24,$E24,TRUE))</f>
        <v/>
      </c>
      <c r="AJ24">
        <f>IF(NOT(ISNUMBER($D24)),"",_xlfn.NORM.DIST(AJ$1,$D24,$E24,TRUE)-_xlfn.NORM.DIST(AJ$2,$D24,$E24,TRUE))</f>
        <v/>
      </c>
      <c r="AK24">
        <f>IF(NOT(ISNUMBER($D24)),"",_xlfn.NORM.DIST(AK$1,$D24,$E24,TRUE)-_xlfn.NORM.DIST(AK$2,$D24,$E24,TRUE))</f>
        <v/>
      </c>
      <c r="AL24">
        <f>IF(NOT(ISNUMBER($D24)),"",_xlfn.NORM.DIST(AL$1,$D24,$E24,TRUE)-_xlfn.NORM.DIST(AL$2,$D24,$E24,TRUE))</f>
        <v/>
      </c>
      <c r="AM24">
        <f>IF(NOT(ISNUMBER($D24)),"",_xlfn.NORM.DIST(AM$1,$D24,$E24,TRUE)-_xlfn.NORM.DIST(AM$2,$D24,$E24,TRUE))</f>
        <v/>
      </c>
      <c r="AN24">
        <f>IF(NOT(ISNUMBER($D24)),"",_xlfn.NORM.DIST(AN$1,$D24,$E24,TRUE)-_xlfn.NORM.DIST(AN$2,$D24,$E24,TRUE))</f>
        <v/>
      </c>
      <c r="AO24">
        <f>IF(NOT(ISNUMBER($D24)),"",_xlfn.NORM.DIST(AO$1,$D24,$E24,TRUE)-_xlfn.NORM.DIST(AO$2,$D24,$E24,TRUE))</f>
        <v/>
      </c>
      <c r="AP24">
        <f>IF(NOT(ISNUMBER($D24)),"",_xlfn.NORM.DIST(AP$1,$D24,$E24,TRUE)-_xlfn.NORM.DIST(AP$2,$D24,$E24,TRUE))</f>
        <v/>
      </c>
      <c r="AQ24">
        <f>IF(NOT(ISNUMBER($D24)),"",_xlfn.NORM.DIST(AQ$1,$D24,$E24,TRUE)-_xlfn.NORM.DIST(AQ$2,$D24,$E24,TRUE))</f>
        <v/>
      </c>
      <c r="AR24">
        <f>IF(NOT(ISNUMBER($D24)),"",_xlfn.NORM.DIST(AR$1,$D24,$E24,TRUE)-_xlfn.NORM.DIST(AR$2,$D24,$E24,TRUE))</f>
        <v/>
      </c>
      <c r="AS24">
        <f>IF(NOT(ISNUMBER($D24)),"",_xlfn.NORM.DIST(AS$1,$D24,$E24,TRUE)-_xlfn.NORM.DIST(AS$2,$D24,$E24,TRUE))</f>
        <v/>
      </c>
      <c r="AT24">
        <f>IF(NOT(ISNUMBER($D24)),"",_xlfn.NORM.DIST(AT$1,$D24,$E24,TRUE)-_xlfn.NORM.DIST(AT$2,$D24,$E24,TRUE))</f>
        <v/>
      </c>
      <c r="AU24">
        <f>IF(NOT(ISNUMBER($D24)),"",_xlfn.NORM.DIST(AU$1,$D24,$E24,TRUE)-_xlfn.NORM.DIST(AU$2,$D24,$E24,TRUE))</f>
        <v/>
      </c>
      <c r="AV24">
        <f>IF(NOT(ISNUMBER($D24)),"",_xlfn.NORM.DIST(AV$1,$D24,$E24,TRUE)-_xlfn.NORM.DIST(AV$2,$D24,$E24,TRUE))</f>
        <v/>
      </c>
      <c r="AW24">
        <f>IF(NOT(ISNUMBER($D24)),"",_xlfn.NORM.DIST(AW$1,$D24,$E24,TRUE)-_xlfn.NORM.DIST(AW$2,$D24,$E24,TRUE))</f>
        <v/>
      </c>
      <c r="AX24">
        <f>IF(NOT(ISNUMBER($D24)),"",_xlfn.NORM.DIST(AX$1,$D24,$E24,TRUE)-_xlfn.NORM.DIST(AX$2,$D24,$E24,TRUE))</f>
        <v/>
      </c>
      <c r="AY24">
        <f>IF(NOT(ISNUMBER($D24)),"",_xlfn.NORM.DIST(AY$1,$D24,$E24,TRUE)-_xlfn.NORM.DIST(AY$2,$D24,$E24,TRUE))</f>
        <v/>
      </c>
      <c r="AZ24">
        <f>IF(NOT(ISNUMBER($D24)),"",_xlfn.NORM.DIST(AZ$1,$D24,$E24,TRUE)-_xlfn.NORM.DIST(AZ$2,$D24,$E24,TRUE))</f>
        <v/>
      </c>
      <c r="BA24">
        <f>IF(NOT(ISNUMBER($D24)),"",_xlfn.NORM.DIST(BA$1,$D24,$E24,TRUE)-_xlfn.NORM.DIST(BA$2,$D24,$E24,TRUE))</f>
        <v/>
      </c>
      <c r="BB24">
        <f>IF(NOT(ISNUMBER($D24)),"",_xlfn.NORM.DIST(BB$1,$D24,$E24,TRUE)-_xlfn.NORM.DIST(BB$2,$D24,$E24,TRUE))</f>
        <v/>
      </c>
      <c r="BC24">
        <f>IF(NOT(ISNUMBER($D24)),"",_xlfn.NORM.DIST(BC$1,$D24,$E24,TRUE)-_xlfn.NORM.DIST(BC$2,$D24,$E24,TRUE))</f>
        <v/>
      </c>
      <c r="BD24">
        <f>IF(NOT(ISNUMBER($D24)),"",_xlfn.NORM.DIST(BD$1,$D24,$E24,TRUE)-_xlfn.NORM.DIST(BD$2,$D24,$E24,TRUE))</f>
        <v/>
      </c>
      <c r="BE24">
        <f>IF(NOT(ISNUMBER($D24)),"",_xlfn.NORM.DIST(BE$1,$D24,$E24,TRUE)-_xlfn.NORM.DIST(BE$2,$D24,$E24,TRUE))</f>
        <v/>
      </c>
      <c r="BF24">
        <f>IF(NOT(ISNUMBER($D24)),"",_xlfn.NORM.DIST(BF$1,$D24,$E24,TRUE)-_xlfn.NORM.DIST(BF$2,$D24,$E24,TRUE))</f>
        <v/>
      </c>
      <c r="BG24">
        <f>IF(NOT(ISNUMBER($D24)),"",_xlfn.NORM.DIST(BG$1,$D24,$E24,TRUE)-_xlfn.NORM.DIST(BG$2,$D24,$E24,TRUE))</f>
        <v/>
      </c>
      <c r="BH24">
        <f>IF(NOT(ISNUMBER($D24)),"",_xlfn.NORM.DIST(BH$1,$D24,$E24,TRUE)-_xlfn.NORM.DIST(BH$2,$D24,$E24,TRUE))</f>
        <v/>
      </c>
      <c r="BI24">
        <f>IF(NOT(ISNUMBER($D24)),"",_xlfn.NORM.DIST(BI$1,$D24,$E24,TRUE)-_xlfn.NORM.DIST(BI$2,$D24,$E24,TRUE))</f>
        <v/>
      </c>
      <c r="BJ24">
        <f>IF(NOT(ISNUMBER($D24)),"",_xlfn.NORM.DIST(BJ$1,$D24,$E24,TRUE)-_xlfn.NORM.DIST(BJ$2,$D24,$E24,TRUE))</f>
        <v/>
      </c>
      <c r="BK24">
        <f>IF(NOT(ISNUMBER($D24)),"",_xlfn.NORM.DIST(BK$1,$D24,$E24,TRUE)-_xlfn.NORM.DIST(BK$2,$D24,$E24,TRUE))</f>
        <v/>
      </c>
      <c r="BL24">
        <f>IF(NOT(ISNUMBER($D24)),"",_xlfn.NORM.DIST(BL$1,$D24,$E24,TRUE)-_xlfn.NORM.DIST(BL$2,$D24,$E24,TRUE))</f>
        <v/>
      </c>
      <c r="BM24">
        <f>IF(NOT(ISNUMBER($D24)),"",_xlfn.NORM.DIST(BM$1,$D24,$E24,TRUE)-_xlfn.NORM.DIST(BM$2,$D24,$E24,TRUE))</f>
        <v/>
      </c>
      <c r="BN24">
        <f>IF(NOT(ISNUMBER($D24)),"",_xlfn.NORM.DIST(BN$1,$D24,$E24,TRUE)-_xlfn.NORM.DIST(BN$2,$D24,$E24,TRUE))</f>
        <v/>
      </c>
      <c r="BO24">
        <f>IF(NOT(ISNUMBER($D24)),"",_xlfn.NORM.DIST(BO$1,$D24,$E24,TRUE)-_xlfn.NORM.DIST(BO$2,$D24,$E24,TRUE))</f>
        <v/>
      </c>
      <c r="BP24">
        <f>IF(NOT(ISNUMBER($D24)),"",_xlfn.NORM.DIST(BP$1,$D24,$E24,TRUE)-_xlfn.NORM.DIST(BP$2,$D24,$E24,TRUE))</f>
        <v/>
      </c>
      <c r="BQ24">
        <f>IF(NOT(ISNUMBER($D24)),"",_xlfn.NORM.DIST(BQ$1,$D24,$E24,TRUE)-_xlfn.NORM.DIST(BQ$2,$D24,$E24,TRUE))</f>
        <v/>
      </c>
      <c r="BR24">
        <f>IF(NOT(ISNUMBER($D24)),"",_xlfn.NORM.DIST(BR$1,$D24,$E24,TRUE)-_xlfn.NORM.DIST(BR$2,$D24,$E24,TRUE))</f>
        <v/>
      </c>
      <c r="BS24">
        <f>IF(NOT(ISNUMBER($D24)),"",_xlfn.NORM.DIST(BS$1,$D24,$E24,TRUE)-_xlfn.NORM.DIST(BS$2,$D24,$E24,TRUE))</f>
        <v/>
      </c>
      <c r="BT24">
        <f>IF(NOT(ISNUMBER($D24)),"",_xlfn.NORM.DIST(BT$1,$D24,$E24,TRUE)-_xlfn.NORM.DIST(BT$2,$D24,$E24,TRUE))</f>
        <v/>
      </c>
      <c r="BU24">
        <f>IF(NOT(ISNUMBER($D24)),"",_xlfn.NORM.DIST(BU$1,$D24,$E24,TRUE)-_xlfn.NORM.DIST(BU$2,$D24,$E24,TRUE))</f>
        <v/>
      </c>
      <c r="BV24">
        <f>IF(NOT(ISNUMBER($D24)),"",_xlfn.NORM.DIST(BV$1,$D24,$E24,TRUE)-_xlfn.NORM.DIST(BV$2,$D24,$E24,TRUE))</f>
        <v/>
      </c>
      <c r="BW24">
        <f>IF(NOT(ISNUMBER($D24)),"",_xlfn.NORM.DIST(BW$1,$D24,$E24,TRUE)-_xlfn.NORM.DIST(BW$2,$D24,$E24,TRUE))</f>
        <v/>
      </c>
      <c r="BX24">
        <f>IF(NOT(ISNUMBER($D24)),"",_xlfn.NORM.DIST(BX$1,$D24,$E24,TRUE)-_xlfn.NORM.DIST(BX$2,$D24,$E24,TRUE))</f>
        <v/>
      </c>
      <c r="BY24">
        <f>IF(NOT(ISNUMBER($D24)),"",_xlfn.NORM.DIST(BY$1,$D24,$E24,TRUE)-_xlfn.NORM.DIST(BY$2,$D24,$E24,TRUE))</f>
        <v/>
      </c>
      <c r="BZ24">
        <f>IF(NOT(ISNUMBER($D24)),"",_xlfn.NORM.DIST(BZ$1,$D24,$E24,TRUE)-_xlfn.NORM.DIST(BZ$2,$D24,$E24,TRUE))</f>
        <v/>
      </c>
      <c r="CA24">
        <f>IF(NOT(ISNUMBER($D24)),"",_xlfn.NORM.DIST(CA$1,$D24,$E24,TRUE)-_xlfn.NORM.DIST(CA$2,$D24,$E24,TRUE))</f>
        <v/>
      </c>
      <c r="CB24">
        <f>IF(NOT(ISNUMBER($D24)),"",_xlfn.NORM.DIST(CB$1,$D24,$E24,TRUE)-_xlfn.NORM.DIST(CB$2,$D24,$E24,TRUE))</f>
        <v/>
      </c>
      <c r="CC24">
        <f>IF(NOT(ISNUMBER($D24)),"",_xlfn.NORM.DIST(CC$1,$D24,$E24,TRUE)-_xlfn.NORM.DIST(CC$2,$D24,$E24,TRUE))</f>
        <v/>
      </c>
      <c r="CD24">
        <f>IF(NOT(ISNUMBER($D24)),"",_xlfn.NORM.DIST(CD$1,$D24,$E24,TRUE)-_xlfn.NORM.DIST(CD$2,$D24,$E24,TRUE))</f>
        <v/>
      </c>
      <c r="CE24">
        <f>IF(NOT(ISNUMBER($D24)),"",_xlfn.NORM.DIST(CE$1,$D24,$E24,TRUE)-_xlfn.NORM.DIST(CE$2,$D24,$E24,TRUE))</f>
        <v/>
      </c>
      <c r="CF24">
        <f>IF(NOT(ISNUMBER($D24)),"",_xlfn.NORM.DIST(CF$1,$D24,$E24,TRUE)-_xlfn.NORM.DIST(CF$2,$D24,$E24,TRUE))</f>
        <v/>
      </c>
      <c r="CG24">
        <f>IF(NOT(ISNUMBER($D24)),"",_xlfn.NORM.DIST(CG$1,$D24,$E24,TRUE)-_xlfn.NORM.DIST(CG$2,$D24,$E24,TRUE))</f>
        <v/>
      </c>
      <c r="CH24">
        <f>IF(NOT(ISNUMBER($D24)),"",_xlfn.NORM.DIST(CH$1,$D24,$E24,TRUE)-_xlfn.NORM.DIST(CH$2,$D24,$E24,TRUE))</f>
        <v/>
      </c>
      <c r="CI24">
        <f>IF(NOT(ISNUMBER($D24)),"",_xlfn.NORM.DIST(CI$1,$D24,$E24,TRUE)-_xlfn.NORM.DIST(CI$2,$D24,$E24,TRUE))</f>
        <v/>
      </c>
      <c r="CJ24">
        <f>IF(ISNUMBER($D24),SUM(F24:CI24),"")</f>
        <v/>
      </c>
    </row>
    <row r="25">
      <c r="A25">
        <f>economics!A24</f>
        <v/>
      </c>
      <c r="B25">
        <f>economics!B24</f>
        <v/>
      </c>
      <c r="C25">
        <f>economics!D24</f>
        <v/>
      </c>
      <c r="D25">
        <f>IF(ISNUMBER(economics!T24),economics!T24,"na")</f>
        <v/>
      </c>
      <c r="E25">
        <f>IF(ISNUMBER(D25),MAX(0.3*ABS(D25),0.000001),"na")</f>
        <v/>
      </c>
      <c r="F25">
        <f>IF(NOT(ISNUMBER($D25)),"",_xlfn.NORM.DIST(F$1,$D25,$E25,TRUE)-_xlfn.NORM.DIST(F$2,$D25,$E25,TRUE))</f>
        <v/>
      </c>
      <c r="G25">
        <f>IF(NOT(ISNUMBER($D25)),"",_xlfn.NORM.DIST(G$1,$D25,$E25,TRUE)-_xlfn.NORM.DIST(G$2,$D25,$E25,TRUE))</f>
        <v/>
      </c>
      <c r="H25">
        <f>IF(NOT(ISNUMBER($D25)),"",_xlfn.NORM.DIST(H$1,$D25,$E25,TRUE)-_xlfn.NORM.DIST(H$2,$D25,$E25,TRUE))</f>
        <v/>
      </c>
      <c r="I25">
        <f>IF(NOT(ISNUMBER($D25)),"",_xlfn.NORM.DIST(I$1,$D25,$E25,TRUE)-_xlfn.NORM.DIST(I$2,$D25,$E25,TRUE))</f>
        <v/>
      </c>
      <c r="J25">
        <f>IF(NOT(ISNUMBER($D25)),"",_xlfn.NORM.DIST(J$1,$D25,$E25,TRUE)-_xlfn.NORM.DIST(J$2,$D25,$E25,TRUE))</f>
        <v/>
      </c>
      <c r="K25">
        <f>IF(NOT(ISNUMBER($D25)),"",_xlfn.NORM.DIST(K$1,$D25,$E25,TRUE)-_xlfn.NORM.DIST(K$2,$D25,$E25,TRUE))</f>
        <v/>
      </c>
      <c r="L25">
        <f>IF(NOT(ISNUMBER($D25)),"",_xlfn.NORM.DIST(L$1,$D25,$E25,TRUE)-_xlfn.NORM.DIST(L$2,$D25,$E25,TRUE))</f>
        <v/>
      </c>
      <c r="M25">
        <f>IF(NOT(ISNUMBER($D25)),"",_xlfn.NORM.DIST(M$1,$D25,$E25,TRUE)-_xlfn.NORM.DIST(M$2,$D25,$E25,TRUE))</f>
        <v/>
      </c>
      <c r="N25">
        <f>IF(NOT(ISNUMBER($D25)),"",_xlfn.NORM.DIST(N$1,$D25,$E25,TRUE)-_xlfn.NORM.DIST(N$2,$D25,$E25,TRUE))</f>
        <v/>
      </c>
      <c r="O25">
        <f>IF(NOT(ISNUMBER($D25)),"",_xlfn.NORM.DIST(O$1,$D25,$E25,TRUE)-_xlfn.NORM.DIST(O$2,$D25,$E25,TRUE))</f>
        <v/>
      </c>
      <c r="P25">
        <f>IF(NOT(ISNUMBER($D25)),"",_xlfn.NORM.DIST(P$1,$D25,$E25,TRUE)-_xlfn.NORM.DIST(P$2,$D25,$E25,TRUE))</f>
        <v/>
      </c>
      <c r="Q25">
        <f>IF(NOT(ISNUMBER($D25)),"",_xlfn.NORM.DIST(Q$1,$D25,$E25,TRUE)-_xlfn.NORM.DIST(Q$2,$D25,$E25,TRUE))</f>
        <v/>
      </c>
      <c r="R25">
        <f>IF(NOT(ISNUMBER($D25)),"",_xlfn.NORM.DIST(R$1,$D25,$E25,TRUE)-_xlfn.NORM.DIST(R$2,$D25,$E25,TRUE))</f>
        <v/>
      </c>
      <c r="S25">
        <f>IF(NOT(ISNUMBER($D25)),"",_xlfn.NORM.DIST(S$1,$D25,$E25,TRUE)-_xlfn.NORM.DIST(S$2,$D25,$E25,TRUE))</f>
        <v/>
      </c>
      <c r="T25">
        <f>IF(NOT(ISNUMBER($D25)),"",_xlfn.NORM.DIST(T$1,$D25,$E25,TRUE)-_xlfn.NORM.DIST(T$2,$D25,$E25,TRUE))</f>
        <v/>
      </c>
      <c r="U25">
        <f>IF(NOT(ISNUMBER($D25)),"",_xlfn.NORM.DIST(U$1,$D25,$E25,TRUE)-_xlfn.NORM.DIST(U$2,$D25,$E25,TRUE))</f>
        <v/>
      </c>
      <c r="V25">
        <f>IF(NOT(ISNUMBER($D25)),"",_xlfn.NORM.DIST(V$1,$D25,$E25,TRUE)-_xlfn.NORM.DIST(V$2,$D25,$E25,TRUE))</f>
        <v/>
      </c>
      <c r="W25">
        <f>IF(NOT(ISNUMBER($D25)),"",_xlfn.NORM.DIST(W$1,$D25,$E25,TRUE)-_xlfn.NORM.DIST(W$2,$D25,$E25,TRUE))</f>
        <v/>
      </c>
      <c r="X25">
        <f>IF(NOT(ISNUMBER($D25)),"",_xlfn.NORM.DIST(X$1,$D25,$E25,TRUE)-_xlfn.NORM.DIST(X$2,$D25,$E25,TRUE))</f>
        <v/>
      </c>
      <c r="Y25">
        <f>IF(NOT(ISNUMBER($D25)),"",_xlfn.NORM.DIST(Y$1,$D25,$E25,TRUE)-_xlfn.NORM.DIST(Y$2,$D25,$E25,TRUE))</f>
        <v/>
      </c>
      <c r="Z25">
        <f>IF(NOT(ISNUMBER($D25)),"",_xlfn.NORM.DIST(Z$1,$D25,$E25,TRUE)-_xlfn.NORM.DIST(Z$2,$D25,$E25,TRUE))</f>
        <v/>
      </c>
      <c r="AA25">
        <f>IF(NOT(ISNUMBER($D25)),"",_xlfn.NORM.DIST(AA$1,$D25,$E25,TRUE)-_xlfn.NORM.DIST(AA$2,$D25,$E25,TRUE))</f>
        <v/>
      </c>
      <c r="AB25">
        <f>IF(NOT(ISNUMBER($D25)),"",_xlfn.NORM.DIST(AB$1,$D25,$E25,TRUE)-_xlfn.NORM.DIST(AB$2,$D25,$E25,TRUE))</f>
        <v/>
      </c>
      <c r="AC25">
        <f>IF(NOT(ISNUMBER($D25)),"",_xlfn.NORM.DIST(AC$1,$D25,$E25,TRUE)-_xlfn.NORM.DIST(AC$2,$D25,$E25,TRUE))</f>
        <v/>
      </c>
      <c r="AD25">
        <f>IF(NOT(ISNUMBER($D25)),"",_xlfn.NORM.DIST(AD$1,$D25,$E25,TRUE)-_xlfn.NORM.DIST(AD$2,$D25,$E25,TRUE))</f>
        <v/>
      </c>
      <c r="AE25">
        <f>IF(NOT(ISNUMBER($D25)),"",_xlfn.NORM.DIST(AE$1,$D25,$E25,TRUE)-_xlfn.NORM.DIST(AE$2,$D25,$E25,TRUE))</f>
        <v/>
      </c>
      <c r="AF25">
        <f>IF(NOT(ISNUMBER($D25)),"",_xlfn.NORM.DIST(AF$1,$D25,$E25,TRUE)-_xlfn.NORM.DIST(AF$2,$D25,$E25,TRUE))</f>
        <v/>
      </c>
      <c r="AG25">
        <f>IF(NOT(ISNUMBER($D25)),"",_xlfn.NORM.DIST(AG$1,$D25,$E25,TRUE)-_xlfn.NORM.DIST(AG$2,$D25,$E25,TRUE))</f>
        <v/>
      </c>
      <c r="AH25">
        <f>IF(NOT(ISNUMBER($D25)),"",_xlfn.NORM.DIST(AH$1,$D25,$E25,TRUE)-_xlfn.NORM.DIST(AH$2,$D25,$E25,TRUE))</f>
        <v/>
      </c>
      <c r="AI25">
        <f>IF(NOT(ISNUMBER($D25)),"",_xlfn.NORM.DIST(AI$1,$D25,$E25,TRUE)-_xlfn.NORM.DIST(AI$2,$D25,$E25,TRUE))</f>
        <v/>
      </c>
      <c r="AJ25">
        <f>IF(NOT(ISNUMBER($D25)),"",_xlfn.NORM.DIST(AJ$1,$D25,$E25,TRUE)-_xlfn.NORM.DIST(AJ$2,$D25,$E25,TRUE))</f>
        <v/>
      </c>
      <c r="AK25">
        <f>IF(NOT(ISNUMBER($D25)),"",_xlfn.NORM.DIST(AK$1,$D25,$E25,TRUE)-_xlfn.NORM.DIST(AK$2,$D25,$E25,TRUE))</f>
        <v/>
      </c>
      <c r="AL25">
        <f>IF(NOT(ISNUMBER($D25)),"",_xlfn.NORM.DIST(AL$1,$D25,$E25,TRUE)-_xlfn.NORM.DIST(AL$2,$D25,$E25,TRUE))</f>
        <v/>
      </c>
      <c r="AM25">
        <f>IF(NOT(ISNUMBER($D25)),"",_xlfn.NORM.DIST(AM$1,$D25,$E25,TRUE)-_xlfn.NORM.DIST(AM$2,$D25,$E25,TRUE))</f>
        <v/>
      </c>
      <c r="AN25">
        <f>IF(NOT(ISNUMBER($D25)),"",_xlfn.NORM.DIST(AN$1,$D25,$E25,TRUE)-_xlfn.NORM.DIST(AN$2,$D25,$E25,TRUE))</f>
        <v/>
      </c>
      <c r="AO25">
        <f>IF(NOT(ISNUMBER($D25)),"",_xlfn.NORM.DIST(AO$1,$D25,$E25,TRUE)-_xlfn.NORM.DIST(AO$2,$D25,$E25,TRUE))</f>
        <v/>
      </c>
      <c r="AP25">
        <f>IF(NOT(ISNUMBER($D25)),"",_xlfn.NORM.DIST(AP$1,$D25,$E25,TRUE)-_xlfn.NORM.DIST(AP$2,$D25,$E25,TRUE))</f>
        <v/>
      </c>
      <c r="AQ25">
        <f>IF(NOT(ISNUMBER($D25)),"",_xlfn.NORM.DIST(AQ$1,$D25,$E25,TRUE)-_xlfn.NORM.DIST(AQ$2,$D25,$E25,TRUE))</f>
        <v/>
      </c>
      <c r="AR25">
        <f>IF(NOT(ISNUMBER($D25)),"",_xlfn.NORM.DIST(AR$1,$D25,$E25,TRUE)-_xlfn.NORM.DIST(AR$2,$D25,$E25,TRUE))</f>
        <v/>
      </c>
      <c r="AS25">
        <f>IF(NOT(ISNUMBER($D25)),"",_xlfn.NORM.DIST(AS$1,$D25,$E25,TRUE)-_xlfn.NORM.DIST(AS$2,$D25,$E25,TRUE))</f>
        <v/>
      </c>
      <c r="AT25">
        <f>IF(NOT(ISNUMBER($D25)),"",_xlfn.NORM.DIST(AT$1,$D25,$E25,TRUE)-_xlfn.NORM.DIST(AT$2,$D25,$E25,TRUE))</f>
        <v/>
      </c>
      <c r="AU25">
        <f>IF(NOT(ISNUMBER($D25)),"",_xlfn.NORM.DIST(AU$1,$D25,$E25,TRUE)-_xlfn.NORM.DIST(AU$2,$D25,$E25,TRUE))</f>
        <v/>
      </c>
      <c r="AV25">
        <f>IF(NOT(ISNUMBER($D25)),"",_xlfn.NORM.DIST(AV$1,$D25,$E25,TRUE)-_xlfn.NORM.DIST(AV$2,$D25,$E25,TRUE))</f>
        <v/>
      </c>
      <c r="AW25">
        <f>IF(NOT(ISNUMBER($D25)),"",_xlfn.NORM.DIST(AW$1,$D25,$E25,TRUE)-_xlfn.NORM.DIST(AW$2,$D25,$E25,TRUE))</f>
        <v/>
      </c>
      <c r="AX25">
        <f>IF(NOT(ISNUMBER($D25)),"",_xlfn.NORM.DIST(AX$1,$D25,$E25,TRUE)-_xlfn.NORM.DIST(AX$2,$D25,$E25,TRUE))</f>
        <v/>
      </c>
      <c r="AY25">
        <f>IF(NOT(ISNUMBER($D25)),"",_xlfn.NORM.DIST(AY$1,$D25,$E25,TRUE)-_xlfn.NORM.DIST(AY$2,$D25,$E25,TRUE))</f>
        <v/>
      </c>
      <c r="AZ25">
        <f>IF(NOT(ISNUMBER($D25)),"",_xlfn.NORM.DIST(AZ$1,$D25,$E25,TRUE)-_xlfn.NORM.DIST(AZ$2,$D25,$E25,TRUE))</f>
        <v/>
      </c>
      <c r="BA25">
        <f>IF(NOT(ISNUMBER($D25)),"",_xlfn.NORM.DIST(BA$1,$D25,$E25,TRUE)-_xlfn.NORM.DIST(BA$2,$D25,$E25,TRUE))</f>
        <v/>
      </c>
      <c r="BB25">
        <f>IF(NOT(ISNUMBER($D25)),"",_xlfn.NORM.DIST(BB$1,$D25,$E25,TRUE)-_xlfn.NORM.DIST(BB$2,$D25,$E25,TRUE))</f>
        <v/>
      </c>
      <c r="BC25">
        <f>IF(NOT(ISNUMBER($D25)),"",_xlfn.NORM.DIST(BC$1,$D25,$E25,TRUE)-_xlfn.NORM.DIST(BC$2,$D25,$E25,TRUE))</f>
        <v/>
      </c>
      <c r="BD25">
        <f>IF(NOT(ISNUMBER($D25)),"",_xlfn.NORM.DIST(BD$1,$D25,$E25,TRUE)-_xlfn.NORM.DIST(BD$2,$D25,$E25,TRUE))</f>
        <v/>
      </c>
      <c r="BE25">
        <f>IF(NOT(ISNUMBER($D25)),"",_xlfn.NORM.DIST(BE$1,$D25,$E25,TRUE)-_xlfn.NORM.DIST(BE$2,$D25,$E25,TRUE))</f>
        <v/>
      </c>
      <c r="BF25">
        <f>IF(NOT(ISNUMBER($D25)),"",_xlfn.NORM.DIST(BF$1,$D25,$E25,TRUE)-_xlfn.NORM.DIST(BF$2,$D25,$E25,TRUE))</f>
        <v/>
      </c>
      <c r="BG25">
        <f>IF(NOT(ISNUMBER($D25)),"",_xlfn.NORM.DIST(BG$1,$D25,$E25,TRUE)-_xlfn.NORM.DIST(BG$2,$D25,$E25,TRUE))</f>
        <v/>
      </c>
      <c r="BH25">
        <f>IF(NOT(ISNUMBER($D25)),"",_xlfn.NORM.DIST(BH$1,$D25,$E25,TRUE)-_xlfn.NORM.DIST(BH$2,$D25,$E25,TRUE))</f>
        <v/>
      </c>
      <c r="BI25">
        <f>IF(NOT(ISNUMBER($D25)),"",_xlfn.NORM.DIST(BI$1,$D25,$E25,TRUE)-_xlfn.NORM.DIST(BI$2,$D25,$E25,TRUE))</f>
        <v/>
      </c>
      <c r="BJ25">
        <f>IF(NOT(ISNUMBER($D25)),"",_xlfn.NORM.DIST(BJ$1,$D25,$E25,TRUE)-_xlfn.NORM.DIST(BJ$2,$D25,$E25,TRUE))</f>
        <v/>
      </c>
      <c r="BK25">
        <f>IF(NOT(ISNUMBER($D25)),"",_xlfn.NORM.DIST(BK$1,$D25,$E25,TRUE)-_xlfn.NORM.DIST(BK$2,$D25,$E25,TRUE))</f>
        <v/>
      </c>
      <c r="BL25">
        <f>IF(NOT(ISNUMBER($D25)),"",_xlfn.NORM.DIST(BL$1,$D25,$E25,TRUE)-_xlfn.NORM.DIST(BL$2,$D25,$E25,TRUE))</f>
        <v/>
      </c>
      <c r="BM25">
        <f>IF(NOT(ISNUMBER($D25)),"",_xlfn.NORM.DIST(BM$1,$D25,$E25,TRUE)-_xlfn.NORM.DIST(BM$2,$D25,$E25,TRUE))</f>
        <v/>
      </c>
      <c r="BN25">
        <f>IF(NOT(ISNUMBER($D25)),"",_xlfn.NORM.DIST(BN$1,$D25,$E25,TRUE)-_xlfn.NORM.DIST(BN$2,$D25,$E25,TRUE))</f>
        <v/>
      </c>
      <c r="BO25">
        <f>IF(NOT(ISNUMBER($D25)),"",_xlfn.NORM.DIST(BO$1,$D25,$E25,TRUE)-_xlfn.NORM.DIST(BO$2,$D25,$E25,TRUE))</f>
        <v/>
      </c>
      <c r="BP25">
        <f>IF(NOT(ISNUMBER($D25)),"",_xlfn.NORM.DIST(BP$1,$D25,$E25,TRUE)-_xlfn.NORM.DIST(BP$2,$D25,$E25,TRUE))</f>
        <v/>
      </c>
      <c r="BQ25">
        <f>IF(NOT(ISNUMBER($D25)),"",_xlfn.NORM.DIST(BQ$1,$D25,$E25,TRUE)-_xlfn.NORM.DIST(BQ$2,$D25,$E25,TRUE))</f>
        <v/>
      </c>
      <c r="BR25">
        <f>IF(NOT(ISNUMBER($D25)),"",_xlfn.NORM.DIST(BR$1,$D25,$E25,TRUE)-_xlfn.NORM.DIST(BR$2,$D25,$E25,TRUE))</f>
        <v/>
      </c>
      <c r="BS25">
        <f>IF(NOT(ISNUMBER($D25)),"",_xlfn.NORM.DIST(BS$1,$D25,$E25,TRUE)-_xlfn.NORM.DIST(BS$2,$D25,$E25,TRUE))</f>
        <v/>
      </c>
      <c r="BT25">
        <f>IF(NOT(ISNUMBER($D25)),"",_xlfn.NORM.DIST(BT$1,$D25,$E25,TRUE)-_xlfn.NORM.DIST(BT$2,$D25,$E25,TRUE))</f>
        <v/>
      </c>
      <c r="BU25">
        <f>IF(NOT(ISNUMBER($D25)),"",_xlfn.NORM.DIST(BU$1,$D25,$E25,TRUE)-_xlfn.NORM.DIST(BU$2,$D25,$E25,TRUE))</f>
        <v/>
      </c>
      <c r="BV25">
        <f>IF(NOT(ISNUMBER($D25)),"",_xlfn.NORM.DIST(BV$1,$D25,$E25,TRUE)-_xlfn.NORM.DIST(BV$2,$D25,$E25,TRUE))</f>
        <v/>
      </c>
      <c r="BW25">
        <f>IF(NOT(ISNUMBER($D25)),"",_xlfn.NORM.DIST(BW$1,$D25,$E25,TRUE)-_xlfn.NORM.DIST(BW$2,$D25,$E25,TRUE))</f>
        <v/>
      </c>
      <c r="BX25">
        <f>IF(NOT(ISNUMBER($D25)),"",_xlfn.NORM.DIST(BX$1,$D25,$E25,TRUE)-_xlfn.NORM.DIST(BX$2,$D25,$E25,TRUE))</f>
        <v/>
      </c>
      <c r="BY25">
        <f>IF(NOT(ISNUMBER($D25)),"",_xlfn.NORM.DIST(BY$1,$D25,$E25,TRUE)-_xlfn.NORM.DIST(BY$2,$D25,$E25,TRUE))</f>
        <v/>
      </c>
      <c r="BZ25">
        <f>IF(NOT(ISNUMBER($D25)),"",_xlfn.NORM.DIST(BZ$1,$D25,$E25,TRUE)-_xlfn.NORM.DIST(BZ$2,$D25,$E25,TRUE))</f>
        <v/>
      </c>
      <c r="CA25">
        <f>IF(NOT(ISNUMBER($D25)),"",_xlfn.NORM.DIST(CA$1,$D25,$E25,TRUE)-_xlfn.NORM.DIST(CA$2,$D25,$E25,TRUE))</f>
        <v/>
      </c>
      <c r="CB25">
        <f>IF(NOT(ISNUMBER($D25)),"",_xlfn.NORM.DIST(CB$1,$D25,$E25,TRUE)-_xlfn.NORM.DIST(CB$2,$D25,$E25,TRUE))</f>
        <v/>
      </c>
      <c r="CC25">
        <f>IF(NOT(ISNUMBER($D25)),"",_xlfn.NORM.DIST(CC$1,$D25,$E25,TRUE)-_xlfn.NORM.DIST(CC$2,$D25,$E25,TRUE))</f>
        <v/>
      </c>
      <c r="CD25">
        <f>IF(NOT(ISNUMBER($D25)),"",_xlfn.NORM.DIST(CD$1,$D25,$E25,TRUE)-_xlfn.NORM.DIST(CD$2,$D25,$E25,TRUE))</f>
        <v/>
      </c>
      <c r="CE25">
        <f>IF(NOT(ISNUMBER($D25)),"",_xlfn.NORM.DIST(CE$1,$D25,$E25,TRUE)-_xlfn.NORM.DIST(CE$2,$D25,$E25,TRUE))</f>
        <v/>
      </c>
      <c r="CF25">
        <f>IF(NOT(ISNUMBER($D25)),"",_xlfn.NORM.DIST(CF$1,$D25,$E25,TRUE)-_xlfn.NORM.DIST(CF$2,$D25,$E25,TRUE))</f>
        <v/>
      </c>
      <c r="CG25">
        <f>IF(NOT(ISNUMBER($D25)),"",_xlfn.NORM.DIST(CG$1,$D25,$E25,TRUE)-_xlfn.NORM.DIST(CG$2,$D25,$E25,TRUE))</f>
        <v/>
      </c>
      <c r="CH25">
        <f>IF(NOT(ISNUMBER($D25)),"",_xlfn.NORM.DIST(CH$1,$D25,$E25,TRUE)-_xlfn.NORM.DIST(CH$2,$D25,$E25,TRUE))</f>
        <v/>
      </c>
      <c r="CI25">
        <f>IF(NOT(ISNUMBER($D25)),"",_xlfn.NORM.DIST(CI$1,$D25,$E25,TRUE)-_xlfn.NORM.DIST(CI$2,$D25,$E25,TRUE))</f>
        <v/>
      </c>
      <c r="CJ25">
        <f>IF(ISNUMBER($D25),SUM(F25:CI25),"")</f>
        <v/>
      </c>
    </row>
    <row r="26">
      <c r="A26">
        <f>economics!A25</f>
        <v/>
      </c>
      <c r="B26">
        <f>economics!B25</f>
        <v/>
      </c>
      <c r="C26">
        <f>economics!D25</f>
        <v/>
      </c>
      <c r="D26">
        <f>IF(ISNUMBER(economics!T25),economics!T25,"na")</f>
        <v/>
      </c>
      <c r="E26">
        <f>IF(ISNUMBER(D26),MAX(0.3*ABS(D26),0.000001),"na")</f>
        <v/>
      </c>
      <c r="F26">
        <f>IF(NOT(ISNUMBER($D26)),"",_xlfn.NORM.DIST(F$1,$D26,$E26,TRUE)-_xlfn.NORM.DIST(F$2,$D26,$E26,TRUE))</f>
        <v/>
      </c>
      <c r="G26">
        <f>IF(NOT(ISNUMBER($D26)),"",_xlfn.NORM.DIST(G$1,$D26,$E26,TRUE)-_xlfn.NORM.DIST(G$2,$D26,$E26,TRUE))</f>
        <v/>
      </c>
      <c r="H26">
        <f>IF(NOT(ISNUMBER($D26)),"",_xlfn.NORM.DIST(H$1,$D26,$E26,TRUE)-_xlfn.NORM.DIST(H$2,$D26,$E26,TRUE))</f>
        <v/>
      </c>
      <c r="I26">
        <f>IF(NOT(ISNUMBER($D26)),"",_xlfn.NORM.DIST(I$1,$D26,$E26,TRUE)-_xlfn.NORM.DIST(I$2,$D26,$E26,TRUE))</f>
        <v/>
      </c>
      <c r="J26">
        <f>IF(NOT(ISNUMBER($D26)),"",_xlfn.NORM.DIST(J$1,$D26,$E26,TRUE)-_xlfn.NORM.DIST(J$2,$D26,$E26,TRUE))</f>
        <v/>
      </c>
      <c r="K26">
        <f>IF(NOT(ISNUMBER($D26)),"",_xlfn.NORM.DIST(K$1,$D26,$E26,TRUE)-_xlfn.NORM.DIST(K$2,$D26,$E26,TRUE))</f>
        <v/>
      </c>
      <c r="L26">
        <f>IF(NOT(ISNUMBER($D26)),"",_xlfn.NORM.DIST(L$1,$D26,$E26,TRUE)-_xlfn.NORM.DIST(L$2,$D26,$E26,TRUE))</f>
        <v/>
      </c>
      <c r="M26">
        <f>IF(NOT(ISNUMBER($D26)),"",_xlfn.NORM.DIST(M$1,$D26,$E26,TRUE)-_xlfn.NORM.DIST(M$2,$D26,$E26,TRUE))</f>
        <v/>
      </c>
      <c r="N26">
        <f>IF(NOT(ISNUMBER($D26)),"",_xlfn.NORM.DIST(N$1,$D26,$E26,TRUE)-_xlfn.NORM.DIST(N$2,$D26,$E26,TRUE))</f>
        <v/>
      </c>
      <c r="O26">
        <f>IF(NOT(ISNUMBER($D26)),"",_xlfn.NORM.DIST(O$1,$D26,$E26,TRUE)-_xlfn.NORM.DIST(O$2,$D26,$E26,TRUE))</f>
        <v/>
      </c>
      <c r="P26">
        <f>IF(NOT(ISNUMBER($D26)),"",_xlfn.NORM.DIST(P$1,$D26,$E26,TRUE)-_xlfn.NORM.DIST(P$2,$D26,$E26,TRUE))</f>
        <v/>
      </c>
      <c r="Q26">
        <f>IF(NOT(ISNUMBER($D26)),"",_xlfn.NORM.DIST(Q$1,$D26,$E26,TRUE)-_xlfn.NORM.DIST(Q$2,$D26,$E26,TRUE))</f>
        <v/>
      </c>
      <c r="R26">
        <f>IF(NOT(ISNUMBER($D26)),"",_xlfn.NORM.DIST(R$1,$D26,$E26,TRUE)-_xlfn.NORM.DIST(R$2,$D26,$E26,TRUE))</f>
        <v/>
      </c>
      <c r="S26">
        <f>IF(NOT(ISNUMBER($D26)),"",_xlfn.NORM.DIST(S$1,$D26,$E26,TRUE)-_xlfn.NORM.DIST(S$2,$D26,$E26,TRUE))</f>
        <v/>
      </c>
      <c r="T26">
        <f>IF(NOT(ISNUMBER($D26)),"",_xlfn.NORM.DIST(T$1,$D26,$E26,TRUE)-_xlfn.NORM.DIST(T$2,$D26,$E26,TRUE))</f>
        <v/>
      </c>
      <c r="U26">
        <f>IF(NOT(ISNUMBER($D26)),"",_xlfn.NORM.DIST(U$1,$D26,$E26,TRUE)-_xlfn.NORM.DIST(U$2,$D26,$E26,TRUE))</f>
        <v/>
      </c>
      <c r="V26">
        <f>IF(NOT(ISNUMBER($D26)),"",_xlfn.NORM.DIST(V$1,$D26,$E26,TRUE)-_xlfn.NORM.DIST(V$2,$D26,$E26,TRUE))</f>
        <v/>
      </c>
      <c r="W26">
        <f>IF(NOT(ISNUMBER($D26)),"",_xlfn.NORM.DIST(W$1,$D26,$E26,TRUE)-_xlfn.NORM.DIST(W$2,$D26,$E26,TRUE))</f>
        <v/>
      </c>
      <c r="X26">
        <f>IF(NOT(ISNUMBER($D26)),"",_xlfn.NORM.DIST(X$1,$D26,$E26,TRUE)-_xlfn.NORM.DIST(X$2,$D26,$E26,TRUE))</f>
        <v/>
      </c>
      <c r="Y26">
        <f>IF(NOT(ISNUMBER($D26)),"",_xlfn.NORM.DIST(Y$1,$D26,$E26,TRUE)-_xlfn.NORM.DIST(Y$2,$D26,$E26,TRUE))</f>
        <v/>
      </c>
      <c r="Z26">
        <f>IF(NOT(ISNUMBER($D26)),"",_xlfn.NORM.DIST(Z$1,$D26,$E26,TRUE)-_xlfn.NORM.DIST(Z$2,$D26,$E26,TRUE))</f>
        <v/>
      </c>
      <c r="AA26">
        <f>IF(NOT(ISNUMBER($D26)),"",_xlfn.NORM.DIST(AA$1,$D26,$E26,TRUE)-_xlfn.NORM.DIST(AA$2,$D26,$E26,TRUE))</f>
        <v/>
      </c>
      <c r="AB26">
        <f>IF(NOT(ISNUMBER($D26)),"",_xlfn.NORM.DIST(AB$1,$D26,$E26,TRUE)-_xlfn.NORM.DIST(AB$2,$D26,$E26,TRUE))</f>
        <v/>
      </c>
      <c r="AC26">
        <f>IF(NOT(ISNUMBER($D26)),"",_xlfn.NORM.DIST(AC$1,$D26,$E26,TRUE)-_xlfn.NORM.DIST(AC$2,$D26,$E26,TRUE))</f>
        <v/>
      </c>
      <c r="AD26">
        <f>IF(NOT(ISNUMBER($D26)),"",_xlfn.NORM.DIST(AD$1,$D26,$E26,TRUE)-_xlfn.NORM.DIST(AD$2,$D26,$E26,TRUE))</f>
        <v/>
      </c>
      <c r="AE26">
        <f>IF(NOT(ISNUMBER($D26)),"",_xlfn.NORM.DIST(AE$1,$D26,$E26,TRUE)-_xlfn.NORM.DIST(AE$2,$D26,$E26,TRUE))</f>
        <v/>
      </c>
      <c r="AF26">
        <f>IF(NOT(ISNUMBER($D26)),"",_xlfn.NORM.DIST(AF$1,$D26,$E26,TRUE)-_xlfn.NORM.DIST(AF$2,$D26,$E26,TRUE))</f>
        <v/>
      </c>
      <c r="AG26">
        <f>IF(NOT(ISNUMBER($D26)),"",_xlfn.NORM.DIST(AG$1,$D26,$E26,TRUE)-_xlfn.NORM.DIST(AG$2,$D26,$E26,TRUE))</f>
        <v/>
      </c>
      <c r="AH26">
        <f>IF(NOT(ISNUMBER($D26)),"",_xlfn.NORM.DIST(AH$1,$D26,$E26,TRUE)-_xlfn.NORM.DIST(AH$2,$D26,$E26,TRUE))</f>
        <v/>
      </c>
      <c r="AI26">
        <f>IF(NOT(ISNUMBER($D26)),"",_xlfn.NORM.DIST(AI$1,$D26,$E26,TRUE)-_xlfn.NORM.DIST(AI$2,$D26,$E26,TRUE))</f>
        <v/>
      </c>
      <c r="AJ26">
        <f>IF(NOT(ISNUMBER($D26)),"",_xlfn.NORM.DIST(AJ$1,$D26,$E26,TRUE)-_xlfn.NORM.DIST(AJ$2,$D26,$E26,TRUE))</f>
        <v/>
      </c>
      <c r="AK26">
        <f>IF(NOT(ISNUMBER($D26)),"",_xlfn.NORM.DIST(AK$1,$D26,$E26,TRUE)-_xlfn.NORM.DIST(AK$2,$D26,$E26,TRUE))</f>
        <v/>
      </c>
      <c r="AL26">
        <f>IF(NOT(ISNUMBER($D26)),"",_xlfn.NORM.DIST(AL$1,$D26,$E26,TRUE)-_xlfn.NORM.DIST(AL$2,$D26,$E26,TRUE))</f>
        <v/>
      </c>
      <c r="AM26">
        <f>IF(NOT(ISNUMBER($D26)),"",_xlfn.NORM.DIST(AM$1,$D26,$E26,TRUE)-_xlfn.NORM.DIST(AM$2,$D26,$E26,TRUE))</f>
        <v/>
      </c>
      <c r="AN26">
        <f>IF(NOT(ISNUMBER($D26)),"",_xlfn.NORM.DIST(AN$1,$D26,$E26,TRUE)-_xlfn.NORM.DIST(AN$2,$D26,$E26,TRUE))</f>
        <v/>
      </c>
      <c r="AO26">
        <f>IF(NOT(ISNUMBER($D26)),"",_xlfn.NORM.DIST(AO$1,$D26,$E26,TRUE)-_xlfn.NORM.DIST(AO$2,$D26,$E26,TRUE))</f>
        <v/>
      </c>
      <c r="AP26">
        <f>IF(NOT(ISNUMBER($D26)),"",_xlfn.NORM.DIST(AP$1,$D26,$E26,TRUE)-_xlfn.NORM.DIST(AP$2,$D26,$E26,TRUE))</f>
        <v/>
      </c>
      <c r="AQ26">
        <f>IF(NOT(ISNUMBER($D26)),"",_xlfn.NORM.DIST(AQ$1,$D26,$E26,TRUE)-_xlfn.NORM.DIST(AQ$2,$D26,$E26,TRUE))</f>
        <v/>
      </c>
      <c r="AR26">
        <f>IF(NOT(ISNUMBER($D26)),"",_xlfn.NORM.DIST(AR$1,$D26,$E26,TRUE)-_xlfn.NORM.DIST(AR$2,$D26,$E26,TRUE))</f>
        <v/>
      </c>
      <c r="AS26">
        <f>IF(NOT(ISNUMBER($D26)),"",_xlfn.NORM.DIST(AS$1,$D26,$E26,TRUE)-_xlfn.NORM.DIST(AS$2,$D26,$E26,TRUE))</f>
        <v/>
      </c>
      <c r="AT26">
        <f>IF(NOT(ISNUMBER($D26)),"",_xlfn.NORM.DIST(AT$1,$D26,$E26,TRUE)-_xlfn.NORM.DIST(AT$2,$D26,$E26,TRUE))</f>
        <v/>
      </c>
      <c r="AU26">
        <f>IF(NOT(ISNUMBER($D26)),"",_xlfn.NORM.DIST(AU$1,$D26,$E26,TRUE)-_xlfn.NORM.DIST(AU$2,$D26,$E26,TRUE))</f>
        <v/>
      </c>
      <c r="AV26">
        <f>IF(NOT(ISNUMBER($D26)),"",_xlfn.NORM.DIST(AV$1,$D26,$E26,TRUE)-_xlfn.NORM.DIST(AV$2,$D26,$E26,TRUE))</f>
        <v/>
      </c>
      <c r="AW26">
        <f>IF(NOT(ISNUMBER($D26)),"",_xlfn.NORM.DIST(AW$1,$D26,$E26,TRUE)-_xlfn.NORM.DIST(AW$2,$D26,$E26,TRUE))</f>
        <v/>
      </c>
      <c r="AX26">
        <f>IF(NOT(ISNUMBER($D26)),"",_xlfn.NORM.DIST(AX$1,$D26,$E26,TRUE)-_xlfn.NORM.DIST(AX$2,$D26,$E26,TRUE))</f>
        <v/>
      </c>
      <c r="AY26">
        <f>IF(NOT(ISNUMBER($D26)),"",_xlfn.NORM.DIST(AY$1,$D26,$E26,TRUE)-_xlfn.NORM.DIST(AY$2,$D26,$E26,TRUE))</f>
        <v/>
      </c>
      <c r="AZ26">
        <f>IF(NOT(ISNUMBER($D26)),"",_xlfn.NORM.DIST(AZ$1,$D26,$E26,TRUE)-_xlfn.NORM.DIST(AZ$2,$D26,$E26,TRUE))</f>
        <v/>
      </c>
      <c r="BA26">
        <f>IF(NOT(ISNUMBER($D26)),"",_xlfn.NORM.DIST(BA$1,$D26,$E26,TRUE)-_xlfn.NORM.DIST(BA$2,$D26,$E26,TRUE))</f>
        <v/>
      </c>
      <c r="BB26">
        <f>IF(NOT(ISNUMBER($D26)),"",_xlfn.NORM.DIST(BB$1,$D26,$E26,TRUE)-_xlfn.NORM.DIST(BB$2,$D26,$E26,TRUE))</f>
        <v/>
      </c>
      <c r="BC26">
        <f>IF(NOT(ISNUMBER($D26)),"",_xlfn.NORM.DIST(BC$1,$D26,$E26,TRUE)-_xlfn.NORM.DIST(BC$2,$D26,$E26,TRUE))</f>
        <v/>
      </c>
      <c r="BD26">
        <f>IF(NOT(ISNUMBER($D26)),"",_xlfn.NORM.DIST(BD$1,$D26,$E26,TRUE)-_xlfn.NORM.DIST(BD$2,$D26,$E26,TRUE))</f>
        <v/>
      </c>
      <c r="BE26">
        <f>IF(NOT(ISNUMBER($D26)),"",_xlfn.NORM.DIST(BE$1,$D26,$E26,TRUE)-_xlfn.NORM.DIST(BE$2,$D26,$E26,TRUE))</f>
        <v/>
      </c>
      <c r="BF26">
        <f>IF(NOT(ISNUMBER($D26)),"",_xlfn.NORM.DIST(BF$1,$D26,$E26,TRUE)-_xlfn.NORM.DIST(BF$2,$D26,$E26,TRUE))</f>
        <v/>
      </c>
      <c r="BG26">
        <f>IF(NOT(ISNUMBER($D26)),"",_xlfn.NORM.DIST(BG$1,$D26,$E26,TRUE)-_xlfn.NORM.DIST(BG$2,$D26,$E26,TRUE))</f>
        <v/>
      </c>
      <c r="BH26">
        <f>IF(NOT(ISNUMBER($D26)),"",_xlfn.NORM.DIST(BH$1,$D26,$E26,TRUE)-_xlfn.NORM.DIST(BH$2,$D26,$E26,TRUE))</f>
        <v/>
      </c>
      <c r="BI26">
        <f>IF(NOT(ISNUMBER($D26)),"",_xlfn.NORM.DIST(BI$1,$D26,$E26,TRUE)-_xlfn.NORM.DIST(BI$2,$D26,$E26,TRUE))</f>
        <v/>
      </c>
      <c r="BJ26">
        <f>IF(NOT(ISNUMBER($D26)),"",_xlfn.NORM.DIST(BJ$1,$D26,$E26,TRUE)-_xlfn.NORM.DIST(BJ$2,$D26,$E26,TRUE))</f>
        <v/>
      </c>
      <c r="BK26">
        <f>IF(NOT(ISNUMBER($D26)),"",_xlfn.NORM.DIST(BK$1,$D26,$E26,TRUE)-_xlfn.NORM.DIST(BK$2,$D26,$E26,TRUE))</f>
        <v/>
      </c>
      <c r="BL26">
        <f>IF(NOT(ISNUMBER($D26)),"",_xlfn.NORM.DIST(BL$1,$D26,$E26,TRUE)-_xlfn.NORM.DIST(BL$2,$D26,$E26,TRUE))</f>
        <v/>
      </c>
      <c r="BM26">
        <f>IF(NOT(ISNUMBER($D26)),"",_xlfn.NORM.DIST(BM$1,$D26,$E26,TRUE)-_xlfn.NORM.DIST(BM$2,$D26,$E26,TRUE))</f>
        <v/>
      </c>
      <c r="BN26">
        <f>IF(NOT(ISNUMBER($D26)),"",_xlfn.NORM.DIST(BN$1,$D26,$E26,TRUE)-_xlfn.NORM.DIST(BN$2,$D26,$E26,TRUE))</f>
        <v/>
      </c>
      <c r="BO26">
        <f>IF(NOT(ISNUMBER($D26)),"",_xlfn.NORM.DIST(BO$1,$D26,$E26,TRUE)-_xlfn.NORM.DIST(BO$2,$D26,$E26,TRUE))</f>
        <v/>
      </c>
      <c r="BP26">
        <f>IF(NOT(ISNUMBER($D26)),"",_xlfn.NORM.DIST(BP$1,$D26,$E26,TRUE)-_xlfn.NORM.DIST(BP$2,$D26,$E26,TRUE))</f>
        <v/>
      </c>
      <c r="BQ26">
        <f>IF(NOT(ISNUMBER($D26)),"",_xlfn.NORM.DIST(BQ$1,$D26,$E26,TRUE)-_xlfn.NORM.DIST(BQ$2,$D26,$E26,TRUE))</f>
        <v/>
      </c>
      <c r="BR26">
        <f>IF(NOT(ISNUMBER($D26)),"",_xlfn.NORM.DIST(BR$1,$D26,$E26,TRUE)-_xlfn.NORM.DIST(BR$2,$D26,$E26,TRUE))</f>
        <v/>
      </c>
      <c r="BS26">
        <f>IF(NOT(ISNUMBER($D26)),"",_xlfn.NORM.DIST(BS$1,$D26,$E26,TRUE)-_xlfn.NORM.DIST(BS$2,$D26,$E26,TRUE))</f>
        <v/>
      </c>
      <c r="BT26">
        <f>IF(NOT(ISNUMBER($D26)),"",_xlfn.NORM.DIST(BT$1,$D26,$E26,TRUE)-_xlfn.NORM.DIST(BT$2,$D26,$E26,TRUE))</f>
        <v/>
      </c>
      <c r="BU26">
        <f>IF(NOT(ISNUMBER($D26)),"",_xlfn.NORM.DIST(BU$1,$D26,$E26,TRUE)-_xlfn.NORM.DIST(BU$2,$D26,$E26,TRUE))</f>
        <v/>
      </c>
      <c r="BV26">
        <f>IF(NOT(ISNUMBER($D26)),"",_xlfn.NORM.DIST(BV$1,$D26,$E26,TRUE)-_xlfn.NORM.DIST(BV$2,$D26,$E26,TRUE))</f>
        <v/>
      </c>
      <c r="BW26">
        <f>IF(NOT(ISNUMBER($D26)),"",_xlfn.NORM.DIST(BW$1,$D26,$E26,TRUE)-_xlfn.NORM.DIST(BW$2,$D26,$E26,TRUE))</f>
        <v/>
      </c>
      <c r="BX26">
        <f>IF(NOT(ISNUMBER($D26)),"",_xlfn.NORM.DIST(BX$1,$D26,$E26,TRUE)-_xlfn.NORM.DIST(BX$2,$D26,$E26,TRUE))</f>
        <v/>
      </c>
      <c r="BY26">
        <f>IF(NOT(ISNUMBER($D26)),"",_xlfn.NORM.DIST(BY$1,$D26,$E26,TRUE)-_xlfn.NORM.DIST(BY$2,$D26,$E26,TRUE))</f>
        <v/>
      </c>
      <c r="BZ26">
        <f>IF(NOT(ISNUMBER($D26)),"",_xlfn.NORM.DIST(BZ$1,$D26,$E26,TRUE)-_xlfn.NORM.DIST(BZ$2,$D26,$E26,TRUE))</f>
        <v/>
      </c>
      <c r="CA26">
        <f>IF(NOT(ISNUMBER($D26)),"",_xlfn.NORM.DIST(CA$1,$D26,$E26,TRUE)-_xlfn.NORM.DIST(CA$2,$D26,$E26,TRUE))</f>
        <v/>
      </c>
      <c r="CB26">
        <f>IF(NOT(ISNUMBER($D26)),"",_xlfn.NORM.DIST(CB$1,$D26,$E26,TRUE)-_xlfn.NORM.DIST(CB$2,$D26,$E26,TRUE))</f>
        <v/>
      </c>
      <c r="CC26">
        <f>IF(NOT(ISNUMBER($D26)),"",_xlfn.NORM.DIST(CC$1,$D26,$E26,TRUE)-_xlfn.NORM.DIST(CC$2,$D26,$E26,TRUE))</f>
        <v/>
      </c>
      <c r="CD26">
        <f>IF(NOT(ISNUMBER($D26)),"",_xlfn.NORM.DIST(CD$1,$D26,$E26,TRUE)-_xlfn.NORM.DIST(CD$2,$D26,$E26,TRUE))</f>
        <v/>
      </c>
      <c r="CE26">
        <f>IF(NOT(ISNUMBER($D26)),"",_xlfn.NORM.DIST(CE$1,$D26,$E26,TRUE)-_xlfn.NORM.DIST(CE$2,$D26,$E26,TRUE))</f>
        <v/>
      </c>
      <c r="CF26">
        <f>IF(NOT(ISNUMBER($D26)),"",_xlfn.NORM.DIST(CF$1,$D26,$E26,TRUE)-_xlfn.NORM.DIST(CF$2,$D26,$E26,TRUE))</f>
        <v/>
      </c>
      <c r="CG26">
        <f>IF(NOT(ISNUMBER($D26)),"",_xlfn.NORM.DIST(CG$1,$D26,$E26,TRUE)-_xlfn.NORM.DIST(CG$2,$D26,$E26,TRUE))</f>
        <v/>
      </c>
      <c r="CH26">
        <f>IF(NOT(ISNUMBER($D26)),"",_xlfn.NORM.DIST(CH$1,$D26,$E26,TRUE)-_xlfn.NORM.DIST(CH$2,$D26,$E26,TRUE))</f>
        <v/>
      </c>
      <c r="CI26">
        <f>IF(NOT(ISNUMBER($D26)),"",_xlfn.NORM.DIST(CI$1,$D26,$E26,TRUE)-_xlfn.NORM.DIST(CI$2,$D26,$E26,TRUE))</f>
        <v/>
      </c>
      <c r="CJ26">
        <f>IF(ISNUMBER($D26),SUM(F26:CI26),"")</f>
        <v/>
      </c>
    </row>
    <row r="27">
      <c r="A27">
        <f>economics!A26</f>
        <v/>
      </c>
      <c r="B27">
        <f>economics!B26</f>
        <v/>
      </c>
      <c r="C27">
        <f>economics!D26</f>
        <v/>
      </c>
      <c r="D27">
        <f>IF(ISNUMBER(economics!T26),economics!T26,"na")</f>
        <v/>
      </c>
      <c r="E27">
        <f>IF(ISNUMBER(D27),MAX(0.3*ABS(D27),0.000001),"na")</f>
        <v/>
      </c>
      <c r="F27">
        <f>IF(NOT(ISNUMBER($D27)),"",_xlfn.NORM.DIST(F$1,$D27,$E27,TRUE)-_xlfn.NORM.DIST(F$2,$D27,$E27,TRUE))</f>
        <v/>
      </c>
      <c r="G27">
        <f>IF(NOT(ISNUMBER($D27)),"",_xlfn.NORM.DIST(G$1,$D27,$E27,TRUE)-_xlfn.NORM.DIST(G$2,$D27,$E27,TRUE))</f>
        <v/>
      </c>
      <c r="H27">
        <f>IF(NOT(ISNUMBER($D27)),"",_xlfn.NORM.DIST(H$1,$D27,$E27,TRUE)-_xlfn.NORM.DIST(H$2,$D27,$E27,TRUE))</f>
        <v/>
      </c>
      <c r="I27">
        <f>IF(NOT(ISNUMBER($D27)),"",_xlfn.NORM.DIST(I$1,$D27,$E27,TRUE)-_xlfn.NORM.DIST(I$2,$D27,$E27,TRUE))</f>
        <v/>
      </c>
      <c r="J27">
        <f>IF(NOT(ISNUMBER($D27)),"",_xlfn.NORM.DIST(J$1,$D27,$E27,TRUE)-_xlfn.NORM.DIST(J$2,$D27,$E27,TRUE))</f>
        <v/>
      </c>
      <c r="K27">
        <f>IF(NOT(ISNUMBER($D27)),"",_xlfn.NORM.DIST(K$1,$D27,$E27,TRUE)-_xlfn.NORM.DIST(K$2,$D27,$E27,TRUE))</f>
        <v/>
      </c>
      <c r="L27">
        <f>IF(NOT(ISNUMBER($D27)),"",_xlfn.NORM.DIST(L$1,$D27,$E27,TRUE)-_xlfn.NORM.DIST(L$2,$D27,$E27,TRUE))</f>
        <v/>
      </c>
      <c r="M27">
        <f>IF(NOT(ISNUMBER($D27)),"",_xlfn.NORM.DIST(M$1,$D27,$E27,TRUE)-_xlfn.NORM.DIST(M$2,$D27,$E27,TRUE))</f>
        <v/>
      </c>
      <c r="N27">
        <f>IF(NOT(ISNUMBER($D27)),"",_xlfn.NORM.DIST(N$1,$D27,$E27,TRUE)-_xlfn.NORM.DIST(N$2,$D27,$E27,TRUE))</f>
        <v/>
      </c>
      <c r="O27">
        <f>IF(NOT(ISNUMBER($D27)),"",_xlfn.NORM.DIST(O$1,$D27,$E27,TRUE)-_xlfn.NORM.DIST(O$2,$D27,$E27,TRUE))</f>
        <v/>
      </c>
      <c r="P27">
        <f>IF(NOT(ISNUMBER($D27)),"",_xlfn.NORM.DIST(P$1,$D27,$E27,TRUE)-_xlfn.NORM.DIST(P$2,$D27,$E27,TRUE))</f>
        <v/>
      </c>
      <c r="Q27">
        <f>IF(NOT(ISNUMBER($D27)),"",_xlfn.NORM.DIST(Q$1,$D27,$E27,TRUE)-_xlfn.NORM.DIST(Q$2,$D27,$E27,TRUE))</f>
        <v/>
      </c>
      <c r="R27">
        <f>IF(NOT(ISNUMBER($D27)),"",_xlfn.NORM.DIST(R$1,$D27,$E27,TRUE)-_xlfn.NORM.DIST(R$2,$D27,$E27,TRUE))</f>
        <v/>
      </c>
      <c r="S27">
        <f>IF(NOT(ISNUMBER($D27)),"",_xlfn.NORM.DIST(S$1,$D27,$E27,TRUE)-_xlfn.NORM.DIST(S$2,$D27,$E27,TRUE))</f>
        <v/>
      </c>
      <c r="T27">
        <f>IF(NOT(ISNUMBER($D27)),"",_xlfn.NORM.DIST(T$1,$D27,$E27,TRUE)-_xlfn.NORM.DIST(T$2,$D27,$E27,TRUE))</f>
        <v/>
      </c>
      <c r="U27">
        <f>IF(NOT(ISNUMBER($D27)),"",_xlfn.NORM.DIST(U$1,$D27,$E27,TRUE)-_xlfn.NORM.DIST(U$2,$D27,$E27,TRUE))</f>
        <v/>
      </c>
      <c r="V27">
        <f>IF(NOT(ISNUMBER($D27)),"",_xlfn.NORM.DIST(V$1,$D27,$E27,TRUE)-_xlfn.NORM.DIST(V$2,$D27,$E27,TRUE))</f>
        <v/>
      </c>
      <c r="W27">
        <f>IF(NOT(ISNUMBER($D27)),"",_xlfn.NORM.DIST(W$1,$D27,$E27,TRUE)-_xlfn.NORM.DIST(W$2,$D27,$E27,TRUE))</f>
        <v/>
      </c>
      <c r="X27">
        <f>IF(NOT(ISNUMBER($D27)),"",_xlfn.NORM.DIST(X$1,$D27,$E27,TRUE)-_xlfn.NORM.DIST(X$2,$D27,$E27,TRUE))</f>
        <v/>
      </c>
      <c r="Y27">
        <f>IF(NOT(ISNUMBER($D27)),"",_xlfn.NORM.DIST(Y$1,$D27,$E27,TRUE)-_xlfn.NORM.DIST(Y$2,$D27,$E27,TRUE))</f>
        <v/>
      </c>
      <c r="Z27">
        <f>IF(NOT(ISNUMBER($D27)),"",_xlfn.NORM.DIST(Z$1,$D27,$E27,TRUE)-_xlfn.NORM.DIST(Z$2,$D27,$E27,TRUE))</f>
        <v/>
      </c>
      <c r="AA27">
        <f>IF(NOT(ISNUMBER($D27)),"",_xlfn.NORM.DIST(AA$1,$D27,$E27,TRUE)-_xlfn.NORM.DIST(AA$2,$D27,$E27,TRUE))</f>
        <v/>
      </c>
      <c r="AB27">
        <f>IF(NOT(ISNUMBER($D27)),"",_xlfn.NORM.DIST(AB$1,$D27,$E27,TRUE)-_xlfn.NORM.DIST(AB$2,$D27,$E27,TRUE))</f>
        <v/>
      </c>
      <c r="AC27">
        <f>IF(NOT(ISNUMBER($D27)),"",_xlfn.NORM.DIST(AC$1,$D27,$E27,TRUE)-_xlfn.NORM.DIST(AC$2,$D27,$E27,TRUE))</f>
        <v/>
      </c>
      <c r="AD27">
        <f>IF(NOT(ISNUMBER($D27)),"",_xlfn.NORM.DIST(AD$1,$D27,$E27,TRUE)-_xlfn.NORM.DIST(AD$2,$D27,$E27,TRUE))</f>
        <v/>
      </c>
      <c r="AE27">
        <f>IF(NOT(ISNUMBER($D27)),"",_xlfn.NORM.DIST(AE$1,$D27,$E27,TRUE)-_xlfn.NORM.DIST(AE$2,$D27,$E27,TRUE))</f>
        <v/>
      </c>
      <c r="AF27">
        <f>IF(NOT(ISNUMBER($D27)),"",_xlfn.NORM.DIST(AF$1,$D27,$E27,TRUE)-_xlfn.NORM.DIST(AF$2,$D27,$E27,TRUE))</f>
        <v/>
      </c>
      <c r="AG27">
        <f>IF(NOT(ISNUMBER($D27)),"",_xlfn.NORM.DIST(AG$1,$D27,$E27,TRUE)-_xlfn.NORM.DIST(AG$2,$D27,$E27,TRUE))</f>
        <v/>
      </c>
      <c r="AH27">
        <f>IF(NOT(ISNUMBER($D27)),"",_xlfn.NORM.DIST(AH$1,$D27,$E27,TRUE)-_xlfn.NORM.DIST(AH$2,$D27,$E27,TRUE))</f>
        <v/>
      </c>
      <c r="AI27">
        <f>IF(NOT(ISNUMBER($D27)),"",_xlfn.NORM.DIST(AI$1,$D27,$E27,TRUE)-_xlfn.NORM.DIST(AI$2,$D27,$E27,TRUE))</f>
        <v/>
      </c>
      <c r="AJ27">
        <f>IF(NOT(ISNUMBER($D27)),"",_xlfn.NORM.DIST(AJ$1,$D27,$E27,TRUE)-_xlfn.NORM.DIST(AJ$2,$D27,$E27,TRUE))</f>
        <v/>
      </c>
      <c r="AK27">
        <f>IF(NOT(ISNUMBER($D27)),"",_xlfn.NORM.DIST(AK$1,$D27,$E27,TRUE)-_xlfn.NORM.DIST(AK$2,$D27,$E27,TRUE))</f>
        <v/>
      </c>
      <c r="AL27">
        <f>IF(NOT(ISNUMBER($D27)),"",_xlfn.NORM.DIST(AL$1,$D27,$E27,TRUE)-_xlfn.NORM.DIST(AL$2,$D27,$E27,TRUE))</f>
        <v/>
      </c>
      <c r="AM27">
        <f>IF(NOT(ISNUMBER($D27)),"",_xlfn.NORM.DIST(AM$1,$D27,$E27,TRUE)-_xlfn.NORM.DIST(AM$2,$D27,$E27,TRUE))</f>
        <v/>
      </c>
      <c r="AN27">
        <f>IF(NOT(ISNUMBER($D27)),"",_xlfn.NORM.DIST(AN$1,$D27,$E27,TRUE)-_xlfn.NORM.DIST(AN$2,$D27,$E27,TRUE))</f>
        <v/>
      </c>
      <c r="AO27">
        <f>IF(NOT(ISNUMBER($D27)),"",_xlfn.NORM.DIST(AO$1,$D27,$E27,TRUE)-_xlfn.NORM.DIST(AO$2,$D27,$E27,TRUE))</f>
        <v/>
      </c>
      <c r="AP27">
        <f>IF(NOT(ISNUMBER($D27)),"",_xlfn.NORM.DIST(AP$1,$D27,$E27,TRUE)-_xlfn.NORM.DIST(AP$2,$D27,$E27,TRUE))</f>
        <v/>
      </c>
      <c r="AQ27">
        <f>IF(NOT(ISNUMBER($D27)),"",_xlfn.NORM.DIST(AQ$1,$D27,$E27,TRUE)-_xlfn.NORM.DIST(AQ$2,$D27,$E27,TRUE))</f>
        <v/>
      </c>
      <c r="AR27">
        <f>IF(NOT(ISNUMBER($D27)),"",_xlfn.NORM.DIST(AR$1,$D27,$E27,TRUE)-_xlfn.NORM.DIST(AR$2,$D27,$E27,TRUE))</f>
        <v/>
      </c>
      <c r="AS27">
        <f>IF(NOT(ISNUMBER($D27)),"",_xlfn.NORM.DIST(AS$1,$D27,$E27,TRUE)-_xlfn.NORM.DIST(AS$2,$D27,$E27,TRUE))</f>
        <v/>
      </c>
      <c r="AT27">
        <f>IF(NOT(ISNUMBER($D27)),"",_xlfn.NORM.DIST(AT$1,$D27,$E27,TRUE)-_xlfn.NORM.DIST(AT$2,$D27,$E27,TRUE))</f>
        <v/>
      </c>
      <c r="AU27">
        <f>IF(NOT(ISNUMBER($D27)),"",_xlfn.NORM.DIST(AU$1,$D27,$E27,TRUE)-_xlfn.NORM.DIST(AU$2,$D27,$E27,TRUE))</f>
        <v/>
      </c>
      <c r="AV27">
        <f>IF(NOT(ISNUMBER($D27)),"",_xlfn.NORM.DIST(AV$1,$D27,$E27,TRUE)-_xlfn.NORM.DIST(AV$2,$D27,$E27,TRUE))</f>
        <v/>
      </c>
      <c r="AW27">
        <f>IF(NOT(ISNUMBER($D27)),"",_xlfn.NORM.DIST(AW$1,$D27,$E27,TRUE)-_xlfn.NORM.DIST(AW$2,$D27,$E27,TRUE))</f>
        <v/>
      </c>
      <c r="AX27">
        <f>IF(NOT(ISNUMBER($D27)),"",_xlfn.NORM.DIST(AX$1,$D27,$E27,TRUE)-_xlfn.NORM.DIST(AX$2,$D27,$E27,TRUE))</f>
        <v/>
      </c>
      <c r="AY27">
        <f>IF(NOT(ISNUMBER($D27)),"",_xlfn.NORM.DIST(AY$1,$D27,$E27,TRUE)-_xlfn.NORM.DIST(AY$2,$D27,$E27,TRUE))</f>
        <v/>
      </c>
      <c r="AZ27">
        <f>IF(NOT(ISNUMBER($D27)),"",_xlfn.NORM.DIST(AZ$1,$D27,$E27,TRUE)-_xlfn.NORM.DIST(AZ$2,$D27,$E27,TRUE))</f>
        <v/>
      </c>
      <c r="BA27">
        <f>IF(NOT(ISNUMBER($D27)),"",_xlfn.NORM.DIST(BA$1,$D27,$E27,TRUE)-_xlfn.NORM.DIST(BA$2,$D27,$E27,TRUE))</f>
        <v/>
      </c>
      <c r="BB27">
        <f>IF(NOT(ISNUMBER($D27)),"",_xlfn.NORM.DIST(BB$1,$D27,$E27,TRUE)-_xlfn.NORM.DIST(BB$2,$D27,$E27,TRUE))</f>
        <v/>
      </c>
      <c r="BC27">
        <f>IF(NOT(ISNUMBER($D27)),"",_xlfn.NORM.DIST(BC$1,$D27,$E27,TRUE)-_xlfn.NORM.DIST(BC$2,$D27,$E27,TRUE))</f>
        <v/>
      </c>
      <c r="BD27">
        <f>IF(NOT(ISNUMBER($D27)),"",_xlfn.NORM.DIST(BD$1,$D27,$E27,TRUE)-_xlfn.NORM.DIST(BD$2,$D27,$E27,TRUE))</f>
        <v/>
      </c>
      <c r="BE27">
        <f>IF(NOT(ISNUMBER($D27)),"",_xlfn.NORM.DIST(BE$1,$D27,$E27,TRUE)-_xlfn.NORM.DIST(BE$2,$D27,$E27,TRUE))</f>
        <v/>
      </c>
      <c r="BF27">
        <f>IF(NOT(ISNUMBER($D27)),"",_xlfn.NORM.DIST(BF$1,$D27,$E27,TRUE)-_xlfn.NORM.DIST(BF$2,$D27,$E27,TRUE))</f>
        <v/>
      </c>
      <c r="BG27">
        <f>IF(NOT(ISNUMBER($D27)),"",_xlfn.NORM.DIST(BG$1,$D27,$E27,TRUE)-_xlfn.NORM.DIST(BG$2,$D27,$E27,TRUE))</f>
        <v/>
      </c>
      <c r="BH27">
        <f>IF(NOT(ISNUMBER($D27)),"",_xlfn.NORM.DIST(BH$1,$D27,$E27,TRUE)-_xlfn.NORM.DIST(BH$2,$D27,$E27,TRUE))</f>
        <v/>
      </c>
      <c r="BI27">
        <f>IF(NOT(ISNUMBER($D27)),"",_xlfn.NORM.DIST(BI$1,$D27,$E27,TRUE)-_xlfn.NORM.DIST(BI$2,$D27,$E27,TRUE))</f>
        <v/>
      </c>
      <c r="BJ27">
        <f>IF(NOT(ISNUMBER($D27)),"",_xlfn.NORM.DIST(BJ$1,$D27,$E27,TRUE)-_xlfn.NORM.DIST(BJ$2,$D27,$E27,TRUE))</f>
        <v/>
      </c>
      <c r="BK27">
        <f>IF(NOT(ISNUMBER($D27)),"",_xlfn.NORM.DIST(BK$1,$D27,$E27,TRUE)-_xlfn.NORM.DIST(BK$2,$D27,$E27,TRUE))</f>
        <v/>
      </c>
      <c r="BL27">
        <f>IF(NOT(ISNUMBER($D27)),"",_xlfn.NORM.DIST(BL$1,$D27,$E27,TRUE)-_xlfn.NORM.DIST(BL$2,$D27,$E27,TRUE))</f>
        <v/>
      </c>
      <c r="BM27">
        <f>IF(NOT(ISNUMBER($D27)),"",_xlfn.NORM.DIST(BM$1,$D27,$E27,TRUE)-_xlfn.NORM.DIST(BM$2,$D27,$E27,TRUE))</f>
        <v/>
      </c>
      <c r="BN27">
        <f>IF(NOT(ISNUMBER($D27)),"",_xlfn.NORM.DIST(BN$1,$D27,$E27,TRUE)-_xlfn.NORM.DIST(BN$2,$D27,$E27,TRUE))</f>
        <v/>
      </c>
      <c r="BO27">
        <f>IF(NOT(ISNUMBER($D27)),"",_xlfn.NORM.DIST(BO$1,$D27,$E27,TRUE)-_xlfn.NORM.DIST(BO$2,$D27,$E27,TRUE))</f>
        <v/>
      </c>
      <c r="BP27">
        <f>IF(NOT(ISNUMBER($D27)),"",_xlfn.NORM.DIST(BP$1,$D27,$E27,TRUE)-_xlfn.NORM.DIST(BP$2,$D27,$E27,TRUE))</f>
        <v/>
      </c>
      <c r="BQ27">
        <f>IF(NOT(ISNUMBER($D27)),"",_xlfn.NORM.DIST(BQ$1,$D27,$E27,TRUE)-_xlfn.NORM.DIST(BQ$2,$D27,$E27,TRUE))</f>
        <v/>
      </c>
      <c r="BR27">
        <f>IF(NOT(ISNUMBER($D27)),"",_xlfn.NORM.DIST(BR$1,$D27,$E27,TRUE)-_xlfn.NORM.DIST(BR$2,$D27,$E27,TRUE))</f>
        <v/>
      </c>
      <c r="BS27">
        <f>IF(NOT(ISNUMBER($D27)),"",_xlfn.NORM.DIST(BS$1,$D27,$E27,TRUE)-_xlfn.NORM.DIST(BS$2,$D27,$E27,TRUE))</f>
        <v/>
      </c>
      <c r="BT27">
        <f>IF(NOT(ISNUMBER($D27)),"",_xlfn.NORM.DIST(BT$1,$D27,$E27,TRUE)-_xlfn.NORM.DIST(BT$2,$D27,$E27,TRUE))</f>
        <v/>
      </c>
      <c r="BU27">
        <f>IF(NOT(ISNUMBER($D27)),"",_xlfn.NORM.DIST(BU$1,$D27,$E27,TRUE)-_xlfn.NORM.DIST(BU$2,$D27,$E27,TRUE))</f>
        <v/>
      </c>
      <c r="BV27">
        <f>IF(NOT(ISNUMBER($D27)),"",_xlfn.NORM.DIST(BV$1,$D27,$E27,TRUE)-_xlfn.NORM.DIST(BV$2,$D27,$E27,TRUE))</f>
        <v/>
      </c>
      <c r="BW27">
        <f>IF(NOT(ISNUMBER($D27)),"",_xlfn.NORM.DIST(BW$1,$D27,$E27,TRUE)-_xlfn.NORM.DIST(BW$2,$D27,$E27,TRUE))</f>
        <v/>
      </c>
      <c r="BX27">
        <f>IF(NOT(ISNUMBER($D27)),"",_xlfn.NORM.DIST(BX$1,$D27,$E27,TRUE)-_xlfn.NORM.DIST(BX$2,$D27,$E27,TRUE))</f>
        <v/>
      </c>
      <c r="BY27">
        <f>IF(NOT(ISNUMBER($D27)),"",_xlfn.NORM.DIST(BY$1,$D27,$E27,TRUE)-_xlfn.NORM.DIST(BY$2,$D27,$E27,TRUE))</f>
        <v/>
      </c>
      <c r="BZ27">
        <f>IF(NOT(ISNUMBER($D27)),"",_xlfn.NORM.DIST(BZ$1,$D27,$E27,TRUE)-_xlfn.NORM.DIST(BZ$2,$D27,$E27,TRUE))</f>
        <v/>
      </c>
      <c r="CA27">
        <f>IF(NOT(ISNUMBER($D27)),"",_xlfn.NORM.DIST(CA$1,$D27,$E27,TRUE)-_xlfn.NORM.DIST(CA$2,$D27,$E27,TRUE))</f>
        <v/>
      </c>
      <c r="CB27">
        <f>IF(NOT(ISNUMBER($D27)),"",_xlfn.NORM.DIST(CB$1,$D27,$E27,TRUE)-_xlfn.NORM.DIST(CB$2,$D27,$E27,TRUE))</f>
        <v/>
      </c>
      <c r="CC27">
        <f>IF(NOT(ISNUMBER($D27)),"",_xlfn.NORM.DIST(CC$1,$D27,$E27,TRUE)-_xlfn.NORM.DIST(CC$2,$D27,$E27,TRUE))</f>
        <v/>
      </c>
      <c r="CD27">
        <f>IF(NOT(ISNUMBER($D27)),"",_xlfn.NORM.DIST(CD$1,$D27,$E27,TRUE)-_xlfn.NORM.DIST(CD$2,$D27,$E27,TRUE))</f>
        <v/>
      </c>
      <c r="CE27">
        <f>IF(NOT(ISNUMBER($D27)),"",_xlfn.NORM.DIST(CE$1,$D27,$E27,TRUE)-_xlfn.NORM.DIST(CE$2,$D27,$E27,TRUE))</f>
        <v/>
      </c>
      <c r="CF27">
        <f>IF(NOT(ISNUMBER($D27)),"",_xlfn.NORM.DIST(CF$1,$D27,$E27,TRUE)-_xlfn.NORM.DIST(CF$2,$D27,$E27,TRUE))</f>
        <v/>
      </c>
      <c r="CG27">
        <f>IF(NOT(ISNUMBER($D27)),"",_xlfn.NORM.DIST(CG$1,$D27,$E27,TRUE)-_xlfn.NORM.DIST(CG$2,$D27,$E27,TRUE))</f>
        <v/>
      </c>
      <c r="CH27">
        <f>IF(NOT(ISNUMBER($D27)),"",_xlfn.NORM.DIST(CH$1,$D27,$E27,TRUE)-_xlfn.NORM.DIST(CH$2,$D27,$E27,TRUE))</f>
        <v/>
      </c>
      <c r="CI27">
        <f>IF(NOT(ISNUMBER($D27)),"",_xlfn.NORM.DIST(CI$1,$D27,$E27,TRUE)-_xlfn.NORM.DIST(CI$2,$D27,$E27,TRUE))</f>
        <v/>
      </c>
      <c r="CJ27">
        <f>IF(ISNUMBER($D27),SUM(F27:CI27),"")</f>
        <v/>
      </c>
    </row>
    <row r="28">
      <c r="A28">
        <f>economics!A27</f>
        <v/>
      </c>
      <c r="B28">
        <f>economics!B27</f>
        <v/>
      </c>
      <c r="C28">
        <f>economics!D27</f>
        <v/>
      </c>
      <c r="D28">
        <f>IF(ISNUMBER(economics!T27),economics!T27,"na")</f>
        <v/>
      </c>
      <c r="E28">
        <f>IF(ISNUMBER(D28),MAX(0.3*ABS(D28),0.000001),"na")</f>
        <v/>
      </c>
      <c r="F28">
        <f>IF(NOT(ISNUMBER($D28)),"",_xlfn.NORM.DIST(F$1,$D28,$E28,TRUE)-_xlfn.NORM.DIST(F$2,$D28,$E28,TRUE))</f>
        <v/>
      </c>
      <c r="G28">
        <f>IF(NOT(ISNUMBER($D28)),"",_xlfn.NORM.DIST(G$1,$D28,$E28,TRUE)-_xlfn.NORM.DIST(G$2,$D28,$E28,TRUE))</f>
        <v/>
      </c>
      <c r="H28">
        <f>IF(NOT(ISNUMBER($D28)),"",_xlfn.NORM.DIST(H$1,$D28,$E28,TRUE)-_xlfn.NORM.DIST(H$2,$D28,$E28,TRUE))</f>
        <v/>
      </c>
      <c r="I28">
        <f>IF(NOT(ISNUMBER($D28)),"",_xlfn.NORM.DIST(I$1,$D28,$E28,TRUE)-_xlfn.NORM.DIST(I$2,$D28,$E28,TRUE))</f>
        <v/>
      </c>
      <c r="J28">
        <f>IF(NOT(ISNUMBER($D28)),"",_xlfn.NORM.DIST(J$1,$D28,$E28,TRUE)-_xlfn.NORM.DIST(J$2,$D28,$E28,TRUE))</f>
        <v/>
      </c>
      <c r="K28">
        <f>IF(NOT(ISNUMBER($D28)),"",_xlfn.NORM.DIST(K$1,$D28,$E28,TRUE)-_xlfn.NORM.DIST(K$2,$D28,$E28,TRUE))</f>
        <v/>
      </c>
      <c r="L28">
        <f>IF(NOT(ISNUMBER($D28)),"",_xlfn.NORM.DIST(L$1,$D28,$E28,TRUE)-_xlfn.NORM.DIST(L$2,$D28,$E28,TRUE))</f>
        <v/>
      </c>
      <c r="M28">
        <f>IF(NOT(ISNUMBER($D28)),"",_xlfn.NORM.DIST(M$1,$D28,$E28,TRUE)-_xlfn.NORM.DIST(M$2,$D28,$E28,TRUE))</f>
        <v/>
      </c>
      <c r="N28">
        <f>IF(NOT(ISNUMBER($D28)),"",_xlfn.NORM.DIST(N$1,$D28,$E28,TRUE)-_xlfn.NORM.DIST(N$2,$D28,$E28,TRUE))</f>
        <v/>
      </c>
      <c r="O28">
        <f>IF(NOT(ISNUMBER($D28)),"",_xlfn.NORM.DIST(O$1,$D28,$E28,TRUE)-_xlfn.NORM.DIST(O$2,$D28,$E28,TRUE))</f>
        <v/>
      </c>
      <c r="P28">
        <f>IF(NOT(ISNUMBER($D28)),"",_xlfn.NORM.DIST(P$1,$D28,$E28,TRUE)-_xlfn.NORM.DIST(P$2,$D28,$E28,TRUE))</f>
        <v/>
      </c>
      <c r="Q28">
        <f>IF(NOT(ISNUMBER($D28)),"",_xlfn.NORM.DIST(Q$1,$D28,$E28,TRUE)-_xlfn.NORM.DIST(Q$2,$D28,$E28,TRUE))</f>
        <v/>
      </c>
      <c r="R28">
        <f>IF(NOT(ISNUMBER($D28)),"",_xlfn.NORM.DIST(R$1,$D28,$E28,TRUE)-_xlfn.NORM.DIST(R$2,$D28,$E28,TRUE))</f>
        <v/>
      </c>
      <c r="S28">
        <f>IF(NOT(ISNUMBER($D28)),"",_xlfn.NORM.DIST(S$1,$D28,$E28,TRUE)-_xlfn.NORM.DIST(S$2,$D28,$E28,TRUE))</f>
        <v/>
      </c>
      <c r="T28">
        <f>IF(NOT(ISNUMBER($D28)),"",_xlfn.NORM.DIST(T$1,$D28,$E28,TRUE)-_xlfn.NORM.DIST(T$2,$D28,$E28,TRUE))</f>
        <v/>
      </c>
      <c r="U28">
        <f>IF(NOT(ISNUMBER($D28)),"",_xlfn.NORM.DIST(U$1,$D28,$E28,TRUE)-_xlfn.NORM.DIST(U$2,$D28,$E28,TRUE))</f>
        <v/>
      </c>
      <c r="V28">
        <f>IF(NOT(ISNUMBER($D28)),"",_xlfn.NORM.DIST(V$1,$D28,$E28,TRUE)-_xlfn.NORM.DIST(V$2,$D28,$E28,TRUE))</f>
        <v/>
      </c>
      <c r="W28">
        <f>IF(NOT(ISNUMBER($D28)),"",_xlfn.NORM.DIST(W$1,$D28,$E28,TRUE)-_xlfn.NORM.DIST(W$2,$D28,$E28,TRUE))</f>
        <v/>
      </c>
      <c r="X28">
        <f>IF(NOT(ISNUMBER($D28)),"",_xlfn.NORM.DIST(X$1,$D28,$E28,TRUE)-_xlfn.NORM.DIST(X$2,$D28,$E28,TRUE))</f>
        <v/>
      </c>
      <c r="Y28">
        <f>IF(NOT(ISNUMBER($D28)),"",_xlfn.NORM.DIST(Y$1,$D28,$E28,TRUE)-_xlfn.NORM.DIST(Y$2,$D28,$E28,TRUE))</f>
        <v/>
      </c>
      <c r="Z28">
        <f>IF(NOT(ISNUMBER($D28)),"",_xlfn.NORM.DIST(Z$1,$D28,$E28,TRUE)-_xlfn.NORM.DIST(Z$2,$D28,$E28,TRUE))</f>
        <v/>
      </c>
      <c r="AA28">
        <f>IF(NOT(ISNUMBER($D28)),"",_xlfn.NORM.DIST(AA$1,$D28,$E28,TRUE)-_xlfn.NORM.DIST(AA$2,$D28,$E28,TRUE))</f>
        <v/>
      </c>
      <c r="AB28">
        <f>IF(NOT(ISNUMBER($D28)),"",_xlfn.NORM.DIST(AB$1,$D28,$E28,TRUE)-_xlfn.NORM.DIST(AB$2,$D28,$E28,TRUE))</f>
        <v/>
      </c>
      <c r="AC28">
        <f>IF(NOT(ISNUMBER($D28)),"",_xlfn.NORM.DIST(AC$1,$D28,$E28,TRUE)-_xlfn.NORM.DIST(AC$2,$D28,$E28,TRUE))</f>
        <v/>
      </c>
      <c r="AD28">
        <f>IF(NOT(ISNUMBER($D28)),"",_xlfn.NORM.DIST(AD$1,$D28,$E28,TRUE)-_xlfn.NORM.DIST(AD$2,$D28,$E28,TRUE))</f>
        <v/>
      </c>
      <c r="AE28">
        <f>IF(NOT(ISNUMBER($D28)),"",_xlfn.NORM.DIST(AE$1,$D28,$E28,TRUE)-_xlfn.NORM.DIST(AE$2,$D28,$E28,TRUE))</f>
        <v/>
      </c>
      <c r="AF28">
        <f>IF(NOT(ISNUMBER($D28)),"",_xlfn.NORM.DIST(AF$1,$D28,$E28,TRUE)-_xlfn.NORM.DIST(AF$2,$D28,$E28,TRUE))</f>
        <v/>
      </c>
      <c r="AG28">
        <f>IF(NOT(ISNUMBER($D28)),"",_xlfn.NORM.DIST(AG$1,$D28,$E28,TRUE)-_xlfn.NORM.DIST(AG$2,$D28,$E28,TRUE))</f>
        <v/>
      </c>
      <c r="AH28">
        <f>IF(NOT(ISNUMBER($D28)),"",_xlfn.NORM.DIST(AH$1,$D28,$E28,TRUE)-_xlfn.NORM.DIST(AH$2,$D28,$E28,TRUE))</f>
        <v/>
      </c>
      <c r="AI28">
        <f>IF(NOT(ISNUMBER($D28)),"",_xlfn.NORM.DIST(AI$1,$D28,$E28,TRUE)-_xlfn.NORM.DIST(AI$2,$D28,$E28,TRUE))</f>
        <v/>
      </c>
      <c r="AJ28">
        <f>IF(NOT(ISNUMBER($D28)),"",_xlfn.NORM.DIST(AJ$1,$D28,$E28,TRUE)-_xlfn.NORM.DIST(AJ$2,$D28,$E28,TRUE))</f>
        <v/>
      </c>
      <c r="AK28">
        <f>IF(NOT(ISNUMBER($D28)),"",_xlfn.NORM.DIST(AK$1,$D28,$E28,TRUE)-_xlfn.NORM.DIST(AK$2,$D28,$E28,TRUE))</f>
        <v/>
      </c>
      <c r="AL28">
        <f>IF(NOT(ISNUMBER($D28)),"",_xlfn.NORM.DIST(AL$1,$D28,$E28,TRUE)-_xlfn.NORM.DIST(AL$2,$D28,$E28,TRUE))</f>
        <v/>
      </c>
      <c r="AM28">
        <f>IF(NOT(ISNUMBER($D28)),"",_xlfn.NORM.DIST(AM$1,$D28,$E28,TRUE)-_xlfn.NORM.DIST(AM$2,$D28,$E28,TRUE))</f>
        <v/>
      </c>
      <c r="AN28">
        <f>IF(NOT(ISNUMBER($D28)),"",_xlfn.NORM.DIST(AN$1,$D28,$E28,TRUE)-_xlfn.NORM.DIST(AN$2,$D28,$E28,TRUE))</f>
        <v/>
      </c>
      <c r="AO28">
        <f>IF(NOT(ISNUMBER($D28)),"",_xlfn.NORM.DIST(AO$1,$D28,$E28,TRUE)-_xlfn.NORM.DIST(AO$2,$D28,$E28,TRUE))</f>
        <v/>
      </c>
      <c r="AP28">
        <f>IF(NOT(ISNUMBER($D28)),"",_xlfn.NORM.DIST(AP$1,$D28,$E28,TRUE)-_xlfn.NORM.DIST(AP$2,$D28,$E28,TRUE))</f>
        <v/>
      </c>
      <c r="AQ28">
        <f>IF(NOT(ISNUMBER($D28)),"",_xlfn.NORM.DIST(AQ$1,$D28,$E28,TRUE)-_xlfn.NORM.DIST(AQ$2,$D28,$E28,TRUE))</f>
        <v/>
      </c>
      <c r="AR28">
        <f>IF(NOT(ISNUMBER($D28)),"",_xlfn.NORM.DIST(AR$1,$D28,$E28,TRUE)-_xlfn.NORM.DIST(AR$2,$D28,$E28,TRUE))</f>
        <v/>
      </c>
      <c r="AS28">
        <f>IF(NOT(ISNUMBER($D28)),"",_xlfn.NORM.DIST(AS$1,$D28,$E28,TRUE)-_xlfn.NORM.DIST(AS$2,$D28,$E28,TRUE))</f>
        <v/>
      </c>
      <c r="AT28">
        <f>IF(NOT(ISNUMBER($D28)),"",_xlfn.NORM.DIST(AT$1,$D28,$E28,TRUE)-_xlfn.NORM.DIST(AT$2,$D28,$E28,TRUE))</f>
        <v/>
      </c>
      <c r="AU28">
        <f>IF(NOT(ISNUMBER($D28)),"",_xlfn.NORM.DIST(AU$1,$D28,$E28,TRUE)-_xlfn.NORM.DIST(AU$2,$D28,$E28,TRUE))</f>
        <v/>
      </c>
      <c r="AV28">
        <f>IF(NOT(ISNUMBER($D28)),"",_xlfn.NORM.DIST(AV$1,$D28,$E28,TRUE)-_xlfn.NORM.DIST(AV$2,$D28,$E28,TRUE))</f>
        <v/>
      </c>
      <c r="AW28">
        <f>IF(NOT(ISNUMBER($D28)),"",_xlfn.NORM.DIST(AW$1,$D28,$E28,TRUE)-_xlfn.NORM.DIST(AW$2,$D28,$E28,TRUE))</f>
        <v/>
      </c>
      <c r="AX28">
        <f>IF(NOT(ISNUMBER($D28)),"",_xlfn.NORM.DIST(AX$1,$D28,$E28,TRUE)-_xlfn.NORM.DIST(AX$2,$D28,$E28,TRUE))</f>
        <v/>
      </c>
      <c r="AY28">
        <f>IF(NOT(ISNUMBER($D28)),"",_xlfn.NORM.DIST(AY$1,$D28,$E28,TRUE)-_xlfn.NORM.DIST(AY$2,$D28,$E28,TRUE))</f>
        <v/>
      </c>
      <c r="AZ28">
        <f>IF(NOT(ISNUMBER($D28)),"",_xlfn.NORM.DIST(AZ$1,$D28,$E28,TRUE)-_xlfn.NORM.DIST(AZ$2,$D28,$E28,TRUE))</f>
        <v/>
      </c>
      <c r="BA28">
        <f>IF(NOT(ISNUMBER($D28)),"",_xlfn.NORM.DIST(BA$1,$D28,$E28,TRUE)-_xlfn.NORM.DIST(BA$2,$D28,$E28,TRUE))</f>
        <v/>
      </c>
      <c r="BB28">
        <f>IF(NOT(ISNUMBER($D28)),"",_xlfn.NORM.DIST(BB$1,$D28,$E28,TRUE)-_xlfn.NORM.DIST(BB$2,$D28,$E28,TRUE))</f>
        <v/>
      </c>
      <c r="BC28">
        <f>IF(NOT(ISNUMBER($D28)),"",_xlfn.NORM.DIST(BC$1,$D28,$E28,TRUE)-_xlfn.NORM.DIST(BC$2,$D28,$E28,TRUE))</f>
        <v/>
      </c>
      <c r="BD28">
        <f>IF(NOT(ISNUMBER($D28)),"",_xlfn.NORM.DIST(BD$1,$D28,$E28,TRUE)-_xlfn.NORM.DIST(BD$2,$D28,$E28,TRUE))</f>
        <v/>
      </c>
      <c r="BE28">
        <f>IF(NOT(ISNUMBER($D28)),"",_xlfn.NORM.DIST(BE$1,$D28,$E28,TRUE)-_xlfn.NORM.DIST(BE$2,$D28,$E28,TRUE))</f>
        <v/>
      </c>
      <c r="BF28">
        <f>IF(NOT(ISNUMBER($D28)),"",_xlfn.NORM.DIST(BF$1,$D28,$E28,TRUE)-_xlfn.NORM.DIST(BF$2,$D28,$E28,TRUE))</f>
        <v/>
      </c>
      <c r="BG28">
        <f>IF(NOT(ISNUMBER($D28)),"",_xlfn.NORM.DIST(BG$1,$D28,$E28,TRUE)-_xlfn.NORM.DIST(BG$2,$D28,$E28,TRUE))</f>
        <v/>
      </c>
      <c r="BH28">
        <f>IF(NOT(ISNUMBER($D28)),"",_xlfn.NORM.DIST(BH$1,$D28,$E28,TRUE)-_xlfn.NORM.DIST(BH$2,$D28,$E28,TRUE))</f>
        <v/>
      </c>
      <c r="BI28">
        <f>IF(NOT(ISNUMBER($D28)),"",_xlfn.NORM.DIST(BI$1,$D28,$E28,TRUE)-_xlfn.NORM.DIST(BI$2,$D28,$E28,TRUE))</f>
        <v/>
      </c>
      <c r="BJ28">
        <f>IF(NOT(ISNUMBER($D28)),"",_xlfn.NORM.DIST(BJ$1,$D28,$E28,TRUE)-_xlfn.NORM.DIST(BJ$2,$D28,$E28,TRUE))</f>
        <v/>
      </c>
      <c r="BK28">
        <f>IF(NOT(ISNUMBER($D28)),"",_xlfn.NORM.DIST(BK$1,$D28,$E28,TRUE)-_xlfn.NORM.DIST(BK$2,$D28,$E28,TRUE))</f>
        <v/>
      </c>
      <c r="BL28">
        <f>IF(NOT(ISNUMBER($D28)),"",_xlfn.NORM.DIST(BL$1,$D28,$E28,TRUE)-_xlfn.NORM.DIST(BL$2,$D28,$E28,TRUE))</f>
        <v/>
      </c>
      <c r="BM28">
        <f>IF(NOT(ISNUMBER($D28)),"",_xlfn.NORM.DIST(BM$1,$D28,$E28,TRUE)-_xlfn.NORM.DIST(BM$2,$D28,$E28,TRUE))</f>
        <v/>
      </c>
      <c r="BN28">
        <f>IF(NOT(ISNUMBER($D28)),"",_xlfn.NORM.DIST(BN$1,$D28,$E28,TRUE)-_xlfn.NORM.DIST(BN$2,$D28,$E28,TRUE))</f>
        <v/>
      </c>
      <c r="BO28">
        <f>IF(NOT(ISNUMBER($D28)),"",_xlfn.NORM.DIST(BO$1,$D28,$E28,TRUE)-_xlfn.NORM.DIST(BO$2,$D28,$E28,TRUE))</f>
        <v/>
      </c>
      <c r="BP28">
        <f>IF(NOT(ISNUMBER($D28)),"",_xlfn.NORM.DIST(BP$1,$D28,$E28,TRUE)-_xlfn.NORM.DIST(BP$2,$D28,$E28,TRUE))</f>
        <v/>
      </c>
      <c r="BQ28">
        <f>IF(NOT(ISNUMBER($D28)),"",_xlfn.NORM.DIST(BQ$1,$D28,$E28,TRUE)-_xlfn.NORM.DIST(BQ$2,$D28,$E28,TRUE))</f>
        <v/>
      </c>
      <c r="BR28">
        <f>IF(NOT(ISNUMBER($D28)),"",_xlfn.NORM.DIST(BR$1,$D28,$E28,TRUE)-_xlfn.NORM.DIST(BR$2,$D28,$E28,TRUE))</f>
        <v/>
      </c>
      <c r="BS28">
        <f>IF(NOT(ISNUMBER($D28)),"",_xlfn.NORM.DIST(BS$1,$D28,$E28,TRUE)-_xlfn.NORM.DIST(BS$2,$D28,$E28,TRUE))</f>
        <v/>
      </c>
      <c r="BT28">
        <f>IF(NOT(ISNUMBER($D28)),"",_xlfn.NORM.DIST(BT$1,$D28,$E28,TRUE)-_xlfn.NORM.DIST(BT$2,$D28,$E28,TRUE))</f>
        <v/>
      </c>
      <c r="BU28">
        <f>IF(NOT(ISNUMBER($D28)),"",_xlfn.NORM.DIST(BU$1,$D28,$E28,TRUE)-_xlfn.NORM.DIST(BU$2,$D28,$E28,TRUE))</f>
        <v/>
      </c>
      <c r="BV28">
        <f>IF(NOT(ISNUMBER($D28)),"",_xlfn.NORM.DIST(BV$1,$D28,$E28,TRUE)-_xlfn.NORM.DIST(BV$2,$D28,$E28,TRUE))</f>
        <v/>
      </c>
      <c r="BW28">
        <f>IF(NOT(ISNUMBER($D28)),"",_xlfn.NORM.DIST(BW$1,$D28,$E28,TRUE)-_xlfn.NORM.DIST(BW$2,$D28,$E28,TRUE))</f>
        <v/>
      </c>
      <c r="BX28">
        <f>IF(NOT(ISNUMBER($D28)),"",_xlfn.NORM.DIST(BX$1,$D28,$E28,TRUE)-_xlfn.NORM.DIST(BX$2,$D28,$E28,TRUE))</f>
        <v/>
      </c>
      <c r="BY28">
        <f>IF(NOT(ISNUMBER($D28)),"",_xlfn.NORM.DIST(BY$1,$D28,$E28,TRUE)-_xlfn.NORM.DIST(BY$2,$D28,$E28,TRUE))</f>
        <v/>
      </c>
      <c r="BZ28">
        <f>IF(NOT(ISNUMBER($D28)),"",_xlfn.NORM.DIST(BZ$1,$D28,$E28,TRUE)-_xlfn.NORM.DIST(BZ$2,$D28,$E28,TRUE))</f>
        <v/>
      </c>
      <c r="CA28">
        <f>IF(NOT(ISNUMBER($D28)),"",_xlfn.NORM.DIST(CA$1,$D28,$E28,TRUE)-_xlfn.NORM.DIST(CA$2,$D28,$E28,TRUE))</f>
        <v/>
      </c>
      <c r="CB28">
        <f>IF(NOT(ISNUMBER($D28)),"",_xlfn.NORM.DIST(CB$1,$D28,$E28,TRUE)-_xlfn.NORM.DIST(CB$2,$D28,$E28,TRUE))</f>
        <v/>
      </c>
      <c r="CC28">
        <f>IF(NOT(ISNUMBER($D28)),"",_xlfn.NORM.DIST(CC$1,$D28,$E28,TRUE)-_xlfn.NORM.DIST(CC$2,$D28,$E28,TRUE))</f>
        <v/>
      </c>
      <c r="CD28">
        <f>IF(NOT(ISNUMBER($D28)),"",_xlfn.NORM.DIST(CD$1,$D28,$E28,TRUE)-_xlfn.NORM.DIST(CD$2,$D28,$E28,TRUE))</f>
        <v/>
      </c>
      <c r="CE28">
        <f>IF(NOT(ISNUMBER($D28)),"",_xlfn.NORM.DIST(CE$1,$D28,$E28,TRUE)-_xlfn.NORM.DIST(CE$2,$D28,$E28,TRUE))</f>
        <v/>
      </c>
      <c r="CF28">
        <f>IF(NOT(ISNUMBER($D28)),"",_xlfn.NORM.DIST(CF$1,$D28,$E28,TRUE)-_xlfn.NORM.DIST(CF$2,$D28,$E28,TRUE))</f>
        <v/>
      </c>
      <c r="CG28">
        <f>IF(NOT(ISNUMBER($D28)),"",_xlfn.NORM.DIST(CG$1,$D28,$E28,TRUE)-_xlfn.NORM.DIST(CG$2,$D28,$E28,TRUE))</f>
        <v/>
      </c>
      <c r="CH28">
        <f>IF(NOT(ISNUMBER($D28)),"",_xlfn.NORM.DIST(CH$1,$D28,$E28,TRUE)-_xlfn.NORM.DIST(CH$2,$D28,$E28,TRUE))</f>
        <v/>
      </c>
      <c r="CI28">
        <f>IF(NOT(ISNUMBER($D28)),"",_xlfn.NORM.DIST(CI$1,$D28,$E28,TRUE)-_xlfn.NORM.DIST(CI$2,$D28,$E28,TRUE))</f>
        <v/>
      </c>
      <c r="CJ28">
        <f>IF(ISNUMBER($D28),SUM(F28:CI28),"")</f>
        <v/>
      </c>
    </row>
    <row r="29">
      <c r="A29">
        <f>economics!A28</f>
        <v/>
      </c>
      <c r="B29">
        <f>economics!B28</f>
        <v/>
      </c>
      <c r="C29">
        <f>economics!D28</f>
        <v/>
      </c>
      <c r="D29">
        <f>IF(ISNUMBER(economics!T28),economics!T28,"na")</f>
        <v/>
      </c>
      <c r="E29">
        <f>IF(ISNUMBER(D29),MAX(0.3*ABS(D29),0.000001),"na")</f>
        <v/>
      </c>
      <c r="F29">
        <f>IF(NOT(ISNUMBER($D29)),"",_xlfn.NORM.DIST(F$1,$D29,$E29,TRUE)-_xlfn.NORM.DIST(F$2,$D29,$E29,TRUE))</f>
        <v/>
      </c>
      <c r="G29">
        <f>IF(NOT(ISNUMBER($D29)),"",_xlfn.NORM.DIST(G$1,$D29,$E29,TRUE)-_xlfn.NORM.DIST(G$2,$D29,$E29,TRUE))</f>
        <v/>
      </c>
      <c r="H29">
        <f>IF(NOT(ISNUMBER($D29)),"",_xlfn.NORM.DIST(H$1,$D29,$E29,TRUE)-_xlfn.NORM.DIST(H$2,$D29,$E29,TRUE))</f>
        <v/>
      </c>
      <c r="I29">
        <f>IF(NOT(ISNUMBER($D29)),"",_xlfn.NORM.DIST(I$1,$D29,$E29,TRUE)-_xlfn.NORM.DIST(I$2,$D29,$E29,TRUE))</f>
        <v/>
      </c>
      <c r="J29">
        <f>IF(NOT(ISNUMBER($D29)),"",_xlfn.NORM.DIST(J$1,$D29,$E29,TRUE)-_xlfn.NORM.DIST(J$2,$D29,$E29,TRUE))</f>
        <v/>
      </c>
      <c r="K29">
        <f>IF(NOT(ISNUMBER($D29)),"",_xlfn.NORM.DIST(K$1,$D29,$E29,TRUE)-_xlfn.NORM.DIST(K$2,$D29,$E29,TRUE))</f>
        <v/>
      </c>
      <c r="L29">
        <f>IF(NOT(ISNUMBER($D29)),"",_xlfn.NORM.DIST(L$1,$D29,$E29,TRUE)-_xlfn.NORM.DIST(L$2,$D29,$E29,TRUE))</f>
        <v/>
      </c>
      <c r="M29">
        <f>IF(NOT(ISNUMBER($D29)),"",_xlfn.NORM.DIST(M$1,$D29,$E29,TRUE)-_xlfn.NORM.DIST(M$2,$D29,$E29,TRUE))</f>
        <v/>
      </c>
      <c r="N29">
        <f>IF(NOT(ISNUMBER($D29)),"",_xlfn.NORM.DIST(N$1,$D29,$E29,TRUE)-_xlfn.NORM.DIST(N$2,$D29,$E29,TRUE))</f>
        <v/>
      </c>
      <c r="O29">
        <f>IF(NOT(ISNUMBER($D29)),"",_xlfn.NORM.DIST(O$1,$D29,$E29,TRUE)-_xlfn.NORM.DIST(O$2,$D29,$E29,TRUE))</f>
        <v/>
      </c>
      <c r="P29">
        <f>IF(NOT(ISNUMBER($D29)),"",_xlfn.NORM.DIST(P$1,$D29,$E29,TRUE)-_xlfn.NORM.DIST(P$2,$D29,$E29,TRUE))</f>
        <v/>
      </c>
      <c r="Q29">
        <f>IF(NOT(ISNUMBER($D29)),"",_xlfn.NORM.DIST(Q$1,$D29,$E29,TRUE)-_xlfn.NORM.DIST(Q$2,$D29,$E29,TRUE))</f>
        <v/>
      </c>
      <c r="R29">
        <f>IF(NOT(ISNUMBER($D29)),"",_xlfn.NORM.DIST(R$1,$D29,$E29,TRUE)-_xlfn.NORM.DIST(R$2,$D29,$E29,TRUE))</f>
        <v/>
      </c>
      <c r="S29">
        <f>IF(NOT(ISNUMBER($D29)),"",_xlfn.NORM.DIST(S$1,$D29,$E29,TRUE)-_xlfn.NORM.DIST(S$2,$D29,$E29,TRUE))</f>
        <v/>
      </c>
      <c r="T29">
        <f>IF(NOT(ISNUMBER($D29)),"",_xlfn.NORM.DIST(T$1,$D29,$E29,TRUE)-_xlfn.NORM.DIST(T$2,$D29,$E29,TRUE))</f>
        <v/>
      </c>
      <c r="U29">
        <f>IF(NOT(ISNUMBER($D29)),"",_xlfn.NORM.DIST(U$1,$D29,$E29,TRUE)-_xlfn.NORM.DIST(U$2,$D29,$E29,TRUE))</f>
        <v/>
      </c>
      <c r="V29">
        <f>IF(NOT(ISNUMBER($D29)),"",_xlfn.NORM.DIST(V$1,$D29,$E29,TRUE)-_xlfn.NORM.DIST(V$2,$D29,$E29,TRUE))</f>
        <v/>
      </c>
      <c r="W29">
        <f>IF(NOT(ISNUMBER($D29)),"",_xlfn.NORM.DIST(W$1,$D29,$E29,TRUE)-_xlfn.NORM.DIST(W$2,$D29,$E29,TRUE))</f>
        <v/>
      </c>
      <c r="X29">
        <f>IF(NOT(ISNUMBER($D29)),"",_xlfn.NORM.DIST(X$1,$D29,$E29,TRUE)-_xlfn.NORM.DIST(X$2,$D29,$E29,TRUE))</f>
        <v/>
      </c>
      <c r="Y29">
        <f>IF(NOT(ISNUMBER($D29)),"",_xlfn.NORM.DIST(Y$1,$D29,$E29,TRUE)-_xlfn.NORM.DIST(Y$2,$D29,$E29,TRUE))</f>
        <v/>
      </c>
      <c r="Z29">
        <f>IF(NOT(ISNUMBER($D29)),"",_xlfn.NORM.DIST(Z$1,$D29,$E29,TRUE)-_xlfn.NORM.DIST(Z$2,$D29,$E29,TRUE))</f>
        <v/>
      </c>
      <c r="AA29">
        <f>IF(NOT(ISNUMBER($D29)),"",_xlfn.NORM.DIST(AA$1,$D29,$E29,TRUE)-_xlfn.NORM.DIST(AA$2,$D29,$E29,TRUE))</f>
        <v/>
      </c>
      <c r="AB29">
        <f>IF(NOT(ISNUMBER($D29)),"",_xlfn.NORM.DIST(AB$1,$D29,$E29,TRUE)-_xlfn.NORM.DIST(AB$2,$D29,$E29,TRUE))</f>
        <v/>
      </c>
      <c r="AC29">
        <f>IF(NOT(ISNUMBER($D29)),"",_xlfn.NORM.DIST(AC$1,$D29,$E29,TRUE)-_xlfn.NORM.DIST(AC$2,$D29,$E29,TRUE))</f>
        <v/>
      </c>
      <c r="AD29">
        <f>IF(NOT(ISNUMBER($D29)),"",_xlfn.NORM.DIST(AD$1,$D29,$E29,TRUE)-_xlfn.NORM.DIST(AD$2,$D29,$E29,TRUE))</f>
        <v/>
      </c>
      <c r="AE29">
        <f>IF(NOT(ISNUMBER($D29)),"",_xlfn.NORM.DIST(AE$1,$D29,$E29,TRUE)-_xlfn.NORM.DIST(AE$2,$D29,$E29,TRUE))</f>
        <v/>
      </c>
      <c r="AF29">
        <f>IF(NOT(ISNUMBER($D29)),"",_xlfn.NORM.DIST(AF$1,$D29,$E29,TRUE)-_xlfn.NORM.DIST(AF$2,$D29,$E29,TRUE))</f>
        <v/>
      </c>
      <c r="AG29">
        <f>IF(NOT(ISNUMBER($D29)),"",_xlfn.NORM.DIST(AG$1,$D29,$E29,TRUE)-_xlfn.NORM.DIST(AG$2,$D29,$E29,TRUE))</f>
        <v/>
      </c>
      <c r="AH29">
        <f>IF(NOT(ISNUMBER($D29)),"",_xlfn.NORM.DIST(AH$1,$D29,$E29,TRUE)-_xlfn.NORM.DIST(AH$2,$D29,$E29,TRUE))</f>
        <v/>
      </c>
      <c r="AI29">
        <f>IF(NOT(ISNUMBER($D29)),"",_xlfn.NORM.DIST(AI$1,$D29,$E29,TRUE)-_xlfn.NORM.DIST(AI$2,$D29,$E29,TRUE))</f>
        <v/>
      </c>
      <c r="AJ29">
        <f>IF(NOT(ISNUMBER($D29)),"",_xlfn.NORM.DIST(AJ$1,$D29,$E29,TRUE)-_xlfn.NORM.DIST(AJ$2,$D29,$E29,TRUE))</f>
        <v/>
      </c>
      <c r="AK29">
        <f>IF(NOT(ISNUMBER($D29)),"",_xlfn.NORM.DIST(AK$1,$D29,$E29,TRUE)-_xlfn.NORM.DIST(AK$2,$D29,$E29,TRUE))</f>
        <v/>
      </c>
      <c r="AL29">
        <f>IF(NOT(ISNUMBER($D29)),"",_xlfn.NORM.DIST(AL$1,$D29,$E29,TRUE)-_xlfn.NORM.DIST(AL$2,$D29,$E29,TRUE))</f>
        <v/>
      </c>
      <c r="AM29">
        <f>IF(NOT(ISNUMBER($D29)),"",_xlfn.NORM.DIST(AM$1,$D29,$E29,TRUE)-_xlfn.NORM.DIST(AM$2,$D29,$E29,TRUE))</f>
        <v/>
      </c>
      <c r="AN29">
        <f>IF(NOT(ISNUMBER($D29)),"",_xlfn.NORM.DIST(AN$1,$D29,$E29,TRUE)-_xlfn.NORM.DIST(AN$2,$D29,$E29,TRUE))</f>
        <v/>
      </c>
      <c r="AO29">
        <f>IF(NOT(ISNUMBER($D29)),"",_xlfn.NORM.DIST(AO$1,$D29,$E29,TRUE)-_xlfn.NORM.DIST(AO$2,$D29,$E29,TRUE))</f>
        <v/>
      </c>
      <c r="AP29">
        <f>IF(NOT(ISNUMBER($D29)),"",_xlfn.NORM.DIST(AP$1,$D29,$E29,TRUE)-_xlfn.NORM.DIST(AP$2,$D29,$E29,TRUE))</f>
        <v/>
      </c>
      <c r="AQ29">
        <f>IF(NOT(ISNUMBER($D29)),"",_xlfn.NORM.DIST(AQ$1,$D29,$E29,TRUE)-_xlfn.NORM.DIST(AQ$2,$D29,$E29,TRUE))</f>
        <v/>
      </c>
      <c r="AR29">
        <f>IF(NOT(ISNUMBER($D29)),"",_xlfn.NORM.DIST(AR$1,$D29,$E29,TRUE)-_xlfn.NORM.DIST(AR$2,$D29,$E29,TRUE))</f>
        <v/>
      </c>
      <c r="AS29">
        <f>IF(NOT(ISNUMBER($D29)),"",_xlfn.NORM.DIST(AS$1,$D29,$E29,TRUE)-_xlfn.NORM.DIST(AS$2,$D29,$E29,TRUE))</f>
        <v/>
      </c>
      <c r="AT29">
        <f>IF(NOT(ISNUMBER($D29)),"",_xlfn.NORM.DIST(AT$1,$D29,$E29,TRUE)-_xlfn.NORM.DIST(AT$2,$D29,$E29,TRUE))</f>
        <v/>
      </c>
      <c r="AU29">
        <f>IF(NOT(ISNUMBER($D29)),"",_xlfn.NORM.DIST(AU$1,$D29,$E29,TRUE)-_xlfn.NORM.DIST(AU$2,$D29,$E29,TRUE))</f>
        <v/>
      </c>
      <c r="AV29">
        <f>IF(NOT(ISNUMBER($D29)),"",_xlfn.NORM.DIST(AV$1,$D29,$E29,TRUE)-_xlfn.NORM.DIST(AV$2,$D29,$E29,TRUE))</f>
        <v/>
      </c>
      <c r="AW29">
        <f>IF(NOT(ISNUMBER($D29)),"",_xlfn.NORM.DIST(AW$1,$D29,$E29,TRUE)-_xlfn.NORM.DIST(AW$2,$D29,$E29,TRUE))</f>
        <v/>
      </c>
      <c r="AX29">
        <f>IF(NOT(ISNUMBER($D29)),"",_xlfn.NORM.DIST(AX$1,$D29,$E29,TRUE)-_xlfn.NORM.DIST(AX$2,$D29,$E29,TRUE))</f>
        <v/>
      </c>
      <c r="AY29">
        <f>IF(NOT(ISNUMBER($D29)),"",_xlfn.NORM.DIST(AY$1,$D29,$E29,TRUE)-_xlfn.NORM.DIST(AY$2,$D29,$E29,TRUE))</f>
        <v/>
      </c>
      <c r="AZ29">
        <f>IF(NOT(ISNUMBER($D29)),"",_xlfn.NORM.DIST(AZ$1,$D29,$E29,TRUE)-_xlfn.NORM.DIST(AZ$2,$D29,$E29,TRUE))</f>
        <v/>
      </c>
      <c r="BA29">
        <f>IF(NOT(ISNUMBER($D29)),"",_xlfn.NORM.DIST(BA$1,$D29,$E29,TRUE)-_xlfn.NORM.DIST(BA$2,$D29,$E29,TRUE))</f>
        <v/>
      </c>
      <c r="BB29">
        <f>IF(NOT(ISNUMBER($D29)),"",_xlfn.NORM.DIST(BB$1,$D29,$E29,TRUE)-_xlfn.NORM.DIST(BB$2,$D29,$E29,TRUE))</f>
        <v/>
      </c>
      <c r="BC29">
        <f>IF(NOT(ISNUMBER($D29)),"",_xlfn.NORM.DIST(BC$1,$D29,$E29,TRUE)-_xlfn.NORM.DIST(BC$2,$D29,$E29,TRUE))</f>
        <v/>
      </c>
      <c r="BD29">
        <f>IF(NOT(ISNUMBER($D29)),"",_xlfn.NORM.DIST(BD$1,$D29,$E29,TRUE)-_xlfn.NORM.DIST(BD$2,$D29,$E29,TRUE))</f>
        <v/>
      </c>
      <c r="BE29">
        <f>IF(NOT(ISNUMBER($D29)),"",_xlfn.NORM.DIST(BE$1,$D29,$E29,TRUE)-_xlfn.NORM.DIST(BE$2,$D29,$E29,TRUE))</f>
        <v/>
      </c>
      <c r="BF29">
        <f>IF(NOT(ISNUMBER($D29)),"",_xlfn.NORM.DIST(BF$1,$D29,$E29,TRUE)-_xlfn.NORM.DIST(BF$2,$D29,$E29,TRUE))</f>
        <v/>
      </c>
      <c r="BG29">
        <f>IF(NOT(ISNUMBER($D29)),"",_xlfn.NORM.DIST(BG$1,$D29,$E29,TRUE)-_xlfn.NORM.DIST(BG$2,$D29,$E29,TRUE))</f>
        <v/>
      </c>
      <c r="BH29">
        <f>IF(NOT(ISNUMBER($D29)),"",_xlfn.NORM.DIST(BH$1,$D29,$E29,TRUE)-_xlfn.NORM.DIST(BH$2,$D29,$E29,TRUE))</f>
        <v/>
      </c>
      <c r="BI29">
        <f>IF(NOT(ISNUMBER($D29)),"",_xlfn.NORM.DIST(BI$1,$D29,$E29,TRUE)-_xlfn.NORM.DIST(BI$2,$D29,$E29,TRUE))</f>
        <v/>
      </c>
      <c r="BJ29">
        <f>IF(NOT(ISNUMBER($D29)),"",_xlfn.NORM.DIST(BJ$1,$D29,$E29,TRUE)-_xlfn.NORM.DIST(BJ$2,$D29,$E29,TRUE))</f>
        <v/>
      </c>
      <c r="BK29">
        <f>IF(NOT(ISNUMBER($D29)),"",_xlfn.NORM.DIST(BK$1,$D29,$E29,TRUE)-_xlfn.NORM.DIST(BK$2,$D29,$E29,TRUE))</f>
        <v/>
      </c>
      <c r="BL29">
        <f>IF(NOT(ISNUMBER($D29)),"",_xlfn.NORM.DIST(BL$1,$D29,$E29,TRUE)-_xlfn.NORM.DIST(BL$2,$D29,$E29,TRUE))</f>
        <v/>
      </c>
      <c r="BM29">
        <f>IF(NOT(ISNUMBER($D29)),"",_xlfn.NORM.DIST(BM$1,$D29,$E29,TRUE)-_xlfn.NORM.DIST(BM$2,$D29,$E29,TRUE))</f>
        <v/>
      </c>
      <c r="BN29">
        <f>IF(NOT(ISNUMBER($D29)),"",_xlfn.NORM.DIST(BN$1,$D29,$E29,TRUE)-_xlfn.NORM.DIST(BN$2,$D29,$E29,TRUE))</f>
        <v/>
      </c>
      <c r="BO29">
        <f>IF(NOT(ISNUMBER($D29)),"",_xlfn.NORM.DIST(BO$1,$D29,$E29,TRUE)-_xlfn.NORM.DIST(BO$2,$D29,$E29,TRUE))</f>
        <v/>
      </c>
      <c r="BP29">
        <f>IF(NOT(ISNUMBER($D29)),"",_xlfn.NORM.DIST(BP$1,$D29,$E29,TRUE)-_xlfn.NORM.DIST(BP$2,$D29,$E29,TRUE))</f>
        <v/>
      </c>
      <c r="BQ29">
        <f>IF(NOT(ISNUMBER($D29)),"",_xlfn.NORM.DIST(BQ$1,$D29,$E29,TRUE)-_xlfn.NORM.DIST(BQ$2,$D29,$E29,TRUE))</f>
        <v/>
      </c>
      <c r="BR29">
        <f>IF(NOT(ISNUMBER($D29)),"",_xlfn.NORM.DIST(BR$1,$D29,$E29,TRUE)-_xlfn.NORM.DIST(BR$2,$D29,$E29,TRUE))</f>
        <v/>
      </c>
      <c r="BS29">
        <f>IF(NOT(ISNUMBER($D29)),"",_xlfn.NORM.DIST(BS$1,$D29,$E29,TRUE)-_xlfn.NORM.DIST(BS$2,$D29,$E29,TRUE))</f>
        <v/>
      </c>
      <c r="BT29">
        <f>IF(NOT(ISNUMBER($D29)),"",_xlfn.NORM.DIST(BT$1,$D29,$E29,TRUE)-_xlfn.NORM.DIST(BT$2,$D29,$E29,TRUE))</f>
        <v/>
      </c>
      <c r="BU29">
        <f>IF(NOT(ISNUMBER($D29)),"",_xlfn.NORM.DIST(BU$1,$D29,$E29,TRUE)-_xlfn.NORM.DIST(BU$2,$D29,$E29,TRUE))</f>
        <v/>
      </c>
      <c r="BV29">
        <f>IF(NOT(ISNUMBER($D29)),"",_xlfn.NORM.DIST(BV$1,$D29,$E29,TRUE)-_xlfn.NORM.DIST(BV$2,$D29,$E29,TRUE))</f>
        <v/>
      </c>
      <c r="BW29">
        <f>IF(NOT(ISNUMBER($D29)),"",_xlfn.NORM.DIST(BW$1,$D29,$E29,TRUE)-_xlfn.NORM.DIST(BW$2,$D29,$E29,TRUE))</f>
        <v/>
      </c>
      <c r="BX29">
        <f>IF(NOT(ISNUMBER($D29)),"",_xlfn.NORM.DIST(BX$1,$D29,$E29,TRUE)-_xlfn.NORM.DIST(BX$2,$D29,$E29,TRUE))</f>
        <v/>
      </c>
      <c r="BY29">
        <f>IF(NOT(ISNUMBER($D29)),"",_xlfn.NORM.DIST(BY$1,$D29,$E29,TRUE)-_xlfn.NORM.DIST(BY$2,$D29,$E29,TRUE))</f>
        <v/>
      </c>
      <c r="BZ29">
        <f>IF(NOT(ISNUMBER($D29)),"",_xlfn.NORM.DIST(BZ$1,$D29,$E29,TRUE)-_xlfn.NORM.DIST(BZ$2,$D29,$E29,TRUE))</f>
        <v/>
      </c>
      <c r="CA29">
        <f>IF(NOT(ISNUMBER($D29)),"",_xlfn.NORM.DIST(CA$1,$D29,$E29,TRUE)-_xlfn.NORM.DIST(CA$2,$D29,$E29,TRUE))</f>
        <v/>
      </c>
      <c r="CB29">
        <f>IF(NOT(ISNUMBER($D29)),"",_xlfn.NORM.DIST(CB$1,$D29,$E29,TRUE)-_xlfn.NORM.DIST(CB$2,$D29,$E29,TRUE))</f>
        <v/>
      </c>
      <c r="CC29">
        <f>IF(NOT(ISNUMBER($D29)),"",_xlfn.NORM.DIST(CC$1,$D29,$E29,TRUE)-_xlfn.NORM.DIST(CC$2,$D29,$E29,TRUE))</f>
        <v/>
      </c>
      <c r="CD29">
        <f>IF(NOT(ISNUMBER($D29)),"",_xlfn.NORM.DIST(CD$1,$D29,$E29,TRUE)-_xlfn.NORM.DIST(CD$2,$D29,$E29,TRUE))</f>
        <v/>
      </c>
      <c r="CE29">
        <f>IF(NOT(ISNUMBER($D29)),"",_xlfn.NORM.DIST(CE$1,$D29,$E29,TRUE)-_xlfn.NORM.DIST(CE$2,$D29,$E29,TRUE))</f>
        <v/>
      </c>
      <c r="CF29">
        <f>IF(NOT(ISNUMBER($D29)),"",_xlfn.NORM.DIST(CF$1,$D29,$E29,TRUE)-_xlfn.NORM.DIST(CF$2,$D29,$E29,TRUE))</f>
        <v/>
      </c>
      <c r="CG29">
        <f>IF(NOT(ISNUMBER($D29)),"",_xlfn.NORM.DIST(CG$1,$D29,$E29,TRUE)-_xlfn.NORM.DIST(CG$2,$D29,$E29,TRUE))</f>
        <v/>
      </c>
      <c r="CH29">
        <f>IF(NOT(ISNUMBER($D29)),"",_xlfn.NORM.DIST(CH$1,$D29,$E29,TRUE)-_xlfn.NORM.DIST(CH$2,$D29,$E29,TRUE))</f>
        <v/>
      </c>
      <c r="CI29">
        <f>IF(NOT(ISNUMBER($D29)),"",_xlfn.NORM.DIST(CI$1,$D29,$E29,TRUE)-_xlfn.NORM.DIST(CI$2,$D29,$E29,TRUE))</f>
        <v/>
      </c>
      <c r="CJ29">
        <f>IF(ISNUMBER($D29),SUM(F29:CI29),"")</f>
        <v/>
      </c>
    </row>
    <row r="30">
      <c r="A30">
        <f>economics!A29</f>
        <v/>
      </c>
      <c r="B30">
        <f>economics!B29</f>
        <v/>
      </c>
      <c r="C30">
        <f>economics!D29</f>
        <v/>
      </c>
      <c r="D30">
        <f>IF(ISNUMBER(economics!T29),economics!T29,"na")</f>
        <v/>
      </c>
      <c r="E30">
        <f>IF(ISNUMBER(D30),MAX(0.3*ABS(D30),0.000001),"na")</f>
        <v/>
      </c>
      <c r="F30">
        <f>IF(NOT(ISNUMBER($D30)),"",_xlfn.NORM.DIST(F$1,$D30,$E30,TRUE)-_xlfn.NORM.DIST(F$2,$D30,$E30,TRUE))</f>
        <v/>
      </c>
      <c r="G30">
        <f>IF(NOT(ISNUMBER($D30)),"",_xlfn.NORM.DIST(G$1,$D30,$E30,TRUE)-_xlfn.NORM.DIST(G$2,$D30,$E30,TRUE))</f>
        <v/>
      </c>
      <c r="H30">
        <f>IF(NOT(ISNUMBER($D30)),"",_xlfn.NORM.DIST(H$1,$D30,$E30,TRUE)-_xlfn.NORM.DIST(H$2,$D30,$E30,TRUE))</f>
        <v/>
      </c>
      <c r="I30">
        <f>IF(NOT(ISNUMBER($D30)),"",_xlfn.NORM.DIST(I$1,$D30,$E30,TRUE)-_xlfn.NORM.DIST(I$2,$D30,$E30,TRUE))</f>
        <v/>
      </c>
      <c r="J30">
        <f>IF(NOT(ISNUMBER($D30)),"",_xlfn.NORM.DIST(J$1,$D30,$E30,TRUE)-_xlfn.NORM.DIST(J$2,$D30,$E30,TRUE))</f>
        <v/>
      </c>
      <c r="K30">
        <f>IF(NOT(ISNUMBER($D30)),"",_xlfn.NORM.DIST(K$1,$D30,$E30,TRUE)-_xlfn.NORM.DIST(K$2,$D30,$E30,TRUE))</f>
        <v/>
      </c>
      <c r="L30">
        <f>IF(NOT(ISNUMBER($D30)),"",_xlfn.NORM.DIST(L$1,$D30,$E30,TRUE)-_xlfn.NORM.DIST(L$2,$D30,$E30,TRUE))</f>
        <v/>
      </c>
      <c r="M30">
        <f>IF(NOT(ISNUMBER($D30)),"",_xlfn.NORM.DIST(M$1,$D30,$E30,TRUE)-_xlfn.NORM.DIST(M$2,$D30,$E30,TRUE))</f>
        <v/>
      </c>
      <c r="N30">
        <f>IF(NOT(ISNUMBER($D30)),"",_xlfn.NORM.DIST(N$1,$D30,$E30,TRUE)-_xlfn.NORM.DIST(N$2,$D30,$E30,TRUE))</f>
        <v/>
      </c>
      <c r="O30">
        <f>IF(NOT(ISNUMBER($D30)),"",_xlfn.NORM.DIST(O$1,$D30,$E30,TRUE)-_xlfn.NORM.DIST(O$2,$D30,$E30,TRUE))</f>
        <v/>
      </c>
      <c r="P30">
        <f>IF(NOT(ISNUMBER($D30)),"",_xlfn.NORM.DIST(P$1,$D30,$E30,TRUE)-_xlfn.NORM.DIST(P$2,$D30,$E30,TRUE))</f>
        <v/>
      </c>
      <c r="Q30">
        <f>IF(NOT(ISNUMBER($D30)),"",_xlfn.NORM.DIST(Q$1,$D30,$E30,TRUE)-_xlfn.NORM.DIST(Q$2,$D30,$E30,TRUE))</f>
        <v/>
      </c>
      <c r="R30">
        <f>IF(NOT(ISNUMBER($D30)),"",_xlfn.NORM.DIST(R$1,$D30,$E30,TRUE)-_xlfn.NORM.DIST(R$2,$D30,$E30,TRUE))</f>
        <v/>
      </c>
      <c r="S30">
        <f>IF(NOT(ISNUMBER($D30)),"",_xlfn.NORM.DIST(S$1,$D30,$E30,TRUE)-_xlfn.NORM.DIST(S$2,$D30,$E30,TRUE))</f>
        <v/>
      </c>
      <c r="T30">
        <f>IF(NOT(ISNUMBER($D30)),"",_xlfn.NORM.DIST(T$1,$D30,$E30,TRUE)-_xlfn.NORM.DIST(T$2,$D30,$E30,TRUE))</f>
        <v/>
      </c>
      <c r="U30">
        <f>IF(NOT(ISNUMBER($D30)),"",_xlfn.NORM.DIST(U$1,$D30,$E30,TRUE)-_xlfn.NORM.DIST(U$2,$D30,$E30,TRUE))</f>
        <v/>
      </c>
      <c r="V30">
        <f>IF(NOT(ISNUMBER($D30)),"",_xlfn.NORM.DIST(V$1,$D30,$E30,TRUE)-_xlfn.NORM.DIST(V$2,$D30,$E30,TRUE))</f>
        <v/>
      </c>
      <c r="W30">
        <f>IF(NOT(ISNUMBER($D30)),"",_xlfn.NORM.DIST(W$1,$D30,$E30,TRUE)-_xlfn.NORM.DIST(W$2,$D30,$E30,TRUE))</f>
        <v/>
      </c>
      <c r="X30">
        <f>IF(NOT(ISNUMBER($D30)),"",_xlfn.NORM.DIST(X$1,$D30,$E30,TRUE)-_xlfn.NORM.DIST(X$2,$D30,$E30,TRUE))</f>
        <v/>
      </c>
      <c r="Y30">
        <f>IF(NOT(ISNUMBER($D30)),"",_xlfn.NORM.DIST(Y$1,$D30,$E30,TRUE)-_xlfn.NORM.DIST(Y$2,$D30,$E30,TRUE))</f>
        <v/>
      </c>
      <c r="Z30">
        <f>IF(NOT(ISNUMBER($D30)),"",_xlfn.NORM.DIST(Z$1,$D30,$E30,TRUE)-_xlfn.NORM.DIST(Z$2,$D30,$E30,TRUE))</f>
        <v/>
      </c>
      <c r="AA30">
        <f>IF(NOT(ISNUMBER($D30)),"",_xlfn.NORM.DIST(AA$1,$D30,$E30,TRUE)-_xlfn.NORM.DIST(AA$2,$D30,$E30,TRUE))</f>
        <v/>
      </c>
      <c r="AB30">
        <f>IF(NOT(ISNUMBER($D30)),"",_xlfn.NORM.DIST(AB$1,$D30,$E30,TRUE)-_xlfn.NORM.DIST(AB$2,$D30,$E30,TRUE))</f>
        <v/>
      </c>
      <c r="AC30">
        <f>IF(NOT(ISNUMBER($D30)),"",_xlfn.NORM.DIST(AC$1,$D30,$E30,TRUE)-_xlfn.NORM.DIST(AC$2,$D30,$E30,TRUE))</f>
        <v/>
      </c>
      <c r="AD30">
        <f>IF(NOT(ISNUMBER($D30)),"",_xlfn.NORM.DIST(AD$1,$D30,$E30,TRUE)-_xlfn.NORM.DIST(AD$2,$D30,$E30,TRUE))</f>
        <v/>
      </c>
      <c r="AE30">
        <f>IF(NOT(ISNUMBER($D30)),"",_xlfn.NORM.DIST(AE$1,$D30,$E30,TRUE)-_xlfn.NORM.DIST(AE$2,$D30,$E30,TRUE))</f>
        <v/>
      </c>
      <c r="AF30">
        <f>IF(NOT(ISNUMBER($D30)),"",_xlfn.NORM.DIST(AF$1,$D30,$E30,TRUE)-_xlfn.NORM.DIST(AF$2,$D30,$E30,TRUE))</f>
        <v/>
      </c>
      <c r="AG30">
        <f>IF(NOT(ISNUMBER($D30)),"",_xlfn.NORM.DIST(AG$1,$D30,$E30,TRUE)-_xlfn.NORM.DIST(AG$2,$D30,$E30,TRUE))</f>
        <v/>
      </c>
      <c r="AH30">
        <f>IF(NOT(ISNUMBER($D30)),"",_xlfn.NORM.DIST(AH$1,$D30,$E30,TRUE)-_xlfn.NORM.DIST(AH$2,$D30,$E30,TRUE))</f>
        <v/>
      </c>
      <c r="AI30">
        <f>IF(NOT(ISNUMBER($D30)),"",_xlfn.NORM.DIST(AI$1,$D30,$E30,TRUE)-_xlfn.NORM.DIST(AI$2,$D30,$E30,TRUE))</f>
        <v/>
      </c>
      <c r="AJ30">
        <f>IF(NOT(ISNUMBER($D30)),"",_xlfn.NORM.DIST(AJ$1,$D30,$E30,TRUE)-_xlfn.NORM.DIST(AJ$2,$D30,$E30,TRUE))</f>
        <v/>
      </c>
      <c r="AK30">
        <f>IF(NOT(ISNUMBER($D30)),"",_xlfn.NORM.DIST(AK$1,$D30,$E30,TRUE)-_xlfn.NORM.DIST(AK$2,$D30,$E30,TRUE))</f>
        <v/>
      </c>
      <c r="AL30">
        <f>IF(NOT(ISNUMBER($D30)),"",_xlfn.NORM.DIST(AL$1,$D30,$E30,TRUE)-_xlfn.NORM.DIST(AL$2,$D30,$E30,TRUE))</f>
        <v/>
      </c>
      <c r="AM30">
        <f>IF(NOT(ISNUMBER($D30)),"",_xlfn.NORM.DIST(AM$1,$D30,$E30,TRUE)-_xlfn.NORM.DIST(AM$2,$D30,$E30,TRUE))</f>
        <v/>
      </c>
      <c r="AN30">
        <f>IF(NOT(ISNUMBER($D30)),"",_xlfn.NORM.DIST(AN$1,$D30,$E30,TRUE)-_xlfn.NORM.DIST(AN$2,$D30,$E30,TRUE))</f>
        <v/>
      </c>
      <c r="AO30">
        <f>IF(NOT(ISNUMBER($D30)),"",_xlfn.NORM.DIST(AO$1,$D30,$E30,TRUE)-_xlfn.NORM.DIST(AO$2,$D30,$E30,TRUE))</f>
        <v/>
      </c>
      <c r="AP30">
        <f>IF(NOT(ISNUMBER($D30)),"",_xlfn.NORM.DIST(AP$1,$D30,$E30,TRUE)-_xlfn.NORM.DIST(AP$2,$D30,$E30,TRUE))</f>
        <v/>
      </c>
      <c r="AQ30">
        <f>IF(NOT(ISNUMBER($D30)),"",_xlfn.NORM.DIST(AQ$1,$D30,$E30,TRUE)-_xlfn.NORM.DIST(AQ$2,$D30,$E30,TRUE))</f>
        <v/>
      </c>
      <c r="AR30">
        <f>IF(NOT(ISNUMBER($D30)),"",_xlfn.NORM.DIST(AR$1,$D30,$E30,TRUE)-_xlfn.NORM.DIST(AR$2,$D30,$E30,TRUE))</f>
        <v/>
      </c>
      <c r="AS30">
        <f>IF(NOT(ISNUMBER($D30)),"",_xlfn.NORM.DIST(AS$1,$D30,$E30,TRUE)-_xlfn.NORM.DIST(AS$2,$D30,$E30,TRUE))</f>
        <v/>
      </c>
      <c r="AT30">
        <f>IF(NOT(ISNUMBER($D30)),"",_xlfn.NORM.DIST(AT$1,$D30,$E30,TRUE)-_xlfn.NORM.DIST(AT$2,$D30,$E30,TRUE))</f>
        <v/>
      </c>
      <c r="AU30">
        <f>IF(NOT(ISNUMBER($D30)),"",_xlfn.NORM.DIST(AU$1,$D30,$E30,TRUE)-_xlfn.NORM.DIST(AU$2,$D30,$E30,TRUE))</f>
        <v/>
      </c>
      <c r="AV30">
        <f>IF(NOT(ISNUMBER($D30)),"",_xlfn.NORM.DIST(AV$1,$D30,$E30,TRUE)-_xlfn.NORM.DIST(AV$2,$D30,$E30,TRUE))</f>
        <v/>
      </c>
      <c r="AW30">
        <f>IF(NOT(ISNUMBER($D30)),"",_xlfn.NORM.DIST(AW$1,$D30,$E30,TRUE)-_xlfn.NORM.DIST(AW$2,$D30,$E30,TRUE))</f>
        <v/>
      </c>
      <c r="AX30">
        <f>IF(NOT(ISNUMBER($D30)),"",_xlfn.NORM.DIST(AX$1,$D30,$E30,TRUE)-_xlfn.NORM.DIST(AX$2,$D30,$E30,TRUE))</f>
        <v/>
      </c>
      <c r="AY30">
        <f>IF(NOT(ISNUMBER($D30)),"",_xlfn.NORM.DIST(AY$1,$D30,$E30,TRUE)-_xlfn.NORM.DIST(AY$2,$D30,$E30,TRUE))</f>
        <v/>
      </c>
      <c r="AZ30">
        <f>IF(NOT(ISNUMBER($D30)),"",_xlfn.NORM.DIST(AZ$1,$D30,$E30,TRUE)-_xlfn.NORM.DIST(AZ$2,$D30,$E30,TRUE))</f>
        <v/>
      </c>
      <c r="BA30">
        <f>IF(NOT(ISNUMBER($D30)),"",_xlfn.NORM.DIST(BA$1,$D30,$E30,TRUE)-_xlfn.NORM.DIST(BA$2,$D30,$E30,TRUE))</f>
        <v/>
      </c>
      <c r="BB30">
        <f>IF(NOT(ISNUMBER($D30)),"",_xlfn.NORM.DIST(BB$1,$D30,$E30,TRUE)-_xlfn.NORM.DIST(BB$2,$D30,$E30,TRUE))</f>
        <v/>
      </c>
      <c r="BC30">
        <f>IF(NOT(ISNUMBER($D30)),"",_xlfn.NORM.DIST(BC$1,$D30,$E30,TRUE)-_xlfn.NORM.DIST(BC$2,$D30,$E30,TRUE))</f>
        <v/>
      </c>
      <c r="BD30">
        <f>IF(NOT(ISNUMBER($D30)),"",_xlfn.NORM.DIST(BD$1,$D30,$E30,TRUE)-_xlfn.NORM.DIST(BD$2,$D30,$E30,TRUE))</f>
        <v/>
      </c>
      <c r="BE30">
        <f>IF(NOT(ISNUMBER($D30)),"",_xlfn.NORM.DIST(BE$1,$D30,$E30,TRUE)-_xlfn.NORM.DIST(BE$2,$D30,$E30,TRUE))</f>
        <v/>
      </c>
      <c r="BF30">
        <f>IF(NOT(ISNUMBER($D30)),"",_xlfn.NORM.DIST(BF$1,$D30,$E30,TRUE)-_xlfn.NORM.DIST(BF$2,$D30,$E30,TRUE))</f>
        <v/>
      </c>
      <c r="BG30">
        <f>IF(NOT(ISNUMBER($D30)),"",_xlfn.NORM.DIST(BG$1,$D30,$E30,TRUE)-_xlfn.NORM.DIST(BG$2,$D30,$E30,TRUE))</f>
        <v/>
      </c>
      <c r="BH30">
        <f>IF(NOT(ISNUMBER($D30)),"",_xlfn.NORM.DIST(BH$1,$D30,$E30,TRUE)-_xlfn.NORM.DIST(BH$2,$D30,$E30,TRUE))</f>
        <v/>
      </c>
      <c r="BI30">
        <f>IF(NOT(ISNUMBER($D30)),"",_xlfn.NORM.DIST(BI$1,$D30,$E30,TRUE)-_xlfn.NORM.DIST(BI$2,$D30,$E30,TRUE))</f>
        <v/>
      </c>
      <c r="BJ30">
        <f>IF(NOT(ISNUMBER($D30)),"",_xlfn.NORM.DIST(BJ$1,$D30,$E30,TRUE)-_xlfn.NORM.DIST(BJ$2,$D30,$E30,TRUE))</f>
        <v/>
      </c>
      <c r="BK30">
        <f>IF(NOT(ISNUMBER($D30)),"",_xlfn.NORM.DIST(BK$1,$D30,$E30,TRUE)-_xlfn.NORM.DIST(BK$2,$D30,$E30,TRUE))</f>
        <v/>
      </c>
      <c r="BL30">
        <f>IF(NOT(ISNUMBER($D30)),"",_xlfn.NORM.DIST(BL$1,$D30,$E30,TRUE)-_xlfn.NORM.DIST(BL$2,$D30,$E30,TRUE))</f>
        <v/>
      </c>
      <c r="BM30">
        <f>IF(NOT(ISNUMBER($D30)),"",_xlfn.NORM.DIST(BM$1,$D30,$E30,TRUE)-_xlfn.NORM.DIST(BM$2,$D30,$E30,TRUE))</f>
        <v/>
      </c>
      <c r="BN30">
        <f>IF(NOT(ISNUMBER($D30)),"",_xlfn.NORM.DIST(BN$1,$D30,$E30,TRUE)-_xlfn.NORM.DIST(BN$2,$D30,$E30,TRUE))</f>
        <v/>
      </c>
      <c r="BO30">
        <f>IF(NOT(ISNUMBER($D30)),"",_xlfn.NORM.DIST(BO$1,$D30,$E30,TRUE)-_xlfn.NORM.DIST(BO$2,$D30,$E30,TRUE))</f>
        <v/>
      </c>
      <c r="BP30">
        <f>IF(NOT(ISNUMBER($D30)),"",_xlfn.NORM.DIST(BP$1,$D30,$E30,TRUE)-_xlfn.NORM.DIST(BP$2,$D30,$E30,TRUE))</f>
        <v/>
      </c>
      <c r="BQ30">
        <f>IF(NOT(ISNUMBER($D30)),"",_xlfn.NORM.DIST(BQ$1,$D30,$E30,TRUE)-_xlfn.NORM.DIST(BQ$2,$D30,$E30,TRUE))</f>
        <v/>
      </c>
      <c r="BR30">
        <f>IF(NOT(ISNUMBER($D30)),"",_xlfn.NORM.DIST(BR$1,$D30,$E30,TRUE)-_xlfn.NORM.DIST(BR$2,$D30,$E30,TRUE))</f>
        <v/>
      </c>
      <c r="BS30">
        <f>IF(NOT(ISNUMBER($D30)),"",_xlfn.NORM.DIST(BS$1,$D30,$E30,TRUE)-_xlfn.NORM.DIST(BS$2,$D30,$E30,TRUE))</f>
        <v/>
      </c>
      <c r="BT30">
        <f>IF(NOT(ISNUMBER($D30)),"",_xlfn.NORM.DIST(BT$1,$D30,$E30,TRUE)-_xlfn.NORM.DIST(BT$2,$D30,$E30,TRUE))</f>
        <v/>
      </c>
      <c r="BU30">
        <f>IF(NOT(ISNUMBER($D30)),"",_xlfn.NORM.DIST(BU$1,$D30,$E30,TRUE)-_xlfn.NORM.DIST(BU$2,$D30,$E30,TRUE))</f>
        <v/>
      </c>
      <c r="BV30">
        <f>IF(NOT(ISNUMBER($D30)),"",_xlfn.NORM.DIST(BV$1,$D30,$E30,TRUE)-_xlfn.NORM.DIST(BV$2,$D30,$E30,TRUE))</f>
        <v/>
      </c>
      <c r="BW30">
        <f>IF(NOT(ISNUMBER($D30)),"",_xlfn.NORM.DIST(BW$1,$D30,$E30,TRUE)-_xlfn.NORM.DIST(BW$2,$D30,$E30,TRUE))</f>
        <v/>
      </c>
      <c r="BX30">
        <f>IF(NOT(ISNUMBER($D30)),"",_xlfn.NORM.DIST(BX$1,$D30,$E30,TRUE)-_xlfn.NORM.DIST(BX$2,$D30,$E30,TRUE))</f>
        <v/>
      </c>
      <c r="BY30">
        <f>IF(NOT(ISNUMBER($D30)),"",_xlfn.NORM.DIST(BY$1,$D30,$E30,TRUE)-_xlfn.NORM.DIST(BY$2,$D30,$E30,TRUE))</f>
        <v/>
      </c>
      <c r="BZ30">
        <f>IF(NOT(ISNUMBER($D30)),"",_xlfn.NORM.DIST(BZ$1,$D30,$E30,TRUE)-_xlfn.NORM.DIST(BZ$2,$D30,$E30,TRUE))</f>
        <v/>
      </c>
      <c r="CA30">
        <f>IF(NOT(ISNUMBER($D30)),"",_xlfn.NORM.DIST(CA$1,$D30,$E30,TRUE)-_xlfn.NORM.DIST(CA$2,$D30,$E30,TRUE))</f>
        <v/>
      </c>
      <c r="CB30">
        <f>IF(NOT(ISNUMBER($D30)),"",_xlfn.NORM.DIST(CB$1,$D30,$E30,TRUE)-_xlfn.NORM.DIST(CB$2,$D30,$E30,TRUE))</f>
        <v/>
      </c>
      <c r="CC30">
        <f>IF(NOT(ISNUMBER($D30)),"",_xlfn.NORM.DIST(CC$1,$D30,$E30,TRUE)-_xlfn.NORM.DIST(CC$2,$D30,$E30,TRUE))</f>
        <v/>
      </c>
      <c r="CD30">
        <f>IF(NOT(ISNUMBER($D30)),"",_xlfn.NORM.DIST(CD$1,$D30,$E30,TRUE)-_xlfn.NORM.DIST(CD$2,$D30,$E30,TRUE))</f>
        <v/>
      </c>
      <c r="CE30">
        <f>IF(NOT(ISNUMBER($D30)),"",_xlfn.NORM.DIST(CE$1,$D30,$E30,TRUE)-_xlfn.NORM.DIST(CE$2,$D30,$E30,TRUE))</f>
        <v/>
      </c>
      <c r="CF30">
        <f>IF(NOT(ISNUMBER($D30)),"",_xlfn.NORM.DIST(CF$1,$D30,$E30,TRUE)-_xlfn.NORM.DIST(CF$2,$D30,$E30,TRUE))</f>
        <v/>
      </c>
      <c r="CG30">
        <f>IF(NOT(ISNUMBER($D30)),"",_xlfn.NORM.DIST(CG$1,$D30,$E30,TRUE)-_xlfn.NORM.DIST(CG$2,$D30,$E30,TRUE))</f>
        <v/>
      </c>
      <c r="CH30">
        <f>IF(NOT(ISNUMBER($D30)),"",_xlfn.NORM.DIST(CH$1,$D30,$E30,TRUE)-_xlfn.NORM.DIST(CH$2,$D30,$E30,TRUE))</f>
        <v/>
      </c>
      <c r="CI30">
        <f>IF(NOT(ISNUMBER($D30)),"",_xlfn.NORM.DIST(CI$1,$D30,$E30,TRUE)-_xlfn.NORM.DIST(CI$2,$D30,$E30,TRUE))</f>
        <v/>
      </c>
      <c r="CJ30">
        <f>IF(ISNUMBER($D30),SUM(F30:CI30),"")</f>
        <v/>
      </c>
    </row>
    <row r="31">
      <c r="A31">
        <f>economics!A30</f>
        <v/>
      </c>
      <c r="B31">
        <f>economics!B30</f>
        <v/>
      </c>
      <c r="C31">
        <f>economics!D30</f>
        <v/>
      </c>
      <c r="D31">
        <f>IF(ISNUMBER(economics!T30),economics!T30,"na")</f>
        <v/>
      </c>
      <c r="E31">
        <f>IF(ISNUMBER(D31),MAX(0.3*ABS(D31),0.000001),"na")</f>
        <v/>
      </c>
      <c r="F31">
        <f>IF(NOT(ISNUMBER($D31)),"",_xlfn.NORM.DIST(F$1,$D31,$E31,TRUE)-_xlfn.NORM.DIST(F$2,$D31,$E31,TRUE))</f>
        <v/>
      </c>
      <c r="G31">
        <f>IF(NOT(ISNUMBER($D31)),"",_xlfn.NORM.DIST(G$1,$D31,$E31,TRUE)-_xlfn.NORM.DIST(G$2,$D31,$E31,TRUE))</f>
        <v/>
      </c>
      <c r="H31">
        <f>IF(NOT(ISNUMBER($D31)),"",_xlfn.NORM.DIST(H$1,$D31,$E31,TRUE)-_xlfn.NORM.DIST(H$2,$D31,$E31,TRUE))</f>
        <v/>
      </c>
      <c r="I31">
        <f>IF(NOT(ISNUMBER($D31)),"",_xlfn.NORM.DIST(I$1,$D31,$E31,TRUE)-_xlfn.NORM.DIST(I$2,$D31,$E31,TRUE))</f>
        <v/>
      </c>
      <c r="J31">
        <f>IF(NOT(ISNUMBER($D31)),"",_xlfn.NORM.DIST(J$1,$D31,$E31,TRUE)-_xlfn.NORM.DIST(J$2,$D31,$E31,TRUE))</f>
        <v/>
      </c>
      <c r="K31">
        <f>IF(NOT(ISNUMBER($D31)),"",_xlfn.NORM.DIST(K$1,$D31,$E31,TRUE)-_xlfn.NORM.DIST(K$2,$D31,$E31,TRUE))</f>
        <v/>
      </c>
      <c r="L31">
        <f>IF(NOT(ISNUMBER($D31)),"",_xlfn.NORM.DIST(L$1,$D31,$E31,TRUE)-_xlfn.NORM.DIST(L$2,$D31,$E31,TRUE))</f>
        <v/>
      </c>
      <c r="M31">
        <f>IF(NOT(ISNUMBER($D31)),"",_xlfn.NORM.DIST(M$1,$D31,$E31,TRUE)-_xlfn.NORM.DIST(M$2,$D31,$E31,TRUE))</f>
        <v/>
      </c>
      <c r="N31">
        <f>IF(NOT(ISNUMBER($D31)),"",_xlfn.NORM.DIST(N$1,$D31,$E31,TRUE)-_xlfn.NORM.DIST(N$2,$D31,$E31,TRUE))</f>
        <v/>
      </c>
      <c r="O31">
        <f>IF(NOT(ISNUMBER($D31)),"",_xlfn.NORM.DIST(O$1,$D31,$E31,TRUE)-_xlfn.NORM.DIST(O$2,$D31,$E31,TRUE))</f>
        <v/>
      </c>
      <c r="P31">
        <f>IF(NOT(ISNUMBER($D31)),"",_xlfn.NORM.DIST(P$1,$D31,$E31,TRUE)-_xlfn.NORM.DIST(P$2,$D31,$E31,TRUE))</f>
        <v/>
      </c>
      <c r="Q31">
        <f>IF(NOT(ISNUMBER($D31)),"",_xlfn.NORM.DIST(Q$1,$D31,$E31,TRUE)-_xlfn.NORM.DIST(Q$2,$D31,$E31,TRUE))</f>
        <v/>
      </c>
      <c r="R31">
        <f>IF(NOT(ISNUMBER($D31)),"",_xlfn.NORM.DIST(R$1,$D31,$E31,TRUE)-_xlfn.NORM.DIST(R$2,$D31,$E31,TRUE))</f>
        <v/>
      </c>
      <c r="S31">
        <f>IF(NOT(ISNUMBER($D31)),"",_xlfn.NORM.DIST(S$1,$D31,$E31,TRUE)-_xlfn.NORM.DIST(S$2,$D31,$E31,TRUE))</f>
        <v/>
      </c>
      <c r="T31">
        <f>IF(NOT(ISNUMBER($D31)),"",_xlfn.NORM.DIST(T$1,$D31,$E31,TRUE)-_xlfn.NORM.DIST(T$2,$D31,$E31,TRUE))</f>
        <v/>
      </c>
      <c r="U31">
        <f>IF(NOT(ISNUMBER($D31)),"",_xlfn.NORM.DIST(U$1,$D31,$E31,TRUE)-_xlfn.NORM.DIST(U$2,$D31,$E31,TRUE))</f>
        <v/>
      </c>
      <c r="V31">
        <f>IF(NOT(ISNUMBER($D31)),"",_xlfn.NORM.DIST(V$1,$D31,$E31,TRUE)-_xlfn.NORM.DIST(V$2,$D31,$E31,TRUE))</f>
        <v/>
      </c>
      <c r="W31">
        <f>IF(NOT(ISNUMBER($D31)),"",_xlfn.NORM.DIST(W$1,$D31,$E31,TRUE)-_xlfn.NORM.DIST(W$2,$D31,$E31,TRUE))</f>
        <v/>
      </c>
      <c r="X31">
        <f>IF(NOT(ISNUMBER($D31)),"",_xlfn.NORM.DIST(X$1,$D31,$E31,TRUE)-_xlfn.NORM.DIST(X$2,$D31,$E31,TRUE))</f>
        <v/>
      </c>
      <c r="Y31">
        <f>IF(NOT(ISNUMBER($D31)),"",_xlfn.NORM.DIST(Y$1,$D31,$E31,TRUE)-_xlfn.NORM.DIST(Y$2,$D31,$E31,TRUE))</f>
        <v/>
      </c>
      <c r="Z31">
        <f>IF(NOT(ISNUMBER($D31)),"",_xlfn.NORM.DIST(Z$1,$D31,$E31,TRUE)-_xlfn.NORM.DIST(Z$2,$D31,$E31,TRUE))</f>
        <v/>
      </c>
      <c r="AA31">
        <f>IF(NOT(ISNUMBER($D31)),"",_xlfn.NORM.DIST(AA$1,$D31,$E31,TRUE)-_xlfn.NORM.DIST(AA$2,$D31,$E31,TRUE))</f>
        <v/>
      </c>
      <c r="AB31">
        <f>IF(NOT(ISNUMBER($D31)),"",_xlfn.NORM.DIST(AB$1,$D31,$E31,TRUE)-_xlfn.NORM.DIST(AB$2,$D31,$E31,TRUE))</f>
        <v/>
      </c>
      <c r="AC31">
        <f>IF(NOT(ISNUMBER($D31)),"",_xlfn.NORM.DIST(AC$1,$D31,$E31,TRUE)-_xlfn.NORM.DIST(AC$2,$D31,$E31,TRUE))</f>
        <v/>
      </c>
      <c r="AD31">
        <f>IF(NOT(ISNUMBER($D31)),"",_xlfn.NORM.DIST(AD$1,$D31,$E31,TRUE)-_xlfn.NORM.DIST(AD$2,$D31,$E31,TRUE))</f>
        <v/>
      </c>
      <c r="AE31">
        <f>IF(NOT(ISNUMBER($D31)),"",_xlfn.NORM.DIST(AE$1,$D31,$E31,TRUE)-_xlfn.NORM.DIST(AE$2,$D31,$E31,TRUE))</f>
        <v/>
      </c>
      <c r="AF31">
        <f>IF(NOT(ISNUMBER($D31)),"",_xlfn.NORM.DIST(AF$1,$D31,$E31,TRUE)-_xlfn.NORM.DIST(AF$2,$D31,$E31,TRUE))</f>
        <v/>
      </c>
      <c r="AG31">
        <f>IF(NOT(ISNUMBER($D31)),"",_xlfn.NORM.DIST(AG$1,$D31,$E31,TRUE)-_xlfn.NORM.DIST(AG$2,$D31,$E31,TRUE))</f>
        <v/>
      </c>
      <c r="AH31">
        <f>IF(NOT(ISNUMBER($D31)),"",_xlfn.NORM.DIST(AH$1,$D31,$E31,TRUE)-_xlfn.NORM.DIST(AH$2,$D31,$E31,TRUE))</f>
        <v/>
      </c>
      <c r="AI31">
        <f>IF(NOT(ISNUMBER($D31)),"",_xlfn.NORM.DIST(AI$1,$D31,$E31,TRUE)-_xlfn.NORM.DIST(AI$2,$D31,$E31,TRUE))</f>
        <v/>
      </c>
      <c r="AJ31">
        <f>IF(NOT(ISNUMBER($D31)),"",_xlfn.NORM.DIST(AJ$1,$D31,$E31,TRUE)-_xlfn.NORM.DIST(AJ$2,$D31,$E31,TRUE))</f>
        <v/>
      </c>
      <c r="AK31">
        <f>IF(NOT(ISNUMBER($D31)),"",_xlfn.NORM.DIST(AK$1,$D31,$E31,TRUE)-_xlfn.NORM.DIST(AK$2,$D31,$E31,TRUE))</f>
        <v/>
      </c>
      <c r="AL31">
        <f>IF(NOT(ISNUMBER($D31)),"",_xlfn.NORM.DIST(AL$1,$D31,$E31,TRUE)-_xlfn.NORM.DIST(AL$2,$D31,$E31,TRUE))</f>
        <v/>
      </c>
      <c r="AM31">
        <f>IF(NOT(ISNUMBER($D31)),"",_xlfn.NORM.DIST(AM$1,$D31,$E31,TRUE)-_xlfn.NORM.DIST(AM$2,$D31,$E31,TRUE))</f>
        <v/>
      </c>
      <c r="AN31">
        <f>IF(NOT(ISNUMBER($D31)),"",_xlfn.NORM.DIST(AN$1,$D31,$E31,TRUE)-_xlfn.NORM.DIST(AN$2,$D31,$E31,TRUE))</f>
        <v/>
      </c>
      <c r="AO31">
        <f>IF(NOT(ISNUMBER($D31)),"",_xlfn.NORM.DIST(AO$1,$D31,$E31,TRUE)-_xlfn.NORM.DIST(AO$2,$D31,$E31,TRUE))</f>
        <v/>
      </c>
      <c r="AP31">
        <f>IF(NOT(ISNUMBER($D31)),"",_xlfn.NORM.DIST(AP$1,$D31,$E31,TRUE)-_xlfn.NORM.DIST(AP$2,$D31,$E31,TRUE))</f>
        <v/>
      </c>
      <c r="AQ31">
        <f>IF(NOT(ISNUMBER($D31)),"",_xlfn.NORM.DIST(AQ$1,$D31,$E31,TRUE)-_xlfn.NORM.DIST(AQ$2,$D31,$E31,TRUE))</f>
        <v/>
      </c>
      <c r="AR31">
        <f>IF(NOT(ISNUMBER($D31)),"",_xlfn.NORM.DIST(AR$1,$D31,$E31,TRUE)-_xlfn.NORM.DIST(AR$2,$D31,$E31,TRUE))</f>
        <v/>
      </c>
      <c r="AS31">
        <f>IF(NOT(ISNUMBER($D31)),"",_xlfn.NORM.DIST(AS$1,$D31,$E31,TRUE)-_xlfn.NORM.DIST(AS$2,$D31,$E31,TRUE))</f>
        <v/>
      </c>
      <c r="AT31">
        <f>IF(NOT(ISNUMBER($D31)),"",_xlfn.NORM.DIST(AT$1,$D31,$E31,TRUE)-_xlfn.NORM.DIST(AT$2,$D31,$E31,TRUE))</f>
        <v/>
      </c>
      <c r="AU31">
        <f>IF(NOT(ISNUMBER($D31)),"",_xlfn.NORM.DIST(AU$1,$D31,$E31,TRUE)-_xlfn.NORM.DIST(AU$2,$D31,$E31,TRUE))</f>
        <v/>
      </c>
      <c r="AV31">
        <f>IF(NOT(ISNUMBER($D31)),"",_xlfn.NORM.DIST(AV$1,$D31,$E31,TRUE)-_xlfn.NORM.DIST(AV$2,$D31,$E31,TRUE))</f>
        <v/>
      </c>
      <c r="AW31">
        <f>IF(NOT(ISNUMBER($D31)),"",_xlfn.NORM.DIST(AW$1,$D31,$E31,TRUE)-_xlfn.NORM.DIST(AW$2,$D31,$E31,TRUE))</f>
        <v/>
      </c>
      <c r="AX31">
        <f>IF(NOT(ISNUMBER($D31)),"",_xlfn.NORM.DIST(AX$1,$D31,$E31,TRUE)-_xlfn.NORM.DIST(AX$2,$D31,$E31,TRUE))</f>
        <v/>
      </c>
      <c r="AY31">
        <f>IF(NOT(ISNUMBER($D31)),"",_xlfn.NORM.DIST(AY$1,$D31,$E31,TRUE)-_xlfn.NORM.DIST(AY$2,$D31,$E31,TRUE))</f>
        <v/>
      </c>
      <c r="AZ31">
        <f>IF(NOT(ISNUMBER($D31)),"",_xlfn.NORM.DIST(AZ$1,$D31,$E31,TRUE)-_xlfn.NORM.DIST(AZ$2,$D31,$E31,TRUE))</f>
        <v/>
      </c>
      <c r="BA31">
        <f>IF(NOT(ISNUMBER($D31)),"",_xlfn.NORM.DIST(BA$1,$D31,$E31,TRUE)-_xlfn.NORM.DIST(BA$2,$D31,$E31,TRUE))</f>
        <v/>
      </c>
      <c r="BB31">
        <f>IF(NOT(ISNUMBER($D31)),"",_xlfn.NORM.DIST(BB$1,$D31,$E31,TRUE)-_xlfn.NORM.DIST(BB$2,$D31,$E31,TRUE))</f>
        <v/>
      </c>
      <c r="BC31">
        <f>IF(NOT(ISNUMBER($D31)),"",_xlfn.NORM.DIST(BC$1,$D31,$E31,TRUE)-_xlfn.NORM.DIST(BC$2,$D31,$E31,TRUE))</f>
        <v/>
      </c>
      <c r="BD31">
        <f>IF(NOT(ISNUMBER($D31)),"",_xlfn.NORM.DIST(BD$1,$D31,$E31,TRUE)-_xlfn.NORM.DIST(BD$2,$D31,$E31,TRUE))</f>
        <v/>
      </c>
      <c r="BE31">
        <f>IF(NOT(ISNUMBER($D31)),"",_xlfn.NORM.DIST(BE$1,$D31,$E31,TRUE)-_xlfn.NORM.DIST(BE$2,$D31,$E31,TRUE))</f>
        <v/>
      </c>
      <c r="BF31">
        <f>IF(NOT(ISNUMBER($D31)),"",_xlfn.NORM.DIST(BF$1,$D31,$E31,TRUE)-_xlfn.NORM.DIST(BF$2,$D31,$E31,TRUE))</f>
        <v/>
      </c>
      <c r="BG31">
        <f>IF(NOT(ISNUMBER($D31)),"",_xlfn.NORM.DIST(BG$1,$D31,$E31,TRUE)-_xlfn.NORM.DIST(BG$2,$D31,$E31,TRUE))</f>
        <v/>
      </c>
      <c r="BH31">
        <f>IF(NOT(ISNUMBER($D31)),"",_xlfn.NORM.DIST(BH$1,$D31,$E31,TRUE)-_xlfn.NORM.DIST(BH$2,$D31,$E31,TRUE))</f>
        <v/>
      </c>
      <c r="BI31">
        <f>IF(NOT(ISNUMBER($D31)),"",_xlfn.NORM.DIST(BI$1,$D31,$E31,TRUE)-_xlfn.NORM.DIST(BI$2,$D31,$E31,TRUE))</f>
        <v/>
      </c>
      <c r="BJ31">
        <f>IF(NOT(ISNUMBER($D31)),"",_xlfn.NORM.DIST(BJ$1,$D31,$E31,TRUE)-_xlfn.NORM.DIST(BJ$2,$D31,$E31,TRUE))</f>
        <v/>
      </c>
      <c r="BK31">
        <f>IF(NOT(ISNUMBER($D31)),"",_xlfn.NORM.DIST(BK$1,$D31,$E31,TRUE)-_xlfn.NORM.DIST(BK$2,$D31,$E31,TRUE))</f>
        <v/>
      </c>
      <c r="BL31">
        <f>IF(NOT(ISNUMBER($D31)),"",_xlfn.NORM.DIST(BL$1,$D31,$E31,TRUE)-_xlfn.NORM.DIST(BL$2,$D31,$E31,TRUE))</f>
        <v/>
      </c>
      <c r="BM31">
        <f>IF(NOT(ISNUMBER($D31)),"",_xlfn.NORM.DIST(BM$1,$D31,$E31,TRUE)-_xlfn.NORM.DIST(BM$2,$D31,$E31,TRUE))</f>
        <v/>
      </c>
      <c r="BN31">
        <f>IF(NOT(ISNUMBER($D31)),"",_xlfn.NORM.DIST(BN$1,$D31,$E31,TRUE)-_xlfn.NORM.DIST(BN$2,$D31,$E31,TRUE))</f>
        <v/>
      </c>
      <c r="BO31">
        <f>IF(NOT(ISNUMBER($D31)),"",_xlfn.NORM.DIST(BO$1,$D31,$E31,TRUE)-_xlfn.NORM.DIST(BO$2,$D31,$E31,TRUE))</f>
        <v/>
      </c>
      <c r="BP31">
        <f>IF(NOT(ISNUMBER($D31)),"",_xlfn.NORM.DIST(BP$1,$D31,$E31,TRUE)-_xlfn.NORM.DIST(BP$2,$D31,$E31,TRUE))</f>
        <v/>
      </c>
      <c r="BQ31">
        <f>IF(NOT(ISNUMBER($D31)),"",_xlfn.NORM.DIST(BQ$1,$D31,$E31,TRUE)-_xlfn.NORM.DIST(BQ$2,$D31,$E31,TRUE))</f>
        <v/>
      </c>
      <c r="BR31">
        <f>IF(NOT(ISNUMBER($D31)),"",_xlfn.NORM.DIST(BR$1,$D31,$E31,TRUE)-_xlfn.NORM.DIST(BR$2,$D31,$E31,TRUE))</f>
        <v/>
      </c>
      <c r="BS31">
        <f>IF(NOT(ISNUMBER($D31)),"",_xlfn.NORM.DIST(BS$1,$D31,$E31,TRUE)-_xlfn.NORM.DIST(BS$2,$D31,$E31,TRUE))</f>
        <v/>
      </c>
      <c r="BT31">
        <f>IF(NOT(ISNUMBER($D31)),"",_xlfn.NORM.DIST(BT$1,$D31,$E31,TRUE)-_xlfn.NORM.DIST(BT$2,$D31,$E31,TRUE))</f>
        <v/>
      </c>
      <c r="BU31">
        <f>IF(NOT(ISNUMBER($D31)),"",_xlfn.NORM.DIST(BU$1,$D31,$E31,TRUE)-_xlfn.NORM.DIST(BU$2,$D31,$E31,TRUE))</f>
        <v/>
      </c>
      <c r="BV31">
        <f>IF(NOT(ISNUMBER($D31)),"",_xlfn.NORM.DIST(BV$1,$D31,$E31,TRUE)-_xlfn.NORM.DIST(BV$2,$D31,$E31,TRUE))</f>
        <v/>
      </c>
      <c r="BW31">
        <f>IF(NOT(ISNUMBER($D31)),"",_xlfn.NORM.DIST(BW$1,$D31,$E31,TRUE)-_xlfn.NORM.DIST(BW$2,$D31,$E31,TRUE))</f>
        <v/>
      </c>
      <c r="BX31">
        <f>IF(NOT(ISNUMBER($D31)),"",_xlfn.NORM.DIST(BX$1,$D31,$E31,TRUE)-_xlfn.NORM.DIST(BX$2,$D31,$E31,TRUE))</f>
        <v/>
      </c>
      <c r="BY31">
        <f>IF(NOT(ISNUMBER($D31)),"",_xlfn.NORM.DIST(BY$1,$D31,$E31,TRUE)-_xlfn.NORM.DIST(BY$2,$D31,$E31,TRUE))</f>
        <v/>
      </c>
      <c r="BZ31">
        <f>IF(NOT(ISNUMBER($D31)),"",_xlfn.NORM.DIST(BZ$1,$D31,$E31,TRUE)-_xlfn.NORM.DIST(BZ$2,$D31,$E31,TRUE))</f>
        <v/>
      </c>
      <c r="CA31">
        <f>IF(NOT(ISNUMBER($D31)),"",_xlfn.NORM.DIST(CA$1,$D31,$E31,TRUE)-_xlfn.NORM.DIST(CA$2,$D31,$E31,TRUE))</f>
        <v/>
      </c>
      <c r="CB31">
        <f>IF(NOT(ISNUMBER($D31)),"",_xlfn.NORM.DIST(CB$1,$D31,$E31,TRUE)-_xlfn.NORM.DIST(CB$2,$D31,$E31,TRUE))</f>
        <v/>
      </c>
      <c r="CC31">
        <f>IF(NOT(ISNUMBER($D31)),"",_xlfn.NORM.DIST(CC$1,$D31,$E31,TRUE)-_xlfn.NORM.DIST(CC$2,$D31,$E31,TRUE))</f>
        <v/>
      </c>
      <c r="CD31">
        <f>IF(NOT(ISNUMBER($D31)),"",_xlfn.NORM.DIST(CD$1,$D31,$E31,TRUE)-_xlfn.NORM.DIST(CD$2,$D31,$E31,TRUE))</f>
        <v/>
      </c>
      <c r="CE31">
        <f>IF(NOT(ISNUMBER($D31)),"",_xlfn.NORM.DIST(CE$1,$D31,$E31,TRUE)-_xlfn.NORM.DIST(CE$2,$D31,$E31,TRUE))</f>
        <v/>
      </c>
      <c r="CF31">
        <f>IF(NOT(ISNUMBER($D31)),"",_xlfn.NORM.DIST(CF$1,$D31,$E31,TRUE)-_xlfn.NORM.DIST(CF$2,$D31,$E31,TRUE))</f>
        <v/>
      </c>
      <c r="CG31">
        <f>IF(NOT(ISNUMBER($D31)),"",_xlfn.NORM.DIST(CG$1,$D31,$E31,TRUE)-_xlfn.NORM.DIST(CG$2,$D31,$E31,TRUE))</f>
        <v/>
      </c>
      <c r="CH31">
        <f>IF(NOT(ISNUMBER($D31)),"",_xlfn.NORM.DIST(CH$1,$D31,$E31,TRUE)-_xlfn.NORM.DIST(CH$2,$D31,$E31,TRUE))</f>
        <v/>
      </c>
      <c r="CI31">
        <f>IF(NOT(ISNUMBER($D31)),"",_xlfn.NORM.DIST(CI$1,$D31,$E31,TRUE)-_xlfn.NORM.DIST(CI$2,$D31,$E31,TRUE))</f>
        <v/>
      </c>
      <c r="CJ31">
        <f>IF(ISNUMBER($D31),SUM(F31:CI31),"")</f>
        <v/>
      </c>
    </row>
    <row r="32">
      <c r="A32">
        <f>economics!A31</f>
        <v/>
      </c>
      <c r="B32">
        <f>economics!B31</f>
        <v/>
      </c>
      <c r="C32">
        <f>economics!D31</f>
        <v/>
      </c>
      <c r="D32">
        <f>IF(ISNUMBER(economics!T31),economics!T31,"na")</f>
        <v/>
      </c>
      <c r="E32">
        <f>IF(ISNUMBER(D32),MAX(0.3*ABS(D32),0.000001),"na")</f>
        <v/>
      </c>
      <c r="F32">
        <f>IF(NOT(ISNUMBER($D32)),"",_xlfn.NORM.DIST(F$1,$D32,$E32,TRUE)-_xlfn.NORM.DIST(F$2,$D32,$E32,TRUE))</f>
        <v/>
      </c>
      <c r="G32">
        <f>IF(NOT(ISNUMBER($D32)),"",_xlfn.NORM.DIST(G$1,$D32,$E32,TRUE)-_xlfn.NORM.DIST(G$2,$D32,$E32,TRUE))</f>
        <v/>
      </c>
      <c r="H32">
        <f>IF(NOT(ISNUMBER($D32)),"",_xlfn.NORM.DIST(H$1,$D32,$E32,TRUE)-_xlfn.NORM.DIST(H$2,$D32,$E32,TRUE))</f>
        <v/>
      </c>
      <c r="I32">
        <f>IF(NOT(ISNUMBER($D32)),"",_xlfn.NORM.DIST(I$1,$D32,$E32,TRUE)-_xlfn.NORM.DIST(I$2,$D32,$E32,TRUE))</f>
        <v/>
      </c>
      <c r="J32">
        <f>IF(NOT(ISNUMBER($D32)),"",_xlfn.NORM.DIST(J$1,$D32,$E32,TRUE)-_xlfn.NORM.DIST(J$2,$D32,$E32,TRUE))</f>
        <v/>
      </c>
      <c r="K32">
        <f>IF(NOT(ISNUMBER($D32)),"",_xlfn.NORM.DIST(K$1,$D32,$E32,TRUE)-_xlfn.NORM.DIST(K$2,$D32,$E32,TRUE))</f>
        <v/>
      </c>
      <c r="L32">
        <f>IF(NOT(ISNUMBER($D32)),"",_xlfn.NORM.DIST(L$1,$D32,$E32,TRUE)-_xlfn.NORM.DIST(L$2,$D32,$E32,TRUE))</f>
        <v/>
      </c>
      <c r="M32">
        <f>IF(NOT(ISNUMBER($D32)),"",_xlfn.NORM.DIST(M$1,$D32,$E32,TRUE)-_xlfn.NORM.DIST(M$2,$D32,$E32,TRUE))</f>
        <v/>
      </c>
      <c r="N32">
        <f>IF(NOT(ISNUMBER($D32)),"",_xlfn.NORM.DIST(N$1,$D32,$E32,TRUE)-_xlfn.NORM.DIST(N$2,$D32,$E32,TRUE))</f>
        <v/>
      </c>
      <c r="O32">
        <f>IF(NOT(ISNUMBER($D32)),"",_xlfn.NORM.DIST(O$1,$D32,$E32,TRUE)-_xlfn.NORM.DIST(O$2,$D32,$E32,TRUE))</f>
        <v/>
      </c>
      <c r="P32">
        <f>IF(NOT(ISNUMBER($D32)),"",_xlfn.NORM.DIST(P$1,$D32,$E32,TRUE)-_xlfn.NORM.DIST(P$2,$D32,$E32,TRUE))</f>
        <v/>
      </c>
      <c r="Q32">
        <f>IF(NOT(ISNUMBER($D32)),"",_xlfn.NORM.DIST(Q$1,$D32,$E32,TRUE)-_xlfn.NORM.DIST(Q$2,$D32,$E32,TRUE))</f>
        <v/>
      </c>
      <c r="R32">
        <f>IF(NOT(ISNUMBER($D32)),"",_xlfn.NORM.DIST(R$1,$D32,$E32,TRUE)-_xlfn.NORM.DIST(R$2,$D32,$E32,TRUE))</f>
        <v/>
      </c>
      <c r="S32">
        <f>IF(NOT(ISNUMBER($D32)),"",_xlfn.NORM.DIST(S$1,$D32,$E32,TRUE)-_xlfn.NORM.DIST(S$2,$D32,$E32,TRUE))</f>
        <v/>
      </c>
      <c r="T32">
        <f>IF(NOT(ISNUMBER($D32)),"",_xlfn.NORM.DIST(T$1,$D32,$E32,TRUE)-_xlfn.NORM.DIST(T$2,$D32,$E32,TRUE))</f>
        <v/>
      </c>
      <c r="U32">
        <f>IF(NOT(ISNUMBER($D32)),"",_xlfn.NORM.DIST(U$1,$D32,$E32,TRUE)-_xlfn.NORM.DIST(U$2,$D32,$E32,TRUE))</f>
        <v/>
      </c>
      <c r="V32">
        <f>IF(NOT(ISNUMBER($D32)),"",_xlfn.NORM.DIST(V$1,$D32,$E32,TRUE)-_xlfn.NORM.DIST(V$2,$D32,$E32,TRUE))</f>
        <v/>
      </c>
      <c r="W32">
        <f>IF(NOT(ISNUMBER($D32)),"",_xlfn.NORM.DIST(W$1,$D32,$E32,TRUE)-_xlfn.NORM.DIST(W$2,$D32,$E32,TRUE))</f>
        <v/>
      </c>
      <c r="X32">
        <f>IF(NOT(ISNUMBER($D32)),"",_xlfn.NORM.DIST(X$1,$D32,$E32,TRUE)-_xlfn.NORM.DIST(X$2,$D32,$E32,TRUE))</f>
        <v/>
      </c>
      <c r="Y32">
        <f>IF(NOT(ISNUMBER($D32)),"",_xlfn.NORM.DIST(Y$1,$D32,$E32,TRUE)-_xlfn.NORM.DIST(Y$2,$D32,$E32,TRUE))</f>
        <v/>
      </c>
      <c r="Z32">
        <f>IF(NOT(ISNUMBER($D32)),"",_xlfn.NORM.DIST(Z$1,$D32,$E32,TRUE)-_xlfn.NORM.DIST(Z$2,$D32,$E32,TRUE))</f>
        <v/>
      </c>
      <c r="AA32">
        <f>IF(NOT(ISNUMBER($D32)),"",_xlfn.NORM.DIST(AA$1,$D32,$E32,TRUE)-_xlfn.NORM.DIST(AA$2,$D32,$E32,TRUE))</f>
        <v/>
      </c>
      <c r="AB32">
        <f>IF(NOT(ISNUMBER($D32)),"",_xlfn.NORM.DIST(AB$1,$D32,$E32,TRUE)-_xlfn.NORM.DIST(AB$2,$D32,$E32,TRUE))</f>
        <v/>
      </c>
      <c r="AC32">
        <f>IF(NOT(ISNUMBER($D32)),"",_xlfn.NORM.DIST(AC$1,$D32,$E32,TRUE)-_xlfn.NORM.DIST(AC$2,$D32,$E32,TRUE))</f>
        <v/>
      </c>
      <c r="AD32">
        <f>IF(NOT(ISNUMBER($D32)),"",_xlfn.NORM.DIST(AD$1,$D32,$E32,TRUE)-_xlfn.NORM.DIST(AD$2,$D32,$E32,TRUE))</f>
        <v/>
      </c>
      <c r="AE32">
        <f>IF(NOT(ISNUMBER($D32)),"",_xlfn.NORM.DIST(AE$1,$D32,$E32,TRUE)-_xlfn.NORM.DIST(AE$2,$D32,$E32,TRUE))</f>
        <v/>
      </c>
      <c r="AF32">
        <f>IF(NOT(ISNUMBER($D32)),"",_xlfn.NORM.DIST(AF$1,$D32,$E32,TRUE)-_xlfn.NORM.DIST(AF$2,$D32,$E32,TRUE))</f>
        <v/>
      </c>
      <c r="AG32">
        <f>IF(NOT(ISNUMBER($D32)),"",_xlfn.NORM.DIST(AG$1,$D32,$E32,TRUE)-_xlfn.NORM.DIST(AG$2,$D32,$E32,TRUE))</f>
        <v/>
      </c>
      <c r="AH32">
        <f>IF(NOT(ISNUMBER($D32)),"",_xlfn.NORM.DIST(AH$1,$D32,$E32,TRUE)-_xlfn.NORM.DIST(AH$2,$D32,$E32,TRUE))</f>
        <v/>
      </c>
      <c r="AI32">
        <f>IF(NOT(ISNUMBER($D32)),"",_xlfn.NORM.DIST(AI$1,$D32,$E32,TRUE)-_xlfn.NORM.DIST(AI$2,$D32,$E32,TRUE))</f>
        <v/>
      </c>
      <c r="AJ32">
        <f>IF(NOT(ISNUMBER($D32)),"",_xlfn.NORM.DIST(AJ$1,$D32,$E32,TRUE)-_xlfn.NORM.DIST(AJ$2,$D32,$E32,TRUE))</f>
        <v/>
      </c>
      <c r="AK32">
        <f>IF(NOT(ISNUMBER($D32)),"",_xlfn.NORM.DIST(AK$1,$D32,$E32,TRUE)-_xlfn.NORM.DIST(AK$2,$D32,$E32,TRUE))</f>
        <v/>
      </c>
      <c r="AL32">
        <f>IF(NOT(ISNUMBER($D32)),"",_xlfn.NORM.DIST(AL$1,$D32,$E32,TRUE)-_xlfn.NORM.DIST(AL$2,$D32,$E32,TRUE))</f>
        <v/>
      </c>
      <c r="AM32">
        <f>IF(NOT(ISNUMBER($D32)),"",_xlfn.NORM.DIST(AM$1,$D32,$E32,TRUE)-_xlfn.NORM.DIST(AM$2,$D32,$E32,TRUE))</f>
        <v/>
      </c>
      <c r="AN32">
        <f>IF(NOT(ISNUMBER($D32)),"",_xlfn.NORM.DIST(AN$1,$D32,$E32,TRUE)-_xlfn.NORM.DIST(AN$2,$D32,$E32,TRUE))</f>
        <v/>
      </c>
      <c r="AO32">
        <f>IF(NOT(ISNUMBER($D32)),"",_xlfn.NORM.DIST(AO$1,$D32,$E32,TRUE)-_xlfn.NORM.DIST(AO$2,$D32,$E32,TRUE))</f>
        <v/>
      </c>
      <c r="AP32">
        <f>IF(NOT(ISNUMBER($D32)),"",_xlfn.NORM.DIST(AP$1,$D32,$E32,TRUE)-_xlfn.NORM.DIST(AP$2,$D32,$E32,TRUE))</f>
        <v/>
      </c>
      <c r="AQ32">
        <f>IF(NOT(ISNUMBER($D32)),"",_xlfn.NORM.DIST(AQ$1,$D32,$E32,TRUE)-_xlfn.NORM.DIST(AQ$2,$D32,$E32,TRUE))</f>
        <v/>
      </c>
      <c r="AR32">
        <f>IF(NOT(ISNUMBER($D32)),"",_xlfn.NORM.DIST(AR$1,$D32,$E32,TRUE)-_xlfn.NORM.DIST(AR$2,$D32,$E32,TRUE))</f>
        <v/>
      </c>
      <c r="AS32">
        <f>IF(NOT(ISNUMBER($D32)),"",_xlfn.NORM.DIST(AS$1,$D32,$E32,TRUE)-_xlfn.NORM.DIST(AS$2,$D32,$E32,TRUE))</f>
        <v/>
      </c>
      <c r="AT32">
        <f>IF(NOT(ISNUMBER($D32)),"",_xlfn.NORM.DIST(AT$1,$D32,$E32,TRUE)-_xlfn.NORM.DIST(AT$2,$D32,$E32,TRUE))</f>
        <v/>
      </c>
      <c r="AU32">
        <f>IF(NOT(ISNUMBER($D32)),"",_xlfn.NORM.DIST(AU$1,$D32,$E32,TRUE)-_xlfn.NORM.DIST(AU$2,$D32,$E32,TRUE))</f>
        <v/>
      </c>
      <c r="AV32">
        <f>IF(NOT(ISNUMBER($D32)),"",_xlfn.NORM.DIST(AV$1,$D32,$E32,TRUE)-_xlfn.NORM.DIST(AV$2,$D32,$E32,TRUE))</f>
        <v/>
      </c>
      <c r="AW32">
        <f>IF(NOT(ISNUMBER($D32)),"",_xlfn.NORM.DIST(AW$1,$D32,$E32,TRUE)-_xlfn.NORM.DIST(AW$2,$D32,$E32,TRUE))</f>
        <v/>
      </c>
      <c r="AX32">
        <f>IF(NOT(ISNUMBER($D32)),"",_xlfn.NORM.DIST(AX$1,$D32,$E32,TRUE)-_xlfn.NORM.DIST(AX$2,$D32,$E32,TRUE))</f>
        <v/>
      </c>
      <c r="AY32">
        <f>IF(NOT(ISNUMBER($D32)),"",_xlfn.NORM.DIST(AY$1,$D32,$E32,TRUE)-_xlfn.NORM.DIST(AY$2,$D32,$E32,TRUE))</f>
        <v/>
      </c>
      <c r="AZ32">
        <f>IF(NOT(ISNUMBER($D32)),"",_xlfn.NORM.DIST(AZ$1,$D32,$E32,TRUE)-_xlfn.NORM.DIST(AZ$2,$D32,$E32,TRUE))</f>
        <v/>
      </c>
      <c r="BA32">
        <f>IF(NOT(ISNUMBER($D32)),"",_xlfn.NORM.DIST(BA$1,$D32,$E32,TRUE)-_xlfn.NORM.DIST(BA$2,$D32,$E32,TRUE))</f>
        <v/>
      </c>
      <c r="BB32">
        <f>IF(NOT(ISNUMBER($D32)),"",_xlfn.NORM.DIST(BB$1,$D32,$E32,TRUE)-_xlfn.NORM.DIST(BB$2,$D32,$E32,TRUE))</f>
        <v/>
      </c>
      <c r="BC32">
        <f>IF(NOT(ISNUMBER($D32)),"",_xlfn.NORM.DIST(BC$1,$D32,$E32,TRUE)-_xlfn.NORM.DIST(BC$2,$D32,$E32,TRUE))</f>
        <v/>
      </c>
      <c r="BD32">
        <f>IF(NOT(ISNUMBER($D32)),"",_xlfn.NORM.DIST(BD$1,$D32,$E32,TRUE)-_xlfn.NORM.DIST(BD$2,$D32,$E32,TRUE))</f>
        <v/>
      </c>
      <c r="BE32">
        <f>IF(NOT(ISNUMBER($D32)),"",_xlfn.NORM.DIST(BE$1,$D32,$E32,TRUE)-_xlfn.NORM.DIST(BE$2,$D32,$E32,TRUE))</f>
        <v/>
      </c>
      <c r="BF32">
        <f>IF(NOT(ISNUMBER($D32)),"",_xlfn.NORM.DIST(BF$1,$D32,$E32,TRUE)-_xlfn.NORM.DIST(BF$2,$D32,$E32,TRUE))</f>
        <v/>
      </c>
      <c r="BG32">
        <f>IF(NOT(ISNUMBER($D32)),"",_xlfn.NORM.DIST(BG$1,$D32,$E32,TRUE)-_xlfn.NORM.DIST(BG$2,$D32,$E32,TRUE))</f>
        <v/>
      </c>
      <c r="BH32">
        <f>IF(NOT(ISNUMBER($D32)),"",_xlfn.NORM.DIST(BH$1,$D32,$E32,TRUE)-_xlfn.NORM.DIST(BH$2,$D32,$E32,TRUE))</f>
        <v/>
      </c>
      <c r="BI32">
        <f>IF(NOT(ISNUMBER($D32)),"",_xlfn.NORM.DIST(BI$1,$D32,$E32,TRUE)-_xlfn.NORM.DIST(BI$2,$D32,$E32,TRUE))</f>
        <v/>
      </c>
      <c r="BJ32">
        <f>IF(NOT(ISNUMBER($D32)),"",_xlfn.NORM.DIST(BJ$1,$D32,$E32,TRUE)-_xlfn.NORM.DIST(BJ$2,$D32,$E32,TRUE))</f>
        <v/>
      </c>
      <c r="BK32">
        <f>IF(NOT(ISNUMBER($D32)),"",_xlfn.NORM.DIST(BK$1,$D32,$E32,TRUE)-_xlfn.NORM.DIST(BK$2,$D32,$E32,TRUE))</f>
        <v/>
      </c>
      <c r="BL32">
        <f>IF(NOT(ISNUMBER($D32)),"",_xlfn.NORM.DIST(BL$1,$D32,$E32,TRUE)-_xlfn.NORM.DIST(BL$2,$D32,$E32,TRUE))</f>
        <v/>
      </c>
      <c r="BM32">
        <f>IF(NOT(ISNUMBER($D32)),"",_xlfn.NORM.DIST(BM$1,$D32,$E32,TRUE)-_xlfn.NORM.DIST(BM$2,$D32,$E32,TRUE))</f>
        <v/>
      </c>
      <c r="BN32">
        <f>IF(NOT(ISNUMBER($D32)),"",_xlfn.NORM.DIST(BN$1,$D32,$E32,TRUE)-_xlfn.NORM.DIST(BN$2,$D32,$E32,TRUE))</f>
        <v/>
      </c>
      <c r="BO32">
        <f>IF(NOT(ISNUMBER($D32)),"",_xlfn.NORM.DIST(BO$1,$D32,$E32,TRUE)-_xlfn.NORM.DIST(BO$2,$D32,$E32,TRUE))</f>
        <v/>
      </c>
      <c r="BP32">
        <f>IF(NOT(ISNUMBER($D32)),"",_xlfn.NORM.DIST(BP$1,$D32,$E32,TRUE)-_xlfn.NORM.DIST(BP$2,$D32,$E32,TRUE))</f>
        <v/>
      </c>
      <c r="BQ32">
        <f>IF(NOT(ISNUMBER($D32)),"",_xlfn.NORM.DIST(BQ$1,$D32,$E32,TRUE)-_xlfn.NORM.DIST(BQ$2,$D32,$E32,TRUE))</f>
        <v/>
      </c>
      <c r="BR32">
        <f>IF(NOT(ISNUMBER($D32)),"",_xlfn.NORM.DIST(BR$1,$D32,$E32,TRUE)-_xlfn.NORM.DIST(BR$2,$D32,$E32,TRUE))</f>
        <v/>
      </c>
      <c r="BS32">
        <f>IF(NOT(ISNUMBER($D32)),"",_xlfn.NORM.DIST(BS$1,$D32,$E32,TRUE)-_xlfn.NORM.DIST(BS$2,$D32,$E32,TRUE))</f>
        <v/>
      </c>
      <c r="BT32">
        <f>IF(NOT(ISNUMBER($D32)),"",_xlfn.NORM.DIST(BT$1,$D32,$E32,TRUE)-_xlfn.NORM.DIST(BT$2,$D32,$E32,TRUE))</f>
        <v/>
      </c>
      <c r="BU32">
        <f>IF(NOT(ISNUMBER($D32)),"",_xlfn.NORM.DIST(BU$1,$D32,$E32,TRUE)-_xlfn.NORM.DIST(BU$2,$D32,$E32,TRUE))</f>
        <v/>
      </c>
      <c r="BV32">
        <f>IF(NOT(ISNUMBER($D32)),"",_xlfn.NORM.DIST(BV$1,$D32,$E32,TRUE)-_xlfn.NORM.DIST(BV$2,$D32,$E32,TRUE))</f>
        <v/>
      </c>
      <c r="BW32">
        <f>IF(NOT(ISNUMBER($D32)),"",_xlfn.NORM.DIST(BW$1,$D32,$E32,TRUE)-_xlfn.NORM.DIST(BW$2,$D32,$E32,TRUE))</f>
        <v/>
      </c>
      <c r="BX32">
        <f>IF(NOT(ISNUMBER($D32)),"",_xlfn.NORM.DIST(BX$1,$D32,$E32,TRUE)-_xlfn.NORM.DIST(BX$2,$D32,$E32,TRUE))</f>
        <v/>
      </c>
      <c r="BY32">
        <f>IF(NOT(ISNUMBER($D32)),"",_xlfn.NORM.DIST(BY$1,$D32,$E32,TRUE)-_xlfn.NORM.DIST(BY$2,$D32,$E32,TRUE))</f>
        <v/>
      </c>
      <c r="BZ32">
        <f>IF(NOT(ISNUMBER($D32)),"",_xlfn.NORM.DIST(BZ$1,$D32,$E32,TRUE)-_xlfn.NORM.DIST(BZ$2,$D32,$E32,TRUE))</f>
        <v/>
      </c>
      <c r="CA32">
        <f>IF(NOT(ISNUMBER($D32)),"",_xlfn.NORM.DIST(CA$1,$D32,$E32,TRUE)-_xlfn.NORM.DIST(CA$2,$D32,$E32,TRUE))</f>
        <v/>
      </c>
      <c r="CB32">
        <f>IF(NOT(ISNUMBER($D32)),"",_xlfn.NORM.DIST(CB$1,$D32,$E32,TRUE)-_xlfn.NORM.DIST(CB$2,$D32,$E32,TRUE))</f>
        <v/>
      </c>
      <c r="CC32">
        <f>IF(NOT(ISNUMBER($D32)),"",_xlfn.NORM.DIST(CC$1,$D32,$E32,TRUE)-_xlfn.NORM.DIST(CC$2,$D32,$E32,TRUE))</f>
        <v/>
      </c>
      <c r="CD32">
        <f>IF(NOT(ISNUMBER($D32)),"",_xlfn.NORM.DIST(CD$1,$D32,$E32,TRUE)-_xlfn.NORM.DIST(CD$2,$D32,$E32,TRUE))</f>
        <v/>
      </c>
      <c r="CE32">
        <f>IF(NOT(ISNUMBER($D32)),"",_xlfn.NORM.DIST(CE$1,$D32,$E32,TRUE)-_xlfn.NORM.DIST(CE$2,$D32,$E32,TRUE))</f>
        <v/>
      </c>
      <c r="CF32">
        <f>IF(NOT(ISNUMBER($D32)),"",_xlfn.NORM.DIST(CF$1,$D32,$E32,TRUE)-_xlfn.NORM.DIST(CF$2,$D32,$E32,TRUE))</f>
        <v/>
      </c>
      <c r="CG32">
        <f>IF(NOT(ISNUMBER($D32)),"",_xlfn.NORM.DIST(CG$1,$D32,$E32,TRUE)-_xlfn.NORM.DIST(CG$2,$D32,$E32,TRUE))</f>
        <v/>
      </c>
      <c r="CH32">
        <f>IF(NOT(ISNUMBER($D32)),"",_xlfn.NORM.DIST(CH$1,$D32,$E32,TRUE)-_xlfn.NORM.DIST(CH$2,$D32,$E32,TRUE))</f>
        <v/>
      </c>
      <c r="CI32">
        <f>IF(NOT(ISNUMBER($D32)),"",_xlfn.NORM.DIST(CI$1,$D32,$E32,TRUE)-_xlfn.NORM.DIST(CI$2,$D32,$E32,TRUE))</f>
        <v/>
      </c>
      <c r="CJ32">
        <f>IF(ISNUMBER($D32),SUM(F32:CI32),"")</f>
        <v/>
      </c>
    </row>
    <row r="33">
      <c r="A33">
        <f>economics!A32</f>
        <v/>
      </c>
      <c r="B33">
        <f>economics!B32</f>
        <v/>
      </c>
      <c r="C33">
        <f>economics!D32</f>
        <v/>
      </c>
      <c r="D33">
        <f>IF(ISNUMBER(economics!T32),economics!T32,"na")</f>
        <v/>
      </c>
      <c r="E33">
        <f>IF(ISNUMBER(D33),MAX(0.3*ABS(D33),0.000001),"na")</f>
        <v/>
      </c>
      <c r="F33">
        <f>IF(NOT(ISNUMBER($D33)),"",_xlfn.NORM.DIST(F$1,$D33,$E33,TRUE)-_xlfn.NORM.DIST(F$2,$D33,$E33,TRUE))</f>
        <v/>
      </c>
      <c r="G33">
        <f>IF(NOT(ISNUMBER($D33)),"",_xlfn.NORM.DIST(G$1,$D33,$E33,TRUE)-_xlfn.NORM.DIST(G$2,$D33,$E33,TRUE))</f>
        <v/>
      </c>
      <c r="H33">
        <f>IF(NOT(ISNUMBER($D33)),"",_xlfn.NORM.DIST(H$1,$D33,$E33,TRUE)-_xlfn.NORM.DIST(H$2,$D33,$E33,TRUE))</f>
        <v/>
      </c>
      <c r="I33">
        <f>IF(NOT(ISNUMBER($D33)),"",_xlfn.NORM.DIST(I$1,$D33,$E33,TRUE)-_xlfn.NORM.DIST(I$2,$D33,$E33,TRUE))</f>
        <v/>
      </c>
      <c r="J33">
        <f>IF(NOT(ISNUMBER($D33)),"",_xlfn.NORM.DIST(J$1,$D33,$E33,TRUE)-_xlfn.NORM.DIST(J$2,$D33,$E33,TRUE))</f>
        <v/>
      </c>
      <c r="K33">
        <f>IF(NOT(ISNUMBER($D33)),"",_xlfn.NORM.DIST(K$1,$D33,$E33,TRUE)-_xlfn.NORM.DIST(K$2,$D33,$E33,TRUE))</f>
        <v/>
      </c>
      <c r="L33">
        <f>IF(NOT(ISNUMBER($D33)),"",_xlfn.NORM.DIST(L$1,$D33,$E33,TRUE)-_xlfn.NORM.DIST(L$2,$D33,$E33,TRUE))</f>
        <v/>
      </c>
      <c r="M33">
        <f>IF(NOT(ISNUMBER($D33)),"",_xlfn.NORM.DIST(M$1,$D33,$E33,TRUE)-_xlfn.NORM.DIST(M$2,$D33,$E33,TRUE))</f>
        <v/>
      </c>
      <c r="N33">
        <f>IF(NOT(ISNUMBER($D33)),"",_xlfn.NORM.DIST(N$1,$D33,$E33,TRUE)-_xlfn.NORM.DIST(N$2,$D33,$E33,TRUE))</f>
        <v/>
      </c>
      <c r="O33">
        <f>IF(NOT(ISNUMBER($D33)),"",_xlfn.NORM.DIST(O$1,$D33,$E33,TRUE)-_xlfn.NORM.DIST(O$2,$D33,$E33,TRUE))</f>
        <v/>
      </c>
      <c r="P33">
        <f>IF(NOT(ISNUMBER($D33)),"",_xlfn.NORM.DIST(P$1,$D33,$E33,TRUE)-_xlfn.NORM.DIST(P$2,$D33,$E33,TRUE))</f>
        <v/>
      </c>
      <c r="Q33">
        <f>IF(NOT(ISNUMBER($D33)),"",_xlfn.NORM.DIST(Q$1,$D33,$E33,TRUE)-_xlfn.NORM.DIST(Q$2,$D33,$E33,TRUE))</f>
        <v/>
      </c>
      <c r="R33">
        <f>IF(NOT(ISNUMBER($D33)),"",_xlfn.NORM.DIST(R$1,$D33,$E33,TRUE)-_xlfn.NORM.DIST(R$2,$D33,$E33,TRUE))</f>
        <v/>
      </c>
      <c r="S33">
        <f>IF(NOT(ISNUMBER($D33)),"",_xlfn.NORM.DIST(S$1,$D33,$E33,TRUE)-_xlfn.NORM.DIST(S$2,$D33,$E33,TRUE))</f>
        <v/>
      </c>
      <c r="T33">
        <f>IF(NOT(ISNUMBER($D33)),"",_xlfn.NORM.DIST(T$1,$D33,$E33,TRUE)-_xlfn.NORM.DIST(T$2,$D33,$E33,TRUE))</f>
        <v/>
      </c>
      <c r="U33">
        <f>IF(NOT(ISNUMBER($D33)),"",_xlfn.NORM.DIST(U$1,$D33,$E33,TRUE)-_xlfn.NORM.DIST(U$2,$D33,$E33,TRUE))</f>
        <v/>
      </c>
      <c r="V33">
        <f>IF(NOT(ISNUMBER($D33)),"",_xlfn.NORM.DIST(V$1,$D33,$E33,TRUE)-_xlfn.NORM.DIST(V$2,$D33,$E33,TRUE))</f>
        <v/>
      </c>
      <c r="W33">
        <f>IF(NOT(ISNUMBER($D33)),"",_xlfn.NORM.DIST(W$1,$D33,$E33,TRUE)-_xlfn.NORM.DIST(W$2,$D33,$E33,TRUE))</f>
        <v/>
      </c>
      <c r="X33">
        <f>IF(NOT(ISNUMBER($D33)),"",_xlfn.NORM.DIST(X$1,$D33,$E33,TRUE)-_xlfn.NORM.DIST(X$2,$D33,$E33,TRUE))</f>
        <v/>
      </c>
      <c r="Y33">
        <f>IF(NOT(ISNUMBER($D33)),"",_xlfn.NORM.DIST(Y$1,$D33,$E33,TRUE)-_xlfn.NORM.DIST(Y$2,$D33,$E33,TRUE))</f>
        <v/>
      </c>
      <c r="Z33">
        <f>IF(NOT(ISNUMBER($D33)),"",_xlfn.NORM.DIST(Z$1,$D33,$E33,TRUE)-_xlfn.NORM.DIST(Z$2,$D33,$E33,TRUE))</f>
        <v/>
      </c>
      <c r="AA33">
        <f>IF(NOT(ISNUMBER($D33)),"",_xlfn.NORM.DIST(AA$1,$D33,$E33,TRUE)-_xlfn.NORM.DIST(AA$2,$D33,$E33,TRUE))</f>
        <v/>
      </c>
      <c r="AB33">
        <f>IF(NOT(ISNUMBER($D33)),"",_xlfn.NORM.DIST(AB$1,$D33,$E33,TRUE)-_xlfn.NORM.DIST(AB$2,$D33,$E33,TRUE))</f>
        <v/>
      </c>
      <c r="AC33">
        <f>IF(NOT(ISNUMBER($D33)),"",_xlfn.NORM.DIST(AC$1,$D33,$E33,TRUE)-_xlfn.NORM.DIST(AC$2,$D33,$E33,TRUE))</f>
        <v/>
      </c>
      <c r="AD33">
        <f>IF(NOT(ISNUMBER($D33)),"",_xlfn.NORM.DIST(AD$1,$D33,$E33,TRUE)-_xlfn.NORM.DIST(AD$2,$D33,$E33,TRUE))</f>
        <v/>
      </c>
      <c r="AE33">
        <f>IF(NOT(ISNUMBER($D33)),"",_xlfn.NORM.DIST(AE$1,$D33,$E33,TRUE)-_xlfn.NORM.DIST(AE$2,$D33,$E33,TRUE))</f>
        <v/>
      </c>
      <c r="AF33">
        <f>IF(NOT(ISNUMBER($D33)),"",_xlfn.NORM.DIST(AF$1,$D33,$E33,TRUE)-_xlfn.NORM.DIST(AF$2,$D33,$E33,TRUE))</f>
        <v/>
      </c>
      <c r="AG33">
        <f>IF(NOT(ISNUMBER($D33)),"",_xlfn.NORM.DIST(AG$1,$D33,$E33,TRUE)-_xlfn.NORM.DIST(AG$2,$D33,$E33,TRUE))</f>
        <v/>
      </c>
      <c r="AH33">
        <f>IF(NOT(ISNUMBER($D33)),"",_xlfn.NORM.DIST(AH$1,$D33,$E33,TRUE)-_xlfn.NORM.DIST(AH$2,$D33,$E33,TRUE))</f>
        <v/>
      </c>
      <c r="AI33">
        <f>IF(NOT(ISNUMBER($D33)),"",_xlfn.NORM.DIST(AI$1,$D33,$E33,TRUE)-_xlfn.NORM.DIST(AI$2,$D33,$E33,TRUE))</f>
        <v/>
      </c>
      <c r="AJ33">
        <f>IF(NOT(ISNUMBER($D33)),"",_xlfn.NORM.DIST(AJ$1,$D33,$E33,TRUE)-_xlfn.NORM.DIST(AJ$2,$D33,$E33,TRUE))</f>
        <v/>
      </c>
      <c r="AK33">
        <f>IF(NOT(ISNUMBER($D33)),"",_xlfn.NORM.DIST(AK$1,$D33,$E33,TRUE)-_xlfn.NORM.DIST(AK$2,$D33,$E33,TRUE))</f>
        <v/>
      </c>
      <c r="AL33">
        <f>IF(NOT(ISNUMBER($D33)),"",_xlfn.NORM.DIST(AL$1,$D33,$E33,TRUE)-_xlfn.NORM.DIST(AL$2,$D33,$E33,TRUE))</f>
        <v/>
      </c>
      <c r="AM33">
        <f>IF(NOT(ISNUMBER($D33)),"",_xlfn.NORM.DIST(AM$1,$D33,$E33,TRUE)-_xlfn.NORM.DIST(AM$2,$D33,$E33,TRUE))</f>
        <v/>
      </c>
      <c r="AN33">
        <f>IF(NOT(ISNUMBER($D33)),"",_xlfn.NORM.DIST(AN$1,$D33,$E33,TRUE)-_xlfn.NORM.DIST(AN$2,$D33,$E33,TRUE))</f>
        <v/>
      </c>
      <c r="AO33">
        <f>IF(NOT(ISNUMBER($D33)),"",_xlfn.NORM.DIST(AO$1,$D33,$E33,TRUE)-_xlfn.NORM.DIST(AO$2,$D33,$E33,TRUE))</f>
        <v/>
      </c>
      <c r="AP33">
        <f>IF(NOT(ISNUMBER($D33)),"",_xlfn.NORM.DIST(AP$1,$D33,$E33,TRUE)-_xlfn.NORM.DIST(AP$2,$D33,$E33,TRUE))</f>
        <v/>
      </c>
      <c r="AQ33">
        <f>IF(NOT(ISNUMBER($D33)),"",_xlfn.NORM.DIST(AQ$1,$D33,$E33,TRUE)-_xlfn.NORM.DIST(AQ$2,$D33,$E33,TRUE))</f>
        <v/>
      </c>
      <c r="AR33">
        <f>IF(NOT(ISNUMBER($D33)),"",_xlfn.NORM.DIST(AR$1,$D33,$E33,TRUE)-_xlfn.NORM.DIST(AR$2,$D33,$E33,TRUE))</f>
        <v/>
      </c>
      <c r="AS33">
        <f>IF(NOT(ISNUMBER($D33)),"",_xlfn.NORM.DIST(AS$1,$D33,$E33,TRUE)-_xlfn.NORM.DIST(AS$2,$D33,$E33,TRUE))</f>
        <v/>
      </c>
      <c r="AT33">
        <f>IF(NOT(ISNUMBER($D33)),"",_xlfn.NORM.DIST(AT$1,$D33,$E33,TRUE)-_xlfn.NORM.DIST(AT$2,$D33,$E33,TRUE))</f>
        <v/>
      </c>
      <c r="AU33">
        <f>IF(NOT(ISNUMBER($D33)),"",_xlfn.NORM.DIST(AU$1,$D33,$E33,TRUE)-_xlfn.NORM.DIST(AU$2,$D33,$E33,TRUE))</f>
        <v/>
      </c>
      <c r="AV33">
        <f>IF(NOT(ISNUMBER($D33)),"",_xlfn.NORM.DIST(AV$1,$D33,$E33,TRUE)-_xlfn.NORM.DIST(AV$2,$D33,$E33,TRUE))</f>
        <v/>
      </c>
      <c r="AW33">
        <f>IF(NOT(ISNUMBER($D33)),"",_xlfn.NORM.DIST(AW$1,$D33,$E33,TRUE)-_xlfn.NORM.DIST(AW$2,$D33,$E33,TRUE))</f>
        <v/>
      </c>
      <c r="AX33">
        <f>IF(NOT(ISNUMBER($D33)),"",_xlfn.NORM.DIST(AX$1,$D33,$E33,TRUE)-_xlfn.NORM.DIST(AX$2,$D33,$E33,TRUE))</f>
        <v/>
      </c>
      <c r="AY33">
        <f>IF(NOT(ISNUMBER($D33)),"",_xlfn.NORM.DIST(AY$1,$D33,$E33,TRUE)-_xlfn.NORM.DIST(AY$2,$D33,$E33,TRUE))</f>
        <v/>
      </c>
      <c r="AZ33">
        <f>IF(NOT(ISNUMBER($D33)),"",_xlfn.NORM.DIST(AZ$1,$D33,$E33,TRUE)-_xlfn.NORM.DIST(AZ$2,$D33,$E33,TRUE))</f>
        <v/>
      </c>
      <c r="BA33">
        <f>IF(NOT(ISNUMBER($D33)),"",_xlfn.NORM.DIST(BA$1,$D33,$E33,TRUE)-_xlfn.NORM.DIST(BA$2,$D33,$E33,TRUE))</f>
        <v/>
      </c>
      <c r="BB33">
        <f>IF(NOT(ISNUMBER($D33)),"",_xlfn.NORM.DIST(BB$1,$D33,$E33,TRUE)-_xlfn.NORM.DIST(BB$2,$D33,$E33,TRUE))</f>
        <v/>
      </c>
      <c r="BC33">
        <f>IF(NOT(ISNUMBER($D33)),"",_xlfn.NORM.DIST(BC$1,$D33,$E33,TRUE)-_xlfn.NORM.DIST(BC$2,$D33,$E33,TRUE))</f>
        <v/>
      </c>
      <c r="BD33">
        <f>IF(NOT(ISNUMBER($D33)),"",_xlfn.NORM.DIST(BD$1,$D33,$E33,TRUE)-_xlfn.NORM.DIST(BD$2,$D33,$E33,TRUE))</f>
        <v/>
      </c>
      <c r="BE33">
        <f>IF(NOT(ISNUMBER($D33)),"",_xlfn.NORM.DIST(BE$1,$D33,$E33,TRUE)-_xlfn.NORM.DIST(BE$2,$D33,$E33,TRUE))</f>
        <v/>
      </c>
      <c r="BF33">
        <f>IF(NOT(ISNUMBER($D33)),"",_xlfn.NORM.DIST(BF$1,$D33,$E33,TRUE)-_xlfn.NORM.DIST(BF$2,$D33,$E33,TRUE))</f>
        <v/>
      </c>
      <c r="BG33">
        <f>IF(NOT(ISNUMBER($D33)),"",_xlfn.NORM.DIST(BG$1,$D33,$E33,TRUE)-_xlfn.NORM.DIST(BG$2,$D33,$E33,TRUE))</f>
        <v/>
      </c>
      <c r="BH33">
        <f>IF(NOT(ISNUMBER($D33)),"",_xlfn.NORM.DIST(BH$1,$D33,$E33,TRUE)-_xlfn.NORM.DIST(BH$2,$D33,$E33,TRUE))</f>
        <v/>
      </c>
      <c r="BI33">
        <f>IF(NOT(ISNUMBER($D33)),"",_xlfn.NORM.DIST(BI$1,$D33,$E33,TRUE)-_xlfn.NORM.DIST(BI$2,$D33,$E33,TRUE))</f>
        <v/>
      </c>
      <c r="BJ33">
        <f>IF(NOT(ISNUMBER($D33)),"",_xlfn.NORM.DIST(BJ$1,$D33,$E33,TRUE)-_xlfn.NORM.DIST(BJ$2,$D33,$E33,TRUE))</f>
        <v/>
      </c>
      <c r="BK33">
        <f>IF(NOT(ISNUMBER($D33)),"",_xlfn.NORM.DIST(BK$1,$D33,$E33,TRUE)-_xlfn.NORM.DIST(BK$2,$D33,$E33,TRUE))</f>
        <v/>
      </c>
      <c r="BL33">
        <f>IF(NOT(ISNUMBER($D33)),"",_xlfn.NORM.DIST(BL$1,$D33,$E33,TRUE)-_xlfn.NORM.DIST(BL$2,$D33,$E33,TRUE))</f>
        <v/>
      </c>
      <c r="BM33">
        <f>IF(NOT(ISNUMBER($D33)),"",_xlfn.NORM.DIST(BM$1,$D33,$E33,TRUE)-_xlfn.NORM.DIST(BM$2,$D33,$E33,TRUE))</f>
        <v/>
      </c>
      <c r="BN33">
        <f>IF(NOT(ISNUMBER($D33)),"",_xlfn.NORM.DIST(BN$1,$D33,$E33,TRUE)-_xlfn.NORM.DIST(BN$2,$D33,$E33,TRUE))</f>
        <v/>
      </c>
      <c r="BO33">
        <f>IF(NOT(ISNUMBER($D33)),"",_xlfn.NORM.DIST(BO$1,$D33,$E33,TRUE)-_xlfn.NORM.DIST(BO$2,$D33,$E33,TRUE))</f>
        <v/>
      </c>
      <c r="BP33">
        <f>IF(NOT(ISNUMBER($D33)),"",_xlfn.NORM.DIST(BP$1,$D33,$E33,TRUE)-_xlfn.NORM.DIST(BP$2,$D33,$E33,TRUE))</f>
        <v/>
      </c>
      <c r="BQ33">
        <f>IF(NOT(ISNUMBER($D33)),"",_xlfn.NORM.DIST(BQ$1,$D33,$E33,TRUE)-_xlfn.NORM.DIST(BQ$2,$D33,$E33,TRUE))</f>
        <v/>
      </c>
      <c r="BR33">
        <f>IF(NOT(ISNUMBER($D33)),"",_xlfn.NORM.DIST(BR$1,$D33,$E33,TRUE)-_xlfn.NORM.DIST(BR$2,$D33,$E33,TRUE))</f>
        <v/>
      </c>
      <c r="BS33">
        <f>IF(NOT(ISNUMBER($D33)),"",_xlfn.NORM.DIST(BS$1,$D33,$E33,TRUE)-_xlfn.NORM.DIST(BS$2,$D33,$E33,TRUE))</f>
        <v/>
      </c>
      <c r="BT33">
        <f>IF(NOT(ISNUMBER($D33)),"",_xlfn.NORM.DIST(BT$1,$D33,$E33,TRUE)-_xlfn.NORM.DIST(BT$2,$D33,$E33,TRUE))</f>
        <v/>
      </c>
      <c r="BU33">
        <f>IF(NOT(ISNUMBER($D33)),"",_xlfn.NORM.DIST(BU$1,$D33,$E33,TRUE)-_xlfn.NORM.DIST(BU$2,$D33,$E33,TRUE))</f>
        <v/>
      </c>
      <c r="BV33">
        <f>IF(NOT(ISNUMBER($D33)),"",_xlfn.NORM.DIST(BV$1,$D33,$E33,TRUE)-_xlfn.NORM.DIST(BV$2,$D33,$E33,TRUE))</f>
        <v/>
      </c>
      <c r="BW33">
        <f>IF(NOT(ISNUMBER($D33)),"",_xlfn.NORM.DIST(BW$1,$D33,$E33,TRUE)-_xlfn.NORM.DIST(BW$2,$D33,$E33,TRUE))</f>
        <v/>
      </c>
      <c r="BX33">
        <f>IF(NOT(ISNUMBER($D33)),"",_xlfn.NORM.DIST(BX$1,$D33,$E33,TRUE)-_xlfn.NORM.DIST(BX$2,$D33,$E33,TRUE))</f>
        <v/>
      </c>
      <c r="BY33">
        <f>IF(NOT(ISNUMBER($D33)),"",_xlfn.NORM.DIST(BY$1,$D33,$E33,TRUE)-_xlfn.NORM.DIST(BY$2,$D33,$E33,TRUE))</f>
        <v/>
      </c>
      <c r="BZ33">
        <f>IF(NOT(ISNUMBER($D33)),"",_xlfn.NORM.DIST(BZ$1,$D33,$E33,TRUE)-_xlfn.NORM.DIST(BZ$2,$D33,$E33,TRUE))</f>
        <v/>
      </c>
      <c r="CA33">
        <f>IF(NOT(ISNUMBER($D33)),"",_xlfn.NORM.DIST(CA$1,$D33,$E33,TRUE)-_xlfn.NORM.DIST(CA$2,$D33,$E33,TRUE))</f>
        <v/>
      </c>
      <c r="CB33">
        <f>IF(NOT(ISNUMBER($D33)),"",_xlfn.NORM.DIST(CB$1,$D33,$E33,TRUE)-_xlfn.NORM.DIST(CB$2,$D33,$E33,TRUE))</f>
        <v/>
      </c>
      <c r="CC33">
        <f>IF(NOT(ISNUMBER($D33)),"",_xlfn.NORM.DIST(CC$1,$D33,$E33,TRUE)-_xlfn.NORM.DIST(CC$2,$D33,$E33,TRUE))</f>
        <v/>
      </c>
      <c r="CD33">
        <f>IF(NOT(ISNUMBER($D33)),"",_xlfn.NORM.DIST(CD$1,$D33,$E33,TRUE)-_xlfn.NORM.DIST(CD$2,$D33,$E33,TRUE))</f>
        <v/>
      </c>
      <c r="CE33">
        <f>IF(NOT(ISNUMBER($D33)),"",_xlfn.NORM.DIST(CE$1,$D33,$E33,TRUE)-_xlfn.NORM.DIST(CE$2,$D33,$E33,TRUE))</f>
        <v/>
      </c>
      <c r="CF33">
        <f>IF(NOT(ISNUMBER($D33)),"",_xlfn.NORM.DIST(CF$1,$D33,$E33,TRUE)-_xlfn.NORM.DIST(CF$2,$D33,$E33,TRUE))</f>
        <v/>
      </c>
      <c r="CG33">
        <f>IF(NOT(ISNUMBER($D33)),"",_xlfn.NORM.DIST(CG$1,$D33,$E33,TRUE)-_xlfn.NORM.DIST(CG$2,$D33,$E33,TRUE))</f>
        <v/>
      </c>
      <c r="CH33">
        <f>IF(NOT(ISNUMBER($D33)),"",_xlfn.NORM.DIST(CH$1,$D33,$E33,TRUE)-_xlfn.NORM.DIST(CH$2,$D33,$E33,TRUE))</f>
        <v/>
      </c>
      <c r="CI33">
        <f>IF(NOT(ISNUMBER($D33)),"",_xlfn.NORM.DIST(CI$1,$D33,$E33,TRUE)-_xlfn.NORM.DIST(CI$2,$D33,$E33,TRUE))</f>
        <v/>
      </c>
      <c r="CJ33">
        <f>IF(ISNUMBER($D33),SUM(F33:CI33),"")</f>
        <v/>
      </c>
    </row>
    <row r="34">
      <c r="A34">
        <f>economics!A33</f>
        <v/>
      </c>
      <c r="B34">
        <f>economics!B33</f>
        <v/>
      </c>
      <c r="C34">
        <f>economics!D33</f>
        <v/>
      </c>
      <c r="D34">
        <f>IF(ISNUMBER(economics!T33),economics!T33,"na")</f>
        <v/>
      </c>
      <c r="E34">
        <f>IF(ISNUMBER(D34),MAX(0.3*ABS(D34),0.000001),"na")</f>
        <v/>
      </c>
      <c r="F34">
        <f>IF(NOT(ISNUMBER($D34)),"",_xlfn.NORM.DIST(F$1,$D34,$E34,TRUE)-_xlfn.NORM.DIST(F$2,$D34,$E34,TRUE))</f>
        <v/>
      </c>
      <c r="G34">
        <f>IF(NOT(ISNUMBER($D34)),"",_xlfn.NORM.DIST(G$1,$D34,$E34,TRUE)-_xlfn.NORM.DIST(G$2,$D34,$E34,TRUE))</f>
        <v/>
      </c>
      <c r="H34">
        <f>IF(NOT(ISNUMBER($D34)),"",_xlfn.NORM.DIST(H$1,$D34,$E34,TRUE)-_xlfn.NORM.DIST(H$2,$D34,$E34,TRUE))</f>
        <v/>
      </c>
      <c r="I34">
        <f>IF(NOT(ISNUMBER($D34)),"",_xlfn.NORM.DIST(I$1,$D34,$E34,TRUE)-_xlfn.NORM.DIST(I$2,$D34,$E34,TRUE))</f>
        <v/>
      </c>
      <c r="J34">
        <f>IF(NOT(ISNUMBER($D34)),"",_xlfn.NORM.DIST(J$1,$D34,$E34,TRUE)-_xlfn.NORM.DIST(J$2,$D34,$E34,TRUE))</f>
        <v/>
      </c>
      <c r="K34">
        <f>IF(NOT(ISNUMBER($D34)),"",_xlfn.NORM.DIST(K$1,$D34,$E34,TRUE)-_xlfn.NORM.DIST(K$2,$D34,$E34,TRUE))</f>
        <v/>
      </c>
      <c r="L34">
        <f>IF(NOT(ISNUMBER($D34)),"",_xlfn.NORM.DIST(L$1,$D34,$E34,TRUE)-_xlfn.NORM.DIST(L$2,$D34,$E34,TRUE))</f>
        <v/>
      </c>
      <c r="M34">
        <f>IF(NOT(ISNUMBER($D34)),"",_xlfn.NORM.DIST(M$1,$D34,$E34,TRUE)-_xlfn.NORM.DIST(M$2,$D34,$E34,TRUE))</f>
        <v/>
      </c>
      <c r="N34">
        <f>IF(NOT(ISNUMBER($D34)),"",_xlfn.NORM.DIST(N$1,$D34,$E34,TRUE)-_xlfn.NORM.DIST(N$2,$D34,$E34,TRUE))</f>
        <v/>
      </c>
      <c r="O34">
        <f>IF(NOT(ISNUMBER($D34)),"",_xlfn.NORM.DIST(O$1,$D34,$E34,TRUE)-_xlfn.NORM.DIST(O$2,$D34,$E34,TRUE))</f>
        <v/>
      </c>
      <c r="P34">
        <f>IF(NOT(ISNUMBER($D34)),"",_xlfn.NORM.DIST(P$1,$D34,$E34,TRUE)-_xlfn.NORM.DIST(P$2,$D34,$E34,TRUE))</f>
        <v/>
      </c>
      <c r="Q34">
        <f>IF(NOT(ISNUMBER($D34)),"",_xlfn.NORM.DIST(Q$1,$D34,$E34,TRUE)-_xlfn.NORM.DIST(Q$2,$D34,$E34,TRUE))</f>
        <v/>
      </c>
      <c r="R34">
        <f>IF(NOT(ISNUMBER($D34)),"",_xlfn.NORM.DIST(R$1,$D34,$E34,TRUE)-_xlfn.NORM.DIST(R$2,$D34,$E34,TRUE))</f>
        <v/>
      </c>
      <c r="S34">
        <f>IF(NOT(ISNUMBER($D34)),"",_xlfn.NORM.DIST(S$1,$D34,$E34,TRUE)-_xlfn.NORM.DIST(S$2,$D34,$E34,TRUE))</f>
        <v/>
      </c>
      <c r="T34">
        <f>IF(NOT(ISNUMBER($D34)),"",_xlfn.NORM.DIST(T$1,$D34,$E34,TRUE)-_xlfn.NORM.DIST(T$2,$D34,$E34,TRUE))</f>
        <v/>
      </c>
      <c r="U34">
        <f>IF(NOT(ISNUMBER($D34)),"",_xlfn.NORM.DIST(U$1,$D34,$E34,TRUE)-_xlfn.NORM.DIST(U$2,$D34,$E34,TRUE))</f>
        <v/>
      </c>
      <c r="V34">
        <f>IF(NOT(ISNUMBER($D34)),"",_xlfn.NORM.DIST(V$1,$D34,$E34,TRUE)-_xlfn.NORM.DIST(V$2,$D34,$E34,TRUE))</f>
        <v/>
      </c>
      <c r="W34">
        <f>IF(NOT(ISNUMBER($D34)),"",_xlfn.NORM.DIST(W$1,$D34,$E34,TRUE)-_xlfn.NORM.DIST(W$2,$D34,$E34,TRUE))</f>
        <v/>
      </c>
      <c r="X34">
        <f>IF(NOT(ISNUMBER($D34)),"",_xlfn.NORM.DIST(X$1,$D34,$E34,TRUE)-_xlfn.NORM.DIST(X$2,$D34,$E34,TRUE))</f>
        <v/>
      </c>
      <c r="Y34">
        <f>IF(NOT(ISNUMBER($D34)),"",_xlfn.NORM.DIST(Y$1,$D34,$E34,TRUE)-_xlfn.NORM.DIST(Y$2,$D34,$E34,TRUE))</f>
        <v/>
      </c>
      <c r="Z34">
        <f>IF(NOT(ISNUMBER($D34)),"",_xlfn.NORM.DIST(Z$1,$D34,$E34,TRUE)-_xlfn.NORM.DIST(Z$2,$D34,$E34,TRUE))</f>
        <v/>
      </c>
      <c r="AA34">
        <f>IF(NOT(ISNUMBER($D34)),"",_xlfn.NORM.DIST(AA$1,$D34,$E34,TRUE)-_xlfn.NORM.DIST(AA$2,$D34,$E34,TRUE))</f>
        <v/>
      </c>
      <c r="AB34">
        <f>IF(NOT(ISNUMBER($D34)),"",_xlfn.NORM.DIST(AB$1,$D34,$E34,TRUE)-_xlfn.NORM.DIST(AB$2,$D34,$E34,TRUE))</f>
        <v/>
      </c>
      <c r="AC34">
        <f>IF(NOT(ISNUMBER($D34)),"",_xlfn.NORM.DIST(AC$1,$D34,$E34,TRUE)-_xlfn.NORM.DIST(AC$2,$D34,$E34,TRUE))</f>
        <v/>
      </c>
      <c r="AD34">
        <f>IF(NOT(ISNUMBER($D34)),"",_xlfn.NORM.DIST(AD$1,$D34,$E34,TRUE)-_xlfn.NORM.DIST(AD$2,$D34,$E34,TRUE))</f>
        <v/>
      </c>
      <c r="AE34">
        <f>IF(NOT(ISNUMBER($D34)),"",_xlfn.NORM.DIST(AE$1,$D34,$E34,TRUE)-_xlfn.NORM.DIST(AE$2,$D34,$E34,TRUE))</f>
        <v/>
      </c>
      <c r="AF34">
        <f>IF(NOT(ISNUMBER($D34)),"",_xlfn.NORM.DIST(AF$1,$D34,$E34,TRUE)-_xlfn.NORM.DIST(AF$2,$D34,$E34,TRUE))</f>
        <v/>
      </c>
      <c r="AG34">
        <f>IF(NOT(ISNUMBER($D34)),"",_xlfn.NORM.DIST(AG$1,$D34,$E34,TRUE)-_xlfn.NORM.DIST(AG$2,$D34,$E34,TRUE))</f>
        <v/>
      </c>
      <c r="AH34">
        <f>IF(NOT(ISNUMBER($D34)),"",_xlfn.NORM.DIST(AH$1,$D34,$E34,TRUE)-_xlfn.NORM.DIST(AH$2,$D34,$E34,TRUE))</f>
        <v/>
      </c>
      <c r="AI34">
        <f>IF(NOT(ISNUMBER($D34)),"",_xlfn.NORM.DIST(AI$1,$D34,$E34,TRUE)-_xlfn.NORM.DIST(AI$2,$D34,$E34,TRUE))</f>
        <v/>
      </c>
      <c r="AJ34">
        <f>IF(NOT(ISNUMBER($D34)),"",_xlfn.NORM.DIST(AJ$1,$D34,$E34,TRUE)-_xlfn.NORM.DIST(AJ$2,$D34,$E34,TRUE))</f>
        <v/>
      </c>
      <c r="AK34">
        <f>IF(NOT(ISNUMBER($D34)),"",_xlfn.NORM.DIST(AK$1,$D34,$E34,TRUE)-_xlfn.NORM.DIST(AK$2,$D34,$E34,TRUE))</f>
        <v/>
      </c>
      <c r="AL34">
        <f>IF(NOT(ISNUMBER($D34)),"",_xlfn.NORM.DIST(AL$1,$D34,$E34,TRUE)-_xlfn.NORM.DIST(AL$2,$D34,$E34,TRUE))</f>
        <v/>
      </c>
      <c r="AM34">
        <f>IF(NOT(ISNUMBER($D34)),"",_xlfn.NORM.DIST(AM$1,$D34,$E34,TRUE)-_xlfn.NORM.DIST(AM$2,$D34,$E34,TRUE))</f>
        <v/>
      </c>
      <c r="AN34">
        <f>IF(NOT(ISNUMBER($D34)),"",_xlfn.NORM.DIST(AN$1,$D34,$E34,TRUE)-_xlfn.NORM.DIST(AN$2,$D34,$E34,TRUE))</f>
        <v/>
      </c>
      <c r="AO34">
        <f>IF(NOT(ISNUMBER($D34)),"",_xlfn.NORM.DIST(AO$1,$D34,$E34,TRUE)-_xlfn.NORM.DIST(AO$2,$D34,$E34,TRUE))</f>
        <v/>
      </c>
      <c r="AP34">
        <f>IF(NOT(ISNUMBER($D34)),"",_xlfn.NORM.DIST(AP$1,$D34,$E34,TRUE)-_xlfn.NORM.DIST(AP$2,$D34,$E34,TRUE))</f>
        <v/>
      </c>
      <c r="AQ34">
        <f>IF(NOT(ISNUMBER($D34)),"",_xlfn.NORM.DIST(AQ$1,$D34,$E34,TRUE)-_xlfn.NORM.DIST(AQ$2,$D34,$E34,TRUE))</f>
        <v/>
      </c>
      <c r="AR34">
        <f>IF(NOT(ISNUMBER($D34)),"",_xlfn.NORM.DIST(AR$1,$D34,$E34,TRUE)-_xlfn.NORM.DIST(AR$2,$D34,$E34,TRUE))</f>
        <v/>
      </c>
      <c r="AS34">
        <f>IF(NOT(ISNUMBER($D34)),"",_xlfn.NORM.DIST(AS$1,$D34,$E34,TRUE)-_xlfn.NORM.DIST(AS$2,$D34,$E34,TRUE))</f>
        <v/>
      </c>
      <c r="AT34">
        <f>IF(NOT(ISNUMBER($D34)),"",_xlfn.NORM.DIST(AT$1,$D34,$E34,TRUE)-_xlfn.NORM.DIST(AT$2,$D34,$E34,TRUE))</f>
        <v/>
      </c>
      <c r="AU34">
        <f>IF(NOT(ISNUMBER($D34)),"",_xlfn.NORM.DIST(AU$1,$D34,$E34,TRUE)-_xlfn.NORM.DIST(AU$2,$D34,$E34,TRUE))</f>
        <v/>
      </c>
      <c r="AV34">
        <f>IF(NOT(ISNUMBER($D34)),"",_xlfn.NORM.DIST(AV$1,$D34,$E34,TRUE)-_xlfn.NORM.DIST(AV$2,$D34,$E34,TRUE))</f>
        <v/>
      </c>
      <c r="AW34">
        <f>IF(NOT(ISNUMBER($D34)),"",_xlfn.NORM.DIST(AW$1,$D34,$E34,TRUE)-_xlfn.NORM.DIST(AW$2,$D34,$E34,TRUE))</f>
        <v/>
      </c>
      <c r="AX34">
        <f>IF(NOT(ISNUMBER($D34)),"",_xlfn.NORM.DIST(AX$1,$D34,$E34,TRUE)-_xlfn.NORM.DIST(AX$2,$D34,$E34,TRUE))</f>
        <v/>
      </c>
      <c r="AY34">
        <f>IF(NOT(ISNUMBER($D34)),"",_xlfn.NORM.DIST(AY$1,$D34,$E34,TRUE)-_xlfn.NORM.DIST(AY$2,$D34,$E34,TRUE))</f>
        <v/>
      </c>
      <c r="AZ34">
        <f>IF(NOT(ISNUMBER($D34)),"",_xlfn.NORM.DIST(AZ$1,$D34,$E34,TRUE)-_xlfn.NORM.DIST(AZ$2,$D34,$E34,TRUE))</f>
        <v/>
      </c>
      <c r="BA34">
        <f>IF(NOT(ISNUMBER($D34)),"",_xlfn.NORM.DIST(BA$1,$D34,$E34,TRUE)-_xlfn.NORM.DIST(BA$2,$D34,$E34,TRUE))</f>
        <v/>
      </c>
      <c r="BB34">
        <f>IF(NOT(ISNUMBER($D34)),"",_xlfn.NORM.DIST(BB$1,$D34,$E34,TRUE)-_xlfn.NORM.DIST(BB$2,$D34,$E34,TRUE))</f>
        <v/>
      </c>
      <c r="BC34">
        <f>IF(NOT(ISNUMBER($D34)),"",_xlfn.NORM.DIST(BC$1,$D34,$E34,TRUE)-_xlfn.NORM.DIST(BC$2,$D34,$E34,TRUE))</f>
        <v/>
      </c>
      <c r="BD34">
        <f>IF(NOT(ISNUMBER($D34)),"",_xlfn.NORM.DIST(BD$1,$D34,$E34,TRUE)-_xlfn.NORM.DIST(BD$2,$D34,$E34,TRUE))</f>
        <v/>
      </c>
      <c r="BE34">
        <f>IF(NOT(ISNUMBER($D34)),"",_xlfn.NORM.DIST(BE$1,$D34,$E34,TRUE)-_xlfn.NORM.DIST(BE$2,$D34,$E34,TRUE))</f>
        <v/>
      </c>
      <c r="BF34">
        <f>IF(NOT(ISNUMBER($D34)),"",_xlfn.NORM.DIST(BF$1,$D34,$E34,TRUE)-_xlfn.NORM.DIST(BF$2,$D34,$E34,TRUE))</f>
        <v/>
      </c>
      <c r="BG34">
        <f>IF(NOT(ISNUMBER($D34)),"",_xlfn.NORM.DIST(BG$1,$D34,$E34,TRUE)-_xlfn.NORM.DIST(BG$2,$D34,$E34,TRUE))</f>
        <v/>
      </c>
      <c r="BH34">
        <f>IF(NOT(ISNUMBER($D34)),"",_xlfn.NORM.DIST(BH$1,$D34,$E34,TRUE)-_xlfn.NORM.DIST(BH$2,$D34,$E34,TRUE))</f>
        <v/>
      </c>
      <c r="BI34">
        <f>IF(NOT(ISNUMBER($D34)),"",_xlfn.NORM.DIST(BI$1,$D34,$E34,TRUE)-_xlfn.NORM.DIST(BI$2,$D34,$E34,TRUE))</f>
        <v/>
      </c>
      <c r="BJ34">
        <f>IF(NOT(ISNUMBER($D34)),"",_xlfn.NORM.DIST(BJ$1,$D34,$E34,TRUE)-_xlfn.NORM.DIST(BJ$2,$D34,$E34,TRUE))</f>
        <v/>
      </c>
      <c r="BK34">
        <f>IF(NOT(ISNUMBER($D34)),"",_xlfn.NORM.DIST(BK$1,$D34,$E34,TRUE)-_xlfn.NORM.DIST(BK$2,$D34,$E34,TRUE))</f>
        <v/>
      </c>
      <c r="BL34">
        <f>IF(NOT(ISNUMBER($D34)),"",_xlfn.NORM.DIST(BL$1,$D34,$E34,TRUE)-_xlfn.NORM.DIST(BL$2,$D34,$E34,TRUE))</f>
        <v/>
      </c>
      <c r="BM34">
        <f>IF(NOT(ISNUMBER($D34)),"",_xlfn.NORM.DIST(BM$1,$D34,$E34,TRUE)-_xlfn.NORM.DIST(BM$2,$D34,$E34,TRUE))</f>
        <v/>
      </c>
      <c r="BN34">
        <f>IF(NOT(ISNUMBER($D34)),"",_xlfn.NORM.DIST(BN$1,$D34,$E34,TRUE)-_xlfn.NORM.DIST(BN$2,$D34,$E34,TRUE))</f>
        <v/>
      </c>
      <c r="BO34">
        <f>IF(NOT(ISNUMBER($D34)),"",_xlfn.NORM.DIST(BO$1,$D34,$E34,TRUE)-_xlfn.NORM.DIST(BO$2,$D34,$E34,TRUE))</f>
        <v/>
      </c>
      <c r="BP34">
        <f>IF(NOT(ISNUMBER($D34)),"",_xlfn.NORM.DIST(BP$1,$D34,$E34,TRUE)-_xlfn.NORM.DIST(BP$2,$D34,$E34,TRUE))</f>
        <v/>
      </c>
      <c r="BQ34">
        <f>IF(NOT(ISNUMBER($D34)),"",_xlfn.NORM.DIST(BQ$1,$D34,$E34,TRUE)-_xlfn.NORM.DIST(BQ$2,$D34,$E34,TRUE))</f>
        <v/>
      </c>
      <c r="BR34">
        <f>IF(NOT(ISNUMBER($D34)),"",_xlfn.NORM.DIST(BR$1,$D34,$E34,TRUE)-_xlfn.NORM.DIST(BR$2,$D34,$E34,TRUE))</f>
        <v/>
      </c>
      <c r="BS34">
        <f>IF(NOT(ISNUMBER($D34)),"",_xlfn.NORM.DIST(BS$1,$D34,$E34,TRUE)-_xlfn.NORM.DIST(BS$2,$D34,$E34,TRUE))</f>
        <v/>
      </c>
      <c r="BT34">
        <f>IF(NOT(ISNUMBER($D34)),"",_xlfn.NORM.DIST(BT$1,$D34,$E34,TRUE)-_xlfn.NORM.DIST(BT$2,$D34,$E34,TRUE))</f>
        <v/>
      </c>
      <c r="BU34">
        <f>IF(NOT(ISNUMBER($D34)),"",_xlfn.NORM.DIST(BU$1,$D34,$E34,TRUE)-_xlfn.NORM.DIST(BU$2,$D34,$E34,TRUE))</f>
        <v/>
      </c>
      <c r="BV34">
        <f>IF(NOT(ISNUMBER($D34)),"",_xlfn.NORM.DIST(BV$1,$D34,$E34,TRUE)-_xlfn.NORM.DIST(BV$2,$D34,$E34,TRUE))</f>
        <v/>
      </c>
      <c r="BW34">
        <f>IF(NOT(ISNUMBER($D34)),"",_xlfn.NORM.DIST(BW$1,$D34,$E34,TRUE)-_xlfn.NORM.DIST(BW$2,$D34,$E34,TRUE))</f>
        <v/>
      </c>
      <c r="BX34">
        <f>IF(NOT(ISNUMBER($D34)),"",_xlfn.NORM.DIST(BX$1,$D34,$E34,TRUE)-_xlfn.NORM.DIST(BX$2,$D34,$E34,TRUE))</f>
        <v/>
      </c>
      <c r="BY34">
        <f>IF(NOT(ISNUMBER($D34)),"",_xlfn.NORM.DIST(BY$1,$D34,$E34,TRUE)-_xlfn.NORM.DIST(BY$2,$D34,$E34,TRUE))</f>
        <v/>
      </c>
      <c r="BZ34">
        <f>IF(NOT(ISNUMBER($D34)),"",_xlfn.NORM.DIST(BZ$1,$D34,$E34,TRUE)-_xlfn.NORM.DIST(BZ$2,$D34,$E34,TRUE))</f>
        <v/>
      </c>
      <c r="CA34">
        <f>IF(NOT(ISNUMBER($D34)),"",_xlfn.NORM.DIST(CA$1,$D34,$E34,TRUE)-_xlfn.NORM.DIST(CA$2,$D34,$E34,TRUE))</f>
        <v/>
      </c>
      <c r="CB34">
        <f>IF(NOT(ISNUMBER($D34)),"",_xlfn.NORM.DIST(CB$1,$D34,$E34,TRUE)-_xlfn.NORM.DIST(CB$2,$D34,$E34,TRUE))</f>
        <v/>
      </c>
      <c r="CC34">
        <f>IF(NOT(ISNUMBER($D34)),"",_xlfn.NORM.DIST(CC$1,$D34,$E34,TRUE)-_xlfn.NORM.DIST(CC$2,$D34,$E34,TRUE))</f>
        <v/>
      </c>
      <c r="CD34">
        <f>IF(NOT(ISNUMBER($D34)),"",_xlfn.NORM.DIST(CD$1,$D34,$E34,TRUE)-_xlfn.NORM.DIST(CD$2,$D34,$E34,TRUE))</f>
        <v/>
      </c>
      <c r="CE34">
        <f>IF(NOT(ISNUMBER($D34)),"",_xlfn.NORM.DIST(CE$1,$D34,$E34,TRUE)-_xlfn.NORM.DIST(CE$2,$D34,$E34,TRUE))</f>
        <v/>
      </c>
      <c r="CF34">
        <f>IF(NOT(ISNUMBER($D34)),"",_xlfn.NORM.DIST(CF$1,$D34,$E34,TRUE)-_xlfn.NORM.DIST(CF$2,$D34,$E34,TRUE))</f>
        <v/>
      </c>
      <c r="CG34">
        <f>IF(NOT(ISNUMBER($D34)),"",_xlfn.NORM.DIST(CG$1,$D34,$E34,TRUE)-_xlfn.NORM.DIST(CG$2,$D34,$E34,TRUE))</f>
        <v/>
      </c>
      <c r="CH34">
        <f>IF(NOT(ISNUMBER($D34)),"",_xlfn.NORM.DIST(CH$1,$D34,$E34,TRUE)-_xlfn.NORM.DIST(CH$2,$D34,$E34,TRUE))</f>
        <v/>
      </c>
      <c r="CI34">
        <f>IF(NOT(ISNUMBER($D34)),"",_xlfn.NORM.DIST(CI$1,$D34,$E34,TRUE)-_xlfn.NORM.DIST(CI$2,$D34,$E34,TRUE))</f>
        <v/>
      </c>
      <c r="CJ34">
        <f>IF(ISNUMBER($D34),SUM(F34:CI34),"")</f>
        <v/>
      </c>
    </row>
    <row r="35">
      <c r="A35">
        <f>economics!A34</f>
        <v/>
      </c>
      <c r="B35">
        <f>economics!B34</f>
        <v/>
      </c>
      <c r="C35">
        <f>economics!D34</f>
        <v/>
      </c>
      <c r="D35">
        <f>IF(ISNUMBER(economics!T34),economics!T34,"na")</f>
        <v/>
      </c>
      <c r="E35">
        <f>IF(ISNUMBER(D35),MAX(0.3*ABS(D35),0.000001),"na")</f>
        <v/>
      </c>
      <c r="F35">
        <f>IF(NOT(ISNUMBER($D35)),"",_xlfn.NORM.DIST(F$1,$D35,$E35,TRUE)-_xlfn.NORM.DIST(F$2,$D35,$E35,TRUE))</f>
        <v/>
      </c>
      <c r="G35">
        <f>IF(NOT(ISNUMBER($D35)),"",_xlfn.NORM.DIST(G$1,$D35,$E35,TRUE)-_xlfn.NORM.DIST(G$2,$D35,$E35,TRUE))</f>
        <v/>
      </c>
      <c r="H35">
        <f>IF(NOT(ISNUMBER($D35)),"",_xlfn.NORM.DIST(H$1,$D35,$E35,TRUE)-_xlfn.NORM.DIST(H$2,$D35,$E35,TRUE))</f>
        <v/>
      </c>
      <c r="I35">
        <f>IF(NOT(ISNUMBER($D35)),"",_xlfn.NORM.DIST(I$1,$D35,$E35,TRUE)-_xlfn.NORM.DIST(I$2,$D35,$E35,TRUE))</f>
        <v/>
      </c>
      <c r="J35">
        <f>IF(NOT(ISNUMBER($D35)),"",_xlfn.NORM.DIST(J$1,$D35,$E35,TRUE)-_xlfn.NORM.DIST(J$2,$D35,$E35,TRUE))</f>
        <v/>
      </c>
      <c r="K35">
        <f>IF(NOT(ISNUMBER($D35)),"",_xlfn.NORM.DIST(K$1,$D35,$E35,TRUE)-_xlfn.NORM.DIST(K$2,$D35,$E35,TRUE))</f>
        <v/>
      </c>
      <c r="L35">
        <f>IF(NOT(ISNUMBER($D35)),"",_xlfn.NORM.DIST(L$1,$D35,$E35,TRUE)-_xlfn.NORM.DIST(L$2,$D35,$E35,TRUE))</f>
        <v/>
      </c>
      <c r="M35">
        <f>IF(NOT(ISNUMBER($D35)),"",_xlfn.NORM.DIST(M$1,$D35,$E35,TRUE)-_xlfn.NORM.DIST(M$2,$D35,$E35,TRUE))</f>
        <v/>
      </c>
      <c r="N35">
        <f>IF(NOT(ISNUMBER($D35)),"",_xlfn.NORM.DIST(N$1,$D35,$E35,TRUE)-_xlfn.NORM.DIST(N$2,$D35,$E35,TRUE))</f>
        <v/>
      </c>
      <c r="O35">
        <f>IF(NOT(ISNUMBER($D35)),"",_xlfn.NORM.DIST(O$1,$D35,$E35,TRUE)-_xlfn.NORM.DIST(O$2,$D35,$E35,TRUE))</f>
        <v/>
      </c>
      <c r="P35">
        <f>IF(NOT(ISNUMBER($D35)),"",_xlfn.NORM.DIST(P$1,$D35,$E35,TRUE)-_xlfn.NORM.DIST(P$2,$D35,$E35,TRUE))</f>
        <v/>
      </c>
      <c r="Q35">
        <f>IF(NOT(ISNUMBER($D35)),"",_xlfn.NORM.DIST(Q$1,$D35,$E35,TRUE)-_xlfn.NORM.DIST(Q$2,$D35,$E35,TRUE))</f>
        <v/>
      </c>
      <c r="R35">
        <f>IF(NOT(ISNUMBER($D35)),"",_xlfn.NORM.DIST(R$1,$D35,$E35,TRUE)-_xlfn.NORM.DIST(R$2,$D35,$E35,TRUE))</f>
        <v/>
      </c>
      <c r="S35">
        <f>IF(NOT(ISNUMBER($D35)),"",_xlfn.NORM.DIST(S$1,$D35,$E35,TRUE)-_xlfn.NORM.DIST(S$2,$D35,$E35,TRUE))</f>
        <v/>
      </c>
      <c r="T35">
        <f>IF(NOT(ISNUMBER($D35)),"",_xlfn.NORM.DIST(T$1,$D35,$E35,TRUE)-_xlfn.NORM.DIST(T$2,$D35,$E35,TRUE))</f>
        <v/>
      </c>
      <c r="U35">
        <f>IF(NOT(ISNUMBER($D35)),"",_xlfn.NORM.DIST(U$1,$D35,$E35,TRUE)-_xlfn.NORM.DIST(U$2,$D35,$E35,TRUE))</f>
        <v/>
      </c>
      <c r="V35">
        <f>IF(NOT(ISNUMBER($D35)),"",_xlfn.NORM.DIST(V$1,$D35,$E35,TRUE)-_xlfn.NORM.DIST(V$2,$D35,$E35,TRUE))</f>
        <v/>
      </c>
      <c r="W35">
        <f>IF(NOT(ISNUMBER($D35)),"",_xlfn.NORM.DIST(W$1,$D35,$E35,TRUE)-_xlfn.NORM.DIST(W$2,$D35,$E35,TRUE))</f>
        <v/>
      </c>
      <c r="X35">
        <f>IF(NOT(ISNUMBER($D35)),"",_xlfn.NORM.DIST(X$1,$D35,$E35,TRUE)-_xlfn.NORM.DIST(X$2,$D35,$E35,TRUE))</f>
        <v/>
      </c>
      <c r="Y35">
        <f>IF(NOT(ISNUMBER($D35)),"",_xlfn.NORM.DIST(Y$1,$D35,$E35,TRUE)-_xlfn.NORM.DIST(Y$2,$D35,$E35,TRUE))</f>
        <v/>
      </c>
      <c r="Z35">
        <f>IF(NOT(ISNUMBER($D35)),"",_xlfn.NORM.DIST(Z$1,$D35,$E35,TRUE)-_xlfn.NORM.DIST(Z$2,$D35,$E35,TRUE))</f>
        <v/>
      </c>
      <c r="AA35">
        <f>IF(NOT(ISNUMBER($D35)),"",_xlfn.NORM.DIST(AA$1,$D35,$E35,TRUE)-_xlfn.NORM.DIST(AA$2,$D35,$E35,TRUE))</f>
        <v/>
      </c>
      <c r="AB35">
        <f>IF(NOT(ISNUMBER($D35)),"",_xlfn.NORM.DIST(AB$1,$D35,$E35,TRUE)-_xlfn.NORM.DIST(AB$2,$D35,$E35,TRUE))</f>
        <v/>
      </c>
      <c r="AC35">
        <f>IF(NOT(ISNUMBER($D35)),"",_xlfn.NORM.DIST(AC$1,$D35,$E35,TRUE)-_xlfn.NORM.DIST(AC$2,$D35,$E35,TRUE))</f>
        <v/>
      </c>
      <c r="AD35">
        <f>IF(NOT(ISNUMBER($D35)),"",_xlfn.NORM.DIST(AD$1,$D35,$E35,TRUE)-_xlfn.NORM.DIST(AD$2,$D35,$E35,TRUE))</f>
        <v/>
      </c>
      <c r="AE35">
        <f>IF(NOT(ISNUMBER($D35)),"",_xlfn.NORM.DIST(AE$1,$D35,$E35,TRUE)-_xlfn.NORM.DIST(AE$2,$D35,$E35,TRUE))</f>
        <v/>
      </c>
      <c r="AF35">
        <f>IF(NOT(ISNUMBER($D35)),"",_xlfn.NORM.DIST(AF$1,$D35,$E35,TRUE)-_xlfn.NORM.DIST(AF$2,$D35,$E35,TRUE))</f>
        <v/>
      </c>
      <c r="AG35">
        <f>IF(NOT(ISNUMBER($D35)),"",_xlfn.NORM.DIST(AG$1,$D35,$E35,TRUE)-_xlfn.NORM.DIST(AG$2,$D35,$E35,TRUE))</f>
        <v/>
      </c>
      <c r="AH35">
        <f>IF(NOT(ISNUMBER($D35)),"",_xlfn.NORM.DIST(AH$1,$D35,$E35,TRUE)-_xlfn.NORM.DIST(AH$2,$D35,$E35,TRUE))</f>
        <v/>
      </c>
      <c r="AI35">
        <f>IF(NOT(ISNUMBER($D35)),"",_xlfn.NORM.DIST(AI$1,$D35,$E35,TRUE)-_xlfn.NORM.DIST(AI$2,$D35,$E35,TRUE))</f>
        <v/>
      </c>
      <c r="AJ35">
        <f>IF(NOT(ISNUMBER($D35)),"",_xlfn.NORM.DIST(AJ$1,$D35,$E35,TRUE)-_xlfn.NORM.DIST(AJ$2,$D35,$E35,TRUE))</f>
        <v/>
      </c>
      <c r="AK35">
        <f>IF(NOT(ISNUMBER($D35)),"",_xlfn.NORM.DIST(AK$1,$D35,$E35,TRUE)-_xlfn.NORM.DIST(AK$2,$D35,$E35,TRUE))</f>
        <v/>
      </c>
      <c r="AL35">
        <f>IF(NOT(ISNUMBER($D35)),"",_xlfn.NORM.DIST(AL$1,$D35,$E35,TRUE)-_xlfn.NORM.DIST(AL$2,$D35,$E35,TRUE))</f>
        <v/>
      </c>
      <c r="AM35">
        <f>IF(NOT(ISNUMBER($D35)),"",_xlfn.NORM.DIST(AM$1,$D35,$E35,TRUE)-_xlfn.NORM.DIST(AM$2,$D35,$E35,TRUE))</f>
        <v/>
      </c>
      <c r="AN35">
        <f>IF(NOT(ISNUMBER($D35)),"",_xlfn.NORM.DIST(AN$1,$D35,$E35,TRUE)-_xlfn.NORM.DIST(AN$2,$D35,$E35,TRUE))</f>
        <v/>
      </c>
      <c r="AO35">
        <f>IF(NOT(ISNUMBER($D35)),"",_xlfn.NORM.DIST(AO$1,$D35,$E35,TRUE)-_xlfn.NORM.DIST(AO$2,$D35,$E35,TRUE))</f>
        <v/>
      </c>
      <c r="AP35">
        <f>IF(NOT(ISNUMBER($D35)),"",_xlfn.NORM.DIST(AP$1,$D35,$E35,TRUE)-_xlfn.NORM.DIST(AP$2,$D35,$E35,TRUE))</f>
        <v/>
      </c>
      <c r="AQ35">
        <f>IF(NOT(ISNUMBER($D35)),"",_xlfn.NORM.DIST(AQ$1,$D35,$E35,TRUE)-_xlfn.NORM.DIST(AQ$2,$D35,$E35,TRUE))</f>
        <v/>
      </c>
      <c r="AR35">
        <f>IF(NOT(ISNUMBER($D35)),"",_xlfn.NORM.DIST(AR$1,$D35,$E35,TRUE)-_xlfn.NORM.DIST(AR$2,$D35,$E35,TRUE))</f>
        <v/>
      </c>
      <c r="AS35">
        <f>IF(NOT(ISNUMBER($D35)),"",_xlfn.NORM.DIST(AS$1,$D35,$E35,TRUE)-_xlfn.NORM.DIST(AS$2,$D35,$E35,TRUE))</f>
        <v/>
      </c>
      <c r="AT35">
        <f>IF(NOT(ISNUMBER($D35)),"",_xlfn.NORM.DIST(AT$1,$D35,$E35,TRUE)-_xlfn.NORM.DIST(AT$2,$D35,$E35,TRUE))</f>
        <v/>
      </c>
      <c r="AU35">
        <f>IF(NOT(ISNUMBER($D35)),"",_xlfn.NORM.DIST(AU$1,$D35,$E35,TRUE)-_xlfn.NORM.DIST(AU$2,$D35,$E35,TRUE))</f>
        <v/>
      </c>
      <c r="AV35">
        <f>IF(NOT(ISNUMBER($D35)),"",_xlfn.NORM.DIST(AV$1,$D35,$E35,TRUE)-_xlfn.NORM.DIST(AV$2,$D35,$E35,TRUE))</f>
        <v/>
      </c>
      <c r="AW35">
        <f>IF(NOT(ISNUMBER($D35)),"",_xlfn.NORM.DIST(AW$1,$D35,$E35,TRUE)-_xlfn.NORM.DIST(AW$2,$D35,$E35,TRUE))</f>
        <v/>
      </c>
      <c r="AX35">
        <f>IF(NOT(ISNUMBER($D35)),"",_xlfn.NORM.DIST(AX$1,$D35,$E35,TRUE)-_xlfn.NORM.DIST(AX$2,$D35,$E35,TRUE))</f>
        <v/>
      </c>
      <c r="AY35">
        <f>IF(NOT(ISNUMBER($D35)),"",_xlfn.NORM.DIST(AY$1,$D35,$E35,TRUE)-_xlfn.NORM.DIST(AY$2,$D35,$E35,TRUE))</f>
        <v/>
      </c>
      <c r="AZ35">
        <f>IF(NOT(ISNUMBER($D35)),"",_xlfn.NORM.DIST(AZ$1,$D35,$E35,TRUE)-_xlfn.NORM.DIST(AZ$2,$D35,$E35,TRUE))</f>
        <v/>
      </c>
      <c r="BA35">
        <f>IF(NOT(ISNUMBER($D35)),"",_xlfn.NORM.DIST(BA$1,$D35,$E35,TRUE)-_xlfn.NORM.DIST(BA$2,$D35,$E35,TRUE))</f>
        <v/>
      </c>
      <c r="BB35">
        <f>IF(NOT(ISNUMBER($D35)),"",_xlfn.NORM.DIST(BB$1,$D35,$E35,TRUE)-_xlfn.NORM.DIST(BB$2,$D35,$E35,TRUE))</f>
        <v/>
      </c>
      <c r="BC35">
        <f>IF(NOT(ISNUMBER($D35)),"",_xlfn.NORM.DIST(BC$1,$D35,$E35,TRUE)-_xlfn.NORM.DIST(BC$2,$D35,$E35,TRUE))</f>
        <v/>
      </c>
      <c r="BD35">
        <f>IF(NOT(ISNUMBER($D35)),"",_xlfn.NORM.DIST(BD$1,$D35,$E35,TRUE)-_xlfn.NORM.DIST(BD$2,$D35,$E35,TRUE))</f>
        <v/>
      </c>
      <c r="BE35">
        <f>IF(NOT(ISNUMBER($D35)),"",_xlfn.NORM.DIST(BE$1,$D35,$E35,TRUE)-_xlfn.NORM.DIST(BE$2,$D35,$E35,TRUE))</f>
        <v/>
      </c>
      <c r="BF35">
        <f>IF(NOT(ISNUMBER($D35)),"",_xlfn.NORM.DIST(BF$1,$D35,$E35,TRUE)-_xlfn.NORM.DIST(BF$2,$D35,$E35,TRUE))</f>
        <v/>
      </c>
      <c r="BG35">
        <f>IF(NOT(ISNUMBER($D35)),"",_xlfn.NORM.DIST(BG$1,$D35,$E35,TRUE)-_xlfn.NORM.DIST(BG$2,$D35,$E35,TRUE))</f>
        <v/>
      </c>
      <c r="BH35">
        <f>IF(NOT(ISNUMBER($D35)),"",_xlfn.NORM.DIST(BH$1,$D35,$E35,TRUE)-_xlfn.NORM.DIST(BH$2,$D35,$E35,TRUE))</f>
        <v/>
      </c>
      <c r="BI35">
        <f>IF(NOT(ISNUMBER($D35)),"",_xlfn.NORM.DIST(BI$1,$D35,$E35,TRUE)-_xlfn.NORM.DIST(BI$2,$D35,$E35,TRUE))</f>
        <v/>
      </c>
      <c r="BJ35">
        <f>IF(NOT(ISNUMBER($D35)),"",_xlfn.NORM.DIST(BJ$1,$D35,$E35,TRUE)-_xlfn.NORM.DIST(BJ$2,$D35,$E35,TRUE))</f>
        <v/>
      </c>
      <c r="BK35">
        <f>IF(NOT(ISNUMBER($D35)),"",_xlfn.NORM.DIST(BK$1,$D35,$E35,TRUE)-_xlfn.NORM.DIST(BK$2,$D35,$E35,TRUE))</f>
        <v/>
      </c>
      <c r="BL35">
        <f>IF(NOT(ISNUMBER($D35)),"",_xlfn.NORM.DIST(BL$1,$D35,$E35,TRUE)-_xlfn.NORM.DIST(BL$2,$D35,$E35,TRUE))</f>
        <v/>
      </c>
      <c r="BM35">
        <f>IF(NOT(ISNUMBER($D35)),"",_xlfn.NORM.DIST(BM$1,$D35,$E35,TRUE)-_xlfn.NORM.DIST(BM$2,$D35,$E35,TRUE))</f>
        <v/>
      </c>
      <c r="BN35">
        <f>IF(NOT(ISNUMBER($D35)),"",_xlfn.NORM.DIST(BN$1,$D35,$E35,TRUE)-_xlfn.NORM.DIST(BN$2,$D35,$E35,TRUE))</f>
        <v/>
      </c>
      <c r="BO35">
        <f>IF(NOT(ISNUMBER($D35)),"",_xlfn.NORM.DIST(BO$1,$D35,$E35,TRUE)-_xlfn.NORM.DIST(BO$2,$D35,$E35,TRUE))</f>
        <v/>
      </c>
      <c r="BP35">
        <f>IF(NOT(ISNUMBER($D35)),"",_xlfn.NORM.DIST(BP$1,$D35,$E35,TRUE)-_xlfn.NORM.DIST(BP$2,$D35,$E35,TRUE))</f>
        <v/>
      </c>
      <c r="BQ35">
        <f>IF(NOT(ISNUMBER($D35)),"",_xlfn.NORM.DIST(BQ$1,$D35,$E35,TRUE)-_xlfn.NORM.DIST(BQ$2,$D35,$E35,TRUE))</f>
        <v/>
      </c>
      <c r="BR35">
        <f>IF(NOT(ISNUMBER($D35)),"",_xlfn.NORM.DIST(BR$1,$D35,$E35,TRUE)-_xlfn.NORM.DIST(BR$2,$D35,$E35,TRUE))</f>
        <v/>
      </c>
      <c r="BS35">
        <f>IF(NOT(ISNUMBER($D35)),"",_xlfn.NORM.DIST(BS$1,$D35,$E35,TRUE)-_xlfn.NORM.DIST(BS$2,$D35,$E35,TRUE))</f>
        <v/>
      </c>
      <c r="BT35">
        <f>IF(NOT(ISNUMBER($D35)),"",_xlfn.NORM.DIST(BT$1,$D35,$E35,TRUE)-_xlfn.NORM.DIST(BT$2,$D35,$E35,TRUE))</f>
        <v/>
      </c>
      <c r="BU35">
        <f>IF(NOT(ISNUMBER($D35)),"",_xlfn.NORM.DIST(BU$1,$D35,$E35,TRUE)-_xlfn.NORM.DIST(BU$2,$D35,$E35,TRUE))</f>
        <v/>
      </c>
      <c r="BV35">
        <f>IF(NOT(ISNUMBER($D35)),"",_xlfn.NORM.DIST(BV$1,$D35,$E35,TRUE)-_xlfn.NORM.DIST(BV$2,$D35,$E35,TRUE))</f>
        <v/>
      </c>
      <c r="BW35">
        <f>IF(NOT(ISNUMBER($D35)),"",_xlfn.NORM.DIST(BW$1,$D35,$E35,TRUE)-_xlfn.NORM.DIST(BW$2,$D35,$E35,TRUE))</f>
        <v/>
      </c>
      <c r="BX35">
        <f>IF(NOT(ISNUMBER($D35)),"",_xlfn.NORM.DIST(BX$1,$D35,$E35,TRUE)-_xlfn.NORM.DIST(BX$2,$D35,$E35,TRUE))</f>
        <v/>
      </c>
      <c r="BY35">
        <f>IF(NOT(ISNUMBER($D35)),"",_xlfn.NORM.DIST(BY$1,$D35,$E35,TRUE)-_xlfn.NORM.DIST(BY$2,$D35,$E35,TRUE))</f>
        <v/>
      </c>
      <c r="BZ35">
        <f>IF(NOT(ISNUMBER($D35)),"",_xlfn.NORM.DIST(BZ$1,$D35,$E35,TRUE)-_xlfn.NORM.DIST(BZ$2,$D35,$E35,TRUE))</f>
        <v/>
      </c>
      <c r="CA35">
        <f>IF(NOT(ISNUMBER($D35)),"",_xlfn.NORM.DIST(CA$1,$D35,$E35,TRUE)-_xlfn.NORM.DIST(CA$2,$D35,$E35,TRUE))</f>
        <v/>
      </c>
      <c r="CB35">
        <f>IF(NOT(ISNUMBER($D35)),"",_xlfn.NORM.DIST(CB$1,$D35,$E35,TRUE)-_xlfn.NORM.DIST(CB$2,$D35,$E35,TRUE))</f>
        <v/>
      </c>
      <c r="CC35">
        <f>IF(NOT(ISNUMBER($D35)),"",_xlfn.NORM.DIST(CC$1,$D35,$E35,TRUE)-_xlfn.NORM.DIST(CC$2,$D35,$E35,TRUE))</f>
        <v/>
      </c>
      <c r="CD35">
        <f>IF(NOT(ISNUMBER($D35)),"",_xlfn.NORM.DIST(CD$1,$D35,$E35,TRUE)-_xlfn.NORM.DIST(CD$2,$D35,$E35,TRUE))</f>
        <v/>
      </c>
      <c r="CE35">
        <f>IF(NOT(ISNUMBER($D35)),"",_xlfn.NORM.DIST(CE$1,$D35,$E35,TRUE)-_xlfn.NORM.DIST(CE$2,$D35,$E35,TRUE))</f>
        <v/>
      </c>
      <c r="CF35">
        <f>IF(NOT(ISNUMBER($D35)),"",_xlfn.NORM.DIST(CF$1,$D35,$E35,TRUE)-_xlfn.NORM.DIST(CF$2,$D35,$E35,TRUE))</f>
        <v/>
      </c>
      <c r="CG35">
        <f>IF(NOT(ISNUMBER($D35)),"",_xlfn.NORM.DIST(CG$1,$D35,$E35,TRUE)-_xlfn.NORM.DIST(CG$2,$D35,$E35,TRUE))</f>
        <v/>
      </c>
      <c r="CH35">
        <f>IF(NOT(ISNUMBER($D35)),"",_xlfn.NORM.DIST(CH$1,$D35,$E35,TRUE)-_xlfn.NORM.DIST(CH$2,$D35,$E35,TRUE))</f>
        <v/>
      </c>
      <c r="CI35">
        <f>IF(NOT(ISNUMBER($D35)),"",_xlfn.NORM.DIST(CI$1,$D35,$E35,TRUE)-_xlfn.NORM.DIST(CI$2,$D35,$E35,TRUE))</f>
        <v/>
      </c>
      <c r="CJ35">
        <f>IF(ISNUMBER($D35),SUM(F35:CI35),"")</f>
        <v/>
      </c>
    </row>
    <row r="36">
      <c r="A36">
        <f>economics!A35</f>
        <v/>
      </c>
      <c r="B36">
        <f>economics!B35</f>
        <v/>
      </c>
      <c r="C36">
        <f>economics!D35</f>
        <v/>
      </c>
      <c r="D36">
        <f>IF(ISNUMBER(economics!T35),economics!T35,"na")</f>
        <v/>
      </c>
      <c r="E36">
        <f>IF(ISNUMBER(D36),MAX(0.3*ABS(D36),0.000001),"na")</f>
        <v/>
      </c>
      <c r="F36">
        <f>IF(NOT(ISNUMBER($D36)),"",_xlfn.NORM.DIST(F$1,$D36,$E36,TRUE)-_xlfn.NORM.DIST(F$2,$D36,$E36,TRUE))</f>
        <v/>
      </c>
      <c r="G36">
        <f>IF(NOT(ISNUMBER($D36)),"",_xlfn.NORM.DIST(G$1,$D36,$E36,TRUE)-_xlfn.NORM.DIST(G$2,$D36,$E36,TRUE))</f>
        <v/>
      </c>
      <c r="H36">
        <f>IF(NOT(ISNUMBER($D36)),"",_xlfn.NORM.DIST(H$1,$D36,$E36,TRUE)-_xlfn.NORM.DIST(H$2,$D36,$E36,TRUE))</f>
        <v/>
      </c>
      <c r="I36">
        <f>IF(NOT(ISNUMBER($D36)),"",_xlfn.NORM.DIST(I$1,$D36,$E36,TRUE)-_xlfn.NORM.DIST(I$2,$D36,$E36,TRUE))</f>
        <v/>
      </c>
      <c r="J36">
        <f>IF(NOT(ISNUMBER($D36)),"",_xlfn.NORM.DIST(J$1,$D36,$E36,TRUE)-_xlfn.NORM.DIST(J$2,$D36,$E36,TRUE))</f>
        <v/>
      </c>
      <c r="K36">
        <f>IF(NOT(ISNUMBER($D36)),"",_xlfn.NORM.DIST(K$1,$D36,$E36,TRUE)-_xlfn.NORM.DIST(K$2,$D36,$E36,TRUE))</f>
        <v/>
      </c>
      <c r="L36">
        <f>IF(NOT(ISNUMBER($D36)),"",_xlfn.NORM.DIST(L$1,$D36,$E36,TRUE)-_xlfn.NORM.DIST(L$2,$D36,$E36,TRUE))</f>
        <v/>
      </c>
      <c r="M36">
        <f>IF(NOT(ISNUMBER($D36)),"",_xlfn.NORM.DIST(M$1,$D36,$E36,TRUE)-_xlfn.NORM.DIST(M$2,$D36,$E36,TRUE))</f>
        <v/>
      </c>
      <c r="N36">
        <f>IF(NOT(ISNUMBER($D36)),"",_xlfn.NORM.DIST(N$1,$D36,$E36,TRUE)-_xlfn.NORM.DIST(N$2,$D36,$E36,TRUE))</f>
        <v/>
      </c>
      <c r="O36">
        <f>IF(NOT(ISNUMBER($D36)),"",_xlfn.NORM.DIST(O$1,$D36,$E36,TRUE)-_xlfn.NORM.DIST(O$2,$D36,$E36,TRUE))</f>
        <v/>
      </c>
      <c r="P36">
        <f>IF(NOT(ISNUMBER($D36)),"",_xlfn.NORM.DIST(P$1,$D36,$E36,TRUE)-_xlfn.NORM.DIST(P$2,$D36,$E36,TRUE))</f>
        <v/>
      </c>
      <c r="Q36">
        <f>IF(NOT(ISNUMBER($D36)),"",_xlfn.NORM.DIST(Q$1,$D36,$E36,TRUE)-_xlfn.NORM.DIST(Q$2,$D36,$E36,TRUE))</f>
        <v/>
      </c>
      <c r="R36">
        <f>IF(NOT(ISNUMBER($D36)),"",_xlfn.NORM.DIST(R$1,$D36,$E36,TRUE)-_xlfn.NORM.DIST(R$2,$D36,$E36,TRUE))</f>
        <v/>
      </c>
      <c r="S36">
        <f>IF(NOT(ISNUMBER($D36)),"",_xlfn.NORM.DIST(S$1,$D36,$E36,TRUE)-_xlfn.NORM.DIST(S$2,$D36,$E36,TRUE))</f>
        <v/>
      </c>
      <c r="T36">
        <f>IF(NOT(ISNUMBER($D36)),"",_xlfn.NORM.DIST(T$1,$D36,$E36,TRUE)-_xlfn.NORM.DIST(T$2,$D36,$E36,TRUE))</f>
        <v/>
      </c>
      <c r="U36">
        <f>IF(NOT(ISNUMBER($D36)),"",_xlfn.NORM.DIST(U$1,$D36,$E36,TRUE)-_xlfn.NORM.DIST(U$2,$D36,$E36,TRUE))</f>
        <v/>
      </c>
      <c r="V36">
        <f>IF(NOT(ISNUMBER($D36)),"",_xlfn.NORM.DIST(V$1,$D36,$E36,TRUE)-_xlfn.NORM.DIST(V$2,$D36,$E36,TRUE))</f>
        <v/>
      </c>
      <c r="W36">
        <f>IF(NOT(ISNUMBER($D36)),"",_xlfn.NORM.DIST(W$1,$D36,$E36,TRUE)-_xlfn.NORM.DIST(W$2,$D36,$E36,TRUE))</f>
        <v/>
      </c>
      <c r="X36">
        <f>IF(NOT(ISNUMBER($D36)),"",_xlfn.NORM.DIST(X$1,$D36,$E36,TRUE)-_xlfn.NORM.DIST(X$2,$D36,$E36,TRUE))</f>
        <v/>
      </c>
      <c r="Y36">
        <f>IF(NOT(ISNUMBER($D36)),"",_xlfn.NORM.DIST(Y$1,$D36,$E36,TRUE)-_xlfn.NORM.DIST(Y$2,$D36,$E36,TRUE))</f>
        <v/>
      </c>
      <c r="Z36">
        <f>IF(NOT(ISNUMBER($D36)),"",_xlfn.NORM.DIST(Z$1,$D36,$E36,TRUE)-_xlfn.NORM.DIST(Z$2,$D36,$E36,TRUE))</f>
        <v/>
      </c>
      <c r="AA36">
        <f>IF(NOT(ISNUMBER($D36)),"",_xlfn.NORM.DIST(AA$1,$D36,$E36,TRUE)-_xlfn.NORM.DIST(AA$2,$D36,$E36,TRUE))</f>
        <v/>
      </c>
      <c r="AB36">
        <f>IF(NOT(ISNUMBER($D36)),"",_xlfn.NORM.DIST(AB$1,$D36,$E36,TRUE)-_xlfn.NORM.DIST(AB$2,$D36,$E36,TRUE))</f>
        <v/>
      </c>
      <c r="AC36">
        <f>IF(NOT(ISNUMBER($D36)),"",_xlfn.NORM.DIST(AC$1,$D36,$E36,TRUE)-_xlfn.NORM.DIST(AC$2,$D36,$E36,TRUE))</f>
        <v/>
      </c>
      <c r="AD36">
        <f>IF(NOT(ISNUMBER($D36)),"",_xlfn.NORM.DIST(AD$1,$D36,$E36,TRUE)-_xlfn.NORM.DIST(AD$2,$D36,$E36,TRUE))</f>
        <v/>
      </c>
      <c r="AE36">
        <f>IF(NOT(ISNUMBER($D36)),"",_xlfn.NORM.DIST(AE$1,$D36,$E36,TRUE)-_xlfn.NORM.DIST(AE$2,$D36,$E36,TRUE))</f>
        <v/>
      </c>
      <c r="AF36">
        <f>IF(NOT(ISNUMBER($D36)),"",_xlfn.NORM.DIST(AF$1,$D36,$E36,TRUE)-_xlfn.NORM.DIST(AF$2,$D36,$E36,TRUE))</f>
        <v/>
      </c>
      <c r="AG36">
        <f>IF(NOT(ISNUMBER($D36)),"",_xlfn.NORM.DIST(AG$1,$D36,$E36,TRUE)-_xlfn.NORM.DIST(AG$2,$D36,$E36,TRUE))</f>
        <v/>
      </c>
      <c r="AH36">
        <f>IF(NOT(ISNUMBER($D36)),"",_xlfn.NORM.DIST(AH$1,$D36,$E36,TRUE)-_xlfn.NORM.DIST(AH$2,$D36,$E36,TRUE))</f>
        <v/>
      </c>
      <c r="AI36">
        <f>IF(NOT(ISNUMBER($D36)),"",_xlfn.NORM.DIST(AI$1,$D36,$E36,TRUE)-_xlfn.NORM.DIST(AI$2,$D36,$E36,TRUE))</f>
        <v/>
      </c>
      <c r="AJ36">
        <f>IF(NOT(ISNUMBER($D36)),"",_xlfn.NORM.DIST(AJ$1,$D36,$E36,TRUE)-_xlfn.NORM.DIST(AJ$2,$D36,$E36,TRUE))</f>
        <v/>
      </c>
      <c r="AK36">
        <f>IF(NOT(ISNUMBER($D36)),"",_xlfn.NORM.DIST(AK$1,$D36,$E36,TRUE)-_xlfn.NORM.DIST(AK$2,$D36,$E36,TRUE))</f>
        <v/>
      </c>
      <c r="AL36">
        <f>IF(NOT(ISNUMBER($D36)),"",_xlfn.NORM.DIST(AL$1,$D36,$E36,TRUE)-_xlfn.NORM.DIST(AL$2,$D36,$E36,TRUE))</f>
        <v/>
      </c>
      <c r="AM36">
        <f>IF(NOT(ISNUMBER($D36)),"",_xlfn.NORM.DIST(AM$1,$D36,$E36,TRUE)-_xlfn.NORM.DIST(AM$2,$D36,$E36,TRUE))</f>
        <v/>
      </c>
      <c r="AN36">
        <f>IF(NOT(ISNUMBER($D36)),"",_xlfn.NORM.DIST(AN$1,$D36,$E36,TRUE)-_xlfn.NORM.DIST(AN$2,$D36,$E36,TRUE))</f>
        <v/>
      </c>
      <c r="AO36">
        <f>IF(NOT(ISNUMBER($D36)),"",_xlfn.NORM.DIST(AO$1,$D36,$E36,TRUE)-_xlfn.NORM.DIST(AO$2,$D36,$E36,TRUE))</f>
        <v/>
      </c>
      <c r="AP36">
        <f>IF(NOT(ISNUMBER($D36)),"",_xlfn.NORM.DIST(AP$1,$D36,$E36,TRUE)-_xlfn.NORM.DIST(AP$2,$D36,$E36,TRUE))</f>
        <v/>
      </c>
      <c r="AQ36">
        <f>IF(NOT(ISNUMBER($D36)),"",_xlfn.NORM.DIST(AQ$1,$D36,$E36,TRUE)-_xlfn.NORM.DIST(AQ$2,$D36,$E36,TRUE))</f>
        <v/>
      </c>
      <c r="AR36">
        <f>IF(NOT(ISNUMBER($D36)),"",_xlfn.NORM.DIST(AR$1,$D36,$E36,TRUE)-_xlfn.NORM.DIST(AR$2,$D36,$E36,TRUE))</f>
        <v/>
      </c>
      <c r="AS36">
        <f>IF(NOT(ISNUMBER($D36)),"",_xlfn.NORM.DIST(AS$1,$D36,$E36,TRUE)-_xlfn.NORM.DIST(AS$2,$D36,$E36,TRUE))</f>
        <v/>
      </c>
      <c r="AT36">
        <f>IF(NOT(ISNUMBER($D36)),"",_xlfn.NORM.DIST(AT$1,$D36,$E36,TRUE)-_xlfn.NORM.DIST(AT$2,$D36,$E36,TRUE))</f>
        <v/>
      </c>
      <c r="AU36">
        <f>IF(NOT(ISNUMBER($D36)),"",_xlfn.NORM.DIST(AU$1,$D36,$E36,TRUE)-_xlfn.NORM.DIST(AU$2,$D36,$E36,TRUE))</f>
        <v/>
      </c>
      <c r="AV36">
        <f>IF(NOT(ISNUMBER($D36)),"",_xlfn.NORM.DIST(AV$1,$D36,$E36,TRUE)-_xlfn.NORM.DIST(AV$2,$D36,$E36,TRUE))</f>
        <v/>
      </c>
      <c r="AW36">
        <f>IF(NOT(ISNUMBER($D36)),"",_xlfn.NORM.DIST(AW$1,$D36,$E36,TRUE)-_xlfn.NORM.DIST(AW$2,$D36,$E36,TRUE))</f>
        <v/>
      </c>
      <c r="AX36">
        <f>IF(NOT(ISNUMBER($D36)),"",_xlfn.NORM.DIST(AX$1,$D36,$E36,TRUE)-_xlfn.NORM.DIST(AX$2,$D36,$E36,TRUE))</f>
        <v/>
      </c>
      <c r="AY36">
        <f>IF(NOT(ISNUMBER($D36)),"",_xlfn.NORM.DIST(AY$1,$D36,$E36,TRUE)-_xlfn.NORM.DIST(AY$2,$D36,$E36,TRUE))</f>
        <v/>
      </c>
      <c r="AZ36">
        <f>IF(NOT(ISNUMBER($D36)),"",_xlfn.NORM.DIST(AZ$1,$D36,$E36,TRUE)-_xlfn.NORM.DIST(AZ$2,$D36,$E36,TRUE))</f>
        <v/>
      </c>
      <c r="BA36">
        <f>IF(NOT(ISNUMBER($D36)),"",_xlfn.NORM.DIST(BA$1,$D36,$E36,TRUE)-_xlfn.NORM.DIST(BA$2,$D36,$E36,TRUE))</f>
        <v/>
      </c>
      <c r="BB36">
        <f>IF(NOT(ISNUMBER($D36)),"",_xlfn.NORM.DIST(BB$1,$D36,$E36,TRUE)-_xlfn.NORM.DIST(BB$2,$D36,$E36,TRUE))</f>
        <v/>
      </c>
      <c r="BC36">
        <f>IF(NOT(ISNUMBER($D36)),"",_xlfn.NORM.DIST(BC$1,$D36,$E36,TRUE)-_xlfn.NORM.DIST(BC$2,$D36,$E36,TRUE))</f>
        <v/>
      </c>
      <c r="BD36">
        <f>IF(NOT(ISNUMBER($D36)),"",_xlfn.NORM.DIST(BD$1,$D36,$E36,TRUE)-_xlfn.NORM.DIST(BD$2,$D36,$E36,TRUE))</f>
        <v/>
      </c>
      <c r="BE36">
        <f>IF(NOT(ISNUMBER($D36)),"",_xlfn.NORM.DIST(BE$1,$D36,$E36,TRUE)-_xlfn.NORM.DIST(BE$2,$D36,$E36,TRUE))</f>
        <v/>
      </c>
      <c r="BF36">
        <f>IF(NOT(ISNUMBER($D36)),"",_xlfn.NORM.DIST(BF$1,$D36,$E36,TRUE)-_xlfn.NORM.DIST(BF$2,$D36,$E36,TRUE))</f>
        <v/>
      </c>
      <c r="BG36">
        <f>IF(NOT(ISNUMBER($D36)),"",_xlfn.NORM.DIST(BG$1,$D36,$E36,TRUE)-_xlfn.NORM.DIST(BG$2,$D36,$E36,TRUE))</f>
        <v/>
      </c>
      <c r="BH36">
        <f>IF(NOT(ISNUMBER($D36)),"",_xlfn.NORM.DIST(BH$1,$D36,$E36,TRUE)-_xlfn.NORM.DIST(BH$2,$D36,$E36,TRUE))</f>
        <v/>
      </c>
      <c r="BI36">
        <f>IF(NOT(ISNUMBER($D36)),"",_xlfn.NORM.DIST(BI$1,$D36,$E36,TRUE)-_xlfn.NORM.DIST(BI$2,$D36,$E36,TRUE))</f>
        <v/>
      </c>
      <c r="BJ36">
        <f>IF(NOT(ISNUMBER($D36)),"",_xlfn.NORM.DIST(BJ$1,$D36,$E36,TRUE)-_xlfn.NORM.DIST(BJ$2,$D36,$E36,TRUE))</f>
        <v/>
      </c>
      <c r="BK36">
        <f>IF(NOT(ISNUMBER($D36)),"",_xlfn.NORM.DIST(BK$1,$D36,$E36,TRUE)-_xlfn.NORM.DIST(BK$2,$D36,$E36,TRUE))</f>
        <v/>
      </c>
      <c r="BL36">
        <f>IF(NOT(ISNUMBER($D36)),"",_xlfn.NORM.DIST(BL$1,$D36,$E36,TRUE)-_xlfn.NORM.DIST(BL$2,$D36,$E36,TRUE))</f>
        <v/>
      </c>
      <c r="BM36">
        <f>IF(NOT(ISNUMBER($D36)),"",_xlfn.NORM.DIST(BM$1,$D36,$E36,TRUE)-_xlfn.NORM.DIST(BM$2,$D36,$E36,TRUE))</f>
        <v/>
      </c>
      <c r="BN36">
        <f>IF(NOT(ISNUMBER($D36)),"",_xlfn.NORM.DIST(BN$1,$D36,$E36,TRUE)-_xlfn.NORM.DIST(BN$2,$D36,$E36,TRUE))</f>
        <v/>
      </c>
      <c r="BO36">
        <f>IF(NOT(ISNUMBER($D36)),"",_xlfn.NORM.DIST(BO$1,$D36,$E36,TRUE)-_xlfn.NORM.DIST(BO$2,$D36,$E36,TRUE))</f>
        <v/>
      </c>
      <c r="BP36">
        <f>IF(NOT(ISNUMBER($D36)),"",_xlfn.NORM.DIST(BP$1,$D36,$E36,TRUE)-_xlfn.NORM.DIST(BP$2,$D36,$E36,TRUE))</f>
        <v/>
      </c>
      <c r="BQ36">
        <f>IF(NOT(ISNUMBER($D36)),"",_xlfn.NORM.DIST(BQ$1,$D36,$E36,TRUE)-_xlfn.NORM.DIST(BQ$2,$D36,$E36,TRUE))</f>
        <v/>
      </c>
      <c r="BR36">
        <f>IF(NOT(ISNUMBER($D36)),"",_xlfn.NORM.DIST(BR$1,$D36,$E36,TRUE)-_xlfn.NORM.DIST(BR$2,$D36,$E36,TRUE))</f>
        <v/>
      </c>
      <c r="BS36">
        <f>IF(NOT(ISNUMBER($D36)),"",_xlfn.NORM.DIST(BS$1,$D36,$E36,TRUE)-_xlfn.NORM.DIST(BS$2,$D36,$E36,TRUE))</f>
        <v/>
      </c>
      <c r="BT36">
        <f>IF(NOT(ISNUMBER($D36)),"",_xlfn.NORM.DIST(BT$1,$D36,$E36,TRUE)-_xlfn.NORM.DIST(BT$2,$D36,$E36,TRUE))</f>
        <v/>
      </c>
      <c r="BU36">
        <f>IF(NOT(ISNUMBER($D36)),"",_xlfn.NORM.DIST(BU$1,$D36,$E36,TRUE)-_xlfn.NORM.DIST(BU$2,$D36,$E36,TRUE))</f>
        <v/>
      </c>
      <c r="BV36">
        <f>IF(NOT(ISNUMBER($D36)),"",_xlfn.NORM.DIST(BV$1,$D36,$E36,TRUE)-_xlfn.NORM.DIST(BV$2,$D36,$E36,TRUE))</f>
        <v/>
      </c>
      <c r="BW36">
        <f>IF(NOT(ISNUMBER($D36)),"",_xlfn.NORM.DIST(BW$1,$D36,$E36,TRUE)-_xlfn.NORM.DIST(BW$2,$D36,$E36,TRUE))</f>
        <v/>
      </c>
      <c r="BX36">
        <f>IF(NOT(ISNUMBER($D36)),"",_xlfn.NORM.DIST(BX$1,$D36,$E36,TRUE)-_xlfn.NORM.DIST(BX$2,$D36,$E36,TRUE))</f>
        <v/>
      </c>
      <c r="BY36">
        <f>IF(NOT(ISNUMBER($D36)),"",_xlfn.NORM.DIST(BY$1,$D36,$E36,TRUE)-_xlfn.NORM.DIST(BY$2,$D36,$E36,TRUE))</f>
        <v/>
      </c>
      <c r="BZ36">
        <f>IF(NOT(ISNUMBER($D36)),"",_xlfn.NORM.DIST(BZ$1,$D36,$E36,TRUE)-_xlfn.NORM.DIST(BZ$2,$D36,$E36,TRUE))</f>
        <v/>
      </c>
      <c r="CA36">
        <f>IF(NOT(ISNUMBER($D36)),"",_xlfn.NORM.DIST(CA$1,$D36,$E36,TRUE)-_xlfn.NORM.DIST(CA$2,$D36,$E36,TRUE))</f>
        <v/>
      </c>
      <c r="CB36">
        <f>IF(NOT(ISNUMBER($D36)),"",_xlfn.NORM.DIST(CB$1,$D36,$E36,TRUE)-_xlfn.NORM.DIST(CB$2,$D36,$E36,TRUE))</f>
        <v/>
      </c>
      <c r="CC36">
        <f>IF(NOT(ISNUMBER($D36)),"",_xlfn.NORM.DIST(CC$1,$D36,$E36,TRUE)-_xlfn.NORM.DIST(CC$2,$D36,$E36,TRUE))</f>
        <v/>
      </c>
      <c r="CD36">
        <f>IF(NOT(ISNUMBER($D36)),"",_xlfn.NORM.DIST(CD$1,$D36,$E36,TRUE)-_xlfn.NORM.DIST(CD$2,$D36,$E36,TRUE))</f>
        <v/>
      </c>
      <c r="CE36">
        <f>IF(NOT(ISNUMBER($D36)),"",_xlfn.NORM.DIST(CE$1,$D36,$E36,TRUE)-_xlfn.NORM.DIST(CE$2,$D36,$E36,TRUE))</f>
        <v/>
      </c>
      <c r="CF36">
        <f>IF(NOT(ISNUMBER($D36)),"",_xlfn.NORM.DIST(CF$1,$D36,$E36,TRUE)-_xlfn.NORM.DIST(CF$2,$D36,$E36,TRUE))</f>
        <v/>
      </c>
      <c r="CG36">
        <f>IF(NOT(ISNUMBER($D36)),"",_xlfn.NORM.DIST(CG$1,$D36,$E36,TRUE)-_xlfn.NORM.DIST(CG$2,$D36,$E36,TRUE))</f>
        <v/>
      </c>
      <c r="CH36">
        <f>IF(NOT(ISNUMBER($D36)),"",_xlfn.NORM.DIST(CH$1,$D36,$E36,TRUE)-_xlfn.NORM.DIST(CH$2,$D36,$E36,TRUE))</f>
        <v/>
      </c>
      <c r="CI36">
        <f>IF(NOT(ISNUMBER($D36)),"",_xlfn.NORM.DIST(CI$1,$D36,$E36,TRUE)-_xlfn.NORM.DIST(CI$2,$D36,$E36,TRUE))</f>
        <v/>
      </c>
      <c r="CJ36">
        <f>IF(ISNUMBER($D36),SUM(F36:CI36),"")</f>
        <v/>
      </c>
    </row>
    <row r="37">
      <c r="A37">
        <f>economics!A36</f>
        <v/>
      </c>
      <c r="B37">
        <f>economics!B36</f>
        <v/>
      </c>
      <c r="C37">
        <f>economics!D36</f>
        <v/>
      </c>
      <c r="D37">
        <f>IF(ISNUMBER(economics!T36),economics!T36,"na")</f>
        <v/>
      </c>
      <c r="E37">
        <f>IF(ISNUMBER(D37),MAX(0.3*ABS(D37),0.000001),"na")</f>
        <v/>
      </c>
      <c r="F37">
        <f>IF(NOT(ISNUMBER($D37)),"",_xlfn.NORM.DIST(F$1,$D37,$E37,TRUE)-_xlfn.NORM.DIST(F$2,$D37,$E37,TRUE))</f>
        <v/>
      </c>
      <c r="G37">
        <f>IF(NOT(ISNUMBER($D37)),"",_xlfn.NORM.DIST(G$1,$D37,$E37,TRUE)-_xlfn.NORM.DIST(G$2,$D37,$E37,TRUE))</f>
        <v/>
      </c>
      <c r="H37">
        <f>IF(NOT(ISNUMBER($D37)),"",_xlfn.NORM.DIST(H$1,$D37,$E37,TRUE)-_xlfn.NORM.DIST(H$2,$D37,$E37,TRUE))</f>
        <v/>
      </c>
      <c r="I37">
        <f>IF(NOT(ISNUMBER($D37)),"",_xlfn.NORM.DIST(I$1,$D37,$E37,TRUE)-_xlfn.NORM.DIST(I$2,$D37,$E37,TRUE))</f>
        <v/>
      </c>
      <c r="J37">
        <f>IF(NOT(ISNUMBER($D37)),"",_xlfn.NORM.DIST(J$1,$D37,$E37,TRUE)-_xlfn.NORM.DIST(J$2,$D37,$E37,TRUE))</f>
        <v/>
      </c>
      <c r="K37">
        <f>IF(NOT(ISNUMBER($D37)),"",_xlfn.NORM.DIST(K$1,$D37,$E37,TRUE)-_xlfn.NORM.DIST(K$2,$D37,$E37,TRUE))</f>
        <v/>
      </c>
      <c r="L37">
        <f>IF(NOT(ISNUMBER($D37)),"",_xlfn.NORM.DIST(L$1,$D37,$E37,TRUE)-_xlfn.NORM.DIST(L$2,$D37,$E37,TRUE))</f>
        <v/>
      </c>
      <c r="M37">
        <f>IF(NOT(ISNUMBER($D37)),"",_xlfn.NORM.DIST(M$1,$D37,$E37,TRUE)-_xlfn.NORM.DIST(M$2,$D37,$E37,TRUE))</f>
        <v/>
      </c>
      <c r="N37">
        <f>IF(NOT(ISNUMBER($D37)),"",_xlfn.NORM.DIST(N$1,$D37,$E37,TRUE)-_xlfn.NORM.DIST(N$2,$D37,$E37,TRUE))</f>
        <v/>
      </c>
      <c r="O37">
        <f>IF(NOT(ISNUMBER($D37)),"",_xlfn.NORM.DIST(O$1,$D37,$E37,TRUE)-_xlfn.NORM.DIST(O$2,$D37,$E37,TRUE))</f>
        <v/>
      </c>
      <c r="P37">
        <f>IF(NOT(ISNUMBER($D37)),"",_xlfn.NORM.DIST(P$1,$D37,$E37,TRUE)-_xlfn.NORM.DIST(P$2,$D37,$E37,TRUE))</f>
        <v/>
      </c>
      <c r="Q37">
        <f>IF(NOT(ISNUMBER($D37)),"",_xlfn.NORM.DIST(Q$1,$D37,$E37,TRUE)-_xlfn.NORM.DIST(Q$2,$D37,$E37,TRUE))</f>
        <v/>
      </c>
      <c r="R37">
        <f>IF(NOT(ISNUMBER($D37)),"",_xlfn.NORM.DIST(R$1,$D37,$E37,TRUE)-_xlfn.NORM.DIST(R$2,$D37,$E37,TRUE))</f>
        <v/>
      </c>
      <c r="S37">
        <f>IF(NOT(ISNUMBER($D37)),"",_xlfn.NORM.DIST(S$1,$D37,$E37,TRUE)-_xlfn.NORM.DIST(S$2,$D37,$E37,TRUE))</f>
        <v/>
      </c>
      <c r="T37">
        <f>IF(NOT(ISNUMBER($D37)),"",_xlfn.NORM.DIST(T$1,$D37,$E37,TRUE)-_xlfn.NORM.DIST(T$2,$D37,$E37,TRUE))</f>
        <v/>
      </c>
      <c r="U37">
        <f>IF(NOT(ISNUMBER($D37)),"",_xlfn.NORM.DIST(U$1,$D37,$E37,TRUE)-_xlfn.NORM.DIST(U$2,$D37,$E37,TRUE))</f>
        <v/>
      </c>
      <c r="V37">
        <f>IF(NOT(ISNUMBER($D37)),"",_xlfn.NORM.DIST(V$1,$D37,$E37,TRUE)-_xlfn.NORM.DIST(V$2,$D37,$E37,TRUE))</f>
        <v/>
      </c>
      <c r="W37">
        <f>IF(NOT(ISNUMBER($D37)),"",_xlfn.NORM.DIST(W$1,$D37,$E37,TRUE)-_xlfn.NORM.DIST(W$2,$D37,$E37,TRUE))</f>
        <v/>
      </c>
      <c r="X37">
        <f>IF(NOT(ISNUMBER($D37)),"",_xlfn.NORM.DIST(X$1,$D37,$E37,TRUE)-_xlfn.NORM.DIST(X$2,$D37,$E37,TRUE))</f>
        <v/>
      </c>
      <c r="Y37">
        <f>IF(NOT(ISNUMBER($D37)),"",_xlfn.NORM.DIST(Y$1,$D37,$E37,TRUE)-_xlfn.NORM.DIST(Y$2,$D37,$E37,TRUE))</f>
        <v/>
      </c>
      <c r="Z37">
        <f>IF(NOT(ISNUMBER($D37)),"",_xlfn.NORM.DIST(Z$1,$D37,$E37,TRUE)-_xlfn.NORM.DIST(Z$2,$D37,$E37,TRUE))</f>
        <v/>
      </c>
      <c r="AA37">
        <f>IF(NOT(ISNUMBER($D37)),"",_xlfn.NORM.DIST(AA$1,$D37,$E37,TRUE)-_xlfn.NORM.DIST(AA$2,$D37,$E37,TRUE))</f>
        <v/>
      </c>
      <c r="AB37">
        <f>IF(NOT(ISNUMBER($D37)),"",_xlfn.NORM.DIST(AB$1,$D37,$E37,TRUE)-_xlfn.NORM.DIST(AB$2,$D37,$E37,TRUE))</f>
        <v/>
      </c>
      <c r="AC37">
        <f>IF(NOT(ISNUMBER($D37)),"",_xlfn.NORM.DIST(AC$1,$D37,$E37,TRUE)-_xlfn.NORM.DIST(AC$2,$D37,$E37,TRUE))</f>
        <v/>
      </c>
      <c r="AD37">
        <f>IF(NOT(ISNUMBER($D37)),"",_xlfn.NORM.DIST(AD$1,$D37,$E37,TRUE)-_xlfn.NORM.DIST(AD$2,$D37,$E37,TRUE))</f>
        <v/>
      </c>
      <c r="AE37">
        <f>IF(NOT(ISNUMBER($D37)),"",_xlfn.NORM.DIST(AE$1,$D37,$E37,TRUE)-_xlfn.NORM.DIST(AE$2,$D37,$E37,TRUE))</f>
        <v/>
      </c>
      <c r="AF37">
        <f>IF(NOT(ISNUMBER($D37)),"",_xlfn.NORM.DIST(AF$1,$D37,$E37,TRUE)-_xlfn.NORM.DIST(AF$2,$D37,$E37,TRUE))</f>
        <v/>
      </c>
      <c r="AG37">
        <f>IF(NOT(ISNUMBER($D37)),"",_xlfn.NORM.DIST(AG$1,$D37,$E37,TRUE)-_xlfn.NORM.DIST(AG$2,$D37,$E37,TRUE))</f>
        <v/>
      </c>
      <c r="AH37">
        <f>IF(NOT(ISNUMBER($D37)),"",_xlfn.NORM.DIST(AH$1,$D37,$E37,TRUE)-_xlfn.NORM.DIST(AH$2,$D37,$E37,TRUE))</f>
        <v/>
      </c>
      <c r="AI37">
        <f>IF(NOT(ISNUMBER($D37)),"",_xlfn.NORM.DIST(AI$1,$D37,$E37,TRUE)-_xlfn.NORM.DIST(AI$2,$D37,$E37,TRUE))</f>
        <v/>
      </c>
      <c r="AJ37">
        <f>IF(NOT(ISNUMBER($D37)),"",_xlfn.NORM.DIST(AJ$1,$D37,$E37,TRUE)-_xlfn.NORM.DIST(AJ$2,$D37,$E37,TRUE))</f>
        <v/>
      </c>
      <c r="AK37">
        <f>IF(NOT(ISNUMBER($D37)),"",_xlfn.NORM.DIST(AK$1,$D37,$E37,TRUE)-_xlfn.NORM.DIST(AK$2,$D37,$E37,TRUE))</f>
        <v/>
      </c>
      <c r="AL37">
        <f>IF(NOT(ISNUMBER($D37)),"",_xlfn.NORM.DIST(AL$1,$D37,$E37,TRUE)-_xlfn.NORM.DIST(AL$2,$D37,$E37,TRUE))</f>
        <v/>
      </c>
      <c r="AM37">
        <f>IF(NOT(ISNUMBER($D37)),"",_xlfn.NORM.DIST(AM$1,$D37,$E37,TRUE)-_xlfn.NORM.DIST(AM$2,$D37,$E37,TRUE))</f>
        <v/>
      </c>
      <c r="AN37">
        <f>IF(NOT(ISNUMBER($D37)),"",_xlfn.NORM.DIST(AN$1,$D37,$E37,TRUE)-_xlfn.NORM.DIST(AN$2,$D37,$E37,TRUE))</f>
        <v/>
      </c>
      <c r="AO37">
        <f>IF(NOT(ISNUMBER($D37)),"",_xlfn.NORM.DIST(AO$1,$D37,$E37,TRUE)-_xlfn.NORM.DIST(AO$2,$D37,$E37,TRUE))</f>
        <v/>
      </c>
      <c r="AP37">
        <f>IF(NOT(ISNUMBER($D37)),"",_xlfn.NORM.DIST(AP$1,$D37,$E37,TRUE)-_xlfn.NORM.DIST(AP$2,$D37,$E37,TRUE))</f>
        <v/>
      </c>
      <c r="AQ37">
        <f>IF(NOT(ISNUMBER($D37)),"",_xlfn.NORM.DIST(AQ$1,$D37,$E37,TRUE)-_xlfn.NORM.DIST(AQ$2,$D37,$E37,TRUE))</f>
        <v/>
      </c>
      <c r="AR37">
        <f>IF(NOT(ISNUMBER($D37)),"",_xlfn.NORM.DIST(AR$1,$D37,$E37,TRUE)-_xlfn.NORM.DIST(AR$2,$D37,$E37,TRUE))</f>
        <v/>
      </c>
      <c r="AS37">
        <f>IF(NOT(ISNUMBER($D37)),"",_xlfn.NORM.DIST(AS$1,$D37,$E37,TRUE)-_xlfn.NORM.DIST(AS$2,$D37,$E37,TRUE))</f>
        <v/>
      </c>
      <c r="AT37">
        <f>IF(NOT(ISNUMBER($D37)),"",_xlfn.NORM.DIST(AT$1,$D37,$E37,TRUE)-_xlfn.NORM.DIST(AT$2,$D37,$E37,TRUE))</f>
        <v/>
      </c>
      <c r="AU37">
        <f>IF(NOT(ISNUMBER($D37)),"",_xlfn.NORM.DIST(AU$1,$D37,$E37,TRUE)-_xlfn.NORM.DIST(AU$2,$D37,$E37,TRUE))</f>
        <v/>
      </c>
      <c r="AV37">
        <f>IF(NOT(ISNUMBER($D37)),"",_xlfn.NORM.DIST(AV$1,$D37,$E37,TRUE)-_xlfn.NORM.DIST(AV$2,$D37,$E37,TRUE))</f>
        <v/>
      </c>
      <c r="AW37">
        <f>IF(NOT(ISNUMBER($D37)),"",_xlfn.NORM.DIST(AW$1,$D37,$E37,TRUE)-_xlfn.NORM.DIST(AW$2,$D37,$E37,TRUE))</f>
        <v/>
      </c>
      <c r="AX37">
        <f>IF(NOT(ISNUMBER($D37)),"",_xlfn.NORM.DIST(AX$1,$D37,$E37,TRUE)-_xlfn.NORM.DIST(AX$2,$D37,$E37,TRUE))</f>
        <v/>
      </c>
      <c r="AY37">
        <f>IF(NOT(ISNUMBER($D37)),"",_xlfn.NORM.DIST(AY$1,$D37,$E37,TRUE)-_xlfn.NORM.DIST(AY$2,$D37,$E37,TRUE))</f>
        <v/>
      </c>
      <c r="AZ37">
        <f>IF(NOT(ISNUMBER($D37)),"",_xlfn.NORM.DIST(AZ$1,$D37,$E37,TRUE)-_xlfn.NORM.DIST(AZ$2,$D37,$E37,TRUE))</f>
        <v/>
      </c>
      <c r="BA37">
        <f>IF(NOT(ISNUMBER($D37)),"",_xlfn.NORM.DIST(BA$1,$D37,$E37,TRUE)-_xlfn.NORM.DIST(BA$2,$D37,$E37,TRUE))</f>
        <v/>
      </c>
      <c r="BB37">
        <f>IF(NOT(ISNUMBER($D37)),"",_xlfn.NORM.DIST(BB$1,$D37,$E37,TRUE)-_xlfn.NORM.DIST(BB$2,$D37,$E37,TRUE))</f>
        <v/>
      </c>
      <c r="BC37">
        <f>IF(NOT(ISNUMBER($D37)),"",_xlfn.NORM.DIST(BC$1,$D37,$E37,TRUE)-_xlfn.NORM.DIST(BC$2,$D37,$E37,TRUE))</f>
        <v/>
      </c>
      <c r="BD37">
        <f>IF(NOT(ISNUMBER($D37)),"",_xlfn.NORM.DIST(BD$1,$D37,$E37,TRUE)-_xlfn.NORM.DIST(BD$2,$D37,$E37,TRUE))</f>
        <v/>
      </c>
      <c r="BE37">
        <f>IF(NOT(ISNUMBER($D37)),"",_xlfn.NORM.DIST(BE$1,$D37,$E37,TRUE)-_xlfn.NORM.DIST(BE$2,$D37,$E37,TRUE))</f>
        <v/>
      </c>
      <c r="BF37">
        <f>IF(NOT(ISNUMBER($D37)),"",_xlfn.NORM.DIST(BF$1,$D37,$E37,TRUE)-_xlfn.NORM.DIST(BF$2,$D37,$E37,TRUE))</f>
        <v/>
      </c>
      <c r="BG37">
        <f>IF(NOT(ISNUMBER($D37)),"",_xlfn.NORM.DIST(BG$1,$D37,$E37,TRUE)-_xlfn.NORM.DIST(BG$2,$D37,$E37,TRUE))</f>
        <v/>
      </c>
      <c r="BH37">
        <f>IF(NOT(ISNUMBER($D37)),"",_xlfn.NORM.DIST(BH$1,$D37,$E37,TRUE)-_xlfn.NORM.DIST(BH$2,$D37,$E37,TRUE))</f>
        <v/>
      </c>
      <c r="BI37">
        <f>IF(NOT(ISNUMBER($D37)),"",_xlfn.NORM.DIST(BI$1,$D37,$E37,TRUE)-_xlfn.NORM.DIST(BI$2,$D37,$E37,TRUE))</f>
        <v/>
      </c>
      <c r="BJ37">
        <f>IF(NOT(ISNUMBER($D37)),"",_xlfn.NORM.DIST(BJ$1,$D37,$E37,TRUE)-_xlfn.NORM.DIST(BJ$2,$D37,$E37,TRUE))</f>
        <v/>
      </c>
      <c r="BK37">
        <f>IF(NOT(ISNUMBER($D37)),"",_xlfn.NORM.DIST(BK$1,$D37,$E37,TRUE)-_xlfn.NORM.DIST(BK$2,$D37,$E37,TRUE))</f>
        <v/>
      </c>
      <c r="BL37">
        <f>IF(NOT(ISNUMBER($D37)),"",_xlfn.NORM.DIST(BL$1,$D37,$E37,TRUE)-_xlfn.NORM.DIST(BL$2,$D37,$E37,TRUE))</f>
        <v/>
      </c>
      <c r="BM37">
        <f>IF(NOT(ISNUMBER($D37)),"",_xlfn.NORM.DIST(BM$1,$D37,$E37,TRUE)-_xlfn.NORM.DIST(BM$2,$D37,$E37,TRUE))</f>
        <v/>
      </c>
      <c r="BN37">
        <f>IF(NOT(ISNUMBER($D37)),"",_xlfn.NORM.DIST(BN$1,$D37,$E37,TRUE)-_xlfn.NORM.DIST(BN$2,$D37,$E37,TRUE))</f>
        <v/>
      </c>
      <c r="BO37">
        <f>IF(NOT(ISNUMBER($D37)),"",_xlfn.NORM.DIST(BO$1,$D37,$E37,TRUE)-_xlfn.NORM.DIST(BO$2,$D37,$E37,TRUE))</f>
        <v/>
      </c>
      <c r="BP37">
        <f>IF(NOT(ISNUMBER($D37)),"",_xlfn.NORM.DIST(BP$1,$D37,$E37,TRUE)-_xlfn.NORM.DIST(BP$2,$D37,$E37,TRUE))</f>
        <v/>
      </c>
      <c r="BQ37">
        <f>IF(NOT(ISNUMBER($D37)),"",_xlfn.NORM.DIST(BQ$1,$D37,$E37,TRUE)-_xlfn.NORM.DIST(BQ$2,$D37,$E37,TRUE))</f>
        <v/>
      </c>
      <c r="BR37">
        <f>IF(NOT(ISNUMBER($D37)),"",_xlfn.NORM.DIST(BR$1,$D37,$E37,TRUE)-_xlfn.NORM.DIST(BR$2,$D37,$E37,TRUE))</f>
        <v/>
      </c>
      <c r="BS37">
        <f>IF(NOT(ISNUMBER($D37)),"",_xlfn.NORM.DIST(BS$1,$D37,$E37,TRUE)-_xlfn.NORM.DIST(BS$2,$D37,$E37,TRUE))</f>
        <v/>
      </c>
      <c r="BT37">
        <f>IF(NOT(ISNUMBER($D37)),"",_xlfn.NORM.DIST(BT$1,$D37,$E37,TRUE)-_xlfn.NORM.DIST(BT$2,$D37,$E37,TRUE))</f>
        <v/>
      </c>
      <c r="BU37">
        <f>IF(NOT(ISNUMBER($D37)),"",_xlfn.NORM.DIST(BU$1,$D37,$E37,TRUE)-_xlfn.NORM.DIST(BU$2,$D37,$E37,TRUE))</f>
        <v/>
      </c>
      <c r="BV37">
        <f>IF(NOT(ISNUMBER($D37)),"",_xlfn.NORM.DIST(BV$1,$D37,$E37,TRUE)-_xlfn.NORM.DIST(BV$2,$D37,$E37,TRUE))</f>
        <v/>
      </c>
      <c r="BW37">
        <f>IF(NOT(ISNUMBER($D37)),"",_xlfn.NORM.DIST(BW$1,$D37,$E37,TRUE)-_xlfn.NORM.DIST(BW$2,$D37,$E37,TRUE))</f>
        <v/>
      </c>
      <c r="BX37">
        <f>IF(NOT(ISNUMBER($D37)),"",_xlfn.NORM.DIST(BX$1,$D37,$E37,TRUE)-_xlfn.NORM.DIST(BX$2,$D37,$E37,TRUE))</f>
        <v/>
      </c>
      <c r="BY37">
        <f>IF(NOT(ISNUMBER($D37)),"",_xlfn.NORM.DIST(BY$1,$D37,$E37,TRUE)-_xlfn.NORM.DIST(BY$2,$D37,$E37,TRUE))</f>
        <v/>
      </c>
      <c r="BZ37">
        <f>IF(NOT(ISNUMBER($D37)),"",_xlfn.NORM.DIST(BZ$1,$D37,$E37,TRUE)-_xlfn.NORM.DIST(BZ$2,$D37,$E37,TRUE))</f>
        <v/>
      </c>
      <c r="CA37">
        <f>IF(NOT(ISNUMBER($D37)),"",_xlfn.NORM.DIST(CA$1,$D37,$E37,TRUE)-_xlfn.NORM.DIST(CA$2,$D37,$E37,TRUE))</f>
        <v/>
      </c>
      <c r="CB37">
        <f>IF(NOT(ISNUMBER($D37)),"",_xlfn.NORM.DIST(CB$1,$D37,$E37,TRUE)-_xlfn.NORM.DIST(CB$2,$D37,$E37,TRUE))</f>
        <v/>
      </c>
      <c r="CC37">
        <f>IF(NOT(ISNUMBER($D37)),"",_xlfn.NORM.DIST(CC$1,$D37,$E37,TRUE)-_xlfn.NORM.DIST(CC$2,$D37,$E37,TRUE))</f>
        <v/>
      </c>
      <c r="CD37">
        <f>IF(NOT(ISNUMBER($D37)),"",_xlfn.NORM.DIST(CD$1,$D37,$E37,TRUE)-_xlfn.NORM.DIST(CD$2,$D37,$E37,TRUE))</f>
        <v/>
      </c>
      <c r="CE37">
        <f>IF(NOT(ISNUMBER($D37)),"",_xlfn.NORM.DIST(CE$1,$D37,$E37,TRUE)-_xlfn.NORM.DIST(CE$2,$D37,$E37,TRUE))</f>
        <v/>
      </c>
      <c r="CF37">
        <f>IF(NOT(ISNUMBER($D37)),"",_xlfn.NORM.DIST(CF$1,$D37,$E37,TRUE)-_xlfn.NORM.DIST(CF$2,$D37,$E37,TRUE))</f>
        <v/>
      </c>
      <c r="CG37">
        <f>IF(NOT(ISNUMBER($D37)),"",_xlfn.NORM.DIST(CG$1,$D37,$E37,TRUE)-_xlfn.NORM.DIST(CG$2,$D37,$E37,TRUE))</f>
        <v/>
      </c>
      <c r="CH37">
        <f>IF(NOT(ISNUMBER($D37)),"",_xlfn.NORM.DIST(CH$1,$D37,$E37,TRUE)-_xlfn.NORM.DIST(CH$2,$D37,$E37,TRUE))</f>
        <v/>
      </c>
      <c r="CI37">
        <f>IF(NOT(ISNUMBER($D37)),"",_xlfn.NORM.DIST(CI$1,$D37,$E37,TRUE)-_xlfn.NORM.DIST(CI$2,$D37,$E37,TRUE))</f>
        <v/>
      </c>
      <c r="CJ37">
        <f>IF(ISNUMBER($D37),SUM(F37:CI37),"")</f>
        <v/>
      </c>
    </row>
    <row r="38">
      <c r="A38">
        <f>economics!A37</f>
        <v/>
      </c>
      <c r="B38">
        <f>economics!B37</f>
        <v/>
      </c>
      <c r="C38">
        <f>economics!D37</f>
        <v/>
      </c>
      <c r="D38">
        <f>IF(ISNUMBER(economics!T37),economics!T37,"na")</f>
        <v/>
      </c>
      <c r="E38">
        <f>IF(ISNUMBER(D38),MAX(0.3*ABS(D38),0.000001),"na")</f>
        <v/>
      </c>
      <c r="F38">
        <f>IF(NOT(ISNUMBER($D38)),"",_xlfn.NORM.DIST(F$1,$D38,$E38,TRUE)-_xlfn.NORM.DIST(F$2,$D38,$E38,TRUE))</f>
        <v/>
      </c>
      <c r="G38">
        <f>IF(NOT(ISNUMBER($D38)),"",_xlfn.NORM.DIST(G$1,$D38,$E38,TRUE)-_xlfn.NORM.DIST(G$2,$D38,$E38,TRUE))</f>
        <v/>
      </c>
      <c r="H38">
        <f>IF(NOT(ISNUMBER($D38)),"",_xlfn.NORM.DIST(H$1,$D38,$E38,TRUE)-_xlfn.NORM.DIST(H$2,$D38,$E38,TRUE))</f>
        <v/>
      </c>
      <c r="I38">
        <f>IF(NOT(ISNUMBER($D38)),"",_xlfn.NORM.DIST(I$1,$D38,$E38,TRUE)-_xlfn.NORM.DIST(I$2,$D38,$E38,TRUE))</f>
        <v/>
      </c>
      <c r="J38">
        <f>IF(NOT(ISNUMBER($D38)),"",_xlfn.NORM.DIST(J$1,$D38,$E38,TRUE)-_xlfn.NORM.DIST(J$2,$D38,$E38,TRUE))</f>
        <v/>
      </c>
      <c r="K38">
        <f>IF(NOT(ISNUMBER($D38)),"",_xlfn.NORM.DIST(K$1,$D38,$E38,TRUE)-_xlfn.NORM.DIST(K$2,$D38,$E38,TRUE))</f>
        <v/>
      </c>
      <c r="L38">
        <f>IF(NOT(ISNUMBER($D38)),"",_xlfn.NORM.DIST(L$1,$D38,$E38,TRUE)-_xlfn.NORM.DIST(L$2,$D38,$E38,TRUE))</f>
        <v/>
      </c>
      <c r="M38">
        <f>IF(NOT(ISNUMBER($D38)),"",_xlfn.NORM.DIST(M$1,$D38,$E38,TRUE)-_xlfn.NORM.DIST(M$2,$D38,$E38,TRUE))</f>
        <v/>
      </c>
      <c r="N38">
        <f>IF(NOT(ISNUMBER($D38)),"",_xlfn.NORM.DIST(N$1,$D38,$E38,TRUE)-_xlfn.NORM.DIST(N$2,$D38,$E38,TRUE))</f>
        <v/>
      </c>
      <c r="O38">
        <f>IF(NOT(ISNUMBER($D38)),"",_xlfn.NORM.DIST(O$1,$D38,$E38,TRUE)-_xlfn.NORM.DIST(O$2,$D38,$E38,TRUE))</f>
        <v/>
      </c>
      <c r="P38">
        <f>IF(NOT(ISNUMBER($D38)),"",_xlfn.NORM.DIST(P$1,$D38,$E38,TRUE)-_xlfn.NORM.DIST(P$2,$D38,$E38,TRUE))</f>
        <v/>
      </c>
      <c r="Q38">
        <f>IF(NOT(ISNUMBER($D38)),"",_xlfn.NORM.DIST(Q$1,$D38,$E38,TRUE)-_xlfn.NORM.DIST(Q$2,$D38,$E38,TRUE))</f>
        <v/>
      </c>
      <c r="R38">
        <f>IF(NOT(ISNUMBER($D38)),"",_xlfn.NORM.DIST(R$1,$D38,$E38,TRUE)-_xlfn.NORM.DIST(R$2,$D38,$E38,TRUE))</f>
        <v/>
      </c>
      <c r="S38">
        <f>IF(NOT(ISNUMBER($D38)),"",_xlfn.NORM.DIST(S$1,$D38,$E38,TRUE)-_xlfn.NORM.DIST(S$2,$D38,$E38,TRUE))</f>
        <v/>
      </c>
      <c r="T38">
        <f>IF(NOT(ISNUMBER($D38)),"",_xlfn.NORM.DIST(T$1,$D38,$E38,TRUE)-_xlfn.NORM.DIST(T$2,$D38,$E38,TRUE))</f>
        <v/>
      </c>
      <c r="U38">
        <f>IF(NOT(ISNUMBER($D38)),"",_xlfn.NORM.DIST(U$1,$D38,$E38,TRUE)-_xlfn.NORM.DIST(U$2,$D38,$E38,TRUE))</f>
        <v/>
      </c>
      <c r="V38">
        <f>IF(NOT(ISNUMBER($D38)),"",_xlfn.NORM.DIST(V$1,$D38,$E38,TRUE)-_xlfn.NORM.DIST(V$2,$D38,$E38,TRUE))</f>
        <v/>
      </c>
      <c r="W38">
        <f>IF(NOT(ISNUMBER($D38)),"",_xlfn.NORM.DIST(W$1,$D38,$E38,TRUE)-_xlfn.NORM.DIST(W$2,$D38,$E38,TRUE))</f>
        <v/>
      </c>
      <c r="X38">
        <f>IF(NOT(ISNUMBER($D38)),"",_xlfn.NORM.DIST(X$1,$D38,$E38,TRUE)-_xlfn.NORM.DIST(X$2,$D38,$E38,TRUE))</f>
        <v/>
      </c>
      <c r="Y38">
        <f>IF(NOT(ISNUMBER($D38)),"",_xlfn.NORM.DIST(Y$1,$D38,$E38,TRUE)-_xlfn.NORM.DIST(Y$2,$D38,$E38,TRUE))</f>
        <v/>
      </c>
      <c r="Z38">
        <f>IF(NOT(ISNUMBER($D38)),"",_xlfn.NORM.DIST(Z$1,$D38,$E38,TRUE)-_xlfn.NORM.DIST(Z$2,$D38,$E38,TRUE))</f>
        <v/>
      </c>
      <c r="AA38">
        <f>IF(NOT(ISNUMBER($D38)),"",_xlfn.NORM.DIST(AA$1,$D38,$E38,TRUE)-_xlfn.NORM.DIST(AA$2,$D38,$E38,TRUE))</f>
        <v/>
      </c>
      <c r="AB38">
        <f>IF(NOT(ISNUMBER($D38)),"",_xlfn.NORM.DIST(AB$1,$D38,$E38,TRUE)-_xlfn.NORM.DIST(AB$2,$D38,$E38,TRUE))</f>
        <v/>
      </c>
      <c r="AC38">
        <f>IF(NOT(ISNUMBER($D38)),"",_xlfn.NORM.DIST(AC$1,$D38,$E38,TRUE)-_xlfn.NORM.DIST(AC$2,$D38,$E38,TRUE))</f>
        <v/>
      </c>
      <c r="AD38">
        <f>IF(NOT(ISNUMBER($D38)),"",_xlfn.NORM.DIST(AD$1,$D38,$E38,TRUE)-_xlfn.NORM.DIST(AD$2,$D38,$E38,TRUE))</f>
        <v/>
      </c>
      <c r="AE38">
        <f>IF(NOT(ISNUMBER($D38)),"",_xlfn.NORM.DIST(AE$1,$D38,$E38,TRUE)-_xlfn.NORM.DIST(AE$2,$D38,$E38,TRUE))</f>
        <v/>
      </c>
      <c r="AF38">
        <f>IF(NOT(ISNUMBER($D38)),"",_xlfn.NORM.DIST(AF$1,$D38,$E38,TRUE)-_xlfn.NORM.DIST(AF$2,$D38,$E38,TRUE))</f>
        <v/>
      </c>
      <c r="AG38">
        <f>IF(NOT(ISNUMBER($D38)),"",_xlfn.NORM.DIST(AG$1,$D38,$E38,TRUE)-_xlfn.NORM.DIST(AG$2,$D38,$E38,TRUE))</f>
        <v/>
      </c>
      <c r="AH38">
        <f>IF(NOT(ISNUMBER($D38)),"",_xlfn.NORM.DIST(AH$1,$D38,$E38,TRUE)-_xlfn.NORM.DIST(AH$2,$D38,$E38,TRUE))</f>
        <v/>
      </c>
      <c r="AI38">
        <f>IF(NOT(ISNUMBER($D38)),"",_xlfn.NORM.DIST(AI$1,$D38,$E38,TRUE)-_xlfn.NORM.DIST(AI$2,$D38,$E38,TRUE))</f>
        <v/>
      </c>
      <c r="AJ38">
        <f>IF(NOT(ISNUMBER($D38)),"",_xlfn.NORM.DIST(AJ$1,$D38,$E38,TRUE)-_xlfn.NORM.DIST(AJ$2,$D38,$E38,TRUE))</f>
        <v/>
      </c>
      <c r="AK38">
        <f>IF(NOT(ISNUMBER($D38)),"",_xlfn.NORM.DIST(AK$1,$D38,$E38,TRUE)-_xlfn.NORM.DIST(AK$2,$D38,$E38,TRUE))</f>
        <v/>
      </c>
      <c r="AL38">
        <f>IF(NOT(ISNUMBER($D38)),"",_xlfn.NORM.DIST(AL$1,$D38,$E38,TRUE)-_xlfn.NORM.DIST(AL$2,$D38,$E38,TRUE))</f>
        <v/>
      </c>
      <c r="AM38">
        <f>IF(NOT(ISNUMBER($D38)),"",_xlfn.NORM.DIST(AM$1,$D38,$E38,TRUE)-_xlfn.NORM.DIST(AM$2,$D38,$E38,TRUE))</f>
        <v/>
      </c>
      <c r="AN38">
        <f>IF(NOT(ISNUMBER($D38)),"",_xlfn.NORM.DIST(AN$1,$D38,$E38,TRUE)-_xlfn.NORM.DIST(AN$2,$D38,$E38,TRUE))</f>
        <v/>
      </c>
      <c r="AO38">
        <f>IF(NOT(ISNUMBER($D38)),"",_xlfn.NORM.DIST(AO$1,$D38,$E38,TRUE)-_xlfn.NORM.DIST(AO$2,$D38,$E38,TRUE))</f>
        <v/>
      </c>
      <c r="AP38">
        <f>IF(NOT(ISNUMBER($D38)),"",_xlfn.NORM.DIST(AP$1,$D38,$E38,TRUE)-_xlfn.NORM.DIST(AP$2,$D38,$E38,TRUE))</f>
        <v/>
      </c>
      <c r="AQ38">
        <f>IF(NOT(ISNUMBER($D38)),"",_xlfn.NORM.DIST(AQ$1,$D38,$E38,TRUE)-_xlfn.NORM.DIST(AQ$2,$D38,$E38,TRUE))</f>
        <v/>
      </c>
      <c r="AR38">
        <f>IF(NOT(ISNUMBER($D38)),"",_xlfn.NORM.DIST(AR$1,$D38,$E38,TRUE)-_xlfn.NORM.DIST(AR$2,$D38,$E38,TRUE))</f>
        <v/>
      </c>
      <c r="AS38">
        <f>IF(NOT(ISNUMBER($D38)),"",_xlfn.NORM.DIST(AS$1,$D38,$E38,TRUE)-_xlfn.NORM.DIST(AS$2,$D38,$E38,TRUE))</f>
        <v/>
      </c>
      <c r="AT38">
        <f>IF(NOT(ISNUMBER($D38)),"",_xlfn.NORM.DIST(AT$1,$D38,$E38,TRUE)-_xlfn.NORM.DIST(AT$2,$D38,$E38,TRUE))</f>
        <v/>
      </c>
      <c r="AU38">
        <f>IF(NOT(ISNUMBER($D38)),"",_xlfn.NORM.DIST(AU$1,$D38,$E38,TRUE)-_xlfn.NORM.DIST(AU$2,$D38,$E38,TRUE))</f>
        <v/>
      </c>
      <c r="AV38">
        <f>IF(NOT(ISNUMBER($D38)),"",_xlfn.NORM.DIST(AV$1,$D38,$E38,TRUE)-_xlfn.NORM.DIST(AV$2,$D38,$E38,TRUE))</f>
        <v/>
      </c>
      <c r="AW38">
        <f>IF(NOT(ISNUMBER($D38)),"",_xlfn.NORM.DIST(AW$1,$D38,$E38,TRUE)-_xlfn.NORM.DIST(AW$2,$D38,$E38,TRUE))</f>
        <v/>
      </c>
      <c r="AX38">
        <f>IF(NOT(ISNUMBER($D38)),"",_xlfn.NORM.DIST(AX$1,$D38,$E38,TRUE)-_xlfn.NORM.DIST(AX$2,$D38,$E38,TRUE))</f>
        <v/>
      </c>
      <c r="AY38">
        <f>IF(NOT(ISNUMBER($D38)),"",_xlfn.NORM.DIST(AY$1,$D38,$E38,TRUE)-_xlfn.NORM.DIST(AY$2,$D38,$E38,TRUE))</f>
        <v/>
      </c>
      <c r="AZ38">
        <f>IF(NOT(ISNUMBER($D38)),"",_xlfn.NORM.DIST(AZ$1,$D38,$E38,TRUE)-_xlfn.NORM.DIST(AZ$2,$D38,$E38,TRUE))</f>
        <v/>
      </c>
      <c r="BA38">
        <f>IF(NOT(ISNUMBER($D38)),"",_xlfn.NORM.DIST(BA$1,$D38,$E38,TRUE)-_xlfn.NORM.DIST(BA$2,$D38,$E38,TRUE))</f>
        <v/>
      </c>
      <c r="BB38">
        <f>IF(NOT(ISNUMBER($D38)),"",_xlfn.NORM.DIST(BB$1,$D38,$E38,TRUE)-_xlfn.NORM.DIST(BB$2,$D38,$E38,TRUE))</f>
        <v/>
      </c>
      <c r="BC38">
        <f>IF(NOT(ISNUMBER($D38)),"",_xlfn.NORM.DIST(BC$1,$D38,$E38,TRUE)-_xlfn.NORM.DIST(BC$2,$D38,$E38,TRUE))</f>
        <v/>
      </c>
      <c r="BD38">
        <f>IF(NOT(ISNUMBER($D38)),"",_xlfn.NORM.DIST(BD$1,$D38,$E38,TRUE)-_xlfn.NORM.DIST(BD$2,$D38,$E38,TRUE))</f>
        <v/>
      </c>
      <c r="BE38">
        <f>IF(NOT(ISNUMBER($D38)),"",_xlfn.NORM.DIST(BE$1,$D38,$E38,TRUE)-_xlfn.NORM.DIST(BE$2,$D38,$E38,TRUE))</f>
        <v/>
      </c>
      <c r="BF38">
        <f>IF(NOT(ISNUMBER($D38)),"",_xlfn.NORM.DIST(BF$1,$D38,$E38,TRUE)-_xlfn.NORM.DIST(BF$2,$D38,$E38,TRUE))</f>
        <v/>
      </c>
      <c r="BG38">
        <f>IF(NOT(ISNUMBER($D38)),"",_xlfn.NORM.DIST(BG$1,$D38,$E38,TRUE)-_xlfn.NORM.DIST(BG$2,$D38,$E38,TRUE))</f>
        <v/>
      </c>
      <c r="BH38">
        <f>IF(NOT(ISNUMBER($D38)),"",_xlfn.NORM.DIST(BH$1,$D38,$E38,TRUE)-_xlfn.NORM.DIST(BH$2,$D38,$E38,TRUE))</f>
        <v/>
      </c>
      <c r="BI38">
        <f>IF(NOT(ISNUMBER($D38)),"",_xlfn.NORM.DIST(BI$1,$D38,$E38,TRUE)-_xlfn.NORM.DIST(BI$2,$D38,$E38,TRUE))</f>
        <v/>
      </c>
      <c r="BJ38">
        <f>IF(NOT(ISNUMBER($D38)),"",_xlfn.NORM.DIST(BJ$1,$D38,$E38,TRUE)-_xlfn.NORM.DIST(BJ$2,$D38,$E38,TRUE))</f>
        <v/>
      </c>
      <c r="BK38">
        <f>IF(NOT(ISNUMBER($D38)),"",_xlfn.NORM.DIST(BK$1,$D38,$E38,TRUE)-_xlfn.NORM.DIST(BK$2,$D38,$E38,TRUE))</f>
        <v/>
      </c>
      <c r="BL38">
        <f>IF(NOT(ISNUMBER($D38)),"",_xlfn.NORM.DIST(BL$1,$D38,$E38,TRUE)-_xlfn.NORM.DIST(BL$2,$D38,$E38,TRUE))</f>
        <v/>
      </c>
      <c r="BM38">
        <f>IF(NOT(ISNUMBER($D38)),"",_xlfn.NORM.DIST(BM$1,$D38,$E38,TRUE)-_xlfn.NORM.DIST(BM$2,$D38,$E38,TRUE))</f>
        <v/>
      </c>
      <c r="BN38">
        <f>IF(NOT(ISNUMBER($D38)),"",_xlfn.NORM.DIST(BN$1,$D38,$E38,TRUE)-_xlfn.NORM.DIST(BN$2,$D38,$E38,TRUE))</f>
        <v/>
      </c>
      <c r="BO38">
        <f>IF(NOT(ISNUMBER($D38)),"",_xlfn.NORM.DIST(BO$1,$D38,$E38,TRUE)-_xlfn.NORM.DIST(BO$2,$D38,$E38,TRUE))</f>
        <v/>
      </c>
      <c r="BP38">
        <f>IF(NOT(ISNUMBER($D38)),"",_xlfn.NORM.DIST(BP$1,$D38,$E38,TRUE)-_xlfn.NORM.DIST(BP$2,$D38,$E38,TRUE))</f>
        <v/>
      </c>
      <c r="BQ38">
        <f>IF(NOT(ISNUMBER($D38)),"",_xlfn.NORM.DIST(BQ$1,$D38,$E38,TRUE)-_xlfn.NORM.DIST(BQ$2,$D38,$E38,TRUE))</f>
        <v/>
      </c>
      <c r="BR38">
        <f>IF(NOT(ISNUMBER($D38)),"",_xlfn.NORM.DIST(BR$1,$D38,$E38,TRUE)-_xlfn.NORM.DIST(BR$2,$D38,$E38,TRUE))</f>
        <v/>
      </c>
      <c r="BS38">
        <f>IF(NOT(ISNUMBER($D38)),"",_xlfn.NORM.DIST(BS$1,$D38,$E38,TRUE)-_xlfn.NORM.DIST(BS$2,$D38,$E38,TRUE))</f>
        <v/>
      </c>
      <c r="BT38">
        <f>IF(NOT(ISNUMBER($D38)),"",_xlfn.NORM.DIST(BT$1,$D38,$E38,TRUE)-_xlfn.NORM.DIST(BT$2,$D38,$E38,TRUE))</f>
        <v/>
      </c>
      <c r="BU38">
        <f>IF(NOT(ISNUMBER($D38)),"",_xlfn.NORM.DIST(BU$1,$D38,$E38,TRUE)-_xlfn.NORM.DIST(BU$2,$D38,$E38,TRUE))</f>
        <v/>
      </c>
      <c r="BV38">
        <f>IF(NOT(ISNUMBER($D38)),"",_xlfn.NORM.DIST(BV$1,$D38,$E38,TRUE)-_xlfn.NORM.DIST(BV$2,$D38,$E38,TRUE))</f>
        <v/>
      </c>
      <c r="BW38">
        <f>IF(NOT(ISNUMBER($D38)),"",_xlfn.NORM.DIST(BW$1,$D38,$E38,TRUE)-_xlfn.NORM.DIST(BW$2,$D38,$E38,TRUE))</f>
        <v/>
      </c>
      <c r="BX38">
        <f>IF(NOT(ISNUMBER($D38)),"",_xlfn.NORM.DIST(BX$1,$D38,$E38,TRUE)-_xlfn.NORM.DIST(BX$2,$D38,$E38,TRUE))</f>
        <v/>
      </c>
      <c r="BY38">
        <f>IF(NOT(ISNUMBER($D38)),"",_xlfn.NORM.DIST(BY$1,$D38,$E38,TRUE)-_xlfn.NORM.DIST(BY$2,$D38,$E38,TRUE))</f>
        <v/>
      </c>
      <c r="BZ38">
        <f>IF(NOT(ISNUMBER($D38)),"",_xlfn.NORM.DIST(BZ$1,$D38,$E38,TRUE)-_xlfn.NORM.DIST(BZ$2,$D38,$E38,TRUE))</f>
        <v/>
      </c>
      <c r="CA38">
        <f>IF(NOT(ISNUMBER($D38)),"",_xlfn.NORM.DIST(CA$1,$D38,$E38,TRUE)-_xlfn.NORM.DIST(CA$2,$D38,$E38,TRUE))</f>
        <v/>
      </c>
      <c r="CB38">
        <f>IF(NOT(ISNUMBER($D38)),"",_xlfn.NORM.DIST(CB$1,$D38,$E38,TRUE)-_xlfn.NORM.DIST(CB$2,$D38,$E38,TRUE))</f>
        <v/>
      </c>
      <c r="CC38">
        <f>IF(NOT(ISNUMBER($D38)),"",_xlfn.NORM.DIST(CC$1,$D38,$E38,TRUE)-_xlfn.NORM.DIST(CC$2,$D38,$E38,TRUE))</f>
        <v/>
      </c>
      <c r="CD38">
        <f>IF(NOT(ISNUMBER($D38)),"",_xlfn.NORM.DIST(CD$1,$D38,$E38,TRUE)-_xlfn.NORM.DIST(CD$2,$D38,$E38,TRUE))</f>
        <v/>
      </c>
      <c r="CE38">
        <f>IF(NOT(ISNUMBER($D38)),"",_xlfn.NORM.DIST(CE$1,$D38,$E38,TRUE)-_xlfn.NORM.DIST(CE$2,$D38,$E38,TRUE))</f>
        <v/>
      </c>
      <c r="CF38">
        <f>IF(NOT(ISNUMBER($D38)),"",_xlfn.NORM.DIST(CF$1,$D38,$E38,TRUE)-_xlfn.NORM.DIST(CF$2,$D38,$E38,TRUE))</f>
        <v/>
      </c>
      <c r="CG38">
        <f>IF(NOT(ISNUMBER($D38)),"",_xlfn.NORM.DIST(CG$1,$D38,$E38,TRUE)-_xlfn.NORM.DIST(CG$2,$D38,$E38,TRUE))</f>
        <v/>
      </c>
      <c r="CH38">
        <f>IF(NOT(ISNUMBER($D38)),"",_xlfn.NORM.DIST(CH$1,$D38,$E38,TRUE)-_xlfn.NORM.DIST(CH$2,$D38,$E38,TRUE))</f>
        <v/>
      </c>
      <c r="CI38">
        <f>IF(NOT(ISNUMBER($D38)),"",_xlfn.NORM.DIST(CI$1,$D38,$E38,TRUE)-_xlfn.NORM.DIST(CI$2,$D38,$E38,TRUE))</f>
        <v/>
      </c>
      <c r="CJ38">
        <f>IF(ISNUMBER($D38),SUM(F38:CI38),"")</f>
        <v/>
      </c>
    </row>
    <row r="39">
      <c r="A39">
        <f>economics!A38</f>
        <v/>
      </c>
      <c r="B39">
        <f>economics!B38</f>
        <v/>
      </c>
      <c r="C39">
        <f>economics!D38</f>
        <v/>
      </c>
      <c r="D39">
        <f>IF(ISNUMBER(economics!T38),economics!T38,"na")</f>
        <v/>
      </c>
      <c r="E39">
        <f>IF(ISNUMBER(D39),MAX(0.3*ABS(D39),0.000001),"na")</f>
        <v/>
      </c>
      <c r="F39">
        <f>IF(NOT(ISNUMBER($D39)),"",_xlfn.NORM.DIST(F$1,$D39,$E39,TRUE)-_xlfn.NORM.DIST(F$2,$D39,$E39,TRUE))</f>
        <v/>
      </c>
      <c r="G39">
        <f>IF(NOT(ISNUMBER($D39)),"",_xlfn.NORM.DIST(G$1,$D39,$E39,TRUE)-_xlfn.NORM.DIST(G$2,$D39,$E39,TRUE))</f>
        <v/>
      </c>
      <c r="H39">
        <f>IF(NOT(ISNUMBER($D39)),"",_xlfn.NORM.DIST(H$1,$D39,$E39,TRUE)-_xlfn.NORM.DIST(H$2,$D39,$E39,TRUE))</f>
        <v/>
      </c>
      <c r="I39">
        <f>IF(NOT(ISNUMBER($D39)),"",_xlfn.NORM.DIST(I$1,$D39,$E39,TRUE)-_xlfn.NORM.DIST(I$2,$D39,$E39,TRUE))</f>
        <v/>
      </c>
      <c r="J39">
        <f>IF(NOT(ISNUMBER($D39)),"",_xlfn.NORM.DIST(J$1,$D39,$E39,TRUE)-_xlfn.NORM.DIST(J$2,$D39,$E39,TRUE))</f>
        <v/>
      </c>
      <c r="K39">
        <f>IF(NOT(ISNUMBER($D39)),"",_xlfn.NORM.DIST(K$1,$D39,$E39,TRUE)-_xlfn.NORM.DIST(K$2,$D39,$E39,TRUE))</f>
        <v/>
      </c>
      <c r="L39">
        <f>IF(NOT(ISNUMBER($D39)),"",_xlfn.NORM.DIST(L$1,$D39,$E39,TRUE)-_xlfn.NORM.DIST(L$2,$D39,$E39,TRUE))</f>
        <v/>
      </c>
      <c r="M39">
        <f>IF(NOT(ISNUMBER($D39)),"",_xlfn.NORM.DIST(M$1,$D39,$E39,TRUE)-_xlfn.NORM.DIST(M$2,$D39,$E39,TRUE))</f>
        <v/>
      </c>
      <c r="N39">
        <f>IF(NOT(ISNUMBER($D39)),"",_xlfn.NORM.DIST(N$1,$D39,$E39,TRUE)-_xlfn.NORM.DIST(N$2,$D39,$E39,TRUE))</f>
        <v/>
      </c>
      <c r="O39">
        <f>IF(NOT(ISNUMBER($D39)),"",_xlfn.NORM.DIST(O$1,$D39,$E39,TRUE)-_xlfn.NORM.DIST(O$2,$D39,$E39,TRUE))</f>
        <v/>
      </c>
      <c r="P39">
        <f>IF(NOT(ISNUMBER($D39)),"",_xlfn.NORM.DIST(P$1,$D39,$E39,TRUE)-_xlfn.NORM.DIST(P$2,$D39,$E39,TRUE))</f>
        <v/>
      </c>
      <c r="Q39">
        <f>IF(NOT(ISNUMBER($D39)),"",_xlfn.NORM.DIST(Q$1,$D39,$E39,TRUE)-_xlfn.NORM.DIST(Q$2,$D39,$E39,TRUE))</f>
        <v/>
      </c>
      <c r="R39">
        <f>IF(NOT(ISNUMBER($D39)),"",_xlfn.NORM.DIST(R$1,$D39,$E39,TRUE)-_xlfn.NORM.DIST(R$2,$D39,$E39,TRUE))</f>
        <v/>
      </c>
      <c r="S39">
        <f>IF(NOT(ISNUMBER($D39)),"",_xlfn.NORM.DIST(S$1,$D39,$E39,TRUE)-_xlfn.NORM.DIST(S$2,$D39,$E39,TRUE))</f>
        <v/>
      </c>
      <c r="T39">
        <f>IF(NOT(ISNUMBER($D39)),"",_xlfn.NORM.DIST(T$1,$D39,$E39,TRUE)-_xlfn.NORM.DIST(T$2,$D39,$E39,TRUE))</f>
        <v/>
      </c>
      <c r="U39">
        <f>IF(NOT(ISNUMBER($D39)),"",_xlfn.NORM.DIST(U$1,$D39,$E39,TRUE)-_xlfn.NORM.DIST(U$2,$D39,$E39,TRUE))</f>
        <v/>
      </c>
      <c r="V39">
        <f>IF(NOT(ISNUMBER($D39)),"",_xlfn.NORM.DIST(V$1,$D39,$E39,TRUE)-_xlfn.NORM.DIST(V$2,$D39,$E39,TRUE))</f>
        <v/>
      </c>
      <c r="W39">
        <f>IF(NOT(ISNUMBER($D39)),"",_xlfn.NORM.DIST(W$1,$D39,$E39,TRUE)-_xlfn.NORM.DIST(W$2,$D39,$E39,TRUE))</f>
        <v/>
      </c>
      <c r="X39">
        <f>IF(NOT(ISNUMBER($D39)),"",_xlfn.NORM.DIST(X$1,$D39,$E39,TRUE)-_xlfn.NORM.DIST(X$2,$D39,$E39,TRUE))</f>
        <v/>
      </c>
      <c r="Y39">
        <f>IF(NOT(ISNUMBER($D39)),"",_xlfn.NORM.DIST(Y$1,$D39,$E39,TRUE)-_xlfn.NORM.DIST(Y$2,$D39,$E39,TRUE))</f>
        <v/>
      </c>
      <c r="Z39">
        <f>IF(NOT(ISNUMBER($D39)),"",_xlfn.NORM.DIST(Z$1,$D39,$E39,TRUE)-_xlfn.NORM.DIST(Z$2,$D39,$E39,TRUE))</f>
        <v/>
      </c>
      <c r="AA39">
        <f>IF(NOT(ISNUMBER($D39)),"",_xlfn.NORM.DIST(AA$1,$D39,$E39,TRUE)-_xlfn.NORM.DIST(AA$2,$D39,$E39,TRUE))</f>
        <v/>
      </c>
      <c r="AB39">
        <f>IF(NOT(ISNUMBER($D39)),"",_xlfn.NORM.DIST(AB$1,$D39,$E39,TRUE)-_xlfn.NORM.DIST(AB$2,$D39,$E39,TRUE))</f>
        <v/>
      </c>
      <c r="AC39">
        <f>IF(NOT(ISNUMBER($D39)),"",_xlfn.NORM.DIST(AC$1,$D39,$E39,TRUE)-_xlfn.NORM.DIST(AC$2,$D39,$E39,TRUE))</f>
        <v/>
      </c>
      <c r="AD39">
        <f>IF(NOT(ISNUMBER($D39)),"",_xlfn.NORM.DIST(AD$1,$D39,$E39,TRUE)-_xlfn.NORM.DIST(AD$2,$D39,$E39,TRUE))</f>
        <v/>
      </c>
      <c r="AE39">
        <f>IF(NOT(ISNUMBER($D39)),"",_xlfn.NORM.DIST(AE$1,$D39,$E39,TRUE)-_xlfn.NORM.DIST(AE$2,$D39,$E39,TRUE))</f>
        <v/>
      </c>
      <c r="AF39">
        <f>IF(NOT(ISNUMBER($D39)),"",_xlfn.NORM.DIST(AF$1,$D39,$E39,TRUE)-_xlfn.NORM.DIST(AF$2,$D39,$E39,TRUE))</f>
        <v/>
      </c>
      <c r="AG39">
        <f>IF(NOT(ISNUMBER($D39)),"",_xlfn.NORM.DIST(AG$1,$D39,$E39,TRUE)-_xlfn.NORM.DIST(AG$2,$D39,$E39,TRUE))</f>
        <v/>
      </c>
      <c r="AH39">
        <f>IF(NOT(ISNUMBER($D39)),"",_xlfn.NORM.DIST(AH$1,$D39,$E39,TRUE)-_xlfn.NORM.DIST(AH$2,$D39,$E39,TRUE))</f>
        <v/>
      </c>
      <c r="AI39">
        <f>IF(NOT(ISNUMBER($D39)),"",_xlfn.NORM.DIST(AI$1,$D39,$E39,TRUE)-_xlfn.NORM.DIST(AI$2,$D39,$E39,TRUE))</f>
        <v/>
      </c>
      <c r="AJ39">
        <f>IF(NOT(ISNUMBER($D39)),"",_xlfn.NORM.DIST(AJ$1,$D39,$E39,TRUE)-_xlfn.NORM.DIST(AJ$2,$D39,$E39,TRUE))</f>
        <v/>
      </c>
      <c r="AK39">
        <f>IF(NOT(ISNUMBER($D39)),"",_xlfn.NORM.DIST(AK$1,$D39,$E39,TRUE)-_xlfn.NORM.DIST(AK$2,$D39,$E39,TRUE))</f>
        <v/>
      </c>
      <c r="AL39">
        <f>IF(NOT(ISNUMBER($D39)),"",_xlfn.NORM.DIST(AL$1,$D39,$E39,TRUE)-_xlfn.NORM.DIST(AL$2,$D39,$E39,TRUE))</f>
        <v/>
      </c>
      <c r="AM39">
        <f>IF(NOT(ISNUMBER($D39)),"",_xlfn.NORM.DIST(AM$1,$D39,$E39,TRUE)-_xlfn.NORM.DIST(AM$2,$D39,$E39,TRUE))</f>
        <v/>
      </c>
      <c r="AN39">
        <f>IF(NOT(ISNUMBER($D39)),"",_xlfn.NORM.DIST(AN$1,$D39,$E39,TRUE)-_xlfn.NORM.DIST(AN$2,$D39,$E39,TRUE))</f>
        <v/>
      </c>
      <c r="AO39">
        <f>IF(NOT(ISNUMBER($D39)),"",_xlfn.NORM.DIST(AO$1,$D39,$E39,TRUE)-_xlfn.NORM.DIST(AO$2,$D39,$E39,TRUE))</f>
        <v/>
      </c>
      <c r="AP39">
        <f>IF(NOT(ISNUMBER($D39)),"",_xlfn.NORM.DIST(AP$1,$D39,$E39,TRUE)-_xlfn.NORM.DIST(AP$2,$D39,$E39,TRUE))</f>
        <v/>
      </c>
      <c r="AQ39">
        <f>IF(NOT(ISNUMBER($D39)),"",_xlfn.NORM.DIST(AQ$1,$D39,$E39,TRUE)-_xlfn.NORM.DIST(AQ$2,$D39,$E39,TRUE))</f>
        <v/>
      </c>
      <c r="AR39">
        <f>IF(NOT(ISNUMBER($D39)),"",_xlfn.NORM.DIST(AR$1,$D39,$E39,TRUE)-_xlfn.NORM.DIST(AR$2,$D39,$E39,TRUE))</f>
        <v/>
      </c>
      <c r="AS39">
        <f>IF(NOT(ISNUMBER($D39)),"",_xlfn.NORM.DIST(AS$1,$D39,$E39,TRUE)-_xlfn.NORM.DIST(AS$2,$D39,$E39,TRUE))</f>
        <v/>
      </c>
      <c r="AT39">
        <f>IF(NOT(ISNUMBER($D39)),"",_xlfn.NORM.DIST(AT$1,$D39,$E39,TRUE)-_xlfn.NORM.DIST(AT$2,$D39,$E39,TRUE))</f>
        <v/>
      </c>
      <c r="AU39">
        <f>IF(NOT(ISNUMBER($D39)),"",_xlfn.NORM.DIST(AU$1,$D39,$E39,TRUE)-_xlfn.NORM.DIST(AU$2,$D39,$E39,TRUE))</f>
        <v/>
      </c>
      <c r="AV39">
        <f>IF(NOT(ISNUMBER($D39)),"",_xlfn.NORM.DIST(AV$1,$D39,$E39,TRUE)-_xlfn.NORM.DIST(AV$2,$D39,$E39,TRUE))</f>
        <v/>
      </c>
      <c r="AW39">
        <f>IF(NOT(ISNUMBER($D39)),"",_xlfn.NORM.DIST(AW$1,$D39,$E39,TRUE)-_xlfn.NORM.DIST(AW$2,$D39,$E39,TRUE))</f>
        <v/>
      </c>
      <c r="AX39">
        <f>IF(NOT(ISNUMBER($D39)),"",_xlfn.NORM.DIST(AX$1,$D39,$E39,TRUE)-_xlfn.NORM.DIST(AX$2,$D39,$E39,TRUE))</f>
        <v/>
      </c>
      <c r="AY39">
        <f>IF(NOT(ISNUMBER($D39)),"",_xlfn.NORM.DIST(AY$1,$D39,$E39,TRUE)-_xlfn.NORM.DIST(AY$2,$D39,$E39,TRUE))</f>
        <v/>
      </c>
      <c r="AZ39">
        <f>IF(NOT(ISNUMBER($D39)),"",_xlfn.NORM.DIST(AZ$1,$D39,$E39,TRUE)-_xlfn.NORM.DIST(AZ$2,$D39,$E39,TRUE))</f>
        <v/>
      </c>
      <c r="BA39">
        <f>IF(NOT(ISNUMBER($D39)),"",_xlfn.NORM.DIST(BA$1,$D39,$E39,TRUE)-_xlfn.NORM.DIST(BA$2,$D39,$E39,TRUE))</f>
        <v/>
      </c>
      <c r="BB39">
        <f>IF(NOT(ISNUMBER($D39)),"",_xlfn.NORM.DIST(BB$1,$D39,$E39,TRUE)-_xlfn.NORM.DIST(BB$2,$D39,$E39,TRUE))</f>
        <v/>
      </c>
      <c r="BC39">
        <f>IF(NOT(ISNUMBER($D39)),"",_xlfn.NORM.DIST(BC$1,$D39,$E39,TRUE)-_xlfn.NORM.DIST(BC$2,$D39,$E39,TRUE))</f>
        <v/>
      </c>
      <c r="BD39">
        <f>IF(NOT(ISNUMBER($D39)),"",_xlfn.NORM.DIST(BD$1,$D39,$E39,TRUE)-_xlfn.NORM.DIST(BD$2,$D39,$E39,TRUE))</f>
        <v/>
      </c>
      <c r="BE39">
        <f>IF(NOT(ISNUMBER($D39)),"",_xlfn.NORM.DIST(BE$1,$D39,$E39,TRUE)-_xlfn.NORM.DIST(BE$2,$D39,$E39,TRUE))</f>
        <v/>
      </c>
      <c r="BF39">
        <f>IF(NOT(ISNUMBER($D39)),"",_xlfn.NORM.DIST(BF$1,$D39,$E39,TRUE)-_xlfn.NORM.DIST(BF$2,$D39,$E39,TRUE))</f>
        <v/>
      </c>
      <c r="BG39">
        <f>IF(NOT(ISNUMBER($D39)),"",_xlfn.NORM.DIST(BG$1,$D39,$E39,TRUE)-_xlfn.NORM.DIST(BG$2,$D39,$E39,TRUE))</f>
        <v/>
      </c>
      <c r="BH39">
        <f>IF(NOT(ISNUMBER($D39)),"",_xlfn.NORM.DIST(BH$1,$D39,$E39,TRUE)-_xlfn.NORM.DIST(BH$2,$D39,$E39,TRUE))</f>
        <v/>
      </c>
      <c r="BI39">
        <f>IF(NOT(ISNUMBER($D39)),"",_xlfn.NORM.DIST(BI$1,$D39,$E39,TRUE)-_xlfn.NORM.DIST(BI$2,$D39,$E39,TRUE))</f>
        <v/>
      </c>
      <c r="BJ39">
        <f>IF(NOT(ISNUMBER($D39)),"",_xlfn.NORM.DIST(BJ$1,$D39,$E39,TRUE)-_xlfn.NORM.DIST(BJ$2,$D39,$E39,TRUE))</f>
        <v/>
      </c>
      <c r="BK39">
        <f>IF(NOT(ISNUMBER($D39)),"",_xlfn.NORM.DIST(BK$1,$D39,$E39,TRUE)-_xlfn.NORM.DIST(BK$2,$D39,$E39,TRUE))</f>
        <v/>
      </c>
      <c r="BL39">
        <f>IF(NOT(ISNUMBER($D39)),"",_xlfn.NORM.DIST(BL$1,$D39,$E39,TRUE)-_xlfn.NORM.DIST(BL$2,$D39,$E39,TRUE))</f>
        <v/>
      </c>
      <c r="BM39">
        <f>IF(NOT(ISNUMBER($D39)),"",_xlfn.NORM.DIST(BM$1,$D39,$E39,TRUE)-_xlfn.NORM.DIST(BM$2,$D39,$E39,TRUE))</f>
        <v/>
      </c>
      <c r="BN39">
        <f>IF(NOT(ISNUMBER($D39)),"",_xlfn.NORM.DIST(BN$1,$D39,$E39,TRUE)-_xlfn.NORM.DIST(BN$2,$D39,$E39,TRUE))</f>
        <v/>
      </c>
      <c r="BO39">
        <f>IF(NOT(ISNUMBER($D39)),"",_xlfn.NORM.DIST(BO$1,$D39,$E39,TRUE)-_xlfn.NORM.DIST(BO$2,$D39,$E39,TRUE))</f>
        <v/>
      </c>
      <c r="BP39">
        <f>IF(NOT(ISNUMBER($D39)),"",_xlfn.NORM.DIST(BP$1,$D39,$E39,TRUE)-_xlfn.NORM.DIST(BP$2,$D39,$E39,TRUE))</f>
        <v/>
      </c>
      <c r="BQ39">
        <f>IF(NOT(ISNUMBER($D39)),"",_xlfn.NORM.DIST(BQ$1,$D39,$E39,TRUE)-_xlfn.NORM.DIST(BQ$2,$D39,$E39,TRUE))</f>
        <v/>
      </c>
      <c r="BR39">
        <f>IF(NOT(ISNUMBER($D39)),"",_xlfn.NORM.DIST(BR$1,$D39,$E39,TRUE)-_xlfn.NORM.DIST(BR$2,$D39,$E39,TRUE))</f>
        <v/>
      </c>
      <c r="BS39">
        <f>IF(NOT(ISNUMBER($D39)),"",_xlfn.NORM.DIST(BS$1,$D39,$E39,TRUE)-_xlfn.NORM.DIST(BS$2,$D39,$E39,TRUE))</f>
        <v/>
      </c>
      <c r="BT39">
        <f>IF(NOT(ISNUMBER($D39)),"",_xlfn.NORM.DIST(BT$1,$D39,$E39,TRUE)-_xlfn.NORM.DIST(BT$2,$D39,$E39,TRUE))</f>
        <v/>
      </c>
      <c r="BU39">
        <f>IF(NOT(ISNUMBER($D39)),"",_xlfn.NORM.DIST(BU$1,$D39,$E39,TRUE)-_xlfn.NORM.DIST(BU$2,$D39,$E39,TRUE))</f>
        <v/>
      </c>
      <c r="BV39">
        <f>IF(NOT(ISNUMBER($D39)),"",_xlfn.NORM.DIST(BV$1,$D39,$E39,TRUE)-_xlfn.NORM.DIST(BV$2,$D39,$E39,TRUE))</f>
        <v/>
      </c>
      <c r="BW39">
        <f>IF(NOT(ISNUMBER($D39)),"",_xlfn.NORM.DIST(BW$1,$D39,$E39,TRUE)-_xlfn.NORM.DIST(BW$2,$D39,$E39,TRUE))</f>
        <v/>
      </c>
      <c r="BX39">
        <f>IF(NOT(ISNUMBER($D39)),"",_xlfn.NORM.DIST(BX$1,$D39,$E39,TRUE)-_xlfn.NORM.DIST(BX$2,$D39,$E39,TRUE))</f>
        <v/>
      </c>
      <c r="BY39">
        <f>IF(NOT(ISNUMBER($D39)),"",_xlfn.NORM.DIST(BY$1,$D39,$E39,TRUE)-_xlfn.NORM.DIST(BY$2,$D39,$E39,TRUE))</f>
        <v/>
      </c>
      <c r="BZ39">
        <f>IF(NOT(ISNUMBER($D39)),"",_xlfn.NORM.DIST(BZ$1,$D39,$E39,TRUE)-_xlfn.NORM.DIST(BZ$2,$D39,$E39,TRUE))</f>
        <v/>
      </c>
      <c r="CA39">
        <f>IF(NOT(ISNUMBER($D39)),"",_xlfn.NORM.DIST(CA$1,$D39,$E39,TRUE)-_xlfn.NORM.DIST(CA$2,$D39,$E39,TRUE))</f>
        <v/>
      </c>
      <c r="CB39">
        <f>IF(NOT(ISNUMBER($D39)),"",_xlfn.NORM.DIST(CB$1,$D39,$E39,TRUE)-_xlfn.NORM.DIST(CB$2,$D39,$E39,TRUE))</f>
        <v/>
      </c>
      <c r="CC39">
        <f>IF(NOT(ISNUMBER($D39)),"",_xlfn.NORM.DIST(CC$1,$D39,$E39,TRUE)-_xlfn.NORM.DIST(CC$2,$D39,$E39,TRUE))</f>
        <v/>
      </c>
      <c r="CD39">
        <f>IF(NOT(ISNUMBER($D39)),"",_xlfn.NORM.DIST(CD$1,$D39,$E39,TRUE)-_xlfn.NORM.DIST(CD$2,$D39,$E39,TRUE))</f>
        <v/>
      </c>
      <c r="CE39">
        <f>IF(NOT(ISNUMBER($D39)),"",_xlfn.NORM.DIST(CE$1,$D39,$E39,TRUE)-_xlfn.NORM.DIST(CE$2,$D39,$E39,TRUE))</f>
        <v/>
      </c>
      <c r="CF39">
        <f>IF(NOT(ISNUMBER($D39)),"",_xlfn.NORM.DIST(CF$1,$D39,$E39,TRUE)-_xlfn.NORM.DIST(CF$2,$D39,$E39,TRUE))</f>
        <v/>
      </c>
      <c r="CG39">
        <f>IF(NOT(ISNUMBER($D39)),"",_xlfn.NORM.DIST(CG$1,$D39,$E39,TRUE)-_xlfn.NORM.DIST(CG$2,$D39,$E39,TRUE))</f>
        <v/>
      </c>
      <c r="CH39">
        <f>IF(NOT(ISNUMBER($D39)),"",_xlfn.NORM.DIST(CH$1,$D39,$E39,TRUE)-_xlfn.NORM.DIST(CH$2,$D39,$E39,TRUE))</f>
        <v/>
      </c>
      <c r="CI39">
        <f>IF(NOT(ISNUMBER($D39)),"",_xlfn.NORM.DIST(CI$1,$D39,$E39,TRUE)-_xlfn.NORM.DIST(CI$2,$D39,$E39,TRUE))</f>
        <v/>
      </c>
      <c r="CJ39">
        <f>IF(ISNUMBER($D39),SUM(F39:CI39),"")</f>
        <v/>
      </c>
    </row>
    <row r="40">
      <c r="A40">
        <f>economics!A39</f>
        <v/>
      </c>
      <c r="B40">
        <f>economics!B39</f>
        <v/>
      </c>
      <c r="C40">
        <f>economics!D39</f>
        <v/>
      </c>
      <c r="D40">
        <f>IF(ISNUMBER(economics!T39),economics!T39,"na")</f>
        <v/>
      </c>
      <c r="E40">
        <f>IF(ISNUMBER(D40),MAX(0.3*ABS(D40),0.000001),"na")</f>
        <v/>
      </c>
      <c r="F40">
        <f>IF(NOT(ISNUMBER($D40)),"",_xlfn.NORM.DIST(F$1,$D40,$E40,TRUE)-_xlfn.NORM.DIST(F$2,$D40,$E40,TRUE))</f>
        <v/>
      </c>
      <c r="G40">
        <f>IF(NOT(ISNUMBER($D40)),"",_xlfn.NORM.DIST(G$1,$D40,$E40,TRUE)-_xlfn.NORM.DIST(G$2,$D40,$E40,TRUE))</f>
        <v/>
      </c>
      <c r="H40">
        <f>IF(NOT(ISNUMBER($D40)),"",_xlfn.NORM.DIST(H$1,$D40,$E40,TRUE)-_xlfn.NORM.DIST(H$2,$D40,$E40,TRUE))</f>
        <v/>
      </c>
      <c r="I40">
        <f>IF(NOT(ISNUMBER($D40)),"",_xlfn.NORM.DIST(I$1,$D40,$E40,TRUE)-_xlfn.NORM.DIST(I$2,$D40,$E40,TRUE))</f>
        <v/>
      </c>
      <c r="J40">
        <f>IF(NOT(ISNUMBER($D40)),"",_xlfn.NORM.DIST(J$1,$D40,$E40,TRUE)-_xlfn.NORM.DIST(J$2,$D40,$E40,TRUE))</f>
        <v/>
      </c>
      <c r="K40">
        <f>IF(NOT(ISNUMBER($D40)),"",_xlfn.NORM.DIST(K$1,$D40,$E40,TRUE)-_xlfn.NORM.DIST(K$2,$D40,$E40,TRUE))</f>
        <v/>
      </c>
      <c r="L40">
        <f>IF(NOT(ISNUMBER($D40)),"",_xlfn.NORM.DIST(L$1,$D40,$E40,TRUE)-_xlfn.NORM.DIST(L$2,$D40,$E40,TRUE))</f>
        <v/>
      </c>
      <c r="M40">
        <f>IF(NOT(ISNUMBER($D40)),"",_xlfn.NORM.DIST(M$1,$D40,$E40,TRUE)-_xlfn.NORM.DIST(M$2,$D40,$E40,TRUE))</f>
        <v/>
      </c>
      <c r="N40">
        <f>IF(NOT(ISNUMBER($D40)),"",_xlfn.NORM.DIST(N$1,$D40,$E40,TRUE)-_xlfn.NORM.DIST(N$2,$D40,$E40,TRUE))</f>
        <v/>
      </c>
      <c r="O40">
        <f>IF(NOT(ISNUMBER($D40)),"",_xlfn.NORM.DIST(O$1,$D40,$E40,TRUE)-_xlfn.NORM.DIST(O$2,$D40,$E40,TRUE))</f>
        <v/>
      </c>
      <c r="P40">
        <f>IF(NOT(ISNUMBER($D40)),"",_xlfn.NORM.DIST(P$1,$D40,$E40,TRUE)-_xlfn.NORM.DIST(P$2,$D40,$E40,TRUE))</f>
        <v/>
      </c>
      <c r="Q40">
        <f>IF(NOT(ISNUMBER($D40)),"",_xlfn.NORM.DIST(Q$1,$D40,$E40,TRUE)-_xlfn.NORM.DIST(Q$2,$D40,$E40,TRUE))</f>
        <v/>
      </c>
      <c r="R40">
        <f>IF(NOT(ISNUMBER($D40)),"",_xlfn.NORM.DIST(R$1,$D40,$E40,TRUE)-_xlfn.NORM.DIST(R$2,$D40,$E40,TRUE))</f>
        <v/>
      </c>
      <c r="S40">
        <f>IF(NOT(ISNUMBER($D40)),"",_xlfn.NORM.DIST(S$1,$D40,$E40,TRUE)-_xlfn.NORM.DIST(S$2,$D40,$E40,TRUE))</f>
        <v/>
      </c>
      <c r="T40">
        <f>IF(NOT(ISNUMBER($D40)),"",_xlfn.NORM.DIST(T$1,$D40,$E40,TRUE)-_xlfn.NORM.DIST(T$2,$D40,$E40,TRUE))</f>
        <v/>
      </c>
      <c r="U40">
        <f>IF(NOT(ISNUMBER($D40)),"",_xlfn.NORM.DIST(U$1,$D40,$E40,TRUE)-_xlfn.NORM.DIST(U$2,$D40,$E40,TRUE))</f>
        <v/>
      </c>
      <c r="V40">
        <f>IF(NOT(ISNUMBER($D40)),"",_xlfn.NORM.DIST(V$1,$D40,$E40,TRUE)-_xlfn.NORM.DIST(V$2,$D40,$E40,TRUE))</f>
        <v/>
      </c>
      <c r="W40">
        <f>IF(NOT(ISNUMBER($D40)),"",_xlfn.NORM.DIST(W$1,$D40,$E40,TRUE)-_xlfn.NORM.DIST(W$2,$D40,$E40,TRUE))</f>
        <v/>
      </c>
      <c r="X40">
        <f>IF(NOT(ISNUMBER($D40)),"",_xlfn.NORM.DIST(X$1,$D40,$E40,TRUE)-_xlfn.NORM.DIST(X$2,$D40,$E40,TRUE))</f>
        <v/>
      </c>
      <c r="Y40">
        <f>IF(NOT(ISNUMBER($D40)),"",_xlfn.NORM.DIST(Y$1,$D40,$E40,TRUE)-_xlfn.NORM.DIST(Y$2,$D40,$E40,TRUE))</f>
        <v/>
      </c>
      <c r="Z40">
        <f>IF(NOT(ISNUMBER($D40)),"",_xlfn.NORM.DIST(Z$1,$D40,$E40,TRUE)-_xlfn.NORM.DIST(Z$2,$D40,$E40,TRUE))</f>
        <v/>
      </c>
      <c r="AA40">
        <f>IF(NOT(ISNUMBER($D40)),"",_xlfn.NORM.DIST(AA$1,$D40,$E40,TRUE)-_xlfn.NORM.DIST(AA$2,$D40,$E40,TRUE))</f>
        <v/>
      </c>
      <c r="AB40">
        <f>IF(NOT(ISNUMBER($D40)),"",_xlfn.NORM.DIST(AB$1,$D40,$E40,TRUE)-_xlfn.NORM.DIST(AB$2,$D40,$E40,TRUE))</f>
        <v/>
      </c>
      <c r="AC40">
        <f>IF(NOT(ISNUMBER($D40)),"",_xlfn.NORM.DIST(AC$1,$D40,$E40,TRUE)-_xlfn.NORM.DIST(AC$2,$D40,$E40,TRUE))</f>
        <v/>
      </c>
      <c r="AD40">
        <f>IF(NOT(ISNUMBER($D40)),"",_xlfn.NORM.DIST(AD$1,$D40,$E40,TRUE)-_xlfn.NORM.DIST(AD$2,$D40,$E40,TRUE))</f>
        <v/>
      </c>
      <c r="AE40">
        <f>IF(NOT(ISNUMBER($D40)),"",_xlfn.NORM.DIST(AE$1,$D40,$E40,TRUE)-_xlfn.NORM.DIST(AE$2,$D40,$E40,TRUE))</f>
        <v/>
      </c>
      <c r="AF40">
        <f>IF(NOT(ISNUMBER($D40)),"",_xlfn.NORM.DIST(AF$1,$D40,$E40,TRUE)-_xlfn.NORM.DIST(AF$2,$D40,$E40,TRUE))</f>
        <v/>
      </c>
      <c r="AG40">
        <f>IF(NOT(ISNUMBER($D40)),"",_xlfn.NORM.DIST(AG$1,$D40,$E40,TRUE)-_xlfn.NORM.DIST(AG$2,$D40,$E40,TRUE))</f>
        <v/>
      </c>
      <c r="AH40">
        <f>IF(NOT(ISNUMBER($D40)),"",_xlfn.NORM.DIST(AH$1,$D40,$E40,TRUE)-_xlfn.NORM.DIST(AH$2,$D40,$E40,TRUE))</f>
        <v/>
      </c>
      <c r="AI40">
        <f>IF(NOT(ISNUMBER($D40)),"",_xlfn.NORM.DIST(AI$1,$D40,$E40,TRUE)-_xlfn.NORM.DIST(AI$2,$D40,$E40,TRUE))</f>
        <v/>
      </c>
      <c r="AJ40">
        <f>IF(NOT(ISNUMBER($D40)),"",_xlfn.NORM.DIST(AJ$1,$D40,$E40,TRUE)-_xlfn.NORM.DIST(AJ$2,$D40,$E40,TRUE))</f>
        <v/>
      </c>
      <c r="AK40">
        <f>IF(NOT(ISNUMBER($D40)),"",_xlfn.NORM.DIST(AK$1,$D40,$E40,TRUE)-_xlfn.NORM.DIST(AK$2,$D40,$E40,TRUE))</f>
        <v/>
      </c>
      <c r="AL40">
        <f>IF(NOT(ISNUMBER($D40)),"",_xlfn.NORM.DIST(AL$1,$D40,$E40,TRUE)-_xlfn.NORM.DIST(AL$2,$D40,$E40,TRUE))</f>
        <v/>
      </c>
      <c r="AM40">
        <f>IF(NOT(ISNUMBER($D40)),"",_xlfn.NORM.DIST(AM$1,$D40,$E40,TRUE)-_xlfn.NORM.DIST(AM$2,$D40,$E40,TRUE))</f>
        <v/>
      </c>
      <c r="AN40">
        <f>IF(NOT(ISNUMBER($D40)),"",_xlfn.NORM.DIST(AN$1,$D40,$E40,TRUE)-_xlfn.NORM.DIST(AN$2,$D40,$E40,TRUE))</f>
        <v/>
      </c>
      <c r="AO40">
        <f>IF(NOT(ISNUMBER($D40)),"",_xlfn.NORM.DIST(AO$1,$D40,$E40,TRUE)-_xlfn.NORM.DIST(AO$2,$D40,$E40,TRUE))</f>
        <v/>
      </c>
      <c r="AP40">
        <f>IF(NOT(ISNUMBER($D40)),"",_xlfn.NORM.DIST(AP$1,$D40,$E40,TRUE)-_xlfn.NORM.DIST(AP$2,$D40,$E40,TRUE))</f>
        <v/>
      </c>
      <c r="AQ40">
        <f>IF(NOT(ISNUMBER($D40)),"",_xlfn.NORM.DIST(AQ$1,$D40,$E40,TRUE)-_xlfn.NORM.DIST(AQ$2,$D40,$E40,TRUE))</f>
        <v/>
      </c>
      <c r="AR40">
        <f>IF(NOT(ISNUMBER($D40)),"",_xlfn.NORM.DIST(AR$1,$D40,$E40,TRUE)-_xlfn.NORM.DIST(AR$2,$D40,$E40,TRUE))</f>
        <v/>
      </c>
      <c r="AS40">
        <f>IF(NOT(ISNUMBER($D40)),"",_xlfn.NORM.DIST(AS$1,$D40,$E40,TRUE)-_xlfn.NORM.DIST(AS$2,$D40,$E40,TRUE))</f>
        <v/>
      </c>
      <c r="AT40">
        <f>IF(NOT(ISNUMBER($D40)),"",_xlfn.NORM.DIST(AT$1,$D40,$E40,TRUE)-_xlfn.NORM.DIST(AT$2,$D40,$E40,TRUE))</f>
        <v/>
      </c>
      <c r="AU40">
        <f>IF(NOT(ISNUMBER($D40)),"",_xlfn.NORM.DIST(AU$1,$D40,$E40,TRUE)-_xlfn.NORM.DIST(AU$2,$D40,$E40,TRUE))</f>
        <v/>
      </c>
      <c r="AV40">
        <f>IF(NOT(ISNUMBER($D40)),"",_xlfn.NORM.DIST(AV$1,$D40,$E40,TRUE)-_xlfn.NORM.DIST(AV$2,$D40,$E40,TRUE))</f>
        <v/>
      </c>
      <c r="AW40">
        <f>IF(NOT(ISNUMBER($D40)),"",_xlfn.NORM.DIST(AW$1,$D40,$E40,TRUE)-_xlfn.NORM.DIST(AW$2,$D40,$E40,TRUE))</f>
        <v/>
      </c>
      <c r="AX40">
        <f>IF(NOT(ISNUMBER($D40)),"",_xlfn.NORM.DIST(AX$1,$D40,$E40,TRUE)-_xlfn.NORM.DIST(AX$2,$D40,$E40,TRUE))</f>
        <v/>
      </c>
      <c r="AY40">
        <f>IF(NOT(ISNUMBER($D40)),"",_xlfn.NORM.DIST(AY$1,$D40,$E40,TRUE)-_xlfn.NORM.DIST(AY$2,$D40,$E40,TRUE))</f>
        <v/>
      </c>
      <c r="AZ40">
        <f>IF(NOT(ISNUMBER($D40)),"",_xlfn.NORM.DIST(AZ$1,$D40,$E40,TRUE)-_xlfn.NORM.DIST(AZ$2,$D40,$E40,TRUE))</f>
        <v/>
      </c>
      <c r="BA40">
        <f>IF(NOT(ISNUMBER($D40)),"",_xlfn.NORM.DIST(BA$1,$D40,$E40,TRUE)-_xlfn.NORM.DIST(BA$2,$D40,$E40,TRUE))</f>
        <v/>
      </c>
      <c r="BB40">
        <f>IF(NOT(ISNUMBER($D40)),"",_xlfn.NORM.DIST(BB$1,$D40,$E40,TRUE)-_xlfn.NORM.DIST(BB$2,$D40,$E40,TRUE))</f>
        <v/>
      </c>
      <c r="BC40">
        <f>IF(NOT(ISNUMBER($D40)),"",_xlfn.NORM.DIST(BC$1,$D40,$E40,TRUE)-_xlfn.NORM.DIST(BC$2,$D40,$E40,TRUE))</f>
        <v/>
      </c>
      <c r="BD40">
        <f>IF(NOT(ISNUMBER($D40)),"",_xlfn.NORM.DIST(BD$1,$D40,$E40,TRUE)-_xlfn.NORM.DIST(BD$2,$D40,$E40,TRUE))</f>
        <v/>
      </c>
      <c r="BE40">
        <f>IF(NOT(ISNUMBER($D40)),"",_xlfn.NORM.DIST(BE$1,$D40,$E40,TRUE)-_xlfn.NORM.DIST(BE$2,$D40,$E40,TRUE))</f>
        <v/>
      </c>
      <c r="BF40">
        <f>IF(NOT(ISNUMBER($D40)),"",_xlfn.NORM.DIST(BF$1,$D40,$E40,TRUE)-_xlfn.NORM.DIST(BF$2,$D40,$E40,TRUE))</f>
        <v/>
      </c>
      <c r="BG40">
        <f>IF(NOT(ISNUMBER($D40)),"",_xlfn.NORM.DIST(BG$1,$D40,$E40,TRUE)-_xlfn.NORM.DIST(BG$2,$D40,$E40,TRUE))</f>
        <v/>
      </c>
      <c r="BH40">
        <f>IF(NOT(ISNUMBER($D40)),"",_xlfn.NORM.DIST(BH$1,$D40,$E40,TRUE)-_xlfn.NORM.DIST(BH$2,$D40,$E40,TRUE))</f>
        <v/>
      </c>
      <c r="BI40">
        <f>IF(NOT(ISNUMBER($D40)),"",_xlfn.NORM.DIST(BI$1,$D40,$E40,TRUE)-_xlfn.NORM.DIST(BI$2,$D40,$E40,TRUE))</f>
        <v/>
      </c>
      <c r="BJ40">
        <f>IF(NOT(ISNUMBER($D40)),"",_xlfn.NORM.DIST(BJ$1,$D40,$E40,TRUE)-_xlfn.NORM.DIST(BJ$2,$D40,$E40,TRUE))</f>
        <v/>
      </c>
      <c r="BK40">
        <f>IF(NOT(ISNUMBER($D40)),"",_xlfn.NORM.DIST(BK$1,$D40,$E40,TRUE)-_xlfn.NORM.DIST(BK$2,$D40,$E40,TRUE))</f>
        <v/>
      </c>
      <c r="BL40">
        <f>IF(NOT(ISNUMBER($D40)),"",_xlfn.NORM.DIST(BL$1,$D40,$E40,TRUE)-_xlfn.NORM.DIST(BL$2,$D40,$E40,TRUE))</f>
        <v/>
      </c>
      <c r="BM40">
        <f>IF(NOT(ISNUMBER($D40)),"",_xlfn.NORM.DIST(BM$1,$D40,$E40,TRUE)-_xlfn.NORM.DIST(BM$2,$D40,$E40,TRUE))</f>
        <v/>
      </c>
      <c r="BN40">
        <f>IF(NOT(ISNUMBER($D40)),"",_xlfn.NORM.DIST(BN$1,$D40,$E40,TRUE)-_xlfn.NORM.DIST(BN$2,$D40,$E40,TRUE))</f>
        <v/>
      </c>
      <c r="BO40">
        <f>IF(NOT(ISNUMBER($D40)),"",_xlfn.NORM.DIST(BO$1,$D40,$E40,TRUE)-_xlfn.NORM.DIST(BO$2,$D40,$E40,TRUE))</f>
        <v/>
      </c>
      <c r="BP40">
        <f>IF(NOT(ISNUMBER($D40)),"",_xlfn.NORM.DIST(BP$1,$D40,$E40,TRUE)-_xlfn.NORM.DIST(BP$2,$D40,$E40,TRUE))</f>
        <v/>
      </c>
      <c r="BQ40">
        <f>IF(NOT(ISNUMBER($D40)),"",_xlfn.NORM.DIST(BQ$1,$D40,$E40,TRUE)-_xlfn.NORM.DIST(BQ$2,$D40,$E40,TRUE))</f>
        <v/>
      </c>
      <c r="BR40">
        <f>IF(NOT(ISNUMBER($D40)),"",_xlfn.NORM.DIST(BR$1,$D40,$E40,TRUE)-_xlfn.NORM.DIST(BR$2,$D40,$E40,TRUE))</f>
        <v/>
      </c>
      <c r="BS40">
        <f>IF(NOT(ISNUMBER($D40)),"",_xlfn.NORM.DIST(BS$1,$D40,$E40,TRUE)-_xlfn.NORM.DIST(BS$2,$D40,$E40,TRUE))</f>
        <v/>
      </c>
      <c r="BT40">
        <f>IF(NOT(ISNUMBER($D40)),"",_xlfn.NORM.DIST(BT$1,$D40,$E40,TRUE)-_xlfn.NORM.DIST(BT$2,$D40,$E40,TRUE))</f>
        <v/>
      </c>
      <c r="BU40">
        <f>IF(NOT(ISNUMBER($D40)),"",_xlfn.NORM.DIST(BU$1,$D40,$E40,TRUE)-_xlfn.NORM.DIST(BU$2,$D40,$E40,TRUE))</f>
        <v/>
      </c>
      <c r="BV40">
        <f>IF(NOT(ISNUMBER($D40)),"",_xlfn.NORM.DIST(BV$1,$D40,$E40,TRUE)-_xlfn.NORM.DIST(BV$2,$D40,$E40,TRUE))</f>
        <v/>
      </c>
      <c r="BW40">
        <f>IF(NOT(ISNUMBER($D40)),"",_xlfn.NORM.DIST(BW$1,$D40,$E40,TRUE)-_xlfn.NORM.DIST(BW$2,$D40,$E40,TRUE))</f>
        <v/>
      </c>
      <c r="BX40">
        <f>IF(NOT(ISNUMBER($D40)),"",_xlfn.NORM.DIST(BX$1,$D40,$E40,TRUE)-_xlfn.NORM.DIST(BX$2,$D40,$E40,TRUE))</f>
        <v/>
      </c>
      <c r="BY40">
        <f>IF(NOT(ISNUMBER($D40)),"",_xlfn.NORM.DIST(BY$1,$D40,$E40,TRUE)-_xlfn.NORM.DIST(BY$2,$D40,$E40,TRUE))</f>
        <v/>
      </c>
      <c r="BZ40">
        <f>IF(NOT(ISNUMBER($D40)),"",_xlfn.NORM.DIST(BZ$1,$D40,$E40,TRUE)-_xlfn.NORM.DIST(BZ$2,$D40,$E40,TRUE))</f>
        <v/>
      </c>
      <c r="CA40">
        <f>IF(NOT(ISNUMBER($D40)),"",_xlfn.NORM.DIST(CA$1,$D40,$E40,TRUE)-_xlfn.NORM.DIST(CA$2,$D40,$E40,TRUE))</f>
        <v/>
      </c>
      <c r="CB40">
        <f>IF(NOT(ISNUMBER($D40)),"",_xlfn.NORM.DIST(CB$1,$D40,$E40,TRUE)-_xlfn.NORM.DIST(CB$2,$D40,$E40,TRUE))</f>
        <v/>
      </c>
      <c r="CC40">
        <f>IF(NOT(ISNUMBER($D40)),"",_xlfn.NORM.DIST(CC$1,$D40,$E40,TRUE)-_xlfn.NORM.DIST(CC$2,$D40,$E40,TRUE))</f>
        <v/>
      </c>
      <c r="CD40">
        <f>IF(NOT(ISNUMBER($D40)),"",_xlfn.NORM.DIST(CD$1,$D40,$E40,TRUE)-_xlfn.NORM.DIST(CD$2,$D40,$E40,TRUE))</f>
        <v/>
      </c>
      <c r="CE40">
        <f>IF(NOT(ISNUMBER($D40)),"",_xlfn.NORM.DIST(CE$1,$D40,$E40,TRUE)-_xlfn.NORM.DIST(CE$2,$D40,$E40,TRUE))</f>
        <v/>
      </c>
      <c r="CF40">
        <f>IF(NOT(ISNUMBER($D40)),"",_xlfn.NORM.DIST(CF$1,$D40,$E40,TRUE)-_xlfn.NORM.DIST(CF$2,$D40,$E40,TRUE))</f>
        <v/>
      </c>
      <c r="CG40">
        <f>IF(NOT(ISNUMBER($D40)),"",_xlfn.NORM.DIST(CG$1,$D40,$E40,TRUE)-_xlfn.NORM.DIST(CG$2,$D40,$E40,TRUE))</f>
        <v/>
      </c>
      <c r="CH40">
        <f>IF(NOT(ISNUMBER($D40)),"",_xlfn.NORM.DIST(CH$1,$D40,$E40,TRUE)-_xlfn.NORM.DIST(CH$2,$D40,$E40,TRUE))</f>
        <v/>
      </c>
      <c r="CI40">
        <f>IF(NOT(ISNUMBER($D40)),"",_xlfn.NORM.DIST(CI$1,$D40,$E40,TRUE)-_xlfn.NORM.DIST(CI$2,$D40,$E40,TRUE))</f>
        <v/>
      </c>
      <c r="CJ40">
        <f>IF(ISNUMBER($D40),SUM(F40:CI40),"")</f>
        <v/>
      </c>
    </row>
    <row r="41">
      <c r="A41">
        <f>economics!A40</f>
        <v/>
      </c>
      <c r="B41">
        <f>economics!B40</f>
        <v/>
      </c>
      <c r="C41">
        <f>economics!D40</f>
        <v/>
      </c>
      <c r="D41">
        <f>IF(ISNUMBER(economics!T40),economics!T40,"na")</f>
        <v/>
      </c>
      <c r="E41">
        <f>IF(ISNUMBER(D41),MAX(0.3*ABS(D41),0.000001),"na")</f>
        <v/>
      </c>
      <c r="F41">
        <f>IF(NOT(ISNUMBER($D41)),"",_xlfn.NORM.DIST(F$1,$D41,$E41,TRUE)-_xlfn.NORM.DIST(F$2,$D41,$E41,TRUE))</f>
        <v/>
      </c>
      <c r="G41">
        <f>IF(NOT(ISNUMBER($D41)),"",_xlfn.NORM.DIST(G$1,$D41,$E41,TRUE)-_xlfn.NORM.DIST(G$2,$D41,$E41,TRUE))</f>
        <v/>
      </c>
      <c r="H41">
        <f>IF(NOT(ISNUMBER($D41)),"",_xlfn.NORM.DIST(H$1,$D41,$E41,TRUE)-_xlfn.NORM.DIST(H$2,$D41,$E41,TRUE))</f>
        <v/>
      </c>
      <c r="I41">
        <f>IF(NOT(ISNUMBER($D41)),"",_xlfn.NORM.DIST(I$1,$D41,$E41,TRUE)-_xlfn.NORM.DIST(I$2,$D41,$E41,TRUE))</f>
        <v/>
      </c>
      <c r="J41">
        <f>IF(NOT(ISNUMBER($D41)),"",_xlfn.NORM.DIST(J$1,$D41,$E41,TRUE)-_xlfn.NORM.DIST(J$2,$D41,$E41,TRUE))</f>
        <v/>
      </c>
      <c r="K41">
        <f>IF(NOT(ISNUMBER($D41)),"",_xlfn.NORM.DIST(K$1,$D41,$E41,TRUE)-_xlfn.NORM.DIST(K$2,$D41,$E41,TRUE))</f>
        <v/>
      </c>
      <c r="L41">
        <f>IF(NOT(ISNUMBER($D41)),"",_xlfn.NORM.DIST(L$1,$D41,$E41,TRUE)-_xlfn.NORM.DIST(L$2,$D41,$E41,TRUE))</f>
        <v/>
      </c>
      <c r="M41">
        <f>IF(NOT(ISNUMBER($D41)),"",_xlfn.NORM.DIST(M$1,$D41,$E41,TRUE)-_xlfn.NORM.DIST(M$2,$D41,$E41,TRUE))</f>
        <v/>
      </c>
      <c r="N41">
        <f>IF(NOT(ISNUMBER($D41)),"",_xlfn.NORM.DIST(N$1,$D41,$E41,TRUE)-_xlfn.NORM.DIST(N$2,$D41,$E41,TRUE))</f>
        <v/>
      </c>
      <c r="O41">
        <f>IF(NOT(ISNUMBER($D41)),"",_xlfn.NORM.DIST(O$1,$D41,$E41,TRUE)-_xlfn.NORM.DIST(O$2,$D41,$E41,TRUE))</f>
        <v/>
      </c>
      <c r="P41">
        <f>IF(NOT(ISNUMBER($D41)),"",_xlfn.NORM.DIST(P$1,$D41,$E41,TRUE)-_xlfn.NORM.DIST(P$2,$D41,$E41,TRUE))</f>
        <v/>
      </c>
      <c r="Q41">
        <f>IF(NOT(ISNUMBER($D41)),"",_xlfn.NORM.DIST(Q$1,$D41,$E41,TRUE)-_xlfn.NORM.DIST(Q$2,$D41,$E41,TRUE))</f>
        <v/>
      </c>
      <c r="R41">
        <f>IF(NOT(ISNUMBER($D41)),"",_xlfn.NORM.DIST(R$1,$D41,$E41,TRUE)-_xlfn.NORM.DIST(R$2,$D41,$E41,TRUE))</f>
        <v/>
      </c>
      <c r="S41">
        <f>IF(NOT(ISNUMBER($D41)),"",_xlfn.NORM.DIST(S$1,$D41,$E41,TRUE)-_xlfn.NORM.DIST(S$2,$D41,$E41,TRUE))</f>
        <v/>
      </c>
      <c r="T41">
        <f>IF(NOT(ISNUMBER($D41)),"",_xlfn.NORM.DIST(T$1,$D41,$E41,TRUE)-_xlfn.NORM.DIST(T$2,$D41,$E41,TRUE))</f>
        <v/>
      </c>
      <c r="U41">
        <f>IF(NOT(ISNUMBER($D41)),"",_xlfn.NORM.DIST(U$1,$D41,$E41,TRUE)-_xlfn.NORM.DIST(U$2,$D41,$E41,TRUE))</f>
        <v/>
      </c>
      <c r="V41">
        <f>IF(NOT(ISNUMBER($D41)),"",_xlfn.NORM.DIST(V$1,$D41,$E41,TRUE)-_xlfn.NORM.DIST(V$2,$D41,$E41,TRUE))</f>
        <v/>
      </c>
      <c r="W41">
        <f>IF(NOT(ISNUMBER($D41)),"",_xlfn.NORM.DIST(W$1,$D41,$E41,TRUE)-_xlfn.NORM.DIST(W$2,$D41,$E41,TRUE))</f>
        <v/>
      </c>
      <c r="X41">
        <f>IF(NOT(ISNUMBER($D41)),"",_xlfn.NORM.DIST(X$1,$D41,$E41,TRUE)-_xlfn.NORM.DIST(X$2,$D41,$E41,TRUE))</f>
        <v/>
      </c>
      <c r="Y41">
        <f>IF(NOT(ISNUMBER($D41)),"",_xlfn.NORM.DIST(Y$1,$D41,$E41,TRUE)-_xlfn.NORM.DIST(Y$2,$D41,$E41,TRUE))</f>
        <v/>
      </c>
      <c r="Z41">
        <f>IF(NOT(ISNUMBER($D41)),"",_xlfn.NORM.DIST(Z$1,$D41,$E41,TRUE)-_xlfn.NORM.DIST(Z$2,$D41,$E41,TRUE))</f>
        <v/>
      </c>
      <c r="AA41">
        <f>IF(NOT(ISNUMBER($D41)),"",_xlfn.NORM.DIST(AA$1,$D41,$E41,TRUE)-_xlfn.NORM.DIST(AA$2,$D41,$E41,TRUE))</f>
        <v/>
      </c>
      <c r="AB41">
        <f>IF(NOT(ISNUMBER($D41)),"",_xlfn.NORM.DIST(AB$1,$D41,$E41,TRUE)-_xlfn.NORM.DIST(AB$2,$D41,$E41,TRUE))</f>
        <v/>
      </c>
      <c r="AC41">
        <f>IF(NOT(ISNUMBER($D41)),"",_xlfn.NORM.DIST(AC$1,$D41,$E41,TRUE)-_xlfn.NORM.DIST(AC$2,$D41,$E41,TRUE))</f>
        <v/>
      </c>
      <c r="AD41">
        <f>IF(NOT(ISNUMBER($D41)),"",_xlfn.NORM.DIST(AD$1,$D41,$E41,TRUE)-_xlfn.NORM.DIST(AD$2,$D41,$E41,TRUE))</f>
        <v/>
      </c>
      <c r="AE41">
        <f>IF(NOT(ISNUMBER($D41)),"",_xlfn.NORM.DIST(AE$1,$D41,$E41,TRUE)-_xlfn.NORM.DIST(AE$2,$D41,$E41,TRUE))</f>
        <v/>
      </c>
      <c r="AF41">
        <f>IF(NOT(ISNUMBER($D41)),"",_xlfn.NORM.DIST(AF$1,$D41,$E41,TRUE)-_xlfn.NORM.DIST(AF$2,$D41,$E41,TRUE))</f>
        <v/>
      </c>
      <c r="AG41">
        <f>IF(NOT(ISNUMBER($D41)),"",_xlfn.NORM.DIST(AG$1,$D41,$E41,TRUE)-_xlfn.NORM.DIST(AG$2,$D41,$E41,TRUE))</f>
        <v/>
      </c>
      <c r="AH41">
        <f>IF(NOT(ISNUMBER($D41)),"",_xlfn.NORM.DIST(AH$1,$D41,$E41,TRUE)-_xlfn.NORM.DIST(AH$2,$D41,$E41,TRUE))</f>
        <v/>
      </c>
      <c r="AI41">
        <f>IF(NOT(ISNUMBER($D41)),"",_xlfn.NORM.DIST(AI$1,$D41,$E41,TRUE)-_xlfn.NORM.DIST(AI$2,$D41,$E41,TRUE))</f>
        <v/>
      </c>
      <c r="AJ41">
        <f>IF(NOT(ISNUMBER($D41)),"",_xlfn.NORM.DIST(AJ$1,$D41,$E41,TRUE)-_xlfn.NORM.DIST(AJ$2,$D41,$E41,TRUE))</f>
        <v/>
      </c>
      <c r="AK41">
        <f>IF(NOT(ISNUMBER($D41)),"",_xlfn.NORM.DIST(AK$1,$D41,$E41,TRUE)-_xlfn.NORM.DIST(AK$2,$D41,$E41,TRUE))</f>
        <v/>
      </c>
      <c r="AL41">
        <f>IF(NOT(ISNUMBER($D41)),"",_xlfn.NORM.DIST(AL$1,$D41,$E41,TRUE)-_xlfn.NORM.DIST(AL$2,$D41,$E41,TRUE))</f>
        <v/>
      </c>
      <c r="AM41">
        <f>IF(NOT(ISNUMBER($D41)),"",_xlfn.NORM.DIST(AM$1,$D41,$E41,TRUE)-_xlfn.NORM.DIST(AM$2,$D41,$E41,TRUE))</f>
        <v/>
      </c>
      <c r="AN41">
        <f>IF(NOT(ISNUMBER($D41)),"",_xlfn.NORM.DIST(AN$1,$D41,$E41,TRUE)-_xlfn.NORM.DIST(AN$2,$D41,$E41,TRUE))</f>
        <v/>
      </c>
      <c r="AO41">
        <f>IF(NOT(ISNUMBER($D41)),"",_xlfn.NORM.DIST(AO$1,$D41,$E41,TRUE)-_xlfn.NORM.DIST(AO$2,$D41,$E41,TRUE))</f>
        <v/>
      </c>
      <c r="AP41">
        <f>IF(NOT(ISNUMBER($D41)),"",_xlfn.NORM.DIST(AP$1,$D41,$E41,TRUE)-_xlfn.NORM.DIST(AP$2,$D41,$E41,TRUE))</f>
        <v/>
      </c>
      <c r="AQ41">
        <f>IF(NOT(ISNUMBER($D41)),"",_xlfn.NORM.DIST(AQ$1,$D41,$E41,TRUE)-_xlfn.NORM.DIST(AQ$2,$D41,$E41,TRUE))</f>
        <v/>
      </c>
      <c r="AR41">
        <f>IF(NOT(ISNUMBER($D41)),"",_xlfn.NORM.DIST(AR$1,$D41,$E41,TRUE)-_xlfn.NORM.DIST(AR$2,$D41,$E41,TRUE))</f>
        <v/>
      </c>
      <c r="AS41">
        <f>IF(NOT(ISNUMBER($D41)),"",_xlfn.NORM.DIST(AS$1,$D41,$E41,TRUE)-_xlfn.NORM.DIST(AS$2,$D41,$E41,TRUE))</f>
        <v/>
      </c>
      <c r="AT41">
        <f>IF(NOT(ISNUMBER($D41)),"",_xlfn.NORM.DIST(AT$1,$D41,$E41,TRUE)-_xlfn.NORM.DIST(AT$2,$D41,$E41,TRUE))</f>
        <v/>
      </c>
      <c r="AU41">
        <f>IF(NOT(ISNUMBER($D41)),"",_xlfn.NORM.DIST(AU$1,$D41,$E41,TRUE)-_xlfn.NORM.DIST(AU$2,$D41,$E41,TRUE))</f>
        <v/>
      </c>
      <c r="AV41">
        <f>IF(NOT(ISNUMBER($D41)),"",_xlfn.NORM.DIST(AV$1,$D41,$E41,TRUE)-_xlfn.NORM.DIST(AV$2,$D41,$E41,TRUE))</f>
        <v/>
      </c>
      <c r="AW41">
        <f>IF(NOT(ISNUMBER($D41)),"",_xlfn.NORM.DIST(AW$1,$D41,$E41,TRUE)-_xlfn.NORM.DIST(AW$2,$D41,$E41,TRUE))</f>
        <v/>
      </c>
      <c r="AX41">
        <f>IF(NOT(ISNUMBER($D41)),"",_xlfn.NORM.DIST(AX$1,$D41,$E41,TRUE)-_xlfn.NORM.DIST(AX$2,$D41,$E41,TRUE))</f>
        <v/>
      </c>
      <c r="AY41">
        <f>IF(NOT(ISNUMBER($D41)),"",_xlfn.NORM.DIST(AY$1,$D41,$E41,TRUE)-_xlfn.NORM.DIST(AY$2,$D41,$E41,TRUE))</f>
        <v/>
      </c>
      <c r="AZ41">
        <f>IF(NOT(ISNUMBER($D41)),"",_xlfn.NORM.DIST(AZ$1,$D41,$E41,TRUE)-_xlfn.NORM.DIST(AZ$2,$D41,$E41,TRUE))</f>
        <v/>
      </c>
      <c r="BA41">
        <f>IF(NOT(ISNUMBER($D41)),"",_xlfn.NORM.DIST(BA$1,$D41,$E41,TRUE)-_xlfn.NORM.DIST(BA$2,$D41,$E41,TRUE))</f>
        <v/>
      </c>
      <c r="BB41">
        <f>IF(NOT(ISNUMBER($D41)),"",_xlfn.NORM.DIST(BB$1,$D41,$E41,TRUE)-_xlfn.NORM.DIST(BB$2,$D41,$E41,TRUE))</f>
        <v/>
      </c>
      <c r="BC41">
        <f>IF(NOT(ISNUMBER($D41)),"",_xlfn.NORM.DIST(BC$1,$D41,$E41,TRUE)-_xlfn.NORM.DIST(BC$2,$D41,$E41,TRUE))</f>
        <v/>
      </c>
      <c r="BD41">
        <f>IF(NOT(ISNUMBER($D41)),"",_xlfn.NORM.DIST(BD$1,$D41,$E41,TRUE)-_xlfn.NORM.DIST(BD$2,$D41,$E41,TRUE))</f>
        <v/>
      </c>
      <c r="BE41">
        <f>IF(NOT(ISNUMBER($D41)),"",_xlfn.NORM.DIST(BE$1,$D41,$E41,TRUE)-_xlfn.NORM.DIST(BE$2,$D41,$E41,TRUE))</f>
        <v/>
      </c>
      <c r="BF41">
        <f>IF(NOT(ISNUMBER($D41)),"",_xlfn.NORM.DIST(BF$1,$D41,$E41,TRUE)-_xlfn.NORM.DIST(BF$2,$D41,$E41,TRUE))</f>
        <v/>
      </c>
      <c r="BG41">
        <f>IF(NOT(ISNUMBER($D41)),"",_xlfn.NORM.DIST(BG$1,$D41,$E41,TRUE)-_xlfn.NORM.DIST(BG$2,$D41,$E41,TRUE))</f>
        <v/>
      </c>
      <c r="BH41">
        <f>IF(NOT(ISNUMBER($D41)),"",_xlfn.NORM.DIST(BH$1,$D41,$E41,TRUE)-_xlfn.NORM.DIST(BH$2,$D41,$E41,TRUE))</f>
        <v/>
      </c>
      <c r="BI41">
        <f>IF(NOT(ISNUMBER($D41)),"",_xlfn.NORM.DIST(BI$1,$D41,$E41,TRUE)-_xlfn.NORM.DIST(BI$2,$D41,$E41,TRUE))</f>
        <v/>
      </c>
      <c r="BJ41">
        <f>IF(NOT(ISNUMBER($D41)),"",_xlfn.NORM.DIST(BJ$1,$D41,$E41,TRUE)-_xlfn.NORM.DIST(BJ$2,$D41,$E41,TRUE))</f>
        <v/>
      </c>
      <c r="BK41">
        <f>IF(NOT(ISNUMBER($D41)),"",_xlfn.NORM.DIST(BK$1,$D41,$E41,TRUE)-_xlfn.NORM.DIST(BK$2,$D41,$E41,TRUE))</f>
        <v/>
      </c>
      <c r="BL41">
        <f>IF(NOT(ISNUMBER($D41)),"",_xlfn.NORM.DIST(BL$1,$D41,$E41,TRUE)-_xlfn.NORM.DIST(BL$2,$D41,$E41,TRUE))</f>
        <v/>
      </c>
      <c r="BM41">
        <f>IF(NOT(ISNUMBER($D41)),"",_xlfn.NORM.DIST(BM$1,$D41,$E41,TRUE)-_xlfn.NORM.DIST(BM$2,$D41,$E41,TRUE))</f>
        <v/>
      </c>
      <c r="BN41">
        <f>IF(NOT(ISNUMBER($D41)),"",_xlfn.NORM.DIST(BN$1,$D41,$E41,TRUE)-_xlfn.NORM.DIST(BN$2,$D41,$E41,TRUE))</f>
        <v/>
      </c>
      <c r="BO41">
        <f>IF(NOT(ISNUMBER($D41)),"",_xlfn.NORM.DIST(BO$1,$D41,$E41,TRUE)-_xlfn.NORM.DIST(BO$2,$D41,$E41,TRUE))</f>
        <v/>
      </c>
      <c r="BP41">
        <f>IF(NOT(ISNUMBER($D41)),"",_xlfn.NORM.DIST(BP$1,$D41,$E41,TRUE)-_xlfn.NORM.DIST(BP$2,$D41,$E41,TRUE))</f>
        <v/>
      </c>
      <c r="BQ41">
        <f>IF(NOT(ISNUMBER($D41)),"",_xlfn.NORM.DIST(BQ$1,$D41,$E41,TRUE)-_xlfn.NORM.DIST(BQ$2,$D41,$E41,TRUE))</f>
        <v/>
      </c>
      <c r="BR41">
        <f>IF(NOT(ISNUMBER($D41)),"",_xlfn.NORM.DIST(BR$1,$D41,$E41,TRUE)-_xlfn.NORM.DIST(BR$2,$D41,$E41,TRUE))</f>
        <v/>
      </c>
      <c r="BS41">
        <f>IF(NOT(ISNUMBER($D41)),"",_xlfn.NORM.DIST(BS$1,$D41,$E41,TRUE)-_xlfn.NORM.DIST(BS$2,$D41,$E41,TRUE))</f>
        <v/>
      </c>
      <c r="BT41">
        <f>IF(NOT(ISNUMBER($D41)),"",_xlfn.NORM.DIST(BT$1,$D41,$E41,TRUE)-_xlfn.NORM.DIST(BT$2,$D41,$E41,TRUE))</f>
        <v/>
      </c>
      <c r="BU41">
        <f>IF(NOT(ISNUMBER($D41)),"",_xlfn.NORM.DIST(BU$1,$D41,$E41,TRUE)-_xlfn.NORM.DIST(BU$2,$D41,$E41,TRUE))</f>
        <v/>
      </c>
      <c r="BV41">
        <f>IF(NOT(ISNUMBER($D41)),"",_xlfn.NORM.DIST(BV$1,$D41,$E41,TRUE)-_xlfn.NORM.DIST(BV$2,$D41,$E41,TRUE))</f>
        <v/>
      </c>
      <c r="BW41">
        <f>IF(NOT(ISNUMBER($D41)),"",_xlfn.NORM.DIST(BW$1,$D41,$E41,TRUE)-_xlfn.NORM.DIST(BW$2,$D41,$E41,TRUE))</f>
        <v/>
      </c>
      <c r="BX41">
        <f>IF(NOT(ISNUMBER($D41)),"",_xlfn.NORM.DIST(BX$1,$D41,$E41,TRUE)-_xlfn.NORM.DIST(BX$2,$D41,$E41,TRUE))</f>
        <v/>
      </c>
      <c r="BY41">
        <f>IF(NOT(ISNUMBER($D41)),"",_xlfn.NORM.DIST(BY$1,$D41,$E41,TRUE)-_xlfn.NORM.DIST(BY$2,$D41,$E41,TRUE))</f>
        <v/>
      </c>
      <c r="BZ41">
        <f>IF(NOT(ISNUMBER($D41)),"",_xlfn.NORM.DIST(BZ$1,$D41,$E41,TRUE)-_xlfn.NORM.DIST(BZ$2,$D41,$E41,TRUE))</f>
        <v/>
      </c>
      <c r="CA41">
        <f>IF(NOT(ISNUMBER($D41)),"",_xlfn.NORM.DIST(CA$1,$D41,$E41,TRUE)-_xlfn.NORM.DIST(CA$2,$D41,$E41,TRUE))</f>
        <v/>
      </c>
      <c r="CB41">
        <f>IF(NOT(ISNUMBER($D41)),"",_xlfn.NORM.DIST(CB$1,$D41,$E41,TRUE)-_xlfn.NORM.DIST(CB$2,$D41,$E41,TRUE))</f>
        <v/>
      </c>
      <c r="CC41">
        <f>IF(NOT(ISNUMBER($D41)),"",_xlfn.NORM.DIST(CC$1,$D41,$E41,TRUE)-_xlfn.NORM.DIST(CC$2,$D41,$E41,TRUE))</f>
        <v/>
      </c>
      <c r="CD41">
        <f>IF(NOT(ISNUMBER($D41)),"",_xlfn.NORM.DIST(CD$1,$D41,$E41,TRUE)-_xlfn.NORM.DIST(CD$2,$D41,$E41,TRUE))</f>
        <v/>
      </c>
      <c r="CE41">
        <f>IF(NOT(ISNUMBER($D41)),"",_xlfn.NORM.DIST(CE$1,$D41,$E41,TRUE)-_xlfn.NORM.DIST(CE$2,$D41,$E41,TRUE))</f>
        <v/>
      </c>
      <c r="CF41">
        <f>IF(NOT(ISNUMBER($D41)),"",_xlfn.NORM.DIST(CF$1,$D41,$E41,TRUE)-_xlfn.NORM.DIST(CF$2,$D41,$E41,TRUE))</f>
        <v/>
      </c>
      <c r="CG41">
        <f>IF(NOT(ISNUMBER($D41)),"",_xlfn.NORM.DIST(CG$1,$D41,$E41,TRUE)-_xlfn.NORM.DIST(CG$2,$D41,$E41,TRUE))</f>
        <v/>
      </c>
      <c r="CH41">
        <f>IF(NOT(ISNUMBER($D41)),"",_xlfn.NORM.DIST(CH$1,$D41,$E41,TRUE)-_xlfn.NORM.DIST(CH$2,$D41,$E41,TRUE))</f>
        <v/>
      </c>
      <c r="CI41">
        <f>IF(NOT(ISNUMBER($D41)),"",_xlfn.NORM.DIST(CI$1,$D41,$E41,TRUE)-_xlfn.NORM.DIST(CI$2,$D41,$E41,TRUE))</f>
        <v/>
      </c>
      <c r="CJ41">
        <f>IF(ISNUMBER($D41),SUM(F41:CI41),"")</f>
        <v/>
      </c>
    </row>
    <row r="42">
      <c r="A42">
        <f>economics!A41</f>
        <v/>
      </c>
      <c r="B42">
        <f>economics!B41</f>
        <v/>
      </c>
      <c r="C42">
        <f>economics!D41</f>
        <v/>
      </c>
      <c r="D42">
        <f>IF(ISNUMBER(economics!T41),economics!T41,"na")</f>
        <v/>
      </c>
      <c r="E42">
        <f>IF(ISNUMBER(D42),MAX(0.3*ABS(D42),0.000001),"na")</f>
        <v/>
      </c>
      <c r="F42">
        <f>IF(NOT(ISNUMBER($D42)),"",_xlfn.NORM.DIST(F$1,$D42,$E42,TRUE)-_xlfn.NORM.DIST(F$2,$D42,$E42,TRUE))</f>
        <v/>
      </c>
      <c r="G42">
        <f>IF(NOT(ISNUMBER($D42)),"",_xlfn.NORM.DIST(G$1,$D42,$E42,TRUE)-_xlfn.NORM.DIST(G$2,$D42,$E42,TRUE))</f>
        <v/>
      </c>
      <c r="H42">
        <f>IF(NOT(ISNUMBER($D42)),"",_xlfn.NORM.DIST(H$1,$D42,$E42,TRUE)-_xlfn.NORM.DIST(H$2,$D42,$E42,TRUE))</f>
        <v/>
      </c>
      <c r="I42">
        <f>IF(NOT(ISNUMBER($D42)),"",_xlfn.NORM.DIST(I$1,$D42,$E42,TRUE)-_xlfn.NORM.DIST(I$2,$D42,$E42,TRUE))</f>
        <v/>
      </c>
      <c r="J42">
        <f>IF(NOT(ISNUMBER($D42)),"",_xlfn.NORM.DIST(J$1,$D42,$E42,TRUE)-_xlfn.NORM.DIST(J$2,$D42,$E42,TRUE))</f>
        <v/>
      </c>
      <c r="K42">
        <f>IF(NOT(ISNUMBER($D42)),"",_xlfn.NORM.DIST(K$1,$D42,$E42,TRUE)-_xlfn.NORM.DIST(K$2,$D42,$E42,TRUE))</f>
        <v/>
      </c>
      <c r="L42">
        <f>IF(NOT(ISNUMBER($D42)),"",_xlfn.NORM.DIST(L$1,$D42,$E42,TRUE)-_xlfn.NORM.DIST(L$2,$D42,$E42,TRUE))</f>
        <v/>
      </c>
      <c r="M42">
        <f>IF(NOT(ISNUMBER($D42)),"",_xlfn.NORM.DIST(M$1,$D42,$E42,TRUE)-_xlfn.NORM.DIST(M$2,$D42,$E42,TRUE))</f>
        <v/>
      </c>
      <c r="N42">
        <f>IF(NOT(ISNUMBER($D42)),"",_xlfn.NORM.DIST(N$1,$D42,$E42,TRUE)-_xlfn.NORM.DIST(N$2,$D42,$E42,TRUE))</f>
        <v/>
      </c>
      <c r="O42">
        <f>IF(NOT(ISNUMBER($D42)),"",_xlfn.NORM.DIST(O$1,$D42,$E42,TRUE)-_xlfn.NORM.DIST(O$2,$D42,$E42,TRUE))</f>
        <v/>
      </c>
      <c r="P42">
        <f>IF(NOT(ISNUMBER($D42)),"",_xlfn.NORM.DIST(P$1,$D42,$E42,TRUE)-_xlfn.NORM.DIST(P$2,$D42,$E42,TRUE))</f>
        <v/>
      </c>
      <c r="Q42">
        <f>IF(NOT(ISNUMBER($D42)),"",_xlfn.NORM.DIST(Q$1,$D42,$E42,TRUE)-_xlfn.NORM.DIST(Q$2,$D42,$E42,TRUE))</f>
        <v/>
      </c>
      <c r="R42">
        <f>IF(NOT(ISNUMBER($D42)),"",_xlfn.NORM.DIST(R$1,$D42,$E42,TRUE)-_xlfn.NORM.DIST(R$2,$D42,$E42,TRUE))</f>
        <v/>
      </c>
      <c r="S42">
        <f>IF(NOT(ISNUMBER($D42)),"",_xlfn.NORM.DIST(S$1,$D42,$E42,TRUE)-_xlfn.NORM.DIST(S$2,$D42,$E42,TRUE))</f>
        <v/>
      </c>
      <c r="T42">
        <f>IF(NOT(ISNUMBER($D42)),"",_xlfn.NORM.DIST(T$1,$D42,$E42,TRUE)-_xlfn.NORM.DIST(T$2,$D42,$E42,TRUE))</f>
        <v/>
      </c>
      <c r="U42">
        <f>IF(NOT(ISNUMBER($D42)),"",_xlfn.NORM.DIST(U$1,$D42,$E42,TRUE)-_xlfn.NORM.DIST(U$2,$D42,$E42,TRUE))</f>
        <v/>
      </c>
      <c r="V42">
        <f>IF(NOT(ISNUMBER($D42)),"",_xlfn.NORM.DIST(V$1,$D42,$E42,TRUE)-_xlfn.NORM.DIST(V$2,$D42,$E42,TRUE))</f>
        <v/>
      </c>
      <c r="W42">
        <f>IF(NOT(ISNUMBER($D42)),"",_xlfn.NORM.DIST(W$1,$D42,$E42,TRUE)-_xlfn.NORM.DIST(W$2,$D42,$E42,TRUE))</f>
        <v/>
      </c>
      <c r="X42">
        <f>IF(NOT(ISNUMBER($D42)),"",_xlfn.NORM.DIST(X$1,$D42,$E42,TRUE)-_xlfn.NORM.DIST(X$2,$D42,$E42,TRUE))</f>
        <v/>
      </c>
      <c r="Y42">
        <f>IF(NOT(ISNUMBER($D42)),"",_xlfn.NORM.DIST(Y$1,$D42,$E42,TRUE)-_xlfn.NORM.DIST(Y$2,$D42,$E42,TRUE))</f>
        <v/>
      </c>
      <c r="Z42">
        <f>IF(NOT(ISNUMBER($D42)),"",_xlfn.NORM.DIST(Z$1,$D42,$E42,TRUE)-_xlfn.NORM.DIST(Z$2,$D42,$E42,TRUE))</f>
        <v/>
      </c>
      <c r="AA42">
        <f>IF(NOT(ISNUMBER($D42)),"",_xlfn.NORM.DIST(AA$1,$D42,$E42,TRUE)-_xlfn.NORM.DIST(AA$2,$D42,$E42,TRUE))</f>
        <v/>
      </c>
      <c r="AB42">
        <f>IF(NOT(ISNUMBER($D42)),"",_xlfn.NORM.DIST(AB$1,$D42,$E42,TRUE)-_xlfn.NORM.DIST(AB$2,$D42,$E42,TRUE))</f>
        <v/>
      </c>
      <c r="AC42">
        <f>IF(NOT(ISNUMBER($D42)),"",_xlfn.NORM.DIST(AC$1,$D42,$E42,TRUE)-_xlfn.NORM.DIST(AC$2,$D42,$E42,TRUE))</f>
        <v/>
      </c>
      <c r="AD42">
        <f>IF(NOT(ISNUMBER($D42)),"",_xlfn.NORM.DIST(AD$1,$D42,$E42,TRUE)-_xlfn.NORM.DIST(AD$2,$D42,$E42,TRUE))</f>
        <v/>
      </c>
      <c r="AE42">
        <f>IF(NOT(ISNUMBER($D42)),"",_xlfn.NORM.DIST(AE$1,$D42,$E42,TRUE)-_xlfn.NORM.DIST(AE$2,$D42,$E42,TRUE))</f>
        <v/>
      </c>
      <c r="AF42">
        <f>IF(NOT(ISNUMBER($D42)),"",_xlfn.NORM.DIST(AF$1,$D42,$E42,TRUE)-_xlfn.NORM.DIST(AF$2,$D42,$E42,TRUE))</f>
        <v/>
      </c>
      <c r="AG42">
        <f>IF(NOT(ISNUMBER($D42)),"",_xlfn.NORM.DIST(AG$1,$D42,$E42,TRUE)-_xlfn.NORM.DIST(AG$2,$D42,$E42,TRUE))</f>
        <v/>
      </c>
      <c r="AH42">
        <f>IF(NOT(ISNUMBER($D42)),"",_xlfn.NORM.DIST(AH$1,$D42,$E42,TRUE)-_xlfn.NORM.DIST(AH$2,$D42,$E42,TRUE))</f>
        <v/>
      </c>
      <c r="AI42">
        <f>IF(NOT(ISNUMBER($D42)),"",_xlfn.NORM.DIST(AI$1,$D42,$E42,TRUE)-_xlfn.NORM.DIST(AI$2,$D42,$E42,TRUE))</f>
        <v/>
      </c>
      <c r="AJ42">
        <f>IF(NOT(ISNUMBER($D42)),"",_xlfn.NORM.DIST(AJ$1,$D42,$E42,TRUE)-_xlfn.NORM.DIST(AJ$2,$D42,$E42,TRUE))</f>
        <v/>
      </c>
      <c r="AK42">
        <f>IF(NOT(ISNUMBER($D42)),"",_xlfn.NORM.DIST(AK$1,$D42,$E42,TRUE)-_xlfn.NORM.DIST(AK$2,$D42,$E42,TRUE))</f>
        <v/>
      </c>
      <c r="AL42">
        <f>IF(NOT(ISNUMBER($D42)),"",_xlfn.NORM.DIST(AL$1,$D42,$E42,TRUE)-_xlfn.NORM.DIST(AL$2,$D42,$E42,TRUE))</f>
        <v/>
      </c>
      <c r="AM42">
        <f>IF(NOT(ISNUMBER($D42)),"",_xlfn.NORM.DIST(AM$1,$D42,$E42,TRUE)-_xlfn.NORM.DIST(AM$2,$D42,$E42,TRUE))</f>
        <v/>
      </c>
      <c r="AN42">
        <f>IF(NOT(ISNUMBER($D42)),"",_xlfn.NORM.DIST(AN$1,$D42,$E42,TRUE)-_xlfn.NORM.DIST(AN$2,$D42,$E42,TRUE))</f>
        <v/>
      </c>
      <c r="AO42">
        <f>IF(NOT(ISNUMBER($D42)),"",_xlfn.NORM.DIST(AO$1,$D42,$E42,TRUE)-_xlfn.NORM.DIST(AO$2,$D42,$E42,TRUE))</f>
        <v/>
      </c>
      <c r="AP42">
        <f>IF(NOT(ISNUMBER($D42)),"",_xlfn.NORM.DIST(AP$1,$D42,$E42,TRUE)-_xlfn.NORM.DIST(AP$2,$D42,$E42,TRUE))</f>
        <v/>
      </c>
      <c r="AQ42">
        <f>IF(NOT(ISNUMBER($D42)),"",_xlfn.NORM.DIST(AQ$1,$D42,$E42,TRUE)-_xlfn.NORM.DIST(AQ$2,$D42,$E42,TRUE))</f>
        <v/>
      </c>
      <c r="AR42">
        <f>IF(NOT(ISNUMBER($D42)),"",_xlfn.NORM.DIST(AR$1,$D42,$E42,TRUE)-_xlfn.NORM.DIST(AR$2,$D42,$E42,TRUE))</f>
        <v/>
      </c>
      <c r="AS42">
        <f>IF(NOT(ISNUMBER($D42)),"",_xlfn.NORM.DIST(AS$1,$D42,$E42,TRUE)-_xlfn.NORM.DIST(AS$2,$D42,$E42,TRUE))</f>
        <v/>
      </c>
      <c r="AT42">
        <f>IF(NOT(ISNUMBER($D42)),"",_xlfn.NORM.DIST(AT$1,$D42,$E42,TRUE)-_xlfn.NORM.DIST(AT$2,$D42,$E42,TRUE))</f>
        <v/>
      </c>
      <c r="AU42">
        <f>IF(NOT(ISNUMBER($D42)),"",_xlfn.NORM.DIST(AU$1,$D42,$E42,TRUE)-_xlfn.NORM.DIST(AU$2,$D42,$E42,TRUE))</f>
        <v/>
      </c>
      <c r="AV42">
        <f>IF(NOT(ISNUMBER($D42)),"",_xlfn.NORM.DIST(AV$1,$D42,$E42,TRUE)-_xlfn.NORM.DIST(AV$2,$D42,$E42,TRUE))</f>
        <v/>
      </c>
      <c r="AW42">
        <f>IF(NOT(ISNUMBER($D42)),"",_xlfn.NORM.DIST(AW$1,$D42,$E42,TRUE)-_xlfn.NORM.DIST(AW$2,$D42,$E42,TRUE))</f>
        <v/>
      </c>
      <c r="AX42">
        <f>IF(NOT(ISNUMBER($D42)),"",_xlfn.NORM.DIST(AX$1,$D42,$E42,TRUE)-_xlfn.NORM.DIST(AX$2,$D42,$E42,TRUE))</f>
        <v/>
      </c>
      <c r="AY42">
        <f>IF(NOT(ISNUMBER($D42)),"",_xlfn.NORM.DIST(AY$1,$D42,$E42,TRUE)-_xlfn.NORM.DIST(AY$2,$D42,$E42,TRUE))</f>
        <v/>
      </c>
      <c r="AZ42">
        <f>IF(NOT(ISNUMBER($D42)),"",_xlfn.NORM.DIST(AZ$1,$D42,$E42,TRUE)-_xlfn.NORM.DIST(AZ$2,$D42,$E42,TRUE))</f>
        <v/>
      </c>
      <c r="BA42">
        <f>IF(NOT(ISNUMBER($D42)),"",_xlfn.NORM.DIST(BA$1,$D42,$E42,TRUE)-_xlfn.NORM.DIST(BA$2,$D42,$E42,TRUE))</f>
        <v/>
      </c>
      <c r="BB42">
        <f>IF(NOT(ISNUMBER($D42)),"",_xlfn.NORM.DIST(BB$1,$D42,$E42,TRUE)-_xlfn.NORM.DIST(BB$2,$D42,$E42,TRUE))</f>
        <v/>
      </c>
      <c r="BC42">
        <f>IF(NOT(ISNUMBER($D42)),"",_xlfn.NORM.DIST(BC$1,$D42,$E42,TRUE)-_xlfn.NORM.DIST(BC$2,$D42,$E42,TRUE))</f>
        <v/>
      </c>
      <c r="BD42">
        <f>IF(NOT(ISNUMBER($D42)),"",_xlfn.NORM.DIST(BD$1,$D42,$E42,TRUE)-_xlfn.NORM.DIST(BD$2,$D42,$E42,TRUE))</f>
        <v/>
      </c>
      <c r="BE42">
        <f>IF(NOT(ISNUMBER($D42)),"",_xlfn.NORM.DIST(BE$1,$D42,$E42,TRUE)-_xlfn.NORM.DIST(BE$2,$D42,$E42,TRUE))</f>
        <v/>
      </c>
      <c r="BF42">
        <f>IF(NOT(ISNUMBER($D42)),"",_xlfn.NORM.DIST(BF$1,$D42,$E42,TRUE)-_xlfn.NORM.DIST(BF$2,$D42,$E42,TRUE))</f>
        <v/>
      </c>
      <c r="BG42">
        <f>IF(NOT(ISNUMBER($D42)),"",_xlfn.NORM.DIST(BG$1,$D42,$E42,TRUE)-_xlfn.NORM.DIST(BG$2,$D42,$E42,TRUE))</f>
        <v/>
      </c>
      <c r="BH42">
        <f>IF(NOT(ISNUMBER($D42)),"",_xlfn.NORM.DIST(BH$1,$D42,$E42,TRUE)-_xlfn.NORM.DIST(BH$2,$D42,$E42,TRUE))</f>
        <v/>
      </c>
      <c r="BI42">
        <f>IF(NOT(ISNUMBER($D42)),"",_xlfn.NORM.DIST(BI$1,$D42,$E42,TRUE)-_xlfn.NORM.DIST(BI$2,$D42,$E42,TRUE))</f>
        <v/>
      </c>
      <c r="BJ42">
        <f>IF(NOT(ISNUMBER($D42)),"",_xlfn.NORM.DIST(BJ$1,$D42,$E42,TRUE)-_xlfn.NORM.DIST(BJ$2,$D42,$E42,TRUE))</f>
        <v/>
      </c>
      <c r="BK42">
        <f>IF(NOT(ISNUMBER($D42)),"",_xlfn.NORM.DIST(BK$1,$D42,$E42,TRUE)-_xlfn.NORM.DIST(BK$2,$D42,$E42,TRUE))</f>
        <v/>
      </c>
      <c r="BL42">
        <f>IF(NOT(ISNUMBER($D42)),"",_xlfn.NORM.DIST(BL$1,$D42,$E42,TRUE)-_xlfn.NORM.DIST(BL$2,$D42,$E42,TRUE))</f>
        <v/>
      </c>
      <c r="BM42">
        <f>IF(NOT(ISNUMBER($D42)),"",_xlfn.NORM.DIST(BM$1,$D42,$E42,TRUE)-_xlfn.NORM.DIST(BM$2,$D42,$E42,TRUE))</f>
        <v/>
      </c>
      <c r="BN42">
        <f>IF(NOT(ISNUMBER($D42)),"",_xlfn.NORM.DIST(BN$1,$D42,$E42,TRUE)-_xlfn.NORM.DIST(BN$2,$D42,$E42,TRUE))</f>
        <v/>
      </c>
      <c r="BO42">
        <f>IF(NOT(ISNUMBER($D42)),"",_xlfn.NORM.DIST(BO$1,$D42,$E42,TRUE)-_xlfn.NORM.DIST(BO$2,$D42,$E42,TRUE))</f>
        <v/>
      </c>
      <c r="BP42">
        <f>IF(NOT(ISNUMBER($D42)),"",_xlfn.NORM.DIST(BP$1,$D42,$E42,TRUE)-_xlfn.NORM.DIST(BP$2,$D42,$E42,TRUE))</f>
        <v/>
      </c>
      <c r="BQ42">
        <f>IF(NOT(ISNUMBER($D42)),"",_xlfn.NORM.DIST(BQ$1,$D42,$E42,TRUE)-_xlfn.NORM.DIST(BQ$2,$D42,$E42,TRUE))</f>
        <v/>
      </c>
      <c r="BR42">
        <f>IF(NOT(ISNUMBER($D42)),"",_xlfn.NORM.DIST(BR$1,$D42,$E42,TRUE)-_xlfn.NORM.DIST(BR$2,$D42,$E42,TRUE))</f>
        <v/>
      </c>
      <c r="BS42">
        <f>IF(NOT(ISNUMBER($D42)),"",_xlfn.NORM.DIST(BS$1,$D42,$E42,TRUE)-_xlfn.NORM.DIST(BS$2,$D42,$E42,TRUE))</f>
        <v/>
      </c>
      <c r="BT42">
        <f>IF(NOT(ISNUMBER($D42)),"",_xlfn.NORM.DIST(BT$1,$D42,$E42,TRUE)-_xlfn.NORM.DIST(BT$2,$D42,$E42,TRUE))</f>
        <v/>
      </c>
      <c r="BU42">
        <f>IF(NOT(ISNUMBER($D42)),"",_xlfn.NORM.DIST(BU$1,$D42,$E42,TRUE)-_xlfn.NORM.DIST(BU$2,$D42,$E42,TRUE))</f>
        <v/>
      </c>
      <c r="BV42">
        <f>IF(NOT(ISNUMBER($D42)),"",_xlfn.NORM.DIST(BV$1,$D42,$E42,TRUE)-_xlfn.NORM.DIST(BV$2,$D42,$E42,TRUE))</f>
        <v/>
      </c>
      <c r="BW42">
        <f>IF(NOT(ISNUMBER($D42)),"",_xlfn.NORM.DIST(BW$1,$D42,$E42,TRUE)-_xlfn.NORM.DIST(BW$2,$D42,$E42,TRUE))</f>
        <v/>
      </c>
      <c r="BX42">
        <f>IF(NOT(ISNUMBER($D42)),"",_xlfn.NORM.DIST(BX$1,$D42,$E42,TRUE)-_xlfn.NORM.DIST(BX$2,$D42,$E42,TRUE))</f>
        <v/>
      </c>
      <c r="BY42">
        <f>IF(NOT(ISNUMBER($D42)),"",_xlfn.NORM.DIST(BY$1,$D42,$E42,TRUE)-_xlfn.NORM.DIST(BY$2,$D42,$E42,TRUE))</f>
        <v/>
      </c>
      <c r="BZ42">
        <f>IF(NOT(ISNUMBER($D42)),"",_xlfn.NORM.DIST(BZ$1,$D42,$E42,TRUE)-_xlfn.NORM.DIST(BZ$2,$D42,$E42,TRUE))</f>
        <v/>
      </c>
      <c r="CA42">
        <f>IF(NOT(ISNUMBER($D42)),"",_xlfn.NORM.DIST(CA$1,$D42,$E42,TRUE)-_xlfn.NORM.DIST(CA$2,$D42,$E42,TRUE))</f>
        <v/>
      </c>
      <c r="CB42">
        <f>IF(NOT(ISNUMBER($D42)),"",_xlfn.NORM.DIST(CB$1,$D42,$E42,TRUE)-_xlfn.NORM.DIST(CB$2,$D42,$E42,TRUE))</f>
        <v/>
      </c>
      <c r="CC42">
        <f>IF(NOT(ISNUMBER($D42)),"",_xlfn.NORM.DIST(CC$1,$D42,$E42,TRUE)-_xlfn.NORM.DIST(CC$2,$D42,$E42,TRUE))</f>
        <v/>
      </c>
      <c r="CD42">
        <f>IF(NOT(ISNUMBER($D42)),"",_xlfn.NORM.DIST(CD$1,$D42,$E42,TRUE)-_xlfn.NORM.DIST(CD$2,$D42,$E42,TRUE))</f>
        <v/>
      </c>
      <c r="CE42">
        <f>IF(NOT(ISNUMBER($D42)),"",_xlfn.NORM.DIST(CE$1,$D42,$E42,TRUE)-_xlfn.NORM.DIST(CE$2,$D42,$E42,TRUE))</f>
        <v/>
      </c>
      <c r="CF42">
        <f>IF(NOT(ISNUMBER($D42)),"",_xlfn.NORM.DIST(CF$1,$D42,$E42,TRUE)-_xlfn.NORM.DIST(CF$2,$D42,$E42,TRUE))</f>
        <v/>
      </c>
      <c r="CG42">
        <f>IF(NOT(ISNUMBER($D42)),"",_xlfn.NORM.DIST(CG$1,$D42,$E42,TRUE)-_xlfn.NORM.DIST(CG$2,$D42,$E42,TRUE))</f>
        <v/>
      </c>
      <c r="CH42">
        <f>IF(NOT(ISNUMBER($D42)),"",_xlfn.NORM.DIST(CH$1,$D42,$E42,TRUE)-_xlfn.NORM.DIST(CH$2,$D42,$E42,TRUE))</f>
        <v/>
      </c>
      <c r="CI42">
        <f>IF(NOT(ISNUMBER($D42)),"",_xlfn.NORM.DIST(CI$1,$D42,$E42,TRUE)-_xlfn.NORM.DIST(CI$2,$D42,$E42,TRUE))</f>
        <v/>
      </c>
      <c r="CJ42">
        <f>IF(ISNUMBER($D42),SUM(F42:CI42),"")</f>
        <v/>
      </c>
    </row>
    <row r="43">
      <c r="A43">
        <f>economics!A42</f>
        <v/>
      </c>
      <c r="B43">
        <f>economics!B42</f>
        <v/>
      </c>
      <c r="C43">
        <f>economics!D42</f>
        <v/>
      </c>
      <c r="D43">
        <f>IF(ISNUMBER(economics!T42),economics!T42,"na")</f>
        <v/>
      </c>
      <c r="E43">
        <f>IF(ISNUMBER(D43),MAX(0.3*ABS(D43),0.000001),"na")</f>
        <v/>
      </c>
      <c r="F43">
        <f>IF(NOT(ISNUMBER($D43)),"",_xlfn.NORM.DIST(F$1,$D43,$E43,TRUE)-_xlfn.NORM.DIST(F$2,$D43,$E43,TRUE))</f>
        <v/>
      </c>
      <c r="G43">
        <f>IF(NOT(ISNUMBER($D43)),"",_xlfn.NORM.DIST(G$1,$D43,$E43,TRUE)-_xlfn.NORM.DIST(G$2,$D43,$E43,TRUE))</f>
        <v/>
      </c>
      <c r="H43">
        <f>IF(NOT(ISNUMBER($D43)),"",_xlfn.NORM.DIST(H$1,$D43,$E43,TRUE)-_xlfn.NORM.DIST(H$2,$D43,$E43,TRUE))</f>
        <v/>
      </c>
      <c r="I43">
        <f>IF(NOT(ISNUMBER($D43)),"",_xlfn.NORM.DIST(I$1,$D43,$E43,TRUE)-_xlfn.NORM.DIST(I$2,$D43,$E43,TRUE))</f>
        <v/>
      </c>
      <c r="J43">
        <f>IF(NOT(ISNUMBER($D43)),"",_xlfn.NORM.DIST(J$1,$D43,$E43,TRUE)-_xlfn.NORM.DIST(J$2,$D43,$E43,TRUE))</f>
        <v/>
      </c>
      <c r="K43">
        <f>IF(NOT(ISNUMBER($D43)),"",_xlfn.NORM.DIST(K$1,$D43,$E43,TRUE)-_xlfn.NORM.DIST(K$2,$D43,$E43,TRUE))</f>
        <v/>
      </c>
      <c r="L43">
        <f>IF(NOT(ISNUMBER($D43)),"",_xlfn.NORM.DIST(L$1,$D43,$E43,TRUE)-_xlfn.NORM.DIST(L$2,$D43,$E43,TRUE))</f>
        <v/>
      </c>
      <c r="M43">
        <f>IF(NOT(ISNUMBER($D43)),"",_xlfn.NORM.DIST(M$1,$D43,$E43,TRUE)-_xlfn.NORM.DIST(M$2,$D43,$E43,TRUE))</f>
        <v/>
      </c>
      <c r="N43">
        <f>IF(NOT(ISNUMBER($D43)),"",_xlfn.NORM.DIST(N$1,$D43,$E43,TRUE)-_xlfn.NORM.DIST(N$2,$D43,$E43,TRUE))</f>
        <v/>
      </c>
      <c r="O43">
        <f>IF(NOT(ISNUMBER($D43)),"",_xlfn.NORM.DIST(O$1,$D43,$E43,TRUE)-_xlfn.NORM.DIST(O$2,$D43,$E43,TRUE))</f>
        <v/>
      </c>
      <c r="P43">
        <f>IF(NOT(ISNUMBER($D43)),"",_xlfn.NORM.DIST(P$1,$D43,$E43,TRUE)-_xlfn.NORM.DIST(P$2,$D43,$E43,TRUE))</f>
        <v/>
      </c>
      <c r="Q43">
        <f>IF(NOT(ISNUMBER($D43)),"",_xlfn.NORM.DIST(Q$1,$D43,$E43,TRUE)-_xlfn.NORM.DIST(Q$2,$D43,$E43,TRUE))</f>
        <v/>
      </c>
      <c r="R43">
        <f>IF(NOT(ISNUMBER($D43)),"",_xlfn.NORM.DIST(R$1,$D43,$E43,TRUE)-_xlfn.NORM.DIST(R$2,$D43,$E43,TRUE))</f>
        <v/>
      </c>
      <c r="S43">
        <f>IF(NOT(ISNUMBER($D43)),"",_xlfn.NORM.DIST(S$1,$D43,$E43,TRUE)-_xlfn.NORM.DIST(S$2,$D43,$E43,TRUE))</f>
        <v/>
      </c>
      <c r="T43">
        <f>IF(NOT(ISNUMBER($D43)),"",_xlfn.NORM.DIST(T$1,$D43,$E43,TRUE)-_xlfn.NORM.DIST(T$2,$D43,$E43,TRUE))</f>
        <v/>
      </c>
      <c r="U43">
        <f>IF(NOT(ISNUMBER($D43)),"",_xlfn.NORM.DIST(U$1,$D43,$E43,TRUE)-_xlfn.NORM.DIST(U$2,$D43,$E43,TRUE))</f>
        <v/>
      </c>
      <c r="V43">
        <f>IF(NOT(ISNUMBER($D43)),"",_xlfn.NORM.DIST(V$1,$D43,$E43,TRUE)-_xlfn.NORM.DIST(V$2,$D43,$E43,TRUE))</f>
        <v/>
      </c>
      <c r="W43">
        <f>IF(NOT(ISNUMBER($D43)),"",_xlfn.NORM.DIST(W$1,$D43,$E43,TRUE)-_xlfn.NORM.DIST(W$2,$D43,$E43,TRUE))</f>
        <v/>
      </c>
      <c r="X43">
        <f>IF(NOT(ISNUMBER($D43)),"",_xlfn.NORM.DIST(X$1,$D43,$E43,TRUE)-_xlfn.NORM.DIST(X$2,$D43,$E43,TRUE))</f>
        <v/>
      </c>
      <c r="Y43">
        <f>IF(NOT(ISNUMBER($D43)),"",_xlfn.NORM.DIST(Y$1,$D43,$E43,TRUE)-_xlfn.NORM.DIST(Y$2,$D43,$E43,TRUE))</f>
        <v/>
      </c>
      <c r="Z43">
        <f>IF(NOT(ISNUMBER($D43)),"",_xlfn.NORM.DIST(Z$1,$D43,$E43,TRUE)-_xlfn.NORM.DIST(Z$2,$D43,$E43,TRUE))</f>
        <v/>
      </c>
      <c r="AA43">
        <f>IF(NOT(ISNUMBER($D43)),"",_xlfn.NORM.DIST(AA$1,$D43,$E43,TRUE)-_xlfn.NORM.DIST(AA$2,$D43,$E43,TRUE))</f>
        <v/>
      </c>
      <c r="AB43">
        <f>IF(NOT(ISNUMBER($D43)),"",_xlfn.NORM.DIST(AB$1,$D43,$E43,TRUE)-_xlfn.NORM.DIST(AB$2,$D43,$E43,TRUE))</f>
        <v/>
      </c>
      <c r="AC43">
        <f>IF(NOT(ISNUMBER($D43)),"",_xlfn.NORM.DIST(AC$1,$D43,$E43,TRUE)-_xlfn.NORM.DIST(AC$2,$D43,$E43,TRUE))</f>
        <v/>
      </c>
      <c r="AD43">
        <f>IF(NOT(ISNUMBER($D43)),"",_xlfn.NORM.DIST(AD$1,$D43,$E43,TRUE)-_xlfn.NORM.DIST(AD$2,$D43,$E43,TRUE))</f>
        <v/>
      </c>
      <c r="AE43">
        <f>IF(NOT(ISNUMBER($D43)),"",_xlfn.NORM.DIST(AE$1,$D43,$E43,TRUE)-_xlfn.NORM.DIST(AE$2,$D43,$E43,TRUE))</f>
        <v/>
      </c>
      <c r="AF43">
        <f>IF(NOT(ISNUMBER($D43)),"",_xlfn.NORM.DIST(AF$1,$D43,$E43,TRUE)-_xlfn.NORM.DIST(AF$2,$D43,$E43,TRUE))</f>
        <v/>
      </c>
      <c r="AG43">
        <f>IF(NOT(ISNUMBER($D43)),"",_xlfn.NORM.DIST(AG$1,$D43,$E43,TRUE)-_xlfn.NORM.DIST(AG$2,$D43,$E43,TRUE))</f>
        <v/>
      </c>
      <c r="AH43">
        <f>IF(NOT(ISNUMBER($D43)),"",_xlfn.NORM.DIST(AH$1,$D43,$E43,TRUE)-_xlfn.NORM.DIST(AH$2,$D43,$E43,TRUE))</f>
        <v/>
      </c>
      <c r="AI43">
        <f>IF(NOT(ISNUMBER($D43)),"",_xlfn.NORM.DIST(AI$1,$D43,$E43,TRUE)-_xlfn.NORM.DIST(AI$2,$D43,$E43,TRUE))</f>
        <v/>
      </c>
      <c r="AJ43">
        <f>IF(NOT(ISNUMBER($D43)),"",_xlfn.NORM.DIST(AJ$1,$D43,$E43,TRUE)-_xlfn.NORM.DIST(AJ$2,$D43,$E43,TRUE))</f>
        <v/>
      </c>
      <c r="AK43">
        <f>IF(NOT(ISNUMBER($D43)),"",_xlfn.NORM.DIST(AK$1,$D43,$E43,TRUE)-_xlfn.NORM.DIST(AK$2,$D43,$E43,TRUE))</f>
        <v/>
      </c>
      <c r="AL43">
        <f>IF(NOT(ISNUMBER($D43)),"",_xlfn.NORM.DIST(AL$1,$D43,$E43,TRUE)-_xlfn.NORM.DIST(AL$2,$D43,$E43,TRUE))</f>
        <v/>
      </c>
      <c r="AM43">
        <f>IF(NOT(ISNUMBER($D43)),"",_xlfn.NORM.DIST(AM$1,$D43,$E43,TRUE)-_xlfn.NORM.DIST(AM$2,$D43,$E43,TRUE))</f>
        <v/>
      </c>
      <c r="AN43">
        <f>IF(NOT(ISNUMBER($D43)),"",_xlfn.NORM.DIST(AN$1,$D43,$E43,TRUE)-_xlfn.NORM.DIST(AN$2,$D43,$E43,TRUE))</f>
        <v/>
      </c>
      <c r="AO43">
        <f>IF(NOT(ISNUMBER($D43)),"",_xlfn.NORM.DIST(AO$1,$D43,$E43,TRUE)-_xlfn.NORM.DIST(AO$2,$D43,$E43,TRUE))</f>
        <v/>
      </c>
      <c r="AP43">
        <f>IF(NOT(ISNUMBER($D43)),"",_xlfn.NORM.DIST(AP$1,$D43,$E43,TRUE)-_xlfn.NORM.DIST(AP$2,$D43,$E43,TRUE))</f>
        <v/>
      </c>
      <c r="AQ43">
        <f>IF(NOT(ISNUMBER($D43)),"",_xlfn.NORM.DIST(AQ$1,$D43,$E43,TRUE)-_xlfn.NORM.DIST(AQ$2,$D43,$E43,TRUE))</f>
        <v/>
      </c>
      <c r="AR43">
        <f>IF(NOT(ISNUMBER($D43)),"",_xlfn.NORM.DIST(AR$1,$D43,$E43,TRUE)-_xlfn.NORM.DIST(AR$2,$D43,$E43,TRUE))</f>
        <v/>
      </c>
      <c r="AS43">
        <f>IF(NOT(ISNUMBER($D43)),"",_xlfn.NORM.DIST(AS$1,$D43,$E43,TRUE)-_xlfn.NORM.DIST(AS$2,$D43,$E43,TRUE))</f>
        <v/>
      </c>
      <c r="AT43">
        <f>IF(NOT(ISNUMBER($D43)),"",_xlfn.NORM.DIST(AT$1,$D43,$E43,TRUE)-_xlfn.NORM.DIST(AT$2,$D43,$E43,TRUE))</f>
        <v/>
      </c>
      <c r="AU43">
        <f>IF(NOT(ISNUMBER($D43)),"",_xlfn.NORM.DIST(AU$1,$D43,$E43,TRUE)-_xlfn.NORM.DIST(AU$2,$D43,$E43,TRUE))</f>
        <v/>
      </c>
      <c r="AV43">
        <f>IF(NOT(ISNUMBER($D43)),"",_xlfn.NORM.DIST(AV$1,$D43,$E43,TRUE)-_xlfn.NORM.DIST(AV$2,$D43,$E43,TRUE))</f>
        <v/>
      </c>
      <c r="AW43">
        <f>IF(NOT(ISNUMBER($D43)),"",_xlfn.NORM.DIST(AW$1,$D43,$E43,TRUE)-_xlfn.NORM.DIST(AW$2,$D43,$E43,TRUE))</f>
        <v/>
      </c>
      <c r="AX43">
        <f>IF(NOT(ISNUMBER($D43)),"",_xlfn.NORM.DIST(AX$1,$D43,$E43,TRUE)-_xlfn.NORM.DIST(AX$2,$D43,$E43,TRUE))</f>
        <v/>
      </c>
      <c r="AY43">
        <f>IF(NOT(ISNUMBER($D43)),"",_xlfn.NORM.DIST(AY$1,$D43,$E43,TRUE)-_xlfn.NORM.DIST(AY$2,$D43,$E43,TRUE))</f>
        <v/>
      </c>
      <c r="AZ43">
        <f>IF(NOT(ISNUMBER($D43)),"",_xlfn.NORM.DIST(AZ$1,$D43,$E43,TRUE)-_xlfn.NORM.DIST(AZ$2,$D43,$E43,TRUE))</f>
        <v/>
      </c>
      <c r="BA43">
        <f>IF(NOT(ISNUMBER($D43)),"",_xlfn.NORM.DIST(BA$1,$D43,$E43,TRUE)-_xlfn.NORM.DIST(BA$2,$D43,$E43,TRUE))</f>
        <v/>
      </c>
      <c r="BB43">
        <f>IF(NOT(ISNUMBER($D43)),"",_xlfn.NORM.DIST(BB$1,$D43,$E43,TRUE)-_xlfn.NORM.DIST(BB$2,$D43,$E43,TRUE))</f>
        <v/>
      </c>
      <c r="BC43">
        <f>IF(NOT(ISNUMBER($D43)),"",_xlfn.NORM.DIST(BC$1,$D43,$E43,TRUE)-_xlfn.NORM.DIST(BC$2,$D43,$E43,TRUE))</f>
        <v/>
      </c>
      <c r="BD43">
        <f>IF(NOT(ISNUMBER($D43)),"",_xlfn.NORM.DIST(BD$1,$D43,$E43,TRUE)-_xlfn.NORM.DIST(BD$2,$D43,$E43,TRUE))</f>
        <v/>
      </c>
      <c r="BE43">
        <f>IF(NOT(ISNUMBER($D43)),"",_xlfn.NORM.DIST(BE$1,$D43,$E43,TRUE)-_xlfn.NORM.DIST(BE$2,$D43,$E43,TRUE))</f>
        <v/>
      </c>
      <c r="BF43">
        <f>IF(NOT(ISNUMBER($D43)),"",_xlfn.NORM.DIST(BF$1,$D43,$E43,TRUE)-_xlfn.NORM.DIST(BF$2,$D43,$E43,TRUE))</f>
        <v/>
      </c>
      <c r="BG43">
        <f>IF(NOT(ISNUMBER($D43)),"",_xlfn.NORM.DIST(BG$1,$D43,$E43,TRUE)-_xlfn.NORM.DIST(BG$2,$D43,$E43,TRUE))</f>
        <v/>
      </c>
      <c r="BH43">
        <f>IF(NOT(ISNUMBER($D43)),"",_xlfn.NORM.DIST(BH$1,$D43,$E43,TRUE)-_xlfn.NORM.DIST(BH$2,$D43,$E43,TRUE))</f>
        <v/>
      </c>
      <c r="BI43">
        <f>IF(NOT(ISNUMBER($D43)),"",_xlfn.NORM.DIST(BI$1,$D43,$E43,TRUE)-_xlfn.NORM.DIST(BI$2,$D43,$E43,TRUE))</f>
        <v/>
      </c>
      <c r="BJ43">
        <f>IF(NOT(ISNUMBER($D43)),"",_xlfn.NORM.DIST(BJ$1,$D43,$E43,TRUE)-_xlfn.NORM.DIST(BJ$2,$D43,$E43,TRUE))</f>
        <v/>
      </c>
      <c r="BK43">
        <f>IF(NOT(ISNUMBER($D43)),"",_xlfn.NORM.DIST(BK$1,$D43,$E43,TRUE)-_xlfn.NORM.DIST(BK$2,$D43,$E43,TRUE))</f>
        <v/>
      </c>
      <c r="BL43">
        <f>IF(NOT(ISNUMBER($D43)),"",_xlfn.NORM.DIST(BL$1,$D43,$E43,TRUE)-_xlfn.NORM.DIST(BL$2,$D43,$E43,TRUE))</f>
        <v/>
      </c>
      <c r="BM43">
        <f>IF(NOT(ISNUMBER($D43)),"",_xlfn.NORM.DIST(BM$1,$D43,$E43,TRUE)-_xlfn.NORM.DIST(BM$2,$D43,$E43,TRUE))</f>
        <v/>
      </c>
      <c r="BN43">
        <f>IF(NOT(ISNUMBER($D43)),"",_xlfn.NORM.DIST(BN$1,$D43,$E43,TRUE)-_xlfn.NORM.DIST(BN$2,$D43,$E43,TRUE))</f>
        <v/>
      </c>
      <c r="BO43">
        <f>IF(NOT(ISNUMBER($D43)),"",_xlfn.NORM.DIST(BO$1,$D43,$E43,TRUE)-_xlfn.NORM.DIST(BO$2,$D43,$E43,TRUE))</f>
        <v/>
      </c>
      <c r="BP43">
        <f>IF(NOT(ISNUMBER($D43)),"",_xlfn.NORM.DIST(BP$1,$D43,$E43,TRUE)-_xlfn.NORM.DIST(BP$2,$D43,$E43,TRUE))</f>
        <v/>
      </c>
      <c r="BQ43">
        <f>IF(NOT(ISNUMBER($D43)),"",_xlfn.NORM.DIST(BQ$1,$D43,$E43,TRUE)-_xlfn.NORM.DIST(BQ$2,$D43,$E43,TRUE))</f>
        <v/>
      </c>
      <c r="BR43">
        <f>IF(NOT(ISNUMBER($D43)),"",_xlfn.NORM.DIST(BR$1,$D43,$E43,TRUE)-_xlfn.NORM.DIST(BR$2,$D43,$E43,TRUE))</f>
        <v/>
      </c>
      <c r="BS43">
        <f>IF(NOT(ISNUMBER($D43)),"",_xlfn.NORM.DIST(BS$1,$D43,$E43,TRUE)-_xlfn.NORM.DIST(BS$2,$D43,$E43,TRUE))</f>
        <v/>
      </c>
      <c r="BT43">
        <f>IF(NOT(ISNUMBER($D43)),"",_xlfn.NORM.DIST(BT$1,$D43,$E43,TRUE)-_xlfn.NORM.DIST(BT$2,$D43,$E43,TRUE))</f>
        <v/>
      </c>
      <c r="BU43">
        <f>IF(NOT(ISNUMBER($D43)),"",_xlfn.NORM.DIST(BU$1,$D43,$E43,TRUE)-_xlfn.NORM.DIST(BU$2,$D43,$E43,TRUE))</f>
        <v/>
      </c>
      <c r="BV43">
        <f>IF(NOT(ISNUMBER($D43)),"",_xlfn.NORM.DIST(BV$1,$D43,$E43,TRUE)-_xlfn.NORM.DIST(BV$2,$D43,$E43,TRUE))</f>
        <v/>
      </c>
      <c r="BW43">
        <f>IF(NOT(ISNUMBER($D43)),"",_xlfn.NORM.DIST(BW$1,$D43,$E43,TRUE)-_xlfn.NORM.DIST(BW$2,$D43,$E43,TRUE))</f>
        <v/>
      </c>
      <c r="BX43">
        <f>IF(NOT(ISNUMBER($D43)),"",_xlfn.NORM.DIST(BX$1,$D43,$E43,TRUE)-_xlfn.NORM.DIST(BX$2,$D43,$E43,TRUE))</f>
        <v/>
      </c>
      <c r="BY43">
        <f>IF(NOT(ISNUMBER($D43)),"",_xlfn.NORM.DIST(BY$1,$D43,$E43,TRUE)-_xlfn.NORM.DIST(BY$2,$D43,$E43,TRUE))</f>
        <v/>
      </c>
      <c r="BZ43">
        <f>IF(NOT(ISNUMBER($D43)),"",_xlfn.NORM.DIST(BZ$1,$D43,$E43,TRUE)-_xlfn.NORM.DIST(BZ$2,$D43,$E43,TRUE))</f>
        <v/>
      </c>
      <c r="CA43">
        <f>IF(NOT(ISNUMBER($D43)),"",_xlfn.NORM.DIST(CA$1,$D43,$E43,TRUE)-_xlfn.NORM.DIST(CA$2,$D43,$E43,TRUE))</f>
        <v/>
      </c>
      <c r="CB43">
        <f>IF(NOT(ISNUMBER($D43)),"",_xlfn.NORM.DIST(CB$1,$D43,$E43,TRUE)-_xlfn.NORM.DIST(CB$2,$D43,$E43,TRUE))</f>
        <v/>
      </c>
      <c r="CC43">
        <f>IF(NOT(ISNUMBER($D43)),"",_xlfn.NORM.DIST(CC$1,$D43,$E43,TRUE)-_xlfn.NORM.DIST(CC$2,$D43,$E43,TRUE))</f>
        <v/>
      </c>
      <c r="CD43">
        <f>IF(NOT(ISNUMBER($D43)),"",_xlfn.NORM.DIST(CD$1,$D43,$E43,TRUE)-_xlfn.NORM.DIST(CD$2,$D43,$E43,TRUE))</f>
        <v/>
      </c>
      <c r="CE43">
        <f>IF(NOT(ISNUMBER($D43)),"",_xlfn.NORM.DIST(CE$1,$D43,$E43,TRUE)-_xlfn.NORM.DIST(CE$2,$D43,$E43,TRUE))</f>
        <v/>
      </c>
      <c r="CF43">
        <f>IF(NOT(ISNUMBER($D43)),"",_xlfn.NORM.DIST(CF$1,$D43,$E43,TRUE)-_xlfn.NORM.DIST(CF$2,$D43,$E43,TRUE))</f>
        <v/>
      </c>
      <c r="CG43">
        <f>IF(NOT(ISNUMBER($D43)),"",_xlfn.NORM.DIST(CG$1,$D43,$E43,TRUE)-_xlfn.NORM.DIST(CG$2,$D43,$E43,TRUE))</f>
        <v/>
      </c>
      <c r="CH43">
        <f>IF(NOT(ISNUMBER($D43)),"",_xlfn.NORM.DIST(CH$1,$D43,$E43,TRUE)-_xlfn.NORM.DIST(CH$2,$D43,$E43,TRUE))</f>
        <v/>
      </c>
      <c r="CI43">
        <f>IF(NOT(ISNUMBER($D43)),"",_xlfn.NORM.DIST(CI$1,$D43,$E43,TRUE)-_xlfn.NORM.DIST(CI$2,$D43,$E43,TRUE))</f>
        <v/>
      </c>
      <c r="CJ43">
        <f>IF(ISNUMBER($D43),SUM(F43:CI43),"")</f>
        <v/>
      </c>
    </row>
    <row r="44">
      <c r="A44">
        <f>economics!A43</f>
        <v/>
      </c>
      <c r="B44">
        <f>economics!B43</f>
        <v/>
      </c>
      <c r="C44">
        <f>economics!D43</f>
        <v/>
      </c>
      <c r="D44">
        <f>IF(ISNUMBER(economics!T43),economics!T43,"na")</f>
        <v/>
      </c>
      <c r="E44">
        <f>IF(ISNUMBER(D44),MAX(0.3*ABS(D44),0.000001),"na")</f>
        <v/>
      </c>
      <c r="F44">
        <f>IF(NOT(ISNUMBER($D44)),"",_xlfn.NORM.DIST(F$1,$D44,$E44,TRUE)-_xlfn.NORM.DIST(F$2,$D44,$E44,TRUE))</f>
        <v/>
      </c>
      <c r="G44">
        <f>IF(NOT(ISNUMBER($D44)),"",_xlfn.NORM.DIST(G$1,$D44,$E44,TRUE)-_xlfn.NORM.DIST(G$2,$D44,$E44,TRUE))</f>
        <v/>
      </c>
      <c r="H44">
        <f>IF(NOT(ISNUMBER($D44)),"",_xlfn.NORM.DIST(H$1,$D44,$E44,TRUE)-_xlfn.NORM.DIST(H$2,$D44,$E44,TRUE))</f>
        <v/>
      </c>
      <c r="I44">
        <f>IF(NOT(ISNUMBER($D44)),"",_xlfn.NORM.DIST(I$1,$D44,$E44,TRUE)-_xlfn.NORM.DIST(I$2,$D44,$E44,TRUE))</f>
        <v/>
      </c>
      <c r="J44">
        <f>IF(NOT(ISNUMBER($D44)),"",_xlfn.NORM.DIST(J$1,$D44,$E44,TRUE)-_xlfn.NORM.DIST(J$2,$D44,$E44,TRUE))</f>
        <v/>
      </c>
      <c r="K44">
        <f>IF(NOT(ISNUMBER($D44)),"",_xlfn.NORM.DIST(K$1,$D44,$E44,TRUE)-_xlfn.NORM.DIST(K$2,$D44,$E44,TRUE))</f>
        <v/>
      </c>
      <c r="L44">
        <f>IF(NOT(ISNUMBER($D44)),"",_xlfn.NORM.DIST(L$1,$D44,$E44,TRUE)-_xlfn.NORM.DIST(L$2,$D44,$E44,TRUE))</f>
        <v/>
      </c>
      <c r="M44">
        <f>IF(NOT(ISNUMBER($D44)),"",_xlfn.NORM.DIST(M$1,$D44,$E44,TRUE)-_xlfn.NORM.DIST(M$2,$D44,$E44,TRUE))</f>
        <v/>
      </c>
      <c r="N44">
        <f>IF(NOT(ISNUMBER($D44)),"",_xlfn.NORM.DIST(N$1,$D44,$E44,TRUE)-_xlfn.NORM.DIST(N$2,$D44,$E44,TRUE))</f>
        <v/>
      </c>
      <c r="O44">
        <f>IF(NOT(ISNUMBER($D44)),"",_xlfn.NORM.DIST(O$1,$D44,$E44,TRUE)-_xlfn.NORM.DIST(O$2,$D44,$E44,TRUE))</f>
        <v/>
      </c>
      <c r="P44">
        <f>IF(NOT(ISNUMBER($D44)),"",_xlfn.NORM.DIST(P$1,$D44,$E44,TRUE)-_xlfn.NORM.DIST(P$2,$D44,$E44,TRUE))</f>
        <v/>
      </c>
      <c r="Q44">
        <f>IF(NOT(ISNUMBER($D44)),"",_xlfn.NORM.DIST(Q$1,$D44,$E44,TRUE)-_xlfn.NORM.DIST(Q$2,$D44,$E44,TRUE))</f>
        <v/>
      </c>
      <c r="R44">
        <f>IF(NOT(ISNUMBER($D44)),"",_xlfn.NORM.DIST(R$1,$D44,$E44,TRUE)-_xlfn.NORM.DIST(R$2,$D44,$E44,TRUE))</f>
        <v/>
      </c>
      <c r="S44">
        <f>IF(NOT(ISNUMBER($D44)),"",_xlfn.NORM.DIST(S$1,$D44,$E44,TRUE)-_xlfn.NORM.DIST(S$2,$D44,$E44,TRUE))</f>
        <v/>
      </c>
      <c r="T44">
        <f>IF(NOT(ISNUMBER($D44)),"",_xlfn.NORM.DIST(T$1,$D44,$E44,TRUE)-_xlfn.NORM.DIST(T$2,$D44,$E44,TRUE))</f>
        <v/>
      </c>
      <c r="U44">
        <f>IF(NOT(ISNUMBER($D44)),"",_xlfn.NORM.DIST(U$1,$D44,$E44,TRUE)-_xlfn.NORM.DIST(U$2,$D44,$E44,TRUE))</f>
        <v/>
      </c>
      <c r="V44">
        <f>IF(NOT(ISNUMBER($D44)),"",_xlfn.NORM.DIST(V$1,$D44,$E44,TRUE)-_xlfn.NORM.DIST(V$2,$D44,$E44,TRUE))</f>
        <v/>
      </c>
      <c r="W44">
        <f>IF(NOT(ISNUMBER($D44)),"",_xlfn.NORM.DIST(W$1,$D44,$E44,TRUE)-_xlfn.NORM.DIST(W$2,$D44,$E44,TRUE))</f>
        <v/>
      </c>
      <c r="X44">
        <f>IF(NOT(ISNUMBER($D44)),"",_xlfn.NORM.DIST(X$1,$D44,$E44,TRUE)-_xlfn.NORM.DIST(X$2,$D44,$E44,TRUE))</f>
        <v/>
      </c>
      <c r="Y44">
        <f>IF(NOT(ISNUMBER($D44)),"",_xlfn.NORM.DIST(Y$1,$D44,$E44,TRUE)-_xlfn.NORM.DIST(Y$2,$D44,$E44,TRUE))</f>
        <v/>
      </c>
      <c r="Z44">
        <f>IF(NOT(ISNUMBER($D44)),"",_xlfn.NORM.DIST(Z$1,$D44,$E44,TRUE)-_xlfn.NORM.DIST(Z$2,$D44,$E44,TRUE))</f>
        <v/>
      </c>
      <c r="AA44">
        <f>IF(NOT(ISNUMBER($D44)),"",_xlfn.NORM.DIST(AA$1,$D44,$E44,TRUE)-_xlfn.NORM.DIST(AA$2,$D44,$E44,TRUE))</f>
        <v/>
      </c>
      <c r="AB44">
        <f>IF(NOT(ISNUMBER($D44)),"",_xlfn.NORM.DIST(AB$1,$D44,$E44,TRUE)-_xlfn.NORM.DIST(AB$2,$D44,$E44,TRUE))</f>
        <v/>
      </c>
      <c r="AC44">
        <f>IF(NOT(ISNUMBER($D44)),"",_xlfn.NORM.DIST(AC$1,$D44,$E44,TRUE)-_xlfn.NORM.DIST(AC$2,$D44,$E44,TRUE))</f>
        <v/>
      </c>
      <c r="AD44">
        <f>IF(NOT(ISNUMBER($D44)),"",_xlfn.NORM.DIST(AD$1,$D44,$E44,TRUE)-_xlfn.NORM.DIST(AD$2,$D44,$E44,TRUE))</f>
        <v/>
      </c>
      <c r="AE44">
        <f>IF(NOT(ISNUMBER($D44)),"",_xlfn.NORM.DIST(AE$1,$D44,$E44,TRUE)-_xlfn.NORM.DIST(AE$2,$D44,$E44,TRUE))</f>
        <v/>
      </c>
      <c r="AF44">
        <f>IF(NOT(ISNUMBER($D44)),"",_xlfn.NORM.DIST(AF$1,$D44,$E44,TRUE)-_xlfn.NORM.DIST(AF$2,$D44,$E44,TRUE))</f>
        <v/>
      </c>
      <c r="AG44">
        <f>IF(NOT(ISNUMBER($D44)),"",_xlfn.NORM.DIST(AG$1,$D44,$E44,TRUE)-_xlfn.NORM.DIST(AG$2,$D44,$E44,TRUE))</f>
        <v/>
      </c>
      <c r="AH44">
        <f>IF(NOT(ISNUMBER($D44)),"",_xlfn.NORM.DIST(AH$1,$D44,$E44,TRUE)-_xlfn.NORM.DIST(AH$2,$D44,$E44,TRUE))</f>
        <v/>
      </c>
      <c r="AI44">
        <f>IF(NOT(ISNUMBER($D44)),"",_xlfn.NORM.DIST(AI$1,$D44,$E44,TRUE)-_xlfn.NORM.DIST(AI$2,$D44,$E44,TRUE))</f>
        <v/>
      </c>
      <c r="AJ44">
        <f>IF(NOT(ISNUMBER($D44)),"",_xlfn.NORM.DIST(AJ$1,$D44,$E44,TRUE)-_xlfn.NORM.DIST(AJ$2,$D44,$E44,TRUE))</f>
        <v/>
      </c>
      <c r="AK44">
        <f>IF(NOT(ISNUMBER($D44)),"",_xlfn.NORM.DIST(AK$1,$D44,$E44,TRUE)-_xlfn.NORM.DIST(AK$2,$D44,$E44,TRUE))</f>
        <v/>
      </c>
      <c r="AL44">
        <f>IF(NOT(ISNUMBER($D44)),"",_xlfn.NORM.DIST(AL$1,$D44,$E44,TRUE)-_xlfn.NORM.DIST(AL$2,$D44,$E44,TRUE))</f>
        <v/>
      </c>
      <c r="AM44">
        <f>IF(NOT(ISNUMBER($D44)),"",_xlfn.NORM.DIST(AM$1,$D44,$E44,TRUE)-_xlfn.NORM.DIST(AM$2,$D44,$E44,TRUE))</f>
        <v/>
      </c>
      <c r="AN44">
        <f>IF(NOT(ISNUMBER($D44)),"",_xlfn.NORM.DIST(AN$1,$D44,$E44,TRUE)-_xlfn.NORM.DIST(AN$2,$D44,$E44,TRUE))</f>
        <v/>
      </c>
      <c r="AO44">
        <f>IF(NOT(ISNUMBER($D44)),"",_xlfn.NORM.DIST(AO$1,$D44,$E44,TRUE)-_xlfn.NORM.DIST(AO$2,$D44,$E44,TRUE))</f>
        <v/>
      </c>
      <c r="AP44">
        <f>IF(NOT(ISNUMBER($D44)),"",_xlfn.NORM.DIST(AP$1,$D44,$E44,TRUE)-_xlfn.NORM.DIST(AP$2,$D44,$E44,TRUE))</f>
        <v/>
      </c>
      <c r="AQ44">
        <f>IF(NOT(ISNUMBER($D44)),"",_xlfn.NORM.DIST(AQ$1,$D44,$E44,TRUE)-_xlfn.NORM.DIST(AQ$2,$D44,$E44,TRUE))</f>
        <v/>
      </c>
      <c r="AR44">
        <f>IF(NOT(ISNUMBER($D44)),"",_xlfn.NORM.DIST(AR$1,$D44,$E44,TRUE)-_xlfn.NORM.DIST(AR$2,$D44,$E44,TRUE))</f>
        <v/>
      </c>
      <c r="AS44">
        <f>IF(NOT(ISNUMBER($D44)),"",_xlfn.NORM.DIST(AS$1,$D44,$E44,TRUE)-_xlfn.NORM.DIST(AS$2,$D44,$E44,TRUE))</f>
        <v/>
      </c>
      <c r="AT44">
        <f>IF(NOT(ISNUMBER($D44)),"",_xlfn.NORM.DIST(AT$1,$D44,$E44,TRUE)-_xlfn.NORM.DIST(AT$2,$D44,$E44,TRUE))</f>
        <v/>
      </c>
      <c r="AU44">
        <f>IF(NOT(ISNUMBER($D44)),"",_xlfn.NORM.DIST(AU$1,$D44,$E44,TRUE)-_xlfn.NORM.DIST(AU$2,$D44,$E44,TRUE))</f>
        <v/>
      </c>
      <c r="AV44">
        <f>IF(NOT(ISNUMBER($D44)),"",_xlfn.NORM.DIST(AV$1,$D44,$E44,TRUE)-_xlfn.NORM.DIST(AV$2,$D44,$E44,TRUE))</f>
        <v/>
      </c>
      <c r="AW44">
        <f>IF(NOT(ISNUMBER($D44)),"",_xlfn.NORM.DIST(AW$1,$D44,$E44,TRUE)-_xlfn.NORM.DIST(AW$2,$D44,$E44,TRUE))</f>
        <v/>
      </c>
      <c r="AX44">
        <f>IF(NOT(ISNUMBER($D44)),"",_xlfn.NORM.DIST(AX$1,$D44,$E44,TRUE)-_xlfn.NORM.DIST(AX$2,$D44,$E44,TRUE))</f>
        <v/>
      </c>
      <c r="AY44">
        <f>IF(NOT(ISNUMBER($D44)),"",_xlfn.NORM.DIST(AY$1,$D44,$E44,TRUE)-_xlfn.NORM.DIST(AY$2,$D44,$E44,TRUE))</f>
        <v/>
      </c>
      <c r="AZ44">
        <f>IF(NOT(ISNUMBER($D44)),"",_xlfn.NORM.DIST(AZ$1,$D44,$E44,TRUE)-_xlfn.NORM.DIST(AZ$2,$D44,$E44,TRUE))</f>
        <v/>
      </c>
      <c r="BA44">
        <f>IF(NOT(ISNUMBER($D44)),"",_xlfn.NORM.DIST(BA$1,$D44,$E44,TRUE)-_xlfn.NORM.DIST(BA$2,$D44,$E44,TRUE))</f>
        <v/>
      </c>
      <c r="BB44">
        <f>IF(NOT(ISNUMBER($D44)),"",_xlfn.NORM.DIST(BB$1,$D44,$E44,TRUE)-_xlfn.NORM.DIST(BB$2,$D44,$E44,TRUE))</f>
        <v/>
      </c>
      <c r="BC44">
        <f>IF(NOT(ISNUMBER($D44)),"",_xlfn.NORM.DIST(BC$1,$D44,$E44,TRUE)-_xlfn.NORM.DIST(BC$2,$D44,$E44,TRUE))</f>
        <v/>
      </c>
      <c r="BD44">
        <f>IF(NOT(ISNUMBER($D44)),"",_xlfn.NORM.DIST(BD$1,$D44,$E44,TRUE)-_xlfn.NORM.DIST(BD$2,$D44,$E44,TRUE))</f>
        <v/>
      </c>
      <c r="BE44">
        <f>IF(NOT(ISNUMBER($D44)),"",_xlfn.NORM.DIST(BE$1,$D44,$E44,TRUE)-_xlfn.NORM.DIST(BE$2,$D44,$E44,TRUE))</f>
        <v/>
      </c>
      <c r="BF44">
        <f>IF(NOT(ISNUMBER($D44)),"",_xlfn.NORM.DIST(BF$1,$D44,$E44,TRUE)-_xlfn.NORM.DIST(BF$2,$D44,$E44,TRUE))</f>
        <v/>
      </c>
      <c r="BG44">
        <f>IF(NOT(ISNUMBER($D44)),"",_xlfn.NORM.DIST(BG$1,$D44,$E44,TRUE)-_xlfn.NORM.DIST(BG$2,$D44,$E44,TRUE))</f>
        <v/>
      </c>
      <c r="BH44">
        <f>IF(NOT(ISNUMBER($D44)),"",_xlfn.NORM.DIST(BH$1,$D44,$E44,TRUE)-_xlfn.NORM.DIST(BH$2,$D44,$E44,TRUE))</f>
        <v/>
      </c>
      <c r="BI44">
        <f>IF(NOT(ISNUMBER($D44)),"",_xlfn.NORM.DIST(BI$1,$D44,$E44,TRUE)-_xlfn.NORM.DIST(BI$2,$D44,$E44,TRUE))</f>
        <v/>
      </c>
      <c r="BJ44">
        <f>IF(NOT(ISNUMBER($D44)),"",_xlfn.NORM.DIST(BJ$1,$D44,$E44,TRUE)-_xlfn.NORM.DIST(BJ$2,$D44,$E44,TRUE))</f>
        <v/>
      </c>
      <c r="BK44">
        <f>IF(NOT(ISNUMBER($D44)),"",_xlfn.NORM.DIST(BK$1,$D44,$E44,TRUE)-_xlfn.NORM.DIST(BK$2,$D44,$E44,TRUE))</f>
        <v/>
      </c>
      <c r="BL44">
        <f>IF(NOT(ISNUMBER($D44)),"",_xlfn.NORM.DIST(BL$1,$D44,$E44,TRUE)-_xlfn.NORM.DIST(BL$2,$D44,$E44,TRUE))</f>
        <v/>
      </c>
      <c r="BM44">
        <f>IF(NOT(ISNUMBER($D44)),"",_xlfn.NORM.DIST(BM$1,$D44,$E44,TRUE)-_xlfn.NORM.DIST(BM$2,$D44,$E44,TRUE))</f>
        <v/>
      </c>
      <c r="BN44">
        <f>IF(NOT(ISNUMBER($D44)),"",_xlfn.NORM.DIST(BN$1,$D44,$E44,TRUE)-_xlfn.NORM.DIST(BN$2,$D44,$E44,TRUE))</f>
        <v/>
      </c>
      <c r="BO44">
        <f>IF(NOT(ISNUMBER($D44)),"",_xlfn.NORM.DIST(BO$1,$D44,$E44,TRUE)-_xlfn.NORM.DIST(BO$2,$D44,$E44,TRUE))</f>
        <v/>
      </c>
      <c r="BP44">
        <f>IF(NOT(ISNUMBER($D44)),"",_xlfn.NORM.DIST(BP$1,$D44,$E44,TRUE)-_xlfn.NORM.DIST(BP$2,$D44,$E44,TRUE))</f>
        <v/>
      </c>
      <c r="BQ44">
        <f>IF(NOT(ISNUMBER($D44)),"",_xlfn.NORM.DIST(BQ$1,$D44,$E44,TRUE)-_xlfn.NORM.DIST(BQ$2,$D44,$E44,TRUE))</f>
        <v/>
      </c>
      <c r="BR44">
        <f>IF(NOT(ISNUMBER($D44)),"",_xlfn.NORM.DIST(BR$1,$D44,$E44,TRUE)-_xlfn.NORM.DIST(BR$2,$D44,$E44,TRUE))</f>
        <v/>
      </c>
      <c r="BS44">
        <f>IF(NOT(ISNUMBER($D44)),"",_xlfn.NORM.DIST(BS$1,$D44,$E44,TRUE)-_xlfn.NORM.DIST(BS$2,$D44,$E44,TRUE))</f>
        <v/>
      </c>
      <c r="BT44">
        <f>IF(NOT(ISNUMBER($D44)),"",_xlfn.NORM.DIST(BT$1,$D44,$E44,TRUE)-_xlfn.NORM.DIST(BT$2,$D44,$E44,TRUE))</f>
        <v/>
      </c>
      <c r="BU44">
        <f>IF(NOT(ISNUMBER($D44)),"",_xlfn.NORM.DIST(BU$1,$D44,$E44,TRUE)-_xlfn.NORM.DIST(BU$2,$D44,$E44,TRUE))</f>
        <v/>
      </c>
      <c r="BV44">
        <f>IF(NOT(ISNUMBER($D44)),"",_xlfn.NORM.DIST(BV$1,$D44,$E44,TRUE)-_xlfn.NORM.DIST(BV$2,$D44,$E44,TRUE))</f>
        <v/>
      </c>
      <c r="BW44">
        <f>IF(NOT(ISNUMBER($D44)),"",_xlfn.NORM.DIST(BW$1,$D44,$E44,TRUE)-_xlfn.NORM.DIST(BW$2,$D44,$E44,TRUE))</f>
        <v/>
      </c>
      <c r="BX44">
        <f>IF(NOT(ISNUMBER($D44)),"",_xlfn.NORM.DIST(BX$1,$D44,$E44,TRUE)-_xlfn.NORM.DIST(BX$2,$D44,$E44,TRUE))</f>
        <v/>
      </c>
      <c r="BY44">
        <f>IF(NOT(ISNUMBER($D44)),"",_xlfn.NORM.DIST(BY$1,$D44,$E44,TRUE)-_xlfn.NORM.DIST(BY$2,$D44,$E44,TRUE))</f>
        <v/>
      </c>
      <c r="BZ44">
        <f>IF(NOT(ISNUMBER($D44)),"",_xlfn.NORM.DIST(BZ$1,$D44,$E44,TRUE)-_xlfn.NORM.DIST(BZ$2,$D44,$E44,TRUE))</f>
        <v/>
      </c>
      <c r="CA44">
        <f>IF(NOT(ISNUMBER($D44)),"",_xlfn.NORM.DIST(CA$1,$D44,$E44,TRUE)-_xlfn.NORM.DIST(CA$2,$D44,$E44,TRUE))</f>
        <v/>
      </c>
      <c r="CB44">
        <f>IF(NOT(ISNUMBER($D44)),"",_xlfn.NORM.DIST(CB$1,$D44,$E44,TRUE)-_xlfn.NORM.DIST(CB$2,$D44,$E44,TRUE))</f>
        <v/>
      </c>
      <c r="CC44">
        <f>IF(NOT(ISNUMBER($D44)),"",_xlfn.NORM.DIST(CC$1,$D44,$E44,TRUE)-_xlfn.NORM.DIST(CC$2,$D44,$E44,TRUE))</f>
        <v/>
      </c>
      <c r="CD44">
        <f>IF(NOT(ISNUMBER($D44)),"",_xlfn.NORM.DIST(CD$1,$D44,$E44,TRUE)-_xlfn.NORM.DIST(CD$2,$D44,$E44,TRUE))</f>
        <v/>
      </c>
      <c r="CE44">
        <f>IF(NOT(ISNUMBER($D44)),"",_xlfn.NORM.DIST(CE$1,$D44,$E44,TRUE)-_xlfn.NORM.DIST(CE$2,$D44,$E44,TRUE))</f>
        <v/>
      </c>
      <c r="CF44">
        <f>IF(NOT(ISNUMBER($D44)),"",_xlfn.NORM.DIST(CF$1,$D44,$E44,TRUE)-_xlfn.NORM.DIST(CF$2,$D44,$E44,TRUE))</f>
        <v/>
      </c>
      <c r="CG44">
        <f>IF(NOT(ISNUMBER($D44)),"",_xlfn.NORM.DIST(CG$1,$D44,$E44,TRUE)-_xlfn.NORM.DIST(CG$2,$D44,$E44,TRUE))</f>
        <v/>
      </c>
      <c r="CH44">
        <f>IF(NOT(ISNUMBER($D44)),"",_xlfn.NORM.DIST(CH$1,$D44,$E44,TRUE)-_xlfn.NORM.DIST(CH$2,$D44,$E44,TRUE))</f>
        <v/>
      </c>
      <c r="CI44">
        <f>IF(NOT(ISNUMBER($D44)),"",_xlfn.NORM.DIST(CI$1,$D44,$E44,TRUE)-_xlfn.NORM.DIST(CI$2,$D44,$E44,TRUE))</f>
        <v/>
      </c>
      <c r="CJ44">
        <f>IF(ISNUMBER($D44),SUM(F44:CI44),"")</f>
        <v/>
      </c>
    </row>
    <row r="45">
      <c r="A45">
        <f>economics!A44</f>
        <v/>
      </c>
      <c r="B45">
        <f>economics!B44</f>
        <v/>
      </c>
      <c r="C45">
        <f>economics!D44</f>
        <v/>
      </c>
      <c r="D45">
        <f>IF(ISNUMBER(economics!T44),economics!T44,"na")</f>
        <v/>
      </c>
      <c r="E45">
        <f>IF(ISNUMBER(D45),MAX(0.3*ABS(D45),0.000001),"na")</f>
        <v/>
      </c>
      <c r="F45">
        <f>IF(NOT(ISNUMBER($D45)),"",_xlfn.NORM.DIST(F$1,$D45,$E45,TRUE)-_xlfn.NORM.DIST(F$2,$D45,$E45,TRUE))</f>
        <v/>
      </c>
      <c r="G45">
        <f>IF(NOT(ISNUMBER($D45)),"",_xlfn.NORM.DIST(G$1,$D45,$E45,TRUE)-_xlfn.NORM.DIST(G$2,$D45,$E45,TRUE))</f>
        <v/>
      </c>
      <c r="H45">
        <f>IF(NOT(ISNUMBER($D45)),"",_xlfn.NORM.DIST(H$1,$D45,$E45,TRUE)-_xlfn.NORM.DIST(H$2,$D45,$E45,TRUE))</f>
        <v/>
      </c>
      <c r="I45">
        <f>IF(NOT(ISNUMBER($D45)),"",_xlfn.NORM.DIST(I$1,$D45,$E45,TRUE)-_xlfn.NORM.DIST(I$2,$D45,$E45,TRUE))</f>
        <v/>
      </c>
      <c r="J45">
        <f>IF(NOT(ISNUMBER($D45)),"",_xlfn.NORM.DIST(J$1,$D45,$E45,TRUE)-_xlfn.NORM.DIST(J$2,$D45,$E45,TRUE))</f>
        <v/>
      </c>
      <c r="K45">
        <f>IF(NOT(ISNUMBER($D45)),"",_xlfn.NORM.DIST(K$1,$D45,$E45,TRUE)-_xlfn.NORM.DIST(K$2,$D45,$E45,TRUE))</f>
        <v/>
      </c>
      <c r="L45">
        <f>IF(NOT(ISNUMBER($D45)),"",_xlfn.NORM.DIST(L$1,$D45,$E45,TRUE)-_xlfn.NORM.DIST(L$2,$D45,$E45,TRUE))</f>
        <v/>
      </c>
      <c r="M45">
        <f>IF(NOT(ISNUMBER($D45)),"",_xlfn.NORM.DIST(M$1,$D45,$E45,TRUE)-_xlfn.NORM.DIST(M$2,$D45,$E45,TRUE))</f>
        <v/>
      </c>
      <c r="N45">
        <f>IF(NOT(ISNUMBER($D45)),"",_xlfn.NORM.DIST(N$1,$D45,$E45,TRUE)-_xlfn.NORM.DIST(N$2,$D45,$E45,TRUE))</f>
        <v/>
      </c>
      <c r="O45">
        <f>IF(NOT(ISNUMBER($D45)),"",_xlfn.NORM.DIST(O$1,$D45,$E45,TRUE)-_xlfn.NORM.DIST(O$2,$D45,$E45,TRUE))</f>
        <v/>
      </c>
      <c r="P45">
        <f>IF(NOT(ISNUMBER($D45)),"",_xlfn.NORM.DIST(P$1,$D45,$E45,TRUE)-_xlfn.NORM.DIST(P$2,$D45,$E45,TRUE))</f>
        <v/>
      </c>
      <c r="Q45">
        <f>IF(NOT(ISNUMBER($D45)),"",_xlfn.NORM.DIST(Q$1,$D45,$E45,TRUE)-_xlfn.NORM.DIST(Q$2,$D45,$E45,TRUE))</f>
        <v/>
      </c>
      <c r="R45">
        <f>IF(NOT(ISNUMBER($D45)),"",_xlfn.NORM.DIST(R$1,$D45,$E45,TRUE)-_xlfn.NORM.DIST(R$2,$D45,$E45,TRUE))</f>
        <v/>
      </c>
      <c r="S45">
        <f>IF(NOT(ISNUMBER($D45)),"",_xlfn.NORM.DIST(S$1,$D45,$E45,TRUE)-_xlfn.NORM.DIST(S$2,$D45,$E45,TRUE))</f>
        <v/>
      </c>
      <c r="T45">
        <f>IF(NOT(ISNUMBER($D45)),"",_xlfn.NORM.DIST(T$1,$D45,$E45,TRUE)-_xlfn.NORM.DIST(T$2,$D45,$E45,TRUE))</f>
        <v/>
      </c>
      <c r="U45">
        <f>IF(NOT(ISNUMBER($D45)),"",_xlfn.NORM.DIST(U$1,$D45,$E45,TRUE)-_xlfn.NORM.DIST(U$2,$D45,$E45,TRUE))</f>
        <v/>
      </c>
      <c r="V45">
        <f>IF(NOT(ISNUMBER($D45)),"",_xlfn.NORM.DIST(V$1,$D45,$E45,TRUE)-_xlfn.NORM.DIST(V$2,$D45,$E45,TRUE))</f>
        <v/>
      </c>
      <c r="W45">
        <f>IF(NOT(ISNUMBER($D45)),"",_xlfn.NORM.DIST(W$1,$D45,$E45,TRUE)-_xlfn.NORM.DIST(W$2,$D45,$E45,TRUE))</f>
        <v/>
      </c>
      <c r="X45">
        <f>IF(NOT(ISNUMBER($D45)),"",_xlfn.NORM.DIST(X$1,$D45,$E45,TRUE)-_xlfn.NORM.DIST(X$2,$D45,$E45,TRUE))</f>
        <v/>
      </c>
      <c r="Y45">
        <f>IF(NOT(ISNUMBER($D45)),"",_xlfn.NORM.DIST(Y$1,$D45,$E45,TRUE)-_xlfn.NORM.DIST(Y$2,$D45,$E45,TRUE))</f>
        <v/>
      </c>
      <c r="Z45">
        <f>IF(NOT(ISNUMBER($D45)),"",_xlfn.NORM.DIST(Z$1,$D45,$E45,TRUE)-_xlfn.NORM.DIST(Z$2,$D45,$E45,TRUE))</f>
        <v/>
      </c>
      <c r="AA45">
        <f>IF(NOT(ISNUMBER($D45)),"",_xlfn.NORM.DIST(AA$1,$D45,$E45,TRUE)-_xlfn.NORM.DIST(AA$2,$D45,$E45,TRUE))</f>
        <v/>
      </c>
      <c r="AB45">
        <f>IF(NOT(ISNUMBER($D45)),"",_xlfn.NORM.DIST(AB$1,$D45,$E45,TRUE)-_xlfn.NORM.DIST(AB$2,$D45,$E45,TRUE))</f>
        <v/>
      </c>
      <c r="AC45">
        <f>IF(NOT(ISNUMBER($D45)),"",_xlfn.NORM.DIST(AC$1,$D45,$E45,TRUE)-_xlfn.NORM.DIST(AC$2,$D45,$E45,TRUE))</f>
        <v/>
      </c>
      <c r="AD45">
        <f>IF(NOT(ISNUMBER($D45)),"",_xlfn.NORM.DIST(AD$1,$D45,$E45,TRUE)-_xlfn.NORM.DIST(AD$2,$D45,$E45,TRUE))</f>
        <v/>
      </c>
      <c r="AE45">
        <f>IF(NOT(ISNUMBER($D45)),"",_xlfn.NORM.DIST(AE$1,$D45,$E45,TRUE)-_xlfn.NORM.DIST(AE$2,$D45,$E45,TRUE))</f>
        <v/>
      </c>
      <c r="AF45">
        <f>IF(NOT(ISNUMBER($D45)),"",_xlfn.NORM.DIST(AF$1,$D45,$E45,TRUE)-_xlfn.NORM.DIST(AF$2,$D45,$E45,TRUE))</f>
        <v/>
      </c>
      <c r="AG45">
        <f>IF(NOT(ISNUMBER($D45)),"",_xlfn.NORM.DIST(AG$1,$D45,$E45,TRUE)-_xlfn.NORM.DIST(AG$2,$D45,$E45,TRUE))</f>
        <v/>
      </c>
      <c r="AH45">
        <f>IF(NOT(ISNUMBER($D45)),"",_xlfn.NORM.DIST(AH$1,$D45,$E45,TRUE)-_xlfn.NORM.DIST(AH$2,$D45,$E45,TRUE))</f>
        <v/>
      </c>
      <c r="AI45">
        <f>IF(NOT(ISNUMBER($D45)),"",_xlfn.NORM.DIST(AI$1,$D45,$E45,TRUE)-_xlfn.NORM.DIST(AI$2,$D45,$E45,TRUE))</f>
        <v/>
      </c>
      <c r="AJ45">
        <f>IF(NOT(ISNUMBER($D45)),"",_xlfn.NORM.DIST(AJ$1,$D45,$E45,TRUE)-_xlfn.NORM.DIST(AJ$2,$D45,$E45,TRUE))</f>
        <v/>
      </c>
      <c r="AK45">
        <f>IF(NOT(ISNUMBER($D45)),"",_xlfn.NORM.DIST(AK$1,$D45,$E45,TRUE)-_xlfn.NORM.DIST(AK$2,$D45,$E45,TRUE))</f>
        <v/>
      </c>
      <c r="AL45">
        <f>IF(NOT(ISNUMBER($D45)),"",_xlfn.NORM.DIST(AL$1,$D45,$E45,TRUE)-_xlfn.NORM.DIST(AL$2,$D45,$E45,TRUE))</f>
        <v/>
      </c>
      <c r="AM45">
        <f>IF(NOT(ISNUMBER($D45)),"",_xlfn.NORM.DIST(AM$1,$D45,$E45,TRUE)-_xlfn.NORM.DIST(AM$2,$D45,$E45,TRUE))</f>
        <v/>
      </c>
      <c r="AN45">
        <f>IF(NOT(ISNUMBER($D45)),"",_xlfn.NORM.DIST(AN$1,$D45,$E45,TRUE)-_xlfn.NORM.DIST(AN$2,$D45,$E45,TRUE))</f>
        <v/>
      </c>
      <c r="AO45">
        <f>IF(NOT(ISNUMBER($D45)),"",_xlfn.NORM.DIST(AO$1,$D45,$E45,TRUE)-_xlfn.NORM.DIST(AO$2,$D45,$E45,TRUE))</f>
        <v/>
      </c>
      <c r="AP45">
        <f>IF(NOT(ISNUMBER($D45)),"",_xlfn.NORM.DIST(AP$1,$D45,$E45,TRUE)-_xlfn.NORM.DIST(AP$2,$D45,$E45,TRUE))</f>
        <v/>
      </c>
      <c r="AQ45">
        <f>IF(NOT(ISNUMBER($D45)),"",_xlfn.NORM.DIST(AQ$1,$D45,$E45,TRUE)-_xlfn.NORM.DIST(AQ$2,$D45,$E45,TRUE))</f>
        <v/>
      </c>
      <c r="AR45">
        <f>IF(NOT(ISNUMBER($D45)),"",_xlfn.NORM.DIST(AR$1,$D45,$E45,TRUE)-_xlfn.NORM.DIST(AR$2,$D45,$E45,TRUE))</f>
        <v/>
      </c>
      <c r="AS45">
        <f>IF(NOT(ISNUMBER($D45)),"",_xlfn.NORM.DIST(AS$1,$D45,$E45,TRUE)-_xlfn.NORM.DIST(AS$2,$D45,$E45,TRUE))</f>
        <v/>
      </c>
      <c r="AT45">
        <f>IF(NOT(ISNUMBER($D45)),"",_xlfn.NORM.DIST(AT$1,$D45,$E45,TRUE)-_xlfn.NORM.DIST(AT$2,$D45,$E45,TRUE))</f>
        <v/>
      </c>
      <c r="AU45">
        <f>IF(NOT(ISNUMBER($D45)),"",_xlfn.NORM.DIST(AU$1,$D45,$E45,TRUE)-_xlfn.NORM.DIST(AU$2,$D45,$E45,TRUE))</f>
        <v/>
      </c>
      <c r="AV45">
        <f>IF(NOT(ISNUMBER($D45)),"",_xlfn.NORM.DIST(AV$1,$D45,$E45,TRUE)-_xlfn.NORM.DIST(AV$2,$D45,$E45,TRUE))</f>
        <v/>
      </c>
      <c r="AW45">
        <f>IF(NOT(ISNUMBER($D45)),"",_xlfn.NORM.DIST(AW$1,$D45,$E45,TRUE)-_xlfn.NORM.DIST(AW$2,$D45,$E45,TRUE))</f>
        <v/>
      </c>
      <c r="AX45">
        <f>IF(NOT(ISNUMBER($D45)),"",_xlfn.NORM.DIST(AX$1,$D45,$E45,TRUE)-_xlfn.NORM.DIST(AX$2,$D45,$E45,TRUE))</f>
        <v/>
      </c>
      <c r="AY45">
        <f>IF(NOT(ISNUMBER($D45)),"",_xlfn.NORM.DIST(AY$1,$D45,$E45,TRUE)-_xlfn.NORM.DIST(AY$2,$D45,$E45,TRUE))</f>
        <v/>
      </c>
      <c r="AZ45">
        <f>IF(NOT(ISNUMBER($D45)),"",_xlfn.NORM.DIST(AZ$1,$D45,$E45,TRUE)-_xlfn.NORM.DIST(AZ$2,$D45,$E45,TRUE))</f>
        <v/>
      </c>
      <c r="BA45">
        <f>IF(NOT(ISNUMBER($D45)),"",_xlfn.NORM.DIST(BA$1,$D45,$E45,TRUE)-_xlfn.NORM.DIST(BA$2,$D45,$E45,TRUE))</f>
        <v/>
      </c>
      <c r="BB45">
        <f>IF(NOT(ISNUMBER($D45)),"",_xlfn.NORM.DIST(BB$1,$D45,$E45,TRUE)-_xlfn.NORM.DIST(BB$2,$D45,$E45,TRUE))</f>
        <v/>
      </c>
      <c r="BC45">
        <f>IF(NOT(ISNUMBER($D45)),"",_xlfn.NORM.DIST(BC$1,$D45,$E45,TRUE)-_xlfn.NORM.DIST(BC$2,$D45,$E45,TRUE))</f>
        <v/>
      </c>
      <c r="BD45">
        <f>IF(NOT(ISNUMBER($D45)),"",_xlfn.NORM.DIST(BD$1,$D45,$E45,TRUE)-_xlfn.NORM.DIST(BD$2,$D45,$E45,TRUE))</f>
        <v/>
      </c>
      <c r="BE45">
        <f>IF(NOT(ISNUMBER($D45)),"",_xlfn.NORM.DIST(BE$1,$D45,$E45,TRUE)-_xlfn.NORM.DIST(BE$2,$D45,$E45,TRUE))</f>
        <v/>
      </c>
      <c r="BF45">
        <f>IF(NOT(ISNUMBER($D45)),"",_xlfn.NORM.DIST(BF$1,$D45,$E45,TRUE)-_xlfn.NORM.DIST(BF$2,$D45,$E45,TRUE))</f>
        <v/>
      </c>
      <c r="BG45">
        <f>IF(NOT(ISNUMBER($D45)),"",_xlfn.NORM.DIST(BG$1,$D45,$E45,TRUE)-_xlfn.NORM.DIST(BG$2,$D45,$E45,TRUE))</f>
        <v/>
      </c>
      <c r="BH45">
        <f>IF(NOT(ISNUMBER($D45)),"",_xlfn.NORM.DIST(BH$1,$D45,$E45,TRUE)-_xlfn.NORM.DIST(BH$2,$D45,$E45,TRUE))</f>
        <v/>
      </c>
      <c r="BI45">
        <f>IF(NOT(ISNUMBER($D45)),"",_xlfn.NORM.DIST(BI$1,$D45,$E45,TRUE)-_xlfn.NORM.DIST(BI$2,$D45,$E45,TRUE))</f>
        <v/>
      </c>
      <c r="BJ45">
        <f>IF(NOT(ISNUMBER($D45)),"",_xlfn.NORM.DIST(BJ$1,$D45,$E45,TRUE)-_xlfn.NORM.DIST(BJ$2,$D45,$E45,TRUE))</f>
        <v/>
      </c>
      <c r="BK45">
        <f>IF(NOT(ISNUMBER($D45)),"",_xlfn.NORM.DIST(BK$1,$D45,$E45,TRUE)-_xlfn.NORM.DIST(BK$2,$D45,$E45,TRUE))</f>
        <v/>
      </c>
      <c r="BL45">
        <f>IF(NOT(ISNUMBER($D45)),"",_xlfn.NORM.DIST(BL$1,$D45,$E45,TRUE)-_xlfn.NORM.DIST(BL$2,$D45,$E45,TRUE))</f>
        <v/>
      </c>
      <c r="BM45">
        <f>IF(NOT(ISNUMBER($D45)),"",_xlfn.NORM.DIST(BM$1,$D45,$E45,TRUE)-_xlfn.NORM.DIST(BM$2,$D45,$E45,TRUE))</f>
        <v/>
      </c>
      <c r="BN45">
        <f>IF(NOT(ISNUMBER($D45)),"",_xlfn.NORM.DIST(BN$1,$D45,$E45,TRUE)-_xlfn.NORM.DIST(BN$2,$D45,$E45,TRUE))</f>
        <v/>
      </c>
      <c r="BO45">
        <f>IF(NOT(ISNUMBER($D45)),"",_xlfn.NORM.DIST(BO$1,$D45,$E45,TRUE)-_xlfn.NORM.DIST(BO$2,$D45,$E45,TRUE))</f>
        <v/>
      </c>
      <c r="BP45">
        <f>IF(NOT(ISNUMBER($D45)),"",_xlfn.NORM.DIST(BP$1,$D45,$E45,TRUE)-_xlfn.NORM.DIST(BP$2,$D45,$E45,TRUE))</f>
        <v/>
      </c>
      <c r="BQ45">
        <f>IF(NOT(ISNUMBER($D45)),"",_xlfn.NORM.DIST(BQ$1,$D45,$E45,TRUE)-_xlfn.NORM.DIST(BQ$2,$D45,$E45,TRUE))</f>
        <v/>
      </c>
      <c r="BR45">
        <f>IF(NOT(ISNUMBER($D45)),"",_xlfn.NORM.DIST(BR$1,$D45,$E45,TRUE)-_xlfn.NORM.DIST(BR$2,$D45,$E45,TRUE))</f>
        <v/>
      </c>
      <c r="BS45">
        <f>IF(NOT(ISNUMBER($D45)),"",_xlfn.NORM.DIST(BS$1,$D45,$E45,TRUE)-_xlfn.NORM.DIST(BS$2,$D45,$E45,TRUE))</f>
        <v/>
      </c>
      <c r="BT45">
        <f>IF(NOT(ISNUMBER($D45)),"",_xlfn.NORM.DIST(BT$1,$D45,$E45,TRUE)-_xlfn.NORM.DIST(BT$2,$D45,$E45,TRUE))</f>
        <v/>
      </c>
      <c r="BU45">
        <f>IF(NOT(ISNUMBER($D45)),"",_xlfn.NORM.DIST(BU$1,$D45,$E45,TRUE)-_xlfn.NORM.DIST(BU$2,$D45,$E45,TRUE))</f>
        <v/>
      </c>
      <c r="BV45">
        <f>IF(NOT(ISNUMBER($D45)),"",_xlfn.NORM.DIST(BV$1,$D45,$E45,TRUE)-_xlfn.NORM.DIST(BV$2,$D45,$E45,TRUE))</f>
        <v/>
      </c>
      <c r="BW45">
        <f>IF(NOT(ISNUMBER($D45)),"",_xlfn.NORM.DIST(BW$1,$D45,$E45,TRUE)-_xlfn.NORM.DIST(BW$2,$D45,$E45,TRUE))</f>
        <v/>
      </c>
      <c r="BX45">
        <f>IF(NOT(ISNUMBER($D45)),"",_xlfn.NORM.DIST(BX$1,$D45,$E45,TRUE)-_xlfn.NORM.DIST(BX$2,$D45,$E45,TRUE))</f>
        <v/>
      </c>
      <c r="BY45">
        <f>IF(NOT(ISNUMBER($D45)),"",_xlfn.NORM.DIST(BY$1,$D45,$E45,TRUE)-_xlfn.NORM.DIST(BY$2,$D45,$E45,TRUE))</f>
        <v/>
      </c>
      <c r="BZ45">
        <f>IF(NOT(ISNUMBER($D45)),"",_xlfn.NORM.DIST(BZ$1,$D45,$E45,TRUE)-_xlfn.NORM.DIST(BZ$2,$D45,$E45,TRUE))</f>
        <v/>
      </c>
      <c r="CA45">
        <f>IF(NOT(ISNUMBER($D45)),"",_xlfn.NORM.DIST(CA$1,$D45,$E45,TRUE)-_xlfn.NORM.DIST(CA$2,$D45,$E45,TRUE))</f>
        <v/>
      </c>
      <c r="CB45">
        <f>IF(NOT(ISNUMBER($D45)),"",_xlfn.NORM.DIST(CB$1,$D45,$E45,TRUE)-_xlfn.NORM.DIST(CB$2,$D45,$E45,TRUE))</f>
        <v/>
      </c>
      <c r="CC45">
        <f>IF(NOT(ISNUMBER($D45)),"",_xlfn.NORM.DIST(CC$1,$D45,$E45,TRUE)-_xlfn.NORM.DIST(CC$2,$D45,$E45,TRUE))</f>
        <v/>
      </c>
      <c r="CD45">
        <f>IF(NOT(ISNUMBER($D45)),"",_xlfn.NORM.DIST(CD$1,$D45,$E45,TRUE)-_xlfn.NORM.DIST(CD$2,$D45,$E45,TRUE))</f>
        <v/>
      </c>
      <c r="CE45">
        <f>IF(NOT(ISNUMBER($D45)),"",_xlfn.NORM.DIST(CE$1,$D45,$E45,TRUE)-_xlfn.NORM.DIST(CE$2,$D45,$E45,TRUE))</f>
        <v/>
      </c>
      <c r="CF45">
        <f>IF(NOT(ISNUMBER($D45)),"",_xlfn.NORM.DIST(CF$1,$D45,$E45,TRUE)-_xlfn.NORM.DIST(CF$2,$D45,$E45,TRUE))</f>
        <v/>
      </c>
      <c r="CG45">
        <f>IF(NOT(ISNUMBER($D45)),"",_xlfn.NORM.DIST(CG$1,$D45,$E45,TRUE)-_xlfn.NORM.DIST(CG$2,$D45,$E45,TRUE))</f>
        <v/>
      </c>
      <c r="CH45">
        <f>IF(NOT(ISNUMBER($D45)),"",_xlfn.NORM.DIST(CH$1,$D45,$E45,TRUE)-_xlfn.NORM.DIST(CH$2,$D45,$E45,TRUE))</f>
        <v/>
      </c>
      <c r="CI45">
        <f>IF(NOT(ISNUMBER($D45)),"",_xlfn.NORM.DIST(CI$1,$D45,$E45,TRUE)-_xlfn.NORM.DIST(CI$2,$D45,$E45,TRUE))</f>
        <v/>
      </c>
      <c r="CJ45">
        <f>IF(ISNUMBER($D45),SUM(F45:CI45),"")</f>
        <v/>
      </c>
    </row>
    <row r="46">
      <c r="A46">
        <f>economics!A45</f>
        <v/>
      </c>
      <c r="B46">
        <f>economics!B45</f>
        <v/>
      </c>
      <c r="C46">
        <f>economics!D45</f>
        <v/>
      </c>
      <c r="D46">
        <f>IF(ISNUMBER(economics!T45),economics!T45,"na")</f>
        <v/>
      </c>
      <c r="E46">
        <f>IF(ISNUMBER(D46),MAX(0.3*ABS(D46),0.000001),"na")</f>
        <v/>
      </c>
      <c r="F46">
        <f>IF(NOT(ISNUMBER($D46)),"",_xlfn.NORM.DIST(F$1,$D46,$E46,TRUE)-_xlfn.NORM.DIST(F$2,$D46,$E46,TRUE))</f>
        <v/>
      </c>
      <c r="G46">
        <f>IF(NOT(ISNUMBER($D46)),"",_xlfn.NORM.DIST(G$1,$D46,$E46,TRUE)-_xlfn.NORM.DIST(G$2,$D46,$E46,TRUE))</f>
        <v/>
      </c>
      <c r="H46">
        <f>IF(NOT(ISNUMBER($D46)),"",_xlfn.NORM.DIST(H$1,$D46,$E46,TRUE)-_xlfn.NORM.DIST(H$2,$D46,$E46,TRUE))</f>
        <v/>
      </c>
      <c r="I46">
        <f>IF(NOT(ISNUMBER($D46)),"",_xlfn.NORM.DIST(I$1,$D46,$E46,TRUE)-_xlfn.NORM.DIST(I$2,$D46,$E46,TRUE))</f>
        <v/>
      </c>
      <c r="J46">
        <f>IF(NOT(ISNUMBER($D46)),"",_xlfn.NORM.DIST(J$1,$D46,$E46,TRUE)-_xlfn.NORM.DIST(J$2,$D46,$E46,TRUE))</f>
        <v/>
      </c>
      <c r="K46">
        <f>IF(NOT(ISNUMBER($D46)),"",_xlfn.NORM.DIST(K$1,$D46,$E46,TRUE)-_xlfn.NORM.DIST(K$2,$D46,$E46,TRUE))</f>
        <v/>
      </c>
      <c r="L46">
        <f>IF(NOT(ISNUMBER($D46)),"",_xlfn.NORM.DIST(L$1,$D46,$E46,TRUE)-_xlfn.NORM.DIST(L$2,$D46,$E46,TRUE))</f>
        <v/>
      </c>
      <c r="M46">
        <f>IF(NOT(ISNUMBER($D46)),"",_xlfn.NORM.DIST(M$1,$D46,$E46,TRUE)-_xlfn.NORM.DIST(M$2,$D46,$E46,TRUE))</f>
        <v/>
      </c>
      <c r="N46">
        <f>IF(NOT(ISNUMBER($D46)),"",_xlfn.NORM.DIST(N$1,$D46,$E46,TRUE)-_xlfn.NORM.DIST(N$2,$D46,$E46,TRUE))</f>
        <v/>
      </c>
      <c r="O46">
        <f>IF(NOT(ISNUMBER($D46)),"",_xlfn.NORM.DIST(O$1,$D46,$E46,TRUE)-_xlfn.NORM.DIST(O$2,$D46,$E46,TRUE))</f>
        <v/>
      </c>
      <c r="P46">
        <f>IF(NOT(ISNUMBER($D46)),"",_xlfn.NORM.DIST(P$1,$D46,$E46,TRUE)-_xlfn.NORM.DIST(P$2,$D46,$E46,TRUE))</f>
        <v/>
      </c>
      <c r="Q46">
        <f>IF(NOT(ISNUMBER($D46)),"",_xlfn.NORM.DIST(Q$1,$D46,$E46,TRUE)-_xlfn.NORM.DIST(Q$2,$D46,$E46,TRUE))</f>
        <v/>
      </c>
      <c r="R46">
        <f>IF(NOT(ISNUMBER($D46)),"",_xlfn.NORM.DIST(R$1,$D46,$E46,TRUE)-_xlfn.NORM.DIST(R$2,$D46,$E46,TRUE))</f>
        <v/>
      </c>
      <c r="S46">
        <f>IF(NOT(ISNUMBER($D46)),"",_xlfn.NORM.DIST(S$1,$D46,$E46,TRUE)-_xlfn.NORM.DIST(S$2,$D46,$E46,TRUE))</f>
        <v/>
      </c>
      <c r="T46">
        <f>IF(NOT(ISNUMBER($D46)),"",_xlfn.NORM.DIST(T$1,$D46,$E46,TRUE)-_xlfn.NORM.DIST(T$2,$D46,$E46,TRUE))</f>
        <v/>
      </c>
      <c r="U46">
        <f>IF(NOT(ISNUMBER($D46)),"",_xlfn.NORM.DIST(U$1,$D46,$E46,TRUE)-_xlfn.NORM.DIST(U$2,$D46,$E46,TRUE))</f>
        <v/>
      </c>
      <c r="V46">
        <f>IF(NOT(ISNUMBER($D46)),"",_xlfn.NORM.DIST(V$1,$D46,$E46,TRUE)-_xlfn.NORM.DIST(V$2,$D46,$E46,TRUE))</f>
        <v/>
      </c>
      <c r="W46">
        <f>IF(NOT(ISNUMBER($D46)),"",_xlfn.NORM.DIST(W$1,$D46,$E46,TRUE)-_xlfn.NORM.DIST(W$2,$D46,$E46,TRUE))</f>
        <v/>
      </c>
      <c r="X46">
        <f>IF(NOT(ISNUMBER($D46)),"",_xlfn.NORM.DIST(X$1,$D46,$E46,TRUE)-_xlfn.NORM.DIST(X$2,$D46,$E46,TRUE))</f>
        <v/>
      </c>
      <c r="Y46">
        <f>IF(NOT(ISNUMBER($D46)),"",_xlfn.NORM.DIST(Y$1,$D46,$E46,TRUE)-_xlfn.NORM.DIST(Y$2,$D46,$E46,TRUE))</f>
        <v/>
      </c>
      <c r="Z46">
        <f>IF(NOT(ISNUMBER($D46)),"",_xlfn.NORM.DIST(Z$1,$D46,$E46,TRUE)-_xlfn.NORM.DIST(Z$2,$D46,$E46,TRUE))</f>
        <v/>
      </c>
      <c r="AA46">
        <f>IF(NOT(ISNUMBER($D46)),"",_xlfn.NORM.DIST(AA$1,$D46,$E46,TRUE)-_xlfn.NORM.DIST(AA$2,$D46,$E46,TRUE))</f>
        <v/>
      </c>
      <c r="AB46">
        <f>IF(NOT(ISNUMBER($D46)),"",_xlfn.NORM.DIST(AB$1,$D46,$E46,TRUE)-_xlfn.NORM.DIST(AB$2,$D46,$E46,TRUE))</f>
        <v/>
      </c>
      <c r="AC46">
        <f>IF(NOT(ISNUMBER($D46)),"",_xlfn.NORM.DIST(AC$1,$D46,$E46,TRUE)-_xlfn.NORM.DIST(AC$2,$D46,$E46,TRUE))</f>
        <v/>
      </c>
      <c r="AD46">
        <f>IF(NOT(ISNUMBER($D46)),"",_xlfn.NORM.DIST(AD$1,$D46,$E46,TRUE)-_xlfn.NORM.DIST(AD$2,$D46,$E46,TRUE))</f>
        <v/>
      </c>
      <c r="AE46">
        <f>IF(NOT(ISNUMBER($D46)),"",_xlfn.NORM.DIST(AE$1,$D46,$E46,TRUE)-_xlfn.NORM.DIST(AE$2,$D46,$E46,TRUE))</f>
        <v/>
      </c>
      <c r="AF46">
        <f>IF(NOT(ISNUMBER($D46)),"",_xlfn.NORM.DIST(AF$1,$D46,$E46,TRUE)-_xlfn.NORM.DIST(AF$2,$D46,$E46,TRUE))</f>
        <v/>
      </c>
      <c r="AG46">
        <f>IF(NOT(ISNUMBER($D46)),"",_xlfn.NORM.DIST(AG$1,$D46,$E46,TRUE)-_xlfn.NORM.DIST(AG$2,$D46,$E46,TRUE))</f>
        <v/>
      </c>
      <c r="AH46">
        <f>IF(NOT(ISNUMBER($D46)),"",_xlfn.NORM.DIST(AH$1,$D46,$E46,TRUE)-_xlfn.NORM.DIST(AH$2,$D46,$E46,TRUE))</f>
        <v/>
      </c>
      <c r="AI46">
        <f>IF(NOT(ISNUMBER($D46)),"",_xlfn.NORM.DIST(AI$1,$D46,$E46,TRUE)-_xlfn.NORM.DIST(AI$2,$D46,$E46,TRUE))</f>
        <v/>
      </c>
      <c r="AJ46">
        <f>IF(NOT(ISNUMBER($D46)),"",_xlfn.NORM.DIST(AJ$1,$D46,$E46,TRUE)-_xlfn.NORM.DIST(AJ$2,$D46,$E46,TRUE))</f>
        <v/>
      </c>
      <c r="AK46">
        <f>IF(NOT(ISNUMBER($D46)),"",_xlfn.NORM.DIST(AK$1,$D46,$E46,TRUE)-_xlfn.NORM.DIST(AK$2,$D46,$E46,TRUE))</f>
        <v/>
      </c>
      <c r="AL46">
        <f>IF(NOT(ISNUMBER($D46)),"",_xlfn.NORM.DIST(AL$1,$D46,$E46,TRUE)-_xlfn.NORM.DIST(AL$2,$D46,$E46,TRUE))</f>
        <v/>
      </c>
      <c r="AM46">
        <f>IF(NOT(ISNUMBER($D46)),"",_xlfn.NORM.DIST(AM$1,$D46,$E46,TRUE)-_xlfn.NORM.DIST(AM$2,$D46,$E46,TRUE))</f>
        <v/>
      </c>
      <c r="AN46">
        <f>IF(NOT(ISNUMBER($D46)),"",_xlfn.NORM.DIST(AN$1,$D46,$E46,TRUE)-_xlfn.NORM.DIST(AN$2,$D46,$E46,TRUE))</f>
        <v/>
      </c>
      <c r="AO46">
        <f>IF(NOT(ISNUMBER($D46)),"",_xlfn.NORM.DIST(AO$1,$D46,$E46,TRUE)-_xlfn.NORM.DIST(AO$2,$D46,$E46,TRUE))</f>
        <v/>
      </c>
      <c r="AP46">
        <f>IF(NOT(ISNUMBER($D46)),"",_xlfn.NORM.DIST(AP$1,$D46,$E46,TRUE)-_xlfn.NORM.DIST(AP$2,$D46,$E46,TRUE))</f>
        <v/>
      </c>
      <c r="AQ46">
        <f>IF(NOT(ISNUMBER($D46)),"",_xlfn.NORM.DIST(AQ$1,$D46,$E46,TRUE)-_xlfn.NORM.DIST(AQ$2,$D46,$E46,TRUE))</f>
        <v/>
      </c>
      <c r="AR46">
        <f>IF(NOT(ISNUMBER($D46)),"",_xlfn.NORM.DIST(AR$1,$D46,$E46,TRUE)-_xlfn.NORM.DIST(AR$2,$D46,$E46,TRUE))</f>
        <v/>
      </c>
      <c r="AS46">
        <f>IF(NOT(ISNUMBER($D46)),"",_xlfn.NORM.DIST(AS$1,$D46,$E46,TRUE)-_xlfn.NORM.DIST(AS$2,$D46,$E46,TRUE))</f>
        <v/>
      </c>
      <c r="AT46">
        <f>IF(NOT(ISNUMBER($D46)),"",_xlfn.NORM.DIST(AT$1,$D46,$E46,TRUE)-_xlfn.NORM.DIST(AT$2,$D46,$E46,TRUE))</f>
        <v/>
      </c>
      <c r="AU46">
        <f>IF(NOT(ISNUMBER($D46)),"",_xlfn.NORM.DIST(AU$1,$D46,$E46,TRUE)-_xlfn.NORM.DIST(AU$2,$D46,$E46,TRUE))</f>
        <v/>
      </c>
      <c r="AV46">
        <f>IF(NOT(ISNUMBER($D46)),"",_xlfn.NORM.DIST(AV$1,$D46,$E46,TRUE)-_xlfn.NORM.DIST(AV$2,$D46,$E46,TRUE))</f>
        <v/>
      </c>
      <c r="AW46">
        <f>IF(NOT(ISNUMBER($D46)),"",_xlfn.NORM.DIST(AW$1,$D46,$E46,TRUE)-_xlfn.NORM.DIST(AW$2,$D46,$E46,TRUE))</f>
        <v/>
      </c>
      <c r="AX46">
        <f>IF(NOT(ISNUMBER($D46)),"",_xlfn.NORM.DIST(AX$1,$D46,$E46,TRUE)-_xlfn.NORM.DIST(AX$2,$D46,$E46,TRUE))</f>
        <v/>
      </c>
      <c r="AY46">
        <f>IF(NOT(ISNUMBER($D46)),"",_xlfn.NORM.DIST(AY$1,$D46,$E46,TRUE)-_xlfn.NORM.DIST(AY$2,$D46,$E46,TRUE))</f>
        <v/>
      </c>
      <c r="AZ46">
        <f>IF(NOT(ISNUMBER($D46)),"",_xlfn.NORM.DIST(AZ$1,$D46,$E46,TRUE)-_xlfn.NORM.DIST(AZ$2,$D46,$E46,TRUE))</f>
        <v/>
      </c>
      <c r="BA46">
        <f>IF(NOT(ISNUMBER($D46)),"",_xlfn.NORM.DIST(BA$1,$D46,$E46,TRUE)-_xlfn.NORM.DIST(BA$2,$D46,$E46,TRUE))</f>
        <v/>
      </c>
      <c r="BB46">
        <f>IF(NOT(ISNUMBER($D46)),"",_xlfn.NORM.DIST(BB$1,$D46,$E46,TRUE)-_xlfn.NORM.DIST(BB$2,$D46,$E46,TRUE))</f>
        <v/>
      </c>
      <c r="BC46">
        <f>IF(NOT(ISNUMBER($D46)),"",_xlfn.NORM.DIST(BC$1,$D46,$E46,TRUE)-_xlfn.NORM.DIST(BC$2,$D46,$E46,TRUE))</f>
        <v/>
      </c>
      <c r="BD46">
        <f>IF(NOT(ISNUMBER($D46)),"",_xlfn.NORM.DIST(BD$1,$D46,$E46,TRUE)-_xlfn.NORM.DIST(BD$2,$D46,$E46,TRUE))</f>
        <v/>
      </c>
      <c r="BE46">
        <f>IF(NOT(ISNUMBER($D46)),"",_xlfn.NORM.DIST(BE$1,$D46,$E46,TRUE)-_xlfn.NORM.DIST(BE$2,$D46,$E46,TRUE))</f>
        <v/>
      </c>
      <c r="BF46">
        <f>IF(NOT(ISNUMBER($D46)),"",_xlfn.NORM.DIST(BF$1,$D46,$E46,TRUE)-_xlfn.NORM.DIST(BF$2,$D46,$E46,TRUE))</f>
        <v/>
      </c>
      <c r="BG46">
        <f>IF(NOT(ISNUMBER($D46)),"",_xlfn.NORM.DIST(BG$1,$D46,$E46,TRUE)-_xlfn.NORM.DIST(BG$2,$D46,$E46,TRUE))</f>
        <v/>
      </c>
      <c r="BH46">
        <f>IF(NOT(ISNUMBER($D46)),"",_xlfn.NORM.DIST(BH$1,$D46,$E46,TRUE)-_xlfn.NORM.DIST(BH$2,$D46,$E46,TRUE))</f>
        <v/>
      </c>
      <c r="BI46">
        <f>IF(NOT(ISNUMBER($D46)),"",_xlfn.NORM.DIST(BI$1,$D46,$E46,TRUE)-_xlfn.NORM.DIST(BI$2,$D46,$E46,TRUE))</f>
        <v/>
      </c>
      <c r="BJ46">
        <f>IF(NOT(ISNUMBER($D46)),"",_xlfn.NORM.DIST(BJ$1,$D46,$E46,TRUE)-_xlfn.NORM.DIST(BJ$2,$D46,$E46,TRUE))</f>
        <v/>
      </c>
      <c r="BK46">
        <f>IF(NOT(ISNUMBER($D46)),"",_xlfn.NORM.DIST(BK$1,$D46,$E46,TRUE)-_xlfn.NORM.DIST(BK$2,$D46,$E46,TRUE))</f>
        <v/>
      </c>
      <c r="BL46">
        <f>IF(NOT(ISNUMBER($D46)),"",_xlfn.NORM.DIST(BL$1,$D46,$E46,TRUE)-_xlfn.NORM.DIST(BL$2,$D46,$E46,TRUE))</f>
        <v/>
      </c>
      <c r="BM46">
        <f>IF(NOT(ISNUMBER($D46)),"",_xlfn.NORM.DIST(BM$1,$D46,$E46,TRUE)-_xlfn.NORM.DIST(BM$2,$D46,$E46,TRUE))</f>
        <v/>
      </c>
      <c r="BN46">
        <f>IF(NOT(ISNUMBER($D46)),"",_xlfn.NORM.DIST(BN$1,$D46,$E46,TRUE)-_xlfn.NORM.DIST(BN$2,$D46,$E46,TRUE))</f>
        <v/>
      </c>
      <c r="BO46">
        <f>IF(NOT(ISNUMBER($D46)),"",_xlfn.NORM.DIST(BO$1,$D46,$E46,TRUE)-_xlfn.NORM.DIST(BO$2,$D46,$E46,TRUE))</f>
        <v/>
      </c>
      <c r="BP46">
        <f>IF(NOT(ISNUMBER($D46)),"",_xlfn.NORM.DIST(BP$1,$D46,$E46,TRUE)-_xlfn.NORM.DIST(BP$2,$D46,$E46,TRUE))</f>
        <v/>
      </c>
      <c r="BQ46">
        <f>IF(NOT(ISNUMBER($D46)),"",_xlfn.NORM.DIST(BQ$1,$D46,$E46,TRUE)-_xlfn.NORM.DIST(BQ$2,$D46,$E46,TRUE))</f>
        <v/>
      </c>
      <c r="BR46">
        <f>IF(NOT(ISNUMBER($D46)),"",_xlfn.NORM.DIST(BR$1,$D46,$E46,TRUE)-_xlfn.NORM.DIST(BR$2,$D46,$E46,TRUE))</f>
        <v/>
      </c>
      <c r="BS46">
        <f>IF(NOT(ISNUMBER($D46)),"",_xlfn.NORM.DIST(BS$1,$D46,$E46,TRUE)-_xlfn.NORM.DIST(BS$2,$D46,$E46,TRUE))</f>
        <v/>
      </c>
      <c r="BT46">
        <f>IF(NOT(ISNUMBER($D46)),"",_xlfn.NORM.DIST(BT$1,$D46,$E46,TRUE)-_xlfn.NORM.DIST(BT$2,$D46,$E46,TRUE))</f>
        <v/>
      </c>
      <c r="BU46">
        <f>IF(NOT(ISNUMBER($D46)),"",_xlfn.NORM.DIST(BU$1,$D46,$E46,TRUE)-_xlfn.NORM.DIST(BU$2,$D46,$E46,TRUE))</f>
        <v/>
      </c>
      <c r="BV46">
        <f>IF(NOT(ISNUMBER($D46)),"",_xlfn.NORM.DIST(BV$1,$D46,$E46,TRUE)-_xlfn.NORM.DIST(BV$2,$D46,$E46,TRUE))</f>
        <v/>
      </c>
      <c r="BW46">
        <f>IF(NOT(ISNUMBER($D46)),"",_xlfn.NORM.DIST(BW$1,$D46,$E46,TRUE)-_xlfn.NORM.DIST(BW$2,$D46,$E46,TRUE))</f>
        <v/>
      </c>
      <c r="BX46">
        <f>IF(NOT(ISNUMBER($D46)),"",_xlfn.NORM.DIST(BX$1,$D46,$E46,TRUE)-_xlfn.NORM.DIST(BX$2,$D46,$E46,TRUE))</f>
        <v/>
      </c>
      <c r="BY46">
        <f>IF(NOT(ISNUMBER($D46)),"",_xlfn.NORM.DIST(BY$1,$D46,$E46,TRUE)-_xlfn.NORM.DIST(BY$2,$D46,$E46,TRUE))</f>
        <v/>
      </c>
      <c r="BZ46">
        <f>IF(NOT(ISNUMBER($D46)),"",_xlfn.NORM.DIST(BZ$1,$D46,$E46,TRUE)-_xlfn.NORM.DIST(BZ$2,$D46,$E46,TRUE))</f>
        <v/>
      </c>
      <c r="CA46">
        <f>IF(NOT(ISNUMBER($D46)),"",_xlfn.NORM.DIST(CA$1,$D46,$E46,TRUE)-_xlfn.NORM.DIST(CA$2,$D46,$E46,TRUE))</f>
        <v/>
      </c>
      <c r="CB46">
        <f>IF(NOT(ISNUMBER($D46)),"",_xlfn.NORM.DIST(CB$1,$D46,$E46,TRUE)-_xlfn.NORM.DIST(CB$2,$D46,$E46,TRUE))</f>
        <v/>
      </c>
      <c r="CC46">
        <f>IF(NOT(ISNUMBER($D46)),"",_xlfn.NORM.DIST(CC$1,$D46,$E46,TRUE)-_xlfn.NORM.DIST(CC$2,$D46,$E46,TRUE))</f>
        <v/>
      </c>
      <c r="CD46">
        <f>IF(NOT(ISNUMBER($D46)),"",_xlfn.NORM.DIST(CD$1,$D46,$E46,TRUE)-_xlfn.NORM.DIST(CD$2,$D46,$E46,TRUE))</f>
        <v/>
      </c>
      <c r="CE46">
        <f>IF(NOT(ISNUMBER($D46)),"",_xlfn.NORM.DIST(CE$1,$D46,$E46,TRUE)-_xlfn.NORM.DIST(CE$2,$D46,$E46,TRUE))</f>
        <v/>
      </c>
      <c r="CF46">
        <f>IF(NOT(ISNUMBER($D46)),"",_xlfn.NORM.DIST(CF$1,$D46,$E46,TRUE)-_xlfn.NORM.DIST(CF$2,$D46,$E46,TRUE))</f>
        <v/>
      </c>
      <c r="CG46">
        <f>IF(NOT(ISNUMBER($D46)),"",_xlfn.NORM.DIST(CG$1,$D46,$E46,TRUE)-_xlfn.NORM.DIST(CG$2,$D46,$E46,TRUE))</f>
        <v/>
      </c>
      <c r="CH46">
        <f>IF(NOT(ISNUMBER($D46)),"",_xlfn.NORM.DIST(CH$1,$D46,$E46,TRUE)-_xlfn.NORM.DIST(CH$2,$D46,$E46,TRUE))</f>
        <v/>
      </c>
      <c r="CI46">
        <f>IF(NOT(ISNUMBER($D46)),"",_xlfn.NORM.DIST(CI$1,$D46,$E46,TRUE)-_xlfn.NORM.DIST(CI$2,$D46,$E46,TRUE))</f>
        <v/>
      </c>
      <c r="CJ46">
        <f>IF(ISNUMBER($D46),SUM(F46:CI46),"")</f>
        <v/>
      </c>
    </row>
    <row r="47">
      <c r="A47">
        <f>economics!A46</f>
        <v/>
      </c>
      <c r="B47">
        <f>economics!B46</f>
        <v/>
      </c>
      <c r="C47">
        <f>economics!D46</f>
        <v/>
      </c>
      <c r="D47">
        <f>IF(ISNUMBER(economics!T46),economics!T46,"na")</f>
        <v/>
      </c>
      <c r="E47">
        <f>IF(ISNUMBER(D47),MAX(0.3*ABS(D47),0.000001),"na")</f>
        <v/>
      </c>
      <c r="F47">
        <f>IF(NOT(ISNUMBER($D47)),"",_xlfn.NORM.DIST(F$1,$D47,$E47,TRUE)-_xlfn.NORM.DIST(F$2,$D47,$E47,TRUE))</f>
        <v/>
      </c>
      <c r="G47">
        <f>IF(NOT(ISNUMBER($D47)),"",_xlfn.NORM.DIST(G$1,$D47,$E47,TRUE)-_xlfn.NORM.DIST(G$2,$D47,$E47,TRUE))</f>
        <v/>
      </c>
      <c r="H47">
        <f>IF(NOT(ISNUMBER($D47)),"",_xlfn.NORM.DIST(H$1,$D47,$E47,TRUE)-_xlfn.NORM.DIST(H$2,$D47,$E47,TRUE))</f>
        <v/>
      </c>
      <c r="I47">
        <f>IF(NOT(ISNUMBER($D47)),"",_xlfn.NORM.DIST(I$1,$D47,$E47,TRUE)-_xlfn.NORM.DIST(I$2,$D47,$E47,TRUE))</f>
        <v/>
      </c>
      <c r="J47">
        <f>IF(NOT(ISNUMBER($D47)),"",_xlfn.NORM.DIST(J$1,$D47,$E47,TRUE)-_xlfn.NORM.DIST(J$2,$D47,$E47,TRUE))</f>
        <v/>
      </c>
      <c r="K47">
        <f>IF(NOT(ISNUMBER($D47)),"",_xlfn.NORM.DIST(K$1,$D47,$E47,TRUE)-_xlfn.NORM.DIST(K$2,$D47,$E47,TRUE))</f>
        <v/>
      </c>
      <c r="L47">
        <f>IF(NOT(ISNUMBER($D47)),"",_xlfn.NORM.DIST(L$1,$D47,$E47,TRUE)-_xlfn.NORM.DIST(L$2,$D47,$E47,TRUE))</f>
        <v/>
      </c>
      <c r="M47">
        <f>IF(NOT(ISNUMBER($D47)),"",_xlfn.NORM.DIST(M$1,$D47,$E47,TRUE)-_xlfn.NORM.DIST(M$2,$D47,$E47,TRUE))</f>
        <v/>
      </c>
      <c r="N47">
        <f>IF(NOT(ISNUMBER($D47)),"",_xlfn.NORM.DIST(N$1,$D47,$E47,TRUE)-_xlfn.NORM.DIST(N$2,$D47,$E47,TRUE))</f>
        <v/>
      </c>
      <c r="O47">
        <f>IF(NOT(ISNUMBER($D47)),"",_xlfn.NORM.DIST(O$1,$D47,$E47,TRUE)-_xlfn.NORM.DIST(O$2,$D47,$E47,TRUE))</f>
        <v/>
      </c>
      <c r="P47">
        <f>IF(NOT(ISNUMBER($D47)),"",_xlfn.NORM.DIST(P$1,$D47,$E47,TRUE)-_xlfn.NORM.DIST(P$2,$D47,$E47,TRUE))</f>
        <v/>
      </c>
      <c r="Q47">
        <f>IF(NOT(ISNUMBER($D47)),"",_xlfn.NORM.DIST(Q$1,$D47,$E47,TRUE)-_xlfn.NORM.DIST(Q$2,$D47,$E47,TRUE))</f>
        <v/>
      </c>
      <c r="R47">
        <f>IF(NOT(ISNUMBER($D47)),"",_xlfn.NORM.DIST(R$1,$D47,$E47,TRUE)-_xlfn.NORM.DIST(R$2,$D47,$E47,TRUE))</f>
        <v/>
      </c>
      <c r="S47">
        <f>IF(NOT(ISNUMBER($D47)),"",_xlfn.NORM.DIST(S$1,$D47,$E47,TRUE)-_xlfn.NORM.DIST(S$2,$D47,$E47,TRUE))</f>
        <v/>
      </c>
      <c r="T47">
        <f>IF(NOT(ISNUMBER($D47)),"",_xlfn.NORM.DIST(T$1,$D47,$E47,TRUE)-_xlfn.NORM.DIST(T$2,$D47,$E47,TRUE))</f>
        <v/>
      </c>
      <c r="U47">
        <f>IF(NOT(ISNUMBER($D47)),"",_xlfn.NORM.DIST(U$1,$D47,$E47,TRUE)-_xlfn.NORM.DIST(U$2,$D47,$E47,TRUE))</f>
        <v/>
      </c>
      <c r="V47">
        <f>IF(NOT(ISNUMBER($D47)),"",_xlfn.NORM.DIST(V$1,$D47,$E47,TRUE)-_xlfn.NORM.DIST(V$2,$D47,$E47,TRUE))</f>
        <v/>
      </c>
      <c r="W47">
        <f>IF(NOT(ISNUMBER($D47)),"",_xlfn.NORM.DIST(W$1,$D47,$E47,TRUE)-_xlfn.NORM.DIST(W$2,$D47,$E47,TRUE))</f>
        <v/>
      </c>
      <c r="X47">
        <f>IF(NOT(ISNUMBER($D47)),"",_xlfn.NORM.DIST(X$1,$D47,$E47,TRUE)-_xlfn.NORM.DIST(X$2,$D47,$E47,TRUE))</f>
        <v/>
      </c>
      <c r="Y47">
        <f>IF(NOT(ISNUMBER($D47)),"",_xlfn.NORM.DIST(Y$1,$D47,$E47,TRUE)-_xlfn.NORM.DIST(Y$2,$D47,$E47,TRUE))</f>
        <v/>
      </c>
      <c r="Z47">
        <f>IF(NOT(ISNUMBER($D47)),"",_xlfn.NORM.DIST(Z$1,$D47,$E47,TRUE)-_xlfn.NORM.DIST(Z$2,$D47,$E47,TRUE))</f>
        <v/>
      </c>
      <c r="AA47">
        <f>IF(NOT(ISNUMBER($D47)),"",_xlfn.NORM.DIST(AA$1,$D47,$E47,TRUE)-_xlfn.NORM.DIST(AA$2,$D47,$E47,TRUE))</f>
        <v/>
      </c>
      <c r="AB47">
        <f>IF(NOT(ISNUMBER($D47)),"",_xlfn.NORM.DIST(AB$1,$D47,$E47,TRUE)-_xlfn.NORM.DIST(AB$2,$D47,$E47,TRUE))</f>
        <v/>
      </c>
      <c r="AC47">
        <f>IF(NOT(ISNUMBER($D47)),"",_xlfn.NORM.DIST(AC$1,$D47,$E47,TRUE)-_xlfn.NORM.DIST(AC$2,$D47,$E47,TRUE))</f>
        <v/>
      </c>
      <c r="AD47">
        <f>IF(NOT(ISNUMBER($D47)),"",_xlfn.NORM.DIST(AD$1,$D47,$E47,TRUE)-_xlfn.NORM.DIST(AD$2,$D47,$E47,TRUE))</f>
        <v/>
      </c>
      <c r="AE47">
        <f>IF(NOT(ISNUMBER($D47)),"",_xlfn.NORM.DIST(AE$1,$D47,$E47,TRUE)-_xlfn.NORM.DIST(AE$2,$D47,$E47,TRUE))</f>
        <v/>
      </c>
      <c r="AF47">
        <f>IF(NOT(ISNUMBER($D47)),"",_xlfn.NORM.DIST(AF$1,$D47,$E47,TRUE)-_xlfn.NORM.DIST(AF$2,$D47,$E47,TRUE))</f>
        <v/>
      </c>
      <c r="AG47">
        <f>IF(NOT(ISNUMBER($D47)),"",_xlfn.NORM.DIST(AG$1,$D47,$E47,TRUE)-_xlfn.NORM.DIST(AG$2,$D47,$E47,TRUE))</f>
        <v/>
      </c>
      <c r="AH47">
        <f>IF(NOT(ISNUMBER($D47)),"",_xlfn.NORM.DIST(AH$1,$D47,$E47,TRUE)-_xlfn.NORM.DIST(AH$2,$D47,$E47,TRUE))</f>
        <v/>
      </c>
      <c r="AI47">
        <f>IF(NOT(ISNUMBER($D47)),"",_xlfn.NORM.DIST(AI$1,$D47,$E47,TRUE)-_xlfn.NORM.DIST(AI$2,$D47,$E47,TRUE))</f>
        <v/>
      </c>
      <c r="AJ47">
        <f>IF(NOT(ISNUMBER($D47)),"",_xlfn.NORM.DIST(AJ$1,$D47,$E47,TRUE)-_xlfn.NORM.DIST(AJ$2,$D47,$E47,TRUE))</f>
        <v/>
      </c>
      <c r="AK47">
        <f>IF(NOT(ISNUMBER($D47)),"",_xlfn.NORM.DIST(AK$1,$D47,$E47,TRUE)-_xlfn.NORM.DIST(AK$2,$D47,$E47,TRUE))</f>
        <v/>
      </c>
      <c r="AL47">
        <f>IF(NOT(ISNUMBER($D47)),"",_xlfn.NORM.DIST(AL$1,$D47,$E47,TRUE)-_xlfn.NORM.DIST(AL$2,$D47,$E47,TRUE))</f>
        <v/>
      </c>
      <c r="AM47">
        <f>IF(NOT(ISNUMBER($D47)),"",_xlfn.NORM.DIST(AM$1,$D47,$E47,TRUE)-_xlfn.NORM.DIST(AM$2,$D47,$E47,TRUE))</f>
        <v/>
      </c>
      <c r="AN47">
        <f>IF(NOT(ISNUMBER($D47)),"",_xlfn.NORM.DIST(AN$1,$D47,$E47,TRUE)-_xlfn.NORM.DIST(AN$2,$D47,$E47,TRUE))</f>
        <v/>
      </c>
      <c r="AO47">
        <f>IF(NOT(ISNUMBER($D47)),"",_xlfn.NORM.DIST(AO$1,$D47,$E47,TRUE)-_xlfn.NORM.DIST(AO$2,$D47,$E47,TRUE))</f>
        <v/>
      </c>
      <c r="AP47">
        <f>IF(NOT(ISNUMBER($D47)),"",_xlfn.NORM.DIST(AP$1,$D47,$E47,TRUE)-_xlfn.NORM.DIST(AP$2,$D47,$E47,TRUE))</f>
        <v/>
      </c>
      <c r="AQ47">
        <f>IF(NOT(ISNUMBER($D47)),"",_xlfn.NORM.DIST(AQ$1,$D47,$E47,TRUE)-_xlfn.NORM.DIST(AQ$2,$D47,$E47,TRUE))</f>
        <v/>
      </c>
      <c r="AR47">
        <f>IF(NOT(ISNUMBER($D47)),"",_xlfn.NORM.DIST(AR$1,$D47,$E47,TRUE)-_xlfn.NORM.DIST(AR$2,$D47,$E47,TRUE))</f>
        <v/>
      </c>
      <c r="AS47">
        <f>IF(NOT(ISNUMBER($D47)),"",_xlfn.NORM.DIST(AS$1,$D47,$E47,TRUE)-_xlfn.NORM.DIST(AS$2,$D47,$E47,TRUE))</f>
        <v/>
      </c>
      <c r="AT47">
        <f>IF(NOT(ISNUMBER($D47)),"",_xlfn.NORM.DIST(AT$1,$D47,$E47,TRUE)-_xlfn.NORM.DIST(AT$2,$D47,$E47,TRUE))</f>
        <v/>
      </c>
      <c r="AU47">
        <f>IF(NOT(ISNUMBER($D47)),"",_xlfn.NORM.DIST(AU$1,$D47,$E47,TRUE)-_xlfn.NORM.DIST(AU$2,$D47,$E47,TRUE))</f>
        <v/>
      </c>
      <c r="AV47">
        <f>IF(NOT(ISNUMBER($D47)),"",_xlfn.NORM.DIST(AV$1,$D47,$E47,TRUE)-_xlfn.NORM.DIST(AV$2,$D47,$E47,TRUE))</f>
        <v/>
      </c>
      <c r="AW47">
        <f>IF(NOT(ISNUMBER($D47)),"",_xlfn.NORM.DIST(AW$1,$D47,$E47,TRUE)-_xlfn.NORM.DIST(AW$2,$D47,$E47,TRUE))</f>
        <v/>
      </c>
      <c r="AX47">
        <f>IF(NOT(ISNUMBER($D47)),"",_xlfn.NORM.DIST(AX$1,$D47,$E47,TRUE)-_xlfn.NORM.DIST(AX$2,$D47,$E47,TRUE))</f>
        <v/>
      </c>
      <c r="AY47">
        <f>IF(NOT(ISNUMBER($D47)),"",_xlfn.NORM.DIST(AY$1,$D47,$E47,TRUE)-_xlfn.NORM.DIST(AY$2,$D47,$E47,TRUE))</f>
        <v/>
      </c>
      <c r="AZ47">
        <f>IF(NOT(ISNUMBER($D47)),"",_xlfn.NORM.DIST(AZ$1,$D47,$E47,TRUE)-_xlfn.NORM.DIST(AZ$2,$D47,$E47,TRUE))</f>
        <v/>
      </c>
      <c r="BA47">
        <f>IF(NOT(ISNUMBER($D47)),"",_xlfn.NORM.DIST(BA$1,$D47,$E47,TRUE)-_xlfn.NORM.DIST(BA$2,$D47,$E47,TRUE))</f>
        <v/>
      </c>
      <c r="BB47">
        <f>IF(NOT(ISNUMBER($D47)),"",_xlfn.NORM.DIST(BB$1,$D47,$E47,TRUE)-_xlfn.NORM.DIST(BB$2,$D47,$E47,TRUE))</f>
        <v/>
      </c>
      <c r="BC47">
        <f>IF(NOT(ISNUMBER($D47)),"",_xlfn.NORM.DIST(BC$1,$D47,$E47,TRUE)-_xlfn.NORM.DIST(BC$2,$D47,$E47,TRUE))</f>
        <v/>
      </c>
      <c r="BD47">
        <f>IF(NOT(ISNUMBER($D47)),"",_xlfn.NORM.DIST(BD$1,$D47,$E47,TRUE)-_xlfn.NORM.DIST(BD$2,$D47,$E47,TRUE))</f>
        <v/>
      </c>
      <c r="BE47">
        <f>IF(NOT(ISNUMBER($D47)),"",_xlfn.NORM.DIST(BE$1,$D47,$E47,TRUE)-_xlfn.NORM.DIST(BE$2,$D47,$E47,TRUE))</f>
        <v/>
      </c>
      <c r="BF47">
        <f>IF(NOT(ISNUMBER($D47)),"",_xlfn.NORM.DIST(BF$1,$D47,$E47,TRUE)-_xlfn.NORM.DIST(BF$2,$D47,$E47,TRUE))</f>
        <v/>
      </c>
      <c r="BG47">
        <f>IF(NOT(ISNUMBER($D47)),"",_xlfn.NORM.DIST(BG$1,$D47,$E47,TRUE)-_xlfn.NORM.DIST(BG$2,$D47,$E47,TRUE))</f>
        <v/>
      </c>
      <c r="BH47">
        <f>IF(NOT(ISNUMBER($D47)),"",_xlfn.NORM.DIST(BH$1,$D47,$E47,TRUE)-_xlfn.NORM.DIST(BH$2,$D47,$E47,TRUE))</f>
        <v/>
      </c>
      <c r="BI47">
        <f>IF(NOT(ISNUMBER($D47)),"",_xlfn.NORM.DIST(BI$1,$D47,$E47,TRUE)-_xlfn.NORM.DIST(BI$2,$D47,$E47,TRUE))</f>
        <v/>
      </c>
      <c r="BJ47">
        <f>IF(NOT(ISNUMBER($D47)),"",_xlfn.NORM.DIST(BJ$1,$D47,$E47,TRUE)-_xlfn.NORM.DIST(BJ$2,$D47,$E47,TRUE))</f>
        <v/>
      </c>
      <c r="BK47">
        <f>IF(NOT(ISNUMBER($D47)),"",_xlfn.NORM.DIST(BK$1,$D47,$E47,TRUE)-_xlfn.NORM.DIST(BK$2,$D47,$E47,TRUE))</f>
        <v/>
      </c>
      <c r="BL47">
        <f>IF(NOT(ISNUMBER($D47)),"",_xlfn.NORM.DIST(BL$1,$D47,$E47,TRUE)-_xlfn.NORM.DIST(BL$2,$D47,$E47,TRUE))</f>
        <v/>
      </c>
      <c r="BM47">
        <f>IF(NOT(ISNUMBER($D47)),"",_xlfn.NORM.DIST(BM$1,$D47,$E47,TRUE)-_xlfn.NORM.DIST(BM$2,$D47,$E47,TRUE))</f>
        <v/>
      </c>
      <c r="BN47">
        <f>IF(NOT(ISNUMBER($D47)),"",_xlfn.NORM.DIST(BN$1,$D47,$E47,TRUE)-_xlfn.NORM.DIST(BN$2,$D47,$E47,TRUE))</f>
        <v/>
      </c>
      <c r="BO47">
        <f>IF(NOT(ISNUMBER($D47)),"",_xlfn.NORM.DIST(BO$1,$D47,$E47,TRUE)-_xlfn.NORM.DIST(BO$2,$D47,$E47,TRUE))</f>
        <v/>
      </c>
      <c r="BP47">
        <f>IF(NOT(ISNUMBER($D47)),"",_xlfn.NORM.DIST(BP$1,$D47,$E47,TRUE)-_xlfn.NORM.DIST(BP$2,$D47,$E47,TRUE))</f>
        <v/>
      </c>
      <c r="BQ47">
        <f>IF(NOT(ISNUMBER($D47)),"",_xlfn.NORM.DIST(BQ$1,$D47,$E47,TRUE)-_xlfn.NORM.DIST(BQ$2,$D47,$E47,TRUE))</f>
        <v/>
      </c>
      <c r="BR47">
        <f>IF(NOT(ISNUMBER($D47)),"",_xlfn.NORM.DIST(BR$1,$D47,$E47,TRUE)-_xlfn.NORM.DIST(BR$2,$D47,$E47,TRUE))</f>
        <v/>
      </c>
      <c r="BS47">
        <f>IF(NOT(ISNUMBER($D47)),"",_xlfn.NORM.DIST(BS$1,$D47,$E47,TRUE)-_xlfn.NORM.DIST(BS$2,$D47,$E47,TRUE))</f>
        <v/>
      </c>
      <c r="BT47">
        <f>IF(NOT(ISNUMBER($D47)),"",_xlfn.NORM.DIST(BT$1,$D47,$E47,TRUE)-_xlfn.NORM.DIST(BT$2,$D47,$E47,TRUE))</f>
        <v/>
      </c>
      <c r="BU47">
        <f>IF(NOT(ISNUMBER($D47)),"",_xlfn.NORM.DIST(BU$1,$D47,$E47,TRUE)-_xlfn.NORM.DIST(BU$2,$D47,$E47,TRUE))</f>
        <v/>
      </c>
      <c r="BV47">
        <f>IF(NOT(ISNUMBER($D47)),"",_xlfn.NORM.DIST(BV$1,$D47,$E47,TRUE)-_xlfn.NORM.DIST(BV$2,$D47,$E47,TRUE))</f>
        <v/>
      </c>
      <c r="BW47">
        <f>IF(NOT(ISNUMBER($D47)),"",_xlfn.NORM.DIST(BW$1,$D47,$E47,TRUE)-_xlfn.NORM.DIST(BW$2,$D47,$E47,TRUE))</f>
        <v/>
      </c>
      <c r="BX47">
        <f>IF(NOT(ISNUMBER($D47)),"",_xlfn.NORM.DIST(BX$1,$D47,$E47,TRUE)-_xlfn.NORM.DIST(BX$2,$D47,$E47,TRUE))</f>
        <v/>
      </c>
      <c r="BY47">
        <f>IF(NOT(ISNUMBER($D47)),"",_xlfn.NORM.DIST(BY$1,$D47,$E47,TRUE)-_xlfn.NORM.DIST(BY$2,$D47,$E47,TRUE))</f>
        <v/>
      </c>
      <c r="BZ47">
        <f>IF(NOT(ISNUMBER($D47)),"",_xlfn.NORM.DIST(BZ$1,$D47,$E47,TRUE)-_xlfn.NORM.DIST(BZ$2,$D47,$E47,TRUE))</f>
        <v/>
      </c>
      <c r="CA47">
        <f>IF(NOT(ISNUMBER($D47)),"",_xlfn.NORM.DIST(CA$1,$D47,$E47,TRUE)-_xlfn.NORM.DIST(CA$2,$D47,$E47,TRUE))</f>
        <v/>
      </c>
      <c r="CB47">
        <f>IF(NOT(ISNUMBER($D47)),"",_xlfn.NORM.DIST(CB$1,$D47,$E47,TRUE)-_xlfn.NORM.DIST(CB$2,$D47,$E47,TRUE))</f>
        <v/>
      </c>
      <c r="CC47">
        <f>IF(NOT(ISNUMBER($D47)),"",_xlfn.NORM.DIST(CC$1,$D47,$E47,TRUE)-_xlfn.NORM.DIST(CC$2,$D47,$E47,TRUE))</f>
        <v/>
      </c>
      <c r="CD47">
        <f>IF(NOT(ISNUMBER($D47)),"",_xlfn.NORM.DIST(CD$1,$D47,$E47,TRUE)-_xlfn.NORM.DIST(CD$2,$D47,$E47,TRUE))</f>
        <v/>
      </c>
      <c r="CE47">
        <f>IF(NOT(ISNUMBER($D47)),"",_xlfn.NORM.DIST(CE$1,$D47,$E47,TRUE)-_xlfn.NORM.DIST(CE$2,$D47,$E47,TRUE))</f>
        <v/>
      </c>
      <c r="CF47">
        <f>IF(NOT(ISNUMBER($D47)),"",_xlfn.NORM.DIST(CF$1,$D47,$E47,TRUE)-_xlfn.NORM.DIST(CF$2,$D47,$E47,TRUE))</f>
        <v/>
      </c>
      <c r="CG47">
        <f>IF(NOT(ISNUMBER($D47)),"",_xlfn.NORM.DIST(CG$1,$D47,$E47,TRUE)-_xlfn.NORM.DIST(CG$2,$D47,$E47,TRUE))</f>
        <v/>
      </c>
      <c r="CH47">
        <f>IF(NOT(ISNUMBER($D47)),"",_xlfn.NORM.DIST(CH$1,$D47,$E47,TRUE)-_xlfn.NORM.DIST(CH$2,$D47,$E47,TRUE))</f>
        <v/>
      </c>
      <c r="CI47">
        <f>IF(NOT(ISNUMBER($D47)),"",_xlfn.NORM.DIST(CI$1,$D47,$E47,TRUE)-_xlfn.NORM.DIST(CI$2,$D47,$E47,TRUE))</f>
        <v/>
      </c>
      <c r="CJ47">
        <f>IF(ISNUMBER($D47),SUM(F47:CI47),"")</f>
        <v/>
      </c>
    </row>
    <row r="48">
      <c r="A48">
        <f>economics!A47</f>
        <v/>
      </c>
      <c r="B48">
        <f>economics!B47</f>
        <v/>
      </c>
      <c r="C48">
        <f>economics!D47</f>
        <v/>
      </c>
      <c r="D48">
        <f>IF(ISNUMBER(economics!T47),economics!T47,"na")</f>
        <v/>
      </c>
      <c r="E48">
        <f>IF(ISNUMBER(D48),MAX(0.3*ABS(D48),0.000001),"na")</f>
        <v/>
      </c>
      <c r="F48">
        <f>IF(NOT(ISNUMBER($D48)),"",_xlfn.NORM.DIST(F$1,$D48,$E48,TRUE)-_xlfn.NORM.DIST(F$2,$D48,$E48,TRUE))</f>
        <v/>
      </c>
      <c r="G48">
        <f>IF(NOT(ISNUMBER($D48)),"",_xlfn.NORM.DIST(G$1,$D48,$E48,TRUE)-_xlfn.NORM.DIST(G$2,$D48,$E48,TRUE))</f>
        <v/>
      </c>
      <c r="H48">
        <f>IF(NOT(ISNUMBER($D48)),"",_xlfn.NORM.DIST(H$1,$D48,$E48,TRUE)-_xlfn.NORM.DIST(H$2,$D48,$E48,TRUE))</f>
        <v/>
      </c>
      <c r="I48">
        <f>IF(NOT(ISNUMBER($D48)),"",_xlfn.NORM.DIST(I$1,$D48,$E48,TRUE)-_xlfn.NORM.DIST(I$2,$D48,$E48,TRUE))</f>
        <v/>
      </c>
      <c r="J48">
        <f>IF(NOT(ISNUMBER($D48)),"",_xlfn.NORM.DIST(J$1,$D48,$E48,TRUE)-_xlfn.NORM.DIST(J$2,$D48,$E48,TRUE))</f>
        <v/>
      </c>
      <c r="K48">
        <f>IF(NOT(ISNUMBER($D48)),"",_xlfn.NORM.DIST(K$1,$D48,$E48,TRUE)-_xlfn.NORM.DIST(K$2,$D48,$E48,TRUE))</f>
        <v/>
      </c>
      <c r="L48">
        <f>IF(NOT(ISNUMBER($D48)),"",_xlfn.NORM.DIST(L$1,$D48,$E48,TRUE)-_xlfn.NORM.DIST(L$2,$D48,$E48,TRUE))</f>
        <v/>
      </c>
      <c r="M48">
        <f>IF(NOT(ISNUMBER($D48)),"",_xlfn.NORM.DIST(M$1,$D48,$E48,TRUE)-_xlfn.NORM.DIST(M$2,$D48,$E48,TRUE))</f>
        <v/>
      </c>
      <c r="N48">
        <f>IF(NOT(ISNUMBER($D48)),"",_xlfn.NORM.DIST(N$1,$D48,$E48,TRUE)-_xlfn.NORM.DIST(N$2,$D48,$E48,TRUE))</f>
        <v/>
      </c>
      <c r="O48">
        <f>IF(NOT(ISNUMBER($D48)),"",_xlfn.NORM.DIST(O$1,$D48,$E48,TRUE)-_xlfn.NORM.DIST(O$2,$D48,$E48,TRUE))</f>
        <v/>
      </c>
      <c r="P48">
        <f>IF(NOT(ISNUMBER($D48)),"",_xlfn.NORM.DIST(P$1,$D48,$E48,TRUE)-_xlfn.NORM.DIST(P$2,$D48,$E48,TRUE))</f>
        <v/>
      </c>
      <c r="Q48">
        <f>IF(NOT(ISNUMBER($D48)),"",_xlfn.NORM.DIST(Q$1,$D48,$E48,TRUE)-_xlfn.NORM.DIST(Q$2,$D48,$E48,TRUE))</f>
        <v/>
      </c>
      <c r="R48">
        <f>IF(NOT(ISNUMBER($D48)),"",_xlfn.NORM.DIST(R$1,$D48,$E48,TRUE)-_xlfn.NORM.DIST(R$2,$D48,$E48,TRUE))</f>
        <v/>
      </c>
      <c r="S48">
        <f>IF(NOT(ISNUMBER($D48)),"",_xlfn.NORM.DIST(S$1,$D48,$E48,TRUE)-_xlfn.NORM.DIST(S$2,$D48,$E48,TRUE))</f>
        <v/>
      </c>
      <c r="T48">
        <f>IF(NOT(ISNUMBER($D48)),"",_xlfn.NORM.DIST(T$1,$D48,$E48,TRUE)-_xlfn.NORM.DIST(T$2,$D48,$E48,TRUE))</f>
        <v/>
      </c>
      <c r="U48">
        <f>IF(NOT(ISNUMBER($D48)),"",_xlfn.NORM.DIST(U$1,$D48,$E48,TRUE)-_xlfn.NORM.DIST(U$2,$D48,$E48,TRUE))</f>
        <v/>
      </c>
      <c r="V48">
        <f>IF(NOT(ISNUMBER($D48)),"",_xlfn.NORM.DIST(V$1,$D48,$E48,TRUE)-_xlfn.NORM.DIST(V$2,$D48,$E48,TRUE))</f>
        <v/>
      </c>
      <c r="W48">
        <f>IF(NOT(ISNUMBER($D48)),"",_xlfn.NORM.DIST(W$1,$D48,$E48,TRUE)-_xlfn.NORM.DIST(W$2,$D48,$E48,TRUE))</f>
        <v/>
      </c>
      <c r="X48">
        <f>IF(NOT(ISNUMBER($D48)),"",_xlfn.NORM.DIST(X$1,$D48,$E48,TRUE)-_xlfn.NORM.DIST(X$2,$D48,$E48,TRUE))</f>
        <v/>
      </c>
      <c r="Y48">
        <f>IF(NOT(ISNUMBER($D48)),"",_xlfn.NORM.DIST(Y$1,$D48,$E48,TRUE)-_xlfn.NORM.DIST(Y$2,$D48,$E48,TRUE))</f>
        <v/>
      </c>
      <c r="Z48">
        <f>IF(NOT(ISNUMBER($D48)),"",_xlfn.NORM.DIST(Z$1,$D48,$E48,TRUE)-_xlfn.NORM.DIST(Z$2,$D48,$E48,TRUE))</f>
        <v/>
      </c>
      <c r="AA48">
        <f>IF(NOT(ISNUMBER($D48)),"",_xlfn.NORM.DIST(AA$1,$D48,$E48,TRUE)-_xlfn.NORM.DIST(AA$2,$D48,$E48,TRUE))</f>
        <v/>
      </c>
      <c r="AB48">
        <f>IF(NOT(ISNUMBER($D48)),"",_xlfn.NORM.DIST(AB$1,$D48,$E48,TRUE)-_xlfn.NORM.DIST(AB$2,$D48,$E48,TRUE))</f>
        <v/>
      </c>
      <c r="AC48">
        <f>IF(NOT(ISNUMBER($D48)),"",_xlfn.NORM.DIST(AC$1,$D48,$E48,TRUE)-_xlfn.NORM.DIST(AC$2,$D48,$E48,TRUE))</f>
        <v/>
      </c>
      <c r="AD48">
        <f>IF(NOT(ISNUMBER($D48)),"",_xlfn.NORM.DIST(AD$1,$D48,$E48,TRUE)-_xlfn.NORM.DIST(AD$2,$D48,$E48,TRUE))</f>
        <v/>
      </c>
      <c r="AE48">
        <f>IF(NOT(ISNUMBER($D48)),"",_xlfn.NORM.DIST(AE$1,$D48,$E48,TRUE)-_xlfn.NORM.DIST(AE$2,$D48,$E48,TRUE))</f>
        <v/>
      </c>
      <c r="AF48">
        <f>IF(NOT(ISNUMBER($D48)),"",_xlfn.NORM.DIST(AF$1,$D48,$E48,TRUE)-_xlfn.NORM.DIST(AF$2,$D48,$E48,TRUE))</f>
        <v/>
      </c>
      <c r="AG48">
        <f>IF(NOT(ISNUMBER($D48)),"",_xlfn.NORM.DIST(AG$1,$D48,$E48,TRUE)-_xlfn.NORM.DIST(AG$2,$D48,$E48,TRUE))</f>
        <v/>
      </c>
      <c r="AH48">
        <f>IF(NOT(ISNUMBER($D48)),"",_xlfn.NORM.DIST(AH$1,$D48,$E48,TRUE)-_xlfn.NORM.DIST(AH$2,$D48,$E48,TRUE))</f>
        <v/>
      </c>
      <c r="AI48">
        <f>IF(NOT(ISNUMBER($D48)),"",_xlfn.NORM.DIST(AI$1,$D48,$E48,TRUE)-_xlfn.NORM.DIST(AI$2,$D48,$E48,TRUE))</f>
        <v/>
      </c>
      <c r="AJ48">
        <f>IF(NOT(ISNUMBER($D48)),"",_xlfn.NORM.DIST(AJ$1,$D48,$E48,TRUE)-_xlfn.NORM.DIST(AJ$2,$D48,$E48,TRUE))</f>
        <v/>
      </c>
      <c r="AK48">
        <f>IF(NOT(ISNUMBER($D48)),"",_xlfn.NORM.DIST(AK$1,$D48,$E48,TRUE)-_xlfn.NORM.DIST(AK$2,$D48,$E48,TRUE))</f>
        <v/>
      </c>
      <c r="AL48">
        <f>IF(NOT(ISNUMBER($D48)),"",_xlfn.NORM.DIST(AL$1,$D48,$E48,TRUE)-_xlfn.NORM.DIST(AL$2,$D48,$E48,TRUE))</f>
        <v/>
      </c>
      <c r="AM48">
        <f>IF(NOT(ISNUMBER($D48)),"",_xlfn.NORM.DIST(AM$1,$D48,$E48,TRUE)-_xlfn.NORM.DIST(AM$2,$D48,$E48,TRUE))</f>
        <v/>
      </c>
      <c r="AN48">
        <f>IF(NOT(ISNUMBER($D48)),"",_xlfn.NORM.DIST(AN$1,$D48,$E48,TRUE)-_xlfn.NORM.DIST(AN$2,$D48,$E48,TRUE))</f>
        <v/>
      </c>
      <c r="AO48">
        <f>IF(NOT(ISNUMBER($D48)),"",_xlfn.NORM.DIST(AO$1,$D48,$E48,TRUE)-_xlfn.NORM.DIST(AO$2,$D48,$E48,TRUE))</f>
        <v/>
      </c>
      <c r="AP48">
        <f>IF(NOT(ISNUMBER($D48)),"",_xlfn.NORM.DIST(AP$1,$D48,$E48,TRUE)-_xlfn.NORM.DIST(AP$2,$D48,$E48,TRUE))</f>
        <v/>
      </c>
      <c r="AQ48">
        <f>IF(NOT(ISNUMBER($D48)),"",_xlfn.NORM.DIST(AQ$1,$D48,$E48,TRUE)-_xlfn.NORM.DIST(AQ$2,$D48,$E48,TRUE))</f>
        <v/>
      </c>
      <c r="AR48">
        <f>IF(NOT(ISNUMBER($D48)),"",_xlfn.NORM.DIST(AR$1,$D48,$E48,TRUE)-_xlfn.NORM.DIST(AR$2,$D48,$E48,TRUE))</f>
        <v/>
      </c>
      <c r="AS48">
        <f>IF(NOT(ISNUMBER($D48)),"",_xlfn.NORM.DIST(AS$1,$D48,$E48,TRUE)-_xlfn.NORM.DIST(AS$2,$D48,$E48,TRUE))</f>
        <v/>
      </c>
      <c r="AT48">
        <f>IF(NOT(ISNUMBER($D48)),"",_xlfn.NORM.DIST(AT$1,$D48,$E48,TRUE)-_xlfn.NORM.DIST(AT$2,$D48,$E48,TRUE))</f>
        <v/>
      </c>
      <c r="AU48">
        <f>IF(NOT(ISNUMBER($D48)),"",_xlfn.NORM.DIST(AU$1,$D48,$E48,TRUE)-_xlfn.NORM.DIST(AU$2,$D48,$E48,TRUE))</f>
        <v/>
      </c>
      <c r="AV48">
        <f>IF(NOT(ISNUMBER($D48)),"",_xlfn.NORM.DIST(AV$1,$D48,$E48,TRUE)-_xlfn.NORM.DIST(AV$2,$D48,$E48,TRUE))</f>
        <v/>
      </c>
      <c r="AW48">
        <f>IF(NOT(ISNUMBER($D48)),"",_xlfn.NORM.DIST(AW$1,$D48,$E48,TRUE)-_xlfn.NORM.DIST(AW$2,$D48,$E48,TRUE))</f>
        <v/>
      </c>
      <c r="AX48">
        <f>IF(NOT(ISNUMBER($D48)),"",_xlfn.NORM.DIST(AX$1,$D48,$E48,TRUE)-_xlfn.NORM.DIST(AX$2,$D48,$E48,TRUE))</f>
        <v/>
      </c>
      <c r="AY48">
        <f>IF(NOT(ISNUMBER($D48)),"",_xlfn.NORM.DIST(AY$1,$D48,$E48,TRUE)-_xlfn.NORM.DIST(AY$2,$D48,$E48,TRUE))</f>
        <v/>
      </c>
      <c r="AZ48">
        <f>IF(NOT(ISNUMBER($D48)),"",_xlfn.NORM.DIST(AZ$1,$D48,$E48,TRUE)-_xlfn.NORM.DIST(AZ$2,$D48,$E48,TRUE))</f>
        <v/>
      </c>
      <c r="BA48">
        <f>IF(NOT(ISNUMBER($D48)),"",_xlfn.NORM.DIST(BA$1,$D48,$E48,TRUE)-_xlfn.NORM.DIST(BA$2,$D48,$E48,TRUE))</f>
        <v/>
      </c>
      <c r="BB48">
        <f>IF(NOT(ISNUMBER($D48)),"",_xlfn.NORM.DIST(BB$1,$D48,$E48,TRUE)-_xlfn.NORM.DIST(BB$2,$D48,$E48,TRUE))</f>
        <v/>
      </c>
      <c r="BC48">
        <f>IF(NOT(ISNUMBER($D48)),"",_xlfn.NORM.DIST(BC$1,$D48,$E48,TRUE)-_xlfn.NORM.DIST(BC$2,$D48,$E48,TRUE))</f>
        <v/>
      </c>
      <c r="BD48">
        <f>IF(NOT(ISNUMBER($D48)),"",_xlfn.NORM.DIST(BD$1,$D48,$E48,TRUE)-_xlfn.NORM.DIST(BD$2,$D48,$E48,TRUE))</f>
        <v/>
      </c>
      <c r="BE48">
        <f>IF(NOT(ISNUMBER($D48)),"",_xlfn.NORM.DIST(BE$1,$D48,$E48,TRUE)-_xlfn.NORM.DIST(BE$2,$D48,$E48,TRUE))</f>
        <v/>
      </c>
      <c r="BF48">
        <f>IF(NOT(ISNUMBER($D48)),"",_xlfn.NORM.DIST(BF$1,$D48,$E48,TRUE)-_xlfn.NORM.DIST(BF$2,$D48,$E48,TRUE))</f>
        <v/>
      </c>
      <c r="BG48">
        <f>IF(NOT(ISNUMBER($D48)),"",_xlfn.NORM.DIST(BG$1,$D48,$E48,TRUE)-_xlfn.NORM.DIST(BG$2,$D48,$E48,TRUE))</f>
        <v/>
      </c>
      <c r="BH48">
        <f>IF(NOT(ISNUMBER($D48)),"",_xlfn.NORM.DIST(BH$1,$D48,$E48,TRUE)-_xlfn.NORM.DIST(BH$2,$D48,$E48,TRUE))</f>
        <v/>
      </c>
      <c r="BI48">
        <f>IF(NOT(ISNUMBER($D48)),"",_xlfn.NORM.DIST(BI$1,$D48,$E48,TRUE)-_xlfn.NORM.DIST(BI$2,$D48,$E48,TRUE))</f>
        <v/>
      </c>
      <c r="BJ48">
        <f>IF(NOT(ISNUMBER($D48)),"",_xlfn.NORM.DIST(BJ$1,$D48,$E48,TRUE)-_xlfn.NORM.DIST(BJ$2,$D48,$E48,TRUE))</f>
        <v/>
      </c>
      <c r="BK48">
        <f>IF(NOT(ISNUMBER($D48)),"",_xlfn.NORM.DIST(BK$1,$D48,$E48,TRUE)-_xlfn.NORM.DIST(BK$2,$D48,$E48,TRUE))</f>
        <v/>
      </c>
      <c r="BL48">
        <f>IF(NOT(ISNUMBER($D48)),"",_xlfn.NORM.DIST(BL$1,$D48,$E48,TRUE)-_xlfn.NORM.DIST(BL$2,$D48,$E48,TRUE))</f>
        <v/>
      </c>
      <c r="BM48">
        <f>IF(NOT(ISNUMBER($D48)),"",_xlfn.NORM.DIST(BM$1,$D48,$E48,TRUE)-_xlfn.NORM.DIST(BM$2,$D48,$E48,TRUE))</f>
        <v/>
      </c>
      <c r="BN48">
        <f>IF(NOT(ISNUMBER($D48)),"",_xlfn.NORM.DIST(BN$1,$D48,$E48,TRUE)-_xlfn.NORM.DIST(BN$2,$D48,$E48,TRUE))</f>
        <v/>
      </c>
      <c r="BO48">
        <f>IF(NOT(ISNUMBER($D48)),"",_xlfn.NORM.DIST(BO$1,$D48,$E48,TRUE)-_xlfn.NORM.DIST(BO$2,$D48,$E48,TRUE))</f>
        <v/>
      </c>
      <c r="BP48">
        <f>IF(NOT(ISNUMBER($D48)),"",_xlfn.NORM.DIST(BP$1,$D48,$E48,TRUE)-_xlfn.NORM.DIST(BP$2,$D48,$E48,TRUE))</f>
        <v/>
      </c>
      <c r="BQ48">
        <f>IF(NOT(ISNUMBER($D48)),"",_xlfn.NORM.DIST(BQ$1,$D48,$E48,TRUE)-_xlfn.NORM.DIST(BQ$2,$D48,$E48,TRUE))</f>
        <v/>
      </c>
      <c r="BR48">
        <f>IF(NOT(ISNUMBER($D48)),"",_xlfn.NORM.DIST(BR$1,$D48,$E48,TRUE)-_xlfn.NORM.DIST(BR$2,$D48,$E48,TRUE))</f>
        <v/>
      </c>
      <c r="BS48">
        <f>IF(NOT(ISNUMBER($D48)),"",_xlfn.NORM.DIST(BS$1,$D48,$E48,TRUE)-_xlfn.NORM.DIST(BS$2,$D48,$E48,TRUE))</f>
        <v/>
      </c>
      <c r="BT48">
        <f>IF(NOT(ISNUMBER($D48)),"",_xlfn.NORM.DIST(BT$1,$D48,$E48,TRUE)-_xlfn.NORM.DIST(BT$2,$D48,$E48,TRUE))</f>
        <v/>
      </c>
      <c r="BU48">
        <f>IF(NOT(ISNUMBER($D48)),"",_xlfn.NORM.DIST(BU$1,$D48,$E48,TRUE)-_xlfn.NORM.DIST(BU$2,$D48,$E48,TRUE))</f>
        <v/>
      </c>
      <c r="BV48">
        <f>IF(NOT(ISNUMBER($D48)),"",_xlfn.NORM.DIST(BV$1,$D48,$E48,TRUE)-_xlfn.NORM.DIST(BV$2,$D48,$E48,TRUE))</f>
        <v/>
      </c>
      <c r="BW48">
        <f>IF(NOT(ISNUMBER($D48)),"",_xlfn.NORM.DIST(BW$1,$D48,$E48,TRUE)-_xlfn.NORM.DIST(BW$2,$D48,$E48,TRUE))</f>
        <v/>
      </c>
      <c r="BX48">
        <f>IF(NOT(ISNUMBER($D48)),"",_xlfn.NORM.DIST(BX$1,$D48,$E48,TRUE)-_xlfn.NORM.DIST(BX$2,$D48,$E48,TRUE))</f>
        <v/>
      </c>
      <c r="BY48">
        <f>IF(NOT(ISNUMBER($D48)),"",_xlfn.NORM.DIST(BY$1,$D48,$E48,TRUE)-_xlfn.NORM.DIST(BY$2,$D48,$E48,TRUE))</f>
        <v/>
      </c>
      <c r="BZ48">
        <f>IF(NOT(ISNUMBER($D48)),"",_xlfn.NORM.DIST(BZ$1,$D48,$E48,TRUE)-_xlfn.NORM.DIST(BZ$2,$D48,$E48,TRUE))</f>
        <v/>
      </c>
      <c r="CA48">
        <f>IF(NOT(ISNUMBER($D48)),"",_xlfn.NORM.DIST(CA$1,$D48,$E48,TRUE)-_xlfn.NORM.DIST(CA$2,$D48,$E48,TRUE))</f>
        <v/>
      </c>
      <c r="CB48">
        <f>IF(NOT(ISNUMBER($D48)),"",_xlfn.NORM.DIST(CB$1,$D48,$E48,TRUE)-_xlfn.NORM.DIST(CB$2,$D48,$E48,TRUE))</f>
        <v/>
      </c>
      <c r="CC48">
        <f>IF(NOT(ISNUMBER($D48)),"",_xlfn.NORM.DIST(CC$1,$D48,$E48,TRUE)-_xlfn.NORM.DIST(CC$2,$D48,$E48,TRUE))</f>
        <v/>
      </c>
      <c r="CD48">
        <f>IF(NOT(ISNUMBER($D48)),"",_xlfn.NORM.DIST(CD$1,$D48,$E48,TRUE)-_xlfn.NORM.DIST(CD$2,$D48,$E48,TRUE))</f>
        <v/>
      </c>
      <c r="CE48">
        <f>IF(NOT(ISNUMBER($D48)),"",_xlfn.NORM.DIST(CE$1,$D48,$E48,TRUE)-_xlfn.NORM.DIST(CE$2,$D48,$E48,TRUE))</f>
        <v/>
      </c>
      <c r="CF48">
        <f>IF(NOT(ISNUMBER($D48)),"",_xlfn.NORM.DIST(CF$1,$D48,$E48,TRUE)-_xlfn.NORM.DIST(CF$2,$D48,$E48,TRUE))</f>
        <v/>
      </c>
      <c r="CG48">
        <f>IF(NOT(ISNUMBER($D48)),"",_xlfn.NORM.DIST(CG$1,$D48,$E48,TRUE)-_xlfn.NORM.DIST(CG$2,$D48,$E48,TRUE))</f>
        <v/>
      </c>
      <c r="CH48">
        <f>IF(NOT(ISNUMBER($D48)),"",_xlfn.NORM.DIST(CH$1,$D48,$E48,TRUE)-_xlfn.NORM.DIST(CH$2,$D48,$E48,TRUE))</f>
        <v/>
      </c>
      <c r="CI48">
        <f>IF(NOT(ISNUMBER($D48)),"",_xlfn.NORM.DIST(CI$1,$D48,$E48,TRUE)-_xlfn.NORM.DIST(CI$2,$D48,$E48,TRUE))</f>
        <v/>
      </c>
      <c r="CJ48">
        <f>IF(ISNUMBER($D48),SUM(F48:CI48),"")</f>
        <v/>
      </c>
    </row>
    <row r="49">
      <c r="A49">
        <f>economics!A48</f>
        <v/>
      </c>
      <c r="B49">
        <f>economics!B48</f>
        <v/>
      </c>
      <c r="C49">
        <f>economics!D48</f>
        <v/>
      </c>
      <c r="D49">
        <f>IF(ISNUMBER(economics!T48),economics!T48,"na")</f>
        <v/>
      </c>
      <c r="E49">
        <f>IF(ISNUMBER(D49),MAX(0.3*ABS(D49),0.000001),"na")</f>
        <v/>
      </c>
      <c r="F49">
        <f>IF(NOT(ISNUMBER($D49)),"",_xlfn.NORM.DIST(F$1,$D49,$E49,TRUE)-_xlfn.NORM.DIST(F$2,$D49,$E49,TRUE))</f>
        <v/>
      </c>
      <c r="G49">
        <f>IF(NOT(ISNUMBER($D49)),"",_xlfn.NORM.DIST(G$1,$D49,$E49,TRUE)-_xlfn.NORM.DIST(G$2,$D49,$E49,TRUE))</f>
        <v/>
      </c>
      <c r="H49">
        <f>IF(NOT(ISNUMBER($D49)),"",_xlfn.NORM.DIST(H$1,$D49,$E49,TRUE)-_xlfn.NORM.DIST(H$2,$D49,$E49,TRUE))</f>
        <v/>
      </c>
      <c r="I49">
        <f>IF(NOT(ISNUMBER($D49)),"",_xlfn.NORM.DIST(I$1,$D49,$E49,TRUE)-_xlfn.NORM.DIST(I$2,$D49,$E49,TRUE))</f>
        <v/>
      </c>
      <c r="J49">
        <f>IF(NOT(ISNUMBER($D49)),"",_xlfn.NORM.DIST(J$1,$D49,$E49,TRUE)-_xlfn.NORM.DIST(J$2,$D49,$E49,TRUE))</f>
        <v/>
      </c>
      <c r="K49">
        <f>IF(NOT(ISNUMBER($D49)),"",_xlfn.NORM.DIST(K$1,$D49,$E49,TRUE)-_xlfn.NORM.DIST(K$2,$D49,$E49,TRUE))</f>
        <v/>
      </c>
      <c r="L49">
        <f>IF(NOT(ISNUMBER($D49)),"",_xlfn.NORM.DIST(L$1,$D49,$E49,TRUE)-_xlfn.NORM.DIST(L$2,$D49,$E49,TRUE))</f>
        <v/>
      </c>
      <c r="M49">
        <f>IF(NOT(ISNUMBER($D49)),"",_xlfn.NORM.DIST(M$1,$D49,$E49,TRUE)-_xlfn.NORM.DIST(M$2,$D49,$E49,TRUE))</f>
        <v/>
      </c>
      <c r="N49">
        <f>IF(NOT(ISNUMBER($D49)),"",_xlfn.NORM.DIST(N$1,$D49,$E49,TRUE)-_xlfn.NORM.DIST(N$2,$D49,$E49,TRUE))</f>
        <v/>
      </c>
      <c r="O49">
        <f>IF(NOT(ISNUMBER($D49)),"",_xlfn.NORM.DIST(O$1,$D49,$E49,TRUE)-_xlfn.NORM.DIST(O$2,$D49,$E49,TRUE))</f>
        <v/>
      </c>
      <c r="P49">
        <f>IF(NOT(ISNUMBER($D49)),"",_xlfn.NORM.DIST(P$1,$D49,$E49,TRUE)-_xlfn.NORM.DIST(P$2,$D49,$E49,TRUE))</f>
        <v/>
      </c>
      <c r="Q49">
        <f>IF(NOT(ISNUMBER($D49)),"",_xlfn.NORM.DIST(Q$1,$D49,$E49,TRUE)-_xlfn.NORM.DIST(Q$2,$D49,$E49,TRUE))</f>
        <v/>
      </c>
      <c r="R49">
        <f>IF(NOT(ISNUMBER($D49)),"",_xlfn.NORM.DIST(R$1,$D49,$E49,TRUE)-_xlfn.NORM.DIST(R$2,$D49,$E49,TRUE))</f>
        <v/>
      </c>
      <c r="S49">
        <f>IF(NOT(ISNUMBER($D49)),"",_xlfn.NORM.DIST(S$1,$D49,$E49,TRUE)-_xlfn.NORM.DIST(S$2,$D49,$E49,TRUE))</f>
        <v/>
      </c>
      <c r="T49">
        <f>IF(NOT(ISNUMBER($D49)),"",_xlfn.NORM.DIST(T$1,$D49,$E49,TRUE)-_xlfn.NORM.DIST(T$2,$D49,$E49,TRUE))</f>
        <v/>
      </c>
      <c r="U49">
        <f>IF(NOT(ISNUMBER($D49)),"",_xlfn.NORM.DIST(U$1,$D49,$E49,TRUE)-_xlfn.NORM.DIST(U$2,$D49,$E49,TRUE))</f>
        <v/>
      </c>
      <c r="V49">
        <f>IF(NOT(ISNUMBER($D49)),"",_xlfn.NORM.DIST(V$1,$D49,$E49,TRUE)-_xlfn.NORM.DIST(V$2,$D49,$E49,TRUE))</f>
        <v/>
      </c>
      <c r="W49">
        <f>IF(NOT(ISNUMBER($D49)),"",_xlfn.NORM.DIST(W$1,$D49,$E49,TRUE)-_xlfn.NORM.DIST(W$2,$D49,$E49,TRUE))</f>
        <v/>
      </c>
      <c r="X49">
        <f>IF(NOT(ISNUMBER($D49)),"",_xlfn.NORM.DIST(X$1,$D49,$E49,TRUE)-_xlfn.NORM.DIST(X$2,$D49,$E49,TRUE))</f>
        <v/>
      </c>
      <c r="Y49">
        <f>IF(NOT(ISNUMBER($D49)),"",_xlfn.NORM.DIST(Y$1,$D49,$E49,TRUE)-_xlfn.NORM.DIST(Y$2,$D49,$E49,TRUE))</f>
        <v/>
      </c>
      <c r="Z49">
        <f>IF(NOT(ISNUMBER($D49)),"",_xlfn.NORM.DIST(Z$1,$D49,$E49,TRUE)-_xlfn.NORM.DIST(Z$2,$D49,$E49,TRUE))</f>
        <v/>
      </c>
      <c r="AA49">
        <f>IF(NOT(ISNUMBER($D49)),"",_xlfn.NORM.DIST(AA$1,$D49,$E49,TRUE)-_xlfn.NORM.DIST(AA$2,$D49,$E49,TRUE))</f>
        <v/>
      </c>
      <c r="AB49">
        <f>IF(NOT(ISNUMBER($D49)),"",_xlfn.NORM.DIST(AB$1,$D49,$E49,TRUE)-_xlfn.NORM.DIST(AB$2,$D49,$E49,TRUE))</f>
        <v/>
      </c>
      <c r="AC49">
        <f>IF(NOT(ISNUMBER($D49)),"",_xlfn.NORM.DIST(AC$1,$D49,$E49,TRUE)-_xlfn.NORM.DIST(AC$2,$D49,$E49,TRUE))</f>
        <v/>
      </c>
      <c r="AD49">
        <f>IF(NOT(ISNUMBER($D49)),"",_xlfn.NORM.DIST(AD$1,$D49,$E49,TRUE)-_xlfn.NORM.DIST(AD$2,$D49,$E49,TRUE))</f>
        <v/>
      </c>
      <c r="AE49">
        <f>IF(NOT(ISNUMBER($D49)),"",_xlfn.NORM.DIST(AE$1,$D49,$E49,TRUE)-_xlfn.NORM.DIST(AE$2,$D49,$E49,TRUE))</f>
        <v/>
      </c>
      <c r="AF49">
        <f>IF(NOT(ISNUMBER($D49)),"",_xlfn.NORM.DIST(AF$1,$D49,$E49,TRUE)-_xlfn.NORM.DIST(AF$2,$D49,$E49,TRUE))</f>
        <v/>
      </c>
      <c r="AG49">
        <f>IF(NOT(ISNUMBER($D49)),"",_xlfn.NORM.DIST(AG$1,$D49,$E49,TRUE)-_xlfn.NORM.DIST(AG$2,$D49,$E49,TRUE))</f>
        <v/>
      </c>
      <c r="AH49">
        <f>IF(NOT(ISNUMBER($D49)),"",_xlfn.NORM.DIST(AH$1,$D49,$E49,TRUE)-_xlfn.NORM.DIST(AH$2,$D49,$E49,TRUE))</f>
        <v/>
      </c>
      <c r="AI49">
        <f>IF(NOT(ISNUMBER($D49)),"",_xlfn.NORM.DIST(AI$1,$D49,$E49,TRUE)-_xlfn.NORM.DIST(AI$2,$D49,$E49,TRUE))</f>
        <v/>
      </c>
      <c r="AJ49">
        <f>IF(NOT(ISNUMBER($D49)),"",_xlfn.NORM.DIST(AJ$1,$D49,$E49,TRUE)-_xlfn.NORM.DIST(AJ$2,$D49,$E49,TRUE))</f>
        <v/>
      </c>
      <c r="AK49">
        <f>IF(NOT(ISNUMBER($D49)),"",_xlfn.NORM.DIST(AK$1,$D49,$E49,TRUE)-_xlfn.NORM.DIST(AK$2,$D49,$E49,TRUE))</f>
        <v/>
      </c>
      <c r="AL49">
        <f>IF(NOT(ISNUMBER($D49)),"",_xlfn.NORM.DIST(AL$1,$D49,$E49,TRUE)-_xlfn.NORM.DIST(AL$2,$D49,$E49,TRUE))</f>
        <v/>
      </c>
      <c r="AM49">
        <f>IF(NOT(ISNUMBER($D49)),"",_xlfn.NORM.DIST(AM$1,$D49,$E49,TRUE)-_xlfn.NORM.DIST(AM$2,$D49,$E49,TRUE))</f>
        <v/>
      </c>
      <c r="AN49">
        <f>IF(NOT(ISNUMBER($D49)),"",_xlfn.NORM.DIST(AN$1,$D49,$E49,TRUE)-_xlfn.NORM.DIST(AN$2,$D49,$E49,TRUE))</f>
        <v/>
      </c>
      <c r="AO49">
        <f>IF(NOT(ISNUMBER($D49)),"",_xlfn.NORM.DIST(AO$1,$D49,$E49,TRUE)-_xlfn.NORM.DIST(AO$2,$D49,$E49,TRUE))</f>
        <v/>
      </c>
      <c r="AP49">
        <f>IF(NOT(ISNUMBER($D49)),"",_xlfn.NORM.DIST(AP$1,$D49,$E49,TRUE)-_xlfn.NORM.DIST(AP$2,$D49,$E49,TRUE))</f>
        <v/>
      </c>
      <c r="AQ49">
        <f>IF(NOT(ISNUMBER($D49)),"",_xlfn.NORM.DIST(AQ$1,$D49,$E49,TRUE)-_xlfn.NORM.DIST(AQ$2,$D49,$E49,TRUE))</f>
        <v/>
      </c>
      <c r="AR49">
        <f>IF(NOT(ISNUMBER($D49)),"",_xlfn.NORM.DIST(AR$1,$D49,$E49,TRUE)-_xlfn.NORM.DIST(AR$2,$D49,$E49,TRUE))</f>
        <v/>
      </c>
      <c r="AS49">
        <f>IF(NOT(ISNUMBER($D49)),"",_xlfn.NORM.DIST(AS$1,$D49,$E49,TRUE)-_xlfn.NORM.DIST(AS$2,$D49,$E49,TRUE))</f>
        <v/>
      </c>
      <c r="AT49">
        <f>IF(NOT(ISNUMBER($D49)),"",_xlfn.NORM.DIST(AT$1,$D49,$E49,TRUE)-_xlfn.NORM.DIST(AT$2,$D49,$E49,TRUE))</f>
        <v/>
      </c>
      <c r="AU49">
        <f>IF(NOT(ISNUMBER($D49)),"",_xlfn.NORM.DIST(AU$1,$D49,$E49,TRUE)-_xlfn.NORM.DIST(AU$2,$D49,$E49,TRUE))</f>
        <v/>
      </c>
      <c r="AV49">
        <f>IF(NOT(ISNUMBER($D49)),"",_xlfn.NORM.DIST(AV$1,$D49,$E49,TRUE)-_xlfn.NORM.DIST(AV$2,$D49,$E49,TRUE))</f>
        <v/>
      </c>
      <c r="AW49">
        <f>IF(NOT(ISNUMBER($D49)),"",_xlfn.NORM.DIST(AW$1,$D49,$E49,TRUE)-_xlfn.NORM.DIST(AW$2,$D49,$E49,TRUE))</f>
        <v/>
      </c>
      <c r="AX49">
        <f>IF(NOT(ISNUMBER($D49)),"",_xlfn.NORM.DIST(AX$1,$D49,$E49,TRUE)-_xlfn.NORM.DIST(AX$2,$D49,$E49,TRUE))</f>
        <v/>
      </c>
      <c r="AY49">
        <f>IF(NOT(ISNUMBER($D49)),"",_xlfn.NORM.DIST(AY$1,$D49,$E49,TRUE)-_xlfn.NORM.DIST(AY$2,$D49,$E49,TRUE))</f>
        <v/>
      </c>
      <c r="AZ49">
        <f>IF(NOT(ISNUMBER($D49)),"",_xlfn.NORM.DIST(AZ$1,$D49,$E49,TRUE)-_xlfn.NORM.DIST(AZ$2,$D49,$E49,TRUE))</f>
        <v/>
      </c>
      <c r="BA49">
        <f>IF(NOT(ISNUMBER($D49)),"",_xlfn.NORM.DIST(BA$1,$D49,$E49,TRUE)-_xlfn.NORM.DIST(BA$2,$D49,$E49,TRUE))</f>
        <v/>
      </c>
      <c r="BB49">
        <f>IF(NOT(ISNUMBER($D49)),"",_xlfn.NORM.DIST(BB$1,$D49,$E49,TRUE)-_xlfn.NORM.DIST(BB$2,$D49,$E49,TRUE))</f>
        <v/>
      </c>
      <c r="BC49">
        <f>IF(NOT(ISNUMBER($D49)),"",_xlfn.NORM.DIST(BC$1,$D49,$E49,TRUE)-_xlfn.NORM.DIST(BC$2,$D49,$E49,TRUE))</f>
        <v/>
      </c>
      <c r="BD49">
        <f>IF(NOT(ISNUMBER($D49)),"",_xlfn.NORM.DIST(BD$1,$D49,$E49,TRUE)-_xlfn.NORM.DIST(BD$2,$D49,$E49,TRUE))</f>
        <v/>
      </c>
      <c r="BE49">
        <f>IF(NOT(ISNUMBER($D49)),"",_xlfn.NORM.DIST(BE$1,$D49,$E49,TRUE)-_xlfn.NORM.DIST(BE$2,$D49,$E49,TRUE))</f>
        <v/>
      </c>
      <c r="BF49">
        <f>IF(NOT(ISNUMBER($D49)),"",_xlfn.NORM.DIST(BF$1,$D49,$E49,TRUE)-_xlfn.NORM.DIST(BF$2,$D49,$E49,TRUE))</f>
        <v/>
      </c>
      <c r="BG49">
        <f>IF(NOT(ISNUMBER($D49)),"",_xlfn.NORM.DIST(BG$1,$D49,$E49,TRUE)-_xlfn.NORM.DIST(BG$2,$D49,$E49,TRUE))</f>
        <v/>
      </c>
      <c r="BH49">
        <f>IF(NOT(ISNUMBER($D49)),"",_xlfn.NORM.DIST(BH$1,$D49,$E49,TRUE)-_xlfn.NORM.DIST(BH$2,$D49,$E49,TRUE))</f>
        <v/>
      </c>
      <c r="BI49">
        <f>IF(NOT(ISNUMBER($D49)),"",_xlfn.NORM.DIST(BI$1,$D49,$E49,TRUE)-_xlfn.NORM.DIST(BI$2,$D49,$E49,TRUE))</f>
        <v/>
      </c>
      <c r="BJ49">
        <f>IF(NOT(ISNUMBER($D49)),"",_xlfn.NORM.DIST(BJ$1,$D49,$E49,TRUE)-_xlfn.NORM.DIST(BJ$2,$D49,$E49,TRUE))</f>
        <v/>
      </c>
      <c r="BK49">
        <f>IF(NOT(ISNUMBER($D49)),"",_xlfn.NORM.DIST(BK$1,$D49,$E49,TRUE)-_xlfn.NORM.DIST(BK$2,$D49,$E49,TRUE))</f>
        <v/>
      </c>
      <c r="BL49">
        <f>IF(NOT(ISNUMBER($D49)),"",_xlfn.NORM.DIST(BL$1,$D49,$E49,TRUE)-_xlfn.NORM.DIST(BL$2,$D49,$E49,TRUE))</f>
        <v/>
      </c>
      <c r="BM49">
        <f>IF(NOT(ISNUMBER($D49)),"",_xlfn.NORM.DIST(BM$1,$D49,$E49,TRUE)-_xlfn.NORM.DIST(BM$2,$D49,$E49,TRUE))</f>
        <v/>
      </c>
      <c r="BN49">
        <f>IF(NOT(ISNUMBER($D49)),"",_xlfn.NORM.DIST(BN$1,$D49,$E49,TRUE)-_xlfn.NORM.DIST(BN$2,$D49,$E49,TRUE))</f>
        <v/>
      </c>
      <c r="BO49">
        <f>IF(NOT(ISNUMBER($D49)),"",_xlfn.NORM.DIST(BO$1,$D49,$E49,TRUE)-_xlfn.NORM.DIST(BO$2,$D49,$E49,TRUE))</f>
        <v/>
      </c>
      <c r="BP49">
        <f>IF(NOT(ISNUMBER($D49)),"",_xlfn.NORM.DIST(BP$1,$D49,$E49,TRUE)-_xlfn.NORM.DIST(BP$2,$D49,$E49,TRUE))</f>
        <v/>
      </c>
      <c r="BQ49">
        <f>IF(NOT(ISNUMBER($D49)),"",_xlfn.NORM.DIST(BQ$1,$D49,$E49,TRUE)-_xlfn.NORM.DIST(BQ$2,$D49,$E49,TRUE))</f>
        <v/>
      </c>
      <c r="BR49">
        <f>IF(NOT(ISNUMBER($D49)),"",_xlfn.NORM.DIST(BR$1,$D49,$E49,TRUE)-_xlfn.NORM.DIST(BR$2,$D49,$E49,TRUE))</f>
        <v/>
      </c>
      <c r="BS49">
        <f>IF(NOT(ISNUMBER($D49)),"",_xlfn.NORM.DIST(BS$1,$D49,$E49,TRUE)-_xlfn.NORM.DIST(BS$2,$D49,$E49,TRUE))</f>
        <v/>
      </c>
      <c r="BT49">
        <f>IF(NOT(ISNUMBER($D49)),"",_xlfn.NORM.DIST(BT$1,$D49,$E49,TRUE)-_xlfn.NORM.DIST(BT$2,$D49,$E49,TRUE))</f>
        <v/>
      </c>
      <c r="BU49">
        <f>IF(NOT(ISNUMBER($D49)),"",_xlfn.NORM.DIST(BU$1,$D49,$E49,TRUE)-_xlfn.NORM.DIST(BU$2,$D49,$E49,TRUE))</f>
        <v/>
      </c>
      <c r="BV49">
        <f>IF(NOT(ISNUMBER($D49)),"",_xlfn.NORM.DIST(BV$1,$D49,$E49,TRUE)-_xlfn.NORM.DIST(BV$2,$D49,$E49,TRUE))</f>
        <v/>
      </c>
      <c r="BW49">
        <f>IF(NOT(ISNUMBER($D49)),"",_xlfn.NORM.DIST(BW$1,$D49,$E49,TRUE)-_xlfn.NORM.DIST(BW$2,$D49,$E49,TRUE))</f>
        <v/>
      </c>
      <c r="BX49">
        <f>IF(NOT(ISNUMBER($D49)),"",_xlfn.NORM.DIST(BX$1,$D49,$E49,TRUE)-_xlfn.NORM.DIST(BX$2,$D49,$E49,TRUE))</f>
        <v/>
      </c>
      <c r="BY49">
        <f>IF(NOT(ISNUMBER($D49)),"",_xlfn.NORM.DIST(BY$1,$D49,$E49,TRUE)-_xlfn.NORM.DIST(BY$2,$D49,$E49,TRUE))</f>
        <v/>
      </c>
      <c r="BZ49">
        <f>IF(NOT(ISNUMBER($D49)),"",_xlfn.NORM.DIST(BZ$1,$D49,$E49,TRUE)-_xlfn.NORM.DIST(BZ$2,$D49,$E49,TRUE))</f>
        <v/>
      </c>
      <c r="CA49">
        <f>IF(NOT(ISNUMBER($D49)),"",_xlfn.NORM.DIST(CA$1,$D49,$E49,TRUE)-_xlfn.NORM.DIST(CA$2,$D49,$E49,TRUE))</f>
        <v/>
      </c>
      <c r="CB49">
        <f>IF(NOT(ISNUMBER($D49)),"",_xlfn.NORM.DIST(CB$1,$D49,$E49,TRUE)-_xlfn.NORM.DIST(CB$2,$D49,$E49,TRUE))</f>
        <v/>
      </c>
      <c r="CC49">
        <f>IF(NOT(ISNUMBER($D49)),"",_xlfn.NORM.DIST(CC$1,$D49,$E49,TRUE)-_xlfn.NORM.DIST(CC$2,$D49,$E49,TRUE))</f>
        <v/>
      </c>
      <c r="CD49">
        <f>IF(NOT(ISNUMBER($D49)),"",_xlfn.NORM.DIST(CD$1,$D49,$E49,TRUE)-_xlfn.NORM.DIST(CD$2,$D49,$E49,TRUE))</f>
        <v/>
      </c>
      <c r="CE49">
        <f>IF(NOT(ISNUMBER($D49)),"",_xlfn.NORM.DIST(CE$1,$D49,$E49,TRUE)-_xlfn.NORM.DIST(CE$2,$D49,$E49,TRUE))</f>
        <v/>
      </c>
      <c r="CF49">
        <f>IF(NOT(ISNUMBER($D49)),"",_xlfn.NORM.DIST(CF$1,$D49,$E49,TRUE)-_xlfn.NORM.DIST(CF$2,$D49,$E49,TRUE))</f>
        <v/>
      </c>
      <c r="CG49">
        <f>IF(NOT(ISNUMBER($D49)),"",_xlfn.NORM.DIST(CG$1,$D49,$E49,TRUE)-_xlfn.NORM.DIST(CG$2,$D49,$E49,TRUE))</f>
        <v/>
      </c>
      <c r="CH49">
        <f>IF(NOT(ISNUMBER($D49)),"",_xlfn.NORM.DIST(CH$1,$D49,$E49,TRUE)-_xlfn.NORM.DIST(CH$2,$D49,$E49,TRUE))</f>
        <v/>
      </c>
      <c r="CI49">
        <f>IF(NOT(ISNUMBER($D49)),"",_xlfn.NORM.DIST(CI$1,$D49,$E49,TRUE)-_xlfn.NORM.DIST(CI$2,$D49,$E49,TRUE))</f>
        <v/>
      </c>
      <c r="CJ49">
        <f>IF(ISNUMBER($D49),SUM(F49:CI49),"")</f>
        <v/>
      </c>
    </row>
    <row r="50">
      <c r="A50">
        <f>economics!A49</f>
        <v/>
      </c>
      <c r="B50">
        <f>economics!B49</f>
        <v/>
      </c>
      <c r="C50">
        <f>economics!D49</f>
        <v/>
      </c>
      <c r="D50">
        <f>IF(ISNUMBER(economics!T49),economics!T49,"na")</f>
        <v/>
      </c>
      <c r="E50">
        <f>IF(ISNUMBER(D50),MAX(0.3*ABS(D50),0.000001),"na")</f>
        <v/>
      </c>
      <c r="F50">
        <f>IF(NOT(ISNUMBER($D50)),"",_xlfn.NORM.DIST(F$1,$D50,$E50,TRUE)-_xlfn.NORM.DIST(F$2,$D50,$E50,TRUE))</f>
        <v/>
      </c>
      <c r="G50">
        <f>IF(NOT(ISNUMBER($D50)),"",_xlfn.NORM.DIST(G$1,$D50,$E50,TRUE)-_xlfn.NORM.DIST(G$2,$D50,$E50,TRUE))</f>
        <v/>
      </c>
      <c r="H50">
        <f>IF(NOT(ISNUMBER($D50)),"",_xlfn.NORM.DIST(H$1,$D50,$E50,TRUE)-_xlfn.NORM.DIST(H$2,$D50,$E50,TRUE))</f>
        <v/>
      </c>
      <c r="I50">
        <f>IF(NOT(ISNUMBER($D50)),"",_xlfn.NORM.DIST(I$1,$D50,$E50,TRUE)-_xlfn.NORM.DIST(I$2,$D50,$E50,TRUE))</f>
        <v/>
      </c>
      <c r="J50">
        <f>IF(NOT(ISNUMBER($D50)),"",_xlfn.NORM.DIST(J$1,$D50,$E50,TRUE)-_xlfn.NORM.DIST(J$2,$D50,$E50,TRUE))</f>
        <v/>
      </c>
      <c r="K50">
        <f>IF(NOT(ISNUMBER($D50)),"",_xlfn.NORM.DIST(K$1,$D50,$E50,TRUE)-_xlfn.NORM.DIST(K$2,$D50,$E50,TRUE))</f>
        <v/>
      </c>
      <c r="L50">
        <f>IF(NOT(ISNUMBER($D50)),"",_xlfn.NORM.DIST(L$1,$D50,$E50,TRUE)-_xlfn.NORM.DIST(L$2,$D50,$E50,TRUE))</f>
        <v/>
      </c>
      <c r="M50">
        <f>IF(NOT(ISNUMBER($D50)),"",_xlfn.NORM.DIST(M$1,$D50,$E50,TRUE)-_xlfn.NORM.DIST(M$2,$D50,$E50,TRUE))</f>
        <v/>
      </c>
      <c r="N50">
        <f>IF(NOT(ISNUMBER($D50)),"",_xlfn.NORM.DIST(N$1,$D50,$E50,TRUE)-_xlfn.NORM.DIST(N$2,$D50,$E50,TRUE))</f>
        <v/>
      </c>
      <c r="O50">
        <f>IF(NOT(ISNUMBER($D50)),"",_xlfn.NORM.DIST(O$1,$D50,$E50,TRUE)-_xlfn.NORM.DIST(O$2,$D50,$E50,TRUE))</f>
        <v/>
      </c>
      <c r="P50">
        <f>IF(NOT(ISNUMBER($D50)),"",_xlfn.NORM.DIST(P$1,$D50,$E50,TRUE)-_xlfn.NORM.DIST(P$2,$D50,$E50,TRUE))</f>
        <v/>
      </c>
      <c r="Q50">
        <f>IF(NOT(ISNUMBER($D50)),"",_xlfn.NORM.DIST(Q$1,$D50,$E50,TRUE)-_xlfn.NORM.DIST(Q$2,$D50,$E50,TRUE))</f>
        <v/>
      </c>
      <c r="R50">
        <f>IF(NOT(ISNUMBER($D50)),"",_xlfn.NORM.DIST(R$1,$D50,$E50,TRUE)-_xlfn.NORM.DIST(R$2,$D50,$E50,TRUE))</f>
        <v/>
      </c>
      <c r="S50">
        <f>IF(NOT(ISNUMBER($D50)),"",_xlfn.NORM.DIST(S$1,$D50,$E50,TRUE)-_xlfn.NORM.DIST(S$2,$D50,$E50,TRUE))</f>
        <v/>
      </c>
      <c r="T50">
        <f>IF(NOT(ISNUMBER($D50)),"",_xlfn.NORM.DIST(T$1,$D50,$E50,TRUE)-_xlfn.NORM.DIST(T$2,$D50,$E50,TRUE))</f>
        <v/>
      </c>
      <c r="U50">
        <f>IF(NOT(ISNUMBER($D50)),"",_xlfn.NORM.DIST(U$1,$D50,$E50,TRUE)-_xlfn.NORM.DIST(U$2,$D50,$E50,TRUE))</f>
        <v/>
      </c>
      <c r="V50">
        <f>IF(NOT(ISNUMBER($D50)),"",_xlfn.NORM.DIST(V$1,$D50,$E50,TRUE)-_xlfn.NORM.DIST(V$2,$D50,$E50,TRUE))</f>
        <v/>
      </c>
      <c r="W50">
        <f>IF(NOT(ISNUMBER($D50)),"",_xlfn.NORM.DIST(W$1,$D50,$E50,TRUE)-_xlfn.NORM.DIST(W$2,$D50,$E50,TRUE))</f>
        <v/>
      </c>
      <c r="X50">
        <f>IF(NOT(ISNUMBER($D50)),"",_xlfn.NORM.DIST(X$1,$D50,$E50,TRUE)-_xlfn.NORM.DIST(X$2,$D50,$E50,TRUE))</f>
        <v/>
      </c>
      <c r="Y50">
        <f>IF(NOT(ISNUMBER($D50)),"",_xlfn.NORM.DIST(Y$1,$D50,$E50,TRUE)-_xlfn.NORM.DIST(Y$2,$D50,$E50,TRUE))</f>
        <v/>
      </c>
      <c r="Z50">
        <f>IF(NOT(ISNUMBER($D50)),"",_xlfn.NORM.DIST(Z$1,$D50,$E50,TRUE)-_xlfn.NORM.DIST(Z$2,$D50,$E50,TRUE))</f>
        <v/>
      </c>
      <c r="AA50">
        <f>IF(NOT(ISNUMBER($D50)),"",_xlfn.NORM.DIST(AA$1,$D50,$E50,TRUE)-_xlfn.NORM.DIST(AA$2,$D50,$E50,TRUE))</f>
        <v/>
      </c>
      <c r="AB50">
        <f>IF(NOT(ISNUMBER($D50)),"",_xlfn.NORM.DIST(AB$1,$D50,$E50,TRUE)-_xlfn.NORM.DIST(AB$2,$D50,$E50,TRUE))</f>
        <v/>
      </c>
      <c r="AC50">
        <f>IF(NOT(ISNUMBER($D50)),"",_xlfn.NORM.DIST(AC$1,$D50,$E50,TRUE)-_xlfn.NORM.DIST(AC$2,$D50,$E50,TRUE))</f>
        <v/>
      </c>
      <c r="AD50">
        <f>IF(NOT(ISNUMBER($D50)),"",_xlfn.NORM.DIST(AD$1,$D50,$E50,TRUE)-_xlfn.NORM.DIST(AD$2,$D50,$E50,TRUE))</f>
        <v/>
      </c>
      <c r="AE50">
        <f>IF(NOT(ISNUMBER($D50)),"",_xlfn.NORM.DIST(AE$1,$D50,$E50,TRUE)-_xlfn.NORM.DIST(AE$2,$D50,$E50,TRUE))</f>
        <v/>
      </c>
      <c r="AF50">
        <f>IF(NOT(ISNUMBER($D50)),"",_xlfn.NORM.DIST(AF$1,$D50,$E50,TRUE)-_xlfn.NORM.DIST(AF$2,$D50,$E50,TRUE))</f>
        <v/>
      </c>
      <c r="AG50">
        <f>IF(NOT(ISNUMBER($D50)),"",_xlfn.NORM.DIST(AG$1,$D50,$E50,TRUE)-_xlfn.NORM.DIST(AG$2,$D50,$E50,TRUE))</f>
        <v/>
      </c>
      <c r="AH50">
        <f>IF(NOT(ISNUMBER($D50)),"",_xlfn.NORM.DIST(AH$1,$D50,$E50,TRUE)-_xlfn.NORM.DIST(AH$2,$D50,$E50,TRUE))</f>
        <v/>
      </c>
      <c r="AI50">
        <f>IF(NOT(ISNUMBER($D50)),"",_xlfn.NORM.DIST(AI$1,$D50,$E50,TRUE)-_xlfn.NORM.DIST(AI$2,$D50,$E50,TRUE))</f>
        <v/>
      </c>
      <c r="AJ50">
        <f>IF(NOT(ISNUMBER($D50)),"",_xlfn.NORM.DIST(AJ$1,$D50,$E50,TRUE)-_xlfn.NORM.DIST(AJ$2,$D50,$E50,TRUE))</f>
        <v/>
      </c>
      <c r="AK50">
        <f>IF(NOT(ISNUMBER($D50)),"",_xlfn.NORM.DIST(AK$1,$D50,$E50,TRUE)-_xlfn.NORM.DIST(AK$2,$D50,$E50,TRUE))</f>
        <v/>
      </c>
      <c r="AL50">
        <f>IF(NOT(ISNUMBER($D50)),"",_xlfn.NORM.DIST(AL$1,$D50,$E50,TRUE)-_xlfn.NORM.DIST(AL$2,$D50,$E50,TRUE))</f>
        <v/>
      </c>
      <c r="AM50">
        <f>IF(NOT(ISNUMBER($D50)),"",_xlfn.NORM.DIST(AM$1,$D50,$E50,TRUE)-_xlfn.NORM.DIST(AM$2,$D50,$E50,TRUE))</f>
        <v/>
      </c>
      <c r="AN50">
        <f>IF(NOT(ISNUMBER($D50)),"",_xlfn.NORM.DIST(AN$1,$D50,$E50,TRUE)-_xlfn.NORM.DIST(AN$2,$D50,$E50,TRUE))</f>
        <v/>
      </c>
      <c r="AO50">
        <f>IF(NOT(ISNUMBER($D50)),"",_xlfn.NORM.DIST(AO$1,$D50,$E50,TRUE)-_xlfn.NORM.DIST(AO$2,$D50,$E50,TRUE))</f>
        <v/>
      </c>
      <c r="AP50">
        <f>IF(NOT(ISNUMBER($D50)),"",_xlfn.NORM.DIST(AP$1,$D50,$E50,TRUE)-_xlfn.NORM.DIST(AP$2,$D50,$E50,TRUE))</f>
        <v/>
      </c>
      <c r="AQ50">
        <f>IF(NOT(ISNUMBER($D50)),"",_xlfn.NORM.DIST(AQ$1,$D50,$E50,TRUE)-_xlfn.NORM.DIST(AQ$2,$D50,$E50,TRUE))</f>
        <v/>
      </c>
      <c r="AR50">
        <f>IF(NOT(ISNUMBER($D50)),"",_xlfn.NORM.DIST(AR$1,$D50,$E50,TRUE)-_xlfn.NORM.DIST(AR$2,$D50,$E50,TRUE))</f>
        <v/>
      </c>
      <c r="AS50">
        <f>IF(NOT(ISNUMBER($D50)),"",_xlfn.NORM.DIST(AS$1,$D50,$E50,TRUE)-_xlfn.NORM.DIST(AS$2,$D50,$E50,TRUE))</f>
        <v/>
      </c>
      <c r="AT50">
        <f>IF(NOT(ISNUMBER($D50)),"",_xlfn.NORM.DIST(AT$1,$D50,$E50,TRUE)-_xlfn.NORM.DIST(AT$2,$D50,$E50,TRUE))</f>
        <v/>
      </c>
      <c r="AU50">
        <f>IF(NOT(ISNUMBER($D50)),"",_xlfn.NORM.DIST(AU$1,$D50,$E50,TRUE)-_xlfn.NORM.DIST(AU$2,$D50,$E50,TRUE))</f>
        <v/>
      </c>
      <c r="AV50">
        <f>IF(NOT(ISNUMBER($D50)),"",_xlfn.NORM.DIST(AV$1,$D50,$E50,TRUE)-_xlfn.NORM.DIST(AV$2,$D50,$E50,TRUE))</f>
        <v/>
      </c>
      <c r="AW50">
        <f>IF(NOT(ISNUMBER($D50)),"",_xlfn.NORM.DIST(AW$1,$D50,$E50,TRUE)-_xlfn.NORM.DIST(AW$2,$D50,$E50,TRUE))</f>
        <v/>
      </c>
      <c r="AX50">
        <f>IF(NOT(ISNUMBER($D50)),"",_xlfn.NORM.DIST(AX$1,$D50,$E50,TRUE)-_xlfn.NORM.DIST(AX$2,$D50,$E50,TRUE))</f>
        <v/>
      </c>
      <c r="AY50">
        <f>IF(NOT(ISNUMBER($D50)),"",_xlfn.NORM.DIST(AY$1,$D50,$E50,TRUE)-_xlfn.NORM.DIST(AY$2,$D50,$E50,TRUE))</f>
        <v/>
      </c>
      <c r="AZ50">
        <f>IF(NOT(ISNUMBER($D50)),"",_xlfn.NORM.DIST(AZ$1,$D50,$E50,TRUE)-_xlfn.NORM.DIST(AZ$2,$D50,$E50,TRUE))</f>
        <v/>
      </c>
      <c r="BA50">
        <f>IF(NOT(ISNUMBER($D50)),"",_xlfn.NORM.DIST(BA$1,$D50,$E50,TRUE)-_xlfn.NORM.DIST(BA$2,$D50,$E50,TRUE))</f>
        <v/>
      </c>
      <c r="BB50">
        <f>IF(NOT(ISNUMBER($D50)),"",_xlfn.NORM.DIST(BB$1,$D50,$E50,TRUE)-_xlfn.NORM.DIST(BB$2,$D50,$E50,TRUE))</f>
        <v/>
      </c>
      <c r="BC50">
        <f>IF(NOT(ISNUMBER($D50)),"",_xlfn.NORM.DIST(BC$1,$D50,$E50,TRUE)-_xlfn.NORM.DIST(BC$2,$D50,$E50,TRUE))</f>
        <v/>
      </c>
      <c r="BD50">
        <f>IF(NOT(ISNUMBER($D50)),"",_xlfn.NORM.DIST(BD$1,$D50,$E50,TRUE)-_xlfn.NORM.DIST(BD$2,$D50,$E50,TRUE))</f>
        <v/>
      </c>
      <c r="BE50">
        <f>IF(NOT(ISNUMBER($D50)),"",_xlfn.NORM.DIST(BE$1,$D50,$E50,TRUE)-_xlfn.NORM.DIST(BE$2,$D50,$E50,TRUE))</f>
        <v/>
      </c>
      <c r="BF50">
        <f>IF(NOT(ISNUMBER($D50)),"",_xlfn.NORM.DIST(BF$1,$D50,$E50,TRUE)-_xlfn.NORM.DIST(BF$2,$D50,$E50,TRUE))</f>
        <v/>
      </c>
      <c r="BG50">
        <f>IF(NOT(ISNUMBER($D50)),"",_xlfn.NORM.DIST(BG$1,$D50,$E50,TRUE)-_xlfn.NORM.DIST(BG$2,$D50,$E50,TRUE))</f>
        <v/>
      </c>
      <c r="BH50">
        <f>IF(NOT(ISNUMBER($D50)),"",_xlfn.NORM.DIST(BH$1,$D50,$E50,TRUE)-_xlfn.NORM.DIST(BH$2,$D50,$E50,TRUE))</f>
        <v/>
      </c>
      <c r="BI50">
        <f>IF(NOT(ISNUMBER($D50)),"",_xlfn.NORM.DIST(BI$1,$D50,$E50,TRUE)-_xlfn.NORM.DIST(BI$2,$D50,$E50,TRUE))</f>
        <v/>
      </c>
      <c r="BJ50">
        <f>IF(NOT(ISNUMBER($D50)),"",_xlfn.NORM.DIST(BJ$1,$D50,$E50,TRUE)-_xlfn.NORM.DIST(BJ$2,$D50,$E50,TRUE))</f>
        <v/>
      </c>
      <c r="BK50">
        <f>IF(NOT(ISNUMBER($D50)),"",_xlfn.NORM.DIST(BK$1,$D50,$E50,TRUE)-_xlfn.NORM.DIST(BK$2,$D50,$E50,TRUE))</f>
        <v/>
      </c>
      <c r="BL50">
        <f>IF(NOT(ISNUMBER($D50)),"",_xlfn.NORM.DIST(BL$1,$D50,$E50,TRUE)-_xlfn.NORM.DIST(BL$2,$D50,$E50,TRUE))</f>
        <v/>
      </c>
      <c r="BM50">
        <f>IF(NOT(ISNUMBER($D50)),"",_xlfn.NORM.DIST(BM$1,$D50,$E50,TRUE)-_xlfn.NORM.DIST(BM$2,$D50,$E50,TRUE))</f>
        <v/>
      </c>
      <c r="BN50">
        <f>IF(NOT(ISNUMBER($D50)),"",_xlfn.NORM.DIST(BN$1,$D50,$E50,TRUE)-_xlfn.NORM.DIST(BN$2,$D50,$E50,TRUE))</f>
        <v/>
      </c>
      <c r="BO50">
        <f>IF(NOT(ISNUMBER($D50)),"",_xlfn.NORM.DIST(BO$1,$D50,$E50,TRUE)-_xlfn.NORM.DIST(BO$2,$D50,$E50,TRUE))</f>
        <v/>
      </c>
      <c r="BP50">
        <f>IF(NOT(ISNUMBER($D50)),"",_xlfn.NORM.DIST(BP$1,$D50,$E50,TRUE)-_xlfn.NORM.DIST(BP$2,$D50,$E50,TRUE))</f>
        <v/>
      </c>
      <c r="BQ50">
        <f>IF(NOT(ISNUMBER($D50)),"",_xlfn.NORM.DIST(BQ$1,$D50,$E50,TRUE)-_xlfn.NORM.DIST(BQ$2,$D50,$E50,TRUE))</f>
        <v/>
      </c>
      <c r="BR50">
        <f>IF(NOT(ISNUMBER($D50)),"",_xlfn.NORM.DIST(BR$1,$D50,$E50,TRUE)-_xlfn.NORM.DIST(BR$2,$D50,$E50,TRUE))</f>
        <v/>
      </c>
      <c r="BS50">
        <f>IF(NOT(ISNUMBER($D50)),"",_xlfn.NORM.DIST(BS$1,$D50,$E50,TRUE)-_xlfn.NORM.DIST(BS$2,$D50,$E50,TRUE))</f>
        <v/>
      </c>
      <c r="BT50">
        <f>IF(NOT(ISNUMBER($D50)),"",_xlfn.NORM.DIST(BT$1,$D50,$E50,TRUE)-_xlfn.NORM.DIST(BT$2,$D50,$E50,TRUE))</f>
        <v/>
      </c>
      <c r="BU50">
        <f>IF(NOT(ISNUMBER($D50)),"",_xlfn.NORM.DIST(BU$1,$D50,$E50,TRUE)-_xlfn.NORM.DIST(BU$2,$D50,$E50,TRUE))</f>
        <v/>
      </c>
      <c r="BV50">
        <f>IF(NOT(ISNUMBER($D50)),"",_xlfn.NORM.DIST(BV$1,$D50,$E50,TRUE)-_xlfn.NORM.DIST(BV$2,$D50,$E50,TRUE))</f>
        <v/>
      </c>
      <c r="BW50">
        <f>IF(NOT(ISNUMBER($D50)),"",_xlfn.NORM.DIST(BW$1,$D50,$E50,TRUE)-_xlfn.NORM.DIST(BW$2,$D50,$E50,TRUE))</f>
        <v/>
      </c>
      <c r="BX50">
        <f>IF(NOT(ISNUMBER($D50)),"",_xlfn.NORM.DIST(BX$1,$D50,$E50,TRUE)-_xlfn.NORM.DIST(BX$2,$D50,$E50,TRUE))</f>
        <v/>
      </c>
      <c r="BY50">
        <f>IF(NOT(ISNUMBER($D50)),"",_xlfn.NORM.DIST(BY$1,$D50,$E50,TRUE)-_xlfn.NORM.DIST(BY$2,$D50,$E50,TRUE))</f>
        <v/>
      </c>
      <c r="BZ50">
        <f>IF(NOT(ISNUMBER($D50)),"",_xlfn.NORM.DIST(BZ$1,$D50,$E50,TRUE)-_xlfn.NORM.DIST(BZ$2,$D50,$E50,TRUE))</f>
        <v/>
      </c>
      <c r="CA50">
        <f>IF(NOT(ISNUMBER($D50)),"",_xlfn.NORM.DIST(CA$1,$D50,$E50,TRUE)-_xlfn.NORM.DIST(CA$2,$D50,$E50,TRUE))</f>
        <v/>
      </c>
      <c r="CB50">
        <f>IF(NOT(ISNUMBER($D50)),"",_xlfn.NORM.DIST(CB$1,$D50,$E50,TRUE)-_xlfn.NORM.DIST(CB$2,$D50,$E50,TRUE))</f>
        <v/>
      </c>
      <c r="CC50">
        <f>IF(NOT(ISNUMBER($D50)),"",_xlfn.NORM.DIST(CC$1,$D50,$E50,TRUE)-_xlfn.NORM.DIST(CC$2,$D50,$E50,TRUE))</f>
        <v/>
      </c>
      <c r="CD50">
        <f>IF(NOT(ISNUMBER($D50)),"",_xlfn.NORM.DIST(CD$1,$D50,$E50,TRUE)-_xlfn.NORM.DIST(CD$2,$D50,$E50,TRUE))</f>
        <v/>
      </c>
      <c r="CE50">
        <f>IF(NOT(ISNUMBER($D50)),"",_xlfn.NORM.DIST(CE$1,$D50,$E50,TRUE)-_xlfn.NORM.DIST(CE$2,$D50,$E50,TRUE))</f>
        <v/>
      </c>
      <c r="CF50">
        <f>IF(NOT(ISNUMBER($D50)),"",_xlfn.NORM.DIST(CF$1,$D50,$E50,TRUE)-_xlfn.NORM.DIST(CF$2,$D50,$E50,TRUE))</f>
        <v/>
      </c>
      <c r="CG50">
        <f>IF(NOT(ISNUMBER($D50)),"",_xlfn.NORM.DIST(CG$1,$D50,$E50,TRUE)-_xlfn.NORM.DIST(CG$2,$D50,$E50,TRUE))</f>
        <v/>
      </c>
      <c r="CH50">
        <f>IF(NOT(ISNUMBER($D50)),"",_xlfn.NORM.DIST(CH$1,$D50,$E50,TRUE)-_xlfn.NORM.DIST(CH$2,$D50,$E50,TRUE))</f>
        <v/>
      </c>
      <c r="CI50">
        <f>IF(NOT(ISNUMBER($D50)),"",_xlfn.NORM.DIST(CI$1,$D50,$E50,TRUE)-_xlfn.NORM.DIST(CI$2,$D50,$E50,TRUE))</f>
        <v/>
      </c>
      <c r="CJ50">
        <f>IF(ISNUMBER($D50),SUM(F50:CI50),"")</f>
        <v/>
      </c>
    </row>
    <row r="51">
      <c r="A51">
        <f>economics!A50</f>
        <v/>
      </c>
      <c r="B51">
        <f>economics!B50</f>
        <v/>
      </c>
      <c r="C51">
        <f>economics!D50</f>
        <v/>
      </c>
      <c r="D51">
        <f>IF(ISNUMBER(economics!T50),economics!T50,"na")</f>
        <v/>
      </c>
      <c r="E51">
        <f>IF(ISNUMBER(D51),MAX(0.3*ABS(D51),0.000001),"na")</f>
        <v/>
      </c>
      <c r="F51">
        <f>IF(NOT(ISNUMBER($D51)),"",_xlfn.NORM.DIST(F$1,$D51,$E51,TRUE)-_xlfn.NORM.DIST(F$2,$D51,$E51,TRUE))</f>
        <v/>
      </c>
      <c r="G51">
        <f>IF(NOT(ISNUMBER($D51)),"",_xlfn.NORM.DIST(G$1,$D51,$E51,TRUE)-_xlfn.NORM.DIST(G$2,$D51,$E51,TRUE))</f>
        <v/>
      </c>
      <c r="H51">
        <f>IF(NOT(ISNUMBER($D51)),"",_xlfn.NORM.DIST(H$1,$D51,$E51,TRUE)-_xlfn.NORM.DIST(H$2,$D51,$E51,TRUE))</f>
        <v/>
      </c>
      <c r="I51">
        <f>IF(NOT(ISNUMBER($D51)),"",_xlfn.NORM.DIST(I$1,$D51,$E51,TRUE)-_xlfn.NORM.DIST(I$2,$D51,$E51,TRUE))</f>
        <v/>
      </c>
      <c r="J51">
        <f>IF(NOT(ISNUMBER($D51)),"",_xlfn.NORM.DIST(J$1,$D51,$E51,TRUE)-_xlfn.NORM.DIST(J$2,$D51,$E51,TRUE))</f>
        <v/>
      </c>
      <c r="K51">
        <f>IF(NOT(ISNUMBER($D51)),"",_xlfn.NORM.DIST(K$1,$D51,$E51,TRUE)-_xlfn.NORM.DIST(K$2,$D51,$E51,TRUE))</f>
        <v/>
      </c>
      <c r="L51">
        <f>IF(NOT(ISNUMBER($D51)),"",_xlfn.NORM.DIST(L$1,$D51,$E51,TRUE)-_xlfn.NORM.DIST(L$2,$D51,$E51,TRUE))</f>
        <v/>
      </c>
      <c r="M51">
        <f>IF(NOT(ISNUMBER($D51)),"",_xlfn.NORM.DIST(M$1,$D51,$E51,TRUE)-_xlfn.NORM.DIST(M$2,$D51,$E51,TRUE))</f>
        <v/>
      </c>
      <c r="N51">
        <f>IF(NOT(ISNUMBER($D51)),"",_xlfn.NORM.DIST(N$1,$D51,$E51,TRUE)-_xlfn.NORM.DIST(N$2,$D51,$E51,TRUE))</f>
        <v/>
      </c>
      <c r="O51">
        <f>IF(NOT(ISNUMBER($D51)),"",_xlfn.NORM.DIST(O$1,$D51,$E51,TRUE)-_xlfn.NORM.DIST(O$2,$D51,$E51,TRUE))</f>
        <v/>
      </c>
      <c r="P51">
        <f>IF(NOT(ISNUMBER($D51)),"",_xlfn.NORM.DIST(P$1,$D51,$E51,TRUE)-_xlfn.NORM.DIST(P$2,$D51,$E51,TRUE))</f>
        <v/>
      </c>
      <c r="Q51">
        <f>IF(NOT(ISNUMBER($D51)),"",_xlfn.NORM.DIST(Q$1,$D51,$E51,TRUE)-_xlfn.NORM.DIST(Q$2,$D51,$E51,TRUE))</f>
        <v/>
      </c>
      <c r="R51">
        <f>IF(NOT(ISNUMBER($D51)),"",_xlfn.NORM.DIST(R$1,$D51,$E51,TRUE)-_xlfn.NORM.DIST(R$2,$D51,$E51,TRUE))</f>
        <v/>
      </c>
      <c r="S51">
        <f>IF(NOT(ISNUMBER($D51)),"",_xlfn.NORM.DIST(S$1,$D51,$E51,TRUE)-_xlfn.NORM.DIST(S$2,$D51,$E51,TRUE))</f>
        <v/>
      </c>
      <c r="T51">
        <f>IF(NOT(ISNUMBER($D51)),"",_xlfn.NORM.DIST(T$1,$D51,$E51,TRUE)-_xlfn.NORM.DIST(T$2,$D51,$E51,TRUE))</f>
        <v/>
      </c>
      <c r="U51">
        <f>IF(NOT(ISNUMBER($D51)),"",_xlfn.NORM.DIST(U$1,$D51,$E51,TRUE)-_xlfn.NORM.DIST(U$2,$D51,$E51,TRUE))</f>
        <v/>
      </c>
      <c r="V51">
        <f>IF(NOT(ISNUMBER($D51)),"",_xlfn.NORM.DIST(V$1,$D51,$E51,TRUE)-_xlfn.NORM.DIST(V$2,$D51,$E51,TRUE))</f>
        <v/>
      </c>
      <c r="W51">
        <f>IF(NOT(ISNUMBER($D51)),"",_xlfn.NORM.DIST(W$1,$D51,$E51,TRUE)-_xlfn.NORM.DIST(W$2,$D51,$E51,TRUE))</f>
        <v/>
      </c>
      <c r="X51">
        <f>IF(NOT(ISNUMBER($D51)),"",_xlfn.NORM.DIST(X$1,$D51,$E51,TRUE)-_xlfn.NORM.DIST(X$2,$D51,$E51,TRUE))</f>
        <v/>
      </c>
      <c r="Y51">
        <f>IF(NOT(ISNUMBER($D51)),"",_xlfn.NORM.DIST(Y$1,$D51,$E51,TRUE)-_xlfn.NORM.DIST(Y$2,$D51,$E51,TRUE))</f>
        <v/>
      </c>
      <c r="Z51">
        <f>IF(NOT(ISNUMBER($D51)),"",_xlfn.NORM.DIST(Z$1,$D51,$E51,TRUE)-_xlfn.NORM.DIST(Z$2,$D51,$E51,TRUE))</f>
        <v/>
      </c>
      <c r="AA51">
        <f>IF(NOT(ISNUMBER($D51)),"",_xlfn.NORM.DIST(AA$1,$D51,$E51,TRUE)-_xlfn.NORM.DIST(AA$2,$D51,$E51,TRUE))</f>
        <v/>
      </c>
      <c r="AB51">
        <f>IF(NOT(ISNUMBER($D51)),"",_xlfn.NORM.DIST(AB$1,$D51,$E51,TRUE)-_xlfn.NORM.DIST(AB$2,$D51,$E51,TRUE))</f>
        <v/>
      </c>
      <c r="AC51">
        <f>IF(NOT(ISNUMBER($D51)),"",_xlfn.NORM.DIST(AC$1,$D51,$E51,TRUE)-_xlfn.NORM.DIST(AC$2,$D51,$E51,TRUE))</f>
        <v/>
      </c>
      <c r="AD51">
        <f>IF(NOT(ISNUMBER($D51)),"",_xlfn.NORM.DIST(AD$1,$D51,$E51,TRUE)-_xlfn.NORM.DIST(AD$2,$D51,$E51,TRUE))</f>
        <v/>
      </c>
      <c r="AE51">
        <f>IF(NOT(ISNUMBER($D51)),"",_xlfn.NORM.DIST(AE$1,$D51,$E51,TRUE)-_xlfn.NORM.DIST(AE$2,$D51,$E51,TRUE))</f>
        <v/>
      </c>
      <c r="AF51">
        <f>IF(NOT(ISNUMBER($D51)),"",_xlfn.NORM.DIST(AF$1,$D51,$E51,TRUE)-_xlfn.NORM.DIST(AF$2,$D51,$E51,TRUE))</f>
        <v/>
      </c>
      <c r="AG51">
        <f>IF(NOT(ISNUMBER($D51)),"",_xlfn.NORM.DIST(AG$1,$D51,$E51,TRUE)-_xlfn.NORM.DIST(AG$2,$D51,$E51,TRUE))</f>
        <v/>
      </c>
      <c r="AH51">
        <f>IF(NOT(ISNUMBER($D51)),"",_xlfn.NORM.DIST(AH$1,$D51,$E51,TRUE)-_xlfn.NORM.DIST(AH$2,$D51,$E51,TRUE))</f>
        <v/>
      </c>
      <c r="AI51">
        <f>IF(NOT(ISNUMBER($D51)),"",_xlfn.NORM.DIST(AI$1,$D51,$E51,TRUE)-_xlfn.NORM.DIST(AI$2,$D51,$E51,TRUE))</f>
        <v/>
      </c>
      <c r="AJ51">
        <f>IF(NOT(ISNUMBER($D51)),"",_xlfn.NORM.DIST(AJ$1,$D51,$E51,TRUE)-_xlfn.NORM.DIST(AJ$2,$D51,$E51,TRUE))</f>
        <v/>
      </c>
      <c r="AK51">
        <f>IF(NOT(ISNUMBER($D51)),"",_xlfn.NORM.DIST(AK$1,$D51,$E51,TRUE)-_xlfn.NORM.DIST(AK$2,$D51,$E51,TRUE))</f>
        <v/>
      </c>
      <c r="AL51">
        <f>IF(NOT(ISNUMBER($D51)),"",_xlfn.NORM.DIST(AL$1,$D51,$E51,TRUE)-_xlfn.NORM.DIST(AL$2,$D51,$E51,TRUE))</f>
        <v/>
      </c>
      <c r="AM51">
        <f>IF(NOT(ISNUMBER($D51)),"",_xlfn.NORM.DIST(AM$1,$D51,$E51,TRUE)-_xlfn.NORM.DIST(AM$2,$D51,$E51,TRUE))</f>
        <v/>
      </c>
      <c r="AN51">
        <f>IF(NOT(ISNUMBER($D51)),"",_xlfn.NORM.DIST(AN$1,$D51,$E51,TRUE)-_xlfn.NORM.DIST(AN$2,$D51,$E51,TRUE))</f>
        <v/>
      </c>
      <c r="AO51">
        <f>IF(NOT(ISNUMBER($D51)),"",_xlfn.NORM.DIST(AO$1,$D51,$E51,TRUE)-_xlfn.NORM.DIST(AO$2,$D51,$E51,TRUE))</f>
        <v/>
      </c>
      <c r="AP51">
        <f>IF(NOT(ISNUMBER($D51)),"",_xlfn.NORM.DIST(AP$1,$D51,$E51,TRUE)-_xlfn.NORM.DIST(AP$2,$D51,$E51,TRUE))</f>
        <v/>
      </c>
      <c r="AQ51">
        <f>IF(NOT(ISNUMBER($D51)),"",_xlfn.NORM.DIST(AQ$1,$D51,$E51,TRUE)-_xlfn.NORM.DIST(AQ$2,$D51,$E51,TRUE))</f>
        <v/>
      </c>
      <c r="AR51">
        <f>IF(NOT(ISNUMBER($D51)),"",_xlfn.NORM.DIST(AR$1,$D51,$E51,TRUE)-_xlfn.NORM.DIST(AR$2,$D51,$E51,TRUE))</f>
        <v/>
      </c>
      <c r="AS51">
        <f>IF(NOT(ISNUMBER($D51)),"",_xlfn.NORM.DIST(AS$1,$D51,$E51,TRUE)-_xlfn.NORM.DIST(AS$2,$D51,$E51,TRUE))</f>
        <v/>
      </c>
      <c r="AT51">
        <f>IF(NOT(ISNUMBER($D51)),"",_xlfn.NORM.DIST(AT$1,$D51,$E51,TRUE)-_xlfn.NORM.DIST(AT$2,$D51,$E51,TRUE))</f>
        <v/>
      </c>
      <c r="AU51">
        <f>IF(NOT(ISNUMBER($D51)),"",_xlfn.NORM.DIST(AU$1,$D51,$E51,TRUE)-_xlfn.NORM.DIST(AU$2,$D51,$E51,TRUE))</f>
        <v/>
      </c>
      <c r="AV51">
        <f>IF(NOT(ISNUMBER($D51)),"",_xlfn.NORM.DIST(AV$1,$D51,$E51,TRUE)-_xlfn.NORM.DIST(AV$2,$D51,$E51,TRUE))</f>
        <v/>
      </c>
      <c r="AW51">
        <f>IF(NOT(ISNUMBER($D51)),"",_xlfn.NORM.DIST(AW$1,$D51,$E51,TRUE)-_xlfn.NORM.DIST(AW$2,$D51,$E51,TRUE))</f>
        <v/>
      </c>
      <c r="AX51">
        <f>IF(NOT(ISNUMBER($D51)),"",_xlfn.NORM.DIST(AX$1,$D51,$E51,TRUE)-_xlfn.NORM.DIST(AX$2,$D51,$E51,TRUE))</f>
        <v/>
      </c>
      <c r="AY51">
        <f>IF(NOT(ISNUMBER($D51)),"",_xlfn.NORM.DIST(AY$1,$D51,$E51,TRUE)-_xlfn.NORM.DIST(AY$2,$D51,$E51,TRUE))</f>
        <v/>
      </c>
      <c r="AZ51">
        <f>IF(NOT(ISNUMBER($D51)),"",_xlfn.NORM.DIST(AZ$1,$D51,$E51,TRUE)-_xlfn.NORM.DIST(AZ$2,$D51,$E51,TRUE))</f>
        <v/>
      </c>
      <c r="BA51">
        <f>IF(NOT(ISNUMBER($D51)),"",_xlfn.NORM.DIST(BA$1,$D51,$E51,TRUE)-_xlfn.NORM.DIST(BA$2,$D51,$E51,TRUE))</f>
        <v/>
      </c>
      <c r="BB51">
        <f>IF(NOT(ISNUMBER($D51)),"",_xlfn.NORM.DIST(BB$1,$D51,$E51,TRUE)-_xlfn.NORM.DIST(BB$2,$D51,$E51,TRUE))</f>
        <v/>
      </c>
      <c r="BC51">
        <f>IF(NOT(ISNUMBER($D51)),"",_xlfn.NORM.DIST(BC$1,$D51,$E51,TRUE)-_xlfn.NORM.DIST(BC$2,$D51,$E51,TRUE))</f>
        <v/>
      </c>
      <c r="BD51">
        <f>IF(NOT(ISNUMBER($D51)),"",_xlfn.NORM.DIST(BD$1,$D51,$E51,TRUE)-_xlfn.NORM.DIST(BD$2,$D51,$E51,TRUE))</f>
        <v/>
      </c>
      <c r="BE51">
        <f>IF(NOT(ISNUMBER($D51)),"",_xlfn.NORM.DIST(BE$1,$D51,$E51,TRUE)-_xlfn.NORM.DIST(BE$2,$D51,$E51,TRUE))</f>
        <v/>
      </c>
      <c r="BF51">
        <f>IF(NOT(ISNUMBER($D51)),"",_xlfn.NORM.DIST(BF$1,$D51,$E51,TRUE)-_xlfn.NORM.DIST(BF$2,$D51,$E51,TRUE))</f>
        <v/>
      </c>
      <c r="BG51">
        <f>IF(NOT(ISNUMBER($D51)),"",_xlfn.NORM.DIST(BG$1,$D51,$E51,TRUE)-_xlfn.NORM.DIST(BG$2,$D51,$E51,TRUE))</f>
        <v/>
      </c>
      <c r="BH51">
        <f>IF(NOT(ISNUMBER($D51)),"",_xlfn.NORM.DIST(BH$1,$D51,$E51,TRUE)-_xlfn.NORM.DIST(BH$2,$D51,$E51,TRUE))</f>
        <v/>
      </c>
      <c r="BI51">
        <f>IF(NOT(ISNUMBER($D51)),"",_xlfn.NORM.DIST(BI$1,$D51,$E51,TRUE)-_xlfn.NORM.DIST(BI$2,$D51,$E51,TRUE))</f>
        <v/>
      </c>
      <c r="BJ51">
        <f>IF(NOT(ISNUMBER($D51)),"",_xlfn.NORM.DIST(BJ$1,$D51,$E51,TRUE)-_xlfn.NORM.DIST(BJ$2,$D51,$E51,TRUE))</f>
        <v/>
      </c>
      <c r="BK51">
        <f>IF(NOT(ISNUMBER($D51)),"",_xlfn.NORM.DIST(BK$1,$D51,$E51,TRUE)-_xlfn.NORM.DIST(BK$2,$D51,$E51,TRUE))</f>
        <v/>
      </c>
      <c r="BL51">
        <f>IF(NOT(ISNUMBER($D51)),"",_xlfn.NORM.DIST(BL$1,$D51,$E51,TRUE)-_xlfn.NORM.DIST(BL$2,$D51,$E51,TRUE))</f>
        <v/>
      </c>
      <c r="BM51">
        <f>IF(NOT(ISNUMBER($D51)),"",_xlfn.NORM.DIST(BM$1,$D51,$E51,TRUE)-_xlfn.NORM.DIST(BM$2,$D51,$E51,TRUE))</f>
        <v/>
      </c>
      <c r="BN51">
        <f>IF(NOT(ISNUMBER($D51)),"",_xlfn.NORM.DIST(BN$1,$D51,$E51,TRUE)-_xlfn.NORM.DIST(BN$2,$D51,$E51,TRUE))</f>
        <v/>
      </c>
      <c r="BO51">
        <f>IF(NOT(ISNUMBER($D51)),"",_xlfn.NORM.DIST(BO$1,$D51,$E51,TRUE)-_xlfn.NORM.DIST(BO$2,$D51,$E51,TRUE))</f>
        <v/>
      </c>
      <c r="BP51">
        <f>IF(NOT(ISNUMBER($D51)),"",_xlfn.NORM.DIST(BP$1,$D51,$E51,TRUE)-_xlfn.NORM.DIST(BP$2,$D51,$E51,TRUE))</f>
        <v/>
      </c>
      <c r="BQ51">
        <f>IF(NOT(ISNUMBER($D51)),"",_xlfn.NORM.DIST(BQ$1,$D51,$E51,TRUE)-_xlfn.NORM.DIST(BQ$2,$D51,$E51,TRUE))</f>
        <v/>
      </c>
      <c r="BR51">
        <f>IF(NOT(ISNUMBER($D51)),"",_xlfn.NORM.DIST(BR$1,$D51,$E51,TRUE)-_xlfn.NORM.DIST(BR$2,$D51,$E51,TRUE))</f>
        <v/>
      </c>
      <c r="BS51">
        <f>IF(NOT(ISNUMBER($D51)),"",_xlfn.NORM.DIST(BS$1,$D51,$E51,TRUE)-_xlfn.NORM.DIST(BS$2,$D51,$E51,TRUE))</f>
        <v/>
      </c>
      <c r="BT51">
        <f>IF(NOT(ISNUMBER($D51)),"",_xlfn.NORM.DIST(BT$1,$D51,$E51,TRUE)-_xlfn.NORM.DIST(BT$2,$D51,$E51,TRUE))</f>
        <v/>
      </c>
      <c r="BU51">
        <f>IF(NOT(ISNUMBER($D51)),"",_xlfn.NORM.DIST(BU$1,$D51,$E51,TRUE)-_xlfn.NORM.DIST(BU$2,$D51,$E51,TRUE))</f>
        <v/>
      </c>
      <c r="BV51">
        <f>IF(NOT(ISNUMBER($D51)),"",_xlfn.NORM.DIST(BV$1,$D51,$E51,TRUE)-_xlfn.NORM.DIST(BV$2,$D51,$E51,TRUE))</f>
        <v/>
      </c>
      <c r="BW51">
        <f>IF(NOT(ISNUMBER($D51)),"",_xlfn.NORM.DIST(BW$1,$D51,$E51,TRUE)-_xlfn.NORM.DIST(BW$2,$D51,$E51,TRUE))</f>
        <v/>
      </c>
      <c r="BX51">
        <f>IF(NOT(ISNUMBER($D51)),"",_xlfn.NORM.DIST(BX$1,$D51,$E51,TRUE)-_xlfn.NORM.DIST(BX$2,$D51,$E51,TRUE))</f>
        <v/>
      </c>
      <c r="BY51">
        <f>IF(NOT(ISNUMBER($D51)),"",_xlfn.NORM.DIST(BY$1,$D51,$E51,TRUE)-_xlfn.NORM.DIST(BY$2,$D51,$E51,TRUE))</f>
        <v/>
      </c>
      <c r="BZ51">
        <f>IF(NOT(ISNUMBER($D51)),"",_xlfn.NORM.DIST(BZ$1,$D51,$E51,TRUE)-_xlfn.NORM.DIST(BZ$2,$D51,$E51,TRUE))</f>
        <v/>
      </c>
      <c r="CA51">
        <f>IF(NOT(ISNUMBER($D51)),"",_xlfn.NORM.DIST(CA$1,$D51,$E51,TRUE)-_xlfn.NORM.DIST(CA$2,$D51,$E51,TRUE))</f>
        <v/>
      </c>
      <c r="CB51">
        <f>IF(NOT(ISNUMBER($D51)),"",_xlfn.NORM.DIST(CB$1,$D51,$E51,TRUE)-_xlfn.NORM.DIST(CB$2,$D51,$E51,TRUE))</f>
        <v/>
      </c>
      <c r="CC51">
        <f>IF(NOT(ISNUMBER($D51)),"",_xlfn.NORM.DIST(CC$1,$D51,$E51,TRUE)-_xlfn.NORM.DIST(CC$2,$D51,$E51,TRUE))</f>
        <v/>
      </c>
      <c r="CD51">
        <f>IF(NOT(ISNUMBER($D51)),"",_xlfn.NORM.DIST(CD$1,$D51,$E51,TRUE)-_xlfn.NORM.DIST(CD$2,$D51,$E51,TRUE))</f>
        <v/>
      </c>
      <c r="CE51">
        <f>IF(NOT(ISNUMBER($D51)),"",_xlfn.NORM.DIST(CE$1,$D51,$E51,TRUE)-_xlfn.NORM.DIST(CE$2,$D51,$E51,TRUE))</f>
        <v/>
      </c>
      <c r="CF51">
        <f>IF(NOT(ISNUMBER($D51)),"",_xlfn.NORM.DIST(CF$1,$D51,$E51,TRUE)-_xlfn.NORM.DIST(CF$2,$D51,$E51,TRUE))</f>
        <v/>
      </c>
      <c r="CG51">
        <f>IF(NOT(ISNUMBER($D51)),"",_xlfn.NORM.DIST(CG$1,$D51,$E51,TRUE)-_xlfn.NORM.DIST(CG$2,$D51,$E51,TRUE))</f>
        <v/>
      </c>
      <c r="CH51">
        <f>IF(NOT(ISNUMBER($D51)),"",_xlfn.NORM.DIST(CH$1,$D51,$E51,TRUE)-_xlfn.NORM.DIST(CH$2,$D51,$E51,TRUE))</f>
        <v/>
      </c>
      <c r="CI51">
        <f>IF(NOT(ISNUMBER($D51)),"",_xlfn.NORM.DIST(CI$1,$D51,$E51,TRUE)-_xlfn.NORM.DIST(CI$2,$D51,$E51,TRUE))</f>
        <v/>
      </c>
      <c r="CJ51">
        <f>IF(ISNUMBER($D51),SUM(F51:CI51),"")</f>
        <v/>
      </c>
    </row>
    <row r="52">
      <c r="A52">
        <f>economics!A51</f>
        <v/>
      </c>
      <c r="B52">
        <f>economics!B51</f>
        <v/>
      </c>
      <c r="C52">
        <f>economics!D51</f>
        <v/>
      </c>
      <c r="D52">
        <f>IF(ISNUMBER(economics!T51),economics!T51,"na")</f>
        <v/>
      </c>
      <c r="E52">
        <f>IF(ISNUMBER(D52),MAX(0.3*ABS(D52),0.000001),"na")</f>
        <v/>
      </c>
      <c r="F52">
        <f>IF(NOT(ISNUMBER($D52)),"",_xlfn.NORM.DIST(F$1,$D52,$E52,TRUE)-_xlfn.NORM.DIST(F$2,$D52,$E52,TRUE))</f>
        <v/>
      </c>
      <c r="G52">
        <f>IF(NOT(ISNUMBER($D52)),"",_xlfn.NORM.DIST(G$1,$D52,$E52,TRUE)-_xlfn.NORM.DIST(G$2,$D52,$E52,TRUE))</f>
        <v/>
      </c>
      <c r="H52">
        <f>IF(NOT(ISNUMBER($D52)),"",_xlfn.NORM.DIST(H$1,$D52,$E52,TRUE)-_xlfn.NORM.DIST(H$2,$D52,$E52,TRUE))</f>
        <v/>
      </c>
      <c r="I52">
        <f>IF(NOT(ISNUMBER($D52)),"",_xlfn.NORM.DIST(I$1,$D52,$E52,TRUE)-_xlfn.NORM.DIST(I$2,$D52,$E52,TRUE))</f>
        <v/>
      </c>
      <c r="J52">
        <f>IF(NOT(ISNUMBER($D52)),"",_xlfn.NORM.DIST(J$1,$D52,$E52,TRUE)-_xlfn.NORM.DIST(J$2,$D52,$E52,TRUE))</f>
        <v/>
      </c>
      <c r="K52">
        <f>IF(NOT(ISNUMBER($D52)),"",_xlfn.NORM.DIST(K$1,$D52,$E52,TRUE)-_xlfn.NORM.DIST(K$2,$D52,$E52,TRUE))</f>
        <v/>
      </c>
      <c r="L52">
        <f>IF(NOT(ISNUMBER($D52)),"",_xlfn.NORM.DIST(L$1,$D52,$E52,TRUE)-_xlfn.NORM.DIST(L$2,$D52,$E52,TRUE))</f>
        <v/>
      </c>
      <c r="M52">
        <f>IF(NOT(ISNUMBER($D52)),"",_xlfn.NORM.DIST(M$1,$D52,$E52,TRUE)-_xlfn.NORM.DIST(M$2,$D52,$E52,TRUE))</f>
        <v/>
      </c>
      <c r="N52">
        <f>IF(NOT(ISNUMBER($D52)),"",_xlfn.NORM.DIST(N$1,$D52,$E52,TRUE)-_xlfn.NORM.DIST(N$2,$D52,$E52,TRUE))</f>
        <v/>
      </c>
      <c r="O52">
        <f>IF(NOT(ISNUMBER($D52)),"",_xlfn.NORM.DIST(O$1,$D52,$E52,TRUE)-_xlfn.NORM.DIST(O$2,$D52,$E52,TRUE))</f>
        <v/>
      </c>
      <c r="P52">
        <f>IF(NOT(ISNUMBER($D52)),"",_xlfn.NORM.DIST(P$1,$D52,$E52,TRUE)-_xlfn.NORM.DIST(P$2,$D52,$E52,TRUE))</f>
        <v/>
      </c>
      <c r="Q52">
        <f>IF(NOT(ISNUMBER($D52)),"",_xlfn.NORM.DIST(Q$1,$D52,$E52,TRUE)-_xlfn.NORM.DIST(Q$2,$D52,$E52,TRUE))</f>
        <v/>
      </c>
      <c r="R52">
        <f>IF(NOT(ISNUMBER($D52)),"",_xlfn.NORM.DIST(R$1,$D52,$E52,TRUE)-_xlfn.NORM.DIST(R$2,$D52,$E52,TRUE))</f>
        <v/>
      </c>
      <c r="S52">
        <f>IF(NOT(ISNUMBER($D52)),"",_xlfn.NORM.DIST(S$1,$D52,$E52,TRUE)-_xlfn.NORM.DIST(S$2,$D52,$E52,TRUE))</f>
        <v/>
      </c>
      <c r="T52">
        <f>IF(NOT(ISNUMBER($D52)),"",_xlfn.NORM.DIST(T$1,$D52,$E52,TRUE)-_xlfn.NORM.DIST(T$2,$D52,$E52,TRUE))</f>
        <v/>
      </c>
      <c r="U52">
        <f>IF(NOT(ISNUMBER($D52)),"",_xlfn.NORM.DIST(U$1,$D52,$E52,TRUE)-_xlfn.NORM.DIST(U$2,$D52,$E52,TRUE))</f>
        <v/>
      </c>
      <c r="V52">
        <f>IF(NOT(ISNUMBER($D52)),"",_xlfn.NORM.DIST(V$1,$D52,$E52,TRUE)-_xlfn.NORM.DIST(V$2,$D52,$E52,TRUE))</f>
        <v/>
      </c>
      <c r="W52">
        <f>IF(NOT(ISNUMBER($D52)),"",_xlfn.NORM.DIST(W$1,$D52,$E52,TRUE)-_xlfn.NORM.DIST(W$2,$D52,$E52,TRUE))</f>
        <v/>
      </c>
      <c r="X52">
        <f>IF(NOT(ISNUMBER($D52)),"",_xlfn.NORM.DIST(X$1,$D52,$E52,TRUE)-_xlfn.NORM.DIST(X$2,$D52,$E52,TRUE))</f>
        <v/>
      </c>
      <c r="Y52">
        <f>IF(NOT(ISNUMBER($D52)),"",_xlfn.NORM.DIST(Y$1,$D52,$E52,TRUE)-_xlfn.NORM.DIST(Y$2,$D52,$E52,TRUE))</f>
        <v/>
      </c>
      <c r="Z52">
        <f>IF(NOT(ISNUMBER($D52)),"",_xlfn.NORM.DIST(Z$1,$D52,$E52,TRUE)-_xlfn.NORM.DIST(Z$2,$D52,$E52,TRUE))</f>
        <v/>
      </c>
      <c r="AA52">
        <f>IF(NOT(ISNUMBER($D52)),"",_xlfn.NORM.DIST(AA$1,$D52,$E52,TRUE)-_xlfn.NORM.DIST(AA$2,$D52,$E52,TRUE))</f>
        <v/>
      </c>
      <c r="AB52">
        <f>IF(NOT(ISNUMBER($D52)),"",_xlfn.NORM.DIST(AB$1,$D52,$E52,TRUE)-_xlfn.NORM.DIST(AB$2,$D52,$E52,TRUE))</f>
        <v/>
      </c>
      <c r="AC52">
        <f>IF(NOT(ISNUMBER($D52)),"",_xlfn.NORM.DIST(AC$1,$D52,$E52,TRUE)-_xlfn.NORM.DIST(AC$2,$D52,$E52,TRUE))</f>
        <v/>
      </c>
      <c r="AD52">
        <f>IF(NOT(ISNUMBER($D52)),"",_xlfn.NORM.DIST(AD$1,$D52,$E52,TRUE)-_xlfn.NORM.DIST(AD$2,$D52,$E52,TRUE))</f>
        <v/>
      </c>
      <c r="AE52">
        <f>IF(NOT(ISNUMBER($D52)),"",_xlfn.NORM.DIST(AE$1,$D52,$E52,TRUE)-_xlfn.NORM.DIST(AE$2,$D52,$E52,TRUE))</f>
        <v/>
      </c>
      <c r="AF52">
        <f>IF(NOT(ISNUMBER($D52)),"",_xlfn.NORM.DIST(AF$1,$D52,$E52,TRUE)-_xlfn.NORM.DIST(AF$2,$D52,$E52,TRUE))</f>
        <v/>
      </c>
      <c r="AG52">
        <f>IF(NOT(ISNUMBER($D52)),"",_xlfn.NORM.DIST(AG$1,$D52,$E52,TRUE)-_xlfn.NORM.DIST(AG$2,$D52,$E52,TRUE))</f>
        <v/>
      </c>
      <c r="AH52">
        <f>IF(NOT(ISNUMBER($D52)),"",_xlfn.NORM.DIST(AH$1,$D52,$E52,TRUE)-_xlfn.NORM.DIST(AH$2,$D52,$E52,TRUE))</f>
        <v/>
      </c>
      <c r="AI52">
        <f>IF(NOT(ISNUMBER($D52)),"",_xlfn.NORM.DIST(AI$1,$D52,$E52,TRUE)-_xlfn.NORM.DIST(AI$2,$D52,$E52,TRUE))</f>
        <v/>
      </c>
      <c r="AJ52">
        <f>IF(NOT(ISNUMBER($D52)),"",_xlfn.NORM.DIST(AJ$1,$D52,$E52,TRUE)-_xlfn.NORM.DIST(AJ$2,$D52,$E52,TRUE))</f>
        <v/>
      </c>
      <c r="AK52">
        <f>IF(NOT(ISNUMBER($D52)),"",_xlfn.NORM.DIST(AK$1,$D52,$E52,TRUE)-_xlfn.NORM.DIST(AK$2,$D52,$E52,TRUE))</f>
        <v/>
      </c>
      <c r="AL52">
        <f>IF(NOT(ISNUMBER($D52)),"",_xlfn.NORM.DIST(AL$1,$D52,$E52,TRUE)-_xlfn.NORM.DIST(AL$2,$D52,$E52,TRUE))</f>
        <v/>
      </c>
      <c r="AM52">
        <f>IF(NOT(ISNUMBER($D52)),"",_xlfn.NORM.DIST(AM$1,$D52,$E52,TRUE)-_xlfn.NORM.DIST(AM$2,$D52,$E52,TRUE))</f>
        <v/>
      </c>
      <c r="AN52">
        <f>IF(NOT(ISNUMBER($D52)),"",_xlfn.NORM.DIST(AN$1,$D52,$E52,TRUE)-_xlfn.NORM.DIST(AN$2,$D52,$E52,TRUE))</f>
        <v/>
      </c>
      <c r="AO52">
        <f>IF(NOT(ISNUMBER($D52)),"",_xlfn.NORM.DIST(AO$1,$D52,$E52,TRUE)-_xlfn.NORM.DIST(AO$2,$D52,$E52,TRUE))</f>
        <v/>
      </c>
      <c r="AP52">
        <f>IF(NOT(ISNUMBER($D52)),"",_xlfn.NORM.DIST(AP$1,$D52,$E52,TRUE)-_xlfn.NORM.DIST(AP$2,$D52,$E52,TRUE))</f>
        <v/>
      </c>
      <c r="AQ52">
        <f>IF(NOT(ISNUMBER($D52)),"",_xlfn.NORM.DIST(AQ$1,$D52,$E52,TRUE)-_xlfn.NORM.DIST(AQ$2,$D52,$E52,TRUE))</f>
        <v/>
      </c>
      <c r="AR52">
        <f>IF(NOT(ISNUMBER($D52)),"",_xlfn.NORM.DIST(AR$1,$D52,$E52,TRUE)-_xlfn.NORM.DIST(AR$2,$D52,$E52,TRUE))</f>
        <v/>
      </c>
      <c r="AS52">
        <f>IF(NOT(ISNUMBER($D52)),"",_xlfn.NORM.DIST(AS$1,$D52,$E52,TRUE)-_xlfn.NORM.DIST(AS$2,$D52,$E52,TRUE))</f>
        <v/>
      </c>
      <c r="AT52">
        <f>IF(NOT(ISNUMBER($D52)),"",_xlfn.NORM.DIST(AT$1,$D52,$E52,TRUE)-_xlfn.NORM.DIST(AT$2,$D52,$E52,TRUE))</f>
        <v/>
      </c>
      <c r="AU52">
        <f>IF(NOT(ISNUMBER($D52)),"",_xlfn.NORM.DIST(AU$1,$D52,$E52,TRUE)-_xlfn.NORM.DIST(AU$2,$D52,$E52,TRUE))</f>
        <v/>
      </c>
      <c r="AV52">
        <f>IF(NOT(ISNUMBER($D52)),"",_xlfn.NORM.DIST(AV$1,$D52,$E52,TRUE)-_xlfn.NORM.DIST(AV$2,$D52,$E52,TRUE))</f>
        <v/>
      </c>
      <c r="AW52">
        <f>IF(NOT(ISNUMBER($D52)),"",_xlfn.NORM.DIST(AW$1,$D52,$E52,TRUE)-_xlfn.NORM.DIST(AW$2,$D52,$E52,TRUE))</f>
        <v/>
      </c>
      <c r="AX52">
        <f>IF(NOT(ISNUMBER($D52)),"",_xlfn.NORM.DIST(AX$1,$D52,$E52,TRUE)-_xlfn.NORM.DIST(AX$2,$D52,$E52,TRUE))</f>
        <v/>
      </c>
      <c r="AY52">
        <f>IF(NOT(ISNUMBER($D52)),"",_xlfn.NORM.DIST(AY$1,$D52,$E52,TRUE)-_xlfn.NORM.DIST(AY$2,$D52,$E52,TRUE))</f>
        <v/>
      </c>
      <c r="AZ52">
        <f>IF(NOT(ISNUMBER($D52)),"",_xlfn.NORM.DIST(AZ$1,$D52,$E52,TRUE)-_xlfn.NORM.DIST(AZ$2,$D52,$E52,TRUE))</f>
        <v/>
      </c>
      <c r="BA52">
        <f>IF(NOT(ISNUMBER($D52)),"",_xlfn.NORM.DIST(BA$1,$D52,$E52,TRUE)-_xlfn.NORM.DIST(BA$2,$D52,$E52,TRUE))</f>
        <v/>
      </c>
      <c r="BB52">
        <f>IF(NOT(ISNUMBER($D52)),"",_xlfn.NORM.DIST(BB$1,$D52,$E52,TRUE)-_xlfn.NORM.DIST(BB$2,$D52,$E52,TRUE))</f>
        <v/>
      </c>
      <c r="BC52">
        <f>IF(NOT(ISNUMBER($D52)),"",_xlfn.NORM.DIST(BC$1,$D52,$E52,TRUE)-_xlfn.NORM.DIST(BC$2,$D52,$E52,TRUE))</f>
        <v/>
      </c>
      <c r="BD52">
        <f>IF(NOT(ISNUMBER($D52)),"",_xlfn.NORM.DIST(BD$1,$D52,$E52,TRUE)-_xlfn.NORM.DIST(BD$2,$D52,$E52,TRUE))</f>
        <v/>
      </c>
      <c r="BE52">
        <f>IF(NOT(ISNUMBER($D52)),"",_xlfn.NORM.DIST(BE$1,$D52,$E52,TRUE)-_xlfn.NORM.DIST(BE$2,$D52,$E52,TRUE))</f>
        <v/>
      </c>
      <c r="BF52">
        <f>IF(NOT(ISNUMBER($D52)),"",_xlfn.NORM.DIST(BF$1,$D52,$E52,TRUE)-_xlfn.NORM.DIST(BF$2,$D52,$E52,TRUE))</f>
        <v/>
      </c>
      <c r="BG52">
        <f>IF(NOT(ISNUMBER($D52)),"",_xlfn.NORM.DIST(BG$1,$D52,$E52,TRUE)-_xlfn.NORM.DIST(BG$2,$D52,$E52,TRUE))</f>
        <v/>
      </c>
      <c r="BH52">
        <f>IF(NOT(ISNUMBER($D52)),"",_xlfn.NORM.DIST(BH$1,$D52,$E52,TRUE)-_xlfn.NORM.DIST(BH$2,$D52,$E52,TRUE))</f>
        <v/>
      </c>
      <c r="BI52">
        <f>IF(NOT(ISNUMBER($D52)),"",_xlfn.NORM.DIST(BI$1,$D52,$E52,TRUE)-_xlfn.NORM.DIST(BI$2,$D52,$E52,TRUE))</f>
        <v/>
      </c>
      <c r="BJ52">
        <f>IF(NOT(ISNUMBER($D52)),"",_xlfn.NORM.DIST(BJ$1,$D52,$E52,TRUE)-_xlfn.NORM.DIST(BJ$2,$D52,$E52,TRUE))</f>
        <v/>
      </c>
      <c r="BK52">
        <f>IF(NOT(ISNUMBER($D52)),"",_xlfn.NORM.DIST(BK$1,$D52,$E52,TRUE)-_xlfn.NORM.DIST(BK$2,$D52,$E52,TRUE))</f>
        <v/>
      </c>
      <c r="BL52">
        <f>IF(NOT(ISNUMBER($D52)),"",_xlfn.NORM.DIST(BL$1,$D52,$E52,TRUE)-_xlfn.NORM.DIST(BL$2,$D52,$E52,TRUE))</f>
        <v/>
      </c>
      <c r="BM52">
        <f>IF(NOT(ISNUMBER($D52)),"",_xlfn.NORM.DIST(BM$1,$D52,$E52,TRUE)-_xlfn.NORM.DIST(BM$2,$D52,$E52,TRUE))</f>
        <v/>
      </c>
      <c r="BN52">
        <f>IF(NOT(ISNUMBER($D52)),"",_xlfn.NORM.DIST(BN$1,$D52,$E52,TRUE)-_xlfn.NORM.DIST(BN$2,$D52,$E52,TRUE))</f>
        <v/>
      </c>
      <c r="BO52">
        <f>IF(NOT(ISNUMBER($D52)),"",_xlfn.NORM.DIST(BO$1,$D52,$E52,TRUE)-_xlfn.NORM.DIST(BO$2,$D52,$E52,TRUE))</f>
        <v/>
      </c>
      <c r="BP52">
        <f>IF(NOT(ISNUMBER($D52)),"",_xlfn.NORM.DIST(BP$1,$D52,$E52,TRUE)-_xlfn.NORM.DIST(BP$2,$D52,$E52,TRUE))</f>
        <v/>
      </c>
      <c r="BQ52">
        <f>IF(NOT(ISNUMBER($D52)),"",_xlfn.NORM.DIST(BQ$1,$D52,$E52,TRUE)-_xlfn.NORM.DIST(BQ$2,$D52,$E52,TRUE))</f>
        <v/>
      </c>
      <c r="BR52">
        <f>IF(NOT(ISNUMBER($D52)),"",_xlfn.NORM.DIST(BR$1,$D52,$E52,TRUE)-_xlfn.NORM.DIST(BR$2,$D52,$E52,TRUE))</f>
        <v/>
      </c>
      <c r="BS52">
        <f>IF(NOT(ISNUMBER($D52)),"",_xlfn.NORM.DIST(BS$1,$D52,$E52,TRUE)-_xlfn.NORM.DIST(BS$2,$D52,$E52,TRUE))</f>
        <v/>
      </c>
      <c r="BT52">
        <f>IF(NOT(ISNUMBER($D52)),"",_xlfn.NORM.DIST(BT$1,$D52,$E52,TRUE)-_xlfn.NORM.DIST(BT$2,$D52,$E52,TRUE))</f>
        <v/>
      </c>
      <c r="BU52">
        <f>IF(NOT(ISNUMBER($D52)),"",_xlfn.NORM.DIST(BU$1,$D52,$E52,TRUE)-_xlfn.NORM.DIST(BU$2,$D52,$E52,TRUE))</f>
        <v/>
      </c>
      <c r="BV52">
        <f>IF(NOT(ISNUMBER($D52)),"",_xlfn.NORM.DIST(BV$1,$D52,$E52,TRUE)-_xlfn.NORM.DIST(BV$2,$D52,$E52,TRUE))</f>
        <v/>
      </c>
      <c r="BW52">
        <f>IF(NOT(ISNUMBER($D52)),"",_xlfn.NORM.DIST(BW$1,$D52,$E52,TRUE)-_xlfn.NORM.DIST(BW$2,$D52,$E52,TRUE))</f>
        <v/>
      </c>
      <c r="BX52">
        <f>IF(NOT(ISNUMBER($D52)),"",_xlfn.NORM.DIST(BX$1,$D52,$E52,TRUE)-_xlfn.NORM.DIST(BX$2,$D52,$E52,TRUE))</f>
        <v/>
      </c>
      <c r="BY52">
        <f>IF(NOT(ISNUMBER($D52)),"",_xlfn.NORM.DIST(BY$1,$D52,$E52,TRUE)-_xlfn.NORM.DIST(BY$2,$D52,$E52,TRUE))</f>
        <v/>
      </c>
      <c r="BZ52">
        <f>IF(NOT(ISNUMBER($D52)),"",_xlfn.NORM.DIST(BZ$1,$D52,$E52,TRUE)-_xlfn.NORM.DIST(BZ$2,$D52,$E52,TRUE))</f>
        <v/>
      </c>
      <c r="CA52">
        <f>IF(NOT(ISNUMBER($D52)),"",_xlfn.NORM.DIST(CA$1,$D52,$E52,TRUE)-_xlfn.NORM.DIST(CA$2,$D52,$E52,TRUE))</f>
        <v/>
      </c>
      <c r="CB52">
        <f>IF(NOT(ISNUMBER($D52)),"",_xlfn.NORM.DIST(CB$1,$D52,$E52,TRUE)-_xlfn.NORM.DIST(CB$2,$D52,$E52,TRUE))</f>
        <v/>
      </c>
      <c r="CC52">
        <f>IF(NOT(ISNUMBER($D52)),"",_xlfn.NORM.DIST(CC$1,$D52,$E52,TRUE)-_xlfn.NORM.DIST(CC$2,$D52,$E52,TRUE))</f>
        <v/>
      </c>
      <c r="CD52">
        <f>IF(NOT(ISNUMBER($D52)),"",_xlfn.NORM.DIST(CD$1,$D52,$E52,TRUE)-_xlfn.NORM.DIST(CD$2,$D52,$E52,TRUE))</f>
        <v/>
      </c>
      <c r="CE52">
        <f>IF(NOT(ISNUMBER($D52)),"",_xlfn.NORM.DIST(CE$1,$D52,$E52,TRUE)-_xlfn.NORM.DIST(CE$2,$D52,$E52,TRUE))</f>
        <v/>
      </c>
      <c r="CF52">
        <f>IF(NOT(ISNUMBER($D52)),"",_xlfn.NORM.DIST(CF$1,$D52,$E52,TRUE)-_xlfn.NORM.DIST(CF$2,$D52,$E52,TRUE))</f>
        <v/>
      </c>
      <c r="CG52">
        <f>IF(NOT(ISNUMBER($D52)),"",_xlfn.NORM.DIST(CG$1,$D52,$E52,TRUE)-_xlfn.NORM.DIST(CG$2,$D52,$E52,TRUE))</f>
        <v/>
      </c>
      <c r="CH52">
        <f>IF(NOT(ISNUMBER($D52)),"",_xlfn.NORM.DIST(CH$1,$D52,$E52,TRUE)-_xlfn.NORM.DIST(CH$2,$D52,$E52,TRUE))</f>
        <v/>
      </c>
      <c r="CI52">
        <f>IF(NOT(ISNUMBER($D52)),"",_xlfn.NORM.DIST(CI$1,$D52,$E52,TRUE)-_xlfn.NORM.DIST(CI$2,$D52,$E52,TRUE))</f>
        <v/>
      </c>
      <c r="CJ52">
        <f>IF(ISNUMBER($D52),SUM(F52:CI52),"")</f>
        <v/>
      </c>
    </row>
    <row r="53">
      <c r="A53">
        <f>economics!A52</f>
        <v/>
      </c>
      <c r="B53">
        <f>economics!B52</f>
        <v/>
      </c>
      <c r="C53">
        <f>economics!D52</f>
        <v/>
      </c>
      <c r="D53">
        <f>IF(ISNUMBER(economics!T52),economics!T52,"na")</f>
        <v/>
      </c>
      <c r="E53">
        <f>IF(ISNUMBER(D53),MAX(0.3*ABS(D53),0.000001),"na")</f>
        <v/>
      </c>
      <c r="F53">
        <f>IF(NOT(ISNUMBER($D53)),"",_xlfn.NORM.DIST(F$1,$D53,$E53,TRUE)-_xlfn.NORM.DIST(F$2,$D53,$E53,TRUE))</f>
        <v/>
      </c>
      <c r="G53">
        <f>IF(NOT(ISNUMBER($D53)),"",_xlfn.NORM.DIST(G$1,$D53,$E53,TRUE)-_xlfn.NORM.DIST(G$2,$D53,$E53,TRUE))</f>
        <v/>
      </c>
      <c r="H53">
        <f>IF(NOT(ISNUMBER($D53)),"",_xlfn.NORM.DIST(H$1,$D53,$E53,TRUE)-_xlfn.NORM.DIST(H$2,$D53,$E53,TRUE))</f>
        <v/>
      </c>
      <c r="I53">
        <f>IF(NOT(ISNUMBER($D53)),"",_xlfn.NORM.DIST(I$1,$D53,$E53,TRUE)-_xlfn.NORM.DIST(I$2,$D53,$E53,TRUE))</f>
        <v/>
      </c>
      <c r="J53">
        <f>IF(NOT(ISNUMBER($D53)),"",_xlfn.NORM.DIST(J$1,$D53,$E53,TRUE)-_xlfn.NORM.DIST(J$2,$D53,$E53,TRUE))</f>
        <v/>
      </c>
      <c r="K53">
        <f>IF(NOT(ISNUMBER($D53)),"",_xlfn.NORM.DIST(K$1,$D53,$E53,TRUE)-_xlfn.NORM.DIST(K$2,$D53,$E53,TRUE))</f>
        <v/>
      </c>
      <c r="L53">
        <f>IF(NOT(ISNUMBER($D53)),"",_xlfn.NORM.DIST(L$1,$D53,$E53,TRUE)-_xlfn.NORM.DIST(L$2,$D53,$E53,TRUE))</f>
        <v/>
      </c>
      <c r="M53">
        <f>IF(NOT(ISNUMBER($D53)),"",_xlfn.NORM.DIST(M$1,$D53,$E53,TRUE)-_xlfn.NORM.DIST(M$2,$D53,$E53,TRUE))</f>
        <v/>
      </c>
      <c r="N53">
        <f>IF(NOT(ISNUMBER($D53)),"",_xlfn.NORM.DIST(N$1,$D53,$E53,TRUE)-_xlfn.NORM.DIST(N$2,$D53,$E53,TRUE))</f>
        <v/>
      </c>
      <c r="O53">
        <f>IF(NOT(ISNUMBER($D53)),"",_xlfn.NORM.DIST(O$1,$D53,$E53,TRUE)-_xlfn.NORM.DIST(O$2,$D53,$E53,TRUE))</f>
        <v/>
      </c>
      <c r="P53">
        <f>IF(NOT(ISNUMBER($D53)),"",_xlfn.NORM.DIST(P$1,$D53,$E53,TRUE)-_xlfn.NORM.DIST(P$2,$D53,$E53,TRUE))</f>
        <v/>
      </c>
      <c r="Q53">
        <f>IF(NOT(ISNUMBER($D53)),"",_xlfn.NORM.DIST(Q$1,$D53,$E53,TRUE)-_xlfn.NORM.DIST(Q$2,$D53,$E53,TRUE))</f>
        <v/>
      </c>
      <c r="R53">
        <f>IF(NOT(ISNUMBER($D53)),"",_xlfn.NORM.DIST(R$1,$D53,$E53,TRUE)-_xlfn.NORM.DIST(R$2,$D53,$E53,TRUE))</f>
        <v/>
      </c>
      <c r="S53">
        <f>IF(NOT(ISNUMBER($D53)),"",_xlfn.NORM.DIST(S$1,$D53,$E53,TRUE)-_xlfn.NORM.DIST(S$2,$D53,$E53,TRUE))</f>
        <v/>
      </c>
      <c r="T53">
        <f>IF(NOT(ISNUMBER($D53)),"",_xlfn.NORM.DIST(T$1,$D53,$E53,TRUE)-_xlfn.NORM.DIST(T$2,$D53,$E53,TRUE))</f>
        <v/>
      </c>
      <c r="U53">
        <f>IF(NOT(ISNUMBER($D53)),"",_xlfn.NORM.DIST(U$1,$D53,$E53,TRUE)-_xlfn.NORM.DIST(U$2,$D53,$E53,TRUE))</f>
        <v/>
      </c>
      <c r="V53">
        <f>IF(NOT(ISNUMBER($D53)),"",_xlfn.NORM.DIST(V$1,$D53,$E53,TRUE)-_xlfn.NORM.DIST(V$2,$D53,$E53,TRUE))</f>
        <v/>
      </c>
      <c r="W53">
        <f>IF(NOT(ISNUMBER($D53)),"",_xlfn.NORM.DIST(W$1,$D53,$E53,TRUE)-_xlfn.NORM.DIST(W$2,$D53,$E53,TRUE))</f>
        <v/>
      </c>
      <c r="X53">
        <f>IF(NOT(ISNUMBER($D53)),"",_xlfn.NORM.DIST(X$1,$D53,$E53,TRUE)-_xlfn.NORM.DIST(X$2,$D53,$E53,TRUE))</f>
        <v/>
      </c>
      <c r="Y53">
        <f>IF(NOT(ISNUMBER($D53)),"",_xlfn.NORM.DIST(Y$1,$D53,$E53,TRUE)-_xlfn.NORM.DIST(Y$2,$D53,$E53,TRUE))</f>
        <v/>
      </c>
      <c r="Z53">
        <f>IF(NOT(ISNUMBER($D53)),"",_xlfn.NORM.DIST(Z$1,$D53,$E53,TRUE)-_xlfn.NORM.DIST(Z$2,$D53,$E53,TRUE))</f>
        <v/>
      </c>
      <c r="AA53">
        <f>IF(NOT(ISNUMBER($D53)),"",_xlfn.NORM.DIST(AA$1,$D53,$E53,TRUE)-_xlfn.NORM.DIST(AA$2,$D53,$E53,TRUE))</f>
        <v/>
      </c>
      <c r="AB53">
        <f>IF(NOT(ISNUMBER($D53)),"",_xlfn.NORM.DIST(AB$1,$D53,$E53,TRUE)-_xlfn.NORM.DIST(AB$2,$D53,$E53,TRUE))</f>
        <v/>
      </c>
      <c r="AC53">
        <f>IF(NOT(ISNUMBER($D53)),"",_xlfn.NORM.DIST(AC$1,$D53,$E53,TRUE)-_xlfn.NORM.DIST(AC$2,$D53,$E53,TRUE))</f>
        <v/>
      </c>
      <c r="AD53">
        <f>IF(NOT(ISNUMBER($D53)),"",_xlfn.NORM.DIST(AD$1,$D53,$E53,TRUE)-_xlfn.NORM.DIST(AD$2,$D53,$E53,TRUE))</f>
        <v/>
      </c>
      <c r="AE53">
        <f>IF(NOT(ISNUMBER($D53)),"",_xlfn.NORM.DIST(AE$1,$D53,$E53,TRUE)-_xlfn.NORM.DIST(AE$2,$D53,$E53,TRUE))</f>
        <v/>
      </c>
      <c r="AF53">
        <f>IF(NOT(ISNUMBER($D53)),"",_xlfn.NORM.DIST(AF$1,$D53,$E53,TRUE)-_xlfn.NORM.DIST(AF$2,$D53,$E53,TRUE))</f>
        <v/>
      </c>
      <c r="AG53">
        <f>IF(NOT(ISNUMBER($D53)),"",_xlfn.NORM.DIST(AG$1,$D53,$E53,TRUE)-_xlfn.NORM.DIST(AG$2,$D53,$E53,TRUE))</f>
        <v/>
      </c>
      <c r="AH53">
        <f>IF(NOT(ISNUMBER($D53)),"",_xlfn.NORM.DIST(AH$1,$D53,$E53,TRUE)-_xlfn.NORM.DIST(AH$2,$D53,$E53,TRUE))</f>
        <v/>
      </c>
      <c r="AI53">
        <f>IF(NOT(ISNUMBER($D53)),"",_xlfn.NORM.DIST(AI$1,$D53,$E53,TRUE)-_xlfn.NORM.DIST(AI$2,$D53,$E53,TRUE))</f>
        <v/>
      </c>
      <c r="AJ53">
        <f>IF(NOT(ISNUMBER($D53)),"",_xlfn.NORM.DIST(AJ$1,$D53,$E53,TRUE)-_xlfn.NORM.DIST(AJ$2,$D53,$E53,TRUE))</f>
        <v/>
      </c>
      <c r="AK53">
        <f>IF(NOT(ISNUMBER($D53)),"",_xlfn.NORM.DIST(AK$1,$D53,$E53,TRUE)-_xlfn.NORM.DIST(AK$2,$D53,$E53,TRUE))</f>
        <v/>
      </c>
      <c r="AL53">
        <f>IF(NOT(ISNUMBER($D53)),"",_xlfn.NORM.DIST(AL$1,$D53,$E53,TRUE)-_xlfn.NORM.DIST(AL$2,$D53,$E53,TRUE))</f>
        <v/>
      </c>
      <c r="AM53">
        <f>IF(NOT(ISNUMBER($D53)),"",_xlfn.NORM.DIST(AM$1,$D53,$E53,TRUE)-_xlfn.NORM.DIST(AM$2,$D53,$E53,TRUE))</f>
        <v/>
      </c>
      <c r="AN53">
        <f>IF(NOT(ISNUMBER($D53)),"",_xlfn.NORM.DIST(AN$1,$D53,$E53,TRUE)-_xlfn.NORM.DIST(AN$2,$D53,$E53,TRUE))</f>
        <v/>
      </c>
      <c r="AO53">
        <f>IF(NOT(ISNUMBER($D53)),"",_xlfn.NORM.DIST(AO$1,$D53,$E53,TRUE)-_xlfn.NORM.DIST(AO$2,$D53,$E53,TRUE))</f>
        <v/>
      </c>
      <c r="AP53">
        <f>IF(NOT(ISNUMBER($D53)),"",_xlfn.NORM.DIST(AP$1,$D53,$E53,TRUE)-_xlfn.NORM.DIST(AP$2,$D53,$E53,TRUE))</f>
        <v/>
      </c>
      <c r="AQ53">
        <f>IF(NOT(ISNUMBER($D53)),"",_xlfn.NORM.DIST(AQ$1,$D53,$E53,TRUE)-_xlfn.NORM.DIST(AQ$2,$D53,$E53,TRUE))</f>
        <v/>
      </c>
      <c r="AR53">
        <f>IF(NOT(ISNUMBER($D53)),"",_xlfn.NORM.DIST(AR$1,$D53,$E53,TRUE)-_xlfn.NORM.DIST(AR$2,$D53,$E53,TRUE))</f>
        <v/>
      </c>
      <c r="AS53">
        <f>IF(NOT(ISNUMBER($D53)),"",_xlfn.NORM.DIST(AS$1,$D53,$E53,TRUE)-_xlfn.NORM.DIST(AS$2,$D53,$E53,TRUE))</f>
        <v/>
      </c>
      <c r="AT53">
        <f>IF(NOT(ISNUMBER($D53)),"",_xlfn.NORM.DIST(AT$1,$D53,$E53,TRUE)-_xlfn.NORM.DIST(AT$2,$D53,$E53,TRUE))</f>
        <v/>
      </c>
      <c r="AU53">
        <f>IF(NOT(ISNUMBER($D53)),"",_xlfn.NORM.DIST(AU$1,$D53,$E53,TRUE)-_xlfn.NORM.DIST(AU$2,$D53,$E53,TRUE))</f>
        <v/>
      </c>
      <c r="AV53">
        <f>IF(NOT(ISNUMBER($D53)),"",_xlfn.NORM.DIST(AV$1,$D53,$E53,TRUE)-_xlfn.NORM.DIST(AV$2,$D53,$E53,TRUE))</f>
        <v/>
      </c>
      <c r="AW53">
        <f>IF(NOT(ISNUMBER($D53)),"",_xlfn.NORM.DIST(AW$1,$D53,$E53,TRUE)-_xlfn.NORM.DIST(AW$2,$D53,$E53,TRUE))</f>
        <v/>
      </c>
      <c r="AX53">
        <f>IF(NOT(ISNUMBER($D53)),"",_xlfn.NORM.DIST(AX$1,$D53,$E53,TRUE)-_xlfn.NORM.DIST(AX$2,$D53,$E53,TRUE))</f>
        <v/>
      </c>
      <c r="AY53">
        <f>IF(NOT(ISNUMBER($D53)),"",_xlfn.NORM.DIST(AY$1,$D53,$E53,TRUE)-_xlfn.NORM.DIST(AY$2,$D53,$E53,TRUE))</f>
        <v/>
      </c>
      <c r="AZ53">
        <f>IF(NOT(ISNUMBER($D53)),"",_xlfn.NORM.DIST(AZ$1,$D53,$E53,TRUE)-_xlfn.NORM.DIST(AZ$2,$D53,$E53,TRUE))</f>
        <v/>
      </c>
      <c r="BA53">
        <f>IF(NOT(ISNUMBER($D53)),"",_xlfn.NORM.DIST(BA$1,$D53,$E53,TRUE)-_xlfn.NORM.DIST(BA$2,$D53,$E53,TRUE))</f>
        <v/>
      </c>
      <c r="BB53">
        <f>IF(NOT(ISNUMBER($D53)),"",_xlfn.NORM.DIST(BB$1,$D53,$E53,TRUE)-_xlfn.NORM.DIST(BB$2,$D53,$E53,TRUE))</f>
        <v/>
      </c>
      <c r="BC53">
        <f>IF(NOT(ISNUMBER($D53)),"",_xlfn.NORM.DIST(BC$1,$D53,$E53,TRUE)-_xlfn.NORM.DIST(BC$2,$D53,$E53,TRUE))</f>
        <v/>
      </c>
      <c r="BD53">
        <f>IF(NOT(ISNUMBER($D53)),"",_xlfn.NORM.DIST(BD$1,$D53,$E53,TRUE)-_xlfn.NORM.DIST(BD$2,$D53,$E53,TRUE))</f>
        <v/>
      </c>
      <c r="BE53">
        <f>IF(NOT(ISNUMBER($D53)),"",_xlfn.NORM.DIST(BE$1,$D53,$E53,TRUE)-_xlfn.NORM.DIST(BE$2,$D53,$E53,TRUE))</f>
        <v/>
      </c>
      <c r="BF53">
        <f>IF(NOT(ISNUMBER($D53)),"",_xlfn.NORM.DIST(BF$1,$D53,$E53,TRUE)-_xlfn.NORM.DIST(BF$2,$D53,$E53,TRUE))</f>
        <v/>
      </c>
      <c r="BG53">
        <f>IF(NOT(ISNUMBER($D53)),"",_xlfn.NORM.DIST(BG$1,$D53,$E53,TRUE)-_xlfn.NORM.DIST(BG$2,$D53,$E53,TRUE))</f>
        <v/>
      </c>
      <c r="BH53">
        <f>IF(NOT(ISNUMBER($D53)),"",_xlfn.NORM.DIST(BH$1,$D53,$E53,TRUE)-_xlfn.NORM.DIST(BH$2,$D53,$E53,TRUE))</f>
        <v/>
      </c>
      <c r="BI53">
        <f>IF(NOT(ISNUMBER($D53)),"",_xlfn.NORM.DIST(BI$1,$D53,$E53,TRUE)-_xlfn.NORM.DIST(BI$2,$D53,$E53,TRUE))</f>
        <v/>
      </c>
      <c r="BJ53">
        <f>IF(NOT(ISNUMBER($D53)),"",_xlfn.NORM.DIST(BJ$1,$D53,$E53,TRUE)-_xlfn.NORM.DIST(BJ$2,$D53,$E53,TRUE))</f>
        <v/>
      </c>
      <c r="BK53">
        <f>IF(NOT(ISNUMBER($D53)),"",_xlfn.NORM.DIST(BK$1,$D53,$E53,TRUE)-_xlfn.NORM.DIST(BK$2,$D53,$E53,TRUE))</f>
        <v/>
      </c>
      <c r="BL53">
        <f>IF(NOT(ISNUMBER($D53)),"",_xlfn.NORM.DIST(BL$1,$D53,$E53,TRUE)-_xlfn.NORM.DIST(BL$2,$D53,$E53,TRUE))</f>
        <v/>
      </c>
      <c r="BM53">
        <f>IF(NOT(ISNUMBER($D53)),"",_xlfn.NORM.DIST(BM$1,$D53,$E53,TRUE)-_xlfn.NORM.DIST(BM$2,$D53,$E53,TRUE))</f>
        <v/>
      </c>
      <c r="BN53">
        <f>IF(NOT(ISNUMBER($D53)),"",_xlfn.NORM.DIST(BN$1,$D53,$E53,TRUE)-_xlfn.NORM.DIST(BN$2,$D53,$E53,TRUE))</f>
        <v/>
      </c>
      <c r="BO53">
        <f>IF(NOT(ISNUMBER($D53)),"",_xlfn.NORM.DIST(BO$1,$D53,$E53,TRUE)-_xlfn.NORM.DIST(BO$2,$D53,$E53,TRUE))</f>
        <v/>
      </c>
      <c r="BP53">
        <f>IF(NOT(ISNUMBER($D53)),"",_xlfn.NORM.DIST(BP$1,$D53,$E53,TRUE)-_xlfn.NORM.DIST(BP$2,$D53,$E53,TRUE))</f>
        <v/>
      </c>
      <c r="BQ53">
        <f>IF(NOT(ISNUMBER($D53)),"",_xlfn.NORM.DIST(BQ$1,$D53,$E53,TRUE)-_xlfn.NORM.DIST(BQ$2,$D53,$E53,TRUE))</f>
        <v/>
      </c>
      <c r="BR53">
        <f>IF(NOT(ISNUMBER($D53)),"",_xlfn.NORM.DIST(BR$1,$D53,$E53,TRUE)-_xlfn.NORM.DIST(BR$2,$D53,$E53,TRUE))</f>
        <v/>
      </c>
      <c r="BS53">
        <f>IF(NOT(ISNUMBER($D53)),"",_xlfn.NORM.DIST(BS$1,$D53,$E53,TRUE)-_xlfn.NORM.DIST(BS$2,$D53,$E53,TRUE))</f>
        <v/>
      </c>
      <c r="BT53">
        <f>IF(NOT(ISNUMBER($D53)),"",_xlfn.NORM.DIST(BT$1,$D53,$E53,TRUE)-_xlfn.NORM.DIST(BT$2,$D53,$E53,TRUE))</f>
        <v/>
      </c>
      <c r="BU53">
        <f>IF(NOT(ISNUMBER($D53)),"",_xlfn.NORM.DIST(BU$1,$D53,$E53,TRUE)-_xlfn.NORM.DIST(BU$2,$D53,$E53,TRUE))</f>
        <v/>
      </c>
      <c r="BV53">
        <f>IF(NOT(ISNUMBER($D53)),"",_xlfn.NORM.DIST(BV$1,$D53,$E53,TRUE)-_xlfn.NORM.DIST(BV$2,$D53,$E53,TRUE))</f>
        <v/>
      </c>
      <c r="BW53">
        <f>IF(NOT(ISNUMBER($D53)),"",_xlfn.NORM.DIST(BW$1,$D53,$E53,TRUE)-_xlfn.NORM.DIST(BW$2,$D53,$E53,TRUE))</f>
        <v/>
      </c>
      <c r="BX53">
        <f>IF(NOT(ISNUMBER($D53)),"",_xlfn.NORM.DIST(BX$1,$D53,$E53,TRUE)-_xlfn.NORM.DIST(BX$2,$D53,$E53,TRUE))</f>
        <v/>
      </c>
      <c r="BY53">
        <f>IF(NOT(ISNUMBER($D53)),"",_xlfn.NORM.DIST(BY$1,$D53,$E53,TRUE)-_xlfn.NORM.DIST(BY$2,$D53,$E53,TRUE))</f>
        <v/>
      </c>
      <c r="BZ53">
        <f>IF(NOT(ISNUMBER($D53)),"",_xlfn.NORM.DIST(BZ$1,$D53,$E53,TRUE)-_xlfn.NORM.DIST(BZ$2,$D53,$E53,TRUE))</f>
        <v/>
      </c>
      <c r="CA53">
        <f>IF(NOT(ISNUMBER($D53)),"",_xlfn.NORM.DIST(CA$1,$D53,$E53,TRUE)-_xlfn.NORM.DIST(CA$2,$D53,$E53,TRUE))</f>
        <v/>
      </c>
      <c r="CB53">
        <f>IF(NOT(ISNUMBER($D53)),"",_xlfn.NORM.DIST(CB$1,$D53,$E53,TRUE)-_xlfn.NORM.DIST(CB$2,$D53,$E53,TRUE))</f>
        <v/>
      </c>
      <c r="CC53">
        <f>IF(NOT(ISNUMBER($D53)),"",_xlfn.NORM.DIST(CC$1,$D53,$E53,TRUE)-_xlfn.NORM.DIST(CC$2,$D53,$E53,TRUE))</f>
        <v/>
      </c>
      <c r="CD53">
        <f>IF(NOT(ISNUMBER($D53)),"",_xlfn.NORM.DIST(CD$1,$D53,$E53,TRUE)-_xlfn.NORM.DIST(CD$2,$D53,$E53,TRUE))</f>
        <v/>
      </c>
      <c r="CE53">
        <f>IF(NOT(ISNUMBER($D53)),"",_xlfn.NORM.DIST(CE$1,$D53,$E53,TRUE)-_xlfn.NORM.DIST(CE$2,$D53,$E53,TRUE))</f>
        <v/>
      </c>
      <c r="CF53">
        <f>IF(NOT(ISNUMBER($D53)),"",_xlfn.NORM.DIST(CF$1,$D53,$E53,TRUE)-_xlfn.NORM.DIST(CF$2,$D53,$E53,TRUE))</f>
        <v/>
      </c>
      <c r="CG53">
        <f>IF(NOT(ISNUMBER($D53)),"",_xlfn.NORM.DIST(CG$1,$D53,$E53,TRUE)-_xlfn.NORM.DIST(CG$2,$D53,$E53,TRUE))</f>
        <v/>
      </c>
      <c r="CH53">
        <f>IF(NOT(ISNUMBER($D53)),"",_xlfn.NORM.DIST(CH$1,$D53,$E53,TRUE)-_xlfn.NORM.DIST(CH$2,$D53,$E53,TRUE))</f>
        <v/>
      </c>
      <c r="CI53">
        <f>IF(NOT(ISNUMBER($D53)),"",_xlfn.NORM.DIST(CI$1,$D53,$E53,TRUE)-_xlfn.NORM.DIST(CI$2,$D53,$E53,TRUE))</f>
        <v/>
      </c>
      <c r="CJ53">
        <f>IF(ISNUMBER($D53),SUM(F53:CI53),"")</f>
        <v/>
      </c>
    </row>
    <row r="54">
      <c r="A54">
        <f>economics!A53</f>
        <v/>
      </c>
      <c r="B54">
        <f>economics!B53</f>
        <v/>
      </c>
      <c r="C54">
        <f>economics!D53</f>
        <v/>
      </c>
      <c r="D54">
        <f>IF(ISNUMBER(economics!T53),economics!T53,"na")</f>
        <v/>
      </c>
      <c r="E54">
        <f>IF(ISNUMBER(D54),MAX(0.3*ABS(D54),0.000001),"na")</f>
        <v/>
      </c>
      <c r="F54">
        <f>IF(NOT(ISNUMBER($D54)),"",_xlfn.NORM.DIST(F$1,$D54,$E54,TRUE)-_xlfn.NORM.DIST(F$2,$D54,$E54,TRUE))</f>
        <v/>
      </c>
      <c r="G54">
        <f>IF(NOT(ISNUMBER($D54)),"",_xlfn.NORM.DIST(G$1,$D54,$E54,TRUE)-_xlfn.NORM.DIST(G$2,$D54,$E54,TRUE))</f>
        <v/>
      </c>
      <c r="H54">
        <f>IF(NOT(ISNUMBER($D54)),"",_xlfn.NORM.DIST(H$1,$D54,$E54,TRUE)-_xlfn.NORM.DIST(H$2,$D54,$E54,TRUE))</f>
        <v/>
      </c>
      <c r="I54">
        <f>IF(NOT(ISNUMBER($D54)),"",_xlfn.NORM.DIST(I$1,$D54,$E54,TRUE)-_xlfn.NORM.DIST(I$2,$D54,$E54,TRUE))</f>
        <v/>
      </c>
      <c r="J54">
        <f>IF(NOT(ISNUMBER($D54)),"",_xlfn.NORM.DIST(J$1,$D54,$E54,TRUE)-_xlfn.NORM.DIST(J$2,$D54,$E54,TRUE))</f>
        <v/>
      </c>
      <c r="K54">
        <f>IF(NOT(ISNUMBER($D54)),"",_xlfn.NORM.DIST(K$1,$D54,$E54,TRUE)-_xlfn.NORM.DIST(K$2,$D54,$E54,TRUE))</f>
        <v/>
      </c>
      <c r="L54">
        <f>IF(NOT(ISNUMBER($D54)),"",_xlfn.NORM.DIST(L$1,$D54,$E54,TRUE)-_xlfn.NORM.DIST(L$2,$D54,$E54,TRUE))</f>
        <v/>
      </c>
      <c r="M54">
        <f>IF(NOT(ISNUMBER($D54)),"",_xlfn.NORM.DIST(M$1,$D54,$E54,TRUE)-_xlfn.NORM.DIST(M$2,$D54,$E54,TRUE))</f>
        <v/>
      </c>
      <c r="N54">
        <f>IF(NOT(ISNUMBER($D54)),"",_xlfn.NORM.DIST(N$1,$D54,$E54,TRUE)-_xlfn.NORM.DIST(N$2,$D54,$E54,TRUE))</f>
        <v/>
      </c>
      <c r="O54">
        <f>IF(NOT(ISNUMBER($D54)),"",_xlfn.NORM.DIST(O$1,$D54,$E54,TRUE)-_xlfn.NORM.DIST(O$2,$D54,$E54,TRUE))</f>
        <v/>
      </c>
      <c r="P54">
        <f>IF(NOT(ISNUMBER($D54)),"",_xlfn.NORM.DIST(P$1,$D54,$E54,TRUE)-_xlfn.NORM.DIST(P$2,$D54,$E54,TRUE))</f>
        <v/>
      </c>
      <c r="Q54">
        <f>IF(NOT(ISNUMBER($D54)),"",_xlfn.NORM.DIST(Q$1,$D54,$E54,TRUE)-_xlfn.NORM.DIST(Q$2,$D54,$E54,TRUE))</f>
        <v/>
      </c>
      <c r="R54">
        <f>IF(NOT(ISNUMBER($D54)),"",_xlfn.NORM.DIST(R$1,$D54,$E54,TRUE)-_xlfn.NORM.DIST(R$2,$D54,$E54,TRUE))</f>
        <v/>
      </c>
      <c r="S54">
        <f>IF(NOT(ISNUMBER($D54)),"",_xlfn.NORM.DIST(S$1,$D54,$E54,TRUE)-_xlfn.NORM.DIST(S$2,$D54,$E54,TRUE))</f>
        <v/>
      </c>
      <c r="T54">
        <f>IF(NOT(ISNUMBER($D54)),"",_xlfn.NORM.DIST(T$1,$D54,$E54,TRUE)-_xlfn.NORM.DIST(T$2,$D54,$E54,TRUE))</f>
        <v/>
      </c>
      <c r="U54">
        <f>IF(NOT(ISNUMBER($D54)),"",_xlfn.NORM.DIST(U$1,$D54,$E54,TRUE)-_xlfn.NORM.DIST(U$2,$D54,$E54,TRUE))</f>
        <v/>
      </c>
      <c r="V54">
        <f>IF(NOT(ISNUMBER($D54)),"",_xlfn.NORM.DIST(V$1,$D54,$E54,TRUE)-_xlfn.NORM.DIST(V$2,$D54,$E54,TRUE))</f>
        <v/>
      </c>
      <c r="W54">
        <f>IF(NOT(ISNUMBER($D54)),"",_xlfn.NORM.DIST(W$1,$D54,$E54,TRUE)-_xlfn.NORM.DIST(W$2,$D54,$E54,TRUE))</f>
        <v/>
      </c>
      <c r="X54">
        <f>IF(NOT(ISNUMBER($D54)),"",_xlfn.NORM.DIST(X$1,$D54,$E54,TRUE)-_xlfn.NORM.DIST(X$2,$D54,$E54,TRUE))</f>
        <v/>
      </c>
      <c r="Y54">
        <f>IF(NOT(ISNUMBER($D54)),"",_xlfn.NORM.DIST(Y$1,$D54,$E54,TRUE)-_xlfn.NORM.DIST(Y$2,$D54,$E54,TRUE))</f>
        <v/>
      </c>
      <c r="Z54">
        <f>IF(NOT(ISNUMBER($D54)),"",_xlfn.NORM.DIST(Z$1,$D54,$E54,TRUE)-_xlfn.NORM.DIST(Z$2,$D54,$E54,TRUE))</f>
        <v/>
      </c>
      <c r="AA54">
        <f>IF(NOT(ISNUMBER($D54)),"",_xlfn.NORM.DIST(AA$1,$D54,$E54,TRUE)-_xlfn.NORM.DIST(AA$2,$D54,$E54,TRUE))</f>
        <v/>
      </c>
      <c r="AB54">
        <f>IF(NOT(ISNUMBER($D54)),"",_xlfn.NORM.DIST(AB$1,$D54,$E54,TRUE)-_xlfn.NORM.DIST(AB$2,$D54,$E54,TRUE))</f>
        <v/>
      </c>
      <c r="AC54">
        <f>IF(NOT(ISNUMBER($D54)),"",_xlfn.NORM.DIST(AC$1,$D54,$E54,TRUE)-_xlfn.NORM.DIST(AC$2,$D54,$E54,TRUE))</f>
        <v/>
      </c>
      <c r="AD54">
        <f>IF(NOT(ISNUMBER($D54)),"",_xlfn.NORM.DIST(AD$1,$D54,$E54,TRUE)-_xlfn.NORM.DIST(AD$2,$D54,$E54,TRUE))</f>
        <v/>
      </c>
      <c r="AE54">
        <f>IF(NOT(ISNUMBER($D54)),"",_xlfn.NORM.DIST(AE$1,$D54,$E54,TRUE)-_xlfn.NORM.DIST(AE$2,$D54,$E54,TRUE))</f>
        <v/>
      </c>
      <c r="AF54">
        <f>IF(NOT(ISNUMBER($D54)),"",_xlfn.NORM.DIST(AF$1,$D54,$E54,TRUE)-_xlfn.NORM.DIST(AF$2,$D54,$E54,TRUE))</f>
        <v/>
      </c>
      <c r="AG54">
        <f>IF(NOT(ISNUMBER($D54)),"",_xlfn.NORM.DIST(AG$1,$D54,$E54,TRUE)-_xlfn.NORM.DIST(AG$2,$D54,$E54,TRUE))</f>
        <v/>
      </c>
      <c r="AH54">
        <f>IF(NOT(ISNUMBER($D54)),"",_xlfn.NORM.DIST(AH$1,$D54,$E54,TRUE)-_xlfn.NORM.DIST(AH$2,$D54,$E54,TRUE))</f>
        <v/>
      </c>
      <c r="AI54">
        <f>IF(NOT(ISNUMBER($D54)),"",_xlfn.NORM.DIST(AI$1,$D54,$E54,TRUE)-_xlfn.NORM.DIST(AI$2,$D54,$E54,TRUE))</f>
        <v/>
      </c>
      <c r="AJ54">
        <f>IF(NOT(ISNUMBER($D54)),"",_xlfn.NORM.DIST(AJ$1,$D54,$E54,TRUE)-_xlfn.NORM.DIST(AJ$2,$D54,$E54,TRUE))</f>
        <v/>
      </c>
      <c r="AK54">
        <f>IF(NOT(ISNUMBER($D54)),"",_xlfn.NORM.DIST(AK$1,$D54,$E54,TRUE)-_xlfn.NORM.DIST(AK$2,$D54,$E54,TRUE))</f>
        <v/>
      </c>
      <c r="AL54">
        <f>IF(NOT(ISNUMBER($D54)),"",_xlfn.NORM.DIST(AL$1,$D54,$E54,TRUE)-_xlfn.NORM.DIST(AL$2,$D54,$E54,TRUE))</f>
        <v/>
      </c>
      <c r="AM54">
        <f>IF(NOT(ISNUMBER($D54)),"",_xlfn.NORM.DIST(AM$1,$D54,$E54,TRUE)-_xlfn.NORM.DIST(AM$2,$D54,$E54,TRUE))</f>
        <v/>
      </c>
      <c r="AN54">
        <f>IF(NOT(ISNUMBER($D54)),"",_xlfn.NORM.DIST(AN$1,$D54,$E54,TRUE)-_xlfn.NORM.DIST(AN$2,$D54,$E54,TRUE))</f>
        <v/>
      </c>
      <c r="AO54">
        <f>IF(NOT(ISNUMBER($D54)),"",_xlfn.NORM.DIST(AO$1,$D54,$E54,TRUE)-_xlfn.NORM.DIST(AO$2,$D54,$E54,TRUE))</f>
        <v/>
      </c>
      <c r="AP54">
        <f>IF(NOT(ISNUMBER($D54)),"",_xlfn.NORM.DIST(AP$1,$D54,$E54,TRUE)-_xlfn.NORM.DIST(AP$2,$D54,$E54,TRUE))</f>
        <v/>
      </c>
      <c r="AQ54">
        <f>IF(NOT(ISNUMBER($D54)),"",_xlfn.NORM.DIST(AQ$1,$D54,$E54,TRUE)-_xlfn.NORM.DIST(AQ$2,$D54,$E54,TRUE))</f>
        <v/>
      </c>
      <c r="AR54">
        <f>IF(NOT(ISNUMBER($D54)),"",_xlfn.NORM.DIST(AR$1,$D54,$E54,TRUE)-_xlfn.NORM.DIST(AR$2,$D54,$E54,TRUE))</f>
        <v/>
      </c>
      <c r="AS54">
        <f>IF(NOT(ISNUMBER($D54)),"",_xlfn.NORM.DIST(AS$1,$D54,$E54,TRUE)-_xlfn.NORM.DIST(AS$2,$D54,$E54,TRUE))</f>
        <v/>
      </c>
      <c r="AT54">
        <f>IF(NOT(ISNUMBER($D54)),"",_xlfn.NORM.DIST(AT$1,$D54,$E54,TRUE)-_xlfn.NORM.DIST(AT$2,$D54,$E54,TRUE))</f>
        <v/>
      </c>
      <c r="AU54">
        <f>IF(NOT(ISNUMBER($D54)),"",_xlfn.NORM.DIST(AU$1,$D54,$E54,TRUE)-_xlfn.NORM.DIST(AU$2,$D54,$E54,TRUE))</f>
        <v/>
      </c>
      <c r="AV54">
        <f>IF(NOT(ISNUMBER($D54)),"",_xlfn.NORM.DIST(AV$1,$D54,$E54,TRUE)-_xlfn.NORM.DIST(AV$2,$D54,$E54,TRUE))</f>
        <v/>
      </c>
      <c r="AW54">
        <f>IF(NOT(ISNUMBER($D54)),"",_xlfn.NORM.DIST(AW$1,$D54,$E54,TRUE)-_xlfn.NORM.DIST(AW$2,$D54,$E54,TRUE))</f>
        <v/>
      </c>
      <c r="AX54">
        <f>IF(NOT(ISNUMBER($D54)),"",_xlfn.NORM.DIST(AX$1,$D54,$E54,TRUE)-_xlfn.NORM.DIST(AX$2,$D54,$E54,TRUE))</f>
        <v/>
      </c>
      <c r="AY54">
        <f>IF(NOT(ISNUMBER($D54)),"",_xlfn.NORM.DIST(AY$1,$D54,$E54,TRUE)-_xlfn.NORM.DIST(AY$2,$D54,$E54,TRUE))</f>
        <v/>
      </c>
      <c r="AZ54">
        <f>IF(NOT(ISNUMBER($D54)),"",_xlfn.NORM.DIST(AZ$1,$D54,$E54,TRUE)-_xlfn.NORM.DIST(AZ$2,$D54,$E54,TRUE))</f>
        <v/>
      </c>
      <c r="BA54">
        <f>IF(NOT(ISNUMBER($D54)),"",_xlfn.NORM.DIST(BA$1,$D54,$E54,TRUE)-_xlfn.NORM.DIST(BA$2,$D54,$E54,TRUE))</f>
        <v/>
      </c>
      <c r="BB54">
        <f>IF(NOT(ISNUMBER($D54)),"",_xlfn.NORM.DIST(BB$1,$D54,$E54,TRUE)-_xlfn.NORM.DIST(BB$2,$D54,$E54,TRUE))</f>
        <v/>
      </c>
      <c r="BC54">
        <f>IF(NOT(ISNUMBER($D54)),"",_xlfn.NORM.DIST(BC$1,$D54,$E54,TRUE)-_xlfn.NORM.DIST(BC$2,$D54,$E54,TRUE))</f>
        <v/>
      </c>
      <c r="BD54">
        <f>IF(NOT(ISNUMBER($D54)),"",_xlfn.NORM.DIST(BD$1,$D54,$E54,TRUE)-_xlfn.NORM.DIST(BD$2,$D54,$E54,TRUE))</f>
        <v/>
      </c>
      <c r="BE54">
        <f>IF(NOT(ISNUMBER($D54)),"",_xlfn.NORM.DIST(BE$1,$D54,$E54,TRUE)-_xlfn.NORM.DIST(BE$2,$D54,$E54,TRUE))</f>
        <v/>
      </c>
      <c r="BF54">
        <f>IF(NOT(ISNUMBER($D54)),"",_xlfn.NORM.DIST(BF$1,$D54,$E54,TRUE)-_xlfn.NORM.DIST(BF$2,$D54,$E54,TRUE))</f>
        <v/>
      </c>
      <c r="BG54">
        <f>IF(NOT(ISNUMBER($D54)),"",_xlfn.NORM.DIST(BG$1,$D54,$E54,TRUE)-_xlfn.NORM.DIST(BG$2,$D54,$E54,TRUE))</f>
        <v/>
      </c>
      <c r="BH54">
        <f>IF(NOT(ISNUMBER($D54)),"",_xlfn.NORM.DIST(BH$1,$D54,$E54,TRUE)-_xlfn.NORM.DIST(BH$2,$D54,$E54,TRUE))</f>
        <v/>
      </c>
      <c r="BI54">
        <f>IF(NOT(ISNUMBER($D54)),"",_xlfn.NORM.DIST(BI$1,$D54,$E54,TRUE)-_xlfn.NORM.DIST(BI$2,$D54,$E54,TRUE))</f>
        <v/>
      </c>
      <c r="BJ54">
        <f>IF(NOT(ISNUMBER($D54)),"",_xlfn.NORM.DIST(BJ$1,$D54,$E54,TRUE)-_xlfn.NORM.DIST(BJ$2,$D54,$E54,TRUE))</f>
        <v/>
      </c>
      <c r="BK54">
        <f>IF(NOT(ISNUMBER($D54)),"",_xlfn.NORM.DIST(BK$1,$D54,$E54,TRUE)-_xlfn.NORM.DIST(BK$2,$D54,$E54,TRUE))</f>
        <v/>
      </c>
      <c r="BL54">
        <f>IF(NOT(ISNUMBER($D54)),"",_xlfn.NORM.DIST(BL$1,$D54,$E54,TRUE)-_xlfn.NORM.DIST(BL$2,$D54,$E54,TRUE))</f>
        <v/>
      </c>
      <c r="BM54">
        <f>IF(NOT(ISNUMBER($D54)),"",_xlfn.NORM.DIST(BM$1,$D54,$E54,TRUE)-_xlfn.NORM.DIST(BM$2,$D54,$E54,TRUE))</f>
        <v/>
      </c>
      <c r="BN54">
        <f>IF(NOT(ISNUMBER($D54)),"",_xlfn.NORM.DIST(BN$1,$D54,$E54,TRUE)-_xlfn.NORM.DIST(BN$2,$D54,$E54,TRUE))</f>
        <v/>
      </c>
      <c r="BO54">
        <f>IF(NOT(ISNUMBER($D54)),"",_xlfn.NORM.DIST(BO$1,$D54,$E54,TRUE)-_xlfn.NORM.DIST(BO$2,$D54,$E54,TRUE))</f>
        <v/>
      </c>
      <c r="BP54">
        <f>IF(NOT(ISNUMBER($D54)),"",_xlfn.NORM.DIST(BP$1,$D54,$E54,TRUE)-_xlfn.NORM.DIST(BP$2,$D54,$E54,TRUE))</f>
        <v/>
      </c>
      <c r="BQ54">
        <f>IF(NOT(ISNUMBER($D54)),"",_xlfn.NORM.DIST(BQ$1,$D54,$E54,TRUE)-_xlfn.NORM.DIST(BQ$2,$D54,$E54,TRUE))</f>
        <v/>
      </c>
      <c r="BR54">
        <f>IF(NOT(ISNUMBER($D54)),"",_xlfn.NORM.DIST(BR$1,$D54,$E54,TRUE)-_xlfn.NORM.DIST(BR$2,$D54,$E54,TRUE))</f>
        <v/>
      </c>
      <c r="BS54">
        <f>IF(NOT(ISNUMBER($D54)),"",_xlfn.NORM.DIST(BS$1,$D54,$E54,TRUE)-_xlfn.NORM.DIST(BS$2,$D54,$E54,TRUE))</f>
        <v/>
      </c>
      <c r="BT54">
        <f>IF(NOT(ISNUMBER($D54)),"",_xlfn.NORM.DIST(BT$1,$D54,$E54,TRUE)-_xlfn.NORM.DIST(BT$2,$D54,$E54,TRUE))</f>
        <v/>
      </c>
      <c r="BU54">
        <f>IF(NOT(ISNUMBER($D54)),"",_xlfn.NORM.DIST(BU$1,$D54,$E54,TRUE)-_xlfn.NORM.DIST(BU$2,$D54,$E54,TRUE))</f>
        <v/>
      </c>
      <c r="BV54">
        <f>IF(NOT(ISNUMBER($D54)),"",_xlfn.NORM.DIST(BV$1,$D54,$E54,TRUE)-_xlfn.NORM.DIST(BV$2,$D54,$E54,TRUE))</f>
        <v/>
      </c>
      <c r="BW54">
        <f>IF(NOT(ISNUMBER($D54)),"",_xlfn.NORM.DIST(BW$1,$D54,$E54,TRUE)-_xlfn.NORM.DIST(BW$2,$D54,$E54,TRUE))</f>
        <v/>
      </c>
      <c r="BX54">
        <f>IF(NOT(ISNUMBER($D54)),"",_xlfn.NORM.DIST(BX$1,$D54,$E54,TRUE)-_xlfn.NORM.DIST(BX$2,$D54,$E54,TRUE))</f>
        <v/>
      </c>
      <c r="BY54">
        <f>IF(NOT(ISNUMBER($D54)),"",_xlfn.NORM.DIST(BY$1,$D54,$E54,TRUE)-_xlfn.NORM.DIST(BY$2,$D54,$E54,TRUE))</f>
        <v/>
      </c>
      <c r="BZ54">
        <f>IF(NOT(ISNUMBER($D54)),"",_xlfn.NORM.DIST(BZ$1,$D54,$E54,TRUE)-_xlfn.NORM.DIST(BZ$2,$D54,$E54,TRUE))</f>
        <v/>
      </c>
      <c r="CA54">
        <f>IF(NOT(ISNUMBER($D54)),"",_xlfn.NORM.DIST(CA$1,$D54,$E54,TRUE)-_xlfn.NORM.DIST(CA$2,$D54,$E54,TRUE))</f>
        <v/>
      </c>
      <c r="CB54">
        <f>IF(NOT(ISNUMBER($D54)),"",_xlfn.NORM.DIST(CB$1,$D54,$E54,TRUE)-_xlfn.NORM.DIST(CB$2,$D54,$E54,TRUE))</f>
        <v/>
      </c>
      <c r="CC54">
        <f>IF(NOT(ISNUMBER($D54)),"",_xlfn.NORM.DIST(CC$1,$D54,$E54,TRUE)-_xlfn.NORM.DIST(CC$2,$D54,$E54,TRUE))</f>
        <v/>
      </c>
      <c r="CD54">
        <f>IF(NOT(ISNUMBER($D54)),"",_xlfn.NORM.DIST(CD$1,$D54,$E54,TRUE)-_xlfn.NORM.DIST(CD$2,$D54,$E54,TRUE))</f>
        <v/>
      </c>
      <c r="CE54">
        <f>IF(NOT(ISNUMBER($D54)),"",_xlfn.NORM.DIST(CE$1,$D54,$E54,TRUE)-_xlfn.NORM.DIST(CE$2,$D54,$E54,TRUE))</f>
        <v/>
      </c>
      <c r="CF54">
        <f>IF(NOT(ISNUMBER($D54)),"",_xlfn.NORM.DIST(CF$1,$D54,$E54,TRUE)-_xlfn.NORM.DIST(CF$2,$D54,$E54,TRUE))</f>
        <v/>
      </c>
      <c r="CG54">
        <f>IF(NOT(ISNUMBER($D54)),"",_xlfn.NORM.DIST(CG$1,$D54,$E54,TRUE)-_xlfn.NORM.DIST(CG$2,$D54,$E54,TRUE))</f>
        <v/>
      </c>
      <c r="CH54">
        <f>IF(NOT(ISNUMBER($D54)),"",_xlfn.NORM.DIST(CH$1,$D54,$E54,TRUE)-_xlfn.NORM.DIST(CH$2,$D54,$E54,TRUE))</f>
        <v/>
      </c>
      <c r="CI54">
        <f>IF(NOT(ISNUMBER($D54)),"",_xlfn.NORM.DIST(CI$1,$D54,$E54,TRUE)-_xlfn.NORM.DIST(CI$2,$D54,$E54,TRUE))</f>
        <v/>
      </c>
      <c r="CJ54">
        <f>IF(ISNUMBER($D54),SUM(F54:CI54),"")</f>
        <v/>
      </c>
    </row>
    <row r="55">
      <c r="A55">
        <f>economics!A54</f>
        <v/>
      </c>
      <c r="B55">
        <f>economics!B54</f>
        <v/>
      </c>
      <c r="C55">
        <f>economics!D54</f>
        <v/>
      </c>
      <c r="D55">
        <f>IF(ISNUMBER(economics!T54),economics!T54,"na")</f>
        <v/>
      </c>
      <c r="E55">
        <f>IF(ISNUMBER(D55),MAX(0.3*ABS(D55),0.000001),"na")</f>
        <v/>
      </c>
      <c r="F55">
        <f>IF(NOT(ISNUMBER($D55)),"",_xlfn.NORM.DIST(F$1,$D55,$E55,TRUE)-_xlfn.NORM.DIST(F$2,$D55,$E55,TRUE))</f>
        <v/>
      </c>
      <c r="G55">
        <f>IF(NOT(ISNUMBER($D55)),"",_xlfn.NORM.DIST(G$1,$D55,$E55,TRUE)-_xlfn.NORM.DIST(G$2,$D55,$E55,TRUE))</f>
        <v/>
      </c>
      <c r="H55">
        <f>IF(NOT(ISNUMBER($D55)),"",_xlfn.NORM.DIST(H$1,$D55,$E55,TRUE)-_xlfn.NORM.DIST(H$2,$D55,$E55,TRUE))</f>
        <v/>
      </c>
      <c r="I55">
        <f>IF(NOT(ISNUMBER($D55)),"",_xlfn.NORM.DIST(I$1,$D55,$E55,TRUE)-_xlfn.NORM.DIST(I$2,$D55,$E55,TRUE))</f>
        <v/>
      </c>
      <c r="J55">
        <f>IF(NOT(ISNUMBER($D55)),"",_xlfn.NORM.DIST(J$1,$D55,$E55,TRUE)-_xlfn.NORM.DIST(J$2,$D55,$E55,TRUE))</f>
        <v/>
      </c>
      <c r="K55">
        <f>IF(NOT(ISNUMBER($D55)),"",_xlfn.NORM.DIST(K$1,$D55,$E55,TRUE)-_xlfn.NORM.DIST(K$2,$D55,$E55,TRUE))</f>
        <v/>
      </c>
      <c r="L55">
        <f>IF(NOT(ISNUMBER($D55)),"",_xlfn.NORM.DIST(L$1,$D55,$E55,TRUE)-_xlfn.NORM.DIST(L$2,$D55,$E55,TRUE))</f>
        <v/>
      </c>
      <c r="M55">
        <f>IF(NOT(ISNUMBER($D55)),"",_xlfn.NORM.DIST(M$1,$D55,$E55,TRUE)-_xlfn.NORM.DIST(M$2,$D55,$E55,TRUE))</f>
        <v/>
      </c>
      <c r="N55">
        <f>IF(NOT(ISNUMBER($D55)),"",_xlfn.NORM.DIST(N$1,$D55,$E55,TRUE)-_xlfn.NORM.DIST(N$2,$D55,$E55,TRUE))</f>
        <v/>
      </c>
      <c r="O55">
        <f>IF(NOT(ISNUMBER($D55)),"",_xlfn.NORM.DIST(O$1,$D55,$E55,TRUE)-_xlfn.NORM.DIST(O$2,$D55,$E55,TRUE))</f>
        <v/>
      </c>
      <c r="P55">
        <f>IF(NOT(ISNUMBER($D55)),"",_xlfn.NORM.DIST(P$1,$D55,$E55,TRUE)-_xlfn.NORM.DIST(P$2,$D55,$E55,TRUE))</f>
        <v/>
      </c>
      <c r="Q55">
        <f>IF(NOT(ISNUMBER($D55)),"",_xlfn.NORM.DIST(Q$1,$D55,$E55,TRUE)-_xlfn.NORM.DIST(Q$2,$D55,$E55,TRUE))</f>
        <v/>
      </c>
      <c r="R55">
        <f>IF(NOT(ISNUMBER($D55)),"",_xlfn.NORM.DIST(R$1,$D55,$E55,TRUE)-_xlfn.NORM.DIST(R$2,$D55,$E55,TRUE))</f>
        <v/>
      </c>
      <c r="S55">
        <f>IF(NOT(ISNUMBER($D55)),"",_xlfn.NORM.DIST(S$1,$D55,$E55,TRUE)-_xlfn.NORM.DIST(S$2,$D55,$E55,TRUE))</f>
        <v/>
      </c>
      <c r="T55">
        <f>IF(NOT(ISNUMBER($D55)),"",_xlfn.NORM.DIST(T$1,$D55,$E55,TRUE)-_xlfn.NORM.DIST(T$2,$D55,$E55,TRUE))</f>
        <v/>
      </c>
      <c r="U55">
        <f>IF(NOT(ISNUMBER($D55)),"",_xlfn.NORM.DIST(U$1,$D55,$E55,TRUE)-_xlfn.NORM.DIST(U$2,$D55,$E55,TRUE))</f>
        <v/>
      </c>
      <c r="V55">
        <f>IF(NOT(ISNUMBER($D55)),"",_xlfn.NORM.DIST(V$1,$D55,$E55,TRUE)-_xlfn.NORM.DIST(V$2,$D55,$E55,TRUE))</f>
        <v/>
      </c>
      <c r="W55">
        <f>IF(NOT(ISNUMBER($D55)),"",_xlfn.NORM.DIST(W$1,$D55,$E55,TRUE)-_xlfn.NORM.DIST(W$2,$D55,$E55,TRUE))</f>
        <v/>
      </c>
      <c r="X55">
        <f>IF(NOT(ISNUMBER($D55)),"",_xlfn.NORM.DIST(X$1,$D55,$E55,TRUE)-_xlfn.NORM.DIST(X$2,$D55,$E55,TRUE))</f>
        <v/>
      </c>
      <c r="Y55">
        <f>IF(NOT(ISNUMBER($D55)),"",_xlfn.NORM.DIST(Y$1,$D55,$E55,TRUE)-_xlfn.NORM.DIST(Y$2,$D55,$E55,TRUE))</f>
        <v/>
      </c>
      <c r="Z55">
        <f>IF(NOT(ISNUMBER($D55)),"",_xlfn.NORM.DIST(Z$1,$D55,$E55,TRUE)-_xlfn.NORM.DIST(Z$2,$D55,$E55,TRUE))</f>
        <v/>
      </c>
      <c r="AA55">
        <f>IF(NOT(ISNUMBER($D55)),"",_xlfn.NORM.DIST(AA$1,$D55,$E55,TRUE)-_xlfn.NORM.DIST(AA$2,$D55,$E55,TRUE))</f>
        <v/>
      </c>
      <c r="AB55">
        <f>IF(NOT(ISNUMBER($D55)),"",_xlfn.NORM.DIST(AB$1,$D55,$E55,TRUE)-_xlfn.NORM.DIST(AB$2,$D55,$E55,TRUE))</f>
        <v/>
      </c>
      <c r="AC55">
        <f>IF(NOT(ISNUMBER($D55)),"",_xlfn.NORM.DIST(AC$1,$D55,$E55,TRUE)-_xlfn.NORM.DIST(AC$2,$D55,$E55,TRUE))</f>
        <v/>
      </c>
      <c r="AD55">
        <f>IF(NOT(ISNUMBER($D55)),"",_xlfn.NORM.DIST(AD$1,$D55,$E55,TRUE)-_xlfn.NORM.DIST(AD$2,$D55,$E55,TRUE))</f>
        <v/>
      </c>
      <c r="AE55">
        <f>IF(NOT(ISNUMBER($D55)),"",_xlfn.NORM.DIST(AE$1,$D55,$E55,TRUE)-_xlfn.NORM.DIST(AE$2,$D55,$E55,TRUE))</f>
        <v/>
      </c>
      <c r="AF55">
        <f>IF(NOT(ISNUMBER($D55)),"",_xlfn.NORM.DIST(AF$1,$D55,$E55,TRUE)-_xlfn.NORM.DIST(AF$2,$D55,$E55,TRUE))</f>
        <v/>
      </c>
      <c r="AG55">
        <f>IF(NOT(ISNUMBER($D55)),"",_xlfn.NORM.DIST(AG$1,$D55,$E55,TRUE)-_xlfn.NORM.DIST(AG$2,$D55,$E55,TRUE))</f>
        <v/>
      </c>
      <c r="AH55">
        <f>IF(NOT(ISNUMBER($D55)),"",_xlfn.NORM.DIST(AH$1,$D55,$E55,TRUE)-_xlfn.NORM.DIST(AH$2,$D55,$E55,TRUE))</f>
        <v/>
      </c>
      <c r="AI55">
        <f>IF(NOT(ISNUMBER($D55)),"",_xlfn.NORM.DIST(AI$1,$D55,$E55,TRUE)-_xlfn.NORM.DIST(AI$2,$D55,$E55,TRUE))</f>
        <v/>
      </c>
      <c r="AJ55">
        <f>IF(NOT(ISNUMBER($D55)),"",_xlfn.NORM.DIST(AJ$1,$D55,$E55,TRUE)-_xlfn.NORM.DIST(AJ$2,$D55,$E55,TRUE))</f>
        <v/>
      </c>
      <c r="AK55">
        <f>IF(NOT(ISNUMBER($D55)),"",_xlfn.NORM.DIST(AK$1,$D55,$E55,TRUE)-_xlfn.NORM.DIST(AK$2,$D55,$E55,TRUE))</f>
        <v/>
      </c>
      <c r="AL55">
        <f>IF(NOT(ISNUMBER($D55)),"",_xlfn.NORM.DIST(AL$1,$D55,$E55,TRUE)-_xlfn.NORM.DIST(AL$2,$D55,$E55,TRUE))</f>
        <v/>
      </c>
      <c r="AM55">
        <f>IF(NOT(ISNUMBER($D55)),"",_xlfn.NORM.DIST(AM$1,$D55,$E55,TRUE)-_xlfn.NORM.DIST(AM$2,$D55,$E55,TRUE))</f>
        <v/>
      </c>
      <c r="AN55">
        <f>IF(NOT(ISNUMBER($D55)),"",_xlfn.NORM.DIST(AN$1,$D55,$E55,TRUE)-_xlfn.NORM.DIST(AN$2,$D55,$E55,TRUE))</f>
        <v/>
      </c>
      <c r="AO55">
        <f>IF(NOT(ISNUMBER($D55)),"",_xlfn.NORM.DIST(AO$1,$D55,$E55,TRUE)-_xlfn.NORM.DIST(AO$2,$D55,$E55,TRUE))</f>
        <v/>
      </c>
      <c r="AP55">
        <f>IF(NOT(ISNUMBER($D55)),"",_xlfn.NORM.DIST(AP$1,$D55,$E55,TRUE)-_xlfn.NORM.DIST(AP$2,$D55,$E55,TRUE))</f>
        <v/>
      </c>
      <c r="AQ55">
        <f>IF(NOT(ISNUMBER($D55)),"",_xlfn.NORM.DIST(AQ$1,$D55,$E55,TRUE)-_xlfn.NORM.DIST(AQ$2,$D55,$E55,TRUE))</f>
        <v/>
      </c>
      <c r="AR55">
        <f>IF(NOT(ISNUMBER($D55)),"",_xlfn.NORM.DIST(AR$1,$D55,$E55,TRUE)-_xlfn.NORM.DIST(AR$2,$D55,$E55,TRUE))</f>
        <v/>
      </c>
      <c r="AS55">
        <f>IF(NOT(ISNUMBER($D55)),"",_xlfn.NORM.DIST(AS$1,$D55,$E55,TRUE)-_xlfn.NORM.DIST(AS$2,$D55,$E55,TRUE))</f>
        <v/>
      </c>
      <c r="AT55">
        <f>IF(NOT(ISNUMBER($D55)),"",_xlfn.NORM.DIST(AT$1,$D55,$E55,TRUE)-_xlfn.NORM.DIST(AT$2,$D55,$E55,TRUE))</f>
        <v/>
      </c>
      <c r="AU55">
        <f>IF(NOT(ISNUMBER($D55)),"",_xlfn.NORM.DIST(AU$1,$D55,$E55,TRUE)-_xlfn.NORM.DIST(AU$2,$D55,$E55,TRUE))</f>
        <v/>
      </c>
      <c r="AV55">
        <f>IF(NOT(ISNUMBER($D55)),"",_xlfn.NORM.DIST(AV$1,$D55,$E55,TRUE)-_xlfn.NORM.DIST(AV$2,$D55,$E55,TRUE))</f>
        <v/>
      </c>
      <c r="AW55">
        <f>IF(NOT(ISNUMBER($D55)),"",_xlfn.NORM.DIST(AW$1,$D55,$E55,TRUE)-_xlfn.NORM.DIST(AW$2,$D55,$E55,TRUE))</f>
        <v/>
      </c>
      <c r="AX55">
        <f>IF(NOT(ISNUMBER($D55)),"",_xlfn.NORM.DIST(AX$1,$D55,$E55,TRUE)-_xlfn.NORM.DIST(AX$2,$D55,$E55,TRUE))</f>
        <v/>
      </c>
      <c r="AY55">
        <f>IF(NOT(ISNUMBER($D55)),"",_xlfn.NORM.DIST(AY$1,$D55,$E55,TRUE)-_xlfn.NORM.DIST(AY$2,$D55,$E55,TRUE))</f>
        <v/>
      </c>
      <c r="AZ55">
        <f>IF(NOT(ISNUMBER($D55)),"",_xlfn.NORM.DIST(AZ$1,$D55,$E55,TRUE)-_xlfn.NORM.DIST(AZ$2,$D55,$E55,TRUE))</f>
        <v/>
      </c>
      <c r="BA55">
        <f>IF(NOT(ISNUMBER($D55)),"",_xlfn.NORM.DIST(BA$1,$D55,$E55,TRUE)-_xlfn.NORM.DIST(BA$2,$D55,$E55,TRUE))</f>
        <v/>
      </c>
      <c r="BB55">
        <f>IF(NOT(ISNUMBER($D55)),"",_xlfn.NORM.DIST(BB$1,$D55,$E55,TRUE)-_xlfn.NORM.DIST(BB$2,$D55,$E55,TRUE))</f>
        <v/>
      </c>
      <c r="BC55">
        <f>IF(NOT(ISNUMBER($D55)),"",_xlfn.NORM.DIST(BC$1,$D55,$E55,TRUE)-_xlfn.NORM.DIST(BC$2,$D55,$E55,TRUE))</f>
        <v/>
      </c>
      <c r="BD55">
        <f>IF(NOT(ISNUMBER($D55)),"",_xlfn.NORM.DIST(BD$1,$D55,$E55,TRUE)-_xlfn.NORM.DIST(BD$2,$D55,$E55,TRUE))</f>
        <v/>
      </c>
      <c r="BE55">
        <f>IF(NOT(ISNUMBER($D55)),"",_xlfn.NORM.DIST(BE$1,$D55,$E55,TRUE)-_xlfn.NORM.DIST(BE$2,$D55,$E55,TRUE))</f>
        <v/>
      </c>
      <c r="BF55">
        <f>IF(NOT(ISNUMBER($D55)),"",_xlfn.NORM.DIST(BF$1,$D55,$E55,TRUE)-_xlfn.NORM.DIST(BF$2,$D55,$E55,TRUE))</f>
        <v/>
      </c>
      <c r="BG55">
        <f>IF(NOT(ISNUMBER($D55)),"",_xlfn.NORM.DIST(BG$1,$D55,$E55,TRUE)-_xlfn.NORM.DIST(BG$2,$D55,$E55,TRUE))</f>
        <v/>
      </c>
      <c r="BH55">
        <f>IF(NOT(ISNUMBER($D55)),"",_xlfn.NORM.DIST(BH$1,$D55,$E55,TRUE)-_xlfn.NORM.DIST(BH$2,$D55,$E55,TRUE))</f>
        <v/>
      </c>
      <c r="BI55">
        <f>IF(NOT(ISNUMBER($D55)),"",_xlfn.NORM.DIST(BI$1,$D55,$E55,TRUE)-_xlfn.NORM.DIST(BI$2,$D55,$E55,TRUE))</f>
        <v/>
      </c>
      <c r="BJ55">
        <f>IF(NOT(ISNUMBER($D55)),"",_xlfn.NORM.DIST(BJ$1,$D55,$E55,TRUE)-_xlfn.NORM.DIST(BJ$2,$D55,$E55,TRUE))</f>
        <v/>
      </c>
      <c r="BK55">
        <f>IF(NOT(ISNUMBER($D55)),"",_xlfn.NORM.DIST(BK$1,$D55,$E55,TRUE)-_xlfn.NORM.DIST(BK$2,$D55,$E55,TRUE))</f>
        <v/>
      </c>
      <c r="BL55">
        <f>IF(NOT(ISNUMBER($D55)),"",_xlfn.NORM.DIST(BL$1,$D55,$E55,TRUE)-_xlfn.NORM.DIST(BL$2,$D55,$E55,TRUE))</f>
        <v/>
      </c>
      <c r="BM55">
        <f>IF(NOT(ISNUMBER($D55)),"",_xlfn.NORM.DIST(BM$1,$D55,$E55,TRUE)-_xlfn.NORM.DIST(BM$2,$D55,$E55,TRUE))</f>
        <v/>
      </c>
      <c r="BN55">
        <f>IF(NOT(ISNUMBER($D55)),"",_xlfn.NORM.DIST(BN$1,$D55,$E55,TRUE)-_xlfn.NORM.DIST(BN$2,$D55,$E55,TRUE))</f>
        <v/>
      </c>
      <c r="BO55">
        <f>IF(NOT(ISNUMBER($D55)),"",_xlfn.NORM.DIST(BO$1,$D55,$E55,TRUE)-_xlfn.NORM.DIST(BO$2,$D55,$E55,TRUE))</f>
        <v/>
      </c>
      <c r="BP55">
        <f>IF(NOT(ISNUMBER($D55)),"",_xlfn.NORM.DIST(BP$1,$D55,$E55,TRUE)-_xlfn.NORM.DIST(BP$2,$D55,$E55,TRUE))</f>
        <v/>
      </c>
      <c r="BQ55">
        <f>IF(NOT(ISNUMBER($D55)),"",_xlfn.NORM.DIST(BQ$1,$D55,$E55,TRUE)-_xlfn.NORM.DIST(BQ$2,$D55,$E55,TRUE))</f>
        <v/>
      </c>
      <c r="BR55">
        <f>IF(NOT(ISNUMBER($D55)),"",_xlfn.NORM.DIST(BR$1,$D55,$E55,TRUE)-_xlfn.NORM.DIST(BR$2,$D55,$E55,TRUE))</f>
        <v/>
      </c>
      <c r="BS55">
        <f>IF(NOT(ISNUMBER($D55)),"",_xlfn.NORM.DIST(BS$1,$D55,$E55,TRUE)-_xlfn.NORM.DIST(BS$2,$D55,$E55,TRUE))</f>
        <v/>
      </c>
      <c r="BT55">
        <f>IF(NOT(ISNUMBER($D55)),"",_xlfn.NORM.DIST(BT$1,$D55,$E55,TRUE)-_xlfn.NORM.DIST(BT$2,$D55,$E55,TRUE))</f>
        <v/>
      </c>
      <c r="BU55">
        <f>IF(NOT(ISNUMBER($D55)),"",_xlfn.NORM.DIST(BU$1,$D55,$E55,TRUE)-_xlfn.NORM.DIST(BU$2,$D55,$E55,TRUE))</f>
        <v/>
      </c>
      <c r="BV55">
        <f>IF(NOT(ISNUMBER($D55)),"",_xlfn.NORM.DIST(BV$1,$D55,$E55,TRUE)-_xlfn.NORM.DIST(BV$2,$D55,$E55,TRUE))</f>
        <v/>
      </c>
      <c r="BW55">
        <f>IF(NOT(ISNUMBER($D55)),"",_xlfn.NORM.DIST(BW$1,$D55,$E55,TRUE)-_xlfn.NORM.DIST(BW$2,$D55,$E55,TRUE))</f>
        <v/>
      </c>
      <c r="BX55">
        <f>IF(NOT(ISNUMBER($D55)),"",_xlfn.NORM.DIST(BX$1,$D55,$E55,TRUE)-_xlfn.NORM.DIST(BX$2,$D55,$E55,TRUE))</f>
        <v/>
      </c>
      <c r="BY55">
        <f>IF(NOT(ISNUMBER($D55)),"",_xlfn.NORM.DIST(BY$1,$D55,$E55,TRUE)-_xlfn.NORM.DIST(BY$2,$D55,$E55,TRUE))</f>
        <v/>
      </c>
      <c r="BZ55">
        <f>IF(NOT(ISNUMBER($D55)),"",_xlfn.NORM.DIST(BZ$1,$D55,$E55,TRUE)-_xlfn.NORM.DIST(BZ$2,$D55,$E55,TRUE))</f>
        <v/>
      </c>
      <c r="CA55">
        <f>IF(NOT(ISNUMBER($D55)),"",_xlfn.NORM.DIST(CA$1,$D55,$E55,TRUE)-_xlfn.NORM.DIST(CA$2,$D55,$E55,TRUE))</f>
        <v/>
      </c>
      <c r="CB55">
        <f>IF(NOT(ISNUMBER($D55)),"",_xlfn.NORM.DIST(CB$1,$D55,$E55,TRUE)-_xlfn.NORM.DIST(CB$2,$D55,$E55,TRUE))</f>
        <v/>
      </c>
      <c r="CC55">
        <f>IF(NOT(ISNUMBER($D55)),"",_xlfn.NORM.DIST(CC$1,$D55,$E55,TRUE)-_xlfn.NORM.DIST(CC$2,$D55,$E55,TRUE))</f>
        <v/>
      </c>
      <c r="CD55">
        <f>IF(NOT(ISNUMBER($D55)),"",_xlfn.NORM.DIST(CD$1,$D55,$E55,TRUE)-_xlfn.NORM.DIST(CD$2,$D55,$E55,TRUE))</f>
        <v/>
      </c>
      <c r="CE55">
        <f>IF(NOT(ISNUMBER($D55)),"",_xlfn.NORM.DIST(CE$1,$D55,$E55,TRUE)-_xlfn.NORM.DIST(CE$2,$D55,$E55,TRUE))</f>
        <v/>
      </c>
      <c r="CF55">
        <f>IF(NOT(ISNUMBER($D55)),"",_xlfn.NORM.DIST(CF$1,$D55,$E55,TRUE)-_xlfn.NORM.DIST(CF$2,$D55,$E55,TRUE))</f>
        <v/>
      </c>
      <c r="CG55">
        <f>IF(NOT(ISNUMBER($D55)),"",_xlfn.NORM.DIST(CG$1,$D55,$E55,TRUE)-_xlfn.NORM.DIST(CG$2,$D55,$E55,TRUE))</f>
        <v/>
      </c>
      <c r="CH55">
        <f>IF(NOT(ISNUMBER($D55)),"",_xlfn.NORM.DIST(CH$1,$D55,$E55,TRUE)-_xlfn.NORM.DIST(CH$2,$D55,$E55,TRUE))</f>
        <v/>
      </c>
      <c r="CI55">
        <f>IF(NOT(ISNUMBER($D55)),"",_xlfn.NORM.DIST(CI$1,$D55,$E55,TRUE)-_xlfn.NORM.DIST(CI$2,$D55,$E55,TRUE))</f>
        <v/>
      </c>
      <c r="CJ55">
        <f>IF(ISNUMBER($D55),SUM(F55:CI55),"")</f>
        <v/>
      </c>
    </row>
    <row r="56">
      <c r="A56">
        <f>economics!A55</f>
        <v/>
      </c>
      <c r="B56">
        <f>economics!B55</f>
        <v/>
      </c>
      <c r="C56">
        <f>economics!D55</f>
        <v/>
      </c>
      <c r="D56">
        <f>IF(ISNUMBER(economics!T55),economics!T55,"na")</f>
        <v/>
      </c>
      <c r="E56">
        <f>IF(ISNUMBER(D56),MAX(0.3*ABS(D56),0.000001),"na")</f>
        <v/>
      </c>
      <c r="F56">
        <f>IF(NOT(ISNUMBER($D56)),"",_xlfn.NORM.DIST(F$1,$D56,$E56,TRUE)-_xlfn.NORM.DIST(F$2,$D56,$E56,TRUE))</f>
        <v/>
      </c>
      <c r="G56">
        <f>IF(NOT(ISNUMBER($D56)),"",_xlfn.NORM.DIST(G$1,$D56,$E56,TRUE)-_xlfn.NORM.DIST(G$2,$D56,$E56,TRUE))</f>
        <v/>
      </c>
      <c r="H56">
        <f>IF(NOT(ISNUMBER($D56)),"",_xlfn.NORM.DIST(H$1,$D56,$E56,TRUE)-_xlfn.NORM.DIST(H$2,$D56,$E56,TRUE))</f>
        <v/>
      </c>
      <c r="I56">
        <f>IF(NOT(ISNUMBER($D56)),"",_xlfn.NORM.DIST(I$1,$D56,$E56,TRUE)-_xlfn.NORM.DIST(I$2,$D56,$E56,TRUE))</f>
        <v/>
      </c>
      <c r="J56">
        <f>IF(NOT(ISNUMBER($D56)),"",_xlfn.NORM.DIST(J$1,$D56,$E56,TRUE)-_xlfn.NORM.DIST(J$2,$D56,$E56,TRUE))</f>
        <v/>
      </c>
      <c r="K56">
        <f>IF(NOT(ISNUMBER($D56)),"",_xlfn.NORM.DIST(K$1,$D56,$E56,TRUE)-_xlfn.NORM.DIST(K$2,$D56,$E56,TRUE))</f>
        <v/>
      </c>
      <c r="L56">
        <f>IF(NOT(ISNUMBER($D56)),"",_xlfn.NORM.DIST(L$1,$D56,$E56,TRUE)-_xlfn.NORM.DIST(L$2,$D56,$E56,TRUE))</f>
        <v/>
      </c>
      <c r="M56">
        <f>IF(NOT(ISNUMBER($D56)),"",_xlfn.NORM.DIST(M$1,$D56,$E56,TRUE)-_xlfn.NORM.DIST(M$2,$D56,$E56,TRUE))</f>
        <v/>
      </c>
      <c r="N56">
        <f>IF(NOT(ISNUMBER($D56)),"",_xlfn.NORM.DIST(N$1,$D56,$E56,TRUE)-_xlfn.NORM.DIST(N$2,$D56,$E56,TRUE))</f>
        <v/>
      </c>
      <c r="O56">
        <f>IF(NOT(ISNUMBER($D56)),"",_xlfn.NORM.DIST(O$1,$D56,$E56,TRUE)-_xlfn.NORM.DIST(O$2,$D56,$E56,TRUE))</f>
        <v/>
      </c>
      <c r="P56">
        <f>IF(NOT(ISNUMBER($D56)),"",_xlfn.NORM.DIST(P$1,$D56,$E56,TRUE)-_xlfn.NORM.DIST(P$2,$D56,$E56,TRUE))</f>
        <v/>
      </c>
      <c r="Q56">
        <f>IF(NOT(ISNUMBER($D56)),"",_xlfn.NORM.DIST(Q$1,$D56,$E56,TRUE)-_xlfn.NORM.DIST(Q$2,$D56,$E56,TRUE))</f>
        <v/>
      </c>
      <c r="R56">
        <f>IF(NOT(ISNUMBER($D56)),"",_xlfn.NORM.DIST(R$1,$D56,$E56,TRUE)-_xlfn.NORM.DIST(R$2,$D56,$E56,TRUE))</f>
        <v/>
      </c>
      <c r="S56">
        <f>IF(NOT(ISNUMBER($D56)),"",_xlfn.NORM.DIST(S$1,$D56,$E56,TRUE)-_xlfn.NORM.DIST(S$2,$D56,$E56,TRUE))</f>
        <v/>
      </c>
      <c r="T56">
        <f>IF(NOT(ISNUMBER($D56)),"",_xlfn.NORM.DIST(T$1,$D56,$E56,TRUE)-_xlfn.NORM.DIST(T$2,$D56,$E56,TRUE))</f>
        <v/>
      </c>
      <c r="U56">
        <f>IF(NOT(ISNUMBER($D56)),"",_xlfn.NORM.DIST(U$1,$D56,$E56,TRUE)-_xlfn.NORM.DIST(U$2,$D56,$E56,TRUE))</f>
        <v/>
      </c>
      <c r="V56">
        <f>IF(NOT(ISNUMBER($D56)),"",_xlfn.NORM.DIST(V$1,$D56,$E56,TRUE)-_xlfn.NORM.DIST(V$2,$D56,$E56,TRUE))</f>
        <v/>
      </c>
      <c r="W56">
        <f>IF(NOT(ISNUMBER($D56)),"",_xlfn.NORM.DIST(W$1,$D56,$E56,TRUE)-_xlfn.NORM.DIST(W$2,$D56,$E56,TRUE))</f>
        <v/>
      </c>
      <c r="X56">
        <f>IF(NOT(ISNUMBER($D56)),"",_xlfn.NORM.DIST(X$1,$D56,$E56,TRUE)-_xlfn.NORM.DIST(X$2,$D56,$E56,TRUE))</f>
        <v/>
      </c>
      <c r="Y56">
        <f>IF(NOT(ISNUMBER($D56)),"",_xlfn.NORM.DIST(Y$1,$D56,$E56,TRUE)-_xlfn.NORM.DIST(Y$2,$D56,$E56,TRUE))</f>
        <v/>
      </c>
      <c r="Z56">
        <f>IF(NOT(ISNUMBER($D56)),"",_xlfn.NORM.DIST(Z$1,$D56,$E56,TRUE)-_xlfn.NORM.DIST(Z$2,$D56,$E56,TRUE))</f>
        <v/>
      </c>
      <c r="AA56">
        <f>IF(NOT(ISNUMBER($D56)),"",_xlfn.NORM.DIST(AA$1,$D56,$E56,TRUE)-_xlfn.NORM.DIST(AA$2,$D56,$E56,TRUE))</f>
        <v/>
      </c>
      <c r="AB56">
        <f>IF(NOT(ISNUMBER($D56)),"",_xlfn.NORM.DIST(AB$1,$D56,$E56,TRUE)-_xlfn.NORM.DIST(AB$2,$D56,$E56,TRUE))</f>
        <v/>
      </c>
      <c r="AC56">
        <f>IF(NOT(ISNUMBER($D56)),"",_xlfn.NORM.DIST(AC$1,$D56,$E56,TRUE)-_xlfn.NORM.DIST(AC$2,$D56,$E56,TRUE))</f>
        <v/>
      </c>
      <c r="AD56">
        <f>IF(NOT(ISNUMBER($D56)),"",_xlfn.NORM.DIST(AD$1,$D56,$E56,TRUE)-_xlfn.NORM.DIST(AD$2,$D56,$E56,TRUE))</f>
        <v/>
      </c>
      <c r="AE56">
        <f>IF(NOT(ISNUMBER($D56)),"",_xlfn.NORM.DIST(AE$1,$D56,$E56,TRUE)-_xlfn.NORM.DIST(AE$2,$D56,$E56,TRUE))</f>
        <v/>
      </c>
      <c r="AF56">
        <f>IF(NOT(ISNUMBER($D56)),"",_xlfn.NORM.DIST(AF$1,$D56,$E56,TRUE)-_xlfn.NORM.DIST(AF$2,$D56,$E56,TRUE))</f>
        <v/>
      </c>
      <c r="AG56">
        <f>IF(NOT(ISNUMBER($D56)),"",_xlfn.NORM.DIST(AG$1,$D56,$E56,TRUE)-_xlfn.NORM.DIST(AG$2,$D56,$E56,TRUE))</f>
        <v/>
      </c>
      <c r="AH56">
        <f>IF(NOT(ISNUMBER($D56)),"",_xlfn.NORM.DIST(AH$1,$D56,$E56,TRUE)-_xlfn.NORM.DIST(AH$2,$D56,$E56,TRUE))</f>
        <v/>
      </c>
      <c r="AI56">
        <f>IF(NOT(ISNUMBER($D56)),"",_xlfn.NORM.DIST(AI$1,$D56,$E56,TRUE)-_xlfn.NORM.DIST(AI$2,$D56,$E56,TRUE))</f>
        <v/>
      </c>
      <c r="AJ56">
        <f>IF(NOT(ISNUMBER($D56)),"",_xlfn.NORM.DIST(AJ$1,$D56,$E56,TRUE)-_xlfn.NORM.DIST(AJ$2,$D56,$E56,TRUE))</f>
        <v/>
      </c>
      <c r="AK56">
        <f>IF(NOT(ISNUMBER($D56)),"",_xlfn.NORM.DIST(AK$1,$D56,$E56,TRUE)-_xlfn.NORM.DIST(AK$2,$D56,$E56,TRUE))</f>
        <v/>
      </c>
      <c r="AL56">
        <f>IF(NOT(ISNUMBER($D56)),"",_xlfn.NORM.DIST(AL$1,$D56,$E56,TRUE)-_xlfn.NORM.DIST(AL$2,$D56,$E56,TRUE))</f>
        <v/>
      </c>
      <c r="AM56">
        <f>IF(NOT(ISNUMBER($D56)),"",_xlfn.NORM.DIST(AM$1,$D56,$E56,TRUE)-_xlfn.NORM.DIST(AM$2,$D56,$E56,TRUE))</f>
        <v/>
      </c>
      <c r="AN56">
        <f>IF(NOT(ISNUMBER($D56)),"",_xlfn.NORM.DIST(AN$1,$D56,$E56,TRUE)-_xlfn.NORM.DIST(AN$2,$D56,$E56,TRUE))</f>
        <v/>
      </c>
      <c r="AO56">
        <f>IF(NOT(ISNUMBER($D56)),"",_xlfn.NORM.DIST(AO$1,$D56,$E56,TRUE)-_xlfn.NORM.DIST(AO$2,$D56,$E56,TRUE))</f>
        <v/>
      </c>
      <c r="AP56">
        <f>IF(NOT(ISNUMBER($D56)),"",_xlfn.NORM.DIST(AP$1,$D56,$E56,TRUE)-_xlfn.NORM.DIST(AP$2,$D56,$E56,TRUE))</f>
        <v/>
      </c>
      <c r="AQ56">
        <f>IF(NOT(ISNUMBER($D56)),"",_xlfn.NORM.DIST(AQ$1,$D56,$E56,TRUE)-_xlfn.NORM.DIST(AQ$2,$D56,$E56,TRUE))</f>
        <v/>
      </c>
      <c r="AR56">
        <f>IF(NOT(ISNUMBER($D56)),"",_xlfn.NORM.DIST(AR$1,$D56,$E56,TRUE)-_xlfn.NORM.DIST(AR$2,$D56,$E56,TRUE))</f>
        <v/>
      </c>
      <c r="AS56">
        <f>IF(NOT(ISNUMBER($D56)),"",_xlfn.NORM.DIST(AS$1,$D56,$E56,TRUE)-_xlfn.NORM.DIST(AS$2,$D56,$E56,TRUE))</f>
        <v/>
      </c>
      <c r="AT56">
        <f>IF(NOT(ISNUMBER($D56)),"",_xlfn.NORM.DIST(AT$1,$D56,$E56,TRUE)-_xlfn.NORM.DIST(AT$2,$D56,$E56,TRUE))</f>
        <v/>
      </c>
      <c r="AU56">
        <f>IF(NOT(ISNUMBER($D56)),"",_xlfn.NORM.DIST(AU$1,$D56,$E56,TRUE)-_xlfn.NORM.DIST(AU$2,$D56,$E56,TRUE))</f>
        <v/>
      </c>
      <c r="AV56">
        <f>IF(NOT(ISNUMBER($D56)),"",_xlfn.NORM.DIST(AV$1,$D56,$E56,TRUE)-_xlfn.NORM.DIST(AV$2,$D56,$E56,TRUE))</f>
        <v/>
      </c>
      <c r="AW56">
        <f>IF(NOT(ISNUMBER($D56)),"",_xlfn.NORM.DIST(AW$1,$D56,$E56,TRUE)-_xlfn.NORM.DIST(AW$2,$D56,$E56,TRUE))</f>
        <v/>
      </c>
      <c r="AX56">
        <f>IF(NOT(ISNUMBER($D56)),"",_xlfn.NORM.DIST(AX$1,$D56,$E56,TRUE)-_xlfn.NORM.DIST(AX$2,$D56,$E56,TRUE))</f>
        <v/>
      </c>
      <c r="AY56">
        <f>IF(NOT(ISNUMBER($D56)),"",_xlfn.NORM.DIST(AY$1,$D56,$E56,TRUE)-_xlfn.NORM.DIST(AY$2,$D56,$E56,TRUE))</f>
        <v/>
      </c>
      <c r="AZ56">
        <f>IF(NOT(ISNUMBER($D56)),"",_xlfn.NORM.DIST(AZ$1,$D56,$E56,TRUE)-_xlfn.NORM.DIST(AZ$2,$D56,$E56,TRUE))</f>
        <v/>
      </c>
      <c r="BA56">
        <f>IF(NOT(ISNUMBER($D56)),"",_xlfn.NORM.DIST(BA$1,$D56,$E56,TRUE)-_xlfn.NORM.DIST(BA$2,$D56,$E56,TRUE))</f>
        <v/>
      </c>
      <c r="BB56">
        <f>IF(NOT(ISNUMBER($D56)),"",_xlfn.NORM.DIST(BB$1,$D56,$E56,TRUE)-_xlfn.NORM.DIST(BB$2,$D56,$E56,TRUE))</f>
        <v/>
      </c>
      <c r="BC56">
        <f>IF(NOT(ISNUMBER($D56)),"",_xlfn.NORM.DIST(BC$1,$D56,$E56,TRUE)-_xlfn.NORM.DIST(BC$2,$D56,$E56,TRUE))</f>
        <v/>
      </c>
      <c r="BD56">
        <f>IF(NOT(ISNUMBER($D56)),"",_xlfn.NORM.DIST(BD$1,$D56,$E56,TRUE)-_xlfn.NORM.DIST(BD$2,$D56,$E56,TRUE))</f>
        <v/>
      </c>
      <c r="BE56">
        <f>IF(NOT(ISNUMBER($D56)),"",_xlfn.NORM.DIST(BE$1,$D56,$E56,TRUE)-_xlfn.NORM.DIST(BE$2,$D56,$E56,TRUE))</f>
        <v/>
      </c>
      <c r="BF56">
        <f>IF(NOT(ISNUMBER($D56)),"",_xlfn.NORM.DIST(BF$1,$D56,$E56,TRUE)-_xlfn.NORM.DIST(BF$2,$D56,$E56,TRUE))</f>
        <v/>
      </c>
      <c r="BG56">
        <f>IF(NOT(ISNUMBER($D56)),"",_xlfn.NORM.DIST(BG$1,$D56,$E56,TRUE)-_xlfn.NORM.DIST(BG$2,$D56,$E56,TRUE))</f>
        <v/>
      </c>
      <c r="BH56">
        <f>IF(NOT(ISNUMBER($D56)),"",_xlfn.NORM.DIST(BH$1,$D56,$E56,TRUE)-_xlfn.NORM.DIST(BH$2,$D56,$E56,TRUE))</f>
        <v/>
      </c>
      <c r="BI56">
        <f>IF(NOT(ISNUMBER($D56)),"",_xlfn.NORM.DIST(BI$1,$D56,$E56,TRUE)-_xlfn.NORM.DIST(BI$2,$D56,$E56,TRUE))</f>
        <v/>
      </c>
      <c r="BJ56">
        <f>IF(NOT(ISNUMBER($D56)),"",_xlfn.NORM.DIST(BJ$1,$D56,$E56,TRUE)-_xlfn.NORM.DIST(BJ$2,$D56,$E56,TRUE))</f>
        <v/>
      </c>
      <c r="BK56">
        <f>IF(NOT(ISNUMBER($D56)),"",_xlfn.NORM.DIST(BK$1,$D56,$E56,TRUE)-_xlfn.NORM.DIST(BK$2,$D56,$E56,TRUE))</f>
        <v/>
      </c>
      <c r="BL56">
        <f>IF(NOT(ISNUMBER($D56)),"",_xlfn.NORM.DIST(BL$1,$D56,$E56,TRUE)-_xlfn.NORM.DIST(BL$2,$D56,$E56,TRUE))</f>
        <v/>
      </c>
      <c r="BM56">
        <f>IF(NOT(ISNUMBER($D56)),"",_xlfn.NORM.DIST(BM$1,$D56,$E56,TRUE)-_xlfn.NORM.DIST(BM$2,$D56,$E56,TRUE))</f>
        <v/>
      </c>
      <c r="BN56">
        <f>IF(NOT(ISNUMBER($D56)),"",_xlfn.NORM.DIST(BN$1,$D56,$E56,TRUE)-_xlfn.NORM.DIST(BN$2,$D56,$E56,TRUE))</f>
        <v/>
      </c>
      <c r="BO56">
        <f>IF(NOT(ISNUMBER($D56)),"",_xlfn.NORM.DIST(BO$1,$D56,$E56,TRUE)-_xlfn.NORM.DIST(BO$2,$D56,$E56,TRUE))</f>
        <v/>
      </c>
      <c r="BP56">
        <f>IF(NOT(ISNUMBER($D56)),"",_xlfn.NORM.DIST(BP$1,$D56,$E56,TRUE)-_xlfn.NORM.DIST(BP$2,$D56,$E56,TRUE))</f>
        <v/>
      </c>
      <c r="BQ56">
        <f>IF(NOT(ISNUMBER($D56)),"",_xlfn.NORM.DIST(BQ$1,$D56,$E56,TRUE)-_xlfn.NORM.DIST(BQ$2,$D56,$E56,TRUE))</f>
        <v/>
      </c>
      <c r="BR56">
        <f>IF(NOT(ISNUMBER($D56)),"",_xlfn.NORM.DIST(BR$1,$D56,$E56,TRUE)-_xlfn.NORM.DIST(BR$2,$D56,$E56,TRUE))</f>
        <v/>
      </c>
      <c r="BS56">
        <f>IF(NOT(ISNUMBER($D56)),"",_xlfn.NORM.DIST(BS$1,$D56,$E56,TRUE)-_xlfn.NORM.DIST(BS$2,$D56,$E56,TRUE))</f>
        <v/>
      </c>
      <c r="BT56">
        <f>IF(NOT(ISNUMBER($D56)),"",_xlfn.NORM.DIST(BT$1,$D56,$E56,TRUE)-_xlfn.NORM.DIST(BT$2,$D56,$E56,TRUE))</f>
        <v/>
      </c>
      <c r="BU56">
        <f>IF(NOT(ISNUMBER($D56)),"",_xlfn.NORM.DIST(BU$1,$D56,$E56,TRUE)-_xlfn.NORM.DIST(BU$2,$D56,$E56,TRUE))</f>
        <v/>
      </c>
      <c r="BV56">
        <f>IF(NOT(ISNUMBER($D56)),"",_xlfn.NORM.DIST(BV$1,$D56,$E56,TRUE)-_xlfn.NORM.DIST(BV$2,$D56,$E56,TRUE))</f>
        <v/>
      </c>
      <c r="BW56">
        <f>IF(NOT(ISNUMBER($D56)),"",_xlfn.NORM.DIST(BW$1,$D56,$E56,TRUE)-_xlfn.NORM.DIST(BW$2,$D56,$E56,TRUE))</f>
        <v/>
      </c>
      <c r="BX56">
        <f>IF(NOT(ISNUMBER($D56)),"",_xlfn.NORM.DIST(BX$1,$D56,$E56,TRUE)-_xlfn.NORM.DIST(BX$2,$D56,$E56,TRUE))</f>
        <v/>
      </c>
      <c r="BY56">
        <f>IF(NOT(ISNUMBER($D56)),"",_xlfn.NORM.DIST(BY$1,$D56,$E56,TRUE)-_xlfn.NORM.DIST(BY$2,$D56,$E56,TRUE))</f>
        <v/>
      </c>
      <c r="BZ56">
        <f>IF(NOT(ISNUMBER($D56)),"",_xlfn.NORM.DIST(BZ$1,$D56,$E56,TRUE)-_xlfn.NORM.DIST(BZ$2,$D56,$E56,TRUE))</f>
        <v/>
      </c>
      <c r="CA56">
        <f>IF(NOT(ISNUMBER($D56)),"",_xlfn.NORM.DIST(CA$1,$D56,$E56,TRUE)-_xlfn.NORM.DIST(CA$2,$D56,$E56,TRUE))</f>
        <v/>
      </c>
      <c r="CB56">
        <f>IF(NOT(ISNUMBER($D56)),"",_xlfn.NORM.DIST(CB$1,$D56,$E56,TRUE)-_xlfn.NORM.DIST(CB$2,$D56,$E56,TRUE))</f>
        <v/>
      </c>
      <c r="CC56">
        <f>IF(NOT(ISNUMBER($D56)),"",_xlfn.NORM.DIST(CC$1,$D56,$E56,TRUE)-_xlfn.NORM.DIST(CC$2,$D56,$E56,TRUE))</f>
        <v/>
      </c>
      <c r="CD56">
        <f>IF(NOT(ISNUMBER($D56)),"",_xlfn.NORM.DIST(CD$1,$D56,$E56,TRUE)-_xlfn.NORM.DIST(CD$2,$D56,$E56,TRUE))</f>
        <v/>
      </c>
      <c r="CE56">
        <f>IF(NOT(ISNUMBER($D56)),"",_xlfn.NORM.DIST(CE$1,$D56,$E56,TRUE)-_xlfn.NORM.DIST(CE$2,$D56,$E56,TRUE))</f>
        <v/>
      </c>
      <c r="CF56">
        <f>IF(NOT(ISNUMBER($D56)),"",_xlfn.NORM.DIST(CF$1,$D56,$E56,TRUE)-_xlfn.NORM.DIST(CF$2,$D56,$E56,TRUE))</f>
        <v/>
      </c>
      <c r="CG56">
        <f>IF(NOT(ISNUMBER($D56)),"",_xlfn.NORM.DIST(CG$1,$D56,$E56,TRUE)-_xlfn.NORM.DIST(CG$2,$D56,$E56,TRUE))</f>
        <v/>
      </c>
      <c r="CH56">
        <f>IF(NOT(ISNUMBER($D56)),"",_xlfn.NORM.DIST(CH$1,$D56,$E56,TRUE)-_xlfn.NORM.DIST(CH$2,$D56,$E56,TRUE))</f>
        <v/>
      </c>
      <c r="CI56">
        <f>IF(NOT(ISNUMBER($D56)),"",_xlfn.NORM.DIST(CI$1,$D56,$E56,TRUE)-_xlfn.NORM.DIST(CI$2,$D56,$E56,TRUE))</f>
        <v/>
      </c>
      <c r="CJ56">
        <f>IF(ISNUMBER($D56),SUM(F56:CI56),"")</f>
        <v/>
      </c>
    </row>
    <row r="57">
      <c r="A57">
        <f>economics!A56</f>
        <v/>
      </c>
      <c r="B57">
        <f>economics!B56</f>
        <v/>
      </c>
      <c r="C57">
        <f>economics!D56</f>
        <v/>
      </c>
      <c r="D57">
        <f>IF(ISNUMBER(economics!T56),economics!T56,"na")</f>
        <v/>
      </c>
      <c r="E57">
        <f>IF(ISNUMBER(D57),MAX(0.3*ABS(D57),0.000001),"na")</f>
        <v/>
      </c>
      <c r="F57">
        <f>IF(NOT(ISNUMBER($D57)),"",_xlfn.NORM.DIST(F$1,$D57,$E57,TRUE)-_xlfn.NORM.DIST(F$2,$D57,$E57,TRUE))</f>
        <v/>
      </c>
      <c r="G57">
        <f>IF(NOT(ISNUMBER($D57)),"",_xlfn.NORM.DIST(G$1,$D57,$E57,TRUE)-_xlfn.NORM.DIST(G$2,$D57,$E57,TRUE))</f>
        <v/>
      </c>
      <c r="H57">
        <f>IF(NOT(ISNUMBER($D57)),"",_xlfn.NORM.DIST(H$1,$D57,$E57,TRUE)-_xlfn.NORM.DIST(H$2,$D57,$E57,TRUE))</f>
        <v/>
      </c>
      <c r="I57">
        <f>IF(NOT(ISNUMBER($D57)),"",_xlfn.NORM.DIST(I$1,$D57,$E57,TRUE)-_xlfn.NORM.DIST(I$2,$D57,$E57,TRUE))</f>
        <v/>
      </c>
      <c r="J57">
        <f>IF(NOT(ISNUMBER($D57)),"",_xlfn.NORM.DIST(J$1,$D57,$E57,TRUE)-_xlfn.NORM.DIST(J$2,$D57,$E57,TRUE))</f>
        <v/>
      </c>
      <c r="K57">
        <f>IF(NOT(ISNUMBER($D57)),"",_xlfn.NORM.DIST(K$1,$D57,$E57,TRUE)-_xlfn.NORM.DIST(K$2,$D57,$E57,TRUE))</f>
        <v/>
      </c>
      <c r="L57">
        <f>IF(NOT(ISNUMBER($D57)),"",_xlfn.NORM.DIST(L$1,$D57,$E57,TRUE)-_xlfn.NORM.DIST(L$2,$D57,$E57,TRUE))</f>
        <v/>
      </c>
      <c r="M57">
        <f>IF(NOT(ISNUMBER($D57)),"",_xlfn.NORM.DIST(M$1,$D57,$E57,TRUE)-_xlfn.NORM.DIST(M$2,$D57,$E57,TRUE))</f>
        <v/>
      </c>
      <c r="N57">
        <f>IF(NOT(ISNUMBER($D57)),"",_xlfn.NORM.DIST(N$1,$D57,$E57,TRUE)-_xlfn.NORM.DIST(N$2,$D57,$E57,TRUE))</f>
        <v/>
      </c>
      <c r="O57">
        <f>IF(NOT(ISNUMBER($D57)),"",_xlfn.NORM.DIST(O$1,$D57,$E57,TRUE)-_xlfn.NORM.DIST(O$2,$D57,$E57,TRUE))</f>
        <v/>
      </c>
      <c r="P57">
        <f>IF(NOT(ISNUMBER($D57)),"",_xlfn.NORM.DIST(P$1,$D57,$E57,TRUE)-_xlfn.NORM.DIST(P$2,$D57,$E57,TRUE))</f>
        <v/>
      </c>
      <c r="Q57">
        <f>IF(NOT(ISNUMBER($D57)),"",_xlfn.NORM.DIST(Q$1,$D57,$E57,TRUE)-_xlfn.NORM.DIST(Q$2,$D57,$E57,TRUE))</f>
        <v/>
      </c>
      <c r="R57">
        <f>IF(NOT(ISNUMBER($D57)),"",_xlfn.NORM.DIST(R$1,$D57,$E57,TRUE)-_xlfn.NORM.DIST(R$2,$D57,$E57,TRUE))</f>
        <v/>
      </c>
      <c r="S57">
        <f>IF(NOT(ISNUMBER($D57)),"",_xlfn.NORM.DIST(S$1,$D57,$E57,TRUE)-_xlfn.NORM.DIST(S$2,$D57,$E57,TRUE))</f>
        <v/>
      </c>
      <c r="T57">
        <f>IF(NOT(ISNUMBER($D57)),"",_xlfn.NORM.DIST(T$1,$D57,$E57,TRUE)-_xlfn.NORM.DIST(T$2,$D57,$E57,TRUE))</f>
        <v/>
      </c>
      <c r="U57">
        <f>IF(NOT(ISNUMBER($D57)),"",_xlfn.NORM.DIST(U$1,$D57,$E57,TRUE)-_xlfn.NORM.DIST(U$2,$D57,$E57,TRUE))</f>
        <v/>
      </c>
      <c r="V57">
        <f>IF(NOT(ISNUMBER($D57)),"",_xlfn.NORM.DIST(V$1,$D57,$E57,TRUE)-_xlfn.NORM.DIST(V$2,$D57,$E57,TRUE))</f>
        <v/>
      </c>
      <c r="W57">
        <f>IF(NOT(ISNUMBER($D57)),"",_xlfn.NORM.DIST(W$1,$D57,$E57,TRUE)-_xlfn.NORM.DIST(W$2,$D57,$E57,TRUE))</f>
        <v/>
      </c>
      <c r="X57">
        <f>IF(NOT(ISNUMBER($D57)),"",_xlfn.NORM.DIST(X$1,$D57,$E57,TRUE)-_xlfn.NORM.DIST(X$2,$D57,$E57,TRUE))</f>
        <v/>
      </c>
      <c r="Y57">
        <f>IF(NOT(ISNUMBER($D57)),"",_xlfn.NORM.DIST(Y$1,$D57,$E57,TRUE)-_xlfn.NORM.DIST(Y$2,$D57,$E57,TRUE))</f>
        <v/>
      </c>
      <c r="Z57">
        <f>IF(NOT(ISNUMBER($D57)),"",_xlfn.NORM.DIST(Z$1,$D57,$E57,TRUE)-_xlfn.NORM.DIST(Z$2,$D57,$E57,TRUE))</f>
        <v/>
      </c>
      <c r="AA57">
        <f>IF(NOT(ISNUMBER($D57)),"",_xlfn.NORM.DIST(AA$1,$D57,$E57,TRUE)-_xlfn.NORM.DIST(AA$2,$D57,$E57,TRUE))</f>
        <v/>
      </c>
      <c r="AB57">
        <f>IF(NOT(ISNUMBER($D57)),"",_xlfn.NORM.DIST(AB$1,$D57,$E57,TRUE)-_xlfn.NORM.DIST(AB$2,$D57,$E57,TRUE))</f>
        <v/>
      </c>
      <c r="AC57">
        <f>IF(NOT(ISNUMBER($D57)),"",_xlfn.NORM.DIST(AC$1,$D57,$E57,TRUE)-_xlfn.NORM.DIST(AC$2,$D57,$E57,TRUE))</f>
        <v/>
      </c>
      <c r="AD57">
        <f>IF(NOT(ISNUMBER($D57)),"",_xlfn.NORM.DIST(AD$1,$D57,$E57,TRUE)-_xlfn.NORM.DIST(AD$2,$D57,$E57,TRUE))</f>
        <v/>
      </c>
      <c r="AE57">
        <f>IF(NOT(ISNUMBER($D57)),"",_xlfn.NORM.DIST(AE$1,$D57,$E57,TRUE)-_xlfn.NORM.DIST(AE$2,$D57,$E57,TRUE))</f>
        <v/>
      </c>
      <c r="AF57">
        <f>IF(NOT(ISNUMBER($D57)),"",_xlfn.NORM.DIST(AF$1,$D57,$E57,TRUE)-_xlfn.NORM.DIST(AF$2,$D57,$E57,TRUE))</f>
        <v/>
      </c>
      <c r="AG57">
        <f>IF(NOT(ISNUMBER($D57)),"",_xlfn.NORM.DIST(AG$1,$D57,$E57,TRUE)-_xlfn.NORM.DIST(AG$2,$D57,$E57,TRUE))</f>
        <v/>
      </c>
      <c r="AH57">
        <f>IF(NOT(ISNUMBER($D57)),"",_xlfn.NORM.DIST(AH$1,$D57,$E57,TRUE)-_xlfn.NORM.DIST(AH$2,$D57,$E57,TRUE))</f>
        <v/>
      </c>
      <c r="AI57">
        <f>IF(NOT(ISNUMBER($D57)),"",_xlfn.NORM.DIST(AI$1,$D57,$E57,TRUE)-_xlfn.NORM.DIST(AI$2,$D57,$E57,TRUE))</f>
        <v/>
      </c>
      <c r="AJ57">
        <f>IF(NOT(ISNUMBER($D57)),"",_xlfn.NORM.DIST(AJ$1,$D57,$E57,TRUE)-_xlfn.NORM.DIST(AJ$2,$D57,$E57,TRUE))</f>
        <v/>
      </c>
      <c r="AK57">
        <f>IF(NOT(ISNUMBER($D57)),"",_xlfn.NORM.DIST(AK$1,$D57,$E57,TRUE)-_xlfn.NORM.DIST(AK$2,$D57,$E57,TRUE))</f>
        <v/>
      </c>
      <c r="AL57">
        <f>IF(NOT(ISNUMBER($D57)),"",_xlfn.NORM.DIST(AL$1,$D57,$E57,TRUE)-_xlfn.NORM.DIST(AL$2,$D57,$E57,TRUE))</f>
        <v/>
      </c>
      <c r="AM57">
        <f>IF(NOT(ISNUMBER($D57)),"",_xlfn.NORM.DIST(AM$1,$D57,$E57,TRUE)-_xlfn.NORM.DIST(AM$2,$D57,$E57,TRUE))</f>
        <v/>
      </c>
      <c r="AN57">
        <f>IF(NOT(ISNUMBER($D57)),"",_xlfn.NORM.DIST(AN$1,$D57,$E57,TRUE)-_xlfn.NORM.DIST(AN$2,$D57,$E57,TRUE))</f>
        <v/>
      </c>
      <c r="AO57">
        <f>IF(NOT(ISNUMBER($D57)),"",_xlfn.NORM.DIST(AO$1,$D57,$E57,TRUE)-_xlfn.NORM.DIST(AO$2,$D57,$E57,TRUE))</f>
        <v/>
      </c>
      <c r="AP57">
        <f>IF(NOT(ISNUMBER($D57)),"",_xlfn.NORM.DIST(AP$1,$D57,$E57,TRUE)-_xlfn.NORM.DIST(AP$2,$D57,$E57,TRUE))</f>
        <v/>
      </c>
      <c r="AQ57">
        <f>IF(NOT(ISNUMBER($D57)),"",_xlfn.NORM.DIST(AQ$1,$D57,$E57,TRUE)-_xlfn.NORM.DIST(AQ$2,$D57,$E57,TRUE))</f>
        <v/>
      </c>
      <c r="AR57">
        <f>IF(NOT(ISNUMBER($D57)),"",_xlfn.NORM.DIST(AR$1,$D57,$E57,TRUE)-_xlfn.NORM.DIST(AR$2,$D57,$E57,TRUE))</f>
        <v/>
      </c>
      <c r="AS57">
        <f>IF(NOT(ISNUMBER($D57)),"",_xlfn.NORM.DIST(AS$1,$D57,$E57,TRUE)-_xlfn.NORM.DIST(AS$2,$D57,$E57,TRUE))</f>
        <v/>
      </c>
      <c r="AT57">
        <f>IF(NOT(ISNUMBER($D57)),"",_xlfn.NORM.DIST(AT$1,$D57,$E57,TRUE)-_xlfn.NORM.DIST(AT$2,$D57,$E57,TRUE))</f>
        <v/>
      </c>
      <c r="AU57">
        <f>IF(NOT(ISNUMBER($D57)),"",_xlfn.NORM.DIST(AU$1,$D57,$E57,TRUE)-_xlfn.NORM.DIST(AU$2,$D57,$E57,TRUE))</f>
        <v/>
      </c>
      <c r="AV57">
        <f>IF(NOT(ISNUMBER($D57)),"",_xlfn.NORM.DIST(AV$1,$D57,$E57,TRUE)-_xlfn.NORM.DIST(AV$2,$D57,$E57,TRUE))</f>
        <v/>
      </c>
      <c r="AW57">
        <f>IF(NOT(ISNUMBER($D57)),"",_xlfn.NORM.DIST(AW$1,$D57,$E57,TRUE)-_xlfn.NORM.DIST(AW$2,$D57,$E57,TRUE))</f>
        <v/>
      </c>
      <c r="AX57">
        <f>IF(NOT(ISNUMBER($D57)),"",_xlfn.NORM.DIST(AX$1,$D57,$E57,TRUE)-_xlfn.NORM.DIST(AX$2,$D57,$E57,TRUE))</f>
        <v/>
      </c>
      <c r="AY57">
        <f>IF(NOT(ISNUMBER($D57)),"",_xlfn.NORM.DIST(AY$1,$D57,$E57,TRUE)-_xlfn.NORM.DIST(AY$2,$D57,$E57,TRUE))</f>
        <v/>
      </c>
      <c r="AZ57">
        <f>IF(NOT(ISNUMBER($D57)),"",_xlfn.NORM.DIST(AZ$1,$D57,$E57,TRUE)-_xlfn.NORM.DIST(AZ$2,$D57,$E57,TRUE))</f>
        <v/>
      </c>
      <c r="BA57">
        <f>IF(NOT(ISNUMBER($D57)),"",_xlfn.NORM.DIST(BA$1,$D57,$E57,TRUE)-_xlfn.NORM.DIST(BA$2,$D57,$E57,TRUE))</f>
        <v/>
      </c>
      <c r="BB57">
        <f>IF(NOT(ISNUMBER($D57)),"",_xlfn.NORM.DIST(BB$1,$D57,$E57,TRUE)-_xlfn.NORM.DIST(BB$2,$D57,$E57,TRUE))</f>
        <v/>
      </c>
      <c r="BC57">
        <f>IF(NOT(ISNUMBER($D57)),"",_xlfn.NORM.DIST(BC$1,$D57,$E57,TRUE)-_xlfn.NORM.DIST(BC$2,$D57,$E57,TRUE))</f>
        <v/>
      </c>
      <c r="BD57">
        <f>IF(NOT(ISNUMBER($D57)),"",_xlfn.NORM.DIST(BD$1,$D57,$E57,TRUE)-_xlfn.NORM.DIST(BD$2,$D57,$E57,TRUE))</f>
        <v/>
      </c>
      <c r="BE57">
        <f>IF(NOT(ISNUMBER($D57)),"",_xlfn.NORM.DIST(BE$1,$D57,$E57,TRUE)-_xlfn.NORM.DIST(BE$2,$D57,$E57,TRUE))</f>
        <v/>
      </c>
      <c r="BF57">
        <f>IF(NOT(ISNUMBER($D57)),"",_xlfn.NORM.DIST(BF$1,$D57,$E57,TRUE)-_xlfn.NORM.DIST(BF$2,$D57,$E57,TRUE))</f>
        <v/>
      </c>
      <c r="BG57">
        <f>IF(NOT(ISNUMBER($D57)),"",_xlfn.NORM.DIST(BG$1,$D57,$E57,TRUE)-_xlfn.NORM.DIST(BG$2,$D57,$E57,TRUE))</f>
        <v/>
      </c>
      <c r="BH57">
        <f>IF(NOT(ISNUMBER($D57)),"",_xlfn.NORM.DIST(BH$1,$D57,$E57,TRUE)-_xlfn.NORM.DIST(BH$2,$D57,$E57,TRUE))</f>
        <v/>
      </c>
      <c r="BI57">
        <f>IF(NOT(ISNUMBER($D57)),"",_xlfn.NORM.DIST(BI$1,$D57,$E57,TRUE)-_xlfn.NORM.DIST(BI$2,$D57,$E57,TRUE))</f>
        <v/>
      </c>
      <c r="BJ57">
        <f>IF(NOT(ISNUMBER($D57)),"",_xlfn.NORM.DIST(BJ$1,$D57,$E57,TRUE)-_xlfn.NORM.DIST(BJ$2,$D57,$E57,TRUE))</f>
        <v/>
      </c>
      <c r="BK57">
        <f>IF(NOT(ISNUMBER($D57)),"",_xlfn.NORM.DIST(BK$1,$D57,$E57,TRUE)-_xlfn.NORM.DIST(BK$2,$D57,$E57,TRUE))</f>
        <v/>
      </c>
      <c r="BL57">
        <f>IF(NOT(ISNUMBER($D57)),"",_xlfn.NORM.DIST(BL$1,$D57,$E57,TRUE)-_xlfn.NORM.DIST(BL$2,$D57,$E57,TRUE))</f>
        <v/>
      </c>
      <c r="BM57">
        <f>IF(NOT(ISNUMBER($D57)),"",_xlfn.NORM.DIST(BM$1,$D57,$E57,TRUE)-_xlfn.NORM.DIST(BM$2,$D57,$E57,TRUE))</f>
        <v/>
      </c>
      <c r="BN57">
        <f>IF(NOT(ISNUMBER($D57)),"",_xlfn.NORM.DIST(BN$1,$D57,$E57,TRUE)-_xlfn.NORM.DIST(BN$2,$D57,$E57,TRUE))</f>
        <v/>
      </c>
      <c r="BO57">
        <f>IF(NOT(ISNUMBER($D57)),"",_xlfn.NORM.DIST(BO$1,$D57,$E57,TRUE)-_xlfn.NORM.DIST(BO$2,$D57,$E57,TRUE))</f>
        <v/>
      </c>
      <c r="BP57">
        <f>IF(NOT(ISNUMBER($D57)),"",_xlfn.NORM.DIST(BP$1,$D57,$E57,TRUE)-_xlfn.NORM.DIST(BP$2,$D57,$E57,TRUE))</f>
        <v/>
      </c>
      <c r="BQ57">
        <f>IF(NOT(ISNUMBER($D57)),"",_xlfn.NORM.DIST(BQ$1,$D57,$E57,TRUE)-_xlfn.NORM.DIST(BQ$2,$D57,$E57,TRUE))</f>
        <v/>
      </c>
      <c r="BR57">
        <f>IF(NOT(ISNUMBER($D57)),"",_xlfn.NORM.DIST(BR$1,$D57,$E57,TRUE)-_xlfn.NORM.DIST(BR$2,$D57,$E57,TRUE))</f>
        <v/>
      </c>
      <c r="BS57">
        <f>IF(NOT(ISNUMBER($D57)),"",_xlfn.NORM.DIST(BS$1,$D57,$E57,TRUE)-_xlfn.NORM.DIST(BS$2,$D57,$E57,TRUE))</f>
        <v/>
      </c>
      <c r="BT57">
        <f>IF(NOT(ISNUMBER($D57)),"",_xlfn.NORM.DIST(BT$1,$D57,$E57,TRUE)-_xlfn.NORM.DIST(BT$2,$D57,$E57,TRUE))</f>
        <v/>
      </c>
      <c r="BU57">
        <f>IF(NOT(ISNUMBER($D57)),"",_xlfn.NORM.DIST(BU$1,$D57,$E57,TRUE)-_xlfn.NORM.DIST(BU$2,$D57,$E57,TRUE))</f>
        <v/>
      </c>
      <c r="BV57">
        <f>IF(NOT(ISNUMBER($D57)),"",_xlfn.NORM.DIST(BV$1,$D57,$E57,TRUE)-_xlfn.NORM.DIST(BV$2,$D57,$E57,TRUE))</f>
        <v/>
      </c>
      <c r="BW57">
        <f>IF(NOT(ISNUMBER($D57)),"",_xlfn.NORM.DIST(BW$1,$D57,$E57,TRUE)-_xlfn.NORM.DIST(BW$2,$D57,$E57,TRUE))</f>
        <v/>
      </c>
      <c r="BX57">
        <f>IF(NOT(ISNUMBER($D57)),"",_xlfn.NORM.DIST(BX$1,$D57,$E57,TRUE)-_xlfn.NORM.DIST(BX$2,$D57,$E57,TRUE))</f>
        <v/>
      </c>
      <c r="BY57">
        <f>IF(NOT(ISNUMBER($D57)),"",_xlfn.NORM.DIST(BY$1,$D57,$E57,TRUE)-_xlfn.NORM.DIST(BY$2,$D57,$E57,TRUE))</f>
        <v/>
      </c>
      <c r="BZ57">
        <f>IF(NOT(ISNUMBER($D57)),"",_xlfn.NORM.DIST(BZ$1,$D57,$E57,TRUE)-_xlfn.NORM.DIST(BZ$2,$D57,$E57,TRUE))</f>
        <v/>
      </c>
      <c r="CA57">
        <f>IF(NOT(ISNUMBER($D57)),"",_xlfn.NORM.DIST(CA$1,$D57,$E57,TRUE)-_xlfn.NORM.DIST(CA$2,$D57,$E57,TRUE))</f>
        <v/>
      </c>
      <c r="CB57">
        <f>IF(NOT(ISNUMBER($D57)),"",_xlfn.NORM.DIST(CB$1,$D57,$E57,TRUE)-_xlfn.NORM.DIST(CB$2,$D57,$E57,TRUE))</f>
        <v/>
      </c>
      <c r="CC57">
        <f>IF(NOT(ISNUMBER($D57)),"",_xlfn.NORM.DIST(CC$1,$D57,$E57,TRUE)-_xlfn.NORM.DIST(CC$2,$D57,$E57,TRUE))</f>
        <v/>
      </c>
      <c r="CD57">
        <f>IF(NOT(ISNUMBER($D57)),"",_xlfn.NORM.DIST(CD$1,$D57,$E57,TRUE)-_xlfn.NORM.DIST(CD$2,$D57,$E57,TRUE))</f>
        <v/>
      </c>
      <c r="CE57">
        <f>IF(NOT(ISNUMBER($D57)),"",_xlfn.NORM.DIST(CE$1,$D57,$E57,TRUE)-_xlfn.NORM.DIST(CE$2,$D57,$E57,TRUE))</f>
        <v/>
      </c>
      <c r="CF57">
        <f>IF(NOT(ISNUMBER($D57)),"",_xlfn.NORM.DIST(CF$1,$D57,$E57,TRUE)-_xlfn.NORM.DIST(CF$2,$D57,$E57,TRUE))</f>
        <v/>
      </c>
      <c r="CG57">
        <f>IF(NOT(ISNUMBER($D57)),"",_xlfn.NORM.DIST(CG$1,$D57,$E57,TRUE)-_xlfn.NORM.DIST(CG$2,$D57,$E57,TRUE))</f>
        <v/>
      </c>
      <c r="CH57">
        <f>IF(NOT(ISNUMBER($D57)),"",_xlfn.NORM.DIST(CH$1,$D57,$E57,TRUE)-_xlfn.NORM.DIST(CH$2,$D57,$E57,TRUE))</f>
        <v/>
      </c>
      <c r="CI57">
        <f>IF(NOT(ISNUMBER($D57)),"",_xlfn.NORM.DIST(CI$1,$D57,$E57,TRUE)-_xlfn.NORM.DIST(CI$2,$D57,$E57,TRUE))</f>
        <v/>
      </c>
      <c r="CJ57">
        <f>IF(ISNUMBER($D57),SUM(F57:CI57),"")</f>
        <v/>
      </c>
    </row>
    <row r="58">
      <c r="A58">
        <f>economics!A57</f>
        <v/>
      </c>
      <c r="B58">
        <f>economics!B57</f>
        <v/>
      </c>
      <c r="C58">
        <f>economics!D57</f>
        <v/>
      </c>
      <c r="D58">
        <f>IF(ISNUMBER(economics!T57),economics!T57,"na")</f>
        <v/>
      </c>
      <c r="E58">
        <f>IF(ISNUMBER(D58),MAX(0.3*ABS(D58),0.000001),"na")</f>
        <v/>
      </c>
      <c r="F58">
        <f>IF(NOT(ISNUMBER($D58)),"",_xlfn.NORM.DIST(F$1,$D58,$E58,TRUE)-_xlfn.NORM.DIST(F$2,$D58,$E58,TRUE))</f>
        <v/>
      </c>
      <c r="G58">
        <f>IF(NOT(ISNUMBER($D58)),"",_xlfn.NORM.DIST(G$1,$D58,$E58,TRUE)-_xlfn.NORM.DIST(G$2,$D58,$E58,TRUE))</f>
        <v/>
      </c>
      <c r="H58">
        <f>IF(NOT(ISNUMBER($D58)),"",_xlfn.NORM.DIST(H$1,$D58,$E58,TRUE)-_xlfn.NORM.DIST(H$2,$D58,$E58,TRUE))</f>
        <v/>
      </c>
      <c r="I58">
        <f>IF(NOT(ISNUMBER($D58)),"",_xlfn.NORM.DIST(I$1,$D58,$E58,TRUE)-_xlfn.NORM.DIST(I$2,$D58,$E58,TRUE))</f>
        <v/>
      </c>
      <c r="J58">
        <f>IF(NOT(ISNUMBER($D58)),"",_xlfn.NORM.DIST(J$1,$D58,$E58,TRUE)-_xlfn.NORM.DIST(J$2,$D58,$E58,TRUE))</f>
        <v/>
      </c>
      <c r="K58">
        <f>IF(NOT(ISNUMBER($D58)),"",_xlfn.NORM.DIST(K$1,$D58,$E58,TRUE)-_xlfn.NORM.DIST(K$2,$D58,$E58,TRUE))</f>
        <v/>
      </c>
      <c r="L58">
        <f>IF(NOT(ISNUMBER($D58)),"",_xlfn.NORM.DIST(L$1,$D58,$E58,TRUE)-_xlfn.NORM.DIST(L$2,$D58,$E58,TRUE))</f>
        <v/>
      </c>
      <c r="M58">
        <f>IF(NOT(ISNUMBER($D58)),"",_xlfn.NORM.DIST(M$1,$D58,$E58,TRUE)-_xlfn.NORM.DIST(M$2,$D58,$E58,TRUE))</f>
        <v/>
      </c>
      <c r="N58">
        <f>IF(NOT(ISNUMBER($D58)),"",_xlfn.NORM.DIST(N$1,$D58,$E58,TRUE)-_xlfn.NORM.DIST(N$2,$D58,$E58,TRUE))</f>
        <v/>
      </c>
      <c r="O58">
        <f>IF(NOT(ISNUMBER($D58)),"",_xlfn.NORM.DIST(O$1,$D58,$E58,TRUE)-_xlfn.NORM.DIST(O$2,$D58,$E58,TRUE))</f>
        <v/>
      </c>
      <c r="P58">
        <f>IF(NOT(ISNUMBER($D58)),"",_xlfn.NORM.DIST(P$1,$D58,$E58,TRUE)-_xlfn.NORM.DIST(P$2,$D58,$E58,TRUE))</f>
        <v/>
      </c>
      <c r="Q58">
        <f>IF(NOT(ISNUMBER($D58)),"",_xlfn.NORM.DIST(Q$1,$D58,$E58,TRUE)-_xlfn.NORM.DIST(Q$2,$D58,$E58,TRUE))</f>
        <v/>
      </c>
      <c r="R58">
        <f>IF(NOT(ISNUMBER($D58)),"",_xlfn.NORM.DIST(R$1,$D58,$E58,TRUE)-_xlfn.NORM.DIST(R$2,$D58,$E58,TRUE))</f>
        <v/>
      </c>
      <c r="S58">
        <f>IF(NOT(ISNUMBER($D58)),"",_xlfn.NORM.DIST(S$1,$D58,$E58,TRUE)-_xlfn.NORM.DIST(S$2,$D58,$E58,TRUE))</f>
        <v/>
      </c>
      <c r="T58">
        <f>IF(NOT(ISNUMBER($D58)),"",_xlfn.NORM.DIST(T$1,$D58,$E58,TRUE)-_xlfn.NORM.DIST(T$2,$D58,$E58,TRUE))</f>
        <v/>
      </c>
      <c r="U58">
        <f>IF(NOT(ISNUMBER($D58)),"",_xlfn.NORM.DIST(U$1,$D58,$E58,TRUE)-_xlfn.NORM.DIST(U$2,$D58,$E58,TRUE))</f>
        <v/>
      </c>
      <c r="V58">
        <f>IF(NOT(ISNUMBER($D58)),"",_xlfn.NORM.DIST(V$1,$D58,$E58,TRUE)-_xlfn.NORM.DIST(V$2,$D58,$E58,TRUE))</f>
        <v/>
      </c>
      <c r="W58">
        <f>IF(NOT(ISNUMBER($D58)),"",_xlfn.NORM.DIST(W$1,$D58,$E58,TRUE)-_xlfn.NORM.DIST(W$2,$D58,$E58,TRUE))</f>
        <v/>
      </c>
      <c r="X58">
        <f>IF(NOT(ISNUMBER($D58)),"",_xlfn.NORM.DIST(X$1,$D58,$E58,TRUE)-_xlfn.NORM.DIST(X$2,$D58,$E58,TRUE))</f>
        <v/>
      </c>
      <c r="Y58">
        <f>IF(NOT(ISNUMBER($D58)),"",_xlfn.NORM.DIST(Y$1,$D58,$E58,TRUE)-_xlfn.NORM.DIST(Y$2,$D58,$E58,TRUE))</f>
        <v/>
      </c>
      <c r="Z58">
        <f>IF(NOT(ISNUMBER($D58)),"",_xlfn.NORM.DIST(Z$1,$D58,$E58,TRUE)-_xlfn.NORM.DIST(Z$2,$D58,$E58,TRUE))</f>
        <v/>
      </c>
      <c r="AA58">
        <f>IF(NOT(ISNUMBER($D58)),"",_xlfn.NORM.DIST(AA$1,$D58,$E58,TRUE)-_xlfn.NORM.DIST(AA$2,$D58,$E58,TRUE))</f>
        <v/>
      </c>
      <c r="AB58">
        <f>IF(NOT(ISNUMBER($D58)),"",_xlfn.NORM.DIST(AB$1,$D58,$E58,TRUE)-_xlfn.NORM.DIST(AB$2,$D58,$E58,TRUE))</f>
        <v/>
      </c>
      <c r="AC58">
        <f>IF(NOT(ISNUMBER($D58)),"",_xlfn.NORM.DIST(AC$1,$D58,$E58,TRUE)-_xlfn.NORM.DIST(AC$2,$D58,$E58,TRUE))</f>
        <v/>
      </c>
      <c r="AD58">
        <f>IF(NOT(ISNUMBER($D58)),"",_xlfn.NORM.DIST(AD$1,$D58,$E58,TRUE)-_xlfn.NORM.DIST(AD$2,$D58,$E58,TRUE))</f>
        <v/>
      </c>
      <c r="AE58">
        <f>IF(NOT(ISNUMBER($D58)),"",_xlfn.NORM.DIST(AE$1,$D58,$E58,TRUE)-_xlfn.NORM.DIST(AE$2,$D58,$E58,TRUE))</f>
        <v/>
      </c>
      <c r="AF58">
        <f>IF(NOT(ISNUMBER($D58)),"",_xlfn.NORM.DIST(AF$1,$D58,$E58,TRUE)-_xlfn.NORM.DIST(AF$2,$D58,$E58,TRUE))</f>
        <v/>
      </c>
      <c r="AG58">
        <f>IF(NOT(ISNUMBER($D58)),"",_xlfn.NORM.DIST(AG$1,$D58,$E58,TRUE)-_xlfn.NORM.DIST(AG$2,$D58,$E58,TRUE))</f>
        <v/>
      </c>
      <c r="AH58">
        <f>IF(NOT(ISNUMBER($D58)),"",_xlfn.NORM.DIST(AH$1,$D58,$E58,TRUE)-_xlfn.NORM.DIST(AH$2,$D58,$E58,TRUE))</f>
        <v/>
      </c>
      <c r="AI58">
        <f>IF(NOT(ISNUMBER($D58)),"",_xlfn.NORM.DIST(AI$1,$D58,$E58,TRUE)-_xlfn.NORM.DIST(AI$2,$D58,$E58,TRUE))</f>
        <v/>
      </c>
      <c r="AJ58">
        <f>IF(NOT(ISNUMBER($D58)),"",_xlfn.NORM.DIST(AJ$1,$D58,$E58,TRUE)-_xlfn.NORM.DIST(AJ$2,$D58,$E58,TRUE))</f>
        <v/>
      </c>
      <c r="AK58">
        <f>IF(NOT(ISNUMBER($D58)),"",_xlfn.NORM.DIST(AK$1,$D58,$E58,TRUE)-_xlfn.NORM.DIST(AK$2,$D58,$E58,TRUE))</f>
        <v/>
      </c>
      <c r="AL58">
        <f>IF(NOT(ISNUMBER($D58)),"",_xlfn.NORM.DIST(AL$1,$D58,$E58,TRUE)-_xlfn.NORM.DIST(AL$2,$D58,$E58,TRUE))</f>
        <v/>
      </c>
      <c r="AM58">
        <f>IF(NOT(ISNUMBER($D58)),"",_xlfn.NORM.DIST(AM$1,$D58,$E58,TRUE)-_xlfn.NORM.DIST(AM$2,$D58,$E58,TRUE))</f>
        <v/>
      </c>
      <c r="AN58">
        <f>IF(NOT(ISNUMBER($D58)),"",_xlfn.NORM.DIST(AN$1,$D58,$E58,TRUE)-_xlfn.NORM.DIST(AN$2,$D58,$E58,TRUE))</f>
        <v/>
      </c>
      <c r="AO58">
        <f>IF(NOT(ISNUMBER($D58)),"",_xlfn.NORM.DIST(AO$1,$D58,$E58,TRUE)-_xlfn.NORM.DIST(AO$2,$D58,$E58,TRUE))</f>
        <v/>
      </c>
      <c r="AP58">
        <f>IF(NOT(ISNUMBER($D58)),"",_xlfn.NORM.DIST(AP$1,$D58,$E58,TRUE)-_xlfn.NORM.DIST(AP$2,$D58,$E58,TRUE))</f>
        <v/>
      </c>
      <c r="AQ58">
        <f>IF(NOT(ISNUMBER($D58)),"",_xlfn.NORM.DIST(AQ$1,$D58,$E58,TRUE)-_xlfn.NORM.DIST(AQ$2,$D58,$E58,TRUE))</f>
        <v/>
      </c>
      <c r="AR58">
        <f>IF(NOT(ISNUMBER($D58)),"",_xlfn.NORM.DIST(AR$1,$D58,$E58,TRUE)-_xlfn.NORM.DIST(AR$2,$D58,$E58,TRUE))</f>
        <v/>
      </c>
      <c r="AS58">
        <f>IF(NOT(ISNUMBER($D58)),"",_xlfn.NORM.DIST(AS$1,$D58,$E58,TRUE)-_xlfn.NORM.DIST(AS$2,$D58,$E58,TRUE))</f>
        <v/>
      </c>
      <c r="AT58">
        <f>IF(NOT(ISNUMBER($D58)),"",_xlfn.NORM.DIST(AT$1,$D58,$E58,TRUE)-_xlfn.NORM.DIST(AT$2,$D58,$E58,TRUE))</f>
        <v/>
      </c>
      <c r="AU58">
        <f>IF(NOT(ISNUMBER($D58)),"",_xlfn.NORM.DIST(AU$1,$D58,$E58,TRUE)-_xlfn.NORM.DIST(AU$2,$D58,$E58,TRUE))</f>
        <v/>
      </c>
      <c r="AV58">
        <f>IF(NOT(ISNUMBER($D58)),"",_xlfn.NORM.DIST(AV$1,$D58,$E58,TRUE)-_xlfn.NORM.DIST(AV$2,$D58,$E58,TRUE))</f>
        <v/>
      </c>
      <c r="AW58">
        <f>IF(NOT(ISNUMBER($D58)),"",_xlfn.NORM.DIST(AW$1,$D58,$E58,TRUE)-_xlfn.NORM.DIST(AW$2,$D58,$E58,TRUE))</f>
        <v/>
      </c>
      <c r="AX58">
        <f>IF(NOT(ISNUMBER($D58)),"",_xlfn.NORM.DIST(AX$1,$D58,$E58,TRUE)-_xlfn.NORM.DIST(AX$2,$D58,$E58,TRUE))</f>
        <v/>
      </c>
      <c r="AY58">
        <f>IF(NOT(ISNUMBER($D58)),"",_xlfn.NORM.DIST(AY$1,$D58,$E58,TRUE)-_xlfn.NORM.DIST(AY$2,$D58,$E58,TRUE))</f>
        <v/>
      </c>
      <c r="AZ58">
        <f>IF(NOT(ISNUMBER($D58)),"",_xlfn.NORM.DIST(AZ$1,$D58,$E58,TRUE)-_xlfn.NORM.DIST(AZ$2,$D58,$E58,TRUE))</f>
        <v/>
      </c>
      <c r="BA58">
        <f>IF(NOT(ISNUMBER($D58)),"",_xlfn.NORM.DIST(BA$1,$D58,$E58,TRUE)-_xlfn.NORM.DIST(BA$2,$D58,$E58,TRUE))</f>
        <v/>
      </c>
      <c r="BB58">
        <f>IF(NOT(ISNUMBER($D58)),"",_xlfn.NORM.DIST(BB$1,$D58,$E58,TRUE)-_xlfn.NORM.DIST(BB$2,$D58,$E58,TRUE))</f>
        <v/>
      </c>
      <c r="BC58">
        <f>IF(NOT(ISNUMBER($D58)),"",_xlfn.NORM.DIST(BC$1,$D58,$E58,TRUE)-_xlfn.NORM.DIST(BC$2,$D58,$E58,TRUE))</f>
        <v/>
      </c>
      <c r="BD58">
        <f>IF(NOT(ISNUMBER($D58)),"",_xlfn.NORM.DIST(BD$1,$D58,$E58,TRUE)-_xlfn.NORM.DIST(BD$2,$D58,$E58,TRUE))</f>
        <v/>
      </c>
      <c r="BE58">
        <f>IF(NOT(ISNUMBER($D58)),"",_xlfn.NORM.DIST(BE$1,$D58,$E58,TRUE)-_xlfn.NORM.DIST(BE$2,$D58,$E58,TRUE))</f>
        <v/>
      </c>
      <c r="BF58">
        <f>IF(NOT(ISNUMBER($D58)),"",_xlfn.NORM.DIST(BF$1,$D58,$E58,TRUE)-_xlfn.NORM.DIST(BF$2,$D58,$E58,TRUE))</f>
        <v/>
      </c>
      <c r="BG58">
        <f>IF(NOT(ISNUMBER($D58)),"",_xlfn.NORM.DIST(BG$1,$D58,$E58,TRUE)-_xlfn.NORM.DIST(BG$2,$D58,$E58,TRUE))</f>
        <v/>
      </c>
      <c r="BH58">
        <f>IF(NOT(ISNUMBER($D58)),"",_xlfn.NORM.DIST(BH$1,$D58,$E58,TRUE)-_xlfn.NORM.DIST(BH$2,$D58,$E58,TRUE))</f>
        <v/>
      </c>
      <c r="BI58">
        <f>IF(NOT(ISNUMBER($D58)),"",_xlfn.NORM.DIST(BI$1,$D58,$E58,TRUE)-_xlfn.NORM.DIST(BI$2,$D58,$E58,TRUE))</f>
        <v/>
      </c>
      <c r="BJ58">
        <f>IF(NOT(ISNUMBER($D58)),"",_xlfn.NORM.DIST(BJ$1,$D58,$E58,TRUE)-_xlfn.NORM.DIST(BJ$2,$D58,$E58,TRUE))</f>
        <v/>
      </c>
      <c r="BK58">
        <f>IF(NOT(ISNUMBER($D58)),"",_xlfn.NORM.DIST(BK$1,$D58,$E58,TRUE)-_xlfn.NORM.DIST(BK$2,$D58,$E58,TRUE))</f>
        <v/>
      </c>
      <c r="BL58">
        <f>IF(NOT(ISNUMBER($D58)),"",_xlfn.NORM.DIST(BL$1,$D58,$E58,TRUE)-_xlfn.NORM.DIST(BL$2,$D58,$E58,TRUE))</f>
        <v/>
      </c>
      <c r="BM58">
        <f>IF(NOT(ISNUMBER($D58)),"",_xlfn.NORM.DIST(BM$1,$D58,$E58,TRUE)-_xlfn.NORM.DIST(BM$2,$D58,$E58,TRUE))</f>
        <v/>
      </c>
      <c r="BN58">
        <f>IF(NOT(ISNUMBER($D58)),"",_xlfn.NORM.DIST(BN$1,$D58,$E58,TRUE)-_xlfn.NORM.DIST(BN$2,$D58,$E58,TRUE))</f>
        <v/>
      </c>
      <c r="BO58">
        <f>IF(NOT(ISNUMBER($D58)),"",_xlfn.NORM.DIST(BO$1,$D58,$E58,TRUE)-_xlfn.NORM.DIST(BO$2,$D58,$E58,TRUE))</f>
        <v/>
      </c>
      <c r="BP58">
        <f>IF(NOT(ISNUMBER($D58)),"",_xlfn.NORM.DIST(BP$1,$D58,$E58,TRUE)-_xlfn.NORM.DIST(BP$2,$D58,$E58,TRUE))</f>
        <v/>
      </c>
      <c r="BQ58">
        <f>IF(NOT(ISNUMBER($D58)),"",_xlfn.NORM.DIST(BQ$1,$D58,$E58,TRUE)-_xlfn.NORM.DIST(BQ$2,$D58,$E58,TRUE))</f>
        <v/>
      </c>
      <c r="BR58">
        <f>IF(NOT(ISNUMBER($D58)),"",_xlfn.NORM.DIST(BR$1,$D58,$E58,TRUE)-_xlfn.NORM.DIST(BR$2,$D58,$E58,TRUE))</f>
        <v/>
      </c>
      <c r="BS58">
        <f>IF(NOT(ISNUMBER($D58)),"",_xlfn.NORM.DIST(BS$1,$D58,$E58,TRUE)-_xlfn.NORM.DIST(BS$2,$D58,$E58,TRUE))</f>
        <v/>
      </c>
      <c r="BT58">
        <f>IF(NOT(ISNUMBER($D58)),"",_xlfn.NORM.DIST(BT$1,$D58,$E58,TRUE)-_xlfn.NORM.DIST(BT$2,$D58,$E58,TRUE))</f>
        <v/>
      </c>
      <c r="BU58">
        <f>IF(NOT(ISNUMBER($D58)),"",_xlfn.NORM.DIST(BU$1,$D58,$E58,TRUE)-_xlfn.NORM.DIST(BU$2,$D58,$E58,TRUE))</f>
        <v/>
      </c>
      <c r="BV58">
        <f>IF(NOT(ISNUMBER($D58)),"",_xlfn.NORM.DIST(BV$1,$D58,$E58,TRUE)-_xlfn.NORM.DIST(BV$2,$D58,$E58,TRUE))</f>
        <v/>
      </c>
      <c r="BW58">
        <f>IF(NOT(ISNUMBER($D58)),"",_xlfn.NORM.DIST(BW$1,$D58,$E58,TRUE)-_xlfn.NORM.DIST(BW$2,$D58,$E58,TRUE))</f>
        <v/>
      </c>
      <c r="BX58">
        <f>IF(NOT(ISNUMBER($D58)),"",_xlfn.NORM.DIST(BX$1,$D58,$E58,TRUE)-_xlfn.NORM.DIST(BX$2,$D58,$E58,TRUE))</f>
        <v/>
      </c>
      <c r="BY58">
        <f>IF(NOT(ISNUMBER($D58)),"",_xlfn.NORM.DIST(BY$1,$D58,$E58,TRUE)-_xlfn.NORM.DIST(BY$2,$D58,$E58,TRUE))</f>
        <v/>
      </c>
      <c r="BZ58">
        <f>IF(NOT(ISNUMBER($D58)),"",_xlfn.NORM.DIST(BZ$1,$D58,$E58,TRUE)-_xlfn.NORM.DIST(BZ$2,$D58,$E58,TRUE))</f>
        <v/>
      </c>
      <c r="CA58">
        <f>IF(NOT(ISNUMBER($D58)),"",_xlfn.NORM.DIST(CA$1,$D58,$E58,TRUE)-_xlfn.NORM.DIST(CA$2,$D58,$E58,TRUE))</f>
        <v/>
      </c>
      <c r="CB58">
        <f>IF(NOT(ISNUMBER($D58)),"",_xlfn.NORM.DIST(CB$1,$D58,$E58,TRUE)-_xlfn.NORM.DIST(CB$2,$D58,$E58,TRUE))</f>
        <v/>
      </c>
      <c r="CC58">
        <f>IF(NOT(ISNUMBER($D58)),"",_xlfn.NORM.DIST(CC$1,$D58,$E58,TRUE)-_xlfn.NORM.DIST(CC$2,$D58,$E58,TRUE))</f>
        <v/>
      </c>
      <c r="CD58">
        <f>IF(NOT(ISNUMBER($D58)),"",_xlfn.NORM.DIST(CD$1,$D58,$E58,TRUE)-_xlfn.NORM.DIST(CD$2,$D58,$E58,TRUE))</f>
        <v/>
      </c>
      <c r="CE58">
        <f>IF(NOT(ISNUMBER($D58)),"",_xlfn.NORM.DIST(CE$1,$D58,$E58,TRUE)-_xlfn.NORM.DIST(CE$2,$D58,$E58,TRUE))</f>
        <v/>
      </c>
      <c r="CF58">
        <f>IF(NOT(ISNUMBER($D58)),"",_xlfn.NORM.DIST(CF$1,$D58,$E58,TRUE)-_xlfn.NORM.DIST(CF$2,$D58,$E58,TRUE))</f>
        <v/>
      </c>
      <c r="CG58">
        <f>IF(NOT(ISNUMBER($D58)),"",_xlfn.NORM.DIST(CG$1,$D58,$E58,TRUE)-_xlfn.NORM.DIST(CG$2,$D58,$E58,TRUE))</f>
        <v/>
      </c>
      <c r="CH58">
        <f>IF(NOT(ISNUMBER($D58)),"",_xlfn.NORM.DIST(CH$1,$D58,$E58,TRUE)-_xlfn.NORM.DIST(CH$2,$D58,$E58,TRUE))</f>
        <v/>
      </c>
      <c r="CI58">
        <f>IF(NOT(ISNUMBER($D58)),"",_xlfn.NORM.DIST(CI$1,$D58,$E58,TRUE)-_xlfn.NORM.DIST(CI$2,$D58,$E58,TRUE))</f>
        <v/>
      </c>
      <c r="CJ58">
        <f>IF(ISNUMBER($D58),SUM(F58:CI58),"")</f>
        <v/>
      </c>
    </row>
    <row r="59">
      <c r="A59">
        <f>economics!A58</f>
        <v/>
      </c>
      <c r="B59">
        <f>economics!B58</f>
        <v/>
      </c>
      <c r="C59">
        <f>economics!D58</f>
        <v/>
      </c>
      <c r="D59">
        <f>IF(ISNUMBER(economics!T58),economics!T58,"na")</f>
        <v/>
      </c>
      <c r="E59">
        <f>IF(ISNUMBER(D59),MAX(0.3*ABS(D59),0.000001),"na")</f>
        <v/>
      </c>
      <c r="F59">
        <f>IF(NOT(ISNUMBER($D59)),"",_xlfn.NORM.DIST(F$1,$D59,$E59,TRUE)-_xlfn.NORM.DIST(F$2,$D59,$E59,TRUE))</f>
        <v/>
      </c>
      <c r="G59">
        <f>IF(NOT(ISNUMBER($D59)),"",_xlfn.NORM.DIST(G$1,$D59,$E59,TRUE)-_xlfn.NORM.DIST(G$2,$D59,$E59,TRUE))</f>
        <v/>
      </c>
      <c r="H59">
        <f>IF(NOT(ISNUMBER($D59)),"",_xlfn.NORM.DIST(H$1,$D59,$E59,TRUE)-_xlfn.NORM.DIST(H$2,$D59,$E59,TRUE))</f>
        <v/>
      </c>
      <c r="I59">
        <f>IF(NOT(ISNUMBER($D59)),"",_xlfn.NORM.DIST(I$1,$D59,$E59,TRUE)-_xlfn.NORM.DIST(I$2,$D59,$E59,TRUE))</f>
        <v/>
      </c>
      <c r="J59">
        <f>IF(NOT(ISNUMBER($D59)),"",_xlfn.NORM.DIST(J$1,$D59,$E59,TRUE)-_xlfn.NORM.DIST(J$2,$D59,$E59,TRUE))</f>
        <v/>
      </c>
      <c r="K59">
        <f>IF(NOT(ISNUMBER($D59)),"",_xlfn.NORM.DIST(K$1,$D59,$E59,TRUE)-_xlfn.NORM.DIST(K$2,$D59,$E59,TRUE))</f>
        <v/>
      </c>
      <c r="L59">
        <f>IF(NOT(ISNUMBER($D59)),"",_xlfn.NORM.DIST(L$1,$D59,$E59,TRUE)-_xlfn.NORM.DIST(L$2,$D59,$E59,TRUE))</f>
        <v/>
      </c>
      <c r="M59">
        <f>IF(NOT(ISNUMBER($D59)),"",_xlfn.NORM.DIST(M$1,$D59,$E59,TRUE)-_xlfn.NORM.DIST(M$2,$D59,$E59,TRUE))</f>
        <v/>
      </c>
      <c r="N59">
        <f>IF(NOT(ISNUMBER($D59)),"",_xlfn.NORM.DIST(N$1,$D59,$E59,TRUE)-_xlfn.NORM.DIST(N$2,$D59,$E59,TRUE))</f>
        <v/>
      </c>
      <c r="O59">
        <f>IF(NOT(ISNUMBER($D59)),"",_xlfn.NORM.DIST(O$1,$D59,$E59,TRUE)-_xlfn.NORM.DIST(O$2,$D59,$E59,TRUE))</f>
        <v/>
      </c>
      <c r="P59">
        <f>IF(NOT(ISNUMBER($D59)),"",_xlfn.NORM.DIST(P$1,$D59,$E59,TRUE)-_xlfn.NORM.DIST(P$2,$D59,$E59,TRUE))</f>
        <v/>
      </c>
      <c r="Q59">
        <f>IF(NOT(ISNUMBER($D59)),"",_xlfn.NORM.DIST(Q$1,$D59,$E59,TRUE)-_xlfn.NORM.DIST(Q$2,$D59,$E59,TRUE))</f>
        <v/>
      </c>
      <c r="R59">
        <f>IF(NOT(ISNUMBER($D59)),"",_xlfn.NORM.DIST(R$1,$D59,$E59,TRUE)-_xlfn.NORM.DIST(R$2,$D59,$E59,TRUE))</f>
        <v/>
      </c>
      <c r="S59">
        <f>IF(NOT(ISNUMBER($D59)),"",_xlfn.NORM.DIST(S$1,$D59,$E59,TRUE)-_xlfn.NORM.DIST(S$2,$D59,$E59,TRUE))</f>
        <v/>
      </c>
      <c r="T59">
        <f>IF(NOT(ISNUMBER($D59)),"",_xlfn.NORM.DIST(T$1,$D59,$E59,TRUE)-_xlfn.NORM.DIST(T$2,$D59,$E59,TRUE))</f>
        <v/>
      </c>
      <c r="U59">
        <f>IF(NOT(ISNUMBER($D59)),"",_xlfn.NORM.DIST(U$1,$D59,$E59,TRUE)-_xlfn.NORM.DIST(U$2,$D59,$E59,TRUE))</f>
        <v/>
      </c>
      <c r="V59">
        <f>IF(NOT(ISNUMBER($D59)),"",_xlfn.NORM.DIST(V$1,$D59,$E59,TRUE)-_xlfn.NORM.DIST(V$2,$D59,$E59,TRUE))</f>
        <v/>
      </c>
      <c r="W59">
        <f>IF(NOT(ISNUMBER($D59)),"",_xlfn.NORM.DIST(W$1,$D59,$E59,TRUE)-_xlfn.NORM.DIST(W$2,$D59,$E59,TRUE))</f>
        <v/>
      </c>
      <c r="X59">
        <f>IF(NOT(ISNUMBER($D59)),"",_xlfn.NORM.DIST(X$1,$D59,$E59,TRUE)-_xlfn.NORM.DIST(X$2,$D59,$E59,TRUE))</f>
        <v/>
      </c>
      <c r="Y59">
        <f>IF(NOT(ISNUMBER($D59)),"",_xlfn.NORM.DIST(Y$1,$D59,$E59,TRUE)-_xlfn.NORM.DIST(Y$2,$D59,$E59,TRUE))</f>
        <v/>
      </c>
      <c r="Z59">
        <f>IF(NOT(ISNUMBER($D59)),"",_xlfn.NORM.DIST(Z$1,$D59,$E59,TRUE)-_xlfn.NORM.DIST(Z$2,$D59,$E59,TRUE))</f>
        <v/>
      </c>
      <c r="AA59">
        <f>IF(NOT(ISNUMBER($D59)),"",_xlfn.NORM.DIST(AA$1,$D59,$E59,TRUE)-_xlfn.NORM.DIST(AA$2,$D59,$E59,TRUE))</f>
        <v/>
      </c>
      <c r="AB59">
        <f>IF(NOT(ISNUMBER($D59)),"",_xlfn.NORM.DIST(AB$1,$D59,$E59,TRUE)-_xlfn.NORM.DIST(AB$2,$D59,$E59,TRUE))</f>
        <v/>
      </c>
      <c r="AC59">
        <f>IF(NOT(ISNUMBER($D59)),"",_xlfn.NORM.DIST(AC$1,$D59,$E59,TRUE)-_xlfn.NORM.DIST(AC$2,$D59,$E59,TRUE))</f>
        <v/>
      </c>
      <c r="AD59">
        <f>IF(NOT(ISNUMBER($D59)),"",_xlfn.NORM.DIST(AD$1,$D59,$E59,TRUE)-_xlfn.NORM.DIST(AD$2,$D59,$E59,TRUE))</f>
        <v/>
      </c>
      <c r="AE59">
        <f>IF(NOT(ISNUMBER($D59)),"",_xlfn.NORM.DIST(AE$1,$D59,$E59,TRUE)-_xlfn.NORM.DIST(AE$2,$D59,$E59,TRUE))</f>
        <v/>
      </c>
      <c r="AF59">
        <f>IF(NOT(ISNUMBER($D59)),"",_xlfn.NORM.DIST(AF$1,$D59,$E59,TRUE)-_xlfn.NORM.DIST(AF$2,$D59,$E59,TRUE))</f>
        <v/>
      </c>
      <c r="AG59">
        <f>IF(NOT(ISNUMBER($D59)),"",_xlfn.NORM.DIST(AG$1,$D59,$E59,TRUE)-_xlfn.NORM.DIST(AG$2,$D59,$E59,TRUE))</f>
        <v/>
      </c>
      <c r="AH59">
        <f>IF(NOT(ISNUMBER($D59)),"",_xlfn.NORM.DIST(AH$1,$D59,$E59,TRUE)-_xlfn.NORM.DIST(AH$2,$D59,$E59,TRUE))</f>
        <v/>
      </c>
      <c r="AI59">
        <f>IF(NOT(ISNUMBER($D59)),"",_xlfn.NORM.DIST(AI$1,$D59,$E59,TRUE)-_xlfn.NORM.DIST(AI$2,$D59,$E59,TRUE))</f>
        <v/>
      </c>
      <c r="AJ59">
        <f>IF(NOT(ISNUMBER($D59)),"",_xlfn.NORM.DIST(AJ$1,$D59,$E59,TRUE)-_xlfn.NORM.DIST(AJ$2,$D59,$E59,TRUE))</f>
        <v/>
      </c>
      <c r="AK59">
        <f>IF(NOT(ISNUMBER($D59)),"",_xlfn.NORM.DIST(AK$1,$D59,$E59,TRUE)-_xlfn.NORM.DIST(AK$2,$D59,$E59,TRUE))</f>
        <v/>
      </c>
      <c r="AL59">
        <f>IF(NOT(ISNUMBER($D59)),"",_xlfn.NORM.DIST(AL$1,$D59,$E59,TRUE)-_xlfn.NORM.DIST(AL$2,$D59,$E59,TRUE))</f>
        <v/>
      </c>
      <c r="AM59">
        <f>IF(NOT(ISNUMBER($D59)),"",_xlfn.NORM.DIST(AM$1,$D59,$E59,TRUE)-_xlfn.NORM.DIST(AM$2,$D59,$E59,TRUE))</f>
        <v/>
      </c>
      <c r="AN59">
        <f>IF(NOT(ISNUMBER($D59)),"",_xlfn.NORM.DIST(AN$1,$D59,$E59,TRUE)-_xlfn.NORM.DIST(AN$2,$D59,$E59,TRUE))</f>
        <v/>
      </c>
      <c r="AO59">
        <f>IF(NOT(ISNUMBER($D59)),"",_xlfn.NORM.DIST(AO$1,$D59,$E59,TRUE)-_xlfn.NORM.DIST(AO$2,$D59,$E59,TRUE))</f>
        <v/>
      </c>
      <c r="AP59">
        <f>IF(NOT(ISNUMBER($D59)),"",_xlfn.NORM.DIST(AP$1,$D59,$E59,TRUE)-_xlfn.NORM.DIST(AP$2,$D59,$E59,TRUE))</f>
        <v/>
      </c>
      <c r="AQ59">
        <f>IF(NOT(ISNUMBER($D59)),"",_xlfn.NORM.DIST(AQ$1,$D59,$E59,TRUE)-_xlfn.NORM.DIST(AQ$2,$D59,$E59,TRUE))</f>
        <v/>
      </c>
      <c r="AR59">
        <f>IF(NOT(ISNUMBER($D59)),"",_xlfn.NORM.DIST(AR$1,$D59,$E59,TRUE)-_xlfn.NORM.DIST(AR$2,$D59,$E59,TRUE))</f>
        <v/>
      </c>
      <c r="AS59">
        <f>IF(NOT(ISNUMBER($D59)),"",_xlfn.NORM.DIST(AS$1,$D59,$E59,TRUE)-_xlfn.NORM.DIST(AS$2,$D59,$E59,TRUE))</f>
        <v/>
      </c>
      <c r="AT59">
        <f>IF(NOT(ISNUMBER($D59)),"",_xlfn.NORM.DIST(AT$1,$D59,$E59,TRUE)-_xlfn.NORM.DIST(AT$2,$D59,$E59,TRUE))</f>
        <v/>
      </c>
      <c r="AU59">
        <f>IF(NOT(ISNUMBER($D59)),"",_xlfn.NORM.DIST(AU$1,$D59,$E59,TRUE)-_xlfn.NORM.DIST(AU$2,$D59,$E59,TRUE))</f>
        <v/>
      </c>
      <c r="AV59">
        <f>IF(NOT(ISNUMBER($D59)),"",_xlfn.NORM.DIST(AV$1,$D59,$E59,TRUE)-_xlfn.NORM.DIST(AV$2,$D59,$E59,TRUE))</f>
        <v/>
      </c>
      <c r="AW59">
        <f>IF(NOT(ISNUMBER($D59)),"",_xlfn.NORM.DIST(AW$1,$D59,$E59,TRUE)-_xlfn.NORM.DIST(AW$2,$D59,$E59,TRUE))</f>
        <v/>
      </c>
      <c r="AX59">
        <f>IF(NOT(ISNUMBER($D59)),"",_xlfn.NORM.DIST(AX$1,$D59,$E59,TRUE)-_xlfn.NORM.DIST(AX$2,$D59,$E59,TRUE))</f>
        <v/>
      </c>
      <c r="AY59">
        <f>IF(NOT(ISNUMBER($D59)),"",_xlfn.NORM.DIST(AY$1,$D59,$E59,TRUE)-_xlfn.NORM.DIST(AY$2,$D59,$E59,TRUE))</f>
        <v/>
      </c>
      <c r="AZ59">
        <f>IF(NOT(ISNUMBER($D59)),"",_xlfn.NORM.DIST(AZ$1,$D59,$E59,TRUE)-_xlfn.NORM.DIST(AZ$2,$D59,$E59,TRUE))</f>
        <v/>
      </c>
      <c r="BA59">
        <f>IF(NOT(ISNUMBER($D59)),"",_xlfn.NORM.DIST(BA$1,$D59,$E59,TRUE)-_xlfn.NORM.DIST(BA$2,$D59,$E59,TRUE))</f>
        <v/>
      </c>
      <c r="BB59">
        <f>IF(NOT(ISNUMBER($D59)),"",_xlfn.NORM.DIST(BB$1,$D59,$E59,TRUE)-_xlfn.NORM.DIST(BB$2,$D59,$E59,TRUE))</f>
        <v/>
      </c>
      <c r="BC59">
        <f>IF(NOT(ISNUMBER($D59)),"",_xlfn.NORM.DIST(BC$1,$D59,$E59,TRUE)-_xlfn.NORM.DIST(BC$2,$D59,$E59,TRUE))</f>
        <v/>
      </c>
      <c r="BD59">
        <f>IF(NOT(ISNUMBER($D59)),"",_xlfn.NORM.DIST(BD$1,$D59,$E59,TRUE)-_xlfn.NORM.DIST(BD$2,$D59,$E59,TRUE))</f>
        <v/>
      </c>
      <c r="BE59">
        <f>IF(NOT(ISNUMBER($D59)),"",_xlfn.NORM.DIST(BE$1,$D59,$E59,TRUE)-_xlfn.NORM.DIST(BE$2,$D59,$E59,TRUE))</f>
        <v/>
      </c>
      <c r="BF59">
        <f>IF(NOT(ISNUMBER($D59)),"",_xlfn.NORM.DIST(BF$1,$D59,$E59,TRUE)-_xlfn.NORM.DIST(BF$2,$D59,$E59,TRUE))</f>
        <v/>
      </c>
      <c r="BG59">
        <f>IF(NOT(ISNUMBER($D59)),"",_xlfn.NORM.DIST(BG$1,$D59,$E59,TRUE)-_xlfn.NORM.DIST(BG$2,$D59,$E59,TRUE))</f>
        <v/>
      </c>
      <c r="BH59">
        <f>IF(NOT(ISNUMBER($D59)),"",_xlfn.NORM.DIST(BH$1,$D59,$E59,TRUE)-_xlfn.NORM.DIST(BH$2,$D59,$E59,TRUE))</f>
        <v/>
      </c>
      <c r="BI59">
        <f>IF(NOT(ISNUMBER($D59)),"",_xlfn.NORM.DIST(BI$1,$D59,$E59,TRUE)-_xlfn.NORM.DIST(BI$2,$D59,$E59,TRUE))</f>
        <v/>
      </c>
      <c r="BJ59">
        <f>IF(NOT(ISNUMBER($D59)),"",_xlfn.NORM.DIST(BJ$1,$D59,$E59,TRUE)-_xlfn.NORM.DIST(BJ$2,$D59,$E59,TRUE))</f>
        <v/>
      </c>
      <c r="BK59">
        <f>IF(NOT(ISNUMBER($D59)),"",_xlfn.NORM.DIST(BK$1,$D59,$E59,TRUE)-_xlfn.NORM.DIST(BK$2,$D59,$E59,TRUE))</f>
        <v/>
      </c>
      <c r="BL59">
        <f>IF(NOT(ISNUMBER($D59)),"",_xlfn.NORM.DIST(BL$1,$D59,$E59,TRUE)-_xlfn.NORM.DIST(BL$2,$D59,$E59,TRUE))</f>
        <v/>
      </c>
      <c r="BM59">
        <f>IF(NOT(ISNUMBER($D59)),"",_xlfn.NORM.DIST(BM$1,$D59,$E59,TRUE)-_xlfn.NORM.DIST(BM$2,$D59,$E59,TRUE))</f>
        <v/>
      </c>
      <c r="BN59">
        <f>IF(NOT(ISNUMBER($D59)),"",_xlfn.NORM.DIST(BN$1,$D59,$E59,TRUE)-_xlfn.NORM.DIST(BN$2,$D59,$E59,TRUE))</f>
        <v/>
      </c>
      <c r="BO59">
        <f>IF(NOT(ISNUMBER($D59)),"",_xlfn.NORM.DIST(BO$1,$D59,$E59,TRUE)-_xlfn.NORM.DIST(BO$2,$D59,$E59,TRUE))</f>
        <v/>
      </c>
      <c r="BP59">
        <f>IF(NOT(ISNUMBER($D59)),"",_xlfn.NORM.DIST(BP$1,$D59,$E59,TRUE)-_xlfn.NORM.DIST(BP$2,$D59,$E59,TRUE))</f>
        <v/>
      </c>
      <c r="BQ59">
        <f>IF(NOT(ISNUMBER($D59)),"",_xlfn.NORM.DIST(BQ$1,$D59,$E59,TRUE)-_xlfn.NORM.DIST(BQ$2,$D59,$E59,TRUE))</f>
        <v/>
      </c>
      <c r="BR59">
        <f>IF(NOT(ISNUMBER($D59)),"",_xlfn.NORM.DIST(BR$1,$D59,$E59,TRUE)-_xlfn.NORM.DIST(BR$2,$D59,$E59,TRUE))</f>
        <v/>
      </c>
      <c r="BS59">
        <f>IF(NOT(ISNUMBER($D59)),"",_xlfn.NORM.DIST(BS$1,$D59,$E59,TRUE)-_xlfn.NORM.DIST(BS$2,$D59,$E59,TRUE))</f>
        <v/>
      </c>
      <c r="BT59">
        <f>IF(NOT(ISNUMBER($D59)),"",_xlfn.NORM.DIST(BT$1,$D59,$E59,TRUE)-_xlfn.NORM.DIST(BT$2,$D59,$E59,TRUE))</f>
        <v/>
      </c>
      <c r="BU59">
        <f>IF(NOT(ISNUMBER($D59)),"",_xlfn.NORM.DIST(BU$1,$D59,$E59,TRUE)-_xlfn.NORM.DIST(BU$2,$D59,$E59,TRUE))</f>
        <v/>
      </c>
      <c r="BV59">
        <f>IF(NOT(ISNUMBER($D59)),"",_xlfn.NORM.DIST(BV$1,$D59,$E59,TRUE)-_xlfn.NORM.DIST(BV$2,$D59,$E59,TRUE))</f>
        <v/>
      </c>
      <c r="BW59">
        <f>IF(NOT(ISNUMBER($D59)),"",_xlfn.NORM.DIST(BW$1,$D59,$E59,TRUE)-_xlfn.NORM.DIST(BW$2,$D59,$E59,TRUE))</f>
        <v/>
      </c>
      <c r="BX59">
        <f>IF(NOT(ISNUMBER($D59)),"",_xlfn.NORM.DIST(BX$1,$D59,$E59,TRUE)-_xlfn.NORM.DIST(BX$2,$D59,$E59,TRUE))</f>
        <v/>
      </c>
      <c r="BY59">
        <f>IF(NOT(ISNUMBER($D59)),"",_xlfn.NORM.DIST(BY$1,$D59,$E59,TRUE)-_xlfn.NORM.DIST(BY$2,$D59,$E59,TRUE))</f>
        <v/>
      </c>
      <c r="BZ59">
        <f>IF(NOT(ISNUMBER($D59)),"",_xlfn.NORM.DIST(BZ$1,$D59,$E59,TRUE)-_xlfn.NORM.DIST(BZ$2,$D59,$E59,TRUE))</f>
        <v/>
      </c>
      <c r="CA59">
        <f>IF(NOT(ISNUMBER($D59)),"",_xlfn.NORM.DIST(CA$1,$D59,$E59,TRUE)-_xlfn.NORM.DIST(CA$2,$D59,$E59,TRUE))</f>
        <v/>
      </c>
      <c r="CB59">
        <f>IF(NOT(ISNUMBER($D59)),"",_xlfn.NORM.DIST(CB$1,$D59,$E59,TRUE)-_xlfn.NORM.DIST(CB$2,$D59,$E59,TRUE))</f>
        <v/>
      </c>
      <c r="CC59">
        <f>IF(NOT(ISNUMBER($D59)),"",_xlfn.NORM.DIST(CC$1,$D59,$E59,TRUE)-_xlfn.NORM.DIST(CC$2,$D59,$E59,TRUE))</f>
        <v/>
      </c>
      <c r="CD59">
        <f>IF(NOT(ISNUMBER($D59)),"",_xlfn.NORM.DIST(CD$1,$D59,$E59,TRUE)-_xlfn.NORM.DIST(CD$2,$D59,$E59,TRUE))</f>
        <v/>
      </c>
      <c r="CE59">
        <f>IF(NOT(ISNUMBER($D59)),"",_xlfn.NORM.DIST(CE$1,$D59,$E59,TRUE)-_xlfn.NORM.DIST(CE$2,$D59,$E59,TRUE))</f>
        <v/>
      </c>
      <c r="CF59">
        <f>IF(NOT(ISNUMBER($D59)),"",_xlfn.NORM.DIST(CF$1,$D59,$E59,TRUE)-_xlfn.NORM.DIST(CF$2,$D59,$E59,TRUE))</f>
        <v/>
      </c>
      <c r="CG59">
        <f>IF(NOT(ISNUMBER($D59)),"",_xlfn.NORM.DIST(CG$1,$D59,$E59,TRUE)-_xlfn.NORM.DIST(CG$2,$D59,$E59,TRUE))</f>
        <v/>
      </c>
      <c r="CH59">
        <f>IF(NOT(ISNUMBER($D59)),"",_xlfn.NORM.DIST(CH$1,$D59,$E59,TRUE)-_xlfn.NORM.DIST(CH$2,$D59,$E59,TRUE))</f>
        <v/>
      </c>
      <c r="CI59">
        <f>IF(NOT(ISNUMBER($D59)),"",_xlfn.NORM.DIST(CI$1,$D59,$E59,TRUE)-_xlfn.NORM.DIST(CI$2,$D59,$E59,TRUE))</f>
        <v/>
      </c>
      <c r="CJ59">
        <f>IF(ISNUMBER($D59),SUM(F59:CI59),"")</f>
        <v/>
      </c>
    </row>
    <row r="60">
      <c r="A60">
        <f>economics!A59</f>
        <v/>
      </c>
      <c r="B60">
        <f>economics!B59</f>
        <v/>
      </c>
      <c r="C60">
        <f>economics!D59</f>
        <v/>
      </c>
      <c r="D60">
        <f>IF(ISNUMBER(economics!T59),economics!T59,"na")</f>
        <v/>
      </c>
      <c r="E60">
        <f>IF(ISNUMBER(D60),MAX(0.3*ABS(D60),0.000001),"na")</f>
        <v/>
      </c>
      <c r="F60">
        <f>IF(NOT(ISNUMBER($D60)),"",_xlfn.NORM.DIST(F$1,$D60,$E60,TRUE)-_xlfn.NORM.DIST(F$2,$D60,$E60,TRUE))</f>
        <v/>
      </c>
      <c r="G60">
        <f>IF(NOT(ISNUMBER($D60)),"",_xlfn.NORM.DIST(G$1,$D60,$E60,TRUE)-_xlfn.NORM.DIST(G$2,$D60,$E60,TRUE))</f>
        <v/>
      </c>
      <c r="H60">
        <f>IF(NOT(ISNUMBER($D60)),"",_xlfn.NORM.DIST(H$1,$D60,$E60,TRUE)-_xlfn.NORM.DIST(H$2,$D60,$E60,TRUE))</f>
        <v/>
      </c>
      <c r="I60">
        <f>IF(NOT(ISNUMBER($D60)),"",_xlfn.NORM.DIST(I$1,$D60,$E60,TRUE)-_xlfn.NORM.DIST(I$2,$D60,$E60,TRUE))</f>
        <v/>
      </c>
      <c r="J60">
        <f>IF(NOT(ISNUMBER($D60)),"",_xlfn.NORM.DIST(J$1,$D60,$E60,TRUE)-_xlfn.NORM.DIST(J$2,$D60,$E60,TRUE))</f>
        <v/>
      </c>
      <c r="K60">
        <f>IF(NOT(ISNUMBER($D60)),"",_xlfn.NORM.DIST(K$1,$D60,$E60,TRUE)-_xlfn.NORM.DIST(K$2,$D60,$E60,TRUE))</f>
        <v/>
      </c>
      <c r="L60">
        <f>IF(NOT(ISNUMBER($D60)),"",_xlfn.NORM.DIST(L$1,$D60,$E60,TRUE)-_xlfn.NORM.DIST(L$2,$D60,$E60,TRUE))</f>
        <v/>
      </c>
      <c r="M60">
        <f>IF(NOT(ISNUMBER($D60)),"",_xlfn.NORM.DIST(M$1,$D60,$E60,TRUE)-_xlfn.NORM.DIST(M$2,$D60,$E60,TRUE))</f>
        <v/>
      </c>
      <c r="N60">
        <f>IF(NOT(ISNUMBER($D60)),"",_xlfn.NORM.DIST(N$1,$D60,$E60,TRUE)-_xlfn.NORM.DIST(N$2,$D60,$E60,TRUE))</f>
        <v/>
      </c>
      <c r="O60">
        <f>IF(NOT(ISNUMBER($D60)),"",_xlfn.NORM.DIST(O$1,$D60,$E60,TRUE)-_xlfn.NORM.DIST(O$2,$D60,$E60,TRUE))</f>
        <v/>
      </c>
      <c r="P60">
        <f>IF(NOT(ISNUMBER($D60)),"",_xlfn.NORM.DIST(P$1,$D60,$E60,TRUE)-_xlfn.NORM.DIST(P$2,$D60,$E60,TRUE))</f>
        <v/>
      </c>
      <c r="Q60">
        <f>IF(NOT(ISNUMBER($D60)),"",_xlfn.NORM.DIST(Q$1,$D60,$E60,TRUE)-_xlfn.NORM.DIST(Q$2,$D60,$E60,TRUE))</f>
        <v/>
      </c>
      <c r="R60">
        <f>IF(NOT(ISNUMBER($D60)),"",_xlfn.NORM.DIST(R$1,$D60,$E60,TRUE)-_xlfn.NORM.DIST(R$2,$D60,$E60,TRUE))</f>
        <v/>
      </c>
      <c r="S60">
        <f>IF(NOT(ISNUMBER($D60)),"",_xlfn.NORM.DIST(S$1,$D60,$E60,TRUE)-_xlfn.NORM.DIST(S$2,$D60,$E60,TRUE))</f>
        <v/>
      </c>
      <c r="T60">
        <f>IF(NOT(ISNUMBER($D60)),"",_xlfn.NORM.DIST(T$1,$D60,$E60,TRUE)-_xlfn.NORM.DIST(T$2,$D60,$E60,TRUE))</f>
        <v/>
      </c>
      <c r="U60">
        <f>IF(NOT(ISNUMBER($D60)),"",_xlfn.NORM.DIST(U$1,$D60,$E60,TRUE)-_xlfn.NORM.DIST(U$2,$D60,$E60,TRUE))</f>
        <v/>
      </c>
      <c r="V60">
        <f>IF(NOT(ISNUMBER($D60)),"",_xlfn.NORM.DIST(V$1,$D60,$E60,TRUE)-_xlfn.NORM.DIST(V$2,$D60,$E60,TRUE))</f>
        <v/>
      </c>
      <c r="W60">
        <f>IF(NOT(ISNUMBER($D60)),"",_xlfn.NORM.DIST(W$1,$D60,$E60,TRUE)-_xlfn.NORM.DIST(W$2,$D60,$E60,TRUE))</f>
        <v/>
      </c>
      <c r="X60">
        <f>IF(NOT(ISNUMBER($D60)),"",_xlfn.NORM.DIST(X$1,$D60,$E60,TRUE)-_xlfn.NORM.DIST(X$2,$D60,$E60,TRUE))</f>
        <v/>
      </c>
      <c r="Y60">
        <f>IF(NOT(ISNUMBER($D60)),"",_xlfn.NORM.DIST(Y$1,$D60,$E60,TRUE)-_xlfn.NORM.DIST(Y$2,$D60,$E60,TRUE))</f>
        <v/>
      </c>
      <c r="Z60">
        <f>IF(NOT(ISNUMBER($D60)),"",_xlfn.NORM.DIST(Z$1,$D60,$E60,TRUE)-_xlfn.NORM.DIST(Z$2,$D60,$E60,TRUE))</f>
        <v/>
      </c>
      <c r="AA60">
        <f>IF(NOT(ISNUMBER($D60)),"",_xlfn.NORM.DIST(AA$1,$D60,$E60,TRUE)-_xlfn.NORM.DIST(AA$2,$D60,$E60,TRUE))</f>
        <v/>
      </c>
      <c r="AB60">
        <f>IF(NOT(ISNUMBER($D60)),"",_xlfn.NORM.DIST(AB$1,$D60,$E60,TRUE)-_xlfn.NORM.DIST(AB$2,$D60,$E60,TRUE))</f>
        <v/>
      </c>
      <c r="AC60">
        <f>IF(NOT(ISNUMBER($D60)),"",_xlfn.NORM.DIST(AC$1,$D60,$E60,TRUE)-_xlfn.NORM.DIST(AC$2,$D60,$E60,TRUE))</f>
        <v/>
      </c>
      <c r="AD60">
        <f>IF(NOT(ISNUMBER($D60)),"",_xlfn.NORM.DIST(AD$1,$D60,$E60,TRUE)-_xlfn.NORM.DIST(AD$2,$D60,$E60,TRUE))</f>
        <v/>
      </c>
      <c r="AE60">
        <f>IF(NOT(ISNUMBER($D60)),"",_xlfn.NORM.DIST(AE$1,$D60,$E60,TRUE)-_xlfn.NORM.DIST(AE$2,$D60,$E60,TRUE))</f>
        <v/>
      </c>
      <c r="AF60">
        <f>IF(NOT(ISNUMBER($D60)),"",_xlfn.NORM.DIST(AF$1,$D60,$E60,TRUE)-_xlfn.NORM.DIST(AF$2,$D60,$E60,TRUE))</f>
        <v/>
      </c>
      <c r="AG60">
        <f>IF(NOT(ISNUMBER($D60)),"",_xlfn.NORM.DIST(AG$1,$D60,$E60,TRUE)-_xlfn.NORM.DIST(AG$2,$D60,$E60,TRUE))</f>
        <v/>
      </c>
      <c r="AH60">
        <f>IF(NOT(ISNUMBER($D60)),"",_xlfn.NORM.DIST(AH$1,$D60,$E60,TRUE)-_xlfn.NORM.DIST(AH$2,$D60,$E60,TRUE))</f>
        <v/>
      </c>
      <c r="AI60">
        <f>IF(NOT(ISNUMBER($D60)),"",_xlfn.NORM.DIST(AI$1,$D60,$E60,TRUE)-_xlfn.NORM.DIST(AI$2,$D60,$E60,TRUE))</f>
        <v/>
      </c>
      <c r="AJ60">
        <f>IF(NOT(ISNUMBER($D60)),"",_xlfn.NORM.DIST(AJ$1,$D60,$E60,TRUE)-_xlfn.NORM.DIST(AJ$2,$D60,$E60,TRUE))</f>
        <v/>
      </c>
      <c r="AK60">
        <f>IF(NOT(ISNUMBER($D60)),"",_xlfn.NORM.DIST(AK$1,$D60,$E60,TRUE)-_xlfn.NORM.DIST(AK$2,$D60,$E60,TRUE))</f>
        <v/>
      </c>
      <c r="AL60">
        <f>IF(NOT(ISNUMBER($D60)),"",_xlfn.NORM.DIST(AL$1,$D60,$E60,TRUE)-_xlfn.NORM.DIST(AL$2,$D60,$E60,TRUE))</f>
        <v/>
      </c>
      <c r="AM60">
        <f>IF(NOT(ISNUMBER($D60)),"",_xlfn.NORM.DIST(AM$1,$D60,$E60,TRUE)-_xlfn.NORM.DIST(AM$2,$D60,$E60,TRUE))</f>
        <v/>
      </c>
      <c r="AN60">
        <f>IF(NOT(ISNUMBER($D60)),"",_xlfn.NORM.DIST(AN$1,$D60,$E60,TRUE)-_xlfn.NORM.DIST(AN$2,$D60,$E60,TRUE))</f>
        <v/>
      </c>
      <c r="AO60">
        <f>IF(NOT(ISNUMBER($D60)),"",_xlfn.NORM.DIST(AO$1,$D60,$E60,TRUE)-_xlfn.NORM.DIST(AO$2,$D60,$E60,TRUE))</f>
        <v/>
      </c>
      <c r="AP60">
        <f>IF(NOT(ISNUMBER($D60)),"",_xlfn.NORM.DIST(AP$1,$D60,$E60,TRUE)-_xlfn.NORM.DIST(AP$2,$D60,$E60,TRUE))</f>
        <v/>
      </c>
      <c r="AQ60">
        <f>IF(NOT(ISNUMBER($D60)),"",_xlfn.NORM.DIST(AQ$1,$D60,$E60,TRUE)-_xlfn.NORM.DIST(AQ$2,$D60,$E60,TRUE))</f>
        <v/>
      </c>
      <c r="AR60">
        <f>IF(NOT(ISNUMBER($D60)),"",_xlfn.NORM.DIST(AR$1,$D60,$E60,TRUE)-_xlfn.NORM.DIST(AR$2,$D60,$E60,TRUE))</f>
        <v/>
      </c>
      <c r="AS60">
        <f>IF(NOT(ISNUMBER($D60)),"",_xlfn.NORM.DIST(AS$1,$D60,$E60,TRUE)-_xlfn.NORM.DIST(AS$2,$D60,$E60,TRUE))</f>
        <v/>
      </c>
      <c r="AT60">
        <f>IF(NOT(ISNUMBER($D60)),"",_xlfn.NORM.DIST(AT$1,$D60,$E60,TRUE)-_xlfn.NORM.DIST(AT$2,$D60,$E60,TRUE))</f>
        <v/>
      </c>
      <c r="AU60">
        <f>IF(NOT(ISNUMBER($D60)),"",_xlfn.NORM.DIST(AU$1,$D60,$E60,TRUE)-_xlfn.NORM.DIST(AU$2,$D60,$E60,TRUE))</f>
        <v/>
      </c>
      <c r="AV60">
        <f>IF(NOT(ISNUMBER($D60)),"",_xlfn.NORM.DIST(AV$1,$D60,$E60,TRUE)-_xlfn.NORM.DIST(AV$2,$D60,$E60,TRUE))</f>
        <v/>
      </c>
      <c r="AW60">
        <f>IF(NOT(ISNUMBER($D60)),"",_xlfn.NORM.DIST(AW$1,$D60,$E60,TRUE)-_xlfn.NORM.DIST(AW$2,$D60,$E60,TRUE))</f>
        <v/>
      </c>
      <c r="AX60">
        <f>IF(NOT(ISNUMBER($D60)),"",_xlfn.NORM.DIST(AX$1,$D60,$E60,TRUE)-_xlfn.NORM.DIST(AX$2,$D60,$E60,TRUE))</f>
        <v/>
      </c>
      <c r="AY60">
        <f>IF(NOT(ISNUMBER($D60)),"",_xlfn.NORM.DIST(AY$1,$D60,$E60,TRUE)-_xlfn.NORM.DIST(AY$2,$D60,$E60,TRUE))</f>
        <v/>
      </c>
      <c r="AZ60">
        <f>IF(NOT(ISNUMBER($D60)),"",_xlfn.NORM.DIST(AZ$1,$D60,$E60,TRUE)-_xlfn.NORM.DIST(AZ$2,$D60,$E60,TRUE))</f>
        <v/>
      </c>
      <c r="BA60">
        <f>IF(NOT(ISNUMBER($D60)),"",_xlfn.NORM.DIST(BA$1,$D60,$E60,TRUE)-_xlfn.NORM.DIST(BA$2,$D60,$E60,TRUE))</f>
        <v/>
      </c>
      <c r="BB60">
        <f>IF(NOT(ISNUMBER($D60)),"",_xlfn.NORM.DIST(BB$1,$D60,$E60,TRUE)-_xlfn.NORM.DIST(BB$2,$D60,$E60,TRUE))</f>
        <v/>
      </c>
      <c r="BC60">
        <f>IF(NOT(ISNUMBER($D60)),"",_xlfn.NORM.DIST(BC$1,$D60,$E60,TRUE)-_xlfn.NORM.DIST(BC$2,$D60,$E60,TRUE))</f>
        <v/>
      </c>
      <c r="BD60">
        <f>IF(NOT(ISNUMBER($D60)),"",_xlfn.NORM.DIST(BD$1,$D60,$E60,TRUE)-_xlfn.NORM.DIST(BD$2,$D60,$E60,TRUE))</f>
        <v/>
      </c>
      <c r="BE60">
        <f>IF(NOT(ISNUMBER($D60)),"",_xlfn.NORM.DIST(BE$1,$D60,$E60,TRUE)-_xlfn.NORM.DIST(BE$2,$D60,$E60,TRUE))</f>
        <v/>
      </c>
      <c r="BF60">
        <f>IF(NOT(ISNUMBER($D60)),"",_xlfn.NORM.DIST(BF$1,$D60,$E60,TRUE)-_xlfn.NORM.DIST(BF$2,$D60,$E60,TRUE))</f>
        <v/>
      </c>
      <c r="BG60">
        <f>IF(NOT(ISNUMBER($D60)),"",_xlfn.NORM.DIST(BG$1,$D60,$E60,TRUE)-_xlfn.NORM.DIST(BG$2,$D60,$E60,TRUE))</f>
        <v/>
      </c>
      <c r="BH60">
        <f>IF(NOT(ISNUMBER($D60)),"",_xlfn.NORM.DIST(BH$1,$D60,$E60,TRUE)-_xlfn.NORM.DIST(BH$2,$D60,$E60,TRUE))</f>
        <v/>
      </c>
      <c r="BI60">
        <f>IF(NOT(ISNUMBER($D60)),"",_xlfn.NORM.DIST(BI$1,$D60,$E60,TRUE)-_xlfn.NORM.DIST(BI$2,$D60,$E60,TRUE))</f>
        <v/>
      </c>
      <c r="BJ60">
        <f>IF(NOT(ISNUMBER($D60)),"",_xlfn.NORM.DIST(BJ$1,$D60,$E60,TRUE)-_xlfn.NORM.DIST(BJ$2,$D60,$E60,TRUE))</f>
        <v/>
      </c>
      <c r="BK60">
        <f>IF(NOT(ISNUMBER($D60)),"",_xlfn.NORM.DIST(BK$1,$D60,$E60,TRUE)-_xlfn.NORM.DIST(BK$2,$D60,$E60,TRUE))</f>
        <v/>
      </c>
      <c r="BL60">
        <f>IF(NOT(ISNUMBER($D60)),"",_xlfn.NORM.DIST(BL$1,$D60,$E60,TRUE)-_xlfn.NORM.DIST(BL$2,$D60,$E60,TRUE))</f>
        <v/>
      </c>
      <c r="BM60">
        <f>IF(NOT(ISNUMBER($D60)),"",_xlfn.NORM.DIST(BM$1,$D60,$E60,TRUE)-_xlfn.NORM.DIST(BM$2,$D60,$E60,TRUE))</f>
        <v/>
      </c>
      <c r="BN60">
        <f>IF(NOT(ISNUMBER($D60)),"",_xlfn.NORM.DIST(BN$1,$D60,$E60,TRUE)-_xlfn.NORM.DIST(BN$2,$D60,$E60,TRUE))</f>
        <v/>
      </c>
      <c r="BO60">
        <f>IF(NOT(ISNUMBER($D60)),"",_xlfn.NORM.DIST(BO$1,$D60,$E60,TRUE)-_xlfn.NORM.DIST(BO$2,$D60,$E60,TRUE))</f>
        <v/>
      </c>
      <c r="BP60">
        <f>IF(NOT(ISNUMBER($D60)),"",_xlfn.NORM.DIST(BP$1,$D60,$E60,TRUE)-_xlfn.NORM.DIST(BP$2,$D60,$E60,TRUE))</f>
        <v/>
      </c>
      <c r="BQ60">
        <f>IF(NOT(ISNUMBER($D60)),"",_xlfn.NORM.DIST(BQ$1,$D60,$E60,TRUE)-_xlfn.NORM.DIST(BQ$2,$D60,$E60,TRUE))</f>
        <v/>
      </c>
      <c r="BR60">
        <f>IF(NOT(ISNUMBER($D60)),"",_xlfn.NORM.DIST(BR$1,$D60,$E60,TRUE)-_xlfn.NORM.DIST(BR$2,$D60,$E60,TRUE))</f>
        <v/>
      </c>
      <c r="BS60">
        <f>IF(NOT(ISNUMBER($D60)),"",_xlfn.NORM.DIST(BS$1,$D60,$E60,TRUE)-_xlfn.NORM.DIST(BS$2,$D60,$E60,TRUE))</f>
        <v/>
      </c>
      <c r="BT60">
        <f>IF(NOT(ISNUMBER($D60)),"",_xlfn.NORM.DIST(BT$1,$D60,$E60,TRUE)-_xlfn.NORM.DIST(BT$2,$D60,$E60,TRUE))</f>
        <v/>
      </c>
      <c r="BU60">
        <f>IF(NOT(ISNUMBER($D60)),"",_xlfn.NORM.DIST(BU$1,$D60,$E60,TRUE)-_xlfn.NORM.DIST(BU$2,$D60,$E60,TRUE))</f>
        <v/>
      </c>
      <c r="BV60">
        <f>IF(NOT(ISNUMBER($D60)),"",_xlfn.NORM.DIST(BV$1,$D60,$E60,TRUE)-_xlfn.NORM.DIST(BV$2,$D60,$E60,TRUE))</f>
        <v/>
      </c>
      <c r="BW60">
        <f>IF(NOT(ISNUMBER($D60)),"",_xlfn.NORM.DIST(BW$1,$D60,$E60,TRUE)-_xlfn.NORM.DIST(BW$2,$D60,$E60,TRUE))</f>
        <v/>
      </c>
      <c r="BX60">
        <f>IF(NOT(ISNUMBER($D60)),"",_xlfn.NORM.DIST(BX$1,$D60,$E60,TRUE)-_xlfn.NORM.DIST(BX$2,$D60,$E60,TRUE))</f>
        <v/>
      </c>
      <c r="BY60">
        <f>IF(NOT(ISNUMBER($D60)),"",_xlfn.NORM.DIST(BY$1,$D60,$E60,TRUE)-_xlfn.NORM.DIST(BY$2,$D60,$E60,TRUE))</f>
        <v/>
      </c>
      <c r="BZ60">
        <f>IF(NOT(ISNUMBER($D60)),"",_xlfn.NORM.DIST(BZ$1,$D60,$E60,TRUE)-_xlfn.NORM.DIST(BZ$2,$D60,$E60,TRUE))</f>
        <v/>
      </c>
      <c r="CA60">
        <f>IF(NOT(ISNUMBER($D60)),"",_xlfn.NORM.DIST(CA$1,$D60,$E60,TRUE)-_xlfn.NORM.DIST(CA$2,$D60,$E60,TRUE))</f>
        <v/>
      </c>
      <c r="CB60">
        <f>IF(NOT(ISNUMBER($D60)),"",_xlfn.NORM.DIST(CB$1,$D60,$E60,TRUE)-_xlfn.NORM.DIST(CB$2,$D60,$E60,TRUE))</f>
        <v/>
      </c>
      <c r="CC60">
        <f>IF(NOT(ISNUMBER($D60)),"",_xlfn.NORM.DIST(CC$1,$D60,$E60,TRUE)-_xlfn.NORM.DIST(CC$2,$D60,$E60,TRUE))</f>
        <v/>
      </c>
      <c r="CD60">
        <f>IF(NOT(ISNUMBER($D60)),"",_xlfn.NORM.DIST(CD$1,$D60,$E60,TRUE)-_xlfn.NORM.DIST(CD$2,$D60,$E60,TRUE))</f>
        <v/>
      </c>
      <c r="CE60">
        <f>IF(NOT(ISNUMBER($D60)),"",_xlfn.NORM.DIST(CE$1,$D60,$E60,TRUE)-_xlfn.NORM.DIST(CE$2,$D60,$E60,TRUE))</f>
        <v/>
      </c>
      <c r="CF60">
        <f>IF(NOT(ISNUMBER($D60)),"",_xlfn.NORM.DIST(CF$1,$D60,$E60,TRUE)-_xlfn.NORM.DIST(CF$2,$D60,$E60,TRUE))</f>
        <v/>
      </c>
      <c r="CG60">
        <f>IF(NOT(ISNUMBER($D60)),"",_xlfn.NORM.DIST(CG$1,$D60,$E60,TRUE)-_xlfn.NORM.DIST(CG$2,$D60,$E60,TRUE))</f>
        <v/>
      </c>
      <c r="CH60">
        <f>IF(NOT(ISNUMBER($D60)),"",_xlfn.NORM.DIST(CH$1,$D60,$E60,TRUE)-_xlfn.NORM.DIST(CH$2,$D60,$E60,TRUE))</f>
        <v/>
      </c>
      <c r="CI60">
        <f>IF(NOT(ISNUMBER($D60)),"",_xlfn.NORM.DIST(CI$1,$D60,$E60,TRUE)-_xlfn.NORM.DIST(CI$2,$D60,$E60,TRUE))</f>
        <v/>
      </c>
      <c r="CJ60">
        <f>IF(ISNUMBER($D60),SUM(F60:CI60),"")</f>
        <v/>
      </c>
    </row>
    <row r="61">
      <c r="A61">
        <f>economics!A60</f>
        <v/>
      </c>
      <c r="B61">
        <f>economics!B60</f>
        <v/>
      </c>
      <c r="C61">
        <f>economics!D60</f>
        <v/>
      </c>
      <c r="D61">
        <f>IF(ISNUMBER(economics!T60),economics!T60,"na")</f>
        <v/>
      </c>
      <c r="E61">
        <f>IF(ISNUMBER(D61),MAX(0.3*ABS(D61),0.000001),"na")</f>
        <v/>
      </c>
      <c r="F61">
        <f>IF(NOT(ISNUMBER($D61)),"",_xlfn.NORM.DIST(F$1,$D61,$E61,TRUE)-_xlfn.NORM.DIST(F$2,$D61,$E61,TRUE))</f>
        <v/>
      </c>
      <c r="G61">
        <f>IF(NOT(ISNUMBER($D61)),"",_xlfn.NORM.DIST(G$1,$D61,$E61,TRUE)-_xlfn.NORM.DIST(G$2,$D61,$E61,TRUE))</f>
        <v/>
      </c>
      <c r="H61">
        <f>IF(NOT(ISNUMBER($D61)),"",_xlfn.NORM.DIST(H$1,$D61,$E61,TRUE)-_xlfn.NORM.DIST(H$2,$D61,$E61,TRUE))</f>
        <v/>
      </c>
      <c r="I61">
        <f>IF(NOT(ISNUMBER($D61)),"",_xlfn.NORM.DIST(I$1,$D61,$E61,TRUE)-_xlfn.NORM.DIST(I$2,$D61,$E61,TRUE))</f>
        <v/>
      </c>
      <c r="J61">
        <f>IF(NOT(ISNUMBER($D61)),"",_xlfn.NORM.DIST(J$1,$D61,$E61,TRUE)-_xlfn.NORM.DIST(J$2,$D61,$E61,TRUE))</f>
        <v/>
      </c>
      <c r="K61">
        <f>IF(NOT(ISNUMBER($D61)),"",_xlfn.NORM.DIST(K$1,$D61,$E61,TRUE)-_xlfn.NORM.DIST(K$2,$D61,$E61,TRUE))</f>
        <v/>
      </c>
      <c r="L61">
        <f>IF(NOT(ISNUMBER($D61)),"",_xlfn.NORM.DIST(L$1,$D61,$E61,TRUE)-_xlfn.NORM.DIST(L$2,$D61,$E61,TRUE))</f>
        <v/>
      </c>
      <c r="M61">
        <f>IF(NOT(ISNUMBER($D61)),"",_xlfn.NORM.DIST(M$1,$D61,$E61,TRUE)-_xlfn.NORM.DIST(M$2,$D61,$E61,TRUE))</f>
        <v/>
      </c>
      <c r="N61">
        <f>IF(NOT(ISNUMBER($D61)),"",_xlfn.NORM.DIST(N$1,$D61,$E61,TRUE)-_xlfn.NORM.DIST(N$2,$D61,$E61,TRUE))</f>
        <v/>
      </c>
      <c r="O61">
        <f>IF(NOT(ISNUMBER($D61)),"",_xlfn.NORM.DIST(O$1,$D61,$E61,TRUE)-_xlfn.NORM.DIST(O$2,$D61,$E61,TRUE))</f>
        <v/>
      </c>
      <c r="P61">
        <f>IF(NOT(ISNUMBER($D61)),"",_xlfn.NORM.DIST(P$1,$D61,$E61,TRUE)-_xlfn.NORM.DIST(P$2,$D61,$E61,TRUE))</f>
        <v/>
      </c>
      <c r="Q61">
        <f>IF(NOT(ISNUMBER($D61)),"",_xlfn.NORM.DIST(Q$1,$D61,$E61,TRUE)-_xlfn.NORM.DIST(Q$2,$D61,$E61,TRUE))</f>
        <v/>
      </c>
      <c r="R61">
        <f>IF(NOT(ISNUMBER($D61)),"",_xlfn.NORM.DIST(R$1,$D61,$E61,TRUE)-_xlfn.NORM.DIST(R$2,$D61,$E61,TRUE))</f>
        <v/>
      </c>
      <c r="S61">
        <f>IF(NOT(ISNUMBER($D61)),"",_xlfn.NORM.DIST(S$1,$D61,$E61,TRUE)-_xlfn.NORM.DIST(S$2,$D61,$E61,TRUE))</f>
        <v/>
      </c>
      <c r="T61">
        <f>IF(NOT(ISNUMBER($D61)),"",_xlfn.NORM.DIST(T$1,$D61,$E61,TRUE)-_xlfn.NORM.DIST(T$2,$D61,$E61,TRUE))</f>
        <v/>
      </c>
      <c r="U61">
        <f>IF(NOT(ISNUMBER($D61)),"",_xlfn.NORM.DIST(U$1,$D61,$E61,TRUE)-_xlfn.NORM.DIST(U$2,$D61,$E61,TRUE))</f>
        <v/>
      </c>
      <c r="V61">
        <f>IF(NOT(ISNUMBER($D61)),"",_xlfn.NORM.DIST(V$1,$D61,$E61,TRUE)-_xlfn.NORM.DIST(V$2,$D61,$E61,TRUE))</f>
        <v/>
      </c>
      <c r="W61">
        <f>IF(NOT(ISNUMBER($D61)),"",_xlfn.NORM.DIST(W$1,$D61,$E61,TRUE)-_xlfn.NORM.DIST(W$2,$D61,$E61,TRUE))</f>
        <v/>
      </c>
      <c r="X61">
        <f>IF(NOT(ISNUMBER($D61)),"",_xlfn.NORM.DIST(X$1,$D61,$E61,TRUE)-_xlfn.NORM.DIST(X$2,$D61,$E61,TRUE))</f>
        <v/>
      </c>
      <c r="Y61">
        <f>IF(NOT(ISNUMBER($D61)),"",_xlfn.NORM.DIST(Y$1,$D61,$E61,TRUE)-_xlfn.NORM.DIST(Y$2,$D61,$E61,TRUE))</f>
        <v/>
      </c>
      <c r="Z61">
        <f>IF(NOT(ISNUMBER($D61)),"",_xlfn.NORM.DIST(Z$1,$D61,$E61,TRUE)-_xlfn.NORM.DIST(Z$2,$D61,$E61,TRUE))</f>
        <v/>
      </c>
      <c r="AA61">
        <f>IF(NOT(ISNUMBER($D61)),"",_xlfn.NORM.DIST(AA$1,$D61,$E61,TRUE)-_xlfn.NORM.DIST(AA$2,$D61,$E61,TRUE))</f>
        <v/>
      </c>
      <c r="AB61">
        <f>IF(NOT(ISNUMBER($D61)),"",_xlfn.NORM.DIST(AB$1,$D61,$E61,TRUE)-_xlfn.NORM.DIST(AB$2,$D61,$E61,TRUE))</f>
        <v/>
      </c>
      <c r="AC61">
        <f>IF(NOT(ISNUMBER($D61)),"",_xlfn.NORM.DIST(AC$1,$D61,$E61,TRUE)-_xlfn.NORM.DIST(AC$2,$D61,$E61,TRUE))</f>
        <v/>
      </c>
      <c r="AD61">
        <f>IF(NOT(ISNUMBER($D61)),"",_xlfn.NORM.DIST(AD$1,$D61,$E61,TRUE)-_xlfn.NORM.DIST(AD$2,$D61,$E61,TRUE))</f>
        <v/>
      </c>
      <c r="AE61">
        <f>IF(NOT(ISNUMBER($D61)),"",_xlfn.NORM.DIST(AE$1,$D61,$E61,TRUE)-_xlfn.NORM.DIST(AE$2,$D61,$E61,TRUE))</f>
        <v/>
      </c>
      <c r="AF61">
        <f>IF(NOT(ISNUMBER($D61)),"",_xlfn.NORM.DIST(AF$1,$D61,$E61,TRUE)-_xlfn.NORM.DIST(AF$2,$D61,$E61,TRUE))</f>
        <v/>
      </c>
      <c r="AG61">
        <f>IF(NOT(ISNUMBER($D61)),"",_xlfn.NORM.DIST(AG$1,$D61,$E61,TRUE)-_xlfn.NORM.DIST(AG$2,$D61,$E61,TRUE))</f>
        <v/>
      </c>
      <c r="AH61">
        <f>IF(NOT(ISNUMBER($D61)),"",_xlfn.NORM.DIST(AH$1,$D61,$E61,TRUE)-_xlfn.NORM.DIST(AH$2,$D61,$E61,TRUE))</f>
        <v/>
      </c>
      <c r="AI61">
        <f>IF(NOT(ISNUMBER($D61)),"",_xlfn.NORM.DIST(AI$1,$D61,$E61,TRUE)-_xlfn.NORM.DIST(AI$2,$D61,$E61,TRUE))</f>
        <v/>
      </c>
      <c r="AJ61">
        <f>IF(NOT(ISNUMBER($D61)),"",_xlfn.NORM.DIST(AJ$1,$D61,$E61,TRUE)-_xlfn.NORM.DIST(AJ$2,$D61,$E61,TRUE))</f>
        <v/>
      </c>
      <c r="AK61">
        <f>IF(NOT(ISNUMBER($D61)),"",_xlfn.NORM.DIST(AK$1,$D61,$E61,TRUE)-_xlfn.NORM.DIST(AK$2,$D61,$E61,TRUE))</f>
        <v/>
      </c>
      <c r="AL61">
        <f>IF(NOT(ISNUMBER($D61)),"",_xlfn.NORM.DIST(AL$1,$D61,$E61,TRUE)-_xlfn.NORM.DIST(AL$2,$D61,$E61,TRUE))</f>
        <v/>
      </c>
      <c r="AM61">
        <f>IF(NOT(ISNUMBER($D61)),"",_xlfn.NORM.DIST(AM$1,$D61,$E61,TRUE)-_xlfn.NORM.DIST(AM$2,$D61,$E61,TRUE))</f>
        <v/>
      </c>
      <c r="AN61">
        <f>IF(NOT(ISNUMBER($D61)),"",_xlfn.NORM.DIST(AN$1,$D61,$E61,TRUE)-_xlfn.NORM.DIST(AN$2,$D61,$E61,TRUE))</f>
        <v/>
      </c>
      <c r="AO61">
        <f>IF(NOT(ISNUMBER($D61)),"",_xlfn.NORM.DIST(AO$1,$D61,$E61,TRUE)-_xlfn.NORM.DIST(AO$2,$D61,$E61,TRUE))</f>
        <v/>
      </c>
      <c r="AP61">
        <f>IF(NOT(ISNUMBER($D61)),"",_xlfn.NORM.DIST(AP$1,$D61,$E61,TRUE)-_xlfn.NORM.DIST(AP$2,$D61,$E61,TRUE))</f>
        <v/>
      </c>
      <c r="AQ61">
        <f>IF(NOT(ISNUMBER($D61)),"",_xlfn.NORM.DIST(AQ$1,$D61,$E61,TRUE)-_xlfn.NORM.DIST(AQ$2,$D61,$E61,TRUE))</f>
        <v/>
      </c>
      <c r="AR61">
        <f>IF(NOT(ISNUMBER($D61)),"",_xlfn.NORM.DIST(AR$1,$D61,$E61,TRUE)-_xlfn.NORM.DIST(AR$2,$D61,$E61,TRUE))</f>
        <v/>
      </c>
      <c r="AS61">
        <f>IF(NOT(ISNUMBER($D61)),"",_xlfn.NORM.DIST(AS$1,$D61,$E61,TRUE)-_xlfn.NORM.DIST(AS$2,$D61,$E61,TRUE))</f>
        <v/>
      </c>
      <c r="AT61">
        <f>IF(NOT(ISNUMBER($D61)),"",_xlfn.NORM.DIST(AT$1,$D61,$E61,TRUE)-_xlfn.NORM.DIST(AT$2,$D61,$E61,TRUE))</f>
        <v/>
      </c>
      <c r="AU61">
        <f>IF(NOT(ISNUMBER($D61)),"",_xlfn.NORM.DIST(AU$1,$D61,$E61,TRUE)-_xlfn.NORM.DIST(AU$2,$D61,$E61,TRUE))</f>
        <v/>
      </c>
      <c r="AV61">
        <f>IF(NOT(ISNUMBER($D61)),"",_xlfn.NORM.DIST(AV$1,$D61,$E61,TRUE)-_xlfn.NORM.DIST(AV$2,$D61,$E61,TRUE))</f>
        <v/>
      </c>
      <c r="AW61">
        <f>IF(NOT(ISNUMBER($D61)),"",_xlfn.NORM.DIST(AW$1,$D61,$E61,TRUE)-_xlfn.NORM.DIST(AW$2,$D61,$E61,TRUE))</f>
        <v/>
      </c>
      <c r="AX61">
        <f>IF(NOT(ISNUMBER($D61)),"",_xlfn.NORM.DIST(AX$1,$D61,$E61,TRUE)-_xlfn.NORM.DIST(AX$2,$D61,$E61,TRUE))</f>
        <v/>
      </c>
      <c r="AY61">
        <f>IF(NOT(ISNUMBER($D61)),"",_xlfn.NORM.DIST(AY$1,$D61,$E61,TRUE)-_xlfn.NORM.DIST(AY$2,$D61,$E61,TRUE))</f>
        <v/>
      </c>
      <c r="AZ61">
        <f>IF(NOT(ISNUMBER($D61)),"",_xlfn.NORM.DIST(AZ$1,$D61,$E61,TRUE)-_xlfn.NORM.DIST(AZ$2,$D61,$E61,TRUE))</f>
        <v/>
      </c>
      <c r="BA61">
        <f>IF(NOT(ISNUMBER($D61)),"",_xlfn.NORM.DIST(BA$1,$D61,$E61,TRUE)-_xlfn.NORM.DIST(BA$2,$D61,$E61,TRUE))</f>
        <v/>
      </c>
      <c r="BB61">
        <f>IF(NOT(ISNUMBER($D61)),"",_xlfn.NORM.DIST(BB$1,$D61,$E61,TRUE)-_xlfn.NORM.DIST(BB$2,$D61,$E61,TRUE))</f>
        <v/>
      </c>
      <c r="BC61">
        <f>IF(NOT(ISNUMBER($D61)),"",_xlfn.NORM.DIST(BC$1,$D61,$E61,TRUE)-_xlfn.NORM.DIST(BC$2,$D61,$E61,TRUE))</f>
        <v/>
      </c>
      <c r="BD61">
        <f>IF(NOT(ISNUMBER($D61)),"",_xlfn.NORM.DIST(BD$1,$D61,$E61,TRUE)-_xlfn.NORM.DIST(BD$2,$D61,$E61,TRUE))</f>
        <v/>
      </c>
      <c r="BE61">
        <f>IF(NOT(ISNUMBER($D61)),"",_xlfn.NORM.DIST(BE$1,$D61,$E61,TRUE)-_xlfn.NORM.DIST(BE$2,$D61,$E61,TRUE))</f>
        <v/>
      </c>
      <c r="BF61">
        <f>IF(NOT(ISNUMBER($D61)),"",_xlfn.NORM.DIST(BF$1,$D61,$E61,TRUE)-_xlfn.NORM.DIST(BF$2,$D61,$E61,TRUE))</f>
        <v/>
      </c>
      <c r="BG61">
        <f>IF(NOT(ISNUMBER($D61)),"",_xlfn.NORM.DIST(BG$1,$D61,$E61,TRUE)-_xlfn.NORM.DIST(BG$2,$D61,$E61,TRUE))</f>
        <v/>
      </c>
      <c r="BH61">
        <f>IF(NOT(ISNUMBER($D61)),"",_xlfn.NORM.DIST(BH$1,$D61,$E61,TRUE)-_xlfn.NORM.DIST(BH$2,$D61,$E61,TRUE))</f>
        <v/>
      </c>
      <c r="BI61">
        <f>IF(NOT(ISNUMBER($D61)),"",_xlfn.NORM.DIST(BI$1,$D61,$E61,TRUE)-_xlfn.NORM.DIST(BI$2,$D61,$E61,TRUE))</f>
        <v/>
      </c>
      <c r="BJ61">
        <f>IF(NOT(ISNUMBER($D61)),"",_xlfn.NORM.DIST(BJ$1,$D61,$E61,TRUE)-_xlfn.NORM.DIST(BJ$2,$D61,$E61,TRUE))</f>
        <v/>
      </c>
      <c r="BK61">
        <f>IF(NOT(ISNUMBER($D61)),"",_xlfn.NORM.DIST(BK$1,$D61,$E61,TRUE)-_xlfn.NORM.DIST(BK$2,$D61,$E61,TRUE))</f>
        <v/>
      </c>
      <c r="BL61">
        <f>IF(NOT(ISNUMBER($D61)),"",_xlfn.NORM.DIST(BL$1,$D61,$E61,TRUE)-_xlfn.NORM.DIST(BL$2,$D61,$E61,TRUE))</f>
        <v/>
      </c>
      <c r="BM61">
        <f>IF(NOT(ISNUMBER($D61)),"",_xlfn.NORM.DIST(BM$1,$D61,$E61,TRUE)-_xlfn.NORM.DIST(BM$2,$D61,$E61,TRUE))</f>
        <v/>
      </c>
      <c r="BN61">
        <f>IF(NOT(ISNUMBER($D61)),"",_xlfn.NORM.DIST(BN$1,$D61,$E61,TRUE)-_xlfn.NORM.DIST(BN$2,$D61,$E61,TRUE))</f>
        <v/>
      </c>
      <c r="BO61">
        <f>IF(NOT(ISNUMBER($D61)),"",_xlfn.NORM.DIST(BO$1,$D61,$E61,TRUE)-_xlfn.NORM.DIST(BO$2,$D61,$E61,TRUE))</f>
        <v/>
      </c>
      <c r="BP61">
        <f>IF(NOT(ISNUMBER($D61)),"",_xlfn.NORM.DIST(BP$1,$D61,$E61,TRUE)-_xlfn.NORM.DIST(BP$2,$D61,$E61,TRUE))</f>
        <v/>
      </c>
      <c r="BQ61">
        <f>IF(NOT(ISNUMBER($D61)),"",_xlfn.NORM.DIST(BQ$1,$D61,$E61,TRUE)-_xlfn.NORM.DIST(BQ$2,$D61,$E61,TRUE))</f>
        <v/>
      </c>
      <c r="BR61">
        <f>IF(NOT(ISNUMBER($D61)),"",_xlfn.NORM.DIST(BR$1,$D61,$E61,TRUE)-_xlfn.NORM.DIST(BR$2,$D61,$E61,TRUE))</f>
        <v/>
      </c>
      <c r="BS61">
        <f>IF(NOT(ISNUMBER($D61)),"",_xlfn.NORM.DIST(BS$1,$D61,$E61,TRUE)-_xlfn.NORM.DIST(BS$2,$D61,$E61,TRUE))</f>
        <v/>
      </c>
      <c r="BT61">
        <f>IF(NOT(ISNUMBER($D61)),"",_xlfn.NORM.DIST(BT$1,$D61,$E61,TRUE)-_xlfn.NORM.DIST(BT$2,$D61,$E61,TRUE))</f>
        <v/>
      </c>
      <c r="BU61">
        <f>IF(NOT(ISNUMBER($D61)),"",_xlfn.NORM.DIST(BU$1,$D61,$E61,TRUE)-_xlfn.NORM.DIST(BU$2,$D61,$E61,TRUE))</f>
        <v/>
      </c>
      <c r="BV61">
        <f>IF(NOT(ISNUMBER($D61)),"",_xlfn.NORM.DIST(BV$1,$D61,$E61,TRUE)-_xlfn.NORM.DIST(BV$2,$D61,$E61,TRUE))</f>
        <v/>
      </c>
      <c r="BW61">
        <f>IF(NOT(ISNUMBER($D61)),"",_xlfn.NORM.DIST(BW$1,$D61,$E61,TRUE)-_xlfn.NORM.DIST(BW$2,$D61,$E61,TRUE))</f>
        <v/>
      </c>
      <c r="BX61">
        <f>IF(NOT(ISNUMBER($D61)),"",_xlfn.NORM.DIST(BX$1,$D61,$E61,TRUE)-_xlfn.NORM.DIST(BX$2,$D61,$E61,TRUE))</f>
        <v/>
      </c>
      <c r="BY61">
        <f>IF(NOT(ISNUMBER($D61)),"",_xlfn.NORM.DIST(BY$1,$D61,$E61,TRUE)-_xlfn.NORM.DIST(BY$2,$D61,$E61,TRUE))</f>
        <v/>
      </c>
      <c r="BZ61">
        <f>IF(NOT(ISNUMBER($D61)),"",_xlfn.NORM.DIST(BZ$1,$D61,$E61,TRUE)-_xlfn.NORM.DIST(BZ$2,$D61,$E61,TRUE))</f>
        <v/>
      </c>
      <c r="CA61">
        <f>IF(NOT(ISNUMBER($D61)),"",_xlfn.NORM.DIST(CA$1,$D61,$E61,TRUE)-_xlfn.NORM.DIST(CA$2,$D61,$E61,TRUE))</f>
        <v/>
      </c>
      <c r="CB61">
        <f>IF(NOT(ISNUMBER($D61)),"",_xlfn.NORM.DIST(CB$1,$D61,$E61,TRUE)-_xlfn.NORM.DIST(CB$2,$D61,$E61,TRUE))</f>
        <v/>
      </c>
      <c r="CC61">
        <f>IF(NOT(ISNUMBER($D61)),"",_xlfn.NORM.DIST(CC$1,$D61,$E61,TRUE)-_xlfn.NORM.DIST(CC$2,$D61,$E61,TRUE))</f>
        <v/>
      </c>
      <c r="CD61">
        <f>IF(NOT(ISNUMBER($D61)),"",_xlfn.NORM.DIST(CD$1,$D61,$E61,TRUE)-_xlfn.NORM.DIST(CD$2,$D61,$E61,TRUE))</f>
        <v/>
      </c>
      <c r="CE61">
        <f>IF(NOT(ISNUMBER($D61)),"",_xlfn.NORM.DIST(CE$1,$D61,$E61,TRUE)-_xlfn.NORM.DIST(CE$2,$D61,$E61,TRUE))</f>
        <v/>
      </c>
      <c r="CF61">
        <f>IF(NOT(ISNUMBER($D61)),"",_xlfn.NORM.DIST(CF$1,$D61,$E61,TRUE)-_xlfn.NORM.DIST(CF$2,$D61,$E61,TRUE))</f>
        <v/>
      </c>
      <c r="CG61">
        <f>IF(NOT(ISNUMBER($D61)),"",_xlfn.NORM.DIST(CG$1,$D61,$E61,TRUE)-_xlfn.NORM.DIST(CG$2,$D61,$E61,TRUE))</f>
        <v/>
      </c>
      <c r="CH61">
        <f>IF(NOT(ISNUMBER($D61)),"",_xlfn.NORM.DIST(CH$1,$D61,$E61,TRUE)-_xlfn.NORM.DIST(CH$2,$D61,$E61,TRUE))</f>
        <v/>
      </c>
      <c r="CI61">
        <f>IF(NOT(ISNUMBER($D61)),"",_xlfn.NORM.DIST(CI$1,$D61,$E61,TRUE)-_xlfn.NORM.DIST(CI$2,$D61,$E61,TRUE))</f>
        <v/>
      </c>
      <c r="CJ61">
        <f>IF(ISNUMBER($D61),SUM(F61:CI61),"")</f>
        <v/>
      </c>
    </row>
    <row r="62">
      <c r="A62">
        <f>economics!A61</f>
        <v/>
      </c>
      <c r="B62">
        <f>economics!B61</f>
        <v/>
      </c>
      <c r="C62">
        <f>economics!D61</f>
        <v/>
      </c>
      <c r="D62">
        <f>IF(ISNUMBER(economics!T61),economics!T61,"na")</f>
        <v/>
      </c>
      <c r="E62">
        <f>IF(ISNUMBER(D62),MAX(0.3*ABS(D62),0.000001),"na")</f>
        <v/>
      </c>
      <c r="F62">
        <f>IF(NOT(ISNUMBER($D62)),"",_xlfn.NORM.DIST(F$1,$D62,$E62,TRUE)-_xlfn.NORM.DIST(F$2,$D62,$E62,TRUE))</f>
        <v/>
      </c>
      <c r="G62">
        <f>IF(NOT(ISNUMBER($D62)),"",_xlfn.NORM.DIST(G$1,$D62,$E62,TRUE)-_xlfn.NORM.DIST(G$2,$D62,$E62,TRUE))</f>
        <v/>
      </c>
      <c r="H62">
        <f>IF(NOT(ISNUMBER($D62)),"",_xlfn.NORM.DIST(H$1,$D62,$E62,TRUE)-_xlfn.NORM.DIST(H$2,$D62,$E62,TRUE))</f>
        <v/>
      </c>
      <c r="I62">
        <f>IF(NOT(ISNUMBER($D62)),"",_xlfn.NORM.DIST(I$1,$D62,$E62,TRUE)-_xlfn.NORM.DIST(I$2,$D62,$E62,TRUE))</f>
        <v/>
      </c>
      <c r="J62">
        <f>IF(NOT(ISNUMBER($D62)),"",_xlfn.NORM.DIST(J$1,$D62,$E62,TRUE)-_xlfn.NORM.DIST(J$2,$D62,$E62,TRUE))</f>
        <v/>
      </c>
      <c r="K62">
        <f>IF(NOT(ISNUMBER($D62)),"",_xlfn.NORM.DIST(K$1,$D62,$E62,TRUE)-_xlfn.NORM.DIST(K$2,$D62,$E62,TRUE))</f>
        <v/>
      </c>
      <c r="L62">
        <f>IF(NOT(ISNUMBER($D62)),"",_xlfn.NORM.DIST(L$1,$D62,$E62,TRUE)-_xlfn.NORM.DIST(L$2,$D62,$E62,TRUE))</f>
        <v/>
      </c>
      <c r="M62">
        <f>IF(NOT(ISNUMBER($D62)),"",_xlfn.NORM.DIST(M$1,$D62,$E62,TRUE)-_xlfn.NORM.DIST(M$2,$D62,$E62,TRUE))</f>
        <v/>
      </c>
      <c r="N62">
        <f>IF(NOT(ISNUMBER($D62)),"",_xlfn.NORM.DIST(N$1,$D62,$E62,TRUE)-_xlfn.NORM.DIST(N$2,$D62,$E62,TRUE))</f>
        <v/>
      </c>
      <c r="O62">
        <f>IF(NOT(ISNUMBER($D62)),"",_xlfn.NORM.DIST(O$1,$D62,$E62,TRUE)-_xlfn.NORM.DIST(O$2,$D62,$E62,TRUE))</f>
        <v/>
      </c>
      <c r="P62">
        <f>IF(NOT(ISNUMBER($D62)),"",_xlfn.NORM.DIST(P$1,$D62,$E62,TRUE)-_xlfn.NORM.DIST(P$2,$D62,$E62,TRUE))</f>
        <v/>
      </c>
      <c r="Q62">
        <f>IF(NOT(ISNUMBER($D62)),"",_xlfn.NORM.DIST(Q$1,$D62,$E62,TRUE)-_xlfn.NORM.DIST(Q$2,$D62,$E62,TRUE))</f>
        <v/>
      </c>
      <c r="R62">
        <f>IF(NOT(ISNUMBER($D62)),"",_xlfn.NORM.DIST(R$1,$D62,$E62,TRUE)-_xlfn.NORM.DIST(R$2,$D62,$E62,TRUE))</f>
        <v/>
      </c>
      <c r="S62">
        <f>IF(NOT(ISNUMBER($D62)),"",_xlfn.NORM.DIST(S$1,$D62,$E62,TRUE)-_xlfn.NORM.DIST(S$2,$D62,$E62,TRUE))</f>
        <v/>
      </c>
      <c r="T62">
        <f>IF(NOT(ISNUMBER($D62)),"",_xlfn.NORM.DIST(T$1,$D62,$E62,TRUE)-_xlfn.NORM.DIST(T$2,$D62,$E62,TRUE))</f>
        <v/>
      </c>
      <c r="U62">
        <f>IF(NOT(ISNUMBER($D62)),"",_xlfn.NORM.DIST(U$1,$D62,$E62,TRUE)-_xlfn.NORM.DIST(U$2,$D62,$E62,TRUE))</f>
        <v/>
      </c>
      <c r="V62">
        <f>IF(NOT(ISNUMBER($D62)),"",_xlfn.NORM.DIST(V$1,$D62,$E62,TRUE)-_xlfn.NORM.DIST(V$2,$D62,$E62,TRUE))</f>
        <v/>
      </c>
      <c r="W62">
        <f>IF(NOT(ISNUMBER($D62)),"",_xlfn.NORM.DIST(W$1,$D62,$E62,TRUE)-_xlfn.NORM.DIST(W$2,$D62,$E62,TRUE))</f>
        <v/>
      </c>
      <c r="X62">
        <f>IF(NOT(ISNUMBER($D62)),"",_xlfn.NORM.DIST(X$1,$D62,$E62,TRUE)-_xlfn.NORM.DIST(X$2,$D62,$E62,TRUE))</f>
        <v/>
      </c>
      <c r="Y62">
        <f>IF(NOT(ISNUMBER($D62)),"",_xlfn.NORM.DIST(Y$1,$D62,$E62,TRUE)-_xlfn.NORM.DIST(Y$2,$D62,$E62,TRUE))</f>
        <v/>
      </c>
      <c r="Z62">
        <f>IF(NOT(ISNUMBER($D62)),"",_xlfn.NORM.DIST(Z$1,$D62,$E62,TRUE)-_xlfn.NORM.DIST(Z$2,$D62,$E62,TRUE))</f>
        <v/>
      </c>
      <c r="AA62">
        <f>IF(NOT(ISNUMBER($D62)),"",_xlfn.NORM.DIST(AA$1,$D62,$E62,TRUE)-_xlfn.NORM.DIST(AA$2,$D62,$E62,TRUE))</f>
        <v/>
      </c>
      <c r="AB62">
        <f>IF(NOT(ISNUMBER($D62)),"",_xlfn.NORM.DIST(AB$1,$D62,$E62,TRUE)-_xlfn.NORM.DIST(AB$2,$D62,$E62,TRUE))</f>
        <v/>
      </c>
      <c r="AC62">
        <f>IF(NOT(ISNUMBER($D62)),"",_xlfn.NORM.DIST(AC$1,$D62,$E62,TRUE)-_xlfn.NORM.DIST(AC$2,$D62,$E62,TRUE))</f>
        <v/>
      </c>
      <c r="AD62">
        <f>IF(NOT(ISNUMBER($D62)),"",_xlfn.NORM.DIST(AD$1,$D62,$E62,TRUE)-_xlfn.NORM.DIST(AD$2,$D62,$E62,TRUE))</f>
        <v/>
      </c>
      <c r="AE62">
        <f>IF(NOT(ISNUMBER($D62)),"",_xlfn.NORM.DIST(AE$1,$D62,$E62,TRUE)-_xlfn.NORM.DIST(AE$2,$D62,$E62,TRUE))</f>
        <v/>
      </c>
      <c r="AF62">
        <f>IF(NOT(ISNUMBER($D62)),"",_xlfn.NORM.DIST(AF$1,$D62,$E62,TRUE)-_xlfn.NORM.DIST(AF$2,$D62,$E62,TRUE))</f>
        <v/>
      </c>
      <c r="AG62">
        <f>IF(NOT(ISNUMBER($D62)),"",_xlfn.NORM.DIST(AG$1,$D62,$E62,TRUE)-_xlfn.NORM.DIST(AG$2,$D62,$E62,TRUE))</f>
        <v/>
      </c>
      <c r="AH62">
        <f>IF(NOT(ISNUMBER($D62)),"",_xlfn.NORM.DIST(AH$1,$D62,$E62,TRUE)-_xlfn.NORM.DIST(AH$2,$D62,$E62,TRUE))</f>
        <v/>
      </c>
      <c r="AI62">
        <f>IF(NOT(ISNUMBER($D62)),"",_xlfn.NORM.DIST(AI$1,$D62,$E62,TRUE)-_xlfn.NORM.DIST(AI$2,$D62,$E62,TRUE))</f>
        <v/>
      </c>
      <c r="AJ62">
        <f>IF(NOT(ISNUMBER($D62)),"",_xlfn.NORM.DIST(AJ$1,$D62,$E62,TRUE)-_xlfn.NORM.DIST(AJ$2,$D62,$E62,TRUE))</f>
        <v/>
      </c>
      <c r="AK62">
        <f>IF(NOT(ISNUMBER($D62)),"",_xlfn.NORM.DIST(AK$1,$D62,$E62,TRUE)-_xlfn.NORM.DIST(AK$2,$D62,$E62,TRUE))</f>
        <v/>
      </c>
      <c r="AL62">
        <f>IF(NOT(ISNUMBER($D62)),"",_xlfn.NORM.DIST(AL$1,$D62,$E62,TRUE)-_xlfn.NORM.DIST(AL$2,$D62,$E62,TRUE))</f>
        <v/>
      </c>
      <c r="AM62">
        <f>IF(NOT(ISNUMBER($D62)),"",_xlfn.NORM.DIST(AM$1,$D62,$E62,TRUE)-_xlfn.NORM.DIST(AM$2,$D62,$E62,TRUE))</f>
        <v/>
      </c>
      <c r="AN62">
        <f>IF(NOT(ISNUMBER($D62)),"",_xlfn.NORM.DIST(AN$1,$D62,$E62,TRUE)-_xlfn.NORM.DIST(AN$2,$D62,$E62,TRUE))</f>
        <v/>
      </c>
      <c r="AO62">
        <f>IF(NOT(ISNUMBER($D62)),"",_xlfn.NORM.DIST(AO$1,$D62,$E62,TRUE)-_xlfn.NORM.DIST(AO$2,$D62,$E62,TRUE))</f>
        <v/>
      </c>
      <c r="AP62">
        <f>IF(NOT(ISNUMBER($D62)),"",_xlfn.NORM.DIST(AP$1,$D62,$E62,TRUE)-_xlfn.NORM.DIST(AP$2,$D62,$E62,TRUE))</f>
        <v/>
      </c>
      <c r="AQ62">
        <f>IF(NOT(ISNUMBER($D62)),"",_xlfn.NORM.DIST(AQ$1,$D62,$E62,TRUE)-_xlfn.NORM.DIST(AQ$2,$D62,$E62,TRUE))</f>
        <v/>
      </c>
      <c r="AR62">
        <f>IF(NOT(ISNUMBER($D62)),"",_xlfn.NORM.DIST(AR$1,$D62,$E62,TRUE)-_xlfn.NORM.DIST(AR$2,$D62,$E62,TRUE))</f>
        <v/>
      </c>
      <c r="AS62">
        <f>IF(NOT(ISNUMBER($D62)),"",_xlfn.NORM.DIST(AS$1,$D62,$E62,TRUE)-_xlfn.NORM.DIST(AS$2,$D62,$E62,TRUE))</f>
        <v/>
      </c>
      <c r="AT62">
        <f>IF(NOT(ISNUMBER($D62)),"",_xlfn.NORM.DIST(AT$1,$D62,$E62,TRUE)-_xlfn.NORM.DIST(AT$2,$D62,$E62,TRUE))</f>
        <v/>
      </c>
      <c r="AU62">
        <f>IF(NOT(ISNUMBER($D62)),"",_xlfn.NORM.DIST(AU$1,$D62,$E62,TRUE)-_xlfn.NORM.DIST(AU$2,$D62,$E62,TRUE))</f>
        <v/>
      </c>
      <c r="AV62">
        <f>IF(NOT(ISNUMBER($D62)),"",_xlfn.NORM.DIST(AV$1,$D62,$E62,TRUE)-_xlfn.NORM.DIST(AV$2,$D62,$E62,TRUE))</f>
        <v/>
      </c>
      <c r="AW62">
        <f>IF(NOT(ISNUMBER($D62)),"",_xlfn.NORM.DIST(AW$1,$D62,$E62,TRUE)-_xlfn.NORM.DIST(AW$2,$D62,$E62,TRUE))</f>
        <v/>
      </c>
      <c r="AX62">
        <f>IF(NOT(ISNUMBER($D62)),"",_xlfn.NORM.DIST(AX$1,$D62,$E62,TRUE)-_xlfn.NORM.DIST(AX$2,$D62,$E62,TRUE))</f>
        <v/>
      </c>
      <c r="AY62">
        <f>IF(NOT(ISNUMBER($D62)),"",_xlfn.NORM.DIST(AY$1,$D62,$E62,TRUE)-_xlfn.NORM.DIST(AY$2,$D62,$E62,TRUE))</f>
        <v/>
      </c>
      <c r="AZ62">
        <f>IF(NOT(ISNUMBER($D62)),"",_xlfn.NORM.DIST(AZ$1,$D62,$E62,TRUE)-_xlfn.NORM.DIST(AZ$2,$D62,$E62,TRUE))</f>
        <v/>
      </c>
      <c r="BA62">
        <f>IF(NOT(ISNUMBER($D62)),"",_xlfn.NORM.DIST(BA$1,$D62,$E62,TRUE)-_xlfn.NORM.DIST(BA$2,$D62,$E62,TRUE))</f>
        <v/>
      </c>
      <c r="BB62">
        <f>IF(NOT(ISNUMBER($D62)),"",_xlfn.NORM.DIST(BB$1,$D62,$E62,TRUE)-_xlfn.NORM.DIST(BB$2,$D62,$E62,TRUE))</f>
        <v/>
      </c>
      <c r="BC62">
        <f>IF(NOT(ISNUMBER($D62)),"",_xlfn.NORM.DIST(BC$1,$D62,$E62,TRUE)-_xlfn.NORM.DIST(BC$2,$D62,$E62,TRUE))</f>
        <v/>
      </c>
      <c r="BD62">
        <f>IF(NOT(ISNUMBER($D62)),"",_xlfn.NORM.DIST(BD$1,$D62,$E62,TRUE)-_xlfn.NORM.DIST(BD$2,$D62,$E62,TRUE))</f>
        <v/>
      </c>
      <c r="BE62">
        <f>IF(NOT(ISNUMBER($D62)),"",_xlfn.NORM.DIST(BE$1,$D62,$E62,TRUE)-_xlfn.NORM.DIST(BE$2,$D62,$E62,TRUE))</f>
        <v/>
      </c>
      <c r="BF62">
        <f>IF(NOT(ISNUMBER($D62)),"",_xlfn.NORM.DIST(BF$1,$D62,$E62,TRUE)-_xlfn.NORM.DIST(BF$2,$D62,$E62,TRUE))</f>
        <v/>
      </c>
      <c r="BG62">
        <f>IF(NOT(ISNUMBER($D62)),"",_xlfn.NORM.DIST(BG$1,$D62,$E62,TRUE)-_xlfn.NORM.DIST(BG$2,$D62,$E62,TRUE))</f>
        <v/>
      </c>
      <c r="BH62">
        <f>IF(NOT(ISNUMBER($D62)),"",_xlfn.NORM.DIST(BH$1,$D62,$E62,TRUE)-_xlfn.NORM.DIST(BH$2,$D62,$E62,TRUE))</f>
        <v/>
      </c>
      <c r="BI62">
        <f>IF(NOT(ISNUMBER($D62)),"",_xlfn.NORM.DIST(BI$1,$D62,$E62,TRUE)-_xlfn.NORM.DIST(BI$2,$D62,$E62,TRUE))</f>
        <v/>
      </c>
      <c r="BJ62">
        <f>IF(NOT(ISNUMBER($D62)),"",_xlfn.NORM.DIST(BJ$1,$D62,$E62,TRUE)-_xlfn.NORM.DIST(BJ$2,$D62,$E62,TRUE))</f>
        <v/>
      </c>
      <c r="BK62">
        <f>IF(NOT(ISNUMBER($D62)),"",_xlfn.NORM.DIST(BK$1,$D62,$E62,TRUE)-_xlfn.NORM.DIST(BK$2,$D62,$E62,TRUE))</f>
        <v/>
      </c>
      <c r="BL62">
        <f>IF(NOT(ISNUMBER($D62)),"",_xlfn.NORM.DIST(BL$1,$D62,$E62,TRUE)-_xlfn.NORM.DIST(BL$2,$D62,$E62,TRUE))</f>
        <v/>
      </c>
      <c r="BM62">
        <f>IF(NOT(ISNUMBER($D62)),"",_xlfn.NORM.DIST(BM$1,$D62,$E62,TRUE)-_xlfn.NORM.DIST(BM$2,$D62,$E62,TRUE))</f>
        <v/>
      </c>
      <c r="BN62">
        <f>IF(NOT(ISNUMBER($D62)),"",_xlfn.NORM.DIST(BN$1,$D62,$E62,TRUE)-_xlfn.NORM.DIST(BN$2,$D62,$E62,TRUE))</f>
        <v/>
      </c>
      <c r="BO62">
        <f>IF(NOT(ISNUMBER($D62)),"",_xlfn.NORM.DIST(BO$1,$D62,$E62,TRUE)-_xlfn.NORM.DIST(BO$2,$D62,$E62,TRUE))</f>
        <v/>
      </c>
      <c r="BP62">
        <f>IF(NOT(ISNUMBER($D62)),"",_xlfn.NORM.DIST(BP$1,$D62,$E62,TRUE)-_xlfn.NORM.DIST(BP$2,$D62,$E62,TRUE))</f>
        <v/>
      </c>
      <c r="BQ62">
        <f>IF(NOT(ISNUMBER($D62)),"",_xlfn.NORM.DIST(BQ$1,$D62,$E62,TRUE)-_xlfn.NORM.DIST(BQ$2,$D62,$E62,TRUE))</f>
        <v/>
      </c>
      <c r="BR62">
        <f>IF(NOT(ISNUMBER($D62)),"",_xlfn.NORM.DIST(BR$1,$D62,$E62,TRUE)-_xlfn.NORM.DIST(BR$2,$D62,$E62,TRUE))</f>
        <v/>
      </c>
      <c r="BS62">
        <f>IF(NOT(ISNUMBER($D62)),"",_xlfn.NORM.DIST(BS$1,$D62,$E62,TRUE)-_xlfn.NORM.DIST(BS$2,$D62,$E62,TRUE))</f>
        <v/>
      </c>
      <c r="BT62">
        <f>IF(NOT(ISNUMBER($D62)),"",_xlfn.NORM.DIST(BT$1,$D62,$E62,TRUE)-_xlfn.NORM.DIST(BT$2,$D62,$E62,TRUE))</f>
        <v/>
      </c>
      <c r="BU62">
        <f>IF(NOT(ISNUMBER($D62)),"",_xlfn.NORM.DIST(BU$1,$D62,$E62,TRUE)-_xlfn.NORM.DIST(BU$2,$D62,$E62,TRUE))</f>
        <v/>
      </c>
      <c r="BV62">
        <f>IF(NOT(ISNUMBER($D62)),"",_xlfn.NORM.DIST(BV$1,$D62,$E62,TRUE)-_xlfn.NORM.DIST(BV$2,$D62,$E62,TRUE))</f>
        <v/>
      </c>
      <c r="BW62">
        <f>IF(NOT(ISNUMBER($D62)),"",_xlfn.NORM.DIST(BW$1,$D62,$E62,TRUE)-_xlfn.NORM.DIST(BW$2,$D62,$E62,TRUE))</f>
        <v/>
      </c>
      <c r="BX62">
        <f>IF(NOT(ISNUMBER($D62)),"",_xlfn.NORM.DIST(BX$1,$D62,$E62,TRUE)-_xlfn.NORM.DIST(BX$2,$D62,$E62,TRUE))</f>
        <v/>
      </c>
      <c r="BY62">
        <f>IF(NOT(ISNUMBER($D62)),"",_xlfn.NORM.DIST(BY$1,$D62,$E62,TRUE)-_xlfn.NORM.DIST(BY$2,$D62,$E62,TRUE))</f>
        <v/>
      </c>
      <c r="BZ62">
        <f>IF(NOT(ISNUMBER($D62)),"",_xlfn.NORM.DIST(BZ$1,$D62,$E62,TRUE)-_xlfn.NORM.DIST(BZ$2,$D62,$E62,TRUE))</f>
        <v/>
      </c>
      <c r="CA62">
        <f>IF(NOT(ISNUMBER($D62)),"",_xlfn.NORM.DIST(CA$1,$D62,$E62,TRUE)-_xlfn.NORM.DIST(CA$2,$D62,$E62,TRUE))</f>
        <v/>
      </c>
      <c r="CB62">
        <f>IF(NOT(ISNUMBER($D62)),"",_xlfn.NORM.DIST(CB$1,$D62,$E62,TRUE)-_xlfn.NORM.DIST(CB$2,$D62,$E62,TRUE))</f>
        <v/>
      </c>
      <c r="CC62">
        <f>IF(NOT(ISNUMBER($D62)),"",_xlfn.NORM.DIST(CC$1,$D62,$E62,TRUE)-_xlfn.NORM.DIST(CC$2,$D62,$E62,TRUE))</f>
        <v/>
      </c>
      <c r="CD62">
        <f>IF(NOT(ISNUMBER($D62)),"",_xlfn.NORM.DIST(CD$1,$D62,$E62,TRUE)-_xlfn.NORM.DIST(CD$2,$D62,$E62,TRUE))</f>
        <v/>
      </c>
      <c r="CE62">
        <f>IF(NOT(ISNUMBER($D62)),"",_xlfn.NORM.DIST(CE$1,$D62,$E62,TRUE)-_xlfn.NORM.DIST(CE$2,$D62,$E62,TRUE))</f>
        <v/>
      </c>
      <c r="CF62">
        <f>IF(NOT(ISNUMBER($D62)),"",_xlfn.NORM.DIST(CF$1,$D62,$E62,TRUE)-_xlfn.NORM.DIST(CF$2,$D62,$E62,TRUE))</f>
        <v/>
      </c>
      <c r="CG62">
        <f>IF(NOT(ISNUMBER($D62)),"",_xlfn.NORM.DIST(CG$1,$D62,$E62,TRUE)-_xlfn.NORM.DIST(CG$2,$D62,$E62,TRUE))</f>
        <v/>
      </c>
      <c r="CH62">
        <f>IF(NOT(ISNUMBER($D62)),"",_xlfn.NORM.DIST(CH$1,$D62,$E62,TRUE)-_xlfn.NORM.DIST(CH$2,$D62,$E62,TRUE))</f>
        <v/>
      </c>
      <c r="CI62">
        <f>IF(NOT(ISNUMBER($D62)),"",_xlfn.NORM.DIST(CI$1,$D62,$E62,TRUE)-_xlfn.NORM.DIST(CI$2,$D62,$E62,TRUE))</f>
        <v/>
      </c>
      <c r="CJ62">
        <f>IF(ISNUMBER($D62),SUM(F62:CI62),"")</f>
        <v/>
      </c>
    </row>
    <row r="63">
      <c r="A63">
        <f>economics!A62</f>
        <v/>
      </c>
      <c r="B63">
        <f>economics!B62</f>
        <v/>
      </c>
      <c r="C63">
        <f>economics!D62</f>
        <v/>
      </c>
      <c r="D63">
        <f>IF(ISNUMBER(economics!T62),economics!T62,"na")</f>
        <v/>
      </c>
      <c r="E63">
        <f>IF(ISNUMBER(D63),MAX(0.3*ABS(D63),0.000001),"na")</f>
        <v/>
      </c>
      <c r="F63">
        <f>IF(NOT(ISNUMBER($D63)),"",_xlfn.NORM.DIST(F$1,$D63,$E63,TRUE)-_xlfn.NORM.DIST(F$2,$D63,$E63,TRUE))</f>
        <v/>
      </c>
      <c r="G63">
        <f>IF(NOT(ISNUMBER($D63)),"",_xlfn.NORM.DIST(G$1,$D63,$E63,TRUE)-_xlfn.NORM.DIST(G$2,$D63,$E63,TRUE))</f>
        <v/>
      </c>
      <c r="H63">
        <f>IF(NOT(ISNUMBER($D63)),"",_xlfn.NORM.DIST(H$1,$D63,$E63,TRUE)-_xlfn.NORM.DIST(H$2,$D63,$E63,TRUE))</f>
        <v/>
      </c>
      <c r="I63">
        <f>IF(NOT(ISNUMBER($D63)),"",_xlfn.NORM.DIST(I$1,$D63,$E63,TRUE)-_xlfn.NORM.DIST(I$2,$D63,$E63,TRUE))</f>
        <v/>
      </c>
      <c r="J63">
        <f>IF(NOT(ISNUMBER($D63)),"",_xlfn.NORM.DIST(J$1,$D63,$E63,TRUE)-_xlfn.NORM.DIST(J$2,$D63,$E63,TRUE))</f>
        <v/>
      </c>
      <c r="K63">
        <f>IF(NOT(ISNUMBER($D63)),"",_xlfn.NORM.DIST(K$1,$D63,$E63,TRUE)-_xlfn.NORM.DIST(K$2,$D63,$E63,TRUE))</f>
        <v/>
      </c>
      <c r="L63">
        <f>IF(NOT(ISNUMBER($D63)),"",_xlfn.NORM.DIST(L$1,$D63,$E63,TRUE)-_xlfn.NORM.DIST(L$2,$D63,$E63,TRUE))</f>
        <v/>
      </c>
      <c r="M63">
        <f>IF(NOT(ISNUMBER($D63)),"",_xlfn.NORM.DIST(M$1,$D63,$E63,TRUE)-_xlfn.NORM.DIST(M$2,$D63,$E63,TRUE))</f>
        <v/>
      </c>
      <c r="N63">
        <f>IF(NOT(ISNUMBER($D63)),"",_xlfn.NORM.DIST(N$1,$D63,$E63,TRUE)-_xlfn.NORM.DIST(N$2,$D63,$E63,TRUE))</f>
        <v/>
      </c>
      <c r="O63">
        <f>IF(NOT(ISNUMBER($D63)),"",_xlfn.NORM.DIST(O$1,$D63,$E63,TRUE)-_xlfn.NORM.DIST(O$2,$D63,$E63,TRUE))</f>
        <v/>
      </c>
      <c r="P63">
        <f>IF(NOT(ISNUMBER($D63)),"",_xlfn.NORM.DIST(P$1,$D63,$E63,TRUE)-_xlfn.NORM.DIST(P$2,$D63,$E63,TRUE))</f>
        <v/>
      </c>
      <c r="Q63">
        <f>IF(NOT(ISNUMBER($D63)),"",_xlfn.NORM.DIST(Q$1,$D63,$E63,TRUE)-_xlfn.NORM.DIST(Q$2,$D63,$E63,TRUE))</f>
        <v/>
      </c>
      <c r="R63">
        <f>IF(NOT(ISNUMBER($D63)),"",_xlfn.NORM.DIST(R$1,$D63,$E63,TRUE)-_xlfn.NORM.DIST(R$2,$D63,$E63,TRUE))</f>
        <v/>
      </c>
      <c r="S63">
        <f>IF(NOT(ISNUMBER($D63)),"",_xlfn.NORM.DIST(S$1,$D63,$E63,TRUE)-_xlfn.NORM.DIST(S$2,$D63,$E63,TRUE))</f>
        <v/>
      </c>
      <c r="T63">
        <f>IF(NOT(ISNUMBER($D63)),"",_xlfn.NORM.DIST(T$1,$D63,$E63,TRUE)-_xlfn.NORM.DIST(T$2,$D63,$E63,TRUE))</f>
        <v/>
      </c>
      <c r="U63">
        <f>IF(NOT(ISNUMBER($D63)),"",_xlfn.NORM.DIST(U$1,$D63,$E63,TRUE)-_xlfn.NORM.DIST(U$2,$D63,$E63,TRUE))</f>
        <v/>
      </c>
      <c r="V63">
        <f>IF(NOT(ISNUMBER($D63)),"",_xlfn.NORM.DIST(V$1,$D63,$E63,TRUE)-_xlfn.NORM.DIST(V$2,$D63,$E63,TRUE))</f>
        <v/>
      </c>
      <c r="W63">
        <f>IF(NOT(ISNUMBER($D63)),"",_xlfn.NORM.DIST(W$1,$D63,$E63,TRUE)-_xlfn.NORM.DIST(W$2,$D63,$E63,TRUE))</f>
        <v/>
      </c>
      <c r="X63">
        <f>IF(NOT(ISNUMBER($D63)),"",_xlfn.NORM.DIST(X$1,$D63,$E63,TRUE)-_xlfn.NORM.DIST(X$2,$D63,$E63,TRUE))</f>
        <v/>
      </c>
      <c r="Y63">
        <f>IF(NOT(ISNUMBER($D63)),"",_xlfn.NORM.DIST(Y$1,$D63,$E63,TRUE)-_xlfn.NORM.DIST(Y$2,$D63,$E63,TRUE))</f>
        <v/>
      </c>
      <c r="Z63">
        <f>IF(NOT(ISNUMBER($D63)),"",_xlfn.NORM.DIST(Z$1,$D63,$E63,TRUE)-_xlfn.NORM.DIST(Z$2,$D63,$E63,TRUE))</f>
        <v/>
      </c>
      <c r="AA63">
        <f>IF(NOT(ISNUMBER($D63)),"",_xlfn.NORM.DIST(AA$1,$D63,$E63,TRUE)-_xlfn.NORM.DIST(AA$2,$D63,$E63,TRUE))</f>
        <v/>
      </c>
      <c r="AB63">
        <f>IF(NOT(ISNUMBER($D63)),"",_xlfn.NORM.DIST(AB$1,$D63,$E63,TRUE)-_xlfn.NORM.DIST(AB$2,$D63,$E63,TRUE))</f>
        <v/>
      </c>
      <c r="AC63">
        <f>IF(NOT(ISNUMBER($D63)),"",_xlfn.NORM.DIST(AC$1,$D63,$E63,TRUE)-_xlfn.NORM.DIST(AC$2,$D63,$E63,TRUE))</f>
        <v/>
      </c>
      <c r="AD63">
        <f>IF(NOT(ISNUMBER($D63)),"",_xlfn.NORM.DIST(AD$1,$D63,$E63,TRUE)-_xlfn.NORM.DIST(AD$2,$D63,$E63,TRUE))</f>
        <v/>
      </c>
      <c r="AE63">
        <f>IF(NOT(ISNUMBER($D63)),"",_xlfn.NORM.DIST(AE$1,$D63,$E63,TRUE)-_xlfn.NORM.DIST(AE$2,$D63,$E63,TRUE))</f>
        <v/>
      </c>
      <c r="AF63">
        <f>IF(NOT(ISNUMBER($D63)),"",_xlfn.NORM.DIST(AF$1,$D63,$E63,TRUE)-_xlfn.NORM.DIST(AF$2,$D63,$E63,TRUE))</f>
        <v/>
      </c>
      <c r="AG63">
        <f>IF(NOT(ISNUMBER($D63)),"",_xlfn.NORM.DIST(AG$1,$D63,$E63,TRUE)-_xlfn.NORM.DIST(AG$2,$D63,$E63,TRUE))</f>
        <v/>
      </c>
      <c r="AH63">
        <f>IF(NOT(ISNUMBER($D63)),"",_xlfn.NORM.DIST(AH$1,$D63,$E63,TRUE)-_xlfn.NORM.DIST(AH$2,$D63,$E63,TRUE))</f>
        <v/>
      </c>
      <c r="AI63">
        <f>IF(NOT(ISNUMBER($D63)),"",_xlfn.NORM.DIST(AI$1,$D63,$E63,TRUE)-_xlfn.NORM.DIST(AI$2,$D63,$E63,TRUE))</f>
        <v/>
      </c>
      <c r="AJ63">
        <f>IF(NOT(ISNUMBER($D63)),"",_xlfn.NORM.DIST(AJ$1,$D63,$E63,TRUE)-_xlfn.NORM.DIST(AJ$2,$D63,$E63,TRUE))</f>
        <v/>
      </c>
      <c r="AK63">
        <f>IF(NOT(ISNUMBER($D63)),"",_xlfn.NORM.DIST(AK$1,$D63,$E63,TRUE)-_xlfn.NORM.DIST(AK$2,$D63,$E63,TRUE))</f>
        <v/>
      </c>
      <c r="AL63">
        <f>IF(NOT(ISNUMBER($D63)),"",_xlfn.NORM.DIST(AL$1,$D63,$E63,TRUE)-_xlfn.NORM.DIST(AL$2,$D63,$E63,TRUE))</f>
        <v/>
      </c>
      <c r="AM63">
        <f>IF(NOT(ISNUMBER($D63)),"",_xlfn.NORM.DIST(AM$1,$D63,$E63,TRUE)-_xlfn.NORM.DIST(AM$2,$D63,$E63,TRUE))</f>
        <v/>
      </c>
      <c r="AN63">
        <f>IF(NOT(ISNUMBER($D63)),"",_xlfn.NORM.DIST(AN$1,$D63,$E63,TRUE)-_xlfn.NORM.DIST(AN$2,$D63,$E63,TRUE))</f>
        <v/>
      </c>
      <c r="AO63">
        <f>IF(NOT(ISNUMBER($D63)),"",_xlfn.NORM.DIST(AO$1,$D63,$E63,TRUE)-_xlfn.NORM.DIST(AO$2,$D63,$E63,TRUE))</f>
        <v/>
      </c>
      <c r="AP63">
        <f>IF(NOT(ISNUMBER($D63)),"",_xlfn.NORM.DIST(AP$1,$D63,$E63,TRUE)-_xlfn.NORM.DIST(AP$2,$D63,$E63,TRUE))</f>
        <v/>
      </c>
      <c r="AQ63">
        <f>IF(NOT(ISNUMBER($D63)),"",_xlfn.NORM.DIST(AQ$1,$D63,$E63,TRUE)-_xlfn.NORM.DIST(AQ$2,$D63,$E63,TRUE))</f>
        <v/>
      </c>
      <c r="AR63">
        <f>IF(NOT(ISNUMBER($D63)),"",_xlfn.NORM.DIST(AR$1,$D63,$E63,TRUE)-_xlfn.NORM.DIST(AR$2,$D63,$E63,TRUE))</f>
        <v/>
      </c>
      <c r="AS63">
        <f>IF(NOT(ISNUMBER($D63)),"",_xlfn.NORM.DIST(AS$1,$D63,$E63,TRUE)-_xlfn.NORM.DIST(AS$2,$D63,$E63,TRUE))</f>
        <v/>
      </c>
      <c r="AT63">
        <f>IF(NOT(ISNUMBER($D63)),"",_xlfn.NORM.DIST(AT$1,$D63,$E63,TRUE)-_xlfn.NORM.DIST(AT$2,$D63,$E63,TRUE))</f>
        <v/>
      </c>
      <c r="AU63">
        <f>IF(NOT(ISNUMBER($D63)),"",_xlfn.NORM.DIST(AU$1,$D63,$E63,TRUE)-_xlfn.NORM.DIST(AU$2,$D63,$E63,TRUE))</f>
        <v/>
      </c>
      <c r="AV63">
        <f>IF(NOT(ISNUMBER($D63)),"",_xlfn.NORM.DIST(AV$1,$D63,$E63,TRUE)-_xlfn.NORM.DIST(AV$2,$D63,$E63,TRUE))</f>
        <v/>
      </c>
      <c r="AW63">
        <f>IF(NOT(ISNUMBER($D63)),"",_xlfn.NORM.DIST(AW$1,$D63,$E63,TRUE)-_xlfn.NORM.DIST(AW$2,$D63,$E63,TRUE))</f>
        <v/>
      </c>
      <c r="AX63">
        <f>IF(NOT(ISNUMBER($D63)),"",_xlfn.NORM.DIST(AX$1,$D63,$E63,TRUE)-_xlfn.NORM.DIST(AX$2,$D63,$E63,TRUE))</f>
        <v/>
      </c>
      <c r="AY63">
        <f>IF(NOT(ISNUMBER($D63)),"",_xlfn.NORM.DIST(AY$1,$D63,$E63,TRUE)-_xlfn.NORM.DIST(AY$2,$D63,$E63,TRUE))</f>
        <v/>
      </c>
      <c r="AZ63">
        <f>IF(NOT(ISNUMBER($D63)),"",_xlfn.NORM.DIST(AZ$1,$D63,$E63,TRUE)-_xlfn.NORM.DIST(AZ$2,$D63,$E63,TRUE))</f>
        <v/>
      </c>
      <c r="BA63">
        <f>IF(NOT(ISNUMBER($D63)),"",_xlfn.NORM.DIST(BA$1,$D63,$E63,TRUE)-_xlfn.NORM.DIST(BA$2,$D63,$E63,TRUE))</f>
        <v/>
      </c>
      <c r="BB63">
        <f>IF(NOT(ISNUMBER($D63)),"",_xlfn.NORM.DIST(BB$1,$D63,$E63,TRUE)-_xlfn.NORM.DIST(BB$2,$D63,$E63,TRUE))</f>
        <v/>
      </c>
      <c r="BC63">
        <f>IF(NOT(ISNUMBER($D63)),"",_xlfn.NORM.DIST(BC$1,$D63,$E63,TRUE)-_xlfn.NORM.DIST(BC$2,$D63,$E63,TRUE))</f>
        <v/>
      </c>
      <c r="BD63">
        <f>IF(NOT(ISNUMBER($D63)),"",_xlfn.NORM.DIST(BD$1,$D63,$E63,TRUE)-_xlfn.NORM.DIST(BD$2,$D63,$E63,TRUE))</f>
        <v/>
      </c>
      <c r="BE63">
        <f>IF(NOT(ISNUMBER($D63)),"",_xlfn.NORM.DIST(BE$1,$D63,$E63,TRUE)-_xlfn.NORM.DIST(BE$2,$D63,$E63,TRUE))</f>
        <v/>
      </c>
      <c r="BF63">
        <f>IF(NOT(ISNUMBER($D63)),"",_xlfn.NORM.DIST(BF$1,$D63,$E63,TRUE)-_xlfn.NORM.DIST(BF$2,$D63,$E63,TRUE))</f>
        <v/>
      </c>
      <c r="BG63">
        <f>IF(NOT(ISNUMBER($D63)),"",_xlfn.NORM.DIST(BG$1,$D63,$E63,TRUE)-_xlfn.NORM.DIST(BG$2,$D63,$E63,TRUE))</f>
        <v/>
      </c>
      <c r="BH63">
        <f>IF(NOT(ISNUMBER($D63)),"",_xlfn.NORM.DIST(BH$1,$D63,$E63,TRUE)-_xlfn.NORM.DIST(BH$2,$D63,$E63,TRUE))</f>
        <v/>
      </c>
      <c r="BI63">
        <f>IF(NOT(ISNUMBER($D63)),"",_xlfn.NORM.DIST(BI$1,$D63,$E63,TRUE)-_xlfn.NORM.DIST(BI$2,$D63,$E63,TRUE))</f>
        <v/>
      </c>
      <c r="BJ63">
        <f>IF(NOT(ISNUMBER($D63)),"",_xlfn.NORM.DIST(BJ$1,$D63,$E63,TRUE)-_xlfn.NORM.DIST(BJ$2,$D63,$E63,TRUE))</f>
        <v/>
      </c>
      <c r="BK63">
        <f>IF(NOT(ISNUMBER($D63)),"",_xlfn.NORM.DIST(BK$1,$D63,$E63,TRUE)-_xlfn.NORM.DIST(BK$2,$D63,$E63,TRUE))</f>
        <v/>
      </c>
      <c r="BL63">
        <f>IF(NOT(ISNUMBER($D63)),"",_xlfn.NORM.DIST(BL$1,$D63,$E63,TRUE)-_xlfn.NORM.DIST(BL$2,$D63,$E63,TRUE))</f>
        <v/>
      </c>
      <c r="BM63">
        <f>IF(NOT(ISNUMBER($D63)),"",_xlfn.NORM.DIST(BM$1,$D63,$E63,TRUE)-_xlfn.NORM.DIST(BM$2,$D63,$E63,TRUE))</f>
        <v/>
      </c>
      <c r="BN63">
        <f>IF(NOT(ISNUMBER($D63)),"",_xlfn.NORM.DIST(BN$1,$D63,$E63,TRUE)-_xlfn.NORM.DIST(BN$2,$D63,$E63,TRUE))</f>
        <v/>
      </c>
      <c r="BO63">
        <f>IF(NOT(ISNUMBER($D63)),"",_xlfn.NORM.DIST(BO$1,$D63,$E63,TRUE)-_xlfn.NORM.DIST(BO$2,$D63,$E63,TRUE))</f>
        <v/>
      </c>
      <c r="BP63">
        <f>IF(NOT(ISNUMBER($D63)),"",_xlfn.NORM.DIST(BP$1,$D63,$E63,TRUE)-_xlfn.NORM.DIST(BP$2,$D63,$E63,TRUE))</f>
        <v/>
      </c>
      <c r="BQ63">
        <f>IF(NOT(ISNUMBER($D63)),"",_xlfn.NORM.DIST(BQ$1,$D63,$E63,TRUE)-_xlfn.NORM.DIST(BQ$2,$D63,$E63,TRUE))</f>
        <v/>
      </c>
      <c r="BR63">
        <f>IF(NOT(ISNUMBER($D63)),"",_xlfn.NORM.DIST(BR$1,$D63,$E63,TRUE)-_xlfn.NORM.DIST(BR$2,$D63,$E63,TRUE))</f>
        <v/>
      </c>
      <c r="BS63">
        <f>IF(NOT(ISNUMBER($D63)),"",_xlfn.NORM.DIST(BS$1,$D63,$E63,TRUE)-_xlfn.NORM.DIST(BS$2,$D63,$E63,TRUE))</f>
        <v/>
      </c>
      <c r="BT63">
        <f>IF(NOT(ISNUMBER($D63)),"",_xlfn.NORM.DIST(BT$1,$D63,$E63,TRUE)-_xlfn.NORM.DIST(BT$2,$D63,$E63,TRUE))</f>
        <v/>
      </c>
      <c r="BU63">
        <f>IF(NOT(ISNUMBER($D63)),"",_xlfn.NORM.DIST(BU$1,$D63,$E63,TRUE)-_xlfn.NORM.DIST(BU$2,$D63,$E63,TRUE))</f>
        <v/>
      </c>
      <c r="BV63">
        <f>IF(NOT(ISNUMBER($D63)),"",_xlfn.NORM.DIST(BV$1,$D63,$E63,TRUE)-_xlfn.NORM.DIST(BV$2,$D63,$E63,TRUE))</f>
        <v/>
      </c>
      <c r="BW63">
        <f>IF(NOT(ISNUMBER($D63)),"",_xlfn.NORM.DIST(BW$1,$D63,$E63,TRUE)-_xlfn.NORM.DIST(BW$2,$D63,$E63,TRUE))</f>
        <v/>
      </c>
      <c r="BX63">
        <f>IF(NOT(ISNUMBER($D63)),"",_xlfn.NORM.DIST(BX$1,$D63,$E63,TRUE)-_xlfn.NORM.DIST(BX$2,$D63,$E63,TRUE))</f>
        <v/>
      </c>
      <c r="BY63">
        <f>IF(NOT(ISNUMBER($D63)),"",_xlfn.NORM.DIST(BY$1,$D63,$E63,TRUE)-_xlfn.NORM.DIST(BY$2,$D63,$E63,TRUE))</f>
        <v/>
      </c>
      <c r="BZ63">
        <f>IF(NOT(ISNUMBER($D63)),"",_xlfn.NORM.DIST(BZ$1,$D63,$E63,TRUE)-_xlfn.NORM.DIST(BZ$2,$D63,$E63,TRUE))</f>
        <v/>
      </c>
      <c r="CA63">
        <f>IF(NOT(ISNUMBER($D63)),"",_xlfn.NORM.DIST(CA$1,$D63,$E63,TRUE)-_xlfn.NORM.DIST(CA$2,$D63,$E63,TRUE))</f>
        <v/>
      </c>
      <c r="CB63">
        <f>IF(NOT(ISNUMBER($D63)),"",_xlfn.NORM.DIST(CB$1,$D63,$E63,TRUE)-_xlfn.NORM.DIST(CB$2,$D63,$E63,TRUE))</f>
        <v/>
      </c>
      <c r="CC63">
        <f>IF(NOT(ISNUMBER($D63)),"",_xlfn.NORM.DIST(CC$1,$D63,$E63,TRUE)-_xlfn.NORM.DIST(CC$2,$D63,$E63,TRUE))</f>
        <v/>
      </c>
      <c r="CD63">
        <f>IF(NOT(ISNUMBER($D63)),"",_xlfn.NORM.DIST(CD$1,$D63,$E63,TRUE)-_xlfn.NORM.DIST(CD$2,$D63,$E63,TRUE))</f>
        <v/>
      </c>
      <c r="CE63">
        <f>IF(NOT(ISNUMBER($D63)),"",_xlfn.NORM.DIST(CE$1,$D63,$E63,TRUE)-_xlfn.NORM.DIST(CE$2,$D63,$E63,TRUE))</f>
        <v/>
      </c>
      <c r="CF63">
        <f>IF(NOT(ISNUMBER($D63)),"",_xlfn.NORM.DIST(CF$1,$D63,$E63,TRUE)-_xlfn.NORM.DIST(CF$2,$D63,$E63,TRUE))</f>
        <v/>
      </c>
      <c r="CG63">
        <f>IF(NOT(ISNUMBER($D63)),"",_xlfn.NORM.DIST(CG$1,$D63,$E63,TRUE)-_xlfn.NORM.DIST(CG$2,$D63,$E63,TRUE))</f>
        <v/>
      </c>
      <c r="CH63">
        <f>IF(NOT(ISNUMBER($D63)),"",_xlfn.NORM.DIST(CH$1,$D63,$E63,TRUE)-_xlfn.NORM.DIST(CH$2,$D63,$E63,TRUE))</f>
        <v/>
      </c>
      <c r="CI63">
        <f>IF(NOT(ISNUMBER($D63)),"",_xlfn.NORM.DIST(CI$1,$D63,$E63,TRUE)-_xlfn.NORM.DIST(CI$2,$D63,$E63,TRUE))</f>
        <v/>
      </c>
      <c r="CJ63">
        <f>IF(ISNUMBER($D63),SUM(F63:CI63),"")</f>
        <v/>
      </c>
    </row>
    <row r="64">
      <c r="A64">
        <f>economics!A63</f>
        <v/>
      </c>
      <c r="B64">
        <f>economics!B63</f>
        <v/>
      </c>
      <c r="C64">
        <f>economics!D63</f>
        <v/>
      </c>
      <c r="D64">
        <f>IF(ISNUMBER(economics!T63),economics!T63,"na")</f>
        <v/>
      </c>
      <c r="E64">
        <f>IF(ISNUMBER(D64),MAX(0.3*ABS(D64),0.000001),"na")</f>
        <v/>
      </c>
      <c r="F64">
        <f>IF(NOT(ISNUMBER($D64)),"",_xlfn.NORM.DIST(F$1,$D64,$E64,TRUE)-_xlfn.NORM.DIST(F$2,$D64,$E64,TRUE))</f>
        <v/>
      </c>
      <c r="G64">
        <f>IF(NOT(ISNUMBER($D64)),"",_xlfn.NORM.DIST(G$1,$D64,$E64,TRUE)-_xlfn.NORM.DIST(G$2,$D64,$E64,TRUE))</f>
        <v/>
      </c>
      <c r="H64">
        <f>IF(NOT(ISNUMBER($D64)),"",_xlfn.NORM.DIST(H$1,$D64,$E64,TRUE)-_xlfn.NORM.DIST(H$2,$D64,$E64,TRUE))</f>
        <v/>
      </c>
      <c r="I64">
        <f>IF(NOT(ISNUMBER($D64)),"",_xlfn.NORM.DIST(I$1,$D64,$E64,TRUE)-_xlfn.NORM.DIST(I$2,$D64,$E64,TRUE))</f>
        <v/>
      </c>
      <c r="J64">
        <f>IF(NOT(ISNUMBER($D64)),"",_xlfn.NORM.DIST(J$1,$D64,$E64,TRUE)-_xlfn.NORM.DIST(J$2,$D64,$E64,TRUE))</f>
        <v/>
      </c>
      <c r="K64">
        <f>IF(NOT(ISNUMBER($D64)),"",_xlfn.NORM.DIST(K$1,$D64,$E64,TRUE)-_xlfn.NORM.DIST(K$2,$D64,$E64,TRUE))</f>
        <v/>
      </c>
      <c r="L64">
        <f>IF(NOT(ISNUMBER($D64)),"",_xlfn.NORM.DIST(L$1,$D64,$E64,TRUE)-_xlfn.NORM.DIST(L$2,$D64,$E64,TRUE))</f>
        <v/>
      </c>
      <c r="M64">
        <f>IF(NOT(ISNUMBER($D64)),"",_xlfn.NORM.DIST(M$1,$D64,$E64,TRUE)-_xlfn.NORM.DIST(M$2,$D64,$E64,TRUE))</f>
        <v/>
      </c>
      <c r="N64">
        <f>IF(NOT(ISNUMBER($D64)),"",_xlfn.NORM.DIST(N$1,$D64,$E64,TRUE)-_xlfn.NORM.DIST(N$2,$D64,$E64,TRUE))</f>
        <v/>
      </c>
      <c r="O64">
        <f>IF(NOT(ISNUMBER($D64)),"",_xlfn.NORM.DIST(O$1,$D64,$E64,TRUE)-_xlfn.NORM.DIST(O$2,$D64,$E64,TRUE))</f>
        <v/>
      </c>
      <c r="P64">
        <f>IF(NOT(ISNUMBER($D64)),"",_xlfn.NORM.DIST(P$1,$D64,$E64,TRUE)-_xlfn.NORM.DIST(P$2,$D64,$E64,TRUE))</f>
        <v/>
      </c>
      <c r="Q64">
        <f>IF(NOT(ISNUMBER($D64)),"",_xlfn.NORM.DIST(Q$1,$D64,$E64,TRUE)-_xlfn.NORM.DIST(Q$2,$D64,$E64,TRUE))</f>
        <v/>
      </c>
      <c r="R64">
        <f>IF(NOT(ISNUMBER($D64)),"",_xlfn.NORM.DIST(R$1,$D64,$E64,TRUE)-_xlfn.NORM.DIST(R$2,$D64,$E64,TRUE))</f>
        <v/>
      </c>
      <c r="S64">
        <f>IF(NOT(ISNUMBER($D64)),"",_xlfn.NORM.DIST(S$1,$D64,$E64,TRUE)-_xlfn.NORM.DIST(S$2,$D64,$E64,TRUE))</f>
        <v/>
      </c>
      <c r="T64">
        <f>IF(NOT(ISNUMBER($D64)),"",_xlfn.NORM.DIST(T$1,$D64,$E64,TRUE)-_xlfn.NORM.DIST(T$2,$D64,$E64,TRUE))</f>
        <v/>
      </c>
      <c r="U64">
        <f>IF(NOT(ISNUMBER($D64)),"",_xlfn.NORM.DIST(U$1,$D64,$E64,TRUE)-_xlfn.NORM.DIST(U$2,$D64,$E64,TRUE))</f>
        <v/>
      </c>
      <c r="V64">
        <f>IF(NOT(ISNUMBER($D64)),"",_xlfn.NORM.DIST(V$1,$D64,$E64,TRUE)-_xlfn.NORM.DIST(V$2,$D64,$E64,TRUE))</f>
        <v/>
      </c>
      <c r="W64">
        <f>IF(NOT(ISNUMBER($D64)),"",_xlfn.NORM.DIST(W$1,$D64,$E64,TRUE)-_xlfn.NORM.DIST(W$2,$D64,$E64,TRUE))</f>
        <v/>
      </c>
      <c r="X64">
        <f>IF(NOT(ISNUMBER($D64)),"",_xlfn.NORM.DIST(X$1,$D64,$E64,TRUE)-_xlfn.NORM.DIST(X$2,$D64,$E64,TRUE))</f>
        <v/>
      </c>
      <c r="Y64">
        <f>IF(NOT(ISNUMBER($D64)),"",_xlfn.NORM.DIST(Y$1,$D64,$E64,TRUE)-_xlfn.NORM.DIST(Y$2,$D64,$E64,TRUE))</f>
        <v/>
      </c>
      <c r="Z64">
        <f>IF(NOT(ISNUMBER($D64)),"",_xlfn.NORM.DIST(Z$1,$D64,$E64,TRUE)-_xlfn.NORM.DIST(Z$2,$D64,$E64,TRUE))</f>
        <v/>
      </c>
      <c r="AA64">
        <f>IF(NOT(ISNUMBER($D64)),"",_xlfn.NORM.DIST(AA$1,$D64,$E64,TRUE)-_xlfn.NORM.DIST(AA$2,$D64,$E64,TRUE))</f>
        <v/>
      </c>
      <c r="AB64">
        <f>IF(NOT(ISNUMBER($D64)),"",_xlfn.NORM.DIST(AB$1,$D64,$E64,TRUE)-_xlfn.NORM.DIST(AB$2,$D64,$E64,TRUE))</f>
        <v/>
      </c>
      <c r="AC64">
        <f>IF(NOT(ISNUMBER($D64)),"",_xlfn.NORM.DIST(AC$1,$D64,$E64,TRUE)-_xlfn.NORM.DIST(AC$2,$D64,$E64,TRUE))</f>
        <v/>
      </c>
      <c r="AD64">
        <f>IF(NOT(ISNUMBER($D64)),"",_xlfn.NORM.DIST(AD$1,$D64,$E64,TRUE)-_xlfn.NORM.DIST(AD$2,$D64,$E64,TRUE))</f>
        <v/>
      </c>
      <c r="AE64">
        <f>IF(NOT(ISNUMBER($D64)),"",_xlfn.NORM.DIST(AE$1,$D64,$E64,TRUE)-_xlfn.NORM.DIST(AE$2,$D64,$E64,TRUE))</f>
        <v/>
      </c>
      <c r="AF64">
        <f>IF(NOT(ISNUMBER($D64)),"",_xlfn.NORM.DIST(AF$1,$D64,$E64,TRUE)-_xlfn.NORM.DIST(AF$2,$D64,$E64,TRUE))</f>
        <v/>
      </c>
      <c r="AG64">
        <f>IF(NOT(ISNUMBER($D64)),"",_xlfn.NORM.DIST(AG$1,$D64,$E64,TRUE)-_xlfn.NORM.DIST(AG$2,$D64,$E64,TRUE))</f>
        <v/>
      </c>
      <c r="AH64">
        <f>IF(NOT(ISNUMBER($D64)),"",_xlfn.NORM.DIST(AH$1,$D64,$E64,TRUE)-_xlfn.NORM.DIST(AH$2,$D64,$E64,TRUE))</f>
        <v/>
      </c>
      <c r="AI64">
        <f>IF(NOT(ISNUMBER($D64)),"",_xlfn.NORM.DIST(AI$1,$D64,$E64,TRUE)-_xlfn.NORM.DIST(AI$2,$D64,$E64,TRUE))</f>
        <v/>
      </c>
      <c r="AJ64">
        <f>IF(NOT(ISNUMBER($D64)),"",_xlfn.NORM.DIST(AJ$1,$D64,$E64,TRUE)-_xlfn.NORM.DIST(AJ$2,$D64,$E64,TRUE))</f>
        <v/>
      </c>
      <c r="AK64">
        <f>IF(NOT(ISNUMBER($D64)),"",_xlfn.NORM.DIST(AK$1,$D64,$E64,TRUE)-_xlfn.NORM.DIST(AK$2,$D64,$E64,TRUE))</f>
        <v/>
      </c>
      <c r="AL64">
        <f>IF(NOT(ISNUMBER($D64)),"",_xlfn.NORM.DIST(AL$1,$D64,$E64,TRUE)-_xlfn.NORM.DIST(AL$2,$D64,$E64,TRUE))</f>
        <v/>
      </c>
      <c r="AM64">
        <f>IF(NOT(ISNUMBER($D64)),"",_xlfn.NORM.DIST(AM$1,$D64,$E64,TRUE)-_xlfn.NORM.DIST(AM$2,$D64,$E64,TRUE))</f>
        <v/>
      </c>
      <c r="AN64">
        <f>IF(NOT(ISNUMBER($D64)),"",_xlfn.NORM.DIST(AN$1,$D64,$E64,TRUE)-_xlfn.NORM.DIST(AN$2,$D64,$E64,TRUE))</f>
        <v/>
      </c>
      <c r="AO64">
        <f>IF(NOT(ISNUMBER($D64)),"",_xlfn.NORM.DIST(AO$1,$D64,$E64,TRUE)-_xlfn.NORM.DIST(AO$2,$D64,$E64,TRUE))</f>
        <v/>
      </c>
      <c r="AP64">
        <f>IF(NOT(ISNUMBER($D64)),"",_xlfn.NORM.DIST(AP$1,$D64,$E64,TRUE)-_xlfn.NORM.DIST(AP$2,$D64,$E64,TRUE))</f>
        <v/>
      </c>
      <c r="AQ64">
        <f>IF(NOT(ISNUMBER($D64)),"",_xlfn.NORM.DIST(AQ$1,$D64,$E64,TRUE)-_xlfn.NORM.DIST(AQ$2,$D64,$E64,TRUE))</f>
        <v/>
      </c>
      <c r="AR64">
        <f>IF(NOT(ISNUMBER($D64)),"",_xlfn.NORM.DIST(AR$1,$D64,$E64,TRUE)-_xlfn.NORM.DIST(AR$2,$D64,$E64,TRUE))</f>
        <v/>
      </c>
      <c r="AS64">
        <f>IF(NOT(ISNUMBER($D64)),"",_xlfn.NORM.DIST(AS$1,$D64,$E64,TRUE)-_xlfn.NORM.DIST(AS$2,$D64,$E64,TRUE))</f>
        <v/>
      </c>
      <c r="AT64">
        <f>IF(NOT(ISNUMBER($D64)),"",_xlfn.NORM.DIST(AT$1,$D64,$E64,TRUE)-_xlfn.NORM.DIST(AT$2,$D64,$E64,TRUE))</f>
        <v/>
      </c>
      <c r="AU64">
        <f>IF(NOT(ISNUMBER($D64)),"",_xlfn.NORM.DIST(AU$1,$D64,$E64,TRUE)-_xlfn.NORM.DIST(AU$2,$D64,$E64,TRUE))</f>
        <v/>
      </c>
      <c r="AV64">
        <f>IF(NOT(ISNUMBER($D64)),"",_xlfn.NORM.DIST(AV$1,$D64,$E64,TRUE)-_xlfn.NORM.DIST(AV$2,$D64,$E64,TRUE))</f>
        <v/>
      </c>
      <c r="AW64">
        <f>IF(NOT(ISNUMBER($D64)),"",_xlfn.NORM.DIST(AW$1,$D64,$E64,TRUE)-_xlfn.NORM.DIST(AW$2,$D64,$E64,TRUE))</f>
        <v/>
      </c>
      <c r="AX64">
        <f>IF(NOT(ISNUMBER($D64)),"",_xlfn.NORM.DIST(AX$1,$D64,$E64,TRUE)-_xlfn.NORM.DIST(AX$2,$D64,$E64,TRUE))</f>
        <v/>
      </c>
      <c r="AY64">
        <f>IF(NOT(ISNUMBER($D64)),"",_xlfn.NORM.DIST(AY$1,$D64,$E64,TRUE)-_xlfn.NORM.DIST(AY$2,$D64,$E64,TRUE))</f>
        <v/>
      </c>
      <c r="AZ64">
        <f>IF(NOT(ISNUMBER($D64)),"",_xlfn.NORM.DIST(AZ$1,$D64,$E64,TRUE)-_xlfn.NORM.DIST(AZ$2,$D64,$E64,TRUE))</f>
        <v/>
      </c>
      <c r="BA64">
        <f>IF(NOT(ISNUMBER($D64)),"",_xlfn.NORM.DIST(BA$1,$D64,$E64,TRUE)-_xlfn.NORM.DIST(BA$2,$D64,$E64,TRUE))</f>
        <v/>
      </c>
      <c r="BB64">
        <f>IF(NOT(ISNUMBER($D64)),"",_xlfn.NORM.DIST(BB$1,$D64,$E64,TRUE)-_xlfn.NORM.DIST(BB$2,$D64,$E64,TRUE))</f>
        <v/>
      </c>
      <c r="BC64">
        <f>IF(NOT(ISNUMBER($D64)),"",_xlfn.NORM.DIST(BC$1,$D64,$E64,TRUE)-_xlfn.NORM.DIST(BC$2,$D64,$E64,TRUE))</f>
        <v/>
      </c>
      <c r="BD64">
        <f>IF(NOT(ISNUMBER($D64)),"",_xlfn.NORM.DIST(BD$1,$D64,$E64,TRUE)-_xlfn.NORM.DIST(BD$2,$D64,$E64,TRUE))</f>
        <v/>
      </c>
      <c r="BE64">
        <f>IF(NOT(ISNUMBER($D64)),"",_xlfn.NORM.DIST(BE$1,$D64,$E64,TRUE)-_xlfn.NORM.DIST(BE$2,$D64,$E64,TRUE))</f>
        <v/>
      </c>
      <c r="BF64">
        <f>IF(NOT(ISNUMBER($D64)),"",_xlfn.NORM.DIST(BF$1,$D64,$E64,TRUE)-_xlfn.NORM.DIST(BF$2,$D64,$E64,TRUE))</f>
        <v/>
      </c>
      <c r="BG64">
        <f>IF(NOT(ISNUMBER($D64)),"",_xlfn.NORM.DIST(BG$1,$D64,$E64,TRUE)-_xlfn.NORM.DIST(BG$2,$D64,$E64,TRUE))</f>
        <v/>
      </c>
      <c r="BH64">
        <f>IF(NOT(ISNUMBER($D64)),"",_xlfn.NORM.DIST(BH$1,$D64,$E64,TRUE)-_xlfn.NORM.DIST(BH$2,$D64,$E64,TRUE))</f>
        <v/>
      </c>
      <c r="BI64">
        <f>IF(NOT(ISNUMBER($D64)),"",_xlfn.NORM.DIST(BI$1,$D64,$E64,TRUE)-_xlfn.NORM.DIST(BI$2,$D64,$E64,TRUE))</f>
        <v/>
      </c>
      <c r="BJ64">
        <f>IF(NOT(ISNUMBER($D64)),"",_xlfn.NORM.DIST(BJ$1,$D64,$E64,TRUE)-_xlfn.NORM.DIST(BJ$2,$D64,$E64,TRUE))</f>
        <v/>
      </c>
      <c r="BK64">
        <f>IF(NOT(ISNUMBER($D64)),"",_xlfn.NORM.DIST(BK$1,$D64,$E64,TRUE)-_xlfn.NORM.DIST(BK$2,$D64,$E64,TRUE))</f>
        <v/>
      </c>
      <c r="BL64">
        <f>IF(NOT(ISNUMBER($D64)),"",_xlfn.NORM.DIST(BL$1,$D64,$E64,TRUE)-_xlfn.NORM.DIST(BL$2,$D64,$E64,TRUE))</f>
        <v/>
      </c>
      <c r="BM64">
        <f>IF(NOT(ISNUMBER($D64)),"",_xlfn.NORM.DIST(BM$1,$D64,$E64,TRUE)-_xlfn.NORM.DIST(BM$2,$D64,$E64,TRUE))</f>
        <v/>
      </c>
      <c r="BN64">
        <f>IF(NOT(ISNUMBER($D64)),"",_xlfn.NORM.DIST(BN$1,$D64,$E64,TRUE)-_xlfn.NORM.DIST(BN$2,$D64,$E64,TRUE))</f>
        <v/>
      </c>
      <c r="BO64">
        <f>IF(NOT(ISNUMBER($D64)),"",_xlfn.NORM.DIST(BO$1,$D64,$E64,TRUE)-_xlfn.NORM.DIST(BO$2,$D64,$E64,TRUE))</f>
        <v/>
      </c>
      <c r="BP64">
        <f>IF(NOT(ISNUMBER($D64)),"",_xlfn.NORM.DIST(BP$1,$D64,$E64,TRUE)-_xlfn.NORM.DIST(BP$2,$D64,$E64,TRUE))</f>
        <v/>
      </c>
      <c r="BQ64">
        <f>IF(NOT(ISNUMBER($D64)),"",_xlfn.NORM.DIST(BQ$1,$D64,$E64,TRUE)-_xlfn.NORM.DIST(BQ$2,$D64,$E64,TRUE))</f>
        <v/>
      </c>
      <c r="BR64">
        <f>IF(NOT(ISNUMBER($D64)),"",_xlfn.NORM.DIST(BR$1,$D64,$E64,TRUE)-_xlfn.NORM.DIST(BR$2,$D64,$E64,TRUE))</f>
        <v/>
      </c>
      <c r="BS64">
        <f>IF(NOT(ISNUMBER($D64)),"",_xlfn.NORM.DIST(BS$1,$D64,$E64,TRUE)-_xlfn.NORM.DIST(BS$2,$D64,$E64,TRUE))</f>
        <v/>
      </c>
      <c r="BT64">
        <f>IF(NOT(ISNUMBER($D64)),"",_xlfn.NORM.DIST(BT$1,$D64,$E64,TRUE)-_xlfn.NORM.DIST(BT$2,$D64,$E64,TRUE))</f>
        <v/>
      </c>
      <c r="BU64">
        <f>IF(NOT(ISNUMBER($D64)),"",_xlfn.NORM.DIST(BU$1,$D64,$E64,TRUE)-_xlfn.NORM.DIST(BU$2,$D64,$E64,TRUE))</f>
        <v/>
      </c>
      <c r="BV64">
        <f>IF(NOT(ISNUMBER($D64)),"",_xlfn.NORM.DIST(BV$1,$D64,$E64,TRUE)-_xlfn.NORM.DIST(BV$2,$D64,$E64,TRUE))</f>
        <v/>
      </c>
      <c r="BW64">
        <f>IF(NOT(ISNUMBER($D64)),"",_xlfn.NORM.DIST(BW$1,$D64,$E64,TRUE)-_xlfn.NORM.DIST(BW$2,$D64,$E64,TRUE))</f>
        <v/>
      </c>
      <c r="BX64">
        <f>IF(NOT(ISNUMBER($D64)),"",_xlfn.NORM.DIST(BX$1,$D64,$E64,TRUE)-_xlfn.NORM.DIST(BX$2,$D64,$E64,TRUE))</f>
        <v/>
      </c>
      <c r="BY64">
        <f>IF(NOT(ISNUMBER($D64)),"",_xlfn.NORM.DIST(BY$1,$D64,$E64,TRUE)-_xlfn.NORM.DIST(BY$2,$D64,$E64,TRUE))</f>
        <v/>
      </c>
      <c r="BZ64">
        <f>IF(NOT(ISNUMBER($D64)),"",_xlfn.NORM.DIST(BZ$1,$D64,$E64,TRUE)-_xlfn.NORM.DIST(BZ$2,$D64,$E64,TRUE))</f>
        <v/>
      </c>
      <c r="CA64">
        <f>IF(NOT(ISNUMBER($D64)),"",_xlfn.NORM.DIST(CA$1,$D64,$E64,TRUE)-_xlfn.NORM.DIST(CA$2,$D64,$E64,TRUE))</f>
        <v/>
      </c>
      <c r="CB64">
        <f>IF(NOT(ISNUMBER($D64)),"",_xlfn.NORM.DIST(CB$1,$D64,$E64,TRUE)-_xlfn.NORM.DIST(CB$2,$D64,$E64,TRUE))</f>
        <v/>
      </c>
      <c r="CC64">
        <f>IF(NOT(ISNUMBER($D64)),"",_xlfn.NORM.DIST(CC$1,$D64,$E64,TRUE)-_xlfn.NORM.DIST(CC$2,$D64,$E64,TRUE))</f>
        <v/>
      </c>
      <c r="CD64">
        <f>IF(NOT(ISNUMBER($D64)),"",_xlfn.NORM.DIST(CD$1,$D64,$E64,TRUE)-_xlfn.NORM.DIST(CD$2,$D64,$E64,TRUE))</f>
        <v/>
      </c>
      <c r="CE64">
        <f>IF(NOT(ISNUMBER($D64)),"",_xlfn.NORM.DIST(CE$1,$D64,$E64,TRUE)-_xlfn.NORM.DIST(CE$2,$D64,$E64,TRUE))</f>
        <v/>
      </c>
      <c r="CF64">
        <f>IF(NOT(ISNUMBER($D64)),"",_xlfn.NORM.DIST(CF$1,$D64,$E64,TRUE)-_xlfn.NORM.DIST(CF$2,$D64,$E64,TRUE))</f>
        <v/>
      </c>
      <c r="CG64">
        <f>IF(NOT(ISNUMBER($D64)),"",_xlfn.NORM.DIST(CG$1,$D64,$E64,TRUE)-_xlfn.NORM.DIST(CG$2,$D64,$E64,TRUE))</f>
        <v/>
      </c>
      <c r="CH64">
        <f>IF(NOT(ISNUMBER($D64)),"",_xlfn.NORM.DIST(CH$1,$D64,$E64,TRUE)-_xlfn.NORM.DIST(CH$2,$D64,$E64,TRUE))</f>
        <v/>
      </c>
      <c r="CI64">
        <f>IF(NOT(ISNUMBER($D64)),"",_xlfn.NORM.DIST(CI$1,$D64,$E64,TRUE)-_xlfn.NORM.DIST(CI$2,$D64,$E64,TRUE))</f>
        <v/>
      </c>
      <c r="CJ64">
        <f>IF(ISNUMBER($D64),SUM(F64:CI64),"")</f>
        <v/>
      </c>
    </row>
    <row r="65">
      <c r="A65">
        <f>economics!A64</f>
        <v/>
      </c>
      <c r="B65">
        <f>economics!B64</f>
        <v/>
      </c>
      <c r="C65">
        <f>economics!D64</f>
        <v/>
      </c>
      <c r="D65">
        <f>IF(ISNUMBER(economics!T64),economics!T64,"na")</f>
        <v/>
      </c>
      <c r="E65">
        <f>IF(ISNUMBER(D65),MAX(0.3*ABS(D65),0.000001),"na")</f>
        <v/>
      </c>
      <c r="F65">
        <f>IF(NOT(ISNUMBER($D65)),"",_xlfn.NORM.DIST(F$1,$D65,$E65,TRUE)-_xlfn.NORM.DIST(F$2,$D65,$E65,TRUE))</f>
        <v/>
      </c>
      <c r="G65">
        <f>IF(NOT(ISNUMBER($D65)),"",_xlfn.NORM.DIST(G$1,$D65,$E65,TRUE)-_xlfn.NORM.DIST(G$2,$D65,$E65,TRUE))</f>
        <v/>
      </c>
      <c r="H65">
        <f>IF(NOT(ISNUMBER($D65)),"",_xlfn.NORM.DIST(H$1,$D65,$E65,TRUE)-_xlfn.NORM.DIST(H$2,$D65,$E65,TRUE))</f>
        <v/>
      </c>
      <c r="I65">
        <f>IF(NOT(ISNUMBER($D65)),"",_xlfn.NORM.DIST(I$1,$D65,$E65,TRUE)-_xlfn.NORM.DIST(I$2,$D65,$E65,TRUE))</f>
        <v/>
      </c>
      <c r="J65">
        <f>IF(NOT(ISNUMBER($D65)),"",_xlfn.NORM.DIST(J$1,$D65,$E65,TRUE)-_xlfn.NORM.DIST(J$2,$D65,$E65,TRUE))</f>
        <v/>
      </c>
      <c r="K65">
        <f>IF(NOT(ISNUMBER($D65)),"",_xlfn.NORM.DIST(K$1,$D65,$E65,TRUE)-_xlfn.NORM.DIST(K$2,$D65,$E65,TRUE))</f>
        <v/>
      </c>
      <c r="L65">
        <f>IF(NOT(ISNUMBER($D65)),"",_xlfn.NORM.DIST(L$1,$D65,$E65,TRUE)-_xlfn.NORM.DIST(L$2,$D65,$E65,TRUE))</f>
        <v/>
      </c>
      <c r="M65">
        <f>IF(NOT(ISNUMBER($D65)),"",_xlfn.NORM.DIST(M$1,$D65,$E65,TRUE)-_xlfn.NORM.DIST(M$2,$D65,$E65,TRUE))</f>
        <v/>
      </c>
      <c r="N65">
        <f>IF(NOT(ISNUMBER($D65)),"",_xlfn.NORM.DIST(N$1,$D65,$E65,TRUE)-_xlfn.NORM.DIST(N$2,$D65,$E65,TRUE))</f>
        <v/>
      </c>
      <c r="O65">
        <f>IF(NOT(ISNUMBER($D65)),"",_xlfn.NORM.DIST(O$1,$D65,$E65,TRUE)-_xlfn.NORM.DIST(O$2,$D65,$E65,TRUE))</f>
        <v/>
      </c>
      <c r="P65">
        <f>IF(NOT(ISNUMBER($D65)),"",_xlfn.NORM.DIST(P$1,$D65,$E65,TRUE)-_xlfn.NORM.DIST(P$2,$D65,$E65,TRUE))</f>
        <v/>
      </c>
      <c r="Q65">
        <f>IF(NOT(ISNUMBER($D65)),"",_xlfn.NORM.DIST(Q$1,$D65,$E65,TRUE)-_xlfn.NORM.DIST(Q$2,$D65,$E65,TRUE))</f>
        <v/>
      </c>
      <c r="R65">
        <f>IF(NOT(ISNUMBER($D65)),"",_xlfn.NORM.DIST(R$1,$D65,$E65,TRUE)-_xlfn.NORM.DIST(R$2,$D65,$E65,TRUE))</f>
        <v/>
      </c>
      <c r="S65">
        <f>IF(NOT(ISNUMBER($D65)),"",_xlfn.NORM.DIST(S$1,$D65,$E65,TRUE)-_xlfn.NORM.DIST(S$2,$D65,$E65,TRUE))</f>
        <v/>
      </c>
      <c r="T65">
        <f>IF(NOT(ISNUMBER($D65)),"",_xlfn.NORM.DIST(T$1,$D65,$E65,TRUE)-_xlfn.NORM.DIST(T$2,$D65,$E65,TRUE))</f>
        <v/>
      </c>
      <c r="U65">
        <f>IF(NOT(ISNUMBER($D65)),"",_xlfn.NORM.DIST(U$1,$D65,$E65,TRUE)-_xlfn.NORM.DIST(U$2,$D65,$E65,TRUE))</f>
        <v/>
      </c>
      <c r="V65">
        <f>IF(NOT(ISNUMBER($D65)),"",_xlfn.NORM.DIST(V$1,$D65,$E65,TRUE)-_xlfn.NORM.DIST(V$2,$D65,$E65,TRUE))</f>
        <v/>
      </c>
      <c r="W65">
        <f>IF(NOT(ISNUMBER($D65)),"",_xlfn.NORM.DIST(W$1,$D65,$E65,TRUE)-_xlfn.NORM.DIST(W$2,$D65,$E65,TRUE))</f>
        <v/>
      </c>
      <c r="X65">
        <f>IF(NOT(ISNUMBER($D65)),"",_xlfn.NORM.DIST(X$1,$D65,$E65,TRUE)-_xlfn.NORM.DIST(X$2,$D65,$E65,TRUE))</f>
        <v/>
      </c>
      <c r="Y65">
        <f>IF(NOT(ISNUMBER($D65)),"",_xlfn.NORM.DIST(Y$1,$D65,$E65,TRUE)-_xlfn.NORM.DIST(Y$2,$D65,$E65,TRUE))</f>
        <v/>
      </c>
      <c r="Z65">
        <f>IF(NOT(ISNUMBER($D65)),"",_xlfn.NORM.DIST(Z$1,$D65,$E65,TRUE)-_xlfn.NORM.DIST(Z$2,$D65,$E65,TRUE))</f>
        <v/>
      </c>
      <c r="AA65">
        <f>IF(NOT(ISNUMBER($D65)),"",_xlfn.NORM.DIST(AA$1,$D65,$E65,TRUE)-_xlfn.NORM.DIST(AA$2,$D65,$E65,TRUE))</f>
        <v/>
      </c>
      <c r="AB65">
        <f>IF(NOT(ISNUMBER($D65)),"",_xlfn.NORM.DIST(AB$1,$D65,$E65,TRUE)-_xlfn.NORM.DIST(AB$2,$D65,$E65,TRUE))</f>
        <v/>
      </c>
      <c r="AC65">
        <f>IF(NOT(ISNUMBER($D65)),"",_xlfn.NORM.DIST(AC$1,$D65,$E65,TRUE)-_xlfn.NORM.DIST(AC$2,$D65,$E65,TRUE))</f>
        <v/>
      </c>
      <c r="AD65">
        <f>IF(NOT(ISNUMBER($D65)),"",_xlfn.NORM.DIST(AD$1,$D65,$E65,TRUE)-_xlfn.NORM.DIST(AD$2,$D65,$E65,TRUE))</f>
        <v/>
      </c>
      <c r="AE65">
        <f>IF(NOT(ISNUMBER($D65)),"",_xlfn.NORM.DIST(AE$1,$D65,$E65,TRUE)-_xlfn.NORM.DIST(AE$2,$D65,$E65,TRUE))</f>
        <v/>
      </c>
      <c r="AF65">
        <f>IF(NOT(ISNUMBER($D65)),"",_xlfn.NORM.DIST(AF$1,$D65,$E65,TRUE)-_xlfn.NORM.DIST(AF$2,$D65,$E65,TRUE))</f>
        <v/>
      </c>
      <c r="AG65">
        <f>IF(NOT(ISNUMBER($D65)),"",_xlfn.NORM.DIST(AG$1,$D65,$E65,TRUE)-_xlfn.NORM.DIST(AG$2,$D65,$E65,TRUE))</f>
        <v/>
      </c>
      <c r="AH65">
        <f>IF(NOT(ISNUMBER($D65)),"",_xlfn.NORM.DIST(AH$1,$D65,$E65,TRUE)-_xlfn.NORM.DIST(AH$2,$D65,$E65,TRUE))</f>
        <v/>
      </c>
      <c r="AI65">
        <f>IF(NOT(ISNUMBER($D65)),"",_xlfn.NORM.DIST(AI$1,$D65,$E65,TRUE)-_xlfn.NORM.DIST(AI$2,$D65,$E65,TRUE))</f>
        <v/>
      </c>
      <c r="AJ65">
        <f>IF(NOT(ISNUMBER($D65)),"",_xlfn.NORM.DIST(AJ$1,$D65,$E65,TRUE)-_xlfn.NORM.DIST(AJ$2,$D65,$E65,TRUE))</f>
        <v/>
      </c>
      <c r="AK65">
        <f>IF(NOT(ISNUMBER($D65)),"",_xlfn.NORM.DIST(AK$1,$D65,$E65,TRUE)-_xlfn.NORM.DIST(AK$2,$D65,$E65,TRUE))</f>
        <v/>
      </c>
      <c r="AL65">
        <f>IF(NOT(ISNUMBER($D65)),"",_xlfn.NORM.DIST(AL$1,$D65,$E65,TRUE)-_xlfn.NORM.DIST(AL$2,$D65,$E65,TRUE))</f>
        <v/>
      </c>
      <c r="AM65">
        <f>IF(NOT(ISNUMBER($D65)),"",_xlfn.NORM.DIST(AM$1,$D65,$E65,TRUE)-_xlfn.NORM.DIST(AM$2,$D65,$E65,TRUE))</f>
        <v/>
      </c>
      <c r="AN65">
        <f>IF(NOT(ISNUMBER($D65)),"",_xlfn.NORM.DIST(AN$1,$D65,$E65,TRUE)-_xlfn.NORM.DIST(AN$2,$D65,$E65,TRUE))</f>
        <v/>
      </c>
      <c r="AO65">
        <f>IF(NOT(ISNUMBER($D65)),"",_xlfn.NORM.DIST(AO$1,$D65,$E65,TRUE)-_xlfn.NORM.DIST(AO$2,$D65,$E65,TRUE))</f>
        <v/>
      </c>
      <c r="AP65">
        <f>IF(NOT(ISNUMBER($D65)),"",_xlfn.NORM.DIST(AP$1,$D65,$E65,TRUE)-_xlfn.NORM.DIST(AP$2,$D65,$E65,TRUE))</f>
        <v/>
      </c>
      <c r="AQ65">
        <f>IF(NOT(ISNUMBER($D65)),"",_xlfn.NORM.DIST(AQ$1,$D65,$E65,TRUE)-_xlfn.NORM.DIST(AQ$2,$D65,$E65,TRUE))</f>
        <v/>
      </c>
      <c r="AR65">
        <f>IF(NOT(ISNUMBER($D65)),"",_xlfn.NORM.DIST(AR$1,$D65,$E65,TRUE)-_xlfn.NORM.DIST(AR$2,$D65,$E65,TRUE))</f>
        <v/>
      </c>
      <c r="AS65">
        <f>IF(NOT(ISNUMBER($D65)),"",_xlfn.NORM.DIST(AS$1,$D65,$E65,TRUE)-_xlfn.NORM.DIST(AS$2,$D65,$E65,TRUE))</f>
        <v/>
      </c>
      <c r="AT65">
        <f>IF(NOT(ISNUMBER($D65)),"",_xlfn.NORM.DIST(AT$1,$D65,$E65,TRUE)-_xlfn.NORM.DIST(AT$2,$D65,$E65,TRUE))</f>
        <v/>
      </c>
      <c r="AU65">
        <f>IF(NOT(ISNUMBER($D65)),"",_xlfn.NORM.DIST(AU$1,$D65,$E65,TRUE)-_xlfn.NORM.DIST(AU$2,$D65,$E65,TRUE))</f>
        <v/>
      </c>
      <c r="AV65">
        <f>IF(NOT(ISNUMBER($D65)),"",_xlfn.NORM.DIST(AV$1,$D65,$E65,TRUE)-_xlfn.NORM.DIST(AV$2,$D65,$E65,TRUE))</f>
        <v/>
      </c>
      <c r="AW65">
        <f>IF(NOT(ISNUMBER($D65)),"",_xlfn.NORM.DIST(AW$1,$D65,$E65,TRUE)-_xlfn.NORM.DIST(AW$2,$D65,$E65,TRUE))</f>
        <v/>
      </c>
      <c r="AX65">
        <f>IF(NOT(ISNUMBER($D65)),"",_xlfn.NORM.DIST(AX$1,$D65,$E65,TRUE)-_xlfn.NORM.DIST(AX$2,$D65,$E65,TRUE))</f>
        <v/>
      </c>
      <c r="AY65">
        <f>IF(NOT(ISNUMBER($D65)),"",_xlfn.NORM.DIST(AY$1,$D65,$E65,TRUE)-_xlfn.NORM.DIST(AY$2,$D65,$E65,TRUE))</f>
        <v/>
      </c>
      <c r="AZ65">
        <f>IF(NOT(ISNUMBER($D65)),"",_xlfn.NORM.DIST(AZ$1,$D65,$E65,TRUE)-_xlfn.NORM.DIST(AZ$2,$D65,$E65,TRUE))</f>
        <v/>
      </c>
      <c r="BA65">
        <f>IF(NOT(ISNUMBER($D65)),"",_xlfn.NORM.DIST(BA$1,$D65,$E65,TRUE)-_xlfn.NORM.DIST(BA$2,$D65,$E65,TRUE))</f>
        <v/>
      </c>
      <c r="BB65">
        <f>IF(NOT(ISNUMBER($D65)),"",_xlfn.NORM.DIST(BB$1,$D65,$E65,TRUE)-_xlfn.NORM.DIST(BB$2,$D65,$E65,TRUE))</f>
        <v/>
      </c>
      <c r="BC65">
        <f>IF(NOT(ISNUMBER($D65)),"",_xlfn.NORM.DIST(BC$1,$D65,$E65,TRUE)-_xlfn.NORM.DIST(BC$2,$D65,$E65,TRUE))</f>
        <v/>
      </c>
      <c r="BD65">
        <f>IF(NOT(ISNUMBER($D65)),"",_xlfn.NORM.DIST(BD$1,$D65,$E65,TRUE)-_xlfn.NORM.DIST(BD$2,$D65,$E65,TRUE))</f>
        <v/>
      </c>
      <c r="BE65">
        <f>IF(NOT(ISNUMBER($D65)),"",_xlfn.NORM.DIST(BE$1,$D65,$E65,TRUE)-_xlfn.NORM.DIST(BE$2,$D65,$E65,TRUE))</f>
        <v/>
      </c>
      <c r="BF65">
        <f>IF(NOT(ISNUMBER($D65)),"",_xlfn.NORM.DIST(BF$1,$D65,$E65,TRUE)-_xlfn.NORM.DIST(BF$2,$D65,$E65,TRUE))</f>
        <v/>
      </c>
      <c r="BG65">
        <f>IF(NOT(ISNUMBER($D65)),"",_xlfn.NORM.DIST(BG$1,$D65,$E65,TRUE)-_xlfn.NORM.DIST(BG$2,$D65,$E65,TRUE))</f>
        <v/>
      </c>
      <c r="BH65">
        <f>IF(NOT(ISNUMBER($D65)),"",_xlfn.NORM.DIST(BH$1,$D65,$E65,TRUE)-_xlfn.NORM.DIST(BH$2,$D65,$E65,TRUE))</f>
        <v/>
      </c>
      <c r="BI65">
        <f>IF(NOT(ISNUMBER($D65)),"",_xlfn.NORM.DIST(BI$1,$D65,$E65,TRUE)-_xlfn.NORM.DIST(BI$2,$D65,$E65,TRUE))</f>
        <v/>
      </c>
      <c r="BJ65">
        <f>IF(NOT(ISNUMBER($D65)),"",_xlfn.NORM.DIST(BJ$1,$D65,$E65,TRUE)-_xlfn.NORM.DIST(BJ$2,$D65,$E65,TRUE))</f>
        <v/>
      </c>
      <c r="BK65">
        <f>IF(NOT(ISNUMBER($D65)),"",_xlfn.NORM.DIST(BK$1,$D65,$E65,TRUE)-_xlfn.NORM.DIST(BK$2,$D65,$E65,TRUE))</f>
        <v/>
      </c>
      <c r="BL65">
        <f>IF(NOT(ISNUMBER($D65)),"",_xlfn.NORM.DIST(BL$1,$D65,$E65,TRUE)-_xlfn.NORM.DIST(BL$2,$D65,$E65,TRUE))</f>
        <v/>
      </c>
      <c r="BM65">
        <f>IF(NOT(ISNUMBER($D65)),"",_xlfn.NORM.DIST(BM$1,$D65,$E65,TRUE)-_xlfn.NORM.DIST(BM$2,$D65,$E65,TRUE))</f>
        <v/>
      </c>
      <c r="BN65">
        <f>IF(NOT(ISNUMBER($D65)),"",_xlfn.NORM.DIST(BN$1,$D65,$E65,TRUE)-_xlfn.NORM.DIST(BN$2,$D65,$E65,TRUE))</f>
        <v/>
      </c>
      <c r="BO65">
        <f>IF(NOT(ISNUMBER($D65)),"",_xlfn.NORM.DIST(BO$1,$D65,$E65,TRUE)-_xlfn.NORM.DIST(BO$2,$D65,$E65,TRUE))</f>
        <v/>
      </c>
      <c r="BP65">
        <f>IF(NOT(ISNUMBER($D65)),"",_xlfn.NORM.DIST(BP$1,$D65,$E65,TRUE)-_xlfn.NORM.DIST(BP$2,$D65,$E65,TRUE))</f>
        <v/>
      </c>
      <c r="BQ65">
        <f>IF(NOT(ISNUMBER($D65)),"",_xlfn.NORM.DIST(BQ$1,$D65,$E65,TRUE)-_xlfn.NORM.DIST(BQ$2,$D65,$E65,TRUE))</f>
        <v/>
      </c>
      <c r="BR65">
        <f>IF(NOT(ISNUMBER($D65)),"",_xlfn.NORM.DIST(BR$1,$D65,$E65,TRUE)-_xlfn.NORM.DIST(BR$2,$D65,$E65,TRUE))</f>
        <v/>
      </c>
      <c r="BS65">
        <f>IF(NOT(ISNUMBER($D65)),"",_xlfn.NORM.DIST(BS$1,$D65,$E65,TRUE)-_xlfn.NORM.DIST(BS$2,$D65,$E65,TRUE))</f>
        <v/>
      </c>
      <c r="BT65">
        <f>IF(NOT(ISNUMBER($D65)),"",_xlfn.NORM.DIST(BT$1,$D65,$E65,TRUE)-_xlfn.NORM.DIST(BT$2,$D65,$E65,TRUE))</f>
        <v/>
      </c>
      <c r="BU65">
        <f>IF(NOT(ISNUMBER($D65)),"",_xlfn.NORM.DIST(BU$1,$D65,$E65,TRUE)-_xlfn.NORM.DIST(BU$2,$D65,$E65,TRUE))</f>
        <v/>
      </c>
      <c r="BV65">
        <f>IF(NOT(ISNUMBER($D65)),"",_xlfn.NORM.DIST(BV$1,$D65,$E65,TRUE)-_xlfn.NORM.DIST(BV$2,$D65,$E65,TRUE))</f>
        <v/>
      </c>
      <c r="BW65">
        <f>IF(NOT(ISNUMBER($D65)),"",_xlfn.NORM.DIST(BW$1,$D65,$E65,TRUE)-_xlfn.NORM.DIST(BW$2,$D65,$E65,TRUE))</f>
        <v/>
      </c>
      <c r="BX65">
        <f>IF(NOT(ISNUMBER($D65)),"",_xlfn.NORM.DIST(BX$1,$D65,$E65,TRUE)-_xlfn.NORM.DIST(BX$2,$D65,$E65,TRUE))</f>
        <v/>
      </c>
      <c r="BY65">
        <f>IF(NOT(ISNUMBER($D65)),"",_xlfn.NORM.DIST(BY$1,$D65,$E65,TRUE)-_xlfn.NORM.DIST(BY$2,$D65,$E65,TRUE))</f>
        <v/>
      </c>
      <c r="BZ65">
        <f>IF(NOT(ISNUMBER($D65)),"",_xlfn.NORM.DIST(BZ$1,$D65,$E65,TRUE)-_xlfn.NORM.DIST(BZ$2,$D65,$E65,TRUE))</f>
        <v/>
      </c>
      <c r="CA65">
        <f>IF(NOT(ISNUMBER($D65)),"",_xlfn.NORM.DIST(CA$1,$D65,$E65,TRUE)-_xlfn.NORM.DIST(CA$2,$D65,$E65,TRUE))</f>
        <v/>
      </c>
      <c r="CB65">
        <f>IF(NOT(ISNUMBER($D65)),"",_xlfn.NORM.DIST(CB$1,$D65,$E65,TRUE)-_xlfn.NORM.DIST(CB$2,$D65,$E65,TRUE))</f>
        <v/>
      </c>
      <c r="CC65">
        <f>IF(NOT(ISNUMBER($D65)),"",_xlfn.NORM.DIST(CC$1,$D65,$E65,TRUE)-_xlfn.NORM.DIST(CC$2,$D65,$E65,TRUE))</f>
        <v/>
      </c>
      <c r="CD65">
        <f>IF(NOT(ISNUMBER($D65)),"",_xlfn.NORM.DIST(CD$1,$D65,$E65,TRUE)-_xlfn.NORM.DIST(CD$2,$D65,$E65,TRUE))</f>
        <v/>
      </c>
      <c r="CE65">
        <f>IF(NOT(ISNUMBER($D65)),"",_xlfn.NORM.DIST(CE$1,$D65,$E65,TRUE)-_xlfn.NORM.DIST(CE$2,$D65,$E65,TRUE))</f>
        <v/>
      </c>
      <c r="CF65">
        <f>IF(NOT(ISNUMBER($D65)),"",_xlfn.NORM.DIST(CF$1,$D65,$E65,TRUE)-_xlfn.NORM.DIST(CF$2,$D65,$E65,TRUE))</f>
        <v/>
      </c>
      <c r="CG65">
        <f>IF(NOT(ISNUMBER($D65)),"",_xlfn.NORM.DIST(CG$1,$D65,$E65,TRUE)-_xlfn.NORM.DIST(CG$2,$D65,$E65,TRUE))</f>
        <v/>
      </c>
      <c r="CH65">
        <f>IF(NOT(ISNUMBER($D65)),"",_xlfn.NORM.DIST(CH$1,$D65,$E65,TRUE)-_xlfn.NORM.DIST(CH$2,$D65,$E65,TRUE))</f>
        <v/>
      </c>
      <c r="CI65">
        <f>IF(NOT(ISNUMBER($D65)),"",_xlfn.NORM.DIST(CI$1,$D65,$E65,TRUE)-_xlfn.NORM.DIST(CI$2,$D65,$E65,TRUE))</f>
        <v/>
      </c>
      <c r="CJ65">
        <f>IF(ISNUMBER($D65),SUM(F65:CI65),"")</f>
        <v/>
      </c>
    </row>
    <row r="66">
      <c r="A66">
        <f>economics!A65</f>
        <v/>
      </c>
      <c r="B66">
        <f>economics!B65</f>
        <v/>
      </c>
      <c r="C66">
        <f>economics!D65</f>
        <v/>
      </c>
      <c r="D66">
        <f>IF(ISNUMBER(economics!T65),economics!T65,"na")</f>
        <v/>
      </c>
      <c r="E66">
        <f>IF(ISNUMBER(D66),MAX(0.3*ABS(D66),0.000001),"na")</f>
        <v/>
      </c>
      <c r="F66">
        <f>IF(NOT(ISNUMBER($D66)),"",_xlfn.NORM.DIST(F$1,$D66,$E66,TRUE)-_xlfn.NORM.DIST(F$2,$D66,$E66,TRUE))</f>
        <v/>
      </c>
      <c r="G66">
        <f>IF(NOT(ISNUMBER($D66)),"",_xlfn.NORM.DIST(G$1,$D66,$E66,TRUE)-_xlfn.NORM.DIST(G$2,$D66,$E66,TRUE))</f>
        <v/>
      </c>
      <c r="H66">
        <f>IF(NOT(ISNUMBER($D66)),"",_xlfn.NORM.DIST(H$1,$D66,$E66,TRUE)-_xlfn.NORM.DIST(H$2,$D66,$E66,TRUE))</f>
        <v/>
      </c>
      <c r="I66">
        <f>IF(NOT(ISNUMBER($D66)),"",_xlfn.NORM.DIST(I$1,$D66,$E66,TRUE)-_xlfn.NORM.DIST(I$2,$D66,$E66,TRUE))</f>
        <v/>
      </c>
      <c r="J66">
        <f>IF(NOT(ISNUMBER($D66)),"",_xlfn.NORM.DIST(J$1,$D66,$E66,TRUE)-_xlfn.NORM.DIST(J$2,$D66,$E66,TRUE))</f>
        <v/>
      </c>
      <c r="K66">
        <f>IF(NOT(ISNUMBER($D66)),"",_xlfn.NORM.DIST(K$1,$D66,$E66,TRUE)-_xlfn.NORM.DIST(K$2,$D66,$E66,TRUE))</f>
        <v/>
      </c>
      <c r="L66">
        <f>IF(NOT(ISNUMBER($D66)),"",_xlfn.NORM.DIST(L$1,$D66,$E66,TRUE)-_xlfn.NORM.DIST(L$2,$D66,$E66,TRUE))</f>
        <v/>
      </c>
      <c r="M66">
        <f>IF(NOT(ISNUMBER($D66)),"",_xlfn.NORM.DIST(M$1,$D66,$E66,TRUE)-_xlfn.NORM.DIST(M$2,$D66,$E66,TRUE))</f>
        <v/>
      </c>
      <c r="N66">
        <f>IF(NOT(ISNUMBER($D66)),"",_xlfn.NORM.DIST(N$1,$D66,$E66,TRUE)-_xlfn.NORM.DIST(N$2,$D66,$E66,TRUE))</f>
        <v/>
      </c>
      <c r="O66">
        <f>IF(NOT(ISNUMBER($D66)),"",_xlfn.NORM.DIST(O$1,$D66,$E66,TRUE)-_xlfn.NORM.DIST(O$2,$D66,$E66,TRUE))</f>
        <v/>
      </c>
      <c r="P66">
        <f>IF(NOT(ISNUMBER($D66)),"",_xlfn.NORM.DIST(P$1,$D66,$E66,TRUE)-_xlfn.NORM.DIST(P$2,$D66,$E66,TRUE))</f>
        <v/>
      </c>
      <c r="Q66">
        <f>IF(NOT(ISNUMBER($D66)),"",_xlfn.NORM.DIST(Q$1,$D66,$E66,TRUE)-_xlfn.NORM.DIST(Q$2,$D66,$E66,TRUE))</f>
        <v/>
      </c>
      <c r="R66">
        <f>IF(NOT(ISNUMBER($D66)),"",_xlfn.NORM.DIST(R$1,$D66,$E66,TRUE)-_xlfn.NORM.DIST(R$2,$D66,$E66,TRUE))</f>
        <v/>
      </c>
      <c r="S66">
        <f>IF(NOT(ISNUMBER($D66)),"",_xlfn.NORM.DIST(S$1,$D66,$E66,TRUE)-_xlfn.NORM.DIST(S$2,$D66,$E66,TRUE))</f>
        <v/>
      </c>
      <c r="T66">
        <f>IF(NOT(ISNUMBER($D66)),"",_xlfn.NORM.DIST(T$1,$D66,$E66,TRUE)-_xlfn.NORM.DIST(T$2,$D66,$E66,TRUE))</f>
        <v/>
      </c>
      <c r="U66">
        <f>IF(NOT(ISNUMBER($D66)),"",_xlfn.NORM.DIST(U$1,$D66,$E66,TRUE)-_xlfn.NORM.DIST(U$2,$D66,$E66,TRUE))</f>
        <v/>
      </c>
      <c r="V66">
        <f>IF(NOT(ISNUMBER($D66)),"",_xlfn.NORM.DIST(V$1,$D66,$E66,TRUE)-_xlfn.NORM.DIST(V$2,$D66,$E66,TRUE))</f>
        <v/>
      </c>
      <c r="W66">
        <f>IF(NOT(ISNUMBER($D66)),"",_xlfn.NORM.DIST(W$1,$D66,$E66,TRUE)-_xlfn.NORM.DIST(W$2,$D66,$E66,TRUE))</f>
        <v/>
      </c>
      <c r="X66">
        <f>IF(NOT(ISNUMBER($D66)),"",_xlfn.NORM.DIST(X$1,$D66,$E66,TRUE)-_xlfn.NORM.DIST(X$2,$D66,$E66,TRUE))</f>
        <v/>
      </c>
      <c r="Y66">
        <f>IF(NOT(ISNUMBER($D66)),"",_xlfn.NORM.DIST(Y$1,$D66,$E66,TRUE)-_xlfn.NORM.DIST(Y$2,$D66,$E66,TRUE))</f>
        <v/>
      </c>
      <c r="Z66">
        <f>IF(NOT(ISNUMBER($D66)),"",_xlfn.NORM.DIST(Z$1,$D66,$E66,TRUE)-_xlfn.NORM.DIST(Z$2,$D66,$E66,TRUE))</f>
        <v/>
      </c>
      <c r="AA66">
        <f>IF(NOT(ISNUMBER($D66)),"",_xlfn.NORM.DIST(AA$1,$D66,$E66,TRUE)-_xlfn.NORM.DIST(AA$2,$D66,$E66,TRUE))</f>
        <v/>
      </c>
      <c r="AB66">
        <f>IF(NOT(ISNUMBER($D66)),"",_xlfn.NORM.DIST(AB$1,$D66,$E66,TRUE)-_xlfn.NORM.DIST(AB$2,$D66,$E66,TRUE))</f>
        <v/>
      </c>
      <c r="AC66">
        <f>IF(NOT(ISNUMBER($D66)),"",_xlfn.NORM.DIST(AC$1,$D66,$E66,TRUE)-_xlfn.NORM.DIST(AC$2,$D66,$E66,TRUE))</f>
        <v/>
      </c>
      <c r="AD66">
        <f>IF(NOT(ISNUMBER($D66)),"",_xlfn.NORM.DIST(AD$1,$D66,$E66,TRUE)-_xlfn.NORM.DIST(AD$2,$D66,$E66,TRUE))</f>
        <v/>
      </c>
      <c r="AE66">
        <f>IF(NOT(ISNUMBER($D66)),"",_xlfn.NORM.DIST(AE$1,$D66,$E66,TRUE)-_xlfn.NORM.DIST(AE$2,$D66,$E66,TRUE))</f>
        <v/>
      </c>
      <c r="AF66">
        <f>IF(NOT(ISNUMBER($D66)),"",_xlfn.NORM.DIST(AF$1,$D66,$E66,TRUE)-_xlfn.NORM.DIST(AF$2,$D66,$E66,TRUE))</f>
        <v/>
      </c>
      <c r="AG66">
        <f>IF(NOT(ISNUMBER($D66)),"",_xlfn.NORM.DIST(AG$1,$D66,$E66,TRUE)-_xlfn.NORM.DIST(AG$2,$D66,$E66,TRUE))</f>
        <v/>
      </c>
      <c r="AH66">
        <f>IF(NOT(ISNUMBER($D66)),"",_xlfn.NORM.DIST(AH$1,$D66,$E66,TRUE)-_xlfn.NORM.DIST(AH$2,$D66,$E66,TRUE))</f>
        <v/>
      </c>
      <c r="AI66">
        <f>IF(NOT(ISNUMBER($D66)),"",_xlfn.NORM.DIST(AI$1,$D66,$E66,TRUE)-_xlfn.NORM.DIST(AI$2,$D66,$E66,TRUE))</f>
        <v/>
      </c>
      <c r="AJ66">
        <f>IF(NOT(ISNUMBER($D66)),"",_xlfn.NORM.DIST(AJ$1,$D66,$E66,TRUE)-_xlfn.NORM.DIST(AJ$2,$D66,$E66,TRUE))</f>
        <v/>
      </c>
      <c r="AK66">
        <f>IF(NOT(ISNUMBER($D66)),"",_xlfn.NORM.DIST(AK$1,$D66,$E66,TRUE)-_xlfn.NORM.DIST(AK$2,$D66,$E66,TRUE))</f>
        <v/>
      </c>
      <c r="AL66">
        <f>IF(NOT(ISNUMBER($D66)),"",_xlfn.NORM.DIST(AL$1,$D66,$E66,TRUE)-_xlfn.NORM.DIST(AL$2,$D66,$E66,TRUE))</f>
        <v/>
      </c>
      <c r="AM66">
        <f>IF(NOT(ISNUMBER($D66)),"",_xlfn.NORM.DIST(AM$1,$D66,$E66,TRUE)-_xlfn.NORM.DIST(AM$2,$D66,$E66,TRUE))</f>
        <v/>
      </c>
      <c r="AN66">
        <f>IF(NOT(ISNUMBER($D66)),"",_xlfn.NORM.DIST(AN$1,$D66,$E66,TRUE)-_xlfn.NORM.DIST(AN$2,$D66,$E66,TRUE))</f>
        <v/>
      </c>
      <c r="AO66">
        <f>IF(NOT(ISNUMBER($D66)),"",_xlfn.NORM.DIST(AO$1,$D66,$E66,TRUE)-_xlfn.NORM.DIST(AO$2,$D66,$E66,TRUE))</f>
        <v/>
      </c>
      <c r="AP66">
        <f>IF(NOT(ISNUMBER($D66)),"",_xlfn.NORM.DIST(AP$1,$D66,$E66,TRUE)-_xlfn.NORM.DIST(AP$2,$D66,$E66,TRUE))</f>
        <v/>
      </c>
      <c r="AQ66">
        <f>IF(NOT(ISNUMBER($D66)),"",_xlfn.NORM.DIST(AQ$1,$D66,$E66,TRUE)-_xlfn.NORM.DIST(AQ$2,$D66,$E66,TRUE))</f>
        <v/>
      </c>
      <c r="AR66">
        <f>IF(NOT(ISNUMBER($D66)),"",_xlfn.NORM.DIST(AR$1,$D66,$E66,TRUE)-_xlfn.NORM.DIST(AR$2,$D66,$E66,TRUE))</f>
        <v/>
      </c>
      <c r="AS66">
        <f>IF(NOT(ISNUMBER($D66)),"",_xlfn.NORM.DIST(AS$1,$D66,$E66,TRUE)-_xlfn.NORM.DIST(AS$2,$D66,$E66,TRUE))</f>
        <v/>
      </c>
      <c r="AT66">
        <f>IF(NOT(ISNUMBER($D66)),"",_xlfn.NORM.DIST(AT$1,$D66,$E66,TRUE)-_xlfn.NORM.DIST(AT$2,$D66,$E66,TRUE))</f>
        <v/>
      </c>
      <c r="AU66">
        <f>IF(NOT(ISNUMBER($D66)),"",_xlfn.NORM.DIST(AU$1,$D66,$E66,TRUE)-_xlfn.NORM.DIST(AU$2,$D66,$E66,TRUE))</f>
        <v/>
      </c>
      <c r="AV66">
        <f>IF(NOT(ISNUMBER($D66)),"",_xlfn.NORM.DIST(AV$1,$D66,$E66,TRUE)-_xlfn.NORM.DIST(AV$2,$D66,$E66,TRUE))</f>
        <v/>
      </c>
      <c r="AW66">
        <f>IF(NOT(ISNUMBER($D66)),"",_xlfn.NORM.DIST(AW$1,$D66,$E66,TRUE)-_xlfn.NORM.DIST(AW$2,$D66,$E66,TRUE))</f>
        <v/>
      </c>
      <c r="AX66">
        <f>IF(NOT(ISNUMBER($D66)),"",_xlfn.NORM.DIST(AX$1,$D66,$E66,TRUE)-_xlfn.NORM.DIST(AX$2,$D66,$E66,TRUE))</f>
        <v/>
      </c>
      <c r="AY66">
        <f>IF(NOT(ISNUMBER($D66)),"",_xlfn.NORM.DIST(AY$1,$D66,$E66,TRUE)-_xlfn.NORM.DIST(AY$2,$D66,$E66,TRUE))</f>
        <v/>
      </c>
      <c r="AZ66">
        <f>IF(NOT(ISNUMBER($D66)),"",_xlfn.NORM.DIST(AZ$1,$D66,$E66,TRUE)-_xlfn.NORM.DIST(AZ$2,$D66,$E66,TRUE))</f>
        <v/>
      </c>
      <c r="BA66">
        <f>IF(NOT(ISNUMBER($D66)),"",_xlfn.NORM.DIST(BA$1,$D66,$E66,TRUE)-_xlfn.NORM.DIST(BA$2,$D66,$E66,TRUE))</f>
        <v/>
      </c>
      <c r="BB66">
        <f>IF(NOT(ISNUMBER($D66)),"",_xlfn.NORM.DIST(BB$1,$D66,$E66,TRUE)-_xlfn.NORM.DIST(BB$2,$D66,$E66,TRUE))</f>
        <v/>
      </c>
      <c r="BC66">
        <f>IF(NOT(ISNUMBER($D66)),"",_xlfn.NORM.DIST(BC$1,$D66,$E66,TRUE)-_xlfn.NORM.DIST(BC$2,$D66,$E66,TRUE))</f>
        <v/>
      </c>
      <c r="BD66">
        <f>IF(NOT(ISNUMBER($D66)),"",_xlfn.NORM.DIST(BD$1,$D66,$E66,TRUE)-_xlfn.NORM.DIST(BD$2,$D66,$E66,TRUE))</f>
        <v/>
      </c>
      <c r="BE66">
        <f>IF(NOT(ISNUMBER($D66)),"",_xlfn.NORM.DIST(BE$1,$D66,$E66,TRUE)-_xlfn.NORM.DIST(BE$2,$D66,$E66,TRUE))</f>
        <v/>
      </c>
      <c r="BF66">
        <f>IF(NOT(ISNUMBER($D66)),"",_xlfn.NORM.DIST(BF$1,$D66,$E66,TRUE)-_xlfn.NORM.DIST(BF$2,$D66,$E66,TRUE))</f>
        <v/>
      </c>
      <c r="BG66">
        <f>IF(NOT(ISNUMBER($D66)),"",_xlfn.NORM.DIST(BG$1,$D66,$E66,TRUE)-_xlfn.NORM.DIST(BG$2,$D66,$E66,TRUE))</f>
        <v/>
      </c>
      <c r="BH66">
        <f>IF(NOT(ISNUMBER($D66)),"",_xlfn.NORM.DIST(BH$1,$D66,$E66,TRUE)-_xlfn.NORM.DIST(BH$2,$D66,$E66,TRUE))</f>
        <v/>
      </c>
      <c r="BI66">
        <f>IF(NOT(ISNUMBER($D66)),"",_xlfn.NORM.DIST(BI$1,$D66,$E66,TRUE)-_xlfn.NORM.DIST(BI$2,$D66,$E66,TRUE))</f>
        <v/>
      </c>
      <c r="BJ66">
        <f>IF(NOT(ISNUMBER($D66)),"",_xlfn.NORM.DIST(BJ$1,$D66,$E66,TRUE)-_xlfn.NORM.DIST(BJ$2,$D66,$E66,TRUE))</f>
        <v/>
      </c>
      <c r="BK66">
        <f>IF(NOT(ISNUMBER($D66)),"",_xlfn.NORM.DIST(BK$1,$D66,$E66,TRUE)-_xlfn.NORM.DIST(BK$2,$D66,$E66,TRUE))</f>
        <v/>
      </c>
      <c r="BL66">
        <f>IF(NOT(ISNUMBER($D66)),"",_xlfn.NORM.DIST(BL$1,$D66,$E66,TRUE)-_xlfn.NORM.DIST(BL$2,$D66,$E66,TRUE))</f>
        <v/>
      </c>
      <c r="BM66">
        <f>IF(NOT(ISNUMBER($D66)),"",_xlfn.NORM.DIST(BM$1,$D66,$E66,TRUE)-_xlfn.NORM.DIST(BM$2,$D66,$E66,TRUE))</f>
        <v/>
      </c>
      <c r="BN66">
        <f>IF(NOT(ISNUMBER($D66)),"",_xlfn.NORM.DIST(BN$1,$D66,$E66,TRUE)-_xlfn.NORM.DIST(BN$2,$D66,$E66,TRUE))</f>
        <v/>
      </c>
      <c r="BO66">
        <f>IF(NOT(ISNUMBER($D66)),"",_xlfn.NORM.DIST(BO$1,$D66,$E66,TRUE)-_xlfn.NORM.DIST(BO$2,$D66,$E66,TRUE))</f>
        <v/>
      </c>
      <c r="BP66">
        <f>IF(NOT(ISNUMBER($D66)),"",_xlfn.NORM.DIST(BP$1,$D66,$E66,TRUE)-_xlfn.NORM.DIST(BP$2,$D66,$E66,TRUE))</f>
        <v/>
      </c>
      <c r="BQ66">
        <f>IF(NOT(ISNUMBER($D66)),"",_xlfn.NORM.DIST(BQ$1,$D66,$E66,TRUE)-_xlfn.NORM.DIST(BQ$2,$D66,$E66,TRUE))</f>
        <v/>
      </c>
      <c r="BR66">
        <f>IF(NOT(ISNUMBER($D66)),"",_xlfn.NORM.DIST(BR$1,$D66,$E66,TRUE)-_xlfn.NORM.DIST(BR$2,$D66,$E66,TRUE))</f>
        <v/>
      </c>
      <c r="BS66">
        <f>IF(NOT(ISNUMBER($D66)),"",_xlfn.NORM.DIST(BS$1,$D66,$E66,TRUE)-_xlfn.NORM.DIST(BS$2,$D66,$E66,TRUE))</f>
        <v/>
      </c>
      <c r="BT66">
        <f>IF(NOT(ISNUMBER($D66)),"",_xlfn.NORM.DIST(BT$1,$D66,$E66,TRUE)-_xlfn.NORM.DIST(BT$2,$D66,$E66,TRUE))</f>
        <v/>
      </c>
      <c r="BU66">
        <f>IF(NOT(ISNUMBER($D66)),"",_xlfn.NORM.DIST(BU$1,$D66,$E66,TRUE)-_xlfn.NORM.DIST(BU$2,$D66,$E66,TRUE))</f>
        <v/>
      </c>
      <c r="BV66">
        <f>IF(NOT(ISNUMBER($D66)),"",_xlfn.NORM.DIST(BV$1,$D66,$E66,TRUE)-_xlfn.NORM.DIST(BV$2,$D66,$E66,TRUE))</f>
        <v/>
      </c>
      <c r="BW66">
        <f>IF(NOT(ISNUMBER($D66)),"",_xlfn.NORM.DIST(BW$1,$D66,$E66,TRUE)-_xlfn.NORM.DIST(BW$2,$D66,$E66,TRUE))</f>
        <v/>
      </c>
      <c r="BX66">
        <f>IF(NOT(ISNUMBER($D66)),"",_xlfn.NORM.DIST(BX$1,$D66,$E66,TRUE)-_xlfn.NORM.DIST(BX$2,$D66,$E66,TRUE))</f>
        <v/>
      </c>
      <c r="BY66">
        <f>IF(NOT(ISNUMBER($D66)),"",_xlfn.NORM.DIST(BY$1,$D66,$E66,TRUE)-_xlfn.NORM.DIST(BY$2,$D66,$E66,TRUE))</f>
        <v/>
      </c>
      <c r="BZ66">
        <f>IF(NOT(ISNUMBER($D66)),"",_xlfn.NORM.DIST(BZ$1,$D66,$E66,TRUE)-_xlfn.NORM.DIST(BZ$2,$D66,$E66,TRUE))</f>
        <v/>
      </c>
      <c r="CA66">
        <f>IF(NOT(ISNUMBER($D66)),"",_xlfn.NORM.DIST(CA$1,$D66,$E66,TRUE)-_xlfn.NORM.DIST(CA$2,$D66,$E66,TRUE))</f>
        <v/>
      </c>
      <c r="CB66">
        <f>IF(NOT(ISNUMBER($D66)),"",_xlfn.NORM.DIST(CB$1,$D66,$E66,TRUE)-_xlfn.NORM.DIST(CB$2,$D66,$E66,TRUE))</f>
        <v/>
      </c>
      <c r="CC66">
        <f>IF(NOT(ISNUMBER($D66)),"",_xlfn.NORM.DIST(CC$1,$D66,$E66,TRUE)-_xlfn.NORM.DIST(CC$2,$D66,$E66,TRUE))</f>
        <v/>
      </c>
      <c r="CD66">
        <f>IF(NOT(ISNUMBER($D66)),"",_xlfn.NORM.DIST(CD$1,$D66,$E66,TRUE)-_xlfn.NORM.DIST(CD$2,$D66,$E66,TRUE))</f>
        <v/>
      </c>
      <c r="CE66">
        <f>IF(NOT(ISNUMBER($D66)),"",_xlfn.NORM.DIST(CE$1,$D66,$E66,TRUE)-_xlfn.NORM.DIST(CE$2,$D66,$E66,TRUE))</f>
        <v/>
      </c>
      <c r="CF66">
        <f>IF(NOT(ISNUMBER($D66)),"",_xlfn.NORM.DIST(CF$1,$D66,$E66,TRUE)-_xlfn.NORM.DIST(CF$2,$D66,$E66,TRUE))</f>
        <v/>
      </c>
      <c r="CG66">
        <f>IF(NOT(ISNUMBER($D66)),"",_xlfn.NORM.DIST(CG$1,$D66,$E66,TRUE)-_xlfn.NORM.DIST(CG$2,$D66,$E66,TRUE))</f>
        <v/>
      </c>
      <c r="CH66">
        <f>IF(NOT(ISNUMBER($D66)),"",_xlfn.NORM.DIST(CH$1,$D66,$E66,TRUE)-_xlfn.NORM.DIST(CH$2,$D66,$E66,TRUE))</f>
        <v/>
      </c>
      <c r="CI66">
        <f>IF(NOT(ISNUMBER($D66)),"",_xlfn.NORM.DIST(CI$1,$D66,$E66,TRUE)-_xlfn.NORM.DIST(CI$2,$D66,$E66,TRUE))</f>
        <v/>
      </c>
      <c r="CJ66">
        <f>IF(ISNUMBER($D66),SUM(F66:CI66),"")</f>
        <v/>
      </c>
    </row>
    <row r="67">
      <c r="A67">
        <f>economics!A66</f>
        <v/>
      </c>
      <c r="B67">
        <f>economics!B66</f>
        <v/>
      </c>
      <c r="C67">
        <f>economics!D66</f>
        <v/>
      </c>
      <c r="D67">
        <f>IF(ISNUMBER(economics!T66),economics!T66,"na")</f>
        <v/>
      </c>
      <c r="E67">
        <f>IF(ISNUMBER(D67),MAX(0.3*ABS(D67),0.000001),"na")</f>
        <v/>
      </c>
      <c r="F67">
        <f>IF(NOT(ISNUMBER($D67)),"",_xlfn.NORM.DIST(F$1,$D67,$E67,TRUE)-_xlfn.NORM.DIST(F$2,$D67,$E67,TRUE))</f>
        <v/>
      </c>
      <c r="G67">
        <f>IF(NOT(ISNUMBER($D67)),"",_xlfn.NORM.DIST(G$1,$D67,$E67,TRUE)-_xlfn.NORM.DIST(G$2,$D67,$E67,TRUE))</f>
        <v/>
      </c>
      <c r="H67">
        <f>IF(NOT(ISNUMBER($D67)),"",_xlfn.NORM.DIST(H$1,$D67,$E67,TRUE)-_xlfn.NORM.DIST(H$2,$D67,$E67,TRUE))</f>
        <v/>
      </c>
      <c r="I67">
        <f>IF(NOT(ISNUMBER($D67)),"",_xlfn.NORM.DIST(I$1,$D67,$E67,TRUE)-_xlfn.NORM.DIST(I$2,$D67,$E67,TRUE))</f>
        <v/>
      </c>
      <c r="J67">
        <f>IF(NOT(ISNUMBER($D67)),"",_xlfn.NORM.DIST(J$1,$D67,$E67,TRUE)-_xlfn.NORM.DIST(J$2,$D67,$E67,TRUE))</f>
        <v/>
      </c>
      <c r="K67">
        <f>IF(NOT(ISNUMBER($D67)),"",_xlfn.NORM.DIST(K$1,$D67,$E67,TRUE)-_xlfn.NORM.DIST(K$2,$D67,$E67,TRUE))</f>
        <v/>
      </c>
      <c r="L67">
        <f>IF(NOT(ISNUMBER($D67)),"",_xlfn.NORM.DIST(L$1,$D67,$E67,TRUE)-_xlfn.NORM.DIST(L$2,$D67,$E67,TRUE))</f>
        <v/>
      </c>
      <c r="M67">
        <f>IF(NOT(ISNUMBER($D67)),"",_xlfn.NORM.DIST(M$1,$D67,$E67,TRUE)-_xlfn.NORM.DIST(M$2,$D67,$E67,TRUE))</f>
        <v/>
      </c>
      <c r="N67">
        <f>IF(NOT(ISNUMBER($D67)),"",_xlfn.NORM.DIST(N$1,$D67,$E67,TRUE)-_xlfn.NORM.DIST(N$2,$D67,$E67,TRUE))</f>
        <v/>
      </c>
      <c r="O67">
        <f>IF(NOT(ISNUMBER($D67)),"",_xlfn.NORM.DIST(O$1,$D67,$E67,TRUE)-_xlfn.NORM.DIST(O$2,$D67,$E67,TRUE))</f>
        <v/>
      </c>
      <c r="P67">
        <f>IF(NOT(ISNUMBER($D67)),"",_xlfn.NORM.DIST(P$1,$D67,$E67,TRUE)-_xlfn.NORM.DIST(P$2,$D67,$E67,TRUE))</f>
        <v/>
      </c>
      <c r="Q67">
        <f>IF(NOT(ISNUMBER($D67)),"",_xlfn.NORM.DIST(Q$1,$D67,$E67,TRUE)-_xlfn.NORM.DIST(Q$2,$D67,$E67,TRUE))</f>
        <v/>
      </c>
      <c r="R67">
        <f>IF(NOT(ISNUMBER($D67)),"",_xlfn.NORM.DIST(R$1,$D67,$E67,TRUE)-_xlfn.NORM.DIST(R$2,$D67,$E67,TRUE))</f>
        <v/>
      </c>
      <c r="S67">
        <f>IF(NOT(ISNUMBER($D67)),"",_xlfn.NORM.DIST(S$1,$D67,$E67,TRUE)-_xlfn.NORM.DIST(S$2,$D67,$E67,TRUE))</f>
        <v/>
      </c>
      <c r="T67">
        <f>IF(NOT(ISNUMBER($D67)),"",_xlfn.NORM.DIST(T$1,$D67,$E67,TRUE)-_xlfn.NORM.DIST(T$2,$D67,$E67,TRUE))</f>
        <v/>
      </c>
      <c r="U67">
        <f>IF(NOT(ISNUMBER($D67)),"",_xlfn.NORM.DIST(U$1,$D67,$E67,TRUE)-_xlfn.NORM.DIST(U$2,$D67,$E67,TRUE))</f>
        <v/>
      </c>
      <c r="V67">
        <f>IF(NOT(ISNUMBER($D67)),"",_xlfn.NORM.DIST(V$1,$D67,$E67,TRUE)-_xlfn.NORM.DIST(V$2,$D67,$E67,TRUE))</f>
        <v/>
      </c>
      <c r="W67">
        <f>IF(NOT(ISNUMBER($D67)),"",_xlfn.NORM.DIST(W$1,$D67,$E67,TRUE)-_xlfn.NORM.DIST(W$2,$D67,$E67,TRUE))</f>
        <v/>
      </c>
      <c r="X67">
        <f>IF(NOT(ISNUMBER($D67)),"",_xlfn.NORM.DIST(X$1,$D67,$E67,TRUE)-_xlfn.NORM.DIST(X$2,$D67,$E67,TRUE))</f>
        <v/>
      </c>
      <c r="Y67">
        <f>IF(NOT(ISNUMBER($D67)),"",_xlfn.NORM.DIST(Y$1,$D67,$E67,TRUE)-_xlfn.NORM.DIST(Y$2,$D67,$E67,TRUE))</f>
        <v/>
      </c>
      <c r="Z67">
        <f>IF(NOT(ISNUMBER($D67)),"",_xlfn.NORM.DIST(Z$1,$D67,$E67,TRUE)-_xlfn.NORM.DIST(Z$2,$D67,$E67,TRUE))</f>
        <v/>
      </c>
      <c r="AA67">
        <f>IF(NOT(ISNUMBER($D67)),"",_xlfn.NORM.DIST(AA$1,$D67,$E67,TRUE)-_xlfn.NORM.DIST(AA$2,$D67,$E67,TRUE))</f>
        <v/>
      </c>
      <c r="AB67">
        <f>IF(NOT(ISNUMBER($D67)),"",_xlfn.NORM.DIST(AB$1,$D67,$E67,TRUE)-_xlfn.NORM.DIST(AB$2,$D67,$E67,TRUE))</f>
        <v/>
      </c>
      <c r="AC67">
        <f>IF(NOT(ISNUMBER($D67)),"",_xlfn.NORM.DIST(AC$1,$D67,$E67,TRUE)-_xlfn.NORM.DIST(AC$2,$D67,$E67,TRUE))</f>
        <v/>
      </c>
      <c r="AD67">
        <f>IF(NOT(ISNUMBER($D67)),"",_xlfn.NORM.DIST(AD$1,$D67,$E67,TRUE)-_xlfn.NORM.DIST(AD$2,$D67,$E67,TRUE))</f>
        <v/>
      </c>
      <c r="AE67">
        <f>IF(NOT(ISNUMBER($D67)),"",_xlfn.NORM.DIST(AE$1,$D67,$E67,TRUE)-_xlfn.NORM.DIST(AE$2,$D67,$E67,TRUE))</f>
        <v/>
      </c>
      <c r="AF67">
        <f>IF(NOT(ISNUMBER($D67)),"",_xlfn.NORM.DIST(AF$1,$D67,$E67,TRUE)-_xlfn.NORM.DIST(AF$2,$D67,$E67,TRUE))</f>
        <v/>
      </c>
      <c r="AG67">
        <f>IF(NOT(ISNUMBER($D67)),"",_xlfn.NORM.DIST(AG$1,$D67,$E67,TRUE)-_xlfn.NORM.DIST(AG$2,$D67,$E67,TRUE))</f>
        <v/>
      </c>
      <c r="AH67">
        <f>IF(NOT(ISNUMBER($D67)),"",_xlfn.NORM.DIST(AH$1,$D67,$E67,TRUE)-_xlfn.NORM.DIST(AH$2,$D67,$E67,TRUE))</f>
        <v/>
      </c>
      <c r="AI67">
        <f>IF(NOT(ISNUMBER($D67)),"",_xlfn.NORM.DIST(AI$1,$D67,$E67,TRUE)-_xlfn.NORM.DIST(AI$2,$D67,$E67,TRUE))</f>
        <v/>
      </c>
      <c r="AJ67">
        <f>IF(NOT(ISNUMBER($D67)),"",_xlfn.NORM.DIST(AJ$1,$D67,$E67,TRUE)-_xlfn.NORM.DIST(AJ$2,$D67,$E67,TRUE))</f>
        <v/>
      </c>
      <c r="AK67">
        <f>IF(NOT(ISNUMBER($D67)),"",_xlfn.NORM.DIST(AK$1,$D67,$E67,TRUE)-_xlfn.NORM.DIST(AK$2,$D67,$E67,TRUE))</f>
        <v/>
      </c>
      <c r="AL67">
        <f>IF(NOT(ISNUMBER($D67)),"",_xlfn.NORM.DIST(AL$1,$D67,$E67,TRUE)-_xlfn.NORM.DIST(AL$2,$D67,$E67,TRUE))</f>
        <v/>
      </c>
      <c r="AM67">
        <f>IF(NOT(ISNUMBER($D67)),"",_xlfn.NORM.DIST(AM$1,$D67,$E67,TRUE)-_xlfn.NORM.DIST(AM$2,$D67,$E67,TRUE))</f>
        <v/>
      </c>
      <c r="AN67">
        <f>IF(NOT(ISNUMBER($D67)),"",_xlfn.NORM.DIST(AN$1,$D67,$E67,TRUE)-_xlfn.NORM.DIST(AN$2,$D67,$E67,TRUE))</f>
        <v/>
      </c>
      <c r="AO67">
        <f>IF(NOT(ISNUMBER($D67)),"",_xlfn.NORM.DIST(AO$1,$D67,$E67,TRUE)-_xlfn.NORM.DIST(AO$2,$D67,$E67,TRUE))</f>
        <v/>
      </c>
      <c r="AP67">
        <f>IF(NOT(ISNUMBER($D67)),"",_xlfn.NORM.DIST(AP$1,$D67,$E67,TRUE)-_xlfn.NORM.DIST(AP$2,$D67,$E67,TRUE))</f>
        <v/>
      </c>
      <c r="AQ67">
        <f>IF(NOT(ISNUMBER($D67)),"",_xlfn.NORM.DIST(AQ$1,$D67,$E67,TRUE)-_xlfn.NORM.DIST(AQ$2,$D67,$E67,TRUE))</f>
        <v/>
      </c>
      <c r="AR67">
        <f>IF(NOT(ISNUMBER($D67)),"",_xlfn.NORM.DIST(AR$1,$D67,$E67,TRUE)-_xlfn.NORM.DIST(AR$2,$D67,$E67,TRUE))</f>
        <v/>
      </c>
      <c r="AS67">
        <f>IF(NOT(ISNUMBER($D67)),"",_xlfn.NORM.DIST(AS$1,$D67,$E67,TRUE)-_xlfn.NORM.DIST(AS$2,$D67,$E67,TRUE))</f>
        <v/>
      </c>
      <c r="AT67">
        <f>IF(NOT(ISNUMBER($D67)),"",_xlfn.NORM.DIST(AT$1,$D67,$E67,TRUE)-_xlfn.NORM.DIST(AT$2,$D67,$E67,TRUE))</f>
        <v/>
      </c>
      <c r="AU67">
        <f>IF(NOT(ISNUMBER($D67)),"",_xlfn.NORM.DIST(AU$1,$D67,$E67,TRUE)-_xlfn.NORM.DIST(AU$2,$D67,$E67,TRUE))</f>
        <v/>
      </c>
      <c r="AV67">
        <f>IF(NOT(ISNUMBER($D67)),"",_xlfn.NORM.DIST(AV$1,$D67,$E67,TRUE)-_xlfn.NORM.DIST(AV$2,$D67,$E67,TRUE))</f>
        <v/>
      </c>
      <c r="AW67">
        <f>IF(NOT(ISNUMBER($D67)),"",_xlfn.NORM.DIST(AW$1,$D67,$E67,TRUE)-_xlfn.NORM.DIST(AW$2,$D67,$E67,TRUE))</f>
        <v/>
      </c>
      <c r="AX67">
        <f>IF(NOT(ISNUMBER($D67)),"",_xlfn.NORM.DIST(AX$1,$D67,$E67,TRUE)-_xlfn.NORM.DIST(AX$2,$D67,$E67,TRUE))</f>
        <v/>
      </c>
      <c r="AY67">
        <f>IF(NOT(ISNUMBER($D67)),"",_xlfn.NORM.DIST(AY$1,$D67,$E67,TRUE)-_xlfn.NORM.DIST(AY$2,$D67,$E67,TRUE))</f>
        <v/>
      </c>
      <c r="AZ67">
        <f>IF(NOT(ISNUMBER($D67)),"",_xlfn.NORM.DIST(AZ$1,$D67,$E67,TRUE)-_xlfn.NORM.DIST(AZ$2,$D67,$E67,TRUE))</f>
        <v/>
      </c>
      <c r="BA67">
        <f>IF(NOT(ISNUMBER($D67)),"",_xlfn.NORM.DIST(BA$1,$D67,$E67,TRUE)-_xlfn.NORM.DIST(BA$2,$D67,$E67,TRUE))</f>
        <v/>
      </c>
      <c r="BB67">
        <f>IF(NOT(ISNUMBER($D67)),"",_xlfn.NORM.DIST(BB$1,$D67,$E67,TRUE)-_xlfn.NORM.DIST(BB$2,$D67,$E67,TRUE))</f>
        <v/>
      </c>
      <c r="BC67">
        <f>IF(NOT(ISNUMBER($D67)),"",_xlfn.NORM.DIST(BC$1,$D67,$E67,TRUE)-_xlfn.NORM.DIST(BC$2,$D67,$E67,TRUE))</f>
        <v/>
      </c>
      <c r="BD67">
        <f>IF(NOT(ISNUMBER($D67)),"",_xlfn.NORM.DIST(BD$1,$D67,$E67,TRUE)-_xlfn.NORM.DIST(BD$2,$D67,$E67,TRUE))</f>
        <v/>
      </c>
      <c r="BE67">
        <f>IF(NOT(ISNUMBER($D67)),"",_xlfn.NORM.DIST(BE$1,$D67,$E67,TRUE)-_xlfn.NORM.DIST(BE$2,$D67,$E67,TRUE))</f>
        <v/>
      </c>
      <c r="BF67">
        <f>IF(NOT(ISNUMBER($D67)),"",_xlfn.NORM.DIST(BF$1,$D67,$E67,TRUE)-_xlfn.NORM.DIST(BF$2,$D67,$E67,TRUE))</f>
        <v/>
      </c>
      <c r="BG67">
        <f>IF(NOT(ISNUMBER($D67)),"",_xlfn.NORM.DIST(BG$1,$D67,$E67,TRUE)-_xlfn.NORM.DIST(BG$2,$D67,$E67,TRUE))</f>
        <v/>
      </c>
      <c r="BH67">
        <f>IF(NOT(ISNUMBER($D67)),"",_xlfn.NORM.DIST(BH$1,$D67,$E67,TRUE)-_xlfn.NORM.DIST(BH$2,$D67,$E67,TRUE))</f>
        <v/>
      </c>
      <c r="BI67">
        <f>IF(NOT(ISNUMBER($D67)),"",_xlfn.NORM.DIST(BI$1,$D67,$E67,TRUE)-_xlfn.NORM.DIST(BI$2,$D67,$E67,TRUE))</f>
        <v/>
      </c>
      <c r="BJ67">
        <f>IF(NOT(ISNUMBER($D67)),"",_xlfn.NORM.DIST(BJ$1,$D67,$E67,TRUE)-_xlfn.NORM.DIST(BJ$2,$D67,$E67,TRUE))</f>
        <v/>
      </c>
      <c r="BK67">
        <f>IF(NOT(ISNUMBER($D67)),"",_xlfn.NORM.DIST(BK$1,$D67,$E67,TRUE)-_xlfn.NORM.DIST(BK$2,$D67,$E67,TRUE))</f>
        <v/>
      </c>
      <c r="BL67">
        <f>IF(NOT(ISNUMBER($D67)),"",_xlfn.NORM.DIST(BL$1,$D67,$E67,TRUE)-_xlfn.NORM.DIST(BL$2,$D67,$E67,TRUE))</f>
        <v/>
      </c>
      <c r="BM67">
        <f>IF(NOT(ISNUMBER($D67)),"",_xlfn.NORM.DIST(BM$1,$D67,$E67,TRUE)-_xlfn.NORM.DIST(BM$2,$D67,$E67,TRUE))</f>
        <v/>
      </c>
      <c r="BN67">
        <f>IF(NOT(ISNUMBER($D67)),"",_xlfn.NORM.DIST(BN$1,$D67,$E67,TRUE)-_xlfn.NORM.DIST(BN$2,$D67,$E67,TRUE))</f>
        <v/>
      </c>
      <c r="BO67">
        <f>IF(NOT(ISNUMBER($D67)),"",_xlfn.NORM.DIST(BO$1,$D67,$E67,TRUE)-_xlfn.NORM.DIST(BO$2,$D67,$E67,TRUE))</f>
        <v/>
      </c>
      <c r="BP67">
        <f>IF(NOT(ISNUMBER($D67)),"",_xlfn.NORM.DIST(BP$1,$D67,$E67,TRUE)-_xlfn.NORM.DIST(BP$2,$D67,$E67,TRUE))</f>
        <v/>
      </c>
      <c r="BQ67">
        <f>IF(NOT(ISNUMBER($D67)),"",_xlfn.NORM.DIST(BQ$1,$D67,$E67,TRUE)-_xlfn.NORM.DIST(BQ$2,$D67,$E67,TRUE))</f>
        <v/>
      </c>
      <c r="BR67">
        <f>IF(NOT(ISNUMBER($D67)),"",_xlfn.NORM.DIST(BR$1,$D67,$E67,TRUE)-_xlfn.NORM.DIST(BR$2,$D67,$E67,TRUE))</f>
        <v/>
      </c>
      <c r="BS67">
        <f>IF(NOT(ISNUMBER($D67)),"",_xlfn.NORM.DIST(BS$1,$D67,$E67,TRUE)-_xlfn.NORM.DIST(BS$2,$D67,$E67,TRUE))</f>
        <v/>
      </c>
      <c r="BT67">
        <f>IF(NOT(ISNUMBER($D67)),"",_xlfn.NORM.DIST(BT$1,$D67,$E67,TRUE)-_xlfn.NORM.DIST(BT$2,$D67,$E67,TRUE))</f>
        <v/>
      </c>
      <c r="BU67">
        <f>IF(NOT(ISNUMBER($D67)),"",_xlfn.NORM.DIST(BU$1,$D67,$E67,TRUE)-_xlfn.NORM.DIST(BU$2,$D67,$E67,TRUE))</f>
        <v/>
      </c>
      <c r="BV67">
        <f>IF(NOT(ISNUMBER($D67)),"",_xlfn.NORM.DIST(BV$1,$D67,$E67,TRUE)-_xlfn.NORM.DIST(BV$2,$D67,$E67,TRUE))</f>
        <v/>
      </c>
      <c r="BW67">
        <f>IF(NOT(ISNUMBER($D67)),"",_xlfn.NORM.DIST(BW$1,$D67,$E67,TRUE)-_xlfn.NORM.DIST(BW$2,$D67,$E67,TRUE))</f>
        <v/>
      </c>
      <c r="BX67">
        <f>IF(NOT(ISNUMBER($D67)),"",_xlfn.NORM.DIST(BX$1,$D67,$E67,TRUE)-_xlfn.NORM.DIST(BX$2,$D67,$E67,TRUE))</f>
        <v/>
      </c>
      <c r="BY67">
        <f>IF(NOT(ISNUMBER($D67)),"",_xlfn.NORM.DIST(BY$1,$D67,$E67,TRUE)-_xlfn.NORM.DIST(BY$2,$D67,$E67,TRUE))</f>
        <v/>
      </c>
      <c r="BZ67">
        <f>IF(NOT(ISNUMBER($D67)),"",_xlfn.NORM.DIST(BZ$1,$D67,$E67,TRUE)-_xlfn.NORM.DIST(BZ$2,$D67,$E67,TRUE))</f>
        <v/>
      </c>
      <c r="CA67">
        <f>IF(NOT(ISNUMBER($D67)),"",_xlfn.NORM.DIST(CA$1,$D67,$E67,TRUE)-_xlfn.NORM.DIST(CA$2,$D67,$E67,TRUE))</f>
        <v/>
      </c>
      <c r="CB67">
        <f>IF(NOT(ISNUMBER($D67)),"",_xlfn.NORM.DIST(CB$1,$D67,$E67,TRUE)-_xlfn.NORM.DIST(CB$2,$D67,$E67,TRUE))</f>
        <v/>
      </c>
      <c r="CC67">
        <f>IF(NOT(ISNUMBER($D67)),"",_xlfn.NORM.DIST(CC$1,$D67,$E67,TRUE)-_xlfn.NORM.DIST(CC$2,$D67,$E67,TRUE))</f>
        <v/>
      </c>
      <c r="CD67">
        <f>IF(NOT(ISNUMBER($D67)),"",_xlfn.NORM.DIST(CD$1,$D67,$E67,TRUE)-_xlfn.NORM.DIST(CD$2,$D67,$E67,TRUE))</f>
        <v/>
      </c>
      <c r="CE67">
        <f>IF(NOT(ISNUMBER($D67)),"",_xlfn.NORM.DIST(CE$1,$D67,$E67,TRUE)-_xlfn.NORM.DIST(CE$2,$D67,$E67,TRUE))</f>
        <v/>
      </c>
      <c r="CF67">
        <f>IF(NOT(ISNUMBER($D67)),"",_xlfn.NORM.DIST(CF$1,$D67,$E67,TRUE)-_xlfn.NORM.DIST(CF$2,$D67,$E67,TRUE))</f>
        <v/>
      </c>
      <c r="CG67">
        <f>IF(NOT(ISNUMBER($D67)),"",_xlfn.NORM.DIST(CG$1,$D67,$E67,TRUE)-_xlfn.NORM.DIST(CG$2,$D67,$E67,TRUE))</f>
        <v/>
      </c>
      <c r="CH67">
        <f>IF(NOT(ISNUMBER($D67)),"",_xlfn.NORM.DIST(CH$1,$D67,$E67,TRUE)-_xlfn.NORM.DIST(CH$2,$D67,$E67,TRUE))</f>
        <v/>
      </c>
      <c r="CI67">
        <f>IF(NOT(ISNUMBER($D67)),"",_xlfn.NORM.DIST(CI$1,$D67,$E67,TRUE)-_xlfn.NORM.DIST(CI$2,$D67,$E67,TRUE))</f>
        <v/>
      </c>
      <c r="CJ67">
        <f>IF(ISNUMBER($D67),SUM(F67:CI67),"")</f>
        <v/>
      </c>
    </row>
    <row r="68">
      <c r="A68">
        <f>economics!A67</f>
        <v/>
      </c>
      <c r="B68">
        <f>economics!B67</f>
        <v/>
      </c>
      <c r="C68">
        <f>economics!D67</f>
        <v/>
      </c>
      <c r="D68">
        <f>IF(ISNUMBER(economics!T67),economics!T67,"na")</f>
        <v/>
      </c>
      <c r="E68">
        <f>IF(ISNUMBER(D68),MAX(0.3*ABS(D68),0.000001),"na")</f>
        <v/>
      </c>
      <c r="F68">
        <f>IF(NOT(ISNUMBER($D68)),"",_xlfn.NORM.DIST(F$1,$D68,$E68,TRUE)-_xlfn.NORM.DIST(F$2,$D68,$E68,TRUE))</f>
        <v/>
      </c>
      <c r="G68">
        <f>IF(NOT(ISNUMBER($D68)),"",_xlfn.NORM.DIST(G$1,$D68,$E68,TRUE)-_xlfn.NORM.DIST(G$2,$D68,$E68,TRUE))</f>
        <v/>
      </c>
      <c r="H68">
        <f>IF(NOT(ISNUMBER($D68)),"",_xlfn.NORM.DIST(H$1,$D68,$E68,TRUE)-_xlfn.NORM.DIST(H$2,$D68,$E68,TRUE))</f>
        <v/>
      </c>
      <c r="I68">
        <f>IF(NOT(ISNUMBER($D68)),"",_xlfn.NORM.DIST(I$1,$D68,$E68,TRUE)-_xlfn.NORM.DIST(I$2,$D68,$E68,TRUE))</f>
        <v/>
      </c>
      <c r="J68">
        <f>IF(NOT(ISNUMBER($D68)),"",_xlfn.NORM.DIST(J$1,$D68,$E68,TRUE)-_xlfn.NORM.DIST(J$2,$D68,$E68,TRUE))</f>
        <v/>
      </c>
      <c r="K68">
        <f>IF(NOT(ISNUMBER($D68)),"",_xlfn.NORM.DIST(K$1,$D68,$E68,TRUE)-_xlfn.NORM.DIST(K$2,$D68,$E68,TRUE))</f>
        <v/>
      </c>
      <c r="L68">
        <f>IF(NOT(ISNUMBER($D68)),"",_xlfn.NORM.DIST(L$1,$D68,$E68,TRUE)-_xlfn.NORM.DIST(L$2,$D68,$E68,TRUE))</f>
        <v/>
      </c>
      <c r="M68">
        <f>IF(NOT(ISNUMBER($D68)),"",_xlfn.NORM.DIST(M$1,$D68,$E68,TRUE)-_xlfn.NORM.DIST(M$2,$D68,$E68,TRUE))</f>
        <v/>
      </c>
      <c r="N68">
        <f>IF(NOT(ISNUMBER($D68)),"",_xlfn.NORM.DIST(N$1,$D68,$E68,TRUE)-_xlfn.NORM.DIST(N$2,$D68,$E68,TRUE))</f>
        <v/>
      </c>
      <c r="O68">
        <f>IF(NOT(ISNUMBER($D68)),"",_xlfn.NORM.DIST(O$1,$D68,$E68,TRUE)-_xlfn.NORM.DIST(O$2,$D68,$E68,TRUE))</f>
        <v/>
      </c>
      <c r="P68">
        <f>IF(NOT(ISNUMBER($D68)),"",_xlfn.NORM.DIST(P$1,$D68,$E68,TRUE)-_xlfn.NORM.DIST(P$2,$D68,$E68,TRUE))</f>
        <v/>
      </c>
      <c r="Q68">
        <f>IF(NOT(ISNUMBER($D68)),"",_xlfn.NORM.DIST(Q$1,$D68,$E68,TRUE)-_xlfn.NORM.DIST(Q$2,$D68,$E68,TRUE))</f>
        <v/>
      </c>
      <c r="R68">
        <f>IF(NOT(ISNUMBER($D68)),"",_xlfn.NORM.DIST(R$1,$D68,$E68,TRUE)-_xlfn.NORM.DIST(R$2,$D68,$E68,TRUE))</f>
        <v/>
      </c>
      <c r="S68">
        <f>IF(NOT(ISNUMBER($D68)),"",_xlfn.NORM.DIST(S$1,$D68,$E68,TRUE)-_xlfn.NORM.DIST(S$2,$D68,$E68,TRUE))</f>
        <v/>
      </c>
      <c r="T68">
        <f>IF(NOT(ISNUMBER($D68)),"",_xlfn.NORM.DIST(T$1,$D68,$E68,TRUE)-_xlfn.NORM.DIST(T$2,$D68,$E68,TRUE))</f>
        <v/>
      </c>
      <c r="U68">
        <f>IF(NOT(ISNUMBER($D68)),"",_xlfn.NORM.DIST(U$1,$D68,$E68,TRUE)-_xlfn.NORM.DIST(U$2,$D68,$E68,TRUE))</f>
        <v/>
      </c>
      <c r="V68">
        <f>IF(NOT(ISNUMBER($D68)),"",_xlfn.NORM.DIST(V$1,$D68,$E68,TRUE)-_xlfn.NORM.DIST(V$2,$D68,$E68,TRUE))</f>
        <v/>
      </c>
      <c r="W68">
        <f>IF(NOT(ISNUMBER($D68)),"",_xlfn.NORM.DIST(W$1,$D68,$E68,TRUE)-_xlfn.NORM.DIST(W$2,$D68,$E68,TRUE))</f>
        <v/>
      </c>
      <c r="X68">
        <f>IF(NOT(ISNUMBER($D68)),"",_xlfn.NORM.DIST(X$1,$D68,$E68,TRUE)-_xlfn.NORM.DIST(X$2,$D68,$E68,TRUE))</f>
        <v/>
      </c>
      <c r="Y68">
        <f>IF(NOT(ISNUMBER($D68)),"",_xlfn.NORM.DIST(Y$1,$D68,$E68,TRUE)-_xlfn.NORM.DIST(Y$2,$D68,$E68,TRUE))</f>
        <v/>
      </c>
      <c r="Z68">
        <f>IF(NOT(ISNUMBER($D68)),"",_xlfn.NORM.DIST(Z$1,$D68,$E68,TRUE)-_xlfn.NORM.DIST(Z$2,$D68,$E68,TRUE))</f>
        <v/>
      </c>
      <c r="AA68">
        <f>IF(NOT(ISNUMBER($D68)),"",_xlfn.NORM.DIST(AA$1,$D68,$E68,TRUE)-_xlfn.NORM.DIST(AA$2,$D68,$E68,TRUE))</f>
        <v/>
      </c>
      <c r="AB68">
        <f>IF(NOT(ISNUMBER($D68)),"",_xlfn.NORM.DIST(AB$1,$D68,$E68,TRUE)-_xlfn.NORM.DIST(AB$2,$D68,$E68,TRUE))</f>
        <v/>
      </c>
      <c r="AC68">
        <f>IF(NOT(ISNUMBER($D68)),"",_xlfn.NORM.DIST(AC$1,$D68,$E68,TRUE)-_xlfn.NORM.DIST(AC$2,$D68,$E68,TRUE))</f>
        <v/>
      </c>
      <c r="AD68">
        <f>IF(NOT(ISNUMBER($D68)),"",_xlfn.NORM.DIST(AD$1,$D68,$E68,TRUE)-_xlfn.NORM.DIST(AD$2,$D68,$E68,TRUE))</f>
        <v/>
      </c>
      <c r="AE68">
        <f>IF(NOT(ISNUMBER($D68)),"",_xlfn.NORM.DIST(AE$1,$D68,$E68,TRUE)-_xlfn.NORM.DIST(AE$2,$D68,$E68,TRUE))</f>
        <v/>
      </c>
      <c r="AF68">
        <f>IF(NOT(ISNUMBER($D68)),"",_xlfn.NORM.DIST(AF$1,$D68,$E68,TRUE)-_xlfn.NORM.DIST(AF$2,$D68,$E68,TRUE))</f>
        <v/>
      </c>
      <c r="AG68">
        <f>IF(NOT(ISNUMBER($D68)),"",_xlfn.NORM.DIST(AG$1,$D68,$E68,TRUE)-_xlfn.NORM.DIST(AG$2,$D68,$E68,TRUE))</f>
        <v/>
      </c>
      <c r="AH68">
        <f>IF(NOT(ISNUMBER($D68)),"",_xlfn.NORM.DIST(AH$1,$D68,$E68,TRUE)-_xlfn.NORM.DIST(AH$2,$D68,$E68,TRUE))</f>
        <v/>
      </c>
      <c r="AI68">
        <f>IF(NOT(ISNUMBER($D68)),"",_xlfn.NORM.DIST(AI$1,$D68,$E68,TRUE)-_xlfn.NORM.DIST(AI$2,$D68,$E68,TRUE))</f>
        <v/>
      </c>
      <c r="AJ68">
        <f>IF(NOT(ISNUMBER($D68)),"",_xlfn.NORM.DIST(AJ$1,$D68,$E68,TRUE)-_xlfn.NORM.DIST(AJ$2,$D68,$E68,TRUE))</f>
        <v/>
      </c>
      <c r="AK68">
        <f>IF(NOT(ISNUMBER($D68)),"",_xlfn.NORM.DIST(AK$1,$D68,$E68,TRUE)-_xlfn.NORM.DIST(AK$2,$D68,$E68,TRUE))</f>
        <v/>
      </c>
      <c r="AL68">
        <f>IF(NOT(ISNUMBER($D68)),"",_xlfn.NORM.DIST(AL$1,$D68,$E68,TRUE)-_xlfn.NORM.DIST(AL$2,$D68,$E68,TRUE))</f>
        <v/>
      </c>
      <c r="AM68">
        <f>IF(NOT(ISNUMBER($D68)),"",_xlfn.NORM.DIST(AM$1,$D68,$E68,TRUE)-_xlfn.NORM.DIST(AM$2,$D68,$E68,TRUE))</f>
        <v/>
      </c>
      <c r="AN68">
        <f>IF(NOT(ISNUMBER($D68)),"",_xlfn.NORM.DIST(AN$1,$D68,$E68,TRUE)-_xlfn.NORM.DIST(AN$2,$D68,$E68,TRUE))</f>
        <v/>
      </c>
      <c r="AO68">
        <f>IF(NOT(ISNUMBER($D68)),"",_xlfn.NORM.DIST(AO$1,$D68,$E68,TRUE)-_xlfn.NORM.DIST(AO$2,$D68,$E68,TRUE))</f>
        <v/>
      </c>
      <c r="AP68">
        <f>IF(NOT(ISNUMBER($D68)),"",_xlfn.NORM.DIST(AP$1,$D68,$E68,TRUE)-_xlfn.NORM.DIST(AP$2,$D68,$E68,TRUE))</f>
        <v/>
      </c>
      <c r="AQ68">
        <f>IF(NOT(ISNUMBER($D68)),"",_xlfn.NORM.DIST(AQ$1,$D68,$E68,TRUE)-_xlfn.NORM.DIST(AQ$2,$D68,$E68,TRUE))</f>
        <v/>
      </c>
      <c r="AR68">
        <f>IF(NOT(ISNUMBER($D68)),"",_xlfn.NORM.DIST(AR$1,$D68,$E68,TRUE)-_xlfn.NORM.DIST(AR$2,$D68,$E68,TRUE))</f>
        <v/>
      </c>
      <c r="AS68">
        <f>IF(NOT(ISNUMBER($D68)),"",_xlfn.NORM.DIST(AS$1,$D68,$E68,TRUE)-_xlfn.NORM.DIST(AS$2,$D68,$E68,TRUE))</f>
        <v/>
      </c>
      <c r="AT68">
        <f>IF(NOT(ISNUMBER($D68)),"",_xlfn.NORM.DIST(AT$1,$D68,$E68,TRUE)-_xlfn.NORM.DIST(AT$2,$D68,$E68,TRUE))</f>
        <v/>
      </c>
      <c r="AU68">
        <f>IF(NOT(ISNUMBER($D68)),"",_xlfn.NORM.DIST(AU$1,$D68,$E68,TRUE)-_xlfn.NORM.DIST(AU$2,$D68,$E68,TRUE))</f>
        <v/>
      </c>
      <c r="AV68">
        <f>IF(NOT(ISNUMBER($D68)),"",_xlfn.NORM.DIST(AV$1,$D68,$E68,TRUE)-_xlfn.NORM.DIST(AV$2,$D68,$E68,TRUE))</f>
        <v/>
      </c>
      <c r="AW68">
        <f>IF(NOT(ISNUMBER($D68)),"",_xlfn.NORM.DIST(AW$1,$D68,$E68,TRUE)-_xlfn.NORM.DIST(AW$2,$D68,$E68,TRUE))</f>
        <v/>
      </c>
      <c r="AX68">
        <f>IF(NOT(ISNUMBER($D68)),"",_xlfn.NORM.DIST(AX$1,$D68,$E68,TRUE)-_xlfn.NORM.DIST(AX$2,$D68,$E68,TRUE))</f>
        <v/>
      </c>
      <c r="AY68">
        <f>IF(NOT(ISNUMBER($D68)),"",_xlfn.NORM.DIST(AY$1,$D68,$E68,TRUE)-_xlfn.NORM.DIST(AY$2,$D68,$E68,TRUE))</f>
        <v/>
      </c>
      <c r="AZ68">
        <f>IF(NOT(ISNUMBER($D68)),"",_xlfn.NORM.DIST(AZ$1,$D68,$E68,TRUE)-_xlfn.NORM.DIST(AZ$2,$D68,$E68,TRUE))</f>
        <v/>
      </c>
      <c r="BA68">
        <f>IF(NOT(ISNUMBER($D68)),"",_xlfn.NORM.DIST(BA$1,$D68,$E68,TRUE)-_xlfn.NORM.DIST(BA$2,$D68,$E68,TRUE))</f>
        <v/>
      </c>
      <c r="BB68">
        <f>IF(NOT(ISNUMBER($D68)),"",_xlfn.NORM.DIST(BB$1,$D68,$E68,TRUE)-_xlfn.NORM.DIST(BB$2,$D68,$E68,TRUE))</f>
        <v/>
      </c>
      <c r="BC68">
        <f>IF(NOT(ISNUMBER($D68)),"",_xlfn.NORM.DIST(BC$1,$D68,$E68,TRUE)-_xlfn.NORM.DIST(BC$2,$D68,$E68,TRUE))</f>
        <v/>
      </c>
      <c r="BD68">
        <f>IF(NOT(ISNUMBER($D68)),"",_xlfn.NORM.DIST(BD$1,$D68,$E68,TRUE)-_xlfn.NORM.DIST(BD$2,$D68,$E68,TRUE))</f>
        <v/>
      </c>
      <c r="BE68">
        <f>IF(NOT(ISNUMBER($D68)),"",_xlfn.NORM.DIST(BE$1,$D68,$E68,TRUE)-_xlfn.NORM.DIST(BE$2,$D68,$E68,TRUE))</f>
        <v/>
      </c>
      <c r="BF68">
        <f>IF(NOT(ISNUMBER($D68)),"",_xlfn.NORM.DIST(BF$1,$D68,$E68,TRUE)-_xlfn.NORM.DIST(BF$2,$D68,$E68,TRUE))</f>
        <v/>
      </c>
      <c r="BG68">
        <f>IF(NOT(ISNUMBER($D68)),"",_xlfn.NORM.DIST(BG$1,$D68,$E68,TRUE)-_xlfn.NORM.DIST(BG$2,$D68,$E68,TRUE))</f>
        <v/>
      </c>
      <c r="BH68">
        <f>IF(NOT(ISNUMBER($D68)),"",_xlfn.NORM.DIST(BH$1,$D68,$E68,TRUE)-_xlfn.NORM.DIST(BH$2,$D68,$E68,TRUE))</f>
        <v/>
      </c>
      <c r="BI68">
        <f>IF(NOT(ISNUMBER($D68)),"",_xlfn.NORM.DIST(BI$1,$D68,$E68,TRUE)-_xlfn.NORM.DIST(BI$2,$D68,$E68,TRUE))</f>
        <v/>
      </c>
      <c r="BJ68">
        <f>IF(NOT(ISNUMBER($D68)),"",_xlfn.NORM.DIST(BJ$1,$D68,$E68,TRUE)-_xlfn.NORM.DIST(BJ$2,$D68,$E68,TRUE))</f>
        <v/>
      </c>
      <c r="BK68">
        <f>IF(NOT(ISNUMBER($D68)),"",_xlfn.NORM.DIST(BK$1,$D68,$E68,TRUE)-_xlfn.NORM.DIST(BK$2,$D68,$E68,TRUE))</f>
        <v/>
      </c>
      <c r="BL68">
        <f>IF(NOT(ISNUMBER($D68)),"",_xlfn.NORM.DIST(BL$1,$D68,$E68,TRUE)-_xlfn.NORM.DIST(BL$2,$D68,$E68,TRUE))</f>
        <v/>
      </c>
      <c r="BM68">
        <f>IF(NOT(ISNUMBER($D68)),"",_xlfn.NORM.DIST(BM$1,$D68,$E68,TRUE)-_xlfn.NORM.DIST(BM$2,$D68,$E68,TRUE))</f>
        <v/>
      </c>
      <c r="BN68">
        <f>IF(NOT(ISNUMBER($D68)),"",_xlfn.NORM.DIST(BN$1,$D68,$E68,TRUE)-_xlfn.NORM.DIST(BN$2,$D68,$E68,TRUE))</f>
        <v/>
      </c>
      <c r="BO68">
        <f>IF(NOT(ISNUMBER($D68)),"",_xlfn.NORM.DIST(BO$1,$D68,$E68,TRUE)-_xlfn.NORM.DIST(BO$2,$D68,$E68,TRUE))</f>
        <v/>
      </c>
      <c r="BP68">
        <f>IF(NOT(ISNUMBER($D68)),"",_xlfn.NORM.DIST(BP$1,$D68,$E68,TRUE)-_xlfn.NORM.DIST(BP$2,$D68,$E68,TRUE))</f>
        <v/>
      </c>
      <c r="BQ68">
        <f>IF(NOT(ISNUMBER($D68)),"",_xlfn.NORM.DIST(BQ$1,$D68,$E68,TRUE)-_xlfn.NORM.DIST(BQ$2,$D68,$E68,TRUE))</f>
        <v/>
      </c>
      <c r="BR68">
        <f>IF(NOT(ISNUMBER($D68)),"",_xlfn.NORM.DIST(BR$1,$D68,$E68,TRUE)-_xlfn.NORM.DIST(BR$2,$D68,$E68,TRUE))</f>
        <v/>
      </c>
      <c r="BS68">
        <f>IF(NOT(ISNUMBER($D68)),"",_xlfn.NORM.DIST(BS$1,$D68,$E68,TRUE)-_xlfn.NORM.DIST(BS$2,$D68,$E68,TRUE))</f>
        <v/>
      </c>
      <c r="BT68">
        <f>IF(NOT(ISNUMBER($D68)),"",_xlfn.NORM.DIST(BT$1,$D68,$E68,TRUE)-_xlfn.NORM.DIST(BT$2,$D68,$E68,TRUE))</f>
        <v/>
      </c>
      <c r="BU68">
        <f>IF(NOT(ISNUMBER($D68)),"",_xlfn.NORM.DIST(BU$1,$D68,$E68,TRUE)-_xlfn.NORM.DIST(BU$2,$D68,$E68,TRUE))</f>
        <v/>
      </c>
      <c r="BV68">
        <f>IF(NOT(ISNUMBER($D68)),"",_xlfn.NORM.DIST(BV$1,$D68,$E68,TRUE)-_xlfn.NORM.DIST(BV$2,$D68,$E68,TRUE))</f>
        <v/>
      </c>
      <c r="BW68">
        <f>IF(NOT(ISNUMBER($D68)),"",_xlfn.NORM.DIST(BW$1,$D68,$E68,TRUE)-_xlfn.NORM.DIST(BW$2,$D68,$E68,TRUE))</f>
        <v/>
      </c>
      <c r="BX68">
        <f>IF(NOT(ISNUMBER($D68)),"",_xlfn.NORM.DIST(BX$1,$D68,$E68,TRUE)-_xlfn.NORM.DIST(BX$2,$D68,$E68,TRUE))</f>
        <v/>
      </c>
      <c r="BY68">
        <f>IF(NOT(ISNUMBER($D68)),"",_xlfn.NORM.DIST(BY$1,$D68,$E68,TRUE)-_xlfn.NORM.DIST(BY$2,$D68,$E68,TRUE))</f>
        <v/>
      </c>
      <c r="BZ68">
        <f>IF(NOT(ISNUMBER($D68)),"",_xlfn.NORM.DIST(BZ$1,$D68,$E68,TRUE)-_xlfn.NORM.DIST(BZ$2,$D68,$E68,TRUE))</f>
        <v/>
      </c>
      <c r="CA68">
        <f>IF(NOT(ISNUMBER($D68)),"",_xlfn.NORM.DIST(CA$1,$D68,$E68,TRUE)-_xlfn.NORM.DIST(CA$2,$D68,$E68,TRUE))</f>
        <v/>
      </c>
      <c r="CB68">
        <f>IF(NOT(ISNUMBER($D68)),"",_xlfn.NORM.DIST(CB$1,$D68,$E68,TRUE)-_xlfn.NORM.DIST(CB$2,$D68,$E68,TRUE))</f>
        <v/>
      </c>
      <c r="CC68">
        <f>IF(NOT(ISNUMBER($D68)),"",_xlfn.NORM.DIST(CC$1,$D68,$E68,TRUE)-_xlfn.NORM.DIST(CC$2,$D68,$E68,TRUE))</f>
        <v/>
      </c>
      <c r="CD68">
        <f>IF(NOT(ISNUMBER($D68)),"",_xlfn.NORM.DIST(CD$1,$D68,$E68,TRUE)-_xlfn.NORM.DIST(CD$2,$D68,$E68,TRUE))</f>
        <v/>
      </c>
      <c r="CE68">
        <f>IF(NOT(ISNUMBER($D68)),"",_xlfn.NORM.DIST(CE$1,$D68,$E68,TRUE)-_xlfn.NORM.DIST(CE$2,$D68,$E68,TRUE))</f>
        <v/>
      </c>
      <c r="CF68">
        <f>IF(NOT(ISNUMBER($D68)),"",_xlfn.NORM.DIST(CF$1,$D68,$E68,TRUE)-_xlfn.NORM.DIST(CF$2,$D68,$E68,TRUE))</f>
        <v/>
      </c>
      <c r="CG68">
        <f>IF(NOT(ISNUMBER($D68)),"",_xlfn.NORM.DIST(CG$1,$D68,$E68,TRUE)-_xlfn.NORM.DIST(CG$2,$D68,$E68,TRUE))</f>
        <v/>
      </c>
      <c r="CH68">
        <f>IF(NOT(ISNUMBER($D68)),"",_xlfn.NORM.DIST(CH$1,$D68,$E68,TRUE)-_xlfn.NORM.DIST(CH$2,$D68,$E68,TRUE))</f>
        <v/>
      </c>
      <c r="CI68">
        <f>IF(NOT(ISNUMBER($D68)),"",_xlfn.NORM.DIST(CI$1,$D68,$E68,TRUE)-_xlfn.NORM.DIST(CI$2,$D68,$E68,TRUE))</f>
        <v/>
      </c>
      <c r="CJ68">
        <f>IF(ISNUMBER($D68),SUM(F68:CI68),"")</f>
        <v/>
      </c>
    </row>
    <row r="69">
      <c r="A69">
        <f>economics!A68</f>
        <v/>
      </c>
      <c r="B69">
        <f>economics!B68</f>
        <v/>
      </c>
      <c r="C69">
        <f>economics!D68</f>
        <v/>
      </c>
      <c r="D69">
        <f>IF(ISNUMBER(economics!T68),economics!T68,"na")</f>
        <v/>
      </c>
      <c r="E69">
        <f>IF(ISNUMBER(D69),MAX(0.3*ABS(D69),0.000001),"na")</f>
        <v/>
      </c>
      <c r="F69">
        <f>IF(NOT(ISNUMBER($D69)),"",_xlfn.NORM.DIST(F$1,$D69,$E69,TRUE)-_xlfn.NORM.DIST(F$2,$D69,$E69,TRUE))</f>
        <v/>
      </c>
      <c r="G69">
        <f>IF(NOT(ISNUMBER($D69)),"",_xlfn.NORM.DIST(G$1,$D69,$E69,TRUE)-_xlfn.NORM.DIST(G$2,$D69,$E69,TRUE))</f>
        <v/>
      </c>
      <c r="H69">
        <f>IF(NOT(ISNUMBER($D69)),"",_xlfn.NORM.DIST(H$1,$D69,$E69,TRUE)-_xlfn.NORM.DIST(H$2,$D69,$E69,TRUE))</f>
        <v/>
      </c>
      <c r="I69">
        <f>IF(NOT(ISNUMBER($D69)),"",_xlfn.NORM.DIST(I$1,$D69,$E69,TRUE)-_xlfn.NORM.DIST(I$2,$D69,$E69,TRUE))</f>
        <v/>
      </c>
      <c r="J69">
        <f>IF(NOT(ISNUMBER($D69)),"",_xlfn.NORM.DIST(J$1,$D69,$E69,TRUE)-_xlfn.NORM.DIST(J$2,$D69,$E69,TRUE))</f>
        <v/>
      </c>
      <c r="K69">
        <f>IF(NOT(ISNUMBER($D69)),"",_xlfn.NORM.DIST(K$1,$D69,$E69,TRUE)-_xlfn.NORM.DIST(K$2,$D69,$E69,TRUE))</f>
        <v/>
      </c>
      <c r="L69">
        <f>IF(NOT(ISNUMBER($D69)),"",_xlfn.NORM.DIST(L$1,$D69,$E69,TRUE)-_xlfn.NORM.DIST(L$2,$D69,$E69,TRUE))</f>
        <v/>
      </c>
      <c r="M69">
        <f>IF(NOT(ISNUMBER($D69)),"",_xlfn.NORM.DIST(M$1,$D69,$E69,TRUE)-_xlfn.NORM.DIST(M$2,$D69,$E69,TRUE))</f>
        <v/>
      </c>
      <c r="N69">
        <f>IF(NOT(ISNUMBER($D69)),"",_xlfn.NORM.DIST(N$1,$D69,$E69,TRUE)-_xlfn.NORM.DIST(N$2,$D69,$E69,TRUE))</f>
        <v/>
      </c>
      <c r="O69">
        <f>IF(NOT(ISNUMBER($D69)),"",_xlfn.NORM.DIST(O$1,$D69,$E69,TRUE)-_xlfn.NORM.DIST(O$2,$D69,$E69,TRUE))</f>
        <v/>
      </c>
      <c r="P69">
        <f>IF(NOT(ISNUMBER($D69)),"",_xlfn.NORM.DIST(P$1,$D69,$E69,TRUE)-_xlfn.NORM.DIST(P$2,$D69,$E69,TRUE))</f>
        <v/>
      </c>
      <c r="Q69">
        <f>IF(NOT(ISNUMBER($D69)),"",_xlfn.NORM.DIST(Q$1,$D69,$E69,TRUE)-_xlfn.NORM.DIST(Q$2,$D69,$E69,TRUE))</f>
        <v/>
      </c>
      <c r="R69">
        <f>IF(NOT(ISNUMBER($D69)),"",_xlfn.NORM.DIST(R$1,$D69,$E69,TRUE)-_xlfn.NORM.DIST(R$2,$D69,$E69,TRUE))</f>
        <v/>
      </c>
      <c r="S69">
        <f>IF(NOT(ISNUMBER($D69)),"",_xlfn.NORM.DIST(S$1,$D69,$E69,TRUE)-_xlfn.NORM.DIST(S$2,$D69,$E69,TRUE))</f>
        <v/>
      </c>
      <c r="T69">
        <f>IF(NOT(ISNUMBER($D69)),"",_xlfn.NORM.DIST(T$1,$D69,$E69,TRUE)-_xlfn.NORM.DIST(T$2,$D69,$E69,TRUE))</f>
        <v/>
      </c>
      <c r="U69">
        <f>IF(NOT(ISNUMBER($D69)),"",_xlfn.NORM.DIST(U$1,$D69,$E69,TRUE)-_xlfn.NORM.DIST(U$2,$D69,$E69,TRUE))</f>
        <v/>
      </c>
      <c r="V69">
        <f>IF(NOT(ISNUMBER($D69)),"",_xlfn.NORM.DIST(V$1,$D69,$E69,TRUE)-_xlfn.NORM.DIST(V$2,$D69,$E69,TRUE))</f>
        <v/>
      </c>
      <c r="W69">
        <f>IF(NOT(ISNUMBER($D69)),"",_xlfn.NORM.DIST(W$1,$D69,$E69,TRUE)-_xlfn.NORM.DIST(W$2,$D69,$E69,TRUE))</f>
        <v/>
      </c>
      <c r="X69">
        <f>IF(NOT(ISNUMBER($D69)),"",_xlfn.NORM.DIST(X$1,$D69,$E69,TRUE)-_xlfn.NORM.DIST(X$2,$D69,$E69,TRUE))</f>
        <v/>
      </c>
      <c r="Y69">
        <f>IF(NOT(ISNUMBER($D69)),"",_xlfn.NORM.DIST(Y$1,$D69,$E69,TRUE)-_xlfn.NORM.DIST(Y$2,$D69,$E69,TRUE))</f>
        <v/>
      </c>
      <c r="Z69">
        <f>IF(NOT(ISNUMBER($D69)),"",_xlfn.NORM.DIST(Z$1,$D69,$E69,TRUE)-_xlfn.NORM.DIST(Z$2,$D69,$E69,TRUE))</f>
        <v/>
      </c>
      <c r="AA69">
        <f>IF(NOT(ISNUMBER($D69)),"",_xlfn.NORM.DIST(AA$1,$D69,$E69,TRUE)-_xlfn.NORM.DIST(AA$2,$D69,$E69,TRUE))</f>
        <v/>
      </c>
      <c r="AB69">
        <f>IF(NOT(ISNUMBER($D69)),"",_xlfn.NORM.DIST(AB$1,$D69,$E69,TRUE)-_xlfn.NORM.DIST(AB$2,$D69,$E69,TRUE))</f>
        <v/>
      </c>
      <c r="AC69">
        <f>IF(NOT(ISNUMBER($D69)),"",_xlfn.NORM.DIST(AC$1,$D69,$E69,TRUE)-_xlfn.NORM.DIST(AC$2,$D69,$E69,TRUE))</f>
        <v/>
      </c>
      <c r="AD69">
        <f>IF(NOT(ISNUMBER($D69)),"",_xlfn.NORM.DIST(AD$1,$D69,$E69,TRUE)-_xlfn.NORM.DIST(AD$2,$D69,$E69,TRUE))</f>
        <v/>
      </c>
      <c r="AE69">
        <f>IF(NOT(ISNUMBER($D69)),"",_xlfn.NORM.DIST(AE$1,$D69,$E69,TRUE)-_xlfn.NORM.DIST(AE$2,$D69,$E69,TRUE))</f>
        <v/>
      </c>
      <c r="AF69">
        <f>IF(NOT(ISNUMBER($D69)),"",_xlfn.NORM.DIST(AF$1,$D69,$E69,TRUE)-_xlfn.NORM.DIST(AF$2,$D69,$E69,TRUE))</f>
        <v/>
      </c>
      <c r="AG69">
        <f>IF(NOT(ISNUMBER($D69)),"",_xlfn.NORM.DIST(AG$1,$D69,$E69,TRUE)-_xlfn.NORM.DIST(AG$2,$D69,$E69,TRUE))</f>
        <v/>
      </c>
      <c r="AH69">
        <f>IF(NOT(ISNUMBER($D69)),"",_xlfn.NORM.DIST(AH$1,$D69,$E69,TRUE)-_xlfn.NORM.DIST(AH$2,$D69,$E69,TRUE))</f>
        <v/>
      </c>
      <c r="AI69">
        <f>IF(NOT(ISNUMBER($D69)),"",_xlfn.NORM.DIST(AI$1,$D69,$E69,TRUE)-_xlfn.NORM.DIST(AI$2,$D69,$E69,TRUE))</f>
        <v/>
      </c>
      <c r="AJ69">
        <f>IF(NOT(ISNUMBER($D69)),"",_xlfn.NORM.DIST(AJ$1,$D69,$E69,TRUE)-_xlfn.NORM.DIST(AJ$2,$D69,$E69,TRUE))</f>
        <v/>
      </c>
      <c r="AK69">
        <f>IF(NOT(ISNUMBER($D69)),"",_xlfn.NORM.DIST(AK$1,$D69,$E69,TRUE)-_xlfn.NORM.DIST(AK$2,$D69,$E69,TRUE))</f>
        <v/>
      </c>
      <c r="AL69">
        <f>IF(NOT(ISNUMBER($D69)),"",_xlfn.NORM.DIST(AL$1,$D69,$E69,TRUE)-_xlfn.NORM.DIST(AL$2,$D69,$E69,TRUE))</f>
        <v/>
      </c>
      <c r="AM69">
        <f>IF(NOT(ISNUMBER($D69)),"",_xlfn.NORM.DIST(AM$1,$D69,$E69,TRUE)-_xlfn.NORM.DIST(AM$2,$D69,$E69,TRUE))</f>
        <v/>
      </c>
      <c r="AN69">
        <f>IF(NOT(ISNUMBER($D69)),"",_xlfn.NORM.DIST(AN$1,$D69,$E69,TRUE)-_xlfn.NORM.DIST(AN$2,$D69,$E69,TRUE))</f>
        <v/>
      </c>
      <c r="AO69">
        <f>IF(NOT(ISNUMBER($D69)),"",_xlfn.NORM.DIST(AO$1,$D69,$E69,TRUE)-_xlfn.NORM.DIST(AO$2,$D69,$E69,TRUE))</f>
        <v/>
      </c>
      <c r="AP69">
        <f>IF(NOT(ISNUMBER($D69)),"",_xlfn.NORM.DIST(AP$1,$D69,$E69,TRUE)-_xlfn.NORM.DIST(AP$2,$D69,$E69,TRUE))</f>
        <v/>
      </c>
      <c r="AQ69">
        <f>IF(NOT(ISNUMBER($D69)),"",_xlfn.NORM.DIST(AQ$1,$D69,$E69,TRUE)-_xlfn.NORM.DIST(AQ$2,$D69,$E69,TRUE))</f>
        <v/>
      </c>
      <c r="AR69">
        <f>IF(NOT(ISNUMBER($D69)),"",_xlfn.NORM.DIST(AR$1,$D69,$E69,TRUE)-_xlfn.NORM.DIST(AR$2,$D69,$E69,TRUE))</f>
        <v/>
      </c>
      <c r="AS69">
        <f>IF(NOT(ISNUMBER($D69)),"",_xlfn.NORM.DIST(AS$1,$D69,$E69,TRUE)-_xlfn.NORM.DIST(AS$2,$D69,$E69,TRUE))</f>
        <v/>
      </c>
      <c r="AT69">
        <f>IF(NOT(ISNUMBER($D69)),"",_xlfn.NORM.DIST(AT$1,$D69,$E69,TRUE)-_xlfn.NORM.DIST(AT$2,$D69,$E69,TRUE))</f>
        <v/>
      </c>
      <c r="AU69">
        <f>IF(NOT(ISNUMBER($D69)),"",_xlfn.NORM.DIST(AU$1,$D69,$E69,TRUE)-_xlfn.NORM.DIST(AU$2,$D69,$E69,TRUE))</f>
        <v/>
      </c>
      <c r="AV69">
        <f>IF(NOT(ISNUMBER($D69)),"",_xlfn.NORM.DIST(AV$1,$D69,$E69,TRUE)-_xlfn.NORM.DIST(AV$2,$D69,$E69,TRUE))</f>
        <v/>
      </c>
      <c r="AW69">
        <f>IF(NOT(ISNUMBER($D69)),"",_xlfn.NORM.DIST(AW$1,$D69,$E69,TRUE)-_xlfn.NORM.DIST(AW$2,$D69,$E69,TRUE))</f>
        <v/>
      </c>
      <c r="AX69">
        <f>IF(NOT(ISNUMBER($D69)),"",_xlfn.NORM.DIST(AX$1,$D69,$E69,TRUE)-_xlfn.NORM.DIST(AX$2,$D69,$E69,TRUE))</f>
        <v/>
      </c>
      <c r="AY69">
        <f>IF(NOT(ISNUMBER($D69)),"",_xlfn.NORM.DIST(AY$1,$D69,$E69,TRUE)-_xlfn.NORM.DIST(AY$2,$D69,$E69,TRUE))</f>
        <v/>
      </c>
      <c r="AZ69">
        <f>IF(NOT(ISNUMBER($D69)),"",_xlfn.NORM.DIST(AZ$1,$D69,$E69,TRUE)-_xlfn.NORM.DIST(AZ$2,$D69,$E69,TRUE))</f>
        <v/>
      </c>
      <c r="BA69">
        <f>IF(NOT(ISNUMBER($D69)),"",_xlfn.NORM.DIST(BA$1,$D69,$E69,TRUE)-_xlfn.NORM.DIST(BA$2,$D69,$E69,TRUE))</f>
        <v/>
      </c>
      <c r="BB69">
        <f>IF(NOT(ISNUMBER($D69)),"",_xlfn.NORM.DIST(BB$1,$D69,$E69,TRUE)-_xlfn.NORM.DIST(BB$2,$D69,$E69,TRUE))</f>
        <v/>
      </c>
      <c r="BC69">
        <f>IF(NOT(ISNUMBER($D69)),"",_xlfn.NORM.DIST(BC$1,$D69,$E69,TRUE)-_xlfn.NORM.DIST(BC$2,$D69,$E69,TRUE))</f>
        <v/>
      </c>
      <c r="BD69">
        <f>IF(NOT(ISNUMBER($D69)),"",_xlfn.NORM.DIST(BD$1,$D69,$E69,TRUE)-_xlfn.NORM.DIST(BD$2,$D69,$E69,TRUE))</f>
        <v/>
      </c>
      <c r="BE69">
        <f>IF(NOT(ISNUMBER($D69)),"",_xlfn.NORM.DIST(BE$1,$D69,$E69,TRUE)-_xlfn.NORM.DIST(BE$2,$D69,$E69,TRUE))</f>
        <v/>
      </c>
      <c r="BF69">
        <f>IF(NOT(ISNUMBER($D69)),"",_xlfn.NORM.DIST(BF$1,$D69,$E69,TRUE)-_xlfn.NORM.DIST(BF$2,$D69,$E69,TRUE))</f>
        <v/>
      </c>
      <c r="BG69">
        <f>IF(NOT(ISNUMBER($D69)),"",_xlfn.NORM.DIST(BG$1,$D69,$E69,TRUE)-_xlfn.NORM.DIST(BG$2,$D69,$E69,TRUE))</f>
        <v/>
      </c>
      <c r="BH69">
        <f>IF(NOT(ISNUMBER($D69)),"",_xlfn.NORM.DIST(BH$1,$D69,$E69,TRUE)-_xlfn.NORM.DIST(BH$2,$D69,$E69,TRUE))</f>
        <v/>
      </c>
      <c r="BI69">
        <f>IF(NOT(ISNUMBER($D69)),"",_xlfn.NORM.DIST(BI$1,$D69,$E69,TRUE)-_xlfn.NORM.DIST(BI$2,$D69,$E69,TRUE))</f>
        <v/>
      </c>
      <c r="BJ69">
        <f>IF(NOT(ISNUMBER($D69)),"",_xlfn.NORM.DIST(BJ$1,$D69,$E69,TRUE)-_xlfn.NORM.DIST(BJ$2,$D69,$E69,TRUE))</f>
        <v/>
      </c>
      <c r="BK69">
        <f>IF(NOT(ISNUMBER($D69)),"",_xlfn.NORM.DIST(BK$1,$D69,$E69,TRUE)-_xlfn.NORM.DIST(BK$2,$D69,$E69,TRUE))</f>
        <v/>
      </c>
      <c r="BL69">
        <f>IF(NOT(ISNUMBER($D69)),"",_xlfn.NORM.DIST(BL$1,$D69,$E69,TRUE)-_xlfn.NORM.DIST(BL$2,$D69,$E69,TRUE))</f>
        <v/>
      </c>
      <c r="BM69">
        <f>IF(NOT(ISNUMBER($D69)),"",_xlfn.NORM.DIST(BM$1,$D69,$E69,TRUE)-_xlfn.NORM.DIST(BM$2,$D69,$E69,TRUE))</f>
        <v/>
      </c>
      <c r="BN69">
        <f>IF(NOT(ISNUMBER($D69)),"",_xlfn.NORM.DIST(BN$1,$D69,$E69,TRUE)-_xlfn.NORM.DIST(BN$2,$D69,$E69,TRUE))</f>
        <v/>
      </c>
      <c r="BO69">
        <f>IF(NOT(ISNUMBER($D69)),"",_xlfn.NORM.DIST(BO$1,$D69,$E69,TRUE)-_xlfn.NORM.DIST(BO$2,$D69,$E69,TRUE))</f>
        <v/>
      </c>
      <c r="BP69">
        <f>IF(NOT(ISNUMBER($D69)),"",_xlfn.NORM.DIST(BP$1,$D69,$E69,TRUE)-_xlfn.NORM.DIST(BP$2,$D69,$E69,TRUE))</f>
        <v/>
      </c>
      <c r="BQ69">
        <f>IF(NOT(ISNUMBER($D69)),"",_xlfn.NORM.DIST(BQ$1,$D69,$E69,TRUE)-_xlfn.NORM.DIST(BQ$2,$D69,$E69,TRUE))</f>
        <v/>
      </c>
      <c r="BR69">
        <f>IF(NOT(ISNUMBER($D69)),"",_xlfn.NORM.DIST(BR$1,$D69,$E69,TRUE)-_xlfn.NORM.DIST(BR$2,$D69,$E69,TRUE))</f>
        <v/>
      </c>
      <c r="BS69">
        <f>IF(NOT(ISNUMBER($D69)),"",_xlfn.NORM.DIST(BS$1,$D69,$E69,TRUE)-_xlfn.NORM.DIST(BS$2,$D69,$E69,TRUE))</f>
        <v/>
      </c>
      <c r="BT69">
        <f>IF(NOT(ISNUMBER($D69)),"",_xlfn.NORM.DIST(BT$1,$D69,$E69,TRUE)-_xlfn.NORM.DIST(BT$2,$D69,$E69,TRUE))</f>
        <v/>
      </c>
      <c r="BU69">
        <f>IF(NOT(ISNUMBER($D69)),"",_xlfn.NORM.DIST(BU$1,$D69,$E69,TRUE)-_xlfn.NORM.DIST(BU$2,$D69,$E69,TRUE))</f>
        <v/>
      </c>
      <c r="BV69">
        <f>IF(NOT(ISNUMBER($D69)),"",_xlfn.NORM.DIST(BV$1,$D69,$E69,TRUE)-_xlfn.NORM.DIST(BV$2,$D69,$E69,TRUE))</f>
        <v/>
      </c>
      <c r="BW69">
        <f>IF(NOT(ISNUMBER($D69)),"",_xlfn.NORM.DIST(BW$1,$D69,$E69,TRUE)-_xlfn.NORM.DIST(BW$2,$D69,$E69,TRUE))</f>
        <v/>
      </c>
      <c r="BX69">
        <f>IF(NOT(ISNUMBER($D69)),"",_xlfn.NORM.DIST(BX$1,$D69,$E69,TRUE)-_xlfn.NORM.DIST(BX$2,$D69,$E69,TRUE))</f>
        <v/>
      </c>
      <c r="BY69">
        <f>IF(NOT(ISNUMBER($D69)),"",_xlfn.NORM.DIST(BY$1,$D69,$E69,TRUE)-_xlfn.NORM.DIST(BY$2,$D69,$E69,TRUE))</f>
        <v/>
      </c>
      <c r="BZ69">
        <f>IF(NOT(ISNUMBER($D69)),"",_xlfn.NORM.DIST(BZ$1,$D69,$E69,TRUE)-_xlfn.NORM.DIST(BZ$2,$D69,$E69,TRUE))</f>
        <v/>
      </c>
      <c r="CA69">
        <f>IF(NOT(ISNUMBER($D69)),"",_xlfn.NORM.DIST(CA$1,$D69,$E69,TRUE)-_xlfn.NORM.DIST(CA$2,$D69,$E69,TRUE))</f>
        <v/>
      </c>
      <c r="CB69">
        <f>IF(NOT(ISNUMBER($D69)),"",_xlfn.NORM.DIST(CB$1,$D69,$E69,TRUE)-_xlfn.NORM.DIST(CB$2,$D69,$E69,TRUE))</f>
        <v/>
      </c>
      <c r="CC69">
        <f>IF(NOT(ISNUMBER($D69)),"",_xlfn.NORM.DIST(CC$1,$D69,$E69,TRUE)-_xlfn.NORM.DIST(CC$2,$D69,$E69,TRUE))</f>
        <v/>
      </c>
      <c r="CD69">
        <f>IF(NOT(ISNUMBER($D69)),"",_xlfn.NORM.DIST(CD$1,$D69,$E69,TRUE)-_xlfn.NORM.DIST(CD$2,$D69,$E69,TRUE))</f>
        <v/>
      </c>
      <c r="CE69">
        <f>IF(NOT(ISNUMBER($D69)),"",_xlfn.NORM.DIST(CE$1,$D69,$E69,TRUE)-_xlfn.NORM.DIST(CE$2,$D69,$E69,TRUE))</f>
        <v/>
      </c>
      <c r="CF69">
        <f>IF(NOT(ISNUMBER($D69)),"",_xlfn.NORM.DIST(CF$1,$D69,$E69,TRUE)-_xlfn.NORM.DIST(CF$2,$D69,$E69,TRUE))</f>
        <v/>
      </c>
      <c r="CG69">
        <f>IF(NOT(ISNUMBER($D69)),"",_xlfn.NORM.DIST(CG$1,$D69,$E69,TRUE)-_xlfn.NORM.DIST(CG$2,$D69,$E69,TRUE))</f>
        <v/>
      </c>
      <c r="CH69">
        <f>IF(NOT(ISNUMBER($D69)),"",_xlfn.NORM.DIST(CH$1,$D69,$E69,TRUE)-_xlfn.NORM.DIST(CH$2,$D69,$E69,TRUE))</f>
        <v/>
      </c>
      <c r="CI69">
        <f>IF(NOT(ISNUMBER($D69)),"",_xlfn.NORM.DIST(CI$1,$D69,$E69,TRUE)-_xlfn.NORM.DIST(CI$2,$D69,$E69,TRUE))</f>
        <v/>
      </c>
      <c r="CJ69">
        <f>IF(ISNUMBER($D69),SUM(F69:CI69),"")</f>
        <v/>
      </c>
    </row>
    <row r="70">
      <c r="A70">
        <f>economics!A69</f>
        <v/>
      </c>
      <c r="B70">
        <f>economics!B69</f>
        <v/>
      </c>
      <c r="C70">
        <f>economics!D69</f>
        <v/>
      </c>
      <c r="D70">
        <f>IF(ISNUMBER(economics!T69),economics!T69,"na")</f>
        <v/>
      </c>
      <c r="E70">
        <f>IF(ISNUMBER(D70),MAX(0.3*ABS(D70),0.000001),"na")</f>
        <v/>
      </c>
      <c r="F70">
        <f>IF(NOT(ISNUMBER($D70)),"",_xlfn.NORM.DIST(F$1,$D70,$E70,TRUE)-_xlfn.NORM.DIST(F$2,$D70,$E70,TRUE))</f>
        <v/>
      </c>
      <c r="G70">
        <f>IF(NOT(ISNUMBER($D70)),"",_xlfn.NORM.DIST(G$1,$D70,$E70,TRUE)-_xlfn.NORM.DIST(G$2,$D70,$E70,TRUE))</f>
        <v/>
      </c>
      <c r="H70">
        <f>IF(NOT(ISNUMBER($D70)),"",_xlfn.NORM.DIST(H$1,$D70,$E70,TRUE)-_xlfn.NORM.DIST(H$2,$D70,$E70,TRUE))</f>
        <v/>
      </c>
      <c r="I70">
        <f>IF(NOT(ISNUMBER($D70)),"",_xlfn.NORM.DIST(I$1,$D70,$E70,TRUE)-_xlfn.NORM.DIST(I$2,$D70,$E70,TRUE))</f>
        <v/>
      </c>
      <c r="J70">
        <f>IF(NOT(ISNUMBER($D70)),"",_xlfn.NORM.DIST(J$1,$D70,$E70,TRUE)-_xlfn.NORM.DIST(J$2,$D70,$E70,TRUE))</f>
        <v/>
      </c>
      <c r="K70">
        <f>IF(NOT(ISNUMBER($D70)),"",_xlfn.NORM.DIST(K$1,$D70,$E70,TRUE)-_xlfn.NORM.DIST(K$2,$D70,$E70,TRUE))</f>
        <v/>
      </c>
      <c r="L70">
        <f>IF(NOT(ISNUMBER($D70)),"",_xlfn.NORM.DIST(L$1,$D70,$E70,TRUE)-_xlfn.NORM.DIST(L$2,$D70,$E70,TRUE))</f>
        <v/>
      </c>
      <c r="M70">
        <f>IF(NOT(ISNUMBER($D70)),"",_xlfn.NORM.DIST(M$1,$D70,$E70,TRUE)-_xlfn.NORM.DIST(M$2,$D70,$E70,TRUE))</f>
        <v/>
      </c>
      <c r="N70">
        <f>IF(NOT(ISNUMBER($D70)),"",_xlfn.NORM.DIST(N$1,$D70,$E70,TRUE)-_xlfn.NORM.DIST(N$2,$D70,$E70,TRUE))</f>
        <v/>
      </c>
      <c r="O70">
        <f>IF(NOT(ISNUMBER($D70)),"",_xlfn.NORM.DIST(O$1,$D70,$E70,TRUE)-_xlfn.NORM.DIST(O$2,$D70,$E70,TRUE))</f>
        <v/>
      </c>
      <c r="P70">
        <f>IF(NOT(ISNUMBER($D70)),"",_xlfn.NORM.DIST(P$1,$D70,$E70,TRUE)-_xlfn.NORM.DIST(P$2,$D70,$E70,TRUE))</f>
        <v/>
      </c>
      <c r="Q70">
        <f>IF(NOT(ISNUMBER($D70)),"",_xlfn.NORM.DIST(Q$1,$D70,$E70,TRUE)-_xlfn.NORM.DIST(Q$2,$D70,$E70,TRUE))</f>
        <v/>
      </c>
      <c r="R70">
        <f>IF(NOT(ISNUMBER($D70)),"",_xlfn.NORM.DIST(R$1,$D70,$E70,TRUE)-_xlfn.NORM.DIST(R$2,$D70,$E70,TRUE))</f>
        <v/>
      </c>
      <c r="S70">
        <f>IF(NOT(ISNUMBER($D70)),"",_xlfn.NORM.DIST(S$1,$D70,$E70,TRUE)-_xlfn.NORM.DIST(S$2,$D70,$E70,TRUE))</f>
        <v/>
      </c>
      <c r="T70">
        <f>IF(NOT(ISNUMBER($D70)),"",_xlfn.NORM.DIST(T$1,$D70,$E70,TRUE)-_xlfn.NORM.DIST(T$2,$D70,$E70,TRUE))</f>
        <v/>
      </c>
      <c r="U70">
        <f>IF(NOT(ISNUMBER($D70)),"",_xlfn.NORM.DIST(U$1,$D70,$E70,TRUE)-_xlfn.NORM.DIST(U$2,$D70,$E70,TRUE))</f>
        <v/>
      </c>
      <c r="V70">
        <f>IF(NOT(ISNUMBER($D70)),"",_xlfn.NORM.DIST(V$1,$D70,$E70,TRUE)-_xlfn.NORM.DIST(V$2,$D70,$E70,TRUE))</f>
        <v/>
      </c>
      <c r="W70">
        <f>IF(NOT(ISNUMBER($D70)),"",_xlfn.NORM.DIST(W$1,$D70,$E70,TRUE)-_xlfn.NORM.DIST(W$2,$D70,$E70,TRUE))</f>
        <v/>
      </c>
      <c r="X70">
        <f>IF(NOT(ISNUMBER($D70)),"",_xlfn.NORM.DIST(X$1,$D70,$E70,TRUE)-_xlfn.NORM.DIST(X$2,$D70,$E70,TRUE))</f>
        <v/>
      </c>
      <c r="Y70">
        <f>IF(NOT(ISNUMBER($D70)),"",_xlfn.NORM.DIST(Y$1,$D70,$E70,TRUE)-_xlfn.NORM.DIST(Y$2,$D70,$E70,TRUE))</f>
        <v/>
      </c>
      <c r="Z70">
        <f>IF(NOT(ISNUMBER($D70)),"",_xlfn.NORM.DIST(Z$1,$D70,$E70,TRUE)-_xlfn.NORM.DIST(Z$2,$D70,$E70,TRUE))</f>
        <v/>
      </c>
      <c r="AA70">
        <f>IF(NOT(ISNUMBER($D70)),"",_xlfn.NORM.DIST(AA$1,$D70,$E70,TRUE)-_xlfn.NORM.DIST(AA$2,$D70,$E70,TRUE))</f>
        <v/>
      </c>
      <c r="AB70">
        <f>IF(NOT(ISNUMBER($D70)),"",_xlfn.NORM.DIST(AB$1,$D70,$E70,TRUE)-_xlfn.NORM.DIST(AB$2,$D70,$E70,TRUE))</f>
        <v/>
      </c>
      <c r="AC70">
        <f>IF(NOT(ISNUMBER($D70)),"",_xlfn.NORM.DIST(AC$1,$D70,$E70,TRUE)-_xlfn.NORM.DIST(AC$2,$D70,$E70,TRUE))</f>
        <v/>
      </c>
      <c r="AD70">
        <f>IF(NOT(ISNUMBER($D70)),"",_xlfn.NORM.DIST(AD$1,$D70,$E70,TRUE)-_xlfn.NORM.DIST(AD$2,$D70,$E70,TRUE))</f>
        <v/>
      </c>
      <c r="AE70">
        <f>IF(NOT(ISNUMBER($D70)),"",_xlfn.NORM.DIST(AE$1,$D70,$E70,TRUE)-_xlfn.NORM.DIST(AE$2,$D70,$E70,TRUE))</f>
        <v/>
      </c>
      <c r="AF70">
        <f>IF(NOT(ISNUMBER($D70)),"",_xlfn.NORM.DIST(AF$1,$D70,$E70,TRUE)-_xlfn.NORM.DIST(AF$2,$D70,$E70,TRUE))</f>
        <v/>
      </c>
      <c r="AG70">
        <f>IF(NOT(ISNUMBER($D70)),"",_xlfn.NORM.DIST(AG$1,$D70,$E70,TRUE)-_xlfn.NORM.DIST(AG$2,$D70,$E70,TRUE))</f>
        <v/>
      </c>
      <c r="AH70">
        <f>IF(NOT(ISNUMBER($D70)),"",_xlfn.NORM.DIST(AH$1,$D70,$E70,TRUE)-_xlfn.NORM.DIST(AH$2,$D70,$E70,TRUE))</f>
        <v/>
      </c>
      <c r="AI70">
        <f>IF(NOT(ISNUMBER($D70)),"",_xlfn.NORM.DIST(AI$1,$D70,$E70,TRUE)-_xlfn.NORM.DIST(AI$2,$D70,$E70,TRUE))</f>
        <v/>
      </c>
      <c r="AJ70">
        <f>IF(NOT(ISNUMBER($D70)),"",_xlfn.NORM.DIST(AJ$1,$D70,$E70,TRUE)-_xlfn.NORM.DIST(AJ$2,$D70,$E70,TRUE))</f>
        <v/>
      </c>
      <c r="AK70">
        <f>IF(NOT(ISNUMBER($D70)),"",_xlfn.NORM.DIST(AK$1,$D70,$E70,TRUE)-_xlfn.NORM.DIST(AK$2,$D70,$E70,TRUE))</f>
        <v/>
      </c>
      <c r="AL70">
        <f>IF(NOT(ISNUMBER($D70)),"",_xlfn.NORM.DIST(AL$1,$D70,$E70,TRUE)-_xlfn.NORM.DIST(AL$2,$D70,$E70,TRUE))</f>
        <v/>
      </c>
      <c r="AM70">
        <f>IF(NOT(ISNUMBER($D70)),"",_xlfn.NORM.DIST(AM$1,$D70,$E70,TRUE)-_xlfn.NORM.DIST(AM$2,$D70,$E70,TRUE))</f>
        <v/>
      </c>
      <c r="AN70">
        <f>IF(NOT(ISNUMBER($D70)),"",_xlfn.NORM.DIST(AN$1,$D70,$E70,TRUE)-_xlfn.NORM.DIST(AN$2,$D70,$E70,TRUE))</f>
        <v/>
      </c>
      <c r="AO70">
        <f>IF(NOT(ISNUMBER($D70)),"",_xlfn.NORM.DIST(AO$1,$D70,$E70,TRUE)-_xlfn.NORM.DIST(AO$2,$D70,$E70,TRUE))</f>
        <v/>
      </c>
      <c r="AP70">
        <f>IF(NOT(ISNUMBER($D70)),"",_xlfn.NORM.DIST(AP$1,$D70,$E70,TRUE)-_xlfn.NORM.DIST(AP$2,$D70,$E70,TRUE))</f>
        <v/>
      </c>
      <c r="AQ70">
        <f>IF(NOT(ISNUMBER($D70)),"",_xlfn.NORM.DIST(AQ$1,$D70,$E70,TRUE)-_xlfn.NORM.DIST(AQ$2,$D70,$E70,TRUE))</f>
        <v/>
      </c>
      <c r="AR70">
        <f>IF(NOT(ISNUMBER($D70)),"",_xlfn.NORM.DIST(AR$1,$D70,$E70,TRUE)-_xlfn.NORM.DIST(AR$2,$D70,$E70,TRUE))</f>
        <v/>
      </c>
      <c r="AS70">
        <f>IF(NOT(ISNUMBER($D70)),"",_xlfn.NORM.DIST(AS$1,$D70,$E70,TRUE)-_xlfn.NORM.DIST(AS$2,$D70,$E70,TRUE))</f>
        <v/>
      </c>
      <c r="AT70">
        <f>IF(NOT(ISNUMBER($D70)),"",_xlfn.NORM.DIST(AT$1,$D70,$E70,TRUE)-_xlfn.NORM.DIST(AT$2,$D70,$E70,TRUE))</f>
        <v/>
      </c>
      <c r="AU70">
        <f>IF(NOT(ISNUMBER($D70)),"",_xlfn.NORM.DIST(AU$1,$D70,$E70,TRUE)-_xlfn.NORM.DIST(AU$2,$D70,$E70,TRUE))</f>
        <v/>
      </c>
      <c r="AV70">
        <f>IF(NOT(ISNUMBER($D70)),"",_xlfn.NORM.DIST(AV$1,$D70,$E70,TRUE)-_xlfn.NORM.DIST(AV$2,$D70,$E70,TRUE))</f>
        <v/>
      </c>
      <c r="AW70">
        <f>IF(NOT(ISNUMBER($D70)),"",_xlfn.NORM.DIST(AW$1,$D70,$E70,TRUE)-_xlfn.NORM.DIST(AW$2,$D70,$E70,TRUE))</f>
        <v/>
      </c>
      <c r="AX70">
        <f>IF(NOT(ISNUMBER($D70)),"",_xlfn.NORM.DIST(AX$1,$D70,$E70,TRUE)-_xlfn.NORM.DIST(AX$2,$D70,$E70,TRUE))</f>
        <v/>
      </c>
      <c r="AY70">
        <f>IF(NOT(ISNUMBER($D70)),"",_xlfn.NORM.DIST(AY$1,$D70,$E70,TRUE)-_xlfn.NORM.DIST(AY$2,$D70,$E70,TRUE))</f>
        <v/>
      </c>
      <c r="AZ70">
        <f>IF(NOT(ISNUMBER($D70)),"",_xlfn.NORM.DIST(AZ$1,$D70,$E70,TRUE)-_xlfn.NORM.DIST(AZ$2,$D70,$E70,TRUE))</f>
        <v/>
      </c>
      <c r="BA70">
        <f>IF(NOT(ISNUMBER($D70)),"",_xlfn.NORM.DIST(BA$1,$D70,$E70,TRUE)-_xlfn.NORM.DIST(BA$2,$D70,$E70,TRUE))</f>
        <v/>
      </c>
      <c r="BB70">
        <f>IF(NOT(ISNUMBER($D70)),"",_xlfn.NORM.DIST(BB$1,$D70,$E70,TRUE)-_xlfn.NORM.DIST(BB$2,$D70,$E70,TRUE))</f>
        <v/>
      </c>
      <c r="BC70">
        <f>IF(NOT(ISNUMBER($D70)),"",_xlfn.NORM.DIST(BC$1,$D70,$E70,TRUE)-_xlfn.NORM.DIST(BC$2,$D70,$E70,TRUE))</f>
        <v/>
      </c>
      <c r="BD70">
        <f>IF(NOT(ISNUMBER($D70)),"",_xlfn.NORM.DIST(BD$1,$D70,$E70,TRUE)-_xlfn.NORM.DIST(BD$2,$D70,$E70,TRUE))</f>
        <v/>
      </c>
      <c r="BE70">
        <f>IF(NOT(ISNUMBER($D70)),"",_xlfn.NORM.DIST(BE$1,$D70,$E70,TRUE)-_xlfn.NORM.DIST(BE$2,$D70,$E70,TRUE))</f>
        <v/>
      </c>
      <c r="BF70">
        <f>IF(NOT(ISNUMBER($D70)),"",_xlfn.NORM.DIST(BF$1,$D70,$E70,TRUE)-_xlfn.NORM.DIST(BF$2,$D70,$E70,TRUE))</f>
        <v/>
      </c>
      <c r="BG70">
        <f>IF(NOT(ISNUMBER($D70)),"",_xlfn.NORM.DIST(BG$1,$D70,$E70,TRUE)-_xlfn.NORM.DIST(BG$2,$D70,$E70,TRUE))</f>
        <v/>
      </c>
      <c r="BH70">
        <f>IF(NOT(ISNUMBER($D70)),"",_xlfn.NORM.DIST(BH$1,$D70,$E70,TRUE)-_xlfn.NORM.DIST(BH$2,$D70,$E70,TRUE))</f>
        <v/>
      </c>
      <c r="BI70">
        <f>IF(NOT(ISNUMBER($D70)),"",_xlfn.NORM.DIST(BI$1,$D70,$E70,TRUE)-_xlfn.NORM.DIST(BI$2,$D70,$E70,TRUE))</f>
        <v/>
      </c>
      <c r="BJ70">
        <f>IF(NOT(ISNUMBER($D70)),"",_xlfn.NORM.DIST(BJ$1,$D70,$E70,TRUE)-_xlfn.NORM.DIST(BJ$2,$D70,$E70,TRUE))</f>
        <v/>
      </c>
      <c r="BK70">
        <f>IF(NOT(ISNUMBER($D70)),"",_xlfn.NORM.DIST(BK$1,$D70,$E70,TRUE)-_xlfn.NORM.DIST(BK$2,$D70,$E70,TRUE))</f>
        <v/>
      </c>
      <c r="BL70">
        <f>IF(NOT(ISNUMBER($D70)),"",_xlfn.NORM.DIST(BL$1,$D70,$E70,TRUE)-_xlfn.NORM.DIST(BL$2,$D70,$E70,TRUE))</f>
        <v/>
      </c>
      <c r="BM70">
        <f>IF(NOT(ISNUMBER($D70)),"",_xlfn.NORM.DIST(BM$1,$D70,$E70,TRUE)-_xlfn.NORM.DIST(BM$2,$D70,$E70,TRUE))</f>
        <v/>
      </c>
      <c r="BN70">
        <f>IF(NOT(ISNUMBER($D70)),"",_xlfn.NORM.DIST(BN$1,$D70,$E70,TRUE)-_xlfn.NORM.DIST(BN$2,$D70,$E70,TRUE))</f>
        <v/>
      </c>
      <c r="BO70">
        <f>IF(NOT(ISNUMBER($D70)),"",_xlfn.NORM.DIST(BO$1,$D70,$E70,TRUE)-_xlfn.NORM.DIST(BO$2,$D70,$E70,TRUE))</f>
        <v/>
      </c>
      <c r="BP70">
        <f>IF(NOT(ISNUMBER($D70)),"",_xlfn.NORM.DIST(BP$1,$D70,$E70,TRUE)-_xlfn.NORM.DIST(BP$2,$D70,$E70,TRUE))</f>
        <v/>
      </c>
      <c r="BQ70">
        <f>IF(NOT(ISNUMBER($D70)),"",_xlfn.NORM.DIST(BQ$1,$D70,$E70,TRUE)-_xlfn.NORM.DIST(BQ$2,$D70,$E70,TRUE))</f>
        <v/>
      </c>
      <c r="BR70">
        <f>IF(NOT(ISNUMBER($D70)),"",_xlfn.NORM.DIST(BR$1,$D70,$E70,TRUE)-_xlfn.NORM.DIST(BR$2,$D70,$E70,TRUE))</f>
        <v/>
      </c>
      <c r="BS70">
        <f>IF(NOT(ISNUMBER($D70)),"",_xlfn.NORM.DIST(BS$1,$D70,$E70,TRUE)-_xlfn.NORM.DIST(BS$2,$D70,$E70,TRUE))</f>
        <v/>
      </c>
      <c r="BT70">
        <f>IF(NOT(ISNUMBER($D70)),"",_xlfn.NORM.DIST(BT$1,$D70,$E70,TRUE)-_xlfn.NORM.DIST(BT$2,$D70,$E70,TRUE))</f>
        <v/>
      </c>
      <c r="BU70">
        <f>IF(NOT(ISNUMBER($D70)),"",_xlfn.NORM.DIST(BU$1,$D70,$E70,TRUE)-_xlfn.NORM.DIST(BU$2,$D70,$E70,TRUE))</f>
        <v/>
      </c>
      <c r="BV70">
        <f>IF(NOT(ISNUMBER($D70)),"",_xlfn.NORM.DIST(BV$1,$D70,$E70,TRUE)-_xlfn.NORM.DIST(BV$2,$D70,$E70,TRUE))</f>
        <v/>
      </c>
      <c r="BW70">
        <f>IF(NOT(ISNUMBER($D70)),"",_xlfn.NORM.DIST(BW$1,$D70,$E70,TRUE)-_xlfn.NORM.DIST(BW$2,$D70,$E70,TRUE))</f>
        <v/>
      </c>
      <c r="BX70">
        <f>IF(NOT(ISNUMBER($D70)),"",_xlfn.NORM.DIST(BX$1,$D70,$E70,TRUE)-_xlfn.NORM.DIST(BX$2,$D70,$E70,TRUE))</f>
        <v/>
      </c>
      <c r="BY70">
        <f>IF(NOT(ISNUMBER($D70)),"",_xlfn.NORM.DIST(BY$1,$D70,$E70,TRUE)-_xlfn.NORM.DIST(BY$2,$D70,$E70,TRUE))</f>
        <v/>
      </c>
      <c r="BZ70">
        <f>IF(NOT(ISNUMBER($D70)),"",_xlfn.NORM.DIST(BZ$1,$D70,$E70,TRUE)-_xlfn.NORM.DIST(BZ$2,$D70,$E70,TRUE))</f>
        <v/>
      </c>
      <c r="CA70">
        <f>IF(NOT(ISNUMBER($D70)),"",_xlfn.NORM.DIST(CA$1,$D70,$E70,TRUE)-_xlfn.NORM.DIST(CA$2,$D70,$E70,TRUE))</f>
        <v/>
      </c>
      <c r="CB70">
        <f>IF(NOT(ISNUMBER($D70)),"",_xlfn.NORM.DIST(CB$1,$D70,$E70,TRUE)-_xlfn.NORM.DIST(CB$2,$D70,$E70,TRUE))</f>
        <v/>
      </c>
      <c r="CC70">
        <f>IF(NOT(ISNUMBER($D70)),"",_xlfn.NORM.DIST(CC$1,$D70,$E70,TRUE)-_xlfn.NORM.DIST(CC$2,$D70,$E70,TRUE))</f>
        <v/>
      </c>
      <c r="CD70">
        <f>IF(NOT(ISNUMBER($D70)),"",_xlfn.NORM.DIST(CD$1,$D70,$E70,TRUE)-_xlfn.NORM.DIST(CD$2,$D70,$E70,TRUE))</f>
        <v/>
      </c>
      <c r="CE70">
        <f>IF(NOT(ISNUMBER($D70)),"",_xlfn.NORM.DIST(CE$1,$D70,$E70,TRUE)-_xlfn.NORM.DIST(CE$2,$D70,$E70,TRUE))</f>
        <v/>
      </c>
      <c r="CF70">
        <f>IF(NOT(ISNUMBER($D70)),"",_xlfn.NORM.DIST(CF$1,$D70,$E70,TRUE)-_xlfn.NORM.DIST(CF$2,$D70,$E70,TRUE))</f>
        <v/>
      </c>
      <c r="CG70">
        <f>IF(NOT(ISNUMBER($D70)),"",_xlfn.NORM.DIST(CG$1,$D70,$E70,TRUE)-_xlfn.NORM.DIST(CG$2,$D70,$E70,TRUE))</f>
        <v/>
      </c>
      <c r="CH70">
        <f>IF(NOT(ISNUMBER($D70)),"",_xlfn.NORM.DIST(CH$1,$D70,$E70,TRUE)-_xlfn.NORM.DIST(CH$2,$D70,$E70,TRUE))</f>
        <v/>
      </c>
      <c r="CI70">
        <f>IF(NOT(ISNUMBER($D70)),"",_xlfn.NORM.DIST(CI$1,$D70,$E70,TRUE)-_xlfn.NORM.DIST(CI$2,$D70,$E70,TRUE))</f>
        <v/>
      </c>
      <c r="CJ70">
        <f>IF(ISNUMBER($D70),SUM(F70:CI70),"")</f>
        <v/>
      </c>
    </row>
    <row r="71">
      <c r="A71">
        <f>economics!A70</f>
        <v/>
      </c>
      <c r="B71">
        <f>economics!B70</f>
        <v/>
      </c>
      <c r="C71">
        <f>economics!D70</f>
        <v/>
      </c>
      <c r="D71">
        <f>IF(ISNUMBER(economics!T70),economics!T70,"na")</f>
        <v/>
      </c>
      <c r="E71">
        <f>IF(ISNUMBER(D71),MAX(0.3*ABS(D71),0.000001),"na")</f>
        <v/>
      </c>
      <c r="F71">
        <f>IF(NOT(ISNUMBER($D71)),"",_xlfn.NORM.DIST(F$1,$D71,$E71,TRUE)-_xlfn.NORM.DIST(F$2,$D71,$E71,TRUE))</f>
        <v/>
      </c>
      <c r="G71">
        <f>IF(NOT(ISNUMBER($D71)),"",_xlfn.NORM.DIST(G$1,$D71,$E71,TRUE)-_xlfn.NORM.DIST(G$2,$D71,$E71,TRUE))</f>
        <v/>
      </c>
      <c r="H71">
        <f>IF(NOT(ISNUMBER($D71)),"",_xlfn.NORM.DIST(H$1,$D71,$E71,TRUE)-_xlfn.NORM.DIST(H$2,$D71,$E71,TRUE))</f>
        <v/>
      </c>
      <c r="I71">
        <f>IF(NOT(ISNUMBER($D71)),"",_xlfn.NORM.DIST(I$1,$D71,$E71,TRUE)-_xlfn.NORM.DIST(I$2,$D71,$E71,TRUE))</f>
        <v/>
      </c>
      <c r="J71">
        <f>IF(NOT(ISNUMBER($D71)),"",_xlfn.NORM.DIST(J$1,$D71,$E71,TRUE)-_xlfn.NORM.DIST(J$2,$D71,$E71,TRUE))</f>
        <v/>
      </c>
      <c r="K71">
        <f>IF(NOT(ISNUMBER($D71)),"",_xlfn.NORM.DIST(K$1,$D71,$E71,TRUE)-_xlfn.NORM.DIST(K$2,$D71,$E71,TRUE))</f>
        <v/>
      </c>
      <c r="L71">
        <f>IF(NOT(ISNUMBER($D71)),"",_xlfn.NORM.DIST(L$1,$D71,$E71,TRUE)-_xlfn.NORM.DIST(L$2,$D71,$E71,TRUE))</f>
        <v/>
      </c>
      <c r="M71">
        <f>IF(NOT(ISNUMBER($D71)),"",_xlfn.NORM.DIST(M$1,$D71,$E71,TRUE)-_xlfn.NORM.DIST(M$2,$D71,$E71,TRUE))</f>
        <v/>
      </c>
      <c r="N71">
        <f>IF(NOT(ISNUMBER($D71)),"",_xlfn.NORM.DIST(N$1,$D71,$E71,TRUE)-_xlfn.NORM.DIST(N$2,$D71,$E71,TRUE))</f>
        <v/>
      </c>
      <c r="O71">
        <f>IF(NOT(ISNUMBER($D71)),"",_xlfn.NORM.DIST(O$1,$D71,$E71,TRUE)-_xlfn.NORM.DIST(O$2,$D71,$E71,TRUE))</f>
        <v/>
      </c>
      <c r="P71">
        <f>IF(NOT(ISNUMBER($D71)),"",_xlfn.NORM.DIST(P$1,$D71,$E71,TRUE)-_xlfn.NORM.DIST(P$2,$D71,$E71,TRUE))</f>
        <v/>
      </c>
      <c r="Q71">
        <f>IF(NOT(ISNUMBER($D71)),"",_xlfn.NORM.DIST(Q$1,$D71,$E71,TRUE)-_xlfn.NORM.DIST(Q$2,$D71,$E71,TRUE))</f>
        <v/>
      </c>
      <c r="R71">
        <f>IF(NOT(ISNUMBER($D71)),"",_xlfn.NORM.DIST(R$1,$D71,$E71,TRUE)-_xlfn.NORM.DIST(R$2,$D71,$E71,TRUE))</f>
        <v/>
      </c>
      <c r="S71">
        <f>IF(NOT(ISNUMBER($D71)),"",_xlfn.NORM.DIST(S$1,$D71,$E71,TRUE)-_xlfn.NORM.DIST(S$2,$D71,$E71,TRUE))</f>
        <v/>
      </c>
      <c r="T71">
        <f>IF(NOT(ISNUMBER($D71)),"",_xlfn.NORM.DIST(T$1,$D71,$E71,TRUE)-_xlfn.NORM.DIST(T$2,$D71,$E71,TRUE))</f>
        <v/>
      </c>
      <c r="U71">
        <f>IF(NOT(ISNUMBER($D71)),"",_xlfn.NORM.DIST(U$1,$D71,$E71,TRUE)-_xlfn.NORM.DIST(U$2,$D71,$E71,TRUE))</f>
        <v/>
      </c>
      <c r="V71">
        <f>IF(NOT(ISNUMBER($D71)),"",_xlfn.NORM.DIST(V$1,$D71,$E71,TRUE)-_xlfn.NORM.DIST(V$2,$D71,$E71,TRUE))</f>
        <v/>
      </c>
      <c r="W71">
        <f>IF(NOT(ISNUMBER($D71)),"",_xlfn.NORM.DIST(W$1,$D71,$E71,TRUE)-_xlfn.NORM.DIST(W$2,$D71,$E71,TRUE))</f>
        <v/>
      </c>
      <c r="X71">
        <f>IF(NOT(ISNUMBER($D71)),"",_xlfn.NORM.DIST(X$1,$D71,$E71,TRUE)-_xlfn.NORM.DIST(X$2,$D71,$E71,TRUE))</f>
        <v/>
      </c>
      <c r="Y71">
        <f>IF(NOT(ISNUMBER($D71)),"",_xlfn.NORM.DIST(Y$1,$D71,$E71,TRUE)-_xlfn.NORM.DIST(Y$2,$D71,$E71,TRUE))</f>
        <v/>
      </c>
      <c r="Z71">
        <f>IF(NOT(ISNUMBER($D71)),"",_xlfn.NORM.DIST(Z$1,$D71,$E71,TRUE)-_xlfn.NORM.DIST(Z$2,$D71,$E71,TRUE))</f>
        <v/>
      </c>
      <c r="AA71">
        <f>IF(NOT(ISNUMBER($D71)),"",_xlfn.NORM.DIST(AA$1,$D71,$E71,TRUE)-_xlfn.NORM.DIST(AA$2,$D71,$E71,TRUE))</f>
        <v/>
      </c>
      <c r="AB71">
        <f>IF(NOT(ISNUMBER($D71)),"",_xlfn.NORM.DIST(AB$1,$D71,$E71,TRUE)-_xlfn.NORM.DIST(AB$2,$D71,$E71,TRUE))</f>
        <v/>
      </c>
      <c r="AC71">
        <f>IF(NOT(ISNUMBER($D71)),"",_xlfn.NORM.DIST(AC$1,$D71,$E71,TRUE)-_xlfn.NORM.DIST(AC$2,$D71,$E71,TRUE))</f>
        <v/>
      </c>
      <c r="AD71">
        <f>IF(NOT(ISNUMBER($D71)),"",_xlfn.NORM.DIST(AD$1,$D71,$E71,TRUE)-_xlfn.NORM.DIST(AD$2,$D71,$E71,TRUE))</f>
        <v/>
      </c>
      <c r="AE71">
        <f>IF(NOT(ISNUMBER($D71)),"",_xlfn.NORM.DIST(AE$1,$D71,$E71,TRUE)-_xlfn.NORM.DIST(AE$2,$D71,$E71,TRUE))</f>
        <v/>
      </c>
      <c r="AF71">
        <f>IF(NOT(ISNUMBER($D71)),"",_xlfn.NORM.DIST(AF$1,$D71,$E71,TRUE)-_xlfn.NORM.DIST(AF$2,$D71,$E71,TRUE))</f>
        <v/>
      </c>
      <c r="AG71">
        <f>IF(NOT(ISNUMBER($D71)),"",_xlfn.NORM.DIST(AG$1,$D71,$E71,TRUE)-_xlfn.NORM.DIST(AG$2,$D71,$E71,TRUE))</f>
        <v/>
      </c>
      <c r="AH71">
        <f>IF(NOT(ISNUMBER($D71)),"",_xlfn.NORM.DIST(AH$1,$D71,$E71,TRUE)-_xlfn.NORM.DIST(AH$2,$D71,$E71,TRUE))</f>
        <v/>
      </c>
      <c r="AI71">
        <f>IF(NOT(ISNUMBER($D71)),"",_xlfn.NORM.DIST(AI$1,$D71,$E71,TRUE)-_xlfn.NORM.DIST(AI$2,$D71,$E71,TRUE))</f>
        <v/>
      </c>
      <c r="AJ71">
        <f>IF(NOT(ISNUMBER($D71)),"",_xlfn.NORM.DIST(AJ$1,$D71,$E71,TRUE)-_xlfn.NORM.DIST(AJ$2,$D71,$E71,TRUE))</f>
        <v/>
      </c>
      <c r="AK71">
        <f>IF(NOT(ISNUMBER($D71)),"",_xlfn.NORM.DIST(AK$1,$D71,$E71,TRUE)-_xlfn.NORM.DIST(AK$2,$D71,$E71,TRUE))</f>
        <v/>
      </c>
      <c r="AL71">
        <f>IF(NOT(ISNUMBER($D71)),"",_xlfn.NORM.DIST(AL$1,$D71,$E71,TRUE)-_xlfn.NORM.DIST(AL$2,$D71,$E71,TRUE))</f>
        <v/>
      </c>
      <c r="AM71">
        <f>IF(NOT(ISNUMBER($D71)),"",_xlfn.NORM.DIST(AM$1,$D71,$E71,TRUE)-_xlfn.NORM.DIST(AM$2,$D71,$E71,TRUE))</f>
        <v/>
      </c>
      <c r="AN71">
        <f>IF(NOT(ISNUMBER($D71)),"",_xlfn.NORM.DIST(AN$1,$D71,$E71,TRUE)-_xlfn.NORM.DIST(AN$2,$D71,$E71,TRUE))</f>
        <v/>
      </c>
      <c r="AO71">
        <f>IF(NOT(ISNUMBER($D71)),"",_xlfn.NORM.DIST(AO$1,$D71,$E71,TRUE)-_xlfn.NORM.DIST(AO$2,$D71,$E71,TRUE))</f>
        <v/>
      </c>
      <c r="AP71">
        <f>IF(NOT(ISNUMBER($D71)),"",_xlfn.NORM.DIST(AP$1,$D71,$E71,TRUE)-_xlfn.NORM.DIST(AP$2,$D71,$E71,TRUE))</f>
        <v/>
      </c>
      <c r="AQ71">
        <f>IF(NOT(ISNUMBER($D71)),"",_xlfn.NORM.DIST(AQ$1,$D71,$E71,TRUE)-_xlfn.NORM.DIST(AQ$2,$D71,$E71,TRUE))</f>
        <v/>
      </c>
      <c r="AR71">
        <f>IF(NOT(ISNUMBER($D71)),"",_xlfn.NORM.DIST(AR$1,$D71,$E71,TRUE)-_xlfn.NORM.DIST(AR$2,$D71,$E71,TRUE))</f>
        <v/>
      </c>
      <c r="AS71">
        <f>IF(NOT(ISNUMBER($D71)),"",_xlfn.NORM.DIST(AS$1,$D71,$E71,TRUE)-_xlfn.NORM.DIST(AS$2,$D71,$E71,TRUE))</f>
        <v/>
      </c>
      <c r="AT71">
        <f>IF(NOT(ISNUMBER($D71)),"",_xlfn.NORM.DIST(AT$1,$D71,$E71,TRUE)-_xlfn.NORM.DIST(AT$2,$D71,$E71,TRUE))</f>
        <v/>
      </c>
      <c r="AU71">
        <f>IF(NOT(ISNUMBER($D71)),"",_xlfn.NORM.DIST(AU$1,$D71,$E71,TRUE)-_xlfn.NORM.DIST(AU$2,$D71,$E71,TRUE))</f>
        <v/>
      </c>
      <c r="AV71">
        <f>IF(NOT(ISNUMBER($D71)),"",_xlfn.NORM.DIST(AV$1,$D71,$E71,TRUE)-_xlfn.NORM.DIST(AV$2,$D71,$E71,TRUE))</f>
        <v/>
      </c>
      <c r="AW71">
        <f>IF(NOT(ISNUMBER($D71)),"",_xlfn.NORM.DIST(AW$1,$D71,$E71,TRUE)-_xlfn.NORM.DIST(AW$2,$D71,$E71,TRUE))</f>
        <v/>
      </c>
      <c r="AX71">
        <f>IF(NOT(ISNUMBER($D71)),"",_xlfn.NORM.DIST(AX$1,$D71,$E71,TRUE)-_xlfn.NORM.DIST(AX$2,$D71,$E71,TRUE))</f>
        <v/>
      </c>
      <c r="AY71">
        <f>IF(NOT(ISNUMBER($D71)),"",_xlfn.NORM.DIST(AY$1,$D71,$E71,TRUE)-_xlfn.NORM.DIST(AY$2,$D71,$E71,TRUE))</f>
        <v/>
      </c>
      <c r="AZ71">
        <f>IF(NOT(ISNUMBER($D71)),"",_xlfn.NORM.DIST(AZ$1,$D71,$E71,TRUE)-_xlfn.NORM.DIST(AZ$2,$D71,$E71,TRUE))</f>
        <v/>
      </c>
      <c r="BA71">
        <f>IF(NOT(ISNUMBER($D71)),"",_xlfn.NORM.DIST(BA$1,$D71,$E71,TRUE)-_xlfn.NORM.DIST(BA$2,$D71,$E71,TRUE))</f>
        <v/>
      </c>
      <c r="BB71">
        <f>IF(NOT(ISNUMBER($D71)),"",_xlfn.NORM.DIST(BB$1,$D71,$E71,TRUE)-_xlfn.NORM.DIST(BB$2,$D71,$E71,TRUE))</f>
        <v/>
      </c>
      <c r="BC71">
        <f>IF(NOT(ISNUMBER($D71)),"",_xlfn.NORM.DIST(BC$1,$D71,$E71,TRUE)-_xlfn.NORM.DIST(BC$2,$D71,$E71,TRUE))</f>
        <v/>
      </c>
      <c r="BD71">
        <f>IF(NOT(ISNUMBER($D71)),"",_xlfn.NORM.DIST(BD$1,$D71,$E71,TRUE)-_xlfn.NORM.DIST(BD$2,$D71,$E71,TRUE))</f>
        <v/>
      </c>
      <c r="BE71">
        <f>IF(NOT(ISNUMBER($D71)),"",_xlfn.NORM.DIST(BE$1,$D71,$E71,TRUE)-_xlfn.NORM.DIST(BE$2,$D71,$E71,TRUE))</f>
        <v/>
      </c>
      <c r="BF71">
        <f>IF(NOT(ISNUMBER($D71)),"",_xlfn.NORM.DIST(BF$1,$D71,$E71,TRUE)-_xlfn.NORM.DIST(BF$2,$D71,$E71,TRUE))</f>
        <v/>
      </c>
      <c r="BG71">
        <f>IF(NOT(ISNUMBER($D71)),"",_xlfn.NORM.DIST(BG$1,$D71,$E71,TRUE)-_xlfn.NORM.DIST(BG$2,$D71,$E71,TRUE))</f>
        <v/>
      </c>
      <c r="BH71">
        <f>IF(NOT(ISNUMBER($D71)),"",_xlfn.NORM.DIST(BH$1,$D71,$E71,TRUE)-_xlfn.NORM.DIST(BH$2,$D71,$E71,TRUE))</f>
        <v/>
      </c>
      <c r="BI71">
        <f>IF(NOT(ISNUMBER($D71)),"",_xlfn.NORM.DIST(BI$1,$D71,$E71,TRUE)-_xlfn.NORM.DIST(BI$2,$D71,$E71,TRUE))</f>
        <v/>
      </c>
      <c r="BJ71">
        <f>IF(NOT(ISNUMBER($D71)),"",_xlfn.NORM.DIST(BJ$1,$D71,$E71,TRUE)-_xlfn.NORM.DIST(BJ$2,$D71,$E71,TRUE))</f>
        <v/>
      </c>
      <c r="BK71">
        <f>IF(NOT(ISNUMBER($D71)),"",_xlfn.NORM.DIST(BK$1,$D71,$E71,TRUE)-_xlfn.NORM.DIST(BK$2,$D71,$E71,TRUE))</f>
        <v/>
      </c>
      <c r="BL71">
        <f>IF(NOT(ISNUMBER($D71)),"",_xlfn.NORM.DIST(BL$1,$D71,$E71,TRUE)-_xlfn.NORM.DIST(BL$2,$D71,$E71,TRUE))</f>
        <v/>
      </c>
      <c r="BM71">
        <f>IF(NOT(ISNUMBER($D71)),"",_xlfn.NORM.DIST(BM$1,$D71,$E71,TRUE)-_xlfn.NORM.DIST(BM$2,$D71,$E71,TRUE))</f>
        <v/>
      </c>
      <c r="BN71">
        <f>IF(NOT(ISNUMBER($D71)),"",_xlfn.NORM.DIST(BN$1,$D71,$E71,TRUE)-_xlfn.NORM.DIST(BN$2,$D71,$E71,TRUE))</f>
        <v/>
      </c>
      <c r="BO71">
        <f>IF(NOT(ISNUMBER($D71)),"",_xlfn.NORM.DIST(BO$1,$D71,$E71,TRUE)-_xlfn.NORM.DIST(BO$2,$D71,$E71,TRUE))</f>
        <v/>
      </c>
      <c r="BP71">
        <f>IF(NOT(ISNUMBER($D71)),"",_xlfn.NORM.DIST(BP$1,$D71,$E71,TRUE)-_xlfn.NORM.DIST(BP$2,$D71,$E71,TRUE))</f>
        <v/>
      </c>
      <c r="BQ71">
        <f>IF(NOT(ISNUMBER($D71)),"",_xlfn.NORM.DIST(BQ$1,$D71,$E71,TRUE)-_xlfn.NORM.DIST(BQ$2,$D71,$E71,TRUE))</f>
        <v/>
      </c>
      <c r="BR71">
        <f>IF(NOT(ISNUMBER($D71)),"",_xlfn.NORM.DIST(BR$1,$D71,$E71,TRUE)-_xlfn.NORM.DIST(BR$2,$D71,$E71,TRUE))</f>
        <v/>
      </c>
      <c r="BS71">
        <f>IF(NOT(ISNUMBER($D71)),"",_xlfn.NORM.DIST(BS$1,$D71,$E71,TRUE)-_xlfn.NORM.DIST(BS$2,$D71,$E71,TRUE))</f>
        <v/>
      </c>
      <c r="BT71">
        <f>IF(NOT(ISNUMBER($D71)),"",_xlfn.NORM.DIST(BT$1,$D71,$E71,TRUE)-_xlfn.NORM.DIST(BT$2,$D71,$E71,TRUE))</f>
        <v/>
      </c>
      <c r="BU71">
        <f>IF(NOT(ISNUMBER($D71)),"",_xlfn.NORM.DIST(BU$1,$D71,$E71,TRUE)-_xlfn.NORM.DIST(BU$2,$D71,$E71,TRUE))</f>
        <v/>
      </c>
      <c r="BV71">
        <f>IF(NOT(ISNUMBER($D71)),"",_xlfn.NORM.DIST(BV$1,$D71,$E71,TRUE)-_xlfn.NORM.DIST(BV$2,$D71,$E71,TRUE))</f>
        <v/>
      </c>
      <c r="BW71">
        <f>IF(NOT(ISNUMBER($D71)),"",_xlfn.NORM.DIST(BW$1,$D71,$E71,TRUE)-_xlfn.NORM.DIST(BW$2,$D71,$E71,TRUE))</f>
        <v/>
      </c>
      <c r="BX71">
        <f>IF(NOT(ISNUMBER($D71)),"",_xlfn.NORM.DIST(BX$1,$D71,$E71,TRUE)-_xlfn.NORM.DIST(BX$2,$D71,$E71,TRUE))</f>
        <v/>
      </c>
      <c r="BY71">
        <f>IF(NOT(ISNUMBER($D71)),"",_xlfn.NORM.DIST(BY$1,$D71,$E71,TRUE)-_xlfn.NORM.DIST(BY$2,$D71,$E71,TRUE))</f>
        <v/>
      </c>
      <c r="BZ71">
        <f>IF(NOT(ISNUMBER($D71)),"",_xlfn.NORM.DIST(BZ$1,$D71,$E71,TRUE)-_xlfn.NORM.DIST(BZ$2,$D71,$E71,TRUE))</f>
        <v/>
      </c>
      <c r="CA71">
        <f>IF(NOT(ISNUMBER($D71)),"",_xlfn.NORM.DIST(CA$1,$D71,$E71,TRUE)-_xlfn.NORM.DIST(CA$2,$D71,$E71,TRUE))</f>
        <v/>
      </c>
      <c r="CB71">
        <f>IF(NOT(ISNUMBER($D71)),"",_xlfn.NORM.DIST(CB$1,$D71,$E71,TRUE)-_xlfn.NORM.DIST(CB$2,$D71,$E71,TRUE))</f>
        <v/>
      </c>
      <c r="CC71">
        <f>IF(NOT(ISNUMBER($D71)),"",_xlfn.NORM.DIST(CC$1,$D71,$E71,TRUE)-_xlfn.NORM.DIST(CC$2,$D71,$E71,TRUE))</f>
        <v/>
      </c>
      <c r="CD71">
        <f>IF(NOT(ISNUMBER($D71)),"",_xlfn.NORM.DIST(CD$1,$D71,$E71,TRUE)-_xlfn.NORM.DIST(CD$2,$D71,$E71,TRUE))</f>
        <v/>
      </c>
      <c r="CE71">
        <f>IF(NOT(ISNUMBER($D71)),"",_xlfn.NORM.DIST(CE$1,$D71,$E71,TRUE)-_xlfn.NORM.DIST(CE$2,$D71,$E71,TRUE))</f>
        <v/>
      </c>
      <c r="CF71">
        <f>IF(NOT(ISNUMBER($D71)),"",_xlfn.NORM.DIST(CF$1,$D71,$E71,TRUE)-_xlfn.NORM.DIST(CF$2,$D71,$E71,TRUE))</f>
        <v/>
      </c>
      <c r="CG71">
        <f>IF(NOT(ISNUMBER($D71)),"",_xlfn.NORM.DIST(CG$1,$D71,$E71,TRUE)-_xlfn.NORM.DIST(CG$2,$D71,$E71,TRUE))</f>
        <v/>
      </c>
      <c r="CH71">
        <f>IF(NOT(ISNUMBER($D71)),"",_xlfn.NORM.DIST(CH$1,$D71,$E71,TRUE)-_xlfn.NORM.DIST(CH$2,$D71,$E71,TRUE))</f>
        <v/>
      </c>
      <c r="CI71">
        <f>IF(NOT(ISNUMBER($D71)),"",_xlfn.NORM.DIST(CI$1,$D71,$E71,TRUE)-_xlfn.NORM.DIST(CI$2,$D71,$E71,TRUE))</f>
        <v/>
      </c>
      <c r="CJ71">
        <f>IF(ISNUMBER($D71),SUM(F71:CI71),"")</f>
        <v/>
      </c>
    </row>
    <row r="72">
      <c r="A72">
        <f>economics!A71</f>
        <v/>
      </c>
      <c r="B72">
        <f>economics!B71</f>
        <v/>
      </c>
      <c r="C72">
        <f>economics!D71</f>
        <v/>
      </c>
      <c r="D72">
        <f>IF(ISNUMBER(economics!T71),economics!T71,"na")</f>
        <v/>
      </c>
      <c r="E72">
        <f>IF(ISNUMBER(D72),MAX(0.3*ABS(D72),0.000001),"na")</f>
        <v/>
      </c>
      <c r="F72">
        <f>IF(NOT(ISNUMBER($D72)),"",_xlfn.NORM.DIST(F$1,$D72,$E72,TRUE)-_xlfn.NORM.DIST(F$2,$D72,$E72,TRUE))</f>
        <v/>
      </c>
      <c r="G72">
        <f>IF(NOT(ISNUMBER($D72)),"",_xlfn.NORM.DIST(G$1,$D72,$E72,TRUE)-_xlfn.NORM.DIST(G$2,$D72,$E72,TRUE))</f>
        <v/>
      </c>
      <c r="H72">
        <f>IF(NOT(ISNUMBER($D72)),"",_xlfn.NORM.DIST(H$1,$D72,$E72,TRUE)-_xlfn.NORM.DIST(H$2,$D72,$E72,TRUE))</f>
        <v/>
      </c>
      <c r="I72">
        <f>IF(NOT(ISNUMBER($D72)),"",_xlfn.NORM.DIST(I$1,$D72,$E72,TRUE)-_xlfn.NORM.DIST(I$2,$D72,$E72,TRUE))</f>
        <v/>
      </c>
      <c r="J72">
        <f>IF(NOT(ISNUMBER($D72)),"",_xlfn.NORM.DIST(J$1,$D72,$E72,TRUE)-_xlfn.NORM.DIST(J$2,$D72,$E72,TRUE))</f>
        <v/>
      </c>
      <c r="K72">
        <f>IF(NOT(ISNUMBER($D72)),"",_xlfn.NORM.DIST(K$1,$D72,$E72,TRUE)-_xlfn.NORM.DIST(K$2,$D72,$E72,TRUE))</f>
        <v/>
      </c>
      <c r="L72">
        <f>IF(NOT(ISNUMBER($D72)),"",_xlfn.NORM.DIST(L$1,$D72,$E72,TRUE)-_xlfn.NORM.DIST(L$2,$D72,$E72,TRUE))</f>
        <v/>
      </c>
      <c r="M72">
        <f>IF(NOT(ISNUMBER($D72)),"",_xlfn.NORM.DIST(M$1,$D72,$E72,TRUE)-_xlfn.NORM.DIST(M$2,$D72,$E72,TRUE))</f>
        <v/>
      </c>
      <c r="N72">
        <f>IF(NOT(ISNUMBER($D72)),"",_xlfn.NORM.DIST(N$1,$D72,$E72,TRUE)-_xlfn.NORM.DIST(N$2,$D72,$E72,TRUE))</f>
        <v/>
      </c>
      <c r="O72">
        <f>IF(NOT(ISNUMBER($D72)),"",_xlfn.NORM.DIST(O$1,$D72,$E72,TRUE)-_xlfn.NORM.DIST(O$2,$D72,$E72,TRUE))</f>
        <v/>
      </c>
      <c r="P72">
        <f>IF(NOT(ISNUMBER($D72)),"",_xlfn.NORM.DIST(P$1,$D72,$E72,TRUE)-_xlfn.NORM.DIST(P$2,$D72,$E72,TRUE))</f>
        <v/>
      </c>
      <c r="Q72">
        <f>IF(NOT(ISNUMBER($D72)),"",_xlfn.NORM.DIST(Q$1,$D72,$E72,TRUE)-_xlfn.NORM.DIST(Q$2,$D72,$E72,TRUE))</f>
        <v/>
      </c>
      <c r="R72">
        <f>IF(NOT(ISNUMBER($D72)),"",_xlfn.NORM.DIST(R$1,$D72,$E72,TRUE)-_xlfn.NORM.DIST(R$2,$D72,$E72,TRUE))</f>
        <v/>
      </c>
      <c r="S72">
        <f>IF(NOT(ISNUMBER($D72)),"",_xlfn.NORM.DIST(S$1,$D72,$E72,TRUE)-_xlfn.NORM.DIST(S$2,$D72,$E72,TRUE))</f>
        <v/>
      </c>
      <c r="T72">
        <f>IF(NOT(ISNUMBER($D72)),"",_xlfn.NORM.DIST(T$1,$D72,$E72,TRUE)-_xlfn.NORM.DIST(T$2,$D72,$E72,TRUE))</f>
        <v/>
      </c>
      <c r="U72">
        <f>IF(NOT(ISNUMBER($D72)),"",_xlfn.NORM.DIST(U$1,$D72,$E72,TRUE)-_xlfn.NORM.DIST(U$2,$D72,$E72,TRUE))</f>
        <v/>
      </c>
      <c r="V72">
        <f>IF(NOT(ISNUMBER($D72)),"",_xlfn.NORM.DIST(V$1,$D72,$E72,TRUE)-_xlfn.NORM.DIST(V$2,$D72,$E72,TRUE))</f>
        <v/>
      </c>
      <c r="W72">
        <f>IF(NOT(ISNUMBER($D72)),"",_xlfn.NORM.DIST(W$1,$D72,$E72,TRUE)-_xlfn.NORM.DIST(W$2,$D72,$E72,TRUE))</f>
        <v/>
      </c>
      <c r="X72">
        <f>IF(NOT(ISNUMBER($D72)),"",_xlfn.NORM.DIST(X$1,$D72,$E72,TRUE)-_xlfn.NORM.DIST(X$2,$D72,$E72,TRUE))</f>
        <v/>
      </c>
      <c r="Y72">
        <f>IF(NOT(ISNUMBER($D72)),"",_xlfn.NORM.DIST(Y$1,$D72,$E72,TRUE)-_xlfn.NORM.DIST(Y$2,$D72,$E72,TRUE))</f>
        <v/>
      </c>
      <c r="Z72">
        <f>IF(NOT(ISNUMBER($D72)),"",_xlfn.NORM.DIST(Z$1,$D72,$E72,TRUE)-_xlfn.NORM.DIST(Z$2,$D72,$E72,TRUE))</f>
        <v/>
      </c>
      <c r="AA72">
        <f>IF(NOT(ISNUMBER($D72)),"",_xlfn.NORM.DIST(AA$1,$D72,$E72,TRUE)-_xlfn.NORM.DIST(AA$2,$D72,$E72,TRUE))</f>
        <v/>
      </c>
      <c r="AB72">
        <f>IF(NOT(ISNUMBER($D72)),"",_xlfn.NORM.DIST(AB$1,$D72,$E72,TRUE)-_xlfn.NORM.DIST(AB$2,$D72,$E72,TRUE))</f>
        <v/>
      </c>
      <c r="AC72">
        <f>IF(NOT(ISNUMBER($D72)),"",_xlfn.NORM.DIST(AC$1,$D72,$E72,TRUE)-_xlfn.NORM.DIST(AC$2,$D72,$E72,TRUE))</f>
        <v/>
      </c>
      <c r="AD72">
        <f>IF(NOT(ISNUMBER($D72)),"",_xlfn.NORM.DIST(AD$1,$D72,$E72,TRUE)-_xlfn.NORM.DIST(AD$2,$D72,$E72,TRUE))</f>
        <v/>
      </c>
      <c r="AE72">
        <f>IF(NOT(ISNUMBER($D72)),"",_xlfn.NORM.DIST(AE$1,$D72,$E72,TRUE)-_xlfn.NORM.DIST(AE$2,$D72,$E72,TRUE))</f>
        <v/>
      </c>
      <c r="AF72">
        <f>IF(NOT(ISNUMBER($D72)),"",_xlfn.NORM.DIST(AF$1,$D72,$E72,TRUE)-_xlfn.NORM.DIST(AF$2,$D72,$E72,TRUE))</f>
        <v/>
      </c>
      <c r="AG72">
        <f>IF(NOT(ISNUMBER($D72)),"",_xlfn.NORM.DIST(AG$1,$D72,$E72,TRUE)-_xlfn.NORM.DIST(AG$2,$D72,$E72,TRUE))</f>
        <v/>
      </c>
      <c r="AH72">
        <f>IF(NOT(ISNUMBER($D72)),"",_xlfn.NORM.DIST(AH$1,$D72,$E72,TRUE)-_xlfn.NORM.DIST(AH$2,$D72,$E72,TRUE))</f>
        <v/>
      </c>
      <c r="AI72">
        <f>IF(NOT(ISNUMBER($D72)),"",_xlfn.NORM.DIST(AI$1,$D72,$E72,TRUE)-_xlfn.NORM.DIST(AI$2,$D72,$E72,TRUE))</f>
        <v/>
      </c>
      <c r="AJ72">
        <f>IF(NOT(ISNUMBER($D72)),"",_xlfn.NORM.DIST(AJ$1,$D72,$E72,TRUE)-_xlfn.NORM.DIST(AJ$2,$D72,$E72,TRUE))</f>
        <v/>
      </c>
      <c r="AK72">
        <f>IF(NOT(ISNUMBER($D72)),"",_xlfn.NORM.DIST(AK$1,$D72,$E72,TRUE)-_xlfn.NORM.DIST(AK$2,$D72,$E72,TRUE))</f>
        <v/>
      </c>
      <c r="AL72">
        <f>IF(NOT(ISNUMBER($D72)),"",_xlfn.NORM.DIST(AL$1,$D72,$E72,TRUE)-_xlfn.NORM.DIST(AL$2,$D72,$E72,TRUE))</f>
        <v/>
      </c>
      <c r="AM72">
        <f>IF(NOT(ISNUMBER($D72)),"",_xlfn.NORM.DIST(AM$1,$D72,$E72,TRUE)-_xlfn.NORM.DIST(AM$2,$D72,$E72,TRUE))</f>
        <v/>
      </c>
      <c r="AN72">
        <f>IF(NOT(ISNUMBER($D72)),"",_xlfn.NORM.DIST(AN$1,$D72,$E72,TRUE)-_xlfn.NORM.DIST(AN$2,$D72,$E72,TRUE))</f>
        <v/>
      </c>
      <c r="AO72">
        <f>IF(NOT(ISNUMBER($D72)),"",_xlfn.NORM.DIST(AO$1,$D72,$E72,TRUE)-_xlfn.NORM.DIST(AO$2,$D72,$E72,TRUE))</f>
        <v/>
      </c>
      <c r="AP72">
        <f>IF(NOT(ISNUMBER($D72)),"",_xlfn.NORM.DIST(AP$1,$D72,$E72,TRUE)-_xlfn.NORM.DIST(AP$2,$D72,$E72,TRUE))</f>
        <v/>
      </c>
      <c r="AQ72">
        <f>IF(NOT(ISNUMBER($D72)),"",_xlfn.NORM.DIST(AQ$1,$D72,$E72,TRUE)-_xlfn.NORM.DIST(AQ$2,$D72,$E72,TRUE))</f>
        <v/>
      </c>
      <c r="AR72">
        <f>IF(NOT(ISNUMBER($D72)),"",_xlfn.NORM.DIST(AR$1,$D72,$E72,TRUE)-_xlfn.NORM.DIST(AR$2,$D72,$E72,TRUE))</f>
        <v/>
      </c>
      <c r="AS72">
        <f>IF(NOT(ISNUMBER($D72)),"",_xlfn.NORM.DIST(AS$1,$D72,$E72,TRUE)-_xlfn.NORM.DIST(AS$2,$D72,$E72,TRUE))</f>
        <v/>
      </c>
      <c r="AT72">
        <f>IF(NOT(ISNUMBER($D72)),"",_xlfn.NORM.DIST(AT$1,$D72,$E72,TRUE)-_xlfn.NORM.DIST(AT$2,$D72,$E72,TRUE))</f>
        <v/>
      </c>
      <c r="AU72">
        <f>IF(NOT(ISNUMBER($D72)),"",_xlfn.NORM.DIST(AU$1,$D72,$E72,TRUE)-_xlfn.NORM.DIST(AU$2,$D72,$E72,TRUE))</f>
        <v/>
      </c>
      <c r="AV72">
        <f>IF(NOT(ISNUMBER($D72)),"",_xlfn.NORM.DIST(AV$1,$D72,$E72,TRUE)-_xlfn.NORM.DIST(AV$2,$D72,$E72,TRUE))</f>
        <v/>
      </c>
      <c r="AW72">
        <f>IF(NOT(ISNUMBER($D72)),"",_xlfn.NORM.DIST(AW$1,$D72,$E72,TRUE)-_xlfn.NORM.DIST(AW$2,$D72,$E72,TRUE))</f>
        <v/>
      </c>
      <c r="AX72">
        <f>IF(NOT(ISNUMBER($D72)),"",_xlfn.NORM.DIST(AX$1,$D72,$E72,TRUE)-_xlfn.NORM.DIST(AX$2,$D72,$E72,TRUE))</f>
        <v/>
      </c>
      <c r="AY72">
        <f>IF(NOT(ISNUMBER($D72)),"",_xlfn.NORM.DIST(AY$1,$D72,$E72,TRUE)-_xlfn.NORM.DIST(AY$2,$D72,$E72,TRUE))</f>
        <v/>
      </c>
      <c r="AZ72">
        <f>IF(NOT(ISNUMBER($D72)),"",_xlfn.NORM.DIST(AZ$1,$D72,$E72,TRUE)-_xlfn.NORM.DIST(AZ$2,$D72,$E72,TRUE))</f>
        <v/>
      </c>
      <c r="BA72">
        <f>IF(NOT(ISNUMBER($D72)),"",_xlfn.NORM.DIST(BA$1,$D72,$E72,TRUE)-_xlfn.NORM.DIST(BA$2,$D72,$E72,TRUE))</f>
        <v/>
      </c>
      <c r="BB72">
        <f>IF(NOT(ISNUMBER($D72)),"",_xlfn.NORM.DIST(BB$1,$D72,$E72,TRUE)-_xlfn.NORM.DIST(BB$2,$D72,$E72,TRUE))</f>
        <v/>
      </c>
      <c r="BC72">
        <f>IF(NOT(ISNUMBER($D72)),"",_xlfn.NORM.DIST(BC$1,$D72,$E72,TRUE)-_xlfn.NORM.DIST(BC$2,$D72,$E72,TRUE))</f>
        <v/>
      </c>
      <c r="BD72">
        <f>IF(NOT(ISNUMBER($D72)),"",_xlfn.NORM.DIST(BD$1,$D72,$E72,TRUE)-_xlfn.NORM.DIST(BD$2,$D72,$E72,TRUE))</f>
        <v/>
      </c>
      <c r="BE72">
        <f>IF(NOT(ISNUMBER($D72)),"",_xlfn.NORM.DIST(BE$1,$D72,$E72,TRUE)-_xlfn.NORM.DIST(BE$2,$D72,$E72,TRUE))</f>
        <v/>
      </c>
      <c r="BF72">
        <f>IF(NOT(ISNUMBER($D72)),"",_xlfn.NORM.DIST(BF$1,$D72,$E72,TRUE)-_xlfn.NORM.DIST(BF$2,$D72,$E72,TRUE))</f>
        <v/>
      </c>
      <c r="BG72">
        <f>IF(NOT(ISNUMBER($D72)),"",_xlfn.NORM.DIST(BG$1,$D72,$E72,TRUE)-_xlfn.NORM.DIST(BG$2,$D72,$E72,TRUE))</f>
        <v/>
      </c>
      <c r="BH72">
        <f>IF(NOT(ISNUMBER($D72)),"",_xlfn.NORM.DIST(BH$1,$D72,$E72,TRUE)-_xlfn.NORM.DIST(BH$2,$D72,$E72,TRUE))</f>
        <v/>
      </c>
      <c r="BI72">
        <f>IF(NOT(ISNUMBER($D72)),"",_xlfn.NORM.DIST(BI$1,$D72,$E72,TRUE)-_xlfn.NORM.DIST(BI$2,$D72,$E72,TRUE))</f>
        <v/>
      </c>
      <c r="BJ72">
        <f>IF(NOT(ISNUMBER($D72)),"",_xlfn.NORM.DIST(BJ$1,$D72,$E72,TRUE)-_xlfn.NORM.DIST(BJ$2,$D72,$E72,TRUE))</f>
        <v/>
      </c>
      <c r="BK72">
        <f>IF(NOT(ISNUMBER($D72)),"",_xlfn.NORM.DIST(BK$1,$D72,$E72,TRUE)-_xlfn.NORM.DIST(BK$2,$D72,$E72,TRUE))</f>
        <v/>
      </c>
      <c r="BL72">
        <f>IF(NOT(ISNUMBER($D72)),"",_xlfn.NORM.DIST(BL$1,$D72,$E72,TRUE)-_xlfn.NORM.DIST(BL$2,$D72,$E72,TRUE))</f>
        <v/>
      </c>
      <c r="BM72">
        <f>IF(NOT(ISNUMBER($D72)),"",_xlfn.NORM.DIST(BM$1,$D72,$E72,TRUE)-_xlfn.NORM.DIST(BM$2,$D72,$E72,TRUE))</f>
        <v/>
      </c>
      <c r="BN72">
        <f>IF(NOT(ISNUMBER($D72)),"",_xlfn.NORM.DIST(BN$1,$D72,$E72,TRUE)-_xlfn.NORM.DIST(BN$2,$D72,$E72,TRUE))</f>
        <v/>
      </c>
      <c r="BO72">
        <f>IF(NOT(ISNUMBER($D72)),"",_xlfn.NORM.DIST(BO$1,$D72,$E72,TRUE)-_xlfn.NORM.DIST(BO$2,$D72,$E72,TRUE))</f>
        <v/>
      </c>
      <c r="BP72">
        <f>IF(NOT(ISNUMBER($D72)),"",_xlfn.NORM.DIST(BP$1,$D72,$E72,TRUE)-_xlfn.NORM.DIST(BP$2,$D72,$E72,TRUE))</f>
        <v/>
      </c>
      <c r="BQ72">
        <f>IF(NOT(ISNUMBER($D72)),"",_xlfn.NORM.DIST(BQ$1,$D72,$E72,TRUE)-_xlfn.NORM.DIST(BQ$2,$D72,$E72,TRUE))</f>
        <v/>
      </c>
      <c r="BR72">
        <f>IF(NOT(ISNUMBER($D72)),"",_xlfn.NORM.DIST(BR$1,$D72,$E72,TRUE)-_xlfn.NORM.DIST(BR$2,$D72,$E72,TRUE))</f>
        <v/>
      </c>
      <c r="BS72">
        <f>IF(NOT(ISNUMBER($D72)),"",_xlfn.NORM.DIST(BS$1,$D72,$E72,TRUE)-_xlfn.NORM.DIST(BS$2,$D72,$E72,TRUE))</f>
        <v/>
      </c>
      <c r="BT72">
        <f>IF(NOT(ISNUMBER($D72)),"",_xlfn.NORM.DIST(BT$1,$D72,$E72,TRUE)-_xlfn.NORM.DIST(BT$2,$D72,$E72,TRUE))</f>
        <v/>
      </c>
      <c r="BU72">
        <f>IF(NOT(ISNUMBER($D72)),"",_xlfn.NORM.DIST(BU$1,$D72,$E72,TRUE)-_xlfn.NORM.DIST(BU$2,$D72,$E72,TRUE))</f>
        <v/>
      </c>
      <c r="BV72">
        <f>IF(NOT(ISNUMBER($D72)),"",_xlfn.NORM.DIST(BV$1,$D72,$E72,TRUE)-_xlfn.NORM.DIST(BV$2,$D72,$E72,TRUE))</f>
        <v/>
      </c>
      <c r="BW72">
        <f>IF(NOT(ISNUMBER($D72)),"",_xlfn.NORM.DIST(BW$1,$D72,$E72,TRUE)-_xlfn.NORM.DIST(BW$2,$D72,$E72,TRUE))</f>
        <v/>
      </c>
      <c r="BX72">
        <f>IF(NOT(ISNUMBER($D72)),"",_xlfn.NORM.DIST(BX$1,$D72,$E72,TRUE)-_xlfn.NORM.DIST(BX$2,$D72,$E72,TRUE))</f>
        <v/>
      </c>
      <c r="BY72">
        <f>IF(NOT(ISNUMBER($D72)),"",_xlfn.NORM.DIST(BY$1,$D72,$E72,TRUE)-_xlfn.NORM.DIST(BY$2,$D72,$E72,TRUE))</f>
        <v/>
      </c>
      <c r="BZ72">
        <f>IF(NOT(ISNUMBER($D72)),"",_xlfn.NORM.DIST(BZ$1,$D72,$E72,TRUE)-_xlfn.NORM.DIST(BZ$2,$D72,$E72,TRUE))</f>
        <v/>
      </c>
      <c r="CA72">
        <f>IF(NOT(ISNUMBER($D72)),"",_xlfn.NORM.DIST(CA$1,$D72,$E72,TRUE)-_xlfn.NORM.DIST(CA$2,$D72,$E72,TRUE))</f>
        <v/>
      </c>
      <c r="CB72">
        <f>IF(NOT(ISNUMBER($D72)),"",_xlfn.NORM.DIST(CB$1,$D72,$E72,TRUE)-_xlfn.NORM.DIST(CB$2,$D72,$E72,TRUE))</f>
        <v/>
      </c>
      <c r="CC72">
        <f>IF(NOT(ISNUMBER($D72)),"",_xlfn.NORM.DIST(CC$1,$D72,$E72,TRUE)-_xlfn.NORM.DIST(CC$2,$D72,$E72,TRUE))</f>
        <v/>
      </c>
      <c r="CD72">
        <f>IF(NOT(ISNUMBER($D72)),"",_xlfn.NORM.DIST(CD$1,$D72,$E72,TRUE)-_xlfn.NORM.DIST(CD$2,$D72,$E72,TRUE))</f>
        <v/>
      </c>
      <c r="CE72">
        <f>IF(NOT(ISNUMBER($D72)),"",_xlfn.NORM.DIST(CE$1,$D72,$E72,TRUE)-_xlfn.NORM.DIST(CE$2,$D72,$E72,TRUE))</f>
        <v/>
      </c>
      <c r="CF72">
        <f>IF(NOT(ISNUMBER($D72)),"",_xlfn.NORM.DIST(CF$1,$D72,$E72,TRUE)-_xlfn.NORM.DIST(CF$2,$D72,$E72,TRUE))</f>
        <v/>
      </c>
      <c r="CG72">
        <f>IF(NOT(ISNUMBER($D72)),"",_xlfn.NORM.DIST(CG$1,$D72,$E72,TRUE)-_xlfn.NORM.DIST(CG$2,$D72,$E72,TRUE))</f>
        <v/>
      </c>
      <c r="CH72">
        <f>IF(NOT(ISNUMBER($D72)),"",_xlfn.NORM.DIST(CH$1,$D72,$E72,TRUE)-_xlfn.NORM.DIST(CH$2,$D72,$E72,TRUE))</f>
        <v/>
      </c>
      <c r="CI72">
        <f>IF(NOT(ISNUMBER($D72)),"",_xlfn.NORM.DIST(CI$1,$D72,$E72,TRUE)-_xlfn.NORM.DIST(CI$2,$D72,$E72,TRUE))</f>
        <v/>
      </c>
      <c r="CJ72">
        <f>IF(ISNUMBER($D72),SUM(F72:CI72),"")</f>
        <v/>
      </c>
    </row>
    <row r="73">
      <c r="A73">
        <f>economics!A72</f>
        <v/>
      </c>
      <c r="B73">
        <f>economics!B72</f>
        <v/>
      </c>
      <c r="C73">
        <f>economics!D72</f>
        <v/>
      </c>
      <c r="D73">
        <f>IF(ISNUMBER(economics!T72),economics!T72,"na")</f>
        <v/>
      </c>
      <c r="E73">
        <f>IF(ISNUMBER(D73),MAX(0.3*ABS(D73),0.000001),"na")</f>
        <v/>
      </c>
      <c r="F73">
        <f>IF(NOT(ISNUMBER($D73)),"",_xlfn.NORM.DIST(F$1,$D73,$E73,TRUE)-_xlfn.NORM.DIST(F$2,$D73,$E73,TRUE))</f>
        <v/>
      </c>
      <c r="G73">
        <f>IF(NOT(ISNUMBER($D73)),"",_xlfn.NORM.DIST(G$1,$D73,$E73,TRUE)-_xlfn.NORM.DIST(G$2,$D73,$E73,TRUE))</f>
        <v/>
      </c>
      <c r="H73">
        <f>IF(NOT(ISNUMBER($D73)),"",_xlfn.NORM.DIST(H$1,$D73,$E73,TRUE)-_xlfn.NORM.DIST(H$2,$D73,$E73,TRUE))</f>
        <v/>
      </c>
      <c r="I73">
        <f>IF(NOT(ISNUMBER($D73)),"",_xlfn.NORM.DIST(I$1,$D73,$E73,TRUE)-_xlfn.NORM.DIST(I$2,$D73,$E73,TRUE))</f>
        <v/>
      </c>
      <c r="J73">
        <f>IF(NOT(ISNUMBER($D73)),"",_xlfn.NORM.DIST(J$1,$D73,$E73,TRUE)-_xlfn.NORM.DIST(J$2,$D73,$E73,TRUE))</f>
        <v/>
      </c>
      <c r="K73">
        <f>IF(NOT(ISNUMBER($D73)),"",_xlfn.NORM.DIST(K$1,$D73,$E73,TRUE)-_xlfn.NORM.DIST(K$2,$D73,$E73,TRUE))</f>
        <v/>
      </c>
      <c r="L73">
        <f>IF(NOT(ISNUMBER($D73)),"",_xlfn.NORM.DIST(L$1,$D73,$E73,TRUE)-_xlfn.NORM.DIST(L$2,$D73,$E73,TRUE))</f>
        <v/>
      </c>
      <c r="M73">
        <f>IF(NOT(ISNUMBER($D73)),"",_xlfn.NORM.DIST(M$1,$D73,$E73,TRUE)-_xlfn.NORM.DIST(M$2,$D73,$E73,TRUE))</f>
        <v/>
      </c>
      <c r="N73">
        <f>IF(NOT(ISNUMBER($D73)),"",_xlfn.NORM.DIST(N$1,$D73,$E73,TRUE)-_xlfn.NORM.DIST(N$2,$D73,$E73,TRUE))</f>
        <v/>
      </c>
      <c r="O73">
        <f>IF(NOT(ISNUMBER($D73)),"",_xlfn.NORM.DIST(O$1,$D73,$E73,TRUE)-_xlfn.NORM.DIST(O$2,$D73,$E73,TRUE))</f>
        <v/>
      </c>
      <c r="P73">
        <f>IF(NOT(ISNUMBER($D73)),"",_xlfn.NORM.DIST(P$1,$D73,$E73,TRUE)-_xlfn.NORM.DIST(P$2,$D73,$E73,TRUE))</f>
        <v/>
      </c>
      <c r="Q73">
        <f>IF(NOT(ISNUMBER($D73)),"",_xlfn.NORM.DIST(Q$1,$D73,$E73,TRUE)-_xlfn.NORM.DIST(Q$2,$D73,$E73,TRUE))</f>
        <v/>
      </c>
      <c r="R73">
        <f>IF(NOT(ISNUMBER($D73)),"",_xlfn.NORM.DIST(R$1,$D73,$E73,TRUE)-_xlfn.NORM.DIST(R$2,$D73,$E73,TRUE))</f>
        <v/>
      </c>
      <c r="S73">
        <f>IF(NOT(ISNUMBER($D73)),"",_xlfn.NORM.DIST(S$1,$D73,$E73,TRUE)-_xlfn.NORM.DIST(S$2,$D73,$E73,TRUE))</f>
        <v/>
      </c>
      <c r="T73">
        <f>IF(NOT(ISNUMBER($D73)),"",_xlfn.NORM.DIST(T$1,$D73,$E73,TRUE)-_xlfn.NORM.DIST(T$2,$D73,$E73,TRUE))</f>
        <v/>
      </c>
      <c r="U73">
        <f>IF(NOT(ISNUMBER($D73)),"",_xlfn.NORM.DIST(U$1,$D73,$E73,TRUE)-_xlfn.NORM.DIST(U$2,$D73,$E73,TRUE))</f>
        <v/>
      </c>
      <c r="V73">
        <f>IF(NOT(ISNUMBER($D73)),"",_xlfn.NORM.DIST(V$1,$D73,$E73,TRUE)-_xlfn.NORM.DIST(V$2,$D73,$E73,TRUE))</f>
        <v/>
      </c>
      <c r="W73">
        <f>IF(NOT(ISNUMBER($D73)),"",_xlfn.NORM.DIST(W$1,$D73,$E73,TRUE)-_xlfn.NORM.DIST(W$2,$D73,$E73,TRUE))</f>
        <v/>
      </c>
      <c r="X73">
        <f>IF(NOT(ISNUMBER($D73)),"",_xlfn.NORM.DIST(X$1,$D73,$E73,TRUE)-_xlfn.NORM.DIST(X$2,$D73,$E73,TRUE))</f>
        <v/>
      </c>
      <c r="Y73">
        <f>IF(NOT(ISNUMBER($D73)),"",_xlfn.NORM.DIST(Y$1,$D73,$E73,TRUE)-_xlfn.NORM.DIST(Y$2,$D73,$E73,TRUE))</f>
        <v/>
      </c>
      <c r="Z73">
        <f>IF(NOT(ISNUMBER($D73)),"",_xlfn.NORM.DIST(Z$1,$D73,$E73,TRUE)-_xlfn.NORM.DIST(Z$2,$D73,$E73,TRUE))</f>
        <v/>
      </c>
      <c r="AA73">
        <f>IF(NOT(ISNUMBER($D73)),"",_xlfn.NORM.DIST(AA$1,$D73,$E73,TRUE)-_xlfn.NORM.DIST(AA$2,$D73,$E73,TRUE))</f>
        <v/>
      </c>
      <c r="AB73">
        <f>IF(NOT(ISNUMBER($D73)),"",_xlfn.NORM.DIST(AB$1,$D73,$E73,TRUE)-_xlfn.NORM.DIST(AB$2,$D73,$E73,TRUE))</f>
        <v/>
      </c>
      <c r="AC73">
        <f>IF(NOT(ISNUMBER($D73)),"",_xlfn.NORM.DIST(AC$1,$D73,$E73,TRUE)-_xlfn.NORM.DIST(AC$2,$D73,$E73,TRUE))</f>
        <v/>
      </c>
      <c r="AD73">
        <f>IF(NOT(ISNUMBER($D73)),"",_xlfn.NORM.DIST(AD$1,$D73,$E73,TRUE)-_xlfn.NORM.DIST(AD$2,$D73,$E73,TRUE))</f>
        <v/>
      </c>
      <c r="AE73">
        <f>IF(NOT(ISNUMBER($D73)),"",_xlfn.NORM.DIST(AE$1,$D73,$E73,TRUE)-_xlfn.NORM.DIST(AE$2,$D73,$E73,TRUE))</f>
        <v/>
      </c>
      <c r="AF73">
        <f>IF(NOT(ISNUMBER($D73)),"",_xlfn.NORM.DIST(AF$1,$D73,$E73,TRUE)-_xlfn.NORM.DIST(AF$2,$D73,$E73,TRUE))</f>
        <v/>
      </c>
      <c r="AG73">
        <f>IF(NOT(ISNUMBER($D73)),"",_xlfn.NORM.DIST(AG$1,$D73,$E73,TRUE)-_xlfn.NORM.DIST(AG$2,$D73,$E73,TRUE))</f>
        <v/>
      </c>
      <c r="AH73">
        <f>IF(NOT(ISNUMBER($D73)),"",_xlfn.NORM.DIST(AH$1,$D73,$E73,TRUE)-_xlfn.NORM.DIST(AH$2,$D73,$E73,TRUE))</f>
        <v/>
      </c>
      <c r="AI73">
        <f>IF(NOT(ISNUMBER($D73)),"",_xlfn.NORM.DIST(AI$1,$D73,$E73,TRUE)-_xlfn.NORM.DIST(AI$2,$D73,$E73,TRUE))</f>
        <v/>
      </c>
      <c r="AJ73">
        <f>IF(NOT(ISNUMBER($D73)),"",_xlfn.NORM.DIST(AJ$1,$D73,$E73,TRUE)-_xlfn.NORM.DIST(AJ$2,$D73,$E73,TRUE))</f>
        <v/>
      </c>
      <c r="AK73">
        <f>IF(NOT(ISNUMBER($D73)),"",_xlfn.NORM.DIST(AK$1,$D73,$E73,TRUE)-_xlfn.NORM.DIST(AK$2,$D73,$E73,TRUE))</f>
        <v/>
      </c>
      <c r="AL73">
        <f>IF(NOT(ISNUMBER($D73)),"",_xlfn.NORM.DIST(AL$1,$D73,$E73,TRUE)-_xlfn.NORM.DIST(AL$2,$D73,$E73,TRUE))</f>
        <v/>
      </c>
      <c r="AM73">
        <f>IF(NOT(ISNUMBER($D73)),"",_xlfn.NORM.DIST(AM$1,$D73,$E73,TRUE)-_xlfn.NORM.DIST(AM$2,$D73,$E73,TRUE))</f>
        <v/>
      </c>
      <c r="AN73">
        <f>IF(NOT(ISNUMBER($D73)),"",_xlfn.NORM.DIST(AN$1,$D73,$E73,TRUE)-_xlfn.NORM.DIST(AN$2,$D73,$E73,TRUE))</f>
        <v/>
      </c>
      <c r="AO73">
        <f>IF(NOT(ISNUMBER($D73)),"",_xlfn.NORM.DIST(AO$1,$D73,$E73,TRUE)-_xlfn.NORM.DIST(AO$2,$D73,$E73,TRUE))</f>
        <v/>
      </c>
      <c r="AP73">
        <f>IF(NOT(ISNUMBER($D73)),"",_xlfn.NORM.DIST(AP$1,$D73,$E73,TRUE)-_xlfn.NORM.DIST(AP$2,$D73,$E73,TRUE))</f>
        <v/>
      </c>
      <c r="AQ73">
        <f>IF(NOT(ISNUMBER($D73)),"",_xlfn.NORM.DIST(AQ$1,$D73,$E73,TRUE)-_xlfn.NORM.DIST(AQ$2,$D73,$E73,TRUE))</f>
        <v/>
      </c>
      <c r="AR73">
        <f>IF(NOT(ISNUMBER($D73)),"",_xlfn.NORM.DIST(AR$1,$D73,$E73,TRUE)-_xlfn.NORM.DIST(AR$2,$D73,$E73,TRUE))</f>
        <v/>
      </c>
      <c r="AS73">
        <f>IF(NOT(ISNUMBER($D73)),"",_xlfn.NORM.DIST(AS$1,$D73,$E73,TRUE)-_xlfn.NORM.DIST(AS$2,$D73,$E73,TRUE))</f>
        <v/>
      </c>
      <c r="AT73">
        <f>IF(NOT(ISNUMBER($D73)),"",_xlfn.NORM.DIST(AT$1,$D73,$E73,TRUE)-_xlfn.NORM.DIST(AT$2,$D73,$E73,TRUE))</f>
        <v/>
      </c>
      <c r="AU73">
        <f>IF(NOT(ISNUMBER($D73)),"",_xlfn.NORM.DIST(AU$1,$D73,$E73,TRUE)-_xlfn.NORM.DIST(AU$2,$D73,$E73,TRUE))</f>
        <v/>
      </c>
      <c r="AV73">
        <f>IF(NOT(ISNUMBER($D73)),"",_xlfn.NORM.DIST(AV$1,$D73,$E73,TRUE)-_xlfn.NORM.DIST(AV$2,$D73,$E73,TRUE))</f>
        <v/>
      </c>
      <c r="AW73">
        <f>IF(NOT(ISNUMBER($D73)),"",_xlfn.NORM.DIST(AW$1,$D73,$E73,TRUE)-_xlfn.NORM.DIST(AW$2,$D73,$E73,TRUE))</f>
        <v/>
      </c>
      <c r="AX73">
        <f>IF(NOT(ISNUMBER($D73)),"",_xlfn.NORM.DIST(AX$1,$D73,$E73,TRUE)-_xlfn.NORM.DIST(AX$2,$D73,$E73,TRUE))</f>
        <v/>
      </c>
      <c r="AY73">
        <f>IF(NOT(ISNUMBER($D73)),"",_xlfn.NORM.DIST(AY$1,$D73,$E73,TRUE)-_xlfn.NORM.DIST(AY$2,$D73,$E73,TRUE))</f>
        <v/>
      </c>
      <c r="AZ73">
        <f>IF(NOT(ISNUMBER($D73)),"",_xlfn.NORM.DIST(AZ$1,$D73,$E73,TRUE)-_xlfn.NORM.DIST(AZ$2,$D73,$E73,TRUE))</f>
        <v/>
      </c>
      <c r="BA73">
        <f>IF(NOT(ISNUMBER($D73)),"",_xlfn.NORM.DIST(BA$1,$D73,$E73,TRUE)-_xlfn.NORM.DIST(BA$2,$D73,$E73,TRUE))</f>
        <v/>
      </c>
      <c r="BB73">
        <f>IF(NOT(ISNUMBER($D73)),"",_xlfn.NORM.DIST(BB$1,$D73,$E73,TRUE)-_xlfn.NORM.DIST(BB$2,$D73,$E73,TRUE))</f>
        <v/>
      </c>
      <c r="BC73">
        <f>IF(NOT(ISNUMBER($D73)),"",_xlfn.NORM.DIST(BC$1,$D73,$E73,TRUE)-_xlfn.NORM.DIST(BC$2,$D73,$E73,TRUE))</f>
        <v/>
      </c>
      <c r="BD73">
        <f>IF(NOT(ISNUMBER($D73)),"",_xlfn.NORM.DIST(BD$1,$D73,$E73,TRUE)-_xlfn.NORM.DIST(BD$2,$D73,$E73,TRUE))</f>
        <v/>
      </c>
      <c r="BE73">
        <f>IF(NOT(ISNUMBER($D73)),"",_xlfn.NORM.DIST(BE$1,$D73,$E73,TRUE)-_xlfn.NORM.DIST(BE$2,$D73,$E73,TRUE))</f>
        <v/>
      </c>
      <c r="BF73">
        <f>IF(NOT(ISNUMBER($D73)),"",_xlfn.NORM.DIST(BF$1,$D73,$E73,TRUE)-_xlfn.NORM.DIST(BF$2,$D73,$E73,TRUE))</f>
        <v/>
      </c>
      <c r="BG73">
        <f>IF(NOT(ISNUMBER($D73)),"",_xlfn.NORM.DIST(BG$1,$D73,$E73,TRUE)-_xlfn.NORM.DIST(BG$2,$D73,$E73,TRUE))</f>
        <v/>
      </c>
      <c r="BH73">
        <f>IF(NOT(ISNUMBER($D73)),"",_xlfn.NORM.DIST(BH$1,$D73,$E73,TRUE)-_xlfn.NORM.DIST(BH$2,$D73,$E73,TRUE))</f>
        <v/>
      </c>
      <c r="BI73">
        <f>IF(NOT(ISNUMBER($D73)),"",_xlfn.NORM.DIST(BI$1,$D73,$E73,TRUE)-_xlfn.NORM.DIST(BI$2,$D73,$E73,TRUE))</f>
        <v/>
      </c>
      <c r="BJ73">
        <f>IF(NOT(ISNUMBER($D73)),"",_xlfn.NORM.DIST(BJ$1,$D73,$E73,TRUE)-_xlfn.NORM.DIST(BJ$2,$D73,$E73,TRUE))</f>
        <v/>
      </c>
      <c r="BK73">
        <f>IF(NOT(ISNUMBER($D73)),"",_xlfn.NORM.DIST(BK$1,$D73,$E73,TRUE)-_xlfn.NORM.DIST(BK$2,$D73,$E73,TRUE))</f>
        <v/>
      </c>
      <c r="BL73">
        <f>IF(NOT(ISNUMBER($D73)),"",_xlfn.NORM.DIST(BL$1,$D73,$E73,TRUE)-_xlfn.NORM.DIST(BL$2,$D73,$E73,TRUE))</f>
        <v/>
      </c>
      <c r="BM73">
        <f>IF(NOT(ISNUMBER($D73)),"",_xlfn.NORM.DIST(BM$1,$D73,$E73,TRUE)-_xlfn.NORM.DIST(BM$2,$D73,$E73,TRUE))</f>
        <v/>
      </c>
      <c r="BN73">
        <f>IF(NOT(ISNUMBER($D73)),"",_xlfn.NORM.DIST(BN$1,$D73,$E73,TRUE)-_xlfn.NORM.DIST(BN$2,$D73,$E73,TRUE))</f>
        <v/>
      </c>
      <c r="BO73">
        <f>IF(NOT(ISNUMBER($D73)),"",_xlfn.NORM.DIST(BO$1,$D73,$E73,TRUE)-_xlfn.NORM.DIST(BO$2,$D73,$E73,TRUE))</f>
        <v/>
      </c>
      <c r="BP73">
        <f>IF(NOT(ISNUMBER($D73)),"",_xlfn.NORM.DIST(BP$1,$D73,$E73,TRUE)-_xlfn.NORM.DIST(BP$2,$D73,$E73,TRUE))</f>
        <v/>
      </c>
      <c r="BQ73">
        <f>IF(NOT(ISNUMBER($D73)),"",_xlfn.NORM.DIST(BQ$1,$D73,$E73,TRUE)-_xlfn.NORM.DIST(BQ$2,$D73,$E73,TRUE))</f>
        <v/>
      </c>
      <c r="BR73">
        <f>IF(NOT(ISNUMBER($D73)),"",_xlfn.NORM.DIST(BR$1,$D73,$E73,TRUE)-_xlfn.NORM.DIST(BR$2,$D73,$E73,TRUE))</f>
        <v/>
      </c>
      <c r="BS73">
        <f>IF(NOT(ISNUMBER($D73)),"",_xlfn.NORM.DIST(BS$1,$D73,$E73,TRUE)-_xlfn.NORM.DIST(BS$2,$D73,$E73,TRUE))</f>
        <v/>
      </c>
      <c r="BT73">
        <f>IF(NOT(ISNUMBER($D73)),"",_xlfn.NORM.DIST(BT$1,$D73,$E73,TRUE)-_xlfn.NORM.DIST(BT$2,$D73,$E73,TRUE))</f>
        <v/>
      </c>
      <c r="BU73">
        <f>IF(NOT(ISNUMBER($D73)),"",_xlfn.NORM.DIST(BU$1,$D73,$E73,TRUE)-_xlfn.NORM.DIST(BU$2,$D73,$E73,TRUE))</f>
        <v/>
      </c>
      <c r="BV73">
        <f>IF(NOT(ISNUMBER($D73)),"",_xlfn.NORM.DIST(BV$1,$D73,$E73,TRUE)-_xlfn.NORM.DIST(BV$2,$D73,$E73,TRUE))</f>
        <v/>
      </c>
      <c r="BW73">
        <f>IF(NOT(ISNUMBER($D73)),"",_xlfn.NORM.DIST(BW$1,$D73,$E73,TRUE)-_xlfn.NORM.DIST(BW$2,$D73,$E73,TRUE))</f>
        <v/>
      </c>
      <c r="BX73">
        <f>IF(NOT(ISNUMBER($D73)),"",_xlfn.NORM.DIST(BX$1,$D73,$E73,TRUE)-_xlfn.NORM.DIST(BX$2,$D73,$E73,TRUE))</f>
        <v/>
      </c>
      <c r="BY73">
        <f>IF(NOT(ISNUMBER($D73)),"",_xlfn.NORM.DIST(BY$1,$D73,$E73,TRUE)-_xlfn.NORM.DIST(BY$2,$D73,$E73,TRUE))</f>
        <v/>
      </c>
      <c r="BZ73">
        <f>IF(NOT(ISNUMBER($D73)),"",_xlfn.NORM.DIST(BZ$1,$D73,$E73,TRUE)-_xlfn.NORM.DIST(BZ$2,$D73,$E73,TRUE))</f>
        <v/>
      </c>
      <c r="CA73">
        <f>IF(NOT(ISNUMBER($D73)),"",_xlfn.NORM.DIST(CA$1,$D73,$E73,TRUE)-_xlfn.NORM.DIST(CA$2,$D73,$E73,TRUE))</f>
        <v/>
      </c>
      <c r="CB73">
        <f>IF(NOT(ISNUMBER($D73)),"",_xlfn.NORM.DIST(CB$1,$D73,$E73,TRUE)-_xlfn.NORM.DIST(CB$2,$D73,$E73,TRUE))</f>
        <v/>
      </c>
      <c r="CC73">
        <f>IF(NOT(ISNUMBER($D73)),"",_xlfn.NORM.DIST(CC$1,$D73,$E73,TRUE)-_xlfn.NORM.DIST(CC$2,$D73,$E73,TRUE))</f>
        <v/>
      </c>
      <c r="CD73">
        <f>IF(NOT(ISNUMBER($D73)),"",_xlfn.NORM.DIST(CD$1,$D73,$E73,TRUE)-_xlfn.NORM.DIST(CD$2,$D73,$E73,TRUE))</f>
        <v/>
      </c>
      <c r="CE73">
        <f>IF(NOT(ISNUMBER($D73)),"",_xlfn.NORM.DIST(CE$1,$D73,$E73,TRUE)-_xlfn.NORM.DIST(CE$2,$D73,$E73,TRUE))</f>
        <v/>
      </c>
      <c r="CF73">
        <f>IF(NOT(ISNUMBER($D73)),"",_xlfn.NORM.DIST(CF$1,$D73,$E73,TRUE)-_xlfn.NORM.DIST(CF$2,$D73,$E73,TRUE))</f>
        <v/>
      </c>
      <c r="CG73">
        <f>IF(NOT(ISNUMBER($D73)),"",_xlfn.NORM.DIST(CG$1,$D73,$E73,TRUE)-_xlfn.NORM.DIST(CG$2,$D73,$E73,TRUE))</f>
        <v/>
      </c>
      <c r="CH73">
        <f>IF(NOT(ISNUMBER($D73)),"",_xlfn.NORM.DIST(CH$1,$D73,$E73,TRUE)-_xlfn.NORM.DIST(CH$2,$D73,$E73,TRUE))</f>
        <v/>
      </c>
      <c r="CI73">
        <f>IF(NOT(ISNUMBER($D73)),"",_xlfn.NORM.DIST(CI$1,$D73,$E73,TRUE)-_xlfn.NORM.DIST(CI$2,$D73,$E73,TRUE))</f>
        <v/>
      </c>
      <c r="CJ73">
        <f>IF(ISNUMBER($D73),SUM(F73:CI73),"")</f>
        <v/>
      </c>
    </row>
    <row r="74">
      <c r="A74">
        <f>economics!A73</f>
        <v/>
      </c>
      <c r="B74">
        <f>economics!B73</f>
        <v/>
      </c>
      <c r="C74">
        <f>economics!D73</f>
        <v/>
      </c>
      <c r="D74">
        <f>IF(ISNUMBER(economics!T73),economics!T73,"na")</f>
        <v/>
      </c>
      <c r="E74">
        <f>IF(ISNUMBER(D74),MAX(0.3*ABS(D74),0.000001),"na")</f>
        <v/>
      </c>
      <c r="F74">
        <f>IF(NOT(ISNUMBER($D74)),"",_xlfn.NORM.DIST(F$1,$D74,$E74,TRUE)-_xlfn.NORM.DIST(F$2,$D74,$E74,TRUE))</f>
        <v/>
      </c>
      <c r="G74">
        <f>IF(NOT(ISNUMBER($D74)),"",_xlfn.NORM.DIST(G$1,$D74,$E74,TRUE)-_xlfn.NORM.DIST(G$2,$D74,$E74,TRUE))</f>
        <v/>
      </c>
      <c r="H74">
        <f>IF(NOT(ISNUMBER($D74)),"",_xlfn.NORM.DIST(H$1,$D74,$E74,TRUE)-_xlfn.NORM.DIST(H$2,$D74,$E74,TRUE))</f>
        <v/>
      </c>
      <c r="I74">
        <f>IF(NOT(ISNUMBER($D74)),"",_xlfn.NORM.DIST(I$1,$D74,$E74,TRUE)-_xlfn.NORM.DIST(I$2,$D74,$E74,TRUE))</f>
        <v/>
      </c>
      <c r="J74">
        <f>IF(NOT(ISNUMBER($D74)),"",_xlfn.NORM.DIST(J$1,$D74,$E74,TRUE)-_xlfn.NORM.DIST(J$2,$D74,$E74,TRUE))</f>
        <v/>
      </c>
      <c r="K74">
        <f>IF(NOT(ISNUMBER($D74)),"",_xlfn.NORM.DIST(K$1,$D74,$E74,TRUE)-_xlfn.NORM.DIST(K$2,$D74,$E74,TRUE))</f>
        <v/>
      </c>
      <c r="L74">
        <f>IF(NOT(ISNUMBER($D74)),"",_xlfn.NORM.DIST(L$1,$D74,$E74,TRUE)-_xlfn.NORM.DIST(L$2,$D74,$E74,TRUE))</f>
        <v/>
      </c>
      <c r="M74">
        <f>IF(NOT(ISNUMBER($D74)),"",_xlfn.NORM.DIST(M$1,$D74,$E74,TRUE)-_xlfn.NORM.DIST(M$2,$D74,$E74,TRUE))</f>
        <v/>
      </c>
      <c r="N74">
        <f>IF(NOT(ISNUMBER($D74)),"",_xlfn.NORM.DIST(N$1,$D74,$E74,TRUE)-_xlfn.NORM.DIST(N$2,$D74,$E74,TRUE))</f>
        <v/>
      </c>
      <c r="O74">
        <f>IF(NOT(ISNUMBER($D74)),"",_xlfn.NORM.DIST(O$1,$D74,$E74,TRUE)-_xlfn.NORM.DIST(O$2,$D74,$E74,TRUE))</f>
        <v/>
      </c>
      <c r="P74">
        <f>IF(NOT(ISNUMBER($D74)),"",_xlfn.NORM.DIST(P$1,$D74,$E74,TRUE)-_xlfn.NORM.DIST(P$2,$D74,$E74,TRUE))</f>
        <v/>
      </c>
      <c r="Q74">
        <f>IF(NOT(ISNUMBER($D74)),"",_xlfn.NORM.DIST(Q$1,$D74,$E74,TRUE)-_xlfn.NORM.DIST(Q$2,$D74,$E74,TRUE))</f>
        <v/>
      </c>
      <c r="R74">
        <f>IF(NOT(ISNUMBER($D74)),"",_xlfn.NORM.DIST(R$1,$D74,$E74,TRUE)-_xlfn.NORM.DIST(R$2,$D74,$E74,TRUE))</f>
        <v/>
      </c>
      <c r="S74">
        <f>IF(NOT(ISNUMBER($D74)),"",_xlfn.NORM.DIST(S$1,$D74,$E74,TRUE)-_xlfn.NORM.DIST(S$2,$D74,$E74,TRUE))</f>
        <v/>
      </c>
      <c r="T74">
        <f>IF(NOT(ISNUMBER($D74)),"",_xlfn.NORM.DIST(T$1,$D74,$E74,TRUE)-_xlfn.NORM.DIST(T$2,$D74,$E74,TRUE))</f>
        <v/>
      </c>
      <c r="U74">
        <f>IF(NOT(ISNUMBER($D74)),"",_xlfn.NORM.DIST(U$1,$D74,$E74,TRUE)-_xlfn.NORM.DIST(U$2,$D74,$E74,TRUE))</f>
        <v/>
      </c>
      <c r="V74">
        <f>IF(NOT(ISNUMBER($D74)),"",_xlfn.NORM.DIST(V$1,$D74,$E74,TRUE)-_xlfn.NORM.DIST(V$2,$D74,$E74,TRUE))</f>
        <v/>
      </c>
      <c r="W74">
        <f>IF(NOT(ISNUMBER($D74)),"",_xlfn.NORM.DIST(W$1,$D74,$E74,TRUE)-_xlfn.NORM.DIST(W$2,$D74,$E74,TRUE))</f>
        <v/>
      </c>
      <c r="X74">
        <f>IF(NOT(ISNUMBER($D74)),"",_xlfn.NORM.DIST(X$1,$D74,$E74,TRUE)-_xlfn.NORM.DIST(X$2,$D74,$E74,TRUE))</f>
        <v/>
      </c>
      <c r="Y74">
        <f>IF(NOT(ISNUMBER($D74)),"",_xlfn.NORM.DIST(Y$1,$D74,$E74,TRUE)-_xlfn.NORM.DIST(Y$2,$D74,$E74,TRUE))</f>
        <v/>
      </c>
      <c r="Z74">
        <f>IF(NOT(ISNUMBER($D74)),"",_xlfn.NORM.DIST(Z$1,$D74,$E74,TRUE)-_xlfn.NORM.DIST(Z$2,$D74,$E74,TRUE))</f>
        <v/>
      </c>
      <c r="AA74">
        <f>IF(NOT(ISNUMBER($D74)),"",_xlfn.NORM.DIST(AA$1,$D74,$E74,TRUE)-_xlfn.NORM.DIST(AA$2,$D74,$E74,TRUE))</f>
        <v/>
      </c>
      <c r="AB74">
        <f>IF(NOT(ISNUMBER($D74)),"",_xlfn.NORM.DIST(AB$1,$D74,$E74,TRUE)-_xlfn.NORM.DIST(AB$2,$D74,$E74,TRUE))</f>
        <v/>
      </c>
      <c r="AC74">
        <f>IF(NOT(ISNUMBER($D74)),"",_xlfn.NORM.DIST(AC$1,$D74,$E74,TRUE)-_xlfn.NORM.DIST(AC$2,$D74,$E74,TRUE))</f>
        <v/>
      </c>
      <c r="AD74">
        <f>IF(NOT(ISNUMBER($D74)),"",_xlfn.NORM.DIST(AD$1,$D74,$E74,TRUE)-_xlfn.NORM.DIST(AD$2,$D74,$E74,TRUE))</f>
        <v/>
      </c>
      <c r="AE74">
        <f>IF(NOT(ISNUMBER($D74)),"",_xlfn.NORM.DIST(AE$1,$D74,$E74,TRUE)-_xlfn.NORM.DIST(AE$2,$D74,$E74,TRUE))</f>
        <v/>
      </c>
      <c r="AF74">
        <f>IF(NOT(ISNUMBER($D74)),"",_xlfn.NORM.DIST(AF$1,$D74,$E74,TRUE)-_xlfn.NORM.DIST(AF$2,$D74,$E74,TRUE))</f>
        <v/>
      </c>
      <c r="AG74">
        <f>IF(NOT(ISNUMBER($D74)),"",_xlfn.NORM.DIST(AG$1,$D74,$E74,TRUE)-_xlfn.NORM.DIST(AG$2,$D74,$E74,TRUE))</f>
        <v/>
      </c>
      <c r="AH74">
        <f>IF(NOT(ISNUMBER($D74)),"",_xlfn.NORM.DIST(AH$1,$D74,$E74,TRUE)-_xlfn.NORM.DIST(AH$2,$D74,$E74,TRUE))</f>
        <v/>
      </c>
      <c r="AI74">
        <f>IF(NOT(ISNUMBER($D74)),"",_xlfn.NORM.DIST(AI$1,$D74,$E74,TRUE)-_xlfn.NORM.DIST(AI$2,$D74,$E74,TRUE))</f>
        <v/>
      </c>
      <c r="AJ74">
        <f>IF(NOT(ISNUMBER($D74)),"",_xlfn.NORM.DIST(AJ$1,$D74,$E74,TRUE)-_xlfn.NORM.DIST(AJ$2,$D74,$E74,TRUE))</f>
        <v/>
      </c>
      <c r="AK74">
        <f>IF(NOT(ISNUMBER($D74)),"",_xlfn.NORM.DIST(AK$1,$D74,$E74,TRUE)-_xlfn.NORM.DIST(AK$2,$D74,$E74,TRUE))</f>
        <v/>
      </c>
      <c r="AL74">
        <f>IF(NOT(ISNUMBER($D74)),"",_xlfn.NORM.DIST(AL$1,$D74,$E74,TRUE)-_xlfn.NORM.DIST(AL$2,$D74,$E74,TRUE))</f>
        <v/>
      </c>
      <c r="AM74">
        <f>IF(NOT(ISNUMBER($D74)),"",_xlfn.NORM.DIST(AM$1,$D74,$E74,TRUE)-_xlfn.NORM.DIST(AM$2,$D74,$E74,TRUE))</f>
        <v/>
      </c>
      <c r="AN74">
        <f>IF(NOT(ISNUMBER($D74)),"",_xlfn.NORM.DIST(AN$1,$D74,$E74,TRUE)-_xlfn.NORM.DIST(AN$2,$D74,$E74,TRUE))</f>
        <v/>
      </c>
      <c r="AO74">
        <f>IF(NOT(ISNUMBER($D74)),"",_xlfn.NORM.DIST(AO$1,$D74,$E74,TRUE)-_xlfn.NORM.DIST(AO$2,$D74,$E74,TRUE))</f>
        <v/>
      </c>
      <c r="AP74">
        <f>IF(NOT(ISNUMBER($D74)),"",_xlfn.NORM.DIST(AP$1,$D74,$E74,TRUE)-_xlfn.NORM.DIST(AP$2,$D74,$E74,TRUE))</f>
        <v/>
      </c>
      <c r="AQ74">
        <f>IF(NOT(ISNUMBER($D74)),"",_xlfn.NORM.DIST(AQ$1,$D74,$E74,TRUE)-_xlfn.NORM.DIST(AQ$2,$D74,$E74,TRUE))</f>
        <v/>
      </c>
      <c r="AR74">
        <f>IF(NOT(ISNUMBER($D74)),"",_xlfn.NORM.DIST(AR$1,$D74,$E74,TRUE)-_xlfn.NORM.DIST(AR$2,$D74,$E74,TRUE))</f>
        <v/>
      </c>
      <c r="AS74">
        <f>IF(NOT(ISNUMBER($D74)),"",_xlfn.NORM.DIST(AS$1,$D74,$E74,TRUE)-_xlfn.NORM.DIST(AS$2,$D74,$E74,TRUE))</f>
        <v/>
      </c>
      <c r="AT74">
        <f>IF(NOT(ISNUMBER($D74)),"",_xlfn.NORM.DIST(AT$1,$D74,$E74,TRUE)-_xlfn.NORM.DIST(AT$2,$D74,$E74,TRUE))</f>
        <v/>
      </c>
      <c r="AU74">
        <f>IF(NOT(ISNUMBER($D74)),"",_xlfn.NORM.DIST(AU$1,$D74,$E74,TRUE)-_xlfn.NORM.DIST(AU$2,$D74,$E74,TRUE))</f>
        <v/>
      </c>
      <c r="AV74">
        <f>IF(NOT(ISNUMBER($D74)),"",_xlfn.NORM.DIST(AV$1,$D74,$E74,TRUE)-_xlfn.NORM.DIST(AV$2,$D74,$E74,TRUE))</f>
        <v/>
      </c>
      <c r="AW74">
        <f>IF(NOT(ISNUMBER($D74)),"",_xlfn.NORM.DIST(AW$1,$D74,$E74,TRUE)-_xlfn.NORM.DIST(AW$2,$D74,$E74,TRUE))</f>
        <v/>
      </c>
      <c r="AX74">
        <f>IF(NOT(ISNUMBER($D74)),"",_xlfn.NORM.DIST(AX$1,$D74,$E74,TRUE)-_xlfn.NORM.DIST(AX$2,$D74,$E74,TRUE))</f>
        <v/>
      </c>
      <c r="AY74">
        <f>IF(NOT(ISNUMBER($D74)),"",_xlfn.NORM.DIST(AY$1,$D74,$E74,TRUE)-_xlfn.NORM.DIST(AY$2,$D74,$E74,TRUE))</f>
        <v/>
      </c>
      <c r="AZ74">
        <f>IF(NOT(ISNUMBER($D74)),"",_xlfn.NORM.DIST(AZ$1,$D74,$E74,TRUE)-_xlfn.NORM.DIST(AZ$2,$D74,$E74,TRUE))</f>
        <v/>
      </c>
      <c r="BA74">
        <f>IF(NOT(ISNUMBER($D74)),"",_xlfn.NORM.DIST(BA$1,$D74,$E74,TRUE)-_xlfn.NORM.DIST(BA$2,$D74,$E74,TRUE))</f>
        <v/>
      </c>
      <c r="BB74">
        <f>IF(NOT(ISNUMBER($D74)),"",_xlfn.NORM.DIST(BB$1,$D74,$E74,TRUE)-_xlfn.NORM.DIST(BB$2,$D74,$E74,TRUE))</f>
        <v/>
      </c>
      <c r="BC74">
        <f>IF(NOT(ISNUMBER($D74)),"",_xlfn.NORM.DIST(BC$1,$D74,$E74,TRUE)-_xlfn.NORM.DIST(BC$2,$D74,$E74,TRUE))</f>
        <v/>
      </c>
      <c r="BD74">
        <f>IF(NOT(ISNUMBER($D74)),"",_xlfn.NORM.DIST(BD$1,$D74,$E74,TRUE)-_xlfn.NORM.DIST(BD$2,$D74,$E74,TRUE))</f>
        <v/>
      </c>
      <c r="BE74">
        <f>IF(NOT(ISNUMBER($D74)),"",_xlfn.NORM.DIST(BE$1,$D74,$E74,TRUE)-_xlfn.NORM.DIST(BE$2,$D74,$E74,TRUE))</f>
        <v/>
      </c>
      <c r="BF74">
        <f>IF(NOT(ISNUMBER($D74)),"",_xlfn.NORM.DIST(BF$1,$D74,$E74,TRUE)-_xlfn.NORM.DIST(BF$2,$D74,$E74,TRUE))</f>
        <v/>
      </c>
      <c r="BG74">
        <f>IF(NOT(ISNUMBER($D74)),"",_xlfn.NORM.DIST(BG$1,$D74,$E74,TRUE)-_xlfn.NORM.DIST(BG$2,$D74,$E74,TRUE))</f>
        <v/>
      </c>
      <c r="BH74">
        <f>IF(NOT(ISNUMBER($D74)),"",_xlfn.NORM.DIST(BH$1,$D74,$E74,TRUE)-_xlfn.NORM.DIST(BH$2,$D74,$E74,TRUE))</f>
        <v/>
      </c>
      <c r="BI74">
        <f>IF(NOT(ISNUMBER($D74)),"",_xlfn.NORM.DIST(BI$1,$D74,$E74,TRUE)-_xlfn.NORM.DIST(BI$2,$D74,$E74,TRUE))</f>
        <v/>
      </c>
      <c r="BJ74">
        <f>IF(NOT(ISNUMBER($D74)),"",_xlfn.NORM.DIST(BJ$1,$D74,$E74,TRUE)-_xlfn.NORM.DIST(BJ$2,$D74,$E74,TRUE))</f>
        <v/>
      </c>
      <c r="BK74">
        <f>IF(NOT(ISNUMBER($D74)),"",_xlfn.NORM.DIST(BK$1,$D74,$E74,TRUE)-_xlfn.NORM.DIST(BK$2,$D74,$E74,TRUE))</f>
        <v/>
      </c>
      <c r="BL74">
        <f>IF(NOT(ISNUMBER($D74)),"",_xlfn.NORM.DIST(BL$1,$D74,$E74,TRUE)-_xlfn.NORM.DIST(BL$2,$D74,$E74,TRUE))</f>
        <v/>
      </c>
      <c r="BM74">
        <f>IF(NOT(ISNUMBER($D74)),"",_xlfn.NORM.DIST(BM$1,$D74,$E74,TRUE)-_xlfn.NORM.DIST(BM$2,$D74,$E74,TRUE))</f>
        <v/>
      </c>
      <c r="BN74">
        <f>IF(NOT(ISNUMBER($D74)),"",_xlfn.NORM.DIST(BN$1,$D74,$E74,TRUE)-_xlfn.NORM.DIST(BN$2,$D74,$E74,TRUE))</f>
        <v/>
      </c>
      <c r="BO74">
        <f>IF(NOT(ISNUMBER($D74)),"",_xlfn.NORM.DIST(BO$1,$D74,$E74,TRUE)-_xlfn.NORM.DIST(BO$2,$D74,$E74,TRUE))</f>
        <v/>
      </c>
      <c r="BP74">
        <f>IF(NOT(ISNUMBER($D74)),"",_xlfn.NORM.DIST(BP$1,$D74,$E74,TRUE)-_xlfn.NORM.DIST(BP$2,$D74,$E74,TRUE))</f>
        <v/>
      </c>
      <c r="BQ74">
        <f>IF(NOT(ISNUMBER($D74)),"",_xlfn.NORM.DIST(BQ$1,$D74,$E74,TRUE)-_xlfn.NORM.DIST(BQ$2,$D74,$E74,TRUE))</f>
        <v/>
      </c>
      <c r="BR74">
        <f>IF(NOT(ISNUMBER($D74)),"",_xlfn.NORM.DIST(BR$1,$D74,$E74,TRUE)-_xlfn.NORM.DIST(BR$2,$D74,$E74,TRUE))</f>
        <v/>
      </c>
      <c r="BS74">
        <f>IF(NOT(ISNUMBER($D74)),"",_xlfn.NORM.DIST(BS$1,$D74,$E74,TRUE)-_xlfn.NORM.DIST(BS$2,$D74,$E74,TRUE))</f>
        <v/>
      </c>
      <c r="BT74">
        <f>IF(NOT(ISNUMBER($D74)),"",_xlfn.NORM.DIST(BT$1,$D74,$E74,TRUE)-_xlfn.NORM.DIST(BT$2,$D74,$E74,TRUE))</f>
        <v/>
      </c>
      <c r="BU74">
        <f>IF(NOT(ISNUMBER($D74)),"",_xlfn.NORM.DIST(BU$1,$D74,$E74,TRUE)-_xlfn.NORM.DIST(BU$2,$D74,$E74,TRUE))</f>
        <v/>
      </c>
      <c r="BV74">
        <f>IF(NOT(ISNUMBER($D74)),"",_xlfn.NORM.DIST(BV$1,$D74,$E74,TRUE)-_xlfn.NORM.DIST(BV$2,$D74,$E74,TRUE))</f>
        <v/>
      </c>
      <c r="BW74">
        <f>IF(NOT(ISNUMBER($D74)),"",_xlfn.NORM.DIST(BW$1,$D74,$E74,TRUE)-_xlfn.NORM.DIST(BW$2,$D74,$E74,TRUE))</f>
        <v/>
      </c>
      <c r="BX74">
        <f>IF(NOT(ISNUMBER($D74)),"",_xlfn.NORM.DIST(BX$1,$D74,$E74,TRUE)-_xlfn.NORM.DIST(BX$2,$D74,$E74,TRUE))</f>
        <v/>
      </c>
      <c r="BY74">
        <f>IF(NOT(ISNUMBER($D74)),"",_xlfn.NORM.DIST(BY$1,$D74,$E74,TRUE)-_xlfn.NORM.DIST(BY$2,$D74,$E74,TRUE))</f>
        <v/>
      </c>
      <c r="BZ74">
        <f>IF(NOT(ISNUMBER($D74)),"",_xlfn.NORM.DIST(BZ$1,$D74,$E74,TRUE)-_xlfn.NORM.DIST(BZ$2,$D74,$E74,TRUE))</f>
        <v/>
      </c>
      <c r="CA74">
        <f>IF(NOT(ISNUMBER($D74)),"",_xlfn.NORM.DIST(CA$1,$D74,$E74,TRUE)-_xlfn.NORM.DIST(CA$2,$D74,$E74,TRUE))</f>
        <v/>
      </c>
      <c r="CB74">
        <f>IF(NOT(ISNUMBER($D74)),"",_xlfn.NORM.DIST(CB$1,$D74,$E74,TRUE)-_xlfn.NORM.DIST(CB$2,$D74,$E74,TRUE))</f>
        <v/>
      </c>
      <c r="CC74">
        <f>IF(NOT(ISNUMBER($D74)),"",_xlfn.NORM.DIST(CC$1,$D74,$E74,TRUE)-_xlfn.NORM.DIST(CC$2,$D74,$E74,TRUE))</f>
        <v/>
      </c>
      <c r="CD74">
        <f>IF(NOT(ISNUMBER($D74)),"",_xlfn.NORM.DIST(CD$1,$D74,$E74,TRUE)-_xlfn.NORM.DIST(CD$2,$D74,$E74,TRUE))</f>
        <v/>
      </c>
      <c r="CE74">
        <f>IF(NOT(ISNUMBER($D74)),"",_xlfn.NORM.DIST(CE$1,$D74,$E74,TRUE)-_xlfn.NORM.DIST(CE$2,$D74,$E74,TRUE))</f>
        <v/>
      </c>
      <c r="CF74">
        <f>IF(NOT(ISNUMBER($D74)),"",_xlfn.NORM.DIST(CF$1,$D74,$E74,TRUE)-_xlfn.NORM.DIST(CF$2,$D74,$E74,TRUE))</f>
        <v/>
      </c>
      <c r="CG74">
        <f>IF(NOT(ISNUMBER($D74)),"",_xlfn.NORM.DIST(CG$1,$D74,$E74,TRUE)-_xlfn.NORM.DIST(CG$2,$D74,$E74,TRUE))</f>
        <v/>
      </c>
      <c r="CH74">
        <f>IF(NOT(ISNUMBER($D74)),"",_xlfn.NORM.DIST(CH$1,$D74,$E74,TRUE)-_xlfn.NORM.DIST(CH$2,$D74,$E74,TRUE))</f>
        <v/>
      </c>
      <c r="CI74">
        <f>IF(NOT(ISNUMBER($D74)),"",_xlfn.NORM.DIST(CI$1,$D74,$E74,TRUE)-_xlfn.NORM.DIST(CI$2,$D74,$E74,TRUE))</f>
        <v/>
      </c>
      <c r="CJ74">
        <f>IF(ISNUMBER($D74),SUM(F74:CI74),"")</f>
        <v/>
      </c>
    </row>
    <row r="75">
      <c r="A75">
        <f>economics!A74</f>
        <v/>
      </c>
      <c r="B75">
        <f>economics!B74</f>
        <v/>
      </c>
      <c r="C75">
        <f>economics!D74</f>
        <v/>
      </c>
      <c r="D75">
        <f>IF(ISNUMBER(economics!T74),economics!T74,"na")</f>
        <v/>
      </c>
      <c r="E75">
        <f>IF(ISNUMBER(D75),MAX(0.3*ABS(D75),0.000001),"na")</f>
        <v/>
      </c>
      <c r="F75">
        <f>IF(NOT(ISNUMBER($D75)),"",_xlfn.NORM.DIST(F$1,$D75,$E75,TRUE)-_xlfn.NORM.DIST(F$2,$D75,$E75,TRUE))</f>
        <v/>
      </c>
      <c r="G75">
        <f>IF(NOT(ISNUMBER($D75)),"",_xlfn.NORM.DIST(G$1,$D75,$E75,TRUE)-_xlfn.NORM.DIST(G$2,$D75,$E75,TRUE))</f>
        <v/>
      </c>
      <c r="H75">
        <f>IF(NOT(ISNUMBER($D75)),"",_xlfn.NORM.DIST(H$1,$D75,$E75,TRUE)-_xlfn.NORM.DIST(H$2,$D75,$E75,TRUE))</f>
        <v/>
      </c>
      <c r="I75">
        <f>IF(NOT(ISNUMBER($D75)),"",_xlfn.NORM.DIST(I$1,$D75,$E75,TRUE)-_xlfn.NORM.DIST(I$2,$D75,$E75,TRUE))</f>
        <v/>
      </c>
      <c r="J75">
        <f>IF(NOT(ISNUMBER($D75)),"",_xlfn.NORM.DIST(J$1,$D75,$E75,TRUE)-_xlfn.NORM.DIST(J$2,$D75,$E75,TRUE))</f>
        <v/>
      </c>
      <c r="K75">
        <f>IF(NOT(ISNUMBER($D75)),"",_xlfn.NORM.DIST(K$1,$D75,$E75,TRUE)-_xlfn.NORM.DIST(K$2,$D75,$E75,TRUE))</f>
        <v/>
      </c>
      <c r="L75">
        <f>IF(NOT(ISNUMBER($D75)),"",_xlfn.NORM.DIST(L$1,$D75,$E75,TRUE)-_xlfn.NORM.DIST(L$2,$D75,$E75,TRUE))</f>
        <v/>
      </c>
      <c r="M75">
        <f>IF(NOT(ISNUMBER($D75)),"",_xlfn.NORM.DIST(M$1,$D75,$E75,TRUE)-_xlfn.NORM.DIST(M$2,$D75,$E75,TRUE))</f>
        <v/>
      </c>
      <c r="N75">
        <f>IF(NOT(ISNUMBER($D75)),"",_xlfn.NORM.DIST(N$1,$D75,$E75,TRUE)-_xlfn.NORM.DIST(N$2,$D75,$E75,TRUE))</f>
        <v/>
      </c>
      <c r="O75">
        <f>IF(NOT(ISNUMBER($D75)),"",_xlfn.NORM.DIST(O$1,$D75,$E75,TRUE)-_xlfn.NORM.DIST(O$2,$D75,$E75,TRUE))</f>
        <v/>
      </c>
      <c r="P75">
        <f>IF(NOT(ISNUMBER($D75)),"",_xlfn.NORM.DIST(P$1,$D75,$E75,TRUE)-_xlfn.NORM.DIST(P$2,$D75,$E75,TRUE))</f>
        <v/>
      </c>
      <c r="Q75">
        <f>IF(NOT(ISNUMBER($D75)),"",_xlfn.NORM.DIST(Q$1,$D75,$E75,TRUE)-_xlfn.NORM.DIST(Q$2,$D75,$E75,TRUE))</f>
        <v/>
      </c>
      <c r="R75">
        <f>IF(NOT(ISNUMBER($D75)),"",_xlfn.NORM.DIST(R$1,$D75,$E75,TRUE)-_xlfn.NORM.DIST(R$2,$D75,$E75,TRUE))</f>
        <v/>
      </c>
      <c r="S75">
        <f>IF(NOT(ISNUMBER($D75)),"",_xlfn.NORM.DIST(S$1,$D75,$E75,TRUE)-_xlfn.NORM.DIST(S$2,$D75,$E75,TRUE))</f>
        <v/>
      </c>
      <c r="T75">
        <f>IF(NOT(ISNUMBER($D75)),"",_xlfn.NORM.DIST(T$1,$D75,$E75,TRUE)-_xlfn.NORM.DIST(T$2,$D75,$E75,TRUE))</f>
        <v/>
      </c>
      <c r="U75">
        <f>IF(NOT(ISNUMBER($D75)),"",_xlfn.NORM.DIST(U$1,$D75,$E75,TRUE)-_xlfn.NORM.DIST(U$2,$D75,$E75,TRUE))</f>
        <v/>
      </c>
      <c r="V75">
        <f>IF(NOT(ISNUMBER($D75)),"",_xlfn.NORM.DIST(V$1,$D75,$E75,TRUE)-_xlfn.NORM.DIST(V$2,$D75,$E75,TRUE))</f>
        <v/>
      </c>
      <c r="W75">
        <f>IF(NOT(ISNUMBER($D75)),"",_xlfn.NORM.DIST(W$1,$D75,$E75,TRUE)-_xlfn.NORM.DIST(W$2,$D75,$E75,TRUE))</f>
        <v/>
      </c>
      <c r="X75">
        <f>IF(NOT(ISNUMBER($D75)),"",_xlfn.NORM.DIST(X$1,$D75,$E75,TRUE)-_xlfn.NORM.DIST(X$2,$D75,$E75,TRUE))</f>
        <v/>
      </c>
      <c r="Y75">
        <f>IF(NOT(ISNUMBER($D75)),"",_xlfn.NORM.DIST(Y$1,$D75,$E75,TRUE)-_xlfn.NORM.DIST(Y$2,$D75,$E75,TRUE))</f>
        <v/>
      </c>
      <c r="Z75">
        <f>IF(NOT(ISNUMBER($D75)),"",_xlfn.NORM.DIST(Z$1,$D75,$E75,TRUE)-_xlfn.NORM.DIST(Z$2,$D75,$E75,TRUE))</f>
        <v/>
      </c>
      <c r="AA75">
        <f>IF(NOT(ISNUMBER($D75)),"",_xlfn.NORM.DIST(AA$1,$D75,$E75,TRUE)-_xlfn.NORM.DIST(AA$2,$D75,$E75,TRUE))</f>
        <v/>
      </c>
      <c r="AB75">
        <f>IF(NOT(ISNUMBER($D75)),"",_xlfn.NORM.DIST(AB$1,$D75,$E75,TRUE)-_xlfn.NORM.DIST(AB$2,$D75,$E75,TRUE))</f>
        <v/>
      </c>
      <c r="AC75">
        <f>IF(NOT(ISNUMBER($D75)),"",_xlfn.NORM.DIST(AC$1,$D75,$E75,TRUE)-_xlfn.NORM.DIST(AC$2,$D75,$E75,TRUE))</f>
        <v/>
      </c>
      <c r="AD75">
        <f>IF(NOT(ISNUMBER($D75)),"",_xlfn.NORM.DIST(AD$1,$D75,$E75,TRUE)-_xlfn.NORM.DIST(AD$2,$D75,$E75,TRUE))</f>
        <v/>
      </c>
      <c r="AE75">
        <f>IF(NOT(ISNUMBER($D75)),"",_xlfn.NORM.DIST(AE$1,$D75,$E75,TRUE)-_xlfn.NORM.DIST(AE$2,$D75,$E75,TRUE))</f>
        <v/>
      </c>
      <c r="AF75">
        <f>IF(NOT(ISNUMBER($D75)),"",_xlfn.NORM.DIST(AF$1,$D75,$E75,TRUE)-_xlfn.NORM.DIST(AF$2,$D75,$E75,TRUE))</f>
        <v/>
      </c>
      <c r="AG75">
        <f>IF(NOT(ISNUMBER($D75)),"",_xlfn.NORM.DIST(AG$1,$D75,$E75,TRUE)-_xlfn.NORM.DIST(AG$2,$D75,$E75,TRUE))</f>
        <v/>
      </c>
      <c r="AH75">
        <f>IF(NOT(ISNUMBER($D75)),"",_xlfn.NORM.DIST(AH$1,$D75,$E75,TRUE)-_xlfn.NORM.DIST(AH$2,$D75,$E75,TRUE))</f>
        <v/>
      </c>
      <c r="AI75">
        <f>IF(NOT(ISNUMBER($D75)),"",_xlfn.NORM.DIST(AI$1,$D75,$E75,TRUE)-_xlfn.NORM.DIST(AI$2,$D75,$E75,TRUE))</f>
        <v/>
      </c>
      <c r="AJ75">
        <f>IF(NOT(ISNUMBER($D75)),"",_xlfn.NORM.DIST(AJ$1,$D75,$E75,TRUE)-_xlfn.NORM.DIST(AJ$2,$D75,$E75,TRUE))</f>
        <v/>
      </c>
      <c r="AK75">
        <f>IF(NOT(ISNUMBER($D75)),"",_xlfn.NORM.DIST(AK$1,$D75,$E75,TRUE)-_xlfn.NORM.DIST(AK$2,$D75,$E75,TRUE))</f>
        <v/>
      </c>
      <c r="AL75">
        <f>IF(NOT(ISNUMBER($D75)),"",_xlfn.NORM.DIST(AL$1,$D75,$E75,TRUE)-_xlfn.NORM.DIST(AL$2,$D75,$E75,TRUE))</f>
        <v/>
      </c>
      <c r="AM75">
        <f>IF(NOT(ISNUMBER($D75)),"",_xlfn.NORM.DIST(AM$1,$D75,$E75,TRUE)-_xlfn.NORM.DIST(AM$2,$D75,$E75,TRUE))</f>
        <v/>
      </c>
      <c r="AN75">
        <f>IF(NOT(ISNUMBER($D75)),"",_xlfn.NORM.DIST(AN$1,$D75,$E75,TRUE)-_xlfn.NORM.DIST(AN$2,$D75,$E75,TRUE))</f>
        <v/>
      </c>
      <c r="AO75">
        <f>IF(NOT(ISNUMBER($D75)),"",_xlfn.NORM.DIST(AO$1,$D75,$E75,TRUE)-_xlfn.NORM.DIST(AO$2,$D75,$E75,TRUE))</f>
        <v/>
      </c>
      <c r="AP75">
        <f>IF(NOT(ISNUMBER($D75)),"",_xlfn.NORM.DIST(AP$1,$D75,$E75,TRUE)-_xlfn.NORM.DIST(AP$2,$D75,$E75,TRUE))</f>
        <v/>
      </c>
      <c r="AQ75">
        <f>IF(NOT(ISNUMBER($D75)),"",_xlfn.NORM.DIST(AQ$1,$D75,$E75,TRUE)-_xlfn.NORM.DIST(AQ$2,$D75,$E75,TRUE))</f>
        <v/>
      </c>
      <c r="AR75">
        <f>IF(NOT(ISNUMBER($D75)),"",_xlfn.NORM.DIST(AR$1,$D75,$E75,TRUE)-_xlfn.NORM.DIST(AR$2,$D75,$E75,TRUE))</f>
        <v/>
      </c>
      <c r="AS75">
        <f>IF(NOT(ISNUMBER($D75)),"",_xlfn.NORM.DIST(AS$1,$D75,$E75,TRUE)-_xlfn.NORM.DIST(AS$2,$D75,$E75,TRUE))</f>
        <v/>
      </c>
      <c r="AT75">
        <f>IF(NOT(ISNUMBER($D75)),"",_xlfn.NORM.DIST(AT$1,$D75,$E75,TRUE)-_xlfn.NORM.DIST(AT$2,$D75,$E75,TRUE))</f>
        <v/>
      </c>
      <c r="AU75">
        <f>IF(NOT(ISNUMBER($D75)),"",_xlfn.NORM.DIST(AU$1,$D75,$E75,TRUE)-_xlfn.NORM.DIST(AU$2,$D75,$E75,TRUE))</f>
        <v/>
      </c>
      <c r="AV75">
        <f>IF(NOT(ISNUMBER($D75)),"",_xlfn.NORM.DIST(AV$1,$D75,$E75,TRUE)-_xlfn.NORM.DIST(AV$2,$D75,$E75,TRUE))</f>
        <v/>
      </c>
      <c r="AW75">
        <f>IF(NOT(ISNUMBER($D75)),"",_xlfn.NORM.DIST(AW$1,$D75,$E75,TRUE)-_xlfn.NORM.DIST(AW$2,$D75,$E75,TRUE))</f>
        <v/>
      </c>
      <c r="AX75">
        <f>IF(NOT(ISNUMBER($D75)),"",_xlfn.NORM.DIST(AX$1,$D75,$E75,TRUE)-_xlfn.NORM.DIST(AX$2,$D75,$E75,TRUE))</f>
        <v/>
      </c>
      <c r="AY75">
        <f>IF(NOT(ISNUMBER($D75)),"",_xlfn.NORM.DIST(AY$1,$D75,$E75,TRUE)-_xlfn.NORM.DIST(AY$2,$D75,$E75,TRUE))</f>
        <v/>
      </c>
      <c r="AZ75">
        <f>IF(NOT(ISNUMBER($D75)),"",_xlfn.NORM.DIST(AZ$1,$D75,$E75,TRUE)-_xlfn.NORM.DIST(AZ$2,$D75,$E75,TRUE))</f>
        <v/>
      </c>
      <c r="BA75">
        <f>IF(NOT(ISNUMBER($D75)),"",_xlfn.NORM.DIST(BA$1,$D75,$E75,TRUE)-_xlfn.NORM.DIST(BA$2,$D75,$E75,TRUE))</f>
        <v/>
      </c>
      <c r="BB75">
        <f>IF(NOT(ISNUMBER($D75)),"",_xlfn.NORM.DIST(BB$1,$D75,$E75,TRUE)-_xlfn.NORM.DIST(BB$2,$D75,$E75,TRUE))</f>
        <v/>
      </c>
      <c r="BC75">
        <f>IF(NOT(ISNUMBER($D75)),"",_xlfn.NORM.DIST(BC$1,$D75,$E75,TRUE)-_xlfn.NORM.DIST(BC$2,$D75,$E75,TRUE))</f>
        <v/>
      </c>
      <c r="BD75">
        <f>IF(NOT(ISNUMBER($D75)),"",_xlfn.NORM.DIST(BD$1,$D75,$E75,TRUE)-_xlfn.NORM.DIST(BD$2,$D75,$E75,TRUE))</f>
        <v/>
      </c>
      <c r="BE75">
        <f>IF(NOT(ISNUMBER($D75)),"",_xlfn.NORM.DIST(BE$1,$D75,$E75,TRUE)-_xlfn.NORM.DIST(BE$2,$D75,$E75,TRUE))</f>
        <v/>
      </c>
      <c r="BF75">
        <f>IF(NOT(ISNUMBER($D75)),"",_xlfn.NORM.DIST(BF$1,$D75,$E75,TRUE)-_xlfn.NORM.DIST(BF$2,$D75,$E75,TRUE))</f>
        <v/>
      </c>
      <c r="BG75">
        <f>IF(NOT(ISNUMBER($D75)),"",_xlfn.NORM.DIST(BG$1,$D75,$E75,TRUE)-_xlfn.NORM.DIST(BG$2,$D75,$E75,TRUE))</f>
        <v/>
      </c>
      <c r="BH75">
        <f>IF(NOT(ISNUMBER($D75)),"",_xlfn.NORM.DIST(BH$1,$D75,$E75,TRUE)-_xlfn.NORM.DIST(BH$2,$D75,$E75,TRUE))</f>
        <v/>
      </c>
      <c r="BI75">
        <f>IF(NOT(ISNUMBER($D75)),"",_xlfn.NORM.DIST(BI$1,$D75,$E75,TRUE)-_xlfn.NORM.DIST(BI$2,$D75,$E75,TRUE))</f>
        <v/>
      </c>
      <c r="BJ75">
        <f>IF(NOT(ISNUMBER($D75)),"",_xlfn.NORM.DIST(BJ$1,$D75,$E75,TRUE)-_xlfn.NORM.DIST(BJ$2,$D75,$E75,TRUE))</f>
        <v/>
      </c>
      <c r="BK75">
        <f>IF(NOT(ISNUMBER($D75)),"",_xlfn.NORM.DIST(BK$1,$D75,$E75,TRUE)-_xlfn.NORM.DIST(BK$2,$D75,$E75,TRUE))</f>
        <v/>
      </c>
      <c r="BL75">
        <f>IF(NOT(ISNUMBER($D75)),"",_xlfn.NORM.DIST(BL$1,$D75,$E75,TRUE)-_xlfn.NORM.DIST(BL$2,$D75,$E75,TRUE))</f>
        <v/>
      </c>
      <c r="BM75">
        <f>IF(NOT(ISNUMBER($D75)),"",_xlfn.NORM.DIST(BM$1,$D75,$E75,TRUE)-_xlfn.NORM.DIST(BM$2,$D75,$E75,TRUE))</f>
        <v/>
      </c>
      <c r="BN75">
        <f>IF(NOT(ISNUMBER($D75)),"",_xlfn.NORM.DIST(BN$1,$D75,$E75,TRUE)-_xlfn.NORM.DIST(BN$2,$D75,$E75,TRUE))</f>
        <v/>
      </c>
      <c r="BO75">
        <f>IF(NOT(ISNUMBER($D75)),"",_xlfn.NORM.DIST(BO$1,$D75,$E75,TRUE)-_xlfn.NORM.DIST(BO$2,$D75,$E75,TRUE))</f>
        <v/>
      </c>
      <c r="BP75">
        <f>IF(NOT(ISNUMBER($D75)),"",_xlfn.NORM.DIST(BP$1,$D75,$E75,TRUE)-_xlfn.NORM.DIST(BP$2,$D75,$E75,TRUE))</f>
        <v/>
      </c>
      <c r="BQ75">
        <f>IF(NOT(ISNUMBER($D75)),"",_xlfn.NORM.DIST(BQ$1,$D75,$E75,TRUE)-_xlfn.NORM.DIST(BQ$2,$D75,$E75,TRUE))</f>
        <v/>
      </c>
      <c r="BR75">
        <f>IF(NOT(ISNUMBER($D75)),"",_xlfn.NORM.DIST(BR$1,$D75,$E75,TRUE)-_xlfn.NORM.DIST(BR$2,$D75,$E75,TRUE))</f>
        <v/>
      </c>
      <c r="BS75">
        <f>IF(NOT(ISNUMBER($D75)),"",_xlfn.NORM.DIST(BS$1,$D75,$E75,TRUE)-_xlfn.NORM.DIST(BS$2,$D75,$E75,TRUE))</f>
        <v/>
      </c>
      <c r="BT75">
        <f>IF(NOT(ISNUMBER($D75)),"",_xlfn.NORM.DIST(BT$1,$D75,$E75,TRUE)-_xlfn.NORM.DIST(BT$2,$D75,$E75,TRUE))</f>
        <v/>
      </c>
      <c r="BU75">
        <f>IF(NOT(ISNUMBER($D75)),"",_xlfn.NORM.DIST(BU$1,$D75,$E75,TRUE)-_xlfn.NORM.DIST(BU$2,$D75,$E75,TRUE))</f>
        <v/>
      </c>
      <c r="BV75">
        <f>IF(NOT(ISNUMBER($D75)),"",_xlfn.NORM.DIST(BV$1,$D75,$E75,TRUE)-_xlfn.NORM.DIST(BV$2,$D75,$E75,TRUE))</f>
        <v/>
      </c>
      <c r="BW75">
        <f>IF(NOT(ISNUMBER($D75)),"",_xlfn.NORM.DIST(BW$1,$D75,$E75,TRUE)-_xlfn.NORM.DIST(BW$2,$D75,$E75,TRUE))</f>
        <v/>
      </c>
      <c r="BX75">
        <f>IF(NOT(ISNUMBER($D75)),"",_xlfn.NORM.DIST(BX$1,$D75,$E75,TRUE)-_xlfn.NORM.DIST(BX$2,$D75,$E75,TRUE))</f>
        <v/>
      </c>
      <c r="BY75">
        <f>IF(NOT(ISNUMBER($D75)),"",_xlfn.NORM.DIST(BY$1,$D75,$E75,TRUE)-_xlfn.NORM.DIST(BY$2,$D75,$E75,TRUE))</f>
        <v/>
      </c>
      <c r="BZ75">
        <f>IF(NOT(ISNUMBER($D75)),"",_xlfn.NORM.DIST(BZ$1,$D75,$E75,TRUE)-_xlfn.NORM.DIST(BZ$2,$D75,$E75,TRUE))</f>
        <v/>
      </c>
      <c r="CA75">
        <f>IF(NOT(ISNUMBER($D75)),"",_xlfn.NORM.DIST(CA$1,$D75,$E75,TRUE)-_xlfn.NORM.DIST(CA$2,$D75,$E75,TRUE))</f>
        <v/>
      </c>
      <c r="CB75">
        <f>IF(NOT(ISNUMBER($D75)),"",_xlfn.NORM.DIST(CB$1,$D75,$E75,TRUE)-_xlfn.NORM.DIST(CB$2,$D75,$E75,TRUE))</f>
        <v/>
      </c>
      <c r="CC75">
        <f>IF(NOT(ISNUMBER($D75)),"",_xlfn.NORM.DIST(CC$1,$D75,$E75,TRUE)-_xlfn.NORM.DIST(CC$2,$D75,$E75,TRUE))</f>
        <v/>
      </c>
      <c r="CD75">
        <f>IF(NOT(ISNUMBER($D75)),"",_xlfn.NORM.DIST(CD$1,$D75,$E75,TRUE)-_xlfn.NORM.DIST(CD$2,$D75,$E75,TRUE))</f>
        <v/>
      </c>
      <c r="CE75">
        <f>IF(NOT(ISNUMBER($D75)),"",_xlfn.NORM.DIST(CE$1,$D75,$E75,TRUE)-_xlfn.NORM.DIST(CE$2,$D75,$E75,TRUE))</f>
        <v/>
      </c>
      <c r="CF75">
        <f>IF(NOT(ISNUMBER($D75)),"",_xlfn.NORM.DIST(CF$1,$D75,$E75,TRUE)-_xlfn.NORM.DIST(CF$2,$D75,$E75,TRUE))</f>
        <v/>
      </c>
      <c r="CG75">
        <f>IF(NOT(ISNUMBER($D75)),"",_xlfn.NORM.DIST(CG$1,$D75,$E75,TRUE)-_xlfn.NORM.DIST(CG$2,$D75,$E75,TRUE))</f>
        <v/>
      </c>
      <c r="CH75">
        <f>IF(NOT(ISNUMBER($D75)),"",_xlfn.NORM.DIST(CH$1,$D75,$E75,TRUE)-_xlfn.NORM.DIST(CH$2,$D75,$E75,TRUE))</f>
        <v/>
      </c>
      <c r="CI75">
        <f>IF(NOT(ISNUMBER($D75)),"",_xlfn.NORM.DIST(CI$1,$D75,$E75,TRUE)-_xlfn.NORM.DIST(CI$2,$D75,$E75,TRUE))</f>
        <v/>
      </c>
      <c r="CJ75">
        <f>IF(ISNUMBER($D75),SUM(F75:CI75),"")</f>
        <v/>
      </c>
    </row>
    <row r="76">
      <c r="A76">
        <f>economics!A75</f>
        <v/>
      </c>
      <c r="B76">
        <f>economics!B75</f>
        <v/>
      </c>
      <c r="C76">
        <f>economics!D75</f>
        <v/>
      </c>
      <c r="D76">
        <f>IF(ISNUMBER(economics!T75),economics!T75,"na")</f>
        <v/>
      </c>
      <c r="E76">
        <f>IF(ISNUMBER(D76),MAX(0.3*ABS(D76),0.000001),"na")</f>
        <v/>
      </c>
      <c r="F76">
        <f>IF(NOT(ISNUMBER($D76)),"",_xlfn.NORM.DIST(F$1,$D76,$E76,TRUE)-_xlfn.NORM.DIST(F$2,$D76,$E76,TRUE))</f>
        <v/>
      </c>
      <c r="G76">
        <f>IF(NOT(ISNUMBER($D76)),"",_xlfn.NORM.DIST(G$1,$D76,$E76,TRUE)-_xlfn.NORM.DIST(G$2,$D76,$E76,TRUE))</f>
        <v/>
      </c>
      <c r="H76">
        <f>IF(NOT(ISNUMBER($D76)),"",_xlfn.NORM.DIST(H$1,$D76,$E76,TRUE)-_xlfn.NORM.DIST(H$2,$D76,$E76,TRUE))</f>
        <v/>
      </c>
      <c r="I76">
        <f>IF(NOT(ISNUMBER($D76)),"",_xlfn.NORM.DIST(I$1,$D76,$E76,TRUE)-_xlfn.NORM.DIST(I$2,$D76,$E76,TRUE))</f>
        <v/>
      </c>
      <c r="J76">
        <f>IF(NOT(ISNUMBER($D76)),"",_xlfn.NORM.DIST(J$1,$D76,$E76,TRUE)-_xlfn.NORM.DIST(J$2,$D76,$E76,TRUE))</f>
        <v/>
      </c>
      <c r="K76">
        <f>IF(NOT(ISNUMBER($D76)),"",_xlfn.NORM.DIST(K$1,$D76,$E76,TRUE)-_xlfn.NORM.DIST(K$2,$D76,$E76,TRUE))</f>
        <v/>
      </c>
      <c r="L76">
        <f>IF(NOT(ISNUMBER($D76)),"",_xlfn.NORM.DIST(L$1,$D76,$E76,TRUE)-_xlfn.NORM.DIST(L$2,$D76,$E76,TRUE))</f>
        <v/>
      </c>
      <c r="M76">
        <f>IF(NOT(ISNUMBER($D76)),"",_xlfn.NORM.DIST(M$1,$D76,$E76,TRUE)-_xlfn.NORM.DIST(M$2,$D76,$E76,TRUE))</f>
        <v/>
      </c>
      <c r="N76">
        <f>IF(NOT(ISNUMBER($D76)),"",_xlfn.NORM.DIST(N$1,$D76,$E76,TRUE)-_xlfn.NORM.DIST(N$2,$D76,$E76,TRUE))</f>
        <v/>
      </c>
      <c r="O76">
        <f>IF(NOT(ISNUMBER($D76)),"",_xlfn.NORM.DIST(O$1,$D76,$E76,TRUE)-_xlfn.NORM.DIST(O$2,$D76,$E76,TRUE))</f>
        <v/>
      </c>
      <c r="P76">
        <f>IF(NOT(ISNUMBER($D76)),"",_xlfn.NORM.DIST(P$1,$D76,$E76,TRUE)-_xlfn.NORM.DIST(P$2,$D76,$E76,TRUE))</f>
        <v/>
      </c>
      <c r="Q76">
        <f>IF(NOT(ISNUMBER($D76)),"",_xlfn.NORM.DIST(Q$1,$D76,$E76,TRUE)-_xlfn.NORM.DIST(Q$2,$D76,$E76,TRUE))</f>
        <v/>
      </c>
      <c r="R76">
        <f>IF(NOT(ISNUMBER($D76)),"",_xlfn.NORM.DIST(R$1,$D76,$E76,TRUE)-_xlfn.NORM.DIST(R$2,$D76,$E76,TRUE))</f>
        <v/>
      </c>
      <c r="S76">
        <f>IF(NOT(ISNUMBER($D76)),"",_xlfn.NORM.DIST(S$1,$D76,$E76,TRUE)-_xlfn.NORM.DIST(S$2,$D76,$E76,TRUE))</f>
        <v/>
      </c>
      <c r="T76">
        <f>IF(NOT(ISNUMBER($D76)),"",_xlfn.NORM.DIST(T$1,$D76,$E76,TRUE)-_xlfn.NORM.DIST(T$2,$D76,$E76,TRUE))</f>
        <v/>
      </c>
      <c r="U76">
        <f>IF(NOT(ISNUMBER($D76)),"",_xlfn.NORM.DIST(U$1,$D76,$E76,TRUE)-_xlfn.NORM.DIST(U$2,$D76,$E76,TRUE))</f>
        <v/>
      </c>
      <c r="V76">
        <f>IF(NOT(ISNUMBER($D76)),"",_xlfn.NORM.DIST(V$1,$D76,$E76,TRUE)-_xlfn.NORM.DIST(V$2,$D76,$E76,TRUE))</f>
        <v/>
      </c>
      <c r="W76">
        <f>IF(NOT(ISNUMBER($D76)),"",_xlfn.NORM.DIST(W$1,$D76,$E76,TRUE)-_xlfn.NORM.DIST(W$2,$D76,$E76,TRUE))</f>
        <v/>
      </c>
      <c r="X76">
        <f>IF(NOT(ISNUMBER($D76)),"",_xlfn.NORM.DIST(X$1,$D76,$E76,TRUE)-_xlfn.NORM.DIST(X$2,$D76,$E76,TRUE))</f>
        <v/>
      </c>
      <c r="Y76">
        <f>IF(NOT(ISNUMBER($D76)),"",_xlfn.NORM.DIST(Y$1,$D76,$E76,TRUE)-_xlfn.NORM.DIST(Y$2,$D76,$E76,TRUE))</f>
        <v/>
      </c>
      <c r="Z76">
        <f>IF(NOT(ISNUMBER($D76)),"",_xlfn.NORM.DIST(Z$1,$D76,$E76,TRUE)-_xlfn.NORM.DIST(Z$2,$D76,$E76,TRUE))</f>
        <v/>
      </c>
      <c r="AA76">
        <f>IF(NOT(ISNUMBER($D76)),"",_xlfn.NORM.DIST(AA$1,$D76,$E76,TRUE)-_xlfn.NORM.DIST(AA$2,$D76,$E76,TRUE))</f>
        <v/>
      </c>
      <c r="AB76">
        <f>IF(NOT(ISNUMBER($D76)),"",_xlfn.NORM.DIST(AB$1,$D76,$E76,TRUE)-_xlfn.NORM.DIST(AB$2,$D76,$E76,TRUE))</f>
        <v/>
      </c>
      <c r="AC76">
        <f>IF(NOT(ISNUMBER($D76)),"",_xlfn.NORM.DIST(AC$1,$D76,$E76,TRUE)-_xlfn.NORM.DIST(AC$2,$D76,$E76,TRUE))</f>
        <v/>
      </c>
      <c r="AD76">
        <f>IF(NOT(ISNUMBER($D76)),"",_xlfn.NORM.DIST(AD$1,$D76,$E76,TRUE)-_xlfn.NORM.DIST(AD$2,$D76,$E76,TRUE))</f>
        <v/>
      </c>
      <c r="AE76">
        <f>IF(NOT(ISNUMBER($D76)),"",_xlfn.NORM.DIST(AE$1,$D76,$E76,TRUE)-_xlfn.NORM.DIST(AE$2,$D76,$E76,TRUE))</f>
        <v/>
      </c>
      <c r="AF76">
        <f>IF(NOT(ISNUMBER($D76)),"",_xlfn.NORM.DIST(AF$1,$D76,$E76,TRUE)-_xlfn.NORM.DIST(AF$2,$D76,$E76,TRUE))</f>
        <v/>
      </c>
      <c r="AG76">
        <f>IF(NOT(ISNUMBER($D76)),"",_xlfn.NORM.DIST(AG$1,$D76,$E76,TRUE)-_xlfn.NORM.DIST(AG$2,$D76,$E76,TRUE))</f>
        <v/>
      </c>
      <c r="AH76">
        <f>IF(NOT(ISNUMBER($D76)),"",_xlfn.NORM.DIST(AH$1,$D76,$E76,TRUE)-_xlfn.NORM.DIST(AH$2,$D76,$E76,TRUE))</f>
        <v/>
      </c>
      <c r="AI76">
        <f>IF(NOT(ISNUMBER($D76)),"",_xlfn.NORM.DIST(AI$1,$D76,$E76,TRUE)-_xlfn.NORM.DIST(AI$2,$D76,$E76,TRUE))</f>
        <v/>
      </c>
      <c r="AJ76">
        <f>IF(NOT(ISNUMBER($D76)),"",_xlfn.NORM.DIST(AJ$1,$D76,$E76,TRUE)-_xlfn.NORM.DIST(AJ$2,$D76,$E76,TRUE))</f>
        <v/>
      </c>
      <c r="AK76">
        <f>IF(NOT(ISNUMBER($D76)),"",_xlfn.NORM.DIST(AK$1,$D76,$E76,TRUE)-_xlfn.NORM.DIST(AK$2,$D76,$E76,TRUE))</f>
        <v/>
      </c>
      <c r="AL76">
        <f>IF(NOT(ISNUMBER($D76)),"",_xlfn.NORM.DIST(AL$1,$D76,$E76,TRUE)-_xlfn.NORM.DIST(AL$2,$D76,$E76,TRUE))</f>
        <v/>
      </c>
      <c r="AM76">
        <f>IF(NOT(ISNUMBER($D76)),"",_xlfn.NORM.DIST(AM$1,$D76,$E76,TRUE)-_xlfn.NORM.DIST(AM$2,$D76,$E76,TRUE))</f>
        <v/>
      </c>
      <c r="AN76">
        <f>IF(NOT(ISNUMBER($D76)),"",_xlfn.NORM.DIST(AN$1,$D76,$E76,TRUE)-_xlfn.NORM.DIST(AN$2,$D76,$E76,TRUE))</f>
        <v/>
      </c>
      <c r="AO76">
        <f>IF(NOT(ISNUMBER($D76)),"",_xlfn.NORM.DIST(AO$1,$D76,$E76,TRUE)-_xlfn.NORM.DIST(AO$2,$D76,$E76,TRUE))</f>
        <v/>
      </c>
      <c r="AP76">
        <f>IF(NOT(ISNUMBER($D76)),"",_xlfn.NORM.DIST(AP$1,$D76,$E76,TRUE)-_xlfn.NORM.DIST(AP$2,$D76,$E76,TRUE))</f>
        <v/>
      </c>
      <c r="AQ76">
        <f>IF(NOT(ISNUMBER($D76)),"",_xlfn.NORM.DIST(AQ$1,$D76,$E76,TRUE)-_xlfn.NORM.DIST(AQ$2,$D76,$E76,TRUE))</f>
        <v/>
      </c>
      <c r="AR76">
        <f>IF(NOT(ISNUMBER($D76)),"",_xlfn.NORM.DIST(AR$1,$D76,$E76,TRUE)-_xlfn.NORM.DIST(AR$2,$D76,$E76,TRUE))</f>
        <v/>
      </c>
      <c r="AS76">
        <f>IF(NOT(ISNUMBER($D76)),"",_xlfn.NORM.DIST(AS$1,$D76,$E76,TRUE)-_xlfn.NORM.DIST(AS$2,$D76,$E76,TRUE))</f>
        <v/>
      </c>
      <c r="AT76">
        <f>IF(NOT(ISNUMBER($D76)),"",_xlfn.NORM.DIST(AT$1,$D76,$E76,TRUE)-_xlfn.NORM.DIST(AT$2,$D76,$E76,TRUE))</f>
        <v/>
      </c>
      <c r="AU76">
        <f>IF(NOT(ISNUMBER($D76)),"",_xlfn.NORM.DIST(AU$1,$D76,$E76,TRUE)-_xlfn.NORM.DIST(AU$2,$D76,$E76,TRUE))</f>
        <v/>
      </c>
      <c r="AV76">
        <f>IF(NOT(ISNUMBER($D76)),"",_xlfn.NORM.DIST(AV$1,$D76,$E76,TRUE)-_xlfn.NORM.DIST(AV$2,$D76,$E76,TRUE))</f>
        <v/>
      </c>
      <c r="AW76">
        <f>IF(NOT(ISNUMBER($D76)),"",_xlfn.NORM.DIST(AW$1,$D76,$E76,TRUE)-_xlfn.NORM.DIST(AW$2,$D76,$E76,TRUE))</f>
        <v/>
      </c>
      <c r="AX76">
        <f>IF(NOT(ISNUMBER($D76)),"",_xlfn.NORM.DIST(AX$1,$D76,$E76,TRUE)-_xlfn.NORM.DIST(AX$2,$D76,$E76,TRUE))</f>
        <v/>
      </c>
      <c r="AY76">
        <f>IF(NOT(ISNUMBER($D76)),"",_xlfn.NORM.DIST(AY$1,$D76,$E76,TRUE)-_xlfn.NORM.DIST(AY$2,$D76,$E76,TRUE))</f>
        <v/>
      </c>
      <c r="AZ76">
        <f>IF(NOT(ISNUMBER($D76)),"",_xlfn.NORM.DIST(AZ$1,$D76,$E76,TRUE)-_xlfn.NORM.DIST(AZ$2,$D76,$E76,TRUE))</f>
        <v/>
      </c>
      <c r="BA76">
        <f>IF(NOT(ISNUMBER($D76)),"",_xlfn.NORM.DIST(BA$1,$D76,$E76,TRUE)-_xlfn.NORM.DIST(BA$2,$D76,$E76,TRUE))</f>
        <v/>
      </c>
      <c r="BB76">
        <f>IF(NOT(ISNUMBER($D76)),"",_xlfn.NORM.DIST(BB$1,$D76,$E76,TRUE)-_xlfn.NORM.DIST(BB$2,$D76,$E76,TRUE))</f>
        <v/>
      </c>
      <c r="BC76">
        <f>IF(NOT(ISNUMBER($D76)),"",_xlfn.NORM.DIST(BC$1,$D76,$E76,TRUE)-_xlfn.NORM.DIST(BC$2,$D76,$E76,TRUE))</f>
        <v/>
      </c>
      <c r="BD76">
        <f>IF(NOT(ISNUMBER($D76)),"",_xlfn.NORM.DIST(BD$1,$D76,$E76,TRUE)-_xlfn.NORM.DIST(BD$2,$D76,$E76,TRUE))</f>
        <v/>
      </c>
      <c r="BE76">
        <f>IF(NOT(ISNUMBER($D76)),"",_xlfn.NORM.DIST(BE$1,$D76,$E76,TRUE)-_xlfn.NORM.DIST(BE$2,$D76,$E76,TRUE))</f>
        <v/>
      </c>
      <c r="BF76">
        <f>IF(NOT(ISNUMBER($D76)),"",_xlfn.NORM.DIST(BF$1,$D76,$E76,TRUE)-_xlfn.NORM.DIST(BF$2,$D76,$E76,TRUE))</f>
        <v/>
      </c>
      <c r="BG76">
        <f>IF(NOT(ISNUMBER($D76)),"",_xlfn.NORM.DIST(BG$1,$D76,$E76,TRUE)-_xlfn.NORM.DIST(BG$2,$D76,$E76,TRUE))</f>
        <v/>
      </c>
      <c r="BH76">
        <f>IF(NOT(ISNUMBER($D76)),"",_xlfn.NORM.DIST(BH$1,$D76,$E76,TRUE)-_xlfn.NORM.DIST(BH$2,$D76,$E76,TRUE))</f>
        <v/>
      </c>
      <c r="BI76">
        <f>IF(NOT(ISNUMBER($D76)),"",_xlfn.NORM.DIST(BI$1,$D76,$E76,TRUE)-_xlfn.NORM.DIST(BI$2,$D76,$E76,TRUE))</f>
        <v/>
      </c>
      <c r="BJ76">
        <f>IF(NOT(ISNUMBER($D76)),"",_xlfn.NORM.DIST(BJ$1,$D76,$E76,TRUE)-_xlfn.NORM.DIST(BJ$2,$D76,$E76,TRUE))</f>
        <v/>
      </c>
      <c r="BK76">
        <f>IF(NOT(ISNUMBER($D76)),"",_xlfn.NORM.DIST(BK$1,$D76,$E76,TRUE)-_xlfn.NORM.DIST(BK$2,$D76,$E76,TRUE))</f>
        <v/>
      </c>
      <c r="BL76">
        <f>IF(NOT(ISNUMBER($D76)),"",_xlfn.NORM.DIST(BL$1,$D76,$E76,TRUE)-_xlfn.NORM.DIST(BL$2,$D76,$E76,TRUE))</f>
        <v/>
      </c>
      <c r="BM76">
        <f>IF(NOT(ISNUMBER($D76)),"",_xlfn.NORM.DIST(BM$1,$D76,$E76,TRUE)-_xlfn.NORM.DIST(BM$2,$D76,$E76,TRUE))</f>
        <v/>
      </c>
      <c r="BN76">
        <f>IF(NOT(ISNUMBER($D76)),"",_xlfn.NORM.DIST(BN$1,$D76,$E76,TRUE)-_xlfn.NORM.DIST(BN$2,$D76,$E76,TRUE))</f>
        <v/>
      </c>
      <c r="BO76">
        <f>IF(NOT(ISNUMBER($D76)),"",_xlfn.NORM.DIST(BO$1,$D76,$E76,TRUE)-_xlfn.NORM.DIST(BO$2,$D76,$E76,TRUE))</f>
        <v/>
      </c>
      <c r="BP76">
        <f>IF(NOT(ISNUMBER($D76)),"",_xlfn.NORM.DIST(BP$1,$D76,$E76,TRUE)-_xlfn.NORM.DIST(BP$2,$D76,$E76,TRUE))</f>
        <v/>
      </c>
      <c r="BQ76">
        <f>IF(NOT(ISNUMBER($D76)),"",_xlfn.NORM.DIST(BQ$1,$D76,$E76,TRUE)-_xlfn.NORM.DIST(BQ$2,$D76,$E76,TRUE))</f>
        <v/>
      </c>
      <c r="BR76">
        <f>IF(NOT(ISNUMBER($D76)),"",_xlfn.NORM.DIST(BR$1,$D76,$E76,TRUE)-_xlfn.NORM.DIST(BR$2,$D76,$E76,TRUE))</f>
        <v/>
      </c>
      <c r="BS76">
        <f>IF(NOT(ISNUMBER($D76)),"",_xlfn.NORM.DIST(BS$1,$D76,$E76,TRUE)-_xlfn.NORM.DIST(BS$2,$D76,$E76,TRUE))</f>
        <v/>
      </c>
      <c r="BT76">
        <f>IF(NOT(ISNUMBER($D76)),"",_xlfn.NORM.DIST(BT$1,$D76,$E76,TRUE)-_xlfn.NORM.DIST(BT$2,$D76,$E76,TRUE))</f>
        <v/>
      </c>
      <c r="BU76">
        <f>IF(NOT(ISNUMBER($D76)),"",_xlfn.NORM.DIST(BU$1,$D76,$E76,TRUE)-_xlfn.NORM.DIST(BU$2,$D76,$E76,TRUE))</f>
        <v/>
      </c>
      <c r="BV76">
        <f>IF(NOT(ISNUMBER($D76)),"",_xlfn.NORM.DIST(BV$1,$D76,$E76,TRUE)-_xlfn.NORM.DIST(BV$2,$D76,$E76,TRUE))</f>
        <v/>
      </c>
      <c r="BW76">
        <f>IF(NOT(ISNUMBER($D76)),"",_xlfn.NORM.DIST(BW$1,$D76,$E76,TRUE)-_xlfn.NORM.DIST(BW$2,$D76,$E76,TRUE))</f>
        <v/>
      </c>
      <c r="BX76">
        <f>IF(NOT(ISNUMBER($D76)),"",_xlfn.NORM.DIST(BX$1,$D76,$E76,TRUE)-_xlfn.NORM.DIST(BX$2,$D76,$E76,TRUE))</f>
        <v/>
      </c>
      <c r="BY76">
        <f>IF(NOT(ISNUMBER($D76)),"",_xlfn.NORM.DIST(BY$1,$D76,$E76,TRUE)-_xlfn.NORM.DIST(BY$2,$D76,$E76,TRUE))</f>
        <v/>
      </c>
      <c r="BZ76">
        <f>IF(NOT(ISNUMBER($D76)),"",_xlfn.NORM.DIST(BZ$1,$D76,$E76,TRUE)-_xlfn.NORM.DIST(BZ$2,$D76,$E76,TRUE))</f>
        <v/>
      </c>
      <c r="CA76">
        <f>IF(NOT(ISNUMBER($D76)),"",_xlfn.NORM.DIST(CA$1,$D76,$E76,TRUE)-_xlfn.NORM.DIST(CA$2,$D76,$E76,TRUE))</f>
        <v/>
      </c>
      <c r="CB76">
        <f>IF(NOT(ISNUMBER($D76)),"",_xlfn.NORM.DIST(CB$1,$D76,$E76,TRUE)-_xlfn.NORM.DIST(CB$2,$D76,$E76,TRUE))</f>
        <v/>
      </c>
      <c r="CC76">
        <f>IF(NOT(ISNUMBER($D76)),"",_xlfn.NORM.DIST(CC$1,$D76,$E76,TRUE)-_xlfn.NORM.DIST(CC$2,$D76,$E76,TRUE))</f>
        <v/>
      </c>
      <c r="CD76">
        <f>IF(NOT(ISNUMBER($D76)),"",_xlfn.NORM.DIST(CD$1,$D76,$E76,TRUE)-_xlfn.NORM.DIST(CD$2,$D76,$E76,TRUE))</f>
        <v/>
      </c>
      <c r="CE76">
        <f>IF(NOT(ISNUMBER($D76)),"",_xlfn.NORM.DIST(CE$1,$D76,$E76,TRUE)-_xlfn.NORM.DIST(CE$2,$D76,$E76,TRUE))</f>
        <v/>
      </c>
      <c r="CF76">
        <f>IF(NOT(ISNUMBER($D76)),"",_xlfn.NORM.DIST(CF$1,$D76,$E76,TRUE)-_xlfn.NORM.DIST(CF$2,$D76,$E76,TRUE))</f>
        <v/>
      </c>
      <c r="CG76">
        <f>IF(NOT(ISNUMBER($D76)),"",_xlfn.NORM.DIST(CG$1,$D76,$E76,TRUE)-_xlfn.NORM.DIST(CG$2,$D76,$E76,TRUE))</f>
        <v/>
      </c>
      <c r="CH76">
        <f>IF(NOT(ISNUMBER($D76)),"",_xlfn.NORM.DIST(CH$1,$D76,$E76,TRUE)-_xlfn.NORM.DIST(CH$2,$D76,$E76,TRUE))</f>
        <v/>
      </c>
      <c r="CI76">
        <f>IF(NOT(ISNUMBER($D76)),"",_xlfn.NORM.DIST(CI$1,$D76,$E76,TRUE)-_xlfn.NORM.DIST(CI$2,$D76,$E76,TRUE))</f>
        <v/>
      </c>
      <c r="CJ76">
        <f>IF(ISNUMBER($D76),SUM(F76:CI76),"")</f>
        <v/>
      </c>
    </row>
    <row r="77">
      <c r="A77">
        <f>economics!A76</f>
        <v/>
      </c>
      <c r="B77">
        <f>economics!B76</f>
        <v/>
      </c>
      <c r="C77">
        <f>economics!D76</f>
        <v/>
      </c>
      <c r="D77">
        <f>IF(ISNUMBER(economics!T76),economics!T76,"na")</f>
        <v/>
      </c>
      <c r="E77">
        <f>IF(ISNUMBER(D77),MAX(0.3*ABS(D77),0.000001),"na")</f>
        <v/>
      </c>
      <c r="F77">
        <f>IF(NOT(ISNUMBER($D77)),"",_xlfn.NORM.DIST(F$1,$D77,$E77,TRUE)-_xlfn.NORM.DIST(F$2,$D77,$E77,TRUE))</f>
        <v/>
      </c>
      <c r="G77">
        <f>IF(NOT(ISNUMBER($D77)),"",_xlfn.NORM.DIST(G$1,$D77,$E77,TRUE)-_xlfn.NORM.DIST(G$2,$D77,$E77,TRUE))</f>
        <v/>
      </c>
      <c r="H77">
        <f>IF(NOT(ISNUMBER($D77)),"",_xlfn.NORM.DIST(H$1,$D77,$E77,TRUE)-_xlfn.NORM.DIST(H$2,$D77,$E77,TRUE))</f>
        <v/>
      </c>
      <c r="I77">
        <f>IF(NOT(ISNUMBER($D77)),"",_xlfn.NORM.DIST(I$1,$D77,$E77,TRUE)-_xlfn.NORM.DIST(I$2,$D77,$E77,TRUE))</f>
        <v/>
      </c>
      <c r="J77">
        <f>IF(NOT(ISNUMBER($D77)),"",_xlfn.NORM.DIST(J$1,$D77,$E77,TRUE)-_xlfn.NORM.DIST(J$2,$D77,$E77,TRUE))</f>
        <v/>
      </c>
      <c r="K77">
        <f>IF(NOT(ISNUMBER($D77)),"",_xlfn.NORM.DIST(K$1,$D77,$E77,TRUE)-_xlfn.NORM.DIST(K$2,$D77,$E77,TRUE))</f>
        <v/>
      </c>
      <c r="L77">
        <f>IF(NOT(ISNUMBER($D77)),"",_xlfn.NORM.DIST(L$1,$D77,$E77,TRUE)-_xlfn.NORM.DIST(L$2,$D77,$E77,TRUE))</f>
        <v/>
      </c>
      <c r="M77">
        <f>IF(NOT(ISNUMBER($D77)),"",_xlfn.NORM.DIST(M$1,$D77,$E77,TRUE)-_xlfn.NORM.DIST(M$2,$D77,$E77,TRUE))</f>
        <v/>
      </c>
      <c r="N77">
        <f>IF(NOT(ISNUMBER($D77)),"",_xlfn.NORM.DIST(N$1,$D77,$E77,TRUE)-_xlfn.NORM.DIST(N$2,$D77,$E77,TRUE))</f>
        <v/>
      </c>
      <c r="O77">
        <f>IF(NOT(ISNUMBER($D77)),"",_xlfn.NORM.DIST(O$1,$D77,$E77,TRUE)-_xlfn.NORM.DIST(O$2,$D77,$E77,TRUE))</f>
        <v/>
      </c>
      <c r="P77">
        <f>IF(NOT(ISNUMBER($D77)),"",_xlfn.NORM.DIST(P$1,$D77,$E77,TRUE)-_xlfn.NORM.DIST(P$2,$D77,$E77,TRUE))</f>
        <v/>
      </c>
      <c r="Q77">
        <f>IF(NOT(ISNUMBER($D77)),"",_xlfn.NORM.DIST(Q$1,$D77,$E77,TRUE)-_xlfn.NORM.DIST(Q$2,$D77,$E77,TRUE))</f>
        <v/>
      </c>
      <c r="R77">
        <f>IF(NOT(ISNUMBER($D77)),"",_xlfn.NORM.DIST(R$1,$D77,$E77,TRUE)-_xlfn.NORM.DIST(R$2,$D77,$E77,TRUE))</f>
        <v/>
      </c>
      <c r="S77">
        <f>IF(NOT(ISNUMBER($D77)),"",_xlfn.NORM.DIST(S$1,$D77,$E77,TRUE)-_xlfn.NORM.DIST(S$2,$D77,$E77,TRUE))</f>
        <v/>
      </c>
      <c r="T77">
        <f>IF(NOT(ISNUMBER($D77)),"",_xlfn.NORM.DIST(T$1,$D77,$E77,TRUE)-_xlfn.NORM.DIST(T$2,$D77,$E77,TRUE))</f>
        <v/>
      </c>
      <c r="U77">
        <f>IF(NOT(ISNUMBER($D77)),"",_xlfn.NORM.DIST(U$1,$D77,$E77,TRUE)-_xlfn.NORM.DIST(U$2,$D77,$E77,TRUE))</f>
        <v/>
      </c>
      <c r="V77">
        <f>IF(NOT(ISNUMBER($D77)),"",_xlfn.NORM.DIST(V$1,$D77,$E77,TRUE)-_xlfn.NORM.DIST(V$2,$D77,$E77,TRUE))</f>
        <v/>
      </c>
      <c r="W77">
        <f>IF(NOT(ISNUMBER($D77)),"",_xlfn.NORM.DIST(W$1,$D77,$E77,TRUE)-_xlfn.NORM.DIST(W$2,$D77,$E77,TRUE))</f>
        <v/>
      </c>
      <c r="X77">
        <f>IF(NOT(ISNUMBER($D77)),"",_xlfn.NORM.DIST(X$1,$D77,$E77,TRUE)-_xlfn.NORM.DIST(X$2,$D77,$E77,TRUE))</f>
        <v/>
      </c>
      <c r="Y77">
        <f>IF(NOT(ISNUMBER($D77)),"",_xlfn.NORM.DIST(Y$1,$D77,$E77,TRUE)-_xlfn.NORM.DIST(Y$2,$D77,$E77,TRUE))</f>
        <v/>
      </c>
      <c r="Z77">
        <f>IF(NOT(ISNUMBER($D77)),"",_xlfn.NORM.DIST(Z$1,$D77,$E77,TRUE)-_xlfn.NORM.DIST(Z$2,$D77,$E77,TRUE))</f>
        <v/>
      </c>
      <c r="AA77">
        <f>IF(NOT(ISNUMBER($D77)),"",_xlfn.NORM.DIST(AA$1,$D77,$E77,TRUE)-_xlfn.NORM.DIST(AA$2,$D77,$E77,TRUE))</f>
        <v/>
      </c>
      <c r="AB77">
        <f>IF(NOT(ISNUMBER($D77)),"",_xlfn.NORM.DIST(AB$1,$D77,$E77,TRUE)-_xlfn.NORM.DIST(AB$2,$D77,$E77,TRUE))</f>
        <v/>
      </c>
      <c r="AC77">
        <f>IF(NOT(ISNUMBER($D77)),"",_xlfn.NORM.DIST(AC$1,$D77,$E77,TRUE)-_xlfn.NORM.DIST(AC$2,$D77,$E77,TRUE))</f>
        <v/>
      </c>
      <c r="AD77">
        <f>IF(NOT(ISNUMBER($D77)),"",_xlfn.NORM.DIST(AD$1,$D77,$E77,TRUE)-_xlfn.NORM.DIST(AD$2,$D77,$E77,TRUE))</f>
        <v/>
      </c>
      <c r="AE77">
        <f>IF(NOT(ISNUMBER($D77)),"",_xlfn.NORM.DIST(AE$1,$D77,$E77,TRUE)-_xlfn.NORM.DIST(AE$2,$D77,$E77,TRUE))</f>
        <v/>
      </c>
      <c r="AF77">
        <f>IF(NOT(ISNUMBER($D77)),"",_xlfn.NORM.DIST(AF$1,$D77,$E77,TRUE)-_xlfn.NORM.DIST(AF$2,$D77,$E77,TRUE))</f>
        <v/>
      </c>
      <c r="AG77">
        <f>IF(NOT(ISNUMBER($D77)),"",_xlfn.NORM.DIST(AG$1,$D77,$E77,TRUE)-_xlfn.NORM.DIST(AG$2,$D77,$E77,TRUE))</f>
        <v/>
      </c>
      <c r="AH77">
        <f>IF(NOT(ISNUMBER($D77)),"",_xlfn.NORM.DIST(AH$1,$D77,$E77,TRUE)-_xlfn.NORM.DIST(AH$2,$D77,$E77,TRUE))</f>
        <v/>
      </c>
      <c r="AI77">
        <f>IF(NOT(ISNUMBER($D77)),"",_xlfn.NORM.DIST(AI$1,$D77,$E77,TRUE)-_xlfn.NORM.DIST(AI$2,$D77,$E77,TRUE))</f>
        <v/>
      </c>
      <c r="AJ77">
        <f>IF(NOT(ISNUMBER($D77)),"",_xlfn.NORM.DIST(AJ$1,$D77,$E77,TRUE)-_xlfn.NORM.DIST(AJ$2,$D77,$E77,TRUE))</f>
        <v/>
      </c>
      <c r="AK77">
        <f>IF(NOT(ISNUMBER($D77)),"",_xlfn.NORM.DIST(AK$1,$D77,$E77,TRUE)-_xlfn.NORM.DIST(AK$2,$D77,$E77,TRUE))</f>
        <v/>
      </c>
      <c r="AL77">
        <f>IF(NOT(ISNUMBER($D77)),"",_xlfn.NORM.DIST(AL$1,$D77,$E77,TRUE)-_xlfn.NORM.DIST(AL$2,$D77,$E77,TRUE))</f>
        <v/>
      </c>
      <c r="AM77">
        <f>IF(NOT(ISNUMBER($D77)),"",_xlfn.NORM.DIST(AM$1,$D77,$E77,TRUE)-_xlfn.NORM.DIST(AM$2,$D77,$E77,TRUE))</f>
        <v/>
      </c>
      <c r="AN77">
        <f>IF(NOT(ISNUMBER($D77)),"",_xlfn.NORM.DIST(AN$1,$D77,$E77,TRUE)-_xlfn.NORM.DIST(AN$2,$D77,$E77,TRUE))</f>
        <v/>
      </c>
      <c r="AO77">
        <f>IF(NOT(ISNUMBER($D77)),"",_xlfn.NORM.DIST(AO$1,$D77,$E77,TRUE)-_xlfn.NORM.DIST(AO$2,$D77,$E77,TRUE))</f>
        <v/>
      </c>
      <c r="AP77">
        <f>IF(NOT(ISNUMBER($D77)),"",_xlfn.NORM.DIST(AP$1,$D77,$E77,TRUE)-_xlfn.NORM.DIST(AP$2,$D77,$E77,TRUE))</f>
        <v/>
      </c>
      <c r="AQ77">
        <f>IF(NOT(ISNUMBER($D77)),"",_xlfn.NORM.DIST(AQ$1,$D77,$E77,TRUE)-_xlfn.NORM.DIST(AQ$2,$D77,$E77,TRUE))</f>
        <v/>
      </c>
      <c r="AR77">
        <f>IF(NOT(ISNUMBER($D77)),"",_xlfn.NORM.DIST(AR$1,$D77,$E77,TRUE)-_xlfn.NORM.DIST(AR$2,$D77,$E77,TRUE))</f>
        <v/>
      </c>
      <c r="AS77">
        <f>IF(NOT(ISNUMBER($D77)),"",_xlfn.NORM.DIST(AS$1,$D77,$E77,TRUE)-_xlfn.NORM.DIST(AS$2,$D77,$E77,TRUE))</f>
        <v/>
      </c>
      <c r="AT77">
        <f>IF(NOT(ISNUMBER($D77)),"",_xlfn.NORM.DIST(AT$1,$D77,$E77,TRUE)-_xlfn.NORM.DIST(AT$2,$D77,$E77,TRUE))</f>
        <v/>
      </c>
      <c r="AU77">
        <f>IF(NOT(ISNUMBER($D77)),"",_xlfn.NORM.DIST(AU$1,$D77,$E77,TRUE)-_xlfn.NORM.DIST(AU$2,$D77,$E77,TRUE))</f>
        <v/>
      </c>
      <c r="AV77">
        <f>IF(NOT(ISNUMBER($D77)),"",_xlfn.NORM.DIST(AV$1,$D77,$E77,TRUE)-_xlfn.NORM.DIST(AV$2,$D77,$E77,TRUE))</f>
        <v/>
      </c>
      <c r="AW77">
        <f>IF(NOT(ISNUMBER($D77)),"",_xlfn.NORM.DIST(AW$1,$D77,$E77,TRUE)-_xlfn.NORM.DIST(AW$2,$D77,$E77,TRUE))</f>
        <v/>
      </c>
      <c r="AX77">
        <f>IF(NOT(ISNUMBER($D77)),"",_xlfn.NORM.DIST(AX$1,$D77,$E77,TRUE)-_xlfn.NORM.DIST(AX$2,$D77,$E77,TRUE))</f>
        <v/>
      </c>
      <c r="AY77">
        <f>IF(NOT(ISNUMBER($D77)),"",_xlfn.NORM.DIST(AY$1,$D77,$E77,TRUE)-_xlfn.NORM.DIST(AY$2,$D77,$E77,TRUE))</f>
        <v/>
      </c>
      <c r="AZ77">
        <f>IF(NOT(ISNUMBER($D77)),"",_xlfn.NORM.DIST(AZ$1,$D77,$E77,TRUE)-_xlfn.NORM.DIST(AZ$2,$D77,$E77,TRUE))</f>
        <v/>
      </c>
      <c r="BA77">
        <f>IF(NOT(ISNUMBER($D77)),"",_xlfn.NORM.DIST(BA$1,$D77,$E77,TRUE)-_xlfn.NORM.DIST(BA$2,$D77,$E77,TRUE))</f>
        <v/>
      </c>
      <c r="BB77">
        <f>IF(NOT(ISNUMBER($D77)),"",_xlfn.NORM.DIST(BB$1,$D77,$E77,TRUE)-_xlfn.NORM.DIST(BB$2,$D77,$E77,TRUE))</f>
        <v/>
      </c>
      <c r="BC77">
        <f>IF(NOT(ISNUMBER($D77)),"",_xlfn.NORM.DIST(BC$1,$D77,$E77,TRUE)-_xlfn.NORM.DIST(BC$2,$D77,$E77,TRUE))</f>
        <v/>
      </c>
      <c r="BD77">
        <f>IF(NOT(ISNUMBER($D77)),"",_xlfn.NORM.DIST(BD$1,$D77,$E77,TRUE)-_xlfn.NORM.DIST(BD$2,$D77,$E77,TRUE))</f>
        <v/>
      </c>
      <c r="BE77">
        <f>IF(NOT(ISNUMBER($D77)),"",_xlfn.NORM.DIST(BE$1,$D77,$E77,TRUE)-_xlfn.NORM.DIST(BE$2,$D77,$E77,TRUE))</f>
        <v/>
      </c>
      <c r="BF77">
        <f>IF(NOT(ISNUMBER($D77)),"",_xlfn.NORM.DIST(BF$1,$D77,$E77,TRUE)-_xlfn.NORM.DIST(BF$2,$D77,$E77,TRUE))</f>
        <v/>
      </c>
      <c r="BG77">
        <f>IF(NOT(ISNUMBER($D77)),"",_xlfn.NORM.DIST(BG$1,$D77,$E77,TRUE)-_xlfn.NORM.DIST(BG$2,$D77,$E77,TRUE))</f>
        <v/>
      </c>
      <c r="BH77">
        <f>IF(NOT(ISNUMBER($D77)),"",_xlfn.NORM.DIST(BH$1,$D77,$E77,TRUE)-_xlfn.NORM.DIST(BH$2,$D77,$E77,TRUE))</f>
        <v/>
      </c>
      <c r="BI77">
        <f>IF(NOT(ISNUMBER($D77)),"",_xlfn.NORM.DIST(BI$1,$D77,$E77,TRUE)-_xlfn.NORM.DIST(BI$2,$D77,$E77,TRUE))</f>
        <v/>
      </c>
      <c r="BJ77">
        <f>IF(NOT(ISNUMBER($D77)),"",_xlfn.NORM.DIST(BJ$1,$D77,$E77,TRUE)-_xlfn.NORM.DIST(BJ$2,$D77,$E77,TRUE))</f>
        <v/>
      </c>
      <c r="BK77">
        <f>IF(NOT(ISNUMBER($D77)),"",_xlfn.NORM.DIST(BK$1,$D77,$E77,TRUE)-_xlfn.NORM.DIST(BK$2,$D77,$E77,TRUE))</f>
        <v/>
      </c>
      <c r="BL77">
        <f>IF(NOT(ISNUMBER($D77)),"",_xlfn.NORM.DIST(BL$1,$D77,$E77,TRUE)-_xlfn.NORM.DIST(BL$2,$D77,$E77,TRUE))</f>
        <v/>
      </c>
      <c r="BM77">
        <f>IF(NOT(ISNUMBER($D77)),"",_xlfn.NORM.DIST(BM$1,$D77,$E77,TRUE)-_xlfn.NORM.DIST(BM$2,$D77,$E77,TRUE))</f>
        <v/>
      </c>
      <c r="BN77">
        <f>IF(NOT(ISNUMBER($D77)),"",_xlfn.NORM.DIST(BN$1,$D77,$E77,TRUE)-_xlfn.NORM.DIST(BN$2,$D77,$E77,TRUE))</f>
        <v/>
      </c>
      <c r="BO77">
        <f>IF(NOT(ISNUMBER($D77)),"",_xlfn.NORM.DIST(BO$1,$D77,$E77,TRUE)-_xlfn.NORM.DIST(BO$2,$D77,$E77,TRUE))</f>
        <v/>
      </c>
      <c r="BP77">
        <f>IF(NOT(ISNUMBER($D77)),"",_xlfn.NORM.DIST(BP$1,$D77,$E77,TRUE)-_xlfn.NORM.DIST(BP$2,$D77,$E77,TRUE))</f>
        <v/>
      </c>
      <c r="BQ77">
        <f>IF(NOT(ISNUMBER($D77)),"",_xlfn.NORM.DIST(BQ$1,$D77,$E77,TRUE)-_xlfn.NORM.DIST(BQ$2,$D77,$E77,TRUE))</f>
        <v/>
      </c>
      <c r="BR77">
        <f>IF(NOT(ISNUMBER($D77)),"",_xlfn.NORM.DIST(BR$1,$D77,$E77,TRUE)-_xlfn.NORM.DIST(BR$2,$D77,$E77,TRUE))</f>
        <v/>
      </c>
      <c r="BS77">
        <f>IF(NOT(ISNUMBER($D77)),"",_xlfn.NORM.DIST(BS$1,$D77,$E77,TRUE)-_xlfn.NORM.DIST(BS$2,$D77,$E77,TRUE))</f>
        <v/>
      </c>
      <c r="BT77">
        <f>IF(NOT(ISNUMBER($D77)),"",_xlfn.NORM.DIST(BT$1,$D77,$E77,TRUE)-_xlfn.NORM.DIST(BT$2,$D77,$E77,TRUE))</f>
        <v/>
      </c>
      <c r="BU77">
        <f>IF(NOT(ISNUMBER($D77)),"",_xlfn.NORM.DIST(BU$1,$D77,$E77,TRUE)-_xlfn.NORM.DIST(BU$2,$D77,$E77,TRUE))</f>
        <v/>
      </c>
      <c r="BV77">
        <f>IF(NOT(ISNUMBER($D77)),"",_xlfn.NORM.DIST(BV$1,$D77,$E77,TRUE)-_xlfn.NORM.DIST(BV$2,$D77,$E77,TRUE))</f>
        <v/>
      </c>
      <c r="BW77">
        <f>IF(NOT(ISNUMBER($D77)),"",_xlfn.NORM.DIST(BW$1,$D77,$E77,TRUE)-_xlfn.NORM.DIST(BW$2,$D77,$E77,TRUE))</f>
        <v/>
      </c>
      <c r="BX77">
        <f>IF(NOT(ISNUMBER($D77)),"",_xlfn.NORM.DIST(BX$1,$D77,$E77,TRUE)-_xlfn.NORM.DIST(BX$2,$D77,$E77,TRUE))</f>
        <v/>
      </c>
      <c r="BY77">
        <f>IF(NOT(ISNUMBER($D77)),"",_xlfn.NORM.DIST(BY$1,$D77,$E77,TRUE)-_xlfn.NORM.DIST(BY$2,$D77,$E77,TRUE))</f>
        <v/>
      </c>
      <c r="BZ77">
        <f>IF(NOT(ISNUMBER($D77)),"",_xlfn.NORM.DIST(BZ$1,$D77,$E77,TRUE)-_xlfn.NORM.DIST(BZ$2,$D77,$E77,TRUE))</f>
        <v/>
      </c>
      <c r="CA77">
        <f>IF(NOT(ISNUMBER($D77)),"",_xlfn.NORM.DIST(CA$1,$D77,$E77,TRUE)-_xlfn.NORM.DIST(CA$2,$D77,$E77,TRUE))</f>
        <v/>
      </c>
      <c r="CB77">
        <f>IF(NOT(ISNUMBER($D77)),"",_xlfn.NORM.DIST(CB$1,$D77,$E77,TRUE)-_xlfn.NORM.DIST(CB$2,$D77,$E77,TRUE))</f>
        <v/>
      </c>
      <c r="CC77">
        <f>IF(NOT(ISNUMBER($D77)),"",_xlfn.NORM.DIST(CC$1,$D77,$E77,TRUE)-_xlfn.NORM.DIST(CC$2,$D77,$E77,TRUE))</f>
        <v/>
      </c>
      <c r="CD77">
        <f>IF(NOT(ISNUMBER($D77)),"",_xlfn.NORM.DIST(CD$1,$D77,$E77,TRUE)-_xlfn.NORM.DIST(CD$2,$D77,$E77,TRUE))</f>
        <v/>
      </c>
      <c r="CE77">
        <f>IF(NOT(ISNUMBER($D77)),"",_xlfn.NORM.DIST(CE$1,$D77,$E77,TRUE)-_xlfn.NORM.DIST(CE$2,$D77,$E77,TRUE))</f>
        <v/>
      </c>
      <c r="CF77">
        <f>IF(NOT(ISNUMBER($D77)),"",_xlfn.NORM.DIST(CF$1,$D77,$E77,TRUE)-_xlfn.NORM.DIST(CF$2,$D77,$E77,TRUE))</f>
        <v/>
      </c>
      <c r="CG77">
        <f>IF(NOT(ISNUMBER($D77)),"",_xlfn.NORM.DIST(CG$1,$D77,$E77,TRUE)-_xlfn.NORM.DIST(CG$2,$D77,$E77,TRUE))</f>
        <v/>
      </c>
      <c r="CH77">
        <f>IF(NOT(ISNUMBER($D77)),"",_xlfn.NORM.DIST(CH$1,$D77,$E77,TRUE)-_xlfn.NORM.DIST(CH$2,$D77,$E77,TRUE))</f>
        <v/>
      </c>
      <c r="CI77">
        <f>IF(NOT(ISNUMBER($D77)),"",_xlfn.NORM.DIST(CI$1,$D77,$E77,TRUE)-_xlfn.NORM.DIST(CI$2,$D77,$E77,TRUE))</f>
        <v/>
      </c>
      <c r="CJ77">
        <f>IF(ISNUMBER($D77),SUM(F77:CI77),"")</f>
        <v/>
      </c>
    </row>
    <row r="78">
      <c r="A78">
        <f>economics!A77</f>
        <v/>
      </c>
      <c r="B78">
        <f>economics!B77</f>
        <v/>
      </c>
      <c r="C78">
        <f>economics!D77</f>
        <v/>
      </c>
      <c r="D78">
        <f>IF(ISNUMBER(economics!T77),economics!T77,"na")</f>
        <v/>
      </c>
      <c r="E78">
        <f>IF(ISNUMBER(D78),MAX(0.3*ABS(D78),0.000001),"na")</f>
        <v/>
      </c>
      <c r="F78">
        <f>IF(NOT(ISNUMBER($D78)),"",_xlfn.NORM.DIST(F$1,$D78,$E78,TRUE)-_xlfn.NORM.DIST(F$2,$D78,$E78,TRUE))</f>
        <v/>
      </c>
      <c r="G78">
        <f>IF(NOT(ISNUMBER($D78)),"",_xlfn.NORM.DIST(G$1,$D78,$E78,TRUE)-_xlfn.NORM.DIST(G$2,$D78,$E78,TRUE))</f>
        <v/>
      </c>
      <c r="H78">
        <f>IF(NOT(ISNUMBER($D78)),"",_xlfn.NORM.DIST(H$1,$D78,$E78,TRUE)-_xlfn.NORM.DIST(H$2,$D78,$E78,TRUE))</f>
        <v/>
      </c>
      <c r="I78">
        <f>IF(NOT(ISNUMBER($D78)),"",_xlfn.NORM.DIST(I$1,$D78,$E78,TRUE)-_xlfn.NORM.DIST(I$2,$D78,$E78,TRUE))</f>
        <v/>
      </c>
      <c r="J78">
        <f>IF(NOT(ISNUMBER($D78)),"",_xlfn.NORM.DIST(J$1,$D78,$E78,TRUE)-_xlfn.NORM.DIST(J$2,$D78,$E78,TRUE))</f>
        <v/>
      </c>
      <c r="K78">
        <f>IF(NOT(ISNUMBER($D78)),"",_xlfn.NORM.DIST(K$1,$D78,$E78,TRUE)-_xlfn.NORM.DIST(K$2,$D78,$E78,TRUE))</f>
        <v/>
      </c>
      <c r="L78">
        <f>IF(NOT(ISNUMBER($D78)),"",_xlfn.NORM.DIST(L$1,$D78,$E78,TRUE)-_xlfn.NORM.DIST(L$2,$D78,$E78,TRUE))</f>
        <v/>
      </c>
      <c r="M78">
        <f>IF(NOT(ISNUMBER($D78)),"",_xlfn.NORM.DIST(M$1,$D78,$E78,TRUE)-_xlfn.NORM.DIST(M$2,$D78,$E78,TRUE))</f>
        <v/>
      </c>
      <c r="N78">
        <f>IF(NOT(ISNUMBER($D78)),"",_xlfn.NORM.DIST(N$1,$D78,$E78,TRUE)-_xlfn.NORM.DIST(N$2,$D78,$E78,TRUE))</f>
        <v/>
      </c>
      <c r="O78">
        <f>IF(NOT(ISNUMBER($D78)),"",_xlfn.NORM.DIST(O$1,$D78,$E78,TRUE)-_xlfn.NORM.DIST(O$2,$D78,$E78,TRUE))</f>
        <v/>
      </c>
      <c r="P78">
        <f>IF(NOT(ISNUMBER($D78)),"",_xlfn.NORM.DIST(P$1,$D78,$E78,TRUE)-_xlfn.NORM.DIST(P$2,$D78,$E78,TRUE))</f>
        <v/>
      </c>
      <c r="Q78">
        <f>IF(NOT(ISNUMBER($D78)),"",_xlfn.NORM.DIST(Q$1,$D78,$E78,TRUE)-_xlfn.NORM.DIST(Q$2,$D78,$E78,TRUE))</f>
        <v/>
      </c>
      <c r="R78">
        <f>IF(NOT(ISNUMBER($D78)),"",_xlfn.NORM.DIST(R$1,$D78,$E78,TRUE)-_xlfn.NORM.DIST(R$2,$D78,$E78,TRUE))</f>
        <v/>
      </c>
      <c r="S78">
        <f>IF(NOT(ISNUMBER($D78)),"",_xlfn.NORM.DIST(S$1,$D78,$E78,TRUE)-_xlfn.NORM.DIST(S$2,$D78,$E78,TRUE))</f>
        <v/>
      </c>
      <c r="T78">
        <f>IF(NOT(ISNUMBER($D78)),"",_xlfn.NORM.DIST(T$1,$D78,$E78,TRUE)-_xlfn.NORM.DIST(T$2,$D78,$E78,TRUE))</f>
        <v/>
      </c>
      <c r="U78">
        <f>IF(NOT(ISNUMBER($D78)),"",_xlfn.NORM.DIST(U$1,$D78,$E78,TRUE)-_xlfn.NORM.DIST(U$2,$D78,$E78,TRUE))</f>
        <v/>
      </c>
      <c r="V78">
        <f>IF(NOT(ISNUMBER($D78)),"",_xlfn.NORM.DIST(V$1,$D78,$E78,TRUE)-_xlfn.NORM.DIST(V$2,$D78,$E78,TRUE))</f>
        <v/>
      </c>
      <c r="W78">
        <f>IF(NOT(ISNUMBER($D78)),"",_xlfn.NORM.DIST(W$1,$D78,$E78,TRUE)-_xlfn.NORM.DIST(W$2,$D78,$E78,TRUE))</f>
        <v/>
      </c>
      <c r="X78">
        <f>IF(NOT(ISNUMBER($D78)),"",_xlfn.NORM.DIST(X$1,$D78,$E78,TRUE)-_xlfn.NORM.DIST(X$2,$D78,$E78,TRUE))</f>
        <v/>
      </c>
      <c r="Y78">
        <f>IF(NOT(ISNUMBER($D78)),"",_xlfn.NORM.DIST(Y$1,$D78,$E78,TRUE)-_xlfn.NORM.DIST(Y$2,$D78,$E78,TRUE))</f>
        <v/>
      </c>
      <c r="Z78">
        <f>IF(NOT(ISNUMBER($D78)),"",_xlfn.NORM.DIST(Z$1,$D78,$E78,TRUE)-_xlfn.NORM.DIST(Z$2,$D78,$E78,TRUE))</f>
        <v/>
      </c>
      <c r="AA78">
        <f>IF(NOT(ISNUMBER($D78)),"",_xlfn.NORM.DIST(AA$1,$D78,$E78,TRUE)-_xlfn.NORM.DIST(AA$2,$D78,$E78,TRUE))</f>
        <v/>
      </c>
      <c r="AB78">
        <f>IF(NOT(ISNUMBER($D78)),"",_xlfn.NORM.DIST(AB$1,$D78,$E78,TRUE)-_xlfn.NORM.DIST(AB$2,$D78,$E78,TRUE))</f>
        <v/>
      </c>
      <c r="AC78">
        <f>IF(NOT(ISNUMBER($D78)),"",_xlfn.NORM.DIST(AC$1,$D78,$E78,TRUE)-_xlfn.NORM.DIST(AC$2,$D78,$E78,TRUE))</f>
        <v/>
      </c>
      <c r="AD78">
        <f>IF(NOT(ISNUMBER($D78)),"",_xlfn.NORM.DIST(AD$1,$D78,$E78,TRUE)-_xlfn.NORM.DIST(AD$2,$D78,$E78,TRUE))</f>
        <v/>
      </c>
      <c r="AE78">
        <f>IF(NOT(ISNUMBER($D78)),"",_xlfn.NORM.DIST(AE$1,$D78,$E78,TRUE)-_xlfn.NORM.DIST(AE$2,$D78,$E78,TRUE))</f>
        <v/>
      </c>
      <c r="AF78">
        <f>IF(NOT(ISNUMBER($D78)),"",_xlfn.NORM.DIST(AF$1,$D78,$E78,TRUE)-_xlfn.NORM.DIST(AF$2,$D78,$E78,TRUE))</f>
        <v/>
      </c>
      <c r="AG78">
        <f>IF(NOT(ISNUMBER($D78)),"",_xlfn.NORM.DIST(AG$1,$D78,$E78,TRUE)-_xlfn.NORM.DIST(AG$2,$D78,$E78,TRUE))</f>
        <v/>
      </c>
      <c r="AH78">
        <f>IF(NOT(ISNUMBER($D78)),"",_xlfn.NORM.DIST(AH$1,$D78,$E78,TRUE)-_xlfn.NORM.DIST(AH$2,$D78,$E78,TRUE))</f>
        <v/>
      </c>
      <c r="AI78">
        <f>IF(NOT(ISNUMBER($D78)),"",_xlfn.NORM.DIST(AI$1,$D78,$E78,TRUE)-_xlfn.NORM.DIST(AI$2,$D78,$E78,TRUE))</f>
        <v/>
      </c>
      <c r="AJ78">
        <f>IF(NOT(ISNUMBER($D78)),"",_xlfn.NORM.DIST(AJ$1,$D78,$E78,TRUE)-_xlfn.NORM.DIST(AJ$2,$D78,$E78,TRUE))</f>
        <v/>
      </c>
      <c r="AK78">
        <f>IF(NOT(ISNUMBER($D78)),"",_xlfn.NORM.DIST(AK$1,$D78,$E78,TRUE)-_xlfn.NORM.DIST(AK$2,$D78,$E78,TRUE))</f>
        <v/>
      </c>
      <c r="AL78">
        <f>IF(NOT(ISNUMBER($D78)),"",_xlfn.NORM.DIST(AL$1,$D78,$E78,TRUE)-_xlfn.NORM.DIST(AL$2,$D78,$E78,TRUE))</f>
        <v/>
      </c>
      <c r="AM78">
        <f>IF(NOT(ISNUMBER($D78)),"",_xlfn.NORM.DIST(AM$1,$D78,$E78,TRUE)-_xlfn.NORM.DIST(AM$2,$D78,$E78,TRUE))</f>
        <v/>
      </c>
      <c r="AN78">
        <f>IF(NOT(ISNUMBER($D78)),"",_xlfn.NORM.DIST(AN$1,$D78,$E78,TRUE)-_xlfn.NORM.DIST(AN$2,$D78,$E78,TRUE))</f>
        <v/>
      </c>
      <c r="AO78">
        <f>IF(NOT(ISNUMBER($D78)),"",_xlfn.NORM.DIST(AO$1,$D78,$E78,TRUE)-_xlfn.NORM.DIST(AO$2,$D78,$E78,TRUE))</f>
        <v/>
      </c>
      <c r="AP78">
        <f>IF(NOT(ISNUMBER($D78)),"",_xlfn.NORM.DIST(AP$1,$D78,$E78,TRUE)-_xlfn.NORM.DIST(AP$2,$D78,$E78,TRUE))</f>
        <v/>
      </c>
      <c r="AQ78">
        <f>IF(NOT(ISNUMBER($D78)),"",_xlfn.NORM.DIST(AQ$1,$D78,$E78,TRUE)-_xlfn.NORM.DIST(AQ$2,$D78,$E78,TRUE))</f>
        <v/>
      </c>
      <c r="AR78">
        <f>IF(NOT(ISNUMBER($D78)),"",_xlfn.NORM.DIST(AR$1,$D78,$E78,TRUE)-_xlfn.NORM.DIST(AR$2,$D78,$E78,TRUE))</f>
        <v/>
      </c>
      <c r="AS78">
        <f>IF(NOT(ISNUMBER($D78)),"",_xlfn.NORM.DIST(AS$1,$D78,$E78,TRUE)-_xlfn.NORM.DIST(AS$2,$D78,$E78,TRUE))</f>
        <v/>
      </c>
      <c r="AT78">
        <f>IF(NOT(ISNUMBER($D78)),"",_xlfn.NORM.DIST(AT$1,$D78,$E78,TRUE)-_xlfn.NORM.DIST(AT$2,$D78,$E78,TRUE))</f>
        <v/>
      </c>
      <c r="AU78">
        <f>IF(NOT(ISNUMBER($D78)),"",_xlfn.NORM.DIST(AU$1,$D78,$E78,TRUE)-_xlfn.NORM.DIST(AU$2,$D78,$E78,TRUE))</f>
        <v/>
      </c>
      <c r="AV78">
        <f>IF(NOT(ISNUMBER($D78)),"",_xlfn.NORM.DIST(AV$1,$D78,$E78,TRUE)-_xlfn.NORM.DIST(AV$2,$D78,$E78,TRUE))</f>
        <v/>
      </c>
      <c r="AW78">
        <f>IF(NOT(ISNUMBER($D78)),"",_xlfn.NORM.DIST(AW$1,$D78,$E78,TRUE)-_xlfn.NORM.DIST(AW$2,$D78,$E78,TRUE))</f>
        <v/>
      </c>
      <c r="AX78">
        <f>IF(NOT(ISNUMBER($D78)),"",_xlfn.NORM.DIST(AX$1,$D78,$E78,TRUE)-_xlfn.NORM.DIST(AX$2,$D78,$E78,TRUE))</f>
        <v/>
      </c>
      <c r="AY78">
        <f>IF(NOT(ISNUMBER($D78)),"",_xlfn.NORM.DIST(AY$1,$D78,$E78,TRUE)-_xlfn.NORM.DIST(AY$2,$D78,$E78,TRUE))</f>
        <v/>
      </c>
      <c r="AZ78">
        <f>IF(NOT(ISNUMBER($D78)),"",_xlfn.NORM.DIST(AZ$1,$D78,$E78,TRUE)-_xlfn.NORM.DIST(AZ$2,$D78,$E78,TRUE))</f>
        <v/>
      </c>
      <c r="BA78">
        <f>IF(NOT(ISNUMBER($D78)),"",_xlfn.NORM.DIST(BA$1,$D78,$E78,TRUE)-_xlfn.NORM.DIST(BA$2,$D78,$E78,TRUE))</f>
        <v/>
      </c>
      <c r="BB78">
        <f>IF(NOT(ISNUMBER($D78)),"",_xlfn.NORM.DIST(BB$1,$D78,$E78,TRUE)-_xlfn.NORM.DIST(BB$2,$D78,$E78,TRUE))</f>
        <v/>
      </c>
      <c r="BC78">
        <f>IF(NOT(ISNUMBER($D78)),"",_xlfn.NORM.DIST(BC$1,$D78,$E78,TRUE)-_xlfn.NORM.DIST(BC$2,$D78,$E78,TRUE))</f>
        <v/>
      </c>
      <c r="BD78">
        <f>IF(NOT(ISNUMBER($D78)),"",_xlfn.NORM.DIST(BD$1,$D78,$E78,TRUE)-_xlfn.NORM.DIST(BD$2,$D78,$E78,TRUE))</f>
        <v/>
      </c>
      <c r="BE78">
        <f>IF(NOT(ISNUMBER($D78)),"",_xlfn.NORM.DIST(BE$1,$D78,$E78,TRUE)-_xlfn.NORM.DIST(BE$2,$D78,$E78,TRUE))</f>
        <v/>
      </c>
      <c r="BF78">
        <f>IF(NOT(ISNUMBER($D78)),"",_xlfn.NORM.DIST(BF$1,$D78,$E78,TRUE)-_xlfn.NORM.DIST(BF$2,$D78,$E78,TRUE))</f>
        <v/>
      </c>
      <c r="BG78">
        <f>IF(NOT(ISNUMBER($D78)),"",_xlfn.NORM.DIST(BG$1,$D78,$E78,TRUE)-_xlfn.NORM.DIST(BG$2,$D78,$E78,TRUE))</f>
        <v/>
      </c>
      <c r="BH78">
        <f>IF(NOT(ISNUMBER($D78)),"",_xlfn.NORM.DIST(BH$1,$D78,$E78,TRUE)-_xlfn.NORM.DIST(BH$2,$D78,$E78,TRUE))</f>
        <v/>
      </c>
      <c r="BI78">
        <f>IF(NOT(ISNUMBER($D78)),"",_xlfn.NORM.DIST(BI$1,$D78,$E78,TRUE)-_xlfn.NORM.DIST(BI$2,$D78,$E78,TRUE))</f>
        <v/>
      </c>
      <c r="BJ78">
        <f>IF(NOT(ISNUMBER($D78)),"",_xlfn.NORM.DIST(BJ$1,$D78,$E78,TRUE)-_xlfn.NORM.DIST(BJ$2,$D78,$E78,TRUE))</f>
        <v/>
      </c>
      <c r="BK78">
        <f>IF(NOT(ISNUMBER($D78)),"",_xlfn.NORM.DIST(BK$1,$D78,$E78,TRUE)-_xlfn.NORM.DIST(BK$2,$D78,$E78,TRUE))</f>
        <v/>
      </c>
      <c r="BL78">
        <f>IF(NOT(ISNUMBER($D78)),"",_xlfn.NORM.DIST(BL$1,$D78,$E78,TRUE)-_xlfn.NORM.DIST(BL$2,$D78,$E78,TRUE))</f>
        <v/>
      </c>
      <c r="BM78">
        <f>IF(NOT(ISNUMBER($D78)),"",_xlfn.NORM.DIST(BM$1,$D78,$E78,TRUE)-_xlfn.NORM.DIST(BM$2,$D78,$E78,TRUE))</f>
        <v/>
      </c>
      <c r="BN78">
        <f>IF(NOT(ISNUMBER($D78)),"",_xlfn.NORM.DIST(BN$1,$D78,$E78,TRUE)-_xlfn.NORM.DIST(BN$2,$D78,$E78,TRUE))</f>
        <v/>
      </c>
      <c r="BO78">
        <f>IF(NOT(ISNUMBER($D78)),"",_xlfn.NORM.DIST(BO$1,$D78,$E78,TRUE)-_xlfn.NORM.DIST(BO$2,$D78,$E78,TRUE))</f>
        <v/>
      </c>
      <c r="BP78">
        <f>IF(NOT(ISNUMBER($D78)),"",_xlfn.NORM.DIST(BP$1,$D78,$E78,TRUE)-_xlfn.NORM.DIST(BP$2,$D78,$E78,TRUE))</f>
        <v/>
      </c>
      <c r="BQ78">
        <f>IF(NOT(ISNUMBER($D78)),"",_xlfn.NORM.DIST(BQ$1,$D78,$E78,TRUE)-_xlfn.NORM.DIST(BQ$2,$D78,$E78,TRUE))</f>
        <v/>
      </c>
      <c r="BR78">
        <f>IF(NOT(ISNUMBER($D78)),"",_xlfn.NORM.DIST(BR$1,$D78,$E78,TRUE)-_xlfn.NORM.DIST(BR$2,$D78,$E78,TRUE))</f>
        <v/>
      </c>
      <c r="BS78">
        <f>IF(NOT(ISNUMBER($D78)),"",_xlfn.NORM.DIST(BS$1,$D78,$E78,TRUE)-_xlfn.NORM.DIST(BS$2,$D78,$E78,TRUE))</f>
        <v/>
      </c>
      <c r="BT78">
        <f>IF(NOT(ISNUMBER($D78)),"",_xlfn.NORM.DIST(BT$1,$D78,$E78,TRUE)-_xlfn.NORM.DIST(BT$2,$D78,$E78,TRUE))</f>
        <v/>
      </c>
      <c r="BU78">
        <f>IF(NOT(ISNUMBER($D78)),"",_xlfn.NORM.DIST(BU$1,$D78,$E78,TRUE)-_xlfn.NORM.DIST(BU$2,$D78,$E78,TRUE))</f>
        <v/>
      </c>
      <c r="BV78">
        <f>IF(NOT(ISNUMBER($D78)),"",_xlfn.NORM.DIST(BV$1,$D78,$E78,TRUE)-_xlfn.NORM.DIST(BV$2,$D78,$E78,TRUE))</f>
        <v/>
      </c>
      <c r="BW78">
        <f>IF(NOT(ISNUMBER($D78)),"",_xlfn.NORM.DIST(BW$1,$D78,$E78,TRUE)-_xlfn.NORM.DIST(BW$2,$D78,$E78,TRUE))</f>
        <v/>
      </c>
      <c r="BX78">
        <f>IF(NOT(ISNUMBER($D78)),"",_xlfn.NORM.DIST(BX$1,$D78,$E78,TRUE)-_xlfn.NORM.DIST(BX$2,$D78,$E78,TRUE))</f>
        <v/>
      </c>
      <c r="BY78">
        <f>IF(NOT(ISNUMBER($D78)),"",_xlfn.NORM.DIST(BY$1,$D78,$E78,TRUE)-_xlfn.NORM.DIST(BY$2,$D78,$E78,TRUE))</f>
        <v/>
      </c>
      <c r="BZ78">
        <f>IF(NOT(ISNUMBER($D78)),"",_xlfn.NORM.DIST(BZ$1,$D78,$E78,TRUE)-_xlfn.NORM.DIST(BZ$2,$D78,$E78,TRUE))</f>
        <v/>
      </c>
      <c r="CA78">
        <f>IF(NOT(ISNUMBER($D78)),"",_xlfn.NORM.DIST(CA$1,$D78,$E78,TRUE)-_xlfn.NORM.DIST(CA$2,$D78,$E78,TRUE))</f>
        <v/>
      </c>
      <c r="CB78">
        <f>IF(NOT(ISNUMBER($D78)),"",_xlfn.NORM.DIST(CB$1,$D78,$E78,TRUE)-_xlfn.NORM.DIST(CB$2,$D78,$E78,TRUE))</f>
        <v/>
      </c>
      <c r="CC78">
        <f>IF(NOT(ISNUMBER($D78)),"",_xlfn.NORM.DIST(CC$1,$D78,$E78,TRUE)-_xlfn.NORM.DIST(CC$2,$D78,$E78,TRUE))</f>
        <v/>
      </c>
      <c r="CD78">
        <f>IF(NOT(ISNUMBER($D78)),"",_xlfn.NORM.DIST(CD$1,$D78,$E78,TRUE)-_xlfn.NORM.DIST(CD$2,$D78,$E78,TRUE))</f>
        <v/>
      </c>
      <c r="CE78">
        <f>IF(NOT(ISNUMBER($D78)),"",_xlfn.NORM.DIST(CE$1,$D78,$E78,TRUE)-_xlfn.NORM.DIST(CE$2,$D78,$E78,TRUE))</f>
        <v/>
      </c>
      <c r="CF78">
        <f>IF(NOT(ISNUMBER($D78)),"",_xlfn.NORM.DIST(CF$1,$D78,$E78,TRUE)-_xlfn.NORM.DIST(CF$2,$D78,$E78,TRUE))</f>
        <v/>
      </c>
      <c r="CG78">
        <f>IF(NOT(ISNUMBER($D78)),"",_xlfn.NORM.DIST(CG$1,$D78,$E78,TRUE)-_xlfn.NORM.DIST(CG$2,$D78,$E78,TRUE))</f>
        <v/>
      </c>
      <c r="CH78">
        <f>IF(NOT(ISNUMBER($D78)),"",_xlfn.NORM.DIST(CH$1,$D78,$E78,TRUE)-_xlfn.NORM.DIST(CH$2,$D78,$E78,TRUE))</f>
        <v/>
      </c>
      <c r="CI78">
        <f>IF(NOT(ISNUMBER($D78)),"",_xlfn.NORM.DIST(CI$1,$D78,$E78,TRUE)-_xlfn.NORM.DIST(CI$2,$D78,$E78,TRUE))</f>
        <v/>
      </c>
      <c r="CJ78">
        <f>IF(ISNUMBER($D78),SUM(F78:CI78),"")</f>
        <v/>
      </c>
    </row>
    <row r="79">
      <c r="A79">
        <f>economics!A78</f>
        <v/>
      </c>
      <c r="B79">
        <f>economics!B78</f>
        <v/>
      </c>
      <c r="C79">
        <f>economics!D78</f>
        <v/>
      </c>
      <c r="D79">
        <f>IF(ISNUMBER(economics!T78),economics!T78,"na")</f>
        <v/>
      </c>
      <c r="E79">
        <f>IF(ISNUMBER(D79),MAX(0.3*ABS(D79),0.000001),"na")</f>
        <v/>
      </c>
      <c r="F79">
        <f>IF(NOT(ISNUMBER($D79)),"",_xlfn.NORM.DIST(F$1,$D79,$E79,TRUE)-_xlfn.NORM.DIST(F$2,$D79,$E79,TRUE))</f>
        <v/>
      </c>
      <c r="G79">
        <f>IF(NOT(ISNUMBER($D79)),"",_xlfn.NORM.DIST(G$1,$D79,$E79,TRUE)-_xlfn.NORM.DIST(G$2,$D79,$E79,TRUE))</f>
        <v/>
      </c>
      <c r="H79">
        <f>IF(NOT(ISNUMBER($D79)),"",_xlfn.NORM.DIST(H$1,$D79,$E79,TRUE)-_xlfn.NORM.DIST(H$2,$D79,$E79,TRUE))</f>
        <v/>
      </c>
      <c r="I79">
        <f>IF(NOT(ISNUMBER($D79)),"",_xlfn.NORM.DIST(I$1,$D79,$E79,TRUE)-_xlfn.NORM.DIST(I$2,$D79,$E79,TRUE))</f>
        <v/>
      </c>
      <c r="J79">
        <f>IF(NOT(ISNUMBER($D79)),"",_xlfn.NORM.DIST(J$1,$D79,$E79,TRUE)-_xlfn.NORM.DIST(J$2,$D79,$E79,TRUE))</f>
        <v/>
      </c>
      <c r="K79">
        <f>IF(NOT(ISNUMBER($D79)),"",_xlfn.NORM.DIST(K$1,$D79,$E79,TRUE)-_xlfn.NORM.DIST(K$2,$D79,$E79,TRUE))</f>
        <v/>
      </c>
      <c r="L79">
        <f>IF(NOT(ISNUMBER($D79)),"",_xlfn.NORM.DIST(L$1,$D79,$E79,TRUE)-_xlfn.NORM.DIST(L$2,$D79,$E79,TRUE))</f>
        <v/>
      </c>
      <c r="M79">
        <f>IF(NOT(ISNUMBER($D79)),"",_xlfn.NORM.DIST(M$1,$D79,$E79,TRUE)-_xlfn.NORM.DIST(M$2,$D79,$E79,TRUE))</f>
        <v/>
      </c>
      <c r="N79">
        <f>IF(NOT(ISNUMBER($D79)),"",_xlfn.NORM.DIST(N$1,$D79,$E79,TRUE)-_xlfn.NORM.DIST(N$2,$D79,$E79,TRUE))</f>
        <v/>
      </c>
      <c r="O79">
        <f>IF(NOT(ISNUMBER($D79)),"",_xlfn.NORM.DIST(O$1,$D79,$E79,TRUE)-_xlfn.NORM.DIST(O$2,$D79,$E79,TRUE))</f>
        <v/>
      </c>
      <c r="P79">
        <f>IF(NOT(ISNUMBER($D79)),"",_xlfn.NORM.DIST(P$1,$D79,$E79,TRUE)-_xlfn.NORM.DIST(P$2,$D79,$E79,TRUE))</f>
        <v/>
      </c>
      <c r="Q79">
        <f>IF(NOT(ISNUMBER($D79)),"",_xlfn.NORM.DIST(Q$1,$D79,$E79,TRUE)-_xlfn.NORM.DIST(Q$2,$D79,$E79,TRUE))</f>
        <v/>
      </c>
      <c r="R79">
        <f>IF(NOT(ISNUMBER($D79)),"",_xlfn.NORM.DIST(R$1,$D79,$E79,TRUE)-_xlfn.NORM.DIST(R$2,$D79,$E79,TRUE))</f>
        <v/>
      </c>
      <c r="S79">
        <f>IF(NOT(ISNUMBER($D79)),"",_xlfn.NORM.DIST(S$1,$D79,$E79,TRUE)-_xlfn.NORM.DIST(S$2,$D79,$E79,TRUE))</f>
        <v/>
      </c>
      <c r="T79">
        <f>IF(NOT(ISNUMBER($D79)),"",_xlfn.NORM.DIST(T$1,$D79,$E79,TRUE)-_xlfn.NORM.DIST(T$2,$D79,$E79,TRUE))</f>
        <v/>
      </c>
      <c r="U79">
        <f>IF(NOT(ISNUMBER($D79)),"",_xlfn.NORM.DIST(U$1,$D79,$E79,TRUE)-_xlfn.NORM.DIST(U$2,$D79,$E79,TRUE))</f>
        <v/>
      </c>
      <c r="V79">
        <f>IF(NOT(ISNUMBER($D79)),"",_xlfn.NORM.DIST(V$1,$D79,$E79,TRUE)-_xlfn.NORM.DIST(V$2,$D79,$E79,TRUE))</f>
        <v/>
      </c>
      <c r="W79">
        <f>IF(NOT(ISNUMBER($D79)),"",_xlfn.NORM.DIST(W$1,$D79,$E79,TRUE)-_xlfn.NORM.DIST(W$2,$D79,$E79,TRUE))</f>
        <v/>
      </c>
      <c r="X79">
        <f>IF(NOT(ISNUMBER($D79)),"",_xlfn.NORM.DIST(X$1,$D79,$E79,TRUE)-_xlfn.NORM.DIST(X$2,$D79,$E79,TRUE))</f>
        <v/>
      </c>
      <c r="Y79">
        <f>IF(NOT(ISNUMBER($D79)),"",_xlfn.NORM.DIST(Y$1,$D79,$E79,TRUE)-_xlfn.NORM.DIST(Y$2,$D79,$E79,TRUE))</f>
        <v/>
      </c>
      <c r="Z79">
        <f>IF(NOT(ISNUMBER($D79)),"",_xlfn.NORM.DIST(Z$1,$D79,$E79,TRUE)-_xlfn.NORM.DIST(Z$2,$D79,$E79,TRUE))</f>
        <v/>
      </c>
      <c r="AA79">
        <f>IF(NOT(ISNUMBER($D79)),"",_xlfn.NORM.DIST(AA$1,$D79,$E79,TRUE)-_xlfn.NORM.DIST(AA$2,$D79,$E79,TRUE))</f>
        <v/>
      </c>
      <c r="AB79">
        <f>IF(NOT(ISNUMBER($D79)),"",_xlfn.NORM.DIST(AB$1,$D79,$E79,TRUE)-_xlfn.NORM.DIST(AB$2,$D79,$E79,TRUE))</f>
        <v/>
      </c>
      <c r="AC79">
        <f>IF(NOT(ISNUMBER($D79)),"",_xlfn.NORM.DIST(AC$1,$D79,$E79,TRUE)-_xlfn.NORM.DIST(AC$2,$D79,$E79,TRUE))</f>
        <v/>
      </c>
      <c r="AD79">
        <f>IF(NOT(ISNUMBER($D79)),"",_xlfn.NORM.DIST(AD$1,$D79,$E79,TRUE)-_xlfn.NORM.DIST(AD$2,$D79,$E79,TRUE))</f>
        <v/>
      </c>
      <c r="AE79">
        <f>IF(NOT(ISNUMBER($D79)),"",_xlfn.NORM.DIST(AE$1,$D79,$E79,TRUE)-_xlfn.NORM.DIST(AE$2,$D79,$E79,TRUE))</f>
        <v/>
      </c>
      <c r="AF79">
        <f>IF(NOT(ISNUMBER($D79)),"",_xlfn.NORM.DIST(AF$1,$D79,$E79,TRUE)-_xlfn.NORM.DIST(AF$2,$D79,$E79,TRUE))</f>
        <v/>
      </c>
      <c r="AG79">
        <f>IF(NOT(ISNUMBER($D79)),"",_xlfn.NORM.DIST(AG$1,$D79,$E79,TRUE)-_xlfn.NORM.DIST(AG$2,$D79,$E79,TRUE))</f>
        <v/>
      </c>
      <c r="AH79">
        <f>IF(NOT(ISNUMBER($D79)),"",_xlfn.NORM.DIST(AH$1,$D79,$E79,TRUE)-_xlfn.NORM.DIST(AH$2,$D79,$E79,TRUE))</f>
        <v/>
      </c>
      <c r="AI79">
        <f>IF(NOT(ISNUMBER($D79)),"",_xlfn.NORM.DIST(AI$1,$D79,$E79,TRUE)-_xlfn.NORM.DIST(AI$2,$D79,$E79,TRUE))</f>
        <v/>
      </c>
      <c r="AJ79">
        <f>IF(NOT(ISNUMBER($D79)),"",_xlfn.NORM.DIST(AJ$1,$D79,$E79,TRUE)-_xlfn.NORM.DIST(AJ$2,$D79,$E79,TRUE))</f>
        <v/>
      </c>
      <c r="AK79">
        <f>IF(NOT(ISNUMBER($D79)),"",_xlfn.NORM.DIST(AK$1,$D79,$E79,TRUE)-_xlfn.NORM.DIST(AK$2,$D79,$E79,TRUE))</f>
        <v/>
      </c>
      <c r="AL79">
        <f>IF(NOT(ISNUMBER($D79)),"",_xlfn.NORM.DIST(AL$1,$D79,$E79,TRUE)-_xlfn.NORM.DIST(AL$2,$D79,$E79,TRUE))</f>
        <v/>
      </c>
      <c r="AM79">
        <f>IF(NOT(ISNUMBER($D79)),"",_xlfn.NORM.DIST(AM$1,$D79,$E79,TRUE)-_xlfn.NORM.DIST(AM$2,$D79,$E79,TRUE))</f>
        <v/>
      </c>
      <c r="AN79">
        <f>IF(NOT(ISNUMBER($D79)),"",_xlfn.NORM.DIST(AN$1,$D79,$E79,TRUE)-_xlfn.NORM.DIST(AN$2,$D79,$E79,TRUE))</f>
        <v/>
      </c>
      <c r="AO79">
        <f>IF(NOT(ISNUMBER($D79)),"",_xlfn.NORM.DIST(AO$1,$D79,$E79,TRUE)-_xlfn.NORM.DIST(AO$2,$D79,$E79,TRUE))</f>
        <v/>
      </c>
      <c r="AP79">
        <f>IF(NOT(ISNUMBER($D79)),"",_xlfn.NORM.DIST(AP$1,$D79,$E79,TRUE)-_xlfn.NORM.DIST(AP$2,$D79,$E79,TRUE))</f>
        <v/>
      </c>
      <c r="AQ79">
        <f>IF(NOT(ISNUMBER($D79)),"",_xlfn.NORM.DIST(AQ$1,$D79,$E79,TRUE)-_xlfn.NORM.DIST(AQ$2,$D79,$E79,TRUE))</f>
        <v/>
      </c>
      <c r="AR79">
        <f>IF(NOT(ISNUMBER($D79)),"",_xlfn.NORM.DIST(AR$1,$D79,$E79,TRUE)-_xlfn.NORM.DIST(AR$2,$D79,$E79,TRUE))</f>
        <v/>
      </c>
      <c r="AS79">
        <f>IF(NOT(ISNUMBER($D79)),"",_xlfn.NORM.DIST(AS$1,$D79,$E79,TRUE)-_xlfn.NORM.DIST(AS$2,$D79,$E79,TRUE))</f>
        <v/>
      </c>
      <c r="AT79">
        <f>IF(NOT(ISNUMBER($D79)),"",_xlfn.NORM.DIST(AT$1,$D79,$E79,TRUE)-_xlfn.NORM.DIST(AT$2,$D79,$E79,TRUE))</f>
        <v/>
      </c>
      <c r="AU79">
        <f>IF(NOT(ISNUMBER($D79)),"",_xlfn.NORM.DIST(AU$1,$D79,$E79,TRUE)-_xlfn.NORM.DIST(AU$2,$D79,$E79,TRUE))</f>
        <v/>
      </c>
      <c r="AV79">
        <f>IF(NOT(ISNUMBER($D79)),"",_xlfn.NORM.DIST(AV$1,$D79,$E79,TRUE)-_xlfn.NORM.DIST(AV$2,$D79,$E79,TRUE))</f>
        <v/>
      </c>
      <c r="AW79">
        <f>IF(NOT(ISNUMBER($D79)),"",_xlfn.NORM.DIST(AW$1,$D79,$E79,TRUE)-_xlfn.NORM.DIST(AW$2,$D79,$E79,TRUE))</f>
        <v/>
      </c>
      <c r="AX79">
        <f>IF(NOT(ISNUMBER($D79)),"",_xlfn.NORM.DIST(AX$1,$D79,$E79,TRUE)-_xlfn.NORM.DIST(AX$2,$D79,$E79,TRUE))</f>
        <v/>
      </c>
      <c r="AY79">
        <f>IF(NOT(ISNUMBER($D79)),"",_xlfn.NORM.DIST(AY$1,$D79,$E79,TRUE)-_xlfn.NORM.DIST(AY$2,$D79,$E79,TRUE))</f>
        <v/>
      </c>
      <c r="AZ79">
        <f>IF(NOT(ISNUMBER($D79)),"",_xlfn.NORM.DIST(AZ$1,$D79,$E79,TRUE)-_xlfn.NORM.DIST(AZ$2,$D79,$E79,TRUE))</f>
        <v/>
      </c>
      <c r="BA79">
        <f>IF(NOT(ISNUMBER($D79)),"",_xlfn.NORM.DIST(BA$1,$D79,$E79,TRUE)-_xlfn.NORM.DIST(BA$2,$D79,$E79,TRUE))</f>
        <v/>
      </c>
      <c r="BB79">
        <f>IF(NOT(ISNUMBER($D79)),"",_xlfn.NORM.DIST(BB$1,$D79,$E79,TRUE)-_xlfn.NORM.DIST(BB$2,$D79,$E79,TRUE))</f>
        <v/>
      </c>
      <c r="BC79">
        <f>IF(NOT(ISNUMBER($D79)),"",_xlfn.NORM.DIST(BC$1,$D79,$E79,TRUE)-_xlfn.NORM.DIST(BC$2,$D79,$E79,TRUE))</f>
        <v/>
      </c>
      <c r="BD79">
        <f>IF(NOT(ISNUMBER($D79)),"",_xlfn.NORM.DIST(BD$1,$D79,$E79,TRUE)-_xlfn.NORM.DIST(BD$2,$D79,$E79,TRUE))</f>
        <v/>
      </c>
      <c r="BE79">
        <f>IF(NOT(ISNUMBER($D79)),"",_xlfn.NORM.DIST(BE$1,$D79,$E79,TRUE)-_xlfn.NORM.DIST(BE$2,$D79,$E79,TRUE))</f>
        <v/>
      </c>
      <c r="BF79">
        <f>IF(NOT(ISNUMBER($D79)),"",_xlfn.NORM.DIST(BF$1,$D79,$E79,TRUE)-_xlfn.NORM.DIST(BF$2,$D79,$E79,TRUE))</f>
        <v/>
      </c>
      <c r="BG79">
        <f>IF(NOT(ISNUMBER($D79)),"",_xlfn.NORM.DIST(BG$1,$D79,$E79,TRUE)-_xlfn.NORM.DIST(BG$2,$D79,$E79,TRUE))</f>
        <v/>
      </c>
      <c r="BH79">
        <f>IF(NOT(ISNUMBER($D79)),"",_xlfn.NORM.DIST(BH$1,$D79,$E79,TRUE)-_xlfn.NORM.DIST(BH$2,$D79,$E79,TRUE))</f>
        <v/>
      </c>
      <c r="BI79">
        <f>IF(NOT(ISNUMBER($D79)),"",_xlfn.NORM.DIST(BI$1,$D79,$E79,TRUE)-_xlfn.NORM.DIST(BI$2,$D79,$E79,TRUE))</f>
        <v/>
      </c>
      <c r="BJ79">
        <f>IF(NOT(ISNUMBER($D79)),"",_xlfn.NORM.DIST(BJ$1,$D79,$E79,TRUE)-_xlfn.NORM.DIST(BJ$2,$D79,$E79,TRUE))</f>
        <v/>
      </c>
      <c r="BK79">
        <f>IF(NOT(ISNUMBER($D79)),"",_xlfn.NORM.DIST(BK$1,$D79,$E79,TRUE)-_xlfn.NORM.DIST(BK$2,$D79,$E79,TRUE))</f>
        <v/>
      </c>
      <c r="BL79">
        <f>IF(NOT(ISNUMBER($D79)),"",_xlfn.NORM.DIST(BL$1,$D79,$E79,TRUE)-_xlfn.NORM.DIST(BL$2,$D79,$E79,TRUE))</f>
        <v/>
      </c>
      <c r="BM79">
        <f>IF(NOT(ISNUMBER($D79)),"",_xlfn.NORM.DIST(BM$1,$D79,$E79,TRUE)-_xlfn.NORM.DIST(BM$2,$D79,$E79,TRUE))</f>
        <v/>
      </c>
      <c r="BN79">
        <f>IF(NOT(ISNUMBER($D79)),"",_xlfn.NORM.DIST(BN$1,$D79,$E79,TRUE)-_xlfn.NORM.DIST(BN$2,$D79,$E79,TRUE))</f>
        <v/>
      </c>
      <c r="BO79">
        <f>IF(NOT(ISNUMBER($D79)),"",_xlfn.NORM.DIST(BO$1,$D79,$E79,TRUE)-_xlfn.NORM.DIST(BO$2,$D79,$E79,TRUE))</f>
        <v/>
      </c>
      <c r="BP79">
        <f>IF(NOT(ISNUMBER($D79)),"",_xlfn.NORM.DIST(BP$1,$D79,$E79,TRUE)-_xlfn.NORM.DIST(BP$2,$D79,$E79,TRUE))</f>
        <v/>
      </c>
      <c r="BQ79">
        <f>IF(NOT(ISNUMBER($D79)),"",_xlfn.NORM.DIST(BQ$1,$D79,$E79,TRUE)-_xlfn.NORM.DIST(BQ$2,$D79,$E79,TRUE))</f>
        <v/>
      </c>
      <c r="BR79">
        <f>IF(NOT(ISNUMBER($D79)),"",_xlfn.NORM.DIST(BR$1,$D79,$E79,TRUE)-_xlfn.NORM.DIST(BR$2,$D79,$E79,TRUE))</f>
        <v/>
      </c>
      <c r="BS79">
        <f>IF(NOT(ISNUMBER($D79)),"",_xlfn.NORM.DIST(BS$1,$D79,$E79,TRUE)-_xlfn.NORM.DIST(BS$2,$D79,$E79,TRUE))</f>
        <v/>
      </c>
      <c r="BT79">
        <f>IF(NOT(ISNUMBER($D79)),"",_xlfn.NORM.DIST(BT$1,$D79,$E79,TRUE)-_xlfn.NORM.DIST(BT$2,$D79,$E79,TRUE))</f>
        <v/>
      </c>
      <c r="BU79">
        <f>IF(NOT(ISNUMBER($D79)),"",_xlfn.NORM.DIST(BU$1,$D79,$E79,TRUE)-_xlfn.NORM.DIST(BU$2,$D79,$E79,TRUE))</f>
        <v/>
      </c>
      <c r="BV79">
        <f>IF(NOT(ISNUMBER($D79)),"",_xlfn.NORM.DIST(BV$1,$D79,$E79,TRUE)-_xlfn.NORM.DIST(BV$2,$D79,$E79,TRUE))</f>
        <v/>
      </c>
      <c r="BW79">
        <f>IF(NOT(ISNUMBER($D79)),"",_xlfn.NORM.DIST(BW$1,$D79,$E79,TRUE)-_xlfn.NORM.DIST(BW$2,$D79,$E79,TRUE))</f>
        <v/>
      </c>
      <c r="BX79">
        <f>IF(NOT(ISNUMBER($D79)),"",_xlfn.NORM.DIST(BX$1,$D79,$E79,TRUE)-_xlfn.NORM.DIST(BX$2,$D79,$E79,TRUE))</f>
        <v/>
      </c>
      <c r="BY79">
        <f>IF(NOT(ISNUMBER($D79)),"",_xlfn.NORM.DIST(BY$1,$D79,$E79,TRUE)-_xlfn.NORM.DIST(BY$2,$D79,$E79,TRUE))</f>
        <v/>
      </c>
      <c r="BZ79">
        <f>IF(NOT(ISNUMBER($D79)),"",_xlfn.NORM.DIST(BZ$1,$D79,$E79,TRUE)-_xlfn.NORM.DIST(BZ$2,$D79,$E79,TRUE))</f>
        <v/>
      </c>
      <c r="CA79">
        <f>IF(NOT(ISNUMBER($D79)),"",_xlfn.NORM.DIST(CA$1,$D79,$E79,TRUE)-_xlfn.NORM.DIST(CA$2,$D79,$E79,TRUE))</f>
        <v/>
      </c>
      <c r="CB79">
        <f>IF(NOT(ISNUMBER($D79)),"",_xlfn.NORM.DIST(CB$1,$D79,$E79,TRUE)-_xlfn.NORM.DIST(CB$2,$D79,$E79,TRUE))</f>
        <v/>
      </c>
      <c r="CC79">
        <f>IF(NOT(ISNUMBER($D79)),"",_xlfn.NORM.DIST(CC$1,$D79,$E79,TRUE)-_xlfn.NORM.DIST(CC$2,$D79,$E79,TRUE))</f>
        <v/>
      </c>
      <c r="CD79">
        <f>IF(NOT(ISNUMBER($D79)),"",_xlfn.NORM.DIST(CD$1,$D79,$E79,TRUE)-_xlfn.NORM.DIST(CD$2,$D79,$E79,TRUE))</f>
        <v/>
      </c>
      <c r="CE79">
        <f>IF(NOT(ISNUMBER($D79)),"",_xlfn.NORM.DIST(CE$1,$D79,$E79,TRUE)-_xlfn.NORM.DIST(CE$2,$D79,$E79,TRUE))</f>
        <v/>
      </c>
      <c r="CF79">
        <f>IF(NOT(ISNUMBER($D79)),"",_xlfn.NORM.DIST(CF$1,$D79,$E79,TRUE)-_xlfn.NORM.DIST(CF$2,$D79,$E79,TRUE))</f>
        <v/>
      </c>
      <c r="CG79">
        <f>IF(NOT(ISNUMBER($D79)),"",_xlfn.NORM.DIST(CG$1,$D79,$E79,TRUE)-_xlfn.NORM.DIST(CG$2,$D79,$E79,TRUE))</f>
        <v/>
      </c>
      <c r="CH79">
        <f>IF(NOT(ISNUMBER($D79)),"",_xlfn.NORM.DIST(CH$1,$D79,$E79,TRUE)-_xlfn.NORM.DIST(CH$2,$D79,$E79,TRUE))</f>
        <v/>
      </c>
      <c r="CI79">
        <f>IF(NOT(ISNUMBER($D79)),"",_xlfn.NORM.DIST(CI$1,$D79,$E79,TRUE)-_xlfn.NORM.DIST(CI$2,$D79,$E79,TRUE))</f>
        <v/>
      </c>
      <c r="CJ79">
        <f>IF(ISNUMBER($D79),SUM(F79:CI79),"")</f>
        <v/>
      </c>
    </row>
    <row r="80">
      <c r="A80">
        <f>economics!A79</f>
        <v/>
      </c>
      <c r="B80">
        <f>economics!B79</f>
        <v/>
      </c>
      <c r="C80">
        <f>economics!D79</f>
        <v/>
      </c>
      <c r="D80">
        <f>IF(ISNUMBER(economics!T79),economics!T79,"na")</f>
        <v/>
      </c>
      <c r="E80">
        <f>IF(ISNUMBER(D80),MAX(0.3*ABS(D80),0.000001),"na")</f>
        <v/>
      </c>
      <c r="F80">
        <f>IF(NOT(ISNUMBER($D80)),"",_xlfn.NORM.DIST(F$1,$D80,$E80,TRUE)-_xlfn.NORM.DIST(F$2,$D80,$E80,TRUE))</f>
        <v/>
      </c>
      <c r="G80">
        <f>IF(NOT(ISNUMBER($D80)),"",_xlfn.NORM.DIST(G$1,$D80,$E80,TRUE)-_xlfn.NORM.DIST(G$2,$D80,$E80,TRUE))</f>
        <v/>
      </c>
      <c r="H80">
        <f>IF(NOT(ISNUMBER($D80)),"",_xlfn.NORM.DIST(H$1,$D80,$E80,TRUE)-_xlfn.NORM.DIST(H$2,$D80,$E80,TRUE))</f>
        <v/>
      </c>
      <c r="I80">
        <f>IF(NOT(ISNUMBER($D80)),"",_xlfn.NORM.DIST(I$1,$D80,$E80,TRUE)-_xlfn.NORM.DIST(I$2,$D80,$E80,TRUE))</f>
        <v/>
      </c>
      <c r="J80">
        <f>IF(NOT(ISNUMBER($D80)),"",_xlfn.NORM.DIST(J$1,$D80,$E80,TRUE)-_xlfn.NORM.DIST(J$2,$D80,$E80,TRUE))</f>
        <v/>
      </c>
      <c r="K80">
        <f>IF(NOT(ISNUMBER($D80)),"",_xlfn.NORM.DIST(K$1,$D80,$E80,TRUE)-_xlfn.NORM.DIST(K$2,$D80,$E80,TRUE))</f>
        <v/>
      </c>
      <c r="L80">
        <f>IF(NOT(ISNUMBER($D80)),"",_xlfn.NORM.DIST(L$1,$D80,$E80,TRUE)-_xlfn.NORM.DIST(L$2,$D80,$E80,TRUE))</f>
        <v/>
      </c>
      <c r="M80">
        <f>IF(NOT(ISNUMBER($D80)),"",_xlfn.NORM.DIST(M$1,$D80,$E80,TRUE)-_xlfn.NORM.DIST(M$2,$D80,$E80,TRUE))</f>
        <v/>
      </c>
      <c r="N80">
        <f>IF(NOT(ISNUMBER($D80)),"",_xlfn.NORM.DIST(N$1,$D80,$E80,TRUE)-_xlfn.NORM.DIST(N$2,$D80,$E80,TRUE))</f>
        <v/>
      </c>
      <c r="O80">
        <f>IF(NOT(ISNUMBER($D80)),"",_xlfn.NORM.DIST(O$1,$D80,$E80,TRUE)-_xlfn.NORM.DIST(O$2,$D80,$E80,TRUE))</f>
        <v/>
      </c>
      <c r="P80">
        <f>IF(NOT(ISNUMBER($D80)),"",_xlfn.NORM.DIST(P$1,$D80,$E80,TRUE)-_xlfn.NORM.DIST(P$2,$D80,$E80,TRUE))</f>
        <v/>
      </c>
      <c r="Q80">
        <f>IF(NOT(ISNUMBER($D80)),"",_xlfn.NORM.DIST(Q$1,$D80,$E80,TRUE)-_xlfn.NORM.DIST(Q$2,$D80,$E80,TRUE))</f>
        <v/>
      </c>
      <c r="R80">
        <f>IF(NOT(ISNUMBER($D80)),"",_xlfn.NORM.DIST(R$1,$D80,$E80,TRUE)-_xlfn.NORM.DIST(R$2,$D80,$E80,TRUE))</f>
        <v/>
      </c>
      <c r="S80">
        <f>IF(NOT(ISNUMBER($D80)),"",_xlfn.NORM.DIST(S$1,$D80,$E80,TRUE)-_xlfn.NORM.DIST(S$2,$D80,$E80,TRUE))</f>
        <v/>
      </c>
      <c r="T80">
        <f>IF(NOT(ISNUMBER($D80)),"",_xlfn.NORM.DIST(T$1,$D80,$E80,TRUE)-_xlfn.NORM.DIST(T$2,$D80,$E80,TRUE))</f>
        <v/>
      </c>
      <c r="U80">
        <f>IF(NOT(ISNUMBER($D80)),"",_xlfn.NORM.DIST(U$1,$D80,$E80,TRUE)-_xlfn.NORM.DIST(U$2,$D80,$E80,TRUE))</f>
        <v/>
      </c>
      <c r="V80">
        <f>IF(NOT(ISNUMBER($D80)),"",_xlfn.NORM.DIST(V$1,$D80,$E80,TRUE)-_xlfn.NORM.DIST(V$2,$D80,$E80,TRUE))</f>
        <v/>
      </c>
      <c r="W80">
        <f>IF(NOT(ISNUMBER($D80)),"",_xlfn.NORM.DIST(W$1,$D80,$E80,TRUE)-_xlfn.NORM.DIST(W$2,$D80,$E80,TRUE))</f>
        <v/>
      </c>
      <c r="X80">
        <f>IF(NOT(ISNUMBER($D80)),"",_xlfn.NORM.DIST(X$1,$D80,$E80,TRUE)-_xlfn.NORM.DIST(X$2,$D80,$E80,TRUE))</f>
        <v/>
      </c>
      <c r="Y80">
        <f>IF(NOT(ISNUMBER($D80)),"",_xlfn.NORM.DIST(Y$1,$D80,$E80,TRUE)-_xlfn.NORM.DIST(Y$2,$D80,$E80,TRUE))</f>
        <v/>
      </c>
      <c r="Z80">
        <f>IF(NOT(ISNUMBER($D80)),"",_xlfn.NORM.DIST(Z$1,$D80,$E80,TRUE)-_xlfn.NORM.DIST(Z$2,$D80,$E80,TRUE))</f>
        <v/>
      </c>
      <c r="AA80">
        <f>IF(NOT(ISNUMBER($D80)),"",_xlfn.NORM.DIST(AA$1,$D80,$E80,TRUE)-_xlfn.NORM.DIST(AA$2,$D80,$E80,TRUE))</f>
        <v/>
      </c>
      <c r="AB80">
        <f>IF(NOT(ISNUMBER($D80)),"",_xlfn.NORM.DIST(AB$1,$D80,$E80,TRUE)-_xlfn.NORM.DIST(AB$2,$D80,$E80,TRUE))</f>
        <v/>
      </c>
      <c r="AC80">
        <f>IF(NOT(ISNUMBER($D80)),"",_xlfn.NORM.DIST(AC$1,$D80,$E80,TRUE)-_xlfn.NORM.DIST(AC$2,$D80,$E80,TRUE))</f>
        <v/>
      </c>
      <c r="AD80">
        <f>IF(NOT(ISNUMBER($D80)),"",_xlfn.NORM.DIST(AD$1,$D80,$E80,TRUE)-_xlfn.NORM.DIST(AD$2,$D80,$E80,TRUE))</f>
        <v/>
      </c>
      <c r="AE80">
        <f>IF(NOT(ISNUMBER($D80)),"",_xlfn.NORM.DIST(AE$1,$D80,$E80,TRUE)-_xlfn.NORM.DIST(AE$2,$D80,$E80,TRUE))</f>
        <v/>
      </c>
      <c r="AF80">
        <f>IF(NOT(ISNUMBER($D80)),"",_xlfn.NORM.DIST(AF$1,$D80,$E80,TRUE)-_xlfn.NORM.DIST(AF$2,$D80,$E80,TRUE))</f>
        <v/>
      </c>
      <c r="AG80">
        <f>IF(NOT(ISNUMBER($D80)),"",_xlfn.NORM.DIST(AG$1,$D80,$E80,TRUE)-_xlfn.NORM.DIST(AG$2,$D80,$E80,TRUE))</f>
        <v/>
      </c>
      <c r="AH80">
        <f>IF(NOT(ISNUMBER($D80)),"",_xlfn.NORM.DIST(AH$1,$D80,$E80,TRUE)-_xlfn.NORM.DIST(AH$2,$D80,$E80,TRUE))</f>
        <v/>
      </c>
      <c r="AI80">
        <f>IF(NOT(ISNUMBER($D80)),"",_xlfn.NORM.DIST(AI$1,$D80,$E80,TRUE)-_xlfn.NORM.DIST(AI$2,$D80,$E80,TRUE))</f>
        <v/>
      </c>
      <c r="AJ80">
        <f>IF(NOT(ISNUMBER($D80)),"",_xlfn.NORM.DIST(AJ$1,$D80,$E80,TRUE)-_xlfn.NORM.DIST(AJ$2,$D80,$E80,TRUE))</f>
        <v/>
      </c>
      <c r="AK80">
        <f>IF(NOT(ISNUMBER($D80)),"",_xlfn.NORM.DIST(AK$1,$D80,$E80,TRUE)-_xlfn.NORM.DIST(AK$2,$D80,$E80,TRUE))</f>
        <v/>
      </c>
      <c r="AL80">
        <f>IF(NOT(ISNUMBER($D80)),"",_xlfn.NORM.DIST(AL$1,$D80,$E80,TRUE)-_xlfn.NORM.DIST(AL$2,$D80,$E80,TRUE))</f>
        <v/>
      </c>
      <c r="AM80">
        <f>IF(NOT(ISNUMBER($D80)),"",_xlfn.NORM.DIST(AM$1,$D80,$E80,TRUE)-_xlfn.NORM.DIST(AM$2,$D80,$E80,TRUE))</f>
        <v/>
      </c>
      <c r="AN80">
        <f>IF(NOT(ISNUMBER($D80)),"",_xlfn.NORM.DIST(AN$1,$D80,$E80,TRUE)-_xlfn.NORM.DIST(AN$2,$D80,$E80,TRUE))</f>
        <v/>
      </c>
      <c r="AO80">
        <f>IF(NOT(ISNUMBER($D80)),"",_xlfn.NORM.DIST(AO$1,$D80,$E80,TRUE)-_xlfn.NORM.DIST(AO$2,$D80,$E80,TRUE))</f>
        <v/>
      </c>
      <c r="AP80">
        <f>IF(NOT(ISNUMBER($D80)),"",_xlfn.NORM.DIST(AP$1,$D80,$E80,TRUE)-_xlfn.NORM.DIST(AP$2,$D80,$E80,TRUE))</f>
        <v/>
      </c>
      <c r="AQ80">
        <f>IF(NOT(ISNUMBER($D80)),"",_xlfn.NORM.DIST(AQ$1,$D80,$E80,TRUE)-_xlfn.NORM.DIST(AQ$2,$D80,$E80,TRUE))</f>
        <v/>
      </c>
      <c r="AR80">
        <f>IF(NOT(ISNUMBER($D80)),"",_xlfn.NORM.DIST(AR$1,$D80,$E80,TRUE)-_xlfn.NORM.DIST(AR$2,$D80,$E80,TRUE))</f>
        <v/>
      </c>
      <c r="AS80">
        <f>IF(NOT(ISNUMBER($D80)),"",_xlfn.NORM.DIST(AS$1,$D80,$E80,TRUE)-_xlfn.NORM.DIST(AS$2,$D80,$E80,TRUE))</f>
        <v/>
      </c>
      <c r="AT80">
        <f>IF(NOT(ISNUMBER($D80)),"",_xlfn.NORM.DIST(AT$1,$D80,$E80,TRUE)-_xlfn.NORM.DIST(AT$2,$D80,$E80,TRUE))</f>
        <v/>
      </c>
      <c r="AU80">
        <f>IF(NOT(ISNUMBER($D80)),"",_xlfn.NORM.DIST(AU$1,$D80,$E80,TRUE)-_xlfn.NORM.DIST(AU$2,$D80,$E80,TRUE))</f>
        <v/>
      </c>
      <c r="AV80">
        <f>IF(NOT(ISNUMBER($D80)),"",_xlfn.NORM.DIST(AV$1,$D80,$E80,TRUE)-_xlfn.NORM.DIST(AV$2,$D80,$E80,TRUE))</f>
        <v/>
      </c>
      <c r="AW80">
        <f>IF(NOT(ISNUMBER($D80)),"",_xlfn.NORM.DIST(AW$1,$D80,$E80,TRUE)-_xlfn.NORM.DIST(AW$2,$D80,$E80,TRUE))</f>
        <v/>
      </c>
      <c r="AX80">
        <f>IF(NOT(ISNUMBER($D80)),"",_xlfn.NORM.DIST(AX$1,$D80,$E80,TRUE)-_xlfn.NORM.DIST(AX$2,$D80,$E80,TRUE))</f>
        <v/>
      </c>
      <c r="AY80">
        <f>IF(NOT(ISNUMBER($D80)),"",_xlfn.NORM.DIST(AY$1,$D80,$E80,TRUE)-_xlfn.NORM.DIST(AY$2,$D80,$E80,TRUE))</f>
        <v/>
      </c>
      <c r="AZ80">
        <f>IF(NOT(ISNUMBER($D80)),"",_xlfn.NORM.DIST(AZ$1,$D80,$E80,TRUE)-_xlfn.NORM.DIST(AZ$2,$D80,$E80,TRUE))</f>
        <v/>
      </c>
      <c r="BA80">
        <f>IF(NOT(ISNUMBER($D80)),"",_xlfn.NORM.DIST(BA$1,$D80,$E80,TRUE)-_xlfn.NORM.DIST(BA$2,$D80,$E80,TRUE))</f>
        <v/>
      </c>
      <c r="BB80">
        <f>IF(NOT(ISNUMBER($D80)),"",_xlfn.NORM.DIST(BB$1,$D80,$E80,TRUE)-_xlfn.NORM.DIST(BB$2,$D80,$E80,TRUE))</f>
        <v/>
      </c>
      <c r="BC80">
        <f>IF(NOT(ISNUMBER($D80)),"",_xlfn.NORM.DIST(BC$1,$D80,$E80,TRUE)-_xlfn.NORM.DIST(BC$2,$D80,$E80,TRUE))</f>
        <v/>
      </c>
      <c r="BD80">
        <f>IF(NOT(ISNUMBER($D80)),"",_xlfn.NORM.DIST(BD$1,$D80,$E80,TRUE)-_xlfn.NORM.DIST(BD$2,$D80,$E80,TRUE))</f>
        <v/>
      </c>
      <c r="BE80">
        <f>IF(NOT(ISNUMBER($D80)),"",_xlfn.NORM.DIST(BE$1,$D80,$E80,TRUE)-_xlfn.NORM.DIST(BE$2,$D80,$E80,TRUE))</f>
        <v/>
      </c>
      <c r="BF80">
        <f>IF(NOT(ISNUMBER($D80)),"",_xlfn.NORM.DIST(BF$1,$D80,$E80,TRUE)-_xlfn.NORM.DIST(BF$2,$D80,$E80,TRUE))</f>
        <v/>
      </c>
      <c r="BG80">
        <f>IF(NOT(ISNUMBER($D80)),"",_xlfn.NORM.DIST(BG$1,$D80,$E80,TRUE)-_xlfn.NORM.DIST(BG$2,$D80,$E80,TRUE))</f>
        <v/>
      </c>
      <c r="BH80">
        <f>IF(NOT(ISNUMBER($D80)),"",_xlfn.NORM.DIST(BH$1,$D80,$E80,TRUE)-_xlfn.NORM.DIST(BH$2,$D80,$E80,TRUE))</f>
        <v/>
      </c>
      <c r="BI80">
        <f>IF(NOT(ISNUMBER($D80)),"",_xlfn.NORM.DIST(BI$1,$D80,$E80,TRUE)-_xlfn.NORM.DIST(BI$2,$D80,$E80,TRUE))</f>
        <v/>
      </c>
      <c r="BJ80">
        <f>IF(NOT(ISNUMBER($D80)),"",_xlfn.NORM.DIST(BJ$1,$D80,$E80,TRUE)-_xlfn.NORM.DIST(BJ$2,$D80,$E80,TRUE))</f>
        <v/>
      </c>
      <c r="BK80">
        <f>IF(NOT(ISNUMBER($D80)),"",_xlfn.NORM.DIST(BK$1,$D80,$E80,TRUE)-_xlfn.NORM.DIST(BK$2,$D80,$E80,TRUE))</f>
        <v/>
      </c>
      <c r="BL80">
        <f>IF(NOT(ISNUMBER($D80)),"",_xlfn.NORM.DIST(BL$1,$D80,$E80,TRUE)-_xlfn.NORM.DIST(BL$2,$D80,$E80,TRUE))</f>
        <v/>
      </c>
      <c r="BM80">
        <f>IF(NOT(ISNUMBER($D80)),"",_xlfn.NORM.DIST(BM$1,$D80,$E80,TRUE)-_xlfn.NORM.DIST(BM$2,$D80,$E80,TRUE))</f>
        <v/>
      </c>
      <c r="BN80">
        <f>IF(NOT(ISNUMBER($D80)),"",_xlfn.NORM.DIST(BN$1,$D80,$E80,TRUE)-_xlfn.NORM.DIST(BN$2,$D80,$E80,TRUE))</f>
        <v/>
      </c>
      <c r="BO80">
        <f>IF(NOT(ISNUMBER($D80)),"",_xlfn.NORM.DIST(BO$1,$D80,$E80,TRUE)-_xlfn.NORM.DIST(BO$2,$D80,$E80,TRUE))</f>
        <v/>
      </c>
      <c r="BP80">
        <f>IF(NOT(ISNUMBER($D80)),"",_xlfn.NORM.DIST(BP$1,$D80,$E80,TRUE)-_xlfn.NORM.DIST(BP$2,$D80,$E80,TRUE))</f>
        <v/>
      </c>
      <c r="BQ80">
        <f>IF(NOT(ISNUMBER($D80)),"",_xlfn.NORM.DIST(BQ$1,$D80,$E80,TRUE)-_xlfn.NORM.DIST(BQ$2,$D80,$E80,TRUE))</f>
        <v/>
      </c>
      <c r="BR80">
        <f>IF(NOT(ISNUMBER($D80)),"",_xlfn.NORM.DIST(BR$1,$D80,$E80,TRUE)-_xlfn.NORM.DIST(BR$2,$D80,$E80,TRUE))</f>
        <v/>
      </c>
      <c r="BS80">
        <f>IF(NOT(ISNUMBER($D80)),"",_xlfn.NORM.DIST(BS$1,$D80,$E80,TRUE)-_xlfn.NORM.DIST(BS$2,$D80,$E80,TRUE))</f>
        <v/>
      </c>
      <c r="BT80">
        <f>IF(NOT(ISNUMBER($D80)),"",_xlfn.NORM.DIST(BT$1,$D80,$E80,TRUE)-_xlfn.NORM.DIST(BT$2,$D80,$E80,TRUE))</f>
        <v/>
      </c>
      <c r="BU80">
        <f>IF(NOT(ISNUMBER($D80)),"",_xlfn.NORM.DIST(BU$1,$D80,$E80,TRUE)-_xlfn.NORM.DIST(BU$2,$D80,$E80,TRUE))</f>
        <v/>
      </c>
      <c r="BV80">
        <f>IF(NOT(ISNUMBER($D80)),"",_xlfn.NORM.DIST(BV$1,$D80,$E80,TRUE)-_xlfn.NORM.DIST(BV$2,$D80,$E80,TRUE))</f>
        <v/>
      </c>
      <c r="BW80">
        <f>IF(NOT(ISNUMBER($D80)),"",_xlfn.NORM.DIST(BW$1,$D80,$E80,TRUE)-_xlfn.NORM.DIST(BW$2,$D80,$E80,TRUE))</f>
        <v/>
      </c>
      <c r="BX80">
        <f>IF(NOT(ISNUMBER($D80)),"",_xlfn.NORM.DIST(BX$1,$D80,$E80,TRUE)-_xlfn.NORM.DIST(BX$2,$D80,$E80,TRUE))</f>
        <v/>
      </c>
      <c r="BY80">
        <f>IF(NOT(ISNUMBER($D80)),"",_xlfn.NORM.DIST(BY$1,$D80,$E80,TRUE)-_xlfn.NORM.DIST(BY$2,$D80,$E80,TRUE))</f>
        <v/>
      </c>
      <c r="BZ80">
        <f>IF(NOT(ISNUMBER($D80)),"",_xlfn.NORM.DIST(BZ$1,$D80,$E80,TRUE)-_xlfn.NORM.DIST(BZ$2,$D80,$E80,TRUE))</f>
        <v/>
      </c>
      <c r="CA80">
        <f>IF(NOT(ISNUMBER($D80)),"",_xlfn.NORM.DIST(CA$1,$D80,$E80,TRUE)-_xlfn.NORM.DIST(CA$2,$D80,$E80,TRUE))</f>
        <v/>
      </c>
      <c r="CB80">
        <f>IF(NOT(ISNUMBER($D80)),"",_xlfn.NORM.DIST(CB$1,$D80,$E80,TRUE)-_xlfn.NORM.DIST(CB$2,$D80,$E80,TRUE))</f>
        <v/>
      </c>
      <c r="CC80">
        <f>IF(NOT(ISNUMBER($D80)),"",_xlfn.NORM.DIST(CC$1,$D80,$E80,TRUE)-_xlfn.NORM.DIST(CC$2,$D80,$E80,TRUE))</f>
        <v/>
      </c>
      <c r="CD80">
        <f>IF(NOT(ISNUMBER($D80)),"",_xlfn.NORM.DIST(CD$1,$D80,$E80,TRUE)-_xlfn.NORM.DIST(CD$2,$D80,$E80,TRUE))</f>
        <v/>
      </c>
      <c r="CE80">
        <f>IF(NOT(ISNUMBER($D80)),"",_xlfn.NORM.DIST(CE$1,$D80,$E80,TRUE)-_xlfn.NORM.DIST(CE$2,$D80,$E80,TRUE))</f>
        <v/>
      </c>
      <c r="CF80">
        <f>IF(NOT(ISNUMBER($D80)),"",_xlfn.NORM.DIST(CF$1,$D80,$E80,TRUE)-_xlfn.NORM.DIST(CF$2,$D80,$E80,TRUE))</f>
        <v/>
      </c>
      <c r="CG80">
        <f>IF(NOT(ISNUMBER($D80)),"",_xlfn.NORM.DIST(CG$1,$D80,$E80,TRUE)-_xlfn.NORM.DIST(CG$2,$D80,$E80,TRUE))</f>
        <v/>
      </c>
      <c r="CH80">
        <f>IF(NOT(ISNUMBER($D80)),"",_xlfn.NORM.DIST(CH$1,$D80,$E80,TRUE)-_xlfn.NORM.DIST(CH$2,$D80,$E80,TRUE))</f>
        <v/>
      </c>
      <c r="CI80">
        <f>IF(NOT(ISNUMBER($D80)),"",_xlfn.NORM.DIST(CI$1,$D80,$E80,TRUE)-_xlfn.NORM.DIST(CI$2,$D80,$E80,TRUE))</f>
        <v/>
      </c>
      <c r="CJ80">
        <f>IF(ISNUMBER($D80),SUM(F80:CI80),"")</f>
        <v/>
      </c>
    </row>
    <row r="81">
      <c r="A81">
        <f>economics!A80</f>
        <v/>
      </c>
      <c r="B81">
        <f>economics!B80</f>
        <v/>
      </c>
      <c r="C81">
        <f>economics!D80</f>
        <v/>
      </c>
      <c r="D81">
        <f>IF(ISNUMBER(economics!T80),economics!T80,"na")</f>
        <v/>
      </c>
      <c r="E81">
        <f>IF(ISNUMBER(D81),MAX(0.3*ABS(D81),0.000001),"na")</f>
        <v/>
      </c>
      <c r="F81">
        <f>IF(NOT(ISNUMBER($D81)),"",_xlfn.NORM.DIST(F$1,$D81,$E81,TRUE)-_xlfn.NORM.DIST(F$2,$D81,$E81,TRUE))</f>
        <v/>
      </c>
      <c r="G81">
        <f>IF(NOT(ISNUMBER($D81)),"",_xlfn.NORM.DIST(G$1,$D81,$E81,TRUE)-_xlfn.NORM.DIST(G$2,$D81,$E81,TRUE))</f>
        <v/>
      </c>
      <c r="H81">
        <f>IF(NOT(ISNUMBER($D81)),"",_xlfn.NORM.DIST(H$1,$D81,$E81,TRUE)-_xlfn.NORM.DIST(H$2,$D81,$E81,TRUE))</f>
        <v/>
      </c>
      <c r="I81">
        <f>IF(NOT(ISNUMBER($D81)),"",_xlfn.NORM.DIST(I$1,$D81,$E81,TRUE)-_xlfn.NORM.DIST(I$2,$D81,$E81,TRUE))</f>
        <v/>
      </c>
      <c r="J81">
        <f>IF(NOT(ISNUMBER($D81)),"",_xlfn.NORM.DIST(J$1,$D81,$E81,TRUE)-_xlfn.NORM.DIST(J$2,$D81,$E81,TRUE))</f>
        <v/>
      </c>
      <c r="K81">
        <f>IF(NOT(ISNUMBER($D81)),"",_xlfn.NORM.DIST(K$1,$D81,$E81,TRUE)-_xlfn.NORM.DIST(K$2,$D81,$E81,TRUE))</f>
        <v/>
      </c>
      <c r="L81">
        <f>IF(NOT(ISNUMBER($D81)),"",_xlfn.NORM.DIST(L$1,$D81,$E81,TRUE)-_xlfn.NORM.DIST(L$2,$D81,$E81,TRUE))</f>
        <v/>
      </c>
      <c r="M81">
        <f>IF(NOT(ISNUMBER($D81)),"",_xlfn.NORM.DIST(M$1,$D81,$E81,TRUE)-_xlfn.NORM.DIST(M$2,$D81,$E81,TRUE))</f>
        <v/>
      </c>
      <c r="N81">
        <f>IF(NOT(ISNUMBER($D81)),"",_xlfn.NORM.DIST(N$1,$D81,$E81,TRUE)-_xlfn.NORM.DIST(N$2,$D81,$E81,TRUE))</f>
        <v/>
      </c>
      <c r="O81">
        <f>IF(NOT(ISNUMBER($D81)),"",_xlfn.NORM.DIST(O$1,$D81,$E81,TRUE)-_xlfn.NORM.DIST(O$2,$D81,$E81,TRUE))</f>
        <v/>
      </c>
      <c r="P81">
        <f>IF(NOT(ISNUMBER($D81)),"",_xlfn.NORM.DIST(P$1,$D81,$E81,TRUE)-_xlfn.NORM.DIST(P$2,$D81,$E81,TRUE))</f>
        <v/>
      </c>
      <c r="Q81">
        <f>IF(NOT(ISNUMBER($D81)),"",_xlfn.NORM.DIST(Q$1,$D81,$E81,TRUE)-_xlfn.NORM.DIST(Q$2,$D81,$E81,TRUE))</f>
        <v/>
      </c>
      <c r="R81">
        <f>IF(NOT(ISNUMBER($D81)),"",_xlfn.NORM.DIST(R$1,$D81,$E81,TRUE)-_xlfn.NORM.DIST(R$2,$D81,$E81,TRUE))</f>
        <v/>
      </c>
      <c r="S81">
        <f>IF(NOT(ISNUMBER($D81)),"",_xlfn.NORM.DIST(S$1,$D81,$E81,TRUE)-_xlfn.NORM.DIST(S$2,$D81,$E81,TRUE))</f>
        <v/>
      </c>
      <c r="T81">
        <f>IF(NOT(ISNUMBER($D81)),"",_xlfn.NORM.DIST(T$1,$D81,$E81,TRUE)-_xlfn.NORM.DIST(T$2,$D81,$E81,TRUE))</f>
        <v/>
      </c>
      <c r="U81">
        <f>IF(NOT(ISNUMBER($D81)),"",_xlfn.NORM.DIST(U$1,$D81,$E81,TRUE)-_xlfn.NORM.DIST(U$2,$D81,$E81,TRUE))</f>
        <v/>
      </c>
      <c r="V81">
        <f>IF(NOT(ISNUMBER($D81)),"",_xlfn.NORM.DIST(V$1,$D81,$E81,TRUE)-_xlfn.NORM.DIST(V$2,$D81,$E81,TRUE))</f>
        <v/>
      </c>
      <c r="W81">
        <f>IF(NOT(ISNUMBER($D81)),"",_xlfn.NORM.DIST(W$1,$D81,$E81,TRUE)-_xlfn.NORM.DIST(W$2,$D81,$E81,TRUE))</f>
        <v/>
      </c>
      <c r="X81">
        <f>IF(NOT(ISNUMBER($D81)),"",_xlfn.NORM.DIST(X$1,$D81,$E81,TRUE)-_xlfn.NORM.DIST(X$2,$D81,$E81,TRUE))</f>
        <v/>
      </c>
      <c r="Y81">
        <f>IF(NOT(ISNUMBER($D81)),"",_xlfn.NORM.DIST(Y$1,$D81,$E81,TRUE)-_xlfn.NORM.DIST(Y$2,$D81,$E81,TRUE))</f>
        <v/>
      </c>
      <c r="Z81">
        <f>IF(NOT(ISNUMBER($D81)),"",_xlfn.NORM.DIST(Z$1,$D81,$E81,TRUE)-_xlfn.NORM.DIST(Z$2,$D81,$E81,TRUE))</f>
        <v/>
      </c>
      <c r="AA81">
        <f>IF(NOT(ISNUMBER($D81)),"",_xlfn.NORM.DIST(AA$1,$D81,$E81,TRUE)-_xlfn.NORM.DIST(AA$2,$D81,$E81,TRUE))</f>
        <v/>
      </c>
      <c r="AB81">
        <f>IF(NOT(ISNUMBER($D81)),"",_xlfn.NORM.DIST(AB$1,$D81,$E81,TRUE)-_xlfn.NORM.DIST(AB$2,$D81,$E81,TRUE))</f>
        <v/>
      </c>
      <c r="AC81">
        <f>IF(NOT(ISNUMBER($D81)),"",_xlfn.NORM.DIST(AC$1,$D81,$E81,TRUE)-_xlfn.NORM.DIST(AC$2,$D81,$E81,TRUE))</f>
        <v/>
      </c>
      <c r="AD81">
        <f>IF(NOT(ISNUMBER($D81)),"",_xlfn.NORM.DIST(AD$1,$D81,$E81,TRUE)-_xlfn.NORM.DIST(AD$2,$D81,$E81,TRUE))</f>
        <v/>
      </c>
      <c r="AE81">
        <f>IF(NOT(ISNUMBER($D81)),"",_xlfn.NORM.DIST(AE$1,$D81,$E81,TRUE)-_xlfn.NORM.DIST(AE$2,$D81,$E81,TRUE))</f>
        <v/>
      </c>
      <c r="AF81">
        <f>IF(NOT(ISNUMBER($D81)),"",_xlfn.NORM.DIST(AF$1,$D81,$E81,TRUE)-_xlfn.NORM.DIST(AF$2,$D81,$E81,TRUE))</f>
        <v/>
      </c>
      <c r="AG81">
        <f>IF(NOT(ISNUMBER($D81)),"",_xlfn.NORM.DIST(AG$1,$D81,$E81,TRUE)-_xlfn.NORM.DIST(AG$2,$D81,$E81,TRUE))</f>
        <v/>
      </c>
      <c r="AH81">
        <f>IF(NOT(ISNUMBER($D81)),"",_xlfn.NORM.DIST(AH$1,$D81,$E81,TRUE)-_xlfn.NORM.DIST(AH$2,$D81,$E81,TRUE))</f>
        <v/>
      </c>
      <c r="AI81">
        <f>IF(NOT(ISNUMBER($D81)),"",_xlfn.NORM.DIST(AI$1,$D81,$E81,TRUE)-_xlfn.NORM.DIST(AI$2,$D81,$E81,TRUE))</f>
        <v/>
      </c>
      <c r="AJ81">
        <f>IF(NOT(ISNUMBER($D81)),"",_xlfn.NORM.DIST(AJ$1,$D81,$E81,TRUE)-_xlfn.NORM.DIST(AJ$2,$D81,$E81,TRUE))</f>
        <v/>
      </c>
      <c r="AK81">
        <f>IF(NOT(ISNUMBER($D81)),"",_xlfn.NORM.DIST(AK$1,$D81,$E81,TRUE)-_xlfn.NORM.DIST(AK$2,$D81,$E81,TRUE))</f>
        <v/>
      </c>
      <c r="AL81">
        <f>IF(NOT(ISNUMBER($D81)),"",_xlfn.NORM.DIST(AL$1,$D81,$E81,TRUE)-_xlfn.NORM.DIST(AL$2,$D81,$E81,TRUE))</f>
        <v/>
      </c>
      <c r="AM81">
        <f>IF(NOT(ISNUMBER($D81)),"",_xlfn.NORM.DIST(AM$1,$D81,$E81,TRUE)-_xlfn.NORM.DIST(AM$2,$D81,$E81,TRUE))</f>
        <v/>
      </c>
      <c r="AN81">
        <f>IF(NOT(ISNUMBER($D81)),"",_xlfn.NORM.DIST(AN$1,$D81,$E81,TRUE)-_xlfn.NORM.DIST(AN$2,$D81,$E81,TRUE))</f>
        <v/>
      </c>
      <c r="AO81">
        <f>IF(NOT(ISNUMBER($D81)),"",_xlfn.NORM.DIST(AO$1,$D81,$E81,TRUE)-_xlfn.NORM.DIST(AO$2,$D81,$E81,TRUE))</f>
        <v/>
      </c>
      <c r="AP81">
        <f>IF(NOT(ISNUMBER($D81)),"",_xlfn.NORM.DIST(AP$1,$D81,$E81,TRUE)-_xlfn.NORM.DIST(AP$2,$D81,$E81,TRUE))</f>
        <v/>
      </c>
      <c r="AQ81">
        <f>IF(NOT(ISNUMBER($D81)),"",_xlfn.NORM.DIST(AQ$1,$D81,$E81,TRUE)-_xlfn.NORM.DIST(AQ$2,$D81,$E81,TRUE))</f>
        <v/>
      </c>
      <c r="AR81">
        <f>IF(NOT(ISNUMBER($D81)),"",_xlfn.NORM.DIST(AR$1,$D81,$E81,TRUE)-_xlfn.NORM.DIST(AR$2,$D81,$E81,TRUE))</f>
        <v/>
      </c>
      <c r="AS81">
        <f>IF(NOT(ISNUMBER($D81)),"",_xlfn.NORM.DIST(AS$1,$D81,$E81,TRUE)-_xlfn.NORM.DIST(AS$2,$D81,$E81,TRUE))</f>
        <v/>
      </c>
      <c r="AT81">
        <f>IF(NOT(ISNUMBER($D81)),"",_xlfn.NORM.DIST(AT$1,$D81,$E81,TRUE)-_xlfn.NORM.DIST(AT$2,$D81,$E81,TRUE))</f>
        <v/>
      </c>
      <c r="AU81">
        <f>IF(NOT(ISNUMBER($D81)),"",_xlfn.NORM.DIST(AU$1,$D81,$E81,TRUE)-_xlfn.NORM.DIST(AU$2,$D81,$E81,TRUE))</f>
        <v/>
      </c>
      <c r="AV81">
        <f>IF(NOT(ISNUMBER($D81)),"",_xlfn.NORM.DIST(AV$1,$D81,$E81,TRUE)-_xlfn.NORM.DIST(AV$2,$D81,$E81,TRUE))</f>
        <v/>
      </c>
      <c r="AW81">
        <f>IF(NOT(ISNUMBER($D81)),"",_xlfn.NORM.DIST(AW$1,$D81,$E81,TRUE)-_xlfn.NORM.DIST(AW$2,$D81,$E81,TRUE))</f>
        <v/>
      </c>
      <c r="AX81">
        <f>IF(NOT(ISNUMBER($D81)),"",_xlfn.NORM.DIST(AX$1,$D81,$E81,TRUE)-_xlfn.NORM.DIST(AX$2,$D81,$E81,TRUE))</f>
        <v/>
      </c>
      <c r="AY81">
        <f>IF(NOT(ISNUMBER($D81)),"",_xlfn.NORM.DIST(AY$1,$D81,$E81,TRUE)-_xlfn.NORM.DIST(AY$2,$D81,$E81,TRUE))</f>
        <v/>
      </c>
      <c r="AZ81">
        <f>IF(NOT(ISNUMBER($D81)),"",_xlfn.NORM.DIST(AZ$1,$D81,$E81,TRUE)-_xlfn.NORM.DIST(AZ$2,$D81,$E81,TRUE))</f>
        <v/>
      </c>
      <c r="BA81">
        <f>IF(NOT(ISNUMBER($D81)),"",_xlfn.NORM.DIST(BA$1,$D81,$E81,TRUE)-_xlfn.NORM.DIST(BA$2,$D81,$E81,TRUE))</f>
        <v/>
      </c>
      <c r="BB81">
        <f>IF(NOT(ISNUMBER($D81)),"",_xlfn.NORM.DIST(BB$1,$D81,$E81,TRUE)-_xlfn.NORM.DIST(BB$2,$D81,$E81,TRUE))</f>
        <v/>
      </c>
      <c r="BC81">
        <f>IF(NOT(ISNUMBER($D81)),"",_xlfn.NORM.DIST(BC$1,$D81,$E81,TRUE)-_xlfn.NORM.DIST(BC$2,$D81,$E81,TRUE))</f>
        <v/>
      </c>
      <c r="BD81">
        <f>IF(NOT(ISNUMBER($D81)),"",_xlfn.NORM.DIST(BD$1,$D81,$E81,TRUE)-_xlfn.NORM.DIST(BD$2,$D81,$E81,TRUE))</f>
        <v/>
      </c>
      <c r="BE81">
        <f>IF(NOT(ISNUMBER($D81)),"",_xlfn.NORM.DIST(BE$1,$D81,$E81,TRUE)-_xlfn.NORM.DIST(BE$2,$D81,$E81,TRUE))</f>
        <v/>
      </c>
      <c r="BF81">
        <f>IF(NOT(ISNUMBER($D81)),"",_xlfn.NORM.DIST(BF$1,$D81,$E81,TRUE)-_xlfn.NORM.DIST(BF$2,$D81,$E81,TRUE))</f>
        <v/>
      </c>
      <c r="BG81">
        <f>IF(NOT(ISNUMBER($D81)),"",_xlfn.NORM.DIST(BG$1,$D81,$E81,TRUE)-_xlfn.NORM.DIST(BG$2,$D81,$E81,TRUE))</f>
        <v/>
      </c>
      <c r="BH81">
        <f>IF(NOT(ISNUMBER($D81)),"",_xlfn.NORM.DIST(BH$1,$D81,$E81,TRUE)-_xlfn.NORM.DIST(BH$2,$D81,$E81,TRUE))</f>
        <v/>
      </c>
      <c r="BI81">
        <f>IF(NOT(ISNUMBER($D81)),"",_xlfn.NORM.DIST(BI$1,$D81,$E81,TRUE)-_xlfn.NORM.DIST(BI$2,$D81,$E81,TRUE))</f>
        <v/>
      </c>
      <c r="BJ81">
        <f>IF(NOT(ISNUMBER($D81)),"",_xlfn.NORM.DIST(BJ$1,$D81,$E81,TRUE)-_xlfn.NORM.DIST(BJ$2,$D81,$E81,TRUE))</f>
        <v/>
      </c>
      <c r="BK81">
        <f>IF(NOT(ISNUMBER($D81)),"",_xlfn.NORM.DIST(BK$1,$D81,$E81,TRUE)-_xlfn.NORM.DIST(BK$2,$D81,$E81,TRUE))</f>
        <v/>
      </c>
      <c r="BL81">
        <f>IF(NOT(ISNUMBER($D81)),"",_xlfn.NORM.DIST(BL$1,$D81,$E81,TRUE)-_xlfn.NORM.DIST(BL$2,$D81,$E81,TRUE))</f>
        <v/>
      </c>
      <c r="BM81">
        <f>IF(NOT(ISNUMBER($D81)),"",_xlfn.NORM.DIST(BM$1,$D81,$E81,TRUE)-_xlfn.NORM.DIST(BM$2,$D81,$E81,TRUE))</f>
        <v/>
      </c>
      <c r="BN81">
        <f>IF(NOT(ISNUMBER($D81)),"",_xlfn.NORM.DIST(BN$1,$D81,$E81,TRUE)-_xlfn.NORM.DIST(BN$2,$D81,$E81,TRUE))</f>
        <v/>
      </c>
      <c r="BO81">
        <f>IF(NOT(ISNUMBER($D81)),"",_xlfn.NORM.DIST(BO$1,$D81,$E81,TRUE)-_xlfn.NORM.DIST(BO$2,$D81,$E81,TRUE))</f>
        <v/>
      </c>
      <c r="BP81">
        <f>IF(NOT(ISNUMBER($D81)),"",_xlfn.NORM.DIST(BP$1,$D81,$E81,TRUE)-_xlfn.NORM.DIST(BP$2,$D81,$E81,TRUE))</f>
        <v/>
      </c>
      <c r="BQ81">
        <f>IF(NOT(ISNUMBER($D81)),"",_xlfn.NORM.DIST(BQ$1,$D81,$E81,TRUE)-_xlfn.NORM.DIST(BQ$2,$D81,$E81,TRUE))</f>
        <v/>
      </c>
      <c r="BR81">
        <f>IF(NOT(ISNUMBER($D81)),"",_xlfn.NORM.DIST(BR$1,$D81,$E81,TRUE)-_xlfn.NORM.DIST(BR$2,$D81,$E81,TRUE))</f>
        <v/>
      </c>
      <c r="BS81">
        <f>IF(NOT(ISNUMBER($D81)),"",_xlfn.NORM.DIST(BS$1,$D81,$E81,TRUE)-_xlfn.NORM.DIST(BS$2,$D81,$E81,TRUE))</f>
        <v/>
      </c>
      <c r="BT81">
        <f>IF(NOT(ISNUMBER($D81)),"",_xlfn.NORM.DIST(BT$1,$D81,$E81,TRUE)-_xlfn.NORM.DIST(BT$2,$D81,$E81,TRUE))</f>
        <v/>
      </c>
      <c r="BU81">
        <f>IF(NOT(ISNUMBER($D81)),"",_xlfn.NORM.DIST(BU$1,$D81,$E81,TRUE)-_xlfn.NORM.DIST(BU$2,$D81,$E81,TRUE))</f>
        <v/>
      </c>
      <c r="BV81">
        <f>IF(NOT(ISNUMBER($D81)),"",_xlfn.NORM.DIST(BV$1,$D81,$E81,TRUE)-_xlfn.NORM.DIST(BV$2,$D81,$E81,TRUE))</f>
        <v/>
      </c>
      <c r="BW81">
        <f>IF(NOT(ISNUMBER($D81)),"",_xlfn.NORM.DIST(BW$1,$D81,$E81,TRUE)-_xlfn.NORM.DIST(BW$2,$D81,$E81,TRUE))</f>
        <v/>
      </c>
      <c r="BX81">
        <f>IF(NOT(ISNUMBER($D81)),"",_xlfn.NORM.DIST(BX$1,$D81,$E81,TRUE)-_xlfn.NORM.DIST(BX$2,$D81,$E81,TRUE))</f>
        <v/>
      </c>
      <c r="BY81">
        <f>IF(NOT(ISNUMBER($D81)),"",_xlfn.NORM.DIST(BY$1,$D81,$E81,TRUE)-_xlfn.NORM.DIST(BY$2,$D81,$E81,TRUE))</f>
        <v/>
      </c>
      <c r="BZ81">
        <f>IF(NOT(ISNUMBER($D81)),"",_xlfn.NORM.DIST(BZ$1,$D81,$E81,TRUE)-_xlfn.NORM.DIST(BZ$2,$D81,$E81,TRUE))</f>
        <v/>
      </c>
      <c r="CA81">
        <f>IF(NOT(ISNUMBER($D81)),"",_xlfn.NORM.DIST(CA$1,$D81,$E81,TRUE)-_xlfn.NORM.DIST(CA$2,$D81,$E81,TRUE))</f>
        <v/>
      </c>
      <c r="CB81">
        <f>IF(NOT(ISNUMBER($D81)),"",_xlfn.NORM.DIST(CB$1,$D81,$E81,TRUE)-_xlfn.NORM.DIST(CB$2,$D81,$E81,TRUE))</f>
        <v/>
      </c>
      <c r="CC81">
        <f>IF(NOT(ISNUMBER($D81)),"",_xlfn.NORM.DIST(CC$1,$D81,$E81,TRUE)-_xlfn.NORM.DIST(CC$2,$D81,$E81,TRUE))</f>
        <v/>
      </c>
      <c r="CD81">
        <f>IF(NOT(ISNUMBER($D81)),"",_xlfn.NORM.DIST(CD$1,$D81,$E81,TRUE)-_xlfn.NORM.DIST(CD$2,$D81,$E81,TRUE))</f>
        <v/>
      </c>
      <c r="CE81">
        <f>IF(NOT(ISNUMBER($D81)),"",_xlfn.NORM.DIST(CE$1,$D81,$E81,TRUE)-_xlfn.NORM.DIST(CE$2,$D81,$E81,TRUE))</f>
        <v/>
      </c>
      <c r="CF81">
        <f>IF(NOT(ISNUMBER($D81)),"",_xlfn.NORM.DIST(CF$1,$D81,$E81,TRUE)-_xlfn.NORM.DIST(CF$2,$D81,$E81,TRUE))</f>
        <v/>
      </c>
      <c r="CG81">
        <f>IF(NOT(ISNUMBER($D81)),"",_xlfn.NORM.DIST(CG$1,$D81,$E81,TRUE)-_xlfn.NORM.DIST(CG$2,$D81,$E81,TRUE))</f>
        <v/>
      </c>
      <c r="CH81">
        <f>IF(NOT(ISNUMBER($D81)),"",_xlfn.NORM.DIST(CH$1,$D81,$E81,TRUE)-_xlfn.NORM.DIST(CH$2,$D81,$E81,TRUE))</f>
        <v/>
      </c>
      <c r="CI81">
        <f>IF(NOT(ISNUMBER($D81)),"",_xlfn.NORM.DIST(CI$1,$D81,$E81,TRUE)-_xlfn.NORM.DIST(CI$2,$D81,$E81,TRUE))</f>
        <v/>
      </c>
      <c r="CJ81">
        <f>IF(ISNUMBER($D81),SUM(F81:CI81),"")</f>
        <v/>
      </c>
    </row>
    <row r="82">
      <c r="A82">
        <f>economics!A81</f>
        <v/>
      </c>
      <c r="B82">
        <f>economics!B81</f>
        <v/>
      </c>
      <c r="C82">
        <f>economics!D81</f>
        <v/>
      </c>
      <c r="D82">
        <f>IF(ISNUMBER(economics!T81),economics!T81,"na")</f>
        <v/>
      </c>
      <c r="E82">
        <f>IF(ISNUMBER(D82),MAX(0.3*ABS(D82),0.000001),"na")</f>
        <v/>
      </c>
      <c r="F82">
        <f>IF(NOT(ISNUMBER($D82)),"",_xlfn.NORM.DIST(F$1,$D82,$E82,TRUE)-_xlfn.NORM.DIST(F$2,$D82,$E82,TRUE))</f>
        <v/>
      </c>
      <c r="G82">
        <f>IF(NOT(ISNUMBER($D82)),"",_xlfn.NORM.DIST(G$1,$D82,$E82,TRUE)-_xlfn.NORM.DIST(G$2,$D82,$E82,TRUE))</f>
        <v/>
      </c>
      <c r="H82">
        <f>IF(NOT(ISNUMBER($D82)),"",_xlfn.NORM.DIST(H$1,$D82,$E82,TRUE)-_xlfn.NORM.DIST(H$2,$D82,$E82,TRUE))</f>
        <v/>
      </c>
      <c r="I82">
        <f>IF(NOT(ISNUMBER($D82)),"",_xlfn.NORM.DIST(I$1,$D82,$E82,TRUE)-_xlfn.NORM.DIST(I$2,$D82,$E82,TRUE))</f>
        <v/>
      </c>
      <c r="J82">
        <f>IF(NOT(ISNUMBER($D82)),"",_xlfn.NORM.DIST(J$1,$D82,$E82,TRUE)-_xlfn.NORM.DIST(J$2,$D82,$E82,TRUE))</f>
        <v/>
      </c>
      <c r="K82">
        <f>IF(NOT(ISNUMBER($D82)),"",_xlfn.NORM.DIST(K$1,$D82,$E82,TRUE)-_xlfn.NORM.DIST(K$2,$D82,$E82,TRUE))</f>
        <v/>
      </c>
      <c r="L82">
        <f>IF(NOT(ISNUMBER($D82)),"",_xlfn.NORM.DIST(L$1,$D82,$E82,TRUE)-_xlfn.NORM.DIST(L$2,$D82,$E82,TRUE))</f>
        <v/>
      </c>
      <c r="M82">
        <f>IF(NOT(ISNUMBER($D82)),"",_xlfn.NORM.DIST(M$1,$D82,$E82,TRUE)-_xlfn.NORM.DIST(M$2,$D82,$E82,TRUE))</f>
        <v/>
      </c>
      <c r="N82">
        <f>IF(NOT(ISNUMBER($D82)),"",_xlfn.NORM.DIST(N$1,$D82,$E82,TRUE)-_xlfn.NORM.DIST(N$2,$D82,$E82,TRUE))</f>
        <v/>
      </c>
      <c r="O82">
        <f>IF(NOT(ISNUMBER($D82)),"",_xlfn.NORM.DIST(O$1,$D82,$E82,TRUE)-_xlfn.NORM.DIST(O$2,$D82,$E82,TRUE))</f>
        <v/>
      </c>
      <c r="P82">
        <f>IF(NOT(ISNUMBER($D82)),"",_xlfn.NORM.DIST(P$1,$D82,$E82,TRUE)-_xlfn.NORM.DIST(P$2,$D82,$E82,TRUE))</f>
        <v/>
      </c>
      <c r="Q82">
        <f>IF(NOT(ISNUMBER($D82)),"",_xlfn.NORM.DIST(Q$1,$D82,$E82,TRUE)-_xlfn.NORM.DIST(Q$2,$D82,$E82,TRUE))</f>
        <v/>
      </c>
      <c r="R82">
        <f>IF(NOT(ISNUMBER($D82)),"",_xlfn.NORM.DIST(R$1,$D82,$E82,TRUE)-_xlfn.NORM.DIST(R$2,$D82,$E82,TRUE))</f>
        <v/>
      </c>
      <c r="S82">
        <f>IF(NOT(ISNUMBER($D82)),"",_xlfn.NORM.DIST(S$1,$D82,$E82,TRUE)-_xlfn.NORM.DIST(S$2,$D82,$E82,TRUE))</f>
        <v/>
      </c>
      <c r="T82">
        <f>IF(NOT(ISNUMBER($D82)),"",_xlfn.NORM.DIST(T$1,$D82,$E82,TRUE)-_xlfn.NORM.DIST(T$2,$D82,$E82,TRUE))</f>
        <v/>
      </c>
      <c r="U82">
        <f>IF(NOT(ISNUMBER($D82)),"",_xlfn.NORM.DIST(U$1,$D82,$E82,TRUE)-_xlfn.NORM.DIST(U$2,$D82,$E82,TRUE))</f>
        <v/>
      </c>
      <c r="V82">
        <f>IF(NOT(ISNUMBER($D82)),"",_xlfn.NORM.DIST(V$1,$D82,$E82,TRUE)-_xlfn.NORM.DIST(V$2,$D82,$E82,TRUE))</f>
        <v/>
      </c>
      <c r="W82">
        <f>IF(NOT(ISNUMBER($D82)),"",_xlfn.NORM.DIST(W$1,$D82,$E82,TRUE)-_xlfn.NORM.DIST(W$2,$D82,$E82,TRUE))</f>
        <v/>
      </c>
      <c r="X82">
        <f>IF(NOT(ISNUMBER($D82)),"",_xlfn.NORM.DIST(X$1,$D82,$E82,TRUE)-_xlfn.NORM.DIST(X$2,$D82,$E82,TRUE))</f>
        <v/>
      </c>
      <c r="Y82">
        <f>IF(NOT(ISNUMBER($D82)),"",_xlfn.NORM.DIST(Y$1,$D82,$E82,TRUE)-_xlfn.NORM.DIST(Y$2,$D82,$E82,TRUE))</f>
        <v/>
      </c>
      <c r="Z82">
        <f>IF(NOT(ISNUMBER($D82)),"",_xlfn.NORM.DIST(Z$1,$D82,$E82,TRUE)-_xlfn.NORM.DIST(Z$2,$D82,$E82,TRUE))</f>
        <v/>
      </c>
      <c r="AA82">
        <f>IF(NOT(ISNUMBER($D82)),"",_xlfn.NORM.DIST(AA$1,$D82,$E82,TRUE)-_xlfn.NORM.DIST(AA$2,$D82,$E82,TRUE))</f>
        <v/>
      </c>
      <c r="AB82">
        <f>IF(NOT(ISNUMBER($D82)),"",_xlfn.NORM.DIST(AB$1,$D82,$E82,TRUE)-_xlfn.NORM.DIST(AB$2,$D82,$E82,TRUE))</f>
        <v/>
      </c>
      <c r="AC82">
        <f>IF(NOT(ISNUMBER($D82)),"",_xlfn.NORM.DIST(AC$1,$D82,$E82,TRUE)-_xlfn.NORM.DIST(AC$2,$D82,$E82,TRUE))</f>
        <v/>
      </c>
      <c r="AD82">
        <f>IF(NOT(ISNUMBER($D82)),"",_xlfn.NORM.DIST(AD$1,$D82,$E82,TRUE)-_xlfn.NORM.DIST(AD$2,$D82,$E82,TRUE))</f>
        <v/>
      </c>
      <c r="AE82">
        <f>IF(NOT(ISNUMBER($D82)),"",_xlfn.NORM.DIST(AE$1,$D82,$E82,TRUE)-_xlfn.NORM.DIST(AE$2,$D82,$E82,TRUE))</f>
        <v/>
      </c>
      <c r="AF82">
        <f>IF(NOT(ISNUMBER($D82)),"",_xlfn.NORM.DIST(AF$1,$D82,$E82,TRUE)-_xlfn.NORM.DIST(AF$2,$D82,$E82,TRUE))</f>
        <v/>
      </c>
      <c r="AG82">
        <f>IF(NOT(ISNUMBER($D82)),"",_xlfn.NORM.DIST(AG$1,$D82,$E82,TRUE)-_xlfn.NORM.DIST(AG$2,$D82,$E82,TRUE))</f>
        <v/>
      </c>
      <c r="AH82">
        <f>IF(NOT(ISNUMBER($D82)),"",_xlfn.NORM.DIST(AH$1,$D82,$E82,TRUE)-_xlfn.NORM.DIST(AH$2,$D82,$E82,TRUE))</f>
        <v/>
      </c>
      <c r="AI82">
        <f>IF(NOT(ISNUMBER($D82)),"",_xlfn.NORM.DIST(AI$1,$D82,$E82,TRUE)-_xlfn.NORM.DIST(AI$2,$D82,$E82,TRUE))</f>
        <v/>
      </c>
      <c r="AJ82">
        <f>IF(NOT(ISNUMBER($D82)),"",_xlfn.NORM.DIST(AJ$1,$D82,$E82,TRUE)-_xlfn.NORM.DIST(AJ$2,$D82,$E82,TRUE))</f>
        <v/>
      </c>
      <c r="AK82">
        <f>IF(NOT(ISNUMBER($D82)),"",_xlfn.NORM.DIST(AK$1,$D82,$E82,TRUE)-_xlfn.NORM.DIST(AK$2,$D82,$E82,TRUE))</f>
        <v/>
      </c>
      <c r="AL82">
        <f>IF(NOT(ISNUMBER($D82)),"",_xlfn.NORM.DIST(AL$1,$D82,$E82,TRUE)-_xlfn.NORM.DIST(AL$2,$D82,$E82,TRUE))</f>
        <v/>
      </c>
      <c r="AM82">
        <f>IF(NOT(ISNUMBER($D82)),"",_xlfn.NORM.DIST(AM$1,$D82,$E82,TRUE)-_xlfn.NORM.DIST(AM$2,$D82,$E82,TRUE))</f>
        <v/>
      </c>
      <c r="AN82">
        <f>IF(NOT(ISNUMBER($D82)),"",_xlfn.NORM.DIST(AN$1,$D82,$E82,TRUE)-_xlfn.NORM.DIST(AN$2,$D82,$E82,TRUE))</f>
        <v/>
      </c>
      <c r="AO82">
        <f>IF(NOT(ISNUMBER($D82)),"",_xlfn.NORM.DIST(AO$1,$D82,$E82,TRUE)-_xlfn.NORM.DIST(AO$2,$D82,$E82,TRUE))</f>
        <v/>
      </c>
      <c r="AP82">
        <f>IF(NOT(ISNUMBER($D82)),"",_xlfn.NORM.DIST(AP$1,$D82,$E82,TRUE)-_xlfn.NORM.DIST(AP$2,$D82,$E82,TRUE))</f>
        <v/>
      </c>
      <c r="AQ82">
        <f>IF(NOT(ISNUMBER($D82)),"",_xlfn.NORM.DIST(AQ$1,$D82,$E82,TRUE)-_xlfn.NORM.DIST(AQ$2,$D82,$E82,TRUE))</f>
        <v/>
      </c>
      <c r="AR82">
        <f>IF(NOT(ISNUMBER($D82)),"",_xlfn.NORM.DIST(AR$1,$D82,$E82,TRUE)-_xlfn.NORM.DIST(AR$2,$D82,$E82,TRUE))</f>
        <v/>
      </c>
      <c r="AS82">
        <f>IF(NOT(ISNUMBER($D82)),"",_xlfn.NORM.DIST(AS$1,$D82,$E82,TRUE)-_xlfn.NORM.DIST(AS$2,$D82,$E82,TRUE))</f>
        <v/>
      </c>
      <c r="AT82">
        <f>IF(NOT(ISNUMBER($D82)),"",_xlfn.NORM.DIST(AT$1,$D82,$E82,TRUE)-_xlfn.NORM.DIST(AT$2,$D82,$E82,TRUE))</f>
        <v/>
      </c>
      <c r="AU82">
        <f>IF(NOT(ISNUMBER($D82)),"",_xlfn.NORM.DIST(AU$1,$D82,$E82,TRUE)-_xlfn.NORM.DIST(AU$2,$D82,$E82,TRUE))</f>
        <v/>
      </c>
      <c r="AV82">
        <f>IF(NOT(ISNUMBER($D82)),"",_xlfn.NORM.DIST(AV$1,$D82,$E82,TRUE)-_xlfn.NORM.DIST(AV$2,$D82,$E82,TRUE))</f>
        <v/>
      </c>
      <c r="AW82">
        <f>IF(NOT(ISNUMBER($D82)),"",_xlfn.NORM.DIST(AW$1,$D82,$E82,TRUE)-_xlfn.NORM.DIST(AW$2,$D82,$E82,TRUE))</f>
        <v/>
      </c>
      <c r="AX82">
        <f>IF(NOT(ISNUMBER($D82)),"",_xlfn.NORM.DIST(AX$1,$D82,$E82,TRUE)-_xlfn.NORM.DIST(AX$2,$D82,$E82,TRUE))</f>
        <v/>
      </c>
      <c r="AY82">
        <f>IF(NOT(ISNUMBER($D82)),"",_xlfn.NORM.DIST(AY$1,$D82,$E82,TRUE)-_xlfn.NORM.DIST(AY$2,$D82,$E82,TRUE))</f>
        <v/>
      </c>
      <c r="AZ82">
        <f>IF(NOT(ISNUMBER($D82)),"",_xlfn.NORM.DIST(AZ$1,$D82,$E82,TRUE)-_xlfn.NORM.DIST(AZ$2,$D82,$E82,TRUE))</f>
        <v/>
      </c>
      <c r="BA82">
        <f>IF(NOT(ISNUMBER($D82)),"",_xlfn.NORM.DIST(BA$1,$D82,$E82,TRUE)-_xlfn.NORM.DIST(BA$2,$D82,$E82,TRUE))</f>
        <v/>
      </c>
      <c r="BB82">
        <f>IF(NOT(ISNUMBER($D82)),"",_xlfn.NORM.DIST(BB$1,$D82,$E82,TRUE)-_xlfn.NORM.DIST(BB$2,$D82,$E82,TRUE))</f>
        <v/>
      </c>
      <c r="BC82">
        <f>IF(NOT(ISNUMBER($D82)),"",_xlfn.NORM.DIST(BC$1,$D82,$E82,TRUE)-_xlfn.NORM.DIST(BC$2,$D82,$E82,TRUE))</f>
        <v/>
      </c>
      <c r="BD82">
        <f>IF(NOT(ISNUMBER($D82)),"",_xlfn.NORM.DIST(BD$1,$D82,$E82,TRUE)-_xlfn.NORM.DIST(BD$2,$D82,$E82,TRUE))</f>
        <v/>
      </c>
      <c r="BE82">
        <f>IF(NOT(ISNUMBER($D82)),"",_xlfn.NORM.DIST(BE$1,$D82,$E82,TRUE)-_xlfn.NORM.DIST(BE$2,$D82,$E82,TRUE))</f>
        <v/>
      </c>
      <c r="BF82">
        <f>IF(NOT(ISNUMBER($D82)),"",_xlfn.NORM.DIST(BF$1,$D82,$E82,TRUE)-_xlfn.NORM.DIST(BF$2,$D82,$E82,TRUE))</f>
        <v/>
      </c>
      <c r="BG82">
        <f>IF(NOT(ISNUMBER($D82)),"",_xlfn.NORM.DIST(BG$1,$D82,$E82,TRUE)-_xlfn.NORM.DIST(BG$2,$D82,$E82,TRUE))</f>
        <v/>
      </c>
      <c r="BH82">
        <f>IF(NOT(ISNUMBER($D82)),"",_xlfn.NORM.DIST(BH$1,$D82,$E82,TRUE)-_xlfn.NORM.DIST(BH$2,$D82,$E82,TRUE))</f>
        <v/>
      </c>
      <c r="BI82">
        <f>IF(NOT(ISNUMBER($D82)),"",_xlfn.NORM.DIST(BI$1,$D82,$E82,TRUE)-_xlfn.NORM.DIST(BI$2,$D82,$E82,TRUE))</f>
        <v/>
      </c>
      <c r="BJ82">
        <f>IF(NOT(ISNUMBER($D82)),"",_xlfn.NORM.DIST(BJ$1,$D82,$E82,TRUE)-_xlfn.NORM.DIST(BJ$2,$D82,$E82,TRUE))</f>
        <v/>
      </c>
      <c r="BK82">
        <f>IF(NOT(ISNUMBER($D82)),"",_xlfn.NORM.DIST(BK$1,$D82,$E82,TRUE)-_xlfn.NORM.DIST(BK$2,$D82,$E82,TRUE))</f>
        <v/>
      </c>
      <c r="BL82">
        <f>IF(NOT(ISNUMBER($D82)),"",_xlfn.NORM.DIST(BL$1,$D82,$E82,TRUE)-_xlfn.NORM.DIST(BL$2,$D82,$E82,TRUE))</f>
        <v/>
      </c>
      <c r="BM82">
        <f>IF(NOT(ISNUMBER($D82)),"",_xlfn.NORM.DIST(BM$1,$D82,$E82,TRUE)-_xlfn.NORM.DIST(BM$2,$D82,$E82,TRUE))</f>
        <v/>
      </c>
      <c r="BN82">
        <f>IF(NOT(ISNUMBER($D82)),"",_xlfn.NORM.DIST(BN$1,$D82,$E82,TRUE)-_xlfn.NORM.DIST(BN$2,$D82,$E82,TRUE))</f>
        <v/>
      </c>
      <c r="BO82">
        <f>IF(NOT(ISNUMBER($D82)),"",_xlfn.NORM.DIST(BO$1,$D82,$E82,TRUE)-_xlfn.NORM.DIST(BO$2,$D82,$E82,TRUE))</f>
        <v/>
      </c>
      <c r="BP82">
        <f>IF(NOT(ISNUMBER($D82)),"",_xlfn.NORM.DIST(BP$1,$D82,$E82,TRUE)-_xlfn.NORM.DIST(BP$2,$D82,$E82,TRUE))</f>
        <v/>
      </c>
      <c r="BQ82">
        <f>IF(NOT(ISNUMBER($D82)),"",_xlfn.NORM.DIST(BQ$1,$D82,$E82,TRUE)-_xlfn.NORM.DIST(BQ$2,$D82,$E82,TRUE))</f>
        <v/>
      </c>
      <c r="BR82">
        <f>IF(NOT(ISNUMBER($D82)),"",_xlfn.NORM.DIST(BR$1,$D82,$E82,TRUE)-_xlfn.NORM.DIST(BR$2,$D82,$E82,TRUE))</f>
        <v/>
      </c>
      <c r="BS82">
        <f>IF(NOT(ISNUMBER($D82)),"",_xlfn.NORM.DIST(BS$1,$D82,$E82,TRUE)-_xlfn.NORM.DIST(BS$2,$D82,$E82,TRUE))</f>
        <v/>
      </c>
      <c r="BT82">
        <f>IF(NOT(ISNUMBER($D82)),"",_xlfn.NORM.DIST(BT$1,$D82,$E82,TRUE)-_xlfn.NORM.DIST(BT$2,$D82,$E82,TRUE))</f>
        <v/>
      </c>
      <c r="BU82">
        <f>IF(NOT(ISNUMBER($D82)),"",_xlfn.NORM.DIST(BU$1,$D82,$E82,TRUE)-_xlfn.NORM.DIST(BU$2,$D82,$E82,TRUE))</f>
        <v/>
      </c>
      <c r="BV82">
        <f>IF(NOT(ISNUMBER($D82)),"",_xlfn.NORM.DIST(BV$1,$D82,$E82,TRUE)-_xlfn.NORM.DIST(BV$2,$D82,$E82,TRUE))</f>
        <v/>
      </c>
      <c r="BW82">
        <f>IF(NOT(ISNUMBER($D82)),"",_xlfn.NORM.DIST(BW$1,$D82,$E82,TRUE)-_xlfn.NORM.DIST(BW$2,$D82,$E82,TRUE))</f>
        <v/>
      </c>
      <c r="BX82">
        <f>IF(NOT(ISNUMBER($D82)),"",_xlfn.NORM.DIST(BX$1,$D82,$E82,TRUE)-_xlfn.NORM.DIST(BX$2,$D82,$E82,TRUE))</f>
        <v/>
      </c>
      <c r="BY82">
        <f>IF(NOT(ISNUMBER($D82)),"",_xlfn.NORM.DIST(BY$1,$D82,$E82,TRUE)-_xlfn.NORM.DIST(BY$2,$D82,$E82,TRUE))</f>
        <v/>
      </c>
      <c r="BZ82">
        <f>IF(NOT(ISNUMBER($D82)),"",_xlfn.NORM.DIST(BZ$1,$D82,$E82,TRUE)-_xlfn.NORM.DIST(BZ$2,$D82,$E82,TRUE))</f>
        <v/>
      </c>
      <c r="CA82">
        <f>IF(NOT(ISNUMBER($D82)),"",_xlfn.NORM.DIST(CA$1,$D82,$E82,TRUE)-_xlfn.NORM.DIST(CA$2,$D82,$E82,TRUE))</f>
        <v/>
      </c>
      <c r="CB82">
        <f>IF(NOT(ISNUMBER($D82)),"",_xlfn.NORM.DIST(CB$1,$D82,$E82,TRUE)-_xlfn.NORM.DIST(CB$2,$D82,$E82,TRUE))</f>
        <v/>
      </c>
      <c r="CC82">
        <f>IF(NOT(ISNUMBER($D82)),"",_xlfn.NORM.DIST(CC$1,$D82,$E82,TRUE)-_xlfn.NORM.DIST(CC$2,$D82,$E82,TRUE))</f>
        <v/>
      </c>
      <c r="CD82">
        <f>IF(NOT(ISNUMBER($D82)),"",_xlfn.NORM.DIST(CD$1,$D82,$E82,TRUE)-_xlfn.NORM.DIST(CD$2,$D82,$E82,TRUE))</f>
        <v/>
      </c>
      <c r="CE82">
        <f>IF(NOT(ISNUMBER($D82)),"",_xlfn.NORM.DIST(CE$1,$D82,$E82,TRUE)-_xlfn.NORM.DIST(CE$2,$D82,$E82,TRUE))</f>
        <v/>
      </c>
      <c r="CF82">
        <f>IF(NOT(ISNUMBER($D82)),"",_xlfn.NORM.DIST(CF$1,$D82,$E82,TRUE)-_xlfn.NORM.DIST(CF$2,$D82,$E82,TRUE))</f>
        <v/>
      </c>
      <c r="CG82">
        <f>IF(NOT(ISNUMBER($D82)),"",_xlfn.NORM.DIST(CG$1,$D82,$E82,TRUE)-_xlfn.NORM.DIST(CG$2,$D82,$E82,TRUE))</f>
        <v/>
      </c>
      <c r="CH82">
        <f>IF(NOT(ISNUMBER($D82)),"",_xlfn.NORM.DIST(CH$1,$D82,$E82,TRUE)-_xlfn.NORM.DIST(CH$2,$D82,$E82,TRUE))</f>
        <v/>
      </c>
      <c r="CI82">
        <f>IF(NOT(ISNUMBER($D82)),"",_xlfn.NORM.DIST(CI$1,$D82,$E82,TRUE)-_xlfn.NORM.DIST(CI$2,$D82,$E82,TRUE))</f>
        <v/>
      </c>
      <c r="CJ82">
        <f>IF(ISNUMBER($D82),SUM(F82:CI82),"")</f>
        <v/>
      </c>
    </row>
    <row r="83">
      <c r="A83">
        <f>economics!A82</f>
        <v/>
      </c>
      <c r="B83">
        <f>economics!B82</f>
        <v/>
      </c>
      <c r="C83">
        <f>economics!D82</f>
        <v/>
      </c>
      <c r="D83">
        <f>IF(ISNUMBER(economics!T82),economics!T82,"na")</f>
        <v/>
      </c>
      <c r="E83">
        <f>IF(ISNUMBER(D83),MAX(0.3*ABS(D83),0.000001),"na")</f>
        <v/>
      </c>
      <c r="F83">
        <f>IF(NOT(ISNUMBER($D83)),"",_xlfn.NORM.DIST(F$1,$D83,$E83,TRUE)-_xlfn.NORM.DIST(F$2,$D83,$E83,TRUE))</f>
        <v/>
      </c>
      <c r="G83">
        <f>IF(NOT(ISNUMBER($D83)),"",_xlfn.NORM.DIST(G$1,$D83,$E83,TRUE)-_xlfn.NORM.DIST(G$2,$D83,$E83,TRUE))</f>
        <v/>
      </c>
      <c r="H83">
        <f>IF(NOT(ISNUMBER($D83)),"",_xlfn.NORM.DIST(H$1,$D83,$E83,TRUE)-_xlfn.NORM.DIST(H$2,$D83,$E83,TRUE))</f>
        <v/>
      </c>
      <c r="I83">
        <f>IF(NOT(ISNUMBER($D83)),"",_xlfn.NORM.DIST(I$1,$D83,$E83,TRUE)-_xlfn.NORM.DIST(I$2,$D83,$E83,TRUE))</f>
        <v/>
      </c>
      <c r="J83">
        <f>IF(NOT(ISNUMBER($D83)),"",_xlfn.NORM.DIST(J$1,$D83,$E83,TRUE)-_xlfn.NORM.DIST(J$2,$D83,$E83,TRUE))</f>
        <v/>
      </c>
      <c r="K83">
        <f>IF(NOT(ISNUMBER($D83)),"",_xlfn.NORM.DIST(K$1,$D83,$E83,TRUE)-_xlfn.NORM.DIST(K$2,$D83,$E83,TRUE))</f>
        <v/>
      </c>
      <c r="L83">
        <f>IF(NOT(ISNUMBER($D83)),"",_xlfn.NORM.DIST(L$1,$D83,$E83,TRUE)-_xlfn.NORM.DIST(L$2,$D83,$E83,TRUE))</f>
        <v/>
      </c>
      <c r="M83">
        <f>IF(NOT(ISNUMBER($D83)),"",_xlfn.NORM.DIST(M$1,$D83,$E83,TRUE)-_xlfn.NORM.DIST(M$2,$D83,$E83,TRUE))</f>
        <v/>
      </c>
      <c r="N83">
        <f>IF(NOT(ISNUMBER($D83)),"",_xlfn.NORM.DIST(N$1,$D83,$E83,TRUE)-_xlfn.NORM.DIST(N$2,$D83,$E83,TRUE))</f>
        <v/>
      </c>
      <c r="O83">
        <f>IF(NOT(ISNUMBER($D83)),"",_xlfn.NORM.DIST(O$1,$D83,$E83,TRUE)-_xlfn.NORM.DIST(O$2,$D83,$E83,TRUE))</f>
        <v/>
      </c>
      <c r="P83">
        <f>IF(NOT(ISNUMBER($D83)),"",_xlfn.NORM.DIST(P$1,$D83,$E83,TRUE)-_xlfn.NORM.DIST(P$2,$D83,$E83,TRUE))</f>
        <v/>
      </c>
      <c r="Q83">
        <f>IF(NOT(ISNUMBER($D83)),"",_xlfn.NORM.DIST(Q$1,$D83,$E83,TRUE)-_xlfn.NORM.DIST(Q$2,$D83,$E83,TRUE))</f>
        <v/>
      </c>
      <c r="R83">
        <f>IF(NOT(ISNUMBER($D83)),"",_xlfn.NORM.DIST(R$1,$D83,$E83,TRUE)-_xlfn.NORM.DIST(R$2,$D83,$E83,TRUE))</f>
        <v/>
      </c>
      <c r="S83">
        <f>IF(NOT(ISNUMBER($D83)),"",_xlfn.NORM.DIST(S$1,$D83,$E83,TRUE)-_xlfn.NORM.DIST(S$2,$D83,$E83,TRUE))</f>
        <v/>
      </c>
      <c r="T83">
        <f>IF(NOT(ISNUMBER($D83)),"",_xlfn.NORM.DIST(T$1,$D83,$E83,TRUE)-_xlfn.NORM.DIST(T$2,$D83,$E83,TRUE))</f>
        <v/>
      </c>
      <c r="U83">
        <f>IF(NOT(ISNUMBER($D83)),"",_xlfn.NORM.DIST(U$1,$D83,$E83,TRUE)-_xlfn.NORM.DIST(U$2,$D83,$E83,TRUE))</f>
        <v/>
      </c>
      <c r="V83">
        <f>IF(NOT(ISNUMBER($D83)),"",_xlfn.NORM.DIST(V$1,$D83,$E83,TRUE)-_xlfn.NORM.DIST(V$2,$D83,$E83,TRUE))</f>
        <v/>
      </c>
      <c r="W83">
        <f>IF(NOT(ISNUMBER($D83)),"",_xlfn.NORM.DIST(W$1,$D83,$E83,TRUE)-_xlfn.NORM.DIST(W$2,$D83,$E83,TRUE))</f>
        <v/>
      </c>
      <c r="X83">
        <f>IF(NOT(ISNUMBER($D83)),"",_xlfn.NORM.DIST(X$1,$D83,$E83,TRUE)-_xlfn.NORM.DIST(X$2,$D83,$E83,TRUE))</f>
        <v/>
      </c>
      <c r="Y83">
        <f>IF(NOT(ISNUMBER($D83)),"",_xlfn.NORM.DIST(Y$1,$D83,$E83,TRUE)-_xlfn.NORM.DIST(Y$2,$D83,$E83,TRUE))</f>
        <v/>
      </c>
      <c r="Z83">
        <f>IF(NOT(ISNUMBER($D83)),"",_xlfn.NORM.DIST(Z$1,$D83,$E83,TRUE)-_xlfn.NORM.DIST(Z$2,$D83,$E83,TRUE))</f>
        <v/>
      </c>
      <c r="AA83">
        <f>IF(NOT(ISNUMBER($D83)),"",_xlfn.NORM.DIST(AA$1,$D83,$E83,TRUE)-_xlfn.NORM.DIST(AA$2,$D83,$E83,TRUE))</f>
        <v/>
      </c>
      <c r="AB83">
        <f>IF(NOT(ISNUMBER($D83)),"",_xlfn.NORM.DIST(AB$1,$D83,$E83,TRUE)-_xlfn.NORM.DIST(AB$2,$D83,$E83,TRUE))</f>
        <v/>
      </c>
      <c r="AC83">
        <f>IF(NOT(ISNUMBER($D83)),"",_xlfn.NORM.DIST(AC$1,$D83,$E83,TRUE)-_xlfn.NORM.DIST(AC$2,$D83,$E83,TRUE))</f>
        <v/>
      </c>
      <c r="AD83">
        <f>IF(NOT(ISNUMBER($D83)),"",_xlfn.NORM.DIST(AD$1,$D83,$E83,TRUE)-_xlfn.NORM.DIST(AD$2,$D83,$E83,TRUE))</f>
        <v/>
      </c>
      <c r="AE83">
        <f>IF(NOT(ISNUMBER($D83)),"",_xlfn.NORM.DIST(AE$1,$D83,$E83,TRUE)-_xlfn.NORM.DIST(AE$2,$D83,$E83,TRUE))</f>
        <v/>
      </c>
      <c r="AF83">
        <f>IF(NOT(ISNUMBER($D83)),"",_xlfn.NORM.DIST(AF$1,$D83,$E83,TRUE)-_xlfn.NORM.DIST(AF$2,$D83,$E83,TRUE))</f>
        <v/>
      </c>
      <c r="AG83">
        <f>IF(NOT(ISNUMBER($D83)),"",_xlfn.NORM.DIST(AG$1,$D83,$E83,TRUE)-_xlfn.NORM.DIST(AG$2,$D83,$E83,TRUE))</f>
        <v/>
      </c>
      <c r="AH83">
        <f>IF(NOT(ISNUMBER($D83)),"",_xlfn.NORM.DIST(AH$1,$D83,$E83,TRUE)-_xlfn.NORM.DIST(AH$2,$D83,$E83,TRUE))</f>
        <v/>
      </c>
      <c r="AI83">
        <f>IF(NOT(ISNUMBER($D83)),"",_xlfn.NORM.DIST(AI$1,$D83,$E83,TRUE)-_xlfn.NORM.DIST(AI$2,$D83,$E83,TRUE))</f>
        <v/>
      </c>
      <c r="AJ83">
        <f>IF(NOT(ISNUMBER($D83)),"",_xlfn.NORM.DIST(AJ$1,$D83,$E83,TRUE)-_xlfn.NORM.DIST(AJ$2,$D83,$E83,TRUE))</f>
        <v/>
      </c>
      <c r="AK83">
        <f>IF(NOT(ISNUMBER($D83)),"",_xlfn.NORM.DIST(AK$1,$D83,$E83,TRUE)-_xlfn.NORM.DIST(AK$2,$D83,$E83,TRUE))</f>
        <v/>
      </c>
      <c r="AL83">
        <f>IF(NOT(ISNUMBER($D83)),"",_xlfn.NORM.DIST(AL$1,$D83,$E83,TRUE)-_xlfn.NORM.DIST(AL$2,$D83,$E83,TRUE))</f>
        <v/>
      </c>
      <c r="AM83">
        <f>IF(NOT(ISNUMBER($D83)),"",_xlfn.NORM.DIST(AM$1,$D83,$E83,TRUE)-_xlfn.NORM.DIST(AM$2,$D83,$E83,TRUE))</f>
        <v/>
      </c>
      <c r="AN83">
        <f>IF(NOT(ISNUMBER($D83)),"",_xlfn.NORM.DIST(AN$1,$D83,$E83,TRUE)-_xlfn.NORM.DIST(AN$2,$D83,$E83,TRUE))</f>
        <v/>
      </c>
      <c r="AO83">
        <f>IF(NOT(ISNUMBER($D83)),"",_xlfn.NORM.DIST(AO$1,$D83,$E83,TRUE)-_xlfn.NORM.DIST(AO$2,$D83,$E83,TRUE))</f>
        <v/>
      </c>
      <c r="AP83">
        <f>IF(NOT(ISNUMBER($D83)),"",_xlfn.NORM.DIST(AP$1,$D83,$E83,TRUE)-_xlfn.NORM.DIST(AP$2,$D83,$E83,TRUE))</f>
        <v/>
      </c>
      <c r="AQ83">
        <f>IF(NOT(ISNUMBER($D83)),"",_xlfn.NORM.DIST(AQ$1,$D83,$E83,TRUE)-_xlfn.NORM.DIST(AQ$2,$D83,$E83,TRUE))</f>
        <v/>
      </c>
      <c r="AR83">
        <f>IF(NOT(ISNUMBER($D83)),"",_xlfn.NORM.DIST(AR$1,$D83,$E83,TRUE)-_xlfn.NORM.DIST(AR$2,$D83,$E83,TRUE))</f>
        <v/>
      </c>
      <c r="AS83">
        <f>IF(NOT(ISNUMBER($D83)),"",_xlfn.NORM.DIST(AS$1,$D83,$E83,TRUE)-_xlfn.NORM.DIST(AS$2,$D83,$E83,TRUE))</f>
        <v/>
      </c>
      <c r="AT83">
        <f>IF(NOT(ISNUMBER($D83)),"",_xlfn.NORM.DIST(AT$1,$D83,$E83,TRUE)-_xlfn.NORM.DIST(AT$2,$D83,$E83,TRUE))</f>
        <v/>
      </c>
      <c r="AU83">
        <f>IF(NOT(ISNUMBER($D83)),"",_xlfn.NORM.DIST(AU$1,$D83,$E83,TRUE)-_xlfn.NORM.DIST(AU$2,$D83,$E83,TRUE))</f>
        <v/>
      </c>
      <c r="AV83">
        <f>IF(NOT(ISNUMBER($D83)),"",_xlfn.NORM.DIST(AV$1,$D83,$E83,TRUE)-_xlfn.NORM.DIST(AV$2,$D83,$E83,TRUE))</f>
        <v/>
      </c>
      <c r="AW83">
        <f>IF(NOT(ISNUMBER($D83)),"",_xlfn.NORM.DIST(AW$1,$D83,$E83,TRUE)-_xlfn.NORM.DIST(AW$2,$D83,$E83,TRUE))</f>
        <v/>
      </c>
      <c r="AX83">
        <f>IF(NOT(ISNUMBER($D83)),"",_xlfn.NORM.DIST(AX$1,$D83,$E83,TRUE)-_xlfn.NORM.DIST(AX$2,$D83,$E83,TRUE))</f>
        <v/>
      </c>
      <c r="AY83">
        <f>IF(NOT(ISNUMBER($D83)),"",_xlfn.NORM.DIST(AY$1,$D83,$E83,TRUE)-_xlfn.NORM.DIST(AY$2,$D83,$E83,TRUE))</f>
        <v/>
      </c>
      <c r="AZ83">
        <f>IF(NOT(ISNUMBER($D83)),"",_xlfn.NORM.DIST(AZ$1,$D83,$E83,TRUE)-_xlfn.NORM.DIST(AZ$2,$D83,$E83,TRUE))</f>
        <v/>
      </c>
      <c r="BA83">
        <f>IF(NOT(ISNUMBER($D83)),"",_xlfn.NORM.DIST(BA$1,$D83,$E83,TRUE)-_xlfn.NORM.DIST(BA$2,$D83,$E83,TRUE))</f>
        <v/>
      </c>
      <c r="BB83">
        <f>IF(NOT(ISNUMBER($D83)),"",_xlfn.NORM.DIST(BB$1,$D83,$E83,TRUE)-_xlfn.NORM.DIST(BB$2,$D83,$E83,TRUE))</f>
        <v/>
      </c>
      <c r="BC83">
        <f>IF(NOT(ISNUMBER($D83)),"",_xlfn.NORM.DIST(BC$1,$D83,$E83,TRUE)-_xlfn.NORM.DIST(BC$2,$D83,$E83,TRUE))</f>
        <v/>
      </c>
      <c r="BD83">
        <f>IF(NOT(ISNUMBER($D83)),"",_xlfn.NORM.DIST(BD$1,$D83,$E83,TRUE)-_xlfn.NORM.DIST(BD$2,$D83,$E83,TRUE))</f>
        <v/>
      </c>
      <c r="BE83">
        <f>IF(NOT(ISNUMBER($D83)),"",_xlfn.NORM.DIST(BE$1,$D83,$E83,TRUE)-_xlfn.NORM.DIST(BE$2,$D83,$E83,TRUE))</f>
        <v/>
      </c>
      <c r="BF83">
        <f>IF(NOT(ISNUMBER($D83)),"",_xlfn.NORM.DIST(BF$1,$D83,$E83,TRUE)-_xlfn.NORM.DIST(BF$2,$D83,$E83,TRUE))</f>
        <v/>
      </c>
      <c r="BG83">
        <f>IF(NOT(ISNUMBER($D83)),"",_xlfn.NORM.DIST(BG$1,$D83,$E83,TRUE)-_xlfn.NORM.DIST(BG$2,$D83,$E83,TRUE))</f>
        <v/>
      </c>
      <c r="BH83">
        <f>IF(NOT(ISNUMBER($D83)),"",_xlfn.NORM.DIST(BH$1,$D83,$E83,TRUE)-_xlfn.NORM.DIST(BH$2,$D83,$E83,TRUE))</f>
        <v/>
      </c>
      <c r="BI83">
        <f>IF(NOT(ISNUMBER($D83)),"",_xlfn.NORM.DIST(BI$1,$D83,$E83,TRUE)-_xlfn.NORM.DIST(BI$2,$D83,$E83,TRUE))</f>
        <v/>
      </c>
      <c r="BJ83">
        <f>IF(NOT(ISNUMBER($D83)),"",_xlfn.NORM.DIST(BJ$1,$D83,$E83,TRUE)-_xlfn.NORM.DIST(BJ$2,$D83,$E83,TRUE))</f>
        <v/>
      </c>
      <c r="BK83">
        <f>IF(NOT(ISNUMBER($D83)),"",_xlfn.NORM.DIST(BK$1,$D83,$E83,TRUE)-_xlfn.NORM.DIST(BK$2,$D83,$E83,TRUE))</f>
        <v/>
      </c>
      <c r="BL83">
        <f>IF(NOT(ISNUMBER($D83)),"",_xlfn.NORM.DIST(BL$1,$D83,$E83,TRUE)-_xlfn.NORM.DIST(BL$2,$D83,$E83,TRUE))</f>
        <v/>
      </c>
      <c r="BM83">
        <f>IF(NOT(ISNUMBER($D83)),"",_xlfn.NORM.DIST(BM$1,$D83,$E83,TRUE)-_xlfn.NORM.DIST(BM$2,$D83,$E83,TRUE))</f>
        <v/>
      </c>
      <c r="BN83">
        <f>IF(NOT(ISNUMBER($D83)),"",_xlfn.NORM.DIST(BN$1,$D83,$E83,TRUE)-_xlfn.NORM.DIST(BN$2,$D83,$E83,TRUE))</f>
        <v/>
      </c>
      <c r="BO83">
        <f>IF(NOT(ISNUMBER($D83)),"",_xlfn.NORM.DIST(BO$1,$D83,$E83,TRUE)-_xlfn.NORM.DIST(BO$2,$D83,$E83,TRUE))</f>
        <v/>
      </c>
      <c r="BP83">
        <f>IF(NOT(ISNUMBER($D83)),"",_xlfn.NORM.DIST(BP$1,$D83,$E83,TRUE)-_xlfn.NORM.DIST(BP$2,$D83,$E83,TRUE))</f>
        <v/>
      </c>
      <c r="BQ83">
        <f>IF(NOT(ISNUMBER($D83)),"",_xlfn.NORM.DIST(BQ$1,$D83,$E83,TRUE)-_xlfn.NORM.DIST(BQ$2,$D83,$E83,TRUE))</f>
        <v/>
      </c>
      <c r="BR83">
        <f>IF(NOT(ISNUMBER($D83)),"",_xlfn.NORM.DIST(BR$1,$D83,$E83,TRUE)-_xlfn.NORM.DIST(BR$2,$D83,$E83,TRUE))</f>
        <v/>
      </c>
      <c r="BS83">
        <f>IF(NOT(ISNUMBER($D83)),"",_xlfn.NORM.DIST(BS$1,$D83,$E83,TRUE)-_xlfn.NORM.DIST(BS$2,$D83,$E83,TRUE))</f>
        <v/>
      </c>
      <c r="BT83">
        <f>IF(NOT(ISNUMBER($D83)),"",_xlfn.NORM.DIST(BT$1,$D83,$E83,TRUE)-_xlfn.NORM.DIST(BT$2,$D83,$E83,TRUE))</f>
        <v/>
      </c>
      <c r="BU83">
        <f>IF(NOT(ISNUMBER($D83)),"",_xlfn.NORM.DIST(BU$1,$D83,$E83,TRUE)-_xlfn.NORM.DIST(BU$2,$D83,$E83,TRUE))</f>
        <v/>
      </c>
      <c r="BV83">
        <f>IF(NOT(ISNUMBER($D83)),"",_xlfn.NORM.DIST(BV$1,$D83,$E83,TRUE)-_xlfn.NORM.DIST(BV$2,$D83,$E83,TRUE))</f>
        <v/>
      </c>
      <c r="BW83">
        <f>IF(NOT(ISNUMBER($D83)),"",_xlfn.NORM.DIST(BW$1,$D83,$E83,TRUE)-_xlfn.NORM.DIST(BW$2,$D83,$E83,TRUE))</f>
        <v/>
      </c>
      <c r="BX83">
        <f>IF(NOT(ISNUMBER($D83)),"",_xlfn.NORM.DIST(BX$1,$D83,$E83,TRUE)-_xlfn.NORM.DIST(BX$2,$D83,$E83,TRUE))</f>
        <v/>
      </c>
      <c r="BY83">
        <f>IF(NOT(ISNUMBER($D83)),"",_xlfn.NORM.DIST(BY$1,$D83,$E83,TRUE)-_xlfn.NORM.DIST(BY$2,$D83,$E83,TRUE))</f>
        <v/>
      </c>
      <c r="BZ83">
        <f>IF(NOT(ISNUMBER($D83)),"",_xlfn.NORM.DIST(BZ$1,$D83,$E83,TRUE)-_xlfn.NORM.DIST(BZ$2,$D83,$E83,TRUE))</f>
        <v/>
      </c>
      <c r="CA83">
        <f>IF(NOT(ISNUMBER($D83)),"",_xlfn.NORM.DIST(CA$1,$D83,$E83,TRUE)-_xlfn.NORM.DIST(CA$2,$D83,$E83,TRUE))</f>
        <v/>
      </c>
      <c r="CB83">
        <f>IF(NOT(ISNUMBER($D83)),"",_xlfn.NORM.DIST(CB$1,$D83,$E83,TRUE)-_xlfn.NORM.DIST(CB$2,$D83,$E83,TRUE))</f>
        <v/>
      </c>
      <c r="CC83">
        <f>IF(NOT(ISNUMBER($D83)),"",_xlfn.NORM.DIST(CC$1,$D83,$E83,TRUE)-_xlfn.NORM.DIST(CC$2,$D83,$E83,TRUE))</f>
        <v/>
      </c>
      <c r="CD83">
        <f>IF(NOT(ISNUMBER($D83)),"",_xlfn.NORM.DIST(CD$1,$D83,$E83,TRUE)-_xlfn.NORM.DIST(CD$2,$D83,$E83,TRUE))</f>
        <v/>
      </c>
      <c r="CE83">
        <f>IF(NOT(ISNUMBER($D83)),"",_xlfn.NORM.DIST(CE$1,$D83,$E83,TRUE)-_xlfn.NORM.DIST(CE$2,$D83,$E83,TRUE))</f>
        <v/>
      </c>
      <c r="CF83">
        <f>IF(NOT(ISNUMBER($D83)),"",_xlfn.NORM.DIST(CF$1,$D83,$E83,TRUE)-_xlfn.NORM.DIST(CF$2,$D83,$E83,TRUE))</f>
        <v/>
      </c>
      <c r="CG83">
        <f>IF(NOT(ISNUMBER($D83)),"",_xlfn.NORM.DIST(CG$1,$D83,$E83,TRUE)-_xlfn.NORM.DIST(CG$2,$D83,$E83,TRUE))</f>
        <v/>
      </c>
      <c r="CH83">
        <f>IF(NOT(ISNUMBER($D83)),"",_xlfn.NORM.DIST(CH$1,$D83,$E83,TRUE)-_xlfn.NORM.DIST(CH$2,$D83,$E83,TRUE))</f>
        <v/>
      </c>
      <c r="CI83">
        <f>IF(NOT(ISNUMBER($D83)),"",_xlfn.NORM.DIST(CI$1,$D83,$E83,TRUE)-_xlfn.NORM.DIST(CI$2,$D83,$E83,TRUE))</f>
        <v/>
      </c>
      <c r="CJ83">
        <f>IF(ISNUMBER($D83),SUM(F83:CI83),"")</f>
        <v/>
      </c>
    </row>
    <row r="84">
      <c r="A84">
        <f>economics!A83</f>
        <v/>
      </c>
      <c r="B84">
        <f>economics!B83</f>
        <v/>
      </c>
      <c r="C84">
        <f>economics!D83</f>
        <v/>
      </c>
      <c r="D84">
        <f>IF(ISNUMBER(economics!T83),economics!T83,"na")</f>
        <v/>
      </c>
      <c r="E84">
        <f>IF(ISNUMBER(D84),MAX(0.3*ABS(D84),0.000001),"na")</f>
        <v/>
      </c>
      <c r="F84">
        <f>IF(NOT(ISNUMBER($D84)),"",_xlfn.NORM.DIST(F$1,$D84,$E84,TRUE)-_xlfn.NORM.DIST(F$2,$D84,$E84,TRUE))</f>
        <v/>
      </c>
      <c r="G84">
        <f>IF(NOT(ISNUMBER($D84)),"",_xlfn.NORM.DIST(G$1,$D84,$E84,TRUE)-_xlfn.NORM.DIST(G$2,$D84,$E84,TRUE))</f>
        <v/>
      </c>
      <c r="H84">
        <f>IF(NOT(ISNUMBER($D84)),"",_xlfn.NORM.DIST(H$1,$D84,$E84,TRUE)-_xlfn.NORM.DIST(H$2,$D84,$E84,TRUE))</f>
        <v/>
      </c>
      <c r="I84">
        <f>IF(NOT(ISNUMBER($D84)),"",_xlfn.NORM.DIST(I$1,$D84,$E84,TRUE)-_xlfn.NORM.DIST(I$2,$D84,$E84,TRUE))</f>
        <v/>
      </c>
      <c r="J84">
        <f>IF(NOT(ISNUMBER($D84)),"",_xlfn.NORM.DIST(J$1,$D84,$E84,TRUE)-_xlfn.NORM.DIST(J$2,$D84,$E84,TRUE))</f>
        <v/>
      </c>
      <c r="K84">
        <f>IF(NOT(ISNUMBER($D84)),"",_xlfn.NORM.DIST(K$1,$D84,$E84,TRUE)-_xlfn.NORM.DIST(K$2,$D84,$E84,TRUE))</f>
        <v/>
      </c>
      <c r="L84">
        <f>IF(NOT(ISNUMBER($D84)),"",_xlfn.NORM.DIST(L$1,$D84,$E84,TRUE)-_xlfn.NORM.DIST(L$2,$D84,$E84,TRUE))</f>
        <v/>
      </c>
      <c r="M84">
        <f>IF(NOT(ISNUMBER($D84)),"",_xlfn.NORM.DIST(M$1,$D84,$E84,TRUE)-_xlfn.NORM.DIST(M$2,$D84,$E84,TRUE))</f>
        <v/>
      </c>
      <c r="N84">
        <f>IF(NOT(ISNUMBER($D84)),"",_xlfn.NORM.DIST(N$1,$D84,$E84,TRUE)-_xlfn.NORM.DIST(N$2,$D84,$E84,TRUE))</f>
        <v/>
      </c>
      <c r="O84">
        <f>IF(NOT(ISNUMBER($D84)),"",_xlfn.NORM.DIST(O$1,$D84,$E84,TRUE)-_xlfn.NORM.DIST(O$2,$D84,$E84,TRUE))</f>
        <v/>
      </c>
      <c r="P84">
        <f>IF(NOT(ISNUMBER($D84)),"",_xlfn.NORM.DIST(P$1,$D84,$E84,TRUE)-_xlfn.NORM.DIST(P$2,$D84,$E84,TRUE))</f>
        <v/>
      </c>
      <c r="Q84">
        <f>IF(NOT(ISNUMBER($D84)),"",_xlfn.NORM.DIST(Q$1,$D84,$E84,TRUE)-_xlfn.NORM.DIST(Q$2,$D84,$E84,TRUE))</f>
        <v/>
      </c>
      <c r="R84">
        <f>IF(NOT(ISNUMBER($D84)),"",_xlfn.NORM.DIST(R$1,$D84,$E84,TRUE)-_xlfn.NORM.DIST(R$2,$D84,$E84,TRUE))</f>
        <v/>
      </c>
      <c r="S84">
        <f>IF(NOT(ISNUMBER($D84)),"",_xlfn.NORM.DIST(S$1,$D84,$E84,TRUE)-_xlfn.NORM.DIST(S$2,$D84,$E84,TRUE))</f>
        <v/>
      </c>
      <c r="T84">
        <f>IF(NOT(ISNUMBER($D84)),"",_xlfn.NORM.DIST(T$1,$D84,$E84,TRUE)-_xlfn.NORM.DIST(T$2,$D84,$E84,TRUE))</f>
        <v/>
      </c>
      <c r="U84">
        <f>IF(NOT(ISNUMBER($D84)),"",_xlfn.NORM.DIST(U$1,$D84,$E84,TRUE)-_xlfn.NORM.DIST(U$2,$D84,$E84,TRUE))</f>
        <v/>
      </c>
      <c r="V84">
        <f>IF(NOT(ISNUMBER($D84)),"",_xlfn.NORM.DIST(V$1,$D84,$E84,TRUE)-_xlfn.NORM.DIST(V$2,$D84,$E84,TRUE))</f>
        <v/>
      </c>
      <c r="W84">
        <f>IF(NOT(ISNUMBER($D84)),"",_xlfn.NORM.DIST(W$1,$D84,$E84,TRUE)-_xlfn.NORM.DIST(W$2,$D84,$E84,TRUE))</f>
        <v/>
      </c>
      <c r="X84">
        <f>IF(NOT(ISNUMBER($D84)),"",_xlfn.NORM.DIST(X$1,$D84,$E84,TRUE)-_xlfn.NORM.DIST(X$2,$D84,$E84,TRUE))</f>
        <v/>
      </c>
      <c r="Y84">
        <f>IF(NOT(ISNUMBER($D84)),"",_xlfn.NORM.DIST(Y$1,$D84,$E84,TRUE)-_xlfn.NORM.DIST(Y$2,$D84,$E84,TRUE))</f>
        <v/>
      </c>
      <c r="Z84">
        <f>IF(NOT(ISNUMBER($D84)),"",_xlfn.NORM.DIST(Z$1,$D84,$E84,TRUE)-_xlfn.NORM.DIST(Z$2,$D84,$E84,TRUE))</f>
        <v/>
      </c>
      <c r="AA84">
        <f>IF(NOT(ISNUMBER($D84)),"",_xlfn.NORM.DIST(AA$1,$D84,$E84,TRUE)-_xlfn.NORM.DIST(AA$2,$D84,$E84,TRUE))</f>
        <v/>
      </c>
      <c r="AB84">
        <f>IF(NOT(ISNUMBER($D84)),"",_xlfn.NORM.DIST(AB$1,$D84,$E84,TRUE)-_xlfn.NORM.DIST(AB$2,$D84,$E84,TRUE))</f>
        <v/>
      </c>
      <c r="AC84">
        <f>IF(NOT(ISNUMBER($D84)),"",_xlfn.NORM.DIST(AC$1,$D84,$E84,TRUE)-_xlfn.NORM.DIST(AC$2,$D84,$E84,TRUE))</f>
        <v/>
      </c>
      <c r="AD84">
        <f>IF(NOT(ISNUMBER($D84)),"",_xlfn.NORM.DIST(AD$1,$D84,$E84,TRUE)-_xlfn.NORM.DIST(AD$2,$D84,$E84,TRUE))</f>
        <v/>
      </c>
      <c r="AE84">
        <f>IF(NOT(ISNUMBER($D84)),"",_xlfn.NORM.DIST(AE$1,$D84,$E84,TRUE)-_xlfn.NORM.DIST(AE$2,$D84,$E84,TRUE))</f>
        <v/>
      </c>
      <c r="AF84">
        <f>IF(NOT(ISNUMBER($D84)),"",_xlfn.NORM.DIST(AF$1,$D84,$E84,TRUE)-_xlfn.NORM.DIST(AF$2,$D84,$E84,TRUE))</f>
        <v/>
      </c>
      <c r="AG84">
        <f>IF(NOT(ISNUMBER($D84)),"",_xlfn.NORM.DIST(AG$1,$D84,$E84,TRUE)-_xlfn.NORM.DIST(AG$2,$D84,$E84,TRUE))</f>
        <v/>
      </c>
      <c r="AH84">
        <f>IF(NOT(ISNUMBER($D84)),"",_xlfn.NORM.DIST(AH$1,$D84,$E84,TRUE)-_xlfn.NORM.DIST(AH$2,$D84,$E84,TRUE))</f>
        <v/>
      </c>
      <c r="AI84">
        <f>IF(NOT(ISNUMBER($D84)),"",_xlfn.NORM.DIST(AI$1,$D84,$E84,TRUE)-_xlfn.NORM.DIST(AI$2,$D84,$E84,TRUE))</f>
        <v/>
      </c>
      <c r="AJ84">
        <f>IF(NOT(ISNUMBER($D84)),"",_xlfn.NORM.DIST(AJ$1,$D84,$E84,TRUE)-_xlfn.NORM.DIST(AJ$2,$D84,$E84,TRUE))</f>
        <v/>
      </c>
      <c r="AK84">
        <f>IF(NOT(ISNUMBER($D84)),"",_xlfn.NORM.DIST(AK$1,$D84,$E84,TRUE)-_xlfn.NORM.DIST(AK$2,$D84,$E84,TRUE))</f>
        <v/>
      </c>
      <c r="AL84">
        <f>IF(NOT(ISNUMBER($D84)),"",_xlfn.NORM.DIST(AL$1,$D84,$E84,TRUE)-_xlfn.NORM.DIST(AL$2,$D84,$E84,TRUE))</f>
        <v/>
      </c>
      <c r="AM84">
        <f>IF(NOT(ISNUMBER($D84)),"",_xlfn.NORM.DIST(AM$1,$D84,$E84,TRUE)-_xlfn.NORM.DIST(AM$2,$D84,$E84,TRUE))</f>
        <v/>
      </c>
      <c r="AN84">
        <f>IF(NOT(ISNUMBER($D84)),"",_xlfn.NORM.DIST(AN$1,$D84,$E84,TRUE)-_xlfn.NORM.DIST(AN$2,$D84,$E84,TRUE))</f>
        <v/>
      </c>
      <c r="AO84">
        <f>IF(NOT(ISNUMBER($D84)),"",_xlfn.NORM.DIST(AO$1,$D84,$E84,TRUE)-_xlfn.NORM.DIST(AO$2,$D84,$E84,TRUE))</f>
        <v/>
      </c>
      <c r="AP84">
        <f>IF(NOT(ISNUMBER($D84)),"",_xlfn.NORM.DIST(AP$1,$D84,$E84,TRUE)-_xlfn.NORM.DIST(AP$2,$D84,$E84,TRUE))</f>
        <v/>
      </c>
      <c r="AQ84">
        <f>IF(NOT(ISNUMBER($D84)),"",_xlfn.NORM.DIST(AQ$1,$D84,$E84,TRUE)-_xlfn.NORM.DIST(AQ$2,$D84,$E84,TRUE))</f>
        <v/>
      </c>
      <c r="AR84">
        <f>IF(NOT(ISNUMBER($D84)),"",_xlfn.NORM.DIST(AR$1,$D84,$E84,TRUE)-_xlfn.NORM.DIST(AR$2,$D84,$E84,TRUE))</f>
        <v/>
      </c>
      <c r="AS84">
        <f>IF(NOT(ISNUMBER($D84)),"",_xlfn.NORM.DIST(AS$1,$D84,$E84,TRUE)-_xlfn.NORM.DIST(AS$2,$D84,$E84,TRUE))</f>
        <v/>
      </c>
      <c r="AT84">
        <f>IF(NOT(ISNUMBER($D84)),"",_xlfn.NORM.DIST(AT$1,$D84,$E84,TRUE)-_xlfn.NORM.DIST(AT$2,$D84,$E84,TRUE))</f>
        <v/>
      </c>
      <c r="AU84">
        <f>IF(NOT(ISNUMBER($D84)),"",_xlfn.NORM.DIST(AU$1,$D84,$E84,TRUE)-_xlfn.NORM.DIST(AU$2,$D84,$E84,TRUE))</f>
        <v/>
      </c>
      <c r="AV84">
        <f>IF(NOT(ISNUMBER($D84)),"",_xlfn.NORM.DIST(AV$1,$D84,$E84,TRUE)-_xlfn.NORM.DIST(AV$2,$D84,$E84,TRUE))</f>
        <v/>
      </c>
      <c r="AW84">
        <f>IF(NOT(ISNUMBER($D84)),"",_xlfn.NORM.DIST(AW$1,$D84,$E84,TRUE)-_xlfn.NORM.DIST(AW$2,$D84,$E84,TRUE))</f>
        <v/>
      </c>
      <c r="AX84">
        <f>IF(NOT(ISNUMBER($D84)),"",_xlfn.NORM.DIST(AX$1,$D84,$E84,TRUE)-_xlfn.NORM.DIST(AX$2,$D84,$E84,TRUE))</f>
        <v/>
      </c>
      <c r="AY84">
        <f>IF(NOT(ISNUMBER($D84)),"",_xlfn.NORM.DIST(AY$1,$D84,$E84,TRUE)-_xlfn.NORM.DIST(AY$2,$D84,$E84,TRUE))</f>
        <v/>
      </c>
      <c r="AZ84">
        <f>IF(NOT(ISNUMBER($D84)),"",_xlfn.NORM.DIST(AZ$1,$D84,$E84,TRUE)-_xlfn.NORM.DIST(AZ$2,$D84,$E84,TRUE))</f>
        <v/>
      </c>
      <c r="BA84">
        <f>IF(NOT(ISNUMBER($D84)),"",_xlfn.NORM.DIST(BA$1,$D84,$E84,TRUE)-_xlfn.NORM.DIST(BA$2,$D84,$E84,TRUE))</f>
        <v/>
      </c>
      <c r="BB84">
        <f>IF(NOT(ISNUMBER($D84)),"",_xlfn.NORM.DIST(BB$1,$D84,$E84,TRUE)-_xlfn.NORM.DIST(BB$2,$D84,$E84,TRUE))</f>
        <v/>
      </c>
      <c r="BC84">
        <f>IF(NOT(ISNUMBER($D84)),"",_xlfn.NORM.DIST(BC$1,$D84,$E84,TRUE)-_xlfn.NORM.DIST(BC$2,$D84,$E84,TRUE))</f>
        <v/>
      </c>
      <c r="BD84">
        <f>IF(NOT(ISNUMBER($D84)),"",_xlfn.NORM.DIST(BD$1,$D84,$E84,TRUE)-_xlfn.NORM.DIST(BD$2,$D84,$E84,TRUE))</f>
        <v/>
      </c>
      <c r="BE84">
        <f>IF(NOT(ISNUMBER($D84)),"",_xlfn.NORM.DIST(BE$1,$D84,$E84,TRUE)-_xlfn.NORM.DIST(BE$2,$D84,$E84,TRUE))</f>
        <v/>
      </c>
      <c r="BF84">
        <f>IF(NOT(ISNUMBER($D84)),"",_xlfn.NORM.DIST(BF$1,$D84,$E84,TRUE)-_xlfn.NORM.DIST(BF$2,$D84,$E84,TRUE))</f>
        <v/>
      </c>
      <c r="BG84">
        <f>IF(NOT(ISNUMBER($D84)),"",_xlfn.NORM.DIST(BG$1,$D84,$E84,TRUE)-_xlfn.NORM.DIST(BG$2,$D84,$E84,TRUE))</f>
        <v/>
      </c>
      <c r="BH84">
        <f>IF(NOT(ISNUMBER($D84)),"",_xlfn.NORM.DIST(BH$1,$D84,$E84,TRUE)-_xlfn.NORM.DIST(BH$2,$D84,$E84,TRUE))</f>
        <v/>
      </c>
      <c r="BI84">
        <f>IF(NOT(ISNUMBER($D84)),"",_xlfn.NORM.DIST(BI$1,$D84,$E84,TRUE)-_xlfn.NORM.DIST(BI$2,$D84,$E84,TRUE))</f>
        <v/>
      </c>
      <c r="BJ84">
        <f>IF(NOT(ISNUMBER($D84)),"",_xlfn.NORM.DIST(BJ$1,$D84,$E84,TRUE)-_xlfn.NORM.DIST(BJ$2,$D84,$E84,TRUE))</f>
        <v/>
      </c>
      <c r="BK84">
        <f>IF(NOT(ISNUMBER($D84)),"",_xlfn.NORM.DIST(BK$1,$D84,$E84,TRUE)-_xlfn.NORM.DIST(BK$2,$D84,$E84,TRUE))</f>
        <v/>
      </c>
      <c r="BL84">
        <f>IF(NOT(ISNUMBER($D84)),"",_xlfn.NORM.DIST(BL$1,$D84,$E84,TRUE)-_xlfn.NORM.DIST(BL$2,$D84,$E84,TRUE))</f>
        <v/>
      </c>
      <c r="BM84">
        <f>IF(NOT(ISNUMBER($D84)),"",_xlfn.NORM.DIST(BM$1,$D84,$E84,TRUE)-_xlfn.NORM.DIST(BM$2,$D84,$E84,TRUE))</f>
        <v/>
      </c>
      <c r="BN84">
        <f>IF(NOT(ISNUMBER($D84)),"",_xlfn.NORM.DIST(BN$1,$D84,$E84,TRUE)-_xlfn.NORM.DIST(BN$2,$D84,$E84,TRUE))</f>
        <v/>
      </c>
      <c r="BO84">
        <f>IF(NOT(ISNUMBER($D84)),"",_xlfn.NORM.DIST(BO$1,$D84,$E84,TRUE)-_xlfn.NORM.DIST(BO$2,$D84,$E84,TRUE))</f>
        <v/>
      </c>
      <c r="BP84">
        <f>IF(NOT(ISNUMBER($D84)),"",_xlfn.NORM.DIST(BP$1,$D84,$E84,TRUE)-_xlfn.NORM.DIST(BP$2,$D84,$E84,TRUE))</f>
        <v/>
      </c>
      <c r="BQ84">
        <f>IF(NOT(ISNUMBER($D84)),"",_xlfn.NORM.DIST(BQ$1,$D84,$E84,TRUE)-_xlfn.NORM.DIST(BQ$2,$D84,$E84,TRUE))</f>
        <v/>
      </c>
      <c r="BR84">
        <f>IF(NOT(ISNUMBER($D84)),"",_xlfn.NORM.DIST(BR$1,$D84,$E84,TRUE)-_xlfn.NORM.DIST(BR$2,$D84,$E84,TRUE))</f>
        <v/>
      </c>
      <c r="BS84">
        <f>IF(NOT(ISNUMBER($D84)),"",_xlfn.NORM.DIST(BS$1,$D84,$E84,TRUE)-_xlfn.NORM.DIST(BS$2,$D84,$E84,TRUE))</f>
        <v/>
      </c>
      <c r="BT84">
        <f>IF(NOT(ISNUMBER($D84)),"",_xlfn.NORM.DIST(BT$1,$D84,$E84,TRUE)-_xlfn.NORM.DIST(BT$2,$D84,$E84,TRUE))</f>
        <v/>
      </c>
      <c r="BU84">
        <f>IF(NOT(ISNUMBER($D84)),"",_xlfn.NORM.DIST(BU$1,$D84,$E84,TRUE)-_xlfn.NORM.DIST(BU$2,$D84,$E84,TRUE))</f>
        <v/>
      </c>
      <c r="BV84">
        <f>IF(NOT(ISNUMBER($D84)),"",_xlfn.NORM.DIST(BV$1,$D84,$E84,TRUE)-_xlfn.NORM.DIST(BV$2,$D84,$E84,TRUE))</f>
        <v/>
      </c>
      <c r="BW84">
        <f>IF(NOT(ISNUMBER($D84)),"",_xlfn.NORM.DIST(BW$1,$D84,$E84,TRUE)-_xlfn.NORM.DIST(BW$2,$D84,$E84,TRUE))</f>
        <v/>
      </c>
      <c r="BX84">
        <f>IF(NOT(ISNUMBER($D84)),"",_xlfn.NORM.DIST(BX$1,$D84,$E84,TRUE)-_xlfn.NORM.DIST(BX$2,$D84,$E84,TRUE))</f>
        <v/>
      </c>
      <c r="BY84">
        <f>IF(NOT(ISNUMBER($D84)),"",_xlfn.NORM.DIST(BY$1,$D84,$E84,TRUE)-_xlfn.NORM.DIST(BY$2,$D84,$E84,TRUE))</f>
        <v/>
      </c>
      <c r="BZ84">
        <f>IF(NOT(ISNUMBER($D84)),"",_xlfn.NORM.DIST(BZ$1,$D84,$E84,TRUE)-_xlfn.NORM.DIST(BZ$2,$D84,$E84,TRUE))</f>
        <v/>
      </c>
      <c r="CA84">
        <f>IF(NOT(ISNUMBER($D84)),"",_xlfn.NORM.DIST(CA$1,$D84,$E84,TRUE)-_xlfn.NORM.DIST(CA$2,$D84,$E84,TRUE))</f>
        <v/>
      </c>
      <c r="CB84">
        <f>IF(NOT(ISNUMBER($D84)),"",_xlfn.NORM.DIST(CB$1,$D84,$E84,TRUE)-_xlfn.NORM.DIST(CB$2,$D84,$E84,TRUE))</f>
        <v/>
      </c>
      <c r="CC84">
        <f>IF(NOT(ISNUMBER($D84)),"",_xlfn.NORM.DIST(CC$1,$D84,$E84,TRUE)-_xlfn.NORM.DIST(CC$2,$D84,$E84,TRUE))</f>
        <v/>
      </c>
      <c r="CD84">
        <f>IF(NOT(ISNUMBER($D84)),"",_xlfn.NORM.DIST(CD$1,$D84,$E84,TRUE)-_xlfn.NORM.DIST(CD$2,$D84,$E84,TRUE))</f>
        <v/>
      </c>
      <c r="CE84">
        <f>IF(NOT(ISNUMBER($D84)),"",_xlfn.NORM.DIST(CE$1,$D84,$E84,TRUE)-_xlfn.NORM.DIST(CE$2,$D84,$E84,TRUE))</f>
        <v/>
      </c>
      <c r="CF84">
        <f>IF(NOT(ISNUMBER($D84)),"",_xlfn.NORM.DIST(CF$1,$D84,$E84,TRUE)-_xlfn.NORM.DIST(CF$2,$D84,$E84,TRUE))</f>
        <v/>
      </c>
      <c r="CG84">
        <f>IF(NOT(ISNUMBER($D84)),"",_xlfn.NORM.DIST(CG$1,$D84,$E84,TRUE)-_xlfn.NORM.DIST(CG$2,$D84,$E84,TRUE))</f>
        <v/>
      </c>
      <c r="CH84">
        <f>IF(NOT(ISNUMBER($D84)),"",_xlfn.NORM.DIST(CH$1,$D84,$E84,TRUE)-_xlfn.NORM.DIST(CH$2,$D84,$E84,TRUE))</f>
        <v/>
      </c>
      <c r="CI84">
        <f>IF(NOT(ISNUMBER($D84)),"",_xlfn.NORM.DIST(CI$1,$D84,$E84,TRUE)-_xlfn.NORM.DIST(CI$2,$D84,$E84,TRUE))</f>
        <v/>
      </c>
      <c r="CJ84">
        <f>IF(ISNUMBER($D84),SUM(F84:CI84),"")</f>
        <v/>
      </c>
    </row>
    <row r="85">
      <c r="A85">
        <f>economics!A84</f>
        <v/>
      </c>
      <c r="B85">
        <f>economics!B84</f>
        <v/>
      </c>
      <c r="C85">
        <f>economics!D84</f>
        <v/>
      </c>
      <c r="D85">
        <f>IF(ISNUMBER(economics!T84),economics!T84,"na")</f>
        <v/>
      </c>
      <c r="E85">
        <f>IF(ISNUMBER(D85),MAX(0.3*ABS(D85),0.000001),"na")</f>
        <v/>
      </c>
      <c r="F85">
        <f>IF(NOT(ISNUMBER($D85)),"",_xlfn.NORM.DIST(F$1,$D85,$E85,TRUE)-_xlfn.NORM.DIST(F$2,$D85,$E85,TRUE))</f>
        <v/>
      </c>
      <c r="G85">
        <f>IF(NOT(ISNUMBER($D85)),"",_xlfn.NORM.DIST(G$1,$D85,$E85,TRUE)-_xlfn.NORM.DIST(G$2,$D85,$E85,TRUE))</f>
        <v/>
      </c>
      <c r="H85">
        <f>IF(NOT(ISNUMBER($D85)),"",_xlfn.NORM.DIST(H$1,$D85,$E85,TRUE)-_xlfn.NORM.DIST(H$2,$D85,$E85,TRUE))</f>
        <v/>
      </c>
      <c r="I85">
        <f>IF(NOT(ISNUMBER($D85)),"",_xlfn.NORM.DIST(I$1,$D85,$E85,TRUE)-_xlfn.NORM.DIST(I$2,$D85,$E85,TRUE))</f>
        <v/>
      </c>
      <c r="J85">
        <f>IF(NOT(ISNUMBER($D85)),"",_xlfn.NORM.DIST(J$1,$D85,$E85,TRUE)-_xlfn.NORM.DIST(J$2,$D85,$E85,TRUE))</f>
        <v/>
      </c>
      <c r="K85">
        <f>IF(NOT(ISNUMBER($D85)),"",_xlfn.NORM.DIST(K$1,$D85,$E85,TRUE)-_xlfn.NORM.DIST(K$2,$D85,$E85,TRUE))</f>
        <v/>
      </c>
      <c r="L85">
        <f>IF(NOT(ISNUMBER($D85)),"",_xlfn.NORM.DIST(L$1,$D85,$E85,TRUE)-_xlfn.NORM.DIST(L$2,$D85,$E85,TRUE))</f>
        <v/>
      </c>
      <c r="M85">
        <f>IF(NOT(ISNUMBER($D85)),"",_xlfn.NORM.DIST(M$1,$D85,$E85,TRUE)-_xlfn.NORM.DIST(M$2,$D85,$E85,TRUE))</f>
        <v/>
      </c>
      <c r="N85">
        <f>IF(NOT(ISNUMBER($D85)),"",_xlfn.NORM.DIST(N$1,$D85,$E85,TRUE)-_xlfn.NORM.DIST(N$2,$D85,$E85,TRUE))</f>
        <v/>
      </c>
      <c r="O85">
        <f>IF(NOT(ISNUMBER($D85)),"",_xlfn.NORM.DIST(O$1,$D85,$E85,TRUE)-_xlfn.NORM.DIST(O$2,$D85,$E85,TRUE))</f>
        <v/>
      </c>
      <c r="P85">
        <f>IF(NOT(ISNUMBER($D85)),"",_xlfn.NORM.DIST(P$1,$D85,$E85,TRUE)-_xlfn.NORM.DIST(P$2,$D85,$E85,TRUE))</f>
        <v/>
      </c>
      <c r="Q85">
        <f>IF(NOT(ISNUMBER($D85)),"",_xlfn.NORM.DIST(Q$1,$D85,$E85,TRUE)-_xlfn.NORM.DIST(Q$2,$D85,$E85,TRUE))</f>
        <v/>
      </c>
      <c r="R85">
        <f>IF(NOT(ISNUMBER($D85)),"",_xlfn.NORM.DIST(R$1,$D85,$E85,TRUE)-_xlfn.NORM.DIST(R$2,$D85,$E85,TRUE))</f>
        <v/>
      </c>
      <c r="S85">
        <f>IF(NOT(ISNUMBER($D85)),"",_xlfn.NORM.DIST(S$1,$D85,$E85,TRUE)-_xlfn.NORM.DIST(S$2,$D85,$E85,TRUE))</f>
        <v/>
      </c>
      <c r="T85">
        <f>IF(NOT(ISNUMBER($D85)),"",_xlfn.NORM.DIST(T$1,$D85,$E85,TRUE)-_xlfn.NORM.DIST(T$2,$D85,$E85,TRUE))</f>
        <v/>
      </c>
      <c r="U85">
        <f>IF(NOT(ISNUMBER($D85)),"",_xlfn.NORM.DIST(U$1,$D85,$E85,TRUE)-_xlfn.NORM.DIST(U$2,$D85,$E85,TRUE))</f>
        <v/>
      </c>
      <c r="V85">
        <f>IF(NOT(ISNUMBER($D85)),"",_xlfn.NORM.DIST(V$1,$D85,$E85,TRUE)-_xlfn.NORM.DIST(V$2,$D85,$E85,TRUE))</f>
        <v/>
      </c>
      <c r="W85">
        <f>IF(NOT(ISNUMBER($D85)),"",_xlfn.NORM.DIST(W$1,$D85,$E85,TRUE)-_xlfn.NORM.DIST(W$2,$D85,$E85,TRUE))</f>
        <v/>
      </c>
      <c r="X85">
        <f>IF(NOT(ISNUMBER($D85)),"",_xlfn.NORM.DIST(X$1,$D85,$E85,TRUE)-_xlfn.NORM.DIST(X$2,$D85,$E85,TRUE))</f>
        <v/>
      </c>
      <c r="Y85">
        <f>IF(NOT(ISNUMBER($D85)),"",_xlfn.NORM.DIST(Y$1,$D85,$E85,TRUE)-_xlfn.NORM.DIST(Y$2,$D85,$E85,TRUE))</f>
        <v/>
      </c>
      <c r="Z85">
        <f>IF(NOT(ISNUMBER($D85)),"",_xlfn.NORM.DIST(Z$1,$D85,$E85,TRUE)-_xlfn.NORM.DIST(Z$2,$D85,$E85,TRUE))</f>
        <v/>
      </c>
      <c r="AA85">
        <f>IF(NOT(ISNUMBER($D85)),"",_xlfn.NORM.DIST(AA$1,$D85,$E85,TRUE)-_xlfn.NORM.DIST(AA$2,$D85,$E85,TRUE))</f>
        <v/>
      </c>
      <c r="AB85">
        <f>IF(NOT(ISNUMBER($D85)),"",_xlfn.NORM.DIST(AB$1,$D85,$E85,TRUE)-_xlfn.NORM.DIST(AB$2,$D85,$E85,TRUE))</f>
        <v/>
      </c>
      <c r="AC85">
        <f>IF(NOT(ISNUMBER($D85)),"",_xlfn.NORM.DIST(AC$1,$D85,$E85,TRUE)-_xlfn.NORM.DIST(AC$2,$D85,$E85,TRUE))</f>
        <v/>
      </c>
      <c r="AD85">
        <f>IF(NOT(ISNUMBER($D85)),"",_xlfn.NORM.DIST(AD$1,$D85,$E85,TRUE)-_xlfn.NORM.DIST(AD$2,$D85,$E85,TRUE))</f>
        <v/>
      </c>
      <c r="AE85">
        <f>IF(NOT(ISNUMBER($D85)),"",_xlfn.NORM.DIST(AE$1,$D85,$E85,TRUE)-_xlfn.NORM.DIST(AE$2,$D85,$E85,TRUE))</f>
        <v/>
      </c>
      <c r="AF85">
        <f>IF(NOT(ISNUMBER($D85)),"",_xlfn.NORM.DIST(AF$1,$D85,$E85,TRUE)-_xlfn.NORM.DIST(AF$2,$D85,$E85,TRUE))</f>
        <v/>
      </c>
      <c r="AG85">
        <f>IF(NOT(ISNUMBER($D85)),"",_xlfn.NORM.DIST(AG$1,$D85,$E85,TRUE)-_xlfn.NORM.DIST(AG$2,$D85,$E85,TRUE))</f>
        <v/>
      </c>
      <c r="AH85">
        <f>IF(NOT(ISNUMBER($D85)),"",_xlfn.NORM.DIST(AH$1,$D85,$E85,TRUE)-_xlfn.NORM.DIST(AH$2,$D85,$E85,TRUE))</f>
        <v/>
      </c>
      <c r="AI85">
        <f>IF(NOT(ISNUMBER($D85)),"",_xlfn.NORM.DIST(AI$1,$D85,$E85,TRUE)-_xlfn.NORM.DIST(AI$2,$D85,$E85,TRUE))</f>
        <v/>
      </c>
      <c r="AJ85">
        <f>IF(NOT(ISNUMBER($D85)),"",_xlfn.NORM.DIST(AJ$1,$D85,$E85,TRUE)-_xlfn.NORM.DIST(AJ$2,$D85,$E85,TRUE))</f>
        <v/>
      </c>
      <c r="AK85">
        <f>IF(NOT(ISNUMBER($D85)),"",_xlfn.NORM.DIST(AK$1,$D85,$E85,TRUE)-_xlfn.NORM.DIST(AK$2,$D85,$E85,TRUE))</f>
        <v/>
      </c>
      <c r="AL85">
        <f>IF(NOT(ISNUMBER($D85)),"",_xlfn.NORM.DIST(AL$1,$D85,$E85,TRUE)-_xlfn.NORM.DIST(AL$2,$D85,$E85,TRUE))</f>
        <v/>
      </c>
      <c r="AM85">
        <f>IF(NOT(ISNUMBER($D85)),"",_xlfn.NORM.DIST(AM$1,$D85,$E85,TRUE)-_xlfn.NORM.DIST(AM$2,$D85,$E85,TRUE))</f>
        <v/>
      </c>
      <c r="AN85">
        <f>IF(NOT(ISNUMBER($D85)),"",_xlfn.NORM.DIST(AN$1,$D85,$E85,TRUE)-_xlfn.NORM.DIST(AN$2,$D85,$E85,TRUE))</f>
        <v/>
      </c>
      <c r="AO85">
        <f>IF(NOT(ISNUMBER($D85)),"",_xlfn.NORM.DIST(AO$1,$D85,$E85,TRUE)-_xlfn.NORM.DIST(AO$2,$D85,$E85,TRUE))</f>
        <v/>
      </c>
      <c r="AP85">
        <f>IF(NOT(ISNUMBER($D85)),"",_xlfn.NORM.DIST(AP$1,$D85,$E85,TRUE)-_xlfn.NORM.DIST(AP$2,$D85,$E85,TRUE))</f>
        <v/>
      </c>
      <c r="AQ85">
        <f>IF(NOT(ISNUMBER($D85)),"",_xlfn.NORM.DIST(AQ$1,$D85,$E85,TRUE)-_xlfn.NORM.DIST(AQ$2,$D85,$E85,TRUE))</f>
        <v/>
      </c>
      <c r="AR85">
        <f>IF(NOT(ISNUMBER($D85)),"",_xlfn.NORM.DIST(AR$1,$D85,$E85,TRUE)-_xlfn.NORM.DIST(AR$2,$D85,$E85,TRUE))</f>
        <v/>
      </c>
      <c r="AS85">
        <f>IF(NOT(ISNUMBER($D85)),"",_xlfn.NORM.DIST(AS$1,$D85,$E85,TRUE)-_xlfn.NORM.DIST(AS$2,$D85,$E85,TRUE))</f>
        <v/>
      </c>
      <c r="AT85">
        <f>IF(NOT(ISNUMBER($D85)),"",_xlfn.NORM.DIST(AT$1,$D85,$E85,TRUE)-_xlfn.NORM.DIST(AT$2,$D85,$E85,TRUE))</f>
        <v/>
      </c>
      <c r="AU85">
        <f>IF(NOT(ISNUMBER($D85)),"",_xlfn.NORM.DIST(AU$1,$D85,$E85,TRUE)-_xlfn.NORM.DIST(AU$2,$D85,$E85,TRUE))</f>
        <v/>
      </c>
      <c r="AV85">
        <f>IF(NOT(ISNUMBER($D85)),"",_xlfn.NORM.DIST(AV$1,$D85,$E85,TRUE)-_xlfn.NORM.DIST(AV$2,$D85,$E85,TRUE))</f>
        <v/>
      </c>
      <c r="AW85">
        <f>IF(NOT(ISNUMBER($D85)),"",_xlfn.NORM.DIST(AW$1,$D85,$E85,TRUE)-_xlfn.NORM.DIST(AW$2,$D85,$E85,TRUE))</f>
        <v/>
      </c>
      <c r="AX85">
        <f>IF(NOT(ISNUMBER($D85)),"",_xlfn.NORM.DIST(AX$1,$D85,$E85,TRUE)-_xlfn.NORM.DIST(AX$2,$D85,$E85,TRUE))</f>
        <v/>
      </c>
      <c r="AY85">
        <f>IF(NOT(ISNUMBER($D85)),"",_xlfn.NORM.DIST(AY$1,$D85,$E85,TRUE)-_xlfn.NORM.DIST(AY$2,$D85,$E85,TRUE))</f>
        <v/>
      </c>
      <c r="AZ85">
        <f>IF(NOT(ISNUMBER($D85)),"",_xlfn.NORM.DIST(AZ$1,$D85,$E85,TRUE)-_xlfn.NORM.DIST(AZ$2,$D85,$E85,TRUE))</f>
        <v/>
      </c>
      <c r="BA85">
        <f>IF(NOT(ISNUMBER($D85)),"",_xlfn.NORM.DIST(BA$1,$D85,$E85,TRUE)-_xlfn.NORM.DIST(BA$2,$D85,$E85,TRUE))</f>
        <v/>
      </c>
      <c r="BB85">
        <f>IF(NOT(ISNUMBER($D85)),"",_xlfn.NORM.DIST(BB$1,$D85,$E85,TRUE)-_xlfn.NORM.DIST(BB$2,$D85,$E85,TRUE))</f>
        <v/>
      </c>
      <c r="BC85">
        <f>IF(NOT(ISNUMBER($D85)),"",_xlfn.NORM.DIST(BC$1,$D85,$E85,TRUE)-_xlfn.NORM.DIST(BC$2,$D85,$E85,TRUE))</f>
        <v/>
      </c>
      <c r="BD85">
        <f>IF(NOT(ISNUMBER($D85)),"",_xlfn.NORM.DIST(BD$1,$D85,$E85,TRUE)-_xlfn.NORM.DIST(BD$2,$D85,$E85,TRUE))</f>
        <v/>
      </c>
      <c r="BE85">
        <f>IF(NOT(ISNUMBER($D85)),"",_xlfn.NORM.DIST(BE$1,$D85,$E85,TRUE)-_xlfn.NORM.DIST(BE$2,$D85,$E85,TRUE))</f>
        <v/>
      </c>
      <c r="BF85">
        <f>IF(NOT(ISNUMBER($D85)),"",_xlfn.NORM.DIST(BF$1,$D85,$E85,TRUE)-_xlfn.NORM.DIST(BF$2,$D85,$E85,TRUE))</f>
        <v/>
      </c>
      <c r="BG85">
        <f>IF(NOT(ISNUMBER($D85)),"",_xlfn.NORM.DIST(BG$1,$D85,$E85,TRUE)-_xlfn.NORM.DIST(BG$2,$D85,$E85,TRUE))</f>
        <v/>
      </c>
      <c r="BH85">
        <f>IF(NOT(ISNUMBER($D85)),"",_xlfn.NORM.DIST(BH$1,$D85,$E85,TRUE)-_xlfn.NORM.DIST(BH$2,$D85,$E85,TRUE))</f>
        <v/>
      </c>
      <c r="BI85">
        <f>IF(NOT(ISNUMBER($D85)),"",_xlfn.NORM.DIST(BI$1,$D85,$E85,TRUE)-_xlfn.NORM.DIST(BI$2,$D85,$E85,TRUE))</f>
        <v/>
      </c>
      <c r="BJ85">
        <f>IF(NOT(ISNUMBER($D85)),"",_xlfn.NORM.DIST(BJ$1,$D85,$E85,TRUE)-_xlfn.NORM.DIST(BJ$2,$D85,$E85,TRUE))</f>
        <v/>
      </c>
      <c r="BK85">
        <f>IF(NOT(ISNUMBER($D85)),"",_xlfn.NORM.DIST(BK$1,$D85,$E85,TRUE)-_xlfn.NORM.DIST(BK$2,$D85,$E85,TRUE))</f>
        <v/>
      </c>
      <c r="BL85">
        <f>IF(NOT(ISNUMBER($D85)),"",_xlfn.NORM.DIST(BL$1,$D85,$E85,TRUE)-_xlfn.NORM.DIST(BL$2,$D85,$E85,TRUE))</f>
        <v/>
      </c>
      <c r="BM85">
        <f>IF(NOT(ISNUMBER($D85)),"",_xlfn.NORM.DIST(BM$1,$D85,$E85,TRUE)-_xlfn.NORM.DIST(BM$2,$D85,$E85,TRUE))</f>
        <v/>
      </c>
      <c r="BN85">
        <f>IF(NOT(ISNUMBER($D85)),"",_xlfn.NORM.DIST(BN$1,$D85,$E85,TRUE)-_xlfn.NORM.DIST(BN$2,$D85,$E85,TRUE))</f>
        <v/>
      </c>
      <c r="BO85">
        <f>IF(NOT(ISNUMBER($D85)),"",_xlfn.NORM.DIST(BO$1,$D85,$E85,TRUE)-_xlfn.NORM.DIST(BO$2,$D85,$E85,TRUE))</f>
        <v/>
      </c>
      <c r="BP85">
        <f>IF(NOT(ISNUMBER($D85)),"",_xlfn.NORM.DIST(BP$1,$D85,$E85,TRUE)-_xlfn.NORM.DIST(BP$2,$D85,$E85,TRUE))</f>
        <v/>
      </c>
      <c r="BQ85">
        <f>IF(NOT(ISNUMBER($D85)),"",_xlfn.NORM.DIST(BQ$1,$D85,$E85,TRUE)-_xlfn.NORM.DIST(BQ$2,$D85,$E85,TRUE))</f>
        <v/>
      </c>
      <c r="BR85">
        <f>IF(NOT(ISNUMBER($D85)),"",_xlfn.NORM.DIST(BR$1,$D85,$E85,TRUE)-_xlfn.NORM.DIST(BR$2,$D85,$E85,TRUE))</f>
        <v/>
      </c>
      <c r="BS85">
        <f>IF(NOT(ISNUMBER($D85)),"",_xlfn.NORM.DIST(BS$1,$D85,$E85,TRUE)-_xlfn.NORM.DIST(BS$2,$D85,$E85,TRUE))</f>
        <v/>
      </c>
      <c r="BT85">
        <f>IF(NOT(ISNUMBER($D85)),"",_xlfn.NORM.DIST(BT$1,$D85,$E85,TRUE)-_xlfn.NORM.DIST(BT$2,$D85,$E85,TRUE))</f>
        <v/>
      </c>
      <c r="BU85">
        <f>IF(NOT(ISNUMBER($D85)),"",_xlfn.NORM.DIST(BU$1,$D85,$E85,TRUE)-_xlfn.NORM.DIST(BU$2,$D85,$E85,TRUE))</f>
        <v/>
      </c>
      <c r="BV85">
        <f>IF(NOT(ISNUMBER($D85)),"",_xlfn.NORM.DIST(BV$1,$D85,$E85,TRUE)-_xlfn.NORM.DIST(BV$2,$D85,$E85,TRUE))</f>
        <v/>
      </c>
      <c r="BW85">
        <f>IF(NOT(ISNUMBER($D85)),"",_xlfn.NORM.DIST(BW$1,$D85,$E85,TRUE)-_xlfn.NORM.DIST(BW$2,$D85,$E85,TRUE))</f>
        <v/>
      </c>
      <c r="BX85">
        <f>IF(NOT(ISNUMBER($D85)),"",_xlfn.NORM.DIST(BX$1,$D85,$E85,TRUE)-_xlfn.NORM.DIST(BX$2,$D85,$E85,TRUE))</f>
        <v/>
      </c>
      <c r="BY85">
        <f>IF(NOT(ISNUMBER($D85)),"",_xlfn.NORM.DIST(BY$1,$D85,$E85,TRUE)-_xlfn.NORM.DIST(BY$2,$D85,$E85,TRUE))</f>
        <v/>
      </c>
      <c r="BZ85">
        <f>IF(NOT(ISNUMBER($D85)),"",_xlfn.NORM.DIST(BZ$1,$D85,$E85,TRUE)-_xlfn.NORM.DIST(BZ$2,$D85,$E85,TRUE))</f>
        <v/>
      </c>
      <c r="CA85">
        <f>IF(NOT(ISNUMBER($D85)),"",_xlfn.NORM.DIST(CA$1,$D85,$E85,TRUE)-_xlfn.NORM.DIST(CA$2,$D85,$E85,TRUE))</f>
        <v/>
      </c>
      <c r="CB85">
        <f>IF(NOT(ISNUMBER($D85)),"",_xlfn.NORM.DIST(CB$1,$D85,$E85,TRUE)-_xlfn.NORM.DIST(CB$2,$D85,$E85,TRUE))</f>
        <v/>
      </c>
      <c r="CC85">
        <f>IF(NOT(ISNUMBER($D85)),"",_xlfn.NORM.DIST(CC$1,$D85,$E85,TRUE)-_xlfn.NORM.DIST(CC$2,$D85,$E85,TRUE))</f>
        <v/>
      </c>
      <c r="CD85">
        <f>IF(NOT(ISNUMBER($D85)),"",_xlfn.NORM.DIST(CD$1,$D85,$E85,TRUE)-_xlfn.NORM.DIST(CD$2,$D85,$E85,TRUE))</f>
        <v/>
      </c>
      <c r="CE85">
        <f>IF(NOT(ISNUMBER($D85)),"",_xlfn.NORM.DIST(CE$1,$D85,$E85,TRUE)-_xlfn.NORM.DIST(CE$2,$D85,$E85,TRUE))</f>
        <v/>
      </c>
      <c r="CF85">
        <f>IF(NOT(ISNUMBER($D85)),"",_xlfn.NORM.DIST(CF$1,$D85,$E85,TRUE)-_xlfn.NORM.DIST(CF$2,$D85,$E85,TRUE))</f>
        <v/>
      </c>
      <c r="CG85">
        <f>IF(NOT(ISNUMBER($D85)),"",_xlfn.NORM.DIST(CG$1,$D85,$E85,TRUE)-_xlfn.NORM.DIST(CG$2,$D85,$E85,TRUE))</f>
        <v/>
      </c>
      <c r="CH85">
        <f>IF(NOT(ISNUMBER($D85)),"",_xlfn.NORM.DIST(CH$1,$D85,$E85,TRUE)-_xlfn.NORM.DIST(CH$2,$D85,$E85,TRUE))</f>
        <v/>
      </c>
      <c r="CI85">
        <f>IF(NOT(ISNUMBER($D85)),"",_xlfn.NORM.DIST(CI$1,$D85,$E85,TRUE)-_xlfn.NORM.DIST(CI$2,$D85,$E85,TRUE))</f>
        <v/>
      </c>
      <c r="CJ85">
        <f>IF(ISNUMBER($D85),SUM(F85:CI85),"")</f>
        <v/>
      </c>
    </row>
    <row r="86">
      <c r="A86">
        <f>economics!A85</f>
        <v/>
      </c>
      <c r="B86">
        <f>economics!B85</f>
        <v/>
      </c>
      <c r="C86">
        <f>economics!D85</f>
        <v/>
      </c>
      <c r="D86">
        <f>IF(ISNUMBER(economics!T85),economics!T85,"na")</f>
        <v/>
      </c>
      <c r="E86">
        <f>IF(ISNUMBER(D86),MAX(0.3*ABS(D86),0.000001),"na")</f>
        <v/>
      </c>
      <c r="F86">
        <f>IF(NOT(ISNUMBER($D86)),"",_xlfn.NORM.DIST(F$1,$D86,$E86,TRUE)-_xlfn.NORM.DIST(F$2,$D86,$E86,TRUE))</f>
        <v/>
      </c>
      <c r="G86">
        <f>IF(NOT(ISNUMBER($D86)),"",_xlfn.NORM.DIST(G$1,$D86,$E86,TRUE)-_xlfn.NORM.DIST(G$2,$D86,$E86,TRUE))</f>
        <v/>
      </c>
      <c r="H86">
        <f>IF(NOT(ISNUMBER($D86)),"",_xlfn.NORM.DIST(H$1,$D86,$E86,TRUE)-_xlfn.NORM.DIST(H$2,$D86,$E86,TRUE))</f>
        <v/>
      </c>
      <c r="I86">
        <f>IF(NOT(ISNUMBER($D86)),"",_xlfn.NORM.DIST(I$1,$D86,$E86,TRUE)-_xlfn.NORM.DIST(I$2,$D86,$E86,TRUE))</f>
        <v/>
      </c>
      <c r="J86">
        <f>IF(NOT(ISNUMBER($D86)),"",_xlfn.NORM.DIST(J$1,$D86,$E86,TRUE)-_xlfn.NORM.DIST(J$2,$D86,$E86,TRUE))</f>
        <v/>
      </c>
      <c r="K86">
        <f>IF(NOT(ISNUMBER($D86)),"",_xlfn.NORM.DIST(K$1,$D86,$E86,TRUE)-_xlfn.NORM.DIST(K$2,$D86,$E86,TRUE))</f>
        <v/>
      </c>
      <c r="L86">
        <f>IF(NOT(ISNUMBER($D86)),"",_xlfn.NORM.DIST(L$1,$D86,$E86,TRUE)-_xlfn.NORM.DIST(L$2,$D86,$E86,TRUE))</f>
        <v/>
      </c>
      <c r="M86">
        <f>IF(NOT(ISNUMBER($D86)),"",_xlfn.NORM.DIST(M$1,$D86,$E86,TRUE)-_xlfn.NORM.DIST(M$2,$D86,$E86,TRUE))</f>
        <v/>
      </c>
      <c r="N86">
        <f>IF(NOT(ISNUMBER($D86)),"",_xlfn.NORM.DIST(N$1,$D86,$E86,TRUE)-_xlfn.NORM.DIST(N$2,$D86,$E86,TRUE))</f>
        <v/>
      </c>
      <c r="O86">
        <f>IF(NOT(ISNUMBER($D86)),"",_xlfn.NORM.DIST(O$1,$D86,$E86,TRUE)-_xlfn.NORM.DIST(O$2,$D86,$E86,TRUE))</f>
        <v/>
      </c>
      <c r="P86">
        <f>IF(NOT(ISNUMBER($D86)),"",_xlfn.NORM.DIST(P$1,$D86,$E86,TRUE)-_xlfn.NORM.DIST(P$2,$D86,$E86,TRUE))</f>
        <v/>
      </c>
      <c r="Q86">
        <f>IF(NOT(ISNUMBER($D86)),"",_xlfn.NORM.DIST(Q$1,$D86,$E86,TRUE)-_xlfn.NORM.DIST(Q$2,$D86,$E86,TRUE))</f>
        <v/>
      </c>
      <c r="R86">
        <f>IF(NOT(ISNUMBER($D86)),"",_xlfn.NORM.DIST(R$1,$D86,$E86,TRUE)-_xlfn.NORM.DIST(R$2,$D86,$E86,TRUE))</f>
        <v/>
      </c>
      <c r="S86">
        <f>IF(NOT(ISNUMBER($D86)),"",_xlfn.NORM.DIST(S$1,$D86,$E86,TRUE)-_xlfn.NORM.DIST(S$2,$D86,$E86,TRUE))</f>
        <v/>
      </c>
      <c r="T86">
        <f>IF(NOT(ISNUMBER($D86)),"",_xlfn.NORM.DIST(T$1,$D86,$E86,TRUE)-_xlfn.NORM.DIST(T$2,$D86,$E86,TRUE))</f>
        <v/>
      </c>
      <c r="U86">
        <f>IF(NOT(ISNUMBER($D86)),"",_xlfn.NORM.DIST(U$1,$D86,$E86,TRUE)-_xlfn.NORM.DIST(U$2,$D86,$E86,TRUE))</f>
        <v/>
      </c>
      <c r="V86">
        <f>IF(NOT(ISNUMBER($D86)),"",_xlfn.NORM.DIST(V$1,$D86,$E86,TRUE)-_xlfn.NORM.DIST(V$2,$D86,$E86,TRUE))</f>
        <v/>
      </c>
      <c r="W86">
        <f>IF(NOT(ISNUMBER($D86)),"",_xlfn.NORM.DIST(W$1,$D86,$E86,TRUE)-_xlfn.NORM.DIST(W$2,$D86,$E86,TRUE))</f>
        <v/>
      </c>
      <c r="X86">
        <f>IF(NOT(ISNUMBER($D86)),"",_xlfn.NORM.DIST(X$1,$D86,$E86,TRUE)-_xlfn.NORM.DIST(X$2,$D86,$E86,TRUE))</f>
        <v/>
      </c>
      <c r="Y86">
        <f>IF(NOT(ISNUMBER($D86)),"",_xlfn.NORM.DIST(Y$1,$D86,$E86,TRUE)-_xlfn.NORM.DIST(Y$2,$D86,$E86,TRUE))</f>
        <v/>
      </c>
      <c r="Z86">
        <f>IF(NOT(ISNUMBER($D86)),"",_xlfn.NORM.DIST(Z$1,$D86,$E86,TRUE)-_xlfn.NORM.DIST(Z$2,$D86,$E86,TRUE))</f>
        <v/>
      </c>
      <c r="AA86">
        <f>IF(NOT(ISNUMBER($D86)),"",_xlfn.NORM.DIST(AA$1,$D86,$E86,TRUE)-_xlfn.NORM.DIST(AA$2,$D86,$E86,TRUE))</f>
        <v/>
      </c>
      <c r="AB86">
        <f>IF(NOT(ISNUMBER($D86)),"",_xlfn.NORM.DIST(AB$1,$D86,$E86,TRUE)-_xlfn.NORM.DIST(AB$2,$D86,$E86,TRUE))</f>
        <v/>
      </c>
      <c r="AC86">
        <f>IF(NOT(ISNUMBER($D86)),"",_xlfn.NORM.DIST(AC$1,$D86,$E86,TRUE)-_xlfn.NORM.DIST(AC$2,$D86,$E86,TRUE))</f>
        <v/>
      </c>
      <c r="AD86">
        <f>IF(NOT(ISNUMBER($D86)),"",_xlfn.NORM.DIST(AD$1,$D86,$E86,TRUE)-_xlfn.NORM.DIST(AD$2,$D86,$E86,TRUE))</f>
        <v/>
      </c>
      <c r="AE86">
        <f>IF(NOT(ISNUMBER($D86)),"",_xlfn.NORM.DIST(AE$1,$D86,$E86,TRUE)-_xlfn.NORM.DIST(AE$2,$D86,$E86,TRUE))</f>
        <v/>
      </c>
      <c r="AF86">
        <f>IF(NOT(ISNUMBER($D86)),"",_xlfn.NORM.DIST(AF$1,$D86,$E86,TRUE)-_xlfn.NORM.DIST(AF$2,$D86,$E86,TRUE))</f>
        <v/>
      </c>
      <c r="AG86">
        <f>IF(NOT(ISNUMBER($D86)),"",_xlfn.NORM.DIST(AG$1,$D86,$E86,TRUE)-_xlfn.NORM.DIST(AG$2,$D86,$E86,TRUE))</f>
        <v/>
      </c>
      <c r="AH86">
        <f>IF(NOT(ISNUMBER($D86)),"",_xlfn.NORM.DIST(AH$1,$D86,$E86,TRUE)-_xlfn.NORM.DIST(AH$2,$D86,$E86,TRUE))</f>
        <v/>
      </c>
      <c r="AI86">
        <f>IF(NOT(ISNUMBER($D86)),"",_xlfn.NORM.DIST(AI$1,$D86,$E86,TRUE)-_xlfn.NORM.DIST(AI$2,$D86,$E86,TRUE))</f>
        <v/>
      </c>
      <c r="AJ86">
        <f>IF(NOT(ISNUMBER($D86)),"",_xlfn.NORM.DIST(AJ$1,$D86,$E86,TRUE)-_xlfn.NORM.DIST(AJ$2,$D86,$E86,TRUE))</f>
        <v/>
      </c>
      <c r="AK86">
        <f>IF(NOT(ISNUMBER($D86)),"",_xlfn.NORM.DIST(AK$1,$D86,$E86,TRUE)-_xlfn.NORM.DIST(AK$2,$D86,$E86,TRUE))</f>
        <v/>
      </c>
      <c r="AL86">
        <f>IF(NOT(ISNUMBER($D86)),"",_xlfn.NORM.DIST(AL$1,$D86,$E86,TRUE)-_xlfn.NORM.DIST(AL$2,$D86,$E86,TRUE))</f>
        <v/>
      </c>
      <c r="AM86">
        <f>IF(NOT(ISNUMBER($D86)),"",_xlfn.NORM.DIST(AM$1,$D86,$E86,TRUE)-_xlfn.NORM.DIST(AM$2,$D86,$E86,TRUE))</f>
        <v/>
      </c>
      <c r="AN86">
        <f>IF(NOT(ISNUMBER($D86)),"",_xlfn.NORM.DIST(AN$1,$D86,$E86,TRUE)-_xlfn.NORM.DIST(AN$2,$D86,$E86,TRUE))</f>
        <v/>
      </c>
      <c r="AO86">
        <f>IF(NOT(ISNUMBER($D86)),"",_xlfn.NORM.DIST(AO$1,$D86,$E86,TRUE)-_xlfn.NORM.DIST(AO$2,$D86,$E86,TRUE))</f>
        <v/>
      </c>
      <c r="AP86">
        <f>IF(NOT(ISNUMBER($D86)),"",_xlfn.NORM.DIST(AP$1,$D86,$E86,TRUE)-_xlfn.NORM.DIST(AP$2,$D86,$E86,TRUE))</f>
        <v/>
      </c>
      <c r="AQ86">
        <f>IF(NOT(ISNUMBER($D86)),"",_xlfn.NORM.DIST(AQ$1,$D86,$E86,TRUE)-_xlfn.NORM.DIST(AQ$2,$D86,$E86,TRUE))</f>
        <v/>
      </c>
      <c r="AR86">
        <f>IF(NOT(ISNUMBER($D86)),"",_xlfn.NORM.DIST(AR$1,$D86,$E86,TRUE)-_xlfn.NORM.DIST(AR$2,$D86,$E86,TRUE))</f>
        <v/>
      </c>
      <c r="AS86">
        <f>IF(NOT(ISNUMBER($D86)),"",_xlfn.NORM.DIST(AS$1,$D86,$E86,TRUE)-_xlfn.NORM.DIST(AS$2,$D86,$E86,TRUE))</f>
        <v/>
      </c>
      <c r="AT86">
        <f>IF(NOT(ISNUMBER($D86)),"",_xlfn.NORM.DIST(AT$1,$D86,$E86,TRUE)-_xlfn.NORM.DIST(AT$2,$D86,$E86,TRUE))</f>
        <v/>
      </c>
      <c r="AU86">
        <f>IF(NOT(ISNUMBER($D86)),"",_xlfn.NORM.DIST(AU$1,$D86,$E86,TRUE)-_xlfn.NORM.DIST(AU$2,$D86,$E86,TRUE))</f>
        <v/>
      </c>
      <c r="AV86">
        <f>IF(NOT(ISNUMBER($D86)),"",_xlfn.NORM.DIST(AV$1,$D86,$E86,TRUE)-_xlfn.NORM.DIST(AV$2,$D86,$E86,TRUE))</f>
        <v/>
      </c>
      <c r="AW86">
        <f>IF(NOT(ISNUMBER($D86)),"",_xlfn.NORM.DIST(AW$1,$D86,$E86,TRUE)-_xlfn.NORM.DIST(AW$2,$D86,$E86,TRUE))</f>
        <v/>
      </c>
      <c r="AX86">
        <f>IF(NOT(ISNUMBER($D86)),"",_xlfn.NORM.DIST(AX$1,$D86,$E86,TRUE)-_xlfn.NORM.DIST(AX$2,$D86,$E86,TRUE))</f>
        <v/>
      </c>
      <c r="AY86">
        <f>IF(NOT(ISNUMBER($D86)),"",_xlfn.NORM.DIST(AY$1,$D86,$E86,TRUE)-_xlfn.NORM.DIST(AY$2,$D86,$E86,TRUE))</f>
        <v/>
      </c>
      <c r="AZ86">
        <f>IF(NOT(ISNUMBER($D86)),"",_xlfn.NORM.DIST(AZ$1,$D86,$E86,TRUE)-_xlfn.NORM.DIST(AZ$2,$D86,$E86,TRUE))</f>
        <v/>
      </c>
      <c r="BA86">
        <f>IF(NOT(ISNUMBER($D86)),"",_xlfn.NORM.DIST(BA$1,$D86,$E86,TRUE)-_xlfn.NORM.DIST(BA$2,$D86,$E86,TRUE))</f>
        <v/>
      </c>
      <c r="BB86">
        <f>IF(NOT(ISNUMBER($D86)),"",_xlfn.NORM.DIST(BB$1,$D86,$E86,TRUE)-_xlfn.NORM.DIST(BB$2,$D86,$E86,TRUE))</f>
        <v/>
      </c>
      <c r="BC86">
        <f>IF(NOT(ISNUMBER($D86)),"",_xlfn.NORM.DIST(BC$1,$D86,$E86,TRUE)-_xlfn.NORM.DIST(BC$2,$D86,$E86,TRUE))</f>
        <v/>
      </c>
      <c r="BD86">
        <f>IF(NOT(ISNUMBER($D86)),"",_xlfn.NORM.DIST(BD$1,$D86,$E86,TRUE)-_xlfn.NORM.DIST(BD$2,$D86,$E86,TRUE))</f>
        <v/>
      </c>
      <c r="BE86">
        <f>IF(NOT(ISNUMBER($D86)),"",_xlfn.NORM.DIST(BE$1,$D86,$E86,TRUE)-_xlfn.NORM.DIST(BE$2,$D86,$E86,TRUE))</f>
        <v/>
      </c>
      <c r="BF86">
        <f>IF(NOT(ISNUMBER($D86)),"",_xlfn.NORM.DIST(BF$1,$D86,$E86,TRUE)-_xlfn.NORM.DIST(BF$2,$D86,$E86,TRUE))</f>
        <v/>
      </c>
      <c r="BG86">
        <f>IF(NOT(ISNUMBER($D86)),"",_xlfn.NORM.DIST(BG$1,$D86,$E86,TRUE)-_xlfn.NORM.DIST(BG$2,$D86,$E86,TRUE))</f>
        <v/>
      </c>
      <c r="BH86">
        <f>IF(NOT(ISNUMBER($D86)),"",_xlfn.NORM.DIST(BH$1,$D86,$E86,TRUE)-_xlfn.NORM.DIST(BH$2,$D86,$E86,TRUE))</f>
        <v/>
      </c>
      <c r="BI86">
        <f>IF(NOT(ISNUMBER($D86)),"",_xlfn.NORM.DIST(BI$1,$D86,$E86,TRUE)-_xlfn.NORM.DIST(BI$2,$D86,$E86,TRUE))</f>
        <v/>
      </c>
      <c r="BJ86">
        <f>IF(NOT(ISNUMBER($D86)),"",_xlfn.NORM.DIST(BJ$1,$D86,$E86,TRUE)-_xlfn.NORM.DIST(BJ$2,$D86,$E86,TRUE))</f>
        <v/>
      </c>
      <c r="BK86">
        <f>IF(NOT(ISNUMBER($D86)),"",_xlfn.NORM.DIST(BK$1,$D86,$E86,TRUE)-_xlfn.NORM.DIST(BK$2,$D86,$E86,TRUE))</f>
        <v/>
      </c>
      <c r="BL86">
        <f>IF(NOT(ISNUMBER($D86)),"",_xlfn.NORM.DIST(BL$1,$D86,$E86,TRUE)-_xlfn.NORM.DIST(BL$2,$D86,$E86,TRUE))</f>
        <v/>
      </c>
      <c r="BM86">
        <f>IF(NOT(ISNUMBER($D86)),"",_xlfn.NORM.DIST(BM$1,$D86,$E86,TRUE)-_xlfn.NORM.DIST(BM$2,$D86,$E86,TRUE))</f>
        <v/>
      </c>
      <c r="BN86">
        <f>IF(NOT(ISNUMBER($D86)),"",_xlfn.NORM.DIST(BN$1,$D86,$E86,TRUE)-_xlfn.NORM.DIST(BN$2,$D86,$E86,TRUE))</f>
        <v/>
      </c>
      <c r="BO86">
        <f>IF(NOT(ISNUMBER($D86)),"",_xlfn.NORM.DIST(BO$1,$D86,$E86,TRUE)-_xlfn.NORM.DIST(BO$2,$D86,$E86,TRUE))</f>
        <v/>
      </c>
      <c r="BP86">
        <f>IF(NOT(ISNUMBER($D86)),"",_xlfn.NORM.DIST(BP$1,$D86,$E86,TRUE)-_xlfn.NORM.DIST(BP$2,$D86,$E86,TRUE))</f>
        <v/>
      </c>
      <c r="BQ86">
        <f>IF(NOT(ISNUMBER($D86)),"",_xlfn.NORM.DIST(BQ$1,$D86,$E86,TRUE)-_xlfn.NORM.DIST(BQ$2,$D86,$E86,TRUE))</f>
        <v/>
      </c>
      <c r="BR86">
        <f>IF(NOT(ISNUMBER($D86)),"",_xlfn.NORM.DIST(BR$1,$D86,$E86,TRUE)-_xlfn.NORM.DIST(BR$2,$D86,$E86,TRUE))</f>
        <v/>
      </c>
      <c r="BS86">
        <f>IF(NOT(ISNUMBER($D86)),"",_xlfn.NORM.DIST(BS$1,$D86,$E86,TRUE)-_xlfn.NORM.DIST(BS$2,$D86,$E86,TRUE))</f>
        <v/>
      </c>
      <c r="BT86">
        <f>IF(NOT(ISNUMBER($D86)),"",_xlfn.NORM.DIST(BT$1,$D86,$E86,TRUE)-_xlfn.NORM.DIST(BT$2,$D86,$E86,TRUE))</f>
        <v/>
      </c>
      <c r="BU86">
        <f>IF(NOT(ISNUMBER($D86)),"",_xlfn.NORM.DIST(BU$1,$D86,$E86,TRUE)-_xlfn.NORM.DIST(BU$2,$D86,$E86,TRUE))</f>
        <v/>
      </c>
      <c r="BV86">
        <f>IF(NOT(ISNUMBER($D86)),"",_xlfn.NORM.DIST(BV$1,$D86,$E86,TRUE)-_xlfn.NORM.DIST(BV$2,$D86,$E86,TRUE))</f>
        <v/>
      </c>
      <c r="BW86">
        <f>IF(NOT(ISNUMBER($D86)),"",_xlfn.NORM.DIST(BW$1,$D86,$E86,TRUE)-_xlfn.NORM.DIST(BW$2,$D86,$E86,TRUE))</f>
        <v/>
      </c>
      <c r="BX86">
        <f>IF(NOT(ISNUMBER($D86)),"",_xlfn.NORM.DIST(BX$1,$D86,$E86,TRUE)-_xlfn.NORM.DIST(BX$2,$D86,$E86,TRUE))</f>
        <v/>
      </c>
      <c r="BY86">
        <f>IF(NOT(ISNUMBER($D86)),"",_xlfn.NORM.DIST(BY$1,$D86,$E86,TRUE)-_xlfn.NORM.DIST(BY$2,$D86,$E86,TRUE))</f>
        <v/>
      </c>
      <c r="BZ86">
        <f>IF(NOT(ISNUMBER($D86)),"",_xlfn.NORM.DIST(BZ$1,$D86,$E86,TRUE)-_xlfn.NORM.DIST(BZ$2,$D86,$E86,TRUE))</f>
        <v/>
      </c>
      <c r="CA86">
        <f>IF(NOT(ISNUMBER($D86)),"",_xlfn.NORM.DIST(CA$1,$D86,$E86,TRUE)-_xlfn.NORM.DIST(CA$2,$D86,$E86,TRUE))</f>
        <v/>
      </c>
      <c r="CB86">
        <f>IF(NOT(ISNUMBER($D86)),"",_xlfn.NORM.DIST(CB$1,$D86,$E86,TRUE)-_xlfn.NORM.DIST(CB$2,$D86,$E86,TRUE))</f>
        <v/>
      </c>
      <c r="CC86">
        <f>IF(NOT(ISNUMBER($D86)),"",_xlfn.NORM.DIST(CC$1,$D86,$E86,TRUE)-_xlfn.NORM.DIST(CC$2,$D86,$E86,TRUE))</f>
        <v/>
      </c>
      <c r="CD86">
        <f>IF(NOT(ISNUMBER($D86)),"",_xlfn.NORM.DIST(CD$1,$D86,$E86,TRUE)-_xlfn.NORM.DIST(CD$2,$D86,$E86,TRUE))</f>
        <v/>
      </c>
      <c r="CE86">
        <f>IF(NOT(ISNUMBER($D86)),"",_xlfn.NORM.DIST(CE$1,$D86,$E86,TRUE)-_xlfn.NORM.DIST(CE$2,$D86,$E86,TRUE))</f>
        <v/>
      </c>
      <c r="CF86">
        <f>IF(NOT(ISNUMBER($D86)),"",_xlfn.NORM.DIST(CF$1,$D86,$E86,TRUE)-_xlfn.NORM.DIST(CF$2,$D86,$E86,TRUE))</f>
        <v/>
      </c>
      <c r="CG86">
        <f>IF(NOT(ISNUMBER($D86)),"",_xlfn.NORM.DIST(CG$1,$D86,$E86,TRUE)-_xlfn.NORM.DIST(CG$2,$D86,$E86,TRUE))</f>
        <v/>
      </c>
      <c r="CH86">
        <f>IF(NOT(ISNUMBER($D86)),"",_xlfn.NORM.DIST(CH$1,$D86,$E86,TRUE)-_xlfn.NORM.DIST(CH$2,$D86,$E86,TRUE))</f>
        <v/>
      </c>
      <c r="CI86">
        <f>IF(NOT(ISNUMBER($D86)),"",_xlfn.NORM.DIST(CI$1,$D86,$E86,TRUE)-_xlfn.NORM.DIST(CI$2,$D86,$E86,TRUE))</f>
        <v/>
      </c>
      <c r="CJ86">
        <f>IF(ISNUMBER($D86),SUM(F86:CI86),"")</f>
        <v/>
      </c>
    </row>
    <row r="87">
      <c r="A87">
        <f>economics!A86</f>
        <v/>
      </c>
      <c r="B87">
        <f>economics!B86</f>
        <v/>
      </c>
      <c r="C87">
        <f>economics!D86</f>
        <v/>
      </c>
      <c r="D87">
        <f>IF(ISNUMBER(economics!T86),economics!T86,"na")</f>
        <v/>
      </c>
      <c r="E87">
        <f>IF(ISNUMBER(D87),MAX(0.3*ABS(D87),0.000001),"na")</f>
        <v/>
      </c>
      <c r="F87">
        <f>IF(NOT(ISNUMBER($D87)),"",_xlfn.NORM.DIST(F$1,$D87,$E87,TRUE)-_xlfn.NORM.DIST(F$2,$D87,$E87,TRUE))</f>
        <v/>
      </c>
      <c r="G87">
        <f>IF(NOT(ISNUMBER($D87)),"",_xlfn.NORM.DIST(G$1,$D87,$E87,TRUE)-_xlfn.NORM.DIST(G$2,$D87,$E87,TRUE))</f>
        <v/>
      </c>
      <c r="H87">
        <f>IF(NOT(ISNUMBER($D87)),"",_xlfn.NORM.DIST(H$1,$D87,$E87,TRUE)-_xlfn.NORM.DIST(H$2,$D87,$E87,TRUE))</f>
        <v/>
      </c>
      <c r="I87">
        <f>IF(NOT(ISNUMBER($D87)),"",_xlfn.NORM.DIST(I$1,$D87,$E87,TRUE)-_xlfn.NORM.DIST(I$2,$D87,$E87,TRUE))</f>
        <v/>
      </c>
      <c r="J87">
        <f>IF(NOT(ISNUMBER($D87)),"",_xlfn.NORM.DIST(J$1,$D87,$E87,TRUE)-_xlfn.NORM.DIST(J$2,$D87,$E87,TRUE))</f>
        <v/>
      </c>
      <c r="K87">
        <f>IF(NOT(ISNUMBER($D87)),"",_xlfn.NORM.DIST(K$1,$D87,$E87,TRUE)-_xlfn.NORM.DIST(K$2,$D87,$E87,TRUE))</f>
        <v/>
      </c>
      <c r="L87">
        <f>IF(NOT(ISNUMBER($D87)),"",_xlfn.NORM.DIST(L$1,$D87,$E87,TRUE)-_xlfn.NORM.DIST(L$2,$D87,$E87,TRUE))</f>
        <v/>
      </c>
      <c r="M87">
        <f>IF(NOT(ISNUMBER($D87)),"",_xlfn.NORM.DIST(M$1,$D87,$E87,TRUE)-_xlfn.NORM.DIST(M$2,$D87,$E87,TRUE))</f>
        <v/>
      </c>
      <c r="N87">
        <f>IF(NOT(ISNUMBER($D87)),"",_xlfn.NORM.DIST(N$1,$D87,$E87,TRUE)-_xlfn.NORM.DIST(N$2,$D87,$E87,TRUE))</f>
        <v/>
      </c>
      <c r="O87">
        <f>IF(NOT(ISNUMBER($D87)),"",_xlfn.NORM.DIST(O$1,$D87,$E87,TRUE)-_xlfn.NORM.DIST(O$2,$D87,$E87,TRUE))</f>
        <v/>
      </c>
      <c r="P87">
        <f>IF(NOT(ISNUMBER($D87)),"",_xlfn.NORM.DIST(P$1,$D87,$E87,TRUE)-_xlfn.NORM.DIST(P$2,$D87,$E87,TRUE))</f>
        <v/>
      </c>
      <c r="Q87">
        <f>IF(NOT(ISNUMBER($D87)),"",_xlfn.NORM.DIST(Q$1,$D87,$E87,TRUE)-_xlfn.NORM.DIST(Q$2,$D87,$E87,TRUE))</f>
        <v/>
      </c>
      <c r="R87">
        <f>IF(NOT(ISNUMBER($D87)),"",_xlfn.NORM.DIST(R$1,$D87,$E87,TRUE)-_xlfn.NORM.DIST(R$2,$D87,$E87,TRUE))</f>
        <v/>
      </c>
      <c r="S87">
        <f>IF(NOT(ISNUMBER($D87)),"",_xlfn.NORM.DIST(S$1,$D87,$E87,TRUE)-_xlfn.NORM.DIST(S$2,$D87,$E87,TRUE))</f>
        <v/>
      </c>
      <c r="T87">
        <f>IF(NOT(ISNUMBER($D87)),"",_xlfn.NORM.DIST(T$1,$D87,$E87,TRUE)-_xlfn.NORM.DIST(T$2,$D87,$E87,TRUE))</f>
        <v/>
      </c>
      <c r="U87">
        <f>IF(NOT(ISNUMBER($D87)),"",_xlfn.NORM.DIST(U$1,$D87,$E87,TRUE)-_xlfn.NORM.DIST(U$2,$D87,$E87,TRUE))</f>
        <v/>
      </c>
      <c r="V87">
        <f>IF(NOT(ISNUMBER($D87)),"",_xlfn.NORM.DIST(V$1,$D87,$E87,TRUE)-_xlfn.NORM.DIST(V$2,$D87,$E87,TRUE))</f>
        <v/>
      </c>
      <c r="W87">
        <f>IF(NOT(ISNUMBER($D87)),"",_xlfn.NORM.DIST(W$1,$D87,$E87,TRUE)-_xlfn.NORM.DIST(W$2,$D87,$E87,TRUE))</f>
        <v/>
      </c>
      <c r="X87">
        <f>IF(NOT(ISNUMBER($D87)),"",_xlfn.NORM.DIST(X$1,$D87,$E87,TRUE)-_xlfn.NORM.DIST(X$2,$D87,$E87,TRUE))</f>
        <v/>
      </c>
      <c r="Y87">
        <f>IF(NOT(ISNUMBER($D87)),"",_xlfn.NORM.DIST(Y$1,$D87,$E87,TRUE)-_xlfn.NORM.DIST(Y$2,$D87,$E87,TRUE))</f>
        <v/>
      </c>
      <c r="Z87">
        <f>IF(NOT(ISNUMBER($D87)),"",_xlfn.NORM.DIST(Z$1,$D87,$E87,TRUE)-_xlfn.NORM.DIST(Z$2,$D87,$E87,TRUE))</f>
        <v/>
      </c>
      <c r="AA87">
        <f>IF(NOT(ISNUMBER($D87)),"",_xlfn.NORM.DIST(AA$1,$D87,$E87,TRUE)-_xlfn.NORM.DIST(AA$2,$D87,$E87,TRUE))</f>
        <v/>
      </c>
      <c r="AB87">
        <f>IF(NOT(ISNUMBER($D87)),"",_xlfn.NORM.DIST(AB$1,$D87,$E87,TRUE)-_xlfn.NORM.DIST(AB$2,$D87,$E87,TRUE))</f>
        <v/>
      </c>
      <c r="AC87">
        <f>IF(NOT(ISNUMBER($D87)),"",_xlfn.NORM.DIST(AC$1,$D87,$E87,TRUE)-_xlfn.NORM.DIST(AC$2,$D87,$E87,TRUE))</f>
        <v/>
      </c>
      <c r="AD87">
        <f>IF(NOT(ISNUMBER($D87)),"",_xlfn.NORM.DIST(AD$1,$D87,$E87,TRUE)-_xlfn.NORM.DIST(AD$2,$D87,$E87,TRUE))</f>
        <v/>
      </c>
      <c r="AE87">
        <f>IF(NOT(ISNUMBER($D87)),"",_xlfn.NORM.DIST(AE$1,$D87,$E87,TRUE)-_xlfn.NORM.DIST(AE$2,$D87,$E87,TRUE))</f>
        <v/>
      </c>
      <c r="AF87">
        <f>IF(NOT(ISNUMBER($D87)),"",_xlfn.NORM.DIST(AF$1,$D87,$E87,TRUE)-_xlfn.NORM.DIST(AF$2,$D87,$E87,TRUE))</f>
        <v/>
      </c>
      <c r="AG87">
        <f>IF(NOT(ISNUMBER($D87)),"",_xlfn.NORM.DIST(AG$1,$D87,$E87,TRUE)-_xlfn.NORM.DIST(AG$2,$D87,$E87,TRUE))</f>
        <v/>
      </c>
      <c r="AH87">
        <f>IF(NOT(ISNUMBER($D87)),"",_xlfn.NORM.DIST(AH$1,$D87,$E87,TRUE)-_xlfn.NORM.DIST(AH$2,$D87,$E87,TRUE))</f>
        <v/>
      </c>
      <c r="AI87">
        <f>IF(NOT(ISNUMBER($D87)),"",_xlfn.NORM.DIST(AI$1,$D87,$E87,TRUE)-_xlfn.NORM.DIST(AI$2,$D87,$E87,TRUE))</f>
        <v/>
      </c>
      <c r="AJ87">
        <f>IF(NOT(ISNUMBER($D87)),"",_xlfn.NORM.DIST(AJ$1,$D87,$E87,TRUE)-_xlfn.NORM.DIST(AJ$2,$D87,$E87,TRUE))</f>
        <v/>
      </c>
      <c r="AK87">
        <f>IF(NOT(ISNUMBER($D87)),"",_xlfn.NORM.DIST(AK$1,$D87,$E87,TRUE)-_xlfn.NORM.DIST(AK$2,$D87,$E87,TRUE))</f>
        <v/>
      </c>
      <c r="AL87">
        <f>IF(NOT(ISNUMBER($D87)),"",_xlfn.NORM.DIST(AL$1,$D87,$E87,TRUE)-_xlfn.NORM.DIST(AL$2,$D87,$E87,TRUE))</f>
        <v/>
      </c>
      <c r="AM87">
        <f>IF(NOT(ISNUMBER($D87)),"",_xlfn.NORM.DIST(AM$1,$D87,$E87,TRUE)-_xlfn.NORM.DIST(AM$2,$D87,$E87,TRUE))</f>
        <v/>
      </c>
      <c r="AN87">
        <f>IF(NOT(ISNUMBER($D87)),"",_xlfn.NORM.DIST(AN$1,$D87,$E87,TRUE)-_xlfn.NORM.DIST(AN$2,$D87,$E87,TRUE))</f>
        <v/>
      </c>
      <c r="AO87">
        <f>IF(NOT(ISNUMBER($D87)),"",_xlfn.NORM.DIST(AO$1,$D87,$E87,TRUE)-_xlfn.NORM.DIST(AO$2,$D87,$E87,TRUE))</f>
        <v/>
      </c>
      <c r="AP87">
        <f>IF(NOT(ISNUMBER($D87)),"",_xlfn.NORM.DIST(AP$1,$D87,$E87,TRUE)-_xlfn.NORM.DIST(AP$2,$D87,$E87,TRUE))</f>
        <v/>
      </c>
      <c r="AQ87">
        <f>IF(NOT(ISNUMBER($D87)),"",_xlfn.NORM.DIST(AQ$1,$D87,$E87,TRUE)-_xlfn.NORM.DIST(AQ$2,$D87,$E87,TRUE))</f>
        <v/>
      </c>
      <c r="AR87">
        <f>IF(NOT(ISNUMBER($D87)),"",_xlfn.NORM.DIST(AR$1,$D87,$E87,TRUE)-_xlfn.NORM.DIST(AR$2,$D87,$E87,TRUE))</f>
        <v/>
      </c>
      <c r="AS87">
        <f>IF(NOT(ISNUMBER($D87)),"",_xlfn.NORM.DIST(AS$1,$D87,$E87,TRUE)-_xlfn.NORM.DIST(AS$2,$D87,$E87,TRUE))</f>
        <v/>
      </c>
      <c r="AT87">
        <f>IF(NOT(ISNUMBER($D87)),"",_xlfn.NORM.DIST(AT$1,$D87,$E87,TRUE)-_xlfn.NORM.DIST(AT$2,$D87,$E87,TRUE))</f>
        <v/>
      </c>
      <c r="AU87">
        <f>IF(NOT(ISNUMBER($D87)),"",_xlfn.NORM.DIST(AU$1,$D87,$E87,TRUE)-_xlfn.NORM.DIST(AU$2,$D87,$E87,TRUE))</f>
        <v/>
      </c>
      <c r="AV87">
        <f>IF(NOT(ISNUMBER($D87)),"",_xlfn.NORM.DIST(AV$1,$D87,$E87,TRUE)-_xlfn.NORM.DIST(AV$2,$D87,$E87,TRUE))</f>
        <v/>
      </c>
      <c r="AW87">
        <f>IF(NOT(ISNUMBER($D87)),"",_xlfn.NORM.DIST(AW$1,$D87,$E87,TRUE)-_xlfn.NORM.DIST(AW$2,$D87,$E87,TRUE))</f>
        <v/>
      </c>
      <c r="AX87">
        <f>IF(NOT(ISNUMBER($D87)),"",_xlfn.NORM.DIST(AX$1,$D87,$E87,TRUE)-_xlfn.NORM.DIST(AX$2,$D87,$E87,TRUE))</f>
        <v/>
      </c>
      <c r="AY87">
        <f>IF(NOT(ISNUMBER($D87)),"",_xlfn.NORM.DIST(AY$1,$D87,$E87,TRUE)-_xlfn.NORM.DIST(AY$2,$D87,$E87,TRUE))</f>
        <v/>
      </c>
      <c r="AZ87">
        <f>IF(NOT(ISNUMBER($D87)),"",_xlfn.NORM.DIST(AZ$1,$D87,$E87,TRUE)-_xlfn.NORM.DIST(AZ$2,$D87,$E87,TRUE))</f>
        <v/>
      </c>
      <c r="BA87">
        <f>IF(NOT(ISNUMBER($D87)),"",_xlfn.NORM.DIST(BA$1,$D87,$E87,TRUE)-_xlfn.NORM.DIST(BA$2,$D87,$E87,TRUE))</f>
        <v/>
      </c>
      <c r="BB87">
        <f>IF(NOT(ISNUMBER($D87)),"",_xlfn.NORM.DIST(BB$1,$D87,$E87,TRUE)-_xlfn.NORM.DIST(BB$2,$D87,$E87,TRUE))</f>
        <v/>
      </c>
      <c r="BC87">
        <f>IF(NOT(ISNUMBER($D87)),"",_xlfn.NORM.DIST(BC$1,$D87,$E87,TRUE)-_xlfn.NORM.DIST(BC$2,$D87,$E87,TRUE))</f>
        <v/>
      </c>
      <c r="BD87">
        <f>IF(NOT(ISNUMBER($D87)),"",_xlfn.NORM.DIST(BD$1,$D87,$E87,TRUE)-_xlfn.NORM.DIST(BD$2,$D87,$E87,TRUE))</f>
        <v/>
      </c>
      <c r="BE87">
        <f>IF(NOT(ISNUMBER($D87)),"",_xlfn.NORM.DIST(BE$1,$D87,$E87,TRUE)-_xlfn.NORM.DIST(BE$2,$D87,$E87,TRUE))</f>
        <v/>
      </c>
      <c r="BF87">
        <f>IF(NOT(ISNUMBER($D87)),"",_xlfn.NORM.DIST(BF$1,$D87,$E87,TRUE)-_xlfn.NORM.DIST(BF$2,$D87,$E87,TRUE))</f>
        <v/>
      </c>
      <c r="BG87">
        <f>IF(NOT(ISNUMBER($D87)),"",_xlfn.NORM.DIST(BG$1,$D87,$E87,TRUE)-_xlfn.NORM.DIST(BG$2,$D87,$E87,TRUE))</f>
        <v/>
      </c>
      <c r="BH87">
        <f>IF(NOT(ISNUMBER($D87)),"",_xlfn.NORM.DIST(BH$1,$D87,$E87,TRUE)-_xlfn.NORM.DIST(BH$2,$D87,$E87,TRUE))</f>
        <v/>
      </c>
      <c r="BI87">
        <f>IF(NOT(ISNUMBER($D87)),"",_xlfn.NORM.DIST(BI$1,$D87,$E87,TRUE)-_xlfn.NORM.DIST(BI$2,$D87,$E87,TRUE))</f>
        <v/>
      </c>
      <c r="BJ87">
        <f>IF(NOT(ISNUMBER($D87)),"",_xlfn.NORM.DIST(BJ$1,$D87,$E87,TRUE)-_xlfn.NORM.DIST(BJ$2,$D87,$E87,TRUE))</f>
        <v/>
      </c>
      <c r="BK87">
        <f>IF(NOT(ISNUMBER($D87)),"",_xlfn.NORM.DIST(BK$1,$D87,$E87,TRUE)-_xlfn.NORM.DIST(BK$2,$D87,$E87,TRUE))</f>
        <v/>
      </c>
      <c r="BL87">
        <f>IF(NOT(ISNUMBER($D87)),"",_xlfn.NORM.DIST(BL$1,$D87,$E87,TRUE)-_xlfn.NORM.DIST(BL$2,$D87,$E87,TRUE))</f>
        <v/>
      </c>
      <c r="BM87">
        <f>IF(NOT(ISNUMBER($D87)),"",_xlfn.NORM.DIST(BM$1,$D87,$E87,TRUE)-_xlfn.NORM.DIST(BM$2,$D87,$E87,TRUE))</f>
        <v/>
      </c>
      <c r="BN87">
        <f>IF(NOT(ISNUMBER($D87)),"",_xlfn.NORM.DIST(BN$1,$D87,$E87,TRUE)-_xlfn.NORM.DIST(BN$2,$D87,$E87,TRUE))</f>
        <v/>
      </c>
      <c r="BO87">
        <f>IF(NOT(ISNUMBER($D87)),"",_xlfn.NORM.DIST(BO$1,$D87,$E87,TRUE)-_xlfn.NORM.DIST(BO$2,$D87,$E87,TRUE))</f>
        <v/>
      </c>
      <c r="BP87">
        <f>IF(NOT(ISNUMBER($D87)),"",_xlfn.NORM.DIST(BP$1,$D87,$E87,TRUE)-_xlfn.NORM.DIST(BP$2,$D87,$E87,TRUE))</f>
        <v/>
      </c>
      <c r="BQ87">
        <f>IF(NOT(ISNUMBER($D87)),"",_xlfn.NORM.DIST(BQ$1,$D87,$E87,TRUE)-_xlfn.NORM.DIST(BQ$2,$D87,$E87,TRUE))</f>
        <v/>
      </c>
      <c r="BR87">
        <f>IF(NOT(ISNUMBER($D87)),"",_xlfn.NORM.DIST(BR$1,$D87,$E87,TRUE)-_xlfn.NORM.DIST(BR$2,$D87,$E87,TRUE))</f>
        <v/>
      </c>
      <c r="BS87">
        <f>IF(NOT(ISNUMBER($D87)),"",_xlfn.NORM.DIST(BS$1,$D87,$E87,TRUE)-_xlfn.NORM.DIST(BS$2,$D87,$E87,TRUE))</f>
        <v/>
      </c>
      <c r="BT87">
        <f>IF(NOT(ISNUMBER($D87)),"",_xlfn.NORM.DIST(BT$1,$D87,$E87,TRUE)-_xlfn.NORM.DIST(BT$2,$D87,$E87,TRUE))</f>
        <v/>
      </c>
      <c r="BU87">
        <f>IF(NOT(ISNUMBER($D87)),"",_xlfn.NORM.DIST(BU$1,$D87,$E87,TRUE)-_xlfn.NORM.DIST(BU$2,$D87,$E87,TRUE))</f>
        <v/>
      </c>
      <c r="BV87">
        <f>IF(NOT(ISNUMBER($D87)),"",_xlfn.NORM.DIST(BV$1,$D87,$E87,TRUE)-_xlfn.NORM.DIST(BV$2,$D87,$E87,TRUE))</f>
        <v/>
      </c>
      <c r="BW87">
        <f>IF(NOT(ISNUMBER($D87)),"",_xlfn.NORM.DIST(BW$1,$D87,$E87,TRUE)-_xlfn.NORM.DIST(BW$2,$D87,$E87,TRUE))</f>
        <v/>
      </c>
      <c r="BX87">
        <f>IF(NOT(ISNUMBER($D87)),"",_xlfn.NORM.DIST(BX$1,$D87,$E87,TRUE)-_xlfn.NORM.DIST(BX$2,$D87,$E87,TRUE))</f>
        <v/>
      </c>
      <c r="BY87">
        <f>IF(NOT(ISNUMBER($D87)),"",_xlfn.NORM.DIST(BY$1,$D87,$E87,TRUE)-_xlfn.NORM.DIST(BY$2,$D87,$E87,TRUE))</f>
        <v/>
      </c>
      <c r="BZ87">
        <f>IF(NOT(ISNUMBER($D87)),"",_xlfn.NORM.DIST(BZ$1,$D87,$E87,TRUE)-_xlfn.NORM.DIST(BZ$2,$D87,$E87,TRUE))</f>
        <v/>
      </c>
      <c r="CA87">
        <f>IF(NOT(ISNUMBER($D87)),"",_xlfn.NORM.DIST(CA$1,$D87,$E87,TRUE)-_xlfn.NORM.DIST(CA$2,$D87,$E87,TRUE))</f>
        <v/>
      </c>
      <c r="CB87">
        <f>IF(NOT(ISNUMBER($D87)),"",_xlfn.NORM.DIST(CB$1,$D87,$E87,TRUE)-_xlfn.NORM.DIST(CB$2,$D87,$E87,TRUE))</f>
        <v/>
      </c>
      <c r="CC87">
        <f>IF(NOT(ISNUMBER($D87)),"",_xlfn.NORM.DIST(CC$1,$D87,$E87,TRUE)-_xlfn.NORM.DIST(CC$2,$D87,$E87,TRUE))</f>
        <v/>
      </c>
      <c r="CD87">
        <f>IF(NOT(ISNUMBER($D87)),"",_xlfn.NORM.DIST(CD$1,$D87,$E87,TRUE)-_xlfn.NORM.DIST(CD$2,$D87,$E87,TRUE))</f>
        <v/>
      </c>
      <c r="CE87">
        <f>IF(NOT(ISNUMBER($D87)),"",_xlfn.NORM.DIST(CE$1,$D87,$E87,TRUE)-_xlfn.NORM.DIST(CE$2,$D87,$E87,TRUE))</f>
        <v/>
      </c>
      <c r="CF87">
        <f>IF(NOT(ISNUMBER($D87)),"",_xlfn.NORM.DIST(CF$1,$D87,$E87,TRUE)-_xlfn.NORM.DIST(CF$2,$D87,$E87,TRUE))</f>
        <v/>
      </c>
      <c r="CG87">
        <f>IF(NOT(ISNUMBER($D87)),"",_xlfn.NORM.DIST(CG$1,$D87,$E87,TRUE)-_xlfn.NORM.DIST(CG$2,$D87,$E87,TRUE))</f>
        <v/>
      </c>
      <c r="CH87">
        <f>IF(NOT(ISNUMBER($D87)),"",_xlfn.NORM.DIST(CH$1,$D87,$E87,TRUE)-_xlfn.NORM.DIST(CH$2,$D87,$E87,TRUE))</f>
        <v/>
      </c>
      <c r="CI87">
        <f>IF(NOT(ISNUMBER($D87)),"",_xlfn.NORM.DIST(CI$1,$D87,$E87,TRUE)-_xlfn.NORM.DIST(CI$2,$D87,$E87,TRUE))</f>
        <v/>
      </c>
      <c r="CJ87">
        <f>IF(ISNUMBER($D87),SUM(F87:CI87),"")</f>
        <v/>
      </c>
    </row>
    <row r="88">
      <c r="A88">
        <f>economics!A87</f>
        <v/>
      </c>
      <c r="B88">
        <f>economics!B87</f>
        <v/>
      </c>
      <c r="C88">
        <f>economics!D87</f>
        <v/>
      </c>
      <c r="D88">
        <f>IF(ISNUMBER(economics!T87),economics!T87,"na")</f>
        <v/>
      </c>
      <c r="E88">
        <f>IF(ISNUMBER(D88),MAX(0.3*ABS(D88),0.000001),"na")</f>
        <v/>
      </c>
      <c r="F88">
        <f>IF(NOT(ISNUMBER($D88)),"",_xlfn.NORM.DIST(F$1,$D88,$E88,TRUE)-_xlfn.NORM.DIST(F$2,$D88,$E88,TRUE))</f>
        <v/>
      </c>
      <c r="G88">
        <f>IF(NOT(ISNUMBER($D88)),"",_xlfn.NORM.DIST(G$1,$D88,$E88,TRUE)-_xlfn.NORM.DIST(G$2,$D88,$E88,TRUE))</f>
        <v/>
      </c>
      <c r="H88">
        <f>IF(NOT(ISNUMBER($D88)),"",_xlfn.NORM.DIST(H$1,$D88,$E88,TRUE)-_xlfn.NORM.DIST(H$2,$D88,$E88,TRUE))</f>
        <v/>
      </c>
      <c r="I88">
        <f>IF(NOT(ISNUMBER($D88)),"",_xlfn.NORM.DIST(I$1,$D88,$E88,TRUE)-_xlfn.NORM.DIST(I$2,$D88,$E88,TRUE))</f>
        <v/>
      </c>
      <c r="J88">
        <f>IF(NOT(ISNUMBER($D88)),"",_xlfn.NORM.DIST(J$1,$D88,$E88,TRUE)-_xlfn.NORM.DIST(J$2,$D88,$E88,TRUE))</f>
        <v/>
      </c>
      <c r="K88">
        <f>IF(NOT(ISNUMBER($D88)),"",_xlfn.NORM.DIST(K$1,$D88,$E88,TRUE)-_xlfn.NORM.DIST(K$2,$D88,$E88,TRUE))</f>
        <v/>
      </c>
      <c r="L88">
        <f>IF(NOT(ISNUMBER($D88)),"",_xlfn.NORM.DIST(L$1,$D88,$E88,TRUE)-_xlfn.NORM.DIST(L$2,$D88,$E88,TRUE))</f>
        <v/>
      </c>
      <c r="M88">
        <f>IF(NOT(ISNUMBER($D88)),"",_xlfn.NORM.DIST(M$1,$D88,$E88,TRUE)-_xlfn.NORM.DIST(M$2,$D88,$E88,TRUE))</f>
        <v/>
      </c>
      <c r="N88">
        <f>IF(NOT(ISNUMBER($D88)),"",_xlfn.NORM.DIST(N$1,$D88,$E88,TRUE)-_xlfn.NORM.DIST(N$2,$D88,$E88,TRUE))</f>
        <v/>
      </c>
      <c r="O88">
        <f>IF(NOT(ISNUMBER($D88)),"",_xlfn.NORM.DIST(O$1,$D88,$E88,TRUE)-_xlfn.NORM.DIST(O$2,$D88,$E88,TRUE))</f>
        <v/>
      </c>
      <c r="P88">
        <f>IF(NOT(ISNUMBER($D88)),"",_xlfn.NORM.DIST(P$1,$D88,$E88,TRUE)-_xlfn.NORM.DIST(P$2,$D88,$E88,TRUE))</f>
        <v/>
      </c>
      <c r="Q88">
        <f>IF(NOT(ISNUMBER($D88)),"",_xlfn.NORM.DIST(Q$1,$D88,$E88,TRUE)-_xlfn.NORM.DIST(Q$2,$D88,$E88,TRUE))</f>
        <v/>
      </c>
      <c r="R88">
        <f>IF(NOT(ISNUMBER($D88)),"",_xlfn.NORM.DIST(R$1,$D88,$E88,TRUE)-_xlfn.NORM.DIST(R$2,$D88,$E88,TRUE))</f>
        <v/>
      </c>
      <c r="S88">
        <f>IF(NOT(ISNUMBER($D88)),"",_xlfn.NORM.DIST(S$1,$D88,$E88,TRUE)-_xlfn.NORM.DIST(S$2,$D88,$E88,TRUE))</f>
        <v/>
      </c>
      <c r="T88">
        <f>IF(NOT(ISNUMBER($D88)),"",_xlfn.NORM.DIST(T$1,$D88,$E88,TRUE)-_xlfn.NORM.DIST(T$2,$D88,$E88,TRUE))</f>
        <v/>
      </c>
      <c r="U88">
        <f>IF(NOT(ISNUMBER($D88)),"",_xlfn.NORM.DIST(U$1,$D88,$E88,TRUE)-_xlfn.NORM.DIST(U$2,$D88,$E88,TRUE))</f>
        <v/>
      </c>
      <c r="V88">
        <f>IF(NOT(ISNUMBER($D88)),"",_xlfn.NORM.DIST(V$1,$D88,$E88,TRUE)-_xlfn.NORM.DIST(V$2,$D88,$E88,TRUE))</f>
        <v/>
      </c>
      <c r="W88">
        <f>IF(NOT(ISNUMBER($D88)),"",_xlfn.NORM.DIST(W$1,$D88,$E88,TRUE)-_xlfn.NORM.DIST(W$2,$D88,$E88,TRUE))</f>
        <v/>
      </c>
      <c r="X88">
        <f>IF(NOT(ISNUMBER($D88)),"",_xlfn.NORM.DIST(X$1,$D88,$E88,TRUE)-_xlfn.NORM.DIST(X$2,$D88,$E88,TRUE))</f>
        <v/>
      </c>
      <c r="Y88">
        <f>IF(NOT(ISNUMBER($D88)),"",_xlfn.NORM.DIST(Y$1,$D88,$E88,TRUE)-_xlfn.NORM.DIST(Y$2,$D88,$E88,TRUE))</f>
        <v/>
      </c>
      <c r="Z88">
        <f>IF(NOT(ISNUMBER($D88)),"",_xlfn.NORM.DIST(Z$1,$D88,$E88,TRUE)-_xlfn.NORM.DIST(Z$2,$D88,$E88,TRUE))</f>
        <v/>
      </c>
      <c r="AA88">
        <f>IF(NOT(ISNUMBER($D88)),"",_xlfn.NORM.DIST(AA$1,$D88,$E88,TRUE)-_xlfn.NORM.DIST(AA$2,$D88,$E88,TRUE))</f>
        <v/>
      </c>
      <c r="AB88">
        <f>IF(NOT(ISNUMBER($D88)),"",_xlfn.NORM.DIST(AB$1,$D88,$E88,TRUE)-_xlfn.NORM.DIST(AB$2,$D88,$E88,TRUE))</f>
        <v/>
      </c>
      <c r="AC88">
        <f>IF(NOT(ISNUMBER($D88)),"",_xlfn.NORM.DIST(AC$1,$D88,$E88,TRUE)-_xlfn.NORM.DIST(AC$2,$D88,$E88,TRUE))</f>
        <v/>
      </c>
      <c r="AD88">
        <f>IF(NOT(ISNUMBER($D88)),"",_xlfn.NORM.DIST(AD$1,$D88,$E88,TRUE)-_xlfn.NORM.DIST(AD$2,$D88,$E88,TRUE))</f>
        <v/>
      </c>
      <c r="AE88">
        <f>IF(NOT(ISNUMBER($D88)),"",_xlfn.NORM.DIST(AE$1,$D88,$E88,TRUE)-_xlfn.NORM.DIST(AE$2,$D88,$E88,TRUE))</f>
        <v/>
      </c>
      <c r="AF88">
        <f>IF(NOT(ISNUMBER($D88)),"",_xlfn.NORM.DIST(AF$1,$D88,$E88,TRUE)-_xlfn.NORM.DIST(AF$2,$D88,$E88,TRUE))</f>
        <v/>
      </c>
      <c r="AG88">
        <f>IF(NOT(ISNUMBER($D88)),"",_xlfn.NORM.DIST(AG$1,$D88,$E88,TRUE)-_xlfn.NORM.DIST(AG$2,$D88,$E88,TRUE))</f>
        <v/>
      </c>
      <c r="AH88">
        <f>IF(NOT(ISNUMBER($D88)),"",_xlfn.NORM.DIST(AH$1,$D88,$E88,TRUE)-_xlfn.NORM.DIST(AH$2,$D88,$E88,TRUE))</f>
        <v/>
      </c>
      <c r="AI88">
        <f>IF(NOT(ISNUMBER($D88)),"",_xlfn.NORM.DIST(AI$1,$D88,$E88,TRUE)-_xlfn.NORM.DIST(AI$2,$D88,$E88,TRUE))</f>
        <v/>
      </c>
      <c r="AJ88">
        <f>IF(NOT(ISNUMBER($D88)),"",_xlfn.NORM.DIST(AJ$1,$D88,$E88,TRUE)-_xlfn.NORM.DIST(AJ$2,$D88,$E88,TRUE))</f>
        <v/>
      </c>
      <c r="AK88">
        <f>IF(NOT(ISNUMBER($D88)),"",_xlfn.NORM.DIST(AK$1,$D88,$E88,TRUE)-_xlfn.NORM.DIST(AK$2,$D88,$E88,TRUE))</f>
        <v/>
      </c>
      <c r="AL88">
        <f>IF(NOT(ISNUMBER($D88)),"",_xlfn.NORM.DIST(AL$1,$D88,$E88,TRUE)-_xlfn.NORM.DIST(AL$2,$D88,$E88,TRUE))</f>
        <v/>
      </c>
      <c r="AM88">
        <f>IF(NOT(ISNUMBER($D88)),"",_xlfn.NORM.DIST(AM$1,$D88,$E88,TRUE)-_xlfn.NORM.DIST(AM$2,$D88,$E88,TRUE))</f>
        <v/>
      </c>
      <c r="AN88">
        <f>IF(NOT(ISNUMBER($D88)),"",_xlfn.NORM.DIST(AN$1,$D88,$E88,TRUE)-_xlfn.NORM.DIST(AN$2,$D88,$E88,TRUE))</f>
        <v/>
      </c>
      <c r="AO88">
        <f>IF(NOT(ISNUMBER($D88)),"",_xlfn.NORM.DIST(AO$1,$D88,$E88,TRUE)-_xlfn.NORM.DIST(AO$2,$D88,$E88,TRUE))</f>
        <v/>
      </c>
      <c r="AP88">
        <f>IF(NOT(ISNUMBER($D88)),"",_xlfn.NORM.DIST(AP$1,$D88,$E88,TRUE)-_xlfn.NORM.DIST(AP$2,$D88,$E88,TRUE))</f>
        <v/>
      </c>
      <c r="AQ88">
        <f>IF(NOT(ISNUMBER($D88)),"",_xlfn.NORM.DIST(AQ$1,$D88,$E88,TRUE)-_xlfn.NORM.DIST(AQ$2,$D88,$E88,TRUE))</f>
        <v/>
      </c>
      <c r="AR88">
        <f>IF(NOT(ISNUMBER($D88)),"",_xlfn.NORM.DIST(AR$1,$D88,$E88,TRUE)-_xlfn.NORM.DIST(AR$2,$D88,$E88,TRUE))</f>
        <v/>
      </c>
      <c r="AS88">
        <f>IF(NOT(ISNUMBER($D88)),"",_xlfn.NORM.DIST(AS$1,$D88,$E88,TRUE)-_xlfn.NORM.DIST(AS$2,$D88,$E88,TRUE))</f>
        <v/>
      </c>
      <c r="AT88">
        <f>IF(NOT(ISNUMBER($D88)),"",_xlfn.NORM.DIST(AT$1,$D88,$E88,TRUE)-_xlfn.NORM.DIST(AT$2,$D88,$E88,TRUE))</f>
        <v/>
      </c>
      <c r="AU88">
        <f>IF(NOT(ISNUMBER($D88)),"",_xlfn.NORM.DIST(AU$1,$D88,$E88,TRUE)-_xlfn.NORM.DIST(AU$2,$D88,$E88,TRUE))</f>
        <v/>
      </c>
      <c r="AV88">
        <f>IF(NOT(ISNUMBER($D88)),"",_xlfn.NORM.DIST(AV$1,$D88,$E88,TRUE)-_xlfn.NORM.DIST(AV$2,$D88,$E88,TRUE))</f>
        <v/>
      </c>
      <c r="AW88">
        <f>IF(NOT(ISNUMBER($D88)),"",_xlfn.NORM.DIST(AW$1,$D88,$E88,TRUE)-_xlfn.NORM.DIST(AW$2,$D88,$E88,TRUE))</f>
        <v/>
      </c>
      <c r="AX88">
        <f>IF(NOT(ISNUMBER($D88)),"",_xlfn.NORM.DIST(AX$1,$D88,$E88,TRUE)-_xlfn.NORM.DIST(AX$2,$D88,$E88,TRUE))</f>
        <v/>
      </c>
      <c r="AY88">
        <f>IF(NOT(ISNUMBER($D88)),"",_xlfn.NORM.DIST(AY$1,$D88,$E88,TRUE)-_xlfn.NORM.DIST(AY$2,$D88,$E88,TRUE))</f>
        <v/>
      </c>
      <c r="AZ88">
        <f>IF(NOT(ISNUMBER($D88)),"",_xlfn.NORM.DIST(AZ$1,$D88,$E88,TRUE)-_xlfn.NORM.DIST(AZ$2,$D88,$E88,TRUE))</f>
        <v/>
      </c>
      <c r="BA88">
        <f>IF(NOT(ISNUMBER($D88)),"",_xlfn.NORM.DIST(BA$1,$D88,$E88,TRUE)-_xlfn.NORM.DIST(BA$2,$D88,$E88,TRUE))</f>
        <v/>
      </c>
      <c r="BB88">
        <f>IF(NOT(ISNUMBER($D88)),"",_xlfn.NORM.DIST(BB$1,$D88,$E88,TRUE)-_xlfn.NORM.DIST(BB$2,$D88,$E88,TRUE))</f>
        <v/>
      </c>
      <c r="BC88">
        <f>IF(NOT(ISNUMBER($D88)),"",_xlfn.NORM.DIST(BC$1,$D88,$E88,TRUE)-_xlfn.NORM.DIST(BC$2,$D88,$E88,TRUE))</f>
        <v/>
      </c>
      <c r="BD88">
        <f>IF(NOT(ISNUMBER($D88)),"",_xlfn.NORM.DIST(BD$1,$D88,$E88,TRUE)-_xlfn.NORM.DIST(BD$2,$D88,$E88,TRUE))</f>
        <v/>
      </c>
      <c r="BE88">
        <f>IF(NOT(ISNUMBER($D88)),"",_xlfn.NORM.DIST(BE$1,$D88,$E88,TRUE)-_xlfn.NORM.DIST(BE$2,$D88,$E88,TRUE))</f>
        <v/>
      </c>
      <c r="BF88">
        <f>IF(NOT(ISNUMBER($D88)),"",_xlfn.NORM.DIST(BF$1,$D88,$E88,TRUE)-_xlfn.NORM.DIST(BF$2,$D88,$E88,TRUE))</f>
        <v/>
      </c>
      <c r="BG88">
        <f>IF(NOT(ISNUMBER($D88)),"",_xlfn.NORM.DIST(BG$1,$D88,$E88,TRUE)-_xlfn.NORM.DIST(BG$2,$D88,$E88,TRUE))</f>
        <v/>
      </c>
      <c r="BH88">
        <f>IF(NOT(ISNUMBER($D88)),"",_xlfn.NORM.DIST(BH$1,$D88,$E88,TRUE)-_xlfn.NORM.DIST(BH$2,$D88,$E88,TRUE))</f>
        <v/>
      </c>
      <c r="BI88">
        <f>IF(NOT(ISNUMBER($D88)),"",_xlfn.NORM.DIST(BI$1,$D88,$E88,TRUE)-_xlfn.NORM.DIST(BI$2,$D88,$E88,TRUE))</f>
        <v/>
      </c>
      <c r="BJ88">
        <f>IF(NOT(ISNUMBER($D88)),"",_xlfn.NORM.DIST(BJ$1,$D88,$E88,TRUE)-_xlfn.NORM.DIST(BJ$2,$D88,$E88,TRUE))</f>
        <v/>
      </c>
      <c r="BK88">
        <f>IF(NOT(ISNUMBER($D88)),"",_xlfn.NORM.DIST(BK$1,$D88,$E88,TRUE)-_xlfn.NORM.DIST(BK$2,$D88,$E88,TRUE))</f>
        <v/>
      </c>
      <c r="BL88">
        <f>IF(NOT(ISNUMBER($D88)),"",_xlfn.NORM.DIST(BL$1,$D88,$E88,TRUE)-_xlfn.NORM.DIST(BL$2,$D88,$E88,TRUE))</f>
        <v/>
      </c>
      <c r="BM88">
        <f>IF(NOT(ISNUMBER($D88)),"",_xlfn.NORM.DIST(BM$1,$D88,$E88,TRUE)-_xlfn.NORM.DIST(BM$2,$D88,$E88,TRUE))</f>
        <v/>
      </c>
      <c r="BN88">
        <f>IF(NOT(ISNUMBER($D88)),"",_xlfn.NORM.DIST(BN$1,$D88,$E88,TRUE)-_xlfn.NORM.DIST(BN$2,$D88,$E88,TRUE))</f>
        <v/>
      </c>
      <c r="BO88">
        <f>IF(NOT(ISNUMBER($D88)),"",_xlfn.NORM.DIST(BO$1,$D88,$E88,TRUE)-_xlfn.NORM.DIST(BO$2,$D88,$E88,TRUE))</f>
        <v/>
      </c>
      <c r="BP88">
        <f>IF(NOT(ISNUMBER($D88)),"",_xlfn.NORM.DIST(BP$1,$D88,$E88,TRUE)-_xlfn.NORM.DIST(BP$2,$D88,$E88,TRUE))</f>
        <v/>
      </c>
      <c r="BQ88">
        <f>IF(NOT(ISNUMBER($D88)),"",_xlfn.NORM.DIST(BQ$1,$D88,$E88,TRUE)-_xlfn.NORM.DIST(BQ$2,$D88,$E88,TRUE))</f>
        <v/>
      </c>
      <c r="BR88">
        <f>IF(NOT(ISNUMBER($D88)),"",_xlfn.NORM.DIST(BR$1,$D88,$E88,TRUE)-_xlfn.NORM.DIST(BR$2,$D88,$E88,TRUE))</f>
        <v/>
      </c>
      <c r="BS88">
        <f>IF(NOT(ISNUMBER($D88)),"",_xlfn.NORM.DIST(BS$1,$D88,$E88,TRUE)-_xlfn.NORM.DIST(BS$2,$D88,$E88,TRUE))</f>
        <v/>
      </c>
      <c r="BT88">
        <f>IF(NOT(ISNUMBER($D88)),"",_xlfn.NORM.DIST(BT$1,$D88,$E88,TRUE)-_xlfn.NORM.DIST(BT$2,$D88,$E88,TRUE))</f>
        <v/>
      </c>
      <c r="BU88">
        <f>IF(NOT(ISNUMBER($D88)),"",_xlfn.NORM.DIST(BU$1,$D88,$E88,TRUE)-_xlfn.NORM.DIST(BU$2,$D88,$E88,TRUE))</f>
        <v/>
      </c>
      <c r="BV88">
        <f>IF(NOT(ISNUMBER($D88)),"",_xlfn.NORM.DIST(BV$1,$D88,$E88,TRUE)-_xlfn.NORM.DIST(BV$2,$D88,$E88,TRUE))</f>
        <v/>
      </c>
      <c r="BW88">
        <f>IF(NOT(ISNUMBER($D88)),"",_xlfn.NORM.DIST(BW$1,$D88,$E88,TRUE)-_xlfn.NORM.DIST(BW$2,$D88,$E88,TRUE))</f>
        <v/>
      </c>
      <c r="BX88">
        <f>IF(NOT(ISNUMBER($D88)),"",_xlfn.NORM.DIST(BX$1,$D88,$E88,TRUE)-_xlfn.NORM.DIST(BX$2,$D88,$E88,TRUE))</f>
        <v/>
      </c>
      <c r="BY88">
        <f>IF(NOT(ISNUMBER($D88)),"",_xlfn.NORM.DIST(BY$1,$D88,$E88,TRUE)-_xlfn.NORM.DIST(BY$2,$D88,$E88,TRUE))</f>
        <v/>
      </c>
      <c r="BZ88">
        <f>IF(NOT(ISNUMBER($D88)),"",_xlfn.NORM.DIST(BZ$1,$D88,$E88,TRUE)-_xlfn.NORM.DIST(BZ$2,$D88,$E88,TRUE))</f>
        <v/>
      </c>
      <c r="CA88">
        <f>IF(NOT(ISNUMBER($D88)),"",_xlfn.NORM.DIST(CA$1,$D88,$E88,TRUE)-_xlfn.NORM.DIST(CA$2,$D88,$E88,TRUE))</f>
        <v/>
      </c>
      <c r="CB88">
        <f>IF(NOT(ISNUMBER($D88)),"",_xlfn.NORM.DIST(CB$1,$D88,$E88,TRUE)-_xlfn.NORM.DIST(CB$2,$D88,$E88,TRUE))</f>
        <v/>
      </c>
      <c r="CC88">
        <f>IF(NOT(ISNUMBER($D88)),"",_xlfn.NORM.DIST(CC$1,$D88,$E88,TRUE)-_xlfn.NORM.DIST(CC$2,$D88,$E88,TRUE))</f>
        <v/>
      </c>
      <c r="CD88">
        <f>IF(NOT(ISNUMBER($D88)),"",_xlfn.NORM.DIST(CD$1,$D88,$E88,TRUE)-_xlfn.NORM.DIST(CD$2,$D88,$E88,TRUE))</f>
        <v/>
      </c>
      <c r="CE88">
        <f>IF(NOT(ISNUMBER($D88)),"",_xlfn.NORM.DIST(CE$1,$D88,$E88,TRUE)-_xlfn.NORM.DIST(CE$2,$D88,$E88,TRUE))</f>
        <v/>
      </c>
      <c r="CF88">
        <f>IF(NOT(ISNUMBER($D88)),"",_xlfn.NORM.DIST(CF$1,$D88,$E88,TRUE)-_xlfn.NORM.DIST(CF$2,$D88,$E88,TRUE))</f>
        <v/>
      </c>
      <c r="CG88">
        <f>IF(NOT(ISNUMBER($D88)),"",_xlfn.NORM.DIST(CG$1,$D88,$E88,TRUE)-_xlfn.NORM.DIST(CG$2,$D88,$E88,TRUE))</f>
        <v/>
      </c>
      <c r="CH88">
        <f>IF(NOT(ISNUMBER($D88)),"",_xlfn.NORM.DIST(CH$1,$D88,$E88,TRUE)-_xlfn.NORM.DIST(CH$2,$D88,$E88,TRUE))</f>
        <v/>
      </c>
      <c r="CI88">
        <f>IF(NOT(ISNUMBER($D88)),"",_xlfn.NORM.DIST(CI$1,$D88,$E88,TRUE)-_xlfn.NORM.DIST(CI$2,$D88,$E88,TRUE))</f>
        <v/>
      </c>
      <c r="CJ88">
        <f>IF(ISNUMBER($D88),SUM(F88:CI88),"")</f>
        <v/>
      </c>
    </row>
    <row r="89">
      <c r="A89">
        <f>economics!A88</f>
        <v/>
      </c>
      <c r="B89">
        <f>economics!B88</f>
        <v/>
      </c>
      <c r="C89">
        <f>economics!D88</f>
        <v/>
      </c>
      <c r="D89">
        <f>IF(ISNUMBER(economics!T88),economics!T88,"na")</f>
        <v/>
      </c>
      <c r="E89">
        <f>IF(ISNUMBER(D89),MAX(0.3*ABS(D89),0.000001),"na")</f>
        <v/>
      </c>
      <c r="F89">
        <f>IF(NOT(ISNUMBER($D89)),"",_xlfn.NORM.DIST(F$1,$D89,$E89,TRUE)-_xlfn.NORM.DIST(F$2,$D89,$E89,TRUE))</f>
        <v/>
      </c>
      <c r="G89">
        <f>IF(NOT(ISNUMBER($D89)),"",_xlfn.NORM.DIST(G$1,$D89,$E89,TRUE)-_xlfn.NORM.DIST(G$2,$D89,$E89,TRUE))</f>
        <v/>
      </c>
      <c r="H89">
        <f>IF(NOT(ISNUMBER($D89)),"",_xlfn.NORM.DIST(H$1,$D89,$E89,TRUE)-_xlfn.NORM.DIST(H$2,$D89,$E89,TRUE))</f>
        <v/>
      </c>
      <c r="I89">
        <f>IF(NOT(ISNUMBER($D89)),"",_xlfn.NORM.DIST(I$1,$D89,$E89,TRUE)-_xlfn.NORM.DIST(I$2,$D89,$E89,TRUE))</f>
        <v/>
      </c>
      <c r="J89">
        <f>IF(NOT(ISNUMBER($D89)),"",_xlfn.NORM.DIST(J$1,$D89,$E89,TRUE)-_xlfn.NORM.DIST(J$2,$D89,$E89,TRUE))</f>
        <v/>
      </c>
      <c r="K89">
        <f>IF(NOT(ISNUMBER($D89)),"",_xlfn.NORM.DIST(K$1,$D89,$E89,TRUE)-_xlfn.NORM.DIST(K$2,$D89,$E89,TRUE))</f>
        <v/>
      </c>
      <c r="L89">
        <f>IF(NOT(ISNUMBER($D89)),"",_xlfn.NORM.DIST(L$1,$D89,$E89,TRUE)-_xlfn.NORM.DIST(L$2,$D89,$E89,TRUE))</f>
        <v/>
      </c>
      <c r="M89">
        <f>IF(NOT(ISNUMBER($D89)),"",_xlfn.NORM.DIST(M$1,$D89,$E89,TRUE)-_xlfn.NORM.DIST(M$2,$D89,$E89,TRUE))</f>
        <v/>
      </c>
      <c r="N89">
        <f>IF(NOT(ISNUMBER($D89)),"",_xlfn.NORM.DIST(N$1,$D89,$E89,TRUE)-_xlfn.NORM.DIST(N$2,$D89,$E89,TRUE))</f>
        <v/>
      </c>
      <c r="O89">
        <f>IF(NOT(ISNUMBER($D89)),"",_xlfn.NORM.DIST(O$1,$D89,$E89,TRUE)-_xlfn.NORM.DIST(O$2,$D89,$E89,TRUE))</f>
        <v/>
      </c>
      <c r="P89">
        <f>IF(NOT(ISNUMBER($D89)),"",_xlfn.NORM.DIST(P$1,$D89,$E89,TRUE)-_xlfn.NORM.DIST(P$2,$D89,$E89,TRUE))</f>
        <v/>
      </c>
      <c r="Q89">
        <f>IF(NOT(ISNUMBER($D89)),"",_xlfn.NORM.DIST(Q$1,$D89,$E89,TRUE)-_xlfn.NORM.DIST(Q$2,$D89,$E89,TRUE))</f>
        <v/>
      </c>
      <c r="R89">
        <f>IF(NOT(ISNUMBER($D89)),"",_xlfn.NORM.DIST(R$1,$D89,$E89,TRUE)-_xlfn.NORM.DIST(R$2,$D89,$E89,TRUE))</f>
        <v/>
      </c>
      <c r="S89">
        <f>IF(NOT(ISNUMBER($D89)),"",_xlfn.NORM.DIST(S$1,$D89,$E89,TRUE)-_xlfn.NORM.DIST(S$2,$D89,$E89,TRUE))</f>
        <v/>
      </c>
      <c r="T89">
        <f>IF(NOT(ISNUMBER($D89)),"",_xlfn.NORM.DIST(T$1,$D89,$E89,TRUE)-_xlfn.NORM.DIST(T$2,$D89,$E89,TRUE))</f>
        <v/>
      </c>
      <c r="U89">
        <f>IF(NOT(ISNUMBER($D89)),"",_xlfn.NORM.DIST(U$1,$D89,$E89,TRUE)-_xlfn.NORM.DIST(U$2,$D89,$E89,TRUE))</f>
        <v/>
      </c>
      <c r="V89">
        <f>IF(NOT(ISNUMBER($D89)),"",_xlfn.NORM.DIST(V$1,$D89,$E89,TRUE)-_xlfn.NORM.DIST(V$2,$D89,$E89,TRUE))</f>
        <v/>
      </c>
      <c r="W89">
        <f>IF(NOT(ISNUMBER($D89)),"",_xlfn.NORM.DIST(W$1,$D89,$E89,TRUE)-_xlfn.NORM.DIST(W$2,$D89,$E89,TRUE))</f>
        <v/>
      </c>
      <c r="X89">
        <f>IF(NOT(ISNUMBER($D89)),"",_xlfn.NORM.DIST(X$1,$D89,$E89,TRUE)-_xlfn.NORM.DIST(X$2,$D89,$E89,TRUE))</f>
        <v/>
      </c>
      <c r="Y89">
        <f>IF(NOT(ISNUMBER($D89)),"",_xlfn.NORM.DIST(Y$1,$D89,$E89,TRUE)-_xlfn.NORM.DIST(Y$2,$D89,$E89,TRUE))</f>
        <v/>
      </c>
      <c r="Z89">
        <f>IF(NOT(ISNUMBER($D89)),"",_xlfn.NORM.DIST(Z$1,$D89,$E89,TRUE)-_xlfn.NORM.DIST(Z$2,$D89,$E89,TRUE))</f>
        <v/>
      </c>
      <c r="AA89">
        <f>IF(NOT(ISNUMBER($D89)),"",_xlfn.NORM.DIST(AA$1,$D89,$E89,TRUE)-_xlfn.NORM.DIST(AA$2,$D89,$E89,TRUE))</f>
        <v/>
      </c>
      <c r="AB89">
        <f>IF(NOT(ISNUMBER($D89)),"",_xlfn.NORM.DIST(AB$1,$D89,$E89,TRUE)-_xlfn.NORM.DIST(AB$2,$D89,$E89,TRUE))</f>
        <v/>
      </c>
      <c r="AC89">
        <f>IF(NOT(ISNUMBER($D89)),"",_xlfn.NORM.DIST(AC$1,$D89,$E89,TRUE)-_xlfn.NORM.DIST(AC$2,$D89,$E89,TRUE))</f>
        <v/>
      </c>
      <c r="AD89">
        <f>IF(NOT(ISNUMBER($D89)),"",_xlfn.NORM.DIST(AD$1,$D89,$E89,TRUE)-_xlfn.NORM.DIST(AD$2,$D89,$E89,TRUE))</f>
        <v/>
      </c>
      <c r="AE89">
        <f>IF(NOT(ISNUMBER($D89)),"",_xlfn.NORM.DIST(AE$1,$D89,$E89,TRUE)-_xlfn.NORM.DIST(AE$2,$D89,$E89,TRUE))</f>
        <v/>
      </c>
      <c r="AF89">
        <f>IF(NOT(ISNUMBER($D89)),"",_xlfn.NORM.DIST(AF$1,$D89,$E89,TRUE)-_xlfn.NORM.DIST(AF$2,$D89,$E89,TRUE))</f>
        <v/>
      </c>
      <c r="AG89">
        <f>IF(NOT(ISNUMBER($D89)),"",_xlfn.NORM.DIST(AG$1,$D89,$E89,TRUE)-_xlfn.NORM.DIST(AG$2,$D89,$E89,TRUE))</f>
        <v/>
      </c>
      <c r="AH89">
        <f>IF(NOT(ISNUMBER($D89)),"",_xlfn.NORM.DIST(AH$1,$D89,$E89,TRUE)-_xlfn.NORM.DIST(AH$2,$D89,$E89,TRUE))</f>
        <v/>
      </c>
      <c r="AI89">
        <f>IF(NOT(ISNUMBER($D89)),"",_xlfn.NORM.DIST(AI$1,$D89,$E89,TRUE)-_xlfn.NORM.DIST(AI$2,$D89,$E89,TRUE))</f>
        <v/>
      </c>
      <c r="AJ89">
        <f>IF(NOT(ISNUMBER($D89)),"",_xlfn.NORM.DIST(AJ$1,$D89,$E89,TRUE)-_xlfn.NORM.DIST(AJ$2,$D89,$E89,TRUE))</f>
        <v/>
      </c>
      <c r="AK89">
        <f>IF(NOT(ISNUMBER($D89)),"",_xlfn.NORM.DIST(AK$1,$D89,$E89,TRUE)-_xlfn.NORM.DIST(AK$2,$D89,$E89,TRUE))</f>
        <v/>
      </c>
      <c r="AL89">
        <f>IF(NOT(ISNUMBER($D89)),"",_xlfn.NORM.DIST(AL$1,$D89,$E89,TRUE)-_xlfn.NORM.DIST(AL$2,$D89,$E89,TRUE))</f>
        <v/>
      </c>
      <c r="AM89">
        <f>IF(NOT(ISNUMBER($D89)),"",_xlfn.NORM.DIST(AM$1,$D89,$E89,TRUE)-_xlfn.NORM.DIST(AM$2,$D89,$E89,TRUE))</f>
        <v/>
      </c>
      <c r="AN89">
        <f>IF(NOT(ISNUMBER($D89)),"",_xlfn.NORM.DIST(AN$1,$D89,$E89,TRUE)-_xlfn.NORM.DIST(AN$2,$D89,$E89,TRUE))</f>
        <v/>
      </c>
      <c r="AO89">
        <f>IF(NOT(ISNUMBER($D89)),"",_xlfn.NORM.DIST(AO$1,$D89,$E89,TRUE)-_xlfn.NORM.DIST(AO$2,$D89,$E89,TRUE))</f>
        <v/>
      </c>
      <c r="AP89">
        <f>IF(NOT(ISNUMBER($D89)),"",_xlfn.NORM.DIST(AP$1,$D89,$E89,TRUE)-_xlfn.NORM.DIST(AP$2,$D89,$E89,TRUE))</f>
        <v/>
      </c>
      <c r="AQ89">
        <f>IF(NOT(ISNUMBER($D89)),"",_xlfn.NORM.DIST(AQ$1,$D89,$E89,TRUE)-_xlfn.NORM.DIST(AQ$2,$D89,$E89,TRUE))</f>
        <v/>
      </c>
      <c r="AR89">
        <f>IF(NOT(ISNUMBER($D89)),"",_xlfn.NORM.DIST(AR$1,$D89,$E89,TRUE)-_xlfn.NORM.DIST(AR$2,$D89,$E89,TRUE))</f>
        <v/>
      </c>
      <c r="AS89">
        <f>IF(NOT(ISNUMBER($D89)),"",_xlfn.NORM.DIST(AS$1,$D89,$E89,TRUE)-_xlfn.NORM.DIST(AS$2,$D89,$E89,TRUE))</f>
        <v/>
      </c>
      <c r="AT89">
        <f>IF(NOT(ISNUMBER($D89)),"",_xlfn.NORM.DIST(AT$1,$D89,$E89,TRUE)-_xlfn.NORM.DIST(AT$2,$D89,$E89,TRUE))</f>
        <v/>
      </c>
      <c r="AU89">
        <f>IF(NOT(ISNUMBER($D89)),"",_xlfn.NORM.DIST(AU$1,$D89,$E89,TRUE)-_xlfn.NORM.DIST(AU$2,$D89,$E89,TRUE))</f>
        <v/>
      </c>
      <c r="AV89">
        <f>IF(NOT(ISNUMBER($D89)),"",_xlfn.NORM.DIST(AV$1,$D89,$E89,TRUE)-_xlfn.NORM.DIST(AV$2,$D89,$E89,TRUE))</f>
        <v/>
      </c>
      <c r="AW89">
        <f>IF(NOT(ISNUMBER($D89)),"",_xlfn.NORM.DIST(AW$1,$D89,$E89,TRUE)-_xlfn.NORM.DIST(AW$2,$D89,$E89,TRUE))</f>
        <v/>
      </c>
      <c r="AX89">
        <f>IF(NOT(ISNUMBER($D89)),"",_xlfn.NORM.DIST(AX$1,$D89,$E89,TRUE)-_xlfn.NORM.DIST(AX$2,$D89,$E89,TRUE))</f>
        <v/>
      </c>
      <c r="AY89">
        <f>IF(NOT(ISNUMBER($D89)),"",_xlfn.NORM.DIST(AY$1,$D89,$E89,TRUE)-_xlfn.NORM.DIST(AY$2,$D89,$E89,TRUE))</f>
        <v/>
      </c>
      <c r="AZ89">
        <f>IF(NOT(ISNUMBER($D89)),"",_xlfn.NORM.DIST(AZ$1,$D89,$E89,TRUE)-_xlfn.NORM.DIST(AZ$2,$D89,$E89,TRUE))</f>
        <v/>
      </c>
      <c r="BA89">
        <f>IF(NOT(ISNUMBER($D89)),"",_xlfn.NORM.DIST(BA$1,$D89,$E89,TRUE)-_xlfn.NORM.DIST(BA$2,$D89,$E89,TRUE))</f>
        <v/>
      </c>
      <c r="BB89">
        <f>IF(NOT(ISNUMBER($D89)),"",_xlfn.NORM.DIST(BB$1,$D89,$E89,TRUE)-_xlfn.NORM.DIST(BB$2,$D89,$E89,TRUE))</f>
        <v/>
      </c>
      <c r="BC89">
        <f>IF(NOT(ISNUMBER($D89)),"",_xlfn.NORM.DIST(BC$1,$D89,$E89,TRUE)-_xlfn.NORM.DIST(BC$2,$D89,$E89,TRUE))</f>
        <v/>
      </c>
      <c r="BD89">
        <f>IF(NOT(ISNUMBER($D89)),"",_xlfn.NORM.DIST(BD$1,$D89,$E89,TRUE)-_xlfn.NORM.DIST(BD$2,$D89,$E89,TRUE))</f>
        <v/>
      </c>
      <c r="BE89">
        <f>IF(NOT(ISNUMBER($D89)),"",_xlfn.NORM.DIST(BE$1,$D89,$E89,TRUE)-_xlfn.NORM.DIST(BE$2,$D89,$E89,TRUE))</f>
        <v/>
      </c>
      <c r="BF89">
        <f>IF(NOT(ISNUMBER($D89)),"",_xlfn.NORM.DIST(BF$1,$D89,$E89,TRUE)-_xlfn.NORM.DIST(BF$2,$D89,$E89,TRUE))</f>
        <v/>
      </c>
      <c r="BG89">
        <f>IF(NOT(ISNUMBER($D89)),"",_xlfn.NORM.DIST(BG$1,$D89,$E89,TRUE)-_xlfn.NORM.DIST(BG$2,$D89,$E89,TRUE))</f>
        <v/>
      </c>
      <c r="BH89">
        <f>IF(NOT(ISNUMBER($D89)),"",_xlfn.NORM.DIST(BH$1,$D89,$E89,TRUE)-_xlfn.NORM.DIST(BH$2,$D89,$E89,TRUE))</f>
        <v/>
      </c>
      <c r="BI89">
        <f>IF(NOT(ISNUMBER($D89)),"",_xlfn.NORM.DIST(BI$1,$D89,$E89,TRUE)-_xlfn.NORM.DIST(BI$2,$D89,$E89,TRUE))</f>
        <v/>
      </c>
      <c r="BJ89">
        <f>IF(NOT(ISNUMBER($D89)),"",_xlfn.NORM.DIST(BJ$1,$D89,$E89,TRUE)-_xlfn.NORM.DIST(BJ$2,$D89,$E89,TRUE))</f>
        <v/>
      </c>
      <c r="BK89">
        <f>IF(NOT(ISNUMBER($D89)),"",_xlfn.NORM.DIST(BK$1,$D89,$E89,TRUE)-_xlfn.NORM.DIST(BK$2,$D89,$E89,TRUE))</f>
        <v/>
      </c>
      <c r="BL89">
        <f>IF(NOT(ISNUMBER($D89)),"",_xlfn.NORM.DIST(BL$1,$D89,$E89,TRUE)-_xlfn.NORM.DIST(BL$2,$D89,$E89,TRUE))</f>
        <v/>
      </c>
      <c r="BM89">
        <f>IF(NOT(ISNUMBER($D89)),"",_xlfn.NORM.DIST(BM$1,$D89,$E89,TRUE)-_xlfn.NORM.DIST(BM$2,$D89,$E89,TRUE))</f>
        <v/>
      </c>
      <c r="BN89">
        <f>IF(NOT(ISNUMBER($D89)),"",_xlfn.NORM.DIST(BN$1,$D89,$E89,TRUE)-_xlfn.NORM.DIST(BN$2,$D89,$E89,TRUE))</f>
        <v/>
      </c>
      <c r="BO89">
        <f>IF(NOT(ISNUMBER($D89)),"",_xlfn.NORM.DIST(BO$1,$D89,$E89,TRUE)-_xlfn.NORM.DIST(BO$2,$D89,$E89,TRUE))</f>
        <v/>
      </c>
      <c r="BP89">
        <f>IF(NOT(ISNUMBER($D89)),"",_xlfn.NORM.DIST(BP$1,$D89,$E89,TRUE)-_xlfn.NORM.DIST(BP$2,$D89,$E89,TRUE))</f>
        <v/>
      </c>
      <c r="BQ89">
        <f>IF(NOT(ISNUMBER($D89)),"",_xlfn.NORM.DIST(BQ$1,$D89,$E89,TRUE)-_xlfn.NORM.DIST(BQ$2,$D89,$E89,TRUE))</f>
        <v/>
      </c>
      <c r="BR89">
        <f>IF(NOT(ISNUMBER($D89)),"",_xlfn.NORM.DIST(BR$1,$D89,$E89,TRUE)-_xlfn.NORM.DIST(BR$2,$D89,$E89,TRUE))</f>
        <v/>
      </c>
      <c r="BS89">
        <f>IF(NOT(ISNUMBER($D89)),"",_xlfn.NORM.DIST(BS$1,$D89,$E89,TRUE)-_xlfn.NORM.DIST(BS$2,$D89,$E89,TRUE))</f>
        <v/>
      </c>
      <c r="BT89">
        <f>IF(NOT(ISNUMBER($D89)),"",_xlfn.NORM.DIST(BT$1,$D89,$E89,TRUE)-_xlfn.NORM.DIST(BT$2,$D89,$E89,TRUE))</f>
        <v/>
      </c>
      <c r="BU89">
        <f>IF(NOT(ISNUMBER($D89)),"",_xlfn.NORM.DIST(BU$1,$D89,$E89,TRUE)-_xlfn.NORM.DIST(BU$2,$D89,$E89,TRUE))</f>
        <v/>
      </c>
      <c r="BV89">
        <f>IF(NOT(ISNUMBER($D89)),"",_xlfn.NORM.DIST(BV$1,$D89,$E89,TRUE)-_xlfn.NORM.DIST(BV$2,$D89,$E89,TRUE))</f>
        <v/>
      </c>
      <c r="BW89">
        <f>IF(NOT(ISNUMBER($D89)),"",_xlfn.NORM.DIST(BW$1,$D89,$E89,TRUE)-_xlfn.NORM.DIST(BW$2,$D89,$E89,TRUE))</f>
        <v/>
      </c>
      <c r="BX89">
        <f>IF(NOT(ISNUMBER($D89)),"",_xlfn.NORM.DIST(BX$1,$D89,$E89,TRUE)-_xlfn.NORM.DIST(BX$2,$D89,$E89,TRUE))</f>
        <v/>
      </c>
      <c r="BY89">
        <f>IF(NOT(ISNUMBER($D89)),"",_xlfn.NORM.DIST(BY$1,$D89,$E89,TRUE)-_xlfn.NORM.DIST(BY$2,$D89,$E89,TRUE))</f>
        <v/>
      </c>
      <c r="BZ89">
        <f>IF(NOT(ISNUMBER($D89)),"",_xlfn.NORM.DIST(BZ$1,$D89,$E89,TRUE)-_xlfn.NORM.DIST(BZ$2,$D89,$E89,TRUE))</f>
        <v/>
      </c>
      <c r="CA89">
        <f>IF(NOT(ISNUMBER($D89)),"",_xlfn.NORM.DIST(CA$1,$D89,$E89,TRUE)-_xlfn.NORM.DIST(CA$2,$D89,$E89,TRUE))</f>
        <v/>
      </c>
      <c r="CB89">
        <f>IF(NOT(ISNUMBER($D89)),"",_xlfn.NORM.DIST(CB$1,$D89,$E89,TRUE)-_xlfn.NORM.DIST(CB$2,$D89,$E89,TRUE))</f>
        <v/>
      </c>
      <c r="CC89">
        <f>IF(NOT(ISNUMBER($D89)),"",_xlfn.NORM.DIST(CC$1,$D89,$E89,TRUE)-_xlfn.NORM.DIST(CC$2,$D89,$E89,TRUE))</f>
        <v/>
      </c>
      <c r="CD89">
        <f>IF(NOT(ISNUMBER($D89)),"",_xlfn.NORM.DIST(CD$1,$D89,$E89,TRUE)-_xlfn.NORM.DIST(CD$2,$D89,$E89,TRUE))</f>
        <v/>
      </c>
      <c r="CE89">
        <f>IF(NOT(ISNUMBER($D89)),"",_xlfn.NORM.DIST(CE$1,$D89,$E89,TRUE)-_xlfn.NORM.DIST(CE$2,$D89,$E89,TRUE))</f>
        <v/>
      </c>
      <c r="CF89">
        <f>IF(NOT(ISNUMBER($D89)),"",_xlfn.NORM.DIST(CF$1,$D89,$E89,TRUE)-_xlfn.NORM.DIST(CF$2,$D89,$E89,TRUE))</f>
        <v/>
      </c>
      <c r="CG89">
        <f>IF(NOT(ISNUMBER($D89)),"",_xlfn.NORM.DIST(CG$1,$D89,$E89,TRUE)-_xlfn.NORM.DIST(CG$2,$D89,$E89,TRUE))</f>
        <v/>
      </c>
      <c r="CH89">
        <f>IF(NOT(ISNUMBER($D89)),"",_xlfn.NORM.DIST(CH$1,$D89,$E89,TRUE)-_xlfn.NORM.DIST(CH$2,$D89,$E89,TRUE))</f>
        <v/>
      </c>
      <c r="CI89">
        <f>IF(NOT(ISNUMBER($D89)),"",_xlfn.NORM.DIST(CI$1,$D89,$E89,TRUE)-_xlfn.NORM.DIST(CI$2,$D89,$E89,TRUE))</f>
        <v/>
      </c>
      <c r="CJ89">
        <f>IF(ISNUMBER($D89),SUM(F89:CI89),"")</f>
        <v/>
      </c>
    </row>
    <row r="90">
      <c r="A90">
        <f>economics!A89</f>
        <v/>
      </c>
      <c r="B90">
        <f>economics!B89</f>
        <v/>
      </c>
      <c r="C90">
        <f>economics!D89</f>
        <v/>
      </c>
      <c r="D90">
        <f>IF(ISNUMBER(economics!T89),economics!T89,"na")</f>
        <v/>
      </c>
      <c r="E90">
        <f>IF(ISNUMBER(D90),MAX(0.3*ABS(D90),0.000001),"na")</f>
        <v/>
      </c>
      <c r="F90">
        <f>IF(NOT(ISNUMBER($D90)),"",_xlfn.NORM.DIST(F$1,$D90,$E90,TRUE)-_xlfn.NORM.DIST(F$2,$D90,$E90,TRUE))</f>
        <v/>
      </c>
      <c r="G90">
        <f>IF(NOT(ISNUMBER($D90)),"",_xlfn.NORM.DIST(G$1,$D90,$E90,TRUE)-_xlfn.NORM.DIST(G$2,$D90,$E90,TRUE))</f>
        <v/>
      </c>
      <c r="H90">
        <f>IF(NOT(ISNUMBER($D90)),"",_xlfn.NORM.DIST(H$1,$D90,$E90,TRUE)-_xlfn.NORM.DIST(H$2,$D90,$E90,TRUE))</f>
        <v/>
      </c>
      <c r="I90">
        <f>IF(NOT(ISNUMBER($D90)),"",_xlfn.NORM.DIST(I$1,$D90,$E90,TRUE)-_xlfn.NORM.DIST(I$2,$D90,$E90,TRUE))</f>
        <v/>
      </c>
      <c r="J90">
        <f>IF(NOT(ISNUMBER($D90)),"",_xlfn.NORM.DIST(J$1,$D90,$E90,TRUE)-_xlfn.NORM.DIST(J$2,$D90,$E90,TRUE))</f>
        <v/>
      </c>
      <c r="K90">
        <f>IF(NOT(ISNUMBER($D90)),"",_xlfn.NORM.DIST(K$1,$D90,$E90,TRUE)-_xlfn.NORM.DIST(K$2,$D90,$E90,TRUE))</f>
        <v/>
      </c>
      <c r="L90">
        <f>IF(NOT(ISNUMBER($D90)),"",_xlfn.NORM.DIST(L$1,$D90,$E90,TRUE)-_xlfn.NORM.DIST(L$2,$D90,$E90,TRUE))</f>
        <v/>
      </c>
      <c r="M90">
        <f>IF(NOT(ISNUMBER($D90)),"",_xlfn.NORM.DIST(M$1,$D90,$E90,TRUE)-_xlfn.NORM.DIST(M$2,$D90,$E90,TRUE))</f>
        <v/>
      </c>
      <c r="N90">
        <f>IF(NOT(ISNUMBER($D90)),"",_xlfn.NORM.DIST(N$1,$D90,$E90,TRUE)-_xlfn.NORM.DIST(N$2,$D90,$E90,TRUE))</f>
        <v/>
      </c>
      <c r="O90">
        <f>IF(NOT(ISNUMBER($D90)),"",_xlfn.NORM.DIST(O$1,$D90,$E90,TRUE)-_xlfn.NORM.DIST(O$2,$D90,$E90,TRUE))</f>
        <v/>
      </c>
      <c r="P90">
        <f>IF(NOT(ISNUMBER($D90)),"",_xlfn.NORM.DIST(P$1,$D90,$E90,TRUE)-_xlfn.NORM.DIST(P$2,$D90,$E90,TRUE))</f>
        <v/>
      </c>
      <c r="Q90">
        <f>IF(NOT(ISNUMBER($D90)),"",_xlfn.NORM.DIST(Q$1,$D90,$E90,TRUE)-_xlfn.NORM.DIST(Q$2,$D90,$E90,TRUE))</f>
        <v/>
      </c>
      <c r="R90">
        <f>IF(NOT(ISNUMBER($D90)),"",_xlfn.NORM.DIST(R$1,$D90,$E90,TRUE)-_xlfn.NORM.DIST(R$2,$D90,$E90,TRUE))</f>
        <v/>
      </c>
      <c r="S90">
        <f>IF(NOT(ISNUMBER($D90)),"",_xlfn.NORM.DIST(S$1,$D90,$E90,TRUE)-_xlfn.NORM.DIST(S$2,$D90,$E90,TRUE))</f>
        <v/>
      </c>
      <c r="T90">
        <f>IF(NOT(ISNUMBER($D90)),"",_xlfn.NORM.DIST(T$1,$D90,$E90,TRUE)-_xlfn.NORM.DIST(T$2,$D90,$E90,TRUE))</f>
        <v/>
      </c>
      <c r="U90">
        <f>IF(NOT(ISNUMBER($D90)),"",_xlfn.NORM.DIST(U$1,$D90,$E90,TRUE)-_xlfn.NORM.DIST(U$2,$D90,$E90,TRUE))</f>
        <v/>
      </c>
      <c r="V90">
        <f>IF(NOT(ISNUMBER($D90)),"",_xlfn.NORM.DIST(V$1,$D90,$E90,TRUE)-_xlfn.NORM.DIST(V$2,$D90,$E90,TRUE))</f>
        <v/>
      </c>
      <c r="W90">
        <f>IF(NOT(ISNUMBER($D90)),"",_xlfn.NORM.DIST(W$1,$D90,$E90,TRUE)-_xlfn.NORM.DIST(W$2,$D90,$E90,TRUE))</f>
        <v/>
      </c>
      <c r="X90">
        <f>IF(NOT(ISNUMBER($D90)),"",_xlfn.NORM.DIST(X$1,$D90,$E90,TRUE)-_xlfn.NORM.DIST(X$2,$D90,$E90,TRUE))</f>
        <v/>
      </c>
      <c r="Y90">
        <f>IF(NOT(ISNUMBER($D90)),"",_xlfn.NORM.DIST(Y$1,$D90,$E90,TRUE)-_xlfn.NORM.DIST(Y$2,$D90,$E90,TRUE))</f>
        <v/>
      </c>
      <c r="Z90">
        <f>IF(NOT(ISNUMBER($D90)),"",_xlfn.NORM.DIST(Z$1,$D90,$E90,TRUE)-_xlfn.NORM.DIST(Z$2,$D90,$E90,TRUE))</f>
        <v/>
      </c>
      <c r="AA90">
        <f>IF(NOT(ISNUMBER($D90)),"",_xlfn.NORM.DIST(AA$1,$D90,$E90,TRUE)-_xlfn.NORM.DIST(AA$2,$D90,$E90,TRUE))</f>
        <v/>
      </c>
      <c r="AB90">
        <f>IF(NOT(ISNUMBER($D90)),"",_xlfn.NORM.DIST(AB$1,$D90,$E90,TRUE)-_xlfn.NORM.DIST(AB$2,$D90,$E90,TRUE))</f>
        <v/>
      </c>
      <c r="AC90">
        <f>IF(NOT(ISNUMBER($D90)),"",_xlfn.NORM.DIST(AC$1,$D90,$E90,TRUE)-_xlfn.NORM.DIST(AC$2,$D90,$E90,TRUE))</f>
        <v/>
      </c>
      <c r="AD90">
        <f>IF(NOT(ISNUMBER($D90)),"",_xlfn.NORM.DIST(AD$1,$D90,$E90,TRUE)-_xlfn.NORM.DIST(AD$2,$D90,$E90,TRUE))</f>
        <v/>
      </c>
      <c r="AE90">
        <f>IF(NOT(ISNUMBER($D90)),"",_xlfn.NORM.DIST(AE$1,$D90,$E90,TRUE)-_xlfn.NORM.DIST(AE$2,$D90,$E90,TRUE))</f>
        <v/>
      </c>
      <c r="AF90">
        <f>IF(NOT(ISNUMBER($D90)),"",_xlfn.NORM.DIST(AF$1,$D90,$E90,TRUE)-_xlfn.NORM.DIST(AF$2,$D90,$E90,TRUE))</f>
        <v/>
      </c>
      <c r="AG90">
        <f>IF(NOT(ISNUMBER($D90)),"",_xlfn.NORM.DIST(AG$1,$D90,$E90,TRUE)-_xlfn.NORM.DIST(AG$2,$D90,$E90,TRUE))</f>
        <v/>
      </c>
      <c r="AH90">
        <f>IF(NOT(ISNUMBER($D90)),"",_xlfn.NORM.DIST(AH$1,$D90,$E90,TRUE)-_xlfn.NORM.DIST(AH$2,$D90,$E90,TRUE))</f>
        <v/>
      </c>
      <c r="AI90">
        <f>IF(NOT(ISNUMBER($D90)),"",_xlfn.NORM.DIST(AI$1,$D90,$E90,TRUE)-_xlfn.NORM.DIST(AI$2,$D90,$E90,TRUE))</f>
        <v/>
      </c>
      <c r="AJ90">
        <f>IF(NOT(ISNUMBER($D90)),"",_xlfn.NORM.DIST(AJ$1,$D90,$E90,TRUE)-_xlfn.NORM.DIST(AJ$2,$D90,$E90,TRUE))</f>
        <v/>
      </c>
      <c r="AK90">
        <f>IF(NOT(ISNUMBER($D90)),"",_xlfn.NORM.DIST(AK$1,$D90,$E90,TRUE)-_xlfn.NORM.DIST(AK$2,$D90,$E90,TRUE))</f>
        <v/>
      </c>
      <c r="AL90">
        <f>IF(NOT(ISNUMBER($D90)),"",_xlfn.NORM.DIST(AL$1,$D90,$E90,TRUE)-_xlfn.NORM.DIST(AL$2,$D90,$E90,TRUE))</f>
        <v/>
      </c>
      <c r="AM90">
        <f>IF(NOT(ISNUMBER($D90)),"",_xlfn.NORM.DIST(AM$1,$D90,$E90,TRUE)-_xlfn.NORM.DIST(AM$2,$D90,$E90,TRUE))</f>
        <v/>
      </c>
      <c r="AN90">
        <f>IF(NOT(ISNUMBER($D90)),"",_xlfn.NORM.DIST(AN$1,$D90,$E90,TRUE)-_xlfn.NORM.DIST(AN$2,$D90,$E90,TRUE))</f>
        <v/>
      </c>
      <c r="AO90">
        <f>IF(NOT(ISNUMBER($D90)),"",_xlfn.NORM.DIST(AO$1,$D90,$E90,TRUE)-_xlfn.NORM.DIST(AO$2,$D90,$E90,TRUE))</f>
        <v/>
      </c>
      <c r="AP90">
        <f>IF(NOT(ISNUMBER($D90)),"",_xlfn.NORM.DIST(AP$1,$D90,$E90,TRUE)-_xlfn.NORM.DIST(AP$2,$D90,$E90,TRUE))</f>
        <v/>
      </c>
      <c r="AQ90">
        <f>IF(NOT(ISNUMBER($D90)),"",_xlfn.NORM.DIST(AQ$1,$D90,$E90,TRUE)-_xlfn.NORM.DIST(AQ$2,$D90,$E90,TRUE))</f>
        <v/>
      </c>
      <c r="AR90">
        <f>IF(NOT(ISNUMBER($D90)),"",_xlfn.NORM.DIST(AR$1,$D90,$E90,TRUE)-_xlfn.NORM.DIST(AR$2,$D90,$E90,TRUE))</f>
        <v/>
      </c>
      <c r="AS90">
        <f>IF(NOT(ISNUMBER($D90)),"",_xlfn.NORM.DIST(AS$1,$D90,$E90,TRUE)-_xlfn.NORM.DIST(AS$2,$D90,$E90,TRUE))</f>
        <v/>
      </c>
      <c r="AT90">
        <f>IF(NOT(ISNUMBER($D90)),"",_xlfn.NORM.DIST(AT$1,$D90,$E90,TRUE)-_xlfn.NORM.DIST(AT$2,$D90,$E90,TRUE))</f>
        <v/>
      </c>
      <c r="AU90">
        <f>IF(NOT(ISNUMBER($D90)),"",_xlfn.NORM.DIST(AU$1,$D90,$E90,TRUE)-_xlfn.NORM.DIST(AU$2,$D90,$E90,TRUE))</f>
        <v/>
      </c>
      <c r="AV90">
        <f>IF(NOT(ISNUMBER($D90)),"",_xlfn.NORM.DIST(AV$1,$D90,$E90,TRUE)-_xlfn.NORM.DIST(AV$2,$D90,$E90,TRUE))</f>
        <v/>
      </c>
      <c r="AW90">
        <f>IF(NOT(ISNUMBER($D90)),"",_xlfn.NORM.DIST(AW$1,$D90,$E90,TRUE)-_xlfn.NORM.DIST(AW$2,$D90,$E90,TRUE))</f>
        <v/>
      </c>
      <c r="AX90">
        <f>IF(NOT(ISNUMBER($D90)),"",_xlfn.NORM.DIST(AX$1,$D90,$E90,TRUE)-_xlfn.NORM.DIST(AX$2,$D90,$E90,TRUE))</f>
        <v/>
      </c>
      <c r="AY90">
        <f>IF(NOT(ISNUMBER($D90)),"",_xlfn.NORM.DIST(AY$1,$D90,$E90,TRUE)-_xlfn.NORM.DIST(AY$2,$D90,$E90,TRUE))</f>
        <v/>
      </c>
      <c r="AZ90">
        <f>IF(NOT(ISNUMBER($D90)),"",_xlfn.NORM.DIST(AZ$1,$D90,$E90,TRUE)-_xlfn.NORM.DIST(AZ$2,$D90,$E90,TRUE))</f>
        <v/>
      </c>
      <c r="BA90">
        <f>IF(NOT(ISNUMBER($D90)),"",_xlfn.NORM.DIST(BA$1,$D90,$E90,TRUE)-_xlfn.NORM.DIST(BA$2,$D90,$E90,TRUE))</f>
        <v/>
      </c>
      <c r="BB90">
        <f>IF(NOT(ISNUMBER($D90)),"",_xlfn.NORM.DIST(BB$1,$D90,$E90,TRUE)-_xlfn.NORM.DIST(BB$2,$D90,$E90,TRUE))</f>
        <v/>
      </c>
      <c r="BC90">
        <f>IF(NOT(ISNUMBER($D90)),"",_xlfn.NORM.DIST(BC$1,$D90,$E90,TRUE)-_xlfn.NORM.DIST(BC$2,$D90,$E90,TRUE))</f>
        <v/>
      </c>
      <c r="BD90">
        <f>IF(NOT(ISNUMBER($D90)),"",_xlfn.NORM.DIST(BD$1,$D90,$E90,TRUE)-_xlfn.NORM.DIST(BD$2,$D90,$E90,TRUE))</f>
        <v/>
      </c>
      <c r="BE90">
        <f>IF(NOT(ISNUMBER($D90)),"",_xlfn.NORM.DIST(BE$1,$D90,$E90,TRUE)-_xlfn.NORM.DIST(BE$2,$D90,$E90,TRUE))</f>
        <v/>
      </c>
      <c r="BF90">
        <f>IF(NOT(ISNUMBER($D90)),"",_xlfn.NORM.DIST(BF$1,$D90,$E90,TRUE)-_xlfn.NORM.DIST(BF$2,$D90,$E90,TRUE))</f>
        <v/>
      </c>
      <c r="BG90">
        <f>IF(NOT(ISNUMBER($D90)),"",_xlfn.NORM.DIST(BG$1,$D90,$E90,TRUE)-_xlfn.NORM.DIST(BG$2,$D90,$E90,TRUE))</f>
        <v/>
      </c>
      <c r="BH90">
        <f>IF(NOT(ISNUMBER($D90)),"",_xlfn.NORM.DIST(BH$1,$D90,$E90,TRUE)-_xlfn.NORM.DIST(BH$2,$D90,$E90,TRUE))</f>
        <v/>
      </c>
      <c r="BI90">
        <f>IF(NOT(ISNUMBER($D90)),"",_xlfn.NORM.DIST(BI$1,$D90,$E90,TRUE)-_xlfn.NORM.DIST(BI$2,$D90,$E90,TRUE))</f>
        <v/>
      </c>
      <c r="BJ90">
        <f>IF(NOT(ISNUMBER($D90)),"",_xlfn.NORM.DIST(BJ$1,$D90,$E90,TRUE)-_xlfn.NORM.DIST(BJ$2,$D90,$E90,TRUE))</f>
        <v/>
      </c>
      <c r="BK90">
        <f>IF(NOT(ISNUMBER($D90)),"",_xlfn.NORM.DIST(BK$1,$D90,$E90,TRUE)-_xlfn.NORM.DIST(BK$2,$D90,$E90,TRUE))</f>
        <v/>
      </c>
      <c r="BL90">
        <f>IF(NOT(ISNUMBER($D90)),"",_xlfn.NORM.DIST(BL$1,$D90,$E90,TRUE)-_xlfn.NORM.DIST(BL$2,$D90,$E90,TRUE))</f>
        <v/>
      </c>
      <c r="BM90">
        <f>IF(NOT(ISNUMBER($D90)),"",_xlfn.NORM.DIST(BM$1,$D90,$E90,TRUE)-_xlfn.NORM.DIST(BM$2,$D90,$E90,TRUE))</f>
        <v/>
      </c>
      <c r="BN90">
        <f>IF(NOT(ISNUMBER($D90)),"",_xlfn.NORM.DIST(BN$1,$D90,$E90,TRUE)-_xlfn.NORM.DIST(BN$2,$D90,$E90,TRUE))</f>
        <v/>
      </c>
      <c r="BO90">
        <f>IF(NOT(ISNUMBER($D90)),"",_xlfn.NORM.DIST(BO$1,$D90,$E90,TRUE)-_xlfn.NORM.DIST(BO$2,$D90,$E90,TRUE))</f>
        <v/>
      </c>
      <c r="BP90">
        <f>IF(NOT(ISNUMBER($D90)),"",_xlfn.NORM.DIST(BP$1,$D90,$E90,TRUE)-_xlfn.NORM.DIST(BP$2,$D90,$E90,TRUE))</f>
        <v/>
      </c>
      <c r="BQ90">
        <f>IF(NOT(ISNUMBER($D90)),"",_xlfn.NORM.DIST(BQ$1,$D90,$E90,TRUE)-_xlfn.NORM.DIST(BQ$2,$D90,$E90,TRUE))</f>
        <v/>
      </c>
      <c r="BR90">
        <f>IF(NOT(ISNUMBER($D90)),"",_xlfn.NORM.DIST(BR$1,$D90,$E90,TRUE)-_xlfn.NORM.DIST(BR$2,$D90,$E90,TRUE))</f>
        <v/>
      </c>
      <c r="BS90">
        <f>IF(NOT(ISNUMBER($D90)),"",_xlfn.NORM.DIST(BS$1,$D90,$E90,TRUE)-_xlfn.NORM.DIST(BS$2,$D90,$E90,TRUE))</f>
        <v/>
      </c>
      <c r="BT90">
        <f>IF(NOT(ISNUMBER($D90)),"",_xlfn.NORM.DIST(BT$1,$D90,$E90,TRUE)-_xlfn.NORM.DIST(BT$2,$D90,$E90,TRUE))</f>
        <v/>
      </c>
      <c r="BU90">
        <f>IF(NOT(ISNUMBER($D90)),"",_xlfn.NORM.DIST(BU$1,$D90,$E90,TRUE)-_xlfn.NORM.DIST(BU$2,$D90,$E90,TRUE))</f>
        <v/>
      </c>
      <c r="BV90">
        <f>IF(NOT(ISNUMBER($D90)),"",_xlfn.NORM.DIST(BV$1,$D90,$E90,TRUE)-_xlfn.NORM.DIST(BV$2,$D90,$E90,TRUE))</f>
        <v/>
      </c>
      <c r="BW90">
        <f>IF(NOT(ISNUMBER($D90)),"",_xlfn.NORM.DIST(BW$1,$D90,$E90,TRUE)-_xlfn.NORM.DIST(BW$2,$D90,$E90,TRUE))</f>
        <v/>
      </c>
      <c r="BX90">
        <f>IF(NOT(ISNUMBER($D90)),"",_xlfn.NORM.DIST(BX$1,$D90,$E90,TRUE)-_xlfn.NORM.DIST(BX$2,$D90,$E90,TRUE))</f>
        <v/>
      </c>
      <c r="BY90">
        <f>IF(NOT(ISNUMBER($D90)),"",_xlfn.NORM.DIST(BY$1,$D90,$E90,TRUE)-_xlfn.NORM.DIST(BY$2,$D90,$E90,TRUE))</f>
        <v/>
      </c>
      <c r="BZ90">
        <f>IF(NOT(ISNUMBER($D90)),"",_xlfn.NORM.DIST(BZ$1,$D90,$E90,TRUE)-_xlfn.NORM.DIST(BZ$2,$D90,$E90,TRUE))</f>
        <v/>
      </c>
      <c r="CA90">
        <f>IF(NOT(ISNUMBER($D90)),"",_xlfn.NORM.DIST(CA$1,$D90,$E90,TRUE)-_xlfn.NORM.DIST(CA$2,$D90,$E90,TRUE))</f>
        <v/>
      </c>
      <c r="CB90">
        <f>IF(NOT(ISNUMBER($D90)),"",_xlfn.NORM.DIST(CB$1,$D90,$E90,TRUE)-_xlfn.NORM.DIST(CB$2,$D90,$E90,TRUE))</f>
        <v/>
      </c>
      <c r="CC90">
        <f>IF(NOT(ISNUMBER($D90)),"",_xlfn.NORM.DIST(CC$1,$D90,$E90,TRUE)-_xlfn.NORM.DIST(CC$2,$D90,$E90,TRUE))</f>
        <v/>
      </c>
      <c r="CD90">
        <f>IF(NOT(ISNUMBER($D90)),"",_xlfn.NORM.DIST(CD$1,$D90,$E90,TRUE)-_xlfn.NORM.DIST(CD$2,$D90,$E90,TRUE))</f>
        <v/>
      </c>
      <c r="CE90">
        <f>IF(NOT(ISNUMBER($D90)),"",_xlfn.NORM.DIST(CE$1,$D90,$E90,TRUE)-_xlfn.NORM.DIST(CE$2,$D90,$E90,TRUE))</f>
        <v/>
      </c>
      <c r="CF90">
        <f>IF(NOT(ISNUMBER($D90)),"",_xlfn.NORM.DIST(CF$1,$D90,$E90,TRUE)-_xlfn.NORM.DIST(CF$2,$D90,$E90,TRUE))</f>
        <v/>
      </c>
      <c r="CG90">
        <f>IF(NOT(ISNUMBER($D90)),"",_xlfn.NORM.DIST(CG$1,$D90,$E90,TRUE)-_xlfn.NORM.DIST(CG$2,$D90,$E90,TRUE))</f>
        <v/>
      </c>
      <c r="CH90">
        <f>IF(NOT(ISNUMBER($D90)),"",_xlfn.NORM.DIST(CH$1,$D90,$E90,TRUE)-_xlfn.NORM.DIST(CH$2,$D90,$E90,TRUE))</f>
        <v/>
      </c>
      <c r="CI90">
        <f>IF(NOT(ISNUMBER($D90)),"",_xlfn.NORM.DIST(CI$1,$D90,$E90,TRUE)-_xlfn.NORM.DIST(CI$2,$D90,$E90,TRUE))</f>
        <v/>
      </c>
      <c r="CJ90">
        <f>IF(ISNUMBER($D90),SUM(F90:CI90),"")</f>
        <v/>
      </c>
    </row>
    <row r="91">
      <c r="A91">
        <f>economics!A90</f>
        <v/>
      </c>
      <c r="B91">
        <f>economics!B90</f>
        <v/>
      </c>
      <c r="C91">
        <f>economics!D90</f>
        <v/>
      </c>
      <c r="D91">
        <f>IF(ISNUMBER(economics!T90),economics!T90,"na")</f>
        <v/>
      </c>
      <c r="E91">
        <f>IF(ISNUMBER(D91),MAX(0.3*ABS(D91),0.000001),"na")</f>
        <v/>
      </c>
      <c r="F91">
        <f>IF(NOT(ISNUMBER($D91)),"",_xlfn.NORM.DIST(F$1,$D91,$E91,TRUE)-_xlfn.NORM.DIST(F$2,$D91,$E91,TRUE))</f>
        <v/>
      </c>
      <c r="G91">
        <f>IF(NOT(ISNUMBER($D91)),"",_xlfn.NORM.DIST(G$1,$D91,$E91,TRUE)-_xlfn.NORM.DIST(G$2,$D91,$E91,TRUE))</f>
        <v/>
      </c>
      <c r="H91">
        <f>IF(NOT(ISNUMBER($D91)),"",_xlfn.NORM.DIST(H$1,$D91,$E91,TRUE)-_xlfn.NORM.DIST(H$2,$D91,$E91,TRUE))</f>
        <v/>
      </c>
      <c r="I91">
        <f>IF(NOT(ISNUMBER($D91)),"",_xlfn.NORM.DIST(I$1,$D91,$E91,TRUE)-_xlfn.NORM.DIST(I$2,$D91,$E91,TRUE))</f>
        <v/>
      </c>
      <c r="J91">
        <f>IF(NOT(ISNUMBER($D91)),"",_xlfn.NORM.DIST(J$1,$D91,$E91,TRUE)-_xlfn.NORM.DIST(J$2,$D91,$E91,TRUE))</f>
        <v/>
      </c>
      <c r="K91">
        <f>IF(NOT(ISNUMBER($D91)),"",_xlfn.NORM.DIST(K$1,$D91,$E91,TRUE)-_xlfn.NORM.DIST(K$2,$D91,$E91,TRUE))</f>
        <v/>
      </c>
      <c r="L91">
        <f>IF(NOT(ISNUMBER($D91)),"",_xlfn.NORM.DIST(L$1,$D91,$E91,TRUE)-_xlfn.NORM.DIST(L$2,$D91,$E91,TRUE))</f>
        <v/>
      </c>
      <c r="M91">
        <f>IF(NOT(ISNUMBER($D91)),"",_xlfn.NORM.DIST(M$1,$D91,$E91,TRUE)-_xlfn.NORM.DIST(M$2,$D91,$E91,TRUE))</f>
        <v/>
      </c>
      <c r="N91">
        <f>IF(NOT(ISNUMBER($D91)),"",_xlfn.NORM.DIST(N$1,$D91,$E91,TRUE)-_xlfn.NORM.DIST(N$2,$D91,$E91,TRUE))</f>
        <v/>
      </c>
      <c r="O91">
        <f>IF(NOT(ISNUMBER($D91)),"",_xlfn.NORM.DIST(O$1,$D91,$E91,TRUE)-_xlfn.NORM.DIST(O$2,$D91,$E91,TRUE))</f>
        <v/>
      </c>
      <c r="P91">
        <f>IF(NOT(ISNUMBER($D91)),"",_xlfn.NORM.DIST(P$1,$D91,$E91,TRUE)-_xlfn.NORM.DIST(P$2,$D91,$E91,TRUE))</f>
        <v/>
      </c>
      <c r="Q91">
        <f>IF(NOT(ISNUMBER($D91)),"",_xlfn.NORM.DIST(Q$1,$D91,$E91,TRUE)-_xlfn.NORM.DIST(Q$2,$D91,$E91,TRUE))</f>
        <v/>
      </c>
      <c r="R91">
        <f>IF(NOT(ISNUMBER($D91)),"",_xlfn.NORM.DIST(R$1,$D91,$E91,TRUE)-_xlfn.NORM.DIST(R$2,$D91,$E91,TRUE))</f>
        <v/>
      </c>
      <c r="S91">
        <f>IF(NOT(ISNUMBER($D91)),"",_xlfn.NORM.DIST(S$1,$D91,$E91,TRUE)-_xlfn.NORM.DIST(S$2,$D91,$E91,TRUE))</f>
        <v/>
      </c>
      <c r="T91">
        <f>IF(NOT(ISNUMBER($D91)),"",_xlfn.NORM.DIST(T$1,$D91,$E91,TRUE)-_xlfn.NORM.DIST(T$2,$D91,$E91,TRUE))</f>
        <v/>
      </c>
      <c r="U91">
        <f>IF(NOT(ISNUMBER($D91)),"",_xlfn.NORM.DIST(U$1,$D91,$E91,TRUE)-_xlfn.NORM.DIST(U$2,$D91,$E91,TRUE))</f>
        <v/>
      </c>
      <c r="V91">
        <f>IF(NOT(ISNUMBER($D91)),"",_xlfn.NORM.DIST(V$1,$D91,$E91,TRUE)-_xlfn.NORM.DIST(V$2,$D91,$E91,TRUE))</f>
        <v/>
      </c>
      <c r="W91">
        <f>IF(NOT(ISNUMBER($D91)),"",_xlfn.NORM.DIST(W$1,$D91,$E91,TRUE)-_xlfn.NORM.DIST(W$2,$D91,$E91,TRUE))</f>
        <v/>
      </c>
      <c r="X91">
        <f>IF(NOT(ISNUMBER($D91)),"",_xlfn.NORM.DIST(X$1,$D91,$E91,TRUE)-_xlfn.NORM.DIST(X$2,$D91,$E91,TRUE))</f>
        <v/>
      </c>
      <c r="Y91">
        <f>IF(NOT(ISNUMBER($D91)),"",_xlfn.NORM.DIST(Y$1,$D91,$E91,TRUE)-_xlfn.NORM.DIST(Y$2,$D91,$E91,TRUE))</f>
        <v/>
      </c>
      <c r="Z91">
        <f>IF(NOT(ISNUMBER($D91)),"",_xlfn.NORM.DIST(Z$1,$D91,$E91,TRUE)-_xlfn.NORM.DIST(Z$2,$D91,$E91,TRUE))</f>
        <v/>
      </c>
      <c r="AA91">
        <f>IF(NOT(ISNUMBER($D91)),"",_xlfn.NORM.DIST(AA$1,$D91,$E91,TRUE)-_xlfn.NORM.DIST(AA$2,$D91,$E91,TRUE))</f>
        <v/>
      </c>
      <c r="AB91">
        <f>IF(NOT(ISNUMBER($D91)),"",_xlfn.NORM.DIST(AB$1,$D91,$E91,TRUE)-_xlfn.NORM.DIST(AB$2,$D91,$E91,TRUE))</f>
        <v/>
      </c>
      <c r="AC91">
        <f>IF(NOT(ISNUMBER($D91)),"",_xlfn.NORM.DIST(AC$1,$D91,$E91,TRUE)-_xlfn.NORM.DIST(AC$2,$D91,$E91,TRUE))</f>
        <v/>
      </c>
      <c r="AD91">
        <f>IF(NOT(ISNUMBER($D91)),"",_xlfn.NORM.DIST(AD$1,$D91,$E91,TRUE)-_xlfn.NORM.DIST(AD$2,$D91,$E91,TRUE))</f>
        <v/>
      </c>
      <c r="AE91">
        <f>IF(NOT(ISNUMBER($D91)),"",_xlfn.NORM.DIST(AE$1,$D91,$E91,TRUE)-_xlfn.NORM.DIST(AE$2,$D91,$E91,TRUE))</f>
        <v/>
      </c>
      <c r="AF91">
        <f>IF(NOT(ISNUMBER($D91)),"",_xlfn.NORM.DIST(AF$1,$D91,$E91,TRUE)-_xlfn.NORM.DIST(AF$2,$D91,$E91,TRUE))</f>
        <v/>
      </c>
      <c r="AG91">
        <f>IF(NOT(ISNUMBER($D91)),"",_xlfn.NORM.DIST(AG$1,$D91,$E91,TRUE)-_xlfn.NORM.DIST(AG$2,$D91,$E91,TRUE))</f>
        <v/>
      </c>
      <c r="AH91">
        <f>IF(NOT(ISNUMBER($D91)),"",_xlfn.NORM.DIST(AH$1,$D91,$E91,TRUE)-_xlfn.NORM.DIST(AH$2,$D91,$E91,TRUE))</f>
        <v/>
      </c>
      <c r="AI91">
        <f>IF(NOT(ISNUMBER($D91)),"",_xlfn.NORM.DIST(AI$1,$D91,$E91,TRUE)-_xlfn.NORM.DIST(AI$2,$D91,$E91,TRUE))</f>
        <v/>
      </c>
      <c r="AJ91">
        <f>IF(NOT(ISNUMBER($D91)),"",_xlfn.NORM.DIST(AJ$1,$D91,$E91,TRUE)-_xlfn.NORM.DIST(AJ$2,$D91,$E91,TRUE))</f>
        <v/>
      </c>
      <c r="AK91">
        <f>IF(NOT(ISNUMBER($D91)),"",_xlfn.NORM.DIST(AK$1,$D91,$E91,TRUE)-_xlfn.NORM.DIST(AK$2,$D91,$E91,TRUE))</f>
        <v/>
      </c>
      <c r="AL91">
        <f>IF(NOT(ISNUMBER($D91)),"",_xlfn.NORM.DIST(AL$1,$D91,$E91,TRUE)-_xlfn.NORM.DIST(AL$2,$D91,$E91,TRUE))</f>
        <v/>
      </c>
      <c r="AM91">
        <f>IF(NOT(ISNUMBER($D91)),"",_xlfn.NORM.DIST(AM$1,$D91,$E91,TRUE)-_xlfn.NORM.DIST(AM$2,$D91,$E91,TRUE))</f>
        <v/>
      </c>
      <c r="AN91">
        <f>IF(NOT(ISNUMBER($D91)),"",_xlfn.NORM.DIST(AN$1,$D91,$E91,TRUE)-_xlfn.NORM.DIST(AN$2,$D91,$E91,TRUE))</f>
        <v/>
      </c>
      <c r="AO91">
        <f>IF(NOT(ISNUMBER($D91)),"",_xlfn.NORM.DIST(AO$1,$D91,$E91,TRUE)-_xlfn.NORM.DIST(AO$2,$D91,$E91,TRUE))</f>
        <v/>
      </c>
      <c r="AP91">
        <f>IF(NOT(ISNUMBER($D91)),"",_xlfn.NORM.DIST(AP$1,$D91,$E91,TRUE)-_xlfn.NORM.DIST(AP$2,$D91,$E91,TRUE))</f>
        <v/>
      </c>
      <c r="AQ91">
        <f>IF(NOT(ISNUMBER($D91)),"",_xlfn.NORM.DIST(AQ$1,$D91,$E91,TRUE)-_xlfn.NORM.DIST(AQ$2,$D91,$E91,TRUE))</f>
        <v/>
      </c>
      <c r="AR91">
        <f>IF(NOT(ISNUMBER($D91)),"",_xlfn.NORM.DIST(AR$1,$D91,$E91,TRUE)-_xlfn.NORM.DIST(AR$2,$D91,$E91,TRUE))</f>
        <v/>
      </c>
      <c r="AS91">
        <f>IF(NOT(ISNUMBER($D91)),"",_xlfn.NORM.DIST(AS$1,$D91,$E91,TRUE)-_xlfn.NORM.DIST(AS$2,$D91,$E91,TRUE))</f>
        <v/>
      </c>
      <c r="AT91">
        <f>IF(NOT(ISNUMBER($D91)),"",_xlfn.NORM.DIST(AT$1,$D91,$E91,TRUE)-_xlfn.NORM.DIST(AT$2,$D91,$E91,TRUE))</f>
        <v/>
      </c>
      <c r="AU91">
        <f>IF(NOT(ISNUMBER($D91)),"",_xlfn.NORM.DIST(AU$1,$D91,$E91,TRUE)-_xlfn.NORM.DIST(AU$2,$D91,$E91,TRUE))</f>
        <v/>
      </c>
      <c r="AV91">
        <f>IF(NOT(ISNUMBER($D91)),"",_xlfn.NORM.DIST(AV$1,$D91,$E91,TRUE)-_xlfn.NORM.DIST(AV$2,$D91,$E91,TRUE))</f>
        <v/>
      </c>
      <c r="AW91">
        <f>IF(NOT(ISNUMBER($D91)),"",_xlfn.NORM.DIST(AW$1,$D91,$E91,TRUE)-_xlfn.NORM.DIST(AW$2,$D91,$E91,TRUE))</f>
        <v/>
      </c>
      <c r="AX91">
        <f>IF(NOT(ISNUMBER($D91)),"",_xlfn.NORM.DIST(AX$1,$D91,$E91,TRUE)-_xlfn.NORM.DIST(AX$2,$D91,$E91,TRUE))</f>
        <v/>
      </c>
      <c r="AY91">
        <f>IF(NOT(ISNUMBER($D91)),"",_xlfn.NORM.DIST(AY$1,$D91,$E91,TRUE)-_xlfn.NORM.DIST(AY$2,$D91,$E91,TRUE))</f>
        <v/>
      </c>
      <c r="AZ91">
        <f>IF(NOT(ISNUMBER($D91)),"",_xlfn.NORM.DIST(AZ$1,$D91,$E91,TRUE)-_xlfn.NORM.DIST(AZ$2,$D91,$E91,TRUE))</f>
        <v/>
      </c>
      <c r="BA91">
        <f>IF(NOT(ISNUMBER($D91)),"",_xlfn.NORM.DIST(BA$1,$D91,$E91,TRUE)-_xlfn.NORM.DIST(BA$2,$D91,$E91,TRUE))</f>
        <v/>
      </c>
      <c r="BB91">
        <f>IF(NOT(ISNUMBER($D91)),"",_xlfn.NORM.DIST(BB$1,$D91,$E91,TRUE)-_xlfn.NORM.DIST(BB$2,$D91,$E91,TRUE))</f>
        <v/>
      </c>
      <c r="BC91">
        <f>IF(NOT(ISNUMBER($D91)),"",_xlfn.NORM.DIST(BC$1,$D91,$E91,TRUE)-_xlfn.NORM.DIST(BC$2,$D91,$E91,TRUE))</f>
        <v/>
      </c>
      <c r="BD91">
        <f>IF(NOT(ISNUMBER($D91)),"",_xlfn.NORM.DIST(BD$1,$D91,$E91,TRUE)-_xlfn.NORM.DIST(BD$2,$D91,$E91,TRUE))</f>
        <v/>
      </c>
      <c r="BE91">
        <f>IF(NOT(ISNUMBER($D91)),"",_xlfn.NORM.DIST(BE$1,$D91,$E91,TRUE)-_xlfn.NORM.DIST(BE$2,$D91,$E91,TRUE))</f>
        <v/>
      </c>
      <c r="BF91">
        <f>IF(NOT(ISNUMBER($D91)),"",_xlfn.NORM.DIST(BF$1,$D91,$E91,TRUE)-_xlfn.NORM.DIST(BF$2,$D91,$E91,TRUE))</f>
        <v/>
      </c>
      <c r="BG91">
        <f>IF(NOT(ISNUMBER($D91)),"",_xlfn.NORM.DIST(BG$1,$D91,$E91,TRUE)-_xlfn.NORM.DIST(BG$2,$D91,$E91,TRUE))</f>
        <v/>
      </c>
      <c r="BH91">
        <f>IF(NOT(ISNUMBER($D91)),"",_xlfn.NORM.DIST(BH$1,$D91,$E91,TRUE)-_xlfn.NORM.DIST(BH$2,$D91,$E91,TRUE))</f>
        <v/>
      </c>
      <c r="BI91">
        <f>IF(NOT(ISNUMBER($D91)),"",_xlfn.NORM.DIST(BI$1,$D91,$E91,TRUE)-_xlfn.NORM.DIST(BI$2,$D91,$E91,TRUE))</f>
        <v/>
      </c>
      <c r="BJ91">
        <f>IF(NOT(ISNUMBER($D91)),"",_xlfn.NORM.DIST(BJ$1,$D91,$E91,TRUE)-_xlfn.NORM.DIST(BJ$2,$D91,$E91,TRUE))</f>
        <v/>
      </c>
      <c r="BK91">
        <f>IF(NOT(ISNUMBER($D91)),"",_xlfn.NORM.DIST(BK$1,$D91,$E91,TRUE)-_xlfn.NORM.DIST(BK$2,$D91,$E91,TRUE))</f>
        <v/>
      </c>
      <c r="BL91">
        <f>IF(NOT(ISNUMBER($D91)),"",_xlfn.NORM.DIST(BL$1,$D91,$E91,TRUE)-_xlfn.NORM.DIST(BL$2,$D91,$E91,TRUE))</f>
        <v/>
      </c>
      <c r="BM91">
        <f>IF(NOT(ISNUMBER($D91)),"",_xlfn.NORM.DIST(BM$1,$D91,$E91,TRUE)-_xlfn.NORM.DIST(BM$2,$D91,$E91,TRUE))</f>
        <v/>
      </c>
      <c r="BN91">
        <f>IF(NOT(ISNUMBER($D91)),"",_xlfn.NORM.DIST(BN$1,$D91,$E91,TRUE)-_xlfn.NORM.DIST(BN$2,$D91,$E91,TRUE))</f>
        <v/>
      </c>
      <c r="BO91">
        <f>IF(NOT(ISNUMBER($D91)),"",_xlfn.NORM.DIST(BO$1,$D91,$E91,TRUE)-_xlfn.NORM.DIST(BO$2,$D91,$E91,TRUE))</f>
        <v/>
      </c>
      <c r="BP91">
        <f>IF(NOT(ISNUMBER($D91)),"",_xlfn.NORM.DIST(BP$1,$D91,$E91,TRUE)-_xlfn.NORM.DIST(BP$2,$D91,$E91,TRUE))</f>
        <v/>
      </c>
      <c r="BQ91">
        <f>IF(NOT(ISNUMBER($D91)),"",_xlfn.NORM.DIST(BQ$1,$D91,$E91,TRUE)-_xlfn.NORM.DIST(BQ$2,$D91,$E91,TRUE))</f>
        <v/>
      </c>
      <c r="BR91">
        <f>IF(NOT(ISNUMBER($D91)),"",_xlfn.NORM.DIST(BR$1,$D91,$E91,TRUE)-_xlfn.NORM.DIST(BR$2,$D91,$E91,TRUE))</f>
        <v/>
      </c>
      <c r="BS91">
        <f>IF(NOT(ISNUMBER($D91)),"",_xlfn.NORM.DIST(BS$1,$D91,$E91,TRUE)-_xlfn.NORM.DIST(BS$2,$D91,$E91,TRUE))</f>
        <v/>
      </c>
      <c r="BT91">
        <f>IF(NOT(ISNUMBER($D91)),"",_xlfn.NORM.DIST(BT$1,$D91,$E91,TRUE)-_xlfn.NORM.DIST(BT$2,$D91,$E91,TRUE))</f>
        <v/>
      </c>
      <c r="BU91">
        <f>IF(NOT(ISNUMBER($D91)),"",_xlfn.NORM.DIST(BU$1,$D91,$E91,TRUE)-_xlfn.NORM.DIST(BU$2,$D91,$E91,TRUE))</f>
        <v/>
      </c>
      <c r="BV91">
        <f>IF(NOT(ISNUMBER($D91)),"",_xlfn.NORM.DIST(BV$1,$D91,$E91,TRUE)-_xlfn.NORM.DIST(BV$2,$D91,$E91,TRUE))</f>
        <v/>
      </c>
      <c r="BW91">
        <f>IF(NOT(ISNUMBER($D91)),"",_xlfn.NORM.DIST(BW$1,$D91,$E91,TRUE)-_xlfn.NORM.DIST(BW$2,$D91,$E91,TRUE))</f>
        <v/>
      </c>
      <c r="BX91">
        <f>IF(NOT(ISNUMBER($D91)),"",_xlfn.NORM.DIST(BX$1,$D91,$E91,TRUE)-_xlfn.NORM.DIST(BX$2,$D91,$E91,TRUE))</f>
        <v/>
      </c>
      <c r="BY91">
        <f>IF(NOT(ISNUMBER($D91)),"",_xlfn.NORM.DIST(BY$1,$D91,$E91,TRUE)-_xlfn.NORM.DIST(BY$2,$D91,$E91,TRUE))</f>
        <v/>
      </c>
      <c r="BZ91">
        <f>IF(NOT(ISNUMBER($D91)),"",_xlfn.NORM.DIST(BZ$1,$D91,$E91,TRUE)-_xlfn.NORM.DIST(BZ$2,$D91,$E91,TRUE))</f>
        <v/>
      </c>
      <c r="CA91">
        <f>IF(NOT(ISNUMBER($D91)),"",_xlfn.NORM.DIST(CA$1,$D91,$E91,TRUE)-_xlfn.NORM.DIST(CA$2,$D91,$E91,TRUE))</f>
        <v/>
      </c>
      <c r="CB91">
        <f>IF(NOT(ISNUMBER($D91)),"",_xlfn.NORM.DIST(CB$1,$D91,$E91,TRUE)-_xlfn.NORM.DIST(CB$2,$D91,$E91,TRUE))</f>
        <v/>
      </c>
      <c r="CC91">
        <f>IF(NOT(ISNUMBER($D91)),"",_xlfn.NORM.DIST(CC$1,$D91,$E91,TRUE)-_xlfn.NORM.DIST(CC$2,$D91,$E91,TRUE))</f>
        <v/>
      </c>
      <c r="CD91">
        <f>IF(NOT(ISNUMBER($D91)),"",_xlfn.NORM.DIST(CD$1,$D91,$E91,TRUE)-_xlfn.NORM.DIST(CD$2,$D91,$E91,TRUE))</f>
        <v/>
      </c>
      <c r="CE91">
        <f>IF(NOT(ISNUMBER($D91)),"",_xlfn.NORM.DIST(CE$1,$D91,$E91,TRUE)-_xlfn.NORM.DIST(CE$2,$D91,$E91,TRUE))</f>
        <v/>
      </c>
      <c r="CF91">
        <f>IF(NOT(ISNUMBER($D91)),"",_xlfn.NORM.DIST(CF$1,$D91,$E91,TRUE)-_xlfn.NORM.DIST(CF$2,$D91,$E91,TRUE))</f>
        <v/>
      </c>
      <c r="CG91">
        <f>IF(NOT(ISNUMBER($D91)),"",_xlfn.NORM.DIST(CG$1,$D91,$E91,TRUE)-_xlfn.NORM.DIST(CG$2,$D91,$E91,TRUE))</f>
        <v/>
      </c>
      <c r="CH91">
        <f>IF(NOT(ISNUMBER($D91)),"",_xlfn.NORM.DIST(CH$1,$D91,$E91,TRUE)-_xlfn.NORM.DIST(CH$2,$D91,$E91,TRUE))</f>
        <v/>
      </c>
      <c r="CI91">
        <f>IF(NOT(ISNUMBER($D91)),"",_xlfn.NORM.DIST(CI$1,$D91,$E91,TRUE)-_xlfn.NORM.DIST(CI$2,$D91,$E91,TRUE))</f>
        <v/>
      </c>
      <c r="CJ91">
        <f>IF(ISNUMBER($D91),SUM(F91:CI91),"")</f>
        <v/>
      </c>
    </row>
    <row r="92">
      <c r="A92">
        <f>economics!A91</f>
        <v/>
      </c>
      <c r="B92">
        <f>economics!B91</f>
        <v/>
      </c>
      <c r="C92">
        <f>economics!D91</f>
        <v/>
      </c>
      <c r="D92">
        <f>IF(ISNUMBER(economics!T91),economics!T91,"na")</f>
        <v/>
      </c>
      <c r="E92">
        <f>IF(ISNUMBER(D92),MAX(0.3*ABS(D92),0.000001),"na")</f>
        <v/>
      </c>
      <c r="F92">
        <f>IF(NOT(ISNUMBER($D92)),"",_xlfn.NORM.DIST(F$1,$D92,$E92,TRUE)-_xlfn.NORM.DIST(F$2,$D92,$E92,TRUE))</f>
        <v/>
      </c>
      <c r="G92">
        <f>IF(NOT(ISNUMBER($D92)),"",_xlfn.NORM.DIST(G$1,$D92,$E92,TRUE)-_xlfn.NORM.DIST(G$2,$D92,$E92,TRUE))</f>
        <v/>
      </c>
      <c r="H92">
        <f>IF(NOT(ISNUMBER($D92)),"",_xlfn.NORM.DIST(H$1,$D92,$E92,TRUE)-_xlfn.NORM.DIST(H$2,$D92,$E92,TRUE))</f>
        <v/>
      </c>
      <c r="I92">
        <f>IF(NOT(ISNUMBER($D92)),"",_xlfn.NORM.DIST(I$1,$D92,$E92,TRUE)-_xlfn.NORM.DIST(I$2,$D92,$E92,TRUE))</f>
        <v/>
      </c>
      <c r="J92">
        <f>IF(NOT(ISNUMBER($D92)),"",_xlfn.NORM.DIST(J$1,$D92,$E92,TRUE)-_xlfn.NORM.DIST(J$2,$D92,$E92,TRUE))</f>
        <v/>
      </c>
      <c r="K92">
        <f>IF(NOT(ISNUMBER($D92)),"",_xlfn.NORM.DIST(K$1,$D92,$E92,TRUE)-_xlfn.NORM.DIST(K$2,$D92,$E92,TRUE))</f>
        <v/>
      </c>
      <c r="L92">
        <f>IF(NOT(ISNUMBER($D92)),"",_xlfn.NORM.DIST(L$1,$D92,$E92,TRUE)-_xlfn.NORM.DIST(L$2,$D92,$E92,TRUE))</f>
        <v/>
      </c>
      <c r="M92">
        <f>IF(NOT(ISNUMBER($D92)),"",_xlfn.NORM.DIST(M$1,$D92,$E92,TRUE)-_xlfn.NORM.DIST(M$2,$D92,$E92,TRUE))</f>
        <v/>
      </c>
      <c r="N92">
        <f>IF(NOT(ISNUMBER($D92)),"",_xlfn.NORM.DIST(N$1,$D92,$E92,TRUE)-_xlfn.NORM.DIST(N$2,$D92,$E92,TRUE))</f>
        <v/>
      </c>
      <c r="O92">
        <f>IF(NOT(ISNUMBER($D92)),"",_xlfn.NORM.DIST(O$1,$D92,$E92,TRUE)-_xlfn.NORM.DIST(O$2,$D92,$E92,TRUE))</f>
        <v/>
      </c>
      <c r="P92">
        <f>IF(NOT(ISNUMBER($D92)),"",_xlfn.NORM.DIST(P$1,$D92,$E92,TRUE)-_xlfn.NORM.DIST(P$2,$D92,$E92,TRUE))</f>
        <v/>
      </c>
      <c r="Q92">
        <f>IF(NOT(ISNUMBER($D92)),"",_xlfn.NORM.DIST(Q$1,$D92,$E92,TRUE)-_xlfn.NORM.DIST(Q$2,$D92,$E92,TRUE))</f>
        <v/>
      </c>
      <c r="R92">
        <f>IF(NOT(ISNUMBER($D92)),"",_xlfn.NORM.DIST(R$1,$D92,$E92,TRUE)-_xlfn.NORM.DIST(R$2,$D92,$E92,TRUE))</f>
        <v/>
      </c>
      <c r="S92">
        <f>IF(NOT(ISNUMBER($D92)),"",_xlfn.NORM.DIST(S$1,$D92,$E92,TRUE)-_xlfn.NORM.DIST(S$2,$D92,$E92,TRUE))</f>
        <v/>
      </c>
      <c r="T92">
        <f>IF(NOT(ISNUMBER($D92)),"",_xlfn.NORM.DIST(T$1,$D92,$E92,TRUE)-_xlfn.NORM.DIST(T$2,$D92,$E92,TRUE))</f>
        <v/>
      </c>
      <c r="U92">
        <f>IF(NOT(ISNUMBER($D92)),"",_xlfn.NORM.DIST(U$1,$D92,$E92,TRUE)-_xlfn.NORM.DIST(U$2,$D92,$E92,TRUE))</f>
        <v/>
      </c>
      <c r="V92">
        <f>IF(NOT(ISNUMBER($D92)),"",_xlfn.NORM.DIST(V$1,$D92,$E92,TRUE)-_xlfn.NORM.DIST(V$2,$D92,$E92,TRUE))</f>
        <v/>
      </c>
      <c r="W92">
        <f>IF(NOT(ISNUMBER($D92)),"",_xlfn.NORM.DIST(W$1,$D92,$E92,TRUE)-_xlfn.NORM.DIST(W$2,$D92,$E92,TRUE))</f>
        <v/>
      </c>
      <c r="X92">
        <f>IF(NOT(ISNUMBER($D92)),"",_xlfn.NORM.DIST(X$1,$D92,$E92,TRUE)-_xlfn.NORM.DIST(X$2,$D92,$E92,TRUE))</f>
        <v/>
      </c>
      <c r="Y92">
        <f>IF(NOT(ISNUMBER($D92)),"",_xlfn.NORM.DIST(Y$1,$D92,$E92,TRUE)-_xlfn.NORM.DIST(Y$2,$D92,$E92,TRUE))</f>
        <v/>
      </c>
      <c r="Z92">
        <f>IF(NOT(ISNUMBER($D92)),"",_xlfn.NORM.DIST(Z$1,$D92,$E92,TRUE)-_xlfn.NORM.DIST(Z$2,$D92,$E92,TRUE))</f>
        <v/>
      </c>
      <c r="AA92">
        <f>IF(NOT(ISNUMBER($D92)),"",_xlfn.NORM.DIST(AA$1,$D92,$E92,TRUE)-_xlfn.NORM.DIST(AA$2,$D92,$E92,TRUE))</f>
        <v/>
      </c>
      <c r="AB92">
        <f>IF(NOT(ISNUMBER($D92)),"",_xlfn.NORM.DIST(AB$1,$D92,$E92,TRUE)-_xlfn.NORM.DIST(AB$2,$D92,$E92,TRUE))</f>
        <v/>
      </c>
      <c r="AC92">
        <f>IF(NOT(ISNUMBER($D92)),"",_xlfn.NORM.DIST(AC$1,$D92,$E92,TRUE)-_xlfn.NORM.DIST(AC$2,$D92,$E92,TRUE))</f>
        <v/>
      </c>
      <c r="AD92">
        <f>IF(NOT(ISNUMBER($D92)),"",_xlfn.NORM.DIST(AD$1,$D92,$E92,TRUE)-_xlfn.NORM.DIST(AD$2,$D92,$E92,TRUE))</f>
        <v/>
      </c>
      <c r="AE92">
        <f>IF(NOT(ISNUMBER($D92)),"",_xlfn.NORM.DIST(AE$1,$D92,$E92,TRUE)-_xlfn.NORM.DIST(AE$2,$D92,$E92,TRUE))</f>
        <v/>
      </c>
      <c r="AF92">
        <f>IF(NOT(ISNUMBER($D92)),"",_xlfn.NORM.DIST(AF$1,$D92,$E92,TRUE)-_xlfn.NORM.DIST(AF$2,$D92,$E92,TRUE))</f>
        <v/>
      </c>
      <c r="AG92">
        <f>IF(NOT(ISNUMBER($D92)),"",_xlfn.NORM.DIST(AG$1,$D92,$E92,TRUE)-_xlfn.NORM.DIST(AG$2,$D92,$E92,TRUE))</f>
        <v/>
      </c>
      <c r="AH92">
        <f>IF(NOT(ISNUMBER($D92)),"",_xlfn.NORM.DIST(AH$1,$D92,$E92,TRUE)-_xlfn.NORM.DIST(AH$2,$D92,$E92,TRUE))</f>
        <v/>
      </c>
      <c r="AI92">
        <f>IF(NOT(ISNUMBER($D92)),"",_xlfn.NORM.DIST(AI$1,$D92,$E92,TRUE)-_xlfn.NORM.DIST(AI$2,$D92,$E92,TRUE))</f>
        <v/>
      </c>
      <c r="AJ92">
        <f>IF(NOT(ISNUMBER($D92)),"",_xlfn.NORM.DIST(AJ$1,$D92,$E92,TRUE)-_xlfn.NORM.DIST(AJ$2,$D92,$E92,TRUE))</f>
        <v/>
      </c>
      <c r="AK92">
        <f>IF(NOT(ISNUMBER($D92)),"",_xlfn.NORM.DIST(AK$1,$D92,$E92,TRUE)-_xlfn.NORM.DIST(AK$2,$D92,$E92,TRUE))</f>
        <v/>
      </c>
      <c r="AL92">
        <f>IF(NOT(ISNUMBER($D92)),"",_xlfn.NORM.DIST(AL$1,$D92,$E92,TRUE)-_xlfn.NORM.DIST(AL$2,$D92,$E92,TRUE))</f>
        <v/>
      </c>
      <c r="AM92">
        <f>IF(NOT(ISNUMBER($D92)),"",_xlfn.NORM.DIST(AM$1,$D92,$E92,TRUE)-_xlfn.NORM.DIST(AM$2,$D92,$E92,TRUE))</f>
        <v/>
      </c>
      <c r="AN92">
        <f>IF(NOT(ISNUMBER($D92)),"",_xlfn.NORM.DIST(AN$1,$D92,$E92,TRUE)-_xlfn.NORM.DIST(AN$2,$D92,$E92,TRUE))</f>
        <v/>
      </c>
      <c r="AO92">
        <f>IF(NOT(ISNUMBER($D92)),"",_xlfn.NORM.DIST(AO$1,$D92,$E92,TRUE)-_xlfn.NORM.DIST(AO$2,$D92,$E92,TRUE))</f>
        <v/>
      </c>
      <c r="AP92">
        <f>IF(NOT(ISNUMBER($D92)),"",_xlfn.NORM.DIST(AP$1,$D92,$E92,TRUE)-_xlfn.NORM.DIST(AP$2,$D92,$E92,TRUE))</f>
        <v/>
      </c>
      <c r="AQ92">
        <f>IF(NOT(ISNUMBER($D92)),"",_xlfn.NORM.DIST(AQ$1,$D92,$E92,TRUE)-_xlfn.NORM.DIST(AQ$2,$D92,$E92,TRUE))</f>
        <v/>
      </c>
      <c r="AR92">
        <f>IF(NOT(ISNUMBER($D92)),"",_xlfn.NORM.DIST(AR$1,$D92,$E92,TRUE)-_xlfn.NORM.DIST(AR$2,$D92,$E92,TRUE))</f>
        <v/>
      </c>
      <c r="AS92">
        <f>IF(NOT(ISNUMBER($D92)),"",_xlfn.NORM.DIST(AS$1,$D92,$E92,TRUE)-_xlfn.NORM.DIST(AS$2,$D92,$E92,TRUE))</f>
        <v/>
      </c>
      <c r="AT92">
        <f>IF(NOT(ISNUMBER($D92)),"",_xlfn.NORM.DIST(AT$1,$D92,$E92,TRUE)-_xlfn.NORM.DIST(AT$2,$D92,$E92,TRUE))</f>
        <v/>
      </c>
      <c r="AU92">
        <f>IF(NOT(ISNUMBER($D92)),"",_xlfn.NORM.DIST(AU$1,$D92,$E92,TRUE)-_xlfn.NORM.DIST(AU$2,$D92,$E92,TRUE))</f>
        <v/>
      </c>
      <c r="AV92">
        <f>IF(NOT(ISNUMBER($D92)),"",_xlfn.NORM.DIST(AV$1,$D92,$E92,TRUE)-_xlfn.NORM.DIST(AV$2,$D92,$E92,TRUE))</f>
        <v/>
      </c>
      <c r="AW92">
        <f>IF(NOT(ISNUMBER($D92)),"",_xlfn.NORM.DIST(AW$1,$D92,$E92,TRUE)-_xlfn.NORM.DIST(AW$2,$D92,$E92,TRUE))</f>
        <v/>
      </c>
      <c r="AX92">
        <f>IF(NOT(ISNUMBER($D92)),"",_xlfn.NORM.DIST(AX$1,$D92,$E92,TRUE)-_xlfn.NORM.DIST(AX$2,$D92,$E92,TRUE))</f>
        <v/>
      </c>
      <c r="AY92">
        <f>IF(NOT(ISNUMBER($D92)),"",_xlfn.NORM.DIST(AY$1,$D92,$E92,TRUE)-_xlfn.NORM.DIST(AY$2,$D92,$E92,TRUE))</f>
        <v/>
      </c>
      <c r="AZ92">
        <f>IF(NOT(ISNUMBER($D92)),"",_xlfn.NORM.DIST(AZ$1,$D92,$E92,TRUE)-_xlfn.NORM.DIST(AZ$2,$D92,$E92,TRUE))</f>
        <v/>
      </c>
      <c r="BA92">
        <f>IF(NOT(ISNUMBER($D92)),"",_xlfn.NORM.DIST(BA$1,$D92,$E92,TRUE)-_xlfn.NORM.DIST(BA$2,$D92,$E92,TRUE))</f>
        <v/>
      </c>
      <c r="BB92">
        <f>IF(NOT(ISNUMBER($D92)),"",_xlfn.NORM.DIST(BB$1,$D92,$E92,TRUE)-_xlfn.NORM.DIST(BB$2,$D92,$E92,TRUE))</f>
        <v/>
      </c>
      <c r="BC92">
        <f>IF(NOT(ISNUMBER($D92)),"",_xlfn.NORM.DIST(BC$1,$D92,$E92,TRUE)-_xlfn.NORM.DIST(BC$2,$D92,$E92,TRUE))</f>
        <v/>
      </c>
      <c r="BD92">
        <f>IF(NOT(ISNUMBER($D92)),"",_xlfn.NORM.DIST(BD$1,$D92,$E92,TRUE)-_xlfn.NORM.DIST(BD$2,$D92,$E92,TRUE))</f>
        <v/>
      </c>
      <c r="BE92">
        <f>IF(NOT(ISNUMBER($D92)),"",_xlfn.NORM.DIST(BE$1,$D92,$E92,TRUE)-_xlfn.NORM.DIST(BE$2,$D92,$E92,TRUE))</f>
        <v/>
      </c>
      <c r="BF92">
        <f>IF(NOT(ISNUMBER($D92)),"",_xlfn.NORM.DIST(BF$1,$D92,$E92,TRUE)-_xlfn.NORM.DIST(BF$2,$D92,$E92,TRUE))</f>
        <v/>
      </c>
      <c r="BG92">
        <f>IF(NOT(ISNUMBER($D92)),"",_xlfn.NORM.DIST(BG$1,$D92,$E92,TRUE)-_xlfn.NORM.DIST(BG$2,$D92,$E92,TRUE))</f>
        <v/>
      </c>
      <c r="BH92">
        <f>IF(NOT(ISNUMBER($D92)),"",_xlfn.NORM.DIST(BH$1,$D92,$E92,TRUE)-_xlfn.NORM.DIST(BH$2,$D92,$E92,TRUE))</f>
        <v/>
      </c>
      <c r="BI92">
        <f>IF(NOT(ISNUMBER($D92)),"",_xlfn.NORM.DIST(BI$1,$D92,$E92,TRUE)-_xlfn.NORM.DIST(BI$2,$D92,$E92,TRUE))</f>
        <v/>
      </c>
      <c r="BJ92">
        <f>IF(NOT(ISNUMBER($D92)),"",_xlfn.NORM.DIST(BJ$1,$D92,$E92,TRUE)-_xlfn.NORM.DIST(BJ$2,$D92,$E92,TRUE))</f>
        <v/>
      </c>
      <c r="BK92">
        <f>IF(NOT(ISNUMBER($D92)),"",_xlfn.NORM.DIST(BK$1,$D92,$E92,TRUE)-_xlfn.NORM.DIST(BK$2,$D92,$E92,TRUE))</f>
        <v/>
      </c>
      <c r="BL92">
        <f>IF(NOT(ISNUMBER($D92)),"",_xlfn.NORM.DIST(BL$1,$D92,$E92,TRUE)-_xlfn.NORM.DIST(BL$2,$D92,$E92,TRUE))</f>
        <v/>
      </c>
      <c r="BM92">
        <f>IF(NOT(ISNUMBER($D92)),"",_xlfn.NORM.DIST(BM$1,$D92,$E92,TRUE)-_xlfn.NORM.DIST(BM$2,$D92,$E92,TRUE))</f>
        <v/>
      </c>
      <c r="BN92">
        <f>IF(NOT(ISNUMBER($D92)),"",_xlfn.NORM.DIST(BN$1,$D92,$E92,TRUE)-_xlfn.NORM.DIST(BN$2,$D92,$E92,TRUE))</f>
        <v/>
      </c>
      <c r="BO92">
        <f>IF(NOT(ISNUMBER($D92)),"",_xlfn.NORM.DIST(BO$1,$D92,$E92,TRUE)-_xlfn.NORM.DIST(BO$2,$D92,$E92,TRUE))</f>
        <v/>
      </c>
      <c r="BP92">
        <f>IF(NOT(ISNUMBER($D92)),"",_xlfn.NORM.DIST(BP$1,$D92,$E92,TRUE)-_xlfn.NORM.DIST(BP$2,$D92,$E92,TRUE))</f>
        <v/>
      </c>
      <c r="BQ92">
        <f>IF(NOT(ISNUMBER($D92)),"",_xlfn.NORM.DIST(BQ$1,$D92,$E92,TRUE)-_xlfn.NORM.DIST(BQ$2,$D92,$E92,TRUE))</f>
        <v/>
      </c>
      <c r="BR92">
        <f>IF(NOT(ISNUMBER($D92)),"",_xlfn.NORM.DIST(BR$1,$D92,$E92,TRUE)-_xlfn.NORM.DIST(BR$2,$D92,$E92,TRUE))</f>
        <v/>
      </c>
      <c r="BS92">
        <f>IF(NOT(ISNUMBER($D92)),"",_xlfn.NORM.DIST(BS$1,$D92,$E92,TRUE)-_xlfn.NORM.DIST(BS$2,$D92,$E92,TRUE))</f>
        <v/>
      </c>
      <c r="BT92">
        <f>IF(NOT(ISNUMBER($D92)),"",_xlfn.NORM.DIST(BT$1,$D92,$E92,TRUE)-_xlfn.NORM.DIST(BT$2,$D92,$E92,TRUE))</f>
        <v/>
      </c>
      <c r="BU92">
        <f>IF(NOT(ISNUMBER($D92)),"",_xlfn.NORM.DIST(BU$1,$D92,$E92,TRUE)-_xlfn.NORM.DIST(BU$2,$D92,$E92,TRUE))</f>
        <v/>
      </c>
      <c r="BV92">
        <f>IF(NOT(ISNUMBER($D92)),"",_xlfn.NORM.DIST(BV$1,$D92,$E92,TRUE)-_xlfn.NORM.DIST(BV$2,$D92,$E92,TRUE))</f>
        <v/>
      </c>
      <c r="BW92">
        <f>IF(NOT(ISNUMBER($D92)),"",_xlfn.NORM.DIST(BW$1,$D92,$E92,TRUE)-_xlfn.NORM.DIST(BW$2,$D92,$E92,TRUE))</f>
        <v/>
      </c>
      <c r="BX92">
        <f>IF(NOT(ISNUMBER($D92)),"",_xlfn.NORM.DIST(BX$1,$D92,$E92,TRUE)-_xlfn.NORM.DIST(BX$2,$D92,$E92,TRUE))</f>
        <v/>
      </c>
      <c r="BY92">
        <f>IF(NOT(ISNUMBER($D92)),"",_xlfn.NORM.DIST(BY$1,$D92,$E92,TRUE)-_xlfn.NORM.DIST(BY$2,$D92,$E92,TRUE))</f>
        <v/>
      </c>
      <c r="BZ92">
        <f>IF(NOT(ISNUMBER($D92)),"",_xlfn.NORM.DIST(BZ$1,$D92,$E92,TRUE)-_xlfn.NORM.DIST(BZ$2,$D92,$E92,TRUE))</f>
        <v/>
      </c>
      <c r="CA92">
        <f>IF(NOT(ISNUMBER($D92)),"",_xlfn.NORM.DIST(CA$1,$D92,$E92,TRUE)-_xlfn.NORM.DIST(CA$2,$D92,$E92,TRUE))</f>
        <v/>
      </c>
      <c r="CB92">
        <f>IF(NOT(ISNUMBER($D92)),"",_xlfn.NORM.DIST(CB$1,$D92,$E92,TRUE)-_xlfn.NORM.DIST(CB$2,$D92,$E92,TRUE))</f>
        <v/>
      </c>
      <c r="CC92">
        <f>IF(NOT(ISNUMBER($D92)),"",_xlfn.NORM.DIST(CC$1,$D92,$E92,TRUE)-_xlfn.NORM.DIST(CC$2,$D92,$E92,TRUE))</f>
        <v/>
      </c>
      <c r="CD92">
        <f>IF(NOT(ISNUMBER($D92)),"",_xlfn.NORM.DIST(CD$1,$D92,$E92,TRUE)-_xlfn.NORM.DIST(CD$2,$D92,$E92,TRUE))</f>
        <v/>
      </c>
      <c r="CE92">
        <f>IF(NOT(ISNUMBER($D92)),"",_xlfn.NORM.DIST(CE$1,$D92,$E92,TRUE)-_xlfn.NORM.DIST(CE$2,$D92,$E92,TRUE))</f>
        <v/>
      </c>
      <c r="CF92">
        <f>IF(NOT(ISNUMBER($D92)),"",_xlfn.NORM.DIST(CF$1,$D92,$E92,TRUE)-_xlfn.NORM.DIST(CF$2,$D92,$E92,TRUE))</f>
        <v/>
      </c>
      <c r="CG92">
        <f>IF(NOT(ISNUMBER($D92)),"",_xlfn.NORM.DIST(CG$1,$D92,$E92,TRUE)-_xlfn.NORM.DIST(CG$2,$D92,$E92,TRUE))</f>
        <v/>
      </c>
      <c r="CH92">
        <f>IF(NOT(ISNUMBER($D92)),"",_xlfn.NORM.DIST(CH$1,$D92,$E92,TRUE)-_xlfn.NORM.DIST(CH$2,$D92,$E92,TRUE))</f>
        <v/>
      </c>
      <c r="CI92">
        <f>IF(NOT(ISNUMBER($D92)),"",_xlfn.NORM.DIST(CI$1,$D92,$E92,TRUE)-_xlfn.NORM.DIST(CI$2,$D92,$E92,TRUE))</f>
        <v/>
      </c>
      <c r="CJ92">
        <f>IF(ISNUMBER($D92),SUM(F92:CI92),"")</f>
        <v/>
      </c>
    </row>
    <row r="93">
      <c r="A93">
        <f>economics!A92</f>
        <v/>
      </c>
      <c r="B93">
        <f>economics!B92</f>
        <v/>
      </c>
      <c r="C93">
        <f>economics!D92</f>
        <v/>
      </c>
      <c r="D93">
        <f>IF(ISNUMBER(economics!T92),economics!T92,"na")</f>
        <v/>
      </c>
      <c r="E93">
        <f>IF(ISNUMBER(D93),MAX(0.3*ABS(D93),0.000001),"na")</f>
        <v/>
      </c>
      <c r="F93">
        <f>IF(NOT(ISNUMBER($D93)),"",_xlfn.NORM.DIST(F$1,$D93,$E93,TRUE)-_xlfn.NORM.DIST(F$2,$D93,$E93,TRUE))</f>
        <v/>
      </c>
      <c r="G93">
        <f>IF(NOT(ISNUMBER($D93)),"",_xlfn.NORM.DIST(G$1,$D93,$E93,TRUE)-_xlfn.NORM.DIST(G$2,$D93,$E93,TRUE))</f>
        <v/>
      </c>
      <c r="H93">
        <f>IF(NOT(ISNUMBER($D93)),"",_xlfn.NORM.DIST(H$1,$D93,$E93,TRUE)-_xlfn.NORM.DIST(H$2,$D93,$E93,TRUE))</f>
        <v/>
      </c>
      <c r="I93">
        <f>IF(NOT(ISNUMBER($D93)),"",_xlfn.NORM.DIST(I$1,$D93,$E93,TRUE)-_xlfn.NORM.DIST(I$2,$D93,$E93,TRUE))</f>
        <v/>
      </c>
      <c r="J93">
        <f>IF(NOT(ISNUMBER($D93)),"",_xlfn.NORM.DIST(J$1,$D93,$E93,TRUE)-_xlfn.NORM.DIST(J$2,$D93,$E93,TRUE))</f>
        <v/>
      </c>
      <c r="K93">
        <f>IF(NOT(ISNUMBER($D93)),"",_xlfn.NORM.DIST(K$1,$D93,$E93,TRUE)-_xlfn.NORM.DIST(K$2,$D93,$E93,TRUE))</f>
        <v/>
      </c>
      <c r="L93">
        <f>IF(NOT(ISNUMBER($D93)),"",_xlfn.NORM.DIST(L$1,$D93,$E93,TRUE)-_xlfn.NORM.DIST(L$2,$D93,$E93,TRUE))</f>
        <v/>
      </c>
      <c r="M93">
        <f>IF(NOT(ISNUMBER($D93)),"",_xlfn.NORM.DIST(M$1,$D93,$E93,TRUE)-_xlfn.NORM.DIST(M$2,$D93,$E93,TRUE))</f>
        <v/>
      </c>
      <c r="N93">
        <f>IF(NOT(ISNUMBER($D93)),"",_xlfn.NORM.DIST(N$1,$D93,$E93,TRUE)-_xlfn.NORM.DIST(N$2,$D93,$E93,TRUE))</f>
        <v/>
      </c>
      <c r="O93">
        <f>IF(NOT(ISNUMBER($D93)),"",_xlfn.NORM.DIST(O$1,$D93,$E93,TRUE)-_xlfn.NORM.DIST(O$2,$D93,$E93,TRUE))</f>
        <v/>
      </c>
      <c r="P93">
        <f>IF(NOT(ISNUMBER($D93)),"",_xlfn.NORM.DIST(P$1,$D93,$E93,TRUE)-_xlfn.NORM.DIST(P$2,$D93,$E93,TRUE))</f>
        <v/>
      </c>
      <c r="Q93">
        <f>IF(NOT(ISNUMBER($D93)),"",_xlfn.NORM.DIST(Q$1,$D93,$E93,TRUE)-_xlfn.NORM.DIST(Q$2,$D93,$E93,TRUE))</f>
        <v/>
      </c>
      <c r="R93">
        <f>IF(NOT(ISNUMBER($D93)),"",_xlfn.NORM.DIST(R$1,$D93,$E93,TRUE)-_xlfn.NORM.DIST(R$2,$D93,$E93,TRUE))</f>
        <v/>
      </c>
      <c r="S93">
        <f>IF(NOT(ISNUMBER($D93)),"",_xlfn.NORM.DIST(S$1,$D93,$E93,TRUE)-_xlfn.NORM.DIST(S$2,$D93,$E93,TRUE))</f>
        <v/>
      </c>
      <c r="T93">
        <f>IF(NOT(ISNUMBER($D93)),"",_xlfn.NORM.DIST(T$1,$D93,$E93,TRUE)-_xlfn.NORM.DIST(T$2,$D93,$E93,TRUE))</f>
        <v/>
      </c>
      <c r="U93">
        <f>IF(NOT(ISNUMBER($D93)),"",_xlfn.NORM.DIST(U$1,$D93,$E93,TRUE)-_xlfn.NORM.DIST(U$2,$D93,$E93,TRUE))</f>
        <v/>
      </c>
      <c r="V93">
        <f>IF(NOT(ISNUMBER($D93)),"",_xlfn.NORM.DIST(V$1,$D93,$E93,TRUE)-_xlfn.NORM.DIST(V$2,$D93,$E93,TRUE))</f>
        <v/>
      </c>
      <c r="W93">
        <f>IF(NOT(ISNUMBER($D93)),"",_xlfn.NORM.DIST(W$1,$D93,$E93,TRUE)-_xlfn.NORM.DIST(W$2,$D93,$E93,TRUE))</f>
        <v/>
      </c>
      <c r="X93">
        <f>IF(NOT(ISNUMBER($D93)),"",_xlfn.NORM.DIST(X$1,$D93,$E93,TRUE)-_xlfn.NORM.DIST(X$2,$D93,$E93,TRUE))</f>
        <v/>
      </c>
      <c r="Y93">
        <f>IF(NOT(ISNUMBER($D93)),"",_xlfn.NORM.DIST(Y$1,$D93,$E93,TRUE)-_xlfn.NORM.DIST(Y$2,$D93,$E93,TRUE))</f>
        <v/>
      </c>
      <c r="Z93">
        <f>IF(NOT(ISNUMBER($D93)),"",_xlfn.NORM.DIST(Z$1,$D93,$E93,TRUE)-_xlfn.NORM.DIST(Z$2,$D93,$E93,TRUE))</f>
        <v/>
      </c>
      <c r="AA93">
        <f>IF(NOT(ISNUMBER($D93)),"",_xlfn.NORM.DIST(AA$1,$D93,$E93,TRUE)-_xlfn.NORM.DIST(AA$2,$D93,$E93,TRUE))</f>
        <v/>
      </c>
      <c r="AB93">
        <f>IF(NOT(ISNUMBER($D93)),"",_xlfn.NORM.DIST(AB$1,$D93,$E93,TRUE)-_xlfn.NORM.DIST(AB$2,$D93,$E93,TRUE))</f>
        <v/>
      </c>
      <c r="AC93">
        <f>IF(NOT(ISNUMBER($D93)),"",_xlfn.NORM.DIST(AC$1,$D93,$E93,TRUE)-_xlfn.NORM.DIST(AC$2,$D93,$E93,TRUE))</f>
        <v/>
      </c>
      <c r="AD93">
        <f>IF(NOT(ISNUMBER($D93)),"",_xlfn.NORM.DIST(AD$1,$D93,$E93,TRUE)-_xlfn.NORM.DIST(AD$2,$D93,$E93,TRUE))</f>
        <v/>
      </c>
      <c r="AE93">
        <f>IF(NOT(ISNUMBER($D93)),"",_xlfn.NORM.DIST(AE$1,$D93,$E93,TRUE)-_xlfn.NORM.DIST(AE$2,$D93,$E93,TRUE))</f>
        <v/>
      </c>
      <c r="AF93">
        <f>IF(NOT(ISNUMBER($D93)),"",_xlfn.NORM.DIST(AF$1,$D93,$E93,TRUE)-_xlfn.NORM.DIST(AF$2,$D93,$E93,TRUE))</f>
        <v/>
      </c>
      <c r="AG93">
        <f>IF(NOT(ISNUMBER($D93)),"",_xlfn.NORM.DIST(AG$1,$D93,$E93,TRUE)-_xlfn.NORM.DIST(AG$2,$D93,$E93,TRUE))</f>
        <v/>
      </c>
      <c r="AH93">
        <f>IF(NOT(ISNUMBER($D93)),"",_xlfn.NORM.DIST(AH$1,$D93,$E93,TRUE)-_xlfn.NORM.DIST(AH$2,$D93,$E93,TRUE))</f>
        <v/>
      </c>
      <c r="AI93">
        <f>IF(NOT(ISNUMBER($D93)),"",_xlfn.NORM.DIST(AI$1,$D93,$E93,TRUE)-_xlfn.NORM.DIST(AI$2,$D93,$E93,TRUE))</f>
        <v/>
      </c>
      <c r="AJ93">
        <f>IF(NOT(ISNUMBER($D93)),"",_xlfn.NORM.DIST(AJ$1,$D93,$E93,TRUE)-_xlfn.NORM.DIST(AJ$2,$D93,$E93,TRUE))</f>
        <v/>
      </c>
      <c r="AK93">
        <f>IF(NOT(ISNUMBER($D93)),"",_xlfn.NORM.DIST(AK$1,$D93,$E93,TRUE)-_xlfn.NORM.DIST(AK$2,$D93,$E93,TRUE))</f>
        <v/>
      </c>
      <c r="AL93">
        <f>IF(NOT(ISNUMBER($D93)),"",_xlfn.NORM.DIST(AL$1,$D93,$E93,TRUE)-_xlfn.NORM.DIST(AL$2,$D93,$E93,TRUE))</f>
        <v/>
      </c>
      <c r="AM93">
        <f>IF(NOT(ISNUMBER($D93)),"",_xlfn.NORM.DIST(AM$1,$D93,$E93,TRUE)-_xlfn.NORM.DIST(AM$2,$D93,$E93,TRUE))</f>
        <v/>
      </c>
      <c r="AN93">
        <f>IF(NOT(ISNUMBER($D93)),"",_xlfn.NORM.DIST(AN$1,$D93,$E93,TRUE)-_xlfn.NORM.DIST(AN$2,$D93,$E93,TRUE))</f>
        <v/>
      </c>
      <c r="AO93">
        <f>IF(NOT(ISNUMBER($D93)),"",_xlfn.NORM.DIST(AO$1,$D93,$E93,TRUE)-_xlfn.NORM.DIST(AO$2,$D93,$E93,TRUE))</f>
        <v/>
      </c>
      <c r="AP93">
        <f>IF(NOT(ISNUMBER($D93)),"",_xlfn.NORM.DIST(AP$1,$D93,$E93,TRUE)-_xlfn.NORM.DIST(AP$2,$D93,$E93,TRUE))</f>
        <v/>
      </c>
      <c r="AQ93">
        <f>IF(NOT(ISNUMBER($D93)),"",_xlfn.NORM.DIST(AQ$1,$D93,$E93,TRUE)-_xlfn.NORM.DIST(AQ$2,$D93,$E93,TRUE))</f>
        <v/>
      </c>
      <c r="AR93">
        <f>IF(NOT(ISNUMBER($D93)),"",_xlfn.NORM.DIST(AR$1,$D93,$E93,TRUE)-_xlfn.NORM.DIST(AR$2,$D93,$E93,TRUE))</f>
        <v/>
      </c>
      <c r="AS93">
        <f>IF(NOT(ISNUMBER($D93)),"",_xlfn.NORM.DIST(AS$1,$D93,$E93,TRUE)-_xlfn.NORM.DIST(AS$2,$D93,$E93,TRUE))</f>
        <v/>
      </c>
      <c r="AT93">
        <f>IF(NOT(ISNUMBER($D93)),"",_xlfn.NORM.DIST(AT$1,$D93,$E93,TRUE)-_xlfn.NORM.DIST(AT$2,$D93,$E93,TRUE))</f>
        <v/>
      </c>
      <c r="AU93">
        <f>IF(NOT(ISNUMBER($D93)),"",_xlfn.NORM.DIST(AU$1,$D93,$E93,TRUE)-_xlfn.NORM.DIST(AU$2,$D93,$E93,TRUE))</f>
        <v/>
      </c>
      <c r="AV93">
        <f>IF(NOT(ISNUMBER($D93)),"",_xlfn.NORM.DIST(AV$1,$D93,$E93,TRUE)-_xlfn.NORM.DIST(AV$2,$D93,$E93,TRUE))</f>
        <v/>
      </c>
      <c r="AW93">
        <f>IF(NOT(ISNUMBER($D93)),"",_xlfn.NORM.DIST(AW$1,$D93,$E93,TRUE)-_xlfn.NORM.DIST(AW$2,$D93,$E93,TRUE))</f>
        <v/>
      </c>
      <c r="AX93">
        <f>IF(NOT(ISNUMBER($D93)),"",_xlfn.NORM.DIST(AX$1,$D93,$E93,TRUE)-_xlfn.NORM.DIST(AX$2,$D93,$E93,TRUE))</f>
        <v/>
      </c>
      <c r="AY93">
        <f>IF(NOT(ISNUMBER($D93)),"",_xlfn.NORM.DIST(AY$1,$D93,$E93,TRUE)-_xlfn.NORM.DIST(AY$2,$D93,$E93,TRUE))</f>
        <v/>
      </c>
      <c r="AZ93">
        <f>IF(NOT(ISNUMBER($D93)),"",_xlfn.NORM.DIST(AZ$1,$D93,$E93,TRUE)-_xlfn.NORM.DIST(AZ$2,$D93,$E93,TRUE))</f>
        <v/>
      </c>
      <c r="BA93">
        <f>IF(NOT(ISNUMBER($D93)),"",_xlfn.NORM.DIST(BA$1,$D93,$E93,TRUE)-_xlfn.NORM.DIST(BA$2,$D93,$E93,TRUE))</f>
        <v/>
      </c>
      <c r="BB93">
        <f>IF(NOT(ISNUMBER($D93)),"",_xlfn.NORM.DIST(BB$1,$D93,$E93,TRUE)-_xlfn.NORM.DIST(BB$2,$D93,$E93,TRUE))</f>
        <v/>
      </c>
      <c r="BC93">
        <f>IF(NOT(ISNUMBER($D93)),"",_xlfn.NORM.DIST(BC$1,$D93,$E93,TRUE)-_xlfn.NORM.DIST(BC$2,$D93,$E93,TRUE))</f>
        <v/>
      </c>
      <c r="BD93">
        <f>IF(NOT(ISNUMBER($D93)),"",_xlfn.NORM.DIST(BD$1,$D93,$E93,TRUE)-_xlfn.NORM.DIST(BD$2,$D93,$E93,TRUE))</f>
        <v/>
      </c>
      <c r="BE93">
        <f>IF(NOT(ISNUMBER($D93)),"",_xlfn.NORM.DIST(BE$1,$D93,$E93,TRUE)-_xlfn.NORM.DIST(BE$2,$D93,$E93,TRUE))</f>
        <v/>
      </c>
      <c r="BF93">
        <f>IF(NOT(ISNUMBER($D93)),"",_xlfn.NORM.DIST(BF$1,$D93,$E93,TRUE)-_xlfn.NORM.DIST(BF$2,$D93,$E93,TRUE))</f>
        <v/>
      </c>
      <c r="BG93">
        <f>IF(NOT(ISNUMBER($D93)),"",_xlfn.NORM.DIST(BG$1,$D93,$E93,TRUE)-_xlfn.NORM.DIST(BG$2,$D93,$E93,TRUE))</f>
        <v/>
      </c>
      <c r="BH93">
        <f>IF(NOT(ISNUMBER($D93)),"",_xlfn.NORM.DIST(BH$1,$D93,$E93,TRUE)-_xlfn.NORM.DIST(BH$2,$D93,$E93,TRUE))</f>
        <v/>
      </c>
      <c r="BI93">
        <f>IF(NOT(ISNUMBER($D93)),"",_xlfn.NORM.DIST(BI$1,$D93,$E93,TRUE)-_xlfn.NORM.DIST(BI$2,$D93,$E93,TRUE))</f>
        <v/>
      </c>
      <c r="BJ93">
        <f>IF(NOT(ISNUMBER($D93)),"",_xlfn.NORM.DIST(BJ$1,$D93,$E93,TRUE)-_xlfn.NORM.DIST(BJ$2,$D93,$E93,TRUE))</f>
        <v/>
      </c>
      <c r="BK93">
        <f>IF(NOT(ISNUMBER($D93)),"",_xlfn.NORM.DIST(BK$1,$D93,$E93,TRUE)-_xlfn.NORM.DIST(BK$2,$D93,$E93,TRUE))</f>
        <v/>
      </c>
      <c r="BL93">
        <f>IF(NOT(ISNUMBER($D93)),"",_xlfn.NORM.DIST(BL$1,$D93,$E93,TRUE)-_xlfn.NORM.DIST(BL$2,$D93,$E93,TRUE))</f>
        <v/>
      </c>
      <c r="BM93">
        <f>IF(NOT(ISNUMBER($D93)),"",_xlfn.NORM.DIST(BM$1,$D93,$E93,TRUE)-_xlfn.NORM.DIST(BM$2,$D93,$E93,TRUE))</f>
        <v/>
      </c>
      <c r="BN93">
        <f>IF(NOT(ISNUMBER($D93)),"",_xlfn.NORM.DIST(BN$1,$D93,$E93,TRUE)-_xlfn.NORM.DIST(BN$2,$D93,$E93,TRUE))</f>
        <v/>
      </c>
      <c r="BO93">
        <f>IF(NOT(ISNUMBER($D93)),"",_xlfn.NORM.DIST(BO$1,$D93,$E93,TRUE)-_xlfn.NORM.DIST(BO$2,$D93,$E93,TRUE))</f>
        <v/>
      </c>
      <c r="BP93">
        <f>IF(NOT(ISNUMBER($D93)),"",_xlfn.NORM.DIST(BP$1,$D93,$E93,TRUE)-_xlfn.NORM.DIST(BP$2,$D93,$E93,TRUE))</f>
        <v/>
      </c>
      <c r="BQ93">
        <f>IF(NOT(ISNUMBER($D93)),"",_xlfn.NORM.DIST(BQ$1,$D93,$E93,TRUE)-_xlfn.NORM.DIST(BQ$2,$D93,$E93,TRUE))</f>
        <v/>
      </c>
      <c r="BR93">
        <f>IF(NOT(ISNUMBER($D93)),"",_xlfn.NORM.DIST(BR$1,$D93,$E93,TRUE)-_xlfn.NORM.DIST(BR$2,$D93,$E93,TRUE))</f>
        <v/>
      </c>
      <c r="BS93">
        <f>IF(NOT(ISNUMBER($D93)),"",_xlfn.NORM.DIST(BS$1,$D93,$E93,TRUE)-_xlfn.NORM.DIST(BS$2,$D93,$E93,TRUE))</f>
        <v/>
      </c>
      <c r="BT93">
        <f>IF(NOT(ISNUMBER($D93)),"",_xlfn.NORM.DIST(BT$1,$D93,$E93,TRUE)-_xlfn.NORM.DIST(BT$2,$D93,$E93,TRUE))</f>
        <v/>
      </c>
      <c r="BU93">
        <f>IF(NOT(ISNUMBER($D93)),"",_xlfn.NORM.DIST(BU$1,$D93,$E93,TRUE)-_xlfn.NORM.DIST(BU$2,$D93,$E93,TRUE))</f>
        <v/>
      </c>
      <c r="BV93">
        <f>IF(NOT(ISNUMBER($D93)),"",_xlfn.NORM.DIST(BV$1,$D93,$E93,TRUE)-_xlfn.NORM.DIST(BV$2,$D93,$E93,TRUE))</f>
        <v/>
      </c>
      <c r="BW93">
        <f>IF(NOT(ISNUMBER($D93)),"",_xlfn.NORM.DIST(BW$1,$D93,$E93,TRUE)-_xlfn.NORM.DIST(BW$2,$D93,$E93,TRUE))</f>
        <v/>
      </c>
      <c r="BX93">
        <f>IF(NOT(ISNUMBER($D93)),"",_xlfn.NORM.DIST(BX$1,$D93,$E93,TRUE)-_xlfn.NORM.DIST(BX$2,$D93,$E93,TRUE))</f>
        <v/>
      </c>
      <c r="BY93">
        <f>IF(NOT(ISNUMBER($D93)),"",_xlfn.NORM.DIST(BY$1,$D93,$E93,TRUE)-_xlfn.NORM.DIST(BY$2,$D93,$E93,TRUE))</f>
        <v/>
      </c>
      <c r="BZ93">
        <f>IF(NOT(ISNUMBER($D93)),"",_xlfn.NORM.DIST(BZ$1,$D93,$E93,TRUE)-_xlfn.NORM.DIST(BZ$2,$D93,$E93,TRUE))</f>
        <v/>
      </c>
      <c r="CA93">
        <f>IF(NOT(ISNUMBER($D93)),"",_xlfn.NORM.DIST(CA$1,$D93,$E93,TRUE)-_xlfn.NORM.DIST(CA$2,$D93,$E93,TRUE))</f>
        <v/>
      </c>
      <c r="CB93">
        <f>IF(NOT(ISNUMBER($D93)),"",_xlfn.NORM.DIST(CB$1,$D93,$E93,TRUE)-_xlfn.NORM.DIST(CB$2,$D93,$E93,TRUE))</f>
        <v/>
      </c>
      <c r="CC93">
        <f>IF(NOT(ISNUMBER($D93)),"",_xlfn.NORM.DIST(CC$1,$D93,$E93,TRUE)-_xlfn.NORM.DIST(CC$2,$D93,$E93,TRUE))</f>
        <v/>
      </c>
      <c r="CD93">
        <f>IF(NOT(ISNUMBER($D93)),"",_xlfn.NORM.DIST(CD$1,$D93,$E93,TRUE)-_xlfn.NORM.DIST(CD$2,$D93,$E93,TRUE))</f>
        <v/>
      </c>
      <c r="CE93">
        <f>IF(NOT(ISNUMBER($D93)),"",_xlfn.NORM.DIST(CE$1,$D93,$E93,TRUE)-_xlfn.NORM.DIST(CE$2,$D93,$E93,TRUE))</f>
        <v/>
      </c>
      <c r="CF93">
        <f>IF(NOT(ISNUMBER($D93)),"",_xlfn.NORM.DIST(CF$1,$D93,$E93,TRUE)-_xlfn.NORM.DIST(CF$2,$D93,$E93,TRUE))</f>
        <v/>
      </c>
      <c r="CG93">
        <f>IF(NOT(ISNUMBER($D93)),"",_xlfn.NORM.DIST(CG$1,$D93,$E93,TRUE)-_xlfn.NORM.DIST(CG$2,$D93,$E93,TRUE))</f>
        <v/>
      </c>
      <c r="CH93">
        <f>IF(NOT(ISNUMBER($D93)),"",_xlfn.NORM.DIST(CH$1,$D93,$E93,TRUE)-_xlfn.NORM.DIST(CH$2,$D93,$E93,TRUE))</f>
        <v/>
      </c>
      <c r="CI93">
        <f>IF(NOT(ISNUMBER($D93)),"",_xlfn.NORM.DIST(CI$1,$D93,$E93,TRUE)-_xlfn.NORM.DIST(CI$2,$D93,$E93,TRUE))</f>
        <v/>
      </c>
      <c r="CJ93">
        <f>IF(ISNUMBER($D93),SUM(F93:CI93),"")</f>
        <v/>
      </c>
    </row>
    <row r="94">
      <c r="A94">
        <f>economics!A93</f>
        <v/>
      </c>
      <c r="B94">
        <f>economics!B93</f>
        <v/>
      </c>
      <c r="C94">
        <f>economics!D93</f>
        <v/>
      </c>
      <c r="D94">
        <f>IF(ISNUMBER(economics!T93),economics!T93,"na")</f>
        <v/>
      </c>
      <c r="E94">
        <f>IF(ISNUMBER(D94),MAX(0.3*ABS(D94),0.000001),"na")</f>
        <v/>
      </c>
      <c r="F94">
        <f>IF(NOT(ISNUMBER($D94)),"",_xlfn.NORM.DIST(F$1,$D94,$E94,TRUE)-_xlfn.NORM.DIST(F$2,$D94,$E94,TRUE))</f>
        <v/>
      </c>
      <c r="G94">
        <f>IF(NOT(ISNUMBER($D94)),"",_xlfn.NORM.DIST(G$1,$D94,$E94,TRUE)-_xlfn.NORM.DIST(G$2,$D94,$E94,TRUE))</f>
        <v/>
      </c>
      <c r="H94">
        <f>IF(NOT(ISNUMBER($D94)),"",_xlfn.NORM.DIST(H$1,$D94,$E94,TRUE)-_xlfn.NORM.DIST(H$2,$D94,$E94,TRUE))</f>
        <v/>
      </c>
      <c r="I94">
        <f>IF(NOT(ISNUMBER($D94)),"",_xlfn.NORM.DIST(I$1,$D94,$E94,TRUE)-_xlfn.NORM.DIST(I$2,$D94,$E94,TRUE))</f>
        <v/>
      </c>
      <c r="J94">
        <f>IF(NOT(ISNUMBER($D94)),"",_xlfn.NORM.DIST(J$1,$D94,$E94,TRUE)-_xlfn.NORM.DIST(J$2,$D94,$E94,TRUE))</f>
        <v/>
      </c>
      <c r="K94">
        <f>IF(NOT(ISNUMBER($D94)),"",_xlfn.NORM.DIST(K$1,$D94,$E94,TRUE)-_xlfn.NORM.DIST(K$2,$D94,$E94,TRUE))</f>
        <v/>
      </c>
      <c r="L94">
        <f>IF(NOT(ISNUMBER($D94)),"",_xlfn.NORM.DIST(L$1,$D94,$E94,TRUE)-_xlfn.NORM.DIST(L$2,$D94,$E94,TRUE))</f>
        <v/>
      </c>
      <c r="M94">
        <f>IF(NOT(ISNUMBER($D94)),"",_xlfn.NORM.DIST(M$1,$D94,$E94,TRUE)-_xlfn.NORM.DIST(M$2,$D94,$E94,TRUE))</f>
        <v/>
      </c>
      <c r="N94">
        <f>IF(NOT(ISNUMBER($D94)),"",_xlfn.NORM.DIST(N$1,$D94,$E94,TRUE)-_xlfn.NORM.DIST(N$2,$D94,$E94,TRUE))</f>
        <v/>
      </c>
      <c r="O94">
        <f>IF(NOT(ISNUMBER($D94)),"",_xlfn.NORM.DIST(O$1,$D94,$E94,TRUE)-_xlfn.NORM.DIST(O$2,$D94,$E94,TRUE))</f>
        <v/>
      </c>
      <c r="P94">
        <f>IF(NOT(ISNUMBER($D94)),"",_xlfn.NORM.DIST(P$1,$D94,$E94,TRUE)-_xlfn.NORM.DIST(P$2,$D94,$E94,TRUE))</f>
        <v/>
      </c>
      <c r="Q94">
        <f>IF(NOT(ISNUMBER($D94)),"",_xlfn.NORM.DIST(Q$1,$D94,$E94,TRUE)-_xlfn.NORM.DIST(Q$2,$D94,$E94,TRUE))</f>
        <v/>
      </c>
      <c r="R94">
        <f>IF(NOT(ISNUMBER($D94)),"",_xlfn.NORM.DIST(R$1,$D94,$E94,TRUE)-_xlfn.NORM.DIST(R$2,$D94,$E94,TRUE))</f>
        <v/>
      </c>
      <c r="S94">
        <f>IF(NOT(ISNUMBER($D94)),"",_xlfn.NORM.DIST(S$1,$D94,$E94,TRUE)-_xlfn.NORM.DIST(S$2,$D94,$E94,TRUE))</f>
        <v/>
      </c>
      <c r="T94">
        <f>IF(NOT(ISNUMBER($D94)),"",_xlfn.NORM.DIST(T$1,$D94,$E94,TRUE)-_xlfn.NORM.DIST(T$2,$D94,$E94,TRUE))</f>
        <v/>
      </c>
      <c r="U94">
        <f>IF(NOT(ISNUMBER($D94)),"",_xlfn.NORM.DIST(U$1,$D94,$E94,TRUE)-_xlfn.NORM.DIST(U$2,$D94,$E94,TRUE))</f>
        <v/>
      </c>
      <c r="V94">
        <f>IF(NOT(ISNUMBER($D94)),"",_xlfn.NORM.DIST(V$1,$D94,$E94,TRUE)-_xlfn.NORM.DIST(V$2,$D94,$E94,TRUE))</f>
        <v/>
      </c>
      <c r="W94">
        <f>IF(NOT(ISNUMBER($D94)),"",_xlfn.NORM.DIST(W$1,$D94,$E94,TRUE)-_xlfn.NORM.DIST(W$2,$D94,$E94,TRUE))</f>
        <v/>
      </c>
      <c r="X94">
        <f>IF(NOT(ISNUMBER($D94)),"",_xlfn.NORM.DIST(X$1,$D94,$E94,TRUE)-_xlfn.NORM.DIST(X$2,$D94,$E94,TRUE))</f>
        <v/>
      </c>
      <c r="Y94">
        <f>IF(NOT(ISNUMBER($D94)),"",_xlfn.NORM.DIST(Y$1,$D94,$E94,TRUE)-_xlfn.NORM.DIST(Y$2,$D94,$E94,TRUE))</f>
        <v/>
      </c>
      <c r="Z94">
        <f>IF(NOT(ISNUMBER($D94)),"",_xlfn.NORM.DIST(Z$1,$D94,$E94,TRUE)-_xlfn.NORM.DIST(Z$2,$D94,$E94,TRUE))</f>
        <v/>
      </c>
      <c r="AA94">
        <f>IF(NOT(ISNUMBER($D94)),"",_xlfn.NORM.DIST(AA$1,$D94,$E94,TRUE)-_xlfn.NORM.DIST(AA$2,$D94,$E94,TRUE))</f>
        <v/>
      </c>
      <c r="AB94">
        <f>IF(NOT(ISNUMBER($D94)),"",_xlfn.NORM.DIST(AB$1,$D94,$E94,TRUE)-_xlfn.NORM.DIST(AB$2,$D94,$E94,TRUE))</f>
        <v/>
      </c>
      <c r="AC94">
        <f>IF(NOT(ISNUMBER($D94)),"",_xlfn.NORM.DIST(AC$1,$D94,$E94,TRUE)-_xlfn.NORM.DIST(AC$2,$D94,$E94,TRUE))</f>
        <v/>
      </c>
      <c r="AD94">
        <f>IF(NOT(ISNUMBER($D94)),"",_xlfn.NORM.DIST(AD$1,$D94,$E94,TRUE)-_xlfn.NORM.DIST(AD$2,$D94,$E94,TRUE))</f>
        <v/>
      </c>
      <c r="AE94">
        <f>IF(NOT(ISNUMBER($D94)),"",_xlfn.NORM.DIST(AE$1,$D94,$E94,TRUE)-_xlfn.NORM.DIST(AE$2,$D94,$E94,TRUE))</f>
        <v/>
      </c>
      <c r="AF94">
        <f>IF(NOT(ISNUMBER($D94)),"",_xlfn.NORM.DIST(AF$1,$D94,$E94,TRUE)-_xlfn.NORM.DIST(AF$2,$D94,$E94,TRUE))</f>
        <v/>
      </c>
      <c r="AG94">
        <f>IF(NOT(ISNUMBER($D94)),"",_xlfn.NORM.DIST(AG$1,$D94,$E94,TRUE)-_xlfn.NORM.DIST(AG$2,$D94,$E94,TRUE))</f>
        <v/>
      </c>
      <c r="AH94">
        <f>IF(NOT(ISNUMBER($D94)),"",_xlfn.NORM.DIST(AH$1,$D94,$E94,TRUE)-_xlfn.NORM.DIST(AH$2,$D94,$E94,TRUE))</f>
        <v/>
      </c>
      <c r="AI94">
        <f>IF(NOT(ISNUMBER($D94)),"",_xlfn.NORM.DIST(AI$1,$D94,$E94,TRUE)-_xlfn.NORM.DIST(AI$2,$D94,$E94,TRUE))</f>
        <v/>
      </c>
      <c r="AJ94">
        <f>IF(NOT(ISNUMBER($D94)),"",_xlfn.NORM.DIST(AJ$1,$D94,$E94,TRUE)-_xlfn.NORM.DIST(AJ$2,$D94,$E94,TRUE))</f>
        <v/>
      </c>
      <c r="AK94">
        <f>IF(NOT(ISNUMBER($D94)),"",_xlfn.NORM.DIST(AK$1,$D94,$E94,TRUE)-_xlfn.NORM.DIST(AK$2,$D94,$E94,TRUE))</f>
        <v/>
      </c>
      <c r="AL94">
        <f>IF(NOT(ISNUMBER($D94)),"",_xlfn.NORM.DIST(AL$1,$D94,$E94,TRUE)-_xlfn.NORM.DIST(AL$2,$D94,$E94,TRUE))</f>
        <v/>
      </c>
      <c r="AM94">
        <f>IF(NOT(ISNUMBER($D94)),"",_xlfn.NORM.DIST(AM$1,$D94,$E94,TRUE)-_xlfn.NORM.DIST(AM$2,$D94,$E94,TRUE))</f>
        <v/>
      </c>
      <c r="AN94">
        <f>IF(NOT(ISNUMBER($D94)),"",_xlfn.NORM.DIST(AN$1,$D94,$E94,TRUE)-_xlfn.NORM.DIST(AN$2,$D94,$E94,TRUE))</f>
        <v/>
      </c>
      <c r="AO94">
        <f>IF(NOT(ISNUMBER($D94)),"",_xlfn.NORM.DIST(AO$1,$D94,$E94,TRUE)-_xlfn.NORM.DIST(AO$2,$D94,$E94,TRUE))</f>
        <v/>
      </c>
      <c r="AP94">
        <f>IF(NOT(ISNUMBER($D94)),"",_xlfn.NORM.DIST(AP$1,$D94,$E94,TRUE)-_xlfn.NORM.DIST(AP$2,$D94,$E94,TRUE))</f>
        <v/>
      </c>
      <c r="AQ94">
        <f>IF(NOT(ISNUMBER($D94)),"",_xlfn.NORM.DIST(AQ$1,$D94,$E94,TRUE)-_xlfn.NORM.DIST(AQ$2,$D94,$E94,TRUE))</f>
        <v/>
      </c>
      <c r="AR94">
        <f>IF(NOT(ISNUMBER($D94)),"",_xlfn.NORM.DIST(AR$1,$D94,$E94,TRUE)-_xlfn.NORM.DIST(AR$2,$D94,$E94,TRUE))</f>
        <v/>
      </c>
      <c r="AS94">
        <f>IF(NOT(ISNUMBER($D94)),"",_xlfn.NORM.DIST(AS$1,$D94,$E94,TRUE)-_xlfn.NORM.DIST(AS$2,$D94,$E94,TRUE))</f>
        <v/>
      </c>
      <c r="AT94">
        <f>IF(NOT(ISNUMBER($D94)),"",_xlfn.NORM.DIST(AT$1,$D94,$E94,TRUE)-_xlfn.NORM.DIST(AT$2,$D94,$E94,TRUE))</f>
        <v/>
      </c>
      <c r="AU94">
        <f>IF(NOT(ISNUMBER($D94)),"",_xlfn.NORM.DIST(AU$1,$D94,$E94,TRUE)-_xlfn.NORM.DIST(AU$2,$D94,$E94,TRUE))</f>
        <v/>
      </c>
      <c r="AV94">
        <f>IF(NOT(ISNUMBER($D94)),"",_xlfn.NORM.DIST(AV$1,$D94,$E94,TRUE)-_xlfn.NORM.DIST(AV$2,$D94,$E94,TRUE))</f>
        <v/>
      </c>
      <c r="AW94">
        <f>IF(NOT(ISNUMBER($D94)),"",_xlfn.NORM.DIST(AW$1,$D94,$E94,TRUE)-_xlfn.NORM.DIST(AW$2,$D94,$E94,TRUE))</f>
        <v/>
      </c>
      <c r="AX94">
        <f>IF(NOT(ISNUMBER($D94)),"",_xlfn.NORM.DIST(AX$1,$D94,$E94,TRUE)-_xlfn.NORM.DIST(AX$2,$D94,$E94,TRUE))</f>
        <v/>
      </c>
      <c r="AY94">
        <f>IF(NOT(ISNUMBER($D94)),"",_xlfn.NORM.DIST(AY$1,$D94,$E94,TRUE)-_xlfn.NORM.DIST(AY$2,$D94,$E94,TRUE))</f>
        <v/>
      </c>
      <c r="AZ94">
        <f>IF(NOT(ISNUMBER($D94)),"",_xlfn.NORM.DIST(AZ$1,$D94,$E94,TRUE)-_xlfn.NORM.DIST(AZ$2,$D94,$E94,TRUE))</f>
        <v/>
      </c>
      <c r="BA94">
        <f>IF(NOT(ISNUMBER($D94)),"",_xlfn.NORM.DIST(BA$1,$D94,$E94,TRUE)-_xlfn.NORM.DIST(BA$2,$D94,$E94,TRUE))</f>
        <v/>
      </c>
      <c r="BB94">
        <f>IF(NOT(ISNUMBER($D94)),"",_xlfn.NORM.DIST(BB$1,$D94,$E94,TRUE)-_xlfn.NORM.DIST(BB$2,$D94,$E94,TRUE))</f>
        <v/>
      </c>
      <c r="BC94">
        <f>IF(NOT(ISNUMBER($D94)),"",_xlfn.NORM.DIST(BC$1,$D94,$E94,TRUE)-_xlfn.NORM.DIST(BC$2,$D94,$E94,TRUE))</f>
        <v/>
      </c>
      <c r="BD94">
        <f>IF(NOT(ISNUMBER($D94)),"",_xlfn.NORM.DIST(BD$1,$D94,$E94,TRUE)-_xlfn.NORM.DIST(BD$2,$D94,$E94,TRUE))</f>
        <v/>
      </c>
      <c r="BE94">
        <f>IF(NOT(ISNUMBER($D94)),"",_xlfn.NORM.DIST(BE$1,$D94,$E94,TRUE)-_xlfn.NORM.DIST(BE$2,$D94,$E94,TRUE))</f>
        <v/>
      </c>
      <c r="BF94">
        <f>IF(NOT(ISNUMBER($D94)),"",_xlfn.NORM.DIST(BF$1,$D94,$E94,TRUE)-_xlfn.NORM.DIST(BF$2,$D94,$E94,TRUE))</f>
        <v/>
      </c>
      <c r="BG94">
        <f>IF(NOT(ISNUMBER($D94)),"",_xlfn.NORM.DIST(BG$1,$D94,$E94,TRUE)-_xlfn.NORM.DIST(BG$2,$D94,$E94,TRUE))</f>
        <v/>
      </c>
      <c r="BH94">
        <f>IF(NOT(ISNUMBER($D94)),"",_xlfn.NORM.DIST(BH$1,$D94,$E94,TRUE)-_xlfn.NORM.DIST(BH$2,$D94,$E94,TRUE))</f>
        <v/>
      </c>
      <c r="BI94">
        <f>IF(NOT(ISNUMBER($D94)),"",_xlfn.NORM.DIST(BI$1,$D94,$E94,TRUE)-_xlfn.NORM.DIST(BI$2,$D94,$E94,TRUE))</f>
        <v/>
      </c>
      <c r="BJ94">
        <f>IF(NOT(ISNUMBER($D94)),"",_xlfn.NORM.DIST(BJ$1,$D94,$E94,TRUE)-_xlfn.NORM.DIST(BJ$2,$D94,$E94,TRUE))</f>
        <v/>
      </c>
      <c r="BK94">
        <f>IF(NOT(ISNUMBER($D94)),"",_xlfn.NORM.DIST(BK$1,$D94,$E94,TRUE)-_xlfn.NORM.DIST(BK$2,$D94,$E94,TRUE))</f>
        <v/>
      </c>
      <c r="BL94">
        <f>IF(NOT(ISNUMBER($D94)),"",_xlfn.NORM.DIST(BL$1,$D94,$E94,TRUE)-_xlfn.NORM.DIST(BL$2,$D94,$E94,TRUE))</f>
        <v/>
      </c>
      <c r="BM94">
        <f>IF(NOT(ISNUMBER($D94)),"",_xlfn.NORM.DIST(BM$1,$D94,$E94,TRUE)-_xlfn.NORM.DIST(BM$2,$D94,$E94,TRUE))</f>
        <v/>
      </c>
      <c r="BN94">
        <f>IF(NOT(ISNUMBER($D94)),"",_xlfn.NORM.DIST(BN$1,$D94,$E94,TRUE)-_xlfn.NORM.DIST(BN$2,$D94,$E94,TRUE))</f>
        <v/>
      </c>
      <c r="BO94">
        <f>IF(NOT(ISNUMBER($D94)),"",_xlfn.NORM.DIST(BO$1,$D94,$E94,TRUE)-_xlfn.NORM.DIST(BO$2,$D94,$E94,TRUE))</f>
        <v/>
      </c>
      <c r="BP94">
        <f>IF(NOT(ISNUMBER($D94)),"",_xlfn.NORM.DIST(BP$1,$D94,$E94,TRUE)-_xlfn.NORM.DIST(BP$2,$D94,$E94,TRUE))</f>
        <v/>
      </c>
      <c r="BQ94">
        <f>IF(NOT(ISNUMBER($D94)),"",_xlfn.NORM.DIST(BQ$1,$D94,$E94,TRUE)-_xlfn.NORM.DIST(BQ$2,$D94,$E94,TRUE))</f>
        <v/>
      </c>
      <c r="BR94">
        <f>IF(NOT(ISNUMBER($D94)),"",_xlfn.NORM.DIST(BR$1,$D94,$E94,TRUE)-_xlfn.NORM.DIST(BR$2,$D94,$E94,TRUE))</f>
        <v/>
      </c>
      <c r="BS94">
        <f>IF(NOT(ISNUMBER($D94)),"",_xlfn.NORM.DIST(BS$1,$D94,$E94,TRUE)-_xlfn.NORM.DIST(BS$2,$D94,$E94,TRUE))</f>
        <v/>
      </c>
      <c r="BT94">
        <f>IF(NOT(ISNUMBER($D94)),"",_xlfn.NORM.DIST(BT$1,$D94,$E94,TRUE)-_xlfn.NORM.DIST(BT$2,$D94,$E94,TRUE))</f>
        <v/>
      </c>
      <c r="BU94">
        <f>IF(NOT(ISNUMBER($D94)),"",_xlfn.NORM.DIST(BU$1,$D94,$E94,TRUE)-_xlfn.NORM.DIST(BU$2,$D94,$E94,TRUE))</f>
        <v/>
      </c>
      <c r="BV94">
        <f>IF(NOT(ISNUMBER($D94)),"",_xlfn.NORM.DIST(BV$1,$D94,$E94,TRUE)-_xlfn.NORM.DIST(BV$2,$D94,$E94,TRUE))</f>
        <v/>
      </c>
      <c r="BW94">
        <f>IF(NOT(ISNUMBER($D94)),"",_xlfn.NORM.DIST(BW$1,$D94,$E94,TRUE)-_xlfn.NORM.DIST(BW$2,$D94,$E94,TRUE))</f>
        <v/>
      </c>
      <c r="BX94">
        <f>IF(NOT(ISNUMBER($D94)),"",_xlfn.NORM.DIST(BX$1,$D94,$E94,TRUE)-_xlfn.NORM.DIST(BX$2,$D94,$E94,TRUE))</f>
        <v/>
      </c>
      <c r="BY94">
        <f>IF(NOT(ISNUMBER($D94)),"",_xlfn.NORM.DIST(BY$1,$D94,$E94,TRUE)-_xlfn.NORM.DIST(BY$2,$D94,$E94,TRUE))</f>
        <v/>
      </c>
      <c r="BZ94">
        <f>IF(NOT(ISNUMBER($D94)),"",_xlfn.NORM.DIST(BZ$1,$D94,$E94,TRUE)-_xlfn.NORM.DIST(BZ$2,$D94,$E94,TRUE))</f>
        <v/>
      </c>
      <c r="CA94">
        <f>IF(NOT(ISNUMBER($D94)),"",_xlfn.NORM.DIST(CA$1,$D94,$E94,TRUE)-_xlfn.NORM.DIST(CA$2,$D94,$E94,TRUE))</f>
        <v/>
      </c>
      <c r="CB94">
        <f>IF(NOT(ISNUMBER($D94)),"",_xlfn.NORM.DIST(CB$1,$D94,$E94,TRUE)-_xlfn.NORM.DIST(CB$2,$D94,$E94,TRUE))</f>
        <v/>
      </c>
      <c r="CC94">
        <f>IF(NOT(ISNUMBER($D94)),"",_xlfn.NORM.DIST(CC$1,$D94,$E94,TRUE)-_xlfn.NORM.DIST(CC$2,$D94,$E94,TRUE))</f>
        <v/>
      </c>
      <c r="CD94">
        <f>IF(NOT(ISNUMBER($D94)),"",_xlfn.NORM.DIST(CD$1,$D94,$E94,TRUE)-_xlfn.NORM.DIST(CD$2,$D94,$E94,TRUE))</f>
        <v/>
      </c>
      <c r="CE94">
        <f>IF(NOT(ISNUMBER($D94)),"",_xlfn.NORM.DIST(CE$1,$D94,$E94,TRUE)-_xlfn.NORM.DIST(CE$2,$D94,$E94,TRUE))</f>
        <v/>
      </c>
      <c r="CF94">
        <f>IF(NOT(ISNUMBER($D94)),"",_xlfn.NORM.DIST(CF$1,$D94,$E94,TRUE)-_xlfn.NORM.DIST(CF$2,$D94,$E94,TRUE))</f>
        <v/>
      </c>
      <c r="CG94">
        <f>IF(NOT(ISNUMBER($D94)),"",_xlfn.NORM.DIST(CG$1,$D94,$E94,TRUE)-_xlfn.NORM.DIST(CG$2,$D94,$E94,TRUE))</f>
        <v/>
      </c>
      <c r="CH94">
        <f>IF(NOT(ISNUMBER($D94)),"",_xlfn.NORM.DIST(CH$1,$D94,$E94,TRUE)-_xlfn.NORM.DIST(CH$2,$D94,$E94,TRUE))</f>
        <v/>
      </c>
      <c r="CI94">
        <f>IF(NOT(ISNUMBER($D94)),"",_xlfn.NORM.DIST(CI$1,$D94,$E94,TRUE)-_xlfn.NORM.DIST(CI$2,$D94,$E94,TRUE))</f>
        <v/>
      </c>
      <c r="CJ94">
        <f>IF(ISNUMBER($D94),SUM(F94:CI94),"")</f>
        <v/>
      </c>
    </row>
    <row r="95">
      <c r="A95">
        <f>economics!A94</f>
        <v/>
      </c>
      <c r="B95">
        <f>economics!B94</f>
        <v/>
      </c>
      <c r="C95">
        <f>economics!D94</f>
        <v/>
      </c>
      <c r="D95">
        <f>IF(ISNUMBER(economics!T94),economics!T94,"na")</f>
        <v/>
      </c>
      <c r="E95">
        <f>IF(ISNUMBER(D95),MAX(0.3*ABS(D95),0.000001),"na")</f>
        <v/>
      </c>
      <c r="F95">
        <f>IF(NOT(ISNUMBER($D95)),"",_xlfn.NORM.DIST(F$1,$D95,$E95,TRUE)-_xlfn.NORM.DIST(F$2,$D95,$E95,TRUE))</f>
        <v/>
      </c>
      <c r="G95">
        <f>IF(NOT(ISNUMBER($D95)),"",_xlfn.NORM.DIST(G$1,$D95,$E95,TRUE)-_xlfn.NORM.DIST(G$2,$D95,$E95,TRUE))</f>
        <v/>
      </c>
      <c r="H95">
        <f>IF(NOT(ISNUMBER($D95)),"",_xlfn.NORM.DIST(H$1,$D95,$E95,TRUE)-_xlfn.NORM.DIST(H$2,$D95,$E95,TRUE))</f>
        <v/>
      </c>
      <c r="I95">
        <f>IF(NOT(ISNUMBER($D95)),"",_xlfn.NORM.DIST(I$1,$D95,$E95,TRUE)-_xlfn.NORM.DIST(I$2,$D95,$E95,TRUE))</f>
        <v/>
      </c>
      <c r="J95">
        <f>IF(NOT(ISNUMBER($D95)),"",_xlfn.NORM.DIST(J$1,$D95,$E95,TRUE)-_xlfn.NORM.DIST(J$2,$D95,$E95,TRUE))</f>
        <v/>
      </c>
      <c r="K95">
        <f>IF(NOT(ISNUMBER($D95)),"",_xlfn.NORM.DIST(K$1,$D95,$E95,TRUE)-_xlfn.NORM.DIST(K$2,$D95,$E95,TRUE))</f>
        <v/>
      </c>
      <c r="L95">
        <f>IF(NOT(ISNUMBER($D95)),"",_xlfn.NORM.DIST(L$1,$D95,$E95,TRUE)-_xlfn.NORM.DIST(L$2,$D95,$E95,TRUE))</f>
        <v/>
      </c>
      <c r="M95">
        <f>IF(NOT(ISNUMBER($D95)),"",_xlfn.NORM.DIST(M$1,$D95,$E95,TRUE)-_xlfn.NORM.DIST(M$2,$D95,$E95,TRUE))</f>
        <v/>
      </c>
      <c r="N95">
        <f>IF(NOT(ISNUMBER($D95)),"",_xlfn.NORM.DIST(N$1,$D95,$E95,TRUE)-_xlfn.NORM.DIST(N$2,$D95,$E95,TRUE))</f>
        <v/>
      </c>
      <c r="O95">
        <f>IF(NOT(ISNUMBER($D95)),"",_xlfn.NORM.DIST(O$1,$D95,$E95,TRUE)-_xlfn.NORM.DIST(O$2,$D95,$E95,TRUE))</f>
        <v/>
      </c>
      <c r="P95">
        <f>IF(NOT(ISNUMBER($D95)),"",_xlfn.NORM.DIST(P$1,$D95,$E95,TRUE)-_xlfn.NORM.DIST(P$2,$D95,$E95,TRUE))</f>
        <v/>
      </c>
      <c r="Q95">
        <f>IF(NOT(ISNUMBER($D95)),"",_xlfn.NORM.DIST(Q$1,$D95,$E95,TRUE)-_xlfn.NORM.DIST(Q$2,$D95,$E95,TRUE))</f>
        <v/>
      </c>
      <c r="R95">
        <f>IF(NOT(ISNUMBER($D95)),"",_xlfn.NORM.DIST(R$1,$D95,$E95,TRUE)-_xlfn.NORM.DIST(R$2,$D95,$E95,TRUE))</f>
        <v/>
      </c>
      <c r="S95">
        <f>IF(NOT(ISNUMBER($D95)),"",_xlfn.NORM.DIST(S$1,$D95,$E95,TRUE)-_xlfn.NORM.DIST(S$2,$D95,$E95,TRUE))</f>
        <v/>
      </c>
      <c r="T95">
        <f>IF(NOT(ISNUMBER($D95)),"",_xlfn.NORM.DIST(T$1,$D95,$E95,TRUE)-_xlfn.NORM.DIST(T$2,$D95,$E95,TRUE))</f>
        <v/>
      </c>
      <c r="U95">
        <f>IF(NOT(ISNUMBER($D95)),"",_xlfn.NORM.DIST(U$1,$D95,$E95,TRUE)-_xlfn.NORM.DIST(U$2,$D95,$E95,TRUE))</f>
        <v/>
      </c>
      <c r="V95">
        <f>IF(NOT(ISNUMBER($D95)),"",_xlfn.NORM.DIST(V$1,$D95,$E95,TRUE)-_xlfn.NORM.DIST(V$2,$D95,$E95,TRUE))</f>
        <v/>
      </c>
      <c r="W95">
        <f>IF(NOT(ISNUMBER($D95)),"",_xlfn.NORM.DIST(W$1,$D95,$E95,TRUE)-_xlfn.NORM.DIST(W$2,$D95,$E95,TRUE))</f>
        <v/>
      </c>
      <c r="X95">
        <f>IF(NOT(ISNUMBER($D95)),"",_xlfn.NORM.DIST(X$1,$D95,$E95,TRUE)-_xlfn.NORM.DIST(X$2,$D95,$E95,TRUE))</f>
        <v/>
      </c>
      <c r="Y95">
        <f>IF(NOT(ISNUMBER($D95)),"",_xlfn.NORM.DIST(Y$1,$D95,$E95,TRUE)-_xlfn.NORM.DIST(Y$2,$D95,$E95,TRUE))</f>
        <v/>
      </c>
      <c r="Z95">
        <f>IF(NOT(ISNUMBER($D95)),"",_xlfn.NORM.DIST(Z$1,$D95,$E95,TRUE)-_xlfn.NORM.DIST(Z$2,$D95,$E95,TRUE))</f>
        <v/>
      </c>
      <c r="AA95">
        <f>IF(NOT(ISNUMBER($D95)),"",_xlfn.NORM.DIST(AA$1,$D95,$E95,TRUE)-_xlfn.NORM.DIST(AA$2,$D95,$E95,TRUE))</f>
        <v/>
      </c>
      <c r="AB95">
        <f>IF(NOT(ISNUMBER($D95)),"",_xlfn.NORM.DIST(AB$1,$D95,$E95,TRUE)-_xlfn.NORM.DIST(AB$2,$D95,$E95,TRUE))</f>
        <v/>
      </c>
      <c r="AC95">
        <f>IF(NOT(ISNUMBER($D95)),"",_xlfn.NORM.DIST(AC$1,$D95,$E95,TRUE)-_xlfn.NORM.DIST(AC$2,$D95,$E95,TRUE))</f>
        <v/>
      </c>
      <c r="AD95">
        <f>IF(NOT(ISNUMBER($D95)),"",_xlfn.NORM.DIST(AD$1,$D95,$E95,TRUE)-_xlfn.NORM.DIST(AD$2,$D95,$E95,TRUE))</f>
        <v/>
      </c>
      <c r="AE95">
        <f>IF(NOT(ISNUMBER($D95)),"",_xlfn.NORM.DIST(AE$1,$D95,$E95,TRUE)-_xlfn.NORM.DIST(AE$2,$D95,$E95,TRUE))</f>
        <v/>
      </c>
      <c r="AF95">
        <f>IF(NOT(ISNUMBER($D95)),"",_xlfn.NORM.DIST(AF$1,$D95,$E95,TRUE)-_xlfn.NORM.DIST(AF$2,$D95,$E95,TRUE))</f>
        <v/>
      </c>
      <c r="AG95">
        <f>IF(NOT(ISNUMBER($D95)),"",_xlfn.NORM.DIST(AG$1,$D95,$E95,TRUE)-_xlfn.NORM.DIST(AG$2,$D95,$E95,TRUE))</f>
        <v/>
      </c>
      <c r="AH95">
        <f>IF(NOT(ISNUMBER($D95)),"",_xlfn.NORM.DIST(AH$1,$D95,$E95,TRUE)-_xlfn.NORM.DIST(AH$2,$D95,$E95,TRUE))</f>
        <v/>
      </c>
      <c r="AI95">
        <f>IF(NOT(ISNUMBER($D95)),"",_xlfn.NORM.DIST(AI$1,$D95,$E95,TRUE)-_xlfn.NORM.DIST(AI$2,$D95,$E95,TRUE))</f>
        <v/>
      </c>
      <c r="AJ95">
        <f>IF(NOT(ISNUMBER($D95)),"",_xlfn.NORM.DIST(AJ$1,$D95,$E95,TRUE)-_xlfn.NORM.DIST(AJ$2,$D95,$E95,TRUE))</f>
        <v/>
      </c>
      <c r="AK95">
        <f>IF(NOT(ISNUMBER($D95)),"",_xlfn.NORM.DIST(AK$1,$D95,$E95,TRUE)-_xlfn.NORM.DIST(AK$2,$D95,$E95,TRUE))</f>
        <v/>
      </c>
      <c r="AL95">
        <f>IF(NOT(ISNUMBER($D95)),"",_xlfn.NORM.DIST(AL$1,$D95,$E95,TRUE)-_xlfn.NORM.DIST(AL$2,$D95,$E95,TRUE))</f>
        <v/>
      </c>
      <c r="AM95">
        <f>IF(NOT(ISNUMBER($D95)),"",_xlfn.NORM.DIST(AM$1,$D95,$E95,TRUE)-_xlfn.NORM.DIST(AM$2,$D95,$E95,TRUE))</f>
        <v/>
      </c>
      <c r="AN95">
        <f>IF(NOT(ISNUMBER($D95)),"",_xlfn.NORM.DIST(AN$1,$D95,$E95,TRUE)-_xlfn.NORM.DIST(AN$2,$D95,$E95,TRUE))</f>
        <v/>
      </c>
      <c r="AO95">
        <f>IF(NOT(ISNUMBER($D95)),"",_xlfn.NORM.DIST(AO$1,$D95,$E95,TRUE)-_xlfn.NORM.DIST(AO$2,$D95,$E95,TRUE))</f>
        <v/>
      </c>
      <c r="AP95">
        <f>IF(NOT(ISNUMBER($D95)),"",_xlfn.NORM.DIST(AP$1,$D95,$E95,TRUE)-_xlfn.NORM.DIST(AP$2,$D95,$E95,TRUE))</f>
        <v/>
      </c>
      <c r="AQ95">
        <f>IF(NOT(ISNUMBER($D95)),"",_xlfn.NORM.DIST(AQ$1,$D95,$E95,TRUE)-_xlfn.NORM.DIST(AQ$2,$D95,$E95,TRUE))</f>
        <v/>
      </c>
      <c r="AR95">
        <f>IF(NOT(ISNUMBER($D95)),"",_xlfn.NORM.DIST(AR$1,$D95,$E95,TRUE)-_xlfn.NORM.DIST(AR$2,$D95,$E95,TRUE))</f>
        <v/>
      </c>
      <c r="AS95">
        <f>IF(NOT(ISNUMBER($D95)),"",_xlfn.NORM.DIST(AS$1,$D95,$E95,TRUE)-_xlfn.NORM.DIST(AS$2,$D95,$E95,TRUE))</f>
        <v/>
      </c>
      <c r="AT95">
        <f>IF(NOT(ISNUMBER($D95)),"",_xlfn.NORM.DIST(AT$1,$D95,$E95,TRUE)-_xlfn.NORM.DIST(AT$2,$D95,$E95,TRUE))</f>
        <v/>
      </c>
      <c r="AU95">
        <f>IF(NOT(ISNUMBER($D95)),"",_xlfn.NORM.DIST(AU$1,$D95,$E95,TRUE)-_xlfn.NORM.DIST(AU$2,$D95,$E95,TRUE))</f>
        <v/>
      </c>
      <c r="AV95">
        <f>IF(NOT(ISNUMBER($D95)),"",_xlfn.NORM.DIST(AV$1,$D95,$E95,TRUE)-_xlfn.NORM.DIST(AV$2,$D95,$E95,TRUE))</f>
        <v/>
      </c>
      <c r="AW95">
        <f>IF(NOT(ISNUMBER($D95)),"",_xlfn.NORM.DIST(AW$1,$D95,$E95,TRUE)-_xlfn.NORM.DIST(AW$2,$D95,$E95,TRUE))</f>
        <v/>
      </c>
      <c r="AX95">
        <f>IF(NOT(ISNUMBER($D95)),"",_xlfn.NORM.DIST(AX$1,$D95,$E95,TRUE)-_xlfn.NORM.DIST(AX$2,$D95,$E95,TRUE))</f>
        <v/>
      </c>
      <c r="AY95">
        <f>IF(NOT(ISNUMBER($D95)),"",_xlfn.NORM.DIST(AY$1,$D95,$E95,TRUE)-_xlfn.NORM.DIST(AY$2,$D95,$E95,TRUE))</f>
        <v/>
      </c>
      <c r="AZ95">
        <f>IF(NOT(ISNUMBER($D95)),"",_xlfn.NORM.DIST(AZ$1,$D95,$E95,TRUE)-_xlfn.NORM.DIST(AZ$2,$D95,$E95,TRUE))</f>
        <v/>
      </c>
      <c r="BA95">
        <f>IF(NOT(ISNUMBER($D95)),"",_xlfn.NORM.DIST(BA$1,$D95,$E95,TRUE)-_xlfn.NORM.DIST(BA$2,$D95,$E95,TRUE))</f>
        <v/>
      </c>
      <c r="BB95">
        <f>IF(NOT(ISNUMBER($D95)),"",_xlfn.NORM.DIST(BB$1,$D95,$E95,TRUE)-_xlfn.NORM.DIST(BB$2,$D95,$E95,TRUE))</f>
        <v/>
      </c>
      <c r="BC95">
        <f>IF(NOT(ISNUMBER($D95)),"",_xlfn.NORM.DIST(BC$1,$D95,$E95,TRUE)-_xlfn.NORM.DIST(BC$2,$D95,$E95,TRUE))</f>
        <v/>
      </c>
      <c r="BD95">
        <f>IF(NOT(ISNUMBER($D95)),"",_xlfn.NORM.DIST(BD$1,$D95,$E95,TRUE)-_xlfn.NORM.DIST(BD$2,$D95,$E95,TRUE))</f>
        <v/>
      </c>
      <c r="BE95">
        <f>IF(NOT(ISNUMBER($D95)),"",_xlfn.NORM.DIST(BE$1,$D95,$E95,TRUE)-_xlfn.NORM.DIST(BE$2,$D95,$E95,TRUE))</f>
        <v/>
      </c>
      <c r="BF95">
        <f>IF(NOT(ISNUMBER($D95)),"",_xlfn.NORM.DIST(BF$1,$D95,$E95,TRUE)-_xlfn.NORM.DIST(BF$2,$D95,$E95,TRUE))</f>
        <v/>
      </c>
      <c r="BG95">
        <f>IF(NOT(ISNUMBER($D95)),"",_xlfn.NORM.DIST(BG$1,$D95,$E95,TRUE)-_xlfn.NORM.DIST(BG$2,$D95,$E95,TRUE))</f>
        <v/>
      </c>
      <c r="BH95">
        <f>IF(NOT(ISNUMBER($D95)),"",_xlfn.NORM.DIST(BH$1,$D95,$E95,TRUE)-_xlfn.NORM.DIST(BH$2,$D95,$E95,TRUE))</f>
        <v/>
      </c>
      <c r="BI95">
        <f>IF(NOT(ISNUMBER($D95)),"",_xlfn.NORM.DIST(BI$1,$D95,$E95,TRUE)-_xlfn.NORM.DIST(BI$2,$D95,$E95,TRUE))</f>
        <v/>
      </c>
      <c r="BJ95">
        <f>IF(NOT(ISNUMBER($D95)),"",_xlfn.NORM.DIST(BJ$1,$D95,$E95,TRUE)-_xlfn.NORM.DIST(BJ$2,$D95,$E95,TRUE))</f>
        <v/>
      </c>
      <c r="BK95">
        <f>IF(NOT(ISNUMBER($D95)),"",_xlfn.NORM.DIST(BK$1,$D95,$E95,TRUE)-_xlfn.NORM.DIST(BK$2,$D95,$E95,TRUE))</f>
        <v/>
      </c>
      <c r="BL95">
        <f>IF(NOT(ISNUMBER($D95)),"",_xlfn.NORM.DIST(BL$1,$D95,$E95,TRUE)-_xlfn.NORM.DIST(BL$2,$D95,$E95,TRUE))</f>
        <v/>
      </c>
      <c r="BM95">
        <f>IF(NOT(ISNUMBER($D95)),"",_xlfn.NORM.DIST(BM$1,$D95,$E95,TRUE)-_xlfn.NORM.DIST(BM$2,$D95,$E95,TRUE))</f>
        <v/>
      </c>
      <c r="BN95">
        <f>IF(NOT(ISNUMBER($D95)),"",_xlfn.NORM.DIST(BN$1,$D95,$E95,TRUE)-_xlfn.NORM.DIST(BN$2,$D95,$E95,TRUE))</f>
        <v/>
      </c>
      <c r="BO95">
        <f>IF(NOT(ISNUMBER($D95)),"",_xlfn.NORM.DIST(BO$1,$D95,$E95,TRUE)-_xlfn.NORM.DIST(BO$2,$D95,$E95,TRUE))</f>
        <v/>
      </c>
      <c r="BP95">
        <f>IF(NOT(ISNUMBER($D95)),"",_xlfn.NORM.DIST(BP$1,$D95,$E95,TRUE)-_xlfn.NORM.DIST(BP$2,$D95,$E95,TRUE))</f>
        <v/>
      </c>
      <c r="BQ95">
        <f>IF(NOT(ISNUMBER($D95)),"",_xlfn.NORM.DIST(BQ$1,$D95,$E95,TRUE)-_xlfn.NORM.DIST(BQ$2,$D95,$E95,TRUE))</f>
        <v/>
      </c>
      <c r="BR95">
        <f>IF(NOT(ISNUMBER($D95)),"",_xlfn.NORM.DIST(BR$1,$D95,$E95,TRUE)-_xlfn.NORM.DIST(BR$2,$D95,$E95,TRUE))</f>
        <v/>
      </c>
      <c r="BS95">
        <f>IF(NOT(ISNUMBER($D95)),"",_xlfn.NORM.DIST(BS$1,$D95,$E95,TRUE)-_xlfn.NORM.DIST(BS$2,$D95,$E95,TRUE))</f>
        <v/>
      </c>
      <c r="BT95">
        <f>IF(NOT(ISNUMBER($D95)),"",_xlfn.NORM.DIST(BT$1,$D95,$E95,TRUE)-_xlfn.NORM.DIST(BT$2,$D95,$E95,TRUE))</f>
        <v/>
      </c>
      <c r="BU95">
        <f>IF(NOT(ISNUMBER($D95)),"",_xlfn.NORM.DIST(BU$1,$D95,$E95,TRUE)-_xlfn.NORM.DIST(BU$2,$D95,$E95,TRUE))</f>
        <v/>
      </c>
      <c r="BV95">
        <f>IF(NOT(ISNUMBER($D95)),"",_xlfn.NORM.DIST(BV$1,$D95,$E95,TRUE)-_xlfn.NORM.DIST(BV$2,$D95,$E95,TRUE))</f>
        <v/>
      </c>
      <c r="BW95">
        <f>IF(NOT(ISNUMBER($D95)),"",_xlfn.NORM.DIST(BW$1,$D95,$E95,TRUE)-_xlfn.NORM.DIST(BW$2,$D95,$E95,TRUE))</f>
        <v/>
      </c>
      <c r="BX95">
        <f>IF(NOT(ISNUMBER($D95)),"",_xlfn.NORM.DIST(BX$1,$D95,$E95,TRUE)-_xlfn.NORM.DIST(BX$2,$D95,$E95,TRUE))</f>
        <v/>
      </c>
      <c r="BY95">
        <f>IF(NOT(ISNUMBER($D95)),"",_xlfn.NORM.DIST(BY$1,$D95,$E95,TRUE)-_xlfn.NORM.DIST(BY$2,$D95,$E95,TRUE))</f>
        <v/>
      </c>
      <c r="BZ95">
        <f>IF(NOT(ISNUMBER($D95)),"",_xlfn.NORM.DIST(BZ$1,$D95,$E95,TRUE)-_xlfn.NORM.DIST(BZ$2,$D95,$E95,TRUE))</f>
        <v/>
      </c>
      <c r="CA95">
        <f>IF(NOT(ISNUMBER($D95)),"",_xlfn.NORM.DIST(CA$1,$D95,$E95,TRUE)-_xlfn.NORM.DIST(CA$2,$D95,$E95,TRUE))</f>
        <v/>
      </c>
      <c r="CB95">
        <f>IF(NOT(ISNUMBER($D95)),"",_xlfn.NORM.DIST(CB$1,$D95,$E95,TRUE)-_xlfn.NORM.DIST(CB$2,$D95,$E95,TRUE))</f>
        <v/>
      </c>
      <c r="CC95">
        <f>IF(NOT(ISNUMBER($D95)),"",_xlfn.NORM.DIST(CC$1,$D95,$E95,TRUE)-_xlfn.NORM.DIST(CC$2,$D95,$E95,TRUE))</f>
        <v/>
      </c>
      <c r="CD95">
        <f>IF(NOT(ISNUMBER($D95)),"",_xlfn.NORM.DIST(CD$1,$D95,$E95,TRUE)-_xlfn.NORM.DIST(CD$2,$D95,$E95,TRUE))</f>
        <v/>
      </c>
      <c r="CE95">
        <f>IF(NOT(ISNUMBER($D95)),"",_xlfn.NORM.DIST(CE$1,$D95,$E95,TRUE)-_xlfn.NORM.DIST(CE$2,$D95,$E95,TRUE))</f>
        <v/>
      </c>
      <c r="CF95">
        <f>IF(NOT(ISNUMBER($D95)),"",_xlfn.NORM.DIST(CF$1,$D95,$E95,TRUE)-_xlfn.NORM.DIST(CF$2,$D95,$E95,TRUE))</f>
        <v/>
      </c>
      <c r="CG95">
        <f>IF(NOT(ISNUMBER($D95)),"",_xlfn.NORM.DIST(CG$1,$D95,$E95,TRUE)-_xlfn.NORM.DIST(CG$2,$D95,$E95,TRUE))</f>
        <v/>
      </c>
      <c r="CH95">
        <f>IF(NOT(ISNUMBER($D95)),"",_xlfn.NORM.DIST(CH$1,$D95,$E95,TRUE)-_xlfn.NORM.DIST(CH$2,$D95,$E95,TRUE))</f>
        <v/>
      </c>
      <c r="CI95">
        <f>IF(NOT(ISNUMBER($D95)),"",_xlfn.NORM.DIST(CI$1,$D95,$E95,TRUE)-_xlfn.NORM.DIST(CI$2,$D95,$E95,TRUE))</f>
        <v/>
      </c>
      <c r="CJ95">
        <f>IF(ISNUMBER($D95),SUM(F95:CI95),"")</f>
        <v/>
      </c>
    </row>
    <row r="96">
      <c r="A96">
        <f>economics!A95</f>
        <v/>
      </c>
      <c r="B96">
        <f>economics!B95</f>
        <v/>
      </c>
      <c r="C96">
        <f>economics!D95</f>
        <v/>
      </c>
      <c r="D96">
        <f>IF(ISNUMBER(economics!T95),economics!T95,"na")</f>
        <v/>
      </c>
      <c r="E96">
        <f>IF(ISNUMBER(D96),MAX(0.3*ABS(D96),0.000001),"na")</f>
        <v/>
      </c>
      <c r="F96">
        <f>IF(NOT(ISNUMBER($D96)),"",_xlfn.NORM.DIST(F$1,$D96,$E96,TRUE)-_xlfn.NORM.DIST(F$2,$D96,$E96,TRUE))</f>
        <v/>
      </c>
      <c r="G96">
        <f>IF(NOT(ISNUMBER($D96)),"",_xlfn.NORM.DIST(G$1,$D96,$E96,TRUE)-_xlfn.NORM.DIST(G$2,$D96,$E96,TRUE))</f>
        <v/>
      </c>
      <c r="H96">
        <f>IF(NOT(ISNUMBER($D96)),"",_xlfn.NORM.DIST(H$1,$D96,$E96,TRUE)-_xlfn.NORM.DIST(H$2,$D96,$E96,TRUE))</f>
        <v/>
      </c>
      <c r="I96">
        <f>IF(NOT(ISNUMBER($D96)),"",_xlfn.NORM.DIST(I$1,$D96,$E96,TRUE)-_xlfn.NORM.DIST(I$2,$D96,$E96,TRUE))</f>
        <v/>
      </c>
      <c r="J96">
        <f>IF(NOT(ISNUMBER($D96)),"",_xlfn.NORM.DIST(J$1,$D96,$E96,TRUE)-_xlfn.NORM.DIST(J$2,$D96,$E96,TRUE))</f>
        <v/>
      </c>
      <c r="K96">
        <f>IF(NOT(ISNUMBER($D96)),"",_xlfn.NORM.DIST(K$1,$D96,$E96,TRUE)-_xlfn.NORM.DIST(K$2,$D96,$E96,TRUE))</f>
        <v/>
      </c>
      <c r="L96">
        <f>IF(NOT(ISNUMBER($D96)),"",_xlfn.NORM.DIST(L$1,$D96,$E96,TRUE)-_xlfn.NORM.DIST(L$2,$D96,$E96,TRUE))</f>
        <v/>
      </c>
      <c r="M96">
        <f>IF(NOT(ISNUMBER($D96)),"",_xlfn.NORM.DIST(M$1,$D96,$E96,TRUE)-_xlfn.NORM.DIST(M$2,$D96,$E96,TRUE))</f>
        <v/>
      </c>
      <c r="N96">
        <f>IF(NOT(ISNUMBER($D96)),"",_xlfn.NORM.DIST(N$1,$D96,$E96,TRUE)-_xlfn.NORM.DIST(N$2,$D96,$E96,TRUE))</f>
        <v/>
      </c>
      <c r="O96">
        <f>IF(NOT(ISNUMBER($D96)),"",_xlfn.NORM.DIST(O$1,$D96,$E96,TRUE)-_xlfn.NORM.DIST(O$2,$D96,$E96,TRUE))</f>
        <v/>
      </c>
      <c r="P96">
        <f>IF(NOT(ISNUMBER($D96)),"",_xlfn.NORM.DIST(P$1,$D96,$E96,TRUE)-_xlfn.NORM.DIST(P$2,$D96,$E96,TRUE))</f>
        <v/>
      </c>
      <c r="Q96">
        <f>IF(NOT(ISNUMBER($D96)),"",_xlfn.NORM.DIST(Q$1,$D96,$E96,TRUE)-_xlfn.NORM.DIST(Q$2,$D96,$E96,TRUE))</f>
        <v/>
      </c>
      <c r="R96">
        <f>IF(NOT(ISNUMBER($D96)),"",_xlfn.NORM.DIST(R$1,$D96,$E96,TRUE)-_xlfn.NORM.DIST(R$2,$D96,$E96,TRUE))</f>
        <v/>
      </c>
      <c r="S96">
        <f>IF(NOT(ISNUMBER($D96)),"",_xlfn.NORM.DIST(S$1,$D96,$E96,TRUE)-_xlfn.NORM.DIST(S$2,$D96,$E96,TRUE))</f>
        <v/>
      </c>
      <c r="T96">
        <f>IF(NOT(ISNUMBER($D96)),"",_xlfn.NORM.DIST(T$1,$D96,$E96,TRUE)-_xlfn.NORM.DIST(T$2,$D96,$E96,TRUE))</f>
        <v/>
      </c>
      <c r="U96">
        <f>IF(NOT(ISNUMBER($D96)),"",_xlfn.NORM.DIST(U$1,$D96,$E96,TRUE)-_xlfn.NORM.DIST(U$2,$D96,$E96,TRUE))</f>
        <v/>
      </c>
      <c r="V96">
        <f>IF(NOT(ISNUMBER($D96)),"",_xlfn.NORM.DIST(V$1,$D96,$E96,TRUE)-_xlfn.NORM.DIST(V$2,$D96,$E96,TRUE))</f>
        <v/>
      </c>
      <c r="W96">
        <f>IF(NOT(ISNUMBER($D96)),"",_xlfn.NORM.DIST(W$1,$D96,$E96,TRUE)-_xlfn.NORM.DIST(W$2,$D96,$E96,TRUE))</f>
        <v/>
      </c>
      <c r="X96">
        <f>IF(NOT(ISNUMBER($D96)),"",_xlfn.NORM.DIST(X$1,$D96,$E96,TRUE)-_xlfn.NORM.DIST(X$2,$D96,$E96,TRUE))</f>
        <v/>
      </c>
      <c r="Y96">
        <f>IF(NOT(ISNUMBER($D96)),"",_xlfn.NORM.DIST(Y$1,$D96,$E96,TRUE)-_xlfn.NORM.DIST(Y$2,$D96,$E96,TRUE))</f>
        <v/>
      </c>
      <c r="Z96">
        <f>IF(NOT(ISNUMBER($D96)),"",_xlfn.NORM.DIST(Z$1,$D96,$E96,TRUE)-_xlfn.NORM.DIST(Z$2,$D96,$E96,TRUE))</f>
        <v/>
      </c>
      <c r="AA96">
        <f>IF(NOT(ISNUMBER($D96)),"",_xlfn.NORM.DIST(AA$1,$D96,$E96,TRUE)-_xlfn.NORM.DIST(AA$2,$D96,$E96,TRUE))</f>
        <v/>
      </c>
      <c r="AB96">
        <f>IF(NOT(ISNUMBER($D96)),"",_xlfn.NORM.DIST(AB$1,$D96,$E96,TRUE)-_xlfn.NORM.DIST(AB$2,$D96,$E96,TRUE))</f>
        <v/>
      </c>
      <c r="AC96">
        <f>IF(NOT(ISNUMBER($D96)),"",_xlfn.NORM.DIST(AC$1,$D96,$E96,TRUE)-_xlfn.NORM.DIST(AC$2,$D96,$E96,TRUE))</f>
        <v/>
      </c>
      <c r="AD96">
        <f>IF(NOT(ISNUMBER($D96)),"",_xlfn.NORM.DIST(AD$1,$D96,$E96,TRUE)-_xlfn.NORM.DIST(AD$2,$D96,$E96,TRUE))</f>
        <v/>
      </c>
      <c r="AE96">
        <f>IF(NOT(ISNUMBER($D96)),"",_xlfn.NORM.DIST(AE$1,$D96,$E96,TRUE)-_xlfn.NORM.DIST(AE$2,$D96,$E96,TRUE))</f>
        <v/>
      </c>
      <c r="AF96">
        <f>IF(NOT(ISNUMBER($D96)),"",_xlfn.NORM.DIST(AF$1,$D96,$E96,TRUE)-_xlfn.NORM.DIST(AF$2,$D96,$E96,TRUE))</f>
        <v/>
      </c>
      <c r="AG96">
        <f>IF(NOT(ISNUMBER($D96)),"",_xlfn.NORM.DIST(AG$1,$D96,$E96,TRUE)-_xlfn.NORM.DIST(AG$2,$D96,$E96,TRUE))</f>
        <v/>
      </c>
      <c r="AH96">
        <f>IF(NOT(ISNUMBER($D96)),"",_xlfn.NORM.DIST(AH$1,$D96,$E96,TRUE)-_xlfn.NORM.DIST(AH$2,$D96,$E96,TRUE))</f>
        <v/>
      </c>
      <c r="AI96">
        <f>IF(NOT(ISNUMBER($D96)),"",_xlfn.NORM.DIST(AI$1,$D96,$E96,TRUE)-_xlfn.NORM.DIST(AI$2,$D96,$E96,TRUE))</f>
        <v/>
      </c>
      <c r="AJ96">
        <f>IF(NOT(ISNUMBER($D96)),"",_xlfn.NORM.DIST(AJ$1,$D96,$E96,TRUE)-_xlfn.NORM.DIST(AJ$2,$D96,$E96,TRUE))</f>
        <v/>
      </c>
      <c r="AK96">
        <f>IF(NOT(ISNUMBER($D96)),"",_xlfn.NORM.DIST(AK$1,$D96,$E96,TRUE)-_xlfn.NORM.DIST(AK$2,$D96,$E96,TRUE))</f>
        <v/>
      </c>
      <c r="AL96">
        <f>IF(NOT(ISNUMBER($D96)),"",_xlfn.NORM.DIST(AL$1,$D96,$E96,TRUE)-_xlfn.NORM.DIST(AL$2,$D96,$E96,TRUE))</f>
        <v/>
      </c>
      <c r="AM96">
        <f>IF(NOT(ISNUMBER($D96)),"",_xlfn.NORM.DIST(AM$1,$D96,$E96,TRUE)-_xlfn.NORM.DIST(AM$2,$D96,$E96,TRUE))</f>
        <v/>
      </c>
      <c r="AN96">
        <f>IF(NOT(ISNUMBER($D96)),"",_xlfn.NORM.DIST(AN$1,$D96,$E96,TRUE)-_xlfn.NORM.DIST(AN$2,$D96,$E96,TRUE))</f>
        <v/>
      </c>
      <c r="AO96">
        <f>IF(NOT(ISNUMBER($D96)),"",_xlfn.NORM.DIST(AO$1,$D96,$E96,TRUE)-_xlfn.NORM.DIST(AO$2,$D96,$E96,TRUE))</f>
        <v/>
      </c>
      <c r="AP96">
        <f>IF(NOT(ISNUMBER($D96)),"",_xlfn.NORM.DIST(AP$1,$D96,$E96,TRUE)-_xlfn.NORM.DIST(AP$2,$D96,$E96,TRUE))</f>
        <v/>
      </c>
      <c r="AQ96">
        <f>IF(NOT(ISNUMBER($D96)),"",_xlfn.NORM.DIST(AQ$1,$D96,$E96,TRUE)-_xlfn.NORM.DIST(AQ$2,$D96,$E96,TRUE))</f>
        <v/>
      </c>
      <c r="AR96">
        <f>IF(NOT(ISNUMBER($D96)),"",_xlfn.NORM.DIST(AR$1,$D96,$E96,TRUE)-_xlfn.NORM.DIST(AR$2,$D96,$E96,TRUE))</f>
        <v/>
      </c>
      <c r="AS96">
        <f>IF(NOT(ISNUMBER($D96)),"",_xlfn.NORM.DIST(AS$1,$D96,$E96,TRUE)-_xlfn.NORM.DIST(AS$2,$D96,$E96,TRUE))</f>
        <v/>
      </c>
      <c r="AT96">
        <f>IF(NOT(ISNUMBER($D96)),"",_xlfn.NORM.DIST(AT$1,$D96,$E96,TRUE)-_xlfn.NORM.DIST(AT$2,$D96,$E96,TRUE))</f>
        <v/>
      </c>
      <c r="AU96">
        <f>IF(NOT(ISNUMBER($D96)),"",_xlfn.NORM.DIST(AU$1,$D96,$E96,TRUE)-_xlfn.NORM.DIST(AU$2,$D96,$E96,TRUE))</f>
        <v/>
      </c>
      <c r="AV96">
        <f>IF(NOT(ISNUMBER($D96)),"",_xlfn.NORM.DIST(AV$1,$D96,$E96,TRUE)-_xlfn.NORM.DIST(AV$2,$D96,$E96,TRUE))</f>
        <v/>
      </c>
      <c r="AW96">
        <f>IF(NOT(ISNUMBER($D96)),"",_xlfn.NORM.DIST(AW$1,$D96,$E96,TRUE)-_xlfn.NORM.DIST(AW$2,$D96,$E96,TRUE))</f>
        <v/>
      </c>
      <c r="AX96">
        <f>IF(NOT(ISNUMBER($D96)),"",_xlfn.NORM.DIST(AX$1,$D96,$E96,TRUE)-_xlfn.NORM.DIST(AX$2,$D96,$E96,TRUE))</f>
        <v/>
      </c>
      <c r="AY96">
        <f>IF(NOT(ISNUMBER($D96)),"",_xlfn.NORM.DIST(AY$1,$D96,$E96,TRUE)-_xlfn.NORM.DIST(AY$2,$D96,$E96,TRUE))</f>
        <v/>
      </c>
      <c r="AZ96">
        <f>IF(NOT(ISNUMBER($D96)),"",_xlfn.NORM.DIST(AZ$1,$D96,$E96,TRUE)-_xlfn.NORM.DIST(AZ$2,$D96,$E96,TRUE))</f>
        <v/>
      </c>
      <c r="BA96">
        <f>IF(NOT(ISNUMBER($D96)),"",_xlfn.NORM.DIST(BA$1,$D96,$E96,TRUE)-_xlfn.NORM.DIST(BA$2,$D96,$E96,TRUE))</f>
        <v/>
      </c>
      <c r="BB96">
        <f>IF(NOT(ISNUMBER($D96)),"",_xlfn.NORM.DIST(BB$1,$D96,$E96,TRUE)-_xlfn.NORM.DIST(BB$2,$D96,$E96,TRUE))</f>
        <v/>
      </c>
      <c r="BC96">
        <f>IF(NOT(ISNUMBER($D96)),"",_xlfn.NORM.DIST(BC$1,$D96,$E96,TRUE)-_xlfn.NORM.DIST(BC$2,$D96,$E96,TRUE))</f>
        <v/>
      </c>
      <c r="BD96">
        <f>IF(NOT(ISNUMBER($D96)),"",_xlfn.NORM.DIST(BD$1,$D96,$E96,TRUE)-_xlfn.NORM.DIST(BD$2,$D96,$E96,TRUE))</f>
        <v/>
      </c>
      <c r="BE96">
        <f>IF(NOT(ISNUMBER($D96)),"",_xlfn.NORM.DIST(BE$1,$D96,$E96,TRUE)-_xlfn.NORM.DIST(BE$2,$D96,$E96,TRUE))</f>
        <v/>
      </c>
      <c r="BF96">
        <f>IF(NOT(ISNUMBER($D96)),"",_xlfn.NORM.DIST(BF$1,$D96,$E96,TRUE)-_xlfn.NORM.DIST(BF$2,$D96,$E96,TRUE))</f>
        <v/>
      </c>
      <c r="BG96">
        <f>IF(NOT(ISNUMBER($D96)),"",_xlfn.NORM.DIST(BG$1,$D96,$E96,TRUE)-_xlfn.NORM.DIST(BG$2,$D96,$E96,TRUE))</f>
        <v/>
      </c>
      <c r="BH96">
        <f>IF(NOT(ISNUMBER($D96)),"",_xlfn.NORM.DIST(BH$1,$D96,$E96,TRUE)-_xlfn.NORM.DIST(BH$2,$D96,$E96,TRUE))</f>
        <v/>
      </c>
      <c r="BI96">
        <f>IF(NOT(ISNUMBER($D96)),"",_xlfn.NORM.DIST(BI$1,$D96,$E96,TRUE)-_xlfn.NORM.DIST(BI$2,$D96,$E96,TRUE))</f>
        <v/>
      </c>
      <c r="BJ96">
        <f>IF(NOT(ISNUMBER($D96)),"",_xlfn.NORM.DIST(BJ$1,$D96,$E96,TRUE)-_xlfn.NORM.DIST(BJ$2,$D96,$E96,TRUE))</f>
        <v/>
      </c>
      <c r="BK96">
        <f>IF(NOT(ISNUMBER($D96)),"",_xlfn.NORM.DIST(BK$1,$D96,$E96,TRUE)-_xlfn.NORM.DIST(BK$2,$D96,$E96,TRUE))</f>
        <v/>
      </c>
      <c r="BL96">
        <f>IF(NOT(ISNUMBER($D96)),"",_xlfn.NORM.DIST(BL$1,$D96,$E96,TRUE)-_xlfn.NORM.DIST(BL$2,$D96,$E96,TRUE))</f>
        <v/>
      </c>
      <c r="BM96">
        <f>IF(NOT(ISNUMBER($D96)),"",_xlfn.NORM.DIST(BM$1,$D96,$E96,TRUE)-_xlfn.NORM.DIST(BM$2,$D96,$E96,TRUE))</f>
        <v/>
      </c>
      <c r="BN96">
        <f>IF(NOT(ISNUMBER($D96)),"",_xlfn.NORM.DIST(BN$1,$D96,$E96,TRUE)-_xlfn.NORM.DIST(BN$2,$D96,$E96,TRUE))</f>
        <v/>
      </c>
      <c r="BO96">
        <f>IF(NOT(ISNUMBER($D96)),"",_xlfn.NORM.DIST(BO$1,$D96,$E96,TRUE)-_xlfn.NORM.DIST(BO$2,$D96,$E96,TRUE))</f>
        <v/>
      </c>
      <c r="BP96">
        <f>IF(NOT(ISNUMBER($D96)),"",_xlfn.NORM.DIST(BP$1,$D96,$E96,TRUE)-_xlfn.NORM.DIST(BP$2,$D96,$E96,TRUE))</f>
        <v/>
      </c>
      <c r="BQ96">
        <f>IF(NOT(ISNUMBER($D96)),"",_xlfn.NORM.DIST(BQ$1,$D96,$E96,TRUE)-_xlfn.NORM.DIST(BQ$2,$D96,$E96,TRUE))</f>
        <v/>
      </c>
      <c r="BR96">
        <f>IF(NOT(ISNUMBER($D96)),"",_xlfn.NORM.DIST(BR$1,$D96,$E96,TRUE)-_xlfn.NORM.DIST(BR$2,$D96,$E96,TRUE))</f>
        <v/>
      </c>
      <c r="BS96">
        <f>IF(NOT(ISNUMBER($D96)),"",_xlfn.NORM.DIST(BS$1,$D96,$E96,TRUE)-_xlfn.NORM.DIST(BS$2,$D96,$E96,TRUE))</f>
        <v/>
      </c>
      <c r="BT96">
        <f>IF(NOT(ISNUMBER($D96)),"",_xlfn.NORM.DIST(BT$1,$D96,$E96,TRUE)-_xlfn.NORM.DIST(BT$2,$D96,$E96,TRUE))</f>
        <v/>
      </c>
      <c r="BU96">
        <f>IF(NOT(ISNUMBER($D96)),"",_xlfn.NORM.DIST(BU$1,$D96,$E96,TRUE)-_xlfn.NORM.DIST(BU$2,$D96,$E96,TRUE))</f>
        <v/>
      </c>
      <c r="BV96">
        <f>IF(NOT(ISNUMBER($D96)),"",_xlfn.NORM.DIST(BV$1,$D96,$E96,TRUE)-_xlfn.NORM.DIST(BV$2,$D96,$E96,TRUE))</f>
        <v/>
      </c>
      <c r="BW96">
        <f>IF(NOT(ISNUMBER($D96)),"",_xlfn.NORM.DIST(BW$1,$D96,$E96,TRUE)-_xlfn.NORM.DIST(BW$2,$D96,$E96,TRUE))</f>
        <v/>
      </c>
      <c r="BX96">
        <f>IF(NOT(ISNUMBER($D96)),"",_xlfn.NORM.DIST(BX$1,$D96,$E96,TRUE)-_xlfn.NORM.DIST(BX$2,$D96,$E96,TRUE))</f>
        <v/>
      </c>
      <c r="BY96">
        <f>IF(NOT(ISNUMBER($D96)),"",_xlfn.NORM.DIST(BY$1,$D96,$E96,TRUE)-_xlfn.NORM.DIST(BY$2,$D96,$E96,TRUE))</f>
        <v/>
      </c>
      <c r="BZ96">
        <f>IF(NOT(ISNUMBER($D96)),"",_xlfn.NORM.DIST(BZ$1,$D96,$E96,TRUE)-_xlfn.NORM.DIST(BZ$2,$D96,$E96,TRUE))</f>
        <v/>
      </c>
      <c r="CA96">
        <f>IF(NOT(ISNUMBER($D96)),"",_xlfn.NORM.DIST(CA$1,$D96,$E96,TRUE)-_xlfn.NORM.DIST(CA$2,$D96,$E96,TRUE))</f>
        <v/>
      </c>
      <c r="CB96">
        <f>IF(NOT(ISNUMBER($D96)),"",_xlfn.NORM.DIST(CB$1,$D96,$E96,TRUE)-_xlfn.NORM.DIST(CB$2,$D96,$E96,TRUE))</f>
        <v/>
      </c>
      <c r="CC96">
        <f>IF(NOT(ISNUMBER($D96)),"",_xlfn.NORM.DIST(CC$1,$D96,$E96,TRUE)-_xlfn.NORM.DIST(CC$2,$D96,$E96,TRUE))</f>
        <v/>
      </c>
      <c r="CD96">
        <f>IF(NOT(ISNUMBER($D96)),"",_xlfn.NORM.DIST(CD$1,$D96,$E96,TRUE)-_xlfn.NORM.DIST(CD$2,$D96,$E96,TRUE))</f>
        <v/>
      </c>
      <c r="CE96">
        <f>IF(NOT(ISNUMBER($D96)),"",_xlfn.NORM.DIST(CE$1,$D96,$E96,TRUE)-_xlfn.NORM.DIST(CE$2,$D96,$E96,TRUE))</f>
        <v/>
      </c>
      <c r="CF96">
        <f>IF(NOT(ISNUMBER($D96)),"",_xlfn.NORM.DIST(CF$1,$D96,$E96,TRUE)-_xlfn.NORM.DIST(CF$2,$D96,$E96,TRUE))</f>
        <v/>
      </c>
      <c r="CG96">
        <f>IF(NOT(ISNUMBER($D96)),"",_xlfn.NORM.DIST(CG$1,$D96,$E96,TRUE)-_xlfn.NORM.DIST(CG$2,$D96,$E96,TRUE))</f>
        <v/>
      </c>
      <c r="CH96">
        <f>IF(NOT(ISNUMBER($D96)),"",_xlfn.NORM.DIST(CH$1,$D96,$E96,TRUE)-_xlfn.NORM.DIST(CH$2,$D96,$E96,TRUE))</f>
        <v/>
      </c>
      <c r="CI96">
        <f>IF(NOT(ISNUMBER($D96)),"",_xlfn.NORM.DIST(CI$1,$D96,$E96,TRUE)-_xlfn.NORM.DIST(CI$2,$D96,$E96,TRUE))</f>
        <v/>
      </c>
      <c r="CJ96">
        <f>IF(ISNUMBER($D96),SUM(F96:CI96),"")</f>
        <v/>
      </c>
    </row>
    <row r="97">
      <c r="A97">
        <f>economics!A96</f>
        <v/>
      </c>
      <c r="B97">
        <f>economics!B96</f>
        <v/>
      </c>
      <c r="C97">
        <f>economics!D96</f>
        <v/>
      </c>
      <c r="D97">
        <f>IF(ISNUMBER(economics!T96),economics!T96,"na")</f>
        <v/>
      </c>
      <c r="E97">
        <f>IF(ISNUMBER(D97),MAX(0.3*ABS(D97),0.000001),"na")</f>
        <v/>
      </c>
      <c r="F97">
        <f>IF(NOT(ISNUMBER($D97)),"",_xlfn.NORM.DIST(F$1,$D97,$E97,TRUE)-_xlfn.NORM.DIST(F$2,$D97,$E97,TRUE))</f>
        <v/>
      </c>
      <c r="G97">
        <f>IF(NOT(ISNUMBER($D97)),"",_xlfn.NORM.DIST(G$1,$D97,$E97,TRUE)-_xlfn.NORM.DIST(G$2,$D97,$E97,TRUE))</f>
        <v/>
      </c>
      <c r="H97">
        <f>IF(NOT(ISNUMBER($D97)),"",_xlfn.NORM.DIST(H$1,$D97,$E97,TRUE)-_xlfn.NORM.DIST(H$2,$D97,$E97,TRUE))</f>
        <v/>
      </c>
      <c r="I97">
        <f>IF(NOT(ISNUMBER($D97)),"",_xlfn.NORM.DIST(I$1,$D97,$E97,TRUE)-_xlfn.NORM.DIST(I$2,$D97,$E97,TRUE))</f>
        <v/>
      </c>
      <c r="J97">
        <f>IF(NOT(ISNUMBER($D97)),"",_xlfn.NORM.DIST(J$1,$D97,$E97,TRUE)-_xlfn.NORM.DIST(J$2,$D97,$E97,TRUE))</f>
        <v/>
      </c>
      <c r="K97">
        <f>IF(NOT(ISNUMBER($D97)),"",_xlfn.NORM.DIST(K$1,$D97,$E97,TRUE)-_xlfn.NORM.DIST(K$2,$D97,$E97,TRUE))</f>
        <v/>
      </c>
      <c r="L97">
        <f>IF(NOT(ISNUMBER($D97)),"",_xlfn.NORM.DIST(L$1,$D97,$E97,TRUE)-_xlfn.NORM.DIST(L$2,$D97,$E97,TRUE))</f>
        <v/>
      </c>
      <c r="M97">
        <f>IF(NOT(ISNUMBER($D97)),"",_xlfn.NORM.DIST(M$1,$D97,$E97,TRUE)-_xlfn.NORM.DIST(M$2,$D97,$E97,TRUE))</f>
        <v/>
      </c>
      <c r="N97">
        <f>IF(NOT(ISNUMBER($D97)),"",_xlfn.NORM.DIST(N$1,$D97,$E97,TRUE)-_xlfn.NORM.DIST(N$2,$D97,$E97,TRUE))</f>
        <v/>
      </c>
      <c r="O97">
        <f>IF(NOT(ISNUMBER($D97)),"",_xlfn.NORM.DIST(O$1,$D97,$E97,TRUE)-_xlfn.NORM.DIST(O$2,$D97,$E97,TRUE))</f>
        <v/>
      </c>
      <c r="P97">
        <f>IF(NOT(ISNUMBER($D97)),"",_xlfn.NORM.DIST(P$1,$D97,$E97,TRUE)-_xlfn.NORM.DIST(P$2,$D97,$E97,TRUE))</f>
        <v/>
      </c>
      <c r="Q97">
        <f>IF(NOT(ISNUMBER($D97)),"",_xlfn.NORM.DIST(Q$1,$D97,$E97,TRUE)-_xlfn.NORM.DIST(Q$2,$D97,$E97,TRUE))</f>
        <v/>
      </c>
      <c r="R97">
        <f>IF(NOT(ISNUMBER($D97)),"",_xlfn.NORM.DIST(R$1,$D97,$E97,TRUE)-_xlfn.NORM.DIST(R$2,$D97,$E97,TRUE))</f>
        <v/>
      </c>
      <c r="S97">
        <f>IF(NOT(ISNUMBER($D97)),"",_xlfn.NORM.DIST(S$1,$D97,$E97,TRUE)-_xlfn.NORM.DIST(S$2,$D97,$E97,TRUE))</f>
        <v/>
      </c>
      <c r="T97">
        <f>IF(NOT(ISNUMBER($D97)),"",_xlfn.NORM.DIST(T$1,$D97,$E97,TRUE)-_xlfn.NORM.DIST(T$2,$D97,$E97,TRUE))</f>
        <v/>
      </c>
      <c r="U97">
        <f>IF(NOT(ISNUMBER($D97)),"",_xlfn.NORM.DIST(U$1,$D97,$E97,TRUE)-_xlfn.NORM.DIST(U$2,$D97,$E97,TRUE))</f>
        <v/>
      </c>
      <c r="V97">
        <f>IF(NOT(ISNUMBER($D97)),"",_xlfn.NORM.DIST(V$1,$D97,$E97,TRUE)-_xlfn.NORM.DIST(V$2,$D97,$E97,TRUE))</f>
        <v/>
      </c>
      <c r="W97">
        <f>IF(NOT(ISNUMBER($D97)),"",_xlfn.NORM.DIST(W$1,$D97,$E97,TRUE)-_xlfn.NORM.DIST(W$2,$D97,$E97,TRUE))</f>
        <v/>
      </c>
      <c r="X97">
        <f>IF(NOT(ISNUMBER($D97)),"",_xlfn.NORM.DIST(X$1,$D97,$E97,TRUE)-_xlfn.NORM.DIST(X$2,$D97,$E97,TRUE))</f>
        <v/>
      </c>
      <c r="Y97">
        <f>IF(NOT(ISNUMBER($D97)),"",_xlfn.NORM.DIST(Y$1,$D97,$E97,TRUE)-_xlfn.NORM.DIST(Y$2,$D97,$E97,TRUE))</f>
        <v/>
      </c>
      <c r="Z97">
        <f>IF(NOT(ISNUMBER($D97)),"",_xlfn.NORM.DIST(Z$1,$D97,$E97,TRUE)-_xlfn.NORM.DIST(Z$2,$D97,$E97,TRUE))</f>
        <v/>
      </c>
      <c r="AA97">
        <f>IF(NOT(ISNUMBER($D97)),"",_xlfn.NORM.DIST(AA$1,$D97,$E97,TRUE)-_xlfn.NORM.DIST(AA$2,$D97,$E97,TRUE))</f>
        <v/>
      </c>
      <c r="AB97">
        <f>IF(NOT(ISNUMBER($D97)),"",_xlfn.NORM.DIST(AB$1,$D97,$E97,TRUE)-_xlfn.NORM.DIST(AB$2,$D97,$E97,TRUE))</f>
        <v/>
      </c>
      <c r="AC97">
        <f>IF(NOT(ISNUMBER($D97)),"",_xlfn.NORM.DIST(AC$1,$D97,$E97,TRUE)-_xlfn.NORM.DIST(AC$2,$D97,$E97,TRUE))</f>
        <v/>
      </c>
      <c r="AD97">
        <f>IF(NOT(ISNUMBER($D97)),"",_xlfn.NORM.DIST(AD$1,$D97,$E97,TRUE)-_xlfn.NORM.DIST(AD$2,$D97,$E97,TRUE))</f>
        <v/>
      </c>
      <c r="AE97">
        <f>IF(NOT(ISNUMBER($D97)),"",_xlfn.NORM.DIST(AE$1,$D97,$E97,TRUE)-_xlfn.NORM.DIST(AE$2,$D97,$E97,TRUE))</f>
        <v/>
      </c>
      <c r="AF97">
        <f>IF(NOT(ISNUMBER($D97)),"",_xlfn.NORM.DIST(AF$1,$D97,$E97,TRUE)-_xlfn.NORM.DIST(AF$2,$D97,$E97,TRUE))</f>
        <v/>
      </c>
      <c r="AG97">
        <f>IF(NOT(ISNUMBER($D97)),"",_xlfn.NORM.DIST(AG$1,$D97,$E97,TRUE)-_xlfn.NORM.DIST(AG$2,$D97,$E97,TRUE))</f>
        <v/>
      </c>
      <c r="AH97">
        <f>IF(NOT(ISNUMBER($D97)),"",_xlfn.NORM.DIST(AH$1,$D97,$E97,TRUE)-_xlfn.NORM.DIST(AH$2,$D97,$E97,TRUE))</f>
        <v/>
      </c>
      <c r="AI97">
        <f>IF(NOT(ISNUMBER($D97)),"",_xlfn.NORM.DIST(AI$1,$D97,$E97,TRUE)-_xlfn.NORM.DIST(AI$2,$D97,$E97,TRUE))</f>
        <v/>
      </c>
      <c r="AJ97">
        <f>IF(NOT(ISNUMBER($D97)),"",_xlfn.NORM.DIST(AJ$1,$D97,$E97,TRUE)-_xlfn.NORM.DIST(AJ$2,$D97,$E97,TRUE))</f>
        <v/>
      </c>
      <c r="AK97">
        <f>IF(NOT(ISNUMBER($D97)),"",_xlfn.NORM.DIST(AK$1,$D97,$E97,TRUE)-_xlfn.NORM.DIST(AK$2,$D97,$E97,TRUE))</f>
        <v/>
      </c>
      <c r="AL97">
        <f>IF(NOT(ISNUMBER($D97)),"",_xlfn.NORM.DIST(AL$1,$D97,$E97,TRUE)-_xlfn.NORM.DIST(AL$2,$D97,$E97,TRUE))</f>
        <v/>
      </c>
      <c r="AM97">
        <f>IF(NOT(ISNUMBER($D97)),"",_xlfn.NORM.DIST(AM$1,$D97,$E97,TRUE)-_xlfn.NORM.DIST(AM$2,$D97,$E97,TRUE))</f>
        <v/>
      </c>
      <c r="AN97">
        <f>IF(NOT(ISNUMBER($D97)),"",_xlfn.NORM.DIST(AN$1,$D97,$E97,TRUE)-_xlfn.NORM.DIST(AN$2,$D97,$E97,TRUE))</f>
        <v/>
      </c>
      <c r="AO97">
        <f>IF(NOT(ISNUMBER($D97)),"",_xlfn.NORM.DIST(AO$1,$D97,$E97,TRUE)-_xlfn.NORM.DIST(AO$2,$D97,$E97,TRUE))</f>
        <v/>
      </c>
      <c r="AP97">
        <f>IF(NOT(ISNUMBER($D97)),"",_xlfn.NORM.DIST(AP$1,$D97,$E97,TRUE)-_xlfn.NORM.DIST(AP$2,$D97,$E97,TRUE))</f>
        <v/>
      </c>
      <c r="AQ97">
        <f>IF(NOT(ISNUMBER($D97)),"",_xlfn.NORM.DIST(AQ$1,$D97,$E97,TRUE)-_xlfn.NORM.DIST(AQ$2,$D97,$E97,TRUE))</f>
        <v/>
      </c>
      <c r="AR97">
        <f>IF(NOT(ISNUMBER($D97)),"",_xlfn.NORM.DIST(AR$1,$D97,$E97,TRUE)-_xlfn.NORM.DIST(AR$2,$D97,$E97,TRUE))</f>
        <v/>
      </c>
      <c r="AS97">
        <f>IF(NOT(ISNUMBER($D97)),"",_xlfn.NORM.DIST(AS$1,$D97,$E97,TRUE)-_xlfn.NORM.DIST(AS$2,$D97,$E97,TRUE))</f>
        <v/>
      </c>
      <c r="AT97">
        <f>IF(NOT(ISNUMBER($D97)),"",_xlfn.NORM.DIST(AT$1,$D97,$E97,TRUE)-_xlfn.NORM.DIST(AT$2,$D97,$E97,TRUE))</f>
        <v/>
      </c>
      <c r="AU97">
        <f>IF(NOT(ISNUMBER($D97)),"",_xlfn.NORM.DIST(AU$1,$D97,$E97,TRUE)-_xlfn.NORM.DIST(AU$2,$D97,$E97,TRUE))</f>
        <v/>
      </c>
      <c r="AV97">
        <f>IF(NOT(ISNUMBER($D97)),"",_xlfn.NORM.DIST(AV$1,$D97,$E97,TRUE)-_xlfn.NORM.DIST(AV$2,$D97,$E97,TRUE))</f>
        <v/>
      </c>
      <c r="AW97">
        <f>IF(NOT(ISNUMBER($D97)),"",_xlfn.NORM.DIST(AW$1,$D97,$E97,TRUE)-_xlfn.NORM.DIST(AW$2,$D97,$E97,TRUE))</f>
        <v/>
      </c>
      <c r="AX97">
        <f>IF(NOT(ISNUMBER($D97)),"",_xlfn.NORM.DIST(AX$1,$D97,$E97,TRUE)-_xlfn.NORM.DIST(AX$2,$D97,$E97,TRUE))</f>
        <v/>
      </c>
      <c r="AY97">
        <f>IF(NOT(ISNUMBER($D97)),"",_xlfn.NORM.DIST(AY$1,$D97,$E97,TRUE)-_xlfn.NORM.DIST(AY$2,$D97,$E97,TRUE))</f>
        <v/>
      </c>
      <c r="AZ97">
        <f>IF(NOT(ISNUMBER($D97)),"",_xlfn.NORM.DIST(AZ$1,$D97,$E97,TRUE)-_xlfn.NORM.DIST(AZ$2,$D97,$E97,TRUE))</f>
        <v/>
      </c>
      <c r="BA97">
        <f>IF(NOT(ISNUMBER($D97)),"",_xlfn.NORM.DIST(BA$1,$D97,$E97,TRUE)-_xlfn.NORM.DIST(BA$2,$D97,$E97,TRUE))</f>
        <v/>
      </c>
      <c r="BB97">
        <f>IF(NOT(ISNUMBER($D97)),"",_xlfn.NORM.DIST(BB$1,$D97,$E97,TRUE)-_xlfn.NORM.DIST(BB$2,$D97,$E97,TRUE))</f>
        <v/>
      </c>
      <c r="BC97">
        <f>IF(NOT(ISNUMBER($D97)),"",_xlfn.NORM.DIST(BC$1,$D97,$E97,TRUE)-_xlfn.NORM.DIST(BC$2,$D97,$E97,TRUE))</f>
        <v/>
      </c>
      <c r="BD97">
        <f>IF(NOT(ISNUMBER($D97)),"",_xlfn.NORM.DIST(BD$1,$D97,$E97,TRUE)-_xlfn.NORM.DIST(BD$2,$D97,$E97,TRUE))</f>
        <v/>
      </c>
      <c r="BE97">
        <f>IF(NOT(ISNUMBER($D97)),"",_xlfn.NORM.DIST(BE$1,$D97,$E97,TRUE)-_xlfn.NORM.DIST(BE$2,$D97,$E97,TRUE))</f>
        <v/>
      </c>
      <c r="BF97">
        <f>IF(NOT(ISNUMBER($D97)),"",_xlfn.NORM.DIST(BF$1,$D97,$E97,TRUE)-_xlfn.NORM.DIST(BF$2,$D97,$E97,TRUE))</f>
        <v/>
      </c>
      <c r="BG97">
        <f>IF(NOT(ISNUMBER($D97)),"",_xlfn.NORM.DIST(BG$1,$D97,$E97,TRUE)-_xlfn.NORM.DIST(BG$2,$D97,$E97,TRUE))</f>
        <v/>
      </c>
      <c r="BH97">
        <f>IF(NOT(ISNUMBER($D97)),"",_xlfn.NORM.DIST(BH$1,$D97,$E97,TRUE)-_xlfn.NORM.DIST(BH$2,$D97,$E97,TRUE))</f>
        <v/>
      </c>
      <c r="BI97">
        <f>IF(NOT(ISNUMBER($D97)),"",_xlfn.NORM.DIST(BI$1,$D97,$E97,TRUE)-_xlfn.NORM.DIST(BI$2,$D97,$E97,TRUE))</f>
        <v/>
      </c>
      <c r="BJ97">
        <f>IF(NOT(ISNUMBER($D97)),"",_xlfn.NORM.DIST(BJ$1,$D97,$E97,TRUE)-_xlfn.NORM.DIST(BJ$2,$D97,$E97,TRUE))</f>
        <v/>
      </c>
      <c r="BK97">
        <f>IF(NOT(ISNUMBER($D97)),"",_xlfn.NORM.DIST(BK$1,$D97,$E97,TRUE)-_xlfn.NORM.DIST(BK$2,$D97,$E97,TRUE))</f>
        <v/>
      </c>
      <c r="BL97">
        <f>IF(NOT(ISNUMBER($D97)),"",_xlfn.NORM.DIST(BL$1,$D97,$E97,TRUE)-_xlfn.NORM.DIST(BL$2,$D97,$E97,TRUE))</f>
        <v/>
      </c>
      <c r="BM97">
        <f>IF(NOT(ISNUMBER($D97)),"",_xlfn.NORM.DIST(BM$1,$D97,$E97,TRUE)-_xlfn.NORM.DIST(BM$2,$D97,$E97,TRUE))</f>
        <v/>
      </c>
      <c r="BN97">
        <f>IF(NOT(ISNUMBER($D97)),"",_xlfn.NORM.DIST(BN$1,$D97,$E97,TRUE)-_xlfn.NORM.DIST(BN$2,$D97,$E97,TRUE))</f>
        <v/>
      </c>
      <c r="BO97">
        <f>IF(NOT(ISNUMBER($D97)),"",_xlfn.NORM.DIST(BO$1,$D97,$E97,TRUE)-_xlfn.NORM.DIST(BO$2,$D97,$E97,TRUE))</f>
        <v/>
      </c>
      <c r="BP97">
        <f>IF(NOT(ISNUMBER($D97)),"",_xlfn.NORM.DIST(BP$1,$D97,$E97,TRUE)-_xlfn.NORM.DIST(BP$2,$D97,$E97,TRUE))</f>
        <v/>
      </c>
      <c r="BQ97">
        <f>IF(NOT(ISNUMBER($D97)),"",_xlfn.NORM.DIST(BQ$1,$D97,$E97,TRUE)-_xlfn.NORM.DIST(BQ$2,$D97,$E97,TRUE))</f>
        <v/>
      </c>
      <c r="BR97">
        <f>IF(NOT(ISNUMBER($D97)),"",_xlfn.NORM.DIST(BR$1,$D97,$E97,TRUE)-_xlfn.NORM.DIST(BR$2,$D97,$E97,TRUE))</f>
        <v/>
      </c>
      <c r="BS97">
        <f>IF(NOT(ISNUMBER($D97)),"",_xlfn.NORM.DIST(BS$1,$D97,$E97,TRUE)-_xlfn.NORM.DIST(BS$2,$D97,$E97,TRUE))</f>
        <v/>
      </c>
      <c r="BT97">
        <f>IF(NOT(ISNUMBER($D97)),"",_xlfn.NORM.DIST(BT$1,$D97,$E97,TRUE)-_xlfn.NORM.DIST(BT$2,$D97,$E97,TRUE))</f>
        <v/>
      </c>
      <c r="BU97">
        <f>IF(NOT(ISNUMBER($D97)),"",_xlfn.NORM.DIST(BU$1,$D97,$E97,TRUE)-_xlfn.NORM.DIST(BU$2,$D97,$E97,TRUE))</f>
        <v/>
      </c>
      <c r="BV97">
        <f>IF(NOT(ISNUMBER($D97)),"",_xlfn.NORM.DIST(BV$1,$D97,$E97,TRUE)-_xlfn.NORM.DIST(BV$2,$D97,$E97,TRUE))</f>
        <v/>
      </c>
      <c r="BW97">
        <f>IF(NOT(ISNUMBER($D97)),"",_xlfn.NORM.DIST(BW$1,$D97,$E97,TRUE)-_xlfn.NORM.DIST(BW$2,$D97,$E97,TRUE))</f>
        <v/>
      </c>
      <c r="BX97">
        <f>IF(NOT(ISNUMBER($D97)),"",_xlfn.NORM.DIST(BX$1,$D97,$E97,TRUE)-_xlfn.NORM.DIST(BX$2,$D97,$E97,TRUE))</f>
        <v/>
      </c>
      <c r="BY97">
        <f>IF(NOT(ISNUMBER($D97)),"",_xlfn.NORM.DIST(BY$1,$D97,$E97,TRUE)-_xlfn.NORM.DIST(BY$2,$D97,$E97,TRUE))</f>
        <v/>
      </c>
      <c r="BZ97">
        <f>IF(NOT(ISNUMBER($D97)),"",_xlfn.NORM.DIST(BZ$1,$D97,$E97,TRUE)-_xlfn.NORM.DIST(BZ$2,$D97,$E97,TRUE))</f>
        <v/>
      </c>
      <c r="CA97">
        <f>IF(NOT(ISNUMBER($D97)),"",_xlfn.NORM.DIST(CA$1,$D97,$E97,TRUE)-_xlfn.NORM.DIST(CA$2,$D97,$E97,TRUE))</f>
        <v/>
      </c>
      <c r="CB97">
        <f>IF(NOT(ISNUMBER($D97)),"",_xlfn.NORM.DIST(CB$1,$D97,$E97,TRUE)-_xlfn.NORM.DIST(CB$2,$D97,$E97,TRUE))</f>
        <v/>
      </c>
      <c r="CC97">
        <f>IF(NOT(ISNUMBER($D97)),"",_xlfn.NORM.DIST(CC$1,$D97,$E97,TRUE)-_xlfn.NORM.DIST(CC$2,$D97,$E97,TRUE))</f>
        <v/>
      </c>
      <c r="CD97">
        <f>IF(NOT(ISNUMBER($D97)),"",_xlfn.NORM.DIST(CD$1,$D97,$E97,TRUE)-_xlfn.NORM.DIST(CD$2,$D97,$E97,TRUE))</f>
        <v/>
      </c>
      <c r="CE97">
        <f>IF(NOT(ISNUMBER($D97)),"",_xlfn.NORM.DIST(CE$1,$D97,$E97,TRUE)-_xlfn.NORM.DIST(CE$2,$D97,$E97,TRUE))</f>
        <v/>
      </c>
      <c r="CF97">
        <f>IF(NOT(ISNUMBER($D97)),"",_xlfn.NORM.DIST(CF$1,$D97,$E97,TRUE)-_xlfn.NORM.DIST(CF$2,$D97,$E97,TRUE))</f>
        <v/>
      </c>
      <c r="CG97">
        <f>IF(NOT(ISNUMBER($D97)),"",_xlfn.NORM.DIST(CG$1,$D97,$E97,TRUE)-_xlfn.NORM.DIST(CG$2,$D97,$E97,TRUE))</f>
        <v/>
      </c>
      <c r="CH97">
        <f>IF(NOT(ISNUMBER($D97)),"",_xlfn.NORM.DIST(CH$1,$D97,$E97,TRUE)-_xlfn.NORM.DIST(CH$2,$D97,$E97,TRUE))</f>
        <v/>
      </c>
      <c r="CI97">
        <f>IF(NOT(ISNUMBER($D97)),"",_xlfn.NORM.DIST(CI$1,$D97,$E97,TRUE)-_xlfn.NORM.DIST(CI$2,$D97,$E97,TRUE))</f>
        <v/>
      </c>
      <c r="CJ97">
        <f>IF(ISNUMBER($D97),SUM(F97:CI97),"")</f>
        <v/>
      </c>
    </row>
    <row r="98">
      <c r="A98">
        <f>economics!A97</f>
        <v/>
      </c>
      <c r="B98">
        <f>economics!B97</f>
        <v/>
      </c>
      <c r="C98">
        <f>economics!D97</f>
        <v/>
      </c>
      <c r="D98">
        <f>IF(ISNUMBER(economics!T97),economics!T97,"na")</f>
        <v/>
      </c>
      <c r="E98">
        <f>IF(ISNUMBER(D98),MAX(0.3*ABS(D98),0.000001),"na")</f>
        <v/>
      </c>
      <c r="F98">
        <f>IF(NOT(ISNUMBER($D98)),"",_xlfn.NORM.DIST(F$1,$D98,$E98,TRUE)-_xlfn.NORM.DIST(F$2,$D98,$E98,TRUE))</f>
        <v/>
      </c>
      <c r="G98">
        <f>IF(NOT(ISNUMBER($D98)),"",_xlfn.NORM.DIST(G$1,$D98,$E98,TRUE)-_xlfn.NORM.DIST(G$2,$D98,$E98,TRUE))</f>
        <v/>
      </c>
      <c r="H98">
        <f>IF(NOT(ISNUMBER($D98)),"",_xlfn.NORM.DIST(H$1,$D98,$E98,TRUE)-_xlfn.NORM.DIST(H$2,$D98,$E98,TRUE))</f>
        <v/>
      </c>
      <c r="I98">
        <f>IF(NOT(ISNUMBER($D98)),"",_xlfn.NORM.DIST(I$1,$D98,$E98,TRUE)-_xlfn.NORM.DIST(I$2,$D98,$E98,TRUE))</f>
        <v/>
      </c>
      <c r="J98">
        <f>IF(NOT(ISNUMBER($D98)),"",_xlfn.NORM.DIST(J$1,$D98,$E98,TRUE)-_xlfn.NORM.DIST(J$2,$D98,$E98,TRUE))</f>
        <v/>
      </c>
      <c r="K98">
        <f>IF(NOT(ISNUMBER($D98)),"",_xlfn.NORM.DIST(K$1,$D98,$E98,TRUE)-_xlfn.NORM.DIST(K$2,$D98,$E98,TRUE))</f>
        <v/>
      </c>
      <c r="L98">
        <f>IF(NOT(ISNUMBER($D98)),"",_xlfn.NORM.DIST(L$1,$D98,$E98,TRUE)-_xlfn.NORM.DIST(L$2,$D98,$E98,TRUE))</f>
        <v/>
      </c>
      <c r="M98">
        <f>IF(NOT(ISNUMBER($D98)),"",_xlfn.NORM.DIST(M$1,$D98,$E98,TRUE)-_xlfn.NORM.DIST(M$2,$D98,$E98,TRUE))</f>
        <v/>
      </c>
      <c r="N98">
        <f>IF(NOT(ISNUMBER($D98)),"",_xlfn.NORM.DIST(N$1,$D98,$E98,TRUE)-_xlfn.NORM.DIST(N$2,$D98,$E98,TRUE))</f>
        <v/>
      </c>
      <c r="O98">
        <f>IF(NOT(ISNUMBER($D98)),"",_xlfn.NORM.DIST(O$1,$D98,$E98,TRUE)-_xlfn.NORM.DIST(O$2,$D98,$E98,TRUE))</f>
        <v/>
      </c>
      <c r="P98">
        <f>IF(NOT(ISNUMBER($D98)),"",_xlfn.NORM.DIST(P$1,$D98,$E98,TRUE)-_xlfn.NORM.DIST(P$2,$D98,$E98,TRUE))</f>
        <v/>
      </c>
      <c r="Q98">
        <f>IF(NOT(ISNUMBER($D98)),"",_xlfn.NORM.DIST(Q$1,$D98,$E98,TRUE)-_xlfn.NORM.DIST(Q$2,$D98,$E98,TRUE))</f>
        <v/>
      </c>
      <c r="R98">
        <f>IF(NOT(ISNUMBER($D98)),"",_xlfn.NORM.DIST(R$1,$D98,$E98,TRUE)-_xlfn.NORM.DIST(R$2,$D98,$E98,TRUE))</f>
        <v/>
      </c>
      <c r="S98">
        <f>IF(NOT(ISNUMBER($D98)),"",_xlfn.NORM.DIST(S$1,$D98,$E98,TRUE)-_xlfn.NORM.DIST(S$2,$D98,$E98,TRUE))</f>
        <v/>
      </c>
      <c r="T98">
        <f>IF(NOT(ISNUMBER($D98)),"",_xlfn.NORM.DIST(T$1,$D98,$E98,TRUE)-_xlfn.NORM.DIST(T$2,$D98,$E98,TRUE))</f>
        <v/>
      </c>
      <c r="U98">
        <f>IF(NOT(ISNUMBER($D98)),"",_xlfn.NORM.DIST(U$1,$D98,$E98,TRUE)-_xlfn.NORM.DIST(U$2,$D98,$E98,TRUE))</f>
        <v/>
      </c>
      <c r="V98">
        <f>IF(NOT(ISNUMBER($D98)),"",_xlfn.NORM.DIST(V$1,$D98,$E98,TRUE)-_xlfn.NORM.DIST(V$2,$D98,$E98,TRUE))</f>
        <v/>
      </c>
      <c r="W98">
        <f>IF(NOT(ISNUMBER($D98)),"",_xlfn.NORM.DIST(W$1,$D98,$E98,TRUE)-_xlfn.NORM.DIST(W$2,$D98,$E98,TRUE))</f>
        <v/>
      </c>
      <c r="X98">
        <f>IF(NOT(ISNUMBER($D98)),"",_xlfn.NORM.DIST(X$1,$D98,$E98,TRUE)-_xlfn.NORM.DIST(X$2,$D98,$E98,TRUE))</f>
        <v/>
      </c>
      <c r="Y98">
        <f>IF(NOT(ISNUMBER($D98)),"",_xlfn.NORM.DIST(Y$1,$D98,$E98,TRUE)-_xlfn.NORM.DIST(Y$2,$D98,$E98,TRUE))</f>
        <v/>
      </c>
      <c r="Z98">
        <f>IF(NOT(ISNUMBER($D98)),"",_xlfn.NORM.DIST(Z$1,$D98,$E98,TRUE)-_xlfn.NORM.DIST(Z$2,$D98,$E98,TRUE))</f>
        <v/>
      </c>
      <c r="AA98">
        <f>IF(NOT(ISNUMBER($D98)),"",_xlfn.NORM.DIST(AA$1,$D98,$E98,TRUE)-_xlfn.NORM.DIST(AA$2,$D98,$E98,TRUE))</f>
        <v/>
      </c>
      <c r="AB98">
        <f>IF(NOT(ISNUMBER($D98)),"",_xlfn.NORM.DIST(AB$1,$D98,$E98,TRUE)-_xlfn.NORM.DIST(AB$2,$D98,$E98,TRUE))</f>
        <v/>
      </c>
      <c r="AC98">
        <f>IF(NOT(ISNUMBER($D98)),"",_xlfn.NORM.DIST(AC$1,$D98,$E98,TRUE)-_xlfn.NORM.DIST(AC$2,$D98,$E98,TRUE))</f>
        <v/>
      </c>
      <c r="AD98">
        <f>IF(NOT(ISNUMBER($D98)),"",_xlfn.NORM.DIST(AD$1,$D98,$E98,TRUE)-_xlfn.NORM.DIST(AD$2,$D98,$E98,TRUE))</f>
        <v/>
      </c>
      <c r="AE98">
        <f>IF(NOT(ISNUMBER($D98)),"",_xlfn.NORM.DIST(AE$1,$D98,$E98,TRUE)-_xlfn.NORM.DIST(AE$2,$D98,$E98,TRUE))</f>
        <v/>
      </c>
      <c r="AF98">
        <f>IF(NOT(ISNUMBER($D98)),"",_xlfn.NORM.DIST(AF$1,$D98,$E98,TRUE)-_xlfn.NORM.DIST(AF$2,$D98,$E98,TRUE))</f>
        <v/>
      </c>
      <c r="AG98">
        <f>IF(NOT(ISNUMBER($D98)),"",_xlfn.NORM.DIST(AG$1,$D98,$E98,TRUE)-_xlfn.NORM.DIST(AG$2,$D98,$E98,TRUE))</f>
        <v/>
      </c>
      <c r="AH98">
        <f>IF(NOT(ISNUMBER($D98)),"",_xlfn.NORM.DIST(AH$1,$D98,$E98,TRUE)-_xlfn.NORM.DIST(AH$2,$D98,$E98,TRUE))</f>
        <v/>
      </c>
      <c r="AI98">
        <f>IF(NOT(ISNUMBER($D98)),"",_xlfn.NORM.DIST(AI$1,$D98,$E98,TRUE)-_xlfn.NORM.DIST(AI$2,$D98,$E98,TRUE))</f>
        <v/>
      </c>
      <c r="AJ98">
        <f>IF(NOT(ISNUMBER($D98)),"",_xlfn.NORM.DIST(AJ$1,$D98,$E98,TRUE)-_xlfn.NORM.DIST(AJ$2,$D98,$E98,TRUE))</f>
        <v/>
      </c>
      <c r="AK98">
        <f>IF(NOT(ISNUMBER($D98)),"",_xlfn.NORM.DIST(AK$1,$D98,$E98,TRUE)-_xlfn.NORM.DIST(AK$2,$D98,$E98,TRUE))</f>
        <v/>
      </c>
      <c r="AL98">
        <f>IF(NOT(ISNUMBER($D98)),"",_xlfn.NORM.DIST(AL$1,$D98,$E98,TRUE)-_xlfn.NORM.DIST(AL$2,$D98,$E98,TRUE))</f>
        <v/>
      </c>
      <c r="AM98">
        <f>IF(NOT(ISNUMBER($D98)),"",_xlfn.NORM.DIST(AM$1,$D98,$E98,TRUE)-_xlfn.NORM.DIST(AM$2,$D98,$E98,TRUE))</f>
        <v/>
      </c>
      <c r="AN98">
        <f>IF(NOT(ISNUMBER($D98)),"",_xlfn.NORM.DIST(AN$1,$D98,$E98,TRUE)-_xlfn.NORM.DIST(AN$2,$D98,$E98,TRUE))</f>
        <v/>
      </c>
      <c r="AO98">
        <f>IF(NOT(ISNUMBER($D98)),"",_xlfn.NORM.DIST(AO$1,$D98,$E98,TRUE)-_xlfn.NORM.DIST(AO$2,$D98,$E98,TRUE))</f>
        <v/>
      </c>
      <c r="AP98">
        <f>IF(NOT(ISNUMBER($D98)),"",_xlfn.NORM.DIST(AP$1,$D98,$E98,TRUE)-_xlfn.NORM.DIST(AP$2,$D98,$E98,TRUE))</f>
        <v/>
      </c>
      <c r="AQ98">
        <f>IF(NOT(ISNUMBER($D98)),"",_xlfn.NORM.DIST(AQ$1,$D98,$E98,TRUE)-_xlfn.NORM.DIST(AQ$2,$D98,$E98,TRUE))</f>
        <v/>
      </c>
      <c r="AR98">
        <f>IF(NOT(ISNUMBER($D98)),"",_xlfn.NORM.DIST(AR$1,$D98,$E98,TRUE)-_xlfn.NORM.DIST(AR$2,$D98,$E98,TRUE))</f>
        <v/>
      </c>
      <c r="AS98">
        <f>IF(NOT(ISNUMBER($D98)),"",_xlfn.NORM.DIST(AS$1,$D98,$E98,TRUE)-_xlfn.NORM.DIST(AS$2,$D98,$E98,TRUE))</f>
        <v/>
      </c>
      <c r="AT98">
        <f>IF(NOT(ISNUMBER($D98)),"",_xlfn.NORM.DIST(AT$1,$D98,$E98,TRUE)-_xlfn.NORM.DIST(AT$2,$D98,$E98,TRUE))</f>
        <v/>
      </c>
      <c r="AU98">
        <f>IF(NOT(ISNUMBER($D98)),"",_xlfn.NORM.DIST(AU$1,$D98,$E98,TRUE)-_xlfn.NORM.DIST(AU$2,$D98,$E98,TRUE))</f>
        <v/>
      </c>
      <c r="AV98">
        <f>IF(NOT(ISNUMBER($D98)),"",_xlfn.NORM.DIST(AV$1,$D98,$E98,TRUE)-_xlfn.NORM.DIST(AV$2,$D98,$E98,TRUE))</f>
        <v/>
      </c>
      <c r="AW98">
        <f>IF(NOT(ISNUMBER($D98)),"",_xlfn.NORM.DIST(AW$1,$D98,$E98,TRUE)-_xlfn.NORM.DIST(AW$2,$D98,$E98,TRUE))</f>
        <v/>
      </c>
      <c r="AX98">
        <f>IF(NOT(ISNUMBER($D98)),"",_xlfn.NORM.DIST(AX$1,$D98,$E98,TRUE)-_xlfn.NORM.DIST(AX$2,$D98,$E98,TRUE))</f>
        <v/>
      </c>
      <c r="AY98">
        <f>IF(NOT(ISNUMBER($D98)),"",_xlfn.NORM.DIST(AY$1,$D98,$E98,TRUE)-_xlfn.NORM.DIST(AY$2,$D98,$E98,TRUE))</f>
        <v/>
      </c>
      <c r="AZ98">
        <f>IF(NOT(ISNUMBER($D98)),"",_xlfn.NORM.DIST(AZ$1,$D98,$E98,TRUE)-_xlfn.NORM.DIST(AZ$2,$D98,$E98,TRUE))</f>
        <v/>
      </c>
      <c r="BA98">
        <f>IF(NOT(ISNUMBER($D98)),"",_xlfn.NORM.DIST(BA$1,$D98,$E98,TRUE)-_xlfn.NORM.DIST(BA$2,$D98,$E98,TRUE))</f>
        <v/>
      </c>
      <c r="BB98">
        <f>IF(NOT(ISNUMBER($D98)),"",_xlfn.NORM.DIST(BB$1,$D98,$E98,TRUE)-_xlfn.NORM.DIST(BB$2,$D98,$E98,TRUE))</f>
        <v/>
      </c>
      <c r="BC98">
        <f>IF(NOT(ISNUMBER($D98)),"",_xlfn.NORM.DIST(BC$1,$D98,$E98,TRUE)-_xlfn.NORM.DIST(BC$2,$D98,$E98,TRUE))</f>
        <v/>
      </c>
      <c r="BD98">
        <f>IF(NOT(ISNUMBER($D98)),"",_xlfn.NORM.DIST(BD$1,$D98,$E98,TRUE)-_xlfn.NORM.DIST(BD$2,$D98,$E98,TRUE))</f>
        <v/>
      </c>
      <c r="BE98">
        <f>IF(NOT(ISNUMBER($D98)),"",_xlfn.NORM.DIST(BE$1,$D98,$E98,TRUE)-_xlfn.NORM.DIST(BE$2,$D98,$E98,TRUE))</f>
        <v/>
      </c>
      <c r="BF98">
        <f>IF(NOT(ISNUMBER($D98)),"",_xlfn.NORM.DIST(BF$1,$D98,$E98,TRUE)-_xlfn.NORM.DIST(BF$2,$D98,$E98,TRUE))</f>
        <v/>
      </c>
      <c r="BG98">
        <f>IF(NOT(ISNUMBER($D98)),"",_xlfn.NORM.DIST(BG$1,$D98,$E98,TRUE)-_xlfn.NORM.DIST(BG$2,$D98,$E98,TRUE))</f>
        <v/>
      </c>
      <c r="BH98">
        <f>IF(NOT(ISNUMBER($D98)),"",_xlfn.NORM.DIST(BH$1,$D98,$E98,TRUE)-_xlfn.NORM.DIST(BH$2,$D98,$E98,TRUE))</f>
        <v/>
      </c>
      <c r="BI98">
        <f>IF(NOT(ISNUMBER($D98)),"",_xlfn.NORM.DIST(BI$1,$D98,$E98,TRUE)-_xlfn.NORM.DIST(BI$2,$D98,$E98,TRUE))</f>
        <v/>
      </c>
      <c r="BJ98">
        <f>IF(NOT(ISNUMBER($D98)),"",_xlfn.NORM.DIST(BJ$1,$D98,$E98,TRUE)-_xlfn.NORM.DIST(BJ$2,$D98,$E98,TRUE))</f>
        <v/>
      </c>
      <c r="BK98">
        <f>IF(NOT(ISNUMBER($D98)),"",_xlfn.NORM.DIST(BK$1,$D98,$E98,TRUE)-_xlfn.NORM.DIST(BK$2,$D98,$E98,TRUE))</f>
        <v/>
      </c>
      <c r="BL98">
        <f>IF(NOT(ISNUMBER($D98)),"",_xlfn.NORM.DIST(BL$1,$D98,$E98,TRUE)-_xlfn.NORM.DIST(BL$2,$D98,$E98,TRUE))</f>
        <v/>
      </c>
      <c r="BM98">
        <f>IF(NOT(ISNUMBER($D98)),"",_xlfn.NORM.DIST(BM$1,$D98,$E98,TRUE)-_xlfn.NORM.DIST(BM$2,$D98,$E98,TRUE))</f>
        <v/>
      </c>
      <c r="BN98">
        <f>IF(NOT(ISNUMBER($D98)),"",_xlfn.NORM.DIST(BN$1,$D98,$E98,TRUE)-_xlfn.NORM.DIST(BN$2,$D98,$E98,TRUE))</f>
        <v/>
      </c>
      <c r="BO98">
        <f>IF(NOT(ISNUMBER($D98)),"",_xlfn.NORM.DIST(BO$1,$D98,$E98,TRUE)-_xlfn.NORM.DIST(BO$2,$D98,$E98,TRUE))</f>
        <v/>
      </c>
      <c r="BP98">
        <f>IF(NOT(ISNUMBER($D98)),"",_xlfn.NORM.DIST(BP$1,$D98,$E98,TRUE)-_xlfn.NORM.DIST(BP$2,$D98,$E98,TRUE))</f>
        <v/>
      </c>
      <c r="BQ98">
        <f>IF(NOT(ISNUMBER($D98)),"",_xlfn.NORM.DIST(BQ$1,$D98,$E98,TRUE)-_xlfn.NORM.DIST(BQ$2,$D98,$E98,TRUE))</f>
        <v/>
      </c>
      <c r="BR98">
        <f>IF(NOT(ISNUMBER($D98)),"",_xlfn.NORM.DIST(BR$1,$D98,$E98,TRUE)-_xlfn.NORM.DIST(BR$2,$D98,$E98,TRUE))</f>
        <v/>
      </c>
      <c r="BS98">
        <f>IF(NOT(ISNUMBER($D98)),"",_xlfn.NORM.DIST(BS$1,$D98,$E98,TRUE)-_xlfn.NORM.DIST(BS$2,$D98,$E98,TRUE))</f>
        <v/>
      </c>
      <c r="BT98">
        <f>IF(NOT(ISNUMBER($D98)),"",_xlfn.NORM.DIST(BT$1,$D98,$E98,TRUE)-_xlfn.NORM.DIST(BT$2,$D98,$E98,TRUE))</f>
        <v/>
      </c>
      <c r="BU98">
        <f>IF(NOT(ISNUMBER($D98)),"",_xlfn.NORM.DIST(BU$1,$D98,$E98,TRUE)-_xlfn.NORM.DIST(BU$2,$D98,$E98,TRUE))</f>
        <v/>
      </c>
      <c r="BV98">
        <f>IF(NOT(ISNUMBER($D98)),"",_xlfn.NORM.DIST(BV$1,$D98,$E98,TRUE)-_xlfn.NORM.DIST(BV$2,$D98,$E98,TRUE))</f>
        <v/>
      </c>
      <c r="BW98">
        <f>IF(NOT(ISNUMBER($D98)),"",_xlfn.NORM.DIST(BW$1,$D98,$E98,TRUE)-_xlfn.NORM.DIST(BW$2,$D98,$E98,TRUE))</f>
        <v/>
      </c>
      <c r="BX98">
        <f>IF(NOT(ISNUMBER($D98)),"",_xlfn.NORM.DIST(BX$1,$D98,$E98,TRUE)-_xlfn.NORM.DIST(BX$2,$D98,$E98,TRUE))</f>
        <v/>
      </c>
      <c r="BY98">
        <f>IF(NOT(ISNUMBER($D98)),"",_xlfn.NORM.DIST(BY$1,$D98,$E98,TRUE)-_xlfn.NORM.DIST(BY$2,$D98,$E98,TRUE))</f>
        <v/>
      </c>
      <c r="BZ98">
        <f>IF(NOT(ISNUMBER($D98)),"",_xlfn.NORM.DIST(BZ$1,$D98,$E98,TRUE)-_xlfn.NORM.DIST(BZ$2,$D98,$E98,TRUE))</f>
        <v/>
      </c>
      <c r="CA98">
        <f>IF(NOT(ISNUMBER($D98)),"",_xlfn.NORM.DIST(CA$1,$D98,$E98,TRUE)-_xlfn.NORM.DIST(CA$2,$D98,$E98,TRUE))</f>
        <v/>
      </c>
      <c r="CB98">
        <f>IF(NOT(ISNUMBER($D98)),"",_xlfn.NORM.DIST(CB$1,$D98,$E98,TRUE)-_xlfn.NORM.DIST(CB$2,$D98,$E98,TRUE))</f>
        <v/>
      </c>
      <c r="CC98">
        <f>IF(NOT(ISNUMBER($D98)),"",_xlfn.NORM.DIST(CC$1,$D98,$E98,TRUE)-_xlfn.NORM.DIST(CC$2,$D98,$E98,TRUE))</f>
        <v/>
      </c>
      <c r="CD98">
        <f>IF(NOT(ISNUMBER($D98)),"",_xlfn.NORM.DIST(CD$1,$D98,$E98,TRUE)-_xlfn.NORM.DIST(CD$2,$D98,$E98,TRUE))</f>
        <v/>
      </c>
      <c r="CE98">
        <f>IF(NOT(ISNUMBER($D98)),"",_xlfn.NORM.DIST(CE$1,$D98,$E98,TRUE)-_xlfn.NORM.DIST(CE$2,$D98,$E98,TRUE))</f>
        <v/>
      </c>
      <c r="CF98">
        <f>IF(NOT(ISNUMBER($D98)),"",_xlfn.NORM.DIST(CF$1,$D98,$E98,TRUE)-_xlfn.NORM.DIST(CF$2,$D98,$E98,TRUE))</f>
        <v/>
      </c>
      <c r="CG98">
        <f>IF(NOT(ISNUMBER($D98)),"",_xlfn.NORM.DIST(CG$1,$D98,$E98,TRUE)-_xlfn.NORM.DIST(CG$2,$D98,$E98,TRUE))</f>
        <v/>
      </c>
      <c r="CH98">
        <f>IF(NOT(ISNUMBER($D98)),"",_xlfn.NORM.DIST(CH$1,$D98,$E98,TRUE)-_xlfn.NORM.DIST(CH$2,$D98,$E98,TRUE))</f>
        <v/>
      </c>
      <c r="CI98">
        <f>IF(NOT(ISNUMBER($D98)),"",_xlfn.NORM.DIST(CI$1,$D98,$E98,TRUE)-_xlfn.NORM.DIST(CI$2,$D98,$E98,TRUE))</f>
        <v/>
      </c>
      <c r="CJ98">
        <f>IF(ISNUMBER($D98),SUM(F98:CI98),"")</f>
        <v/>
      </c>
    </row>
    <row r="99">
      <c r="A99">
        <f>economics!A98</f>
        <v/>
      </c>
      <c r="B99">
        <f>economics!B98</f>
        <v/>
      </c>
      <c r="C99">
        <f>economics!D98</f>
        <v/>
      </c>
      <c r="D99">
        <f>IF(ISNUMBER(economics!T98),economics!T98,"na")</f>
        <v/>
      </c>
      <c r="E99">
        <f>IF(ISNUMBER(D99),MAX(0.3*ABS(D99),0.000001),"na")</f>
        <v/>
      </c>
      <c r="F99">
        <f>IF(NOT(ISNUMBER($D99)),"",_xlfn.NORM.DIST(F$1,$D99,$E99,TRUE)-_xlfn.NORM.DIST(F$2,$D99,$E99,TRUE))</f>
        <v/>
      </c>
      <c r="G99">
        <f>IF(NOT(ISNUMBER($D99)),"",_xlfn.NORM.DIST(G$1,$D99,$E99,TRUE)-_xlfn.NORM.DIST(G$2,$D99,$E99,TRUE))</f>
        <v/>
      </c>
      <c r="H99">
        <f>IF(NOT(ISNUMBER($D99)),"",_xlfn.NORM.DIST(H$1,$D99,$E99,TRUE)-_xlfn.NORM.DIST(H$2,$D99,$E99,TRUE))</f>
        <v/>
      </c>
      <c r="I99">
        <f>IF(NOT(ISNUMBER($D99)),"",_xlfn.NORM.DIST(I$1,$D99,$E99,TRUE)-_xlfn.NORM.DIST(I$2,$D99,$E99,TRUE))</f>
        <v/>
      </c>
      <c r="J99">
        <f>IF(NOT(ISNUMBER($D99)),"",_xlfn.NORM.DIST(J$1,$D99,$E99,TRUE)-_xlfn.NORM.DIST(J$2,$D99,$E99,TRUE))</f>
        <v/>
      </c>
      <c r="K99">
        <f>IF(NOT(ISNUMBER($D99)),"",_xlfn.NORM.DIST(K$1,$D99,$E99,TRUE)-_xlfn.NORM.DIST(K$2,$D99,$E99,TRUE))</f>
        <v/>
      </c>
      <c r="L99">
        <f>IF(NOT(ISNUMBER($D99)),"",_xlfn.NORM.DIST(L$1,$D99,$E99,TRUE)-_xlfn.NORM.DIST(L$2,$D99,$E99,TRUE))</f>
        <v/>
      </c>
      <c r="M99">
        <f>IF(NOT(ISNUMBER($D99)),"",_xlfn.NORM.DIST(M$1,$D99,$E99,TRUE)-_xlfn.NORM.DIST(M$2,$D99,$E99,TRUE))</f>
        <v/>
      </c>
      <c r="N99">
        <f>IF(NOT(ISNUMBER($D99)),"",_xlfn.NORM.DIST(N$1,$D99,$E99,TRUE)-_xlfn.NORM.DIST(N$2,$D99,$E99,TRUE))</f>
        <v/>
      </c>
      <c r="O99">
        <f>IF(NOT(ISNUMBER($D99)),"",_xlfn.NORM.DIST(O$1,$D99,$E99,TRUE)-_xlfn.NORM.DIST(O$2,$D99,$E99,TRUE))</f>
        <v/>
      </c>
      <c r="P99">
        <f>IF(NOT(ISNUMBER($D99)),"",_xlfn.NORM.DIST(P$1,$D99,$E99,TRUE)-_xlfn.NORM.DIST(P$2,$D99,$E99,TRUE))</f>
        <v/>
      </c>
      <c r="Q99">
        <f>IF(NOT(ISNUMBER($D99)),"",_xlfn.NORM.DIST(Q$1,$D99,$E99,TRUE)-_xlfn.NORM.DIST(Q$2,$D99,$E99,TRUE))</f>
        <v/>
      </c>
      <c r="R99">
        <f>IF(NOT(ISNUMBER($D99)),"",_xlfn.NORM.DIST(R$1,$D99,$E99,TRUE)-_xlfn.NORM.DIST(R$2,$D99,$E99,TRUE))</f>
        <v/>
      </c>
      <c r="S99">
        <f>IF(NOT(ISNUMBER($D99)),"",_xlfn.NORM.DIST(S$1,$D99,$E99,TRUE)-_xlfn.NORM.DIST(S$2,$D99,$E99,TRUE))</f>
        <v/>
      </c>
      <c r="T99">
        <f>IF(NOT(ISNUMBER($D99)),"",_xlfn.NORM.DIST(T$1,$D99,$E99,TRUE)-_xlfn.NORM.DIST(T$2,$D99,$E99,TRUE))</f>
        <v/>
      </c>
      <c r="U99">
        <f>IF(NOT(ISNUMBER($D99)),"",_xlfn.NORM.DIST(U$1,$D99,$E99,TRUE)-_xlfn.NORM.DIST(U$2,$D99,$E99,TRUE))</f>
        <v/>
      </c>
      <c r="V99">
        <f>IF(NOT(ISNUMBER($D99)),"",_xlfn.NORM.DIST(V$1,$D99,$E99,TRUE)-_xlfn.NORM.DIST(V$2,$D99,$E99,TRUE))</f>
        <v/>
      </c>
      <c r="W99">
        <f>IF(NOT(ISNUMBER($D99)),"",_xlfn.NORM.DIST(W$1,$D99,$E99,TRUE)-_xlfn.NORM.DIST(W$2,$D99,$E99,TRUE))</f>
        <v/>
      </c>
      <c r="X99">
        <f>IF(NOT(ISNUMBER($D99)),"",_xlfn.NORM.DIST(X$1,$D99,$E99,TRUE)-_xlfn.NORM.DIST(X$2,$D99,$E99,TRUE))</f>
        <v/>
      </c>
      <c r="Y99">
        <f>IF(NOT(ISNUMBER($D99)),"",_xlfn.NORM.DIST(Y$1,$D99,$E99,TRUE)-_xlfn.NORM.DIST(Y$2,$D99,$E99,TRUE))</f>
        <v/>
      </c>
      <c r="Z99">
        <f>IF(NOT(ISNUMBER($D99)),"",_xlfn.NORM.DIST(Z$1,$D99,$E99,TRUE)-_xlfn.NORM.DIST(Z$2,$D99,$E99,TRUE))</f>
        <v/>
      </c>
      <c r="AA99">
        <f>IF(NOT(ISNUMBER($D99)),"",_xlfn.NORM.DIST(AA$1,$D99,$E99,TRUE)-_xlfn.NORM.DIST(AA$2,$D99,$E99,TRUE))</f>
        <v/>
      </c>
      <c r="AB99">
        <f>IF(NOT(ISNUMBER($D99)),"",_xlfn.NORM.DIST(AB$1,$D99,$E99,TRUE)-_xlfn.NORM.DIST(AB$2,$D99,$E99,TRUE))</f>
        <v/>
      </c>
      <c r="AC99">
        <f>IF(NOT(ISNUMBER($D99)),"",_xlfn.NORM.DIST(AC$1,$D99,$E99,TRUE)-_xlfn.NORM.DIST(AC$2,$D99,$E99,TRUE))</f>
        <v/>
      </c>
      <c r="AD99">
        <f>IF(NOT(ISNUMBER($D99)),"",_xlfn.NORM.DIST(AD$1,$D99,$E99,TRUE)-_xlfn.NORM.DIST(AD$2,$D99,$E99,TRUE))</f>
        <v/>
      </c>
      <c r="AE99">
        <f>IF(NOT(ISNUMBER($D99)),"",_xlfn.NORM.DIST(AE$1,$D99,$E99,TRUE)-_xlfn.NORM.DIST(AE$2,$D99,$E99,TRUE))</f>
        <v/>
      </c>
      <c r="AF99">
        <f>IF(NOT(ISNUMBER($D99)),"",_xlfn.NORM.DIST(AF$1,$D99,$E99,TRUE)-_xlfn.NORM.DIST(AF$2,$D99,$E99,TRUE))</f>
        <v/>
      </c>
      <c r="AG99">
        <f>IF(NOT(ISNUMBER($D99)),"",_xlfn.NORM.DIST(AG$1,$D99,$E99,TRUE)-_xlfn.NORM.DIST(AG$2,$D99,$E99,TRUE))</f>
        <v/>
      </c>
      <c r="AH99">
        <f>IF(NOT(ISNUMBER($D99)),"",_xlfn.NORM.DIST(AH$1,$D99,$E99,TRUE)-_xlfn.NORM.DIST(AH$2,$D99,$E99,TRUE))</f>
        <v/>
      </c>
      <c r="AI99">
        <f>IF(NOT(ISNUMBER($D99)),"",_xlfn.NORM.DIST(AI$1,$D99,$E99,TRUE)-_xlfn.NORM.DIST(AI$2,$D99,$E99,TRUE))</f>
        <v/>
      </c>
      <c r="AJ99">
        <f>IF(NOT(ISNUMBER($D99)),"",_xlfn.NORM.DIST(AJ$1,$D99,$E99,TRUE)-_xlfn.NORM.DIST(AJ$2,$D99,$E99,TRUE))</f>
        <v/>
      </c>
      <c r="AK99">
        <f>IF(NOT(ISNUMBER($D99)),"",_xlfn.NORM.DIST(AK$1,$D99,$E99,TRUE)-_xlfn.NORM.DIST(AK$2,$D99,$E99,TRUE))</f>
        <v/>
      </c>
      <c r="AL99">
        <f>IF(NOT(ISNUMBER($D99)),"",_xlfn.NORM.DIST(AL$1,$D99,$E99,TRUE)-_xlfn.NORM.DIST(AL$2,$D99,$E99,TRUE))</f>
        <v/>
      </c>
      <c r="AM99">
        <f>IF(NOT(ISNUMBER($D99)),"",_xlfn.NORM.DIST(AM$1,$D99,$E99,TRUE)-_xlfn.NORM.DIST(AM$2,$D99,$E99,TRUE))</f>
        <v/>
      </c>
      <c r="AN99">
        <f>IF(NOT(ISNUMBER($D99)),"",_xlfn.NORM.DIST(AN$1,$D99,$E99,TRUE)-_xlfn.NORM.DIST(AN$2,$D99,$E99,TRUE))</f>
        <v/>
      </c>
      <c r="AO99">
        <f>IF(NOT(ISNUMBER($D99)),"",_xlfn.NORM.DIST(AO$1,$D99,$E99,TRUE)-_xlfn.NORM.DIST(AO$2,$D99,$E99,TRUE))</f>
        <v/>
      </c>
      <c r="AP99">
        <f>IF(NOT(ISNUMBER($D99)),"",_xlfn.NORM.DIST(AP$1,$D99,$E99,TRUE)-_xlfn.NORM.DIST(AP$2,$D99,$E99,TRUE))</f>
        <v/>
      </c>
      <c r="AQ99">
        <f>IF(NOT(ISNUMBER($D99)),"",_xlfn.NORM.DIST(AQ$1,$D99,$E99,TRUE)-_xlfn.NORM.DIST(AQ$2,$D99,$E99,TRUE))</f>
        <v/>
      </c>
      <c r="AR99">
        <f>IF(NOT(ISNUMBER($D99)),"",_xlfn.NORM.DIST(AR$1,$D99,$E99,TRUE)-_xlfn.NORM.DIST(AR$2,$D99,$E99,TRUE))</f>
        <v/>
      </c>
      <c r="AS99">
        <f>IF(NOT(ISNUMBER($D99)),"",_xlfn.NORM.DIST(AS$1,$D99,$E99,TRUE)-_xlfn.NORM.DIST(AS$2,$D99,$E99,TRUE))</f>
        <v/>
      </c>
      <c r="AT99">
        <f>IF(NOT(ISNUMBER($D99)),"",_xlfn.NORM.DIST(AT$1,$D99,$E99,TRUE)-_xlfn.NORM.DIST(AT$2,$D99,$E99,TRUE))</f>
        <v/>
      </c>
      <c r="AU99">
        <f>IF(NOT(ISNUMBER($D99)),"",_xlfn.NORM.DIST(AU$1,$D99,$E99,TRUE)-_xlfn.NORM.DIST(AU$2,$D99,$E99,TRUE))</f>
        <v/>
      </c>
      <c r="AV99">
        <f>IF(NOT(ISNUMBER($D99)),"",_xlfn.NORM.DIST(AV$1,$D99,$E99,TRUE)-_xlfn.NORM.DIST(AV$2,$D99,$E99,TRUE))</f>
        <v/>
      </c>
      <c r="AW99">
        <f>IF(NOT(ISNUMBER($D99)),"",_xlfn.NORM.DIST(AW$1,$D99,$E99,TRUE)-_xlfn.NORM.DIST(AW$2,$D99,$E99,TRUE))</f>
        <v/>
      </c>
      <c r="AX99">
        <f>IF(NOT(ISNUMBER($D99)),"",_xlfn.NORM.DIST(AX$1,$D99,$E99,TRUE)-_xlfn.NORM.DIST(AX$2,$D99,$E99,TRUE))</f>
        <v/>
      </c>
      <c r="AY99">
        <f>IF(NOT(ISNUMBER($D99)),"",_xlfn.NORM.DIST(AY$1,$D99,$E99,TRUE)-_xlfn.NORM.DIST(AY$2,$D99,$E99,TRUE))</f>
        <v/>
      </c>
      <c r="AZ99">
        <f>IF(NOT(ISNUMBER($D99)),"",_xlfn.NORM.DIST(AZ$1,$D99,$E99,TRUE)-_xlfn.NORM.DIST(AZ$2,$D99,$E99,TRUE))</f>
        <v/>
      </c>
      <c r="BA99">
        <f>IF(NOT(ISNUMBER($D99)),"",_xlfn.NORM.DIST(BA$1,$D99,$E99,TRUE)-_xlfn.NORM.DIST(BA$2,$D99,$E99,TRUE))</f>
        <v/>
      </c>
      <c r="BB99">
        <f>IF(NOT(ISNUMBER($D99)),"",_xlfn.NORM.DIST(BB$1,$D99,$E99,TRUE)-_xlfn.NORM.DIST(BB$2,$D99,$E99,TRUE))</f>
        <v/>
      </c>
      <c r="BC99">
        <f>IF(NOT(ISNUMBER($D99)),"",_xlfn.NORM.DIST(BC$1,$D99,$E99,TRUE)-_xlfn.NORM.DIST(BC$2,$D99,$E99,TRUE))</f>
        <v/>
      </c>
      <c r="BD99">
        <f>IF(NOT(ISNUMBER($D99)),"",_xlfn.NORM.DIST(BD$1,$D99,$E99,TRUE)-_xlfn.NORM.DIST(BD$2,$D99,$E99,TRUE))</f>
        <v/>
      </c>
      <c r="BE99">
        <f>IF(NOT(ISNUMBER($D99)),"",_xlfn.NORM.DIST(BE$1,$D99,$E99,TRUE)-_xlfn.NORM.DIST(BE$2,$D99,$E99,TRUE))</f>
        <v/>
      </c>
      <c r="BF99">
        <f>IF(NOT(ISNUMBER($D99)),"",_xlfn.NORM.DIST(BF$1,$D99,$E99,TRUE)-_xlfn.NORM.DIST(BF$2,$D99,$E99,TRUE))</f>
        <v/>
      </c>
      <c r="BG99">
        <f>IF(NOT(ISNUMBER($D99)),"",_xlfn.NORM.DIST(BG$1,$D99,$E99,TRUE)-_xlfn.NORM.DIST(BG$2,$D99,$E99,TRUE))</f>
        <v/>
      </c>
      <c r="BH99">
        <f>IF(NOT(ISNUMBER($D99)),"",_xlfn.NORM.DIST(BH$1,$D99,$E99,TRUE)-_xlfn.NORM.DIST(BH$2,$D99,$E99,TRUE))</f>
        <v/>
      </c>
      <c r="BI99">
        <f>IF(NOT(ISNUMBER($D99)),"",_xlfn.NORM.DIST(BI$1,$D99,$E99,TRUE)-_xlfn.NORM.DIST(BI$2,$D99,$E99,TRUE))</f>
        <v/>
      </c>
      <c r="BJ99">
        <f>IF(NOT(ISNUMBER($D99)),"",_xlfn.NORM.DIST(BJ$1,$D99,$E99,TRUE)-_xlfn.NORM.DIST(BJ$2,$D99,$E99,TRUE))</f>
        <v/>
      </c>
      <c r="BK99">
        <f>IF(NOT(ISNUMBER($D99)),"",_xlfn.NORM.DIST(BK$1,$D99,$E99,TRUE)-_xlfn.NORM.DIST(BK$2,$D99,$E99,TRUE))</f>
        <v/>
      </c>
      <c r="BL99">
        <f>IF(NOT(ISNUMBER($D99)),"",_xlfn.NORM.DIST(BL$1,$D99,$E99,TRUE)-_xlfn.NORM.DIST(BL$2,$D99,$E99,TRUE))</f>
        <v/>
      </c>
      <c r="BM99">
        <f>IF(NOT(ISNUMBER($D99)),"",_xlfn.NORM.DIST(BM$1,$D99,$E99,TRUE)-_xlfn.NORM.DIST(BM$2,$D99,$E99,TRUE))</f>
        <v/>
      </c>
      <c r="BN99">
        <f>IF(NOT(ISNUMBER($D99)),"",_xlfn.NORM.DIST(BN$1,$D99,$E99,TRUE)-_xlfn.NORM.DIST(BN$2,$D99,$E99,TRUE))</f>
        <v/>
      </c>
      <c r="BO99">
        <f>IF(NOT(ISNUMBER($D99)),"",_xlfn.NORM.DIST(BO$1,$D99,$E99,TRUE)-_xlfn.NORM.DIST(BO$2,$D99,$E99,TRUE))</f>
        <v/>
      </c>
      <c r="BP99">
        <f>IF(NOT(ISNUMBER($D99)),"",_xlfn.NORM.DIST(BP$1,$D99,$E99,TRUE)-_xlfn.NORM.DIST(BP$2,$D99,$E99,TRUE))</f>
        <v/>
      </c>
      <c r="BQ99">
        <f>IF(NOT(ISNUMBER($D99)),"",_xlfn.NORM.DIST(BQ$1,$D99,$E99,TRUE)-_xlfn.NORM.DIST(BQ$2,$D99,$E99,TRUE))</f>
        <v/>
      </c>
      <c r="BR99">
        <f>IF(NOT(ISNUMBER($D99)),"",_xlfn.NORM.DIST(BR$1,$D99,$E99,TRUE)-_xlfn.NORM.DIST(BR$2,$D99,$E99,TRUE))</f>
        <v/>
      </c>
      <c r="BS99">
        <f>IF(NOT(ISNUMBER($D99)),"",_xlfn.NORM.DIST(BS$1,$D99,$E99,TRUE)-_xlfn.NORM.DIST(BS$2,$D99,$E99,TRUE))</f>
        <v/>
      </c>
      <c r="BT99">
        <f>IF(NOT(ISNUMBER($D99)),"",_xlfn.NORM.DIST(BT$1,$D99,$E99,TRUE)-_xlfn.NORM.DIST(BT$2,$D99,$E99,TRUE))</f>
        <v/>
      </c>
      <c r="BU99">
        <f>IF(NOT(ISNUMBER($D99)),"",_xlfn.NORM.DIST(BU$1,$D99,$E99,TRUE)-_xlfn.NORM.DIST(BU$2,$D99,$E99,TRUE))</f>
        <v/>
      </c>
      <c r="BV99">
        <f>IF(NOT(ISNUMBER($D99)),"",_xlfn.NORM.DIST(BV$1,$D99,$E99,TRUE)-_xlfn.NORM.DIST(BV$2,$D99,$E99,TRUE))</f>
        <v/>
      </c>
      <c r="BW99">
        <f>IF(NOT(ISNUMBER($D99)),"",_xlfn.NORM.DIST(BW$1,$D99,$E99,TRUE)-_xlfn.NORM.DIST(BW$2,$D99,$E99,TRUE))</f>
        <v/>
      </c>
      <c r="BX99">
        <f>IF(NOT(ISNUMBER($D99)),"",_xlfn.NORM.DIST(BX$1,$D99,$E99,TRUE)-_xlfn.NORM.DIST(BX$2,$D99,$E99,TRUE))</f>
        <v/>
      </c>
      <c r="BY99">
        <f>IF(NOT(ISNUMBER($D99)),"",_xlfn.NORM.DIST(BY$1,$D99,$E99,TRUE)-_xlfn.NORM.DIST(BY$2,$D99,$E99,TRUE))</f>
        <v/>
      </c>
      <c r="BZ99">
        <f>IF(NOT(ISNUMBER($D99)),"",_xlfn.NORM.DIST(BZ$1,$D99,$E99,TRUE)-_xlfn.NORM.DIST(BZ$2,$D99,$E99,TRUE))</f>
        <v/>
      </c>
      <c r="CA99">
        <f>IF(NOT(ISNUMBER($D99)),"",_xlfn.NORM.DIST(CA$1,$D99,$E99,TRUE)-_xlfn.NORM.DIST(CA$2,$D99,$E99,TRUE))</f>
        <v/>
      </c>
      <c r="CB99">
        <f>IF(NOT(ISNUMBER($D99)),"",_xlfn.NORM.DIST(CB$1,$D99,$E99,TRUE)-_xlfn.NORM.DIST(CB$2,$D99,$E99,TRUE))</f>
        <v/>
      </c>
      <c r="CC99">
        <f>IF(NOT(ISNUMBER($D99)),"",_xlfn.NORM.DIST(CC$1,$D99,$E99,TRUE)-_xlfn.NORM.DIST(CC$2,$D99,$E99,TRUE))</f>
        <v/>
      </c>
      <c r="CD99">
        <f>IF(NOT(ISNUMBER($D99)),"",_xlfn.NORM.DIST(CD$1,$D99,$E99,TRUE)-_xlfn.NORM.DIST(CD$2,$D99,$E99,TRUE))</f>
        <v/>
      </c>
      <c r="CE99">
        <f>IF(NOT(ISNUMBER($D99)),"",_xlfn.NORM.DIST(CE$1,$D99,$E99,TRUE)-_xlfn.NORM.DIST(CE$2,$D99,$E99,TRUE))</f>
        <v/>
      </c>
      <c r="CF99">
        <f>IF(NOT(ISNUMBER($D99)),"",_xlfn.NORM.DIST(CF$1,$D99,$E99,TRUE)-_xlfn.NORM.DIST(CF$2,$D99,$E99,TRUE))</f>
        <v/>
      </c>
      <c r="CG99">
        <f>IF(NOT(ISNUMBER($D99)),"",_xlfn.NORM.DIST(CG$1,$D99,$E99,TRUE)-_xlfn.NORM.DIST(CG$2,$D99,$E99,TRUE))</f>
        <v/>
      </c>
      <c r="CH99">
        <f>IF(NOT(ISNUMBER($D99)),"",_xlfn.NORM.DIST(CH$1,$D99,$E99,TRUE)-_xlfn.NORM.DIST(CH$2,$D99,$E99,TRUE))</f>
        <v/>
      </c>
      <c r="CI99">
        <f>IF(NOT(ISNUMBER($D99)),"",_xlfn.NORM.DIST(CI$1,$D99,$E99,TRUE)-_xlfn.NORM.DIST(CI$2,$D99,$E99,TRUE))</f>
        <v/>
      </c>
      <c r="CJ99">
        <f>IF(ISNUMBER($D99),SUM(F99:CI99),"")</f>
        <v/>
      </c>
    </row>
    <row r="100">
      <c r="A100">
        <f>economics!A99</f>
        <v/>
      </c>
      <c r="B100">
        <f>economics!B99</f>
        <v/>
      </c>
      <c r="C100">
        <f>economics!D99</f>
        <v/>
      </c>
      <c r="D100">
        <f>IF(ISNUMBER(economics!T99),economics!T99,"na")</f>
        <v/>
      </c>
      <c r="E100">
        <f>IF(ISNUMBER(D100),MAX(0.3*ABS(D100),0.000001),"na")</f>
        <v/>
      </c>
      <c r="F100">
        <f>IF(NOT(ISNUMBER($D100)),"",_xlfn.NORM.DIST(F$1,$D100,$E100,TRUE)-_xlfn.NORM.DIST(F$2,$D100,$E100,TRUE))</f>
        <v/>
      </c>
      <c r="G100">
        <f>IF(NOT(ISNUMBER($D100)),"",_xlfn.NORM.DIST(G$1,$D100,$E100,TRUE)-_xlfn.NORM.DIST(G$2,$D100,$E100,TRUE))</f>
        <v/>
      </c>
      <c r="H100">
        <f>IF(NOT(ISNUMBER($D100)),"",_xlfn.NORM.DIST(H$1,$D100,$E100,TRUE)-_xlfn.NORM.DIST(H$2,$D100,$E100,TRUE))</f>
        <v/>
      </c>
      <c r="I100">
        <f>IF(NOT(ISNUMBER($D100)),"",_xlfn.NORM.DIST(I$1,$D100,$E100,TRUE)-_xlfn.NORM.DIST(I$2,$D100,$E100,TRUE))</f>
        <v/>
      </c>
      <c r="J100">
        <f>IF(NOT(ISNUMBER($D100)),"",_xlfn.NORM.DIST(J$1,$D100,$E100,TRUE)-_xlfn.NORM.DIST(J$2,$D100,$E100,TRUE))</f>
        <v/>
      </c>
      <c r="K100">
        <f>IF(NOT(ISNUMBER($D100)),"",_xlfn.NORM.DIST(K$1,$D100,$E100,TRUE)-_xlfn.NORM.DIST(K$2,$D100,$E100,TRUE))</f>
        <v/>
      </c>
      <c r="L100">
        <f>IF(NOT(ISNUMBER($D100)),"",_xlfn.NORM.DIST(L$1,$D100,$E100,TRUE)-_xlfn.NORM.DIST(L$2,$D100,$E100,TRUE))</f>
        <v/>
      </c>
      <c r="M100">
        <f>IF(NOT(ISNUMBER($D100)),"",_xlfn.NORM.DIST(M$1,$D100,$E100,TRUE)-_xlfn.NORM.DIST(M$2,$D100,$E100,TRUE))</f>
        <v/>
      </c>
      <c r="N100">
        <f>IF(NOT(ISNUMBER($D100)),"",_xlfn.NORM.DIST(N$1,$D100,$E100,TRUE)-_xlfn.NORM.DIST(N$2,$D100,$E100,TRUE))</f>
        <v/>
      </c>
      <c r="O100">
        <f>IF(NOT(ISNUMBER($D100)),"",_xlfn.NORM.DIST(O$1,$D100,$E100,TRUE)-_xlfn.NORM.DIST(O$2,$D100,$E100,TRUE))</f>
        <v/>
      </c>
      <c r="P100">
        <f>IF(NOT(ISNUMBER($D100)),"",_xlfn.NORM.DIST(P$1,$D100,$E100,TRUE)-_xlfn.NORM.DIST(P$2,$D100,$E100,TRUE))</f>
        <v/>
      </c>
      <c r="Q100">
        <f>IF(NOT(ISNUMBER($D100)),"",_xlfn.NORM.DIST(Q$1,$D100,$E100,TRUE)-_xlfn.NORM.DIST(Q$2,$D100,$E100,TRUE))</f>
        <v/>
      </c>
      <c r="R100">
        <f>IF(NOT(ISNUMBER($D100)),"",_xlfn.NORM.DIST(R$1,$D100,$E100,TRUE)-_xlfn.NORM.DIST(R$2,$D100,$E100,TRUE))</f>
        <v/>
      </c>
      <c r="S100">
        <f>IF(NOT(ISNUMBER($D100)),"",_xlfn.NORM.DIST(S$1,$D100,$E100,TRUE)-_xlfn.NORM.DIST(S$2,$D100,$E100,TRUE))</f>
        <v/>
      </c>
      <c r="T100">
        <f>IF(NOT(ISNUMBER($D100)),"",_xlfn.NORM.DIST(T$1,$D100,$E100,TRUE)-_xlfn.NORM.DIST(T$2,$D100,$E100,TRUE))</f>
        <v/>
      </c>
      <c r="U100">
        <f>IF(NOT(ISNUMBER($D100)),"",_xlfn.NORM.DIST(U$1,$D100,$E100,TRUE)-_xlfn.NORM.DIST(U$2,$D100,$E100,TRUE))</f>
        <v/>
      </c>
      <c r="V100">
        <f>IF(NOT(ISNUMBER($D100)),"",_xlfn.NORM.DIST(V$1,$D100,$E100,TRUE)-_xlfn.NORM.DIST(V$2,$D100,$E100,TRUE))</f>
        <v/>
      </c>
      <c r="W100">
        <f>IF(NOT(ISNUMBER($D100)),"",_xlfn.NORM.DIST(W$1,$D100,$E100,TRUE)-_xlfn.NORM.DIST(W$2,$D100,$E100,TRUE))</f>
        <v/>
      </c>
      <c r="X100">
        <f>IF(NOT(ISNUMBER($D100)),"",_xlfn.NORM.DIST(X$1,$D100,$E100,TRUE)-_xlfn.NORM.DIST(X$2,$D100,$E100,TRUE))</f>
        <v/>
      </c>
      <c r="Y100">
        <f>IF(NOT(ISNUMBER($D100)),"",_xlfn.NORM.DIST(Y$1,$D100,$E100,TRUE)-_xlfn.NORM.DIST(Y$2,$D100,$E100,TRUE))</f>
        <v/>
      </c>
      <c r="Z100">
        <f>IF(NOT(ISNUMBER($D100)),"",_xlfn.NORM.DIST(Z$1,$D100,$E100,TRUE)-_xlfn.NORM.DIST(Z$2,$D100,$E100,TRUE))</f>
        <v/>
      </c>
      <c r="AA100">
        <f>IF(NOT(ISNUMBER($D100)),"",_xlfn.NORM.DIST(AA$1,$D100,$E100,TRUE)-_xlfn.NORM.DIST(AA$2,$D100,$E100,TRUE))</f>
        <v/>
      </c>
      <c r="AB100">
        <f>IF(NOT(ISNUMBER($D100)),"",_xlfn.NORM.DIST(AB$1,$D100,$E100,TRUE)-_xlfn.NORM.DIST(AB$2,$D100,$E100,TRUE))</f>
        <v/>
      </c>
      <c r="AC100">
        <f>IF(NOT(ISNUMBER($D100)),"",_xlfn.NORM.DIST(AC$1,$D100,$E100,TRUE)-_xlfn.NORM.DIST(AC$2,$D100,$E100,TRUE))</f>
        <v/>
      </c>
      <c r="AD100">
        <f>IF(NOT(ISNUMBER($D100)),"",_xlfn.NORM.DIST(AD$1,$D100,$E100,TRUE)-_xlfn.NORM.DIST(AD$2,$D100,$E100,TRUE))</f>
        <v/>
      </c>
      <c r="AE100">
        <f>IF(NOT(ISNUMBER($D100)),"",_xlfn.NORM.DIST(AE$1,$D100,$E100,TRUE)-_xlfn.NORM.DIST(AE$2,$D100,$E100,TRUE))</f>
        <v/>
      </c>
      <c r="AF100">
        <f>IF(NOT(ISNUMBER($D100)),"",_xlfn.NORM.DIST(AF$1,$D100,$E100,TRUE)-_xlfn.NORM.DIST(AF$2,$D100,$E100,TRUE))</f>
        <v/>
      </c>
      <c r="AG100">
        <f>IF(NOT(ISNUMBER($D100)),"",_xlfn.NORM.DIST(AG$1,$D100,$E100,TRUE)-_xlfn.NORM.DIST(AG$2,$D100,$E100,TRUE))</f>
        <v/>
      </c>
      <c r="AH100">
        <f>IF(NOT(ISNUMBER($D100)),"",_xlfn.NORM.DIST(AH$1,$D100,$E100,TRUE)-_xlfn.NORM.DIST(AH$2,$D100,$E100,TRUE))</f>
        <v/>
      </c>
      <c r="AI100">
        <f>IF(NOT(ISNUMBER($D100)),"",_xlfn.NORM.DIST(AI$1,$D100,$E100,TRUE)-_xlfn.NORM.DIST(AI$2,$D100,$E100,TRUE))</f>
        <v/>
      </c>
      <c r="AJ100">
        <f>IF(NOT(ISNUMBER($D100)),"",_xlfn.NORM.DIST(AJ$1,$D100,$E100,TRUE)-_xlfn.NORM.DIST(AJ$2,$D100,$E100,TRUE))</f>
        <v/>
      </c>
      <c r="AK100">
        <f>IF(NOT(ISNUMBER($D100)),"",_xlfn.NORM.DIST(AK$1,$D100,$E100,TRUE)-_xlfn.NORM.DIST(AK$2,$D100,$E100,TRUE))</f>
        <v/>
      </c>
      <c r="AL100">
        <f>IF(NOT(ISNUMBER($D100)),"",_xlfn.NORM.DIST(AL$1,$D100,$E100,TRUE)-_xlfn.NORM.DIST(AL$2,$D100,$E100,TRUE))</f>
        <v/>
      </c>
      <c r="AM100">
        <f>IF(NOT(ISNUMBER($D100)),"",_xlfn.NORM.DIST(AM$1,$D100,$E100,TRUE)-_xlfn.NORM.DIST(AM$2,$D100,$E100,TRUE))</f>
        <v/>
      </c>
      <c r="AN100">
        <f>IF(NOT(ISNUMBER($D100)),"",_xlfn.NORM.DIST(AN$1,$D100,$E100,TRUE)-_xlfn.NORM.DIST(AN$2,$D100,$E100,TRUE))</f>
        <v/>
      </c>
      <c r="AO100">
        <f>IF(NOT(ISNUMBER($D100)),"",_xlfn.NORM.DIST(AO$1,$D100,$E100,TRUE)-_xlfn.NORM.DIST(AO$2,$D100,$E100,TRUE))</f>
        <v/>
      </c>
      <c r="AP100">
        <f>IF(NOT(ISNUMBER($D100)),"",_xlfn.NORM.DIST(AP$1,$D100,$E100,TRUE)-_xlfn.NORM.DIST(AP$2,$D100,$E100,TRUE))</f>
        <v/>
      </c>
      <c r="AQ100">
        <f>IF(NOT(ISNUMBER($D100)),"",_xlfn.NORM.DIST(AQ$1,$D100,$E100,TRUE)-_xlfn.NORM.DIST(AQ$2,$D100,$E100,TRUE))</f>
        <v/>
      </c>
      <c r="AR100">
        <f>IF(NOT(ISNUMBER($D100)),"",_xlfn.NORM.DIST(AR$1,$D100,$E100,TRUE)-_xlfn.NORM.DIST(AR$2,$D100,$E100,TRUE))</f>
        <v/>
      </c>
      <c r="AS100">
        <f>IF(NOT(ISNUMBER($D100)),"",_xlfn.NORM.DIST(AS$1,$D100,$E100,TRUE)-_xlfn.NORM.DIST(AS$2,$D100,$E100,TRUE))</f>
        <v/>
      </c>
      <c r="AT100">
        <f>IF(NOT(ISNUMBER($D100)),"",_xlfn.NORM.DIST(AT$1,$D100,$E100,TRUE)-_xlfn.NORM.DIST(AT$2,$D100,$E100,TRUE))</f>
        <v/>
      </c>
      <c r="AU100">
        <f>IF(NOT(ISNUMBER($D100)),"",_xlfn.NORM.DIST(AU$1,$D100,$E100,TRUE)-_xlfn.NORM.DIST(AU$2,$D100,$E100,TRUE))</f>
        <v/>
      </c>
      <c r="AV100">
        <f>IF(NOT(ISNUMBER($D100)),"",_xlfn.NORM.DIST(AV$1,$D100,$E100,TRUE)-_xlfn.NORM.DIST(AV$2,$D100,$E100,TRUE))</f>
        <v/>
      </c>
      <c r="AW100">
        <f>IF(NOT(ISNUMBER($D100)),"",_xlfn.NORM.DIST(AW$1,$D100,$E100,TRUE)-_xlfn.NORM.DIST(AW$2,$D100,$E100,TRUE))</f>
        <v/>
      </c>
      <c r="AX100">
        <f>IF(NOT(ISNUMBER($D100)),"",_xlfn.NORM.DIST(AX$1,$D100,$E100,TRUE)-_xlfn.NORM.DIST(AX$2,$D100,$E100,TRUE))</f>
        <v/>
      </c>
      <c r="AY100">
        <f>IF(NOT(ISNUMBER($D100)),"",_xlfn.NORM.DIST(AY$1,$D100,$E100,TRUE)-_xlfn.NORM.DIST(AY$2,$D100,$E100,TRUE))</f>
        <v/>
      </c>
      <c r="AZ100">
        <f>IF(NOT(ISNUMBER($D100)),"",_xlfn.NORM.DIST(AZ$1,$D100,$E100,TRUE)-_xlfn.NORM.DIST(AZ$2,$D100,$E100,TRUE))</f>
        <v/>
      </c>
      <c r="BA100">
        <f>IF(NOT(ISNUMBER($D100)),"",_xlfn.NORM.DIST(BA$1,$D100,$E100,TRUE)-_xlfn.NORM.DIST(BA$2,$D100,$E100,TRUE))</f>
        <v/>
      </c>
      <c r="BB100">
        <f>IF(NOT(ISNUMBER($D100)),"",_xlfn.NORM.DIST(BB$1,$D100,$E100,TRUE)-_xlfn.NORM.DIST(BB$2,$D100,$E100,TRUE))</f>
        <v/>
      </c>
      <c r="BC100">
        <f>IF(NOT(ISNUMBER($D100)),"",_xlfn.NORM.DIST(BC$1,$D100,$E100,TRUE)-_xlfn.NORM.DIST(BC$2,$D100,$E100,TRUE))</f>
        <v/>
      </c>
      <c r="BD100">
        <f>IF(NOT(ISNUMBER($D100)),"",_xlfn.NORM.DIST(BD$1,$D100,$E100,TRUE)-_xlfn.NORM.DIST(BD$2,$D100,$E100,TRUE))</f>
        <v/>
      </c>
      <c r="BE100">
        <f>IF(NOT(ISNUMBER($D100)),"",_xlfn.NORM.DIST(BE$1,$D100,$E100,TRUE)-_xlfn.NORM.DIST(BE$2,$D100,$E100,TRUE))</f>
        <v/>
      </c>
      <c r="BF100">
        <f>IF(NOT(ISNUMBER($D100)),"",_xlfn.NORM.DIST(BF$1,$D100,$E100,TRUE)-_xlfn.NORM.DIST(BF$2,$D100,$E100,TRUE))</f>
        <v/>
      </c>
      <c r="BG100">
        <f>IF(NOT(ISNUMBER($D100)),"",_xlfn.NORM.DIST(BG$1,$D100,$E100,TRUE)-_xlfn.NORM.DIST(BG$2,$D100,$E100,TRUE))</f>
        <v/>
      </c>
      <c r="BH100">
        <f>IF(NOT(ISNUMBER($D100)),"",_xlfn.NORM.DIST(BH$1,$D100,$E100,TRUE)-_xlfn.NORM.DIST(BH$2,$D100,$E100,TRUE))</f>
        <v/>
      </c>
      <c r="BI100">
        <f>IF(NOT(ISNUMBER($D100)),"",_xlfn.NORM.DIST(BI$1,$D100,$E100,TRUE)-_xlfn.NORM.DIST(BI$2,$D100,$E100,TRUE))</f>
        <v/>
      </c>
      <c r="BJ100">
        <f>IF(NOT(ISNUMBER($D100)),"",_xlfn.NORM.DIST(BJ$1,$D100,$E100,TRUE)-_xlfn.NORM.DIST(BJ$2,$D100,$E100,TRUE))</f>
        <v/>
      </c>
      <c r="BK100">
        <f>IF(NOT(ISNUMBER($D100)),"",_xlfn.NORM.DIST(BK$1,$D100,$E100,TRUE)-_xlfn.NORM.DIST(BK$2,$D100,$E100,TRUE))</f>
        <v/>
      </c>
      <c r="BL100">
        <f>IF(NOT(ISNUMBER($D100)),"",_xlfn.NORM.DIST(BL$1,$D100,$E100,TRUE)-_xlfn.NORM.DIST(BL$2,$D100,$E100,TRUE))</f>
        <v/>
      </c>
      <c r="BM100">
        <f>IF(NOT(ISNUMBER($D100)),"",_xlfn.NORM.DIST(BM$1,$D100,$E100,TRUE)-_xlfn.NORM.DIST(BM$2,$D100,$E100,TRUE))</f>
        <v/>
      </c>
      <c r="BN100">
        <f>IF(NOT(ISNUMBER($D100)),"",_xlfn.NORM.DIST(BN$1,$D100,$E100,TRUE)-_xlfn.NORM.DIST(BN$2,$D100,$E100,TRUE))</f>
        <v/>
      </c>
      <c r="BO100">
        <f>IF(NOT(ISNUMBER($D100)),"",_xlfn.NORM.DIST(BO$1,$D100,$E100,TRUE)-_xlfn.NORM.DIST(BO$2,$D100,$E100,TRUE))</f>
        <v/>
      </c>
      <c r="BP100">
        <f>IF(NOT(ISNUMBER($D100)),"",_xlfn.NORM.DIST(BP$1,$D100,$E100,TRUE)-_xlfn.NORM.DIST(BP$2,$D100,$E100,TRUE))</f>
        <v/>
      </c>
      <c r="BQ100">
        <f>IF(NOT(ISNUMBER($D100)),"",_xlfn.NORM.DIST(BQ$1,$D100,$E100,TRUE)-_xlfn.NORM.DIST(BQ$2,$D100,$E100,TRUE))</f>
        <v/>
      </c>
      <c r="BR100">
        <f>IF(NOT(ISNUMBER($D100)),"",_xlfn.NORM.DIST(BR$1,$D100,$E100,TRUE)-_xlfn.NORM.DIST(BR$2,$D100,$E100,TRUE))</f>
        <v/>
      </c>
      <c r="BS100">
        <f>IF(NOT(ISNUMBER($D100)),"",_xlfn.NORM.DIST(BS$1,$D100,$E100,TRUE)-_xlfn.NORM.DIST(BS$2,$D100,$E100,TRUE))</f>
        <v/>
      </c>
      <c r="BT100">
        <f>IF(NOT(ISNUMBER($D100)),"",_xlfn.NORM.DIST(BT$1,$D100,$E100,TRUE)-_xlfn.NORM.DIST(BT$2,$D100,$E100,TRUE))</f>
        <v/>
      </c>
      <c r="BU100">
        <f>IF(NOT(ISNUMBER($D100)),"",_xlfn.NORM.DIST(BU$1,$D100,$E100,TRUE)-_xlfn.NORM.DIST(BU$2,$D100,$E100,TRUE))</f>
        <v/>
      </c>
      <c r="BV100">
        <f>IF(NOT(ISNUMBER($D100)),"",_xlfn.NORM.DIST(BV$1,$D100,$E100,TRUE)-_xlfn.NORM.DIST(BV$2,$D100,$E100,TRUE))</f>
        <v/>
      </c>
      <c r="BW100">
        <f>IF(NOT(ISNUMBER($D100)),"",_xlfn.NORM.DIST(BW$1,$D100,$E100,TRUE)-_xlfn.NORM.DIST(BW$2,$D100,$E100,TRUE))</f>
        <v/>
      </c>
      <c r="BX100">
        <f>IF(NOT(ISNUMBER($D100)),"",_xlfn.NORM.DIST(BX$1,$D100,$E100,TRUE)-_xlfn.NORM.DIST(BX$2,$D100,$E100,TRUE))</f>
        <v/>
      </c>
      <c r="BY100">
        <f>IF(NOT(ISNUMBER($D100)),"",_xlfn.NORM.DIST(BY$1,$D100,$E100,TRUE)-_xlfn.NORM.DIST(BY$2,$D100,$E100,TRUE))</f>
        <v/>
      </c>
      <c r="BZ100">
        <f>IF(NOT(ISNUMBER($D100)),"",_xlfn.NORM.DIST(BZ$1,$D100,$E100,TRUE)-_xlfn.NORM.DIST(BZ$2,$D100,$E100,TRUE))</f>
        <v/>
      </c>
      <c r="CA100">
        <f>IF(NOT(ISNUMBER($D100)),"",_xlfn.NORM.DIST(CA$1,$D100,$E100,TRUE)-_xlfn.NORM.DIST(CA$2,$D100,$E100,TRUE))</f>
        <v/>
      </c>
      <c r="CB100">
        <f>IF(NOT(ISNUMBER($D100)),"",_xlfn.NORM.DIST(CB$1,$D100,$E100,TRUE)-_xlfn.NORM.DIST(CB$2,$D100,$E100,TRUE))</f>
        <v/>
      </c>
      <c r="CC100">
        <f>IF(NOT(ISNUMBER($D100)),"",_xlfn.NORM.DIST(CC$1,$D100,$E100,TRUE)-_xlfn.NORM.DIST(CC$2,$D100,$E100,TRUE))</f>
        <v/>
      </c>
      <c r="CD100">
        <f>IF(NOT(ISNUMBER($D100)),"",_xlfn.NORM.DIST(CD$1,$D100,$E100,TRUE)-_xlfn.NORM.DIST(CD$2,$D100,$E100,TRUE))</f>
        <v/>
      </c>
      <c r="CE100">
        <f>IF(NOT(ISNUMBER($D100)),"",_xlfn.NORM.DIST(CE$1,$D100,$E100,TRUE)-_xlfn.NORM.DIST(CE$2,$D100,$E100,TRUE))</f>
        <v/>
      </c>
      <c r="CF100">
        <f>IF(NOT(ISNUMBER($D100)),"",_xlfn.NORM.DIST(CF$1,$D100,$E100,TRUE)-_xlfn.NORM.DIST(CF$2,$D100,$E100,TRUE))</f>
        <v/>
      </c>
      <c r="CG100">
        <f>IF(NOT(ISNUMBER($D100)),"",_xlfn.NORM.DIST(CG$1,$D100,$E100,TRUE)-_xlfn.NORM.DIST(CG$2,$D100,$E100,TRUE))</f>
        <v/>
      </c>
      <c r="CH100">
        <f>IF(NOT(ISNUMBER($D100)),"",_xlfn.NORM.DIST(CH$1,$D100,$E100,TRUE)-_xlfn.NORM.DIST(CH$2,$D100,$E100,TRUE))</f>
        <v/>
      </c>
      <c r="CI100">
        <f>IF(NOT(ISNUMBER($D100)),"",_xlfn.NORM.DIST(CI$1,$D100,$E100,TRUE)-_xlfn.NORM.DIST(CI$2,$D100,$E100,TRUE))</f>
        <v/>
      </c>
      <c r="CJ100">
        <f>IF(ISNUMBER($D100),SUM(F100:CI100),"")</f>
        <v/>
      </c>
    </row>
    <row r="101">
      <c r="A101">
        <f>economics!A100</f>
        <v/>
      </c>
      <c r="B101">
        <f>economics!B100</f>
        <v/>
      </c>
      <c r="C101">
        <f>economics!D100</f>
        <v/>
      </c>
      <c r="D101">
        <f>IF(ISNUMBER(economics!T100),economics!T100,"na")</f>
        <v/>
      </c>
      <c r="E101">
        <f>IF(ISNUMBER(D101),MAX(0.3*ABS(D101),0.000001),"na")</f>
        <v/>
      </c>
      <c r="F101">
        <f>IF(NOT(ISNUMBER($D101)),"",_xlfn.NORM.DIST(F$1,$D101,$E101,TRUE)-_xlfn.NORM.DIST(F$2,$D101,$E101,TRUE))</f>
        <v/>
      </c>
      <c r="G101">
        <f>IF(NOT(ISNUMBER($D101)),"",_xlfn.NORM.DIST(G$1,$D101,$E101,TRUE)-_xlfn.NORM.DIST(G$2,$D101,$E101,TRUE))</f>
        <v/>
      </c>
      <c r="H101">
        <f>IF(NOT(ISNUMBER($D101)),"",_xlfn.NORM.DIST(H$1,$D101,$E101,TRUE)-_xlfn.NORM.DIST(H$2,$D101,$E101,TRUE))</f>
        <v/>
      </c>
      <c r="I101">
        <f>IF(NOT(ISNUMBER($D101)),"",_xlfn.NORM.DIST(I$1,$D101,$E101,TRUE)-_xlfn.NORM.DIST(I$2,$D101,$E101,TRUE))</f>
        <v/>
      </c>
      <c r="J101">
        <f>IF(NOT(ISNUMBER($D101)),"",_xlfn.NORM.DIST(J$1,$D101,$E101,TRUE)-_xlfn.NORM.DIST(J$2,$D101,$E101,TRUE))</f>
        <v/>
      </c>
      <c r="K101">
        <f>IF(NOT(ISNUMBER($D101)),"",_xlfn.NORM.DIST(K$1,$D101,$E101,TRUE)-_xlfn.NORM.DIST(K$2,$D101,$E101,TRUE))</f>
        <v/>
      </c>
      <c r="L101">
        <f>IF(NOT(ISNUMBER($D101)),"",_xlfn.NORM.DIST(L$1,$D101,$E101,TRUE)-_xlfn.NORM.DIST(L$2,$D101,$E101,TRUE))</f>
        <v/>
      </c>
      <c r="M101">
        <f>IF(NOT(ISNUMBER($D101)),"",_xlfn.NORM.DIST(M$1,$D101,$E101,TRUE)-_xlfn.NORM.DIST(M$2,$D101,$E101,TRUE))</f>
        <v/>
      </c>
      <c r="N101">
        <f>IF(NOT(ISNUMBER($D101)),"",_xlfn.NORM.DIST(N$1,$D101,$E101,TRUE)-_xlfn.NORM.DIST(N$2,$D101,$E101,TRUE))</f>
        <v/>
      </c>
      <c r="O101">
        <f>IF(NOT(ISNUMBER($D101)),"",_xlfn.NORM.DIST(O$1,$D101,$E101,TRUE)-_xlfn.NORM.DIST(O$2,$D101,$E101,TRUE))</f>
        <v/>
      </c>
      <c r="P101">
        <f>IF(NOT(ISNUMBER($D101)),"",_xlfn.NORM.DIST(P$1,$D101,$E101,TRUE)-_xlfn.NORM.DIST(P$2,$D101,$E101,TRUE))</f>
        <v/>
      </c>
      <c r="Q101">
        <f>IF(NOT(ISNUMBER($D101)),"",_xlfn.NORM.DIST(Q$1,$D101,$E101,TRUE)-_xlfn.NORM.DIST(Q$2,$D101,$E101,TRUE))</f>
        <v/>
      </c>
      <c r="R101">
        <f>IF(NOT(ISNUMBER($D101)),"",_xlfn.NORM.DIST(R$1,$D101,$E101,TRUE)-_xlfn.NORM.DIST(R$2,$D101,$E101,TRUE))</f>
        <v/>
      </c>
      <c r="S101">
        <f>IF(NOT(ISNUMBER($D101)),"",_xlfn.NORM.DIST(S$1,$D101,$E101,TRUE)-_xlfn.NORM.DIST(S$2,$D101,$E101,TRUE))</f>
        <v/>
      </c>
      <c r="T101">
        <f>IF(NOT(ISNUMBER($D101)),"",_xlfn.NORM.DIST(T$1,$D101,$E101,TRUE)-_xlfn.NORM.DIST(T$2,$D101,$E101,TRUE))</f>
        <v/>
      </c>
      <c r="U101">
        <f>IF(NOT(ISNUMBER($D101)),"",_xlfn.NORM.DIST(U$1,$D101,$E101,TRUE)-_xlfn.NORM.DIST(U$2,$D101,$E101,TRUE))</f>
        <v/>
      </c>
      <c r="V101">
        <f>IF(NOT(ISNUMBER($D101)),"",_xlfn.NORM.DIST(V$1,$D101,$E101,TRUE)-_xlfn.NORM.DIST(V$2,$D101,$E101,TRUE))</f>
        <v/>
      </c>
      <c r="W101">
        <f>IF(NOT(ISNUMBER($D101)),"",_xlfn.NORM.DIST(W$1,$D101,$E101,TRUE)-_xlfn.NORM.DIST(W$2,$D101,$E101,TRUE))</f>
        <v/>
      </c>
      <c r="X101">
        <f>IF(NOT(ISNUMBER($D101)),"",_xlfn.NORM.DIST(X$1,$D101,$E101,TRUE)-_xlfn.NORM.DIST(X$2,$D101,$E101,TRUE))</f>
        <v/>
      </c>
      <c r="Y101">
        <f>IF(NOT(ISNUMBER($D101)),"",_xlfn.NORM.DIST(Y$1,$D101,$E101,TRUE)-_xlfn.NORM.DIST(Y$2,$D101,$E101,TRUE))</f>
        <v/>
      </c>
      <c r="Z101">
        <f>IF(NOT(ISNUMBER($D101)),"",_xlfn.NORM.DIST(Z$1,$D101,$E101,TRUE)-_xlfn.NORM.DIST(Z$2,$D101,$E101,TRUE))</f>
        <v/>
      </c>
      <c r="AA101">
        <f>IF(NOT(ISNUMBER($D101)),"",_xlfn.NORM.DIST(AA$1,$D101,$E101,TRUE)-_xlfn.NORM.DIST(AA$2,$D101,$E101,TRUE))</f>
        <v/>
      </c>
      <c r="AB101">
        <f>IF(NOT(ISNUMBER($D101)),"",_xlfn.NORM.DIST(AB$1,$D101,$E101,TRUE)-_xlfn.NORM.DIST(AB$2,$D101,$E101,TRUE))</f>
        <v/>
      </c>
      <c r="AC101">
        <f>IF(NOT(ISNUMBER($D101)),"",_xlfn.NORM.DIST(AC$1,$D101,$E101,TRUE)-_xlfn.NORM.DIST(AC$2,$D101,$E101,TRUE))</f>
        <v/>
      </c>
      <c r="AD101">
        <f>IF(NOT(ISNUMBER($D101)),"",_xlfn.NORM.DIST(AD$1,$D101,$E101,TRUE)-_xlfn.NORM.DIST(AD$2,$D101,$E101,TRUE))</f>
        <v/>
      </c>
      <c r="AE101">
        <f>IF(NOT(ISNUMBER($D101)),"",_xlfn.NORM.DIST(AE$1,$D101,$E101,TRUE)-_xlfn.NORM.DIST(AE$2,$D101,$E101,TRUE))</f>
        <v/>
      </c>
      <c r="AF101">
        <f>IF(NOT(ISNUMBER($D101)),"",_xlfn.NORM.DIST(AF$1,$D101,$E101,TRUE)-_xlfn.NORM.DIST(AF$2,$D101,$E101,TRUE))</f>
        <v/>
      </c>
      <c r="AG101">
        <f>IF(NOT(ISNUMBER($D101)),"",_xlfn.NORM.DIST(AG$1,$D101,$E101,TRUE)-_xlfn.NORM.DIST(AG$2,$D101,$E101,TRUE))</f>
        <v/>
      </c>
      <c r="AH101">
        <f>IF(NOT(ISNUMBER($D101)),"",_xlfn.NORM.DIST(AH$1,$D101,$E101,TRUE)-_xlfn.NORM.DIST(AH$2,$D101,$E101,TRUE))</f>
        <v/>
      </c>
      <c r="AI101">
        <f>IF(NOT(ISNUMBER($D101)),"",_xlfn.NORM.DIST(AI$1,$D101,$E101,TRUE)-_xlfn.NORM.DIST(AI$2,$D101,$E101,TRUE))</f>
        <v/>
      </c>
      <c r="AJ101">
        <f>IF(NOT(ISNUMBER($D101)),"",_xlfn.NORM.DIST(AJ$1,$D101,$E101,TRUE)-_xlfn.NORM.DIST(AJ$2,$D101,$E101,TRUE))</f>
        <v/>
      </c>
      <c r="AK101">
        <f>IF(NOT(ISNUMBER($D101)),"",_xlfn.NORM.DIST(AK$1,$D101,$E101,TRUE)-_xlfn.NORM.DIST(AK$2,$D101,$E101,TRUE))</f>
        <v/>
      </c>
      <c r="AL101">
        <f>IF(NOT(ISNUMBER($D101)),"",_xlfn.NORM.DIST(AL$1,$D101,$E101,TRUE)-_xlfn.NORM.DIST(AL$2,$D101,$E101,TRUE))</f>
        <v/>
      </c>
      <c r="AM101">
        <f>IF(NOT(ISNUMBER($D101)),"",_xlfn.NORM.DIST(AM$1,$D101,$E101,TRUE)-_xlfn.NORM.DIST(AM$2,$D101,$E101,TRUE))</f>
        <v/>
      </c>
      <c r="AN101">
        <f>IF(NOT(ISNUMBER($D101)),"",_xlfn.NORM.DIST(AN$1,$D101,$E101,TRUE)-_xlfn.NORM.DIST(AN$2,$D101,$E101,TRUE))</f>
        <v/>
      </c>
      <c r="AO101">
        <f>IF(NOT(ISNUMBER($D101)),"",_xlfn.NORM.DIST(AO$1,$D101,$E101,TRUE)-_xlfn.NORM.DIST(AO$2,$D101,$E101,TRUE))</f>
        <v/>
      </c>
      <c r="AP101">
        <f>IF(NOT(ISNUMBER($D101)),"",_xlfn.NORM.DIST(AP$1,$D101,$E101,TRUE)-_xlfn.NORM.DIST(AP$2,$D101,$E101,TRUE))</f>
        <v/>
      </c>
      <c r="AQ101">
        <f>IF(NOT(ISNUMBER($D101)),"",_xlfn.NORM.DIST(AQ$1,$D101,$E101,TRUE)-_xlfn.NORM.DIST(AQ$2,$D101,$E101,TRUE))</f>
        <v/>
      </c>
      <c r="AR101">
        <f>IF(NOT(ISNUMBER($D101)),"",_xlfn.NORM.DIST(AR$1,$D101,$E101,TRUE)-_xlfn.NORM.DIST(AR$2,$D101,$E101,TRUE))</f>
        <v/>
      </c>
      <c r="AS101">
        <f>IF(NOT(ISNUMBER($D101)),"",_xlfn.NORM.DIST(AS$1,$D101,$E101,TRUE)-_xlfn.NORM.DIST(AS$2,$D101,$E101,TRUE))</f>
        <v/>
      </c>
      <c r="AT101">
        <f>IF(NOT(ISNUMBER($D101)),"",_xlfn.NORM.DIST(AT$1,$D101,$E101,TRUE)-_xlfn.NORM.DIST(AT$2,$D101,$E101,TRUE))</f>
        <v/>
      </c>
      <c r="AU101">
        <f>IF(NOT(ISNUMBER($D101)),"",_xlfn.NORM.DIST(AU$1,$D101,$E101,TRUE)-_xlfn.NORM.DIST(AU$2,$D101,$E101,TRUE))</f>
        <v/>
      </c>
      <c r="AV101">
        <f>IF(NOT(ISNUMBER($D101)),"",_xlfn.NORM.DIST(AV$1,$D101,$E101,TRUE)-_xlfn.NORM.DIST(AV$2,$D101,$E101,TRUE))</f>
        <v/>
      </c>
      <c r="AW101">
        <f>IF(NOT(ISNUMBER($D101)),"",_xlfn.NORM.DIST(AW$1,$D101,$E101,TRUE)-_xlfn.NORM.DIST(AW$2,$D101,$E101,TRUE))</f>
        <v/>
      </c>
      <c r="AX101">
        <f>IF(NOT(ISNUMBER($D101)),"",_xlfn.NORM.DIST(AX$1,$D101,$E101,TRUE)-_xlfn.NORM.DIST(AX$2,$D101,$E101,TRUE))</f>
        <v/>
      </c>
      <c r="AY101">
        <f>IF(NOT(ISNUMBER($D101)),"",_xlfn.NORM.DIST(AY$1,$D101,$E101,TRUE)-_xlfn.NORM.DIST(AY$2,$D101,$E101,TRUE))</f>
        <v/>
      </c>
      <c r="AZ101">
        <f>IF(NOT(ISNUMBER($D101)),"",_xlfn.NORM.DIST(AZ$1,$D101,$E101,TRUE)-_xlfn.NORM.DIST(AZ$2,$D101,$E101,TRUE))</f>
        <v/>
      </c>
      <c r="BA101">
        <f>IF(NOT(ISNUMBER($D101)),"",_xlfn.NORM.DIST(BA$1,$D101,$E101,TRUE)-_xlfn.NORM.DIST(BA$2,$D101,$E101,TRUE))</f>
        <v/>
      </c>
      <c r="BB101">
        <f>IF(NOT(ISNUMBER($D101)),"",_xlfn.NORM.DIST(BB$1,$D101,$E101,TRUE)-_xlfn.NORM.DIST(BB$2,$D101,$E101,TRUE))</f>
        <v/>
      </c>
      <c r="BC101">
        <f>IF(NOT(ISNUMBER($D101)),"",_xlfn.NORM.DIST(BC$1,$D101,$E101,TRUE)-_xlfn.NORM.DIST(BC$2,$D101,$E101,TRUE))</f>
        <v/>
      </c>
      <c r="BD101">
        <f>IF(NOT(ISNUMBER($D101)),"",_xlfn.NORM.DIST(BD$1,$D101,$E101,TRUE)-_xlfn.NORM.DIST(BD$2,$D101,$E101,TRUE))</f>
        <v/>
      </c>
      <c r="BE101">
        <f>IF(NOT(ISNUMBER($D101)),"",_xlfn.NORM.DIST(BE$1,$D101,$E101,TRUE)-_xlfn.NORM.DIST(BE$2,$D101,$E101,TRUE))</f>
        <v/>
      </c>
      <c r="BF101">
        <f>IF(NOT(ISNUMBER($D101)),"",_xlfn.NORM.DIST(BF$1,$D101,$E101,TRUE)-_xlfn.NORM.DIST(BF$2,$D101,$E101,TRUE))</f>
        <v/>
      </c>
      <c r="BG101">
        <f>IF(NOT(ISNUMBER($D101)),"",_xlfn.NORM.DIST(BG$1,$D101,$E101,TRUE)-_xlfn.NORM.DIST(BG$2,$D101,$E101,TRUE))</f>
        <v/>
      </c>
      <c r="BH101">
        <f>IF(NOT(ISNUMBER($D101)),"",_xlfn.NORM.DIST(BH$1,$D101,$E101,TRUE)-_xlfn.NORM.DIST(BH$2,$D101,$E101,TRUE))</f>
        <v/>
      </c>
      <c r="BI101">
        <f>IF(NOT(ISNUMBER($D101)),"",_xlfn.NORM.DIST(BI$1,$D101,$E101,TRUE)-_xlfn.NORM.DIST(BI$2,$D101,$E101,TRUE))</f>
        <v/>
      </c>
      <c r="BJ101">
        <f>IF(NOT(ISNUMBER($D101)),"",_xlfn.NORM.DIST(BJ$1,$D101,$E101,TRUE)-_xlfn.NORM.DIST(BJ$2,$D101,$E101,TRUE))</f>
        <v/>
      </c>
      <c r="BK101">
        <f>IF(NOT(ISNUMBER($D101)),"",_xlfn.NORM.DIST(BK$1,$D101,$E101,TRUE)-_xlfn.NORM.DIST(BK$2,$D101,$E101,TRUE))</f>
        <v/>
      </c>
      <c r="BL101">
        <f>IF(NOT(ISNUMBER($D101)),"",_xlfn.NORM.DIST(BL$1,$D101,$E101,TRUE)-_xlfn.NORM.DIST(BL$2,$D101,$E101,TRUE))</f>
        <v/>
      </c>
      <c r="BM101">
        <f>IF(NOT(ISNUMBER($D101)),"",_xlfn.NORM.DIST(BM$1,$D101,$E101,TRUE)-_xlfn.NORM.DIST(BM$2,$D101,$E101,TRUE))</f>
        <v/>
      </c>
      <c r="BN101">
        <f>IF(NOT(ISNUMBER($D101)),"",_xlfn.NORM.DIST(BN$1,$D101,$E101,TRUE)-_xlfn.NORM.DIST(BN$2,$D101,$E101,TRUE))</f>
        <v/>
      </c>
      <c r="BO101">
        <f>IF(NOT(ISNUMBER($D101)),"",_xlfn.NORM.DIST(BO$1,$D101,$E101,TRUE)-_xlfn.NORM.DIST(BO$2,$D101,$E101,TRUE))</f>
        <v/>
      </c>
      <c r="BP101">
        <f>IF(NOT(ISNUMBER($D101)),"",_xlfn.NORM.DIST(BP$1,$D101,$E101,TRUE)-_xlfn.NORM.DIST(BP$2,$D101,$E101,TRUE))</f>
        <v/>
      </c>
      <c r="BQ101">
        <f>IF(NOT(ISNUMBER($D101)),"",_xlfn.NORM.DIST(BQ$1,$D101,$E101,TRUE)-_xlfn.NORM.DIST(BQ$2,$D101,$E101,TRUE))</f>
        <v/>
      </c>
      <c r="BR101">
        <f>IF(NOT(ISNUMBER($D101)),"",_xlfn.NORM.DIST(BR$1,$D101,$E101,TRUE)-_xlfn.NORM.DIST(BR$2,$D101,$E101,TRUE))</f>
        <v/>
      </c>
      <c r="BS101">
        <f>IF(NOT(ISNUMBER($D101)),"",_xlfn.NORM.DIST(BS$1,$D101,$E101,TRUE)-_xlfn.NORM.DIST(BS$2,$D101,$E101,TRUE))</f>
        <v/>
      </c>
      <c r="BT101">
        <f>IF(NOT(ISNUMBER($D101)),"",_xlfn.NORM.DIST(BT$1,$D101,$E101,TRUE)-_xlfn.NORM.DIST(BT$2,$D101,$E101,TRUE))</f>
        <v/>
      </c>
      <c r="BU101">
        <f>IF(NOT(ISNUMBER($D101)),"",_xlfn.NORM.DIST(BU$1,$D101,$E101,TRUE)-_xlfn.NORM.DIST(BU$2,$D101,$E101,TRUE))</f>
        <v/>
      </c>
      <c r="BV101">
        <f>IF(NOT(ISNUMBER($D101)),"",_xlfn.NORM.DIST(BV$1,$D101,$E101,TRUE)-_xlfn.NORM.DIST(BV$2,$D101,$E101,TRUE))</f>
        <v/>
      </c>
      <c r="BW101">
        <f>IF(NOT(ISNUMBER($D101)),"",_xlfn.NORM.DIST(BW$1,$D101,$E101,TRUE)-_xlfn.NORM.DIST(BW$2,$D101,$E101,TRUE))</f>
        <v/>
      </c>
      <c r="BX101">
        <f>IF(NOT(ISNUMBER($D101)),"",_xlfn.NORM.DIST(BX$1,$D101,$E101,TRUE)-_xlfn.NORM.DIST(BX$2,$D101,$E101,TRUE))</f>
        <v/>
      </c>
      <c r="BY101">
        <f>IF(NOT(ISNUMBER($D101)),"",_xlfn.NORM.DIST(BY$1,$D101,$E101,TRUE)-_xlfn.NORM.DIST(BY$2,$D101,$E101,TRUE))</f>
        <v/>
      </c>
      <c r="BZ101">
        <f>IF(NOT(ISNUMBER($D101)),"",_xlfn.NORM.DIST(BZ$1,$D101,$E101,TRUE)-_xlfn.NORM.DIST(BZ$2,$D101,$E101,TRUE))</f>
        <v/>
      </c>
      <c r="CA101">
        <f>IF(NOT(ISNUMBER($D101)),"",_xlfn.NORM.DIST(CA$1,$D101,$E101,TRUE)-_xlfn.NORM.DIST(CA$2,$D101,$E101,TRUE))</f>
        <v/>
      </c>
      <c r="CB101">
        <f>IF(NOT(ISNUMBER($D101)),"",_xlfn.NORM.DIST(CB$1,$D101,$E101,TRUE)-_xlfn.NORM.DIST(CB$2,$D101,$E101,TRUE))</f>
        <v/>
      </c>
      <c r="CC101">
        <f>IF(NOT(ISNUMBER($D101)),"",_xlfn.NORM.DIST(CC$1,$D101,$E101,TRUE)-_xlfn.NORM.DIST(CC$2,$D101,$E101,TRUE))</f>
        <v/>
      </c>
      <c r="CD101">
        <f>IF(NOT(ISNUMBER($D101)),"",_xlfn.NORM.DIST(CD$1,$D101,$E101,TRUE)-_xlfn.NORM.DIST(CD$2,$D101,$E101,TRUE))</f>
        <v/>
      </c>
      <c r="CE101">
        <f>IF(NOT(ISNUMBER($D101)),"",_xlfn.NORM.DIST(CE$1,$D101,$E101,TRUE)-_xlfn.NORM.DIST(CE$2,$D101,$E101,TRUE))</f>
        <v/>
      </c>
      <c r="CF101">
        <f>IF(NOT(ISNUMBER($D101)),"",_xlfn.NORM.DIST(CF$1,$D101,$E101,TRUE)-_xlfn.NORM.DIST(CF$2,$D101,$E101,TRUE))</f>
        <v/>
      </c>
      <c r="CG101">
        <f>IF(NOT(ISNUMBER($D101)),"",_xlfn.NORM.DIST(CG$1,$D101,$E101,TRUE)-_xlfn.NORM.DIST(CG$2,$D101,$E101,TRUE))</f>
        <v/>
      </c>
      <c r="CH101">
        <f>IF(NOT(ISNUMBER($D101)),"",_xlfn.NORM.DIST(CH$1,$D101,$E101,TRUE)-_xlfn.NORM.DIST(CH$2,$D101,$E101,TRUE))</f>
        <v/>
      </c>
      <c r="CI101">
        <f>IF(NOT(ISNUMBER($D101)),"",_xlfn.NORM.DIST(CI$1,$D101,$E101,TRUE)-_xlfn.NORM.DIST(CI$2,$D101,$E101,TRUE))</f>
        <v/>
      </c>
      <c r="CJ101">
        <f>IF(ISNUMBER($D101),SUM(F101:CI101),"")</f>
        <v/>
      </c>
    </row>
    <row r="102">
      <c r="A102">
        <f>economics!A101</f>
        <v/>
      </c>
      <c r="B102">
        <f>economics!B101</f>
        <v/>
      </c>
      <c r="C102">
        <f>economics!D101</f>
        <v/>
      </c>
      <c r="D102">
        <f>IF(ISNUMBER(economics!T101),economics!T101,"na")</f>
        <v/>
      </c>
      <c r="E102">
        <f>IF(ISNUMBER(D102),MAX(0.3*ABS(D102),0.000001),"na")</f>
        <v/>
      </c>
      <c r="F102">
        <f>IF(NOT(ISNUMBER($D102)),"",_xlfn.NORM.DIST(F$1,$D102,$E102,TRUE)-_xlfn.NORM.DIST(F$2,$D102,$E102,TRUE))</f>
        <v/>
      </c>
      <c r="G102">
        <f>IF(NOT(ISNUMBER($D102)),"",_xlfn.NORM.DIST(G$1,$D102,$E102,TRUE)-_xlfn.NORM.DIST(G$2,$D102,$E102,TRUE))</f>
        <v/>
      </c>
      <c r="H102">
        <f>IF(NOT(ISNUMBER($D102)),"",_xlfn.NORM.DIST(H$1,$D102,$E102,TRUE)-_xlfn.NORM.DIST(H$2,$D102,$E102,TRUE))</f>
        <v/>
      </c>
      <c r="I102">
        <f>IF(NOT(ISNUMBER($D102)),"",_xlfn.NORM.DIST(I$1,$D102,$E102,TRUE)-_xlfn.NORM.DIST(I$2,$D102,$E102,TRUE))</f>
        <v/>
      </c>
      <c r="J102">
        <f>IF(NOT(ISNUMBER($D102)),"",_xlfn.NORM.DIST(J$1,$D102,$E102,TRUE)-_xlfn.NORM.DIST(J$2,$D102,$E102,TRUE))</f>
        <v/>
      </c>
      <c r="K102">
        <f>IF(NOT(ISNUMBER($D102)),"",_xlfn.NORM.DIST(K$1,$D102,$E102,TRUE)-_xlfn.NORM.DIST(K$2,$D102,$E102,TRUE))</f>
        <v/>
      </c>
      <c r="L102">
        <f>IF(NOT(ISNUMBER($D102)),"",_xlfn.NORM.DIST(L$1,$D102,$E102,TRUE)-_xlfn.NORM.DIST(L$2,$D102,$E102,TRUE))</f>
        <v/>
      </c>
      <c r="M102">
        <f>IF(NOT(ISNUMBER($D102)),"",_xlfn.NORM.DIST(M$1,$D102,$E102,TRUE)-_xlfn.NORM.DIST(M$2,$D102,$E102,TRUE))</f>
        <v/>
      </c>
      <c r="N102">
        <f>IF(NOT(ISNUMBER($D102)),"",_xlfn.NORM.DIST(N$1,$D102,$E102,TRUE)-_xlfn.NORM.DIST(N$2,$D102,$E102,TRUE))</f>
        <v/>
      </c>
      <c r="O102">
        <f>IF(NOT(ISNUMBER($D102)),"",_xlfn.NORM.DIST(O$1,$D102,$E102,TRUE)-_xlfn.NORM.DIST(O$2,$D102,$E102,TRUE))</f>
        <v/>
      </c>
      <c r="P102">
        <f>IF(NOT(ISNUMBER($D102)),"",_xlfn.NORM.DIST(P$1,$D102,$E102,TRUE)-_xlfn.NORM.DIST(P$2,$D102,$E102,TRUE))</f>
        <v/>
      </c>
      <c r="Q102">
        <f>IF(NOT(ISNUMBER($D102)),"",_xlfn.NORM.DIST(Q$1,$D102,$E102,TRUE)-_xlfn.NORM.DIST(Q$2,$D102,$E102,TRUE))</f>
        <v/>
      </c>
      <c r="R102">
        <f>IF(NOT(ISNUMBER($D102)),"",_xlfn.NORM.DIST(R$1,$D102,$E102,TRUE)-_xlfn.NORM.DIST(R$2,$D102,$E102,TRUE))</f>
        <v/>
      </c>
      <c r="S102">
        <f>IF(NOT(ISNUMBER($D102)),"",_xlfn.NORM.DIST(S$1,$D102,$E102,TRUE)-_xlfn.NORM.DIST(S$2,$D102,$E102,TRUE))</f>
        <v/>
      </c>
      <c r="T102">
        <f>IF(NOT(ISNUMBER($D102)),"",_xlfn.NORM.DIST(T$1,$D102,$E102,TRUE)-_xlfn.NORM.DIST(T$2,$D102,$E102,TRUE))</f>
        <v/>
      </c>
      <c r="U102">
        <f>IF(NOT(ISNUMBER($D102)),"",_xlfn.NORM.DIST(U$1,$D102,$E102,TRUE)-_xlfn.NORM.DIST(U$2,$D102,$E102,TRUE))</f>
        <v/>
      </c>
      <c r="V102">
        <f>IF(NOT(ISNUMBER($D102)),"",_xlfn.NORM.DIST(V$1,$D102,$E102,TRUE)-_xlfn.NORM.DIST(V$2,$D102,$E102,TRUE))</f>
        <v/>
      </c>
      <c r="W102">
        <f>IF(NOT(ISNUMBER($D102)),"",_xlfn.NORM.DIST(W$1,$D102,$E102,TRUE)-_xlfn.NORM.DIST(W$2,$D102,$E102,TRUE))</f>
        <v/>
      </c>
      <c r="X102">
        <f>IF(NOT(ISNUMBER($D102)),"",_xlfn.NORM.DIST(X$1,$D102,$E102,TRUE)-_xlfn.NORM.DIST(X$2,$D102,$E102,TRUE))</f>
        <v/>
      </c>
      <c r="Y102">
        <f>IF(NOT(ISNUMBER($D102)),"",_xlfn.NORM.DIST(Y$1,$D102,$E102,TRUE)-_xlfn.NORM.DIST(Y$2,$D102,$E102,TRUE))</f>
        <v/>
      </c>
      <c r="Z102">
        <f>IF(NOT(ISNUMBER($D102)),"",_xlfn.NORM.DIST(Z$1,$D102,$E102,TRUE)-_xlfn.NORM.DIST(Z$2,$D102,$E102,TRUE))</f>
        <v/>
      </c>
      <c r="AA102">
        <f>IF(NOT(ISNUMBER($D102)),"",_xlfn.NORM.DIST(AA$1,$D102,$E102,TRUE)-_xlfn.NORM.DIST(AA$2,$D102,$E102,TRUE))</f>
        <v/>
      </c>
      <c r="AB102">
        <f>IF(NOT(ISNUMBER($D102)),"",_xlfn.NORM.DIST(AB$1,$D102,$E102,TRUE)-_xlfn.NORM.DIST(AB$2,$D102,$E102,TRUE))</f>
        <v/>
      </c>
      <c r="AC102">
        <f>IF(NOT(ISNUMBER($D102)),"",_xlfn.NORM.DIST(AC$1,$D102,$E102,TRUE)-_xlfn.NORM.DIST(AC$2,$D102,$E102,TRUE))</f>
        <v/>
      </c>
      <c r="AD102">
        <f>IF(NOT(ISNUMBER($D102)),"",_xlfn.NORM.DIST(AD$1,$D102,$E102,TRUE)-_xlfn.NORM.DIST(AD$2,$D102,$E102,TRUE))</f>
        <v/>
      </c>
      <c r="AE102">
        <f>IF(NOT(ISNUMBER($D102)),"",_xlfn.NORM.DIST(AE$1,$D102,$E102,TRUE)-_xlfn.NORM.DIST(AE$2,$D102,$E102,TRUE))</f>
        <v/>
      </c>
      <c r="AF102">
        <f>IF(NOT(ISNUMBER($D102)),"",_xlfn.NORM.DIST(AF$1,$D102,$E102,TRUE)-_xlfn.NORM.DIST(AF$2,$D102,$E102,TRUE))</f>
        <v/>
      </c>
      <c r="AG102">
        <f>IF(NOT(ISNUMBER($D102)),"",_xlfn.NORM.DIST(AG$1,$D102,$E102,TRUE)-_xlfn.NORM.DIST(AG$2,$D102,$E102,TRUE))</f>
        <v/>
      </c>
      <c r="AH102">
        <f>IF(NOT(ISNUMBER($D102)),"",_xlfn.NORM.DIST(AH$1,$D102,$E102,TRUE)-_xlfn.NORM.DIST(AH$2,$D102,$E102,TRUE))</f>
        <v/>
      </c>
      <c r="AI102">
        <f>IF(NOT(ISNUMBER($D102)),"",_xlfn.NORM.DIST(AI$1,$D102,$E102,TRUE)-_xlfn.NORM.DIST(AI$2,$D102,$E102,TRUE))</f>
        <v/>
      </c>
      <c r="AJ102">
        <f>IF(NOT(ISNUMBER($D102)),"",_xlfn.NORM.DIST(AJ$1,$D102,$E102,TRUE)-_xlfn.NORM.DIST(AJ$2,$D102,$E102,TRUE))</f>
        <v/>
      </c>
      <c r="AK102">
        <f>IF(NOT(ISNUMBER($D102)),"",_xlfn.NORM.DIST(AK$1,$D102,$E102,TRUE)-_xlfn.NORM.DIST(AK$2,$D102,$E102,TRUE))</f>
        <v/>
      </c>
      <c r="AL102">
        <f>IF(NOT(ISNUMBER($D102)),"",_xlfn.NORM.DIST(AL$1,$D102,$E102,TRUE)-_xlfn.NORM.DIST(AL$2,$D102,$E102,TRUE))</f>
        <v/>
      </c>
      <c r="AM102">
        <f>IF(NOT(ISNUMBER($D102)),"",_xlfn.NORM.DIST(AM$1,$D102,$E102,TRUE)-_xlfn.NORM.DIST(AM$2,$D102,$E102,TRUE))</f>
        <v/>
      </c>
      <c r="AN102">
        <f>IF(NOT(ISNUMBER($D102)),"",_xlfn.NORM.DIST(AN$1,$D102,$E102,TRUE)-_xlfn.NORM.DIST(AN$2,$D102,$E102,TRUE))</f>
        <v/>
      </c>
      <c r="AO102">
        <f>IF(NOT(ISNUMBER($D102)),"",_xlfn.NORM.DIST(AO$1,$D102,$E102,TRUE)-_xlfn.NORM.DIST(AO$2,$D102,$E102,TRUE))</f>
        <v/>
      </c>
      <c r="AP102">
        <f>IF(NOT(ISNUMBER($D102)),"",_xlfn.NORM.DIST(AP$1,$D102,$E102,TRUE)-_xlfn.NORM.DIST(AP$2,$D102,$E102,TRUE))</f>
        <v/>
      </c>
      <c r="AQ102">
        <f>IF(NOT(ISNUMBER($D102)),"",_xlfn.NORM.DIST(AQ$1,$D102,$E102,TRUE)-_xlfn.NORM.DIST(AQ$2,$D102,$E102,TRUE))</f>
        <v/>
      </c>
      <c r="AR102">
        <f>IF(NOT(ISNUMBER($D102)),"",_xlfn.NORM.DIST(AR$1,$D102,$E102,TRUE)-_xlfn.NORM.DIST(AR$2,$D102,$E102,TRUE))</f>
        <v/>
      </c>
      <c r="AS102">
        <f>IF(NOT(ISNUMBER($D102)),"",_xlfn.NORM.DIST(AS$1,$D102,$E102,TRUE)-_xlfn.NORM.DIST(AS$2,$D102,$E102,TRUE))</f>
        <v/>
      </c>
      <c r="AT102">
        <f>IF(NOT(ISNUMBER($D102)),"",_xlfn.NORM.DIST(AT$1,$D102,$E102,TRUE)-_xlfn.NORM.DIST(AT$2,$D102,$E102,TRUE))</f>
        <v/>
      </c>
      <c r="AU102">
        <f>IF(NOT(ISNUMBER($D102)),"",_xlfn.NORM.DIST(AU$1,$D102,$E102,TRUE)-_xlfn.NORM.DIST(AU$2,$D102,$E102,TRUE))</f>
        <v/>
      </c>
      <c r="AV102">
        <f>IF(NOT(ISNUMBER($D102)),"",_xlfn.NORM.DIST(AV$1,$D102,$E102,TRUE)-_xlfn.NORM.DIST(AV$2,$D102,$E102,TRUE))</f>
        <v/>
      </c>
      <c r="AW102">
        <f>IF(NOT(ISNUMBER($D102)),"",_xlfn.NORM.DIST(AW$1,$D102,$E102,TRUE)-_xlfn.NORM.DIST(AW$2,$D102,$E102,TRUE))</f>
        <v/>
      </c>
      <c r="AX102">
        <f>IF(NOT(ISNUMBER($D102)),"",_xlfn.NORM.DIST(AX$1,$D102,$E102,TRUE)-_xlfn.NORM.DIST(AX$2,$D102,$E102,TRUE))</f>
        <v/>
      </c>
      <c r="AY102">
        <f>IF(NOT(ISNUMBER($D102)),"",_xlfn.NORM.DIST(AY$1,$D102,$E102,TRUE)-_xlfn.NORM.DIST(AY$2,$D102,$E102,TRUE))</f>
        <v/>
      </c>
      <c r="AZ102">
        <f>IF(NOT(ISNUMBER($D102)),"",_xlfn.NORM.DIST(AZ$1,$D102,$E102,TRUE)-_xlfn.NORM.DIST(AZ$2,$D102,$E102,TRUE))</f>
        <v/>
      </c>
      <c r="BA102">
        <f>IF(NOT(ISNUMBER($D102)),"",_xlfn.NORM.DIST(BA$1,$D102,$E102,TRUE)-_xlfn.NORM.DIST(BA$2,$D102,$E102,TRUE))</f>
        <v/>
      </c>
      <c r="BB102">
        <f>IF(NOT(ISNUMBER($D102)),"",_xlfn.NORM.DIST(BB$1,$D102,$E102,TRUE)-_xlfn.NORM.DIST(BB$2,$D102,$E102,TRUE))</f>
        <v/>
      </c>
      <c r="BC102">
        <f>IF(NOT(ISNUMBER($D102)),"",_xlfn.NORM.DIST(BC$1,$D102,$E102,TRUE)-_xlfn.NORM.DIST(BC$2,$D102,$E102,TRUE))</f>
        <v/>
      </c>
      <c r="BD102">
        <f>IF(NOT(ISNUMBER($D102)),"",_xlfn.NORM.DIST(BD$1,$D102,$E102,TRUE)-_xlfn.NORM.DIST(BD$2,$D102,$E102,TRUE))</f>
        <v/>
      </c>
      <c r="BE102">
        <f>IF(NOT(ISNUMBER($D102)),"",_xlfn.NORM.DIST(BE$1,$D102,$E102,TRUE)-_xlfn.NORM.DIST(BE$2,$D102,$E102,TRUE))</f>
        <v/>
      </c>
      <c r="BF102">
        <f>IF(NOT(ISNUMBER($D102)),"",_xlfn.NORM.DIST(BF$1,$D102,$E102,TRUE)-_xlfn.NORM.DIST(BF$2,$D102,$E102,TRUE))</f>
        <v/>
      </c>
      <c r="BG102">
        <f>IF(NOT(ISNUMBER($D102)),"",_xlfn.NORM.DIST(BG$1,$D102,$E102,TRUE)-_xlfn.NORM.DIST(BG$2,$D102,$E102,TRUE))</f>
        <v/>
      </c>
      <c r="BH102">
        <f>IF(NOT(ISNUMBER($D102)),"",_xlfn.NORM.DIST(BH$1,$D102,$E102,TRUE)-_xlfn.NORM.DIST(BH$2,$D102,$E102,TRUE))</f>
        <v/>
      </c>
      <c r="BI102">
        <f>IF(NOT(ISNUMBER($D102)),"",_xlfn.NORM.DIST(BI$1,$D102,$E102,TRUE)-_xlfn.NORM.DIST(BI$2,$D102,$E102,TRUE))</f>
        <v/>
      </c>
      <c r="BJ102">
        <f>IF(NOT(ISNUMBER($D102)),"",_xlfn.NORM.DIST(BJ$1,$D102,$E102,TRUE)-_xlfn.NORM.DIST(BJ$2,$D102,$E102,TRUE))</f>
        <v/>
      </c>
      <c r="BK102">
        <f>IF(NOT(ISNUMBER($D102)),"",_xlfn.NORM.DIST(BK$1,$D102,$E102,TRUE)-_xlfn.NORM.DIST(BK$2,$D102,$E102,TRUE))</f>
        <v/>
      </c>
      <c r="BL102">
        <f>IF(NOT(ISNUMBER($D102)),"",_xlfn.NORM.DIST(BL$1,$D102,$E102,TRUE)-_xlfn.NORM.DIST(BL$2,$D102,$E102,TRUE))</f>
        <v/>
      </c>
      <c r="BM102">
        <f>IF(NOT(ISNUMBER($D102)),"",_xlfn.NORM.DIST(BM$1,$D102,$E102,TRUE)-_xlfn.NORM.DIST(BM$2,$D102,$E102,TRUE))</f>
        <v/>
      </c>
      <c r="BN102">
        <f>IF(NOT(ISNUMBER($D102)),"",_xlfn.NORM.DIST(BN$1,$D102,$E102,TRUE)-_xlfn.NORM.DIST(BN$2,$D102,$E102,TRUE))</f>
        <v/>
      </c>
      <c r="BO102">
        <f>IF(NOT(ISNUMBER($D102)),"",_xlfn.NORM.DIST(BO$1,$D102,$E102,TRUE)-_xlfn.NORM.DIST(BO$2,$D102,$E102,TRUE))</f>
        <v/>
      </c>
      <c r="BP102">
        <f>IF(NOT(ISNUMBER($D102)),"",_xlfn.NORM.DIST(BP$1,$D102,$E102,TRUE)-_xlfn.NORM.DIST(BP$2,$D102,$E102,TRUE))</f>
        <v/>
      </c>
      <c r="BQ102">
        <f>IF(NOT(ISNUMBER($D102)),"",_xlfn.NORM.DIST(BQ$1,$D102,$E102,TRUE)-_xlfn.NORM.DIST(BQ$2,$D102,$E102,TRUE))</f>
        <v/>
      </c>
      <c r="BR102">
        <f>IF(NOT(ISNUMBER($D102)),"",_xlfn.NORM.DIST(BR$1,$D102,$E102,TRUE)-_xlfn.NORM.DIST(BR$2,$D102,$E102,TRUE))</f>
        <v/>
      </c>
      <c r="BS102">
        <f>IF(NOT(ISNUMBER($D102)),"",_xlfn.NORM.DIST(BS$1,$D102,$E102,TRUE)-_xlfn.NORM.DIST(BS$2,$D102,$E102,TRUE))</f>
        <v/>
      </c>
      <c r="BT102">
        <f>IF(NOT(ISNUMBER($D102)),"",_xlfn.NORM.DIST(BT$1,$D102,$E102,TRUE)-_xlfn.NORM.DIST(BT$2,$D102,$E102,TRUE))</f>
        <v/>
      </c>
      <c r="BU102">
        <f>IF(NOT(ISNUMBER($D102)),"",_xlfn.NORM.DIST(BU$1,$D102,$E102,TRUE)-_xlfn.NORM.DIST(BU$2,$D102,$E102,TRUE))</f>
        <v/>
      </c>
      <c r="BV102">
        <f>IF(NOT(ISNUMBER($D102)),"",_xlfn.NORM.DIST(BV$1,$D102,$E102,TRUE)-_xlfn.NORM.DIST(BV$2,$D102,$E102,TRUE))</f>
        <v/>
      </c>
      <c r="BW102">
        <f>IF(NOT(ISNUMBER($D102)),"",_xlfn.NORM.DIST(BW$1,$D102,$E102,TRUE)-_xlfn.NORM.DIST(BW$2,$D102,$E102,TRUE))</f>
        <v/>
      </c>
      <c r="BX102">
        <f>IF(NOT(ISNUMBER($D102)),"",_xlfn.NORM.DIST(BX$1,$D102,$E102,TRUE)-_xlfn.NORM.DIST(BX$2,$D102,$E102,TRUE))</f>
        <v/>
      </c>
      <c r="BY102">
        <f>IF(NOT(ISNUMBER($D102)),"",_xlfn.NORM.DIST(BY$1,$D102,$E102,TRUE)-_xlfn.NORM.DIST(BY$2,$D102,$E102,TRUE))</f>
        <v/>
      </c>
      <c r="BZ102">
        <f>IF(NOT(ISNUMBER($D102)),"",_xlfn.NORM.DIST(BZ$1,$D102,$E102,TRUE)-_xlfn.NORM.DIST(BZ$2,$D102,$E102,TRUE))</f>
        <v/>
      </c>
      <c r="CA102">
        <f>IF(NOT(ISNUMBER($D102)),"",_xlfn.NORM.DIST(CA$1,$D102,$E102,TRUE)-_xlfn.NORM.DIST(CA$2,$D102,$E102,TRUE))</f>
        <v/>
      </c>
      <c r="CB102">
        <f>IF(NOT(ISNUMBER($D102)),"",_xlfn.NORM.DIST(CB$1,$D102,$E102,TRUE)-_xlfn.NORM.DIST(CB$2,$D102,$E102,TRUE))</f>
        <v/>
      </c>
      <c r="CC102">
        <f>IF(NOT(ISNUMBER($D102)),"",_xlfn.NORM.DIST(CC$1,$D102,$E102,TRUE)-_xlfn.NORM.DIST(CC$2,$D102,$E102,TRUE))</f>
        <v/>
      </c>
      <c r="CD102">
        <f>IF(NOT(ISNUMBER($D102)),"",_xlfn.NORM.DIST(CD$1,$D102,$E102,TRUE)-_xlfn.NORM.DIST(CD$2,$D102,$E102,TRUE))</f>
        <v/>
      </c>
      <c r="CE102">
        <f>IF(NOT(ISNUMBER($D102)),"",_xlfn.NORM.DIST(CE$1,$D102,$E102,TRUE)-_xlfn.NORM.DIST(CE$2,$D102,$E102,TRUE))</f>
        <v/>
      </c>
      <c r="CF102">
        <f>IF(NOT(ISNUMBER($D102)),"",_xlfn.NORM.DIST(CF$1,$D102,$E102,TRUE)-_xlfn.NORM.DIST(CF$2,$D102,$E102,TRUE))</f>
        <v/>
      </c>
      <c r="CG102">
        <f>IF(NOT(ISNUMBER($D102)),"",_xlfn.NORM.DIST(CG$1,$D102,$E102,TRUE)-_xlfn.NORM.DIST(CG$2,$D102,$E102,TRUE))</f>
        <v/>
      </c>
      <c r="CH102">
        <f>IF(NOT(ISNUMBER($D102)),"",_xlfn.NORM.DIST(CH$1,$D102,$E102,TRUE)-_xlfn.NORM.DIST(CH$2,$D102,$E102,TRUE))</f>
        <v/>
      </c>
      <c r="CI102">
        <f>IF(NOT(ISNUMBER($D102)),"",_xlfn.NORM.DIST(CI$1,$D102,$E102,TRUE)-_xlfn.NORM.DIST(CI$2,$D102,$E102,TRUE))</f>
        <v/>
      </c>
      <c r="CJ102">
        <f>IF(ISNUMBER($D102),SUM(F102:CI102),"")</f>
        <v/>
      </c>
    </row>
    <row r="103">
      <c r="A103">
        <f>economics!A102</f>
        <v/>
      </c>
      <c r="B103">
        <f>economics!B102</f>
        <v/>
      </c>
      <c r="C103">
        <f>economics!D102</f>
        <v/>
      </c>
      <c r="D103">
        <f>IF(ISNUMBER(economics!T102),economics!T102,"na")</f>
        <v/>
      </c>
      <c r="E103">
        <f>IF(ISNUMBER(D103),MAX(0.3*ABS(D103),0.000001),"na")</f>
        <v/>
      </c>
      <c r="F103">
        <f>IF(NOT(ISNUMBER($D103)),"",_xlfn.NORM.DIST(F$1,$D103,$E103,TRUE)-_xlfn.NORM.DIST(F$2,$D103,$E103,TRUE))</f>
        <v/>
      </c>
      <c r="G103">
        <f>IF(NOT(ISNUMBER($D103)),"",_xlfn.NORM.DIST(G$1,$D103,$E103,TRUE)-_xlfn.NORM.DIST(G$2,$D103,$E103,TRUE))</f>
        <v/>
      </c>
      <c r="H103">
        <f>IF(NOT(ISNUMBER($D103)),"",_xlfn.NORM.DIST(H$1,$D103,$E103,TRUE)-_xlfn.NORM.DIST(H$2,$D103,$E103,TRUE))</f>
        <v/>
      </c>
      <c r="I103">
        <f>IF(NOT(ISNUMBER($D103)),"",_xlfn.NORM.DIST(I$1,$D103,$E103,TRUE)-_xlfn.NORM.DIST(I$2,$D103,$E103,TRUE))</f>
        <v/>
      </c>
      <c r="J103">
        <f>IF(NOT(ISNUMBER($D103)),"",_xlfn.NORM.DIST(J$1,$D103,$E103,TRUE)-_xlfn.NORM.DIST(J$2,$D103,$E103,TRUE))</f>
        <v/>
      </c>
      <c r="K103">
        <f>IF(NOT(ISNUMBER($D103)),"",_xlfn.NORM.DIST(K$1,$D103,$E103,TRUE)-_xlfn.NORM.DIST(K$2,$D103,$E103,TRUE))</f>
        <v/>
      </c>
      <c r="L103">
        <f>IF(NOT(ISNUMBER($D103)),"",_xlfn.NORM.DIST(L$1,$D103,$E103,TRUE)-_xlfn.NORM.DIST(L$2,$D103,$E103,TRUE))</f>
        <v/>
      </c>
      <c r="M103">
        <f>IF(NOT(ISNUMBER($D103)),"",_xlfn.NORM.DIST(M$1,$D103,$E103,TRUE)-_xlfn.NORM.DIST(M$2,$D103,$E103,TRUE))</f>
        <v/>
      </c>
      <c r="N103">
        <f>IF(NOT(ISNUMBER($D103)),"",_xlfn.NORM.DIST(N$1,$D103,$E103,TRUE)-_xlfn.NORM.DIST(N$2,$D103,$E103,TRUE))</f>
        <v/>
      </c>
      <c r="O103">
        <f>IF(NOT(ISNUMBER($D103)),"",_xlfn.NORM.DIST(O$1,$D103,$E103,TRUE)-_xlfn.NORM.DIST(O$2,$D103,$E103,TRUE))</f>
        <v/>
      </c>
      <c r="P103">
        <f>IF(NOT(ISNUMBER($D103)),"",_xlfn.NORM.DIST(P$1,$D103,$E103,TRUE)-_xlfn.NORM.DIST(P$2,$D103,$E103,TRUE))</f>
        <v/>
      </c>
      <c r="Q103">
        <f>IF(NOT(ISNUMBER($D103)),"",_xlfn.NORM.DIST(Q$1,$D103,$E103,TRUE)-_xlfn.NORM.DIST(Q$2,$D103,$E103,TRUE))</f>
        <v/>
      </c>
      <c r="R103">
        <f>IF(NOT(ISNUMBER($D103)),"",_xlfn.NORM.DIST(R$1,$D103,$E103,TRUE)-_xlfn.NORM.DIST(R$2,$D103,$E103,TRUE))</f>
        <v/>
      </c>
      <c r="S103">
        <f>IF(NOT(ISNUMBER($D103)),"",_xlfn.NORM.DIST(S$1,$D103,$E103,TRUE)-_xlfn.NORM.DIST(S$2,$D103,$E103,TRUE))</f>
        <v/>
      </c>
      <c r="T103">
        <f>IF(NOT(ISNUMBER($D103)),"",_xlfn.NORM.DIST(T$1,$D103,$E103,TRUE)-_xlfn.NORM.DIST(T$2,$D103,$E103,TRUE))</f>
        <v/>
      </c>
      <c r="U103">
        <f>IF(NOT(ISNUMBER($D103)),"",_xlfn.NORM.DIST(U$1,$D103,$E103,TRUE)-_xlfn.NORM.DIST(U$2,$D103,$E103,TRUE))</f>
        <v/>
      </c>
      <c r="V103">
        <f>IF(NOT(ISNUMBER($D103)),"",_xlfn.NORM.DIST(V$1,$D103,$E103,TRUE)-_xlfn.NORM.DIST(V$2,$D103,$E103,TRUE))</f>
        <v/>
      </c>
      <c r="W103">
        <f>IF(NOT(ISNUMBER($D103)),"",_xlfn.NORM.DIST(W$1,$D103,$E103,TRUE)-_xlfn.NORM.DIST(W$2,$D103,$E103,TRUE))</f>
        <v/>
      </c>
      <c r="X103">
        <f>IF(NOT(ISNUMBER($D103)),"",_xlfn.NORM.DIST(X$1,$D103,$E103,TRUE)-_xlfn.NORM.DIST(X$2,$D103,$E103,TRUE))</f>
        <v/>
      </c>
      <c r="Y103">
        <f>IF(NOT(ISNUMBER($D103)),"",_xlfn.NORM.DIST(Y$1,$D103,$E103,TRUE)-_xlfn.NORM.DIST(Y$2,$D103,$E103,TRUE))</f>
        <v/>
      </c>
      <c r="Z103">
        <f>IF(NOT(ISNUMBER($D103)),"",_xlfn.NORM.DIST(Z$1,$D103,$E103,TRUE)-_xlfn.NORM.DIST(Z$2,$D103,$E103,TRUE))</f>
        <v/>
      </c>
      <c r="AA103">
        <f>IF(NOT(ISNUMBER($D103)),"",_xlfn.NORM.DIST(AA$1,$D103,$E103,TRUE)-_xlfn.NORM.DIST(AA$2,$D103,$E103,TRUE))</f>
        <v/>
      </c>
      <c r="AB103">
        <f>IF(NOT(ISNUMBER($D103)),"",_xlfn.NORM.DIST(AB$1,$D103,$E103,TRUE)-_xlfn.NORM.DIST(AB$2,$D103,$E103,TRUE))</f>
        <v/>
      </c>
      <c r="AC103">
        <f>IF(NOT(ISNUMBER($D103)),"",_xlfn.NORM.DIST(AC$1,$D103,$E103,TRUE)-_xlfn.NORM.DIST(AC$2,$D103,$E103,TRUE))</f>
        <v/>
      </c>
      <c r="AD103">
        <f>IF(NOT(ISNUMBER($D103)),"",_xlfn.NORM.DIST(AD$1,$D103,$E103,TRUE)-_xlfn.NORM.DIST(AD$2,$D103,$E103,TRUE))</f>
        <v/>
      </c>
      <c r="AE103">
        <f>IF(NOT(ISNUMBER($D103)),"",_xlfn.NORM.DIST(AE$1,$D103,$E103,TRUE)-_xlfn.NORM.DIST(AE$2,$D103,$E103,TRUE))</f>
        <v/>
      </c>
      <c r="AF103">
        <f>IF(NOT(ISNUMBER($D103)),"",_xlfn.NORM.DIST(AF$1,$D103,$E103,TRUE)-_xlfn.NORM.DIST(AF$2,$D103,$E103,TRUE))</f>
        <v/>
      </c>
      <c r="AG103">
        <f>IF(NOT(ISNUMBER($D103)),"",_xlfn.NORM.DIST(AG$1,$D103,$E103,TRUE)-_xlfn.NORM.DIST(AG$2,$D103,$E103,TRUE))</f>
        <v/>
      </c>
      <c r="AH103">
        <f>IF(NOT(ISNUMBER($D103)),"",_xlfn.NORM.DIST(AH$1,$D103,$E103,TRUE)-_xlfn.NORM.DIST(AH$2,$D103,$E103,TRUE))</f>
        <v/>
      </c>
      <c r="AI103">
        <f>IF(NOT(ISNUMBER($D103)),"",_xlfn.NORM.DIST(AI$1,$D103,$E103,TRUE)-_xlfn.NORM.DIST(AI$2,$D103,$E103,TRUE))</f>
        <v/>
      </c>
      <c r="AJ103">
        <f>IF(NOT(ISNUMBER($D103)),"",_xlfn.NORM.DIST(AJ$1,$D103,$E103,TRUE)-_xlfn.NORM.DIST(AJ$2,$D103,$E103,TRUE))</f>
        <v/>
      </c>
      <c r="AK103">
        <f>IF(NOT(ISNUMBER($D103)),"",_xlfn.NORM.DIST(AK$1,$D103,$E103,TRUE)-_xlfn.NORM.DIST(AK$2,$D103,$E103,TRUE))</f>
        <v/>
      </c>
      <c r="AL103">
        <f>IF(NOT(ISNUMBER($D103)),"",_xlfn.NORM.DIST(AL$1,$D103,$E103,TRUE)-_xlfn.NORM.DIST(AL$2,$D103,$E103,TRUE))</f>
        <v/>
      </c>
      <c r="AM103">
        <f>IF(NOT(ISNUMBER($D103)),"",_xlfn.NORM.DIST(AM$1,$D103,$E103,TRUE)-_xlfn.NORM.DIST(AM$2,$D103,$E103,TRUE))</f>
        <v/>
      </c>
      <c r="AN103">
        <f>IF(NOT(ISNUMBER($D103)),"",_xlfn.NORM.DIST(AN$1,$D103,$E103,TRUE)-_xlfn.NORM.DIST(AN$2,$D103,$E103,TRUE))</f>
        <v/>
      </c>
      <c r="AO103">
        <f>IF(NOT(ISNUMBER($D103)),"",_xlfn.NORM.DIST(AO$1,$D103,$E103,TRUE)-_xlfn.NORM.DIST(AO$2,$D103,$E103,TRUE))</f>
        <v/>
      </c>
      <c r="AP103">
        <f>IF(NOT(ISNUMBER($D103)),"",_xlfn.NORM.DIST(AP$1,$D103,$E103,TRUE)-_xlfn.NORM.DIST(AP$2,$D103,$E103,TRUE))</f>
        <v/>
      </c>
      <c r="AQ103">
        <f>IF(NOT(ISNUMBER($D103)),"",_xlfn.NORM.DIST(AQ$1,$D103,$E103,TRUE)-_xlfn.NORM.DIST(AQ$2,$D103,$E103,TRUE))</f>
        <v/>
      </c>
      <c r="AR103">
        <f>IF(NOT(ISNUMBER($D103)),"",_xlfn.NORM.DIST(AR$1,$D103,$E103,TRUE)-_xlfn.NORM.DIST(AR$2,$D103,$E103,TRUE))</f>
        <v/>
      </c>
      <c r="AS103">
        <f>IF(NOT(ISNUMBER($D103)),"",_xlfn.NORM.DIST(AS$1,$D103,$E103,TRUE)-_xlfn.NORM.DIST(AS$2,$D103,$E103,TRUE))</f>
        <v/>
      </c>
      <c r="AT103">
        <f>IF(NOT(ISNUMBER($D103)),"",_xlfn.NORM.DIST(AT$1,$D103,$E103,TRUE)-_xlfn.NORM.DIST(AT$2,$D103,$E103,TRUE))</f>
        <v/>
      </c>
      <c r="AU103">
        <f>IF(NOT(ISNUMBER($D103)),"",_xlfn.NORM.DIST(AU$1,$D103,$E103,TRUE)-_xlfn.NORM.DIST(AU$2,$D103,$E103,TRUE))</f>
        <v/>
      </c>
      <c r="AV103">
        <f>IF(NOT(ISNUMBER($D103)),"",_xlfn.NORM.DIST(AV$1,$D103,$E103,TRUE)-_xlfn.NORM.DIST(AV$2,$D103,$E103,TRUE))</f>
        <v/>
      </c>
      <c r="AW103">
        <f>IF(NOT(ISNUMBER($D103)),"",_xlfn.NORM.DIST(AW$1,$D103,$E103,TRUE)-_xlfn.NORM.DIST(AW$2,$D103,$E103,TRUE))</f>
        <v/>
      </c>
      <c r="AX103">
        <f>IF(NOT(ISNUMBER($D103)),"",_xlfn.NORM.DIST(AX$1,$D103,$E103,TRUE)-_xlfn.NORM.DIST(AX$2,$D103,$E103,TRUE))</f>
        <v/>
      </c>
      <c r="AY103">
        <f>IF(NOT(ISNUMBER($D103)),"",_xlfn.NORM.DIST(AY$1,$D103,$E103,TRUE)-_xlfn.NORM.DIST(AY$2,$D103,$E103,TRUE))</f>
        <v/>
      </c>
      <c r="AZ103">
        <f>IF(NOT(ISNUMBER($D103)),"",_xlfn.NORM.DIST(AZ$1,$D103,$E103,TRUE)-_xlfn.NORM.DIST(AZ$2,$D103,$E103,TRUE))</f>
        <v/>
      </c>
      <c r="BA103">
        <f>IF(NOT(ISNUMBER($D103)),"",_xlfn.NORM.DIST(BA$1,$D103,$E103,TRUE)-_xlfn.NORM.DIST(BA$2,$D103,$E103,TRUE))</f>
        <v/>
      </c>
      <c r="BB103">
        <f>IF(NOT(ISNUMBER($D103)),"",_xlfn.NORM.DIST(BB$1,$D103,$E103,TRUE)-_xlfn.NORM.DIST(BB$2,$D103,$E103,TRUE))</f>
        <v/>
      </c>
      <c r="BC103">
        <f>IF(NOT(ISNUMBER($D103)),"",_xlfn.NORM.DIST(BC$1,$D103,$E103,TRUE)-_xlfn.NORM.DIST(BC$2,$D103,$E103,TRUE))</f>
        <v/>
      </c>
      <c r="BD103">
        <f>IF(NOT(ISNUMBER($D103)),"",_xlfn.NORM.DIST(BD$1,$D103,$E103,TRUE)-_xlfn.NORM.DIST(BD$2,$D103,$E103,TRUE))</f>
        <v/>
      </c>
      <c r="BE103">
        <f>IF(NOT(ISNUMBER($D103)),"",_xlfn.NORM.DIST(BE$1,$D103,$E103,TRUE)-_xlfn.NORM.DIST(BE$2,$D103,$E103,TRUE))</f>
        <v/>
      </c>
      <c r="BF103">
        <f>IF(NOT(ISNUMBER($D103)),"",_xlfn.NORM.DIST(BF$1,$D103,$E103,TRUE)-_xlfn.NORM.DIST(BF$2,$D103,$E103,TRUE))</f>
        <v/>
      </c>
      <c r="BG103">
        <f>IF(NOT(ISNUMBER($D103)),"",_xlfn.NORM.DIST(BG$1,$D103,$E103,TRUE)-_xlfn.NORM.DIST(BG$2,$D103,$E103,TRUE))</f>
        <v/>
      </c>
      <c r="BH103">
        <f>IF(NOT(ISNUMBER($D103)),"",_xlfn.NORM.DIST(BH$1,$D103,$E103,TRUE)-_xlfn.NORM.DIST(BH$2,$D103,$E103,TRUE))</f>
        <v/>
      </c>
      <c r="BI103">
        <f>IF(NOT(ISNUMBER($D103)),"",_xlfn.NORM.DIST(BI$1,$D103,$E103,TRUE)-_xlfn.NORM.DIST(BI$2,$D103,$E103,TRUE))</f>
        <v/>
      </c>
      <c r="BJ103">
        <f>IF(NOT(ISNUMBER($D103)),"",_xlfn.NORM.DIST(BJ$1,$D103,$E103,TRUE)-_xlfn.NORM.DIST(BJ$2,$D103,$E103,TRUE))</f>
        <v/>
      </c>
      <c r="BK103">
        <f>IF(NOT(ISNUMBER($D103)),"",_xlfn.NORM.DIST(BK$1,$D103,$E103,TRUE)-_xlfn.NORM.DIST(BK$2,$D103,$E103,TRUE))</f>
        <v/>
      </c>
      <c r="BL103">
        <f>IF(NOT(ISNUMBER($D103)),"",_xlfn.NORM.DIST(BL$1,$D103,$E103,TRUE)-_xlfn.NORM.DIST(BL$2,$D103,$E103,TRUE))</f>
        <v/>
      </c>
      <c r="BM103">
        <f>IF(NOT(ISNUMBER($D103)),"",_xlfn.NORM.DIST(BM$1,$D103,$E103,TRUE)-_xlfn.NORM.DIST(BM$2,$D103,$E103,TRUE))</f>
        <v/>
      </c>
      <c r="BN103">
        <f>IF(NOT(ISNUMBER($D103)),"",_xlfn.NORM.DIST(BN$1,$D103,$E103,TRUE)-_xlfn.NORM.DIST(BN$2,$D103,$E103,TRUE))</f>
        <v/>
      </c>
      <c r="BO103">
        <f>IF(NOT(ISNUMBER($D103)),"",_xlfn.NORM.DIST(BO$1,$D103,$E103,TRUE)-_xlfn.NORM.DIST(BO$2,$D103,$E103,TRUE))</f>
        <v/>
      </c>
      <c r="BP103">
        <f>IF(NOT(ISNUMBER($D103)),"",_xlfn.NORM.DIST(BP$1,$D103,$E103,TRUE)-_xlfn.NORM.DIST(BP$2,$D103,$E103,TRUE))</f>
        <v/>
      </c>
      <c r="BQ103">
        <f>IF(NOT(ISNUMBER($D103)),"",_xlfn.NORM.DIST(BQ$1,$D103,$E103,TRUE)-_xlfn.NORM.DIST(BQ$2,$D103,$E103,TRUE))</f>
        <v/>
      </c>
      <c r="BR103">
        <f>IF(NOT(ISNUMBER($D103)),"",_xlfn.NORM.DIST(BR$1,$D103,$E103,TRUE)-_xlfn.NORM.DIST(BR$2,$D103,$E103,TRUE))</f>
        <v/>
      </c>
      <c r="BS103">
        <f>IF(NOT(ISNUMBER($D103)),"",_xlfn.NORM.DIST(BS$1,$D103,$E103,TRUE)-_xlfn.NORM.DIST(BS$2,$D103,$E103,TRUE))</f>
        <v/>
      </c>
      <c r="BT103">
        <f>IF(NOT(ISNUMBER($D103)),"",_xlfn.NORM.DIST(BT$1,$D103,$E103,TRUE)-_xlfn.NORM.DIST(BT$2,$D103,$E103,TRUE))</f>
        <v/>
      </c>
      <c r="BU103">
        <f>IF(NOT(ISNUMBER($D103)),"",_xlfn.NORM.DIST(BU$1,$D103,$E103,TRUE)-_xlfn.NORM.DIST(BU$2,$D103,$E103,TRUE))</f>
        <v/>
      </c>
      <c r="BV103">
        <f>IF(NOT(ISNUMBER($D103)),"",_xlfn.NORM.DIST(BV$1,$D103,$E103,TRUE)-_xlfn.NORM.DIST(BV$2,$D103,$E103,TRUE))</f>
        <v/>
      </c>
      <c r="BW103">
        <f>IF(NOT(ISNUMBER($D103)),"",_xlfn.NORM.DIST(BW$1,$D103,$E103,TRUE)-_xlfn.NORM.DIST(BW$2,$D103,$E103,TRUE))</f>
        <v/>
      </c>
      <c r="BX103">
        <f>IF(NOT(ISNUMBER($D103)),"",_xlfn.NORM.DIST(BX$1,$D103,$E103,TRUE)-_xlfn.NORM.DIST(BX$2,$D103,$E103,TRUE))</f>
        <v/>
      </c>
      <c r="BY103">
        <f>IF(NOT(ISNUMBER($D103)),"",_xlfn.NORM.DIST(BY$1,$D103,$E103,TRUE)-_xlfn.NORM.DIST(BY$2,$D103,$E103,TRUE))</f>
        <v/>
      </c>
      <c r="BZ103">
        <f>IF(NOT(ISNUMBER($D103)),"",_xlfn.NORM.DIST(BZ$1,$D103,$E103,TRUE)-_xlfn.NORM.DIST(BZ$2,$D103,$E103,TRUE))</f>
        <v/>
      </c>
      <c r="CA103">
        <f>IF(NOT(ISNUMBER($D103)),"",_xlfn.NORM.DIST(CA$1,$D103,$E103,TRUE)-_xlfn.NORM.DIST(CA$2,$D103,$E103,TRUE))</f>
        <v/>
      </c>
      <c r="CB103">
        <f>IF(NOT(ISNUMBER($D103)),"",_xlfn.NORM.DIST(CB$1,$D103,$E103,TRUE)-_xlfn.NORM.DIST(CB$2,$D103,$E103,TRUE))</f>
        <v/>
      </c>
      <c r="CC103">
        <f>IF(NOT(ISNUMBER($D103)),"",_xlfn.NORM.DIST(CC$1,$D103,$E103,TRUE)-_xlfn.NORM.DIST(CC$2,$D103,$E103,TRUE))</f>
        <v/>
      </c>
      <c r="CD103">
        <f>IF(NOT(ISNUMBER($D103)),"",_xlfn.NORM.DIST(CD$1,$D103,$E103,TRUE)-_xlfn.NORM.DIST(CD$2,$D103,$E103,TRUE))</f>
        <v/>
      </c>
      <c r="CE103">
        <f>IF(NOT(ISNUMBER($D103)),"",_xlfn.NORM.DIST(CE$1,$D103,$E103,TRUE)-_xlfn.NORM.DIST(CE$2,$D103,$E103,TRUE))</f>
        <v/>
      </c>
      <c r="CF103">
        <f>IF(NOT(ISNUMBER($D103)),"",_xlfn.NORM.DIST(CF$1,$D103,$E103,TRUE)-_xlfn.NORM.DIST(CF$2,$D103,$E103,TRUE))</f>
        <v/>
      </c>
      <c r="CG103">
        <f>IF(NOT(ISNUMBER($D103)),"",_xlfn.NORM.DIST(CG$1,$D103,$E103,TRUE)-_xlfn.NORM.DIST(CG$2,$D103,$E103,TRUE))</f>
        <v/>
      </c>
      <c r="CH103">
        <f>IF(NOT(ISNUMBER($D103)),"",_xlfn.NORM.DIST(CH$1,$D103,$E103,TRUE)-_xlfn.NORM.DIST(CH$2,$D103,$E103,TRUE))</f>
        <v/>
      </c>
      <c r="CI103">
        <f>IF(NOT(ISNUMBER($D103)),"",_xlfn.NORM.DIST(CI$1,$D103,$E103,TRUE)-_xlfn.NORM.DIST(CI$2,$D103,$E103,TRUE))</f>
        <v/>
      </c>
      <c r="CJ103">
        <f>IF(ISNUMBER($D103),SUM(F103:CI103),"")</f>
        <v/>
      </c>
    </row>
    <row r="104">
      <c r="A104">
        <f>economics!A103</f>
        <v/>
      </c>
      <c r="B104">
        <f>economics!B103</f>
        <v/>
      </c>
      <c r="C104">
        <f>economics!D103</f>
        <v/>
      </c>
      <c r="D104">
        <f>IF(ISNUMBER(economics!T103),economics!T103,"na")</f>
        <v/>
      </c>
      <c r="E104">
        <f>IF(ISNUMBER(D104),MAX(0.3*ABS(D104),0.000001),"na")</f>
        <v/>
      </c>
      <c r="F104">
        <f>IF(NOT(ISNUMBER($D104)),"",_xlfn.NORM.DIST(F$1,$D104,$E104,TRUE)-_xlfn.NORM.DIST(F$2,$D104,$E104,TRUE))</f>
        <v/>
      </c>
      <c r="G104">
        <f>IF(NOT(ISNUMBER($D104)),"",_xlfn.NORM.DIST(G$1,$D104,$E104,TRUE)-_xlfn.NORM.DIST(G$2,$D104,$E104,TRUE))</f>
        <v/>
      </c>
      <c r="H104">
        <f>IF(NOT(ISNUMBER($D104)),"",_xlfn.NORM.DIST(H$1,$D104,$E104,TRUE)-_xlfn.NORM.DIST(H$2,$D104,$E104,TRUE))</f>
        <v/>
      </c>
      <c r="I104">
        <f>IF(NOT(ISNUMBER($D104)),"",_xlfn.NORM.DIST(I$1,$D104,$E104,TRUE)-_xlfn.NORM.DIST(I$2,$D104,$E104,TRUE))</f>
        <v/>
      </c>
      <c r="J104">
        <f>IF(NOT(ISNUMBER($D104)),"",_xlfn.NORM.DIST(J$1,$D104,$E104,TRUE)-_xlfn.NORM.DIST(J$2,$D104,$E104,TRUE))</f>
        <v/>
      </c>
      <c r="K104">
        <f>IF(NOT(ISNUMBER($D104)),"",_xlfn.NORM.DIST(K$1,$D104,$E104,TRUE)-_xlfn.NORM.DIST(K$2,$D104,$E104,TRUE))</f>
        <v/>
      </c>
      <c r="L104">
        <f>IF(NOT(ISNUMBER($D104)),"",_xlfn.NORM.DIST(L$1,$D104,$E104,TRUE)-_xlfn.NORM.DIST(L$2,$D104,$E104,TRUE))</f>
        <v/>
      </c>
      <c r="M104">
        <f>IF(NOT(ISNUMBER($D104)),"",_xlfn.NORM.DIST(M$1,$D104,$E104,TRUE)-_xlfn.NORM.DIST(M$2,$D104,$E104,TRUE))</f>
        <v/>
      </c>
      <c r="N104">
        <f>IF(NOT(ISNUMBER($D104)),"",_xlfn.NORM.DIST(N$1,$D104,$E104,TRUE)-_xlfn.NORM.DIST(N$2,$D104,$E104,TRUE))</f>
        <v/>
      </c>
      <c r="O104">
        <f>IF(NOT(ISNUMBER($D104)),"",_xlfn.NORM.DIST(O$1,$D104,$E104,TRUE)-_xlfn.NORM.DIST(O$2,$D104,$E104,TRUE))</f>
        <v/>
      </c>
      <c r="P104">
        <f>IF(NOT(ISNUMBER($D104)),"",_xlfn.NORM.DIST(P$1,$D104,$E104,TRUE)-_xlfn.NORM.DIST(P$2,$D104,$E104,TRUE))</f>
        <v/>
      </c>
      <c r="Q104">
        <f>IF(NOT(ISNUMBER($D104)),"",_xlfn.NORM.DIST(Q$1,$D104,$E104,TRUE)-_xlfn.NORM.DIST(Q$2,$D104,$E104,TRUE))</f>
        <v/>
      </c>
      <c r="R104">
        <f>IF(NOT(ISNUMBER($D104)),"",_xlfn.NORM.DIST(R$1,$D104,$E104,TRUE)-_xlfn.NORM.DIST(R$2,$D104,$E104,TRUE))</f>
        <v/>
      </c>
      <c r="S104">
        <f>IF(NOT(ISNUMBER($D104)),"",_xlfn.NORM.DIST(S$1,$D104,$E104,TRUE)-_xlfn.NORM.DIST(S$2,$D104,$E104,TRUE))</f>
        <v/>
      </c>
      <c r="T104">
        <f>IF(NOT(ISNUMBER($D104)),"",_xlfn.NORM.DIST(T$1,$D104,$E104,TRUE)-_xlfn.NORM.DIST(T$2,$D104,$E104,TRUE))</f>
        <v/>
      </c>
      <c r="U104">
        <f>IF(NOT(ISNUMBER($D104)),"",_xlfn.NORM.DIST(U$1,$D104,$E104,TRUE)-_xlfn.NORM.DIST(U$2,$D104,$E104,TRUE))</f>
        <v/>
      </c>
      <c r="V104">
        <f>IF(NOT(ISNUMBER($D104)),"",_xlfn.NORM.DIST(V$1,$D104,$E104,TRUE)-_xlfn.NORM.DIST(V$2,$D104,$E104,TRUE))</f>
        <v/>
      </c>
      <c r="W104">
        <f>IF(NOT(ISNUMBER($D104)),"",_xlfn.NORM.DIST(W$1,$D104,$E104,TRUE)-_xlfn.NORM.DIST(W$2,$D104,$E104,TRUE))</f>
        <v/>
      </c>
      <c r="X104">
        <f>IF(NOT(ISNUMBER($D104)),"",_xlfn.NORM.DIST(X$1,$D104,$E104,TRUE)-_xlfn.NORM.DIST(X$2,$D104,$E104,TRUE))</f>
        <v/>
      </c>
      <c r="Y104">
        <f>IF(NOT(ISNUMBER($D104)),"",_xlfn.NORM.DIST(Y$1,$D104,$E104,TRUE)-_xlfn.NORM.DIST(Y$2,$D104,$E104,TRUE))</f>
        <v/>
      </c>
      <c r="Z104">
        <f>IF(NOT(ISNUMBER($D104)),"",_xlfn.NORM.DIST(Z$1,$D104,$E104,TRUE)-_xlfn.NORM.DIST(Z$2,$D104,$E104,TRUE))</f>
        <v/>
      </c>
      <c r="AA104">
        <f>IF(NOT(ISNUMBER($D104)),"",_xlfn.NORM.DIST(AA$1,$D104,$E104,TRUE)-_xlfn.NORM.DIST(AA$2,$D104,$E104,TRUE))</f>
        <v/>
      </c>
      <c r="AB104">
        <f>IF(NOT(ISNUMBER($D104)),"",_xlfn.NORM.DIST(AB$1,$D104,$E104,TRUE)-_xlfn.NORM.DIST(AB$2,$D104,$E104,TRUE))</f>
        <v/>
      </c>
      <c r="AC104">
        <f>IF(NOT(ISNUMBER($D104)),"",_xlfn.NORM.DIST(AC$1,$D104,$E104,TRUE)-_xlfn.NORM.DIST(AC$2,$D104,$E104,TRUE))</f>
        <v/>
      </c>
      <c r="AD104">
        <f>IF(NOT(ISNUMBER($D104)),"",_xlfn.NORM.DIST(AD$1,$D104,$E104,TRUE)-_xlfn.NORM.DIST(AD$2,$D104,$E104,TRUE))</f>
        <v/>
      </c>
      <c r="AE104">
        <f>IF(NOT(ISNUMBER($D104)),"",_xlfn.NORM.DIST(AE$1,$D104,$E104,TRUE)-_xlfn.NORM.DIST(AE$2,$D104,$E104,TRUE))</f>
        <v/>
      </c>
      <c r="AF104">
        <f>IF(NOT(ISNUMBER($D104)),"",_xlfn.NORM.DIST(AF$1,$D104,$E104,TRUE)-_xlfn.NORM.DIST(AF$2,$D104,$E104,TRUE))</f>
        <v/>
      </c>
      <c r="AG104">
        <f>IF(NOT(ISNUMBER($D104)),"",_xlfn.NORM.DIST(AG$1,$D104,$E104,TRUE)-_xlfn.NORM.DIST(AG$2,$D104,$E104,TRUE))</f>
        <v/>
      </c>
      <c r="AH104">
        <f>IF(NOT(ISNUMBER($D104)),"",_xlfn.NORM.DIST(AH$1,$D104,$E104,TRUE)-_xlfn.NORM.DIST(AH$2,$D104,$E104,TRUE))</f>
        <v/>
      </c>
      <c r="AI104">
        <f>IF(NOT(ISNUMBER($D104)),"",_xlfn.NORM.DIST(AI$1,$D104,$E104,TRUE)-_xlfn.NORM.DIST(AI$2,$D104,$E104,TRUE))</f>
        <v/>
      </c>
      <c r="AJ104">
        <f>IF(NOT(ISNUMBER($D104)),"",_xlfn.NORM.DIST(AJ$1,$D104,$E104,TRUE)-_xlfn.NORM.DIST(AJ$2,$D104,$E104,TRUE))</f>
        <v/>
      </c>
      <c r="AK104">
        <f>IF(NOT(ISNUMBER($D104)),"",_xlfn.NORM.DIST(AK$1,$D104,$E104,TRUE)-_xlfn.NORM.DIST(AK$2,$D104,$E104,TRUE))</f>
        <v/>
      </c>
      <c r="AL104">
        <f>IF(NOT(ISNUMBER($D104)),"",_xlfn.NORM.DIST(AL$1,$D104,$E104,TRUE)-_xlfn.NORM.DIST(AL$2,$D104,$E104,TRUE))</f>
        <v/>
      </c>
      <c r="AM104">
        <f>IF(NOT(ISNUMBER($D104)),"",_xlfn.NORM.DIST(AM$1,$D104,$E104,TRUE)-_xlfn.NORM.DIST(AM$2,$D104,$E104,TRUE))</f>
        <v/>
      </c>
      <c r="AN104">
        <f>IF(NOT(ISNUMBER($D104)),"",_xlfn.NORM.DIST(AN$1,$D104,$E104,TRUE)-_xlfn.NORM.DIST(AN$2,$D104,$E104,TRUE))</f>
        <v/>
      </c>
      <c r="AO104">
        <f>IF(NOT(ISNUMBER($D104)),"",_xlfn.NORM.DIST(AO$1,$D104,$E104,TRUE)-_xlfn.NORM.DIST(AO$2,$D104,$E104,TRUE))</f>
        <v/>
      </c>
      <c r="AP104">
        <f>IF(NOT(ISNUMBER($D104)),"",_xlfn.NORM.DIST(AP$1,$D104,$E104,TRUE)-_xlfn.NORM.DIST(AP$2,$D104,$E104,TRUE))</f>
        <v/>
      </c>
      <c r="AQ104">
        <f>IF(NOT(ISNUMBER($D104)),"",_xlfn.NORM.DIST(AQ$1,$D104,$E104,TRUE)-_xlfn.NORM.DIST(AQ$2,$D104,$E104,TRUE))</f>
        <v/>
      </c>
      <c r="AR104">
        <f>IF(NOT(ISNUMBER($D104)),"",_xlfn.NORM.DIST(AR$1,$D104,$E104,TRUE)-_xlfn.NORM.DIST(AR$2,$D104,$E104,TRUE))</f>
        <v/>
      </c>
      <c r="AS104">
        <f>IF(NOT(ISNUMBER($D104)),"",_xlfn.NORM.DIST(AS$1,$D104,$E104,TRUE)-_xlfn.NORM.DIST(AS$2,$D104,$E104,TRUE))</f>
        <v/>
      </c>
      <c r="AT104">
        <f>IF(NOT(ISNUMBER($D104)),"",_xlfn.NORM.DIST(AT$1,$D104,$E104,TRUE)-_xlfn.NORM.DIST(AT$2,$D104,$E104,TRUE))</f>
        <v/>
      </c>
      <c r="AU104">
        <f>IF(NOT(ISNUMBER($D104)),"",_xlfn.NORM.DIST(AU$1,$D104,$E104,TRUE)-_xlfn.NORM.DIST(AU$2,$D104,$E104,TRUE))</f>
        <v/>
      </c>
      <c r="AV104">
        <f>IF(NOT(ISNUMBER($D104)),"",_xlfn.NORM.DIST(AV$1,$D104,$E104,TRUE)-_xlfn.NORM.DIST(AV$2,$D104,$E104,TRUE))</f>
        <v/>
      </c>
      <c r="AW104">
        <f>IF(NOT(ISNUMBER($D104)),"",_xlfn.NORM.DIST(AW$1,$D104,$E104,TRUE)-_xlfn.NORM.DIST(AW$2,$D104,$E104,TRUE))</f>
        <v/>
      </c>
      <c r="AX104">
        <f>IF(NOT(ISNUMBER($D104)),"",_xlfn.NORM.DIST(AX$1,$D104,$E104,TRUE)-_xlfn.NORM.DIST(AX$2,$D104,$E104,TRUE))</f>
        <v/>
      </c>
      <c r="AY104">
        <f>IF(NOT(ISNUMBER($D104)),"",_xlfn.NORM.DIST(AY$1,$D104,$E104,TRUE)-_xlfn.NORM.DIST(AY$2,$D104,$E104,TRUE))</f>
        <v/>
      </c>
      <c r="AZ104">
        <f>IF(NOT(ISNUMBER($D104)),"",_xlfn.NORM.DIST(AZ$1,$D104,$E104,TRUE)-_xlfn.NORM.DIST(AZ$2,$D104,$E104,TRUE))</f>
        <v/>
      </c>
      <c r="BA104">
        <f>IF(NOT(ISNUMBER($D104)),"",_xlfn.NORM.DIST(BA$1,$D104,$E104,TRUE)-_xlfn.NORM.DIST(BA$2,$D104,$E104,TRUE))</f>
        <v/>
      </c>
      <c r="BB104">
        <f>IF(NOT(ISNUMBER($D104)),"",_xlfn.NORM.DIST(BB$1,$D104,$E104,TRUE)-_xlfn.NORM.DIST(BB$2,$D104,$E104,TRUE))</f>
        <v/>
      </c>
      <c r="BC104">
        <f>IF(NOT(ISNUMBER($D104)),"",_xlfn.NORM.DIST(BC$1,$D104,$E104,TRUE)-_xlfn.NORM.DIST(BC$2,$D104,$E104,TRUE))</f>
        <v/>
      </c>
      <c r="BD104">
        <f>IF(NOT(ISNUMBER($D104)),"",_xlfn.NORM.DIST(BD$1,$D104,$E104,TRUE)-_xlfn.NORM.DIST(BD$2,$D104,$E104,TRUE))</f>
        <v/>
      </c>
      <c r="BE104">
        <f>IF(NOT(ISNUMBER($D104)),"",_xlfn.NORM.DIST(BE$1,$D104,$E104,TRUE)-_xlfn.NORM.DIST(BE$2,$D104,$E104,TRUE))</f>
        <v/>
      </c>
      <c r="BF104">
        <f>IF(NOT(ISNUMBER($D104)),"",_xlfn.NORM.DIST(BF$1,$D104,$E104,TRUE)-_xlfn.NORM.DIST(BF$2,$D104,$E104,TRUE))</f>
        <v/>
      </c>
      <c r="BG104">
        <f>IF(NOT(ISNUMBER($D104)),"",_xlfn.NORM.DIST(BG$1,$D104,$E104,TRUE)-_xlfn.NORM.DIST(BG$2,$D104,$E104,TRUE))</f>
        <v/>
      </c>
      <c r="BH104">
        <f>IF(NOT(ISNUMBER($D104)),"",_xlfn.NORM.DIST(BH$1,$D104,$E104,TRUE)-_xlfn.NORM.DIST(BH$2,$D104,$E104,TRUE))</f>
        <v/>
      </c>
      <c r="BI104">
        <f>IF(NOT(ISNUMBER($D104)),"",_xlfn.NORM.DIST(BI$1,$D104,$E104,TRUE)-_xlfn.NORM.DIST(BI$2,$D104,$E104,TRUE))</f>
        <v/>
      </c>
      <c r="BJ104">
        <f>IF(NOT(ISNUMBER($D104)),"",_xlfn.NORM.DIST(BJ$1,$D104,$E104,TRUE)-_xlfn.NORM.DIST(BJ$2,$D104,$E104,TRUE))</f>
        <v/>
      </c>
      <c r="BK104">
        <f>IF(NOT(ISNUMBER($D104)),"",_xlfn.NORM.DIST(BK$1,$D104,$E104,TRUE)-_xlfn.NORM.DIST(BK$2,$D104,$E104,TRUE))</f>
        <v/>
      </c>
      <c r="BL104">
        <f>IF(NOT(ISNUMBER($D104)),"",_xlfn.NORM.DIST(BL$1,$D104,$E104,TRUE)-_xlfn.NORM.DIST(BL$2,$D104,$E104,TRUE))</f>
        <v/>
      </c>
      <c r="BM104">
        <f>IF(NOT(ISNUMBER($D104)),"",_xlfn.NORM.DIST(BM$1,$D104,$E104,TRUE)-_xlfn.NORM.DIST(BM$2,$D104,$E104,TRUE))</f>
        <v/>
      </c>
      <c r="BN104">
        <f>IF(NOT(ISNUMBER($D104)),"",_xlfn.NORM.DIST(BN$1,$D104,$E104,TRUE)-_xlfn.NORM.DIST(BN$2,$D104,$E104,TRUE))</f>
        <v/>
      </c>
      <c r="BO104">
        <f>IF(NOT(ISNUMBER($D104)),"",_xlfn.NORM.DIST(BO$1,$D104,$E104,TRUE)-_xlfn.NORM.DIST(BO$2,$D104,$E104,TRUE))</f>
        <v/>
      </c>
      <c r="BP104">
        <f>IF(NOT(ISNUMBER($D104)),"",_xlfn.NORM.DIST(BP$1,$D104,$E104,TRUE)-_xlfn.NORM.DIST(BP$2,$D104,$E104,TRUE))</f>
        <v/>
      </c>
      <c r="BQ104">
        <f>IF(NOT(ISNUMBER($D104)),"",_xlfn.NORM.DIST(BQ$1,$D104,$E104,TRUE)-_xlfn.NORM.DIST(BQ$2,$D104,$E104,TRUE))</f>
        <v/>
      </c>
      <c r="BR104">
        <f>IF(NOT(ISNUMBER($D104)),"",_xlfn.NORM.DIST(BR$1,$D104,$E104,TRUE)-_xlfn.NORM.DIST(BR$2,$D104,$E104,TRUE))</f>
        <v/>
      </c>
      <c r="BS104">
        <f>IF(NOT(ISNUMBER($D104)),"",_xlfn.NORM.DIST(BS$1,$D104,$E104,TRUE)-_xlfn.NORM.DIST(BS$2,$D104,$E104,TRUE))</f>
        <v/>
      </c>
      <c r="BT104">
        <f>IF(NOT(ISNUMBER($D104)),"",_xlfn.NORM.DIST(BT$1,$D104,$E104,TRUE)-_xlfn.NORM.DIST(BT$2,$D104,$E104,TRUE))</f>
        <v/>
      </c>
      <c r="BU104">
        <f>IF(NOT(ISNUMBER($D104)),"",_xlfn.NORM.DIST(BU$1,$D104,$E104,TRUE)-_xlfn.NORM.DIST(BU$2,$D104,$E104,TRUE))</f>
        <v/>
      </c>
      <c r="BV104">
        <f>IF(NOT(ISNUMBER($D104)),"",_xlfn.NORM.DIST(BV$1,$D104,$E104,TRUE)-_xlfn.NORM.DIST(BV$2,$D104,$E104,TRUE))</f>
        <v/>
      </c>
      <c r="BW104">
        <f>IF(NOT(ISNUMBER($D104)),"",_xlfn.NORM.DIST(BW$1,$D104,$E104,TRUE)-_xlfn.NORM.DIST(BW$2,$D104,$E104,TRUE))</f>
        <v/>
      </c>
      <c r="BX104">
        <f>IF(NOT(ISNUMBER($D104)),"",_xlfn.NORM.DIST(BX$1,$D104,$E104,TRUE)-_xlfn.NORM.DIST(BX$2,$D104,$E104,TRUE))</f>
        <v/>
      </c>
      <c r="BY104">
        <f>IF(NOT(ISNUMBER($D104)),"",_xlfn.NORM.DIST(BY$1,$D104,$E104,TRUE)-_xlfn.NORM.DIST(BY$2,$D104,$E104,TRUE))</f>
        <v/>
      </c>
      <c r="BZ104">
        <f>IF(NOT(ISNUMBER($D104)),"",_xlfn.NORM.DIST(BZ$1,$D104,$E104,TRUE)-_xlfn.NORM.DIST(BZ$2,$D104,$E104,TRUE))</f>
        <v/>
      </c>
      <c r="CA104">
        <f>IF(NOT(ISNUMBER($D104)),"",_xlfn.NORM.DIST(CA$1,$D104,$E104,TRUE)-_xlfn.NORM.DIST(CA$2,$D104,$E104,TRUE))</f>
        <v/>
      </c>
      <c r="CB104">
        <f>IF(NOT(ISNUMBER($D104)),"",_xlfn.NORM.DIST(CB$1,$D104,$E104,TRUE)-_xlfn.NORM.DIST(CB$2,$D104,$E104,TRUE))</f>
        <v/>
      </c>
      <c r="CC104">
        <f>IF(NOT(ISNUMBER($D104)),"",_xlfn.NORM.DIST(CC$1,$D104,$E104,TRUE)-_xlfn.NORM.DIST(CC$2,$D104,$E104,TRUE))</f>
        <v/>
      </c>
      <c r="CD104">
        <f>IF(NOT(ISNUMBER($D104)),"",_xlfn.NORM.DIST(CD$1,$D104,$E104,TRUE)-_xlfn.NORM.DIST(CD$2,$D104,$E104,TRUE))</f>
        <v/>
      </c>
      <c r="CE104">
        <f>IF(NOT(ISNUMBER($D104)),"",_xlfn.NORM.DIST(CE$1,$D104,$E104,TRUE)-_xlfn.NORM.DIST(CE$2,$D104,$E104,TRUE))</f>
        <v/>
      </c>
      <c r="CF104">
        <f>IF(NOT(ISNUMBER($D104)),"",_xlfn.NORM.DIST(CF$1,$D104,$E104,TRUE)-_xlfn.NORM.DIST(CF$2,$D104,$E104,TRUE))</f>
        <v/>
      </c>
      <c r="CG104">
        <f>IF(NOT(ISNUMBER($D104)),"",_xlfn.NORM.DIST(CG$1,$D104,$E104,TRUE)-_xlfn.NORM.DIST(CG$2,$D104,$E104,TRUE))</f>
        <v/>
      </c>
      <c r="CH104">
        <f>IF(NOT(ISNUMBER($D104)),"",_xlfn.NORM.DIST(CH$1,$D104,$E104,TRUE)-_xlfn.NORM.DIST(CH$2,$D104,$E104,TRUE))</f>
        <v/>
      </c>
      <c r="CI104">
        <f>IF(NOT(ISNUMBER($D104)),"",_xlfn.NORM.DIST(CI$1,$D104,$E104,TRUE)-_xlfn.NORM.DIST(CI$2,$D104,$E104,TRUE))</f>
        <v/>
      </c>
      <c r="CJ104">
        <f>IF(ISNUMBER($D104),SUM(F104:CI104),"")</f>
        <v/>
      </c>
    </row>
    <row r="105">
      <c r="A105">
        <f>economics!A104</f>
        <v/>
      </c>
      <c r="B105">
        <f>economics!B104</f>
        <v/>
      </c>
      <c r="C105">
        <f>economics!D104</f>
        <v/>
      </c>
      <c r="D105">
        <f>IF(ISNUMBER(economics!T104),economics!T104,"na")</f>
        <v/>
      </c>
      <c r="E105">
        <f>IF(ISNUMBER(D105),MAX(0.3*ABS(D105),0.000001),"na")</f>
        <v/>
      </c>
      <c r="F105">
        <f>IF(NOT(ISNUMBER($D105)),"",_xlfn.NORM.DIST(F$1,$D105,$E105,TRUE)-_xlfn.NORM.DIST(F$2,$D105,$E105,TRUE))</f>
        <v/>
      </c>
      <c r="G105">
        <f>IF(NOT(ISNUMBER($D105)),"",_xlfn.NORM.DIST(G$1,$D105,$E105,TRUE)-_xlfn.NORM.DIST(G$2,$D105,$E105,TRUE))</f>
        <v/>
      </c>
      <c r="H105">
        <f>IF(NOT(ISNUMBER($D105)),"",_xlfn.NORM.DIST(H$1,$D105,$E105,TRUE)-_xlfn.NORM.DIST(H$2,$D105,$E105,TRUE))</f>
        <v/>
      </c>
      <c r="I105">
        <f>IF(NOT(ISNUMBER($D105)),"",_xlfn.NORM.DIST(I$1,$D105,$E105,TRUE)-_xlfn.NORM.DIST(I$2,$D105,$E105,TRUE))</f>
        <v/>
      </c>
      <c r="J105">
        <f>IF(NOT(ISNUMBER($D105)),"",_xlfn.NORM.DIST(J$1,$D105,$E105,TRUE)-_xlfn.NORM.DIST(J$2,$D105,$E105,TRUE))</f>
        <v/>
      </c>
      <c r="K105">
        <f>IF(NOT(ISNUMBER($D105)),"",_xlfn.NORM.DIST(K$1,$D105,$E105,TRUE)-_xlfn.NORM.DIST(K$2,$D105,$E105,TRUE))</f>
        <v/>
      </c>
      <c r="L105">
        <f>IF(NOT(ISNUMBER($D105)),"",_xlfn.NORM.DIST(L$1,$D105,$E105,TRUE)-_xlfn.NORM.DIST(L$2,$D105,$E105,TRUE))</f>
        <v/>
      </c>
      <c r="M105">
        <f>IF(NOT(ISNUMBER($D105)),"",_xlfn.NORM.DIST(M$1,$D105,$E105,TRUE)-_xlfn.NORM.DIST(M$2,$D105,$E105,TRUE))</f>
        <v/>
      </c>
      <c r="N105">
        <f>IF(NOT(ISNUMBER($D105)),"",_xlfn.NORM.DIST(N$1,$D105,$E105,TRUE)-_xlfn.NORM.DIST(N$2,$D105,$E105,TRUE))</f>
        <v/>
      </c>
      <c r="O105">
        <f>IF(NOT(ISNUMBER($D105)),"",_xlfn.NORM.DIST(O$1,$D105,$E105,TRUE)-_xlfn.NORM.DIST(O$2,$D105,$E105,TRUE))</f>
        <v/>
      </c>
      <c r="P105">
        <f>IF(NOT(ISNUMBER($D105)),"",_xlfn.NORM.DIST(P$1,$D105,$E105,TRUE)-_xlfn.NORM.DIST(P$2,$D105,$E105,TRUE))</f>
        <v/>
      </c>
      <c r="Q105">
        <f>IF(NOT(ISNUMBER($D105)),"",_xlfn.NORM.DIST(Q$1,$D105,$E105,TRUE)-_xlfn.NORM.DIST(Q$2,$D105,$E105,TRUE))</f>
        <v/>
      </c>
      <c r="R105">
        <f>IF(NOT(ISNUMBER($D105)),"",_xlfn.NORM.DIST(R$1,$D105,$E105,TRUE)-_xlfn.NORM.DIST(R$2,$D105,$E105,TRUE))</f>
        <v/>
      </c>
      <c r="S105">
        <f>IF(NOT(ISNUMBER($D105)),"",_xlfn.NORM.DIST(S$1,$D105,$E105,TRUE)-_xlfn.NORM.DIST(S$2,$D105,$E105,TRUE))</f>
        <v/>
      </c>
      <c r="T105">
        <f>IF(NOT(ISNUMBER($D105)),"",_xlfn.NORM.DIST(T$1,$D105,$E105,TRUE)-_xlfn.NORM.DIST(T$2,$D105,$E105,TRUE))</f>
        <v/>
      </c>
      <c r="U105">
        <f>IF(NOT(ISNUMBER($D105)),"",_xlfn.NORM.DIST(U$1,$D105,$E105,TRUE)-_xlfn.NORM.DIST(U$2,$D105,$E105,TRUE))</f>
        <v/>
      </c>
      <c r="V105">
        <f>IF(NOT(ISNUMBER($D105)),"",_xlfn.NORM.DIST(V$1,$D105,$E105,TRUE)-_xlfn.NORM.DIST(V$2,$D105,$E105,TRUE))</f>
        <v/>
      </c>
      <c r="W105">
        <f>IF(NOT(ISNUMBER($D105)),"",_xlfn.NORM.DIST(W$1,$D105,$E105,TRUE)-_xlfn.NORM.DIST(W$2,$D105,$E105,TRUE))</f>
        <v/>
      </c>
      <c r="X105">
        <f>IF(NOT(ISNUMBER($D105)),"",_xlfn.NORM.DIST(X$1,$D105,$E105,TRUE)-_xlfn.NORM.DIST(X$2,$D105,$E105,TRUE))</f>
        <v/>
      </c>
      <c r="Y105">
        <f>IF(NOT(ISNUMBER($D105)),"",_xlfn.NORM.DIST(Y$1,$D105,$E105,TRUE)-_xlfn.NORM.DIST(Y$2,$D105,$E105,TRUE))</f>
        <v/>
      </c>
      <c r="Z105">
        <f>IF(NOT(ISNUMBER($D105)),"",_xlfn.NORM.DIST(Z$1,$D105,$E105,TRUE)-_xlfn.NORM.DIST(Z$2,$D105,$E105,TRUE))</f>
        <v/>
      </c>
      <c r="AA105">
        <f>IF(NOT(ISNUMBER($D105)),"",_xlfn.NORM.DIST(AA$1,$D105,$E105,TRUE)-_xlfn.NORM.DIST(AA$2,$D105,$E105,TRUE))</f>
        <v/>
      </c>
      <c r="AB105">
        <f>IF(NOT(ISNUMBER($D105)),"",_xlfn.NORM.DIST(AB$1,$D105,$E105,TRUE)-_xlfn.NORM.DIST(AB$2,$D105,$E105,TRUE))</f>
        <v/>
      </c>
      <c r="AC105">
        <f>IF(NOT(ISNUMBER($D105)),"",_xlfn.NORM.DIST(AC$1,$D105,$E105,TRUE)-_xlfn.NORM.DIST(AC$2,$D105,$E105,TRUE))</f>
        <v/>
      </c>
      <c r="AD105">
        <f>IF(NOT(ISNUMBER($D105)),"",_xlfn.NORM.DIST(AD$1,$D105,$E105,TRUE)-_xlfn.NORM.DIST(AD$2,$D105,$E105,TRUE))</f>
        <v/>
      </c>
      <c r="AE105">
        <f>IF(NOT(ISNUMBER($D105)),"",_xlfn.NORM.DIST(AE$1,$D105,$E105,TRUE)-_xlfn.NORM.DIST(AE$2,$D105,$E105,TRUE))</f>
        <v/>
      </c>
      <c r="AF105">
        <f>IF(NOT(ISNUMBER($D105)),"",_xlfn.NORM.DIST(AF$1,$D105,$E105,TRUE)-_xlfn.NORM.DIST(AF$2,$D105,$E105,TRUE))</f>
        <v/>
      </c>
      <c r="AG105">
        <f>IF(NOT(ISNUMBER($D105)),"",_xlfn.NORM.DIST(AG$1,$D105,$E105,TRUE)-_xlfn.NORM.DIST(AG$2,$D105,$E105,TRUE))</f>
        <v/>
      </c>
      <c r="AH105">
        <f>IF(NOT(ISNUMBER($D105)),"",_xlfn.NORM.DIST(AH$1,$D105,$E105,TRUE)-_xlfn.NORM.DIST(AH$2,$D105,$E105,TRUE))</f>
        <v/>
      </c>
      <c r="AI105">
        <f>IF(NOT(ISNUMBER($D105)),"",_xlfn.NORM.DIST(AI$1,$D105,$E105,TRUE)-_xlfn.NORM.DIST(AI$2,$D105,$E105,TRUE))</f>
        <v/>
      </c>
      <c r="AJ105">
        <f>IF(NOT(ISNUMBER($D105)),"",_xlfn.NORM.DIST(AJ$1,$D105,$E105,TRUE)-_xlfn.NORM.DIST(AJ$2,$D105,$E105,TRUE))</f>
        <v/>
      </c>
      <c r="AK105">
        <f>IF(NOT(ISNUMBER($D105)),"",_xlfn.NORM.DIST(AK$1,$D105,$E105,TRUE)-_xlfn.NORM.DIST(AK$2,$D105,$E105,TRUE))</f>
        <v/>
      </c>
      <c r="AL105">
        <f>IF(NOT(ISNUMBER($D105)),"",_xlfn.NORM.DIST(AL$1,$D105,$E105,TRUE)-_xlfn.NORM.DIST(AL$2,$D105,$E105,TRUE))</f>
        <v/>
      </c>
      <c r="AM105">
        <f>IF(NOT(ISNUMBER($D105)),"",_xlfn.NORM.DIST(AM$1,$D105,$E105,TRUE)-_xlfn.NORM.DIST(AM$2,$D105,$E105,TRUE))</f>
        <v/>
      </c>
      <c r="AN105">
        <f>IF(NOT(ISNUMBER($D105)),"",_xlfn.NORM.DIST(AN$1,$D105,$E105,TRUE)-_xlfn.NORM.DIST(AN$2,$D105,$E105,TRUE))</f>
        <v/>
      </c>
      <c r="AO105">
        <f>IF(NOT(ISNUMBER($D105)),"",_xlfn.NORM.DIST(AO$1,$D105,$E105,TRUE)-_xlfn.NORM.DIST(AO$2,$D105,$E105,TRUE))</f>
        <v/>
      </c>
      <c r="AP105">
        <f>IF(NOT(ISNUMBER($D105)),"",_xlfn.NORM.DIST(AP$1,$D105,$E105,TRUE)-_xlfn.NORM.DIST(AP$2,$D105,$E105,TRUE))</f>
        <v/>
      </c>
      <c r="AQ105">
        <f>IF(NOT(ISNUMBER($D105)),"",_xlfn.NORM.DIST(AQ$1,$D105,$E105,TRUE)-_xlfn.NORM.DIST(AQ$2,$D105,$E105,TRUE))</f>
        <v/>
      </c>
      <c r="AR105">
        <f>IF(NOT(ISNUMBER($D105)),"",_xlfn.NORM.DIST(AR$1,$D105,$E105,TRUE)-_xlfn.NORM.DIST(AR$2,$D105,$E105,TRUE))</f>
        <v/>
      </c>
      <c r="AS105">
        <f>IF(NOT(ISNUMBER($D105)),"",_xlfn.NORM.DIST(AS$1,$D105,$E105,TRUE)-_xlfn.NORM.DIST(AS$2,$D105,$E105,TRUE))</f>
        <v/>
      </c>
      <c r="AT105">
        <f>IF(NOT(ISNUMBER($D105)),"",_xlfn.NORM.DIST(AT$1,$D105,$E105,TRUE)-_xlfn.NORM.DIST(AT$2,$D105,$E105,TRUE))</f>
        <v/>
      </c>
      <c r="AU105">
        <f>IF(NOT(ISNUMBER($D105)),"",_xlfn.NORM.DIST(AU$1,$D105,$E105,TRUE)-_xlfn.NORM.DIST(AU$2,$D105,$E105,TRUE))</f>
        <v/>
      </c>
      <c r="AV105">
        <f>IF(NOT(ISNUMBER($D105)),"",_xlfn.NORM.DIST(AV$1,$D105,$E105,TRUE)-_xlfn.NORM.DIST(AV$2,$D105,$E105,TRUE))</f>
        <v/>
      </c>
      <c r="AW105">
        <f>IF(NOT(ISNUMBER($D105)),"",_xlfn.NORM.DIST(AW$1,$D105,$E105,TRUE)-_xlfn.NORM.DIST(AW$2,$D105,$E105,TRUE))</f>
        <v/>
      </c>
      <c r="AX105">
        <f>IF(NOT(ISNUMBER($D105)),"",_xlfn.NORM.DIST(AX$1,$D105,$E105,TRUE)-_xlfn.NORM.DIST(AX$2,$D105,$E105,TRUE))</f>
        <v/>
      </c>
      <c r="AY105">
        <f>IF(NOT(ISNUMBER($D105)),"",_xlfn.NORM.DIST(AY$1,$D105,$E105,TRUE)-_xlfn.NORM.DIST(AY$2,$D105,$E105,TRUE))</f>
        <v/>
      </c>
      <c r="AZ105">
        <f>IF(NOT(ISNUMBER($D105)),"",_xlfn.NORM.DIST(AZ$1,$D105,$E105,TRUE)-_xlfn.NORM.DIST(AZ$2,$D105,$E105,TRUE))</f>
        <v/>
      </c>
      <c r="BA105">
        <f>IF(NOT(ISNUMBER($D105)),"",_xlfn.NORM.DIST(BA$1,$D105,$E105,TRUE)-_xlfn.NORM.DIST(BA$2,$D105,$E105,TRUE))</f>
        <v/>
      </c>
      <c r="BB105">
        <f>IF(NOT(ISNUMBER($D105)),"",_xlfn.NORM.DIST(BB$1,$D105,$E105,TRUE)-_xlfn.NORM.DIST(BB$2,$D105,$E105,TRUE))</f>
        <v/>
      </c>
      <c r="BC105">
        <f>IF(NOT(ISNUMBER($D105)),"",_xlfn.NORM.DIST(BC$1,$D105,$E105,TRUE)-_xlfn.NORM.DIST(BC$2,$D105,$E105,TRUE))</f>
        <v/>
      </c>
      <c r="BD105">
        <f>IF(NOT(ISNUMBER($D105)),"",_xlfn.NORM.DIST(BD$1,$D105,$E105,TRUE)-_xlfn.NORM.DIST(BD$2,$D105,$E105,TRUE))</f>
        <v/>
      </c>
      <c r="BE105">
        <f>IF(NOT(ISNUMBER($D105)),"",_xlfn.NORM.DIST(BE$1,$D105,$E105,TRUE)-_xlfn.NORM.DIST(BE$2,$D105,$E105,TRUE))</f>
        <v/>
      </c>
      <c r="BF105">
        <f>IF(NOT(ISNUMBER($D105)),"",_xlfn.NORM.DIST(BF$1,$D105,$E105,TRUE)-_xlfn.NORM.DIST(BF$2,$D105,$E105,TRUE))</f>
        <v/>
      </c>
      <c r="BG105">
        <f>IF(NOT(ISNUMBER($D105)),"",_xlfn.NORM.DIST(BG$1,$D105,$E105,TRUE)-_xlfn.NORM.DIST(BG$2,$D105,$E105,TRUE))</f>
        <v/>
      </c>
      <c r="BH105">
        <f>IF(NOT(ISNUMBER($D105)),"",_xlfn.NORM.DIST(BH$1,$D105,$E105,TRUE)-_xlfn.NORM.DIST(BH$2,$D105,$E105,TRUE))</f>
        <v/>
      </c>
      <c r="BI105">
        <f>IF(NOT(ISNUMBER($D105)),"",_xlfn.NORM.DIST(BI$1,$D105,$E105,TRUE)-_xlfn.NORM.DIST(BI$2,$D105,$E105,TRUE))</f>
        <v/>
      </c>
      <c r="BJ105">
        <f>IF(NOT(ISNUMBER($D105)),"",_xlfn.NORM.DIST(BJ$1,$D105,$E105,TRUE)-_xlfn.NORM.DIST(BJ$2,$D105,$E105,TRUE))</f>
        <v/>
      </c>
      <c r="BK105">
        <f>IF(NOT(ISNUMBER($D105)),"",_xlfn.NORM.DIST(BK$1,$D105,$E105,TRUE)-_xlfn.NORM.DIST(BK$2,$D105,$E105,TRUE))</f>
        <v/>
      </c>
      <c r="BL105">
        <f>IF(NOT(ISNUMBER($D105)),"",_xlfn.NORM.DIST(BL$1,$D105,$E105,TRUE)-_xlfn.NORM.DIST(BL$2,$D105,$E105,TRUE))</f>
        <v/>
      </c>
      <c r="BM105">
        <f>IF(NOT(ISNUMBER($D105)),"",_xlfn.NORM.DIST(BM$1,$D105,$E105,TRUE)-_xlfn.NORM.DIST(BM$2,$D105,$E105,TRUE))</f>
        <v/>
      </c>
      <c r="BN105">
        <f>IF(NOT(ISNUMBER($D105)),"",_xlfn.NORM.DIST(BN$1,$D105,$E105,TRUE)-_xlfn.NORM.DIST(BN$2,$D105,$E105,TRUE))</f>
        <v/>
      </c>
      <c r="BO105">
        <f>IF(NOT(ISNUMBER($D105)),"",_xlfn.NORM.DIST(BO$1,$D105,$E105,TRUE)-_xlfn.NORM.DIST(BO$2,$D105,$E105,TRUE))</f>
        <v/>
      </c>
      <c r="BP105">
        <f>IF(NOT(ISNUMBER($D105)),"",_xlfn.NORM.DIST(BP$1,$D105,$E105,TRUE)-_xlfn.NORM.DIST(BP$2,$D105,$E105,TRUE))</f>
        <v/>
      </c>
      <c r="BQ105">
        <f>IF(NOT(ISNUMBER($D105)),"",_xlfn.NORM.DIST(BQ$1,$D105,$E105,TRUE)-_xlfn.NORM.DIST(BQ$2,$D105,$E105,TRUE))</f>
        <v/>
      </c>
      <c r="BR105">
        <f>IF(NOT(ISNUMBER($D105)),"",_xlfn.NORM.DIST(BR$1,$D105,$E105,TRUE)-_xlfn.NORM.DIST(BR$2,$D105,$E105,TRUE))</f>
        <v/>
      </c>
      <c r="BS105">
        <f>IF(NOT(ISNUMBER($D105)),"",_xlfn.NORM.DIST(BS$1,$D105,$E105,TRUE)-_xlfn.NORM.DIST(BS$2,$D105,$E105,TRUE))</f>
        <v/>
      </c>
      <c r="BT105">
        <f>IF(NOT(ISNUMBER($D105)),"",_xlfn.NORM.DIST(BT$1,$D105,$E105,TRUE)-_xlfn.NORM.DIST(BT$2,$D105,$E105,TRUE))</f>
        <v/>
      </c>
      <c r="BU105">
        <f>IF(NOT(ISNUMBER($D105)),"",_xlfn.NORM.DIST(BU$1,$D105,$E105,TRUE)-_xlfn.NORM.DIST(BU$2,$D105,$E105,TRUE))</f>
        <v/>
      </c>
      <c r="BV105">
        <f>IF(NOT(ISNUMBER($D105)),"",_xlfn.NORM.DIST(BV$1,$D105,$E105,TRUE)-_xlfn.NORM.DIST(BV$2,$D105,$E105,TRUE))</f>
        <v/>
      </c>
      <c r="BW105">
        <f>IF(NOT(ISNUMBER($D105)),"",_xlfn.NORM.DIST(BW$1,$D105,$E105,TRUE)-_xlfn.NORM.DIST(BW$2,$D105,$E105,TRUE))</f>
        <v/>
      </c>
      <c r="BX105">
        <f>IF(NOT(ISNUMBER($D105)),"",_xlfn.NORM.DIST(BX$1,$D105,$E105,TRUE)-_xlfn.NORM.DIST(BX$2,$D105,$E105,TRUE))</f>
        <v/>
      </c>
      <c r="BY105">
        <f>IF(NOT(ISNUMBER($D105)),"",_xlfn.NORM.DIST(BY$1,$D105,$E105,TRUE)-_xlfn.NORM.DIST(BY$2,$D105,$E105,TRUE))</f>
        <v/>
      </c>
      <c r="BZ105">
        <f>IF(NOT(ISNUMBER($D105)),"",_xlfn.NORM.DIST(BZ$1,$D105,$E105,TRUE)-_xlfn.NORM.DIST(BZ$2,$D105,$E105,TRUE))</f>
        <v/>
      </c>
      <c r="CA105">
        <f>IF(NOT(ISNUMBER($D105)),"",_xlfn.NORM.DIST(CA$1,$D105,$E105,TRUE)-_xlfn.NORM.DIST(CA$2,$D105,$E105,TRUE))</f>
        <v/>
      </c>
      <c r="CB105">
        <f>IF(NOT(ISNUMBER($D105)),"",_xlfn.NORM.DIST(CB$1,$D105,$E105,TRUE)-_xlfn.NORM.DIST(CB$2,$D105,$E105,TRUE))</f>
        <v/>
      </c>
      <c r="CC105">
        <f>IF(NOT(ISNUMBER($D105)),"",_xlfn.NORM.DIST(CC$1,$D105,$E105,TRUE)-_xlfn.NORM.DIST(CC$2,$D105,$E105,TRUE))</f>
        <v/>
      </c>
      <c r="CD105">
        <f>IF(NOT(ISNUMBER($D105)),"",_xlfn.NORM.DIST(CD$1,$D105,$E105,TRUE)-_xlfn.NORM.DIST(CD$2,$D105,$E105,TRUE))</f>
        <v/>
      </c>
      <c r="CE105">
        <f>IF(NOT(ISNUMBER($D105)),"",_xlfn.NORM.DIST(CE$1,$D105,$E105,TRUE)-_xlfn.NORM.DIST(CE$2,$D105,$E105,TRUE))</f>
        <v/>
      </c>
      <c r="CF105">
        <f>IF(NOT(ISNUMBER($D105)),"",_xlfn.NORM.DIST(CF$1,$D105,$E105,TRUE)-_xlfn.NORM.DIST(CF$2,$D105,$E105,TRUE))</f>
        <v/>
      </c>
      <c r="CG105">
        <f>IF(NOT(ISNUMBER($D105)),"",_xlfn.NORM.DIST(CG$1,$D105,$E105,TRUE)-_xlfn.NORM.DIST(CG$2,$D105,$E105,TRUE))</f>
        <v/>
      </c>
      <c r="CH105">
        <f>IF(NOT(ISNUMBER($D105)),"",_xlfn.NORM.DIST(CH$1,$D105,$E105,TRUE)-_xlfn.NORM.DIST(CH$2,$D105,$E105,TRUE))</f>
        <v/>
      </c>
      <c r="CI105">
        <f>IF(NOT(ISNUMBER($D105)),"",_xlfn.NORM.DIST(CI$1,$D105,$E105,TRUE)-_xlfn.NORM.DIST(CI$2,$D105,$E105,TRUE))</f>
        <v/>
      </c>
      <c r="CJ105">
        <f>IF(ISNUMBER($D105),SUM(F105:CI105),"")</f>
        <v/>
      </c>
    </row>
    <row r="106">
      <c r="A106">
        <f>economics!A105</f>
        <v/>
      </c>
      <c r="B106">
        <f>economics!B105</f>
        <v/>
      </c>
      <c r="C106">
        <f>economics!D105</f>
        <v/>
      </c>
      <c r="D106">
        <f>IF(ISNUMBER(economics!T105),economics!T105,"na")</f>
        <v/>
      </c>
      <c r="E106">
        <f>IF(ISNUMBER(D106),MAX(0.3*ABS(D106),0.000001),"na")</f>
        <v/>
      </c>
      <c r="F106">
        <f>IF(NOT(ISNUMBER($D106)),"",_xlfn.NORM.DIST(F$1,$D106,$E106,TRUE)-_xlfn.NORM.DIST(F$2,$D106,$E106,TRUE))</f>
        <v/>
      </c>
      <c r="G106">
        <f>IF(NOT(ISNUMBER($D106)),"",_xlfn.NORM.DIST(G$1,$D106,$E106,TRUE)-_xlfn.NORM.DIST(G$2,$D106,$E106,TRUE))</f>
        <v/>
      </c>
      <c r="H106">
        <f>IF(NOT(ISNUMBER($D106)),"",_xlfn.NORM.DIST(H$1,$D106,$E106,TRUE)-_xlfn.NORM.DIST(H$2,$D106,$E106,TRUE))</f>
        <v/>
      </c>
      <c r="I106">
        <f>IF(NOT(ISNUMBER($D106)),"",_xlfn.NORM.DIST(I$1,$D106,$E106,TRUE)-_xlfn.NORM.DIST(I$2,$D106,$E106,TRUE))</f>
        <v/>
      </c>
      <c r="J106">
        <f>IF(NOT(ISNUMBER($D106)),"",_xlfn.NORM.DIST(J$1,$D106,$E106,TRUE)-_xlfn.NORM.DIST(J$2,$D106,$E106,TRUE))</f>
        <v/>
      </c>
      <c r="K106">
        <f>IF(NOT(ISNUMBER($D106)),"",_xlfn.NORM.DIST(K$1,$D106,$E106,TRUE)-_xlfn.NORM.DIST(K$2,$D106,$E106,TRUE))</f>
        <v/>
      </c>
      <c r="L106">
        <f>IF(NOT(ISNUMBER($D106)),"",_xlfn.NORM.DIST(L$1,$D106,$E106,TRUE)-_xlfn.NORM.DIST(L$2,$D106,$E106,TRUE))</f>
        <v/>
      </c>
      <c r="M106">
        <f>IF(NOT(ISNUMBER($D106)),"",_xlfn.NORM.DIST(M$1,$D106,$E106,TRUE)-_xlfn.NORM.DIST(M$2,$D106,$E106,TRUE))</f>
        <v/>
      </c>
      <c r="N106">
        <f>IF(NOT(ISNUMBER($D106)),"",_xlfn.NORM.DIST(N$1,$D106,$E106,TRUE)-_xlfn.NORM.DIST(N$2,$D106,$E106,TRUE))</f>
        <v/>
      </c>
      <c r="O106">
        <f>IF(NOT(ISNUMBER($D106)),"",_xlfn.NORM.DIST(O$1,$D106,$E106,TRUE)-_xlfn.NORM.DIST(O$2,$D106,$E106,TRUE))</f>
        <v/>
      </c>
      <c r="P106">
        <f>IF(NOT(ISNUMBER($D106)),"",_xlfn.NORM.DIST(P$1,$D106,$E106,TRUE)-_xlfn.NORM.DIST(P$2,$D106,$E106,TRUE))</f>
        <v/>
      </c>
      <c r="Q106">
        <f>IF(NOT(ISNUMBER($D106)),"",_xlfn.NORM.DIST(Q$1,$D106,$E106,TRUE)-_xlfn.NORM.DIST(Q$2,$D106,$E106,TRUE))</f>
        <v/>
      </c>
      <c r="R106">
        <f>IF(NOT(ISNUMBER($D106)),"",_xlfn.NORM.DIST(R$1,$D106,$E106,TRUE)-_xlfn.NORM.DIST(R$2,$D106,$E106,TRUE))</f>
        <v/>
      </c>
      <c r="S106">
        <f>IF(NOT(ISNUMBER($D106)),"",_xlfn.NORM.DIST(S$1,$D106,$E106,TRUE)-_xlfn.NORM.DIST(S$2,$D106,$E106,TRUE))</f>
        <v/>
      </c>
      <c r="T106">
        <f>IF(NOT(ISNUMBER($D106)),"",_xlfn.NORM.DIST(T$1,$D106,$E106,TRUE)-_xlfn.NORM.DIST(T$2,$D106,$E106,TRUE))</f>
        <v/>
      </c>
      <c r="U106">
        <f>IF(NOT(ISNUMBER($D106)),"",_xlfn.NORM.DIST(U$1,$D106,$E106,TRUE)-_xlfn.NORM.DIST(U$2,$D106,$E106,TRUE))</f>
        <v/>
      </c>
      <c r="V106">
        <f>IF(NOT(ISNUMBER($D106)),"",_xlfn.NORM.DIST(V$1,$D106,$E106,TRUE)-_xlfn.NORM.DIST(V$2,$D106,$E106,TRUE))</f>
        <v/>
      </c>
      <c r="W106">
        <f>IF(NOT(ISNUMBER($D106)),"",_xlfn.NORM.DIST(W$1,$D106,$E106,TRUE)-_xlfn.NORM.DIST(W$2,$D106,$E106,TRUE))</f>
        <v/>
      </c>
      <c r="X106">
        <f>IF(NOT(ISNUMBER($D106)),"",_xlfn.NORM.DIST(X$1,$D106,$E106,TRUE)-_xlfn.NORM.DIST(X$2,$D106,$E106,TRUE))</f>
        <v/>
      </c>
      <c r="Y106">
        <f>IF(NOT(ISNUMBER($D106)),"",_xlfn.NORM.DIST(Y$1,$D106,$E106,TRUE)-_xlfn.NORM.DIST(Y$2,$D106,$E106,TRUE))</f>
        <v/>
      </c>
      <c r="Z106">
        <f>IF(NOT(ISNUMBER($D106)),"",_xlfn.NORM.DIST(Z$1,$D106,$E106,TRUE)-_xlfn.NORM.DIST(Z$2,$D106,$E106,TRUE))</f>
        <v/>
      </c>
      <c r="AA106">
        <f>IF(NOT(ISNUMBER($D106)),"",_xlfn.NORM.DIST(AA$1,$D106,$E106,TRUE)-_xlfn.NORM.DIST(AA$2,$D106,$E106,TRUE))</f>
        <v/>
      </c>
      <c r="AB106">
        <f>IF(NOT(ISNUMBER($D106)),"",_xlfn.NORM.DIST(AB$1,$D106,$E106,TRUE)-_xlfn.NORM.DIST(AB$2,$D106,$E106,TRUE))</f>
        <v/>
      </c>
      <c r="AC106">
        <f>IF(NOT(ISNUMBER($D106)),"",_xlfn.NORM.DIST(AC$1,$D106,$E106,TRUE)-_xlfn.NORM.DIST(AC$2,$D106,$E106,TRUE))</f>
        <v/>
      </c>
      <c r="AD106">
        <f>IF(NOT(ISNUMBER($D106)),"",_xlfn.NORM.DIST(AD$1,$D106,$E106,TRUE)-_xlfn.NORM.DIST(AD$2,$D106,$E106,TRUE))</f>
        <v/>
      </c>
      <c r="AE106">
        <f>IF(NOT(ISNUMBER($D106)),"",_xlfn.NORM.DIST(AE$1,$D106,$E106,TRUE)-_xlfn.NORM.DIST(AE$2,$D106,$E106,TRUE))</f>
        <v/>
      </c>
      <c r="AF106">
        <f>IF(NOT(ISNUMBER($D106)),"",_xlfn.NORM.DIST(AF$1,$D106,$E106,TRUE)-_xlfn.NORM.DIST(AF$2,$D106,$E106,TRUE))</f>
        <v/>
      </c>
      <c r="AG106">
        <f>IF(NOT(ISNUMBER($D106)),"",_xlfn.NORM.DIST(AG$1,$D106,$E106,TRUE)-_xlfn.NORM.DIST(AG$2,$D106,$E106,TRUE))</f>
        <v/>
      </c>
      <c r="AH106">
        <f>IF(NOT(ISNUMBER($D106)),"",_xlfn.NORM.DIST(AH$1,$D106,$E106,TRUE)-_xlfn.NORM.DIST(AH$2,$D106,$E106,TRUE))</f>
        <v/>
      </c>
      <c r="AI106">
        <f>IF(NOT(ISNUMBER($D106)),"",_xlfn.NORM.DIST(AI$1,$D106,$E106,TRUE)-_xlfn.NORM.DIST(AI$2,$D106,$E106,TRUE))</f>
        <v/>
      </c>
      <c r="AJ106">
        <f>IF(NOT(ISNUMBER($D106)),"",_xlfn.NORM.DIST(AJ$1,$D106,$E106,TRUE)-_xlfn.NORM.DIST(AJ$2,$D106,$E106,TRUE))</f>
        <v/>
      </c>
      <c r="AK106">
        <f>IF(NOT(ISNUMBER($D106)),"",_xlfn.NORM.DIST(AK$1,$D106,$E106,TRUE)-_xlfn.NORM.DIST(AK$2,$D106,$E106,TRUE))</f>
        <v/>
      </c>
      <c r="AL106">
        <f>IF(NOT(ISNUMBER($D106)),"",_xlfn.NORM.DIST(AL$1,$D106,$E106,TRUE)-_xlfn.NORM.DIST(AL$2,$D106,$E106,TRUE))</f>
        <v/>
      </c>
      <c r="AM106">
        <f>IF(NOT(ISNUMBER($D106)),"",_xlfn.NORM.DIST(AM$1,$D106,$E106,TRUE)-_xlfn.NORM.DIST(AM$2,$D106,$E106,TRUE))</f>
        <v/>
      </c>
      <c r="AN106">
        <f>IF(NOT(ISNUMBER($D106)),"",_xlfn.NORM.DIST(AN$1,$D106,$E106,TRUE)-_xlfn.NORM.DIST(AN$2,$D106,$E106,TRUE))</f>
        <v/>
      </c>
      <c r="AO106">
        <f>IF(NOT(ISNUMBER($D106)),"",_xlfn.NORM.DIST(AO$1,$D106,$E106,TRUE)-_xlfn.NORM.DIST(AO$2,$D106,$E106,TRUE))</f>
        <v/>
      </c>
      <c r="AP106">
        <f>IF(NOT(ISNUMBER($D106)),"",_xlfn.NORM.DIST(AP$1,$D106,$E106,TRUE)-_xlfn.NORM.DIST(AP$2,$D106,$E106,TRUE))</f>
        <v/>
      </c>
      <c r="AQ106">
        <f>IF(NOT(ISNUMBER($D106)),"",_xlfn.NORM.DIST(AQ$1,$D106,$E106,TRUE)-_xlfn.NORM.DIST(AQ$2,$D106,$E106,TRUE))</f>
        <v/>
      </c>
      <c r="AR106">
        <f>IF(NOT(ISNUMBER($D106)),"",_xlfn.NORM.DIST(AR$1,$D106,$E106,TRUE)-_xlfn.NORM.DIST(AR$2,$D106,$E106,TRUE))</f>
        <v/>
      </c>
      <c r="AS106">
        <f>IF(NOT(ISNUMBER($D106)),"",_xlfn.NORM.DIST(AS$1,$D106,$E106,TRUE)-_xlfn.NORM.DIST(AS$2,$D106,$E106,TRUE))</f>
        <v/>
      </c>
      <c r="AT106">
        <f>IF(NOT(ISNUMBER($D106)),"",_xlfn.NORM.DIST(AT$1,$D106,$E106,TRUE)-_xlfn.NORM.DIST(AT$2,$D106,$E106,TRUE))</f>
        <v/>
      </c>
      <c r="AU106">
        <f>IF(NOT(ISNUMBER($D106)),"",_xlfn.NORM.DIST(AU$1,$D106,$E106,TRUE)-_xlfn.NORM.DIST(AU$2,$D106,$E106,TRUE))</f>
        <v/>
      </c>
      <c r="AV106">
        <f>IF(NOT(ISNUMBER($D106)),"",_xlfn.NORM.DIST(AV$1,$D106,$E106,TRUE)-_xlfn.NORM.DIST(AV$2,$D106,$E106,TRUE))</f>
        <v/>
      </c>
      <c r="AW106">
        <f>IF(NOT(ISNUMBER($D106)),"",_xlfn.NORM.DIST(AW$1,$D106,$E106,TRUE)-_xlfn.NORM.DIST(AW$2,$D106,$E106,TRUE))</f>
        <v/>
      </c>
      <c r="AX106">
        <f>IF(NOT(ISNUMBER($D106)),"",_xlfn.NORM.DIST(AX$1,$D106,$E106,TRUE)-_xlfn.NORM.DIST(AX$2,$D106,$E106,TRUE))</f>
        <v/>
      </c>
      <c r="AY106">
        <f>IF(NOT(ISNUMBER($D106)),"",_xlfn.NORM.DIST(AY$1,$D106,$E106,TRUE)-_xlfn.NORM.DIST(AY$2,$D106,$E106,TRUE))</f>
        <v/>
      </c>
      <c r="AZ106">
        <f>IF(NOT(ISNUMBER($D106)),"",_xlfn.NORM.DIST(AZ$1,$D106,$E106,TRUE)-_xlfn.NORM.DIST(AZ$2,$D106,$E106,TRUE))</f>
        <v/>
      </c>
      <c r="BA106">
        <f>IF(NOT(ISNUMBER($D106)),"",_xlfn.NORM.DIST(BA$1,$D106,$E106,TRUE)-_xlfn.NORM.DIST(BA$2,$D106,$E106,TRUE))</f>
        <v/>
      </c>
      <c r="BB106">
        <f>IF(NOT(ISNUMBER($D106)),"",_xlfn.NORM.DIST(BB$1,$D106,$E106,TRUE)-_xlfn.NORM.DIST(BB$2,$D106,$E106,TRUE))</f>
        <v/>
      </c>
      <c r="BC106">
        <f>IF(NOT(ISNUMBER($D106)),"",_xlfn.NORM.DIST(BC$1,$D106,$E106,TRUE)-_xlfn.NORM.DIST(BC$2,$D106,$E106,TRUE))</f>
        <v/>
      </c>
      <c r="BD106">
        <f>IF(NOT(ISNUMBER($D106)),"",_xlfn.NORM.DIST(BD$1,$D106,$E106,TRUE)-_xlfn.NORM.DIST(BD$2,$D106,$E106,TRUE))</f>
        <v/>
      </c>
      <c r="BE106">
        <f>IF(NOT(ISNUMBER($D106)),"",_xlfn.NORM.DIST(BE$1,$D106,$E106,TRUE)-_xlfn.NORM.DIST(BE$2,$D106,$E106,TRUE))</f>
        <v/>
      </c>
      <c r="BF106">
        <f>IF(NOT(ISNUMBER($D106)),"",_xlfn.NORM.DIST(BF$1,$D106,$E106,TRUE)-_xlfn.NORM.DIST(BF$2,$D106,$E106,TRUE))</f>
        <v/>
      </c>
      <c r="BG106">
        <f>IF(NOT(ISNUMBER($D106)),"",_xlfn.NORM.DIST(BG$1,$D106,$E106,TRUE)-_xlfn.NORM.DIST(BG$2,$D106,$E106,TRUE))</f>
        <v/>
      </c>
      <c r="BH106">
        <f>IF(NOT(ISNUMBER($D106)),"",_xlfn.NORM.DIST(BH$1,$D106,$E106,TRUE)-_xlfn.NORM.DIST(BH$2,$D106,$E106,TRUE))</f>
        <v/>
      </c>
      <c r="BI106">
        <f>IF(NOT(ISNUMBER($D106)),"",_xlfn.NORM.DIST(BI$1,$D106,$E106,TRUE)-_xlfn.NORM.DIST(BI$2,$D106,$E106,TRUE))</f>
        <v/>
      </c>
      <c r="BJ106">
        <f>IF(NOT(ISNUMBER($D106)),"",_xlfn.NORM.DIST(BJ$1,$D106,$E106,TRUE)-_xlfn.NORM.DIST(BJ$2,$D106,$E106,TRUE))</f>
        <v/>
      </c>
      <c r="BK106">
        <f>IF(NOT(ISNUMBER($D106)),"",_xlfn.NORM.DIST(BK$1,$D106,$E106,TRUE)-_xlfn.NORM.DIST(BK$2,$D106,$E106,TRUE))</f>
        <v/>
      </c>
      <c r="BL106">
        <f>IF(NOT(ISNUMBER($D106)),"",_xlfn.NORM.DIST(BL$1,$D106,$E106,TRUE)-_xlfn.NORM.DIST(BL$2,$D106,$E106,TRUE))</f>
        <v/>
      </c>
      <c r="BM106">
        <f>IF(NOT(ISNUMBER($D106)),"",_xlfn.NORM.DIST(BM$1,$D106,$E106,TRUE)-_xlfn.NORM.DIST(BM$2,$D106,$E106,TRUE))</f>
        <v/>
      </c>
      <c r="BN106">
        <f>IF(NOT(ISNUMBER($D106)),"",_xlfn.NORM.DIST(BN$1,$D106,$E106,TRUE)-_xlfn.NORM.DIST(BN$2,$D106,$E106,TRUE))</f>
        <v/>
      </c>
      <c r="BO106">
        <f>IF(NOT(ISNUMBER($D106)),"",_xlfn.NORM.DIST(BO$1,$D106,$E106,TRUE)-_xlfn.NORM.DIST(BO$2,$D106,$E106,TRUE))</f>
        <v/>
      </c>
      <c r="BP106">
        <f>IF(NOT(ISNUMBER($D106)),"",_xlfn.NORM.DIST(BP$1,$D106,$E106,TRUE)-_xlfn.NORM.DIST(BP$2,$D106,$E106,TRUE))</f>
        <v/>
      </c>
      <c r="BQ106">
        <f>IF(NOT(ISNUMBER($D106)),"",_xlfn.NORM.DIST(BQ$1,$D106,$E106,TRUE)-_xlfn.NORM.DIST(BQ$2,$D106,$E106,TRUE))</f>
        <v/>
      </c>
      <c r="BR106">
        <f>IF(NOT(ISNUMBER($D106)),"",_xlfn.NORM.DIST(BR$1,$D106,$E106,TRUE)-_xlfn.NORM.DIST(BR$2,$D106,$E106,TRUE))</f>
        <v/>
      </c>
      <c r="BS106">
        <f>IF(NOT(ISNUMBER($D106)),"",_xlfn.NORM.DIST(BS$1,$D106,$E106,TRUE)-_xlfn.NORM.DIST(BS$2,$D106,$E106,TRUE))</f>
        <v/>
      </c>
      <c r="BT106">
        <f>IF(NOT(ISNUMBER($D106)),"",_xlfn.NORM.DIST(BT$1,$D106,$E106,TRUE)-_xlfn.NORM.DIST(BT$2,$D106,$E106,TRUE))</f>
        <v/>
      </c>
      <c r="BU106">
        <f>IF(NOT(ISNUMBER($D106)),"",_xlfn.NORM.DIST(BU$1,$D106,$E106,TRUE)-_xlfn.NORM.DIST(BU$2,$D106,$E106,TRUE))</f>
        <v/>
      </c>
      <c r="BV106">
        <f>IF(NOT(ISNUMBER($D106)),"",_xlfn.NORM.DIST(BV$1,$D106,$E106,TRUE)-_xlfn.NORM.DIST(BV$2,$D106,$E106,TRUE))</f>
        <v/>
      </c>
      <c r="BW106">
        <f>IF(NOT(ISNUMBER($D106)),"",_xlfn.NORM.DIST(BW$1,$D106,$E106,TRUE)-_xlfn.NORM.DIST(BW$2,$D106,$E106,TRUE))</f>
        <v/>
      </c>
      <c r="BX106">
        <f>IF(NOT(ISNUMBER($D106)),"",_xlfn.NORM.DIST(BX$1,$D106,$E106,TRUE)-_xlfn.NORM.DIST(BX$2,$D106,$E106,TRUE))</f>
        <v/>
      </c>
      <c r="BY106">
        <f>IF(NOT(ISNUMBER($D106)),"",_xlfn.NORM.DIST(BY$1,$D106,$E106,TRUE)-_xlfn.NORM.DIST(BY$2,$D106,$E106,TRUE))</f>
        <v/>
      </c>
      <c r="BZ106">
        <f>IF(NOT(ISNUMBER($D106)),"",_xlfn.NORM.DIST(BZ$1,$D106,$E106,TRUE)-_xlfn.NORM.DIST(BZ$2,$D106,$E106,TRUE))</f>
        <v/>
      </c>
      <c r="CA106">
        <f>IF(NOT(ISNUMBER($D106)),"",_xlfn.NORM.DIST(CA$1,$D106,$E106,TRUE)-_xlfn.NORM.DIST(CA$2,$D106,$E106,TRUE))</f>
        <v/>
      </c>
      <c r="CB106">
        <f>IF(NOT(ISNUMBER($D106)),"",_xlfn.NORM.DIST(CB$1,$D106,$E106,TRUE)-_xlfn.NORM.DIST(CB$2,$D106,$E106,TRUE))</f>
        <v/>
      </c>
      <c r="CC106">
        <f>IF(NOT(ISNUMBER($D106)),"",_xlfn.NORM.DIST(CC$1,$D106,$E106,TRUE)-_xlfn.NORM.DIST(CC$2,$D106,$E106,TRUE))</f>
        <v/>
      </c>
      <c r="CD106">
        <f>IF(NOT(ISNUMBER($D106)),"",_xlfn.NORM.DIST(CD$1,$D106,$E106,TRUE)-_xlfn.NORM.DIST(CD$2,$D106,$E106,TRUE))</f>
        <v/>
      </c>
      <c r="CE106">
        <f>IF(NOT(ISNUMBER($D106)),"",_xlfn.NORM.DIST(CE$1,$D106,$E106,TRUE)-_xlfn.NORM.DIST(CE$2,$D106,$E106,TRUE))</f>
        <v/>
      </c>
      <c r="CF106">
        <f>IF(NOT(ISNUMBER($D106)),"",_xlfn.NORM.DIST(CF$1,$D106,$E106,TRUE)-_xlfn.NORM.DIST(CF$2,$D106,$E106,TRUE))</f>
        <v/>
      </c>
      <c r="CG106">
        <f>IF(NOT(ISNUMBER($D106)),"",_xlfn.NORM.DIST(CG$1,$D106,$E106,TRUE)-_xlfn.NORM.DIST(CG$2,$D106,$E106,TRUE))</f>
        <v/>
      </c>
      <c r="CH106">
        <f>IF(NOT(ISNUMBER($D106)),"",_xlfn.NORM.DIST(CH$1,$D106,$E106,TRUE)-_xlfn.NORM.DIST(CH$2,$D106,$E106,TRUE))</f>
        <v/>
      </c>
      <c r="CI106">
        <f>IF(NOT(ISNUMBER($D106)),"",_xlfn.NORM.DIST(CI$1,$D106,$E106,TRUE)-_xlfn.NORM.DIST(CI$2,$D106,$E106,TRUE))</f>
        <v/>
      </c>
      <c r="CJ106">
        <f>IF(ISNUMBER($D106),SUM(F106:CI106),"")</f>
        <v/>
      </c>
    </row>
    <row r="107">
      <c r="A107">
        <f>economics!A106</f>
        <v/>
      </c>
      <c r="B107">
        <f>economics!B106</f>
        <v/>
      </c>
      <c r="C107">
        <f>economics!D106</f>
        <v/>
      </c>
      <c r="D107">
        <f>IF(ISNUMBER(economics!T106),economics!T106,"na")</f>
        <v/>
      </c>
      <c r="E107">
        <f>IF(ISNUMBER(D107),MAX(0.3*ABS(D107),0.000001),"na")</f>
        <v/>
      </c>
      <c r="F107">
        <f>IF(NOT(ISNUMBER($D107)),"",_xlfn.NORM.DIST(F$1,$D107,$E107,TRUE)-_xlfn.NORM.DIST(F$2,$D107,$E107,TRUE))</f>
        <v/>
      </c>
      <c r="G107">
        <f>IF(NOT(ISNUMBER($D107)),"",_xlfn.NORM.DIST(G$1,$D107,$E107,TRUE)-_xlfn.NORM.DIST(G$2,$D107,$E107,TRUE))</f>
        <v/>
      </c>
      <c r="H107">
        <f>IF(NOT(ISNUMBER($D107)),"",_xlfn.NORM.DIST(H$1,$D107,$E107,TRUE)-_xlfn.NORM.DIST(H$2,$D107,$E107,TRUE))</f>
        <v/>
      </c>
      <c r="I107">
        <f>IF(NOT(ISNUMBER($D107)),"",_xlfn.NORM.DIST(I$1,$D107,$E107,TRUE)-_xlfn.NORM.DIST(I$2,$D107,$E107,TRUE))</f>
        <v/>
      </c>
      <c r="J107">
        <f>IF(NOT(ISNUMBER($D107)),"",_xlfn.NORM.DIST(J$1,$D107,$E107,TRUE)-_xlfn.NORM.DIST(J$2,$D107,$E107,TRUE))</f>
        <v/>
      </c>
      <c r="K107">
        <f>IF(NOT(ISNUMBER($D107)),"",_xlfn.NORM.DIST(K$1,$D107,$E107,TRUE)-_xlfn.NORM.DIST(K$2,$D107,$E107,TRUE))</f>
        <v/>
      </c>
      <c r="L107">
        <f>IF(NOT(ISNUMBER($D107)),"",_xlfn.NORM.DIST(L$1,$D107,$E107,TRUE)-_xlfn.NORM.DIST(L$2,$D107,$E107,TRUE))</f>
        <v/>
      </c>
      <c r="M107">
        <f>IF(NOT(ISNUMBER($D107)),"",_xlfn.NORM.DIST(M$1,$D107,$E107,TRUE)-_xlfn.NORM.DIST(M$2,$D107,$E107,TRUE))</f>
        <v/>
      </c>
      <c r="N107">
        <f>IF(NOT(ISNUMBER($D107)),"",_xlfn.NORM.DIST(N$1,$D107,$E107,TRUE)-_xlfn.NORM.DIST(N$2,$D107,$E107,TRUE))</f>
        <v/>
      </c>
      <c r="O107">
        <f>IF(NOT(ISNUMBER($D107)),"",_xlfn.NORM.DIST(O$1,$D107,$E107,TRUE)-_xlfn.NORM.DIST(O$2,$D107,$E107,TRUE))</f>
        <v/>
      </c>
      <c r="P107">
        <f>IF(NOT(ISNUMBER($D107)),"",_xlfn.NORM.DIST(P$1,$D107,$E107,TRUE)-_xlfn.NORM.DIST(P$2,$D107,$E107,TRUE))</f>
        <v/>
      </c>
      <c r="Q107">
        <f>IF(NOT(ISNUMBER($D107)),"",_xlfn.NORM.DIST(Q$1,$D107,$E107,TRUE)-_xlfn.NORM.DIST(Q$2,$D107,$E107,TRUE))</f>
        <v/>
      </c>
      <c r="R107">
        <f>IF(NOT(ISNUMBER($D107)),"",_xlfn.NORM.DIST(R$1,$D107,$E107,TRUE)-_xlfn.NORM.DIST(R$2,$D107,$E107,TRUE))</f>
        <v/>
      </c>
      <c r="S107">
        <f>IF(NOT(ISNUMBER($D107)),"",_xlfn.NORM.DIST(S$1,$D107,$E107,TRUE)-_xlfn.NORM.DIST(S$2,$D107,$E107,TRUE))</f>
        <v/>
      </c>
      <c r="T107">
        <f>IF(NOT(ISNUMBER($D107)),"",_xlfn.NORM.DIST(T$1,$D107,$E107,TRUE)-_xlfn.NORM.DIST(T$2,$D107,$E107,TRUE))</f>
        <v/>
      </c>
      <c r="U107">
        <f>IF(NOT(ISNUMBER($D107)),"",_xlfn.NORM.DIST(U$1,$D107,$E107,TRUE)-_xlfn.NORM.DIST(U$2,$D107,$E107,TRUE))</f>
        <v/>
      </c>
      <c r="V107">
        <f>IF(NOT(ISNUMBER($D107)),"",_xlfn.NORM.DIST(V$1,$D107,$E107,TRUE)-_xlfn.NORM.DIST(V$2,$D107,$E107,TRUE))</f>
        <v/>
      </c>
      <c r="W107">
        <f>IF(NOT(ISNUMBER($D107)),"",_xlfn.NORM.DIST(W$1,$D107,$E107,TRUE)-_xlfn.NORM.DIST(W$2,$D107,$E107,TRUE))</f>
        <v/>
      </c>
      <c r="X107">
        <f>IF(NOT(ISNUMBER($D107)),"",_xlfn.NORM.DIST(X$1,$D107,$E107,TRUE)-_xlfn.NORM.DIST(X$2,$D107,$E107,TRUE))</f>
        <v/>
      </c>
      <c r="Y107">
        <f>IF(NOT(ISNUMBER($D107)),"",_xlfn.NORM.DIST(Y$1,$D107,$E107,TRUE)-_xlfn.NORM.DIST(Y$2,$D107,$E107,TRUE))</f>
        <v/>
      </c>
      <c r="Z107">
        <f>IF(NOT(ISNUMBER($D107)),"",_xlfn.NORM.DIST(Z$1,$D107,$E107,TRUE)-_xlfn.NORM.DIST(Z$2,$D107,$E107,TRUE))</f>
        <v/>
      </c>
      <c r="AA107">
        <f>IF(NOT(ISNUMBER($D107)),"",_xlfn.NORM.DIST(AA$1,$D107,$E107,TRUE)-_xlfn.NORM.DIST(AA$2,$D107,$E107,TRUE))</f>
        <v/>
      </c>
      <c r="AB107">
        <f>IF(NOT(ISNUMBER($D107)),"",_xlfn.NORM.DIST(AB$1,$D107,$E107,TRUE)-_xlfn.NORM.DIST(AB$2,$D107,$E107,TRUE))</f>
        <v/>
      </c>
      <c r="AC107">
        <f>IF(NOT(ISNUMBER($D107)),"",_xlfn.NORM.DIST(AC$1,$D107,$E107,TRUE)-_xlfn.NORM.DIST(AC$2,$D107,$E107,TRUE))</f>
        <v/>
      </c>
      <c r="AD107">
        <f>IF(NOT(ISNUMBER($D107)),"",_xlfn.NORM.DIST(AD$1,$D107,$E107,TRUE)-_xlfn.NORM.DIST(AD$2,$D107,$E107,TRUE))</f>
        <v/>
      </c>
      <c r="AE107">
        <f>IF(NOT(ISNUMBER($D107)),"",_xlfn.NORM.DIST(AE$1,$D107,$E107,TRUE)-_xlfn.NORM.DIST(AE$2,$D107,$E107,TRUE))</f>
        <v/>
      </c>
      <c r="AF107">
        <f>IF(NOT(ISNUMBER($D107)),"",_xlfn.NORM.DIST(AF$1,$D107,$E107,TRUE)-_xlfn.NORM.DIST(AF$2,$D107,$E107,TRUE))</f>
        <v/>
      </c>
      <c r="AG107">
        <f>IF(NOT(ISNUMBER($D107)),"",_xlfn.NORM.DIST(AG$1,$D107,$E107,TRUE)-_xlfn.NORM.DIST(AG$2,$D107,$E107,TRUE))</f>
        <v/>
      </c>
      <c r="AH107">
        <f>IF(NOT(ISNUMBER($D107)),"",_xlfn.NORM.DIST(AH$1,$D107,$E107,TRUE)-_xlfn.NORM.DIST(AH$2,$D107,$E107,TRUE))</f>
        <v/>
      </c>
      <c r="AI107">
        <f>IF(NOT(ISNUMBER($D107)),"",_xlfn.NORM.DIST(AI$1,$D107,$E107,TRUE)-_xlfn.NORM.DIST(AI$2,$D107,$E107,TRUE))</f>
        <v/>
      </c>
      <c r="AJ107">
        <f>IF(NOT(ISNUMBER($D107)),"",_xlfn.NORM.DIST(AJ$1,$D107,$E107,TRUE)-_xlfn.NORM.DIST(AJ$2,$D107,$E107,TRUE))</f>
        <v/>
      </c>
      <c r="AK107">
        <f>IF(NOT(ISNUMBER($D107)),"",_xlfn.NORM.DIST(AK$1,$D107,$E107,TRUE)-_xlfn.NORM.DIST(AK$2,$D107,$E107,TRUE))</f>
        <v/>
      </c>
      <c r="AL107">
        <f>IF(NOT(ISNUMBER($D107)),"",_xlfn.NORM.DIST(AL$1,$D107,$E107,TRUE)-_xlfn.NORM.DIST(AL$2,$D107,$E107,TRUE))</f>
        <v/>
      </c>
      <c r="AM107">
        <f>IF(NOT(ISNUMBER($D107)),"",_xlfn.NORM.DIST(AM$1,$D107,$E107,TRUE)-_xlfn.NORM.DIST(AM$2,$D107,$E107,TRUE))</f>
        <v/>
      </c>
      <c r="AN107">
        <f>IF(NOT(ISNUMBER($D107)),"",_xlfn.NORM.DIST(AN$1,$D107,$E107,TRUE)-_xlfn.NORM.DIST(AN$2,$D107,$E107,TRUE))</f>
        <v/>
      </c>
      <c r="AO107">
        <f>IF(NOT(ISNUMBER($D107)),"",_xlfn.NORM.DIST(AO$1,$D107,$E107,TRUE)-_xlfn.NORM.DIST(AO$2,$D107,$E107,TRUE))</f>
        <v/>
      </c>
      <c r="AP107">
        <f>IF(NOT(ISNUMBER($D107)),"",_xlfn.NORM.DIST(AP$1,$D107,$E107,TRUE)-_xlfn.NORM.DIST(AP$2,$D107,$E107,TRUE))</f>
        <v/>
      </c>
      <c r="AQ107">
        <f>IF(NOT(ISNUMBER($D107)),"",_xlfn.NORM.DIST(AQ$1,$D107,$E107,TRUE)-_xlfn.NORM.DIST(AQ$2,$D107,$E107,TRUE))</f>
        <v/>
      </c>
      <c r="AR107">
        <f>IF(NOT(ISNUMBER($D107)),"",_xlfn.NORM.DIST(AR$1,$D107,$E107,TRUE)-_xlfn.NORM.DIST(AR$2,$D107,$E107,TRUE))</f>
        <v/>
      </c>
      <c r="AS107">
        <f>IF(NOT(ISNUMBER($D107)),"",_xlfn.NORM.DIST(AS$1,$D107,$E107,TRUE)-_xlfn.NORM.DIST(AS$2,$D107,$E107,TRUE))</f>
        <v/>
      </c>
      <c r="AT107">
        <f>IF(NOT(ISNUMBER($D107)),"",_xlfn.NORM.DIST(AT$1,$D107,$E107,TRUE)-_xlfn.NORM.DIST(AT$2,$D107,$E107,TRUE))</f>
        <v/>
      </c>
      <c r="AU107">
        <f>IF(NOT(ISNUMBER($D107)),"",_xlfn.NORM.DIST(AU$1,$D107,$E107,TRUE)-_xlfn.NORM.DIST(AU$2,$D107,$E107,TRUE))</f>
        <v/>
      </c>
      <c r="AV107">
        <f>IF(NOT(ISNUMBER($D107)),"",_xlfn.NORM.DIST(AV$1,$D107,$E107,TRUE)-_xlfn.NORM.DIST(AV$2,$D107,$E107,TRUE))</f>
        <v/>
      </c>
      <c r="AW107">
        <f>IF(NOT(ISNUMBER($D107)),"",_xlfn.NORM.DIST(AW$1,$D107,$E107,TRUE)-_xlfn.NORM.DIST(AW$2,$D107,$E107,TRUE))</f>
        <v/>
      </c>
      <c r="AX107">
        <f>IF(NOT(ISNUMBER($D107)),"",_xlfn.NORM.DIST(AX$1,$D107,$E107,TRUE)-_xlfn.NORM.DIST(AX$2,$D107,$E107,TRUE))</f>
        <v/>
      </c>
      <c r="AY107">
        <f>IF(NOT(ISNUMBER($D107)),"",_xlfn.NORM.DIST(AY$1,$D107,$E107,TRUE)-_xlfn.NORM.DIST(AY$2,$D107,$E107,TRUE))</f>
        <v/>
      </c>
      <c r="AZ107">
        <f>IF(NOT(ISNUMBER($D107)),"",_xlfn.NORM.DIST(AZ$1,$D107,$E107,TRUE)-_xlfn.NORM.DIST(AZ$2,$D107,$E107,TRUE))</f>
        <v/>
      </c>
      <c r="BA107">
        <f>IF(NOT(ISNUMBER($D107)),"",_xlfn.NORM.DIST(BA$1,$D107,$E107,TRUE)-_xlfn.NORM.DIST(BA$2,$D107,$E107,TRUE))</f>
        <v/>
      </c>
      <c r="BB107">
        <f>IF(NOT(ISNUMBER($D107)),"",_xlfn.NORM.DIST(BB$1,$D107,$E107,TRUE)-_xlfn.NORM.DIST(BB$2,$D107,$E107,TRUE))</f>
        <v/>
      </c>
      <c r="BC107">
        <f>IF(NOT(ISNUMBER($D107)),"",_xlfn.NORM.DIST(BC$1,$D107,$E107,TRUE)-_xlfn.NORM.DIST(BC$2,$D107,$E107,TRUE))</f>
        <v/>
      </c>
      <c r="BD107">
        <f>IF(NOT(ISNUMBER($D107)),"",_xlfn.NORM.DIST(BD$1,$D107,$E107,TRUE)-_xlfn.NORM.DIST(BD$2,$D107,$E107,TRUE))</f>
        <v/>
      </c>
      <c r="BE107">
        <f>IF(NOT(ISNUMBER($D107)),"",_xlfn.NORM.DIST(BE$1,$D107,$E107,TRUE)-_xlfn.NORM.DIST(BE$2,$D107,$E107,TRUE))</f>
        <v/>
      </c>
      <c r="BF107">
        <f>IF(NOT(ISNUMBER($D107)),"",_xlfn.NORM.DIST(BF$1,$D107,$E107,TRUE)-_xlfn.NORM.DIST(BF$2,$D107,$E107,TRUE))</f>
        <v/>
      </c>
      <c r="BG107">
        <f>IF(NOT(ISNUMBER($D107)),"",_xlfn.NORM.DIST(BG$1,$D107,$E107,TRUE)-_xlfn.NORM.DIST(BG$2,$D107,$E107,TRUE))</f>
        <v/>
      </c>
      <c r="BH107">
        <f>IF(NOT(ISNUMBER($D107)),"",_xlfn.NORM.DIST(BH$1,$D107,$E107,TRUE)-_xlfn.NORM.DIST(BH$2,$D107,$E107,TRUE))</f>
        <v/>
      </c>
      <c r="BI107">
        <f>IF(NOT(ISNUMBER($D107)),"",_xlfn.NORM.DIST(BI$1,$D107,$E107,TRUE)-_xlfn.NORM.DIST(BI$2,$D107,$E107,TRUE))</f>
        <v/>
      </c>
      <c r="BJ107">
        <f>IF(NOT(ISNUMBER($D107)),"",_xlfn.NORM.DIST(BJ$1,$D107,$E107,TRUE)-_xlfn.NORM.DIST(BJ$2,$D107,$E107,TRUE))</f>
        <v/>
      </c>
      <c r="BK107">
        <f>IF(NOT(ISNUMBER($D107)),"",_xlfn.NORM.DIST(BK$1,$D107,$E107,TRUE)-_xlfn.NORM.DIST(BK$2,$D107,$E107,TRUE))</f>
        <v/>
      </c>
      <c r="BL107">
        <f>IF(NOT(ISNUMBER($D107)),"",_xlfn.NORM.DIST(BL$1,$D107,$E107,TRUE)-_xlfn.NORM.DIST(BL$2,$D107,$E107,TRUE))</f>
        <v/>
      </c>
      <c r="BM107">
        <f>IF(NOT(ISNUMBER($D107)),"",_xlfn.NORM.DIST(BM$1,$D107,$E107,TRUE)-_xlfn.NORM.DIST(BM$2,$D107,$E107,TRUE))</f>
        <v/>
      </c>
      <c r="BN107">
        <f>IF(NOT(ISNUMBER($D107)),"",_xlfn.NORM.DIST(BN$1,$D107,$E107,TRUE)-_xlfn.NORM.DIST(BN$2,$D107,$E107,TRUE))</f>
        <v/>
      </c>
      <c r="BO107">
        <f>IF(NOT(ISNUMBER($D107)),"",_xlfn.NORM.DIST(BO$1,$D107,$E107,TRUE)-_xlfn.NORM.DIST(BO$2,$D107,$E107,TRUE))</f>
        <v/>
      </c>
      <c r="BP107">
        <f>IF(NOT(ISNUMBER($D107)),"",_xlfn.NORM.DIST(BP$1,$D107,$E107,TRUE)-_xlfn.NORM.DIST(BP$2,$D107,$E107,TRUE))</f>
        <v/>
      </c>
      <c r="BQ107">
        <f>IF(NOT(ISNUMBER($D107)),"",_xlfn.NORM.DIST(BQ$1,$D107,$E107,TRUE)-_xlfn.NORM.DIST(BQ$2,$D107,$E107,TRUE))</f>
        <v/>
      </c>
      <c r="BR107">
        <f>IF(NOT(ISNUMBER($D107)),"",_xlfn.NORM.DIST(BR$1,$D107,$E107,TRUE)-_xlfn.NORM.DIST(BR$2,$D107,$E107,TRUE))</f>
        <v/>
      </c>
      <c r="BS107">
        <f>IF(NOT(ISNUMBER($D107)),"",_xlfn.NORM.DIST(BS$1,$D107,$E107,TRUE)-_xlfn.NORM.DIST(BS$2,$D107,$E107,TRUE))</f>
        <v/>
      </c>
      <c r="BT107">
        <f>IF(NOT(ISNUMBER($D107)),"",_xlfn.NORM.DIST(BT$1,$D107,$E107,TRUE)-_xlfn.NORM.DIST(BT$2,$D107,$E107,TRUE))</f>
        <v/>
      </c>
      <c r="BU107">
        <f>IF(NOT(ISNUMBER($D107)),"",_xlfn.NORM.DIST(BU$1,$D107,$E107,TRUE)-_xlfn.NORM.DIST(BU$2,$D107,$E107,TRUE))</f>
        <v/>
      </c>
      <c r="BV107">
        <f>IF(NOT(ISNUMBER($D107)),"",_xlfn.NORM.DIST(BV$1,$D107,$E107,TRUE)-_xlfn.NORM.DIST(BV$2,$D107,$E107,TRUE))</f>
        <v/>
      </c>
      <c r="BW107">
        <f>IF(NOT(ISNUMBER($D107)),"",_xlfn.NORM.DIST(BW$1,$D107,$E107,TRUE)-_xlfn.NORM.DIST(BW$2,$D107,$E107,TRUE))</f>
        <v/>
      </c>
      <c r="BX107">
        <f>IF(NOT(ISNUMBER($D107)),"",_xlfn.NORM.DIST(BX$1,$D107,$E107,TRUE)-_xlfn.NORM.DIST(BX$2,$D107,$E107,TRUE))</f>
        <v/>
      </c>
      <c r="BY107">
        <f>IF(NOT(ISNUMBER($D107)),"",_xlfn.NORM.DIST(BY$1,$D107,$E107,TRUE)-_xlfn.NORM.DIST(BY$2,$D107,$E107,TRUE))</f>
        <v/>
      </c>
      <c r="BZ107">
        <f>IF(NOT(ISNUMBER($D107)),"",_xlfn.NORM.DIST(BZ$1,$D107,$E107,TRUE)-_xlfn.NORM.DIST(BZ$2,$D107,$E107,TRUE))</f>
        <v/>
      </c>
      <c r="CA107">
        <f>IF(NOT(ISNUMBER($D107)),"",_xlfn.NORM.DIST(CA$1,$D107,$E107,TRUE)-_xlfn.NORM.DIST(CA$2,$D107,$E107,TRUE))</f>
        <v/>
      </c>
      <c r="CB107">
        <f>IF(NOT(ISNUMBER($D107)),"",_xlfn.NORM.DIST(CB$1,$D107,$E107,TRUE)-_xlfn.NORM.DIST(CB$2,$D107,$E107,TRUE))</f>
        <v/>
      </c>
      <c r="CC107">
        <f>IF(NOT(ISNUMBER($D107)),"",_xlfn.NORM.DIST(CC$1,$D107,$E107,TRUE)-_xlfn.NORM.DIST(CC$2,$D107,$E107,TRUE))</f>
        <v/>
      </c>
      <c r="CD107">
        <f>IF(NOT(ISNUMBER($D107)),"",_xlfn.NORM.DIST(CD$1,$D107,$E107,TRUE)-_xlfn.NORM.DIST(CD$2,$D107,$E107,TRUE))</f>
        <v/>
      </c>
      <c r="CE107">
        <f>IF(NOT(ISNUMBER($D107)),"",_xlfn.NORM.DIST(CE$1,$D107,$E107,TRUE)-_xlfn.NORM.DIST(CE$2,$D107,$E107,TRUE))</f>
        <v/>
      </c>
      <c r="CF107">
        <f>IF(NOT(ISNUMBER($D107)),"",_xlfn.NORM.DIST(CF$1,$D107,$E107,TRUE)-_xlfn.NORM.DIST(CF$2,$D107,$E107,TRUE))</f>
        <v/>
      </c>
      <c r="CG107">
        <f>IF(NOT(ISNUMBER($D107)),"",_xlfn.NORM.DIST(CG$1,$D107,$E107,TRUE)-_xlfn.NORM.DIST(CG$2,$D107,$E107,TRUE))</f>
        <v/>
      </c>
      <c r="CH107">
        <f>IF(NOT(ISNUMBER($D107)),"",_xlfn.NORM.DIST(CH$1,$D107,$E107,TRUE)-_xlfn.NORM.DIST(CH$2,$D107,$E107,TRUE))</f>
        <v/>
      </c>
      <c r="CI107">
        <f>IF(NOT(ISNUMBER($D107)),"",_xlfn.NORM.DIST(CI$1,$D107,$E107,TRUE)-_xlfn.NORM.DIST(CI$2,$D107,$E107,TRUE))</f>
        <v/>
      </c>
      <c r="CJ107">
        <f>IF(ISNUMBER($D107),SUM(F107:CI107),"")</f>
        <v/>
      </c>
    </row>
    <row r="108">
      <c r="A108">
        <f>economics!A107</f>
        <v/>
      </c>
      <c r="B108">
        <f>economics!B107</f>
        <v/>
      </c>
      <c r="C108">
        <f>economics!D107</f>
        <v/>
      </c>
      <c r="D108">
        <f>IF(ISNUMBER(economics!T107),economics!T107,"na")</f>
        <v/>
      </c>
      <c r="E108">
        <f>IF(ISNUMBER(D108),MAX(0.3*ABS(D108),0.000001),"na")</f>
        <v/>
      </c>
      <c r="F108">
        <f>IF(NOT(ISNUMBER($D108)),"",_xlfn.NORM.DIST(F$1,$D108,$E108,TRUE)-_xlfn.NORM.DIST(F$2,$D108,$E108,TRUE))</f>
        <v/>
      </c>
      <c r="G108">
        <f>IF(NOT(ISNUMBER($D108)),"",_xlfn.NORM.DIST(G$1,$D108,$E108,TRUE)-_xlfn.NORM.DIST(G$2,$D108,$E108,TRUE))</f>
        <v/>
      </c>
      <c r="H108">
        <f>IF(NOT(ISNUMBER($D108)),"",_xlfn.NORM.DIST(H$1,$D108,$E108,TRUE)-_xlfn.NORM.DIST(H$2,$D108,$E108,TRUE))</f>
        <v/>
      </c>
      <c r="I108">
        <f>IF(NOT(ISNUMBER($D108)),"",_xlfn.NORM.DIST(I$1,$D108,$E108,TRUE)-_xlfn.NORM.DIST(I$2,$D108,$E108,TRUE))</f>
        <v/>
      </c>
      <c r="J108">
        <f>IF(NOT(ISNUMBER($D108)),"",_xlfn.NORM.DIST(J$1,$D108,$E108,TRUE)-_xlfn.NORM.DIST(J$2,$D108,$E108,TRUE))</f>
        <v/>
      </c>
      <c r="K108">
        <f>IF(NOT(ISNUMBER($D108)),"",_xlfn.NORM.DIST(K$1,$D108,$E108,TRUE)-_xlfn.NORM.DIST(K$2,$D108,$E108,TRUE))</f>
        <v/>
      </c>
      <c r="L108">
        <f>IF(NOT(ISNUMBER($D108)),"",_xlfn.NORM.DIST(L$1,$D108,$E108,TRUE)-_xlfn.NORM.DIST(L$2,$D108,$E108,TRUE))</f>
        <v/>
      </c>
      <c r="M108">
        <f>IF(NOT(ISNUMBER($D108)),"",_xlfn.NORM.DIST(M$1,$D108,$E108,TRUE)-_xlfn.NORM.DIST(M$2,$D108,$E108,TRUE))</f>
        <v/>
      </c>
      <c r="N108">
        <f>IF(NOT(ISNUMBER($D108)),"",_xlfn.NORM.DIST(N$1,$D108,$E108,TRUE)-_xlfn.NORM.DIST(N$2,$D108,$E108,TRUE))</f>
        <v/>
      </c>
      <c r="O108">
        <f>IF(NOT(ISNUMBER($D108)),"",_xlfn.NORM.DIST(O$1,$D108,$E108,TRUE)-_xlfn.NORM.DIST(O$2,$D108,$E108,TRUE))</f>
        <v/>
      </c>
      <c r="P108">
        <f>IF(NOT(ISNUMBER($D108)),"",_xlfn.NORM.DIST(P$1,$D108,$E108,TRUE)-_xlfn.NORM.DIST(P$2,$D108,$E108,TRUE))</f>
        <v/>
      </c>
      <c r="Q108">
        <f>IF(NOT(ISNUMBER($D108)),"",_xlfn.NORM.DIST(Q$1,$D108,$E108,TRUE)-_xlfn.NORM.DIST(Q$2,$D108,$E108,TRUE))</f>
        <v/>
      </c>
      <c r="R108">
        <f>IF(NOT(ISNUMBER($D108)),"",_xlfn.NORM.DIST(R$1,$D108,$E108,TRUE)-_xlfn.NORM.DIST(R$2,$D108,$E108,TRUE))</f>
        <v/>
      </c>
      <c r="S108">
        <f>IF(NOT(ISNUMBER($D108)),"",_xlfn.NORM.DIST(S$1,$D108,$E108,TRUE)-_xlfn.NORM.DIST(S$2,$D108,$E108,TRUE))</f>
        <v/>
      </c>
      <c r="T108">
        <f>IF(NOT(ISNUMBER($D108)),"",_xlfn.NORM.DIST(T$1,$D108,$E108,TRUE)-_xlfn.NORM.DIST(T$2,$D108,$E108,TRUE))</f>
        <v/>
      </c>
      <c r="U108">
        <f>IF(NOT(ISNUMBER($D108)),"",_xlfn.NORM.DIST(U$1,$D108,$E108,TRUE)-_xlfn.NORM.DIST(U$2,$D108,$E108,TRUE))</f>
        <v/>
      </c>
      <c r="V108">
        <f>IF(NOT(ISNUMBER($D108)),"",_xlfn.NORM.DIST(V$1,$D108,$E108,TRUE)-_xlfn.NORM.DIST(V$2,$D108,$E108,TRUE))</f>
        <v/>
      </c>
      <c r="W108">
        <f>IF(NOT(ISNUMBER($D108)),"",_xlfn.NORM.DIST(W$1,$D108,$E108,TRUE)-_xlfn.NORM.DIST(W$2,$D108,$E108,TRUE))</f>
        <v/>
      </c>
      <c r="X108">
        <f>IF(NOT(ISNUMBER($D108)),"",_xlfn.NORM.DIST(X$1,$D108,$E108,TRUE)-_xlfn.NORM.DIST(X$2,$D108,$E108,TRUE))</f>
        <v/>
      </c>
      <c r="Y108">
        <f>IF(NOT(ISNUMBER($D108)),"",_xlfn.NORM.DIST(Y$1,$D108,$E108,TRUE)-_xlfn.NORM.DIST(Y$2,$D108,$E108,TRUE))</f>
        <v/>
      </c>
      <c r="Z108">
        <f>IF(NOT(ISNUMBER($D108)),"",_xlfn.NORM.DIST(Z$1,$D108,$E108,TRUE)-_xlfn.NORM.DIST(Z$2,$D108,$E108,TRUE))</f>
        <v/>
      </c>
      <c r="AA108">
        <f>IF(NOT(ISNUMBER($D108)),"",_xlfn.NORM.DIST(AA$1,$D108,$E108,TRUE)-_xlfn.NORM.DIST(AA$2,$D108,$E108,TRUE))</f>
        <v/>
      </c>
      <c r="AB108">
        <f>IF(NOT(ISNUMBER($D108)),"",_xlfn.NORM.DIST(AB$1,$D108,$E108,TRUE)-_xlfn.NORM.DIST(AB$2,$D108,$E108,TRUE))</f>
        <v/>
      </c>
      <c r="AC108">
        <f>IF(NOT(ISNUMBER($D108)),"",_xlfn.NORM.DIST(AC$1,$D108,$E108,TRUE)-_xlfn.NORM.DIST(AC$2,$D108,$E108,TRUE))</f>
        <v/>
      </c>
      <c r="AD108">
        <f>IF(NOT(ISNUMBER($D108)),"",_xlfn.NORM.DIST(AD$1,$D108,$E108,TRUE)-_xlfn.NORM.DIST(AD$2,$D108,$E108,TRUE))</f>
        <v/>
      </c>
      <c r="AE108">
        <f>IF(NOT(ISNUMBER($D108)),"",_xlfn.NORM.DIST(AE$1,$D108,$E108,TRUE)-_xlfn.NORM.DIST(AE$2,$D108,$E108,TRUE))</f>
        <v/>
      </c>
      <c r="AF108">
        <f>IF(NOT(ISNUMBER($D108)),"",_xlfn.NORM.DIST(AF$1,$D108,$E108,TRUE)-_xlfn.NORM.DIST(AF$2,$D108,$E108,TRUE))</f>
        <v/>
      </c>
      <c r="AG108">
        <f>IF(NOT(ISNUMBER($D108)),"",_xlfn.NORM.DIST(AG$1,$D108,$E108,TRUE)-_xlfn.NORM.DIST(AG$2,$D108,$E108,TRUE))</f>
        <v/>
      </c>
      <c r="AH108">
        <f>IF(NOT(ISNUMBER($D108)),"",_xlfn.NORM.DIST(AH$1,$D108,$E108,TRUE)-_xlfn.NORM.DIST(AH$2,$D108,$E108,TRUE))</f>
        <v/>
      </c>
      <c r="AI108">
        <f>IF(NOT(ISNUMBER($D108)),"",_xlfn.NORM.DIST(AI$1,$D108,$E108,TRUE)-_xlfn.NORM.DIST(AI$2,$D108,$E108,TRUE))</f>
        <v/>
      </c>
      <c r="AJ108">
        <f>IF(NOT(ISNUMBER($D108)),"",_xlfn.NORM.DIST(AJ$1,$D108,$E108,TRUE)-_xlfn.NORM.DIST(AJ$2,$D108,$E108,TRUE))</f>
        <v/>
      </c>
      <c r="AK108">
        <f>IF(NOT(ISNUMBER($D108)),"",_xlfn.NORM.DIST(AK$1,$D108,$E108,TRUE)-_xlfn.NORM.DIST(AK$2,$D108,$E108,TRUE))</f>
        <v/>
      </c>
      <c r="AL108">
        <f>IF(NOT(ISNUMBER($D108)),"",_xlfn.NORM.DIST(AL$1,$D108,$E108,TRUE)-_xlfn.NORM.DIST(AL$2,$D108,$E108,TRUE))</f>
        <v/>
      </c>
      <c r="AM108">
        <f>IF(NOT(ISNUMBER($D108)),"",_xlfn.NORM.DIST(AM$1,$D108,$E108,TRUE)-_xlfn.NORM.DIST(AM$2,$D108,$E108,TRUE))</f>
        <v/>
      </c>
      <c r="AN108">
        <f>IF(NOT(ISNUMBER($D108)),"",_xlfn.NORM.DIST(AN$1,$D108,$E108,TRUE)-_xlfn.NORM.DIST(AN$2,$D108,$E108,TRUE))</f>
        <v/>
      </c>
      <c r="AO108">
        <f>IF(NOT(ISNUMBER($D108)),"",_xlfn.NORM.DIST(AO$1,$D108,$E108,TRUE)-_xlfn.NORM.DIST(AO$2,$D108,$E108,TRUE))</f>
        <v/>
      </c>
      <c r="AP108">
        <f>IF(NOT(ISNUMBER($D108)),"",_xlfn.NORM.DIST(AP$1,$D108,$E108,TRUE)-_xlfn.NORM.DIST(AP$2,$D108,$E108,TRUE))</f>
        <v/>
      </c>
      <c r="AQ108">
        <f>IF(NOT(ISNUMBER($D108)),"",_xlfn.NORM.DIST(AQ$1,$D108,$E108,TRUE)-_xlfn.NORM.DIST(AQ$2,$D108,$E108,TRUE))</f>
        <v/>
      </c>
      <c r="AR108">
        <f>IF(NOT(ISNUMBER($D108)),"",_xlfn.NORM.DIST(AR$1,$D108,$E108,TRUE)-_xlfn.NORM.DIST(AR$2,$D108,$E108,TRUE))</f>
        <v/>
      </c>
      <c r="AS108">
        <f>IF(NOT(ISNUMBER($D108)),"",_xlfn.NORM.DIST(AS$1,$D108,$E108,TRUE)-_xlfn.NORM.DIST(AS$2,$D108,$E108,TRUE))</f>
        <v/>
      </c>
      <c r="AT108">
        <f>IF(NOT(ISNUMBER($D108)),"",_xlfn.NORM.DIST(AT$1,$D108,$E108,TRUE)-_xlfn.NORM.DIST(AT$2,$D108,$E108,TRUE))</f>
        <v/>
      </c>
      <c r="AU108">
        <f>IF(NOT(ISNUMBER($D108)),"",_xlfn.NORM.DIST(AU$1,$D108,$E108,TRUE)-_xlfn.NORM.DIST(AU$2,$D108,$E108,TRUE))</f>
        <v/>
      </c>
      <c r="AV108">
        <f>IF(NOT(ISNUMBER($D108)),"",_xlfn.NORM.DIST(AV$1,$D108,$E108,TRUE)-_xlfn.NORM.DIST(AV$2,$D108,$E108,TRUE))</f>
        <v/>
      </c>
      <c r="AW108">
        <f>IF(NOT(ISNUMBER($D108)),"",_xlfn.NORM.DIST(AW$1,$D108,$E108,TRUE)-_xlfn.NORM.DIST(AW$2,$D108,$E108,TRUE))</f>
        <v/>
      </c>
      <c r="AX108">
        <f>IF(NOT(ISNUMBER($D108)),"",_xlfn.NORM.DIST(AX$1,$D108,$E108,TRUE)-_xlfn.NORM.DIST(AX$2,$D108,$E108,TRUE))</f>
        <v/>
      </c>
      <c r="AY108">
        <f>IF(NOT(ISNUMBER($D108)),"",_xlfn.NORM.DIST(AY$1,$D108,$E108,TRUE)-_xlfn.NORM.DIST(AY$2,$D108,$E108,TRUE))</f>
        <v/>
      </c>
      <c r="AZ108">
        <f>IF(NOT(ISNUMBER($D108)),"",_xlfn.NORM.DIST(AZ$1,$D108,$E108,TRUE)-_xlfn.NORM.DIST(AZ$2,$D108,$E108,TRUE))</f>
        <v/>
      </c>
      <c r="BA108">
        <f>IF(NOT(ISNUMBER($D108)),"",_xlfn.NORM.DIST(BA$1,$D108,$E108,TRUE)-_xlfn.NORM.DIST(BA$2,$D108,$E108,TRUE))</f>
        <v/>
      </c>
      <c r="BB108">
        <f>IF(NOT(ISNUMBER($D108)),"",_xlfn.NORM.DIST(BB$1,$D108,$E108,TRUE)-_xlfn.NORM.DIST(BB$2,$D108,$E108,TRUE))</f>
        <v/>
      </c>
      <c r="BC108">
        <f>IF(NOT(ISNUMBER($D108)),"",_xlfn.NORM.DIST(BC$1,$D108,$E108,TRUE)-_xlfn.NORM.DIST(BC$2,$D108,$E108,TRUE))</f>
        <v/>
      </c>
      <c r="BD108">
        <f>IF(NOT(ISNUMBER($D108)),"",_xlfn.NORM.DIST(BD$1,$D108,$E108,TRUE)-_xlfn.NORM.DIST(BD$2,$D108,$E108,TRUE))</f>
        <v/>
      </c>
      <c r="BE108">
        <f>IF(NOT(ISNUMBER($D108)),"",_xlfn.NORM.DIST(BE$1,$D108,$E108,TRUE)-_xlfn.NORM.DIST(BE$2,$D108,$E108,TRUE))</f>
        <v/>
      </c>
      <c r="BF108">
        <f>IF(NOT(ISNUMBER($D108)),"",_xlfn.NORM.DIST(BF$1,$D108,$E108,TRUE)-_xlfn.NORM.DIST(BF$2,$D108,$E108,TRUE))</f>
        <v/>
      </c>
      <c r="BG108">
        <f>IF(NOT(ISNUMBER($D108)),"",_xlfn.NORM.DIST(BG$1,$D108,$E108,TRUE)-_xlfn.NORM.DIST(BG$2,$D108,$E108,TRUE))</f>
        <v/>
      </c>
      <c r="BH108">
        <f>IF(NOT(ISNUMBER($D108)),"",_xlfn.NORM.DIST(BH$1,$D108,$E108,TRUE)-_xlfn.NORM.DIST(BH$2,$D108,$E108,TRUE))</f>
        <v/>
      </c>
      <c r="BI108">
        <f>IF(NOT(ISNUMBER($D108)),"",_xlfn.NORM.DIST(BI$1,$D108,$E108,TRUE)-_xlfn.NORM.DIST(BI$2,$D108,$E108,TRUE))</f>
        <v/>
      </c>
      <c r="BJ108">
        <f>IF(NOT(ISNUMBER($D108)),"",_xlfn.NORM.DIST(BJ$1,$D108,$E108,TRUE)-_xlfn.NORM.DIST(BJ$2,$D108,$E108,TRUE))</f>
        <v/>
      </c>
      <c r="BK108">
        <f>IF(NOT(ISNUMBER($D108)),"",_xlfn.NORM.DIST(BK$1,$D108,$E108,TRUE)-_xlfn.NORM.DIST(BK$2,$D108,$E108,TRUE))</f>
        <v/>
      </c>
      <c r="BL108">
        <f>IF(NOT(ISNUMBER($D108)),"",_xlfn.NORM.DIST(BL$1,$D108,$E108,TRUE)-_xlfn.NORM.DIST(BL$2,$D108,$E108,TRUE))</f>
        <v/>
      </c>
      <c r="BM108">
        <f>IF(NOT(ISNUMBER($D108)),"",_xlfn.NORM.DIST(BM$1,$D108,$E108,TRUE)-_xlfn.NORM.DIST(BM$2,$D108,$E108,TRUE))</f>
        <v/>
      </c>
      <c r="BN108">
        <f>IF(NOT(ISNUMBER($D108)),"",_xlfn.NORM.DIST(BN$1,$D108,$E108,TRUE)-_xlfn.NORM.DIST(BN$2,$D108,$E108,TRUE))</f>
        <v/>
      </c>
      <c r="BO108">
        <f>IF(NOT(ISNUMBER($D108)),"",_xlfn.NORM.DIST(BO$1,$D108,$E108,TRUE)-_xlfn.NORM.DIST(BO$2,$D108,$E108,TRUE))</f>
        <v/>
      </c>
      <c r="BP108">
        <f>IF(NOT(ISNUMBER($D108)),"",_xlfn.NORM.DIST(BP$1,$D108,$E108,TRUE)-_xlfn.NORM.DIST(BP$2,$D108,$E108,TRUE))</f>
        <v/>
      </c>
      <c r="BQ108">
        <f>IF(NOT(ISNUMBER($D108)),"",_xlfn.NORM.DIST(BQ$1,$D108,$E108,TRUE)-_xlfn.NORM.DIST(BQ$2,$D108,$E108,TRUE))</f>
        <v/>
      </c>
      <c r="BR108">
        <f>IF(NOT(ISNUMBER($D108)),"",_xlfn.NORM.DIST(BR$1,$D108,$E108,TRUE)-_xlfn.NORM.DIST(BR$2,$D108,$E108,TRUE))</f>
        <v/>
      </c>
      <c r="BS108">
        <f>IF(NOT(ISNUMBER($D108)),"",_xlfn.NORM.DIST(BS$1,$D108,$E108,TRUE)-_xlfn.NORM.DIST(BS$2,$D108,$E108,TRUE))</f>
        <v/>
      </c>
      <c r="BT108">
        <f>IF(NOT(ISNUMBER($D108)),"",_xlfn.NORM.DIST(BT$1,$D108,$E108,TRUE)-_xlfn.NORM.DIST(BT$2,$D108,$E108,TRUE))</f>
        <v/>
      </c>
      <c r="BU108">
        <f>IF(NOT(ISNUMBER($D108)),"",_xlfn.NORM.DIST(BU$1,$D108,$E108,TRUE)-_xlfn.NORM.DIST(BU$2,$D108,$E108,TRUE))</f>
        <v/>
      </c>
      <c r="BV108">
        <f>IF(NOT(ISNUMBER($D108)),"",_xlfn.NORM.DIST(BV$1,$D108,$E108,TRUE)-_xlfn.NORM.DIST(BV$2,$D108,$E108,TRUE))</f>
        <v/>
      </c>
      <c r="BW108">
        <f>IF(NOT(ISNUMBER($D108)),"",_xlfn.NORM.DIST(BW$1,$D108,$E108,TRUE)-_xlfn.NORM.DIST(BW$2,$D108,$E108,TRUE))</f>
        <v/>
      </c>
      <c r="BX108">
        <f>IF(NOT(ISNUMBER($D108)),"",_xlfn.NORM.DIST(BX$1,$D108,$E108,TRUE)-_xlfn.NORM.DIST(BX$2,$D108,$E108,TRUE))</f>
        <v/>
      </c>
      <c r="BY108">
        <f>IF(NOT(ISNUMBER($D108)),"",_xlfn.NORM.DIST(BY$1,$D108,$E108,TRUE)-_xlfn.NORM.DIST(BY$2,$D108,$E108,TRUE))</f>
        <v/>
      </c>
      <c r="BZ108">
        <f>IF(NOT(ISNUMBER($D108)),"",_xlfn.NORM.DIST(BZ$1,$D108,$E108,TRUE)-_xlfn.NORM.DIST(BZ$2,$D108,$E108,TRUE))</f>
        <v/>
      </c>
      <c r="CA108">
        <f>IF(NOT(ISNUMBER($D108)),"",_xlfn.NORM.DIST(CA$1,$D108,$E108,TRUE)-_xlfn.NORM.DIST(CA$2,$D108,$E108,TRUE))</f>
        <v/>
      </c>
      <c r="CB108">
        <f>IF(NOT(ISNUMBER($D108)),"",_xlfn.NORM.DIST(CB$1,$D108,$E108,TRUE)-_xlfn.NORM.DIST(CB$2,$D108,$E108,TRUE))</f>
        <v/>
      </c>
      <c r="CC108">
        <f>IF(NOT(ISNUMBER($D108)),"",_xlfn.NORM.DIST(CC$1,$D108,$E108,TRUE)-_xlfn.NORM.DIST(CC$2,$D108,$E108,TRUE))</f>
        <v/>
      </c>
      <c r="CD108">
        <f>IF(NOT(ISNUMBER($D108)),"",_xlfn.NORM.DIST(CD$1,$D108,$E108,TRUE)-_xlfn.NORM.DIST(CD$2,$D108,$E108,TRUE))</f>
        <v/>
      </c>
      <c r="CE108">
        <f>IF(NOT(ISNUMBER($D108)),"",_xlfn.NORM.DIST(CE$1,$D108,$E108,TRUE)-_xlfn.NORM.DIST(CE$2,$D108,$E108,TRUE))</f>
        <v/>
      </c>
      <c r="CF108">
        <f>IF(NOT(ISNUMBER($D108)),"",_xlfn.NORM.DIST(CF$1,$D108,$E108,TRUE)-_xlfn.NORM.DIST(CF$2,$D108,$E108,TRUE))</f>
        <v/>
      </c>
      <c r="CG108">
        <f>IF(NOT(ISNUMBER($D108)),"",_xlfn.NORM.DIST(CG$1,$D108,$E108,TRUE)-_xlfn.NORM.DIST(CG$2,$D108,$E108,TRUE))</f>
        <v/>
      </c>
      <c r="CH108">
        <f>IF(NOT(ISNUMBER($D108)),"",_xlfn.NORM.DIST(CH$1,$D108,$E108,TRUE)-_xlfn.NORM.DIST(CH$2,$D108,$E108,TRUE))</f>
        <v/>
      </c>
      <c r="CI108">
        <f>IF(NOT(ISNUMBER($D108)),"",_xlfn.NORM.DIST(CI$1,$D108,$E108,TRUE)-_xlfn.NORM.DIST(CI$2,$D108,$E108,TRUE))</f>
        <v/>
      </c>
      <c r="CJ108">
        <f>IF(ISNUMBER($D108),SUM(F108:CI108),"")</f>
        <v/>
      </c>
    </row>
    <row r="109">
      <c r="A109">
        <f>economics!A108</f>
        <v/>
      </c>
      <c r="B109">
        <f>economics!B108</f>
        <v/>
      </c>
      <c r="C109">
        <f>economics!D108</f>
        <v/>
      </c>
      <c r="D109">
        <f>IF(ISNUMBER(economics!T108),economics!T108,"na")</f>
        <v/>
      </c>
      <c r="E109">
        <f>IF(ISNUMBER(D109),MAX(0.3*ABS(D109),0.000001),"na")</f>
        <v/>
      </c>
      <c r="F109">
        <f>IF(NOT(ISNUMBER($D109)),"",_xlfn.NORM.DIST(F$1,$D109,$E109,TRUE)-_xlfn.NORM.DIST(F$2,$D109,$E109,TRUE))</f>
        <v/>
      </c>
      <c r="G109">
        <f>IF(NOT(ISNUMBER($D109)),"",_xlfn.NORM.DIST(G$1,$D109,$E109,TRUE)-_xlfn.NORM.DIST(G$2,$D109,$E109,TRUE))</f>
        <v/>
      </c>
      <c r="H109">
        <f>IF(NOT(ISNUMBER($D109)),"",_xlfn.NORM.DIST(H$1,$D109,$E109,TRUE)-_xlfn.NORM.DIST(H$2,$D109,$E109,TRUE))</f>
        <v/>
      </c>
      <c r="I109">
        <f>IF(NOT(ISNUMBER($D109)),"",_xlfn.NORM.DIST(I$1,$D109,$E109,TRUE)-_xlfn.NORM.DIST(I$2,$D109,$E109,TRUE))</f>
        <v/>
      </c>
      <c r="J109">
        <f>IF(NOT(ISNUMBER($D109)),"",_xlfn.NORM.DIST(J$1,$D109,$E109,TRUE)-_xlfn.NORM.DIST(J$2,$D109,$E109,TRUE))</f>
        <v/>
      </c>
      <c r="K109">
        <f>IF(NOT(ISNUMBER($D109)),"",_xlfn.NORM.DIST(K$1,$D109,$E109,TRUE)-_xlfn.NORM.DIST(K$2,$D109,$E109,TRUE))</f>
        <v/>
      </c>
      <c r="L109">
        <f>IF(NOT(ISNUMBER($D109)),"",_xlfn.NORM.DIST(L$1,$D109,$E109,TRUE)-_xlfn.NORM.DIST(L$2,$D109,$E109,TRUE))</f>
        <v/>
      </c>
      <c r="M109">
        <f>IF(NOT(ISNUMBER($D109)),"",_xlfn.NORM.DIST(M$1,$D109,$E109,TRUE)-_xlfn.NORM.DIST(M$2,$D109,$E109,TRUE))</f>
        <v/>
      </c>
      <c r="N109">
        <f>IF(NOT(ISNUMBER($D109)),"",_xlfn.NORM.DIST(N$1,$D109,$E109,TRUE)-_xlfn.NORM.DIST(N$2,$D109,$E109,TRUE))</f>
        <v/>
      </c>
      <c r="O109">
        <f>IF(NOT(ISNUMBER($D109)),"",_xlfn.NORM.DIST(O$1,$D109,$E109,TRUE)-_xlfn.NORM.DIST(O$2,$D109,$E109,TRUE))</f>
        <v/>
      </c>
      <c r="P109">
        <f>IF(NOT(ISNUMBER($D109)),"",_xlfn.NORM.DIST(P$1,$D109,$E109,TRUE)-_xlfn.NORM.DIST(P$2,$D109,$E109,TRUE))</f>
        <v/>
      </c>
      <c r="Q109">
        <f>IF(NOT(ISNUMBER($D109)),"",_xlfn.NORM.DIST(Q$1,$D109,$E109,TRUE)-_xlfn.NORM.DIST(Q$2,$D109,$E109,TRUE))</f>
        <v/>
      </c>
      <c r="R109">
        <f>IF(NOT(ISNUMBER($D109)),"",_xlfn.NORM.DIST(R$1,$D109,$E109,TRUE)-_xlfn.NORM.DIST(R$2,$D109,$E109,TRUE))</f>
        <v/>
      </c>
      <c r="S109">
        <f>IF(NOT(ISNUMBER($D109)),"",_xlfn.NORM.DIST(S$1,$D109,$E109,TRUE)-_xlfn.NORM.DIST(S$2,$D109,$E109,TRUE))</f>
        <v/>
      </c>
      <c r="T109">
        <f>IF(NOT(ISNUMBER($D109)),"",_xlfn.NORM.DIST(T$1,$D109,$E109,TRUE)-_xlfn.NORM.DIST(T$2,$D109,$E109,TRUE))</f>
        <v/>
      </c>
      <c r="U109">
        <f>IF(NOT(ISNUMBER($D109)),"",_xlfn.NORM.DIST(U$1,$D109,$E109,TRUE)-_xlfn.NORM.DIST(U$2,$D109,$E109,TRUE))</f>
        <v/>
      </c>
      <c r="V109">
        <f>IF(NOT(ISNUMBER($D109)),"",_xlfn.NORM.DIST(V$1,$D109,$E109,TRUE)-_xlfn.NORM.DIST(V$2,$D109,$E109,TRUE))</f>
        <v/>
      </c>
      <c r="W109">
        <f>IF(NOT(ISNUMBER($D109)),"",_xlfn.NORM.DIST(W$1,$D109,$E109,TRUE)-_xlfn.NORM.DIST(W$2,$D109,$E109,TRUE))</f>
        <v/>
      </c>
      <c r="X109">
        <f>IF(NOT(ISNUMBER($D109)),"",_xlfn.NORM.DIST(X$1,$D109,$E109,TRUE)-_xlfn.NORM.DIST(X$2,$D109,$E109,TRUE))</f>
        <v/>
      </c>
      <c r="Y109">
        <f>IF(NOT(ISNUMBER($D109)),"",_xlfn.NORM.DIST(Y$1,$D109,$E109,TRUE)-_xlfn.NORM.DIST(Y$2,$D109,$E109,TRUE))</f>
        <v/>
      </c>
      <c r="Z109">
        <f>IF(NOT(ISNUMBER($D109)),"",_xlfn.NORM.DIST(Z$1,$D109,$E109,TRUE)-_xlfn.NORM.DIST(Z$2,$D109,$E109,TRUE))</f>
        <v/>
      </c>
      <c r="AA109">
        <f>IF(NOT(ISNUMBER($D109)),"",_xlfn.NORM.DIST(AA$1,$D109,$E109,TRUE)-_xlfn.NORM.DIST(AA$2,$D109,$E109,TRUE))</f>
        <v/>
      </c>
      <c r="AB109">
        <f>IF(NOT(ISNUMBER($D109)),"",_xlfn.NORM.DIST(AB$1,$D109,$E109,TRUE)-_xlfn.NORM.DIST(AB$2,$D109,$E109,TRUE))</f>
        <v/>
      </c>
      <c r="AC109">
        <f>IF(NOT(ISNUMBER($D109)),"",_xlfn.NORM.DIST(AC$1,$D109,$E109,TRUE)-_xlfn.NORM.DIST(AC$2,$D109,$E109,TRUE))</f>
        <v/>
      </c>
      <c r="AD109">
        <f>IF(NOT(ISNUMBER($D109)),"",_xlfn.NORM.DIST(AD$1,$D109,$E109,TRUE)-_xlfn.NORM.DIST(AD$2,$D109,$E109,TRUE))</f>
        <v/>
      </c>
      <c r="AE109">
        <f>IF(NOT(ISNUMBER($D109)),"",_xlfn.NORM.DIST(AE$1,$D109,$E109,TRUE)-_xlfn.NORM.DIST(AE$2,$D109,$E109,TRUE))</f>
        <v/>
      </c>
      <c r="AF109">
        <f>IF(NOT(ISNUMBER($D109)),"",_xlfn.NORM.DIST(AF$1,$D109,$E109,TRUE)-_xlfn.NORM.DIST(AF$2,$D109,$E109,TRUE))</f>
        <v/>
      </c>
      <c r="AG109">
        <f>IF(NOT(ISNUMBER($D109)),"",_xlfn.NORM.DIST(AG$1,$D109,$E109,TRUE)-_xlfn.NORM.DIST(AG$2,$D109,$E109,TRUE))</f>
        <v/>
      </c>
      <c r="AH109">
        <f>IF(NOT(ISNUMBER($D109)),"",_xlfn.NORM.DIST(AH$1,$D109,$E109,TRUE)-_xlfn.NORM.DIST(AH$2,$D109,$E109,TRUE))</f>
        <v/>
      </c>
      <c r="AI109">
        <f>IF(NOT(ISNUMBER($D109)),"",_xlfn.NORM.DIST(AI$1,$D109,$E109,TRUE)-_xlfn.NORM.DIST(AI$2,$D109,$E109,TRUE))</f>
        <v/>
      </c>
      <c r="AJ109">
        <f>IF(NOT(ISNUMBER($D109)),"",_xlfn.NORM.DIST(AJ$1,$D109,$E109,TRUE)-_xlfn.NORM.DIST(AJ$2,$D109,$E109,TRUE))</f>
        <v/>
      </c>
      <c r="AK109">
        <f>IF(NOT(ISNUMBER($D109)),"",_xlfn.NORM.DIST(AK$1,$D109,$E109,TRUE)-_xlfn.NORM.DIST(AK$2,$D109,$E109,TRUE))</f>
        <v/>
      </c>
      <c r="AL109">
        <f>IF(NOT(ISNUMBER($D109)),"",_xlfn.NORM.DIST(AL$1,$D109,$E109,TRUE)-_xlfn.NORM.DIST(AL$2,$D109,$E109,TRUE))</f>
        <v/>
      </c>
      <c r="AM109">
        <f>IF(NOT(ISNUMBER($D109)),"",_xlfn.NORM.DIST(AM$1,$D109,$E109,TRUE)-_xlfn.NORM.DIST(AM$2,$D109,$E109,TRUE))</f>
        <v/>
      </c>
      <c r="AN109">
        <f>IF(NOT(ISNUMBER($D109)),"",_xlfn.NORM.DIST(AN$1,$D109,$E109,TRUE)-_xlfn.NORM.DIST(AN$2,$D109,$E109,TRUE))</f>
        <v/>
      </c>
      <c r="AO109">
        <f>IF(NOT(ISNUMBER($D109)),"",_xlfn.NORM.DIST(AO$1,$D109,$E109,TRUE)-_xlfn.NORM.DIST(AO$2,$D109,$E109,TRUE))</f>
        <v/>
      </c>
      <c r="AP109">
        <f>IF(NOT(ISNUMBER($D109)),"",_xlfn.NORM.DIST(AP$1,$D109,$E109,TRUE)-_xlfn.NORM.DIST(AP$2,$D109,$E109,TRUE))</f>
        <v/>
      </c>
      <c r="AQ109">
        <f>IF(NOT(ISNUMBER($D109)),"",_xlfn.NORM.DIST(AQ$1,$D109,$E109,TRUE)-_xlfn.NORM.DIST(AQ$2,$D109,$E109,TRUE))</f>
        <v/>
      </c>
      <c r="AR109">
        <f>IF(NOT(ISNUMBER($D109)),"",_xlfn.NORM.DIST(AR$1,$D109,$E109,TRUE)-_xlfn.NORM.DIST(AR$2,$D109,$E109,TRUE))</f>
        <v/>
      </c>
      <c r="AS109">
        <f>IF(NOT(ISNUMBER($D109)),"",_xlfn.NORM.DIST(AS$1,$D109,$E109,TRUE)-_xlfn.NORM.DIST(AS$2,$D109,$E109,TRUE))</f>
        <v/>
      </c>
      <c r="AT109">
        <f>IF(NOT(ISNUMBER($D109)),"",_xlfn.NORM.DIST(AT$1,$D109,$E109,TRUE)-_xlfn.NORM.DIST(AT$2,$D109,$E109,TRUE))</f>
        <v/>
      </c>
      <c r="AU109">
        <f>IF(NOT(ISNUMBER($D109)),"",_xlfn.NORM.DIST(AU$1,$D109,$E109,TRUE)-_xlfn.NORM.DIST(AU$2,$D109,$E109,TRUE))</f>
        <v/>
      </c>
      <c r="AV109">
        <f>IF(NOT(ISNUMBER($D109)),"",_xlfn.NORM.DIST(AV$1,$D109,$E109,TRUE)-_xlfn.NORM.DIST(AV$2,$D109,$E109,TRUE))</f>
        <v/>
      </c>
      <c r="AW109">
        <f>IF(NOT(ISNUMBER($D109)),"",_xlfn.NORM.DIST(AW$1,$D109,$E109,TRUE)-_xlfn.NORM.DIST(AW$2,$D109,$E109,TRUE))</f>
        <v/>
      </c>
      <c r="AX109">
        <f>IF(NOT(ISNUMBER($D109)),"",_xlfn.NORM.DIST(AX$1,$D109,$E109,TRUE)-_xlfn.NORM.DIST(AX$2,$D109,$E109,TRUE))</f>
        <v/>
      </c>
      <c r="AY109">
        <f>IF(NOT(ISNUMBER($D109)),"",_xlfn.NORM.DIST(AY$1,$D109,$E109,TRUE)-_xlfn.NORM.DIST(AY$2,$D109,$E109,TRUE))</f>
        <v/>
      </c>
      <c r="AZ109">
        <f>IF(NOT(ISNUMBER($D109)),"",_xlfn.NORM.DIST(AZ$1,$D109,$E109,TRUE)-_xlfn.NORM.DIST(AZ$2,$D109,$E109,TRUE))</f>
        <v/>
      </c>
      <c r="BA109">
        <f>IF(NOT(ISNUMBER($D109)),"",_xlfn.NORM.DIST(BA$1,$D109,$E109,TRUE)-_xlfn.NORM.DIST(BA$2,$D109,$E109,TRUE))</f>
        <v/>
      </c>
      <c r="BB109">
        <f>IF(NOT(ISNUMBER($D109)),"",_xlfn.NORM.DIST(BB$1,$D109,$E109,TRUE)-_xlfn.NORM.DIST(BB$2,$D109,$E109,TRUE))</f>
        <v/>
      </c>
      <c r="BC109">
        <f>IF(NOT(ISNUMBER($D109)),"",_xlfn.NORM.DIST(BC$1,$D109,$E109,TRUE)-_xlfn.NORM.DIST(BC$2,$D109,$E109,TRUE))</f>
        <v/>
      </c>
      <c r="BD109">
        <f>IF(NOT(ISNUMBER($D109)),"",_xlfn.NORM.DIST(BD$1,$D109,$E109,TRUE)-_xlfn.NORM.DIST(BD$2,$D109,$E109,TRUE))</f>
        <v/>
      </c>
      <c r="BE109">
        <f>IF(NOT(ISNUMBER($D109)),"",_xlfn.NORM.DIST(BE$1,$D109,$E109,TRUE)-_xlfn.NORM.DIST(BE$2,$D109,$E109,TRUE))</f>
        <v/>
      </c>
      <c r="BF109">
        <f>IF(NOT(ISNUMBER($D109)),"",_xlfn.NORM.DIST(BF$1,$D109,$E109,TRUE)-_xlfn.NORM.DIST(BF$2,$D109,$E109,TRUE))</f>
        <v/>
      </c>
      <c r="BG109">
        <f>IF(NOT(ISNUMBER($D109)),"",_xlfn.NORM.DIST(BG$1,$D109,$E109,TRUE)-_xlfn.NORM.DIST(BG$2,$D109,$E109,TRUE))</f>
        <v/>
      </c>
      <c r="BH109">
        <f>IF(NOT(ISNUMBER($D109)),"",_xlfn.NORM.DIST(BH$1,$D109,$E109,TRUE)-_xlfn.NORM.DIST(BH$2,$D109,$E109,TRUE))</f>
        <v/>
      </c>
      <c r="BI109">
        <f>IF(NOT(ISNUMBER($D109)),"",_xlfn.NORM.DIST(BI$1,$D109,$E109,TRUE)-_xlfn.NORM.DIST(BI$2,$D109,$E109,TRUE))</f>
        <v/>
      </c>
      <c r="BJ109">
        <f>IF(NOT(ISNUMBER($D109)),"",_xlfn.NORM.DIST(BJ$1,$D109,$E109,TRUE)-_xlfn.NORM.DIST(BJ$2,$D109,$E109,TRUE))</f>
        <v/>
      </c>
      <c r="BK109">
        <f>IF(NOT(ISNUMBER($D109)),"",_xlfn.NORM.DIST(BK$1,$D109,$E109,TRUE)-_xlfn.NORM.DIST(BK$2,$D109,$E109,TRUE))</f>
        <v/>
      </c>
      <c r="BL109">
        <f>IF(NOT(ISNUMBER($D109)),"",_xlfn.NORM.DIST(BL$1,$D109,$E109,TRUE)-_xlfn.NORM.DIST(BL$2,$D109,$E109,TRUE))</f>
        <v/>
      </c>
      <c r="BM109">
        <f>IF(NOT(ISNUMBER($D109)),"",_xlfn.NORM.DIST(BM$1,$D109,$E109,TRUE)-_xlfn.NORM.DIST(BM$2,$D109,$E109,TRUE))</f>
        <v/>
      </c>
      <c r="BN109">
        <f>IF(NOT(ISNUMBER($D109)),"",_xlfn.NORM.DIST(BN$1,$D109,$E109,TRUE)-_xlfn.NORM.DIST(BN$2,$D109,$E109,TRUE))</f>
        <v/>
      </c>
      <c r="BO109">
        <f>IF(NOT(ISNUMBER($D109)),"",_xlfn.NORM.DIST(BO$1,$D109,$E109,TRUE)-_xlfn.NORM.DIST(BO$2,$D109,$E109,TRUE))</f>
        <v/>
      </c>
      <c r="BP109">
        <f>IF(NOT(ISNUMBER($D109)),"",_xlfn.NORM.DIST(BP$1,$D109,$E109,TRUE)-_xlfn.NORM.DIST(BP$2,$D109,$E109,TRUE))</f>
        <v/>
      </c>
      <c r="BQ109">
        <f>IF(NOT(ISNUMBER($D109)),"",_xlfn.NORM.DIST(BQ$1,$D109,$E109,TRUE)-_xlfn.NORM.DIST(BQ$2,$D109,$E109,TRUE))</f>
        <v/>
      </c>
      <c r="BR109">
        <f>IF(NOT(ISNUMBER($D109)),"",_xlfn.NORM.DIST(BR$1,$D109,$E109,TRUE)-_xlfn.NORM.DIST(BR$2,$D109,$E109,TRUE))</f>
        <v/>
      </c>
      <c r="BS109">
        <f>IF(NOT(ISNUMBER($D109)),"",_xlfn.NORM.DIST(BS$1,$D109,$E109,TRUE)-_xlfn.NORM.DIST(BS$2,$D109,$E109,TRUE))</f>
        <v/>
      </c>
      <c r="BT109">
        <f>IF(NOT(ISNUMBER($D109)),"",_xlfn.NORM.DIST(BT$1,$D109,$E109,TRUE)-_xlfn.NORM.DIST(BT$2,$D109,$E109,TRUE))</f>
        <v/>
      </c>
      <c r="BU109">
        <f>IF(NOT(ISNUMBER($D109)),"",_xlfn.NORM.DIST(BU$1,$D109,$E109,TRUE)-_xlfn.NORM.DIST(BU$2,$D109,$E109,TRUE))</f>
        <v/>
      </c>
      <c r="BV109">
        <f>IF(NOT(ISNUMBER($D109)),"",_xlfn.NORM.DIST(BV$1,$D109,$E109,TRUE)-_xlfn.NORM.DIST(BV$2,$D109,$E109,TRUE))</f>
        <v/>
      </c>
      <c r="BW109">
        <f>IF(NOT(ISNUMBER($D109)),"",_xlfn.NORM.DIST(BW$1,$D109,$E109,TRUE)-_xlfn.NORM.DIST(BW$2,$D109,$E109,TRUE))</f>
        <v/>
      </c>
      <c r="BX109">
        <f>IF(NOT(ISNUMBER($D109)),"",_xlfn.NORM.DIST(BX$1,$D109,$E109,TRUE)-_xlfn.NORM.DIST(BX$2,$D109,$E109,TRUE))</f>
        <v/>
      </c>
      <c r="BY109">
        <f>IF(NOT(ISNUMBER($D109)),"",_xlfn.NORM.DIST(BY$1,$D109,$E109,TRUE)-_xlfn.NORM.DIST(BY$2,$D109,$E109,TRUE))</f>
        <v/>
      </c>
      <c r="BZ109">
        <f>IF(NOT(ISNUMBER($D109)),"",_xlfn.NORM.DIST(BZ$1,$D109,$E109,TRUE)-_xlfn.NORM.DIST(BZ$2,$D109,$E109,TRUE))</f>
        <v/>
      </c>
      <c r="CA109">
        <f>IF(NOT(ISNUMBER($D109)),"",_xlfn.NORM.DIST(CA$1,$D109,$E109,TRUE)-_xlfn.NORM.DIST(CA$2,$D109,$E109,TRUE))</f>
        <v/>
      </c>
      <c r="CB109">
        <f>IF(NOT(ISNUMBER($D109)),"",_xlfn.NORM.DIST(CB$1,$D109,$E109,TRUE)-_xlfn.NORM.DIST(CB$2,$D109,$E109,TRUE))</f>
        <v/>
      </c>
      <c r="CC109">
        <f>IF(NOT(ISNUMBER($D109)),"",_xlfn.NORM.DIST(CC$1,$D109,$E109,TRUE)-_xlfn.NORM.DIST(CC$2,$D109,$E109,TRUE))</f>
        <v/>
      </c>
      <c r="CD109">
        <f>IF(NOT(ISNUMBER($D109)),"",_xlfn.NORM.DIST(CD$1,$D109,$E109,TRUE)-_xlfn.NORM.DIST(CD$2,$D109,$E109,TRUE))</f>
        <v/>
      </c>
      <c r="CE109">
        <f>IF(NOT(ISNUMBER($D109)),"",_xlfn.NORM.DIST(CE$1,$D109,$E109,TRUE)-_xlfn.NORM.DIST(CE$2,$D109,$E109,TRUE))</f>
        <v/>
      </c>
      <c r="CF109">
        <f>IF(NOT(ISNUMBER($D109)),"",_xlfn.NORM.DIST(CF$1,$D109,$E109,TRUE)-_xlfn.NORM.DIST(CF$2,$D109,$E109,TRUE))</f>
        <v/>
      </c>
      <c r="CG109">
        <f>IF(NOT(ISNUMBER($D109)),"",_xlfn.NORM.DIST(CG$1,$D109,$E109,TRUE)-_xlfn.NORM.DIST(CG$2,$D109,$E109,TRUE))</f>
        <v/>
      </c>
      <c r="CH109">
        <f>IF(NOT(ISNUMBER($D109)),"",_xlfn.NORM.DIST(CH$1,$D109,$E109,TRUE)-_xlfn.NORM.DIST(CH$2,$D109,$E109,TRUE))</f>
        <v/>
      </c>
      <c r="CI109">
        <f>IF(NOT(ISNUMBER($D109)),"",_xlfn.NORM.DIST(CI$1,$D109,$E109,TRUE)-_xlfn.NORM.DIST(CI$2,$D109,$E109,TRUE))</f>
        <v/>
      </c>
      <c r="CJ109">
        <f>IF(ISNUMBER($D109),SUM(F109:CI109),"")</f>
        <v/>
      </c>
    </row>
    <row r="110">
      <c r="A110">
        <f>economics!A109</f>
        <v/>
      </c>
      <c r="B110">
        <f>economics!B109</f>
        <v/>
      </c>
      <c r="C110">
        <f>economics!D109</f>
        <v/>
      </c>
      <c r="D110">
        <f>IF(ISNUMBER(economics!T109),economics!T109,"na")</f>
        <v/>
      </c>
      <c r="E110">
        <f>IF(ISNUMBER(D110),MAX(0.3*ABS(D110),0.000001),"na")</f>
        <v/>
      </c>
      <c r="F110">
        <f>IF(NOT(ISNUMBER($D110)),"",_xlfn.NORM.DIST(F$1,$D110,$E110,TRUE)-_xlfn.NORM.DIST(F$2,$D110,$E110,TRUE))</f>
        <v/>
      </c>
      <c r="G110">
        <f>IF(NOT(ISNUMBER($D110)),"",_xlfn.NORM.DIST(G$1,$D110,$E110,TRUE)-_xlfn.NORM.DIST(G$2,$D110,$E110,TRUE))</f>
        <v/>
      </c>
      <c r="H110">
        <f>IF(NOT(ISNUMBER($D110)),"",_xlfn.NORM.DIST(H$1,$D110,$E110,TRUE)-_xlfn.NORM.DIST(H$2,$D110,$E110,TRUE))</f>
        <v/>
      </c>
      <c r="I110">
        <f>IF(NOT(ISNUMBER($D110)),"",_xlfn.NORM.DIST(I$1,$D110,$E110,TRUE)-_xlfn.NORM.DIST(I$2,$D110,$E110,TRUE))</f>
        <v/>
      </c>
      <c r="J110">
        <f>IF(NOT(ISNUMBER($D110)),"",_xlfn.NORM.DIST(J$1,$D110,$E110,TRUE)-_xlfn.NORM.DIST(J$2,$D110,$E110,TRUE))</f>
        <v/>
      </c>
      <c r="K110">
        <f>IF(NOT(ISNUMBER($D110)),"",_xlfn.NORM.DIST(K$1,$D110,$E110,TRUE)-_xlfn.NORM.DIST(K$2,$D110,$E110,TRUE))</f>
        <v/>
      </c>
      <c r="L110">
        <f>IF(NOT(ISNUMBER($D110)),"",_xlfn.NORM.DIST(L$1,$D110,$E110,TRUE)-_xlfn.NORM.DIST(L$2,$D110,$E110,TRUE))</f>
        <v/>
      </c>
      <c r="M110">
        <f>IF(NOT(ISNUMBER($D110)),"",_xlfn.NORM.DIST(M$1,$D110,$E110,TRUE)-_xlfn.NORM.DIST(M$2,$D110,$E110,TRUE))</f>
        <v/>
      </c>
      <c r="N110">
        <f>IF(NOT(ISNUMBER($D110)),"",_xlfn.NORM.DIST(N$1,$D110,$E110,TRUE)-_xlfn.NORM.DIST(N$2,$D110,$E110,TRUE))</f>
        <v/>
      </c>
      <c r="O110">
        <f>IF(NOT(ISNUMBER($D110)),"",_xlfn.NORM.DIST(O$1,$D110,$E110,TRUE)-_xlfn.NORM.DIST(O$2,$D110,$E110,TRUE))</f>
        <v/>
      </c>
      <c r="P110">
        <f>IF(NOT(ISNUMBER($D110)),"",_xlfn.NORM.DIST(P$1,$D110,$E110,TRUE)-_xlfn.NORM.DIST(P$2,$D110,$E110,TRUE))</f>
        <v/>
      </c>
      <c r="Q110">
        <f>IF(NOT(ISNUMBER($D110)),"",_xlfn.NORM.DIST(Q$1,$D110,$E110,TRUE)-_xlfn.NORM.DIST(Q$2,$D110,$E110,TRUE))</f>
        <v/>
      </c>
      <c r="R110">
        <f>IF(NOT(ISNUMBER($D110)),"",_xlfn.NORM.DIST(R$1,$D110,$E110,TRUE)-_xlfn.NORM.DIST(R$2,$D110,$E110,TRUE))</f>
        <v/>
      </c>
      <c r="S110">
        <f>IF(NOT(ISNUMBER($D110)),"",_xlfn.NORM.DIST(S$1,$D110,$E110,TRUE)-_xlfn.NORM.DIST(S$2,$D110,$E110,TRUE))</f>
        <v/>
      </c>
      <c r="T110">
        <f>IF(NOT(ISNUMBER($D110)),"",_xlfn.NORM.DIST(T$1,$D110,$E110,TRUE)-_xlfn.NORM.DIST(T$2,$D110,$E110,TRUE))</f>
        <v/>
      </c>
      <c r="U110">
        <f>IF(NOT(ISNUMBER($D110)),"",_xlfn.NORM.DIST(U$1,$D110,$E110,TRUE)-_xlfn.NORM.DIST(U$2,$D110,$E110,TRUE))</f>
        <v/>
      </c>
      <c r="V110">
        <f>IF(NOT(ISNUMBER($D110)),"",_xlfn.NORM.DIST(V$1,$D110,$E110,TRUE)-_xlfn.NORM.DIST(V$2,$D110,$E110,TRUE))</f>
        <v/>
      </c>
      <c r="W110">
        <f>IF(NOT(ISNUMBER($D110)),"",_xlfn.NORM.DIST(W$1,$D110,$E110,TRUE)-_xlfn.NORM.DIST(W$2,$D110,$E110,TRUE))</f>
        <v/>
      </c>
      <c r="X110">
        <f>IF(NOT(ISNUMBER($D110)),"",_xlfn.NORM.DIST(X$1,$D110,$E110,TRUE)-_xlfn.NORM.DIST(X$2,$D110,$E110,TRUE))</f>
        <v/>
      </c>
      <c r="Y110">
        <f>IF(NOT(ISNUMBER($D110)),"",_xlfn.NORM.DIST(Y$1,$D110,$E110,TRUE)-_xlfn.NORM.DIST(Y$2,$D110,$E110,TRUE))</f>
        <v/>
      </c>
      <c r="Z110">
        <f>IF(NOT(ISNUMBER($D110)),"",_xlfn.NORM.DIST(Z$1,$D110,$E110,TRUE)-_xlfn.NORM.DIST(Z$2,$D110,$E110,TRUE))</f>
        <v/>
      </c>
      <c r="AA110">
        <f>IF(NOT(ISNUMBER($D110)),"",_xlfn.NORM.DIST(AA$1,$D110,$E110,TRUE)-_xlfn.NORM.DIST(AA$2,$D110,$E110,TRUE))</f>
        <v/>
      </c>
      <c r="AB110">
        <f>IF(NOT(ISNUMBER($D110)),"",_xlfn.NORM.DIST(AB$1,$D110,$E110,TRUE)-_xlfn.NORM.DIST(AB$2,$D110,$E110,TRUE))</f>
        <v/>
      </c>
      <c r="AC110">
        <f>IF(NOT(ISNUMBER($D110)),"",_xlfn.NORM.DIST(AC$1,$D110,$E110,TRUE)-_xlfn.NORM.DIST(AC$2,$D110,$E110,TRUE))</f>
        <v/>
      </c>
      <c r="AD110">
        <f>IF(NOT(ISNUMBER($D110)),"",_xlfn.NORM.DIST(AD$1,$D110,$E110,TRUE)-_xlfn.NORM.DIST(AD$2,$D110,$E110,TRUE))</f>
        <v/>
      </c>
      <c r="AE110">
        <f>IF(NOT(ISNUMBER($D110)),"",_xlfn.NORM.DIST(AE$1,$D110,$E110,TRUE)-_xlfn.NORM.DIST(AE$2,$D110,$E110,TRUE))</f>
        <v/>
      </c>
      <c r="AF110">
        <f>IF(NOT(ISNUMBER($D110)),"",_xlfn.NORM.DIST(AF$1,$D110,$E110,TRUE)-_xlfn.NORM.DIST(AF$2,$D110,$E110,TRUE))</f>
        <v/>
      </c>
      <c r="AG110">
        <f>IF(NOT(ISNUMBER($D110)),"",_xlfn.NORM.DIST(AG$1,$D110,$E110,TRUE)-_xlfn.NORM.DIST(AG$2,$D110,$E110,TRUE))</f>
        <v/>
      </c>
      <c r="AH110">
        <f>IF(NOT(ISNUMBER($D110)),"",_xlfn.NORM.DIST(AH$1,$D110,$E110,TRUE)-_xlfn.NORM.DIST(AH$2,$D110,$E110,TRUE))</f>
        <v/>
      </c>
      <c r="AI110">
        <f>IF(NOT(ISNUMBER($D110)),"",_xlfn.NORM.DIST(AI$1,$D110,$E110,TRUE)-_xlfn.NORM.DIST(AI$2,$D110,$E110,TRUE))</f>
        <v/>
      </c>
      <c r="AJ110">
        <f>IF(NOT(ISNUMBER($D110)),"",_xlfn.NORM.DIST(AJ$1,$D110,$E110,TRUE)-_xlfn.NORM.DIST(AJ$2,$D110,$E110,TRUE))</f>
        <v/>
      </c>
      <c r="AK110">
        <f>IF(NOT(ISNUMBER($D110)),"",_xlfn.NORM.DIST(AK$1,$D110,$E110,TRUE)-_xlfn.NORM.DIST(AK$2,$D110,$E110,TRUE))</f>
        <v/>
      </c>
      <c r="AL110">
        <f>IF(NOT(ISNUMBER($D110)),"",_xlfn.NORM.DIST(AL$1,$D110,$E110,TRUE)-_xlfn.NORM.DIST(AL$2,$D110,$E110,TRUE))</f>
        <v/>
      </c>
      <c r="AM110">
        <f>IF(NOT(ISNUMBER($D110)),"",_xlfn.NORM.DIST(AM$1,$D110,$E110,TRUE)-_xlfn.NORM.DIST(AM$2,$D110,$E110,TRUE))</f>
        <v/>
      </c>
      <c r="AN110">
        <f>IF(NOT(ISNUMBER($D110)),"",_xlfn.NORM.DIST(AN$1,$D110,$E110,TRUE)-_xlfn.NORM.DIST(AN$2,$D110,$E110,TRUE))</f>
        <v/>
      </c>
      <c r="AO110">
        <f>IF(NOT(ISNUMBER($D110)),"",_xlfn.NORM.DIST(AO$1,$D110,$E110,TRUE)-_xlfn.NORM.DIST(AO$2,$D110,$E110,TRUE))</f>
        <v/>
      </c>
      <c r="AP110">
        <f>IF(NOT(ISNUMBER($D110)),"",_xlfn.NORM.DIST(AP$1,$D110,$E110,TRUE)-_xlfn.NORM.DIST(AP$2,$D110,$E110,TRUE))</f>
        <v/>
      </c>
      <c r="AQ110">
        <f>IF(NOT(ISNUMBER($D110)),"",_xlfn.NORM.DIST(AQ$1,$D110,$E110,TRUE)-_xlfn.NORM.DIST(AQ$2,$D110,$E110,TRUE))</f>
        <v/>
      </c>
      <c r="AR110">
        <f>IF(NOT(ISNUMBER($D110)),"",_xlfn.NORM.DIST(AR$1,$D110,$E110,TRUE)-_xlfn.NORM.DIST(AR$2,$D110,$E110,TRUE))</f>
        <v/>
      </c>
      <c r="AS110">
        <f>IF(NOT(ISNUMBER($D110)),"",_xlfn.NORM.DIST(AS$1,$D110,$E110,TRUE)-_xlfn.NORM.DIST(AS$2,$D110,$E110,TRUE))</f>
        <v/>
      </c>
      <c r="AT110">
        <f>IF(NOT(ISNUMBER($D110)),"",_xlfn.NORM.DIST(AT$1,$D110,$E110,TRUE)-_xlfn.NORM.DIST(AT$2,$D110,$E110,TRUE))</f>
        <v/>
      </c>
      <c r="AU110">
        <f>IF(NOT(ISNUMBER($D110)),"",_xlfn.NORM.DIST(AU$1,$D110,$E110,TRUE)-_xlfn.NORM.DIST(AU$2,$D110,$E110,TRUE))</f>
        <v/>
      </c>
      <c r="AV110">
        <f>IF(NOT(ISNUMBER($D110)),"",_xlfn.NORM.DIST(AV$1,$D110,$E110,TRUE)-_xlfn.NORM.DIST(AV$2,$D110,$E110,TRUE))</f>
        <v/>
      </c>
      <c r="AW110">
        <f>IF(NOT(ISNUMBER($D110)),"",_xlfn.NORM.DIST(AW$1,$D110,$E110,TRUE)-_xlfn.NORM.DIST(AW$2,$D110,$E110,TRUE))</f>
        <v/>
      </c>
      <c r="AX110">
        <f>IF(NOT(ISNUMBER($D110)),"",_xlfn.NORM.DIST(AX$1,$D110,$E110,TRUE)-_xlfn.NORM.DIST(AX$2,$D110,$E110,TRUE))</f>
        <v/>
      </c>
      <c r="AY110">
        <f>IF(NOT(ISNUMBER($D110)),"",_xlfn.NORM.DIST(AY$1,$D110,$E110,TRUE)-_xlfn.NORM.DIST(AY$2,$D110,$E110,TRUE))</f>
        <v/>
      </c>
      <c r="AZ110">
        <f>IF(NOT(ISNUMBER($D110)),"",_xlfn.NORM.DIST(AZ$1,$D110,$E110,TRUE)-_xlfn.NORM.DIST(AZ$2,$D110,$E110,TRUE))</f>
        <v/>
      </c>
      <c r="BA110">
        <f>IF(NOT(ISNUMBER($D110)),"",_xlfn.NORM.DIST(BA$1,$D110,$E110,TRUE)-_xlfn.NORM.DIST(BA$2,$D110,$E110,TRUE))</f>
        <v/>
      </c>
      <c r="BB110">
        <f>IF(NOT(ISNUMBER($D110)),"",_xlfn.NORM.DIST(BB$1,$D110,$E110,TRUE)-_xlfn.NORM.DIST(BB$2,$D110,$E110,TRUE))</f>
        <v/>
      </c>
      <c r="BC110">
        <f>IF(NOT(ISNUMBER($D110)),"",_xlfn.NORM.DIST(BC$1,$D110,$E110,TRUE)-_xlfn.NORM.DIST(BC$2,$D110,$E110,TRUE))</f>
        <v/>
      </c>
      <c r="BD110">
        <f>IF(NOT(ISNUMBER($D110)),"",_xlfn.NORM.DIST(BD$1,$D110,$E110,TRUE)-_xlfn.NORM.DIST(BD$2,$D110,$E110,TRUE))</f>
        <v/>
      </c>
      <c r="BE110">
        <f>IF(NOT(ISNUMBER($D110)),"",_xlfn.NORM.DIST(BE$1,$D110,$E110,TRUE)-_xlfn.NORM.DIST(BE$2,$D110,$E110,TRUE))</f>
        <v/>
      </c>
      <c r="BF110">
        <f>IF(NOT(ISNUMBER($D110)),"",_xlfn.NORM.DIST(BF$1,$D110,$E110,TRUE)-_xlfn.NORM.DIST(BF$2,$D110,$E110,TRUE))</f>
        <v/>
      </c>
      <c r="BG110">
        <f>IF(NOT(ISNUMBER($D110)),"",_xlfn.NORM.DIST(BG$1,$D110,$E110,TRUE)-_xlfn.NORM.DIST(BG$2,$D110,$E110,TRUE))</f>
        <v/>
      </c>
      <c r="BH110">
        <f>IF(NOT(ISNUMBER($D110)),"",_xlfn.NORM.DIST(BH$1,$D110,$E110,TRUE)-_xlfn.NORM.DIST(BH$2,$D110,$E110,TRUE))</f>
        <v/>
      </c>
      <c r="BI110">
        <f>IF(NOT(ISNUMBER($D110)),"",_xlfn.NORM.DIST(BI$1,$D110,$E110,TRUE)-_xlfn.NORM.DIST(BI$2,$D110,$E110,TRUE))</f>
        <v/>
      </c>
      <c r="BJ110">
        <f>IF(NOT(ISNUMBER($D110)),"",_xlfn.NORM.DIST(BJ$1,$D110,$E110,TRUE)-_xlfn.NORM.DIST(BJ$2,$D110,$E110,TRUE))</f>
        <v/>
      </c>
      <c r="BK110">
        <f>IF(NOT(ISNUMBER($D110)),"",_xlfn.NORM.DIST(BK$1,$D110,$E110,TRUE)-_xlfn.NORM.DIST(BK$2,$D110,$E110,TRUE))</f>
        <v/>
      </c>
      <c r="BL110">
        <f>IF(NOT(ISNUMBER($D110)),"",_xlfn.NORM.DIST(BL$1,$D110,$E110,TRUE)-_xlfn.NORM.DIST(BL$2,$D110,$E110,TRUE))</f>
        <v/>
      </c>
      <c r="BM110">
        <f>IF(NOT(ISNUMBER($D110)),"",_xlfn.NORM.DIST(BM$1,$D110,$E110,TRUE)-_xlfn.NORM.DIST(BM$2,$D110,$E110,TRUE))</f>
        <v/>
      </c>
      <c r="BN110">
        <f>IF(NOT(ISNUMBER($D110)),"",_xlfn.NORM.DIST(BN$1,$D110,$E110,TRUE)-_xlfn.NORM.DIST(BN$2,$D110,$E110,TRUE))</f>
        <v/>
      </c>
      <c r="BO110">
        <f>IF(NOT(ISNUMBER($D110)),"",_xlfn.NORM.DIST(BO$1,$D110,$E110,TRUE)-_xlfn.NORM.DIST(BO$2,$D110,$E110,TRUE))</f>
        <v/>
      </c>
      <c r="BP110">
        <f>IF(NOT(ISNUMBER($D110)),"",_xlfn.NORM.DIST(BP$1,$D110,$E110,TRUE)-_xlfn.NORM.DIST(BP$2,$D110,$E110,TRUE))</f>
        <v/>
      </c>
      <c r="BQ110">
        <f>IF(NOT(ISNUMBER($D110)),"",_xlfn.NORM.DIST(BQ$1,$D110,$E110,TRUE)-_xlfn.NORM.DIST(BQ$2,$D110,$E110,TRUE))</f>
        <v/>
      </c>
      <c r="BR110">
        <f>IF(NOT(ISNUMBER($D110)),"",_xlfn.NORM.DIST(BR$1,$D110,$E110,TRUE)-_xlfn.NORM.DIST(BR$2,$D110,$E110,TRUE))</f>
        <v/>
      </c>
      <c r="BS110">
        <f>IF(NOT(ISNUMBER($D110)),"",_xlfn.NORM.DIST(BS$1,$D110,$E110,TRUE)-_xlfn.NORM.DIST(BS$2,$D110,$E110,TRUE))</f>
        <v/>
      </c>
      <c r="BT110">
        <f>IF(NOT(ISNUMBER($D110)),"",_xlfn.NORM.DIST(BT$1,$D110,$E110,TRUE)-_xlfn.NORM.DIST(BT$2,$D110,$E110,TRUE))</f>
        <v/>
      </c>
      <c r="BU110">
        <f>IF(NOT(ISNUMBER($D110)),"",_xlfn.NORM.DIST(BU$1,$D110,$E110,TRUE)-_xlfn.NORM.DIST(BU$2,$D110,$E110,TRUE))</f>
        <v/>
      </c>
      <c r="BV110">
        <f>IF(NOT(ISNUMBER($D110)),"",_xlfn.NORM.DIST(BV$1,$D110,$E110,TRUE)-_xlfn.NORM.DIST(BV$2,$D110,$E110,TRUE))</f>
        <v/>
      </c>
      <c r="BW110">
        <f>IF(NOT(ISNUMBER($D110)),"",_xlfn.NORM.DIST(BW$1,$D110,$E110,TRUE)-_xlfn.NORM.DIST(BW$2,$D110,$E110,TRUE))</f>
        <v/>
      </c>
      <c r="BX110">
        <f>IF(NOT(ISNUMBER($D110)),"",_xlfn.NORM.DIST(BX$1,$D110,$E110,TRUE)-_xlfn.NORM.DIST(BX$2,$D110,$E110,TRUE))</f>
        <v/>
      </c>
      <c r="BY110">
        <f>IF(NOT(ISNUMBER($D110)),"",_xlfn.NORM.DIST(BY$1,$D110,$E110,TRUE)-_xlfn.NORM.DIST(BY$2,$D110,$E110,TRUE))</f>
        <v/>
      </c>
      <c r="BZ110">
        <f>IF(NOT(ISNUMBER($D110)),"",_xlfn.NORM.DIST(BZ$1,$D110,$E110,TRUE)-_xlfn.NORM.DIST(BZ$2,$D110,$E110,TRUE))</f>
        <v/>
      </c>
      <c r="CA110">
        <f>IF(NOT(ISNUMBER($D110)),"",_xlfn.NORM.DIST(CA$1,$D110,$E110,TRUE)-_xlfn.NORM.DIST(CA$2,$D110,$E110,TRUE))</f>
        <v/>
      </c>
      <c r="CB110">
        <f>IF(NOT(ISNUMBER($D110)),"",_xlfn.NORM.DIST(CB$1,$D110,$E110,TRUE)-_xlfn.NORM.DIST(CB$2,$D110,$E110,TRUE))</f>
        <v/>
      </c>
      <c r="CC110">
        <f>IF(NOT(ISNUMBER($D110)),"",_xlfn.NORM.DIST(CC$1,$D110,$E110,TRUE)-_xlfn.NORM.DIST(CC$2,$D110,$E110,TRUE))</f>
        <v/>
      </c>
      <c r="CD110">
        <f>IF(NOT(ISNUMBER($D110)),"",_xlfn.NORM.DIST(CD$1,$D110,$E110,TRUE)-_xlfn.NORM.DIST(CD$2,$D110,$E110,TRUE))</f>
        <v/>
      </c>
      <c r="CE110">
        <f>IF(NOT(ISNUMBER($D110)),"",_xlfn.NORM.DIST(CE$1,$D110,$E110,TRUE)-_xlfn.NORM.DIST(CE$2,$D110,$E110,TRUE))</f>
        <v/>
      </c>
      <c r="CF110">
        <f>IF(NOT(ISNUMBER($D110)),"",_xlfn.NORM.DIST(CF$1,$D110,$E110,TRUE)-_xlfn.NORM.DIST(CF$2,$D110,$E110,TRUE))</f>
        <v/>
      </c>
      <c r="CG110">
        <f>IF(NOT(ISNUMBER($D110)),"",_xlfn.NORM.DIST(CG$1,$D110,$E110,TRUE)-_xlfn.NORM.DIST(CG$2,$D110,$E110,TRUE))</f>
        <v/>
      </c>
      <c r="CH110">
        <f>IF(NOT(ISNUMBER($D110)),"",_xlfn.NORM.DIST(CH$1,$D110,$E110,TRUE)-_xlfn.NORM.DIST(CH$2,$D110,$E110,TRUE))</f>
        <v/>
      </c>
      <c r="CI110">
        <f>IF(NOT(ISNUMBER($D110)),"",_xlfn.NORM.DIST(CI$1,$D110,$E110,TRUE)-_xlfn.NORM.DIST(CI$2,$D110,$E110,TRUE))</f>
        <v/>
      </c>
      <c r="CJ110">
        <f>IF(ISNUMBER($D110),SUM(F110:CI110),"")</f>
        <v/>
      </c>
    </row>
    <row r="111">
      <c r="A111">
        <f>economics!A110</f>
        <v/>
      </c>
      <c r="B111">
        <f>economics!B110</f>
        <v/>
      </c>
      <c r="C111">
        <f>economics!D110</f>
        <v/>
      </c>
      <c r="D111">
        <f>IF(ISNUMBER(economics!T110),economics!T110,"na")</f>
        <v/>
      </c>
      <c r="E111">
        <f>IF(ISNUMBER(D111),MAX(0.3*ABS(D111),0.000001),"na")</f>
        <v/>
      </c>
      <c r="F111">
        <f>IF(NOT(ISNUMBER($D111)),"",_xlfn.NORM.DIST(F$1,$D111,$E111,TRUE)-_xlfn.NORM.DIST(F$2,$D111,$E111,TRUE))</f>
        <v/>
      </c>
      <c r="G111">
        <f>IF(NOT(ISNUMBER($D111)),"",_xlfn.NORM.DIST(G$1,$D111,$E111,TRUE)-_xlfn.NORM.DIST(G$2,$D111,$E111,TRUE))</f>
        <v/>
      </c>
      <c r="H111">
        <f>IF(NOT(ISNUMBER($D111)),"",_xlfn.NORM.DIST(H$1,$D111,$E111,TRUE)-_xlfn.NORM.DIST(H$2,$D111,$E111,TRUE))</f>
        <v/>
      </c>
      <c r="I111">
        <f>IF(NOT(ISNUMBER($D111)),"",_xlfn.NORM.DIST(I$1,$D111,$E111,TRUE)-_xlfn.NORM.DIST(I$2,$D111,$E111,TRUE))</f>
        <v/>
      </c>
      <c r="J111">
        <f>IF(NOT(ISNUMBER($D111)),"",_xlfn.NORM.DIST(J$1,$D111,$E111,TRUE)-_xlfn.NORM.DIST(J$2,$D111,$E111,TRUE))</f>
        <v/>
      </c>
      <c r="K111">
        <f>IF(NOT(ISNUMBER($D111)),"",_xlfn.NORM.DIST(K$1,$D111,$E111,TRUE)-_xlfn.NORM.DIST(K$2,$D111,$E111,TRUE))</f>
        <v/>
      </c>
      <c r="L111">
        <f>IF(NOT(ISNUMBER($D111)),"",_xlfn.NORM.DIST(L$1,$D111,$E111,TRUE)-_xlfn.NORM.DIST(L$2,$D111,$E111,TRUE))</f>
        <v/>
      </c>
      <c r="M111">
        <f>IF(NOT(ISNUMBER($D111)),"",_xlfn.NORM.DIST(M$1,$D111,$E111,TRUE)-_xlfn.NORM.DIST(M$2,$D111,$E111,TRUE))</f>
        <v/>
      </c>
      <c r="N111">
        <f>IF(NOT(ISNUMBER($D111)),"",_xlfn.NORM.DIST(N$1,$D111,$E111,TRUE)-_xlfn.NORM.DIST(N$2,$D111,$E111,TRUE))</f>
        <v/>
      </c>
      <c r="O111">
        <f>IF(NOT(ISNUMBER($D111)),"",_xlfn.NORM.DIST(O$1,$D111,$E111,TRUE)-_xlfn.NORM.DIST(O$2,$D111,$E111,TRUE))</f>
        <v/>
      </c>
      <c r="P111">
        <f>IF(NOT(ISNUMBER($D111)),"",_xlfn.NORM.DIST(P$1,$D111,$E111,TRUE)-_xlfn.NORM.DIST(P$2,$D111,$E111,TRUE))</f>
        <v/>
      </c>
      <c r="Q111">
        <f>IF(NOT(ISNUMBER($D111)),"",_xlfn.NORM.DIST(Q$1,$D111,$E111,TRUE)-_xlfn.NORM.DIST(Q$2,$D111,$E111,TRUE))</f>
        <v/>
      </c>
      <c r="R111">
        <f>IF(NOT(ISNUMBER($D111)),"",_xlfn.NORM.DIST(R$1,$D111,$E111,TRUE)-_xlfn.NORM.DIST(R$2,$D111,$E111,TRUE))</f>
        <v/>
      </c>
      <c r="S111">
        <f>IF(NOT(ISNUMBER($D111)),"",_xlfn.NORM.DIST(S$1,$D111,$E111,TRUE)-_xlfn.NORM.DIST(S$2,$D111,$E111,TRUE))</f>
        <v/>
      </c>
      <c r="T111">
        <f>IF(NOT(ISNUMBER($D111)),"",_xlfn.NORM.DIST(T$1,$D111,$E111,TRUE)-_xlfn.NORM.DIST(T$2,$D111,$E111,TRUE))</f>
        <v/>
      </c>
      <c r="U111">
        <f>IF(NOT(ISNUMBER($D111)),"",_xlfn.NORM.DIST(U$1,$D111,$E111,TRUE)-_xlfn.NORM.DIST(U$2,$D111,$E111,TRUE))</f>
        <v/>
      </c>
      <c r="V111">
        <f>IF(NOT(ISNUMBER($D111)),"",_xlfn.NORM.DIST(V$1,$D111,$E111,TRUE)-_xlfn.NORM.DIST(V$2,$D111,$E111,TRUE))</f>
        <v/>
      </c>
      <c r="W111">
        <f>IF(NOT(ISNUMBER($D111)),"",_xlfn.NORM.DIST(W$1,$D111,$E111,TRUE)-_xlfn.NORM.DIST(W$2,$D111,$E111,TRUE))</f>
        <v/>
      </c>
      <c r="X111">
        <f>IF(NOT(ISNUMBER($D111)),"",_xlfn.NORM.DIST(X$1,$D111,$E111,TRUE)-_xlfn.NORM.DIST(X$2,$D111,$E111,TRUE))</f>
        <v/>
      </c>
      <c r="Y111">
        <f>IF(NOT(ISNUMBER($D111)),"",_xlfn.NORM.DIST(Y$1,$D111,$E111,TRUE)-_xlfn.NORM.DIST(Y$2,$D111,$E111,TRUE))</f>
        <v/>
      </c>
      <c r="Z111">
        <f>IF(NOT(ISNUMBER($D111)),"",_xlfn.NORM.DIST(Z$1,$D111,$E111,TRUE)-_xlfn.NORM.DIST(Z$2,$D111,$E111,TRUE))</f>
        <v/>
      </c>
      <c r="AA111">
        <f>IF(NOT(ISNUMBER($D111)),"",_xlfn.NORM.DIST(AA$1,$D111,$E111,TRUE)-_xlfn.NORM.DIST(AA$2,$D111,$E111,TRUE))</f>
        <v/>
      </c>
      <c r="AB111">
        <f>IF(NOT(ISNUMBER($D111)),"",_xlfn.NORM.DIST(AB$1,$D111,$E111,TRUE)-_xlfn.NORM.DIST(AB$2,$D111,$E111,TRUE))</f>
        <v/>
      </c>
      <c r="AC111">
        <f>IF(NOT(ISNUMBER($D111)),"",_xlfn.NORM.DIST(AC$1,$D111,$E111,TRUE)-_xlfn.NORM.DIST(AC$2,$D111,$E111,TRUE))</f>
        <v/>
      </c>
      <c r="AD111">
        <f>IF(NOT(ISNUMBER($D111)),"",_xlfn.NORM.DIST(AD$1,$D111,$E111,TRUE)-_xlfn.NORM.DIST(AD$2,$D111,$E111,TRUE))</f>
        <v/>
      </c>
      <c r="AE111">
        <f>IF(NOT(ISNUMBER($D111)),"",_xlfn.NORM.DIST(AE$1,$D111,$E111,TRUE)-_xlfn.NORM.DIST(AE$2,$D111,$E111,TRUE))</f>
        <v/>
      </c>
      <c r="AF111">
        <f>IF(NOT(ISNUMBER($D111)),"",_xlfn.NORM.DIST(AF$1,$D111,$E111,TRUE)-_xlfn.NORM.DIST(AF$2,$D111,$E111,TRUE))</f>
        <v/>
      </c>
      <c r="AG111">
        <f>IF(NOT(ISNUMBER($D111)),"",_xlfn.NORM.DIST(AG$1,$D111,$E111,TRUE)-_xlfn.NORM.DIST(AG$2,$D111,$E111,TRUE))</f>
        <v/>
      </c>
      <c r="AH111">
        <f>IF(NOT(ISNUMBER($D111)),"",_xlfn.NORM.DIST(AH$1,$D111,$E111,TRUE)-_xlfn.NORM.DIST(AH$2,$D111,$E111,TRUE))</f>
        <v/>
      </c>
      <c r="AI111">
        <f>IF(NOT(ISNUMBER($D111)),"",_xlfn.NORM.DIST(AI$1,$D111,$E111,TRUE)-_xlfn.NORM.DIST(AI$2,$D111,$E111,TRUE))</f>
        <v/>
      </c>
      <c r="AJ111">
        <f>IF(NOT(ISNUMBER($D111)),"",_xlfn.NORM.DIST(AJ$1,$D111,$E111,TRUE)-_xlfn.NORM.DIST(AJ$2,$D111,$E111,TRUE))</f>
        <v/>
      </c>
      <c r="AK111">
        <f>IF(NOT(ISNUMBER($D111)),"",_xlfn.NORM.DIST(AK$1,$D111,$E111,TRUE)-_xlfn.NORM.DIST(AK$2,$D111,$E111,TRUE))</f>
        <v/>
      </c>
      <c r="AL111">
        <f>IF(NOT(ISNUMBER($D111)),"",_xlfn.NORM.DIST(AL$1,$D111,$E111,TRUE)-_xlfn.NORM.DIST(AL$2,$D111,$E111,TRUE))</f>
        <v/>
      </c>
      <c r="AM111">
        <f>IF(NOT(ISNUMBER($D111)),"",_xlfn.NORM.DIST(AM$1,$D111,$E111,TRUE)-_xlfn.NORM.DIST(AM$2,$D111,$E111,TRUE))</f>
        <v/>
      </c>
      <c r="AN111">
        <f>IF(NOT(ISNUMBER($D111)),"",_xlfn.NORM.DIST(AN$1,$D111,$E111,TRUE)-_xlfn.NORM.DIST(AN$2,$D111,$E111,TRUE))</f>
        <v/>
      </c>
      <c r="AO111">
        <f>IF(NOT(ISNUMBER($D111)),"",_xlfn.NORM.DIST(AO$1,$D111,$E111,TRUE)-_xlfn.NORM.DIST(AO$2,$D111,$E111,TRUE))</f>
        <v/>
      </c>
      <c r="AP111">
        <f>IF(NOT(ISNUMBER($D111)),"",_xlfn.NORM.DIST(AP$1,$D111,$E111,TRUE)-_xlfn.NORM.DIST(AP$2,$D111,$E111,TRUE))</f>
        <v/>
      </c>
      <c r="AQ111">
        <f>IF(NOT(ISNUMBER($D111)),"",_xlfn.NORM.DIST(AQ$1,$D111,$E111,TRUE)-_xlfn.NORM.DIST(AQ$2,$D111,$E111,TRUE))</f>
        <v/>
      </c>
      <c r="AR111">
        <f>IF(NOT(ISNUMBER($D111)),"",_xlfn.NORM.DIST(AR$1,$D111,$E111,TRUE)-_xlfn.NORM.DIST(AR$2,$D111,$E111,TRUE))</f>
        <v/>
      </c>
      <c r="AS111">
        <f>IF(NOT(ISNUMBER($D111)),"",_xlfn.NORM.DIST(AS$1,$D111,$E111,TRUE)-_xlfn.NORM.DIST(AS$2,$D111,$E111,TRUE))</f>
        <v/>
      </c>
      <c r="AT111">
        <f>IF(NOT(ISNUMBER($D111)),"",_xlfn.NORM.DIST(AT$1,$D111,$E111,TRUE)-_xlfn.NORM.DIST(AT$2,$D111,$E111,TRUE))</f>
        <v/>
      </c>
      <c r="AU111">
        <f>IF(NOT(ISNUMBER($D111)),"",_xlfn.NORM.DIST(AU$1,$D111,$E111,TRUE)-_xlfn.NORM.DIST(AU$2,$D111,$E111,TRUE))</f>
        <v/>
      </c>
      <c r="AV111">
        <f>IF(NOT(ISNUMBER($D111)),"",_xlfn.NORM.DIST(AV$1,$D111,$E111,TRUE)-_xlfn.NORM.DIST(AV$2,$D111,$E111,TRUE))</f>
        <v/>
      </c>
      <c r="AW111">
        <f>IF(NOT(ISNUMBER($D111)),"",_xlfn.NORM.DIST(AW$1,$D111,$E111,TRUE)-_xlfn.NORM.DIST(AW$2,$D111,$E111,TRUE))</f>
        <v/>
      </c>
      <c r="AX111">
        <f>IF(NOT(ISNUMBER($D111)),"",_xlfn.NORM.DIST(AX$1,$D111,$E111,TRUE)-_xlfn.NORM.DIST(AX$2,$D111,$E111,TRUE))</f>
        <v/>
      </c>
      <c r="AY111">
        <f>IF(NOT(ISNUMBER($D111)),"",_xlfn.NORM.DIST(AY$1,$D111,$E111,TRUE)-_xlfn.NORM.DIST(AY$2,$D111,$E111,TRUE))</f>
        <v/>
      </c>
      <c r="AZ111">
        <f>IF(NOT(ISNUMBER($D111)),"",_xlfn.NORM.DIST(AZ$1,$D111,$E111,TRUE)-_xlfn.NORM.DIST(AZ$2,$D111,$E111,TRUE))</f>
        <v/>
      </c>
      <c r="BA111">
        <f>IF(NOT(ISNUMBER($D111)),"",_xlfn.NORM.DIST(BA$1,$D111,$E111,TRUE)-_xlfn.NORM.DIST(BA$2,$D111,$E111,TRUE))</f>
        <v/>
      </c>
      <c r="BB111">
        <f>IF(NOT(ISNUMBER($D111)),"",_xlfn.NORM.DIST(BB$1,$D111,$E111,TRUE)-_xlfn.NORM.DIST(BB$2,$D111,$E111,TRUE))</f>
        <v/>
      </c>
      <c r="BC111">
        <f>IF(NOT(ISNUMBER($D111)),"",_xlfn.NORM.DIST(BC$1,$D111,$E111,TRUE)-_xlfn.NORM.DIST(BC$2,$D111,$E111,TRUE))</f>
        <v/>
      </c>
      <c r="BD111">
        <f>IF(NOT(ISNUMBER($D111)),"",_xlfn.NORM.DIST(BD$1,$D111,$E111,TRUE)-_xlfn.NORM.DIST(BD$2,$D111,$E111,TRUE))</f>
        <v/>
      </c>
      <c r="BE111">
        <f>IF(NOT(ISNUMBER($D111)),"",_xlfn.NORM.DIST(BE$1,$D111,$E111,TRUE)-_xlfn.NORM.DIST(BE$2,$D111,$E111,TRUE))</f>
        <v/>
      </c>
      <c r="BF111">
        <f>IF(NOT(ISNUMBER($D111)),"",_xlfn.NORM.DIST(BF$1,$D111,$E111,TRUE)-_xlfn.NORM.DIST(BF$2,$D111,$E111,TRUE))</f>
        <v/>
      </c>
      <c r="BG111">
        <f>IF(NOT(ISNUMBER($D111)),"",_xlfn.NORM.DIST(BG$1,$D111,$E111,TRUE)-_xlfn.NORM.DIST(BG$2,$D111,$E111,TRUE))</f>
        <v/>
      </c>
      <c r="BH111">
        <f>IF(NOT(ISNUMBER($D111)),"",_xlfn.NORM.DIST(BH$1,$D111,$E111,TRUE)-_xlfn.NORM.DIST(BH$2,$D111,$E111,TRUE))</f>
        <v/>
      </c>
      <c r="BI111">
        <f>IF(NOT(ISNUMBER($D111)),"",_xlfn.NORM.DIST(BI$1,$D111,$E111,TRUE)-_xlfn.NORM.DIST(BI$2,$D111,$E111,TRUE))</f>
        <v/>
      </c>
      <c r="BJ111">
        <f>IF(NOT(ISNUMBER($D111)),"",_xlfn.NORM.DIST(BJ$1,$D111,$E111,TRUE)-_xlfn.NORM.DIST(BJ$2,$D111,$E111,TRUE))</f>
        <v/>
      </c>
      <c r="BK111">
        <f>IF(NOT(ISNUMBER($D111)),"",_xlfn.NORM.DIST(BK$1,$D111,$E111,TRUE)-_xlfn.NORM.DIST(BK$2,$D111,$E111,TRUE))</f>
        <v/>
      </c>
      <c r="BL111">
        <f>IF(NOT(ISNUMBER($D111)),"",_xlfn.NORM.DIST(BL$1,$D111,$E111,TRUE)-_xlfn.NORM.DIST(BL$2,$D111,$E111,TRUE))</f>
        <v/>
      </c>
      <c r="BM111">
        <f>IF(NOT(ISNUMBER($D111)),"",_xlfn.NORM.DIST(BM$1,$D111,$E111,TRUE)-_xlfn.NORM.DIST(BM$2,$D111,$E111,TRUE))</f>
        <v/>
      </c>
      <c r="BN111">
        <f>IF(NOT(ISNUMBER($D111)),"",_xlfn.NORM.DIST(BN$1,$D111,$E111,TRUE)-_xlfn.NORM.DIST(BN$2,$D111,$E111,TRUE))</f>
        <v/>
      </c>
      <c r="BO111">
        <f>IF(NOT(ISNUMBER($D111)),"",_xlfn.NORM.DIST(BO$1,$D111,$E111,TRUE)-_xlfn.NORM.DIST(BO$2,$D111,$E111,TRUE))</f>
        <v/>
      </c>
      <c r="BP111">
        <f>IF(NOT(ISNUMBER($D111)),"",_xlfn.NORM.DIST(BP$1,$D111,$E111,TRUE)-_xlfn.NORM.DIST(BP$2,$D111,$E111,TRUE))</f>
        <v/>
      </c>
      <c r="BQ111">
        <f>IF(NOT(ISNUMBER($D111)),"",_xlfn.NORM.DIST(BQ$1,$D111,$E111,TRUE)-_xlfn.NORM.DIST(BQ$2,$D111,$E111,TRUE))</f>
        <v/>
      </c>
      <c r="BR111">
        <f>IF(NOT(ISNUMBER($D111)),"",_xlfn.NORM.DIST(BR$1,$D111,$E111,TRUE)-_xlfn.NORM.DIST(BR$2,$D111,$E111,TRUE))</f>
        <v/>
      </c>
      <c r="BS111">
        <f>IF(NOT(ISNUMBER($D111)),"",_xlfn.NORM.DIST(BS$1,$D111,$E111,TRUE)-_xlfn.NORM.DIST(BS$2,$D111,$E111,TRUE))</f>
        <v/>
      </c>
      <c r="BT111">
        <f>IF(NOT(ISNUMBER($D111)),"",_xlfn.NORM.DIST(BT$1,$D111,$E111,TRUE)-_xlfn.NORM.DIST(BT$2,$D111,$E111,TRUE))</f>
        <v/>
      </c>
      <c r="BU111">
        <f>IF(NOT(ISNUMBER($D111)),"",_xlfn.NORM.DIST(BU$1,$D111,$E111,TRUE)-_xlfn.NORM.DIST(BU$2,$D111,$E111,TRUE))</f>
        <v/>
      </c>
      <c r="BV111">
        <f>IF(NOT(ISNUMBER($D111)),"",_xlfn.NORM.DIST(BV$1,$D111,$E111,TRUE)-_xlfn.NORM.DIST(BV$2,$D111,$E111,TRUE))</f>
        <v/>
      </c>
      <c r="BW111">
        <f>IF(NOT(ISNUMBER($D111)),"",_xlfn.NORM.DIST(BW$1,$D111,$E111,TRUE)-_xlfn.NORM.DIST(BW$2,$D111,$E111,TRUE))</f>
        <v/>
      </c>
      <c r="BX111">
        <f>IF(NOT(ISNUMBER($D111)),"",_xlfn.NORM.DIST(BX$1,$D111,$E111,TRUE)-_xlfn.NORM.DIST(BX$2,$D111,$E111,TRUE))</f>
        <v/>
      </c>
      <c r="BY111">
        <f>IF(NOT(ISNUMBER($D111)),"",_xlfn.NORM.DIST(BY$1,$D111,$E111,TRUE)-_xlfn.NORM.DIST(BY$2,$D111,$E111,TRUE))</f>
        <v/>
      </c>
      <c r="BZ111">
        <f>IF(NOT(ISNUMBER($D111)),"",_xlfn.NORM.DIST(BZ$1,$D111,$E111,TRUE)-_xlfn.NORM.DIST(BZ$2,$D111,$E111,TRUE))</f>
        <v/>
      </c>
      <c r="CA111">
        <f>IF(NOT(ISNUMBER($D111)),"",_xlfn.NORM.DIST(CA$1,$D111,$E111,TRUE)-_xlfn.NORM.DIST(CA$2,$D111,$E111,TRUE))</f>
        <v/>
      </c>
      <c r="CB111">
        <f>IF(NOT(ISNUMBER($D111)),"",_xlfn.NORM.DIST(CB$1,$D111,$E111,TRUE)-_xlfn.NORM.DIST(CB$2,$D111,$E111,TRUE))</f>
        <v/>
      </c>
      <c r="CC111">
        <f>IF(NOT(ISNUMBER($D111)),"",_xlfn.NORM.DIST(CC$1,$D111,$E111,TRUE)-_xlfn.NORM.DIST(CC$2,$D111,$E111,TRUE))</f>
        <v/>
      </c>
      <c r="CD111">
        <f>IF(NOT(ISNUMBER($D111)),"",_xlfn.NORM.DIST(CD$1,$D111,$E111,TRUE)-_xlfn.NORM.DIST(CD$2,$D111,$E111,TRUE))</f>
        <v/>
      </c>
      <c r="CE111">
        <f>IF(NOT(ISNUMBER($D111)),"",_xlfn.NORM.DIST(CE$1,$D111,$E111,TRUE)-_xlfn.NORM.DIST(CE$2,$D111,$E111,TRUE))</f>
        <v/>
      </c>
      <c r="CF111">
        <f>IF(NOT(ISNUMBER($D111)),"",_xlfn.NORM.DIST(CF$1,$D111,$E111,TRUE)-_xlfn.NORM.DIST(CF$2,$D111,$E111,TRUE))</f>
        <v/>
      </c>
      <c r="CG111">
        <f>IF(NOT(ISNUMBER($D111)),"",_xlfn.NORM.DIST(CG$1,$D111,$E111,TRUE)-_xlfn.NORM.DIST(CG$2,$D111,$E111,TRUE))</f>
        <v/>
      </c>
      <c r="CH111">
        <f>IF(NOT(ISNUMBER($D111)),"",_xlfn.NORM.DIST(CH$1,$D111,$E111,TRUE)-_xlfn.NORM.DIST(CH$2,$D111,$E111,TRUE))</f>
        <v/>
      </c>
      <c r="CI111">
        <f>IF(NOT(ISNUMBER($D111)),"",_xlfn.NORM.DIST(CI$1,$D111,$E111,TRUE)-_xlfn.NORM.DIST(CI$2,$D111,$E111,TRUE))</f>
        <v/>
      </c>
      <c r="CJ111">
        <f>IF(ISNUMBER($D111),SUM(F111:CI111),"")</f>
        <v/>
      </c>
    </row>
    <row r="112">
      <c r="A112">
        <f>economics!A111</f>
        <v/>
      </c>
      <c r="B112">
        <f>economics!B111</f>
        <v/>
      </c>
      <c r="C112">
        <f>economics!D111</f>
        <v/>
      </c>
      <c r="D112">
        <f>IF(ISNUMBER(economics!T111),economics!T111,"na")</f>
        <v/>
      </c>
      <c r="E112">
        <f>IF(ISNUMBER(D112),MAX(0.3*ABS(D112),0.000001),"na")</f>
        <v/>
      </c>
      <c r="F112">
        <f>IF(NOT(ISNUMBER($D112)),"",_xlfn.NORM.DIST(F$1,$D112,$E112,TRUE)-_xlfn.NORM.DIST(F$2,$D112,$E112,TRUE))</f>
        <v/>
      </c>
      <c r="G112">
        <f>IF(NOT(ISNUMBER($D112)),"",_xlfn.NORM.DIST(G$1,$D112,$E112,TRUE)-_xlfn.NORM.DIST(G$2,$D112,$E112,TRUE))</f>
        <v/>
      </c>
      <c r="H112">
        <f>IF(NOT(ISNUMBER($D112)),"",_xlfn.NORM.DIST(H$1,$D112,$E112,TRUE)-_xlfn.NORM.DIST(H$2,$D112,$E112,TRUE))</f>
        <v/>
      </c>
      <c r="I112">
        <f>IF(NOT(ISNUMBER($D112)),"",_xlfn.NORM.DIST(I$1,$D112,$E112,TRUE)-_xlfn.NORM.DIST(I$2,$D112,$E112,TRUE))</f>
        <v/>
      </c>
      <c r="J112">
        <f>IF(NOT(ISNUMBER($D112)),"",_xlfn.NORM.DIST(J$1,$D112,$E112,TRUE)-_xlfn.NORM.DIST(J$2,$D112,$E112,TRUE))</f>
        <v/>
      </c>
      <c r="K112">
        <f>IF(NOT(ISNUMBER($D112)),"",_xlfn.NORM.DIST(K$1,$D112,$E112,TRUE)-_xlfn.NORM.DIST(K$2,$D112,$E112,TRUE))</f>
        <v/>
      </c>
      <c r="L112">
        <f>IF(NOT(ISNUMBER($D112)),"",_xlfn.NORM.DIST(L$1,$D112,$E112,TRUE)-_xlfn.NORM.DIST(L$2,$D112,$E112,TRUE))</f>
        <v/>
      </c>
      <c r="M112">
        <f>IF(NOT(ISNUMBER($D112)),"",_xlfn.NORM.DIST(M$1,$D112,$E112,TRUE)-_xlfn.NORM.DIST(M$2,$D112,$E112,TRUE))</f>
        <v/>
      </c>
      <c r="N112">
        <f>IF(NOT(ISNUMBER($D112)),"",_xlfn.NORM.DIST(N$1,$D112,$E112,TRUE)-_xlfn.NORM.DIST(N$2,$D112,$E112,TRUE))</f>
        <v/>
      </c>
      <c r="O112">
        <f>IF(NOT(ISNUMBER($D112)),"",_xlfn.NORM.DIST(O$1,$D112,$E112,TRUE)-_xlfn.NORM.DIST(O$2,$D112,$E112,TRUE))</f>
        <v/>
      </c>
      <c r="P112">
        <f>IF(NOT(ISNUMBER($D112)),"",_xlfn.NORM.DIST(P$1,$D112,$E112,TRUE)-_xlfn.NORM.DIST(P$2,$D112,$E112,TRUE))</f>
        <v/>
      </c>
      <c r="Q112">
        <f>IF(NOT(ISNUMBER($D112)),"",_xlfn.NORM.DIST(Q$1,$D112,$E112,TRUE)-_xlfn.NORM.DIST(Q$2,$D112,$E112,TRUE))</f>
        <v/>
      </c>
      <c r="R112">
        <f>IF(NOT(ISNUMBER($D112)),"",_xlfn.NORM.DIST(R$1,$D112,$E112,TRUE)-_xlfn.NORM.DIST(R$2,$D112,$E112,TRUE))</f>
        <v/>
      </c>
      <c r="S112">
        <f>IF(NOT(ISNUMBER($D112)),"",_xlfn.NORM.DIST(S$1,$D112,$E112,TRUE)-_xlfn.NORM.DIST(S$2,$D112,$E112,TRUE))</f>
        <v/>
      </c>
      <c r="T112">
        <f>IF(NOT(ISNUMBER($D112)),"",_xlfn.NORM.DIST(T$1,$D112,$E112,TRUE)-_xlfn.NORM.DIST(T$2,$D112,$E112,TRUE))</f>
        <v/>
      </c>
      <c r="U112">
        <f>IF(NOT(ISNUMBER($D112)),"",_xlfn.NORM.DIST(U$1,$D112,$E112,TRUE)-_xlfn.NORM.DIST(U$2,$D112,$E112,TRUE))</f>
        <v/>
      </c>
      <c r="V112">
        <f>IF(NOT(ISNUMBER($D112)),"",_xlfn.NORM.DIST(V$1,$D112,$E112,TRUE)-_xlfn.NORM.DIST(V$2,$D112,$E112,TRUE))</f>
        <v/>
      </c>
      <c r="W112">
        <f>IF(NOT(ISNUMBER($D112)),"",_xlfn.NORM.DIST(W$1,$D112,$E112,TRUE)-_xlfn.NORM.DIST(W$2,$D112,$E112,TRUE))</f>
        <v/>
      </c>
      <c r="X112">
        <f>IF(NOT(ISNUMBER($D112)),"",_xlfn.NORM.DIST(X$1,$D112,$E112,TRUE)-_xlfn.NORM.DIST(X$2,$D112,$E112,TRUE))</f>
        <v/>
      </c>
      <c r="Y112">
        <f>IF(NOT(ISNUMBER($D112)),"",_xlfn.NORM.DIST(Y$1,$D112,$E112,TRUE)-_xlfn.NORM.DIST(Y$2,$D112,$E112,TRUE))</f>
        <v/>
      </c>
      <c r="Z112">
        <f>IF(NOT(ISNUMBER($D112)),"",_xlfn.NORM.DIST(Z$1,$D112,$E112,TRUE)-_xlfn.NORM.DIST(Z$2,$D112,$E112,TRUE))</f>
        <v/>
      </c>
      <c r="AA112">
        <f>IF(NOT(ISNUMBER($D112)),"",_xlfn.NORM.DIST(AA$1,$D112,$E112,TRUE)-_xlfn.NORM.DIST(AA$2,$D112,$E112,TRUE))</f>
        <v/>
      </c>
      <c r="AB112">
        <f>IF(NOT(ISNUMBER($D112)),"",_xlfn.NORM.DIST(AB$1,$D112,$E112,TRUE)-_xlfn.NORM.DIST(AB$2,$D112,$E112,TRUE))</f>
        <v/>
      </c>
      <c r="AC112">
        <f>IF(NOT(ISNUMBER($D112)),"",_xlfn.NORM.DIST(AC$1,$D112,$E112,TRUE)-_xlfn.NORM.DIST(AC$2,$D112,$E112,TRUE))</f>
        <v/>
      </c>
      <c r="AD112">
        <f>IF(NOT(ISNUMBER($D112)),"",_xlfn.NORM.DIST(AD$1,$D112,$E112,TRUE)-_xlfn.NORM.DIST(AD$2,$D112,$E112,TRUE))</f>
        <v/>
      </c>
      <c r="AE112">
        <f>IF(NOT(ISNUMBER($D112)),"",_xlfn.NORM.DIST(AE$1,$D112,$E112,TRUE)-_xlfn.NORM.DIST(AE$2,$D112,$E112,TRUE))</f>
        <v/>
      </c>
      <c r="AF112">
        <f>IF(NOT(ISNUMBER($D112)),"",_xlfn.NORM.DIST(AF$1,$D112,$E112,TRUE)-_xlfn.NORM.DIST(AF$2,$D112,$E112,TRUE))</f>
        <v/>
      </c>
      <c r="AG112">
        <f>IF(NOT(ISNUMBER($D112)),"",_xlfn.NORM.DIST(AG$1,$D112,$E112,TRUE)-_xlfn.NORM.DIST(AG$2,$D112,$E112,TRUE))</f>
        <v/>
      </c>
      <c r="AH112">
        <f>IF(NOT(ISNUMBER($D112)),"",_xlfn.NORM.DIST(AH$1,$D112,$E112,TRUE)-_xlfn.NORM.DIST(AH$2,$D112,$E112,TRUE))</f>
        <v/>
      </c>
      <c r="AI112">
        <f>IF(NOT(ISNUMBER($D112)),"",_xlfn.NORM.DIST(AI$1,$D112,$E112,TRUE)-_xlfn.NORM.DIST(AI$2,$D112,$E112,TRUE))</f>
        <v/>
      </c>
      <c r="AJ112">
        <f>IF(NOT(ISNUMBER($D112)),"",_xlfn.NORM.DIST(AJ$1,$D112,$E112,TRUE)-_xlfn.NORM.DIST(AJ$2,$D112,$E112,TRUE))</f>
        <v/>
      </c>
      <c r="AK112">
        <f>IF(NOT(ISNUMBER($D112)),"",_xlfn.NORM.DIST(AK$1,$D112,$E112,TRUE)-_xlfn.NORM.DIST(AK$2,$D112,$E112,TRUE))</f>
        <v/>
      </c>
      <c r="AL112">
        <f>IF(NOT(ISNUMBER($D112)),"",_xlfn.NORM.DIST(AL$1,$D112,$E112,TRUE)-_xlfn.NORM.DIST(AL$2,$D112,$E112,TRUE))</f>
        <v/>
      </c>
      <c r="AM112">
        <f>IF(NOT(ISNUMBER($D112)),"",_xlfn.NORM.DIST(AM$1,$D112,$E112,TRUE)-_xlfn.NORM.DIST(AM$2,$D112,$E112,TRUE))</f>
        <v/>
      </c>
      <c r="AN112">
        <f>IF(NOT(ISNUMBER($D112)),"",_xlfn.NORM.DIST(AN$1,$D112,$E112,TRUE)-_xlfn.NORM.DIST(AN$2,$D112,$E112,TRUE))</f>
        <v/>
      </c>
      <c r="AO112">
        <f>IF(NOT(ISNUMBER($D112)),"",_xlfn.NORM.DIST(AO$1,$D112,$E112,TRUE)-_xlfn.NORM.DIST(AO$2,$D112,$E112,TRUE))</f>
        <v/>
      </c>
      <c r="AP112">
        <f>IF(NOT(ISNUMBER($D112)),"",_xlfn.NORM.DIST(AP$1,$D112,$E112,TRUE)-_xlfn.NORM.DIST(AP$2,$D112,$E112,TRUE))</f>
        <v/>
      </c>
      <c r="AQ112">
        <f>IF(NOT(ISNUMBER($D112)),"",_xlfn.NORM.DIST(AQ$1,$D112,$E112,TRUE)-_xlfn.NORM.DIST(AQ$2,$D112,$E112,TRUE))</f>
        <v/>
      </c>
      <c r="AR112">
        <f>IF(NOT(ISNUMBER($D112)),"",_xlfn.NORM.DIST(AR$1,$D112,$E112,TRUE)-_xlfn.NORM.DIST(AR$2,$D112,$E112,TRUE))</f>
        <v/>
      </c>
      <c r="AS112">
        <f>IF(NOT(ISNUMBER($D112)),"",_xlfn.NORM.DIST(AS$1,$D112,$E112,TRUE)-_xlfn.NORM.DIST(AS$2,$D112,$E112,TRUE))</f>
        <v/>
      </c>
      <c r="AT112">
        <f>IF(NOT(ISNUMBER($D112)),"",_xlfn.NORM.DIST(AT$1,$D112,$E112,TRUE)-_xlfn.NORM.DIST(AT$2,$D112,$E112,TRUE))</f>
        <v/>
      </c>
      <c r="AU112">
        <f>IF(NOT(ISNUMBER($D112)),"",_xlfn.NORM.DIST(AU$1,$D112,$E112,TRUE)-_xlfn.NORM.DIST(AU$2,$D112,$E112,TRUE))</f>
        <v/>
      </c>
      <c r="AV112">
        <f>IF(NOT(ISNUMBER($D112)),"",_xlfn.NORM.DIST(AV$1,$D112,$E112,TRUE)-_xlfn.NORM.DIST(AV$2,$D112,$E112,TRUE))</f>
        <v/>
      </c>
      <c r="AW112">
        <f>IF(NOT(ISNUMBER($D112)),"",_xlfn.NORM.DIST(AW$1,$D112,$E112,TRUE)-_xlfn.NORM.DIST(AW$2,$D112,$E112,TRUE))</f>
        <v/>
      </c>
      <c r="AX112">
        <f>IF(NOT(ISNUMBER($D112)),"",_xlfn.NORM.DIST(AX$1,$D112,$E112,TRUE)-_xlfn.NORM.DIST(AX$2,$D112,$E112,TRUE))</f>
        <v/>
      </c>
      <c r="AY112">
        <f>IF(NOT(ISNUMBER($D112)),"",_xlfn.NORM.DIST(AY$1,$D112,$E112,TRUE)-_xlfn.NORM.DIST(AY$2,$D112,$E112,TRUE))</f>
        <v/>
      </c>
      <c r="AZ112">
        <f>IF(NOT(ISNUMBER($D112)),"",_xlfn.NORM.DIST(AZ$1,$D112,$E112,TRUE)-_xlfn.NORM.DIST(AZ$2,$D112,$E112,TRUE))</f>
        <v/>
      </c>
      <c r="BA112">
        <f>IF(NOT(ISNUMBER($D112)),"",_xlfn.NORM.DIST(BA$1,$D112,$E112,TRUE)-_xlfn.NORM.DIST(BA$2,$D112,$E112,TRUE))</f>
        <v/>
      </c>
      <c r="BB112">
        <f>IF(NOT(ISNUMBER($D112)),"",_xlfn.NORM.DIST(BB$1,$D112,$E112,TRUE)-_xlfn.NORM.DIST(BB$2,$D112,$E112,TRUE))</f>
        <v/>
      </c>
      <c r="BC112">
        <f>IF(NOT(ISNUMBER($D112)),"",_xlfn.NORM.DIST(BC$1,$D112,$E112,TRUE)-_xlfn.NORM.DIST(BC$2,$D112,$E112,TRUE))</f>
        <v/>
      </c>
      <c r="BD112">
        <f>IF(NOT(ISNUMBER($D112)),"",_xlfn.NORM.DIST(BD$1,$D112,$E112,TRUE)-_xlfn.NORM.DIST(BD$2,$D112,$E112,TRUE))</f>
        <v/>
      </c>
      <c r="BE112">
        <f>IF(NOT(ISNUMBER($D112)),"",_xlfn.NORM.DIST(BE$1,$D112,$E112,TRUE)-_xlfn.NORM.DIST(BE$2,$D112,$E112,TRUE))</f>
        <v/>
      </c>
      <c r="BF112">
        <f>IF(NOT(ISNUMBER($D112)),"",_xlfn.NORM.DIST(BF$1,$D112,$E112,TRUE)-_xlfn.NORM.DIST(BF$2,$D112,$E112,TRUE))</f>
        <v/>
      </c>
      <c r="BG112">
        <f>IF(NOT(ISNUMBER($D112)),"",_xlfn.NORM.DIST(BG$1,$D112,$E112,TRUE)-_xlfn.NORM.DIST(BG$2,$D112,$E112,TRUE))</f>
        <v/>
      </c>
      <c r="BH112">
        <f>IF(NOT(ISNUMBER($D112)),"",_xlfn.NORM.DIST(BH$1,$D112,$E112,TRUE)-_xlfn.NORM.DIST(BH$2,$D112,$E112,TRUE))</f>
        <v/>
      </c>
      <c r="BI112">
        <f>IF(NOT(ISNUMBER($D112)),"",_xlfn.NORM.DIST(BI$1,$D112,$E112,TRUE)-_xlfn.NORM.DIST(BI$2,$D112,$E112,TRUE))</f>
        <v/>
      </c>
      <c r="BJ112">
        <f>IF(NOT(ISNUMBER($D112)),"",_xlfn.NORM.DIST(BJ$1,$D112,$E112,TRUE)-_xlfn.NORM.DIST(BJ$2,$D112,$E112,TRUE))</f>
        <v/>
      </c>
      <c r="BK112">
        <f>IF(NOT(ISNUMBER($D112)),"",_xlfn.NORM.DIST(BK$1,$D112,$E112,TRUE)-_xlfn.NORM.DIST(BK$2,$D112,$E112,TRUE))</f>
        <v/>
      </c>
      <c r="BL112">
        <f>IF(NOT(ISNUMBER($D112)),"",_xlfn.NORM.DIST(BL$1,$D112,$E112,TRUE)-_xlfn.NORM.DIST(BL$2,$D112,$E112,TRUE))</f>
        <v/>
      </c>
      <c r="BM112">
        <f>IF(NOT(ISNUMBER($D112)),"",_xlfn.NORM.DIST(BM$1,$D112,$E112,TRUE)-_xlfn.NORM.DIST(BM$2,$D112,$E112,TRUE))</f>
        <v/>
      </c>
      <c r="BN112">
        <f>IF(NOT(ISNUMBER($D112)),"",_xlfn.NORM.DIST(BN$1,$D112,$E112,TRUE)-_xlfn.NORM.DIST(BN$2,$D112,$E112,TRUE))</f>
        <v/>
      </c>
      <c r="BO112">
        <f>IF(NOT(ISNUMBER($D112)),"",_xlfn.NORM.DIST(BO$1,$D112,$E112,TRUE)-_xlfn.NORM.DIST(BO$2,$D112,$E112,TRUE))</f>
        <v/>
      </c>
      <c r="BP112">
        <f>IF(NOT(ISNUMBER($D112)),"",_xlfn.NORM.DIST(BP$1,$D112,$E112,TRUE)-_xlfn.NORM.DIST(BP$2,$D112,$E112,TRUE))</f>
        <v/>
      </c>
      <c r="BQ112">
        <f>IF(NOT(ISNUMBER($D112)),"",_xlfn.NORM.DIST(BQ$1,$D112,$E112,TRUE)-_xlfn.NORM.DIST(BQ$2,$D112,$E112,TRUE))</f>
        <v/>
      </c>
      <c r="BR112">
        <f>IF(NOT(ISNUMBER($D112)),"",_xlfn.NORM.DIST(BR$1,$D112,$E112,TRUE)-_xlfn.NORM.DIST(BR$2,$D112,$E112,TRUE))</f>
        <v/>
      </c>
      <c r="BS112">
        <f>IF(NOT(ISNUMBER($D112)),"",_xlfn.NORM.DIST(BS$1,$D112,$E112,TRUE)-_xlfn.NORM.DIST(BS$2,$D112,$E112,TRUE))</f>
        <v/>
      </c>
      <c r="BT112">
        <f>IF(NOT(ISNUMBER($D112)),"",_xlfn.NORM.DIST(BT$1,$D112,$E112,TRUE)-_xlfn.NORM.DIST(BT$2,$D112,$E112,TRUE))</f>
        <v/>
      </c>
      <c r="BU112">
        <f>IF(NOT(ISNUMBER($D112)),"",_xlfn.NORM.DIST(BU$1,$D112,$E112,TRUE)-_xlfn.NORM.DIST(BU$2,$D112,$E112,TRUE))</f>
        <v/>
      </c>
      <c r="BV112">
        <f>IF(NOT(ISNUMBER($D112)),"",_xlfn.NORM.DIST(BV$1,$D112,$E112,TRUE)-_xlfn.NORM.DIST(BV$2,$D112,$E112,TRUE))</f>
        <v/>
      </c>
      <c r="BW112">
        <f>IF(NOT(ISNUMBER($D112)),"",_xlfn.NORM.DIST(BW$1,$D112,$E112,TRUE)-_xlfn.NORM.DIST(BW$2,$D112,$E112,TRUE))</f>
        <v/>
      </c>
      <c r="BX112">
        <f>IF(NOT(ISNUMBER($D112)),"",_xlfn.NORM.DIST(BX$1,$D112,$E112,TRUE)-_xlfn.NORM.DIST(BX$2,$D112,$E112,TRUE))</f>
        <v/>
      </c>
      <c r="BY112">
        <f>IF(NOT(ISNUMBER($D112)),"",_xlfn.NORM.DIST(BY$1,$D112,$E112,TRUE)-_xlfn.NORM.DIST(BY$2,$D112,$E112,TRUE))</f>
        <v/>
      </c>
      <c r="BZ112">
        <f>IF(NOT(ISNUMBER($D112)),"",_xlfn.NORM.DIST(BZ$1,$D112,$E112,TRUE)-_xlfn.NORM.DIST(BZ$2,$D112,$E112,TRUE))</f>
        <v/>
      </c>
      <c r="CA112">
        <f>IF(NOT(ISNUMBER($D112)),"",_xlfn.NORM.DIST(CA$1,$D112,$E112,TRUE)-_xlfn.NORM.DIST(CA$2,$D112,$E112,TRUE))</f>
        <v/>
      </c>
      <c r="CB112">
        <f>IF(NOT(ISNUMBER($D112)),"",_xlfn.NORM.DIST(CB$1,$D112,$E112,TRUE)-_xlfn.NORM.DIST(CB$2,$D112,$E112,TRUE))</f>
        <v/>
      </c>
      <c r="CC112">
        <f>IF(NOT(ISNUMBER($D112)),"",_xlfn.NORM.DIST(CC$1,$D112,$E112,TRUE)-_xlfn.NORM.DIST(CC$2,$D112,$E112,TRUE))</f>
        <v/>
      </c>
      <c r="CD112">
        <f>IF(NOT(ISNUMBER($D112)),"",_xlfn.NORM.DIST(CD$1,$D112,$E112,TRUE)-_xlfn.NORM.DIST(CD$2,$D112,$E112,TRUE))</f>
        <v/>
      </c>
      <c r="CE112">
        <f>IF(NOT(ISNUMBER($D112)),"",_xlfn.NORM.DIST(CE$1,$D112,$E112,TRUE)-_xlfn.NORM.DIST(CE$2,$D112,$E112,TRUE))</f>
        <v/>
      </c>
      <c r="CF112">
        <f>IF(NOT(ISNUMBER($D112)),"",_xlfn.NORM.DIST(CF$1,$D112,$E112,TRUE)-_xlfn.NORM.DIST(CF$2,$D112,$E112,TRUE))</f>
        <v/>
      </c>
      <c r="CG112">
        <f>IF(NOT(ISNUMBER($D112)),"",_xlfn.NORM.DIST(CG$1,$D112,$E112,TRUE)-_xlfn.NORM.DIST(CG$2,$D112,$E112,TRUE))</f>
        <v/>
      </c>
      <c r="CH112">
        <f>IF(NOT(ISNUMBER($D112)),"",_xlfn.NORM.DIST(CH$1,$D112,$E112,TRUE)-_xlfn.NORM.DIST(CH$2,$D112,$E112,TRUE))</f>
        <v/>
      </c>
      <c r="CI112">
        <f>IF(NOT(ISNUMBER($D112)),"",_xlfn.NORM.DIST(CI$1,$D112,$E112,TRUE)-_xlfn.NORM.DIST(CI$2,$D112,$E112,TRUE))</f>
        <v/>
      </c>
      <c r="CJ112">
        <f>IF(ISNUMBER($D112),SUM(F112:CI112),"")</f>
        <v/>
      </c>
    </row>
    <row r="113">
      <c r="A113">
        <f>economics!A112</f>
        <v/>
      </c>
      <c r="B113">
        <f>economics!B112</f>
        <v/>
      </c>
      <c r="C113">
        <f>economics!D112</f>
        <v/>
      </c>
      <c r="D113">
        <f>IF(ISNUMBER(economics!T112),economics!T112,"na")</f>
        <v/>
      </c>
      <c r="E113">
        <f>IF(ISNUMBER(D113),MAX(0.3*ABS(D113),0.000001),"na")</f>
        <v/>
      </c>
      <c r="F113">
        <f>IF(NOT(ISNUMBER($D113)),"",_xlfn.NORM.DIST(F$1,$D113,$E113,TRUE)-_xlfn.NORM.DIST(F$2,$D113,$E113,TRUE))</f>
        <v/>
      </c>
      <c r="G113">
        <f>IF(NOT(ISNUMBER($D113)),"",_xlfn.NORM.DIST(G$1,$D113,$E113,TRUE)-_xlfn.NORM.DIST(G$2,$D113,$E113,TRUE))</f>
        <v/>
      </c>
      <c r="H113">
        <f>IF(NOT(ISNUMBER($D113)),"",_xlfn.NORM.DIST(H$1,$D113,$E113,TRUE)-_xlfn.NORM.DIST(H$2,$D113,$E113,TRUE))</f>
        <v/>
      </c>
      <c r="I113">
        <f>IF(NOT(ISNUMBER($D113)),"",_xlfn.NORM.DIST(I$1,$D113,$E113,TRUE)-_xlfn.NORM.DIST(I$2,$D113,$E113,TRUE))</f>
        <v/>
      </c>
      <c r="J113">
        <f>IF(NOT(ISNUMBER($D113)),"",_xlfn.NORM.DIST(J$1,$D113,$E113,TRUE)-_xlfn.NORM.DIST(J$2,$D113,$E113,TRUE))</f>
        <v/>
      </c>
      <c r="K113">
        <f>IF(NOT(ISNUMBER($D113)),"",_xlfn.NORM.DIST(K$1,$D113,$E113,TRUE)-_xlfn.NORM.DIST(K$2,$D113,$E113,TRUE))</f>
        <v/>
      </c>
      <c r="L113">
        <f>IF(NOT(ISNUMBER($D113)),"",_xlfn.NORM.DIST(L$1,$D113,$E113,TRUE)-_xlfn.NORM.DIST(L$2,$D113,$E113,TRUE))</f>
        <v/>
      </c>
      <c r="M113">
        <f>IF(NOT(ISNUMBER($D113)),"",_xlfn.NORM.DIST(M$1,$D113,$E113,TRUE)-_xlfn.NORM.DIST(M$2,$D113,$E113,TRUE))</f>
        <v/>
      </c>
      <c r="N113">
        <f>IF(NOT(ISNUMBER($D113)),"",_xlfn.NORM.DIST(N$1,$D113,$E113,TRUE)-_xlfn.NORM.DIST(N$2,$D113,$E113,TRUE))</f>
        <v/>
      </c>
      <c r="O113">
        <f>IF(NOT(ISNUMBER($D113)),"",_xlfn.NORM.DIST(O$1,$D113,$E113,TRUE)-_xlfn.NORM.DIST(O$2,$D113,$E113,TRUE))</f>
        <v/>
      </c>
      <c r="P113">
        <f>IF(NOT(ISNUMBER($D113)),"",_xlfn.NORM.DIST(P$1,$D113,$E113,TRUE)-_xlfn.NORM.DIST(P$2,$D113,$E113,TRUE))</f>
        <v/>
      </c>
      <c r="Q113">
        <f>IF(NOT(ISNUMBER($D113)),"",_xlfn.NORM.DIST(Q$1,$D113,$E113,TRUE)-_xlfn.NORM.DIST(Q$2,$D113,$E113,TRUE))</f>
        <v/>
      </c>
      <c r="R113">
        <f>IF(NOT(ISNUMBER($D113)),"",_xlfn.NORM.DIST(R$1,$D113,$E113,TRUE)-_xlfn.NORM.DIST(R$2,$D113,$E113,TRUE))</f>
        <v/>
      </c>
      <c r="S113">
        <f>IF(NOT(ISNUMBER($D113)),"",_xlfn.NORM.DIST(S$1,$D113,$E113,TRUE)-_xlfn.NORM.DIST(S$2,$D113,$E113,TRUE))</f>
        <v/>
      </c>
      <c r="T113">
        <f>IF(NOT(ISNUMBER($D113)),"",_xlfn.NORM.DIST(T$1,$D113,$E113,TRUE)-_xlfn.NORM.DIST(T$2,$D113,$E113,TRUE))</f>
        <v/>
      </c>
      <c r="U113">
        <f>IF(NOT(ISNUMBER($D113)),"",_xlfn.NORM.DIST(U$1,$D113,$E113,TRUE)-_xlfn.NORM.DIST(U$2,$D113,$E113,TRUE))</f>
        <v/>
      </c>
      <c r="V113">
        <f>IF(NOT(ISNUMBER($D113)),"",_xlfn.NORM.DIST(V$1,$D113,$E113,TRUE)-_xlfn.NORM.DIST(V$2,$D113,$E113,TRUE))</f>
        <v/>
      </c>
      <c r="W113">
        <f>IF(NOT(ISNUMBER($D113)),"",_xlfn.NORM.DIST(W$1,$D113,$E113,TRUE)-_xlfn.NORM.DIST(W$2,$D113,$E113,TRUE))</f>
        <v/>
      </c>
      <c r="X113">
        <f>IF(NOT(ISNUMBER($D113)),"",_xlfn.NORM.DIST(X$1,$D113,$E113,TRUE)-_xlfn.NORM.DIST(X$2,$D113,$E113,TRUE))</f>
        <v/>
      </c>
      <c r="Y113">
        <f>IF(NOT(ISNUMBER($D113)),"",_xlfn.NORM.DIST(Y$1,$D113,$E113,TRUE)-_xlfn.NORM.DIST(Y$2,$D113,$E113,TRUE))</f>
        <v/>
      </c>
      <c r="Z113">
        <f>IF(NOT(ISNUMBER($D113)),"",_xlfn.NORM.DIST(Z$1,$D113,$E113,TRUE)-_xlfn.NORM.DIST(Z$2,$D113,$E113,TRUE))</f>
        <v/>
      </c>
      <c r="AA113">
        <f>IF(NOT(ISNUMBER($D113)),"",_xlfn.NORM.DIST(AA$1,$D113,$E113,TRUE)-_xlfn.NORM.DIST(AA$2,$D113,$E113,TRUE))</f>
        <v/>
      </c>
      <c r="AB113">
        <f>IF(NOT(ISNUMBER($D113)),"",_xlfn.NORM.DIST(AB$1,$D113,$E113,TRUE)-_xlfn.NORM.DIST(AB$2,$D113,$E113,TRUE))</f>
        <v/>
      </c>
      <c r="AC113">
        <f>IF(NOT(ISNUMBER($D113)),"",_xlfn.NORM.DIST(AC$1,$D113,$E113,TRUE)-_xlfn.NORM.DIST(AC$2,$D113,$E113,TRUE))</f>
        <v/>
      </c>
      <c r="AD113">
        <f>IF(NOT(ISNUMBER($D113)),"",_xlfn.NORM.DIST(AD$1,$D113,$E113,TRUE)-_xlfn.NORM.DIST(AD$2,$D113,$E113,TRUE))</f>
        <v/>
      </c>
      <c r="AE113">
        <f>IF(NOT(ISNUMBER($D113)),"",_xlfn.NORM.DIST(AE$1,$D113,$E113,TRUE)-_xlfn.NORM.DIST(AE$2,$D113,$E113,TRUE))</f>
        <v/>
      </c>
      <c r="AF113">
        <f>IF(NOT(ISNUMBER($D113)),"",_xlfn.NORM.DIST(AF$1,$D113,$E113,TRUE)-_xlfn.NORM.DIST(AF$2,$D113,$E113,TRUE))</f>
        <v/>
      </c>
      <c r="AG113">
        <f>IF(NOT(ISNUMBER($D113)),"",_xlfn.NORM.DIST(AG$1,$D113,$E113,TRUE)-_xlfn.NORM.DIST(AG$2,$D113,$E113,TRUE))</f>
        <v/>
      </c>
      <c r="AH113">
        <f>IF(NOT(ISNUMBER($D113)),"",_xlfn.NORM.DIST(AH$1,$D113,$E113,TRUE)-_xlfn.NORM.DIST(AH$2,$D113,$E113,TRUE))</f>
        <v/>
      </c>
      <c r="AI113">
        <f>IF(NOT(ISNUMBER($D113)),"",_xlfn.NORM.DIST(AI$1,$D113,$E113,TRUE)-_xlfn.NORM.DIST(AI$2,$D113,$E113,TRUE))</f>
        <v/>
      </c>
      <c r="AJ113">
        <f>IF(NOT(ISNUMBER($D113)),"",_xlfn.NORM.DIST(AJ$1,$D113,$E113,TRUE)-_xlfn.NORM.DIST(AJ$2,$D113,$E113,TRUE))</f>
        <v/>
      </c>
      <c r="AK113">
        <f>IF(NOT(ISNUMBER($D113)),"",_xlfn.NORM.DIST(AK$1,$D113,$E113,TRUE)-_xlfn.NORM.DIST(AK$2,$D113,$E113,TRUE))</f>
        <v/>
      </c>
      <c r="AL113">
        <f>IF(NOT(ISNUMBER($D113)),"",_xlfn.NORM.DIST(AL$1,$D113,$E113,TRUE)-_xlfn.NORM.DIST(AL$2,$D113,$E113,TRUE))</f>
        <v/>
      </c>
      <c r="AM113">
        <f>IF(NOT(ISNUMBER($D113)),"",_xlfn.NORM.DIST(AM$1,$D113,$E113,TRUE)-_xlfn.NORM.DIST(AM$2,$D113,$E113,TRUE))</f>
        <v/>
      </c>
      <c r="AN113">
        <f>IF(NOT(ISNUMBER($D113)),"",_xlfn.NORM.DIST(AN$1,$D113,$E113,TRUE)-_xlfn.NORM.DIST(AN$2,$D113,$E113,TRUE))</f>
        <v/>
      </c>
      <c r="AO113">
        <f>IF(NOT(ISNUMBER($D113)),"",_xlfn.NORM.DIST(AO$1,$D113,$E113,TRUE)-_xlfn.NORM.DIST(AO$2,$D113,$E113,TRUE))</f>
        <v/>
      </c>
      <c r="AP113">
        <f>IF(NOT(ISNUMBER($D113)),"",_xlfn.NORM.DIST(AP$1,$D113,$E113,TRUE)-_xlfn.NORM.DIST(AP$2,$D113,$E113,TRUE))</f>
        <v/>
      </c>
      <c r="AQ113">
        <f>IF(NOT(ISNUMBER($D113)),"",_xlfn.NORM.DIST(AQ$1,$D113,$E113,TRUE)-_xlfn.NORM.DIST(AQ$2,$D113,$E113,TRUE))</f>
        <v/>
      </c>
      <c r="AR113">
        <f>IF(NOT(ISNUMBER($D113)),"",_xlfn.NORM.DIST(AR$1,$D113,$E113,TRUE)-_xlfn.NORM.DIST(AR$2,$D113,$E113,TRUE))</f>
        <v/>
      </c>
      <c r="AS113">
        <f>IF(NOT(ISNUMBER($D113)),"",_xlfn.NORM.DIST(AS$1,$D113,$E113,TRUE)-_xlfn.NORM.DIST(AS$2,$D113,$E113,TRUE))</f>
        <v/>
      </c>
      <c r="AT113">
        <f>IF(NOT(ISNUMBER($D113)),"",_xlfn.NORM.DIST(AT$1,$D113,$E113,TRUE)-_xlfn.NORM.DIST(AT$2,$D113,$E113,TRUE))</f>
        <v/>
      </c>
      <c r="AU113">
        <f>IF(NOT(ISNUMBER($D113)),"",_xlfn.NORM.DIST(AU$1,$D113,$E113,TRUE)-_xlfn.NORM.DIST(AU$2,$D113,$E113,TRUE))</f>
        <v/>
      </c>
      <c r="AV113">
        <f>IF(NOT(ISNUMBER($D113)),"",_xlfn.NORM.DIST(AV$1,$D113,$E113,TRUE)-_xlfn.NORM.DIST(AV$2,$D113,$E113,TRUE))</f>
        <v/>
      </c>
      <c r="AW113">
        <f>IF(NOT(ISNUMBER($D113)),"",_xlfn.NORM.DIST(AW$1,$D113,$E113,TRUE)-_xlfn.NORM.DIST(AW$2,$D113,$E113,TRUE))</f>
        <v/>
      </c>
      <c r="AX113">
        <f>IF(NOT(ISNUMBER($D113)),"",_xlfn.NORM.DIST(AX$1,$D113,$E113,TRUE)-_xlfn.NORM.DIST(AX$2,$D113,$E113,TRUE))</f>
        <v/>
      </c>
      <c r="AY113">
        <f>IF(NOT(ISNUMBER($D113)),"",_xlfn.NORM.DIST(AY$1,$D113,$E113,TRUE)-_xlfn.NORM.DIST(AY$2,$D113,$E113,TRUE))</f>
        <v/>
      </c>
      <c r="AZ113">
        <f>IF(NOT(ISNUMBER($D113)),"",_xlfn.NORM.DIST(AZ$1,$D113,$E113,TRUE)-_xlfn.NORM.DIST(AZ$2,$D113,$E113,TRUE))</f>
        <v/>
      </c>
      <c r="BA113">
        <f>IF(NOT(ISNUMBER($D113)),"",_xlfn.NORM.DIST(BA$1,$D113,$E113,TRUE)-_xlfn.NORM.DIST(BA$2,$D113,$E113,TRUE))</f>
        <v/>
      </c>
      <c r="BB113">
        <f>IF(NOT(ISNUMBER($D113)),"",_xlfn.NORM.DIST(BB$1,$D113,$E113,TRUE)-_xlfn.NORM.DIST(BB$2,$D113,$E113,TRUE))</f>
        <v/>
      </c>
      <c r="BC113">
        <f>IF(NOT(ISNUMBER($D113)),"",_xlfn.NORM.DIST(BC$1,$D113,$E113,TRUE)-_xlfn.NORM.DIST(BC$2,$D113,$E113,TRUE))</f>
        <v/>
      </c>
      <c r="BD113">
        <f>IF(NOT(ISNUMBER($D113)),"",_xlfn.NORM.DIST(BD$1,$D113,$E113,TRUE)-_xlfn.NORM.DIST(BD$2,$D113,$E113,TRUE))</f>
        <v/>
      </c>
      <c r="BE113">
        <f>IF(NOT(ISNUMBER($D113)),"",_xlfn.NORM.DIST(BE$1,$D113,$E113,TRUE)-_xlfn.NORM.DIST(BE$2,$D113,$E113,TRUE))</f>
        <v/>
      </c>
      <c r="BF113">
        <f>IF(NOT(ISNUMBER($D113)),"",_xlfn.NORM.DIST(BF$1,$D113,$E113,TRUE)-_xlfn.NORM.DIST(BF$2,$D113,$E113,TRUE))</f>
        <v/>
      </c>
      <c r="BG113">
        <f>IF(NOT(ISNUMBER($D113)),"",_xlfn.NORM.DIST(BG$1,$D113,$E113,TRUE)-_xlfn.NORM.DIST(BG$2,$D113,$E113,TRUE))</f>
        <v/>
      </c>
      <c r="BH113">
        <f>IF(NOT(ISNUMBER($D113)),"",_xlfn.NORM.DIST(BH$1,$D113,$E113,TRUE)-_xlfn.NORM.DIST(BH$2,$D113,$E113,TRUE))</f>
        <v/>
      </c>
      <c r="BI113">
        <f>IF(NOT(ISNUMBER($D113)),"",_xlfn.NORM.DIST(BI$1,$D113,$E113,TRUE)-_xlfn.NORM.DIST(BI$2,$D113,$E113,TRUE))</f>
        <v/>
      </c>
      <c r="BJ113">
        <f>IF(NOT(ISNUMBER($D113)),"",_xlfn.NORM.DIST(BJ$1,$D113,$E113,TRUE)-_xlfn.NORM.DIST(BJ$2,$D113,$E113,TRUE))</f>
        <v/>
      </c>
      <c r="BK113">
        <f>IF(NOT(ISNUMBER($D113)),"",_xlfn.NORM.DIST(BK$1,$D113,$E113,TRUE)-_xlfn.NORM.DIST(BK$2,$D113,$E113,TRUE))</f>
        <v/>
      </c>
      <c r="BL113">
        <f>IF(NOT(ISNUMBER($D113)),"",_xlfn.NORM.DIST(BL$1,$D113,$E113,TRUE)-_xlfn.NORM.DIST(BL$2,$D113,$E113,TRUE))</f>
        <v/>
      </c>
      <c r="BM113">
        <f>IF(NOT(ISNUMBER($D113)),"",_xlfn.NORM.DIST(BM$1,$D113,$E113,TRUE)-_xlfn.NORM.DIST(BM$2,$D113,$E113,TRUE))</f>
        <v/>
      </c>
      <c r="BN113">
        <f>IF(NOT(ISNUMBER($D113)),"",_xlfn.NORM.DIST(BN$1,$D113,$E113,TRUE)-_xlfn.NORM.DIST(BN$2,$D113,$E113,TRUE))</f>
        <v/>
      </c>
      <c r="BO113">
        <f>IF(NOT(ISNUMBER($D113)),"",_xlfn.NORM.DIST(BO$1,$D113,$E113,TRUE)-_xlfn.NORM.DIST(BO$2,$D113,$E113,TRUE))</f>
        <v/>
      </c>
      <c r="BP113">
        <f>IF(NOT(ISNUMBER($D113)),"",_xlfn.NORM.DIST(BP$1,$D113,$E113,TRUE)-_xlfn.NORM.DIST(BP$2,$D113,$E113,TRUE))</f>
        <v/>
      </c>
      <c r="BQ113">
        <f>IF(NOT(ISNUMBER($D113)),"",_xlfn.NORM.DIST(BQ$1,$D113,$E113,TRUE)-_xlfn.NORM.DIST(BQ$2,$D113,$E113,TRUE))</f>
        <v/>
      </c>
      <c r="BR113">
        <f>IF(NOT(ISNUMBER($D113)),"",_xlfn.NORM.DIST(BR$1,$D113,$E113,TRUE)-_xlfn.NORM.DIST(BR$2,$D113,$E113,TRUE))</f>
        <v/>
      </c>
      <c r="BS113">
        <f>IF(NOT(ISNUMBER($D113)),"",_xlfn.NORM.DIST(BS$1,$D113,$E113,TRUE)-_xlfn.NORM.DIST(BS$2,$D113,$E113,TRUE))</f>
        <v/>
      </c>
      <c r="BT113">
        <f>IF(NOT(ISNUMBER($D113)),"",_xlfn.NORM.DIST(BT$1,$D113,$E113,TRUE)-_xlfn.NORM.DIST(BT$2,$D113,$E113,TRUE))</f>
        <v/>
      </c>
      <c r="BU113">
        <f>IF(NOT(ISNUMBER($D113)),"",_xlfn.NORM.DIST(BU$1,$D113,$E113,TRUE)-_xlfn.NORM.DIST(BU$2,$D113,$E113,TRUE))</f>
        <v/>
      </c>
      <c r="BV113">
        <f>IF(NOT(ISNUMBER($D113)),"",_xlfn.NORM.DIST(BV$1,$D113,$E113,TRUE)-_xlfn.NORM.DIST(BV$2,$D113,$E113,TRUE))</f>
        <v/>
      </c>
      <c r="BW113">
        <f>IF(NOT(ISNUMBER($D113)),"",_xlfn.NORM.DIST(BW$1,$D113,$E113,TRUE)-_xlfn.NORM.DIST(BW$2,$D113,$E113,TRUE))</f>
        <v/>
      </c>
      <c r="BX113">
        <f>IF(NOT(ISNUMBER($D113)),"",_xlfn.NORM.DIST(BX$1,$D113,$E113,TRUE)-_xlfn.NORM.DIST(BX$2,$D113,$E113,TRUE))</f>
        <v/>
      </c>
      <c r="BY113">
        <f>IF(NOT(ISNUMBER($D113)),"",_xlfn.NORM.DIST(BY$1,$D113,$E113,TRUE)-_xlfn.NORM.DIST(BY$2,$D113,$E113,TRUE))</f>
        <v/>
      </c>
      <c r="BZ113">
        <f>IF(NOT(ISNUMBER($D113)),"",_xlfn.NORM.DIST(BZ$1,$D113,$E113,TRUE)-_xlfn.NORM.DIST(BZ$2,$D113,$E113,TRUE))</f>
        <v/>
      </c>
      <c r="CA113">
        <f>IF(NOT(ISNUMBER($D113)),"",_xlfn.NORM.DIST(CA$1,$D113,$E113,TRUE)-_xlfn.NORM.DIST(CA$2,$D113,$E113,TRUE))</f>
        <v/>
      </c>
      <c r="CB113">
        <f>IF(NOT(ISNUMBER($D113)),"",_xlfn.NORM.DIST(CB$1,$D113,$E113,TRUE)-_xlfn.NORM.DIST(CB$2,$D113,$E113,TRUE))</f>
        <v/>
      </c>
      <c r="CC113">
        <f>IF(NOT(ISNUMBER($D113)),"",_xlfn.NORM.DIST(CC$1,$D113,$E113,TRUE)-_xlfn.NORM.DIST(CC$2,$D113,$E113,TRUE))</f>
        <v/>
      </c>
      <c r="CD113">
        <f>IF(NOT(ISNUMBER($D113)),"",_xlfn.NORM.DIST(CD$1,$D113,$E113,TRUE)-_xlfn.NORM.DIST(CD$2,$D113,$E113,TRUE))</f>
        <v/>
      </c>
      <c r="CE113">
        <f>IF(NOT(ISNUMBER($D113)),"",_xlfn.NORM.DIST(CE$1,$D113,$E113,TRUE)-_xlfn.NORM.DIST(CE$2,$D113,$E113,TRUE))</f>
        <v/>
      </c>
      <c r="CF113">
        <f>IF(NOT(ISNUMBER($D113)),"",_xlfn.NORM.DIST(CF$1,$D113,$E113,TRUE)-_xlfn.NORM.DIST(CF$2,$D113,$E113,TRUE))</f>
        <v/>
      </c>
      <c r="CG113">
        <f>IF(NOT(ISNUMBER($D113)),"",_xlfn.NORM.DIST(CG$1,$D113,$E113,TRUE)-_xlfn.NORM.DIST(CG$2,$D113,$E113,TRUE))</f>
        <v/>
      </c>
      <c r="CH113">
        <f>IF(NOT(ISNUMBER($D113)),"",_xlfn.NORM.DIST(CH$1,$D113,$E113,TRUE)-_xlfn.NORM.DIST(CH$2,$D113,$E113,TRUE))</f>
        <v/>
      </c>
      <c r="CI113">
        <f>IF(NOT(ISNUMBER($D113)),"",_xlfn.NORM.DIST(CI$1,$D113,$E113,TRUE)-_xlfn.NORM.DIST(CI$2,$D113,$E113,TRUE))</f>
        <v/>
      </c>
      <c r="CJ113">
        <f>IF(ISNUMBER($D113),SUM(F113:CI113),"")</f>
        <v/>
      </c>
    </row>
    <row r="114">
      <c r="A114">
        <f>economics!A113</f>
        <v/>
      </c>
      <c r="B114">
        <f>economics!B113</f>
        <v/>
      </c>
      <c r="C114">
        <f>economics!D113</f>
        <v/>
      </c>
      <c r="D114">
        <f>IF(ISNUMBER(economics!T113),economics!T113,"na")</f>
        <v/>
      </c>
      <c r="E114">
        <f>IF(ISNUMBER(D114),MAX(0.3*ABS(D114),0.000001),"na")</f>
        <v/>
      </c>
      <c r="F114">
        <f>IF(NOT(ISNUMBER($D114)),"",_xlfn.NORM.DIST(F$1,$D114,$E114,TRUE)-_xlfn.NORM.DIST(F$2,$D114,$E114,TRUE))</f>
        <v/>
      </c>
      <c r="G114">
        <f>IF(NOT(ISNUMBER($D114)),"",_xlfn.NORM.DIST(G$1,$D114,$E114,TRUE)-_xlfn.NORM.DIST(G$2,$D114,$E114,TRUE))</f>
        <v/>
      </c>
      <c r="H114">
        <f>IF(NOT(ISNUMBER($D114)),"",_xlfn.NORM.DIST(H$1,$D114,$E114,TRUE)-_xlfn.NORM.DIST(H$2,$D114,$E114,TRUE))</f>
        <v/>
      </c>
      <c r="I114">
        <f>IF(NOT(ISNUMBER($D114)),"",_xlfn.NORM.DIST(I$1,$D114,$E114,TRUE)-_xlfn.NORM.DIST(I$2,$D114,$E114,TRUE))</f>
        <v/>
      </c>
      <c r="J114">
        <f>IF(NOT(ISNUMBER($D114)),"",_xlfn.NORM.DIST(J$1,$D114,$E114,TRUE)-_xlfn.NORM.DIST(J$2,$D114,$E114,TRUE))</f>
        <v/>
      </c>
      <c r="K114">
        <f>IF(NOT(ISNUMBER($D114)),"",_xlfn.NORM.DIST(K$1,$D114,$E114,TRUE)-_xlfn.NORM.DIST(K$2,$D114,$E114,TRUE))</f>
        <v/>
      </c>
      <c r="L114">
        <f>IF(NOT(ISNUMBER($D114)),"",_xlfn.NORM.DIST(L$1,$D114,$E114,TRUE)-_xlfn.NORM.DIST(L$2,$D114,$E114,TRUE))</f>
        <v/>
      </c>
      <c r="M114">
        <f>IF(NOT(ISNUMBER($D114)),"",_xlfn.NORM.DIST(M$1,$D114,$E114,TRUE)-_xlfn.NORM.DIST(M$2,$D114,$E114,TRUE))</f>
        <v/>
      </c>
      <c r="N114">
        <f>IF(NOT(ISNUMBER($D114)),"",_xlfn.NORM.DIST(N$1,$D114,$E114,TRUE)-_xlfn.NORM.DIST(N$2,$D114,$E114,TRUE))</f>
        <v/>
      </c>
      <c r="O114">
        <f>IF(NOT(ISNUMBER($D114)),"",_xlfn.NORM.DIST(O$1,$D114,$E114,TRUE)-_xlfn.NORM.DIST(O$2,$D114,$E114,TRUE))</f>
        <v/>
      </c>
      <c r="P114">
        <f>IF(NOT(ISNUMBER($D114)),"",_xlfn.NORM.DIST(P$1,$D114,$E114,TRUE)-_xlfn.NORM.DIST(P$2,$D114,$E114,TRUE))</f>
        <v/>
      </c>
      <c r="Q114">
        <f>IF(NOT(ISNUMBER($D114)),"",_xlfn.NORM.DIST(Q$1,$D114,$E114,TRUE)-_xlfn.NORM.DIST(Q$2,$D114,$E114,TRUE))</f>
        <v/>
      </c>
      <c r="R114">
        <f>IF(NOT(ISNUMBER($D114)),"",_xlfn.NORM.DIST(R$1,$D114,$E114,TRUE)-_xlfn.NORM.DIST(R$2,$D114,$E114,TRUE))</f>
        <v/>
      </c>
      <c r="S114">
        <f>IF(NOT(ISNUMBER($D114)),"",_xlfn.NORM.DIST(S$1,$D114,$E114,TRUE)-_xlfn.NORM.DIST(S$2,$D114,$E114,TRUE))</f>
        <v/>
      </c>
      <c r="T114">
        <f>IF(NOT(ISNUMBER($D114)),"",_xlfn.NORM.DIST(T$1,$D114,$E114,TRUE)-_xlfn.NORM.DIST(T$2,$D114,$E114,TRUE))</f>
        <v/>
      </c>
      <c r="U114">
        <f>IF(NOT(ISNUMBER($D114)),"",_xlfn.NORM.DIST(U$1,$D114,$E114,TRUE)-_xlfn.NORM.DIST(U$2,$D114,$E114,TRUE))</f>
        <v/>
      </c>
      <c r="V114">
        <f>IF(NOT(ISNUMBER($D114)),"",_xlfn.NORM.DIST(V$1,$D114,$E114,TRUE)-_xlfn.NORM.DIST(V$2,$D114,$E114,TRUE))</f>
        <v/>
      </c>
      <c r="W114">
        <f>IF(NOT(ISNUMBER($D114)),"",_xlfn.NORM.DIST(W$1,$D114,$E114,TRUE)-_xlfn.NORM.DIST(W$2,$D114,$E114,TRUE))</f>
        <v/>
      </c>
      <c r="X114">
        <f>IF(NOT(ISNUMBER($D114)),"",_xlfn.NORM.DIST(X$1,$D114,$E114,TRUE)-_xlfn.NORM.DIST(X$2,$D114,$E114,TRUE))</f>
        <v/>
      </c>
      <c r="Y114">
        <f>IF(NOT(ISNUMBER($D114)),"",_xlfn.NORM.DIST(Y$1,$D114,$E114,TRUE)-_xlfn.NORM.DIST(Y$2,$D114,$E114,TRUE))</f>
        <v/>
      </c>
      <c r="Z114">
        <f>IF(NOT(ISNUMBER($D114)),"",_xlfn.NORM.DIST(Z$1,$D114,$E114,TRUE)-_xlfn.NORM.DIST(Z$2,$D114,$E114,TRUE))</f>
        <v/>
      </c>
      <c r="AA114">
        <f>IF(NOT(ISNUMBER($D114)),"",_xlfn.NORM.DIST(AA$1,$D114,$E114,TRUE)-_xlfn.NORM.DIST(AA$2,$D114,$E114,TRUE))</f>
        <v/>
      </c>
      <c r="AB114">
        <f>IF(NOT(ISNUMBER($D114)),"",_xlfn.NORM.DIST(AB$1,$D114,$E114,TRUE)-_xlfn.NORM.DIST(AB$2,$D114,$E114,TRUE))</f>
        <v/>
      </c>
      <c r="AC114">
        <f>IF(NOT(ISNUMBER($D114)),"",_xlfn.NORM.DIST(AC$1,$D114,$E114,TRUE)-_xlfn.NORM.DIST(AC$2,$D114,$E114,TRUE))</f>
        <v/>
      </c>
      <c r="AD114">
        <f>IF(NOT(ISNUMBER($D114)),"",_xlfn.NORM.DIST(AD$1,$D114,$E114,TRUE)-_xlfn.NORM.DIST(AD$2,$D114,$E114,TRUE))</f>
        <v/>
      </c>
      <c r="AE114">
        <f>IF(NOT(ISNUMBER($D114)),"",_xlfn.NORM.DIST(AE$1,$D114,$E114,TRUE)-_xlfn.NORM.DIST(AE$2,$D114,$E114,TRUE))</f>
        <v/>
      </c>
      <c r="AF114">
        <f>IF(NOT(ISNUMBER($D114)),"",_xlfn.NORM.DIST(AF$1,$D114,$E114,TRUE)-_xlfn.NORM.DIST(AF$2,$D114,$E114,TRUE))</f>
        <v/>
      </c>
      <c r="AG114">
        <f>IF(NOT(ISNUMBER($D114)),"",_xlfn.NORM.DIST(AG$1,$D114,$E114,TRUE)-_xlfn.NORM.DIST(AG$2,$D114,$E114,TRUE))</f>
        <v/>
      </c>
      <c r="AH114">
        <f>IF(NOT(ISNUMBER($D114)),"",_xlfn.NORM.DIST(AH$1,$D114,$E114,TRUE)-_xlfn.NORM.DIST(AH$2,$D114,$E114,TRUE))</f>
        <v/>
      </c>
      <c r="AI114">
        <f>IF(NOT(ISNUMBER($D114)),"",_xlfn.NORM.DIST(AI$1,$D114,$E114,TRUE)-_xlfn.NORM.DIST(AI$2,$D114,$E114,TRUE))</f>
        <v/>
      </c>
      <c r="AJ114">
        <f>IF(NOT(ISNUMBER($D114)),"",_xlfn.NORM.DIST(AJ$1,$D114,$E114,TRUE)-_xlfn.NORM.DIST(AJ$2,$D114,$E114,TRUE))</f>
        <v/>
      </c>
      <c r="AK114">
        <f>IF(NOT(ISNUMBER($D114)),"",_xlfn.NORM.DIST(AK$1,$D114,$E114,TRUE)-_xlfn.NORM.DIST(AK$2,$D114,$E114,TRUE))</f>
        <v/>
      </c>
      <c r="AL114">
        <f>IF(NOT(ISNUMBER($D114)),"",_xlfn.NORM.DIST(AL$1,$D114,$E114,TRUE)-_xlfn.NORM.DIST(AL$2,$D114,$E114,TRUE))</f>
        <v/>
      </c>
      <c r="AM114">
        <f>IF(NOT(ISNUMBER($D114)),"",_xlfn.NORM.DIST(AM$1,$D114,$E114,TRUE)-_xlfn.NORM.DIST(AM$2,$D114,$E114,TRUE))</f>
        <v/>
      </c>
      <c r="AN114">
        <f>IF(NOT(ISNUMBER($D114)),"",_xlfn.NORM.DIST(AN$1,$D114,$E114,TRUE)-_xlfn.NORM.DIST(AN$2,$D114,$E114,TRUE))</f>
        <v/>
      </c>
      <c r="AO114">
        <f>IF(NOT(ISNUMBER($D114)),"",_xlfn.NORM.DIST(AO$1,$D114,$E114,TRUE)-_xlfn.NORM.DIST(AO$2,$D114,$E114,TRUE))</f>
        <v/>
      </c>
      <c r="AP114">
        <f>IF(NOT(ISNUMBER($D114)),"",_xlfn.NORM.DIST(AP$1,$D114,$E114,TRUE)-_xlfn.NORM.DIST(AP$2,$D114,$E114,TRUE))</f>
        <v/>
      </c>
      <c r="AQ114">
        <f>IF(NOT(ISNUMBER($D114)),"",_xlfn.NORM.DIST(AQ$1,$D114,$E114,TRUE)-_xlfn.NORM.DIST(AQ$2,$D114,$E114,TRUE))</f>
        <v/>
      </c>
      <c r="AR114">
        <f>IF(NOT(ISNUMBER($D114)),"",_xlfn.NORM.DIST(AR$1,$D114,$E114,TRUE)-_xlfn.NORM.DIST(AR$2,$D114,$E114,TRUE))</f>
        <v/>
      </c>
      <c r="AS114">
        <f>IF(NOT(ISNUMBER($D114)),"",_xlfn.NORM.DIST(AS$1,$D114,$E114,TRUE)-_xlfn.NORM.DIST(AS$2,$D114,$E114,TRUE))</f>
        <v/>
      </c>
      <c r="AT114">
        <f>IF(NOT(ISNUMBER($D114)),"",_xlfn.NORM.DIST(AT$1,$D114,$E114,TRUE)-_xlfn.NORM.DIST(AT$2,$D114,$E114,TRUE))</f>
        <v/>
      </c>
      <c r="AU114">
        <f>IF(NOT(ISNUMBER($D114)),"",_xlfn.NORM.DIST(AU$1,$D114,$E114,TRUE)-_xlfn.NORM.DIST(AU$2,$D114,$E114,TRUE))</f>
        <v/>
      </c>
      <c r="AV114">
        <f>IF(NOT(ISNUMBER($D114)),"",_xlfn.NORM.DIST(AV$1,$D114,$E114,TRUE)-_xlfn.NORM.DIST(AV$2,$D114,$E114,TRUE))</f>
        <v/>
      </c>
      <c r="AW114">
        <f>IF(NOT(ISNUMBER($D114)),"",_xlfn.NORM.DIST(AW$1,$D114,$E114,TRUE)-_xlfn.NORM.DIST(AW$2,$D114,$E114,TRUE))</f>
        <v/>
      </c>
      <c r="AX114">
        <f>IF(NOT(ISNUMBER($D114)),"",_xlfn.NORM.DIST(AX$1,$D114,$E114,TRUE)-_xlfn.NORM.DIST(AX$2,$D114,$E114,TRUE))</f>
        <v/>
      </c>
      <c r="AY114">
        <f>IF(NOT(ISNUMBER($D114)),"",_xlfn.NORM.DIST(AY$1,$D114,$E114,TRUE)-_xlfn.NORM.DIST(AY$2,$D114,$E114,TRUE))</f>
        <v/>
      </c>
      <c r="AZ114">
        <f>IF(NOT(ISNUMBER($D114)),"",_xlfn.NORM.DIST(AZ$1,$D114,$E114,TRUE)-_xlfn.NORM.DIST(AZ$2,$D114,$E114,TRUE))</f>
        <v/>
      </c>
      <c r="BA114">
        <f>IF(NOT(ISNUMBER($D114)),"",_xlfn.NORM.DIST(BA$1,$D114,$E114,TRUE)-_xlfn.NORM.DIST(BA$2,$D114,$E114,TRUE))</f>
        <v/>
      </c>
      <c r="BB114">
        <f>IF(NOT(ISNUMBER($D114)),"",_xlfn.NORM.DIST(BB$1,$D114,$E114,TRUE)-_xlfn.NORM.DIST(BB$2,$D114,$E114,TRUE))</f>
        <v/>
      </c>
      <c r="BC114">
        <f>IF(NOT(ISNUMBER($D114)),"",_xlfn.NORM.DIST(BC$1,$D114,$E114,TRUE)-_xlfn.NORM.DIST(BC$2,$D114,$E114,TRUE))</f>
        <v/>
      </c>
      <c r="BD114">
        <f>IF(NOT(ISNUMBER($D114)),"",_xlfn.NORM.DIST(BD$1,$D114,$E114,TRUE)-_xlfn.NORM.DIST(BD$2,$D114,$E114,TRUE))</f>
        <v/>
      </c>
      <c r="BE114">
        <f>IF(NOT(ISNUMBER($D114)),"",_xlfn.NORM.DIST(BE$1,$D114,$E114,TRUE)-_xlfn.NORM.DIST(BE$2,$D114,$E114,TRUE))</f>
        <v/>
      </c>
      <c r="BF114">
        <f>IF(NOT(ISNUMBER($D114)),"",_xlfn.NORM.DIST(BF$1,$D114,$E114,TRUE)-_xlfn.NORM.DIST(BF$2,$D114,$E114,TRUE))</f>
        <v/>
      </c>
      <c r="BG114">
        <f>IF(NOT(ISNUMBER($D114)),"",_xlfn.NORM.DIST(BG$1,$D114,$E114,TRUE)-_xlfn.NORM.DIST(BG$2,$D114,$E114,TRUE))</f>
        <v/>
      </c>
      <c r="BH114">
        <f>IF(NOT(ISNUMBER($D114)),"",_xlfn.NORM.DIST(BH$1,$D114,$E114,TRUE)-_xlfn.NORM.DIST(BH$2,$D114,$E114,TRUE))</f>
        <v/>
      </c>
      <c r="BI114">
        <f>IF(NOT(ISNUMBER($D114)),"",_xlfn.NORM.DIST(BI$1,$D114,$E114,TRUE)-_xlfn.NORM.DIST(BI$2,$D114,$E114,TRUE))</f>
        <v/>
      </c>
      <c r="BJ114">
        <f>IF(NOT(ISNUMBER($D114)),"",_xlfn.NORM.DIST(BJ$1,$D114,$E114,TRUE)-_xlfn.NORM.DIST(BJ$2,$D114,$E114,TRUE))</f>
        <v/>
      </c>
      <c r="BK114">
        <f>IF(NOT(ISNUMBER($D114)),"",_xlfn.NORM.DIST(BK$1,$D114,$E114,TRUE)-_xlfn.NORM.DIST(BK$2,$D114,$E114,TRUE))</f>
        <v/>
      </c>
      <c r="BL114">
        <f>IF(NOT(ISNUMBER($D114)),"",_xlfn.NORM.DIST(BL$1,$D114,$E114,TRUE)-_xlfn.NORM.DIST(BL$2,$D114,$E114,TRUE))</f>
        <v/>
      </c>
      <c r="BM114">
        <f>IF(NOT(ISNUMBER($D114)),"",_xlfn.NORM.DIST(BM$1,$D114,$E114,TRUE)-_xlfn.NORM.DIST(BM$2,$D114,$E114,TRUE))</f>
        <v/>
      </c>
      <c r="BN114">
        <f>IF(NOT(ISNUMBER($D114)),"",_xlfn.NORM.DIST(BN$1,$D114,$E114,TRUE)-_xlfn.NORM.DIST(BN$2,$D114,$E114,TRUE))</f>
        <v/>
      </c>
      <c r="BO114">
        <f>IF(NOT(ISNUMBER($D114)),"",_xlfn.NORM.DIST(BO$1,$D114,$E114,TRUE)-_xlfn.NORM.DIST(BO$2,$D114,$E114,TRUE))</f>
        <v/>
      </c>
      <c r="BP114">
        <f>IF(NOT(ISNUMBER($D114)),"",_xlfn.NORM.DIST(BP$1,$D114,$E114,TRUE)-_xlfn.NORM.DIST(BP$2,$D114,$E114,TRUE))</f>
        <v/>
      </c>
      <c r="BQ114">
        <f>IF(NOT(ISNUMBER($D114)),"",_xlfn.NORM.DIST(BQ$1,$D114,$E114,TRUE)-_xlfn.NORM.DIST(BQ$2,$D114,$E114,TRUE))</f>
        <v/>
      </c>
      <c r="BR114">
        <f>IF(NOT(ISNUMBER($D114)),"",_xlfn.NORM.DIST(BR$1,$D114,$E114,TRUE)-_xlfn.NORM.DIST(BR$2,$D114,$E114,TRUE))</f>
        <v/>
      </c>
      <c r="BS114">
        <f>IF(NOT(ISNUMBER($D114)),"",_xlfn.NORM.DIST(BS$1,$D114,$E114,TRUE)-_xlfn.NORM.DIST(BS$2,$D114,$E114,TRUE))</f>
        <v/>
      </c>
      <c r="BT114">
        <f>IF(NOT(ISNUMBER($D114)),"",_xlfn.NORM.DIST(BT$1,$D114,$E114,TRUE)-_xlfn.NORM.DIST(BT$2,$D114,$E114,TRUE))</f>
        <v/>
      </c>
      <c r="BU114">
        <f>IF(NOT(ISNUMBER($D114)),"",_xlfn.NORM.DIST(BU$1,$D114,$E114,TRUE)-_xlfn.NORM.DIST(BU$2,$D114,$E114,TRUE))</f>
        <v/>
      </c>
      <c r="BV114">
        <f>IF(NOT(ISNUMBER($D114)),"",_xlfn.NORM.DIST(BV$1,$D114,$E114,TRUE)-_xlfn.NORM.DIST(BV$2,$D114,$E114,TRUE))</f>
        <v/>
      </c>
      <c r="BW114">
        <f>IF(NOT(ISNUMBER($D114)),"",_xlfn.NORM.DIST(BW$1,$D114,$E114,TRUE)-_xlfn.NORM.DIST(BW$2,$D114,$E114,TRUE))</f>
        <v/>
      </c>
      <c r="BX114">
        <f>IF(NOT(ISNUMBER($D114)),"",_xlfn.NORM.DIST(BX$1,$D114,$E114,TRUE)-_xlfn.NORM.DIST(BX$2,$D114,$E114,TRUE))</f>
        <v/>
      </c>
      <c r="BY114">
        <f>IF(NOT(ISNUMBER($D114)),"",_xlfn.NORM.DIST(BY$1,$D114,$E114,TRUE)-_xlfn.NORM.DIST(BY$2,$D114,$E114,TRUE))</f>
        <v/>
      </c>
      <c r="BZ114">
        <f>IF(NOT(ISNUMBER($D114)),"",_xlfn.NORM.DIST(BZ$1,$D114,$E114,TRUE)-_xlfn.NORM.DIST(BZ$2,$D114,$E114,TRUE))</f>
        <v/>
      </c>
      <c r="CA114">
        <f>IF(NOT(ISNUMBER($D114)),"",_xlfn.NORM.DIST(CA$1,$D114,$E114,TRUE)-_xlfn.NORM.DIST(CA$2,$D114,$E114,TRUE))</f>
        <v/>
      </c>
      <c r="CB114">
        <f>IF(NOT(ISNUMBER($D114)),"",_xlfn.NORM.DIST(CB$1,$D114,$E114,TRUE)-_xlfn.NORM.DIST(CB$2,$D114,$E114,TRUE))</f>
        <v/>
      </c>
      <c r="CC114">
        <f>IF(NOT(ISNUMBER($D114)),"",_xlfn.NORM.DIST(CC$1,$D114,$E114,TRUE)-_xlfn.NORM.DIST(CC$2,$D114,$E114,TRUE))</f>
        <v/>
      </c>
      <c r="CD114">
        <f>IF(NOT(ISNUMBER($D114)),"",_xlfn.NORM.DIST(CD$1,$D114,$E114,TRUE)-_xlfn.NORM.DIST(CD$2,$D114,$E114,TRUE))</f>
        <v/>
      </c>
      <c r="CE114">
        <f>IF(NOT(ISNUMBER($D114)),"",_xlfn.NORM.DIST(CE$1,$D114,$E114,TRUE)-_xlfn.NORM.DIST(CE$2,$D114,$E114,TRUE))</f>
        <v/>
      </c>
      <c r="CF114">
        <f>IF(NOT(ISNUMBER($D114)),"",_xlfn.NORM.DIST(CF$1,$D114,$E114,TRUE)-_xlfn.NORM.DIST(CF$2,$D114,$E114,TRUE))</f>
        <v/>
      </c>
      <c r="CG114">
        <f>IF(NOT(ISNUMBER($D114)),"",_xlfn.NORM.DIST(CG$1,$D114,$E114,TRUE)-_xlfn.NORM.DIST(CG$2,$D114,$E114,TRUE))</f>
        <v/>
      </c>
      <c r="CH114">
        <f>IF(NOT(ISNUMBER($D114)),"",_xlfn.NORM.DIST(CH$1,$D114,$E114,TRUE)-_xlfn.NORM.DIST(CH$2,$D114,$E114,TRUE))</f>
        <v/>
      </c>
      <c r="CI114">
        <f>IF(NOT(ISNUMBER($D114)),"",_xlfn.NORM.DIST(CI$1,$D114,$E114,TRUE)-_xlfn.NORM.DIST(CI$2,$D114,$E114,TRUE))</f>
        <v/>
      </c>
      <c r="CJ114">
        <f>IF(ISNUMBER($D114),SUM(F114:CI114),"")</f>
        <v/>
      </c>
    </row>
    <row r="115">
      <c r="A115">
        <f>economics!A114</f>
        <v/>
      </c>
      <c r="B115">
        <f>economics!B114</f>
        <v/>
      </c>
      <c r="C115">
        <f>economics!D114</f>
        <v/>
      </c>
      <c r="D115">
        <f>IF(ISNUMBER(economics!T114),economics!T114,"na")</f>
        <v/>
      </c>
      <c r="E115">
        <f>IF(ISNUMBER(D115),MAX(0.3*ABS(D115),0.000001),"na")</f>
        <v/>
      </c>
      <c r="F115">
        <f>IF(NOT(ISNUMBER($D115)),"",_xlfn.NORM.DIST(F$1,$D115,$E115,TRUE)-_xlfn.NORM.DIST(F$2,$D115,$E115,TRUE))</f>
        <v/>
      </c>
      <c r="G115">
        <f>IF(NOT(ISNUMBER($D115)),"",_xlfn.NORM.DIST(G$1,$D115,$E115,TRUE)-_xlfn.NORM.DIST(G$2,$D115,$E115,TRUE))</f>
        <v/>
      </c>
      <c r="H115">
        <f>IF(NOT(ISNUMBER($D115)),"",_xlfn.NORM.DIST(H$1,$D115,$E115,TRUE)-_xlfn.NORM.DIST(H$2,$D115,$E115,TRUE))</f>
        <v/>
      </c>
      <c r="I115">
        <f>IF(NOT(ISNUMBER($D115)),"",_xlfn.NORM.DIST(I$1,$D115,$E115,TRUE)-_xlfn.NORM.DIST(I$2,$D115,$E115,TRUE))</f>
        <v/>
      </c>
      <c r="J115">
        <f>IF(NOT(ISNUMBER($D115)),"",_xlfn.NORM.DIST(J$1,$D115,$E115,TRUE)-_xlfn.NORM.DIST(J$2,$D115,$E115,TRUE))</f>
        <v/>
      </c>
      <c r="K115">
        <f>IF(NOT(ISNUMBER($D115)),"",_xlfn.NORM.DIST(K$1,$D115,$E115,TRUE)-_xlfn.NORM.DIST(K$2,$D115,$E115,TRUE))</f>
        <v/>
      </c>
      <c r="L115">
        <f>IF(NOT(ISNUMBER($D115)),"",_xlfn.NORM.DIST(L$1,$D115,$E115,TRUE)-_xlfn.NORM.DIST(L$2,$D115,$E115,TRUE))</f>
        <v/>
      </c>
      <c r="M115">
        <f>IF(NOT(ISNUMBER($D115)),"",_xlfn.NORM.DIST(M$1,$D115,$E115,TRUE)-_xlfn.NORM.DIST(M$2,$D115,$E115,TRUE))</f>
        <v/>
      </c>
      <c r="N115">
        <f>IF(NOT(ISNUMBER($D115)),"",_xlfn.NORM.DIST(N$1,$D115,$E115,TRUE)-_xlfn.NORM.DIST(N$2,$D115,$E115,TRUE))</f>
        <v/>
      </c>
      <c r="O115">
        <f>IF(NOT(ISNUMBER($D115)),"",_xlfn.NORM.DIST(O$1,$D115,$E115,TRUE)-_xlfn.NORM.DIST(O$2,$D115,$E115,TRUE))</f>
        <v/>
      </c>
      <c r="P115">
        <f>IF(NOT(ISNUMBER($D115)),"",_xlfn.NORM.DIST(P$1,$D115,$E115,TRUE)-_xlfn.NORM.DIST(P$2,$D115,$E115,TRUE))</f>
        <v/>
      </c>
      <c r="Q115">
        <f>IF(NOT(ISNUMBER($D115)),"",_xlfn.NORM.DIST(Q$1,$D115,$E115,TRUE)-_xlfn.NORM.DIST(Q$2,$D115,$E115,TRUE))</f>
        <v/>
      </c>
      <c r="R115">
        <f>IF(NOT(ISNUMBER($D115)),"",_xlfn.NORM.DIST(R$1,$D115,$E115,TRUE)-_xlfn.NORM.DIST(R$2,$D115,$E115,TRUE))</f>
        <v/>
      </c>
      <c r="S115">
        <f>IF(NOT(ISNUMBER($D115)),"",_xlfn.NORM.DIST(S$1,$D115,$E115,TRUE)-_xlfn.NORM.DIST(S$2,$D115,$E115,TRUE))</f>
        <v/>
      </c>
      <c r="T115">
        <f>IF(NOT(ISNUMBER($D115)),"",_xlfn.NORM.DIST(T$1,$D115,$E115,TRUE)-_xlfn.NORM.DIST(T$2,$D115,$E115,TRUE))</f>
        <v/>
      </c>
      <c r="U115">
        <f>IF(NOT(ISNUMBER($D115)),"",_xlfn.NORM.DIST(U$1,$D115,$E115,TRUE)-_xlfn.NORM.DIST(U$2,$D115,$E115,TRUE))</f>
        <v/>
      </c>
      <c r="V115">
        <f>IF(NOT(ISNUMBER($D115)),"",_xlfn.NORM.DIST(V$1,$D115,$E115,TRUE)-_xlfn.NORM.DIST(V$2,$D115,$E115,TRUE))</f>
        <v/>
      </c>
      <c r="W115">
        <f>IF(NOT(ISNUMBER($D115)),"",_xlfn.NORM.DIST(W$1,$D115,$E115,TRUE)-_xlfn.NORM.DIST(W$2,$D115,$E115,TRUE))</f>
        <v/>
      </c>
      <c r="X115">
        <f>IF(NOT(ISNUMBER($D115)),"",_xlfn.NORM.DIST(X$1,$D115,$E115,TRUE)-_xlfn.NORM.DIST(X$2,$D115,$E115,TRUE))</f>
        <v/>
      </c>
      <c r="Y115">
        <f>IF(NOT(ISNUMBER($D115)),"",_xlfn.NORM.DIST(Y$1,$D115,$E115,TRUE)-_xlfn.NORM.DIST(Y$2,$D115,$E115,TRUE))</f>
        <v/>
      </c>
      <c r="Z115">
        <f>IF(NOT(ISNUMBER($D115)),"",_xlfn.NORM.DIST(Z$1,$D115,$E115,TRUE)-_xlfn.NORM.DIST(Z$2,$D115,$E115,TRUE))</f>
        <v/>
      </c>
      <c r="AA115">
        <f>IF(NOT(ISNUMBER($D115)),"",_xlfn.NORM.DIST(AA$1,$D115,$E115,TRUE)-_xlfn.NORM.DIST(AA$2,$D115,$E115,TRUE))</f>
        <v/>
      </c>
      <c r="AB115">
        <f>IF(NOT(ISNUMBER($D115)),"",_xlfn.NORM.DIST(AB$1,$D115,$E115,TRUE)-_xlfn.NORM.DIST(AB$2,$D115,$E115,TRUE))</f>
        <v/>
      </c>
      <c r="AC115">
        <f>IF(NOT(ISNUMBER($D115)),"",_xlfn.NORM.DIST(AC$1,$D115,$E115,TRUE)-_xlfn.NORM.DIST(AC$2,$D115,$E115,TRUE))</f>
        <v/>
      </c>
      <c r="AD115">
        <f>IF(NOT(ISNUMBER($D115)),"",_xlfn.NORM.DIST(AD$1,$D115,$E115,TRUE)-_xlfn.NORM.DIST(AD$2,$D115,$E115,TRUE))</f>
        <v/>
      </c>
      <c r="AE115">
        <f>IF(NOT(ISNUMBER($D115)),"",_xlfn.NORM.DIST(AE$1,$D115,$E115,TRUE)-_xlfn.NORM.DIST(AE$2,$D115,$E115,TRUE))</f>
        <v/>
      </c>
      <c r="AF115">
        <f>IF(NOT(ISNUMBER($D115)),"",_xlfn.NORM.DIST(AF$1,$D115,$E115,TRUE)-_xlfn.NORM.DIST(AF$2,$D115,$E115,TRUE))</f>
        <v/>
      </c>
      <c r="AG115">
        <f>IF(NOT(ISNUMBER($D115)),"",_xlfn.NORM.DIST(AG$1,$D115,$E115,TRUE)-_xlfn.NORM.DIST(AG$2,$D115,$E115,TRUE))</f>
        <v/>
      </c>
      <c r="AH115">
        <f>IF(NOT(ISNUMBER($D115)),"",_xlfn.NORM.DIST(AH$1,$D115,$E115,TRUE)-_xlfn.NORM.DIST(AH$2,$D115,$E115,TRUE))</f>
        <v/>
      </c>
      <c r="AI115">
        <f>IF(NOT(ISNUMBER($D115)),"",_xlfn.NORM.DIST(AI$1,$D115,$E115,TRUE)-_xlfn.NORM.DIST(AI$2,$D115,$E115,TRUE))</f>
        <v/>
      </c>
      <c r="AJ115">
        <f>IF(NOT(ISNUMBER($D115)),"",_xlfn.NORM.DIST(AJ$1,$D115,$E115,TRUE)-_xlfn.NORM.DIST(AJ$2,$D115,$E115,TRUE))</f>
        <v/>
      </c>
      <c r="AK115">
        <f>IF(NOT(ISNUMBER($D115)),"",_xlfn.NORM.DIST(AK$1,$D115,$E115,TRUE)-_xlfn.NORM.DIST(AK$2,$D115,$E115,TRUE))</f>
        <v/>
      </c>
      <c r="AL115">
        <f>IF(NOT(ISNUMBER($D115)),"",_xlfn.NORM.DIST(AL$1,$D115,$E115,TRUE)-_xlfn.NORM.DIST(AL$2,$D115,$E115,TRUE))</f>
        <v/>
      </c>
      <c r="AM115">
        <f>IF(NOT(ISNUMBER($D115)),"",_xlfn.NORM.DIST(AM$1,$D115,$E115,TRUE)-_xlfn.NORM.DIST(AM$2,$D115,$E115,TRUE))</f>
        <v/>
      </c>
      <c r="AN115">
        <f>IF(NOT(ISNUMBER($D115)),"",_xlfn.NORM.DIST(AN$1,$D115,$E115,TRUE)-_xlfn.NORM.DIST(AN$2,$D115,$E115,TRUE))</f>
        <v/>
      </c>
      <c r="AO115">
        <f>IF(NOT(ISNUMBER($D115)),"",_xlfn.NORM.DIST(AO$1,$D115,$E115,TRUE)-_xlfn.NORM.DIST(AO$2,$D115,$E115,TRUE))</f>
        <v/>
      </c>
      <c r="AP115">
        <f>IF(NOT(ISNUMBER($D115)),"",_xlfn.NORM.DIST(AP$1,$D115,$E115,TRUE)-_xlfn.NORM.DIST(AP$2,$D115,$E115,TRUE))</f>
        <v/>
      </c>
      <c r="AQ115">
        <f>IF(NOT(ISNUMBER($D115)),"",_xlfn.NORM.DIST(AQ$1,$D115,$E115,TRUE)-_xlfn.NORM.DIST(AQ$2,$D115,$E115,TRUE))</f>
        <v/>
      </c>
      <c r="AR115">
        <f>IF(NOT(ISNUMBER($D115)),"",_xlfn.NORM.DIST(AR$1,$D115,$E115,TRUE)-_xlfn.NORM.DIST(AR$2,$D115,$E115,TRUE))</f>
        <v/>
      </c>
      <c r="AS115">
        <f>IF(NOT(ISNUMBER($D115)),"",_xlfn.NORM.DIST(AS$1,$D115,$E115,TRUE)-_xlfn.NORM.DIST(AS$2,$D115,$E115,TRUE))</f>
        <v/>
      </c>
      <c r="AT115">
        <f>IF(NOT(ISNUMBER($D115)),"",_xlfn.NORM.DIST(AT$1,$D115,$E115,TRUE)-_xlfn.NORM.DIST(AT$2,$D115,$E115,TRUE))</f>
        <v/>
      </c>
      <c r="AU115">
        <f>IF(NOT(ISNUMBER($D115)),"",_xlfn.NORM.DIST(AU$1,$D115,$E115,TRUE)-_xlfn.NORM.DIST(AU$2,$D115,$E115,TRUE))</f>
        <v/>
      </c>
      <c r="AV115">
        <f>IF(NOT(ISNUMBER($D115)),"",_xlfn.NORM.DIST(AV$1,$D115,$E115,TRUE)-_xlfn.NORM.DIST(AV$2,$D115,$E115,TRUE))</f>
        <v/>
      </c>
      <c r="AW115">
        <f>IF(NOT(ISNUMBER($D115)),"",_xlfn.NORM.DIST(AW$1,$D115,$E115,TRUE)-_xlfn.NORM.DIST(AW$2,$D115,$E115,TRUE))</f>
        <v/>
      </c>
      <c r="AX115">
        <f>IF(NOT(ISNUMBER($D115)),"",_xlfn.NORM.DIST(AX$1,$D115,$E115,TRUE)-_xlfn.NORM.DIST(AX$2,$D115,$E115,TRUE))</f>
        <v/>
      </c>
      <c r="AY115">
        <f>IF(NOT(ISNUMBER($D115)),"",_xlfn.NORM.DIST(AY$1,$D115,$E115,TRUE)-_xlfn.NORM.DIST(AY$2,$D115,$E115,TRUE))</f>
        <v/>
      </c>
      <c r="AZ115">
        <f>IF(NOT(ISNUMBER($D115)),"",_xlfn.NORM.DIST(AZ$1,$D115,$E115,TRUE)-_xlfn.NORM.DIST(AZ$2,$D115,$E115,TRUE))</f>
        <v/>
      </c>
      <c r="BA115">
        <f>IF(NOT(ISNUMBER($D115)),"",_xlfn.NORM.DIST(BA$1,$D115,$E115,TRUE)-_xlfn.NORM.DIST(BA$2,$D115,$E115,TRUE))</f>
        <v/>
      </c>
      <c r="BB115">
        <f>IF(NOT(ISNUMBER($D115)),"",_xlfn.NORM.DIST(BB$1,$D115,$E115,TRUE)-_xlfn.NORM.DIST(BB$2,$D115,$E115,TRUE))</f>
        <v/>
      </c>
      <c r="BC115">
        <f>IF(NOT(ISNUMBER($D115)),"",_xlfn.NORM.DIST(BC$1,$D115,$E115,TRUE)-_xlfn.NORM.DIST(BC$2,$D115,$E115,TRUE))</f>
        <v/>
      </c>
      <c r="BD115">
        <f>IF(NOT(ISNUMBER($D115)),"",_xlfn.NORM.DIST(BD$1,$D115,$E115,TRUE)-_xlfn.NORM.DIST(BD$2,$D115,$E115,TRUE))</f>
        <v/>
      </c>
      <c r="BE115">
        <f>IF(NOT(ISNUMBER($D115)),"",_xlfn.NORM.DIST(BE$1,$D115,$E115,TRUE)-_xlfn.NORM.DIST(BE$2,$D115,$E115,TRUE))</f>
        <v/>
      </c>
      <c r="BF115">
        <f>IF(NOT(ISNUMBER($D115)),"",_xlfn.NORM.DIST(BF$1,$D115,$E115,TRUE)-_xlfn.NORM.DIST(BF$2,$D115,$E115,TRUE))</f>
        <v/>
      </c>
      <c r="BG115">
        <f>IF(NOT(ISNUMBER($D115)),"",_xlfn.NORM.DIST(BG$1,$D115,$E115,TRUE)-_xlfn.NORM.DIST(BG$2,$D115,$E115,TRUE))</f>
        <v/>
      </c>
      <c r="BH115">
        <f>IF(NOT(ISNUMBER($D115)),"",_xlfn.NORM.DIST(BH$1,$D115,$E115,TRUE)-_xlfn.NORM.DIST(BH$2,$D115,$E115,TRUE))</f>
        <v/>
      </c>
      <c r="BI115">
        <f>IF(NOT(ISNUMBER($D115)),"",_xlfn.NORM.DIST(BI$1,$D115,$E115,TRUE)-_xlfn.NORM.DIST(BI$2,$D115,$E115,TRUE))</f>
        <v/>
      </c>
      <c r="BJ115">
        <f>IF(NOT(ISNUMBER($D115)),"",_xlfn.NORM.DIST(BJ$1,$D115,$E115,TRUE)-_xlfn.NORM.DIST(BJ$2,$D115,$E115,TRUE))</f>
        <v/>
      </c>
      <c r="BK115">
        <f>IF(NOT(ISNUMBER($D115)),"",_xlfn.NORM.DIST(BK$1,$D115,$E115,TRUE)-_xlfn.NORM.DIST(BK$2,$D115,$E115,TRUE))</f>
        <v/>
      </c>
      <c r="BL115">
        <f>IF(NOT(ISNUMBER($D115)),"",_xlfn.NORM.DIST(BL$1,$D115,$E115,TRUE)-_xlfn.NORM.DIST(BL$2,$D115,$E115,TRUE))</f>
        <v/>
      </c>
      <c r="BM115">
        <f>IF(NOT(ISNUMBER($D115)),"",_xlfn.NORM.DIST(BM$1,$D115,$E115,TRUE)-_xlfn.NORM.DIST(BM$2,$D115,$E115,TRUE))</f>
        <v/>
      </c>
      <c r="BN115">
        <f>IF(NOT(ISNUMBER($D115)),"",_xlfn.NORM.DIST(BN$1,$D115,$E115,TRUE)-_xlfn.NORM.DIST(BN$2,$D115,$E115,TRUE))</f>
        <v/>
      </c>
      <c r="BO115">
        <f>IF(NOT(ISNUMBER($D115)),"",_xlfn.NORM.DIST(BO$1,$D115,$E115,TRUE)-_xlfn.NORM.DIST(BO$2,$D115,$E115,TRUE))</f>
        <v/>
      </c>
      <c r="BP115">
        <f>IF(NOT(ISNUMBER($D115)),"",_xlfn.NORM.DIST(BP$1,$D115,$E115,TRUE)-_xlfn.NORM.DIST(BP$2,$D115,$E115,TRUE))</f>
        <v/>
      </c>
      <c r="BQ115">
        <f>IF(NOT(ISNUMBER($D115)),"",_xlfn.NORM.DIST(BQ$1,$D115,$E115,TRUE)-_xlfn.NORM.DIST(BQ$2,$D115,$E115,TRUE))</f>
        <v/>
      </c>
      <c r="BR115">
        <f>IF(NOT(ISNUMBER($D115)),"",_xlfn.NORM.DIST(BR$1,$D115,$E115,TRUE)-_xlfn.NORM.DIST(BR$2,$D115,$E115,TRUE))</f>
        <v/>
      </c>
      <c r="BS115">
        <f>IF(NOT(ISNUMBER($D115)),"",_xlfn.NORM.DIST(BS$1,$D115,$E115,TRUE)-_xlfn.NORM.DIST(BS$2,$D115,$E115,TRUE))</f>
        <v/>
      </c>
      <c r="BT115">
        <f>IF(NOT(ISNUMBER($D115)),"",_xlfn.NORM.DIST(BT$1,$D115,$E115,TRUE)-_xlfn.NORM.DIST(BT$2,$D115,$E115,TRUE))</f>
        <v/>
      </c>
      <c r="BU115">
        <f>IF(NOT(ISNUMBER($D115)),"",_xlfn.NORM.DIST(BU$1,$D115,$E115,TRUE)-_xlfn.NORM.DIST(BU$2,$D115,$E115,TRUE))</f>
        <v/>
      </c>
      <c r="BV115">
        <f>IF(NOT(ISNUMBER($D115)),"",_xlfn.NORM.DIST(BV$1,$D115,$E115,TRUE)-_xlfn.NORM.DIST(BV$2,$D115,$E115,TRUE))</f>
        <v/>
      </c>
      <c r="BW115">
        <f>IF(NOT(ISNUMBER($D115)),"",_xlfn.NORM.DIST(BW$1,$D115,$E115,TRUE)-_xlfn.NORM.DIST(BW$2,$D115,$E115,TRUE))</f>
        <v/>
      </c>
      <c r="BX115">
        <f>IF(NOT(ISNUMBER($D115)),"",_xlfn.NORM.DIST(BX$1,$D115,$E115,TRUE)-_xlfn.NORM.DIST(BX$2,$D115,$E115,TRUE))</f>
        <v/>
      </c>
      <c r="BY115">
        <f>IF(NOT(ISNUMBER($D115)),"",_xlfn.NORM.DIST(BY$1,$D115,$E115,TRUE)-_xlfn.NORM.DIST(BY$2,$D115,$E115,TRUE))</f>
        <v/>
      </c>
      <c r="BZ115">
        <f>IF(NOT(ISNUMBER($D115)),"",_xlfn.NORM.DIST(BZ$1,$D115,$E115,TRUE)-_xlfn.NORM.DIST(BZ$2,$D115,$E115,TRUE))</f>
        <v/>
      </c>
      <c r="CA115">
        <f>IF(NOT(ISNUMBER($D115)),"",_xlfn.NORM.DIST(CA$1,$D115,$E115,TRUE)-_xlfn.NORM.DIST(CA$2,$D115,$E115,TRUE))</f>
        <v/>
      </c>
      <c r="CB115">
        <f>IF(NOT(ISNUMBER($D115)),"",_xlfn.NORM.DIST(CB$1,$D115,$E115,TRUE)-_xlfn.NORM.DIST(CB$2,$D115,$E115,TRUE))</f>
        <v/>
      </c>
      <c r="CC115">
        <f>IF(NOT(ISNUMBER($D115)),"",_xlfn.NORM.DIST(CC$1,$D115,$E115,TRUE)-_xlfn.NORM.DIST(CC$2,$D115,$E115,TRUE))</f>
        <v/>
      </c>
      <c r="CD115">
        <f>IF(NOT(ISNUMBER($D115)),"",_xlfn.NORM.DIST(CD$1,$D115,$E115,TRUE)-_xlfn.NORM.DIST(CD$2,$D115,$E115,TRUE))</f>
        <v/>
      </c>
      <c r="CE115">
        <f>IF(NOT(ISNUMBER($D115)),"",_xlfn.NORM.DIST(CE$1,$D115,$E115,TRUE)-_xlfn.NORM.DIST(CE$2,$D115,$E115,TRUE))</f>
        <v/>
      </c>
      <c r="CF115">
        <f>IF(NOT(ISNUMBER($D115)),"",_xlfn.NORM.DIST(CF$1,$D115,$E115,TRUE)-_xlfn.NORM.DIST(CF$2,$D115,$E115,TRUE))</f>
        <v/>
      </c>
      <c r="CG115">
        <f>IF(NOT(ISNUMBER($D115)),"",_xlfn.NORM.DIST(CG$1,$D115,$E115,TRUE)-_xlfn.NORM.DIST(CG$2,$D115,$E115,TRUE))</f>
        <v/>
      </c>
      <c r="CH115">
        <f>IF(NOT(ISNUMBER($D115)),"",_xlfn.NORM.DIST(CH$1,$D115,$E115,TRUE)-_xlfn.NORM.DIST(CH$2,$D115,$E115,TRUE))</f>
        <v/>
      </c>
      <c r="CI115">
        <f>IF(NOT(ISNUMBER($D115)),"",_xlfn.NORM.DIST(CI$1,$D115,$E115,TRUE)-_xlfn.NORM.DIST(CI$2,$D115,$E115,TRUE))</f>
        <v/>
      </c>
      <c r="CJ115">
        <f>IF(ISNUMBER($D115),SUM(F115:CI115),"")</f>
        <v/>
      </c>
    </row>
    <row r="116">
      <c r="A116">
        <f>economics!A115</f>
        <v/>
      </c>
      <c r="B116">
        <f>economics!B115</f>
        <v/>
      </c>
      <c r="C116">
        <f>economics!D115</f>
        <v/>
      </c>
      <c r="D116">
        <f>IF(ISNUMBER(economics!T115),economics!T115,"na")</f>
        <v/>
      </c>
      <c r="E116">
        <f>IF(ISNUMBER(D116),MAX(0.3*ABS(D116),0.000001),"na")</f>
        <v/>
      </c>
      <c r="F116">
        <f>IF(NOT(ISNUMBER($D116)),"",_xlfn.NORM.DIST(F$1,$D116,$E116,TRUE)-_xlfn.NORM.DIST(F$2,$D116,$E116,TRUE))</f>
        <v/>
      </c>
      <c r="G116">
        <f>IF(NOT(ISNUMBER($D116)),"",_xlfn.NORM.DIST(G$1,$D116,$E116,TRUE)-_xlfn.NORM.DIST(G$2,$D116,$E116,TRUE))</f>
        <v/>
      </c>
      <c r="H116">
        <f>IF(NOT(ISNUMBER($D116)),"",_xlfn.NORM.DIST(H$1,$D116,$E116,TRUE)-_xlfn.NORM.DIST(H$2,$D116,$E116,TRUE))</f>
        <v/>
      </c>
      <c r="I116">
        <f>IF(NOT(ISNUMBER($D116)),"",_xlfn.NORM.DIST(I$1,$D116,$E116,TRUE)-_xlfn.NORM.DIST(I$2,$D116,$E116,TRUE))</f>
        <v/>
      </c>
      <c r="J116">
        <f>IF(NOT(ISNUMBER($D116)),"",_xlfn.NORM.DIST(J$1,$D116,$E116,TRUE)-_xlfn.NORM.DIST(J$2,$D116,$E116,TRUE))</f>
        <v/>
      </c>
      <c r="K116">
        <f>IF(NOT(ISNUMBER($D116)),"",_xlfn.NORM.DIST(K$1,$D116,$E116,TRUE)-_xlfn.NORM.DIST(K$2,$D116,$E116,TRUE))</f>
        <v/>
      </c>
      <c r="L116">
        <f>IF(NOT(ISNUMBER($D116)),"",_xlfn.NORM.DIST(L$1,$D116,$E116,TRUE)-_xlfn.NORM.DIST(L$2,$D116,$E116,TRUE))</f>
        <v/>
      </c>
      <c r="M116">
        <f>IF(NOT(ISNUMBER($D116)),"",_xlfn.NORM.DIST(M$1,$D116,$E116,TRUE)-_xlfn.NORM.DIST(M$2,$D116,$E116,TRUE))</f>
        <v/>
      </c>
      <c r="N116">
        <f>IF(NOT(ISNUMBER($D116)),"",_xlfn.NORM.DIST(N$1,$D116,$E116,TRUE)-_xlfn.NORM.DIST(N$2,$D116,$E116,TRUE))</f>
        <v/>
      </c>
      <c r="O116">
        <f>IF(NOT(ISNUMBER($D116)),"",_xlfn.NORM.DIST(O$1,$D116,$E116,TRUE)-_xlfn.NORM.DIST(O$2,$D116,$E116,TRUE))</f>
        <v/>
      </c>
      <c r="P116">
        <f>IF(NOT(ISNUMBER($D116)),"",_xlfn.NORM.DIST(P$1,$D116,$E116,TRUE)-_xlfn.NORM.DIST(P$2,$D116,$E116,TRUE))</f>
        <v/>
      </c>
      <c r="Q116">
        <f>IF(NOT(ISNUMBER($D116)),"",_xlfn.NORM.DIST(Q$1,$D116,$E116,TRUE)-_xlfn.NORM.DIST(Q$2,$D116,$E116,TRUE))</f>
        <v/>
      </c>
      <c r="R116">
        <f>IF(NOT(ISNUMBER($D116)),"",_xlfn.NORM.DIST(R$1,$D116,$E116,TRUE)-_xlfn.NORM.DIST(R$2,$D116,$E116,TRUE))</f>
        <v/>
      </c>
      <c r="S116">
        <f>IF(NOT(ISNUMBER($D116)),"",_xlfn.NORM.DIST(S$1,$D116,$E116,TRUE)-_xlfn.NORM.DIST(S$2,$D116,$E116,TRUE))</f>
        <v/>
      </c>
      <c r="T116">
        <f>IF(NOT(ISNUMBER($D116)),"",_xlfn.NORM.DIST(T$1,$D116,$E116,TRUE)-_xlfn.NORM.DIST(T$2,$D116,$E116,TRUE))</f>
        <v/>
      </c>
      <c r="U116">
        <f>IF(NOT(ISNUMBER($D116)),"",_xlfn.NORM.DIST(U$1,$D116,$E116,TRUE)-_xlfn.NORM.DIST(U$2,$D116,$E116,TRUE))</f>
        <v/>
      </c>
      <c r="V116">
        <f>IF(NOT(ISNUMBER($D116)),"",_xlfn.NORM.DIST(V$1,$D116,$E116,TRUE)-_xlfn.NORM.DIST(V$2,$D116,$E116,TRUE))</f>
        <v/>
      </c>
      <c r="W116">
        <f>IF(NOT(ISNUMBER($D116)),"",_xlfn.NORM.DIST(W$1,$D116,$E116,TRUE)-_xlfn.NORM.DIST(W$2,$D116,$E116,TRUE))</f>
        <v/>
      </c>
      <c r="X116">
        <f>IF(NOT(ISNUMBER($D116)),"",_xlfn.NORM.DIST(X$1,$D116,$E116,TRUE)-_xlfn.NORM.DIST(X$2,$D116,$E116,TRUE))</f>
        <v/>
      </c>
      <c r="Y116">
        <f>IF(NOT(ISNUMBER($D116)),"",_xlfn.NORM.DIST(Y$1,$D116,$E116,TRUE)-_xlfn.NORM.DIST(Y$2,$D116,$E116,TRUE))</f>
        <v/>
      </c>
      <c r="Z116">
        <f>IF(NOT(ISNUMBER($D116)),"",_xlfn.NORM.DIST(Z$1,$D116,$E116,TRUE)-_xlfn.NORM.DIST(Z$2,$D116,$E116,TRUE))</f>
        <v/>
      </c>
      <c r="AA116">
        <f>IF(NOT(ISNUMBER($D116)),"",_xlfn.NORM.DIST(AA$1,$D116,$E116,TRUE)-_xlfn.NORM.DIST(AA$2,$D116,$E116,TRUE))</f>
        <v/>
      </c>
      <c r="AB116">
        <f>IF(NOT(ISNUMBER($D116)),"",_xlfn.NORM.DIST(AB$1,$D116,$E116,TRUE)-_xlfn.NORM.DIST(AB$2,$D116,$E116,TRUE))</f>
        <v/>
      </c>
      <c r="AC116">
        <f>IF(NOT(ISNUMBER($D116)),"",_xlfn.NORM.DIST(AC$1,$D116,$E116,TRUE)-_xlfn.NORM.DIST(AC$2,$D116,$E116,TRUE))</f>
        <v/>
      </c>
      <c r="AD116">
        <f>IF(NOT(ISNUMBER($D116)),"",_xlfn.NORM.DIST(AD$1,$D116,$E116,TRUE)-_xlfn.NORM.DIST(AD$2,$D116,$E116,TRUE))</f>
        <v/>
      </c>
      <c r="AE116">
        <f>IF(NOT(ISNUMBER($D116)),"",_xlfn.NORM.DIST(AE$1,$D116,$E116,TRUE)-_xlfn.NORM.DIST(AE$2,$D116,$E116,TRUE))</f>
        <v/>
      </c>
      <c r="AF116">
        <f>IF(NOT(ISNUMBER($D116)),"",_xlfn.NORM.DIST(AF$1,$D116,$E116,TRUE)-_xlfn.NORM.DIST(AF$2,$D116,$E116,TRUE))</f>
        <v/>
      </c>
      <c r="AG116">
        <f>IF(NOT(ISNUMBER($D116)),"",_xlfn.NORM.DIST(AG$1,$D116,$E116,TRUE)-_xlfn.NORM.DIST(AG$2,$D116,$E116,TRUE))</f>
        <v/>
      </c>
      <c r="AH116">
        <f>IF(NOT(ISNUMBER($D116)),"",_xlfn.NORM.DIST(AH$1,$D116,$E116,TRUE)-_xlfn.NORM.DIST(AH$2,$D116,$E116,TRUE))</f>
        <v/>
      </c>
      <c r="AI116">
        <f>IF(NOT(ISNUMBER($D116)),"",_xlfn.NORM.DIST(AI$1,$D116,$E116,TRUE)-_xlfn.NORM.DIST(AI$2,$D116,$E116,TRUE))</f>
        <v/>
      </c>
      <c r="AJ116">
        <f>IF(NOT(ISNUMBER($D116)),"",_xlfn.NORM.DIST(AJ$1,$D116,$E116,TRUE)-_xlfn.NORM.DIST(AJ$2,$D116,$E116,TRUE))</f>
        <v/>
      </c>
      <c r="AK116">
        <f>IF(NOT(ISNUMBER($D116)),"",_xlfn.NORM.DIST(AK$1,$D116,$E116,TRUE)-_xlfn.NORM.DIST(AK$2,$D116,$E116,TRUE))</f>
        <v/>
      </c>
      <c r="AL116">
        <f>IF(NOT(ISNUMBER($D116)),"",_xlfn.NORM.DIST(AL$1,$D116,$E116,TRUE)-_xlfn.NORM.DIST(AL$2,$D116,$E116,TRUE))</f>
        <v/>
      </c>
      <c r="AM116">
        <f>IF(NOT(ISNUMBER($D116)),"",_xlfn.NORM.DIST(AM$1,$D116,$E116,TRUE)-_xlfn.NORM.DIST(AM$2,$D116,$E116,TRUE))</f>
        <v/>
      </c>
      <c r="AN116">
        <f>IF(NOT(ISNUMBER($D116)),"",_xlfn.NORM.DIST(AN$1,$D116,$E116,TRUE)-_xlfn.NORM.DIST(AN$2,$D116,$E116,TRUE))</f>
        <v/>
      </c>
      <c r="AO116">
        <f>IF(NOT(ISNUMBER($D116)),"",_xlfn.NORM.DIST(AO$1,$D116,$E116,TRUE)-_xlfn.NORM.DIST(AO$2,$D116,$E116,TRUE))</f>
        <v/>
      </c>
      <c r="AP116">
        <f>IF(NOT(ISNUMBER($D116)),"",_xlfn.NORM.DIST(AP$1,$D116,$E116,TRUE)-_xlfn.NORM.DIST(AP$2,$D116,$E116,TRUE))</f>
        <v/>
      </c>
      <c r="AQ116">
        <f>IF(NOT(ISNUMBER($D116)),"",_xlfn.NORM.DIST(AQ$1,$D116,$E116,TRUE)-_xlfn.NORM.DIST(AQ$2,$D116,$E116,TRUE))</f>
        <v/>
      </c>
      <c r="AR116">
        <f>IF(NOT(ISNUMBER($D116)),"",_xlfn.NORM.DIST(AR$1,$D116,$E116,TRUE)-_xlfn.NORM.DIST(AR$2,$D116,$E116,TRUE))</f>
        <v/>
      </c>
      <c r="AS116">
        <f>IF(NOT(ISNUMBER($D116)),"",_xlfn.NORM.DIST(AS$1,$D116,$E116,TRUE)-_xlfn.NORM.DIST(AS$2,$D116,$E116,TRUE))</f>
        <v/>
      </c>
      <c r="AT116">
        <f>IF(NOT(ISNUMBER($D116)),"",_xlfn.NORM.DIST(AT$1,$D116,$E116,TRUE)-_xlfn.NORM.DIST(AT$2,$D116,$E116,TRUE))</f>
        <v/>
      </c>
      <c r="AU116">
        <f>IF(NOT(ISNUMBER($D116)),"",_xlfn.NORM.DIST(AU$1,$D116,$E116,TRUE)-_xlfn.NORM.DIST(AU$2,$D116,$E116,TRUE))</f>
        <v/>
      </c>
      <c r="AV116">
        <f>IF(NOT(ISNUMBER($D116)),"",_xlfn.NORM.DIST(AV$1,$D116,$E116,TRUE)-_xlfn.NORM.DIST(AV$2,$D116,$E116,TRUE))</f>
        <v/>
      </c>
      <c r="AW116">
        <f>IF(NOT(ISNUMBER($D116)),"",_xlfn.NORM.DIST(AW$1,$D116,$E116,TRUE)-_xlfn.NORM.DIST(AW$2,$D116,$E116,TRUE))</f>
        <v/>
      </c>
      <c r="AX116">
        <f>IF(NOT(ISNUMBER($D116)),"",_xlfn.NORM.DIST(AX$1,$D116,$E116,TRUE)-_xlfn.NORM.DIST(AX$2,$D116,$E116,TRUE))</f>
        <v/>
      </c>
      <c r="AY116">
        <f>IF(NOT(ISNUMBER($D116)),"",_xlfn.NORM.DIST(AY$1,$D116,$E116,TRUE)-_xlfn.NORM.DIST(AY$2,$D116,$E116,TRUE))</f>
        <v/>
      </c>
      <c r="AZ116">
        <f>IF(NOT(ISNUMBER($D116)),"",_xlfn.NORM.DIST(AZ$1,$D116,$E116,TRUE)-_xlfn.NORM.DIST(AZ$2,$D116,$E116,TRUE))</f>
        <v/>
      </c>
      <c r="BA116">
        <f>IF(NOT(ISNUMBER($D116)),"",_xlfn.NORM.DIST(BA$1,$D116,$E116,TRUE)-_xlfn.NORM.DIST(BA$2,$D116,$E116,TRUE))</f>
        <v/>
      </c>
      <c r="BB116">
        <f>IF(NOT(ISNUMBER($D116)),"",_xlfn.NORM.DIST(BB$1,$D116,$E116,TRUE)-_xlfn.NORM.DIST(BB$2,$D116,$E116,TRUE))</f>
        <v/>
      </c>
      <c r="BC116">
        <f>IF(NOT(ISNUMBER($D116)),"",_xlfn.NORM.DIST(BC$1,$D116,$E116,TRUE)-_xlfn.NORM.DIST(BC$2,$D116,$E116,TRUE))</f>
        <v/>
      </c>
      <c r="BD116">
        <f>IF(NOT(ISNUMBER($D116)),"",_xlfn.NORM.DIST(BD$1,$D116,$E116,TRUE)-_xlfn.NORM.DIST(BD$2,$D116,$E116,TRUE))</f>
        <v/>
      </c>
      <c r="BE116">
        <f>IF(NOT(ISNUMBER($D116)),"",_xlfn.NORM.DIST(BE$1,$D116,$E116,TRUE)-_xlfn.NORM.DIST(BE$2,$D116,$E116,TRUE))</f>
        <v/>
      </c>
      <c r="BF116">
        <f>IF(NOT(ISNUMBER($D116)),"",_xlfn.NORM.DIST(BF$1,$D116,$E116,TRUE)-_xlfn.NORM.DIST(BF$2,$D116,$E116,TRUE))</f>
        <v/>
      </c>
      <c r="BG116">
        <f>IF(NOT(ISNUMBER($D116)),"",_xlfn.NORM.DIST(BG$1,$D116,$E116,TRUE)-_xlfn.NORM.DIST(BG$2,$D116,$E116,TRUE))</f>
        <v/>
      </c>
      <c r="BH116">
        <f>IF(NOT(ISNUMBER($D116)),"",_xlfn.NORM.DIST(BH$1,$D116,$E116,TRUE)-_xlfn.NORM.DIST(BH$2,$D116,$E116,TRUE))</f>
        <v/>
      </c>
      <c r="BI116">
        <f>IF(NOT(ISNUMBER($D116)),"",_xlfn.NORM.DIST(BI$1,$D116,$E116,TRUE)-_xlfn.NORM.DIST(BI$2,$D116,$E116,TRUE))</f>
        <v/>
      </c>
      <c r="BJ116">
        <f>IF(NOT(ISNUMBER($D116)),"",_xlfn.NORM.DIST(BJ$1,$D116,$E116,TRUE)-_xlfn.NORM.DIST(BJ$2,$D116,$E116,TRUE))</f>
        <v/>
      </c>
      <c r="BK116">
        <f>IF(NOT(ISNUMBER($D116)),"",_xlfn.NORM.DIST(BK$1,$D116,$E116,TRUE)-_xlfn.NORM.DIST(BK$2,$D116,$E116,TRUE))</f>
        <v/>
      </c>
      <c r="BL116">
        <f>IF(NOT(ISNUMBER($D116)),"",_xlfn.NORM.DIST(BL$1,$D116,$E116,TRUE)-_xlfn.NORM.DIST(BL$2,$D116,$E116,TRUE))</f>
        <v/>
      </c>
      <c r="BM116">
        <f>IF(NOT(ISNUMBER($D116)),"",_xlfn.NORM.DIST(BM$1,$D116,$E116,TRUE)-_xlfn.NORM.DIST(BM$2,$D116,$E116,TRUE))</f>
        <v/>
      </c>
      <c r="BN116">
        <f>IF(NOT(ISNUMBER($D116)),"",_xlfn.NORM.DIST(BN$1,$D116,$E116,TRUE)-_xlfn.NORM.DIST(BN$2,$D116,$E116,TRUE))</f>
        <v/>
      </c>
      <c r="BO116">
        <f>IF(NOT(ISNUMBER($D116)),"",_xlfn.NORM.DIST(BO$1,$D116,$E116,TRUE)-_xlfn.NORM.DIST(BO$2,$D116,$E116,TRUE))</f>
        <v/>
      </c>
      <c r="BP116">
        <f>IF(NOT(ISNUMBER($D116)),"",_xlfn.NORM.DIST(BP$1,$D116,$E116,TRUE)-_xlfn.NORM.DIST(BP$2,$D116,$E116,TRUE))</f>
        <v/>
      </c>
      <c r="BQ116">
        <f>IF(NOT(ISNUMBER($D116)),"",_xlfn.NORM.DIST(BQ$1,$D116,$E116,TRUE)-_xlfn.NORM.DIST(BQ$2,$D116,$E116,TRUE))</f>
        <v/>
      </c>
      <c r="BR116">
        <f>IF(NOT(ISNUMBER($D116)),"",_xlfn.NORM.DIST(BR$1,$D116,$E116,TRUE)-_xlfn.NORM.DIST(BR$2,$D116,$E116,TRUE))</f>
        <v/>
      </c>
      <c r="BS116">
        <f>IF(NOT(ISNUMBER($D116)),"",_xlfn.NORM.DIST(BS$1,$D116,$E116,TRUE)-_xlfn.NORM.DIST(BS$2,$D116,$E116,TRUE))</f>
        <v/>
      </c>
      <c r="BT116">
        <f>IF(NOT(ISNUMBER($D116)),"",_xlfn.NORM.DIST(BT$1,$D116,$E116,TRUE)-_xlfn.NORM.DIST(BT$2,$D116,$E116,TRUE))</f>
        <v/>
      </c>
      <c r="BU116">
        <f>IF(NOT(ISNUMBER($D116)),"",_xlfn.NORM.DIST(BU$1,$D116,$E116,TRUE)-_xlfn.NORM.DIST(BU$2,$D116,$E116,TRUE))</f>
        <v/>
      </c>
      <c r="BV116">
        <f>IF(NOT(ISNUMBER($D116)),"",_xlfn.NORM.DIST(BV$1,$D116,$E116,TRUE)-_xlfn.NORM.DIST(BV$2,$D116,$E116,TRUE))</f>
        <v/>
      </c>
      <c r="BW116">
        <f>IF(NOT(ISNUMBER($D116)),"",_xlfn.NORM.DIST(BW$1,$D116,$E116,TRUE)-_xlfn.NORM.DIST(BW$2,$D116,$E116,TRUE))</f>
        <v/>
      </c>
      <c r="BX116">
        <f>IF(NOT(ISNUMBER($D116)),"",_xlfn.NORM.DIST(BX$1,$D116,$E116,TRUE)-_xlfn.NORM.DIST(BX$2,$D116,$E116,TRUE))</f>
        <v/>
      </c>
      <c r="BY116">
        <f>IF(NOT(ISNUMBER($D116)),"",_xlfn.NORM.DIST(BY$1,$D116,$E116,TRUE)-_xlfn.NORM.DIST(BY$2,$D116,$E116,TRUE))</f>
        <v/>
      </c>
      <c r="BZ116">
        <f>IF(NOT(ISNUMBER($D116)),"",_xlfn.NORM.DIST(BZ$1,$D116,$E116,TRUE)-_xlfn.NORM.DIST(BZ$2,$D116,$E116,TRUE))</f>
        <v/>
      </c>
      <c r="CA116">
        <f>IF(NOT(ISNUMBER($D116)),"",_xlfn.NORM.DIST(CA$1,$D116,$E116,TRUE)-_xlfn.NORM.DIST(CA$2,$D116,$E116,TRUE))</f>
        <v/>
      </c>
      <c r="CB116">
        <f>IF(NOT(ISNUMBER($D116)),"",_xlfn.NORM.DIST(CB$1,$D116,$E116,TRUE)-_xlfn.NORM.DIST(CB$2,$D116,$E116,TRUE))</f>
        <v/>
      </c>
      <c r="CC116">
        <f>IF(NOT(ISNUMBER($D116)),"",_xlfn.NORM.DIST(CC$1,$D116,$E116,TRUE)-_xlfn.NORM.DIST(CC$2,$D116,$E116,TRUE))</f>
        <v/>
      </c>
      <c r="CD116">
        <f>IF(NOT(ISNUMBER($D116)),"",_xlfn.NORM.DIST(CD$1,$D116,$E116,TRUE)-_xlfn.NORM.DIST(CD$2,$D116,$E116,TRUE))</f>
        <v/>
      </c>
      <c r="CE116">
        <f>IF(NOT(ISNUMBER($D116)),"",_xlfn.NORM.DIST(CE$1,$D116,$E116,TRUE)-_xlfn.NORM.DIST(CE$2,$D116,$E116,TRUE))</f>
        <v/>
      </c>
      <c r="CF116">
        <f>IF(NOT(ISNUMBER($D116)),"",_xlfn.NORM.DIST(CF$1,$D116,$E116,TRUE)-_xlfn.NORM.DIST(CF$2,$D116,$E116,TRUE))</f>
        <v/>
      </c>
      <c r="CG116">
        <f>IF(NOT(ISNUMBER($D116)),"",_xlfn.NORM.DIST(CG$1,$D116,$E116,TRUE)-_xlfn.NORM.DIST(CG$2,$D116,$E116,TRUE))</f>
        <v/>
      </c>
      <c r="CH116">
        <f>IF(NOT(ISNUMBER($D116)),"",_xlfn.NORM.DIST(CH$1,$D116,$E116,TRUE)-_xlfn.NORM.DIST(CH$2,$D116,$E116,TRUE))</f>
        <v/>
      </c>
      <c r="CI116">
        <f>IF(NOT(ISNUMBER($D116)),"",_xlfn.NORM.DIST(CI$1,$D116,$E116,TRUE)-_xlfn.NORM.DIST(CI$2,$D116,$E116,TRUE))</f>
        <v/>
      </c>
      <c r="CJ116">
        <f>IF(ISNUMBER($D116),SUM(F116:CI116),"")</f>
        <v/>
      </c>
    </row>
    <row r="117">
      <c r="A117">
        <f>economics!A116</f>
        <v/>
      </c>
      <c r="B117">
        <f>economics!B116</f>
        <v/>
      </c>
      <c r="C117">
        <f>economics!D116</f>
        <v/>
      </c>
      <c r="D117">
        <f>IF(ISNUMBER(economics!T116),economics!T116,"na")</f>
        <v/>
      </c>
      <c r="E117">
        <f>IF(ISNUMBER(D117),MAX(0.3*ABS(D117),0.000001),"na")</f>
        <v/>
      </c>
      <c r="F117">
        <f>IF(NOT(ISNUMBER($D117)),"",_xlfn.NORM.DIST(F$1,$D117,$E117,TRUE)-_xlfn.NORM.DIST(F$2,$D117,$E117,TRUE))</f>
        <v/>
      </c>
      <c r="G117">
        <f>IF(NOT(ISNUMBER($D117)),"",_xlfn.NORM.DIST(G$1,$D117,$E117,TRUE)-_xlfn.NORM.DIST(G$2,$D117,$E117,TRUE))</f>
        <v/>
      </c>
      <c r="H117">
        <f>IF(NOT(ISNUMBER($D117)),"",_xlfn.NORM.DIST(H$1,$D117,$E117,TRUE)-_xlfn.NORM.DIST(H$2,$D117,$E117,TRUE))</f>
        <v/>
      </c>
      <c r="I117">
        <f>IF(NOT(ISNUMBER($D117)),"",_xlfn.NORM.DIST(I$1,$D117,$E117,TRUE)-_xlfn.NORM.DIST(I$2,$D117,$E117,TRUE))</f>
        <v/>
      </c>
      <c r="J117">
        <f>IF(NOT(ISNUMBER($D117)),"",_xlfn.NORM.DIST(J$1,$D117,$E117,TRUE)-_xlfn.NORM.DIST(J$2,$D117,$E117,TRUE))</f>
        <v/>
      </c>
      <c r="K117">
        <f>IF(NOT(ISNUMBER($D117)),"",_xlfn.NORM.DIST(K$1,$D117,$E117,TRUE)-_xlfn.NORM.DIST(K$2,$D117,$E117,TRUE))</f>
        <v/>
      </c>
      <c r="L117">
        <f>IF(NOT(ISNUMBER($D117)),"",_xlfn.NORM.DIST(L$1,$D117,$E117,TRUE)-_xlfn.NORM.DIST(L$2,$D117,$E117,TRUE))</f>
        <v/>
      </c>
      <c r="M117">
        <f>IF(NOT(ISNUMBER($D117)),"",_xlfn.NORM.DIST(M$1,$D117,$E117,TRUE)-_xlfn.NORM.DIST(M$2,$D117,$E117,TRUE))</f>
        <v/>
      </c>
      <c r="N117">
        <f>IF(NOT(ISNUMBER($D117)),"",_xlfn.NORM.DIST(N$1,$D117,$E117,TRUE)-_xlfn.NORM.DIST(N$2,$D117,$E117,TRUE))</f>
        <v/>
      </c>
      <c r="O117">
        <f>IF(NOT(ISNUMBER($D117)),"",_xlfn.NORM.DIST(O$1,$D117,$E117,TRUE)-_xlfn.NORM.DIST(O$2,$D117,$E117,TRUE))</f>
        <v/>
      </c>
      <c r="P117">
        <f>IF(NOT(ISNUMBER($D117)),"",_xlfn.NORM.DIST(P$1,$D117,$E117,TRUE)-_xlfn.NORM.DIST(P$2,$D117,$E117,TRUE))</f>
        <v/>
      </c>
      <c r="Q117">
        <f>IF(NOT(ISNUMBER($D117)),"",_xlfn.NORM.DIST(Q$1,$D117,$E117,TRUE)-_xlfn.NORM.DIST(Q$2,$D117,$E117,TRUE))</f>
        <v/>
      </c>
      <c r="R117">
        <f>IF(NOT(ISNUMBER($D117)),"",_xlfn.NORM.DIST(R$1,$D117,$E117,TRUE)-_xlfn.NORM.DIST(R$2,$D117,$E117,TRUE))</f>
        <v/>
      </c>
      <c r="S117">
        <f>IF(NOT(ISNUMBER($D117)),"",_xlfn.NORM.DIST(S$1,$D117,$E117,TRUE)-_xlfn.NORM.DIST(S$2,$D117,$E117,TRUE))</f>
        <v/>
      </c>
      <c r="T117">
        <f>IF(NOT(ISNUMBER($D117)),"",_xlfn.NORM.DIST(T$1,$D117,$E117,TRUE)-_xlfn.NORM.DIST(T$2,$D117,$E117,TRUE))</f>
        <v/>
      </c>
      <c r="U117">
        <f>IF(NOT(ISNUMBER($D117)),"",_xlfn.NORM.DIST(U$1,$D117,$E117,TRUE)-_xlfn.NORM.DIST(U$2,$D117,$E117,TRUE))</f>
        <v/>
      </c>
      <c r="V117">
        <f>IF(NOT(ISNUMBER($D117)),"",_xlfn.NORM.DIST(V$1,$D117,$E117,TRUE)-_xlfn.NORM.DIST(V$2,$D117,$E117,TRUE))</f>
        <v/>
      </c>
      <c r="W117">
        <f>IF(NOT(ISNUMBER($D117)),"",_xlfn.NORM.DIST(W$1,$D117,$E117,TRUE)-_xlfn.NORM.DIST(W$2,$D117,$E117,TRUE))</f>
        <v/>
      </c>
      <c r="X117">
        <f>IF(NOT(ISNUMBER($D117)),"",_xlfn.NORM.DIST(X$1,$D117,$E117,TRUE)-_xlfn.NORM.DIST(X$2,$D117,$E117,TRUE))</f>
        <v/>
      </c>
      <c r="Y117">
        <f>IF(NOT(ISNUMBER($D117)),"",_xlfn.NORM.DIST(Y$1,$D117,$E117,TRUE)-_xlfn.NORM.DIST(Y$2,$D117,$E117,TRUE))</f>
        <v/>
      </c>
      <c r="Z117">
        <f>IF(NOT(ISNUMBER($D117)),"",_xlfn.NORM.DIST(Z$1,$D117,$E117,TRUE)-_xlfn.NORM.DIST(Z$2,$D117,$E117,TRUE))</f>
        <v/>
      </c>
      <c r="AA117">
        <f>IF(NOT(ISNUMBER($D117)),"",_xlfn.NORM.DIST(AA$1,$D117,$E117,TRUE)-_xlfn.NORM.DIST(AA$2,$D117,$E117,TRUE))</f>
        <v/>
      </c>
      <c r="AB117">
        <f>IF(NOT(ISNUMBER($D117)),"",_xlfn.NORM.DIST(AB$1,$D117,$E117,TRUE)-_xlfn.NORM.DIST(AB$2,$D117,$E117,TRUE))</f>
        <v/>
      </c>
      <c r="AC117">
        <f>IF(NOT(ISNUMBER($D117)),"",_xlfn.NORM.DIST(AC$1,$D117,$E117,TRUE)-_xlfn.NORM.DIST(AC$2,$D117,$E117,TRUE))</f>
        <v/>
      </c>
      <c r="AD117">
        <f>IF(NOT(ISNUMBER($D117)),"",_xlfn.NORM.DIST(AD$1,$D117,$E117,TRUE)-_xlfn.NORM.DIST(AD$2,$D117,$E117,TRUE))</f>
        <v/>
      </c>
      <c r="AE117">
        <f>IF(NOT(ISNUMBER($D117)),"",_xlfn.NORM.DIST(AE$1,$D117,$E117,TRUE)-_xlfn.NORM.DIST(AE$2,$D117,$E117,TRUE))</f>
        <v/>
      </c>
      <c r="AF117">
        <f>IF(NOT(ISNUMBER($D117)),"",_xlfn.NORM.DIST(AF$1,$D117,$E117,TRUE)-_xlfn.NORM.DIST(AF$2,$D117,$E117,TRUE))</f>
        <v/>
      </c>
      <c r="AG117">
        <f>IF(NOT(ISNUMBER($D117)),"",_xlfn.NORM.DIST(AG$1,$D117,$E117,TRUE)-_xlfn.NORM.DIST(AG$2,$D117,$E117,TRUE))</f>
        <v/>
      </c>
      <c r="AH117">
        <f>IF(NOT(ISNUMBER($D117)),"",_xlfn.NORM.DIST(AH$1,$D117,$E117,TRUE)-_xlfn.NORM.DIST(AH$2,$D117,$E117,TRUE))</f>
        <v/>
      </c>
      <c r="AI117">
        <f>IF(NOT(ISNUMBER($D117)),"",_xlfn.NORM.DIST(AI$1,$D117,$E117,TRUE)-_xlfn.NORM.DIST(AI$2,$D117,$E117,TRUE))</f>
        <v/>
      </c>
      <c r="AJ117">
        <f>IF(NOT(ISNUMBER($D117)),"",_xlfn.NORM.DIST(AJ$1,$D117,$E117,TRUE)-_xlfn.NORM.DIST(AJ$2,$D117,$E117,TRUE))</f>
        <v/>
      </c>
      <c r="AK117">
        <f>IF(NOT(ISNUMBER($D117)),"",_xlfn.NORM.DIST(AK$1,$D117,$E117,TRUE)-_xlfn.NORM.DIST(AK$2,$D117,$E117,TRUE))</f>
        <v/>
      </c>
      <c r="AL117">
        <f>IF(NOT(ISNUMBER($D117)),"",_xlfn.NORM.DIST(AL$1,$D117,$E117,TRUE)-_xlfn.NORM.DIST(AL$2,$D117,$E117,TRUE))</f>
        <v/>
      </c>
      <c r="AM117">
        <f>IF(NOT(ISNUMBER($D117)),"",_xlfn.NORM.DIST(AM$1,$D117,$E117,TRUE)-_xlfn.NORM.DIST(AM$2,$D117,$E117,TRUE))</f>
        <v/>
      </c>
      <c r="AN117">
        <f>IF(NOT(ISNUMBER($D117)),"",_xlfn.NORM.DIST(AN$1,$D117,$E117,TRUE)-_xlfn.NORM.DIST(AN$2,$D117,$E117,TRUE))</f>
        <v/>
      </c>
      <c r="AO117">
        <f>IF(NOT(ISNUMBER($D117)),"",_xlfn.NORM.DIST(AO$1,$D117,$E117,TRUE)-_xlfn.NORM.DIST(AO$2,$D117,$E117,TRUE))</f>
        <v/>
      </c>
      <c r="AP117">
        <f>IF(NOT(ISNUMBER($D117)),"",_xlfn.NORM.DIST(AP$1,$D117,$E117,TRUE)-_xlfn.NORM.DIST(AP$2,$D117,$E117,TRUE))</f>
        <v/>
      </c>
      <c r="AQ117">
        <f>IF(NOT(ISNUMBER($D117)),"",_xlfn.NORM.DIST(AQ$1,$D117,$E117,TRUE)-_xlfn.NORM.DIST(AQ$2,$D117,$E117,TRUE))</f>
        <v/>
      </c>
      <c r="AR117">
        <f>IF(NOT(ISNUMBER($D117)),"",_xlfn.NORM.DIST(AR$1,$D117,$E117,TRUE)-_xlfn.NORM.DIST(AR$2,$D117,$E117,TRUE))</f>
        <v/>
      </c>
      <c r="AS117">
        <f>IF(NOT(ISNUMBER($D117)),"",_xlfn.NORM.DIST(AS$1,$D117,$E117,TRUE)-_xlfn.NORM.DIST(AS$2,$D117,$E117,TRUE))</f>
        <v/>
      </c>
      <c r="AT117">
        <f>IF(NOT(ISNUMBER($D117)),"",_xlfn.NORM.DIST(AT$1,$D117,$E117,TRUE)-_xlfn.NORM.DIST(AT$2,$D117,$E117,TRUE))</f>
        <v/>
      </c>
      <c r="AU117">
        <f>IF(NOT(ISNUMBER($D117)),"",_xlfn.NORM.DIST(AU$1,$D117,$E117,TRUE)-_xlfn.NORM.DIST(AU$2,$D117,$E117,TRUE))</f>
        <v/>
      </c>
      <c r="AV117">
        <f>IF(NOT(ISNUMBER($D117)),"",_xlfn.NORM.DIST(AV$1,$D117,$E117,TRUE)-_xlfn.NORM.DIST(AV$2,$D117,$E117,TRUE))</f>
        <v/>
      </c>
      <c r="AW117">
        <f>IF(NOT(ISNUMBER($D117)),"",_xlfn.NORM.DIST(AW$1,$D117,$E117,TRUE)-_xlfn.NORM.DIST(AW$2,$D117,$E117,TRUE))</f>
        <v/>
      </c>
      <c r="AX117">
        <f>IF(NOT(ISNUMBER($D117)),"",_xlfn.NORM.DIST(AX$1,$D117,$E117,TRUE)-_xlfn.NORM.DIST(AX$2,$D117,$E117,TRUE))</f>
        <v/>
      </c>
      <c r="AY117">
        <f>IF(NOT(ISNUMBER($D117)),"",_xlfn.NORM.DIST(AY$1,$D117,$E117,TRUE)-_xlfn.NORM.DIST(AY$2,$D117,$E117,TRUE))</f>
        <v/>
      </c>
      <c r="AZ117">
        <f>IF(NOT(ISNUMBER($D117)),"",_xlfn.NORM.DIST(AZ$1,$D117,$E117,TRUE)-_xlfn.NORM.DIST(AZ$2,$D117,$E117,TRUE))</f>
        <v/>
      </c>
      <c r="BA117">
        <f>IF(NOT(ISNUMBER($D117)),"",_xlfn.NORM.DIST(BA$1,$D117,$E117,TRUE)-_xlfn.NORM.DIST(BA$2,$D117,$E117,TRUE))</f>
        <v/>
      </c>
      <c r="BB117">
        <f>IF(NOT(ISNUMBER($D117)),"",_xlfn.NORM.DIST(BB$1,$D117,$E117,TRUE)-_xlfn.NORM.DIST(BB$2,$D117,$E117,TRUE))</f>
        <v/>
      </c>
      <c r="BC117">
        <f>IF(NOT(ISNUMBER($D117)),"",_xlfn.NORM.DIST(BC$1,$D117,$E117,TRUE)-_xlfn.NORM.DIST(BC$2,$D117,$E117,TRUE))</f>
        <v/>
      </c>
      <c r="BD117">
        <f>IF(NOT(ISNUMBER($D117)),"",_xlfn.NORM.DIST(BD$1,$D117,$E117,TRUE)-_xlfn.NORM.DIST(BD$2,$D117,$E117,TRUE))</f>
        <v/>
      </c>
      <c r="BE117">
        <f>IF(NOT(ISNUMBER($D117)),"",_xlfn.NORM.DIST(BE$1,$D117,$E117,TRUE)-_xlfn.NORM.DIST(BE$2,$D117,$E117,TRUE))</f>
        <v/>
      </c>
      <c r="BF117">
        <f>IF(NOT(ISNUMBER($D117)),"",_xlfn.NORM.DIST(BF$1,$D117,$E117,TRUE)-_xlfn.NORM.DIST(BF$2,$D117,$E117,TRUE))</f>
        <v/>
      </c>
      <c r="BG117">
        <f>IF(NOT(ISNUMBER($D117)),"",_xlfn.NORM.DIST(BG$1,$D117,$E117,TRUE)-_xlfn.NORM.DIST(BG$2,$D117,$E117,TRUE))</f>
        <v/>
      </c>
      <c r="BH117">
        <f>IF(NOT(ISNUMBER($D117)),"",_xlfn.NORM.DIST(BH$1,$D117,$E117,TRUE)-_xlfn.NORM.DIST(BH$2,$D117,$E117,TRUE))</f>
        <v/>
      </c>
      <c r="BI117">
        <f>IF(NOT(ISNUMBER($D117)),"",_xlfn.NORM.DIST(BI$1,$D117,$E117,TRUE)-_xlfn.NORM.DIST(BI$2,$D117,$E117,TRUE))</f>
        <v/>
      </c>
      <c r="BJ117">
        <f>IF(NOT(ISNUMBER($D117)),"",_xlfn.NORM.DIST(BJ$1,$D117,$E117,TRUE)-_xlfn.NORM.DIST(BJ$2,$D117,$E117,TRUE))</f>
        <v/>
      </c>
      <c r="BK117">
        <f>IF(NOT(ISNUMBER($D117)),"",_xlfn.NORM.DIST(BK$1,$D117,$E117,TRUE)-_xlfn.NORM.DIST(BK$2,$D117,$E117,TRUE))</f>
        <v/>
      </c>
      <c r="BL117">
        <f>IF(NOT(ISNUMBER($D117)),"",_xlfn.NORM.DIST(BL$1,$D117,$E117,TRUE)-_xlfn.NORM.DIST(BL$2,$D117,$E117,TRUE))</f>
        <v/>
      </c>
      <c r="BM117">
        <f>IF(NOT(ISNUMBER($D117)),"",_xlfn.NORM.DIST(BM$1,$D117,$E117,TRUE)-_xlfn.NORM.DIST(BM$2,$D117,$E117,TRUE))</f>
        <v/>
      </c>
      <c r="BN117">
        <f>IF(NOT(ISNUMBER($D117)),"",_xlfn.NORM.DIST(BN$1,$D117,$E117,TRUE)-_xlfn.NORM.DIST(BN$2,$D117,$E117,TRUE))</f>
        <v/>
      </c>
      <c r="BO117">
        <f>IF(NOT(ISNUMBER($D117)),"",_xlfn.NORM.DIST(BO$1,$D117,$E117,TRUE)-_xlfn.NORM.DIST(BO$2,$D117,$E117,TRUE))</f>
        <v/>
      </c>
      <c r="BP117">
        <f>IF(NOT(ISNUMBER($D117)),"",_xlfn.NORM.DIST(BP$1,$D117,$E117,TRUE)-_xlfn.NORM.DIST(BP$2,$D117,$E117,TRUE))</f>
        <v/>
      </c>
      <c r="BQ117">
        <f>IF(NOT(ISNUMBER($D117)),"",_xlfn.NORM.DIST(BQ$1,$D117,$E117,TRUE)-_xlfn.NORM.DIST(BQ$2,$D117,$E117,TRUE))</f>
        <v/>
      </c>
      <c r="BR117">
        <f>IF(NOT(ISNUMBER($D117)),"",_xlfn.NORM.DIST(BR$1,$D117,$E117,TRUE)-_xlfn.NORM.DIST(BR$2,$D117,$E117,TRUE))</f>
        <v/>
      </c>
      <c r="BS117">
        <f>IF(NOT(ISNUMBER($D117)),"",_xlfn.NORM.DIST(BS$1,$D117,$E117,TRUE)-_xlfn.NORM.DIST(BS$2,$D117,$E117,TRUE))</f>
        <v/>
      </c>
      <c r="BT117">
        <f>IF(NOT(ISNUMBER($D117)),"",_xlfn.NORM.DIST(BT$1,$D117,$E117,TRUE)-_xlfn.NORM.DIST(BT$2,$D117,$E117,TRUE))</f>
        <v/>
      </c>
      <c r="BU117">
        <f>IF(NOT(ISNUMBER($D117)),"",_xlfn.NORM.DIST(BU$1,$D117,$E117,TRUE)-_xlfn.NORM.DIST(BU$2,$D117,$E117,TRUE))</f>
        <v/>
      </c>
      <c r="BV117">
        <f>IF(NOT(ISNUMBER($D117)),"",_xlfn.NORM.DIST(BV$1,$D117,$E117,TRUE)-_xlfn.NORM.DIST(BV$2,$D117,$E117,TRUE))</f>
        <v/>
      </c>
      <c r="BW117">
        <f>IF(NOT(ISNUMBER($D117)),"",_xlfn.NORM.DIST(BW$1,$D117,$E117,TRUE)-_xlfn.NORM.DIST(BW$2,$D117,$E117,TRUE))</f>
        <v/>
      </c>
      <c r="BX117">
        <f>IF(NOT(ISNUMBER($D117)),"",_xlfn.NORM.DIST(BX$1,$D117,$E117,TRUE)-_xlfn.NORM.DIST(BX$2,$D117,$E117,TRUE))</f>
        <v/>
      </c>
      <c r="BY117">
        <f>IF(NOT(ISNUMBER($D117)),"",_xlfn.NORM.DIST(BY$1,$D117,$E117,TRUE)-_xlfn.NORM.DIST(BY$2,$D117,$E117,TRUE))</f>
        <v/>
      </c>
      <c r="BZ117">
        <f>IF(NOT(ISNUMBER($D117)),"",_xlfn.NORM.DIST(BZ$1,$D117,$E117,TRUE)-_xlfn.NORM.DIST(BZ$2,$D117,$E117,TRUE))</f>
        <v/>
      </c>
      <c r="CA117">
        <f>IF(NOT(ISNUMBER($D117)),"",_xlfn.NORM.DIST(CA$1,$D117,$E117,TRUE)-_xlfn.NORM.DIST(CA$2,$D117,$E117,TRUE))</f>
        <v/>
      </c>
      <c r="CB117">
        <f>IF(NOT(ISNUMBER($D117)),"",_xlfn.NORM.DIST(CB$1,$D117,$E117,TRUE)-_xlfn.NORM.DIST(CB$2,$D117,$E117,TRUE))</f>
        <v/>
      </c>
      <c r="CC117">
        <f>IF(NOT(ISNUMBER($D117)),"",_xlfn.NORM.DIST(CC$1,$D117,$E117,TRUE)-_xlfn.NORM.DIST(CC$2,$D117,$E117,TRUE))</f>
        <v/>
      </c>
      <c r="CD117">
        <f>IF(NOT(ISNUMBER($D117)),"",_xlfn.NORM.DIST(CD$1,$D117,$E117,TRUE)-_xlfn.NORM.DIST(CD$2,$D117,$E117,TRUE))</f>
        <v/>
      </c>
      <c r="CE117">
        <f>IF(NOT(ISNUMBER($D117)),"",_xlfn.NORM.DIST(CE$1,$D117,$E117,TRUE)-_xlfn.NORM.DIST(CE$2,$D117,$E117,TRUE))</f>
        <v/>
      </c>
      <c r="CF117">
        <f>IF(NOT(ISNUMBER($D117)),"",_xlfn.NORM.DIST(CF$1,$D117,$E117,TRUE)-_xlfn.NORM.DIST(CF$2,$D117,$E117,TRUE))</f>
        <v/>
      </c>
      <c r="CG117">
        <f>IF(NOT(ISNUMBER($D117)),"",_xlfn.NORM.DIST(CG$1,$D117,$E117,TRUE)-_xlfn.NORM.DIST(CG$2,$D117,$E117,TRUE))</f>
        <v/>
      </c>
      <c r="CH117">
        <f>IF(NOT(ISNUMBER($D117)),"",_xlfn.NORM.DIST(CH$1,$D117,$E117,TRUE)-_xlfn.NORM.DIST(CH$2,$D117,$E117,TRUE))</f>
        <v/>
      </c>
      <c r="CI117">
        <f>IF(NOT(ISNUMBER($D117)),"",_xlfn.NORM.DIST(CI$1,$D117,$E117,TRUE)-_xlfn.NORM.DIST(CI$2,$D117,$E117,TRUE))</f>
        <v/>
      </c>
      <c r="CJ117">
        <f>IF(ISNUMBER($D117),SUM(F117:CI117),"")</f>
        <v/>
      </c>
    </row>
    <row r="118">
      <c r="A118">
        <f>economics!A117</f>
        <v/>
      </c>
      <c r="B118">
        <f>economics!B117</f>
        <v/>
      </c>
      <c r="C118">
        <f>economics!D117</f>
        <v/>
      </c>
      <c r="D118">
        <f>IF(ISNUMBER(economics!T117),economics!T117,"na")</f>
        <v/>
      </c>
      <c r="E118">
        <f>IF(ISNUMBER(D118),MAX(0.3*ABS(D118),0.000001),"na")</f>
        <v/>
      </c>
      <c r="F118">
        <f>IF(NOT(ISNUMBER($D118)),"",_xlfn.NORM.DIST(F$1,$D118,$E118,TRUE)-_xlfn.NORM.DIST(F$2,$D118,$E118,TRUE))</f>
        <v/>
      </c>
      <c r="G118">
        <f>IF(NOT(ISNUMBER($D118)),"",_xlfn.NORM.DIST(G$1,$D118,$E118,TRUE)-_xlfn.NORM.DIST(G$2,$D118,$E118,TRUE))</f>
        <v/>
      </c>
      <c r="H118">
        <f>IF(NOT(ISNUMBER($D118)),"",_xlfn.NORM.DIST(H$1,$D118,$E118,TRUE)-_xlfn.NORM.DIST(H$2,$D118,$E118,TRUE))</f>
        <v/>
      </c>
      <c r="I118">
        <f>IF(NOT(ISNUMBER($D118)),"",_xlfn.NORM.DIST(I$1,$D118,$E118,TRUE)-_xlfn.NORM.DIST(I$2,$D118,$E118,TRUE))</f>
        <v/>
      </c>
      <c r="J118">
        <f>IF(NOT(ISNUMBER($D118)),"",_xlfn.NORM.DIST(J$1,$D118,$E118,TRUE)-_xlfn.NORM.DIST(J$2,$D118,$E118,TRUE))</f>
        <v/>
      </c>
      <c r="K118">
        <f>IF(NOT(ISNUMBER($D118)),"",_xlfn.NORM.DIST(K$1,$D118,$E118,TRUE)-_xlfn.NORM.DIST(K$2,$D118,$E118,TRUE))</f>
        <v/>
      </c>
      <c r="L118">
        <f>IF(NOT(ISNUMBER($D118)),"",_xlfn.NORM.DIST(L$1,$D118,$E118,TRUE)-_xlfn.NORM.DIST(L$2,$D118,$E118,TRUE))</f>
        <v/>
      </c>
      <c r="M118">
        <f>IF(NOT(ISNUMBER($D118)),"",_xlfn.NORM.DIST(M$1,$D118,$E118,TRUE)-_xlfn.NORM.DIST(M$2,$D118,$E118,TRUE))</f>
        <v/>
      </c>
      <c r="N118">
        <f>IF(NOT(ISNUMBER($D118)),"",_xlfn.NORM.DIST(N$1,$D118,$E118,TRUE)-_xlfn.NORM.DIST(N$2,$D118,$E118,TRUE))</f>
        <v/>
      </c>
      <c r="O118">
        <f>IF(NOT(ISNUMBER($D118)),"",_xlfn.NORM.DIST(O$1,$D118,$E118,TRUE)-_xlfn.NORM.DIST(O$2,$D118,$E118,TRUE))</f>
        <v/>
      </c>
      <c r="P118">
        <f>IF(NOT(ISNUMBER($D118)),"",_xlfn.NORM.DIST(P$1,$D118,$E118,TRUE)-_xlfn.NORM.DIST(P$2,$D118,$E118,TRUE))</f>
        <v/>
      </c>
      <c r="Q118">
        <f>IF(NOT(ISNUMBER($D118)),"",_xlfn.NORM.DIST(Q$1,$D118,$E118,TRUE)-_xlfn.NORM.DIST(Q$2,$D118,$E118,TRUE))</f>
        <v/>
      </c>
      <c r="R118">
        <f>IF(NOT(ISNUMBER($D118)),"",_xlfn.NORM.DIST(R$1,$D118,$E118,TRUE)-_xlfn.NORM.DIST(R$2,$D118,$E118,TRUE))</f>
        <v/>
      </c>
      <c r="S118">
        <f>IF(NOT(ISNUMBER($D118)),"",_xlfn.NORM.DIST(S$1,$D118,$E118,TRUE)-_xlfn.NORM.DIST(S$2,$D118,$E118,TRUE))</f>
        <v/>
      </c>
      <c r="T118">
        <f>IF(NOT(ISNUMBER($D118)),"",_xlfn.NORM.DIST(T$1,$D118,$E118,TRUE)-_xlfn.NORM.DIST(T$2,$D118,$E118,TRUE))</f>
        <v/>
      </c>
      <c r="U118">
        <f>IF(NOT(ISNUMBER($D118)),"",_xlfn.NORM.DIST(U$1,$D118,$E118,TRUE)-_xlfn.NORM.DIST(U$2,$D118,$E118,TRUE))</f>
        <v/>
      </c>
      <c r="V118">
        <f>IF(NOT(ISNUMBER($D118)),"",_xlfn.NORM.DIST(V$1,$D118,$E118,TRUE)-_xlfn.NORM.DIST(V$2,$D118,$E118,TRUE))</f>
        <v/>
      </c>
      <c r="W118">
        <f>IF(NOT(ISNUMBER($D118)),"",_xlfn.NORM.DIST(W$1,$D118,$E118,TRUE)-_xlfn.NORM.DIST(W$2,$D118,$E118,TRUE))</f>
        <v/>
      </c>
      <c r="X118">
        <f>IF(NOT(ISNUMBER($D118)),"",_xlfn.NORM.DIST(X$1,$D118,$E118,TRUE)-_xlfn.NORM.DIST(X$2,$D118,$E118,TRUE))</f>
        <v/>
      </c>
      <c r="Y118">
        <f>IF(NOT(ISNUMBER($D118)),"",_xlfn.NORM.DIST(Y$1,$D118,$E118,TRUE)-_xlfn.NORM.DIST(Y$2,$D118,$E118,TRUE))</f>
        <v/>
      </c>
      <c r="Z118">
        <f>IF(NOT(ISNUMBER($D118)),"",_xlfn.NORM.DIST(Z$1,$D118,$E118,TRUE)-_xlfn.NORM.DIST(Z$2,$D118,$E118,TRUE))</f>
        <v/>
      </c>
      <c r="AA118">
        <f>IF(NOT(ISNUMBER($D118)),"",_xlfn.NORM.DIST(AA$1,$D118,$E118,TRUE)-_xlfn.NORM.DIST(AA$2,$D118,$E118,TRUE))</f>
        <v/>
      </c>
      <c r="AB118">
        <f>IF(NOT(ISNUMBER($D118)),"",_xlfn.NORM.DIST(AB$1,$D118,$E118,TRUE)-_xlfn.NORM.DIST(AB$2,$D118,$E118,TRUE))</f>
        <v/>
      </c>
      <c r="AC118">
        <f>IF(NOT(ISNUMBER($D118)),"",_xlfn.NORM.DIST(AC$1,$D118,$E118,TRUE)-_xlfn.NORM.DIST(AC$2,$D118,$E118,TRUE))</f>
        <v/>
      </c>
      <c r="AD118">
        <f>IF(NOT(ISNUMBER($D118)),"",_xlfn.NORM.DIST(AD$1,$D118,$E118,TRUE)-_xlfn.NORM.DIST(AD$2,$D118,$E118,TRUE))</f>
        <v/>
      </c>
      <c r="AE118">
        <f>IF(NOT(ISNUMBER($D118)),"",_xlfn.NORM.DIST(AE$1,$D118,$E118,TRUE)-_xlfn.NORM.DIST(AE$2,$D118,$E118,TRUE))</f>
        <v/>
      </c>
      <c r="AF118">
        <f>IF(NOT(ISNUMBER($D118)),"",_xlfn.NORM.DIST(AF$1,$D118,$E118,TRUE)-_xlfn.NORM.DIST(AF$2,$D118,$E118,TRUE))</f>
        <v/>
      </c>
      <c r="AG118">
        <f>IF(NOT(ISNUMBER($D118)),"",_xlfn.NORM.DIST(AG$1,$D118,$E118,TRUE)-_xlfn.NORM.DIST(AG$2,$D118,$E118,TRUE))</f>
        <v/>
      </c>
      <c r="AH118">
        <f>IF(NOT(ISNUMBER($D118)),"",_xlfn.NORM.DIST(AH$1,$D118,$E118,TRUE)-_xlfn.NORM.DIST(AH$2,$D118,$E118,TRUE))</f>
        <v/>
      </c>
      <c r="AI118">
        <f>IF(NOT(ISNUMBER($D118)),"",_xlfn.NORM.DIST(AI$1,$D118,$E118,TRUE)-_xlfn.NORM.DIST(AI$2,$D118,$E118,TRUE))</f>
        <v/>
      </c>
      <c r="AJ118">
        <f>IF(NOT(ISNUMBER($D118)),"",_xlfn.NORM.DIST(AJ$1,$D118,$E118,TRUE)-_xlfn.NORM.DIST(AJ$2,$D118,$E118,TRUE))</f>
        <v/>
      </c>
      <c r="AK118">
        <f>IF(NOT(ISNUMBER($D118)),"",_xlfn.NORM.DIST(AK$1,$D118,$E118,TRUE)-_xlfn.NORM.DIST(AK$2,$D118,$E118,TRUE))</f>
        <v/>
      </c>
      <c r="AL118">
        <f>IF(NOT(ISNUMBER($D118)),"",_xlfn.NORM.DIST(AL$1,$D118,$E118,TRUE)-_xlfn.NORM.DIST(AL$2,$D118,$E118,TRUE))</f>
        <v/>
      </c>
      <c r="AM118">
        <f>IF(NOT(ISNUMBER($D118)),"",_xlfn.NORM.DIST(AM$1,$D118,$E118,TRUE)-_xlfn.NORM.DIST(AM$2,$D118,$E118,TRUE))</f>
        <v/>
      </c>
      <c r="AN118">
        <f>IF(NOT(ISNUMBER($D118)),"",_xlfn.NORM.DIST(AN$1,$D118,$E118,TRUE)-_xlfn.NORM.DIST(AN$2,$D118,$E118,TRUE))</f>
        <v/>
      </c>
      <c r="AO118">
        <f>IF(NOT(ISNUMBER($D118)),"",_xlfn.NORM.DIST(AO$1,$D118,$E118,TRUE)-_xlfn.NORM.DIST(AO$2,$D118,$E118,TRUE))</f>
        <v/>
      </c>
      <c r="AP118">
        <f>IF(NOT(ISNUMBER($D118)),"",_xlfn.NORM.DIST(AP$1,$D118,$E118,TRUE)-_xlfn.NORM.DIST(AP$2,$D118,$E118,TRUE))</f>
        <v/>
      </c>
      <c r="AQ118">
        <f>IF(NOT(ISNUMBER($D118)),"",_xlfn.NORM.DIST(AQ$1,$D118,$E118,TRUE)-_xlfn.NORM.DIST(AQ$2,$D118,$E118,TRUE))</f>
        <v/>
      </c>
      <c r="AR118">
        <f>IF(NOT(ISNUMBER($D118)),"",_xlfn.NORM.DIST(AR$1,$D118,$E118,TRUE)-_xlfn.NORM.DIST(AR$2,$D118,$E118,TRUE))</f>
        <v/>
      </c>
      <c r="AS118">
        <f>IF(NOT(ISNUMBER($D118)),"",_xlfn.NORM.DIST(AS$1,$D118,$E118,TRUE)-_xlfn.NORM.DIST(AS$2,$D118,$E118,TRUE))</f>
        <v/>
      </c>
      <c r="AT118">
        <f>IF(NOT(ISNUMBER($D118)),"",_xlfn.NORM.DIST(AT$1,$D118,$E118,TRUE)-_xlfn.NORM.DIST(AT$2,$D118,$E118,TRUE))</f>
        <v/>
      </c>
      <c r="AU118">
        <f>IF(NOT(ISNUMBER($D118)),"",_xlfn.NORM.DIST(AU$1,$D118,$E118,TRUE)-_xlfn.NORM.DIST(AU$2,$D118,$E118,TRUE))</f>
        <v/>
      </c>
      <c r="AV118">
        <f>IF(NOT(ISNUMBER($D118)),"",_xlfn.NORM.DIST(AV$1,$D118,$E118,TRUE)-_xlfn.NORM.DIST(AV$2,$D118,$E118,TRUE))</f>
        <v/>
      </c>
      <c r="AW118">
        <f>IF(NOT(ISNUMBER($D118)),"",_xlfn.NORM.DIST(AW$1,$D118,$E118,TRUE)-_xlfn.NORM.DIST(AW$2,$D118,$E118,TRUE))</f>
        <v/>
      </c>
      <c r="AX118">
        <f>IF(NOT(ISNUMBER($D118)),"",_xlfn.NORM.DIST(AX$1,$D118,$E118,TRUE)-_xlfn.NORM.DIST(AX$2,$D118,$E118,TRUE))</f>
        <v/>
      </c>
      <c r="AY118">
        <f>IF(NOT(ISNUMBER($D118)),"",_xlfn.NORM.DIST(AY$1,$D118,$E118,TRUE)-_xlfn.NORM.DIST(AY$2,$D118,$E118,TRUE))</f>
        <v/>
      </c>
      <c r="AZ118">
        <f>IF(NOT(ISNUMBER($D118)),"",_xlfn.NORM.DIST(AZ$1,$D118,$E118,TRUE)-_xlfn.NORM.DIST(AZ$2,$D118,$E118,TRUE))</f>
        <v/>
      </c>
      <c r="BA118">
        <f>IF(NOT(ISNUMBER($D118)),"",_xlfn.NORM.DIST(BA$1,$D118,$E118,TRUE)-_xlfn.NORM.DIST(BA$2,$D118,$E118,TRUE))</f>
        <v/>
      </c>
      <c r="BB118">
        <f>IF(NOT(ISNUMBER($D118)),"",_xlfn.NORM.DIST(BB$1,$D118,$E118,TRUE)-_xlfn.NORM.DIST(BB$2,$D118,$E118,TRUE))</f>
        <v/>
      </c>
      <c r="BC118">
        <f>IF(NOT(ISNUMBER($D118)),"",_xlfn.NORM.DIST(BC$1,$D118,$E118,TRUE)-_xlfn.NORM.DIST(BC$2,$D118,$E118,TRUE))</f>
        <v/>
      </c>
      <c r="BD118">
        <f>IF(NOT(ISNUMBER($D118)),"",_xlfn.NORM.DIST(BD$1,$D118,$E118,TRUE)-_xlfn.NORM.DIST(BD$2,$D118,$E118,TRUE))</f>
        <v/>
      </c>
      <c r="BE118">
        <f>IF(NOT(ISNUMBER($D118)),"",_xlfn.NORM.DIST(BE$1,$D118,$E118,TRUE)-_xlfn.NORM.DIST(BE$2,$D118,$E118,TRUE))</f>
        <v/>
      </c>
      <c r="BF118">
        <f>IF(NOT(ISNUMBER($D118)),"",_xlfn.NORM.DIST(BF$1,$D118,$E118,TRUE)-_xlfn.NORM.DIST(BF$2,$D118,$E118,TRUE))</f>
        <v/>
      </c>
      <c r="BG118">
        <f>IF(NOT(ISNUMBER($D118)),"",_xlfn.NORM.DIST(BG$1,$D118,$E118,TRUE)-_xlfn.NORM.DIST(BG$2,$D118,$E118,TRUE))</f>
        <v/>
      </c>
      <c r="BH118">
        <f>IF(NOT(ISNUMBER($D118)),"",_xlfn.NORM.DIST(BH$1,$D118,$E118,TRUE)-_xlfn.NORM.DIST(BH$2,$D118,$E118,TRUE))</f>
        <v/>
      </c>
      <c r="BI118">
        <f>IF(NOT(ISNUMBER($D118)),"",_xlfn.NORM.DIST(BI$1,$D118,$E118,TRUE)-_xlfn.NORM.DIST(BI$2,$D118,$E118,TRUE))</f>
        <v/>
      </c>
      <c r="BJ118">
        <f>IF(NOT(ISNUMBER($D118)),"",_xlfn.NORM.DIST(BJ$1,$D118,$E118,TRUE)-_xlfn.NORM.DIST(BJ$2,$D118,$E118,TRUE))</f>
        <v/>
      </c>
      <c r="BK118">
        <f>IF(NOT(ISNUMBER($D118)),"",_xlfn.NORM.DIST(BK$1,$D118,$E118,TRUE)-_xlfn.NORM.DIST(BK$2,$D118,$E118,TRUE))</f>
        <v/>
      </c>
      <c r="BL118">
        <f>IF(NOT(ISNUMBER($D118)),"",_xlfn.NORM.DIST(BL$1,$D118,$E118,TRUE)-_xlfn.NORM.DIST(BL$2,$D118,$E118,TRUE))</f>
        <v/>
      </c>
      <c r="BM118">
        <f>IF(NOT(ISNUMBER($D118)),"",_xlfn.NORM.DIST(BM$1,$D118,$E118,TRUE)-_xlfn.NORM.DIST(BM$2,$D118,$E118,TRUE))</f>
        <v/>
      </c>
      <c r="BN118">
        <f>IF(NOT(ISNUMBER($D118)),"",_xlfn.NORM.DIST(BN$1,$D118,$E118,TRUE)-_xlfn.NORM.DIST(BN$2,$D118,$E118,TRUE))</f>
        <v/>
      </c>
      <c r="BO118">
        <f>IF(NOT(ISNUMBER($D118)),"",_xlfn.NORM.DIST(BO$1,$D118,$E118,TRUE)-_xlfn.NORM.DIST(BO$2,$D118,$E118,TRUE))</f>
        <v/>
      </c>
      <c r="BP118">
        <f>IF(NOT(ISNUMBER($D118)),"",_xlfn.NORM.DIST(BP$1,$D118,$E118,TRUE)-_xlfn.NORM.DIST(BP$2,$D118,$E118,TRUE))</f>
        <v/>
      </c>
      <c r="BQ118">
        <f>IF(NOT(ISNUMBER($D118)),"",_xlfn.NORM.DIST(BQ$1,$D118,$E118,TRUE)-_xlfn.NORM.DIST(BQ$2,$D118,$E118,TRUE))</f>
        <v/>
      </c>
      <c r="BR118">
        <f>IF(NOT(ISNUMBER($D118)),"",_xlfn.NORM.DIST(BR$1,$D118,$E118,TRUE)-_xlfn.NORM.DIST(BR$2,$D118,$E118,TRUE))</f>
        <v/>
      </c>
      <c r="BS118">
        <f>IF(NOT(ISNUMBER($D118)),"",_xlfn.NORM.DIST(BS$1,$D118,$E118,TRUE)-_xlfn.NORM.DIST(BS$2,$D118,$E118,TRUE))</f>
        <v/>
      </c>
      <c r="BT118">
        <f>IF(NOT(ISNUMBER($D118)),"",_xlfn.NORM.DIST(BT$1,$D118,$E118,TRUE)-_xlfn.NORM.DIST(BT$2,$D118,$E118,TRUE))</f>
        <v/>
      </c>
      <c r="BU118">
        <f>IF(NOT(ISNUMBER($D118)),"",_xlfn.NORM.DIST(BU$1,$D118,$E118,TRUE)-_xlfn.NORM.DIST(BU$2,$D118,$E118,TRUE))</f>
        <v/>
      </c>
      <c r="BV118">
        <f>IF(NOT(ISNUMBER($D118)),"",_xlfn.NORM.DIST(BV$1,$D118,$E118,TRUE)-_xlfn.NORM.DIST(BV$2,$D118,$E118,TRUE))</f>
        <v/>
      </c>
      <c r="BW118">
        <f>IF(NOT(ISNUMBER($D118)),"",_xlfn.NORM.DIST(BW$1,$D118,$E118,TRUE)-_xlfn.NORM.DIST(BW$2,$D118,$E118,TRUE))</f>
        <v/>
      </c>
      <c r="BX118">
        <f>IF(NOT(ISNUMBER($D118)),"",_xlfn.NORM.DIST(BX$1,$D118,$E118,TRUE)-_xlfn.NORM.DIST(BX$2,$D118,$E118,TRUE))</f>
        <v/>
      </c>
      <c r="BY118">
        <f>IF(NOT(ISNUMBER($D118)),"",_xlfn.NORM.DIST(BY$1,$D118,$E118,TRUE)-_xlfn.NORM.DIST(BY$2,$D118,$E118,TRUE))</f>
        <v/>
      </c>
      <c r="BZ118">
        <f>IF(NOT(ISNUMBER($D118)),"",_xlfn.NORM.DIST(BZ$1,$D118,$E118,TRUE)-_xlfn.NORM.DIST(BZ$2,$D118,$E118,TRUE))</f>
        <v/>
      </c>
      <c r="CA118">
        <f>IF(NOT(ISNUMBER($D118)),"",_xlfn.NORM.DIST(CA$1,$D118,$E118,TRUE)-_xlfn.NORM.DIST(CA$2,$D118,$E118,TRUE))</f>
        <v/>
      </c>
      <c r="CB118">
        <f>IF(NOT(ISNUMBER($D118)),"",_xlfn.NORM.DIST(CB$1,$D118,$E118,TRUE)-_xlfn.NORM.DIST(CB$2,$D118,$E118,TRUE))</f>
        <v/>
      </c>
      <c r="CC118">
        <f>IF(NOT(ISNUMBER($D118)),"",_xlfn.NORM.DIST(CC$1,$D118,$E118,TRUE)-_xlfn.NORM.DIST(CC$2,$D118,$E118,TRUE))</f>
        <v/>
      </c>
      <c r="CD118">
        <f>IF(NOT(ISNUMBER($D118)),"",_xlfn.NORM.DIST(CD$1,$D118,$E118,TRUE)-_xlfn.NORM.DIST(CD$2,$D118,$E118,TRUE))</f>
        <v/>
      </c>
      <c r="CE118">
        <f>IF(NOT(ISNUMBER($D118)),"",_xlfn.NORM.DIST(CE$1,$D118,$E118,TRUE)-_xlfn.NORM.DIST(CE$2,$D118,$E118,TRUE))</f>
        <v/>
      </c>
      <c r="CF118">
        <f>IF(NOT(ISNUMBER($D118)),"",_xlfn.NORM.DIST(CF$1,$D118,$E118,TRUE)-_xlfn.NORM.DIST(CF$2,$D118,$E118,TRUE))</f>
        <v/>
      </c>
      <c r="CG118">
        <f>IF(NOT(ISNUMBER($D118)),"",_xlfn.NORM.DIST(CG$1,$D118,$E118,TRUE)-_xlfn.NORM.DIST(CG$2,$D118,$E118,TRUE))</f>
        <v/>
      </c>
      <c r="CH118">
        <f>IF(NOT(ISNUMBER($D118)),"",_xlfn.NORM.DIST(CH$1,$D118,$E118,TRUE)-_xlfn.NORM.DIST(CH$2,$D118,$E118,TRUE))</f>
        <v/>
      </c>
      <c r="CI118">
        <f>IF(NOT(ISNUMBER($D118)),"",_xlfn.NORM.DIST(CI$1,$D118,$E118,TRUE)-_xlfn.NORM.DIST(CI$2,$D118,$E118,TRUE))</f>
        <v/>
      </c>
      <c r="CJ118">
        <f>IF(ISNUMBER($D118),SUM(F118:CI118),"")</f>
        <v/>
      </c>
    </row>
    <row r="119">
      <c r="A119">
        <f>economics!A118</f>
        <v/>
      </c>
      <c r="B119">
        <f>economics!B118</f>
        <v/>
      </c>
      <c r="C119">
        <f>economics!D118</f>
        <v/>
      </c>
      <c r="D119">
        <f>IF(ISNUMBER(economics!T118),economics!T118,"na")</f>
        <v/>
      </c>
      <c r="E119">
        <f>IF(ISNUMBER(D119),MAX(0.3*ABS(D119),0.000001),"na")</f>
        <v/>
      </c>
      <c r="F119">
        <f>IF(NOT(ISNUMBER($D119)),"",_xlfn.NORM.DIST(F$1,$D119,$E119,TRUE)-_xlfn.NORM.DIST(F$2,$D119,$E119,TRUE))</f>
        <v/>
      </c>
      <c r="G119">
        <f>IF(NOT(ISNUMBER($D119)),"",_xlfn.NORM.DIST(G$1,$D119,$E119,TRUE)-_xlfn.NORM.DIST(G$2,$D119,$E119,TRUE))</f>
        <v/>
      </c>
      <c r="H119">
        <f>IF(NOT(ISNUMBER($D119)),"",_xlfn.NORM.DIST(H$1,$D119,$E119,TRUE)-_xlfn.NORM.DIST(H$2,$D119,$E119,TRUE))</f>
        <v/>
      </c>
      <c r="I119">
        <f>IF(NOT(ISNUMBER($D119)),"",_xlfn.NORM.DIST(I$1,$D119,$E119,TRUE)-_xlfn.NORM.DIST(I$2,$D119,$E119,TRUE))</f>
        <v/>
      </c>
      <c r="J119">
        <f>IF(NOT(ISNUMBER($D119)),"",_xlfn.NORM.DIST(J$1,$D119,$E119,TRUE)-_xlfn.NORM.DIST(J$2,$D119,$E119,TRUE))</f>
        <v/>
      </c>
      <c r="K119">
        <f>IF(NOT(ISNUMBER($D119)),"",_xlfn.NORM.DIST(K$1,$D119,$E119,TRUE)-_xlfn.NORM.DIST(K$2,$D119,$E119,TRUE))</f>
        <v/>
      </c>
      <c r="L119">
        <f>IF(NOT(ISNUMBER($D119)),"",_xlfn.NORM.DIST(L$1,$D119,$E119,TRUE)-_xlfn.NORM.DIST(L$2,$D119,$E119,TRUE))</f>
        <v/>
      </c>
      <c r="M119">
        <f>IF(NOT(ISNUMBER($D119)),"",_xlfn.NORM.DIST(M$1,$D119,$E119,TRUE)-_xlfn.NORM.DIST(M$2,$D119,$E119,TRUE))</f>
        <v/>
      </c>
      <c r="N119">
        <f>IF(NOT(ISNUMBER($D119)),"",_xlfn.NORM.DIST(N$1,$D119,$E119,TRUE)-_xlfn.NORM.DIST(N$2,$D119,$E119,TRUE))</f>
        <v/>
      </c>
      <c r="O119">
        <f>IF(NOT(ISNUMBER($D119)),"",_xlfn.NORM.DIST(O$1,$D119,$E119,TRUE)-_xlfn.NORM.DIST(O$2,$D119,$E119,TRUE))</f>
        <v/>
      </c>
      <c r="P119">
        <f>IF(NOT(ISNUMBER($D119)),"",_xlfn.NORM.DIST(P$1,$D119,$E119,TRUE)-_xlfn.NORM.DIST(P$2,$D119,$E119,TRUE))</f>
        <v/>
      </c>
      <c r="Q119">
        <f>IF(NOT(ISNUMBER($D119)),"",_xlfn.NORM.DIST(Q$1,$D119,$E119,TRUE)-_xlfn.NORM.DIST(Q$2,$D119,$E119,TRUE))</f>
        <v/>
      </c>
      <c r="R119">
        <f>IF(NOT(ISNUMBER($D119)),"",_xlfn.NORM.DIST(R$1,$D119,$E119,TRUE)-_xlfn.NORM.DIST(R$2,$D119,$E119,TRUE))</f>
        <v/>
      </c>
      <c r="S119">
        <f>IF(NOT(ISNUMBER($D119)),"",_xlfn.NORM.DIST(S$1,$D119,$E119,TRUE)-_xlfn.NORM.DIST(S$2,$D119,$E119,TRUE))</f>
        <v/>
      </c>
      <c r="T119">
        <f>IF(NOT(ISNUMBER($D119)),"",_xlfn.NORM.DIST(T$1,$D119,$E119,TRUE)-_xlfn.NORM.DIST(T$2,$D119,$E119,TRUE))</f>
        <v/>
      </c>
      <c r="U119">
        <f>IF(NOT(ISNUMBER($D119)),"",_xlfn.NORM.DIST(U$1,$D119,$E119,TRUE)-_xlfn.NORM.DIST(U$2,$D119,$E119,TRUE))</f>
        <v/>
      </c>
      <c r="V119">
        <f>IF(NOT(ISNUMBER($D119)),"",_xlfn.NORM.DIST(V$1,$D119,$E119,TRUE)-_xlfn.NORM.DIST(V$2,$D119,$E119,TRUE))</f>
        <v/>
      </c>
      <c r="W119">
        <f>IF(NOT(ISNUMBER($D119)),"",_xlfn.NORM.DIST(W$1,$D119,$E119,TRUE)-_xlfn.NORM.DIST(W$2,$D119,$E119,TRUE))</f>
        <v/>
      </c>
      <c r="X119">
        <f>IF(NOT(ISNUMBER($D119)),"",_xlfn.NORM.DIST(X$1,$D119,$E119,TRUE)-_xlfn.NORM.DIST(X$2,$D119,$E119,TRUE))</f>
        <v/>
      </c>
      <c r="Y119">
        <f>IF(NOT(ISNUMBER($D119)),"",_xlfn.NORM.DIST(Y$1,$D119,$E119,TRUE)-_xlfn.NORM.DIST(Y$2,$D119,$E119,TRUE))</f>
        <v/>
      </c>
      <c r="Z119">
        <f>IF(NOT(ISNUMBER($D119)),"",_xlfn.NORM.DIST(Z$1,$D119,$E119,TRUE)-_xlfn.NORM.DIST(Z$2,$D119,$E119,TRUE))</f>
        <v/>
      </c>
      <c r="AA119">
        <f>IF(NOT(ISNUMBER($D119)),"",_xlfn.NORM.DIST(AA$1,$D119,$E119,TRUE)-_xlfn.NORM.DIST(AA$2,$D119,$E119,TRUE))</f>
        <v/>
      </c>
      <c r="AB119">
        <f>IF(NOT(ISNUMBER($D119)),"",_xlfn.NORM.DIST(AB$1,$D119,$E119,TRUE)-_xlfn.NORM.DIST(AB$2,$D119,$E119,TRUE))</f>
        <v/>
      </c>
      <c r="AC119">
        <f>IF(NOT(ISNUMBER($D119)),"",_xlfn.NORM.DIST(AC$1,$D119,$E119,TRUE)-_xlfn.NORM.DIST(AC$2,$D119,$E119,TRUE))</f>
        <v/>
      </c>
      <c r="AD119">
        <f>IF(NOT(ISNUMBER($D119)),"",_xlfn.NORM.DIST(AD$1,$D119,$E119,TRUE)-_xlfn.NORM.DIST(AD$2,$D119,$E119,TRUE))</f>
        <v/>
      </c>
      <c r="AE119">
        <f>IF(NOT(ISNUMBER($D119)),"",_xlfn.NORM.DIST(AE$1,$D119,$E119,TRUE)-_xlfn.NORM.DIST(AE$2,$D119,$E119,TRUE))</f>
        <v/>
      </c>
      <c r="AF119">
        <f>IF(NOT(ISNUMBER($D119)),"",_xlfn.NORM.DIST(AF$1,$D119,$E119,TRUE)-_xlfn.NORM.DIST(AF$2,$D119,$E119,TRUE))</f>
        <v/>
      </c>
      <c r="AG119">
        <f>IF(NOT(ISNUMBER($D119)),"",_xlfn.NORM.DIST(AG$1,$D119,$E119,TRUE)-_xlfn.NORM.DIST(AG$2,$D119,$E119,TRUE))</f>
        <v/>
      </c>
      <c r="AH119">
        <f>IF(NOT(ISNUMBER($D119)),"",_xlfn.NORM.DIST(AH$1,$D119,$E119,TRUE)-_xlfn.NORM.DIST(AH$2,$D119,$E119,TRUE))</f>
        <v/>
      </c>
      <c r="AI119">
        <f>IF(NOT(ISNUMBER($D119)),"",_xlfn.NORM.DIST(AI$1,$D119,$E119,TRUE)-_xlfn.NORM.DIST(AI$2,$D119,$E119,TRUE))</f>
        <v/>
      </c>
      <c r="AJ119">
        <f>IF(NOT(ISNUMBER($D119)),"",_xlfn.NORM.DIST(AJ$1,$D119,$E119,TRUE)-_xlfn.NORM.DIST(AJ$2,$D119,$E119,TRUE))</f>
        <v/>
      </c>
      <c r="AK119">
        <f>IF(NOT(ISNUMBER($D119)),"",_xlfn.NORM.DIST(AK$1,$D119,$E119,TRUE)-_xlfn.NORM.DIST(AK$2,$D119,$E119,TRUE))</f>
        <v/>
      </c>
      <c r="AL119">
        <f>IF(NOT(ISNUMBER($D119)),"",_xlfn.NORM.DIST(AL$1,$D119,$E119,TRUE)-_xlfn.NORM.DIST(AL$2,$D119,$E119,TRUE))</f>
        <v/>
      </c>
      <c r="AM119">
        <f>IF(NOT(ISNUMBER($D119)),"",_xlfn.NORM.DIST(AM$1,$D119,$E119,TRUE)-_xlfn.NORM.DIST(AM$2,$D119,$E119,TRUE))</f>
        <v/>
      </c>
      <c r="AN119">
        <f>IF(NOT(ISNUMBER($D119)),"",_xlfn.NORM.DIST(AN$1,$D119,$E119,TRUE)-_xlfn.NORM.DIST(AN$2,$D119,$E119,TRUE))</f>
        <v/>
      </c>
      <c r="AO119">
        <f>IF(NOT(ISNUMBER($D119)),"",_xlfn.NORM.DIST(AO$1,$D119,$E119,TRUE)-_xlfn.NORM.DIST(AO$2,$D119,$E119,TRUE))</f>
        <v/>
      </c>
      <c r="AP119">
        <f>IF(NOT(ISNUMBER($D119)),"",_xlfn.NORM.DIST(AP$1,$D119,$E119,TRUE)-_xlfn.NORM.DIST(AP$2,$D119,$E119,TRUE))</f>
        <v/>
      </c>
      <c r="AQ119">
        <f>IF(NOT(ISNUMBER($D119)),"",_xlfn.NORM.DIST(AQ$1,$D119,$E119,TRUE)-_xlfn.NORM.DIST(AQ$2,$D119,$E119,TRUE))</f>
        <v/>
      </c>
      <c r="AR119">
        <f>IF(NOT(ISNUMBER($D119)),"",_xlfn.NORM.DIST(AR$1,$D119,$E119,TRUE)-_xlfn.NORM.DIST(AR$2,$D119,$E119,TRUE))</f>
        <v/>
      </c>
      <c r="AS119">
        <f>IF(NOT(ISNUMBER($D119)),"",_xlfn.NORM.DIST(AS$1,$D119,$E119,TRUE)-_xlfn.NORM.DIST(AS$2,$D119,$E119,TRUE))</f>
        <v/>
      </c>
      <c r="AT119">
        <f>IF(NOT(ISNUMBER($D119)),"",_xlfn.NORM.DIST(AT$1,$D119,$E119,TRUE)-_xlfn.NORM.DIST(AT$2,$D119,$E119,TRUE))</f>
        <v/>
      </c>
      <c r="AU119">
        <f>IF(NOT(ISNUMBER($D119)),"",_xlfn.NORM.DIST(AU$1,$D119,$E119,TRUE)-_xlfn.NORM.DIST(AU$2,$D119,$E119,TRUE))</f>
        <v/>
      </c>
      <c r="AV119">
        <f>IF(NOT(ISNUMBER($D119)),"",_xlfn.NORM.DIST(AV$1,$D119,$E119,TRUE)-_xlfn.NORM.DIST(AV$2,$D119,$E119,TRUE))</f>
        <v/>
      </c>
      <c r="AW119">
        <f>IF(NOT(ISNUMBER($D119)),"",_xlfn.NORM.DIST(AW$1,$D119,$E119,TRUE)-_xlfn.NORM.DIST(AW$2,$D119,$E119,TRUE))</f>
        <v/>
      </c>
      <c r="AX119">
        <f>IF(NOT(ISNUMBER($D119)),"",_xlfn.NORM.DIST(AX$1,$D119,$E119,TRUE)-_xlfn.NORM.DIST(AX$2,$D119,$E119,TRUE))</f>
        <v/>
      </c>
      <c r="AY119">
        <f>IF(NOT(ISNUMBER($D119)),"",_xlfn.NORM.DIST(AY$1,$D119,$E119,TRUE)-_xlfn.NORM.DIST(AY$2,$D119,$E119,TRUE))</f>
        <v/>
      </c>
      <c r="AZ119">
        <f>IF(NOT(ISNUMBER($D119)),"",_xlfn.NORM.DIST(AZ$1,$D119,$E119,TRUE)-_xlfn.NORM.DIST(AZ$2,$D119,$E119,TRUE))</f>
        <v/>
      </c>
      <c r="BA119">
        <f>IF(NOT(ISNUMBER($D119)),"",_xlfn.NORM.DIST(BA$1,$D119,$E119,TRUE)-_xlfn.NORM.DIST(BA$2,$D119,$E119,TRUE))</f>
        <v/>
      </c>
      <c r="BB119">
        <f>IF(NOT(ISNUMBER($D119)),"",_xlfn.NORM.DIST(BB$1,$D119,$E119,TRUE)-_xlfn.NORM.DIST(BB$2,$D119,$E119,TRUE))</f>
        <v/>
      </c>
      <c r="BC119">
        <f>IF(NOT(ISNUMBER($D119)),"",_xlfn.NORM.DIST(BC$1,$D119,$E119,TRUE)-_xlfn.NORM.DIST(BC$2,$D119,$E119,TRUE))</f>
        <v/>
      </c>
      <c r="BD119">
        <f>IF(NOT(ISNUMBER($D119)),"",_xlfn.NORM.DIST(BD$1,$D119,$E119,TRUE)-_xlfn.NORM.DIST(BD$2,$D119,$E119,TRUE))</f>
        <v/>
      </c>
      <c r="BE119">
        <f>IF(NOT(ISNUMBER($D119)),"",_xlfn.NORM.DIST(BE$1,$D119,$E119,TRUE)-_xlfn.NORM.DIST(BE$2,$D119,$E119,TRUE))</f>
        <v/>
      </c>
      <c r="BF119">
        <f>IF(NOT(ISNUMBER($D119)),"",_xlfn.NORM.DIST(BF$1,$D119,$E119,TRUE)-_xlfn.NORM.DIST(BF$2,$D119,$E119,TRUE))</f>
        <v/>
      </c>
      <c r="BG119">
        <f>IF(NOT(ISNUMBER($D119)),"",_xlfn.NORM.DIST(BG$1,$D119,$E119,TRUE)-_xlfn.NORM.DIST(BG$2,$D119,$E119,TRUE))</f>
        <v/>
      </c>
      <c r="BH119">
        <f>IF(NOT(ISNUMBER($D119)),"",_xlfn.NORM.DIST(BH$1,$D119,$E119,TRUE)-_xlfn.NORM.DIST(BH$2,$D119,$E119,TRUE))</f>
        <v/>
      </c>
      <c r="BI119">
        <f>IF(NOT(ISNUMBER($D119)),"",_xlfn.NORM.DIST(BI$1,$D119,$E119,TRUE)-_xlfn.NORM.DIST(BI$2,$D119,$E119,TRUE))</f>
        <v/>
      </c>
      <c r="BJ119">
        <f>IF(NOT(ISNUMBER($D119)),"",_xlfn.NORM.DIST(BJ$1,$D119,$E119,TRUE)-_xlfn.NORM.DIST(BJ$2,$D119,$E119,TRUE))</f>
        <v/>
      </c>
      <c r="BK119">
        <f>IF(NOT(ISNUMBER($D119)),"",_xlfn.NORM.DIST(BK$1,$D119,$E119,TRUE)-_xlfn.NORM.DIST(BK$2,$D119,$E119,TRUE))</f>
        <v/>
      </c>
      <c r="BL119">
        <f>IF(NOT(ISNUMBER($D119)),"",_xlfn.NORM.DIST(BL$1,$D119,$E119,TRUE)-_xlfn.NORM.DIST(BL$2,$D119,$E119,TRUE))</f>
        <v/>
      </c>
      <c r="BM119">
        <f>IF(NOT(ISNUMBER($D119)),"",_xlfn.NORM.DIST(BM$1,$D119,$E119,TRUE)-_xlfn.NORM.DIST(BM$2,$D119,$E119,TRUE))</f>
        <v/>
      </c>
      <c r="BN119">
        <f>IF(NOT(ISNUMBER($D119)),"",_xlfn.NORM.DIST(BN$1,$D119,$E119,TRUE)-_xlfn.NORM.DIST(BN$2,$D119,$E119,TRUE))</f>
        <v/>
      </c>
      <c r="BO119">
        <f>IF(NOT(ISNUMBER($D119)),"",_xlfn.NORM.DIST(BO$1,$D119,$E119,TRUE)-_xlfn.NORM.DIST(BO$2,$D119,$E119,TRUE))</f>
        <v/>
      </c>
      <c r="BP119">
        <f>IF(NOT(ISNUMBER($D119)),"",_xlfn.NORM.DIST(BP$1,$D119,$E119,TRUE)-_xlfn.NORM.DIST(BP$2,$D119,$E119,TRUE))</f>
        <v/>
      </c>
      <c r="BQ119">
        <f>IF(NOT(ISNUMBER($D119)),"",_xlfn.NORM.DIST(BQ$1,$D119,$E119,TRUE)-_xlfn.NORM.DIST(BQ$2,$D119,$E119,TRUE))</f>
        <v/>
      </c>
      <c r="BR119">
        <f>IF(NOT(ISNUMBER($D119)),"",_xlfn.NORM.DIST(BR$1,$D119,$E119,TRUE)-_xlfn.NORM.DIST(BR$2,$D119,$E119,TRUE))</f>
        <v/>
      </c>
      <c r="BS119">
        <f>IF(NOT(ISNUMBER($D119)),"",_xlfn.NORM.DIST(BS$1,$D119,$E119,TRUE)-_xlfn.NORM.DIST(BS$2,$D119,$E119,TRUE))</f>
        <v/>
      </c>
      <c r="BT119">
        <f>IF(NOT(ISNUMBER($D119)),"",_xlfn.NORM.DIST(BT$1,$D119,$E119,TRUE)-_xlfn.NORM.DIST(BT$2,$D119,$E119,TRUE))</f>
        <v/>
      </c>
      <c r="BU119">
        <f>IF(NOT(ISNUMBER($D119)),"",_xlfn.NORM.DIST(BU$1,$D119,$E119,TRUE)-_xlfn.NORM.DIST(BU$2,$D119,$E119,TRUE))</f>
        <v/>
      </c>
      <c r="BV119">
        <f>IF(NOT(ISNUMBER($D119)),"",_xlfn.NORM.DIST(BV$1,$D119,$E119,TRUE)-_xlfn.NORM.DIST(BV$2,$D119,$E119,TRUE))</f>
        <v/>
      </c>
      <c r="BW119">
        <f>IF(NOT(ISNUMBER($D119)),"",_xlfn.NORM.DIST(BW$1,$D119,$E119,TRUE)-_xlfn.NORM.DIST(BW$2,$D119,$E119,TRUE))</f>
        <v/>
      </c>
      <c r="BX119">
        <f>IF(NOT(ISNUMBER($D119)),"",_xlfn.NORM.DIST(BX$1,$D119,$E119,TRUE)-_xlfn.NORM.DIST(BX$2,$D119,$E119,TRUE))</f>
        <v/>
      </c>
      <c r="BY119">
        <f>IF(NOT(ISNUMBER($D119)),"",_xlfn.NORM.DIST(BY$1,$D119,$E119,TRUE)-_xlfn.NORM.DIST(BY$2,$D119,$E119,TRUE))</f>
        <v/>
      </c>
      <c r="BZ119">
        <f>IF(NOT(ISNUMBER($D119)),"",_xlfn.NORM.DIST(BZ$1,$D119,$E119,TRUE)-_xlfn.NORM.DIST(BZ$2,$D119,$E119,TRUE))</f>
        <v/>
      </c>
      <c r="CA119">
        <f>IF(NOT(ISNUMBER($D119)),"",_xlfn.NORM.DIST(CA$1,$D119,$E119,TRUE)-_xlfn.NORM.DIST(CA$2,$D119,$E119,TRUE))</f>
        <v/>
      </c>
      <c r="CB119">
        <f>IF(NOT(ISNUMBER($D119)),"",_xlfn.NORM.DIST(CB$1,$D119,$E119,TRUE)-_xlfn.NORM.DIST(CB$2,$D119,$E119,TRUE))</f>
        <v/>
      </c>
      <c r="CC119">
        <f>IF(NOT(ISNUMBER($D119)),"",_xlfn.NORM.DIST(CC$1,$D119,$E119,TRUE)-_xlfn.NORM.DIST(CC$2,$D119,$E119,TRUE))</f>
        <v/>
      </c>
      <c r="CD119">
        <f>IF(NOT(ISNUMBER($D119)),"",_xlfn.NORM.DIST(CD$1,$D119,$E119,TRUE)-_xlfn.NORM.DIST(CD$2,$D119,$E119,TRUE))</f>
        <v/>
      </c>
      <c r="CE119">
        <f>IF(NOT(ISNUMBER($D119)),"",_xlfn.NORM.DIST(CE$1,$D119,$E119,TRUE)-_xlfn.NORM.DIST(CE$2,$D119,$E119,TRUE))</f>
        <v/>
      </c>
      <c r="CF119">
        <f>IF(NOT(ISNUMBER($D119)),"",_xlfn.NORM.DIST(CF$1,$D119,$E119,TRUE)-_xlfn.NORM.DIST(CF$2,$D119,$E119,TRUE))</f>
        <v/>
      </c>
      <c r="CG119">
        <f>IF(NOT(ISNUMBER($D119)),"",_xlfn.NORM.DIST(CG$1,$D119,$E119,TRUE)-_xlfn.NORM.DIST(CG$2,$D119,$E119,TRUE))</f>
        <v/>
      </c>
      <c r="CH119">
        <f>IF(NOT(ISNUMBER($D119)),"",_xlfn.NORM.DIST(CH$1,$D119,$E119,TRUE)-_xlfn.NORM.DIST(CH$2,$D119,$E119,TRUE))</f>
        <v/>
      </c>
      <c r="CI119">
        <f>IF(NOT(ISNUMBER($D119)),"",_xlfn.NORM.DIST(CI$1,$D119,$E119,TRUE)-_xlfn.NORM.DIST(CI$2,$D119,$E119,TRUE))</f>
        <v/>
      </c>
      <c r="CJ119">
        <f>IF(ISNUMBER($D119),SUM(F119:CI119),"")</f>
        <v/>
      </c>
    </row>
    <row r="120">
      <c r="A120">
        <f>economics!A119</f>
        <v/>
      </c>
      <c r="B120">
        <f>economics!B119</f>
        <v/>
      </c>
      <c r="C120">
        <f>economics!D119</f>
        <v/>
      </c>
      <c r="D120">
        <f>IF(ISNUMBER(economics!T119),economics!T119,"na")</f>
        <v/>
      </c>
      <c r="E120">
        <f>IF(ISNUMBER(D120),MAX(0.3*ABS(D120),0.000001),"na")</f>
        <v/>
      </c>
      <c r="F120">
        <f>IF(NOT(ISNUMBER($D120)),"",_xlfn.NORM.DIST(F$1,$D120,$E120,TRUE)-_xlfn.NORM.DIST(F$2,$D120,$E120,TRUE))</f>
        <v/>
      </c>
      <c r="G120">
        <f>IF(NOT(ISNUMBER($D120)),"",_xlfn.NORM.DIST(G$1,$D120,$E120,TRUE)-_xlfn.NORM.DIST(G$2,$D120,$E120,TRUE))</f>
        <v/>
      </c>
      <c r="H120">
        <f>IF(NOT(ISNUMBER($D120)),"",_xlfn.NORM.DIST(H$1,$D120,$E120,TRUE)-_xlfn.NORM.DIST(H$2,$D120,$E120,TRUE))</f>
        <v/>
      </c>
      <c r="I120">
        <f>IF(NOT(ISNUMBER($D120)),"",_xlfn.NORM.DIST(I$1,$D120,$E120,TRUE)-_xlfn.NORM.DIST(I$2,$D120,$E120,TRUE))</f>
        <v/>
      </c>
      <c r="J120">
        <f>IF(NOT(ISNUMBER($D120)),"",_xlfn.NORM.DIST(J$1,$D120,$E120,TRUE)-_xlfn.NORM.DIST(J$2,$D120,$E120,TRUE))</f>
        <v/>
      </c>
      <c r="K120">
        <f>IF(NOT(ISNUMBER($D120)),"",_xlfn.NORM.DIST(K$1,$D120,$E120,TRUE)-_xlfn.NORM.DIST(K$2,$D120,$E120,TRUE))</f>
        <v/>
      </c>
      <c r="L120">
        <f>IF(NOT(ISNUMBER($D120)),"",_xlfn.NORM.DIST(L$1,$D120,$E120,TRUE)-_xlfn.NORM.DIST(L$2,$D120,$E120,TRUE))</f>
        <v/>
      </c>
      <c r="M120">
        <f>IF(NOT(ISNUMBER($D120)),"",_xlfn.NORM.DIST(M$1,$D120,$E120,TRUE)-_xlfn.NORM.DIST(M$2,$D120,$E120,TRUE))</f>
        <v/>
      </c>
      <c r="N120">
        <f>IF(NOT(ISNUMBER($D120)),"",_xlfn.NORM.DIST(N$1,$D120,$E120,TRUE)-_xlfn.NORM.DIST(N$2,$D120,$E120,TRUE))</f>
        <v/>
      </c>
      <c r="O120">
        <f>IF(NOT(ISNUMBER($D120)),"",_xlfn.NORM.DIST(O$1,$D120,$E120,TRUE)-_xlfn.NORM.DIST(O$2,$D120,$E120,TRUE))</f>
        <v/>
      </c>
      <c r="P120">
        <f>IF(NOT(ISNUMBER($D120)),"",_xlfn.NORM.DIST(P$1,$D120,$E120,TRUE)-_xlfn.NORM.DIST(P$2,$D120,$E120,TRUE))</f>
        <v/>
      </c>
      <c r="Q120">
        <f>IF(NOT(ISNUMBER($D120)),"",_xlfn.NORM.DIST(Q$1,$D120,$E120,TRUE)-_xlfn.NORM.DIST(Q$2,$D120,$E120,TRUE))</f>
        <v/>
      </c>
      <c r="R120">
        <f>IF(NOT(ISNUMBER($D120)),"",_xlfn.NORM.DIST(R$1,$D120,$E120,TRUE)-_xlfn.NORM.DIST(R$2,$D120,$E120,TRUE))</f>
        <v/>
      </c>
      <c r="S120">
        <f>IF(NOT(ISNUMBER($D120)),"",_xlfn.NORM.DIST(S$1,$D120,$E120,TRUE)-_xlfn.NORM.DIST(S$2,$D120,$E120,TRUE))</f>
        <v/>
      </c>
      <c r="T120">
        <f>IF(NOT(ISNUMBER($D120)),"",_xlfn.NORM.DIST(T$1,$D120,$E120,TRUE)-_xlfn.NORM.DIST(T$2,$D120,$E120,TRUE))</f>
        <v/>
      </c>
      <c r="U120">
        <f>IF(NOT(ISNUMBER($D120)),"",_xlfn.NORM.DIST(U$1,$D120,$E120,TRUE)-_xlfn.NORM.DIST(U$2,$D120,$E120,TRUE))</f>
        <v/>
      </c>
      <c r="V120">
        <f>IF(NOT(ISNUMBER($D120)),"",_xlfn.NORM.DIST(V$1,$D120,$E120,TRUE)-_xlfn.NORM.DIST(V$2,$D120,$E120,TRUE))</f>
        <v/>
      </c>
      <c r="W120">
        <f>IF(NOT(ISNUMBER($D120)),"",_xlfn.NORM.DIST(W$1,$D120,$E120,TRUE)-_xlfn.NORM.DIST(W$2,$D120,$E120,TRUE))</f>
        <v/>
      </c>
      <c r="X120">
        <f>IF(NOT(ISNUMBER($D120)),"",_xlfn.NORM.DIST(X$1,$D120,$E120,TRUE)-_xlfn.NORM.DIST(X$2,$D120,$E120,TRUE))</f>
        <v/>
      </c>
      <c r="Y120">
        <f>IF(NOT(ISNUMBER($D120)),"",_xlfn.NORM.DIST(Y$1,$D120,$E120,TRUE)-_xlfn.NORM.DIST(Y$2,$D120,$E120,TRUE))</f>
        <v/>
      </c>
      <c r="Z120">
        <f>IF(NOT(ISNUMBER($D120)),"",_xlfn.NORM.DIST(Z$1,$D120,$E120,TRUE)-_xlfn.NORM.DIST(Z$2,$D120,$E120,TRUE))</f>
        <v/>
      </c>
      <c r="AA120">
        <f>IF(NOT(ISNUMBER($D120)),"",_xlfn.NORM.DIST(AA$1,$D120,$E120,TRUE)-_xlfn.NORM.DIST(AA$2,$D120,$E120,TRUE))</f>
        <v/>
      </c>
      <c r="AB120">
        <f>IF(NOT(ISNUMBER($D120)),"",_xlfn.NORM.DIST(AB$1,$D120,$E120,TRUE)-_xlfn.NORM.DIST(AB$2,$D120,$E120,TRUE))</f>
        <v/>
      </c>
      <c r="AC120">
        <f>IF(NOT(ISNUMBER($D120)),"",_xlfn.NORM.DIST(AC$1,$D120,$E120,TRUE)-_xlfn.NORM.DIST(AC$2,$D120,$E120,TRUE))</f>
        <v/>
      </c>
      <c r="AD120">
        <f>IF(NOT(ISNUMBER($D120)),"",_xlfn.NORM.DIST(AD$1,$D120,$E120,TRUE)-_xlfn.NORM.DIST(AD$2,$D120,$E120,TRUE))</f>
        <v/>
      </c>
      <c r="AE120">
        <f>IF(NOT(ISNUMBER($D120)),"",_xlfn.NORM.DIST(AE$1,$D120,$E120,TRUE)-_xlfn.NORM.DIST(AE$2,$D120,$E120,TRUE))</f>
        <v/>
      </c>
      <c r="AF120">
        <f>IF(NOT(ISNUMBER($D120)),"",_xlfn.NORM.DIST(AF$1,$D120,$E120,TRUE)-_xlfn.NORM.DIST(AF$2,$D120,$E120,TRUE))</f>
        <v/>
      </c>
      <c r="AG120">
        <f>IF(NOT(ISNUMBER($D120)),"",_xlfn.NORM.DIST(AG$1,$D120,$E120,TRUE)-_xlfn.NORM.DIST(AG$2,$D120,$E120,TRUE))</f>
        <v/>
      </c>
      <c r="AH120">
        <f>IF(NOT(ISNUMBER($D120)),"",_xlfn.NORM.DIST(AH$1,$D120,$E120,TRUE)-_xlfn.NORM.DIST(AH$2,$D120,$E120,TRUE))</f>
        <v/>
      </c>
      <c r="AI120">
        <f>IF(NOT(ISNUMBER($D120)),"",_xlfn.NORM.DIST(AI$1,$D120,$E120,TRUE)-_xlfn.NORM.DIST(AI$2,$D120,$E120,TRUE))</f>
        <v/>
      </c>
      <c r="AJ120">
        <f>IF(NOT(ISNUMBER($D120)),"",_xlfn.NORM.DIST(AJ$1,$D120,$E120,TRUE)-_xlfn.NORM.DIST(AJ$2,$D120,$E120,TRUE))</f>
        <v/>
      </c>
      <c r="AK120">
        <f>IF(NOT(ISNUMBER($D120)),"",_xlfn.NORM.DIST(AK$1,$D120,$E120,TRUE)-_xlfn.NORM.DIST(AK$2,$D120,$E120,TRUE))</f>
        <v/>
      </c>
      <c r="AL120">
        <f>IF(NOT(ISNUMBER($D120)),"",_xlfn.NORM.DIST(AL$1,$D120,$E120,TRUE)-_xlfn.NORM.DIST(AL$2,$D120,$E120,TRUE))</f>
        <v/>
      </c>
      <c r="AM120">
        <f>IF(NOT(ISNUMBER($D120)),"",_xlfn.NORM.DIST(AM$1,$D120,$E120,TRUE)-_xlfn.NORM.DIST(AM$2,$D120,$E120,TRUE))</f>
        <v/>
      </c>
      <c r="AN120">
        <f>IF(NOT(ISNUMBER($D120)),"",_xlfn.NORM.DIST(AN$1,$D120,$E120,TRUE)-_xlfn.NORM.DIST(AN$2,$D120,$E120,TRUE))</f>
        <v/>
      </c>
      <c r="AO120">
        <f>IF(NOT(ISNUMBER($D120)),"",_xlfn.NORM.DIST(AO$1,$D120,$E120,TRUE)-_xlfn.NORM.DIST(AO$2,$D120,$E120,TRUE))</f>
        <v/>
      </c>
      <c r="AP120">
        <f>IF(NOT(ISNUMBER($D120)),"",_xlfn.NORM.DIST(AP$1,$D120,$E120,TRUE)-_xlfn.NORM.DIST(AP$2,$D120,$E120,TRUE))</f>
        <v/>
      </c>
      <c r="AQ120">
        <f>IF(NOT(ISNUMBER($D120)),"",_xlfn.NORM.DIST(AQ$1,$D120,$E120,TRUE)-_xlfn.NORM.DIST(AQ$2,$D120,$E120,TRUE))</f>
        <v/>
      </c>
      <c r="AR120">
        <f>IF(NOT(ISNUMBER($D120)),"",_xlfn.NORM.DIST(AR$1,$D120,$E120,TRUE)-_xlfn.NORM.DIST(AR$2,$D120,$E120,TRUE))</f>
        <v/>
      </c>
      <c r="AS120">
        <f>IF(NOT(ISNUMBER($D120)),"",_xlfn.NORM.DIST(AS$1,$D120,$E120,TRUE)-_xlfn.NORM.DIST(AS$2,$D120,$E120,TRUE))</f>
        <v/>
      </c>
      <c r="AT120">
        <f>IF(NOT(ISNUMBER($D120)),"",_xlfn.NORM.DIST(AT$1,$D120,$E120,TRUE)-_xlfn.NORM.DIST(AT$2,$D120,$E120,TRUE))</f>
        <v/>
      </c>
      <c r="AU120">
        <f>IF(NOT(ISNUMBER($D120)),"",_xlfn.NORM.DIST(AU$1,$D120,$E120,TRUE)-_xlfn.NORM.DIST(AU$2,$D120,$E120,TRUE))</f>
        <v/>
      </c>
      <c r="AV120">
        <f>IF(NOT(ISNUMBER($D120)),"",_xlfn.NORM.DIST(AV$1,$D120,$E120,TRUE)-_xlfn.NORM.DIST(AV$2,$D120,$E120,TRUE))</f>
        <v/>
      </c>
      <c r="AW120">
        <f>IF(NOT(ISNUMBER($D120)),"",_xlfn.NORM.DIST(AW$1,$D120,$E120,TRUE)-_xlfn.NORM.DIST(AW$2,$D120,$E120,TRUE))</f>
        <v/>
      </c>
      <c r="AX120">
        <f>IF(NOT(ISNUMBER($D120)),"",_xlfn.NORM.DIST(AX$1,$D120,$E120,TRUE)-_xlfn.NORM.DIST(AX$2,$D120,$E120,TRUE))</f>
        <v/>
      </c>
      <c r="AY120">
        <f>IF(NOT(ISNUMBER($D120)),"",_xlfn.NORM.DIST(AY$1,$D120,$E120,TRUE)-_xlfn.NORM.DIST(AY$2,$D120,$E120,TRUE))</f>
        <v/>
      </c>
      <c r="AZ120">
        <f>IF(NOT(ISNUMBER($D120)),"",_xlfn.NORM.DIST(AZ$1,$D120,$E120,TRUE)-_xlfn.NORM.DIST(AZ$2,$D120,$E120,TRUE))</f>
        <v/>
      </c>
      <c r="BA120">
        <f>IF(NOT(ISNUMBER($D120)),"",_xlfn.NORM.DIST(BA$1,$D120,$E120,TRUE)-_xlfn.NORM.DIST(BA$2,$D120,$E120,TRUE))</f>
        <v/>
      </c>
      <c r="BB120">
        <f>IF(NOT(ISNUMBER($D120)),"",_xlfn.NORM.DIST(BB$1,$D120,$E120,TRUE)-_xlfn.NORM.DIST(BB$2,$D120,$E120,TRUE))</f>
        <v/>
      </c>
      <c r="BC120">
        <f>IF(NOT(ISNUMBER($D120)),"",_xlfn.NORM.DIST(BC$1,$D120,$E120,TRUE)-_xlfn.NORM.DIST(BC$2,$D120,$E120,TRUE))</f>
        <v/>
      </c>
      <c r="BD120">
        <f>IF(NOT(ISNUMBER($D120)),"",_xlfn.NORM.DIST(BD$1,$D120,$E120,TRUE)-_xlfn.NORM.DIST(BD$2,$D120,$E120,TRUE))</f>
        <v/>
      </c>
      <c r="BE120">
        <f>IF(NOT(ISNUMBER($D120)),"",_xlfn.NORM.DIST(BE$1,$D120,$E120,TRUE)-_xlfn.NORM.DIST(BE$2,$D120,$E120,TRUE))</f>
        <v/>
      </c>
      <c r="BF120">
        <f>IF(NOT(ISNUMBER($D120)),"",_xlfn.NORM.DIST(BF$1,$D120,$E120,TRUE)-_xlfn.NORM.DIST(BF$2,$D120,$E120,TRUE))</f>
        <v/>
      </c>
      <c r="BG120">
        <f>IF(NOT(ISNUMBER($D120)),"",_xlfn.NORM.DIST(BG$1,$D120,$E120,TRUE)-_xlfn.NORM.DIST(BG$2,$D120,$E120,TRUE))</f>
        <v/>
      </c>
      <c r="BH120">
        <f>IF(NOT(ISNUMBER($D120)),"",_xlfn.NORM.DIST(BH$1,$D120,$E120,TRUE)-_xlfn.NORM.DIST(BH$2,$D120,$E120,TRUE))</f>
        <v/>
      </c>
      <c r="BI120">
        <f>IF(NOT(ISNUMBER($D120)),"",_xlfn.NORM.DIST(BI$1,$D120,$E120,TRUE)-_xlfn.NORM.DIST(BI$2,$D120,$E120,TRUE))</f>
        <v/>
      </c>
      <c r="BJ120">
        <f>IF(NOT(ISNUMBER($D120)),"",_xlfn.NORM.DIST(BJ$1,$D120,$E120,TRUE)-_xlfn.NORM.DIST(BJ$2,$D120,$E120,TRUE))</f>
        <v/>
      </c>
      <c r="BK120">
        <f>IF(NOT(ISNUMBER($D120)),"",_xlfn.NORM.DIST(BK$1,$D120,$E120,TRUE)-_xlfn.NORM.DIST(BK$2,$D120,$E120,TRUE))</f>
        <v/>
      </c>
      <c r="BL120">
        <f>IF(NOT(ISNUMBER($D120)),"",_xlfn.NORM.DIST(BL$1,$D120,$E120,TRUE)-_xlfn.NORM.DIST(BL$2,$D120,$E120,TRUE))</f>
        <v/>
      </c>
      <c r="BM120">
        <f>IF(NOT(ISNUMBER($D120)),"",_xlfn.NORM.DIST(BM$1,$D120,$E120,TRUE)-_xlfn.NORM.DIST(BM$2,$D120,$E120,TRUE))</f>
        <v/>
      </c>
      <c r="BN120">
        <f>IF(NOT(ISNUMBER($D120)),"",_xlfn.NORM.DIST(BN$1,$D120,$E120,TRUE)-_xlfn.NORM.DIST(BN$2,$D120,$E120,TRUE))</f>
        <v/>
      </c>
      <c r="BO120">
        <f>IF(NOT(ISNUMBER($D120)),"",_xlfn.NORM.DIST(BO$1,$D120,$E120,TRUE)-_xlfn.NORM.DIST(BO$2,$D120,$E120,TRUE))</f>
        <v/>
      </c>
      <c r="BP120">
        <f>IF(NOT(ISNUMBER($D120)),"",_xlfn.NORM.DIST(BP$1,$D120,$E120,TRUE)-_xlfn.NORM.DIST(BP$2,$D120,$E120,TRUE))</f>
        <v/>
      </c>
      <c r="BQ120">
        <f>IF(NOT(ISNUMBER($D120)),"",_xlfn.NORM.DIST(BQ$1,$D120,$E120,TRUE)-_xlfn.NORM.DIST(BQ$2,$D120,$E120,TRUE))</f>
        <v/>
      </c>
      <c r="BR120">
        <f>IF(NOT(ISNUMBER($D120)),"",_xlfn.NORM.DIST(BR$1,$D120,$E120,TRUE)-_xlfn.NORM.DIST(BR$2,$D120,$E120,TRUE))</f>
        <v/>
      </c>
      <c r="BS120">
        <f>IF(NOT(ISNUMBER($D120)),"",_xlfn.NORM.DIST(BS$1,$D120,$E120,TRUE)-_xlfn.NORM.DIST(BS$2,$D120,$E120,TRUE))</f>
        <v/>
      </c>
      <c r="BT120">
        <f>IF(NOT(ISNUMBER($D120)),"",_xlfn.NORM.DIST(BT$1,$D120,$E120,TRUE)-_xlfn.NORM.DIST(BT$2,$D120,$E120,TRUE))</f>
        <v/>
      </c>
      <c r="BU120">
        <f>IF(NOT(ISNUMBER($D120)),"",_xlfn.NORM.DIST(BU$1,$D120,$E120,TRUE)-_xlfn.NORM.DIST(BU$2,$D120,$E120,TRUE))</f>
        <v/>
      </c>
      <c r="BV120">
        <f>IF(NOT(ISNUMBER($D120)),"",_xlfn.NORM.DIST(BV$1,$D120,$E120,TRUE)-_xlfn.NORM.DIST(BV$2,$D120,$E120,TRUE))</f>
        <v/>
      </c>
      <c r="BW120">
        <f>IF(NOT(ISNUMBER($D120)),"",_xlfn.NORM.DIST(BW$1,$D120,$E120,TRUE)-_xlfn.NORM.DIST(BW$2,$D120,$E120,TRUE))</f>
        <v/>
      </c>
      <c r="BX120">
        <f>IF(NOT(ISNUMBER($D120)),"",_xlfn.NORM.DIST(BX$1,$D120,$E120,TRUE)-_xlfn.NORM.DIST(BX$2,$D120,$E120,TRUE))</f>
        <v/>
      </c>
      <c r="BY120">
        <f>IF(NOT(ISNUMBER($D120)),"",_xlfn.NORM.DIST(BY$1,$D120,$E120,TRUE)-_xlfn.NORM.DIST(BY$2,$D120,$E120,TRUE))</f>
        <v/>
      </c>
      <c r="BZ120">
        <f>IF(NOT(ISNUMBER($D120)),"",_xlfn.NORM.DIST(BZ$1,$D120,$E120,TRUE)-_xlfn.NORM.DIST(BZ$2,$D120,$E120,TRUE))</f>
        <v/>
      </c>
      <c r="CA120">
        <f>IF(NOT(ISNUMBER($D120)),"",_xlfn.NORM.DIST(CA$1,$D120,$E120,TRUE)-_xlfn.NORM.DIST(CA$2,$D120,$E120,TRUE))</f>
        <v/>
      </c>
      <c r="CB120">
        <f>IF(NOT(ISNUMBER($D120)),"",_xlfn.NORM.DIST(CB$1,$D120,$E120,TRUE)-_xlfn.NORM.DIST(CB$2,$D120,$E120,TRUE))</f>
        <v/>
      </c>
      <c r="CC120">
        <f>IF(NOT(ISNUMBER($D120)),"",_xlfn.NORM.DIST(CC$1,$D120,$E120,TRUE)-_xlfn.NORM.DIST(CC$2,$D120,$E120,TRUE))</f>
        <v/>
      </c>
      <c r="CD120">
        <f>IF(NOT(ISNUMBER($D120)),"",_xlfn.NORM.DIST(CD$1,$D120,$E120,TRUE)-_xlfn.NORM.DIST(CD$2,$D120,$E120,TRUE))</f>
        <v/>
      </c>
      <c r="CE120">
        <f>IF(NOT(ISNUMBER($D120)),"",_xlfn.NORM.DIST(CE$1,$D120,$E120,TRUE)-_xlfn.NORM.DIST(CE$2,$D120,$E120,TRUE))</f>
        <v/>
      </c>
      <c r="CF120">
        <f>IF(NOT(ISNUMBER($D120)),"",_xlfn.NORM.DIST(CF$1,$D120,$E120,TRUE)-_xlfn.NORM.DIST(CF$2,$D120,$E120,TRUE))</f>
        <v/>
      </c>
      <c r="CG120">
        <f>IF(NOT(ISNUMBER($D120)),"",_xlfn.NORM.DIST(CG$1,$D120,$E120,TRUE)-_xlfn.NORM.DIST(CG$2,$D120,$E120,TRUE))</f>
        <v/>
      </c>
      <c r="CH120">
        <f>IF(NOT(ISNUMBER($D120)),"",_xlfn.NORM.DIST(CH$1,$D120,$E120,TRUE)-_xlfn.NORM.DIST(CH$2,$D120,$E120,TRUE))</f>
        <v/>
      </c>
      <c r="CI120">
        <f>IF(NOT(ISNUMBER($D120)),"",_xlfn.NORM.DIST(CI$1,$D120,$E120,TRUE)-_xlfn.NORM.DIST(CI$2,$D120,$E120,TRUE))</f>
        <v/>
      </c>
      <c r="CJ120">
        <f>IF(ISNUMBER($D120),SUM(F120:CI120),"")</f>
        <v/>
      </c>
    </row>
    <row r="121">
      <c r="A121">
        <f>economics!A120</f>
        <v/>
      </c>
      <c r="B121">
        <f>economics!B120</f>
        <v/>
      </c>
      <c r="C121">
        <f>economics!D120</f>
        <v/>
      </c>
      <c r="D121">
        <f>IF(ISNUMBER(economics!T120),economics!T120,"na")</f>
        <v/>
      </c>
      <c r="E121">
        <f>IF(ISNUMBER(D121),MAX(0.3*ABS(D121),0.000001),"na")</f>
        <v/>
      </c>
      <c r="F121">
        <f>IF(NOT(ISNUMBER($D121)),"",_xlfn.NORM.DIST(F$1,$D121,$E121,TRUE)-_xlfn.NORM.DIST(F$2,$D121,$E121,TRUE))</f>
        <v/>
      </c>
      <c r="G121">
        <f>IF(NOT(ISNUMBER($D121)),"",_xlfn.NORM.DIST(G$1,$D121,$E121,TRUE)-_xlfn.NORM.DIST(G$2,$D121,$E121,TRUE))</f>
        <v/>
      </c>
      <c r="H121">
        <f>IF(NOT(ISNUMBER($D121)),"",_xlfn.NORM.DIST(H$1,$D121,$E121,TRUE)-_xlfn.NORM.DIST(H$2,$D121,$E121,TRUE))</f>
        <v/>
      </c>
      <c r="I121">
        <f>IF(NOT(ISNUMBER($D121)),"",_xlfn.NORM.DIST(I$1,$D121,$E121,TRUE)-_xlfn.NORM.DIST(I$2,$D121,$E121,TRUE))</f>
        <v/>
      </c>
      <c r="J121">
        <f>IF(NOT(ISNUMBER($D121)),"",_xlfn.NORM.DIST(J$1,$D121,$E121,TRUE)-_xlfn.NORM.DIST(J$2,$D121,$E121,TRUE))</f>
        <v/>
      </c>
      <c r="K121">
        <f>IF(NOT(ISNUMBER($D121)),"",_xlfn.NORM.DIST(K$1,$D121,$E121,TRUE)-_xlfn.NORM.DIST(K$2,$D121,$E121,TRUE))</f>
        <v/>
      </c>
      <c r="L121">
        <f>IF(NOT(ISNUMBER($D121)),"",_xlfn.NORM.DIST(L$1,$D121,$E121,TRUE)-_xlfn.NORM.DIST(L$2,$D121,$E121,TRUE))</f>
        <v/>
      </c>
      <c r="M121">
        <f>IF(NOT(ISNUMBER($D121)),"",_xlfn.NORM.DIST(M$1,$D121,$E121,TRUE)-_xlfn.NORM.DIST(M$2,$D121,$E121,TRUE))</f>
        <v/>
      </c>
      <c r="N121">
        <f>IF(NOT(ISNUMBER($D121)),"",_xlfn.NORM.DIST(N$1,$D121,$E121,TRUE)-_xlfn.NORM.DIST(N$2,$D121,$E121,TRUE))</f>
        <v/>
      </c>
      <c r="O121">
        <f>IF(NOT(ISNUMBER($D121)),"",_xlfn.NORM.DIST(O$1,$D121,$E121,TRUE)-_xlfn.NORM.DIST(O$2,$D121,$E121,TRUE))</f>
        <v/>
      </c>
      <c r="P121">
        <f>IF(NOT(ISNUMBER($D121)),"",_xlfn.NORM.DIST(P$1,$D121,$E121,TRUE)-_xlfn.NORM.DIST(P$2,$D121,$E121,TRUE))</f>
        <v/>
      </c>
      <c r="Q121">
        <f>IF(NOT(ISNUMBER($D121)),"",_xlfn.NORM.DIST(Q$1,$D121,$E121,TRUE)-_xlfn.NORM.DIST(Q$2,$D121,$E121,TRUE))</f>
        <v/>
      </c>
      <c r="R121">
        <f>IF(NOT(ISNUMBER($D121)),"",_xlfn.NORM.DIST(R$1,$D121,$E121,TRUE)-_xlfn.NORM.DIST(R$2,$D121,$E121,TRUE))</f>
        <v/>
      </c>
      <c r="S121">
        <f>IF(NOT(ISNUMBER($D121)),"",_xlfn.NORM.DIST(S$1,$D121,$E121,TRUE)-_xlfn.NORM.DIST(S$2,$D121,$E121,TRUE))</f>
        <v/>
      </c>
      <c r="T121">
        <f>IF(NOT(ISNUMBER($D121)),"",_xlfn.NORM.DIST(T$1,$D121,$E121,TRUE)-_xlfn.NORM.DIST(T$2,$D121,$E121,TRUE))</f>
        <v/>
      </c>
      <c r="U121">
        <f>IF(NOT(ISNUMBER($D121)),"",_xlfn.NORM.DIST(U$1,$D121,$E121,TRUE)-_xlfn.NORM.DIST(U$2,$D121,$E121,TRUE))</f>
        <v/>
      </c>
      <c r="V121">
        <f>IF(NOT(ISNUMBER($D121)),"",_xlfn.NORM.DIST(V$1,$D121,$E121,TRUE)-_xlfn.NORM.DIST(V$2,$D121,$E121,TRUE))</f>
        <v/>
      </c>
      <c r="W121">
        <f>IF(NOT(ISNUMBER($D121)),"",_xlfn.NORM.DIST(W$1,$D121,$E121,TRUE)-_xlfn.NORM.DIST(W$2,$D121,$E121,TRUE))</f>
        <v/>
      </c>
      <c r="X121">
        <f>IF(NOT(ISNUMBER($D121)),"",_xlfn.NORM.DIST(X$1,$D121,$E121,TRUE)-_xlfn.NORM.DIST(X$2,$D121,$E121,TRUE))</f>
        <v/>
      </c>
      <c r="Y121">
        <f>IF(NOT(ISNUMBER($D121)),"",_xlfn.NORM.DIST(Y$1,$D121,$E121,TRUE)-_xlfn.NORM.DIST(Y$2,$D121,$E121,TRUE))</f>
        <v/>
      </c>
      <c r="Z121">
        <f>IF(NOT(ISNUMBER($D121)),"",_xlfn.NORM.DIST(Z$1,$D121,$E121,TRUE)-_xlfn.NORM.DIST(Z$2,$D121,$E121,TRUE))</f>
        <v/>
      </c>
      <c r="AA121">
        <f>IF(NOT(ISNUMBER($D121)),"",_xlfn.NORM.DIST(AA$1,$D121,$E121,TRUE)-_xlfn.NORM.DIST(AA$2,$D121,$E121,TRUE))</f>
        <v/>
      </c>
      <c r="AB121">
        <f>IF(NOT(ISNUMBER($D121)),"",_xlfn.NORM.DIST(AB$1,$D121,$E121,TRUE)-_xlfn.NORM.DIST(AB$2,$D121,$E121,TRUE))</f>
        <v/>
      </c>
      <c r="AC121">
        <f>IF(NOT(ISNUMBER($D121)),"",_xlfn.NORM.DIST(AC$1,$D121,$E121,TRUE)-_xlfn.NORM.DIST(AC$2,$D121,$E121,TRUE))</f>
        <v/>
      </c>
      <c r="AD121">
        <f>IF(NOT(ISNUMBER($D121)),"",_xlfn.NORM.DIST(AD$1,$D121,$E121,TRUE)-_xlfn.NORM.DIST(AD$2,$D121,$E121,TRUE))</f>
        <v/>
      </c>
      <c r="AE121">
        <f>IF(NOT(ISNUMBER($D121)),"",_xlfn.NORM.DIST(AE$1,$D121,$E121,TRUE)-_xlfn.NORM.DIST(AE$2,$D121,$E121,TRUE))</f>
        <v/>
      </c>
      <c r="AF121">
        <f>IF(NOT(ISNUMBER($D121)),"",_xlfn.NORM.DIST(AF$1,$D121,$E121,TRUE)-_xlfn.NORM.DIST(AF$2,$D121,$E121,TRUE))</f>
        <v/>
      </c>
      <c r="AG121">
        <f>IF(NOT(ISNUMBER($D121)),"",_xlfn.NORM.DIST(AG$1,$D121,$E121,TRUE)-_xlfn.NORM.DIST(AG$2,$D121,$E121,TRUE))</f>
        <v/>
      </c>
      <c r="AH121">
        <f>IF(NOT(ISNUMBER($D121)),"",_xlfn.NORM.DIST(AH$1,$D121,$E121,TRUE)-_xlfn.NORM.DIST(AH$2,$D121,$E121,TRUE))</f>
        <v/>
      </c>
      <c r="AI121">
        <f>IF(NOT(ISNUMBER($D121)),"",_xlfn.NORM.DIST(AI$1,$D121,$E121,TRUE)-_xlfn.NORM.DIST(AI$2,$D121,$E121,TRUE))</f>
        <v/>
      </c>
      <c r="AJ121">
        <f>IF(NOT(ISNUMBER($D121)),"",_xlfn.NORM.DIST(AJ$1,$D121,$E121,TRUE)-_xlfn.NORM.DIST(AJ$2,$D121,$E121,TRUE))</f>
        <v/>
      </c>
      <c r="AK121">
        <f>IF(NOT(ISNUMBER($D121)),"",_xlfn.NORM.DIST(AK$1,$D121,$E121,TRUE)-_xlfn.NORM.DIST(AK$2,$D121,$E121,TRUE))</f>
        <v/>
      </c>
      <c r="AL121">
        <f>IF(NOT(ISNUMBER($D121)),"",_xlfn.NORM.DIST(AL$1,$D121,$E121,TRUE)-_xlfn.NORM.DIST(AL$2,$D121,$E121,TRUE))</f>
        <v/>
      </c>
      <c r="AM121">
        <f>IF(NOT(ISNUMBER($D121)),"",_xlfn.NORM.DIST(AM$1,$D121,$E121,TRUE)-_xlfn.NORM.DIST(AM$2,$D121,$E121,TRUE))</f>
        <v/>
      </c>
      <c r="AN121">
        <f>IF(NOT(ISNUMBER($D121)),"",_xlfn.NORM.DIST(AN$1,$D121,$E121,TRUE)-_xlfn.NORM.DIST(AN$2,$D121,$E121,TRUE))</f>
        <v/>
      </c>
      <c r="AO121">
        <f>IF(NOT(ISNUMBER($D121)),"",_xlfn.NORM.DIST(AO$1,$D121,$E121,TRUE)-_xlfn.NORM.DIST(AO$2,$D121,$E121,TRUE))</f>
        <v/>
      </c>
      <c r="AP121">
        <f>IF(NOT(ISNUMBER($D121)),"",_xlfn.NORM.DIST(AP$1,$D121,$E121,TRUE)-_xlfn.NORM.DIST(AP$2,$D121,$E121,TRUE))</f>
        <v/>
      </c>
      <c r="AQ121">
        <f>IF(NOT(ISNUMBER($D121)),"",_xlfn.NORM.DIST(AQ$1,$D121,$E121,TRUE)-_xlfn.NORM.DIST(AQ$2,$D121,$E121,TRUE))</f>
        <v/>
      </c>
      <c r="AR121">
        <f>IF(NOT(ISNUMBER($D121)),"",_xlfn.NORM.DIST(AR$1,$D121,$E121,TRUE)-_xlfn.NORM.DIST(AR$2,$D121,$E121,TRUE))</f>
        <v/>
      </c>
      <c r="AS121">
        <f>IF(NOT(ISNUMBER($D121)),"",_xlfn.NORM.DIST(AS$1,$D121,$E121,TRUE)-_xlfn.NORM.DIST(AS$2,$D121,$E121,TRUE))</f>
        <v/>
      </c>
      <c r="AT121">
        <f>IF(NOT(ISNUMBER($D121)),"",_xlfn.NORM.DIST(AT$1,$D121,$E121,TRUE)-_xlfn.NORM.DIST(AT$2,$D121,$E121,TRUE))</f>
        <v/>
      </c>
      <c r="AU121">
        <f>IF(NOT(ISNUMBER($D121)),"",_xlfn.NORM.DIST(AU$1,$D121,$E121,TRUE)-_xlfn.NORM.DIST(AU$2,$D121,$E121,TRUE))</f>
        <v/>
      </c>
      <c r="AV121">
        <f>IF(NOT(ISNUMBER($D121)),"",_xlfn.NORM.DIST(AV$1,$D121,$E121,TRUE)-_xlfn.NORM.DIST(AV$2,$D121,$E121,TRUE))</f>
        <v/>
      </c>
      <c r="AW121">
        <f>IF(NOT(ISNUMBER($D121)),"",_xlfn.NORM.DIST(AW$1,$D121,$E121,TRUE)-_xlfn.NORM.DIST(AW$2,$D121,$E121,TRUE))</f>
        <v/>
      </c>
      <c r="AX121">
        <f>IF(NOT(ISNUMBER($D121)),"",_xlfn.NORM.DIST(AX$1,$D121,$E121,TRUE)-_xlfn.NORM.DIST(AX$2,$D121,$E121,TRUE))</f>
        <v/>
      </c>
      <c r="AY121">
        <f>IF(NOT(ISNUMBER($D121)),"",_xlfn.NORM.DIST(AY$1,$D121,$E121,TRUE)-_xlfn.NORM.DIST(AY$2,$D121,$E121,TRUE))</f>
        <v/>
      </c>
      <c r="AZ121">
        <f>IF(NOT(ISNUMBER($D121)),"",_xlfn.NORM.DIST(AZ$1,$D121,$E121,TRUE)-_xlfn.NORM.DIST(AZ$2,$D121,$E121,TRUE))</f>
        <v/>
      </c>
      <c r="BA121">
        <f>IF(NOT(ISNUMBER($D121)),"",_xlfn.NORM.DIST(BA$1,$D121,$E121,TRUE)-_xlfn.NORM.DIST(BA$2,$D121,$E121,TRUE))</f>
        <v/>
      </c>
      <c r="BB121">
        <f>IF(NOT(ISNUMBER($D121)),"",_xlfn.NORM.DIST(BB$1,$D121,$E121,TRUE)-_xlfn.NORM.DIST(BB$2,$D121,$E121,TRUE))</f>
        <v/>
      </c>
      <c r="BC121">
        <f>IF(NOT(ISNUMBER($D121)),"",_xlfn.NORM.DIST(BC$1,$D121,$E121,TRUE)-_xlfn.NORM.DIST(BC$2,$D121,$E121,TRUE))</f>
        <v/>
      </c>
      <c r="BD121">
        <f>IF(NOT(ISNUMBER($D121)),"",_xlfn.NORM.DIST(BD$1,$D121,$E121,TRUE)-_xlfn.NORM.DIST(BD$2,$D121,$E121,TRUE))</f>
        <v/>
      </c>
      <c r="BE121">
        <f>IF(NOT(ISNUMBER($D121)),"",_xlfn.NORM.DIST(BE$1,$D121,$E121,TRUE)-_xlfn.NORM.DIST(BE$2,$D121,$E121,TRUE))</f>
        <v/>
      </c>
      <c r="BF121">
        <f>IF(NOT(ISNUMBER($D121)),"",_xlfn.NORM.DIST(BF$1,$D121,$E121,TRUE)-_xlfn.NORM.DIST(BF$2,$D121,$E121,TRUE))</f>
        <v/>
      </c>
      <c r="BG121">
        <f>IF(NOT(ISNUMBER($D121)),"",_xlfn.NORM.DIST(BG$1,$D121,$E121,TRUE)-_xlfn.NORM.DIST(BG$2,$D121,$E121,TRUE))</f>
        <v/>
      </c>
      <c r="BH121">
        <f>IF(NOT(ISNUMBER($D121)),"",_xlfn.NORM.DIST(BH$1,$D121,$E121,TRUE)-_xlfn.NORM.DIST(BH$2,$D121,$E121,TRUE))</f>
        <v/>
      </c>
      <c r="BI121">
        <f>IF(NOT(ISNUMBER($D121)),"",_xlfn.NORM.DIST(BI$1,$D121,$E121,TRUE)-_xlfn.NORM.DIST(BI$2,$D121,$E121,TRUE))</f>
        <v/>
      </c>
      <c r="BJ121">
        <f>IF(NOT(ISNUMBER($D121)),"",_xlfn.NORM.DIST(BJ$1,$D121,$E121,TRUE)-_xlfn.NORM.DIST(BJ$2,$D121,$E121,TRUE))</f>
        <v/>
      </c>
      <c r="BK121">
        <f>IF(NOT(ISNUMBER($D121)),"",_xlfn.NORM.DIST(BK$1,$D121,$E121,TRUE)-_xlfn.NORM.DIST(BK$2,$D121,$E121,TRUE))</f>
        <v/>
      </c>
      <c r="BL121">
        <f>IF(NOT(ISNUMBER($D121)),"",_xlfn.NORM.DIST(BL$1,$D121,$E121,TRUE)-_xlfn.NORM.DIST(BL$2,$D121,$E121,TRUE))</f>
        <v/>
      </c>
      <c r="BM121">
        <f>IF(NOT(ISNUMBER($D121)),"",_xlfn.NORM.DIST(BM$1,$D121,$E121,TRUE)-_xlfn.NORM.DIST(BM$2,$D121,$E121,TRUE))</f>
        <v/>
      </c>
      <c r="BN121">
        <f>IF(NOT(ISNUMBER($D121)),"",_xlfn.NORM.DIST(BN$1,$D121,$E121,TRUE)-_xlfn.NORM.DIST(BN$2,$D121,$E121,TRUE))</f>
        <v/>
      </c>
      <c r="BO121">
        <f>IF(NOT(ISNUMBER($D121)),"",_xlfn.NORM.DIST(BO$1,$D121,$E121,TRUE)-_xlfn.NORM.DIST(BO$2,$D121,$E121,TRUE))</f>
        <v/>
      </c>
      <c r="BP121">
        <f>IF(NOT(ISNUMBER($D121)),"",_xlfn.NORM.DIST(BP$1,$D121,$E121,TRUE)-_xlfn.NORM.DIST(BP$2,$D121,$E121,TRUE))</f>
        <v/>
      </c>
      <c r="BQ121">
        <f>IF(NOT(ISNUMBER($D121)),"",_xlfn.NORM.DIST(BQ$1,$D121,$E121,TRUE)-_xlfn.NORM.DIST(BQ$2,$D121,$E121,TRUE))</f>
        <v/>
      </c>
      <c r="BR121">
        <f>IF(NOT(ISNUMBER($D121)),"",_xlfn.NORM.DIST(BR$1,$D121,$E121,TRUE)-_xlfn.NORM.DIST(BR$2,$D121,$E121,TRUE))</f>
        <v/>
      </c>
      <c r="BS121">
        <f>IF(NOT(ISNUMBER($D121)),"",_xlfn.NORM.DIST(BS$1,$D121,$E121,TRUE)-_xlfn.NORM.DIST(BS$2,$D121,$E121,TRUE))</f>
        <v/>
      </c>
      <c r="BT121">
        <f>IF(NOT(ISNUMBER($D121)),"",_xlfn.NORM.DIST(BT$1,$D121,$E121,TRUE)-_xlfn.NORM.DIST(BT$2,$D121,$E121,TRUE))</f>
        <v/>
      </c>
      <c r="BU121">
        <f>IF(NOT(ISNUMBER($D121)),"",_xlfn.NORM.DIST(BU$1,$D121,$E121,TRUE)-_xlfn.NORM.DIST(BU$2,$D121,$E121,TRUE))</f>
        <v/>
      </c>
      <c r="BV121">
        <f>IF(NOT(ISNUMBER($D121)),"",_xlfn.NORM.DIST(BV$1,$D121,$E121,TRUE)-_xlfn.NORM.DIST(BV$2,$D121,$E121,TRUE))</f>
        <v/>
      </c>
      <c r="BW121">
        <f>IF(NOT(ISNUMBER($D121)),"",_xlfn.NORM.DIST(BW$1,$D121,$E121,TRUE)-_xlfn.NORM.DIST(BW$2,$D121,$E121,TRUE))</f>
        <v/>
      </c>
      <c r="BX121">
        <f>IF(NOT(ISNUMBER($D121)),"",_xlfn.NORM.DIST(BX$1,$D121,$E121,TRUE)-_xlfn.NORM.DIST(BX$2,$D121,$E121,TRUE))</f>
        <v/>
      </c>
      <c r="BY121">
        <f>IF(NOT(ISNUMBER($D121)),"",_xlfn.NORM.DIST(BY$1,$D121,$E121,TRUE)-_xlfn.NORM.DIST(BY$2,$D121,$E121,TRUE))</f>
        <v/>
      </c>
      <c r="BZ121">
        <f>IF(NOT(ISNUMBER($D121)),"",_xlfn.NORM.DIST(BZ$1,$D121,$E121,TRUE)-_xlfn.NORM.DIST(BZ$2,$D121,$E121,TRUE))</f>
        <v/>
      </c>
      <c r="CA121">
        <f>IF(NOT(ISNUMBER($D121)),"",_xlfn.NORM.DIST(CA$1,$D121,$E121,TRUE)-_xlfn.NORM.DIST(CA$2,$D121,$E121,TRUE))</f>
        <v/>
      </c>
      <c r="CB121">
        <f>IF(NOT(ISNUMBER($D121)),"",_xlfn.NORM.DIST(CB$1,$D121,$E121,TRUE)-_xlfn.NORM.DIST(CB$2,$D121,$E121,TRUE))</f>
        <v/>
      </c>
      <c r="CC121">
        <f>IF(NOT(ISNUMBER($D121)),"",_xlfn.NORM.DIST(CC$1,$D121,$E121,TRUE)-_xlfn.NORM.DIST(CC$2,$D121,$E121,TRUE))</f>
        <v/>
      </c>
      <c r="CD121">
        <f>IF(NOT(ISNUMBER($D121)),"",_xlfn.NORM.DIST(CD$1,$D121,$E121,TRUE)-_xlfn.NORM.DIST(CD$2,$D121,$E121,TRUE))</f>
        <v/>
      </c>
      <c r="CE121">
        <f>IF(NOT(ISNUMBER($D121)),"",_xlfn.NORM.DIST(CE$1,$D121,$E121,TRUE)-_xlfn.NORM.DIST(CE$2,$D121,$E121,TRUE))</f>
        <v/>
      </c>
      <c r="CF121">
        <f>IF(NOT(ISNUMBER($D121)),"",_xlfn.NORM.DIST(CF$1,$D121,$E121,TRUE)-_xlfn.NORM.DIST(CF$2,$D121,$E121,TRUE))</f>
        <v/>
      </c>
      <c r="CG121">
        <f>IF(NOT(ISNUMBER($D121)),"",_xlfn.NORM.DIST(CG$1,$D121,$E121,TRUE)-_xlfn.NORM.DIST(CG$2,$D121,$E121,TRUE))</f>
        <v/>
      </c>
      <c r="CH121">
        <f>IF(NOT(ISNUMBER($D121)),"",_xlfn.NORM.DIST(CH$1,$D121,$E121,TRUE)-_xlfn.NORM.DIST(CH$2,$D121,$E121,TRUE))</f>
        <v/>
      </c>
      <c r="CI121">
        <f>IF(NOT(ISNUMBER($D121)),"",_xlfn.NORM.DIST(CI$1,$D121,$E121,TRUE)-_xlfn.NORM.DIST(CI$2,$D121,$E121,TRUE))</f>
        <v/>
      </c>
      <c r="CJ121">
        <f>IF(ISNUMBER($D121),SUM(F121:CI121),"")</f>
        <v/>
      </c>
    </row>
    <row r="122">
      <c r="A122">
        <f>economics!A121</f>
        <v/>
      </c>
      <c r="B122">
        <f>economics!B121</f>
        <v/>
      </c>
      <c r="C122">
        <f>economics!D121</f>
        <v/>
      </c>
      <c r="D122">
        <f>IF(ISNUMBER(economics!T121),economics!T121,"na")</f>
        <v/>
      </c>
      <c r="E122">
        <f>IF(ISNUMBER(D122),MAX(0.3*ABS(D122),0.000001),"na")</f>
        <v/>
      </c>
      <c r="F122">
        <f>IF(NOT(ISNUMBER($D122)),"",_xlfn.NORM.DIST(F$1,$D122,$E122,TRUE)-_xlfn.NORM.DIST(F$2,$D122,$E122,TRUE))</f>
        <v/>
      </c>
      <c r="G122">
        <f>IF(NOT(ISNUMBER($D122)),"",_xlfn.NORM.DIST(G$1,$D122,$E122,TRUE)-_xlfn.NORM.DIST(G$2,$D122,$E122,TRUE))</f>
        <v/>
      </c>
      <c r="H122">
        <f>IF(NOT(ISNUMBER($D122)),"",_xlfn.NORM.DIST(H$1,$D122,$E122,TRUE)-_xlfn.NORM.DIST(H$2,$D122,$E122,TRUE))</f>
        <v/>
      </c>
      <c r="I122">
        <f>IF(NOT(ISNUMBER($D122)),"",_xlfn.NORM.DIST(I$1,$D122,$E122,TRUE)-_xlfn.NORM.DIST(I$2,$D122,$E122,TRUE))</f>
        <v/>
      </c>
      <c r="J122">
        <f>IF(NOT(ISNUMBER($D122)),"",_xlfn.NORM.DIST(J$1,$D122,$E122,TRUE)-_xlfn.NORM.DIST(J$2,$D122,$E122,TRUE))</f>
        <v/>
      </c>
      <c r="K122">
        <f>IF(NOT(ISNUMBER($D122)),"",_xlfn.NORM.DIST(K$1,$D122,$E122,TRUE)-_xlfn.NORM.DIST(K$2,$D122,$E122,TRUE))</f>
        <v/>
      </c>
      <c r="L122">
        <f>IF(NOT(ISNUMBER($D122)),"",_xlfn.NORM.DIST(L$1,$D122,$E122,TRUE)-_xlfn.NORM.DIST(L$2,$D122,$E122,TRUE))</f>
        <v/>
      </c>
      <c r="M122">
        <f>IF(NOT(ISNUMBER($D122)),"",_xlfn.NORM.DIST(M$1,$D122,$E122,TRUE)-_xlfn.NORM.DIST(M$2,$D122,$E122,TRUE))</f>
        <v/>
      </c>
      <c r="N122">
        <f>IF(NOT(ISNUMBER($D122)),"",_xlfn.NORM.DIST(N$1,$D122,$E122,TRUE)-_xlfn.NORM.DIST(N$2,$D122,$E122,TRUE))</f>
        <v/>
      </c>
      <c r="O122">
        <f>IF(NOT(ISNUMBER($D122)),"",_xlfn.NORM.DIST(O$1,$D122,$E122,TRUE)-_xlfn.NORM.DIST(O$2,$D122,$E122,TRUE))</f>
        <v/>
      </c>
      <c r="P122">
        <f>IF(NOT(ISNUMBER($D122)),"",_xlfn.NORM.DIST(P$1,$D122,$E122,TRUE)-_xlfn.NORM.DIST(P$2,$D122,$E122,TRUE))</f>
        <v/>
      </c>
      <c r="Q122">
        <f>IF(NOT(ISNUMBER($D122)),"",_xlfn.NORM.DIST(Q$1,$D122,$E122,TRUE)-_xlfn.NORM.DIST(Q$2,$D122,$E122,TRUE))</f>
        <v/>
      </c>
      <c r="R122">
        <f>IF(NOT(ISNUMBER($D122)),"",_xlfn.NORM.DIST(R$1,$D122,$E122,TRUE)-_xlfn.NORM.DIST(R$2,$D122,$E122,TRUE))</f>
        <v/>
      </c>
      <c r="S122">
        <f>IF(NOT(ISNUMBER($D122)),"",_xlfn.NORM.DIST(S$1,$D122,$E122,TRUE)-_xlfn.NORM.DIST(S$2,$D122,$E122,TRUE))</f>
        <v/>
      </c>
      <c r="T122">
        <f>IF(NOT(ISNUMBER($D122)),"",_xlfn.NORM.DIST(T$1,$D122,$E122,TRUE)-_xlfn.NORM.DIST(T$2,$D122,$E122,TRUE))</f>
        <v/>
      </c>
      <c r="U122">
        <f>IF(NOT(ISNUMBER($D122)),"",_xlfn.NORM.DIST(U$1,$D122,$E122,TRUE)-_xlfn.NORM.DIST(U$2,$D122,$E122,TRUE))</f>
        <v/>
      </c>
      <c r="V122">
        <f>IF(NOT(ISNUMBER($D122)),"",_xlfn.NORM.DIST(V$1,$D122,$E122,TRUE)-_xlfn.NORM.DIST(V$2,$D122,$E122,TRUE))</f>
        <v/>
      </c>
      <c r="W122">
        <f>IF(NOT(ISNUMBER($D122)),"",_xlfn.NORM.DIST(W$1,$D122,$E122,TRUE)-_xlfn.NORM.DIST(W$2,$D122,$E122,TRUE))</f>
        <v/>
      </c>
      <c r="X122">
        <f>IF(NOT(ISNUMBER($D122)),"",_xlfn.NORM.DIST(X$1,$D122,$E122,TRUE)-_xlfn.NORM.DIST(X$2,$D122,$E122,TRUE))</f>
        <v/>
      </c>
      <c r="Y122">
        <f>IF(NOT(ISNUMBER($D122)),"",_xlfn.NORM.DIST(Y$1,$D122,$E122,TRUE)-_xlfn.NORM.DIST(Y$2,$D122,$E122,TRUE))</f>
        <v/>
      </c>
      <c r="Z122">
        <f>IF(NOT(ISNUMBER($D122)),"",_xlfn.NORM.DIST(Z$1,$D122,$E122,TRUE)-_xlfn.NORM.DIST(Z$2,$D122,$E122,TRUE))</f>
        <v/>
      </c>
      <c r="AA122">
        <f>IF(NOT(ISNUMBER($D122)),"",_xlfn.NORM.DIST(AA$1,$D122,$E122,TRUE)-_xlfn.NORM.DIST(AA$2,$D122,$E122,TRUE))</f>
        <v/>
      </c>
      <c r="AB122">
        <f>IF(NOT(ISNUMBER($D122)),"",_xlfn.NORM.DIST(AB$1,$D122,$E122,TRUE)-_xlfn.NORM.DIST(AB$2,$D122,$E122,TRUE))</f>
        <v/>
      </c>
      <c r="AC122">
        <f>IF(NOT(ISNUMBER($D122)),"",_xlfn.NORM.DIST(AC$1,$D122,$E122,TRUE)-_xlfn.NORM.DIST(AC$2,$D122,$E122,TRUE))</f>
        <v/>
      </c>
      <c r="AD122">
        <f>IF(NOT(ISNUMBER($D122)),"",_xlfn.NORM.DIST(AD$1,$D122,$E122,TRUE)-_xlfn.NORM.DIST(AD$2,$D122,$E122,TRUE))</f>
        <v/>
      </c>
      <c r="AE122">
        <f>IF(NOT(ISNUMBER($D122)),"",_xlfn.NORM.DIST(AE$1,$D122,$E122,TRUE)-_xlfn.NORM.DIST(AE$2,$D122,$E122,TRUE))</f>
        <v/>
      </c>
      <c r="AF122">
        <f>IF(NOT(ISNUMBER($D122)),"",_xlfn.NORM.DIST(AF$1,$D122,$E122,TRUE)-_xlfn.NORM.DIST(AF$2,$D122,$E122,TRUE))</f>
        <v/>
      </c>
      <c r="AG122">
        <f>IF(NOT(ISNUMBER($D122)),"",_xlfn.NORM.DIST(AG$1,$D122,$E122,TRUE)-_xlfn.NORM.DIST(AG$2,$D122,$E122,TRUE))</f>
        <v/>
      </c>
      <c r="AH122">
        <f>IF(NOT(ISNUMBER($D122)),"",_xlfn.NORM.DIST(AH$1,$D122,$E122,TRUE)-_xlfn.NORM.DIST(AH$2,$D122,$E122,TRUE))</f>
        <v/>
      </c>
      <c r="AI122">
        <f>IF(NOT(ISNUMBER($D122)),"",_xlfn.NORM.DIST(AI$1,$D122,$E122,TRUE)-_xlfn.NORM.DIST(AI$2,$D122,$E122,TRUE))</f>
        <v/>
      </c>
      <c r="AJ122">
        <f>IF(NOT(ISNUMBER($D122)),"",_xlfn.NORM.DIST(AJ$1,$D122,$E122,TRUE)-_xlfn.NORM.DIST(AJ$2,$D122,$E122,TRUE))</f>
        <v/>
      </c>
      <c r="AK122">
        <f>IF(NOT(ISNUMBER($D122)),"",_xlfn.NORM.DIST(AK$1,$D122,$E122,TRUE)-_xlfn.NORM.DIST(AK$2,$D122,$E122,TRUE))</f>
        <v/>
      </c>
      <c r="AL122">
        <f>IF(NOT(ISNUMBER($D122)),"",_xlfn.NORM.DIST(AL$1,$D122,$E122,TRUE)-_xlfn.NORM.DIST(AL$2,$D122,$E122,TRUE))</f>
        <v/>
      </c>
      <c r="AM122">
        <f>IF(NOT(ISNUMBER($D122)),"",_xlfn.NORM.DIST(AM$1,$D122,$E122,TRUE)-_xlfn.NORM.DIST(AM$2,$D122,$E122,TRUE))</f>
        <v/>
      </c>
      <c r="AN122">
        <f>IF(NOT(ISNUMBER($D122)),"",_xlfn.NORM.DIST(AN$1,$D122,$E122,TRUE)-_xlfn.NORM.DIST(AN$2,$D122,$E122,TRUE))</f>
        <v/>
      </c>
      <c r="AO122">
        <f>IF(NOT(ISNUMBER($D122)),"",_xlfn.NORM.DIST(AO$1,$D122,$E122,TRUE)-_xlfn.NORM.DIST(AO$2,$D122,$E122,TRUE))</f>
        <v/>
      </c>
      <c r="AP122">
        <f>IF(NOT(ISNUMBER($D122)),"",_xlfn.NORM.DIST(AP$1,$D122,$E122,TRUE)-_xlfn.NORM.DIST(AP$2,$D122,$E122,TRUE))</f>
        <v/>
      </c>
      <c r="AQ122">
        <f>IF(NOT(ISNUMBER($D122)),"",_xlfn.NORM.DIST(AQ$1,$D122,$E122,TRUE)-_xlfn.NORM.DIST(AQ$2,$D122,$E122,TRUE))</f>
        <v/>
      </c>
      <c r="AR122">
        <f>IF(NOT(ISNUMBER($D122)),"",_xlfn.NORM.DIST(AR$1,$D122,$E122,TRUE)-_xlfn.NORM.DIST(AR$2,$D122,$E122,TRUE))</f>
        <v/>
      </c>
      <c r="AS122">
        <f>IF(NOT(ISNUMBER($D122)),"",_xlfn.NORM.DIST(AS$1,$D122,$E122,TRUE)-_xlfn.NORM.DIST(AS$2,$D122,$E122,TRUE))</f>
        <v/>
      </c>
      <c r="AT122">
        <f>IF(NOT(ISNUMBER($D122)),"",_xlfn.NORM.DIST(AT$1,$D122,$E122,TRUE)-_xlfn.NORM.DIST(AT$2,$D122,$E122,TRUE))</f>
        <v/>
      </c>
      <c r="AU122">
        <f>IF(NOT(ISNUMBER($D122)),"",_xlfn.NORM.DIST(AU$1,$D122,$E122,TRUE)-_xlfn.NORM.DIST(AU$2,$D122,$E122,TRUE))</f>
        <v/>
      </c>
      <c r="AV122">
        <f>IF(NOT(ISNUMBER($D122)),"",_xlfn.NORM.DIST(AV$1,$D122,$E122,TRUE)-_xlfn.NORM.DIST(AV$2,$D122,$E122,TRUE))</f>
        <v/>
      </c>
      <c r="AW122">
        <f>IF(NOT(ISNUMBER($D122)),"",_xlfn.NORM.DIST(AW$1,$D122,$E122,TRUE)-_xlfn.NORM.DIST(AW$2,$D122,$E122,TRUE))</f>
        <v/>
      </c>
      <c r="AX122">
        <f>IF(NOT(ISNUMBER($D122)),"",_xlfn.NORM.DIST(AX$1,$D122,$E122,TRUE)-_xlfn.NORM.DIST(AX$2,$D122,$E122,TRUE))</f>
        <v/>
      </c>
      <c r="AY122">
        <f>IF(NOT(ISNUMBER($D122)),"",_xlfn.NORM.DIST(AY$1,$D122,$E122,TRUE)-_xlfn.NORM.DIST(AY$2,$D122,$E122,TRUE))</f>
        <v/>
      </c>
      <c r="AZ122">
        <f>IF(NOT(ISNUMBER($D122)),"",_xlfn.NORM.DIST(AZ$1,$D122,$E122,TRUE)-_xlfn.NORM.DIST(AZ$2,$D122,$E122,TRUE))</f>
        <v/>
      </c>
      <c r="BA122">
        <f>IF(NOT(ISNUMBER($D122)),"",_xlfn.NORM.DIST(BA$1,$D122,$E122,TRUE)-_xlfn.NORM.DIST(BA$2,$D122,$E122,TRUE))</f>
        <v/>
      </c>
      <c r="BB122">
        <f>IF(NOT(ISNUMBER($D122)),"",_xlfn.NORM.DIST(BB$1,$D122,$E122,TRUE)-_xlfn.NORM.DIST(BB$2,$D122,$E122,TRUE))</f>
        <v/>
      </c>
      <c r="BC122">
        <f>IF(NOT(ISNUMBER($D122)),"",_xlfn.NORM.DIST(BC$1,$D122,$E122,TRUE)-_xlfn.NORM.DIST(BC$2,$D122,$E122,TRUE))</f>
        <v/>
      </c>
      <c r="BD122">
        <f>IF(NOT(ISNUMBER($D122)),"",_xlfn.NORM.DIST(BD$1,$D122,$E122,TRUE)-_xlfn.NORM.DIST(BD$2,$D122,$E122,TRUE))</f>
        <v/>
      </c>
      <c r="BE122">
        <f>IF(NOT(ISNUMBER($D122)),"",_xlfn.NORM.DIST(BE$1,$D122,$E122,TRUE)-_xlfn.NORM.DIST(BE$2,$D122,$E122,TRUE))</f>
        <v/>
      </c>
      <c r="BF122">
        <f>IF(NOT(ISNUMBER($D122)),"",_xlfn.NORM.DIST(BF$1,$D122,$E122,TRUE)-_xlfn.NORM.DIST(BF$2,$D122,$E122,TRUE))</f>
        <v/>
      </c>
      <c r="BG122">
        <f>IF(NOT(ISNUMBER($D122)),"",_xlfn.NORM.DIST(BG$1,$D122,$E122,TRUE)-_xlfn.NORM.DIST(BG$2,$D122,$E122,TRUE))</f>
        <v/>
      </c>
      <c r="BH122">
        <f>IF(NOT(ISNUMBER($D122)),"",_xlfn.NORM.DIST(BH$1,$D122,$E122,TRUE)-_xlfn.NORM.DIST(BH$2,$D122,$E122,TRUE))</f>
        <v/>
      </c>
      <c r="BI122">
        <f>IF(NOT(ISNUMBER($D122)),"",_xlfn.NORM.DIST(BI$1,$D122,$E122,TRUE)-_xlfn.NORM.DIST(BI$2,$D122,$E122,TRUE))</f>
        <v/>
      </c>
      <c r="BJ122">
        <f>IF(NOT(ISNUMBER($D122)),"",_xlfn.NORM.DIST(BJ$1,$D122,$E122,TRUE)-_xlfn.NORM.DIST(BJ$2,$D122,$E122,TRUE))</f>
        <v/>
      </c>
      <c r="BK122">
        <f>IF(NOT(ISNUMBER($D122)),"",_xlfn.NORM.DIST(BK$1,$D122,$E122,TRUE)-_xlfn.NORM.DIST(BK$2,$D122,$E122,TRUE))</f>
        <v/>
      </c>
      <c r="BL122">
        <f>IF(NOT(ISNUMBER($D122)),"",_xlfn.NORM.DIST(BL$1,$D122,$E122,TRUE)-_xlfn.NORM.DIST(BL$2,$D122,$E122,TRUE))</f>
        <v/>
      </c>
      <c r="BM122">
        <f>IF(NOT(ISNUMBER($D122)),"",_xlfn.NORM.DIST(BM$1,$D122,$E122,TRUE)-_xlfn.NORM.DIST(BM$2,$D122,$E122,TRUE))</f>
        <v/>
      </c>
      <c r="BN122">
        <f>IF(NOT(ISNUMBER($D122)),"",_xlfn.NORM.DIST(BN$1,$D122,$E122,TRUE)-_xlfn.NORM.DIST(BN$2,$D122,$E122,TRUE))</f>
        <v/>
      </c>
      <c r="BO122">
        <f>IF(NOT(ISNUMBER($D122)),"",_xlfn.NORM.DIST(BO$1,$D122,$E122,TRUE)-_xlfn.NORM.DIST(BO$2,$D122,$E122,TRUE))</f>
        <v/>
      </c>
      <c r="BP122">
        <f>IF(NOT(ISNUMBER($D122)),"",_xlfn.NORM.DIST(BP$1,$D122,$E122,TRUE)-_xlfn.NORM.DIST(BP$2,$D122,$E122,TRUE))</f>
        <v/>
      </c>
      <c r="BQ122">
        <f>IF(NOT(ISNUMBER($D122)),"",_xlfn.NORM.DIST(BQ$1,$D122,$E122,TRUE)-_xlfn.NORM.DIST(BQ$2,$D122,$E122,TRUE))</f>
        <v/>
      </c>
      <c r="BR122">
        <f>IF(NOT(ISNUMBER($D122)),"",_xlfn.NORM.DIST(BR$1,$D122,$E122,TRUE)-_xlfn.NORM.DIST(BR$2,$D122,$E122,TRUE))</f>
        <v/>
      </c>
      <c r="BS122">
        <f>IF(NOT(ISNUMBER($D122)),"",_xlfn.NORM.DIST(BS$1,$D122,$E122,TRUE)-_xlfn.NORM.DIST(BS$2,$D122,$E122,TRUE))</f>
        <v/>
      </c>
      <c r="BT122">
        <f>IF(NOT(ISNUMBER($D122)),"",_xlfn.NORM.DIST(BT$1,$D122,$E122,TRUE)-_xlfn.NORM.DIST(BT$2,$D122,$E122,TRUE))</f>
        <v/>
      </c>
      <c r="BU122">
        <f>IF(NOT(ISNUMBER($D122)),"",_xlfn.NORM.DIST(BU$1,$D122,$E122,TRUE)-_xlfn.NORM.DIST(BU$2,$D122,$E122,TRUE))</f>
        <v/>
      </c>
      <c r="BV122">
        <f>IF(NOT(ISNUMBER($D122)),"",_xlfn.NORM.DIST(BV$1,$D122,$E122,TRUE)-_xlfn.NORM.DIST(BV$2,$D122,$E122,TRUE))</f>
        <v/>
      </c>
      <c r="BW122">
        <f>IF(NOT(ISNUMBER($D122)),"",_xlfn.NORM.DIST(BW$1,$D122,$E122,TRUE)-_xlfn.NORM.DIST(BW$2,$D122,$E122,TRUE))</f>
        <v/>
      </c>
      <c r="BX122">
        <f>IF(NOT(ISNUMBER($D122)),"",_xlfn.NORM.DIST(BX$1,$D122,$E122,TRUE)-_xlfn.NORM.DIST(BX$2,$D122,$E122,TRUE))</f>
        <v/>
      </c>
      <c r="BY122">
        <f>IF(NOT(ISNUMBER($D122)),"",_xlfn.NORM.DIST(BY$1,$D122,$E122,TRUE)-_xlfn.NORM.DIST(BY$2,$D122,$E122,TRUE))</f>
        <v/>
      </c>
      <c r="BZ122">
        <f>IF(NOT(ISNUMBER($D122)),"",_xlfn.NORM.DIST(BZ$1,$D122,$E122,TRUE)-_xlfn.NORM.DIST(BZ$2,$D122,$E122,TRUE))</f>
        <v/>
      </c>
      <c r="CA122">
        <f>IF(NOT(ISNUMBER($D122)),"",_xlfn.NORM.DIST(CA$1,$D122,$E122,TRUE)-_xlfn.NORM.DIST(CA$2,$D122,$E122,TRUE))</f>
        <v/>
      </c>
      <c r="CB122">
        <f>IF(NOT(ISNUMBER($D122)),"",_xlfn.NORM.DIST(CB$1,$D122,$E122,TRUE)-_xlfn.NORM.DIST(CB$2,$D122,$E122,TRUE))</f>
        <v/>
      </c>
      <c r="CC122">
        <f>IF(NOT(ISNUMBER($D122)),"",_xlfn.NORM.DIST(CC$1,$D122,$E122,TRUE)-_xlfn.NORM.DIST(CC$2,$D122,$E122,TRUE))</f>
        <v/>
      </c>
      <c r="CD122">
        <f>IF(NOT(ISNUMBER($D122)),"",_xlfn.NORM.DIST(CD$1,$D122,$E122,TRUE)-_xlfn.NORM.DIST(CD$2,$D122,$E122,TRUE))</f>
        <v/>
      </c>
      <c r="CE122">
        <f>IF(NOT(ISNUMBER($D122)),"",_xlfn.NORM.DIST(CE$1,$D122,$E122,TRUE)-_xlfn.NORM.DIST(CE$2,$D122,$E122,TRUE))</f>
        <v/>
      </c>
      <c r="CF122">
        <f>IF(NOT(ISNUMBER($D122)),"",_xlfn.NORM.DIST(CF$1,$D122,$E122,TRUE)-_xlfn.NORM.DIST(CF$2,$D122,$E122,TRUE))</f>
        <v/>
      </c>
      <c r="CG122">
        <f>IF(NOT(ISNUMBER($D122)),"",_xlfn.NORM.DIST(CG$1,$D122,$E122,TRUE)-_xlfn.NORM.DIST(CG$2,$D122,$E122,TRUE))</f>
        <v/>
      </c>
      <c r="CH122">
        <f>IF(NOT(ISNUMBER($D122)),"",_xlfn.NORM.DIST(CH$1,$D122,$E122,TRUE)-_xlfn.NORM.DIST(CH$2,$D122,$E122,TRUE))</f>
        <v/>
      </c>
      <c r="CI122">
        <f>IF(NOT(ISNUMBER($D122)),"",_xlfn.NORM.DIST(CI$1,$D122,$E122,TRUE)-_xlfn.NORM.DIST(CI$2,$D122,$E122,TRUE))</f>
        <v/>
      </c>
      <c r="CJ122">
        <f>IF(ISNUMBER($D122),SUM(F122:CI122),"")</f>
        <v/>
      </c>
    </row>
    <row r="123">
      <c r="A123">
        <f>economics!A122</f>
        <v/>
      </c>
      <c r="B123">
        <f>economics!B122</f>
        <v/>
      </c>
      <c r="C123">
        <f>economics!D122</f>
        <v/>
      </c>
      <c r="D123">
        <f>IF(ISNUMBER(economics!T122),economics!T122,"na")</f>
        <v/>
      </c>
      <c r="E123">
        <f>IF(ISNUMBER(D123),MAX(0.3*ABS(D123),0.000001),"na")</f>
        <v/>
      </c>
      <c r="F123">
        <f>IF(NOT(ISNUMBER($D123)),"",_xlfn.NORM.DIST(F$1,$D123,$E123,TRUE)-_xlfn.NORM.DIST(F$2,$D123,$E123,TRUE))</f>
        <v/>
      </c>
      <c r="G123">
        <f>IF(NOT(ISNUMBER($D123)),"",_xlfn.NORM.DIST(G$1,$D123,$E123,TRUE)-_xlfn.NORM.DIST(G$2,$D123,$E123,TRUE))</f>
        <v/>
      </c>
      <c r="H123">
        <f>IF(NOT(ISNUMBER($D123)),"",_xlfn.NORM.DIST(H$1,$D123,$E123,TRUE)-_xlfn.NORM.DIST(H$2,$D123,$E123,TRUE))</f>
        <v/>
      </c>
      <c r="I123">
        <f>IF(NOT(ISNUMBER($D123)),"",_xlfn.NORM.DIST(I$1,$D123,$E123,TRUE)-_xlfn.NORM.DIST(I$2,$D123,$E123,TRUE))</f>
        <v/>
      </c>
      <c r="J123">
        <f>IF(NOT(ISNUMBER($D123)),"",_xlfn.NORM.DIST(J$1,$D123,$E123,TRUE)-_xlfn.NORM.DIST(J$2,$D123,$E123,TRUE))</f>
        <v/>
      </c>
      <c r="K123">
        <f>IF(NOT(ISNUMBER($D123)),"",_xlfn.NORM.DIST(K$1,$D123,$E123,TRUE)-_xlfn.NORM.DIST(K$2,$D123,$E123,TRUE))</f>
        <v/>
      </c>
      <c r="L123">
        <f>IF(NOT(ISNUMBER($D123)),"",_xlfn.NORM.DIST(L$1,$D123,$E123,TRUE)-_xlfn.NORM.DIST(L$2,$D123,$E123,TRUE))</f>
        <v/>
      </c>
      <c r="M123">
        <f>IF(NOT(ISNUMBER($D123)),"",_xlfn.NORM.DIST(M$1,$D123,$E123,TRUE)-_xlfn.NORM.DIST(M$2,$D123,$E123,TRUE))</f>
        <v/>
      </c>
      <c r="N123">
        <f>IF(NOT(ISNUMBER($D123)),"",_xlfn.NORM.DIST(N$1,$D123,$E123,TRUE)-_xlfn.NORM.DIST(N$2,$D123,$E123,TRUE))</f>
        <v/>
      </c>
      <c r="O123">
        <f>IF(NOT(ISNUMBER($D123)),"",_xlfn.NORM.DIST(O$1,$D123,$E123,TRUE)-_xlfn.NORM.DIST(O$2,$D123,$E123,TRUE))</f>
        <v/>
      </c>
      <c r="P123">
        <f>IF(NOT(ISNUMBER($D123)),"",_xlfn.NORM.DIST(P$1,$D123,$E123,TRUE)-_xlfn.NORM.DIST(P$2,$D123,$E123,TRUE))</f>
        <v/>
      </c>
      <c r="Q123">
        <f>IF(NOT(ISNUMBER($D123)),"",_xlfn.NORM.DIST(Q$1,$D123,$E123,TRUE)-_xlfn.NORM.DIST(Q$2,$D123,$E123,TRUE))</f>
        <v/>
      </c>
      <c r="R123">
        <f>IF(NOT(ISNUMBER($D123)),"",_xlfn.NORM.DIST(R$1,$D123,$E123,TRUE)-_xlfn.NORM.DIST(R$2,$D123,$E123,TRUE))</f>
        <v/>
      </c>
      <c r="S123">
        <f>IF(NOT(ISNUMBER($D123)),"",_xlfn.NORM.DIST(S$1,$D123,$E123,TRUE)-_xlfn.NORM.DIST(S$2,$D123,$E123,TRUE))</f>
        <v/>
      </c>
      <c r="T123">
        <f>IF(NOT(ISNUMBER($D123)),"",_xlfn.NORM.DIST(T$1,$D123,$E123,TRUE)-_xlfn.NORM.DIST(T$2,$D123,$E123,TRUE))</f>
        <v/>
      </c>
      <c r="U123">
        <f>IF(NOT(ISNUMBER($D123)),"",_xlfn.NORM.DIST(U$1,$D123,$E123,TRUE)-_xlfn.NORM.DIST(U$2,$D123,$E123,TRUE))</f>
        <v/>
      </c>
      <c r="V123">
        <f>IF(NOT(ISNUMBER($D123)),"",_xlfn.NORM.DIST(V$1,$D123,$E123,TRUE)-_xlfn.NORM.DIST(V$2,$D123,$E123,TRUE))</f>
        <v/>
      </c>
      <c r="W123">
        <f>IF(NOT(ISNUMBER($D123)),"",_xlfn.NORM.DIST(W$1,$D123,$E123,TRUE)-_xlfn.NORM.DIST(W$2,$D123,$E123,TRUE))</f>
        <v/>
      </c>
      <c r="X123">
        <f>IF(NOT(ISNUMBER($D123)),"",_xlfn.NORM.DIST(X$1,$D123,$E123,TRUE)-_xlfn.NORM.DIST(X$2,$D123,$E123,TRUE))</f>
        <v/>
      </c>
      <c r="Y123">
        <f>IF(NOT(ISNUMBER($D123)),"",_xlfn.NORM.DIST(Y$1,$D123,$E123,TRUE)-_xlfn.NORM.DIST(Y$2,$D123,$E123,TRUE))</f>
        <v/>
      </c>
      <c r="Z123">
        <f>IF(NOT(ISNUMBER($D123)),"",_xlfn.NORM.DIST(Z$1,$D123,$E123,TRUE)-_xlfn.NORM.DIST(Z$2,$D123,$E123,TRUE))</f>
        <v/>
      </c>
      <c r="AA123">
        <f>IF(NOT(ISNUMBER($D123)),"",_xlfn.NORM.DIST(AA$1,$D123,$E123,TRUE)-_xlfn.NORM.DIST(AA$2,$D123,$E123,TRUE))</f>
        <v/>
      </c>
      <c r="AB123">
        <f>IF(NOT(ISNUMBER($D123)),"",_xlfn.NORM.DIST(AB$1,$D123,$E123,TRUE)-_xlfn.NORM.DIST(AB$2,$D123,$E123,TRUE))</f>
        <v/>
      </c>
      <c r="AC123">
        <f>IF(NOT(ISNUMBER($D123)),"",_xlfn.NORM.DIST(AC$1,$D123,$E123,TRUE)-_xlfn.NORM.DIST(AC$2,$D123,$E123,TRUE))</f>
        <v/>
      </c>
      <c r="AD123">
        <f>IF(NOT(ISNUMBER($D123)),"",_xlfn.NORM.DIST(AD$1,$D123,$E123,TRUE)-_xlfn.NORM.DIST(AD$2,$D123,$E123,TRUE))</f>
        <v/>
      </c>
      <c r="AE123">
        <f>IF(NOT(ISNUMBER($D123)),"",_xlfn.NORM.DIST(AE$1,$D123,$E123,TRUE)-_xlfn.NORM.DIST(AE$2,$D123,$E123,TRUE))</f>
        <v/>
      </c>
      <c r="AF123">
        <f>IF(NOT(ISNUMBER($D123)),"",_xlfn.NORM.DIST(AF$1,$D123,$E123,TRUE)-_xlfn.NORM.DIST(AF$2,$D123,$E123,TRUE))</f>
        <v/>
      </c>
      <c r="AG123">
        <f>IF(NOT(ISNUMBER($D123)),"",_xlfn.NORM.DIST(AG$1,$D123,$E123,TRUE)-_xlfn.NORM.DIST(AG$2,$D123,$E123,TRUE))</f>
        <v/>
      </c>
      <c r="AH123">
        <f>IF(NOT(ISNUMBER($D123)),"",_xlfn.NORM.DIST(AH$1,$D123,$E123,TRUE)-_xlfn.NORM.DIST(AH$2,$D123,$E123,TRUE))</f>
        <v/>
      </c>
      <c r="AI123">
        <f>IF(NOT(ISNUMBER($D123)),"",_xlfn.NORM.DIST(AI$1,$D123,$E123,TRUE)-_xlfn.NORM.DIST(AI$2,$D123,$E123,TRUE))</f>
        <v/>
      </c>
      <c r="AJ123">
        <f>IF(NOT(ISNUMBER($D123)),"",_xlfn.NORM.DIST(AJ$1,$D123,$E123,TRUE)-_xlfn.NORM.DIST(AJ$2,$D123,$E123,TRUE))</f>
        <v/>
      </c>
      <c r="AK123">
        <f>IF(NOT(ISNUMBER($D123)),"",_xlfn.NORM.DIST(AK$1,$D123,$E123,TRUE)-_xlfn.NORM.DIST(AK$2,$D123,$E123,TRUE))</f>
        <v/>
      </c>
      <c r="AL123">
        <f>IF(NOT(ISNUMBER($D123)),"",_xlfn.NORM.DIST(AL$1,$D123,$E123,TRUE)-_xlfn.NORM.DIST(AL$2,$D123,$E123,TRUE))</f>
        <v/>
      </c>
      <c r="AM123">
        <f>IF(NOT(ISNUMBER($D123)),"",_xlfn.NORM.DIST(AM$1,$D123,$E123,TRUE)-_xlfn.NORM.DIST(AM$2,$D123,$E123,TRUE))</f>
        <v/>
      </c>
      <c r="AN123">
        <f>IF(NOT(ISNUMBER($D123)),"",_xlfn.NORM.DIST(AN$1,$D123,$E123,TRUE)-_xlfn.NORM.DIST(AN$2,$D123,$E123,TRUE))</f>
        <v/>
      </c>
      <c r="AO123">
        <f>IF(NOT(ISNUMBER($D123)),"",_xlfn.NORM.DIST(AO$1,$D123,$E123,TRUE)-_xlfn.NORM.DIST(AO$2,$D123,$E123,TRUE))</f>
        <v/>
      </c>
      <c r="AP123">
        <f>IF(NOT(ISNUMBER($D123)),"",_xlfn.NORM.DIST(AP$1,$D123,$E123,TRUE)-_xlfn.NORM.DIST(AP$2,$D123,$E123,TRUE))</f>
        <v/>
      </c>
      <c r="AQ123">
        <f>IF(NOT(ISNUMBER($D123)),"",_xlfn.NORM.DIST(AQ$1,$D123,$E123,TRUE)-_xlfn.NORM.DIST(AQ$2,$D123,$E123,TRUE))</f>
        <v/>
      </c>
      <c r="AR123">
        <f>IF(NOT(ISNUMBER($D123)),"",_xlfn.NORM.DIST(AR$1,$D123,$E123,TRUE)-_xlfn.NORM.DIST(AR$2,$D123,$E123,TRUE))</f>
        <v/>
      </c>
      <c r="AS123">
        <f>IF(NOT(ISNUMBER($D123)),"",_xlfn.NORM.DIST(AS$1,$D123,$E123,TRUE)-_xlfn.NORM.DIST(AS$2,$D123,$E123,TRUE))</f>
        <v/>
      </c>
      <c r="AT123">
        <f>IF(NOT(ISNUMBER($D123)),"",_xlfn.NORM.DIST(AT$1,$D123,$E123,TRUE)-_xlfn.NORM.DIST(AT$2,$D123,$E123,TRUE))</f>
        <v/>
      </c>
      <c r="AU123">
        <f>IF(NOT(ISNUMBER($D123)),"",_xlfn.NORM.DIST(AU$1,$D123,$E123,TRUE)-_xlfn.NORM.DIST(AU$2,$D123,$E123,TRUE))</f>
        <v/>
      </c>
      <c r="AV123">
        <f>IF(NOT(ISNUMBER($D123)),"",_xlfn.NORM.DIST(AV$1,$D123,$E123,TRUE)-_xlfn.NORM.DIST(AV$2,$D123,$E123,TRUE))</f>
        <v/>
      </c>
      <c r="AW123">
        <f>IF(NOT(ISNUMBER($D123)),"",_xlfn.NORM.DIST(AW$1,$D123,$E123,TRUE)-_xlfn.NORM.DIST(AW$2,$D123,$E123,TRUE))</f>
        <v/>
      </c>
      <c r="AX123">
        <f>IF(NOT(ISNUMBER($D123)),"",_xlfn.NORM.DIST(AX$1,$D123,$E123,TRUE)-_xlfn.NORM.DIST(AX$2,$D123,$E123,TRUE))</f>
        <v/>
      </c>
      <c r="AY123">
        <f>IF(NOT(ISNUMBER($D123)),"",_xlfn.NORM.DIST(AY$1,$D123,$E123,TRUE)-_xlfn.NORM.DIST(AY$2,$D123,$E123,TRUE))</f>
        <v/>
      </c>
      <c r="AZ123">
        <f>IF(NOT(ISNUMBER($D123)),"",_xlfn.NORM.DIST(AZ$1,$D123,$E123,TRUE)-_xlfn.NORM.DIST(AZ$2,$D123,$E123,TRUE))</f>
        <v/>
      </c>
      <c r="BA123">
        <f>IF(NOT(ISNUMBER($D123)),"",_xlfn.NORM.DIST(BA$1,$D123,$E123,TRUE)-_xlfn.NORM.DIST(BA$2,$D123,$E123,TRUE))</f>
        <v/>
      </c>
      <c r="BB123">
        <f>IF(NOT(ISNUMBER($D123)),"",_xlfn.NORM.DIST(BB$1,$D123,$E123,TRUE)-_xlfn.NORM.DIST(BB$2,$D123,$E123,TRUE))</f>
        <v/>
      </c>
      <c r="BC123">
        <f>IF(NOT(ISNUMBER($D123)),"",_xlfn.NORM.DIST(BC$1,$D123,$E123,TRUE)-_xlfn.NORM.DIST(BC$2,$D123,$E123,TRUE))</f>
        <v/>
      </c>
      <c r="BD123">
        <f>IF(NOT(ISNUMBER($D123)),"",_xlfn.NORM.DIST(BD$1,$D123,$E123,TRUE)-_xlfn.NORM.DIST(BD$2,$D123,$E123,TRUE))</f>
        <v/>
      </c>
      <c r="BE123">
        <f>IF(NOT(ISNUMBER($D123)),"",_xlfn.NORM.DIST(BE$1,$D123,$E123,TRUE)-_xlfn.NORM.DIST(BE$2,$D123,$E123,TRUE))</f>
        <v/>
      </c>
      <c r="BF123">
        <f>IF(NOT(ISNUMBER($D123)),"",_xlfn.NORM.DIST(BF$1,$D123,$E123,TRUE)-_xlfn.NORM.DIST(BF$2,$D123,$E123,TRUE))</f>
        <v/>
      </c>
      <c r="BG123">
        <f>IF(NOT(ISNUMBER($D123)),"",_xlfn.NORM.DIST(BG$1,$D123,$E123,TRUE)-_xlfn.NORM.DIST(BG$2,$D123,$E123,TRUE))</f>
        <v/>
      </c>
      <c r="BH123">
        <f>IF(NOT(ISNUMBER($D123)),"",_xlfn.NORM.DIST(BH$1,$D123,$E123,TRUE)-_xlfn.NORM.DIST(BH$2,$D123,$E123,TRUE))</f>
        <v/>
      </c>
      <c r="BI123">
        <f>IF(NOT(ISNUMBER($D123)),"",_xlfn.NORM.DIST(BI$1,$D123,$E123,TRUE)-_xlfn.NORM.DIST(BI$2,$D123,$E123,TRUE))</f>
        <v/>
      </c>
      <c r="BJ123">
        <f>IF(NOT(ISNUMBER($D123)),"",_xlfn.NORM.DIST(BJ$1,$D123,$E123,TRUE)-_xlfn.NORM.DIST(BJ$2,$D123,$E123,TRUE))</f>
        <v/>
      </c>
      <c r="BK123">
        <f>IF(NOT(ISNUMBER($D123)),"",_xlfn.NORM.DIST(BK$1,$D123,$E123,TRUE)-_xlfn.NORM.DIST(BK$2,$D123,$E123,TRUE))</f>
        <v/>
      </c>
      <c r="BL123">
        <f>IF(NOT(ISNUMBER($D123)),"",_xlfn.NORM.DIST(BL$1,$D123,$E123,TRUE)-_xlfn.NORM.DIST(BL$2,$D123,$E123,TRUE))</f>
        <v/>
      </c>
      <c r="BM123">
        <f>IF(NOT(ISNUMBER($D123)),"",_xlfn.NORM.DIST(BM$1,$D123,$E123,TRUE)-_xlfn.NORM.DIST(BM$2,$D123,$E123,TRUE))</f>
        <v/>
      </c>
      <c r="BN123">
        <f>IF(NOT(ISNUMBER($D123)),"",_xlfn.NORM.DIST(BN$1,$D123,$E123,TRUE)-_xlfn.NORM.DIST(BN$2,$D123,$E123,TRUE))</f>
        <v/>
      </c>
      <c r="BO123">
        <f>IF(NOT(ISNUMBER($D123)),"",_xlfn.NORM.DIST(BO$1,$D123,$E123,TRUE)-_xlfn.NORM.DIST(BO$2,$D123,$E123,TRUE))</f>
        <v/>
      </c>
      <c r="BP123">
        <f>IF(NOT(ISNUMBER($D123)),"",_xlfn.NORM.DIST(BP$1,$D123,$E123,TRUE)-_xlfn.NORM.DIST(BP$2,$D123,$E123,TRUE))</f>
        <v/>
      </c>
      <c r="BQ123">
        <f>IF(NOT(ISNUMBER($D123)),"",_xlfn.NORM.DIST(BQ$1,$D123,$E123,TRUE)-_xlfn.NORM.DIST(BQ$2,$D123,$E123,TRUE))</f>
        <v/>
      </c>
      <c r="BR123">
        <f>IF(NOT(ISNUMBER($D123)),"",_xlfn.NORM.DIST(BR$1,$D123,$E123,TRUE)-_xlfn.NORM.DIST(BR$2,$D123,$E123,TRUE))</f>
        <v/>
      </c>
      <c r="BS123">
        <f>IF(NOT(ISNUMBER($D123)),"",_xlfn.NORM.DIST(BS$1,$D123,$E123,TRUE)-_xlfn.NORM.DIST(BS$2,$D123,$E123,TRUE))</f>
        <v/>
      </c>
      <c r="BT123">
        <f>IF(NOT(ISNUMBER($D123)),"",_xlfn.NORM.DIST(BT$1,$D123,$E123,TRUE)-_xlfn.NORM.DIST(BT$2,$D123,$E123,TRUE))</f>
        <v/>
      </c>
      <c r="BU123">
        <f>IF(NOT(ISNUMBER($D123)),"",_xlfn.NORM.DIST(BU$1,$D123,$E123,TRUE)-_xlfn.NORM.DIST(BU$2,$D123,$E123,TRUE))</f>
        <v/>
      </c>
      <c r="BV123">
        <f>IF(NOT(ISNUMBER($D123)),"",_xlfn.NORM.DIST(BV$1,$D123,$E123,TRUE)-_xlfn.NORM.DIST(BV$2,$D123,$E123,TRUE))</f>
        <v/>
      </c>
      <c r="BW123">
        <f>IF(NOT(ISNUMBER($D123)),"",_xlfn.NORM.DIST(BW$1,$D123,$E123,TRUE)-_xlfn.NORM.DIST(BW$2,$D123,$E123,TRUE))</f>
        <v/>
      </c>
      <c r="BX123">
        <f>IF(NOT(ISNUMBER($D123)),"",_xlfn.NORM.DIST(BX$1,$D123,$E123,TRUE)-_xlfn.NORM.DIST(BX$2,$D123,$E123,TRUE))</f>
        <v/>
      </c>
      <c r="BY123">
        <f>IF(NOT(ISNUMBER($D123)),"",_xlfn.NORM.DIST(BY$1,$D123,$E123,TRUE)-_xlfn.NORM.DIST(BY$2,$D123,$E123,TRUE))</f>
        <v/>
      </c>
      <c r="BZ123">
        <f>IF(NOT(ISNUMBER($D123)),"",_xlfn.NORM.DIST(BZ$1,$D123,$E123,TRUE)-_xlfn.NORM.DIST(BZ$2,$D123,$E123,TRUE))</f>
        <v/>
      </c>
      <c r="CA123">
        <f>IF(NOT(ISNUMBER($D123)),"",_xlfn.NORM.DIST(CA$1,$D123,$E123,TRUE)-_xlfn.NORM.DIST(CA$2,$D123,$E123,TRUE))</f>
        <v/>
      </c>
      <c r="CB123">
        <f>IF(NOT(ISNUMBER($D123)),"",_xlfn.NORM.DIST(CB$1,$D123,$E123,TRUE)-_xlfn.NORM.DIST(CB$2,$D123,$E123,TRUE))</f>
        <v/>
      </c>
      <c r="CC123">
        <f>IF(NOT(ISNUMBER($D123)),"",_xlfn.NORM.DIST(CC$1,$D123,$E123,TRUE)-_xlfn.NORM.DIST(CC$2,$D123,$E123,TRUE))</f>
        <v/>
      </c>
      <c r="CD123">
        <f>IF(NOT(ISNUMBER($D123)),"",_xlfn.NORM.DIST(CD$1,$D123,$E123,TRUE)-_xlfn.NORM.DIST(CD$2,$D123,$E123,TRUE))</f>
        <v/>
      </c>
      <c r="CE123">
        <f>IF(NOT(ISNUMBER($D123)),"",_xlfn.NORM.DIST(CE$1,$D123,$E123,TRUE)-_xlfn.NORM.DIST(CE$2,$D123,$E123,TRUE))</f>
        <v/>
      </c>
      <c r="CF123">
        <f>IF(NOT(ISNUMBER($D123)),"",_xlfn.NORM.DIST(CF$1,$D123,$E123,TRUE)-_xlfn.NORM.DIST(CF$2,$D123,$E123,TRUE))</f>
        <v/>
      </c>
      <c r="CG123">
        <f>IF(NOT(ISNUMBER($D123)),"",_xlfn.NORM.DIST(CG$1,$D123,$E123,TRUE)-_xlfn.NORM.DIST(CG$2,$D123,$E123,TRUE))</f>
        <v/>
      </c>
      <c r="CH123">
        <f>IF(NOT(ISNUMBER($D123)),"",_xlfn.NORM.DIST(CH$1,$D123,$E123,TRUE)-_xlfn.NORM.DIST(CH$2,$D123,$E123,TRUE))</f>
        <v/>
      </c>
      <c r="CI123">
        <f>IF(NOT(ISNUMBER($D123)),"",_xlfn.NORM.DIST(CI$1,$D123,$E123,TRUE)-_xlfn.NORM.DIST(CI$2,$D123,$E123,TRUE))</f>
        <v/>
      </c>
      <c r="CJ123">
        <f>IF(ISNUMBER($D123),SUM(F123:CI123),"")</f>
        <v/>
      </c>
    </row>
    <row r="124">
      <c r="A124">
        <f>economics!A123</f>
        <v/>
      </c>
      <c r="B124">
        <f>economics!B123</f>
        <v/>
      </c>
      <c r="C124">
        <f>economics!D123</f>
        <v/>
      </c>
      <c r="D124">
        <f>IF(ISNUMBER(economics!T123),economics!T123,"na")</f>
        <v/>
      </c>
      <c r="E124">
        <f>IF(ISNUMBER(D124),MAX(0.3*ABS(D124),0.000001),"na")</f>
        <v/>
      </c>
      <c r="F124">
        <f>IF(NOT(ISNUMBER($D124)),"",_xlfn.NORM.DIST(F$1,$D124,$E124,TRUE)-_xlfn.NORM.DIST(F$2,$D124,$E124,TRUE))</f>
        <v/>
      </c>
      <c r="G124">
        <f>IF(NOT(ISNUMBER($D124)),"",_xlfn.NORM.DIST(G$1,$D124,$E124,TRUE)-_xlfn.NORM.DIST(G$2,$D124,$E124,TRUE))</f>
        <v/>
      </c>
      <c r="H124">
        <f>IF(NOT(ISNUMBER($D124)),"",_xlfn.NORM.DIST(H$1,$D124,$E124,TRUE)-_xlfn.NORM.DIST(H$2,$D124,$E124,TRUE))</f>
        <v/>
      </c>
      <c r="I124">
        <f>IF(NOT(ISNUMBER($D124)),"",_xlfn.NORM.DIST(I$1,$D124,$E124,TRUE)-_xlfn.NORM.DIST(I$2,$D124,$E124,TRUE))</f>
        <v/>
      </c>
      <c r="J124">
        <f>IF(NOT(ISNUMBER($D124)),"",_xlfn.NORM.DIST(J$1,$D124,$E124,TRUE)-_xlfn.NORM.DIST(J$2,$D124,$E124,TRUE))</f>
        <v/>
      </c>
      <c r="K124">
        <f>IF(NOT(ISNUMBER($D124)),"",_xlfn.NORM.DIST(K$1,$D124,$E124,TRUE)-_xlfn.NORM.DIST(K$2,$D124,$E124,TRUE))</f>
        <v/>
      </c>
      <c r="L124">
        <f>IF(NOT(ISNUMBER($D124)),"",_xlfn.NORM.DIST(L$1,$D124,$E124,TRUE)-_xlfn.NORM.DIST(L$2,$D124,$E124,TRUE))</f>
        <v/>
      </c>
      <c r="M124">
        <f>IF(NOT(ISNUMBER($D124)),"",_xlfn.NORM.DIST(M$1,$D124,$E124,TRUE)-_xlfn.NORM.DIST(M$2,$D124,$E124,TRUE))</f>
        <v/>
      </c>
      <c r="N124">
        <f>IF(NOT(ISNUMBER($D124)),"",_xlfn.NORM.DIST(N$1,$D124,$E124,TRUE)-_xlfn.NORM.DIST(N$2,$D124,$E124,TRUE))</f>
        <v/>
      </c>
      <c r="O124">
        <f>IF(NOT(ISNUMBER($D124)),"",_xlfn.NORM.DIST(O$1,$D124,$E124,TRUE)-_xlfn.NORM.DIST(O$2,$D124,$E124,TRUE))</f>
        <v/>
      </c>
      <c r="P124">
        <f>IF(NOT(ISNUMBER($D124)),"",_xlfn.NORM.DIST(P$1,$D124,$E124,TRUE)-_xlfn.NORM.DIST(P$2,$D124,$E124,TRUE))</f>
        <v/>
      </c>
      <c r="Q124">
        <f>IF(NOT(ISNUMBER($D124)),"",_xlfn.NORM.DIST(Q$1,$D124,$E124,TRUE)-_xlfn.NORM.DIST(Q$2,$D124,$E124,TRUE))</f>
        <v/>
      </c>
      <c r="R124">
        <f>IF(NOT(ISNUMBER($D124)),"",_xlfn.NORM.DIST(R$1,$D124,$E124,TRUE)-_xlfn.NORM.DIST(R$2,$D124,$E124,TRUE))</f>
        <v/>
      </c>
      <c r="S124">
        <f>IF(NOT(ISNUMBER($D124)),"",_xlfn.NORM.DIST(S$1,$D124,$E124,TRUE)-_xlfn.NORM.DIST(S$2,$D124,$E124,TRUE))</f>
        <v/>
      </c>
      <c r="T124">
        <f>IF(NOT(ISNUMBER($D124)),"",_xlfn.NORM.DIST(T$1,$D124,$E124,TRUE)-_xlfn.NORM.DIST(T$2,$D124,$E124,TRUE))</f>
        <v/>
      </c>
      <c r="U124">
        <f>IF(NOT(ISNUMBER($D124)),"",_xlfn.NORM.DIST(U$1,$D124,$E124,TRUE)-_xlfn.NORM.DIST(U$2,$D124,$E124,TRUE))</f>
        <v/>
      </c>
      <c r="V124">
        <f>IF(NOT(ISNUMBER($D124)),"",_xlfn.NORM.DIST(V$1,$D124,$E124,TRUE)-_xlfn.NORM.DIST(V$2,$D124,$E124,TRUE))</f>
        <v/>
      </c>
      <c r="W124">
        <f>IF(NOT(ISNUMBER($D124)),"",_xlfn.NORM.DIST(W$1,$D124,$E124,TRUE)-_xlfn.NORM.DIST(W$2,$D124,$E124,TRUE))</f>
        <v/>
      </c>
      <c r="X124">
        <f>IF(NOT(ISNUMBER($D124)),"",_xlfn.NORM.DIST(X$1,$D124,$E124,TRUE)-_xlfn.NORM.DIST(X$2,$D124,$E124,TRUE))</f>
        <v/>
      </c>
      <c r="Y124">
        <f>IF(NOT(ISNUMBER($D124)),"",_xlfn.NORM.DIST(Y$1,$D124,$E124,TRUE)-_xlfn.NORM.DIST(Y$2,$D124,$E124,TRUE))</f>
        <v/>
      </c>
      <c r="Z124">
        <f>IF(NOT(ISNUMBER($D124)),"",_xlfn.NORM.DIST(Z$1,$D124,$E124,TRUE)-_xlfn.NORM.DIST(Z$2,$D124,$E124,TRUE))</f>
        <v/>
      </c>
      <c r="AA124">
        <f>IF(NOT(ISNUMBER($D124)),"",_xlfn.NORM.DIST(AA$1,$D124,$E124,TRUE)-_xlfn.NORM.DIST(AA$2,$D124,$E124,TRUE))</f>
        <v/>
      </c>
      <c r="AB124">
        <f>IF(NOT(ISNUMBER($D124)),"",_xlfn.NORM.DIST(AB$1,$D124,$E124,TRUE)-_xlfn.NORM.DIST(AB$2,$D124,$E124,TRUE))</f>
        <v/>
      </c>
      <c r="AC124">
        <f>IF(NOT(ISNUMBER($D124)),"",_xlfn.NORM.DIST(AC$1,$D124,$E124,TRUE)-_xlfn.NORM.DIST(AC$2,$D124,$E124,TRUE))</f>
        <v/>
      </c>
      <c r="AD124">
        <f>IF(NOT(ISNUMBER($D124)),"",_xlfn.NORM.DIST(AD$1,$D124,$E124,TRUE)-_xlfn.NORM.DIST(AD$2,$D124,$E124,TRUE))</f>
        <v/>
      </c>
      <c r="AE124">
        <f>IF(NOT(ISNUMBER($D124)),"",_xlfn.NORM.DIST(AE$1,$D124,$E124,TRUE)-_xlfn.NORM.DIST(AE$2,$D124,$E124,TRUE))</f>
        <v/>
      </c>
      <c r="AF124">
        <f>IF(NOT(ISNUMBER($D124)),"",_xlfn.NORM.DIST(AF$1,$D124,$E124,TRUE)-_xlfn.NORM.DIST(AF$2,$D124,$E124,TRUE))</f>
        <v/>
      </c>
      <c r="AG124">
        <f>IF(NOT(ISNUMBER($D124)),"",_xlfn.NORM.DIST(AG$1,$D124,$E124,TRUE)-_xlfn.NORM.DIST(AG$2,$D124,$E124,TRUE))</f>
        <v/>
      </c>
      <c r="AH124">
        <f>IF(NOT(ISNUMBER($D124)),"",_xlfn.NORM.DIST(AH$1,$D124,$E124,TRUE)-_xlfn.NORM.DIST(AH$2,$D124,$E124,TRUE))</f>
        <v/>
      </c>
      <c r="AI124">
        <f>IF(NOT(ISNUMBER($D124)),"",_xlfn.NORM.DIST(AI$1,$D124,$E124,TRUE)-_xlfn.NORM.DIST(AI$2,$D124,$E124,TRUE))</f>
        <v/>
      </c>
      <c r="AJ124">
        <f>IF(NOT(ISNUMBER($D124)),"",_xlfn.NORM.DIST(AJ$1,$D124,$E124,TRUE)-_xlfn.NORM.DIST(AJ$2,$D124,$E124,TRUE))</f>
        <v/>
      </c>
      <c r="AK124">
        <f>IF(NOT(ISNUMBER($D124)),"",_xlfn.NORM.DIST(AK$1,$D124,$E124,TRUE)-_xlfn.NORM.DIST(AK$2,$D124,$E124,TRUE))</f>
        <v/>
      </c>
      <c r="AL124">
        <f>IF(NOT(ISNUMBER($D124)),"",_xlfn.NORM.DIST(AL$1,$D124,$E124,TRUE)-_xlfn.NORM.DIST(AL$2,$D124,$E124,TRUE))</f>
        <v/>
      </c>
      <c r="AM124">
        <f>IF(NOT(ISNUMBER($D124)),"",_xlfn.NORM.DIST(AM$1,$D124,$E124,TRUE)-_xlfn.NORM.DIST(AM$2,$D124,$E124,TRUE))</f>
        <v/>
      </c>
      <c r="AN124">
        <f>IF(NOT(ISNUMBER($D124)),"",_xlfn.NORM.DIST(AN$1,$D124,$E124,TRUE)-_xlfn.NORM.DIST(AN$2,$D124,$E124,TRUE))</f>
        <v/>
      </c>
      <c r="AO124">
        <f>IF(NOT(ISNUMBER($D124)),"",_xlfn.NORM.DIST(AO$1,$D124,$E124,TRUE)-_xlfn.NORM.DIST(AO$2,$D124,$E124,TRUE))</f>
        <v/>
      </c>
      <c r="AP124">
        <f>IF(NOT(ISNUMBER($D124)),"",_xlfn.NORM.DIST(AP$1,$D124,$E124,TRUE)-_xlfn.NORM.DIST(AP$2,$D124,$E124,TRUE))</f>
        <v/>
      </c>
      <c r="AQ124">
        <f>IF(NOT(ISNUMBER($D124)),"",_xlfn.NORM.DIST(AQ$1,$D124,$E124,TRUE)-_xlfn.NORM.DIST(AQ$2,$D124,$E124,TRUE))</f>
        <v/>
      </c>
      <c r="AR124">
        <f>IF(NOT(ISNUMBER($D124)),"",_xlfn.NORM.DIST(AR$1,$D124,$E124,TRUE)-_xlfn.NORM.DIST(AR$2,$D124,$E124,TRUE))</f>
        <v/>
      </c>
      <c r="AS124">
        <f>IF(NOT(ISNUMBER($D124)),"",_xlfn.NORM.DIST(AS$1,$D124,$E124,TRUE)-_xlfn.NORM.DIST(AS$2,$D124,$E124,TRUE))</f>
        <v/>
      </c>
      <c r="AT124">
        <f>IF(NOT(ISNUMBER($D124)),"",_xlfn.NORM.DIST(AT$1,$D124,$E124,TRUE)-_xlfn.NORM.DIST(AT$2,$D124,$E124,TRUE))</f>
        <v/>
      </c>
      <c r="AU124">
        <f>IF(NOT(ISNUMBER($D124)),"",_xlfn.NORM.DIST(AU$1,$D124,$E124,TRUE)-_xlfn.NORM.DIST(AU$2,$D124,$E124,TRUE))</f>
        <v/>
      </c>
      <c r="AV124">
        <f>IF(NOT(ISNUMBER($D124)),"",_xlfn.NORM.DIST(AV$1,$D124,$E124,TRUE)-_xlfn.NORM.DIST(AV$2,$D124,$E124,TRUE))</f>
        <v/>
      </c>
      <c r="AW124">
        <f>IF(NOT(ISNUMBER($D124)),"",_xlfn.NORM.DIST(AW$1,$D124,$E124,TRUE)-_xlfn.NORM.DIST(AW$2,$D124,$E124,TRUE))</f>
        <v/>
      </c>
      <c r="AX124">
        <f>IF(NOT(ISNUMBER($D124)),"",_xlfn.NORM.DIST(AX$1,$D124,$E124,TRUE)-_xlfn.NORM.DIST(AX$2,$D124,$E124,TRUE))</f>
        <v/>
      </c>
      <c r="AY124">
        <f>IF(NOT(ISNUMBER($D124)),"",_xlfn.NORM.DIST(AY$1,$D124,$E124,TRUE)-_xlfn.NORM.DIST(AY$2,$D124,$E124,TRUE))</f>
        <v/>
      </c>
      <c r="AZ124">
        <f>IF(NOT(ISNUMBER($D124)),"",_xlfn.NORM.DIST(AZ$1,$D124,$E124,TRUE)-_xlfn.NORM.DIST(AZ$2,$D124,$E124,TRUE))</f>
        <v/>
      </c>
      <c r="BA124">
        <f>IF(NOT(ISNUMBER($D124)),"",_xlfn.NORM.DIST(BA$1,$D124,$E124,TRUE)-_xlfn.NORM.DIST(BA$2,$D124,$E124,TRUE))</f>
        <v/>
      </c>
      <c r="BB124">
        <f>IF(NOT(ISNUMBER($D124)),"",_xlfn.NORM.DIST(BB$1,$D124,$E124,TRUE)-_xlfn.NORM.DIST(BB$2,$D124,$E124,TRUE))</f>
        <v/>
      </c>
      <c r="BC124">
        <f>IF(NOT(ISNUMBER($D124)),"",_xlfn.NORM.DIST(BC$1,$D124,$E124,TRUE)-_xlfn.NORM.DIST(BC$2,$D124,$E124,TRUE))</f>
        <v/>
      </c>
      <c r="BD124">
        <f>IF(NOT(ISNUMBER($D124)),"",_xlfn.NORM.DIST(BD$1,$D124,$E124,TRUE)-_xlfn.NORM.DIST(BD$2,$D124,$E124,TRUE))</f>
        <v/>
      </c>
      <c r="BE124">
        <f>IF(NOT(ISNUMBER($D124)),"",_xlfn.NORM.DIST(BE$1,$D124,$E124,TRUE)-_xlfn.NORM.DIST(BE$2,$D124,$E124,TRUE))</f>
        <v/>
      </c>
      <c r="BF124">
        <f>IF(NOT(ISNUMBER($D124)),"",_xlfn.NORM.DIST(BF$1,$D124,$E124,TRUE)-_xlfn.NORM.DIST(BF$2,$D124,$E124,TRUE))</f>
        <v/>
      </c>
      <c r="BG124">
        <f>IF(NOT(ISNUMBER($D124)),"",_xlfn.NORM.DIST(BG$1,$D124,$E124,TRUE)-_xlfn.NORM.DIST(BG$2,$D124,$E124,TRUE))</f>
        <v/>
      </c>
      <c r="BH124">
        <f>IF(NOT(ISNUMBER($D124)),"",_xlfn.NORM.DIST(BH$1,$D124,$E124,TRUE)-_xlfn.NORM.DIST(BH$2,$D124,$E124,TRUE))</f>
        <v/>
      </c>
      <c r="BI124">
        <f>IF(NOT(ISNUMBER($D124)),"",_xlfn.NORM.DIST(BI$1,$D124,$E124,TRUE)-_xlfn.NORM.DIST(BI$2,$D124,$E124,TRUE))</f>
        <v/>
      </c>
      <c r="BJ124">
        <f>IF(NOT(ISNUMBER($D124)),"",_xlfn.NORM.DIST(BJ$1,$D124,$E124,TRUE)-_xlfn.NORM.DIST(BJ$2,$D124,$E124,TRUE))</f>
        <v/>
      </c>
      <c r="BK124">
        <f>IF(NOT(ISNUMBER($D124)),"",_xlfn.NORM.DIST(BK$1,$D124,$E124,TRUE)-_xlfn.NORM.DIST(BK$2,$D124,$E124,TRUE))</f>
        <v/>
      </c>
      <c r="BL124">
        <f>IF(NOT(ISNUMBER($D124)),"",_xlfn.NORM.DIST(BL$1,$D124,$E124,TRUE)-_xlfn.NORM.DIST(BL$2,$D124,$E124,TRUE))</f>
        <v/>
      </c>
      <c r="BM124">
        <f>IF(NOT(ISNUMBER($D124)),"",_xlfn.NORM.DIST(BM$1,$D124,$E124,TRUE)-_xlfn.NORM.DIST(BM$2,$D124,$E124,TRUE))</f>
        <v/>
      </c>
      <c r="BN124">
        <f>IF(NOT(ISNUMBER($D124)),"",_xlfn.NORM.DIST(BN$1,$D124,$E124,TRUE)-_xlfn.NORM.DIST(BN$2,$D124,$E124,TRUE))</f>
        <v/>
      </c>
      <c r="BO124">
        <f>IF(NOT(ISNUMBER($D124)),"",_xlfn.NORM.DIST(BO$1,$D124,$E124,TRUE)-_xlfn.NORM.DIST(BO$2,$D124,$E124,TRUE))</f>
        <v/>
      </c>
      <c r="BP124">
        <f>IF(NOT(ISNUMBER($D124)),"",_xlfn.NORM.DIST(BP$1,$D124,$E124,TRUE)-_xlfn.NORM.DIST(BP$2,$D124,$E124,TRUE))</f>
        <v/>
      </c>
      <c r="BQ124">
        <f>IF(NOT(ISNUMBER($D124)),"",_xlfn.NORM.DIST(BQ$1,$D124,$E124,TRUE)-_xlfn.NORM.DIST(BQ$2,$D124,$E124,TRUE))</f>
        <v/>
      </c>
      <c r="BR124">
        <f>IF(NOT(ISNUMBER($D124)),"",_xlfn.NORM.DIST(BR$1,$D124,$E124,TRUE)-_xlfn.NORM.DIST(BR$2,$D124,$E124,TRUE))</f>
        <v/>
      </c>
      <c r="BS124">
        <f>IF(NOT(ISNUMBER($D124)),"",_xlfn.NORM.DIST(BS$1,$D124,$E124,TRUE)-_xlfn.NORM.DIST(BS$2,$D124,$E124,TRUE))</f>
        <v/>
      </c>
      <c r="BT124">
        <f>IF(NOT(ISNUMBER($D124)),"",_xlfn.NORM.DIST(BT$1,$D124,$E124,TRUE)-_xlfn.NORM.DIST(BT$2,$D124,$E124,TRUE))</f>
        <v/>
      </c>
      <c r="BU124">
        <f>IF(NOT(ISNUMBER($D124)),"",_xlfn.NORM.DIST(BU$1,$D124,$E124,TRUE)-_xlfn.NORM.DIST(BU$2,$D124,$E124,TRUE))</f>
        <v/>
      </c>
      <c r="BV124">
        <f>IF(NOT(ISNUMBER($D124)),"",_xlfn.NORM.DIST(BV$1,$D124,$E124,TRUE)-_xlfn.NORM.DIST(BV$2,$D124,$E124,TRUE))</f>
        <v/>
      </c>
      <c r="BW124">
        <f>IF(NOT(ISNUMBER($D124)),"",_xlfn.NORM.DIST(BW$1,$D124,$E124,TRUE)-_xlfn.NORM.DIST(BW$2,$D124,$E124,TRUE))</f>
        <v/>
      </c>
      <c r="BX124">
        <f>IF(NOT(ISNUMBER($D124)),"",_xlfn.NORM.DIST(BX$1,$D124,$E124,TRUE)-_xlfn.NORM.DIST(BX$2,$D124,$E124,TRUE))</f>
        <v/>
      </c>
      <c r="BY124">
        <f>IF(NOT(ISNUMBER($D124)),"",_xlfn.NORM.DIST(BY$1,$D124,$E124,TRUE)-_xlfn.NORM.DIST(BY$2,$D124,$E124,TRUE))</f>
        <v/>
      </c>
      <c r="BZ124">
        <f>IF(NOT(ISNUMBER($D124)),"",_xlfn.NORM.DIST(BZ$1,$D124,$E124,TRUE)-_xlfn.NORM.DIST(BZ$2,$D124,$E124,TRUE))</f>
        <v/>
      </c>
      <c r="CA124">
        <f>IF(NOT(ISNUMBER($D124)),"",_xlfn.NORM.DIST(CA$1,$D124,$E124,TRUE)-_xlfn.NORM.DIST(CA$2,$D124,$E124,TRUE))</f>
        <v/>
      </c>
      <c r="CB124">
        <f>IF(NOT(ISNUMBER($D124)),"",_xlfn.NORM.DIST(CB$1,$D124,$E124,TRUE)-_xlfn.NORM.DIST(CB$2,$D124,$E124,TRUE))</f>
        <v/>
      </c>
      <c r="CC124">
        <f>IF(NOT(ISNUMBER($D124)),"",_xlfn.NORM.DIST(CC$1,$D124,$E124,TRUE)-_xlfn.NORM.DIST(CC$2,$D124,$E124,TRUE))</f>
        <v/>
      </c>
      <c r="CD124">
        <f>IF(NOT(ISNUMBER($D124)),"",_xlfn.NORM.DIST(CD$1,$D124,$E124,TRUE)-_xlfn.NORM.DIST(CD$2,$D124,$E124,TRUE))</f>
        <v/>
      </c>
      <c r="CE124">
        <f>IF(NOT(ISNUMBER($D124)),"",_xlfn.NORM.DIST(CE$1,$D124,$E124,TRUE)-_xlfn.NORM.DIST(CE$2,$D124,$E124,TRUE))</f>
        <v/>
      </c>
      <c r="CF124">
        <f>IF(NOT(ISNUMBER($D124)),"",_xlfn.NORM.DIST(CF$1,$D124,$E124,TRUE)-_xlfn.NORM.DIST(CF$2,$D124,$E124,TRUE))</f>
        <v/>
      </c>
      <c r="CG124">
        <f>IF(NOT(ISNUMBER($D124)),"",_xlfn.NORM.DIST(CG$1,$D124,$E124,TRUE)-_xlfn.NORM.DIST(CG$2,$D124,$E124,TRUE))</f>
        <v/>
      </c>
      <c r="CH124">
        <f>IF(NOT(ISNUMBER($D124)),"",_xlfn.NORM.DIST(CH$1,$D124,$E124,TRUE)-_xlfn.NORM.DIST(CH$2,$D124,$E124,TRUE))</f>
        <v/>
      </c>
      <c r="CI124">
        <f>IF(NOT(ISNUMBER($D124)),"",_xlfn.NORM.DIST(CI$1,$D124,$E124,TRUE)-_xlfn.NORM.DIST(CI$2,$D124,$E124,TRUE))</f>
        <v/>
      </c>
      <c r="CJ124">
        <f>IF(ISNUMBER($D124),SUM(F124:CI124),"")</f>
        <v/>
      </c>
    </row>
    <row r="125">
      <c r="A125">
        <f>economics!A124</f>
        <v/>
      </c>
      <c r="B125">
        <f>economics!B124</f>
        <v/>
      </c>
      <c r="C125">
        <f>economics!D124</f>
        <v/>
      </c>
      <c r="D125">
        <f>IF(ISNUMBER(economics!T124),economics!T124,"na")</f>
        <v/>
      </c>
      <c r="E125">
        <f>IF(ISNUMBER(D125),MAX(0.3*ABS(D125),0.000001),"na")</f>
        <v/>
      </c>
      <c r="F125">
        <f>IF(NOT(ISNUMBER($D125)),"",_xlfn.NORM.DIST(F$1,$D125,$E125,TRUE)-_xlfn.NORM.DIST(F$2,$D125,$E125,TRUE))</f>
        <v/>
      </c>
      <c r="G125">
        <f>IF(NOT(ISNUMBER($D125)),"",_xlfn.NORM.DIST(G$1,$D125,$E125,TRUE)-_xlfn.NORM.DIST(G$2,$D125,$E125,TRUE))</f>
        <v/>
      </c>
      <c r="H125">
        <f>IF(NOT(ISNUMBER($D125)),"",_xlfn.NORM.DIST(H$1,$D125,$E125,TRUE)-_xlfn.NORM.DIST(H$2,$D125,$E125,TRUE))</f>
        <v/>
      </c>
      <c r="I125">
        <f>IF(NOT(ISNUMBER($D125)),"",_xlfn.NORM.DIST(I$1,$D125,$E125,TRUE)-_xlfn.NORM.DIST(I$2,$D125,$E125,TRUE))</f>
        <v/>
      </c>
      <c r="J125">
        <f>IF(NOT(ISNUMBER($D125)),"",_xlfn.NORM.DIST(J$1,$D125,$E125,TRUE)-_xlfn.NORM.DIST(J$2,$D125,$E125,TRUE))</f>
        <v/>
      </c>
      <c r="K125">
        <f>IF(NOT(ISNUMBER($D125)),"",_xlfn.NORM.DIST(K$1,$D125,$E125,TRUE)-_xlfn.NORM.DIST(K$2,$D125,$E125,TRUE))</f>
        <v/>
      </c>
      <c r="L125">
        <f>IF(NOT(ISNUMBER($D125)),"",_xlfn.NORM.DIST(L$1,$D125,$E125,TRUE)-_xlfn.NORM.DIST(L$2,$D125,$E125,TRUE))</f>
        <v/>
      </c>
      <c r="M125">
        <f>IF(NOT(ISNUMBER($D125)),"",_xlfn.NORM.DIST(M$1,$D125,$E125,TRUE)-_xlfn.NORM.DIST(M$2,$D125,$E125,TRUE))</f>
        <v/>
      </c>
      <c r="N125">
        <f>IF(NOT(ISNUMBER($D125)),"",_xlfn.NORM.DIST(N$1,$D125,$E125,TRUE)-_xlfn.NORM.DIST(N$2,$D125,$E125,TRUE))</f>
        <v/>
      </c>
      <c r="O125">
        <f>IF(NOT(ISNUMBER($D125)),"",_xlfn.NORM.DIST(O$1,$D125,$E125,TRUE)-_xlfn.NORM.DIST(O$2,$D125,$E125,TRUE))</f>
        <v/>
      </c>
      <c r="P125">
        <f>IF(NOT(ISNUMBER($D125)),"",_xlfn.NORM.DIST(P$1,$D125,$E125,TRUE)-_xlfn.NORM.DIST(P$2,$D125,$E125,TRUE))</f>
        <v/>
      </c>
      <c r="Q125">
        <f>IF(NOT(ISNUMBER($D125)),"",_xlfn.NORM.DIST(Q$1,$D125,$E125,TRUE)-_xlfn.NORM.DIST(Q$2,$D125,$E125,TRUE))</f>
        <v/>
      </c>
      <c r="R125">
        <f>IF(NOT(ISNUMBER($D125)),"",_xlfn.NORM.DIST(R$1,$D125,$E125,TRUE)-_xlfn.NORM.DIST(R$2,$D125,$E125,TRUE))</f>
        <v/>
      </c>
      <c r="S125">
        <f>IF(NOT(ISNUMBER($D125)),"",_xlfn.NORM.DIST(S$1,$D125,$E125,TRUE)-_xlfn.NORM.DIST(S$2,$D125,$E125,TRUE))</f>
        <v/>
      </c>
      <c r="T125">
        <f>IF(NOT(ISNUMBER($D125)),"",_xlfn.NORM.DIST(T$1,$D125,$E125,TRUE)-_xlfn.NORM.DIST(T$2,$D125,$E125,TRUE))</f>
        <v/>
      </c>
      <c r="U125">
        <f>IF(NOT(ISNUMBER($D125)),"",_xlfn.NORM.DIST(U$1,$D125,$E125,TRUE)-_xlfn.NORM.DIST(U$2,$D125,$E125,TRUE))</f>
        <v/>
      </c>
      <c r="V125">
        <f>IF(NOT(ISNUMBER($D125)),"",_xlfn.NORM.DIST(V$1,$D125,$E125,TRUE)-_xlfn.NORM.DIST(V$2,$D125,$E125,TRUE))</f>
        <v/>
      </c>
      <c r="W125">
        <f>IF(NOT(ISNUMBER($D125)),"",_xlfn.NORM.DIST(W$1,$D125,$E125,TRUE)-_xlfn.NORM.DIST(W$2,$D125,$E125,TRUE))</f>
        <v/>
      </c>
      <c r="X125">
        <f>IF(NOT(ISNUMBER($D125)),"",_xlfn.NORM.DIST(X$1,$D125,$E125,TRUE)-_xlfn.NORM.DIST(X$2,$D125,$E125,TRUE))</f>
        <v/>
      </c>
      <c r="Y125">
        <f>IF(NOT(ISNUMBER($D125)),"",_xlfn.NORM.DIST(Y$1,$D125,$E125,TRUE)-_xlfn.NORM.DIST(Y$2,$D125,$E125,TRUE))</f>
        <v/>
      </c>
      <c r="Z125">
        <f>IF(NOT(ISNUMBER($D125)),"",_xlfn.NORM.DIST(Z$1,$D125,$E125,TRUE)-_xlfn.NORM.DIST(Z$2,$D125,$E125,TRUE))</f>
        <v/>
      </c>
      <c r="AA125">
        <f>IF(NOT(ISNUMBER($D125)),"",_xlfn.NORM.DIST(AA$1,$D125,$E125,TRUE)-_xlfn.NORM.DIST(AA$2,$D125,$E125,TRUE))</f>
        <v/>
      </c>
      <c r="AB125">
        <f>IF(NOT(ISNUMBER($D125)),"",_xlfn.NORM.DIST(AB$1,$D125,$E125,TRUE)-_xlfn.NORM.DIST(AB$2,$D125,$E125,TRUE))</f>
        <v/>
      </c>
      <c r="AC125">
        <f>IF(NOT(ISNUMBER($D125)),"",_xlfn.NORM.DIST(AC$1,$D125,$E125,TRUE)-_xlfn.NORM.DIST(AC$2,$D125,$E125,TRUE))</f>
        <v/>
      </c>
      <c r="AD125">
        <f>IF(NOT(ISNUMBER($D125)),"",_xlfn.NORM.DIST(AD$1,$D125,$E125,TRUE)-_xlfn.NORM.DIST(AD$2,$D125,$E125,TRUE))</f>
        <v/>
      </c>
      <c r="AE125">
        <f>IF(NOT(ISNUMBER($D125)),"",_xlfn.NORM.DIST(AE$1,$D125,$E125,TRUE)-_xlfn.NORM.DIST(AE$2,$D125,$E125,TRUE))</f>
        <v/>
      </c>
      <c r="AF125">
        <f>IF(NOT(ISNUMBER($D125)),"",_xlfn.NORM.DIST(AF$1,$D125,$E125,TRUE)-_xlfn.NORM.DIST(AF$2,$D125,$E125,TRUE))</f>
        <v/>
      </c>
      <c r="AG125">
        <f>IF(NOT(ISNUMBER($D125)),"",_xlfn.NORM.DIST(AG$1,$D125,$E125,TRUE)-_xlfn.NORM.DIST(AG$2,$D125,$E125,TRUE))</f>
        <v/>
      </c>
      <c r="AH125">
        <f>IF(NOT(ISNUMBER($D125)),"",_xlfn.NORM.DIST(AH$1,$D125,$E125,TRUE)-_xlfn.NORM.DIST(AH$2,$D125,$E125,TRUE))</f>
        <v/>
      </c>
      <c r="AI125">
        <f>IF(NOT(ISNUMBER($D125)),"",_xlfn.NORM.DIST(AI$1,$D125,$E125,TRUE)-_xlfn.NORM.DIST(AI$2,$D125,$E125,TRUE))</f>
        <v/>
      </c>
      <c r="AJ125">
        <f>IF(NOT(ISNUMBER($D125)),"",_xlfn.NORM.DIST(AJ$1,$D125,$E125,TRUE)-_xlfn.NORM.DIST(AJ$2,$D125,$E125,TRUE))</f>
        <v/>
      </c>
      <c r="AK125">
        <f>IF(NOT(ISNUMBER($D125)),"",_xlfn.NORM.DIST(AK$1,$D125,$E125,TRUE)-_xlfn.NORM.DIST(AK$2,$D125,$E125,TRUE))</f>
        <v/>
      </c>
      <c r="AL125">
        <f>IF(NOT(ISNUMBER($D125)),"",_xlfn.NORM.DIST(AL$1,$D125,$E125,TRUE)-_xlfn.NORM.DIST(AL$2,$D125,$E125,TRUE))</f>
        <v/>
      </c>
      <c r="AM125">
        <f>IF(NOT(ISNUMBER($D125)),"",_xlfn.NORM.DIST(AM$1,$D125,$E125,TRUE)-_xlfn.NORM.DIST(AM$2,$D125,$E125,TRUE))</f>
        <v/>
      </c>
      <c r="AN125">
        <f>IF(NOT(ISNUMBER($D125)),"",_xlfn.NORM.DIST(AN$1,$D125,$E125,TRUE)-_xlfn.NORM.DIST(AN$2,$D125,$E125,TRUE))</f>
        <v/>
      </c>
      <c r="AO125">
        <f>IF(NOT(ISNUMBER($D125)),"",_xlfn.NORM.DIST(AO$1,$D125,$E125,TRUE)-_xlfn.NORM.DIST(AO$2,$D125,$E125,TRUE))</f>
        <v/>
      </c>
      <c r="AP125">
        <f>IF(NOT(ISNUMBER($D125)),"",_xlfn.NORM.DIST(AP$1,$D125,$E125,TRUE)-_xlfn.NORM.DIST(AP$2,$D125,$E125,TRUE))</f>
        <v/>
      </c>
      <c r="AQ125">
        <f>IF(NOT(ISNUMBER($D125)),"",_xlfn.NORM.DIST(AQ$1,$D125,$E125,TRUE)-_xlfn.NORM.DIST(AQ$2,$D125,$E125,TRUE))</f>
        <v/>
      </c>
      <c r="AR125">
        <f>IF(NOT(ISNUMBER($D125)),"",_xlfn.NORM.DIST(AR$1,$D125,$E125,TRUE)-_xlfn.NORM.DIST(AR$2,$D125,$E125,TRUE))</f>
        <v/>
      </c>
      <c r="AS125">
        <f>IF(NOT(ISNUMBER($D125)),"",_xlfn.NORM.DIST(AS$1,$D125,$E125,TRUE)-_xlfn.NORM.DIST(AS$2,$D125,$E125,TRUE))</f>
        <v/>
      </c>
      <c r="AT125">
        <f>IF(NOT(ISNUMBER($D125)),"",_xlfn.NORM.DIST(AT$1,$D125,$E125,TRUE)-_xlfn.NORM.DIST(AT$2,$D125,$E125,TRUE))</f>
        <v/>
      </c>
      <c r="AU125">
        <f>IF(NOT(ISNUMBER($D125)),"",_xlfn.NORM.DIST(AU$1,$D125,$E125,TRUE)-_xlfn.NORM.DIST(AU$2,$D125,$E125,TRUE))</f>
        <v/>
      </c>
      <c r="AV125">
        <f>IF(NOT(ISNUMBER($D125)),"",_xlfn.NORM.DIST(AV$1,$D125,$E125,TRUE)-_xlfn.NORM.DIST(AV$2,$D125,$E125,TRUE))</f>
        <v/>
      </c>
      <c r="AW125">
        <f>IF(NOT(ISNUMBER($D125)),"",_xlfn.NORM.DIST(AW$1,$D125,$E125,TRUE)-_xlfn.NORM.DIST(AW$2,$D125,$E125,TRUE))</f>
        <v/>
      </c>
      <c r="AX125">
        <f>IF(NOT(ISNUMBER($D125)),"",_xlfn.NORM.DIST(AX$1,$D125,$E125,TRUE)-_xlfn.NORM.DIST(AX$2,$D125,$E125,TRUE))</f>
        <v/>
      </c>
      <c r="AY125">
        <f>IF(NOT(ISNUMBER($D125)),"",_xlfn.NORM.DIST(AY$1,$D125,$E125,TRUE)-_xlfn.NORM.DIST(AY$2,$D125,$E125,TRUE))</f>
        <v/>
      </c>
      <c r="AZ125">
        <f>IF(NOT(ISNUMBER($D125)),"",_xlfn.NORM.DIST(AZ$1,$D125,$E125,TRUE)-_xlfn.NORM.DIST(AZ$2,$D125,$E125,TRUE))</f>
        <v/>
      </c>
      <c r="BA125">
        <f>IF(NOT(ISNUMBER($D125)),"",_xlfn.NORM.DIST(BA$1,$D125,$E125,TRUE)-_xlfn.NORM.DIST(BA$2,$D125,$E125,TRUE))</f>
        <v/>
      </c>
      <c r="BB125">
        <f>IF(NOT(ISNUMBER($D125)),"",_xlfn.NORM.DIST(BB$1,$D125,$E125,TRUE)-_xlfn.NORM.DIST(BB$2,$D125,$E125,TRUE))</f>
        <v/>
      </c>
      <c r="BC125">
        <f>IF(NOT(ISNUMBER($D125)),"",_xlfn.NORM.DIST(BC$1,$D125,$E125,TRUE)-_xlfn.NORM.DIST(BC$2,$D125,$E125,TRUE))</f>
        <v/>
      </c>
      <c r="BD125">
        <f>IF(NOT(ISNUMBER($D125)),"",_xlfn.NORM.DIST(BD$1,$D125,$E125,TRUE)-_xlfn.NORM.DIST(BD$2,$D125,$E125,TRUE))</f>
        <v/>
      </c>
      <c r="BE125">
        <f>IF(NOT(ISNUMBER($D125)),"",_xlfn.NORM.DIST(BE$1,$D125,$E125,TRUE)-_xlfn.NORM.DIST(BE$2,$D125,$E125,TRUE))</f>
        <v/>
      </c>
      <c r="BF125">
        <f>IF(NOT(ISNUMBER($D125)),"",_xlfn.NORM.DIST(BF$1,$D125,$E125,TRUE)-_xlfn.NORM.DIST(BF$2,$D125,$E125,TRUE))</f>
        <v/>
      </c>
      <c r="BG125">
        <f>IF(NOT(ISNUMBER($D125)),"",_xlfn.NORM.DIST(BG$1,$D125,$E125,TRUE)-_xlfn.NORM.DIST(BG$2,$D125,$E125,TRUE))</f>
        <v/>
      </c>
      <c r="BH125">
        <f>IF(NOT(ISNUMBER($D125)),"",_xlfn.NORM.DIST(BH$1,$D125,$E125,TRUE)-_xlfn.NORM.DIST(BH$2,$D125,$E125,TRUE))</f>
        <v/>
      </c>
      <c r="BI125">
        <f>IF(NOT(ISNUMBER($D125)),"",_xlfn.NORM.DIST(BI$1,$D125,$E125,TRUE)-_xlfn.NORM.DIST(BI$2,$D125,$E125,TRUE))</f>
        <v/>
      </c>
      <c r="BJ125">
        <f>IF(NOT(ISNUMBER($D125)),"",_xlfn.NORM.DIST(BJ$1,$D125,$E125,TRUE)-_xlfn.NORM.DIST(BJ$2,$D125,$E125,TRUE))</f>
        <v/>
      </c>
      <c r="BK125">
        <f>IF(NOT(ISNUMBER($D125)),"",_xlfn.NORM.DIST(BK$1,$D125,$E125,TRUE)-_xlfn.NORM.DIST(BK$2,$D125,$E125,TRUE))</f>
        <v/>
      </c>
      <c r="BL125">
        <f>IF(NOT(ISNUMBER($D125)),"",_xlfn.NORM.DIST(BL$1,$D125,$E125,TRUE)-_xlfn.NORM.DIST(BL$2,$D125,$E125,TRUE))</f>
        <v/>
      </c>
      <c r="BM125">
        <f>IF(NOT(ISNUMBER($D125)),"",_xlfn.NORM.DIST(BM$1,$D125,$E125,TRUE)-_xlfn.NORM.DIST(BM$2,$D125,$E125,TRUE))</f>
        <v/>
      </c>
      <c r="BN125">
        <f>IF(NOT(ISNUMBER($D125)),"",_xlfn.NORM.DIST(BN$1,$D125,$E125,TRUE)-_xlfn.NORM.DIST(BN$2,$D125,$E125,TRUE))</f>
        <v/>
      </c>
      <c r="BO125">
        <f>IF(NOT(ISNUMBER($D125)),"",_xlfn.NORM.DIST(BO$1,$D125,$E125,TRUE)-_xlfn.NORM.DIST(BO$2,$D125,$E125,TRUE))</f>
        <v/>
      </c>
      <c r="BP125">
        <f>IF(NOT(ISNUMBER($D125)),"",_xlfn.NORM.DIST(BP$1,$D125,$E125,TRUE)-_xlfn.NORM.DIST(BP$2,$D125,$E125,TRUE))</f>
        <v/>
      </c>
      <c r="BQ125">
        <f>IF(NOT(ISNUMBER($D125)),"",_xlfn.NORM.DIST(BQ$1,$D125,$E125,TRUE)-_xlfn.NORM.DIST(BQ$2,$D125,$E125,TRUE))</f>
        <v/>
      </c>
      <c r="BR125">
        <f>IF(NOT(ISNUMBER($D125)),"",_xlfn.NORM.DIST(BR$1,$D125,$E125,TRUE)-_xlfn.NORM.DIST(BR$2,$D125,$E125,TRUE))</f>
        <v/>
      </c>
      <c r="BS125">
        <f>IF(NOT(ISNUMBER($D125)),"",_xlfn.NORM.DIST(BS$1,$D125,$E125,TRUE)-_xlfn.NORM.DIST(BS$2,$D125,$E125,TRUE))</f>
        <v/>
      </c>
      <c r="BT125">
        <f>IF(NOT(ISNUMBER($D125)),"",_xlfn.NORM.DIST(BT$1,$D125,$E125,TRUE)-_xlfn.NORM.DIST(BT$2,$D125,$E125,TRUE))</f>
        <v/>
      </c>
      <c r="BU125">
        <f>IF(NOT(ISNUMBER($D125)),"",_xlfn.NORM.DIST(BU$1,$D125,$E125,TRUE)-_xlfn.NORM.DIST(BU$2,$D125,$E125,TRUE))</f>
        <v/>
      </c>
      <c r="BV125">
        <f>IF(NOT(ISNUMBER($D125)),"",_xlfn.NORM.DIST(BV$1,$D125,$E125,TRUE)-_xlfn.NORM.DIST(BV$2,$D125,$E125,TRUE))</f>
        <v/>
      </c>
      <c r="BW125">
        <f>IF(NOT(ISNUMBER($D125)),"",_xlfn.NORM.DIST(BW$1,$D125,$E125,TRUE)-_xlfn.NORM.DIST(BW$2,$D125,$E125,TRUE))</f>
        <v/>
      </c>
      <c r="BX125">
        <f>IF(NOT(ISNUMBER($D125)),"",_xlfn.NORM.DIST(BX$1,$D125,$E125,TRUE)-_xlfn.NORM.DIST(BX$2,$D125,$E125,TRUE))</f>
        <v/>
      </c>
      <c r="BY125">
        <f>IF(NOT(ISNUMBER($D125)),"",_xlfn.NORM.DIST(BY$1,$D125,$E125,TRUE)-_xlfn.NORM.DIST(BY$2,$D125,$E125,TRUE))</f>
        <v/>
      </c>
      <c r="BZ125">
        <f>IF(NOT(ISNUMBER($D125)),"",_xlfn.NORM.DIST(BZ$1,$D125,$E125,TRUE)-_xlfn.NORM.DIST(BZ$2,$D125,$E125,TRUE))</f>
        <v/>
      </c>
      <c r="CA125">
        <f>IF(NOT(ISNUMBER($D125)),"",_xlfn.NORM.DIST(CA$1,$D125,$E125,TRUE)-_xlfn.NORM.DIST(CA$2,$D125,$E125,TRUE))</f>
        <v/>
      </c>
      <c r="CB125">
        <f>IF(NOT(ISNUMBER($D125)),"",_xlfn.NORM.DIST(CB$1,$D125,$E125,TRUE)-_xlfn.NORM.DIST(CB$2,$D125,$E125,TRUE))</f>
        <v/>
      </c>
      <c r="CC125">
        <f>IF(NOT(ISNUMBER($D125)),"",_xlfn.NORM.DIST(CC$1,$D125,$E125,TRUE)-_xlfn.NORM.DIST(CC$2,$D125,$E125,TRUE))</f>
        <v/>
      </c>
      <c r="CD125">
        <f>IF(NOT(ISNUMBER($D125)),"",_xlfn.NORM.DIST(CD$1,$D125,$E125,TRUE)-_xlfn.NORM.DIST(CD$2,$D125,$E125,TRUE))</f>
        <v/>
      </c>
      <c r="CE125">
        <f>IF(NOT(ISNUMBER($D125)),"",_xlfn.NORM.DIST(CE$1,$D125,$E125,TRUE)-_xlfn.NORM.DIST(CE$2,$D125,$E125,TRUE))</f>
        <v/>
      </c>
      <c r="CF125">
        <f>IF(NOT(ISNUMBER($D125)),"",_xlfn.NORM.DIST(CF$1,$D125,$E125,TRUE)-_xlfn.NORM.DIST(CF$2,$D125,$E125,TRUE))</f>
        <v/>
      </c>
      <c r="CG125">
        <f>IF(NOT(ISNUMBER($D125)),"",_xlfn.NORM.DIST(CG$1,$D125,$E125,TRUE)-_xlfn.NORM.DIST(CG$2,$D125,$E125,TRUE))</f>
        <v/>
      </c>
      <c r="CH125">
        <f>IF(NOT(ISNUMBER($D125)),"",_xlfn.NORM.DIST(CH$1,$D125,$E125,TRUE)-_xlfn.NORM.DIST(CH$2,$D125,$E125,TRUE))</f>
        <v/>
      </c>
      <c r="CI125">
        <f>IF(NOT(ISNUMBER($D125)),"",_xlfn.NORM.DIST(CI$1,$D125,$E125,TRUE)-_xlfn.NORM.DIST(CI$2,$D125,$E125,TRUE))</f>
        <v/>
      </c>
      <c r="CJ125">
        <f>IF(ISNUMBER($D125),SUM(F125:CI125),"")</f>
        <v/>
      </c>
    </row>
    <row r="126">
      <c r="A126">
        <f>economics!A125</f>
        <v/>
      </c>
      <c r="B126">
        <f>economics!B125</f>
        <v/>
      </c>
      <c r="C126">
        <f>economics!D125</f>
        <v/>
      </c>
      <c r="D126">
        <f>IF(ISNUMBER(economics!T125),economics!T125,"na")</f>
        <v/>
      </c>
      <c r="E126">
        <f>IF(ISNUMBER(D126),MAX(0.3*ABS(D126),0.000001),"na")</f>
        <v/>
      </c>
      <c r="F126">
        <f>IF(NOT(ISNUMBER($D126)),"",_xlfn.NORM.DIST(F$1,$D126,$E126,TRUE)-_xlfn.NORM.DIST(F$2,$D126,$E126,TRUE))</f>
        <v/>
      </c>
      <c r="G126">
        <f>IF(NOT(ISNUMBER($D126)),"",_xlfn.NORM.DIST(G$1,$D126,$E126,TRUE)-_xlfn.NORM.DIST(G$2,$D126,$E126,TRUE))</f>
        <v/>
      </c>
      <c r="H126">
        <f>IF(NOT(ISNUMBER($D126)),"",_xlfn.NORM.DIST(H$1,$D126,$E126,TRUE)-_xlfn.NORM.DIST(H$2,$D126,$E126,TRUE))</f>
        <v/>
      </c>
      <c r="I126">
        <f>IF(NOT(ISNUMBER($D126)),"",_xlfn.NORM.DIST(I$1,$D126,$E126,TRUE)-_xlfn.NORM.DIST(I$2,$D126,$E126,TRUE))</f>
        <v/>
      </c>
      <c r="J126">
        <f>IF(NOT(ISNUMBER($D126)),"",_xlfn.NORM.DIST(J$1,$D126,$E126,TRUE)-_xlfn.NORM.DIST(J$2,$D126,$E126,TRUE))</f>
        <v/>
      </c>
      <c r="K126">
        <f>IF(NOT(ISNUMBER($D126)),"",_xlfn.NORM.DIST(K$1,$D126,$E126,TRUE)-_xlfn.NORM.DIST(K$2,$D126,$E126,TRUE))</f>
        <v/>
      </c>
      <c r="L126">
        <f>IF(NOT(ISNUMBER($D126)),"",_xlfn.NORM.DIST(L$1,$D126,$E126,TRUE)-_xlfn.NORM.DIST(L$2,$D126,$E126,TRUE))</f>
        <v/>
      </c>
      <c r="M126">
        <f>IF(NOT(ISNUMBER($D126)),"",_xlfn.NORM.DIST(M$1,$D126,$E126,TRUE)-_xlfn.NORM.DIST(M$2,$D126,$E126,TRUE))</f>
        <v/>
      </c>
      <c r="N126">
        <f>IF(NOT(ISNUMBER($D126)),"",_xlfn.NORM.DIST(N$1,$D126,$E126,TRUE)-_xlfn.NORM.DIST(N$2,$D126,$E126,TRUE))</f>
        <v/>
      </c>
      <c r="O126">
        <f>IF(NOT(ISNUMBER($D126)),"",_xlfn.NORM.DIST(O$1,$D126,$E126,TRUE)-_xlfn.NORM.DIST(O$2,$D126,$E126,TRUE))</f>
        <v/>
      </c>
      <c r="P126">
        <f>IF(NOT(ISNUMBER($D126)),"",_xlfn.NORM.DIST(P$1,$D126,$E126,TRUE)-_xlfn.NORM.DIST(P$2,$D126,$E126,TRUE))</f>
        <v/>
      </c>
      <c r="Q126">
        <f>IF(NOT(ISNUMBER($D126)),"",_xlfn.NORM.DIST(Q$1,$D126,$E126,TRUE)-_xlfn.NORM.DIST(Q$2,$D126,$E126,TRUE))</f>
        <v/>
      </c>
      <c r="R126">
        <f>IF(NOT(ISNUMBER($D126)),"",_xlfn.NORM.DIST(R$1,$D126,$E126,TRUE)-_xlfn.NORM.DIST(R$2,$D126,$E126,TRUE))</f>
        <v/>
      </c>
      <c r="S126">
        <f>IF(NOT(ISNUMBER($D126)),"",_xlfn.NORM.DIST(S$1,$D126,$E126,TRUE)-_xlfn.NORM.DIST(S$2,$D126,$E126,TRUE))</f>
        <v/>
      </c>
      <c r="T126">
        <f>IF(NOT(ISNUMBER($D126)),"",_xlfn.NORM.DIST(T$1,$D126,$E126,TRUE)-_xlfn.NORM.DIST(T$2,$D126,$E126,TRUE))</f>
        <v/>
      </c>
      <c r="U126">
        <f>IF(NOT(ISNUMBER($D126)),"",_xlfn.NORM.DIST(U$1,$D126,$E126,TRUE)-_xlfn.NORM.DIST(U$2,$D126,$E126,TRUE))</f>
        <v/>
      </c>
      <c r="V126">
        <f>IF(NOT(ISNUMBER($D126)),"",_xlfn.NORM.DIST(V$1,$D126,$E126,TRUE)-_xlfn.NORM.DIST(V$2,$D126,$E126,TRUE))</f>
        <v/>
      </c>
      <c r="W126">
        <f>IF(NOT(ISNUMBER($D126)),"",_xlfn.NORM.DIST(W$1,$D126,$E126,TRUE)-_xlfn.NORM.DIST(W$2,$D126,$E126,TRUE))</f>
        <v/>
      </c>
      <c r="X126">
        <f>IF(NOT(ISNUMBER($D126)),"",_xlfn.NORM.DIST(X$1,$D126,$E126,TRUE)-_xlfn.NORM.DIST(X$2,$D126,$E126,TRUE))</f>
        <v/>
      </c>
      <c r="Y126">
        <f>IF(NOT(ISNUMBER($D126)),"",_xlfn.NORM.DIST(Y$1,$D126,$E126,TRUE)-_xlfn.NORM.DIST(Y$2,$D126,$E126,TRUE))</f>
        <v/>
      </c>
      <c r="Z126">
        <f>IF(NOT(ISNUMBER($D126)),"",_xlfn.NORM.DIST(Z$1,$D126,$E126,TRUE)-_xlfn.NORM.DIST(Z$2,$D126,$E126,TRUE))</f>
        <v/>
      </c>
      <c r="AA126">
        <f>IF(NOT(ISNUMBER($D126)),"",_xlfn.NORM.DIST(AA$1,$D126,$E126,TRUE)-_xlfn.NORM.DIST(AA$2,$D126,$E126,TRUE))</f>
        <v/>
      </c>
      <c r="AB126">
        <f>IF(NOT(ISNUMBER($D126)),"",_xlfn.NORM.DIST(AB$1,$D126,$E126,TRUE)-_xlfn.NORM.DIST(AB$2,$D126,$E126,TRUE))</f>
        <v/>
      </c>
      <c r="AC126">
        <f>IF(NOT(ISNUMBER($D126)),"",_xlfn.NORM.DIST(AC$1,$D126,$E126,TRUE)-_xlfn.NORM.DIST(AC$2,$D126,$E126,TRUE))</f>
        <v/>
      </c>
      <c r="AD126">
        <f>IF(NOT(ISNUMBER($D126)),"",_xlfn.NORM.DIST(AD$1,$D126,$E126,TRUE)-_xlfn.NORM.DIST(AD$2,$D126,$E126,TRUE))</f>
        <v/>
      </c>
      <c r="AE126">
        <f>IF(NOT(ISNUMBER($D126)),"",_xlfn.NORM.DIST(AE$1,$D126,$E126,TRUE)-_xlfn.NORM.DIST(AE$2,$D126,$E126,TRUE))</f>
        <v/>
      </c>
      <c r="AF126">
        <f>IF(NOT(ISNUMBER($D126)),"",_xlfn.NORM.DIST(AF$1,$D126,$E126,TRUE)-_xlfn.NORM.DIST(AF$2,$D126,$E126,TRUE))</f>
        <v/>
      </c>
      <c r="AG126">
        <f>IF(NOT(ISNUMBER($D126)),"",_xlfn.NORM.DIST(AG$1,$D126,$E126,TRUE)-_xlfn.NORM.DIST(AG$2,$D126,$E126,TRUE))</f>
        <v/>
      </c>
      <c r="AH126">
        <f>IF(NOT(ISNUMBER($D126)),"",_xlfn.NORM.DIST(AH$1,$D126,$E126,TRUE)-_xlfn.NORM.DIST(AH$2,$D126,$E126,TRUE))</f>
        <v/>
      </c>
      <c r="AI126">
        <f>IF(NOT(ISNUMBER($D126)),"",_xlfn.NORM.DIST(AI$1,$D126,$E126,TRUE)-_xlfn.NORM.DIST(AI$2,$D126,$E126,TRUE))</f>
        <v/>
      </c>
      <c r="AJ126">
        <f>IF(NOT(ISNUMBER($D126)),"",_xlfn.NORM.DIST(AJ$1,$D126,$E126,TRUE)-_xlfn.NORM.DIST(AJ$2,$D126,$E126,TRUE))</f>
        <v/>
      </c>
      <c r="AK126">
        <f>IF(NOT(ISNUMBER($D126)),"",_xlfn.NORM.DIST(AK$1,$D126,$E126,TRUE)-_xlfn.NORM.DIST(AK$2,$D126,$E126,TRUE))</f>
        <v/>
      </c>
      <c r="AL126">
        <f>IF(NOT(ISNUMBER($D126)),"",_xlfn.NORM.DIST(AL$1,$D126,$E126,TRUE)-_xlfn.NORM.DIST(AL$2,$D126,$E126,TRUE))</f>
        <v/>
      </c>
      <c r="AM126">
        <f>IF(NOT(ISNUMBER($D126)),"",_xlfn.NORM.DIST(AM$1,$D126,$E126,TRUE)-_xlfn.NORM.DIST(AM$2,$D126,$E126,TRUE))</f>
        <v/>
      </c>
      <c r="AN126">
        <f>IF(NOT(ISNUMBER($D126)),"",_xlfn.NORM.DIST(AN$1,$D126,$E126,TRUE)-_xlfn.NORM.DIST(AN$2,$D126,$E126,TRUE))</f>
        <v/>
      </c>
      <c r="AO126">
        <f>IF(NOT(ISNUMBER($D126)),"",_xlfn.NORM.DIST(AO$1,$D126,$E126,TRUE)-_xlfn.NORM.DIST(AO$2,$D126,$E126,TRUE))</f>
        <v/>
      </c>
      <c r="AP126">
        <f>IF(NOT(ISNUMBER($D126)),"",_xlfn.NORM.DIST(AP$1,$D126,$E126,TRUE)-_xlfn.NORM.DIST(AP$2,$D126,$E126,TRUE))</f>
        <v/>
      </c>
      <c r="AQ126">
        <f>IF(NOT(ISNUMBER($D126)),"",_xlfn.NORM.DIST(AQ$1,$D126,$E126,TRUE)-_xlfn.NORM.DIST(AQ$2,$D126,$E126,TRUE))</f>
        <v/>
      </c>
      <c r="AR126">
        <f>IF(NOT(ISNUMBER($D126)),"",_xlfn.NORM.DIST(AR$1,$D126,$E126,TRUE)-_xlfn.NORM.DIST(AR$2,$D126,$E126,TRUE))</f>
        <v/>
      </c>
      <c r="AS126">
        <f>IF(NOT(ISNUMBER($D126)),"",_xlfn.NORM.DIST(AS$1,$D126,$E126,TRUE)-_xlfn.NORM.DIST(AS$2,$D126,$E126,TRUE))</f>
        <v/>
      </c>
      <c r="AT126">
        <f>IF(NOT(ISNUMBER($D126)),"",_xlfn.NORM.DIST(AT$1,$D126,$E126,TRUE)-_xlfn.NORM.DIST(AT$2,$D126,$E126,TRUE))</f>
        <v/>
      </c>
      <c r="AU126">
        <f>IF(NOT(ISNUMBER($D126)),"",_xlfn.NORM.DIST(AU$1,$D126,$E126,TRUE)-_xlfn.NORM.DIST(AU$2,$D126,$E126,TRUE))</f>
        <v/>
      </c>
      <c r="AV126">
        <f>IF(NOT(ISNUMBER($D126)),"",_xlfn.NORM.DIST(AV$1,$D126,$E126,TRUE)-_xlfn.NORM.DIST(AV$2,$D126,$E126,TRUE))</f>
        <v/>
      </c>
      <c r="AW126">
        <f>IF(NOT(ISNUMBER($D126)),"",_xlfn.NORM.DIST(AW$1,$D126,$E126,TRUE)-_xlfn.NORM.DIST(AW$2,$D126,$E126,TRUE))</f>
        <v/>
      </c>
      <c r="AX126">
        <f>IF(NOT(ISNUMBER($D126)),"",_xlfn.NORM.DIST(AX$1,$D126,$E126,TRUE)-_xlfn.NORM.DIST(AX$2,$D126,$E126,TRUE))</f>
        <v/>
      </c>
      <c r="AY126">
        <f>IF(NOT(ISNUMBER($D126)),"",_xlfn.NORM.DIST(AY$1,$D126,$E126,TRUE)-_xlfn.NORM.DIST(AY$2,$D126,$E126,TRUE))</f>
        <v/>
      </c>
      <c r="AZ126">
        <f>IF(NOT(ISNUMBER($D126)),"",_xlfn.NORM.DIST(AZ$1,$D126,$E126,TRUE)-_xlfn.NORM.DIST(AZ$2,$D126,$E126,TRUE))</f>
        <v/>
      </c>
      <c r="BA126">
        <f>IF(NOT(ISNUMBER($D126)),"",_xlfn.NORM.DIST(BA$1,$D126,$E126,TRUE)-_xlfn.NORM.DIST(BA$2,$D126,$E126,TRUE))</f>
        <v/>
      </c>
      <c r="BB126">
        <f>IF(NOT(ISNUMBER($D126)),"",_xlfn.NORM.DIST(BB$1,$D126,$E126,TRUE)-_xlfn.NORM.DIST(BB$2,$D126,$E126,TRUE))</f>
        <v/>
      </c>
      <c r="BC126">
        <f>IF(NOT(ISNUMBER($D126)),"",_xlfn.NORM.DIST(BC$1,$D126,$E126,TRUE)-_xlfn.NORM.DIST(BC$2,$D126,$E126,TRUE))</f>
        <v/>
      </c>
      <c r="BD126">
        <f>IF(NOT(ISNUMBER($D126)),"",_xlfn.NORM.DIST(BD$1,$D126,$E126,TRUE)-_xlfn.NORM.DIST(BD$2,$D126,$E126,TRUE))</f>
        <v/>
      </c>
      <c r="BE126">
        <f>IF(NOT(ISNUMBER($D126)),"",_xlfn.NORM.DIST(BE$1,$D126,$E126,TRUE)-_xlfn.NORM.DIST(BE$2,$D126,$E126,TRUE))</f>
        <v/>
      </c>
      <c r="BF126">
        <f>IF(NOT(ISNUMBER($D126)),"",_xlfn.NORM.DIST(BF$1,$D126,$E126,TRUE)-_xlfn.NORM.DIST(BF$2,$D126,$E126,TRUE))</f>
        <v/>
      </c>
      <c r="BG126">
        <f>IF(NOT(ISNUMBER($D126)),"",_xlfn.NORM.DIST(BG$1,$D126,$E126,TRUE)-_xlfn.NORM.DIST(BG$2,$D126,$E126,TRUE))</f>
        <v/>
      </c>
      <c r="BH126">
        <f>IF(NOT(ISNUMBER($D126)),"",_xlfn.NORM.DIST(BH$1,$D126,$E126,TRUE)-_xlfn.NORM.DIST(BH$2,$D126,$E126,TRUE))</f>
        <v/>
      </c>
      <c r="BI126">
        <f>IF(NOT(ISNUMBER($D126)),"",_xlfn.NORM.DIST(BI$1,$D126,$E126,TRUE)-_xlfn.NORM.DIST(BI$2,$D126,$E126,TRUE))</f>
        <v/>
      </c>
      <c r="BJ126">
        <f>IF(NOT(ISNUMBER($D126)),"",_xlfn.NORM.DIST(BJ$1,$D126,$E126,TRUE)-_xlfn.NORM.DIST(BJ$2,$D126,$E126,TRUE))</f>
        <v/>
      </c>
      <c r="BK126">
        <f>IF(NOT(ISNUMBER($D126)),"",_xlfn.NORM.DIST(BK$1,$D126,$E126,TRUE)-_xlfn.NORM.DIST(BK$2,$D126,$E126,TRUE))</f>
        <v/>
      </c>
      <c r="BL126">
        <f>IF(NOT(ISNUMBER($D126)),"",_xlfn.NORM.DIST(BL$1,$D126,$E126,TRUE)-_xlfn.NORM.DIST(BL$2,$D126,$E126,TRUE))</f>
        <v/>
      </c>
      <c r="BM126">
        <f>IF(NOT(ISNUMBER($D126)),"",_xlfn.NORM.DIST(BM$1,$D126,$E126,TRUE)-_xlfn.NORM.DIST(BM$2,$D126,$E126,TRUE))</f>
        <v/>
      </c>
      <c r="BN126">
        <f>IF(NOT(ISNUMBER($D126)),"",_xlfn.NORM.DIST(BN$1,$D126,$E126,TRUE)-_xlfn.NORM.DIST(BN$2,$D126,$E126,TRUE))</f>
        <v/>
      </c>
      <c r="BO126">
        <f>IF(NOT(ISNUMBER($D126)),"",_xlfn.NORM.DIST(BO$1,$D126,$E126,TRUE)-_xlfn.NORM.DIST(BO$2,$D126,$E126,TRUE))</f>
        <v/>
      </c>
      <c r="BP126">
        <f>IF(NOT(ISNUMBER($D126)),"",_xlfn.NORM.DIST(BP$1,$D126,$E126,TRUE)-_xlfn.NORM.DIST(BP$2,$D126,$E126,TRUE))</f>
        <v/>
      </c>
      <c r="BQ126">
        <f>IF(NOT(ISNUMBER($D126)),"",_xlfn.NORM.DIST(BQ$1,$D126,$E126,TRUE)-_xlfn.NORM.DIST(BQ$2,$D126,$E126,TRUE))</f>
        <v/>
      </c>
      <c r="BR126">
        <f>IF(NOT(ISNUMBER($D126)),"",_xlfn.NORM.DIST(BR$1,$D126,$E126,TRUE)-_xlfn.NORM.DIST(BR$2,$D126,$E126,TRUE))</f>
        <v/>
      </c>
      <c r="BS126">
        <f>IF(NOT(ISNUMBER($D126)),"",_xlfn.NORM.DIST(BS$1,$D126,$E126,TRUE)-_xlfn.NORM.DIST(BS$2,$D126,$E126,TRUE))</f>
        <v/>
      </c>
      <c r="BT126">
        <f>IF(NOT(ISNUMBER($D126)),"",_xlfn.NORM.DIST(BT$1,$D126,$E126,TRUE)-_xlfn.NORM.DIST(BT$2,$D126,$E126,TRUE))</f>
        <v/>
      </c>
      <c r="BU126">
        <f>IF(NOT(ISNUMBER($D126)),"",_xlfn.NORM.DIST(BU$1,$D126,$E126,TRUE)-_xlfn.NORM.DIST(BU$2,$D126,$E126,TRUE))</f>
        <v/>
      </c>
      <c r="BV126">
        <f>IF(NOT(ISNUMBER($D126)),"",_xlfn.NORM.DIST(BV$1,$D126,$E126,TRUE)-_xlfn.NORM.DIST(BV$2,$D126,$E126,TRUE))</f>
        <v/>
      </c>
      <c r="BW126">
        <f>IF(NOT(ISNUMBER($D126)),"",_xlfn.NORM.DIST(BW$1,$D126,$E126,TRUE)-_xlfn.NORM.DIST(BW$2,$D126,$E126,TRUE))</f>
        <v/>
      </c>
      <c r="BX126">
        <f>IF(NOT(ISNUMBER($D126)),"",_xlfn.NORM.DIST(BX$1,$D126,$E126,TRUE)-_xlfn.NORM.DIST(BX$2,$D126,$E126,TRUE))</f>
        <v/>
      </c>
      <c r="BY126">
        <f>IF(NOT(ISNUMBER($D126)),"",_xlfn.NORM.DIST(BY$1,$D126,$E126,TRUE)-_xlfn.NORM.DIST(BY$2,$D126,$E126,TRUE))</f>
        <v/>
      </c>
      <c r="BZ126">
        <f>IF(NOT(ISNUMBER($D126)),"",_xlfn.NORM.DIST(BZ$1,$D126,$E126,TRUE)-_xlfn.NORM.DIST(BZ$2,$D126,$E126,TRUE))</f>
        <v/>
      </c>
      <c r="CA126">
        <f>IF(NOT(ISNUMBER($D126)),"",_xlfn.NORM.DIST(CA$1,$D126,$E126,TRUE)-_xlfn.NORM.DIST(CA$2,$D126,$E126,TRUE))</f>
        <v/>
      </c>
      <c r="CB126">
        <f>IF(NOT(ISNUMBER($D126)),"",_xlfn.NORM.DIST(CB$1,$D126,$E126,TRUE)-_xlfn.NORM.DIST(CB$2,$D126,$E126,TRUE))</f>
        <v/>
      </c>
      <c r="CC126">
        <f>IF(NOT(ISNUMBER($D126)),"",_xlfn.NORM.DIST(CC$1,$D126,$E126,TRUE)-_xlfn.NORM.DIST(CC$2,$D126,$E126,TRUE))</f>
        <v/>
      </c>
      <c r="CD126">
        <f>IF(NOT(ISNUMBER($D126)),"",_xlfn.NORM.DIST(CD$1,$D126,$E126,TRUE)-_xlfn.NORM.DIST(CD$2,$D126,$E126,TRUE))</f>
        <v/>
      </c>
      <c r="CE126">
        <f>IF(NOT(ISNUMBER($D126)),"",_xlfn.NORM.DIST(CE$1,$D126,$E126,TRUE)-_xlfn.NORM.DIST(CE$2,$D126,$E126,TRUE))</f>
        <v/>
      </c>
      <c r="CF126">
        <f>IF(NOT(ISNUMBER($D126)),"",_xlfn.NORM.DIST(CF$1,$D126,$E126,TRUE)-_xlfn.NORM.DIST(CF$2,$D126,$E126,TRUE))</f>
        <v/>
      </c>
      <c r="CG126">
        <f>IF(NOT(ISNUMBER($D126)),"",_xlfn.NORM.DIST(CG$1,$D126,$E126,TRUE)-_xlfn.NORM.DIST(CG$2,$D126,$E126,TRUE))</f>
        <v/>
      </c>
      <c r="CH126">
        <f>IF(NOT(ISNUMBER($D126)),"",_xlfn.NORM.DIST(CH$1,$D126,$E126,TRUE)-_xlfn.NORM.DIST(CH$2,$D126,$E126,TRUE))</f>
        <v/>
      </c>
      <c r="CI126">
        <f>IF(NOT(ISNUMBER($D126)),"",_xlfn.NORM.DIST(CI$1,$D126,$E126,TRUE)-_xlfn.NORM.DIST(CI$2,$D126,$E126,TRUE))</f>
        <v/>
      </c>
      <c r="CJ126">
        <f>IF(ISNUMBER($D126),SUM(F126:CI126),"")</f>
        <v/>
      </c>
    </row>
    <row r="127">
      <c r="A127">
        <f>economics!A126</f>
        <v/>
      </c>
      <c r="B127">
        <f>economics!B126</f>
        <v/>
      </c>
      <c r="C127">
        <f>economics!D126</f>
        <v/>
      </c>
      <c r="D127">
        <f>IF(ISNUMBER(economics!T126),economics!T126,"na")</f>
        <v/>
      </c>
      <c r="E127">
        <f>IF(ISNUMBER(D127),MAX(0.3*ABS(D127),0.000001),"na")</f>
        <v/>
      </c>
      <c r="F127">
        <f>IF(NOT(ISNUMBER($D127)),"",_xlfn.NORM.DIST(F$1,$D127,$E127,TRUE)-_xlfn.NORM.DIST(F$2,$D127,$E127,TRUE))</f>
        <v/>
      </c>
      <c r="G127">
        <f>IF(NOT(ISNUMBER($D127)),"",_xlfn.NORM.DIST(G$1,$D127,$E127,TRUE)-_xlfn.NORM.DIST(G$2,$D127,$E127,TRUE))</f>
        <v/>
      </c>
      <c r="H127">
        <f>IF(NOT(ISNUMBER($D127)),"",_xlfn.NORM.DIST(H$1,$D127,$E127,TRUE)-_xlfn.NORM.DIST(H$2,$D127,$E127,TRUE))</f>
        <v/>
      </c>
      <c r="I127">
        <f>IF(NOT(ISNUMBER($D127)),"",_xlfn.NORM.DIST(I$1,$D127,$E127,TRUE)-_xlfn.NORM.DIST(I$2,$D127,$E127,TRUE))</f>
        <v/>
      </c>
      <c r="J127">
        <f>IF(NOT(ISNUMBER($D127)),"",_xlfn.NORM.DIST(J$1,$D127,$E127,TRUE)-_xlfn.NORM.DIST(J$2,$D127,$E127,TRUE))</f>
        <v/>
      </c>
      <c r="K127">
        <f>IF(NOT(ISNUMBER($D127)),"",_xlfn.NORM.DIST(K$1,$D127,$E127,TRUE)-_xlfn.NORM.DIST(K$2,$D127,$E127,TRUE))</f>
        <v/>
      </c>
      <c r="L127">
        <f>IF(NOT(ISNUMBER($D127)),"",_xlfn.NORM.DIST(L$1,$D127,$E127,TRUE)-_xlfn.NORM.DIST(L$2,$D127,$E127,TRUE))</f>
        <v/>
      </c>
      <c r="M127">
        <f>IF(NOT(ISNUMBER($D127)),"",_xlfn.NORM.DIST(M$1,$D127,$E127,TRUE)-_xlfn.NORM.DIST(M$2,$D127,$E127,TRUE))</f>
        <v/>
      </c>
      <c r="N127">
        <f>IF(NOT(ISNUMBER($D127)),"",_xlfn.NORM.DIST(N$1,$D127,$E127,TRUE)-_xlfn.NORM.DIST(N$2,$D127,$E127,TRUE))</f>
        <v/>
      </c>
      <c r="O127">
        <f>IF(NOT(ISNUMBER($D127)),"",_xlfn.NORM.DIST(O$1,$D127,$E127,TRUE)-_xlfn.NORM.DIST(O$2,$D127,$E127,TRUE))</f>
        <v/>
      </c>
      <c r="P127">
        <f>IF(NOT(ISNUMBER($D127)),"",_xlfn.NORM.DIST(P$1,$D127,$E127,TRUE)-_xlfn.NORM.DIST(P$2,$D127,$E127,TRUE))</f>
        <v/>
      </c>
      <c r="Q127">
        <f>IF(NOT(ISNUMBER($D127)),"",_xlfn.NORM.DIST(Q$1,$D127,$E127,TRUE)-_xlfn.NORM.DIST(Q$2,$D127,$E127,TRUE))</f>
        <v/>
      </c>
      <c r="R127">
        <f>IF(NOT(ISNUMBER($D127)),"",_xlfn.NORM.DIST(R$1,$D127,$E127,TRUE)-_xlfn.NORM.DIST(R$2,$D127,$E127,TRUE))</f>
        <v/>
      </c>
      <c r="S127">
        <f>IF(NOT(ISNUMBER($D127)),"",_xlfn.NORM.DIST(S$1,$D127,$E127,TRUE)-_xlfn.NORM.DIST(S$2,$D127,$E127,TRUE))</f>
        <v/>
      </c>
      <c r="T127">
        <f>IF(NOT(ISNUMBER($D127)),"",_xlfn.NORM.DIST(T$1,$D127,$E127,TRUE)-_xlfn.NORM.DIST(T$2,$D127,$E127,TRUE))</f>
        <v/>
      </c>
      <c r="U127">
        <f>IF(NOT(ISNUMBER($D127)),"",_xlfn.NORM.DIST(U$1,$D127,$E127,TRUE)-_xlfn.NORM.DIST(U$2,$D127,$E127,TRUE))</f>
        <v/>
      </c>
      <c r="V127">
        <f>IF(NOT(ISNUMBER($D127)),"",_xlfn.NORM.DIST(V$1,$D127,$E127,TRUE)-_xlfn.NORM.DIST(V$2,$D127,$E127,TRUE))</f>
        <v/>
      </c>
      <c r="W127">
        <f>IF(NOT(ISNUMBER($D127)),"",_xlfn.NORM.DIST(W$1,$D127,$E127,TRUE)-_xlfn.NORM.DIST(W$2,$D127,$E127,TRUE))</f>
        <v/>
      </c>
      <c r="X127">
        <f>IF(NOT(ISNUMBER($D127)),"",_xlfn.NORM.DIST(X$1,$D127,$E127,TRUE)-_xlfn.NORM.DIST(X$2,$D127,$E127,TRUE))</f>
        <v/>
      </c>
      <c r="Y127">
        <f>IF(NOT(ISNUMBER($D127)),"",_xlfn.NORM.DIST(Y$1,$D127,$E127,TRUE)-_xlfn.NORM.DIST(Y$2,$D127,$E127,TRUE))</f>
        <v/>
      </c>
      <c r="Z127">
        <f>IF(NOT(ISNUMBER($D127)),"",_xlfn.NORM.DIST(Z$1,$D127,$E127,TRUE)-_xlfn.NORM.DIST(Z$2,$D127,$E127,TRUE))</f>
        <v/>
      </c>
      <c r="AA127">
        <f>IF(NOT(ISNUMBER($D127)),"",_xlfn.NORM.DIST(AA$1,$D127,$E127,TRUE)-_xlfn.NORM.DIST(AA$2,$D127,$E127,TRUE))</f>
        <v/>
      </c>
      <c r="AB127">
        <f>IF(NOT(ISNUMBER($D127)),"",_xlfn.NORM.DIST(AB$1,$D127,$E127,TRUE)-_xlfn.NORM.DIST(AB$2,$D127,$E127,TRUE))</f>
        <v/>
      </c>
      <c r="AC127">
        <f>IF(NOT(ISNUMBER($D127)),"",_xlfn.NORM.DIST(AC$1,$D127,$E127,TRUE)-_xlfn.NORM.DIST(AC$2,$D127,$E127,TRUE))</f>
        <v/>
      </c>
      <c r="AD127">
        <f>IF(NOT(ISNUMBER($D127)),"",_xlfn.NORM.DIST(AD$1,$D127,$E127,TRUE)-_xlfn.NORM.DIST(AD$2,$D127,$E127,TRUE))</f>
        <v/>
      </c>
      <c r="AE127">
        <f>IF(NOT(ISNUMBER($D127)),"",_xlfn.NORM.DIST(AE$1,$D127,$E127,TRUE)-_xlfn.NORM.DIST(AE$2,$D127,$E127,TRUE))</f>
        <v/>
      </c>
      <c r="AF127">
        <f>IF(NOT(ISNUMBER($D127)),"",_xlfn.NORM.DIST(AF$1,$D127,$E127,TRUE)-_xlfn.NORM.DIST(AF$2,$D127,$E127,TRUE))</f>
        <v/>
      </c>
      <c r="AG127">
        <f>IF(NOT(ISNUMBER($D127)),"",_xlfn.NORM.DIST(AG$1,$D127,$E127,TRUE)-_xlfn.NORM.DIST(AG$2,$D127,$E127,TRUE))</f>
        <v/>
      </c>
      <c r="AH127">
        <f>IF(NOT(ISNUMBER($D127)),"",_xlfn.NORM.DIST(AH$1,$D127,$E127,TRUE)-_xlfn.NORM.DIST(AH$2,$D127,$E127,TRUE))</f>
        <v/>
      </c>
      <c r="AI127">
        <f>IF(NOT(ISNUMBER($D127)),"",_xlfn.NORM.DIST(AI$1,$D127,$E127,TRUE)-_xlfn.NORM.DIST(AI$2,$D127,$E127,TRUE))</f>
        <v/>
      </c>
      <c r="AJ127">
        <f>IF(NOT(ISNUMBER($D127)),"",_xlfn.NORM.DIST(AJ$1,$D127,$E127,TRUE)-_xlfn.NORM.DIST(AJ$2,$D127,$E127,TRUE))</f>
        <v/>
      </c>
      <c r="AK127">
        <f>IF(NOT(ISNUMBER($D127)),"",_xlfn.NORM.DIST(AK$1,$D127,$E127,TRUE)-_xlfn.NORM.DIST(AK$2,$D127,$E127,TRUE))</f>
        <v/>
      </c>
      <c r="AL127">
        <f>IF(NOT(ISNUMBER($D127)),"",_xlfn.NORM.DIST(AL$1,$D127,$E127,TRUE)-_xlfn.NORM.DIST(AL$2,$D127,$E127,TRUE))</f>
        <v/>
      </c>
      <c r="AM127">
        <f>IF(NOT(ISNUMBER($D127)),"",_xlfn.NORM.DIST(AM$1,$D127,$E127,TRUE)-_xlfn.NORM.DIST(AM$2,$D127,$E127,TRUE))</f>
        <v/>
      </c>
      <c r="AN127">
        <f>IF(NOT(ISNUMBER($D127)),"",_xlfn.NORM.DIST(AN$1,$D127,$E127,TRUE)-_xlfn.NORM.DIST(AN$2,$D127,$E127,TRUE))</f>
        <v/>
      </c>
      <c r="AO127">
        <f>IF(NOT(ISNUMBER($D127)),"",_xlfn.NORM.DIST(AO$1,$D127,$E127,TRUE)-_xlfn.NORM.DIST(AO$2,$D127,$E127,TRUE))</f>
        <v/>
      </c>
      <c r="AP127">
        <f>IF(NOT(ISNUMBER($D127)),"",_xlfn.NORM.DIST(AP$1,$D127,$E127,TRUE)-_xlfn.NORM.DIST(AP$2,$D127,$E127,TRUE))</f>
        <v/>
      </c>
      <c r="AQ127">
        <f>IF(NOT(ISNUMBER($D127)),"",_xlfn.NORM.DIST(AQ$1,$D127,$E127,TRUE)-_xlfn.NORM.DIST(AQ$2,$D127,$E127,TRUE))</f>
        <v/>
      </c>
      <c r="AR127">
        <f>IF(NOT(ISNUMBER($D127)),"",_xlfn.NORM.DIST(AR$1,$D127,$E127,TRUE)-_xlfn.NORM.DIST(AR$2,$D127,$E127,TRUE))</f>
        <v/>
      </c>
      <c r="AS127">
        <f>IF(NOT(ISNUMBER($D127)),"",_xlfn.NORM.DIST(AS$1,$D127,$E127,TRUE)-_xlfn.NORM.DIST(AS$2,$D127,$E127,TRUE))</f>
        <v/>
      </c>
      <c r="AT127">
        <f>IF(NOT(ISNUMBER($D127)),"",_xlfn.NORM.DIST(AT$1,$D127,$E127,TRUE)-_xlfn.NORM.DIST(AT$2,$D127,$E127,TRUE))</f>
        <v/>
      </c>
      <c r="AU127">
        <f>IF(NOT(ISNUMBER($D127)),"",_xlfn.NORM.DIST(AU$1,$D127,$E127,TRUE)-_xlfn.NORM.DIST(AU$2,$D127,$E127,TRUE))</f>
        <v/>
      </c>
      <c r="AV127">
        <f>IF(NOT(ISNUMBER($D127)),"",_xlfn.NORM.DIST(AV$1,$D127,$E127,TRUE)-_xlfn.NORM.DIST(AV$2,$D127,$E127,TRUE))</f>
        <v/>
      </c>
      <c r="AW127">
        <f>IF(NOT(ISNUMBER($D127)),"",_xlfn.NORM.DIST(AW$1,$D127,$E127,TRUE)-_xlfn.NORM.DIST(AW$2,$D127,$E127,TRUE))</f>
        <v/>
      </c>
      <c r="AX127">
        <f>IF(NOT(ISNUMBER($D127)),"",_xlfn.NORM.DIST(AX$1,$D127,$E127,TRUE)-_xlfn.NORM.DIST(AX$2,$D127,$E127,TRUE))</f>
        <v/>
      </c>
      <c r="AY127">
        <f>IF(NOT(ISNUMBER($D127)),"",_xlfn.NORM.DIST(AY$1,$D127,$E127,TRUE)-_xlfn.NORM.DIST(AY$2,$D127,$E127,TRUE))</f>
        <v/>
      </c>
      <c r="AZ127">
        <f>IF(NOT(ISNUMBER($D127)),"",_xlfn.NORM.DIST(AZ$1,$D127,$E127,TRUE)-_xlfn.NORM.DIST(AZ$2,$D127,$E127,TRUE))</f>
        <v/>
      </c>
      <c r="BA127">
        <f>IF(NOT(ISNUMBER($D127)),"",_xlfn.NORM.DIST(BA$1,$D127,$E127,TRUE)-_xlfn.NORM.DIST(BA$2,$D127,$E127,TRUE))</f>
        <v/>
      </c>
      <c r="BB127">
        <f>IF(NOT(ISNUMBER($D127)),"",_xlfn.NORM.DIST(BB$1,$D127,$E127,TRUE)-_xlfn.NORM.DIST(BB$2,$D127,$E127,TRUE))</f>
        <v/>
      </c>
      <c r="BC127">
        <f>IF(NOT(ISNUMBER($D127)),"",_xlfn.NORM.DIST(BC$1,$D127,$E127,TRUE)-_xlfn.NORM.DIST(BC$2,$D127,$E127,TRUE))</f>
        <v/>
      </c>
      <c r="BD127">
        <f>IF(NOT(ISNUMBER($D127)),"",_xlfn.NORM.DIST(BD$1,$D127,$E127,TRUE)-_xlfn.NORM.DIST(BD$2,$D127,$E127,TRUE))</f>
        <v/>
      </c>
      <c r="BE127">
        <f>IF(NOT(ISNUMBER($D127)),"",_xlfn.NORM.DIST(BE$1,$D127,$E127,TRUE)-_xlfn.NORM.DIST(BE$2,$D127,$E127,TRUE))</f>
        <v/>
      </c>
      <c r="BF127">
        <f>IF(NOT(ISNUMBER($D127)),"",_xlfn.NORM.DIST(BF$1,$D127,$E127,TRUE)-_xlfn.NORM.DIST(BF$2,$D127,$E127,TRUE))</f>
        <v/>
      </c>
      <c r="BG127">
        <f>IF(NOT(ISNUMBER($D127)),"",_xlfn.NORM.DIST(BG$1,$D127,$E127,TRUE)-_xlfn.NORM.DIST(BG$2,$D127,$E127,TRUE))</f>
        <v/>
      </c>
      <c r="BH127">
        <f>IF(NOT(ISNUMBER($D127)),"",_xlfn.NORM.DIST(BH$1,$D127,$E127,TRUE)-_xlfn.NORM.DIST(BH$2,$D127,$E127,TRUE))</f>
        <v/>
      </c>
      <c r="BI127">
        <f>IF(NOT(ISNUMBER($D127)),"",_xlfn.NORM.DIST(BI$1,$D127,$E127,TRUE)-_xlfn.NORM.DIST(BI$2,$D127,$E127,TRUE))</f>
        <v/>
      </c>
      <c r="BJ127">
        <f>IF(NOT(ISNUMBER($D127)),"",_xlfn.NORM.DIST(BJ$1,$D127,$E127,TRUE)-_xlfn.NORM.DIST(BJ$2,$D127,$E127,TRUE))</f>
        <v/>
      </c>
      <c r="BK127">
        <f>IF(NOT(ISNUMBER($D127)),"",_xlfn.NORM.DIST(BK$1,$D127,$E127,TRUE)-_xlfn.NORM.DIST(BK$2,$D127,$E127,TRUE))</f>
        <v/>
      </c>
      <c r="BL127">
        <f>IF(NOT(ISNUMBER($D127)),"",_xlfn.NORM.DIST(BL$1,$D127,$E127,TRUE)-_xlfn.NORM.DIST(BL$2,$D127,$E127,TRUE))</f>
        <v/>
      </c>
      <c r="BM127">
        <f>IF(NOT(ISNUMBER($D127)),"",_xlfn.NORM.DIST(BM$1,$D127,$E127,TRUE)-_xlfn.NORM.DIST(BM$2,$D127,$E127,TRUE))</f>
        <v/>
      </c>
      <c r="BN127">
        <f>IF(NOT(ISNUMBER($D127)),"",_xlfn.NORM.DIST(BN$1,$D127,$E127,TRUE)-_xlfn.NORM.DIST(BN$2,$D127,$E127,TRUE))</f>
        <v/>
      </c>
      <c r="BO127">
        <f>IF(NOT(ISNUMBER($D127)),"",_xlfn.NORM.DIST(BO$1,$D127,$E127,TRUE)-_xlfn.NORM.DIST(BO$2,$D127,$E127,TRUE))</f>
        <v/>
      </c>
      <c r="BP127">
        <f>IF(NOT(ISNUMBER($D127)),"",_xlfn.NORM.DIST(BP$1,$D127,$E127,TRUE)-_xlfn.NORM.DIST(BP$2,$D127,$E127,TRUE))</f>
        <v/>
      </c>
      <c r="BQ127">
        <f>IF(NOT(ISNUMBER($D127)),"",_xlfn.NORM.DIST(BQ$1,$D127,$E127,TRUE)-_xlfn.NORM.DIST(BQ$2,$D127,$E127,TRUE))</f>
        <v/>
      </c>
      <c r="BR127">
        <f>IF(NOT(ISNUMBER($D127)),"",_xlfn.NORM.DIST(BR$1,$D127,$E127,TRUE)-_xlfn.NORM.DIST(BR$2,$D127,$E127,TRUE))</f>
        <v/>
      </c>
      <c r="BS127">
        <f>IF(NOT(ISNUMBER($D127)),"",_xlfn.NORM.DIST(BS$1,$D127,$E127,TRUE)-_xlfn.NORM.DIST(BS$2,$D127,$E127,TRUE))</f>
        <v/>
      </c>
      <c r="BT127">
        <f>IF(NOT(ISNUMBER($D127)),"",_xlfn.NORM.DIST(BT$1,$D127,$E127,TRUE)-_xlfn.NORM.DIST(BT$2,$D127,$E127,TRUE))</f>
        <v/>
      </c>
      <c r="BU127">
        <f>IF(NOT(ISNUMBER($D127)),"",_xlfn.NORM.DIST(BU$1,$D127,$E127,TRUE)-_xlfn.NORM.DIST(BU$2,$D127,$E127,TRUE))</f>
        <v/>
      </c>
      <c r="BV127">
        <f>IF(NOT(ISNUMBER($D127)),"",_xlfn.NORM.DIST(BV$1,$D127,$E127,TRUE)-_xlfn.NORM.DIST(BV$2,$D127,$E127,TRUE))</f>
        <v/>
      </c>
      <c r="BW127">
        <f>IF(NOT(ISNUMBER($D127)),"",_xlfn.NORM.DIST(BW$1,$D127,$E127,TRUE)-_xlfn.NORM.DIST(BW$2,$D127,$E127,TRUE))</f>
        <v/>
      </c>
      <c r="BX127">
        <f>IF(NOT(ISNUMBER($D127)),"",_xlfn.NORM.DIST(BX$1,$D127,$E127,TRUE)-_xlfn.NORM.DIST(BX$2,$D127,$E127,TRUE))</f>
        <v/>
      </c>
      <c r="BY127">
        <f>IF(NOT(ISNUMBER($D127)),"",_xlfn.NORM.DIST(BY$1,$D127,$E127,TRUE)-_xlfn.NORM.DIST(BY$2,$D127,$E127,TRUE))</f>
        <v/>
      </c>
      <c r="BZ127">
        <f>IF(NOT(ISNUMBER($D127)),"",_xlfn.NORM.DIST(BZ$1,$D127,$E127,TRUE)-_xlfn.NORM.DIST(BZ$2,$D127,$E127,TRUE))</f>
        <v/>
      </c>
      <c r="CA127">
        <f>IF(NOT(ISNUMBER($D127)),"",_xlfn.NORM.DIST(CA$1,$D127,$E127,TRUE)-_xlfn.NORM.DIST(CA$2,$D127,$E127,TRUE))</f>
        <v/>
      </c>
      <c r="CB127">
        <f>IF(NOT(ISNUMBER($D127)),"",_xlfn.NORM.DIST(CB$1,$D127,$E127,TRUE)-_xlfn.NORM.DIST(CB$2,$D127,$E127,TRUE))</f>
        <v/>
      </c>
      <c r="CC127">
        <f>IF(NOT(ISNUMBER($D127)),"",_xlfn.NORM.DIST(CC$1,$D127,$E127,TRUE)-_xlfn.NORM.DIST(CC$2,$D127,$E127,TRUE))</f>
        <v/>
      </c>
      <c r="CD127">
        <f>IF(NOT(ISNUMBER($D127)),"",_xlfn.NORM.DIST(CD$1,$D127,$E127,TRUE)-_xlfn.NORM.DIST(CD$2,$D127,$E127,TRUE))</f>
        <v/>
      </c>
      <c r="CE127">
        <f>IF(NOT(ISNUMBER($D127)),"",_xlfn.NORM.DIST(CE$1,$D127,$E127,TRUE)-_xlfn.NORM.DIST(CE$2,$D127,$E127,TRUE))</f>
        <v/>
      </c>
      <c r="CF127">
        <f>IF(NOT(ISNUMBER($D127)),"",_xlfn.NORM.DIST(CF$1,$D127,$E127,TRUE)-_xlfn.NORM.DIST(CF$2,$D127,$E127,TRUE))</f>
        <v/>
      </c>
      <c r="CG127">
        <f>IF(NOT(ISNUMBER($D127)),"",_xlfn.NORM.DIST(CG$1,$D127,$E127,TRUE)-_xlfn.NORM.DIST(CG$2,$D127,$E127,TRUE))</f>
        <v/>
      </c>
      <c r="CH127">
        <f>IF(NOT(ISNUMBER($D127)),"",_xlfn.NORM.DIST(CH$1,$D127,$E127,TRUE)-_xlfn.NORM.DIST(CH$2,$D127,$E127,TRUE))</f>
        <v/>
      </c>
      <c r="CI127">
        <f>IF(NOT(ISNUMBER($D127)),"",_xlfn.NORM.DIST(CI$1,$D127,$E127,TRUE)-_xlfn.NORM.DIST(CI$2,$D127,$E127,TRUE))</f>
        <v/>
      </c>
      <c r="CJ127">
        <f>IF(ISNUMBER($D127),SUM(F127:CI127),"")</f>
        <v/>
      </c>
    </row>
    <row r="128">
      <c r="A128">
        <f>economics!A127</f>
        <v/>
      </c>
      <c r="B128">
        <f>economics!B127</f>
        <v/>
      </c>
      <c r="C128">
        <f>economics!D127</f>
        <v/>
      </c>
      <c r="D128">
        <f>IF(ISNUMBER(economics!T127),economics!T127,"na")</f>
        <v/>
      </c>
      <c r="E128">
        <f>IF(ISNUMBER(D128),MAX(0.3*ABS(D128),0.000001),"na")</f>
        <v/>
      </c>
      <c r="F128">
        <f>IF(NOT(ISNUMBER($D128)),"",_xlfn.NORM.DIST(F$1,$D128,$E128,TRUE)-_xlfn.NORM.DIST(F$2,$D128,$E128,TRUE))</f>
        <v/>
      </c>
      <c r="G128">
        <f>IF(NOT(ISNUMBER($D128)),"",_xlfn.NORM.DIST(G$1,$D128,$E128,TRUE)-_xlfn.NORM.DIST(G$2,$D128,$E128,TRUE))</f>
        <v/>
      </c>
      <c r="H128">
        <f>IF(NOT(ISNUMBER($D128)),"",_xlfn.NORM.DIST(H$1,$D128,$E128,TRUE)-_xlfn.NORM.DIST(H$2,$D128,$E128,TRUE))</f>
        <v/>
      </c>
      <c r="I128">
        <f>IF(NOT(ISNUMBER($D128)),"",_xlfn.NORM.DIST(I$1,$D128,$E128,TRUE)-_xlfn.NORM.DIST(I$2,$D128,$E128,TRUE))</f>
        <v/>
      </c>
      <c r="J128">
        <f>IF(NOT(ISNUMBER($D128)),"",_xlfn.NORM.DIST(J$1,$D128,$E128,TRUE)-_xlfn.NORM.DIST(J$2,$D128,$E128,TRUE))</f>
        <v/>
      </c>
      <c r="K128">
        <f>IF(NOT(ISNUMBER($D128)),"",_xlfn.NORM.DIST(K$1,$D128,$E128,TRUE)-_xlfn.NORM.DIST(K$2,$D128,$E128,TRUE))</f>
        <v/>
      </c>
      <c r="L128">
        <f>IF(NOT(ISNUMBER($D128)),"",_xlfn.NORM.DIST(L$1,$D128,$E128,TRUE)-_xlfn.NORM.DIST(L$2,$D128,$E128,TRUE))</f>
        <v/>
      </c>
      <c r="M128">
        <f>IF(NOT(ISNUMBER($D128)),"",_xlfn.NORM.DIST(M$1,$D128,$E128,TRUE)-_xlfn.NORM.DIST(M$2,$D128,$E128,TRUE))</f>
        <v/>
      </c>
      <c r="N128">
        <f>IF(NOT(ISNUMBER($D128)),"",_xlfn.NORM.DIST(N$1,$D128,$E128,TRUE)-_xlfn.NORM.DIST(N$2,$D128,$E128,TRUE))</f>
        <v/>
      </c>
      <c r="O128">
        <f>IF(NOT(ISNUMBER($D128)),"",_xlfn.NORM.DIST(O$1,$D128,$E128,TRUE)-_xlfn.NORM.DIST(O$2,$D128,$E128,TRUE))</f>
        <v/>
      </c>
      <c r="P128">
        <f>IF(NOT(ISNUMBER($D128)),"",_xlfn.NORM.DIST(P$1,$D128,$E128,TRUE)-_xlfn.NORM.DIST(P$2,$D128,$E128,TRUE))</f>
        <v/>
      </c>
      <c r="Q128">
        <f>IF(NOT(ISNUMBER($D128)),"",_xlfn.NORM.DIST(Q$1,$D128,$E128,TRUE)-_xlfn.NORM.DIST(Q$2,$D128,$E128,TRUE))</f>
        <v/>
      </c>
      <c r="R128">
        <f>IF(NOT(ISNUMBER($D128)),"",_xlfn.NORM.DIST(R$1,$D128,$E128,TRUE)-_xlfn.NORM.DIST(R$2,$D128,$E128,TRUE))</f>
        <v/>
      </c>
      <c r="S128">
        <f>IF(NOT(ISNUMBER($D128)),"",_xlfn.NORM.DIST(S$1,$D128,$E128,TRUE)-_xlfn.NORM.DIST(S$2,$D128,$E128,TRUE))</f>
        <v/>
      </c>
      <c r="T128">
        <f>IF(NOT(ISNUMBER($D128)),"",_xlfn.NORM.DIST(T$1,$D128,$E128,TRUE)-_xlfn.NORM.DIST(T$2,$D128,$E128,TRUE))</f>
        <v/>
      </c>
      <c r="U128">
        <f>IF(NOT(ISNUMBER($D128)),"",_xlfn.NORM.DIST(U$1,$D128,$E128,TRUE)-_xlfn.NORM.DIST(U$2,$D128,$E128,TRUE))</f>
        <v/>
      </c>
      <c r="V128">
        <f>IF(NOT(ISNUMBER($D128)),"",_xlfn.NORM.DIST(V$1,$D128,$E128,TRUE)-_xlfn.NORM.DIST(V$2,$D128,$E128,TRUE))</f>
        <v/>
      </c>
      <c r="W128">
        <f>IF(NOT(ISNUMBER($D128)),"",_xlfn.NORM.DIST(W$1,$D128,$E128,TRUE)-_xlfn.NORM.DIST(W$2,$D128,$E128,TRUE))</f>
        <v/>
      </c>
      <c r="X128">
        <f>IF(NOT(ISNUMBER($D128)),"",_xlfn.NORM.DIST(X$1,$D128,$E128,TRUE)-_xlfn.NORM.DIST(X$2,$D128,$E128,TRUE))</f>
        <v/>
      </c>
      <c r="Y128">
        <f>IF(NOT(ISNUMBER($D128)),"",_xlfn.NORM.DIST(Y$1,$D128,$E128,TRUE)-_xlfn.NORM.DIST(Y$2,$D128,$E128,TRUE))</f>
        <v/>
      </c>
      <c r="Z128">
        <f>IF(NOT(ISNUMBER($D128)),"",_xlfn.NORM.DIST(Z$1,$D128,$E128,TRUE)-_xlfn.NORM.DIST(Z$2,$D128,$E128,TRUE))</f>
        <v/>
      </c>
      <c r="AA128">
        <f>IF(NOT(ISNUMBER($D128)),"",_xlfn.NORM.DIST(AA$1,$D128,$E128,TRUE)-_xlfn.NORM.DIST(AA$2,$D128,$E128,TRUE))</f>
        <v/>
      </c>
      <c r="AB128">
        <f>IF(NOT(ISNUMBER($D128)),"",_xlfn.NORM.DIST(AB$1,$D128,$E128,TRUE)-_xlfn.NORM.DIST(AB$2,$D128,$E128,TRUE))</f>
        <v/>
      </c>
      <c r="AC128">
        <f>IF(NOT(ISNUMBER($D128)),"",_xlfn.NORM.DIST(AC$1,$D128,$E128,TRUE)-_xlfn.NORM.DIST(AC$2,$D128,$E128,TRUE))</f>
        <v/>
      </c>
      <c r="AD128">
        <f>IF(NOT(ISNUMBER($D128)),"",_xlfn.NORM.DIST(AD$1,$D128,$E128,TRUE)-_xlfn.NORM.DIST(AD$2,$D128,$E128,TRUE))</f>
        <v/>
      </c>
      <c r="AE128">
        <f>IF(NOT(ISNUMBER($D128)),"",_xlfn.NORM.DIST(AE$1,$D128,$E128,TRUE)-_xlfn.NORM.DIST(AE$2,$D128,$E128,TRUE))</f>
        <v/>
      </c>
      <c r="AF128">
        <f>IF(NOT(ISNUMBER($D128)),"",_xlfn.NORM.DIST(AF$1,$D128,$E128,TRUE)-_xlfn.NORM.DIST(AF$2,$D128,$E128,TRUE))</f>
        <v/>
      </c>
      <c r="AG128">
        <f>IF(NOT(ISNUMBER($D128)),"",_xlfn.NORM.DIST(AG$1,$D128,$E128,TRUE)-_xlfn.NORM.DIST(AG$2,$D128,$E128,TRUE))</f>
        <v/>
      </c>
      <c r="AH128">
        <f>IF(NOT(ISNUMBER($D128)),"",_xlfn.NORM.DIST(AH$1,$D128,$E128,TRUE)-_xlfn.NORM.DIST(AH$2,$D128,$E128,TRUE))</f>
        <v/>
      </c>
      <c r="AI128">
        <f>IF(NOT(ISNUMBER($D128)),"",_xlfn.NORM.DIST(AI$1,$D128,$E128,TRUE)-_xlfn.NORM.DIST(AI$2,$D128,$E128,TRUE))</f>
        <v/>
      </c>
      <c r="AJ128">
        <f>IF(NOT(ISNUMBER($D128)),"",_xlfn.NORM.DIST(AJ$1,$D128,$E128,TRUE)-_xlfn.NORM.DIST(AJ$2,$D128,$E128,TRUE))</f>
        <v/>
      </c>
      <c r="AK128">
        <f>IF(NOT(ISNUMBER($D128)),"",_xlfn.NORM.DIST(AK$1,$D128,$E128,TRUE)-_xlfn.NORM.DIST(AK$2,$D128,$E128,TRUE))</f>
        <v/>
      </c>
      <c r="AL128">
        <f>IF(NOT(ISNUMBER($D128)),"",_xlfn.NORM.DIST(AL$1,$D128,$E128,TRUE)-_xlfn.NORM.DIST(AL$2,$D128,$E128,TRUE))</f>
        <v/>
      </c>
      <c r="AM128">
        <f>IF(NOT(ISNUMBER($D128)),"",_xlfn.NORM.DIST(AM$1,$D128,$E128,TRUE)-_xlfn.NORM.DIST(AM$2,$D128,$E128,TRUE))</f>
        <v/>
      </c>
      <c r="AN128">
        <f>IF(NOT(ISNUMBER($D128)),"",_xlfn.NORM.DIST(AN$1,$D128,$E128,TRUE)-_xlfn.NORM.DIST(AN$2,$D128,$E128,TRUE))</f>
        <v/>
      </c>
      <c r="AO128">
        <f>IF(NOT(ISNUMBER($D128)),"",_xlfn.NORM.DIST(AO$1,$D128,$E128,TRUE)-_xlfn.NORM.DIST(AO$2,$D128,$E128,TRUE))</f>
        <v/>
      </c>
      <c r="AP128">
        <f>IF(NOT(ISNUMBER($D128)),"",_xlfn.NORM.DIST(AP$1,$D128,$E128,TRUE)-_xlfn.NORM.DIST(AP$2,$D128,$E128,TRUE))</f>
        <v/>
      </c>
      <c r="AQ128">
        <f>IF(NOT(ISNUMBER($D128)),"",_xlfn.NORM.DIST(AQ$1,$D128,$E128,TRUE)-_xlfn.NORM.DIST(AQ$2,$D128,$E128,TRUE))</f>
        <v/>
      </c>
      <c r="AR128">
        <f>IF(NOT(ISNUMBER($D128)),"",_xlfn.NORM.DIST(AR$1,$D128,$E128,TRUE)-_xlfn.NORM.DIST(AR$2,$D128,$E128,TRUE))</f>
        <v/>
      </c>
      <c r="AS128">
        <f>IF(NOT(ISNUMBER($D128)),"",_xlfn.NORM.DIST(AS$1,$D128,$E128,TRUE)-_xlfn.NORM.DIST(AS$2,$D128,$E128,TRUE))</f>
        <v/>
      </c>
      <c r="AT128">
        <f>IF(NOT(ISNUMBER($D128)),"",_xlfn.NORM.DIST(AT$1,$D128,$E128,TRUE)-_xlfn.NORM.DIST(AT$2,$D128,$E128,TRUE))</f>
        <v/>
      </c>
      <c r="AU128">
        <f>IF(NOT(ISNUMBER($D128)),"",_xlfn.NORM.DIST(AU$1,$D128,$E128,TRUE)-_xlfn.NORM.DIST(AU$2,$D128,$E128,TRUE))</f>
        <v/>
      </c>
      <c r="AV128">
        <f>IF(NOT(ISNUMBER($D128)),"",_xlfn.NORM.DIST(AV$1,$D128,$E128,TRUE)-_xlfn.NORM.DIST(AV$2,$D128,$E128,TRUE))</f>
        <v/>
      </c>
      <c r="AW128">
        <f>IF(NOT(ISNUMBER($D128)),"",_xlfn.NORM.DIST(AW$1,$D128,$E128,TRUE)-_xlfn.NORM.DIST(AW$2,$D128,$E128,TRUE))</f>
        <v/>
      </c>
      <c r="AX128">
        <f>IF(NOT(ISNUMBER($D128)),"",_xlfn.NORM.DIST(AX$1,$D128,$E128,TRUE)-_xlfn.NORM.DIST(AX$2,$D128,$E128,TRUE))</f>
        <v/>
      </c>
      <c r="AY128">
        <f>IF(NOT(ISNUMBER($D128)),"",_xlfn.NORM.DIST(AY$1,$D128,$E128,TRUE)-_xlfn.NORM.DIST(AY$2,$D128,$E128,TRUE))</f>
        <v/>
      </c>
      <c r="AZ128">
        <f>IF(NOT(ISNUMBER($D128)),"",_xlfn.NORM.DIST(AZ$1,$D128,$E128,TRUE)-_xlfn.NORM.DIST(AZ$2,$D128,$E128,TRUE))</f>
        <v/>
      </c>
      <c r="BA128">
        <f>IF(NOT(ISNUMBER($D128)),"",_xlfn.NORM.DIST(BA$1,$D128,$E128,TRUE)-_xlfn.NORM.DIST(BA$2,$D128,$E128,TRUE))</f>
        <v/>
      </c>
      <c r="BB128">
        <f>IF(NOT(ISNUMBER($D128)),"",_xlfn.NORM.DIST(BB$1,$D128,$E128,TRUE)-_xlfn.NORM.DIST(BB$2,$D128,$E128,TRUE))</f>
        <v/>
      </c>
      <c r="BC128">
        <f>IF(NOT(ISNUMBER($D128)),"",_xlfn.NORM.DIST(BC$1,$D128,$E128,TRUE)-_xlfn.NORM.DIST(BC$2,$D128,$E128,TRUE))</f>
        <v/>
      </c>
      <c r="BD128">
        <f>IF(NOT(ISNUMBER($D128)),"",_xlfn.NORM.DIST(BD$1,$D128,$E128,TRUE)-_xlfn.NORM.DIST(BD$2,$D128,$E128,TRUE))</f>
        <v/>
      </c>
      <c r="BE128">
        <f>IF(NOT(ISNUMBER($D128)),"",_xlfn.NORM.DIST(BE$1,$D128,$E128,TRUE)-_xlfn.NORM.DIST(BE$2,$D128,$E128,TRUE))</f>
        <v/>
      </c>
      <c r="BF128">
        <f>IF(NOT(ISNUMBER($D128)),"",_xlfn.NORM.DIST(BF$1,$D128,$E128,TRUE)-_xlfn.NORM.DIST(BF$2,$D128,$E128,TRUE))</f>
        <v/>
      </c>
      <c r="BG128">
        <f>IF(NOT(ISNUMBER($D128)),"",_xlfn.NORM.DIST(BG$1,$D128,$E128,TRUE)-_xlfn.NORM.DIST(BG$2,$D128,$E128,TRUE))</f>
        <v/>
      </c>
      <c r="BH128">
        <f>IF(NOT(ISNUMBER($D128)),"",_xlfn.NORM.DIST(BH$1,$D128,$E128,TRUE)-_xlfn.NORM.DIST(BH$2,$D128,$E128,TRUE))</f>
        <v/>
      </c>
      <c r="BI128">
        <f>IF(NOT(ISNUMBER($D128)),"",_xlfn.NORM.DIST(BI$1,$D128,$E128,TRUE)-_xlfn.NORM.DIST(BI$2,$D128,$E128,TRUE))</f>
        <v/>
      </c>
      <c r="BJ128">
        <f>IF(NOT(ISNUMBER($D128)),"",_xlfn.NORM.DIST(BJ$1,$D128,$E128,TRUE)-_xlfn.NORM.DIST(BJ$2,$D128,$E128,TRUE))</f>
        <v/>
      </c>
      <c r="BK128">
        <f>IF(NOT(ISNUMBER($D128)),"",_xlfn.NORM.DIST(BK$1,$D128,$E128,TRUE)-_xlfn.NORM.DIST(BK$2,$D128,$E128,TRUE))</f>
        <v/>
      </c>
      <c r="BL128">
        <f>IF(NOT(ISNUMBER($D128)),"",_xlfn.NORM.DIST(BL$1,$D128,$E128,TRUE)-_xlfn.NORM.DIST(BL$2,$D128,$E128,TRUE))</f>
        <v/>
      </c>
      <c r="BM128">
        <f>IF(NOT(ISNUMBER($D128)),"",_xlfn.NORM.DIST(BM$1,$D128,$E128,TRUE)-_xlfn.NORM.DIST(BM$2,$D128,$E128,TRUE))</f>
        <v/>
      </c>
      <c r="BN128">
        <f>IF(NOT(ISNUMBER($D128)),"",_xlfn.NORM.DIST(BN$1,$D128,$E128,TRUE)-_xlfn.NORM.DIST(BN$2,$D128,$E128,TRUE))</f>
        <v/>
      </c>
      <c r="BO128">
        <f>IF(NOT(ISNUMBER($D128)),"",_xlfn.NORM.DIST(BO$1,$D128,$E128,TRUE)-_xlfn.NORM.DIST(BO$2,$D128,$E128,TRUE))</f>
        <v/>
      </c>
      <c r="BP128">
        <f>IF(NOT(ISNUMBER($D128)),"",_xlfn.NORM.DIST(BP$1,$D128,$E128,TRUE)-_xlfn.NORM.DIST(BP$2,$D128,$E128,TRUE))</f>
        <v/>
      </c>
      <c r="BQ128">
        <f>IF(NOT(ISNUMBER($D128)),"",_xlfn.NORM.DIST(BQ$1,$D128,$E128,TRUE)-_xlfn.NORM.DIST(BQ$2,$D128,$E128,TRUE))</f>
        <v/>
      </c>
      <c r="BR128">
        <f>IF(NOT(ISNUMBER($D128)),"",_xlfn.NORM.DIST(BR$1,$D128,$E128,TRUE)-_xlfn.NORM.DIST(BR$2,$D128,$E128,TRUE))</f>
        <v/>
      </c>
      <c r="BS128">
        <f>IF(NOT(ISNUMBER($D128)),"",_xlfn.NORM.DIST(BS$1,$D128,$E128,TRUE)-_xlfn.NORM.DIST(BS$2,$D128,$E128,TRUE))</f>
        <v/>
      </c>
      <c r="BT128">
        <f>IF(NOT(ISNUMBER($D128)),"",_xlfn.NORM.DIST(BT$1,$D128,$E128,TRUE)-_xlfn.NORM.DIST(BT$2,$D128,$E128,TRUE))</f>
        <v/>
      </c>
      <c r="BU128">
        <f>IF(NOT(ISNUMBER($D128)),"",_xlfn.NORM.DIST(BU$1,$D128,$E128,TRUE)-_xlfn.NORM.DIST(BU$2,$D128,$E128,TRUE))</f>
        <v/>
      </c>
      <c r="BV128">
        <f>IF(NOT(ISNUMBER($D128)),"",_xlfn.NORM.DIST(BV$1,$D128,$E128,TRUE)-_xlfn.NORM.DIST(BV$2,$D128,$E128,TRUE))</f>
        <v/>
      </c>
      <c r="BW128">
        <f>IF(NOT(ISNUMBER($D128)),"",_xlfn.NORM.DIST(BW$1,$D128,$E128,TRUE)-_xlfn.NORM.DIST(BW$2,$D128,$E128,TRUE))</f>
        <v/>
      </c>
      <c r="BX128">
        <f>IF(NOT(ISNUMBER($D128)),"",_xlfn.NORM.DIST(BX$1,$D128,$E128,TRUE)-_xlfn.NORM.DIST(BX$2,$D128,$E128,TRUE))</f>
        <v/>
      </c>
      <c r="BY128">
        <f>IF(NOT(ISNUMBER($D128)),"",_xlfn.NORM.DIST(BY$1,$D128,$E128,TRUE)-_xlfn.NORM.DIST(BY$2,$D128,$E128,TRUE))</f>
        <v/>
      </c>
      <c r="BZ128">
        <f>IF(NOT(ISNUMBER($D128)),"",_xlfn.NORM.DIST(BZ$1,$D128,$E128,TRUE)-_xlfn.NORM.DIST(BZ$2,$D128,$E128,TRUE))</f>
        <v/>
      </c>
      <c r="CA128">
        <f>IF(NOT(ISNUMBER($D128)),"",_xlfn.NORM.DIST(CA$1,$D128,$E128,TRUE)-_xlfn.NORM.DIST(CA$2,$D128,$E128,TRUE))</f>
        <v/>
      </c>
      <c r="CB128">
        <f>IF(NOT(ISNUMBER($D128)),"",_xlfn.NORM.DIST(CB$1,$D128,$E128,TRUE)-_xlfn.NORM.DIST(CB$2,$D128,$E128,TRUE))</f>
        <v/>
      </c>
      <c r="CC128">
        <f>IF(NOT(ISNUMBER($D128)),"",_xlfn.NORM.DIST(CC$1,$D128,$E128,TRUE)-_xlfn.NORM.DIST(CC$2,$D128,$E128,TRUE))</f>
        <v/>
      </c>
      <c r="CD128">
        <f>IF(NOT(ISNUMBER($D128)),"",_xlfn.NORM.DIST(CD$1,$D128,$E128,TRUE)-_xlfn.NORM.DIST(CD$2,$D128,$E128,TRUE))</f>
        <v/>
      </c>
      <c r="CE128">
        <f>IF(NOT(ISNUMBER($D128)),"",_xlfn.NORM.DIST(CE$1,$D128,$E128,TRUE)-_xlfn.NORM.DIST(CE$2,$D128,$E128,TRUE))</f>
        <v/>
      </c>
      <c r="CF128">
        <f>IF(NOT(ISNUMBER($D128)),"",_xlfn.NORM.DIST(CF$1,$D128,$E128,TRUE)-_xlfn.NORM.DIST(CF$2,$D128,$E128,TRUE))</f>
        <v/>
      </c>
      <c r="CG128">
        <f>IF(NOT(ISNUMBER($D128)),"",_xlfn.NORM.DIST(CG$1,$D128,$E128,TRUE)-_xlfn.NORM.DIST(CG$2,$D128,$E128,TRUE))</f>
        <v/>
      </c>
      <c r="CH128">
        <f>IF(NOT(ISNUMBER($D128)),"",_xlfn.NORM.DIST(CH$1,$D128,$E128,TRUE)-_xlfn.NORM.DIST(CH$2,$D128,$E128,TRUE))</f>
        <v/>
      </c>
      <c r="CI128">
        <f>IF(NOT(ISNUMBER($D128)),"",_xlfn.NORM.DIST(CI$1,$D128,$E128,TRUE)-_xlfn.NORM.DIST(CI$2,$D128,$E128,TRUE))</f>
        <v/>
      </c>
      <c r="CJ128">
        <f>IF(ISNUMBER($D128),SUM(F128:CI128),"")</f>
        <v/>
      </c>
    </row>
    <row r="129">
      <c r="A129">
        <f>economics!A128</f>
        <v/>
      </c>
      <c r="B129">
        <f>economics!B128</f>
        <v/>
      </c>
      <c r="C129">
        <f>economics!D128</f>
        <v/>
      </c>
      <c r="D129">
        <f>IF(ISNUMBER(economics!T128),economics!T128,"na")</f>
        <v/>
      </c>
      <c r="E129">
        <f>IF(ISNUMBER(D129),MAX(0.3*ABS(D129),0.000001),"na")</f>
        <v/>
      </c>
      <c r="F129">
        <f>IF(NOT(ISNUMBER($D129)),"",_xlfn.NORM.DIST(F$1,$D129,$E129,TRUE)-_xlfn.NORM.DIST(F$2,$D129,$E129,TRUE))</f>
        <v/>
      </c>
      <c r="G129">
        <f>IF(NOT(ISNUMBER($D129)),"",_xlfn.NORM.DIST(G$1,$D129,$E129,TRUE)-_xlfn.NORM.DIST(G$2,$D129,$E129,TRUE))</f>
        <v/>
      </c>
      <c r="H129">
        <f>IF(NOT(ISNUMBER($D129)),"",_xlfn.NORM.DIST(H$1,$D129,$E129,TRUE)-_xlfn.NORM.DIST(H$2,$D129,$E129,TRUE))</f>
        <v/>
      </c>
      <c r="I129">
        <f>IF(NOT(ISNUMBER($D129)),"",_xlfn.NORM.DIST(I$1,$D129,$E129,TRUE)-_xlfn.NORM.DIST(I$2,$D129,$E129,TRUE))</f>
        <v/>
      </c>
      <c r="J129">
        <f>IF(NOT(ISNUMBER($D129)),"",_xlfn.NORM.DIST(J$1,$D129,$E129,TRUE)-_xlfn.NORM.DIST(J$2,$D129,$E129,TRUE))</f>
        <v/>
      </c>
      <c r="K129">
        <f>IF(NOT(ISNUMBER($D129)),"",_xlfn.NORM.DIST(K$1,$D129,$E129,TRUE)-_xlfn.NORM.DIST(K$2,$D129,$E129,TRUE))</f>
        <v/>
      </c>
      <c r="L129">
        <f>IF(NOT(ISNUMBER($D129)),"",_xlfn.NORM.DIST(L$1,$D129,$E129,TRUE)-_xlfn.NORM.DIST(L$2,$D129,$E129,TRUE))</f>
        <v/>
      </c>
      <c r="M129">
        <f>IF(NOT(ISNUMBER($D129)),"",_xlfn.NORM.DIST(M$1,$D129,$E129,TRUE)-_xlfn.NORM.DIST(M$2,$D129,$E129,TRUE))</f>
        <v/>
      </c>
      <c r="N129">
        <f>IF(NOT(ISNUMBER($D129)),"",_xlfn.NORM.DIST(N$1,$D129,$E129,TRUE)-_xlfn.NORM.DIST(N$2,$D129,$E129,TRUE))</f>
        <v/>
      </c>
      <c r="O129">
        <f>IF(NOT(ISNUMBER($D129)),"",_xlfn.NORM.DIST(O$1,$D129,$E129,TRUE)-_xlfn.NORM.DIST(O$2,$D129,$E129,TRUE))</f>
        <v/>
      </c>
      <c r="P129">
        <f>IF(NOT(ISNUMBER($D129)),"",_xlfn.NORM.DIST(P$1,$D129,$E129,TRUE)-_xlfn.NORM.DIST(P$2,$D129,$E129,TRUE))</f>
        <v/>
      </c>
      <c r="Q129">
        <f>IF(NOT(ISNUMBER($D129)),"",_xlfn.NORM.DIST(Q$1,$D129,$E129,TRUE)-_xlfn.NORM.DIST(Q$2,$D129,$E129,TRUE))</f>
        <v/>
      </c>
      <c r="R129">
        <f>IF(NOT(ISNUMBER($D129)),"",_xlfn.NORM.DIST(R$1,$D129,$E129,TRUE)-_xlfn.NORM.DIST(R$2,$D129,$E129,TRUE))</f>
        <v/>
      </c>
      <c r="S129">
        <f>IF(NOT(ISNUMBER($D129)),"",_xlfn.NORM.DIST(S$1,$D129,$E129,TRUE)-_xlfn.NORM.DIST(S$2,$D129,$E129,TRUE))</f>
        <v/>
      </c>
      <c r="T129">
        <f>IF(NOT(ISNUMBER($D129)),"",_xlfn.NORM.DIST(T$1,$D129,$E129,TRUE)-_xlfn.NORM.DIST(T$2,$D129,$E129,TRUE))</f>
        <v/>
      </c>
      <c r="U129">
        <f>IF(NOT(ISNUMBER($D129)),"",_xlfn.NORM.DIST(U$1,$D129,$E129,TRUE)-_xlfn.NORM.DIST(U$2,$D129,$E129,TRUE))</f>
        <v/>
      </c>
      <c r="V129">
        <f>IF(NOT(ISNUMBER($D129)),"",_xlfn.NORM.DIST(V$1,$D129,$E129,TRUE)-_xlfn.NORM.DIST(V$2,$D129,$E129,TRUE))</f>
        <v/>
      </c>
      <c r="W129">
        <f>IF(NOT(ISNUMBER($D129)),"",_xlfn.NORM.DIST(W$1,$D129,$E129,TRUE)-_xlfn.NORM.DIST(W$2,$D129,$E129,TRUE))</f>
        <v/>
      </c>
      <c r="X129">
        <f>IF(NOT(ISNUMBER($D129)),"",_xlfn.NORM.DIST(X$1,$D129,$E129,TRUE)-_xlfn.NORM.DIST(X$2,$D129,$E129,TRUE))</f>
        <v/>
      </c>
      <c r="Y129">
        <f>IF(NOT(ISNUMBER($D129)),"",_xlfn.NORM.DIST(Y$1,$D129,$E129,TRUE)-_xlfn.NORM.DIST(Y$2,$D129,$E129,TRUE))</f>
        <v/>
      </c>
      <c r="Z129">
        <f>IF(NOT(ISNUMBER($D129)),"",_xlfn.NORM.DIST(Z$1,$D129,$E129,TRUE)-_xlfn.NORM.DIST(Z$2,$D129,$E129,TRUE))</f>
        <v/>
      </c>
      <c r="AA129">
        <f>IF(NOT(ISNUMBER($D129)),"",_xlfn.NORM.DIST(AA$1,$D129,$E129,TRUE)-_xlfn.NORM.DIST(AA$2,$D129,$E129,TRUE))</f>
        <v/>
      </c>
      <c r="AB129">
        <f>IF(NOT(ISNUMBER($D129)),"",_xlfn.NORM.DIST(AB$1,$D129,$E129,TRUE)-_xlfn.NORM.DIST(AB$2,$D129,$E129,TRUE))</f>
        <v/>
      </c>
      <c r="AC129">
        <f>IF(NOT(ISNUMBER($D129)),"",_xlfn.NORM.DIST(AC$1,$D129,$E129,TRUE)-_xlfn.NORM.DIST(AC$2,$D129,$E129,TRUE))</f>
        <v/>
      </c>
      <c r="AD129">
        <f>IF(NOT(ISNUMBER($D129)),"",_xlfn.NORM.DIST(AD$1,$D129,$E129,TRUE)-_xlfn.NORM.DIST(AD$2,$D129,$E129,TRUE))</f>
        <v/>
      </c>
      <c r="AE129">
        <f>IF(NOT(ISNUMBER($D129)),"",_xlfn.NORM.DIST(AE$1,$D129,$E129,TRUE)-_xlfn.NORM.DIST(AE$2,$D129,$E129,TRUE))</f>
        <v/>
      </c>
      <c r="AF129">
        <f>IF(NOT(ISNUMBER($D129)),"",_xlfn.NORM.DIST(AF$1,$D129,$E129,TRUE)-_xlfn.NORM.DIST(AF$2,$D129,$E129,TRUE))</f>
        <v/>
      </c>
      <c r="AG129">
        <f>IF(NOT(ISNUMBER($D129)),"",_xlfn.NORM.DIST(AG$1,$D129,$E129,TRUE)-_xlfn.NORM.DIST(AG$2,$D129,$E129,TRUE))</f>
        <v/>
      </c>
      <c r="AH129">
        <f>IF(NOT(ISNUMBER($D129)),"",_xlfn.NORM.DIST(AH$1,$D129,$E129,TRUE)-_xlfn.NORM.DIST(AH$2,$D129,$E129,TRUE))</f>
        <v/>
      </c>
      <c r="AI129">
        <f>IF(NOT(ISNUMBER($D129)),"",_xlfn.NORM.DIST(AI$1,$D129,$E129,TRUE)-_xlfn.NORM.DIST(AI$2,$D129,$E129,TRUE))</f>
        <v/>
      </c>
      <c r="AJ129">
        <f>IF(NOT(ISNUMBER($D129)),"",_xlfn.NORM.DIST(AJ$1,$D129,$E129,TRUE)-_xlfn.NORM.DIST(AJ$2,$D129,$E129,TRUE))</f>
        <v/>
      </c>
      <c r="AK129">
        <f>IF(NOT(ISNUMBER($D129)),"",_xlfn.NORM.DIST(AK$1,$D129,$E129,TRUE)-_xlfn.NORM.DIST(AK$2,$D129,$E129,TRUE))</f>
        <v/>
      </c>
      <c r="AL129">
        <f>IF(NOT(ISNUMBER($D129)),"",_xlfn.NORM.DIST(AL$1,$D129,$E129,TRUE)-_xlfn.NORM.DIST(AL$2,$D129,$E129,TRUE))</f>
        <v/>
      </c>
      <c r="AM129">
        <f>IF(NOT(ISNUMBER($D129)),"",_xlfn.NORM.DIST(AM$1,$D129,$E129,TRUE)-_xlfn.NORM.DIST(AM$2,$D129,$E129,TRUE))</f>
        <v/>
      </c>
      <c r="AN129">
        <f>IF(NOT(ISNUMBER($D129)),"",_xlfn.NORM.DIST(AN$1,$D129,$E129,TRUE)-_xlfn.NORM.DIST(AN$2,$D129,$E129,TRUE))</f>
        <v/>
      </c>
      <c r="AO129">
        <f>IF(NOT(ISNUMBER($D129)),"",_xlfn.NORM.DIST(AO$1,$D129,$E129,TRUE)-_xlfn.NORM.DIST(AO$2,$D129,$E129,TRUE))</f>
        <v/>
      </c>
      <c r="AP129">
        <f>IF(NOT(ISNUMBER($D129)),"",_xlfn.NORM.DIST(AP$1,$D129,$E129,TRUE)-_xlfn.NORM.DIST(AP$2,$D129,$E129,TRUE))</f>
        <v/>
      </c>
      <c r="AQ129">
        <f>IF(NOT(ISNUMBER($D129)),"",_xlfn.NORM.DIST(AQ$1,$D129,$E129,TRUE)-_xlfn.NORM.DIST(AQ$2,$D129,$E129,TRUE))</f>
        <v/>
      </c>
      <c r="AR129">
        <f>IF(NOT(ISNUMBER($D129)),"",_xlfn.NORM.DIST(AR$1,$D129,$E129,TRUE)-_xlfn.NORM.DIST(AR$2,$D129,$E129,TRUE))</f>
        <v/>
      </c>
      <c r="AS129">
        <f>IF(NOT(ISNUMBER($D129)),"",_xlfn.NORM.DIST(AS$1,$D129,$E129,TRUE)-_xlfn.NORM.DIST(AS$2,$D129,$E129,TRUE))</f>
        <v/>
      </c>
      <c r="AT129">
        <f>IF(NOT(ISNUMBER($D129)),"",_xlfn.NORM.DIST(AT$1,$D129,$E129,TRUE)-_xlfn.NORM.DIST(AT$2,$D129,$E129,TRUE))</f>
        <v/>
      </c>
      <c r="AU129">
        <f>IF(NOT(ISNUMBER($D129)),"",_xlfn.NORM.DIST(AU$1,$D129,$E129,TRUE)-_xlfn.NORM.DIST(AU$2,$D129,$E129,TRUE))</f>
        <v/>
      </c>
      <c r="AV129">
        <f>IF(NOT(ISNUMBER($D129)),"",_xlfn.NORM.DIST(AV$1,$D129,$E129,TRUE)-_xlfn.NORM.DIST(AV$2,$D129,$E129,TRUE))</f>
        <v/>
      </c>
      <c r="AW129">
        <f>IF(NOT(ISNUMBER($D129)),"",_xlfn.NORM.DIST(AW$1,$D129,$E129,TRUE)-_xlfn.NORM.DIST(AW$2,$D129,$E129,TRUE))</f>
        <v/>
      </c>
      <c r="AX129">
        <f>IF(NOT(ISNUMBER($D129)),"",_xlfn.NORM.DIST(AX$1,$D129,$E129,TRUE)-_xlfn.NORM.DIST(AX$2,$D129,$E129,TRUE))</f>
        <v/>
      </c>
      <c r="AY129">
        <f>IF(NOT(ISNUMBER($D129)),"",_xlfn.NORM.DIST(AY$1,$D129,$E129,TRUE)-_xlfn.NORM.DIST(AY$2,$D129,$E129,TRUE))</f>
        <v/>
      </c>
      <c r="AZ129">
        <f>IF(NOT(ISNUMBER($D129)),"",_xlfn.NORM.DIST(AZ$1,$D129,$E129,TRUE)-_xlfn.NORM.DIST(AZ$2,$D129,$E129,TRUE))</f>
        <v/>
      </c>
      <c r="BA129">
        <f>IF(NOT(ISNUMBER($D129)),"",_xlfn.NORM.DIST(BA$1,$D129,$E129,TRUE)-_xlfn.NORM.DIST(BA$2,$D129,$E129,TRUE))</f>
        <v/>
      </c>
      <c r="BB129">
        <f>IF(NOT(ISNUMBER($D129)),"",_xlfn.NORM.DIST(BB$1,$D129,$E129,TRUE)-_xlfn.NORM.DIST(BB$2,$D129,$E129,TRUE))</f>
        <v/>
      </c>
      <c r="BC129">
        <f>IF(NOT(ISNUMBER($D129)),"",_xlfn.NORM.DIST(BC$1,$D129,$E129,TRUE)-_xlfn.NORM.DIST(BC$2,$D129,$E129,TRUE))</f>
        <v/>
      </c>
      <c r="BD129">
        <f>IF(NOT(ISNUMBER($D129)),"",_xlfn.NORM.DIST(BD$1,$D129,$E129,TRUE)-_xlfn.NORM.DIST(BD$2,$D129,$E129,TRUE))</f>
        <v/>
      </c>
      <c r="BE129">
        <f>IF(NOT(ISNUMBER($D129)),"",_xlfn.NORM.DIST(BE$1,$D129,$E129,TRUE)-_xlfn.NORM.DIST(BE$2,$D129,$E129,TRUE))</f>
        <v/>
      </c>
      <c r="BF129">
        <f>IF(NOT(ISNUMBER($D129)),"",_xlfn.NORM.DIST(BF$1,$D129,$E129,TRUE)-_xlfn.NORM.DIST(BF$2,$D129,$E129,TRUE))</f>
        <v/>
      </c>
      <c r="BG129">
        <f>IF(NOT(ISNUMBER($D129)),"",_xlfn.NORM.DIST(BG$1,$D129,$E129,TRUE)-_xlfn.NORM.DIST(BG$2,$D129,$E129,TRUE))</f>
        <v/>
      </c>
      <c r="BH129">
        <f>IF(NOT(ISNUMBER($D129)),"",_xlfn.NORM.DIST(BH$1,$D129,$E129,TRUE)-_xlfn.NORM.DIST(BH$2,$D129,$E129,TRUE))</f>
        <v/>
      </c>
      <c r="BI129">
        <f>IF(NOT(ISNUMBER($D129)),"",_xlfn.NORM.DIST(BI$1,$D129,$E129,TRUE)-_xlfn.NORM.DIST(BI$2,$D129,$E129,TRUE))</f>
        <v/>
      </c>
      <c r="BJ129">
        <f>IF(NOT(ISNUMBER($D129)),"",_xlfn.NORM.DIST(BJ$1,$D129,$E129,TRUE)-_xlfn.NORM.DIST(BJ$2,$D129,$E129,TRUE))</f>
        <v/>
      </c>
      <c r="BK129">
        <f>IF(NOT(ISNUMBER($D129)),"",_xlfn.NORM.DIST(BK$1,$D129,$E129,TRUE)-_xlfn.NORM.DIST(BK$2,$D129,$E129,TRUE))</f>
        <v/>
      </c>
      <c r="BL129">
        <f>IF(NOT(ISNUMBER($D129)),"",_xlfn.NORM.DIST(BL$1,$D129,$E129,TRUE)-_xlfn.NORM.DIST(BL$2,$D129,$E129,TRUE))</f>
        <v/>
      </c>
      <c r="BM129">
        <f>IF(NOT(ISNUMBER($D129)),"",_xlfn.NORM.DIST(BM$1,$D129,$E129,TRUE)-_xlfn.NORM.DIST(BM$2,$D129,$E129,TRUE))</f>
        <v/>
      </c>
      <c r="BN129">
        <f>IF(NOT(ISNUMBER($D129)),"",_xlfn.NORM.DIST(BN$1,$D129,$E129,TRUE)-_xlfn.NORM.DIST(BN$2,$D129,$E129,TRUE))</f>
        <v/>
      </c>
      <c r="BO129">
        <f>IF(NOT(ISNUMBER($D129)),"",_xlfn.NORM.DIST(BO$1,$D129,$E129,TRUE)-_xlfn.NORM.DIST(BO$2,$D129,$E129,TRUE))</f>
        <v/>
      </c>
      <c r="BP129">
        <f>IF(NOT(ISNUMBER($D129)),"",_xlfn.NORM.DIST(BP$1,$D129,$E129,TRUE)-_xlfn.NORM.DIST(BP$2,$D129,$E129,TRUE))</f>
        <v/>
      </c>
      <c r="BQ129">
        <f>IF(NOT(ISNUMBER($D129)),"",_xlfn.NORM.DIST(BQ$1,$D129,$E129,TRUE)-_xlfn.NORM.DIST(BQ$2,$D129,$E129,TRUE))</f>
        <v/>
      </c>
      <c r="BR129">
        <f>IF(NOT(ISNUMBER($D129)),"",_xlfn.NORM.DIST(BR$1,$D129,$E129,TRUE)-_xlfn.NORM.DIST(BR$2,$D129,$E129,TRUE))</f>
        <v/>
      </c>
      <c r="BS129">
        <f>IF(NOT(ISNUMBER($D129)),"",_xlfn.NORM.DIST(BS$1,$D129,$E129,TRUE)-_xlfn.NORM.DIST(BS$2,$D129,$E129,TRUE))</f>
        <v/>
      </c>
      <c r="BT129">
        <f>IF(NOT(ISNUMBER($D129)),"",_xlfn.NORM.DIST(BT$1,$D129,$E129,TRUE)-_xlfn.NORM.DIST(BT$2,$D129,$E129,TRUE))</f>
        <v/>
      </c>
      <c r="BU129">
        <f>IF(NOT(ISNUMBER($D129)),"",_xlfn.NORM.DIST(BU$1,$D129,$E129,TRUE)-_xlfn.NORM.DIST(BU$2,$D129,$E129,TRUE))</f>
        <v/>
      </c>
      <c r="BV129">
        <f>IF(NOT(ISNUMBER($D129)),"",_xlfn.NORM.DIST(BV$1,$D129,$E129,TRUE)-_xlfn.NORM.DIST(BV$2,$D129,$E129,TRUE))</f>
        <v/>
      </c>
      <c r="BW129">
        <f>IF(NOT(ISNUMBER($D129)),"",_xlfn.NORM.DIST(BW$1,$D129,$E129,TRUE)-_xlfn.NORM.DIST(BW$2,$D129,$E129,TRUE))</f>
        <v/>
      </c>
      <c r="BX129">
        <f>IF(NOT(ISNUMBER($D129)),"",_xlfn.NORM.DIST(BX$1,$D129,$E129,TRUE)-_xlfn.NORM.DIST(BX$2,$D129,$E129,TRUE))</f>
        <v/>
      </c>
      <c r="BY129">
        <f>IF(NOT(ISNUMBER($D129)),"",_xlfn.NORM.DIST(BY$1,$D129,$E129,TRUE)-_xlfn.NORM.DIST(BY$2,$D129,$E129,TRUE))</f>
        <v/>
      </c>
      <c r="BZ129">
        <f>IF(NOT(ISNUMBER($D129)),"",_xlfn.NORM.DIST(BZ$1,$D129,$E129,TRUE)-_xlfn.NORM.DIST(BZ$2,$D129,$E129,TRUE))</f>
        <v/>
      </c>
      <c r="CA129">
        <f>IF(NOT(ISNUMBER($D129)),"",_xlfn.NORM.DIST(CA$1,$D129,$E129,TRUE)-_xlfn.NORM.DIST(CA$2,$D129,$E129,TRUE))</f>
        <v/>
      </c>
      <c r="CB129">
        <f>IF(NOT(ISNUMBER($D129)),"",_xlfn.NORM.DIST(CB$1,$D129,$E129,TRUE)-_xlfn.NORM.DIST(CB$2,$D129,$E129,TRUE))</f>
        <v/>
      </c>
      <c r="CC129">
        <f>IF(NOT(ISNUMBER($D129)),"",_xlfn.NORM.DIST(CC$1,$D129,$E129,TRUE)-_xlfn.NORM.DIST(CC$2,$D129,$E129,TRUE))</f>
        <v/>
      </c>
      <c r="CD129">
        <f>IF(NOT(ISNUMBER($D129)),"",_xlfn.NORM.DIST(CD$1,$D129,$E129,TRUE)-_xlfn.NORM.DIST(CD$2,$D129,$E129,TRUE))</f>
        <v/>
      </c>
      <c r="CE129">
        <f>IF(NOT(ISNUMBER($D129)),"",_xlfn.NORM.DIST(CE$1,$D129,$E129,TRUE)-_xlfn.NORM.DIST(CE$2,$D129,$E129,TRUE))</f>
        <v/>
      </c>
      <c r="CF129">
        <f>IF(NOT(ISNUMBER($D129)),"",_xlfn.NORM.DIST(CF$1,$D129,$E129,TRUE)-_xlfn.NORM.DIST(CF$2,$D129,$E129,TRUE))</f>
        <v/>
      </c>
      <c r="CG129">
        <f>IF(NOT(ISNUMBER($D129)),"",_xlfn.NORM.DIST(CG$1,$D129,$E129,TRUE)-_xlfn.NORM.DIST(CG$2,$D129,$E129,TRUE))</f>
        <v/>
      </c>
      <c r="CH129">
        <f>IF(NOT(ISNUMBER($D129)),"",_xlfn.NORM.DIST(CH$1,$D129,$E129,TRUE)-_xlfn.NORM.DIST(CH$2,$D129,$E129,TRUE))</f>
        <v/>
      </c>
      <c r="CI129">
        <f>IF(NOT(ISNUMBER($D129)),"",_xlfn.NORM.DIST(CI$1,$D129,$E129,TRUE)-_xlfn.NORM.DIST(CI$2,$D129,$E129,TRUE))</f>
        <v/>
      </c>
      <c r="CJ129">
        <f>IF(ISNUMBER($D129),SUM(F129:CI129),"")</f>
        <v/>
      </c>
    </row>
    <row r="130">
      <c r="A130">
        <f>economics!A129</f>
        <v/>
      </c>
      <c r="B130">
        <f>economics!B129</f>
        <v/>
      </c>
      <c r="C130">
        <f>economics!D129</f>
        <v/>
      </c>
      <c r="D130">
        <f>IF(ISNUMBER(economics!T129),economics!T129,"na")</f>
        <v/>
      </c>
      <c r="E130">
        <f>IF(ISNUMBER(D130),MAX(0.3*ABS(D130),0.000001),"na")</f>
        <v/>
      </c>
      <c r="F130">
        <f>IF(NOT(ISNUMBER($D130)),"",_xlfn.NORM.DIST(F$1,$D130,$E130,TRUE)-_xlfn.NORM.DIST(F$2,$D130,$E130,TRUE))</f>
        <v/>
      </c>
      <c r="G130">
        <f>IF(NOT(ISNUMBER($D130)),"",_xlfn.NORM.DIST(G$1,$D130,$E130,TRUE)-_xlfn.NORM.DIST(G$2,$D130,$E130,TRUE))</f>
        <v/>
      </c>
      <c r="H130">
        <f>IF(NOT(ISNUMBER($D130)),"",_xlfn.NORM.DIST(H$1,$D130,$E130,TRUE)-_xlfn.NORM.DIST(H$2,$D130,$E130,TRUE))</f>
        <v/>
      </c>
      <c r="I130">
        <f>IF(NOT(ISNUMBER($D130)),"",_xlfn.NORM.DIST(I$1,$D130,$E130,TRUE)-_xlfn.NORM.DIST(I$2,$D130,$E130,TRUE))</f>
        <v/>
      </c>
      <c r="J130">
        <f>IF(NOT(ISNUMBER($D130)),"",_xlfn.NORM.DIST(J$1,$D130,$E130,TRUE)-_xlfn.NORM.DIST(J$2,$D130,$E130,TRUE))</f>
        <v/>
      </c>
      <c r="K130">
        <f>IF(NOT(ISNUMBER($D130)),"",_xlfn.NORM.DIST(K$1,$D130,$E130,TRUE)-_xlfn.NORM.DIST(K$2,$D130,$E130,TRUE))</f>
        <v/>
      </c>
      <c r="L130">
        <f>IF(NOT(ISNUMBER($D130)),"",_xlfn.NORM.DIST(L$1,$D130,$E130,TRUE)-_xlfn.NORM.DIST(L$2,$D130,$E130,TRUE))</f>
        <v/>
      </c>
      <c r="M130">
        <f>IF(NOT(ISNUMBER($D130)),"",_xlfn.NORM.DIST(M$1,$D130,$E130,TRUE)-_xlfn.NORM.DIST(M$2,$D130,$E130,TRUE))</f>
        <v/>
      </c>
      <c r="N130">
        <f>IF(NOT(ISNUMBER($D130)),"",_xlfn.NORM.DIST(N$1,$D130,$E130,TRUE)-_xlfn.NORM.DIST(N$2,$D130,$E130,TRUE))</f>
        <v/>
      </c>
      <c r="O130">
        <f>IF(NOT(ISNUMBER($D130)),"",_xlfn.NORM.DIST(O$1,$D130,$E130,TRUE)-_xlfn.NORM.DIST(O$2,$D130,$E130,TRUE))</f>
        <v/>
      </c>
      <c r="P130">
        <f>IF(NOT(ISNUMBER($D130)),"",_xlfn.NORM.DIST(P$1,$D130,$E130,TRUE)-_xlfn.NORM.DIST(P$2,$D130,$E130,TRUE))</f>
        <v/>
      </c>
      <c r="Q130">
        <f>IF(NOT(ISNUMBER($D130)),"",_xlfn.NORM.DIST(Q$1,$D130,$E130,TRUE)-_xlfn.NORM.DIST(Q$2,$D130,$E130,TRUE))</f>
        <v/>
      </c>
      <c r="R130">
        <f>IF(NOT(ISNUMBER($D130)),"",_xlfn.NORM.DIST(R$1,$D130,$E130,TRUE)-_xlfn.NORM.DIST(R$2,$D130,$E130,TRUE))</f>
        <v/>
      </c>
      <c r="S130">
        <f>IF(NOT(ISNUMBER($D130)),"",_xlfn.NORM.DIST(S$1,$D130,$E130,TRUE)-_xlfn.NORM.DIST(S$2,$D130,$E130,TRUE))</f>
        <v/>
      </c>
      <c r="T130">
        <f>IF(NOT(ISNUMBER($D130)),"",_xlfn.NORM.DIST(T$1,$D130,$E130,TRUE)-_xlfn.NORM.DIST(T$2,$D130,$E130,TRUE))</f>
        <v/>
      </c>
      <c r="U130">
        <f>IF(NOT(ISNUMBER($D130)),"",_xlfn.NORM.DIST(U$1,$D130,$E130,TRUE)-_xlfn.NORM.DIST(U$2,$D130,$E130,TRUE))</f>
        <v/>
      </c>
      <c r="V130">
        <f>IF(NOT(ISNUMBER($D130)),"",_xlfn.NORM.DIST(V$1,$D130,$E130,TRUE)-_xlfn.NORM.DIST(V$2,$D130,$E130,TRUE))</f>
        <v/>
      </c>
      <c r="W130">
        <f>IF(NOT(ISNUMBER($D130)),"",_xlfn.NORM.DIST(W$1,$D130,$E130,TRUE)-_xlfn.NORM.DIST(W$2,$D130,$E130,TRUE))</f>
        <v/>
      </c>
      <c r="X130">
        <f>IF(NOT(ISNUMBER($D130)),"",_xlfn.NORM.DIST(X$1,$D130,$E130,TRUE)-_xlfn.NORM.DIST(X$2,$D130,$E130,TRUE))</f>
        <v/>
      </c>
      <c r="Y130">
        <f>IF(NOT(ISNUMBER($D130)),"",_xlfn.NORM.DIST(Y$1,$D130,$E130,TRUE)-_xlfn.NORM.DIST(Y$2,$D130,$E130,TRUE))</f>
        <v/>
      </c>
      <c r="Z130">
        <f>IF(NOT(ISNUMBER($D130)),"",_xlfn.NORM.DIST(Z$1,$D130,$E130,TRUE)-_xlfn.NORM.DIST(Z$2,$D130,$E130,TRUE))</f>
        <v/>
      </c>
      <c r="AA130">
        <f>IF(NOT(ISNUMBER($D130)),"",_xlfn.NORM.DIST(AA$1,$D130,$E130,TRUE)-_xlfn.NORM.DIST(AA$2,$D130,$E130,TRUE))</f>
        <v/>
      </c>
      <c r="AB130">
        <f>IF(NOT(ISNUMBER($D130)),"",_xlfn.NORM.DIST(AB$1,$D130,$E130,TRUE)-_xlfn.NORM.DIST(AB$2,$D130,$E130,TRUE))</f>
        <v/>
      </c>
      <c r="AC130">
        <f>IF(NOT(ISNUMBER($D130)),"",_xlfn.NORM.DIST(AC$1,$D130,$E130,TRUE)-_xlfn.NORM.DIST(AC$2,$D130,$E130,TRUE))</f>
        <v/>
      </c>
      <c r="AD130">
        <f>IF(NOT(ISNUMBER($D130)),"",_xlfn.NORM.DIST(AD$1,$D130,$E130,TRUE)-_xlfn.NORM.DIST(AD$2,$D130,$E130,TRUE))</f>
        <v/>
      </c>
      <c r="AE130">
        <f>IF(NOT(ISNUMBER($D130)),"",_xlfn.NORM.DIST(AE$1,$D130,$E130,TRUE)-_xlfn.NORM.DIST(AE$2,$D130,$E130,TRUE))</f>
        <v/>
      </c>
      <c r="AF130">
        <f>IF(NOT(ISNUMBER($D130)),"",_xlfn.NORM.DIST(AF$1,$D130,$E130,TRUE)-_xlfn.NORM.DIST(AF$2,$D130,$E130,TRUE))</f>
        <v/>
      </c>
      <c r="AG130">
        <f>IF(NOT(ISNUMBER($D130)),"",_xlfn.NORM.DIST(AG$1,$D130,$E130,TRUE)-_xlfn.NORM.DIST(AG$2,$D130,$E130,TRUE))</f>
        <v/>
      </c>
      <c r="AH130">
        <f>IF(NOT(ISNUMBER($D130)),"",_xlfn.NORM.DIST(AH$1,$D130,$E130,TRUE)-_xlfn.NORM.DIST(AH$2,$D130,$E130,TRUE))</f>
        <v/>
      </c>
      <c r="AI130">
        <f>IF(NOT(ISNUMBER($D130)),"",_xlfn.NORM.DIST(AI$1,$D130,$E130,TRUE)-_xlfn.NORM.DIST(AI$2,$D130,$E130,TRUE))</f>
        <v/>
      </c>
      <c r="AJ130">
        <f>IF(NOT(ISNUMBER($D130)),"",_xlfn.NORM.DIST(AJ$1,$D130,$E130,TRUE)-_xlfn.NORM.DIST(AJ$2,$D130,$E130,TRUE))</f>
        <v/>
      </c>
      <c r="AK130">
        <f>IF(NOT(ISNUMBER($D130)),"",_xlfn.NORM.DIST(AK$1,$D130,$E130,TRUE)-_xlfn.NORM.DIST(AK$2,$D130,$E130,TRUE))</f>
        <v/>
      </c>
      <c r="AL130">
        <f>IF(NOT(ISNUMBER($D130)),"",_xlfn.NORM.DIST(AL$1,$D130,$E130,TRUE)-_xlfn.NORM.DIST(AL$2,$D130,$E130,TRUE))</f>
        <v/>
      </c>
      <c r="AM130">
        <f>IF(NOT(ISNUMBER($D130)),"",_xlfn.NORM.DIST(AM$1,$D130,$E130,TRUE)-_xlfn.NORM.DIST(AM$2,$D130,$E130,TRUE))</f>
        <v/>
      </c>
      <c r="AN130">
        <f>IF(NOT(ISNUMBER($D130)),"",_xlfn.NORM.DIST(AN$1,$D130,$E130,TRUE)-_xlfn.NORM.DIST(AN$2,$D130,$E130,TRUE))</f>
        <v/>
      </c>
      <c r="AO130">
        <f>IF(NOT(ISNUMBER($D130)),"",_xlfn.NORM.DIST(AO$1,$D130,$E130,TRUE)-_xlfn.NORM.DIST(AO$2,$D130,$E130,TRUE))</f>
        <v/>
      </c>
      <c r="AP130">
        <f>IF(NOT(ISNUMBER($D130)),"",_xlfn.NORM.DIST(AP$1,$D130,$E130,TRUE)-_xlfn.NORM.DIST(AP$2,$D130,$E130,TRUE))</f>
        <v/>
      </c>
      <c r="AQ130">
        <f>IF(NOT(ISNUMBER($D130)),"",_xlfn.NORM.DIST(AQ$1,$D130,$E130,TRUE)-_xlfn.NORM.DIST(AQ$2,$D130,$E130,TRUE))</f>
        <v/>
      </c>
      <c r="AR130">
        <f>IF(NOT(ISNUMBER($D130)),"",_xlfn.NORM.DIST(AR$1,$D130,$E130,TRUE)-_xlfn.NORM.DIST(AR$2,$D130,$E130,TRUE))</f>
        <v/>
      </c>
      <c r="AS130">
        <f>IF(NOT(ISNUMBER($D130)),"",_xlfn.NORM.DIST(AS$1,$D130,$E130,TRUE)-_xlfn.NORM.DIST(AS$2,$D130,$E130,TRUE))</f>
        <v/>
      </c>
      <c r="AT130">
        <f>IF(NOT(ISNUMBER($D130)),"",_xlfn.NORM.DIST(AT$1,$D130,$E130,TRUE)-_xlfn.NORM.DIST(AT$2,$D130,$E130,TRUE))</f>
        <v/>
      </c>
      <c r="AU130">
        <f>IF(NOT(ISNUMBER($D130)),"",_xlfn.NORM.DIST(AU$1,$D130,$E130,TRUE)-_xlfn.NORM.DIST(AU$2,$D130,$E130,TRUE))</f>
        <v/>
      </c>
      <c r="AV130">
        <f>IF(NOT(ISNUMBER($D130)),"",_xlfn.NORM.DIST(AV$1,$D130,$E130,TRUE)-_xlfn.NORM.DIST(AV$2,$D130,$E130,TRUE))</f>
        <v/>
      </c>
      <c r="AW130">
        <f>IF(NOT(ISNUMBER($D130)),"",_xlfn.NORM.DIST(AW$1,$D130,$E130,TRUE)-_xlfn.NORM.DIST(AW$2,$D130,$E130,TRUE))</f>
        <v/>
      </c>
      <c r="AX130">
        <f>IF(NOT(ISNUMBER($D130)),"",_xlfn.NORM.DIST(AX$1,$D130,$E130,TRUE)-_xlfn.NORM.DIST(AX$2,$D130,$E130,TRUE))</f>
        <v/>
      </c>
      <c r="AY130">
        <f>IF(NOT(ISNUMBER($D130)),"",_xlfn.NORM.DIST(AY$1,$D130,$E130,TRUE)-_xlfn.NORM.DIST(AY$2,$D130,$E130,TRUE))</f>
        <v/>
      </c>
      <c r="AZ130">
        <f>IF(NOT(ISNUMBER($D130)),"",_xlfn.NORM.DIST(AZ$1,$D130,$E130,TRUE)-_xlfn.NORM.DIST(AZ$2,$D130,$E130,TRUE))</f>
        <v/>
      </c>
      <c r="BA130">
        <f>IF(NOT(ISNUMBER($D130)),"",_xlfn.NORM.DIST(BA$1,$D130,$E130,TRUE)-_xlfn.NORM.DIST(BA$2,$D130,$E130,TRUE))</f>
        <v/>
      </c>
      <c r="BB130">
        <f>IF(NOT(ISNUMBER($D130)),"",_xlfn.NORM.DIST(BB$1,$D130,$E130,TRUE)-_xlfn.NORM.DIST(BB$2,$D130,$E130,TRUE))</f>
        <v/>
      </c>
      <c r="BC130">
        <f>IF(NOT(ISNUMBER($D130)),"",_xlfn.NORM.DIST(BC$1,$D130,$E130,TRUE)-_xlfn.NORM.DIST(BC$2,$D130,$E130,TRUE))</f>
        <v/>
      </c>
      <c r="BD130">
        <f>IF(NOT(ISNUMBER($D130)),"",_xlfn.NORM.DIST(BD$1,$D130,$E130,TRUE)-_xlfn.NORM.DIST(BD$2,$D130,$E130,TRUE))</f>
        <v/>
      </c>
      <c r="BE130">
        <f>IF(NOT(ISNUMBER($D130)),"",_xlfn.NORM.DIST(BE$1,$D130,$E130,TRUE)-_xlfn.NORM.DIST(BE$2,$D130,$E130,TRUE))</f>
        <v/>
      </c>
      <c r="BF130">
        <f>IF(NOT(ISNUMBER($D130)),"",_xlfn.NORM.DIST(BF$1,$D130,$E130,TRUE)-_xlfn.NORM.DIST(BF$2,$D130,$E130,TRUE))</f>
        <v/>
      </c>
      <c r="BG130">
        <f>IF(NOT(ISNUMBER($D130)),"",_xlfn.NORM.DIST(BG$1,$D130,$E130,TRUE)-_xlfn.NORM.DIST(BG$2,$D130,$E130,TRUE))</f>
        <v/>
      </c>
      <c r="BH130">
        <f>IF(NOT(ISNUMBER($D130)),"",_xlfn.NORM.DIST(BH$1,$D130,$E130,TRUE)-_xlfn.NORM.DIST(BH$2,$D130,$E130,TRUE))</f>
        <v/>
      </c>
      <c r="BI130">
        <f>IF(NOT(ISNUMBER($D130)),"",_xlfn.NORM.DIST(BI$1,$D130,$E130,TRUE)-_xlfn.NORM.DIST(BI$2,$D130,$E130,TRUE))</f>
        <v/>
      </c>
      <c r="BJ130">
        <f>IF(NOT(ISNUMBER($D130)),"",_xlfn.NORM.DIST(BJ$1,$D130,$E130,TRUE)-_xlfn.NORM.DIST(BJ$2,$D130,$E130,TRUE))</f>
        <v/>
      </c>
      <c r="BK130">
        <f>IF(NOT(ISNUMBER($D130)),"",_xlfn.NORM.DIST(BK$1,$D130,$E130,TRUE)-_xlfn.NORM.DIST(BK$2,$D130,$E130,TRUE))</f>
        <v/>
      </c>
      <c r="BL130">
        <f>IF(NOT(ISNUMBER($D130)),"",_xlfn.NORM.DIST(BL$1,$D130,$E130,TRUE)-_xlfn.NORM.DIST(BL$2,$D130,$E130,TRUE))</f>
        <v/>
      </c>
      <c r="BM130">
        <f>IF(NOT(ISNUMBER($D130)),"",_xlfn.NORM.DIST(BM$1,$D130,$E130,TRUE)-_xlfn.NORM.DIST(BM$2,$D130,$E130,TRUE))</f>
        <v/>
      </c>
      <c r="BN130">
        <f>IF(NOT(ISNUMBER($D130)),"",_xlfn.NORM.DIST(BN$1,$D130,$E130,TRUE)-_xlfn.NORM.DIST(BN$2,$D130,$E130,TRUE))</f>
        <v/>
      </c>
      <c r="BO130">
        <f>IF(NOT(ISNUMBER($D130)),"",_xlfn.NORM.DIST(BO$1,$D130,$E130,TRUE)-_xlfn.NORM.DIST(BO$2,$D130,$E130,TRUE))</f>
        <v/>
      </c>
      <c r="BP130">
        <f>IF(NOT(ISNUMBER($D130)),"",_xlfn.NORM.DIST(BP$1,$D130,$E130,TRUE)-_xlfn.NORM.DIST(BP$2,$D130,$E130,TRUE))</f>
        <v/>
      </c>
      <c r="BQ130">
        <f>IF(NOT(ISNUMBER($D130)),"",_xlfn.NORM.DIST(BQ$1,$D130,$E130,TRUE)-_xlfn.NORM.DIST(BQ$2,$D130,$E130,TRUE))</f>
        <v/>
      </c>
      <c r="BR130">
        <f>IF(NOT(ISNUMBER($D130)),"",_xlfn.NORM.DIST(BR$1,$D130,$E130,TRUE)-_xlfn.NORM.DIST(BR$2,$D130,$E130,TRUE))</f>
        <v/>
      </c>
      <c r="BS130">
        <f>IF(NOT(ISNUMBER($D130)),"",_xlfn.NORM.DIST(BS$1,$D130,$E130,TRUE)-_xlfn.NORM.DIST(BS$2,$D130,$E130,TRUE))</f>
        <v/>
      </c>
      <c r="BT130">
        <f>IF(NOT(ISNUMBER($D130)),"",_xlfn.NORM.DIST(BT$1,$D130,$E130,TRUE)-_xlfn.NORM.DIST(BT$2,$D130,$E130,TRUE))</f>
        <v/>
      </c>
      <c r="BU130">
        <f>IF(NOT(ISNUMBER($D130)),"",_xlfn.NORM.DIST(BU$1,$D130,$E130,TRUE)-_xlfn.NORM.DIST(BU$2,$D130,$E130,TRUE))</f>
        <v/>
      </c>
      <c r="BV130">
        <f>IF(NOT(ISNUMBER($D130)),"",_xlfn.NORM.DIST(BV$1,$D130,$E130,TRUE)-_xlfn.NORM.DIST(BV$2,$D130,$E130,TRUE))</f>
        <v/>
      </c>
      <c r="BW130">
        <f>IF(NOT(ISNUMBER($D130)),"",_xlfn.NORM.DIST(BW$1,$D130,$E130,TRUE)-_xlfn.NORM.DIST(BW$2,$D130,$E130,TRUE))</f>
        <v/>
      </c>
      <c r="BX130">
        <f>IF(NOT(ISNUMBER($D130)),"",_xlfn.NORM.DIST(BX$1,$D130,$E130,TRUE)-_xlfn.NORM.DIST(BX$2,$D130,$E130,TRUE))</f>
        <v/>
      </c>
      <c r="BY130">
        <f>IF(NOT(ISNUMBER($D130)),"",_xlfn.NORM.DIST(BY$1,$D130,$E130,TRUE)-_xlfn.NORM.DIST(BY$2,$D130,$E130,TRUE))</f>
        <v/>
      </c>
      <c r="BZ130">
        <f>IF(NOT(ISNUMBER($D130)),"",_xlfn.NORM.DIST(BZ$1,$D130,$E130,TRUE)-_xlfn.NORM.DIST(BZ$2,$D130,$E130,TRUE))</f>
        <v/>
      </c>
      <c r="CA130">
        <f>IF(NOT(ISNUMBER($D130)),"",_xlfn.NORM.DIST(CA$1,$D130,$E130,TRUE)-_xlfn.NORM.DIST(CA$2,$D130,$E130,TRUE))</f>
        <v/>
      </c>
      <c r="CB130">
        <f>IF(NOT(ISNUMBER($D130)),"",_xlfn.NORM.DIST(CB$1,$D130,$E130,TRUE)-_xlfn.NORM.DIST(CB$2,$D130,$E130,TRUE))</f>
        <v/>
      </c>
      <c r="CC130">
        <f>IF(NOT(ISNUMBER($D130)),"",_xlfn.NORM.DIST(CC$1,$D130,$E130,TRUE)-_xlfn.NORM.DIST(CC$2,$D130,$E130,TRUE))</f>
        <v/>
      </c>
      <c r="CD130">
        <f>IF(NOT(ISNUMBER($D130)),"",_xlfn.NORM.DIST(CD$1,$D130,$E130,TRUE)-_xlfn.NORM.DIST(CD$2,$D130,$E130,TRUE))</f>
        <v/>
      </c>
      <c r="CE130">
        <f>IF(NOT(ISNUMBER($D130)),"",_xlfn.NORM.DIST(CE$1,$D130,$E130,TRUE)-_xlfn.NORM.DIST(CE$2,$D130,$E130,TRUE))</f>
        <v/>
      </c>
      <c r="CF130">
        <f>IF(NOT(ISNUMBER($D130)),"",_xlfn.NORM.DIST(CF$1,$D130,$E130,TRUE)-_xlfn.NORM.DIST(CF$2,$D130,$E130,TRUE))</f>
        <v/>
      </c>
      <c r="CG130">
        <f>IF(NOT(ISNUMBER($D130)),"",_xlfn.NORM.DIST(CG$1,$D130,$E130,TRUE)-_xlfn.NORM.DIST(CG$2,$D130,$E130,TRUE))</f>
        <v/>
      </c>
      <c r="CH130">
        <f>IF(NOT(ISNUMBER($D130)),"",_xlfn.NORM.DIST(CH$1,$D130,$E130,TRUE)-_xlfn.NORM.DIST(CH$2,$D130,$E130,TRUE))</f>
        <v/>
      </c>
      <c r="CI130">
        <f>IF(NOT(ISNUMBER($D130)),"",_xlfn.NORM.DIST(CI$1,$D130,$E130,TRUE)-_xlfn.NORM.DIST(CI$2,$D130,$E130,TRUE))</f>
        <v/>
      </c>
      <c r="CJ130">
        <f>IF(ISNUMBER($D130),SUM(F130:CI130),"")</f>
        <v/>
      </c>
    </row>
    <row r="131">
      <c r="A131">
        <f>economics!A130</f>
        <v/>
      </c>
      <c r="B131">
        <f>economics!B130</f>
        <v/>
      </c>
      <c r="C131">
        <f>economics!D130</f>
        <v/>
      </c>
      <c r="D131">
        <f>IF(ISNUMBER(economics!T130),economics!T130,"na")</f>
        <v/>
      </c>
      <c r="E131">
        <f>IF(ISNUMBER(D131),MAX(0.3*ABS(D131),0.000001),"na")</f>
        <v/>
      </c>
      <c r="F131">
        <f>IF(NOT(ISNUMBER($D131)),"",_xlfn.NORM.DIST(F$1,$D131,$E131,TRUE)-_xlfn.NORM.DIST(F$2,$D131,$E131,TRUE))</f>
        <v/>
      </c>
      <c r="G131">
        <f>IF(NOT(ISNUMBER($D131)),"",_xlfn.NORM.DIST(G$1,$D131,$E131,TRUE)-_xlfn.NORM.DIST(G$2,$D131,$E131,TRUE))</f>
        <v/>
      </c>
      <c r="H131">
        <f>IF(NOT(ISNUMBER($D131)),"",_xlfn.NORM.DIST(H$1,$D131,$E131,TRUE)-_xlfn.NORM.DIST(H$2,$D131,$E131,TRUE))</f>
        <v/>
      </c>
      <c r="I131">
        <f>IF(NOT(ISNUMBER($D131)),"",_xlfn.NORM.DIST(I$1,$D131,$E131,TRUE)-_xlfn.NORM.DIST(I$2,$D131,$E131,TRUE))</f>
        <v/>
      </c>
      <c r="J131">
        <f>IF(NOT(ISNUMBER($D131)),"",_xlfn.NORM.DIST(J$1,$D131,$E131,TRUE)-_xlfn.NORM.DIST(J$2,$D131,$E131,TRUE))</f>
        <v/>
      </c>
      <c r="K131">
        <f>IF(NOT(ISNUMBER($D131)),"",_xlfn.NORM.DIST(K$1,$D131,$E131,TRUE)-_xlfn.NORM.DIST(K$2,$D131,$E131,TRUE))</f>
        <v/>
      </c>
      <c r="L131">
        <f>IF(NOT(ISNUMBER($D131)),"",_xlfn.NORM.DIST(L$1,$D131,$E131,TRUE)-_xlfn.NORM.DIST(L$2,$D131,$E131,TRUE))</f>
        <v/>
      </c>
      <c r="M131">
        <f>IF(NOT(ISNUMBER($D131)),"",_xlfn.NORM.DIST(M$1,$D131,$E131,TRUE)-_xlfn.NORM.DIST(M$2,$D131,$E131,TRUE))</f>
        <v/>
      </c>
      <c r="N131">
        <f>IF(NOT(ISNUMBER($D131)),"",_xlfn.NORM.DIST(N$1,$D131,$E131,TRUE)-_xlfn.NORM.DIST(N$2,$D131,$E131,TRUE))</f>
        <v/>
      </c>
      <c r="O131">
        <f>IF(NOT(ISNUMBER($D131)),"",_xlfn.NORM.DIST(O$1,$D131,$E131,TRUE)-_xlfn.NORM.DIST(O$2,$D131,$E131,TRUE))</f>
        <v/>
      </c>
      <c r="P131">
        <f>IF(NOT(ISNUMBER($D131)),"",_xlfn.NORM.DIST(P$1,$D131,$E131,TRUE)-_xlfn.NORM.DIST(P$2,$D131,$E131,TRUE))</f>
        <v/>
      </c>
      <c r="Q131">
        <f>IF(NOT(ISNUMBER($D131)),"",_xlfn.NORM.DIST(Q$1,$D131,$E131,TRUE)-_xlfn.NORM.DIST(Q$2,$D131,$E131,TRUE))</f>
        <v/>
      </c>
      <c r="R131">
        <f>IF(NOT(ISNUMBER($D131)),"",_xlfn.NORM.DIST(R$1,$D131,$E131,TRUE)-_xlfn.NORM.DIST(R$2,$D131,$E131,TRUE))</f>
        <v/>
      </c>
      <c r="S131">
        <f>IF(NOT(ISNUMBER($D131)),"",_xlfn.NORM.DIST(S$1,$D131,$E131,TRUE)-_xlfn.NORM.DIST(S$2,$D131,$E131,TRUE))</f>
        <v/>
      </c>
      <c r="T131">
        <f>IF(NOT(ISNUMBER($D131)),"",_xlfn.NORM.DIST(T$1,$D131,$E131,TRUE)-_xlfn.NORM.DIST(T$2,$D131,$E131,TRUE))</f>
        <v/>
      </c>
      <c r="U131">
        <f>IF(NOT(ISNUMBER($D131)),"",_xlfn.NORM.DIST(U$1,$D131,$E131,TRUE)-_xlfn.NORM.DIST(U$2,$D131,$E131,TRUE))</f>
        <v/>
      </c>
      <c r="V131">
        <f>IF(NOT(ISNUMBER($D131)),"",_xlfn.NORM.DIST(V$1,$D131,$E131,TRUE)-_xlfn.NORM.DIST(V$2,$D131,$E131,TRUE))</f>
        <v/>
      </c>
      <c r="W131">
        <f>IF(NOT(ISNUMBER($D131)),"",_xlfn.NORM.DIST(W$1,$D131,$E131,TRUE)-_xlfn.NORM.DIST(W$2,$D131,$E131,TRUE))</f>
        <v/>
      </c>
      <c r="X131">
        <f>IF(NOT(ISNUMBER($D131)),"",_xlfn.NORM.DIST(X$1,$D131,$E131,TRUE)-_xlfn.NORM.DIST(X$2,$D131,$E131,TRUE))</f>
        <v/>
      </c>
      <c r="Y131">
        <f>IF(NOT(ISNUMBER($D131)),"",_xlfn.NORM.DIST(Y$1,$D131,$E131,TRUE)-_xlfn.NORM.DIST(Y$2,$D131,$E131,TRUE))</f>
        <v/>
      </c>
      <c r="Z131">
        <f>IF(NOT(ISNUMBER($D131)),"",_xlfn.NORM.DIST(Z$1,$D131,$E131,TRUE)-_xlfn.NORM.DIST(Z$2,$D131,$E131,TRUE))</f>
        <v/>
      </c>
      <c r="AA131">
        <f>IF(NOT(ISNUMBER($D131)),"",_xlfn.NORM.DIST(AA$1,$D131,$E131,TRUE)-_xlfn.NORM.DIST(AA$2,$D131,$E131,TRUE))</f>
        <v/>
      </c>
      <c r="AB131">
        <f>IF(NOT(ISNUMBER($D131)),"",_xlfn.NORM.DIST(AB$1,$D131,$E131,TRUE)-_xlfn.NORM.DIST(AB$2,$D131,$E131,TRUE))</f>
        <v/>
      </c>
      <c r="AC131">
        <f>IF(NOT(ISNUMBER($D131)),"",_xlfn.NORM.DIST(AC$1,$D131,$E131,TRUE)-_xlfn.NORM.DIST(AC$2,$D131,$E131,TRUE))</f>
        <v/>
      </c>
      <c r="AD131">
        <f>IF(NOT(ISNUMBER($D131)),"",_xlfn.NORM.DIST(AD$1,$D131,$E131,TRUE)-_xlfn.NORM.DIST(AD$2,$D131,$E131,TRUE))</f>
        <v/>
      </c>
      <c r="AE131">
        <f>IF(NOT(ISNUMBER($D131)),"",_xlfn.NORM.DIST(AE$1,$D131,$E131,TRUE)-_xlfn.NORM.DIST(AE$2,$D131,$E131,TRUE))</f>
        <v/>
      </c>
      <c r="AF131">
        <f>IF(NOT(ISNUMBER($D131)),"",_xlfn.NORM.DIST(AF$1,$D131,$E131,TRUE)-_xlfn.NORM.DIST(AF$2,$D131,$E131,TRUE))</f>
        <v/>
      </c>
      <c r="AG131">
        <f>IF(NOT(ISNUMBER($D131)),"",_xlfn.NORM.DIST(AG$1,$D131,$E131,TRUE)-_xlfn.NORM.DIST(AG$2,$D131,$E131,TRUE))</f>
        <v/>
      </c>
      <c r="AH131">
        <f>IF(NOT(ISNUMBER($D131)),"",_xlfn.NORM.DIST(AH$1,$D131,$E131,TRUE)-_xlfn.NORM.DIST(AH$2,$D131,$E131,TRUE))</f>
        <v/>
      </c>
      <c r="AI131">
        <f>IF(NOT(ISNUMBER($D131)),"",_xlfn.NORM.DIST(AI$1,$D131,$E131,TRUE)-_xlfn.NORM.DIST(AI$2,$D131,$E131,TRUE))</f>
        <v/>
      </c>
      <c r="AJ131">
        <f>IF(NOT(ISNUMBER($D131)),"",_xlfn.NORM.DIST(AJ$1,$D131,$E131,TRUE)-_xlfn.NORM.DIST(AJ$2,$D131,$E131,TRUE))</f>
        <v/>
      </c>
      <c r="AK131">
        <f>IF(NOT(ISNUMBER($D131)),"",_xlfn.NORM.DIST(AK$1,$D131,$E131,TRUE)-_xlfn.NORM.DIST(AK$2,$D131,$E131,TRUE))</f>
        <v/>
      </c>
      <c r="AL131">
        <f>IF(NOT(ISNUMBER($D131)),"",_xlfn.NORM.DIST(AL$1,$D131,$E131,TRUE)-_xlfn.NORM.DIST(AL$2,$D131,$E131,TRUE))</f>
        <v/>
      </c>
      <c r="AM131">
        <f>IF(NOT(ISNUMBER($D131)),"",_xlfn.NORM.DIST(AM$1,$D131,$E131,TRUE)-_xlfn.NORM.DIST(AM$2,$D131,$E131,TRUE))</f>
        <v/>
      </c>
      <c r="AN131">
        <f>IF(NOT(ISNUMBER($D131)),"",_xlfn.NORM.DIST(AN$1,$D131,$E131,TRUE)-_xlfn.NORM.DIST(AN$2,$D131,$E131,TRUE))</f>
        <v/>
      </c>
      <c r="AO131">
        <f>IF(NOT(ISNUMBER($D131)),"",_xlfn.NORM.DIST(AO$1,$D131,$E131,TRUE)-_xlfn.NORM.DIST(AO$2,$D131,$E131,TRUE))</f>
        <v/>
      </c>
      <c r="AP131">
        <f>IF(NOT(ISNUMBER($D131)),"",_xlfn.NORM.DIST(AP$1,$D131,$E131,TRUE)-_xlfn.NORM.DIST(AP$2,$D131,$E131,TRUE))</f>
        <v/>
      </c>
      <c r="AQ131">
        <f>IF(NOT(ISNUMBER($D131)),"",_xlfn.NORM.DIST(AQ$1,$D131,$E131,TRUE)-_xlfn.NORM.DIST(AQ$2,$D131,$E131,TRUE))</f>
        <v/>
      </c>
      <c r="AR131">
        <f>IF(NOT(ISNUMBER($D131)),"",_xlfn.NORM.DIST(AR$1,$D131,$E131,TRUE)-_xlfn.NORM.DIST(AR$2,$D131,$E131,TRUE))</f>
        <v/>
      </c>
      <c r="AS131">
        <f>IF(NOT(ISNUMBER($D131)),"",_xlfn.NORM.DIST(AS$1,$D131,$E131,TRUE)-_xlfn.NORM.DIST(AS$2,$D131,$E131,TRUE))</f>
        <v/>
      </c>
      <c r="AT131">
        <f>IF(NOT(ISNUMBER($D131)),"",_xlfn.NORM.DIST(AT$1,$D131,$E131,TRUE)-_xlfn.NORM.DIST(AT$2,$D131,$E131,TRUE))</f>
        <v/>
      </c>
      <c r="AU131">
        <f>IF(NOT(ISNUMBER($D131)),"",_xlfn.NORM.DIST(AU$1,$D131,$E131,TRUE)-_xlfn.NORM.DIST(AU$2,$D131,$E131,TRUE))</f>
        <v/>
      </c>
      <c r="AV131">
        <f>IF(NOT(ISNUMBER($D131)),"",_xlfn.NORM.DIST(AV$1,$D131,$E131,TRUE)-_xlfn.NORM.DIST(AV$2,$D131,$E131,TRUE))</f>
        <v/>
      </c>
      <c r="AW131">
        <f>IF(NOT(ISNUMBER($D131)),"",_xlfn.NORM.DIST(AW$1,$D131,$E131,TRUE)-_xlfn.NORM.DIST(AW$2,$D131,$E131,TRUE))</f>
        <v/>
      </c>
      <c r="AX131">
        <f>IF(NOT(ISNUMBER($D131)),"",_xlfn.NORM.DIST(AX$1,$D131,$E131,TRUE)-_xlfn.NORM.DIST(AX$2,$D131,$E131,TRUE))</f>
        <v/>
      </c>
      <c r="AY131">
        <f>IF(NOT(ISNUMBER($D131)),"",_xlfn.NORM.DIST(AY$1,$D131,$E131,TRUE)-_xlfn.NORM.DIST(AY$2,$D131,$E131,TRUE))</f>
        <v/>
      </c>
      <c r="AZ131">
        <f>IF(NOT(ISNUMBER($D131)),"",_xlfn.NORM.DIST(AZ$1,$D131,$E131,TRUE)-_xlfn.NORM.DIST(AZ$2,$D131,$E131,TRUE))</f>
        <v/>
      </c>
      <c r="BA131">
        <f>IF(NOT(ISNUMBER($D131)),"",_xlfn.NORM.DIST(BA$1,$D131,$E131,TRUE)-_xlfn.NORM.DIST(BA$2,$D131,$E131,TRUE))</f>
        <v/>
      </c>
      <c r="BB131">
        <f>IF(NOT(ISNUMBER($D131)),"",_xlfn.NORM.DIST(BB$1,$D131,$E131,TRUE)-_xlfn.NORM.DIST(BB$2,$D131,$E131,TRUE))</f>
        <v/>
      </c>
      <c r="BC131">
        <f>IF(NOT(ISNUMBER($D131)),"",_xlfn.NORM.DIST(BC$1,$D131,$E131,TRUE)-_xlfn.NORM.DIST(BC$2,$D131,$E131,TRUE))</f>
        <v/>
      </c>
      <c r="BD131">
        <f>IF(NOT(ISNUMBER($D131)),"",_xlfn.NORM.DIST(BD$1,$D131,$E131,TRUE)-_xlfn.NORM.DIST(BD$2,$D131,$E131,TRUE))</f>
        <v/>
      </c>
      <c r="BE131">
        <f>IF(NOT(ISNUMBER($D131)),"",_xlfn.NORM.DIST(BE$1,$D131,$E131,TRUE)-_xlfn.NORM.DIST(BE$2,$D131,$E131,TRUE))</f>
        <v/>
      </c>
      <c r="BF131">
        <f>IF(NOT(ISNUMBER($D131)),"",_xlfn.NORM.DIST(BF$1,$D131,$E131,TRUE)-_xlfn.NORM.DIST(BF$2,$D131,$E131,TRUE))</f>
        <v/>
      </c>
      <c r="BG131">
        <f>IF(NOT(ISNUMBER($D131)),"",_xlfn.NORM.DIST(BG$1,$D131,$E131,TRUE)-_xlfn.NORM.DIST(BG$2,$D131,$E131,TRUE))</f>
        <v/>
      </c>
      <c r="BH131">
        <f>IF(NOT(ISNUMBER($D131)),"",_xlfn.NORM.DIST(BH$1,$D131,$E131,TRUE)-_xlfn.NORM.DIST(BH$2,$D131,$E131,TRUE))</f>
        <v/>
      </c>
      <c r="BI131">
        <f>IF(NOT(ISNUMBER($D131)),"",_xlfn.NORM.DIST(BI$1,$D131,$E131,TRUE)-_xlfn.NORM.DIST(BI$2,$D131,$E131,TRUE))</f>
        <v/>
      </c>
      <c r="BJ131">
        <f>IF(NOT(ISNUMBER($D131)),"",_xlfn.NORM.DIST(BJ$1,$D131,$E131,TRUE)-_xlfn.NORM.DIST(BJ$2,$D131,$E131,TRUE))</f>
        <v/>
      </c>
      <c r="BK131">
        <f>IF(NOT(ISNUMBER($D131)),"",_xlfn.NORM.DIST(BK$1,$D131,$E131,TRUE)-_xlfn.NORM.DIST(BK$2,$D131,$E131,TRUE))</f>
        <v/>
      </c>
      <c r="BL131">
        <f>IF(NOT(ISNUMBER($D131)),"",_xlfn.NORM.DIST(BL$1,$D131,$E131,TRUE)-_xlfn.NORM.DIST(BL$2,$D131,$E131,TRUE))</f>
        <v/>
      </c>
      <c r="BM131">
        <f>IF(NOT(ISNUMBER($D131)),"",_xlfn.NORM.DIST(BM$1,$D131,$E131,TRUE)-_xlfn.NORM.DIST(BM$2,$D131,$E131,TRUE))</f>
        <v/>
      </c>
      <c r="BN131">
        <f>IF(NOT(ISNUMBER($D131)),"",_xlfn.NORM.DIST(BN$1,$D131,$E131,TRUE)-_xlfn.NORM.DIST(BN$2,$D131,$E131,TRUE))</f>
        <v/>
      </c>
      <c r="BO131">
        <f>IF(NOT(ISNUMBER($D131)),"",_xlfn.NORM.DIST(BO$1,$D131,$E131,TRUE)-_xlfn.NORM.DIST(BO$2,$D131,$E131,TRUE))</f>
        <v/>
      </c>
      <c r="BP131">
        <f>IF(NOT(ISNUMBER($D131)),"",_xlfn.NORM.DIST(BP$1,$D131,$E131,TRUE)-_xlfn.NORM.DIST(BP$2,$D131,$E131,TRUE))</f>
        <v/>
      </c>
      <c r="BQ131">
        <f>IF(NOT(ISNUMBER($D131)),"",_xlfn.NORM.DIST(BQ$1,$D131,$E131,TRUE)-_xlfn.NORM.DIST(BQ$2,$D131,$E131,TRUE))</f>
        <v/>
      </c>
      <c r="BR131">
        <f>IF(NOT(ISNUMBER($D131)),"",_xlfn.NORM.DIST(BR$1,$D131,$E131,TRUE)-_xlfn.NORM.DIST(BR$2,$D131,$E131,TRUE))</f>
        <v/>
      </c>
      <c r="BS131">
        <f>IF(NOT(ISNUMBER($D131)),"",_xlfn.NORM.DIST(BS$1,$D131,$E131,TRUE)-_xlfn.NORM.DIST(BS$2,$D131,$E131,TRUE))</f>
        <v/>
      </c>
      <c r="BT131">
        <f>IF(NOT(ISNUMBER($D131)),"",_xlfn.NORM.DIST(BT$1,$D131,$E131,TRUE)-_xlfn.NORM.DIST(BT$2,$D131,$E131,TRUE))</f>
        <v/>
      </c>
      <c r="BU131">
        <f>IF(NOT(ISNUMBER($D131)),"",_xlfn.NORM.DIST(BU$1,$D131,$E131,TRUE)-_xlfn.NORM.DIST(BU$2,$D131,$E131,TRUE))</f>
        <v/>
      </c>
      <c r="BV131">
        <f>IF(NOT(ISNUMBER($D131)),"",_xlfn.NORM.DIST(BV$1,$D131,$E131,TRUE)-_xlfn.NORM.DIST(BV$2,$D131,$E131,TRUE))</f>
        <v/>
      </c>
      <c r="BW131">
        <f>IF(NOT(ISNUMBER($D131)),"",_xlfn.NORM.DIST(BW$1,$D131,$E131,TRUE)-_xlfn.NORM.DIST(BW$2,$D131,$E131,TRUE))</f>
        <v/>
      </c>
      <c r="BX131">
        <f>IF(NOT(ISNUMBER($D131)),"",_xlfn.NORM.DIST(BX$1,$D131,$E131,TRUE)-_xlfn.NORM.DIST(BX$2,$D131,$E131,TRUE))</f>
        <v/>
      </c>
      <c r="BY131">
        <f>IF(NOT(ISNUMBER($D131)),"",_xlfn.NORM.DIST(BY$1,$D131,$E131,TRUE)-_xlfn.NORM.DIST(BY$2,$D131,$E131,TRUE))</f>
        <v/>
      </c>
      <c r="BZ131">
        <f>IF(NOT(ISNUMBER($D131)),"",_xlfn.NORM.DIST(BZ$1,$D131,$E131,TRUE)-_xlfn.NORM.DIST(BZ$2,$D131,$E131,TRUE))</f>
        <v/>
      </c>
      <c r="CA131">
        <f>IF(NOT(ISNUMBER($D131)),"",_xlfn.NORM.DIST(CA$1,$D131,$E131,TRUE)-_xlfn.NORM.DIST(CA$2,$D131,$E131,TRUE))</f>
        <v/>
      </c>
      <c r="CB131">
        <f>IF(NOT(ISNUMBER($D131)),"",_xlfn.NORM.DIST(CB$1,$D131,$E131,TRUE)-_xlfn.NORM.DIST(CB$2,$D131,$E131,TRUE))</f>
        <v/>
      </c>
      <c r="CC131">
        <f>IF(NOT(ISNUMBER($D131)),"",_xlfn.NORM.DIST(CC$1,$D131,$E131,TRUE)-_xlfn.NORM.DIST(CC$2,$D131,$E131,TRUE))</f>
        <v/>
      </c>
      <c r="CD131">
        <f>IF(NOT(ISNUMBER($D131)),"",_xlfn.NORM.DIST(CD$1,$D131,$E131,TRUE)-_xlfn.NORM.DIST(CD$2,$D131,$E131,TRUE))</f>
        <v/>
      </c>
      <c r="CE131">
        <f>IF(NOT(ISNUMBER($D131)),"",_xlfn.NORM.DIST(CE$1,$D131,$E131,TRUE)-_xlfn.NORM.DIST(CE$2,$D131,$E131,TRUE))</f>
        <v/>
      </c>
      <c r="CF131">
        <f>IF(NOT(ISNUMBER($D131)),"",_xlfn.NORM.DIST(CF$1,$D131,$E131,TRUE)-_xlfn.NORM.DIST(CF$2,$D131,$E131,TRUE))</f>
        <v/>
      </c>
      <c r="CG131">
        <f>IF(NOT(ISNUMBER($D131)),"",_xlfn.NORM.DIST(CG$1,$D131,$E131,TRUE)-_xlfn.NORM.DIST(CG$2,$D131,$E131,TRUE))</f>
        <v/>
      </c>
      <c r="CH131">
        <f>IF(NOT(ISNUMBER($D131)),"",_xlfn.NORM.DIST(CH$1,$D131,$E131,TRUE)-_xlfn.NORM.DIST(CH$2,$D131,$E131,TRUE))</f>
        <v/>
      </c>
      <c r="CI131">
        <f>IF(NOT(ISNUMBER($D131)),"",_xlfn.NORM.DIST(CI$1,$D131,$E131,TRUE)-_xlfn.NORM.DIST(CI$2,$D131,$E131,TRUE))</f>
        <v/>
      </c>
      <c r="CJ131">
        <f>IF(ISNUMBER($D131),SUM(F131:CI131),"")</f>
        <v/>
      </c>
    </row>
    <row r="132">
      <c r="A132">
        <f>economics!A131</f>
        <v/>
      </c>
      <c r="B132">
        <f>economics!B131</f>
        <v/>
      </c>
      <c r="C132">
        <f>economics!D131</f>
        <v/>
      </c>
      <c r="D132">
        <f>IF(ISNUMBER(economics!T131),economics!T131,"na")</f>
        <v/>
      </c>
      <c r="E132">
        <f>IF(ISNUMBER(D132),MAX(0.3*ABS(D132),0.000001),"na")</f>
        <v/>
      </c>
      <c r="F132">
        <f>IF(NOT(ISNUMBER($D132)),"",_xlfn.NORM.DIST(F$1,$D132,$E132,TRUE)-_xlfn.NORM.DIST(F$2,$D132,$E132,TRUE))</f>
        <v/>
      </c>
      <c r="G132">
        <f>IF(NOT(ISNUMBER($D132)),"",_xlfn.NORM.DIST(G$1,$D132,$E132,TRUE)-_xlfn.NORM.DIST(G$2,$D132,$E132,TRUE))</f>
        <v/>
      </c>
      <c r="H132">
        <f>IF(NOT(ISNUMBER($D132)),"",_xlfn.NORM.DIST(H$1,$D132,$E132,TRUE)-_xlfn.NORM.DIST(H$2,$D132,$E132,TRUE))</f>
        <v/>
      </c>
      <c r="I132">
        <f>IF(NOT(ISNUMBER($D132)),"",_xlfn.NORM.DIST(I$1,$D132,$E132,TRUE)-_xlfn.NORM.DIST(I$2,$D132,$E132,TRUE))</f>
        <v/>
      </c>
      <c r="J132">
        <f>IF(NOT(ISNUMBER($D132)),"",_xlfn.NORM.DIST(J$1,$D132,$E132,TRUE)-_xlfn.NORM.DIST(J$2,$D132,$E132,TRUE))</f>
        <v/>
      </c>
      <c r="K132">
        <f>IF(NOT(ISNUMBER($D132)),"",_xlfn.NORM.DIST(K$1,$D132,$E132,TRUE)-_xlfn.NORM.DIST(K$2,$D132,$E132,TRUE))</f>
        <v/>
      </c>
      <c r="L132">
        <f>IF(NOT(ISNUMBER($D132)),"",_xlfn.NORM.DIST(L$1,$D132,$E132,TRUE)-_xlfn.NORM.DIST(L$2,$D132,$E132,TRUE))</f>
        <v/>
      </c>
      <c r="M132">
        <f>IF(NOT(ISNUMBER($D132)),"",_xlfn.NORM.DIST(M$1,$D132,$E132,TRUE)-_xlfn.NORM.DIST(M$2,$D132,$E132,TRUE))</f>
        <v/>
      </c>
      <c r="N132">
        <f>IF(NOT(ISNUMBER($D132)),"",_xlfn.NORM.DIST(N$1,$D132,$E132,TRUE)-_xlfn.NORM.DIST(N$2,$D132,$E132,TRUE))</f>
        <v/>
      </c>
      <c r="O132">
        <f>IF(NOT(ISNUMBER($D132)),"",_xlfn.NORM.DIST(O$1,$D132,$E132,TRUE)-_xlfn.NORM.DIST(O$2,$D132,$E132,TRUE))</f>
        <v/>
      </c>
      <c r="P132">
        <f>IF(NOT(ISNUMBER($D132)),"",_xlfn.NORM.DIST(P$1,$D132,$E132,TRUE)-_xlfn.NORM.DIST(P$2,$D132,$E132,TRUE))</f>
        <v/>
      </c>
      <c r="Q132">
        <f>IF(NOT(ISNUMBER($D132)),"",_xlfn.NORM.DIST(Q$1,$D132,$E132,TRUE)-_xlfn.NORM.DIST(Q$2,$D132,$E132,TRUE))</f>
        <v/>
      </c>
      <c r="R132">
        <f>IF(NOT(ISNUMBER($D132)),"",_xlfn.NORM.DIST(R$1,$D132,$E132,TRUE)-_xlfn.NORM.DIST(R$2,$D132,$E132,TRUE))</f>
        <v/>
      </c>
      <c r="S132">
        <f>IF(NOT(ISNUMBER($D132)),"",_xlfn.NORM.DIST(S$1,$D132,$E132,TRUE)-_xlfn.NORM.DIST(S$2,$D132,$E132,TRUE))</f>
        <v/>
      </c>
      <c r="T132">
        <f>IF(NOT(ISNUMBER($D132)),"",_xlfn.NORM.DIST(T$1,$D132,$E132,TRUE)-_xlfn.NORM.DIST(T$2,$D132,$E132,TRUE))</f>
        <v/>
      </c>
      <c r="U132">
        <f>IF(NOT(ISNUMBER($D132)),"",_xlfn.NORM.DIST(U$1,$D132,$E132,TRUE)-_xlfn.NORM.DIST(U$2,$D132,$E132,TRUE))</f>
        <v/>
      </c>
      <c r="V132">
        <f>IF(NOT(ISNUMBER($D132)),"",_xlfn.NORM.DIST(V$1,$D132,$E132,TRUE)-_xlfn.NORM.DIST(V$2,$D132,$E132,TRUE))</f>
        <v/>
      </c>
      <c r="W132">
        <f>IF(NOT(ISNUMBER($D132)),"",_xlfn.NORM.DIST(W$1,$D132,$E132,TRUE)-_xlfn.NORM.DIST(W$2,$D132,$E132,TRUE))</f>
        <v/>
      </c>
      <c r="X132">
        <f>IF(NOT(ISNUMBER($D132)),"",_xlfn.NORM.DIST(X$1,$D132,$E132,TRUE)-_xlfn.NORM.DIST(X$2,$D132,$E132,TRUE))</f>
        <v/>
      </c>
      <c r="Y132">
        <f>IF(NOT(ISNUMBER($D132)),"",_xlfn.NORM.DIST(Y$1,$D132,$E132,TRUE)-_xlfn.NORM.DIST(Y$2,$D132,$E132,TRUE))</f>
        <v/>
      </c>
      <c r="Z132">
        <f>IF(NOT(ISNUMBER($D132)),"",_xlfn.NORM.DIST(Z$1,$D132,$E132,TRUE)-_xlfn.NORM.DIST(Z$2,$D132,$E132,TRUE))</f>
        <v/>
      </c>
      <c r="AA132">
        <f>IF(NOT(ISNUMBER($D132)),"",_xlfn.NORM.DIST(AA$1,$D132,$E132,TRUE)-_xlfn.NORM.DIST(AA$2,$D132,$E132,TRUE))</f>
        <v/>
      </c>
      <c r="AB132">
        <f>IF(NOT(ISNUMBER($D132)),"",_xlfn.NORM.DIST(AB$1,$D132,$E132,TRUE)-_xlfn.NORM.DIST(AB$2,$D132,$E132,TRUE))</f>
        <v/>
      </c>
      <c r="AC132">
        <f>IF(NOT(ISNUMBER($D132)),"",_xlfn.NORM.DIST(AC$1,$D132,$E132,TRUE)-_xlfn.NORM.DIST(AC$2,$D132,$E132,TRUE))</f>
        <v/>
      </c>
      <c r="AD132">
        <f>IF(NOT(ISNUMBER($D132)),"",_xlfn.NORM.DIST(AD$1,$D132,$E132,TRUE)-_xlfn.NORM.DIST(AD$2,$D132,$E132,TRUE))</f>
        <v/>
      </c>
      <c r="AE132">
        <f>IF(NOT(ISNUMBER($D132)),"",_xlfn.NORM.DIST(AE$1,$D132,$E132,TRUE)-_xlfn.NORM.DIST(AE$2,$D132,$E132,TRUE))</f>
        <v/>
      </c>
      <c r="AF132">
        <f>IF(NOT(ISNUMBER($D132)),"",_xlfn.NORM.DIST(AF$1,$D132,$E132,TRUE)-_xlfn.NORM.DIST(AF$2,$D132,$E132,TRUE))</f>
        <v/>
      </c>
      <c r="AG132">
        <f>IF(NOT(ISNUMBER($D132)),"",_xlfn.NORM.DIST(AG$1,$D132,$E132,TRUE)-_xlfn.NORM.DIST(AG$2,$D132,$E132,TRUE))</f>
        <v/>
      </c>
      <c r="AH132">
        <f>IF(NOT(ISNUMBER($D132)),"",_xlfn.NORM.DIST(AH$1,$D132,$E132,TRUE)-_xlfn.NORM.DIST(AH$2,$D132,$E132,TRUE))</f>
        <v/>
      </c>
      <c r="AI132">
        <f>IF(NOT(ISNUMBER($D132)),"",_xlfn.NORM.DIST(AI$1,$D132,$E132,TRUE)-_xlfn.NORM.DIST(AI$2,$D132,$E132,TRUE))</f>
        <v/>
      </c>
      <c r="AJ132">
        <f>IF(NOT(ISNUMBER($D132)),"",_xlfn.NORM.DIST(AJ$1,$D132,$E132,TRUE)-_xlfn.NORM.DIST(AJ$2,$D132,$E132,TRUE))</f>
        <v/>
      </c>
      <c r="AK132">
        <f>IF(NOT(ISNUMBER($D132)),"",_xlfn.NORM.DIST(AK$1,$D132,$E132,TRUE)-_xlfn.NORM.DIST(AK$2,$D132,$E132,TRUE))</f>
        <v/>
      </c>
      <c r="AL132">
        <f>IF(NOT(ISNUMBER($D132)),"",_xlfn.NORM.DIST(AL$1,$D132,$E132,TRUE)-_xlfn.NORM.DIST(AL$2,$D132,$E132,TRUE))</f>
        <v/>
      </c>
      <c r="AM132">
        <f>IF(NOT(ISNUMBER($D132)),"",_xlfn.NORM.DIST(AM$1,$D132,$E132,TRUE)-_xlfn.NORM.DIST(AM$2,$D132,$E132,TRUE))</f>
        <v/>
      </c>
      <c r="AN132">
        <f>IF(NOT(ISNUMBER($D132)),"",_xlfn.NORM.DIST(AN$1,$D132,$E132,TRUE)-_xlfn.NORM.DIST(AN$2,$D132,$E132,TRUE))</f>
        <v/>
      </c>
      <c r="AO132">
        <f>IF(NOT(ISNUMBER($D132)),"",_xlfn.NORM.DIST(AO$1,$D132,$E132,TRUE)-_xlfn.NORM.DIST(AO$2,$D132,$E132,TRUE))</f>
        <v/>
      </c>
      <c r="AP132">
        <f>IF(NOT(ISNUMBER($D132)),"",_xlfn.NORM.DIST(AP$1,$D132,$E132,TRUE)-_xlfn.NORM.DIST(AP$2,$D132,$E132,TRUE))</f>
        <v/>
      </c>
      <c r="AQ132">
        <f>IF(NOT(ISNUMBER($D132)),"",_xlfn.NORM.DIST(AQ$1,$D132,$E132,TRUE)-_xlfn.NORM.DIST(AQ$2,$D132,$E132,TRUE))</f>
        <v/>
      </c>
      <c r="AR132">
        <f>IF(NOT(ISNUMBER($D132)),"",_xlfn.NORM.DIST(AR$1,$D132,$E132,TRUE)-_xlfn.NORM.DIST(AR$2,$D132,$E132,TRUE))</f>
        <v/>
      </c>
      <c r="AS132">
        <f>IF(NOT(ISNUMBER($D132)),"",_xlfn.NORM.DIST(AS$1,$D132,$E132,TRUE)-_xlfn.NORM.DIST(AS$2,$D132,$E132,TRUE))</f>
        <v/>
      </c>
      <c r="AT132">
        <f>IF(NOT(ISNUMBER($D132)),"",_xlfn.NORM.DIST(AT$1,$D132,$E132,TRUE)-_xlfn.NORM.DIST(AT$2,$D132,$E132,TRUE))</f>
        <v/>
      </c>
      <c r="AU132">
        <f>IF(NOT(ISNUMBER($D132)),"",_xlfn.NORM.DIST(AU$1,$D132,$E132,TRUE)-_xlfn.NORM.DIST(AU$2,$D132,$E132,TRUE))</f>
        <v/>
      </c>
      <c r="AV132">
        <f>IF(NOT(ISNUMBER($D132)),"",_xlfn.NORM.DIST(AV$1,$D132,$E132,TRUE)-_xlfn.NORM.DIST(AV$2,$D132,$E132,TRUE))</f>
        <v/>
      </c>
      <c r="AW132">
        <f>IF(NOT(ISNUMBER($D132)),"",_xlfn.NORM.DIST(AW$1,$D132,$E132,TRUE)-_xlfn.NORM.DIST(AW$2,$D132,$E132,TRUE))</f>
        <v/>
      </c>
      <c r="AX132">
        <f>IF(NOT(ISNUMBER($D132)),"",_xlfn.NORM.DIST(AX$1,$D132,$E132,TRUE)-_xlfn.NORM.DIST(AX$2,$D132,$E132,TRUE))</f>
        <v/>
      </c>
      <c r="AY132">
        <f>IF(NOT(ISNUMBER($D132)),"",_xlfn.NORM.DIST(AY$1,$D132,$E132,TRUE)-_xlfn.NORM.DIST(AY$2,$D132,$E132,TRUE))</f>
        <v/>
      </c>
      <c r="AZ132">
        <f>IF(NOT(ISNUMBER($D132)),"",_xlfn.NORM.DIST(AZ$1,$D132,$E132,TRUE)-_xlfn.NORM.DIST(AZ$2,$D132,$E132,TRUE))</f>
        <v/>
      </c>
      <c r="BA132">
        <f>IF(NOT(ISNUMBER($D132)),"",_xlfn.NORM.DIST(BA$1,$D132,$E132,TRUE)-_xlfn.NORM.DIST(BA$2,$D132,$E132,TRUE))</f>
        <v/>
      </c>
      <c r="BB132">
        <f>IF(NOT(ISNUMBER($D132)),"",_xlfn.NORM.DIST(BB$1,$D132,$E132,TRUE)-_xlfn.NORM.DIST(BB$2,$D132,$E132,TRUE))</f>
        <v/>
      </c>
      <c r="BC132">
        <f>IF(NOT(ISNUMBER($D132)),"",_xlfn.NORM.DIST(BC$1,$D132,$E132,TRUE)-_xlfn.NORM.DIST(BC$2,$D132,$E132,TRUE))</f>
        <v/>
      </c>
      <c r="BD132">
        <f>IF(NOT(ISNUMBER($D132)),"",_xlfn.NORM.DIST(BD$1,$D132,$E132,TRUE)-_xlfn.NORM.DIST(BD$2,$D132,$E132,TRUE))</f>
        <v/>
      </c>
      <c r="BE132">
        <f>IF(NOT(ISNUMBER($D132)),"",_xlfn.NORM.DIST(BE$1,$D132,$E132,TRUE)-_xlfn.NORM.DIST(BE$2,$D132,$E132,TRUE))</f>
        <v/>
      </c>
      <c r="BF132">
        <f>IF(NOT(ISNUMBER($D132)),"",_xlfn.NORM.DIST(BF$1,$D132,$E132,TRUE)-_xlfn.NORM.DIST(BF$2,$D132,$E132,TRUE))</f>
        <v/>
      </c>
      <c r="BG132">
        <f>IF(NOT(ISNUMBER($D132)),"",_xlfn.NORM.DIST(BG$1,$D132,$E132,TRUE)-_xlfn.NORM.DIST(BG$2,$D132,$E132,TRUE))</f>
        <v/>
      </c>
      <c r="BH132">
        <f>IF(NOT(ISNUMBER($D132)),"",_xlfn.NORM.DIST(BH$1,$D132,$E132,TRUE)-_xlfn.NORM.DIST(BH$2,$D132,$E132,TRUE))</f>
        <v/>
      </c>
      <c r="BI132">
        <f>IF(NOT(ISNUMBER($D132)),"",_xlfn.NORM.DIST(BI$1,$D132,$E132,TRUE)-_xlfn.NORM.DIST(BI$2,$D132,$E132,TRUE))</f>
        <v/>
      </c>
      <c r="BJ132">
        <f>IF(NOT(ISNUMBER($D132)),"",_xlfn.NORM.DIST(BJ$1,$D132,$E132,TRUE)-_xlfn.NORM.DIST(BJ$2,$D132,$E132,TRUE))</f>
        <v/>
      </c>
      <c r="BK132">
        <f>IF(NOT(ISNUMBER($D132)),"",_xlfn.NORM.DIST(BK$1,$D132,$E132,TRUE)-_xlfn.NORM.DIST(BK$2,$D132,$E132,TRUE))</f>
        <v/>
      </c>
      <c r="BL132">
        <f>IF(NOT(ISNUMBER($D132)),"",_xlfn.NORM.DIST(BL$1,$D132,$E132,TRUE)-_xlfn.NORM.DIST(BL$2,$D132,$E132,TRUE))</f>
        <v/>
      </c>
      <c r="BM132">
        <f>IF(NOT(ISNUMBER($D132)),"",_xlfn.NORM.DIST(BM$1,$D132,$E132,TRUE)-_xlfn.NORM.DIST(BM$2,$D132,$E132,TRUE))</f>
        <v/>
      </c>
      <c r="BN132">
        <f>IF(NOT(ISNUMBER($D132)),"",_xlfn.NORM.DIST(BN$1,$D132,$E132,TRUE)-_xlfn.NORM.DIST(BN$2,$D132,$E132,TRUE))</f>
        <v/>
      </c>
      <c r="BO132">
        <f>IF(NOT(ISNUMBER($D132)),"",_xlfn.NORM.DIST(BO$1,$D132,$E132,TRUE)-_xlfn.NORM.DIST(BO$2,$D132,$E132,TRUE))</f>
        <v/>
      </c>
      <c r="BP132">
        <f>IF(NOT(ISNUMBER($D132)),"",_xlfn.NORM.DIST(BP$1,$D132,$E132,TRUE)-_xlfn.NORM.DIST(BP$2,$D132,$E132,TRUE))</f>
        <v/>
      </c>
      <c r="BQ132">
        <f>IF(NOT(ISNUMBER($D132)),"",_xlfn.NORM.DIST(BQ$1,$D132,$E132,TRUE)-_xlfn.NORM.DIST(BQ$2,$D132,$E132,TRUE))</f>
        <v/>
      </c>
      <c r="BR132">
        <f>IF(NOT(ISNUMBER($D132)),"",_xlfn.NORM.DIST(BR$1,$D132,$E132,TRUE)-_xlfn.NORM.DIST(BR$2,$D132,$E132,TRUE))</f>
        <v/>
      </c>
      <c r="BS132">
        <f>IF(NOT(ISNUMBER($D132)),"",_xlfn.NORM.DIST(BS$1,$D132,$E132,TRUE)-_xlfn.NORM.DIST(BS$2,$D132,$E132,TRUE))</f>
        <v/>
      </c>
      <c r="BT132">
        <f>IF(NOT(ISNUMBER($D132)),"",_xlfn.NORM.DIST(BT$1,$D132,$E132,TRUE)-_xlfn.NORM.DIST(BT$2,$D132,$E132,TRUE))</f>
        <v/>
      </c>
      <c r="BU132">
        <f>IF(NOT(ISNUMBER($D132)),"",_xlfn.NORM.DIST(BU$1,$D132,$E132,TRUE)-_xlfn.NORM.DIST(BU$2,$D132,$E132,TRUE))</f>
        <v/>
      </c>
      <c r="BV132">
        <f>IF(NOT(ISNUMBER($D132)),"",_xlfn.NORM.DIST(BV$1,$D132,$E132,TRUE)-_xlfn.NORM.DIST(BV$2,$D132,$E132,TRUE))</f>
        <v/>
      </c>
      <c r="BW132">
        <f>IF(NOT(ISNUMBER($D132)),"",_xlfn.NORM.DIST(BW$1,$D132,$E132,TRUE)-_xlfn.NORM.DIST(BW$2,$D132,$E132,TRUE))</f>
        <v/>
      </c>
      <c r="BX132">
        <f>IF(NOT(ISNUMBER($D132)),"",_xlfn.NORM.DIST(BX$1,$D132,$E132,TRUE)-_xlfn.NORM.DIST(BX$2,$D132,$E132,TRUE))</f>
        <v/>
      </c>
      <c r="BY132">
        <f>IF(NOT(ISNUMBER($D132)),"",_xlfn.NORM.DIST(BY$1,$D132,$E132,TRUE)-_xlfn.NORM.DIST(BY$2,$D132,$E132,TRUE))</f>
        <v/>
      </c>
      <c r="BZ132">
        <f>IF(NOT(ISNUMBER($D132)),"",_xlfn.NORM.DIST(BZ$1,$D132,$E132,TRUE)-_xlfn.NORM.DIST(BZ$2,$D132,$E132,TRUE))</f>
        <v/>
      </c>
      <c r="CA132">
        <f>IF(NOT(ISNUMBER($D132)),"",_xlfn.NORM.DIST(CA$1,$D132,$E132,TRUE)-_xlfn.NORM.DIST(CA$2,$D132,$E132,TRUE))</f>
        <v/>
      </c>
      <c r="CB132">
        <f>IF(NOT(ISNUMBER($D132)),"",_xlfn.NORM.DIST(CB$1,$D132,$E132,TRUE)-_xlfn.NORM.DIST(CB$2,$D132,$E132,TRUE))</f>
        <v/>
      </c>
      <c r="CC132">
        <f>IF(NOT(ISNUMBER($D132)),"",_xlfn.NORM.DIST(CC$1,$D132,$E132,TRUE)-_xlfn.NORM.DIST(CC$2,$D132,$E132,TRUE))</f>
        <v/>
      </c>
      <c r="CD132">
        <f>IF(NOT(ISNUMBER($D132)),"",_xlfn.NORM.DIST(CD$1,$D132,$E132,TRUE)-_xlfn.NORM.DIST(CD$2,$D132,$E132,TRUE))</f>
        <v/>
      </c>
      <c r="CE132">
        <f>IF(NOT(ISNUMBER($D132)),"",_xlfn.NORM.DIST(CE$1,$D132,$E132,TRUE)-_xlfn.NORM.DIST(CE$2,$D132,$E132,TRUE))</f>
        <v/>
      </c>
      <c r="CF132">
        <f>IF(NOT(ISNUMBER($D132)),"",_xlfn.NORM.DIST(CF$1,$D132,$E132,TRUE)-_xlfn.NORM.DIST(CF$2,$D132,$E132,TRUE))</f>
        <v/>
      </c>
      <c r="CG132">
        <f>IF(NOT(ISNUMBER($D132)),"",_xlfn.NORM.DIST(CG$1,$D132,$E132,TRUE)-_xlfn.NORM.DIST(CG$2,$D132,$E132,TRUE))</f>
        <v/>
      </c>
      <c r="CH132">
        <f>IF(NOT(ISNUMBER($D132)),"",_xlfn.NORM.DIST(CH$1,$D132,$E132,TRUE)-_xlfn.NORM.DIST(CH$2,$D132,$E132,TRUE))</f>
        <v/>
      </c>
      <c r="CI132">
        <f>IF(NOT(ISNUMBER($D132)),"",_xlfn.NORM.DIST(CI$1,$D132,$E132,TRUE)-_xlfn.NORM.DIST(CI$2,$D132,$E132,TRUE))</f>
        <v/>
      </c>
      <c r="CJ132">
        <f>IF(ISNUMBER($D132),SUM(F132:CI132),"")</f>
        <v/>
      </c>
    </row>
    <row r="133">
      <c r="A133">
        <f>economics!A132</f>
        <v/>
      </c>
      <c r="B133">
        <f>economics!B132</f>
        <v/>
      </c>
      <c r="C133">
        <f>economics!D132</f>
        <v/>
      </c>
      <c r="D133">
        <f>IF(ISNUMBER(economics!T132),economics!T132,"na")</f>
        <v/>
      </c>
      <c r="E133">
        <f>IF(ISNUMBER(D133),MAX(0.3*ABS(D133),0.000001),"na")</f>
        <v/>
      </c>
      <c r="F133">
        <f>IF(NOT(ISNUMBER($D133)),"",_xlfn.NORM.DIST(F$1,$D133,$E133,TRUE)-_xlfn.NORM.DIST(F$2,$D133,$E133,TRUE))</f>
        <v/>
      </c>
      <c r="G133">
        <f>IF(NOT(ISNUMBER($D133)),"",_xlfn.NORM.DIST(G$1,$D133,$E133,TRUE)-_xlfn.NORM.DIST(G$2,$D133,$E133,TRUE))</f>
        <v/>
      </c>
      <c r="H133">
        <f>IF(NOT(ISNUMBER($D133)),"",_xlfn.NORM.DIST(H$1,$D133,$E133,TRUE)-_xlfn.NORM.DIST(H$2,$D133,$E133,TRUE))</f>
        <v/>
      </c>
      <c r="I133">
        <f>IF(NOT(ISNUMBER($D133)),"",_xlfn.NORM.DIST(I$1,$D133,$E133,TRUE)-_xlfn.NORM.DIST(I$2,$D133,$E133,TRUE))</f>
        <v/>
      </c>
      <c r="J133">
        <f>IF(NOT(ISNUMBER($D133)),"",_xlfn.NORM.DIST(J$1,$D133,$E133,TRUE)-_xlfn.NORM.DIST(J$2,$D133,$E133,TRUE))</f>
        <v/>
      </c>
      <c r="K133">
        <f>IF(NOT(ISNUMBER($D133)),"",_xlfn.NORM.DIST(K$1,$D133,$E133,TRUE)-_xlfn.NORM.DIST(K$2,$D133,$E133,TRUE))</f>
        <v/>
      </c>
      <c r="L133">
        <f>IF(NOT(ISNUMBER($D133)),"",_xlfn.NORM.DIST(L$1,$D133,$E133,TRUE)-_xlfn.NORM.DIST(L$2,$D133,$E133,TRUE))</f>
        <v/>
      </c>
      <c r="M133">
        <f>IF(NOT(ISNUMBER($D133)),"",_xlfn.NORM.DIST(M$1,$D133,$E133,TRUE)-_xlfn.NORM.DIST(M$2,$D133,$E133,TRUE))</f>
        <v/>
      </c>
      <c r="N133">
        <f>IF(NOT(ISNUMBER($D133)),"",_xlfn.NORM.DIST(N$1,$D133,$E133,TRUE)-_xlfn.NORM.DIST(N$2,$D133,$E133,TRUE))</f>
        <v/>
      </c>
      <c r="O133">
        <f>IF(NOT(ISNUMBER($D133)),"",_xlfn.NORM.DIST(O$1,$D133,$E133,TRUE)-_xlfn.NORM.DIST(O$2,$D133,$E133,TRUE))</f>
        <v/>
      </c>
      <c r="P133">
        <f>IF(NOT(ISNUMBER($D133)),"",_xlfn.NORM.DIST(P$1,$D133,$E133,TRUE)-_xlfn.NORM.DIST(P$2,$D133,$E133,TRUE))</f>
        <v/>
      </c>
      <c r="Q133">
        <f>IF(NOT(ISNUMBER($D133)),"",_xlfn.NORM.DIST(Q$1,$D133,$E133,TRUE)-_xlfn.NORM.DIST(Q$2,$D133,$E133,TRUE))</f>
        <v/>
      </c>
      <c r="R133">
        <f>IF(NOT(ISNUMBER($D133)),"",_xlfn.NORM.DIST(R$1,$D133,$E133,TRUE)-_xlfn.NORM.DIST(R$2,$D133,$E133,TRUE))</f>
        <v/>
      </c>
      <c r="S133">
        <f>IF(NOT(ISNUMBER($D133)),"",_xlfn.NORM.DIST(S$1,$D133,$E133,TRUE)-_xlfn.NORM.DIST(S$2,$D133,$E133,TRUE))</f>
        <v/>
      </c>
      <c r="T133">
        <f>IF(NOT(ISNUMBER($D133)),"",_xlfn.NORM.DIST(T$1,$D133,$E133,TRUE)-_xlfn.NORM.DIST(T$2,$D133,$E133,TRUE))</f>
        <v/>
      </c>
      <c r="U133">
        <f>IF(NOT(ISNUMBER($D133)),"",_xlfn.NORM.DIST(U$1,$D133,$E133,TRUE)-_xlfn.NORM.DIST(U$2,$D133,$E133,TRUE))</f>
        <v/>
      </c>
      <c r="V133">
        <f>IF(NOT(ISNUMBER($D133)),"",_xlfn.NORM.DIST(V$1,$D133,$E133,TRUE)-_xlfn.NORM.DIST(V$2,$D133,$E133,TRUE))</f>
        <v/>
      </c>
      <c r="W133">
        <f>IF(NOT(ISNUMBER($D133)),"",_xlfn.NORM.DIST(W$1,$D133,$E133,TRUE)-_xlfn.NORM.DIST(W$2,$D133,$E133,TRUE))</f>
        <v/>
      </c>
      <c r="X133">
        <f>IF(NOT(ISNUMBER($D133)),"",_xlfn.NORM.DIST(X$1,$D133,$E133,TRUE)-_xlfn.NORM.DIST(X$2,$D133,$E133,TRUE))</f>
        <v/>
      </c>
      <c r="Y133">
        <f>IF(NOT(ISNUMBER($D133)),"",_xlfn.NORM.DIST(Y$1,$D133,$E133,TRUE)-_xlfn.NORM.DIST(Y$2,$D133,$E133,TRUE))</f>
        <v/>
      </c>
      <c r="Z133">
        <f>IF(NOT(ISNUMBER($D133)),"",_xlfn.NORM.DIST(Z$1,$D133,$E133,TRUE)-_xlfn.NORM.DIST(Z$2,$D133,$E133,TRUE))</f>
        <v/>
      </c>
      <c r="AA133">
        <f>IF(NOT(ISNUMBER($D133)),"",_xlfn.NORM.DIST(AA$1,$D133,$E133,TRUE)-_xlfn.NORM.DIST(AA$2,$D133,$E133,TRUE))</f>
        <v/>
      </c>
      <c r="AB133">
        <f>IF(NOT(ISNUMBER($D133)),"",_xlfn.NORM.DIST(AB$1,$D133,$E133,TRUE)-_xlfn.NORM.DIST(AB$2,$D133,$E133,TRUE))</f>
        <v/>
      </c>
      <c r="AC133">
        <f>IF(NOT(ISNUMBER($D133)),"",_xlfn.NORM.DIST(AC$1,$D133,$E133,TRUE)-_xlfn.NORM.DIST(AC$2,$D133,$E133,TRUE))</f>
        <v/>
      </c>
      <c r="AD133">
        <f>IF(NOT(ISNUMBER($D133)),"",_xlfn.NORM.DIST(AD$1,$D133,$E133,TRUE)-_xlfn.NORM.DIST(AD$2,$D133,$E133,TRUE))</f>
        <v/>
      </c>
      <c r="AE133">
        <f>IF(NOT(ISNUMBER($D133)),"",_xlfn.NORM.DIST(AE$1,$D133,$E133,TRUE)-_xlfn.NORM.DIST(AE$2,$D133,$E133,TRUE))</f>
        <v/>
      </c>
      <c r="AF133">
        <f>IF(NOT(ISNUMBER($D133)),"",_xlfn.NORM.DIST(AF$1,$D133,$E133,TRUE)-_xlfn.NORM.DIST(AF$2,$D133,$E133,TRUE))</f>
        <v/>
      </c>
      <c r="AG133">
        <f>IF(NOT(ISNUMBER($D133)),"",_xlfn.NORM.DIST(AG$1,$D133,$E133,TRUE)-_xlfn.NORM.DIST(AG$2,$D133,$E133,TRUE))</f>
        <v/>
      </c>
      <c r="AH133">
        <f>IF(NOT(ISNUMBER($D133)),"",_xlfn.NORM.DIST(AH$1,$D133,$E133,TRUE)-_xlfn.NORM.DIST(AH$2,$D133,$E133,TRUE))</f>
        <v/>
      </c>
      <c r="AI133">
        <f>IF(NOT(ISNUMBER($D133)),"",_xlfn.NORM.DIST(AI$1,$D133,$E133,TRUE)-_xlfn.NORM.DIST(AI$2,$D133,$E133,TRUE))</f>
        <v/>
      </c>
      <c r="AJ133">
        <f>IF(NOT(ISNUMBER($D133)),"",_xlfn.NORM.DIST(AJ$1,$D133,$E133,TRUE)-_xlfn.NORM.DIST(AJ$2,$D133,$E133,TRUE))</f>
        <v/>
      </c>
      <c r="AK133">
        <f>IF(NOT(ISNUMBER($D133)),"",_xlfn.NORM.DIST(AK$1,$D133,$E133,TRUE)-_xlfn.NORM.DIST(AK$2,$D133,$E133,TRUE))</f>
        <v/>
      </c>
      <c r="AL133">
        <f>IF(NOT(ISNUMBER($D133)),"",_xlfn.NORM.DIST(AL$1,$D133,$E133,TRUE)-_xlfn.NORM.DIST(AL$2,$D133,$E133,TRUE))</f>
        <v/>
      </c>
      <c r="AM133">
        <f>IF(NOT(ISNUMBER($D133)),"",_xlfn.NORM.DIST(AM$1,$D133,$E133,TRUE)-_xlfn.NORM.DIST(AM$2,$D133,$E133,TRUE))</f>
        <v/>
      </c>
      <c r="AN133">
        <f>IF(NOT(ISNUMBER($D133)),"",_xlfn.NORM.DIST(AN$1,$D133,$E133,TRUE)-_xlfn.NORM.DIST(AN$2,$D133,$E133,TRUE))</f>
        <v/>
      </c>
      <c r="AO133">
        <f>IF(NOT(ISNUMBER($D133)),"",_xlfn.NORM.DIST(AO$1,$D133,$E133,TRUE)-_xlfn.NORM.DIST(AO$2,$D133,$E133,TRUE))</f>
        <v/>
      </c>
      <c r="AP133">
        <f>IF(NOT(ISNUMBER($D133)),"",_xlfn.NORM.DIST(AP$1,$D133,$E133,TRUE)-_xlfn.NORM.DIST(AP$2,$D133,$E133,TRUE))</f>
        <v/>
      </c>
      <c r="AQ133">
        <f>IF(NOT(ISNUMBER($D133)),"",_xlfn.NORM.DIST(AQ$1,$D133,$E133,TRUE)-_xlfn.NORM.DIST(AQ$2,$D133,$E133,TRUE))</f>
        <v/>
      </c>
      <c r="AR133">
        <f>IF(NOT(ISNUMBER($D133)),"",_xlfn.NORM.DIST(AR$1,$D133,$E133,TRUE)-_xlfn.NORM.DIST(AR$2,$D133,$E133,TRUE))</f>
        <v/>
      </c>
      <c r="AS133">
        <f>IF(NOT(ISNUMBER($D133)),"",_xlfn.NORM.DIST(AS$1,$D133,$E133,TRUE)-_xlfn.NORM.DIST(AS$2,$D133,$E133,TRUE))</f>
        <v/>
      </c>
      <c r="AT133">
        <f>IF(NOT(ISNUMBER($D133)),"",_xlfn.NORM.DIST(AT$1,$D133,$E133,TRUE)-_xlfn.NORM.DIST(AT$2,$D133,$E133,TRUE))</f>
        <v/>
      </c>
      <c r="AU133">
        <f>IF(NOT(ISNUMBER($D133)),"",_xlfn.NORM.DIST(AU$1,$D133,$E133,TRUE)-_xlfn.NORM.DIST(AU$2,$D133,$E133,TRUE))</f>
        <v/>
      </c>
      <c r="AV133">
        <f>IF(NOT(ISNUMBER($D133)),"",_xlfn.NORM.DIST(AV$1,$D133,$E133,TRUE)-_xlfn.NORM.DIST(AV$2,$D133,$E133,TRUE))</f>
        <v/>
      </c>
      <c r="AW133">
        <f>IF(NOT(ISNUMBER($D133)),"",_xlfn.NORM.DIST(AW$1,$D133,$E133,TRUE)-_xlfn.NORM.DIST(AW$2,$D133,$E133,TRUE))</f>
        <v/>
      </c>
      <c r="AX133">
        <f>IF(NOT(ISNUMBER($D133)),"",_xlfn.NORM.DIST(AX$1,$D133,$E133,TRUE)-_xlfn.NORM.DIST(AX$2,$D133,$E133,TRUE))</f>
        <v/>
      </c>
      <c r="AY133">
        <f>IF(NOT(ISNUMBER($D133)),"",_xlfn.NORM.DIST(AY$1,$D133,$E133,TRUE)-_xlfn.NORM.DIST(AY$2,$D133,$E133,TRUE))</f>
        <v/>
      </c>
      <c r="AZ133">
        <f>IF(NOT(ISNUMBER($D133)),"",_xlfn.NORM.DIST(AZ$1,$D133,$E133,TRUE)-_xlfn.NORM.DIST(AZ$2,$D133,$E133,TRUE))</f>
        <v/>
      </c>
      <c r="BA133">
        <f>IF(NOT(ISNUMBER($D133)),"",_xlfn.NORM.DIST(BA$1,$D133,$E133,TRUE)-_xlfn.NORM.DIST(BA$2,$D133,$E133,TRUE))</f>
        <v/>
      </c>
      <c r="BB133">
        <f>IF(NOT(ISNUMBER($D133)),"",_xlfn.NORM.DIST(BB$1,$D133,$E133,TRUE)-_xlfn.NORM.DIST(BB$2,$D133,$E133,TRUE))</f>
        <v/>
      </c>
      <c r="BC133">
        <f>IF(NOT(ISNUMBER($D133)),"",_xlfn.NORM.DIST(BC$1,$D133,$E133,TRUE)-_xlfn.NORM.DIST(BC$2,$D133,$E133,TRUE))</f>
        <v/>
      </c>
      <c r="BD133">
        <f>IF(NOT(ISNUMBER($D133)),"",_xlfn.NORM.DIST(BD$1,$D133,$E133,TRUE)-_xlfn.NORM.DIST(BD$2,$D133,$E133,TRUE))</f>
        <v/>
      </c>
      <c r="BE133">
        <f>IF(NOT(ISNUMBER($D133)),"",_xlfn.NORM.DIST(BE$1,$D133,$E133,TRUE)-_xlfn.NORM.DIST(BE$2,$D133,$E133,TRUE))</f>
        <v/>
      </c>
      <c r="BF133">
        <f>IF(NOT(ISNUMBER($D133)),"",_xlfn.NORM.DIST(BF$1,$D133,$E133,TRUE)-_xlfn.NORM.DIST(BF$2,$D133,$E133,TRUE))</f>
        <v/>
      </c>
      <c r="BG133">
        <f>IF(NOT(ISNUMBER($D133)),"",_xlfn.NORM.DIST(BG$1,$D133,$E133,TRUE)-_xlfn.NORM.DIST(BG$2,$D133,$E133,TRUE))</f>
        <v/>
      </c>
      <c r="BH133">
        <f>IF(NOT(ISNUMBER($D133)),"",_xlfn.NORM.DIST(BH$1,$D133,$E133,TRUE)-_xlfn.NORM.DIST(BH$2,$D133,$E133,TRUE))</f>
        <v/>
      </c>
      <c r="BI133">
        <f>IF(NOT(ISNUMBER($D133)),"",_xlfn.NORM.DIST(BI$1,$D133,$E133,TRUE)-_xlfn.NORM.DIST(BI$2,$D133,$E133,TRUE))</f>
        <v/>
      </c>
      <c r="BJ133">
        <f>IF(NOT(ISNUMBER($D133)),"",_xlfn.NORM.DIST(BJ$1,$D133,$E133,TRUE)-_xlfn.NORM.DIST(BJ$2,$D133,$E133,TRUE))</f>
        <v/>
      </c>
      <c r="BK133">
        <f>IF(NOT(ISNUMBER($D133)),"",_xlfn.NORM.DIST(BK$1,$D133,$E133,TRUE)-_xlfn.NORM.DIST(BK$2,$D133,$E133,TRUE))</f>
        <v/>
      </c>
      <c r="BL133">
        <f>IF(NOT(ISNUMBER($D133)),"",_xlfn.NORM.DIST(BL$1,$D133,$E133,TRUE)-_xlfn.NORM.DIST(BL$2,$D133,$E133,TRUE))</f>
        <v/>
      </c>
      <c r="BM133">
        <f>IF(NOT(ISNUMBER($D133)),"",_xlfn.NORM.DIST(BM$1,$D133,$E133,TRUE)-_xlfn.NORM.DIST(BM$2,$D133,$E133,TRUE))</f>
        <v/>
      </c>
      <c r="BN133">
        <f>IF(NOT(ISNUMBER($D133)),"",_xlfn.NORM.DIST(BN$1,$D133,$E133,TRUE)-_xlfn.NORM.DIST(BN$2,$D133,$E133,TRUE))</f>
        <v/>
      </c>
      <c r="BO133">
        <f>IF(NOT(ISNUMBER($D133)),"",_xlfn.NORM.DIST(BO$1,$D133,$E133,TRUE)-_xlfn.NORM.DIST(BO$2,$D133,$E133,TRUE))</f>
        <v/>
      </c>
      <c r="BP133">
        <f>IF(NOT(ISNUMBER($D133)),"",_xlfn.NORM.DIST(BP$1,$D133,$E133,TRUE)-_xlfn.NORM.DIST(BP$2,$D133,$E133,TRUE))</f>
        <v/>
      </c>
      <c r="BQ133">
        <f>IF(NOT(ISNUMBER($D133)),"",_xlfn.NORM.DIST(BQ$1,$D133,$E133,TRUE)-_xlfn.NORM.DIST(BQ$2,$D133,$E133,TRUE))</f>
        <v/>
      </c>
      <c r="BR133">
        <f>IF(NOT(ISNUMBER($D133)),"",_xlfn.NORM.DIST(BR$1,$D133,$E133,TRUE)-_xlfn.NORM.DIST(BR$2,$D133,$E133,TRUE))</f>
        <v/>
      </c>
      <c r="BS133">
        <f>IF(NOT(ISNUMBER($D133)),"",_xlfn.NORM.DIST(BS$1,$D133,$E133,TRUE)-_xlfn.NORM.DIST(BS$2,$D133,$E133,TRUE))</f>
        <v/>
      </c>
      <c r="BT133">
        <f>IF(NOT(ISNUMBER($D133)),"",_xlfn.NORM.DIST(BT$1,$D133,$E133,TRUE)-_xlfn.NORM.DIST(BT$2,$D133,$E133,TRUE))</f>
        <v/>
      </c>
      <c r="BU133">
        <f>IF(NOT(ISNUMBER($D133)),"",_xlfn.NORM.DIST(BU$1,$D133,$E133,TRUE)-_xlfn.NORM.DIST(BU$2,$D133,$E133,TRUE))</f>
        <v/>
      </c>
      <c r="BV133">
        <f>IF(NOT(ISNUMBER($D133)),"",_xlfn.NORM.DIST(BV$1,$D133,$E133,TRUE)-_xlfn.NORM.DIST(BV$2,$D133,$E133,TRUE))</f>
        <v/>
      </c>
      <c r="BW133">
        <f>IF(NOT(ISNUMBER($D133)),"",_xlfn.NORM.DIST(BW$1,$D133,$E133,TRUE)-_xlfn.NORM.DIST(BW$2,$D133,$E133,TRUE))</f>
        <v/>
      </c>
      <c r="BX133">
        <f>IF(NOT(ISNUMBER($D133)),"",_xlfn.NORM.DIST(BX$1,$D133,$E133,TRUE)-_xlfn.NORM.DIST(BX$2,$D133,$E133,TRUE))</f>
        <v/>
      </c>
      <c r="BY133">
        <f>IF(NOT(ISNUMBER($D133)),"",_xlfn.NORM.DIST(BY$1,$D133,$E133,TRUE)-_xlfn.NORM.DIST(BY$2,$D133,$E133,TRUE))</f>
        <v/>
      </c>
      <c r="BZ133">
        <f>IF(NOT(ISNUMBER($D133)),"",_xlfn.NORM.DIST(BZ$1,$D133,$E133,TRUE)-_xlfn.NORM.DIST(BZ$2,$D133,$E133,TRUE))</f>
        <v/>
      </c>
      <c r="CA133">
        <f>IF(NOT(ISNUMBER($D133)),"",_xlfn.NORM.DIST(CA$1,$D133,$E133,TRUE)-_xlfn.NORM.DIST(CA$2,$D133,$E133,TRUE))</f>
        <v/>
      </c>
      <c r="CB133">
        <f>IF(NOT(ISNUMBER($D133)),"",_xlfn.NORM.DIST(CB$1,$D133,$E133,TRUE)-_xlfn.NORM.DIST(CB$2,$D133,$E133,TRUE))</f>
        <v/>
      </c>
      <c r="CC133">
        <f>IF(NOT(ISNUMBER($D133)),"",_xlfn.NORM.DIST(CC$1,$D133,$E133,TRUE)-_xlfn.NORM.DIST(CC$2,$D133,$E133,TRUE))</f>
        <v/>
      </c>
      <c r="CD133">
        <f>IF(NOT(ISNUMBER($D133)),"",_xlfn.NORM.DIST(CD$1,$D133,$E133,TRUE)-_xlfn.NORM.DIST(CD$2,$D133,$E133,TRUE))</f>
        <v/>
      </c>
      <c r="CE133">
        <f>IF(NOT(ISNUMBER($D133)),"",_xlfn.NORM.DIST(CE$1,$D133,$E133,TRUE)-_xlfn.NORM.DIST(CE$2,$D133,$E133,TRUE))</f>
        <v/>
      </c>
      <c r="CF133">
        <f>IF(NOT(ISNUMBER($D133)),"",_xlfn.NORM.DIST(CF$1,$D133,$E133,TRUE)-_xlfn.NORM.DIST(CF$2,$D133,$E133,TRUE))</f>
        <v/>
      </c>
      <c r="CG133">
        <f>IF(NOT(ISNUMBER($D133)),"",_xlfn.NORM.DIST(CG$1,$D133,$E133,TRUE)-_xlfn.NORM.DIST(CG$2,$D133,$E133,TRUE))</f>
        <v/>
      </c>
      <c r="CH133">
        <f>IF(NOT(ISNUMBER($D133)),"",_xlfn.NORM.DIST(CH$1,$D133,$E133,TRUE)-_xlfn.NORM.DIST(CH$2,$D133,$E133,TRUE))</f>
        <v/>
      </c>
      <c r="CI133">
        <f>IF(NOT(ISNUMBER($D133)),"",_xlfn.NORM.DIST(CI$1,$D133,$E133,TRUE)-_xlfn.NORM.DIST(CI$2,$D133,$E133,TRUE))</f>
        <v/>
      </c>
      <c r="CJ133">
        <f>IF(ISNUMBER($D133),SUM(F133:CI133),"")</f>
        <v/>
      </c>
    </row>
    <row r="134">
      <c r="A134">
        <f>economics!A133</f>
        <v/>
      </c>
      <c r="B134">
        <f>economics!B133</f>
        <v/>
      </c>
      <c r="C134">
        <f>economics!D133</f>
        <v/>
      </c>
      <c r="D134">
        <f>IF(ISNUMBER(economics!T133),economics!T133,"na")</f>
        <v/>
      </c>
      <c r="E134">
        <f>IF(ISNUMBER(D134),MAX(0.3*ABS(D134),0.000001),"na")</f>
        <v/>
      </c>
      <c r="F134">
        <f>IF(NOT(ISNUMBER($D134)),"",_xlfn.NORM.DIST(F$1,$D134,$E134,TRUE)-_xlfn.NORM.DIST(F$2,$D134,$E134,TRUE))</f>
        <v/>
      </c>
      <c r="G134">
        <f>IF(NOT(ISNUMBER($D134)),"",_xlfn.NORM.DIST(G$1,$D134,$E134,TRUE)-_xlfn.NORM.DIST(G$2,$D134,$E134,TRUE))</f>
        <v/>
      </c>
      <c r="H134">
        <f>IF(NOT(ISNUMBER($D134)),"",_xlfn.NORM.DIST(H$1,$D134,$E134,TRUE)-_xlfn.NORM.DIST(H$2,$D134,$E134,TRUE))</f>
        <v/>
      </c>
      <c r="I134">
        <f>IF(NOT(ISNUMBER($D134)),"",_xlfn.NORM.DIST(I$1,$D134,$E134,TRUE)-_xlfn.NORM.DIST(I$2,$D134,$E134,TRUE))</f>
        <v/>
      </c>
      <c r="J134">
        <f>IF(NOT(ISNUMBER($D134)),"",_xlfn.NORM.DIST(J$1,$D134,$E134,TRUE)-_xlfn.NORM.DIST(J$2,$D134,$E134,TRUE))</f>
        <v/>
      </c>
      <c r="K134">
        <f>IF(NOT(ISNUMBER($D134)),"",_xlfn.NORM.DIST(K$1,$D134,$E134,TRUE)-_xlfn.NORM.DIST(K$2,$D134,$E134,TRUE))</f>
        <v/>
      </c>
      <c r="L134">
        <f>IF(NOT(ISNUMBER($D134)),"",_xlfn.NORM.DIST(L$1,$D134,$E134,TRUE)-_xlfn.NORM.DIST(L$2,$D134,$E134,TRUE))</f>
        <v/>
      </c>
      <c r="M134">
        <f>IF(NOT(ISNUMBER($D134)),"",_xlfn.NORM.DIST(M$1,$D134,$E134,TRUE)-_xlfn.NORM.DIST(M$2,$D134,$E134,TRUE))</f>
        <v/>
      </c>
      <c r="N134">
        <f>IF(NOT(ISNUMBER($D134)),"",_xlfn.NORM.DIST(N$1,$D134,$E134,TRUE)-_xlfn.NORM.DIST(N$2,$D134,$E134,TRUE))</f>
        <v/>
      </c>
      <c r="O134">
        <f>IF(NOT(ISNUMBER($D134)),"",_xlfn.NORM.DIST(O$1,$D134,$E134,TRUE)-_xlfn.NORM.DIST(O$2,$D134,$E134,TRUE))</f>
        <v/>
      </c>
      <c r="P134">
        <f>IF(NOT(ISNUMBER($D134)),"",_xlfn.NORM.DIST(P$1,$D134,$E134,TRUE)-_xlfn.NORM.DIST(P$2,$D134,$E134,TRUE))</f>
        <v/>
      </c>
      <c r="Q134">
        <f>IF(NOT(ISNUMBER($D134)),"",_xlfn.NORM.DIST(Q$1,$D134,$E134,TRUE)-_xlfn.NORM.DIST(Q$2,$D134,$E134,TRUE))</f>
        <v/>
      </c>
      <c r="R134">
        <f>IF(NOT(ISNUMBER($D134)),"",_xlfn.NORM.DIST(R$1,$D134,$E134,TRUE)-_xlfn.NORM.DIST(R$2,$D134,$E134,TRUE))</f>
        <v/>
      </c>
      <c r="S134">
        <f>IF(NOT(ISNUMBER($D134)),"",_xlfn.NORM.DIST(S$1,$D134,$E134,TRUE)-_xlfn.NORM.DIST(S$2,$D134,$E134,TRUE))</f>
        <v/>
      </c>
      <c r="T134">
        <f>IF(NOT(ISNUMBER($D134)),"",_xlfn.NORM.DIST(T$1,$D134,$E134,TRUE)-_xlfn.NORM.DIST(T$2,$D134,$E134,TRUE))</f>
        <v/>
      </c>
      <c r="U134">
        <f>IF(NOT(ISNUMBER($D134)),"",_xlfn.NORM.DIST(U$1,$D134,$E134,TRUE)-_xlfn.NORM.DIST(U$2,$D134,$E134,TRUE))</f>
        <v/>
      </c>
      <c r="V134">
        <f>IF(NOT(ISNUMBER($D134)),"",_xlfn.NORM.DIST(V$1,$D134,$E134,TRUE)-_xlfn.NORM.DIST(V$2,$D134,$E134,TRUE))</f>
        <v/>
      </c>
      <c r="W134">
        <f>IF(NOT(ISNUMBER($D134)),"",_xlfn.NORM.DIST(W$1,$D134,$E134,TRUE)-_xlfn.NORM.DIST(W$2,$D134,$E134,TRUE))</f>
        <v/>
      </c>
      <c r="X134">
        <f>IF(NOT(ISNUMBER($D134)),"",_xlfn.NORM.DIST(X$1,$D134,$E134,TRUE)-_xlfn.NORM.DIST(X$2,$D134,$E134,TRUE))</f>
        <v/>
      </c>
      <c r="Y134">
        <f>IF(NOT(ISNUMBER($D134)),"",_xlfn.NORM.DIST(Y$1,$D134,$E134,TRUE)-_xlfn.NORM.DIST(Y$2,$D134,$E134,TRUE))</f>
        <v/>
      </c>
      <c r="Z134">
        <f>IF(NOT(ISNUMBER($D134)),"",_xlfn.NORM.DIST(Z$1,$D134,$E134,TRUE)-_xlfn.NORM.DIST(Z$2,$D134,$E134,TRUE))</f>
        <v/>
      </c>
      <c r="AA134">
        <f>IF(NOT(ISNUMBER($D134)),"",_xlfn.NORM.DIST(AA$1,$D134,$E134,TRUE)-_xlfn.NORM.DIST(AA$2,$D134,$E134,TRUE))</f>
        <v/>
      </c>
      <c r="AB134">
        <f>IF(NOT(ISNUMBER($D134)),"",_xlfn.NORM.DIST(AB$1,$D134,$E134,TRUE)-_xlfn.NORM.DIST(AB$2,$D134,$E134,TRUE))</f>
        <v/>
      </c>
      <c r="AC134">
        <f>IF(NOT(ISNUMBER($D134)),"",_xlfn.NORM.DIST(AC$1,$D134,$E134,TRUE)-_xlfn.NORM.DIST(AC$2,$D134,$E134,TRUE))</f>
        <v/>
      </c>
      <c r="AD134">
        <f>IF(NOT(ISNUMBER($D134)),"",_xlfn.NORM.DIST(AD$1,$D134,$E134,TRUE)-_xlfn.NORM.DIST(AD$2,$D134,$E134,TRUE))</f>
        <v/>
      </c>
      <c r="AE134">
        <f>IF(NOT(ISNUMBER($D134)),"",_xlfn.NORM.DIST(AE$1,$D134,$E134,TRUE)-_xlfn.NORM.DIST(AE$2,$D134,$E134,TRUE))</f>
        <v/>
      </c>
      <c r="AF134">
        <f>IF(NOT(ISNUMBER($D134)),"",_xlfn.NORM.DIST(AF$1,$D134,$E134,TRUE)-_xlfn.NORM.DIST(AF$2,$D134,$E134,TRUE))</f>
        <v/>
      </c>
      <c r="AG134">
        <f>IF(NOT(ISNUMBER($D134)),"",_xlfn.NORM.DIST(AG$1,$D134,$E134,TRUE)-_xlfn.NORM.DIST(AG$2,$D134,$E134,TRUE))</f>
        <v/>
      </c>
      <c r="AH134">
        <f>IF(NOT(ISNUMBER($D134)),"",_xlfn.NORM.DIST(AH$1,$D134,$E134,TRUE)-_xlfn.NORM.DIST(AH$2,$D134,$E134,TRUE))</f>
        <v/>
      </c>
      <c r="AI134">
        <f>IF(NOT(ISNUMBER($D134)),"",_xlfn.NORM.DIST(AI$1,$D134,$E134,TRUE)-_xlfn.NORM.DIST(AI$2,$D134,$E134,TRUE))</f>
        <v/>
      </c>
      <c r="AJ134">
        <f>IF(NOT(ISNUMBER($D134)),"",_xlfn.NORM.DIST(AJ$1,$D134,$E134,TRUE)-_xlfn.NORM.DIST(AJ$2,$D134,$E134,TRUE))</f>
        <v/>
      </c>
      <c r="AK134">
        <f>IF(NOT(ISNUMBER($D134)),"",_xlfn.NORM.DIST(AK$1,$D134,$E134,TRUE)-_xlfn.NORM.DIST(AK$2,$D134,$E134,TRUE))</f>
        <v/>
      </c>
      <c r="AL134">
        <f>IF(NOT(ISNUMBER($D134)),"",_xlfn.NORM.DIST(AL$1,$D134,$E134,TRUE)-_xlfn.NORM.DIST(AL$2,$D134,$E134,TRUE))</f>
        <v/>
      </c>
      <c r="AM134">
        <f>IF(NOT(ISNUMBER($D134)),"",_xlfn.NORM.DIST(AM$1,$D134,$E134,TRUE)-_xlfn.NORM.DIST(AM$2,$D134,$E134,TRUE))</f>
        <v/>
      </c>
      <c r="AN134">
        <f>IF(NOT(ISNUMBER($D134)),"",_xlfn.NORM.DIST(AN$1,$D134,$E134,TRUE)-_xlfn.NORM.DIST(AN$2,$D134,$E134,TRUE))</f>
        <v/>
      </c>
      <c r="AO134">
        <f>IF(NOT(ISNUMBER($D134)),"",_xlfn.NORM.DIST(AO$1,$D134,$E134,TRUE)-_xlfn.NORM.DIST(AO$2,$D134,$E134,TRUE))</f>
        <v/>
      </c>
      <c r="AP134">
        <f>IF(NOT(ISNUMBER($D134)),"",_xlfn.NORM.DIST(AP$1,$D134,$E134,TRUE)-_xlfn.NORM.DIST(AP$2,$D134,$E134,TRUE))</f>
        <v/>
      </c>
      <c r="AQ134">
        <f>IF(NOT(ISNUMBER($D134)),"",_xlfn.NORM.DIST(AQ$1,$D134,$E134,TRUE)-_xlfn.NORM.DIST(AQ$2,$D134,$E134,TRUE))</f>
        <v/>
      </c>
      <c r="AR134">
        <f>IF(NOT(ISNUMBER($D134)),"",_xlfn.NORM.DIST(AR$1,$D134,$E134,TRUE)-_xlfn.NORM.DIST(AR$2,$D134,$E134,TRUE))</f>
        <v/>
      </c>
      <c r="AS134">
        <f>IF(NOT(ISNUMBER($D134)),"",_xlfn.NORM.DIST(AS$1,$D134,$E134,TRUE)-_xlfn.NORM.DIST(AS$2,$D134,$E134,TRUE))</f>
        <v/>
      </c>
      <c r="AT134">
        <f>IF(NOT(ISNUMBER($D134)),"",_xlfn.NORM.DIST(AT$1,$D134,$E134,TRUE)-_xlfn.NORM.DIST(AT$2,$D134,$E134,TRUE))</f>
        <v/>
      </c>
      <c r="AU134">
        <f>IF(NOT(ISNUMBER($D134)),"",_xlfn.NORM.DIST(AU$1,$D134,$E134,TRUE)-_xlfn.NORM.DIST(AU$2,$D134,$E134,TRUE))</f>
        <v/>
      </c>
      <c r="AV134">
        <f>IF(NOT(ISNUMBER($D134)),"",_xlfn.NORM.DIST(AV$1,$D134,$E134,TRUE)-_xlfn.NORM.DIST(AV$2,$D134,$E134,TRUE))</f>
        <v/>
      </c>
      <c r="AW134">
        <f>IF(NOT(ISNUMBER($D134)),"",_xlfn.NORM.DIST(AW$1,$D134,$E134,TRUE)-_xlfn.NORM.DIST(AW$2,$D134,$E134,TRUE))</f>
        <v/>
      </c>
      <c r="AX134">
        <f>IF(NOT(ISNUMBER($D134)),"",_xlfn.NORM.DIST(AX$1,$D134,$E134,TRUE)-_xlfn.NORM.DIST(AX$2,$D134,$E134,TRUE))</f>
        <v/>
      </c>
      <c r="AY134">
        <f>IF(NOT(ISNUMBER($D134)),"",_xlfn.NORM.DIST(AY$1,$D134,$E134,TRUE)-_xlfn.NORM.DIST(AY$2,$D134,$E134,TRUE))</f>
        <v/>
      </c>
      <c r="AZ134">
        <f>IF(NOT(ISNUMBER($D134)),"",_xlfn.NORM.DIST(AZ$1,$D134,$E134,TRUE)-_xlfn.NORM.DIST(AZ$2,$D134,$E134,TRUE))</f>
        <v/>
      </c>
      <c r="BA134">
        <f>IF(NOT(ISNUMBER($D134)),"",_xlfn.NORM.DIST(BA$1,$D134,$E134,TRUE)-_xlfn.NORM.DIST(BA$2,$D134,$E134,TRUE))</f>
        <v/>
      </c>
      <c r="BB134">
        <f>IF(NOT(ISNUMBER($D134)),"",_xlfn.NORM.DIST(BB$1,$D134,$E134,TRUE)-_xlfn.NORM.DIST(BB$2,$D134,$E134,TRUE))</f>
        <v/>
      </c>
      <c r="BC134">
        <f>IF(NOT(ISNUMBER($D134)),"",_xlfn.NORM.DIST(BC$1,$D134,$E134,TRUE)-_xlfn.NORM.DIST(BC$2,$D134,$E134,TRUE))</f>
        <v/>
      </c>
      <c r="BD134">
        <f>IF(NOT(ISNUMBER($D134)),"",_xlfn.NORM.DIST(BD$1,$D134,$E134,TRUE)-_xlfn.NORM.DIST(BD$2,$D134,$E134,TRUE))</f>
        <v/>
      </c>
      <c r="BE134">
        <f>IF(NOT(ISNUMBER($D134)),"",_xlfn.NORM.DIST(BE$1,$D134,$E134,TRUE)-_xlfn.NORM.DIST(BE$2,$D134,$E134,TRUE))</f>
        <v/>
      </c>
      <c r="BF134">
        <f>IF(NOT(ISNUMBER($D134)),"",_xlfn.NORM.DIST(BF$1,$D134,$E134,TRUE)-_xlfn.NORM.DIST(BF$2,$D134,$E134,TRUE))</f>
        <v/>
      </c>
      <c r="BG134">
        <f>IF(NOT(ISNUMBER($D134)),"",_xlfn.NORM.DIST(BG$1,$D134,$E134,TRUE)-_xlfn.NORM.DIST(BG$2,$D134,$E134,TRUE))</f>
        <v/>
      </c>
      <c r="BH134">
        <f>IF(NOT(ISNUMBER($D134)),"",_xlfn.NORM.DIST(BH$1,$D134,$E134,TRUE)-_xlfn.NORM.DIST(BH$2,$D134,$E134,TRUE))</f>
        <v/>
      </c>
      <c r="BI134">
        <f>IF(NOT(ISNUMBER($D134)),"",_xlfn.NORM.DIST(BI$1,$D134,$E134,TRUE)-_xlfn.NORM.DIST(BI$2,$D134,$E134,TRUE))</f>
        <v/>
      </c>
      <c r="BJ134">
        <f>IF(NOT(ISNUMBER($D134)),"",_xlfn.NORM.DIST(BJ$1,$D134,$E134,TRUE)-_xlfn.NORM.DIST(BJ$2,$D134,$E134,TRUE))</f>
        <v/>
      </c>
      <c r="BK134">
        <f>IF(NOT(ISNUMBER($D134)),"",_xlfn.NORM.DIST(BK$1,$D134,$E134,TRUE)-_xlfn.NORM.DIST(BK$2,$D134,$E134,TRUE))</f>
        <v/>
      </c>
      <c r="BL134">
        <f>IF(NOT(ISNUMBER($D134)),"",_xlfn.NORM.DIST(BL$1,$D134,$E134,TRUE)-_xlfn.NORM.DIST(BL$2,$D134,$E134,TRUE))</f>
        <v/>
      </c>
      <c r="BM134">
        <f>IF(NOT(ISNUMBER($D134)),"",_xlfn.NORM.DIST(BM$1,$D134,$E134,TRUE)-_xlfn.NORM.DIST(BM$2,$D134,$E134,TRUE))</f>
        <v/>
      </c>
      <c r="BN134">
        <f>IF(NOT(ISNUMBER($D134)),"",_xlfn.NORM.DIST(BN$1,$D134,$E134,TRUE)-_xlfn.NORM.DIST(BN$2,$D134,$E134,TRUE))</f>
        <v/>
      </c>
      <c r="BO134">
        <f>IF(NOT(ISNUMBER($D134)),"",_xlfn.NORM.DIST(BO$1,$D134,$E134,TRUE)-_xlfn.NORM.DIST(BO$2,$D134,$E134,TRUE))</f>
        <v/>
      </c>
      <c r="BP134">
        <f>IF(NOT(ISNUMBER($D134)),"",_xlfn.NORM.DIST(BP$1,$D134,$E134,TRUE)-_xlfn.NORM.DIST(BP$2,$D134,$E134,TRUE))</f>
        <v/>
      </c>
      <c r="BQ134">
        <f>IF(NOT(ISNUMBER($D134)),"",_xlfn.NORM.DIST(BQ$1,$D134,$E134,TRUE)-_xlfn.NORM.DIST(BQ$2,$D134,$E134,TRUE))</f>
        <v/>
      </c>
      <c r="BR134">
        <f>IF(NOT(ISNUMBER($D134)),"",_xlfn.NORM.DIST(BR$1,$D134,$E134,TRUE)-_xlfn.NORM.DIST(BR$2,$D134,$E134,TRUE))</f>
        <v/>
      </c>
      <c r="BS134">
        <f>IF(NOT(ISNUMBER($D134)),"",_xlfn.NORM.DIST(BS$1,$D134,$E134,TRUE)-_xlfn.NORM.DIST(BS$2,$D134,$E134,TRUE))</f>
        <v/>
      </c>
      <c r="BT134">
        <f>IF(NOT(ISNUMBER($D134)),"",_xlfn.NORM.DIST(BT$1,$D134,$E134,TRUE)-_xlfn.NORM.DIST(BT$2,$D134,$E134,TRUE))</f>
        <v/>
      </c>
      <c r="BU134">
        <f>IF(NOT(ISNUMBER($D134)),"",_xlfn.NORM.DIST(BU$1,$D134,$E134,TRUE)-_xlfn.NORM.DIST(BU$2,$D134,$E134,TRUE))</f>
        <v/>
      </c>
      <c r="BV134">
        <f>IF(NOT(ISNUMBER($D134)),"",_xlfn.NORM.DIST(BV$1,$D134,$E134,TRUE)-_xlfn.NORM.DIST(BV$2,$D134,$E134,TRUE))</f>
        <v/>
      </c>
      <c r="BW134">
        <f>IF(NOT(ISNUMBER($D134)),"",_xlfn.NORM.DIST(BW$1,$D134,$E134,TRUE)-_xlfn.NORM.DIST(BW$2,$D134,$E134,TRUE))</f>
        <v/>
      </c>
      <c r="BX134">
        <f>IF(NOT(ISNUMBER($D134)),"",_xlfn.NORM.DIST(BX$1,$D134,$E134,TRUE)-_xlfn.NORM.DIST(BX$2,$D134,$E134,TRUE))</f>
        <v/>
      </c>
      <c r="BY134">
        <f>IF(NOT(ISNUMBER($D134)),"",_xlfn.NORM.DIST(BY$1,$D134,$E134,TRUE)-_xlfn.NORM.DIST(BY$2,$D134,$E134,TRUE))</f>
        <v/>
      </c>
      <c r="BZ134">
        <f>IF(NOT(ISNUMBER($D134)),"",_xlfn.NORM.DIST(BZ$1,$D134,$E134,TRUE)-_xlfn.NORM.DIST(BZ$2,$D134,$E134,TRUE))</f>
        <v/>
      </c>
      <c r="CA134">
        <f>IF(NOT(ISNUMBER($D134)),"",_xlfn.NORM.DIST(CA$1,$D134,$E134,TRUE)-_xlfn.NORM.DIST(CA$2,$D134,$E134,TRUE))</f>
        <v/>
      </c>
      <c r="CB134">
        <f>IF(NOT(ISNUMBER($D134)),"",_xlfn.NORM.DIST(CB$1,$D134,$E134,TRUE)-_xlfn.NORM.DIST(CB$2,$D134,$E134,TRUE))</f>
        <v/>
      </c>
      <c r="CC134">
        <f>IF(NOT(ISNUMBER($D134)),"",_xlfn.NORM.DIST(CC$1,$D134,$E134,TRUE)-_xlfn.NORM.DIST(CC$2,$D134,$E134,TRUE))</f>
        <v/>
      </c>
      <c r="CD134">
        <f>IF(NOT(ISNUMBER($D134)),"",_xlfn.NORM.DIST(CD$1,$D134,$E134,TRUE)-_xlfn.NORM.DIST(CD$2,$D134,$E134,TRUE))</f>
        <v/>
      </c>
      <c r="CE134">
        <f>IF(NOT(ISNUMBER($D134)),"",_xlfn.NORM.DIST(CE$1,$D134,$E134,TRUE)-_xlfn.NORM.DIST(CE$2,$D134,$E134,TRUE))</f>
        <v/>
      </c>
      <c r="CF134">
        <f>IF(NOT(ISNUMBER($D134)),"",_xlfn.NORM.DIST(CF$1,$D134,$E134,TRUE)-_xlfn.NORM.DIST(CF$2,$D134,$E134,TRUE))</f>
        <v/>
      </c>
      <c r="CG134">
        <f>IF(NOT(ISNUMBER($D134)),"",_xlfn.NORM.DIST(CG$1,$D134,$E134,TRUE)-_xlfn.NORM.DIST(CG$2,$D134,$E134,TRUE))</f>
        <v/>
      </c>
      <c r="CH134">
        <f>IF(NOT(ISNUMBER($D134)),"",_xlfn.NORM.DIST(CH$1,$D134,$E134,TRUE)-_xlfn.NORM.DIST(CH$2,$D134,$E134,TRUE))</f>
        <v/>
      </c>
      <c r="CI134">
        <f>IF(NOT(ISNUMBER($D134)),"",_xlfn.NORM.DIST(CI$1,$D134,$E134,TRUE)-_xlfn.NORM.DIST(CI$2,$D134,$E134,TRUE))</f>
        <v/>
      </c>
      <c r="CJ134">
        <f>IF(ISNUMBER($D134),SUM(F134:CI134),"")</f>
        <v/>
      </c>
    </row>
    <row r="135">
      <c r="A135">
        <f>economics!A134</f>
        <v/>
      </c>
      <c r="B135">
        <f>economics!B134</f>
        <v/>
      </c>
      <c r="C135">
        <f>economics!D134</f>
        <v/>
      </c>
      <c r="D135">
        <f>IF(ISNUMBER(economics!T134),economics!T134,"na")</f>
        <v/>
      </c>
      <c r="E135">
        <f>IF(ISNUMBER(D135),MAX(0.3*ABS(D135),0.000001),"na")</f>
        <v/>
      </c>
      <c r="F135">
        <f>IF(NOT(ISNUMBER($D135)),"",_xlfn.NORM.DIST(F$1,$D135,$E135,TRUE)-_xlfn.NORM.DIST(F$2,$D135,$E135,TRUE))</f>
        <v/>
      </c>
      <c r="G135">
        <f>IF(NOT(ISNUMBER($D135)),"",_xlfn.NORM.DIST(G$1,$D135,$E135,TRUE)-_xlfn.NORM.DIST(G$2,$D135,$E135,TRUE))</f>
        <v/>
      </c>
      <c r="H135">
        <f>IF(NOT(ISNUMBER($D135)),"",_xlfn.NORM.DIST(H$1,$D135,$E135,TRUE)-_xlfn.NORM.DIST(H$2,$D135,$E135,TRUE))</f>
        <v/>
      </c>
      <c r="I135">
        <f>IF(NOT(ISNUMBER($D135)),"",_xlfn.NORM.DIST(I$1,$D135,$E135,TRUE)-_xlfn.NORM.DIST(I$2,$D135,$E135,TRUE))</f>
        <v/>
      </c>
      <c r="J135">
        <f>IF(NOT(ISNUMBER($D135)),"",_xlfn.NORM.DIST(J$1,$D135,$E135,TRUE)-_xlfn.NORM.DIST(J$2,$D135,$E135,TRUE))</f>
        <v/>
      </c>
      <c r="K135">
        <f>IF(NOT(ISNUMBER($D135)),"",_xlfn.NORM.DIST(K$1,$D135,$E135,TRUE)-_xlfn.NORM.DIST(K$2,$D135,$E135,TRUE))</f>
        <v/>
      </c>
      <c r="L135">
        <f>IF(NOT(ISNUMBER($D135)),"",_xlfn.NORM.DIST(L$1,$D135,$E135,TRUE)-_xlfn.NORM.DIST(L$2,$D135,$E135,TRUE))</f>
        <v/>
      </c>
      <c r="M135">
        <f>IF(NOT(ISNUMBER($D135)),"",_xlfn.NORM.DIST(M$1,$D135,$E135,TRUE)-_xlfn.NORM.DIST(M$2,$D135,$E135,TRUE))</f>
        <v/>
      </c>
      <c r="N135">
        <f>IF(NOT(ISNUMBER($D135)),"",_xlfn.NORM.DIST(N$1,$D135,$E135,TRUE)-_xlfn.NORM.DIST(N$2,$D135,$E135,TRUE))</f>
        <v/>
      </c>
      <c r="O135">
        <f>IF(NOT(ISNUMBER($D135)),"",_xlfn.NORM.DIST(O$1,$D135,$E135,TRUE)-_xlfn.NORM.DIST(O$2,$D135,$E135,TRUE))</f>
        <v/>
      </c>
      <c r="P135">
        <f>IF(NOT(ISNUMBER($D135)),"",_xlfn.NORM.DIST(P$1,$D135,$E135,TRUE)-_xlfn.NORM.DIST(P$2,$D135,$E135,TRUE))</f>
        <v/>
      </c>
      <c r="Q135">
        <f>IF(NOT(ISNUMBER($D135)),"",_xlfn.NORM.DIST(Q$1,$D135,$E135,TRUE)-_xlfn.NORM.DIST(Q$2,$D135,$E135,TRUE))</f>
        <v/>
      </c>
      <c r="R135">
        <f>IF(NOT(ISNUMBER($D135)),"",_xlfn.NORM.DIST(R$1,$D135,$E135,TRUE)-_xlfn.NORM.DIST(R$2,$D135,$E135,TRUE))</f>
        <v/>
      </c>
      <c r="S135">
        <f>IF(NOT(ISNUMBER($D135)),"",_xlfn.NORM.DIST(S$1,$D135,$E135,TRUE)-_xlfn.NORM.DIST(S$2,$D135,$E135,TRUE))</f>
        <v/>
      </c>
      <c r="T135">
        <f>IF(NOT(ISNUMBER($D135)),"",_xlfn.NORM.DIST(T$1,$D135,$E135,TRUE)-_xlfn.NORM.DIST(T$2,$D135,$E135,TRUE))</f>
        <v/>
      </c>
      <c r="U135">
        <f>IF(NOT(ISNUMBER($D135)),"",_xlfn.NORM.DIST(U$1,$D135,$E135,TRUE)-_xlfn.NORM.DIST(U$2,$D135,$E135,TRUE))</f>
        <v/>
      </c>
      <c r="V135">
        <f>IF(NOT(ISNUMBER($D135)),"",_xlfn.NORM.DIST(V$1,$D135,$E135,TRUE)-_xlfn.NORM.DIST(V$2,$D135,$E135,TRUE))</f>
        <v/>
      </c>
      <c r="W135">
        <f>IF(NOT(ISNUMBER($D135)),"",_xlfn.NORM.DIST(W$1,$D135,$E135,TRUE)-_xlfn.NORM.DIST(W$2,$D135,$E135,TRUE))</f>
        <v/>
      </c>
      <c r="X135">
        <f>IF(NOT(ISNUMBER($D135)),"",_xlfn.NORM.DIST(X$1,$D135,$E135,TRUE)-_xlfn.NORM.DIST(X$2,$D135,$E135,TRUE))</f>
        <v/>
      </c>
      <c r="Y135">
        <f>IF(NOT(ISNUMBER($D135)),"",_xlfn.NORM.DIST(Y$1,$D135,$E135,TRUE)-_xlfn.NORM.DIST(Y$2,$D135,$E135,TRUE))</f>
        <v/>
      </c>
      <c r="Z135">
        <f>IF(NOT(ISNUMBER($D135)),"",_xlfn.NORM.DIST(Z$1,$D135,$E135,TRUE)-_xlfn.NORM.DIST(Z$2,$D135,$E135,TRUE))</f>
        <v/>
      </c>
      <c r="AA135">
        <f>IF(NOT(ISNUMBER($D135)),"",_xlfn.NORM.DIST(AA$1,$D135,$E135,TRUE)-_xlfn.NORM.DIST(AA$2,$D135,$E135,TRUE))</f>
        <v/>
      </c>
      <c r="AB135">
        <f>IF(NOT(ISNUMBER($D135)),"",_xlfn.NORM.DIST(AB$1,$D135,$E135,TRUE)-_xlfn.NORM.DIST(AB$2,$D135,$E135,TRUE))</f>
        <v/>
      </c>
      <c r="AC135">
        <f>IF(NOT(ISNUMBER($D135)),"",_xlfn.NORM.DIST(AC$1,$D135,$E135,TRUE)-_xlfn.NORM.DIST(AC$2,$D135,$E135,TRUE))</f>
        <v/>
      </c>
      <c r="AD135">
        <f>IF(NOT(ISNUMBER($D135)),"",_xlfn.NORM.DIST(AD$1,$D135,$E135,TRUE)-_xlfn.NORM.DIST(AD$2,$D135,$E135,TRUE))</f>
        <v/>
      </c>
      <c r="AE135">
        <f>IF(NOT(ISNUMBER($D135)),"",_xlfn.NORM.DIST(AE$1,$D135,$E135,TRUE)-_xlfn.NORM.DIST(AE$2,$D135,$E135,TRUE))</f>
        <v/>
      </c>
      <c r="AF135">
        <f>IF(NOT(ISNUMBER($D135)),"",_xlfn.NORM.DIST(AF$1,$D135,$E135,TRUE)-_xlfn.NORM.DIST(AF$2,$D135,$E135,TRUE))</f>
        <v/>
      </c>
      <c r="AG135">
        <f>IF(NOT(ISNUMBER($D135)),"",_xlfn.NORM.DIST(AG$1,$D135,$E135,TRUE)-_xlfn.NORM.DIST(AG$2,$D135,$E135,TRUE))</f>
        <v/>
      </c>
      <c r="AH135">
        <f>IF(NOT(ISNUMBER($D135)),"",_xlfn.NORM.DIST(AH$1,$D135,$E135,TRUE)-_xlfn.NORM.DIST(AH$2,$D135,$E135,TRUE))</f>
        <v/>
      </c>
      <c r="AI135">
        <f>IF(NOT(ISNUMBER($D135)),"",_xlfn.NORM.DIST(AI$1,$D135,$E135,TRUE)-_xlfn.NORM.DIST(AI$2,$D135,$E135,TRUE))</f>
        <v/>
      </c>
      <c r="AJ135">
        <f>IF(NOT(ISNUMBER($D135)),"",_xlfn.NORM.DIST(AJ$1,$D135,$E135,TRUE)-_xlfn.NORM.DIST(AJ$2,$D135,$E135,TRUE))</f>
        <v/>
      </c>
      <c r="AK135">
        <f>IF(NOT(ISNUMBER($D135)),"",_xlfn.NORM.DIST(AK$1,$D135,$E135,TRUE)-_xlfn.NORM.DIST(AK$2,$D135,$E135,TRUE))</f>
        <v/>
      </c>
      <c r="AL135">
        <f>IF(NOT(ISNUMBER($D135)),"",_xlfn.NORM.DIST(AL$1,$D135,$E135,TRUE)-_xlfn.NORM.DIST(AL$2,$D135,$E135,TRUE))</f>
        <v/>
      </c>
      <c r="AM135">
        <f>IF(NOT(ISNUMBER($D135)),"",_xlfn.NORM.DIST(AM$1,$D135,$E135,TRUE)-_xlfn.NORM.DIST(AM$2,$D135,$E135,TRUE))</f>
        <v/>
      </c>
      <c r="AN135">
        <f>IF(NOT(ISNUMBER($D135)),"",_xlfn.NORM.DIST(AN$1,$D135,$E135,TRUE)-_xlfn.NORM.DIST(AN$2,$D135,$E135,TRUE))</f>
        <v/>
      </c>
      <c r="AO135">
        <f>IF(NOT(ISNUMBER($D135)),"",_xlfn.NORM.DIST(AO$1,$D135,$E135,TRUE)-_xlfn.NORM.DIST(AO$2,$D135,$E135,TRUE))</f>
        <v/>
      </c>
      <c r="AP135">
        <f>IF(NOT(ISNUMBER($D135)),"",_xlfn.NORM.DIST(AP$1,$D135,$E135,TRUE)-_xlfn.NORM.DIST(AP$2,$D135,$E135,TRUE))</f>
        <v/>
      </c>
      <c r="AQ135">
        <f>IF(NOT(ISNUMBER($D135)),"",_xlfn.NORM.DIST(AQ$1,$D135,$E135,TRUE)-_xlfn.NORM.DIST(AQ$2,$D135,$E135,TRUE))</f>
        <v/>
      </c>
      <c r="AR135">
        <f>IF(NOT(ISNUMBER($D135)),"",_xlfn.NORM.DIST(AR$1,$D135,$E135,TRUE)-_xlfn.NORM.DIST(AR$2,$D135,$E135,TRUE))</f>
        <v/>
      </c>
      <c r="AS135">
        <f>IF(NOT(ISNUMBER($D135)),"",_xlfn.NORM.DIST(AS$1,$D135,$E135,TRUE)-_xlfn.NORM.DIST(AS$2,$D135,$E135,TRUE))</f>
        <v/>
      </c>
      <c r="AT135">
        <f>IF(NOT(ISNUMBER($D135)),"",_xlfn.NORM.DIST(AT$1,$D135,$E135,TRUE)-_xlfn.NORM.DIST(AT$2,$D135,$E135,TRUE))</f>
        <v/>
      </c>
      <c r="AU135">
        <f>IF(NOT(ISNUMBER($D135)),"",_xlfn.NORM.DIST(AU$1,$D135,$E135,TRUE)-_xlfn.NORM.DIST(AU$2,$D135,$E135,TRUE))</f>
        <v/>
      </c>
      <c r="AV135">
        <f>IF(NOT(ISNUMBER($D135)),"",_xlfn.NORM.DIST(AV$1,$D135,$E135,TRUE)-_xlfn.NORM.DIST(AV$2,$D135,$E135,TRUE))</f>
        <v/>
      </c>
      <c r="AW135">
        <f>IF(NOT(ISNUMBER($D135)),"",_xlfn.NORM.DIST(AW$1,$D135,$E135,TRUE)-_xlfn.NORM.DIST(AW$2,$D135,$E135,TRUE))</f>
        <v/>
      </c>
      <c r="AX135">
        <f>IF(NOT(ISNUMBER($D135)),"",_xlfn.NORM.DIST(AX$1,$D135,$E135,TRUE)-_xlfn.NORM.DIST(AX$2,$D135,$E135,TRUE))</f>
        <v/>
      </c>
      <c r="AY135">
        <f>IF(NOT(ISNUMBER($D135)),"",_xlfn.NORM.DIST(AY$1,$D135,$E135,TRUE)-_xlfn.NORM.DIST(AY$2,$D135,$E135,TRUE))</f>
        <v/>
      </c>
      <c r="AZ135">
        <f>IF(NOT(ISNUMBER($D135)),"",_xlfn.NORM.DIST(AZ$1,$D135,$E135,TRUE)-_xlfn.NORM.DIST(AZ$2,$D135,$E135,TRUE))</f>
        <v/>
      </c>
      <c r="BA135">
        <f>IF(NOT(ISNUMBER($D135)),"",_xlfn.NORM.DIST(BA$1,$D135,$E135,TRUE)-_xlfn.NORM.DIST(BA$2,$D135,$E135,TRUE))</f>
        <v/>
      </c>
      <c r="BB135">
        <f>IF(NOT(ISNUMBER($D135)),"",_xlfn.NORM.DIST(BB$1,$D135,$E135,TRUE)-_xlfn.NORM.DIST(BB$2,$D135,$E135,TRUE))</f>
        <v/>
      </c>
      <c r="BC135">
        <f>IF(NOT(ISNUMBER($D135)),"",_xlfn.NORM.DIST(BC$1,$D135,$E135,TRUE)-_xlfn.NORM.DIST(BC$2,$D135,$E135,TRUE))</f>
        <v/>
      </c>
      <c r="BD135">
        <f>IF(NOT(ISNUMBER($D135)),"",_xlfn.NORM.DIST(BD$1,$D135,$E135,TRUE)-_xlfn.NORM.DIST(BD$2,$D135,$E135,TRUE))</f>
        <v/>
      </c>
      <c r="BE135">
        <f>IF(NOT(ISNUMBER($D135)),"",_xlfn.NORM.DIST(BE$1,$D135,$E135,TRUE)-_xlfn.NORM.DIST(BE$2,$D135,$E135,TRUE))</f>
        <v/>
      </c>
      <c r="BF135">
        <f>IF(NOT(ISNUMBER($D135)),"",_xlfn.NORM.DIST(BF$1,$D135,$E135,TRUE)-_xlfn.NORM.DIST(BF$2,$D135,$E135,TRUE))</f>
        <v/>
      </c>
      <c r="BG135">
        <f>IF(NOT(ISNUMBER($D135)),"",_xlfn.NORM.DIST(BG$1,$D135,$E135,TRUE)-_xlfn.NORM.DIST(BG$2,$D135,$E135,TRUE))</f>
        <v/>
      </c>
      <c r="BH135">
        <f>IF(NOT(ISNUMBER($D135)),"",_xlfn.NORM.DIST(BH$1,$D135,$E135,TRUE)-_xlfn.NORM.DIST(BH$2,$D135,$E135,TRUE))</f>
        <v/>
      </c>
      <c r="BI135">
        <f>IF(NOT(ISNUMBER($D135)),"",_xlfn.NORM.DIST(BI$1,$D135,$E135,TRUE)-_xlfn.NORM.DIST(BI$2,$D135,$E135,TRUE))</f>
        <v/>
      </c>
      <c r="BJ135">
        <f>IF(NOT(ISNUMBER($D135)),"",_xlfn.NORM.DIST(BJ$1,$D135,$E135,TRUE)-_xlfn.NORM.DIST(BJ$2,$D135,$E135,TRUE))</f>
        <v/>
      </c>
      <c r="BK135">
        <f>IF(NOT(ISNUMBER($D135)),"",_xlfn.NORM.DIST(BK$1,$D135,$E135,TRUE)-_xlfn.NORM.DIST(BK$2,$D135,$E135,TRUE))</f>
        <v/>
      </c>
      <c r="BL135">
        <f>IF(NOT(ISNUMBER($D135)),"",_xlfn.NORM.DIST(BL$1,$D135,$E135,TRUE)-_xlfn.NORM.DIST(BL$2,$D135,$E135,TRUE))</f>
        <v/>
      </c>
      <c r="BM135">
        <f>IF(NOT(ISNUMBER($D135)),"",_xlfn.NORM.DIST(BM$1,$D135,$E135,TRUE)-_xlfn.NORM.DIST(BM$2,$D135,$E135,TRUE))</f>
        <v/>
      </c>
      <c r="BN135">
        <f>IF(NOT(ISNUMBER($D135)),"",_xlfn.NORM.DIST(BN$1,$D135,$E135,TRUE)-_xlfn.NORM.DIST(BN$2,$D135,$E135,TRUE))</f>
        <v/>
      </c>
      <c r="BO135">
        <f>IF(NOT(ISNUMBER($D135)),"",_xlfn.NORM.DIST(BO$1,$D135,$E135,TRUE)-_xlfn.NORM.DIST(BO$2,$D135,$E135,TRUE))</f>
        <v/>
      </c>
      <c r="BP135">
        <f>IF(NOT(ISNUMBER($D135)),"",_xlfn.NORM.DIST(BP$1,$D135,$E135,TRUE)-_xlfn.NORM.DIST(BP$2,$D135,$E135,TRUE))</f>
        <v/>
      </c>
      <c r="BQ135">
        <f>IF(NOT(ISNUMBER($D135)),"",_xlfn.NORM.DIST(BQ$1,$D135,$E135,TRUE)-_xlfn.NORM.DIST(BQ$2,$D135,$E135,TRUE))</f>
        <v/>
      </c>
      <c r="BR135">
        <f>IF(NOT(ISNUMBER($D135)),"",_xlfn.NORM.DIST(BR$1,$D135,$E135,TRUE)-_xlfn.NORM.DIST(BR$2,$D135,$E135,TRUE))</f>
        <v/>
      </c>
      <c r="BS135">
        <f>IF(NOT(ISNUMBER($D135)),"",_xlfn.NORM.DIST(BS$1,$D135,$E135,TRUE)-_xlfn.NORM.DIST(BS$2,$D135,$E135,TRUE))</f>
        <v/>
      </c>
      <c r="BT135">
        <f>IF(NOT(ISNUMBER($D135)),"",_xlfn.NORM.DIST(BT$1,$D135,$E135,TRUE)-_xlfn.NORM.DIST(BT$2,$D135,$E135,TRUE))</f>
        <v/>
      </c>
      <c r="BU135">
        <f>IF(NOT(ISNUMBER($D135)),"",_xlfn.NORM.DIST(BU$1,$D135,$E135,TRUE)-_xlfn.NORM.DIST(BU$2,$D135,$E135,TRUE))</f>
        <v/>
      </c>
      <c r="BV135">
        <f>IF(NOT(ISNUMBER($D135)),"",_xlfn.NORM.DIST(BV$1,$D135,$E135,TRUE)-_xlfn.NORM.DIST(BV$2,$D135,$E135,TRUE))</f>
        <v/>
      </c>
      <c r="BW135">
        <f>IF(NOT(ISNUMBER($D135)),"",_xlfn.NORM.DIST(BW$1,$D135,$E135,TRUE)-_xlfn.NORM.DIST(BW$2,$D135,$E135,TRUE))</f>
        <v/>
      </c>
      <c r="BX135">
        <f>IF(NOT(ISNUMBER($D135)),"",_xlfn.NORM.DIST(BX$1,$D135,$E135,TRUE)-_xlfn.NORM.DIST(BX$2,$D135,$E135,TRUE))</f>
        <v/>
      </c>
      <c r="BY135">
        <f>IF(NOT(ISNUMBER($D135)),"",_xlfn.NORM.DIST(BY$1,$D135,$E135,TRUE)-_xlfn.NORM.DIST(BY$2,$D135,$E135,TRUE))</f>
        <v/>
      </c>
      <c r="BZ135">
        <f>IF(NOT(ISNUMBER($D135)),"",_xlfn.NORM.DIST(BZ$1,$D135,$E135,TRUE)-_xlfn.NORM.DIST(BZ$2,$D135,$E135,TRUE))</f>
        <v/>
      </c>
      <c r="CA135">
        <f>IF(NOT(ISNUMBER($D135)),"",_xlfn.NORM.DIST(CA$1,$D135,$E135,TRUE)-_xlfn.NORM.DIST(CA$2,$D135,$E135,TRUE))</f>
        <v/>
      </c>
      <c r="CB135">
        <f>IF(NOT(ISNUMBER($D135)),"",_xlfn.NORM.DIST(CB$1,$D135,$E135,TRUE)-_xlfn.NORM.DIST(CB$2,$D135,$E135,TRUE))</f>
        <v/>
      </c>
      <c r="CC135">
        <f>IF(NOT(ISNUMBER($D135)),"",_xlfn.NORM.DIST(CC$1,$D135,$E135,TRUE)-_xlfn.NORM.DIST(CC$2,$D135,$E135,TRUE))</f>
        <v/>
      </c>
      <c r="CD135">
        <f>IF(NOT(ISNUMBER($D135)),"",_xlfn.NORM.DIST(CD$1,$D135,$E135,TRUE)-_xlfn.NORM.DIST(CD$2,$D135,$E135,TRUE))</f>
        <v/>
      </c>
      <c r="CE135">
        <f>IF(NOT(ISNUMBER($D135)),"",_xlfn.NORM.DIST(CE$1,$D135,$E135,TRUE)-_xlfn.NORM.DIST(CE$2,$D135,$E135,TRUE))</f>
        <v/>
      </c>
      <c r="CF135">
        <f>IF(NOT(ISNUMBER($D135)),"",_xlfn.NORM.DIST(CF$1,$D135,$E135,TRUE)-_xlfn.NORM.DIST(CF$2,$D135,$E135,TRUE))</f>
        <v/>
      </c>
      <c r="CG135">
        <f>IF(NOT(ISNUMBER($D135)),"",_xlfn.NORM.DIST(CG$1,$D135,$E135,TRUE)-_xlfn.NORM.DIST(CG$2,$D135,$E135,TRUE))</f>
        <v/>
      </c>
      <c r="CH135">
        <f>IF(NOT(ISNUMBER($D135)),"",_xlfn.NORM.DIST(CH$1,$D135,$E135,TRUE)-_xlfn.NORM.DIST(CH$2,$D135,$E135,TRUE))</f>
        <v/>
      </c>
      <c r="CI135">
        <f>IF(NOT(ISNUMBER($D135)),"",_xlfn.NORM.DIST(CI$1,$D135,$E135,TRUE)-_xlfn.NORM.DIST(CI$2,$D135,$E135,TRUE))</f>
        <v/>
      </c>
      <c r="CJ135">
        <f>IF(ISNUMBER($D135),SUM(F135:CI135),"")</f>
        <v/>
      </c>
    </row>
    <row r="136">
      <c r="A136">
        <f>economics!A135</f>
        <v/>
      </c>
      <c r="B136">
        <f>economics!B135</f>
        <v/>
      </c>
      <c r="C136">
        <f>economics!D135</f>
        <v/>
      </c>
      <c r="D136">
        <f>IF(ISNUMBER(economics!T135),economics!T135,"na")</f>
        <v/>
      </c>
      <c r="E136">
        <f>IF(ISNUMBER(D136),MAX(0.3*ABS(D136),0.000001),"na")</f>
        <v/>
      </c>
      <c r="F136">
        <f>IF(NOT(ISNUMBER($D136)),"",_xlfn.NORM.DIST(F$1,$D136,$E136,TRUE)-_xlfn.NORM.DIST(F$2,$D136,$E136,TRUE))</f>
        <v/>
      </c>
      <c r="G136">
        <f>IF(NOT(ISNUMBER($D136)),"",_xlfn.NORM.DIST(G$1,$D136,$E136,TRUE)-_xlfn.NORM.DIST(G$2,$D136,$E136,TRUE))</f>
        <v/>
      </c>
      <c r="H136">
        <f>IF(NOT(ISNUMBER($D136)),"",_xlfn.NORM.DIST(H$1,$D136,$E136,TRUE)-_xlfn.NORM.DIST(H$2,$D136,$E136,TRUE))</f>
        <v/>
      </c>
      <c r="I136">
        <f>IF(NOT(ISNUMBER($D136)),"",_xlfn.NORM.DIST(I$1,$D136,$E136,TRUE)-_xlfn.NORM.DIST(I$2,$D136,$E136,TRUE))</f>
        <v/>
      </c>
      <c r="J136">
        <f>IF(NOT(ISNUMBER($D136)),"",_xlfn.NORM.DIST(J$1,$D136,$E136,TRUE)-_xlfn.NORM.DIST(J$2,$D136,$E136,TRUE))</f>
        <v/>
      </c>
      <c r="K136">
        <f>IF(NOT(ISNUMBER($D136)),"",_xlfn.NORM.DIST(K$1,$D136,$E136,TRUE)-_xlfn.NORM.DIST(K$2,$D136,$E136,TRUE))</f>
        <v/>
      </c>
      <c r="L136">
        <f>IF(NOT(ISNUMBER($D136)),"",_xlfn.NORM.DIST(L$1,$D136,$E136,TRUE)-_xlfn.NORM.DIST(L$2,$D136,$E136,TRUE))</f>
        <v/>
      </c>
      <c r="M136">
        <f>IF(NOT(ISNUMBER($D136)),"",_xlfn.NORM.DIST(M$1,$D136,$E136,TRUE)-_xlfn.NORM.DIST(M$2,$D136,$E136,TRUE))</f>
        <v/>
      </c>
      <c r="N136">
        <f>IF(NOT(ISNUMBER($D136)),"",_xlfn.NORM.DIST(N$1,$D136,$E136,TRUE)-_xlfn.NORM.DIST(N$2,$D136,$E136,TRUE))</f>
        <v/>
      </c>
      <c r="O136">
        <f>IF(NOT(ISNUMBER($D136)),"",_xlfn.NORM.DIST(O$1,$D136,$E136,TRUE)-_xlfn.NORM.DIST(O$2,$D136,$E136,TRUE))</f>
        <v/>
      </c>
      <c r="P136">
        <f>IF(NOT(ISNUMBER($D136)),"",_xlfn.NORM.DIST(P$1,$D136,$E136,TRUE)-_xlfn.NORM.DIST(P$2,$D136,$E136,TRUE))</f>
        <v/>
      </c>
      <c r="Q136">
        <f>IF(NOT(ISNUMBER($D136)),"",_xlfn.NORM.DIST(Q$1,$D136,$E136,TRUE)-_xlfn.NORM.DIST(Q$2,$D136,$E136,TRUE))</f>
        <v/>
      </c>
      <c r="R136">
        <f>IF(NOT(ISNUMBER($D136)),"",_xlfn.NORM.DIST(R$1,$D136,$E136,TRUE)-_xlfn.NORM.DIST(R$2,$D136,$E136,TRUE))</f>
        <v/>
      </c>
      <c r="S136">
        <f>IF(NOT(ISNUMBER($D136)),"",_xlfn.NORM.DIST(S$1,$D136,$E136,TRUE)-_xlfn.NORM.DIST(S$2,$D136,$E136,TRUE))</f>
        <v/>
      </c>
      <c r="T136">
        <f>IF(NOT(ISNUMBER($D136)),"",_xlfn.NORM.DIST(T$1,$D136,$E136,TRUE)-_xlfn.NORM.DIST(T$2,$D136,$E136,TRUE))</f>
        <v/>
      </c>
      <c r="U136">
        <f>IF(NOT(ISNUMBER($D136)),"",_xlfn.NORM.DIST(U$1,$D136,$E136,TRUE)-_xlfn.NORM.DIST(U$2,$D136,$E136,TRUE))</f>
        <v/>
      </c>
      <c r="V136">
        <f>IF(NOT(ISNUMBER($D136)),"",_xlfn.NORM.DIST(V$1,$D136,$E136,TRUE)-_xlfn.NORM.DIST(V$2,$D136,$E136,TRUE))</f>
        <v/>
      </c>
      <c r="W136">
        <f>IF(NOT(ISNUMBER($D136)),"",_xlfn.NORM.DIST(W$1,$D136,$E136,TRUE)-_xlfn.NORM.DIST(W$2,$D136,$E136,TRUE))</f>
        <v/>
      </c>
      <c r="X136">
        <f>IF(NOT(ISNUMBER($D136)),"",_xlfn.NORM.DIST(X$1,$D136,$E136,TRUE)-_xlfn.NORM.DIST(X$2,$D136,$E136,TRUE))</f>
        <v/>
      </c>
      <c r="Y136">
        <f>IF(NOT(ISNUMBER($D136)),"",_xlfn.NORM.DIST(Y$1,$D136,$E136,TRUE)-_xlfn.NORM.DIST(Y$2,$D136,$E136,TRUE))</f>
        <v/>
      </c>
      <c r="Z136">
        <f>IF(NOT(ISNUMBER($D136)),"",_xlfn.NORM.DIST(Z$1,$D136,$E136,TRUE)-_xlfn.NORM.DIST(Z$2,$D136,$E136,TRUE))</f>
        <v/>
      </c>
      <c r="AA136">
        <f>IF(NOT(ISNUMBER($D136)),"",_xlfn.NORM.DIST(AA$1,$D136,$E136,TRUE)-_xlfn.NORM.DIST(AA$2,$D136,$E136,TRUE))</f>
        <v/>
      </c>
      <c r="AB136">
        <f>IF(NOT(ISNUMBER($D136)),"",_xlfn.NORM.DIST(AB$1,$D136,$E136,TRUE)-_xlfn.NORM.DIST(AB$2,$D136,$E136,TRUE))</f>
        <v/>
      </c>
      <c r="AC136">
        <f>IF(NOT(ISNUMBER($D136)),"",_xlfn.NORM.DIST(AC$1,$D136,$E136,TRUE)-_xlfn.NORM.DIST(AC$2,$D136,$E136,TRUE))</f>
        <v/>
      </c>
      <c r="AD136">
        <f>IF(NOT(ISNUMBER($D136)),"",_xlfn.NORM.DIST(AD$1,$D136,$E136,TRUE)-_xlfn.NORM.DIST(AD$2,$D136,$E136,TRUE))</f>
        <v/>
      </c>
      <c r="AE136">
        <f>IF(NOT(ISNUMBER($D136)),"",_xlfn.NORM.DIST(AE$1,$D136,$E136,TRUE)-_xlfn.NORM.DIST(AE$2,$D136,$E136,TRUE))</f>
        <v/>
      </c>
      <c r="AF136">
        <f>IF(NOT(ISNUMBER($D136)),"",_xlfn.NORM.DIST(AF$1,$D136,$E136,TRUE)-_xlfn.NORM.DIST(AF$2,$D136,$E136,TRUE))</f>
        <v/>
      </c>
      <c r="AG136">
        <f>IF(NOT(ISNUMBER($D136)),"",_xlfn.NORM.DIST(AG$1,$D136,$E136,TRUE)-_xlfn.NORM.DIST(AG$2,$D136,$E136,TRUE))</f>
        <v/>
      </c>
      <c r="AH136">
        <f>IF(NOT(ISNUMBER($D136)),"",_xlfn.NORM.DIST(AH$1,$D136,$E136,TRUE)-_xlfn.NORM.DIST(AH$2,$D136,$E136,TRUE))</f>
        <v/>
      </c>
      <c r="AI136">
        <f>IF(NOT(ISNUMBER($D136)),"",_xlfn.NORM.DIST(AI$1,$D136,$E136,TRUE)-_xlfn.NORM.DIST(AI$2,$D136,$E136,TRUE))</f>
        <v/>
      </c>
      <c r="AJ136">
        <f>IF(NOT(ISNUMBER($D136)),"",_xlfn.NORM.DIST(AJ$1,$D136,$E136,TRUE)-_xlfn.NORM.DIST(AJ$2,$D136,$E136,TRUE))</f>
        <v/>
      </c>
      <c r="AK136">
        <f>IF(NOT(ISNUMBER($D136)),"",_xlfn.NORM.DIST(AK$1,$D136,$E136,TRUE)-_xlfn.NORM.DIST(AK$2,$D136,$E136,TRUE))</f>
        <v/>
      </c>
      <c r="AL136">
        <f>IF(NOT(ISNUMBER($D136)),"",_xlfn.NORM.DIST(AL$1,$D136,$E136,TRUE)-_xlfn.NORM.DIST(AL$2,$D136,$E136,TRUE))</f>
        <v/>
      </c>
      <c r="AM136">
        <f>IF(NOT(ISNUMBER($D136)),"",_xlfn.NORM.DIST(AM$1,$D136,$E136,TRUE)-_xlfn.NORM.DIST(AM$2,$D136,$E136,TRUE))</f>
        <v/>
      </c>
      <c r="AN136">
        <f>IF(NOT(ISNUMBER($D136)),"",_xlfn.NORM.DIST(AN$1,$D136,$E136,TRUE)-_xlfn.NORM.DIST(AN$2,$D136,$E136,TRUE))</f>
        <v/>
      </c>
      <c r="AO136">
        <f>IF(NOT(ISNUMBER($D136)),"",_xlfn.NORM.DIST(AO$1,$D136,$E136,TRUE)-_xlfn.NORM.DIST(AO$2,$D136,$E136,TRUE))</f>
        <v/>
      </c>
      <c r="AP136">
        <f>IF(NOT(ISNUMBER($D136)),"",_xlfn.NORM.DIST(AP$1,$D136,$E136,TRUE)-_xlfn.NORM.DIST(AP$2,$D136,$E136,TRUE))</f>
        <v/>
      </c>
      <c r="AQ136">
        <f>IF(NOT(ISNUMBER($D136)),"",_xlfn.NORM.DIST(AQ$1,$D136,$E136,TRUE)-_xlfn.NORM.DIST(AQ$2,$D136,$E136,TRUE))</f>
        <v/>
      </c>
      <c r="AR136">
        <f>IF(NOT(ISNUMBER($D136)),"",_xlfn.NORM.DIST(AR$1,$D136,$E136,TRUE)-_xlfn.NORM.DIST(AR$2,$D136,$E136,TRUE))</f>
        <v/>
      </c>
      <c r="AS136">
        <f>IF(NOT(ISNUMBER($D136)),"",_xlfn.NORM.DIST(AS$1,$D136,$E136,TRUE)-_xlfn.NORM.DIST(AS$2,$D136,$E136,TRUE))</f>
        <v/>
      </c>
      <c r="AT136">
        <f>IF(NOT(ISNUMBER($D136)),"",_xlfn.NORM.DIST(AT$1,$D136,$E136,TRUE)-_xlfn.NORM.DIST(AT$2,$D136,$E136,TRUE))</f>
        <v/>
      </c>
      <c r="AU136">
        <f>IF(NOT(ISNUMBER($D136)),"",_xlfn.NORM.DIST(AU$1,$D136,$E136,TRUE)-_xlfn.NORM.DIST(AU$2,$D136,$E136,TRUE))</f>
        <v/>
      </c>
      <c r="AV136">
        <f>IF(NOT(ISNUMBER($D136)),"",_xlfn.NORM.DIST(AV$1,$D136,$E136,TRUE)-_xlfn.NORM.DIST(AV$2,$D136,$E136,TRUE))</f>
        <v/>
      </c>
      <c r="AW136">
        <f>IF(NOT(ISNUMBER($D136)),"",_xlfn.NORM.DIST(AW$1,$D136,$E136,TRUE)-_xlfn.NORM.DIST(AW$2,$D136,$E136,TRUE))</f>
        <v/>
      </c>
      <c r="AX136">
        <f>IF(NOT(ISNUMBER($D136)),"",_xlfn.NORM.DIST(AX$1,$D136,$E136,TRUE)-_xlfn.NORM.DIST(AX$2,$D136,$E136,TRUE))</f>
        <v/>
      </c>
      <c r="AY136">
        <f>IF(NOT(ISNUMBER($D136)),"",_xlfn.NORM.DIST(AY$1,$D136,$E136,TRUE)-_xlfn.NORM.DIST(AY$2,$D136,$E136,TRUE))</f>
        <v/>
      </c>
      <c r="AZ136">
        <f>IF(NOT(ISNUMBER($D136)),"",_xlfn.NORM.DIST(AZ$1,$D136,$E136,TRUE)-_xlfn.NORM.DIST(AZ$2,$D136,$E136,TRUE))</f>
        <v/>
      </c>
      <c r="BA136">
        <f>IF(NOT(ISNUMBER($D136)),"",_xlfn.NORM.DIST(BA$1,$D136,$E136,TRUE)-_xlfn.NORM.DIST(BA$2,$D136,$E136,TRUE))</f>
        <v/>
      </c>
      <c r="BB136">
        <f>IF(NOT(ISNUMBER($D136)),"",_xlfn.NORM.DIST(BB$1,$D136,$E136,TRUE)-_xlfn.NORM.DIST(BB$2,$D136,$E136,TRUE))</f>
        <v/>
      </c>
      <c r="BC136">
        <f>IF(NOT(ISNUMBER($D136)),"",_xlfn.NORM.DIST(BC$1,$D136,$E136,TRUE)-_xlfn.NORM.DIST(BC$2,$D136,$E136,TRUE))</f>
        <v/>
      </c>
      <c r="BD136">
        <f>IF(NOT(ISNUMBER($D136)),"",_xlfn.NORM.DIST(BD$1,$D136,$E136,TRUE)-_xlfn.NORM.DIST(BD$2,$D136,$E136,TRUE))</f>
        <v/>
      </c>
      <c r="BE136">
        <f>IF(NOT(ISNUMBER($D136)),"",_xlfn.NORM.DIST(BE$1,$D136,$E136,TRUE)-_xlfn.NORM.DIST(BE$2,$D136,$E136,TRUE))</f>
        <v/>
      </c>
      <c r="BF136">
        <f>IF(NOT(ISNUMBER($D136)),"",_xlfn.NORM.DIST(BF$1,$D136,$E136,TRUE)-_xlfn.NORM.DIST(BF$2,$D136,$E136,TRUE))</f>
        <v/>
      </c>
      <c r="BG136">
        <f>IF(NOT(ISNUMBER($D136)),"",_xlfn.NORM.DIST(BG$1,$D136,$E136,TRUE)-_xlfn.NORM.DIST(BG$2,$D136,$E136,TRUE))</f>
        <v/>
      </c>
      <c r="BH136">
        <f>IF(NOT(ISNUMBER($D136)),"",_xlfn.NORM.DIST(BH$1,$D136,$E136,TRUE)-_xlfn.NORM.DIST(BH$2,$D136,$E136,TRUE))</f>
        <v/>
      </c>
      <c r="BI136">
        <f>IF(NOT(ISNUMBER($D136)),"",_xlfn.NORM.DIST(BI$1,$D136,$E136,TRUE)-_xlfn.NORM.DIST(BI$2,$D136,$E136,TRUE))</f>
        <v/>
      </c>
      <c r="BJ136">
        <f>IF(NOT(ISNUMBER($D136)),"",_xlfn.NORM.DIST(BJ$1,$D136,$E136,TRUE)-_xlfn.NORM.DIST(BJ$2,$D136,$E136,TRUE))</f>
        <v/>
      </c>
      <c r="BK136">
        <f>IF(NOT(ISNUMBER($D136)),"",_xlfn.NORM.DIST(BK$1,$D136,$E136,TRUE)-_xlfn.NORM.DIST(BK$2,$D136,$E136,TRUE))</f>
        <v/>
      </c>
      <c r="BL136">
        <f>IF(NOT(ISNUMBER($D136)),"",_xlfn.NORM.DIST(BL$1,$D136,$E136,TRUE)-_xlfn.NORM.DIST(BL$2,$D136,$E136,TRUE))</f>
        <v/>
      </c>
      <c r="BM136">
        <f>IF(NOT(ISNUMBER($D136)),"",_xlfn.NORM.DIST(BM$1,$D136,$E136,TRUE)-_xlfn.NORM.DIST(BM$2,$D136,$E136,TRUE))</f>
        <v/>
      </c>
      <c r="BN136">
        <f>IF(NOT(ISNUMBER($D136)),"",_xlfn.NORM.DIST(BN$1,$D136,$E136,TRUE)-_xlfn.NORM.DIST(BN$2,$D136,$E136,TRUE))</f>
        <v/>
      </c>
      <c r="BO136">
        <f>IF(NOT(ISNUMBER($D136)),"",_xlfn.NORM.DIST(BO$1,$D136,$E136,TRUE)-_xlfn.NORM.DIST(BO$2,$D136,$E136,TRUE))</f>
        <v/>
      </c>
      <c r="BP136">
        <f>IF(NOT(ISNUMBER($D136)),"",_xlfn.NORM.DIST(BP$1,$D136,$E136,TRUE)-_xlfn.NORM.DIST(BP$2,$D136,$E136,TRUE))</f>
        <v/>
      </c>
      <c r="BQ136">
        <f>IF(NOT(ISNUMBER($D136)),"",_xlfn.NORM.DIST(BQ$1,$D136,$E136,TRUE)-_xlfn.NORM.DIST(BQ$2,$D136,$E136,TRUE))</f>
        <v/>
      </c>
      <c r="BR136">
        <f>IF(NOT(ISNUMBER($D136)),"",_xlfn.NORM.DIST(BR$1,$D136,$E136,TRUE)-_xlfn.NORM.DIST(BR$2,$D136,$E136,TRUE))</f>
        <v/>
      </c>
      <c r="BS136">
        <f>IF(NOT(ISNUMBER($D136)),"",_xlfn.NORM.DIST(BS$1,$D136,$E136,TRUE)-_xlfn.NORM.DIST(BS$2,$D136,$E136,TRUE))</f>
        <v/>
      </c>
      <c r="BT136">
        <f>IF(NOT(ISNUMBER($D136)),"",_xlfn.NORM.DIST(BT$1,$D136,$E136,TRUE)-_xlfn.NORM.DIST(BT$2,$D136,$E136,TRUE))</f>
        <v/>
      </c>
      <c r="BU136">
        <f>IF(NOT(ISNUMBER($D136)),"",_xlfn.NORM.DIST(BU$1,$D136,$E136,TRUE)-_xlfn.NORM.DIST(BU$2,$D136,$E136,TRUE))</f>
        <v/>
      </c>
      <c r="BV136">
        <f>IF(NOT(ISNUMBER($D136)),"",_xlfn.NORM.DIST(BV$1,$D136,$E136,TRUE)-_xlfn.NORM.DIST(BV$2,$D136,$E136,TRUE))</f>
        <v/>
      </c>
      <c r="BW136">
        <f>IF(NOT(ISNUMBER($D136)),"",_xlfn.NORM.DIST(BW$1,$D136,$E136,TRUE)-_xlfn.NORM.DIST(BW$2,$D136,$E136,TRUE))</f>
        <v/>
      </c>
      <c r="BX136">
        <f>IF(NOT(ISNUMBER($D136)),"",_xlfn.NORM.DIST(BX$1,$D136,$E136,TRUE)-_xlfn.NORM.DIST(BX$2,$D136,$E136,TRUE))</f>
        <v/>
      </c>
      <c r="BY136">
        <f>IF(NOT(ISNUMBER($D136)),"",_xlfn.NORM.DIST(BY$1,$D136,$E136,TRUE)-_xlfn.NORM.DIST(BY$2,$D136,$E136,TRUE))</f>
        <v/>
      </c>
      <c r="BZ136">
        <f>IF(NOT(ISNUMBER($D136)),"",_xlfn.NORM.DIST(BZ$1,$D136,$E136,TRUE)-_xlfn.NORM.DIST(BZ$2,$D136,$E136,TRUE))</f>
        <v/>
      </c>
      <c r="CA136">
        <f>IF(NOT(ISNUMBER($D136)),"",_xlfn.NORM.DIST(CA$1,$D136,$E136,TRUE)-_xlfn.NORM.DIST(CA$2,$D136,$E136,TRUE))</f>
        <v/>
      </c>
      <c r="CB136">
        <f>IF(NOT(ISNUMBER($D136)),"",_xlfn.NORM.DIST(CB$1,$D136,$E136,TRUE)-_xlfn.NORM.DIST(CB$2,$D136,$E136,TRUE))</f>
        <v/>
      </c>
      <c r="CC136">
        <f>IF(NOT(ISNUMBER($D136)),"",_xlfn.NORM.DIST(CC$1,$D136,$E136,TRUE)-_xlfn.NORM.DIST(CC$2,$D136,$E136,TRUE))</f>
        <v/>
      </c>
      <c r="CD136">
        <f>IF(NOT(ISNUMBER($D136)),"",_xlfn.NORM.DIST(CD$1,$D136,$E136,TRUE)-_xlfn.NORM.DIST(CD$2,$D136,$E136,TRUE))</f>
        <v/>
      </c>
      <c r="CE136">
        <f>IF(NOT(ISNUMBER($D136)),"",_xlfn.NORM.DIST(CE$1,$D136,$E136,TRUE)-_xlfn.NORM.DIST(CE$2,$D136,$E136,TRUE))</f>
        <v/>
      </c>
      <c r="CF136">
        <f>IF(NOT(ISNUMBER($D136)),"",_xlfn.NORM.DIST(CF$1,$D136,$E136,TRUE)-_xlfn.NORM.DIST(CF$2,$D136,$E136,TRUE))</f>
        <v/>
      </c>
      <c r="CG136">
        <f>IF(NOT(ISNUMBER($D136)),"",_xlfn.NORM.DIST(CG$1,$D136,$E136,TRUE)-_xlfn.NORM.DIST(CG$2,$D136,$E136,TRUE))</f>
        <v/>
      </c>
      <c r="CH136">
        <f>IF(NOT(ISNUMBER($D136)),"",_xlfn.NORM.DIST(CH$1,$D136,$E136,TRUE)-_xlfn.NORM.DIST(CH$2,$D136,$E136,TRUE))</f>
        <v/>
      </c>
      <c r="CI136">
        <f>IF(NOT(ISNUMBER($D136)),"",_xlfn.NORM.DIST(CI$1,$D136,$E136,TRUE)-_xlfn.NORM.DIST(CI$2,$D136,$E136,TRUE))</f>
        <v/>
      </c>
      <c r="CJ136">
        <f>IF(ISNUMBER($D136),SUM(F136:CI136),"")</f>
        <v/>
      </c>
    </row>
    <row r="137">
      <c r="A137">
        <f>economics!A136</f>
        <v/>
      </c>
      <c r="B137">
        <f>economics!B136</f>
        <v/>
      </c>
      <c r="C137">
        <f>economics!D136</f>
        <v/>
      </c>
      <c r="D137">
        <f>IF(ISNUMBER(economics!T136),economics!T136,"na")</f>
        <v/>
      </c>
      <c r="E137">
        <f>IF(ISNUMBER(D137),MAX(0.3*ABS(D137),0.000001),"na")</f>
        <v/>
      </c>
      <c r="F137">
        <f>IF(NOT(ISNUMBER($D137)),"",_xlfn.NORM.DIST(F$1,$D137,$E137,TRUE)-_xlfn.NORM.DIST(F$2,$D137,$E137,TRUE))</f>
        <v/>
      </c>
      <c r="G137">
        <f>IF(NOT(ISNUMBER($D137)),"",_xlfn.NORM.DIST(G$1,$D137,$E137,TRUE)-_xlfn.NORM.DIST(G$2,$D137,$E137,TRUE))</f>
        <v/>
      </c>
      <c r="H137">
        <f>IF(NOT(ISNUMBER($D137)),"",_xlfn.NORM.DIST(H$1,$D137,$E137,TRUE)-_xlfn.NORM.DIST(H$2,$D137,$E137,TRUE))</f>
        <v/>
      </c>
      <c r="I137">
        <f>IF(NOT(ISNUMBER($D137)),"",_xlfn.NORM.DIST(I$1,$D137,$E137,TRUE)-_xlfn.NORM.DIST(I$2,$D137,$E137,TRUE))</f>
        <v/>
      </c>
      <c r="J137">
        <f>IF(NOT(ISNUMBER($D137)),"",_xlfn.NORM.DIST(J$1,$D137,$E137,TRUE)-_xlfn.NORM.DIST(J$2,$D137,$E137,TRUE))</f>
        <v/>
      </c>
      <c r="K137">
        <f>IF(NOT(ISNUMBER($D137)),"",_xlfn.NORM.DIST(K$1,$D137,$E137,TRUE)-_xlfn.NORM.DIST(K$2,$D137,$E137,TRUE))</f>
        <v/>
      </c>
      <c r="L137">
        <f>IF(NOT(ISNUMBER($D137)),"",_xlfn.NORM.DIST(L$1,$D137,$E137,TRUE)-_xlfn.NORM.DIST(L$2,$D137,$E137,TRUE))</f>
        <v/>
      </c>
      <c r="M137">
        <f>IF(NOT(ISNUMBER($D137)),"",_xlfn.NORM.DIST(M$1,$D137,$E137,TRUE)-_xlfn.NORM.DIST(M$2,$D137,$E137,TRUE))</f>
        <v/>
      </c>
      <c r="N137">
        <f>IF(NOT(ISNUMBER($D137)),"",_xlfn.NORM.DIST(N$1,$D137,$E137,TRUE)-_xlfn.NORM.DIST(N$2,$D137,$E137,TRUE))</f>
        <v/>
      </c>
      <c r="O137">
        <f>IF(NOT(ISNUMBER($D137)),"",_xlfn.NORM.DIST(O$1,$D137,$E137,TRUE)-_xlfn.NORM.DIST(O$2,$D137,$E137,TRUE))</f>
        <v/>
      </c>
      <c r="P137">
        <f>IF(NOT(ISNUMBER($D137)),"",_xlfn.NORM.DIST(P$1,$D137,$E137,TRUE)-_xlfn.NORM.DIST(P$2,$D137,$E137,TRUE))</f>
        <v/>
      </c>
      <c r="Q137">
        <f>IF(NOT(ISNUMBER($D137)),"",_xlfn.NORM.DIST(Q$1,$D137,$E137,TRUE)-_xlfn.NORM.DIST(Q$2,$D137,$E137,TRUE))</f>
        <v/>
      </c>
      <c r="R137">
        <f>IF(NOT(ISNUMBER($D137)),"",_xlfn.NORM.DIST(R$1,$D137,$E137,TRUE)-_xlfn.NORM.DIST(R$2,$D137,$E137,TRUE))</f>
        <v/>
      </c>
      <c r="S137">
        <f>IF(NOT(ISNUMBER($D137)),"",_xlfn.NORM.DIST(S$1,$D137,$E137,TRUE)-_xlfn.NORM.DIST(S$2,$D137,$E137,TRUE))</f>
        <v/>
      </c>
      <c r="T137">
        <f>IF(NOT(ISNUMBER($D137)),"",_xlfn.NORM.DIST(T$1,$D137,$E137,TRUE)-_xlfn.NORM.DIST(T$2,$D137,$E137,TRUE))</f>
        <v/>
      </c>
      <c r="U137">
        <f>IF(NOT(ISNUMBER($D137)),"",_xlfn.NORM.DIST(U$1,$D137,$E137,TRUE)-_xlfn.NORM.DIST(U$2,$D137,$E137,TRUE))</f>
        <v/>
      </c>
      <c r="V137">
        <f>IF(NOT(ISNUMBER($D137)),"",_xlfn.NORM.DIST(V$1,$D137,$E137,TRUE)-_xlfn.NORM.DIST(V$2,$D137,$E137,TRUE))</f>
        <v/>
      </c>
      <c r="W137">
        <f>IF(NOT(ISNUMBER($D137)),"",_xlfn.NORM.DIST(W$1,$D137,$E137,TRUE)-_xlfn.NORM.DIST(W$2,$D137,$E137,TRUE))</f>
        <v/>
      </c>
      <c r="X137">
        <f>IF(NOT(ISNUMBER($D137)),"",_xlfn.NORM.DIST(X$1,$D137,$E137,TRUE)-_xlfn.NORM.DIST(X$2,$D137,$E137,TRUE))</f>
        <v/>
      </c>
      <c r="Y137">
        <f>IF(NOT(ISNUMBER($D137)),"",_xlfn.NORM.DIST(Y$1,$D137,$E137,TRUE)-_xlfn.NORM.DIST(Y$2,$D137,$E137,TRUE))</f>
        <v/>
      </c>
      <c r="Z137">
        <f>IF(NOT(ISNUMBER($D137)),"",_xlfn.NORM.DIST(Z$1,$D137,$E137,TRUE)-_xlfn.NORM.DIST(Z$2,$D137,$E137,TRUE))</f>
        <v/>
      </c>
      <c r="AA137">
        <f>IF(NOT(ISNUMBER($D137)),"",_xlfn.NORM.DIST(AA$1,$D137,$E137,TRUE)-_xlfn.NORM.DIST(AA$2,$D137,$E137,TRUE))</f>
        <v/>
      </c>
      <c r="AB137">
        <f>IF(NOT(ISNUMBER($D137)),"",_xlfn.NORM.DIST(AB$1,$D137,$E137,TRUE)-_xlfn.NORM.DIST(AB$2,$D137,$E137,TRUE))</f>
        <v/>
      </c>
      <c r="AC137">
        <f>IF(NOT(ISNUMBER($D137)),"",_xlfn.NORM.DIST(AC$1,$D137,$E137,TRUE)-_xlfn.NORM.DIST(AC$2,$D137,$E137,TRUE))</f>
        <v/>
      </c>
      <c r="AD137">
        <f>IF(NOT(ISNUMBER($D137)),"",_xlfn.NORM.DIST(AD$1,$D137,$E137,TRUE)-_xlfn.NORM.DIST(AD$2,$D137,$E137,TRUE))</f>
        <v/>
      </c>
      <c r="AE137">
        <f>IF(NOT(ISNUMBER($D137)),"",_xlfn.NORM.DIST(AE$1,$D137,$E137,TRUE)-_xlfn.NORM.DIST(AE$2,$D137,$E137,TRUE))</f>
        <v/>
      </c>
      <c r="AF137">
        <f>IF(NOT(ISNUMBER($D137)),"",_xlfn.NORM.DIST(AF$1,$D137,$E137,TRUE)-_xlfn.NORM.DIST(AF$2,$D137,$E137,TRUE))</f>
        <v/>
      </c>
      <c r="AG137">
        <f>IF(NOT(ISNUMBER($D137)),"",_xlfn.NORM.DIST(AG$1,$D137,$E137,TRUE)-_xlfn.NORM.DIST(AG$2,$D137,$E137,TRUE))</f>
        <v/>
      </c>
      <c r="AH137">
        <f>IF(NOT(ISNUMBER($D137)),"",_xlfn.NORM.DIST(AH$1,$D137,$E137,TRUE)-_xlfn.NORM.DIST(AH$2,$D137,$E137,TRUE))</f>
        <v/>
      </c>
      <c r="AI137">
        <f>IF(NOT(ISNUMBER($D137)),"",_xlfn.NORM.DIST(AI$1,$D137,$E137,TRUE)-_xlfn.NORM.DIST(AI$2,$D137,$E137,TRUE))</f>
        <v/>
      </c>
      <c r="AJ137">
        <f>IF(NOT(ISNUMBER($D137)),"",_xlfn.NORM.DIST(AJ$1,$D137,$E137,TRUE)-_xlfn.NORM.DIST(AJ$2,$D137,$E137,TRUE))</f>
        <v/>
      </c>
      <c r="AK137">
        <f>IF(NOT(ISNUMBER($D137)),"",_xlfn.NORM.DIST(AK$1,$D137,$E137,TRUE)-_xlfn.NORM.DIST(AK$2,$D137,$E137,TRUE))</f>
        <v/>
      </c>
      <c r="AL137">
        <f>IF(NOT(ISNUMBER($D137)),"",_xlfn.NORM.DIST(AL$1,$D137,$E137,TRUE)-_xlfn.NORM.DIST(AL$2,$D137,$E137,TRUE))</f>
        <v/>
      </c>
      <c r="AM137">
        <f>IF(NOT(ISNUMBER($D137)),"",_xlfn.NORM.DIST(AM$1,$D137,$E137,TRUE)-_xlfn.NORM.DIST(AM$2,$D137,$E137,TRUE))</f>
        <v/>
      </c>
      <c r="AN137">
        <f>IF(NOT(ISNUMBER($D137)),"",_xlfn.NORM.DIST(AN$1,$D137,$E137,TRUE)-_xlfn.NORM.DIST(AN$2,$D137,$E137,TRUE))</f>
        <v/>
      </c>
      <c r="AO137">
        <f>IF(NOT(ISNUMBER($D137)),"",_xlfn.NORM.DIST(AO$1,$D137,$E137,TRUE)-_xlfn.NORM.DIST(AO$2,$D137,$E137,TRUE))</f>
        <v/>
      </c>
      <c r="AP137">
        <f>IF(NOT(ISNUMBER($D137)),"",_xlfn.NORM.DIST(AP$1,$D137,$E137,TRUE)-_xlfn.NORM.DIST(AP$2,$D137,$E137,TRUE))</f>
        <v/>
      </c>
      <c r="AQ137">
        <f>IF(NOT(ISNUMBER($D137)),"",_xlfn.NORM.DIST(AQ$1,$D137,$E137,TRUE)-_xlfn.NORM.DIST(AQ$2,$D137,$E137,TRUE))</f>
        <v/>
      </c>
      <c r="AR137">
        <f>IF(NOT(ISNUMBER($D137)),"",_xlfn.NORM.DIST(AR$1,$D137,$E137,TRUE)-_xlfn.NORM.DIST(AR$2,$D137,$E137,TRUE))</f>
        <v/>
      </c>
      <c r="AS137">
        <f>IF(NOT(ISNUMBER($D137)),"",_xlfn.NORM.DIST(AS$1,$D137,$E137,TRUE)-_xlfn.NORM.DIST(AS$2,$D137,$E137,TRUE))</f>
        <v/>
      </c>
      <c r="AT137">
        <f>IF(NOT(ISNUMBER($D137)),"",_xlfn.NORM.DIST(AT$1,$D137,$E137,TRUE)-_xlfn.NORM.DIST(AT$2,$D137,$E137,TRUE))</f>
        <v/>
      </c>
      <c r="AU137">
        <f>IF(NOT(ISNUMBER($D137)),"",_xlfn.NORM.DIST(AU$1,$D137,$E137,TRUE)-_xlfn.NORM.DIST(AU$2,$D137,$E137,TRUE))</f>
        <v/>
      </c>
      <c r="AV137">
        <f>IF(NOT(ISNUMBER($D137)),"",_xlfn.NORM.DIST(AV$1,$D137,$E137,TRUE)-_xlfn.NORM.DIST(AV$2,$D137,$E137,TRUE))</f>
        <v/>
      </c>
      <c r="AW137">
        <f>IF(NOT(ISNUMBER($D137)),"",_xlfn.NORM.DIST(AW$1,$D137,$E137,TRUE)-_xlfn.NORM.DIST(AW$2,$D137,$E137,TRUE))</f>
        <v/>
      </c>
      <c r="AX137">
        <f>IF(NOT(ISNUMBER($D137)),"",_xlfn.NORM.DIST(AX$1,$D137,$E137,TRUE)-_xlfn.NORM.DIST(AX$2,$D137,$E137,TRUE))</f>
        <v/>
      </c>
      <c r="AY137">
        <f>IF(NOT(ISNUMBER($D137)),"",_xlfn.NORM.DIST(AY$1,$D137,$E137,TRUE)-_xlfn.NORM.DIST(AY$2,$D137,$E137,TRUE))</f>
        <v/>
      </c>
      <c r="AZ137">
        <f>IF(NOT(ISNUMBER($D137)),"",_xlfn.NORM.DIST(AZ$1,$D137,$E137,TRUE)-_xlfn.NORM.DIST(AZ$2,$D137,$E137,TRUE))</f>
        <v/>
      </c>
      <c r="BA137">
        <f>IF(NOT(ISNUMBER($D137)),"",_xlfn.NORM.DIST(BA$1,$D137,$E137,TRUE)-_xlfn.NORM.DIST(BA$2,$D137,$E137,TRUE))</f>
        <v/>
      </c>
      <c r="BB137">
        <f>IF(NOT(ISNUMBER($D137)),"",_xlfn.NORM.DIST(BB$1,$D137,$E137,TRUE)-_xlfn.NORM.DIST(BB$2,$D137,$E137,TRUE))</f>
        <v/>
      </c>
      <c r="BC137">
        <f>IF(NOT(ISNUMBER($D137)),"",_xlfn.NORM.DIST(BC$1,$D137,$E137,TRUE)-_xlfn.NORM.DIST(BC$2,$D137,$E137,TRUE))</f>
        <v/>
      </c>
      <c r="BD137">
        <f>IF(NOT(ISNUMBER($D137)),"",_xlfn.NORM.DIST(BD$1,$D137,$E137,TRUE)-_xlfn.NORM.DIST(BD$2,$D137,$E137,TRUE))</f>
        <v/>
      </c>
      <c r="BE137">
        <f>IF(NOT(ISNUMBER($D137)),"",_xlfn.NORM.DIST(BE$1,$D137,$E137,TRUE)-_xlfn.NORM.DIST(BE$2,$D137,$E137,TRUE))</f>
        <v/>
      </c>
      <c r="BF137">
        <f>IF(NOT(ISNUMBER($D137)),"",_xlfn.NORM.DIST(BF$1,$D137,$E137,TRUE)-_xlfn.NORM.DIST(BF$2,$D137,$E137,TRUE))</f>
        <v/>
      </c>
      <c r="BG137">
        <f>IF(NOT(ISNUMBER($D137)),"",_xlfn.NORM.DIST(BG$1,$D137,$E137,TRUE)-_xlfn.NORM.DIST(BG$2,$D137,$E137,TRUE))</f>
        <v/>
      </c>
      <c r="BH137">
        <f>IF(NOT(ISNUMBER($D137)),"",_xlfn.NORM.DIST(BH$1,$D137,$E137,TRUE)-_xlfn.NORM.DIST(BH$2,$D137,$E137,TRUE))</f>
        <v/>
      </c>
      <c r="BI137">
        <f>IF(NOT(ISNUMBER($D137)),"",_xlfn.NORM.DIST(BI$1,$D137,$E137,TRUE)-_xlfn.NORM.DIST(BI$2,$D137,$E137,TRUE))</f>
        <v/>
      </c>
      <c r="BJ137">
        <f>IF(NOT(ISNUMBER($D137)),"",_xlfn.NORM.DIST(BJ$1,$D137,$E137,TRUE)-_xlfn.NORM.DIST(BJ$2,$D137,$E137,TRUE))</f>
        <v/>
      </c>
      <c r="BK137">
        <f>IF(NOT(ISNUMBER($D137)),"",_xlfn.NORM.DIST(BK$1,$D137,$E137,TRUE)-_xlfn.NORM.DIST(BK$2,$D137,$E137,TRUE))</f>
        <v/>
      </c>
      <c r="BL137">
        <f>IF(NOT(ISNUMBER($D137)),"",_xlfn.NORM.DIST(BL$1,$D137,$E137,TRUE)-_xlfn.NORM.DIST(BL$2,$D137,$E137,TRUE))</f>
        <v/>
      </c>
      <c r="BM137">
        <f>IF(NOT(ISNUMBER($D137)),"",_xlfn.NORM.DIST(BM$1,$D137,$E137,TRUE)-_xlfn.NORM.DIST(BM$2,$D137,$E137,TRUE))</f>
        <v/>
      </c>
      <c r="BN137">
        <f>IF(NOT(ISNUMBER($D137)),"",_xlfn.NORM.DIST(BN$1,$D137,$E137,TRUE)-_xlfn.NORM.DIST(BN$2,$D137,$E137,TRUE))</f>
        <v/>
      </c>
      <c r="BO137">
        <f>IF(NOT(ISNUMBER($D137)),"",_xlfn.NORM.DIST(BO$1,$D137,$E137,TRUE)-_xlfn.NORM.DIST(BO$2,$D137,$E137,TRUE))</f>
        <v/>
      </c>
      <c r="BP137">
        <f>IF(NOT(ISNUMBER($D137)),"",_xlfn.NORM.DIST(BP$1,$D137,$E137,TRUE)-_xlfn.NORM.DIST(BP$2,$D137,$E137,TRUE))</f>
        <v/>
      </c>
      <c r="BQ137">
        <f>IF(NOT(ISNUMBER($D137)),"",_xlfn.NORM.DIST(BQ$1,$D137,$E137,TRUE)-_xlfn.NORM.DIST(BQ$2,$D137,$E137,TRUE))</f>
        <v/>
      </c>
      <c r="BR137">
        <f>IF(NOT(ISNUMBER($D137)),"",_xlfn.NORM.DIST(BR$1,$D137,$E137,TRUE)-_xlfn.NORM.DIST(BR$2,$D137,$E137,TRUE))</f>
        <v/>
      </c>
      <c r="BS137">
        <f>IF(NOT(ISNUMBER($D137)),"",_xlfn.NORM.DIST(BS$1,$D137,$E137,TRUE)-_xlfn.NORM.DIST(BS$2,$D137,$E137,TRUE))</f>
        <v/>
      </c>
      <c r="BT137">
        <f>IF(NOT(ISNUMBER($D137)),"",_xlfn.NORM.DIST(BT$1,$D137,$E137,TRUE)-_xlfn.NORM.DIST(BT$2,$D137,$E137,TRUE))</f>
        <v/>
      </c>
      <c r="BU137">
        <f>IF(NOT(ISNUMBER($D137)),"",_xlfn.NORM.DIST(BU$1,$D137,$E137,TRUE)-_xlfn.NORM.DIST(BU$2,$D137,$E137,TRUE))</f>
        <v/>
      </c>
      <c r="BV137">
        <f>IF(NOT(ISNUMBER($D137)),"",_xlfn.NORM.DIST(BV$1,$D137,$E137,TRUE)-_xlfn.NORM.DIST(BV$2,$D137,$E137,TRUE))</f>
        <v/>
      </c>
      <c r="BW137">
        <f>IF(NOT(ISNUMBER($D137)),"",_xlfn.NORM.DIST(BW$1,$D137,$E137,TRUE)-_xlfn.NORM.DIST(BW$2,$D137,$E137,TRUE))</f>
        <v/>
      </c>
      <c r="BX137">
        <f>IF(NOT(ISNUMBER($D137)),"",_xlfn.NORM.DIST(BX$1,$D137,$E137,TRUE)-_xlfn.NORM.DIST(BX$2,$D137,$E137,TRUE))</f>
        <v/>
      </c>
      <c r="BY137">
        <f>IF(NOT(ISNUMBER($D137)),"",_xlfn.NORM.DIST(BY$1,$D137,$E137,TRUE)-_xlfn.NORM.DIST(BY$2,$D137,$E137,TRUE))</f>
        <v/>
      </c>
      <c r="BZ137">
        <f>IF(NOT(ISNUMBER($D137)),"",_xlfn.NORM.DIST(BZ$1,$D137,$E137,TRUE)-_xlfn.NORM.DIST(BZ$2,$D137,$E137,TRUE))</f>
        <v/>
      </c>
      <c r="CA137">
        <f>IF(NOT(ISNUMBER($D137)),"",_xlfn.NORM.DIST(CA$1,$D137,$E137,TRUE)-_xlfn.NORM.DIST(CA$2,$D137,$E137,TRUE))</f>
        <v/>
      </c>
      <c r="CB137">
        <f>IF(NOT(ISNUMBER($D137)),"",_xlfn.NORM.DIST(CB$1,$D137,$E137,TRUE)-_xlfn.NORM.DIST(CB$2,$D137,$E137,TRUE))</f>
        <v/>
      </c>
      <c r="CC137">
        <f>IF(NOT(ISNUMBER($D137)),"",_xlfn.NORM.DIST(CC$1,$D137,$E137,TRUE)-_xlfn.NORM.DIST(CC$2,$D137,$E137,TRUE))</f>
        <v/>
      </c>
      <c r="CD137">
        <f>IF(NOT(ISNUMBER($D137)),"",_xlfn.NORM.DIST(CD$1,$D137,$E137,TRUE)-_xlfn.NORM.DIST(CD$2,$D137,$E137,TRUE))</f>
        <v/>
      </c>
      <c r="CE137">
        <f>IF(NOT(ISNUMBER($D137)),"",_xlfn.NORM.DIST(CE$1,$D137,$E137,TRUE)-_xlfn.NORM.DIST(CE$2,$D137,$E137,TRUE))</f>
        <v/>
      </c>
      <c r="CF137">
        <f>IF(NOT(ISNUMBER($D137)),"",_xlfn.NORM.DIST(CF$1,$D137,$E137,TRUE)-_xlfn.NORM.DIST(CF$2,$D137,$E137,TRUE))</f>
        <v/>
      </c>
      <c r="CG137">
        <f>IF(NOT(ISNUMBER($D137)),"",_xlfn.NORM.DIST(CG$1,$D137,$E137,TRUE)-_xlfn.NORM.DIST(CG$2,$D137,$E137,TRUE))</f>
        <v/>
      </c>
      <c r="CH137">
        <f>IF(NOT(ISNUMBER($D137)),"",_xlfn.NORM.DIST(CH$1,$D137,$E137,TRUE)-_xlfn.NORM.DIST(CH$2,$D137,$E137,TRUE))</f>
        <v/>
      </c>
      <c r="CI137">
        <f>IF(NOT(ISNUMBER($D137)),"",_xlfn.NORM.DIST(CI$1,$D137,$E137,TRUE)-_xlfn.NORM.DIST(CI$2,$D137,$E137,TRUE))</f>
        <v/>
      </c>
      <c r="CJ137">
        <f>IF(ISNUMBER($D137),SUM(F137:CI137),"")</f>
        <v/>
      </c>
    </row>
    <row r="138">
      <c r="A138">
        <f>economics!A137</f>
        <v/>
      </c>
      <c r="B138">
        <f>economics!B137</f>
        <v/>
      </c>
      <c r="C138">
        <f>economics!D137</f>
        <v/>
      </c>
      <c r="D138">
        <f>IF(ISNUMBER(economics!T137),economics!T137,"na")</f>
        <v/>
      </c>
      <c r="E138">
        <f>IF(ISNUMBER(D138),MAX(0.3*ABS(D138),0.000001),"na")</f>
        <v/>
      </c>
      <c r="F138">
        <f>IF(NOT(ISNUMBER($D138)),"",_xlfn.NORM.DIST(F$1,$D138,$E138,TRUE)-_xlfn.NORM.DIST(F$2,$D138,$E138,TRUE))</f>
        <v/>
      </c>
      <c r="G138">
        <f>IF(NOT(ISNUMBER($D138)),"",_xlfn.NORM.DIST(G$1,$D138,$E138,TRUE)-_xlfn.NORM.DIST(G$2,$D138,$E138,TRUE))</f>
        <v/>
      </c>
      <c r="H138">
        <f>IF(NOT(ISNUMBER($D138)),"",_xlfn.NORM.DIST(H$1,$D138,$E138,TRUE)-_xlfn.NORM.DIST(H$2,$D138,$E138,TRUE))</f>
        <v/>
      </c>
      <c r="I138">
        <f>IF(NOT(ISNUMBER($D138)),"",_xlfn.NORM.DIST(I$1,$D138,$E138,TRUE)-_xlfn.NORM.DIST(I$2,$D138,$E138,TRUE))</f>
        <v/>
      </c>
      <c r="J138">
        <f>IF(NOT(ISNUMBER($D138)),"",_xlfn.NORM.DIST(J$1,$D138,$E138,TRUE)-_xlfn.NORM.DIST(J$2,$D138,$E138,TRUE))</f>
        <v/>
      </c>
      <c r="K138">
        <f>IF(NOT(ISNUMBER($D138)),"",_xlfn.NORM.DIST(K$1,$D138,$E138,TRUE)-_xlfn.NORM.DIST(K$2,$D138,$E138,TRUE))</f>
        <v/>
      </c>
      <c r="L138">
        <f>IF(NOT(ISNUMBER($D138)),"",_xlfn.NORM.DIST(L$1,$D138,$E138,TRUE)-_xlfn.NORM.DIST(L$2,$D138,$E138,TRUE))</f>
        <v/>
      </c>
      <c r="M138">
        <f>IF(NOT(ISNUMBER($D138)),"",_xlfn.NORM.DIST(M$1,$D138,$E138,TRUE)-_xlfn.NORM.DIST(M$2,$D138,$E138,TRUE))</f>
        <v/>
      </c>
      <c r="N138">
        <f>IF(NOT(ISNUMBER($D138)),"",_xlfn.NORM.DIST(N$1,$D138,$E138,TRUE)-_xlfn.NORM.DIST(N$2,$D138,$E138,TRUE))</f>
        <v/>
      </c>
      <c r="O138">
        <f>IF(NOT(ISNUMBER($D138)),"",_xlfn.NORM.DIST(O$1,$D138,$E138,TRUE)-_xlfn.NORM.DIST(O$2,$D138,$E138,TRUE))</f>
        <v/>
      </c>
      <c r="P138">
        <f>IF(NOT(ISNUMBER($D138)),"",_xlfn.NORM.DIST(P$1,$D138,$E138,TRUE)-_xlfn.NORM.DIST(P$2,$D138,$E138,TRUE))</f>
        <v/>
      </c>
      <c r="Q138">
        <f>IF(NOT(ISNUMBER($D138)),"",_xlfn.NORM.DIST(Q$1,$D138,$E138,TRUE)-_xlfn.NORM.DIST(Q$2,$D138,$E138,TRUE))</f>
        <v/>
      </c>
      <c r="R138">
        <f>IF(NOT(ISNUMBER($D138)),"",_xlfn.NORM.DIST(R$1,$D138,$E138,TRUE)-_xlfn.NORM.DIST(R$2,$D138,$E138,TRUE))</f>
        <v/>
      </c>
      <c r="S138">
        <f>IF(NOT(ISNUMBER($D138)),"",_xlfn.NORM.DIST(S$1,$D138,$E138,TRUE)-_xlfn.NORM.DIST(S$2,$D138,$E138,TRUE))</f>
        <v/>
      </c>
      <c r="T138">
        <f>IF(NOT(ISNUMBER($D138)),"",_xlfn.NORM.DIST(T$1,$D138,$E138,TRUE)-_xlfn.NORM.DIST(T$2,$D138,$E138,TRUE))</f>
        <v/>
      </c>
      <c r="U138">
        <f>IF(NOT(ISNUMBER($D138)),"",_xlfn.NORM.DIST(U$1,$D138,$E138,TRUE)-_xlfn.NORM.DIST(U$2,$D138,$E138,TRUE))</f>
        <v/>
      </c>
      <c r="V138">
        <f>IF(NOT(ISNUMBER($D138)),"",_xlfn.NORM.DIST(V$1,$D138,$E138,TRUE)-_xlfn.NORM.DIST(V$2,$D138,$E138,TRUE))</f>
        <v/>
      </c>
      <c r="W138">
        <f>IF(NOT(ISNUMBER($D138)),"",_xlfn.NORM.DIST(W$1,$D138,$E138,TRUE)-_xlfn.NORM.DIST(W$2,$D138,$E138,TRUE))</f>
        <v/>
      </c>
      <c r="X138">
        <f>IF(NOT(ISNUMBER($D138)),"",_xlfn.NORM.DIST(X$1,$D138,$E138,TRUE)-_xlfn.NORM.DIST(X$2,$D138,$E138,TRUE))</f>
        <v/>
      </c>
      <c r="Y138">
        <f>IF(NOT(ISNUMBER($D138)),"",_xlfn.NORM.DIST(Y$1,$D138,$E138,TRUE)-_xlfn.NORM.DIST(Y$2,$D138,$E138,TRUE))</f>
        <v/>
      </c>
      <c r="Z138">
        <f>IF(NOT(ISNUMBER($D138)),"",_xlfn.NORM.DIST(Z$1,$D138,$E138,TRUE)-_xlfn.NORM.DIST(Z$2,$D138,$E138,TRUE))</f>
        <v/>
      </c>
      <c r="AA138">
        <f>IF(NOT(ISNUMBER($D138)),"",_xlfn.NORM.DIST(AA$1,$D138,$E138,TRUE)-_xlfn.NORM.DIST(AA$2,$D138,$E138,TRUE))</f>
        <v/>
      </c>
      <c r="AB138">
        <f>IF(NOT(ISNUMBER($D138)),"",_xlfn.NORM.DIST(AB$1,$D138,$E138,TRUE)-_xlfn.NORM.DIST(AB$2,$D138,$E138,TRUE))</f>
        <v/>
      </c>
      <c r="AC138">
        <f>IF(NOT(ISNUMBER($D138)),"",_xlfn.NORM.DIST(AC$1,$D138,$E138,TRUE)-_xlfn.NORM.DIST(AC$2,$D138,$E138,TRUE))</f>
        <v/>
      </c>
      <c r="AD138">
        <f>IF(NOT(ISNUMBER($D138)),"",_xlfn.NORM.DIST(AD$1,$D138,$E138,TRUE)-_xlfn.NORM.DIST(AD$2,$D138,$E138,TRUE))</f>
        <v/>
      </c>
      <c r="AE138">
        <f>IF(NOT(ISNUMBER($D138)),"",_xlfn.NORM.DIST(AE$1,$D138,$E138,TRUE)-_xlfn.NORM.DIST(AE$2,$D138,$E138,TRUE))</f>
        <v/>
      </c>
      <c r="AF138">
        <f>IF(NOT(ISNUMBER($D138)),"",_xlfn.NORM.DIST(AF$1,$D138,$E138,TRUE)-_xlfn.NORM.DIST(AF$2,$D138,$E138,TRUE))</f>
        <v/>
      </c>
      <c r="AG138">
        <f>IF(NOT(ISNUMBER($D138)),"",_xlfn.NORM.DIST(AG$1,$D138,$E138,TRUE)-_xlfn.NORM.DIST(AG$2,$D138,$E138,TRUE))</f>
        <v/>
      </c>
      <c r="AH138">
        <f>IF(NOT(ISNUMBER($D138)),"",_xlfn.NORM.DIST(AH$1,$D138,$E138,TRUE)-_xlfn.NORM.DIST(AH$2,$D138,$E138,TRUE))</f>
        <v/>
      </c>
      <c r="AI138">
        <f>IF(NOT(ISNUMBER($D138)),"",_xlfn.NORM.DIST(AI$1,$D138,$E138,TRUE)-_xlfn.NORM.DIST(AI$2,$D138,$E138,TRUE))</f>
        <v/>
      </c>
      <c r="AJ138">
        <f>IF(NOT(ISNUMBER($D138)),"",_xlfn.NORM.DIST(AJ$1,$D138,$E138,TRUE)-_xlfn.NORM.DIST(AJ$2,$D138,$E138,TRUE))</f>
        <v/>
      </c>
      <c r="AK138">
        <f>IF(NOT(ISNUMBER($D138)),"",_xlfn.NORM.DIST(AK$1,$D138,$E138,TRUE)-_xlfn.NORM.DIST(AK$2,$D138,$E138,TRUE))</f>
        <v/>
      </c>
      <c r="AL138">
        <f>IF(NOT(ISNUMBER($D138)),"",_xlfn.NORM.DIST(AL$1,$D138,$E138,TRUE)-_xlfn.NORM.DIST(AL$2,$D138,$E138,TRUE))</f>
        <v/>
      </c>
      <c r="AM138">
        <f>IF(NOT(ISNUMBER($D138)),"",_xlfn.NORM.DIST(AM$1,$D138,$E138,TRUE)-_xlfn.NORM.DIST(AM$2,$D138,$E138,TRUE))</f>
        <v/>
      </c>
      <c r="AN138">
        <f>IF(NOT(ISNUMBER($D138)),"",_xlfn.NORM.DIST(AN$1,$D138,$E138,TRUE)-_xlfn.NORM.DIST(AN$2,$D138,$E138,TRUE))</f>
        <v/>
      </c>
      <c r="AO138">
        <f>IF(NOT(ISNUMBER($D138)),"",_xlfn.NORM.DIST(AO$1,$D138,$E138,TRUE)-_xlfn.NORM.DIST(AO$2,$D138,$E138,TRUE))</f>
        <v/>
      </c>
      <c r="AP138">
        <f>IF(NOT(ISNUMBER($D138)),"",_xlfn.NORM.DIST(AP$1,$D138,$E138,TRUE)-_xlfn.NORM.DIST(AP$2,$D138,$E138,TRUE))</f>
        <v/>
      </c>
      <c r="AQ138">
        <f>IF(NOT(ISNUMBER($D138)),"",_xlfn.NORM.DIST(AQ$1,$D138,$E138,TRUE)-_xlfn.NORM.DIST(AQ$2,$D138,$E138,TRUE))</f>
        <v/>
      </c>
      <c r="AR138">
        <f>IF(NOT(ISNUMBER($D138)),"",_xlfn.NORM.DIST(AR$1,$D138,$E138,TRUE)-_xlfn.NORM.DIST(AR$2,$D138,$E138,TRUE))</f>
        <v/>
      </c>
      <c r="AS138">
        <f>IF(NOT(ISNUMBER($D138)),"",_xlfn.NORM.DIST(AS$1,$D138,$E138,TRUE)-_xlfn.NORM.DIST(AS$2,$D138,$E138,TRUE))</f>
        <v/>
      </c>
      <c r="AT138">
        <f>IF(NOT(ISNUMBER($D138)),"",_xlfn.NORM.DIST(AT$1,$D138,$E138,TRUE)-_xlfn.NORM.DIST(AT$2,$D138,$E138,TRUE))</f>
        <v/>
      </c>
      <c r="AU138">
        <f>IF(NOT(ISNUMBER($D138)),"",_xlfn.NORM.DIST(AU$1,$D138,$E138,TRUE)-_xlfn.NORM.DIST(AU$2,$D138,$E138,TRUE))</f>
        <v/>
      </c>
      <c r="AV138">
        <f>IF(NOT(ISNUMBER($D138)),"",_xlfn.NORM.DIST(AV$1,$D138,$E138,TRUE)-_xlfn.NORM.DIST(AV$2,$D138,$E138,TRUE))</f>
        <v/>
      </c>
      <c r="AW138">
        <f>IF(NOT(ISNUMBER($D138)),"",_xlfn.NORM.DIST(AW$1,$D138,$E138,TRUE)-_xlfn.NORM.DIST(AW$2,$D138,$E138,TRUE))</f>
        <v/>
      </c>
      <c r="AX138">
        <f>IF(NOT(ISNUMBER($D138)),"",_xlfn.NORM.DIST(AX$1,$D138,$E138,TRUE)-_xlfn.NORM.DIST(AX$2,$D138,$E138,TRUE))</f>
        <v/>
      </c>
      <c r="AY138">
        <f>IF(NOT(ISNUMBER($D138)),"",_xlfn.NORM.DIST(AY$1,$D138,$E138,TRUE)-_xlfn.NORM.DIST(AY$2,$D138,$E138,TRUE))</f>
        <v/>
      </c>
      <c r="AZ138">
        <f>IF(NOT(ISNUMBER($D138)),"",_xlfn.NORM.DIST(AZ$1,$D138,$E138,TRUE)-_xlfn.NORM.DIST(AZ$2,$D138,$E138,TRUE))</f>
        <v/>
      </c>
      <c r="BA138">
        <f>IF(NOT(ISNUMBER($D138)),"",_xlfn.NORM.DIST(BA$1,$D138,$E138,TRUE)-_xlfn.NORM.DIST(BA$2,$D138,$E138,TRUE))</f>
        <v/>
      </c>
      <c r="BB138">
        <f>IF(NOT(ISNUMBER($D138)),"",_xlfn.NORM.DIST(BB$1,$D138,$E138,TRUE)-_xlfn.NORM.DIST(BB$2,$D138,$E138,TRUE))</f>
        <v/>
      </c>
      <c r="BC138">
        <f>IF(NOT(ISNUMBER($D138)),"",_xlfn.NORM.DIST(BC$1,$D138,$E138,TRUE)-_xlfn.NORM.DIST(BC$2,$D138,$E138,TRUE))</f>
        <v/>
      </c>
      <c r="BD138">
        <f>IF(NOT(ISNUMBER($D138)),"",_xlfn.NORM.DIST(BD$1,$D138,$E138,TRUE)-_xlfn.NORM.DIST(BD$2,$D138,$E138,TRUE))</f>
        <v/>
      </c>
      <c r="BE138">
        <f>IF(NOT(ISNUMBER($D138)),"",_xlfn.NORM.DIST(BE$1,$D138,$E138,TRUE)-_xlfn.NORM.DIST(BE$2,$D138,$E138,TRUE))</f>
        <v/>
      </c>
      <c r="BF138">
        <f>IF(NOT(ISNUMBER($D138)),"",_xlfn.NORM.DIST(BF$1,$D138,$E138,TRUE)-_xlfn.NORM.DIST(BF$2,$D138,$E138,TRUE))</f>
        <v/>
      </c>
      <c r="BG138">
        <f>IF(NOT(ISNUMBER($D138)),"",_xlfn.NORM.DIST(BG$1,$D138,$E138,TRUE)-_xlfn.NORM.DIST(BG$2,$D138,$E138,TRUE))</f>
        <v/>
      </c>
      <c r="BH138">
        <f>IF(NOT(ISNUMBER($D138)),"",_xlfn.NORM.DIST(BH$1,$D138,$E138,TRUE)-_xlfn.NORM.DIST(BH$2,$D138,$E138,TRUE))</f>
        <v/>
      </c>
      <c r="BI138">
        <f>IF(NOT(ISNUMBER($D138)),"",_xlfn.NORM.DIST(BI$1,$D138,$E138,TRUE)-_xlfn.NORM.DIST(BI$2,$D138,$E138,TRUE))</f>
        <v/>
      </c>
      <c r="BJ138">
        <f>IF(NOT(ISNUMBER($D138)),"",_xlfn.NORM.DIST(BJ$1,$D138,$E138,TRUE)-_xlfn.NORM.DIST(BJ$2,$D138,$E138,TRUE))</f>
        <v/>
      </c>
      <c r="BK138">
        <f>IF(NOT(ISNUMBER($D138)),"",_xlfn.NORM.DIST(BK$1,$D138,$E138,TRUE)-_xlfn.NORM.DIST(BK$2,$D138,$E138,TRUE))</f>
        <v/>
      </c>
      <c r="BL138">
        <f>IF(NOT(ISNUMBER($D138)),"",_xlfn.NORM.DIST(BL$1,$D138,$E138,TRUE)-_xlfn.NORM.DIST(BL$2,$D138,$E138,TRUE))</f>
        <v/>
      </c>
      <c r="BM138">
        <f>IF(NOT(ISNUMBER($D138)),"",_xlfn.NORM.DIST(BM$1,$D138,$E138,TRUE)-_xlfn.NORM.DIST(BM$2,$D138,$E138,TRUE))</f>
        <v/>
      </c>
      <c r="BN138">
        <f>IF(NOT(ISNUMBER($D138)),"",_xlfn.NORM.DIST(BN$1,$D138,$E138,TRUE)-_xlfn.NORM.DIST(BN$2,$D138,$E138,TRUE))</f>
        <v/>
      </c>
      <c r="BO138">
        <f>IF(NOT(ISNUMBER($D138)),"",_xlfn.NORM.DIST(BO$1,$D138,$E138,TRUE)-_xlfn.NORM.DIST(BO$2,$D138,$E138,TRUE))</f>
        <v/>
      </c>
      <c r="BP138">
        <f>IF(NOT(ISNUMBER($D138)),"",_xlfn.NORM.DIST(BP$1,$D138,$E138,TRUE)-_xlfn.NORM.DIST(BP$2,$D138,$E138,TRUE))</f>
        <v/>
      </c>
      <c r="BQ138">
        <f>IF(NOT(ISNUMBER($D138)),"",_xlfn.NORM.DIST(BQ$1,$D138,$E138,TRUE)-_xlfn.NORM.DIST(BQ$2,$D138,$E138,TRUE))</f>
        <v/>
      </c>
      <c r="BR138">
        <f>IF(NOT(ISNUMBER($D138)),"",_xlfn.NORM.DIST(BR$1,$D138,$E138,TRUE)-_xlfn.NORM.DIST(BR$2,$D138,$E138,TRUE))</f>
        <v/>
      </c>
      <c r="BS138">
        <f>IF(NOT(ISNUMBER($D138)),"",_xlfn.NORM.DIST(BS$1,$D138,$E138,TRUE)-_xlfn.NORM.DIST(BS$2,$D138,$E138,TRUE))</f>
        <v/>
      </c>
      <c r="BT138">
        <f>IF(NOT(ISNUMBER($D138)),"",_xlfn.NORM.DIST(BT$1,$D138,$E138,TRUE)-_xlfn.NORM.DIST(BT$2,$D138,$E138,TRUE))</f>
        <v/>
      </c>
      <c r="BU138">
        <f>IF(NOT(ISNUMBER($D138)),"",_xlfn.NORM.DIST(BU$1,$D138,$E138,TRUE)-_xlfn.NORM.DIST(BU$2,$D138,$E138,TRUE))</f>
        <v/>
      </c>
      <c r="BV138">
        <f>IF(NOT(ISNUMBER($D138)),"",_xlfn.NORM.DIST(BV$1,$D138,$E138,TRUE)-_xlfn.NORM.DIST(BV$2,$D138,$E138,TRUE))</f>
        <v/>
      </c>
      <c r="BW138">
        <f>IF(NOT(ISNUMBER($D138)),"",_xlfn.NORM.DIST(BW$1,$D138,$E138,TRUE)-_xlfn.NORM.DIST(BW$2,$D138,$E138,TRUE))</f>
        <v/>
      </c>
      <c r="BX138">
        <f>IF(NOT(ISNUMBER($D138)),"",_xlfn.NORM.DIST(BX$1,$D138,$E138,TRUE)-_xlfn.NORM.DIST(BX$2,$D138,$E138,TRUE))</f>
        <v/>
      </c>
      <c r="BY138">
        <f>IF(NOT(ISNUMBER($D138)),"",_xlfn.NORM.DIST(BY$1,$D138,$E138,TRUE)-_xlfn.NORM.DIST(BY$2,$D138,$E138,TRUE))</f>
        <v/>
      </c>
      <c r="BZ138">
        <f>IF(NOT(ISNUMBER($D138)),"",_xlfn.NORM.DIST(BZ$1,$D138,$E138,TRUE)-_xlfn.NORM.DIST(BZ$2,$D138,$E138,TRUE))</f>
        <v/>
      </c>
      <c r="CA138">
        <f>IF(NOT(ISNUMBER($D138)),"",_xlfn.NORM.DIST(CA$1,$D138,$E138,TRUE)-_xlfn.NORM.DIST(CA$2,$D138,$E138,TRUE))</f>
        <v/>
      </c>
      <c r="CB138">
        <f>IF(NOT(ISNUMBER($D138)),"",_xlfn.NORM.DIST(CB$1,$D138,$E138,TRUE)-_xlfn.NORM.DIST(CB$2,$D138,$E138,TRUE))</f>
        <v/>
      </c>
      <c r="CC138">
        <f>IF(NOT(ISNUMBER($D138)),"",_xlfn.NORM.DIST(CC$1,$D138,$E138,TRUE)-_xlfn.NORM.DIST(CC$2,$D138,$E138,TRUE))</f>
        <v/>
      </c>
      <c r="CD138">
        <f>IF(NOT(ISNUMBER($D138)),"",_xlfn.NORM.DIST(CD$1,$D138,$E138,TRUE)-_xlfn.NORM.DIST(CD$2,$D138,$E138,TRUE))</f>
        <v/>
      </c>
      <c r="CE138">
        <f>IF(NOT(ISNUMBER($D138)),"",_xlfn.NORM.DIST(CE$1,$D138,$E138,TRUE)-_xlfn.NORM.DIST(CE$2,$D138,$E138,TRUE))</f>
        <v/>
      </c>
      <c r="CF138">
        <f>IF(NOT(ISNUMBER($D138)),"",_xlfn.NORM.DIST(CF$1,$D138,$E138,TRUE)-_xlfn.NORM.DIST(CF$2,$D138,$E138,TRUE))</f>
        <v/>
      </c>
      <c r="CG138">
        <f>IF(NOT(ISNUMBER($D138)),"",_xlfn.NORM.DIST(CG$1,$D138,$E138,TRUE)-_xlfn.NORM.DIST(CG$2,$D138,$E138,TRUE))</f>
        <v/>
      </c>
      <c r="CH138">
        <f>IF(NOT(ISNUMBER($D138)),"",_xlfn.NORM.DIST(CH$1,$D138,$E138,TRUE)-_xlfn.NORM.DIST(CH$2,$D138,$E138,TRUE))</f>
        <v/>
      </c>
      <c r="CI138">
        <f>IF(NOT(ISNUMBER($D138)),"",_xlfn.NORM.DIST(CI$1,$D138,$E138,TRUE)-_xlfn.NORM.DIST(CI$2,$D138,$E138,TRUE))</f>
        <v/>
      </c>
      <c r="CJ138">
        <f>IF(ISNUMBER($D138),SUM(F138:CI138),"")</f>
        <v/>
      </c>
    </row>
    <row r="139">
      <c r="A139">
        <f>economics!A138</f>
        <v/>
      </c>
      <c r="B139">
        <f>economics!B138</f>
        <v/>
      </c>
      <c r="C139">
        <f>economics!D138</f>
        <v/>
      </c>
      <c r="D139">
        <f>IF(ISNUMBER(economics!T138),economics!T138,"na")</f>
        <v/>
      </c>
      <c r="E139">
        <f>IF(ISNUMBER(D139),MAX(0.3*ABS(D139),0.000001),"na")</f>
        <v/>
      </c>
      <c r="F139">
        <f>IF(NOT(ISNUMBER($D139)),"",_xlfn.NORM.DIST(F$1,$D139,$E139,TRUE)-_xlfn.NORM.DIST(F$2,$D139,$E139,TRUE))</f>
        <v/>
      </c>
      <c r="G139">
        <f>IF(NOT(ISNUMBER($D139)),"",_xlfn.NORM.DIST(G$1,$D139,$E139,TRUE)-_xlfn.NORM.DIST(G$2,$D139,$E139,TRUE))</f>
        <v/>
      </c>
      <c r="H139">
        <f>IF(NOT(ISNUMBER($D139)),"",_xlfn.NORM.DIST(H$1,$D139,$E139,TRUE)-_xlfn.NORM.DIST(H$2,$D139,$E139,TRUE))</f>
        <v/>
      </c>
      <c r="I139">
        <f>IF(NOT(ISNUMBER($D139)),"",_xlfn.NORM.DIST(I$1,$D139,$E139,TRUE)-_xlfn.NORM.DIST(I$2,$D139,$E139,TRUE))</f>
        <v/>
      </c>
      <c r="J139">
        <f>IF(NOT(ISNUMBER($D139)),"",_xlfn.NORM.DIST(J$1,$D139,$E139,TRUE)-_xlfn.NORM.DIST(J$2,$D139,$E139,TRUE))</f>
        <v/>
      </c>
      <c r="K139">
        <f>IF(NOT(ISNUMBER($D139)),"",_xlfn.NORM.DIST(K$1,$D139,$E139,TRUE)-_xlfn.NORM.DIST(K$2,$D139,$E139,TRUE))</f>
        <v/>
      </c>
      <c r="L139">
        <f>IF(NOT(ISNUMBER($D139)),"",_xlfn.NORM.DIST(L$1,$D139,$E139,TRUE)-_xlfn.NORM.DIST(L$2,$D139,$E139,TRUE))</f>
        <v/>
      </c>
      <c r="M139">
        <f>IF(NOT(ISNUMBER($D139)),"",_xlfn.NORM.DIST(M$1,$D139,$E139,TRUE)-_xlfn.NORM.DIST(M$2,$D139,$E139,TRUE))</f>
        <v/>
      </c>
      <c r="N139">
        <f>IF(NOT(ISNUMBER($D139)),"",_xlfn.NORM.DIST(N$1,$D139,$E139,TRUE)-_xlfn.NORM.DIST(N$2,$D139,$E139,TRUE))</f>
        <v/>
      </c>
      <c r="O139">
        <f>IF(NOT(ISNUMBER($D139)),"",_xlfn.NORM.DIST(O$1,$D139,$E139,TRUE)-_xlfn.NORM.DIST(O$2,$D139,$E139,TRUE))</f>
        <v/>
      </c>
      <c r="P139">
        <f>IF(NOT(ISNUMBER($D139)),"",_xlfn.NORM.DIST(P$1,$D139,$E139,TRUE)-_xlfn.NORM.DIST(P$2,$D139,$E139,TRUE))</f>
        <v/>
      </c>
      <c r="Q139">
        <f>IF(NOT(ISNUMBER($D139)),"",_xlfn.NORM.DIST(Q$1,$D139,$E139,TRUE)-_xlfn.NORM.DIST(Q$2,$D139,$E139,TRUE))</f>
        <v/>
      </c>
      <c r="R139">
        <f>IF(NOT(ISNUMBER($D139)),"",_xlfn.NORM.DIST(R$1,$D139,$E139,TRUE)-_xlfn.NORM.DIST(R$2,$D139,$E139,TRUE))</f>
        <v/>
      </c>
      <c r="S139">
        <f>IF(NOT(ISNUMBER($D139)),"",_xlfn.NORM.DIST(S$1,$D139,$E139,TRUE)-_xlfn.NORM.DIST(S$2,$D139,$E139,TRUE))</f>
        <v/>
      </c>
      <c r="T139">
        <f>IF(NOT(ISNUMBER($D139)),"",_xlfn.NORM.DIST(T$1,$D139,$E139,TRUE)-_xlfn.NORM.DIST(T$2,$D139,$E139,TRUE))</f>
        <v/>
      </c>
      <c r="U139">
        <f>IF(NOT(ISNUMBER($D139)),"",_xlfn.NORM.DIST(U$1,$D139,$E139,TRUE)-_xlfn.NORM.DIST(U$2,$D139,$E139,TRUE))</f>
        <v/>
      </c>
      <c r="V139">
        <f>IF(NOT(ISNUMBER($D139)),"",_xlfn.NORM.DIST(V$1,$D139,$E139,TRUE)-_xlfn.NORM.DIST(V$2,$D139,$E139,TRUE))</f>
        <v/>
      </c>
      <c r="W139">
        <f>IF(NOT(ISNUMBER($D139)),"",_xlfn.NORM.DIST(W$1,$D139,$E139,TRUE)-_xlfn.NORM.DIST(W$2,$D139,$E139,TRUE))</f>
        <v/>
      </c>
      <c r="X139">
        <f>IF(NOT(ISNUMBER($D139)),"",_xlfn.NORM.DIST(X$1,$D139,$E139,TRUE)-_xlfn.NORM.DIST(X$2,$D139,$E139,TRUE))</f>
        <v/>
      </c>
      <c r="Y139">
        <f>IF(NOT(ISNUMBER($D139)),"",_xlfn.NORM.DIST(Y$1,$D139,$E139,TRUE)-_xlfn.NORM.DIST(Y$2,$D139,$E139,TRUE))</f>
        <v/>
      </c>
      <c r="Z139">
        <f>IF(NOT(ISNUMBER($D139)),"",_xlfn.NORM.DIST(Z$1,$D139,$E139,TRUE)-_xlfn.NORM.DIST(Z$2,$D139,$E139,TRUE))</f>
        <v/>
      </c>
      <c r="AA139">
        <f>IF(NOT(ISNUMBER($D139)),"",_xlfn.NORM.DIST(AA$1,$D139,$E139,TRUE)-_xlfn.NORM.DIST(AA$2,$D139,$E139,TRUE))</f>
        <v/>
      </c>
      <c r="AB139">
        <f>IF(NOT(ISNUMBER($D139)),"",_xlfn.NORM.DIST(AB$1,$D139,$E139,TRUE)-_xlfn.NORM.DIST(AB$2,$D139,$E139,TRUE))</f>
        <v/>
      </c>
      <c r="AC139">
        <f>IF(NOT(ISNUMBER($D139)),"",_xlfn.NORM.DIST(AC$1,$D139,$E139,TRUE)-_xlfn.NORM.DIST(AC$2,$D139,$E139,TRUE))</f>
        <v/>
      </c>
      <c r="AD139">
        <f>IF(NOT(ISNUMBER($D139)),"",_xlfn.NORM.DIST(AD$1,$D139,$E139,TRUE)-_xlfn.NORM.DIST(AD$2,$D139,$E139,TRUE))</f>
        <v/>
      </c>
      <c r="AE139">
        <f>IF(NOT(ISNUMBER($D139)),"",_xlfn.NORM.DIST(AE$1,$D139,$E139,TRUE)-_xlfn.NORM.DIST(AE$2,$D139,$E139,TRUE))</f>
        <v/>
      </c>
      <c r="AF139">
        <f>IF(NOT(ISNUMBER($D139)),"",_xlfn.NORM.DIST(AF$1,$D139,$E139,TRUE)-_xlfn.NORM.DIST(AF$2,$D139,$E139,TRUE))</f>
        <v/>
      </c>
      <c r="AG139">
        <f>IF(NOT(ISNUMBER($D139)),"",_xlfn.NORM.DIST(AG$1,$D139,$E139,TRUE)-_xlfn.NORM.DIST(AG$2,$D139,$E139,TRUE))</f>
        <v/>
      </c>
      <c r="AH139">
        <f>IF(NOT(ISNUMBER($D139)),"",_xlfn.NORM.DIST(AH$1,$D139,$E139,TRUE)-_xlfn.NORM.DIST(AH$2,$D139,$E139,TRUE))</f>
        <v/>
      </c>
      <c r="AI139">
        <f>IF(NOT(ISNUMBER($D139)),"",_xlfn.NORM.DIST(AI$1,$D139,$E139,TRUE)-_xlfn.NORM.DIST(AI$2,$D139,$E139,TRUE))</f>
        <v/>
      </c>
      <c r="AJ139">
        <f>IF(NOT(ISNUMBER($D139)),"",_xlfn.NORM.DIST(AJ$1,$D139,$E139,TRUE)-_xlfn.NORM.DIST(AJ$2,$D139,$E139,TRUE))</f>
        <v/>
      </c>
      <c r="AK139">
        <f>IF(NOT(ISNUMBER($D139)),"",_xlfn.NORM.DIST(AK$1,$D139,$E139,TRUE)-_xlfn.NORM.DIST(AK$2,$D139,$E139,TRUE))</f>
        <v/>
      </c>
      <c r="AL139">
        <f>IF(NOT(ISNUMBER($D139)),"",_xlfn.NORM.DIST(AL$1,$D139,$E139,TRUE)-_xlfn.NORM.DIST(AL$2,$D139,$E139,TRUE))</f>
        <v/>
      </c>
      <c r="AM139">
        <f>IF(NOT(ISNUMBER($D139)),"",_xlfn.NORM.DIST(AM$1,$D139,$E139,TRUE)-_xlfn.NORM.DIST(AM$2,$D139,$E139,TRUE))</f>
        <v/>
      </c>
      <c r="AN139">
        <f>IF(NOT(ISNUMBER($D139)),"",_xlfn.NORM.DIST(AN$1,$D139,$E139,TRUE)-_xlfn.NORM.DIST(AN$2,$D139,$E139,TRUE))</f>
        <v/>
      </c>
      <c r="AO139">
        <f>IF(NOT(ISNUMBER($D139)),"",_xlfn.NORM.DIST(AO$1,$D139,$E139,TRUE)-_xlfn.NORM.DIST(AO$2,$D139,$E139,TRUE))</f>
        <v/>
      </c>
      <c r="AP139">
        <f>IF(NOT(ISNUMBER($D139)),"",_xlfn.NORM.DIST(AP$1,$D139,$E139,TRUE)-_xlfn.NORM.DIST(AP$2,$D139,$E139,TRUE))</f>
        <v/>
      </c>
      <c r="AQ139">
        <f>IF(NOT(ISNUMBER($D139)),"",_xlfn.NORM.DIST(AQ$1,$D139,$E139,TRUE)-_xlfn.NORM.DIST(AQ$2,$D139,$E139,TRUE))</f>
        <v/>
      </c>
      <c r="AR139">
        <f>IF(NOT(ISNUMBER($D139)),"",_xlfn.NORM.DIST(AR$1,$D139,$E139,TRUE)-_xlfn.NORM.DIST(AR$2,$D139,$E139,TRUE))</f>
        <v/>
      </c>
      <c r="AS139">
        <f>IF(NOT(ISNUMBER($D139)),"",_xlfn.NORM.DIST(AS$1,$D139,$E139,TRUE)-_xlfn.NORM.DIST(AS$2,$D139,$E139,TRUE))</f>
        <v/>
      </c>
      <c r="AT139">
        <f>IF(NOT(ISNUMBER($D139)),"",_xlfn.NORM.DIST(AT$1,$D139,$E139,TRUE)-_xlfn.NORM.DIST(AT$2,$D139,$E139,TRUE))</f>
        <v/>
      </c>
      <c r="AU139">
        <f>IF(NOT(ISNUMBER($D139)),"",_xlfn.NORM.DIST(AU$1,$D139,$E139,TRUE)-_xlfn.NORM.DIST(AU$2,$D139,$E139,TRUE))</f>
        <v/>
      </c>
      <c r="AV139">
        <f>IF(NOT(ISNUMBER($D139)),"",_xlfn.NORM.DIST(AV$1,$D139,$E139,TRUE)-_xlfn.NORM.DIST(AV$2,$D139,$E139,TRUE))</f>
        <v/>
      </c>
      <c r="AW139">
        <f>IF(NOT(ISNUMBER($D139)),"",_xlfn.NORM.DIST(AW$1,$D139,$E139,TRUE)-_xlfn.NORM.DIST(AW$2,$D139,$E139,TRUE))</f>
        <v/>
      </c>
      <c r="AX139">
        <f>IF(NOT(ISNUMBER($D139)),"",_xlfn.NORM.DIST(AX$1,$D139,$E139,TRUE)-_xlfn.NORM.DIST(AX$2,$D139,$E139,TRUE))</f>
        <v/>
      </c>
      <c r="AY139">
        <f>IF(NOT(ISNUMBER($D139)),"",_xlfn.NORM.DIST(AY$1,$D139,$E139,TRUE)-_xlfn.NORM.DIST(AY$2,$D139,$E139,TRUE))</f>
        <v/>
      </c>
      <c r="AZ139">
        <f>IF(NOT(ISNUMBER($D139)),"",_xlfn.NORM.DIST(AZ$1,$D139,$E139,TRUE)-_xlfn.NORM.DIST(AZ$2,$D139,$E139,TRUE))</f>
        <v/>
      </c>
      <c r="BA139">
        <f>IF(NOT(ISNUMBER($D139)),"",_xlfn.NORM.DIST(BA$1,$D139,$E139,TRUE)-_xlfn.NORM.DIST(BA$2,$D139,$E139,TRUE))</f>
        <v/>
      </c>
      <c r="BB139">
        <f>IF(NOT(ISNUMBER($D139)),"",_xlfn.NORM.DIST(BB$1,$D139,$E139,TRUE)-_xlfn.NORM.DIST(BB$2,$D139,$E139,TRUE))</f>
        <v/>
      </c>
      <c r="BC139">
        <f>IF(NOT(ISNUMBER($D139)),"",_xlfn.NORM.DIST(BC$1,$D139,$E139,TRUE)-_xlfn.NORM.DIST(BC$2,$D139,$E139,TRUE))</f>
        <v/>
      </c>
      <c r="BD139">
        <f>IF(NOT(ISNUMBER($D139)),"",_xlfn.NORM.DIST(BD$1,$D139,$E139,TRUE)-_xlfn.NORM.DIST(BD$2,$D139,$E139,TRUE))</f>
        <v/>
      </c>
      <c r="BE139">
        <f>IF(NOT(ISNUMBER($D139)),"",_xlfn.NORM.DIST(BE$1,$D139,$E139,TRUE)-_xlfn.NORM.DIST(BE$2,$D139,$E139,TRUE))</f>
        <v/>
      </c>
      <c r="BF139">
        <f>IF(NOT(ISNUMBER($D139)),"",_xlfn.NORM.DIST(BF$1,$D139,$E139,TRUE)-_xlfn.NORM.DIST(BF$2,$D139,$E139,TRUE))</f>
        <v/>
      </c>
      <c r="BG139">
        <f>IF(NOT(ISNUMBER($D139)),"",_xlfn.NORM.DIST(BG$1,$D139,$E139,TRUE)-_xlfn.NORM.DIST(BG$2,$D139,$E139,TRUE))</f>
        <v/>
      </c>
      <c r="BH139">
        <f>IF(NOT(ISNUMBER($D139)),"",_xlfn.NORM.DIST(BH$1,$D139,$E139,TRUE)-_xlfn.NORM.DIST(BH$2,$D139,$E139,TRUE))</f>
        <v/>
      </c>
      <c r="BI139">
        <f>IF(NOT(ISNUMBER($D139)),"",_xlfn.NORM.DIST(BI$1,$D139,$E139,TRUE)-_xlfn.NORM.DIST(BI$2,$D139,$E139,TRUE))</f>
        <v/>
      </c>
      <c r="BJ139">
        <f>IF(NOT(ISNUMBER($D139)),"",_xlfn.NORM.DIST(BJ$1,$D139,$E139,TRUE)-_xlfn.NORM.DIST(BJ$2,$D139,$E139,TRUE))</f>
        <v/>
      </c>
      <c r="BK139">
        <f>IF(NOT(ISNUMBER($D139)),"",_xlfn.NORM.DIST(BK$1,$D139,$E139,TRUE)-_xlfn.NORM.DIST(BK$2,$D139,$E139,TRUE))</f>
        <v/>
      </c>
      <c r="BL139">
        <f>IF(NOT(ISNUMBER($D139)),"",_xlfn.NORM.DIST(BL$1,$D139,$E139,TRUE)-_xlfn.NORM.DIST(BL$2,$D139,$E139,TRUE))</f>
        <v/>
      </c>
      <c r="BM139">
        <f>IF(NOT(ISNUMBER($D139)),"",_xlfn.NORM.DIST(BM$1,$D139,$E139,TRUE)-_xlfn.NORM.DIST(BM$2,$D139,$E139,TRUE))</f>
        <v/>
      </c>
      <c r="BN139">
        <f>IF(NOT(ISNUMBER($D139)),"",_xlfn.NORM.DIST(BN$1,$D139,$E139,TRUE)-_xlfn.NORM.DIST(BN$2,$D139,$E139,TRUE))</f>
        <v/>
      </c>
      <c r="BO139">
        <f>IF(NOT(ISNUMBER($D139)),"",_xlfn.NORM.DIST(BO$1,$D139,$E139,TRUE)-_xlfn.NORM.DIST(BO$2,$D139,$E139,TRUE))</f>
        <v/>
      </c>
      <c r="BP139">
        <f>IF(NOT(ISNUMBER($D139)),"",_xlfn.NORM.DIST(BP$1,$D139,$E139,TRUE)-_xlfn.NORM.DIST(BP$2,$D139,$E139,TRUE))</f>
        <v/>
      </c>
      <c r="BQ139">
        <f>IF(NOT(ISNUMBER($D139)),"",_xlfn.NORM.DIST(BQ$1,$D139,$E139,TRUE)-_xlfn.NORM.DIST(BQ$2,$D139,$E139,TRUE))</f>
        <v/>
      </c>
      <c r="BR139">
        <f>IF(NOT(ISNUMBER($D139)),"",_xlfn.NORM.DIST(BR$1,$D139,$E139,TRUE)-_xlfn.NORM.DIST(BR$2,$D139,$E139,TRUE))</f>
        <v/>
      </c>
      <c r="BS139">
        <f>IF(NOT(ISNUMBER($D139)),"",_xlfn.NORM.DIST(BS$1,$D139,$E139,TRUE)-_xlfn.NORM.DIST(BS$2,$D139,$E139,TRUE))</f>
        <v/>
      </c>
      <c r="BT139">
        <f>IF(NOT(ISNUMBER($D139)),"",_xlfn.NORM.DIST(BT$1,$D139,$E139,TRUE)-_xlfn.NORM.DIST(BT$2,$D139,$E139,TRUE))</f>
        <v/>
      </c>
      <c r="BU139">
        <f>IF(NOT(ISNUMBER($D139)),"",_xlfn.NORM.DIST(BU$1,$D139,$E139,TRUE)-_xlfn.NORM.DIST(BU$2,$D139,$E139,TRUE))</f>
        <v/>
      </c>
      <c r="BV139">
        <f>IF(NOT(ISNUMBER($D139)),"",_xlfn.NORM.DIST(BV$1,$D139,$E139,TRUE)-_xlfn.NORM.DIST(BV$2,$D139,$E139,TRUE))</f>
        <v/>
      </c>
      <c r="BW139">
        <f>IF(NOT(ISNUMBER($D139)),"",_xlfn.NORM.DIST(BW$1,$D139,$E139,TRUE)-_xlfn.NORM.DIST(BW$2,$D139,$E139,TRUE))</f>
        <v/>
      </c>
      <c r="BX139">
        <f>IF(NOT(ISNUMBER($D139)),"",_xlfn.NORM.DIST(BX$1,$D139,$E139,TRUE)-_xlfn.NORM.DIST(BX$2,$D139,$E139,TRUE))</f>
        <v/>
      </c>
      <c r="BY139">
        <f>IF(NOT(ISNUMBER($D139)),"",_xlfn.NORM.DIST(BY$1,$D139,$E139,TRUE)-_xlfn.NORM.DIST(BY$2,$D139,$E139,TRUE))</f>
        <v/>
      </c>
      <c r="BZ139">
        <f>IF(NOT(ISNUMBER($D139)),"",_xlfn.NORM.DIST(BZ$1,$D139,$E139,TRUE)-_xlfn.NORM.DIST(BZ$2,$D139,$E139,TRUE))</f>
        <v/>
      </c>
      <c r="CA139">
        <f>IF(NOT(ISNUMBER($D139)),"",_xlfn.NORM.DIST(CA$1,$D139,$E139,TRUE)-_xlfn.NORM.DIST(CA$2,$D139,$E139,TRUE))</f>
        <v/>
      </c>
      <c r="CB139">
        <f>IF(NOT(ISNUMBER($D139)),"",_xlfn.NORM.DIST(CB$1,$D139,$E139,TRUE)-_xlfn.NORM.DIST(CB$2,$D139,$E139,TRUE))</f>
        <v/>
      </c>
      <c r="CC139">
        <f>IF(NOT(ISNUMBER($D139)),"",_xlfn.NORM.DIST(CC$1,$D139,$E139,TRUE)-_xlfn.NORM.DIST(CC$2,$D139,$E139,TRUE))</f>
        <v/>
      </c>
      <c r="CD139">
        <f>IF(NOT(ISNUMBER($D139)),"",_xlfn.NORM.DIST(CD$1,$D139,$E139,TRUE)-_xlfn.NORM.DIST(CD$2,$D139,$E139,TRUE))</f>
        <v/>
      </c>
      <c r="CE139">
        <f>IF(NOT(ISNUMBER($D139)),"",_xlfn.NORM.DIST(CE$1,$D139,$E139,TRUE)-_xlfn.NORM.DIST(CE$2,$D139,$E139,TRUE))</f>
        <v/>
      </c>
      <c r="CF139">
        <f>IF(NOT(ISNUMBER($D139)),"",_xlfn.NORM.DIST(CF$1,$D139,$E139,TRUE)-_xlfn.NORM.DIST(CF$2,$D139,$E139,TRUE))</f>
        <v/>
      </c>
      <c r="CG139">
        <f>IF(NOT(ISNUMBER($D139)),"",_xlfn.NORM.DIST(CG$1,$D139,$E139,TRUE)-_xlfn.NORM.DIST(CG$2,$D139,$E139,TRUE))</f>
        <v/>
      </c>
      <c r="CH139">
        <f>IF(NOT(ISNUMBER($D139)),"",_xlfn.NORM.DIST(CH$1,$D139,$E139,TRUE)-_xlfn.NORM.DIST(CH$2,$D139,$E139,TRUE))</f>
        <v/>
      </c>
      <c r="CI139">
        <f>IF(NOT(ISNUMBER($D139)),"",_xlfn.NORM.DIST(CI$1,$D139,$E139,TRUE)-_xlfn.NORM.DIST(CI$2,$D139,$E139,TRUE))</f>
        <v/>
      </c>
      <c r="CJ139">
        <f>IF(ISNUMBER($D139),SUM(F139:CI139),"")</f>
        <v/>
      </c>
    </row>
    <row r="140">
      <c r="A140">
        <f>economics!A139</f>
        <v/>
      </c>
      <c r="B140">
        <f>economics!B139</f>
        <v/>
      </c>
      <c r="C140">
        <f>economics!D139</f>
        <v/>
      </c>
      <c r="D140">
        <f>IF(ISNUMBER(economics!T139),economics!T139,"na")</f>
        <v/>
      </c>
      <c r="E140">
        <f>IF(ISNUMBER(D140),MAX(0.3*ABS(D140),0.000001),"na")</f>
        <v/>
      </c>
      <c r="F140">
        <f>IF(NOT(ISNUMBER($D140)),"",_xlfn.NORM.DIST(F$1,$D140,$E140,TRUE)-_xlfn.NORM.DIST(F$2,$D140,$E140,TRUE))</f>
        <v/>
      </c>
      <c r="G140">
        <f>IF(NOT(ISNUMBER($D140)),"",_xlfn.NORM.DIST(G$1,$D140,$E140,TRUE)-_xlfn.NORM.DIST(G$2,$D140,$E140,TRUE))</f>
        <v/>
      </c>
      <c r="H140">
        <f>IF(NOT(ISNUMBER($D140)),"",_xlfn.NORM.DIST(H$1,$D140,$E140,TRUE)-_xlfn.NORM.DIST(H$2,$D140,$E140,TRUE))</f>
        <v/>
      </c>
      <c r="I140">
        <f>IF(NOT(ISNUMBER($D140)),"",_xlfn.NORM.DIST(I$1,$D140,$E140,TRUE)-_xlfn.NORM.DIST(I$2,$D140,$E140,TRUE))</f>
        <v/>
      </c>
      <c r="J140">
        <f>IF(NOT(ISNUMBER($D140)),"",_xlfn.NORM.DIST(J$1,$D140,$E140,TRUE)-_xlfn.NORM.DIST(J$2,$D140,$E140,TRUE))</f>
        <v/>
      </c>
      <c r="K140">
        <f>IF(NOT(ISNUMBER($D140)),"",_xlfn.NORM.DIST(K$1,$D140,$E140,TRUE)-_xlfn.NORM.DIST(K$2,$D140,$E140,TRUE))</f>
        <v/>
      </c>
      <c r="L140">
        <f>IF(NOT(ISNUMBER($D140)),"",_xlfn.NORM.DIST(L$1,$D140,$E140,TRUE)-_xlfn.NORM.DIST(L$2,$D140,$E140,TRUE))</f>
        <v/>
      </c>
      <c r="M140">
        <f>IF(NOT(ISNUMBER($D140)),"",_xlfn.NORM.DIST(M$1,$D140,$E140,TRUE)-_xlfn.NORM.DIST(M$2,$D140,$E140,TRUE))</f>
        <v/>
      </c>
      <c r="N140">
        <f>IF(NOT(ISNUMBER($D140)),"",_xlfn.NORM.DIST(N$1,$D140,$E140,TRUE)-_xlfn.NORM.DIST(N$2,$D140,$E140,TRUE))</f>
        <v/>
      </c>
      <c r="O140">
        <f>IF(NOT(ISNUMBER($D140)),"",_xlfn.NORM.DIST(O$1,$D140,$E140,TRUE)-_xlfn.NORM.DIST(O$2,$D140,$E140,TRUE))</f>
        <v/>
      </c>
      <c r="P140">
        <f>IF(NOT(ISNUMBER($D140)),"",_xlfn.NORM.DIST(P$1,$D140,$E140,TRUE)-_xlfn.NORM.DIST(P$2,$D140,$E140,TRUE))</f>
        <v/>
      </c>
      <c r="Q140">
        <f>IF(NOT(ISNUMBER($D140)),"",_xlfn.NORM.DIST(Q$1,$D140,$E140,TRUE)-_xlfn.NORM.DIST(Q$2,$D140,$E140,TRUE))</f>
        <v/>
      </c>
      <c r="R140">
        <f>IF(NOT(ISNUMBER($D140)),"",_xlfn.NORM.DIST(R$1,$D140,$E140,TRUE)-_xlfn.NORM.DIST(R$2,$D140,$E140,TRUE))</f>
        <v/>
      </c>
      <c r="S140">
        <f>IF(NOT(ISNUMBER($D140)),"",_xlfn.NORM.DIST(S$1,$D140,$E140,TRUE)-_xlfn.NORM.DIST(S$2,$D140,$E140,TRUE))</f>
        <v/>
      </c>
      <c r="T140">
        <f>IF(NOT(ISNUMBER($D140)),"",_xlfn.NORM.DIST(T$1,$D140,$E140,TRUE)-_xlfn.NORM.DIST(T$2,$D140,$E140,TRUE))</f>
        <v/>
      </c>
      <c r="U140">
        <f>IF(NOT(ISNUMBER($D140)),"",_xlfn.NORM.DIST(U$1,$D140,$E140,TRUE)-_xlfn.NORM.DIST(U$2,$D140,$E140,TRUE))</f>
        <v/>
      </c>
      <c r="V140">
        <f>IF(NOT(ISNUMBER($D140)),"",_xlfn.NORM.DIST(V$1,$D140,$E140,TRUE)-_xlfn.NORM.DIST(V$2,$D140,$E140,TRUE))</f>
        <v/>
      </c>
      <c r="W140">
        <f>IF(NOT(ISNUMBER($D140)),"",_xlfn.NORM.DIST(W$1,$D140,$E140,TRUE)-_xlfn.NORM.DIST(W$2,$D140,$E140,TRUE))</f>
        <v/>
      </c>
      <c r="X140">
        <f>IF(NOT(ISNUMBER($D140)),"",_xlfn.NORM.DIST(X$1,$D140,$E140,TRUE)-_xlfn.NORM.DIST(X$2,$D140,$E140,TRUE))</f>
        <v/>
      </c>
      <c r="Y140">
        <f>IF(NOT(ISNUMBER($D140)),"",_xlfn.NORM.DIST(Y$1,$D140,$E140,TRUE)-_xlfn.NORM.DIST(Y$2,$D140,$E140,TRUE))</f>
        <v/>
      </c>
      <c r="Z140">
        <f>IF(NOT(ISNUMBER($D140)),"",_xlfn.NORM.DIST(Z$1,$D140,$E140,TRUE)-_xlfn.NORM.DIST(Z$2,$D140,$E140,TRUE))</f>
        <v/>
      </c>
      <c r="AA140">
        <f>IF(NOT(ISNUMBER($D140)),"",_xlfn.NORM.DIST(AA$1,$D140,$E140,TRUE)-_xlfn.NORM.DIST(AA$2,$D140,$E140,TRUE))</f>
        <v/>
      </c>
      <c r="AB140">
        <f>IF(NOT(ISNUMBER($D140)),"",_xlfn.NORM.DIST(AB$1,$D140,$E140,TRUE)-_xlfn.NORM.DIST(AB$2,$D140,$E140,TRUE))</f>
        <v/>
      </c>
      <c r="AC140">
        <f>IF(NOT(ISNUMBER($D140)),"",_xlfn.NORM.DIST(AC$1,$D140,$E140,TRUE)-_xlfn.NORM.DIST(AC$2,$D140,$E140,TRUE))</f>
        <v/>
      </c>
      <c r="AD140">
        <f>IF(NOT(ISNUMBER($D140)),"",_xlfn.NORM.DIST(AD$1,$D140,$E140,TRUE)-_xlfn.NORM.DIST(AD$2,$D140,$E140,TRUE))</f>
        <v/>
      </c>
      <c r="AE140">
        <f>IF(NOT(ISNUMBER($D140)),"",_xlfn.NORM.DIST(AE$1,$D140,$E140,TRUE)-_xlfn.NORM.DIST(AE$2,$D140,$E140,TRUE))</f>
        <v/>
      </c>
      <c r="AF140">
        <f>IF(NOT(ISNUMBER($D140)),"",_xlfn.NORM.DIST(AF$1,$D140,$E140,TRUE)-_xlfn.NORM.DIST(AF$2,$D140,$E140,TRUE))</f>
        <v/>
      </c>
      <c r="AG140">
        <f>IF(NOT(ISNUMBER($D140)),"",_xlfn.NORM.DIST(AG$1,$D140,$E140,TRUE)-_xlfn.NORM.DIST(AG$2,$D140,$E140,TRUE))</f>
        <v/>
      </c>
      <c r="AH140">
        <f>IF(NOT(ISNUMBER($D140)),"",_xlfn.NORM.DIST(AH$1,$D140,$E140,TRUE)-_xlfn.NORM.DIST(AH$2,$D140,$E140,TRUE))</f>
        <v/>
      </c>
      <c r="AI140">
        <f>IF(NOT(ISNUMBER($D140)),"",_xlfn.NORM.DIST(AI$1,$D140,$E140,TRUE)-_xlfn.NORM.DIST(AI$2,$D140,$E140,TRUE))</f>
        <v/>
      </c>
      <c r="AJ140">
        <f>IF(NOT(ISNUMBER($D140)),"",_xlfn.NORM.DIST(AJ$1,$D140,$E140,TRUE)-_xlfn.NORM.DIST(AJ$2,$D140,$E140,TRUE))</f>
        <v/>
      </c>
      <c r="AK140">
        <f>IF(NOT(ISNUMBER($D140)),"",_xlfn.NORM.DIST(AK$1,$D140,$E140,TRUE)-_xlfn.NORM.DIST(AK$2,$D140,$E140,TRUE))</f>
        <v/>
      </c>
      <c r="AL140">
        <f>IF(NOT(ISNUMBER($D140)),"",_xlfn.NORM.DIST(AL$1,$D140,$E140,TRUE)-_xlfn.NORM.DIST(AL$2,$D140,$E140,TRUE))</f>
        <v/>
      </c>
      <c r="AM140">
        <f>IF(NOT(ISNUMBER($D140)),"",_xlfn.NORM.DIST(AM$1,$D140,$E140,TRUE)-_xlfn.NORM.DIST(AM$2,$D140,$E140,TRUE))</f>
        <v/>
      </c>
      <c r="AN140">
        <f>IF(NOT(ISNUMBER($D140)),"",_xlfn.NORM.DIST(AN$1,$D140,$E140,TRUE)-_xlfn.NORM.DIST(AN$2,$D140,$E140,TRUE))</f>
        <v/>
      </c>
      <c r="AO140">
        <f>IF(NOT(ISNUMBER($D140)),"",_xlfn.NORM.DIST(AO$1,$D140,$E140,TRUE)-_xlfn.NORM.DIST(AO$2,$D140,$E140,TRUE))</f>
        <v/>
      </c>
      <c r="AP140">
        <f>IF(NOT(ISNUMBER($D140)),"",_xlfn.NORM.DIST(AP$1,$D140,$E140,TRUE)-_xlfn.NORM.DIST(AP$2,$D140,$E140,TRUE))</f>
        <v/>
      </c>
      <c r="AQ140">
        <f>IF(NOT(ISNUMBER($D140)),"",_xlfn.NORM.DIST(AQ$1,$D140,$E140,TRUE)-_xlfn.NORM.DIST(AQ$2,$D140,$E140,TRUE))</f>
        <v/>
      </c>
      <c r="AR140">
        <f>IF(NOT(ISNUMBER($D140)),"",_xlfn.NORM.DIST(AR$1,$D140,$E140,TRUE)-_xlfn.NORM.DIST(AR$2,$D140,$E140,TRUE))</f>
        <v/>
      </c>
      <c r="AS140">
        <f>IF(NOT(ISNUMBER($D140)),"",_xlfn.NORM.DIST(AS$1,$D140,$E140,TRUE)-_xlfn.NORM.DIST(AS$2,$D140,$E140,TRUE))</f>
        <v/>
      </c>
      <c r="AT140">
        <f>IF(NOT(ISNUMBER($D140)),"",_xlfn.NORM.DIST(AT$1,$D140,$E140,TRUE)-_xlfn.NORM.DIST(AT$2,$D140,$E140,TRUE))</f>
        <v/>
      </c>
      <c r="AU140">
        <f>IF(NOT(ISNUMBER($D140)),"",_xlfn.NORM.DIST(AU$1,$D140,$E140,TRUE)-_xlfn.NORM.DIST(AU$2,$D140,$E140,TRUE))</f>
        <v/>
      </c>
      <c r="AV140">
        <f>IF(NOT(ISNUMBER($D140)),"",_xlfn.NORM.DIST(AV$1,$D140,$E140,TRUE)-_xlfn.NORM.DIST(AV$2,$D140,$E140,TRUE))</f>
        <v/>
      </c>
      <c r="AW140">
        <f>IF(NOT(ISNUMBER($D140)),"",_xlfn.NORM.DIST(AW$1,$D140,$E140,TRUE)-_xlfn.NORM.DIST(AW$2,$D140,$E140,TRUE))</f>
        <v/>
      </c>
      <c r="AX140">
        <f>IF(NOT(ISNUMBER($D140)),"",_xlfn.NORM.DIST(AX$1,$D140,$E140,TRUE)-_xlfn.NORM.DIST(AX$2,$D140,$E140,TRUE))</f>
        <v/>
      </c>
      <c r="AY140">
        <f>IF(NOT(ISNUMBER($D140)),"",_xlfn.NORM.DIST(AY$1,$D140,$E140,TRUE)-_xlfn.NORM.DIST(AY$2,$D140,$E140,TRUE))</f>
        <v/>
      </c>
      <c r="AZ140">
        <f>IF(NOT(ISNUMBER($D140)),"",_xlfn.NORM.DIST(AZ$1,$D140,$E140,TRUE)-_xlfn.NORM.DIST(AZ$2,$D140,$E140,TRUE))</f>
        <v/>
      </c>
      <c r="BA140">
        <f>IF(NOT(ISNUMBER($D140)),"",_xlfn.NORM.DIST(BA$1,$D140,$E140,TRUE)-_xlfn.NORM.DIST(BA$2,$D140,$E140,TRUE))</f>
        <v/>
      </c>
      <c r="BB140">
        <f>IF(NOT(ISNUMBER($D140)),"",_xlfn.NORM.DIST(BB$1,$D140,$E140,TRUE)-_xlfn.NORM.DIST(BB$2,$D140,$E140,TRUE))</f>
        <v/>
      </c>
      <c r="BC140">
        <f>IF(NOT(ISNUMBER($D140)),"",_xlfn.NORM.DIST(BC$1,$D140,$E140,TRUE)-_xlfn.NORM.DIST(BC$2,$D140,$E140,TRUE))</f>
        <v/>
      </c>
      <c r="BD140">
        <f>IF(NOT(ISNUMBER($D140)),"",_xlfn.NORM.DIST(BD$1,$D140,$E140,TRUE)-_xlfn.NORM.DIST(BD$2,$D140,$E140,TRUE))</f>
        <v/>
      </c>
      <c r="BE140">
        <f>IF(NOT(ISNUMBER($D140)),"",_xlfn.NORM.DIST(BE$1,$D140,$E140,TRUE)-_xlfn.NORM.DIST(BE$2,$D140,$E140,TRUE))</f>
        <v/>
      </c>
      <c r="BF140">
        <f>IF(NOT(ISNUMBER($D140)),"",_xlfn.NORM.DIST(BF$1,$D140,$E140,TRUE)-_xlfn.NORM.DIST(BF$2,$D140,$E140,TRUE))</f>
        <v/>
      </c>
      <c r="BG140">
        <f>IF(NOT(ISNUMBER($D140)),"",_xlfn.NORM.DIST(BG$1,$D140,$E140,TRUE)-_xlfn.NORM.DIST(BG$2,$D140,$E140,TRUE))</f>
        <v/>
      </c>
      <c r="BH140">
        <f>IF(NOT(ISNUMBER($D140)),"",_xlfn.NORM.DIST(BH$1,$D140,$E140,TRUE)-_xlfn.NORM.DIST(BH$2,$D140,$E140,TRUE))</f>
        <v/>
      </c>
      <c r="BI140">
        <f>IF(NOT(ISNUMBER($D140)),"",_xlfn.NORM.DIST(BI$1,$D140,$E140,TRUE)-_xlfn.NORM.DIST(BI$2,$D140,$E140,TRUE))</f>
        <v/>
      </c>
      <c r="BJ140">
        <f>IF(NOT(ISNUMBER($D140)),"",_xlfn.NORM.DIST(BJ$1,$D140,$E140,TRUE)-_xlfn.NORM.DIST(BJ$2,$D140,$E140,TRUE))</f>
        <v/>
      </c>
      <c r="BK140">
        <f>IF(NOT(ISNUMBER($D140)),"",_xlfn.NORM.DIST(BK$1,$D140,$E140,TRUE)-_xlfn.NORM.DIST(BK$2,$D140,$E140,TRUE))</f>
        <v/>
      </c>
      <c r="BL140">
        <f>IF(NOT(ISNUMBER($D140)),"",_xlfn.NORM.DIST(BL$1,$D140,$E140,TRUE)-_xlfn.NORM.DIST(BL$2,$D140,$E140,TRUE))</f>
        <v/>
      </c>
      <c r="BM140">
        <f>IF(NOT(ISNUMBER($D140)),"",_xlfn.NORM.DIST(BM$1,$D140,$E140,TRUE)-_xlfn.NORM.DIST(BM$2,$D140,$E140,TRUE))</f>
        <v/>
      </c>
      <c r="BN140">
        <f>IF(NOT(ISNUMBER($D140)),"",_xlfn.NORM.DIST(BN$1,$D140,$E140,TRUE)-_xlfn.NORM.DIST(BN$2,$D140,$E140,TRUE))</f>
        <v/>
      </c>
      <c r="BO140">
        <f>IF(NOT(ISNUMBER($D140)),"",_xlfn.NORM.DIST(BO$1,$D140,$E140,TRUE)-_xlfn.NORM.DIST(BO$2,$D140,$E140,TRUE))</f>
        <v/>
      </c>
      <c r="BP140">
        <f>IF(NOT(ISNUMBER($D140)),"",_xlfn.NORM.DIST(BP$1,$D140,$E140,TRUE)-_xlfn.NORM.DIST(BP$2,$D140,$E140,TRUE))</f>
        <v/>
      </c>
      <c r="BQ140">
        <f>IF(NOT(ISNUMBER($D140)),"",_xlfn.NORM.DIST(BQ$1,$D140,$E140,TRUE)-_xlfn.NORM.DIST(BQ$2,$D140,$E140,TRUE))</f>
        <v/>
      </c>
      <c r="BR140">
        <f>IF(NOT(ISNUMBER($D140)),"",_xlfn.NORM.DIST(BR$1,$D140,$E140,TRUE)-_xlfn.NORM.DIST(BR$2,$D140,$E140,TRUE))</f>
        <v/>
      </c>
      <c r="BS140">
        <f>IF(NOT(ISNUMBER($D140)),"",_xlfn.NORM.DIST(BS$1,$D140,$E140,TRUE)-_xlfn.NORM.DIST(BS$2,$D140,$E140,TRUE))</f>
        <v/>
      </c>
      <c r="BT140">
        <f>IF(NOT(ISNUMBER($D140)),"",_xlfn.NORM.DIST(BT$1,$D140,$E140,TRUE)-_xlfn.NORM.DIST(BT$2,$D140,$E140,TRUE))</f>
        <v/>
      </c>
      <c r="BU140">
        <f>IF(NOT(ISNUMBER($D140)),"",_xlfn.NORM.DIST(BU$1,$D140,$E140,TRUE)-_xlfn.NORM.DIST(BU$2,$D140,$E140,TRUE))</f>
        <v/>
      </c>
      <c r="BV140">
        <f>IF(NOT(ISNUMBER($D140)),"",_xlfn.NORM.DIST(BV$1,$D140,$E140,TRUE)-_xlfn.NORM.DIST(BV$2,$D140,$E140,TRUE))</f>
        <v/>
      </c>
      <c r="BW140">
        <f>IF(NOT(ISNUMBER($D140)),"",_xlfn.NORM.DIST(BW$1,$D140,$E140,TRUE)-_xlfn.NORM.DIST(BW$2,$D140,$E140,TRUE))</f>
        <v/>
      </c>
      <c r="BX140">
        <f>IF(NOT(ISNUMBER($D140)),"",_xlfn.NORM.DIST(BX$1,$D140,$E140,TRUE)-_xlfn.NORM.DIST(BX$2,$D140,$E140,TRUE))</f>
        <v/>
      </c>
      <c r="BY140">
        <f>IF(NOT(ISNUMBER($D140)),"",_xlfn.NORM.DIST(BY$1,$D140,$E140,TRUE)-_xlfn.NORM.DIST(BY$2,$D140,$E140,TRUE))</f>
        <v/>
      </c>
      <c r="BZ140">
        <f>IF(NOT(ISNUMBER($D140)),"",_xlfn.NORM.DIST(BZ$1,$D140,$E140,TRUE)-_xlfn.NORM.DIST(BZ$2,$D140,$E140,TRUE))</f>
        <v/>
      </c>
      <c r="CA140">
        <f>IF(NOT(ISNUMBER($D140)),"",_xlfn.NORM.DIST(CA$1,$D140,$E140,TRUE)-_xlfn.NORM.DIST(CA$2,$D140,$E140,TRUE))</f>
        <v/>
      </c>
      <c r="CB140">
        <f>IF(NOT(ISNUMBER($D140)),"",_xlfn.NORM.DIST(CB$1,$D140,$E140,TRUE)-_xlfn.NORM.DIST(CB$2,$D140,$E140,TRUE))</f>
        <v/>
      </c>
      <c r="CC140">
        <f>IF(NOT(ISNUMBER($D140)),"",_xlfn.NORM.DIST(CC$1,$D140,$E140,TRUE)-_xlfn.NORM.DIST(CC$2,$D140,$E140,TRUE))</f>
        <v/>
      </c>
      <c r="CD140">
        <f>IF(NOT(ISNUMBER($D140)),"",_xlfn.NORM.DIST(CD$1,$D140,$E140,TRUE)-_xlfn.NORM.DIST(CD$2,$D140,$E140,TRUE))</f>
        <v/>
      </c>
      <c r="CE140">
        <f>IF(NOT(ISNUMBER($D140)),"",_xlfn.NORM.DIST(CE$1,$D140,$E140,TRUE)-_xlfn.NORM.DIST(CE$2,$D140,$E140,TRUE))</f>
        <v/>
      </c>
      <c r="CF140">
        <f>IF(NOT(ISNUMBER($D140)),"",_xlfn.NORM.DIST(CF$1,$D140,$E140,TRUE)-_xlfn.NORM.DIST(CF$2,$D140,$E140,TRUE))</f>
        <v/>
      </c>
      <c r="CG140">
        <f>IF(NOT(ISNUMBER($D140)),"",_xlfn.NORM.DIST(CG$1,$D140,$E140,TRUE)-_xlfn.NORM.DIST(CG$2,$D140,$E140,TRUE))</f>
        <v/>
      </c>
      <c r="CH140">
        <f>IF(NOT(ISNUMBER($D140)),"",_xlfn.NORM.DIST(CH$1,$D140,$E140,TRUE)-_xlfn.NORM.DIST(CH$2,$D140,$E140,TRUE))</f>
        <v/>
      </c>
      <c r="CI140">
        <f>IF(NOT(ISNUMBER($D140)),"",_xlfn.NORM.DIST(CI$1,$D140,$E140,TRUE)-_xlfn.NORM.DIST(CI$2,$D140,$E140,TRUE))</f>
        <v/>
      </c>
      <c r="CJ140">
        <f>IF(ISNUMBER($D140),SUM(F140:CI140),"")</f>
        <v/>
      </c>
    </row>
    <row r="141">
      <c r="A141">
        <f>economics!A140</f>
        <v/>
      </c>
      <c r="B141">
        <f>economics!B140</f>
        <v/>
      </c>
      <c r="C141">
        <f>economics!D140</f>
        <v/>
      </c>
      <c r="D141">
        <f>IF(ISNUMBER(economics!T140),economics!T140,"na")</f>
        <v/>
      </c>
      <c r="E141">
        <f>IF(ISNUMBER(D141),MAX(0.3*ABS(D141),0.000001),"na")</f>
        <v/>
      </c>
      <c r="F141">
        <f>IF(NOT(ISNUMBER($D141)),"",_xlfn.NORM.DIST(F$1,$D141,$E141,TRUE)-_xlfn.NORM.DIST(F$2,$D141,$E141,TRUE))</f>
        <v/>
      </c>
      <c r="G141">
        <f>IF(NOT(ISNUMBER($D141)),"",_xlfn.NORM.DIST(G$1,$D141,$E141,TRUE)-_xlfn.NORM.DIST(G$2,$D141,$E141,TRUE))</f>
        <v/>
      </c>
      <c r="H141">
        <f>IF(NOT(ISNUMBER($D141)),"",_xlfn.NORM.DIST(H$1,$D141,$E141,TRUE)-_xlfn.NORM.DIST(H$2,$D141,$E141,TRUE))</f>
        <v/>
      </c>
      <c r="I141">
        <f>IF(NOT(ISNUMBER($D141)),"",_xlfn.NORM.DIST(I$1,$D141,$E141,TRUE)-_xlfn.NORM.DIST(I$2,$D141,$E141,TRUE))</f>
        <v/>
      </c>
      <c r="J141">
        <f>IF(NOT(ISNUMBER($D141)),"",_xlfn.NORM.DIST(J$1,$D141,$E141,TRUE)-_xlfn.NORM.DIST(J$2,$D141,$E141,TRUE))</f>
        <v/>
      </c>
      <c r="K141">
        <f>IF(NOT(ISNUMBER($D141)),"",_xlfn.NORM.DIST(K$1,$D141,$E141,TRUE)-_xlfn.NORM.DIST(K$2,$D141,$E141,TRUE))</f>
        <v/>
      </c>
      <c r="L141">
        <f>IF(NOT(ISNUMBER($D141)),"",_xlfn.NORM.DIST(L$1,$D141,$E141,TRUE)-_xlfn.NORM.DIST(L$2,$D141,$E141,TRUE))</f>
        <v/>
      </c>
      <c r="M141">
        <f>IF(NOT(ISNUMBER($D141)),"",_xlfn.NORM.DIST(M$1,$D141,$E141,TRUE)-_xlfn.NORM.DIST(M$2,$D141,$E141,TRUE))</f>
        <v/>
      </c>
      <c r="N141">
        <f>IF(NOT(ISNUMBER($D141)),"",_xlfn.NORM.DIST(N$1,$D141,$E141,TRUE)-_xlfn.NORM.DIST(N$2,$D141,$E141,TRUE))</f>
        <v/>
      </c>
      <c r="O141">
        <f>IF(NOT(ISNUMBER($D141)),"",_xlfn.NORM.DIST(O$1,$D141,$E141,TRUE)-_xlfn.NORM.DIST(O$2,$D141,$E141,TRUE))</f>
        <v/>
      </c>
      <c r="P141">
        <f>IF(NOT(ISNUMBER($D141)),"",_xlfn.NORM.DIST(P$1,$D141,$E141,TRUE)-_xlfn.NORM.DIST(P$2,$D141,$E141,TRUE))</f>
        <v/>
      </c>
      <c r="Q141">
        <f>IF(NOT(ISNUMBER($D141)),"",_xlfn.NORM.DIST(Q$1,$D141,$E141,TRUE)-_xlfn.NORM.DIST(Q$2,$D141,$E141,TRUE))</f>
        <v/>
      </c>
      <c r="R141">
        <f>IF(NOT(ISNUMBER($D141)),"",_xlfn.NORM.DIST(R$1,$D141,$E141,TRUE)-_xlfn.NORM.DIST(R$2,$D141,$E141,TRUE))</f>
        <v/>
      </c>
      <c r="S141">
        <f>IF(NOT(ISNUMBER($D141)),"",_xlfn.NORM.DIST(S$1,$D141,$E141,TRUE)-_xlfn.NORM.DIST(S$2,$D141,$E141,TRUE))</f>
        <v/>
      </c>
      <c r="T141">
        <f>IF(NOT(ISNUMBER($D141)),"",_xlfn.NORM.DIST(T$1,$D141,$E141,TRUE)-_xlfn.NORM.DIST(T$2,$D141,$E141,TRUE))</f>
        <v/>
      </c>
      <c r="U141">
        <f>IF(NOT(ISNUMBER($D141)),"",_xlfn.NORM.DIST(U$1,$D141,$E141,TRUE)-_xlfn.NORM.DIST(U$2,$D141,$E141,TRUE))</f>
        <v/>
      </c>
      <c r="V141">
        <f>IF(NOT(ISNUMBER($D141)),"",_xlfn.NORM.DIST(V$1,$D141,$E141,TRUE)-_xlfn.NORM.DIST(V$2,$D141,$E141,TRUE))</f>
        <v/>
      </c>
      <c r="W141">
        <f>IF(NOT(ISNUMBER($D141)),"",_xlfn.NORM.DIST(W$1,$D141,$E141,TRUE)-_xlfn.NORM.DIST(W$2,$D141,$E141,TRUE))</f>
        <v/>
      </c>
      <c r="X141">
        <f>IF(NOT(ISNUMBER($D141)),"",_xlfn.NORM.DIST(X$1,$D141,$E141,TRUE)-_xlfn.NORM.DIST(X$2,$D141,$E141,TRUE))</f>
        <v/>
      </c>
      <c r="Y141">
        <f>IF(NOT(ISNUMBER($D141)),"",_xlfn.NORM.DIST(Y$1,$D141,$E141,TRUE)-_xlfn.NORM.DIST(Y$2,$D141,$E141,TRUE))</f>
        <v/>
      </c>
      <c r="Z141">
        <f>IF(NOT(ISNUMBER($D141)),"",_xlfn.NORM.DIST(Z$1,$D141,$E141,TRUE)-_xlfn.NORM.DIST(Z$2,$D141,$E141,TRUE))</f>
        <v/>
      </c>
      <c r="AA141">
        <f>IF(NOT(ISNUMBER($D141)),"",_xlfn.NORM.DIST(AA$1,$D141,$E141,TRUE)-_xlfn.NORM.DIST(AA$2,$D141,$E141,TRUE))</f>
        <v/>
      </c>
      <c r="AB141">
        <f>IF(NOT(ISNUMBER($D141)),"",_xlfn.NORM.DIST(AB$1,$D141,$E141,TRUE)-_xlfn.NORM.DIST(AB$2,$D141,$E141,TRUE))</f>
        <v/>
      </c>
      <c r="AC141">
        <f>IF(NOT(ISNUMBER($D141)),"",_xlfn.NORM.DIST(AC$1,$D141,$E141,TRUE)-_xlfn.NORM.DIST(AC$2,$D141,$E141,TRUE))</f>
        <v/>
      </c>
      <c r="AD141">
        <f>IF(NOT(ISNUMBER($D141)),"",_xlfn.NORM.DIST(AD$1,$D141,$E141,TRUE)-_xlfn.NORM.DIST(AD$2,$D141,$E141,TRUE))</f>
        <v/>
      </c>
      <c r="AE141">
        <f>IF(NOT(ISNUMBER($D141)),"",_xlfn.NORM.DIST(AE$1,$D141,$E141,TRUE)-_xlfn.NORM.DIST(AE$2,$D141,$E141,TRUE))</f>
        <v/>
      </c>
      <c r="AF141">
        <f>IF(NOT(ISNUMBER($D141)),"",_xlfn.NORM.DIST(AF$1,$D141,$E141,TRUE)-_xlfn.NORM.DIST(AF$2,$D141,$E141,TRUE))</f>
        <v/>
      </c>
      <c r="AG141">
        <f>IF(NOT(ISNUMBER($D141)),"",_xlfn.NORM.DIST(AG$1,$D141,$E141,TRUE)-_xlfn.NORM.DIST(AG$2,$D141,$E141,TRUE))</f>
        <v/>
      </c>
      <c r="AH141">
        <f>IF(NOT(ISNUMBER($D141)),"",_xlfn.NORM.DIST(AH$1,$D141,$E141,TRUE)-_xlfn.NORM.DIST(AH$2,$D141,$E141,TRUE))</f>
        <v/>
      </c>
      <c r="AI141">
        <f>IF(NOT(ISNUMBER($D141)),"",_xlfn.NORM.DIST(AI$1,$D141,$E141,TRUE)-_xlfn.NORM.DIST(AI$2,$D141,$E141,TRUE))</f>
        <v/>
      </c>
      <c r="AJ141">
        <f>IF(NOT(ISNUMBER($D141)),"",_xlfn.NORM.DIST(AJ$1,$D141,$E141,TRUE)-_xlfn.NORM.DIST(AJ$2,$D141,$E141,TRUE))</f>
        <v/>
      </c>
      <c r="AK141">
        <f>IF(NOT(ISNUMBER($D141)),"",_xlfn.NORM.DIST(AK$1,$D141,$E141,TRUE)-_xlfn.NORM.DIST(AK$2,$D141,$E141,TRUE))</f>
        <v/>
      </c>
      <c r="AL141">
        <f>IF(NOT(ISNUMBER($D141)),"",_xlfn.NORM.DIST(AL$1,$D141,$E141,TRUE)-_xlfn.NORM.DIST(AL$2,$D141,$E141,TRUE))</f>
        <v/>
      </c>
      <c r="AM141">
        <f>IF(NOT(ISNUMBER($D141)),"",_xlfn.NORM.DIST(AM$1,$D141,$E141,TRUE)-_xlfn.NORM.DIST(AM$2,$D141,$E141,TRUE))</f>
        <v/>
      </c>
      <c r="AN141">
        <f>IF(NOT(ISNUMBER($D141)),"",_xlfn.NORM.DIST(AN$1,$D141,$E141,TRUE)-_xlfn.NORM.DIST(AN$2,$D141,$E141,TRUE))</f>
        <v/>
      </c>
      <c r="AO141">
        <f>IF(NOT(ISNUMBER($D141)),"",_xlfn.NORM.DIST(AO$1,$D141,$E141,TRUE)-_xlfn.NORM.DIST(AO$2,$D141,$E141,TRUE))</f>
        <v/>
      </c>
      <c r="AP141">
        <f>IF(NOT(ISNUMBER($D141)),"",_xlfn.NORM.DIST(AP$1,$D141,$E141,TRUE)-_xlfn.NORM.DIST(AP$2,$D141,$E141,TRUE))</f>
        <v/>
      </c>
      <c r="AQ141">
        <f>IF(NOT(ISNUMBER($D141)),"",_xlfn.NORM.DIST(AQ$1,$D141,$E141,TRUE)-_xlfn.NORM.DIST(AQ$2,$D141,$E141,TRUE))</f>
        <v/>
      </c>
      <c r="AR141">
        <f>IF(NOT(ISNUMBER($D141)),"",_xlfn.NORM.DIST(AR$1,$D141,$E141,TRUE)-_xlfn.NORM.DIST(AR$2,$D141,$E141,TRUE))</f>
        <v/>
      </c>
      <c r="AS141">
        <f>IF(NOT(ISNUMBER($D141)),"",_xlfn.NORM.DIST(AS$1,$D141,$E141,TRUE)-_xlfn.NORM.DIST(AS$2,$D141,$E141,TRUE))</f>
        <v/>
      </c>
      <c r="AT141">
        <f>IF(NOT(ISNUMBER($D141)),"",_xlfn.NORM.DIST(AT$1,$D141,$E141,TRUE)-_xlfn.NORM.DIST(AT$2,$D141,$E141,TRUE))</f>
        <v/>
      </c>
      <c r="AU141">
        <f>IF(NOT(ISNUMBER($D141)),"",_xlfn.NORM.DIST(AU$1,$D141,$E141,TRUE)-_xlfn.NORM.DIST(AU$2,$D141,$E141,TRUE))</f>
        <v/>
      </c>
      <c r="AV141">
        <f>IF(NOT(ISNUMBER($D141)),"",_xlfn.NORM.DIST(AV$1,$D141,$E141,TRUE)-_xlfn.NORM.DIST(AV$2,$D141,$E141,TRUE))</f>
        <v/>
      </c>
      <c r="AW141">
        <f>IF(NOT(ISNUMBER($D141)),"",_xlfn.NORM.DIST(AW$1,$D141,$E141,TRUE)-_xlfn.NORM.DIST(AW$2,$D141,$E141,TRUE))</f>
        <v/>
      </c>
      <c r="AX141">
        <f>IF(NOT(ISNUMBER($D141)),"",_xlfn.NORM.DIST(AX$1,$D141,$E141,TRUE)-_xlfn.NORM.DIST(AX$2,$D141,$E141,TRUE))</f>
        <v/>
      </c>
      <c r="AY141">
        <f>IF(NOT(ISNUMBER($D141)),"",_xlfn.NORM.DIST(AY$1,$D141,$E141,TRUE)-_xlfn.NORM.DIST(AY$2,$D141,$E141,TRUE))</f>
        <v/>
      </c>
      <c r="AZ141">
        <f>IF(NOT(ISNUMBER($D141)),"",_xlfn.NORM.DIST(AZ$1,$D141,$E141,TRUE)-_xlfn.NORM.DIST(AZ$2,$D141,$E141,TRUE))</f>
        <v/>
      </c>
      <c r="BA141">
        <f>IF(NOT(ISNUMBER($D141)),"",_xlfn.NORM.DIST(BA$1,$D141,$E141,TRUE)-_xlfn.NORM.DIST(BA$2,$D141,$E141,TRUE))</f>
        <v/>
      </c>
      <c r="BB141">
        <f>IF(NOT(ISNUMBER($D141)),"",_xlfn.NORM.DIST(BB$1,$D141,$E141,TRUE)-_xlfn.NORM.DIST(BB$2,$D141,$E141,TRUE))</f>
        <v/>
      </c>
      <c r="BC141">
        <f>IF(NOT(ISNUMBER($D141)),"",_xlfn.NORM.DIST(BC$1,$D141,$E141,TRUE)-_xlfn.NORM.DIST(BC$2,$D141,$E141,TRUE))</f>
        <v/>
      </c>
      <c r="BD141">
        <f>IF(NOT(ISNUMBER($D141)),"",_xlfn.NORM.DIST(BD$1,$D141,$E141,TRUE)-_xlfn.NORM.DIST(BD$2,$D141,$E141,TRUE))</f>
        <v/>
      </c>
      <c r="BE141">
        <f>IF(NOT(ISNUMBER($D141)),"",_xlfn.NORM.DIST(BE$1,$D141,$E141,TRUE)-_xlfn.NORM.DIST(BE$2,$D141,$E141,TRUE))</f>
        <v/>
      </c>
      <c r="BF141">
        <f>IF(NOT(ISNUMBER($D141)),"",_xlfn.NORM.DIST(BF$1,$D141,$E141,TRUE)-_xlfn.NORM.DIST(BF$2,$D141,$E141,TRUE))</f>
        <v/>
      </c>
      <c r="BG141">
        <f>IF(NOT(ISNUMBER($D141)),"",_xlfn.NORM.DIST(BG$1,$D141,$E141,TRUE)-_xlfn.NORM.DIST(BG$2,$D141,$E141,TRUE))</f>
        <v/>
      </c>
      <c r="BH141">
        <f>IF(NOT(ISNUMBER($D141)),"",_xlfn.NORM.DIST(BH$1,$D141,$E141,TRUE)-_xlfn.NORM.DIST(BH$2,$D141,$E141,TRUE))</f>
        <v/>
      </c>
      <c r="BI141">
        <f>IF(NOT(ISNUMBER($D141)),"",_xlfn.NORM.DIST(BI$1,$D141,$E141,TRUE)-_xlfn.NORM.DIST(BI$2,$D141,$E141,TRUE))</f>
        <v/>
      </c>
      <c r="BJ141">
        <f>IF(NOT(ISNUMBER($D141)),"",_xlfn.NORM.DIST(BJ$1,$D141,$E141,TRUE)-_xlfn.NORM.DIST(BJ$2,$D141,$E141,TRUE))</f>
        <v/>
      </c>
      <c r="BK141">
        <f>IF(NOT(ISNUMBER($D141)),"",_xlfn.NORM.DIST(BK$1,$D141,$E141,TRUE)-_xlfn.NORM.DIST(BK$2,$D141,$E141,TRUE))</f>
        <v/>
      </c>
      <c r="BL141">
        <f>IF(NOT(ISNUMBER($D141)),"",_xlfn.NORM.DIST(BL$1,$D141,$E141,TRUE)-_xlfn.NORM.DIST(BL$2,$D141,$E141,TRUE))</f>
        <v/>
      </c>
      <c r="BM141">
        <f>IF(NOT(ISNUMBER($D141)),"",_xlfn.NORM.DIST(BM$1,$D141,$E141,TRUE)-_xlfn.NORM.DIST(BM$2,$D141,$E141,TRUE))</f>
        <v/>
      </c>
      <c r="BN141">
        <f>IF(NOT(ISNUMBER($D141)),"",_xlfn.NORM.DIST(BN$1,$D141,$E141,TRUE)-_xlfn.NORM.DIST(BN$2,$D141,$E141,TRUE))</f>
        <v/>
      </c>
      <c r="BO141">
        <f>IF(NOT(ISNUMBER($D141)),"",_xlfn.NORM.DIST(BO$1,$D141,$E141,TRUE)-_xlfn.NORM.DIST(BO$2,$D141,$E141,TRUE))</f>
        <v/>
      </c>
      <c r="BP141">
        <f>IF(NOT(ISNUMBER($D141)),"",_xlfn.NORM.DIST(BP$1,$D141,$E141,TRUE)-_xlfn.NORM.DIST(BP$2,$D141,$E141,TRUE))</f>
        <v/>
      </c>
      <c r="BQ141">
        <f>IF(NOT(ISNUMBER($D141)),"",_xlfn.NORM.DIST(BQ$1,$D141,$E141,TRUE)-_xlfn.NORM.DIST(BQ$2,$D141,$E141,TRUE))</f>
        <v/>
      </c>
      <c r="BR141">
        <f>IF(NOT(ISNUMBER($D141)),"",_xlfn.NORM.DIST(BR$1,$D141,$E141,TRUE)-_xlfn.NORM.DIST(BR$2,$D141,$E141,TRUE))</f>
        <v/>
      </c>
      <c r="BS141">
        <f>IF(NOT(ISNUMBER($D141)),"",_xlfn.NORM.DIST(BS$1,$D141,$E141,TRUE)-_xlfn.NORM.DIST(BS$2,$D141,$E141,TRUE))</f>
        <v/>
      </c>
      <c r="BT141">
        <f>IF(NOT(ISNUMBER($D141)),"",_xlfn.NORM.DIST(BT$1,$D141,$E141,TRUE)-_xlfn.NORM.DIST(BT$2,$D141,$E141,TRUE))</f>
        <v/>
      </c>
      <c r="BU141">
        <f>IF(NOT(ISNUMBER($D141)),"",_xlfn.NORM.DIST(BU$1,$D141,$E141,TRUE)-_xlfn.NORM.DIST(BU$2,$D141,$E141,TRUE))</f>
        <v/>
      </c>
      <c r="BV141">
        <f>IF(NOT(ISNUMBER($D141)),"",_xlfn.NORM.DIST(BV$1,$D141,$E141,TRUE)-_xlfn.NORM.DIST(BV$2,$D141,$E141,TRUE))</f>
        <v/>
      </c>
      <c r="BW141">
        <f>IF(NOT(ISNUMBER($D141)),"",_xlfn.NORM.DIST(BW$1,$D141,$E141,TRUE)-_xlfn.NORM.DIST(BW$2,$D141,$E141,TRUE))</f>
        <v/>
      </c>
      <c r="BX141">
        <f>IF(NOT(ISNUMBER($D141)),"",_xlfn.NORM.DIST(BX$1,$D141,$E141,TRUE)-_xlfn.NORM.DIST(BX$2,$D141,$E141,TRUE))</f>
        <v/>
      </c>
      <c r="BY141">
        <f>IF(NOT(ISNUMBER($D141)),"",_xlfn.NORM.DIST(BY$1,$D141,$E141,TRUE)-_xlfn.NORM.DIST(BY$2,$D141,$E141,TRUE))</f>
        <v/>
      </c>
      <c r="BZ141">
        <f>IF(NOT(ISNUMBER($D141)),"",_xlfn.NORM.DIST(BZ$1,$D141,$E141,TRUE)-_xlfn.NORM.DIST(BZ$2,$D141,$E141,TRUE))</f>
        <v/>
      </c>
      <c r="CA141">
        <f>IF(NOT(ISNUMBER($D141)),"",_xlfn.NORM.DIST(CA$1,$D141,$E141,TRUE)-_xlfn.NORM.DIST(CA$2,$D141,$E141,TRUE))</f>
        <v/>
      </c>
      <c r="CB141">
        <f>IF(NOT(ISNUMBER($D141)),"",_xlfn.NORM.DIST(CB$1,$D141,$E141,TRUE)-_xlfn.NORM.DIST(CB$2,$D141,$E141,TRUE))</f>
        <v/>
      </c>
      <c r="CC141">
        <f>IF(NOT(ISNUMBER($D141)),"",_xlfn.NORM.DIST(CC$1,$D141,$E141,TRUE)-_xlfn.NORM.DIST(CC$2,$D141,$E141,TRUE))</f>
        <v/>
      </c>
      <c r="CD141">
        <f>IF(NOT(ISNUMBER($D141)),"",_xlfn.NORM.DIST(CD$1,$D141,$E141,TRUE)-_xlfn.NORM.DIST(CD$2,$D141,$E141,TRUE))</f>
        <v/>
      </c>
      <c r="CE141">
        <f>IF(NOT(ISNUMBER($D141)),"",_xlfn.NORM.DIST(CE$1,$D141,$E141,TRUE)-_xlfn.NORM.DIST(CE$2,$D141,$E141,TRUE))</f>
        <v/>
      </c>
      <c r="CF141">
        <f>IF(NOT(ISNUMBER($D141)),"",_xlfn.NORM.DIST(CF$1,$D141,$E141,TRUE)-_xlfn.NORM.DIST(CF$2,$D141,$E141,TRUE))</f>
        <v/>
      </c>
      <c r="CG141">
        <f>IF(NOT(ISNUMBER($D141)),"",_xlfn.NORM.DIST(CG$1,$D141,$E141,TRUE)-_xlfn.NORM.DIST(CG$2,$D141,$E141,TRUE))</f>
        <v/>
      </c>
      <c r="CH141">
        <f>IF(NOT(ISNUMBER($D141)),"",_xlfn.NORM.DIST(CH$1,$D141,$E141,TRUE)-_xlfn.NORM.DIST(CH$2,$D141,$E141,TRUE))</f>
        <v/>
      </c>
      <c r="CI141">
        <f>IF(NOT(ISNUMBER($D141)),"",_xlfn.NORM.DIST(CI$1,$D141,$E141,TRUE)-_xlfn.NORM.DIST(CI$2,$D141,$E141,TRUE))</f>
        <v/>
      </c>
      <c r="CJ141">
        <f>IF(ISNUMBER($D141),SUM(F141:CI141),"")</f>
        <v/>
      </c>
    </row>
    <row r="142">
      <c r="A142">
        <f>economics!A141</f>
        <v/>
      </c>
      <c r="B142">
        <f>economics!B141</f>
        <v/>
      </c>
      <c r="C142">
        <f>economics!D141</f>
        <v/>
      </c>
      <c r="D142">
        <f>IF(ISNUMBER(economics!T141),economics!T141,"na")</f>
        <v/>
      </c>
      <c r="E142">
        <f>IF(ISNUMBER(D142),MAX(0.3*ABS(D142),0.000001),"na")</f>
        <v/>
      </c>
      <c r="F142">
        <f>IF(NOT(ISNUMBER($D142)),"",_xlfn.NORM.DIST(F$1,$D142,$E142,TRUE)-_xlfn.NORM.DIST(F$2,$D142,$E142,TRUE))</f>
        <v/>
      </c>
      <c r="G142">
        <f>IF(NOT(ISNUMBER($D142)),"",_xlfn.NORM.DIST(G$1,$D142,$E142,TRUE)-_xlfn.NORM.DIST(G$2,$D142,$E142,TRUE))</f>
        <v/>
      </c>
      <c r="H142">
        <f>IF(NOT(ISNUMBER($D142)),"",_xlfn.NORM.DIST(H$1,$D142,$E142,TRUE)-_xlfn.NORM.DIST(H$2,$D142,$E142,TRUE))</f>
        <v/>
      </c>
      <c r="I142">
        <f>IF(NOT(ISNUMBER($D142)),"",_xlfn.NORM.DIST(I$1,$D142,$E142,TRUE)-_xlfn.NORM.DIST(I$2,$D142,$E142,TRUE))</f>
        <v/>
      </c>
      <c r="J142">
        <f>IF(NOT(ISNUMBER($D142)),"",_xlfn.NORM.DIST(J$1,$D142,$E142,TRUE)-_xlfn.NORM.DIST(J$2,$D142,$E142,TRUE))</f>
        <v/>
      </c>
      <c r="K142">
        <f>IF(NOT(ISNUMBER($D142)),"",_xlfn.NORM.DIST(K$1,$D142,$E142,TRUE)-_xlfn.NORM.DIST(K$2,$D142,$E142,TRUE))</f>
        <v/>
      </c>
      <c r="L142">
        <f>IF(NOT(ISNUMBER($D142)),"",_xlfn.NORM.DIST(L$1,$D142,$E142,TRUE)-_xlfn.NORM.DIST(L$2,$D142,$E142,TRUE))</f>
        <v/>
      </c>
      <c r="M142">
        <f>IF(NOT(ISNUMBER($D142)),"",_xlfn.NORM.DIST(M$1,$D142,$E142,TRUE)-_xlfn.NORM.DIST(M$2,$D142,$E142,TRUE))</f>
        <v/>
      </c>
      <c r="N142">
        <f>IF(NOT(ISNUMBER($D142)),"",_xlfn.NORM.DIST(N$1,$D142,$E142,TRUE)-_xlfn.NORM.DIST(N$2,$D142,$E142,TRUE))</f>
        <v/>
      </c>
      <c r="O142">
        <f>IF(NOT(ISNUMBER($D142)),"",_xlfn.NORM.DIST(O$1,$D142,$E142,TRUE)-_xlfn.NORM.DIST(O$2,$D142,$E142,TRUE))</f>
        <v/>
      </c>
      <c r="P142">
        <f>IF(NOT(ISNUMBER($D142)),"",_xlfn.NORM.DIST(P$1,$D142,$E142,TRUE)-_xlfn.NORM.DIST(P$2,$D142,$E142,TRUE))</f>
        <v/>
      </c>
      <c r="Q142">
        <f>IF(NOT(ISNUMBER($D142)),"",_xlfn.NORM.DIST(Q$1,$D142,$E142,TRUE)-_xlfn.NORM.DIST(Q$2,$D142,$E142,TRUE))</f>
        <v/>
      </c>
      <c r="R142">
        <f>IF(NOT(ISNUMBER($D142)),"",_xlfn.NORM.DIST(R$1,$D142,$E142,TRUE)-_xlfn.NORM.DIST(R$2,$D142,$E142,TRUE))</f>
        <v/>
      </c>
      <c r="S142">
        <f>IF(NOT(ISNUMBER($D142)),"",_xlfn.NORM.DIST(S$1,$D142,$E142,TRUE)-_xlfn.NORM.DIST(S$2,$D142,$E142,TRUE))</f>
        <v/>
      </c>
      <c r="T142">
        <f>IF(NOT(ISNUMBER($D142)),"",_xlfn.NORM.DIST(T$1,$D142,$E142,TRUE)-_xlfn.NORM.DIST(T$2,$D142,$E142,TRUE))</f>
        <v/>
      </c>
      <c r="U142">
        <f>IF(NOT(ISNUMBER($D142)),"",_xlfn.NORM.DIST(U$1,$D142,$E142,TRUE)-_xlfn.NORM.DIST(U$2,$D142,$E142,TRUE))</f>
        <v/>
      </c>
      <c r="V142">
        <f>IF(NOT(ISNUMBER($D142)),"",_xlfn.NORM.DIST(V$1,$D142,$E142,TRUE)-_xlfn.NORM.DIST(V$2,$D142,$E142,TRUE))</f>
        <v/>
      </c>
      <c r="W142">
        <f>IF(NOT(ISNUMBER($D142)),"",_xlfn.NORM.DIST(W$1,$D142,$E142,TRUE)-_xlfn.NORM.DIST(W$2,$D142,$E142,TRUE))</f>
        <v/>
      </c>
      <c r="X142">
        <f>IF(NOT(ISNUMBER($D142)),"",_xlfn.NORM.DIST(X$1,$D142,$E142,TRUE)-_xlfn.NORM.DIST(X$2,$D142,$E142,TRUE))</f>
        <v/>
      </c>
      <c r="Y142">
        <f>IF(NOT(ISNUMBER($D142)),"",_xlfn.NORM.DIST(Y$1,$D142,$E142,TRUE)-_xlfn.NORM.DIST(Y$2,$D142,$E142,TRUE))</f>
        <v/>
      </c>
      <c r="Z142">
        <f>IF(NOT(ISNUMBER($D142)),"",_xlfn.NORM.DIST(Z$1,$D142,$E142,TRUE)-_xlfn.NORM.DIST(Z$2,$D142,$E142,TRUE))</f>
        <v/>
      </c>
      <c r="AA142">
        <f>IF(NOT(ISNUMBER($D142)),"",_xlfn.NORM.DIST(AA$1,$D142,$E142,TRUE)-_xlfn.NORM.DIST(AA$2,$D142,$E142,TRUE))</f>
        <v/>
      </c>
      <c r="AB142">
        <f>IF(NOT(ISNUMBER($D142)),"",_xlfn.NORM.DIST(AB$1,$D142,$E142,TRUE)-_xlfn.NORM.DIST(AB$2,$D142,$E142,TRUE))</f>
        <v/>
      </c>
      <c r="AC142">
        <f>IF(NOT(ISNUMBER($D142)),"",_xlfn.NORM.DIST(AC$1,$D142,$E142,TRUE)-_xlfn.NORM.DIST(AC$2,$D142,$E142,TRUE))</f>
        <v/>
      </c>
      <c r="AD142">
        <f>IF(NOT(ISNUMBER($D142)),"",_xlfn.NORM.DIST(AD$1,$D142,$E142,TRUE)-_xlfn.NORM.DIST(AD$2,$D142,$E142,TRUE))</f>
        <v/>
      </c>
      <c r="AE142">
        <f>IF(NOT(ISNUMBER($D142)),"",_xlfn.NORM.DIST(AE$1,$D142,$E142,TRUE)-_xlfn.NORM.DIST(AE$2,$D142,$E142,TRUE))</f>
        <v/>
      </c>
      <c r="AF142">
        <f>IF(NOT(ISNUMBER($D142)),"",_xlfn.NORM.DIST(AF$1,$D142,$E142,TRUE)-_xlfn.NORM.DIST(AF$2,$D142,$E142,TRUE))</f>
        <v/>
      </c>
      <c r="AG142">
        <f>IF(NOT(ISNUMBER($D142)),"",_xlfn.NORM.DIST(AG$1,$D142,$E142,TRUE)-_xlfn.NORM.DIST(AG$2,$D142,$E142,TRUE))</f>
        <v/>
      </c>
      <c r="AH142">
        <f>IF(NOT(ISNUMBER($D142)),"",_xlfn.NORM.DIST(AH$1,$D142,$E142,TRUE)-_xlfn.NORM.DIST(AH$2,$D142,$E142,TRUE))</f>
        <v/>
      </c>
      <c r="AI142">
        <f>IF(NOT(ISNUMBER($D142)),"",_xlfn.NORM.DIST(AI$1,$D142,$E142,TRUE)-_xlfn.NORM.DIST(AI$2,$D142,$E142,TRUE))</f>
        <v/>
      </c>
      <c r="AJ142">
        <f>IF(NOT(ISNUMBER($D142)),"",_xlfn.NORM.DIST(AJ$1,$D142,$E142,TRUE)-_xlfn.NORM.DIST(AJ$2,$D142,$E142,TRUE))</f>
        <v/>
      </c>
      <c r="AK142">
        <f>IF(NOT(ISNUMBER($D142)),"",_xlfn.NORM.DIST(AK$1,$D142,$E142,TRUE)-_xlfn.NORM.DIST(AK$2,$D142,$E142,TRUE))</f>
        <v/>
      </c>
      <c r="AL142">
        <f>IF(NOT(ISNUMBER($D142)),"",_xlfn.NORM.DIST(AL$1,$D142,$E142,TRUE)-_xlfn.NORM.DIST(AL$2,$D142,$E142,TRUE))</f>
        <v/>
      </c>
      <c r="AM142">
        <f>IF(NOT(ISNUMBER($D142)),"",_xlfn.NORM.DIST(AM$1,$D142,$E142,TRUE)-_xlfn.NORM.DIST(AM$2,$D142,$E142,TRUE))</f>
        <v/>
      </c>
      <c r="AN142">
        <f>IF(NOT(ISNUMBER($D142)),"",_xlfn.NORM.DIST(AN$1,$D142,$E142,TRUE)-_xlfn.NORM.DIST(AN$2,$D142,$E142,TRUE))</f>
        <v/>
      </c>
      <c r="AO142">
        <f>IF(NOT(ISNUMBER($D142)),"",_xlfn.NORM.DIST(AO$1,$D142,$E142,TRUE)-_xlfn.NORM.DIST(AO$2,$D142,$E142,TRUE))</f>
        <v/>
      </c>
      <c r="AP142">
        <f>IF(NOT(ISNUMBER($D142)),"",_xlfn.NORM.DIST(AP$1,$D142,$E142,TRUE)-_xlfn.NORM.DIST(AP$2,$D142,$E142,TRUE))</f>
        <v/>
      </c>
      <c r="AQ142">
        <f>IF(NOT(ISNUMBER($D142)),"",_xlfn.NORM.DIST(AQ$1,$D142,$E142,TRUE)-_xlfn.NORM.DIST(AQ$2,$D142,$E142,TRUE))</f>
        <v/>
      </c>
      <c r="AR142">
        <f>IF(NOT(ISNUMBER($D142)),"",_xlfn.NORM.DIST(AR$1,$D142,$E142,TRUE)-_xlfn.NORM.DIST(AR$2,$D142,$E142,TRUE))</f>
        <v/>
      </c>
      <c r="AS142">
        <f>IF(NOT(ISNUMBER($D142)),"",_xlfn.NORM.DIST(AS$1,$D142,$E142,TRUE)-_xlfn.NORM.DIST(AS$2,$D142,$E142,TRUE))</f>
        <v/>
      </c>
      <c r="AT142">
        <f>IF(NOT(ISNUMBER($D142)),"",_xlfn.NORM.DIST(AT$1,$D142,$E142,TRUE)-_xlfn.NORM.DIST(AT$2,$D142,$E142,TRUE))</f>
        <v/>
      </c>
      <c r="AU142">
        <f>IF(NOT(ISNUMBER($D142)),"",_xlfn.NORM.DIST(AU$1,$D142,$E142,TRUE)-_xlfn.NORM.DIST(AU$2,$D142,$E142,TRUE))</f>
        <v/>
      </c>
      <c r="AV142">
        <f>IF(NOT(ISNUMBER($D142)),"",_xlfn.NORM.DIST(AV$1,$D142,$E142,TRUE)-_xlfn.NORM.DIST(AV$2,$D142,$E142,TRUE))</f>
        <v/>
      </c>
      <c r="AW142">
        <f>IF(NOT(ISNUMBER($D142)),"",_xlfn.NORM.DIST(AW$1,$D142,$E142,TRUE)-_xlfn.NORM.DIST(AW$2,$D142,$E142,TRUE))</f>
        <v/>
      </c>
      <c r="AX142">
        <f>IF(NOT(ISNUMBER($D142)),"",_xlfn.NORM.DIST(AX$1,$D142,$E142,TRUE)-_xlfn.NORM.DIST(AX$2,$D142,$E142,TRUE))</f>
        <v/>
      </c>
      <c r="AY142">
        <f>IF(NOT(ISNUMBER($D142)),"",_xlfn.NORM.DIST(AY$1,$D142,$E142,TRUE)-_xlfn.NORM.DIST(AY$2,$D142,$E142,TRUE))</f>
        <v/>
      </c>
      <c r="AZ142">
        <f>IF(NOT(ISNUMBER($D142)),"",_xlfn.NORM.DIST(AZ$1,$D142,$E142,TRUE)-_xlfn.NORM.DIST(AZ$2,$D142,$E142,TRUE))</f>
        <v/>
      </c>
      <c r="BA142">
        <f>IF(NOT(ISNUMBER($D142)),"",_xlfn.NORM.DIST(BA$1,$D142,$E142,TRUE)-_xlfn.NORM.DIST(BA$2,$D142,$E142,TRUE))</f>
        <v/>
      </c>
      <c r="BB142">
        <f>IF(NOT(ISNUMBER($D142)),"",_xlfn.NORM.DIST(BB$1,$D142,$E142,TRUE)-_xlfn.NORM.DIST(BB$2,$D142,$E142,TRUE))</f>
        <v/>
      </c>
      <c r="BC142">
        <f>IF(NOT(ISNUMBER($D142)),"",_xlfn.NORM.DIST(BC$1,$D142,$E142,TRUE)-_xlfn.NORM.DIST(BC$2,$D142,$E142,TRUE))</f>
        <v/>
      </c>
      <c r="BD142">
        <f>IF(NOT(ISNUMBER($D142)),"",_xlfn.NORM.DIST(BD$1,$D142,$E142,TRUE)-_xlfn.NORM.DIST(BD$2,$D142,$E142,TRUE))</f>
        <v/>
      </c>
      <c r="BE142">
        <f>IF(NOT(ISNUMBER($D142)),"",_xlfn.NORM.DIST(BE$1,$D142,$E142,TRUE)-_xlfn.NORM.DIST(BE$2,$D142,$E142,TRUE))</f>
        <v/>
      </c>
      <c r="BF142">
        <f>IF(NOT(ISNUMBER($D142)),"",_xlfn.NORM.DIST(BF$1,$D142,$E142,TRUE)-_xlfn.NORM.DIST(BF$2,$D142,$E142,TRUE))</f>
        <v/>
      </c>
      <c r="BG142">
        <f>IF(NOT(ISNUMBER($D142)),"",_xlfn.NORM.DIST(BG$1,$D142,$E142,TRUE)-_xlfn.NORM.DIST(BG$2,$D142,$E142,TRUE))</f>
        <v/>
      </c>
      <c r="BH142">
        <f>IF(NOT(ISNUMBER($D142)),"",_xlfn.NORM.DIST(BH$1,$D142,$E142,TRUE)-_xlfn.NORM.DIST(BH$2,$D142,$E142,TRUE))</f>
        <v/>
      </c>
      <c r="BI142">
        <f>IF(NOT(ISNUMBER($D142)),"",_xlfn.NORM.DIST(BI$1,$D142,$E142,TRUE)-_xlfn.NORM.DIST(BI$2,$D142,$E142,TRUE))</f>
        <v/>
      </c>
      <c r="BJ142">
        <f>IF(NOT(ISNUMBER($D142)),"",_xlfn.NORM.DIST(BJ$1,$D142,$E142,TRUE)-_xlfn.NORM.DIST(BJ$2,$D142,$E142,TRUE))</f>
        <v/>
      </c>
      <c r="BK142">
        <f>IF(NOT(ISNUMBER($D142)),"",_xlfn.NORM.DIST(BK$1,$D142,$E142,TRUE)-_xlfn.NORM.DIST(BK$2,$D142,$E142,TRUE))</f>
        <v/>
      </c>
      <c r="BL142">
        <f>IF(NOT(ISNUMBER($D142)),"",_xlfn.NORM.DIST(BL$1,$D142,$E142,TRUE)-_xlfn.NORM.DIST(BL$2,$D142,$E142,TRUE))</f>
        <v/>
      </c>
      <c r="BM142">
        <f>IF(NOT(ISNUMBER($D142)),"",_xlfn.NORM.DIST(BM$1,$D142,$E142,TRUE)-_xlfn.NORM.DIST(BM$2,$D142,$E142,TRUE))</f>
        <v/>
      </c>
      <c r="BN142">
        <f>IF(NOT(ISNUMBER($D142)),"",_xlfn.NORM.DIST(BN$1,$D142,$E142,TRUE)-_xlfn.NORM.DIST(BN$2,$D142,$E142,TRUE))</f>
        <v/>
      </c>
      <c r="BO142">
        <f>IF(NOT(ISNUMBER($D142)),"",_xlfn.NORM.DIST(BO$1,$D142,$E142,TRUE)-_xlfn.NORM.DIST(BO$2,$D142,$E142,TRUE))</f>
        <v/>
      </c>
      <c r="BP142">
        <f>IF(NOT(ISNUMBER($D142)),"",_xlfn.NORM.DIST(BP$1,$D142,$E142,TRUE)-_xlfn.NORM.DIST(BP$2,$D142,$E142,TRUE))</f>
        <v/>
      </c>
      <c r="BQ142">
        <f>IF(NOT(ISNUMBER($D142)),"",_xlfn.NORM.DIST(BQ$1,$D142,$E142,TRUE)-_xlfn.NORM.DIST(BQ$2,$D142,$E142,TRUE))</f>
        <v/>
      </c>
      <c r="BR142">
        <f>IF(NOT(ISNUMBER($D142)),"",_xlfn.NORM.DIST(BR$1,$D142,$E142,TRUE)-_xlfn.NORM.DIST(BR$2,$D142,$E142,TRUE))</f>
        <v/>
      </c>
      <c r="BS142">
        <f>IF(NOT(ISNUMBER($D142)),"",_xlfn.NORM.DIST(BS$1,$D142,$E142,TRUE)-_xlfn.NORM.DIST(BS$2,$D142,$E142,TRUE))</f>
        <v/>
      </c>
      <c r="BT142">
        <f>IF(NOT(ISNUMBER($D142)),"",_xlfn.NORM.DIST(BT$1,$D142,$E142,TRUE)-_xlfn.NORM.DIST(BT$2,$D142,$E142,TRUE))</f>
        <v/>
      </c>
      <c r="BU142">
        <f>IF(NOT(ISNUMBER($D142)),"",_xlfn.NORM.DIST(BU$1,$D142,$E142,TRUE)-_xlfn.NORM.DIST(BU$2,$D142,$E142,TRUE))</f>
        <v/>
      </c>
      <c r="BV142">
        <f>IF(NOT(ISNUMBER($D142)),"",_xlfn.NORM.DIST(BV$1,$D142,$E142,TRUE)-_xlfn.NORM.DIST(BV$2,$D142,$E142,TRUE))</f>
        <v/>
      </c>
      <c r="BW142">
        <f>IF(NOT(ISNUMBER($D142)),"",_xlfn.NORM.DIST(BW$1,$D142,$E142,TRUE)-_xlfn.NORM.DIST(BW$2,$D142,$E142,TRUE))</f>
        <v/>
      </c>
      <c r="BX142">
        <f>IF(NOT(ISNUMBER($D142)),"",_xlfn.NORM.DIST(BX$1,$D142,$E142,TRUE)-_xlfn.NORM.DIST(BX$2,$D142,$E142,TRUE))</f>
        <v/>
      </c>
      <c r="BY142">
        <f>IF(NOT(ISNUMBER($D142)),"",_xlfn.NORM.DIST(BY$1,$D142,$E142,TRUE)-_xlfn.NORM.DIST(BY$2,$D142,$E142,TRUE))</f>
        <v/>
      </c>
      <c r="BZ142">
        <f>IF(NOT(ISNUMBER($D142)),"",_xlfn.NORM.DIST(BZ$1,$D142,$E142,TRUE)-_xlfn.NORM.DIST(BZ$2,$D142,$E142,TRUE))</f>
        <v/>
      </c>
      <c r="CA142">
        <f>IF(NOT(ISNUMBER($D142)),"",_xlfn.NORM.DIST(CA$1,$D142,$E142,TRUE)-_xlfn.NORM.DIST(CA$2,$D142,$E142,TRUE))</f>
        <v/>
      </c>
      <c r="CB142">
        <f>IF(NOT(ISNUMBER($D142)),"",_xlfn.NORM.DIST(CB$1,$D142,$E142,TRUE)-_xlfn.NORM.DIST(CB$2,$D142,$E142,TRUE))</f>
        <v/>
      </c>
      <c r="CC142">
        <f>IF(NOT(ISNUMBER($D142)),"",_xlfn.NORM.DIST(CC$1,$D142,$E142,TRUE)-_xlfn.NORM.DIST(CC$2,$D142,$E142,TRUE))</f>
        <v/>
      </c>
      <c r="CD142">
        <f>IF(NOT(ISNUMBER($D142)),"",_xlfn.NORM.DIST(CD$1,$D142,$E142,TRUE)-_xlfn.NORM.DIST(CD$2,$D142,$E142,TRUE))</f>
        <v/>
      </c>
      <c r="CE142">
        <f>IF(NOT(ISNUMBER($D142)),"",_xlfn.NORM.DIST(CE$1,$D142,$E142,TRUE)-_xlfn.NORM.DIST(CE$2,$D142,$E142,TRUE))</f>
        <v/>
      </c>
      <c r="CF142">
        <f>IF(NOT(ISNUMBER($D142)),"",_xlfn.NORM.DIST(CF$1,$D142,$E142,TRUE)-_xlfn.NORM.DIST(CF$2,$D142,$E142,TRUE))</f>
        <v/>
      </c>
      <c r="CG142">
        <f>IF(NOT(ISNUMBER($D142)),"",_xlfn.NORM.DIST(CG$1,$D142,$E142,TRUE)-_xlfn.NORM.DIST(CG$2,$D142,$E142,TRUE))</f>
        <v/>
      </c>
      <c r="CH142">
        <f>IF(NOT(ISNUMBER($D142)),"",_xlfn.NORM.DIST(CH$1,$D142,$E142,TRUE)-_xlfn.NORM.DIST(CH$2,$D142,$E142,TRUE))</f>
        <v/>
      </c>
      <c r="CI142">
        <f>IF(NOT(ISNUMBER($D142)),"",_xlfn.NORM.DIST(CI$1,$D142,$E142,TRUE)-_xlfn.NORM.DIST(CI$2,$D142,$E142,TRUE))</f>
        <v/>
      </c>
      <c r="CJ142">
        <f>IF(ISNUMBER($D142),SUM(F142:CI142),"")</f>
        <v/>
      </c>
    </row>
    <row r="143">
      <c r="A143">
        <f>economics!A142</f>
        <v/>
      </c>
      <c r="B143">
        <f>economics!B142</f>
        <v/>
      </c>
      <c r="C143">
        <f>economics!D142</f>
        <v/>
      </c>
      <c r="D143">
        <f>IF(ISNUMBER(economics!T142),economics!T142,"na")</f>
        <v/>
      </c>
      <c r="E143">
        <f>IF(ISNUMBER(D143),MAX(0.3*ABS(D143),0.000001),"na")</f>
        <v/>
      </c>
      <c r="F143">
        <f>IF(NOT(ISNUMBER($D143)),"",_xlfn.NORM.DIST(F$1,$D143,$E143,TRUE)-_xlfn.NORM.DIST(F$2,$D143,$E143,TRUE))</f>
        <v/>
      </c>
      <c r="G143">
        <f>IF(NOT(ISNUMBER($D143)),"",_xlfn.NORM.DIST(G$1,$D143,$E143,TRUE)-_xlfn.NORM.DIST(G$2,$D143,$E143,TRUE))</f>
        <v/>
      </c>
      <c r="H143">
        <f>IF(NOT(ISNUMBER($D143)),"",_xlfn.NORM.DIST(H$1,$D143,$E143,TRUE)-_xlfn.NORM.DIST(H$2,$D143,$E143,TRUE))</f>
        <v/>
      </c>
      <c r="I143">
        <f>IF(NOT(ISNUMBER($D143)),"",_xlfn.NORM.DIST(I$1,$D143,$E143,TRUE)-_xlfn.NORM.DIST(I$2,$D143,$E143,TRUE))</f>
        <v/>
      </c>
      <c r="J143">
        <f>IF(NOT(ISNUMBER($D143)),"",_xlfn.NORM.DIST(J$1,$D143,$E143,TRUE)-_xlfn.NORM.DIST(J$2,$D143,$E143,TRUE))</f>
        <v/>
      </c>
      <c r="K143">
        <f>IF(NOT(ISNUMBER($D143)),"",_xlfn.NORM.DIST(K$1,$D143,$E143,TRUE)-_xlfn.NORM.DIST(K$2,$D143,$E143,TRUE))</f>
        <v/>
      </c>
      <c r="L143">
        <f>IF(NOT(ISNUMBER($D143)),"",_xlfn.NORM.DIST(L$1,$D143,$E143,TRUE)-_xlfn.NORM.DIST(L$2,$D143,$E143,TRUE))</f>
        <v/>
      </c>
      <c r="M143">
        <f>IF(NOT(ISNUMBER($D143)),"",_xlfn.NORM.DIST(M$1,$D143,$E143,TRUE)-_xlfn.NORM.DIST(M$2,$D143,$E143,TRUE))</f>
        <v/>
      </c>
      <c r="N143">
        <f>IF(NOT(ISNUMBER($D143)),"",_xlfn.NORM.DIST(N$1,$D143,$E143,TRUE)-_xlfn.NORM.DIST(N$2,$D143,$E143,TRUE))</f>
        <v/>
      </c>
      <c r="O143">
        <f>IF(NOT(ISNUMBER($D143)),"",_xlfn.NORM.DIST(O$1,$D143,$E143,TRUE)-_xlfn.NORM.DIST(O$2,$D143,$E143,TRUE))</f>
        <v/>
      </c>
      <c r="P143">
        <f>IF(NOT(ISNUMBER($D143)),"",_xlfn.NORM.DIST(P$1,$D143,$E143,TRUE)-_xlfn.NORM.DIST(P$2,$D143,$E143,TRUE))</f>
        <v/>
      </c>
      <c r="Q143">
        <f>IF(NOT(ISNUMBER($D143)),"",_xlfn.NORM.DIST(Q$1,$D143,$E143,TRUE)-_xlfn.NORM.DIST(Q$2,$D143,$E143,TRUE))</f>
        <v/>
      </c>
      <c r="R143">
        <f>IF(NOT(ISNUMBER($D143)),"",_xlfn.NORM.DIST(R$1,$D143,$E143,TRUE)-_xlfn.NORM.DIST(R$2,$D143,$E143,TRUE))</f>
        <v/>
      </c>
      <c r="S143">
        <f>IF(NOT(ISNUMBER($D143)),"",_xlfn.NORM.DIST(S$1,$D143,$E143,TRUE)-_xlfn.NORM.DIST(S$2,$D143,$E143,TRUE))</f>
        <v/>
      </c>
      <c r="T143">
        <f>IF(NOT(ISNUMBER($D143)),"",_xlfn.NORM.DIST(T$1,$D143,$E143,TRUE)-_xlfn.NORM.DIST(T$2,$D143,$E143,TRUE))</f>
        <v/>
      </c>
      <c r="U143">
        <f>IF(NOT(ISNUMBER($D143)),"",_xlfn.NORM.DIST(U$1,$D143,$E143,TRUE)-_xlfn.NORM.DIST(U$2,$D143,$E143,TRUE))</f>
        <v/>
      </c>
      <c r="V143">
        <f>IF(NOT(ISNUMBER($D143)),"",_xlfn.NORM.DIST(V$1,$D143,$E143,TRUE)-_xlfn.NORM.DIST(V$2,$D143,$E143,TRUE))</f>
        <v/>
      </c>
      <c r="W143">
        <f>IF(NOT(ISNUMBER($D143)),"",_xlfn.NORM.DIST(W$1,$D143,$E143,TRUE)-_xlfn.NORM.DIST(W$2,$D143,$E143,TRUE))</f>
        <v/>
      </c>
      <c r="X143">
        <f>IF(NOT(ISNUMBER($D143)),"",_xlfn.NORM.DIST(X$1,$D143,$E143,TRUE)-_xlfn.NORM.DIST(X$2,$D143,$E143,TRUE))</f>
        <v/>
      </c>
      <c r="Y143">
        <f>IF(NOT(ISNUMBER($D143)),"",_xlfn.NORM.DIST(Y$1,$D143,$E143,TRUE)-_xlfn.NORM.DIST(Y$2,$D143,$E143,TRUE))</f>
        <v/>
      </c>
      <c r="Z143">
        <f>IF(NOT(ISNUMBER($D143)),"",_xlfn.NORM.DIST(Z$1,$D143,$E143,TRUE)-_xlfn.NORM.DIST(Z$2,$D143,$E143,TRUE))</f>
        <v/>
      </c>
      <c r="AA143">
        <f>IF(NOT(ISNUMBER($D143)),"",_xlfn.NORM.DIST(AA$1,$D143,$E143,TRUE)-_xlfn.NORM.DIST(AA$2,$D143,$E143,TRUE))</f>
        <v/>
      </c>
      <c r="AB143">
        <f>IF(NOT(ISNUMBER($D143)),"",_xlfn.NORM.DIST(AB$1,$D143,$E143,TRUE)-_xlfn.NORM.DIST(AB$2,$D143,$E143,TRUE))</f>
        <v/>
      </c>
      <c r="AC143">
        <f>IF(NOT(ISNUMBER($D143)),"",_xlfn.NORM.DIST(AC$1,$D143,$E143,TRUE)-_xlfn.NORM.DIST(AC$2,$D143,$E143,TRUE))</f>
        <v/>
      </c>
      <c r="AD143">
        <f>IF(NOT(ISNUMBER($D143)),"",_xlfn.NORM.DIST(AD$1,$D143,$E143,TRUE)-_xlfn.NORM.DIST(AD$2,$D143,$E143,TRUE))</f>
        <v/>
      </c>
      <c r="AE143">
        <f>IF(NOT(ISNUMBER($D143)),"",_xlfn.NORM.DIST(AE$1,$D143,$E143,TRUE)-_xlfn.NORM.DIST(AE$2,$D143,$E143,TRUE))</f>
        <v/>
      </c>
      <c r="AF143">
        <f>IF(NOT(ISNUMBER($D143)),"",_xlfn.NORM.DIST(AF$1,$D143,$E143,TRUE)-_xlfn.NORM.DIST(AF$2,$D143,$E143,TRUE))</f>
        <v/>
      </c>
      <c r="AG143">
        <f>IF(NOT(ISNUMBER($D143)),"",_xlfn.NORM.DIST(AG$1,$D143,$E143,TRUE)-_xlfn.NORM.DIST(AG$2,$D143,$E143,TRUE))</f>
        <v/>
      </c>
      <c r="AH143">
        <f>IF(NOT(ISNUMBER($D143)),"",_xlfn.NORM.DIST(AH$1,$D143,$E143,TRUE)-_xlfn.NORM.DIST(AH$2,$D143,$E143,TRUE))</f>
        <v/>
      </c>
      <c r="AI143">
        <f>IF(NOT(ISNUMBER($D143)),"",_xlfn.NORM.DIST(AI$1,$D143,$E143,TRUE)-_xlfn.NORM.DIST(AI$2,$D143,$E143,TRUE))</f>
        <v/>
      </c>
      <c r="AJ143">
        <f>IF(NOT(ISNUMBER($D143)),"",_xlfn.NORM.DIST(AJ$1,$D143,$E143,TRUE)-_xlfn.NORM.DIST(AJ$2,$D143,$E143,TRUE))</f>
        <v/>
      </c>
      <c r="AK143">
        <f>IF(NOT(ISNUMBER($D143)),"",_xlfn.NORM.DIST(AK$1,$D143,$E143,TRUE)-_xlfn.NORM.DIST(AK$2,$D143,$E143,TRUE))</f>
        <v/>
      </c>
      <c r="AL143">
        <f>IF(NOT(ISNUMBER($D143)),"",_xlfn.NORM.DIST(AL$1,$D143,$E143,TRUE)-_xlfn.NORM.DIST(AL$2,$D143,$E143,TRUE))</f>
        <v/>
      </c>
      <c r="AM143">
        <f>IF(NOT(ISNUMBER($D143)),"",_xlfn.NORM.DIST(AM$1,$D143,$E143,TRUE)-_xlfn.NORM.DIST(AM$2,$D143,$E143,TRUE))</f>
        <v/>
      </c>
      <c r="AN143">
        <f>IF(NOT(ISNUMBER($D143)),"",_xlfn.NORM.DIST(AN$1,$D143,$E143,TRUE)-_xlfn.NORM.DIST(AN$2,$D143,$E143,TRUE))</f>
        <v/>
      </c>
      <c r="AO143">
        <f>IF(NOT(ISNUMBER($D143)),"",_xlfn.NORM.DIST(AO$1,$D143,$E143,TRUE)-_xlfn.NORM.DIST(AO$2,$D143,$E143,TRUE))</f>
        <v/>
      </c>
      <c r="AP143">
        <f>IF(NOT(ISNUMBER($D143)),"",_xlfn.NORM.DIST(AP$1,$D143,$E143,TRUE)-_xlfn.NORM.DIST(AP$2,$D143,$E143,TRUE))</f>
        <v/>
      </c>
      <c r="AQ143">
        <f>IF(NOT(ISNUMBER($D143)),"",_xlfn.NORM.DIST(AQ$1,$D143,$E143,TRUE)-_xlfn.NORM.DIST(AQ$2,$D143,$E143,TRUE))</f>
        <v/>
      </c>
      <c r="AR143">
        <f>IF(NOT(ISNUMBER($D143)),"",_xlfn.NORM.DIST(AR$1,$D143,$E143,TRUE)-_xlfn.NORM.DIST(AR$2,$D143,$E143,TRUE))</f>
        <v/>
      </c>
      <c r="AS143">
        <f>IF(NOT(ISNUMBER($D143)),"",_xlfn.NORM.DIST(AS$1,$D143,$E143,TRUE)-_xlfn.NORM.DIST(AS$2,$D143,$E143,TRUE))</f>
        <v/>
      </c>
      <c r="AT143">
        <f>IF(NOT(ISNUMBER($D143)),"",_xlfn.NORM.DIST(AT$1,$D143,$E143,TRUE)-_xlfn.NORM.DIST(AT$2,$D143,$E143,TRUE))</f>
        <v/>
      </c>
      <c r="AU143">
        <f>IF(NOT(ISNUMBER($D143)),"",_xlfn.NORM.DIST(AU$1,$D143,$E143,TRUE)-_xlfn.NORM.DIST(AU$2,$D143,$E143,TRUE))</f>
        <v/>
      </c>
      <c r="AV143">
        <f>IF(NOT(ISNUMBER($D143)),"",_xlfn.NORM.DIST(AV$1,$D143,$E143,TRUE)-_xlfn.NORM.DIST(AV$2,$D143,$E143,TRUE))</f>
        <v/>
      </c>
      <c r="AW143">
        <f>IF(NOT(ISNUMBER($D143)),"",_xlfn.NORM.DIST(AW$1,$D143,$E143,TRUE)-_xlfn.NORM.DIST(AW$2,$D143,$E143,TRUE))</f>
        <v/>
      </c>
      <c r="AX143">
        <f>IF(NOT(ISNUMBER($D143)),"",_xlfn.NORM.DIST(AX$1,$D143,$E143,TRUE)-_xlfn.NORM.DIST(AX$2,$D143,$E143,TRUE))</f>
        <v/>
      </c>
      <c r="AY143">
        <f>IF(NOT(ISNUMBER($D143)),"",_xlfn.NORM.DIST(AY$1,$D143,$E143,TRUE)-_xlfn.NORM.DIST(AY$2,$D143,$E143,TRUE))</f>
        <v/>
      </c>
      <c r="AZ143">
        <f>IF(NOT(ISNUMBER($D143)),"",_xlfn.NORM.DIST(AZ$1,$D143,$E143,TRUE)-_xlfn.NORM.DIST(AZ$2,$D143,$E143,TRUE))</f>
        <v/>
      </c>
      <c r="BA143">
        <f>IF(NOT(ISNUMBER($D143)),"",_xlfn.NORM.DIST(BA$1,$D143,$E143,TRUE)-_xlfn.NORM.DIST(BA$2,$D143,$E143,TRUE))</f>
        <v/>
      </c>
      <c r="BB143">
        <f>IF(NOT(ISNUMBER($D143)),"",_xlfn.NORM.DIST(BB$1,$D143,$E143,TRUE)-_xlfn.NORM.DIST(BB$2,$D143,$E143,TRUE))</f>
        <v/>
      </c>
      <c r="BC143">
        <f>IF(NOT(ISNUMBER($D143)),"",_xlfn.NORM.DIST(BC$1,$D143,$E143,TRUE)-_xlfn.NORM.DIST(BC$2,$D143,$E143,TRUE))</f>
        <v/>
      </c>
      <c r="BD143">
        <f>IF(NOT(ISNUMBER($D143)),"",_xlfn.NORM.DIST(BD$1,$D143,$E143,TRUE)-_xlfn.NORM.DIST(BD$2,$D143,$E143,TRUE))</f>
        <v/>
      </c>
      <c r="BE143">
        <f>IF(NOT(ISNUMBER($D143)),"",_xlfn.NORM.DIST(BE$1,$D143,$E143,TRUE)-_xlfn.NORM.DIST(BE$2,$D143,$E143,TRUE))</f>
        <v/>
      </c>
      <c r="BF143">
        <f>IF(NOT(ISNUMBER($D143)),"",_xlfn.NORM.DIST(BF$1,$D143,$E143,TRUE)-_xlfn.NORM.DIST(BF$2,$D143,$E143,TRUE))</f>
        <v/>
      </c>
      <c r="BG143">
        <f>IF(NOT(ISNUMBER($D143)),"",_xlfn.NORM.DIST(BG$1,$D143,$E143,TRUE)-_xlfn.NORM.DIST(BG$2,$D143,$E143,TRUE))</f>
        <v/>
      </c>
      <c r="BH143">
        <f>IF(NOT(ISNUMBER($D143)),"",_xlfn.NORM.DIST(BH$1,$D143,$E143,TRUE)-_xlfn.NORM.DIST(BH$2,$D143,$E143,TRUE))</f>
        <v/>
      </c>
      <c r="BI143">
        <f>IF(NOT(ISNUMBER($D143)),"",_xlfn.NORM.DIST(BI$1,$D143,$E143,TRUE)-_xlfn.NORM.DIST(BI$2,$D143,$E143,TRUE))</f>
        <v/>
      </c>
      <c r="BJ143">
        <f>IF(NOT(ISNUMBER($D143)),"",_xlfn.NORM.DIST(BJ$1,$D143,$E143,TRUE)-_xlfn.NORM.DIST(BJ$2,$D143,$E143,TRUE))</f>
        <v/>
      </c>
      <c r="BK143">
        <f>IF(NOT(ISNUMBER($D143)),"",_xlfn.NORM.DIST(BK$1,$D143,$E143,TRUE)-_xlfn.NORM.DIST(BK$2,$D143,$E143,TRUE))</f>
        <v/>
      </c>
      <c r="BL143">
        <f>IF(NOT(ISNUMBER($D143)),"",_xlfn.NORM.DIST(BL$1,$D143,$E143,TRUE)-_xlfn.NORM.DIST(BL$2,$D143,$E143,TRUE))</f>
        <v/>
      </c>
      <c r="BM143">
        <f>IF(NOT(ISNUMBER($D143)),"",_xlfn.NORM.DIST(BM$1,$D143,$E143,TRUE)-_xlfn.NORM.DIST(BM$2,$D143,$E143,TRUE))</f>
        <v/>
      </c>
      <c r="BN143">
        <f>IF(NOT(ISNUMBER($D143)),"",_xlfn.NORM.DIST(BN$1,$D143,$E143,TRUE)-_xlfn.NORM.DIST(BN$2,$D143,$E143,TRUE))</f>
        <v/>
      </c>
      <c r="BO143">
        <f>IF(NOT(ISNUMBER($D143)),"",_xlfn.NORM.DIST(BO$1,$D143,$E143,TRUE)-_xlfn.NORM.DIST(BO$2,$D143,$E143,TRUE))</f>
        <v/>
      </c>
      <c r="BP143">
        <f>IF(NOT(ISNUMBER($D143)),"",_xlfn.NORM.DIST(BP$1,$D143,$E143,TRUE)-_xlfn.NORM.DIST(BP$2,$D143,$E143,TRUE))</f>
        <v/>
      </c>
      <c r="BQ143">
        <f>IF(NOT(ISNUMBER($D143)),"",_xlfn.NORM.DIST(BQ$1,$D143,$E143,TRUE)-_xlfn.NORM.DIST(BQ$2,$D143,$E143,TRUE))</f>
        <v/>
      </c>
      <c r="BR143">
        <f>IF(NOT(ISNUMBER($D143)),"",_xlfn.NORM.DIST(BR$1,$D143,$E143,TRUE)-_xlfn.NORM.DIST(BR$2,$D143,$E143,TRUE))</f>
        <v/>
      </c>
      <c r="BS143">
        <f>IF(NOT(ISNUMBER($D143)),"",_xlfn.NORM.DIST(BS$1,$D143,$E143,TRUE)-_xlfn.NORM.DIST(BS$2,$D143,$E143,TRUE))</f>
        <v/>
      </c>
      <c r="BT143">
        <f>IF(NOT(ISNUMBER($D143)),"",_xlfn.NORM.DIST(BT$1,$D143,$E143,TRUE)-_xlfn.NORM.DIST(BT$2,$D143,$E143,TRUE))</f>
        <v/>
      </c>
      <c r="BU143">
        <f>IF(NOT(ISNUMBER($D143)),"",_xlfn.NORM.DIST(BU$1,$D143,$E143,TRUE)-_xlfn.NORM.DIST(BU$2,$D143,$E143,TRUE))</f>
        <v/>
      </c>
      <c r="BV143">
        <f>IF(NOT(ISNUMBER($D143)),"",_xlfn.NORM.DIST(BV$1,$D143,$E143,TRUE)-_xlfn.NORM.DIST(BV$2,$D143,$E143,TRUE))</f>
        <v/>
      </c>
      <c r="BW143">
        <f>IF(NOT(ISNUMBER($D143)),"",_xlfn.NORM.DIST(BW$1,$D143,$E143,TRUE)-_xlfn.NORM.DIST(BW$2,$D143,$E143,TRUE))</f>
        <v/>
      </c>
      <c r="BX143">
        <f>IF(NOT(ISNUMBER($D143)),"",_xlfn.NORM.DIST(BX$1,$D143,$E143,TRUE)-_xlfn.NORM.DIST(BX$2,$D143,$E143,TRUE))</f>
        <v/>
      </c>
      <c r="BY143">
        <f>IF(NOT(ISNUMBER($D143)),"",_xlfn.NORM.DIST(BY$1,$D143,$E143,TRUE)-_xlfn.NORM.DIST(BY$2,$D143,$E143,TRUE))</f>
        <v/>
      </c>
      <c r="BZ143">
        <f>IF(NOT(ISNUMBER($D143)),"",_xlfn.NORM.DIST(BZ$1,$D143,$E143,TRUE)-_xlfn.NORM.DIST(BZ$2,$D143,$E143,TRUE))</f>
        <v/>
      </c>
      <c r="CA143">
        <f>IF(NOT(ISNUMBER($D143)),"",_xlfn.NORM.DIST(CA$1,$D143,$E143,TRUE)-_xlfn.NORM.DIST(CA$2,$D143,$E143,TRUE))</f>
        <v/>
      </c>
      <c r="CB143">
        <f>IF(NOT(ISNUMBER($D143)),"",_xlfn.NORM.DIST(CB$1,$D143,$E143,TRUE)-_xlfn.NORM.DIST(CB$2,$D143,$E143,TRUE))</f>
        <v/>
      </c>
      <c r="CC143">
        <f>IF(NOT(ISNUMBER($D143)),"",_xlfn.NORM.DIST(CC$1,$D143,$E143,TRUE)-_xlfn.NORM.DIST(CC$2,$D143,$E143,TRUE))</f>
        <v/>
      </c>
      <c r="CD143">
        <f>IF(NOT(ISNUMBER($D143)),"",_xlfn.NORM.DIST(CD$1,$D143,$E143,TRUE)-_xlfn.NORM.DIST(CD$2,$D143,$E143,TRUE))</f>
        <v/>
      </c>
      <c r="CE143">
        <f>IF(NOT(ISNUMBER($D143)),"",_xlfn.NORM.DIST(CE$1,$D143,$E143,TRUE)-_xlfn.NORM.DIST(CE$2,$D143,$E143,TRUE))</f>
        <v/>
      </c>
      <c r="CF143">
        <f>IF(NOT(ISNUMBER($D143)),"",_xlfn.NORM.DIST(CF$1,$D143,$E143,TRUE)-_xlfn.NORM.DIST(CF$2,$D143,$E143,TRUE))</f>
        <v/>
      </c>
      <c r="CG143">
        <f>IF(NOT(ISNUMBER($D143)),"",_xlfn.NORM.DIST(CG$1,$D143,$E143,TRUE)-_xlfn.NORM.DIST(CG$2,$D143,$E143,TRUE))</f>
        <v/>
      </c>
      <c r="CH143">
        <f>IF(NOT(ISNUMBER($D143)),"",_xlfn.NORM.DIST(CH$1,$D143,$E143,TRUE)-_xlfn.NORM.DIST(CH$2,$D143,$E143,TRUE))</f>
        <v/>
      </c>
      <c r="CI143">
        <f>IF(NOT(ISNUMBER($D143)),"",_xlfn.NORM.DIST(CI$1,$D143,$E143,TRUE)-_xlfn.NORM.DIST(CI$2,$D143,$E143,TRUE))</f>
        <v/>
      </c>
      <c r="CJ143">
        <f>IF(ISNUMBER($D143),SUM(F143:CI143),"")</f>
        <v/>
      </c>
    </row>
    <row r="144">
      <c r="A144">
        <f>economics!A143</f>
        <v/>
      </c>
      <c r="B144">
        <f>economics!B143</f>
        <v/>
      </c>
      <c r="C144">
        <f>economics!D143</f>
        <v/>
      </c>
      <c r="D144">
        <f>IF(ISNUMBER(economics!T143),economics!T143,"na")</f>
        <v/>
      </c>
      <c r="E144">
        <f>IF(ISNUMBER(D144),MAX(0.3*ABS(D144),0.000001),"na")</f>
        <v/>
      </c>
      <c r="F144">
        <f>IF(NOT(ISNUMBER($D144)),"",_xlfn.NORM.DIST(F$1,$D144,$E144,TRUE)-_xlfn.NORM.DIST(F$2,$D144,$E144,TRUE))</f>
        <v/>
      </c>
      <c r="G144">
        <f>IF(NOT(ISNUMBER($D144)),"",_xlfn.NORM.DIST(G$1,$D144,$E144,TRUE)-_xlfn.NORM.DIST(G$2,$D144,$E144,TRUE))</f>
        <v/>
      </c>
      <c r="H144">
        <f>IF(NOT(ISNUMBER($D144)),"",_xlfn.NORM.DIST(H$1,$D144,$E144,TRUE)-_xlfn.NORM.DIST(H$2,$D144,$E144,TRUE))</f>
        <v/>
      </c>
      <c r="I144">
        <f>IF(NOT(ISNUMBER($D144)),"",_xlfn.NORM.DIST(I$1,$D144,$E144,TRUE)-_xlfn.NORM.DIST(I$2,$D144,$E144,TRUE))</f>
        <v/>
      </c>
      <c r="J144">
        <f>IF(NOT(ISNUMBER($D144)),"",_xlfn.NORM.DIST(J$1,$D144,$E144,TRUE)-_xlfn.NORM.DIST(J$2,$D144,$E144,TRUE))</f>
        <v/>
      </c>
      <c r="K144">
        <f>IF(NOT(ISNUMBER($D144)),"",_xlfn.NORM.DIST(K$1,$D144,$E144,TRUE)-_xlfn.NORM.DIST(K$2,$D144,$E144,TRUE))</f>
        <v/>
      </c>
      <c r="L144">
        <f>IF(NOT(ISNUMBER($D144)),"",_xlfn.NORM.DIST(L$1,$D144,$E144,TRUE)-_xlfn.NORM.DIST(L$2,$D144,$E144,TRUE))</f>
        <v/>
      </c>
      <c r="M144">
        <f>IF(NOT(ISNUMBER($D144)),"",_xlfn.NORM.DIST(M$1,$D144,$E144,TRUE)-_xlfn.NORM.DIST(M$2,$D144,$E144,TRUE))</f>
        <v/>
      </c>
      <c r="N144">
        <f>IF(NOT(ISNUMBER($D144)),"",_xlfn.NORM.DIST(N$1,$D144,$E144,TRUE)-_xlfn.NORM.DIST(N$2,$D144,$E144,TRUE))</f>
        <v/>
      </c>
      <c r="O144">
        <f>IF(NOT(ISNUMBER($D144)),"",_xlfn.NORM.DIST(O$1,$D144,$E144,TRUE)-_xlfn.NORM.DIST(O$2,$D144,$E144,TRUE))</f>
        <v/>
      </c>
      <c r="P144">
        <f>IF(NOT(ISNUMBER($D144)),"",_xlfn.NORM.DIST(P$1,$D144,$E144,TRUE)-_xlfn.NORM.DIST(P$2,$D144,$E144,TRUE))</f>
        <v/>
      </c>
      <c r="Q144">
        <f>IF(NOT(ISNUMBER($D144)),"",_xlfn.NORM.DIST(Q$1,$D144,$E144,TRUE)-_xlfn.NORM.DIST(Q$2,$D144,$E144,TRUE))</f>
        <v/>
      </c>
      <c r="R144">
        <f>IF(NOT(ISNUMBER($D144)),"",_xlfn.NORM.DIST(R$1,$D144,$E144,TRUE)-_xlfn.NORM.DIST(R$2,$D144,$E144,TRUE))</f>
        <v/>
      </c>
      <c r="S144">
        <f>IF(NOT(ISNUMBER($D144)),"",_xlfn.NORM.DIST(S$1,$D144,$E144,TRUE)-_xlfn.NORM.DIST(S$2,$D144,$E144,TRUE))</f>
        <v/>
      </c>
      <c r="T144">
        <f>IF(NOT(ISNUMBER($D144)),"",_xlfn.NORM.DIST(T$1,$D144,$E144,TRUE)-_xlfn.NORM.DIST(T$2,$D144,$E144,TRUE))</f>
        <v/>
      </c>
      <c r="U144">
        <f>IF(NOT(ISNUMBER($D144)),"",_xlfn.NORM.DIST(U$1,$D144,$E144,TRUE)-_xlfn.NORM.DIST(U$2,$D144,$E144,TRUE))</f>
        <v/>
      </c>
      <c r="V144">
        <f>IF(NOT(ISNUMBER($D144)),"",_xlfn.NORM.DIST(V$1,$D144,$E144,TRUE)-_xlfn.NORM.DIST(V$2,$D144,$E144,TRUE))</f>
        <v/>
      </c>
      <c r="W144">
        <f>IF(NOT(ISNUMBER($D144)),"",_xlfn.NORM.DIST(W$1,$D144,$E144,TRUE)-_xlfn.NORM.DIST(W$2,$D144,$E144,TRUE))</f>
        <v/>
      </c>
      <c r="X144">
        <f>IF(NOT(ISNUMBER($D144)),"",_xlfn.NORM.DIST(X$1,$D144,$E144,TRUE)-_xlfn.NORM.DIST(X$2,$D144,$E144,TRUE))</f>
        <v/>
      </c>
      <c r="Y144">
        <f>IF(NOT(ISNUMBER($D144)),"",_xlfn.NORM.DIST(Y$1,$D144,$E144,TRUE)-_xlfn.NORM.DIST(Y$2,$D144,$E144,TRUE))</f>
        <v/>
      </c>
      <c r="Z144">
        <f>IF(NOT(ISNUMBER($D144)),"",_xlfn.NORM.DIST(Z$1,$D144,$E144,TRUE)-_xlfn.NORM.DIST(Z$2,$D144,$E144,TRUE))</f>
        <v/>
      </c>
      <c r="AA144">
        <f>IF(NOT(ISNUMBER($D144)),"",_xlfn.NORM.DIST(AA$1,$D144,$E144,TRUE)-_xlfn.NORM.DIST(AA$2,$D144,$E144,TRUE))</f>
        <v/>
      </c>
      <c r="AB144">
        <f>IF(NOT(ISNUMBER($D144)),"",_xlfn.NORM.DIST(AB$1,$D144,$E144,TRUE)-_xlfn.NORM.DIST(AB$2,$D144,$E144,TRUE))</f>
        <v/>
      </c>
      <c r="AC144">
        <f>IF(NOT(ISNUMBER($D144)),"",_xlfn.NORM.DIST(AC$1,$D144,$E144,TRUE)-_xlfn.NORM.DIST(AC$2,$D144,$E144,TRUE))</f>
        <v/>
      </c>
      <c r="AD144">
        <f>IF(NOT(ISNUMBER($D144)),"",_xlfn.NORM.DIST(AD$1,$D144,$E144,TRUE)-_xlfn.NORM.DIST(AD$2,$D144,$E144,TRUE))</f>
        <v/>
      </c>
      <c r="AE144">
        <f>IF(NOT(ISNUMBER($D144)),"",_xlfn.NORM.DIST(AE$1,$D144,$E144,TRUE)-_xlfn.NORM.DIST(AE$2,$D144,$E144,TRUE))</f>
        <v/>
      </c>
      <c r="AF144">
        <f>IF(NOT(ISNUMBER($D144)),"",_xlfn.NORM.DIST(AF$1,$D144,$E144,TRUE)-_xlfn.NORM.DIST(AF$2,$D144,$E144,TRUE))</f>
        <v/>
      </c>
      <c r="AG144">
        <f>IF(NOT(ISNUMBER($D144)),"",_xlfn.NORM.DIST(AG$1,$D144,$E144,TRUE)-_xlfn.NORM.DIST(AG$2,$D144,$E144,TRUE))</f>
        <v/>
      </c>
      <c r="AH144">
        <f>IF(NOT(ISNUMBER($D144)),"",_xlfn.NORM.DIST(AH$1,$D144,$E144,TRUE)-_xlfn.NORM.DIST(AH$2,$D144,$E144,TRUE))</f>
        <v/>
      </c>
      <c r="AI144">
        <f>IF(NOT(ISNUMBER($D144)),"",_xlfn.NORM.DIST(AI$1,$D144,$E144,TRUE)-_xlfn.NORM.DIST(AI$2,$D144,$E144,TRUE))</f>
        <v/>
      </c>
      <c r="AJ144">
        <f>IF(NOT(ISNUMBER($D144)),"",_xlfn.NORM.DIST(AJ$1,$D144,$E144,TRUE)-_xlfn.NORM.DIST(AJ$2,$D144,$E144,TRUE))</f>
        <v/>
      </c>
      <c r="AK144">
        <f>IF(NOT(ISNUMBER($D144)),"",_xlfn.NORM.DIST(AK$1,$D144,$E144,TRUE)-_xlfn.NORM.DIST(AK$2,$D144,$E144,TRUE))</f>
        <v/>
      </c>
      <c r="AL144">
        <f>IF(NOT(ISNUMBER($D144)),"",_xlfn.NORM.DIST(AL$1,$D144,$E144,TRUE)-_xlfn.NORM.DIST(AL$2,$D144,$E144,TRUE))</f>
        <v/>
      </c>
      <c r="AM144">
        <f>IF(NOT(ISNUMBER($D144)),"",_xlfn.NORM.DIST(AM$1,$D144,$E144,TRUE)-_xlfn.NORM.DIST(AM$2,$D144,$E144,TRUE))</f>
        <v/>
      </c>
      <c r="AN144">
        <f>IF(NOT(ISNUMBER($D144)),"",_xlfn.NORM.DIST(AN$1,$D144,$E144,TRUE)-_xlfn.NORM.DIST(AN$2,$D144,$E144,TRUE))</f>
        <v/>
      </c>
      <c r="AO144">
        <f>IF(NOT(ISNUMBER($D144)),"",_xlfn.NORM.DIST(AO$1,$D144,$E144,TRUE)-_xlfn.NORM.DIST(AO$2,$D144,$E144,TRUE))</f>
        <v/>
      </c>
      <c r="AP144">
        <f>IF(NOT(ISNUMBER($D144)),"",_xlfn.NORM.DIST(AP$1,$D144,$E144,TRUE)-_xlfn.NORM.DIST(AP$2,$D144,$E144,TRUE))</f>
        <v/>
      </c>
      <c r="AQ144">
        <f>IF(NOT(ISNUMBER($D144)),"",_xlfn.NORM.DIST(AQ$1,$D144,$E144,TRUE)-_xlfn.NORM.DIST(AQ$2,$D144,$E144,TRUE))</f>
        <v/>
      </c>
      <c r="AR144">
        <f>IF(NOT(ISNUMBER($D144)),"",_xlfn.NORM.DIST(AR$1,$D144,$E144,TRUE)-_xlfn.NORM.DIST(AR$2,$D144,$E144,TRUE))</f>
        <v/>
      </c>
      <c r="AS144">
        <f>IF(NOT(ISNUMBER($D144)),"",_xlfn.NORM.DIST(AS$1,$D144,$E144,TRUE)-_xlfn.NORM.DIST(AS$2,$D144,$E144,TRUE))</f>
        <v/>
      </c>
      <c r="AT144">
        <f>IF(NOT(ISNUMBER($D144)),"",_xlfn.NORM.DIST(AT$1,$D144,$E144,TRUE)-_xlfn.NORM.DIST(AT$2,$D144,$E144,TRUE))</f>
        <v/>
      </c>
      <c r="AU144">
        <f>IF(NOT(ISNUMBER($D144)),"",_xlfn.NORM.DIST(AU$1,$D144,$E144,TRUE)-_xlfn.NORM.DIST(AU$2,$D144,$E144,TRUE))</f>
        <v/>
      </c>
      <c r="AV144">
        <f>IF(NOT(ISNUMBER($D144)),"",_xlfn.NORM.DIST(AV$1,$D144,$E144,TRUE)-_xlfn.NORM.DIST(AV$2,$D144,$E144,TRUE))</f>
        <v/>
      </c>
      <c r="AW144">
        <f>IF(NOT(ISNUMBER($D144)),"",_xlfn.NORM.DIST(AW$1,$D144,$E144,TRUE)-_xlfn.NORM.DIST(AW$2,$D144,$E144,TRUE))</f>
        <v/>
      </c>
      <c r="AX144">
        <f>IF(NOT(ISNUMBER($D144)),"",_xlfn.NORM.DIST(AX$1,$D144,$E144,TRUE)-_xlfn.NORM.DIST(AX$2,$D144,$E144,TRUE))</f>
        <v/>
      </c>
      <c r="AY144">
        <f>IF(NOT(ISNUMBER($D144)),"",_xlfn.NORM.DIST(AY$1,$D144,$E144,TRUE)-_xlfn.NORM.DIST(AY$2,$D144,$E144,TRUE))</f>
        <v/>
      </c>
      <c r="AZ144">
        <f>IF(NOT(ISNUMBER($D144)),"",_xlfn.NORM.DIST(AZ$1,$D144,$E144,TRUE)-_xlfn.NORM.DIST(AZ$2,$D144,$E144,TRUE))</f>
        <v/>
      </c>
      <c r="BA144">
        <f>IF(NOT(ISNUMBER($D144)),"",_xlfn.NORM.DIST(BA$1,$D144,$E144,TRUE)-_xlfn.NORM.DIST(BA$2,$D144,$E144,TRUE))</f>
        <v/>
      </c>
      <c r="BB144">
        <f>IF(NOT(ISNUMBER($D144)),"",_xlfn.NORM.DIST(BB$1,$D144,$E144,TRUE)-_xlfn.NORM.DIST(BB$2,$D144,$E144,TRUE))</f>
        <v/>
      </c>
      <c r="BC144">
        <f>IF(NOT(ISNUMBER($D144)),"",_xlfn.NORM.DIST(BC$1,$D144,$E144,TRUE)-_xlfn.NORM.DIST(BC$2,$D144,$E144,TRUE))</f>
        <v/>
      </c>
      <c r="BD144">
        <f>IF(NOT(ISNUMBER($D144)),"",_xlfn.NORM.DIST(BD$1,$D144,$E144,TRUE)-_xlfn.NORM.DIST(BD$2,$D144,$E144,TRUE))</f>
        <v/>
      </c>
      <c r="BE144">
        <f>IF(NOT(ISNUMBER($D144)),"",_xlfn.NORM.DIST(BE$1,$D144,$E144,TRUE)-_xlfn.NORM.DIST(BE$2,$D144,$E144,TRUE))</f>
        <v/>
      </c>
      <c r="BF144">
        <f>IF(NOT(ISNUMBER($D144)),"",_xlfn.NORM.DIST(BF$1,$D144,$E144,TRUE)-_xlfn.NORM.DIST(BF$2,$D144,$E144,TRUE))</f>
        <v/>
      </c>
      <c r="BG144">
        <f>IF(NOT(ISNUMBER($D144)),"",_xlfn.NORM.DIST(BG$1,$D144,$E144,TRUE)-_xlfn.NORM.DIST(BG$2,$D144,$E144,TRUE))</f>
        <v/>
      </c>
      <c r="BH144">
        <f>IF(NOT(ISNUMBER($D144)),"",_xlfn.NORM.DIST(BH$1,$D144,$E144,TRUE)-_xlfn.NORM.DIST(BH$2,$D144,$E144,TRUE))</f>
        <v/>
      </c>
      <c r="BI144">
        <f>IF(NOT(ISNUMBER($D144)),"",_xlfn.NORM.DIST(BI$1,$D144,$E144,TRUE)-_xlfn.NORM.DIST(BI$2,$D144,$E144,TRUE))</f>
        <v/>
      </c>
      <c r="BJ144">
        <f>IF(NOT(ISNUMBER($D144)),"",_xlfn.NORM.DIST(BJ$1,$D144,$E144,TRUE)-_xlfn.NORM.DIST(BJ$2,$D144,$E144,TRUE))</f>
        <v/>
      </c>
      <c r="BK144">
        <f>IF(NOT(ISNUMBER($D144)),"",_xlfn.NORM.DIST(BK$1,$D144,$E144,TRUE)-_xlfn.NORM.DIST(BK$2,$D144,$E144,TRUE))</f>
        <v/>
      </c>
      <c r="BL144">
        <f>IF(NOT(ISNUMBER($D144)),"",_xlfn.NORM.DIST(BL$1,$D144,$E144,TRUE)-_xlfn.NORM.DIST(BL$2,$D144,$E144,TRUE))</f>
        <v/>
      </c>
      <c r="BM144">
        <f>IF(NOT(ISNUMBER($D144)),"",_xlfn.NORM.DIST(BM$1,$D144,$E144,TRUE)-_xlfn.NORM.DIST(BM$2,$D144,$E144,TRUE))</f>
        <v/>
      </c>
      <c r="BN144">
        <f>IF(NOT(ISNUMBER($D144)),"",_xlfn.NORM.DIST(BN$1,$D144,$E144,TRUE)-_xlfn.NORM.DIST(BN$2,$D144,$E144,TRUE))</f>
        <v/>
      </c>
      <c r="BO144">
        <f>IF(NOT(ISNUMBER($D144)),"",_xlfn.NORM.DIST(BO$1,$D144,$E144,TRUE)-_xlfn.NORM.DIST(BO$2,$D144,$E144,TRUE))</f>
        <v/>
      </c>
      <c r="BP144">
        <f>IF(NOT(ISNUMBER($D144)),"",_xlfn.NORM.DIST(BP$1,$D144,$E144,TRUE)-_xlfn.NORM.DIST(BP$2,$D144,$E144,TRUE))</f>
        <v/>
      </c>
      <c r="BQ144">
        <f>IF(NOT(ISNUMBER($D144)),"",_xlfn.NORM.DIST(BQ$1,$D144,$E144,TRUE)-_xlfn.NORM.DIST(BQ$2,$D144,$E144,TRUE))</f>
        <v/>
      </c>
      <c r="BR144">
        <f>IF(NOT(ISNUMBER($D144)),"",_xlfn.NORM.DIST(BR$1,$D144,$E144,TRUE)-_xlfn.NORM.DIST(BR$2,$D144,$E144,TRUE))</f>
        <v/>
      </c>
      <c r="BS144">
        <f>IF(NOT(ISNUMBER($D144)),"",_xlfn.NORM.DIST(BS$1,$D144,$E144,TRUE)-_xlfn.NORM.DIST(BS$2,$D144,$E144,TRUE))</f>
        <v/>
      </c>
      <c r="BT144">
        <f>IF(NOT(ISNUMBER($D144)),"",_xlfn.NORM.DIST(BT$1,$D144,$E144,TRUE)-_xlfn.NORM.DIST(BT$2,$D144,$E144,TRUE))</f>
        <v/>
      </c>
      <c r="BU144">
        <f>IF(NOT(ISNUMBER($D144)),"",_xlfn.NORM.DIST(BU$1,$D144,$E144,TRUE)-_xlfn.NORM.DIST(BU$2,$D144,$E144,TRUE))</f>
        <v/>
      </c>
      <c r="BV144">
        <f>IF(NOT(ISNUMBER($D144)),"",_xlfn.NORM.DIST(BV$1,$D144,$E144,TRUE)-_xlfn.NORM.DIST(BV$2,$D144,$E144,TRUE))</f>
        <v/>
      </c>
      <c r="BW144">
        <f>IF(NOT(ISNUMBER($D144)),"",_xlfn.NORM.DIST(BW$1,$D144,$E144,TRUE)-_xlfn.NORM.DIST(BW$2,$D144,$E144,TRUE))</f>
        <v/>
      </c>
      <c r="BX144">
        <f>IF(NOT(ISNUMBER($D144)),"",_xlfn.NORM.DIST(BX$1,$D144,$E144,TRUE)-_xlfn.NORM.DIST(BX$2,$D144,$E144,TRUE))</f>
        <v/>
      </c>
      <c r="BY144">
        <f>IF(NOT(ISNUMBER($D144)),"",_xlfn.NORM.DIST(BY$1,$D144,$E144,TRUE)-_xlfn.NORM.DIST(BY$2,$D144,$E144,TRUE))</f>
        <v/>
      </c>
      <c r="BZ144">
        <f>IF(NOT(ISNUMBER($D144)),"",_xlfn.NORM.DIST(BZ$1,$D144,$E144,TRUE)-_xlfn.NORM.DIST(BZ$2,$D144,$E144,TRUE))</f>
        <v/>
      </c>
      <c r="CA144">
        <f>IF(NOT(ISNUMBER($D144)),"",_xlfn.NORM.DIST(CA$1,$D144,$E144,TRUE)-_xlfn.NORM.DIST(CA$2,$D144,$E144,TRUE))</f>
        <v/>
      </c>
      <c r="CB144">
        <f>IF(NOT(ISNUMBER($D144)),"",_xlfn.NORM.DIST(CB$1,$D144,$E144,TRUE)-_xlfn.NORM.DIST(CB$2,$D144,$E144,TRUE))</f>
        <v/>
      </c>
      <c r="CC144">
        <f>IF(NOT(ISNUMBER($D144)),"",_xlfn.NORM.DIST(CC$1,$D144,$E144,TRUE)-_xlfn.NORM.DIST(CC$2,$D144,$E144,TRUE))</f>
        <v/>
      </c>
      <c r="CD144">
        <f>IF(NOT(ISNUMBER($D144)),"",_xlfn.NORM.DIST(CD$1,$D144,$E144,TRUE)-_xlfn.NORM.DIST(CD$2,$D144,$E144,TRUE))</f>
        <v/>
      </c>
      <c r="CE144">
        <f>IF(NOT(ISNUMBER($D144)),"",_xlfn.NORM.DIST(CE$1,$D144,$E144,TRUE)-_xlfn.NORM.DIST(CE$2,$D144,$E144,TRUE))</f>
        <v/>
      </c>
      <c r="CF144">
        <f>IF(NOT(ISNUMBER($D144)),"",_xlfn.NORM.DIST(CF$1,$D144,$E144,TRUE)-_xlfn.NORM.DIST(CF$2,$D144,$E144,TRUE))</f>
        <v/>
      </c>
      <c r="CG144">
        <f>IF(NOT(ISNUMBER($D144)),"",_xlfn.NORM.DIST(CG$1,$D144,$E144,TRUE)-_xlfn.NORM.DIST(CG$2,$D144,$E144,TRUE))</f>
        <v/>
      </c>
      <c r="CH144">
        <f>IF(NOT(ISNUMBER($D144)),"",_xlfn.NORM.DIST(CH$1,$D144,$E144,TRUE)-_xlfn.NORM.DIST(CH$2,$D144,$E144,TRUE))</f>
        <v/>
      </c>
      <c r="CI144">
        <f>IF(NOT(ISNUMBER($D144)),"",_xlfn.NORM.DIST(CI$1,$D144,$E144,TRUE)-_xlfn.NORM.DIST(CI$2,$D144,$E144,TRUE))</f>
        <v/>
      </c>
      <c r="CJ144">
        <f>IF(ISNUMBER($D144),SUM(F144:CI144),"")</f>
        <v/>
      </c>
    </row>
    <row r="145">
      <c r="A145">
        <f>economics!A144</f>
        <v/>
      </c>
      <c r="B145">
        <f>economics!B144</f>
        <v/>
      </c>
      <c r="C145">
        <f>economics!D144</f>
        <v/>
      </c>
      <c r="D145">
        <f>IF(ISNUMBER(economics!T144),economics!T144,"na")</f>
        <v/>
      </c>
      <c r="E145">
        <f>IF(ISNUMBER(D145),MAX(0.3*ABS(D145),0.000001),"na")</f>
        <v/>
      </c>
      <c r="F145">
        <f>IF(NOT(ISNUMBER($D145)),"",_xlfn.NORM.DIST(F$1,$D145,$E145,TRUE)-_xlfn.NORM.DIST(F$2,$D145,$E145,TRUE))</f>
        <v/>
      </c>
      <c r="G145">
        <f>IF(NOT(ISNUMBER($D145)),"",_xlfn.NORM.DIST(G$1,$D145,$E145,TRUE)-_xlfn.NORM.DIST(G$2,$D145,$E145,TRUE))</f>
        <v/>
      </c>
      <c r="H145">
        <f>IF(NOT(ISNUMBER($D145)),"",_xlfn.NORM.DIST(H$1,$D145,$E145,TRUE)-_xlfn.NORM.DIST(H$2,$D145,$E145,TRUE))</f>
        <v/>
      </c>
      <c r="I145">
        <f>IF(NOT(ISNUMBER($D145)),"",_xlfn.NORM.DIST(I$1,$D145,$E145,TRUE)-_xlfn.NORM.DIST(I$2,$D145,$E145,TRUE))</f>
        <v/>
      </c>
      <c r="J145">
        <f>IF(NOT(ISNUMBER($D145)),"",_xlfn.NORM.DIST(J$1,$D145,$E145,TRUE)-_xlfn.NORM.DIST(J$2,$D145,$E145,TRUE))</f>
        <v/>
      </c>
      <c r="K145">
        <f>IF(NOT(ISNUMBER($D145)),"",_xlfn.NORM.DIST(K$1,$D145,$E145,TRUE)-_xlfn.NORM.DIST(K$2,$D145,$E145,TRUE))</f>
        <v/>
      </c>
      <c r="L145">
        <f>IF(NOT(ISNUMBER($D145)),"",_xlfn.NORM.DIST(L$1,$D145,$E145,TRUE)-_xlfn.NORM.DIST(L$2,$D145,$E145,TRUE))</f>
        <v/>
      </c>
      <c r="M145">
        <f>IF(NOT(ISNUMBER($D145)),"",_xlfn.NORM.DIST(M$1,$D145,$E145,TRUE)-_xlfn.NORM.DIST(M$2,$D145,$E145,TRUE))</f>
        <v/>
      </c>
      <c r="N145">
        <f>IF(NOT(ISNUMBER($D145)),"",_xlfn.NORM.DIST(N$1,$D145,$E145,TRUE)-_xlfn.NORM.DIST(N$2,$D145,$E145,TRUE))</f>
        <v/>
      </c>
      <c r="O145">
        <f>IF(NOT(ISNUMBER($D145)),"",_xlfn.NORM.DIST(O$1,$D145,$E145,TRUE)-_xlfn.NORM.DIST(O$2,$D145,$E145,TRUE))</f>
        <v/>
      </c>
      <c r="P145">
        <f>IF(NOT(ISNUMBER($D145)),"",_xlfn.NORM.DIST(P$1,$D145,$E145,TRUE)-_xlfn.NORM.DIST(P$2,$D145,$E145,TRUE))</f>
        <v/>
      </c>
      <c r="Q145">
        <f>IF(NOT(ISNUMBER($D145)),"",_xlfn.NORM.DIST(Q$1,$D145,$E145,TRUE)-_xlfn.NORM.DIST(Q$2,$D145,$E145,TRUE))</f>
        <v/>
      </c>
      <c r="R145">
        <f>IF(NOT(ISNUMBER($D145)),"",_xlfn.NORM.DIST(R$1,$D145,$E145,TRUE)-_xlfn.NORM.DIST(R$2,$D145,$E145,TRUE))</f>
        <v/>
      </c>
      <c r="S145">
        <f>IF(NOT(ISNUMBER($D145)),"",_xlfn.NORM.DIST(S$1,$D145,$E145,TRUE)-_xlfn.NORM.DIST(S$2,$D145,$E145,TRUE))</f>
        <v/>
      </c>
      <c r="T145">
        <f>IF(NOT(ISNUMBER($D145)),"",_xlfn.NORM.DIST(T$1,$D145,$E145,TRUE)-_xlfn.NORM.DIST(T$2,$D145,$E145,TRUE))</f>
        <v/>
      </c>
      <c r="U145">
        <f>IF(NOT(ISNUMBER($D145)),"",_xlfn.NORM.DIST(U$1,$D145,$E145,TRUE)-_xlfn.NORM.DIST(U$2,$D145,$E145,TRUE))</f>
        <v/>
      </c>
      <c r="V145">
        <f>IF(NOT(ISNUMBER($D145)),"",_xlfn.NORM.DIST(V$1,$D145,$E145,TRUE)-_xlfn.NORM.DIST(V$2,$D145,$E145,TRUE))</f>
        <v/>
      </c>
      <c r="W145">
        <f>IF(NOT(ISNUMBER($D145)),"",_xlfn.NORM.DIST(W$1,$D145,$E145,TRUE)-_xlfn.NORM.DIST(W$2,$D145,$E145,TRUE))</f>
        <v/>
      </c>
      <c r="X145">
        <f>IF(NOT(ISNUMBER($D145)),"",_xlfn.NORM.DIST(X$1,$D145,$E145,TRUE)-_xlfn.NORM.DIST(X$2,$D145,$E145,TRUE))</f>
        <v/>
      </c>
      <c r="Y145">
        <f>IF(NOT(ISNUMBER($D145)),"",_xlfn.NORM.DIST(Y$1,$D145,$E145,TRUE)-_xlfn.NORM.DIST(Y$2,$D145,$E145,TRUE))</f>
        <v/>
      </c>
      <c r="Z145">
        <f>IF(NOT(ISNUMBER($D145)),"",_xlfn.NORM.DIST(Z$1,$D145,$E145,TRUE)-_xlfn.NORM.DIST(Z$2,$D145,$E145,TRUE))</f>
        <v/>
      </c>
      <c r="AA145">
        <f>IF(NOT(ISNUMBER($D145)),"",_xlfn.NORM.DIST(AA$1,$D145,$E145,TRUE)-_xlfn.NORM.DIST(AA$2,$D145,$E145,TRUE))</f>
        <v/>
      </c>
      <c r="AB145">
        <f>IF(NOT(ISNUMBER($D145)),"",_xlfn.NORM.DIST(AB$1,$D145,$E145,TRUE)-_xlfn.NORM.DIST(AB$2,$D145,$E145,TRUE))</f>
        <v/>
      </c>
      <c r="AC145">
        <f>IF(NOT(ISNUMBER($D145)),"",_xlfn.NORM.DIST(AC$1,$D145,$E145,TRUE)-_xlfn.NORM.DIST(AC$2,$D145,$E145,TRUE))</f>
        <v/>
      </c>
      <c r="AD145">
        <f>IF(NOT(ISNUMBER($D145)),"",_xlfn.NORM.DIST(AD$1,$D145,$E145,TRUE)-_xlfn.NORM.DIST(AD$2,$D145,$E145,TRUE))</f>
        <v/>
      </c>
      <c r="AE145">
        <f>IF(NOT(ISNUMBER($D145)),"",_xlfn.NORM.DIST(AE$1,$D145,$E145,TRUE)-_xlfn.NORM.DIST(AE$2,$D145,$E145,TRUE))</f>
        <v/>
      </c>
      <c r="AF145">
        <f>IF(NOT(ISNUMBER($D145)),"",_xlfn.NORM.DIST(AF$1,$D145,$E145,TRUE)-_xlfn.NORM.DIST(AF$2,$D145,$E145,TRUE))</f>
        <v/>
      </c>
      <c r="AG145">
        <f>IF(NOT(ISNUMBER($D145)),"",_xlfn.NORM.DIST(AG$1,$D145,$E145,TRUE)-_xlfn.NORM.DIST(AG$2,$D145,$E145,TRUE))</f>
        <v/>
      </c>
      <c r="AH145">
        <f>IF(NOT(ISNUMBER($D145)),"",_xlfn.NORM.DIST(AH$1,$D145,$E145,TRUE)-_xlfn.NORM.DIST(AH$2,$D145,$E145,TRUE))</f>
        <v/>
      </c>
      <c r="AI145">
        <f>IF(NOT(ISNUMBER($D145)),"",_xlfn.NORM.DIST(AI$1,$D145,$E145,TRUE)-_xlfn.NORM.DIST(AI$2,$D145,$E145,TRUE))</f>
        <v/>
      </c>
      <c r="AJ145">
        <f>IF(NOT(ISNUMBER($D145)),"",_xlfn.NORM.DIST(AJ$1,$D145,$E145,TRUE)-_xlfn.NORM.DIST(AJ$2,$D145,$E145,TRUE))</f>
        <v/>
      </c>
      <c r="AK145">
        <f>IF(NOT(ISNUMBER($D145)),"",_xlfn.NORM.DIST(AK$1,$D145,$E145,TRUE)-_xlfn.NORM.DIST(AK$2,$D145,$E145,TRUE))</f>
        <v/>
      </c>
      <c r="AL145">
        <f>IF(NOT(ISNUMBER($D145)),"",_xlfn.NORM.DIST(AL$1,$D145,$E145,TRUE)-_xlfn.NORM.DIST(AL$2,$D145,$E145,TRUE))</f>
        <v/>
      </c>
      <c r="AM145">
        <f>IF(NOT(ISNUMBER($D145)),"",_xlfn.NORM.DIST(AM$1,$D145,$E145,TRUE)-_xlfn.NORM.DIST(AM$2,$D145,$E145,TRUE))</f>
        <v/>
      </c>
      <c r="AN145">
        <f>IF(NOT(ISNUMBER($D145)),"",_xlfn.NORM.DIST(AN$1,$D145,$E145,TRUE)-_xlfn.NORM.DIST(AN$2,$D145,$E145,TRUE))</f>
        <v/>
      </c>
      <c r="AO145">
        <f>IF(NOT(ISNUMBER($D145)),"",_xlfn.NORM.DIST(AO$1,$D145,$E145,TRUE)-_xlfn.NORM.DIST(AO$2,$D145,$E145,TRUE))</f>
        <v/>
      </c>
      <c r="AP145">
        <f>IF(NOT(ISNUMBER($D145)),"",_xlfn.NORM.DIST(AP$1,$D145,$E145,TRUE)-_xlfn.NORM.DIST(AP$2,$D145,$E145,TRUE))</f>
        <v/>
      </c>
      <c r="AQ145">
        <f>IF(NOT(ISNUMBER($D145)),"",_xlfn.NORM.DIST(AQ$1,$D145,$E145,TRUE)-_xlfn.NORM.DIST(AQ$2,$D145,$E145,TRUE))</f>
        <v/>
      </c>
      <c r="AR145">
        <f>IF(NOT(ISNUMBER($D145)),"",_xlfn.NORM.DIST(AR$1,$D145,$E145,TRUE)-_xlfn.NORM.DIST(AR$2,$D145,$E145,TRUE))</f>
        <v/>
      </c>
      <c r="AS145">
        <f>IF(NOT(ISNUMBER($D145)),"",_xlfn.NORM.DIST(AS$1,$D145,$E145,TRUE)-_xlfn.NORM.DIST(AS$2,$D145,$E145,TRUE))</f>
        <v/>
      </c>
      <c r="AT145">
        <f>IF(NOT(ISNUMBER($D145)),"",_xlfn.NORM.DIST(AT$1,$D145,$E145,TRUE)-_xlfn.NORM.DIST(AT$2,$D145,$E145,TRUE))</f>
        <v/>
      </c>
      <c r="AU145">
        <f>IF(NOT(ISNUMBER($D145)),"",_xlfn.NORM.DIST(AU$1,$D145,$E145,TRUE)-_xlfn.NORM.DIST(AU$2,$D145,$E145,TRUE))</f>
        <v/>
      </c>
      <c r="AV145">
        <f>IF(NOT(ISNUMBER($D145)),"",_xlfn.NORM.DIST(AV$1,$D145,$E145,TRUE)-_xlfn.NORM.DIST(AV$2,$D145,$E145,TRUE))</f>
        <v/>
      </c>
      <c r="AW145">
        <f>IF(NOT(ISNUMBER($D145)),"",_xlfn.NORM.DIST(AW$1,$D145,$E145,TRUE)-_xlfn.NORM.DIST(AW$2,$D145,$E145,TRUE))</f>
        <v/>
      </c>
      <c r="AX145">
        <f>IF(NOT(ISNUMBER($D145)),"",_xlfn.NORM.DIST(AX$1,$D145,$E145,TRUE)-_xlfn.NORM.DIST(AX$2,$D145,$E145,TRUE))</f>
        <v/>
      </c>
      <c r="AY145">
        <f>IF(NOT(ISNUMBER($D145)),"",_xlfn.NORM.DIST(AY$1,$D145,$E145,TRUE)-_xlfn.NORM.DIST(AY$2,$D145,$E145,TRUE))</f>
        <v/>
      </c>
      <c r="AZ145">
        <f>IF(NOT(ISNUMBER($D145)),"",_xlfn.NORM.DIST(AZ$1,$D145,$E145,TRUE)-_xlfn.NORM.DIST(AZ$2,$D145,$E145,TRUE))</f>
        <v/>
      </c>
      <c r="BA145">
        <f>IF(NOT(ISNUMBER($D145)),"",_xlfn.NORM.DIST(BA$1,$D145,$E145,TRUE)-_xlfn.NORM.DIST(BA$2,$D145,$E145,TRUE))</f>
        <v/>
      </c>
      <c r="BB145">
        <f>IF(NOT(ISNUMBER($D145)),"",_xlfn.NORM.DIST(BB$1,$D145,$E145,TRUE)-_xlfn.NORM.DIST(BB$2,$D145,$E145,TRUE))</f>
        <v/>
      </c>
      <c r="BC145">
        <f>IF(NOT(ISNUMBER($D145)),"",_xlfn.NORM.DIST(BC$1,$D145,$E145,TRUE)-_xlfn.NORM.DIST(BC$2,$D145,$E145,TRUE))</f>
        <v/>
      </c>
      <c r="BD145">
        <f>IF(NOT(ISNUMBER($D145)),"",_xlfn.NORM.DIST(BD$1,$D145,$E145,TRUE)-_xlfn.NORM.DIST(BD$2,$D145,$E145,TRUE))</f>
        <v/>
      </c>
      <c r="BE145">
        <f>IF(NOT(ISNUMBER($D145)),"",_xlfn.NORM.DIST(BE$1,$D145,$E145,TRUE)-_xlfn.NORM.DIST(BE$2,$D145,$E145,TRUE))</f>
        <v/>
      </c>
      <c r="BF145">
        <f>IF(NOT(ISNUMBER($D145)),"",_xlfn.NORM.DIST(BF$1,$D145,$E145,TRUE)-_xlfn.NORM.DIST(BF$2,$D145,$E145,TRUE))</f>
        <v/>
      </c>
      <c r="BG145">
        <f>IF(NOT(ISNUMBER($D145)),"",_xlfn.NORM.DIST(BG$1,$D145,$E145,TRUE)-_xlfn.NORM.DIST(BG$2,$D145,$E145,TRUE))</f>
        <v/>
      </c>
      <c r="BH145">
        <f>IF(NOT(ISNUMBER($D145)),"",_xlfn.NORM.DIST(BH$1,$D145,$E145,TRUE)-_xlfn.NORM.DIST(BH$2,$D145,$E145,TRUE))</f>
        <v/>
      </c>
      <c r="BI145">
        <f>IF(NOT(ISNUMBER($D145)),"",_xlfn.NORM.DIST(BI$1,$D145,$E145,TRUE)-_xlfn.NORM.DIST(BI$2,$D145,$E145,TRUE))</f>
        <v/>
      </c>
      <c r="BJ145">
        <f>IF(NOT(ISNUMBER($D145)),"",_xlfn.NORM.DIST(BJ$1,$D145,$E145,TRUE)-_xlfn.NORM.DIST(BJ$2,$D145,$E145,TRUE))</f>
        <v/>
      </c>
      <c r="BK145">
        <f>IF(NOT(ISNUMBER($D145)),"",_xlfn.NORM.DIST(BK$1,$D145,$E145,TRUE)-_xlfn.NORM.DIST(BK$2,$D145,$E145,TRUE))</f>
        <v/>
      </c>
      <c r="BL145">
        <f>IF(NOT(ISNUMBER($D145)),"",_xlfn.NORM.DIST(BL$1,$D145,$E145,TRUE)-_xlfn.NORM.DIST(BL$2,$D145,$E145,TRUE))</f>
        <v/>
      </c>
      <c r="BM145">
        <f>IF(NOT(ISNUMBER($D145)),"",_xlfn.NORM.DIST(BM$1,$D145,$E145,TRUE)-_xlfn.NORM.DIST(BM$2,$D145,$E145,TRUE))</f>
        <v/>
      </c>
      <c r="BN145">
        <f>IF(NOT(ISNUMBER($D145)),"",_xlfn.NORM.DIST(BN$1,$D145,$E145,TRUE)-_xlfn.NORM.DIST(BN$2,$D145,$E145,TRUE))</f>
        <v/>
      </c>
      <c r="BO145">
        <f>IF(NOT(ISNUMBER($D145)),"",_xlfn.NORM.DIST(BO$1,$D145,$E145,TRUE)-_xlfn.NORM.DIST(BO$2,$D145,$E145,TRUE))</f>
        <v/>
      </c>
      <c r="BP145">
        <f>IF(NOT(ISNUMBER($D145)),"",_xlfn.NORM.DIST(BP$1,$D145,$E145,TRUE)-_xlfn.NORM.DIST(BP$2,$D145,$E145,TRUE))</f>
        <v/>
      </c>
      <c r="BQ145">
        <f>IF(NOT(ISNUMBER($D145)),"",_xlfn.NORM.DIST(BQ$1,$D145,$E145,TRUE)-_xlfn.NORM.DIST(BQ$2,$D145,$E145,TRUE))</f>
        <v/>
      </c>
      <c r="BR145">
        <f>IF(NOT(ISNUMBER($D145)),"",_xlfn.NORM.DIST(BR$1,$D145,$E145,TRUE)-_xlfn.NORM.DIST(BR$2,$D145,$E145,TRUE))</f>
        <v/>
      </c>
      <c r="BS145">
        <f>IF(NOT(ISNUMBER($D145)),"",_xlfn.NORM.DIST(BS$1,$D145,$E145,TRUE)-_xlfn.NORM.DIST(BS$2,$D145,$E145,TRUE))</f>
        <v/>
      </c>
      <c r="BT145">
        <f>IF(NOT(ISNUMBER($D145)),"",_xlfn.NORM.DIST(BT$1,$D145,$E145,TRUE)-_xlfn.NORM.DIST(BT$2,$D145,$E145,TRUE))</f>
        <v/>
      </c>
      <c r="BU145">
        <f>IF(NOT(ISNUMBER($D145)),"",_xlfn.NORM.DIST(BU$1,$D145,$E145,TRUE)-_xlfn.NORM.DIST(BU$2,$D145,$E145,TRUE))</f>
        <v/>
      </c>
      <c r="BV145">
        <f>IF(NOT(ISNUMBER($D145)),"",_xlfn.NORM.DIST(BV$1,$D145,$E145,TRUE)-_xlfn.NORM.DIST(BV$2,$D145,$E145,TRUE))</f>
        <v/>
      </c>
      <c r="BW145">
        <f>IF(NOT(ISNUMBER($D145)),"",_xlfn.NORM.DIST(BW$1,$D145,$E145,TRUE)-_xlfn.NORM.DIST(BW$2,$D145,$E145,TRUE))</f>
        <v/>
      </c>
      <c r="BX145">
        <f>IF(NOT(ISNUMBER($D145)),"",_xlfn.NORM.DIST(BX$1,$D145,$E145,TRUE)-_xlfn.NORM.DIST(BX$2,$D145,$E145,TRUE))</f>
        <v/>
      </c>
      <c r="BY145">
        <f>IF(NOT(ISNUMBER($D145)),"",_xlfn.NORM.DIST(BY$1,$D145,$E145,TRUE)-_xlfn.NORM.DIST(BY$2,$D145,$E145,TRUE))</f>
        <v/>
      </c>
      <c r="BZ145">
        <f>IF(NOT(ISNUMBER($D145)),"",_xlfn.NORM.DIST(BZ$1,$D145,$E145,TRUE)-_xlfn.NORM.DIST(BZ$2,$D145,$E145,TRUE))</f>
        <v/>
      </c>
      <c r="CA145">
        <f>IF(NOT(ISNUMBER($D145)),"",_xlfn.NORM.DIST(CA$1,$D145,$E145,TRUE)-_xlfn.NORM.DIST(CA$2,$D145,$E145,TRUE))</f>
        <v/>
      </c>
      <c r="CB145">
        <f>IF(NOT(ISNUMBER($D145)),"",_xlfn.NORM.DIST(CB$1,$D145,$E145,TRUE)-_xlfn.NORM.DIST(CB$2,$D145,$E145,TRUE))</f>
        <v/>
      </c>
      <c r="CC145">
        <f>IF(NOT(ISNUMBER($D145)),"",_xlfn.NORM.DIST(CC$1,$D145,$E145,TRUE)-_xlfn.NORM.DIST(CC$2,$D145,$E145,TRUE))</f>
        <v/>
      </c>
      <c r="CD145">
        <f>IF(NOT(ISNUMBER($D145)),"",_xlfn.NORM.DIST(CD$1,$D145,$E145,TRUE)-_xlfn.NORM.DIST(CD$2,$D145,$E145,TRUE))</f>
        <v/>
      </c>
      <c r="CE145">
        <f>IF(NOT(ISNUMBER($D145)),"",_xlfn.NORM.DIST(CE$1,$D145,$E145,TRUE)-_xlfn.NORM.DIST(CE$2,$D145,$E145,TRUE))</f>
        <v/>
      </c>
      <c r="CF145">
        <f>IF(NOT(ISNUMBER($D145)),"",_xlfn.NORM.DIST(CF$1,$D145,$E145,TRUE)-_xlfn.NORM.DIST(CF$2,$D145,$E145,TRUE))</f>
        <v/>
      </c>
      <c r="CG145">
        <f>IF(NOT(ISNUMBER($D145)),"",_xlfn.NORM.DIST(CG$1,$D145,$E145,TRUE)-_xlfn.NORM.DIST(CG$2,$D145,$E145,TRUE))</f>
        <v/>
      </c>
      <c r="CH145">
        <f>IF(NOT(ISNUMBER($D145)),"",_xlfn.NORM.DIST(CH$1,$D145,$E145,TRUE)-_xlfn.NORM.DIST(CH$2,$D145,$E145,TRUE))</f>
        <v/>
      </c>
      <c r="CI145">
        <f>IF(NOT(ISNUMBER($D145)),"",_xlfn.NORM.DIST(CI$1,$D145,$E145,TRUE)-_xlfn.NORM.DIST(CI$2,$D145,$E145,TRUE))</f>
        <v/>
      </c>
      <c r="CJ145">
        <f>IF(ISNUMBER($D145),SUM(F145:CI145),"")</f>
        <v/>
      </c>
    </row>
    <row r="146">
      <c r="A146">
        <f>economics!A145</f>
        <v/>
      </c>
      <c r="B146">
        <f>economics!B145</f>
        <v/>
      </c>
      <c r="C146">
        <f>economics!D145</f>
        <v/>
      </c>
      <c r="D146">
        <f>IF(ISNUMBER(economics!T145),economics!T145,"na")</f>
        <v/>
      </c>
      <c r="E146">
        <f>IF(ISNUMBER(D146),MAX(0.3*ABS(D146),0.000001),"na")</f>
        <v/>
      </c>
      <c r="F146">
        <f>IF(NOT(ISNUMBER($D146)),"",_xlfn.NORM.DIST(F$1,$D146,$E146,TRUE)-_xlfn.NORM.DIST(F$2,$D146,$E146,TRUE))</f>
        <v/>
      </c>
      <c r="G146">
        <f>IF(NOT(ISNUMBER($D146)),"",_xlfn.NORM.DIST(G$1,$D146,$E146,TRUE)-_xlfn.NORM.DIST(G$2,$D146,$E146,TRUE))</f>
        <v/>
      </c>
      <c r="H146">
        <f>IF(NOT(ISNUMBER($D146)),"",_xlfn.NORM.DIST(H$1,$D146,$E146,TRUE)-_xlfn.NORM.DIST(H$2,$D146,$E146,TRUE))</f>
        <v/>
      </c>
      <c r="I146">
        <f>IF(NOT(ISNUMBER($D146)),"",_xlfn.NORM.DIST(I$1,$D146,$E146,TRUE)-_xlfn.NORM.DIST(I$2,$D146,$E146,TRUE))</f>
        <v/>
      </c>
      <c r="J146">
        <f>IF(NOT(ISNUMBER($D146)),"",_xlfn.NORM.DIST(J$1,$D146,$E146,TRUE)-_xlfn.NORM.DIST(J$2,$D146,$E146,TRUE))</f>
        <v/>
      </c>
      <c r="K146">
        <f>IF(NOT(ISNUMBER($D146)),"",_xlfn.NORM.DIST(K$1,$D146,$E146,TRUE)-_xlfn.NORM.DIST(K$2,$D146,$E146,TRUE))</f>
        <v/>
      </c>
      <c r="L146">
        <f>IF(NOT(ISNUMBER($D146)),"",_xlfn.NORM.DIST(L$1,$D146,$E146,TRUE)-_xlfn.NORM.DIST(L$2,$D146,$E146,TRUE))</f>
        <v/>
      </c>
      <c r="M146">
        <f>IF(NOT(ISNUMBER($D146)),"",_xlfn.NORM.DIST(M$1,$D146,$E146,TRUE)-_xlfn.NORM.DIST(M$2,$D146,$E146,TRUE))</f>
        <v/>
      </c>
      <c r="N146">
        <f>IF(NOT(ISNUMBER($D146)),"",_xlfn.NORM.DIST(N$1,$D146,$E146,TRUE)-_xlfn.NORM.DIST(N$2,$D146,$E146,TRUE))</f>
        <v/>
      </c>
      <c r="O146">
        <f>IF(NOT(ISNUMBER($D146)),"",_xlfn.NORM.DIST(O$1,$D146,$E146,TRUE)-_xlfn.NORM.DIST(O$2,$D146,$E146,TRUE))</f>
        <v/>
      </c>
      <c r="P146">
        <f>IF(NOT(ISNUMBER($D146)),"",_xlfn.NORM.DIST(P$1,$D146,$E146,TRUE)-_xlfn.NORM.DIST(P$2,$D146,$E146,TRUE))</f>
        <v/>
      </c>
      <c r="Q146">
        <f>IF(NOT(ISNUMBER($D146)),"",_xlfn.NORM.DIST(Q$1,$D146,$E146,TRUE)-_xlfn.NORM.DIST(Q$2,$D146,$E146,TRUE))</f>
        <v/>
      </c>
      <c r="R146">
        <f>IF(NOT(ISNUMBER($D146)),"",_xlfn.NORM.DIST(R$1,$D146,$E146,TRUE)-_xlfn.NORM.DIST(R$2,$D146,$E146,TRUE))</f>
        <v/>
      </c>
      <c r="S146">
        <f>IF(NOT(ISNUMBER($D146)),"",_xlfn.NORM.DIST(S$1,$D146,$E146,TRUE)-_xlfn.NORM.DIST(S$2,$D146,$E146,TRUE))</f>
        <v/>
      </c>
      <c r="T146">
        <f>IF(NOT(ISNUMBER($D146)),"",_xlfn.NORM.DIST(T$1,$D146,$E146,TRUE)-_xlfn.NORM.DIST(T$2,$D146,$E146,TRUE))</f>
        <v/>
      </c>
      <c r="U146">
        <f>IF(NOT(ISNUMBER($D146)),"",_xlfn.NORM.DIST(U$1,$D146,$E146,TRUE)-_xlfn.NORM.DIST(U$2,$D146,$E146,TRUE))</f>
        <v/>
      </c>
      <c r="V146">
        <f>IF(NOT(ISNUMBER($D146)),"",_xlfn.NORM.DIST(V$1,$D146,$E146,TRUE)-_xlfn.NORM.DIST(V$2,$D146,$E146,TRUE))</f>
        <v/>
      </c>
      <c r="W146">
        <f>IF(NOT(ISNUMBER($D146)),"",_xlfn.NORM.DIST(W$1,$D146,$E146,TRUE)-_xlfn.NORM.DIST(W$2,$D146,$E146,TRUE))</f>
        <v/>
      </c>
      <c r="X146">
        <f>IF(NOT(ISNUMBER($D146)),"",_xlfn.NORM.DIST(X$1,$D146,$E146,TRUE)-_xlfn.NORM.DIST(X$2,$D146,$E146,TRUE))</f>
        <v/>
      </c>
      <c r="Y146">
        <f>IF(NOT(ISNUMBER($D146)),"",_xlfn.NORM.DIST(Y$1,$D146,$E146,TRUE)-_xlfn.NORM.DIST(Y$2,$D146,$E146,TRUE))</f>
        <v/>
      </c>
      <c r="Z146">
        <f>IF(NOT(ISNUMBER($D146)),"",_xlfn.NORM.DIST(Z$1,$D146,$E146,TRUE)-_xlfn.NORM.DIST(Z$2,$D146,$E146,TRUE))</f>
        <v/>
      </c>
      <c r="AA146">
        <f>IF(NOT(ISNUMBER($D146)),"",_xlfn.NORM.DIST(AA$1,$D146,$E146,TRUE)-_xlfn.NORM.DIST(AA$2,$D146,$E146,TRUE))</f>
        <v/>
      </c>
      <c r="AB146">
        <f>IF(NOT(ISNUMBER($D146)),"",_xlfn.NORM.DIST(AB$1,$D146,$E146,TRUE)-_xlfn.NORM.DIST(AB$2,$D146,$E146,TRUE))</f>
        <v/>
      </c>
      <c r="AC146">
        <f>IF(NOT(ISNUMBER($D146)),"",_xlfn.NORM.DIST(AC$1,$D146,$E146,TRUE)-_xlfn.NORM.DIST(AC$2,$D146,$E146,TRUE))</f>
        <v/>
      </c>
      <c r="AD146">
        <f>IF(NOT(ISNUMBER($D146)),"",_xlfn.NORM.DIST(AD$1,$D146,$E146,TRUE)-_xlfn.NORM.DIST(AD$2,$D146,$E146,TRUE))</f>
        <v/>
      </c>
      <c r="AE146">
        <f>IF(NOT(ISNUMBER($D146)),"",_xlfn.NORM.DIST(AE$1,$D146,$E146,TRUE)-_xlfn.NORM.DIST(AE$2,$D146,$E146,TRUE))</f>
        <v/>
      </c>
      <c r="AF146">
        <f>IF(NOT(ISNUMBER($D146)),"",_xlfn.NORM.DIST(AF$1,$D146,$E146,TRUE)-_xlfn.NORM.DIST(AF$2,$D146,$E146,TRUE))</f>
        <v/>
      </c>
      <c r="AG146">
        <f>IF(NOT(ISNUMBER($D146)),"",_xlfn.NORM.DIST(AG$1,$D146,$E146,TRUE)-_xlfn.NORM.DIST(AG$2,$D146,$E146,TRUE))</f>
        <v/>
      </c>
      <c r="AH146">
        <f>IF(NOT(ISNUMBER($D146)),"",_xlfn.NORM.DIST(AH$1,$D146,$E146,TRUE)-_xlfn.NORM.DIST(AH$2,$D146,$E146,TRUE))</f>
        <v/>
      </c>
      <c r="AI146">
        <f>IF(NOT(ISNUMBER($D146)),"",_xlfn.NORM.DIST(AI$1,$D146,$E146,TRUE)-_xlfn.NORM.DIST(AI$2,$D146,$E146,TRUE))</f>
        <v/>
      </c>
      <c r="AJ146">
        <f>IF(NOT(ISNUMBER($D146)),"",_xlfn.NORM.DIST(AJ$1,$D146,$E146,TRUE)-_xlfn.NORM.DIST(AJ$2,$D146,$E146,TRUE))</f>
        <v/>
      </c>
      <c r="AK146">
        <f>IF(NOT(ISNUMBER($D146)),"",_xlfn.NORM.DIST(AK$1,$D146,$E146,TRUE)-_xlfn.NORM.DIST(AK$2,$D146,$E146,TRUE))</f>
        <v/>
      </c>
      <c r="AL146">
        <f>IF(NOT(ISNUMBER($D146)),"",_xlfn.NORM.DIST(AL$1,$D146,$E146,TRUE)-_xlfn.NORM.DIST(AL$2,$D146,$E146,TRUE))</f>
        <v/>
      </c>
      <c r="AM146">
        <f>IF(NOT(ISNUMBER($D146)),"",_xlfn.NORM.DIST(AM$1,$D146,$E146,TRUE)-_xlfn.NORM.DIST(AM$2,$D146,$E146,TRUE))</f>
        <v/>
      </c>
      <c r="AN146">
        <f>IF(NOT(ISNUMBER($D146)),"",_xlfn.NORM.DIST(AN$1,$D146,$E146,TRUE)-_xlfn.NORM.DIST(AN$2,$D146,$E146,TRUE))</f>
        <v/>
      </c>
      <c r="AO146">
        <f>IF(NOT(ISNUMBER($D146)),"",_xlfn.NORM.DIST(AO$1,$D146,$E146,TRUE)-_xlfn.NORM.DIST(AO$2,$D146,$E146,TRUE))</f>
        <v/>
      </c>
      <c r="AP146">
        <f>IF(NOT(ISNUMBER($D146)),"",_xlfn.NORM.DIST(AP$1,$D146,$E146,TRUE)-_xlfn.NORM.DIST(AP$2,$D146,$E146,TRUE))</f>
        <v/>
      </c>
      <c r="AQ146">
        <f>IF(NOT(ISNUMBER($D146)),"",_xlfn.NORM.DIST(AQ$1,$D146,$E146,TRUE)-_xlfn.NORM.DIST(AQ$2,$D146,$E146,TRUE))</f>
        <v/>
      </c>
      <c r="AR146">
        <f>IF(NOT(ISNUMBER($D146)),"",_xlfn.NORM.DIST(AR$1,$D146,$E146,TRUE)-_xlfn.NORM.DIST(AR$2,$D146,$E146,TRUE))</f>
        <v/>
      </c>
      <c r="AS146">
        <f>IF(NOT(ISNUMBER($D146)),"",_xlfn.NORM.DIST(AS$1,$D146,$E146,TRUE)-_xlfn.NORM.DIST(AS$2,$D146,$E146,TRUE))</f>
        <v/>
      </c>
      <c r="AT146">
        <f>IF(NOT(ISNUMBER($D146)),"",_xlfn.NORM.DIST(AT$1,$D146,$E146,TRUE)-_xlfn.NORM.DIST(AT$2,$D146,$E146,TRUE))</f>
        <v/>
      </c>
      <c r="AU146">
        <f>IF(NOT(ISNUMBER($D146)),"",_xlfn.NORM.DIST(AU$1,$D146,$E146,TRUE)-_xlfn.NORM.DIST(AU$2,$D146,$E146,TRUE))</f>
        <v/>
      </c>
      <c r="AV146">
        <f>IF(NOT(ISNUMBER($D146)),"",_xlfn.NORM.DIST(AV$1,$D146,$E146,TRUE)-_xlfn.NORM.DIST(AV$2,$D146,$E146,TRUE))</f>
        <v/>
      </c>
      <c r="AW146">
        <f>IF(NOT(ISNUMBER($D146)),"",_xlfn.NORM.DIST(AW$1,$D146,$E146,TRUE)-_xlfn.NORM.DIST(AW$2,$D146,$E146,TRUE))</f>
        <v/>
      </c>
      <c r="AX146">
        <f>IF(NOT(ISNUMBER($D146)),"",_xlfn.NORM.DIST(AX$1,$D146,$E146,TRUE)-_xlfn.NORM.DIST(AX$2,$D146,$E146,TRUE))</f>
        <v/>
      </c>
      <c r="AY146">
        <f>IF(NOT(ISNUMBER($D146)),"",_xlfn.NORM.DIST(AY$1,$D146,$E146,TRUE)-_xlfn.NORM.DIST(AY$2,$D146,$E146,TRUE))</f>
        <v/>
      </c>
      <c r="AZ146">
        <f>IF(NOT(ISNUMBER($D146)),"",_xlfn.NORM.DIST(AZ$1,$D146,$E146,TRUE)-_xlfn.NORM.DIST(AZ$2,$D146,$E146,TRUE))</f>
        <v/>
      </c>
      <c r="BA146">
        <f>IF(NOT(ISNUMBER($D146)),"",_xlfn.NORM.DIST(BA$1,$D146,$E146,TRUE)-_xlfn.NORM.DIST(BA$2,$D146,$E146,TRUE))</f>
        <v/>
      </c>
      <c r="BB146">
        <f>IF(NOT(ISNUMBER($D146)),"",_xlfn.NORM.DIST(BB$1,$D146,$E146,TRUE)-_xlfn.NORM.DIST(BB$2,$D146,$E146,TRUE))</f>
        <v/>
      </c>
      <c r="BC146">
        <f>IF(NOT(ISNUMBER($D146)),"",_xlfn.NORM.DIST(BC$1,$D146,$E146,TRUE)-_xlfn.NORM.DIST(BC$2,$D146,$E146,TRUE))</f>
        <v/>
      </c>
      <c r="BD146">
        <f>IF(NOT(ISNUMBER($D146)),"",_xlfn.NORM.DIST(BD$1,$D146,$E146,TRUE)-_xlfn.NORM.DIST(BD$2,$D146,$E146,TRUE))</f>
        <v/>
      </c>
      <c r="BE146">
        <f>IF(NOT(ISNUMBER($D146)),"",_xlfn.NORM.DIST(BE$1,$D146,$E146,TRUE)-_xlfn.NORM.DIST(BE$2,$D146,$E146,TRUE))</f>
        <v/>
      </c>
      <c r="BF146">
        <f>IF(NOT(ISNUMBER($D146)),"",_xlfn.NORM.DIST(BF$1,$D146,$E146,TRUE)-_xlfn.NORM.DIST(BF$2,$D146,$E146,TRUE))</f>
        <v/>
      </c>
      <c r="BG146">
        <f>IF(NOT(ISNUMBER($D146)),"",_xlfn.NORM.DIST(BG$1,$D146,$E146,TRUE)-_xlfn.NORM.DIST(BG$2,$D146,$E146,TRUE))</f>
        <v/>
      </c>
      <c r="BH146">
        <f>IF(NOT(ISNUMBER($D146)),"",_xlfn.NORM.DIST(BH$1,$D146,$E146,TRUE)-_xlfn.NORM.DIST(BH$2,$D146,$E146,TRUE))</f>
        <v/>
      </c>
      <c r="BI146">
        <f>IF(NOT(ISNUMBER($D146)),"",_xlfn.NORM.DIST(BI$1,$D146,$E146,TRUE)-_xlfn.NORM.DIST(BI$2,$D146,$E146,TRUE))</f>
        <v/>
      </c>
      <c r="BJ146">
        <f>IF(NOT(ISNUMBER($D146)),"",_xlfn.NORM.DIST(BJ$1,$D146,$E146,TRUE)-_xlfn.NORM.DIST(BJ$2,$D146,$E146,TRUE))</f>
        <v/>
      </c>
      <c r="BK146">
        <f>IF(NOT(ISNUMBER($D146)),"",_xlfn.NORM.DIST(BK$1,$D146,$E146,TRUE)-_xlfn.NORM.DIST(BK$2,$D146,$E146,TRUE))</f>
        <v/>
      </c>
      <c r="BL146">
        <f>IF(NOT(ISNUMBER($D146)),"",_xlfn.NORM.DIST(BL$1,$D146,$E146,TRUE)-_xlfn.NORM.DIST(BL$2,$D146,$E146,TRUE))</f>
        <v/>
      </c>
      <c r="BM146">
        <f>IF(NOT(ISNUMBER($D146)),"",_xlfn.NORM.DIST(BM$1,$D146,$E146,TRUE)-_xlfn.NORM.DIST(BM$2,$D146,$E146,TRUE))</f>
        <v/>
      </c>
      <c r="BN146">
        <f>IF(NOT(ISNUMBER($D146)),"",_xlfn.NORM.DIST(BN$1,$D146,$E146,TRUE)-_xlfn.NORM.DIST(BN$2,$D146,$E146,TRUE))</f>
        <v/>
      </c>
      <c r="BO146">
        <f>IF(NOT(ISNUMBER($D146)),"",_xlfn.NORM.DIST(BO$1,$D146,$E146,TRUE)-_xlfn.NORM.DIST(BO$2,$D146,$E146,TRUE))</f>
        <v/>
      </c>
      <c r="BP146">
        <f>IF(NOT(ISNUMBER($D146)),"",_xlfn.NORM.DIST(BP$1,$D146,$E146,TRUE)-_xlfn.NORM.DIST(BP$2,$D146,$E146,TRUE))</f>
        <v/>
      </c>
      <c r="BQ146">
        <f>IF(NOT(ISNUMBER($D146)),"",_xlfn.NORM.DIST(BQ$1,$D146,$E146,TRUE)-_xlfn.NORM.DIST(BQ$2,$D146,$E146,TRUE))</f>
        <v/>
      </c>
      <c r="BR146">
        <f>IF(NOT(ISNUMBER($D146)),"",_xlfn.NORM.DIST(BR$1,$D146,$E146,TRUE)-_xlfn.NORM.DIST(BR$2,$D146,$E146,TRUE))</f>
        <v/>
      </c>
      <c r="BS146">
        <f>IF(NOT(ISNUMBER($D146)),"",_xlfn.NORM.DIST(BS$1,$D146,$E146,TRUE)-_xlfn.NORM.DIST(BS$2,$D146,$E146,TRUE))</f>
        <v/>
      </c>
      <c r="BT146">
        <f>IF(NOT(ISNUMBER($D146)),"",_xlfn.NORM.DIST(BT$1,$D146,$E146,TRUE)-_xlfn.NORM.DIST(BT$2,$D146,$E146,TRUE))</f>
        <v/>
      </c>
      <c r="BU146">
        <f>IF(NOT(ISNUMBER($D146)),"",_xlfn.NORM.DIST(BU$1,$D146,$E146,TRUE)-_xlfn.NORM.DIST(BU$2,$D146,$E146,TRUE))</f>
        <v/>
      </c>
      <c r="BV146">
        <f>IF(NOT(ISNUMBER($D146)),"",_xlfn.NORM.DIST(BV$1,$D146,$E146,TRUE)-_xlfn.NORM.DIST(BV$2,$D146,$E146,TRUE))</f>
        <v/>
      </c>
      <c r="BW146">
        <f>IF(NOT(ISNUMBER($D146)),"",_xlfn.NORM.DIST(BW$1,$D146,$E146,TRUE)-_xlfn.NORM.DIST(BW$2,$D146,$E146,TRUE))</f>
        <v/>
      </c>
      <c r="BX146">
        <f>IF(NOT(ISNUMBER($D146)),"",_xlfn.NORM.DIST(BX$1,$D146,$E146,TRUE)-_xlfn.NORM.DIST(BX$2,$D146,$E146,TRUE))</f>
        <v/>
      </c>
      <c r="BY146">
        <f>IF(NOT(ISNUMBER($D146)),"",_xlfn.NORM.DIST(BY$1,$D146,$E146,TRUE)-_xlfn.NORM.DIST(BY$2,$D146,$E146,TRUE))</f>
        <v/>
      </c>
      <c r="BZ146">
        <f>IF(NOT(ISNUMBER($D146)),"",_xlfn.NORM.DIST(BZ$1,$D146,$E146,TRUE)-_xlfn.NORM.DIST(BZ$2,$D146,$E146,TRUE))</f>
        <v/>
      </c>
      <c r="CA146">
        <f>IF(NOT(ISNUMBER($D146)),"",_xlfn.NORM.DIST(CA$1,$D146,$E146,TRUE)-_xlfn.NORM.DIST(CA$2,$D146,$E146,TRUE))</f>
        <v/>
      </c>
      <c r="CB146">
        <f>IF(NOT(ISNUMBER($D146)),"",_xlfn.NORM.DIST(CB$1,$D146,$E146,TRUE)-_xlfn.NORM.DIST(CB$2,$D146,$E146,TRUE))</f>
        <v/>
      </c>
      <c r="CC146">
        <f>IF(NOT(ISNUMBER($D146)),"",_xlfn.NORM.DIST(CC$1,$D146,$E146,TRUE)-_xlfn.NORM.DIST(CC$2,$D146,$E146,TRUE))</f>
        <v/>
      </c>
      <c r="CD146">
        <f>IF(NOT(ISNUMBER($D146)),"",_xlfn.NORM.DIST(CD$1,$D146,$E146,TRUE)-_xlfn.NORM.DIST(CD$2,$D146,$E146,TRUE))</f>
        <v/>
      </c>
      <c r="CE146">
        <f>IF(NOT(ISNUMBER($D146)),"",_xlfn.NORM.DIST(CE$1,$D146,$E146,TRUE)-_xlfn.NORM.DIST(CE$2,$D146,$E146,TRUE))</f>
        <v/>
      </c>
      <c r="CF146">
        <f>IF(NOT(ISNUMBER($D146)),"",_xlfn.NORM.DIST(CF$1,$D146,$E146,TRUE)-_xlfn.NORM.DIST(CF$2,$D146,$E146,TRUE))</f>
        <v/>
      </c>
      <c r="CG146">
        <f>IF(NOT(ISNUMBER($D146)),"",_xlfn.NORM.DIST(CG$1,$D146,$E146,TRUE)-_xlfn.NORM.DIST(CG$2,$D146,$E146,TRUE))</f>
        <v/>
      </c>
      <c r="CH146">
        <f>IF(NOT(ISNUMBER($D146)),"",_xlfn.NORM.DIST(CH$1,$D146,$E146,TRUE)-_xlfn.NORM.DIST(CH$2,$D146,$E146,TRUE))</f>
        <v/>
      </c>
      <c r="CI146">
        <f>IF(NOT(ISNUMBER($D146)),"",_xlfn.NORM.DIST(CI$1,$D146,$E146,TRUE)-_xlfn.NORM.DIST(CI$2,$D146,$E146,TRUE))</f>
        <v/>
      </c>
      <c r="CJ146">
        <f>IF(ISNUMBER($D146),SUM(F146:CI146),"")</f>
        <v/>
      </c>
    </row>
    <row r="147">
      <c r="A147">
        <f>economics!A146</f>
        <v/>
      </c>
      <c r="B147">
        <f>economics!B146</f>
        <v/>
      </c>
      <c r="C147">
        <f>economics!D146</f>
        <v/>
      </c>
      <c r="D147">
        <f>IF(ISNUMBER(economics!T146),economics!T146,"na")</f>
        <v/>
      </c>
      <c r="E147">
        <f>IF(ISNUMBER(D147),MAX(0.3*ABS(D147),0.000001),"na")</f>
        <v/>
      </c>
      <c r="F147">
        <f>IF(NOT(ISNUMBER($D147)),"",_xlfn.NORM.DIST(F$1,$D147,$E147,TRUE)-_xlfn.NORM.DIST(F$2,$D147,$E147,TRUE))</f>
        <v/>
      </c>
      <c r="G147">
        <f>IF(NOT(ISNUMBER($D147)),"",_xlfn.NORM.DIST(G$1,$D147,$E147,TRUE)-_xlfn.NORM.DIST(G$2,$D147,$E147,TRUE))</f>
        <v/>
      </c>
      <c r="H147">
        <f>IF(NOT(ISNUMBER($D147)),"",_xlfn.NORM.DIST(H$1,$D147,$E147,TRUE)-_xlfn.NORM.DIST(H$2,$D147,$E147,TRUE))</f>
        <v/>
      </c>
      <c r="I147">
        <f>IF(NOT(ISNUMBER($D147)),"",_xlfn.NORM.DIST(I$1,$D147,$E147,TRUE)-_xlfn.NORM.DIST(I$2,$D147,$E147,TRUE))</f>
        <v/>
      </c>
      <c r="J147">
        <f>IF(NOT(ISNUMBER($D147)),"",_xlfn.NORM.DIST(J$1,$D147,$E147,TRUE)-_xlfn.NORM.DIST(J$2,$D147,$E147,TRUE))</f>
        <v/>
      </c>
      <c r="K147">
        <f>IF(NOT(ISNUMBER($D147)),"",_xlfn.NORM.DIST(K$1,$D147,$E147,TRUE)-_xlfn.NORM.DIST(K$2,$D147,$E147,TRUE))</f>
        <v/>
      </c>
      <c r="L147">
        <f>IF(NOT(ISNUMBER($D147)),"",_xlfn.NORM.DIST(L$1,$D147,$E147,TRUE)-_xlfn.NORM.DIST(L$2,$D147,$E147,TRUE))</f>
        <v/>
      </c>
      <c r="M147">
        <f>IF(NOT(ISNUMBER($D147)),"",_xlfn.NORM.DIST(M$1,$D147,$E147,TRUE)-_xlfn.NORM.DIST(M$2,$D147,$E147,TRUE))</f>
        <v/>
      </c>
      <c r="N147">
        <f>IF(NOT(ISNUMBER($D147)),"",_xlfn.NORM.DIST(N$1,$D147,$E147,TRUE)-_xlfn.NORM.DIST(N$2,$D147,$E147,TRUE))</f>
        <v/>
      </c>
      <c r="O147">
        <f>IF(NOT(ISNUMBER($D147)),"",_xlfn.NORM.DIST(O$1,$D147,$E147,TRUE)-_xlfn.NORM.DIST(O$2,$D147,$E147,TRUE))</f>
        <v/>
      </c>
      <c r="P147">
        <f>IF(NOT(ISNUMBER($D147)),"",_xlfn.NORM.DIST(P$1,$D147,$E147,TRUE)-_xlfn.NORM.DIST(P$2,$D147,$E147,TRUE))</f>
        <v/>
      </c>
      <c r="Q147">
        <f>IF(NOT(ISNUMBER($D147)),"",_xlfn.NORM.DIST(Q$1,$D147,$E147,TRUE)-_xlfn.NORM.DIST(Q$2,$D147,$E147,TRUE))</f>
        <v/>
      </c>
      <c r="R147">
        <f>IF(NOT(ISNUMBER($D147)),"",_xlfn.NORM.DIST(R$1,$D147,$E147,TRUE)-_xlfn.NORM.DIST(R$2,$D147,$E147,TRUE))</f>
        <v/>
      </c>
      <c r="S147">
        <f>IF(NOT(ISNUMBER($D147)),"",_xlfn.NORM.DIST(S$1,$D147,$E147,TRUE)-_xlfn.NORM.DIST(S$2,$D147,$E147,TRUE))</f>
        <v/>
      </c>
      <c r="T147">
        <f>IF(NOT(ISNUMBER($D147)),"",_xlfn.NORM.DIST(T$1,$D147,$E147,TRUE)-_xlfn.NORM.DIST(T$2,$D147,$E147,TRUE))</f>
        <v/>
      </c>
      <c r="U147">
        <f>IF(NOT(ISNUMBER($D147)),"",_xlfn.NORM.DIST(U$1,$D147,$E147,TRUE)-_xlfn.NORM.DIST(U$2,$D147,$E147,TRUE))</f>
        <v/>
      </c>
      <c r="V147">
        <f>IF(NOT(ISNUMBER($D147)),"",_xlfn.NORM.DIST(V$1,$D147,$E147,TRUE)-_xlfn.NORM.DIST(V$2,$D147,$E147,TRUE))</f>
        <v/>
      </c>
      <c r="W147">
        <f>IF(NOT(ISNUMBER($D147)),"",_xlfn.NORM.DIST(W$1,$D147,$E147,TRUE)-_xlfn.NORM.DIST(W$2,$D147,$E147,TRUE))</f>
        <v/>
      </c>
      <c r="X147">
        <f>IF(NOT(ISNUMBER($D147)),"",_xlfn.NORM.DIST(X$1,$D147,$E147,TRUE)-_xlfn.NORM.DIST(X$2,$D147,$E147,TRUE))</f>
        <v/>
      </c>
      <c r="Y147">
        <f>IF(NOT(ISNUMBER($D147)),"",_xlfn.NORM.DIST(Y$1,$D147,$E147,TRUE)-_xlfn.NORM.DIST(Y$2,$D147,$E147,TRUE))</f>
        <v/>
      </c>
      <c r="Z147">
        <f>IF(NOT(ISNUMBER($D147)),"",_xlfn.NORM.DIST(Z$1,$D147,$E147,TRUE)-_xlfn.NORM.DIST(Z$2,$D147,$E147,TRUE))</f>
        <v/>
      </c>
      <c r="AA147">
        <f>IF(NOT(ISNUMBER($D147)),"",_xlfn.NORM.DIST(AA$1,$D147,$E147,TRUE)-_xlfn.NORM.DIST(AA$2,$D147,$E147,TRUE))</f>
        <v/>
      </c>
      <c r="AB147">
        <f>IF(NOT(ISNUMBER($D147)),"",_xlfn.NORM.DIST(AB$1,$D147,$E147,TRUE)-_xlfn.NORM.DIST(AB$2,$D147,$E147,TRUE))</f>
        <v/>
      </c>
      <c r="AC147">
        <f>IF(NOT(ISNUMBER($D147)),"",_xlfn.NORM.DIST(AC$1,$D147,$E147,TRUE)-_xlfn.NORM.DIST(AC$2,$D147,$E147,TRUE))</f>
        <v/>
      </c>
      <c r="AD147">
        <f>IF(NOT(ISNUMBER($D147)),"",_xlfn.NORM.DIST(AD$1,$D147,$E147,TRUE)-_xlfn.NORM.DIST(AD$2,$D147,$E147,TRUE))</f>
        <v/>
      </c>
      <c r="AE147">
        <f>IF(NOT(ISNUMBER($D147)),"",_xlfn.NORM.DIST(AE$1,$D147,$E147,TRUE)-_xlfn.NORM.DIST(AE$2,$D147,$E147,TRUE))</f>
        <v/>
      </c>
      <c r="AF147">
        <f>IF(NOT(ISNUMBER($D147)),"",_xlfn.NORM.DIST(AF$1,$D147,$E147,TRUE)-_xlfn.NORM.DIST(AF$2,$D147,$E147,TRUE))</f>
        <v/>
      </c>
      <c r="AG147">
        <f>IF(NOT(ISNUMBER($D147)),"",_xlfn.NORM.DIST(AG$1,$D147,$E147,TRUE)-_xlfn.NORM.DIST(AG$2,$D147,$E147,TRUE))</f>
        <v/>
      </c>
      <c r="AH147">
        <f>IF(NOT(ISNUMBER($D147)),"",_xlfn.NORM.DIST(AH$1,$D147,$E147,TRUE)-_xlfn.NORM.DIST(AH$2,$D147,$E147,TRUE))</f>
        <v/>
      </c>
      <c r="AI147">
        <f>IF(NOT(ISNUMBER($D147)),"",_xlfn.NORM.DIST(AI$1,$D147,$E147,TRUE)-_xlfn.NORM.DIST(AI$2,$D147,$E147,TRUE))</f>
        <v/>
      </c>
      <c r="AJ147">
        <f>IF(NOT(ISNUMBER($D147)),"",_xlfn.NORM.DIST(AJ$1,$D147,$E147,TRUE)-_xlfn.NORM.DIST(AJ$2,$D147,$E147,TRUE))</f>
        <v/>
      </c>
      <c r="AK147">
        <f>IF(NOT(ISNUMBER($D147)),"",_xlfn.NORM.DIST(AK$1,$D147,$E147,TRUE)-_xlfn.NORM.DIST(AK$2,$D147,$E147,TRUE))</f>
        <v/>
      </c>
      <c r="AL147">
        <f>IF(NOT(ISNUMBER($D147)),"",_xlfn.NORM.DIST(AL$1,$D147,$E147,TRUE)-_xlfn.NORM.DIST(AL$2,$D147,$E147,TRUE))</f>
        <v/>
      </c>
      <c r="AM147">
        <f>IF(NOT(ISNUMBER($D147)),"",_xlfn.NORM.DIST(AM$1,$D147,$E147,TRUE)-_xlfn.NORM.DIST(AM$2,$D147,$E147,TRUE))</f>
        <v/>
      </c>
      <c r="AN147">
        <f>IF(NOT(ISNUMBER($D147)),"",_xlfn.NORM.DIST(AN$1,$D147,$E147,TRUE)-_xlfn.NORM.DIST(AN$2,$D147,$E147,TRUE))</f>
        <v/>
      </c>
      <c r="AO147">
        <f>IF(NOT(ISNUMBER($D147)),"",_xlfn.NORM.DIST(AO$1,$D147,$E147,TRUE)-_xlfn.NORM.DIST(AO$2,$D147,$E147,TRUE))</f>
        <v/>
      </c>
      <c r="AP147">
        <f>IF(NOT(ISNUMBER($D147)),"",_xlfn.NORM.DIST(AP$1,$D147,$E147,TRUE)-_xlfn.NORM.DIST(AP$2,$D147,$E147,TRUE))</f>
        <v/>
      </c>
      <c r="AQ147">
        <f>IF(NOT(ISNUMBER($D147)),"",_xlfn.NORM.DIST(AQ$1,$D147,$E147,TRUE)-_xlfn.NORM.DIST(AQ$2,$D147,$E147,TRUE))</f>
        <v/>
      </c>
      <c r="AR147">
        <f>IF(NOT(ISNUMBER($D147)),"",_xlfn.NORM.DIST(AR$1,$D147,$E147,TRUE)-_xlfn.NORM.DIST(AR$2,$D147,$E147,TRUE))</f>
        <v/>
      </c>
      <c r="AS147">
        <f>IF(NOT(ISNUMBER($D147)),"",_xlfn.NORM.DIST(AS$1,$D147,$E147,TRUE)-_xlfn.NORM.DIST(AS$2,$D147,$E147,TRUE))</f>
        <v/>
      </c>
      <c r="AT147">
        <f>IF(NOT(ISNUMBER($D147)),"",_xlfn.NORM.DIST(AT$1,$D147,$E147,TRUE)-_xlfn.NORM.DIST(AT$2,$D147,$E147,TRUE))</f>
        <v/>
      </c>
      <c r="AU147">
        <f>IF(NOT(ISNUMBER($D147)),"",_xlfn.NORM.DIST(AU$1,$D147,$E147,TRUE)-_xlfn.NORM.DIST(AU$2,$D147,$E147,TRUE))</f>
        <v/>
      </c>
      <c r="AV147">
        <f>IF(NOT(ISNUMBER($D147)),"",_xlfn.NORM.DIST(AV$1,$D147,$E147,TRUE)-_xlfn.NORM.DIST(AV$2,$D147,$E147,TRUE))</f>
        <v/>
      </c>
      <c r="AW147">
        <f>IF(NOT(ISNUMBER($D147)),"",_xlfn.NORM.DIST(AW$1,$D147,$E147,TRUE)-_xlfn.NORM.DIST(AW$2,$D147,$E147,TRUE))</f>
        <v/>
      </c>
      <c r="AX147">
        <f>IF(NOT(ISNUMBER($D147)),"",_xlfn.NORM.DIST(AX$1,$D147,$E147,TRUE)-_xlfn.NORM.DIST(AX$2,$D147,$E147,TRUE))</f>
        <v/>
      </c>
      <c r="AY147">
        <f>IF(NOT(ISNUMBER($D147)),"",_xlfn.NORM.DIST(AY$1,$D147,$E147,TRUE)-_xlfn.NORM.DIST(AY$2,$D147,$E147,TRUE))</f>
        <v/>
      </c>
      <c r="AZ147">
        <f>IF(NOT(ISNUMBER($D147)),"",_xlfn.NORM.DIST(AZ$1,$D147,$E147,TRUE)-_xlfn.NORM.DIST(AZ$2,$D147,$E147,TRUE))</f>
        <v/>
      </c>
      <c r="BA147">
        <f>IF(NOT(ISNUMBER($D147)),"",_xlfn.NORM.DIST(BA$1,$D147,$E147,TRUE)-_xlfn.NORM.DIST(BA$2,$D147,$E147,TRUE))</f>
        <v/>
      </c>
      <c r="BB147">
        <f>IF(NOT(ISNUMBER($D147)),"",_xlfn.NORM.DIST(BB$1,$D147,$E147,TRUE)-_xlfn.NORM.DIST(BB$2,$D147,$E147,TRUE))</f>
        <v/>
      </c>
      <c r="BC147">
        <f>IF(NOT(ISNUMBER($D147)),"",_xlfn.NORM.DIST(BC$1,$D147,$E147,TRUE)-_xlfn.NORM.DIST(BC$2,$D147,$E147,TRUE))</f>
        <v/>
      </c>
      <c r="BD147">
        <f>IF(NOT(ISNUMBER($D147)),"",_xlfn.NORM.DIST(BD$1,$D147,$E147,TRUE)-_xlfn.NORM.DIST(BD$2,$D147,$E147,TRUE))</f>
        <v/>
      </c>
      <c r="BE147">
        <f>IF(NOT(ISNUMBER($D147)),"",_xlfn.NORM.DIST(BE$1,$D147,$E147,TRUE)-_xlfn.NORM.DIST(BE$2,$D147,$E147,TRUE))</f>
        <v/>
      </c>
      <c r="BF147">
        <f>IF(NOT(ISNUMBER($D147)),"",_xlfn.NORM.DIST(BF$1,$D147,$E147,TRUE)-_xlfn.NORM.DIST(BF$2,$D147,$E147,TRUE))</f>
        <v/>
      </c>
      <c r="BG147">
        <f>IF(NOT(ISNUMBER($D147)),"",_xlfn.NORM.DIST(BG$1,$D147,$E147,TRUE)-_xlfn.NORM.DIST(BG$2,$D147,$E147,TRUE))</f>
        <v/>
      </c>
      <c r="BH147">
        <f>IF(NOT(ISNUMBER($D147)),"",_xlfn.NORM.DIST(BH$1,$D147,$E147,TRUE)-_xlfn.NORM.DIST(BH$2,$D147,$E147,TRUE))</f>
        <v/>
      </c>
      <c r="BI147">
        <f>IF(NOT(ISNUMBER($D147)),"",_xlfn.NORM.DIST(BI$1,$D147,$E147,TRUE)-_xlfn.NORM.DIST(BI$2,$D147,$E147,TRUE))</f>
        <v/>
      </c>
      <c r="BJ147">
        <f>IF(NOT(ISNUMBER($D147)),"",_xlfn.NORM.DIST(BJ$1,$D147,$E147,TRUE)-_xlfn.NORM.DIST(BJ$2,$D147,$E147,TRUE))</f>
        <v/>
      </c>
      <c r="BK147">
        <f>IF(NOT(ISNUMBER($D147)),"",_xlfn.NORM.DIST(BK$1,$D147,$E147,TRUE)-_xlfn.NORM.DIST(BK$2,$D147,$E147,TRUE))</f>
        <v/>
      </c>
      <c r="BL147">
        <f>IF(NOT(ISNUMBER($D147)),"",_xlfn.NORM.DIST(BL$1,$D147,$E147,TRUE)-_xlfn.NORM.DIST(BL$2,$D147,$E147,TRUE))</f>
        <v/>
      </c>
      <c r="BM147">
        <f>IF(NOT(ISNUMBER($D147)),"",_xlfn.NORM.DIST(BM$1,$D147,$E147,TRUE)-_xlfn.NORM.DIST(BM$2,$D147,$E147,TRUE))</f>
        <v/>
      </c>
      <c r="BN147">
        <f>IF(NOT(ISNUMBER($D147)),"",_xlfn.NORM.DIST(BN$1,$D147,$E147,TRUE)-_xlfn.NORM.DIST(BN$2,$D147,$E147,TRUE))</f>
        <v/>
      </c>
      <c r="BO147">
        <f>IF(NOT(ISNUMBER($D147)),"",_xlfn.NORM.DIST(BO$1,$D147,$E147,TRUE)-_xlfn.NORM.DIST(BO$2,$D147,$E147,TRUE))</f>
        <v/>
      </c>
      <c r="BP147">
        <f>IF(NOT(ISNUMBER($D147)),"",_xlfn.NORM.DIST(BP$1,$D147,$E147,TRUE)-_xlfn.NORM.DIST(BP$2,$D147,$E147,TRUE))</f>
        <v/>
      </c>
      <c r="BQ147">
        <f>IF(NOT(ISNUMBER($D147)),"",_xlfn.NORM.DIST(BQ$1,$D147,$E147,TRUE)-_xlfn.NORM.DIST(BQ$2,$D147,$E147,TRUE))</f>
        <v/>
      </c>
      <c r="BR147">
        <f>IF(NOT(ISNUMBER($D147)),"",_xlfn.NORM.DIST(BR$1,$D147,$E147,TRUE)-_xlfn.NORM.DIST(BR$2,$D147,$E147,TRUE))</f>
        <v/>
      </c>
      <c r="BS147">
        <f>IF(NOT(ISNUMBER($D147)),"",_xlfn.NORM.DIST(BS$1,$D147,$E147,TRUE)-_xlfn.NORM.DIST(BS$2,$D147,$E147,TRUE))</f>
        <v/>
      </c>
      <c r="BT147">
        <f>IF(NOT(ISNUMBER($D147)),"",_xlfn.NORM.DIST(BT$1,$D147,$E147,TRUE)-_xlfn.NORM.DIST(BT$2,$D147,$E147,TRUE))</f>
        <v/>
      </c>
      <c r="BU147">
        <f>IF(NOT(ISNUMBER($D147)),"",_xlfn.NORM.DIST(BU$1,$D147,$E147,TRUE)-_xlfn.NORM.DIST(BU$2,$D147,$E147,TRUE))</f>
        <v/>
      </c>
      <c r="BV147">
        <f>IF(NOT(ISNUMBER($D147)),"",_xlfn.NORM.DIST(BV$1,$D147,$E147,TRUE)-_xlfn.NORM.DIST(BV$2,$D147,$E147,TRUE))</f>
        <v/>
      </c>
      <c r="BW147">
        <f>IF(NOT(ISNUMBER($D147)),"",_xlfn.NORM.DIST(BW$1,$D147,$E147,TRUE)-_xlfn.NORM.DIST(BW$2,$D147,$E147,TRUE))</f>
        <v/>
      </c>
      <c r="BX147">
        <f>IF(NOT(ISNUMBER($D147)),"",_xlfn.NORM.DIST(BX$1,$D147,$E147,TRUE)-_xlfn.NORM.DIST(BX$2,$D147,$E147,TRUE))</f>
        <v/>
      </c>
      <c r="BY147">
        <f>IF(NOT(ISNUMBER($D147)),"",_xlfn.NORM.DIST(BY$1,$D147,$E147,TRUE)-_xlfn.NORM.DIST(BY$2,$D147,$E147,TRUE))</f>
        <v/>
      </c>
      <c r="BZ147">
        <f>IF(NOT(ISNUMBER($D147)),"",_xlfn.NORM.DIST(BZ$1,$D147,$E147,TRUE)-_xlfn.NORM.DIST(BZ$2,$D147,$E147,TRUE))</f>
        <v/>
      </c>
      <c r="CA147">
        <f>IF(NOT(ISNUMBER($D147)),"",_xlfn.NORM.DIST(CA$1,$D147,$E147,TRUE)-_xlfn.NORM.DIST(CA$2,$D147,$E147,TRUE))</f>
        <v/>
      </c>
      <c r="CB147">
        <f>IF(NOT(ISNUMBER($D147)),"",_xlfn.NORM.DIST(CB$1,$D147,$E147,TRUE)-_xlfn.NORM.DIST(CB$2,$D147,$E147,TRUE))</f>
        <v/>
      </c>
      <c r="CC147">
        <f>IF(NOT(ISNUMBER($D147)),"",_xlfn.NORM.DIST(CC$1,$D147,$E147,TRUE)-_xlfn.NORM.DIST(CC$2,$D147,$E147,TRUE))</f>
        <v/>
      </c>
      <c r="CD147">
        <f>IF(NOT(ISNUMBER($D147)),"",_xlfn.NORM.DIST(CD$1,$D147,$E147,TRUE)-_xlfn.NORM.DIST(CD$2,$D147,$E147,TRUE))</f>
        <v/>
      </c>
      <c r="CE147">
        <f>IF(NOT(ISNUMBER($D147)),"",_xlfn.NORM.DIST(CE$1,$D147,$E147,TRUE)-_xlfn.NORM.DIST(CE$2,$D147,$E147,TRUE))</f>
        <v/>
      </c>
      <c r="CF147">
        <f>IF(NOT(ISNUMBER($D147)),"",_xlfn.NORM.DIST(CF$1,$D147,$E147,TRUE)-_xlfn.NORM.DIST(CF$2,$D147,$E147,TRUE))</f>
        <v/>
      </c>
      <c r="CG147">
        <f>IF(NOT(ISNUMBER($D147)),"",_xlfn.NORM.DIST(CG$1,$D147,$E147,TRUE)-_xlfn.NORM.DIST(CG$2,$D147,$E147,TRUE))</f>
        <v/>
      </c>
      <c r="CH147">
        <f>IF(NOT(ISNUMBER($D147)),"",_xlfn.NORM.DIST(CH$1,$D147,$E147,TRUE)-_xlfn.NORM.DIST(CH$2,$D147,$E147,TRUE))</f>
        <v/>
      </c>
      <c r="CI147">
        <f>IF(NOT(ISNUMBER($D147)),"",_xlfn.NORM.DIST(CI$1,$D147,$E147,TRUE)-_xlfn.NORM.DIST(CI$2,$D147,$E147,TRUE))</f>
        <v/>
      </c>
      <c r="CJ147">
        <f>IF(ISNUMBER($D147),SUM(F147:CI147),"")</f>
        <v/>
      </c>
    </row>
    <row r="148">
      <c r="A148">
        <f>economics!A147</f>
        <v/>
      </c>
      <c r="B148">
        <f>economics!B147</f>
        <v/>
      </c>
      <c r="C148">
        <f>economics!D147</f>
        <v/>
      </c>
      <c r="D148">
        <f>IF(ISNUMBER(economics!T147),economics!T147,"na")</f>
        <v/>
      </c>
      <c r="E148">
        <f>IF(ISNUMBER(D148),MAX(0.3*ABS(D148),0.000001),"na")</f>
        <v/>
      </c>
      <c r="F148">
        <f>IF(NOT(ISNUMBER($D148)),"",_xlfn.NORM.DIST(F$1,$D148,$E148,TRUE)-_xlfn.NORM.DIST(F$2,$D148,$E148,TRUE))</f>
        <v/>
      </c>
      <c r="G148">
        <f>IF(NOT(ISNUMBER($D148)),"",_xlfn.NORM.DIST(G$1,$D148,$E148,TRUE)-_xlfn.NORM.DIST(G$2,$D148,$E148,TRUE))</f>
        <v/>
      </c>
      <c r="H148">
        <f>IF(NOT(ISNUMBER($D148)),"",_xlfn.NORM.DIST(H$1,$D148,$E148,TRUE)-_xlfn.NORM.DIST(H$2,$D148,$E148,TRUE))</f>
        <v/>
      </c>
      <c r="I148">
        <f>IF(NOT(ISNUMBER($D148)),"",_xlfn.NORM.DIST(I$1,$D148,$E148,TRUE)-_xlfn.NORM.DIST(I$2,$D148,$E148,TRUE))</f>
        <v/>
      </c>
      <c r="J148">
        <f>IF(NOT(ISNUMBER($D148)),"",_xlfn.NORM.DIST(J$1,$D148,$E148,TRUE)-_xlfn.NORM.DIST(J$2,$D148,$E148,TRUE))</f>
        <v/>
      </c>
      <c r="K148">
        <f>IF(NOT(ISNUMBER($D148)),"",_xlfn.NORM.DIST(K$1,$D148,$E148,TRUE)-_xlfn.NORM.DIST(K$2,$D148,$E148,TRUE))</f>
        <v/>
      </c>
      <c r="L148">
        <f>IF(NOT(ISNUMBER($D148)),"",_xlfn.NORM.DIST(L$1,$D148,$E148,TRUE)-_xlfn.NORM.DIST(L$2,$D148,$E148,TRUE))</f>
        <v/>
      </c>
      <c r="M148">
        <f>IF(NOT(ISNUMBER($D148)),"",_xlfn.NORM.DIST(M$1,$D148,$E148,TRUE)-_xlfn.NORM.DIST(M$2,$D148,$E148,TRUE))</f>
        <v/>
      </c>
      <c r="N148">
        <f>IF(NOT(ISNUMBER($D148)),"",_xlfn.NORM.DIST(N$1,$D148,$E148,TRUE)-_xlfn.NORM.DIST(N$2,$D148,$E148,TRUE))</f>
        <v/>
      </c>
      <c r="O148">
        <f>IF(NOT(ISNUMBER($D148)),"",_xlfn.NORM.DIST(O$1,$D148,$E148,TRUE)-_xlfn.NORM.DIST(O$2,$D148,$E148,TRUE))</f>
        <v/>
      </c>
      <c r="P148">
        <f>IF(NOT(ISNUMBER($D148)),"",_xlfn.NORM.DIST(P$1,$D148,$E148,TRUE)-_xlfn.NORM.DIST(P$2,$D148,$E148,TRUE))</f>
        <v/>
      </c>
      <c r="Q148">
        <f>IF(NOT(ISNUMBER($D148)),"",_xlfn.NORM.DIST(Q$1,$D148,$E148,TRUE)-_xlfn.NORM.DIST(Q$2,$D148,$E148,TRUE))</f>
        <v/>
      </c>
      <c r="R148">
        <f>IF(NOT(ISNUMBER($D148)),"",_xlfn.NORM.DIST(R$1,$D148,$E148,TRUE)-_xlfn.NORM.DIST(R$2,$D148,$E148,TRUE))</f>
        <v/>
      </c>
      <c r="S148">
        <f>IF(NOT(ISNUMBER($D148)),"",_xlfn.NORM.DIST(S$1,$D148,$E148,TRUE)-_xlfn.NORM.DIST(S$2,$D148,$E148,TRUE))</f>
        <v/>
      </c>
      <c r="T148">
        <f>IF(NOT(ISNUMBER($D148)),"",_xlfn.NORM.DIST(T$1,$D148,$E148,TRUE)-_xlfn.NORM.DIST(T$2,$D148,$E148,TRUE))</f>
        <v/>
      </c>
      <c r="U148">
        <f>IF(NOT(ISNUMBER($D148)),"",_xlfn.NORM.DIST(U$1,$D148,$E148,TRUE)-_xlfn.NORM.DIST(U$2,$D148,$E148,TRUE))</f>
        <v/>
      </c>
      <c r="V148">
        <f>IF(NOT(ISNUMBER($D148)),"",_xlfn.NORM.DIST(V$1,$D148,$E148,TRUE)-_xlfn.NORM.DIST(V$2,$D148,$E148,TRUE))</f>
        <v/>
      </c>
      <c r="W148">
        <f>IF(NOT(ISNUMBER($D148)),"",_xlfn.NORM.DIST(W$1,$D148,$E148,TRUE)-_xlfn.NORM.DIST(W$2,$D148,$E148,TRUE))</f>
        <v/>
      </c>
      <c r="X148">
        <f>IF(NOT(ISNUMBER($D148)),"",_xlfn.NORM.DIST(X$1,$D148,$E148,TRUE)-_xlfn.NORM.DIST(X$2,$D148,$E148,TRUE))</f>
        <v/>
      </c>
      <c r="Y148">
        <f>IF(NOT(ISNUMBER($D148)),"",_xlfn.NORM.DIST(Y$1,$D148,$E148,TRUE)-_xlfn.NORM.DIST(Y$2,$D148,$E148,TRUE))</f>
        <v/>
      </c>
      <c r="Z148">
        <f>IF(NOT(ISNUMBER($D148)),"",_xlfn.NORM.DIST(Z$1,$D148,$E148,TRUE)-_xlfn.NORM.DIST(Z$2,$D148,$E148,TRUE))</f>
        <v/>
      </c>
      <c r="AA148">
        <f>IF(NOT(ISNUMBER($D148)),"",_xlfn.NORM.DIST(AA$1,$D148,$E148,TRUE)-_xlfn.NORM.DIST(AA$2,$D148,$E148,TRUE))</f>
        <v/>
      </c>
      <c r="AB148">
        <f>IF(NOT(ISNUMBER($D148)),"",_xlfn.NORM.DIST(AB$1,$D148,$E148,TRUE)-_xlfn.NORM.DIST(AB$2,$D148,$E148,TRUE))</f>
        <v/>
      </c>
      <c r="AC148">
        <f>IF(NOT(ISNUMBER($D148)),"",_xlfn.NORM.DIST(AC$1,$D148,$E148,TRUE)-_xlfn.NORM.DIST(AC$2,$D148,$E148,TRUE))</f>
        <v/>
      </c>
      <c r="AD148">
        <f>IF(NOT(ISNUMBER($D148)),"",_xlfn.NORM.DIST(AD$1,$D148,$E148,TRUE)-_xlfn.NORM.DIST(AD$2,$D148,$E148,TRUE))</f>
        <v/>
      </c>
      <c r="AE148">
        <f>IF(NOT(ISNUMBER($D148)),"",_xlfn.NORM.DIST(AE$1,$D148,$E148,TRUE)-_xlfn.NORM.DIST(AE$2,$D148,$E148,TRUE))</f>
        <v/>
      </c>
      <c r="AF148">
        <f>IF(NOT(ISNUMBER($D148)),"",_xlfn.NORM.DIST(AF$1,$D148,$E148,TRUE)-_xlfn.NORM.DIST(AF$2,$D148,$E148,TRUE))</f>
        <v/>
      </c>
      <c r="AG148">
        <f>IF(NOT(ISNUMBER($D148)),"",_xlfn.NORM.DIST(AG$1,$D148,$E148,TRUE)-_xlfn.NORM.DIST(AG$2,$D148,$E148,TRUE))</f>
        <v/>
      </c>
      <c r="AH148">
        <f>IF(NOT(ISNUMBER($D148)),"",_xlfn.NORM.DIST(AH$1,$D148,$E148,TRUE)-_xlfn.NORM.DIST(AH$2,$D148,$E148,TRUE))</f>
        <v/>
      </c>
      <c r="AI148">
        <f>IF(NOT(ISNUMBER($D148)),"",_xlfn.NORM.DIST(AI$1,$D148,$E148,TRUE)-_xlfn.NORM.DIST(AI$2,$D148,$E148,TRUE))</f>
        <v/>
      </c>
      <c r="AJ148">
        <f>IF(NOT(ISNUMBER($D148)),"",_xlfn.NORM.DIST(AJ$1,$D148,$E148,TRUE)-_xlfn.NORM.DIST(AJ$2,$D148,$E148,TRUE))</f>
        <v/>
      </c>
      <c r="AK148">
        <f>IF(NOT(ISNUMBER($D148)),"",_xlfn.NORM.DIST(AK$1,$D148,$E148,TRUE)-_xlfn.NORM.DIST(AK$2,$D148,$E148,TRUE))</f>
        <v/>
      </c>
      <c r="AL148">
        <f>IF(NOT(ISNUMBER($D148)),"",_xlfn.NORM.DIST(AL$1,$D148,$E148,TRUE)-_xlfn.NORM.DIST(AL$2,$D148,$E148,TRUE))</f>
        <v/>
      </c>
      <c r="AM148">
        <f>IF(NOT(ISNUMBER($D148)),"",_xlfn.NORM.DIST(AM$1,$D148,$E148,TRUE)-_xlfn.NORM.DIST(AM$2,$D148,$E148,TRUE))</f>
        <v/>
      </c>
      <c r="AN148">
        <f>IF(NOT(ISNUMBER($D148)),"",_xlfn.NORM.DIST(AN$1,$D148,$E148,TRUE)-_xlfn.NORM.DIST(AN$2,$D148,$E148,TRUE))</f>
        <v/>
      </c>
      <c r="AO148">
        <f>IF(NOT(ISNUMBER($D148)),"",_xlfn.NORM.DIST(AO$1,$D148,$E148,TRUE)-_xlfn.NORM.DIST(AO$2,$D148,$E148,TRUE))</f>
        <v/>
      </c>
      <c r="AP148">
        <f>IF(NOT(ISNUMBER($D148)),"",_xlfn.NORM.DIST(AP$1,$D148,$E148,TRUE)-_xlfn.NORM.DIST(AP$2,$D148,$E148,TRUE))</f>
        <v/>
      </c>
      <c r="AQ148">
        <f>IF(NOT(ISNUMBER($D148)),"",_xlfn.NORM.DIST(AQ$1,$D148,$E148,TRUE)-_xlfn.NORM.DIST(AQ$2,$D148,$E148,TRUE))</f>
        <v/>
      </c>
      <c r="AR148">
        <f>IF(NOT(ISNUMBER($D148)),"",_xlfn.NORM.DIST(AR$1,$D148,$E148,TRUE)-_xlfn.NORM.DIST(AR$2,$D148,$E148,TRUE))</f>
        <v/>
      </c>
      <c r="AS148">
        <f>IF(NOT(ISNUMBER($D148)),"",_xlfn.NORM.DIST(AS$1,$D148,$E148,TRUE)-_xlfn.NORM.DIST(AS$2,$D148,$E148,TRUE))</f>
        <v/>
      </c>
      <c r="AT148">
        <f>IF(NOT(ISNUMBER($D148)),"",_xlfn.NORM.DIST(AT$1,$D148,$E148,TRUE)-_xlfn.NORM.DIST(AT$2,$D148,$E148,TRUE))</f>
        <v/>
      </c>
      <c r="AU148">
        <f>IF(NOT(ISNUMBER($D148)),"",_xlfn.NORM.DIST(AU$1,$D148,$E148,TRUE)-_xlfn.NORM.DIST(AU$2,$D148,$E148,TRUE))</f>
        <v/>
      </c>
      <c r="AV148">
        <f>IF(NOT(ISNUMBER($D148)),"",_xlfn.NORM.DIST(AV$1,$D148,$E148,TRUE)-_xlfn.NORM.DIST(AV$2,$D148,$E148,TRUE))</f>
        <v/>
      </c>
      <c r="AW148">
        <f>IF(NOT(ISNUMBER($D148)),"",_xlfn.NORM.DIST(AW$1,$D148,$E148,TRUE)-_xlfn.NORM.DIST(AW$2,$D148,$E148,TRUE))</f>
        <v/>
      </c>
      <c r="AX148">
        <f>IF(NOT(ISNUMBER($D148)),"",_xlfn.NORM.DIST(AX$1,$D148,$E148,TRUE)-_xlfn.NORM.DIST(AX$2,$D148,$E148,TRUE))</f>
        <v/>
      </c>
      <c r="AY148">
        <f>IF(NOT(ISNUMBER($D148)),"",_xlfn.NORM.DIST(AY$1,$D148,$E148,TRUE)-_xlfn.NORM.DIST(AY$2,$D148,$E148,TRUE))</f>
        <v/>
      </c>
      <c r="AZ148">
        <f>IF(NOT(ISNUMBER($D148)),"",_xlfn.NORM.DIST(AZ$1,$D148,$E148,TRUE)-_xlfn.NORM.DIST(AZ$2,$D148,$E148,TRUE))</f>
        <v/>
      </c>
      <c r="BA148">
        <f>IF(NOT(ISNUMBER($D148)),"",_xlfn.NORM.DIST(BA$1,$D148,$E148,TRUE)-_xlfn.NORM.DIST(BA$2,$D148,$E148,TRUE))</f>
        <v/>
      </c>
      <c r="BB148">
        <f>IF(NOT(ISNUMBER($D148)),"",_xlfn.NORM.DIST(BB$1,$D148,$E148,TRUE)-_xlfn.NORM.DIST(BB$2,$D148,$E148,TRUE))</f>
        <v/>
      </c>
      <c r="BC148">
        <f>IF(NOT(ISNUMBER($D148)),"",_xlfn.NORM.DIST(BC$1,$D148,$E148,TRUE)-_xlfn.NORM.DIST(BC$2,$D148,$E148,TRUE))</f>
        <v/>
      </c>
      <c r="BD148">
        <f>IF(NOT(ISNUMBER($D148)),"",_xlfn.NORM.DIST(BD$1,$D148,$E148,TRUE)-_xlfn.NORM.DIST(BD$2,$D148,$E148,TRUE))</f>
        <v/>
      </c>
      <c r="BE148">
        <f>IF(NOT(ISNUMBER($D148)),"",_xlfn.NORM.DIST(BE$1,$D148,$E148,TRUE)-_xlfn.NORM.DIST(BE$2,$D148,$E148,TRUE))</f>
        <v/>
      </c>
      <c r="BF148">
        <f>IF(NOT(ISNUMBER($D148)),"",_xlfn.NORM.DIST(BF$1,$D148,$E148,TRUE)-_xlfn.NORM.DIST(BF$2,$D148,$E148,TRUE))</f>
        <v/>
      </c>
      <c r="BG148">
        <f>IF(NOT(ISNUMBER($D148)),"",_xlfn.NORM.DIST(BG$1,$D148,$E148,TRUE)-_xlfn.NORM.DIST(BG$2,$D148,$E148,TRUE))</f>
        <v/>
      </c>
      <c r="BH148">
        <f>IF(NOT(ISNUMBER($D148)),"",_xlfn.NORM.DIST(BH$1,$D148,$E148,TRUE)-_xlfn.NORM.DIST(BH$2,$D148,$E148,TRUE))</f>
        <v/>
      </c>
      <c r="BI148">
        <f>IF(NOT(ISNUMBER($D148)),"",_xlfn.NORM.DIST(BI$1,$D148,$E148,TRUE)-_xlfn.NORM.DIST(BI$2,$D148,$E148,TRUE))</f>
        <v/>
      </c>
      <c r="BJ148">
        <f>IF(NOT(ISNUMBER($D148)),"",_xlfn.NORM.DIST(BJ$1,$D148,$E148,TRUE)-_xlfn.NORM.DIST(BJ$2,$D148,$E148,TRUE))</f>
        <v/>
      </c>
      <c r="BK148">
        <f>IF(NOT(ISNUMBER($D148)),"",_xlfn.NORM.DIST(BK$1,$D148,$E148,TRUE)-_xlfn.NORM.DIST(BK$2,$D148,$E148,TRUE))</f>
        <v/>
      </c>
      <c r="BL148">
        <f>IF(NOT(ISNUMBER($D148)),"",_xlfn.NORM.DIST(BL$1,$D148,$E148,TRUE)-_xlfn.NORM.DIST(BL$2,$D148,$E148,TRUE))</f>
        <v/>
      </c>
      <c r="BM148">
        <f>IF(NOT(ISNUMBER($D148)),"",_xlfn.NORM.DIST(BM$1,$D148,$E148,TRUE)-_xlfn.NORM.DIST(BM$2,$D148,$E148,TRUE))</f>
        <v/>
      </c>
      <c r="BN148">
        <f>IF(NOT(ISNUMBER($D148)),"",_xlfn.NORM.DIST(BN$1,$D148,$E148,TRUE)-_xlfn.NORM.DIST(BN$2,$D148,$E148,TRUE))</f>
        <v/>
      </c>
      <c r="BO148">
        <f>IF(NOT(ISNUMBER($D148)),"",_xlfn.NORM.DIST(BO$1,$D148,$E148,TRUE)-_xlfn.NORM.DIST(BO$2,$D148,$E148,TRUE))</f>
        <v/>
      </c>
      <c r="BP148">
        <f>IF(NOT(ISNUMBER($D148)),"",_xlfn.NORM.DIST(BP$1,$D148,$E148,TRUE)-_xlfn.NORM.DIST(BP$2,$D148,$E148,TRUE))</f>
        <v/>
      </c>
      <c r="BQ148">
        <f>IF(NOT(ISNUMBER($D148)),"",_xlfn.NORM.DIST(BQ$1,$D148,$E148,TRUE)-_xlfn.NORM.DIST(BQ$2,$D148,$E148,TRUE))</f>
        <v/>
      </c>
      <c r="BR148">
        <f>IF(NOT(ISNUMBER($D148)),"",_xlfn.NORM.DIST(BR$1,$D148,$E148,TRUE)-_xlfn.NORM.DIST(BR$2,$D148,$E148,TRUE))</f>
        <v/>
      </c>
      <c r="BS148">
        <f>IF(NOT(ISNUMBER($D148)),"",_xlfn.NORM.DIST(BS$1,$D148,$E148,TRUE)-_xlfn.NORM.DIST(BS$2,$D148,$E148,TRUE))</f>
        <v/>
      </c>
      <c r="BT148">
        <f>IF(NOT(ISNUMBER($D148)),"",_xlfn.NORM.DIST(BT$1,$D148,$E148,TRUE)-_xlfn.NORM.DIST(BT$2,$D148,$E148,TRUE))</f>
        <v/>
      </c>
      <c r="BU148">
        <f>IF(NOT(ISNUMBER($D148)),"",_xlfn.NORM.DIST(BU$1,$D148,$E148,TRUE)-_xlfn.NORM.DIST(BU$2,$D148,$E148,TRUE))</f>
        <v/>
      </c>
      <c r="BV148">
        <f>IF(NOT(ISNUMBER($D148)),"",_xlfn.NORM.DIST(BV$1,$D148,$E148,TRUE)-_xlfn.NORM.DIST(BV$2,$D148,$E148,TRUE))</f>
        <v/>
      </c>
      <c r="BW148">
        <f>IF(NOT(ISNUMBER($D148)),"",_xlfn.NORM.DIST(BW$1,$D148,$E148,TRUE)-_xlfn.NORM.DIST(BW$2,$D148,$E148,TRUE))</f>
        <v/>
      </c>
      <c r="BX148">
        <f>IF(NOT(ISNUMBER($D148)),"",_xlfn.NORM.DIST(BX$1,$D148,$E148,TRUE)-_xlfn.NORM.DIST(BX$2,$D148,$E148,TRUE))</f>
        <v/>
      </c>
      <c r="BY148">
        <f>IF(NOT(ISNUMBER($D148)),"",_xlfn.NORM.DIST(BY$1,$D148,$E148,TRUE)-_xlfn.NORM.DIST(BY$2,$D148,$E148,TRUE))</f>
        <v/>
      </c>
      <c r="BZ148">
        <f>IF(NOT(ISNUMBER($D148)),"",_xlfn.NORM.DIST(BZ$1,$D148,$E148,TRUE)-_xlfn.NORM.DIST(BZ$2,$D148,$E148,TRUE))</f>
        <v/>
      </c>
      <c r="CA148">
        <f>IF(NOT(ISNUMBER($D148)),"",_xlfn.NORM.DIST(CA$1,$D148,$E148,TRUE)-_xlfn.NORM.DIST(CA$2,$D148,$E148,TRUE))</f>
        <v/>
      </c>
      <c r="CB148">
        <f>IF(NOT(ISNUMBER($D148)),"",_xlfn.NORM.DIST(CB$1,$D148,$E148,TRUE)-_xlfn.NORM.DIST(CB$2,$D148,$E148,TRUE))</f>
        <v/>
      </c>
      <c r="CC148">
        <f>IF(NOT(ISNUMBER($D148)),"",_xlfn.NORM.DIST(CC$1,$D148,$E148,TRUE)-_xlfn.NORM.DIST(CC$2,$D148,$E148,TRUE))</f>
        <v/>
      </c>
      <c r="CD148">
        <f>IF(NOT(ISNUMBER($D148)),"",_xlfn.NORM.DIST(CD$1,$D148,$E148,TRUE)-_xlfn.NORM.DIST(CD$2,$D148,$E148,TRUE))</f>
        <v/>
      </c>
      <c r="CE148">
        <f>IF(NOT(ISNUMBER($D148)),"",_xlfn.NORM.DIST(CE$1,$D148,$E148,TRUE)-_xlfn.NORM.DIST(CE$2,$D148,$E148,TRUE))</f>
        <v/>
      </c>
      <c r="CF148">
        <f>IF(NOT(ISNUMBER($D148)),"",_xlfn.NORM.DIST(CF$1,$D148,$E148,TRUE)-_xlfn.NORM.DIST(CF$2,$D148,$E148,TRUE))</f>
        <v/>
      </c>
      <c r="CG148">
        <f>IF(NOT(ISNUMBER($D148)),"",_xlfn.NORM.DIST(CG$1,$D148,$E148,TRUE)-_xlfn.NORM.DIST(CG$2,$D148,$E148,TRUE))</f>
        <v/>
      </c>
      <c r="CH148">
        <f>IF(NOT(ISNUMBER($D148)),"",_xlfn.NORM.DIST(CH$1,$D148,$E148,TRUE)-_xlfn.NORM.DIST(CH$2,$D148,$E148,TRUE))</f>
        <v/>
      </c>
      <c r="CI148">
        <f>IF(NOT(ISNUMBER($D148)),"",_xlfn.NORM.DIST(CI$1,$D148,$E148,TRUE)-_xlfn.NORM.DIST(CI$2,$D148,$E148,TRUE))</f>
        <v/>
      </c>
      <c r="CJ148">
        <f>IF(ISNUMBER($D148),SUM(F148:CI148),"")</f>
        <v/>
      </c>
    </row>
    <row r="149">
      <c r="A149">
        <f>economics!A148</f>
        <v/>
      </c>
      <c r="B149">
        <f>economics!B148</f>
        <v/>
      </c>
      <c r="C149">
        <f>economics!D148</f>
        <v/>
      </c>
      <c r="D149">
        <f>IF(ISNUMBER(economics!T148),economics!T148,"na")</f>
        <v/>
      </c>
      <c r="E149">
        <f>IF(ISNUMBER(D149),MAX(0.3*ABS(D149),0.000001),"na")</f>
        <v/>
      </c>
      <c r="F149">
        <f>IF(NOT(ISNUMBER($D149)),"",_xlfn.NORM.DIST(F$1,$D149,$E149,TRUE)-_xlfn.NORM.DIST(F$2,$D149,$E149,TRUE))</f>
        <v/>
      </c>
      <c r="G149">
        <f>IF(NOT(ISNUMBER($D149)),"",_xlfn.NORM.DIST(G$1,$D149,$E149,TRUE)-_xlfn.NORM.DIST(G$2,$D149,$E149,TRUE))</f>
        <v/>
      </c>
      <c r="H149">
        <f>IF(NOT(ISNUMBER($D149)),"",_xlfn.NORM.DIST(H$1,$D149,$E149,TRUE)-_xlfn.NORM.DIST(H$2,$D149,$E149,TRUE))</f>
        <v/>
      </c>
      <c r="I149">
        <f>IF(NOT(ISNUMBER($D149)),"",_xlfn.NORM.DIST(I$1,$D149,$E149,TRUE)-_xlfn.NORM.DIST(I$2,$D149,$E149,TRUE))</f>
        <v/>
      </c>
      <c r="J149">
        <f>IF(NOT(ISNUMBER($D149)),"",_xlfn.NORM.DIST(J$1,$D149,$E149,TRUE)-_xlfn.NORM.DIST(J$2,$D149,$E149,TRUE))</f>
        <v/>
      </c>
      <c r="K149">
        <f>IF(NOT(ISNUMBER($D149)),"",_xlfn.NORM.DIST(K$1,$D149,$E149,TRUE)-_xlfn.NORM.DIST(K$2,$D149,$E149,TRUE))</f>
        <v/>
      </c>
      <c r="L149">
        <f>IF(NOT(ISNUMBER($D149)),"",_xlfn.NORM.DIST(L$1,$D149,$E149,TRUE)-_xlfn.NORM.DIST(L$2,$D149,$E149,TRUE))</f>
        <v/>
      </c>
      <c r="M149">
        <f>IF(NOT(ISNUMBER($D149)),"",_xlfn.NORM.DIST(M$1,$D149,$E149,TRUE)-_xlfn.NORM.DIST(M$2,$D149,$E149,TRUE))</f>
        <v/>
      </c>
      <c r="N149">
        <f>IF(NOT(ISNUMBER($D149)),"",_xlfn.NORM.DIST(N$1,$D149,$E149,TRUE)-_xlfn.NORM.DIST(N$2,$D149,$E149,TRUE))</f>
        <v/>
      </c>
      <c r="O149">
        <f>IF(NOT(ISNUMBER($D149)),"",_xlfn.NORM.DIST(O$1,$D149,$E149,TRUE)-_xlfn.NORM.DIST(O$2,$D149,$E149,TRUE))</f>
        <v/>
      </c>
      <c r="P149">
        <f>IF(NOT(ISNUMBER($D149)),"",_xlfn.NORM.DIST(P$1,$D149,$E149,TRUE)-_xlfn.NORM.DIST(P$2,$D149,$E149,TRUE))</f>
        <v/>
      </c>
      <c r="Q149">
        <f>IF(NOT(ISNUMBER($D149)),"",_xlfn.NORM.DIST(Q$1,$D149,$E149,TRUE)-_xlfn.NORM.DIST(Q$2,$D149,$E149,TRUE))</f>
        <v/>
      </c>
      <c r="R149">
        <f>IF(NOT(ISNUMBER($D149)),"",_xlfn.NORM.DIST(R$1,$D149,$E149,TRUE)-_xlfn.NORM.DIST(R$2,$D149,$E149,TRUE))</f>
        <v/>
      </c>
      <c r="S149">
        <f>IF(NOT(ISNUMBER($D149)),"",_xlfn.NORM.DIST(S$1,$D149,$E149,TRUE)-_xlfn.NORM.DIST(S$2,$D149,$E149,TRUE))</f>
        <v/>
      </c>
      <c r="T149">
        <f>IF(NOT(ISNUMBER($D149)),"",_xlfn.NORM.DIST(T$1,$D149,$E149,TRUE)-_xlfn.NORM.DIST(T$2,$D149,$E149,TRUE))</f>
        <v/>
      </c>
      <c r="U149">
        <f>IF(NOT(ISNUMBER($D149)),"",_xlfn.NORM.DIST(U$1,$D149,$E149,TRUE)-_xlfn.NORM.DIST(U$2,$D149,$E149,TRUE))</f>
        <v/>
      </c>
      <c r="V149">
        <f>IF(NOT(ISNUMBER($D149)),"",_xlfn.NORM.DIST(V$1,$D149,$E149,TRUE)-_xlfn.NORM.DIST(V$2,$D149,$E149,TRUE))</f>
        <v/>
      </c>
      <c r="W149">
        <f>IF(NOT(ISNUMBER($D149)),"",_xlfn.NORM.DIST(W$1,$D149,$E149,TRUE)-_xlfn.NORM.DIST(W$2,$D149,$E149,TRUE))</f>
        <v/>
      </c>
      <c r="X149">
        <f>IF(NOT(ISNUMBER($D149)),"",_xlfn.NORM.DIST(X$1,$D149,$E149,TRUE)-_xlfn.NORM.DIST(X$2,$D149,$E149,TRUE))</f>
        <v/>
      </c>
      <c r="Y149">
        <f>IF(NOT(ISNUMBER($D149)),"",_xlfn.NORM.DIST(Y$1,$D149,$E149,TRUE)-_xlfn.NORM.DIST(Y$2,$D149,$E149,TRUE))</f>
        <v/>
      </c>
      <c r="Z149">
        <f>IF(NOT(ISNUMBER($D149)),"",_xlfn.NORM.DIST(Z$1,$D149,$E149,TRUE)-_xlfn.NORM.DIST(Z$2,$D149,$E149,TRUE))</f>
        <v/>
      </c>
      <c r="AA149">
        <f>IF(NOT(ISNUMBER($D149)),"",_xlfn.NORM.DIST(AA$1,$D149,$E149,TRUE)-_xlfn.NORM.DIST(AA$2,$D149,$E149,TRUE))</f>
        <v/>
      </c>
      <c r="AB149">
        <f>IF(NOT(ISNUMBER($D149)),"",_xlfn.NORM.DIST(AB$1,$D149,$E149,TRUE)-_xlfn.NORM.DIST(AB$2,$D149,$E149,TRUE))</f>
        <v/>
      </c>
      <c r="AC149">
        <f>IF(NOT(ISNUMBER($D149)),"",_xlfn.NORM.DIST(AC$1,$D149,$E149,TRUE)-_xlfn.NORM.DIST(AC$2,$D149,$E149,TRUE))</f>
        <v/>
      </c>
      <c r="AD149">
        <f>IF(NOT(ISNUMBER($D149)),"",_xlfn.NORM.DIST(AD$1,$D149,$E149,TRUE)-_xlfn.NORM.DIST(AD$2,$D149,$E149,TRUE))</f>
        <v/>
      </c>
      <c r="AE149">
        <f>IF(NOT(ISNUMBER($D149)),"",_xlfn.NORM.DIST(AE$1,$D149,$E149,TRUE)-_xlfn.NORM.DIST(AE$2,$D149,$E149,TRUE))</f>
        <v/>
      </c>
      <c r="AF149">
        <f>IF(NOT(ISNUMBER($D149)),"",_xlfn.NORM.DIST(AF$1,$D149,$E149,TRUE)-_xlfn.NORM.DIST(AF$2,$D149,$E149,TRUE))</f>
        <v/>
      </c>
      <c r="AG149">
        <f>IF(NOT(ISNUMBER($D149)),"",_xlfn.NORM.DIST(AG$1,$D149,$E149,TRUE)-_xlfn.NORM.DIST(AG$2,$D149,$E149,TRUE))</f>
        <v/>
      </c>
      <c r="AH149">
        <f>IF(NOT(ISNUMBER($D149)),"",_xlfn.NORM.DIST(AH$1,$D149,$E149,TRUE)-_xlfn.NORM.DIST(AH$2,$D149,$E149,TRUE))</f>
        <v/>
      </c>
      <c r="AI149">
        <f>IF(NOT(ISNUMBER($D149)),"",_xlfn.NORM.DIST(AI$1,$D149,$E149,TRUE)-_xlfn.NORM.DIST(AI$2,$D149,$E149,TRUE))</f>
        <v/>
      </c>
      <c r="AJ149">
        <f>IF(NOT(ISNUMBER($D149)),"",_xlfn.NORM.DIST(AJ$1,$D149,$E149,TRUE)-_xlfn.NORM.DIST(AJ$2,$D149,$E149,TRUE))</f>
        <v/>
      </c>
      <c r="AK149">
        <f>IF(NOT(ISNUMBER($D149)),"",_xlfn.NORM.DIST(AK$1,$D149,$E149,TRUE)-_xlfn.NORM.DIST(AK$2,$D149,$E149,TRUE))</f>
        <v/>
      </c>
      <c r="AL149">
        <f>IF(NOT(ISNUMBER($D149)),"",_xlfn.NORM.DIST(AL$1,$D149,$E149,TRUE)-_xlfn.NORM.DIST(AL$2,$D149,$E149,TRUE))</f>
        <v/>
      </c>
      <c r="AM149">
        <f>IF(NOT(ISNUMBER($D149)),"",_xlfn.NORM.DIST(AM$1,$D149,$E149,TRUE)-_xlfn.NORM.DIST(AM$2,$D149,$E149,TRUE))</f>
        <v/>
      </c>
      <c r="AN149">
        <f>IF(NOT(ISNUMBER($D149)),"",_xlfn.NORM.DIST(AN$1,$D149,$E149,TRUE)-_xlfn.NORM.DIST(AN$2,$D149,$E149,TRUE))</f>
        <v/>
      </c>
      <c r="AO149">
        <f>IF(NOT(ISNUMBER($D149)),"",_xlfn.NORM.DIST(AO$1,$D149,$E149,TRUE)-_xlfn.NORM.DIST(AO$2,$D149,$E149,TRUE))</f>
        <v/>
      </c>
      <c r="AP149">
        <f>IF(NOT(ISNUMBER($D149)),"",_xlfn.NORM.DIST(AP$1,$D149,$E149,TRUE)-_xlfn.NORM.DIST(AP$2,$D149,$E149,TRUE))</f>
        <v/>
      </c>
      <c r="AQ149">
        <f>IF(NOT(ISNUMBER($D149)),"",_xlfn.NORM.DIST(AQ$1,$D149,$E149,TRUE)-_xlfn.NORM.DIST(AQ$2,$D149,$E149,TRUE))</f>
        <v/>
      </c>
      <c r="AR149">
        <f>IF(NOT(ISNUMBER($D149)),"",_xlfn.NORM.DIST(AR$1,$D149,$E149,TRUE)-_xlfn.NORM.DIST(AR$2,$D149,$E149,TRUE))</f>
        <v/>
      </c>
      <c r="AS149">
        <f>IF(NOT(ISNUMBER($D149)),"",_xlfn.NORM.DIST(AS$1,$D149,$E149,TRUE)-_xlfn.NORM.DIST(AS$2,$D149,$E149,TRUE))</f>
        <v/>
      </c>
      <c r="AT149">
        <f>IF(NOT(ISNUMBER($D149)),"",_xlfn.NORM.DIST(AT$1,$D149,$E149,TRUE)-_xlfn.NORM.DIST(AT$2,$D149,$E149,TRUE))</f>
        <v/>
      </c>
      <c r="AU149">
        <f>IF(NOT(ISNUMBER($D149)),"",_xlfn.NORM.DIST(AU$1,$D149,$E149,TRUE)-_xlfn.NORM.DIST(AU$2,$D149,$E149,TRUE))</f>
        <v/>
      </c>
      <c r="AV149">
        <f>IF(NOT(ISNUMBER($D149)),"",_xlfn.NORM.DIST(AV$1,$D149,$E149,TRUE)-_xlfn.NORM.DIST(AV$2,$D149,$E149,TRUE))</f>
        <v/>
      </c>
      <c r="AW149">
        <f>IF(NOT(ISNUMBER($D149)),"",_xlfn.NORM.DIST(AW$1,$D149,$E149,TRUE)-_xlfn.NORM.DIST(AW$2,$D149,$E149,TRUE))</f>
        <v/>
      </c>
      <c r="AX149">
        <f>IF(NOT(ISNUMBER($D149)),"",_xlfn.NORM.DIST(AX$1,$D149,$E149,TRUE)-_xlfn.NORM.DIST(AX$2,$D149,$E149,TRUE))</f>
        <v/>
      </c>
      <c r="AY149">
        <f>IF(NOT(ISNUMBER($D149)),"",_xlfn.NORM.DIST(AY$1,$D149,$E149,TRUE)-_xlfn.NORM.DIST(AY$2,$D149,$E149,TRUE))</f>
        <v/>
      </c>
      <c r="AZ149">
        <f>IF(NOT(ISNUMBER($D149)),"",_xlfn.NORM.DIST(AZ$1,$D149,$E149,TRUE)-_xlfn.NORM.DIST(AZ$2,$D149,$E149,TRUE))</f>
        <v/>
      </c>
      <c r="BA149">
        <f>IF(NOT(ISNUMBER($D149)),"",_xlfn.NORM.DIST(BA$1,$D149,$E149,TRUE)-_xlfn.NORM.DIST(BA$2,$D149,$E149,TRUE))</f>
        <v/>
      </c>
      <c r="BB149">
        <f>IF(NOT(ISNUMBER($D149)),"",_xlfn.NORM.DIST(BB$1,$D149,$E149,TRUE)-_xlfn.NORM.DIST(BB$2,$D149,$E149,TRUE))</f>
        <v/>
      </c>
      <c r="BC149">
        <f>IF(NOT(ISNUMBER($D149)),"",_xlfn.NORM.DIST(BC$1,$D149,$E149,TRUE)-_xlfn.NORM.DIST(BC$2,$D149,$E149,TRUE))</f>
        <v/>
      </c>
      <c r="BD149">
        <f>IF(NOT(ISNUMBER($D149)),"",_xlfn.NORM.DIST(BD$1,$D149,$E149,TRUE)-_xlfn.NORM.DIST(BD$2,$D149,$E149,TRUE))</f>
        <v/>
      </c>
      <c r="BE149">
        <f>IF(NOT(ISNUMBER($D149)),"",_xlfn.NORM.DIST(BE$1,$D149,$E149,TRUE)-_xlfn.NORM.DIST(BE$2,$D149,$E149,TRUE))</f>
        <v/>
      </c>
      <c r="BF149">
        <f>IF(NOT(ISNUMBER($D149)),"",_xlfn.NORM.DIST(BF$1,$D149,$E149,TRUE)-_xlfn.NORM.DIST(BF$2,$D149,$E149,TRUE))</f>
        <v/>
      </c>
      <c r="BG149">
        <f>IF(NOT(ISNUMBER($D149)),"",_xlfn.NORM.DIST(BG$1,$D149,$E149,TRUE)-_xlfn.NORM.DIST(BG$2,$D149,$E149,TRUE))</f>
        <v/>
      </c>
      <c r="BH149">
        <f>IF(NOT(ISNUMBER($D149)),"",_xlfn.NORM.DIST(BH$1,$D149,$E149,TRUE)-_xlfn.NORM.DIST(BH$2,$D149,$E149,TRUE))</f>
        <v/>
      </c>
      <c r="BI149">
        <f>IF(NOT(ISNUMBER($D149)),"",_xlfn.NORM.DIST(BI$1,$D149,$E149,TRUE)-_xlfn.NORM.DIST(BI$2,$D149,$E149,TRUE))</f>
        <v/>
      </c>
      <c r="BJ149">
        <f>IF(NOT(ISNUMBER($D149)),"",_xlfn.NORM.DIST(BJ$1,$D149,$E149,TRUE)-_xlfn.NORM.DIST(BJ$2,$D149,$E149,TRUE))</f>
        <v/>
      </c>
      <c r="BK149">
        <f>IF(NOT(ISNUMBER($D149)),"",_xlfn.NORM.DIST(BK$1,$D149,$E149,TRUE)-_xlfn.NORM.DIST(BK$2,$D149,$E149,TRUE))</f>
        <v/>
      </c>
      <c r="BL149">
        <f>IF(NOT(ISNUMBER($D149)),"",_xlfn.NORM.DIST(BL$1,$D149,$E149,TRUE)-_xlfn.NORM.DIST(BL$2,$D149,$E149,TRUE))</f>
        <v/>
      </c>
      <c r="BM149">
        <f>IF(NOT(ISNUMBER($D149)),"",_xlfn.NORM.DIST(BM$1,$D149,$E149,TRUE)-_xlfn.NORM.DIST(BM$2,$D149,$E149,TRUE))</f>
        <v/>
      </c>
      <c r="BN149">
        <f>IF(NOT(ISNUMBER($D149)),"",_xlfn.NORM.DIST(BN$1,$D149,$E149,TRUE)-_xlfn.NORM.DIST(BN$2,$D149,$E149,TRUE))</f>
        <v/>
      </c>
      <c r="BO149">
        <f>IF(NOT(ISNUMBER($D149)),"",_xlfn.NORM.DIST(BO$1,$D149,$E149,TRUE)-_xlfn.NORM.DIST(BO$2,$D149,$E149,TRUE))</f>
        <v/>
      </c>
      <c r="BP149">
        <f>IF(NOT(ISNUMBER($D149)),"",_xlfn.NORM.DIST(BP$1,$D149,$E149,TRUE)-_xlfn.NORM.DIST(BP$2,$D149,$E149,TRUE))</f>
        <v/>
      </c>
      <c r="BQ149">
        <f>IF(NOT(ISNUMBER($D149)),"",_xlfn.NORM.DIST(BQ$1,$D149,$E149,TRUE)-_xlfn.NORM.DIST(BQ$2,$D149,$E149,TRUE))</f>
        <v/>
      </c>
      <c r="BR149">
        <f>IF(NOT(ISNUMBER($D149)),"",_xlfn.NORM.DIST(BR$1,$D149,$E149,TRUE)-_xlfn.NORM.DIST(BR$2,$D149,$E149,TRUE))</f>
        <v/>
      </c>
      <c r="BS149">
        <f>IF(NOT(ISNUMBER($D149)),"",_xlfn.NORM.DIST(BS$1,$D149,$E149,TRUE)-_xlfn.NORM.DIST(BS$2,$D149,$E149,TRUE))</f>
        <v/>
      </c>
      <c r="BT149">
        <f>IF(NOT(ISNUMBER($D149)),"",_xlfn.NORM.DIST(BT$1,$D149,$E149,TRUE)-_xlfn.NORM.DIST(BT$2,$D149,$E149,TRUE))</f>
        <v/>
      </c>
      <c r="BU149">
        <f>IF(NOT(ISNUMBER($D149)),"",_xlfn.NORM.DIST(BU$1,$D149,$E149,TRUE)-_xlfn.NORM.DIST(BU$2,$D149,$E149,TRUE))</f>
        <v/>
      </c>
      <c r="BV149">
        <f>IF(NOT(ISNUMBER($D149)),"",_xlfn.NORM.DIST(BV$1,$D149,$E149,TRUE)-_xlfn.NORM.DIST(BV$2,$D149,$E149,TRUE))</f>
        <v/>
      </c>
      <c r="BW149">
        <f>IF(NOT(ISNUMBER($D149)),"",_xlfn.NORM.DIST(BW$1,$D149,$E149,TRUE)-_xlfn.NORM.DIST(BW$2,$D149,$E149,TRUE))</f>
        <v/>
      </c>
      <c r="BX149">
        <f>IF(NOT(ISNUMBER($D149)),"",_xlfn.NORM.DIST(BX$1,$D149,$E149,TRUE)-_xlfn.NORM.DIST(BX$2,$D149,$E149,TRUE))</f>
        <v/>
      </c>
      <c r="BY149">
        <f>IF(NOT(ISNUMBER($D149)),"",_xlfn.NORM.DIST(BY$1,$D149,$E149,TRUE)-_xlfn.NORM.DIST(BY$2,$D149,$E149,TRUE))</f>
        <v/>
      </c>
      <c r="BZ149">
        <f>IF(NOT(ISNUMBER($D149)),"",_xlfn.NORM.DIST(BZ$1,$D149,$E149,TRUE)-_xlfn.NORM.DIST(BZ$2,$D149,$E149,TRUE))</f>
        <v/>
      </c>
      <c r="CA149">
        <f>IF(NOT(ISNUMBER($D149)),"",_xlfn.NORM.DIST(CA$1,$D149,$E149,TRUE)-_xlfn.NORM.DIST(CA$2,$D149,$E149,TRUE))</f>
        <v/>
      </c>
      <c r="CB149">
        <f>IF(NOT(ISNUMBER($D149)),"",_xlfn.NORM.DIST(CB$1,$D149,$E149,TRUE)-_xlfn.NORM.DIST(CB$2,$D149,$E149,TRUE))</f>
        <v/>
      </c>
      <c r="CC149">
        <f>IF(NOT(ISNUMBER($D149)),"",_xlfn.NORM.DIST(CC$1,$D149,$E149,TRUE)-_xlfn.NORM.DIST(CC$2,$D149,$E149,TRUE))</f>
        <v/>
      </c>
      <c r="CD149">
        <f>IF(NOT(ISNUMBER($D149)),"",_xlfn.NORM.DIST(CD$1,$D149,$E149,TRUE)-_xlfn.NORM.DIST(CD$2,$D149,$E149,TRUE))</f>
        <v/>
      </c>
      <c r="CE149">
        <f>IF(NOT(ISNUMBER($D149)),"",_xlfn.NORM.DIST(CE$1,$D149,$E149,TRUE)-_xlfn.NORM.DIST(CE$2,$D149,$E149,TRUE))</f>
        <v/>
      </c>
      <c r="CF149">
        <f>IF(NOT(ISNUMBER($D149)),"",_xlfn.NORM.DIST(CF$1,$D149,$E149,TRUE)-_xlfn.NORM.DIST(CF$2,$D149,$E149,TRUE))</f>
        <v/>
      </c>
      <c r="CG149">
        <f>IF(NOT(ISNUMBER($D149)),"",_xlfn.NORM.DIST(CG$1,$D149,$E149,TRUE)-_xlfn.NORM.DIST(CG$2,$D149,$E149,TRUE))</f>
        <v/>
      </c>
      <c r="CH149">
        <f>IF(NOT(ISNUMBER($D149)),"",_xlfn.NORM.DIST(CH$1,$D149,$E149,TRUE)-_xlfn.NORM.DIST(CH$2,$D149,$E149,TRUE))</f>
        <v/>
      </c>
      <c r="CI149">
        <f>IF(NOT(ISNUMBER($D149)),"",_xlfn.NORM.DIST(CI$1,$D149,$E149,TRUE)-_xlfn.NORM.DIST(CI$2,$D149,$E149,TRUE))</f>
        <v/>
      </c>
      <c r="CJ149">
        <f>IF(ISNUMBER($D149),SUM(F149:CI149),"")</f>
        <v/>
      </c>
    </row>
    <row r="150">
      <c r="A150">
        <f>economics!A149</f>
        <v/>
      </c>
      <c r="B150">
        <f>economics!B149</f>
        <v/>
      </c>
      <c r="C150">
        <f>economics!D149</f>
        <v/>
      </c>
      <c r="D150">
        <f>IF(ISNUMBER(economics!T149),economics!T149,"na")</f>
        <v/>
      </c>
      <c r="E150">
        <f>IF(ISNUMBER(D150),MAX(0.3*ABS(D150),0.000001),"na")</f>
        <v/>
      </c>
      <c r="F150">
        <f>IF(NOT(ISNUMBER($D150)),"",_xlfn.NORM.DIST(F$1,$D150,$E150,TRUE)-_xlfn.NORM.DIST(F$2,$D150,$E150,TRUE))</f>
        <v/>
      </c>
      <c r="G150">
        <f>IF(NOT(ISNUMBER($D150)),"",_xlfn.NORM.DIST(G$1,$D150,$E150,TRUE)-_xlfn.NORM.DIST(G$2,$D150,$E150,TRUE))</f>
        <v/>
      </c>
      <c r="H150">
        <f>IF(NOT(ISNUMBER($D150)),"",_xlfn.NORM.DIST(H$1,$D150,$E150,TRUE)-_xlfn.NORM.DIST(H$2,$D150,$E150,TRUE))</f>
        <v/>
      </c>
      <c r="I150">
        <f>IF(NOT(ISNUMBER($D150)),"",_xlfn.NORM.DIST(I$1,$D150,$E150,TRUE)-_xlfn.NORM.DIST(I$2,$D150,$E150,TRUE))</f>
        <v/>
      </c>
      <c r="J150">
        <f>IF(NOT(ISNUMBER($D150)),"",_xlfn.NORM.DIST(J$1,$D150,$E150,TRUE)-_xlfn.NORM.DIST(J$2,$D150,$E150,TRUE))</f>
        <v/>
      </c>
      <c r="K150">
        <f>IF(NOT(ISNUMBER($D150)),"",_xlfn.NORM.DIST(K$1,$D150,$E150,TRUE)-_xlfn.NORM.DIST(K$2,$D150,$E150,TRUE))</f>
        <v/>
      </c>
      <c r="L150">
        <f>IF(NOT(ISNUMBER($D150)),"",_xlfn.NORM.DIST(L$1,$D150,$E150,TRUE)-_xlfn.NORM.DIST(L$2,$D150,$E150,TRUE))</f>
        <v/>
      </c>
      <c r="M150">
        <f>IF(NOT(ISNUMBER($D150)),"",_xlfn.NORM.DIST(M$1,$D150,$E150,TRUE)-_xlfn.NORM.DIST(M$2,$D150,$E150,TRUE))</f>
        <v/>
      </c>
      <c r="N150">
        <f>IF(NOT(ISNUMBER($D150)),"",_xlfn.NORM.DIST(N$1,$D150,$E150,TRUE)-_xlfn.NORM.DIST(N$2,$D150,$E150,TRUE))</f>
        <v/>
      </c>
      <c r="O150">
        <f>IF(NOT(ISNUMBER($D150)),"",_xlfn.NORM.DIST(O$1,$D150,$E150,TRUE)-_xlfn.NORM.DIST(O$2,$D150,$E150,TRUE))</f>
        <v/>
      </c>
      <c r="P150">
        <f>IF(NOT(ISNUMBER($D150)),"",_xlfn.NORM.DIST(P$1,$D150,$E150,TRUE)-_xlfn.NORM.DIST(P$2,$D150,$E150,TRUE))</f>
        <v/>
      </c>
      <c r="Q150">
        <f>IF(NOT(ISNUMBER($D150)),"",_xlfn.NORM.DIST(Q$1,$D150,$E150,TRUE)-_xlfn.NORM.DIST(Q$2,$D150,$E150,TRUE))</f>
        <v/>
      </c>
      <c r="R150">
        <f>IF(NOT(ISNUMBER($D150)),"",_xlfn.NORM.DIST(R$1,$D150,$E150,TRUE)-_xlfn.NORM.DIST(R$2,$D150,$E150,TRUE))</f>
        <v/>
      </c>
      <c r="S150">
        <f>IF(NOT(ISNUMBER($D150)),"",_xlfn.NORM.DIST(S$1,$D150,$E150,TRUE)-_xlfn.NORM.DIST(S$2,$D150,$E150,TRUE))</f>
        <v/>
      </c>
      <c r="T150">
        <f>IF(NOT(ISNUMBER($D150)),"",_xlfn.NORM.DIST(T$1,$D150,$E150,TRUE)-_xlfn.NORM.DIST(T$2,$D150,$E150,TRUE))</f>
        <v/>
      </c>
      <c r="U150">
        <f>IF(NOT(ISNUMBER($D150)),"",_xlfn.NORM.DIST(U$1,$D150,$E150,TRUE)-_xlfn.NORM.DIST(U$2,$D150,$E150,TRUE))</f>
        <v/>
      </c>
      <c r="V150">
        <f>IF(NOT(ISNUMBER($D150)),"",_xlfn.NORM.DIST(V$1,$D150,$E150,TRUE)-_xlfn.NORM.DIST(V$2,$D150,$E150,TRUE))</f>
        <v/>
      </c>
      <c r="W150">
        <f>IF(NOT(ISNUMBER($D150)),"",_xlfn.NORM.DIST(W$1,$D150,$E150,TRUE)-_xlfn.NORM.DIST(W$2,$D150,$E150,TRUE))</f>
        <v/>
      </c>
      <c r="X150">
        <f>IF(NOT(ISNUMBER($D150)),"",_xlfn.NORM.DIST(X$1,$D150,$E150,TRUE)-_xlfn.NORM.DIST(X$2,$D150,$E150,TRUE))</f>
        <v/>
      </c>
      <c r="Y150">
        <f>IF(NOT(ISNUMBER($D150)),"",_xlfn.NORM.DIST(Y$1,$D150,$E150,TRUE)-_xlfn.NORM.DIST(Y$2,$D150,$E150,TRUE))</f>
        <v/>
      </c>
      <c r="Z150">
        <f>IF(NOT(ISNUMBER($D150)),"",_xlfn.NORM.DIST(Z$1,$D150,$E150,TRUE)-_xlfn.NORM.DIST(Z$2,$D150,$E150,TRUE))</f>
        <v/>
      </c>
      <c r="AA150">
        <f>IF(NOT(ISNUMBER($D150)),"",_xlfn.NORM.DIST(AA$1,$D150,$E150,TRUE)-_xlfn.NORM.DIST(AA$2,$D150,$E150,TRUE))</f>
        <v/>
      </c>
      <c r="AB150">
        <f>IF(NOT(ISNUMBER($D150)),"",_xlfn.NORM.DIST(AB$1,$D150,$E150,TRUE)-_xlfn.NORM.DIST(AB$2,$D150,$E150,TRUE))</f>
        <v/>
      </c>
      <c r="AC150">
        <f>IF(NOT(ISNUMBER($D150)),"",_xlfn.NORM.DIST(AC$1,$D150,$E150,TRUE)-_xlfn.NORM.DIST(AC$2,$D150,$E150,TRUE))</f>
        <v/>
      </c>
      <c r="AD150">
        <f>IF(NOT(ISNUMBER($D150)),"",_xlfn.NORM.DIST(AD$1,$D150,$E150,TRUE)-_xlfn.NORM.DIST(AD$2,$D150,$E150,TRUE))</f>
        <v/>
      </c>
      <c r="AE150">
        <f>IF(NOT(ISNUMBER($D150)),"",_xlfn.NORM.DIST(AE$1,$D150,$E150,TRUE)-_xlfn.NORM.DIST(AE$2,$D150,$E150,TRUE))</f>
        <v/>
      </c>
      <c r="AF150">
        <f>IF(NOT(ISNUMBER($D150)),"",_xlfn.NORM.DIST(AF$1,$D150,$E150,TRUE)-_xlfn.NORM.DIST(AF$2,$D150,$E150,TRUE))</f>
        <v/>
      </c>
      <c r="AG150">
        <f>IF(NOT(ISNUMBER($D150)),"",_xlfn.NORM.DIST(AG$1,$D150,$E150,TRUE)-_xlfn.NORM.DIST(AG$2,$D150,$E150,TRUE))</f>
        <v/>
      </c>
      <c r="AH150">
        <f>IF(NOT(ISNUMBER($D150)),"",_xlfn.NORM.DIST(AH$1,$D150,$E150,TRUE)-_xlfn.NORM.DIST(AH$2,$D150,$E150,TRUE))</f>
        <v/>
      </c>
      <c r="AI150">
        <f>IF(NOT(ISNUMBER($D150)),"",_xlfn.NORM.DIST(AI$1,$D150,$E150,TRUE)-_xlfn.NORM.DIST(AI$2,$D150,$E150,TRUE))</f>
        <v/>
      </c>
      <c r="AJ150">
        <f>IF(NOT(ISNUMBER($D150)),"",_xlfn.NORM.DIST(AJ$1,$D150,$E150,TRUE)-_xlfn.NORM.DIST(AJ$2,$D150,$E150,TRUE))</f>
        <v/>
      </c>
      <c r="AK150">
        <f>IF(NOT(ISNUMBER($D150)),"",_xlfn.NORM.DIST(AK$1,$D150,$E150,TRUE)-_xlfn.NORM.DIST(AK$2,$D150,$E150,TRUE))</f>
        <v/>
      </c>
      <c r="AL150">
        <f>IF(NOT(ISNUMBER($D150)),"",_xlfn.NORM.DIST(AL$1,$D150,$E150,TRUE)-_xlfn.NORM.DIST(AL$2,$D150,$E150,TRUE))</f>
        <v/>
      </c>
      <c r="AM150">
        <f>IF(NOT(ISNUMBER($D150)),"",_xlfn.NORM.DIST(AM$1,$D150,$E150,TRUE)-_xlfn.NORM.DIST(AM$2,$D150,$E150,TRUE))</f>
        <v/>
      </c>
      <c r="AN150">
        <f>IF(NOT(ISNUMBER($D150)),"",_xlfn.NORM.DIST(AN$1,$D150,$E150,TRUE)-_xlfn.NORM.DIST(AN$2,$D150,$E150,TRUE))</f>
        <v/>
      </c>
      <c r="AO150">
        <f>IF(NOT(ISNUMBER($D150)),"",_xlfn.NORM.DIST(AO$1,$D150,$E150,TRUE)-_xlfn.NORM.DIST(AO$2,$D150,$E150,TRUE))</f>
        <v/>
      </c>
      <c r="AP150">
        <f>IF(NOT(ISNUMBER($D150)),"",_xlfn.NORM.DIST(AP$1,$D150,$E150,TRUE)-_xlfn.NORM.DIST(AP$2,$D150,$E150,TRUE))</f>
        <v/>
      </c>
      <c r="AQ150">
        <f>IF(NOT(ISNUMBER($D150)),"",_xlfn.NORM.DIST(AQ$1,$D150,$E150,TRUE)-_xlfn.NORM.DIST(AQ$2,$D150,$E150,TRUE))</f>
        <v/>
      </c>
      <c r="AR150">
        <f>IF(NOT(ISNUMBER($D150)),"",_xlfn.NORM.DIST(AR$1,$D150,$E150,TRUE)-_xlfn.NORM.DIST(AR$2,$D150,$E150,TRUE))</f>
        <v/>
      </c>
      <c r="AS150">
        <f>IF(NOT(ISNUMBER($D150)),"",_xlfn.NORM.DIST(AS$1,$D150,$E150,TRUE)-_xlfn.NORM.DIST(AS$2,$D150,$E150,TRUE))</f>
        <v/>
      </c>
      <c r="AT150">
        <f>IF(NOT(ISNUMBER($D150)),"",_xlfn.NORM.DIST(AT$1,$D150,$E150,TRUE)-_xlfn.NORM.DIST(AT$2,$D150,$E150,TRUE))</f>
        <v/>
      </c>
      <c r="AU150">
        <f>IF(NOT(ISNUMBER($D150)),"",_xlfn.NORM.DIST(AU$1,$D150,$E150,TRUE)-_xlfn.NORM.DIST(AU$2,$D150,$E150,TRUE))</f>
        <v/>
      </c>
      <c r="AV150">
        <f>IF(NOT(ISNUMBER($D150)),"",_xlfn.NORM.DIST(AV$1,$D150,$E150,TRUE)-_xlfn.NORM.DIST(AV$2,$D150,$E150,TRUE))</f>
        <v/>
      </c>
      <c r="AW150">
        <f>IF(NOT(ISNUMBER($D150)),"",_xlfn.NORM.DIST(AW$1,$D150,$E150,TRUE)-_xlfn.NORM.DIST(AW$2,$D150,$E150,TRUE))</f>
        <v/>
      </c>
      <c r="AX150">
        <f>IF(NOT(ISNUMBER($D150)),"",_xlfn.NORM.DIST(AX$1,$D150,$E150,TRUE)-_xlfn.NORM.DIST(AX$2,$D150,$E150,TRUE))</f>
        <v/>
      </c>
      <c r="AY150">
        <f>IF(NOT(ISNUMBER($D150)),"",_xlfn.NORM.DIST(AY$1,$D150,$E150,TRUE)-_xlfn.NORM.DIST(AY$2,$D150,$E150,TRUE))</f>
        <v/>
      </c>
      <c r="AZ150">
        <f>IF(NOT(ISNUMBER($D150)),"",_xlfn.NORM.DIST(AZ$1,$D150,$E150,TRUE)-_xlfn.NORM.DIST(AZ$2,$D150,$E150,TRUE))</f>
        <v/>
      </c>
      <c r="BA150">
        <f>IF(NOT(ISNUMBER($D150)),"",_xlfn.NORM.DIST(BA$1,$D150,$E150,TRUE)-_xlfn.NORM.DIST(BA$2,$D150,$E150,TRUE))</f>
        <v/>
      </c>
      <c r="BB150">
        <f>IF(NOT(ISNUMBER($D150)),"",_xlfn.NORM.DIST(BB$1,$D150,$E150,TRUE)-_xlfn.NORM.DIST(BB$2,$D150,$E150,TRUE))</f>
        <v/>
      </c>
      <c r="BC150">
        <f>IF(NOT(ISNUMBER($D150)),"",_xlfn.NORM.DIST(BC$1,$D150,$E150,TRUE)-_xlfn.NORM.DIST(BC$2,$D150,$E150,TRUE))</f>
        <v/>
      </c>
      <c r="BD150">
        <f>IF(NOT(ISNUMBER($D150)),"",_xlfn.NORM.DIST(BD$1,$D150,$E150,TRUE)-_xlfn.NORM.DIST(BD$2,$D150,$E150,TRUE))</f>
        <v/>
      </c>
      <c r="BE150">
        <f>IF(NOT(ISNUMBER($D150)),"",_xlfn.NORM.DIST(BE$1,$D150,$E150,TRUE)-_xlfn.NORM.DIST(BE$2,$D150,$E150,TRUE))</f>
        <v/>
      </c>
      <c r="BF150">
        <f>IF(NOT(ISNUMBER($D150)),"",_xlfn.NORM.DIST(BF$1,$D150,$E150,TRUE)-_xlfn.NORM.DIST(BF$2,$D150,$E150,TRUE))</f>
        <v/>
      </c>
      <c r="BG150">
        <f>IF(NOT(ISNUMBER($D150)),"",_xlfn.NORM.DIST(BG$1,$D150,$E150,TRUE)-_xlfn.NORM.DIST(BG$2,$D150,$E150,TRUE))</f>
        <v/>
      </c>
      <c r="BH150">
        <f>IF(NOT(ISNUMBER($D150)),"",_xlfn.NORM.DIST(BH$1,$D150,$E150,TRUE)-_xlfn.NORM.DIST(BH$2,$D150,$E150,TRUE))</f>
        <v/>
      </c>
      <c r="BI150">
        <f>IF(NOT(ISNUMBER($D150)),"",_xlfn.NORM.DIST(BI$1,$D150,$E150,TRUE)-_xlfn.NORM.DIST(BI$2,$D150,$E150,TRUE))</f>
        <v/>
      </c>
      <c r="BJ150">
        <f>IF(NOT(ISNUMBER($D150)),"",_xlfn.NORM.DIST(BJ$1,$D150,$E150,TRUE)-_xlfn.NORM.DIST(BJ$2,$D150,$E150,TRUE))</f>
        <v/>
      </c>
      <c r="BK150">
        <f>IF(NOT(ISNUMBER($D150)),"",_xlfn.NORM.DIST(BK$1,$D150,$E150,TRUE)-_xlfn.NORM.DIST(BK$2,$D150,$E150,TRUE))</f>
        <v/>
      </c>
      <c r="BL150">
        <f>IF(NOT(ISNUMBER($D150)),"",_xlfn.NORM.DIST(BL$1,$D150,$E150,TRUE)-_xlfn.NORM.DIST(BL$2,$D150,$E150,TRUE))</f>
        <v/>
      </c>
      <c r="BM150">
        <f>IF(NOT(ISNUMBER($D150)),"",_xlfn.NORM.DIST(BM$1,$D150,$E150,TRUE)-_xlfn.NORM.DIST(BM$2,$D150,$E150,TRUE))</f>
        <v/>
      </c>
      <c r="BN150">
        <f>IF(NOT(ISNUMBER($D150)),"",_xlfn.NORM.DIST(BN$1,$D150,$E150,TRUE)-_xlfn.NORM.DIST(BN$2,$D150,$E150,TRUE))</f>
        <v/>
      </c>
      <c r="BO150">
        <f>IF(NOT(ISNUMBER($D150)),"",_xlfn.NORM.DIST(BO$1,$D150,$E150,TRUE)-_xlfn.NORM.DIST(BO$2,$D150,$E150,TRUE))</f>
        <v/>
      </c>
      <c r="BP150">
        <f>IF(NOT(ISNUMBER($D150)),"",_xlfn.NORM.DIST(BP$1,$D150,$E150,TRUE)-_xlfn.NORM.DIST(BP$2,$D150,$E150,TRUE))</f>
        <v/>
      </c>
      <c r="BQ150">
        <f>IF(NOT(ISNUMBER($D150)),"",_xlfn.NORM.DIST(BQ$1,$D150,$E150,TRUE)-_xlfn.NORM.DIST(BQ$2,$D150,$E150,TRUE))</f>
        <v/>
      </c>
      <c r="BR150">
        <f>IF(NOT(ISNUMBER($D150)),"",_xlfn.NORM.DIST(BR$1,$D150,$E150,TRUE)-_xlfn.NORM.DIST(BR$2,$D150,$E150,TRUE))</f>
        <v/>
      </c>
      <c r="BS150">
        <f>IF(NOT(ISNUMBER($D150)),"",_xlfn.NORM.DIST(BS$1,$D150,$E150,TRUE)-_xlfn.NORM.DIST(BS$2,$D150,$E150,TRUE))</f>
        <v/>
      </c>
      <c r="BT150">
        <f>IF(NOT(ISNUMBER($D150)),"",_xlfn.NORM.DIST(BT$1,$D150,$E150,TRUE)-_xlfn.NORM.DIST(BT$2,$D150,$E150,TRUE))</f>
        <v/>
      </c>
      <c r="BU150">
        <f>IF(NOT(ISNUMBER($D150)),"",_xlfn.NORM.DIST(BU$1,$D150,$E150,TRUE)-_xlfn.NORM.DIST(BU$2,$D150,$E150,TRUE))</f>
        <v/>
      </c>
      <c r="BV150">
        <f>IF(NOT(ISNUMBER($D150)),"",_xlfn.NORM.DIST(BV$1,$D150,$E150,TRUE)-_xlfn.NORM.DIST(BV$2,$D150,$E150,TRUE))</f>
        <v/>
      </c>
      <c r="BW150">
        <f>IF(NOT(ISNUMBER($D150)),"",_xlfn.NORM.DIST(BW$1,$D150,$E150,TRUE)-_xlfn.NORM.DIST(BW$2,$D150,$E150,TRUE))</f>
        <v/>
      </c>
      <c r="BX150">
        <f>IF(NOT(ISNUMBER($D150)),"",_xlfn.NORM.DIST(BX$1,$D150,$E150,TRUE)-_xlfn.NORM.DIST(BX$2,$D150,$E150,TRUE))</f>
        <v/>
      </c>
      <c r="BY150">
        <f>IF(NOT(ISNUMBER($D150)),"",_xlfn.NORM.DIST(BY$1,$D150,$E150,TRUE)-_xlfn.NORM.DIST(BY$2,$D150,$E150,TRUE))</f>
        <v/>
      </c>
      <c r="BZ150">
        <f>IF(NOT(ISNUMBER($D150)),"",_xlfn.NORM.DIST(BZ$1,$D150,$E150,TRUE)-_xlfn.NORM.DIST(BZ$2,$D150,$E150,TRUE))</f>
        <v/>
      </c>
      <c r="CA150">
        <f>IF(NOT(ISNUMBER($D150)),"",_xlfn.NORM.DIST(CA$1,$D150,$E150,TRUE)-_xlfn.NORM.DIST(CA$2,$D150,$E150,TRUE))</f>
        <v/>
      </c>
      <c r="CB150">
        <f>IF(NOT(ISNUMBER($D150)),"",_xlfn.NORM.DIST(CB$1,$D150,$E150,TRUE)-_xlfn.NORM.DIST(CB$2,$D150,$E150,TRUE))</f>
        <v/>
      </c>
      <c r="CC150">
        <f>IF(NOT(ISNUMBER($D150)),"",_xlfn.NORM.DIST(CC$1,$D150,$E150,TRUE)-_xlfn.NORM.DIST(CC$2,$D150,$E150,TRUE))</f>
        <v/>
      </c>
      <c r="CD150">
        <f>IF(NOT(ISNUMBER($D150)),"",_xlfn.NORM.DIST(CD$1,$D150,$E150,TRUE)-_xlfn.NORM.DIST(CD$2,$D150,$E150,TRUE))</f>
        <v/>
      </c>
      <c r="CE150">
        <f>IF(NOT(ISNUMBER($D150)),"",_xlfn.NORM.DIST(CE$1,$D150,$E150,TRUE)-_xlfn.NORM.DIST(CE$2,$D150,$E150,TRUE))</f>
        <v/>
      </c>
      <c r="CF150">
        <f>IF(NOT(ISNUMBER($D150)),"",_xlfn.NORM.DIST(CF$1,$D150,$E150,TRUE)-_xlfn.NORM.DIST(CF$2,$D150,$E150,TRUE))</f>
        <v/>
      </c>
      <c r="CG150">
        <f>IF(NOT(ISNUMBER($D150)),"",_xlfn.NORM.DIST(CG$1,$D150,$E150,TRUE)-_xlfn.NORM.DIST(CG$2,$D150,$E150,TRUE))</f>
        <v/>
      </c>
      <c r="CH150">
        <f>IF(NOT(ISNUMBER($D150)),"",_xlfn.NORM.DIST(CH$1,$D150,$E150,TRUE)-_xlfn.NORM.DIST(CH$2,$D150,$E150,TRUE))</f>
        <v/>
      </c>
      <c r="CI150">
        <f>IF(NOT(ISNUMBER($D150)),"",_xlfn.NORM.DIST(CI$1,$D150,$E150,TRUE)-_xlfn.NORM.DIST(CI$2,$D150,$E150,TRUE))</f>
        <v/>
      </c>
      <c r="CJ150">
        <f>IF(ISNUMBER($D150),SUM(F150:CI150),"")</f>
        <v/>
      </c>
    </row>
    <row r="151">
      <c r="A151">
        <f>economics!A150</f>
        <v/>
      </c>
      <c r="B151">
        <f>economics!B150</f>
        <v/>
      </c>
      <c r="C151">
        <f>economics!D150</f>
        <v/>
      </c>
      <c r="D151">
        <f>IF(ISNUMBER(economics!T150),economics!T150,"na")</f>
        <v/>
      </c>
      <c r="E151">
        <f>IF(ISNUMBER(D151),MAX(0.3*ABS(D151),0.000001),"na")</f>
        <v/>
      </c>
      <c r="F151">
        <f>IF(NOT(ISNUMBER($D151)),"",_xlfn.NORM.DIST(F$1,$D151,$E151,TRUE)-_xlfn.NORM.DIST(F$2,$D151,$E151,TRUE))</f>
        <v/>
      </c>
      <c r="G151">
        <f>IF(NOT(ISNUMBER($D151)),"",_xlfn.NORM.DIST(G$1,$D151,$E151,TRUE)-_xlfn.NORM.DIST(G$2,$D151,$E151,TRUE))</f>
        <v/>
      </c>
      <c r="H151">
        <f>IF(NOT(ISNUMBER($D151)),"",_xlfn.NORM.DIST(H$1,$D151,$E151,TRUE)-_xlfn.NORM.DIST(H$2,$D151,$E151,TRUE))</f>
        <v/>
      </c>
      <c r="I151">
        <f>IF(NOT(ISNUMBER($D151)),"",_xlfn.NORM.DIST(I$1,$D151,$E151,TRUE)-_xlfn.NORM.DIST(I$2,$D151,$E151,TRUE))</f>
        <v/>
      </c>
      <c r="J151">
        <f>IF(NOT(ISNUMBER($D151)),"",_xlfn.NORM.DIST(J$1,$D151,$E151,TRUE)-_xlfn.NORM.DIST(J$2,$D151,$E151,TRUE))</f>
        <v/>
      </c>
      <c r="K151">
        <f>IF(NOT(ISNUMBER($D151)),"",_xlfn.NORM.DIST(K$1,$D151,$E151,TRUE)-_xlfn.NORM.DIST(K$2,$D151,$E151,TRUE))</f>
        <v/>
      </c>
      <c r="L151">
        <f>IF(NOT(ISNUMBER($D151)),"",_xlfn.NORM.DIST(L$1,$D151,$E151,TRUE)-_xlfn.NORM.DIST(L$2,$D151,$E151,TRUE))</f>
        <v/>
      </c>
      <c r="M151">
        <f>IF(NOT(ISNUMBER($D151)),"",_xlfn.NORM.DIST(M$1,$D151,$E151,TRUE)-_xlfn.NORM.DIST(M$2,$D151,$E151,TRUE))</f>
        <v/>
      </c>
      <c r="N151">
        <f>IF(NOT(ISNUMBER($D151)),"",_xlfn.NORM.DIST(N$1,$D151,$E151,TRUE)-_xlfn.NORM.DIST(N$2,$D151,$E151,TRUE))</f>
        <v/>
      </c>
      <c r="O151">
        <f>IF(NOT(ISNUMBER($D151)),"",_xlfn.NORM.DIST(O$1,$D151,$E151,TRUE)-_xlfn.NORM.DIST(O$2,$D151,$E151,TRUE))</f>
        <v/>
      </c>
      <c r="P151">
        <f>IF(NOT(ISNUMBER($D151)),"",_xlfn.NORM.DIST(P$1,$D151,$E151,TRUE)-_xlfn.NORM.DIST(P$2,$D151,$E151,TRUE))</f>
        <v/>
      </c>
      <c r="Q151">
        <f>IF(NOT(ISNUMBER($D151)),"",_xlfn.NORM.DIST(Q$1,$D151,$E151,TRUE)-_xlfn.NORM.DIST(Q$2,$D151,$E151,TRUE))</f>
        <v/>
      </c>
      <c r="R151">
        <f>IF(NOT(ISNUMBER($D151)),"",_xlfn.NORM.DIST(R$1,$D151,$E151,TRUE)-_xlfn.NORM.DIST(R$2,$D151,$E151,TRUE))</f>
        <v/>
      </c>
      <c r="S151">
        <f>IF(NOT(ISNUMBER($D151)),"",_xlfn.NORM.DIST(S$1,$D151,$E151,TRUE)-_xlfn.NORM.DIST(S$2,$D151,$E151,TRUE))</f>
        <v/>
      </c>
      <c r="T151">
        <f>IF(NOT(ISNUMBER($D151)),"",_xlfn.NORM.DIST(T$1,$D151,$E151,TRUE)-_xlfn.NORM.DIST(T$2,$D151,$E151,TRUE))</f>
        <v/>
      </c>
      <c r="U151">
        <f>IF(NOT(ISNUMBER($D151)),"",_xlfn.NORM.DIST(U$1,$D151,$E151,TRUE)-_xlfn.NORM.DIST(U$2,$D151,$E151,TRUE))</f>
        <v/>
      </c>
      <c r="V151">
        <f>IF(NOT(ISNUMBER($D151)),"",_xlfn.NORM.DIST(V$1,$D151,$E151,TRUE)-_xlfn.NORM.DIST(V$2,$D151,$E151,TRUE))</f>
        <v/>
      </c>
      <c r="W151">
        <f>IF(NOT(ISNUMBER($D151)),"",_xlfn.NORM.DIST(W$1,$D151,$E151,TRUE)-_xlfn.NORM.DIST(W$2,$D151,$E151,TRUE))</f>
        <v/>
      </c>
      <c r="X151">
        <f>IF(NOT(ISNUMBER($D151)),"",_xlfn.NORM.DIST(X$1,$D151,$E151,TRUE)-_xlfn.NORM.DIST(X$2,$D151,$E151,TRUE))</f>
        <v/>
      </c>
      <c r="Y151">
        <f>IF(NOT(ISNUMBER($D151)),"",_xlfn.NORM.DIST(Y$1,$D151,$E151,TRUE)-_xlfn.NORM.DIST(Y$2,$D151,$E151,TRUE))</f>
        <v/>
      </c>
      <c r="Z151">
        <f>IF(NOT(ISNUMBER($D151)),"",_xlfn.NORM.DIST(Z$1,$D151,$E151,TRUE)-_xlfn.NORM.DIST(Z$2,$D151,$E151,TRUE))</f>
        <v/>
      </c>
      <c r="AA151">
        <f>IF(NOT(ISNUMBER($D151)),"",_xlfn.NORM.DIST(AA$1,$D151,$E151,TRUE)-_xlfn.NORM.DIST(AA$2,$D151,$E151,TRUE))</f>
        <v/>
      </c>
      <c r="AB151">
        <f>IF(NOT(ISNUMBER($D151)),"",_xlfn.NORM.DIST(AB$1,$D151,$E151,TRUE)-_xlfn.NORM.DIST(AB$2,$D151,$E151,TRUE))</f>
        <v/>
      </c>
      <c r="AC151">
        <f>IF(NOT(ISNUMBER($D151)),"",_xlfn.NORM.DIST(AC$1,$D151,$E151,TRUE)-_xlfn.NORM.DIST(AC$2,$D151,$E151,TRUE))</f>
        <v/>
      </c>
      <c r="AD151">
        <f>IF(NOT(ISNUMBER($D151)),"",_xlfn.NORM.DIST(AD$1,$D151,$E151,TRUE)-_xlfn.NORM.DIST(AD$2,$D151,$E151,TRUE))</f>
        <v/>
      </c>
      <c r="AE151">
        <f>IF(NOT(ISNUMBER($D151)),"",_xlfn.NORM.DIST(AE$1,$D151,$E151,TRUE)-_xlfn.NORM.DIST(AE$2,$D151,$E151,TRUE))</f>
        <v/>
      </c>
      <c r="AF151">
        <f>IF(NOT(ISNUMBER($D151)),"",_xlfn.NORM.DIST(AF$1,$D151,$E151,TRUE)-_xlfn.NORM.DIST(AF$2,$D151,$E151,TRUE))</f>
        <v/>
      </c>
      <c r="AG151">
        <f>IF(NOT(ISNUMBER($D151)),"",_xlfn.NORM.DIST(AG$1,$D151,$E151,TRUE)-_xlfn.NORM.DIST(AG$2,$D151,$E151,TRUE))</f>
        <v/>
      </c>
      <c r="AH151">
        <f>IF(NOT(ISNUMBER($D151)),"",_xlfn.NORM.DIST(AH$1,$D151,$E151,TRUE)-_xlfn.NORM.DIST(AH$2,$D151,$E151,TRUE))</f>
        <v/>
      </c>
      <c r="AI151">
        <f>IF(NOT(ISNUMBER($D151)),"",_xlfn.NORM.DIST(AI$1,$D151,$E151,TRUE)-_xlfn.NORM.DIST(AI$2,$D151,$E151,TRUE))</f>
        <v/>
      </c>
      <c r="AJ151">
        <f>IF(NOT(ISNUMBER($D151)),"",_xlfn.NORM.DIST(AJ$1,$D151,$E151,TRUE)-_xlfn.NORM.DIST(AJ$2,$D151,$E151,TRUE))</f>
        <v/>
      </c>
      <c r="AK151">
        <f>IF(NOT(ISNUMBER($D151)),"",_xlfn.NORM.DIST(AK$1,$D151,$E151,TRUE)-_xlfn.NORM.DIST(AK$2,$D151,$E151,TRUE))</f>
        <v/>
      </c>
      <c r="AL151">
        <f>IF(NOT(ISNUMBER($D151)),"",_xlfn.NORM.DIST(AL$1,$D151,$E151,TRUE)-_xlfn.NORM.DIST(AL$2,$D151,$E151,TRUE))</f>
        <v/>
      </c>
      <c r="AM151">
        <f>IF(NOT(ISNUMBER($D151)),"",_xlfn.NORM.DIST(AM$1,$D151,$E151,TRUE)-_xlfn.NORM.DIST(AM$2,$D151,$E151,TRUE))</f>
        <v/>
      </c>
      <c r="AN151">
        <f>IF(NOT(ISNUMBER($D151)),"",_xlfn.NORM.DIST(AN$1,$D151,$E151,TRUE)-_xlfn.NORM.DIST(AN$2,$D151,$E151,TRUE))</f>
        <v/>
      </c>
      <c r="AO151">
        <f>IF(NOT(ISNUMBER($D151)),"",_xlfn.NORM.DIST(AO$1,$D151,$E151,TRUE)-_xlfn.NORM.DIST(AO$2,$D151,$E151,TRUE))</f>
        <v/>
      </c>
      <c r="AP151">
        <f>IF(NOT(ISNUMBER($D151)),"",_xlfn.NORM.DIST(AP$1,$D151,$E151,TRUE)-_xlfn.NORM.DIST(AP$2,$D151,$E151,TRUE))</f>
        <v/>
      </c>
      <c r="AQ151">
        <f>IF(NOT(ISNUMBER($D151)),"",_xlfn.NORM.DIST(AQ$1,$D151,$E151,TRUE)-_xlfn.NORM.DIST(AQ$2,$D151,$E151,TRUE))</f>
        <v/>
      </c>
      <c r="AR151">
        <f>IF(NOT(ISNUMBER($D151)),"",_xlfn.NORM.DIST(AR$1,$D151,$E151,TRUE)-_xlfn.NORM.DIST(AR$2,$D151,$E151,TRUE))</f>
        <v/>
      </c>
      <c r="AS151">
        <f>IF(NOT(ISNUMBER($D151)),"",_xlfn.NORM.DIST(AS$1,$D151,$E151,TRUE)-_xlfn.NORM.DIST(AS$2,$D151,$E151,TRUE))</f>
        <v/>
      </c>
      <c r="AT151">
        <f>IF(NOT(ISNUMBER($D151)),"",_xlfn.NORM.DIST(AT$1,$D151,$E151,TRUE)-_xlfn.NORM.DIST(AT$2,$D151,$E151,TRUE))</f>
        <v/>
      </c>
      <c r="AU151">
        <f>IF(NOT(ISNUMBER($D151)),"",_xlfn.NORM.DIST(AU$1,$D151,$E151,TRUE)-_xlfn.NORM.DIST(AU$2,$D151,$E151,TRUE))</f>
        <v/>
      </c>
      <c r="AV151">
        <f>IF(NOT(ISNUMBER($D151)),"",_xlfn.NORM.DIST(AV$1,$D151,$E151,TRUE)-_xlfn.NORM.DIST(AV$2,$D151,$E151,TRUE))</f>
        <v/>
      </c>
      <c r="AW151">
        <f>IF(NOT(ISNUMBER($D151)),"",_xlfn.NORM.DIST(AW$1,$D151,$E151,TRUE)-_xlfn.NORM.DIST(AW$2,$D151,$E151,TRUE))</f>
        <v/>
      </c>
      <c r="AX151">
        <f>IF(NOT(ISNUMBER($D151)),"",_xlfn.NORM.DIST(AX$1,$D151,$E151,TRUE)-_xlfn.NORM.DIST(AX$2,$D151,$E151,TRUE))</f>
        <v/>
      </c>
      <c r="AY151">
        <f>IF(NOT(ISNUMBER($D151)),"",_xlfn.NORM.DIST(AY$1,$D151,$E151,TRUE)-_xlfn.NORM.DIST(AY$2,$D151,$E151,TRUE))</f>
        <v/>
      </c>
      <c r="AZ151">
        <f>IF(NOT(ISNUMBER($D151)),"",_xlfn.NORM.DIST(AZ$1,$D151,$E151,TRUE)-_xlfn.NORM.DIST(AZ$2,$D151,$E151,TRUE))</f>
        <v/>
      </c>
      <c r="BA151">
        <f>IF(NOT(ISNUMBER($D151)),"",_xlfn.NORM.DIST(BA$1,$D151,$E151,TRUE)-_xlfn.NORM.DIST(BA$2,$D151,$E151,TRUE))</f>
        <v/>
      </c>
      <c r="BB151">
        <f>IF(NOT(ISNUMBER($D151)),"",_xlfn.NORM.DIST(BB$1,$D151,$E151,TRUE)-_xlfn.NORM.DIST(BB$2,$D151,$E151,TRUE))</f>
        <v/>
      </c>
      <c r="BC151">
        <f>IF(NOT(ISNUMBER($D151)),"",_xlfn.NORM.DIST(BC$1,$D151,$E151,TRUE)-_xlfn.NORM.DIST(BC$2,$D151,$E151,TRUE))</f>
        <v/>
      </c>
      <c r="BD151">
        <f>IF(NOT(ISNUMBER($D151)),"",_xlfn.NORM.DIST(BD$1,$D151,$E151,TRUE)-_xlfn.NORM.DIST(BD$2,$D151,$E151,TRUE))</f>
        <v/>
      </c>
      <c r="BE151">
        <f>IF(NOT(ISNUMBER($D151)),"",_xlfn.NORM.DIST(BE$1,$D151,$E151,TRUE)-_xlfn.NORM.DIST(BE$2,$D151,$E151,TRUE))</f>
        <v/>
      </c>
      <c r="BF151">
        <f>IF(NOT(ISNUMBER($D151)),"",_xlfn.NORM.DIST(BF$1,$D151,$E151,TRUE)-_xlfn.NORM.DIST(BF$2,$D151,$E151,TRUE))</f>
        <v/>
      </c>
      <c r="BG151">
        <f>IF(NOT(ISNUMBER($D151)),"",_xlfn.NORM.DIST(BG$1,$D151,$E151,TRUE)-_xlfn.NORM.DIST(BG$2,$D151,$E151,TRUE))</f>
        <v/>
      </c>
      <c r="BH151">
        <f>IF(NOT(ISNUMBER($D151)),"",_xlfn.NORM.DIST(BH$1,$D151,$E151,TRUE)-_xlfn.NORM.DIST(BH$2,$D151,$E151,TRUE))</f>
        <v/>
      </c>
      <c r="BI151">
        <f>IF(NOT(ISNUMBER($D151)),"",_xlfn.NORM.DIST(BI$1,$D151,$E151,TRUE)-_xlfn.NORM.DIST(BI$2,$D151,$E151,TRUE))</f>
        <v/>
      </c>
      <c r="BJ151">
        <f>IF(NOT(ISNUMBER($D151)),"",_xlfn.NORM.DIST(BJ$1,$D151,$E151,TRUE)-_xlfn.NORM.DIST(BJ$2,$D151,$E151,TRUE))</f>
        <v/>
      </c>
      <c r="BK151">
        <f>IF(NOT(ISNUMBER($D151)),"",_xlfn.NORM.DIST(BK$1,$D151,$E151,TRUE)-_xlfn.NORM.DIST(BK$2,$D151,$E151,TRUE))</f>
        <v/>
      </c>
      <c r="BL151">
        <f>IF(NOT(ISNUMBER($D151)),"",_xlfn.NORM.DIST(BL$1,$D151,$E151,TRUE)-_xlfn.NORM.DIST(BL$2,$D151,$E151,TRUE))</f>
        <v/>
      </c>
      <c r="BM151">
        <f>IF(NOT(ISNUMBER($D151)),"",_xlfn.NORM.DIST(BM$1,$D151,$E151,TRUE)-_xlfn.NORM.DIST(BM$2,$D151,$E151,TRUE))</f>
        <v/>
      </c>
      <c r="BN151">
        <f>IF(NOT(ISNUMBER($D151)),"",_xlfn.NORM.DIST(BN$1,$D151,$E151,TRUE)-_xlfn.NORM.DIST(BN$2,$D151,$E151,TRUE))</f>
        <v/>
      </c>
      <c r="BO151">
        <f>IF(NOT(ISNUMBER($D151)),"",_xlfn.NORM.DIST(BO$1,$D151,$E151,TRUE)-_xlfn.NORM.DIST(BO$2,$D151,$E151,TRUE))</f>
        <v/>
      </c>
      <c r="BP151">
        <f>IF(NOT(ISNUMBER($D151)),"",_xlfn.NORM.DIST(BP$1,$D151,$E151,TRUE)-_xlfn.NORM.DIST(BP$2,$D151,$E151,TRUE))</f>
        <v/>
      </c>
      <c r="BQ151">
        <f>IF(NOT(ISNUMBER($D151)),"",_xlfn.NORM.DIST(BQ$1,$D151,$E151,TRUE)-_xlfn.NORM.DIST(BQ$2,$D151,$E151,TRUE))</f>
        <v/>
      </c>
      <c r="BR151">
        <f>IF(NOT(ISNUMBER($D151)),"",_xlfn.NORM.DIST(BR$1,$D151,$E151,TRUE)-_xlfn.NORM.DIST(BR$2,$D151,$E151,TRUE))</f>
        <v/>
      </c>
      <c r="BS151">
        <f>IF(NOT(ISNUMBER($D151)),"",_xlfn.NORM.DIST(BS$1,$D151,$E151,TRUE)-_xlfn.NORM.DIST(BS$2,$D151,$E151,TRUE))</f>
        <v/>
      </c>
      <c r="BT151">
        <f>IF(NOT(ISNUMBER($D151)),"",_xlfn.NORM.DIST(BT$1,$D151,$E151,TRUE)-_xlfn.NORM.DIST(BT$2,$D151,$E151,TRUE))</f>
        <v/>
      </c>
      <c r="BU151">
        <f>IF(NOT(ISNUMBER($D151)),"",_xlfn.NORM.DIST(BU$1,$D151,$E151,TRUE)-_xlfn.NORM.DIST(BU$2,$D151,$E151,TRUE))</f>
        <v/>
      </c>
      <c r="BV151">
        <f>IF(NOT(ISNUMBER($D151)),"",_xlfn.NORM.DIST(BV$1,$D151,$E151,TRUE)-_xlfn.NORM.DIST(BV$2,$D151,$E151,TRUE))</f>
        <v/>
      </c>
      <c r="BW151">
        <f>IF(NOT(ISNUMBER($D151)),"",_xlfn.NORM.DIST(BW$1,$D151,$E151,TRUE)-_xlfn.NORM.DIST(BW$2,$D151,$E151,TRUE))</f>
        <v/>
      </c>
      <c r="BX151">
        <f>IF(NOT(ISNUMBER($D151)),"",_xlfn.NORM.DIST(BX$1,$D151,$E151,TRUE)-_xlfn.NORM.DIST(BX$2,$D151,$E151,TRUE))</f>
        <v/>
      </c>
      <c r="BY151">
        <f>IF(NOT(ISNUMBER($D151)),"",_xlfn.NORM.DIST(BY$1,$D151,$E151,TRUE)-_xlfn.NORM.DIST(BY$2,$D151,$E151,TRUE))</f>
        <v/>
      </c>
      <c r="BZ151">
        <f>IF(NOT(ISNUMBER($D151)),"",_xlfn.NORM.DIST(BZ$1,$D151,$E151,TRUE)-_xlfn.NORM.DIST(BZ$2,$D151,$E151,TRUE))</f>
        <v/>
      </c>
      <c r="CA151">
        <f>IF(NOT(ISNUMBER($D151)),"",_xlfn.NORM.DIST(CA$1,$D151,$E151,TRUE)-_xlfn.NORM.DIST(CA$2,$D151,$E151,TRUE))</f>
        <v/>
      </c>
      <c r="CB151">
        <f>IF(NOT(ISNUMBER($D151)),"",_xlfn.NORM.DIST(CB$1,$D151,$E151,TRUE)-_xlfn.NORM.DIST(CB$2,$D151,$E151,TRUE))</f>
        <v/>
      </c>
      <c r="CC151">
        <f>IF(NOT(ISNUMBER($D151)),"",_xlfn.NORM.DIST(CC$1,$D151,$E151,TRUE)-_xlfn.NORM.DIST(CC$2,$D151,$E151,TRUE))</f>
        <v/>
      </c>
      <c r="CD151">
        <f>IF(NOT(ISNUMBER($D151)),"",_xlfn.NORM.DIST(CD$1,$D151,$E151,TRUE)-_xlfn.NORM.DIST(CD$2,$D151,$E151,TRUE))</f>
        <v/>
      </c>
      <c r="CE151">
        <f>IF(NOT(ISNUMBER($D151)),"",_xlfn.NORM.DIST(CE$1,$D151,$E151,TRUE)-_xlfn.NORM.DIST(CE$2,$D151,$E151,TRUE))</f>
        <v/>
      </c>
      <c r="CF151">
        <f>IF(NOT(ISNUMBER($D151)),"",_xlfn.NORM.DIST(CF$1,$D151,$E151,TRUE)-_xlfn.NORM.DIST(CF$2,$D151,$E151,TRUE))</f>
        <v/>
      </c>
      <c r="CG151">
        <f>IF(NOT(ISNUMBER($D151)),"",_xlfn.NORM.DIST(CG$1,$D151,$E151,TRUE)-_xlfn.NORM.DIST(CG$2,$D151,$E151,TRUE))</f>
        <v/>
      </c>
      <c r="CH151">
        <f>IF(NOT(ISNUMBER($D151)),"",_xlfn.NORM.DIST(CH$1,$D151,$E151,TRUE)-_xlfn.NORM.DIST(CH$2,$D151,$E151,TRUE))</f>
        <v/>
      </c>
      <c r="CI151">
        <f>IF(NOT(ISNUMBER($D151)),"",_xlfn.NORM.DIST(CI$1,$D151,$E151,TRUE)-_xlfn.NORM.DIST(CI$2,$D151,$E151,TRUE))</f>
        <v/>
      </c>
      <c r="CJ151">
        <f>IF(ISNUMBER($D151),SUM(F151:CI151),"")</f>
        <v/>
      </c>
    </row>
    <row r="152">
      <c r="A152">
        <f>economics!A151</f>
        <v/>
      </c>
      <c r="B152">
        <f>economics!B151</f>
        <v/>
      </c>
      <c r="C152">
        <f>economics!D151</f>
        <v/>
      </c>
      <c r="D152">
        <f>IF(ISNUMBER(economics!T151),economics!T151,"na")</f>
        <v/>
      </c>
      <c r="E152">
        <f>IF(ISNUMBER(D152),MAX(0.3*ABS(D152),0.000001),"na")</f>
        <v/>
      </c>
      <c r="F152">
        <f>IF(NOT(ISNUMBER($D152)),"",_xlfn.NORM.DIST(F$1,$D152,$E152,TRUE)-_xlfn.NORM.DIST(F$2,$D152,$E152,TRUE))</f>
        <v/>
      </c>
      <c r="G152">
        <f>IF(NOT(ISNUMBER($D152)),"",_xlfn.NORM.DIST(G$1,$D152,$E152,TRUE)-_xlfn.NORM.DIST(G$2,$D152,$E152,TRUE))</f>
        <v/>
      </c>
      <c r="H152">
        <f>IF(NOT(ISNUMBER($D152)),"",_xlfn.NORM.DIST(H$1,$D152,$E152,TRUE)-_xlfn.NORM.DIST(H$2,$D152,$E152,TRUE))</f>
        <v/>
      </c>
      <c r="I152">
        <f>IF(NOT(ISNUMBER($D152)),"",_xlfn.NORM.DIST(I$1,$D152,$E152,TRUE)-_xlfn.NORM.DIST(I$2,$D152,$E152,TRUE))</f>
        <v/>
      </c>
      <c r="J152">
        <f>IF(NOT(ISNUMBER($D152)),"",_xlfn.NORM.DIST(J$1,$D152,$E152,TRUE)-_xlfn.NORM.DIST(J$2,$D152,$E152,TRUE))</f>
        <v/>
      </c>
      <c r="K152">
        <f>IF(NOT(ISNUMBER($D152)),"",_xlfn.NORM.DIST(K$1,$D152,$E152,TRUE)-_xlfn.NORM.DIST(K$2,$D152,$E152,TRUE))</f>
        <v/>
      </c>
      <c r="L152">
        <f>IF(NOT(ISNUMBER($D152)),"",_xlfn.NORM.DIST(L$1,$D152,$E152,TRUE)-_xlfn.NORM.DIST(L$2,$D152,$E152,TRUE))</f>
        <v/>
      </c>
      <c r="M152">
        <f>IF(NOT(ISNUMBER($D152)),"",_xlfn.NORM.DIST(M$1,$D152,$E152,TRUE)-_xlfn.NORM.DIST(M$2,$D152,$E152,TRUE))</f>
        <v/>
      </c>
      <c r="N152">
        <f>IF(NOT(ISNUMBER($D152)),"",_xlfn.NORM.DIST(N$1,$D152,$E152,TRUE)-_xlfn.NORM.DIST(N$2,$D152,$E152,TRUE))</f>
        <v/>
      </c>
      <c r="O152">
        <f>IF(NOT(ISNUMBER($D152)),"",_xlfn.NORM.DIST(O$1,$D152,$E152,TRUE)-_xlfn.NORM.DIST(O$2,$D152,$E152,TRUE))</f>
        <v/>
      </c>
      <c r="P152">
        <f>IF(NOT(ISNUMBER($D152)),"",_xlfn.NORM.DIST(P$1,$D152,$E152,TRUE)-_xlfn.NORM.DIST(P$2,$D152,$E152,TRUE))</f>
        <v/>
      </c>
      <c r="Q152">
        <f>IF(NOT(ISNUMBER($D152)),"",_xlfn.NORM.DIST(Q$1,$D152,$E152,TRUE)-_xlfn.NORM.DIST(Q$2,$D152,$E152,TRUE))</f>
        <v/>
      </c>
      <c r="R152">
        <f>IF(NOT(ISNUMBER($D152)),"",_xlfn.NORM.DIST(R$1,$D152,$E152,TRUE)-_xlfn.NORM.DIST(R$2,$D152,$E152,TRUE))</f>
        <v/>
      </c>
      <c r="S152">
        <f>IF(NOT(ISNUMBER($D152)),"",_xlfn.NORM.DIST(S$1,$D152,$E152,TRUE)-_xlfn.NORM.DIST(S$2,$D152,$E152,TRUE))</f>
        <v/>
      </c>
      <c r="T152">
        <f>IF(NOT(ISNUMBER($D152)),"",_xlfn.NORM.DIST(T$1,$D152,$E152,TRUE)-_xlfn.NORM.DIST(T$2,$D152,$E152,TRUE))</f>
        <v/>
      </c>
      <c r="U152">
        <f>IF(NOT(ISNUMBER($D152)),"",_xlfn.NORM.DIST(U$1,$D152,$E152,TRUE)-_xlfn.NORM.DIST(U$2,$D152,$E152,TRUE))</f>
        <v/>
      </c>
      <c r="V152">
        <f>IF(NOT(ISNUMBER($D152)),"",_xlfn.NORM.DIST(V$1,$D152,$E152,TRUE)-_xlfn.NORM.DIST(V$2,$D152,$E152,TRUE))</f>
        <v/>
      </c>
      <c r="W152">
        <f>IF(NOT(ISNUMBER($D152)),"",_xlfn.NORM.DIST(W$1,$D152,$E152,TRUE)-_xlfn.NORM.DIST(W$2,$D152,$E152,TRUE))</f>
        <v/>
      </c>
      <c r="X152">
        <f>IF(NOT(ISNUMBER($D152)),"",_xlfn.NORM.DIST(X$1,$D152,$E152,TRUE)-_xlfn.NORM.DIST(X$2,$D152,$E152,TRUE))</f>
        <v/>
      </c>
      <c r="Y152">
        <f>IF(NOT(ISNUMBER($D152)),"",_xlfn.NORM.DIST(Y$1,$D152,$E152,TRUE)-_xlfn.NORM.DIST(Y$2,$D152,$E152,TRUE))</f>
        <v/>
      </c>
      <c r="Z152">
        <f>IF(NOT(ISNUMBER($D152)),"",_xlfn.NORM.DIST(Z$1,$D152,$E152,TRUE)-_xlfn.NORM.DIST(Z$2,$D152,$E152,TRUE))</f>
        <v/>
      </c>
      <c r="AA152">
        <f>IF(NOT(ISNUMBER($D152)),"",_xlfn.NORM.DIST(AA$1,$D152,$E152,TRUE)-_xlfn.NORM.DIST(AA$2,$D152,$E152,TRUE))</f>
        <v/>
      </c>
      <c r="AB152">
        <f>IF(NOT(ISNUMBER($D152)),"",_xlfn.NORM.DIST(AB$1,$D152,$E152,TRUE)-_xlfn.NORM.DIST(AB$2,$D152,$E152,TRUE))</f>
        <v/>
      </c>
      <c r="AC152">
        <f>IF(NOT(ISNUMBER($D152)),"",_xlfn.NORM.DIST(AC$1,$D152,$E152,TRUE)-_xlfn.NORM.DIST(AC$2,$D152,$E152,TRUE))</f>
        <v/>
      </c>
      <c r="AD152">
        <f>IF(NOT(ISNUMBER($D152)),"",_xlfn.NORM.DIST(AD$1,$D152,$E152,TRUE)-_xlfn.NORM.DIST(AD$2,$D152,$E152,TRUE))</f>
        <v/>
      </c>
      <c r="AE152">
        <f>IF(NOT(ISNUMBER($D152)),"",_xlfn.NORM.DIST(AE$1,$D152,$E152,TRUE)-_xlfn.NORM.DIST(AE$2,$D152,$E152,TRUE))</f>
        <v/>
      </c>
      <c r="AF152">
        <f>IF(NOT(ISNUMBER($D152)),"",_xlfn.NORM.DIST(AF$1,$D152,$E152,TRUE)-_xlfn.NORM.DIST(AF$2,$D152,$E152,TRUE))</f>
        <v/>
      </c>
      <c r="AG152">
        <f>IF(NOT(ISNUMBER($D152)),"",_xlfn.NORM.DIST(AG$1,$D152,$E152,TRUE)-_xlfn.NORM.DIST(AG$2,$D152,$E152,TRUE))</f>
        <v/>
      </c>
      <c r="AH152">
        <f>IF(NOT(ISNUMBER($D152)),"",_xlfn.NORM.DIST(AH$1,$D152,$E152,TRUE)-_xlfn.NORM.DIST(AH$2,$D152,$E152,TRUE))</f>
        <v/>
      </c>
      <c r="AI152">
        <f>IF(NOT(ISNUMBER($D152)),"",_xlfn.NORM.DIST(AI$1,$D152,$E152,TRUE)-_xlfn.NORM.DIST(AI$2,$D152,$E152,TRUE))</f>
        <v/>
      </c>
      <c r="AJ152">
        <f>IF(NOT(ISNUMBER($D152)),"",_xlfn.NORM.DIST(AJ$1,$D152,$E152,TRUE)-_xlfn.NORM.DIST(AJ$2,$D152,$E152,TRUE))</f>
        <v/>
      </c>
      <c r="AK152">
        <f>IF(NOT(ISNUMBER($D152)),"",_xlfn.NORM.DIST(AK$1,$D152,$E152,TRUE)-_xlfn.NORM.DIST(AK$2,$D152,$E152,TRUE))</f>
        <v/>
      </c>
      <c r="AL152">
        <f>IF(NOT(ISNUMBER($D152)),"",_xlfn.NORM.DIST(AL$1,$D152,$E152,TRUE)-_xlfn.NORM.DIST(AL$2,$D152,$E152,TRUE))</f>
        <v/>
      </c>
      <c r="AM152">
        <f>IF(NOT(ISNUMBER($D152)),"",_xlfn.NORM.DIST(AM$1,$D152,$E152,TRUE)-_xlfn.NORM.DIST(AM$2,$D152,$E152,TRUE))</f>
        <v/>
      </c>
      <c r="AN152">
        <f>IF(NOT(ISNUMBER($D152)),"",_xlfn.NORM.DIST(AN$1,$D152,$E152,TRUE)-_xlfn.NORM.DIST(AN$2,$D152,$E152,TRUE))</f>
        <v/>
      </c>
      <c r="AO152">
        <f>IF(NOT(ISNUMBER($D152)),"",_xlfn.NORM.DIST(AO$1,$D152,$E152,TRUE)-_xlfn.NORM.DIST(AO$2,$D152,$E152,TRUE))</f>
        <v/>
      </c>
      <c r="AP152">
        <f>IF(NOT(ISNUMBER($D152)),"",_xlfn.NORM.DIST(AP$1,$D152,$E152,TRUE)-_xlfn.NORM.DIST(AP$2,$D152,$E152,TRUE))</f>
        <v/>
      </c>
      <c r="AQ152">
        <f>IF(NOT(ISNUMBER($D152)),"",_xlfn.NORM.DIST(AQ$1,$D152,$E152,TRUE)-_xlfn.NORM.DIST(AQ$2,$D152,$E152,TRUE))</f>
        <v/>
      </c>
      <c r="AR152">
        <f>IF(NOT(ISNUMBER($D152)),"",_xlfn.NORM.DIST(AR$1,$D152,$E152,TRUE)-_xlfn.NORM.DIST(AR$2,$D152,$E152,TRUE))</f>
        <v/>
      </c>
      <c r="AS152">
        <f>IF(NOT(ISNUMBER($D152)),"",_xlfn.NORM.DIST(AS$1,$D152,$E152,TRUE)-_xlfn.NORM.DIST(AS$2,$D152,$E152,TRUE))</f>
        <v/>
      </c>
      <c r="AT152">
        <f>IF(NOT(ISNUMBER($D152)),"",_xlfn.NORM.DIST(AT$1,$D152,$E152,TRUE)-_xlfn.NORM.DIST(AT$2,$D152,$E152,TRUE))</f>
        <v/>
      </c>
      <c r="AU152">
        <f>IF(NOT(ISNUMBER($D152)),"",_xlfn.NORM.DIST(AU$1,$D152,$E152,TRUE)-_xlfn.NORM.DIST(AU$2,$D152,$E152,TRUE))</f>
        <v/>
      </c>
      <c r="AV152">
        <f>IF(NOT(ISNUMBER($D152)),"",_xlfn.NORM.DIST(AV$1,$D152,$E152,TRUE)-_xlfn.NORM.DIST(AV$2,$D152,$E152,TRUE))</f>
        <v/>
      </c>
      <c r="AW152">
        <f>IF(NOT(ISNUMBER($D152)),"",_xlfn.NORM.DIST(AW$1,$D152,$E152,TRUE)-_xlfn.NORM.DIST(AW$2,$D152,$E152,TRUE))</f>
        <v/>
      </c>
      <c r="AX152">
        <f>IF(NOT(ISNUMBER($D152)),"",_xlfn.NORM.DIST(AX$1,$D152,$E152,TRUE)-_xlfn.NORM.DIST(AX$2,$D152,$E152,TRUE))</f>
        <v/>
      </c>
      <c r="AY152">
        <f>IF(NOT(ISNUMBER($D152)),"",_xlfn.NORM.DIST(AY$1,$D152,$E152,TRUE)-_xlfn.NORM.DIST(AY$2,$D152,$E152,TRUE))</f>
        <v/>
      </c>
      <c r="AZ152">
        <f>IF(NOT(ISNUMBER($D152)),"",_xlfn.NORM.DIST(AZ$1,$D152,$E152,TRUE)-_xlfn.NORM.DIST(AZ$2,$D152,$E152,TRUE))</f>
        <v/>
      </c>
      <c r="BA152">
        <f>IF(NOT(ISNUMBER($D152)),"",_xlfn.NORM.DIST(BA$1,$D152,$E152,TRUE)-_xlfn.NORM.DIST(BA$2,$D152,$E152,TRUE))</f>
        <v/>
      </c>
      <c r="BB152">
        <f>IF(NOT(ISNUMBER($D152)),"",_xlfn.NORM.DIST(BB$1,$D152,$E152,TRUE)-_xlfn.NORM.DIST(BB$2,$D152,$E152,TRUE))</f>
        <v/>
      </c>
      <c r="BC152">
        <f>IF(NOT(ISNUMBER($D152)),"",_xlfn.NORM.DIST(BC$1,$D152,$E152,TRUE)-_xlfn.NORM.DIST(BC$2,$D152,$E152,TRUE))</f>
        <v/>
      </c>
      <c r="BD152">
        <f>IF(NOT(ISNUMBER($D152)),"",_xlfn.NORM.DIST(BD$1,$D152,$E152,TRUE)-_xlfn.NORM.DIST(BD$2,$D152,$E152,TRUE))</f>
        <v/>
      </c>
      <c r="BE152">
        <f>IF(NOT(ISNUMBER($D152)),"",_xlfn.NORM.DIST(BE$1,$D152,$E152,TRUE)-_xlfn.NORM.DIST(BE$2,$D152,$E152,TRUE))</f>
        <v/>
      </c>
      <c r="BF152">
        <f>IF(NOT(ISNUMBER($D152)),"",_xlfn.NORM.DIST(BF$1,$D152,$E152,TRUE)-_xlfn.NORM.DIST(BF$2,$D152,$E152,TRUE))</f>
        <v/>
      </c>
      <c r="BG152">
        <f>IF(NOT(ISNUMBER($D152)),"",_xlfn.NORM.DIST(BG$1,$D152,$E152,TRUE)-_xlfn.NORM.DIST(BG$2,$D152,$E152,TRUE))</f>
        <v/>
      </c>
      <c r="BH152">
        <f>IF(NOT(ISNUMBER($D152)),"",_xlfn.NORM.DIST(BH$1,$D152,$E152,TRUE)-_xlfn.NORM.DIST(BH$2,$D152,$E152,TRUE))</f>
        <v/>
      </c>
      <c r="BI152">
        <f>IF(NOT(ISNUMBER($D152)),"",_xlfn.NORM.DIST(BI$1,$D152,$E152,TRUE)-_xlfn.NORM.DIST(BI$2,$D152,$E152,TRUE))</f>
        <v/>
      </c>
      <c r="BJ152">
        <f>IF(NOT(ISNUMBER($D152)),"",_xlfn.NORM.DIST(BJ$1,$D152,$E152,TRUE)-_xlfn.NORM.DIST(BJ$2,$D152,$E152,TRUE))</f>
        <v/>
      </c>
      <c r="BK152">
        <f>IF(NOT(ISNUMBER($D152)),"",_xlfn.NORM.DIST(BK$1,$D152,$E152,TRUE)-_xlfn.NORM.DIST(BK$2,$D152,$E152,TRUE))</f>
        <v/>
      </c>
      <c r="BL152">
        <f>IF(NOT(ISNUMBER($D152)),"",_xlfn.NORM.DIST(BL$1,$D152,$E152,TRUE)-_xlfn.NORM.DIST(BL$2,$D152,$E152,TRUE))</f>
        <v/>
      </c>
      <c r="BM152">
        <f>IF(NOT(ISNUMBER($D152)),"",_xlfn.NORM.DIST(BM$1,$D152,$E152,TRUE)-_xlfn.NORM.DIST(BM$2,$D152,$E152,TRUE))</f>
        <v/>
      </c>
      <c r="BN152">
        <f>IF(NOT(ISNUMBER($D152)),"",_xlfn.NORM.DIST(BN$1,$D152,$E152,TRUE)-_xlfn.NORM.DIST(BN$2,$D152,$E152,TRUE))</f>
        <v/>
      </c>
      <c r="BO152">
        <f>IF(NOT(ISNUMBER($D152)),"",_xlfn.NORM.DIST(BO$1,$D152,$E152,TRUE)-_xlfn.NORM.DIST(BO$2,$D152,$E152,TRUE))</f>
        <v/>
      </c>
      <c r="BP152">
        <f>IF(NOT(ISNUMBER($D152)),"",_xlfn.NORM.DIST(BP$1,$D152,$E152,TRUE)-_xlfn.NORM.DIST(BP$2,$D152,$E152,TRUE))</f>
        <v/>
      </c>
      <c r="BQ152">
        <f>IF(NOT(ISNUMBER($D152)),"",_xlfn.NORM.DIST(BQ$1,$D152,$E152,TRUE)-_xlfn.NORM.DIST(BQ$2,$D152,$E152,TRUE))</f>
        <v/>
      </c>
      <c r="BR152">
        <f>IF(NOT(ISNUMBER($D152)),"",_xlfn.NORM.DIST(BR$1,$D152,$E152,TRUE)-_xlfn.NORM.DIST(BR$2,$D152,$E152,TRUE))</f>
        <v/>
      </c>
      <c r="BS152">
        <f>IF(NOT(ISNUMBER($D152)),"",_xlfn.NORM.DIST(BS$1,$D152,$E152,TRUE)-_xlfn.NORM.DIST(BS$2,$D152,$E152,TRUE))</f>
        <v/>
      </c>
      <c r="BT152">
        <f>IF(NOT(ISNUMBER($D152)),"",_xlfn.NORM.DIST(BT$1,$D152,$E152,TRUE)-_xlfn.NORM.DIST(BT$2,$D152,$E152,TRUE))</f>
        <v/>
      </c>
      <c r="BU152">
        <f>IF(NOT(ISNUMBER($D152)),"",_xlfn.NORM.DIST(BU$1,$D152,$E152,TRUE)-_xlfn.NORM.DIST(BU$2,$D152,$E152,TRUE))</f>
        <v/>
      </c>
      <c r="BV152">
        <f>IF(NOT(ISNUMBER($D152)),"",_xlfn.NORM.DIST(BV$1,$D152,$E152,TRUE)-_xlfn.NORM.DIST(BV$2,$D152,$E152,TRUE))</f>
        <v/>
      </c>
      <c r="BW152">
        <f>IF(NOT(ISNUMBER($D152)),"",_xlfn.NORM.DIST(BW$1,$D152,$E152,TRUE)-_xlfn.NORM.DIST(BW$2,$D152,$E152,TRUE))</f>
        <v/>
      </c>
      <c r="BX152">
        <f>IF(NOT(ISNUMBER($D152)),"",_xlfn.NORM.DIST(BX$1,$D152,$E152,TRUE)-_xlfn.NORM.DIST(BX$2,$D152,$E152,TRUE))</f>
        <v/>
      </c>
      <c r="BY152">
        <f>IF(NOT(ISNUMBER($D152)),"",_xlfn.NORM.DIST(BY$1,$D152,$E152,TRUE)-_xlfn.NORM.DIST(BY$2,$D152,$E152,TRUE))</f>
        <v/>
      </c>
      <c r="BZ152">
        <f>IF(NOT(ISNUMBER($D152)),"",_xlfn.NORM.DIST(BZ$1,$D152,$E152,TRUE)-_xlfn.NORM.DIST(BZ$2,$D152,$E152,TRUE))</f>
        <v/>
      </c>
      <c r="CA152">
        <f>IF(NOT(ISNUMBER($D152)),"",_xlfn.NORM.DIST(CA$1,$D152,$E152,TRUE)-_xlfn.NORM.DIST(CA$2,$D152,$E152,TRUE))</f>
        <v/>
      </c>
      <c r="CB152">
        <f>IF(NOT(ISNUMBER($D152)),"",_xlfn.NORM.DIST(CB$1,$D152,$E152,TRUE)-_xlfn.NORM.DIST(CB$2,$D152,$E152,TRUE))</f>
        <v/>
      </c>
      <c r="CC152">
        <f>IF(NOT(ISNUMBER($D152)),"",_xlfn.NORM.DIST(CC$1,$D152,$E152,TRUE)-_xlfn.NORM.DIST(CC$2,$D152,$E152,TRUE))</f>
        <v/>
      </c>
      <c r="CD152">
        <f>IF(NOT(ISNUMBER($D152)),"",_xlfn.NORM.DIST(CD$1,$D152,$E152,TRUE)-_xlfn.NORM.DIST(CD$2,$D152,$E152,TRUE))</f>
        <v/>
      </c>
      <c r="CE152">
        <f>IF(NOT(ISNUMBER($D152)),"",_xlfn.NORM.DIST(CE$1,$D152,$E152,TRUE)-_xlfn.NORM.DIST(CE$2,$D152,$E152,TRUE))</f>
        <v/>
      </c>
      <c r="CF152">
        <f>IF(NOT(ISNUMBER($D152)),"",_xlfn.NORM.DIST(CF$1,$D152,$E152,TRUE)-_xlfn.NORM.DIST(CF$2,$D152,$E152,TRUE))</f>
        <v/>
      </c>
      <c r="CG152">
        <f>IF(NOT(ISNUMBER($D152)),"",_xlfn.NORM.DIST(CG$1,$D152,$E152,TRUE)-_xlfn.NORM.DIST(CG$2,$D152,$E152,TRUE))</f>
        <v/>
      </c>
      <c r="CH152">
        <f>IF(NOT(ISNUMBER($D152)),"",_xlfn.NORM.DIST(CH$1,$D152,$E152,TRUE)-_xlfn.NORM.DIST(CH$2,$D152,$E152,TRUE))</f>
        <v/>
      </c>
      <c r="CI152">
        <f>IF(NOT(ISNUMBER($D152)),"",_xlfn.NORM.DIST(CI$1,$D152,$E152,TRUE)-_xlfn.NORM.DIST(CI$2,$D152,$E152,TRUE))</f>
        <v/>
      </c>
      <c r="CJ152">
        <f>IF(ISNUMBER($D152),SUM(F152:CI152),"")</f>
        <v/>
      </c>
    </row>
    <row r="153">
      <c r="A153">
        <f>economics!A152</f>
        <v/>
      </c>
      <c r="B153">
        <f>economics!B152</f>
        <v/>
      </c>
      <c r="C153">
        <f>economics!D152</f>
        <v/>
      </c>
      <c r="D153">
        <f>IF(ISNUMBER(economics!T152),economics!T152,"na")</f>
        <v/>
      </c>
      <c r="E153">
        <f>IF(ISNUMBER(D153),MAX(0.3*ABS(D153),0.000001),"na")</f>
        <v/>
      </c>
      <c r="F153">
        <f>IF(NOT(ISNUMBER($D153)),"",_xlfn.NORM.DIST(F$1,$D153,$E153,TRUE)-_xlfn.NORM.DIST(F$2,$D153,$E153,TRUE))</f>
        <v/>
      </c>
      <c r="G153">
        <f>IF(NOT(ISNUMBER($D153)),"",_xlfn.NORM.DIST(G$1,$D153,$E153,TRUE)-_xlfn.NORM.DIST(G$2,$D153,$E153,TRUE))</f>
        <v/>
      </c>
      <c r="H153">
        <f>IF(NOT(ISNUMBER($D153)),"",_xlfn.NORM.DIST(H$1,$D153,$E153,TRUE)-_xlfn.NORM.DIST(H$2,$D153,$E153,TRUE))</f>
        <v/>
      </c>
      <c r="I153">
        <f>IF(NOT(ISNUMBER($D153)),"",_xlfn.NORM.DIST(I$1,$D153,$E153,TRUE)-_xlfn.NORM.DIST(I$2,$D153,$E153,TRUE))</f>
        <v/>
      </c>
      <c r="J153">
        <f>IF(NOT(ISNUMBER($D153)),"",_xlfn.NORM.DIST(J$1,$D153,$E153,TRUE)-_xlfn.NORM.DIST(J$2,$D153,$E153,TRUE))</f>
        <v/>
      </c>
      <c r="K153">
        <f>IF(NOT(ISNUMBER($D153)),"",_xlfn.NORM.DIST(K$1,$D153,$E153,TRUE)-_xlfn.NORM.DIST(K$2,$D153,$E153,TRUE))</f>
        <v/>
      </c>
      <c r="L153">
        <f>IF(NOT(ISNUMBER($D153)),"",_xlfn.NORM.DIST(L$1,$D153,$E153,TRUE)-_xlfn.NORM.DIST(L$2,$D153,$E153,TRUE))</f>
        <v/>
      </c>
      <c r="M153">
        <f>IF(NOT(ISNUMBER($D153)),"",_xlfn.NORM.DIST(M$1,$D153,$E153,TRUE)-_xlfn.NORM.DIST(M$2,$D153,$E153,TRUE))</f>
        <v/>
      </c>
      <c r="N153">
        <f>IF(NOT(ISNUMBER($D153)),"",_xlfn.NORM.DIST(N$1,$D153,$E153,TRUE)-_xlfn.NORM.DIST(N$2,$D153,$E153,TRUE))</f>
        <v/>
      </c>
      <c r="O153">
        <f>IF(NOT(ISNUMBER($D153)),"",_xlfn.NORM.DIST(O$1,$D153,$E153,TRUE)-_xlfn.NORM.DIST(O$2,$D153,$E153,TRUE))</f>
        <v/>
      </c>
      <c r="P153">
        <f>IF(NOT(ISNUMBER($D153)),"",_xlfn.NORM.DIST(P$1,$D153,$E153,TRUE)-_xlfn.NORM.DIST(P$2,$D153,$E153,TRUE))</f>
        <v/>
      </c>
      <c r="Q153">
        <f>IF(NOT(ISNUMBER($D153)),"",_xlfn.NORM.DIST(Q$1,$D153,$E153,TRUE)-_xlfn.NORM.DIST(Q$2,$D153,$E153,TRUE))</f>
        <v/>
      </c>
      <c r="R153">
        <f>IF(NOT(ISNUMBER($D153)),"",_xlfn.NORM.DIST(R$1,$D153,$E153,TRUE)-_xlfn.NORM.DIST(R$2,$D153,$E153,TRUE))</f>
        <v/>
      </c>
      <c r="S153">
        <f>IF(NOT(ISNUMBER($D153)),"",_xlfn.NORM.DIST(S$1,$D153,$E153,TRUE)-_xlfn.NORM.DIST(S$2,$D153,$E153,TRUE))</f>
        <v/>
      </c>
      <c r="T153">
        <f>IF(NOT(ISNUMBER($D153)),"",_xlfn.NORM.DIST(T$1,$D153,$E153,TRUE)-_xlfn.NORM.DIST(T$2,$D153,$E153,TRUE))</f>
        <v/>
      </c>
      <c r="U153">
        <f>IF(NOT(ISNUMBER($D153)),"",_xlfn.NORM.DIST(U$1,$D153,$E153,TRUE)-_xlfn.NORM.DIST(U$2,$D153,$E153,TRUE))</f>
        <v/>
      </c>
      <c r="V153">
        <f>IF(NOT(ISNUMBER($D153)),"",_xlfn.NORM.DIST(V$1,$D153,$E153,TRUE)-_xlfn.NORM.DIST(V$2,$D153,$E153,TRUE))</f>
        <v/>
      </c>
      <c r="W153">
        <f>IF(NOT(ISNUMBER($D153)),"",_xlfn.NORM.DIST(W$1,$D153,$E153,TRUE)-_xlfn.NORM.DIST(W$2,$D153,$E153,TRUE))</f>
        <v/>
      </c>
      <c r="X153">
        <f>IF(NOT(ISNUMBER($D153)),"",_xlfn.NORM.DIST(X$1,$D153,$E153,TRUE)-_xlfn.NORM.DIST(X$2,$D153,$E153,TRUE))</f>
        <v/>
      </c>
      <c r="Y153">
        <f>IF(NOT(ISNUMBER($D153)),"",_xlfn.NORM.DIST(Y$1,$D153,$E153,TRUE)-_xlfn.NORM.DIST(Y$2,$D153,$E153,TRUE))</f>
        <v/>
      </c>
      <c r="Z153">
        <f>IF(NOT(ISNUMBER($D153)),"",_xlfn.NORM.DIST(Z$1,$D153,$E153,TRUE)-_xlfn.NORM.DIST(Z$2,$D153,$E153,TRUE))</f>
        <v/>
      </c>
      <c r="AA153">
        <f>IF(NOT(ISNUMBER($D153)),"",_xlfn.NORM.DIST(AA$1,$D153,$E153,TRUE)-_xlfn.NORM.DIST(AA$2,$D153,$E153,TRUE))</f>
        <v/>
      </c>
      <c r="AB153">
        <f>IF(NOT(ISNUMBER($D153)),"",_xlfn.NORM.DIST(AB$1,$D153,$E153,TRUE)-_xlfn.NORM.DIST(AB$2,$D153,$E153,TRUE))</f>
        <v/>
      </c>
      <c r="AC153">
        <f>IF(NOT(ISNUMBER($D153)),"",_xlfn.NORM.DIST(AC$1,$D153,$E153,TRUE)-_xlfn.NORM.DIST(AC$2,$D153,$E153,TRUE))</f>
        <v/>
      </c>
      <c r="AD153">
        <f>IF(NOT(ISNUMBER($D153)),"",_xlfn.NORM.DIST(AD$1,$D153,$E153,TRUE)-_xlfn.NORM.DIST(AD$2,$D153,$E153,TRUE))</f>
        <v/>
      </c>
      <c r="AE153">
        <f>IF(NOT(ISNUMBER($D153)),"",_xlfn.NORM.DIST(AE$1,$D153,$E153,TRUE)-_xlfn.NORM.DIST(AE$2,$D153,$E153,TRUE))</f>
        <v/>
      </c>
      <c r="AF153">
        <f>IF(NOT(ISNUMBER($D153)),"",_xlfn.NORM.DIST(AF$1,$D153,$E153,TRUE)-_xlfn.NORM.DIST(AF$2,$D153,$E153,TRUE))</f>
        <v/>
      </c>
      <c r="AG153">
        <f>IF(NOT(ISNUMBER($D153)),"",_xlfn.NORM.DIST(AG$1,$D153,$E153,TRUE)-_xlfn.NORM.DIST(AG$2,$D153,$E153,TRUE))</f>
        <v/>
      </c>
      <c r="AH153">
        <f>IF(NOT(ISNUMBER($D153)),"",_xlfn.NORM.DIST(AH$1,$D153,$E153,TRUE)-_xlfn.NORM.DIST(AH$2,$D153,$E153,TRUE))</f>
        <v/>
      </c>
      <c r="AI153">
        <f>IF(NOT(ISNUMBER($D153)),"",_xlfn.NORM.DIST(AI$1,$D153,$E153,TRUE)-_xlfn.NORM.DIST(AI$2,$D153,$E153,TRUE))</f>
        <v/>
      </c>
      <c r="AJ153">
        <f>IF(NOT(ISNUMBER($D153)),"",_xlfn.NORM.DIST(AJ$1,$D153,$E153,TRUE)-_xlfn.NORM.DIST(AJ$2,$D153,$E153,TRUE))</f>
        <v/>
      </c>
      <c r="AK153">
        <f>IF(NOT(ISNUMBER($D153)),"",_xlfn.NORM.DIST(AK$1,$D153,$E153,TRUE)-_xlfn.NORM.DIST(AK$2,$D153,$E153,TRUE))</f>
        <v/>
      </c>
      <c r="AL153">
        <f>IF(NOT(ISNUMBER($D153)),"",_xlfn.NORM.DIST(AL$1,$D153,$E153,TRUE)-_xlfn.NORM.DIST(AL$2,$D153,$E153,TRUE))</f>
        <v/>
      </c>
      <c r="AM153">
        <f>IF(NOT(ISNUMBER($D153)),"",_xlfn.NORM.DIST(AM$1,$D153,$E153,TRUE)-_xlfn.NORM.DIST(AM$2,$D153,$E153,TRUE))</f>
        <v/>
      </c>
      <c r="AN153">
        <f>IF(NOT(ISNUMBER($D153)),"",_xlfn.NORM.DIST(AN$1,$D153,$E153,TRUE)-_xlfn.NORM.DIST(AN$2,$D153,$E153,TRUE))</f>
        <v/>
      </c>
      <c r="AO153">
        <f>IF(NOT(ISNUMBER($D153)),"",_xlfn.NORM.DIST(AO$1,$D153,$E153,TRUE)-_xlfn.NORM.DIST(AO$2,$D153,$E153,TRUE))</f>
        <v/>
      </c>
      <c r="AP153">
        <f>IF(NOT(ISNUMBER($D153)),"",_xlfn.NORM.DIST(AP$1,$D153,$E153,TRUE)-_xlfn.NORM.DIST(AP$2,$D153,$E153,TRUE))</f>
        <v/>
      </c>
      <c r="AQ153">
        <f>IF(NOT(ISNUMBER($D153)),"",_xlfn.NORM.DIST(AQ$1,$D153,$E153,TRUE)-_xlfn.NORM.DIST(AQ$2,$D153,$E153,TRUE))</f>
        <v/>
      </c>
      <c r="AR153">
        <f>IF(NOT(ISNUMBER($D153)),"",_xlfn.NORM.DIST(AR$1,$D153,$E153,TRUE)-_xlfn.NORM.DIST(AR$2,$D153,$E153,TRUE))</f>
        <v/>
      </c>
      <c r="AS153">
        <f>IF(NOT(ISNUMBER($D153)),"",_xlfn.NORM.DIST(AS$1,$D153,$E153,TRUE)-_xlfn.NORM.DIST(AS$2,$D153,$E153,TRUE))</f>
        <v/>
      </c>
      <c r="AT153">
        <f>IF(NOT(ISNUMBER($D153)),"",_xlfn.NORM.DIST(AT$1,$D153,$E153,TRUE)-_xlfn.NORM.DIST(AT$2,$D153,$E153,TRUE))</f>
        <v/>
      </c>
      <c r="AU153">
        <f>IF(NOT(ISNUMBER($D153)),"",_xlfn.NORM.DIST(AU$1,$D153,$E153,TRUE)-_xlfn.NORM.DIST(AU$2,$D153,$E153,TRUE))</f>
        <v/>
      </c>
      <c r="AV153">
        <f>IF(NOT(ISNUMBER($D153)),"",_xlfn.NORM.DIST(AV$1,$D153,$E153,TRUE)-_xlfn.NORM.DIST(AV$2,$D153,$E153,TRUE))</f>
        <v/>
      </c>
      <c r="AW153">
        <f>IF(NOT(ISNUMBER($D153)),"",_xlfn.NORM.DIST(AW$1,$D153,$E153,TRUE)-_xlfn.NORM.DIST(AW$2,$D153,$E153,TRUE))</f>
        <v/>
      </c>
      <c r="AX153">
        <f>IF(NOT(ISNUMBER($D153)),"",_xlfn.NORM.DIST(AX$1,$D153,$E153,TRUE)-_xlfn.NORM.DIST(AX$2,$D153,$E153,TRUE))</f>
        <v/>
      </c>
      <c r="AY153">
        <f>IF(NOT(ISNUMBER($D153)),"",_xlfn.NORM.DIST(AY$1,$D153,$E153,TRUE)-_xlfn.NORM.DIST(AY$2,$D153,$E153,TRUE))</f>
        <v/>
      </c>
      <c r="AZ153">
        <f>IF(NOT(ISNUMBER($D153)),"",_xlfn.NORM.DIST(AZ$1,$D153,$E153,TRUE)-_xlfn.NORM.DIST(AZ$2,$D153,$E153,TRUE))</f>
        <v/>
      </c>
      <c r="BA153">
        <f>IF(NOT(ISNUMBER($D153)),"",_xlfn.NORM.DIST(BA$1,$D153,$E153,TRUE)-_xlfn.NORM.DIST(BA$2,$D153,$E153,TRUE))</f>
        <v/>
      </c>
      <c r="BB153">
        <f>IF(NOT(ISNUMBER($D153)),"",_xlfn.NORM.DIST(BB$1,$D153,$E153,TRUE)-_xlfn.NORM.DIST(BB$2,$D153,$E153,TRUE))</f>
        <v/>
      </c>
      <c r="BC153">
        <f>IF(NOT(ISNUMBER($D153)),"",_xlfn.NORM.DIST(BC$1,$D153,$E153,TRUE)-_xlfn.NORM.DIST(BC$2,$D153,$E153,TRUE))</f>
        <v/>
      </c>
      <c r="BD153">
        <f>IF(NOT(ISNUMBER($D153)),"",_xlfn.NORM.DIST(BD$1,$D153,$E153,TRUE)-_xlfn.NORM.DIST(BD$2,$D153,$E153,TRUE))</f>
        <v/>
      </c>
      <c r="BE153">
        <f>IF(NOT(ISNUMBER($D153)),"",_xlfn.NORM.DIST(BE$1,$D153,$E153,TRUE)-_xlfn.NORM.DIST(BE$2,$D153,$E153,TRUE))</f>
        <v/>
      </c>
      <c r="BF153">
        <f>IF(NOT(ISNUMBER($D153)),"",_xlfn.NORM.DIST(BF$1,$D153,$E153,TRUE)-_xlfn.NORM.DIST(BF$2,$D153,$E153,TRUE))</f>
        <v/>
      </c>
      <c r="BG153">
        <f>IF(NOT(ISNUMBER($D153)),"",_xlfn.NORM.DIST(BG$1,$D153,$E153,TRUE)-_xlfn.NORM.DIST(BG$2,$D153,$E153,TRUE))</f>
        <v/>
      </c>
      <c r="BH153">
        <f>IF(NOT(ISNUMBER($D153)),"",_xlfn.NORM.DIST(BH$1,$D153,$E153,TRUE)-_xlfn.NORM.DIST(BH$2,$D153,$E153,TRUE))</f>
        <v/>
      </c>
      <c r="BI153">
        <f>IF(NOT(ISNUMBER($D153)),"",_xlfn.NORM.DIST(BI$1,$D153,$E153,TRUE)-_xlfn.NORM.DIST(BI$2,$D153,$E153,TRUE))</f>
        <v/>
      </c>
      <c r="BJ153">
        <f>IF(NOT(ISNUMBER($D153)),"",_xlfn.NORM.DIST(BJ$1,$D153,$E153,TRUE)-_xlfn.NORM.DIST(BJ$2,$D153,$E153,TRUE))</f>
        <v/>
      </c>
      <c r="BK153">
        <f>IF(NOT(ISNUMBER($D153)),"",_xlfn.NORM.DIST(BK$1,$D153,$E153,TRUE)-_xlfn.NORM.DIST(BK$2,$D153,$E153,TRUE))</f>
        <v/>
      </c>
      <c r="BL153">
        <f>IF(NOT(ISNUMBER($D153)),"",_xlfn.NORM.DIST(BL$1,$D153,$E153,TRUE)-_xlfn.NORM.DIST(BL$2,$D153,$E153,TRUE))</f>
        <v/>
      </c>
      <c r="BM153">
        <f>IF(NOT(ISNUMBER($D153)),"",_xlfn.NORM.DIST(BM$1,$D153,$E153,TRUE)-_xlfn.NORM.DIST(BM$2,$D153,$E153,TRUE))</f>
        <v/>
      </c>
      <c r="BN153">
        <f>IF(NOT(ISNUMBER($D153)),"",_xlfn.NORM.DIST(BN$1,$D153,$E153,TRUE)-_xlfn.NORM.DIST(BN$2,$D153,$E153,TRUE))</f>
        <v/>
      </c>
      <c r="BO153">
        <f>IF(NOT(ISNUMBER($D153)),"",_xlfn.NORM.DIST(BO$1,$D153,$E153,TRUE)-_xlfn.NORM.DIST(BO$2,$D153,$E153,TRUE))</f>
        <v/>
      </c>
      <c r="BP153">
        <f>IF(NOT(ISNUMBER($D153)),"",_xlfn.NORM.DIST(BP$1,$D153,$E153,TRUE)-_xlfn.NORM.DIST(BP$2,$D153,$E153,TRUE))</f>
        <v/>
      </c>
      <c r="BQ153">
        <f>IF(NOT(ISNUMBER($D153)),"",_xlfn.NORM.DIST(BQ$1,$D153,$E153,TRUE)-_xlfn.NORM.DIST(BQ$2,$D153,$E153,TRUE))</f>
        <v/>
      </c>
      <c r="BR153">
        <f>IF(NOT(ISNUMBER($D153)),"",_xlfn.NORM.DIST(BR$1,$D153,$E153,TRUE)-_xlfn.NORM.DIST(BR$2,$D153,$E153,TRUE))</f>
        <v/>
      </c>
      <c r="BS153">
        <f>IF(NOT(ISNUMBER($D153)),"",_xlfn.NORM.DIST(BS$1,$D153,$E153,TRUE)-_xlfn.NORM.DIST(BS$2,$D153,$E153,TRUE))</f>
        <v/>
      </c>
      <c r="BT153">
        <f>IF(NOT(ISNUMBER($D153)),"",_xlfn.NORM.DIST(BT$1,$D153,$E153,TRUE)-_xlfn.NORM.DIST(BT$2,$D153,$E153,TRUE))</f>
        <v/>
      </c>
      <c r="BU153">
        <f>IF(NOT(ISNUMBER($D153)),"",_xlfn.NORM.DIST(BU$1,$D153,$E153,TRUE)-_xlfn.NORM.DIST(BU$2,$D153,$E153,TRUE))</f>
        <v/>
      </c>
      <c r="BV153">
        <f>IF(NOT(ISNUMBER($D153)),"",_xlfn.NORM.DIST(BV$1,$D153,$E153,TRUE)-_xlfn.NORM.DIST(BV$2,$D153,$E153,TRUE))</f>
        <v/>
      </c>
      <c r="BW153">
        <f>IF(NOT(ISNUMBER($D153)),"",_xlfn.NORM.DIST(BW$1,$D153,$E153,TRUE)-_xlfn.NORM.DIST(BW$2,$D153,$E153,TRUE))</f>
        <v/>
      </c>
      <c r="BX153">
        <f>IF(NOT(ISNUMBER($D153)),"",_xlfn.NORM.DIST(BX$1,$D153,$E153,TRUE)-_xlfn.NORM.DIST(BX$2,$D153,$E153,TRUE))</f>
        <v/>
      </c>
      <c r="BY153">
        <f>IF(NOT(ISNUMBER($D153)),"",_xlfn.NORM.DIST(BY$1,$D153,$E153,TRUE)-_xlfn.NORM.DIST(BY$2,$D153,$E153,TRUE))</f>
        <v/>
      </c>
      <c r="BZ153">
        <f>IF(NOT(ISNUMBER($D153)),"",_xlfn.NORM.DIST(BZ$1,$D153,$E153,TRUE)-_xlfn.NORM.DIST(BZ$2,$D153,$E153,TRUE))</f>
        <v/>
      </c>
      <c r="CA153">
        <f>IF(NOT(ISNUMBER($D153)),"",_xlfn.NORM.DIST(CA$1,$D153,$E153,TRUE)-_xlfn.NORM.DIST(CA$2,$D153,$E153,TRUE))</f>
        <v/>
      </c>
      <c r="CB153">
        <f>IF(NOT(ISNUMBER($D153)),"",_xlfn.NORM.DIST(CB$1,$D153,$E153,TRUE)-_xlfn.NORM.DIST(CB$2,$D153,$E153,TRUE))</f>
        <v/>
      </c>
      <c r="CC153">
        <f>IF(NOT(ISNUMBER($D153)),"",_xlfn.NORM.DIST(CC$1,$D153,$E153,TRUE)-_xlfn.NORM.DIST(CC$2,$D153,$E153,TRUE))</f>
        <v/>
      </c>
      <c r="CD153">
        <f>IF(NOT(ISNUMBER($D153)),"",_xlfn.NORM.DIST(CD$1,$D153,$E153,TRUE)-_xlfn.NORM.DIST(CD$2,$D153,$E153,TRUE))</f>
        <v/>
      </c>
      <c r="CE153">
        <f>IF(NOT(ISNUMBER($D153)),"",_xlfn.NORM.DIST(CE$1,$D153,$E153,TRUE)-_xlfn.NORM.DIST(CE$2,$D153,$E153,TRUE))</f>
        <v/>
      </c>
      <c r="CF153">
        <f>IF(NOT(ISNUMBER($D153)),"",_xlfn.NORM.DIST(CF$1,$D153,$E153,TRUE)-_xlfn.NORM.DIST(CF$2,$D153,$E153,TRUE))</f>
        <v/>
      </c>
      <c r="CG153">
        <f>IF(NOT(ISNUMBER($D153)),"",_xlfn.NORM.DIST(CG$1,$D153,$E153,TRUE)-_xlfn.NORM.DIST(CG$2,$D153,$E153,TRUE))</f>
        <v/>
      </c>
      <c r="CH153">
        <f>IF(NOT(ISNUMBER($D153)),"",_xlfn.NORM.DIST(CH$1,$D153,$E153,TRUE)-_xlfn.NORM.DIST(CH$2,$D153,$E153,TRUE))</f>
        <v/>
      </c>
      <c r="CI153">
        <f>IF(NOT(ISNUMBER($D153)),"",_xlfn.NORM.DIST(CI$1,$D153,$E153,TRUE)-_xlfn.NORM.DIST(CI$2,$D153,$E153,TRUE))</f>
        <v/>
      </c>
      <c r="CJ153">
        <f>IF(ISNUMBER($D153),SUM(F153:CI153),"")</f>
        <v/>
      </c>
    </row>
    <row r="154">
      <c r="A154">
        <f>economics!A153</f>
        <v/>
      </c>
      <c r="B154">
        <f>economics!B153</f>
        <v/>
      </c>
      <c r="C154">
        <f>economics!D153</f>
        <v/>
      </c>
      <c r="D154">
        <f>IF(ISNUMBER(economics!T153),economics!T153,"na")</f>
        <v/>
      </c>
      <c r="E154">
        <f>IF(ISNUMBER(D154),MAX(0.3*ABS(D154),0.000001),"na")</f>
        <v/>
      </c>
      <c r="F154">
        <f>IF(NOT(ISNUMBER($D154)),"",_xlfn.NORM.DIST(F$1,$D154,$E154,TRUE)-_xlfn.NORM.DIST(F$2,$D154,$E154,TRUE))</f>
        <v/>
      </c>
      <c r="G154">
        <f>IF(NOT(ISNUMBER($D154)),"",_xlfn.NORM.DIST(G$1,$D154,$E154,TRUE)-_xlfn.NORM.DIST(G$2,$D154,$E154,TRUE))</f>
        <v/>
      </c>
      <c r="H154">
        <f>IF(NOT(ISNUMBER($D154)),"",_xlfn.NORM.DIST(H$1,$D154,$E154,TRUE)-_xlfn.NORM.DIST(H$2,$D154,$E154,TRUE))</f>
        <v/>
      </c>
      <c r="I154">
        <f>IF(NOT(ISNUMBER($D154)),"",_xlfn.NORM.DIST(I$1,$D154,$E154,TRUE)-_xlfn.NORM.DIST(I$2,$D154,$E154,TRUE))</f>
        <v/>
      </c>
      <c r="J154">
        <f>IF(NOT(ISNUMBER($D154)),"",_xlfn.NORM.DIST(J$1,$D154,$E154,TRUE)-_xlfn.NORM.DIST(J$2,$D154,$E154,TRUE))</f>
        <v/>
      </c>
      <c r="K154">
        <f>IF(NOT(ISNUMBER($D154)),"",_xlfn.NORM.DIST(K$1,$D154,$E154,TRUE)-_xlfn.NORM.DIST(K$2,$D154,$E154,TRUE))</f>
        <v/>
      </c>
      <c r="L154">
        <f>IF(NOT(ISNUMBER($D154)),"",_xlfn.NORM.DIST(L$1,$D154,$E154,TRUE)-_xlfn.NORM.DIST(L$2,$D154,$E154,TRUE))</f>
        <v/>
      </c>
      <c r="M154">
        <f>IF(NOT(ISNUMBER($D154)),"",_xlfn.NORM.DIST(M$1,$D154,$E154,TRUE)-_xlfn.NORM.DIST(M$2,$D154,$E154,TRUE))</f>
        <v/>
      </c>
      <c r="N154">
        <f>IF(NOT(ISNUMBER($D154)),"",_xlfn.NORM.DIST(N$1,$D154,$E154,TRUE)-_xlfn.NORM.DIST(N$2,$D154,$E154,TRUE))</f>
        <v/>
      </c>
      <c r="O154">
        <f>IF(NOT(ISNUMBER($D154)),"",_xlfn.NORM.DIST(O$1,$D154,$E154,TRUE)-_xlfn.NORM.DIST(O$2,$D154,$E154,TRUE))</f>
        <v/>
      </c>
      <c r="P154">
        <f>IF(NOT(ISNUMBER($D154)),"",_xlfn.NORM.DIST(P$1,$D154,$E154,TRUE)-_xlfn.NORM.DIST(P$2,$D154,$E154,TRUE))</f>
        <v/>
      </c>
      <c r="Q154">
        <f>IF(NOT(ISNUMBER($D154)),"",_xlfn.NORM.DIST(Q$1,$D154,$E154,TRUE)-_xlfn.NORM.DIST(Q$2,$D154,$E154,TRUE))</f>
        <v/>
      </c>
      <c r="R154">
        <f>IF(NOT(ISNUMBER($D154)),"",_xlfn.NORM.DIST(R$1,$D154,$E154,TRUE)-_xlfn.NORM.DIST(R$2,$D154,$E154,TRUE))</f>
        <v/>
      </c>
      <c r="S154">
        <f>IF(NOT(ISNUMBER($D154)),"",_xlfn.NORM.DIST(S$1,$D154,$E154,TRUE)-_xlfn.NORM.DIST(S$2,$D154,$E154,TRUE))</f>
        <v/>
      </c>
      <c r="T154">
        <f>IF(NOT(ISNUMBER($D154)),"",_xlfn.NORM.DIST(T$1,$D154,$E154,TRUE)-_xlfn.NORM.DIST(T$2,$D154,$E154,TRUE))</f>
        <v/>
      </c>
      <c r="U154">
        <f>IF(NOT(ISNUMBER($D154)),"",_xlfn.NORM.DIST(U$1,$D154,$E154,TRUE)-_xlfn.NORM.DIST(U$2,$D154,$E154,TRUE))</f>
        <v/>
      </c>
      <c r="V154">
        <f>IF(NOT(ISNUMBER($D154)),"",_xlfn.NORM.DIST(V$1,$D154,$E154,TRUE)-_xlfn.NORM.DIST(V$2,$D154,$E154,TRUE))</f>
        <v/>
      </c>
      <c r="W154">
        <f>IF(NOT(ISNUMBER($D154)),"",_xlfn.NORM.DIST(W$1,$D154,$E154,TRUE)-_xlfn.NORM.DIST(W$2,$D154,$E154,TRUE))</f>
        <v/>
      </c>
      <c r="X154">
        <f>IF(NOT(ISNUMBER($D154)),"",_xlfn.NORM.DIST(X$1,$D154,$E154,TRUE)-_xlfn.NORM.DIST(X$2,$D154,$E154,TRUE))</f>
        <v/>
      </c>
      <c r="Y154">
        <f>IF(NOT(ISNUMBER($D154)),"",_xlfn.NORM.DIST(Y$1,$D154,$E154,TRUE)-_xlfn.NORM.DIST(Y$2,$D154,$E154,TRUE))</f>
        <v/>
      </c>
      <c r="Z154">
        <f>IF(NOT(ISNUMBER($D154)),"",_xlfn.NORM.DIST(Z$1,$D154,$E154,TRUE)-_xlfn.NORM.DIST(Z$2,$D154,$E154,TRUE))</f>
        <v/>
      </c>
      <c r="AA154">
        <f>IF(NOT(ISNUMBER($D154)),"",_xlfn.NORM.DIST(AA$1,$D154,$E154,TRUE)-_xlfn.NORM.DIST(AA$2,$D154,$E154,TRUE))</f>
        <v/>
      </c>
      <c r="AB154">
        <f>IF(NOT(ISNUMBER($D154)),"",_xlfn.NORM.DIST(AB$1,$D154,$E154,TRUE)-_xlfn.NORM.DIST(AB$2,$D154,$E154,TRUE))</f>
        <v/>
      </c>
      <c r="AC154">
        <f>IF(NOT(ISNUMBER($D154)),"",_xlfn.NORM.DIST(AC$1,$D154,$E154,TRUE)-_xlfn.NORM.DIST(AC$2,$D154,$E154,TRUE))</f>
        <v/>
      </c>
      <c r="AD154">
        <f>IF(NOT(ISNUMBER($D154)),"",_xlfn.NORM.DIST(AD$1,$D154,$E154,TRUE)-_xlfn.NORM.DIST(AD$2,$D154,$E154,TRUE))</f>
        <v/>
      </c>
      <c r="AE154">
        <f>IF(NOT(ISNUMBER($D154)),"",_xlfn.NORM.DIST(AE$1,$D154,$E154,TRUE)-_xlfn.NORM.DIST(AE$2,$D154,$E154,TRUE))</f>
        <v/>
      </c>
      <c r="AF154">
        <f>IF(NOT(ISNUMBER($D154)),"",_xlfn.NORM.DIST(AF$1,$D154,$E154,TRUE)-_xlfn.NORM.DIST(AF$2,$D154,$E154,TRUE))</f>
        <v/>
      </c>
      <c r="AG154">
        <f>IF(NOT(ISNUMBER($D154)),"",_xlfn.NORM.DIST(AG$1,$D154,$E154,TRUE)-_xlfn.NORM.DIST(AG$2,$D154,$E154,TRUE))</f>
        <v/>
      </c>
      <c r="AH154">
        <f>IF(NOT(ISNUMBER($D154)),"",_xlfn.NORM.DIST(AH$1,$D154,$E154,TRUE)-_xlfn.NORM.DIST(AH$2,$D154,$E154,TRUE))</f>
        <v/>
      </c>
      <c r="AI154">
        <f>IF(NOT(ISNUMBER($D154)),"",_xlfn.NORM.DIST(AI$1,$D154,$E154,TRUE)-_xlfn.NORM.DIST(AI$2,$D154,$E154,TRUE))</f>
        <v/>
      </c>
      <c r="AJ154">
        <f>IF(NOT(ISNUMBER($D154)),"",_xlfn.NORM.DIST(AJ$1,$D154,$E154,TRUE)-_xlfn.NORM.DIST(AJ$2,$D154,$E154,TRUE))</f>
        <v/>
      </c>
      <c r="AK154">
        <f>IF(NOT(ISNUMBER($D154)),"",_xlfn.NORM.DIST(AK$1,$D154,$E154,TRUE)-_xlfn.NORM.DIST(AK$2,$D154,$E154,TRUE))</f>
        <v/>
      </c>
      <c r="AL154">
        <f>IF(NOT(ISNUMBER($D154)),"",_xlfn.NORM.DIST(AL$1,$D154,$E154,TRUE)-_xlfn.NORM.DIST(AL$2,$D154,$E154,TRUE))</f>
        <v/>
      </c>
      <c r="AM154">
        <f>IF(NOT(ISNUMBER($D154)),"",_xlfn.NORM.DIST(AM$1,$D154,$E154,TRUE)-_xlfn.NORM.DIST(AM$2,$D154,$E154,TRUE))</f>
        <v/>
      </c>
      <c r="AN154">
        <f>IF(NOT(ISNUMBER($D154)),"",_xlfn.NORM.DIST(AN$1,$D154,$E154,TRUE)-_xlfn.NORM.DIST(AN$2,$D154,$E154,TRUE))</f>
        <v/>
      </c>
      <c r="AO154">
        <f>IF(NOT(ISNUMBER($D154)),"",_xlfn.NORM.DIST(AO$1,$D154,$E154,TRUE)-_xlfn.NORM.DIST(AO$2,$D154,$E154,TRUE))</f>
        <v/>
      </c>
      <c r="AP154">
        <f>IF(NOT(ISNUMBER($D154)),"",_xlfn.NORM.DIST(AP$1,$D154,$E154,TRUE)-_xlfn.NORM.DIST(AP$2,$D154,$E154,TRUE))</f>
        <v/>
      </c>
      <c r="AQ154">
        <f>IF(NOT(ISNUMBER($D154)),"",_xlfn.NORM.DIST(AQ$1,$D154,$E154,TRUE)-_xlfn.NORM.DIST(AQ$2,$D154,$E154,TRUE))</f>
        <v/>
      </c>
      <c r="AR154">
        <f>IF(NOT(ISNUMBER($D154)),"",_xlfn.NORM.DIST(AR$1,$D154,$E154,TRUE)-_xlfn.NORM.DIST(AR$2,$D154,$E154,TRUE))</f>
        <v/>
      </c>
      <c r="AS154">
        <f>IF(NOT(ISNUMBER($D154)),"",_xlfn.NORM.DIST(AS$1,$D154,$E154,TRUE)-_xlfn.NORM.DIST(AS$2,$D154,$E154,TRUE))</f>
        <v/>
      </c>
      <c r="AT154">
        <f>IF(NOT(ISNUMBER($D154)),"",_xlfn.NORM.DIST(AT$1,$D154,$E154,TRUE)-_xlfn.NORM.DIST(AT$2,$D154,$E154,TRUE))</f>
        <v/>
      </c>
      <c r="AU154">
        <f>IF(NOT(ISNUMBER($D154)),"",_xlfn.NORM.DIST(AU$1,$D154,$E154,TRUE)-_xlfn.NORM.DIST(AU$2,$D154,$E154,TRUE))</f>
        <v/>
      </c>
      <c r="AV154">
        <f>IF(NOT(ISNUMBER($D154)),"",_xlfn.NORM.DIST(AV$1,$D154,$E154,TRUE)-_xlfn.NORM.DIST(AV$2,$D154,$E154,TRUE))</f>
        <v/>
      </c>
      <c r="AW154">
        <f>IF(NOT(ISNUMBER($D154)),"",_xlfn.NORM.DIST(AW$1,$D154,$E154,TRUE)-_xlfn.NORM.DIST(AW$2,$D154,$E154,TRUE))</f>
        <v/>
      </c>
      <c r="AX154">
        <f>IF(NOT(ISNUMBER($D154)),"",_xlfn.NORM.DIST(AX$1,$D154,$E154,TRUE)-_xlfn.NORM.DIST(AX$2,$D154,$E154,TRUE))</f>
        <v/>
      </c>
      <c r="AY154">
        <f>IF(NOT(ISNUMBER($D154)),"",_xlfn.NORM.DIST(AY$1,$D154,$E154,TRUE)-_xlfn.NORM.DIST(AY$2,$D154,$E154,TRUE))</f>
        <v/>
      </c>
      <c r="AZ154">
        <f>IF(NOT(ISNUMBER($D154)),"",_xlfn.NORM.DIST(AZ$1,$D154,$E154,TRUE)-_xlfn.NORM.DIST(AZ$2,$D154,$E154,TRUE))</f>
        <v/>
      </c>
      <c r="BA154">
        <f>IF(NOT(ISNUMBER($D154)),"",_xlfn.NORM.DIST(BA$1,$D154,$E154,TRUE)-_xlfn.NORM.DIST(BA$2,$D154,$E154,TRUE))</f>
        <v/>
      </c>
      <c r="BB154">
        <f>IF(NOT(ISNUMBER($D154)),"",_xlfn.NORM.DIST(BB$1,$D154,$E154,TRUE)-_xlfn.NORM.DIST(BB$2,$D154,$E154,TRUE))</f>
        <v/>
      </c>
      <c r="BC154">
        <f>IF(NOT(ISNUMBER($D154)),"",_xlfn.NORM.DIST(BC$1,$D154,$E154,TRUE)-_xlfn.NORM.DIST(BC$2,$D154,$E154,TRUE))</f>
        <v/>
      </c>
      <c r="BD154">
        <f>IF(NOT(ISNUMBER($D154)),"",_xlfn.NORM.DIST(BD$1,$D154,$E154,TRUE)-_xlfn.NORM.DIST(BD$2,$D154,$E154,TRUE))</f>
        <v/>
      </c>
      <c r="BE154">
        <f>IF(NOT(ISNUMBER($D154)),"",_xlfn.NORM.DIST(BE$1,$D154,$E154,TRUE)-_xlfn.NORM.DIST(BE$2,$D154,$E154,TRUE))</f>
        <v/>
      </c>
      <c r="BF154">
        <f>IF(NOT(ISNUMBER($D154)),"",_xlfn.NORM.DIST(BF$1,$D154,$E154,TRUE)-_xlfn.NORM.DIST(BF$2,$D154,$E154,TRUE))</f>
        <v/>
      </c>
      <c r="BG154">
        <f>IF(NOT(ISNUMBER($D154)),"",_xlfn.NORM.DIST(BG$1,$D154,$E154,TRUE)-_xlfn.NORM.DIST(BG$2,$D154,$E154,TRUE))</f>
        <v/>
      </c>
      <c r="BH154">
        <f>IF(NOT(ISNUMBER($D154)),"",_xlfn.NORM.DIST(BH$1,$D154,$E154,TRUE)-_xlfn.NORM.DIST(BH$2,$D154,$E154,TRUE))</f>
        <v/>
      </c>
      <c r="BI154">
        <f>IF(NOT(ISNUMBER($D154)),"",_xlfn.NORM.DIST(BI$1,$D154,$E154,TRUE)-_xlfn.NORM.DIST(BI$2,$D154,$E154,TRUE))</f>
        <v/>
      </c>
      <c r="BJ154">
        <f>IF(NOT(ISNUMBER($D154)),"",_xlfn.NORM.DIST(BJ$1,$D154,$E154,TRUE)-_xlfn.NORM.DIST(BJ$2,$D154,$E154,TRUE))</f>
        <v/>
      </c>
      <c r="BK154">
        <f>IF(NOT(ISNUMBER($D154)),"",_xlfn.NORM.DIST(BK$1,$D154,$E154,TRUE)-_xlfn.NORM.DIST(BK$2,$D154,$E154,TRUE))</f>
        <v/>
      </c>
      <c r="BL154">
        <f>IF(NOT(ISNUMBER($D154)),"",_xlfn.NORM.DIST(BL$1,$D154,$E154,TRUE)-_xlfn.NORM.DIST(BL$2,$D154,$E154,TRUE))</f>
        <v/>
      </c>
      <c r="BM154">
        <f>IF(NOT(ISNUMBER($D154)),"",_xlfn.NORM.DIST(BM$1,$D154,$E154,TRUE)-_xlfn.NORM.DIST(BM$2,$D154,$E154,TRUE))</f>
        <v/>
      </c>
      <c r="BN154">
        <f>IF(NOT(ISNUMBER($D154)),"",_xlfn.NORM.DIST(BN$1,$D154,$E154,TRUE)-_xlfn.NORM.DIST(BN$2,$D154,$E154,TRUE))</f>
        <v/>
      </c>
      <c r="BO154">
        <f>IF(NOT(ISNUMBER($D154)),"",_xlfn.NORM.DIST(BO$1,$D154,$E154,TRUE)-_xlfn.NORM.DIST(BO$2,$D154,$E154,TRUE))</f>
        <v/>
      </c>
      <c r="BP154">
        <f>IF(NOT(ISNUMBER($D154)),"",_xlfn.NORM.DIST(BP$1,$D154,$E154,TRUE)-_xlfn.NORM.DIST(BP$2,$D154,$E154,TRUE))</f>
        <v/>
      </c>
      <c r="BQ154">
        <f>IF(NOT(ISNUMBER($D154)),"",_xlfn.NORM.DIST(BQ$1,$D154,$E154,TRUE)-_xlfn.NORM.DIST(BQ$2,$D154,$E154,TRUE))</f>
        <v/>
      </c>
      <c r="BR154">
        <f>IF(NOT(ISNUMBER($D154)),"",_xlfn.NORM.DIST(BR$1,$D154,$E154,TRUE)-_xlfn.NORM.DIST(BR$2,$D154,$E154,TRUE))</f>
        <v/>
      </c>
      <c r="BS154">
        <f>IF(NOT(ISNUMBER($D154)),"",_xlfn.NORM.DIST(BS$1,$D154,$E154,TRUE)-_xlfn.NORM.DIST(BS$2,$D154,$E154,TRUE))</f>
        <v/>
      </c>
      <c r="BT154">
        <f>IF(NOT(ISNUMBER($D154)),"",_xlfn.NORM.DIST(BT$1,$D154,$E154,TRUE)-_xlfn.NORM.DIST(BT$2,$D154,$E154,TRUE))</f>
        <v/>
      </c>
      <c r="BU154">
        <f>IF(NOT(ISNUMBER($D154)),"",_xlfn.NORM.DIST(BU$1,$D154,$E154,TRUE)-_xlfn.NORM.DIST(BU$2,$D154,$E154,TRUE))</f>
        <v/>
      </c>
      <c r="BV154">
        <f>IF(NOT(ISNUMBER($D154)),"",_xlfn.NORM.DIST(BV$1,$D154,$E154,TRUE)-_xlfn.NORM.DIST(BV$2,$D154,$E154,TRUE))</f>
        <v/>
      </c>
      <c r="BW154">
        <f>IF(NOT(ISNUMBER($D154)),"",_xlfn.NORM.DIST(BW$1,$D154,$E154,TRUE)-_xlfn.NORM.DIST(BW$2,$D154,$E154,TRUE))</f>
        <v/>
      </c>
      <c r="BX154">
        <f>IF(NOT(ISNUMBER($D154)),"",_xlfn.NORM.DIST(BX$1,$D154,$E154,TRUE)-_xlfn.NORM.DIST(BX$2,$D154,$E154,TRUE))</f>
        <v/>
      </c>
      <c r="BY154">
        <f>IF(NOT(ISNUMBER($D154)),"",_xlfn.NORM.DIST(BY$1,$D154,$E154,TRUE)-_xlfn.NORM.DIST(BY$2,$D154,$E154,TRUE))</f>
        <v/>
      </c>
      <c r="BZ154">
        <f>IF(NOT(ISNUMBER($D154)),"",_xlfn.NORM.DIST(BZ$1,$D154,$E154,TRUE)-_xlfn.NORM.DIST(BZ$2,$D154,$E154,TRUE))</f>
        <v/>
      </c>
      <c r="CA154">
        <f>IF(NOT(ISNUMBER($D154)),"",_xlfn.NORM.DIST(CA$1,$D154,$E154,TRUE)-_xlfn.NORM.DIST(CA$2,$D154,$E154,TRUE))</f>
        <v/>
      </c>
      <c r="CB154">
        <f>IF(NOT(ISNUMBER($D154)),"",_xlfn.NORM.DIST(CB$1,$D154,$E154,TRUE)-_xlfn.NORM.DIST(CB$2,$D154,$E154,TRUE))</f>
        <v/>
      </c>
      <c r="CC154">
        <f>IF(NOT(ISNUMBER($D154)),"",_xlfn.NORM.DIST(CC$1,$D154,$E154,TRUE)-_xlfn.NORM.DIST(CC$2,$D154,$E154,TRUE))</f>
        <v/>
      </c>
      <c r="CD154">
        <f>IF(NOT(ISNUMBER($D154)),"",_xlfn.NORM.DIST(CD$1,$D154,$E154,TRUE)-_xlfn.NORM.DIST(CD$2,$D154,$E154,TRUE))</f>
        <v/>
      </c>
      <c r="CE154">
        <f>IF(NOT(ISNUMBER($D154)),"",_xlfn.NORM.DIST(CE$1,$D154,$E154,TRUE)-_xlfn.NORM.DIST(CE$2,$D154,$E154,TRUE))</f>
        <v/>
      </c>
      <c r="CF154">
        <f>IF(NOT(ISNUMBER($D154)),"",_xlfn.NORM.DIST(CF$1,$D154,$E154,TRUE)-_xlfn.NORM.DIST(CF$2,$D154,$E154,TRUE))</f>
        <v/>
      </c>
      <c r="CG154">
        <f>IF(NOT(ISNUMBER($D154)),"",_xlfn.NORM.DIST(CG$1,$D154,$E154,TRUE)-_xlfn.NORM.DIST(CG$2,$D154,$E154,TRUE))</f>
        <v/>
      </c>
      <c r="CH154">
        <f>IF(NOT(ISNUMBER($D154)),"",_xlfn.NORM.DIST(CH$1,$D154,$E154,TRUE)-_xlfn.NORM.DIST(CH$2,$D154,$E154,TRUE))</f>
        <v/>
      </c>
      <c r="CI154">
        <f>IF(NOT(ISNUMBER($D154)),"",_xlfn.NORM.DIST(CI$1,$D154,$E154,TRUE)-_xlfn.NORM.DIST(CI$2,$D154,$E154,TRUE))</f>
        <v/>
      </c>
      <c r="CJ154">
        <f>IF(ISNUMBER($D154),SUM(F154:CI154),"")</f>
        <v/>
      </c>
    </row>
    <row r="155">
      <c r="A155">
        <f>economics!A154</f>
        <v/>
      </c>
      <c r="B155">
        <f>economics!B154</f>
        <v/>
      </c>
      <c r="C155">
        <f>economics!D154</f>
        <v/>
      </c>
      <c r="D155">
        <f>IF(ISNUMBER(economics!T154),economics!T154,"na")</f>
        <v/>
      </c>
      <c r="E155">
        <f>IF(ISNUMBER(D155),MAX(0.3*ABS(D155),0.000001),"na")</f>
        <v/>
      </c>
      <c r="F155">
        <f>IF(NOT(ISNUMBER($D155)),"",_xlfn.NORM.DIST(F$1,$D155,$E155,TRUE)-_xlfn.NORM.DIST(F$2,$D155,$E155,TRUE))</f>
        <v/>
      </c>
      <c r="G155">
        <f>IF(NOT(ISNUMBER($D155)),"",_xlfn.NORM.DIST(G$1,$D155,$E155,TRUE)-_xlfn.NORM.DIST(G$2,$D155,$E155,TRUE))</f>
        <v/>
      </c>
      <c r="H155">
        <f>IF(NOT(ISNUMBER($D155)),"",_xlfn.NORM.DIST(H$1,$D155,$E155,TRUE)-_xlfn.NORM.DIST(H$2,$D155,$E155,TRUE))</f>
        <v/>
      </c>
      <c r="I155">
        <f>IF(NOT(ISNUMBER($D155)),"",_xlfn.NORM.DIST(I$1,$D155,$E155,TRUE)-_xlfn.NORM.DIST(I$2,$D155,$E155,TRUE))</f>
        <v/>
      </c>
      <c r="J155">
        <f>IF(NOT(ISNUMBER($D155)),"",_xlfn.NORM.DIST(J$1,$D155,$E155,TRUE)-_xlfn.NORM.DIST(J$2,$D155,$E155,TRUE))</f>
        <v/>
      </c>
      <c r="K155">
        <f>IF(NOT(ISNUMBER($D155)),"",_xlfn.NORM.DIST(K$1,$D155,$E155,TRUE)-_xlfn.NORM.DIST(K$2,$D155,$E155,TRUE))</f>
        <v/>
      </c>
      <c r="L155">
        <f>IF(NOT(ISNUMBER($D155)),"",_xlfn.NORM.DIST(L$1,$D155,$E155,TRUE)-_xlfn.NORM.DIST(L$2,$D155,$E155,TRUE))</f>
        <v/>
      </c>
      <c r="M155">
        <f>IF(NOT(ISNUMBER($D155)),"",_xlfn.NORM.DIST(M$1,$D155,$E155,TRUE)-_xlfn.NORM.DIST(M$2,$D155,$E155,TRUE))</f>
        <v/>
      </c>
      <c r="N155">
        <f>IF(NOT(ISNUMBER($D155)),"",_xlfn.NORM.DIST(N$1,$D155,$E155,TRUE)-_xlfn.NORM.DIST(N$2,$D155,$E155,TRUE))</f>
        <v/>
      </c>
      <c r="O155">
        <f>IF(NOT(ISNUMBER($D155)),"",_xlfn.NORM.DIST(O$1,$D155,$E155,TRUE)-_xlfn.NORM.DIST(O$2,$D155,$E155,TRUE))</f>
        <v/>
      </c>
      <c r="P155">
        <f>IF(NOT(ISNUMBER($D155)),"",_xlfn.NORM.DIST(P$1,$D155,$E155,TRUE)-_xlfn.NORM.DIST(P$2,$D155,$E155,TRUE))</f>
        <v/>
      </c>
      <c r="Q155">
        <f>IF(NOT(ISNUMBER($D155)),"",_xlfn.NORM.DIST(Q$1,$D155,$E155,TRUE)-_xlfn.NORM.DIST(Q$2,$D155,$E155,TRUE))</f>
        <v/>
      </c>
      <c r="R155">
        <f>IF(NOT(ISNUMBER($D155)),"",_xlfn.NORM.DIST(R$1,$D155,$E155,TRUE)-_xlfn.NORM.DIST(R$2,$D155,$E155,TRUE))</f>
        <v/>
      </c>
      <c r="S155">
        <f>IF(NOT(ISNUMBER($D155)),"",_xlfn.NORM.DIST(S$1,$D155,$E155,TRUE)-_xlfn.NORM.DIST(S$2,$D155,$E155,TRUE))</f>
        <v/>
      </c>
      <c r="T155">
        <f>IF(NOT(ISNUMBER($D155)),"",_xlfn.NORM.DIST(T$1,$D155,$E155,TRUE)-_xlfn.NORM.DIST(T$2,$D155,$E155,TRUE))</f>
        <v/>
      </c>
      <c r="U155">
        <f>IF(NOT(ISNUMBER($D155)),"",_xlfn.NORM.DIST(U$1,$D155,$E155,TRUE)-_xlfn.NORM.DIST(U$2,$D155,$E155,TRUE))</f>
        <v/>
      </c>
      <c r="V155">
        <f>IF(NOT(ISNUMBER($D155)),"",_xlfn.NORM.DIST(V$1,$D155,$E155,TRUE)-_xlfn.NORM.DIST(V$2,$D155,$E155,TRUE))</f>
        <v/>
      </c>
      <c r="W155">
        <f>IF(NOT(ISNUMBER($D155)),"",_xlfn.NORM.DIST(W$1,$D155,$E155,TRUE)-_xlfn.NORM.DIST(W$2,$D155,$E155,TRUE))</f>
        <v/>
      </c>
      <c r="X155">
        <f>IF(NOT(ISNUMBER($D155)),"",_xlfn.NORM.DIST(X$1,$D155,$E155,TRUE)-_xlfn.NORM.DIST(X$2,$D155,$E155,TRUE))</f>
        <v/>
      </c>
      <c r="Y155">
        <f>IF(NOT(ISNUMBER($D155)),"",_xlfn.NORM.DIST(Y$1,$D155,$E155,TRUE)-_xlfn.NORM.DIST(Y$2,$D155,$E155,TRUE))</f>
        <v/>
      </c>
      <c r="Z155">
        <f>IF(NOT(ISNUMBER($D155)),"",_xlfn.NORM.DIST(Z$1,$D155,$E155,TRUE)-_xlfn.NORM.DIST(Z$2,$D155,$E155,TRUE))</f>
        <v/>
      </c>
      <c r="AA155">
        <f>IF(NOT(ISNUMBER($D155)),"",_xlfn.NORM.DIST(AA$1,$D155,$E155,TRUE)-_xlfn.NORM.DIST(AA$2,$D155,$E155,TRUE))</f>
        <v/>
      </c>
      <c r="AB155">
        <f>IF(NOT(ISNUMBER($D155)),"",_xlfn.NORM.DIST(AB$1,$D155,$E155,TRUE)-_xlfn.NORM.DIST(AB$2,$D155,$E155,TRUE))</f>
        <v/>
      </c>
      <c r="AC155">
        <f>IF(NOT(ISNUMBER($D155)),"",_xlfn.NORM.DIST(AC$1,$D155,$E155,TRUE)-_xlfn.NORM.DIST(AC$2,$D155,$E155,TRUE))</f>
        <v/>
      </c>
      <c r="AD155">
        <f>IF(NOT(ISNUMBER($D155)),"",_xlfn.NORM.DIST(AD$1,$D155,$E155,TRUE)-_xlfn.NORM.DIST(AD$2,$D155,$E155,TRUE))</f>
        <v/>
      </c>
      <c r="AE155">
        <f>IF(NOT(ISNUMBER($D155)),"",_xlfn.NORM.DIST(AE$1,$D155,$E155,TRUE)-_xlfn.NORM.DIST(AE$2,$D155,$E155,TRUE))</f>
        <v/>
      </c>
      <c r="AF155">
        <f>IF(NOT(ISNUMBER($D155)),"",_xlfn.NORM.DIST(AF$1,$D155,$E155,TRUE)-_xlfn.NORM.DIST(AF$2,$D155,$E155,TRUE))</f>
        <v/>
      </c>
      <c r="AG155">
        <f>IF(NOT(ISNUMBER($D155)),"",_xlfn.NORM.DIST(AG$1,$D155,$E155,TRUE)-_xlfn.NORM.DIST(AG$2,$D155,$E155,TRUE))</f>
        <v/>
      </c>
      <c r="AH155">
        <f>IF(NOT(ISNUMBER($D155)),"",_xlfn.NORM.DIST(AH$1,$D155,$E155,TRUE)-_xlfn.NORM.DIST(AH$2,$D155,$E155,TRUE))</f>
        <v/>
      </c>
      <c r="AI155">
        <f>IF(NOT(ISNUMBER($D155)),"",_xlfn.NORM.DIST(AI$1,$D155,$E155,TRUE)-_xlfn.NORM.DIST(AI$2,$D155,$E155,TRUE))</f>
        <v/>
      </c>
      <c r="AJ155">
        <f>IF(NOT(ISNUMBER($D155)),"",_xlfn.NORM.DIST(AJ$1,$D155,$E155,TRUE)-_xlfn.NORM.DIST(AJ$2,$D155,$E155,TRUE))</f>
        <v/>
      </c>
      <c r="AK155">
        <f>IF(NOT(ISNUMBER($D155)),"",_xlfn.NORM.DIST(AK$1,$D155,$E155,TRUE)-_xlfn.NORM.DIST(AK$2,$D155,$E155,TRUE))</f>
        <v/>
      </c>
      <c r="AL155">
        <f>IF(NOT(ISNUMBER($D155)),"",_xlfn.NORM.DIST(AL$1,$D155,$E155,TRUE)-_xlfn.NORM.DIST(AL$2,$D155,$E155,TRUE))</f>
        <v/>
      </c>
      <c r="AM155">
        <f>IF(NOT(ISNUMBER($D155)),"",_xlfn.NORM.DIST(AM$1,$D155,$E155,TRUE)-_xlfn.NORM.DIST(AM$2,$D155,$E155,TRUE))</f>
        <v/>
      </c>
      <c r="AN155">
        <f>IF(NOT(ISNUMBER($D155)),"",_xlfn.NORM.DIST(AN$1,$D155,$E155,TRUE)-_xlfn.NORM.DIST(AN$2,$D155,$E155,TRUE))</f>
        <v/>
      </c>
      <c r="AO155">
        <f>IF(NOT(ISNUMBER($D155)),"",_xlfn.NORM.DIST(AO$1,$D155,$E155,TRUE)-_xlfn.NORM.DIST(AO$2,$D155,$E155,TRUE))</f>
        <v/>
      </c>
      <c r="AP155">
        <f>IF(NOT(ISNUMBER($D155)),"",_xlfn.NORM.DIST(AP$1,$D155,$E155,TRUE)-_xlfn.NORM.DIST(AP$2,$D155,$E155,TRUE))</f>
        <v/>
      </c>
      <c r="AQ155">
        <f>IF(NOT(ISNUMBER($D155)),"",_xlfn.NORM.DIST(AQ$1,$D155,$E155,TRUE)-_xlfn.NORM.DIST(AQ$2,$D155,$E155,TRUE))</f>
        <v/>
      </c>
      <c r="AR155">
        <f>IF(NOT(ISNUMBER($D155)),"",_xlfn.NORM.DIST(AR$1,$D155,$E155,TRUE)-_xlfn.NORM.DIST(AR$2,$D155,$E155,TRUE))</f>
        <v/>
      </c>
      <c r="AS155">
        <f>IF(NOT(ISNUMBER($D155)),"",_xlfn.NORM.DIST(AS$1,$D155,$E155,TRUE)-_xlfn.NORM.DIST(AS$2,$D155,$E155,TRUE))</f>
        <v/>
      </c>
      <c r="AT155">
        <f>IF(NOT(ISNUMBER($D155)),"",_xlfn.NORM.DIST(AT$1,$D155,$E155,TRUE)-_xlfn.NORM.DIST(AT$2,$D155,$E155,TRUE))</f>
        <v/>
      </c>
      <c r="AU155">
        <f>IF(NOT(ISNUMBER($D155)),"",_xlfn.NORM.DIST(AU$1,$D155,$E155,TRUE)-_xlfn.NORM.DIST(AU$2,$D155,$E155,TRUE))</f>
        <v/>
      </c>
      <c r="AV155">
        <f>IF(NOT(ISNUMBER($D155)),"",_xlfn.NORM.DIST(AV$1,$D155,$E155,TRUE)-_xlfn.NORM.DIST(AV$2,$D155,$E155,TRUE))</f>
        <v/>
      </c>
      <c r="AW155">
        <f>IF(NOT(ISNUMBER($D155)),"",_xlfn.NORM.DIST(AW$1,$D155,$E155,TRUE)-_xlfn.NORM.DIST(AW$2,$D155,$E155,TRUE))</f>
        <v/>
      </c>
      <c r="AX155">
        <f>IF(NOT(ISNUMBER($D155)),"",_xlfn.NORM.DIST(AX$1,$D155,$E155,TRUE)-_xlfn.NORM.DIST(AX$2,$D155,$E155,TRUE))</f>
        <v/>
      </c>
      <c r="AY155">
        <f>IF(NOT(ISNUMBER($D155)),"",_xlfn.NORM.DIST(AY$1,$D155,$E155,TRUE)-_xlfn.NORM.DIST(AY$2,$D155,$E155,TRUE))</f>
        <v/>
      </c>
      <c r="AZ155">
        <f>IF(NOT(ISNUMBER($D155)),"",_xlfn.NORM.DIST(AZ$1,$D155,$E155,TRUE)-_xlfn.NORM.DIST(AZ$2,$D155,$E155,TRUE))</f>
        <v/>
      </c>
      <c r="BA155">
        <f>IF(NOT(ISNUMBER($D155)),"",_xlfn.NORM.DIST(BA$1,$D155,$E155,TRUE)-_xlfn.NORM.DIST(BA$2,$D155,$E155,TRUE))</f>
        <v/>
      </c>
      <c r="BB155">
        <f>IF(NOT(ISNUMBER($D155)),"",_xlfn.NORM.DIST(BB$1,$D155,$E155,TRUE)-_xlfn.NORM.DIST(BB$2,$D155,$E155,TRUE))</f>
        <v/>
      </c>
      <c r="BC155">
        <f>IF(NOT(ISNUMBER($D155)),"",_xlfn.NORM.DIST(BC$1,$D155,$E155,TRUE)-_xlfn.NORM.DIST(BC$2,$D155,$E155,TRUE))</f>
        <v/>
      </c>
      <c r="BD155">
        <f>IF(NOT(ISNUMBER($D155)),"",_xlfn.NORM.DIST(BD$1,$D155,$E155,TRUE)-_xlfn.NORM.DIST(BD$2,$D155,$E155,TRUE))</f>
        <v/>
      </c>
      <c r="BE155">
        <f>IF(NOT(ISNUMBER($D155)),"",_xlfn.NORM.DIST(BE$1,$D155,$E155,TRUE)-_xlfn.NORM.DIST(BE$2,$D155,$E155,TRUE))</f>
        <v/>
      </c>
      <c r="BF155">
        <f>IF(NOT(ISNUMBER($D155)),"",_xlfn.NORM.DIST(BF$1,$D155,$E155,TRUE)-_xlfn.NORM.DIST(BF$2,$D155,$E155,TRUE))</f>
        <v/>
      </c>
      <c r="BG155">
        <f>IF(NOT(ISNUMBER($D155)),"",_xlfn.NORM.DIST(BG$1,$D155,$E155,TRUE)-_xlfn.NORM.DIST(BG$2,$D155,$E155,TRUE))</f>
        <v/>
      </c>
      <c r="BH155">
        <f>IF(NOT(ISNUMBER($D155)),"",_xlfn.NORM.DIST(BH$1,$D155,$E155,TRUE)-_xlfn.NORM.DIST(BH$2,$D155,$E155,TRUE))</f>
        <v/>
      </c>
      <c r="BI155">
        <f>IF(NOT(ISNUMBER($D155)),"",_xlfn.NORM.DIST(BI$1,$D155,$E155,TRUE)-_xlfn.NORM.DIST(BI$2,$D155,$E155,TRUE))</f>
        <v/>
      </c>
      <c r="BJ155">
        <f>IF(NOT(ISNUMBER($D155)),"",_xlfn.NORM.DIST(BJ$1,$D155,$E155,TRUE)-_xlfn.NORM.DIST(BJ$2,$D155,$E155,TRUE))</f>
        <v/>
      </c>
      <c r="BK155">
        <f>IF(NOT(ISNUMBER($D155)),"",_xlfn.NORM.DIST(BK$1,$D155,$E155,TRUE)-_xlfn.NORM.DIST(BK$2,$D155,$E155,TRUE))</f>
        <v/>
      </c>
      <c r="BL155">
        <f>IF(NOT(ISNUMBER($D155)),"",_xlfn.NORM.DIST(BL$1,$D155,$E155,TRUE)-_xlfn.NORM.DIST(BL$2,$D155,$E155,TRUE))</f>
        <v/>
      </c>
      <c r="BM155">
        <f>IF(NOT(ISNUMBER($D155)),"",_xlfn.NORM.DIST(BM$1,$D155,$E155,TRUE)-_xlfn.NORM.DIST(BM$2,$D155,$E155,TRUE))</f>
        <v/>
      </c>
      <c r="BN155">
        <f>IF(NOT(ISNUMBER($D155)),"",_xlfn.NORM.DIST(BN$1,$D155,$E155,TRUE)-_xlfn.NORM.DIST(BN$2,$D155,$E155,TRUE))</f>
        <v/>
      </c>
      <c r="BO155">
        <f>IF(NOT(ISNUMBER($D155)),"",_xlfn.NORM.DIST(BO$1,$D155,$E155,TRUE)-_xlfn.NORM.DIST(BO$2,$D155,$E155,TRUE))</f>
        <v/>
      </c>
      <c r="BP155">
        <f>IF(NOT(ISNUMBER($D155)),"",_xlfn.NORM.DIST(BP$1,$D155,$E155,TRUE)-_xlfn.NORM.DIST(BP$2,$D155,$E155,TRUE))</f>
        <v/>
      </c>
      <c r="BQ155">
        <f>IF(NOT(ISNUMBER($D155)),"",_xlfn.NORM.DIST(BQ$1,$D155,$E155,TRUE)-_xlfn.NORM.DIST(BQ$2,$D155,$E155,TRUE))</f>
        <v/>
      </c>
      <c r="BR155">
        <f>IF(NOT(ISNUMBER($D155)),"",_xlfn.NORM.DIST(BR$1,$D155,$E155,TRUE)-_xlfn.NORM.DIST(BR$2,$D155,$E155,TRUE))</f>
        <v/>
      </c>
      <c r="BS155">
        <f>IF(NOT(ISNUMBER($D155)),"",_xlfn.NORM.DIST(BS$1,$D155,$E155,TRUE)-_xlfn.NORM.DIST(BS$2,$D155,$E155,TRUE))</f>
        <v/>
      </c>
      <c r="BT155">
        <f>IF(NOT(ISNUMBER($D155)),"",_xlfn.NORM.DIST(BT$1,$D155,$E155,TRUE)-_xlfn.NORM.DIST(BT$2,$D155,$E155,TRUE))</f>
        <v/>
      </c>
      <c r="BU155">
        <f>IF(NOT(ISNUMBER($D155)),"",_xlfn.NORM.DIST(BU$1,$D155,$E155,TRUE)-_xlfn.NORM.DIST(BU$2,$D155,$E155,TRUE))</f>
        <v/>
      </c>
      <c r="BV155">
        <f>IF(NOT(ISNUMBER($D155)),"",_xlfn.NORM.DIST(BV$1,$D155,$E155,TRUE)-_xlfn.NORM.DIST(BV$2,$D155,$E155,TRUE))</f>
        <v/>
      </c>
      <c r="BW155">
        <f>IF(NOT(ISNUMBER($D155)),"",_xlfn.NORM.DIST(BW$1,$D155,$E155,TRUE)-_xlfn.NORM.DIST(BW$2,$D155,$E155,TRUE))</f>
        <v/>
      </c>
      <c r="BX155">
        <f>IF(NOT(ISNUMBER($D155)),"",_xlfn.NORM.DIST(BX$1,$D155,$E155,TRUE)-_xlfn.NORM.DIST(BX$2,$D155,$E155,TRUE))</f>
        <v/>
      </c>
      <c r="BY155">
        <f>IF(NOT(ISNUMBER($D155)),"",_xlfn.NORM.DIST(BY$1,$D155,$E155,TRUE)-_xlfn.NORM.DIST(BY$2,$D155,$E155,TRUE))</f>
        <v/>
      </c>
      <c r="BZ155">
        <f>IF(NOT(ISNUMBER($D155)),"",_xlfn.NORM.DIST(BZ$1,$D155,$E155,TRUE)-_xlfn.NORM.DIST(BZ$2,$D155,$E155,TRUE))</f>
        <v/>
      </c>
      <c r="CA155">
        <f>IF(NOT(ISNUMBER($D155)),"",_xlfn.NORM.DIST(CA$1,$D155,$E155,TRUE)-_xlfn.NORM.DIST(CA$2,$D155,$E155,TRUE))</f>
        <v/>
      </c>
      <c r="CB155">
        <f>IF(NOT(ISNUMBER($D155)),"",_xlfn.NORM.DIST(CB$1,$D155,$E155,TRUE)-_xlfn.NORM.DIST(CB$2,$D155,$E155,TRUE))</f>
        <v/>
      </c>
      <c r="CC155">
        <f>IF(NOT(ISNUMBER($D155)),"",_xlfn.NORM.DIST(CC$1,$D155,$E155,TRUE)-_xlfn.NORM.DIST(CC$2,$D155,$E155,TRUE))</f>
        <v/>
      </c>
      <c r="CD155">
        <f>IF(NOT(ISNUMBER($D155)),"",_xlfn.NORM.DIST(CD$1,$D155,$E155,TRUE)-_xlfn.NORM.DIST(CD$2,$D155,$E155,TRUE))</f>
        <v/>
      </c>
      <c r="CE155">
        <f>IF(NOT(ISNUMBER($D155)),"",_xlfn.NORM.DIST(CE$1,$D155,$E155,TRUE)-_xlfn.NORM.DIST(CE$2,$D155,$E155,TRUE))</f>
        <v/>
      </c>
      <c r="CF155">
        <f>IF(NOT(ISNUMBER($D155)),"",_xlfn.NORM.DIST(CF$1,$D155,$E155,TRUE)-_xlfn.NORM.DIST(CF$2,$D155,$E155,TRUE))</f>
        <v/>
      </c>
      <c r="CG155">
        <f>IF(NOT(ISNUMBER($D155)),"",_xlfn.NORM.DIST(CG$1,$D155,$E155,TRUE)-_xlfn.NORM.DIST(CG$2,$D155,$E155,TRUE))</f>
        <v/>
      </c>
      <c r="CH155">
        <f>IF(NOT(ISNUMBER($D155)),"",_xlfn.NORM.DIST(CH$1,$D155,$E155,TRUE)-_xlfn.NORM.DIST(CH$2,$D155,$E155,TRUE))</f>
        <v/>
      </c>
      <c r="CI155">
        <f>IF(NOT(ISNUMBER($D155)),"",_xlfn.NORM.DIST(CI$1,$D155,$E155,TRUE)-_xlfn.NORM.DIST(CI$2,$D155,$E155,TRUE))</f>
        <v/>
      </c>
      <c r="CJ155">
        <f>IF(ISNUMBER($D155),SUM(F155:CI155),"")</f>
        <v/>
      </c>
    </row>
    <row r="156">
      <c r="A156">
        <f>economics!A155</f>
        <v/>
      </c>
      <c r="B156">
        <f>economics!B155</f>
        <v/>
      </c>
      <c r="C156">
        <f>economics!D155</f>
        <v/>
      </c>
      <c r="D156">
        <f>IF(ISNUMBER(economics!T155),economics!T155,"na")</f>
        <v/>
      </c>
      <c r="E156">
        <f>IF(ISNUMBER(D156),MAX(0.3*ABS(D156),0.000001),"na")</f>
        <v/>
      </c>
      <c r="F156">
        <f>IF(NOT(ISNUMBER($D156)),"",_xlfn.NORM.DIST(F$1,$D156,$E156,TRUE)-_xlfn.NORM.DIST(F$2,$D156,$E156,TRUE))</f>
        <v/>
      </c>
      <c r="G156">
        <f>IF(NOT(ISNUMBER($D156)),"",_xlfn.NORM.DIST(G$1,$D156,$E156,TRUE)-_xlfn.NORM.DIST(G$2,$D156,$E156,TRUE))</f>
        <v/>
      </c>
      <c r="H156">
        <f>IF(NOT(ISNUMBER($D156)),"",_xlfn.NORM.DIST(H$1,$D156,$E156,TRUE)-_xlfn.NORM.DIST(H$2,$D156,$E156,TRUE))</f>
        <v/>
      </c>
      <c r="I156">
        <f>IF(NOT(ISNUMBER($D156)),"",_xlfn.NORM.DIST(I$1,$D156,$E156,TRUE)-_xlfn.NORM.DIST(I$2,$D156,$E156,TRUE))</f>
        <v/>
      </c>
      <c r="J156">
        <f>IF(NOT(ISNUMBER($D156)),"",_xlfn.NORM.DIST(J$1,$D156,$E156,TRUE)-_xlfn.NORM.DIST(J$2,$D156,$E156,TRUE))</f>
        <v/>
      </c>
      <c r="K156">
        <f>IF(NOT(ISNUMBER($D156)),"",_xlfn.NORM.DIST(K$1,$D156,$E156,TRUE)-_xlfn.NORM.DIST(K$2,$D156,$E156,TRUE))</f>
        <v/>
      </c>
      <c r="L156">
        <f>IF(NOT(ISNUMBER($D156)),"",_xlfn.NORM.DIST(L$1,$D156,$E156,TRUE)-_xlfn.NORM.DIST(L$2,$D156,$E156,TRUE))</f>
        <v/>
      </c>
      <c r="M156">
        <f>IF(NOT(ISNUMBER($D156)),"",_xlfn.NORM.DIST(M$1,$D156,$E156,TRUE)-_xlfn.NORM.DIST(M$2,$D156,$E156,TRUE))</f>
        <v/>
      </c>
      <c r="N156">
        <f>IF(NOT(ISNUMBER($D156)),"",_xlfn.NORM.DIST(N$1,$D156,$E156,TRUE)-_xlfn.NORM.DIST(N$2,$D156,$E156,TRUE))</f>
        <v/>
      </c>
      <c r="O156">
        <f>IF(NOT(ISNUMBER($D156)),"",_xlfn.NORM.DIST(O$1,$D156,$E156,TRUE)-_xlfn.NORM.DIST(O$2,$D156,$E156,TRUE))</f>
        <v/>
      </c>
      <c r="P156">
        <f>IF(NOT(ISNUMBER($D156)),"",_xlfn.NORM.DIST(P$1,$D156,$E156,TRUE)-_xlfn.NORM.DIST(P$2,$D156,$E156,TRUE))</f>
        <v/>
      </c>
      <c r="Q156">
        <f>IF(NOT(ISNUMBER($D156)),"",_xlfn.NORM.DIST(Q$1,$D156,$E156,TRUE)-_xlfn.NORM.DIST(Q$2,$D156,$E156,TRUE))</f>
        <v/>
      </c>
      <c r="R156">
        <f>IF(NOT(ISNUMBER($D156)),"",_xlfn.NORM.DIST(R$1,$D156,$E156,TRUE)-_xlfn.NORM.DIST(R$2,$D156,$E156,TRUE))</f>
        <v/>
      </c>
      <c r="S156">
        <f>IF(NOT(ISNUMBER($D156)),"",_xlfn.NORM.DIST(S$1,$D156,$E156,TRUE)-_xlfn.NORM.DIST(S$2,$D156,$E156,TRUE))</f>
        <v/>
      </c>
      <c r="T156">
        <f>IF(NOT(ISNUMBER($D156)),"",_xlfn.NORM.DIST(T$1,$D156,$E156,TRUE)-_xlfn.NORM.DIST(T$2,$D156,$E156,TRUE))</f>
        <v/>
      </c>
      <c r="U156">
        <f>IF(NOT(ISNUMBER($D156)),"",_xlfn.NORM.DIST(U$1,$D156,$E156,TRUE)-_xlfn.NORM.DIST(U$2,$D156,$E156,TRUE))</f>
        <v/>
      </c>
      <c r="V156">
        <f>IF(NOT(ISNUMBER($D156)),"",_xlfn.NORM.DIST(V$1,$D156,$E156,TRUE)-_xlfn.NORM.DIST(V$2,$D156,$E156,TRUE))</f>
        <v/>
      </c>
      <c r="W156">
        <f>IF(NOT(ISNUMBER($D156)),"",_xlfn.NORM.DIST(W$1,$D156,$E156,TRUE)-_xlfn.NORM.DIST(W$2,$D156,$E156,TRUE))</f>
        <v/>
      </c>
      <c r="X156">
        <f>IF(NOT(ISNUMBER($D156)),"",_xlfn.NORM.DIST(X$1,$D156,$E156,TRUE)-_xlfn.NORM.DIST(X$2,$D156,$E156,TRUE))</f>
        <v/>
      </c>
      <c r="Y156">
        <f>IF(NOT(ISNUMBER($D156)),"",_xlfn.NORM.DIST(Y$1,$D156,$E156,TRUE)-_xlfn.NORM.DIST(Y$2,$D156,$E156,TRUE))</f>
        <v/>
      </c>
      <c r="Z156">
        <f>IF(NOT(ISNUMBER($D156)),"",_xlfn.NORM.DIST(Z$1,$D156,$E156,TRUE)-_xlfn.NORM.DIST(Z$2,$D156,$E156,TRUE))</f>
        <v/>
      </c>
      <c r="AA156">
        <f>IF(NOT(ISNUMBER($D156)),"",_xlfn.NORM.DIST(AA$1,$D156,$E156,TRUE)-_xlfn.NORM.DIST(AA$2,$D156,$E156,TRUE))</f>
        <v/>
      </c>
      <c r="AB156">
        <f>IF(NOT(ISNUMBER($D156)),"",_xlfn.NORM.DIST(AB$1,$D156,$E156,TRUE)-_xlfn.NORM.DIST(AB$2,$D156,$E156,TRUE))</f>
        <v/>
      </c>
      <c r="AC156">
        <f>IF(NOT(ISNUMBER($D156)),"",_xlfn.NORM.DIST(AC$1,$D156,$E156,TRUE)-_xlfn.NORM.DIST(AC$2,$D156,$E156,TRUE))</f>
        <v/>
      </c>
      <c r="AD156">
        <f>IF(NOT(ISNUMBER($D156)),"",_xlfn.NORM.DIST(AD$1,$D156,$E156,TRUE)-_xlfn.NORM.DIST(AD$2,$D156,$E156,TRUE))</f>
        <v/>
      </c>
      <c r="AE156">
        <f>IF(NOT(ISNUMBER($D156)),"",_xlfn.NORM.DIST(AE$1,$D156,$E156,TRUE)-_xlfn.NORM.DIST(AE$2,$D156,$E156,TRUE))</f>
        <v/>
      </c>
      <c r="AF156">
        <f>IF(NOT(ISNUMBER($D156)),"",_xlfn.NORM.DIST(AF$1,$D156,$E156,TRUE)-_xlfn.NORM.DIST(AF$2,$D156,$E156,TRUE))</f>
        <v/>
      </c>
      <c r="AG156">
        <f>IF(NOT(ISNUMBER($D156)),"",_xlfn.NORM.DIST(AG$1,$D156,$E156,TRUE)-_xlfn.NORM.DIST(AG$2,$D156,$E156,TRUE))</f>
        <v/>
      </c>
      <c r="AH156">
        <f>IF(NOT(ISNUMBER($D156)),"",_xlfn.NORM.DIST(AH$1,$D156,$E156,TRUE)-_xlfn.NORM.DIST(AH$2,$D156,$E156,TRUE))</f>
        <v/>
      </c>
      <c r="AI156">
        <f>IF(NOT(ISNUMBER($D156)),"",_xlfn.NORM.DIST(AI$1,$D156,$E156,TRUE)-_xlfn.NORM.DIST(AI$2,$D156,$E156,TRUE))</f>
        <v/>
      </c>
      <c r="AJ156">
        <f>IF(NOT(ISNUMBER($D156)),"",_xlfn.NORM.DIST(AJ$1,$D156,$E156,TRUE)-_xlfn.NORM.DIST(AJ$2,$D156,$E156,TRUE))</f>
        <v/>
      </c>
      <c r="AK156">
        <f>IF(NOT(ISNUMBER($D156)),"",_xlfn.NORM.DIST(AK$1,$D156,$E156,TRUE)-_xlfn.NORM.DIST(AK$2,$D156,$E156,TRUE))</f>
        <v/>
      </c>
      <c r="AL156">
        <f>IF(NOT(ISNUMBER($D156)),"",_xlfn.NORM.DIST(AL$1,$D156,$E156,TRUE)-_xlfn.NORM.DIST(AL$2,$D156,$E156,TRUE))</f>
        <v/>
      </c>
      <c r="AM156">
        <f>IF(NOT(ISNUMBER($D156)),"",_xlfn.NORM.DIST(AM$1,$D156,$E156,TRUE)-_xlfn.NORM.DIST(AM$2,$D156,$E156,TRUE))</f>
        <v/>
      </c>
      <c r="AN156">
        <f>IF(NOT(ISNUMBER($D156)),"",_xlfn.NORM.DIST(AN$1,$D156,$E156,TRUE)-_xlfn.NORM.DIST(AN$2,$D156,$E156,TRUE))</f>
        <v/>
      </c>
      <c r="AO156">
        <f>IF(NOT(ISNUMBER($D156)),"",_xlfn.NORM.DIST(AO$1,$D156,$E156,TRUE)-_xlfn.NORM.DIST(AO$2,$D156,$E156,TRUE))</f>
        <v/>
      </c>
      <c r="AP156">
        <f>IF(NOT(ISNUMBER($D156)),"",_xlfn.NORM.DIST(AP$1,$D156,$E156,TRUE)-_xlfn.NORM.DIST(AP$2,$D156,$E156,TRUE))</f>
        <v/>
      </c>
      <c r="AQ156">
        <f>IF(NOT(ISNUMBER($D156)),"",_xlfn.NORM.DIST(AQ$1,$D156,$E156,TRUE)-_xlfn.NORM.DIST(AQ$2,$D156,$E156,TRUE))</f>
        <v/>
      </c>
      <c r="AR156">
        <f>IF(NOT(ISNUMBER($D156)),"",_xlfn.NORM.DIST(AR$1,$D156,$E156,TRUE)-_xlfn.NORM.DIST(AR$2,$D156,$E156,TRUE))</f>
        <v/>
      </c>
      <c r="AS156">
        <f>IF(NOT(ISNUMBER($D156)),"",_xlfn.NORM.DIST(AS$1,$D156,$E156,TRUE)-_xlfn.NORM.DIST(AS$2,$D156,$E156,TRUE))</f>
        <v/>
      </c>
      <c r="AT156">
        <f>IF(NOT(ISNUMBER($D156)),"",_xlfn.NORM.DIST(AT$1,$D156,$E156,TRUE)-_xlfn.NORM.DIST(AT$2,$D156,$E156,TRUE))</f>
        <v/>
      </c>
      <c r="AU156">
        <f>IF(NOT(ISNUMBER($D156)),"",_xlfn.NORM.DIST(AU$1,$D156,$E156,TRUE)-_xlfn.NORM.DIST(AU$2,$D156,$E156,TRUE))</f>
        <v/>
      </c>
      <c r="AV156">
        <f>IF(NOT(ISNUMBER($D156)),"",_xlfn.NORM.DIST(AV$1,$D156,$E156,TRUE)-_xlfn.NORM.DIST(AV$2,$D156,$E156,TRUE))</f>
        <v/>
      </c>
      <c r="AW156">
        <f>IF(NOT(ISNUMBER($D156)),"",_xlfn.NORM.DIST(AW$1,$D156,$E156,TRUE)-_xlfn.NORM.DIST(AW$2,$D156,$E156,TRUE))</f>
        <v/>
      </c>
      <c r="AX156">
        <f>IF(NOT(ISNUMBER($D156)),"",_xlfn.NORM.DIST(AX$1,$D156,$E156,TRUE)-_xlfn.NORM.DIST(AX$2,$D156,$E156,TRUE))</f>
        <v/>
      </c>
      <c r="AY156">
        <f>IF(NOT(ISNUMBER($D156)),"",_xlfn.NORM.DIST(AY$1,$D156,$E156,TRUE)-_xlfn.NORM.DIST(AY$2,$D156,$E156,TRUE))</f>
        <v/>
      </c>
      <c r="AZ156">
        <f>IF(NOT(ISNUMBER($D156)),"",_xlfn.NORM.DIST(AZ$1,$D156,$E156,TRUE)-_xlfn.NORM.DIST(AZ$2,$D156,$E156,TRUE))</f>
        <v/>
      </c>
      <c r="BA156">
        <f>IF(NOT(ISNUMBER($D156)),"",_xlfn.NORM.DIST(BA$1,$D156,$E156,TRUE)-_xlfn.NORM.DIST(BA$2,$D156,$E156,TRUE))</f>
        <v/>
      </c>
      <c r="BB156">
        <f>IF(NOT(ISNUMBER($D156)),"",_xlfn.NORM.DIST(BB$1,$D156,$E156,TRUE)-_xlfn.NORM.DIST(BB$2,$D156,$E156,TRUE))</f>
        <v/>
      </c>
      <c r="BC156">
        <f>IF(NOT(ISNUMBER($D156)),"",_xlfn.NORM.DIST(BC$1,$D156,$E156,TRUE)-_xlfn.NORM.DIST(BC$2,$D156,$E156,TRUE))</f>
        <v/>
      </c>
      <c r="BD156">
        <f>IF(NOT(ISNUMBER($D156)),"",_xlfn.NORM.DIST(BD$1,$D156,$E156,TRUE)-_xlfn.NORM.DIST(BD$2,$D156,$E156,TRUE))</f>
        <v/>
      </c>
      <c r="BE156">
        <f>IF(NOT(ISNUMBER($D156)),"",_xlfn.NORM.DIST(BE$1,$D156,$E156,TRUE)-_xlfn.NORM.DIST(BE$2,$D156,$E156,TRUE))</f>
        <v/>
      </c>
      <c r="BF156">
        <f>IF(NOT(ISNUMBER($D156)),"",_xlfn.NORM.DIST(BF$1,$D156,$E156,TRUE)-_xlfn.NORM.DIST(BF$2,$D156,$E156,TRUE))</f>
        <v/>
      </c>
      <c r="BG156">
        <f>IF(NOT(ISNUMBER($D156)),"",_xlfn.NORM.DIST(BG$1,$D156,$E156,TRUE)-_xlfn.NORM.DIST(BG$2,$D156,$E156,TRUE))</f>
        <v/>
      </c>
      <c r="BH156">
        <f>IF(NOT(ISNUMBER($D156)),"",_xlfn.NORM.DIST(BH$1,$D156,$E156,TRUE)-_xlfn.NORM.DIST(BH$2,$D156,$E156,TRUE))</f>
        <v/>
      </c>
      <c r="BI156">
        <f>IF(NOT(ISNUMBER($D156)),"",_xlfn.NORM.DIST(BI$1,$D156,$E156,TRUE)-_xlfn.NORM.DIST(BI$2,$D156,$E156,TRUE))</f>
        <v/>
      </c>
      <c r="BJ156">
        <f>IF(NOT(ISNUMBER($D156)),"",_xlfn.NORM.DIST(BJ$1,$D156,$E156,TRUE)-_xlfn.NORM.DIST(BJ$2,$D156,$E156,TRUE))</f>
        <v/>
      </c>
      <c r="BK156">
        <f>IF(NOT(ISNUMBER($D156)),"",_xlfn.NORM.DIST(BK$1,$D156,$E156,TRUE)-_xlfn.NORM.DIST(BK$2,$D156,$E156,TRUE))</f>
        <v/>
      </c>
      <c r="BL156">
        <f>IF(NOT(ISNUMBER($D156)),"",_xlfn.NORM.DIST(BL$1,$D156,$E156,TRUE)-_xlfn.NORM.DIST(BL$2,$D156,$E156,TRUE))</f>
        <v/>
      </c>
      <c r="BM156">
        <f>IF(NOT(ISNUMBER($D156)),"",_xlfn.NORM.DIST(BM$1,$D156,$E156,TRUE)-_xlfn.NORM.DIST(BM$2,$D156,$E156,TRUE))</f>
        <v/>
      </c>
      <c r="BN156">
        <f>IF(NOT(ISNUMBER($D156)),"",_xlfn.NORM.DIST(BN$1,$D156,$E156,TRUE)-_xlfn.NORM.DIST(BN$2,$D156,$E156,TRUE))</f>
        <v/>
      </c>
      <c r="BO156">
        <f>IF(NOT(ISNUMBER($D156)),"",_xlfn.NORM.DIST(BO$1,$D156,$E156,TRUE)-_xlfn.NORM.DIST(BO$2,$D156,$E156,TRUE))</f>
        <v/>
      </c>
      <c r="BP156">
        <f>IF(NOT(ISNUMBER($D156)),"",_xlfn.NORM.DIST(BP$1,$D156,$E156,TRUE)-_xlfn.NORM.DIST(BP$2,$D156,$E156,TRUE))</f>
        <v/>
      </c>
      <c r="BQ156">
        <f>IF(NOT(ISNUMBER($D156)),"",_xlfn.NORM.DIST(BQ$1,$D156,$E156,TRUE)-_xlfn.NORM.DIST(BQ$2,$D156,$E156,TRUE))</f>
        <v/>
      </c>
      <c r="BR156">
        <f>IF(NOT(ISNUMBER($D156)),"",_xlfn.NORM.DIST(BR$1,$D156,$E156,TRUE)-_xlfn.NORM.DIST(BR$2,$D156,$E156,TRUE))</f>
        <v/>
      </c>
      <c r="BS156">
        <f>IF(NOT(ISNUMBER($D156)),"",_xlfn.NORM.DIST(BS$1,$D156,$E156,TRUE)-_xlfn.NORM.DIST(BS$2,$D156,$E156,TRUE))</f>
        <v/>
      </c>
      <c r="BT156">
        <f>IF(NOT(ISNUMBER($D156)),"",_xlfn.NORM.DIST(BT$1,$D156,$E156,TRUE)-_xlfn.NORM.DIST(BT$2,$D156,$E156,TRUE))</f>
        <v/>
      </c>
      <c r="BU156">
        <f>IF(NOT(ISNUMBER($D156)),"",_xlfn.NORM.DIST(BU$1,$D156,$E156,TRUE)-_xlfn.NORM.DIST(BU$2,$D156,$E156,TRUE))</f>
        <v/>
      </c>
      <c r="BV156">
        <f>IF(NOT(ISNUMBER($D156)),"",_xlfn.NORM.DIST(BV$1,$D156,$E156,TRUE)-_xlfn.NORM.DIST(BV$2,$D156,$E156,TRUE))</f>
        <v/>
      </c>
      <c r="BW156">
        <f>IF(NOT(ISNUMBER($D156)),"",_xlfn.NORM.DIST(BW$1,$D156,$E156,TRUE)-_xlfn.NORM.DIST(BW$2,$D156,$E156,TRUE))</f>
        <v/>
      </c>
      <c r="BX156">
        <f>IF(NOT(ISNUMBER($D156)),"",_xlfn.NORM.DIST(BX$1,$D156,$E156,TRUE)-_xlfn.NORM.DIST(BX$2,$D156,$E156,TRUE))</f>
        <v/>
      </c>
      <c r="BY156">
        <f>IF(NOT(ISNUMBER($D156)),"",_xlfn.NORM.DIST(BY$1,$D156,$E156,TRUE)-_xlfn.NORM.DIST(BY$2,$D156,$E156,TRUE))</f>
        <v/>
      </c>
      <c r="BZ156">
        <f>IF(NOT(ISNUMBER($D156)),"",_xlfn.NORM.DIST(BZ$1,$D156,$E156,TRUE)-_xlfn.NORM.DIST(BZ$2,$D156,$E156,TRUE))</f>
        <v/>
      </c>
      <c r="CA156">
        <f>IF(NOT(ISNUMBER($D156)),"",_xlfn.NORM.DIST(CA$1,$D156,$E156,TRUE)-_xlfn.NORM.DIST(CA$2,$D156,$E156,TRUE))</f>
        <v/>
      </c>
      <c r="CB156">
        <f>IF(NOT(ISNUMBER($D156)),"",_xlfn.NORM.DIST(CB$1,$D156,$E156,TRUE)-_xlfn.NORM.DIST(CB$2,$D156,$E156,TRUE))</f>
        <v/>
      </c>
      <c r="CC156">
        <f>IF(NOT(ISNUMBER($D156)),"",_xlfn.NORM.DIST(CC$1,$D156,$E156,TRUE)-_xlfn.NORM.DIST(CC$2,$D156,$E156,TRUE))</f>
        <v/>
      </c>
      <c r="CD156">
        <f>IF(NOT(ISNUMBER($D156)),"",_xlfn.NORM.DIST(CD$1,$D156,$E156,TRUE)-_xlfn.NORM.DIST(CD$2,$D156,$E156,TRUE))</f>
        <v/>
      </c>
      <c r="CE156">
        <f>IF(NOT(ISNUMBER($D156)),"",_xlfn.NORM.DIST(CE$1,$D156,$E156,TRUE)-_xlfn.NORM.DIST(CE$2,$D156,$E156,TRUE))</f>
        <v/>
      </c>
      <c r="CF156">
        <f>IF(NOT(ISNUMBER($D156)),"",_xlfn.NORM.DIST(CF$1,$D156,$E156,TRUE)-_xlfn.NORM.DIST(CF$2,$D156,$E156,TRUE))</f>
        <v/>
      </c>
      <c r="CG156">
        <f>IF(NOT(ISNUMBER($D156)),"",_xlfn.NORM.DIST(CG$1,$D156,$E156,TRUE)-_xlfn.NORM.DIST(CG$2,$D156,$E156,TRUE))</f>
        <v/>
      </c>
      <c r="CH156">
        <f>IF(NOT(ISNUMBER($D156)),"",_xlfn.NORM.DIST(CH$1,$D156,$E156,TRUE)-_xlfn.NORM.DIST(CH$2,$D156,$E156,TRUE))</f>
        <v/>
      </c>
      <c r="CI156">
        <f>IF(NOT(ISNUMBER($D156)),"",_xlfn.NORM.DIST(CI$1,$D156,$E156,TRUE)-_xlfn.NORM.DIST(CI$2,$D156,$E156,TRUE))</f>
        <v/>
      </c>
      <c r="CJ156">
        <f>IF(ISNUMBER($D156),SUM(F156:CI156),"")</f>
        <v/>
      </c>
    </row>
    <row r="157">
      <c r="A157">
        <f>economics!A156</f>
        <v/>
      </c>
      <c r="B157">
        <f>economics!B156</f>
        <v/>
      </c>
      <c r="C157">
        <f>economics!D156</f>
        <v/>
      </c>
      <c r="D157">
        <f>IF(ISNUMBER(economics!T156),economics!T156,"na")</f>
        <v/>
      </c>
      <c r="E157">
        <f>IF(ISNUMBER(D157),MAX(0.3*ABS(D157),0.000001),"na")</f>
        <v/>
      </c>
      <c r="F157">
        <f>IF(NOT(ISNUMBER($D157)),"",_xlfn.NORM.DIST(F$1,$D157,$E157,TRUE)-_xlfn.NORM.DIST(F$2,$D157,$E157,TRUE))</f>
        <v/>
      </c>
      <c r="G157">
        <f>IF(NOT(ISNUMBER($D157)),"",_xlfn.NORM.DIST(G$1,$D157,$E157,TRUE)-_xlfn.NORM.DIST(G$2,$D157,$E157,TRUE))</f>
        <v/>
      </c>
      <c r="H157">
        <f>IF(NOT(ISNUMBER($D157)),"",_xlfn.NORM.DIST(H$1,$D157,$E157,TRUE)-_xlfn.NORM.DIST(H$2,$D157,$E157,TRUE))</f>
        <v/>
      </c>
      <c r="I157">
        <f>IF(NOT(ISNUMBER($D157)),"",_xlfn.NORM.DIST(I$1,$D157,$E157,TRUE)-_xlfn.NORM.DIST(I$2,$D157,$E157,TRUE))</f>
        <v/>
      </c>
      <c r="J157">
        <f>IF(NOT(ISNUMBER($D157)),"",_xlfn.NORM.DIST(J$1,$D157,$E157,TRUE)-_xlfn.NORM.DIST(J$2,$D157,$E157,TRUE))</f>
        <v/>
      </c>
      <c r="K157">
        <f>IF(NOT(ISNUMBER($D157)),"",_xlfn.NORM.DIST(K$1,$D157,$E157,TRUE)-_xlfn.NORM.DIST(K$2,$D157,$E157,TRUE))</f>
        <v/>
      </c>
      <c r="L157">
        <f>IF(NOT(ISNUMBER($D157)),"",_xlfn.NORM.DIST(L$1,$D157,$E157,TRUE)-_xlfn.NORM.DIST(L$2,$D157,$E157,TRUE))</f>
        <v/>
      </c>
      <c r="M157">
        <f>IF(NOT(ISNUMBER($D157)),"",_xlfn.NORM.DIST(M$1,$D157,$E157,TRUE)-_xlfn.NORM.DIST(M$2,$D157,$E157,TRUE))</f>
        <v/>
      </c>
      <c r="N157">
        <f>IF(NOT(ISNUMBER($D157)),"",_xlfn.NORM.DIST(N$1,$D157,$E157,TRUE)-_xlfn.NORM.DIST(N$2,$D157,$E157,TRUE))</f>
        <v/>
      </c>
      <c r="O157">
        <f>IF(NOT(ISNUMBER($D157)),"",_xlfn.NORM.DIST(O$1,$D157,$E157,TRUE)-_xlfn.NORM.DIST(O$2,$D157,$E157,TRUE))</f>
        <v/>
      </c>
      <c r="P157">
        <f>IF(NOT(ISNUMBER($D157)),"",_xlfn.NORM.DIST(P$1,$D157,$E157,TRUE)-_xlfn.NORM.DIST(P$2,$D157,$E157,TRUE))</f>
        <v/>
      </c>
      <c r="Q157">
        <f>IF(NOT(ISNUMBER($D157)),"",_xlfn.NORM.DIST(Q$1,$D157,$E157,TRUE)-_xlfn.NORM.DIST(Q$2,$D157,$E157,TRUE))</f>
        <v/>
      </c>
      <c r="R157">
        <f>IF(NOT(ISNUMBER($D157)),"",_xlfn.NORM.DIST(R$1,$D157,$E157,TRUE)-_xlfn.NORM.DIST(R$2,$D157,$E157,TRUE))</f>
        <v/>
      </c>
      <c r="S157">
        <f>IF(NOT(ISNUMBER($D157)),"",_xlfn.NORM.DIST(S$1,$D157,$E157,TRUE)-_xlfn.NORM.DIST(S$2,$D157,$E157,TRUE))</f>
        <v/>
      </c>
      <c r="T157">
        <f>IF(NOT(ISNUMBER($D157)),"",_xlfn.NORM.DIST(T$1,$D157,$E157,TRUE)-_xlfn.NORM.DIST(T$2,$D157,$E157,TRUE))</f>
        <v/>
      </c>
      <c r="U157">
        <f>IF(NOT(ISNUMBER($D157)),"",_xlfn.NORM.DIST(U$1,$D157,$E157,TRUE)-_xlfn.NORM.DIST(U$2,$D157,$E157,TRUE))</f>
        <v/>
      </c>
      <c r="V157">
        <f>IF(NOT(ISNUMBER($D157)),"",_xlfn.NORM.DIST(V$1,$D157,$E157,TRUE)-_xlfn.NORM.DIST(V$2,$D157,$E157,TRUE))</f>
        <v/>
      </c>
      <c r="W157">
        <f>IF(NOT(ISNUMBER($D157)),"",_xlfn.NORM.DIST(W$1,$D157,$E157,TRUE)-_xlfn.NORM.DIST(W$2,$D157,$E157,TRUE))</f>
        <v/>
      </c>
      <c r="X157">
        <f>IF(NOT(ISNUMBER($D157)),"",_xlfn.NORM.DIST(X$1,$D157,$E157,TRUE)-_xlfn.NORM.DIST(X$2,$D157,$E157,TRUE))</f>
        <v/>
      </c>
      <c r="Y157">
        <f>IF(NOT(ISNUMBER($D157)),"",_xlfn.NORM.DIST(Y$1,$D157,$E157,TRUE)-_xlfn.NORM.DIST(Y$2,$D157,$E157,TRUE))</f>
        <v/>
      </c>
      <c r="Z157">
        <f>IF(NOT(ISNUMBER($D157)),"",_xlfn.NORM.DIST(Z$1,$D157,$E157,TRUE)-_xlfn.NORM.DIST(Z$2,$D157,$E157,TRUE))</f>
        <v/>
      </c>
      <c r="AA157">
        <f>IF(NOT(ISNUMBER($D157)),"",_xlfn.NORM.DIST(AA$1,$D157,$E157,TRUE)-_xlfn.NORM.DIST(AA$2,$D157,$E157,TRUE))</f>
        <v/>
      </c>
      <c r="AB157">
        <f>IF(NOT(ISNUMBER($D157)),"",_xlfn.NORM.DIST(AB$1,$D157,$E157,TRUE)-_xlfn.NORM.DIST(AB$2,$D157,$E157,TRUE))</f>
        <v/>
      </c>
      <c r="AC157">
        <f>IF(NOT(ISNUMBER($D157)),"",_xlfn.NORM.DIST(AC$1,$D157,$E157,TRUE)-_xlfn.NORM.DIST(AC$2,$D157,$E157,TRUE))</f>
        <v/>
      </c>
      <c r="AD157">
        <f>IF(NOT(ISNUMBER($D157)),"",_xlfn.NORM.DIST(AD$1,$D157,$E157,TRUE)-_xlfn.NORM.DIST(AD$2,$D157,$E157,TRUE))</f>
        <v/>
      </c>
      <c r="AE157">
        <f>IF(NOT(ISNUMBER($D157)),"",_xlfn.NORM.DIST(AE$1,$D157,$E157,TRUE)-_xlfn.NORM.DIST(AE$2,$D157,$E157,TRUE))</f>
        <v/>
      </c>
      <c r="AF157">
        <f>IF(NOT(ISNUMBER($D157)),"",_xlfn.NORM.DIST(AF$1,$D157,$E157,TRUE)-_xlfn.NORM.DIST(AF$2,$D157,$E157,TRUE))</f>
        <v/>
      </c>
      <c r="AG157">
        <f>IF(NOT(ISNUMBER($D157)),"",_xlfn.NORM.DIST(AG$1,$D157,$E157,TRUE)-_xlfn.NORM.DIST(AG$2,$D157,$E157,TRUE))</f>
        <v/>
      </c>
      <c r="AH157">
        <f>IF(NOT(ISNUMBER($D157)),"",_xlfn.NORM.DIST(AH$1,$D157,$E157,TRUE)-_xlfn.NORM.DIST(AH$2,$D157,$E157,TRUE))</f>
        <v/>
      </c>
      <c r="AI157">
        <f>IF(NOT(ISNUMBER($D157)),"",_xlfn.NORM.DIST(AI$1,$D157,$E157,TRUE)-_xlfn.NORM.DIST(AI$2,$D157,$E157,TRUE))</f>
        <v/>
      </c>
      <c r="AJ157">
        <f>IF(NOT(ISNUMBER($D157)),"",_xlfn.NORM.DIST(AJ$1,$D157,$E157,TRUE)-_xlfn.NORM.DIST(AJ$2,$D157,$E157,TRUE))</f>
        <v/>
      </c>
      <c r="AK157">
        <f>IF(NOT(ISNUMBER($D157)),"",_xlfn.NORM.DIST(AK$1,$D157,$E157,TRUE)-_xlfn.NORM.DIST(AK$2,$D157,$E157,TRUE))</f>
        <v/>
      </c>
      <c r="AL157">
        <f>IF(NOT(ISNUMBER($D157)),"",_xlfn.NORM.DIST(AL$1,$D157,$E157,TRUE)-_xlfn.NORM.DIST(AL$2,$D157,$E157,TRUE))</f>
        <v/>
      </c>
      <c r="AM157">
        <f>IF(NOT(ISNUMBER($D157)),"",_xlfn.NORM.DIST(AM$1,$D157,$E157,TRUE)-_xlfn.NORM.DIST(AM$2,$D157,$E157,TRUE))</f>
        <v/>
      </c>
      <c r="AN157">
        <f>IF(NOT(ISNUMBER($D157)),"",_xlfn.NORM.DIST(AN$1,$D157,$E157,TRUE)-_xlfn.NORM.DIST(AN$2,$D157,$E157,TRUE))</f>
        <v/>
      </c>
      <c r="AO157">
        <f>IF(NOT(ISNUMBER($D157)),"",_xlfn.NORM.DIST(AO$1,$D157,$E157,TRUE)-_xlfn.NORM.DIST(AO$2,$D157,$E157,TRUE))</f>
        <v/>
      </c>
      <c r="AP157">
        <f>IF(NOT(ISNUMBER($D157)),"",_xlfn.NORM.DIST(AP$1,$D157,$E157,TRUE)-_xlfn.NORM.DIST(AP$2,$D157,$E157,TRUE))</f>
        <v/>
      </c>
      <c r="AQ157">
        <f>IF(NOT(ISNUMBER($D157)),"",_xlfn.NORM.DIST(AQ$1,$D157,$E157,TRUE)-_xlfn.NORM.DIST(AQ$2,$D157,$E157,TRUE))</f>
        <v/>
      </c>
      <c r="AR157">
        <f>IF(NOT(ISNUMBER($D157)),"",_xlfn.NORM.DIST(AR$1,$D157,$E157,TRUE)-_xlfn.NORM.DIST(AR$2,$D157,$E157,TRUE))</f>
        <v/>
      </c>
      <c r="AS157">
        <f>IF(NOT(ISNUMBER($D157)),"",_xlfn.NORM.DIST(AS$1,$D157,$E157,TRUE)-_xlfn.NORM.DIST(AS$2,$D157,$E157,TRUE))</f>
        <v/>
      </c>
      <c r="AT157">
        <f>IF(NOT(ISNUMBER($D157)),"",_xlfn.NORM.DIST(AT$1,$D157,$E157,TRUE)-_xlfn.NORM.DIST(AT$2,$D157,$E157,TRUE))</f>
        <v/>
      </c>
      <c r="AU157">
        <f>IF(NOT(ISNUMBER($D157)),"",_xlfn.NORM.DIST(AU$1,$D157,$E157,TRUE)-_xlfn.NORM.DIST(AU$2,$D157,$E157,TRUE))</f>
        <v/>
      </c>
      <c r="AV157">
        <f>IF(NOT(ISNUMBER($D157)),"",_xlfn.NORM.DIST(AV$1,$D157,$E157,TRUE)-_xlfn.NORM.DIST(AV$2,$D157,$E157,TRUE))</f>
        <v/>
      </c>
      <c r="AW157">
        <f>IF(NOT(ISNUMBER($D157)),"",_xlfn.NORM.DIST(AW$1,$D157,$E157,TRUE)-_xlfn.NORM.DIST(AW$2,$D157,$E157,TRUE))</f>
        <v/>
      </c>
      <c r="AX157">
        <f>IF(NOT(ISNUMBER($D157)),"",_xlfn.NORM.DIST(AX$1,$D157,$E157,TRUE)-_xlfn.NORM.DIST(AX$2,$D157,$E157,TRUE))</f>
        <v/>
      </c>
      <c r="AY157">
        <f>IF(NOT(ISNUMBER($D157)),"",_xlfn.NORM.DIST(AY$1,$D157,$E157,TRUE)-_xlfn.NORM.DIST(AY$2,$D157,$E157,TRUE))</f>
        <v/>
      </c>
      <c r="AZ157">
        <f>IF(NOT(ISNUMBER($D157)),"",_xlfn.NORM.DIST(AZ$1,$D157,$E157,TRUE)-_xlfn.NORM.DIST(AZ$2,$D157,$E157,TRUE))</f>
        <v/>
      </c>
      <c r="BA157">
        <f>IF(NOT(ISNUMBER($D157)),"",_xlfn.NORM.DIST(BA$1,$D157,$E157,TRUE)-_xlfn.NORM.DIST(BA$2,$D157,$E157,TRUE))</f>
        <v/>
      </c>
      <c r="BB157">
        <f>IF(NOT(ISNUMBER($D157)),"",_xlfn.NORM.DIST(BB$1,$D157,$E157,TRUE)-_xlfn.NORM.DIST(BB$2,$D157,$E157,TRUE))</f>
        <v/>
      </c>
      <c r="BC157">
        <f>IF(NOT(ISNUMBER($D157)),"",_xlfn.NORM.DIST(BC$1,$D157,$E157,TRUE)-_xlfn.NORM.DIST(BC$2,$D157,$E157,TRUE))</f>
        <v/>
      </c>
      <c r="BD157">
        <f>IF(NOT(ISNUMBER($D157)),"",_xlfn.NORM.DIST(BD$1,$D157,$E157,TRUE)-_xlfn.NORM.DIST(BD$2,$D157,$E157,TRUE))</f>
        <v/>
      </c>
      <c r="BE157">
        <f>IF(NOT(ISNUMBER($D157)),"",_xlfn.NORM.DIST(BE$1,$D157,$E157,TRUE)-_xlfn.NORM.DIST(BE$2,$D157,$E157,TRUE))</f>
        <v/>
      </c>
      <c r="BF157">
        <f>IF(NOT(ISNUMBER($D157)),"",_xlfn.NORM.DIST(BF$1,$D157,$E157,TRUE)-_xlfn.NORM.DIST(BF$2,$D157,$E157,TRUE))</f>
        <v/>
      </c>
      <c r="BG157">
        <f>IF(NOT(ISNUMBER($D157)),"",_xlfn.NORM.DIST(BG$1,$D157,$E157,TRUE)-_xlfn.NORM.DIST(BG$2,$D157,$E157,TRUE))</f>
        <v/>
      </c>
      <c r="BH157">
        <f>IF(NOT(ISNUMBER($D157)),"",_xlfn.NORM.DIST(BH$1,$D157,$E157,TRUE)-_xlfn.NORM.DIST(BH$2,$D157,$E157,TRUE))</f>
        <v/>
      </c>
      <c r="BI157">
        <f>IF(NOT(ISNUMBER($D157)),"",_xlfn.NORM.DIST(BI$1,$D157,$E157,TRUE)-_xlfn.NORM.DIST(BI$2,$D157,$E157,TRUE))</f>
        <v/>
      </c>
      <c r="BJ157">
        <f>IF(NOT(ISNUMBER($D157)),"",_xlfn.NORM.DIST(BJ$1,$D157,$E157,TRUE)-_xlfn.NORM.DIST(BJ$2,$D157,$E157,TRUE))</f>
        <v/>
      </c>
      <c r="BK157">
        <f>IF(NOT(ISNUMBER($D157)),"",_xlfn.NORM.DIST(BK$1,$D157,$E157,TRUE)-_xlfn.NORM.DIST(BK$2,$D157,$E157,TRUE))</f>
        <v/>
      </c>
      <c r="BL157">
        <f>IF(NOT(ISNUMBER($D157)),"",_xlfn.NORM.DIST(BL$1,$D157,$E157,TRUE)-_xlfn.NORM.DIST(BL$2,$D157,$E157,TRUE))</f>
        <v/>
      </c>
      <c r="BM157">
        <f>IF(NOT(ISNUMBER($D157)),"",_xlfn.NORM.DIST(BM$1,$D157,$E157,TRUE)-_xlfn.NORM.DIST(BM$2,$D157,$E157,TRUE))</f>
        <v/>
      </c>
      <c r="BN157">
        <f>IF(NOT(ISNUMBER($D157)),"",_xlfn.NORM.DIST(BN$1,$D157,$E157,TRUE)-_xlfn.NORM.DIST(BN$2,$D157,$E157,TRUE))</f>
        <v/>
      </c>
      <c r="BO157">
        <f>IF(NOT(ISNUMBER($D157)),"",_xlfn.NORM.DIST(BO$1,$D157,$E157,TRUE)-_xlfn.NORM.DIST(BO$2,$D157,$E157,TRUE))</f>
        <v/>
      </c>
      <c r="BP157">
        <f>IF(NOT(ISNUMBER($D157)),"",_xlfn.NORM.DIST(BP$1,$D157,$E157,TRUE)-_xlfn.NORM.DIST(BP$2,$D157,$E157,TRUE))</f>
        <v/>
      </c>
      <c r="BQ157">
        <f>IF(NOT(ISNUMBER($D157)),"",_xlfn.NORM.DIST(BQ$1,$D157,$E157,TRUE)-_xlfn.NORM.DIST(BQ$2,$D157,$E157,TRUE))</f>
        <v/>
      </c>
      <c r="BR157">
        <f>IF(NOT(ISNUMBER($D157)),"",_xlfn.NORM.DIST(BR$1,$D157,$E157,TRUE)-_xlfn.NORM.DIST(BR$2,$D157,$E157,TRUE))</f>
        <v/>
      </c>
      <c r="BS157">
        <f>IF(NOT(ISNUMBER($D157)),"",_xlfn.NORM.DIST(BS$1,$D157,$E157,TRUE)-_xlfn.NORM.DIST(BS$2,$D157,$E157,TRUE))</f>
        <v/>
      </c>
      <c r="BT157">
        <f>IF(NOT(ISNUMBER($D157)),"",_xlfn.NORM.DIST(BT$1,$D157,$E157,TRUE)-_xlfn.NORM.DIST(BT$2,$D157,$E157,TRUE))</f>
        <v/>
      </c>
      <c r="BU157">
        <f>IF(NOT(ISNUMBER($D157)),"",_xlfn.NORM.DIST(BU$1,$D157,$E157,TRUE)-_xlfn.NORM.DIST(BU$2,$D157,$E157,TRUE))</f>
        <v/>
      </c>
      <c r="BV157">
        <f>IF(NOT(ISNUMBER($D157)),"",_xlfn.NORM.DIST(BV$1,$D157,$E157,TRUE)-_xlfn.NORM.DIST(BV$2,$D157,$E157,TRUE))</f>
        <v/>
      </c>
      <c r="BW157">
        <f>IF(NOT(ISNUMBER($D157)),"",_xlfn.NORM.DIST(BW$1,$D157,$E157,TRUE)-_xlfn.NORM.DIST(BW$2,$D157,$E157,TRUE))</f>
        <v/>
      </c>
      <c r="BX157">
        <f>IF(NOT(ISNUMBER($D157)),"",_xlfn.NORM.DIST(BX$1,$D157,$E157,TRUE)-_xlfn.NORM.DIST(BX$2,$D157,$E157,TRUE))</f>
        <v/>
      </c>
      <c r="BY157">
        <f>IF(NOT(ISNUMBER($D157)),"",_xlfn.NORM.DIST(BY$1,$D157,$E157,TRUE)-_xlfn.NORM.DIST(BY$2,$D157,$E157,TRUE))</f>
        <v/>
      </c>
      <c r="BZ157">
        <f>IF(NOT(ISNUMBER($D157)),"",_xlfn.NORM.DIST(BZ$1,$D157,$E157,TRUE)-_xlfn.NORM.DIST(BZ$2,$D157,$E157,TRUE))</f>
        <v/>
      </c>
      <c r="CA157">
        <f>IF(NOT(ISNUMBER($D157)),"",_xlfn.NORM.DIST(CA$1,$D157,$E157,TRUE)-_xlfn.NORM.DIST(CA$2,$D157,$E157,TRUE))</f>
        <v/>
      </c>
      <c r="CB157">
        <f>IF(NOT(ISNUMBER($D157)),"",_xlfn.NORM.DIST(CB$1,$D157,$E157,TRUE)-_xlfn.NORM.DIST(CB$2,$D157,$E157,TRUE))</f>
        <v/>
      </c>
      <c r="CC157">
        <f>IF(NOT(ISNUMBER($D157)),"",_xlfn.NORM.DIST(CC$1,$D157,$E157,TRUE)-_xlfn.NORM.DIST(CC$2,$D157,$E157,TRUE))</f>
        <v/>
      </c>
      <c r="CD157">
        <f>IF(NOT(ISNUMBER($D157)),"",_xlfn.NORM.DIST(CD$1,$D157,$E157,TRUE)-_xlfn.NORM.DIST(CD$2,$D157,$E157,TRUE))</f>
        <v/>
      </c>
      <c r="CE157">
        <f>IF(NOT(ISNUMBER($D157)),"",_xlfn.NORM.DIST(CE$1,$D157,$E157,TRUE)-_xlfn.NORM.DIST(CE$2,$D157,$E157,TRUE))</f>
        <v/>
      </c>
      <c r="CF157">
        <f>IF(NOT(ISNUMBER($D157)),"",_xlfn.NORM.DIST(CF$1,$D157,$E157,TRUE)-_xlfn.NORM.DIST(CF$2,$D157,$E157,TRUE))</f>
        <v/>
      </c>
      <c r="CG157">
        <f>IF(NOT(ISNUMBER($D157)),"",_xlfn.NORM.DIST(CG$1,$D157,$E157,TRUE)-_xlfn.NORM.DIST(CG$2,$D157,$E157,TRUE))</f>
        <v/>
      </c>
      <c r="CH157">
        <f>IF(NOT(ISNUMBER($D157)),"",_xlfn.NORM.DIST(CH$1,$D157,$E157,TRUE)-_xlfn.NORM.DIST(CH$2,$D157,$E157,TRUE))</f>
        <v/>
      </c>
      <c r="CI157">
        <f>IF(NOT(ISNUMBER($D157)),"",_xlfn.NORM.DIST(CI$1,$D157,$E157,TRUE)-_xlfn.NORM.DIST(CI$2,$D157,$E157,TRUE))</f>
        <v/>
      </c>
      <c r="CJ157">
        <f>IF(ISNUMBER($D157),SUM(F157:CI157),"")</f>
        <v/>
      </c>
    </row>
    <row r="158">
      <c r="A158">
        <f>economics!A157</f>
        <v/>
      </c>
      <c r="B158">
        <f>economics!B157</f>
        <v/>
      </c>
      <c r="C158">
        <f>economics!D157</f>
        <v/>
      </c>
      <c r="D158">
        <f>IF(ISNUMBER(economics!T157),economics!T157,"na")</f>
        <v/>
      </c>
      <c r="E158">
        <f>IF(ISNUMBER(D158),MAX(0.3*ABS(D158),0.000001),"na")</f>
        <v/>
      </c>
      <c r="F158">
        <f>IF(NOT(ISNUMBER($D158)),"",_xlfn.NORM.DIST(F$1,$D158,$E158,TRUE)-_xlfn.NORM.DIST(F$2,$D158,$E158,TRUE))</f>
        <v/>
      </c>
      <c r="G158">
        <f>IF(NOT(ISNUMBER($D158)),"",_xlfn.NORM.DIST(G$1,$D158,$E158,TRUE)-_xlfn.NORM.DIST(G$2,$D158,$E158,TRUE))</f>
        <v/>
      </c>
      <c r="H158">
        <f>IF(NOT(ISNUMBER($D158)),"",_xlfn.NORM.DIST(H$1,$D158,$E158,TRUE)-_xlfn.NORM.DIST(H$2,$D158,$E158,TRUE))</f>
        <v/>
      </c>
      <c r="I158">
        <f>IF(NOT(ISNUMBER($D158)),"",_xlfn.NORM.DIST(I$1,$D158,$E158,TRUE)-_xlfn.NORM.DIST(I$2,$D158,$E158,TRUE))</f>
        <v/>
      </c>
      <c r="J158">
        <f>IF(NOT(ISNUMBER($D158)),"",_xlfn.NORM.DIST(J$1,$D158,$E158,TRUE)-_xlfn.NORM.DIST(J$2,$D158,$E158,TRUE))</f>
        <v/>
      </c>
      <c r="K158">
        <f>IF(NOT(ISNUMBER($D158)),"",_xlfn.NORM.DIST(K$1,$D158,$E158,TRUE)-_xlfn.NORM.DIST(K$2,$D158,$E158,TRUE))</f>
        <v/>
      </c>
      <c r="L158">
        <f>IF(NOT(ISNUMBER($D158)),"",_xlfn.NORM.DIST(L$1,$D158,$E158,TRUE)-_xlfn.NORM.DIST(L$2,$D158,$E158,TRUE))</f>
        <v/>
      </c>
      <c r="M158">
        <f>IF(NOT(ISNUMBER($D158)),"",_xlfn.NORM.DIST(M$1,$D158,$E158,TRUE)-_xlfn.NORM.DIST(M$2,$D158,$E158,TRUE))</f>
        <v/>
      </c>
      <c r="N158">
        <f>IF(NOT(ISNUMBER($D158)),"",_xlfn.NORM.DIST(N$1,$D158,$E158,TRUE)-_xlfn.NORM.DIST(N$2,$D158,$E158,TRUE))</f>
        <v/>
      </c>
      <c r="O158">
        <f>IF(NOT(ISNUMBER($D158)),"",_xlfn.NORM.DIST(O$1,$D158,$E158,TRUE)-_xlfn.NORM.DIST(O$2,$D158,$E158,TRUE))</f>
        <v/>
      </c>
      <c r="P158">
        <f>IF(NOT(ISNUMBER($D158)),"",_xlfn.NORM.DIST(P$1,$D158,$E158,TRUE)-_xlfn.NORM.DIST(P$2,$D158,$E158,TRUE))</f>
        <v/>
      </c>
      <c r="Q158">
        <f>IF(NOT(ISNUMBER($D158)),"",_xlfn.NORM.DIST(Q$1,$D158,$E158,TRUE)-_xlfn.NORM.DIST(Q$2,$D158,$E158,TRUE))</f>
        <v/>
      </c>
      <c r="R158">
        <f>IF(NOT(ISNUMBER($D158)),"",_xlfn.NORM.DIST(R$1,$D158,$E158,TRUE)-_xlfn.NORM.DIST(R$2,$D158,$E158,TRUE))</f>
        <v/>
      </c>
      <c r="S158">
        <f>IF(NOT(ISNUMBER($D158)),"",_xlfn.NORM.DIST(S$1,$D158,$E158,TRUE)-_xlfn.NORM.DIST(S$2,$D158,$E158,TRUE))</f>
        <v/>
      </c>
      <c r="T158">
        <f>IF(NOT(ISNUMBER($D158)),"",_xlfn.NORM.DIST(T$1,$D158,$E158,TRUE)-_xlfn.NORM.DIST(T$2,$D158,$E158,TRUE))</f>
        <v/>
      </c>
      <c r="U158">
        <f>IF(NOT(ISNUMBER($D158)),"",_xlfn.NORM.DIST(U$1,$D158,$E158,TRUE)-_xlfn.NORM.DIST(U$2,$D158,$E158,TRUE))</f>
        <v/>
      </c>
      <c r="V158">
        <f>IF(NOT(ISNUMBER($D158)),"",_xlfn.NORM.DIST(V$1,$D158,$E158,TRUE)-_xlfn.NORM.DIST(V$2,$D158,$E158,TRUE))</f>
        <v/>
      </c>
      <c r="W158">
        <f>IF(NOT(ISNUMBER($D158)),"",_xlfn.NORM.DIST(W$1,$D158,$E158,TRUE)-_xlfn.NORM.DIST(W$2,$D158,$E158,TRUE))</f>
        <v/>
      </c>
      <c r="X158">
        <f>IF(NOT(ISNUMBER($D158)),"",_xlfn.NORM.DIST(X$1,$D158,$E158,TRUE)-_xlfn.NORM.DIST(X$2,$D158,$E158,TRUE))</f>
        <v/>
      </c>
      <c r="Y158">
        <f>IF(NOT(ISNUMBER($D158)),"",_xlfn.NORM.DIST(Y$1,$D158,$E158,TRUE)-_xlfn.NORM.DIST(Y$2,$D158,$E158,TRUE))</f>
        <v/>
      </c>
      <c r="Z158">
        <f>IF(NOT(ISNUMBER($D158)),"",_xlfn.NORM.DIST(Z$1,$D158,$E158,TRUE)-_xlfn.NORM.DIST(Z$2,$D158,$E158,TRUE))</f>
        <v/>
      </c>
      <c r="AA158">
        <f>IF(NOT(ISNUMBER($D158)),"",_xlfn.NORM.DIST(AA$1,$D158,$E158,TRUE)-_xlfn.NORM.DIST(AA$2,$D158,$E158,TRUE))</f>
        <v/>
      </c>
      <c r="AB158">
        <f>IF(NOT(ISNUMBER($D158)),"",_xlfn.NORM.DIST(AB$1,$D158,$E158,TRUE)-_xlfn.NORM.DIST(AB$2,$D158,$E158,TRUE))</f>
        <v/>
      </c>
      <c r="AC158">
        <f>IF(NOT(ISNUMBER($D158)),"",_xlfn.NORM.DIST(AC$1,$D158,$E158,TRUE)-_xlfn.NORM.DIST(AC$2,$D158,$E158,TRUE))</f>
        <v/>
      </c>
      <c r="AD158">
        <f>IF(NOT(ISNUMBER($D158)),"",_xlfn.NORM.DIST(AD$1,$D158,$E158,TRUE)-_xlfn.NORM.DIST(AD$2,$D158,$E158,TRUE))</f>
        <v/>
      </c>
      <c r="AE158">
        <f>IF(NOT(ISNUMBER($D158)),"",_xlfn.NORM.DIST(AE$1,$D158,$E158,TRUE)-_xlfn.NORM.DIST(AE$2,$D158,$E158,TRUE))</f>
        <v/>
      </c>
      <c r="AF158">
        <f>IF(NOT(ISNUMBER($D158)),"",_xlfn.NORM.DIST(AF$1,$D158,$E158,TRUE)-_xlfn.NORM.DIST(AF$2,$D158,$E158,TRUE))</f>
        <v/>
      </c>
      <c r="AG158">
        <f>IF(NOT(ISNUMBER($D158)),"",_xlfn.NORM.DIST(AG$1,$D158,$E158,TRUE)-_xlfn.NORM.DIST(AG$2,$D158,$E158,TRUE))</f>
        <v/>
      </c>
      <c r="AH158">
        <f>IF(NOT(ISNUMBER($D158)),"",_xlfn.NORM.DIST(AH$1,$D158,$E158,TRUE)-_xlfn.NORM.DIST(AH$2,$D158,$E158,TRUE))</f>
        <v/>
      </c>
      <c r="AI158">
        <f>IF(NOT(ISNUMBER($D158)),"",_xlfn.NORM.DIST(AI$1,$D158,$E158,TRUE)-_xlfn.NORM.DIST(AI$2,$D158,$E158,TRUE))</f>
        <v/>
      </c>
      <c r="AJ158">
        <f>IF(NOT(ISNUMBER($D158)),"",_xlfn.NORM.DIST(AJ$1,$D158,$E158,TRUE)-_xlfn.NORM.DIST(AJ$2,$D158,$E158,TRUE))</f>
        <v/>
      </c>
      <c r="AK158">
        <f>IF(NOT(ISNUMBER($D158)),"",_xlfn.NORM.DIST(AK$1,$D158,$E158,TRUE)-_xlfn.NORM.DIST(AK$2,$D158,$E158,TRUE))</f>
        <v/>
      </c>
      <c r="AL158">
        <f>IF(NOT(ISNUMBER($D158)),"",_xlfn.NORM.DIST(AL$1,$D158,$E158,TRUE)-_xlfn.NORM.DIST(AL$2,$D158,$E158,TRUE))</f>
        <v/>
      </c>
      <c r="AM158">
        <f>IF(NOT(ISNUMBER($D158)),"",_xlfn.NORM.DIST(AM$1,$D158,$E158,TRUE)-_xlfn.NORM.DIST(AM$2,$D158,$E158,TRUE))</f>
        <v/>
      </c>
      <c r="AN158">
        <f>IF(NOT(ISNUMBER($D158)),"",_xlfn.NORM.DIST(AN$1,$D158,$E158,TRUE)-_xlfn.NORM.DIST(AN$2,$D158,$E158,TRUE))</f>
        <v/>
      </c>
      <c r="AO158">
        <f>IF(NOT(ISNUMBER($D158)),"",_xlfn.NORM.DIST(AO$1,$D158,$E158,TRUE)-_xlfn.NORM.DIST(AO$2,$D158,$E158,TRUE))</f>
        <v/>
      </c>
      <c r="AP158">
        <f>IF(NOT(ISNUMBER($D158)),"",_xlfn.NORM.DIST(AP$1,$D158,$E158,TRUE)-_xlfn.NORM.DIST(AP$2,$D158,$E158,TRUE))</f>
        <v/>
      </c>
      <c r="AQ158">
        <f>IF(NOT(ISNUMBER($D158)),"",_xlfn.NORM.DIST(AQ$1,$D158,$E158,TRUE)-_xlfn.NORM.DIST(AQ$2,$D158,$E158,TRUE))</f>
        <v/>
      </c>
      <c r="AR158">
        <f>IF(NOT(ISNUMBER($D158)),"",_xlfn.NORM.DIST(AR$1,$D158,$E158,TRUE)-_xlfn.NORM.DIST(AR$2,$D158,$E158,TRUE))</f>
        <v/>
      </c>
      <c r="AS158">
        <f>IF(NOT(ISNUMBER($D158)),"",_xlfn.NORM.DIST(AS$1,$D158,$E158,TRUE)-_xlfn.NORM.DIST(AS$2,$D158,$E158,TRUE))</f>
        <v/>
      </c>
      <c r="AT158">
        <f>IF(NOT(ISNUMBER($D158)),"",_xlfn.NORM.DIST(AT$1,$D158,$E158,TRUE)-_xlfn.NORM.DIST(AT$2,$D158,$E158,TRUE))</f>
        <v/>
      </c>
      <c r="AU158">
        <f>IF(NOT(ISNUMBER($D158)),"",_xlfn.NORM.DIST(AU$1,$D158,$E158,TRUE)-_xlfn.NORM.DIST(AU$2,$D158,$E158,TRUE))</f>
        <v/>
      </c>
      <c r="AV158">
        <f>IF(NOT(ISNUMBER($D158)),"",_xlfn.NORM.DIST(AV$1,$D158,$E158,TRUE)-_xlfn.NORM.DIST(AV$2,$D158,$E158,TRUE))</f>
        <v/>
      </c>
      <c r="AW158">
        <f>IF(NOT(ISNUMBER($D158)),"",_xlfn.NORM.DIST(AW$1,$D158,$E158,TRUE)-_xlfn.NORM.DIST(AW$2,$D158,$E158,TRUE))</f>
        <v/>
      </c>
      <c r="AX158">
        <f>IF(NOT(ISNUMBER($D158)),"",_xlfn.NORM.DIST(AX$1,$D158,$E158,TRUE)-_xlfn.NORM.DIST(AX$2,$D158,$E158,TRUE))</f>
        <v/>
      </c>
      <c r="AY158">
        <f>IF(NOT(ISNUMBER($D158)),"",_xlfn.NORM.DIST(AY$1,$D158,$E158,TRUE)-_xlfn.NORM.DIST(AY$2,$D158,$E158,TRUE))</f>
        <v/>
      </c>
      <c r="AZ158">
        <f>IF(NOT(ISNUMBER($D158)),"",_xlfn.NORM.DIST(AZ$1,$D158,$E158,TRUE)-_xlfn.NORM.DIST(AZ$2,$D158,$E158,TRUE))</f>
        <v/>
      </c>
      <c r="BA158">
        <f>IF(NOT(ISNUMBER($D158)),"",_xlfn.NORM.DIST(BA$1,$D158,$E158,TRUE)-_xlfn.NORM.DIST(BA$2,$D158,$E158,TRUE))</f>
        <v/>
      </c>
      <c r="BB158">
        <f>IF(NOT(ISNUMBER($D158)),"",_xlfn.NORM.DIST(BB$1,$D158,$E158,TRUE)-_xlfn.NORM.DIST(BB$2,$D158,$E158,TRUE))</f>
        <v/>
      </c>
      <c r="BC158">
        <f>IF(NOT(ISNUMBER($D158)),"",_xlfn.NORM.DIST(BC$1,$D158,$E158,TRUE)-_xlfn.NORM.DIST(BC$2,$D158,$E158,TRUE))</f>
        <v/>
      </c>
      <c r="BD158">
        <f>IF(NOT(ISNUMBER($D158)),"",_xlfn.NORM.DIST(BD$1,$D158,$E158,TRUE)-_xlfn.NORM.DIST(BD$2,$D158,$E158,TRUE))</f>
        <v/>
      </c>
      <c r="BE158">
        <f>IF(NOT(ISNUMBER($D158)),"",_xlfn.NORM.DIST(BE$1,$D158,$E158,TRUE)-_xlfn.NORM.DIST(BE$2,$D158,$E158,TRUE))</f>
        <v/>
      </c>
      <c r="BF158">
        <f>IF(NOT(ISNUMBER($D158)),"",_xlfn.NORM.DIST(BF$1,$D158,$E158,TRUE)-_xlfn.NORM.DIST(BF$2,$D158,$E158,TRUE))</f>
        <v/>
      </c>
      <c r="BG158">
        <f>IF(NOT(ISNUMBER($D158)),"",_xlfn.NORM.DIST(BG$1,$D158,$E158,TRUE)-_xlfn.NORM.DIST(BG$2,$D158,$E158,TRUE))</f>
        <v/>
      </c>
      <c r="BH158">
        <f>IF(NOT(ISNUMBER($D158)),"",_xlfn.NORM.DIST(BH$1,$D158,$E158,TRUE)-_xlfn.NORM.DIST(BH$2,$D158,$E158,TRUE))</f>
        <v/>
      </c>
      <c r="BI158">
        <f>IF(NOT(ISNUMBER($D158)),"",_xlfn.NORM.DIST(BI$1,$D158,$E158,TRUE)-_xlfn.NORM.DIST(BI$2,$D158,$E158,TRUE))</f>
        <v/>
      </c>
      <c r="BJ158">
        <f>IF(NOT(ISNUMBER($D158)),"",_xlfn.NORM.DIST(BJ$1,$D158,$E158,TRUE)-_xlfn.NORM.DIST(BJ$2,$D158,$E158,TRUE))</f>
        <v/>
      </c>
      <c r="BK158">
        <f>IF(NOT(ISNUMBER($D158)),"",_xlfn.NORM.DIST(BK$1,$D158,$E158,TRUE)-_xlfn.NORM.DIST(BK$2,$D158,$E158,TRUE))</f>
        <v/>
      </c>
      <c r="BL158">
        <f>IF(NOT(ISNUMBER($D158)),"",_xlfn.NORM.DIST(BL$1,$D158,$E158,TRUE)-_xlfn.NORM.DIST(BL$2,$D158,$E158,TRUE))</f>
        <v/>
      </c>
      <c r="BM158">
        <f>IF(NOT(ISNUMBER($D158)),"",_xlfn.NORM.DIST(BM$1,$D158,$E158,TRUE)-_xlfn.NORM.DIST(BM$2,$D158,$E158,TRUE))</f>
        <v/>
      </c>
      <c r="BN158">
        <f>IF(NOT(ISNUMBER($D158)),"",_xlfn.NORM.DIST(BN$1,$D158,$E158,TRUE)-_xlfn.NORM.DIST(BN$2,$D158,$E158,TRUE))</f>
        <v/>
      </c>
      <c r="BO158">
        <f>IF(NOT(ISNUMBER($D158)),"",_xlfn.NORM.DIST(BO$1,$D158,$E158,TRUE)-_xlfn.NORM.DIST(BO$2,$D158,$E158,TRUE))</f>
        <v/>
      </c>
      <c r="BP158">
        <f>IF(NOT(ISNUMBER($D158)),"",_xlfn.NORM.DIST(BP$1,$D158,$E158,TRUE)-_xlfn.NORM.DIST(BP$2,$D158,$E158,TRUE))</f>
        <v/>
      </c>
      <c r="BQ158">
        <f>IF(NOT(ISNUMBER($D158)),"",_xlfn.NORM.DIST(BQ$1,$D158,$E158,TRUE)-_xlfn.NORM.DIST(BQ$2,$D158,$E158,TRUE))</f>
        <v/>
      </c>
      <c r="BR158">
        <f>IF(NOT(ISNUMBER($D158)),"",_xlfn.NORM.DIST(BR$1,$D158,$E158,TRUE)-_xlfn.NORM.DIST(BR$2,$D158,$E158,TRUE))</f>
        <v/>
      </c>
      <c r="BS158">
        <f>IF(NOT(ISNUMBER($D158)),"",_xlfn.NORM.DIST(BS$1,$D158,$E158,TRUE)-_xlfn.NORM.DIST(BS$2,$D158,$E158,TRUE))</f>
        <v/>
      </c>
      <c r="BT158">
        <f>IF(NOT(ISNUMBER($D158)),"",_xlfn.NORM.DIST(BT$1,$D158,$E158,TRUE)-_xlfn.NORM.DIST(BT$2,$D158,$E158,TRUE))</f>
        <v/>
      </c>
      <c r="BU158">
        <f>IF(NOT(ISNUMBER($D158)),"",_xlfn.NORM.DIST(BU$1,$D158,$E158,TRUE)-_xlfn.NORM.DIST(BU$2,$D158,$E158,TRUE))</f>
        <v/>
      </c>
      <c r="BV158">
        <f>IF(NOT(ISNUMBER($D158)),"",_xlfn.NORM.DIST(BV$1,$D158,$E158,TRUE)-_xlfn.NORM.DIST(BV$2,$D158,$E158,TRUE))</f>
        <v/>
      </c>
      <c r="BW158">
        <f>IF(NOT(ISNUMBER($D158)),"",_xlfn.NORM.DIST(BW$1,$D158,$E158,TRUE)-_xlfn.NORM.DIST(BW$2,$D158,$E158,TRUE))</f>
        <v/>
      </c>
      <c r="BX158">
        <f>IF(NOT(ISNUMBER($D158)),"",_xlfn.NORM.DIST(BX$1,$D158,$E158,TRUE)-_xlfn.NORM.DIST(BX$2,$D158,$E158,TRUE))</f>
        <v/>
      </c>
      <c r="BY158">
        <f>IF(NOT(ISNUMBER($D158)),"",_xlfn.NORM.DIST(BY$1,$D158,$E158,TRUE)-_xlfn.NORM.DIST(BY$2,$D158,$E158,TRUE))</f>
        <v/>
      </c>
      <c r="BZ158">
        <f>IF(NOT(ISNUMBER($D158)),"",_xlfn.NORM.DIST(BZ$1,$D158,$E158,TRUE)-_xlfn.NORM.DIST(BZ$2,$D158,$E158,TRUE))</f>
        <v/>
      </c>
      <c r="CA158">
        <f>IF(NOT(ISNUMBER($D158)),"",_xlfn.NORM.DIST(CA$1,$D158,$E158,TRUE)-_xlfn.NORM.DIST(CA$2,$D158,$E158,TRUE))</f>
        <v/>
      </c>
      <c r="CB158">
        <f>IF(NOT(ISNUMBER($D158)),"",_xlfn.NORM.DIST(CB$1,$D158,$E158,TRUE)-_xlfn.NORM.DIST(CB$2,$D158,$E158,TRUE))</f>
        <v/>
      </c>
      <c r="CC158">
        <f>IF(NOT(ISNUMBER($D158)),"",_xlfn.NORM.DIST(CC$1,$D158,$E158,TRUE)-_xlfn.NORM.DIST(CC$2,$D158,$E158,TRUE))</f>
        <v/>
      </c>
      <c r="CD158">
        <f>IF(NOT(ISNUMBER($D158)),"",_xlfn.NORM.DIST(CD$1,$D158,$E158,TRUE)-_xlfn.NORM.DIST(CD$2,$D158,$E158,TRUE))</f>
        <v/>
      </c>
      <c r="CE158">
        <f>IF(NOT(ISNUMBER($D158)),"",_xlfn.NORM.DIST(CE$1,$D158,$E158,TRUE)-_xlfn.NORM.DIST(CE$2,$D158,$E158,TRUE))</f>
        <v/>
      </c>
      <c r="CF158">
        <f>IF(NOT(ISNUMBER($D158)),"",_xlfn.NORM.DIST(CF$1,$D158,$E158,TRUE)-_xlfn.NORM.DIST(CF$2,$D158,$E158,TRUE))</f>
        <v/>
      </c>
      <c r="CG158">
        <f>IF(NOT(ISNUMBER($D158)),"",_xlfn.NORM.DIST(CG$1,$D158,$E158,TRUE)-_xlfn.NORM.DIST(CG$2,$D158,$E158,TRUE))</f>
        <v/>
      </c>
      <c r="CH158">
        <f>IF(NOT(ISNUMBER($D158)),"",_xlfn.NORM.DIST(CH$1,$D158,$E158,TRUE)-_xlfn.NORM.DIST(CH$2,$D158,$E158,TRUE))</f>
        <v/>
      </c>
      <c r="CI158">
        <f>IF(NOT(ISNUMBER($D158)),"",_xlfn.NORM.DIST(CI$1,$D158,$E158,TRUE)-_xlfn.NORM.DIST(CI$2,$D158,$E158,TRUE))</f>
        <v/>
      </c>
      <c r="CJ158">
        <f>IF(ISNUMBER($D158),SUM(F158:CI158),"")</f>
        <v/>
      </c>
    </row>
    <row r="159">
      <c r="A159">
        <f>economics!A158</f>
        <v/>
      </c>
      <c r="B159">
        <f>economics!B158</f>
        <v/>
      </c>
      <c r="C159">
        <f>economics!D158</f>
        <v/>
      </c>
      <c r="D159">
        <f>IF(ISNUMBER(economics!T158),economics!T158,"na")</f>
        <v/>
      </c>
      <c r="E159">
        <f>IF(ISNUMBER(D159),MAX(0.3*ABS(D159),0.000001),"na")</f>
        <v/>
      </c>
      <c r="F159">
        <f>IF(NOT(ISNUMBER($D159)),"",_xlfn.NORM.DIST(F$1,$D159,$E159,TRUE)-_xlfn.NORM.DIST(F$2,$D159,$E159,TRUE))</f>
        <v/>
      </c>
      <c r="G159">
        <f>IF(NOT(ISNUMBER($D159)),"",_xlfn.NORM.DIST(G$1,$D159,$E159,TRUE)-_xlfn.NORM.DIST(G$2,$D159,$E159,TRUE))</f>
        <v/>
      </c>
      <c r="H159">
        <f>IF(NOT(ISNUMBER($D159)),"",_xlfn.NORM.DIST(H$1,$D159,$E159,TRUE)-_xlfn.NORM.DIST(H$2,$D159,$E159,TRUE))</f>
        <v/>
      </c>
      <c r="I159">
        <f>IF(NOT(ISNUMBER($D159)),"",_xlfn.NORM.DIST(I$1,$D159,$E159,TRUE)-_xlfn.NORM.DIST(I$2,$D159,$E159,TRUE))</f>
        <v/>
      </c>
      <c r="J159">
        <f>IF(NOT(ISNUMBER($D159)),"",_xlfn.NORM.DIST(J$1,$D159,$E159,TRUE)-_xlfn.NORM.DIST(J$2,$D159,$E159,TRUE))</f>
        <v/>
      </c>
      <c r="K159">
        <f>IF(NOT(ISNUMBER($D159)),"",_xlfn.NORM.DIST(K$1,$D159,$E159,TRUE)-_xlfn.NORM.DIST(K$2,$D159,$E159,TRUE))</f>
        <v/>
      </c>
      <c r="L159">
        <f>IF(NOT(ISNUMBER($D159)),"",_xlfn.NORM.DIST(L$1,$D159,$E159,TRUE)-_xlfn.NORM.DIST(L$2,$D159,$E159,TRUE))</f>
        <v/>
      </c>
      <c r="M159">
        <f>IF(NOT(ISNUMBER($D159)),"",_xlfn.NORM.DIST(M$1,$D159,$E159,TRUE)-_xlfn.NORM.DIST(M$2,$D159,$E159,TRUE))</f>
        <v/>
      </c>
      <c r="N159">
        <f>IF(NOT(ISNUMBER($D159)),"",_xlfn.NORM.DIST(N$1,$D159,$E159,TRUE)-_xlfn.NORM.DIST(N$2,$D159,$E159,TRUE))</f>
        <v/>
      </c>
      <c r="O159">
        <f>IF(NOT(ISNUMBER($D159)),"",_xlfn.NORM.DIST(O$1,$D159,$E159,TRUE)-_xlfn.NORM.DIST(O$2,$D159,$E159,TRUE))</f>
        <v/>
      </c>
      <c r="P159">
        <f>IF(NOT(ISNUMBER($D159)),"",_xlfn.NORM.DIST(P$1,$D159,$E159,TRUE)-_xlfn.NORM.DIST(P$2,$D159,$E159,TRUE))</f>
        <v/>
      </c>
      <c r="Q159">
        <f>IF(NOT(ISNUMBER($D159)),"",_xlfn.NORM.DIST(Q$1,$D159,$E159,TRUE)-_xlfn.NORM.DIST(Q$2,$D159,$E159,TRUE))</f>
        <v/>
      </c>
      <c r="R159">
        <f>IF(NOT(ISNUMBER($D159)),"",_xlfn.NORM.DIST(R$1,$D159,$E159,TRUE)-_xlfn.NORM.DIST(R$2,$D159,$E159,TRUE))</f>
        <v/>
      </c>
      <c r="S159">
        <f>IF(NOT(ISNUMBER($D159)),"",_xlfn.NORM.DIST(S$1,$D159,$E159,TRUE)-_xlfn.NORM.DIST(S$2,$D159,$E159,TRUE))</f>
        <v/>
      </c>
      <c r="T159">
        <f>IF(NOT(ISNUMBER($D159)),"",_xlfn.NORM.DIST(T$1,$D159,$E159,TRUE)-_xlfn.NORM.DIST(T$2,$D159,$E159,TRUE))</f>
        <v/>
      </c>
      <c r="U159">
        <f>IF(NOT(ISNUMBER($D159)),"",_xlfn.NORM.DIST(U$1,$D159,$E159,TRUE)-_xlfn.NORM.DIST(U$2,$D159,$E159,TRUE))</f>
        <v/>
      </c>
      <c r="V159">
        <f>IF(NOT(ISNUMBER($D159)),"",_xlfn.NORM.DIST(V$1,$D159,$E159,TRUE)-_xlfn.NORM.DIST(V$2,$D159,$E159,TRUE))</f>
        <v/>
      </c>
      <c r="W159">
        <f>IF(NOT(ISNUMBER($D159)),"",_xlfn.NORM.DIST(W$1,$D159,$E159,TRUE)-_xlfn.NORM.DIST(W$2,$D159,$E159,TRUE))</f>
        <v/>
      </c>
      <c r="X159">
        <f>IF(NOT(ISNUMBER($D159)),"",_xlfn.NORM.DIST(X$1,$D159,$E159,TRUE)-_xlfn.NORM.DIST(X$2,$D159,$E159,TRUE))</f>
        <v/>
      </c>
      <c r="Y159">
        <f>IF(NOT(ISNUMBER($D159)),"",_xlfn.NORM.DIST(Y$1,$D159,$E159,TRUE)-_xlfn.NORM.DIST(Y$2,$D159,$E159,TRUE))</f>
        <v/>
      </c>
      <c r="Z159">
        <f>IF(NOT(ISNUMBER($D159)),"",_xlfn.NORM.DIST(Z$1,$D159,$E159,TRUE)-_xlfn.NORM.DIST(Z$2,$D159,$E159,TRUE))</f>
        <v/>
      </c>
      <c r="AA159">
        <f>IF(NOT(ISNUMBER($D159)),"",_xlfn.NORM.DIST(AA$1,$D159,$E159,TRUE)-_xlfn.NORM.DIST(AA$2,$D159,$E159,TRUE))</f>
        <v/>
      </c>
      <c r="AB159">
        <f>IF(NOT(ISNUMBER($D159)),"",_xlfn.NORM.DIST(AB$1,$D159,$E159,TRUE)-_xlfn.NORM.DIST(AB$2,$D159,$E159,TRUE))</f>
        <v/>
      </c>
      <c r="AC159">
        <f>IF(NOT(ISNUMBER($D159)),"",_xlfn.NORM.DIST(AC$1,$D159,$E159,TRUE)-_xlfn.NORM.DIST(AC$2,$D159,$E159,TRUE))</f>
        <v/>
      </c>
      <c r="AD159">
        <f>IF(NOT(ISNUMBER($D159)),"",_xlfn.NORM.DIST(AD$1,$D159,$E159,TRUE)-_xlfn.NORM.DIST(AD$2,$D159,$E159,TRUE))</f>
        <v/>
      </c>
      <c r="AE159">
        <f>IF(NOT(ISNUMBER($D159)),"",_xlfn.NORM.DIST(AE$1,$D159,$E159,TRUE)-_xlfn.NORM.DIST(AE$2,$D159,$E159,TRUE))</f>
        <v/>
      </c>
      <c r="AF159">
        <f>IF(NOT(ISNUMBER($D159)),"",_xlfn.NORM.DIST(AF$1,$D159,$E159,TRUE)-_xlfn.NORM.DIST(AF$2,$D159,$E159,TRUE))</f>
        <v/>
      </c>
      <c r="AG159">
        <f>IF(NOT(ISNUMBER($D159)),"",_xlfn.NORM.DIST(AG$1,$D159,$E159,TRUE)-_xlfn.NORM.DIST(AG$2,$D159,$E159,TRUE))</f>
        <v/>
      </c>
      <c r="AH159">
        <f>IF(NOT(ISNUMBER($D159)),"",_xlfn.NORM.DIST(AH$1,$D159,$E159,TRUE)-_xlfn.NORM.DIST(AH$2,$D159,$E159,TRUE))</f>
        <v/>
      </c>
      <c r="AI159">
        <f>IF(NOT(ISNUMBER($D159)),"",_xlfn.NORM.DIST(AI$1,$D159,$E159,TRUE)-_xlfn.NORM.DIST(AI$2,$D159,$E159,TRUE))</f>
        <v/>
      </c>
      <c r="AJ159">
        <f>IF(NOT(ISNUMBER($D159)),"",_xlfn.NORM.DIST(AJ$1,$D159,$E159,TRUE)-_xlfn.NORM.DIST(AJ$2,$D159,$E159,TRUE))</f>
        <v/>
      </c>
      <c r="AK159">
        <f>IF(NOT(ISNUMBER($D159)),"",_xlfn.NORM.DIST(AK$1,$D159,$E159,TRUE)-_xlfn.NORM.DIST(AK$2,$D159,$E159,TRUE))</f>
        <v/>
      </c>
      <c r="AL159">
        <f>IF(NOT(ISNUMBER($D159)),"",_xlfn.NORM.DIST(AL$1,$D159,$E159,TRUE)-_xlfn.NORM.DIST(AL$2,$D159,$E159,TRUE))</f>
        <v/>
      </c>
      <c r="AM159">
        <f>IF(NOT(ISNUMBER($D159)),"",_xlfn.NORM.DIST(AM$1,$D159,$E159,TRUE)-_xlfn.NORM.DIST(AM$2,$D159,$E159,TRUE))</f>
        <v/>
      </c>
      <c r="AN159">
        <f>IF(NOT(ISNUMBER($D159)),"",_xlfn.NORM.DIST(AN$1,$D159,$E159,TRUE)-_xlfn.NORM.DIST(AN$2,$D159,$E159,TRUE))</f>
        <v/>
      </c>
      <c r="AO159">
        <f>IF(NOT(ISNUMBER($D159)),"",_xlfn.NORM.DIST(AO$1,$D159,$E159,TRUE)-_xlfn.NORM.DIST(AO$2,$D159,$E159,TRUE))</f>
        <v/>
      </c>
      <c r="AP159">
        <f>IF(NOT(ISNUMBER($D159)),"",_xlfn.NORM.DIST(AP$1,$D159,$E159,TRUE)-_xlfn.NORM.DIST(AP$2,$D159,$E159,TRUE))</f>
        <v/>
      </c>
      <c r="AQ159">
        <f>IF(NOT(ISNUMBER($D159)),"",_xlfn.NORM.DIST(AQ$1,$D159,$E159,TRUE)-_xlfn.NORM.DIST(AQ$2,$D159,$E159,TRUE))</f>
        <v/>
      </c>
      <c r="AR159">
        <f>IF(NOT(ISNUMBER($D159)),"",_xlfn.NORM.DIST(AR$1,$D159,$E159,TRUE)-_xlfn.NORM.DIST(AR$2,$D159,$E159,TRUE))</f>
        <v/>
      </c>
      <c r="AS159">
        <f>IF(NOT(ISNUMBER($D159)),"",_xlfn.NORM.DIST(AS$1,$D159,$E159,TRUE)-_xlfn.NORM.DIST(AS$2,$D159,$E159,TRUE))</f>
        <v/>
      </c>
      <c r="AT159">
        <f>IF(NOT(ISNUMBER($D159)),"",_xlfn.NORM.DIST(AT$1,$D159,$E159,TRUE)-_xlfn.NORM.DIST(AT$2,$D159,$E159,TRUE))</f>
        <v/>
      </c>
      <c r="AU159">
        <f>IF(NOT(ISNUMBER($D159)),"",_xlfn.NORM.DIST(AU$1,$D159,$E159,TRUE)-_xlfn.NORM.DIST(AU$2,$D159,$E159,TRUE))</f>
        <v/>
      </c>
      <c r="AV159">
        <f>IF(NOT(ISNUMBER($D159)),"",_xlfn.NORM.DIST(AV$1,$D159,$E159,TRUE)-_xlfn.NORM.DIST(AV$2,$D159,$E159,TRUE))</f>
        <v/>
      </c>
      <c r="AW159">
        <f>IF(NOT(ISNUMBER($D159)),"",_xlfn.NORM.DIST(AW$1,$D159,$E159,TRUE)-_xlfn.NORM.DIST(AW$2,$D159,$E159,TRUE))</f>
        <v/>
      </c>
      <c r="AX159">
        <f>IF(NOT(ISNUMBER($D159)),"",_xlfn.NORM.DIST(AX$1,$D159,$E159,TRUE)-_xlfn.NORM.DIST(AX$2,$D159,$E159,TRUE))</f>
        <v/>
      </c>
      <c r="AY159">
        <f>IF(NOT(ISNUMBER($D159)),"",_xlfn.NORM.DIST(AY$1,$D159,$E159,TRUE)-_xlfn.NORM.DIST(AY$2,$D159,$E159,TRUE))</f>
        <v/>
      </c>
      <c r="AZ159">
        <f>IF(NOT(ISNUMBER($D159)),"",_xlfn.NORM.DIST(AZ$1,$D159,$E159,TRUE)-_xlfn.NORM.DIST(AZ$2,$D159,$E159,TRUE))</f>
        <v/>
      </c>
      <c r="BA159">
        <f>IF(NOT(ISNUMBER($D159)),"",_xlfn.NORM.DIST(BA$1,$D159,$E159,TRUE)-_xlfn.NORM.DIST(BA$2,$D159,$E159,TRUE))</f>
        <v/>
      </c>
      <c r="BB159">
        <f>IF(NOT(ISNUMBER($D159)),"",_xlfn.NORM.DIST(BB$1,$D159,$E159,TRUE)-_xlfn.NORM.DIST(BB$2,$D159,$E159,TRUE))</f>
        <v/>
      </c>
      <c r="BC159">
        <f>IF(NOT(ISNUMBER($D159)),"",_xlfn.NORM.DIST(BC$1,$D159,$E159,TRUE)-_xlfn.NORM.DIST(BC$2,$D159,$E159,TRUE))</f>
        <v/>
      </c>
      <c r="BD159">
        <f>IF(NOT(ISNUMBER($D159)),"",_xlfn.NORM.DIST(BD$1,$D159,$E159,TRUE)-_xlfn.NORM.DIST(BD$2,$D159,$E159,TRUE))</f>
        <v/>
      </c>
      <c r="BE159">
        <f>IF(NOT(ISNUMBER($D159)),"",_xlfn.NORM.DIST(BE$1,$D159,$E159,TRUE)-_xlfn.NORM.DIST(BE$2,$D159,$E159,TRUE))</f>
        <v/>
      </c>
      <c r="BF159">
        <f>IF(NOT(ISNUMBER($D159)),"",_xlfn.NORM.DIST(BF$1,$D159,$E159,TRUE)-_xlfn.NORM.DIST(BF$2,$D159,$E159,TRUE))</f>
        <v/>
      </c>
      <c r="BG159">
        <f>IF(NOT(ISNUMBER($D159)),"",_xlfn.NORM.DIST(BG$1,$D159,$E159,TRUE)-_xlfn.NORM.DIST(BG$2,$D159,$E159,TRUE))</f>
        <v/>
      </c>
      <c r="BH159">
        <f>IF(NOT(ISNUMBER($D159)),"",_xlfn.NORM.DIST(BH$1,$D159,$E159,TRUE)-_xlfn.NORM.DIST(BH$2,$D159,$E159,TRUE))</f>
        <v/>
      </c>
      <c r="BI159">
        <f>IF(NOT(ISNUMBER($D159)),"",_xlfn.NORM.DIST(BI$1,$D159,$E159,TRUE)-_xlfn.NORM.DIST(BI$2,$D159,$E159,TRUE))</f>
        <v/>
      </c>
      <c r="BJ159">
        <f>IF(NOT(ISNUMBER($D159)),"",_xlfn.NORM.DIST(BJ$1,$D159,$E159,TRUE)-_xlfn.NORM.DIST(BJ$2,$D159,$E159,TRUE))</f>
        <v/>
      </c>
      <c r="BK159">
        <f>IF(NOT(ISNUMBER($D159)),"",_xlfn.NORM.DIST(BK$1,$D159,$E159,TRUE)-_xlfn.NORM.DIST(BK$2,$D159,$E159,TRUE))</f>
        <v/>
      </c>
      <c r="BL159">
        <f>IF(NOT(ISNUMBER($D159)),"",_xlfn.NORM.DIST(BL$1,$D159,$E159,TRUE)-_xlfn.NORM.DIST(BL$2,$D159,$E159,TRUE))</f>
        <v/>
      </c>
      <c r="BM159">
        <f>IF(NOT(ISNUMBER($D159)),"",_xlfn.NORM.DIST(BM$1,$D159,$E159,TRUE)-_xlfn.NORM.DIST(BM$2,$D159,$E159,TRUE))</f>
        <v/>
      </c>
      <c r="BN159">
        <f>IF(NOT(ISNUMBER($D159)),"",_xlfn.NORM.DIST(BN$1,$D159,$E159,TRUE)-_xlfn.NORM.DIST(BN$2,$D159,$E159,TRUE))</f>
        <v/>
      </c>
      <c r="BO159">
        <f>IF(NOT(ISNUMBER($D159)),"",_xlfn.NORM.DIST(BO$1,$D159,$E159,TRUE)-_xlfn.NORM.DIST(BO$2,$D159,$E159,TRUE))</f>
        <v/>
      </c>
      <c r="BP159">
        <f>IF(NOT(ISNUMBER($D159)),"",_xlfn.NORM.DIST(BP$1,$D159,$E159,TRUE)-_xlfn.NORM.DIST(BP$2,$D159,$E159,TRUE))</f>
        <v/>
      </c>
      <c r="BQ159">
        <f>IF(NOT(ISNUMBER($D159)),"",_xlfn.NORM.DIST(BQ$1,$D159,$E159,TRUE)-_xlfn.NORM.DIST(BQ$2,$D159,$E159,TRUE))</f>
        <v/>
      </c>
      <c r="BR159">
        <f>IF(NOT(ISNUMBER($D159)),"",_xlfn.NORM.DIST(BR$1,$D159,$E159,TRUE)-_xlfn.NORM.DIST(BR$2,$D159,$E159,TRUE))</f>
        <v/>
      </c>
      <c r="BS159">
        <f>IF(NOT(ISNUMBER($D159)),"",_xlfn.NORM.DIST(BS$1,$D159,$E159,TRUE)-_xlfn.NORM.DIST(BS$2,$D159,$E159,TRUE))</f>
        <v/>
      </c>
      <c r="BT159">
        <f>IF(NOT(ISNUMBER($D159)),"",_xlfn.NORM.DIST(BT$1,$D159,$E159,TRUE)-_xlfn.NORM.DIST(BT$2,$D159,$E159,TRUE))</f>
        <v/>
      </c>
      <c r="BU159">
        <f>IF(NOT(ISNUMBER($D159)),"",_xlfn.NORM.DIST(BU$1,$D159,$E159,TRUE)-_xlfn.NORM.DIST(BU$2,$D159,$E159,TRUE))</f>
        <v/>
      </c>
      <c r="BV159">
        <f>IF(NOT(ISNUMBER($D159)),"",_xlfn.NORM.DIST(BV$1,$D159,$E159,TRUE)-_xlfn.NORM.DIST(BV$2,$D159,$E159,TRUE))</f>
        <v/>
      </c>
      <c r="BW159">
        <f>IF(NOT(ISNUMBER($D159)),"",_xlfn.NORM.DIST(BW$1,$D159,$E159,TRUE)-_xlfn.NORM.DIST(BW$2,$D159,$E159,TRUE))</f>
        <v/>
      </c>
      <c r="BX159">
        <f>IF(NOT(ISNUMBER($D159)),"",_xlfn.NORM.DIST(BX$1,$D159,$E159,TRUE)-_xlfn.NORM.DIST(BX$2,$D159,$E159,TRUE))</f>
        <v/>
      </c>
      <c r="BY159">
        <f>IF(NOT(ISNUMBER($D159)),"",_xlfn.NORM.DIST(BY$1,$D159,$E159,TRUE)-_xlfn.NORM.DIST(BY$2,$D159,$E159,TRUE))</f>
        <v/>
      </c>
      <c r="BZ159">
        <f>IF(NOT(ISNUMBER($D159)),"",_xlfn.NORM.DIST(BZ$1,$D159,$E159,TRUE)-_xlfn.NORM.DIST(BZ$2,$D159,$E159,TRUE))</f>
        <v/>
      </c>
      <c r="CA159">
        <f>IF(NOT(ISNUMBER($D159)),"",_xlfn.NORM.DIST(CA$1,$D159,$E159,TRUE)-_xlfn.NORM.DIST(CA$2,$D159,$E159,TRUE))</f>
        <v/>
      </c>
      <c r="CB159">
        <f>IF(NOT(ISNUMBER($D159)),"",_xlfn.NORM.DIST(CB$1,$D159,$E159,TRUE)-_xlfn.NORM.DIST(CB$2,$D159,$E159,TRUE))</f>
        <v/>
      </c>
      <c r="CC159">
        <f>IF(NOT(ISNUMBER($D159)),"",_xlfn.NORM.DIST(CC$1,$D159,$E159,TRUE)-_xlfn.NORM.DIST(CC$2,$D159,$E159,TRUE))</f>
        <v/>
      </c>
      <c r="CD159">
        <f>IF(NOT(ISNUMBER($D159)),"",_xlfn.NORM.DIST(CD$1,$D159,$E159,TRUE)-_xlfn.NORM.DIST(CD$2,$D159,$E159,TRUE))</f>
        <v/>
      </c>
      <c r="CE159">
        <f>IF(NOT(ISNUMBER($D159)),"",_xlfn.NORM.DIST(CE$1,$D159,$E159,TRUE)-_xlfn.NORM.DIST(CE$2,$D159,$E159,TRUE))</f>
        <v/>
      </c>
      <c r="CF159">
        <f>IF(NOT(ISNUMBER($D159)),"",_xlfn.NORM.DIST(CF$1,$D159,$E159,TRUE)-_xlfn.NORM.DIST(CF$2,$D159,$E159,TRUE))</f>
        <v/>
      </c>
      <c r="CG159">
        <f>IF(NOT(ISNUMBER($D159)),"",_xlfn.NORM.DIST(CG$1,$D159,$E159,TRUE)-_xlfn.NORM.DIST(CG$2,$D159,$E159,TRUE))</f>
        <v/>
      </c>
      <c r="CH159">
        <f>IF(NOT(ISNUMBER($D159)),"",_xlfn.NORM.DIST(CH$1,$D159,$E159,TRUE)-_xlfn.NORM.DIST(CH$2,$D159,$E159,TRUE))</f>
        <v/>
      </c>
      <c r="CI159">
        <f>IF(NOT(ISNUMBER($D159)),"",_xlfn.NORM.DIST(CI$1,$D159,$E159,TRUE)-_xlfn.NORM.DIST(CI$2,$D159,$E159,TRUE))</f>
        <v/>
      </c>
      <c r="CJ159">
        <f>IF(ISNUMBER($D159),SUM(F159:CI159),"")</f>
        <v/>
      </c>
    </row>
    <row r="160">
      <c r="A160">
        <f>economics!A159</f>
        <v/>
      </c>
      <c r="B160">
        <f>economics!B159</f>
        <v/>
      </c>
      <c r="C160">
        <f>economics!D159</f>
        <v/>
      </c>
      <c r="D160">
        <f>IF(ISNUMBER(economics!T159),economics!T159,"na")</f>
        <v/>
      </c>
      <c r="E160">
        <f>IF(ISNUMBER(D160),MAX(0.3*ABS(D160),0.000001),"na")</f>
        <v/>
      </c>
      <c r="F160">
        <f>IF(NOT(ISNUMBER($D160)),"",_xlfn.NORM.DIST(F$1,$D160,$E160,TRUE)-_xlfn.NORM.DIST(F$2,$D160,$E160,TRUE))</f>
        <v/>
      </c>
      <c r="G160">
        <f>IF(NOT(ISNUMBER($D160)),"",_xlfn.NORM.DIST(G$1,$D160,$E160,TRUE)-_xlfn.NORM.DIST(G$2,$D160,$E160,TRUE))</f>
        <v/>
      </c>
      <c r="H160">
        <f>IF(NOT(ISNUMBER($D160)),"",_xlfn.NORM.DIST(H$1,$D160,$E160,TRUE)-_xlfn.NORM.DIST(H$2,$D160,$E160,TRUE))</f>
        <v/>
      </c>
      <c r="I160">
        <f>IF(NOT(ISNUMBER($D160)),"",_xlfn.NORM.DIST(I$1,$D160,$E160,TRUE)-_xlfn.NORM.DIST(I$2,$D160,$E160,TRUE))</f>
        <v/>
      </c>
      <c r="J160">
        <f>IF(NOT(ISNUMBER($D160)),"",_xlfn.NORM.DIST(J$1,$D160,$E160,TRUE)-_xlfn.NORM.DIST(J$2,$D160,$E160,TRUE))</f>
        <v/>
      </c>
      <c r="K160">
        <f>IF(NOT(ISNUMBER($D160)),"",_xlfn.NORM.DIST(K$1,$D160,$E160,TRUE)-_xlfn.NORM.DIST(K$2,$D160,$E160,TRUE))</f>
        <v/>
      </c>
      <c r="L160">
        <f>IF(NOT(ISNUMBER($D160)),"",_xlfn.NORM.DIST(L$1,$D160,$E160,TRUE)-_xlfn.NORM.DIST(L$2,$D160,$E160,TRUE))</f>
        <v/>
      </c>
      <c r="M160">
        <f>IF(NOT(ISNUMBER($D160)),"",_xlfn.NORM.DIST(M$1,$D160,$E160,TRUE)-_xlfn.NORM.DIST(M$2,$D160,$E160,TRUE))</f>
        <v/>
      </c>
      <c r="N160">
        <f>IF(NOT(ISNUMBER($D160)),"",_xlfn.NORM.DIST(N$1,$D160,$E160,TRUE)-_xlfn.NORM.DIST(N$2,$D160,$E160,TRUE))</f>
        <v/>
      </c>
      <c r="O160">
        <f>IF(NOT(ISNUMBER($D160)),"",_xlfn.NORM.DIST(O$1,$D160,$E160,TRUE)-_xlfn.NORM.DIST(O$2,$D160,$E160,TRUE))</f>
        <v/>
      </c>
      <c r="P160">
        <f>IF(NOT(ISNUMBER($D160)),"",_xlfn.NORM.DIST(P$1,$D160,$E160,TRUE)-_xlfn.NORM.DIST(P$2,$D160,$E160,TRUE))</f>
        <v/>
      </c>
      <c r="Q160">
        <f>IF(NOT(ISNUMBER($D160)),"",_xlfn.NORM.DIST(Q$1,$D160,$E160,TRUE)-_xlfn.NORM.DIST(Q$2,$D160,$E160,TRUE))</f>
        <v/>
      </c>
      <c r="R160">
        <f>IF(NOT(ISNUMBER($D160)),"",_xlfn.NORM.DIST(R$1,$D160,$E160,TRUE)-_xlfn.NORM.DIST(R$2,$D160,$E160,TRUE))</f>
        <v/>
      </c>
      <c r="S160">
        <f>IF(NOT(ISNUMBER($D160)),"",_xlfn.NORM.DIST(S$1,$D160,$E160,TRUE)-_xlfn.NORM.DIST(S$2,$D160,$E160,TRUE))</f>
        <v/>
      </c>
      <c r="T160">
        <f>IF(NOT(ISNUMBER($D160)),"",_xlfn.NORM.DIST(T$1,$D160,$E160,TRUE)-_xlfn.NORM.DIST(T$2,$D160,$E160,TRUE))</f>
        <v/>
      </c>
      <c r="U160">
        <f>IF(NOT(ISNUMBER($D160)),"",_xlfn.NORM.DIST(U$1,$D160,$E160,TRUE)-_xlfn.NORM.DIST(U$2,$D160,$E160,TRUE))</f>
        <v/>
      </c>
      <c r="V160">
        <f>IF(NOT(ISNUMBER($D160)),"",_xlfn.NORM.DIST(V$1,$D160,$E160,TRUE)-_xlfn.NORM.DIST(V$2,$D160,$E160,TRUE))</f>
        <v/>
      </c>
      <c r="W160">
        <f>IF(NOT(ISNUMBER($D160)),"",_xlfn.NORM.DIST(W$1,$D160,$E160,TRUE)-_xlfn.NORM.DIST(W$2,$D160,$E160,TRUE))</f>
        <v/>
      </c>
      <c r="X160">
        <f>IF(NOT(ISNUMBER($D160)),"",_xlfn.NORM.DIST(X$1,$D160,$E160,TRUE)-_xlfn.NORM.DIST(X$2,$D160,$E160,TRUE))</f>
        <v/>
      </c>
      <c r="Y160">
        <f>IF(NOT(ISNUMBER($D160)),"",_xlfn.NORM.DIST(Y$1,$D160,$E160,TRUE)-_xlfn.NORM.DIST(Y$2,$D160,$E160,TRUE))</f>
        <v/>
      </c>
      <c r="Z160">
        <f>IF(NOT(ISNUMBER($D160)),"",_xlfn.NORM.DIST(Z$1,$D160,$E160,TRUE)-_xlfn.NORM.DIST(Z$2,$D160,$E160,TRUE))</f>
        <v/>
      </c>
      <c r="AA160">
        <f>IF(NOT(ISNUMBER($D160)),"",_xlfn.NORM.DIST(AA$1,$D160,$E160,TRUE)-_xlfn.NORM.DIST(AA$2,$D160,$E160,TRUE))</f>
        <v/>
      </c>
      <c r="AB160">
        <f>IF(NOT(ISNUMBER($D160)),"",_xlfn.NORM.DIST(AB$1,$D160,$E160,TRUE)-_xlfn.NORM.DIST(AB$2,$D160,$E160,TRUE))</f>
        <v/>
      </c>
      <c r="AC160">
        <f>IF(NOT(ISNUMBER($D160)),"",_xlfn.NORM.DIST(AC$1,$D160,$E160,TRUE)-_xlfn.NORM.DIST(AC$2,$D160,$E160,TRUE))</f>
        <v/>
      </c>
      <c r="AD160">
        <f>IF(NOT(ISNUMBER($D160)),"",_xlfn.NORM.DIST(AD$1,$D160,$E160,TRUE)-_xlfn.NORM.DIST(AD$2,$D160,$E160,TRUE))</f>
        <v/>
      </c>
      <c r="AE160">
        <f>IF(NOT(ISNUMBER($D160)),"",_xlfn.NORM.DIST(AE$1,$D160,$E160,TRUE)-_xlfn.NORM.DIST(AE$2,$D160,$E160,TRUE))</f>
        <v/>
      </c>
      <c r="AF160">
        <f>IF(NOT(ISNUMBER($D160)),"",_xlfn.NORM.DIST(AF$1,$D160,$E160,TRUE)-_xlfn.NORM.DIST(AF$2,$D160,$E160,TRUE))</f>
        <v/>
      </c>
      <c r="AG160">
        <f>IF(NOT(ISNUMBER($D160)),"",_xlfn.NORM.DIST(AG$1,$D160,$E160,TRUE)-_xlfn.NORM.DIST(AG$2,$D160,$E160,TRUE))</f>
        <v/>
      </c>
      <c r="AH160">
        <f>IF(NOT(ISNUMBER($D160)),"",_xlfn.NORM.DIST(AH$1,$D160,$E160,TRUE)-_xlfn.NORM.DIST(AH$2,$D160,$E160,TRUE))</f>
        <v/>
      </c>
      <c r="AI160">
        <f>IF(NOT(ISNUMBER($D160)),"",_xlfn.NORM.DIST(AI$1,$D160,$E160,TRUE)-_xlfn.NORM.DIST(AI$2,$D160,$E160,TRUE))</f>
        <v/>
      </c>
      <c r="AJ160">
        <f>IF(NOT(ISNUMBER($D160)),"",_xlfn.NORM.DIST(AJ$1,$D160,$E160,TRUE)-_xlfn.NORM.DIST(AJ$2,$D160,$E160,TRUE))</f>
        <v/>
      </c>
      <c r="AK160">
        <f>IF(NOT(ISNUMBER($D160)),"",_xlfn.NORM.DIST(AK$1,$D160,$E160,TRUE)-_xlfn.NORM.DIST(AK$2,$D160,$E160,TRUE))</f>
        <v/>
      </c>
      <c r="AL160">
        <f>IF(NOT(ISNUMBER($D160)),"",_xlfn.NORM.DIST(AL$1,$D160,$E160,TRUE)-_xlfn.NORM.DIST(AL$2,$D160,$E160,TRUE))</f>
        <v/>
      </c>
      <c r="AM160">
        <f>IF(NOT(ISNUMBER($D160)),"",_xlfn.NORM.DIST(AM$1,$D160,$E160,TRUE)-_xlfn.NORM.DIST(AM$2,$D160,$E160,TRUE))</f>
        <v/>
      </c>
      <c r="AN160">
        <f>IF(NOT(ISNUMBER($D160)),"",_xlfn.NORM.DIST(AN$1,$D160,$E160,TRUE)-_xlfn.NORM.DIST(AN$2,$D160,$E160,TRUE))</f>
        <v/>
      </c>
      <c r="AO160">
        <f>IF(NOT(ISNUMBER($D160)),"",_xlfn.NORM.DIST(AO$1,$D160,$E160,TRUE)-_xlfn.NORM.DIST(AO$2,$D160,$E160,TRUE))</f>
        <v/>
      </c>
      <c r="AP160">
        <f>IF(NOT(ISNUMBER($D160)),"",_xlfn.NORM.DIST(AP$1,$D160,$E160,TRUE)-_xlfn.NORM.DIST(AP$2,$D160,$E160,TRUE))</f>
        <v/>
      </c>
      <c r="AQ160">
        <f>IF(NOT(ISNUMBER($D160)),"",_xlfn.NORM.DIST(AQ$1,$D160,$E160,TRUE)-_xlfn.NORM.DIST(AQ$2,$D160,$E160,TRUE))</f>
        <v/>
      </c>
      <c r="AR160">
        <f>IF(NOT(ISNUMBER($D160)),"",_xlfn.NORM.DIST(AR$1,$D160,$E160,TRUE)-_xlfn.NORM.DIST(AR$2,$D160,$E160,TRUE))</f>
        <v/>
      </c>
      <c r="AS160">
        <f>IF(NOT(ISNUMBER($D160)),"",_xlfn.NORM.DIST(AS$1,$D160,$E160,TRUE)-_xlfn.NORM.DIST(AS$2,$D160,$E160,TRUE))</f>
        <v/>
      </c>
      <c r="AT160">
        <f>IF(NOT(ISNUMBER($D160)),"",_xlfn.NORM.DIST(AT$1,$D160,$E160,TRUE)-_xlfn.NORM.DIST(AT$2,$D160,$E160,TRUE))</f>
        <v/>
      </c>
      <c r="AU160">
        <f>IF(NOT(ISNUMBER($D160)),"",_xlfn.NORM.DIST(AU$1,$D160,$E160,TRUE)-_xlfn.NORM.DIST(AU$2,$D160,$E160,TRUE))</f>
        <v/>
      </c>
      <c r="AV160">
        <f>IF(NOT(ISNUMBER($D160)),"",_xlfn.NORM.DIST(AV$1,$D160,$E160,TRUE)-_xlfn.NORM.DIST(AV$2,$D160,$E160,TRUE))</f>
        <v/>
      </c>
      <c r="AW160">
        <f>IF(NOT(ISNUMBER($D160)),"",_xlfn.NORM.DIST(AW$1,$D160,$E160,TRUE)-_xlfn.NORM.DIST(AW$2,$D160,$E160,TRUE))</f>
        <v/>
      </c>
      <c r="AX160">
        <f>IF(NOT(ISNUMBER($D160)),"",_xlfn.NORM.DIST(AX$1,$D160,$E160,TRUE)-_xlfn.NORM.DIST(AX$2,$D160,$E160,TRUE))</f>
        <v/>
      </c>
      <c r="AY160">
        <f>IF(NOT(ISNUMBER($D160)),"",_xlfn.NORM.DIST(AY$1,$D160,$E160,TRUE)-_xlfn.NORM.DIST(AY$2,$D160,$E160,TRUE))</f>
        <v/>
      </c>
      <c r="AZ160">
        <f>IF(NOT(ISNUMBER($D160)),"",_xlfn.NORM.DIST(AZ$1,$D160,$E160,TRUE)-_xlfn.NORM.DIST(AZ$2,$D160,$E160,TRUE))</f>
        <v/>
      </c>
      <c r="BA160">
        <f>IF(NOT(ISNUMBER($D160)),"",_xlfn.NORM.DIST(BA$1,$D160,$E160,TRUE)-_xlfn.NORM.DIST(BA$2,$D160,$E160,TRUE))</f>
        <v/>
      </c>
      <c r="BB160">
        <f>IF(NOT(ISNUMBER($D160)),"",_xlfn.NORM.DIST(BB$1,$D160,$E160,TRUE)-_xlfn.NORM.DIST(BB$2,$D160,$E160,TRUE))</f>
        <v/>
      </c>
      <c r="BC160">
        <f>IF(NOT(ISNUMBER($D160)),"",_xlfn.NORM.DIST(BC$1,$D160,$E160,TRUE)-_xlfn.NORM.DIST(BC$2,$D160,$E160,TRUE))</f>
        <v/>
      </c>
      <c r="BD160">
        <f>IF(NOT(ISNUMBER($D160)),"",_xlfn.NORM.DIST(BD$1,$D160,$E160,TRUE)-_xlfn.NORM.DIST(BD$2,$D160,$E160,TRUE))</f>
        <v/>
      </c>
      <c r="BE160">
        <f>IF(NOT(ISNUMBER($D160)),"",_xlfn.NORM.DIST(BE$1,$D160,$E160,TRUE)-_xlfn.NORM.DIST(BE$2,$D160,$E160,TRUE))</f>
        <v/>
      </c>
      <c r="BF160">
        <f>IF(NOT(ISNUMBER($D160)),"",_xlfn.NORM.DIST(BF$1,$D160,$E160,TRUE)-_xlfn.NORM.DIST(BF$2,$D160,$E160,TRUE))</f>
        <v/>
      </c>
      <c r="BG160">
        <f>IF(NOT(ISNUMBER($D160)),"",_xlfn.NORM.DIST(BG$1,$D160,$E160,TRUE)-_xlfn.NORM.DIST(BG$2,$D160,$E160,TRUE))</f>
        <v/>
      </c>
      <c r="BH160">
        <f>IF(NOT(ISNUMBER($D160)),"",_xlfn.NORM.DIST(BH$1,$D160,$E160,TRUE)-_xlfn.NORM.DIST(BH$2,$D160,$E160,TRUE))</f>
        <v/>
      </c>
      <c r="BI160">
        <f>IF(NOT(ISNUMBER($D160)),"",_xlfn.NORM.DIST(BI$1,$D160,$E160,TRUE)-_xlfn.NORM.DIST(BI$2,$D160,$E160,TRUE))</f>
        <v/>
      </c>
      <c r="BJ160">
        <f>IF(NOT(ISNUMBER($D160)),"",_xlfn.NORM.DIST(BJ$1,$D160,$E160,TRUE)-_xlfn.NORM.DIST(BJ$2,$D160,$E160,TRUE))</f>
        <v/>
      </c>
      <c r="BK160">
        <f>IF(NOT(ISNUMBER($D160)),"",_xlfn.NORM.DIST(BK$1,$D160,$E160,TRUE)-_xlfn.NORM.DIST(BK$2,$D160,$E160,TRUE))</f>
        <v/>
      </c>
      <c r="BL160">
        <f>IF(NOT(ISNUMBER($D160)),"",_xlfn.NORM.DIST(BL$1,$D160,$E160,TRUE)-_xlfn.NORM.DIST(BL$2,$D160,$E160,TRUE))</f>
        <v/>
      </c>
      <c r="BM160">
        <f>IF(NOT(ISNUMBER($D160)),"",_xlfn.NORM.DIST(BM$1,$D160,$E160,TRUE)-_xlfn.NORM.DIST(BM$2,$D160,$E160,TRUE))</f>
        <v/>
      </c>
      <c r="BN160">
        <f>IF(NOT(ISNUMBER($D160)),"",_xlfn.NORM.DIST(BN$1,$D160,$E160,TRUE)-_xlfn.NORM.DIST(BN$2,$D160,$E160,TRUE))</f>
        <v/>
      </c>
      <c r="BO160">
        <f>IF(NOT(ISNUMBER($D160)),"",_xlfn.NORM.DIST(BO$1,$D160,$E160,TRUE)-_xlfn.NORM.DIST(BO$2,$D160,$E160,TRUE))</f>
        <v/>
      </c>
      <c r="BP160">
        <f>IF(NOT(ISNUMBER($D160)),"",_xlfn.NORM.DIST(BP$1,$D160,$E160,TRUE)-_xlfn.NORM.DIST(BP$2,$D160,$E160,TRUE))</f>
        <v/>
      </c>
      <c r="BQ160">
        <f>IF(NOT(ISNUMBER($D160)),"",_xlfn.NORM.DIST(BQ$1,$D160,$E160,TRUE)-_xlfn.NORM.DIST(BQ$2,$D160,$E160,TRUE))</f>
        <v/>
      </c>
      <c r="BR160">
        <f>IF(NOT(ISNUMBER($D160)),"",_xlfn.NORM.DIST(BR$1,$D160,$E160,TRUE)-_xlfn.NORM.DIST(BR$2,$D160,$E160,TRUE))</f>
        <v/>
      </c>
      <c r="BS160">
        <f>IF(NOT(ISNUMBER($D160)),"",_xlfn.NORM.DIST(BS$1,$D160,$E160,TRUE)-_xlfn.NORM.DIST(BS$2,$D160,$E160,TRUE))</f>
        <v/>
      </c>
      <c r="BT160">
        <f>IF(NOT(ISNUMBER($D160)),"",_xlfn.NORM.DIST(BT$1,$D160,$E160,TRUE)-_xlfn.NORM.DIST(BT$2,$D160,$E160,TRUE))</f>
        <v/>
      </c>
      <c r="BU160">
        <f>IF(NOT(ISNUMBER($D160)),"",_xlfn.NORM.DIST(BU$1,$D160,$E160,TRUE)-_xlfn.NORM.DIST(BU$2,$D160,$E160,TRUE))</f>
        <v/>
      </c>
      <c r="BV160">
        <f>IF(NOT(ISNUMBER($D160)),"",_xlfn.NORM.DIST(BV$1,$D160,$E160,TRUE)-_xlfn.NORM.DIST(BV$2,$D160,$E160,TRUE))</f>
        <v/>
      </c>
      <c r="BW160">
        <f>IF(NOT(ISNUMBER($D160)),"",_xlfn.NORM.DIST(BW$1,$D160,$E160,TRUE)-_xlfn.NORM.DIST(BW$2,$D160,$E160,TRUE))</f>
        <v/>
      </c>
      <c r="BX160">
        <f>IF(NOT(ISNUMBER($D160)),"",_xlfn.NORM.DIST(BX$1,$D160,$E160,TRUE)-_xlfn.NORM.DIST(BX$2,$D160,$E160,TRUE))</f>
        <v/>
      </c>
      <c r="BY160">
        <f>IF(NOT(ISNUMBER($D160)),"",_xlfn.NORM.DIST(BY$1,$D160,$E160,TRUE)-_xlfn.NORM.DIST(BY$2,$D160,$E160,TRUE))</f>
        <v/>
      </c>
      <c r="BZ160">
        <f>IF(NOT(ISNUMBER($D160)),"",_xlfn.NORM.DIST(BZ$1,$D160,$E160,TRUE)-_xlfn.NORM.DIST(BZ$2,$D160,$E160,TRUE))</f>
        <v/>
      </c>
      <c r="CA160">
        <f>IF(NOT(ISNUMBER($D160)),"",_xlfn.NORM.DIST(CA$1,$D160,$E160,TRUE)-_xlfn.NORM.DIST(CA$2,$D160,$E160,TRUE))</f>
        <v/>
      </c>
      <c r="CB160">
        <f>IF(NOT(ISNUMBER($D160)),"",_xlfn.NORM.DIST(CB$1,$D160,$E160,TRUE)-_xlfn.NORM.DIST(CB$2,$D160,$E160,TRUE))</f>
        <v/>
      </c>
      <c r="CC160">
        <f>IF(NOT(ISNUMBER($D160)),"",_xlfn.NORM.DIST(CC$1,$D160,$E160,TRUE)-_xlfn.NORM.DIST(CC$2,$D160,$E160,TRUE))</f>
        <v/>
      </c>
      <c r="CD160">
        <f>IF(NOT(ISNUMBER($D160)),"",_xlfn.NORM.DIST(CD$1,$D160,$E160,TRUE)-_xlfn.NORM.DIST(CD$2,$D160,$E160,TRUE))</f>
        <v/>
      </c>
      <c r="CE160">
        <f>IF(NOT(ISNUMBER($D160)),"",_xlfn.NORM.DIST(CE$1,$D160,$E160,TRUE)-_xlfn.NORM.DIST(CE$2,$D160,$E160,TRUE))</f>
        <v/>
      </c>
      <c r="CF160">
        <f>IF(NOT(ISNUMBER($D160)),"",_xlfn.NORM.DIST(CF$1,$D160,$E160,TRUE)-_xlfn.NORM.DIST(CF$2,$D160,$E160,TRUE))</f>
        <v/>
      </c>
      <c r="CG160">
        <f>IF(NOT(ISNUMBER($D160)),"",_xlfn.NORM.DIST(CG$1,$D160,$E160,TRUE)-_xlfn.NORM.DIST(CG$2,$D160,$E160,TRUE))</f>
        <v/>
      </c>
      <c r="CH160">
        <f>IF(NOT(ISNUMBER($D160)),"",_xlfn.NORM.DIST(CH$1,$D160,$E160,TRUE)-_xlfn.NORM.DIST(CH$2,$D160,$E160,TRUE))</f>
        <v/>
      </c>
      <c r="CI160">
        <f>IF(NOT(ISNUMBER($D160)),"",_xlfn.NORM.DIST(CI$1,$D160,$E160,TRUE)-_xlfn.NORM.DIST(CI$2,$D160,$E160,TRUE))</f>
        <v/>
      </c>
      <c r="CJ160">
        <f>IF(ISNUMBER($D160),SUM(F160:CI160),"")</f>
        <v/>
      </c>
    </row>
    <row r="161">
      <c r="A161">
        <f>economics!A160</f>
        <v/>
      </c>
      <c r="B161">
        <f>economics!B160</f>
        <v/>
      </c>
      <c r="C161">
        <f>economics!D160</f>
        <v/>
      </c>
      <c r="D161">
        <f>IF(ISNUMBER(economics!T160),economics!T160,"na")</f>
        <v/>
      </c>
      <c r="E161">
        <f>IF(ISNUMBER(D161),MAX(0.3*ABS(D161),0.000001),"na")</f>
        <v/>
      </c>
      <c r="F161">
        <f>IF(NOT(ISNUMBER($D161)),"",_xlfn.NORM.DIST(F$1,$D161,$E161,TRUE)-_xlfn.NORM.DIST(F$2,$D161,$E161,TRUE))</f>
        <v/>
      </c>
      <c r="G161">
        <f>IF(NOT(ISNUMBER($D161)),"",_xlfn.NORM.DIST(G$1,$D161,$E161,TRUE)-_xlfn.NORM.DIST(G$2,$D161,$E161,TRUE))</f>
        <v/>
      </c>
      <c r="H161">
        <f>IF(NOT(ISNUMBER($D161)),"",_xlfn.NORM.DIST(H$1,$D161,$E161,TRUE)-_xlfn.NORM.DIST(H$2,$D161,$E161,TRUE))</f>
        <v/>
      </c>
      <c r="I161">
        <f>IF(NOT(ISNUMBER($D161)),"",_xlfn.NORM.DIST(I$1,$D161,$E161,TRUE)-_xlfn.NORM.DIST(I$2,$D161,$E161,TRUE))</f>
        <v/>
      </c>
      <c r="J161">
        <f>IF(NOT(ISNUMBER($D161)),"",_xlfn.NORM.DIST(J$1,$D161,$E161,TRUE)-_xlfn.NORM.DIST(J$2,$D161,$E161,TRUE))</f>
        <v/>
      </c>
      <c r="K161">
        <f>IF(NOT(ISNUMBER($D161)),"",_xlfn.NORM.DIST(K$1,$D161,$E161,TRUE)-_xlfn.NORM.DIST(K$2,$D161,$E161,TRUE))</f>
        <v/>
      </c>
      <c r="L161">
        <f>IF(NOT(ISNUMBER($D161)),"",_xlfn.NORM.DIST(L$1,$D161,$E161,TRUE)-_xlfn.NORM.DIST(L$2,$D161,$E161,TRUE))</f>
        <v/>
      </c>
      <c r="M161">
        <f>IF(NOT(ISNUMBER($D161)),"",_xlfn.NORM.DIST(M$1,$D161,$E161,TRUE)-_xlfn.NORM.DIST(M$2,$D161,$E161,TRUE))</f>
        <v/>
      </c>
      <c r="N161">
        <f>IF(NOT(ISNUMBER($D161)),"",_xlfn.NORM.DIST(N$1,$D161,$E161,TRUE)-_xlfn.NORM.DIST(N$2,$D161,$E161,TRUE))</f>
        <v/>
      </c>
      <c r="O161">
        <f>IF(NOT(ISNUMBER($D161)),"",_xlfn.NORM.DIST(O$1,$D161,$E161,TRUE)-_xlfn.NORM.DIST(O$2,$D161,$E161,TRUE))</f>
        <v/>
      </c>
      <c r="P161">
        <f>IF(NOT(ISNUMBER($D161)),"",_xlfn.NORM.DIST(P$1,$D161,$E161,TRUE)-_xlfn.NORM.DIST(P$2,$D161,$E161,TRUE))</f>
        <v/>
      </c>
      <c r="Q161">
        <f>IF(NOT(ISNUMBER($D161)),"",_xlfn.NORM.DIST(Q$1,$D161,$E161,TRUE)-_xlfn.NORM.DIST(Q$2,$D161,$E161,TRUE))</f>
        <v/>
      </c>
      <c r="R161">
        <f>IF(NOT(ISNUMBER($D161)),"",_xlfn.NORM.DIST(R$1,$D161,$E161,TRUE)-_xlfn.NORM.DIST(R$2,$D161,$E161,TRUE))</f>
        <v/>
      </c>
      <c r="S161">
        <f>IF(NOT(ISNUMBER($D161)),"",_xlfn.NORM.DIST(S$1,$D161,$E161,TRUE)-_xlfn.NORM.DIST(S$2,$D161,$E161,TRUE))</f>
        <v/>
      </c>
      <c r="T161">
        <f>IF(NOT(ISNUMBER($D161)),"",_xlfn.NORM.DIST(T$1,$D161,$E161,TRUE)-_xlfn.NORM.DIST(T$2,$D161,$E161,TRUE))</f>
        <v/>
      </c>
      <c r="U161">
        <f>IF(NOT(ISNUMBER($D161)),"",_xlfn.NORM.DIST(U$1,$D161,$E161,TRUE)-_xlfn.NORM.DIST(U$2,$D161,$E161,TRUE))</f>
        <v/>
      </c>
      <c r="V161">
        <f>IF(NOT(ISNUMBER($D161)),"",_xlfn.NORM.DIST(V$1,$D161,$E161,TRUE)-_xlfn.NORM.DIST(V$2,$D161,$E161,TRUE))</f>
        <v/>
      </c>
      <c r="W161">
        <f>IF(NOT(ISNUMBER($D161)),"",_xlfn.NORM.DIST(W$1,$D161,$E161,TRUE)-_xlfn.NORM.DIST(W$2,$D161,$E161,TRUE))</f>
        <v/>
      </c>
      <c r="X161">
        <f>IF(NOT(ISNUMBER($D161)),"",_xlfn.NORM.DIST(X$1,$D161,$E161,TRUE)-_xlfn.NORM.DIST(X$2,$D161,$E161,TRUE))</f>
        <v/>
      </c>
      <c r="Y161">
        <f>IF(NOT(ISNUMBER($D161)),"",_xlfn.NORM.DIST(Y$1,$D161,$E161,TRUE)-_xlfn.NORM.DIST(Y$2,$D161,$E161,TRUE))</f>
        <v/>
      </c>
      <c r="Z161">
        <f>IF(NOT(ISNUMBER($D161)),"",_xlfn.NORM.DIST(Z$1,$D161,$E161,TRUE)-_xlfn.NORM.DIST(Z$2,$D161,$E161,TRUE))</f>
        <v/>
      </c>
      <c r="AA161">
        <f>IF(NOT(ISNUMBER($D161)),"",_xlfn.NORM.DIST(AA$1,$D161,$E161,TRUE)-_xlfn.NORM.DIST(AA$2,$D161,$E161,TRUE))</f>
        <v/>
      </c>
      <c r="AB161">
        <f>IF(NOT(ISNUMBER($D161)),"",_xlfn.NORM.DIST(AB$1,$D161,$E161,TRUE)-_xlfn.NORM.DIST(AB$2,$D161,$E161,TRUE))</f>
        <v/>
      </c>
      <c r="AC161">
        <f>IF(NOT(ISNUMBER($D161)),"",_xlfn.NORM.DIST(AC$1,$D161,$E161,TRUE)-_xlfn.NORM.DIST(AC$2,$D161,$E161,TRUE))</f>
        <v/>
      </c>
      <c r="AD161">
        <f>IF(NOT(ISNUMBER($D161)),"",_xlfn.NORM.DIST(AD$1,$D161,$E161,TRUE)-_xlfn.NORM.DIST(AD$2,$D161,$E161,TRUE))</f>
        <v/>
      </c>
      <c r="AE161">
        <f>IF(NOT(ISNUMBER($D161)),"",_xlfn.NORM.DIST(AE$1,$D161,$E161,TRUE)-_xlfn.NORM.DIST(AE$2,$D161,$E161,TRUE))</f>
        <v/>
      </c>
      <c r="AF161">
        <f>IF(NOT(ISNUMBER($D161)),"",_xlfn.NORM.DIST(AF$1,$D161,$E161,TRUE)-_xlfn.NORM.DIST(AF$2,$D161,$E161,TRUE))</f>
        <v/>
      </c>
      <c r="AG161">
        <f>IF(NOT(ISNUMBER($D161)),"",_xlfn.NORM.DIST(AG$1,$D161,$E161,TRUE)-_xlfn.NORM.DIST(AG$2,$D161,$E161,TRUE))</f>
        <v/>
      </c>
      <c r="AH161">
        <f>IF(NOT(ISNUMBER($D161)),"",_xlfn.NORM.DIST(AH$1,$D161,$E161,TRUE)-_xlfn.NORM.DIST(AH$2,$D161,$E161,TRUE))</f>
        <v/>
      </c>
      <c r="AI161">
        <f>IF(NOT(ISNUMBER($D161)),"",_xlfn.NORM.DIST(AI$1,$D161,$E161,TRUE)-_xlfn.NORM.DIST(AI$2,$D161,$E161,TRUE))</f>
        <v/>
      </c>
      <c r="AJ161">
        <f>IF(NOT(ISNUMBER($D161)),"",_xlfn.NORM.DIST(AJ$1,$D161,$E161,TRUE)-_xlfn.NORM.DIST(AJ$2,$D161,$E161,TRUE))</f>
        <v/>
      </c>
      <c r="AK161">
        <f>IF(NOT(ISNUMBER($D161)),"",_xlfn.NORM.DIST(AK$1,$D161,$E161,TRUE)-_xlfn.NORM.DIST(AK$2,$D161,$E161,TRUE))</f>
        <v/>
      </c>
      <c r="AL161">
        <f>IF(NOT(ISNUMBER($D161)),"",_xlfn.NORM.DIST(AL$1,$D161,$E161,TRUE)-_xlfn.NORM.DIST(AL$2,$D161,$E161,TRUE))</f>
        <v/>
      </c>
      <c r="AM161">
        <f>IF(NOT(ISNUMBER($D161)),"",_xlfn.NORM.DIST(AM$1,$D161,$E161,TRUE)-_xlfn.NORM.DIST(AM$2,$D161,$E161,TRUE))</f>
        <v/>
      </c>
      <c r="AN161">
        <f>IF(NOT(ISNUMBER($D161)),"",_xlfn.NORM.DIST(AN$1,$D161,$E161,TRUE)-_xlfn.NORM.DIST(AN$2,$D161,$E161,TRUE))</f>
        <v/>
      </c>
      <c r="AO161">
        <f>IF(NOT(ISNUMBER($D161)),"",_xlfn.NORM.DIST(AO$1,$D161,$E161,TRUE)-_xlfn.NORM.DIST(AO$2,$D161,$E161,TRUE))</f>
        <v/>
      </c>
      <c r="AP161">
        <f>IF(NOT(ISNUMBER($D161)),"",_xlfn.NORM.DIST(AP$1,$D161,$E161,TRUE)-_xlfn.NORM.DIST(AP$2,$D161,$E161,TRUE))</f>
        <v/>
      </c>
      <c r="AQ161">
        <f>IF(NOT(ISNUMBER($D161)),"",_xlfn.NORM.DIST(AQ$1,$D161,$E161,TRUE)-_xlfn.NORM.DIST(AQ$2,$D161,$E161,TRUE))</f>
        <v/>
      </c>
      <c r="AR161">
        <f>IF(NOT(ISNUMBER($D161)),"",_xlfn.NORM.DIST(AR$1,$D161,$E161,TRUE)-_xlfn.NORM.DIST(AR$2,$D161,$E161,TRUE))</f>
        <v/>
      </c>
      <c r="AS161">
        <f>IF(NOT(ISNUMBER($D161)),"",_xlfn.NORM.DIST(AS$1,$D161,$E161,TRUE)-_xlfn.NORM.DIST(AS$2,$D161,$E161,TRUE))</f>
        <v/>
      </c>
      <c r="AT161">
        <f>IF(NOT(ISNUMBER($D161)),"",_xlfn.NORM.DIST(AT$1,$D161,$E161,TRUE)-_xlfn.NORM.DIST(AT$2,$D161,$E161,TRUE))</f>
        <v/>
      </c>
      <c r="AU161">
        <f>IF(NOT(ISNUMBER($D161)),"",_xlfn.NORM.DIST(AU$1,$D161,$E161,TRUE)-_xlfn.NORM.DIST(AU$2,$D161,$E161,TRUE))</f>
        <v/>
      </c>
      <c r="AV161">
        <f>IF(NOT(ISNUMBER($D161)),"",_xlfn.NORM.DIST(AV$1,$D161,$E161,TRUE)-_xlfn.NORM.DIST(AV$2,$D161,$E161,TRUE))</f>
        <v/>
      </c>
      <c r="AW161">
        <f>IF(NOT(ISNUMBER($D161)),"",_xlfn.NORM.DIST(AW$1,$D161,$E161,TRUE)-_xlfn.NORM.DIST(AW$2,$D161,$E161,TRUE))</f>
        <v/>
      </c>
      <c r="AX161">
        <f>IF(NOT(ISNUMBER($D161)),"",_xlfn.NORM.DIST(AX$1,$D161,$E161,TRUE)-_xlfn.NORM.DIST(AX$2,$D161,$E161,TRUE))</f>
        <v/>
      </c>
      <c r="AY161">
        <f>IF(NOT(ISNUMBER($D161)),"",_xlfn.NORM.DIST(AY$1,$D161,$E161,TRUE)-_xlfn.NORM.DIST(AY$2,$D161,$E161,TRUE))</f>
        <v/>
      </c>
      <c r="AZ161">
        <f>IF(NOT(ISNUMBER($D161)),"",_xlfn.NORM.DIST(AZ$1,$D161,$E161,TRUE)-_xlfn.NORM.DIST(AZ$2,$D161,$E161,TRUE))</f>
        <v/>
      </c>
      <c r="BA161">
        <f>IF(NOT(ISNUMBER($D161)),"",_xlfn.NORM.DIST(BA$1,$D161,$E161,TRUE)-_xlfn.NORM.DIST(BA$2,$D161,$E161,TRUE))</f>
        <v/>
      </c>
      <c r="BB161">
        <f>IF(NOT(ISNUMBER($D161)),"",_xlfn.NORM.DIST(BB$1,$D161,$E161,TRUE)-_xlfn.NORM.DIST(BB$2,$D161,$E161,TRUE))</f>
        <v/>
      </c>
      <c r="BC161">
        <f>IF(NOT(ISNUMBER($D161)),"",_xlfn.NORM.DIST(BC$1,$D161,$E161,TRUE)-_xlfn.NORM.DIST(BC$2,$D161,$E161,TRUE))</f>
        <v/>
      </c>
      <c r="BD161">
        <f>IF(NOT(ISNUMBER($D161)),"",_xlfn.NORM.DIST(BD$1,$D161,$E161,TRUE)-_xlfn.NORM.DIST(BD$2,$D161,$E161,TRUE))</f>
        <v/>
      </c>
      <c r="BE161">
        <f>IF(NOT(ISNUMBER($D161)),"",_xlfn.NORM.DIST(BE$1,$D161,$E161,TRUE)-_xlfn.NORM.DIST(BE$2,$D161,$E161,TRUE))</f>
        <v/>
      </c>
      <c r="BF161">
        <f>IF(NOT(ISNUMBER($D161)),"",_xlfn.NORM.DIST(BF$1,$D161,$E161,TRUE)-_xlfn.NORM.DIST(BF$2,$D161,$E161,TRUE))</f>
        <v/>
      </c>
      <c r="BG161">
        <f>IF(NOT(ISNUMBER($D161)),"",_xlfn.NORM.DIST(BG$1,$D161,$E161,TRUE)-_xlfn.NORM.DIST(BG$2,$D161,$E161,TRUE))</f>
        <v/>
      </c>
      <c r="BH161">
        <f>IF(NOT(ISNUMBER($D161)),"",_xlfn.NORM.DIST(BH$1,$D161,$E161,TRUE)-_xlfn.NORM.DIST(BH$2,$D161,$E161,TRUE))</f>
        <v/>
      </c>
      <c r="BI161">
        <f>IF(NOT(ISNUMBER($D161)),"",_xlfn.NORM.DIST(BI$1,$D161,$E161,TRUE)-_xlfn.NORM.DIST(BI$2,$D161,$E161,TRUE))</f>
        <v/>
      </c>
      <c r="BJ161">
        <f>IF(NOT(ISNUMBER($D161)),"",_xlfn.NORM.DIST(BJ$1,$D161,$E161,TRUE)-_xlfn.NORM.DIST(BJ$2,$D161,$E161,TRUE))</f>
        <v/>
      </c>
      <c r="BK161">
        <f>IF(NOT(ISNUMBER($D161)),"",_xlfn.NORM.DIST(BK$1,$D161,$E161,TRUE)-_xlfn.NORM.DIST(BK$2,$D161,$E161,TRUE))</f>
        <v/>
      </c>
      <c r="BL161">
        <f>IF(NOT(ISNUMBER($D161)),"",_xlfn.NORM.DIST(BL$1,$D161,$E161,TRUE)-_xlfn.NORM.DIST(BL$2,$D161,$E161,TRUE))</f>
        <v/>
      </c>
      <c r="BM161">
        <f>IF(NOT(ISNUMBER($D161)),"",_xlfn.NORM.DIST(BM$1,$D161,$E161,TRUE)-_xlfn.NORM.DIST(BM$2,$D161,$E161,TRUE))</f>
        <v/>
      </c>
      <c r="BN161">
        <f>IF(NOT(ISNUMBER($D161)),"",_xlfn.NORM.DIST(BN$1,$D161,$E161,TRUE)-_xlfn.NORM.DIST(BN$2,$D161,$E161,TRUE))</f>
        <v/>
      </c>
      <c r="BO161">
        <f>IF(NOT(ISNUMBER($D161)),"",_xlfn.NORM.DIST(BO$1,$D161,$E161,TRUE)-_xlfn.NORM.DIST(BO$2,$D161,$E161,TRUE))</f>
        <v/>
      </c>
      <c r="BP161">
        <f>IF(NOT(ISNUMBER($D161)),"",_xlfn.NORM.DIST(BP$1,$D161,$E161,TRUE)-_xlfn.NORM.DIST(BP$2,$D161,$E161,TRUE))</f>
        <v/>
      </c>
      <c r="BQ161">
        <f>IF(NOT(ISNUMBER($D161)),"",_xlfn.NORM.DIST(BQ$1,$D161,$E161,TRUE)-_xlfn.NORM.DIST(BQ$2,$D161,$E161,TRUE))</f>
        <v/>
      </c>
      <c r="BR161">
        <f>IF(NOT(ISNUMBER($D161)),"",_xlfn.NORM.DIST(BR$1,$D161,$E161,TRUE)-_xlfn.NORM.DIST(BR$2,$D161,$E161,TRUE))</f>
        <v/>
      </c>
      <c r="BS161">
        <f>IF(NOT(ISNUMBER($D161)),"",_xlfn.NORM.DIST(BS$1,$D161,$E161,TRUE)-_xlfn.NORM.DIST(BS$2,$D161,$E161,TRUE))</f>
        <v/>
      </c>
      <c r="BT161">
        <f>IF(NOT(ISNUMBER($D161)),"",_xlfn.NORM.DIST(BT$1,$D161,$E161,TRUE)-_xlfn.NORM.DIST(BT$2,$D161,$E161,TRUE))</f>
        <v/>
      </c>
      <c r="BU161">
        <f>IF(NOT(ISNUMBER($D161)),"",_xlfn.NORM.DIST(BU$1,$D161,$E161,TRUE)-_xlfn.NORM.DIST(BU$2,$D161,$E161,TRUE))</f>
        <v/>
      </c>
      <c r="BV161">
        <f>IF(NOT(ISNUMBER($D161)),"",_xlfn.NORM.DIST(BV$1,$D161,$E161,TRUE)-_xlfn.NORM.DIST(BV$2,$D161,$E161,TRUE))</f>
        <v/>
      </c>
      <c r="BW161">
        <f>IF(NOT(ISNUMBER($D161)),"",_xlfn.NORM.DIST(BW$1,$D161,$E161,TRUE)-_xlfn.NORM.DIST(BW$2,$D161,$E161,TRUE))</f>
        <v/>
      </c>
      <c r="BX161">
        <f>IF(NOT(ISNUMBER($D161)),"",_xlfn.NORM.DIST(BX$1,$D161,$E161,TRUE)-_xlfn.NORM.DIST(BX$2,$D161,$E161,TRUE))</f>
        <v/>
      </c>
      <c r="BY161">
        <f>IF(NOT(ISNUMBER($D161)),"",_xlfn.NORM.DIST(BY$1,$D161,$E161,TRUE)-_xlfn.NORM.DIST(BY$2,$D161,$E161,TRUE))</f>
        <v/>
      </c>
      <c r="BZ161">
        <f>IF(NOT(ISNUMBER($D161)),"",_xlfn.NORM.DIST(BZ$1,$D161,$E161,TRUE)-_xlfn.NORM.DIST(BZ$2,$D161,$E161,TRUE))</f>
        <v/>
      </c>
      <c r="CA161">
        <f>IF(NOT(ISNUMBER($D161)),"",_xlfn.NORM.DIST(CA$1,$D161,$E161,TRUE)-_xlfn.NORM.DIST(CA$2,$D161,$E161,TRUE))</f>
        <v/>
      </c>
      <c r="CB161">
        <f>IF(NOT(ISNUMBER($D161)),"",_xlfn.NORM.DIST(CB$1,$D161,$E161,TRUE)-_xlfn.NORM.DIST(CB$2,$D161,$E161,TRUE))</f>
        <v/>
      </c>
      <c r="CC161">
        <f>IF(NOT(ISNUMBER($D161)),"",_xlfn.NORM.DIST(CC$1,$D161,$E161,TRUE)-_xlfn.NORM.DIST(CC$2,$D161,$E161,TRUE))</f>
        <v/>
      </c>
      <c r="CD161">
        <f>IF(NOT(ISNUMBER($D161)),"",_xlfn.NORM.DIST(CD$1,$D161,$E161,TRUE)-_xlfn.NORM.DIST(CD$2,$D161,$E161,TRUE))</f>
        <v/>
      </c>
      <c r="CE161">
        <f>IF(NOT(ISNUMBER($D161)),"",_xlfn.NORM.DIST(CE$1,$D161,$E161,TRUE)-_xlfn.NORM.DIST(CE$2,$D161,$E161,TRUE))</f>
        <v/>
      </c>
      <c r="CF161">
        <f>IF(NOT(ISNUMBER($D161)),"",_xlfn.NORM.DIST(CF$1,$D161,$E161,TRUE)-_xlfn.NORM.DIST(CF$2,$D161,$E161,TRUE))</f>
        <v/>
      </c>
      <c r="CG161">
        <f>IF(NOT(ISNUMBER($D161)),"",_xlfn.NORM.DIST(CG$1,$D161,$E161,TRUE)-_xlfn.NORM.DIST(CG$2,$D161,$E161,TRUE))</f>
        <v/>
      </c>
      <c r="CH161">
        <f>IF(NOT(ISNUMBER($D161)),"",_xlfn.NORM.DIST(CH$1,$D161,$E161,TRUE)-_xlfn.NORM.DIST(CH$2,$D161,$E161,TRUE))</f>
        <v/>
      </c>
      <c r="CI161">
        <f>IF(NOT(ISNUMBER($D161)),"",_xlfn.NORM.DIST(CI$1,$D161,$E161,TRUE)-_xlfn.NORM.DIST(CI$2,$D161,$E161,TRUE))</f>
        <v/>
      </c>
      <c r="CJ161">
        <f>IF(ISNUMBER($D161),SUM(F161:CI161),"")</f>
        <v/>
      </c>
    </row>
    <row r="162">
      <c r="A162">
        <f>economics!A161</f>
        <v/>
      </c>
      <c r="B162">
        <f>economics!B161</f>
        <v/>
      </c>
      <c r="C162">
        <f>economics!D161</f>
        <v/>
      </c>
      <c r="D162">
        <f>IF(ISNUMBER(economics!T161),economics!T161,"na")</f>
        <v/>
      </c>
      <c r="E162">
        <f>IF(ISNUMBER(D162),MAX(0.3*ABS(D162),0.000001),"na")</f>
        <v/>
      </c>
      <c r="F162">
        <f>IF(NOT(ISNUMBER($D162)),"",_xlfn.NORM.DIST(F$1,$D162,$E162,TRUE)-_xlfn.NORM.DIST(F$2,$D162,$E162,TRUE))</f>
        <v/>
      </c>
      <c r="G162">
        <f>IF(NOT(ISNUMBER($D162)),"",_xlfn.NORM.DIST(G$1,$D162,$E162,TRUE)-_xlfn.NORM.DIST(G$2,$D162,$E162,TRUE))</f>
        <v/>
      </c>
      <c r="H162">
        <f>IF(NOT(ISNUMBER($D162)),"",_xlfn.NORM.DIST(H$1,$D162,$E162,TRUE)-_xlfn.NORM.DIST(H$2,$D162,$E162,TRUE))</f>
        <v/>
      </c>
      <c r="I162">
        <f>IF(NOT(ISNUMBER($D162)),"",_xlfn.NORM.DIST(I$1,$D162,$E162,TRUE)-_xlfn.NORM.DIST(I$2,$D162,$E162,TRUE))</f>
        <v/>
      </c>
      <c r="J162">
        <f>IF(NOT(ISNUMBER($D162)),"",_xlfn.NORM.DIST(J$1,$D162,$E162,TRUE)-_xlfn.NORM.DIST(J$2,$D162,$E162,TRUE))</f>
        <v/>
      </c>
      <c r="K162">
        <f>IF(NOT(ISNUMBER($D162)),"",_xlfn.NORM.DIST(K$1,$D162,$E162,TRUE)-_xlfn.NORM.DIST(K$2,$D162,$E162,TRUE))</f>
        <v/>
      </c>
      <c r="L162">
        <f>IF(NOT(ISNUMBER($D162)),"",_xlfn.NORM.DIST(L$1,$D162,$E162,TRUE)-_xlfn.NORM.DIST(L$2,$D162,$E162,TRUE))</f>
        <v/>
      </c>
      <c r="M162">
        <f>IF(NOT(ISNUMBER($D162)),"",_xlfn.NORM.DIST(M$1,$D162,$E162,TRUE)-_xlfn.NORM.DIST(M$2,$D162,$E162,TRUE))</f>
        <v/>
      </c>
      <c r="N162">
        <f>IF(NOT(ISNUMBER($D162)),"",_xlfn.NORM.DIST(N$1,$D162,$E162,TRUE)-_xlfn.NORM.DIST(N$2,$D162,$E162,TRUE))</f>
        <v/>
      </c>
      <c r="O162">
        <f>IF(NOT(ISNUMBER($D162)),"",_xlfn.NORM.DIST(O$1,$D162,$E162,TRUE)-_xlfn.NORM.DIST(O$2,$D162,$E162,TRUE))</f>
        <v/>
      </c>
      <c r="P162">
        <f>IF(NOT(ISNUMBER($D162)),"",_xlfn.NORM.DIST(P$1,$D162,$E162,TRUE)-_xlfn.NORM.DIST(P$2,$D162,$E162,TRUE))</f>
        <v/>
      </c>
      <c r="Q162">
        <f>IF(NOT(ISNUMBER($D162)),"",_xlfn.NORM.DIST(Q$1,$D162,$E162,TRUE)-_xlfn.NORM.DIST(Q$2,$D162,$E162,TRUE))</f>
        <v/>
      </c>
      <c r="R162">
        <f>IF(NOT(ISNUMBER($D162)),"",_xlfn.NORM.DIST(R$1,$D162,$E162,TRUE)-_xlfn.NORM.DIST(R$2,$D162,$E162,TRUE))</f>
        <v/>
      </c>
      <c r="S162">
        <f>IF(NOT(ISNUMBER($D162)),"",_xlfn.NORM.DIST(S$1,$D162,$E162,TRUE)-_xlfn.NORM.DIST(S$2,$D162,$E162,TRUE))</f>
        <v/>
      </c>
      <c r="T162">
        <f>IF(NOT(ISNUMBER($D162)),"",_xlfn.NORM.DIST(T$1,$D162,$E162,TRUE)-_xlfn.NORM.DIST(T$2,$D162,$E162,TRUE))</f>
        <v/>
      </c>
      <c r="U162">
        <f>IF(NOT(ISNUMBER($D162)),"",_xlfn.NORM.DIST(U$1,$D162,$E162,TRUE)-_xlfn.NORM.DIST(U$2,$D162,$E162,TRUE))</f>
        <v/>
      </c>
      <c r="V162">
        <f>IF(NOT(ISNUMBER($D162)),"",_xlfn.NORM.DIST(V$1,$D162,$E162,TRUE)-_xlfn.NORM.DIST(V$2,$D162,$E162,TRUE))</f>
        <v/>
      </c>
      <c r="W162">
        <f>IF(NOT(ISNUMBER($D162)),"",_xlfn.NORM.DIST(W$1,$D162,$E162,TRUE)-_xlfn.NORM.DIST(W$2,$D162,$E162,TRUE))</f>
        <v/>
      </c>
      <c r="X162">
        <f>IF(NOT(ISNUMBER($D162)),"",_xlfn.NORM.DIST(X$1,$D162,$E162,TRUE)-_xlfn.NORM.DIST(X$2,$D162,$E162,TRUE))</f>
        <v/>
      </c>
      <c r="Y162">
        <f>IF(NOT(ISNUMBER($D162)),"",_xlfn.NORM.DIST(Y$1,$D162,$E162,TRUE)-_xlfn.NORM.DIST(Y$2,$D162,$E162,TRUE))</f>
        <v/>
      </c>
      <c r="Z162">
        <f>IF(NOT(ISNUMBER($D162)),"",_xlfn.NORM.DIST(Z$1,$D162,$E162,TRUE)-_xlfn.NORM.DIST(Z$2,$D162,$E162,TRUE))</f>
        <v/>
      </c>
      <c r="AA162">
        <f>IF(NOT(ISNUMBER($D162)),"",_xlfn.NORM.DIST(AA$1,$D162,$E162,TRUE)-_xlfn.NORM.DIST(AA$2,$D162,$E162,TRUE))</f>
        <v/>
      </c>
      <c r="AB162">
        <f>IF(NOT(ISNUMBER($D162)),"",_xlfn.NORM.DIST(AB$1,$D162,$E162,TRUE)-_xlfn.NORM.DIST(AB$2,$D162,$E162,TRUE))</f>
        <v/>
      </c>
      <c r="AC162">
        <f>IF(NOT(ISNUMBER($D162)),"",_xlfn.NORM.DIST(AC$1,$D162,$E162,TRUE)-_xlfn.NORM.DIST(AC$2,$D162,$E162,TRUE))</f>
        <v/>
      </c>
      <c r="AD162">
        <f>IF(NOT(ISNUMBER($D162)),"",_xlfn.NORM.DIST(AD$1,$D162,$E162,TRUE)-_xlfn.NORM.DIST(AD$2,$D162,$E162,TRUE))</f>
        <v/>
      </c>
      <c r="AE162">
        <f>IF(NOT(ISNUMBER($D162)),"",_xlfn.NORM.DIST(AE$1,$D162,$E162,TRUE)-_xlfn.NORM.DIST(AE$2,$D162,$E162,TRUE))</f>
        <v/>
      </c>
      <c r="AF162">
        <f>IF(NOT(ISNUMBER($D162)),"",_xlfn.NORM.DIST(AF$1,$D162,$E162,TRUE)-_xlfn.NORM.DIST(AF$2,$D162,$E162,TRUE))</f>
        <v/>
      </c>
      <c r="AG162">
        <f>IF(NOT(ISNUMBER($D162)),"",_xlfn.NORM.DIST(AG$1,$D162,$E162,TRUE)-_xlfn.NORM.DIST(AG$2,$D162,$E162,TRUE))</f>
        <v/>
      </c>
      <c r="AH162">
        <f>IF(NOT(ISNUMBER($D162)),"",_xlfn.NORM.DIST(AH$1,$D162,$E162,TRUE)-_xlfn.NORM.DIST(AH$2,$D162,$E162,TRUE))</f>
        <v/>
      </c>
      <c r="AI162">
        <f>IF(NOT(ISNUMBER($D162)),"",_xlfn.NORM.DIST(AI$1,$D162,$E162,TRUE)-_xlfn.NORM.DIST(AI$2,$D162,$E162,TRUE))</f>
        <v/>
      </c>
      <c r="AJ162">
        <f>IF(NOT(ISNUMBER($D162)),"",_xlfn.NORM.DIST(AJ$1,$D162,$E162,TRUE)-_xlfn.NORM.DIST(AJ$2,$D162,$E162,TRUE))</f>
        <v/>
      </c>
      <c r="AK162">
        <f>IF(NOT(ISNUMBER($D162)),"",_xlfn.NORM.DIST(AK$1,$D162,$E162,TRUE)-_xlfn.NORM.DIST(AK$2,$D162,$E162,TRUE))</f>
        <v/>
      </c>
      <c r="AL162">
        <f>IF(NOT(ISNUMBER($D162)),"",_xlfn.NORM.DIST(AL$1,$D162,$E162,TRUE)-_xlfn.NORM.DIST(AL$2,$D162,$E162,TRUE))</f>
        <v/>
      </c>
      <c r="AM162">
        <f>IF(NOT(ISNUMBER($D162)),"",_xlfn.NORM.DIST(AM$1,$D162,$E162,TRUE)-_xlfn.NORM.DIST(AM$2,$D162,$E162,TRUE))</f>
        <v/>
      </c>
      <c r="AN162">
        <f>IF(NOT(ISNUMBER($D162)),"",_xlfn.NORM.DIST(AN$1,$D162,$E162,TRUE)-_xlfn.NORM.DIST(AN$2,$D162,$E162,TRUE))</f>
        <v/>
      </c>
      <c r="AO162">
        <f>IF(NOT(ISNUMBER($D162)),"",_xlfn.NORM.DIST(AO$1,$D162,$E162,TRUE)-_xlfn.NORM.DIST(AO$2,$D162,$E162,TRUE))</f>
        <v/>
      </c>
      <c r="AP162">
        <f>IF(NOT(ISNUMBER($D162)),"",_xlfn.NORM.DIST(AP$1,$D162,$E162,TRUE)-_xlfn.NORM.DIST(AP$2,$D162,$E162,TRUE))</f>
        <v/>
      </c>
      <c r="AQ162">
        <f>IF(NOT(ISNUMBER($D162)),"",_xlfn.NORM.DIST(AQ$1,$D162,$E162,TRUE)-_xlfn.NORM.DIST(AQ$2,$D162,$E162,TRUE))</f>
        <v/>
      </c>
      <c r="AR162">
        <f>IF(NOT(ISNUMBER($D162)),"",_xlfn.NORM.DIST(AR$1,$D162,$E162,TRUE)-_xlfn.NORM.DIST(AR$2,$D162,$E162,TRUE))</f>
        <v/>
      </c>
      <c r="AS162">
        <f>IF(NOT(ISNUMBER($D162)),"",_xlfn.NORM.DIST(AS$1,$D162,$E162,TRUE)-_xlfn.NORM.DIST(AS$2,$D162,$E162,TRUE))</f>
        <v/>
      </c>
      <c r="AT162">
        <f>IF(NOT(ISNUMBER($D162)),"",_xlfn.NORM.DIST(AT$1,$D162,$E162,TRUE)-_xlfn.NORM.DIST(AT$2,$D162,$E162,TRUE))</f>
        <v/>
      </c>
      <c r="AU162">
        <f>IF(NOT(ISNUMBER($D162)),"",_xlfn.NORM.DIST(AU$1,$D162,$E162,TRUE)-_xlfn.NORM.DIST(AU$2,$D162,$E162,TRUE))</f>
        <v/>
      </c>
      <c r="AV162">
        <f>IF(NOT(ISNUMBER($D162)),"",_xlfn.NORM.DIST(AV$1,$D162,$E162,TRUE)-_xlfn.NORM.DIST(AV$2,$D162,$E162,TRUE))</f>
        <v/>
      </c>
      <c r="AW162">
        <f>IF(NOT(ISNUMBER($D162)),"",_xlfn.NORM.DIST(AW$1,$D162,$E162,TRUE)-_xlfn.NORM.DIST(AW$2,$D162,$E162,TRUE))</f>
        <v/>
      </c>
      <c r="AX162">
        <f>IF(NOT(ISNUMBER($D162)),"",_xlfn.NORM.DIST(AX$1,$D162,$E162,TRUE)-_xlfn.NORM.DIST(AX$2,$D162,$E162,TRUE))</f>
        <v/>
      </c>
      <c r="AY162">
        <f>IF(NOT(ISNUMBER($D162)),"",_xlfn.NORM.DIST(AY$1,$D162,$E162,TRUE)-_xlfn.NORM.DIST(AY$2,$D162,$E162,TRUE))</f>
        <v/>
      </c>
      <c r="AZ162">
        <f>IF(NOT(ISNUMBER($D162)),"",_xlfn.NORM.DIST(AZ$1,$D162,$E162,TRUE)-_xlfn.NORM.DIST(AZ$2,$D162,$E162,TRUE))</f>
        <v/>
      </c>
      <c r="BA162">
        <f>IF(NOT(ISNUMBER($D162)),"",_xlfn.NORM.DIST(BA$1,$D162,$E162,TRUE)-_xlfn.NORM.DIST(BA$2,$D162,$E162,TRUE))</f>
        <v/>
      </c>
      <c r="BB162">
        <f>IF(NOT(ISNUMBER($D162)),"",_xlfn.NORM.DIST(BB$1,$D162,$E162,TRUE)-_xlfn.NORM.DIST(BB$2,$D162,$E162,TRUE))</f>
        <v/>
      </c>
      <c r="BC162">
        <f>IF(NOT(ISNUMBER($D162)),"",_xlfn.NORM.DIST(BC$1,$D162,$E162,TRUE)-_xlfn.NORM.DIST(BC$2,$D162,$E162,TRUE))</f>
        <v/>
      </c>
      <c r="BD162">
        <f>IF(NOT(ISNUMBER($D162)),"",_xlfn.NORM.DIST(BD$1,$D162,$E162,TRUE)-_xlfn.NORM.DIST(BD$2,$D162,$E162,TRUE))</f>
        <v/>
      </c>
      <c r="BE162">
        <f>IF(NOT(ISNUMBER($D162)),"",_xlfn.NORM.DIST(BE$1,$D162,$E162,TRUE)-_xlfn.NORM.DIST(BE$2,$D162,$E162,TRUE))</f>
        <v/>
      </c>
      <c r="BF162">
        <f>IF(NOT(ISNUMBER($D162)),"",_xlfn.NORM.DIST(BF$1,$D162,$E162,TRUE)-_xlfn.NORM.DIST(BF$2,$D162,$E162,TRUE))</f>
        <v/>
      </c>
      <c r="BG162">
        <f>IF(NOT(ISNUMBER($D162)),"",_xlfn.NORM.DIST(BG$1,$D162,$E162,TRUE)-_xlfn.NORM.DIST(BG$2,$D162,$E162,TRUE))</f>
        <v/>
      </c>
      <c r="BH162">
        <f>IF(NOT(ISNUMBER($D162)),"",_xlfn.NORM.DIST(BH$1,$D162,$E162,TRUE)-_xlfn.NORM.DIST(BH$2,$D162,$E162,TRUE))</f>
        <v/>
      </c>
      <c r="BI162">
        <f>IF(NOT(ISNUMBER($D162)),"",_xlfn.NORM.DIST(BI$1,$D162,$E162,TRUE)-_xlfn.NORM.DIST(BI$2,$D162,$E162,TRUE))</f>
        <v/>
      </c>
      <c r="BJ162">
        <f>IF(NOT(ISNUMBER($D162)),"",_xlfn.NORM.DIST(BJ$1,$D162,$E162,TRUE)-_xlfn.NORM.DIST(BJ$2,$D162,$E162,TRUE))</f>
        <v/>
      </c>
      <c r="BK162">
        <f>IF(NOT(ISNUMBER($D162)),"",_xlfn.NORM.DIST(BK$1,$D162,$E162,TRUE)-_xlfn.NORM.DIST(BK$2,$D162,$E162,TRUE))</f>
        <v/>
      </c>
      <c r="BL162">
        <f>IF(NOT(ISNUMBER($D162)),"",_xlfn.NORM.DIST(BL$1,$D162,$E162,TRUE)-_xlfn.NORM.DIST(BL$2,$D162,$E162,TRUE))</f>
        <v/>
      </c>
      <c r="BM162">
        <f>IF(NOT(ISNUMBER($D162)),"",_xlfn.NORM.DIST(BM$1,$D162,$E162,TRUE)-_xlfn.NORM.DIST(BM$2,$D162,$E162,TRUE))</f>
        <v/>
      </c>
      <c r="BN162">
        <f>IF(NOT(ISNUMBER($D162)),"",_xlfn.NORM.DIST(BN$1,$D162,$E162,TRUE)-_xlfn.NORM.DIST(BN$2,$D162,$E162,TRUE))</f>
        <v/>
      </c>
      <c r="BO162">
        <f>IF(NOT(ISNUMBER($D162)),"",_xlfn.NORM.DIST(BO$1,$D162,$E162,TRUE)-_xlfn.NORM.DIST(BO$2,$D162,$E162,TRUE))</f>
        <v/>
      </c>
      <c r="BP162">
        <f>IF(NOT(ISNUMBER($D162)),"",_xlfn.NORM.DIST(BP$1,$D162,$E162,TRUE)-_xlfn.NORM.DIST(BP$2,$D162,$E162,TRUE))</f>
        <v/>
      </c>
      <c r="BQ162">
        <f>IF(NOT(ISNUMBER($D162)),"",_xlfn.NORM.DIST(BQ$1,$D162,$E162,TRUE)-_xlfn.NORM.DIST(BQ$2,$D162,$E162,TRUE))</f>
        <v/>
      </c>
      <c r="BR162">
        <f>IF(NOT(ISNUMBER($D162)),"",_xlfn.NORM.DIST(BR$1,$D162,$E162,TRUE)-_xlfn.NORM.DIST(BR$2,$D162,$E162,TRUE))</f>
        <v/>
      </c>
      <c r="BS162">
        <f>IF(NOT(ISNUMBER($D162)),"",_xlfn.NORM.DIST(BS$1,$D162,$E162,TRUE)-_xlfn.NORM.DIST(BS$2,$D162,$E162,TRUE))</f>
        <v/>
      </c>
      <c r="BT162">
        <f>IF(NOT(ISNUMBER($D162)),"",_xlfn.NORM.DIST(BT$1,$D162,$E162,TRUE)-_xlfn.NORM.DIST(BT$2,$D162,$E162,TRUE))</f>
        <v/>
      </c>
      <c r="BU162">
        <f>IF(NOT(ISNUMBER($D162)),"",_xlfn.NORM.DIST(BU$1,$D162,$E162,TRUE)-_xlfn.NORM.DIST(BU$2,$D162,$E162,TRUE))</f>
        <v/>
      </c>
      <c r="BV162">
        <f>IF(NOT(ISNUMBER($D162)),"",_xlfn.NORM.DIST(BV$1,$D162,$E162,TRUE)-_xlfn.NORM.DIST(BV$2,$D162,$E162,TRUE))</f>
        <v/>
      </c>
      <c r="BW162">
        <f>IF(NOT(ISNUMBER($D162)),"",_xlfn.NORM.DIST(BW$1,$D162,$E162,TRUE)-_xlfn.NORM.DIST(BW$2,$D162,$E162,TRUE))</f>
        <v/>
      </c>
      <c r="BX162">
        <f>IF(NOT(ISNUMBER($D162)),"",_xlfn.NORM.DIST(BX$1,$D162,$E162,TRUE)-_xlfn.NORM.DIST(BX$2,$D162,$E162,TRUE))</f>
        <v/>
      </c>
      <c r="BY162">
        <f>IF(NOT(ISNUMBER($D162)),"",_xlfn.NORM.DIST(BY$1,$D162,$E162,TRUE)-_xlfn.NORM.DIST(BY$2,$D162,$E162,TRUE))</f>
        <v/>
      </c>
      <c r="BZ162">
        <f>IF(NOT(ISNUMBER($D162)),"",_xlfn.NORM.DIST(BZ$1,$D162,$E162,TRUE)-_xlfn.NORM.DIST(BZ$2,$D162,$E162,TRUE))</f>
        <v/>
      </c>
      <c r="CA162">
        <f>IF(NOT(ISNUMBER($D162)),"",_xlfn.NORM.DIST(CA$1,$D162,$E162,TRUE)-_xlfn.NORM.DIST(CA$2,$D162,$E162,TRUE))</f>
        <v/>
      </c>
      <c r="CB162">
        <f>IF(NOT(ISNUMBER($D162)),"",_xlfn.NORM.DIST(CB$1,$D162,$E162,TRUE)-_xlfn.NORM.DIST(CB$2,$D162,$E162,TRUE))</f>
        <v/>
      </c>
      <c r="CC162">
        <f>IF(NOT(ISNUMBER($D162)),"",_xlfn.NORM.DIST(CC$1,$D162,$E162,TRUE)-_xlfn.NORM.DIST(CC$2,$D162,$E162,TRUE))</f>
        <v/>
      </c>
      <c r="CD162">
        <f>IF(NOT(ISNUMBER($D162)),"",_xlfn.NORM.DIST(CD$1,$D162,$E162,TRUE)-_xlfn.NORM.DIST(CD$2,$D162,$E162,TRUE))</f>
        <v/>
      </c>
      <c r="CE162">
        <f>IF(NOT(ISNUMBER($D162)),"",_xlfn.NORM.DIST(CE$1,$D162,$E162,TRUE)-_xlfn.NORM.DIST(CE$2,$D162,$E162,TRUE))</f>
        <v/>
      </c>
      <c r="CF162">
        <f>IF(NOT(ISNUMBER($D162)),"",_xlfn.NORM.DIST(CF$1,$D162,$E162,TRUE)-_xlfn.NORM.DIST(CF$2,$D162,$E162,TRUE))</f>
        <v/>
      </c>
      <c r="CG162">
        <f>IF(NOT(ISNUMBER($D162)),"",_xlfn.NORM.DIST(CG$1,$D162,$E162,TRUE)-_xlfn.NORM.DIST(CG$2,$D162,$E162,TRUE))</f>
        <v/>
      </c>
      <c r="CH162">
        <f>IF(NOT(ISNUMBER($D162)),"",_xlfn.NORM.DIST(CH$1,$D162,$E162,TRUE)-_xlfn.NORM.DIST(CH$2,$D162,$E162,TRUE))</f>
        <v/>
      </c>
      <c r="CI162">
        <f>IF(NOT(ISNUMBER($D162)),"",_xlfn.NORM.DIST(CI$1,$D162,$E162,TRUE)-_xlfn.NORM.DIST(CI$2,$D162,$E162,TRUE))</f>
        <v/>
      </c>
      <c r="CJ162">
        <f>IF(ISNUMBER($D162),SUM(F162:CI162),"")</f>
        <v/>
      </c>
    </row>
    <row r="163">
      <c r="A163">
        <f>economics!A162</f>
        <v/>
      </c>
      <c r="B163">
        <f>economics!B162</f>
        <v/>
      </c>
      <c r="C163">
        <f>economics!D162</f>
        <v/>
      </c>
      <c r="D163">
        <f>IF(ISNUMBER(economics!T162),economics!T162,"na")</f>
        <v/>
      </c>
      <c r="E163">
        <f>IF(ISNUMBER(D163),MAX(0.3*ABS(D163),0.000001),"na")</f>
        <v/>
      </c>
      <c r="F163">
        <f>IF(NOT(ISNUMBER($D163)),"",_xlfn.NORM.DIST(F$1,$D163,$E163,TRUE)-_xlfn.NORM.DIST(F$2,$D163,$E163,TRUE))</f>
        <v/>
      </c>
      <c r="G163">
        <f>IF(NOT(ISNUMBER($D163)),"",_xlfn.NORM.DIST(G$1,$D163,$E163,TRUE)-_xlfn.NORM.DIST(G$2,$D163,$E163,TRUE))</f>
        <v/>
      </c>
      <c r="H163">
        <f>IF(NOT(ISNUMBER($D163)),"",_xlfn.NORM.DIST(H$1,$D163,$E163,TRUE)-_xlfn.NORM.DIST(H$2,$D163,$E163,TRUE))</f>
        <v/>
      </c>
      <c r="I163">
        <f>IF(NOT(ISNUMBER($D163)),"",_xlfn.NORM.DIST(I$1,$D163,$E163,TRUE)-_xlfn.NORM.DIST(I$2,$D163,$E163,TRUE))</f>
        <v/>
      </c>
      <c r="J163">
        <f>IF(NOT(ISNUMBER($D163)),"",_xlfn.NORM.DIST(J$1,$D163,$E163,TRUE)-_xlfn.NORM.DIST(J$2,$D163,$E163,TRUE))</f>
        <v/>
      </c>
      <c r="K163">
        <f>IF(NOT(ISNUMBER($D163)),"",_xlfn.NORM.DIST(K$1,$D163,$E163,TRUE)-_xlfn.NORM.DIST(K$2,$D163,$E163,TRUE))</f>
        <v/>
      </c>
      <c r="L163">
        <f>IF(NOT(ISNUMBER($D163)),"",_xlfn.NORM.DIST(L$1,$D163,$E163,TRUE)-_xlfn.NORM.DIST(L$2,$D163,$E163,TRUE))</f>
        <v/>
      </c>
      <c r="M163">
        <f>IF(NOT(ISNUMBER($D163)),"",_xlfn.NORM.DIST(M$1,$D163,$E163,TRUE)-_xlfn.NORM.DIST(M$2,$D163,$E163,TRUE))</f>
        <v/>
      </c>
      <c r="N163">
        <f>IF(NOT(ISNUMBER($D163)),"",_xlfn.NORM.DIST(N$1,$D163,$E163,TRUE)-_xlfn.NORM.DIST(N$2,$D163,$E163,TRUE))</f>
        <v/>
      </c>
      <c r="O163">
        <f>IF(NOT(ISNUMBER($D163)),"",_xlfn.NORM.DIST(O$1,$D163,$E163,TRUE)-_xlfn.NORM.DIST(O$2,$D163,$E163,TRUE))</f>
        <v/>
      </c>
      <c r="P163">
        <f>IF(NOT(ISNUMBER($D163)),"",_xlfn.NORM.DIST(P$1,$D163,$E163,TRUE)-_xlfn.NORM.DIST(P$2,$D163,$E163,TRUE))</f>
        <v/>
      </c>
      <c r="Q163">
        <f>IF(NOT(ISNUMBER($D163)),"",_xlfn.NORM.DIST(Q$1,$D163,$E163,TRUE)-_xlfn.NORM.DIST(Q$2,$D163,$E163,TRUE))</f>
        <v/>
      </c>
      <c r="R163">
        <f>IF(NOT(ISNUMBER($D163)),"",_xlfn.NORM.DIST(R$1,$D163,$E163,TRUE)-_xlfn.NORM.DIST(R$2,$D163,$E163,TRUE))</f>
        <v/>
      </c>
      <c r="S163">
        <f>IF(NOT(ISNUMBER($D163)),"",_xlfn.NORM.DIST(S$1,$D163,$E163,TRUE)-_xlfn.NORM.DIST(S$2,$D163,$E163,TRUE))</f>
        <v/>
      </c>
      <c r="T163">
        <f>IF(NOT(ISNUMBER($D163)),"",_xlfn.NORM.DIST(T$1,$D163,$E163,TRUE)-_xlfn.NORM.DIST(T$2,$D163,$E163,TRUE))</f>
        <v/>
      </c>
      <c r="U163">
        <f>IF(NOT(ISNUMBER($D163)),"",_xlfn.NORM.DIST(U$1,$D163,$E163,TRUE)-_xlfn.NORM.DIST(U$2,$D163,$E163,TRUE))</f>
        <v/>
      </c>
      <c r="V163">
        <f>IF(NOT(ISNUMBER($D163)),"",_xlfn.NORM.DIST(V$1,$D163,$E163,TRUE)-_xlfn.NORM.DIST(V$2,$D163,$E163,TRUE))</f>
        <v/>
      </c>
      <c r="W163">
        <f>IF(NOT(ISNUMBER($D163)),"",_xlfn.NORM.DIST(W$1,$D163,$E163,TRUE)-_xlfn.NORM.DIST(W$2,$D163,$E163,TRUE))</f>
        <v/>
      </c>
      <c r="X163">
        <f>IF(NOT(ISNUMBER($D163)),"",_xlfn.NORM.DIST(X$1,$D163,$E163,TRUE)-_xlfn.NORM.DIST(X$2,$D163,$E163,TRUE))</f>
        <v/>
      </c>
      <c r="Y163">
        <f>IF(NOT(ISNUMBER($D163)),"",_xlfn.NORM.DIST(Y$1,$D163,$E163,TRUE)-_xlfn.NORM.DIST(Y$2,$D163,$E163,TRUE))</f>
        <v/>
      </c>
      <c r="Z163">
        <f>IF(NOT(ISNUMBER($D163)),"",_xlfn.NORM.DIST(Z$1,$D163,$E163,TRUE)-_xlfn.NORM.DIST(Z$2,$D163,$E163,TRUE))</f>
        <v/>
      </c>
      <c r="AA163">
        <f>IF(NOT(ISNUMBER($D163)),"",_xlfn.NORM.DIST(AA$1,$D163,$E163,TRUE)-_xlfn.NORM.DIST(AA$2,$D163,$E163,TRUE))</f>
        <v/>
      </c>
      <c r="AB163">
        <f>IF(NOT(ISNUMBER($D163)),"",_xlfn.NORM.DIST(AB$1,$D163,$E163,TRUE)-_xlfn.NORM.DIST(AB$2,$D163,$E163,TRUE))</f>
        <v/>
      </c>
      <c r="AC163">
        <f>IF(NOT(ISNUMBER($D163)),"",_xlfn.NORM.DIST(AC$1,$D163,$E163,TRUE)-_xlfn.NORM.DIST(AC$2,$D163,$E163,TRUE))</f>
        <v/>
      </c>
      <c r="AD163">
        <f>IF(NOT(ISNUMBER($D163)),"",_xlfn.NORM.DIST(AD$1,$D163,$E163,TRUE)-_xlfn.NORM.DIST(AD$2,$D163,$E163,TRUE))</f>
        <v/>
      </c>
      <c r="AE163">
        <f>IF(NOT(ISNUMBER($D163)),"",_xlfn.NORM.DIST(AE$1,$D163,$E163,TRUE)-_xlfn.NORM.DIST(AE$2,$D163,$E163,TRUE))</f>
        <v/>
      </c>
      <c r="AF163">
        <f>IF(NOT(ISNUMBER($D163)),"",_xlfn.NORM.DIST(AF$1,$D163,$E163,TRUE)-_xlfn.NORM.DIST(AF$2,$D163,$E163,TRUE))</f>
        <v/>
      </c>
      <c r="AG163">
        <f>IF(NOT(ISNUMBER($D163)),"",_xlfn.NORM.DIST(AG$1,$D163,$E163,TRUE)-_xlfn.NORM.DIST(AG$2,$D163,$E163,TRUE))</f>
        <v/>
      </c>
      <c r="AH163">
        <f>IF(NOT(ISNUMBER($D163)),"",_xlfn.NORM.DIST(AH$1,$D163,$E163,TRUE)-_xlfn.NORM.DIST(AH$2,$D163,$E163,TRUE))</f>
        <v/>
      </c>
      <c r="AI163">
        <f>IF(NOT(ISNUMBER($D163)),"",_xlfn.NORM.DIST(AI$1,$D163,$E163,TRUE)-_xlfn.NORM.DIST(AI$2,$D163,$E163,TRUE))</f>
        <v/>
      </c>
      <c r="AJ163">
        <f>IF(NOT(ISNUMBER($D163)),"",_xlfn.NORM.DIST(AJ$1,$D163,$E163,TRUE)-_xlfn.NORM.DIST(AJ$2,$D163,$E163,TRUE))</f>
        <v/>
      </c>
      <c r="AK163">
        <f>IF(NOT(ISNUMBER($D163)),"",_xlfn.NORM.DIST(AK$1,$D163,$E163,TRUE)-_xlfn.NORM.DIST(AK$2,$D163,$E163,TRUE))</f>
        <v/>
      </c>
      <c r="AL163">
        <f>IF(NOT(ISNUMBER($D163)),"",_xlfn.NORM.DIST(AL$1,$D163,$E163,TRUE)-_xlfn.NORM.DIST(AL$2,$D163,$E163,TRUE))</f>
        <v/>
      </c>
      <c r="AM163">
        <f>IF(NOT(ISNUMBER($D163)),"",_xlfn.NORM.DIST(AM$1,$D163,$E163,TRUE)-_xlfn.NORM.DIST(AM$2,$D163,$E163,TRUE))</f>
        <v/>
      </c>
      <c r="AN163">
        <f>IF(NOT(ISNUMBER($D163)),"",_xlfn.NORM.DIST(AN$1,$D163,$E163,TRUE)-_xlfn.NORM.DIST(AN$2,$D163,$E163,TRUE))</f>
        <v/>
      </c>
      <c r="AO163">
        <f>IF(NOT(ISNUMBER($D163)),"",_xlfn.NORM.DIST(AO$1,$D163,$E163,TRUE)-_xlfn.NORM.DIST(AO$2,$D163,$E163,TRUE))</f>
        <v/>
      </c>
      <c r="AP163">
        <f>IF(NOT(ISNUMBER($D163)),"",_xlfn.NORM.DIST(AP$1,$D163,$E163,TRUE)-_xlfn.NORM.DIST(AP$2,$D163,$E163,TRUE))</f>
        <v/>
      </c>
      <c r="AQ163">
        <f>IF(NOT(ISNUMBER($D163)),"",_xlfn.NORM.DIST(AQ$1,$D163,$E163,TRUE)-_xlfn.NORM.DIST(AQ$2,$D163,$E163,TRUE))</f>
        <v/>
      </c>
      <c r="AR163">
        <f>IF(NOT(ISNUMBER($D163)),"",_xlfn.NORM.DIST(AR$1,$D163,$E163,TRUE)-_xlfn.NORM.DIST(AR$2,$D163,$E163,TRUE))</f>
        <v/>
      </c>
      <c r="AS163">
        <f>IF(NOT(ISNUMBER($D163)),"",_xlfn.NORM.DIST(AS$1,$D163,$E163,TRUE)-_xlfn.NORM.DIST(AS$2,$D163,$E163,TRUE))</f>
        <v/>
      </c>
      <c r="AT163">
        <f>IF(NOT(ISNUMBER($D163)),"",_xlfn.NORM.DIST(AT$1,$D163,$E163,TRUE)-_xlfn.NORM.DIST(AT$2,$D163,$E163,TRUE))</f>
        <v/>
      </c>
      <c r="AU163">
        <f>IF(NOT(ISNUMBER($D163)),"",_xlfn.NORM.DIST(AU$1,$D163,$E163,TRUE)-_xlfn.NORM.DIST(AU$2,$D163,$E163,TRUE))</f>
        <v/>
      </c>
      <c r="AV163">
        <f>IF(NOT(ISNUMBER($D163)),"",_xlfn.NORM.DIST(AV$1,$D163,$E163,TRUE)-_xlfn.NORM.DIST(AV$2,$D163,$E163,TRUE))</f>
        <v/>
      </c>
      <c r="AW163">
        <f>IF(NOT(ISNUMBER($D163)),"",_xlfn.NORM.DIST(AW$1,$D163,$E163,TRUE)-_xlfn.NORM.DIST(AW$2,$D163,$E163,TRUE))</f>
        <v/>
      </c>
      <c r="AX163">
        <f>IF(NOT(ISNUMBER($D163)),"",_xlfn.NORM.DIST(AX$1,$D163,$E163,TRUE)-_xlfn.NORM.DIST(AX$2,$D163,$E163,TRUE))</f>
        <v/>
      </c>
      <c r="AY163">
        <f>IF(NOT(ISNUMBER($D163)),"",_xlfn.NORM.DIST(AY$1,$D163,$E163,TRUE)-_xlfn.NORM.DIST(AY$2,$D163,$E163,TRUE))</f>
        <v/>
      </c>
      <c r="AZ163">
        <f>IF(NOT(ISNUMBER($D163)),"",_xlfn.NORM.DIST(AZ$1,$D163,$E163,TRUE)-_xlfn.NORM.DIST(AZ$2,$D163,$E163,TRUE))</f>
        <v/>
      </c>
      <c r="BA163">
        <f>IF(NOT(ISNUMBER($D163)),"",_xlfn.NORM.DIST(BA$1,$D163,$E163,TRUE)-_xlfn.NORM.DIST(BA$2,$D163,$E163,TRUE))</f>
        <v/>
      </c>
      <c r="BB163">
        <f>IF(NOT(ISNUMBER($D163)),"",_xlfn.NORM.DIST(BB$1,$D163,$E163,TRUE)-_xlfn.NORM.DIST(BB$2,$D163,$E163,TRUE))</f>
        <v/>
      </c>
      <c r="BC163">
        <f>IF(NOT(ISNUMBER($D163)),"",_xlfn.NORM.DIST(BC$1,$D163,$E163,TRUE)-_xlfn.NORM.DIST(BC$2,$D163,$E163,TRUE))</f>
        <v/>
      </c>
      <c r="BD163">
        <f>IF(NOT(ISNUMBER($D163)),"",_xlfn.NORM.DIST(BD$1,$D163,$E163,TRUE)-_xlfn.NORM.DIST(BD$2,$D163,$E163,TRUE))</f>
        <v/>
      </c>
      <c r="BE163">
        <f>IF(NOT(ISNUMBER($D163)),"",_xlfn.NORM.DIST(BE$1,$D163,$E163,TRUE)-_xlfn.NORM.DIST(BE$2,$D163,$E163,TRUE))</f>
        <v/>
      </c>
      <c r="BF163">
        <f>IF(NOT(ISNUMBER($D163)),"",_xlfn.NORM.DIST(BF$1,$D163,$E163,TRUE)-_xlfn.NORM.DIST(BF$2,$D163,$E163,TRUE))</f>
        <v/>
      </c>
      <c r="BG163">
        <f>IF(NOT(ISNUMBER($D163)),"",_xlfn.NORM.DIST(BG$1,$D163,$E163,TRUE)-_xlfn.NORM.DIST(BG$2,$D163,$E163,TRUE))</f>
        <v/>
      </c>
      <c r="BH163">
        <f>IF(NOT(ISNUMBER($D163)),"",_xlfn.NORM.DIST(BH$1,$D163,$E163,TRUE)-_xlfn.NORM.DIST(BH$2,$D163,$E163,TRUE))</f>
        <v/>
      </c>
      <c r="BI163">
        <f>IF(NOT(ISNUMBER($D163)),"",_xlfn.NORM.DIST(BI$1,$D163,$E163,TRUE)-_xlfn.NORM.DIST(BI$2,$D163,$E163,TRUE))</f>
        <v/>
      </c>
      <c r="BJ163">
        <f>IF(NOT(ISNUMBER($D163)),"",_xlfn.NORM.DIST(BJ$1,$D163,$E163,TRUE)-_xlfn.NORM.DIST(BJ$2,$D163,$E163,TRUE))</f>
        <v/>
      </c>
      <c r="BK163">
        <f>IF(NOT(ISNUMBER($D163)),"",_xlfn.NORM.DIST(BK$1,$D163,$E163,TRUE)-_xlfn.NORM.DIST(BK$2,$D163,$E163,TRUE))</f>
        <v/>
      </c>
      <c r="BL163">
        <f>IF(NOT(ISNUMBER($D163)),"",_xlfn.NORM.DIST(BL$1,$D163,$E163,TRUE)-_xlfn.NORM.DIST(BL$2,$D163,$E163,TRUE))</f>
        <v/>
      </c>
      <c r="BM163">
        <f>IF(NOT(ISNUMBER($D163)),"",_xlfn.NORM.DIST(BM$1,$D163,$E163,TRUE)-_xlfn.NORM.DIST(BM$2,$D163,$E163,TRUE))</f>
        <v/>
      </c>
      <c r="BN163">
        <f>IF(NOT(ISNUMBER($D163)),"",_xlfn.NORM.DIST(BN$1,$D163,$E163,TRUE)-_xlfn.NORM.DIST(BN$2,$D163,$E163,TRUE))</f>
        <v/>
      </c>
      <c r="BO163">
        <f>IF(NOT(ISNUMBER($D163)),"",_xlfn.NORM.DIST(BO$1,$D163,$E163,TRUE)-_xlfn.NORM.DIST(BO$2,$D163,$E163,TRUE))</f>
        <v/>
      </c>
      <c r="BP163">
        <f>IF(NOT(ISNUMBER($D163)),"",_xlfn.NORM.DIST(BP$1,$D163,$E163,TRUE)-_xlfn.NORM.DIST(BP$2,$D163,$E163,TRUE))</f>
        <v/>
      </c>
      <c r="BQ163">
        <f>IF(NOT(ISNUMBER($D163)),"",_xlfn.NORM.DIST(BQ$1,$D163,$E163,TRUE)-_xlfn.NORM.DIST(BQ$2,$D163,$E163,TRUE))</f>
        <v/>
      </c>
      <c r="BR163">
        <f>IF(NOT(ISNUMBER($D163)),"",_xlfn.NORM.DIST(BR$1,$D163,$E163,TRUE)-_xlfn.NORM.DIST(BR$2,$D163,$E163,TRUE))</f>
        <v/>
      </c>
      <c r="BS163">
        <f>IF(NOT(ISNUMBER($D163)),"",_xlfn.NORM.DIST(BS$1,$D163,$E163,TRUE)-_xlfn.NORM.DIST(BS$2,$D163,$E163,TRUE))</f>
        <v/>
      </c>
      <c r="BT163">
        <f>IF(NOT(ISNUMBER($D163)),"",_xlfn.NORM.DIST(BT$1,$D163,$E163,TRUE)-_xlfn.NORM.DIST(BT$2,$D163,$E163,TRUE))</f>
        <v/>
      </c>
      <c r="BU163">
        <f>IF(NOT(ISNUMBER($D163)),"",_xlfn.NORM.DIST(BU$1,$D163,$E163,TRUE)-_xlfn.NORM.DIST(BU$2,$D163,$E163,TRUE))</f>
        <v/>
      </c>
      <c r="BV163">
        <f>IF(NOT(ISNUMBER($D163)),"",_xlfn.NORM.DIST(BV$1,$D163,$E163,TRUE)-_xlfn.NORM.DIST(BV$2,$D163,$E163,TRUE))</f>
        <v/>
      </c>
      <c r="BW163">
        <f>IF(NOT(ISNUMBER($D163)),"",_xlfn.NORM.DIST(BW$1,$D163,$E163,TRUE)-_xlfn.NORM.DIST(BW$2,$D163,$E163,TRUE))</f>
        <v/>
      </c>
      <c r="BX163">
        <f>IF(NOT(ISNUMBER($D163)),"",_xlfn.NORM.DIST(BX$1,$D163,$E163,TRUE)-_xlfn.NORM.DIST(BX$2,$D163,$E163,TRUE))</f>
        <v/>
      </c>
      <c r="BY163">
        <f>IF(NOT(ISNUMBER($D163)),"",_xlfn.NORM.DIST(BY$1,$D163,$E163,TRUE)-_xlfn.NORM.DIST(BY$2,$D163,$E163,TRUE))</f>
        <v/>
      </c>
      <c r="BZ163">
        <f>IF(NOT(ISNUMBER($D163)),"",_xlfn.NORM.DIST(BZ$1,$D163,$E163,TRUE)-_xlfn.NORM.DIST(BZ$2,$D163,$E163,TRUE))</f>
        <v/>
      </c>
      <c r="CA163">
        <f>IF(NOT(ISNUMBER($D163)),"",_xlfn.NORM.DIST(CA$1,$D163,$E163,TRUE)-_xlfn.NORM.DIST(CA$2,$D163,$E163,TRUE))</f>
        <v/>
      </c>
      <c r="CB163">
        <f>IF(NOT(ISNUMBER($D163)),"",_xlfn.NORM.DIST(CB$1,$D163,$E163,TRUE)-_xlfn.NORM.DIST(CB$2,$D163,$E163,TRUE))</f>
        <v/>
      </c>
      <c r="CC163">
        <f>IF(NOT(ISNUMBER($D163)),"",_xlfn.NORM.DIST(CC$1,$D163,$E163,TRUE)-_xlfn.NORM.DIST(CC$2,$D163,$E163,TRUE))</f>
        <v/>
      </c>
      <c r="CD163">
        <f>IF(NOT(ISNUMBER($D163)),"",_xlfn.NORM.DIST(CD$1,$D163,$E163,TRUE)-_xlfn.NORM.DIST(CD$2,$D163,$E163,TRUE))</f>
        <v/>
      </c>
      <c r="CE163">
        <f>IF(NOT(ISNUMBER($D163)),"",_xlfn.NORM.DIST(CE$1,$D163,$E163,TRUE)-_xlfn.NORM.DIST(CE$2,$D163,$E163,TRUE))</f>
        <v/>
      </c>
      <c r="CF163">
        <f>IF(NOT(ISNUMBER($D163)),"",_xlfn.NORM.DIST(CF$1,$D163,$E163,TRUE)-_xlfn.NORM.DIST(CF$2,$D163,$E163,TRUE))</f>
        <v/>
      </c>
      <c r="CG163">
        <f>IF(NOT(ISNUMBER($D163)),"",_xlfn.NORM.DIST(CG$1,$D163,$E163,TRUE)-_xlfn.NORM.DIST(CG$2,$D163,$E163,TRUE))</f>
        <v/>
      </c>
      <c r="CH163">
        <f>IF(NOT(ISNUMBER($D163)),"",_xlfn.NORM.DIST(CH$1,$D163,$E163,TRUE)-_xlfn.NORM.DIST(CH$2,$D163,$E163,TRUE))</f>
        <v/>
      </c>
      <c r="CI163">
        <f>IF(NOT(ISNUMBER($D163)),"",_xlfn.NORM.DIST(CI$1,$D163,$E163,TRUE)-_xlfn.NORM.DIST(CI$2,$D163,$E163,TRUE))</f>
        <v/>
      </c>
      <c r="CJ163">
        <f>IF(ISNUMBER($D163),SUM(F163:CI163),"")</f>
        <v/>
      </c>
    </row>
    <row r="164">
      <c r="A164">
        <f>economics!A163</f>
        <v/>
      </c>
      <c r="B164">
        <f>economics!B163</f>
        <v/>
      </c>
      <c r="C164">
        <f>economics!D163</f>
        <v/>
      </c>
      <c r="D164">
        <f>IF(ISNUMBER(economics!T163),economics!T163,"na")</f>
        <v/>
      </c>
      <c r="E164">
        <f>IF(ISNUMBER(D164),MAX(0.3*ABS(D164),0.000001),"na")</f>
        <v/>
      </c>
      <c r="F164">
        <f>IF(NOT(ISNUMBER($D164)),"",_xlfn.NORM.DIST(F$1,$D164,$E164,TRUE)-_xlfn.NORM.DIST(F$2,$D164,$E164,TRUE))</f>
        <v/>
      </c>
      <c r="G164">
        <f>IF(NOT(ISNUMBER($D164)),"",_xlfn.NORM.DIST(G$1,$D164,$E164,TRUE)-_xlfn.NORM.DIST(G$2,$D164,$E164,TRUE))</f>
        <v/>
      </c>
      <c r="H164">
        <f>IF(NOT(ISNUMBER($D164)),"",_xlfn.NORM.DIST(H$1,$D164,$E164,TRUE)-_xlfn.NORM.DIST(H$2,$D164,$E164,TRUE))</f>
        <v/>
      </c>
      <c r="I164">
        <f>IF(NOT(ISNUMBER($D164)),"",_xlfn.NORM.DIST(I$1,$D164,$E164,TRUE)-_xlfn.NORM.DIST(I$2,$D164,$E164,TRUE))</f>
        <v/>
      </c>
      <c r="J164">
        <f>IF(NOT(ISNUMBER($D164)),"",_xlfn.NORM.DIST(J$1,$D164,$E164,TRUE)-_xlfn.NORM.DIST(J$2,$D164,$E164,TRUE))</f>
        <v/>
      </c>
      <c r="K164">
        <f>IF(NOT(ISNUMBER($D164)),"",_xlfn.NORM.DIST(K$1,$D164,$E164,TRUE)-_xlfn.NORM.DIST(K$2,$D164,$E164,TRUE))</f>
        <v/>
      </c>
      <c r="L164">
        <f>IF(NOT(ISNUMBER($D164)),"",_xlfn.NORM.DIST(L$1,$D164,$E164,TRUE)-_xlfn.NORM.DIST(L$2,$D164,$E164,TRUE))</f>
        <v/>
      </c>
      <c r="M164">
        <f>IF(NOT(ISNUMBER($D164)),"",_xlfn.NORM.DIST(M$1,$D164,$E164,TRUE)-_xlfn.NORM.DIST(M$2,$D164,$E164,TRUE))</f>
        <v/>
      </c>
      <c r="N164">
        <f>IF(NOT(ISNUMBER($D164)),"",_xlfn.NORM.DIST(N$1,$D164,$E164,TRUE)-_xlfn.NORM.DIST(N$2,$D164,$E164,TRUE))</f>
        <v/>
      </c>
      <c r="O164">
        <f>IF(NOT(ISNUMBER($D164)),"",_xlfn.NORM.DIST(O$1,$D164,$E164,TRUE)-_xlfn.NORM.DIST(O$2,$D164,$E164,TRUE))</f>
        <v/>
      </c>
      <c r="P164">
        <f>IF(NOT(ISNUMBER($D164)),"",_xlfn.NORM.DIST(P$1,$D164,$E164,TRUE)-_xlfn.NORM.DIST(P$2,$D164,$E164,TRUE))</f>
        <v/>
      </c>
      <c r="Q164">
        <f>IF(NOT(ISNUMBER($D164)),"",_xlfn.NORM.DIST(Q$1,$D164,$E164,TRUE)-_xlfn.NORM.DIST(Q$2,$D164,$E164,TRUE))</f>
        <v/>
      </c>
      <c r="R164">
        <f>IF(NOT(ISNUMBER($D164)),"",_xlfn.NORM.DIST(R$1,$D164,$E164,TRUE)-_xlfn.NORM.DIST(R$2,$D164,$E164,TRUE))</f>
        <v/>
      </c>
      <c r="S164">
        <f>IF(NOT(ISNUMBER($D164)),"",_xlfn.NORM.DIST(S$1,$D164,$E164,TRUE)-_xlfn.NORM.DIST(S$2,$D164,$E164,TRUE))</f>
        <v/>
      </c>
      <c r="T164">
        <f>IF(NOT(ISNUMBER($D164)),"",_xlfn.NORM.DIST(T$1,$D164,$E164,TRUE)-_xlfn.NORM.DIST(T$2,$D164,$E164,TRUE))</f>
        <v/>
      </c>
      <c r="U164">
        <f>IF(NOT(ISNUMBER($D164)),"",_xlfn.NORM.DIST(U$1,$D164,$E164,TRUE)-_xlfn.NORM.DIST(U$2,$D164,$E164,TRUE))</f>
        <v/>
      </c>
      <c r="V164">
        <f>IF(NOT(ISNUMBER($D164)),"",_xlfn.NORM.DIST(V$1,$D164,$E164,TRUE)-_xlfn.NORM.DIST(V$2,$D164,$E164,TRUE))</f>
        <v/>
      </c>
      <c r="W164">
        <f>IF(NOT(ISNUMBER($D164)),"",_xlfn.NORM.DIST(W$1,$D164,$E164,TRUE)-_xlfn.NORM.DIST(W$2,$D164,$E164,TRUE))</f>
        <v/>
      </c>
      <c r="X164">
        <f>IF(NOT(ISNUMBER($D164)),"",_xlfn.NORM.DIST(X$1,$D164,$E164,TRUE)-_xlfn.NORM.DIST(X$2,$D164,$E164,TRUE))</f>
        <v/>
      </c>
      <c r="Y164">
        <f>IF(NOT(ISNUMBER($D164)),"",_xlfn.NORM.DIST(Y$1,$D164,$E164,TRUE)-_xlfn.NORM.DIST(Y$2,$D164,$E164,TRUE))</f>
        <v/>
      </c>
      <c r="Z164">
        <f>IF(NOT(ISNUMBER($D164)),"",_xlfn.NORM.DIST(Z$1,$D164,$E164,TRUE)-_xlfn.NORM.DIST(Z$2,$D164,$E164,TRUE))</f>
        <v/>
      </c>
      <c r="AA164">
        <f>IF(NOT(ISNUMBER($D164)),"",_xlfn.NORM.DIST(AA$1,$D164,$E164,TRUE)-_xlfn.NORM.DIST(AA$2,$D164,$E164,TRUE))</f>
        <v/>
      </c>
      <c r="AB164">
        <f>IF(NOT(ISNUMBER($D164)),"",_xlfn.NORM.DIST(AB$1,$D164,$E164,TRUE)-_xlfn.NORM.DIST(AB$2,$D164,$E164,TRUE))</f>
        <v/>
      </c>
      <c r="AC164">
        <f>IF(NOT(ISNUMBER($D164)),"",_xlfn.NORM.DIST(AC$1,$D164,$E164,TRUE)-_xlfn.NORM.DIST(AC$2,$D164,$E164,TRUE))</f>
        <v/>
      </c>
      <c r="AD164">
        <f>IF(NOT(ISNUMBER($D164)),"",_xlfn.NORM.DIST(AD$1,$D164,$E164,TRUE)-_xlfn.NORM.DIST(AD$2,$D164,$E164,TRUE))</f>
        <v/>
      </c>
      <c r="AE164">
        <f>IF(NOT(ISNUMBER($D164)),"",_xlfn.NORM.DIST(AE$1,$D164,$E164,TRUE)-_xlfn.NORM.DIST(AE$2,$D164,$E164,TRUE))</f>
        <v/>
      </c>
      <c r="AF164">
        <f>IF(NOT(ISNUMBER($D164)),"",_xlfn.NORM.DIST(AF$1,$D164,$E164,TRUE)-_xlfn.NORM.DIST(AF$2,$D164,$E164,TRUE))</f>
        <v/>
      </c>
      <c r="AG164">
        <f>IF(NOT(ISNUMBER($D164)),"",_xlfn.NORM.DIST(AG$1,$D164,$E164,TRUE)-_xlfn.NORM.DIST(AG$2,$D164,$E164,TRUE))</f>
        <v/>
      </c>
      <c r="AH164">
        <f>IF(NOT(ISNUMBER($D164)),"",_xlfn.NORM.DIST(AH$1,$D164,$E164,TRUE)-_xlfn.NORM.DIST(AH$2,$D164,$E164,TRUE))</f>
        <v/>
      </c>
      <c r="AI164">
        <f>IF(NOT(ISNUMBER($D164)),"",_xlfn.NORM.DIST(AI$1,$D164,$E164,TRUE)-_xlfn.NORM.DIST(AI$2,$D164,$E164,TRUE))</f>
        <v/>
      </c>
      <c r="AJ164">
        <f>IF(NOT(ISNUMBER($D164)),"",_xlfn.NORM.DIST(AJ$1,$D164,$E164,TRUE)-_xlfn.NORM.DIST(AJ$2,$D164,$E164,TRUE))</f>
        <v/>
      </c>
      <c r="AK164">
        <f>IF(NOT(ISNUMBER($D164)),"",_xlfn.NORM.DIST(AK$1,$D164,$E164,TRUE)-_xlfn.NORM.DIST(AK$2,$D164,$E164,TRUE))</f>
        <v/>
      </c>
      <c r="AL164">
        <f>IF(NOT(ISNUMBER($D164)),"",_xlfn.NORM.DIST(AL$1,$D164,$E164,TRUE)-_xlfn.NORM.DIST(AL$2,$D164,$E164,TRUE))</f>
        <v/>
      </c>
      <c r="AM164">
        <f>IF(NOT(ISNUMBER($D164)),"",_xlfn.NORM.DIST(AM$1,$D164,$E164,TRUE)-_xlfn.NORM.DIST(AM$2,$D164,$E164,TRUE))</f>
        <v/>
      </c>
      <c r="AN164">
        <f>IF(NOT(ISNUMBER($D164)),"",_xlfn.NORM.DIST(AN$1,$D164,$E164,TRUE)-_xlfn.NORM.DIST(AN$2,$D164,$E164,TRUE))</f>
        <v/>
      </c>
      <c r="AO164">
        <f>IF(NOT(ISNUMBER($D164)),"",_xlfn.NORM.DIST(AO$1,$D164,$E164,TRUE)-_xlfn.NORM.DIST(AO$2,$D164,$E164,TRUE))</f>
        <v/>
      </c>
      <c r="AP164">
        <f>IF(NOT(ISNUMBER($D164)),"",_xlfn.NORM.DIST(AP$1,$D164,$E164,TRUE)-_xlfn.NORM.DIST(AP$2,$D164,$E164,TRUE))</f>
        <v/>
      </c>
      <c r="AQ164">
        <f>IF(NOT(ISNUMBER($D164)),"",_xlfn.NORM.DIST(AQ$1,$D164,$E164,TRUE)-_xlfn.NORM.DIST(AQ$2,$D164,$E164,TRUE))</f>
        <v/>
      </c>
      <c r="AR164">
        <f>IF(NOT(ISNUMBER($D164)),"",_xlfn.NORM.DIST(AR$1,$D164,$E164,TRUE)-_xlfn.NORM.DIST(AR$2,$D164,$E164,TRUE))</f>
        <v/>
      </c>
      <c r="AS164">
        <f>IF(NOT(ISNUMBER($D164)),"",_xlfn.NORM.DIST(AS$1,$D164,$E164,TRUE)-_xlfn.NORM.DIST(AS$2,$D164,$E164,TRUE))</f>
        <v/>
      </c>
      <c r="AT164">
        <f>IF(NOT(ISNUMBER($D164)),"",_xlfn.NORM.DIST(AT$1,$D164,$E164,TRUE)-_xlfn.NORM.DIST(AT$2,$D164,$E164,TRUE))</f>
        <v/>
      </c>
      <c r="AU164">
        <f>IF(NOT(ISNUMBER($D164)),"",_xlfn.NORM.DIST(AU$1,$D164,$E164,TRUE)-_xlfn.NORM.DIST(AU$2,$D164,$E164,TRUE))</f>
        <v/>
      </c>
      <c r="AV164">
        <f>IF(NOT(ISNUMBER($D164)),"",_xlfn.NORM.DIST(AV$1,$D164,$E164,TRUE)-_xlfn.NORM.DIST(AV$2,$D164,$E164,TRUE))</f>
        <v/>
      </c>
      <c r="AW164">
        <f>IF(NOT(ISNUMBER($D164)),"",_xlfn.NORM.DIST(AW$1,$D164,$E164,TRUE)-_xlfn.NORM.DIST(AW$2,$D164,$E164,TRUE))</f>
        <v/>
      </c>
      <c r="AX164">
        <f>IF(NOT(ISNUMBER($D164)),"",_xlfn.NORM.DIST(AX$1,$D164,$E164,TRUE)-_xlfn.NORM.DIST(AX$2,$D164,$E164,TRUE))</f>
        <v/>
      </c>
      <c r="AY164">
        <f>IF(NOT(ISNUMBER($D164)),"",_xlfn.NORM.DIST(AY$1,$D164,$E164,TRUE)-_xlfn.NORM.DIST(AY$2,$D164,$E164,TRUE))</f>
        <v/>
      </c>
      <c r="AZ164">
        <f>IF(NOT(ISNUMBER($D164)),"",_xlfn.NORM.DIST(AZ$1,$D164,$E164,TRUE)-_xlfn.NORM.DIST(AZ$2,$D164,$E164,TRUE))</f>
        <v/>
      </c>
      <c r="BA164">
        <f>IF(NOT(ISNUMBER($D164)),"",_xlfn.NORM.DIST(BA$1,$D164,$E164,TRUE)-_xlfn.NORM.DIST(BA$2,$D164,$E164,TRUE))</f>
        <v/>
      </c>
      <c r="BB164">
        <f>IF(NOT(ISNUMBER($D164)),"",_xlfn.NORM.DIST(BB$1,$D164,$E164,TRUE)-_xlfn.NORM.DIST(BB$2,$D164,$E164,TRUE))</f>
        <v/>
      </c>
      <c r="BC164">
        <f>IF(NOT(ISNUMBER($D164)),"",_xlfn.NORM.DIST(BC$1,$D164,$E164,TRUE)-_xlfn.NORM.DIST(BC$2,$D164,$E164,TRUE))</f>
        <v/>
      </c>
      <c r="BD164">
        <f>IF(NOT(ISNUMBER($D164)),"",_xlfn.NORM.DIST(BD$1,$D164,$E164,TRUE)-_xlfn.NORM.DIST(BD$2,$D164,$E164,TRUE))</f>
        <v/>
      </c>
      <c r="BE164">
        <f>IF(NOT(ISNUMBER($D164)),"",_xlfn.NORM.DIST(BE$1,$D164,$E164,TRUE)-_xlfn.NORM.DIST(BE$2,$D164,$E164,TRUE))</f>
        <v/>
      </c>
      <c r="BF164">
        <f>IF(NOT(ISNUMBER($D164)),"",_xlfn.NORM.DIST(BF$1,$D164,$E164,TRUE)-_xlfn.NORM.DIST(BF$2,$D164,$E164,TRUE))</f>
        <v/>
      </c>
      <c r="BG164">
        <f>IF(NOT(ISNUMBER($D164)),"",_xlfn.NORM.DIST(BG$1,$D164,$E164,TRUE)-_xlfn.NORM.DIST(BG$2,$D164,$E164,TRUE))</f>
        <v/>
      </c>
      <c r="BH164">
        <f>IF(NOT(ISNUMBER($D164)),"",_xlfn.NORM.DIST(BH$1,$D164,$E164,TRUE)-_xlfn.NORM.DIST(BH$2,$D164,$E164,TRUE))</f>
        <v/>
      </c>
      <c r="BI164">
        <f>IF(NOT(ISNUMBER($D164)),"",_xlfn.NORM.DIST(BI$1,$D164,$E164,TRUE)-_xlfn.NORM.DIST(BI$2,$D164,$E164,TRUE))</f>
        <v/>
      </c>
      <c r="BJ164">
        <f>IF(NOT(ISNUMBER($D164)),"",_xlfn.NORM.DIST(BJ$1,$D164,$E164,TRUE)-_xlfn.NORM.DIST(BJ$2,$D164,$E164,TRUE))</f>
        <v/>
      </c>
      <c r="BK164">
        <f>IF(NOT(ISNUMBER($D164)),"",_xlfn.NORM.DIST(BK$1,$D164,$E164,TRUE)-_xlfn.NORM.DIST(BK$2,$D164,$E164,TRUE))</f>
        <v/>
      </c>
      <c r="BL164">
        <f>IF(NOT(ISNUMBER($D164)),"",_xlfn.NORM.DIST(BL$1,$D164,$E164,TRUE)-_xlfn.NORM.DIST(BL$2,$D164,$E164,TRUE))</f>
        <v/>
      </c>
      <c r="BM164">
        <f>IF(NOT(ISNUMBER($D164)),"",_xlfn.NORM.DIST(BM$1,$D164,$E164,TRUE)-_xlfn.NORM.DIST(BM$2,$D164,$E164,TRUE))</f>
        <v/>
      </c>
      <c r="BN164">
        <f>IF(NOT(ISNUMBER($D164)),"",_xlfn.NORM.DIST(BN$1,$D164,$E164,TRUE)-_xlfn.NORM.DIST(BN$2,$D164,$E164,TRUE))</f>
        <v/>
      </c>
      <c r="BO164">
        <f>IF(NOT(ISNUMBER($D164)),"",_xlfn.NORM.DIST(BO$1,$D164,$E164,TRUE)-_xlfn.NORM.DIST(BO$2,$D164,$E164,TRUE))</f>
        <v/>
      </c>
      <c r="BP164">
        <f>IF(NOT(ISNUMBER($D164)),"",_xlfn.NORM.DIST(BP$1,$D164,$E164,TRUE)-_xlfn.NORM.DIST(BP$2,$D164,$E164,TRUE))</f>
        <v/>
      </c>
      <c r="BQ164">
        <f>IF(NOT(ISNUMBER($D164)),"",_xlfn.NORM.DIST(BQ$1,$D164,$E164,TRUE)-_xlfn.NORM.DIST(BQ$2,$D164,$E164,TRUE))</f>
        <v/>
      </c>
      <c r="BR164">
        <f>IF(NOT(ISNUMBER($D164)),"",_xlfn.NORM.DIST(BR$1,$D164,$E164,TRUE)-_xlfn.NORM.DIST(BR$2,$D164,$E164,TRUE))</f>
        <v/>
      </c>
      <c r="BS164">
        <f>IF(NOT(ISNUMBER($D164)),"",_xlfn.NORM.DIST(BS$1,$D164,$E164,TRUE)-_xlfn.NORM.DIST(BS$2,$D164,$E164,TRUE))</f>
        <v/>
      </c>
      <c r="BT164">
        <f>IF(NOT(ISNUMBER($D164)),"",_xlfn.NORM.DIST(BT$1,$D164,$E164,TRUE)-_xlfn.NORM.DIST(BT$2,$D164,$E164,TRUE))</f>
        <v/>
      </c>
      <c r="BU164">
        <f>IF(NOT(ISNUMBER($D164)),"",_xlfn.NORM.DIST(BU$1,$D164,$E164,TRUE)-_xlfn.NORM.DIST(BU$2,$D164,$E164,TRUE))</f>
        <v/>
      </c>
      <c r="BV164">
        <f>IF(NOT(ISNUMBER($D164)),"",_xlfn.NORM.DIST(BV$1,$D164,$E164,TRUE)-_xlfn.NORM.DIST(BV$2,$D164,$E164,TRUE))</f>
        <v/>
      </c>
      <c r="BW164">
        <f>IF(NOT(ISNUMBER($D164)),"",_xlfn.NORM.DIST(BW$1,$D164,$E164,TRUE)-_xlfn.NORM.DIST(BW$2,$D164,$E164,TRUE))</f>
        <v/>
      </c>
      <c r="BX164">
        <f>IF(NOT(ISNUMBER($D164)),"",_xlfn.NORM.DIST(BX$1,$D164,$E164,TRUE)-_xlfn.NORM.DIST(BX$2,$D164,$E164,TRUE))</f>
        <v/>
      </c>
      <c r="BY164">
        <f>IF(NOT(ISNUMBER($D164)),"",_xlfn.NORM.DIST(BY$1,$D164,$E164,TRUE)-_xlfn.NORM.DIST(BY$2,$D164,$E164,TRUE))</f>
        <v/>
      </c>
      <c r="BZ164">
        <f>IF(NOT(ISNUMBER($D164)),"",_xlfn.NORM.DIST(BZ$1,$D164,$E164,TRUE)-_xlfn.NORM.DIST(BZ$2,$D164,$E164,TRUE))</f>
        <v/>
      </c>
      <c r="CA164">
        <f>IF(NOT(ISNUMBER($D164)),"",_xlfn.NORM.DIST(CA$1,$D164,$E164,TRUE)-_xlfn.NORM.DIST(CA$2,$D164,$E164,TRUE))</f>
        <v/>
      </c>
      <c r="CB164">
        <f>IF(NOT(ISNUMBER($D164)),"",_xlfn.NORM.DIST(CB$1,$D164,$E164,TRUE)-_xlfn.NORM.DIST(CB$2,$D164,$E164,TRUE))</f>
        <v/>
      </c>
      <c r="CC164">
        <f>IF(NOT(ISNUMBER($D164)),"",_xlfn.NORM.DIST(CC$1,$D164,$E164,TRUE)-_xlfn.NORM.DIST(CC$2,$D164,$E164,TRUE))</f>
        <v/>
      </c>
      <c r="CD164">
        <f>IF(NOT(ISNUMBER($D164)),"",_xlfn.NORM.DIST(CD$1,$D164,$E164,TRUE)-_xlfn.NORM.DIST(CD$2,$D164,$E164,TRUE))</f>
        <v/>
      </c>
      <c r="CE164">
        <f>IF(NOT(ISNUMBER($D164)),"",_xlfn.NORM.DIST(CE$1,$D164,$E164,TRUE)-_xlfn.NORM.DIST(CE$2,$D164,$E164,TRUE))</f>
        <v/>
      </c>
      <c r="CF164">
        <f>IF(NOT(ISNUMBER($D164)),"",_xlfn.NORM.DIST(CF$1,$D164,$E164,TRUE)-_xlfn.NORM.DIST(CF$2,$D164,$E164,TRUE))</f>
        <v/>
      </c>
      <c r="CG164">
        <f>IF(NOT(ISNUMBER($D164)),"",_xlfn.NORM.DIST(CG$1,$D164,$E164,TRUE)-_xlfn.NORM.DIST(CG$2,$D164,$E164,TRUE))</f>
        <v/>
      </c>
      <c r="CH164">
        <f>IF(NOT(ISNUMBER($D164)),"",_xlfn.NORM.DIST(CH$1,$D164,$E164,TRUE)-_xlfn.NORM.DIST(CH$2,$D164,$E164,TRUE))</f>
        <v/>
      </c>
      <c r="CI164">
        <f>IF(NOT(ISNUMBER($D164)),"",_xlfn.NORM.DIST(CI$1,$D164,$E164,TRUE)-_xlfn.NORM.DIST(CI$2,$D164,$E164,TRUE))</f>
        <v/>
      </c>
      <c r="CJ164">
        <f>IF(ISNUMBER($D164),SUM(F164:CI164),"")</f>
        <v/>
      </c>
    </row>
    <row r="165">
      <c r="A165">
        <f>economics!A164</f>
        <v/>
      </c>
      <c r="B165">
        <f>economics!B164</f>
        <v/>
      </c>
      <c r="C165">
        <f>economics!D164</f>
        <v/>
      </c>
      <c r="D165">
        <f>IF(ISNUMBER(economics!T164),economics!T164,"na")</f>
        <v/>
      </c>
      <c r="E165">
        <f>IF(ISNUMBER(D165),MAX(0.3*ABS(D165),0.000001),"na")</f>
        <v/>
      </c>
      <c r="F165">
        <f>IF(NOT(ISNUMBER($D165)),"",_xlfn.NORM.DIST(F$1,$D165,$E165,TRUE)-_xlfn.NORM.DIST(F$2,$D165,$E165,TRUE))</f>
        <v/>
      </c>
      <c r="G165">
        <f>IF(NOT(ISNUMBER($D165)),"",_xlfn.NORM.DIST(G$1,$D165,$E165,TRUE)-_xlfn.NORM.DIST(G$2,$D165,$E165,TRUE))</f>
        <v/>
      </c>
      <c r="H165">
        <f>IF(NOT(ISNUMBER($D165)),"",_xlfn.NORM.DIST(H$1,$D165,$E165,TRUE)-_xlfn.NORM.DIST(H$2,$D165,$E165,TRUE))</f>
        <v/>
      </c>
      <c r="I165">
        <f>IF(NOT(ISNUMBER($D165)),"",_xlfn.NORM.DIST(I$1,$D165,$E165,TRUE)-_xlfn.NORM.DIST(I$2,$D165,$E165,TRUE))</f>
        <v/>
      </c>
      <c r="J165">
        <f>IF(NOT(ISNUMBER($D165)),"",_xlfn.NORM.DIST(J$1,$D165,$E165,TRUE)-_xlfn.NORM.DIST(J$2,$D165,$E165,TRUE))</f>
        <v/>
      </c>
      <c r="K165">
        <f>IF(NOT(ISNUMBER($D165)),"",_xlfn.NORM.DIST(K$1,$D165,$E165,TRUE)-_xlfn.NORM.DIST(K$2,$D165,$E165,TRUE))</f>
        <v/>
      </c>
      <c r="L165">
        <f>IF(NOT(ISNUMBER($D165)),"",_xlfn.NORM.DIST(L$1,$D165,$E165,TRUE)-_xlfn.NORM.DIST(L$2,$D165,$E165,TRUE))</f>
        <v/>
      </c>
      <c r="M165">
        <f>IF(NOT(ISNUMBER($D165)),"",_xlfn.NORM.DIST(M$1,$D165,$E165,TRUE)-_xlfn.NORM.DIST(M$2,$D165,$E165,TRUE))</f>
        <v/>
      </c>
      <c r="N165">
        <f>IF(NOT(ISNUMBER($D165)),"",_xlfn.NORM.DIST(N$1,$D165,$E165,TRUE)-_xlfn.NORM.DIST(N$2,$D165,$E165,TRUE))</f>
        <v/>
      </c>
      <c r="O165">
        <f>IF(NOT(ISNUMBER($D165)),"",_xlfn.NORM.DIST(O$1,$D165,$E165,TRUE)-_xlfn.NORM.DIST(O$2,$D165,$E165,TRUE))</f>
        <v/>
      </c>
      <c r="P165">
        <f>IF(NOT(ISNUMBER($D165)),"",_xlfn.NORM.DIST(P$1,$D165,$E165,TRUE)-_xlfn.NORM.DIST(P$2,$D165,$E165,TRUE))</f>
        <v/>
      </c>
      <c r="Q165">
        <f>IF(NOT(ISNUMBER($D165)),"",_xlfn.NORM.DIST(Q$1,$D165,$E165,TRUE)-_xlfn.NORM.DIST(Q$2,$D165,$E165,TRUE))</f>
        <v/>
      </c>
      <c r="R165">
        <f>IF(NOT(ISNUMBER($D165)),"",_xlfn.NORM.DIST(R$1,$D165,$E165,TRUE)-_xlfn.NORM.DIST(R$2,$D165,$E165,TRUE))</f>
        <v/>
      </c>
      <c r="S165">
        <f>IF(NOT(ISNUMBER($D165)),"",_xlfn.NORM.DIST(S$1,$D165,$E165,TRUE)-_xlfn.NORM.DIST(S$2,$D165,$E165,TRUE))</f>
        <v/>
      </c>
      <c r="T165">
        <f>IF(NOT(ISNUMBER($D165)),"",_xlfn.NORM.DIST(T$1,$D165,$E165,TRUE)-_xlfn.NORM.DIST(T$2,$D165,$E165,TRUE))</f>
        <v/>
      </c>
      <c r="U165">
        <f>IF(NOT(ISNUMBER($D165)),"",_xlfn.NORM.DIST(U$1,$D165,$E165,TRUE)-_xlfn.NORM.DIST(U$2,$D165,$E165,TRUE))</f>
        <v/>
      </c>
      <c r="V165">
        <f>IF(NOT(ISNUMBER($D165)),"",_xlfn.NORM.DIST(V$1,$D165,$E165,TRUE)-_xlfn.NORM.DIST(V$2,$D165,$E165,TRUE))</f>
        <v/>
      </c>
      <c r="W165">
        <f>IF(NOT(ISNUMBER($D165)),"",_xlfn.NORM.DIST(W$1,$D165,$E165,TRUE)-_xlfn.NORM.DIST(W$2,$D165,$E165,TRUE))</f>
        <v/>
      </c>
      <c r="X165">
        <f>IF(NOT(ISNUMBER($D165)),"",_xlfn.NORM.DIST(X$1,$D165,$E165,TRUE)-_xlfn.NORM.DIST(X$2,$D165,$E165,TRUE))</f>
        <v/>
      </c>
      <c r="Y165">
        <f>IF(NOT(ISNUMBER($D165)),"",_xlfn.NORM.DIST(Y$1,$D165,$E165,TRUE)-_xlfn.NORM.DIST(Y$2,$D165,$E165,TRUE))</f>
        <v/>
      </c>
      <c r="Z165">
        <f>IF(NOT(ISNUMBER($D165)),"",_xlfn.NORM.DIST(Z$1,$D165,$E165,TRUE)-_xlfn.NORM.DIST(Z$2,$D165,$E165,TRUE))</f>
        <v/>
      </c>
      <c r="AA165">
        <f>IF(NOT(ISNUMBER($D165)),"",_xlfn.NORM.DIST(AA$1,$D165,$E165,TRUE)-_xlfn.NORM.DIST(AA$2,$D165,$E165,TRUE))</f>
        <v/>
      </c>
      <c r="AB165">
        <f>IF(NOT(ISNUMBER($D165)),"",_xlfn.NORM.DIST(AB$1,$D165,$E165,TRUE)-_xlfn.NORM.DIST(AB$2,$D165,$E165,TRUE))</f>
        <v/>
      </c>
      <c r="AC165">
        <f>IF(NOT(ISNUMBER($D165)),"",_xlfn.NORM.DIST(AC$1,$D165,$E165,TRUE)-_xlfn.NORM.DIST(AC$2,$D165,$E165,TRUE))</f>
        <v/>
      </c>
      <c r="AD165">
        <f>IF(NOT(ISNUMBER($D165)),"",_xlfn.NORM.DIST(AD$1,$D165,$E165,TRUE)-_xlfn.NORM.DIST(AD$2,$D165,$E165,TRUE))</f>
        <v/>
      </c>
      <c r="AE165">
        <f>IF(NOT(ISNUMBER($D165)),"",_xlfn.NORM.DIST(AE$1,$D165,$E165,TRUE)-_xlfn.NORM.DIST(AE$2,$D165,$E165,TRUE))</f>
        <v/>
      </c>
      <c r="AF165">
        <f>IF(NOT(ISNUMBER($D165)),"",_xlfn.NORM.DIST(AF$1,$D165,$E165,TRUE)-_xlfn.NORM.DIST(AF$2,$D165,$E165,TRUE))</f>
        <v/>
      </c>
      <c r="AG165">
        <f>IF(NOT(ISNUMBER($D165)),"",_xlfn.NORM.DIST(AG$1,$D165,$E165,TRUE)-_xlfn.NORM.DIST(AG$2,$D165,$E165,TRUE))</f>
        <v/>
      </c>
      <c r="AH165">
        <f>IF(NOT(ISNUMBER($D165)),"",_xlfn.NORM.DIST(AH$1,$D165,$E165,TRUE)-_xlfn.NORM.DIST(AH$2,$D165,$E165,TRUE))</f>
        <v/>
      </c>
      <c r="AI165">
        <f>IF(NOT(ISNUMBER($D165)),"",_xlfn.NORM.DIST(AI$1,$D165,$E165,TRUE)-_xlfn.NORM.DIST(AI$2,$D165,$E165,TRUE))</f>
        <v/>
      </c>
      <c r="AJ165">
        <f>IF(NOT(ISNUMBER($D165)),"",_xlfn.NORM.DIST(AJ$1,$D165,$E165,TRUE)-_xlfn.NORM.DIST(AJ$2,$D165,$E165,TRUE))</f>
        <v/>
      </c>
      <c r="AK165">
        <f>IF(NOT(ISNUMBER($D165)),"",_xlfn.NORM.DIST(AK$1,$D165,$E165,TRUE)-_xlfn.NORM.DIST(AK$2,$D165,$E165,TRUE))</f>
        <v/>
      </c>
      <c r="AL165">
        <f>IF(NOT(ISNUMBER($D165)),"",_xlfn.NORM.DIST(AL$1,$D165,$E165,TRUE)-_xlfn.NORM.DIST(AL$2,$D165,$E165,TRUE))</f>
        <v/>
      </c>
      <c r="AM165">
        <f>IF(NOT(ISNUMBER($D165)),"",_xlfn.NORM.DIST(AM$1,$D165,$E165,TRUE)-_xlfn.NORM.DIST(AM$2,$D165,$E165,TRUE))</f>
        <v/>
      </c>
      <c r="AN165">
        <f>IF(NOT(ISNUMBER($D165)),"",_xlfn.NORM.DIST(AN$1,$D165,$E165,TRUE)-_xlfn.NORM.DIST(AN$2,$D165,$E165,TRUE))</f>
        <v/>
      </c>
      <c r="AO165">
        <f>IF(NOT(ISNUMBER($D165)),"",_xlfn.NORM.DIST(AO$1,$D165,$E165,TRUE)-_xlfn.NORM.DIST(AO$2,$D165,$E165,TRUE))</f>
        <v/>
      </c>
      <c r="AP165">
        <f>IF(NOT(ISNUMBER($D165)),"",_xlfn.NORM.DIST(AP$1,$D165,$E165,TRUE)-_xlfn.NORM.DIST(AP$2,$D165,$E165,TRUE))</f>
        <v/>
      </c>
      <c r="AQ165">
        <f>IF(NOT(ISNUMBER($D165)),"",_xlfn.NORM.DIST(AQ$1,$D165,$E165,TRUE)-_xlfn.NORM.DIST(AQ$2,$D165,$E165,TRUE))</f>
        <v/>
      </c>
      <c r="AR165">
        <f>IF(NOT(ISNUMBER($D165)),"",_xlfn.NORM.DIST(AR$1,$D165,$E165,TRUE)-_xlfn.NORM.DIST(AR$2,$D165,$E165,TRUE))</f>
        <v/>
      </c>
      <c r="AS165">
        <f>IF(NOT(ISNUMBER($D165)),"",_xlfn.NORM.DIST(AS$1,$D165,$E165,TRUE)-_xlfn.NORM.DIST(AS$2,$D165,$E165,TRUE))</f>
        <v/>
      </c>
      <c r="AT165">
        <f>IF(NOT(ISNUMBER($D165)),"",_xlfn.NORM.DIST(AT$1,$D165,$E165,TRUE)-_xlfn.NORM.DIST(AT$2,$D165,$E165,TRUE))</f>
        <v/>
      </c>
      <c r="AU165">
        <f>IF(NOT(ISNUMBER($D165)),"",_xlfn.NORM.DIST(AU$1,$D165,$E165,TRUE)-_xlfn.NORM.DIST(AU$2,$D165,$E165,TRUE))</f>
        <v/>
      </c>
      <c r="AV165">
        <f>IF(NOT(ISNUMBER($D165)),"",_xlfn.NORM.DIST(AV$1,$D165,$E165,TRUE)-_xlfn.NORM.DIST(AV$2,$D165,$E165,TRUE))</f>
        <v/>
      </c>
      <c r="AW165">
        <f>IF(NOT(ISNUMBER($D165)),"",_xlfn.NORM.DIST(AW$1,$D165,$E165,TRUE)-_xlfn.NORM.DIST(AW$2,$D165,$E165,TRUE))</f>
        <v/>
      </c>
      <c r="AX165">
        <f>IF(NOT(ISNUMBER($D165)),"",_xlfn.NORM.DIST(AX$1,$D165,$E165,TRUE)-_xlfn.NORM.DIST(AX$2,$D165,$E165,TRUE))</f>
        <v/>
      </c>
      <c r="AY165">
        <f>IF(NOT(ISNUMBER($D165)),"",_xlfn.NORM.DIST(AY$1,$D165,$E165,TRUE)-_xlfn.NORM.DIST(AY$2,$D165,$E165,TRUE))</f>
        <v/>
      </c>
      <c r="AZ165">
        <f>IF(NOT(ISNUMBER($D165)),"",_xlfn.NORM.DIST(AZ$1,$D165,$E165,TRUE)-_xlfn.NORM.DIST(AZ$2,$D165,$E165,TRUE))</f>
        <v/>
      </c>
      <c r="BA165">
        <f>IF(NOT(ISNUMBER($D165)),"",_xlfn.NORM.DIST(BA$1,$D165,$E165,TRUE)-_xlfn.NORM.DIST(BA$2,$D165,$E165,TRUE))</f>
        <v/>
      </c>
      <c r="BB165">
        <f>IF(NOT(ISNUMBER($D165)),"",_xlfn.NORM.DIST(BB$1,$D165,$E165,TRUE)-_xlfn.NORM.DIST(BB$2,$D165,$E165,TRUE))</f>
        <v/>
      </c>
      <c r="BC165">
        <f>IF(NOT(ISNUMBER($D165)),"",_xlfn.NORM.DIST(BC$1,$D165,$E165,TRUE)-_xlfn.NORM.DIST(BC$2,$D165,$E165,TRUE))</f>
        <v/>
      </c>
      <c r="BD165">
        <f>IF(NOT(ISNUMBER($D165)),"",_xlfn.NORM.DIST(BD$1,$D165,$E165,TRUE)-_xlfn.NORM.DIST(BD$2,$D165,$E165,TRUE))</f>
        <v/>
      </c>
      <c r="BE165">
        <f>IF(NOT(ISNUMBER($D165)),"",_xlfn.NORM.DIST(BE$1,$D165,$E165,TRUE)-_xlfn.NORM.DIST(BE$2,$D165,$E165,TRUE))</f>
        <v/>
      </c>
      <c r="BF165">
        <f>IF(NOT(ISNUMBER($D165)),"",_xlfn.NORM.DIST(BF$1,$D165,$E165,TRUE)-_xlfn.NORM.DIST(BF$2,$D165,$E165,TRUE))</f>
        <v/>
      </c>
      <c r="BG165">
        <f>IF(NOT(ISNUMBER($D165)),"",_xlfn.NORM.DIST(BG$1,$D165,$E165,TRUE)-_xlfn.NORM.DIST(BG$2,$D165,$E165,TRUE))</f>
        <v/>
      </c>
      <c r="BH165">
        <f>IF(NOT(ISNUMBER($D165)),"",_xlfn.NORM.DIST(BH$1,$D165,$E165,TRUE)-_xlfn.NORM.DIST(BH$2,$D165,$E165,TRUE))</f>
        <v/>
      </c>
      <c r="BI165">
        <f>IF(NOT(ISNUMBER($D165)),"",_xlfn.NORM.DIST(BI$1,$D165,$E165,TRUE)-_xlfn.NORM.DIST(BI$2,$D165,$E165,TRUE))</f>
        <v/>
      </c>
      <c r="BJ165">
        <f>IF(NOT(ISNUMBER($D165)),"",_xlfn.NORM.DIST(BJ$1,$D165,$E165,TRUE)-_xlfn.NORM.DIST(BJ$2,$D165,$E165,TRUE))</f>
        <v/>
      </c>
      <c r="BK165">
        <f>IF(NOT(ISNUMBER($D165)),"",_xlfn.NORM.DIST(BK$1,$D165,$E165,TRUE)-_xlfn.NORM.DIST(BK$2,$D165,$E165,TRUE))</f>
        <v/>
      </c>
      <c r="BL165">
        <f>IF(NOT(ISNUMBER($D165)),"",_xlfn.NORM.DIST(BL$1,$D165,$E165,TRUE)-_xlfn.NORM.DIST(BL$2,$D165,$E165,TRUE))</f>
        <v/>
      </c>
      <c r="BM165">
        <f>IF(NOT(ISNUMBER($D165)),"",_xlfn.NORM.DIST(BM$1,$D165,$E165,TRUE)-_xlfn.NORM.DIST(BM$2,$D165,$E165,TRUE))</f>
        <v/>
      </c>
      <c r="BN165">
        <f>IF(NOT(ISNUMBER($D165)),"",_xlfn.NORM.DIST(BN$1,$D165,$E165,TRUE)-_xlfn.NORM.DIST(BN$2,$D165,$E165,TRUE))</f>
        <v/>
      </c>
      <c r="BO165">
        <f>IF(NOT(ISNUMBER($D165)),"",_xlfn.NORM.DIST(BO$1,$D165,$E165,TRUE)-_xlfn.NORM.DIST(BO$2,$D165,$E165,TRUE))</f>
        <v/>
      </c>
      <c r="BP165">
        <f>IF(NOT(ISNUMBER($D165)),"",_xlfn.NORM.DIST(BP$1,$D165,$E165,TRUE)-_xlfn.NORM.DIST(BP$2,$D165,$E165,TRUE))</f>
        <v/>
      </c>
      <c r="BQ165">
        <f>IF(NOT(ISNUMBER($D165)),"",_xlfn.NORM.DIST(BQ$1,$D165,$E165,TRUE)-_xlfn.NORM.DIST(BQ$2,$D165,$E165,TRUE))</f>
        <v/>
      </c>
      <c r="BR165">
        <f>IF(NOT(ISNUMBER($D165)),"",_xlfn.NORM.DIST(BR$1,$D165,$E165,TRUE)-_xlfn.NORM.DIST(BR$2,$D165,$E165,TRUE))</f>
        <v/>
      </c>
      <c r="BS165">
        <f>IF(NOT(ISNUMBER($D165)),"",_xlfn.NORM.DIST(BS$1,$D165,$E165,TRUE)-_xlfn.NORM.DIST(BS$2,$D165,$E165,TRUE))</f>
        <v/>
      </c>
      <c r="BT165">
        <f>IF(NOT(ISNUMBER($D165)),"",_xlfn.NORM.DIST(BT$1,$D165,$E165,TRUE)-_xlfn.NORM.DIST(BT$2,$D165,$E165,TRUE))</f>
        <v/>
      </c>
      <c r="BU165">
        <f>IF(NOT(ISNUMBER($D165)),"",_xlfn.NORM.DIST(BU$1,$D165,$E165,TRUE)-_xlfn.NORM.DIST(BU$2,$D165,$E165,TRUE))</f>
        <v/>
      </c>
      <c r="BV165">
        <f>IF(NOT(ISNUMBER($D165)),"",_xlfn.NORM.DIST(BV$1,$D165,$E165,TRUE)-_xlfn.NORM.DIST(BV$2,$D165,$E165,TRUE))</f>
        <v/>
      </c>
      <c r="BW165">
        <f>IF(NOT(ISNUMBER($D165)),"",_xlfn.NORM.DIST(BW$1,$D165,$E165,TRUE)-_xlfn.NORM.DIST(BW$2,$D165,$E165,TRUE))</f>
        <v/>
      </c>
      <c r="BX165">
        <f>IF(NOT(ISNUMBER($D165)),"",_xlfn.NORM.DIST(BX$1,$D165,$E165,TRUE)-_xlfn.NORM.DIST(BX$2,$D165,$E165,TRUE))</f>
        <v/>
      </c>
      <c r="BY165">
        <f>IF(NOT(ISNUMBER($D165)),"",_xlfn.NORM.DIST(BY$1,$D165,$E165,TRUE)-_xlfn.NORM.DIST(BY$2,$D165,$E165,TRUE))</f>
        <v/>
      </c>
      <c r="BZ165">
        <f>IF(NOT(ISNUMBER($D165)),"",_xlfn.NORM.DIST(BZ$1,$D165,$E165,TRUE)-_xlfn.NORM.DIST(BZ$2,$D165,$E165,TRUE))</f>
        <v/>
      </c>
      <c r="CA165">
        <f>IF(NOT(ISNUMBER($D165)),"",_xlfn.NORM.DIST(CA$1,$D165,$E165,TRUE)-_xlfn.NORM.DIST(CA$2,$D165,$E165,TRUE))</f>
        <v/>
      </c>
      <c r="CB165">
        <f>IF(NOT(ISNUMBER($D165)),"",_xlfn.NORM.DIST(CB$1,$D165,$E165,TRUE)-_xlfn.NORM.DIST(CB$2,$D165,$E165,TRUE))</f>
        <v/>
      </c>
      <c r="CC165">
        <f>IF(NOT(ISNUMBER($D165)),"",_xlfn.NORM.DIST(CC$1,$D165,$E165,TRUE)-_xlfn.NORM.DIST(CC$2,$D165,$E165,TRUE))</f>
        <v/>
      </c>
      <c r="CD165">
        <f>IF(NOT(ISNUMBER($D165)),"",_xlfn.NORM.DIST(CD$1,$D165,$E165,TRUE)-_xlfn.NORM.DIST(CD$2,$D165,$E165,TRUE))</f>
        <v/>
      </c>
      <c r="CE165">
        <f>IF(NOT(ISNUMBER($D165)),"",_xlfn.NORM.DIST(CE$1,$D165,$E165,TRUE)-_xlfn.NORM.DIST(CE$2,$D165,$E165,TRUE))</f>
        <v/>
      </c>
      <c r="CF165">
        <f>IF(NOT(ISNUMBER($D165)),"",_xlfn.NORM.DIST(CF$1,$D165,$E165,TRUE)-_xlfn.NORM.DIST(CF$2,$D165,$E165,TRUE))</f>
        <v/>
      </c>
      <c r="CG165">
        <f>IF(NOT(ISNUMBER($D165)),"",_xlfn.NORM.DIST(CG$1,$D165,$E165,TRUE)-_xlfn.NORM.DIST(CG$2,$D165,$E165,TRUE))</f>
        <v/>
      </c>
      <c r="CH165">
        <f>IF(NOT(ISNUMBER($D165)),"",_xlfn.NORM.DIST(CH$1,$D165,$E165,TRUE)-_xlfn.NORM.DIST(CH$2,$D165,$E165,TRUE))</f>
        <v/>
      </c>
      <c r="CI165">
        <f>IF(NOT(ISNUMBER($D165)),"",_xlfn.NORM.DIST(CI$1,$D165,$E165,TRUE)-_xlfn.NORM.DIST(CI$2,$D165,$E165,TRUE))</f>
        <v/>
      </c>
      <c r="CJ165">
        <f>IF(ISNUMBER($D165),SUM(F165:CI165),"")</f>
        <v/>
      </c>
    </row>
    <row r="166">
      <c r="A166">
        <f>economics!A165</f>
        <v/>
      </c>
      <c r="B166">
        <f>economics!B165</f>
        <v/>
      </c>
      <c r="C166">
        <f>economics!D165</f>
        <v/>
      </c>
      <c r="D166">
        <f>IF(ISNUMBER(economics!T165),economics!T165,"na")</f>
        <v/>
      </c>
      <c r="E166">
        <f>IF(ISNUMBER(D166),MAX(0.3*ABS(D166),0.000001),"na")</f>
        <v/>
      </c>
      <c r="F166">
        <f>IF(NOT(ISNUMBER($D166)),"",_xlfn.NORM.DIST(F$1,$D166,$E166,TRUE)-_xlfn.NORM.DIST(F$2,$D166,$E166,TRUE))</f>
        <v/>
      </c>
      <c r="G166">
        <f>IF(NOT(ISNUMBER($D166)),"",_xlfn.NORM.DIST(G$1,$D166,$E166,TRUE)-_xlfn.NORM.DIST(G$2,$D166,$E166,TRUE))</f>
        <v/>
      </c>
      <c r="H166">
        <f>IF(NOT(ISNUMBER($D166)),"",_xlfn.NORM.DIST(H$1,$D166,$E166,TRUE)-_xlfn.NORM.DIST(H$2,$D166,$E166,TRUE))</f>
        <v/>
      </c>
      <c r="I166">
        <f>IF(NOT(ISNUMBER($D166)),"",_xlfn.NORM.DIST(I$1,$D166,$E166,TRUE)-_xlfn.NORM.DIST(I$2,$D166,$E166,TRUE))</f>
        <v/>
      </c>
      <c r="J166">
        <f>IF(NOT(ISNUMBER($D166)),"",_xlfn.NORM.DIST(J$1,$D166,$E166,TRUE)-_xlfn.NORM.DIST(J$2,$D166,$E166,TRUE))</f>
        <v/>
      </c>
      <c r="K166">
        <f>IF(NOT(ISNUMBER($D166)),"",_xlfn.NORM.DIST(K$1,$D166,$E166,TRUE)-_xlfn.NORM.DIST(K$2,$D166,$E166,TRUE))</f>
        <v/>
      </c>
      <c r="L166">
        <f>IF(NOT(ISNUMBER($D166)),"",_xlfn.NORM.DIST(L$1,$D166,$E166,TRUE)-_xlfn.NORM.DIST(L$2,$D166,$E166,TRUE))</f>
        <v/>
      </c>
      <c r="M166">
        <f>IF(NOT(ISNUMBER($D166)),"",_xlfn.NORM.DIST(M$1,$D166,$E166,TRUE)-_xlfn.NORM.DIST(M$2,$D166,$E166,TRUE))</f>
        <v/>
      </c>
      <c r="N166">
        <f>IF(NOT(ISNUMBER($D166)),"",_xlfn.NORM.DIST(N$1,$D166,$E166,TRUE)-_xlfn.NORM.DIST(N$2,$D166,$E166,TRUE))</f>
        <v/>
      </c>
      <c r="O166">
        <f>IF(NOT(ISNUMBER($D166)),"",_xlfn.NORM.DIST(O$1,$D166,$E166,TRUE)-_xlfn.NORM.DIST(O$2,$D166,$E166,TRUE))</f>
        <v/>
      </c>
      <c r="P166">
        <f>IF(NOT(ISNUMBER($D166)),"",_xlfn.NORM.DIST(P$1,$D166,$E166,TRUE)-_xlfn.NORM.DIST(P$2,$D166,$E166,TRUE))</f>
        <v/>
      </c>
      <c r="Q166">
        <f>IF(NOT(ISNUMBER($D166)),"",_xlfn.NORM.DIST(Q$1,$D166,$E166,TRUE)-_xlfn.NORM.DIST(Q$2,$D166,$E166,TRUE))</f>
        <v/>
      </c>
      <c r="R166">
        <f>IF(NOT(ISNUMBER($D166)),"",_xlfn.NORM.DIST(R$1,$D166,$E166,TRUE)-_xlfn.NORM.DIST(R$2,$D166,$E166,TRUE))</f>
        <v/>
      </c>
      <c r="S166">
        <f>IF(NOT(ISNUMBER($D166)),"",_xlfn.NORM.DIST(S$1,$D166,$E166,TRUE)-_xlfn.NORM.DIST(S$2,$D166,$E166,TRUE))</f>
        <v/>
      </c>
      <c r="T166">
        <f>IF(NOT(ISNUMBER($D166)),"",_xlfn.NORM.DIST(T$1,$D166,$E166,TRUE)-_xlfn.NORM.DIST(T$2,$D166,$E166,TRUE))</f>
        <v/>
      </c>
      <c r="U166">
        <f>IF(NOT(ISNUMBER($D166)),"",_xlfn.NORM.DIST(U$1,$D166,$E166,TRUE)-_xlfn.NORM.DIST(U$2,$D166,$E166,TRUE))</f>
        <v/>
      </c>
      <c r="V166">
        <f>IF(NOT(ISNUMBER($D166)),"",_xlfn.NORM.DIST(V$1,$D166,$E166,TRUE)-_xlfn.NORM.DIST(V$2,$D166,$E166,TRUE))</f>
        <v/>
      </c>
      <c r="W166">
        <f>IF(NOT(ISNUMBER($D166)),"",_xlfn.NORM.DIST(W$1,$D166,$E166,TRUE)-_xlfn.NORM.DIST(W$2,$D166,$E166,TRUE))</f>
        <v/>
      </c>
      <c r="X166">
        <f>IF(NOT(ISNUMBER($D166)),"",_xlfn.NORM.DIST(X$1,$D166,$E166,TRUE)-_xlfn.NORM.DIST(X$2,$D166,$E166,TRUE))</f>
        <v/>
      </c>
      <c r="Y166">
        <f>IF(NOT(ISNUMBER($D166)),"",_xlfn.NORM.DIST(Y$1,$D166,$E166,TRUE)-_xlfn.NORM.DIST(Y$2,$D166,$E166,TRUE))</f>
        <v/>
      </c>
      <c r="Z166">
        <f>IF(NOT(ISNUMBER($D166)),"",_xlfn.NORM.DIST(Z$1,$D166,$E166,TRUE)-_xlfn.NORM.DIST(Z$2,$D166,$E166,TRUE))</f>
        <v/>
      </c>
      <c r="AA166">
        <f>IF(NOT(ISNUMBER($D166)),"",_xlfn.NORM.DIST(AA$1,$D166,$E166,TRUE)-_xlfn.NORM.DIST(AA$2,$D166,$E166,TRUE))</f>
        <v/>
      </c>
      <c r="AB166">
        <f>IF(NOT(ISNUMBER($D166)),"",_xlfn.NORM.DIST(AB$1,$D166,$E166,TRUE)-_xlfn.NORM.DIST(AB$2,$D166,$E166,TRUE))</f>
        <v/>
      </c>
      <c r="AC166">
        <f>IF(NOT(ISNUMBER($D166)),"",_xlfn.NORM.DIST(AC$1,$D166,$E166,TRUE)-_xlfn.NORM.DIST(AC$2,$D166,$E166,TRUE))</f>
        <v/>
      </c>
      <c r="AD166">
        <f>IF(NOT(ISNUMBER($D166)),"",_xlfn.NORM.DIST(AD$1,$D166,$E166,TRUE)-_xlfn.NORM.DIST(AD$2,$D166,$E166,TRUE))</f>
        <v/>
      </c>
      <c r="AE166">
        <f>IF(NOT(ISNUMBER($D166)),"",_xlfn.NORM.DIST(AE$1,$D166,$E166,TRUE)-_xlfn.NORM.DIST(AE$2,$D166,$E166,TRUE))</f>
        <v/>
      </c>
      <c r="AF166">
        <f>IF(NOT(ISNUMBER($D166)),"",_xlfn.NORM.DIST(AF$1,$D166,$E166,TRUE)-_xlfn.NORM.DIST(AF$2,$D166,$E166,TRUE))</f>
        <v/>
      </c>
      <c r="AG166">
        <f>IF(NOT(ISNUMBER($D166)),"",_xlfn.NORM.DIST(AG$1,$D166,$E166,TRUE)-_xlfn.NORM.DIST(AG$2,$D166,$E166,TRUE))</f>
        <v/>
      </c>
      <c r="AH166">
        <f>IF(NOT(ISNUMBER($D166)),"",_xlfn.NORM.DIST(AH$1,$D166,$E166,TRUE)-_xlfn.NORM.DIST(AH$2,$D166,$E166,TRUE))</f>
        <v/>
      </c>
      <c r="AI166">
        <f>IF(NOT(ISNUMBER($D166)),"",_xlfn.NORM.DIST(AI$1,$D166,$E166,TRUE)-_xlfn.NORM.DIST(AI$2,$D166,$E166,TRUE))</f>
        <v/>
      </c>
      <c r="AJ166">
        <f>IF(NOT(ISNUMBER($D166)),"",_xlfn.NORM.DIST(AJ$1,$D166,$E166,TRUE)-_xlfn.NORM.DIST(AJ$2,$D166,$E166,TRUE))</f>
        <v/>
      </c>
      <c r="AK166">
        <f>IF(NOT(ISNUMBER($D166)),"",_xlfn.NORM.DIST(AK$1,$D166,$E166,TRUE)-_xlfn.NORM.DIST(AK$2,$D166,$E166,TRUE))</f>
        <v/>
      </c>
      <c r="AL166">
        <f>IF(NOT(ISNUMBER($D166)),"",_xlfn.NORM.DIST(AL$1,$D166,$E166,TRUE)-_xlfn.NORM.DIST(AL$2,$D166,$E166,TRUE))</f>
        <v/>
      </c>
      <c r="AM166">
        <f>IF(NOT(ISNUMBER($D166)),"",_xlfn.NORM.DIST(AM$1,$D166,$E166,TRUE)-_xlfn.NORM.DIST(AM$2,$D166,$E166,TRUE))</f>
        <v/>
      </c>
      <c r="AN166">
        <f>IF(NOT(ISNUMBER($D166)),"",_xlfn.NORM.DIST(AN$1,$D166,$E166,TRUE)-_xlfn.NORM.DIST(AN$2,$D166,$E166,TRUE))</f>
        <v/>
      </c>
      <c r="AO166">
        <f>IF(NOT(ISNUMBER($D166)),"",_xlfn.NORM.DIST(AO$1,$D166,$E166,TRUE)-_xlfn.NORM.DIST(AO$2,$D166,$E166,TRUE))</f>
        <v/>
      </c>
      <c r="AP166">
        <f>IF(NOT(ISNUMBER($D166)),"",_xlfn.NORM.DIST(AP$1,$D166,$E166,TRUE)-_xlfn.NORM.DIST(AP$2,$D166,$E166,TRUE))</f>
        <v/>
      </c>
      <c r="AQ166">
        <f>IF(NOT(ISNUMBER($D166)),"",_xlfn.NORM.DIST(AQ$1,$D166,$E166,TRUE)-_xlfn.NORM.DIST(AQ$2,$D166,$E166,TRUE))</f>
        <v/>
      </c>
      <c r="AR166">
        <f>IF(NOT(ISNUMBER($D166)),"",_xlfn.NORM.DIST(AR$1,$D166,$E166,TRUE)-_xlfn.NORM.DIST(AR$2,$D166,$E166,TRUE))</f>
        <v/>
      </c>
      <c r="AS166">
        <f>IF(NOT(ISNUMBER($D166)),"",_xlfn.NORM.DIST(AS$1,$D166,$E166,TRUE)-_xlfn.NORM.DIST(AS$2,$D166,$E166,TRUE))</f>
        <v/>
      </c>
      <c r="AT166">
        <f>IF(NOT(ISNUMBER($D166)),"",_xlfn.NORM.DIST(AT$1,$D166,$E166,TRUE)-_xlfn.NORM.DIST(AT$2,$D166,$E166,TRUE))</f>
        <v/>
      </c>
      <c r="AU166">
        <f>IF(NOT(ISNUMBER($D166)),"",_xlfn.NORM.DIST(AU$1,$D166,$E166,TRUE)-_xlfn.NORM.DIST(AU$2,$D166,$E166,TRUE))</f>
        <v/>
      </c>
      <c r="AV166">
        <f>IF(NOT(ISNUMBER($D166)),"",_xlfn.NORM.DIST(AV$1,$D166,$E166,TRUE)-_xlfn.NORM.DIST(AV$2,$D166,$E166,TRUE))</f>
        <v/>
      </c>
      <c r="AW166">
        <f>IF(NOT(ISNUMBER($D166)),"",_xlfn.NORM.DIST(AW$1,$D166,$E166,TRUE)-_xlfn.NORM.DIST(AW$2,$D166,$E166,TRUE))</f>
        <v/>
      </c>
      <c r="AX166">
        <f>IF(NOT(ISNUMBER($D166)),"",_xlfn.NORM.DIST(AX$1,$D166,$E166,TRUE)-_xlfn.NORM.DIST(AX$2,$D166,$E166,TRUE))</f>
        <v/>
      </c>
      <c r="AY166">
        <f>IF(NOT(ISNUMBER($D166)),"",_xlfn.NORM.DIST(AY$1,$D166,$E166,TRUE)-_xlfn.NORM.DIST(AY$2,$D166,$E166,TRUE))</f>
        <v/>
      </c>
      <c r="AZ166">
        <f>IF(NOT(ISNUMBER($D166)),"",_xlfn.NORM.DIST(AZ$1,$D166,$E166,TRUE)-_xlfn.NORM.DIST(AZ$2,$D166,$E166,TRUE))</f>
        <v/>
      </c>
      <c r="BA166">
        <f>IF(NOT(ISNUMBER($D166)),"",_xlfn.NORM.DIST(BA$1,$D166,$E166,TRUE)-_xlfn.NORM.DIST(BA$2,$D166,$E166,TRUE))</f>
        <v/>
      </c>
      <c r="BB166">
        <f>IF(NOT(ISNUMBER($D166)),"",_xlfn.NORM.DIST(BB$1,$D166,$E166,TRUE)-_xlfn.NORM.DIST(BB$2,$D166,$E166,TRUE))</f>
        <v/>
      </c>
      <c r="BC166">
        <f>IF(NOT(ISNUMBER($D166)),"",_xlfn.NORM.DIST(BC$1,$D166,$E166,TRUE)-_xlfn.NORM.DIST(BC$2,$D166,$E166,TRUE))</f>
        <v/>
      </c>
      <c r="BD166">
        <f>IF(NOT(ISNUMBER($D166)),"",_xlfn.NORM.DIST(BD$1,$D166,$E166,TRUE)-_xlfn.NORM.DIST(BD$2,$D166,$E166,TRUE))</f>
        <v/>
      </c>
      <c r="BE166">
        <f>IF(NOT(ISNUMBER($D166)),"",_xlfn.NORM.DIST(BE$1,$D166,$E166,TRUE)-_xlfn.NORM.DIST(BE$2,$D166,$E166,TRUE))</f>
        <v/>
      </c>
      <c r="BF166">
        <f>IF(NOT(ISNUMBER($D166)),"",_xlfn.NORM.DIST(BF$1,$D166,$E166,TRUE)-_xlfn.NORM.DIST(BF$2,$D166,$E166,TRUE))</f>
        <v/>
      </c>
      <c r="BG166">
        <f>IF(NOT(ISNUMBER($D166)),"",_xlfn.NORM.DIST(BG$1,$D166,$E166,TRUE)-_xlfn.NORM.DIST(BG$2,$D166,$E166,TRUE))</f>
        <v/>
      </c>
      <c r="BH166">
        <f>IF(NOT(ISNUMBER($D166)),"",_xlfn.NORM.DIST(BH$1,$D166,$E166,TRUE)-_xlfn.NORM.DIST(BH$2,$D166,$E166,TRUE))</f>
        <v/>
      </c>
      <c r="BI166">
        <f>IF(NOT(ISNUMBER($D166)),"",_xlfn.NORM.DIST(BI$1,$D166,$E166,TRUE)-_xlfn.NORM.DIST(BI$2,$D166,$E166,TRUE))</f>
        <v/>
      </c>
      <c r="BJ166">
        <f>IF(NOT(ISNUMBER($D166)),"",_xlfn.NORM.DIST(BJ$1,$D166,$E166,TRUE)-_xlfn.NORM.DIST(BJ$2,$D166,$E166,TRUE))</f>
        <v/>
      </c>
      <c r="BK166">
        <f>IF(NOT(ISNUMBER($D166)),"",_xlfn.NORM.DIST(BK$1,$D166,$E166,TRUE)-_xlfn.NORM.DIST(BK$2,$D166,$E166,TRUE))</f>
        <v/>
      </c>
      <c r="BL166">
        <f>IF(NOT(ISNUMBER($D166)),"",_xlfn.NORM.DIST(BL$1,$D166,$E166,TRUE)-_xlfn.NORM.DIST(BL$2,$D166,$E166,TRUE))</f>
        <v/>
      </c>
      <c r="BM166">
        <f>IF(NOT(ISNUMBER($D166)),"",_xlfn.NORM.DIST(BM$1,$D166,$E166,TRUE)-_xlfn.NORM.DIST(BM$2,$D166,$E166,TRUE))</f>
        <v/>
      </c>
      <c r="BN166">
        <f>IF(NOT(ISNUMBER($D166)),"",_xlfn.NORM.DIST(BN$1,$D166,$E166,TRUE)-_xlfn.NORM.DIST(BN$2,$D166,$E166,TRUE))</f>
        <v/>
      </c>
      <c r="BO166">
        <f>IF(NOT(ISNUMBER($D166)),"",_xlfn.NORM.DIST(BO$1,$D166,$E166,TRUE)-_xlfn.NORM.DIST(BO$2,$D166,$E166,TRUE))</f>
        <v/>
      </c>
      <c r="BP166">
        <f>IF(NOT(ISNUMBER($D166)),"",_xlfn.NORM.DIST(BP$1,$D166,$E166,TRUE)-_xlfn.NORM.DIST(BP$2,$D166,$E166,TRUE))</f>
        <v/>
      </c>
      <c r="BQ166">
        <f>IF(NOT(ISNUMBER($D166)),"",_xlfn.NORM.DIST(BQ$1,$D166,$E166,TRUE)-_xlfn.NORM.DIST(BQ$2,$D166,$E166,TRUE))</f>
        <v/>
      </c>
      <c r="BR166">
        <f>IF(NOT(ISNUMBER($D166)),"",_xlfn.NORM.DIST(BR$1,$D166,$E166,TRUE)-_xlfn.NORM.DIST(BR$2,$D166,$E166,TRUE))</f>
        <v/>
      </c>
      <c r="BS166">
        <f>IF(NOT(ISNUMBER($D166)),"",_xlfn.NORM.DIST(BS$1,$D166,$E166,TRUE)-_xlfn.NORM.DIST(BS$2,$D166,$E166,TRUE))</f>
        <v/>
      </c>
      <c r="BT166">
        <f>IF(NOT(ISNUMBER($D166)),"",_xlfn.NORM.DIST(BT$1,$D166,$E166,TRUE)-_xlfn.NORM.DIST(BT$2,$D166,$E166,TRUE))</f>
        <v/>
      </c>
      <c r="BU166">
        <f>IF(NOT(ISNUMBER($D166)),"",_xlfn.NORM.DIST(BU$1,$D166,$E166,TRUE)-_xlfn.NORM.DIST(BU$2,$D166,$E166,TRUE))</f>
        <v/>
      </c>
      <c r="BV166">
        <f>IF(NOT(ISNUMBER($D166)),"",_xlfn.NORM.DIST(BV$1,$D166,$E166,TRUE)-_xlfn.NORM.DIST(BV$2,$D166,$E166,TRUE))</f>
        <v/>
      </c>
      <c r="BW166">
        <f>IF(NOT(ISNUMBER($D166)),"",_xlfn.NORM.DIST(BW$1,$D166,$E166,TRUE)-_xlfn.NORM.DIST(BW$2,$D166,$E166,TRUE))</f>
        <v/>
      </c>
      <c r="BX166">
        <f>IF(NOT(ISNUMBER($D166)),"",_xlfn.NORM.DIST(BX$1,$D166,$E166,TRUE)-_xlfn.NORM.DIST(BX$2,$D166,$E166,TRUE))</f>
        <v/>
      </c>
      <c r="BY166">
        <f>IF(NOT(ISNUMBER($D166)),"",_xlfn.NORM.DIST(BY$1,$D166,$E166,TRUE)-_xlfn.NORM.DIST(BY$2,$D166,$E166,TRUE))</f>
        <v/>
      </c>
      <c r="BZ166">
        <f>IF(NOT(ISNUMBER($D166)),"",_xlfn.NORM.DIST(BZ$1,$D166,$E166,TRUE)-_xlfn.NORM.DIST(BZ$2,$D166,$E166,TRUE))</f>
        <v/>
      </c>
      <c r="CA166">
        <f>IF(NOT(ISNUMBER($D166)),"",_xlfn.NORM.DIST(CA$1,$D166,$E166,TRUE)-_xlfn.NORM.DIST(CA$2,$D166,$E166,TRUE))</f>
        <v/>
      </c>
      <c r="CB166">
        <f>IF(NOT(ISNUMBER($D166)),"",_xlfn.NORM.DIST(CB$1,$D166,$E166,TRUE)-_xlfn.NORM.DIST(CB$2,$D166,$E166,TRUE))</f>
        <v/>
      </c>
      <c r="CC166">
        <f>IF(NOT(ISNUMBER($D166)),"",_xlfn.NORM.DIST(CC$1,$D166,$E166,TRUE)-_xlfn.NORM.DIST(CC$2,$D166,$E166,TRUE))</f>
        <v/>
      </c>
      <c r="CD166">
        <f>IF(NOT(ISNUMBER($D166)),"",_xlfn.NORM.DIST(CD$1,$D166,$E166,TRUE)-_xlfn.NORM.DIST(CD$2,$D166,$E166,TRUE))</f>
        <v/>
      </c>
      <c r="CE166">
        <f>IF(NOT(ISNUMBER($D166)),"",_xlfn.NORM.DIST(CE$1,$D166,$E166,TRUE)-_xlfn.NORM.DIST(CE$2,$D166,$E166,TRUE))</f>
        <v/>
      </c>
      <c r="CF166">
        <f>IF(NOT(ISNUMBER($D166)),"",_xlfn.NORM.DIST(CF$1,$D166,$E166,TRUE)-_xlfn.NORM.DIST(CF$2,$D166,$E166,TRUE))</f>
        <v/>
      </c>
      <c r="CG166">
        <f>IF(NOT(ISNUMBER($D166)),"",_xlfn.NORM.DIST(CG$1,$D166,$E166,TRUE)-_xlfn.NORM.DIST(CG$2,$D166,$E166,TRUE))</f>
        <v/>
      </c>
      <c r="CH166">
        <f>IF(NOT(ISNUMBER($D166)),"",_xlfn.NORM.DIST(CH$1,$D166,$E166,TRUE)-_xlfn.NORM.DIST(CH$2,$D166,$E166,TRUE))</f>
        <v/>
      </c>
      <c r="CI166">
        <f>IF(NOT(ISNUMBER($D166)),"",_xlfn.NORM.DIST(CI$1,$D166,$E166,TRUE)-_xlfn.NORM.DIST(CI$2,$D166,$E166,TRUE))</f>
        <v/>
      </c>
      <c r="CJ166">
        <f>IF(ISNUMBER($D166),SUM(F166:CI166),"")</f>
        <v/>
      </c>
    </row>
    <row r="167">
      <c r="A167">
        <f>economics!A166</f>
        <v/>
      </c>
      <c r="B167">
        <f>economics!B166</f>
        <v/>
      </c>
      <c r="C167">
        <f>economics!D166</f>
        <v/>
      </c>
      <c r="D167">
        <f>IF(ISNUMBER(economics!T166),economics!T166,"na")</f>
        <v/>
      </c>
      <c r="E167">
        <f>IF(ISNUMBER(D167),MAX(0.3*ABS(D167),0.000001),"na")</f>
        <v/>
      </c>
      <c r="F167">
        <f>IF(NOT(ISNUMBER($D167)),"",_xlfn.NORM.DIST(F$1,$D167,$E167,TRUE)-_xlfn.NORM.DIST(F$2,$D167,$E167,TRUE))</f>
        <v/>
      </c>
      <c r="G167">
        <f>IF(NOT(ISNUMBER($D167)),"",_xlfn.NORM.DIST(G$1,$D167,$E167,TRUE)-_xlfn.NORM.DIST(G$2,$D167,$E167,TRUE))</f>
        <v/>
      </c>
      <c r="H167">
        <f>IF(NOT(ISNUMBER($D167)),"",_xlfn.NORM.DIST(H$1,$D167,$E167,TRUE)-_xlfn.NORM.DIST(H$2,$D167,$E167,TRUE))</f>
        <v/>
      </c>
      <c r="I167">
        <f>IF(NOT(ISNUMBER($D167)),"",_xlfn.NORM.DIST(I$1,$D167,$E167,TRUE)-_xlfn.NORM.DIST(I$2,$D167,$E167,TRUE))</f>
        <v/>
      </c>
      <c r="J167">
        <f>IF(NOT(ISNUMBER($D167)),"",_xlfn.NORM.DIST(J$1,$D167,$E167,TRUE)-_xlfn.NORM.DIST(J$2,$D167,$E167,TRUE))</f>
        <v/>
      </c>
      <c r="K167">
        <f>IF(NOT(ISNUMBER($D167)),"",_xlfn.NORM.DIST(K$1,$D167,$E167,TRUE)-_xlfn.NORM.DIST(K$2,$D167,$E167,TRUE))</f>
        <v/>
      </c>
      <c r="L167">
        <f>IF(NOT(ISNUMBER($D167)),"",_xlfn.NORM.DIST(L$1,$D167,$E167,TRUE)-_xlfn.NORM.DIST(L$2,$D167,$E167,TRUE))</f>
        <v/>
      </c>
      <c r="M167">
        <f>IF(NOT(ISNUMBER($D167)),"",_xlfn.NORM.DIST(M$1,$D167,$E167,TRUE)-_xlfn.NORM.DIST(M$2,$D167,$E167,TRUE))</f>
        <v/>
      </c>
      <c r="N167">
        <f>IF(NOT(ISNUMBER($D167)),"",_xlfn.NORM.DIST(N$1,$D167,$E167,TRUE)-_xlfn.NORM.DIST(N$2,$D167,$E167,TRUE))</f>
        <v/>
      </c>
      <c r="O167">
        <f>IF(NOT(ISNUMBER($D167)),"",_xlfn.NORM.DIST(O$1,$D167,$E167,TRUE)-_xlfn.NORM.DIST(O$2,$D167,$E167,TRUE))</f>
        <v/>
      </c>
      <c r="P167">
        <f>IF(NOT(ISNUMBER($D167)),"",_xlfn.NORM.DIST(P$1,$D167,$E167,TRUE)-_xlfn.NORM.DIST(P$2,$D167,$E167,TRUE))</f>
        <v/>
      </c>
      <c r="Q167">
        <f>IF(NOT(ISNUMBER($D167)),"",_xlfn.NORM.DIST(Q$1,$D167,$E167,TRUE)-_xlfn.NORM.DIST(Q$2,$D167,$E167,TRUE))</f>
        <v/>
      </c>
      <c r="R167">
        <f>IF(NOT(ISNUMBER($D167)),"",_xlfn.NORM.DIST(R$1,$D167,$E167,TRUE)-_xlfn.NORM.DIST(R$2,$D167,$E167,TRUE))</f>
        <v/>
      </c>
      <c r="S167">
        <f>IF(NOT(ISNUMBER($D167)),"",_xlfn.NORM.DIST(S$1,$D167,$E167,TRUE)-_xlfn.NORM.DIST(S$2,$D167,$E167,TRUE))</f>
        <v/>
      </c>
      <c r="T167">
        <f>IF(NOT(ISNUMBER($D167)),"",_xlfn.NORM.DIST(T$1,$D167,$E167,TRUE)-_xlfn.NORM.DIST(T$2,$D167,$E167,TRUE))</f>
        <v/>
      </c>
      <c r="U167">
        <f>IF(NOT(ISNUMBER($D167)),"",_xlfn.NORM.DIST(U$1,$D167,$E167,TRUE)-_xlfn.NORM.DIST(U$2,$D167,$E167,TRUE))</f>
        <v/>
      </c>
      <c r="V167">
        <f>IF(NOT(ISNUMBER($D167)),"",_xlfn.NORM.DIST(V$1,$D167,$E167,TRUE)-_xlfn.NORM.DIST(V$2,$D167,$E167,TRUE))</f>
        <v/>
      </c>
      <c r="W167">
        <f>IF(NOT(ISNUMBER($D167)),"",_xlfn.NORM.DIST(W$1,$D167,$E167,TRUE)-_xlfn.NORM.DIST(W$2,$D167,$E167,TRUE))</f>
        <v/>
      </c>
      <c r="X167">
        <f>IF(NOT(ISNUMBER($D167)),"",_xlfn.NORM.DIST(X$1,$D167,$E167,TRUE)-_xlfn.NORM.DIST(X$2,$D167,$E167,TRUE))</f>
        <v/>
      </c>
      <c r="Y167">
        <f>IF(NOT(ISNUMBER($D167)),"",_xlfn.NORM.DIST(Y$1,$D167,$E167,TRUE)-_xlfn.NORM.DIST(Y$2,$D167,$E167,TRUE))</f>
        <v/>
      </c>
      <c r="Z167">
        <f>IF(NOT(ISNUMBER($D167)),"",_xlfn.NORM.DIST(Z$1,$D167,$E167,TRUE)-_xlfn.NORM.DIST(Z$2,$D167,$E167,TRUE))</f>
        <v/>
      </c>
      <c r="AA167">
        <f>IF(NOT(ISNUMBER($D167)),"",_xlfn.NORM.DIST(AA$1,$D167,$E167,TRUE)-_xlfn.NORM.DIST(AA$2,$D167,$E167,TRUE))</f>
        <v/>
      </c>
      <c r="AB167">
        <f>IF(NOT(ISNUMBER($D167)),"",_xlfn.NORM.DIST(AB$1,$D167,$E167,TRUE)-_xlfn.NORM.DIST(AB$2,$D167,$E167,TRUE))</f>
        <v/>
      </c>
      <c r="AC167">
        <f>IF(NOT(ISNUMBER($D167)),"",_xlfn.NORM.DIST(AC$1,$D167,$E167,TRUE)-_xlfn.NORM.DIST(AC$2,$D167,$E167,TRUE))</f>
        <v/>
      </c>
      <c r="AD167">
        <f>IF(NOT(ISNUMBER($D167)),"",_xlfn.NORM.DIST(AD$1,$D167,$E167,TRUE)-_xlfn.NORM.DIST(AD$2,$D167,$E167,TRUE))</f>
        <v/>
      </c>
      <c r="AE167">
        <f>IF(NOT(ISNUMBER($D167)),"",_xlfn.NORM.DIST(AE$1,$D167,$E167,TRUE)-_xlfn.NORM.DIST(AE$2,$D167,$E167,TRUE))</f>
        <v/>
      </c>
      <c r="AF167">
        <f>IF(NOT(ISNUMBER($D167)),"",_xlfn.NORM.DIST(AF$1,$D167,$E167,TRUE)-_xlfn.NORM.DIST(AF$2,$D167,$E167,TRUE))</f>
        <v/>
      </c>
      <c r="AG167">
        <f>IF(NOT(ISNUMBER($D167)),"",_xlfn.NORM.DIST(AG$1,$D167,$E167,TRUE)-_xlfn.NORM.DIST(AG$2,$D167,$E167,TRUE))</f>
        <v/>
      </c>
      <c r="AH167">
        <f>IF(NOT(ISNUMBER($D167)),"",_xlfn.NORM.DIST(AH$1,$D167,$E167,TRUE)-_xlfn.NORM.DIST(AH$2,$D167,$E167,TRUE))</f>
        <v/>
      </c>
      <c r="AI167">
        <f>IF(NOT(ISNUMBER($D167)),"",_xlfn.NORM.DIST(AI$1,$D167,$E167,TRUE)-_xlfn.NORM.DIST(AI$2,$D167,$E167,TRUE))</f>
        <v/>
      </c>
      <c r="AJ167">
        <f>IF(NOT(ISNUMBER($D167)),"",_xlfn.NORM.DIST(AJ$1,$D167,$E167,TRUE)-_xlfn.NORM.DIST(AJ$2,$D167,$E167,TRUE))</f>
        <v/>
      </c>
      <c r="AK167">
        <f>IF(NOT(ISNUMBER($D167)),"",_xlfn.NORM.DIST(AK$1,$D167,$E167,TRUE)-_xlfn.NORM.DIST(AK$2,$D167,$E167,TRUE))</f>
        <v/>
      </c>
      <c r="AL167">
        <f>IF(NOT(ISNUMBER($D167)),"",_xlfn.NORM.DIST(AL$1,$D167,$E167,TRUE)-_xlfn.NORM.DIST(AL$2,$D167,$E167,TRUE))</f>
        <v/>
      </c>
      <c r="AM167">
        <f>IF(NOT(ISNUMBER($D167)),"",_xlfn.NORM.DIST(AM$1,$D167,$E167,TRUE)-_xlfn.NORM.DIST(AM$2,$D167,$E167,TRUE))</f>
        <v/>
      </c>
      <c r="AN167">
        <f>IF(NOT(ISNUMBER($D167)),"",_xlfn.NORM.DIST(AN$1,$D167,$E167,TRUE)-_xlfn.NORM.DIST(AN$2,$D167,$E167,TRUE))</f>
        <v/>
      </c>
      <c r="AO167">
        <f>IF(NOT(ISNUMBER($D167)),"",_xlfn.NORM.DIST(AO$1,$D167,$E167,TRUE)-_xlfn.NORM.DIST(AO$2,$D167,$E167,TRUE))</f>
        <v/>
      </c>
      <c r="AP167">
        <f>IF(NOT(ISNUMBER($D167)),"",_xlfn.NORM.DIST(AP$1,$D167,$E167,TRUE)-_xlfn.NORM.DIST(AP$2,$D167,$E167,TRUE))</f>
        <v/>
      </c>
      <c r="AQ167">
        <f>IF(NOT(ISNUMBER($D167)),"",_xlfn.NORM.DIST(AQ$1,$D167,$E167,TRUE)-_xlfn.NORM.DIST(AQ$2,$D167,$E167,TRUE))</f>
        <v/>
      </c>
      <c r="AR167">
        <f>IF(NOT(ISNUMBER($D167)),"",_xlfn.NORM.DIST(AR$1,$D167,$E167,TRUE)-_xlfn.NORM.DIST(AR$2,$D167,$E167,TRUE))</f>
        <v/>
      </c>
      <c r="AS167">
        <f>IF(NOT(ISNUMBER($D167)),"",_xlfn.NORM.DIST(AS$1,$D167,$E167,TRUE)-_xlfn.NORM.DIST(AS$2,$D167,$E167,TRUE))</f>
        <v/>
      </c>
      <c r="AT167">
        <f>IF(NOT(ISNUMBER($D167)),"",_xlfn.NORM.DIST(AT$1,$D167,$E167,TRUE)-_xlfn.NORM.DIST(AT$2,$D167,$E167,TRUE))</f>
        <v/>
      </c>
      <c r="AU167">
        <f>IF(NOT(ISNUMBER($D167)),"",_xlfn.NORM.DIST(AU$1,$D167,$E167,TRUE)-_xlfn.NORM.DIST(AU$2,$D167,$E167,TRUE))</f>
        <v/>
      </c>
      <c r="AV167">
        <f>IF(NOT(ISNUMBER($D167)),"",_xlfn.NORM.DIST(AV$1,$D167,$E167,TRUE)-_xlfn.NORM.DIST(AV$2,$D167,$E167,TRUE))</f>
        <v/>
      </c>
      <c r="AW167">
        <f>IF(NOT(ISNUMBER($D167)),"",_xlfn.NORM.DIST(AW$1,$D167,$E167,TRUE)-_xlfn.NORM.DIST(AW$2,$D167,$E167,TRUE))</f>
        <v/>
      </c>
      <c r="AX167">
        <f>IF(NOT(ISNUMBER($D167)),"",_xlfn.NORM.DIST(AX$1,$D167,$E167,TRUE)-_xlfn.NORM.DIST(AX$2,$D167,$E167,TRUE))</f>
        <v/>
      </c>
      <c r="AY167">
        <f>IF(NOT(ISNUMBER($D167)),"",_xlfn.NORM.DIST(AY$1,$D167,$E167,TRUE)-_xlfn.NORM.DIST(AY$2,$D167,$E167,TRUE))</f>
        <v/>
      </c>
      <c r="AZ167">
        <f>IF(NOT(ISNUMBER($D167)),"",_xlfn.NORM.DIST(AZ$1,$D167,$E167,TRUE)-_xlfn.NORM.DIST(AZ$2,$D167,$E167,TRUE))</f>
        <v/>
      </c>
      <c r="BA167">
        <f>IF(NOT(ISNUMBER($D167)),"",_xlfn.NORM.DIST(BA$1,$D167,$E167,TRUE)-_xlfn.NORM.DIST(BA$2,$D167,$E167,TRUE))</f>
        <v/>
      </c>
      <c r="BB167">
        <f>IF(NOT(ISNUMBER($D167)),"",_xlfn.NORM.DIST(BB$1,$D167,$E167,TRUE)-_xlfn.NORM.DIST(BB$2,$D167,$E167,TRUE))</f>
        <v/>
      </c>
      <c r="BC167">
        <f>IF(NOT(ISNUMBER($D167)),"",_xlfn.NORM.DIST(BC$1,$D167,$E167,TRUE)-_xlfn.NORM.DIST(BC$2,$D167,$E167,TRUE))</f>
        <v/>
      </c>
      <c r="BD167">
        <f>IF(NOT(ISNUMBER($D167)),"",_xlfn.NORM.DIST(BD$1,$D167,$E167,TRUE)-_xlfn.NORM.DIST(BD$2,$D167,$E167,TRUE))</f>
        <v/>
      </c>
      <c r="BE167">
        <f>IF(NOT(ISNUMBER($D167)),"",_xlfn.NORM.DIST(BE$1,$D167,$E167,TRUE)-_xlfn.NORM.DIST(BE$2,$D167,$E167,TRUE))</f>
        <v/>
      </c>
      <c r="BF167">
        <f>IF(NOT(ISNUMBER($D167)),"",_xlfn.NORM.DIST(BF$1,$D167,$E167,TRUE)-_xlfn.NORM.DIST(BF$2,$D167,$E167,TRUE))</f>
        <v/>
      </c>
      <c r="BG167">
        <f>IF(NOT(ISNUMBER($D167)),"",_xlfn.NORM.DIST(BG$1,$D167,$E167,TRUE)-_xlfn.NORM.DIST(BG$2,$D167,$E167,TRUE))</f>
        <v/>
      </c>
      <c r="BH167">
        <f>IF(NOT(ISNUMBER($D167)),"",_xlfn.NORM.DIST(BH$1,$D167,$E167,TRUE)-_xlfn.NORM.DIST(BH$2,$D167,$E167,TRUE))</f>
        <v/>
      </c>
      <c r="BI167">
        <f>IF(NOT(ISNUMBER($D167)),"",_xlfn.NORM.DIST(BI$1,$D167,$E167,TRUE)-_xlfn.NORM.DIST(BI$2,$D167,$E167,TRUE))</f>
        <v/>
      </c>
      <c r="BJ167">
        <f>IF(NOT(ISNUMBER($D167)),"",_xlfn.NORM.DIST(BJ$1,$D167,$E167,TRUE)-_xlfn.NORM.DIST(BJ$2,$D167,$E167,TRUE))</f>
        <v/>
      </c>
      <c r="BK167">
        <f>IF(NOT(ISNUMBER($D167)),"",_xlfn.NORM.DIST(BK$1,$D167,$E167,TRUE)-_xlfn.NORM.DIST(BK$2,$D167,$E167,TRUE))</f>
        <v/>
      </c>
      <c r="BL167">
        <f>IF(NOT(ISNUMBER($D167)),"",_xlfn.NORM.DIST(BL$1,$D167,$E167,TRUE)-_xlfn.NORM.DIST(BL$2,$D167,$E167,TRUE))</f>
        <v/>
      </c>
      <c r="BM167">
        <f>IF(NOT(ISNUMBER($D167)),"",_xlfn.NORM.DIST(BM$1,$D167,$E167,TRUE)-_xlfn.NORM.DIST(BM$2,$D167,$E167,TRUE))</f>
        <v/>
      </c>
      <c r="BN167">
        <f>IF(NOT(ISNUMBER($D167)),"",_xlfn.NORM.DIST(BN$1,$D167,$E167,TRUE)-_xlfn.NORM.DIST(BN$2,$D167,$E167,TRUE))</f>
        <v/>
      </c>
      <c r="BO167">
        <f>IF(NOT(ISNUMBER($D167)),"",_xlfn.NORM.DIST(BO$1,$D167,$E167,TRUE)-_xlfn.NORM.DIST(BO$2,$D167,$E167,TRUE))</f>
        <v/>
      </c>
      <c r="BP167">
        <f>IF(NOT(ISNUMBER($D167)),"",_xlfn.NORM.DIST(BP$1,$D167,$E167,TRUE)-_xlfn.NORM.DIST(BP$2,$D167,$E167,TRUE))</f>
        <v/>
      </c>
      <c r="BQ167">
        <f>IF(NOT(ISNUMBER($D167)),"",_xlfn.NORM.DIST(BQ$1,$D167,$E167,TRUE)-_xlfn.NORM.DIST(BQ$2,$D167,$E167,TRUE))</f>
        <v/>
      </c>
      <c r="BR167">
        <f>IF(NOT(ISNUMBER($D167)),"",_xlfn.NORM.DIST(BR$1,$D167,$E167,TRUE)-_xlfn.NORM.DIST(BR$2,$D167,$E167,TRUE))</f>
        <v/>
      </c>
      <c r="BS167">
        <f>IF(NOT(ISNUMBER($D167)),"",_xlfn.NORM.DIST(BS$1,$D167,$E167,TRUE)-_xlfn.NORM.DIST(BS$2,$D167,$E167,TRUE))</f>
        <v/>
      </c>
      <c r="BT167">
        <f>IF(NOT(ISNUMBER($D167)),"",_xlfn.NORM.DIST(BT$1,$D167,$E167,TRUE)-_xlfn.NORM.DIST(BT$2,$D167,$E167,TRUE))</f>
        <v/>
      </c>
      <c r="BU167">
        <f>IF(NOT(ISNUMBER($D167)),"",_xlfn.NORM.DIST(BU$1,$D167,$E167,TRUE)-_xlfn.NORM.DIST(BU$2,$D167,$E167,TRUE))</f>
        <v/>
      </c>
      <c r="BV167">
        <f>IF(NOT(ISNUMBER($D167)),"",_xlfn.NORM.DIST(BV$1,$D167,$E167,TRUE)-_xlfn.NORM.DIST(BV$2,$D167,$E167,TRUE))</f>
        <v/>
      </c>
      <c r="BW167">
        <f>IF(NOT(ISNUMBER($D167)),"",_xlfn.NORM.DIST(BW$1,$D167,$E167,TRUE)-_xlfn.NORM.DIST(BW$2,$D167,$E167,TRUE))</f>
        <v/>
      </c>
      <c r="BX167">
        <f>IF(NOT(ISNUMBER($D167)),"",_xlfn.NORM.DIST(BX$1,$D167,$E167,TRUE)-_xlfn.NORM.DIST(BX$2,$D167,$E167,TRUE))</f>
        <v/>
      </c>
      <c r="BY167">
        <f>IF(NOT(ISNUMBER($D167)),"",_xlfn.NORM.DIST(BY$1,$D167,$E167,TRUE)-_xlfn.NORM.DIST(BY$2,$D167,$E167,TRUE))</f>
        <v/>
      </c>
      <c r="BZ167">
        <f>IF(NOT(ISNUMBER($D167)),"",_xlfn.NORM.DIST(BZ$1,$D167,$E167,TRUE)-_xlfn.NORM.DIST(BZ$2,$D167,$E167,TRUE))</f>
        <v/>
      </c>
      <c r="CA167">
        <f>IF(NOT(ISNUMBER($D167)),"",_xlfn.NORM.DIST(CA$1,$D167,$E167,TRUE)-_xlfn.NORM.DIST(CA$2,$D167,$E167,TRUE))</f>
        <v/>
      </c>
      <c r="CB167">
        <f>IF(NOT(ISNUMBER($D167)),"",_xlfn.NORM.DIST(CB$1,$D167,$E167,TRUE)-_xlfn.NORM.DIST(CB$2,$D167,$E167,TRUE))</f>
        <v/>
      </c>
      <c r="CC167">
        <f>IF(NOT(ISNUMBER($D167)),"",_xlfn.NORM.DIST(CC$1,$D167,$E167,TRUE)-_xlfn.NORM.DIST(CC$2,$D167,$E167,TRUE))</f>
        <v/>
      </c>
      <c r="CD167">
        <f>IF(NOT(ISNUMBER($D167)),"",_xlfn.NORM.DIST(CD$1,$D167,$E167,TRUE)-_xlfn.NORM.DIST(CD$2,$D167,$E167,TRUE))</f>
        <v/>
      </c>
      <c r="CE167">
        <f>IF(NOT(ISNUMBER($D167)),"",_xlfn.NORM.DIST(CE$1,$D167,$E167,TRUE)-_xlfn.NORM.DIST(CE$2,$D167,$E167,TRUE))</f>
        <v/>
      </c>
      <c r="CF167">
        <f>IF(NOT(ISNUMBER($D167)),"",_xlfn.NORM.DIST(CF$1,$D167,$E167,TRUE)-_xlfn.NORM.DIST(CF$2,$D167,$E167,TRUE))</f>
        <v/>
      </c>
      <c r="CG167">
        <f>IF(NOT(ISNUMBER($D167)),"",_xlfn.NORM.DIST(CG$1,$D167,$E167,TRUE)-_xlfn.NORM.DIST(CG$2,$D167,$E167,TRUE))</f>
        <v/>
      </c>
      <c r="CH167">
        <f>IF(NOT(ISNUMBER($D167)),"",_xlfn.NORM.DIST(CH$1,$D167,$E167,TRUE)-_xlfn.NORM.DIST(CH$2,$D167,$E167,TRUE))</f>
        <v/>
      </c>
      <c r="CI167">
        <f>IF(NOT(ISNUMBER($D167)),"",_xlfn.NORM.DIST(CI$1,$D167,$E167,TRUE)-_xlfn.NORM.DIST(CI$2,$D167,$E167,TRUE))</f>
        <v/>
      </c>
      <c r="CJ167">
        <f>IF(ISNUMBER($D167),SUM(F167:CI167),"")</f>
        <v/>
      </c>
    </row>
    <row r="168">
      <c r="A168">
        <f>economics!A167</f>
        <v/>
      </c>
      <c r="B168">
        <f>economics!B167</f>
        <v/>
      </c>
      <c r="C168">
        <f>economics!D167</f>
        <v/>
      </c>
      <c r="D168">
        <f>IF(ISNUMBER(economics!T167),economics!T167,"na")</f>
        <v/>
      </c>
      <c r="E168">
        <f>IF(ISNUMBER(D168),MAX(0.3*ABS(D168),0.000001),"na")</f>
        <v/>
      </c>
      <c r="F168">
        <f>IF(NOT(ISNUMBER($D168)),"",_xlfn.NORM.DIST(F$1,$D168,$E168,TRUE)-_xlfn.NORM.DIST(F$2,$D168,$E168,TRUE))</f>
        <v/>
      </c>
      <c r="G168">
        <f>IF(NOT(ISNUMBER($D168)),"",_xlfn.NORM.DIST(G$1,$D168,$E168,TRUE)-_xlfn.NORM.DIST(G$2,$D168,$E168,TRUE))</f>
        <v/>
      </c>
      <c r="H168">
        <f>IF(NOT(ISNUMBER($D168)),"",_xlfn.NORM.DIST(H$1,$D168,$E168,TRUE)-_xlfn.NORM.DIST(H$2,$D168,$E168,TRUE))</f>
        <v/>
      </c>
      <c r="I168">
        <f>IF(NOT(ISNUMBER($D168)),"",_xlfn.NORM.DIST(I$1,$D168,$E168,TRUE)-_xlfn.NORM.DIST(I$2,$D168,$E168,TRUE))</f>
        <v/>
      </c>
      <c r="J168">
        <f>IF(NOT(ISNUMBER($D168)),"",_xlfn.NORM.DIST(J$1,$D168,$E168,TRUE)-_xlfn.NORM.DIST(J$2,$D168,$E168,TRUE))</f>
        <v/>
      </c>
      <c r="K168">
        <f>IF(NOT(ISNUMBER($D168)),"",_xlfn.NORM.DIST(K$1,$D168,$E168,TRUE)-_xlfn.NORM.DIST(K$2,$D168,$E168,TRUE))</f>
        <v/>
      </c>
      <c r="L168">
        <f>IF(NOT(ISNUMBER($D168)),"",_xlfn.NORM.DIST(L$1,$D168,$E168,TRUE)-_xlfn.NORM.DIST(L$2,$D168,$E168,TRUE))</f>
        <v/>
      </c>
      <c r="M168">
        <f>IF(NOT(ISNUMBER($D168)),"",_xlfn.NORM.DIST(M$1,$D168,$E168,TRUE)-_xlfn.NORM.DIST(M$2,$D168,$E168,TRUE))</f>
        <v/>
      </c>
      <c r="N168">
        <f>IF(NOT(ISNUMBER($D168)),"",_xlfn.NORM.DIST(N$1,$D168,$E168,TRUE)-_xlfn.NORM.DIST(N$2,$D168,$E168,TRUE))</f>
        <v/>
      </c>
      <c r="O168">
        <f>IF(NOT(ISNUMBER($D168)),"",_xlfn.NORM.DIST(O$1,$D168,$E168,TRUE)-_xlfn.NORM.DIST(O$2,$D168,$E168,TRUE))</f>
        <v/>
      </c>
      <c r="P168">
        <f>IF(NOT(ISNUMBER($D168)),"",_xlfn.NORM.DIST(P$1,$D168,$E168,TRUE)-_xlfn.NORM.DIST(P$2,$D168,$E168,TRUE))</f>
        <v/>
      </c>
      <c r="Q168">
        <f>IF(NOT(ISNUMBER($D168)),"",_xlfn.NORM.DIST(Q$1,$D168,$E168,TRUE)-_xlfn.NORM.DIST(Q$2,$D168,$E168,TRUE))</f>
        <v/>
      </c>
      <c r="R168">
        <f>IF(NOT(ISNUMBER($D168)),"",_xlfn.NORM.DIST(R$1,$D168,$E168,TRUE)-_xlfn.NORM.DIST(R$2,$D168,$E168,TRUE))</f>
        <v/>
      </c>
      <c r="S168">
        <f>IF(NOT(ISNUMBER($D168)),"",_xlfn.NORM.DIST(S$1,$D168,$E168,TRUE)-_xlfn.NORM.DIST(S$2,$D168,$E168,TRUE))</f>
        <v/>
      </c>
      <c r="T168">
        <f>IF(NOT(ISNUMBER($D168)),"",_xlfn.NORM.DIST(T$1,$D168,$E168,TRUE)-_xlfn.NORM.DIST(T$2,$D168,$E168,TRUE))</f>
        <v/>
      </c>
      <c r="U168">
        <f>IF(NOT(ISNUMBER($D168)),"",_xlfn.NORM.DIST(U$1,$D168,$E168,TRUE)-_xlfn.NORM.DIST(U$2,$D168,$E168,TRUE))</f>
        <v/>
      </c>
      <c r="V168">
        <f>IF(NOT(ISNUMBER($D168)),"",_xlfn.NORM.DIST(V$1,$D168,$E168,TRUE)-_xlfn.NORM.DIST(V$2,$D168,$E168,TRUE))</f>
        <v/>
      </c>
      <c r="W168">
        <f>IF(NOT(ISNUMBER($D168)),"",_xlfn.NORM.DIST(W$1,$D168,$E168,TRUE)-_xlfn.NORM.DIST(W$2,$D168,$E168,TRUE))</f>
        <v/>
      </c>
      <c r="X168">
        <f>IF(NOT(ISNUMBER($D168)),"",_xlfn.NORM.DIST(X$1,$D168,$E168,TRUE)-_xlfn.NORM.DIST(X$2,$D168,$E168,TRUE))</f>
        <v/>
      </c>
      <c r="Y168">
        <f>IF(NOT(ISNUMBER($D168)),"",_xlfn.NORM.DIST(Y$1,$D168,$E168,TRUE)-_xlfn.NORM.DIST(Y$2,$D168,$E168,TRUE))</f>
        <v/>
      </c>
      <c r="Z168">
        <f>IF(NOT(ISNUMBER($D168)),"",_xlfn.NORM.DIST(Z$1,$D168,$E168,TRUE)-_xlfn.NORM.DIST(Z$2,$D168,$E168,TRUE))</f>
        <v/>
      </c>
      <c r="AA168">
        <f>IF(NOT(ISNUMBER($D168)),"",_xlfn.NORM.DIST(AA$1,$D168,$E168,TRUE)-_xlfn.NORM.DIST(AA$2,$D168,$E168,TRUE))</f>
        <v/>
      </c>
      <c r="AB168">
        <f>IF(NOT(ISNUMBER($D168)),"",_xlfn.NORM.DIST(AB$1,$D168,$E168,TRUE)-_xlfn.NORM.DIST(AB$2,$D168,$E168,TRUE))</f>
        <v/>
      </c>
      <c r="AC168">
        <f>IF(NOT(ISNUMBER($D168)),"",_xlfn.NORM.DIST(AC$1,$D168,$E168,TRUE)-_xlfn.NORM.DIST(AC$2,$D168,$E168,TRUE))</f>
        <v/>
      </c>
      <c r="AD168">
        <f>IF(NOT(ISNUMBER($D168)),"",_xlfn.NORM.DIST(AD$1,$D168,$E168,TRUE)-_xlfn.NORM.DIST(AD$2,$D168,$E168,TRUE))</f>
        <v/>
      </c>
      <c r="AE168">
        <f>IF(NOT(ISNUMBER($D168)),"",_xlfn.NORM.DIST(AE$1,$D168,$E168,TRUE)-_xlfn.NORM.DIST(AE$2,$D168,$E168,TRUE))</f>
        <v/>
      </c>
      <c r="AF168">
        <f>IF(NOT(ISNUMBER($D168)),"",_xlfn.NORM.DIST(AF$1,$D168,$E168,TRUE)-_xlfn.NORM.DIST(AF$2,$D168,$E168,TRUE))</f>
        <v/>
      </c>
      <c r="AG168">
        <f>IF(NOT(ISNUMBER($D168)),"",_xlfn.NORM.DIST(AG$1,$D168,$E168,TRUE)-_xlfn.NORM.DIST(AG$2,$D168,$E168,TRUE))</f>
        <v/>
      </c>
      <c r="AH168">
        <f>IF(NOT(ISNUMBER($D168)),"",_xlfn.NORM.DIST(AH$1,$D168,$E168,TRUE)-_xlfn.NORM.DIST(AH$2,$D168,$E168,TRUE))</f>
        <v/>
      </c>
      <c r="AI168">
        <f>IF(NOT(ISNUMBER($D168)),"",_xlfn.NORM.DIST(AI$1,$D168,$E168,TRUE)-_xlfn.NORM.DIST(AI$2,$D168,$E168,TRUE))</f>
        <v/>
      </c>
      <c r="AJ168">
        <f>IF(NOT(ISNUMBER($D168)),"",_xlfn.NORM.DIST(AJ$1,$D168,$E168,TRUE)-_xlfn.NORM.DIST(AJ$2,$D168,$E168,TRUE))</f>
        <v/>
      </c>
      <c r="AK168">
        <f>IF(NOT(ISNUMBER($D168)),"",_xlfn.NORM.DIST(AK$1,$D168,$E168,TRUE)-_xlfn.NORM.DIST(AK$2,$D168,$E168,TRUE))</f>
        <v/>
      </c>
      <c r="AL168">
        <f>IF(NOT(ISNUMBER($D168)),"",_xlfn.NORM.DIST(AL$1,$D168,$E168,TRUE)-_xlfn.NORM.DIST(AL$2,$D168,$E168,TRUE))</f>
        <v/>
      </c>
      <c r="AM168">
        <f>IF(NOT(ISNUMBER($D168)),"",_xlfn.NORM.DIST(AM$1,$D168,$E168,TRUE)-_xlfn.NORM.DIST(AM$2,$D168,$E168,TRUE))</f>
        <v/>
      </c>
      <c r="AN168">
        <f>IF(NOT(ISNUMBER($D168)),"",_xlfn.NORM.DIST(AN$1,$D168,$E168,TRUE)-_xlfn.NORM.DIST(AN$2,$D168,$E168,TRUE))</f>
        <v/>
      </c>
      <c r="AO168">
        <f>IF(NOT(ISNUMBER($D168)),"",_xlfn.NORM.DIST(AO$1,$D168,$E168,TRUE)-_xlfn.NORM.DIST(AO$2,$D168,$E168,TRUE))</f>
        <v/>
      </c>
      <c r="AP168">
        <f>IF(NOT(ISNUMBER($D168)),"",_xlfn.NORM.DIST(AP$1,$D168,$E168,TRUE)-_xlfn.NORM.DIST(AP$2,$D168,$E168,TRUE))</f>
        <v/>
      </c>
      <c r="AQ168">
        <f>IF(NOT(ISNUMBER($D168)),"",_xlfn.NORM.DIST(AQ$1,$D168,$E168,TRUE)-_xlfn.NORM.DIST(AQ$2,$D168,$E168,TRUE))</f>
        <v/>
      </c>
      <c r="AR168">
        <f>IF(NOT(ISNUMBER($D168)),"",_xlfn.NORM.DIST(AR$1,$D168,$E168,TRUE)-_xlfn.NORM.DIST(AR$2,$D168,$E168,TRUE))</f>
        <v/>
      </c>
      <c r="AS168">
        <f>IF(NOT(ISNUMBER($D168)),"",_xlfn.NORM.DIST(AS$1,$D168,$E168,TRUE)-_xlfn.NORM.DIST(AS$2,$D168,$E168,TRUE))</f>
        <v/>
      </c>
      <c r="AT168">
        <f>IF(NOT(ISNUMBER($D168)),"",_xlfn.NORM.DIST(AT$1,$D168,$E168,TRUE)-_xlfn.NORM.DIST(AT$2,$D168,$E168,TRUE))</f>
        <v/>
      </c>
      <c r="AU168">
        <f>IF(NOT(ISNUMBER($D168)),"",_xlfn.NORM.DIST(AU$1,$D168,$E168,TRUE)-_xlfn.NORM.DIST(AU$2,$D168,$E168,TRUE))</f>
        <v/>
      </c>
      <c r="AV168">
        <f>IF(NOT(ISNUMBER($D168)),"",_xlfn.NORM.DIST(AV$1,$D168,$E168,TRUE)-_xlfn.NORM.DIST(AV$2,$D168,$E168,TRUE))</f>
        <v/>
      </c>
      <c r="AW168">
        <f>IF(NOT(ISNUMBER($D168)),"",_xlfn.NORM.DIST(AW$1,$D168,$E168,TRUE)-_xlfn.NORM.DIST(AW$2,$D168,$E168,TRUE))</f>
        <v/>
      </c>
      <c r="AX168">
        <f>IF(NOT(ISNUMBER($D168)),"",_xlfn.NORM.DIST(AX$1,$D168,$E168,TRUE)-_xlfn.NORM.DIST(AX$2,$D168,$E168,TRUE))</f>
        <v/>
      </c>
      <c r="AY168">
        <f>IF(NOT(ISNUMBER($D168)),"",_xlfn.NORM.DIST(AY$1,$D168,$E168,TRUE)-_xlfn.NORM.DIST(AY$2,$D168,$E168,TRUE))</f>
        <v/>
      </c>
      <c r="AZ168">
        <f>IF(NOT(ISNUMBER($D168)),"",_xlfn.NORM.DIST(AZ$1,$D168,$E168,TRUE)-_xlfn.NORM.DIST(AZ$2,$D168,$E168,TRUE))</f>
        <v/>
      </c>
      <c r="BA168">
        <f>IF(NOT(ISNUMBER($D168)),"",_xlfn.NORM.DIST(BA$1,$D168,$E168,TRUE)-_xlfn.NORM.DIST(BA$2,$D168,$E168,TRUE))</f>
        <v/>
      </c>
      <c r="BB168">
        <f>IF(NOT(ISNUMBER($D168)),"",_xlfn.NORM.DIST(BB$1,$D168,$E168,TRUE)-_xlfn.NORM.DIST(BB$2,$D168,$E168,TRUE))</f>
        <v/>
      </c>
      <c r="BC168">
        <f>IF(NOT(ISNUMBER($D168)),"",_xlfn.NORM.DIST(BC$1,$D168,$E168,TRUE)-_xlfn.NORM.DIST(BC$2,$D168,$E168,TRUE))</f>
        <v/>
      </c>
      <c r="BD168">
        <f>IF(NOT(ISNUMBER($D168)),"",_xlfn.NORM.DIST(BD$1,$D168,$E168,TRUE)-_xlfn.NORM.DIST(BD$2,$D168,$E168,TRUE))</f>
        <v/>
      </c>
      <c r="BE168">
        <f>IF(NOT(ISNUMBER($D168)),"",_xlfn.NORM.DIST(BE$1,$D168,$E168,TRUE)-_xlfn.NORM.DIST(BE$2,$D168,$E168,TRUE))</f>
        <v/>
      </c>
      <c r="BF168">
        <f>IF(NOT(ISNUMBER($D168)),"",_xlfn.NORM.DIST(BF$1,$D168,$E168,TRUE)-_xlfn.NORM.DIST(BF$2,$D168,$E168,TRUE))</f>
        <v/>
      </c>
      <c r="BG168">
        <f>IF(NOT(ISNUMBER($D168)),"",_xlfn.NORM.DIST(BG$1,$D168,$E168,TRUE)-_xlfn.NORM.DIST(BG$2,$D168,$E168,TRUE))</f>
        <v/>
      </c>
      <c r="BH168">
        <f>IF(NOT(ISNUMBER($D168)),"",_xlfn.NORM.DIST(BH$1,$D168,$E168,TRUE)-_xlfn.NORM.DIST(BH$2,$D168,$E168,TRUE))</f>
        <v/>
      </c>
      <c r="BI168">
        <f>IF(NOT(ISNUMBER($D168)),"",_xlfn.NORM.DIST(BI$1,$D168,$E168,TRUE)-_xlfn.NORM.DIST(BI$2,$D168,$E168,TRUE))</f>
        <v/>
      </c>
      <c r="BJ168">
        <f>IF(NOT(ISNUMBER($D168)),"",_xlfn.NORM.DIST(BJ$1,$D168,$E168,TRUE)-_xlfn.NORM.DIST(BJ$2,$D168,$E168,TRUE))</f>
        <v/>
      </c>
      <c r="BK168">
        <f>IF(NOT(ISNUMBER($D168)),"",_xlfn.NORM.DIST(BK$1,$D168,$E168,TRUE)-_xlfn.NORM.DIST(BK$2,$D168,$E168,TRUE))</f>
        <v/>
      </c>
      <c r="BL168">
        <f>IF(NOT(ISNUMBER($D168)),"",_xlfn.NORM.DIST(BL$1,$D168,$E168,TRUE)-_xlfn.NORM.DIST(BL$2,$D168,$E168,TRUE))</f>
        <v/>
      </c>
      <c r="BM168">
        <f>IF(NOT(ISNUMBER($D168)),"",_xlfn.NORM.DIST(BM$1,$D168,$E168,TRUE)-_xlfn.NORM.DIST(BM$2,$D168,$E168,TRUE))</f>
        <v/>
      </c>
      <c r="BN168">
        <f>IF(NOT(ISNUMBER($D168)),"",_xlfn.NORM.DIST(BN$1,$D168,$E168,TRUE)-_xlfn.NORM.DIST(BN$2,$D168,$E168,TRUE))</f>
        <v/>
      </c>
      <c r="BO168">
        <f>IF(NOT(ISNUMBER($D168)),"",_xlfn.NORM.DIST(BO$1,$D168,$E168,TRUE)-_xlfn.NORM.DIST(BO$2,$D168,$E168,TRUE))</f>
        <v/>
      </c>
      <c r="BP168">
        <f>IF(NOT(ISNUMBER($D168)),"",_xlfn.NORM.DIST(BP$1,$D168,$E168,TRUE)-_xlfn.NORM.DIST(BP$2,$D168,$E168,TRUE))</f>
        <v/>
      </c>
      <c r="BQ168">
        <f>IF(NOT(ISNUMBER($D168)),"",_xlfn.NORM.DIST(BQ$1,$D168,$E168,TRUE)-_xlfn.NORM.DIST(BQ$2,$D168,$E168,TRUE))</f>
        <v/>
      </c>
      <c r="BR168">
        <f>IF(NOT(ISNUMBER($D168)),"",_xlfn.NORM.DIST(BR$1,$D168,$E168,TRUE)-_xlfn.NORM.DIST(BR$2,$D168,$E168,TRUE))</f>
        <v/>
      </c>
      <c r="BS168">
        <f>IF(NOT(ISNUMBER($D168)),"",_xlfn.NORM.DIST(BS$1,$D168,$E168,TRUE)-_xlfn.NORM.DIST(BS$2,$D168,$E168,TRUE))</f>
        <v/>
      </c>
      <c r="BT168">
        <f>IF(NOT(ISNUMBER($D168)),"",_xlfn.NORM.DIST(BT$1,$D168,$E168,TRUE)-_xlfn.NORM.DIST(BT$2,$D168,$E168,TRUE))</f>
        <v/>
      </c>
      <c r="BU168">
        <f>IF(NOT(ISNUMBER($D168)),"",_xlfn.NORM.DIST(BU$1,$D168,$E168,TRUE)-_xlfn.NORM.DIST(BU$2,$D168,$E168,TRUE))</f>
        <v/>
      </c>
      <c r="BV168">
        <f>IF(NOT(ISNUMBER($D168)),"",_xlfn.NORM.DIST(BV$1,$D168,$E168,TRUE)-_xlfn.NORM.DIST(BV$2,$D168,$E168,TRUE))</f>
        <v/>
      </c>
      <c r="BW168">
        <f>IF(NOT(ISNUMBER($D168)),"",_xlfn.NORM.DIST(BW$1,$D168,$E168,TRUE)-_xlfn.NORM.DIST(BW$2,$D168,$E168,TRUE))</f>
        <v/>
      </c>
      <c r="BX168">
        <f>IF(NOT(ISNUMBER($D168)),"",_xlfn.NORM.DIST(BX$1,$D168,$E168,TRUE)-_xlfn.NORM.DIST(BX$2,$D168,$E168,TRUE))</f>
        <v/>
      </c>
      <c r="BY168">
        <f>IF(NOT(ISNUMBER($D168)),"",_xlfn.NORM.DIST(BY$1,$D168,$E168,TRUE)-_xlfn.NORM.DIST(BY$2,$D168,$E168,TRUE))</f>
        <v/>
      </c>
      <c r="BZ168">
        <f>IF(NOT(ISNUMBER($D168)),"",_xlfn.NORM.DIST(BZ$1,$D168,$E168,TRUE)-_xlfn.NORM.DIST(BZ$2,$D168,$E168,TRUE))</f>
        <v/>
      </c>
      <c r="CA168">
        <f>IF(NOT(ISNUMBER($D168)),"",_xlfn.NORM.DIST(CA$1,$D168,$E168,TRUE)-_xlfn.NORM.DIST(CA$2,$D168,$E168,TRUE))</f>
        <v/>
      </c>
      <c r="CB168">
        <f>IF(NOT(ISNUMBER($D168)),"",_xlfn.NORM.DIST(CB$1,$D168,$E168,TRUE)-_xlfn.NORM.DIST(CB$2,$D168,$E168,TRUE))</f>
        <v/>
      </c>
      <c r="CC168">
        <f>IF(NOT(ISNUMBER($D168)),"",_xlfn.NORM.DIST(CC$1,$D168,$E168,TRUE)-_xlfn.NORM.DIST(CC$2,$D168,$E168,TRUE))</f>
        <v/>
      </c>
      <c r="CD168">
        <f>IF(NOT(ISNUMBER($D168)),"",_xlfn.NORM.DIST(CD$1,$D168,$E168,TRUE)-_xlfn.NORM.DIST(CD$2,$D168,$E168,TRUE))</f>
        <v/>
      </c>
      <c r="CE168">
        <f>IF(NOT(ISNUMBER($D168)),"",_xlfn.NORM.DIST(CE$1,$D168,$E168,TRUE)-_xlfn.NORM.DIST(CE$2,$D168,$E168,TRUE))</f>
        <v/>
      </c>
      <c r="CF168">
        <f>IF(NOT(ISNUMBER($D168)),"",_xlfn.NORM.DIST(CF$1,$D168,$E168,TRUE)-_xlfn.NORM.DIST(CF$2,$D168,$E168,TRUE))</f>
        <v/>
      </c>
      <c r="CG168">
        <f>IF(NOT(ISNUMBER($D168)),"",_xlfn.NORM.DIST(CG$1,$D168,$E168,TRUE)-_xlfn.NORM.DIST(CG$2,$D168,$E168,TRUE))</f>
        <v/>
      </c>
      <c r="CH168">
        <f>IF(NOT(ISNUMBER($D168)),"",_xlfn.NORM.DIST(CH$1,$D168,$E168,TRUE)-_xlfn.NORM.DIST(CH$2,$D168,$E168,TRUE))</f>
        <v/>
      </c>
      <c r="CI168">
        <f>IF(NOT(ISNUMBER($D168)),"",_xlfn.NORM.DIST(CI$1,$D168,$E168,TRUE)-_xlfn.NORM.DIST(CI$2,$D168,$E168,TRUE))</f>
        <v/>
      </c>
      <c r="CJ168">
        <f>IF(ISNUMBER($D168),SUM(F168:CI168),"")</f>
        <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88"/>
  <sheetViews>
    <sheetView zoomScale="85" zoomScaleNormal="85" workbookViewId="0">
      <selection activeCell="H50" sqref="H50"/>
    </sheetView>
  </sheetViews>
  <sheetFormatPr baseColWidth="8" defaultRowHeight="14.5"/>
  <cols>
    <col width="20" customWidth="1" min="1" max="1"/>
    <col width="41.81640625" customWidth="1" min="2" max="2"/>
    <col width="12.7265625" customWidth="1" min="3" max="6"/>
    <col width="17.26953125" customWidth="1" min="7" max="7"/>
    <col width="32.7265625" customWidth="1" min="8" max="8"/>
    <col width="58.1796875" customWidth="1" min="9" max="9"/>
  </cols>
  <sheetData>
    <row r="1" ht="18.65" customHeight="1">
      <c r="A1" s="73" t="inlineStr">
        <is>
          <t>Reconciliation — every Kermeli measure to exactly one destination</t>
        </is>
      </c>
    </row>
    <row r="2">
      <c r="A2" t="inlineStr">
        <is>
          <t>Destination assigned by classification bucket + primary carrier (larger savings share). Mixed-carrier measures note the secondary curve their energy also reaches.</t>
        </is>
      </c>
    </row>
    <row r="4">
      <c r="A4" s="130" t="inlineStr">
        <is>
          <t>Product</t>
        </is>
      </c>
      <c r="B4" s="130" t="inlineStr">
        <is>
          <t>Measure</t>
        </is>
      </c>
      <c r="C4" s="130" t="inlineStr">
        <is>
          <t>Bucket</t>
        </is>
      </c>
      <c r="D4" s="130" t="inlineStr">
        <is>
          <t>Fuel share</t>
        </is>
      </c>
      <c r="E4" s="130" t="inlineStr">
        <is>
          <t>Elec share</t>
        </is>
      </c>
      <c r="F4" s="130" t="inlineStr">
        <is>
          <t>Primary carrier</t>
        </is>
      </c>
      <c r="G4" s="130" t="inlineStr">
        <is>
          <t>Destination</t>
        </is>
      </c>
      <c r="H4" s="130" t="inlineStr">
        <is>
          <t>Mixed-carrier note</t>
        </is>
      </c>
      <c r="I4" s="130" t="inlineStr">
        <is>
          <t>Reason / justification</t>
        </is>
      </c>
    </row>
    <row r="5">
      <c r="A5">
        <f>'Kermeli Data'!A9</f>
        <v/>
      </c>
      <c r="B5">
        <f>'Kermeli Data'!B9</f>
        <v/>
      </c>
      <c r="C5">
        <f>'Kermeli Data'!P9</f>
        <v/>
      </c>
      <c r="D5">
        <f>'Kermeli Data'!R9</f>
        <v/>
      </c>
      <c r="E5">
        <f>'Kermeli Data'!S9</f>
        <v/>
      </c>
      <c r="F5">
        <f>IF(AND(D5=0,E5=0),"none",IF(D5&gt;=E5,"fuel","elec"))</f>
        <v/>
      </c>
      <c r="G5">
        <f>IF(C5="1 unit","unit files",IF(C5="2 whr",IF(F5="fuel","fuel-whr",IF(F5="elec","elec-whr","whr (no energy)")),IF(C5="3 proc",IF(F5="fuel","fuel-process",IF(F5="elec","elec-process","process (no energy)")),"excluded")))</f>
        <v/>
      </c>
      <c r="H5">
        <f>IF(AND(D5&gt;0,E5&gt;0),"MIXED — energy also on "&amp;IF(F5="fuel","elec","fuel")&amp;" curve","")</f>
        <v/>
      </c>
      <c r="I5">
        <f>'Kermeli Data'!Q9</f>
        <v/>
      </c>
    </row>
    <row r="6">
      <c r="A6">
        <f>'Kermeli Data'!A10</f>
        <v/>
      </c>
      <c r="B6">
        <f>'Kermeli Data'!B10</f>
        <v/>
      </c>
      <c r="C6">
        <f>'Kermeli Data'!P10</f>
        <v/>
      </c>
      <c r="D6">
        <f>'Kermeli Data'!R10</f>
        <v/>
      </c>
      <c r="E6">
        <f>'Kermeli Data'!S10</f>
        <v/>
      </c>
      <c r="F6">
        <f>IF(AND(D6=0,E6=0),"none",IF(D6&gt;=E6,"fuel","elec"))</f>
        <v/>
      </c>
      <c r="G6">
        <f>IF(C6="1 unit","unit files",IF(C6="2 whr",IF(F6="fuel","fuel-whr",IF(F6="elec","elec-whr","whr (no energy)")),IF(C6="3 proc",IF(F6="fuel","fuel-process",IF(F6="elec","elec-process","process (no energy)")),"excluded")))</f>
        <v/>
      </c>
      <c r="H6">
        <f>IF(AND(D6&gt;0,E6&gt;0),"MIXED — energy also on "&amp;IF(F6="fuel","elec","fuel")&amp;" curve","")</f>
        <v/>
      </c>
      <c r="I6">
        <f>'Kermeli Data'!Q10</f>
        <v/>
      </c>
    </row>
    <row r="7">
      <c r="A7">
        <f>'Kermeli Data'!A11</f>
        <v/>
      </c>
      <c r="B7">
        <f>'Kermeli Data'!B11</f>
        <v/>
      </c>
      <c r="C7">
        <f>'Kermeli Data'!P11</f>
        <v/>
      </c>
      <c r="D7">
        <f>'Kermeli Data'!R11</f>
        <v/>
      </c>
      <c r="E7">
        <f>'Kermeli Data'!S11</f>
        <v/>
      </c>
      <c r="F7">
        <f>IF(AND(D7=0,E7=0),"none",IF(D7&gt;=E7,"fuel","elec"))</f>
        <v/>
      </c>
      <c r="G7">
        <f>IF(C7="1 unit","unit files",IF(C7="2 whr",IF(F7="fuel","fuel-whr",IF(F7="elec","elec-whr","whr (no energy)")),IF(C7="3 proc",IF(F7="fuel","fuel-process",IF(F7="elec","elec-process","process (no energy)")),"excluded")))</f>
        <v/>
      </c>
      <c r="H7">
        <f>IF(AND(D7&gt;0,E7&gt;0),"MIXED — energy also on "&amp;IF(F7="fuel","elec","fuel")&amp;" curve","")</f>
        <v/>
      </c>
      <c r="I7">
        <f>'Kermeli Data'!Q11</f>
        <v/>
      </c>
    </row>
    <row r="8">
      <c r="A8">
        <f>'Kermeli Data'!A12</f>
        <v/>
      </c>
      <c r="B8">
        <f>'Kermeli Data'!B12</f>
        <v/>
      </c>
      <c r="C8">
        <f>'Kermeli Data'!P12</f>
        <v/>
      </c>
      <c r="D8">
        <f>'Kermeli Data'!R12</f>
        <v/>
      </c>
      <c r="E8">
        <f>'Kermeli Data'!S12</f>
        <v/>
      </c>
      <c r="F8">
        <f>IF(AND(D8=0,E8=0),"none",IF(D8&gt;=E8,"fuel","elec"))</f>
        <v/>
      </c>
      <c r="G8">
        <f>IF(C8="1 unit","unit files",IF(C8="2 whr",IF(F8="fuel","fuel-whr",IF(F8="elec","elec-whr","whr (no energy)")),IF(C8="3 proc",IF(F8="fuel","fuel-process",IF(F8="elec","elec-process","process (no energy)")),"excluded")))</f>
        <v/>
      </c>
      <c r="H8">
        <f>IF(AND(D8&gt;0,E8&gt;0),"MIXED — energy also on "&amp;IF(F8="fuel","elec","fuel")&amp;" curve","")</f>
        <v/>
      </c>
      <c r="I8">
        <f>'Kermeli Data'!Q12</f>
        <v/>
      </c>
    </row>
    <row r="9">
      <c r="A9">
        <f>'Kermeli Data'!A13</f>
        <v/>
      </c>
      <c r="B9">
        <f>'Kermeli Data'!B13</f>
        <v/>
      </c>
      <c r="C9">
        <f>'Kermeli Data'!P13</f>
        <v/>
      </c>
      <c r="D9">
        <f>'Kermeli Data'!R13</f>
        <v/>
      </c>
      <c r="E9">
        <f>'Kermeli Data'!S13</f>
        <v/>
      </c>
      <c r="F9">
        <f>IF(AND(D9=0,E9=0),"none",IF(D9&gt;=E9,"fuel","elec"))</f>
        <v/>
      </c>
      <c r="G9">
        <f>IF(C9="1 unit","unit files",IF(C9="2 whr",IF(F9="fuel","fuel-whr",IF(F9="elec","elec-whr","whr (no energy)")),IF(C9="3 proc",IF(F9="fuel","fuel-process",IF(F9="elec","elec-process","process (no energy)")),"excluded")))</f>
        <v/>
      </c>
      <c r="H9">
        <f>IF(AND(D9&gt;0,E9&gt;0),"MIXED — energy also on "&amp;IF(F9="fuel","elec","fuel")&amp;" curve","")</f>
        <v/>
      </c>
      <c r="I9">
        <f>'Kermeli Data'!Q13</f>
        <v/>
      </c>
    </row>
    <row r="10">
      <c r="A10">
        <f>'Kermeli Data'!A14</f>
        <v/>
      </c>
      <c r="B10">
        <f>'Kermeli Data'!B14</f>
        <v/>
      </c>
      <c r="C10">
        <f>'Kermeli Data'!P14</f>
        <v/>
      </c>
      <c r="D10">
        <f>'Kermeli Data'!R14</f>
        <v/>
      </c>
      <c r="E10">
        <f>'Kermeli Data'!S14</f>
        <v/>
      </c>
      <c r="F10">
        <f>IF(AND(D10=0,E10=0),"none",IF(D10&gt;=E10,"fuel","elec"))</f>
        <v/>
      </c>
      <c r="G10">
        <f>IF(C10="1 unit","unit files",IF(C10="2 whr",IF(F10="fuel","fuel-whr",IF(F10="elec","elec-whr","whr (no energy)")),IF(C10="3 proc",IF(F10="fuel","fuel-process",IF(F10="elec","elec-process","process (no energy)")),"excluded")))</f>
        <v/>
      </c>
      <c r="H10">
        <f>IF(AND(D10&gt;0,E10&gt;0),"MIXED — energy also on "&amp;IF(F10="fuel","elec","fuel")&amp;" curve","")</f>
        <v/>
      </c>
      <c r="I10">
        <f>'Kermeli Data'!Q14</f>
        <v/>
      </c>
    </row>
    <row r="11">
      <c r="A11">
        <f>'Kermeli Data'!A15</f>
        <v/>
      </c>
      <c r="B11">
        <f>'Kermeli Data'!B15</f>
        <v/>
      </c>
      <c r="C11">
        <f>'Kermeli Data'!P15</f>
        <v/>
      </c>
      <c r="D11">
        <f>'Kermeli Data'!R15</f>
        <v/>
      </c>
      <c r="E11">
        <f>'Kermeli Data'!S15</f>
        <v/>
      </c>
      <c r="F11">
        <f>IF(AND(D11=0,E11=0),"none",IF(D11&gt;=E11,"fuel","elec"))</f>
        <v/>
      </c>
      <c r="G11">
        <f>IF(C11="1 unit","unit files",IF(C11="2 whr",IF(F11="fuel","fuel-whr",IF(F11="elec","elec-whr","whr (no energy)")),IF(C11="3 proc",IF(F11="fuel","fuel-process",IF(F11="elec","elec-process","process (no energy)")),"excluded")))</f>
        <v/>
      </c>
      <c r="H11">
        <f>IF(AND(D11&gt;0,E11&gt;0),"MIXED — energy also on "&amp;IF(F11="fuel","elec","fuel")&amp;" curve","")</f>
        <v/>
      </c>
      <c r="I11">
        <f>'Kermeli Data'!Q15</f>
        <v/>
      </c>
    </row>
    <row r="12">
      <c r="A12">
        <f>'Kermeli Data'!A16</f>
        <v/>
      </c>
      <c r="B12">
        <f>'Kermeli Data'!B16</f>
        <v/>
      </c>
      <c r="C12">
        <f>'Kermeli Data'!P16</f>
        <v/>
      </c>
      <c r="D12">
        <f>'Kermeli Data'!R16</f>
        <v/>
      </c>
      <c r="E12">
        <f>'Kermeli Data'!S16</f>
        <v/>
      </c>
      <c r="F12">
        <f>IF(AND(D12=0,E12=0),"none",IF(D12&gt;=E12,"fuel","elec"))</f>
        <v/>
      </c>
      <c r="G12">
        <f>IF(C12="1 unit","unit files",IF(C12="2 whr",IF(F12="fuel","fuel-whr",IF(F12="elec","elec-whr","whr (no energy)")),IF(C12="3 proc",IF(F12="fuel","fuel-process",IF(F12="elec","elec-process","process (no energy)")),"excluded")))</f>
        <v/>
      </c>
      <c r="H12">
        <f>IF(AND(D12&gt;0,E12&gt;0),"MIXED — energy also on "&amp;IF(F12="fuel","elec","fuel")&amp;" curve","")</f>
        <v/>
      </c>
      <c r="I12">
        <f>'Kermeli Data'!Q16</f>
        <v/>
      </c>
    </row>
    <row r="13">
      <c r="A13">
        <f>'Kermeli Data'!A17</f>
        <v/>
      </c>
      <c r="B13">
        <f>'Kermeli Data'!B17</f>
        <v/>
      </c>
      <c r="C13">
        <f>'Kermeli Data'!P17</f>
        <v/>
      </c>
      <c r="D13">
        <f>'Kermeli Data'!R17</f>
        <v/>
      </c>
      <c r="E13">
        <f>'Kermeli Data'!S17</f>
        <v/>
      </c>
      <c r="F13">
        <f>IF(AND(D13=0,E13=0),"none",IF(D13&gt;=E13,"fuel","elec"))</f>
        <v/>
      </c>
      <c r="G13">
        <f>IF(C13="1 unit","unit files",IF(C13="2 whr",IF(F13="fuel","fuel-whr",IF(F13="elec","elec-whr","whr (no energy)")),IF(C13="3 proc",IF(F13="fuel","fuel-process",IF(F13="elec","elec-process","process (no energy)")),"excluded")))</f>
        <v/>
      </c>
      <c r="H13">
        <f>IF(AND(D13&gt;0,E13&gt;0),"MIXED — energy also on "&amp;IF(F13="fuel","elec","fuel")&amp;" curve","")</f>
        <v/>
      </c>
      <c r="I13">
        <f>'Kermeli Data'!Q17</f>
        <v/>
      </c>
    </row>
    <row r="14">
      <c r="A14">
        <f>'Kermeli Data'!A18</f>
        <v/>
      </c>
      <c r="B14">
        <f>'Kermeli Data'!B18</f>
        <v/>
      </c>
      <c r="C14">
        <f>'Kermeli Data'!P18</f>
        <v/>
      </c>
      <c r="D14">
        <f>'Kermeli Data'!R18</f>
        <v/>
      </c>
      <c r="E14">
        <f>'Kermeli Data'!S18</f>
        <v/>
      </c>
      <c r="F14">
        <f>IF(AND(D14=0,E14=0),"none",IF(D14&gt;=E14,"fuel","elec"))</f>
        <v/>
      </c>
      <c r="G14">
        <f>IF(C14="1 unit","unit files",IF(C14="2 whr",IF(F14="fuel","fuel-whr",IF(F14="elec","elec-whr","whr (no energy)")),IF(C14="3 proc",IF(F14="fuel","fuel-process",IF(F14="elec","elec-process","process (no energy)")),"excluded")))</f>
        <v/>
      </c>
      <c r="H14">
        <f>IF(AND(D14&gt;0,E14&gt;0),"MIXED — energy also on "&amp;IF(F14="fuel","elec","fuel")&amp;" curve","")</f>
        <v/>
      </c>
      <c r="I14">
        <f>'Kermeli Data'!Q18</f>
        <v/>
      </c>
    </row>
    <row r="15">
      <c r="A15">
        <f>'Kermeli Data'!A19</f>
        <v/>
      </c>
      <c r="B15">
        <f>'Kermeli Data'!B19</f>
        <v/>
      </c>
      <c r="C15">
        <f>'Kermeli Data'!P19</f>
        <v/>
      </c>
      <c r="D15">
        <f>'Kermeli Data'!R19</f>
        <v/>
      </c>
      <c r="E15">
        <f>'Kermeli Data'!S19</f>
        <v/>
      </c>
      <c r="F15">
        <f>IF(AND(D15=0,E15=0),"none",IF(D15&gt;=E15,"fuel","elec"))</f>
        <v/>
      </c>
      <c r="G15">
        <f>IF(C15="1 unit","unit files",IF(C15="2 whr",IF(F15="fuel","fuel-whr",IF(F15="elec","elec-whr","whr (no energy)")),IF(C15="3 proc",IF(F15="fuel","fuel-process",IF(F15="elec","elec-process","process (no energy)")),"excluded")))</f>
        <v/>
      </c>
      <c r="H15">
        <f>IF(AND(D15&gt;0,E15&gt;0),"MIXED — energy also on "&amp;IF(F15="fuel","elec","fuel")&amp;" curve","")</f>
        <v/>
      </c>
      <c r="I15">
        <f>'Kermeli Data'!Q19</f>
        <v/>
      </c>
    </row>
    <row r="16">
      <c r="A16">
        <f>'Kermeli Data'!A20</f>
        <v/>
      </c>
      <c r="B16">
        <f>'Kermeli Data'!B20</f>
        <v/>
      </c>
      <c r="C16">
        <f>'Kermeli Data'!P20</f>
        <v/>
      </c>
      <c r="D16">
        <f>'Kermeli Data'!R20</f>
        <v/>
      </c>
      <c r="E16">
        <f>'Kermeli Data'!S20</f>
        <v/>
      </c>
      <c r="F16">
        <f>IF(AND(D16=0,E16=0),"none",IF(D16&gt;=E16,"fuel","elec"))</f>
        <v/>
      </c>
      <c r="G16">
        <f>IF(C16="1 unit","unit files",IF(C16="2 whr",IF(F16="fuel","fuel-whr",IF(F16="elec","elec-whr","whr (no energy)")),IF(C16="3 proc",IF(F16="fuel","fuel-process",IF(F16="elec","elec-process","process (no energy)")),"excluded")))</f>
        <v/>
      </c>
      <c r="H16">
        <f>IF(AND(D16&gt;0,E16&gt;0),"MIXED — energy also on "&amp;IF(F16="fuel","elec","fuel")&amp;" curve","")</f>
        <v/>
      </c>
      <c r="I16">
        <f>'Kermeli Data'!Q20</f>
        <v/>
      </c>
    </row>
    <row r="17">
      <c r="A17">
        <f>'Kermeli Data'!A21</f>
        <v/>
      </c>
      <c r="B17">
        <f>'Kermeli Data'!B21</f>
        <v/>
      </c>
      <c r="C17">
        <f>'Kermeli Data'!P21</f>
        <v/>
      </c>
      <c r="D17">
        <f>'Kermeli Data'!R21</f>
        <v/>
      </c>
      <c r="E17">
        <f>'Kermeli Data'!S21</f>
        <v/>
      </c>
      <c r="F17">
        <f>IF(AND(D17=0,E17=0),"none",IF(D17&gt;=E17,"fuel","elec"))</f>
        <v/>
      </c>
      <c r="G17">
        <f>IF(C17="1 unit","unit files",IF(C17="2 whr",IF(F17="fuel","fuel-whr",IF(F17="elec","elec-whr","whr (no energy)")),IF(C17="3 proc",IF(F17="fuel","fuel-process",IF(F17="elec","elec-process","process (no energy)")),"excluded")))</f>
        <v/>
      </c>
      <c r="H17">
        <f>IF(AND(D17&gt;0,E17&gt;0),"MIXED — energy also on "&amp;IF(F17="fuel","elec","fuel")&amp;" curve","")</f>
        <v/>
      </c>
      <c r="I17">
        <f>'Kermeli Data'!Q21</f>
        <v/>
      </c>
    </row>
    <row r="18">
      <c r="A18">
        <f>'Kermeli Data'!A22</f>
        <v/>
      </c>
      <c r="B18">
        <f>'Kermeli Data'!B22</f>
        <v/>
      </c>
      <c r="C18">
        <f>'Kermeli Data'!P22</f>
        <v/>
      </c>
      <c r="D18">
        <f>'Kermeli Data'!R22</f>
        <v/>
      </c>
      <c r="E18">
        <f>'Kermeli Data'!S22</f>
        <v/>
      </c>
      <c r="F18">
        <f>IF(AND(D18=0,E18=0),"none",IF(D18&gt;=E18,"fuel","elec"))</f>
        <v/>
      </c>
      <c r="G18">
        <f>IF(C18="1 unit","unit files",IF(C18="2 whr",IF(F18="fuel","fuel-whr",IF(F18="elec","elec-whr","whr (no energy)")),IF(C18="3 proc",IF(F18="fuel","fuel-process",IF(F18="elec","elec-process","process (no energy)")),"excluded")))</f>
        <v/>
      </c>
      <c r="H18">
        <f>IF(AND(D18&gt;0,E18&gt;0),"MIXED — energy also on "&amp;IF(F18="fuel","elec","fuel")&amp;" curve","")</f>
        <v/>
      </c>
      <c r="I18">
        <f>'Kermeli Data'!Q22</f>
        <v/>
      </c>
    </row>
    <row r="19">
      <c r="A19">
        <f>'Kermeli Data'!A23</f>
        <v/>
      </c>
      <c r="B19">
        <f>'Kermeli Data'!B23</f>
        <v/>
      </c>
      <c r="C19">
        <f>'Kermeli Data'!P23</f>
        <v/>
      </c>
      <c r="D19">
        <f>'Kermeli Data'!R23</f>
        <v/>
      </c>
      <c r="E19">
        <f>'Kermeli Data'!S23</f>
        <v/>
      </c>
      <c r="F19">
        <f>IF(AND(D19=0,E19=0),"none",IF(D19&gt;=E19,"fuel","elec"))</f>
        <v/>
      </c>
      <c r="G19">
        <f>IF(C19="1 unit","unit files",IF(C19="2 whr",IF(F19="fuel","fuel-whr",IF(F19="elec","elec-whr","whr (no energy)")),IF(C19="3 proc",IF(F19="fuel","fuel-process",IF(F19="elec","elec-process","process (no energy)")),"excluded")))</f>
        <v/>
      </c>
      <c r="H19">
        <f>IF(AND(D19&gt;0,E19&gt;0),"MIXED — energy also on "&amp;IF(F19="fuel","elec","fuel")&amp;" curve","")</f>
        <v/>
      </c>
      <c r="I19">
        <f>'Kermeli Data'!Q23</f>
        <v/>
      </c>
    </row>
    <row r="20">
      <c r="A20">
        <f>'Kermeli Data'!A24</f>
        <v/>
      </c>
      <c r="B20">
        <f>'Kermeli Data'!B24</f>
        <v/>
      </c>
      <c r="C20">
        <f>'Kermeli Data'!P24</f>
        <v/>
      </c>
      <c r="D20">
        <f>'Kermeli Data'!R24</f>
        <v/>
      </c>
      <c r="E20">
        <f>'Kermeli Data'!S24</f>
        <v/>
      </c>
      <c r="F20">
        <f>IF(AND(D20=0,E20=0),"none",IF(D20&gt;=E20,"fuel","elec"))</f>
        <v/>
      </c>
      <c r="G20">
        <f>IF(C20="1 unit","unit files",IF(C20="2 whr",IF(F20="fuel","fuel-whr",IF(F20="elec","elec-whr","whr (no energy)")),IF(C20="3 proc",IF(F20="fuel","fuel-process",IF(F20="elec","elec-process","process (no energy)")),"excluded")))</f>
        <v/>
      </c>
      <c r="H20">
        <f>IF(AND(D20&gt;0,E20&gt;0),"MIXED — energy also on "&amp;IF(F20="fuel","elec","fuel")&amp;" curve","")</f>
        <v/>
      </c>
      <c r="I20">
        <f>'Kermeli Data'!Q24</f>
        <v/>
      </c>
    </row>
    <row r="21">
      <c r="A21">
        <f>'Kermeli Data'!A25</f>
        <v/>
      </c>
      <c r="B21">
        <f>'Kermeli Data'!B25</f>
        <v/>
      </c>
      <c r="C21">
        <f>'Kermeli Data'!P25</f>
        <v/>
      </c>
      <c r="D21">
        <f>'Kermeli Data'!R25</f>
        <v/>
      </c>
      <c r="E21">
        <f>'Kermeli Data'!S25</f>
        <v/>
      </c>
      <c r="F21">
        <f>IF(AND(D21=0,E21=0),"none",IF(D21&gt;=E21,"fuel","elec"))</f>
        <v/>
      </c>
      <c r="G21">
        <f>IF(C21="1 unit","unit files",IF(C21="2 whr",IF(F21="fuel","fuel-whr",IF(F21="elec","elec-whr","whr (no energy)")),IF(C21="3 proc",IF(F21="fuel","fuel-process",IF(F21="elec","elec-process","process (no energy)")),"excluded")))</f>
        <v/>
      </c>
      <c r="H21">
        <f>IF(AND(D21&gt;0,E21&gt;0),"MIXED — energy also on "&amp;IF(F21="fuel","elec","fuel")&amp;" curve","")</f>
        <v/>
      </c>
      <c r="I21">
        <f>'Kermeli Data'!Q25</f>
        <v/>
      </c>
    </row>
    <row r="22">
      <c r="A22">
        <f>'Kermeli Data'!A26</f>
        <v/>
      </c>
      <c r="B22">
        <f>'Kermeli Data'!B26</f>
        <v/>
      </c>
      <c r="C22">
        <f>'Kermeli Data'!P26</f>
        <v/>
      </c>
      <c r="D22">
        <f>'Kermeli Data'!R26</f>
        <v/>
      </c>
      <c r="E22">
        <f>'Kermeli Data'!S26</f>
        <v/>
      </c>
      <c r="F22">
        <f>IF(AND(D22=0,E22=0),"none",IF(D22&gt;=E22,"fuel","elec"))</f>
        <v/>
      </c>
      <c r="G22">
        <f>IF(C22="1 unit","unit files",IF(C22="2 whr",IF(F22="fuel","fuel-whr",IF(F22="elec","elec-whr","whr (no energy)")),IF(C22="3 proc",IF(F22="fuel","fuel-process",IF(F22="elec","elec-process","process (no energy)")),"excluded")))</f>
        <v/>
      </c>
      <c r="H22">
        <f>IF(AND(D22&gt;0,E22&gt;0),"MIXED — energy also on "&amp;IF(F22="fuel","elec","fuel")&amp;" curve","")</f>
        <v/>
      </c>
      <c r="I22">
        <f>'Kermeli Data'!Q26</f>
        <v/>
      </c>
    </row>
    <row r="23">
      <c r="A23">
        <f>'Kermeli Data'!A27</f>
        <v/>
      </c>
      <c r="B23">
        <f>'Kermeli Data'!B27</f>
        <v/>
      </c>
      <c r="C23">
        <f>'Kermeli Data'!P27</f>
        <v/>
      </c>
      <c r="D23">
        <f>'Kermeli Data'!R27</f>
        <v/>
      </c>
      <c r="E23">
        <f>'Kermeli Data'!S27</f>
        <v/>
      </c>
      <c r="F23">
        <f>IF(AND(D23=0,E23=0),"none",IF(D23&gt;=E23,"fuel","elec"))</f>
        <v/>
      </c>
      <c r="G23">
        <f>IF(C23="1 unit","unit files",IF(C23="2 whr",IF(F23="fuel","fuel-whr",IF(F23="elec","elec-whr","whr (no energy)")),IF(C23="3 proc",IF(F23="fuel","fuel-process",IF(F23="elec","elec-process","process (no energy)")),"excluded")))</f>
        <v/>
      </c>
      <c r="H23">
        <f>IF(AND(D23&gt;0,E23&gt;0),"MIXED — energy also on "&amp;IF(F23="fuel","elec","fuel")&amp;" curve","")</f>
        <v/>
      </c>
      <c r="I23">
        <f>'Kermeli Data'!Q27</f>
        <v/>
      </c>
    </row>
    <row r="24">
      <c r="A24">
        <f>'Kermeli Data'!A28</f>
        <v/>
      </c>
      <c r="B24">
        <f>'Kermeli Data'!B28</f>
        <v/>
      </c>
      <c r="C24">
        <f>'Kermeli Data'!P28</f>
        <v/>
      </c>
      <c r="D24">
        <f>'Kermeli Data'!R28</f>
        <v/>
      </c>
      <c r="E24">
        <f>'Kermeli Data'!S28</f>
        <v/>
      </c>
      <c r="F24">
        <f>IF(AND(D24=0,E24=0),"none",IF(D24&gt;=E24,"fuel","elec"))</f>
        <v/>
      </c>
      <c r="G24">
        <f>IF(C24="1 unit","unit files",IF(C24="2 whr",IF(F24="fuel","fuel-whr",IF(F24="elec","elec-whr","whr (no energy)")),IF(C24="3 proc",IF(F24="fuel","fuel-process",IF(F24="elec","elec-process","process (no energy)")),"excluded")))</f>
        <v/>
      </c>
      <c r="H24">
        <f>IF(AND(D24&gt;0,E24&gt;0),"MIXED — energy also on "&amp;IF(F24="fuel","elec","fuel")&amp;" curve","")</f>
        <v/>
      </c>
      <c r="I24">
        <f>'Kermeli Data'!Q28</f>
        <v/>
      </c>
    </row>
    <row r="25">
      <c r="A25">
        <f>'Kermeli Data'!A29</f>
        <v/>
      </c>
      <c r="B25">
        <f>'Kermeli Data'!B29</f>
        <v/>
      </c>
      <c r="C25">
        <f>'Kermeli Data'!P29</f>
        <v/>
      </c>
      <c r="D25">
        <f>'Kermeli Data'!R29</f>
        <v/>
      </c>
      <c r="E25">
        <f>'Kermeli Data'!S29</f>
        <v/>
      </c>
      <c r="F25">
        <f>IF(AND(D25=0,E25=0),"none",IF(D25&gt;=E25,"fuel","elec"))</f>
        <v/>
      </c>
      <c r="G25">
        <f>IF(C25="1 unit","unit files",IF(C25="2 whr",IF(F25="fuel","fuel-whr",IF(F25="elec","elec-whr","whr (no energy)")),IF(C25="3 proc",IF(F25="fuel","fuel-process",IF(F25="elec","elec-process","process (no energy)")),"excluded")))</f>
        <v/>
      </c>
      <c r="H25">
        <f>IF(AND(D25&gt;0,E25&gt;0),"MIXED — energy also on "&amp;IF(F25="fuel","elec","fuel")&amp;" curve","")</f>
        <v/>
      </c>
      <c r="I25">
        <f>'Kermeli Data'!Q29</f>
        <v/>
      </c>
    </row>
    <row r="26">
      <c r="A26">
        <f>'Kermeli Data'!A30</f>
        <v/>
      </c>
      <c r="B26">
        <f>'Kermeli Data'!B30</f>
        <v/>
      </c>
      <c r="C26">
        <f>'Kermeli Data'!P30</f>
        <v/>
      </c>
      <c r="D26">
        <f>'Kermeli Data'!R30</f>
        <v/>
      </c>
      <c r="E26">
        <f>'Kermeli Data'!S30</f>
        <v/>
      </c>
      <c r="F26">
        <f>IF(AND(D26=0,E26=0),"none",IF(D26&gt;=E26,"fuel","elec"))</f>
        <v/>
      </c>
      <c r="G26">
        <f>IF(C26="1 unit","unit files",IF(C26="2 whr",IF(F26="fuel","fuel-whr",IF(F26="elec","elec-whr","whr (no energy)")),IF(C26="3 proc",IF(F26="fuel","fuel-process",IF(F26="elec","elec-process","process (no energy)")),"excluded")))</f>
        <v/>
      </c>
      <c r="H26">
        <f>IF(AND(D26&gt;0,E26&gt;0),"MIXED — energy also on "&amp;IF(F26="fuel","elec","fuel")&amp;" curve","")</f>
        <v/>
      </c>
      <c r="I26">
        <f>'Kermeli Data'!Q30</f>
        <v/>
      </c>
    </row>
    <row r="27">
      <c r="A27">
        <f>'Kermeli Data'!A31</f>
        <v/>
      </c>
      <c r="B27">
        <f>'Kermeli Data'!B31</f>
        <v/>
      </c>
      <c r="C27">
        <f>'Kermeli Data'!P31</f>
        <v/>
      </c>
      <c r="D27">
        <f>'Kermeli Data'!R31</f>
        <v/>
      </c>
      <c r="E27">
        <f>'Kermeli Data'!S31</f>
        <v/>
      </c>
      <c r="F27">
        <f>IF(AND(D27=0,E27=0),"none",IF(D27&gt;=E27,"fuel","elec"))</f>
        <v/>
      </c>
      <c r="G27">
        <f>IF(C27="1 unit","unit files",IF(C27="2 whr",IF(F27="fuel","fuel-whr",IF(F27="elec","elec-whr","whr (no energy)")),IF(C27="3 proc",IF(F27="fuel","fuel-process",IF(F27="elec","elec-process","process (no energy)")),"excluded")))</f>
        <v/>
      </c>
      <c r="H27">
        <f>IF(AND(D27&gt;0,E27&gt;0),"MIXED — energy also on "&amp;IF(F27="fuel","elec","fuel")&amp;" curve","")</f>
        <v/>
      </c>
      <c r="I27">
        <f>'Kermeli Data'!Q31</f>
        <v/>
      </c>
    </row>
    <row r="28">
      <c r="A28">
        <f>'Kermeli Data'!A32</f>
        <v/>
      </c>
      <c r="B28">
        <f>'Kermeli Data'!B32</f>
        <v/>
      </c>
      <c r="C28">
        <f>'Kermeli Data'!P32</f>
        <v/>
      </c>
      <c r="D28">
        <f>'Kermeli Data'!R32</f>
        <v/>
      </c>
      <c r="E28">
        <f>'Kermeli Data'!S32</f>
        <v/>
      </c>
      <c r="F28">
        <f>IF(AND(D28=0,E28=0),"none",IF(D28&gt;=E28,"fuel","elec"))</f>
        <v/>
      </c>
      <c r="G28">
        <f>IF(C28="1 unit","unit files",IF(C28="2 whr",IF(F28="fuel","fuel-whr",IF(F28="elec","elec-whr","whr (no energy)")),IF(C28="3 proc",IF(F28="fuel","fuel-process",IF(F28="elec","elec-process","process (no energy)")),"excluded")))</f>
        <v/>
      </c>
      <c r="H28">
        <f>IF(AND(D28&gt;0,E28&gt;0),"MIXED — energy also on "&amp;IF(F28="fuel","elec","fuel")&amp;" curve","")</f>
        <v/>
      </c>
      <c r="I28">
        <f>'Kermeli Data'!Q32</f>
        <v/>
      </c>
    </row>
    <row r="29">
      <c r="A29">
        <f>'Kermeli Data'!A33</f>
        <v/>
      </c>
      <c r="B29">
        <f>'Kermeli Data'!B33</f>
        <v/>
      </c>
      <c r="C29">
        <f>'Kermeli Data'!P33</f>
        <v/>
      </c>
      <c r="D29">
        <f>'Kermeli Data'!R33</f>
        <v/>
      </c>
      <c r="E29">
        <f>'Kermeli Data'!S33</f>
        <v/>
      </c>
      <c r="F29">
        <f>IF(AND(D29=0,E29=0),"none",IF(D29&gt;=E29,"fuel","elec"))</f>
        <v/>
      </c>
      <c r="G29">
        <f>IF(C29="1 unit","unit files",IF(C29="2 whr",IF(F29="fuel","fuel-whr",IF(F29="elec","elec-whr","whr (no energy)")),IF(C29="3 proc",IF(F29="fuel","fuel-process",IF(F29="elec","elec-process","process (no energy)")),"excluded")))</f>
        <v/>
      </c>
      <c r="H29">
        <f>IF(AND(D29&gt;0,E29&gt;0),"MIXED — energy also on "&amp;IF(F29="fuel","elec","fuel")&amp;" curve","")</f>
        <v/>
      </c>
      <c r="I29">
        <f>'Kermeli Data'!Q33</f>
        <v/>
      </c>
    </row>
    <row r="30">
      <c r="A30">
        <f>'Kermeli Data'!A34</f>
        <v/>
      </c>
      <c r="B30">
        <f>'Kermeli Data'!B34</f>
        <v/>
      </c>
      <c r="C30">
        <f>'Kermeli Data'!P34</f>
        <v/>
      </c>
      <c r="D30">
        <f>'Kermeli Data'!R34</f>
        <v/>
      </c>
      <c r="E30">
        <f>'Kermeli Data'!S34</f>
        <v/>
      </c>
      <c r="F30">
        <f>IF(AND(D30=0,E30=0),"none",IF(D30&gt;=E30,"fuel","elec"))</f>
        <v/>
      </c>
      <c r="G30">
        <f>IF(C30="1 unit","unit files",IF(C30="2 whr",IF(F30="fuel","fuel-whr",IF(F30="elec","elec-whr","whr (no energy)")),IF(C30="3 proc",IF(F30="fuel","fuel-process",IF(F30="elec","elec-process","process (no energy)")),"excluded")))</f>
        <v/>
      </c>
      <c r="H30">
        <f>IF(AND(D30&gt;0,E30&gt;0),"MIXED — energy also on "&amp;IF(F30="fuel","elec","fuel")&amp;" curve","")</f>
        <v/>
      </c>
      <c r="I30">
        <f>'Kermeli Data'!Q34</f>
        <v/>
      </c>
    </row>
    <row r="31">
      <c r="A31">
        <f>'Kermeli Data'!A35</f>
        <v/>
      </c>
      <c r="B31">
        <f>'Kermeli Data'!B35</f>
        <v/>
      </c>
      <c r="C31">
        <f>'Kermeli Data'!P35</f>
        <v/>
      </c>
      <c r="D31">
        <f>'Kermeli Data'!R35</f>
        <v/>
      </c>
      <c r="E31">
        <f>'Kermeli Data'!S35</f>
        <v/>
      </c>
      <c r="F31">
        <f>IF(AND(D31=0,E31=0),"none",IF(D31&gt;=E31,"fuel","elec"))</f>
        <v/>
      </c>
      <c r="G31">
        <f>IF(C31="1 unit","unit files",IF(C31="2 whr",IF(F31="fuel","fuel-whr",IF(F31="elec","elec-whr","whr (no energy)")),IF(C31="3 proc",IF(F31="fuel","fuel-process",IF(F31="elec","elec-process","process (no energy)")),"excluded")))</f>
        <v/>
      </c>
      <c r="H31">
        <f>IF(AND(D31&gt;0,E31&gt;0),"MIXED — energy also on "&amp;IF(F31="fuel","elec","fuel")&amp;" curve","")</f>
        <v/>
      </c>
      <c r="I31">
        <f>'Kermeli Data'!Q35</f>
        <v/>
      </c>
    </row>
    <row r="32">
      <c r="A32">
        <f>'Kermeli Data'!A36</f>
        <v/>
      </c>
      <c r="B32">
        <f>'Kermeli Data'!B36</f>
        <v/>
      </c>
      <c r="C32">
        <f>'Kermeli Data'!P36</f>
        <v/>
      </c>
      <c r="D32">
        <f>'Kermeli Data'!R36</f>
        <v/>
      </c>
      <c r="E32">
        <f>'Kermeli Data'!S36</f>
        <v/>
      </c>
      <c r="F32">
        <f>IF(AND(D32=0,E32=0),"none",IF(D32&gt;=E32,"fuel","elec"))</f>
        <v/>
      </c>
      <c r="G32">
        <f>IF(C32="1 unit","unit files",IF(C32="2 whr",IF(F32="fuel","fuel-whr",IF(F32="elec","elec-whr","whr (no energy)")),IF(C32="3 proc",IF(F32="fuel","fuel-process",IF(F32="elec","elec-process","process (no energy)")),"excluded")))</f>
        <v/>
      </c>
      <c r="H32">
        <f>IF(AND(D32&gt;0,E32&gt;0),"MIXED — energy also on "&amp;IF(F32="fuel","elec","fuel")&amp;" curve","")</f>
        <v/>
      </c>
      <c r="I32">
        <f>'Kermeli Data'!Q36</f>
        <v/>
      </c>
    </row>
    <row r="33">
      <c r="A33">
        <f>'Kermeli Data'!A37</f>
        <v/>
      </c>
      <c r="B33">
        <f>'Kermeli Data'!B37</f>
        <v/>
      </c>
      <c r="C33">
        <f>'Kermeli Data'!P37</f>
        <v/>
      </c>
      <c r="D33">
        <f>'Kermeli Data'!R37</f>
        <v/>
      </c>
      <c r="E33">
        <f>'Kermeli Data'!S37</f>
        <v/>
      </c>
      <c r="F33">
        <f>IF(AND(D33=0,E33=0),"none",IF(D33&gt;=E33,"fuel","elec"))</f>
        <v/>
      </c>
      <c r="G33">
        <f>IF(C33="1 unit","unit files",IF(C33="2 whr",IF(F33="fuel","fuel-whr",IF(F33="elec","elec-whr","whr (no energy)")),IF(C33="3 proc",IF(F33="fuel","fuel-process",IF(F33="elec","elec-process","process (no energy)")),"excluded")))</f>
        <v/>
      </c>
      <c r="H33">
        <f>IF(AND(D33&gt;0,E33&gt;0),"MIXED — energy also on "&amp;IF(F33="fuel","elec","fuel")&amp;" curve","")</f>
        <v/>
      </c>
      <c r="I33">
        <f>'Kermeli Data'!Q37</f>
        <v/>
      </c>
    </row>
    <row r="34">
      <c r="A34">
        <f>'Kermeli Data'!A38</f>
        <v/>
      </c>
      <c r="B34">
        <f>'Kermeli Data'!B38</f>
        <v/>
      </c>
      <c r="C34">
        <f>'Kermeli Data'!P38</f>
        <v/>
      </c>
      <c r="D34">
        <f>'Kermeli Data'!R38</f>
        <v/>
      </c>
      <c r="E34">
        <f>'Kermeli Data'!S38</f>
        <v/>
      </c>
      <c r="F34">
        <f>IF(AND(D34=0,E34=0),"none",IF(D34&gt;=E34,"fuel","elec"))</f>
        <v/>
      </c>
      <c r="G34">
        <f>IF(C34="1 unit","unit files",IF(C34="2 whr",IF(F34="fuel","fuel-whr",IF(F34="elec","elec-whr","whr (no energy)")),IF(C34="3 proc",IF(F34="fuel","fuel-process",IF(F34="elec","elec-process","process (no energy)")),"excluded")))</f>
        <v/>
      </c>
      <c r="H34">
        <f>IF(AND(D34&gt;0,E34&gt;0),"MIXED — energy also on "&amp;IF(F34="fuel","elec","fuel")&amp;" curve","")</f>
        <v/>
      </c>
      <c r="I34">
        <f>'Kermeli Data'!Q38</f>
        <v/>
      </c>
    </row>
    <row r="35">
      <c r="A35">
        <f>'Kermeli Data'!A39</f>
        <v/>
      </c>
      <c r="B35">
        <f>'Kermeli Data'!B39</f>
        <v/>
      </c>
      <c r="C35">
        <f>'Kermeli Data'!P39</f>
        <v/>
      </c>
      <c r="D35">
        <f>'Kermeli Data'!R39</f>
        <v/>
      </c>
      <c r="E35">
        <f>'Kermeli Data'!S39</f>
        <v/>
      </c>
      <c r="F35">
        <f>IF(AND(D35=0,E35=0),"none",IF(D35&gt;=E35,"fuel","elec"))</f>
        <v/>
      </c>
      <c r="G35">
        <f>IF(C35="1 unit","unit files",IF(C35="2 whr",IF(F35="fuel","fuel-whr",IF(F35="elec","elec-whr","whr (no energy)")),IF(C35="3 proc",IF(F35="fuel","fuel-process",IF(F35="elec","elec-process","process (no energy)")),"excluded")))</f>
        <v/>
      </c>
      <c r="H35">
        <f>IF(AND(D35&gt;0,E35&gt;0),"MIXED — energy also on "&amp;IF(F35="fuel","elec","fuel")&amp;" curve","")</f>
        <v/>
      </c>
      <c r="I35">
        <f>'Kermeli Data'!Q39</f>
        <v/>
      </c>
    </row>
    <row r="36">
      <c r="A36">
        <f>'Kermeli Data'!A40</f>
        <v/>
      </c>
      <c r="B36">
        <f>'Kermeli Data'!B40</f>
        <v/>
      </c>
      <c r="C36">
        <f>'Kermeli Data'!P40</f>
        <v/>
      </c>
      <c r="D36">
        <f>'Kermeli Data'!R40</f>
        <v/>
      </c>
      <c r="E36">
        <f>'Kermeli Data'!S40</f>
        <v/>
      </c>
      <c r="F36">
        <f>IF(AND(D36=0,E36=0),"none",IF(D36&gt;=E36,"fuel","elec"))</f>
        <v/>
      </c>
      <c r="G36">
        <f>IF(C36="1 unit","unit files",IF(C36="2 whr",IF(F36="fuel","fuel-whr",IF(F36="elec","elec-whr","whr (no energy)")),IF(C36="3 proc",IF(F36="fuel","fuel-process",IF(F36="elec","elec-process","process (no energy)")),"excluded")))</f>
        <v/>
      </c>
      <c r="H36">
        <f>IF(AND(D36&gt;0,E36&gt;0),"MIXED — energy also on "&amp;IF(F36="fuel","elec","fuel")&amp;" curve","")</f>
        <v/>
      </c>
      <c r="I36">
        <f>'Kermeli Data'!Q40</f>
        <v/>
      </c>
    </row>
    <row r="37">
      <c r="A37">
        <f>'Kermeli Data'!A41</f>
        <v/>
      </c>
      <c r="B37">
        <f>'Kermeli Data'!B41</f>
        <v/>
      </c>
      <c r="C37">
        <f>'Kermeli Data'!P41</f>
        <v/>
      </c>
      <c r="D37">
        <f>'Kermeli Data'!R41</f>
        <v/>
      </c>
      <c r="E37">
        <f>'Kermeli Data'!S41</f>
        <v/>
      </c>
      <c r="F37">
        <f>IF(AND(D37=0,E37=0),"none",IF(D37&gt;=E37,"fuel","elec"))</f>
        <v/>
      </c>
      <c r="G37">
        <f>IF(C37="1 unit","unit files",IF(C37="2 whr",IF(F37="fuel","fuel-whr",IF(F37="elec","elec-whr","whr (no energy)")),IF(C37="3 proc",IF(F37="fuel","fuel-process",IF(F37="elec","elec-process","process (no energy)")),"excluded")))</f>
        <v/>
      </c>
      <c r="H37">
        <f>IF(AND(D37&gt;0,E37&gt;0),"MIXED — energy also on "&amp;IF(F37="fuel","elec","fuel")&amp;" curve","")</f>
        <v/>
      </c>
      <c r="I37">
        <f>'Kermeli Data'!Q41</f>
        <v/>
      </c>
    </row>
    <row r="38">
      <c r="A38">
        <f>'Kermeli Data'!A42</f>
        <v/>
      </c>
      <c r="B38">
        <f>'Kermeli Data'!B42</f>
        <v/>
      </c>
      <c r="C38">
        <f>'Kermeli Data'!P42</f>
        <v/>
      </c>
      <c r="D38">
        <f>'Kermeli Data'!R42</f>
        <v/>
      </c>
      <c r="E38">
        <f>'Kermeli Data'!S42</f>
        <v/>
      </c>
      <c r="F38">
        <f>IF(AND(D38=0,E38=0),"none",IF(D38&gt;=E38,"fuel","elec"))</f>
        <v/>
      </c>
      <c r="G38">
        <f>IF(C38="1 unit","unit files",IF(C38="2 whr",IF(F38="fuel","fuel-whr",IF(F38="elec","elec-whr","whr (no energy)")),IF(C38="3 proc",IF(F38="fuel","fuel-process",IF(F38="elec","elec-process","process (no energy)")),"excluded")))</f>
        <v/>
      </c>
      <c r="H38">
        <f>IF(AND(D38&gt;0,E38&gt;0),"MIXED — energy also on "&amp;IF(F38="fuel","elec","fuel")&amp;" curve","")</f>
        <v/>
      </c>
      <c r="I38">
        <f>'Kermeli Data'!Q42</f>
        <v/>
      </c>
    </row>
    <row r="39">
      <c r="A39">
        <f>'Kermeli Data'!A43</f>
        <v/>
      </c>
      <c r="B39">
        <f>'Kermeli Data'!B43</f>
        <v/>
      </c>
      <c r="C39">
        <f>'Kermeli Data'!P43</f>
        <v/>
      </c>
      <c r="D39">
        <f>'Kermeli Data'!R43</f>
        <v/>
      </c>
      <c r="E39">
        <f>'Kermeli Data'!S43</f>
        <v/>
      </c>
      <c r="F39">
        <f>IF(AND(D39=0,E39=0),"none",IF(D39&gt;=E39,"fuel","elec"))</f>
        <v/>
      </c>
      <c r="G39">
        <f>IF(C39="1 unit","unit files",IF(C39="2 whr",IF(F39="fuel","fuel-whr",IF(F39="elec","elec-whr","whr (no energy)")),IF(C39="3 proc",IF(F39="fuel","fuel-process",IF(F39="elec","elec-process","process (no energy)")),"excluded")))</f>
        <v/>
      </c>
      <c r="H39">
        <f>IF(AND(D39&gt;0,E39&gt;0),"MIXED — energy also on "&amp;IF(F39="fuel","elec","fuel")&amp;" curve","")</f>
        <v/>
      </c>
      <c r="I39">
        <f>'Kermeli Data'!Q43</f>
        <v/>
      </c>
    </row>
    <row r="40">
      <c r="A40">
        <f>'Kermeli Data'!A44</f>
        <v/>
      </c>
      <c r="B40">
        <f>'Kermeli Data'!B44</f>
        <v/>
      </c>
      <c r="C40">
        <f>'Kermeli Data'!P44</f>
        <v/>
      </c>
      <c r="D40">
        <f>'Kermeli Data'!R44</f>
        <v/>
      </c>
      <c r="E40">
        <f>'Kermeli Data'!S44</f>
        <v/>
      </c>
      <c r="F40">
        <f>IF(AND(D40=0,E40=0),"none",IF(D40&gt;=E40,"fuel","elec"))</f>
        <v/>
      </c>
      <c r="G40">
        <f>IF(C40="1 unit","unit files",IF(C40="2 whr",IF(F40="fuel","fuel-whr",IF(F40="elec","elec-whr","whr (no energy)")),IF(C40="3 proc",IF(F40="fuel","fuel-process",IF(F40="elec","elec-process","process (no energy)")),"excluded")))</f>
        <v/>
      </c>
      <c r="H40">
        <f>IF(AND(D40&gt;0,E40&gt;0),"MIXED — energy also on "&amp;IF(F40="fuel","elec","fuel")&amp;" curve","")</f>
        <v/>
      </c>
      <c r="I40">
        <f>'Kermeli Data'!Q44</f>
        <v/>
      </c>
    </row>
    <row r="41">
      <c r="A41">
        <f>'Kermeli Data'!A45</f>
        <v/>
      </c>
      <c r="B41">
        <f>'Kermeli Data'!B45</f>
        <v/>
      </c>
      <c r="C41">
        <f>'Kermeli Data'!P45</f>
        <v/>
      </c>
      <c r="D41">
        <f>'Kermeli Data'!R45</f>
        <v/>
      </c>
      <c r="E41">
        <f>'Kermeli Data'!S45</f>
        <v/>
      </c>
      <c r="F41">
        <f>IF(AND(D41=0,E41=0),"none",IF(D41&gt;=E41,"fuel","elec"))</f>
        <v/>
      </c>
      <c r="G41">
        <f>IF(C41="1 unit","unit files",IF(C41="2 whr",IF(F41="fuel","fuel-whr",IF(F41="elec","elec-whr","whr (no energy)")),IF(C41="3 proc",IF(F41="fuel","fuel-process",IF(F41="elec","elec-process","process (no energy)")),"excluded")))</f>
        <v/>
      </c>
      <c r="H41">
        <f>IF(AND(D41&gt;0,E41&gt;0),"MIXED — energy also on "&amp;IF(F41="fuel","elec","fuel")&amp;" curve","")</f>
        <v/>
      </c>
      <c r="I41">
        <f>'Kermeli Data'!Q45</f>
        <v/>
      </c>
    </row>
    <row r="42">
      <c r="A42">
        <f>'Kermeli Data'!A46</f>
        <v/>
      </c>
      <c r="B42">
        <f>'Kermeli Data'!B46</f>
        <v/>
      </c>
      <c r="C42">
        <f>'Kermeli Data'!P46</f>
        <v/>
      </c>
      <c r="D42">
        <f>'Kermeli Data'!R46</f>
        <v/>
      </c>
      <c r="E42">
        <f>'Kermeli Data'!S46</f>
        <v/>
      </c>
      <c r="F42">
        <f>IF(AND(D42=0,E42=0),"none",IF(D42&gt;=E42,"fuel","elec"))</f>
        <v/>
      </c>
      <c r="G42">
        <f>IF(C42="1 unit","unit files",IF(C42="2 whr",IF(F42="fuel","fuel-whr",IF(F42="elec","elec-whr","whr (no energy)")),IF(C42="3 proc",IF(F42="fuel","fuel-process",IF(F42="elec","elec-process","process (no energy)")),"excluded")))</f>
        <v/>
      </c>
      <c r="H42">
        <f>IF(AND(D42&gt;0,E42&gt;0),"MIXED — energy also on "&amp;IF(F42="fuel","elec","fuel")&amp;" curve","")</f>
        <v/>
      </c>
      <c r="I42">
        <f>'Kermeli Data'!Q46</f>
        <v/>
      </c>
    </row>
    <row r="43">
      <c r="A43">
        <f>'Kermeli Data'!A47</f>
        <v/>
      </c>
      <c r="B43">
        <f>'Kermeli Data'!B47</f>
        <v/>
      </c>
      <c r="C43">
        <f>'Kermeli Data'!P47</f>
        <v/>
      </c>
      <c r="D43">
        <f>'Kermeli Data'!R47</f>
        <v/>
      </c>
      <c r="E43">
        <f>'Kermeli Data'!S47</f>
        <v/>
      </c>
      <c r="F43">
        <f>IF(AND(D43=0,E43=0),"none",IF(D43&gt;=E43,"fuel","elec"))</f>
        <v/>
      </c>
      <c r="G43">
        <f>IF(C43="1 unit","unit files",IF(C43="2 whr",IF(F43="fuel","fuel-whr",IF(F43="elec","elec-whr","whr (no energy)")),IF(C43="3 proc",IF(F43="fuel","fuel-process",IF(F43="elec","elec-process","process (no energy)")),"excluded")))</f>
        <v/>
      </c>
      <c r="H43">
        <f>IF(AND(D43&gt;0,E43&gt;0),"MIXED — energy also on "&amp;IF(F43="fuel","elec","fuel")&amp;" curve","")</f>
        <v/>
      </c>
      <c r="I43">
        <f>'Kermeli Data'!Q47</f>
        <v/>
      </c>
    </row>
    <row r="44">
      <c r="A44">
        <f>'Kermeli Data'!A48</f>
        <v/>
      </c>
      <c r="B44">
        <f>'Kermeli Data'!B48</f>
        <v/>
      </c>
      <c r="C44">
        <f>'Kermeli Data'!P48</f>
        <v/>
      </c>
      <c r="D44">
        <f>'Kermeli Data'!R48</f>
        <v/>
      </c>
      <c r="E44">
        <f>'Kermeli Data'!S48</f>
        <v/>
      </c>
      <c r="F44">
        <f>IF(AND(D44=0,E44=0),"none",IF(D44&gt;=E44,"fuel","elec"))</f>
        <v/>
      </c>
      <c r="G44">
        <f>IF(C44="1 unit","unit files",IF(C44="2 whr",IF(F44="fuel","fuel-whr",IF(F44="elec","elec-whr","whr (no energy)")),IF(C44="3 proc",IF(F44="fuel","fuel-process",IF(F44="elec","elec-process","process (no energy)")),"excluded")))</f>
        <v/>
      </c>
      <c r="H44">
        <f>IF(AND(D44&gt;0,E44&gt;0),"MIXED — energy also on "&amp;IF(F44="fuel","elec","fuel")&amp;" curve","")</f>
        <v/>
      </c>
      <c r="I44">
        <f>'Kermeli Data'!Q48</f>
        <v/>
      </c>
    </row>
    <row r="45">
      <c r="A45">
        <f>'Kermeli Data'!A49</f>
        <v/>
      </c>
      <c r="B45">
        <f>'Kermeli Data'!B49</f>
        <v/>
      </c>
      <c r="C45">
        <f>'Kermeli Data'!P49</f>
        <v/>
      </c>
      <c r="D45">
        <f>'Kermeli Data'!R49</f>
        <v/>
      </c>
      <c r="E45">
        <f>'Kermeli Data'!S49</f>
        <v/>
      </c>
      <c r="F45">
        <f>IF(AND(D45=0,E45=0),"none",IF(D45&gt;=E45,"fuel","elec"))</f>
        <v/>
      </c>
      <c r="G45">
        <f>IF(C45="1 unit","unit files",IF(C45="2 whr",IF(F45="fuel","fuel-whr",IF(F45="elec","elec-whr","whr (no energy)")),IF(C45="3 proc",IF(F45="fuel","fuel-process",IF(F45="elec","elec-process","process (no energy)")),"excluded")))</f>
        <v/>
      </c>
      <c r="H45">
        <f>IF(AND(D45&gt;0,E45&gt;0),"MIXED — energy also on "&amp;IF(F45="fuel","elec","fuel")&amp;" curve","")</f>
        <v/>
      </c>
      <c r="I45">
        <f>'Kermeli Data'!Q49</f>
        <v/>
      </c>
    </row>
    <row r="46">
      <c r="A46">
        <f>'Kermeli Data'!A50</f>
        <v/>
      </c>
      <c r="B46">
        <f>'Kermeli Data'!B50</f>
        <v/>
      </c>
      <c r="C46">
        <f>'Kermeli Data'!P50</f>
        <v/>
      </c>
      <c r="D46">
        <f>'Kermeli Data'!R50</f>
        <v/>
      </c>
      <c r="E46">
        <f>'Kermeli Data'!S50</f>
        <v/>
      </c>
      <c r="F46">
        <f>IF(AND(D46=0,E46=0),"none",IF(D46&gt;=E46,"fuel","elec"))</f>
        <v/>
      </c>
      <c r="G46">
        <f>IF(C46="1 unit","unit files",IF(C46="2 whr",IF(F46="fuel","fuel-whr",IF(F46="elec","elec-whr","whr (no energy)")),IF(C46="3 proc",IF(F46="fuel","fuel-process",IF(F46="elec","elec-process","process (no energy)")),"excluded")))</f>
        <v/>
      </c>
      <c r="H46">
        <f>IF(AND(D46&gt;0,E46&gt;0),"MIXED — energy also on "&amp;IF(F46="fuel","elec","fuel")&amp;" curve","")</f>
        <v/>
      </c>
      <c r="I46">
        <f>'Kermeli Data'!Q50</f>
        <v/>
      </c>
    </row>
    <row r="47">
      <c r="A47">
        <f>'Kermeli Data'!A51</f>
        <v/>
      </c>
      <c r="B47">
        <f>'Kermeli Data'!B51</f>
        <v/>
      </c>
      <c r="C47">
        <f>'Kermeli Data'!P51</f>
        <v/>
      </c>
      <c r="D47">
        <f>'Kermeli Data'!R51</f>
        <v/>
      </c>
      <c r="E47">
        <f>'Kermeli Data'!S51</f>
        <v/>
      </c>
      <c r="F47">
        <f>IF(AND(D47=0,E47=0),"none",IF(D47&gt;=E47,"fuel","elec"))</f>
        <v/>
      </c>
      <c r="G47">
        <f>IF(C47="1 unit","unit files",IF(C47="2 whr",IF(F47="fuel","fuel-whr",IF(F47="elec","elec-whr","whr (no energy)")),IF(C47="3 proc",IF(F47="fuel","fuel-process",IF(F47="elec","elec-process","process (no energy)")),"excluded")))</f>
        <v/>
      </c>
      <c r="H47">
        <f>IF(AND(D47&gt;0,E47&gt;0),"MIXED — energy also on "&amp;IF(F47="fuel","elec","fuel")&amp;" curve","")</f>
        <v/>
      </c>
      <c r="I47">
        <f>'Kermeli Data'!Q51</f>
        <v/>
      </c>
    </row>
    <row r="48">
      <c r="A48">
        <f>'Kermeli Data'!A52</f>
        <v/>
      </c>
      <c r="B48">
        <f>'Kermeli Data'!B52</f>
        <v/>
      </c>
      <c r="C48">
        <f>'Kermeli Data'!P52</f>
        <v/>
      </c>
      <c r="D48">
        <f>'Kermeli Data'!R52</f>
        <v/>
      </c>
      <c r="E48">
        <f>'Kermeli Data'!S52</f>
        <v/>
      </c>
      <c r="F48">
        <f>IF(AND(D48=0,E48=0),"none",IF(D48&gt;=E48,"fuel","elec"))</f>
        <v/>
      </c>
      <c r="G48">
        <f>IF(C48="1 unit","unit files",IF(C48="2 whr",IF(F48="fuel","fuel-whr",IF(F48="elec","elec-whr","whr (no energy)")),IF(C48="3 proc",IF(F48="fuel","fuel-process",IF(F48="elec","elec-process","process (no energy)")),"excluded")))</f>
        <v/>
      </c>
      <c r="H48">
        <f>IF(AND(D48&gt;0,E48&gt;0),"MIXED — energy also on "&amp;IF(F48="fuel","elec","fuel")&amp;" curve","")</f>
        <v/>
      </c>
      <c r="I48">
        <f>'Kermeli Data'!Q52</f>
        <v/>
      </c>
    </row>
    <row r="49">
      <c r="A49">
        <f>'Kermeli Data'!A53</f>
        <v/>
      </c>
      <c r="B49">
        <f>'Kermeli Data'!B53</f>
        <v/>
      </c>
      <c r="C49">
        <f>'Kermeli Data'!P53</f>
        <v/>
      </c>
      <c r="D49">
        <f>'Kermeli Data'!R53</f>
        <v/>
      </c>
      <c r="E49">
        <f>'Kermeli Data'!S53</f>
        <v/>
      </c>
      <c r="F49">
        <f>IF(AND(D49=0,E49=0),"none",IF(D49&gt;=E49,"fuel","elec"))</f>
        <v/>
      </c>
      <c r="G49">
        <f>IF(C49="1 unit","unit files",IF(C49="2 whr",IF(F49="fuel","fuel-whr",IF(F49="elec","elec-whr","whr (no energy)")),IF(C49="3 proc",IF(F49="fuel","fuel-process",IF(F49="elec","elec-process","process (no energy)")),"excluded")))</f>
        <v/>
      </c>
      <c r="H49">
        <f>IF(AND(D49&gt;0,E49&gt;0),"MIXED — energy also on "&amp;IF(F49="fuel","elec","fuel")&amp;" curve","")</f>
        <v/>
      </c>
      <c r="I49">
        <f>'Kermeli Data'!Q53</f>
        <v/>
      </c>
    </row>
    <row r="50">
      <c r="A50">
        <f>'Kermeli Data'!A54</f>
        <v/>
      </c>
      <c r="B50">
        <f>'Kermeli Data'!B54</f>
        <v/>
      </c>
      <c r="C50">
        <f>'Kermeli Data'!P54</f>
        <v/>
      </c>
      <c r="D50">
        <f>'Kermeli Data'!R54</f>
        <v/>
      </c>
      <c r="E50">
        <f>'Kermeli Data'!S54</f>
        <v/>
      </c>
      <c r="F50">
        <f>IF(AND(D50=0,E50=0),"none",IF(D50&gt;=E50,"fuel","elec"))</f>
        <v/>
      </c>
      <c r="G50">
        <f>IF(C50="1 unit","unit files",IF(C50="2 whr",IF(F50="fuel","fuel-whr",IF(F50="elec","elec-whr","whr (no energy)")),IF(C50="3 proc",IF(F50="fuel","fuel-process",IF(F50="elec","elec-process","process (no energy)")),"excluded")))</f>
        <v/>
      </c>
      <c r="H50">
        <f>IF(AND(D50&gt;0,E50&gt;0),"MIXED — energy also on "&amp;IF(F50="fuel","elec","fuel")&amp;" curve","")</f>
        <v/>
      </c>
      <c r="I50">
        <f>'Kermeli Data'!Q54</f>
        <v/>
      </c>
    </row>
    <row r="51">
      <c r="A51">
        <f>'Kermeli Data'!A55</f>
        <v/>
      </c>
      <c r="B51">
        <f>'Kermeli Data'!B55</f>
        <v/>
      </c>
      <c r="C51">
        <f>'Kermeli Data'!P55</f>
        <v/>
      </c>
      <c r="D51">
        <f>'Kermeli Data'!R55</f>
        <v/>
      </c>
      <c r="E51">
        <f>'Kermeli Data'!S55</f>
        <v/>
      </c>
      <c r="F51">
        <f>IF(AND(D51=0,E51=0),"none",IF(D51&gt;=E51,"fuel","elec"))</f>
        <v/>
      </c>
      <c r="G51">
        <f>IF(C51="1 unit","unit files",IF(C51="2 whr",IF(F51="fuel","fuel-whr",IF(F51="elec","elec-whr","whr (no energy)")),IF(C51="3 proc",IF(F51="fuel","fuel-process",IF(F51="elec","elec-process","process (no energy)")),"excluded")))</f>
        <v/>
      </c>
      <c r="H51">
        <f>IF(AND(D51&gt;0,E51&gt;0),"MIXED — energy also on "&amp;IF(F51="fuel","elec","fuel")&amp;" curve","")</f>
        <v/>
      </c>
      <c r="I51">
        <f>'Kermeli Data'!Q55</f>
        <v/>
      </c>
    </row>
    <row r="52">
      <c r="A52">
        <f>'Kermeli Data'!A56</f>
        <v/>
      </c>
      <c r="B52">
        <f>'Kermeli Data'!B56</f>
        <v/>
      </c>
      <c r="C52">
        <f>'Kermeli Data'!P56</f>
        <v/>
      </c>
      <c r="D52">
        <f>'Kermeli Data'!R56</f>
        <v/>
      </c>
      <c r="E52">
        <f>'Kermeli Data'!S56</f>
        <v/>
      </c>
      <c r="F52">
        <f>IF(AND(D52=0,E52=0),"none",IF(D52&gt;=E52,"fuel","elec"))</f>
        <v/>
      </c>
      <c r="G52">
        <f>IF(C52="1 unit","unit files",IF(C52="2 whr",IF(F52="fuel","fuel-whr",IF(F52="elec","elec-whr","whr (no energy)")),IF(C52="3 proc",IF(F52="fuel","fuel-process",IF(F52="elec","elec-process","process (no energy)")),"excluded")))</f>
        <v/>
      </c>
      <c r="H52">
        <f>IF(AND(D52&gt;0,E52&gt;0),"MIXED — energy also on "&amp;IF(F52="fuel","elec","fuel")&amp;" curve","")</f>
        <v/>
      </c>
      <c r="I52">
        <f>'Kermeli Data'!Q56</f>
        <v/>
      </c>
    </row>
    <row r="53">
      <c r="A53">
        <f>'Kermeli Data'!A57</f>
        <v/>
      </c>
      <c r="B53">
        <f>'Kermeli Data'!B57</f>
        <v/>
      </c>
      <c r="C53">
        <f>'Kermeli Data'!P57</f>
        <v/>
      </c>
      <c r="D53">
        <f>'Kermeli Data'!R57</f>
        <v/>
      </c>
      <c r="E53">
        <f>'Kermeli Data'!S57</f>
        <v/>
      </c>
      <c r="F53">
        <f>IF(AND(D53=0,E53=0),"none",IF(D53&gt;=E53,"fuel","elec"))</f>
        <v/>
      </c>
      <c r="G53">
        <f>IF(C53="1 unit","unit files",IF(C53="2 whr",IF(F53="fuel","fuel-whr",IF(F53="elec","elec-whr","whr (no energy)")),IF(C53="3 proc",IF(F53="fuel","fuel-process",IF(F53="elec","elec-process","process (no energy)")),"excluded")))</f>
        <v/>
      </c>
      <c r="H53">
        <f>IF(AND(D53&gt;0,E53&gt;0),"MIXED — energy also on "&amp;IF(F53="fuel","elec","fuel")&amp;" curve","")</f>
        <v/>
      </c>
      <c r="I53">
        <f>'Kermeli Data'!Q57</f>
        <v/>
      </c>
    </row>
    <row r="54">
      <c r="A54">
        <f>'Kermeli Data'!A58</f>
        <v/>
      </c>
      <c r="B54">
        <f>'Kermeli Data'!B58</f>
        <v/>
      </c>
      <c r="C54">
        <f>'Kermeli Data'!P58</f>
        <v/>
      </c>
      <c r="D54">
        <f>'Kermeli Data'!R58</f>
        <v/>
      </c>
      <c r="E54">
        <f>'Kermeli Data'!S58</f>
        <v/>
      </c>
      <c r="F54">
        <f>IF(AND(D54=0,E54=0),"none",IF(D54&gt;=E54,"fuel","elec"))</f>
        <v/>
      </c>
      <c r="G54">
        <f>IF(C54="1 unit","unit files",IF(C54="2 whr",IF(F54="fuel","fuel-whr",IF(F54="elec","elec-whr","whr (no energy)")),IF(C54="3 proc",IF(F54="fuel","fuel-process",IF(F54="elec","elec-process","process (no energy)")),"excluded")))</f>
        <v/>
      </c>
      <c r="H54">
        <f>IF(AND(D54&gt;0,E54&gt;0),"MIXED — energy also on "&amp;IF(F54="fuel","elec","fuel")&amp;" curve","")</f>
        <v/>
      </c>
      <c r="I54">
        <f>'Kermeli Data'!Q58</f>
        <v/>
      </c>
    </row>
    <row r="55">
      <c r="A55">
        <f>'Kermeli Data'!A59</f>
        <v/>
      </c>
      <c r="B55">
        <f>'Kermeli Data'!B59</f>
        <v/>
      </c>
      <c r="C55">
        <f>'Kermeli Data'!P59</f>
        <v/>
      </c>
      <c r="D55">
        <f>'Kermeli Data'!R59</f>
        <v/>
      </c>
      <c r="E55">
        <f>'Kermeli Data'!S59</f>
        <v/>
      </c>
      <c r="F55">
        <f>IF(AND(D55=0,E55=0),"none",IF(D55&gt;=E55,"fuel","elec"))</f>
        <v/>
      </c>
      <c r="G55">
        <f>IF(C55="1 unit","unit files",IF(C55="2 whr",IF(F55="fuel","fuel-whr",IF(F55="elec","elec-whr","whr (no energy)")),IF(C55="3 proc",IF(F55="fuel","fuel-process",IF(F55="elec","elec-process","process (no energy)")),"excluded")))</f>
        <v/>
      </c>
      <c r="H55">
        <f>IF(AND(D55&gt;0,E55&gt;0),"MIXED — energy also on "&amp;IF(F55="fuel","elec","fuel")&amp;" curve","")</f>
        <v/>
      </c>
      <c r="I55">
        <f>'Kermeli Data'!Q59</f>
        <v/>
      </c>
    </row>
    <row r="56">
      <c r="A56">
        <f>'Kermeli Data'!A60</f>
        <v/>
      </c>
      <c r="B56">
        <f>'Kermeli Data'!B60</f>
        <v/>
      </c>
      <c r="C56">
        <f>'Kermeli Data'!P60</f>
        <v/>
      </c>
      <c r="D56">
        <f>'Kermeli Data'!R60</f>
        <v/>
      </c>
      <c r="E56">
        <f>'Kermeli Data'!S60</f>
        <v/>
      </c>
      <c r="F56">
        <f>IF(AND(D56=0,E56=0),"none",IF(D56&gt;=E56,"fuel","elec"))</f>
        <v/>
      </c>
      <c r="G56">
        <f>IF(C56="1 unit","unit files",IF(C56="2 whr",IF(F56="fuel","fuel-whr",IF(F56="elec","elec-whr","whr (no energy)")),IF(C56="3 proc",IF(F56="fuel","fuel-process",IF(F56="elec","elec-process","process (no energy)")),"excluded")))</f>
        <v/>
      </c>
      <c r="H56">
        <f>IF(AND(D56&gt;0,E56&gt;0),"MIXED — energy also on "&amp;IF(F56="fuel","elec","fuel")&amp;" curve","")</f>
        <v/>
      </c>
      <c r="I56">
        <f>'Kermeli Data'!Q60</f>
        <v/>
      </c>
    </row>
    <row r="57">
      <c r="A57">
        <f>'Kermeli Data'!A61</f>
        <v/>
      </c>
      <c r="B57">
        <f>'Kermeli Data'!B61</f>
        <v/>
      </c>
      <c r="C57">
        <f>'Kermeli Data'!P61</f>
        <v/>
      </c>
      <c r="D57">
        <f>'Kermeli Data'!R61</f>
        <v/>
      </c>
      <c r="E57">
        <f>'Kermeli Data'!S61</f>
        <v/>
      </c>
      <c r="F57">
        <f>IF(AND(D57=0,E57=0),"none",IF(D57&gt;=E57,"fuel","elec"))</f>
        <v/>
      </c>
      <c r="G57">
        <f>IF(C57="1 unit","unit files",IF(C57="2 whr",IF(F57="fuel","fuel-whr",IF(F57="elec","elec-whr","whr (no energy)")),IF(C57="3 proc",IF(F57="fuel","fuel-process",IF(F57="elec","elec-process","process (no energy)")),"excluded")))</f>
        <v/>
      </c>
      <c r="H57">
        <f>IF(AND(D57&gt;0,E57&gt;0),"MIXED — energy also on "&amp;IF(F57="fuel","elec","fuel")&amp;" curve","")</f>
        <v/>
      </c>
      <c r="I57">
        <f>'Kermeli Data'!Q61</f>
        <v/>
      </c>
    </row>
    <row r="58">
      <c r="A58">
        <f>'Kermeli Data'!A62</f>
        <v/>
      </c>
      <c r="B58">
        <f>'Kermeli Data'!B62</f>
        <v/>
      </c>
      <c r="C58">
        <f>'Kermeli Data'!P62</f>
        <v/>
      </c>
      <c r="D58">
        <f>'Kermeli Data'!R62</f>
        <v/>
      </c>
      <c r="E58">
        <f>'Kermeli Data'!S62</f>
        <v/>
      </c>
      <c r="F58">
        <f>IF(AND(D58=0,E58=0),"none",IF(D58&gt;=E58,"fuel","elec"))</f>
        <v/>
      </c>
      <c r="G58">
        <f>IF(C58="1 unit","unit files",IF(C58="2 whr",IF(F58="fuel","fuel-whr",IF(F58="elec","elec-whr","whr (no energy)")),IF(C58="3 proc",IF(F58="fuel","fuel-process",IF(F58="elec","elec-process","process (no energy)")),"excluded")))</f>
        <v/>
      </c>
      <c r="H58">
        <f>IF(AND(D58&gt;0,E58&gt;0),"MIXED — energy also on "&amp;IF(F58="fuel","elec","fuel")&amp;" curve","")</f>
        <v/>
      </c>
      <c r="I58">
        <f>'Kermeli Data'!Q62</f>
        <v/>
      </c>
    </row>
    <row r="59">
      <c r="A59">
        <f>'Kermeli Data'!A63</f>
        <v/>
      </c>
      <c r="B59">
        <f>'Kermeli Data'!B63</f>
        <v/>
      </c>
      <c r="C59">
        <f>'Kermeli Data'!P63</f>
        <v/>
      </c>
      <c r="D59">
        <f>'Kermeli Data'!R63</f>
        <v/>
      </c>
      <c r="E59">
        <f>'Kermeli Data'!S63</f>
        <v/>
      </c>
      <c r="F59">
        <f>IF(AND(D59=0,E59=0),"none",IF(D59&gt;=E59,"fuel","elec"))</f>
        <v/>
      </c>
      <c r="G59">
        <f>IF(C59="1 unit","unit files",IF(C59="2 whr",IF(F59="fuel","fuel-whr",IF(F59="elec","elec-whr","whr (no energy)")),IF(C59="3 proc",IF(F59="fuel","fuel-process",IF(F59="elec","elec-process","process (no energy)")),"excluded")))</f>
        <v/>
      </c>
      <c r="H59">
        <f>IF(AND(D59&gt;0,E59&gt;0),"MIXED — energy also on "&amp;IF(F59="fuel","elec","fuel")&amp;" curve","")</f>
        <v/>
      </c>
      <c r="I59">
        <f>'Kermeli Data'!Q63</f>
        <v/>
      </c>
    </row>
    <row r="60">
      <c r="A60">
        <f>'Kermeli Data'!A64</f>
        <v/>
      </c>
      <c r="B60">
        <f>'Kermeli Data'!B64</f>
        <v/>
      </c>
      <c r="C60">
        <f>'Kermeli Data'!P64</f>
        <v/>
      </c>
      <c r="D60">
        <f>'Kermeli Data'!R64</f>
        <v/>
      </c>
      <c r="E60">
        <f>'Kermeli Data'!S64</f>
        <v/>
      </c>
      <c r="F60">
        <f>IF(AND(D60=0,E60=0),"none",IF(D60&gt;=E60,"fuel","elec"))</f>
        <v/>
      </c>
      <c r="G60">
        <f>IF(C60="1 unit","unit files",IF(C60="2 whr",IF(F60="fuel","fuel-whr",IF(F60="elec","elec-whr","whr (no energy)")),IF(C60="3 proc",IF(F60="fuel","fuel-process",IF(F60="elec","elec-process","process (no energy)")),"excluded")))</f>
        <v/>
      </c>
      <c r="H60">
        <f>IF(AND(D60&gt;0,E60&gt;0),"MIXED — energy also on "&amp;IF(F60="fuel","elec","fuel")&amp;" curve","")</f>
        <v/>
      </c>
      <c r="I60">
        <f>'Kermeli Data'!Q64</f>
        <v/>
      </c>
    </row>
    <row r="61">
      <c r="A61">
        <f>'Kermeli Data'!A65</f>
        <v/>
      </c>
      <c r="B61">
        <f>'Kermeli Data'!B65</f>
        <v/>
      </c>
      <c r="C61">
        <f>'Kermeli Data'!P65</f>
        <v/>
      </c>
      <c r="D61">
        <f>'Kermeli Data'!R65</f>
        <v/>
      </c>
      <c r="E61">
        <f>'Kermeli Data'!S65</f>
        <v/>
      </c>
      <c r="F61">
        <f>IF(AND(D61=0,E61=0),"none",IF(D61&gt;=E61,"fuel","elec"))</f>
        <v/>
      </c>
      <c r="G61">
        <f>IF(C61="1 unit","unit files",IF(C61="2 whr",IF(F61="fuel","fuel-whr",IF(F61="elec","elec-whr","whr (no energy)")),IF(C61="3 proc",IF(F61="fuel","fuel-process",IF(F61="elec","elec-process","process (no energy)")),"excluded")))</f>
        <v/>
      </c>
      <c r="H61">
        <f>IF(AND(D61&gt;0,E61&gt;0),"MIXED — energy also on "&amp;IF(F61="fuel","elec","fuel")&amp;" curve","")</f>
        <v/>
      </c>
      <c r="I61">
        <f>'Kermeli Data'!Q65</f>
        <v/>
      </c>
    </row>
    <row r="62">
      <c r="A62">
        <f>'Kermeli Data'!A66</f>
        <v/>
      </c>
      <c r="B62">
        <f>'Kermeli Data'!B66</f>
        <v/>
      </c>
      <c r="C62">
        <f>'Kermeli Data'!P66</f>
        <v/>
      </c>
      <c r="D62">
        <f>'Kermeli Data'!R66</f>
        <v/>
      </c>
      <c r="E62">
        <f>'Kermeli Data'!S66</f>
        <v/>
      </c>
      <c r="F62">
        <f>IF(AND(D62=0,E62=0),"none",IF(D62&gt;=E62,"fuel","elec"))</f>
        <v/>
      </c>
      <c r="G62">
        <f>IF(C62="1 unit","unit files",IF(C62="2 whr",IF(F62="fuel","fuel-whr",IF(F62="elec","elec-whr","whr (no energy)")),IF(C62="3 proc",IF(F62="fuel","fuel-process",IF(F62="elec","elec-process","process (no energy)")),"excluded")))</f>
        <v/>
      </c>
      <c r="H62">
        <f>IF(AND(D62&gt;0,E62&gt;0),"MIXED — energy also on "&amp;IF(F62="fuel","elec","fuel")&amp;" curve","")</f>
        <v/>
      </c>
      <c r="I62">
        <f>'Kermeli Data'!Q66</f>
        <v/>
      </c>
    </row>
    <row r="63">
      <c r="A63">
        <f>'Kermeli Data'!A67</f>
        <v/>
      </c>
      <c r="B63">
        <f>'Kermeli Data'!B67</f>
        <v/>
      </c>
      <c r="C63">
        <f>'Kermeli Data'!P67</f>
        <v/>
      </c>
      <c r="D63">
        <f>'Kermeli Data'!R67</f>
        <v/>
      </c>
      <c r="E63">
        <f>'Kermeli Data'!S67</f>
        <v/>
      </c>
      <c r="F63">
        <f>IF(AND(D63=0,E63=0),"none",IF(D63&gt;=E63,"fuel","elec"))</f>
        <v/>
      </c>
      <c r="G63">
        <f>IF(C63="1 unit","unit files",IF(C63="2 whr",IF(F63="fuel","fuel-whr",IF(F63="elec","elec-whr","whr (no energy)")),IF(C63="3 proc",IF(F63="fuel","fuel-process",IF(F63="elec","elec-process","process (no energy)")),"excluded")))</f>
        <v/>
      </c>
      <c r="H63">
        <f>IF(AND(D63&gt;0,E63&gt;0),"MIXED — energy also on "&amp;IF(F63="fuel","elec","fuel")&amp;" curve","")</f>
        <v/>
      </c>
      <c r="I63">
        <f>'Kermeli Data'!Q67</f>
        <v/>
      </c>
    </row>
    <row r="64">
      <c r="A64">
        <f>'Kermeli Data'!A68</f>
        <v/>
      </c>
      <c r="B64">
        <f>'Kermeli Data'!B68</f>
        <v/>
      </c>
      <c r="C64">
        <f>'Kermeli Data'!P68</f>
        <v/>
      </c>
      <c r="D64">
        <f>'Kermeli Data'!R68</f>
        <v/>
      </c>
      <c r="E64">
        <f>'Kermeli Data'!S68</f>
        <v/>
      </c>
      <c r="F64">
        <f>IF(AND(D64=0,E64=0),"none",IF(D64&gt;=E64,"fuel","elec"))</f>
        <v/>
      </c>
      <c r="G64">
        <f>IF(C64="1 unit","unit files",IF(C64="2 whr",IF(F64="fuel","fuel-whr",IF(F64="elec","elec-whr","whr (no energy)")),IF(C64="3 proc",IF(F64="fuel","fuel-process",IF(F64="elec","elec-process","process (no energy)")),"excluded")))</f>
        <v/>
      </c>
      <c r="H64">
        <f>IF(AND(D64&gt;0,E64&gt;0),"MIXED — energy also on "&amp;IF(F64="fuel","elec","fuel")&amp;" curve","")</f>
        <v/>
      </c>
      <c r="I64">
        <f>'Kermeli Data'!Q68</f>
        <v/>
      </c>
    </row>
    <row r="65">
      <c r="A65">
        <f>'Kermeli Data'!A69</f>
        <v/>
      </c>
      <c r="B65">
        <f>'Kermeli Data'!B69</f>
        <v/>
      </c>
      <c r="C65">
        <f>'Kermeli Data'!P69</f>
        <v/>
      </c>
      <c r="D65">
        <f>'Kermeli Data'!R69</f>
        <v/>
      </c>
      <c r="E65">
        <f>'Kermeli Data'!S69</f>
        <v/>
      </c>
      <c r="F65">
        <f>IF(AND(D65=0,E65=0),"none",IF(D65&gt;=E65,"fuel","elec"))</f>
        <v/>
      </c>
      <c r="G65">
        <f>IF(C65="1 unit","unit files",IF(C65="2 whr",IF(F65="fuel","fuel-whr",IF(F65="elec","elec-whr","whr (no energy)")),IF(C65="3 proc",IF(F65="fuel","fuel-process",IF(F65="elec","elec-process","process (no energy)")),"excluded")))</f>
        <v/>
      </c>
      <c r="H65">
        <f>IF(AND(D65&gt;0,E65&gt;0),"MIXED — energy also on "&amp;IF(F65="fuel","elec","fuel")&amp;" curve","")</f>
        <v/>
      </c>
      <c r="I65">
        <f>'Kermeli Data'!Q69</f>
        <v/>
      </c>
    </row>
    <row r="66">
      <c r="A66">
        <f>'Kermeli Data'!A70</f>
        <v/>
      </c>
      <c r="B66">
        <f>'Kermeli Data'!B70</f>
        <v/>
      </c>
      <c r="C66">
        <f>'Kermeli Data'!P70</f>
        <v/>
      </c>
      <c r="D66">
        <f>'Kermeli Data'!R70</f>
        <v/>
      </c>
      <c r="E66">
        <f>'Kermeli Data'!S70</f>
        <v/>
      </c>
      <c r="F66">
        <f>IF(AND(D66=0,E66=0),"none",IF(D66&gt;=E66,"fuel","elec"))</f>
        <v/>
      </c>
      <c r="G66">
        <f>IF(C66="1 unit","unit files",IF(C66="2 whr",IF(F66="fuel","fuel-whr",IF(F66="elec","elec-whr","whr (no energy)")),IF(C66="3 proc",IF(F66="fuel","fuel-process",IF(F66="elec","elec-process","process (no energy)")),"excluded")))</f>
        <v/>
      </c>
      <c r="H66">
        <f>IF(AND(D66&gt;0,E66&gt;0),"MIXED — energy also on "&amp;IF(F66="fuel","elec","fuel")&amp;" curve","")</f>
        <v/>
      </c>
      <c r="I66">
        <f>'Kermeli Data'!Q70</f>
        <v/>
      </c>
    </row>
    <row r="67">
      <c r="A67">
        <f>'Kermeli Data'!A71</f>
        <v/>
      </c>
      <c r="B67">
        <f>'Kermeli Data'!B71</f>
        <v/>
      </c>
      <c r="C67">
        <f>'Kermeli Data'!P71</f>
        <v/>
      </c>
      <c r="D67">
        <f>'Kermeli Data'!R71</f>
        <v/>
      </c>
      <c r="E67">
        <f>'Kermeli Data'!S71</f>
        <v/>
      </c>
      <c r="F67">
        <f>IF(AND(D67=0,E67=0),"none",IF(D67&gt;=E67,"fuel","elec"))</f>
        <v/>
      </c>
      <c r="G67">
        <f>IF(C67="1 unit","unit files",IF(C67="2 whr",IF(F67="fuel","fuel-whr",IF(F67="elec","elec-whr","whr (no energy)")),IF(C67="3 proc",IF(F67="fuel","fuel-process",IF(F67="elec","elec-process","process (no energy)")),"excluded")))</f>
        <v/>
      </c>
      <c r="H67">
        <f>IF(AND(D67&gt;0,E67&gt;0),"MIXED — energy also on "&amp;IF(F67="fuel","elec","fuel")&amp;" curve","")</f>
        <v/>
      </c>
      <c r="I67">
        <f>'Kermeli Data'!Q71</f>
        <v/>
      </c>
    </row>
    <row r="68">
      <c r="A68">
        <f>'Kermeli Data'!A72</f>
        <v/>
      </c>
      <c r="B68">
        <f>'Kermeli Data'!B72</f>
        <v/>
      </c>
      <c r="C68">
        <f>'Kermeli Data'!P72</f>
        <v/>
      </c>
      <c r="D68">
        <f>'Kermeli Data'!R72</f>
        <v/>
      </c>
      <c r="E68">
        <f>'Kermeli Data'!S72</f>
        <v/>
      </c>
      <c r="F68">
        <f>IF(AND(D68=0,E68=0),"none",IF(D68&gt;=E68,"fuel","elec"))</f>
        <v/>
      </c>
      <c r="G68">
        <f>IF(C68="1 unit","unit files",IF(C68="2 whr",IF(F68="fuel","fuel-whr",IF(F68="elec","elec-whr","whr (no energy)")),IF(C68="3 proc",IF(F68="fuel","fuel-process",IF(F68="elec","elec-process","process (no energy)")),"excluded")))</f>
        <v/>
      </c>
      <c r="H68">
        <f>IF(AND(D68&gt;0,E68&gt;0),"MIXED — energy also on "&amp;IF(F68="fuel","elec","fuel")&amp;" curve","")</f>
        <v/>
      </c>
      <c r="I68">
        <f>'Kermeli Data'!Q72</f>
        <v/>
      </c>
    </row>
    <row r="69">
      <c r="A69">
        <f>'Kermeli Data'!A73</f>
        <v/>
      </c>
      <c r="B69">
        <f>'Kermeli Data'!B73</f>
        <v/>
      </c>
      <c r="C69">
        <f>'Kermeli Data'!P73</f>
        <v/>
      </c>
      <c r="D69">
        <f>'Kermeli Data'!R73</f>
        <v/>
      </c>
      <c r="E69">
        <f>'Kermeli Data'!S73</f>
        <v/>
      </c>
      <c r="F69">
        <f>IF(AND(D69=0,E69=0),"none",IF(D69&gt;=E69,"fuel","elec"))</f>
        <v/>
      </c>
      <c r="G69">
        <f>IF(C69="1 unit","unit files",IF(C69="2 whr",IF(F69="fuel","fuel-whr",IF(F69="elec","elec-whr","whr (no energy)")),IF(C69="3 proc",IF(F69="fuel","fuel-process",IF(F69="elec","elec-process","process (no energy)")),"excluded")))</f>
        <v/>
      </c>
      <c r="H69">
        <f>IF(AND(D69&gt;0,E69&gt;0),"MIXED — energy also on "&amp;IF(F69="fuel","elec","fuel")&amp;" curve","")</f>
        <v/>
      </c>
      <c r="I69">
        <f>'Kermeli Data'!Q73</f>
        <v/>
      </c>
    </row>
    <row r="70">
      <c r="A70">
        <f>'Kermeli Data'!A74</f>
        <v/>
      </c>
      <c r="B70">
        <f>'Kermeli Data'!B74</f>
        <v/>
      </c>
      <c r="C70">
        <f>'Kermeli Data'!P74</f>
        <v/>
      </c>
      <c r="D70">
        <f>'Kermeli Data'!R74</f>
        <v/>
      </c>
      <c r="E70">
        <f>'Kermeli Data'!S74</f>
        <v/>
      </c>
      <c r="F70">
        <f>IF(AND(D70=0,E70=0),"none",IF(D70&gt;=E70,"fuel","elec"))</f>
        <v/>
      </c>
      <c r="G70">
        <f>IF(C70="1 unit","unit files",IF(C70="2 whr",IF(F70="fuel","fuel-whr",IF(F70="elec","elec-whr","whr (no energy)")),IF(C70="3 proc",IF(F70="fuel","fuel-process",IF(F70="elec","elec-process","process (no energy)")),"excluded")))</f>
        <v/>
      </c>
      <c r="H70">
        <f>IF(AND(D70&gt;0,E70&gt;0),"MIXED — energy also on "&amp;IF(F70="fuel","elec","fuel")&amp;" curve","")</f>
        <v/>
      </c>
      <c r="I70">
        <f>'Kermeli Data'!Q74</f>
        <v/>
      </c>
    </row>
    <row r="71">
      <c r="A71">
        <f>'Kermeli Data'!A75</f>
        <v/>
      </c>
      <c r="B71">
        <f>'Kermeli Data'!B75</f>
        <v/>
      </c>
      <c r="C71">
        <f>'Kermeli Data'!P75</f>
        <v/>
      </c>
      <c r="D71">
        <f>'Kermeli Data'!R75</f>
        <v/>
      </c>
      <c r="E71">
        <f>'Kermeli Data'!S75</f>
        <v/>
      </c>
      <c r="F71">
        <f>IF(AND(D71=0,E71=0),"none",IF(D71&gt;=E71,"fuel","elec"))</f>
        <v/>
      </c>
      <c r="G71">
        <f>IF(C71="1 unit","unit files",IF(C71="2 whr",IF(F71="fuel","fuel-whr",IF(F71="elec","elec-whr","whr (no energy)")),IF(C71="3 proc",IF(F71="fuel","fuel-process",IF(F71="elec","elec-process","process (no energy)")),"excluded")))</f>
        <v/>
      </c>
      <c r="H71">
        <f>IF(AND(D71&gt;0,E71&gt;0),"MIXED — energy also on "&amp;IF(F71="fuel","elec","fuel")&amp;" curve","")</f>
        <v/>
      </c>
      <c r="I71">
        <f>'Kermeli Data'!Q75</f>
        <v/>
      </c>
    </row>
    <row r="72">
      <c r="A72">
        <f>'Kermeli Data'!A76</f>
        <v/>
      </c>
      <c r="B72">
        <f>'Kermeli Data'!B76</f>
        <v/>
      </c>
      <c r="C72">
        <f>'Kermeli Data'!P76</f>
        <v/>
      </c>
      <c r="D72">
        <f>'Kermeli Data'!R76</f>
        <v/>
      </c>
      <c r="E72">
        <f>'Kermeli Data'!S76</f>
        <v/>
      </c>
      <c r="F72">
        <f>IF(AND(D72=0,E72=0),"none",IF(D72&gt;=E72,"fuel","elec"))</f>
        <v/>
      </c>
      <c r="G72">
        <f>IF(C72="1 unit","unit files",IF(C72="2 whr",IF(F72="fuel","fuel-whr",IF(F72="elec","elec-whr","whr (no energy)")),IF(C72="3 proc",IF(F72="fuel","fuel-process",IF(F72="elec","elec-process","process (no energy)")),"excluded")))</f>
        <v/>
      </c>
      <c r="H72">
        <f>IF(AND(D72&gt;0,E72&gt;0),"MIXED — energy also on "&amp;IF(F72="fuel","elec","fuel")&amp;" curve","")</f>
        <v/>
      </c>
      <c r="I72">
        <f>'Kermeli Data'!Q76</f>
        <v/>
      </c>
    </row>
    <row r="73">
      <c r="A73">
        <f>'Kermeli Data'!A77</f>
        <v/>
      </c>
      <c r="B73">
        <f>'Kermeli Data'!B77</f>
        <v/>
      </c>
      <c r="C73">
        <f>'Kermeli Data'!P77</f>
        <v/>
      </c>
      <c r="D73">
        <f>'Kermeli Data'!R77</f>
        <v/>
      </c>
      <c r="E73">
        <f>'Kermeli Data'!S77</f>
        <v/>
      </c>
      <c r="F73">
        <f>IF(AND(D73=0,E73=0),"none",IF(D73&gt;=E73,"fuel","elec"))</f>
        <v/>
      </c>
      <c r="G73">
        <f>IF(C73="1 unit","unit files",IF(C73="2 whr",IF(F73="fuel","fuel-whr",IF(F73="elec","elec-whr","whr (no energy)")),IF(C73="3 proc",IF(F73="fuel","fuel-process",IF(F73="elec","elec-process","process (no energy)")),"excluded")))</f>
        <v/>
      </c>
      <c r="H73">
        <f>IF(AND(D73&gt;0,E73&gt;0),"MIXED — energy also on "&amp;IF(F73="fuel","elec","fuel")&amp;" curve","")</f>
        <v/>
      </c>
      <c r="I73">
        <f>'Kermeli Data'!Q77</f>
        <v/>
      </c>
    </row>
    <row r="74">
      <c r="A74">
        <f>'Kermeli Data'!A78</f>
        <v/>
      </c>
      <c r="B74">
        <f>'Kermeli Data'!B78</f>
        <v/>
      </c>
      <c r="C74">
        <f>'Kermeli Data'!P78</f>
        <v/>
      </c>
      <c r="D74">
        <f>'Kermeli Data'!R78</f>
        <v/>
      </c>
      <c r="E74">
        <f>'Kermeli Data'!S78</f>
        <v/>
      </c>
      <c r="F74">
        <f>IF(AND(D74=0,E74=0),"none",IF(D74&gt;=E74,"fuel","elec"))</f>
        <v/>
      </c>
      <c r="G74">
        <f>IF(C74="1 unit","unit files",IF(C74="2 whr",IF(F74="fuel","fuel-whr",IF(F74="elec","elec-whr","whr (no energy)")),IF(C74="3 proc",IF(F74="fuel","fuel-process",IF(F74="elec","elec-process","process (no energy)")),"excluded")))</f>
        <v/>
      </c>
      <c r="H74">
        <f>IF(AND(D74&gt;0,E74&gt;0),"MIXED — energy also on "&amp;IF(F74="fuel","elec","fuel")&amp;" curve","")</f>
        <v/>
      </c>
      <c r="I74">
        <f>'Kermeli Data'!Q78</f>
        <v/>
      </c>
    </row>
    <row r="75">
      <c r="A75">
        <f>'Kermeli Data'!A79</f>
        <v/>
      </c>
      <c r="B75">
        <f>'Kermeli Data'!B79</f>
        <v/>
      </c>
      <c r="C75">
        <f>'Kermeli Data'!P79</f>
        <v/>
      </c>
      <c r="D75">
        <f>'Kermeli Data'!R79</f>
        <v/>
      </c>
      <c r="E75">
        <f>'Kermeli Data'!S79</f>
        <v/>
      </c>
      <c r="F75">
        <f>IF(AND(D75=0,E75=0),"none",IF(D75&gt;=E75,"fuel","elec"))</f>
        <v/>
      </c>
      <c r="G75">
        <f>IF(C75="1 unit","unit files",IF(C75="2 whr",IF(F75="fuel","fuel-whr",IF(F75="elec","elec-whr","whr (no energy)")),IF(C75="3 proc",IF(F75="fuel","fuel-process",IF(F75="elec","elec-process","process (no energy)")),"excluded")))</f>
        <v/>
      </c>
      <c r="H75">
        <f>IF(AND(D75&gt;0,E75&gt;0),"MIXED — energy also on "&amp;IF(F75="fuel","elec","fuel")&amp;" curve","")</f>
        <v/>
      </c>
      <c r="I75">
        <f>'Kermeli Data'!Q79</f>
        <v/>
      </c>
    </row>
    <row r="76">
      <c r="A76">
        <f>'Kermeli Data'!A80</f>
        <v/>
      </c>
      <c r="B76">
        <f>'Kermeli Data'!B80</f>
        <v/>
      </c>
      <c r="C76">
        <f>'Kermeli Data'!P80</f>
        <v/>
      </c>
      <c r="D76">
        <f>'Kermeli Data'!R80</f>
        <v/>
      </c>
      <c r="E76">
        <f>'Kermeli Data'!S80</f>
        <v/>
      </c>
      <c r="F76">
        <f>IF(AND(D76=0,E76=0),"none",IF(D76&gt;=E76,"fuel","elec"))</f>
        <v/>
      </c>
      <c r="G76">
        <f>IF(C76="1 unit","unit files",IF(C76="2 whr",IF(F76="fuel","fuel-whr",IF(F76="elec","elec-whr","whr (no energy)")),IF(C76="3 proc",IF(F76="fuel","fuel-process",IF(F76="elec","elec-process","process (no energy)")),"excluded")))</f>
        <v/>
      </c>
      <c r="H76">
        <f>IF(AND(D76&gt;0,E76&gt;0),"MIXED — energy also on "&amp;IF(F76="fuel","elec","fuel")&amp;" curve","")</f>
        <v/>
      </c>
      <c r="I76">
        <f>'Kermeli Data'!Q80</f>
        <v/>
      </c>
    </row>
    <row r="77">
      <c r="A77">
        <f>'Kermeli Data'!A81</f>
        <v/>
      </c>
      <c r="B77">
        <f>'Kermeli Data'!B81</f>
        <v/>
      </c>
      <c r="C77">
        <f>'Kermeli Data'!P81</f>
        <v/>
      </c>
      <c r="D77">
        <f>'Kermeli Data'!R81</f>
        <v/>
      </c>
      <c r="E77">
        <f>'Kermeli Data'!S81</f>
        <v/>
      </c>
      <c r="F77">
        <f>IF(AND(D77=0,E77=0),"none",IF(D77&gt;=E77,"fuel","elec"))</f>
        <v/>
      </c>
      <c r="G77">
        <f>IF(C77="1 unit","unit files",IF(C77="2 whr",IF(F77="fuel","fuel-whr",IF(F77="elec","elec-whr","whr (no energy)")),IF(C77="3 proc",IF(F77="fuel","fuel-process",IF(F77="elec","elec-process","process (no energy)")),"excluded")))</f>
        <v/>
      </c>
      <c r="H77">
        <f>IF(AND(D77&gt;0,E77&gt;0),"MIXED — energy also on "&amp;IF(F77="fuel","elec","fuel")&amp;" curve","")</f>
        <v/>
      </c>
      <c r="I77">
        <f>'Kermeli Data'!Q81</f>
        <v/>
      </c>
    </row>
    <row r="78">
      <c r="A78">
        <f>'Kermeli Data'!A82</f>
        <v/>
      </c>
      <c r="B78">
        <f>'Kermeli Data'!B82</f>
        <v/>
      </c>
      <c r="C78">
        <f>'Kermeli Data'!P82</f>
        <v/>
      </c>
      <c r="D78">
        <f>'Kermeli Data'!R82</f>
        <v/>
      </c>
      <c r="E78">
        <f>'Kermeli Data'!S82</f>
        <v/>
      </c>
      <c r="F78">
        <f>IF(AND(D78=0,E78=0),"none",IF(D78&gt;=E78,"fuel","elec"))</f>
        <v/>
      </c>
      <c r="G78">
        <f>IF(C78="1 unit","unit files",IF(C78="2 whr",IF(F78="fuel","fuel-whr",IF(F78="elec","elec-whr","whr (no energy)")),IF(C78="3 proc",IF(F78="fuel","fuel-process",IF(F78="elec","elec-process","process (no energy)")),"excluded")))</f>
        <v/>
      </c>
      <c r="H78">
        <f>IF(AND(D78&gt;0,E78&gt;0),"MIXED — energy also on "&amp;IF(F78="fuel","elec","fuel")&amp;" curve","")</f>
        <v/>
      </c>
      <c r="I78">
        <f>'Kermeli Data'!Q82</f>
        <v/>
      </c>
    </row>
    <row r="79">
      <c r="A79">
        <f>'Kermeli Data'!A83</f>
        <v/>
      </c>
      <c r="B79">
        <f>'Kermeli Data'!B83</f>
        <v/>
      </c>
      <c r="C79">
        <f>'Kermeli Data'!P83</f>
        <v/>
      </c>
      <c r="D79">
        <f>'Kermeli Data'!R83</f>
        <v/>
      </c>
      <c r="E79">
        <f>'Kermeli Data'!S83</f>
        <v/>
      </c>
      <c r="F79">
        <f>IF(AND(D79=0,E79=0),"none",IF(D79&gt;=E79,"fuel","elec"))</f>
        <v/>
      </c>
      <c r="G79">
        <f>IF(C79="1 unit","unit files",IF(C79="2 whr",IF(F79="fuel","fuel-whr",IF(F79="elec","elec-whr","whr (no energy)")),IF(C79="3 proc",IF(F79="fuel","fuel-process",IF(F79="elec","elec-process","process (no energy)")),"excluded")))</f>
        <v/>
      </c>
      <c r="H79">
        <f>IF(AND(D79&gt;0,E79&gt;0),"MIXED — energy also on "&amp;IF(F79="fuel","elec","fuel")&amp;" curve","")</f>
        <v/>
      </c>
      <c r="I79">
        <f>'Kermeli Data'!Q83</f>
        <v/>
      </c>
    </row>
    <row r="80">
      <c r="A80">
        <f>'Kermeli Data'!A84</f>
        <v/>
      </c>
      <c r="B80">
        <f>'Kermeli Data'!B84</f>
        <v/>
      </c>
      <c r="C80">
        <f>'Kermeli Data'!P84</f>
        <v/>
      </c>
      <c r="D80">
        <f>'Kermeli Data'!R84</f>
        <v/>
      </c>
      <c r="E80">
        <f>'Kermeli Data'!S84</f>
        <v/>
      </c>
      <c r="F80">
        <f>IF(AND(D80=0,E80=0),"none",IF(D80&gt;=E80,"fuel","elec"))</f>
        <v/>
      </c>
      <c r="G80">
        <f>IF(C80="1 unit","unit files",IF(C80="2 whr",IF(F80="fuel","fuel-whr",IF(F80="elec","elec-whr","whr (no energy)")),IF(C80="3 proc",IF(F80="fuel","fuel-process",IF(F80="elec","elec-process","process (no energy)")),"excluded")))</f>
        <v/>
      </c>
      <c r="H80">
        <f>IF(AND(D80&gt;0,E80&gt;0),"MIXED — energy also on "&amp;IF(F80="fuel","elec","fuel")&amp;" curve","")</f>
        <v/>
      </c>
      <c r="I80">
        <f>'Kermeli Data'!Q84</f>
        <v/>
      </c>
    </row>
    <row r="81">
      <c r="A81">
        <f>'Kermeli Data'!A85</f>
        <v/>
      </c>
      <c r="B81">
        <f>'Kermeli Data'!B85</f>
        <v/>
      </c>
      <c r="C81">
        <f>'Kermeli Data'!P85</f>
        <v/>
      </c>
      <c r="D81">
        <f>'Kermeli Data'!R85</f>
        <v/>
      </c>
      <c r="E81">
        <f>'Kermeli Data'!S85</f>
        <v/>
      </c>
      <c r="F81">
        <f>IF(AND(D81=0,E81=0),"none",IF(D81&gt;=E81,"fuel","elec"))</f>
        <v/>
      </c>
      <c r="G81">
        <f>IF(C81="1 unit","unit files",IF(C81="2 whr",IF(F81="fuel","fuel-whr",IF(F81="elec","elec-whr","whr (no energy)")),IF(C81="3 proc",IF(F81="fuel","fuel-process",IF(F81="elec","elec-process","process (no energy)")),"excluded")))</f>
        <v/>
      </c>
      <c r="H81">
        <f>IF(AND(D81&gt;0,E81&gt;0),"MIXED — energy also on "&amp;IF(F81="fuel","elec","fuel")&amp;" curve","")</f>
        <v/>
      </c>
      <c r="I81">
        <f>'Kermeli Data'!Q85</f>
        <v/>
      </c>
    </row>
    <row r="82">
      <c r="A82">
        <f>'Kermeli Data'!A86</f>
        <v/>
      </c>
      <c r="B82">
        <f>'Kermeli Data'!B86</f>
        <v/>
      </c>
      <c r="C82">
        <f>'Kermeli Data'!P86</f>
        <v/>
      </c>
      <c r="D82">
        <f>'Kermeli Data'!R86</f>
        <v/>
      </c>
      <c r="E82">
        <f>'Kermeli Data'!S86</f>
        <v/>
      </c>
      <c r="F82">
        <f>IF(AND(D82=0,E82=0),"none",IF(D82&gt;=E82,"fuel","elec"))</f>
        <v/>
      </c>
      <c r="G82">
        <f>IF(C82="1 unit","unit files",IF(C82="2 whr",IF(F82="fuel","fuel-whr",IF(F82="elec","elec-whr","whr (no energy)")),IF(C82="3 proc",IF(F82="fuel","fuel-process",IF(F82="elec","elec-process","process (no energy)")),"excluded")))</f>
        <v/>
      </c>
      <c r="H82">
        <f>IF(AND(D82&gt;0,E82&gt;0),"MIXED — energy also on "&amp;IF(F82="fuel","elec","fuel")&amp;" curve","")</f>
        <v/>
      </c>
      <c r="I82">
        <f>'Kermeli Data'!Q86</f>
        <v/>
      </c>
    </row>
    <row r="83">
      <c r="A83">
        <f>'Kermeli Data'!A87</f>
        <v/>
      </c>
      <c r="B83">
        <f>'Kermeli Data'!B87</f>
        <v/>
      </c>
      <c r="C83">
        <f>'Kermeli Data'!P87</f>
        <v/>
      </c>
      <c r="D83">
        <f>'Kermeli Data'!R87</f>
        <v/>
      </c>
      <c r="E83">
        <f>'Kermeli Data'!S87</f>
        <v/>
      </c>
      <c r="F83">
        <f>IF(AND(D83=0,E83=0),"none",IF(D83&gt;=E83,"fuel","elec"))</f>
        <v/>
      </c>
      <c r="G83">
        <f>IF(C83="1 unit","unit files",IF(C83="2 whr",IF(F83="fuel","fuel-whr",IF(F83="elec","elec-whr","whr (no energy)")),IF(C83="3 proc",IF(F83="fuel","fuel-process",IF(F83="elec","elec-process","process (no energy)")),"excluded")))</f>
        <v/>
      </c>
      <c r="H83">
        <f>IF(AND(D83&gt;0,E83&gt;0),"MIXED — energy also on "&amp;IF(F83="fuel","elec","fuel")&amp;" curve","")</f>
        <v/>
      </c>
      <c r="I83">
        <f>'Kermeli Data'!Q87</f>
        <v/>
      </c>
    </row>
    <row r="84">
      <c r="A84">
        <f>'Kermeli Data'!A88</f>
        <v/>
      </c>
      <c r="B84">
        <f>'Kermeli Data'!B88</f>
        <v/>
      </c>
      <c r="C84">
        <f>'Kermeli Data'!P88</f>
        <v/>
      </c>
      <c r="D84">
        <f>'Kermeli Data'!R88</f>
        <v/>
      </c>
      <c r="E84">
        <f>'Kermeli Data'!S88</f>
        <v/>
      </c>
      <c r="F84">
        <f>IF(AND(D84=0,E84=0),"none",IF(D84&gt;=E84,"fuel","elec"))</f>
        <v/>
      </c>
      <c r="G84">
        <f>IF(C84="1 unit","unit files",IF(C84="2 whr",IF(F84="fuel","fuel-whr",IF(F84="elec","elec-whr","whr (no energy)")),IF(C84="3 proc",IF(F84="fuel","fuel-process",IF(F84="elec","elec-process","process (no energy)")),"excluded")))</f>
        <v/>
      </c>
      <c r="H84">
        <f>IF(AND(D84&gt;0,E84&gt;0),"MIXED — energy also on "&amp;IF(F84="fuel","elec","fuel")&amp;" curve","")</f>
        <v/>
      </c>
      <c r="I84">
        <f>'Kermeli Data'!Q88</f>
        <v/>
      </c>
    </row>
    <row r="85">
      <c r="A85">
        <f>'Kermeli Data'!A89</f>
        <v/>
      </c>
      <c r="B85">
        <f>'Kermeli Data'!B89</f>
        <v/>
      </c>
      <c r="C85">
        <f>'Kermeli Data'!P89</f>
        <v/>
      </c>
      <c r="D85">
        <f>'Kermeli Data'!R89</f>
        <v/>
      </c>
      <c r="E85">
        <f>'Kermeli Data'!S89</f>
        <v/>
      </c>
      <c r="F85">
        <f>IF(AND(D85=0,E85=0),"none",IF(D85&gt;=E85,"fuel","elec"))</f>
        <v/>
      </c>
      <c r="G85">
        <f>IF(C85="1 unit","unit files",IF(C85="2 whr",IF(F85="fuel","fuel-whr",IF(F85="elec","elec-whr","whr (no energy)")),IF(C85="3 proc",IF(F85="fuel","fuel-process",IF(F85="elec","elec-process","process (no energy)")),"excluded")))</f>
        <v/>
      </c>
      <c r="H85">
        <f>IF(AND(D85&gt;0,E85&gt;0),"MIXED — energy also on "&amp;IF(F85="fuel","elec","fuel")&amp;" curve","")</f>
        <v/>
      </c>
      <c r="I85">
        <f>'Kermeli Data'!Q89</f>
        <v/>
      </c>
    </row>
    <row r="86">
      <c r="A86">
        <f>'Kermeli Data'!A90</f>
        <v/>
      </c>
      <c r="B86">
        <f>'Kermeli Data'!B90</f>
        <v/>
      </c>
      <c r="C86">
        <f>'Kermeli Data'!P90</f>
        <v/>
      </c>
      <c r="D86">
        <f>'Kermeli Data'!R90</f>
        <v/>
      </c>
      <c r="E86">
        <f>'Kermeli Data'!S90</f>
        <v/>
      </c>
      <c r="F86">
        <f>IF(AND(D86=0,E86=0),"none",IF(D86&gt;=E86,"fuel","elec"))</f>
        <v/>
      </c>
      <c r="G86">
        <f>IF(C86="1 unit","unit files",IF(C86="2 whr",IF(F86="fuel","fuel-whr",IF(F86="elec","elec-whr","whr (no energy)")),IF(C86="3 proc",IF(F86="fuel","fuel-process",IF(F86="elec","elec-process","process (no energy)")),"excluded")))</f>
        <v/>
      </c>
      <c r="H86">
        <f>IF(AND(D86&gt;0,E86&gt;0),"MIXED — energy also on "&amp;IF(F86="fuel","elec","fuel")&amp;" curve","")</f>
        <v/>
      </c>
      <c r="I86">
        <f>'Kermeli Data'!Q90</f>
        <v/>
      </c>
    </row>
    <row r="87">
      <c r="A87">
        <f>'Kermeli Data'!A91</f>
        <v/>
      </c>
      <c r="B87">
        <f>'Kermeli Data'!B91</f>
        <v/>
      </c>
      <c r="C87">
        <f>'Kermeli Data'!P91</f>
        <v/>
      </c>
      <c r="D87">
        <f>'Kermeli Data'!R91</f>
        <v/>
      </c>
      <c r="E87">
        <f>'Kermeli Data'!S91</f>
        <v/>
      </c>
      <c r="F87">
        <f>IF(AND(D87=0,E87=0),"none",IF(D87&gt;=E87,"fuel","elec"))</f>
        <v/>
      </c>
      <c r="G87">
        <f>IF(C87="1 unit","unit files",IF(C87="2 whr",IF(F87="fuel","fuel-whr",IF(F87="elec","elec-whr","whr (no energy)")),IF(C87="3 proc",IF(F87="fuel","fuel-process",IF(F87="elec","elec-process","process (no energy)")),"excluded")))</f>
        <v/>
      </c>
      <c r="H87">
        <f>IF(AND(D87&gt;0,E87&gt;0),"MIXED — energy also on "&amp;IF(F87="fuel","elec","fuel")&amp;" curve","")</f>
        <v/>
      </c>
      <c r="I87">
        <f>'Kermeli Data'!Q91</f>
        <v/>
      </c>
    </row>
    <row r="88">
      <c r="A88">
        <f>'Kermeli Data'!A92</f>
        <v/>
      </c>
      <c r="B88">
        <f>'Kermeli Data'!B92</f>
        <v/>
      </c>
      <c r="C88">
        <f>'Kermeli Data'!P92</f>
        <v/>
      </c>
      <c r="D88">
        <f>'Kermeli Data'!R92</f>
        <v/>
      </c>
      <c r="E88">
        <f>'Kermeli Data'!S92</f>
        <v/>
      </c>
      <c r="F88">
        <f>IF(AND(D88=0,E88=0),"none",IF(D88&gt;=E88,"fuel","elec"))</f>
        <v/>
      </c>
      <c r="G88">
        <f>IF(C88="1 unit","unit files",IF(C88="2 whr",IF(F88="fuel","fuel-whr",IF(F88="elec","elec-whr","whr (no energy)")),IF(C88="3 proc",IF(F88="fuel","fuel-process",IF(F88="elec","elec-process","process (no energy)")),"excluded")))</f>
        <v/>
      </c>
      <c r="H88">
        <f>IF(AND(D88&gt;0,E88&gt;0),"MIXED — energy also on "&amp;IF(F88="fuel","elec","fuel")&amp;" curve","")</f>
        <v/>
      </c>
      <c r="I88">
        <f>'Kermeli Data'!Q92</f>
        <v/>
      </c>
    </row>
    <row r="89">
      <c r="A89">
        <f>'Kermeli Data'!A93</f>
        <v/>
      </c>
      <c r="B89">
        <f>'Kermeli Data'!B93</f>
        <v/>
      </c>
      <c r="C89">
        <f>'Kermeli Data'!P93</f>
        <v/>
      </c>
      <c r="D89">
        <f>'Kermeli Data'!R93</f>
        <v/>
      </c>
      <c r="E89">
        <f>'Kermeli Data'!S93</f>
        <v/>
      </c>
      <c r="F89">
        <f>IF(AND(D89=0,E89=0),"none",IF(D89&gt;=E89,"fuel","elec"))</f>
        <v/>
      </c>
      <c r="G89">
        <f>IF(C89="1 unit","unit files",IF(C89="2 whr",IF(F89="fuel","fuel-whr",IF(F89="elec","elec-whr","whr (no energy)")),IF(C89="3 proc",IF(F89="fuel","fuel-process",IF(F89="elec","elec-process","process (no energy)")),"excluded")))</f>
        <v/>
      </c>
      <c r="H89">
        <f>IF(AND(D89&gt;0,E89&gt;0),"MIXED — energy also on "&amp;IF(F89="fuel","elec","fuel")&amp;" curve","")</f>
        <v/>
      </c>
      <c r="I89">
        <f>'Kermeli Data'!Q93</f>
        <v/>
      </c>
    </row>
    <row r="90">
      <c r="A90">
        <f>'Kermeli Data'!A94</f>
        <v/>
      </c>
      <c r="B90">
        <f>'Kermeli Data'!B94</f>
        <v/>
      </c>
      <c r="C90">
        <f>'Kermeli Data'!P94</f>
        <v/>
      </c>
      <c r="D90">
        <f>'Kermeli Data'!R94</f>
        <v/>
      </c>
      <c r="E90">
        <f>'Kermeli Data'!S94</f>
        <v/>
      </c>
      <c r="F90">
        <f>IF(AND(D90=0,E90=0),"none",IF(D90&gt;=E90,"fuel","elec"))</f>
        <v/>
      </c>
      <c r="G90">
        <f>IF(C90="1 unit","unit files",IF(C90="2 whr",IF(F90="fuel","fuel-whr",IF(F90="elec","elec-whr","whr (no energy)")),IF(C90="3 proc",IF(F90="fuel","fuel-process",IF(F90="elec","elec-process","process (no energy)")),"excluded")))</f>
        <v/>
      </c>
      <c r="H90">
        <f>IF(AND(D90&gt;0,E90&gt;0),"MIXED — energy also on "&amp;IF(F90="fuel","elec","fuel")&amp;" curve","")</f>
        <v/>
      </c>
      <c r="I90">
        <f>'Kermeli Data'!Q94</f>
        <v/>
      </c>
    </row>
    <row r="91">
      <c r="A91">
        <f>'Kermeli Data'!A95</f>
        <v/>
      </c>
      <c r="B91">
        <f>'Kermeli Data'!B95</f>
        <v/>
      </c>
      <c r="C91">
        <f>'Kermeli Data'!P95</f>
        <v/>
      </c>
      <c r="D91">
        <f>'Kermeli Data'!R95</f>
        <v/>
      </c>
      <c r="E91">
        <f>'Kermeli Data'!S95</f>
        <v/>
      </c>
      <c r="F91">
        <f>IF(AND(D91=0,E91=0),"none",IF(D91&gt;=E91,"fuel","elec"))</f>
        <v/>
      </c>
      <c r="G91">
        <f>IF(C91="1 unit","unit files",IF(C91="2 whr",IF(F91="fuel","fuel-whr",IF(F91="elec","elec-whr","whr (no energy)")),IF(C91="3 proc",IF(F91="fuel","fuel-process",IF(F91="elec","elec-process","process (no energy)")),"excluded")))</f>
        <v/>
      </c>
      <c r="H91">
        <f>IF(AND(D91&gt;0,E91&gt;0),"MIXED — energy also on "&amp;IF(F91="fuel","elec","fuel")&amp;" curve","")</f>
        <v/>
      </c>
      <c r="I91">
        <f>'Kermeli Data'!Q95</f>
        <v/>
      </c>
    </row>
    <row r="92">
      <c r="A92">
        <f>'Kermeli Data'!A96</f>
        <v/>
      </c>
      <c r="B92">
        <f>'Kermeli Data'!B96</f>
        <v/>
      </c>
      <c r="C92">
        <f>'Kermeli Data'!P96</f>
        <v/>
      </c>
      <c r="D92">
        <f>'Kermeli Data'!R96</f>
        <v/>
      </c>
      <c r="E92">
        <f>'Kermeli Data'!S96</f>
        <v/>
      </c>
      <c r="F92">
        <f>IF(AND(D92=0,E92=0),"none",IF(D92&gt;=E92,"fuel","elec"))</f>
        <v/>
      </c>
      <c r="G92">
        <f>IF(C92="1 unit","unit files",IF(C92="2 whr",IF(F92="fuel","fuel-whr",IF(F92="elec","elec-whr","whr (no energy)")),IF(C92="3 proc",IF(F92="fuel","fuel-process",IF(F92="elec","elec-process","process (no energy)")),"excluded")))</f>
        <v/>
      </c>
      <c r="H92">
        <f>IF(AND(D92&gt;0,E92&gt;0),"MIXED — energy also on "&amp;IF(F92="fuel","elec","fuel")&amp;" curve","")</f>
        <v/>
      </c>
      <c r="I92">
        <f>'Kermeli Data'!Q96</f>
        <v/>
      </c>
    </row>
    <row r="93">
      <c r="A93">
        <f>'Kermeli Data'!A97</f>
        <v/>
      </c>
      <c r="B93">
        <f>'Kermeli Data'!B97</f>
        <v/>
      </c>
      <c r="C93">
        <f>'Kermeli Data'!P97</f>
        <v/>
      </c>
      <c r="D93">
        <f>'Kermeli Data'!R97</f>
        <v/>
      </c>
      <c r="E93">
        <f>'Kermeli Data'!S97</f>
        <v/>
      </c>
      <c r="F93">
        <f>IF(AND(D93=0,E93=0),"none",IF(D93&gt;=E93,"fuel","elec"))</f>
        <v/>
      </c>
      <c r="G93">
        <f>IF(C93="1 unit","unit files",IF(C93="2 whr",IF(F93="fuel","fuel-whr",IF(F93="elec","elec-whr","whr (no energy)")),IF(C93="3 proc",IF(F93="fuel","fuel-process",IF(F93="elec","elec-process","process (no energy)")),"excluded")))</f>
        <v/>
      </c>
      <c r="H93">
        <f>IF(AND(D93&gt;0,E93&gt;0),"MIXED — energy also on "&amp;IF(F93="fuel","elec","fuel")&amp;" curve","")</f>
        <v/>
      </c>
      <c r="I93">
        <f>'Kermeli Data'!Q97</f>
        <v/>
      </c>
    </row>
    <row r="94">
      <c r="A94">
        <f>'Kermeli Data'!A98</f>
        <v/>
      </c>
      <c r="B94">
        <f>'Kermeli Data'!B98</f>
        <v/>
      </c>
      <c r="C94">
        <f>'Kermeli Data'!P98</f>
        <v/>
      </c>
      <c r="D94">
        <f>'Kermeli Data'!R98</f>
        <v/>
      </c>
      <c r="E94">
        <f>'Kermeli Data'!S98</f>
        <v/>
      </c>
      <c r="F94">
        <f>IF(AND(D94=0,E94=0),"none",IF(D94&gt;=E94,"fuel","elec"))</f>
        <v/>
      </c>
      <c r="G94">
        <f>IF(C94="1 unit","unit files",IF(C94="2 whr",IF(F94="fuel","fuel-whr",IF(F94="elec","elec-whr","whr (no energy)")),IF(C94="3 proc",IF(F94="fuel","fuel-process",IF(F94="elec","elec-process","process (no energy)")),"excluded")))</f>
        <v/>
      </c>
      <c r="H94">
        <f>IF(AND(D94&gt;0,E94&gt;0),"MIXED — energy also on "&amp;IF(F94="fuel","elec","fuel")&amp;" curve","")</f>
        <v/>
      </c>
      <c r="I94">
        <f>'Kermeli Data'!Q98</f>
        <v/>
      </c>
    </row>
    <row r="95">
      <c r="A95">
        <f>'Kermeli Data'!A99</f>
        <v/>
      </c>
      <c r="B95">
        <f>'Kermeli Data'!B99</f>
        <v/>
      </c>
      <c r="C95">
        <f>'Kermeli Data'!P99</f>
        <v/>
      </c>
      <c r="D95">
        <f>'Kermeli Data'!R99</f>
        <v/>
      </c>
      <c r="E95">
        <f>'Kermeli Data'!S99</f>
        <v/>
      </c>
      <c r="F95">
        <f>IF(AND(D95=0,E95=0),"none",IF(D95&gt;=E95,"fuel","elec"))</f>
        <v/>
      </c>
      <c r="G95">
        <f>IF(C95="1 unit","unit files",IF(C95="2 whr",IF(F95="fuel","fuel-whr",IF(F95="elec","elec-whr","whr (no energy)")),IF(C95="3 proc",IF(F95="fuel","fuel-process",IF(F95="elec","elec-process","process (no energy)")),"excluded")))</f>
        <v/>
      </c>
      <c r="H95">
        <f>IF(AND(D95&gt;0,E95&gt;0),"MIXED — energy also on "&amp;IF(F95="fuel","elec","fuel")&amp;" curve","")</f>
        <v/>
      </c>
      <c r="I95">
        <f>'Kermeli Data'!Q99</f>
        <v/>
      </c>
    </row>
    <row r="96">
      <c r="A96">
        <f>'Kermeli Data'!A100</f>
        <v/>
      </c>
      <c r="B96">
        <f>'Kermeli Data'!B100</f>
        <v/>
      </c>
      <c r="C96">
        <f>'Kermeli Data'!P100</f>
        <v/>
      </c>
      <c r="D96">
        <f>'Kermeli Data'!R100</f>
        <v/>
      </c>
      <c r="E96">
        <f>'Kermeli Data'!S100</f>
        <v/>
      </c>
      <c r="F96">
        <f>IF(AND(D96=0,E96=0),"none",IF(D96&gt;=E96,"fuel","elec"))</f>
        <v/>
      </c>
      <c r="G96">
        <f>IF(C96="1 unit","unit files",IF(C96="2 whr",IF(F96="fuel","fuel-whr",IF(F96="elec","elec-whr","whr (no energy)")),IF(C96="3 proc",IF(F96="fuel","fuel-process",IF(F96="elec","elec-process","process (no energy)")),"excluded")))</f>
        <v/>
      </c>
      <c r="H96">
        <f>IF(AND(D96&gt;0,E96&gt;0),"MIXED — energy also on "&amp;IF(F96="fuel","elec","fuel")&amp;" curve","")</f>
        <v/>
      </c>
      <c r="I96">
        <f>'Kermeli Data'!Q100</f>
        <v/>
      </c>
    </row>
    <row r="97">
      <c r="A97">
        <f>'Kermeli Data'!A101</f>
        <v/>
      </c>
      <c r="B97">
        <f>'Kermeli Data'!B101</f>
        <v/>
      </c>
      <c r="C97">
        <f>'Kermeli Data'!P101</f>
        <v/>
      </c>
      <c r="D97">
        <f>'Kermeli Data'!R101</f>
        <v/>
      </c>
      <c r="E97">
        <f>'Kermeli Data'!S101</f>
        <v/>
      </c>
      <c r="F97">
        <f>IF(AND(D97=0,E97=0),"none",IF(D97&gt;=E97,"fuel","elec"))</f>
        <v/>
      </c>
      <c r="G97">
        <f>IF(C97="1 unit","unit files",IF(C97="2 whr",IF(F97="fuel","fuel-whr",IF(F97="elec","elec-whr","whr (no energy)")),IF(C97="3 proc",IF(F97="fuel","fuel-process",IF(F97="elec","elec-process","process (no energy)")),"excluded")))</f>
        <v/>
      </c>
      <c r="H97">
        <f>IF(AND(D97&gt;0,E97&gt;0),"MIXED — energy also on "&amp;IF(F97="fuel","elec","fuel")&amp;" curve","")</f>
        <v/>
      </c>
      <c r="I97">
        <f>'Kermeli Data'!Q101</f>
        <v/>
      </c>
    </row>
    <row r="98">
      <c r="A98">
        <f>'Kermeli Data'!A102</f>
        <v/>
      </c>
      <c r="B98">
        <f>'Kermeli Data'!B102</f>
        <v/>
      </c>
      <c r="C98">
        <f>'Kermeli Data'!P102</f>
        <v/>
      </c>
      <c r="D98">
        <f>'Kermeli Data'!R102</f>
        <v/>
      </c>
      <c r="E98">
        <f>'Kermeli Data'!S102</f>
        <v/>
      </c>
      <c r="F98">
        <f>IF(AND(D98=0,E98=0),"none",IF(D98&gt;=E98,"fuel","elec"))</f>
        <v/>
      </c>
      <c r="G98">
        <f>IF(C98="1 unit","unit files",IF(C98="2 whr",IF(F98="fuel","fuel-whr",IF(F98="elec","elec-whr","whr (no energy)")),IF(C98="3 proc",IF(F98="fuel","fuel-process",IF(F98="elec","elec-process","process (no energy)")),"excluded")))</f>
        <v/>
      </c>
      <c r="H98">
        <f>IF(AND(D98&gt;0,E98&gt;0),"MIXED — energy also on "&amp;IF(F98="fuel","elec","fuel")&amp;" curve","")</f>
        <v/>
      </c>
      <c r="I98">
        <f>'Kermeli Data'!Q102</f>
        <v/>
      </c>
    </row>
    <row r="99">
      <c r="A99">
        <f>'Kermeli Data'!A103</f>
        <v/>
      </c>
      <c r="B99">
        <f>'Kermeli Data'!B103</f>
        <v/>
      </c>
      <c r="C99">
        <f>'Kermeli Data'!P103</f>
        <v/>
      </c>
      <c r="D99">
        <f>'Kermeli Data'!R103</f>
        <v/>
      </c>
      <c r="E99">
        <f>'Kermeli Data'!S103</f>
        <v/>
      </c>
      <c r="F99">
        <f>IF(AND(D99=0,E99=0),"none",IF(D99&gt;=E99,"fuel","elec"))</f>
        <v/>
      </c>
      <c r="G99">
        <f>IF(C99="1 unit","unit files",IF(C99="2 whr",IF(F99="fuel","fuel-whr",IF(F99="elec","elec-whr","whr (no energy)")),IF(C99="3 proc",IF(F99="fuel","fuel-process",IF(F99="elec","elec-process","process (no energy)")),"excluded")))</f>
        <v/>
      </c>
      <c r="H99">
        <f>IF(AND(D99&gt;0,E99&gt;0),"MIXED — energy also on "&amp;IF(F99="fuel","elec","fuel")&amp;" curve","")</f>
        <v/>
      </c>
      <c r="I99">
        <f>'Kermeli Data'!Q103</f>
        <v/>
      </c>
    </row>
    <row r="100">
      <c r="A100">
        <f>'Kermeli Data'!A104</f>
        <v/>
      </c>
      <c r="B100">
        <f>'Kermeli Data'!B104</f>
        <v/>
      </c>
      <c r="C100">
        <f>'Kermeli Data'!P104</f>
        <v/>
      </c>
      <c r="D100">
        <f>'Kermeli Data'!R104</f>
        <v/>
      </c>
      <c r="E100">
        <f>'Kermeli Data'!S104</f>
        <v/>
      </c>
      <c r="F100">
        <f>IF(AND(D100=0,E100=0),"none",IF(D100&gt;=E100,"fuel","elec"))</f>
        <v/>
      </c>
      <c r="G100">
        <f>IF(C100="1 unit","unit files",IF(C100="2 whr",IF(F100="fuel","fuel-whr",IF(F100="elec","elec-whr","whr (no energy)")),IF(C100="3 proc",IF(F100="fuel","fuel-process",IF(F100="elec","elec-process","process (no energy)")),"excluded")))</f>
        <v/>
      </c>
      <c r="H100">
        <f>IF(AND(D100&gt;0,E100&gt;0),"MIXED — energy also on "&amp;IF(F100="fuel","elec","fuel")&amp;" curve","")</f>
        <v/>
      </c>
      <c r="I100">
        <f>'Kermeli Data'!Q104</f>
        <v/>
      </c>
    </row>
    <row r="101">
      <c r="A101">
        <f>'Kermeli Data'!A105</f>
        <v/>
      </c>
      <c r="B101">
        <f>'Kermeli Data'!B105</f>
        <v/>
      </c>
      <c r="C101">
        <f>'Kermeli Data'!P105</f>
        <v/>
      </c>
      <c r="D101">
        <f>'Kermeli Data'!R105</f>
        <v/>
      </c>
      <c r="E101">
        <f>'Kermeli Data'!S105</f>
        <v/>
      </c>
      <c r="F101">
        <f>IF(AND(D101=0,E101=0),"none",IF(D101&gt;=E101,"fuel","elec"))</f>
        <v/>
      </c>
      <c r="G101">
        <f>IF(C101="1 unit","unit files",IF(C101="2 whr",IF(F101="fuel","fuel-whr",IF(F101="elec","elec-whr","whr (no energy)")),IF(C101="3 proc",IF(F101="fuel","fuel-process",IF(F101="elec","elec-process","process (no energy)")),"excluded")))</f>
        <v/>
      </c>
      <c r="H101">
        <f>IF(AND(D101&gt;0,E101&gt;0),"MIXED — energy also on "&amp;IF(F101="fuel","elec","fuel")&amp;" curve","")</f>
        <v/>
      </c>
      <c r="I101">
        <f>'Kermeli Data'!Q105</f>
        <v/>
      </c>
    </row>
    <row r="102">
      <c r="A102">
        <f>'Kermeli Data'!A106</f>
        <v/>
      </c>
      <c r="B102">
        <f>'Kermeli Data'!B106</f>
        <v/>
      </c>
      <c r="C102">
        <f>'Kermeli Data'!P106</f>
        <v/>
      </c>
      <c r="D102">
        <f>'Kermeli Data'!R106</f>
        <v/>
      </c>
      <c r="E102">
        <f>'Kermeli Data'!S106</f>
        <v/>
      </c>
      <c r="F102">
        <f>IF(AND(D102=0,E102=0),"none",IF(D102&gt;=E102,"fuel","elec"))</f>
        <v/>
      </c>
      <c r="G102">
        <f>IF(C102="1 unit","unit files",IF(C102="2 whr",IF(F102="fuel","fuel-whr",IF(F102="elec","elec-whr","whr (no energy)")),IF(C102="3 proc",IF(F102="fuel","fuel-process",IF(F102="elec","elec-process","process (no energy)")),"excluded")))</f>
        <v/>
      </c>
      <c r="H102">
        <f>IF(AND(D102&gt;0,E102&gt;0),"MIXED — energy also on "&amp;IF(F102="fuel","elec","fuel")&amp;" curve","")</f>
        <v/>
      </c>
      <c r="I102">
        <f>'Kermeli Data'!Q106</f>
        <v/>
      </c>
    </row>
    <row r="103">
      <c r="A103">
        <f>'Kermeli Data'!A107</f>
        <v/>
      </c>
      <c r="B103">
        <f>'Kermeli Data'!B107</f>
        <v/>
      </c>
      <c r="C103">
        <f>'Kermeli Data'!P107</f>
        <v/>
      </c>
      <c r="D103">
        <f>'Kermeli Data'!R107</f>
        <v/>
      </c>
      <c r="E103">
        <f>'Kermeli Data'!S107</f>
        <v/>
      </c>
      <c r="F103">
        <f>IF(AND(D103=0,E103=0),"none",IF(D103&gt;=E103,"fuel","elec"))</f>
        <v/>
      </c>
      <c r="G103">
        <f>IF(C103="1 unit","unit files",IF(C103="2 whr",IF(F103="fuel","fuel-whr",IF(F103="elec","elec-whr","whr (no energy)")),IF(C103="3 proc",IF(F103="fuel","fuel-process",IF(F103="elec","elec-process","process (no energy)")),"excluded")))</f>
        <v/>
      </c>
      <c r="H103">
        <f>IF(AND(D103&gt;0,E103&gt;0),"MIXED — energy also on "&amp;IF(F103="fuel","elec","fuel")&amp;" curve","")</f>
        <v/>
      </c>
      <c r="I103">
        <f>'Kermeli Data'!Q107</f>
        <v/>
      </c>
    </row>
    <row r="104">
      <c r="A104">
        <f>'Kermeli Data'!A108</f>
        <v/>
      </c>
      <c r="B104">
        <f>'Kermeli Data'!B108</f>
        <v/>
      </c>
      <c r="C104">
        <f>'Kermeli Data'!P108</f>
        <v/>
      </c>
      <c r="D104">
        <f>'Kermeli Data'!R108</f>
        <v/>
      </c>
      <c r="E104">
        <f>'Kermeli Data'!S108</f>
        <v/>
      </c>
      <c r="F104">
        <f>IF(AND(D104=0,E104=0),"none",IF(D104&gt;=E104,"fuel","elec"))</f>
        <v/>
      </c>
      <c r="G104">
        <f>IF(C104="1 unit","unit files",IF(C104="2 whr",IF(F104="fuel","fuel-whr",IF(F104="elec","elec-whr","whr (no energy)")),IF(C104="3 proc",IF(F104="fuel","fuel-process",IF(F104="elec","elec-process","process (no energy)")),"excluded")))</f>
        <v/>
      </c>
      <c r="H104">
        <f>IF(AND(D104&gt;0,E104&gt;0),"MIXED — energy also on "&amp;IF(F104="fuel","elec","fuel")&amp;" curve","")</f>
        <v/>
      </c>
      <c r="I104">
        <f>'Kermeli Data'!Q108</f>
        <v/>
      </c>
    </row>
    <row r="105">
      <c r="A105">
        <f>'Kermeli Data'!A109</f>
        <v/>
      </c>
      <c r="B105">
        <f>'Kermeli Data'!B109</f>
        <v/>
      </c>
      <c r="C105">
        <f>'Kermeli Data'!P109</f>
        <v/>
      </c>
      <c r="D105">
        <f>'Kermeli Data'!R109</f>
        <v/>
      </c>
      <c r="E105">
        <f>'Kermeli Data'!S109</f>
        <v/>
      </c>
      <c r="F105">
        <f>IF(AND(D105=0,E105=0),"none",IF(D105&gt;=E105,"fuel","elec"))</f>
        <v/>
      </c>
      <c r="G105">
        <f>IF(C105="1 unit","unit files",IF(C105="2 whr",IF(F105="fuel","fuel-whr",IF(F105="elec","elec-whr","whr (no energy)")),IF(C105="3 proc",IF(F105="fuel","fuel-process",IF(F105="elec","elec-process","process (no energy)")),"excluded")))</f>
        <v/>
      </c>
      <c r="H105">
        <f>IF(AND(D105&gt;0,E105&gt;0),"MIXED — energy also on "&amp;IF(F105="fuel","elec","fuel")&amp;" curve","")</f>
        <v/>
      </c>
      <c r="I105">
        <f>'Kermeli Data'!Q109</f>
        <v/>
      </c>
    </row>
    <row r="106">
      <c r="A106">
        <f>'Kermeli Data'!A110</f>
        <v/>
      </c>
      <c r="B106">
        <f>'Kermeli Data'!B110</f>
        <v/>
      </c>
      <c r="C106">
        <f>'Kermeli Data'!P110</f>
        <v/>
      </c>
      <c r="D106">
        <f>'Kermeli Data'!R110</f>
        <v/>
      </c>
      <c r="E106">
        <f>'Kermeli Data'!S110</f>
        <v/>
      </c>
      <c r="F106">
        <f>IF(AND(D106=0,E106=0),"none",IF(D106&gt;=E106,"fuel","elec"))</f>
        <v/>
      </c>
      <c r="G106">
        <f>IF(C106="1 unit","unit files",IF(C106="2 whr",IF(F106="fuel","fuel-whr",IF(F106="elec","elec-whr","whr (no energy)")),IF(C106="3 proc",IF(F106="fuel","fuel-process",IF(F106="elec","elec-process","process (no energy)")),"excluded")))</f>
        <v/>
      </c>
      <c r="H106">
        <f>IF(AND(D106&gt;0,E106&gt;0),"MIXED — energy also on "&amp;IF(F106="fuel","elec","fuel")&amp;" curve","")</f>
        <v/>
      </c>
      <c r="I106">
        <f>'Kermeli Data'!Q110</f>
        <v/>
      </c>
    </row>
    <row r="107">
      <c r="A107">
        <f>'Kermeli Data'!A111</f>
        <v/>
      </c>
      <c r="B107">
        <f>'Kermeli Data'!B111</f>
        <v/>
      </c>
      <c r="C107">
        <f>'Kermeli Data'!P111</f>
        <v/>
      </c>
      <c r="D107">
        <f>'Kermeli Data'!R111</f>
        <v/>
      </c>
      <c r="E107">
        <f>'Kermeli Data'!S111</f>
        <v/>
      </c>
      <c r="F107">
        <f>IF(AND(D107=0,E107=0),"none",IF(D107&gt;=E107,"fuel","elec"))</f>
        <v/>
      </c>
      <c r="G107">
        <f>IF(C107="1 unit","unit files",IF(C107="2 whr",IF(F107="fuel","fuel-whr",IF(F107="elec","elec-whr","whr (no energy)")),IF(C107="3 proc",IF(F107="fuel","fuel-process",IF(F107="elec","elec-process","process (no energy)")),"excluded")))</f>
        <v/>
      </c>
      <c r="H107">
        <f>IF(AND(D107&gt;0,E107&gt;0),"MIXED — energy also on "&amp;IF(F107="fuel","elec","fuel")&amp;" curve","")</f>
        <v/>
      </c>
      <c r="I107">
        <f>'Kermeli Data'!Q111</f>
        <v/>
      </c>
    </row>
    <row r="108">
      <c r="A108">
        <f>'Kermeli Data'!A112</f>
        <v/>
      </c>
      <c r="B108">
        <f>'Kermeli Data'!B112</f>
        <v/>
      </c>
      <c r="C108">
        <f>'Kermeli Data'!P112</f>
        <v/>
      </c>
      <c r="D108">
        <f>'Kermeli Data'!R112</f>
        <v/>
      </c>
      <c r="E108">
        <f>'Kermeli Data'!S112</f>
        <v/>
      </c>
      <c r="F108">
        <f>IF(AND(D108=0,E108=0),"none",IF(D108&gt;=E108,"fuel","elec"))</f>
        <v/>
      </c>
      <c r="G108">
        <f>IF(C108="1 unit","unit files",IF(C108="2 whr",IF(F108="fuel","fuel-whr",IF(F108="elec","elec-whr","whr (no energy)")),IF(C108="3 proc",IF(F108="fuel","fuel-process",IF(F108="elec","elec-process","process (no energy)")),"excluded")))</f>
        <v/>
      </c>
      <c r="H108">
        <f>IF(AND(D108&gt;0,E108&gt;0),"MIXED — energy also on "&amp;IF(F108="fuel","elec","fuel")&amp;" curve","")</f>
        <v/>
      </c>
      <c r="I108">
        <f>'Kermeli Data'!Q112</f>
        <v/>
      </c>
    </row>
    <row r="109">
      <c r="A109">
        <f>'Kermeli Data'!A113</f>
        <v/>
      </c>
      <c r="B109">
        <f>'Kermeli Data'!B113</f>
        <v/>
      </c>
      <c r="C109">
        <f>'Kermeli Data'!P113</f>
        <v/>
      </c>
      <c r="D109">
        <f>'Kermeli Data'!R113</f>
        <v/>
      </c>
      <c r="E109">
        <f>'Kermeli Data'!S113</f>
        <v/>
      </c>
      <c r="F109">
        <f>IF(AND(D109=0,E109=0),"none",IF(D109&gt;=E109,"fuel","elec"))</f>
        <v/>
      </c>
      <c r="G109">
        <f>IF(C109="1 unit","unit files",IF(C109="2 whr",IF(F109="fuel","fuel-whr",IF(F109="elec","elec-whr","whr (no energy)")),IF(C109="3 proc",IF(F109="fuel","fuel-process",IF(F109="elec","elec-process","process (no energy)")),"excluded")))</f>
        <v/>
      </c>
      <c r="H109">
        <f>IF(AND(D109&gt;0,E109&gt;0),"MIXED — energy also on "&amp;IF(F109="fuel","elec","fuel")&amp;" curve","")</f>
        <v/>
      </c>
      <c r="I109">
        <f>'Kermeli Data'!Q113</f>
        <v/>
      </c>
    </row>
    <row r="110">
      <c r="A110">
        <f>'Kermeli Data'!A114</f>
        <v/>
      </c>
      <c r="B110">
        <f>'Kermeli Data'!B114</f>
        <v/>
      </c>
      <c r="C110">
        <f>'Kermeli Data'!P114</f>
        <v/>
      </c>
      <c r="D110">
        <f>'Kermeli Data'!R114</f>
        <v/>
      </c>
      <c r="E110">
        <f>'Kermeli Data'!S114</f>
        <v/>
      </c>
      <c r="F110">
        <f>IF(AND(D110=0,E110=0),"none",IF(D110&gt;=E110,"fuel","elec"))</f>
        <v/>
      </c>
      <c r="G110">
        <f>IF(C110="1 unit","unit files",IF(C110="2 whr",IF(F110="fuel","fuel-whr",IF(F110="elec","elec-whr","whr (no energy)")),IF(C110="3 proc",IF(F110="fuel","fuel-process",IF(F110="elec","elec-process","process (no energy)")),"excluded")))</f>
        <v/>
      </c>
      <c r="H110">
        <f>IF(AND(D110&gt;0,E110&gt;0),"MIXED — energy also on "&amp;IF(F110="fuel","elec","fuel")&amp;" curve","")</f>
        <v/>
      </c>
      <c r="I110">
        <f>'Kermeli Data'!Q114</f>
        <v/>
      </c>
    </row>
    <row r="111">
      <c r="A111">
        <f>'Kermeli Data'!A115</f>
        <v/>
      </c>
      <c r="B111">
        <f>'Kermeli Data'!B115</f>
        <v/>
      </c>
      <c r="C111">
        <f>'Kermeli Data'!P115</f>
        <v/>
      </c>
      <c r="D111">
        <f>'Kermeli Data'!R115</f>
        <v/>
      </c>
      <c r="E111">
        <f>'Kermeli Data'!S115</f>
        <v/>
      </c>
      <c r="F111">
        <f>IF(AND(D111=0,E111=0),"none",IF(D111&gt;=E111,"fuel","elec"))</f>
        <v/>
      </c>
      <c r="G111">
        <f>IF(C111="1 unit","unit files",IF(C111="2 whr",IF(F111="fuel","fuel-whr",IF(F111="elec","elec-whr","whr (no energy)")),IF(C111="3 proc",IF(F111="fuel","fuel-process",IF(F111="elec","elec-process","process (no energy)")),"excluded")))</f>
        <v/>
      </c>
      <c r="H111">
        <f>IF(AND(D111&gt;0,E111&gt;0),"MIXED — energy also on "&amp;IF(F111="fuel","elec","fuel")&amp;" curve","")</f>
        <v/>
      </c>
      <c r="I111">
        <f>'Kermeli Data'!Q115</f>
        <v/>
      </c>
    </row>
    <row r="112">
      <c r="A112">
        <f>'Kermeli Data'!A116</f>
        <v/>
      </c>
      <c r="B112">
        <f>'Kermeli Data'!B116</f>
        <v/>
      </c>
      <c r="C112">
        <f>'Kermeli Data'!P116</f>
        <v/>
      </c>
      <c r="D112">
        <f>'Kermeli Data'!R116</f>
        <v/>
      </c>
      <c r="E112">
        <f>'Kermeli Data'!S116</f>
        <v/>
      </c>
      <c r="F112">
        <f>IF(AND(D112=0,E112=0),"none",IF(D112&gt;=E112,"fuel","elec"))</f>
        <v/>
      </c>
      <c r="G112">
        <f>IF(C112="1 unit","unit files",IF(C112="2 whr",IF(F112="fuel","fuel-whr",IF(F112="elec","elec-whr","whr (no energy)")),IF(C112="3 proc",IF(F112="fuel","fuel-process",IF(F112="elec","elec-process","process (no energy)")),"excluded")))</f>
        <v/>
      </c>
      <c r="H112">
        <f>IF(AND(D112&gt;0,E112&gt;0),"MIXED — energy also on "&amp;IF(F112="fuel","elec","fuel")&amp;" curve","")</f>
        <v/>
      </c>
      <c r="I112">
        <f>'Kermeli Data'!Q116</f>
        <v/>
      </c>
    </row>
    <row r="113">
      <c r="A113">
        <f>'Kermeli Data'!A117</f>
        <v/>
      </c>
      <c r="B113">
        <f>'Kermeli Data'!B117</f>
        <v/>
      </c>
      <c r="C113">
        <f>'Kermeli Data'!P117</f>
        <v/>
      </c>
      <c r="D113">
        <f>'Kermeli Data'!R117</f>
        <v/>
      </c>
      <c r="E113">
        <f>'Kermeli Data'!S117</f>
        <v/>
      </c>
      <c r="F113">
        <f>IF(AND(D113=0,E113=0),"none",IF(D113&gt;=E113,"fuel","elec"))</f>
        <v/>
      </c>
      <c r="G113">
        <f>IF(C113="1 unit","unit files",IF(C113="2 whr",IF(F113="fuel","fuel-whr",IF(F113="elec","elec-whr","whr (no energy)")),IF(C113="3 proc",IF(F113="fuel","fuel-process",IF(F113="elec","elec-process","process (no energy)")),"excluded")))</f>
        <v/>
      </c>
      <c r="H113">
        <f>IF(AND(D113&gt;0,E113&gt;0),"MIXED — energy also on "&amp;IF(F113="fuel","elec","fuel")&amp;" curve","")</f>
        <v/>
      </c>
      <c r="I113">
        <f>'Kermeli Data'!Q117</f>
        <v/>
      </c>
    </row>
    <row r="114">
      <c r="A114">
        <f>'Kermeli Data'!A118</f>
        <v/>
      </c>
      <c r="B114">
        <f>'Kermeli Data'!B118</f>
        <v/>
      </c>
      <c r="C114">
        <f>'Kermeli Data'!P118</f>
        <v/>
      </c>
      <c r="D114">
        <f>'Kermeli Data'!R118</f>
        <v/>
      </c>
      <c r="E114">
        <f>'Kermeli Data'!S118</f>
        <v/>
      </c>
      <c r="F114">
        <f>IF(AND(D114=0,E114=0),"none",IF(D114&gt;=E114,"fuel","elec"))</f>
        <v/>
      </c>
      <c r="G114">
        <f>IF(C114="1 unit","unit files",IF(C114="2 whr",IF(F114="fuel","fuel-whr",IF(F114="elec","elec-whr","whr (no energy)")),IF(C114="3 proc",IF(F114="fuel","fuel-process",IF(F114="elec","elec-process","process (no energy)")),"excluded")))</f>
        <v/>
      </c>
      <c r="H114">
        <f>IF(AND(D114&gt;0,E114&gt;0),"MIXED — energy also on "&amp;IF(F114="fuel","elec","fuel")&amp;" curve","")</f>
        <v/>
      </c>
      <c r="I114">
        <f>'Kermeli Data'!Q118</f>
        <v/>
      </c>
    </row>
    <row r="115">
      <c r="A115">
        <f>'Kermeli Data'!A119</f>
        <v/>
      </c>
      <c r="B115">
        <f>'Kermeli Data'!B119</f>
        <v/>
      </c>
      <c r="C115">
        <f>'Kermeli Data'!P119</f>
        <v/>
      </c>
      <c r="D115">
        <f>'Kermeli Data'!R119</f>
        <v/>
      </c>
      <c r="E115">
        <f>'Kermeli Data'!S119</f>
        <v/>
      </c>
      <c r="F115">
        <f>IF(AND(D115=0,E115=0),"none",IF(D115&gt;=E115,"fuel","elec"))</f>
        <v/>
      </c>
      <c r="G115">
        <f>IF(C115="1 unit","unit files",IF(C115="2 whr",IF(F115="fuel","fuel-whr",IF(F115="elec","elec-whr","whr (no energy)")),IF(C115="3 proc",IF(F115="fuel","fuel-process",IF(F115="elec","elec-process","process (no energy)")),"excluded")))</f>
        <v/>
      </c>
      <c r="H115">
        <f>IF(AND(D115&gt;0,E115&gt;0),"MIXED — energy also on "&amp;IF(F115="fuel","elec","fuel")&amp;" curve","")</f>
        <v/>
      </c>
      <c r="I115">
        <f>'Kermeli Data'!Q119</f>
        <v/>
      </c>
    </row>
    <row r="116">
      <c r="A116">
        <f>'Kermeli Data'!A120</f>
        <v/>
      </c>
      <c r="B116">
        <f>'Kermeli Data'!B120</f>
        <v/>
      </c>
      <c r="C116">
        <f>'Kermeli Data'!P120</f>
        <v/>
      </c>
      <c r="D116">
        <f>'Kermeli Data'!R120</f>
        <v/>
      </c>
      <c r="E116">
        <f>'Kermeli Data'!S120</f>
        <v/>
      </c>
      <c r="F116">
        <f>IF(AND(D116=0,E116=0),"none",IF(D116&gt;=E116,"fuel","elec"))</f>
        <v/>
      </c>
      <c r="G116">
        <f>IF(C116="1 unit","unit files",IF(C116="2 whr",IF(F116="fuel","fuel-whr",IF(F116="elec","elec-whr","whr (no energy)")),IF(C116="3 proc",IF(F116="fuel","fuel-process",IF(F116="elec","elec-process","process (no energy)")),"excluded")))</f>
        <v/>
      </c>
      <c r="H116">
        <f>IF(AND(D116&gt;0,E116&gt;0),"MIXED — energy also on "&amp;IF(F116="fuel","elec","fuel")&amp;" curve","")</f>
        <v/>
      </c>
      <c r="I116">
        <f>'Kermeli Data'!Q120</f>
        <v/>
      </c>
    </row>
    <row r="117">
      <c r="A117">
        <f>'Kermeli Data'!A121</f>
        <v/>
      </c>
      <c r="B117">
        <f>'Kermeli Data'!B121</f>
        <v/>
      </c>
      <c r="C117">
        <f>'Kermeli Data'!P121</f>
        <v/>
      </c>
      <c r="D117">
        <f>'Kermeli Data'!R121</f>
        <v/>
      </c>
      <c r="E117">
        <f>'Kermeli Data'!S121</f>
        <v/>
      </c>
      <c r="F117">
        <f>IF(AND(D117=0,E117=0),"none",IF(D117&gt;=E117,"fuel","elec"))</f>
        <v/>
      </c>
      <c r="G117">
        <f>IF(C117="1 unit","unit files",IF(C117="2 whr",IF(F117="fuel","fuel-whr",IF(F117="elec","elec-whr","whr (no energy)")),IF(C117="3 proc",IF(F117="fuel","fuel-process",IF(F117="elec","elec-process","process (no energy)")),"excluded")))</f>
        <v/>
      </c>
      <c r="H117">
        <f>IF(AND(D117&gt;0,E117&gt;0),"MIXED — energy also on "&amp;IF(F117="fuel","elec","fuel")&amp;" curve","")</f>
        <v/>
      </c>
      <c r="I117">
        <f>'Kermeli Data'!Q121</f>
        <v/>
      </c>
    </row>
    <row r="118">
      <c r="A118">
        <f>'Kermeli Data'!A122</f>
        <v/>
      </c>
      <c r="B118">
        <f>'Kermeli Data'!B122</f>
        <v/>
      </c>
      <c r="C118">
        <f>'Kermeli Data'!P122</f>
        <v/>
      </c>
      <c r="D118">
        <f>'Kermeli Data'!R122</f>
        <v/>
      </c>
      <c r="E118">
        <f>'Kermeli Data'!S122</f>
        <v/>
      </c>
      <c r="F118">
        <f>IF(AND(D118=0,E118=0),"none",IF(D118&gt;=E118,"fuel","elec"))</f>
        <v/>
      </c>
      <c r="G118">
        <f>IF(C118="1 unit","unit files",IF(C118="2 whr",IF(F118="fuel","fuel-whr",IF(F118="elec","elec-whr","whr (no energy)")),IF(C118="3 proc",IF(F118="fuel","fuel-process",IF(F118="elec","elec-process","process (no energy)")),"excluded")))</f>
        <v/>
      </c>
      <c r="H118">
        <f>IF(AND(D118&gt;0,E118&gt;0),"MIXED — energy also on "&amp;IF(F118="fuel","elec","fuel")&amp;" curve","")</f>
        <v/>
      </c>
      <c r="I118">
        <f>'Kermeli Data'!Q122</f>
        <v/>
      </c>
    </row>
    <row r="119">
      <c r="A119">
        <f>'Kermeli Data'!A123</f>
        <v/>
      </c>
      <c r="B119">
        <f>'Kermeli Data'!B123</f>
        <v/>
      </c>
      <c r="C119">
        <f>'Kermeli Data'!P123</f>
        <v/>
      </c>
      <c r="D119">
        <f>'Kermeli Data'!R123</f>
        <v/>
      </c>
      <c r="E119">
        <f>'Kermeli Data'!S123</f>
        <v/>
      </c>
      <c r="F119">
        <f>IF(AND(D119=0,E119=0),"none",IF(D119&gt;=E119,"fuel","elec"))</f>
        <v/>
      </c>
      <c r="G119">
        <f>IF(C119="1 unit","unit files",IF(C119="2 whr",IF(F119="fuel","fuel-whr",IF(F119="elec","elec-whr","whr (no energy)")),IF(C119="3 proc",IF(F119="fuel","fuel-process",IF(F119="elec","elec-process","process (no energy)")),"excluded")))</f>
        <v/>
      </c>
      <c r="H119">
        <f>IF(AND(D119&gt;0,E119&gt;0),"MIXED — energy also on "&amp;IF(F119="fuel","elec","fuel")&amp;" curve","")</f>
        <v/>
      </c>
      <c r="I119">
        <f>'Kermeli Data'!Q123</f>
        <v/>
      </c>
    </row>
    <row r="120">
      <c r="A120">
        <f>'Kermeli Data'!A124</f>
        <v/>
      </c>
      <c r="B120">
        <f>'Kermeli Data'!B124</f>
        <v/>
      </c>
      <c r="C120">
        <f>'Kermeli Data'!P124</f>
        <v/>
      </c>
      <c r="D120">
        <f>'Kermeli Data'!R124</f>
        <v/>
      </c>
      <c r="E120">
        <f>'Kermeli Data'!S124</f>
        <v/>
      </c>
      <c r="F120">
        <f>IF(AND(D120=0,E120=0),"none",IF(D120&gt;=E120,"fuel","elec"))</f>
        <v/>
      </c>
      <c r="G120">
        <f>IF(C120="1 unit","unit files",IF(C120="2 whr",IF(F120="fuel","fuel-whr",IF(F120="elec","elec-whr","whr (no energy)")),IF(C120="3 proc",IF(F120="fuel","fuel-process",IF(F120="elec","elec-process","process (no energy)")),"excluded")))</f>
        <v/>
      </c>
      <c r="H120">
        <f>IF(AND(D120&gt;0,E120&gt;0),"MIXED — energy also on "&amp;IF(F120="fuel","elec","fuel")&amp;" curve","")</f>
        <v/>
      </c>
      <c r="I120">
        <f>'Kermeli Data'!Q124</f>
        <v/>
      </c>
    </row>
    <row r="121">
      <c r="A121">
        <f>'Kermeli Data'!A125</f>
        <v/>
      </c>
      <c r="B121">
        <f>'Kermeli Data'!B125</f>
        <v/>
      </c>
      <c r="C121">
        <f>'Kermeli Data'!P125</f>
        <v/>
      </c>
      <c r="D121">
        <f>'Kermeli Data'!R125</f>
        <v/>
      </c>
      <c r="E121">
        <f>'Kermeli Data'!S125</f>
        <v/>
      </c>
      <c r="F121">
        <f>IF(AND(D121=0,E121=0),"none",IF(D121&gt;=E121,"fuel","elec"))</f>
        <v/>
      </c>
      <c r="G121">
        <f>IF(C121="1 unit","unit files",IF(C121="2 whr",IF(F121="fuel","fuel-whr",IF(F121="elec","elec-whr","whr (no energy)")),IF(C121="3 proc",IF(F121="fuel","fuel-process",IF(F121="elec","elec-process","process (no energy)")),"excluded")))</f>
        <v/>
      </c>
      <c r="H121">
        <f>IF(AND(D121&gt;0,E121&gt;0),"MIXED — energy also on "&amp;IF(F121="fuel","elec","fuel")&amp;" curve","")</f>
        <v/>
      </c>
      <c r="I121">
        <f>'Kermeli Data'!Q125</f>
        <v/>
      </c>
    </row>
    <row r="122">
      <c r="A122">
        <f>'Kermeli Data'!A126</f>
        <v/>
      </c>
      <c r="B122">
        <f>'Kermeli Data'!B126</f>
        <v/>
      </c>
      <c r="C122">
        <f>'Kermeli Data'!P126</f>
        <v/>
      </c>
      <c r="D122">
        <f>'Kermeli Data'!R126</f>
        <v/>
      </c>
      <c r="E122">
        <f>'Kermeli Data'!S126</f>
        <v/>
      </c>
      <c r="F122">
        <f>IF(AND(D122=0,E122=0),"none",IF(D122&gt;=E122,"fuel","elec"))</f>
        <v/>
      </c>
      <c r="G122">
        <f>IF(C122="1 unit","unit files",IF(C122="2 whr",IF(F122="fuel","fuel-whr",IF(F122="elec","elec-whr","whr (no energy)")),IF(C122="3 proc",IF(F122="fuel","fuel-process",IF(F122="elec","elec-process","process (no energy)")),"excluded")))</f>
        <v/>
      </c>
      <c r="H122">
        <f>IF(AND(D122&gt;0,E122&gt;0),"MIXED — energy also on "&amp;IF(F122="fuel","elec","fuel")&amp;" curve","")</f>
        <v/>
      </c>
      <c r="I122">
        <f>'Kermeli Data'!Q126</f>
        <v/>
      </c>
    </row>
    <row r="123">
      <c r="A123">
        <f>'Kermeli Data'!A127</f>
        <v/>
      </c>
      <c r="B123">
        <f>'Kermeli Data'!B127</f>
        <v/>
      </c>
      <c r="C123">
        <f>'Kermeli Data'!P127</f>
        <v/>
      </c>
      <c r="D123">
        <f>'Kermeli Data'!R127</f>
        <v/>
      </c>
      <c r="E123">
        <f>'Kermeli Data'!S127</f>
        <v/>
      </c>
      <c r="F123">
        <f>IF(AND(D123=0,E123=0),"none",IF(D123&gt;=E123,"fuel","elec"))</f>
        <v/>
      </c>
      <c r="G123">
        <f>IF(C123="1 unit","unit files",IF(C123="2 whr",IF(F123="fuel","fuel-whr",IF(F123="elec","elec-whr","whr (no energy)")),IF(C123="3 proc",IF(F123="fuel","fuel-process",IF(F123="elec","elec-process","process (no energy)")),"excluded")))</f>
        <v/>
      </c>
      <c r="H123">
        <f>IF(AND(D123&gt;0,E123&gt;0),"MIXED — energy also on "&amp;IF(F123="fuel","elec","fuel")&amp;" curve","")</f>
        <v/>
      </c>
      <c r="I123">
        <f>'Kermeli Data'!Q127</f>
        <v/>
      </c>
    </row>
    <row r="124">
      <c r="A124">
        <f>'Kermeli Data'!A128</f>
        <v/>
      </c>
      <c r="B124">
        <f>'Kermeli Data'!B128</f>
        <v/>
      </c>
      <c r="C124">
        <f>'Kermeli Data'!P128</f>
        <v/>
      </c>
      <c r="D124">
        <f>'Kermeli Data'!R128</f>
        <v/>
      </c>
      <c r="E124">
        <f>'Kermeli Data'!S128</f>
        <v/>
      </c>
      <c r="F124">
        <f>IF(AND(D124=0,E124=0),"none",IF(D124&gt;=E124,"fuel","elec"))</f>
        <v/>
      </c>
      <c r="G124">
        <f>IF(C124="1 unit","unit files",IF(C124="2 whr",IF(F124="fuel","fuel-whr",IF(F124="elec","elec-whr","whr (no energy)")),IF(C124="3 proc",IF(F124="fuel","fuel-process",IF(F124="elec","elec-process","process (no energy)")),"excluded")))</f>
        <v/>
      </c>
      <c r="H124">
        <f>IF(AND(D124&gt;0,E124&gt;0),"MIXED — energy also on "&amp;IF(F124="fuel","elec","fuel")&amp;" curve","")</f>
        <v/>
      </c>
      <c r="I124">
        <f>'Kermeli Data'!Q128</f>
        <v/>
      </c>
    </row>
    <row r="125">
      <c r="A125">
        <f>'Kermeli Data'!A129</f>
        <v/>
      </c>
      <c r="B125">
        <f>'Kermeli Data'!B129</f>
        <v/>
      </c>
      <c r="C125">
        <f>'Kermeli Data'!P129</f>
        <v/>
      </c>
      <c r="D125">
        <f>'Kermeli Data'!R129</f>
        <v/>
      </c>
      <c r="E125">
        <f>'Kermeli Data'!S129</f>
        <v/>
      </c>
      <c r="F125">
        <f>IF(AND(D125=0,E125=0),"none",IF(D125&gt;=E125,"fuel","elec"))</f>
        <v/>
      </c>
      <c r="G125">
        <f>IF(C125="1 unit","unit files",IF(C125="2 whr",IF(F125="fuel","fuel-whr",IF(F125="elec","elec-whr","whr (no energy)")),IF(C125="3 proc",IF(F125="fuel","fuel-process",IF(F125="elec","elec-process","process (no energy)")),"excluded")))</f>
        <v/>
      </c>
      <c r="H125">
        <f>IF(AND(D125&gt;0,E125&gt;0),"MIXED — energy also on "&amp;IF(F125="fuel","elec","fuel")&amp;" curve","")</f>
        <v/>
      </c>
      <c r="I125">
        <f>'Kermeli Data'!Q129</f>
        <v/>
      </c>
    </row>
    <row r="126">
      <c r="A126">
        <f>'Kermeli Data'!A130</f>
        <v/>
      </c>
      <c r="B126">
        <f>'Kermeli Data'!B130</f>
        <v/>
      </c>
      <c r="C126">
        <f>'Kermeli Data'!P130</f>
        <v/>
      </c>
      <c r="D126">
        <f>'Kermeli Data'!R130</f>
        <v/>
      </c>
      <c r="E126">
        <f>'Kermeli Data'!S130</f>
        <v/>
      </c>
      <c r="F126">
        <f>IF(AND(D126=0,E126=0),"none",IF(D126&gt;=E126,"fuel","elec"))</f>
        <v/>
      </c>
      <c r="G126">
        <f>IF(C126="1 unit","unit files",IF(C126="2 whr",IF(F126="fuel","fuel-whr",IF(F126="elec","elec-whr","whr (no energy)")),IF(C126="3 proc",IF(F126="fuel","fuel-process",IF(F126="elec","elec-process","process (no energy)")),"excluded")))</f>
        <v/>
      </c>
      <c r="H126">
        <f>IF(AND(D126&gt;0,E126&gt;0),"MIXED — energy also on "&amp;IF(F126="fuel","elec","fuel")&amp;" curve","")</f>
        <v/>
      </c>
      <c r="I126">
        <f>'Kermeli Data'!Q130</f>
        <v/>
      </c>
    </row>
    <row r="127">
      <c r="A127">
        <f>'Kermeli Data'!A131</f>
        <v/>
      </c>
      <c r="B127">
        <f>'Kermeli Data'!B131</f>
        <v/>
      </c>
      <c r="C127">
        <f>'Kermeli Data'!P131</f>
        <v/>
      </c>
      <c r="D127">
        <f>'Kermeli Data'!R131</f>
        <v/>
      </c>
      <c r="E127">
        <f>'Kermeli Data'!S131</f>
        <v/>
      </c>
      <c r="F127">
        <f>IF(AND(D127=0,E127=0),"none",IF(D127&gt;=E127,"fuel","elec"))</f>
        <v/>
      </c>
      <c r="G127">
        <f>IF(C127="1 unit","unit files",IF(C127="2 whr",IF(F127="fuel","fuel-whr",IF(F127="elec","elec-whr","whr (no energy)")),IF(C127="3 proc",IF(F127="fuel","fuel-process",IF(F127="elec","elec-process","process (no energy)")),"excluded")))</f>
        <v/>
      </c>
      <c r="H127">
        <f>IF(AND(D127&gt;0,E127&gt;0),"MIXED — energy also on "&amp;IF(F127="fuel","elec","fuel")&amp;" curve","")</f>
        <v/>
      </c>
      <c r="I127">
        <f>'Kermeli Data'!Q131</f>
        <v/>
      </c>
    </row>
    <row r="128">
      <c r="A128">
        <f>'Kermeli Data'!A132</f>
        <v/>
      </c>
      <c r="B128">
        <f>'Kermeli Data'!B132</f>
        <v/>
      </c>
      <c r="C128">
        <f>'Kermeli Data'!P132</f>
        <v/>
      </c>
      <c r="D128">
        <f>'Kermeli Data'!R132</f>
        <v/>
      </c>
      <c r="E128">
        <f>'Kermeli Data'!S132</f>
        <v/>
      </c>
      <c r="F128">
        <f>IF(AND(D128=0,E128=0),"none",IF(D128&gt;=E128,"fuel","elec"))</f>
        <v/>
      </c>
      <c r="G128">
        <f>IF(C128="1 unit","unit files",IF(C128="2 whr",IF(F128="fuel","fuel-whr",IF(F128="elec","elec-whr","whr (no energy)")),IF(C128="3 proc",IF(F128="fuel","fuel-process",IF(F128="elec","elec-process","process (no energy)")),"excluded")))</f>
        <v/>
      </c>
      <c r="H128">
        <f>IF(AND(D128&gt;0,E128&gt;0),"MIXED — energy also on "&amp;IF(F128="fuel","elec","fuel")&amp;" curve","")</f>
        <v/>
      </c>
      <c r="I128">
        <f>'Kermeli Data'!Q132</f>
        <v/>
      </c>
    </row>
    <row r="129">
      <c r="A129">
        <f>'Kermeli Data'!A133</f>
        <v/>
      </c>
      <c r="B129">
        <f>'Kermeli Data'!B133</f>
        <v/>
      </c>
      <c r="C129">
        <f>'Kermeli Data'!P133</f>
        <v/>
      </c>
      <c r="D129">
        <f>'Kermeli Data'!R133</f>
        <v/>
      </c>
      <c r="E129">
        <f>'Kermeli Data'!S133</f>
        <v/>
      </c>
      <c r="F129">
        <f>IF(AND(D129=0,E129=0),"none",IF(D129&gt;=E129,"fuel","elec"))</f>
        <v/>
      </c>
      <c r="G129">
        <f>IF(C129="1 unit","unit files",IF(C129="2 whr",IF(F129="fuel","fuel-whr",IF(F129="elec","elec-whr","whr (no energy)")),IF(C129="3 proc",IF(F129="fuel","fuel-process",IF(F129="elec","elec-process","process (no energy)")),"excluded")))</f>
        <v/>
      </c>
      <c r="H129">
        <f>IF(AND(D129&gt;0,E129&gt;0),"MIXED — energy also on "&amp;IF(F129="fuel","elec","fuel")&amp;" curve","")</f>
        <v/>
      </c>
      <c r="I129">
        <f>'Kermeli Data'!Q133</f>
        <v/>
      </c>
    </row>
    <row r="130">
      <c r="A130">
        <f>'Kermeli Data'!A134</f>
        <v/>
      </c>
      <c r="B130">
        <f>'Kermeli Data'!B134</f>
        <v/>
      </c>
      <c r="C130">
        <f>'Kermeli Data'!P134</f>
        <v/>
      </c>
      <c r="D130">
        <f>'Kermeli Data'!R134</f>
        <v/>
      </c>
      <c r="E130">
        <f>'Kermeli Data'!S134</f>
        <v/>
      </c>
      <c r="F130">
        <f>IF(AND(D130=0,E130=0),"none",IF(D130&gt;=E130,"fuel","elec"))</f>
        <v/>
      </c>
      <c r="G130">
        <f>IF(C130="1 unit","unit files",IF(C130="2 whr",IF(F130="fuel","fuel-whr",IF(F130="elec","elec-whr","whr (no energy)")),IF(C130="3 proc",IF(F130="fuel","fuel-process",IF(F130="elec","elec-process","process (no energy)")),"excluded")))</f>
        <v/>
      </c>
      <c r="H130">
        <f>IF(AND(D130&gt;0,E130&gt;0),"MIXED — energy also on "&amp;IF(F130="fuel","elec","fuel")&amp;" curve","")</f>
        <v/>
      </c>
      <c r="I130">
        <f>'Kermeli Data'!Q134</f>
        <v/>
      </c>
    </row>
    <row r="131">
      <c r="A131">
        <f>'Kermeli Data'!A135</f>
        <v/>
      </c>
      <c r="B131">
        <f>'Kermeli Data'!B135</f>
        <v/>
      </c>
      <c r="C131">
        <f>'Kermeli Data'!P135</f>
        <v/>
      </c>
      <c r="D131">
        <f>'Kermeli Data'!R135</f>
        <v/>
      </c>
      <c r="E131">
        <f>'Kermeli Data'!S135</f>
        <v/>
      </c>
      <c r="F131">
        <f>IF(AND(D131=0,E131=0),"none",IF(D131&gt;=E131,"fuel","elec"))</f>
        <v/>
      </c>
      <c r="G131">
        <f>IF(C131="1 unit","unit files",IF(C131="2 whr",IF(F131="fuel","fuel-whr",IF(F131="elec","elec-whr","whr (no energy)")),IF(C131="3 proc",IF(F131="fuel","fuel-process",IF(F131="elec","elec-process","process (no energy)")),"excluded")))</f>
        <v/>
      </c>
      <c r="H131">
        <f>IF(AND(D131&gt;0,E131&gt;0),"MIXED — energy also on "&amp;IF(F131="fuel","elec","fuel")&amp;" curve","")</f>
        <v/>
      </c>
      <c r="I131">
        <f>'Kermeli Data'!Q135</f>
        <v/>
      </c>
    </row>
    <row r="132">
      <c r="A132">
        <f>'Kermeli Data'!A136</f>
        <v/>
      </c>
      <c r="B132">
        <f>'Kermeli Data'!B136</f>
        <v/>
      </c>
      <c r="C132">
        <f>'Kermeli Data'!P136</f>
        <v/>
      </c>
      <c r="D132">
        <f>'Kermeli Data'!R136</f>
        <v/>
      </c>
      <c r="E132">
        <f>'Kermeli Data'!S136</f>
        <v/>
      </c>
      <c r="F132">
        <f>IF(AND(D132=0,E132=0),"none",IF(D132&gt;=E132,"fuel","elec"))</f>
        <v/>
      </c>
      <c r="G132">
        <f>IF(C132="1 unit","unit files",IF(C132="2 whr",IF(F132="fuel","fuel-whr",IF(F132="elec","elec-whr","whr (no energy)")),IF(C132="3 proc",IF(F132="fuel","fuel-process",IF(F132="elec","elec-process","process (no energy)")),"excluded")))</f>
        <v/>
      </c>
      <c r="H132">
        <f>IF(AND(D132&gt;0,E132&gt;0),"MIXED — energy also on "&amp;IF(F132="fuel","elec","fuel")&amp;" curve","")</f>
        <v/>
      </c>
      <c r="I132">
        <f>'Kermeli Data'!Q136</f>
        <v/>
      </c>
    </row>
    <row r="133">
      <c r="A133">
        <f>'Kermeli Data'!A137</f>
        <v/>
      </c>
      <c r="B133">
        <f>'Kermeli Data'!B137</f>
        <v/>
      </c>
      <c r="C133">
        <f>'Kermeli Data'!P137</f>
        <v/>
      </c>
      <c r="D133">
        <f>'Kermeli Data'!R137</f>
        <v/>
      </c>
      <c r="E133">
        <f>'Kermeli Data'!S137</f>
        <v/>
      </c>
      <c r="F133">
        <f>IF(AND(D133=0,E133=0),"none",IF(D133&gt;=E133,"fuel","elec"))</f>
        <v/>
      </c>
      <c r="G133">
        <f>IF(C133="1 unit","unit files",IF(C133="2 whr",IF(F133="fuel","fuel-whr",IF(F133="elec","elec-whr","whr (no energy)")),IF(C133="3 proc",IF(F133="fuel","fuel-process",IF(F133="elec","elec-process","process (no energy)")),"excluded")))</f>
        <v/>
      </c>
      <c r="H133">
        <f>IF(AND(D133&gt;0,E133&gt;0),"MIXED — energy also on "&amp;IF(F133="fuel","elec","fuel")&amp;" curve","")</f>
        <v/>
      </c>
      <c r="I133">
        <f>'Kermeli Data'!Q137</f>
        <v/>
      </c>
    </row>
    <row r="134">
      <c r="A134">
        <f>'Kermeli Data'!A138</f>
        <v/>
      </c>
      <c r="B134">
        <f>'Kermeli Data'!B138</f>
        <v/>
      </c>
      <c r="C134">
        <f>'Kermeli Data'!P138</f>
        <v/>
      </c>
      <c r="D134">
        <f>'Kermeli Data'!R138</f>
        <v/>
      </c>
      <c r="E134">
        <f>'Kermeli Data'!S138</f>
        <v/>
      </c>
      <c r="F134">
        <f>IF(AND(D134=0,E134=0),"none",IF(D134&gt;=E134,"fuel","elec"))</f>
        <v/>
      </c>
      <c r="G134">
        <f>IF(C134="1 unit","unit files",IF(C134="2 whr",IF(F134="fuel","fuel-whr",IF(F134="elec","elec-whr","whr (no energy)")),IF(C134="3 proc",IF(F134="fuel","fuel-process",IF(F134="elec","elec-process","process (no energy)")),"excluded")))</f>
        <v/>
      </c>
      <c r="H134">
        <f>IF(AND(D134&gt;0,E134&gt;0),"MIXED — energy also on "&amp;IF(F134="fuel","elec","fuel")&amp;" curve","")</f>
        <v/>
      </c>
      <c r="I134">
        <f>'Kermeli Data'!Q138</f>
        <v/>
      </c>
    </row>
    <row r="135">
      <c r="A135">
        <f>'Kermeli Data'!A139</f>
        <v/>
      </c>
      <c r="B135">
        <f>'Kermeli Data'!B139</f>
        <v/>
      </c>
      <c r="C135">
        <f>'Kermeli Data'!P139</f>
        <v/>
      </c>
      <c r="D135">
        <f>'Kermeli Data'!R139</f>
        <v/>
      </c>
      <c r="E135">
        <f>'Kermeli Data'!S139</f>
        <v/>
      </c>
      <c r="F135">
        <f>IF(AND(D135=0,E135=0),"none",IF(D135&gt;=E135,"fuel","elec"))</f>
        <v/>
      </c>
      <c r="G135">
        <f>IF(C135="1 unit","unit files",IF(C135="2 whr",IF(F135="fuel","fuel-whr",IF(F135="elec","elec-whr","whr (no energy)")),IF(C135="3 proc",IF(F135="fuel","fuel-process",IF(F135="elec","elec-process","process (no energy)")),"excluded")))</f>
        <v/>
      </c>
      <c r="H135">
        <f>IF(AND(D135&gt;0,E135&gt;0),"MIXED — energy also on "&amp;IF(F135="fuel","elec","fuel")&amp;" curve","")</f>
        <v/>
      </c>
      <c r="I135">
        <f>'Kermeli Data'!Q139</f>
        <v/>
      </c>
    </row>
    <row r="136">
      <c r="A136">
        <f>'Kermeli Data'!A140</f>
        <v/>
      </c>
      <c r="B136">
        <f>'Kermeli Data'!B140</f>
        <v/>
      </c>
      <c r="C136">
        <f>'Kermeli Data'!P140</f>
        <v/>
      </c>
      <c r="D136">
        <f>'Kermeli Data'!R140</f>
        <v/>
      </c>
      <c r="E136">
        <f>'Kermeli Data'!S140</f>
        <v/>
      </c>
      <c r="F136">
        <f>IF(AND(D136=0,E136=0),"none",IF(D136&gt;=E136,"fuel","elec"))</f>
        <v/>
      </c>
      <c r="G136">
        <f>IF(C136="1 unit","unit files",IF(C136="2 whr",IF(F136="fuel","fuel-whr",IF(F136="elec","elec-whr","whr (no energy)")),IF(C136="3 proc",IF(F136="fuel","fuel-process",IF(F136="elec","elec-process","process (no energy)")),"excluded")))</f>
        <v/>
      </c>
      <c r="H136">
        <f>IF(AND(D136&gt;0,E136&gt;0),"MIXED — energy also on "&amp;IF(F136="fuel","elec","fuel")&amp;" curve","")</f>
        <v/>
      </c>
      <c r="I136">
        <f>'Kermeli Data'!Q140</f>
        <v/>
      </c>
    </row>
    <row r="137">
      <c r="A137">
        <f>'Kermeli Data'!A141</f>
        <v/>
      </c>
      <c r="B137">
        <f>'Kermeli Data'!B141</f>
        <v/>
      </c>
      <c r="C137">
        <f>'Kermeli Data'!P141</f>
        <v/>
      </c>
      <c r="D137">
        <f>'Kermeli Data'!R141</f>
        <v/>
      </c>
      <c r="E137">
        <f>'Kermeli Data'!S141</f>
        <v/>
      </c>
      <c r="F137">
        <f>IF(AND(D137=0,E137=0),"none",IF(D137&gt;=E137,"fuel","elec"))</f>
        <v/>
      </c>
      <c r="G137">
        <f>IF(C137="1 unit","unit files",IF(C137="2 whr",IF(F137="fuel","fuel-whr",IF(F137="elec","elec-whr","whr (no energy)")),IF(C137="3 proc",IF(F137="fuel","fuel-process",IF(F137="elec","elec-process","process (no energy)")),"excluded")))</f>
        <v/>
      </c>
      <c r="H137">
        <f>IF(AND(D137&gt;0,E137&gt;0),"MIXED — energy also on "&amp;IF(F137="fuel","elec","fuel")&amp;" curve","")</f>
        <v/>
      </c>
      <c r="I137">
        <f>'Kermeli Data'!Q141</f>
        <v/>
      </c>
    </row>
    <row r="138">
      <c r="A138">
        <f>'Kermeli Data'!A142</f>
        <v/>
      </c>
      <c r="B138">
        <f>'Kermeli Data'!B142</f>
        <v/>
      </c>
      <c r="C138">
        <f>'Kermeli Data'!P142</f>
        <v/>
      </c>
      <c r="D138">
        <f>'Kermeli Data'!R142</f>
        <v/>
      </c>
      <c r="E138">
        <f>'Kermeli Data'!S142</f>
        <v/>
      </c>
      <c r="F138">
        <f>IF(AND(D138=0,E138=0),"none",IF(D138&gt;=E138,"fuel","elec"))</f>
        <v/>
      </c>
      <c r="G138">
        <f>IF(C138="1 unit","unit files",IF(C138="2 whr",IF(F138="fuel","fuel-whr",IF(F138="elec","elec-whr","whr (no energy)")),IF(C138="3 proc",IF(F138="fuel","fuel-process",IF(F138="elec","elec-process","process (no energy)")),"excluded")))</f>
        <v/>
      </c>
      <c r="H138">
        <f>IF(AND(D138&gt;0,E138&gt;0),"MIXED — energy also on "&amp;IF(F138="fuel","elec","fuel")&amp;" curve","")</f>
        <v/>
      </c>
      <c r="I138">
        <f>'Kermeli Data'!Q142</f>
        <v/>
      </c>
    </row>
    <row r="139">
      <c r="A139">
        <f>'Kermeli Data'!A143</f>
        <v/>
      </c>
      <c r="B139">
        <f>'Kermeli Data'!B143</f>
        <v/>
      </c>
      <c r="C139">
        <f>'Kermeli Data'!P143</f>
        <v/>
      </c>
      <c r="D139">
        <f>'Kermeli Data'!R143</f>
        <v/>
      </c>
      <c r="E139">
        <f>'Kermeli Data'!S143</f>
        <v/>
      </c>
      <c r="F139">
        <f>IF(AND(D139=0,E139=0),"none",IF(D139&gt;=E139,"fuel","elec"))</f>
        <v/>
      </c>
      <c r="G139">
        <f>IF(C139="1 unit","unit files",IF(C139="2 whr",IF(F139="fuel","fuel-whr",IF(F139="elec","elec-whr","whr (no energy)")),IF(C139="3 proc",IF(F139="fuel","fuel-process",IF(F139="elec","elec-process","process (no energy)")),"excluded")))</f>
        <v/>
      </c>
      <c r="H139">
        <f>IF(AND(D139&gt;0,E139&gt;0),"MIXED — energy also on "&amp;IF(F139="fuel","elec","fuel")&amp;" curve","")</f>
        <v/>
      </c>
      <c r="I139">
        <f>'Kermeli Data'!Q143</f>
        <v/>
      </c>
    </row>
    <row r="140">
      <c r="A140">
        <f>'Kermeli Data'!A144</f>
        <v/>
      </c>
      <c r="B140">
        <f>'Kermeli Data'!B144</f>
        <v/>
      </c>
      <c r="C140">
        <f>'Kermeli Data'!P144</f>
        <v/>
      </c>
      <c r="D140">
        <f>'Kermeli Data'!R144</f>
        <v/>
      </c>
      <c r="E140">
        <f>'Kermeli Data'!S144</f>
        <v/>
      </c>
      <c r="F140">
        <f>IF(AND(D140=0,E140=0),"none",IF(D140&gt;=E140,"fuel","elec"))</f>
        <v/>
      </c>
      <c r="G140">
        <f>IF(C140="1 unit","unit files",IF(C140="2 whr",IF(F140="fuel","fuel-whr",IF(F140="elec","elec-whr","whr (no energy)")),IF(C140="3 proc",IF(F140="fuel","fuel-process",IF(F140="elec","elec-process","process (no energy)")),"excluded")))</f>
        <v/>
      </c>
      <c r="H140">
        <f>IF(AND(D140&gt;0,E140&gt;0),"MIXED — energy also on "&amp;IF(F140="fuel","elec","fuel")&amp;" curve","")</f>
        <v/>
      </c>
      <c r="I140">
        <f>'Kermeli Data'!Q144</f>
        <v/>
      </c>
    </row>
    <row r="141">
      <c r="A141">
        <f>'Kermeli Data'!A145</f>
        <v/>
      </c>
      <c r="B141">
        <f>'Kermeli Data'!B145</f>
        <v/>
      </c>
      <c r="C141">
        <f>'Kermeli Data'!P145</f>
        <v/>
      </c>
      <c r="D141">
        <f>'Kermeli Data'!R145</f>
        <v/>
      </c>
      <c r="E141">
        <f>'Kermeli Data'!S145</f>
        <v/>
      </c>
      <c r="F141">
        <f>IF(AND(D141=0,E141=0),"none",IF(D141&gt;=E141,"fuel","elec"))</f>
        <v/>
      </c>
      <c r="G141">
        <f>IF(C141="1 unit","unit files",IF(C141="2 whr",IF(F141="fuel","fuel-whr",IF(F141="elec","elec-whr","whr (no energy)")),IF(C141="3 proc",IF(F141="fuel","fuel-process",IF(F141="elec","elec-process","process (no energy)")),"excluded")))</f>
        <v/>
      </c>
      <c r="H141">
        <f>IF(AND(D141&gt;0,E141&gt;0),"MIXED — energy also on "&amp;IF(F141="fuel","elec","fuel")&amp;" curve","")</f>
        <v/>
      </c>
      <c r="I141">
        <f>'Kermeli Data'!Q145</f>
        <v/>
      </c>
    </row>
    <row r="142">
      <c r="A142">
        <f>'Kermeli Data'!A146</f>
        <v/>
      </c>
      <c r="B142">
        <f>'Kermeli Data'!B146</f>
        <v/>
      </c>
      <c r="C142">
        <f>'Kermeli Data'!P146</f>
        <v/>
      </c>
      <c r="D142">
        <f>'Kermeli Data'!R146</f>
        <v/>
      </c>
      <c r="E142">
        <f>'Kermeli Data'!S146</f>
        <v/>
      </c>
      <c r="F142">
        <f>IF(AND(D142=0,E142=0),"none",IF(D142&gt;=E142,"fuel","elec"))</f>
        <v/>
      </c>
      <c r="G142">
        <f>IF(C142="1 unit","unit files",IF(C142="2 whr",IF(F142="fuel","fuel-whr",IF(F142="elec","elec-whr","whr (no energy)")),IF(C142="3 proc",IF(F142="fuel","fuel-process",IF(F142="elec","elec-process","process (no energy)")),"excluded")))</f>
        <v/>
      </c>
      <c r="H142">
        <f>IF(AND(D142&gt;0,E142&gt;0),"MIXED — energy also on "&amp;IF(F142="fuel","elec","fuel")&amp;" curve","")</f>
        <v/>
      </c>
      <c r="I142">
        <f>'Kermeli Data'!Q146</f>
        <v/>
      </c>
    </row>
    <row r="143">
      <c r="A143">
        <f>'Kermeli Data'!A147</f>
        <v/>
      </c>
      <c r="B143">
        <f>'Kermeli Data'!B147</f>
        <v/>
      </c>
      <c r="C143">
        <f>'Kermeli Data'!P147</f>
        <v/>
      </c>
      <c r="D143">
        <f>'Kermeli Data'!R147</f>
        <v/>
      </c>
      <c r="E143">
        <f>'Kermeli Data'!S147</f>
        <v/>
      </c>
      <c r="F143">
        <f>IF(AND(D143=0,E143=0),"none",IF(D143&gt;=E143,"fuel","elec"))</f>
        <v/>
      </c>
      <c r="G143">
        <f>IF(C143="1 unit","unit files",IF(C143="2 whr",IF(F143="fuel","fuel-whr",IF(F143="elec","elec-whr","whr (no energy)")),IF(C143="3 proc",IF(F143="fuel","fuel-process",IF(F143="elec","elec-process","process (no energy)")),"excluded")))</f>
        <v/>
      </c>
      <c r="H143">
        <f>IF(AND(D143&gt;0,E143&gt;0),"MIXED — energy also on "&amp;IF(F143="fuel","elec","fuel")&amp;" curve","")</f>
        <v/>
      </c>
      <c r="I143">
        <f>'Kermeli Data'!Q147</f>
        <v/>
      </c>
    </row>
    <row r="144">
      <c r="A144">
        <f>'Kermeli Data'!A148</f>
        <v/>
      </c>
      <c r="B144">
        <f>'Kermeli Data'!B148</f>
        <v/>
      </c>
      <c r="C144">
        <f>'Kermeli Data'!P148</f>
        <v/>
      </c>
      <c r="D144">
        <f>'Kermeli Data'!R148</f>
        <v/>
      </c>
      <c r="E144">
        <f>'Kermeli Data'!S148</f>
        <v/>
      </c>
      <c r="F144">
        <f>IF(AND(D144=0,E144=0),"none",IF(D144&gt;=E144,"fuel","elec"))</f>
        <v/>
      </c>
      <c r="G144">
        <f>IF(C144="1 unit","unit files",IF(C144="2 whr",IF(F144="fuel","fuel-whr",IF(F144="elec","elec-whr","whr (no energy)")),IF(C144="3 proc",IF(F144="fuel","fuel-process",IF(F144="elec","elec-process","process (no energy)")),"excluded")))</f>
        <v/>
      </c>
      <c r="H144">
        <f>IF(AND(D144&gt;0,E144&gt;0),"MIXED — energy also on "&amp;IF(F144="fuel","elec","fuel")&amp;" curve","")</f>
        <v/>
      </c>
      <c r="I144">
        <f>'Kermeli Data'!Q148</f>
        <v/>
      </c>
    </row>
    <row r="145">
      <c r="A145">
        <f>'Kermeli Data'!A149</f>
        <v/>
      </c>
      <c r="B145">
        <f>'Kermeli Data'!B149</f>
        <v/>
      </c>
      <c r="C145">
        <f>'Kermeli Data'!P149</f>
        <v/>
      </c>
      <c r="D145">
        <f>'Kermeli Data'!R149</f>
        <v/>
      </c>
      <c r="E145">
        <f>'Kermeli Data'!S149</f>
        <v/>
      </c>
      <c r="F145">
        <f>IF(AND(D145=0,E145=0),"none",IF(D145&gt;=E145,"fuel","elec"))</f>
        <v/>
      </c>
      <c r="G145">
        <f>IF(C145="1 unit","unit files",IF(C145="2 whr",IF(F145="fuel","fuel-whr",IF(F145="elec","elec-whr","whr (no energy)")),IF(C145="3 proc",IF(F145="fuel","fuel-process",IF(F145="elec","elec-process","process (no energy)")),"excluded")))</f>
        <v/>
      </c>
      <c r="H145">
        <f>IF(AND(D145&gt;0,E145&gt;0),"MIXED — energy also on "&amp;IF(F145="fuel","elec","fuel")&amp;" curve","")</f>
        <v/>
      </c>
      <c r="I145">
        <f>'Kermeli Data'!Q149</f>
        <v/>
      </c>
    </row>
    <row r="146">
      <c r="A146">
        <f>'Kermeli Data'!A150</f>
        <v/>
      </c>
      <c r="B146">
        <f>'Kermeli Data'!B150</f>
        <v/>
      </c>
      <c r="C146">
        <f>'Kermeli Data'!P150</f>
        <v/>
      </c>
      <c r="D146">
        <f>'Kermeli Data'!R150</f>
        <v/>
      </c>
      <c r="E146">
        <f>'Kermeli Data'!S150</f>
        <v/>
      </c>
      <c r="F146">
        <f>IF(AND(D146=0,E146=0),"none",IF(D146&gt;=E146,"fuel","elec"))</f>
        <v/>
      </c>
      <c r="G146">
        <f>IF(C146="1 unit","unit files",IF(C146="2 whr",IF(F146="fuel","fuel-whr",IF(F146="elec","elec-whr","whr (no energy)")),IF(C146="3 proc",IF(F146="fuel","fuel-process",IF(F146="elec","elec-process","process (no energy)")),"excluded")))</f>
        <v/>
      </c>
      <c r="H146">
        <f>IF(AND(D146&gt;0,E146&gt;0),"MIXED — energy also on "&amp;IF(F146="fuel","elec","fuel")&amp;" curve","")</f>
        <v/>
      </c>
      <c r="I146">
        <f>'Kermeli Data'!Q150</f>
        <v/>
      </c>
    </row>
    <row r="147">
      <c r="A147">
        <f>'Kermeli Data'!A151</f>
        <v/>
      </c>
      <c r="B147">
        <f>'Kermeli Data'!B151</f>
        <v/>
      </c>
      <c r="C147">
        <f>'Kermeli Data'!P151</f>
        <v/>
      </c>
      <c r="D147">
        <f>'Kermeli Data'!R151</f>
        <v/>
      </c>
      <c r="E147">
        <f>'Kermeli Data'!S151</f>
        <v/>
      </c>
      <c r="F147">
        <f>IF(AND(D147=0,E147=0),"none",IF(D147&gt;=E147,"fuel","elec"))</f>
        <v/>
      </c>
      <c r="G147">
        <f>IF(C147="1 unit","unit files",IF(C147="2 whr",IF(F147="fuel","fuel-whr",IF(F147="elec","elec-whr","whr (no energy)")),IF(C147="3 proc",IF(F147="fuel","fuel-process",IF(F147="elec","elec-process","process (no energy)")),"excluded")))</f>
        <v/>
      </c>
      <c r="H147">
        <f>IF(AND(D147&gt;0,E147&gt;0),"MIXED — energy also on "&amp;IF(F147="fuel","elec","fuel")&amp;" curve","")</f>
        <v/>
      </c>
      <c r="I147">
        <f>'Kermeli Data'!Q151</f>
        <v/>
      </c>
    </row>
    <row r="148">
      <c r="A148">
        <f>'Kermeli Data'!A152</f>
        <v/>
      </c>
      <c r="B148">
        <f>'Kermeli Data'!B152</f>
        <v/>
      </c>
      <c r="C148">
        <f>'Kermeli Data'!P152</f>
        <v/>
      </c>
      <c r="D148">
        <f>'Kermeli Data'!R152</f>
        <v/>
      </c>
      <c r="E148">
        <f>'Kermeli Data'!S152</f>
        <v/>
      </c>
      <c r="F148">
        <f>IF(AND(D148=0,E148=0),"none",IF(D148&gt;=E148,"fuel","elec"))</f>
        <v/>
      </c>
      <c r="G148">
        <f>IF(C148="1 unit","unit files",IF(C148="2 whr",IF(F148="fuel","fuel-whr",IF(F148="elec","elec-whr","whr (no energy)")),IF(C148="3 proc",IF(F148="fuel","fuel-process",IF(F148="elec","elec-process","process (no energy)")),"excluded")))</f>
        <v/>
      </c>
      <c r="H148">
        <f>IF(AND(D148&gt;0,E148&gt;0),"MIXED — energy also on "&amp;IF(F148="fuel","elec","fuel")&amp;" curve","")</f>
        <v/>
      </c>
      <c r="I148">
        <f>'Kermeli Data'!Q152</f>
        <v/>
      </c>
    </row>
    <row r="149">
      <c r="A149">
        <f>'Kermeli Data'!A153</f>
        <v/>
      </c>
      <c r="B149">
        <f>'Kermeli Data'!B153</f>
        <v/>
      </c>
      <c r="C149">
        <f>'Kermeli Data'!P153</f>
        <v/>
      </c>
      <c r="D149">
        <f>'Kermeli Data'!R153</f>
        <v/>
      </c>
      <c r="E149">
        <f>'Kermeli Data'!S153</f>
        <v/>
      </c>
      <c r="F149">
        <f>IF(AND(D149=0,E149=0),"none",IF(D149&gt;=E149,"fuel","elec"))</f>
        <v/>
      </c>
      <c r="G149">
        <f>IF(C149="1 unit","unit files",IF(C149="2 whr",IF(F149="fuel","fuel-whr",IF(F149="elec","elec-whr","whr (no energy)")),IF(C149="3 proc",IF(F149="fuel","fuel-process",IF(F149="elec","elec-process","process (no energy)")),"excluded")))</f>
        <v/>
      </c>
      <c r="H149">
        <f>IF(AND(D149&gt;0,E149&gt;0),"MIXED — energy also on "&amp;IF(F149="fuel","elec","fuel")&amp;" curve","")</f>
        <v/>
      </c>
      <c r="I149">
        <f>'Kermeli Data'!Q153</f>
        <v/>
      </c>
    </row>
    <row r="150">
      <c r="A150">
        <f>'Kermeli Data'!A154</f>
        <v/>
      </c>
      <c r="B150">
        <f>'Kermeli Data'!B154</f>
        <v/>
      </c>
      <c r="C150">
        <f>'Kermeli Data'!P154</f>
        <v/>
      </c>
      <c r="D150">
        <f>'Kermeli Data'!R154</f>
        <v/>
      </c>
      <c r="E150">
        <f>'Kermeli Data'!S154</f>
        <v/>
      </c>
      <c r="F150">
        <f>IF(AND(D150=0,E150=0),"none",IF(D150&gt;=E150,"fuel","elec"))</f>
        <v/>
      </c>
      <c r="G150">
        <f>IF(C150="1 unit","unit files",IF(C150="2 whr",IF(F150="fuel","fuel-whr",IF(F150="elec","elec-whr","whr (no energy)")),IF(C150="3 proc",IF(F150="fuel","fuel-process",IF(F150="elec","elec-process","process (no energy)")),"excluded")))</f>
        <v/>
      </c>
      <c r="H150">
        <f>IF(AND(D150&gt;0,E150&gt;0),"MIXED — energy also on "&amp;IF(F150="fuel","elec","fuel")&amp;" curve","")</f>
        <v/>
      </c>
      <c r="I150">
        <f>'Kermeli Data'!Q154</f>
        <v/>
      </c>
    </row>
    <row r="151">
      <c r="A151">
        <f>'Kermeli Data'!A155</f>
        <v/>
      </c>
      <c r="B151">
        <f>'Kermeli Data'!B155</f>
        <v/>
      </c>
      <c r="C151">
        <f>'Kermeli Data'!P155</f>
        <v/>
      </c>
      <c r="D151">
        <f>'Kermeli Data'!R155</f>
        <v/>
      </c>
      <c r="E151">
        <f>'Kermeli Data'!S155</f>
        <v/>
      </c>
      <c r="F151">
        <f>IF(AND(D151=0,E151=0),"none",IF(D151&gt;=E151,"fuel","elec"))</f>
        <v/>
      </c>
      <c r="G151">
        <f>IF(C151="1 unit","unit files",IF(C151="2 whr",IF(F151="fuel","fuel-whr",IF(F151="elec","elec-whr","whr (no energy)")),IF(C151="3 proc",IF(F151="fuel","fuel-process",IF(F151="elec","elec-process","process (no energy)")),"excluded")))</f>
        <v/>
      </c>
      <c r="H151">
        <f>IF(AND(D151&gt;0,E151&gt;0),"MIXED — energy also on "&amp;IF(F151="fuel","elec","fuel")&amp;" curve","")</f>
        <v/>
      </c>
      <c r="I151">
        <f>'Kermeli Data'!Q155</f>
        <v/>
      </c>
    </row>
    <row r="152">
      <c r="A152">
        <f>'Kermeli Data'!A156</f>
        <v/>
      </c>
      <c r="B152">
        <f>'Kermeli Data'!B156</f>
        <v/>
      </c>
      <c r="C152">
        <f>'Kermeli Data'!P156</f>
        <v/>
      </c>
      <c r="D152">
        <f>'Kermeli Data'!R156</f>
        <v/>
      </c>
      <c r="E152">
        <f>'Kermeli Data'!S156</f>
        <v/>
      </c>
      <c r="F152">
        <f>IF(AND(D152=0,E152=0),"none",IF(D152&gt;=E152,"fuel","elec"))</f>
        <v/>
      </c>
      <c r="G152">
        <f>IF(C152="1 unit","unit files",IF(C152="2 whr",IF(F152="fuel","fuel-whr",IF(F152="elec","elec-whr","whr (no energy)")),IF(C152="3 proc",IF(F152="fuel","fuel-process",IF(F152="elec","elec-process","process (no energy)")),"excluded")))</f>
        <v/>
      </c>
      <c r="H152">
        <f>IF(AND(D152&gt;0,E152&gt;0),"MIXED — energy also on "&amp;IF(F152="fuel","elec","fuel")&amp;" curve","")</f>
        <v/>
      </c>
      <c r="I152">
        <f>'Kermeli Data'!Q156</f>
        <v/>
      </c>
    </row>
    <row r="153">
      <c r="A153">
        <f>'Kermeli Data'!A157</f>
        <v/>
      </c>
      <c r="B153">
        <f>'Kermeli Data'!B157</f>
        <v/>
      </c>
      <c r="C153">
        <f>'Kermeli Data'!P157</f>
        <v/>
      </c>
      <c r="D153">
        <f>'Kermeli Data'!R157</f>
        <v/>
      </c>
      <c r="E153">
        <f>'Kermeli Data'!S157</f>
        <v/>
      </c>
      <c r="F153">
        <f>IF(AND(D153=0,E153=0),"none",IF(D153&gt;=E153,"fuel","elec"))</f>
        <v/>
      </c>
      <c r="G153">
        <f>IF(C153="1 unit","unit files",IF(C153="2 whr",IF(F153="fuel","fuel-whr",IF(F153="elec","elec-whr","whr (no energy)")),IF(C153="3 proc",IF(F153="fuel","fuel-process",IF(F153="elec","elec-process","process (no energy)")),"excluded")))</f>
        <v/>
      </c>
      <c r="H153">
        <f>IF(AND(D153&gt;0,E153&gt;0),"MIXED — energy also on "&amp;IF(F153="fuel","elec","fuel")&amp;" curve","")</f>
        <v/>
      </c>
      <c r="I153">
        <f>'Kermeli Data'!Q157</f>
        <v/>
      </c>
    </row>
    <row r="154">
      <c r="A154">
        <f>'Kermeli Data'!A158</f>
        <v/>
      </c>
      <c r="B154">
        <f>'Kermeli Data'!B158</f>
        <v/>
      </c>
      <c r="C154">
        <f>'Kermeli Data'!P158</f>
        <v/>
      </c>
      <c r="D154">
        <f>'Kermeli Data'!R158</f>
        <v/>
      </c>
      <c r="E154">
        <f>'Kermeli Data'!S158</f>
        <v/>
      </c>
      <c r="F154">
        <f>IF(AND(D154=0,E154=0),"none",IF(D154&gt;=E154,"fuel","elec"))</f>
        <v/>
      </c>
      <c r="G154">
        <f>IF(C154="1 unit","unit files",IF(C154="2 whr",IF(F154="fuel","fuel-whr",IF(F154="elec","elec-whr","whr (no energy)")),IF(C154="3 proc",IF(F154="fuel","fuel-process",IF(F154="elec","elec-process","process (no energy)")),"excluded")))</f>
        <v/>
      </c>
      <c r="H154">
        <f>IF(AND(D154&gt;0,E154&gt;0),"MIXED — energy also on "&amp;IF(F154="fuel","elec","fuel")&amp;" curve","")</f>
        <v/>
      </c>
      <c r="I154">
        <f>'Kermeli Data'!Q158</f>
        <v/>
      </c>
    </row>
    <row r="155">
      <c r="A155">
        <f>'Kermeli Data'!A159</f>
        <v/>
      </c>
      <c r="B155">
        <f>'Kermeli Data'!B159</f>
        <v/>
      </c>
      <c r="C155">
        <f>'Kermeli Data'!P159</f>
        <v/>
      </c>
      <c r="D155">
        <f>'Kermeli Data'!R159</f>
        <v/>
      </c>
      <c r="E155">
        <f>'Kermeli Data'!S159</f>
        <v/>
      </c>
      <c r="F155">
        <f>IF(AND(D155=0,E155=0),"none",IF(D155&gt;=E155,"fuel","elec"))</f>
        <v/>
      </c>
      <c r="G155">
        <f>IF(C155="1 unit","unit files",IF(C155="2 whr",IF(F155="fuel","fuel-whr",IF(F155="elec","elec-whr","whr (no energy)")),IF(C155="3 proc",IF(F155="fuel","fuel-process",IF(F155="elec","elec-process","process (no energy)")),"excluded")))</f>
        <v/>
      </c>
      <c r="H155">
        <f>IF(AND(D155&gt;0,E155&gt;0),"MIXED — energy also on "&amp;IF(F155="fuel","elec","fuel")&amp;" curve","")</f>
        <v/>
      </c>
      <c r="I155">
        <f>'Kermeli Data'!Q159</f>
        <v/>
      </c>
    </row>
    <row r="156">
      <c r="A156">
        <f>'Kermeli Data'!A160</f>
        <v/>
      </c>
      <c r="B156">
        <f>'Kermeli Data'!B160</f>
        <v/>
      </c>
      <c r="C156">
        <f>'Kermeli Data'!P160</f>
        <v/>
      </c>
      <c r="D156">
        <f>'Kermeli Data'!R160</f>
        <v/>
      </c>
      <c r="E156">
        <f>'Kermeli Data'!S160</f>
        <v/>
      </c>
      <c r="F156">
        <f>IF(AND(D156=0,E156=0),"none",IF(D156&gt;=E156,"fuel","elec"))</f>
        <v/>
      </c>
      <c r="G156">
        <f>IF(C156="1 unit","unit files",IF(C156="2 whr",IF(F156="fuel","fuel-whr",IF(F156="elec","elec-whr","whr (no energy)")),IF(C156="3 proc",IF(F156="fuel","fuel-process",IF(F156="elec","elec-process","process (no energy)")),"excluded")))</f>
        <v/>
      </c>
      <c r="H156">
        <f>IF(AND(D156&gt;0,E156&gt;0),"MIXED — energy also on "&amp;IF(F156="fuel","elec","fuel")&amp;" curve","")</f>
        <v/>
      </c>
      <c r="I156">
        <f>'Kermeli Data'!Q160</f>
        <v/>
      </c>
    </row>
    <row r="157">
      <c r="A157">
        <f>'Kermeli Data'!A161</f>
        <v/>
      </c>
      <c r="B157">
        <f>'Kermeli Data'!B161</f>
        <v/>
      </c>
      <c r="C157">
        <f>'Kermeli Data'!P161</f>
        <v/>
      </c>
      <c r="D157">
        <f>'Kermeli Data'!R161</f>
        <v/>
      </c>
      <c r="E157">
        <f>'Kermeli Data'!S161</f>
        <v/>
      </c>
      <c r="F157">
        <f>IF(AND(D157=0,E157=0),"none",IF(D157&gt;=E157,"fuel","elec"))</f>
        <v/>
      </c>
      <c r="G157">
        <f>IF(C157="1 unit","unit files",IF(C157="2 whr",IF(F157="fuel","fuel-whr",IF(F157="elec","elec-whr","whr (no energy)")),IF(C157="3 proc",IF(F157="fuel","fuel-process",IF(F157="elec","elec-process","process (no energy)")),"excluded")))</f>
        <v/>
      </c>
      <c r="H157">
        <f>IF(AND(D157&gt;0,E157&gt;0),"MIXED — energy also on "&amp;IF(F157="fuel","elec","fuel")&amp;" curve","")</f>
        <v/>
      </c>
      <c r="I157">
        <f>'Kermeli Data'!Q161</f>
        <v/>
      </c>
    </row>
    <row r="158">
      <c r="A158">
        <f>'Kermeli Data'!A162</f>
        <v/>
      </c>
      <c r="B158">
        <f>'Kermeli Data'!B162</f>
        <v/>
      </c>
      <c r="C158">
        <f>'Kermeli Data'!P162</f>
        <v/>
      </c>
      <c r="D158">
        <f>'Kermeli Data'!R162</f>
        <v/>
      </c>
      <c r="E158">
        <f>'Kermeli Data'!S162</f>
        <v/>
      </c>
      <c r="F158">
        <f>IF(AND(D158=0,E158=0),"none",IF(D158&gt;=E158,"fuel","elec"))</f>
        <v/>
      </c>
      <c r="G158">
        <f>IF(C158="1 unit","unit files",IF(C158="2 whr",IF(F158="fuel","fuel-whr",IF(F158="elec","elec-whr","whr (no energy)")),IF(C158="3 proc",IF(F158="fuel","fuel-process",IF(F158="elec","elec-process","process (no energy)")),"excluded")))</f>
        <v/>
      </c>
      <c r="H158">
        <f>IF(AND(D158&gt;0,E158&gt;0),"MIXED — energy also on "&amp;IF(F158="fuel","elec","fuel")&amp;" curve","")</f>
        <v/>
      </c>
      <c r="I158">
        <f>'Kermeli Data'!Q162</f>
        <v/>
      </c>
    </row>
    <row r="159">
      <c r="A159">
        <f>'Kermeli Data'!A163</f>
        <v/>
      </c>
      <c r="B159">
        <f>'Kermeli Data'!B163</f>
        <v/>
      </c>
      <c r="C159">
        <f>'Kermeli Data'!P163</f>
        <v/>
      </c>
      <c r="D159">
        <f>'Kermeli Data'!R163</f>
        <v/>
      </c>
      <c r="E159">
        <f>'Kermeli Data'!S163</f>
        <v/>
      </c>
      <c r="F159">
        <f>IF(AND(D159=0,E159=0),"none",IF(D159&gt;=E159,"fuel","elec"))</f>
        <v/>
      </c>
      <c r="G159">
        <f>IF(C159="1 unit","unit files",IF(C159="2 whr",IF(F159="fuel","fuel-whr",IF(F159="elec","elec-whr","whr (no energy)")),IF(C159="3 proc",IF(F159="fuel","fuel-process",IF(F159="elec","elec-process","process (no energy)")),"excluded")))</f>
        <v/>
      </c>
      <c r="H159">
        <f>IF(AND(D159&gt;0,E159&gt;0),"MIXED — energy also on "&amp;IF(F159="fuel","elec","fuel")&amp;" curve","")</f>
        <v/>
      </c>
      <c r="I159">
        <f>'Kermeli Data'!Q163</f>
        <v/>
      </c>
    </row>
    <row r="160">
      <c r="A160">
        <f>'Kermeli Data'!A164</f>
        <v/>
      </c>
      <c r="B160">
        <f>'Kermeli Data'!B164</f>
        <v/>
      </c>
      <c r="C160">
        <f>'Kermeli Data'!P164</f>
        <v/>
      </c>
      <c r="D160">
        <f>'Kermeli Data'!R164</f>
        <v/>
      </c>
      <c r="E160">
        <f>'Kermeli Data'!S164</f>
        <v/>
      </c>
      <c r="F160">
        <f>IF(AND(D160=0,E160=0),"none",IF(D160&gt;=E160,"fuel","elec"))</f>
        <v/>
      </c>
      <c r="G160">
        <f>IF(C160="1 unit","unit files",IF(C160="2 whr",IF(F160="fuel","fuel-whr",IF(F160="elec","elec-whr","whr (no energy)")),IF(C160="3 proc",IF(F160="fuel","fuel-process",IF(F160="elec","elec-process","process (no energy)")),"excluded")))</f>
        <v/>
      </c>
      <c r="H160">
        <f>IF(AND(D160&gt;0,E160&gt;0),"MIXED — energy also on "&amp;IF(F160="fuel","elec","fuel")&amp;" curve","")</f>
        <v/>
      </c>
      <c r="I160">
        <f>'Kermeli Data'!Q164</f>
        <v/>
      </c>
    </row>
    <row r="161">
      <c r="A161">
        <f>'Kermeli Data'!A165</f>
        <v/>
      </c>
      <c r="B161">
        <f>'Kermeli Data'!B165</f>
        <v/>
      </c>
      <c r="C161">
        <f>'Kermeli Data'!P165</f>
        <v/>
      </c>
      <c r="D161">
        <f>'Kermeli Data'!R165</f>
        <v/>
      </c>
      <c r="E161">
        <f>'Kermeli Data'!S165</f>
        <v/>
      </c>
      <c r="F161">
        <f>IF(AND(D161=0,E161=0),"none",IF(D161&gt;=E161,"fuel","elec"))</f>
        <v/>
      </c>
      <c r="G161">
        <f>IF(C161="1 unit","unit files",IF(C161="2 whr",IF(F161="fuel","fuel-whr",IF(F161="elec","elec-whr","whr (no energy)")),IF(C161="3 proc",IF(F161="fuel","fuel-process",IF(F161="elec","elec-process","process (no energy)")),"excluded")))</f>
        <v/>
      </c>
      <c r="H161">
        <f>IF(AND(D161&gt;0,E161&gt;0),"MIXED — energy also on "&amp;IF(F161="fuel","elec","fuel")&amp;" curve","")</f>
        <v/>
      </c>
      <c r="I161">
        <f>'Kermeli Data'!Q165</f>
        <v/>
      </c>
    </row>
    <row r="162">
      <c r="A162">
        <f>'Kermeli Data'!A166</f>
        <v/>
      </c>
      <c r="B162">
        <f>'Kermeli Data'!B166</f>
        <v/>
      </c>
      <c r="C162">
        <f>'Kermeli Data'!P166</f>
        <v/>
      </c>
      <c r="D162">
        <f>'Kermeli Data'!R166</f>
        <v/>
      </c>
      <c r="E162">
        <f>'Kermeli Data'!S166</f>
        <v/>
      </c>
      <c r="F162">
        <f>IF(AND(D162=0,E162=0),"none",IF(D162&gt;=E162,"fuel","elec"))</f>
        <v/>
      </c>
      <c r="G162">
        <f>IF(C162="1 unit","unit files",IF(C162="2 whr",IF(F162="fuel","fuel-whr",IF(F162="elec","elec-whr","whr (no energy)")),IF(C162="3 proc",IF(F162="fuel","fuel-process",IF(F162="elec","elec-process","process (no energy)")),"excluded")))</f>
        <v/>
      </c>
      <c r="H162">
        <f>IF(AND(D162&gt;0,E162&gt;0),"MIXED — energy also on "&amp;IF(F162="fuel","elec","fuel")&amp;" curve","")</f>
        <v/>
      </c>
      <c r="I162">
        <f>'Kermeli Data'!Q166</f>
        <v/>
      </c>
    </row>
    <row r="163">
      <c r="A163">
        <f>'Kermeli Data'!A167</f>
        <v/>
      </c>
      <c r="B163">
        <f>'Kermeli Data'!B167</f>
        <v/>
      </c>
      <c r="C163">
        <f>'Kermeli Data'!P167</f>
        <v/>
      </c>
      <c r="D163">
        <f>'Kermeli Data'!R167</f>
        <v/>
      </c>
      <c r="E163">
        <f>'Kermeli Data'!S167</f>
        <v/>
      </c>
      <c r="F163">
        <f>IF(AND(D163=0,E163=0),"none",IF(D163&gt;=E163,"fuel","elec"))</f>
        <v/>
      </c>
      <c r="G163">
        <f>IF(C163="1 unit","unit files",IF(C163="2 whr",IF(F163="fuel","fuel-whr",IF(F163="elec","elec-whr","whr (no energy)")),IF(C163="3 proc",IF(F163="fuel","fuel-process",IF(F163="elec","elec-process","process (no energy)")),"excluded")))</f>
        <v/>
      </c>
      <c r="H163">
        <f>IF(AND(D163&gt;0,E163&gt;0),"MIXED — energy also on "&amp;IF(F163="fuel","elec","fuel")&amp;" curve","")</f>
        <v/>
      </c>
      <c r="I163">
        <f>'Kermeli Data'!Q167</f>
        <v/>
      </c>
    </row>
    <row r="164">
      <c r="A164">
        <f>'Kermeli Data'!A168</f>
        <v/>
      </c>
      <c r="B164">
        <f>'Kermeli Data'!B168</f>
        <v/>
      </c>
      <c r="C164">
        <f>'Kermeli Data'!P168</f>
        <v/>
      </c>
      <c r="D164">
        <f>'Kermeli Data'!R168</f>
        <v/>
      </c>
      <c r="E164">
        <f>'Kermeli Data'!S168</f>
        <v/>
      </c>
      <c r="F164">
        <f>IF(AND(D164=0,E164=0),"none",IF(D164&gt;=E164,"fuel","elec"))</f>
        <v/>
      </c>
      <c r="G164">
        <f>IF(C164="1 unit","unit files",IF(C164="2 whr",IF(F164="fuel","fuel-whr",IF(F164="elec","elec-whr","whr (no energy)")),IF(C164="3 proc",IF(F164="fuel","fuel-process",IF(F164="elec","elec-process","process (no energy)")),"excluded")))</f>
        <v/>
      </c>
      <c r="H164">
        <f>IF(AND(D164&gt;0,E164&gt;0),"MIXED — energy also on "&amp;IF(F164="fuel","elec","fuel")&amp;" curve","")</f>
        <v/>
      </c>
      <c r="I164">
        <f>'Kermeli Data'!Q168</f>
        <v/>
      </c>
    </row>
    <row r="165">
      <c r="A165">
        <f>'Kermeli Data'!A169</f>
        <v/>
      </c>
      <c r="B165">
        <f>'Kermeli Data'!B169</f>
        <v/>
      </c>
      <c r="C165">
        <f>'Kermeli Data'!P169</f>
        <v/>
      </c>
      <c r="D165">
        <f>'Kermeli Data'!R169</f>
        <v/>
      </c>
      <c r="E165">
        <f>'Kermeli Data'!S169</f>
        <v/>
      </c>
      <c r="F165">
        <f>IF(AND(D165=0,E165=0),"none",IF(D165&gt;=E165,"fuel","elec"))</f>
        <v/>
      </c>
      <c r="G165">
        <f>IF(C165="1 unit","unit files",IF(C165="2 whr",IF(F165="fuel","fuel-whr",IF(F165="elec","elec-whr","whr (no energy)")),IF(C165="3 proc",IF(F165="fuel","fuel-process",IF(F165="elec","elec-process","process (no energy)")),"excluded")))</f>
        <v/>
      </c>
      <c r="H165">
        <f>IF(AND(D165&gt;0,E165&gt;0),"MIXED — energy also on "&amp;IF(F165="fuel","elec","fuel")&amp;" curve","")</f>
        <v/>
      </c>
      <c r="I165">
        <f>'Kermeli Data'!Q169</f>
        <v/>
      </c>
    </row>
    <row r="166">
      <c r="A166">
        <f>'Kermeli Data'!A170</f>
        <v/>
      </c>
      <c r="B166">
        <f>'Kermeli Data'!B170</f>
        <v/>
      </c>
      <c r="C166">
        <f>'Kermeli Data'!P170</f>
        <v/>
      </c>
      <c r="D166">
        <f>'Kermeli Data'!R170</f>
        <v/>
      </c>
      <c r="E166">
        <f>'Kermeli Data'!S170</f>
        <v/>
      </c>
      <c r="F166">
        <f>IF(AND(D166=0,E166=0),"none",IF(D166&gt;=E166,"fuel","elec"))</f>
        <v/>
      </c>
      <c r="G166">
        <f>IF(C166="1 unit","unit files",IF(C166="2 whr",IF(F166="fuel","fuel-whr",IF(F166="elec","elec-whr","whr (no energy)")),IF(C166="3 proc",IF(F166="fuel","fuel-process",IF(F166="elec","elec-process","process (no energy)")),"excluded")))</f>
        <v/>
      </c>
      <c r="H166">
        <f>IF(AND(D166&gt;0,E166&gt;0),"MIXED — energy also on "&amp;IF(F166="fuel","elec","fuel")&amp;" curve","")</f>
        <v/>
      </c>
      <c r="I166">
        <f>'Kermeli Data'!Q170</f>
        <v/>
      </c>
    </row>
    <row r="167">
      <c r="A167">
        <f>'Kermeli Data'!A171</f>
        <v/>
      </c>
      <c r="B167">
        <f>'Kermeli Data'!B171</f>
        <v/>
      </c>
      <c r="C167">
        <f>'Kermeli Data'!P171</f>
        <v/>
      </c>
      <c r="D167">
        <f>'Kermeli Data'!R171</f>
        <v/>
      </c>
      <c r="E167">
        <f>'Kermeli Data'!S171</f>
        <v/>
      </c>
      <c r="F167">
        <f>IF(AND(D167=0,E167=0),"none",IF(D167&gt;=E167,"fuel","elec"))</f>
        <v/>
      </c>
      <c r="G167">
        <f>IF(C167="1 unit","unit files",IF(C167="2 whr",IF(F167="fuel","fuel-whr",IF(F167="elec","elec-whr","whr (no energy)")),IF(C167="3 proc",IF(F167="fuel","fuel-process",IF(F167="elec","elec-process","process (no energy)")),"excluded")))</f>
        <v/>
      </c>
      <c r="H167">
        <f>IF(AND(D167&gt;0,E167&gt;0),"MIXED — energy also on "&amp;IF(F167="fuel","elec","fuel")&amp;" curve","")</f>
        <v/>
      </c>
      <c r="I167">
        <f>'Kermeli Data'!Q171</f>
        <v/>
      </c>
    </row>
    <row r="168">
      <c r="A168">
        <f>'Kermeli Data'!A172</f>
        <v/>
      </c>
      <c r="B168">
        <f>'Kermeli Data'!B172</f>
        <v/>
      </c>
      <c r="C168">
        <f>'Kermeli Data'!P172</f>
        <v/>
      </c>
      <c r="D168">
        <f>'Kermeli Data'!R172</f>
        <v/>
      </c>
      <c r="E168">
        <f>'Kermeli Data'!S172</f>
        <v/>
      </c>
      <c r="F168">
        <f>IF(AND(D168=0,E168=0),"none",IF(D168&gt;=E168,"fuel","elec"))</f>
        <v/>
      </c>
      <c r="G168">
        <f>IF(C168="1 unit","unit files",IF(C168="2 whr",IF(F168="fuel","fuel-whr",IF(F168="elec","elec-whr","whr (no energy)")),IF(C168="3 proc",IF(F168="fuel","fuel-process",IF(F168="elec","elec-process","process (no energy)")),"excluded")))</f>
        <v/>
      </c>
      <c r="H168">
        <f>IF(AND(D168&gt;0,E168&gt;0),"MIXED — energy also on "&amp;IF(F168="fuel","elec","fuel")&amp;" curve","")</f>
        <v/>
      </c>
      <c r="I168">
        <f>'Kermeli Data'!Q172</f>
        <v/>
      </c>
    </row>
    <row r="169">
      <c r="A169">
        <f>'Kermeli Data'!A173</f>
        <v/>
      </c>
      <c r="B169">
        <f>'Kermeli Data'!B173</f>
        <v/>
      </c>
      <c r="C169">
        <f>'Kermeli Data'!P173</f>
        <v/>
      </c>
      <c r="D169">
        <f>'Kermeli Data'!R173</f>
        <v/>
      </c>
      <c r="E169">
        <f>'Kermeli Data'!S173</f>
        <v/>
      </c>
      <c r="F169">
        <f>IF(AND(D169=0,E169=0),"none",IF(D169&gt;=E169,"fuel","elec"))</f>
        <v/>
      </c>
      <c r="G169">
        <f>IF(C169="1 unit","unit files",IF(C169="2 whr",IF(F169="fuel","fuel-whr",IF(F169="elec","elec-whr","whr (no energy)")),IF(C169="3 proc",IF(F169="fuel","fuel-process",IF(F169="elec","elec-process","process (no energy)")),"excluded")))</f>
        <v/>
      </c>
      <c r="H169">
        <f>IF(AND(D169&gt;0,E169&gt;0),"MIXED — energy also on "&amp;IF(F169="fuel","elec","fuel")&amp;" curve","")</f>
        <v/>
      </c>
      <c r="I169">
        <f>'Kermeli Data'!Q173</f>
        <v/>
      </c>
    </row>
    <row r="170">
      <c r="A170">
        <f>'Kermeli Data'!A174</f>
        <v/>
      </c>
      <c r="B170">
        <f>'Kermeli Data'!B174</f>
        <v/>
      </c>
      <c r="C170">
        <f>'Kermeli Data'!P174</f>
        <v/>
      </c>
      <c r="D170">
        <f>'Kermeli Data'!R174</f>
        <v/>
      </c>
      <c r="E170">
        <f>'Kermeli Data'!S174</f>
        <v/>
      </c>
      <c r="F170">
        <f>IF(AND(D170=0,E170=0),"none",IF(D170&gt;=E170,"fuel","elec"))</f>
        <v/>
      </c>
      <c r="G170">
        <f>IF(C170="1 unit","unit files",IF(C170="2 whr",IF(F170="fuel","fuel-whr",IF(F170="elec","elec-whr","whr (no energy)")),IF(C170="3 proc",IF(F170="fuel","fuel-process",IF(F170="elec","elec-process","process (no energy)")),"excluded")))</f>
        <v/>
      </c>
      <c r="H170">
        <f>IF(AND(D170&gt;0,E170&gt;0),"MIXED — energy also on "&amp;IF(F170="fuel","elec","fuel")&amp;" curve","")</f>
        <v/>
      </c>
      <c r="I170">
        <f>'Kermeli Data'!Q174</f>
        <v/>
      </c>
    </row>
    <row r="172">
      <c r="A172" s="1" t="inlineStr">
        <is>
          <t>Destination summary (count of measures)</t>
        </is>
      </c>
    </row>
    <row r="173">
      <c r="A173" t="inlineStr">
        <is>
          <t>unit files</t>
        </is>
      </c>
      <c r="B173">
        <f>COUNTIF($G$5:$G$170,A173)</f>
        <v/>
      </c>
    </row>
    <row r="174">
      <c r="A174" t="inlineStr">
        <is>
          <t>fuel-whr</t>
        </is>
      </c>
      <c r="B174">
        <f>COUNTIF($G$5:$G$170,A174)</f>
        <v/>
      </c>
    </row>
    <row r="175">
      <c r="A175" t="inlineStr">
        <is>
          <t>elec-whr</t>
        </is>
      </c>
      <c r="B175">
        <f>COUNTIF($G$5:$G$170,A175)</f>
        <v/>
      </c>
    </row>
    <row r="176">
      <c r="A176" t="inlineStr">
        <is>
          <t>fuel-process</t>
        </is>
      </c>
      <c r="B176">
        <f>COUNTIF($G$5:$G$170,A176)</f>
        <v/>
      </c>
    </row>
    <row r="177">
      <c r="A177" t="inlineStr">
        <is>
          <t>elec-process</t>
        </is>
      </c>
      <c r="B177">
        <f>COUNTIF($G$5:$G$170,A177)</f>
        <v/>
      </c>
    </row>
    <row r="178">
      <c r="A178" t="inlineStr">
        <is>
          <t>whr (no energy)</t>
        </is>
      </c>
      <c r="B178">
        <f>COUNTIF($G$5:$G$170,A178)</f>
        <v/>
      </c>
    </row>
    <row r="179">
      <c r="A179" t="inlineStr">
        <is>
          <t>process (no energy)</t>
        </is>
      </c>
      <c r="B179">
        <f>COUNTIF($G$5:$G$170,A179)</f>
        <v/>
      </c>
      <c r="C179">
        <f>COUNTA($G$5:$G$170)</f>
        <v/>
      </c>
      <c r="D179" t="inlineStr">
        <is>
          <t>&lt;- should match B179</t>
        </is>
      </c>
    </row>
    <row r="180">
      <c r="A180" t="inlineStr">
        <is>
          <t>excluded</t>
        </is>
      </c>
      <c r="B180">
        <f>COUNTIF($G$5:$G$170,A180)</f>
        <v/>
      </c>
    </row>
    <row r="181" ht="15.65" customHeight="1">
      <c r="A181" s="72" t="inlineStr">
        <is>
          <t>TOTAL</t>
        </is>
      </c>
      <c r="B181">
        <f>SUM(B173:B180)</f>
        <v/>
      </c>
      <c r="C181">
        <f>COUNTA($G$5:$G$170)</f>
        <v/>
      </c>
      <c r="D181" t="inlineStr">
        <is>
          <t>&lt;- C181 = rows; B181 must equal it</t>
        </is>
      </c>
    </row>
    <row r="182">
      <c r="A182" t="inlineStr">
        <is>
          <t>1. Scrap preheating (BF/BOF)</t>
        </is>
      </c>
      <c r="B182" t="inlineStr">
        <is>
          <t>System WHR -&gt; fuel-whr + elec-whr (mixed). EAF best-possible floor at no-preheat value; no double count.</t>
        </is>
      </c>
    </row>
    <row r="183" ht="15.65" customHeight="1">
      <c r="A183" s="72" t="inlineStr">
        <is>
          <t>Classification rulings (G0.1) recorded</t>
        </is>
      </c>
      <c r="B183" t="inlineStr">
        <is>
          <t>System WHR (fired-heater APH) -&gt; fuel-whr.</t>
        </is>
      </c>
    </row>
    <row r="184">
      <c r="A184" t="inlineStr">
        <is>
          <t>1. Scrap preheating (BF/BOF)</t>
        </is>
      </c>
      <c r="B184" t="inlineStr">
        <is>
          <t>System WHR -&gt; fuel-whr + elec-whr (mixed). EAF best-possible floor at no-preheat value; no double count.</t>
        </is>
      </c>
    </row>
    <row r="185">
      <c r="A185" t="inlineStr">
        <is>
          <t>2. Ammonia air preheat</t>
        </is>
      </c>
      <c r="B185" t="inlineStr">
        <is>
          <t>System WHR (fired-heater APH) -&gt; fuel-whr.</t>
        </is>
      </c>
    </row>
    <row r="186">
      <c r="A186" t="inlineStr">
        <is>
          <t>3. Glass low-NOx burners / optimized burning</t>
        </is>
      </c>
      <c r="B186" t="inlineStr">
        <is>
          <t>Low-NOx burners -&gt; unit files (excluded). Optimized burning -&gt; process.</t>
        </is>
      </c>
    </row>
    <row r="187">
      <c r="A187" t="inlineStr">
        <is>
          <t>4. CHP / cogeneration</t>
        </is>
      </c>
      <c r="B187" t="inlineStr">
        <is>
          <t>Excluded (parked): soda ash CHP, carbon black CHP, ethylene gas turbine, pig iron cogeneration.</t>
        </is>
      </c>
    </row>
    <row r="188">
      <c r="A188" t="inlineStr">
        <is>
          <t>5. Top gas (pig iron)</t>
        </is>
      </c>
      <c r="B188" t="inlineStr">
        <is>
          <t>Top gas recovery turbine -&gt; whr. Top gas recycling -&gt; process (reduction-chemistry, not recovery).</t>
        </is>
      </c>
    </row>
  </sheetData>
  <pageMargins left="0.7" right="0.7" top="0.75" bottom="0.75" header="0.3" footer="0.3"/>
</worksheet>
</file>

<file path=xl/worksheets/sheet19.xml><?xml version="1.0" encoding="utf-8"?>
<worksheet xmlns="http://schemas.openxmlformats.org/spreadsheetml/2006/main">
  <sheetPr>
    <tabColor rgb="FFC6E0B4"/>
    <outlinePr summaryBelow="1" summaryRight="1"/>
    <pageSetUpPr/>
  </sheetPr>
  <dimension ref="B2:C28"/>
  <sheetViews>
    <sheetView workbookViewId="0">
      <selection activeCell="B28" sqref="B28"/>
    </sheetView>
  </sheetViews>
  <sheetFormatPr baseColWidth="8" defaultRowHeight="14.5"/>
  <cols>
    <col width="42.26953125" bestFit="1" customWidth="1" min="2" max="2"/>
  </cols>
  <sheetData>
    <row r="2">
      <c r="C2" t="inlineStr">
        <is>
          <t>industry share of energy used for heat</t>
        </is>
      </c>
    </row>
    <row r="3">
      <c r="B3" t="inlineStr">
        <is>
          <t>agriculture and forestry 01T03</t>
        </is>
      </c>
      <c r="C3" t="n">
        <v>0.3103</v>
      </c>
    </row>
    <row r="4">
      <c r="B4" t="inlineStr">
        <is>
          <t>coal mining 05</t>
        </is>
      </c>
      <c r="C4" t="n">
        <v>0</v>
      </c>
    </row>
    <row r="5">
      <c r="B5" t="inlineStr">
        <is>
          <t>oil and gas extraction 06</t>
        </is>
      </c>
      <c r="C5" t="n">
        <v>0.555</v>
      </c>
    </row>
    <row r="6">
      <c r="B6" t="inlineStr">
        <is>
          <t>other mining and quarrying 07T08</t>
        </is>
      </c>
      <c r="C6" t="n">
        <v>0.4791</v>
      </c>
    </row>
    <row r="7">
      <c r="B7" t="inlineStr">
        <is>
          <t>food beverage and tobacco 10T12</t>
        </is>
      </c>
      <c r="C7" t="n">
        <v>0.6399</v>
      </c>
    </row>
    <row r="8">
      <c r="B8" t="inlineStr">
        <is>
          <t>textiles apparel and leather 13T15</t>
        </is>
      </c>
      <c r="C8" t="n">
        <v>0.4</v>
      </c>
    </row>
    <row r="9">
      <c r="B9" t="inlineStr">
        <is>
          <t>wood products 16</t>
        </is>
      </c>
      <c r="C9" t="n">
        <v>0.8697</v>
      </c>
    </row>
    <row r="10">
      <c r="B10" t="inlineStr">
        <is>
          <t>pulp paper and printing 17T18</t>
        </is>
      </c>
      <c r="C10" t="n">
        <v>0.8551</v>
      </c>
    </row>
    <row r="11">
      <c r="B11" t="inlineStr">
        <is>
          <t>refined petroleum and coke 19</t>
        </is>
      </c>
      <c r="C11" t="n">
        <v>0.7754</v>
      </c>
    </row>
    <row r="12">
      <c r="B12" t="inlineStr">
        <is>
          <t>chemicals 20</t>
        </is>
      </c>
      <c r="C12" t="n">
        <v>0.7161</v>
      </c>
    </row>
    <row r="13">
      <c r="B13" t="inlineStr">
        <is>
          <t>rubber and plastic products 22</t>
        </is>
      </c>
      <c r="C13" t="n">
        <v>0.2821</v>
      </c>
    </row>
    <row r="14">
      <c r="B14" t="inlineStr">
        <is>
          <t>glass and glass products 231</t>
        </is>
      </c>
      <c r="C14" t="n">
        <v>0.7514</v>
      </c>
    </row>
    <row r="15">
      <c r="B15" t="inlineStr">
        <is>
          <t>cement and other nonmetallic minerals 239</t>
        </is>
      </c>
      <c r="C15" t="n">
        <v>0.8492</v>
      </c>
    </row>
    <row r="16">
      <c r="B16" t="inlineStr">
        <is>
          <t>iron and steel 241</t>
        </is>
      </c>
      <c r="C16" t="n">
        <v>0.6516</v>
      </c>
    </row>
    <row r="17">
      <c r="B17" t="inlineStr">
        <is>
          <t>other metals 242</t>
        </is>
      </c>
      <c r="C17" t="n">
        <v>0.6089</v>
      </c>
    </row>
    <row r="18">
      <c r="B18" t="inlineStr">
        <is>
          <t>metal products except machinery and vehicles 25</t>
        </is>
      </c>
      <c r="C18" t="n">
        <v>0.5873</v>
      </c>
    </row>
    <row r="19">
      <c r="B19" t="inlineStr">
        <is>
          <t>computers and electronics 26</t>
        </is>
      </c>
      <c r="C19" t="n">
        <v>0.151</v>
      </c>
    </row>
    <row r="20">
      <c r="B20" t="inlineStr">
        <is>
          <t>appliances and electrical equipment 27</t>
        </is>
      </c>
      <c r="C20" t="n">
        <v>0.342</v>
      </c>
    </row>
    <row r="21">
      <c r="B21" t="inlineStr">
        <is>
          <t>other machinery 28</t>
        </is>
      </c>
      <c r="C21" t="n">
        <v>0.218</v>
      </c>
    </row>
    <row r="22">
      <c r="B22" t="inlineStr">
        <is>
          <t>road vehicles 29</t>
        </is>
      </c>
      <c r="C22" t="n">
        <v>0.448</v>
      </c>
    </row>
    <row r="23">
      <c r="B23" t="inlineStr">
        <is>
          <t>nonroad vehicles 30</t>
        </is>
      </c>
      <c r="C23" t="n">
        <v>0.328</v>
      </c>
    </row>
    <row r="24">
      <c r="B24" t="inlineStr">
        <is>
          <t>other manufacturing 31T33</t>
        </is>
      </c>
      <c r="C24" t="n">
        <v>0.339</v>
      </c>
    </row>
    <row r="25">
      <c r="B25" t="inlineStr">
        <is>
          <t>energy pipelines and gas processing 352T353</t>
        </is>
      </c>
      <c r="C25" t="n">
        <v>0</v>
      </c>
    </row>
    <row r="26">
      <c r="B26" t="inlineStr">
        <is>
          <t>water and waste 36T39</t>
        </is>
      </c>
      <c r="C26" t="n">
        <v>0.857</v>
      </c>
    </row>
    <row r="27">
      <c r="B27" t="inlineStr">
        <is>
          <t>construction 41T43</t>
        </is>
      </c>
      <c r="C27" t="n">
        <v>0.199</v>
      </c>
    </row>
    <row r="28" ht="101.5" customHeight="1">
      <c r="B28" s="258" t="inlineStr">
        <is>
          <t>Originally computed from the imported 'BPFUbIP-Summed Data by Industry' tab (boiler + nonboiler heat as a share of industry energy), which was removed; the external source workbook link was already broken. Reference only since the G0.6 revision (fuel percentages now use total combustion fuel).</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B5" sqref="B5"/>
    </sheetView>
  </sheetViews>
  <sheetFormatPr baseColWidth="8" defaultRowHeight="14.5"/>
  <sheetData>
    <row r="1">
      <c r="A1" t="inlineStr">
        <is>
          <t>Unit: dimensionless (% of project cost)</t>
        </is>
      </c>
      <c r="B1" t="inlineStr">
        <is>
          <t>Weighted Average Cost of Capital</t>
        </is>
      </c>
      <c r="C1" t="inlineStr">
        <is>
          <t>code</t>
        </is>
      </c>
    </row>
    <row r="2">
      <c r="A2" t="inlineStr">
        <is>
          <t>agriculture and forestry 01T03</t>
        </is>
      </c>
      <c r="B2" t="n">
        <v>0.04656</v>
      </c>
      <c r="C2">
        <f>'fuel-whr'!B4</f>
        <v/>
      </c>
    </row>
    <row r="3">
      <c r="A3" t="inlineStr">
        <is>
          <t>coal mining 05</t>
        </is>
      </c>
      <c r="B3" t="n">
        <v>0.05765</v>
      </c>
      <c r="C3">
        <f>'fuel-whr'!B5</f>
        <v/>
      </c>
    </row>
    <row r="4">
      <c r="A4" t="inlineStr">
        <is>
          <t>oil and gas extraction 06</t>
        </is>
      </c>
      <c r="B4" t="n">
        <v>0.03656</v>
      </c>
      <c r="C4">
        <f>'fuel-whr'!B6</f>
        <v/>
      </c>
    </row>
    <row r="5">
      <c r="A5" t="inlineStr">
        <is>
          <t>other mining and quarrying 07T08</t>
        </is>
      </c>
      <c r="B5" t="n">
        <v>0.05558</v>
      </c>
      <c r="C5">
        <f>'fuel-whr'!B7</f>
        <v/>
      </c>
    </row>
    <row r="6">
      <c r="A6" t="inlineStr">
        <is>
          <t>food beverage and tobacco 10T12</t>
        </is>
      </c>
      <c r="B6" t="n">
        <v>0.03824</v>
      </c>
      <c r="C6">
        <f>'fuel-whr'!B8</f>
        <v/>
      </c>
    </row>
    <row r="7">
      <c r="A7" t="inlineStr">
        <is>
          <t>textiles apparel and leather 13T15</t>
        </is>
      </c>
      <c r="B7" t="n">
        <v>0.04521</v>
      </c>
      <c r="C7">
        <f>'fuel-whr'!B9</f>
        <v/>
      </c>
    </row>
    <row r="8">
      <c r="A8" t="inlineStr">
        <is>
          <t>wood products 16</t>
        </is>
      </c>
      <c r="B8" t="n">
        <v>0.04321</v>
      </c>
      <c r="C8">
        <f>'fuel-whr'!B10</f>
        <v/>
      </c>
    </row>
    <row r="9">
      <c r="A9" t="inlineStr">
        <is>
          <t>pulp paper and printing 17T18</t>
        </is>
      </c>
      <c r="B9" t="n">
        <v>0.03842</v>
      </c>
      <c r="C9">
        <f>'fuel-whr'!B11</f>
        <v/>
      </c>
    </row>
    <row r="10">
      <c r="A10" t="inlineStr">
        <is>
          <t>refined petroleum and coke 19</t>
        </is>
      </c>
      <c r="B10" t="n">
        <v>0.02511</v>
      </c>
      <c r="C10">
        <f>'fuel-whr'!B12</f>
        <v/>
      </c>
    </row>
    <row r="11">
      <c r="A11" t="inlineStr">
        <is>
          <t>chemicals 20</t>
        </is>
      </c>
      <c r="B11" t="n">
        <v>0.03642</v>
      </c>
      <c r="C11">
        <f>'fuel-whr'!B13</f>
        <v/>
      </c>
    </row>
    <row r="12">
      <c r="A12" t="inlineStr">
        <is>
          <t>rubber and plastic products 22</t>
        </is>
      </c>
      <c r="B12" t="n">
        <v>0.01931</v>
      </c>
      <c r="C12">
        <f>'fuel-whr'!B14</f>
        <v/>
      </c>
    </row>
    <row r="13">
      <c r="A13" t="inlineStr">
        <is>
          <t>glass and glass products 231</t>
        </is>
      </c>
      <c r="B13" t="n">
        <v>0.05223</v>
      </c>
      <c r="C13">
        <f>'fuel-whr'!B15</f>
        <v/>
      </c>
    </row>
    <row r="14">
      <c r="A14" t="inlineStr">
        <is>
          <t>cement and other nonmetallic minerals 239</t>
        </is>
      </c>
      <c r="B14" t="n">
        <v>0.05223</v>
      </c>
      <c r="C14">
        <f>'fuel-whr'!B16</f>
        <v/>
      </c>
    </row>
    <row r="15">
      <c r="A15" t="inlineStr">
        <is>
          <t>iron and steel 241</t>
        </is>
      </c>
      <c r="B15" t="n">
        <v>0.05131</v>
      </c>
      <c r="C15">
        <f>'fuel-whr'!B17</f>
        <v/>
      </c>
    </row>
    <row r="16">
      <c r="A16" t="inlineStr">
        <is>
          <t>other metals 242</t>
        </is>
      </c>
      <c r="B16" t="n">
        <v>0.05558</v>
      </c>
      <c r="C16">
        <f>'fuel-whr'!B18</f>
        <v/>
      </c>
    </row>
    <row r="17">
      <c r="A17" t="inlineStr">
        <is>
          <t>metal products except machinery and vehicles 25</t>
        </is>
      </c>
      <c r="B17" t="n">
        <v>0.05558</v>
      </c>
      <c r="C17">
        <f>'fuel-whr'!B19</f>
        <v/>
      </c>
    </row>
    <row r="18">
      <c r="A18" t="inlineStr">
        <is>
          <t>computers and electronics 26</t>
        </is>
      </c>
      <c r="B18" t="n">
        <v>0.05115</v>
      </c>
      <c r="C18">
        <f>'fuel-whr'!B20</f>
        <v/>
      </c>
    </row>
    <row r="19">
      <c r="A19" t="inlineStr">
        <is>
          <t>appliances and electrical equipment 27</t>
        </is>
      </c>
      <c r="B19" t="n">
        <v>0.05135</v>
      </c>
      <c r="C19">
        <f>'fuel-whr'!B21</f>
        <v/>
      </c>
    </row>
    <row r="20">
      <c r="A20" t="inlineStr">
        <is>
          <t>other machinery 28</t>
        </is>
      </c>
      <c r="B20" t="n">
        <v>0.05073</v>
      </c>
      <c r="C20">
        <f>'fuel-whr'!B22</f>
        <v/>
      </c>
    </row>
    <row r="21">
      <c r="A21" t="inlineStr">
        <is>
          <t>road vehicles 29</t>
        </is>
      </c>
      <c r="B21" t="n">
        <v>0.04509</v>
      </c>
      <c r="C21">
        <f>'fuel-whr'!B23</f>
        <v/>
      </c>
    </row>
    <row r="22">
      <c r="A22" t="inlineStr">
        <is>
          <t>nonroad vehicles 30</t>
        </is>
      </c>
      <c r="B22" t="n">
        <v>0.0465</v>
      </c>
      <c r="C22">
        <f>'fuel-whr'!B24</f>
        <v/>
      </c>
    </row>
    <row r="23">
      <c r="A23" t="inlineStr">
        <is>
          <t>other manufacturing 31T33</t>
        </is>
      </c>
      <c r="B23" t="n">
        <v>0.05073</v>
      </c>
      <c r="C23">
        <f>'fuel-whr'!B25</f>
        <v/>
      </c>
    </row>
    <row r="24">
      <c r="A24" t="inlineStr">
        <is>
          <t>energy pipelines and gas processing 352T353</t>
        </is>
      </c>
      <c r="B24" t="n">
        <v>0.03198</v>
      </c>
      <c r="C24">
        <f>'fuel-whr'!B26</f>
        <v/>
      </c>
    </row>
    <row r="25">
      <c r="A25" t="inlineStr">
        <is>
          <t>water and waste 36T39</t>
        </is>
      </c>
      <c r="B25" t="n">
        <v>0.0237</v>
      </c>
      <c r="C25">
        <f>'fuel-whr'!B27</f>
        <v/>
      </c>
    </row>
    <row r="26">
      <c r="A26" t="inlineStr">
        <is>
          <t>construction 41T43</t>
        </is>
      </c>
      <c r="B26" t="n">
        <v>0.06035</v>
      </c>
      <c r="C26">
        <f>'fuel-whr'!B28</f>
        <v/>
      </c>
    </row>
  </sheetData>
  <pageMargins left="0.7" right="0.7" top="0.75" bottom="0.75" header="0.3" footer="0.3"/>
</worksheet>
</file>

<file path=xl/worksheets/sheet21.xml><?xml version="1.0" encoding="utf-8"?>
<worksheet xmlns="http://schemas.openxmlformats.org/spreadsheetml/2006/main">
  <sheetPr>
    <tabColor theme="3"/>
    <outlinePr summaryBelow="1" summaryRight="1"/>
    <pageSetUpPr/>
  </sheetPr>
  <dimension ref="A1:B26"/>
  <sheetViews>
    <sheetView zoomScale="90" workbookViewId="0">
      <selection activeCell="B3" sqref="B3"/>
    </sheetView>
  </sheetViews>
  <sheetFormatPr baseColWidth="8" defaultRowHeight="14.5"/>
  <cols>
    <col width="45.453125" bestFit="1" customWidth="1" min="1" max="1"/>
  </cols>
  <sheetData>
    <row r="1">
      <c r="A1" t="inlineStr">
        <is>
          <t>dmnl</t>
        </is>
      </c>
      <c r="B1" t="inlineStr">
        <is>
          <t>Potential</t>
        </is>
      </c>
    </row>
    <row r="2">
      <c r="A2" t="inlineStr">
        <is>
          <t>agriculture and forestry 01T03</t>
        </is>
      </c>
      <c r="B2" s="71">
        <f>IFERROR((SUMIFS('EU Data'!$D$23:$D$35,'EU Data'!$H$23:$H$35,WHRPbI!A2)+SUMIFS('EU Data'!$D$23:$D$35,'EU Data'!$I$23:$I$35,WHRPbI!A2)+SUMIFS('EU Data'!$D$23:$D$35,'EU Data'!$J$23:$J$35,WHRPbI!A2))/[7]Calcs!$C3,0)</f>
        <v/>
      </c>
    </row>
    <row r="3">
      <c r="A3" t="inlineStr">
        <is>
          <t>coal mining 05</t>
        </is>
      </c>
      <c r="B3" s="71">
        <f>IFERROR((SUMIFS('EU Data'!$D$23:$D$35,'EU Data'!$H$23:$H$35,WHRPbI!A3)+SUMIFS('EU Data'!$D$23:$D$35,'EU Data'!$I$23:$I$35,WHRPbI!A3)+SUMIFS('EU Data'!$D$23:$D$35,'EU Data'!$J$23:$J$35,WHRPbI!A3))/[7]Calcs!$C4,0)</f>
        <v/>
      </c>
    </row>
    <row r="4">
      <c r="A4" t="inlineStr">
        <is>
          <t>oil and gas extraction 06</t>
        </is>
      </c>
      <c r="B4" s="71">
        <f>IFERROR((SUMIFS('EU Data'!$D$23:$D$35,'EU Data'!$H$23:$H$35,WHRPbI!A4)+SUMIFS('EU Data'!$D$23:$D$35,'EU Data'!$I$23:$I$35,WHRPbI!A4)+SUMIFS('EU Data'!$D$23:$D$35,'EU Data'!$J$23:$J$35,WHRPbI!A4))/[7]Calcs!$C5,0)</f>
        <v/>
      </c>
    </row>
    <row r="5">
      <c r="A5" t="inlineStr">
        <is>
          <t>other mining and quarrying 07T08</t>
        </is>
      </c>
      <c r="B5" s="71">
        <f>IFERROR((SUMIFS('EU Data'!$D$23:$D$35,'EU Data'!$H$23:$H$35,WHRPbI!A5)+SUMIFS('EU Data'!$D$23:$D$35,'EU Data'!$I$23:$I$35,WHRPbI!A5)+SUMIFS('EU Data'!$D$23:$D$35,'EU Data'!$J$23:$J$35,WHRPbI!A5))/[7]Calcs!$C6,0)</f>
        <v/>
      </c>
    </row>
    <row r="6">
      <c r="A6" t="inlineStr">
        <is>
          <t>food beverage and tobacco 10T12</t>
        </is>
      </c>
      <c r="B6" s="71">
        <f>IFERROR((SUMIFS('EU Data'!$D$23:$D$35,'EU Data'!$H$23:$H$35,WHRPbI!A6)+SUMIFS('EU Data'!$D$23:$D$35,'EU Data'!$I$23:$I$35,WHRPbI!A6)+SUMIFS('EU Data'!$D$23:$D$35,'EU Data'!$J$23:$J$35,WHRPbI!A6))/[7]Calcs!$C7,0)</f>
        <v/>
      </c>
    </row>
    <row r="7">
      <c r="A7" t="inlineStr">
        <is>
          <t>textiles apparel and leather 13T15</t>
        </is>
      </c>
      <c r="B7" s="71">
        <f>IFERROR((SUMIFS('EU Data'!$D$23:$D$35,'EU Data'!$H$23:$H$35,WHRPbI!A7)+SUMIFS('EU Data'!$D$23:$D$35,'EU Data'!$I$23:$I$35,WHRPbI!A7)+SUMIFS('EU Data'!$D$23:$D$35,'EU Data'!$J$23:$J$35,WHRPbI!A7))/[7]Calcs!$C8,0)</f>
        <v/>
      </c>
    </row>
    <row r="8">
      <c r="A8" t="inlineStr">
        <is>
          <t>wood products 16</t>
        </is>
      </c>
      <c r="B8" s="71">
        <f>IFERROR((SUMIFS('EU Data'!$D$23:$D$35,'EU Data'!$H$23:$H$35,WHRPbI!A8)+SUMIFS('EU Data'!$D$23:$D$35,'EU Data'!$I$23:$I$35,WHRPbI!A8)+SUMIFS('EU Data'!$D$23:$D$35,'EU Data'!$J$23:$J$35,WHRPbI!A8))/[7]Calcs!$C9,0)</f>
        <v/>
      </c>
    </row>
    <row r="9">
      <c r="A9" t="inlineStr">
        <is>
          <t>pulp paper and printing 17T18</t>
        </is>
      </c>
      <c r="B9" s="71">
        <f>IFERROR((SUMIFS('EU Data'!$D$23:$D$35,'EU Data'!$H$23:$H$35,WHRPbI!A9)+SUMIFS('EU Data'!$D$23:$D$35,'EU Data'!$I$23:$I$35,WHRPbI!A9)+SUMIFS('EU Data'!$D$23:$D$35,'EU Data'!$J$23:$J$35,WHRPbI!A9))/[7]Calcs!$C10,0)</f>
        <v/>
      </c>
    </row>
    <row r="10">
      <c r="A10" t="inlineStr">
        <is>
          <t>refined petroleum and coke 19</t>
        </is>
      </c>
      <c r="B10" s="71">
        <f>IFERROR((SUMIFS('EU Data'!$D$23:$D$35,'EU Data'!$H$23:$H$35,WHRPbI!A10)+SUMIFS('EU Data'!$D$23:$D$35,'EU Data'!$I$23:$I$35,WHRPbI!A10)+SUMIFS('EU Data'!$D$23:$D$35,'EU Data'!$J$23:$J$35,WHRPbI!A10))/[7]Calcs!$C11,0)</f>
        <v/>
      </c>
    </row>
    <row r="11">
      <c r="A11" t="inlineStr">
        <is>
          <t>chemicals 20</t>
        </is>
      </c>
      <c r="B11" s="71">
        <f>IFERROR((SUMIFS('EU Data'!$D$23:$D$35,'EU Data'!$H$23:$H$35,WHRPbI!A11)+SUMIFS('EU Data'!$D$23:$D$35,'EU Data'!$I$23:$I$35,WHRPbI!A11)+SUMIFS('EU Data'!$D$23:$D$35,'EU Data'!$J$23:$J$35,WHRPbI!A11))/[7]Calcs!$C12,0)</f>
        <v/>
      </c>
    </row>
    <row r="12">
      <c r="A12" t="inlineStr">
        <is>
          <t>rubber and plastic products 22</t>
        </is>
      </c>
      <c r="B12" s="71">
        <f>IFERROR((SUMIFS('EU Data'!$D$23:$D$35,'EU Data'!$H$23:$H$35,WHRPbI!A12)+SUMIFS('EU Data'!$D$23:$D$35,'EU Data'!$I$23:$I$35,WHRPbI!A12)+SUMIFS('EU Data'!$D$23:$D$35,'EU Data'!$J$23:$J$35,WHRPbI!A12))/[7]Calcs!$C13,0)</f>
        <v/>
      </c>
    </row>
    <row r="13">
      <c r="A13" t="inlineStr">
        <is>
          <t>glass and glass products 231</t>
        </is>
      </c>
      <c r="B13" s="71">
        <f>IFERROR((SUMIFS('EU Data'!$D$23:$D$35,'EU Data'!$H$23:$H$35,WHRPbI!A13)+SUMIFS('EU Data'!$D$23:$D$35,'EU Data'!$I$23:$I$35,WHRPbI!A13)+SUMIFS('EU Data'!$D$23:$D$35,'EU Data'!$J$23:$J$35,WHRPbI!A13))/[7]Calcs!$C14,0)</f>
        <v/>
      </c>
    </row>
    <row r="14">
      <c r="A14" t="inlineStr">
        <is>
          <t>cement and other nonmetallic minerals 239</t>
        </is>
      </c>
      <c r="B14" s="71">
        <f>IFERROR((SUMIFS('EU Data'!$D$23:$D$35,'EU Data'!$H$23:$H$35,WHRPbI!A14)+SUMIFS('EU Data'!$D$23:$D$35,'EU Data'!$I$23:$I$35,WHRPbI!A14)+SUMIFS('EU Data'!$D$23:$D$35,'EU Data'!$J$23:$J$35,WHRPbI!A14))/[7]Calcs!$C15,0)</f>
        <v/>
      </c>
    </row>
    <row r="15">
      <c r="A15" t="inlineStr">
        <is>
          <t>iron and steel 241</t>
        </is>
      </c>
      <c r="B15" s="71">
        <f>IFERROR((SUMIFS('EU Data'!$D$23:$D$35,'EU Data'!$H$23:$H$35,WHRPbI!A15)+SUMIFS('EU Data'!$D$23:$D$35,'EU Data'!$I$23:$I$35,WHRPbI!A15)+SUMIFS('EU Data'!$D$23:$D$35,'EU Data'!$J$23:$J$35,WHRPbI!A15))/[7]Calcs!$C16,0)</f>
        <v/>
      </c>
    </row>
    <row r="16">
      <c r="A16" t="inlineStr">
        <is>
          <t>other metals 242</t>
        </is>
      </c>
      <c r="B16" s="71">
        <f>IFERROR((SUMIFS('EU Data'!$D$23:$D$35,'EU Data'!$H$23:$H$35,WHRPbI!A16)+SUMIFS('EU Data'!$D$23:$D$35,'EU Data'!$I$23:$I$35,WHRPbI!A16)+SUMIFS('EU Data'!$D$23:$D$35,'EU Data'!$J$23:$J$35,WHRPbI!A16))/[7]Calcs!$C17,0)</f>
        <v/>
      </c>
    </row>
    <row r="17">
      <c r="A17" t="inlineStr">
        <is>
          <t>metal products except machinery and vehicles 25</t>
        </is>
      </c>
      <c r="B17" s="71">
        <f>IFERROR((SUMIFS('EU Data'!$D$23:$D$35,'EU Data'!$H$23:$H$35,WHRPbI!A17)+SUMIFS('EU Data'!$D$23:$D$35,'EU Data'!$I$23:$I$35,WHRPbI!A17)+SUMIFS('EU Data'!$D$23:$D$35,'EU Data'!$J$23:$J$35,WHRPbI!A17))/[7]Calcs!$C18,0)</f>
        <v/>
      </c>
    </row>
    <row r="18">
      <c r="A18" t="inlineStr">
        <is>
          <t>computers and electronics 26</t>
        </is>
      </c>
      <c r="B18" s="71">
        <f>IFERROR((SUMIFS('EU Data'!$D$23:$D$35,'EU Data'!$H$23:$H$35,WHRPbI!A18)+SUMIFS('EU Data'!$D$23:$D$35,'EU Data'!$I$23:$I$35,WHRPbI!A18)+SUMIFS('EU Data'!$D$23:$D$35,'EU Data'!$J$23:$J$35,WHRPbI!A18))/[7]Calcs!$C19,0)</f>
        <v/>
      </c>
    </row>
    <row r="19">
      <c r="A19" t="inlineStr">
        <is>
          <t>appliances and electrical equipment 27</t>
        </is>
      </c>
      <c r="B19" s="71">
        <f>IFERROR((SUMIFS('EU Data'!$D$23:$D$35,'EU Data'!$H$23:$H$35,WHRPbI!A19)+SUMIFS('EU Data'!$D$23:$D$35,'EU Data'!$I$23:$I$35,WHRPbI!A19)+SUMIFS('EU Data'!$D$23:$D$35,'EU Data'!$J$23:$J$35,WHRPbI!A19))/[7]Calcs!$C20,0)</f>
        <v/>
      </c>
    </row>
    <row r="20">
      <c r="A20" t="inlineStr">
        <is>
          <t>other machinery 28</t>
        </is>
      </c>
      <c r="B20" s="71">
        <f>IFERROR((SUMIFS('EU Data'!$D$23:$D$35,'EU Data'!$H$23:$H$35,WHRPbI!A20)+SUMIFS('EU Data'!$D$23:$D$35,'EU Data'!$I$23:$I$35,WHRPbI!A20)+SUMIFS('EU Data'!$D$23:$D$35,'EU Data'!$J$23:$J$35,WHRPbI!A20))/[7]Calcs!$C21,0)</f>
        <v/>
      </c>
    </row>
    <row r="21">
      <c r="A21" t="inlineStr">
        <is>
          <t>road vehicles 29</t>
        </is>
      </c>
      <c r="B21" s="71">
        <f>IFERROR((SUMIFS('EU Data'!$D$23:$D$35,'EU Data'!$H$23:$H$35,WHRPbI!A21)+SUMIFS('EU Data'!$D$23:$D$35,'EU Data'!$I$23:$I$35,WHRPbI!A21)+SUMIFS('EU Data'!$D$23:$D$35,'EU Data'!$J$23:$J$35,WHRPbI!A21))/[7]Calcs!$C22,0)</f>
        <v/>
      </c>
    </row>
    <row r="22">
      <c r="A22" t="inlineStr">
        <is>
          <t>nonroad vehicles 30</t>
        </is>
      </c>
      <c r="B22" s="71">
        <f>IFERROR((SUMIFS('EU Data'!$D$23:$D$35,'EU Data'!$H$23:$H$35,WHRPbI!A22)+SUMIFS('EU Data'!$D$23:$D$35,'EU Data'!$I$23:$I$35,WHRPbI!A22)+SUMIFS('EU Data'!$D$23:$D$35,'EU Data'!$J$23:$J$35,WHRPbI!A22))/[7]Calcs!$C23,0)</f>
        <v/>
      </c>
    </row>
    <row r="23">
      <c r="A23" t="inlineStr">
        <is>
          <t>other manufacturing 31T33</t>
        </is>
      </c>
      <c r="B23" s="71">
        <f>IFERROR((SUMIFS('EU Data'!$D$23:$D$35,'EU Data'!$H$23:$H$35,WHRPbI!A23)+SUMIFS('EU Data'!$D$23:$D$35,'EU Data'!$I$23:$I$35,WHRPbI!A23)+SUMIFS('EU Data'!$D$23:$D$35,'EU Data'!$J$23:$J$35,WHRPbI!A23))/[7]Calcs!$C24,0)</f>
        <v/>
      </c>
    </row>
    <row r="24">
      <c r="A24" t="inlineStr">
        <is>
          <t>energy pipelines and gas processing 352T353</t>
        </is>
      </c>
      <c r="B24" s="71">
        <f>IFERROR((SUMIFS('EU Data'!$D$23:$D$35,'EU Data'!$H$23:$H$35,WHRPbI!A24)+SUMIFS('EU Data'!$D$23:$D$35,'EU Data'!$I$23:$I$35,WHRPbI!A24)+SUMIFS('EU Data'!$D$23:$D$35,'EU Data'!$J$23:$J$35,WHRPbI!A24))/[7]Calcs!$C25,0)</f>
        <v/>
      </c>
    </row>
    <row r="25">
      <c r="A25" t="inlineStr">
        <is>
          <t>water and waste 36T39</t>
        </is>
      </c>
      <c r="B25" s="71">
        <f>IFERROR((SUMIFS('EU Data'!$D$23:$D$35,'EU Data'!$H$23:$H$35,WHRPbI!A25)+SUMIFS('EU Data'!$D$23:$D$35,'EU Data'!$I$23:$I$35,WHRPbI!A25)+SUMIFS('EU Data'!$D$23:$D$35,'EU Data'!$J$23:$J$35,WHRPbI!A25))/[7]Calcs!$C26,0)</f>
        <v/>
      </c>
    </row>
    <row r="26">
      <c r="A26" t="inlineStr">
        <is>
          <t>construction 41T43</t>
        </is>
      </c>
      <c r="B26" s="71">
        <f>IFERROR((SUMIFS('EU Data'!$D$23:$D$35,'EU Data'!$H$23:$H$35,WHRPbI!A26)+SUMIFS('EU Data'!$D$23:$D$35,'EU Data'!$I$23:$I$35,WHRPbI!A26)+SUMIFS('EU Data'!$D$23:$D$35,'EU Data'!$J$23:$J$35,WHRPbI!A26))/[7]Calcs!$C27,0)</f>
        <v/>
      </c>
    </row>
  </sheetData>
  <conditionalFormatting sqref="B2:B2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B2:M29"/>
  <sheetViews>
    <sheetView topLeftCell="B1" zoomScale="66" workbookViewId="0">
      <selection activeCell="C13" sqref="C13"/>
    </sheetView>
  </sheetViews>
  <sheetFormatPr baseColWidth="8" defaultRowHeight="14.5"/>
  <cols>
    <col width="42.81640625" bestFit="1" customWidth="1" min="2" max="2"/>
    <col width="21.453125" customWidth="1" min="3" max="3"/>
  </cols>
  <sheetData>
    <row r="1" ht="15" customHeight="1" thickBot="1"/>
    <row r="2" ht="31" customHeight="1">
      <c r="D2" s="153" t="inlineStr">
        <is>
          <t>Temperature mapping</t>
        </is>
      </c>
      <c r="E2" s="153" t="n"/>
      <c r="F2" s="153" t="n"/>
      <c r="G2" s="153" t="n"/>
      <c r="H2" s="153" t="n"/>
      <c r="I2" s="182" t="inlineStr">
        <is>
          <t>Share of all energy for heat at various temp bands</t>
        </is>
      </c>
      <c r="J2" s="183" t="n"/>
      <c r="K2" s="183" t="n"/>
      <c r="L2" s="183" t="n"/>
      <c r="M2" s="184" t="n"/>
    </row>
    <row r="3" ht="29.15" customHeight="1">
      <c r="B3" t="inlineStr">
        <is>
          <t>Industry Category</t>
        </is>
      </c>
      <c r="C3" s="140" t="inlineStr">
        <is>
          <t>Share of all industry boiler/nonboiler heat</t>
        </is>
      </c>
      <c r="D3" s="154" t="inlineStr">
        <is>
          <t>&lt; 100°C</t>
        </is>
      </c>
      <c r="E3" s="154" t="inlineStr">
        <is>
          <t>100-200°C</t>
        </is>
      </c>
      <c r="F3" s="154" t="inlineStr">
        <is>
          <t>200-500°C</t>
        </is>
      </c>
      <c r="G3" s="154" t="inlineStr">
        <is>
          <t>500-1000°C</t>
        </is>
      </c>
      <c r="H3" s="155" t="inlineStr">
        <is>
          <t>&gt; 1000°C</t>
        </is>
      </c>
      <c r="I3" s="156" t="inlineStr">
        <is>
          <t>&lt; 100°C</t>
        </is>
      </c>
      <c r="J3" s="140" t="inlineStr">
        <is>
          <t>100-200°C</t>
        </is>
      </c>
      <c r="K3" s="140" t="inlineStr">
        <is>
          <t>200-500°C</t>
        </is>
      </c>
      <c r="L3" s="140" t="inlineStr">
        <is>
          <t>500-1000°C</t>
        </is>
      </c>
      <c r="M3" s="157" t="inlineStr">
        <is>
          <t>&gt; 1000°C</t>
        </is>
      </c>
    </row>
    <row r="4">
      <c r="B4" t="inlineStr">
        <is>
          <t>agriculture and forestry 01T03</t>
        </is>
      </c>
      <c r="C4" s="158" t="n">
        <v>0.04109408937134442</v>
      </c>
      <c r="D4" s="159" t="n">
        <v>1</v>
      </c>
      <c r="E4" s="159" t="n">
        <v>0</v>
      </c>
      <c r="F4" s="159" t="n">
        <v>0</v>
      </c>
      <c r="G4" s="159" t="n">
        <v>0</v>
      </c>
      <c r="H4" s="159" t="n">
        <v>0</v>
      </c>
      <c r="I4" s="160">
        <f>$C4*D4/SUMPRODUCT($C$4:$C$28,D$4:D$28)</f>
        <v/>
      </c>
      <c r="J4" s="161">
        <f>$C4*E4/SUMPRODUCT($C$4:$C$28,E$4:E$28)</f>
        <v/>
      </c>
      <c r="K4" s="161">
        <f>$C4*F4/SUMPRODUCT($C$4:$C$28,F$4:F$28)</f>
        <v/>
      </c>
      <c r="L4" s="161">
        <f>$C4*G4/SUMPRODUCT($C$4:$C$28,G$4:G$28)</f>
        <v/>
      </c>
      <c r="M4" s="162">
        <f>$C4*H4/SUMPRODUCT($C$4:$C$28,H$4:H$28)</f>
        <v/>
      </c>
    </row>
    <row r="5">
      <c r="B5" t="inlineStr">
        <is>
          <t>coal mining 05</t>
        </is>
      </c>
      <c r="C5" s="158" t="n">
        <v>0</v>
      </c>
      <c r="D5" s="159" t="n">
        <v>1</v>
      </c>
      <c r="E5" s="159" t="n">
        <v>0</v>
      </c>
      <c r="F5" s="159" t="n">
        <v>0</v>
      </c>
      <c r="G5" s="159" t="n">
        <v>0</v>
      </c>
      <c r="H5" s="159" t="n">
        <v>0</v>
      </c>
      <c r="I5" s="160">
        <f>$C5*D5/SUMPRODUCT($C$4:$C$28,D$4:D$28)</f>
        <v/>
      </c>
      <c r="J5" s="161">
        <f>$C5*E5/SUMPRODUCT($C$4:$C$28,E$4:E$28)</f>
        <v/>
      </c>
      <c r="K5" s="161">
        <f>$C5*F5/SUMPRODUCT($C$4:$C$28,F$4:F$28)</f>
        <v/>
      </c>
      <c r="L5" s="161">
        <f>$C5*G5/SUMPRODUCT($C$4:$C$28,G$4:G$28)</f>
        <v/>
      </c>
      <c r="M5" s="162">
        <f>$C5*H5/SUMPRODUCT($C$4:$C$28,H$4:H$28)</f>
        <v/>
      </c>
    </row>
    <row r="6">
      <c r="B6" t="inlineStr">
        <is>
          <t>oil and gas extraction 06</t>
        </is>
      </c>
      <c r="C6" s="158" t="n">
        <v>0.04080582548647511</v>
      </c>
      <c r="D6" s="163" t="n">
        <v>0.07692307692307691</v>
      </c>
      <c r="E6" s="163" t="n">
        <v>0.2521367521367521</v>
      </c>
      <c r="F6" s="163" t="n">
        <v>0.532051282051282</v>
      </c>
      <c r="G6" s="163" t="n">
        <v>0.1388888888888889</v>
      </c>
      <c r="H6" s="163" t="n">
        <v>0</v>
      </c>
      <c r="I6" s="160">
        <f>$C6*D6/SUMPRODUCT($C$4:$C$28,D$4:D$28)</f>
        <v/>
      </c>
      <c r="J6" s="161">
        <f>$C6*E6/SUMPRODUCT($C$4:$C$28,E$4:E$28)</f>
        <v/>
      </c>
      <c r="K6" s="161">
        <f>$C6*F6/SUMPRODUCT($C$4:$C$28,F$4:F$28)</f>
        <v/>
      </c>
      <c r="L6" s="161">
        <f>$C6*G6/SUMPRODUCT($C$4:$C$28,G$4:G$28)</f>
        <v/>
      </c>
      <c r="M6" s="162">
        <f>$C6*H6/SUMPRODUCT($C$4:$C$28,H$4:H$28)</f>
        <v/>
      </c>
    </row>
    <row r="7">
      <c r="B7" t="inlineStr">
        <is>
          <t>other mining and quarrying 07T08</t>
        </is>
      </c>
      <c r="C7" s="158" t="n">
        <v>0.02308265300329533</v>
      </c>
      <c r="D7" s="159" t="n">
        <v>1</v>
      </c>
      <c r="E7" s="159" t="n">
        <v>0</v>
      </c>
      <c r="F7" s="159" t="n">
        <v>0</v>
      </c>
      <c r="G7" s="159" t="n">
        <v>0</v>
      </c>
      <c r="H7" s="159" t="n">
        <v>0</v>
      </c>
      <c r="I7" s="160">
        <f>$C7*D7/SUMPRODUCT($C$4:$C$28,D$4:D$28)</f>
        <v/>
      </c>
      <c r="J7" s="161">
        <f>$C7*E7/SUMPRODUCT($C$4:$C$28,E$4:E$28)</f>
        <v/>
      </c>
      <c r="K7" s="161">
        <f>$C7*F7/SUMPRODUCT($C$4:$C$28,F$4:F$28)</f>
        <v/>
      </c>
      <c r="L7" s="161">
        <f>$C7*G7/SUMPRODUCT($C$4:$C$28,G$4:G$28)</f>
        <v/>
      </c>
      <c r="M7" s="162">
        <f>$C7*H7/SUMPRODUCT($C$4:$C$28,H$4:H$28)</f>
        <v/>
      </c>
    </row>
    <row r="8">
      <c r="B8" t="inlineStr">
        <is>
          <t>food beverage and tobacco 10T12</t>
        </is>
      </c>
      <c r="C8" s="158" t="n">
        <v>0.09759178481181775</v>
      </c>
      <c r="D8" s="163" t="n">
        <v>0.2333333333333334</v>
      </c>
      <c r="E8" s="163" t="n">
        <v>0.2555555555555555</v>
      </c>
      <c r="F8" s="163" t="n">
        <v>0.5111111111111111</v>
      </c>
      <c r="G8" s="163" t="n">
        <v>0</v>
      </c>
      <c r="H8" s="163" t="n">
        <v>0</v>
      </c>
      <c r="I8" s="160">
        <f>$C8*D8/SUMPRODUCT($C$4:$C$28,D$4:D$28)</f>
        <v/>
      </c>
      <c r="J8" s="161">
        <f>$C8*E8/SUMPRODUCT($C$4:$C$28,E$4:E$28)</f>
        <v/>
      </c>
      <c r="K8" s="161">
        <f>$C8*F8/SUMPRODUCT($C$4:$C$28,F$4:F$28)</f>
        <v/>
      </c>
      <c r="L8" s="161">
        <f>$C8*G8/SUMPRODUCT($C$4:$C$28,G$4:G$28)</f>
        <v/>
      </c>
      <c r="M8" s="162">
        <f>$C8*H8/SUMPRODUCT($C$4:$C$28,H$4:H$28)</f>
        <v/>
      </c>
    </row>
    <row r="9">
      <c r="B9" t="inlineStr">
        <is>
          <t>textiles apparel and leather 13T15</t>
        </is>
      </c>
      <c r="C9" s="158" t="n">
        <v>0.00320568656997102</v>
      </c>
      <c r="D9" s="163" t="n">
        <v>0.4727272727272727</v>
      </c>
      <c r="E9" s="163" t="n">
        <v>0.1757575757575757</v>
      </c>
      <c r="F9" s="163" t="n">
        <v>0.3515151515151514</v>
      </c>
      <c r="G9" s="163" t="n">
        <v>0</v>
      </c>
      <c r="H9" s="163" t="n">
        <v>0</v>
      </c>
      <c r="I9" s="160">
        <f>$C9*D9/SUMPRODUCT($C$4:$C$28,D$4:D$28)</f>
        <v/>
      </c>
      <c r="J9" s="161">
        <f>$C9*E9/SUMPRODUCT($C$4:$C$28,E$4:E$28)</f>
        <v/>
      </c>
      <c r="K9" s="161">
        <f>$C9*F9/SUMPRODUCT($C$4:$C$28,F$4:F$28)</f>
        <v/>
      </c>
      <c r="L9" s="161">
        <f>$C9*G9/SUMPRODUCT($C$4:$C$28,G$4:G$28)</f>
        <v/>
      </c>
      <c r="M9" s="162">
        <f>$C9*H9/SUMPRODUCT($C$4:$C$28,H$4:H$28)</f>
        <v/>
      </c>
    </row>
    <row r="10">
      <c r="B10" t="inlineStr">
        <is>
          <t>wood products 16</t>
        </is>
      </c>
      <c r="C10" s="158" t="n">
        <v>0.05850377990197112</v>
      </c>
      <c r="D10" s="163" t="n">
        <v>0.1176470588235294</v>
      </c>
      <c r="E10" s="163" t="n">
        <v>0.2941176470588235</v>
      </c>
      <c r="F10" s="163" t="n">
        <v>0.5882352941176471</v>
      </c>
      <c r="G10" s="163" t="n">
        <v>0</v>
      </c>
      <c r="H10" s="163" t="n">
        <v>0</v>
      </c>
      <c r="I10" s="160">
        <f>$C10*D10/SUMPRODUCT($C$4:$C$28,D$4:D$28)</f>
        <v/>
      </c>
      <c r="J10" s="161">
        <f>$C10*E10/SUMPRODUCT($C$4:$C$28,E$4:E$28)</f>
        <v/>
      </c>
      <c r="K10" s="161">
        <f>$C10*F10/SUMPRODUCT($C$4:$C$28,F$4:F$28)</f>
        <v/>
      </c>
      <c r="L10" s="161">
        <f>$C10*G10/SUMPRODUCT($C$4:$C$28,G$4:G$28)</f>
        <v/>
      </c>
      <c r="M10" s="162">
        <f>$C10*H10/SUMPRODUCT($C$4:$C$28,H$4:H$28)</f>
        <v/>
      </c>
    </row>
    <row r="11">
      <c r="B11" t="inlineStr">
        <is>
          <t>pulp paper and printing 17T18</t>
        </is>
      </c>
      <c r="C11" s="158" t="n">
        <v>0.1709336192839948</v>
      </c>
      <c r="D11" s="163" t="n">
        <v>0.3466666666666667</v>
      </c>
      <c r="E11" s="163" t="n">
        <v>0.2044444444444444</v>
      </c>
      <c r="F11" s="163" t="n">
        <v>0.4155555555555555</v>
      </c>
      <c r="G11" s="163" t="n">
        <v>0.03333333333333333</v>
      </c>
      <c r="H11" s="163" t="n">
        <v>0</v>
      </c>
      <c r="I11" s="160">
        <f>$C11*D11/SUMPRODUCT($C$4:$C$28,D$4:D$28)</f>
        <v/>
      </c>
      <c r="J11" s="161">
        <f>$C11*E11/SUMPRODUCT($C$4:$C$28,E$4:E$28)</f>
        <v/>
      </c>
      <c r="K11" s="161">
        <f>$C11*F11/SUMPRODUCT($C$4:$C$28,F$4:F$28)</f>
        <v/>
      </c>
      <c r="L11" s="161">
        <f>$C11*G11/SUMPRODUCT($C$4:$C$28,G$4:G$28)</f>
        <v/>
      </c>
      <c r="M11" s="162">
        <f>$C11*H11/SUMPRODUCT($C$4:$C$28,H$4:H$28)</f>
        <v/>
      </c>
    </row>
    <row r="12">
      <c r="B12" t="inlineStr">
        <is>
          <t>refined petroleum and coke 19</t>
        </is>
      </c>
      <c r="C12" s="158" t="n">
        <v>0.106963075218033</v>
      </c>
      <c r="D12" s="163" t="n">
        <v>0.07692307692307691</v>
      </c>
      <c r="E12" s="163" t="n">
        <v>0.2521367521367521</v>
      </c>
      <c r="F12" s="163" t="n">
        <v>0.532051282051282</v>
      </c>
      <c r="G12" s="163" t="n">
        <v>0.1388888888888889</v>
      </c>
      <c r="H12" s="163" t="n">
        <v>0</v>
      </c>
      <c r="I12" s="160">
        <f>$C12*D12/SUMPRODUCT($C$4:$C$28,D$4:D$28)</f>
        <v/>
      </c>
      <c r="J12" s="161">
        <f>$C12*E12/SUMPRODUCT($C$4:$C$28,E$4:E$28)</f>
        <v/>
      </c>
      <c r="K12" s="161">
        <f>$C12*F12/SUMPRODUCT($C$4:$C$28,F$4:F$28)</f>
        <v/>
      </c>
      <c r="L12" s="161">
        <f>$C12*G12/SUMPRODUCT($C$4:$C$28,G$4:G$28)</f>
        <v/>
      </c>
      <c r="M12" s="162">
        <f>$C12*H12/SUMPRODUCT($C$4:$C$28,H$4:H$28)</f>
        <v/>
      </c>
    </row>
    <row r="13">
      <c r="B13" t="inlineStr">
        <is>
          <t>chemicals 20</t>
        </is>
      </c>
      <c r="C13" s="158" t="n">
        <v>0.2434184668797995</v>
      </c>
      <c r="D13" s="163" t="n">
        <v>0.07692307692307691</v>
      </c>
      <c r="E13" s="163" t="n">
        <v>0.2521367521367521</v>
      </c>
      <c r="F13" s="163" t="n">
        <v>0.532051282051282</v>
      </c>
      <c r="G13" s="163" t="n">
        <v>0.1388888888888889</v>
      </c>
      <c r="H13" s="163" t="n">
        <v>0</v>
      </c>
      <c r="I13" s="160">
        <f>$C13*D13/SUMPRODUCT($C$4:$C$28,D$4:D$28)</f>
        <v/>
      </c>
      <c r="J13" s="161">
        <f>$C13*E13/SUMPRODUCT($C$4:$C$28,E$4:E$28)</f>
        <v/>
      </c>
      <c r="K13" s="161">
        <f>$C13*F13/SUMPRODUCT($C$4:$C$28,F$4:F$28)</f>
        <v/>
      </c>
      <c r="L13" s="161">
        <f>$C13*G13/SUMPRODUCT($C$4:$C$28,G$4:G$28)</f>
        <v/>
      </c>
      <c r="M13" s="162">
        <f>$C13*H13/SUMPRODUCT($C$4:$C$28,H$4:H$28)</f>
        <v/>
      </c>
    </row>
    <row r="14">
      <c r="B14" t="inlineStr">
        <is>
          <t>rubber and plastic products 22</t>
        </is>
      </c>
      <c r="C14" s="158" t="n">
        <v>0.01057876568090437</v>
      </c>
      <c r="D14" s="163" t="n">
        <v>0.07692307692307691</v>
      </c>
      <c r="E14" s="163" t="n">
        <v>0.2521367521367521</v>
      </c>
      <c r="F14" s="163" t="n">
        <v>0.532051282051282</v>
      </c>
      <c r="G14" s="163" t="n">
        <v>0.1388888888888889</v>
      </c>
      <c r="H14" s="163" t="n">
        <v>0</v>
      </c>
      <c r="I14" s="160">
        <f>$C14*D14/SUMPRODUCT($C$4:$C$28,D$4:D$28)</f>
        <v/>
      </c>
      <c r="J14" s="161">
        <f>$C14*E14/SUMPRODUCT($C$4:$C$28,E$4:E$28)</f>
        <v/>
      </c>
      <c r="K14" s="161">
        <f>$C14*F14/SUMPRODUCT($C$4:$C$28,F$4:F$28)</f>
        <v/>
      </c>
      <c r="L14" s="161">
        <f>$C14*G14/SUMPRODUCT($C$4:$C$28,G$4:G$28)</f>
        <v/>
      </c>
      <c r="M14" s="162">
        <f>$C14*H14/SUMPRODUCT($C$4:$C$28,H$4:H$28)</f>
        <v/>
      </c>
    </row>
    <row r="15">
      <c r="B15" t="inlineStr">
        <is>
          <t>glass and glass products 231</t>
        </is>
      </c>
      <c r="C15" s="158" t="n">
        <v>0.01485301444086573</v>
      </c>
      <c r="D15" s="163" t="n">
        <v>0</v>
      </c>
      <c r="E15" s="163" t="n">
        <v>0</v>
      </c>
      <c r="F15" s="163" t="n">
        <v>0.01282051282051282</v>
      </c>
      <c r="G15" s="163" t="n">
        <v>0.06410256410256411</v>
      </c>
      <c r="H15" s="163" t="n">
        <v>0.923076923076923</v>
      </c>
      <c r="I15" s="160">
        <f>$C15*D15/SUMPRODUCT($C$4:$C$28,D$4:D$28)</f>
        <v/>
      </c>
      <c r="J15" s="161">
        <f>$C15*E15/SUMPRODUCT($C$4:$C$28,E$4:E$28)</f>
        <v/>
      </c>
      <c r="K15" s="161">
        <f>$C15*F15/SUMPRODUCT($C$4:$C$28,F$4:F$28)</f>
        <v/>
      </c>
      <c r="L15" s="161">
        <f>$C15*G15/SUMPRODUCT($C$4:$C$28,G$4:G$28)</f>
        <v/>
      </c>
      <c r="M15" s="162">
        <f>$C15*H15/SUMPRODUCT($C$4:$C$28,H$4:H$28)</f>
        <v/>
      </c>
    </row>
    <row r="16">
      <c r="B16" t="inlineStr">
        <is>
          <t>cement and other nonmetallic minerals 239</t>
        </is>
      </c>
      <c r="C16" s="158" t="n">
        <v>0.04514162342857991</v>
      </c>
      <c r="D16" s="163" t="n">
        <v>0.04395604395604395</v>
      </c>
      <c r="E16" s="163" t="n">
        <v>0</v>
      </c>
      <c r="F16" s="163" t="n">
        <v>0.04212454212454212</v>
      </c>
      <c r="G16" s="163" t="n">
        <v>0.2106227106227106</v>
      </c>
      <c r="H16" s="163" t="n">
        <v>0.7032967032967032</v>
      </c>
      <c r="I16" s="160">
        <f>$C16*D16/SUMPRODUCT($C$4:$C$28,D$4:D$28)</f>
        <v/>
      </c>
      <c r="J16" s="161">
        <f>$C16*E16/SUMPRODUCT($C$4:$C$28,E$4:E$28)</f>
        <v/>
      </c>
      <c r="K16" s="161">
        <f>$C16*F16/SUMPRODUCT($C$4:$C$28,F$4:F$28)</f>
        <v/>
      </c>
      <c r="L16" s="161">
        <f>$C16*G16/SUMPRODUCT($C$4:$C$28,G$4:G$28)</f>
        <v/>
      </c>
      <c r="M16" s="162">
        <f>$C16*H16/SUMPRODUCT($C$4:$C$28,H$4:H$28)</f>
        <v/>
      </c>
    </row>
    <row r="17">
      <c r="B17" t="inlineStr">
        <is>
          <t>iron and steel 241</t>
        </is>
      </c>
      <c r="C17" s="158" t="n">
        <v>0.04776472989256821</v>
      </c>
      <c r="D17" s="163" t="n">
        <v>0.005649717514124294</v>
      </c>
      <c r="E17" s="163" t="n">
        <v>0.003766478342749529</v>
      </c>
      <c r="F17" s="163" t="n">
        <v>0.01129943502824859</v>
      </c>
      <c r="G17" s="163" t="n">
        <v>0.01883239171374764</v>
      </c>
      <c r="H17" s="163" t="n">
        <v>0.9604519774011299</v>
      </c>
      <c r="I17" s="160">
        <f>$C17*D17/SUMPRODUCT($C$4:$C$28,D$4:D$28)</f>
        <v/>
      </c>
      <c r="J17" s="161">
        <f>$C17*E17/SUMPRODUCT($C$4:$C$28,E$4:E$28)</f>
        <v/>
      </c>
      <c r="K17" s="161">
        <f>$C17*F17/SUMPRODUCT($C$4:$C$28,F$4:F$28)</f>
        <v/>
      </c>
      <c r="L17" s="161">
        <f>$C17*G17/SUMPRODUCT($C$4:$C$28,G$4:G$28)</f>
        <v/>
      </c>
      <c r="M17" s="162">
        <f>$C17*H17/SUMPRODUCT($C$4:$C$28,H$4:H$28)</f>
        <v/>
      </c>
    </row>
    <row r="18">
      <c r="B18" t="inlineStr">
        <is>
          <t>other metals 242</t>
        </is>
      </c>
      <c r="C18" s="158" t="n">
        <v>0.02778261693974884</v>
      </c>
      <c r="D18" s="163" t="n">
        <v>0</v>
      </c>
      <c r="E18" s="163" t="n">
        <v>0.1979166666666667</v>
      </c>
      <c r="F18" s="163" t="n">
        <v>0.4166666666666666</v>
      </c>
      <c r="G18" s="163" t="n">
        <v>0.1041666666666667</v>
      </c>
      <c r="H18" s="163" t="n">
        <v>0.2812500000000001</v>
      </c>
      <c r="I18" s="160">
        <f>$C18*D18/SUMPRODUCT($C$4:$C$28,D$4:D$28)</f>
        <v/>
      </c>
      <c r="J18" s="161">
        <f>$C18*E18/SUMPRODUCT($C$4:$C$28,E$4:E$28)</f>
        <v/>
      </c>
      <c r="K18" s="161">
        <f>$C18*F18/SUMPRODUCT($C$4:$C$28,F$4:F$28)</f>
        <v/>
      </c>
      <c r="L18" s="161">
        <f>$C18*G18/SUMPRODUCT($C$4:$C$28,G$4:G$28)</f>
        <v/>
      </c>
      <c r="M18" s="162">
        <f>$C18*H18/SUMPRODUCT($C$4:$C$28,H$4:H$28)</f>
        <v/>
      </c>
    </row>
    <row r="19">
      <c r="B19" t="inlineStr">
        <is>
          <t>metal products except machinery and vehicles 25</t>
        </is>
      </c>
      <c r="C19" s="158" t="n">
        <v>0.02660719853075947</v>
      </c>
      <c r="D19" s="163" t="n">
        <v>0.09999999999999999</v>
      </c>
      <c r="E19" s="163" t="n">
        <v>0.06666666666666665</v>
      </c>
      <c r="F19" s="163" t="n">
        <v>0.1541666666666666</v>
      </c>
      <c r="G19" s="163" t="n">
        <v>0.1041666666666667</v>
      </c>
      <c r="H19" s="163" t="n">
        <v>0.575</v>
      </c>
      <c r="I19" s="160">
        <f>$C19*D19/SUMPRODUCT($C$4:$C$28,D$4:D$28)</f>
        <v/>
      </c>
      <c r="J19" s="161">
        <f>$C19*E19/SUMPRODUCT($C$4:$C$28,E$4:E$28)</f>
        <v/>
      </c>
      <c r="K19" s="161">
        <f>$C19*F19/SUMPRODUCT($C$4:$C$28,F$4:F$28)</f>
        <v/>
      </c>
      <c r="L19" s="161">
        <f>$C19*G19/SUMPRODUCT($C$4:$C$28,G$4:G$28)</f>
        <v/>
      </c>
      <c r="M19" s="162">
        <f>$C19*H19/SUMPRODUCT($C$4:$C$28,H$4:H$28)</f>
        <v/>
      </c>
    </row>
    <row r="20">
      <c r="B20" t="inlineStr">
        <is>
          <t>computers and electronics 26</t>
        </is>
      </c>
      <c r="C20" s="158" t="n">
        <v>0.002030268160981646</v>
      </c>
      <c r="D20" s="163" t="n">
        <v>0.3255813953488372</v>
      </c>
      <c r="E20" s="163" t="n">
        <v>0.06976744186046512</v>
      </c>
      <c r="F20" s="163" t="n">
        <v>0.1744186046511628</v>
      </c>
      <c r="G20" s="163" t="n">
        <v>0.1744186046511628</v>
      </c>
      <c r="H20" s="163" t="n">
        <v>0.2558139534883721</v>
      </c>
      <c r="I20" s="160">
        <f>$C20*D20/SUMPRODUCT($C$4:$C$28,D$4:D$28)</f>
        <v/>
      </c>
      <c r="J20" s="161">
        <f>$C20*E20/SUMPRODUCT($C$4:$C$28,E$4:E$28)</f>
        <v/>
      </c>
      <c r="K20" s="161">
        <f>$C20*F20/SUMPRODUCT($C$4:$C$28,F$4:F$28)</f>
        <v/>
      </c>
      <c r="L20" s="161">
        <f>$C20*G20/SUMPRODUCT($C$4:$C$28,G$4:G$28)</f>
        <v/>
      </c>
      <c r="M20" s="162">
        <f>$C20*H20/SUMPRODUCT($C$4:$C$28,H$4:H$28)</f>
        <v/>
      </c>
    </row>
    <row r="21">
      <c r="B21" t="inlineStr">
        <is>
          <t>appliances and electrical equipment 27</t>
        </is>
      </c>
      <c r="C21" s="158" t="n">
        <v>0.002778261693974884</v>
      </c>
      <c r="D21" s="163" t="n">
        <v>0.3255813953488372</v>
      </c>
      <c r="E21" s="163" t="n">
        <v>0.06976744186046512</v>
      </c>
      <c r="F21" s="163" t="n">
        <v>0.1744186046511628</v>
      </c>
      <c r="G21" s="163" t="n">
        <v>0.1744186046511628</v>
      </c>
      <c r="H21" s="163" t="n">
        <v>0.2558139534883721</v>
      </c>
      <c r="I21" s="160">
        <f>$C21*D21/SUMPRODUCT($C$4:$C$28,D$4:D$28)</f>
        <v/>
      </c>
      <c r="J21" s="161">
        <f>$C21*E21/SUMPRODUCT($C$4:$C$28,E$4:E$28)</f>
        <v/>
      </c>
      <c r="K21" s="161">
        <f>$C21*F21/SUMPRODUCT($C$4:$C$28,F$4:F$28)</f>
        <v/>
      </c>
      <c r="L21" s="161">
        <f>$C21*G21/SUMPRODUCT($C$4:$C$28,G$4:G$28)</f>
        <v/>
      </c>
      <c r="M21" s="162">
        <f>$C21*H21/SUMPRODUCT($C$4:$C$28,H$4:H$28)</f>
        <v/>
      </c>
    </row>
    <row r="22">
      <c r="B22" t="inlineStr">
        <is>
          <t>other machinery 28</t>
        </is>
      </c>
      <c r="C22" s="158" t="n">
        <v>0.003312542788970054</v>
      </c>
      <c r="D22" s="163" t="n">
        <v>0.3255813953488372</v>
      </c>
      <c r="E22" s="163" t="n">
        <v>0.06976744186046512</v>
      </c>
      <c r="F22" s="163" t="n">
        <v>0.1744186046511628</v>
      </c>
      <c r="G22" s="163" t="n">
        <v>0.1744186046511628</v>
      </c>
      <c r="H22" s="163" t="n">
        <v>0.2558139534883721</v>
      </c>
      <c r="I22" s="160">
        <f>$C22*D22/SUMPRODUCT($C$4:$C$28,D$4:D$28)</f>
        <v/>
      </c>
      <c r="J22" s="161">
        <f>$C22*E22/SUMPRODUCT($C$4:$C$28,E$4:E$28)</f>
        <v/>
      </c>
      <c r="K22" s="161">
        <f>$C22*F22/SUMPRODUCT($C$4:$C$28,F$4:F$28)</f>
        <v/>
      </c>
      <c r="L22" s="161">
        <f>$C22*G22/SUMPRODUCT($C$4:$C$28,G$4:G$28)</f>
        <v/>
      </c>
      <c r="M22" s="162">
        <f>$C22*H22/SUMPRODUCT($C$4:$C$28,H$4:H$28)</f>
        <v/>
      </c>
    </row>
    <row r="23">
      <c r="B23" t="inlineStr">
        <is>
          <t>road vehicles 29</t>
        </is>
      </c>
      <c r="C23" s="158" t="n">
        <v>0.00320568656997102</v>
      </c>
      <c r="D23" s="163" t="n">
        <v>0.4186046511627907</v>
      </c>
      <c r="E23" s="163" t="n">
        <v>0.1317829457364341</v>
      </c>
      <c r="F23" s="163" t="n">
        <v>0.2635658914728682</v>
      </c>
      <c r="G23" s="163" t="n">
        <v>0</v>
      </c>
      <c r="H23" s="163" t="n">
        <v>0.186046511627907</v>
      </c>
      <c r="I23" s="160">
        <f>$C23*D23/SUMPRODUCT($C$4:$C$28,D$4:D$28)</f>
        <v/>
      </c>
      <c r="J23" s="161">
        <f>$C23*E23/SUMPRODUCT($C$4:$C$28,E$4:E$28)</f>
        <v/>
      </c>
      <c r="K23" s="161">
        <f>$C23*F23/SUMPRODUCT($C$4:$C$28,F$4:F$28)</f>
        <v/>
      </c>
      <c r="L23" s="161">
        <f>$C23*G23/SUMPRODUCT($C$4:$C$28,G$4:G$28)</f>
        <v/>
      </c>
      <c r="M23" s="162">
        <f>$C23*H23/SUMPRODUCT($C$4:$C$28,H$4:H$28)</f>
        <v/>
      </c>
    </row>
    <row r="24">
      <c r="B24" t="inlineStr">
        <is>
          <t>nonroad vehicles 30</t>
        </is>
      </c>
      <c r="C24" s="158" t="n">
        <v>0.002030268160981646</v>
      </c>
      <c r="D24" s="163" t="n">
        <v>0.4186046511627907</v>
      </c>
      <c r="E24" s="163" t="n">
        <v>0.1317829457364341</v>
      </c>
      <c r="F24" s="163" t="n">
        <v>0.2635658914728682</v>
      </c>
      <c r="G24" s="163" t="n">
        <v>0</v>
      </c>
      <c r="H24" s="163" t="n">
        <v>0.186046511627907</v>
      </c>
      <c r="I24" s="160">
        <f>$C24*D24/SUMPRODUCT($C$4:$C$28,D$4:D$28)</f>
        <v/>
      </c>
      <c r="J24" s="161">
        <f>$C24*E24/SUMPRODUCT($C$4:$C$28,E$4:E$28)</f>
        <v/>
      </c>
      <c r="K24" s="161">
        <f>$C24*F24/SUMPRODUCT($C$4:$C$28,F$4:F$28)</f>
        <v/>
      </c>
      <c r="L24" s="161">
        <f>$C24*G24/SUMPRODUCT($C$4:$C$28,G$4:G$28)</f>
        <v/>
      </c>
      <c r="M24" s="162">
        <f>$C24*H24/SUMPRODUCT($C$4:$C$28,H$4:H$28)</f>
        <v/>
      </c>
    </row>
    <row r="25">
      <c r="B25" t="inlineStr">
        <is>
          <t>other manufacturing 31T33</t>
        </is>
      </c>
      <c r="C25" s="158" t="n">
        <v>0.004445218710359815</v>
      </c>
      <c r="D25" s="163" t="n">
        <v>0.3255813953488372</v>
      </c>
      <c r="E25" s="163" t="n">
        <v>0.06976744186046512</v>
      </c>
      <c r="F25" s="163" t="n">
        <v>0.1744186046511628</v>
      </c>
      <c r="G25" s="163" t="n">
        <v>0.1744186046511628</v>
      </c>
      <c r="H25" s="163" t="n">
        <v>0.2558139534883721</v>
      </c>
      <c r="I25" s="160">
        <f>$C25*D25/SUMPRODUCT($C$4:$C$28,D$4:D$28)</f>
        <v/>
      </c>
      <c r="J25" s="161">
        <f>$C25*E25/SUMPRODUCT($C$4:$C$28,E$4:E$28)</f>
        <v/>
      </c>
      <c r="K25" s="161">
        <f>$C25*F25/SUMPRODUCT($C$4:$C$28,F$4:F$28)</f>
        <v/>
      </c>
      <c r="L25" s="161">
        <f>$C25*G25/SUMPRODUCT($C$4:$C$28,G$4:G$28)</f>
        <v/>
      </c>
      <c r="M25" s="162">
        <f>$C25*H25/SUMPRODUCT($C$4:$C$28,H$4:H$28)</f>
        <v/>
      </c>
    </row>
    <row r="26">
      <c r="B26" t="inlineStr">
        <is>
          <t>energy pipelines and gas processing 352T353</t>
        </is>
      </c>
      <c r="C26" s="158" t="n">
        <v>0</v>
      </c>
      <c r="D26" s="159" t="n">
        <v>1</v>
      </c>
      <c r="E26" s="159" t="n">
        <v>0</v>
      </c>
      <c r="F26" s="159" t="n">
        <v>0</v>
      </c>
      <c r="G26" s="159" t="n">
        <v>0</v>
      </c>
      <c r="H26" s="159" t="n">
        <v>0</v>
      </c>
      <c r="I26" s="160">
        <f>$C26*D26/SUMPRODUCT($C$4:$C$28,D$4:D$28)</f>
        <v/>
      </c>
      <c r="J26" s="161">
        <f>$C26*E26/SUMPRODUCT($C$4:$C$28,E$4:E$28)</f>
        <v/>
      </c>
      <c r="K26" s="161">
        <f>$C26*F26/SUMPRODUCT($C$4:$C$28,F$4:F$28)</f>
        <v/>
      </c>
      <c r="L26" s="161">
        <f>$C26*G26/SUMPRODUCT($C$4:$C$28,G$4:G$28)</f>
        <v/>
      </c>
      <c r="M26" s="162">
        <f>$C26*H26/SUMPRODUCT($C$4:$C$28,H$4:H$28)</f>
        <v/>
      </c>
    </row>
    <row r="27">
      <c r="B27" t="inlineStr">
        <is>
          <t>water and waste 36T39</t>
        </is>
      </c>
      <c r="C27" s="158" t="n">
        <v>0.0006411373139942041</v>
      </c>
      <c r="D27" s="159" t="n">
        <v>1</v>
      </c>
      <c r="E27" s="159" t="n">
        <v>0</v>
      </c>
      <c r="F27" s="159" t="n">
        <v>0</v>
      </c>
      <c r="G27" s="159" t="n">
        <v>0</v>
      </c>
      <c r="H27" s="159" t="n">
        <v>0</v>
      </c>
      <c r="I27" s="160">
        <f>$C27*D27/SUMPRODUCT($C$4:$C$28,D$4:D$28)</f>
        <v/>
      </c>
      <c r="J27" s="161">
        <f>$C27*E27/SUMPRODUCT($C$4:$C$28,E$4:E$28)</f>
        <v/>
      </c>
      <c r="K27" s="161">
        <f>$C27*F27/SUMPRODUCT($C$4:$C$28,F$4:F$28)</f>
        <v/>
      </c>
      <c r="L27" s="161">
        <f>$C27*G27/SUMPRODUCT($C$4:$C$28,G$4:G$28)</f>
        <v/>
      </c>
      <c r="M27" s="162">
        <f>$C27*H27/SUMPRODUCT($C$4:$C$28,H$4:H$28)</f>
        <v/>
      </c>
    </row>
    <row r="28" ht="15" customHeight="1" thickBot="1">
      <c r="B28" t="inlineStr">
        <is>
          <t>construction 41T43</t>
        </is>
      </c>
      <c r="C28" s="158" t="n">
        <v>0.023229687160638</v>
      </c>
      <c r="D28" s="159" t="n">
        <v>1</v>
      </c>
      <c r="E28" s="159" t="n">
        <v>0</v>
      </c>
      <c r="F28" s="159" t="n">
        <v>0</v>
      </c>
      <c r="G28" s="159" t="n">
        <v>0</v>
      </c>
      <c r="H28" s="159" t="n">
        <v>0</v>
      </c>
      <c r="I28" s="164">
        <f>$C28*D28/SUMPRODUCT($C$4:$C$28,D$4:D$28)</f>
        <v/>
      </c>
      <c r="J28" s="165">
        <f>$C28*E28/SUMPRODUCT($C$4:$C$28,E$4:E$28)</f>
        <v/>
      </c>
      <c r="K28" s="165">
        <f>$C28*F28/SUMPRODUCT($C$4:$C$28,F$4:F$28)</f>
        <v/>
      </c>
      <c r="L28" s="165">
        <f>$C28*G28/SUMPRODUCT($C$4:$C$28,G$4:G$28)</f>
        <v/>
      </c>
      <c r="M28" s="166">
        <f>$C28*H28/SUMPRODUCT($C$4:$C$28,H$4:H$28)</f>
        <v/>
      </c>
    </row>
    <row r="29">
      <c r="C29" s="70" t="inlineStr">
        <is>
          <t>* from indst/BPFUbIP file</t>
        </is>
      </c>
    </row>
  </sheetData>
  <mergeCells count="1">
    <mergeCell ref="I2:M2"/>
  </mergeCells>
  <conditionalFormatting sqref="I4:M28">
    <cfRule type="colorScale" priority="1">
      <colorScale>
        <cfvo type="min"/>
        <cfvo type="max"/>
        <color rgb="FFFCFCFF"/>
        <color rgb="FFF8696B"/>
      </colorScale>
    </cfRule>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S167"/>
  <sheetViews>
    <sheetView workbookViewId="0">
      <pane ySplit="10" topLeftCell="A11" activePane="bottomLeft" state="frozen"/>
      <selection pane="bottomLeft" activeCell="B45" sqref="B45"/>
    </sheetView>
  </sheetViews>
  <sheetFormatPr baseColWidth="8" defaultRowHeight="14.5"/>
  <cols>
    <col width="47.26953125" customWidth="1" min="1" max="1"/>
    <col width="10.90625" bestFit="1" customWidth="1" min="2" max="2"/>
    <col width="53.1796875" bestFit="1" customWidth="1" min="3" max="3"/>
    <col width="14.81640625" bestFit="1" customWidth="1" min="4" max="4"/>
    <col width="14.90625" bestFit="1" customWidth="1" min="5" max="5"/>
    <col width="23.6328125" bestFit="1" customWidth="1" min="6" max="6"/>
    <col width="24.1796875" bestFit="1" customWidth="1" min="7" max="7"/>
    <col width="21.26953125" bestFit="1" customWidth="1" min="8" max="8"/>
    <col width="21.81640625" bestFit="1" customWidth="1" min="9" max="9"/>
    <col width="14" bestFit="1" customWidth="1" min="10" max="10"/>
    <col width="14.08984375" bestFit="1" customWidth="1" min="11" max="11"/>
    <col width="14.81640625" bestFit="1" customWidth="1" min="12" max="12"/>
    <col width="15.6328125" bestFit="1" customWidth="1" min="13" max="13"/>
    <col width="28.54296875" bestFit="1" customWidth="1" min="14" max="14"/>
    <col width="23.1796875" bestFit="1" customWidth="1" min="15" max="15"/>
  </cols>
  <sheetData>
    <row r="1" ht="18.5" customHeight="1">
      <c r="A1" s="73" t="inlineStr">
        <is>
          <t>Source review: cement measures entered as zero-savings in Kermeli</t>
        </is>
      </c>
    </row>
    <row r="2">
      <c r="A2" t="inlineStr">
        <is>
          <t>Purpose: Kermeli Data records 0 fuel and 0 elec savings for the measures below, which zeroes them out of the process-efficiency curve (economics P=0 gate). Checked against the primary source.</t>
        </is>
      </c>
    </row>
    <row r="3">
      <c r="A3" s="1" t="inlineStr">
        <is>
          <t>Primary source: ENERGY STAR Guide for the Cement Industry (Aug 2013), Table 8 - dry process plants, p.87; narrative pp.34-37.</t>
        </is>
      </c>
    </row>
    <row r="4">
      <c r="A4" s="185" t="inlineStr">
        <is>
          <t>https://www.energystar.gov/sites/default/files/buildings/tools/ENERGY%20STAR%20Guide%20for%20the%20Cement%20Industry%2028_08_2013%20Final.pdf</t>
        </is>
      </c>
    </row>
    <row r="6">
      <c r="A6" s="1" t="inlineStr">
        <is>
          <t>Conversions</t>
        </is>
      </c>
    </row>
    <row r="7">
      <c r="A7" t="inlineStr">
        <is>
          <t>GJ per MMBtu</t>
        </is>
      </c>
      <c r="B7" s="186">
        <f>1/0.947817</f>
        <v/>
      </c>
      <c r="C7" t="inlineStr">
        <is>
          <t>reciprocal of the 0.947817 factor used throughout 'economics'</t>
        </is>
      </c>
    </row>
    <row r="8">
      <c r="A8" t="inlineStr">
        <is>
          <t>GJ per kWh</t>
        </is>
      </c>
      <c r="B8" s="186" t="n">
        <v>0.0036</v>
      </c>
      <c r="C8" t="inlineStr">
        <is>
          <t>3.6 MJ/kWh</t>
        </is>
      </c>
    </row>
    <row r="9">
      <c r="A9" s="1" t="inlineStr">
        <is>
          <t>Clinker-to-cement ratio</t>
        </is>
      </c>
      <c r="B9" s="222" t="n">
        <v>0.76</v>
      </c>
      <c r="C9" t="inlineStr">
        <is>
          <t>Kermeli's own 2015 figure (GNR 2019). ENERGY STAR is per t cement; Kermeli files raw-prep measures under Clinker, so those 4 rows divide by this.</t>
        </is>
      </c>
    </row>
    <row r="10">
      <c r="A10" s="205" t="inlineStr">
        <is>
          <t>Measure (ENERGY STAR label)</t>
        </is>
      </c>
      <c r="B10" s="206" t="inlineStr">
        <is>
          <t>Kermeli row</t>
        </is>
      </c>
      <c r="C10" s="206" t="inlineStr">
        <is>
          <t>economics row</t>
        </is>
      </c>
      <c r="D10" s="206" t="inlineStr">
        <is>
          <t>Kermeli fuel GJ/t</t>
        </is>
      </c>
      <c r="E10" s="206" t="inlineStr">
        <is>
          <t>Kermeli elec GJ/t</t>
        </is>
      </c>
      <c r="F10" s="206" t="inlineStr">
        <is>
          <t>ES fuel low (MMBtu/t cem)</t>
        </is>
      </c>
      <c r="G10" s="206" t="inlineStr">
        <is>
          <t>ES fuel high (MMBtu/t cem)</t>
        </is>
      </c>
      <c r="H10" s="206" t="inlineStr">
        <is>
          <t>ES elec low (kWh/t cem)</t>
        </is>
      </c>
      <c r="I10" s="206" t="inlineStr">
        <is>
          <t>ES elec high (kWh/t cem)</t>
        </is>
      </c>
      <c r="J10" s="206" t="inlineStr">
        <is>
          <t>ES fuel mid GJ/t</t>
        </is>
      </c>
      <c r="K10" s="206" t="inlineStr">
        <is>
          <t>ES elec mid GJ/t</t>
        </is>
      </c>
      <c r="L10" s="206" t="inlineStr">
        <is>
          <t>ES total mid GJ/t</t>
        </is>
      </c>
      <c r="M10" s="206" t="inlineStr">
        <is>
          <t>Kermeli total GJ/t</t>
        </is>
      </c>
      <c r="N10" s="206" t="inlineStr">
        <is>
          <t>Verdict</t>
        </is>
      </c>
      <c r="O10" s="207" t="inlineStr">
        <is>
          <t>ES table section</t>
        </is>
      </c>
      <c r="P10" s="223" t="inlineStr">
        <is>
          <t>Basis divisor</t>
        </is>
      </c>
      <c r="Q10" s="223" t="inlineStr">
        <is>
          <t>Fuel GJ/t to write</t>
        </is>
      </c>
      <c r="R10" s="223" t="inlineStr">
        <is>
          <t>Elec GJ/t to write</t>
        </is>
      </c>
      <c r="S10" s="223" t="inlineStr">
        <is>
          <t>Kermeli product basis</t>
        </is>
      </c>
    </row>
    <row r="11">
      <c r="A11" s="192" t="inlineStr">
        <is>
          <t>Improved Raw Mill Blending</t>
        </is>
      </c>
      <c r="B11" s="193" t="n">
        <v>92</v>
      </c>
      <c r="C11" s="193" t="n">
        <v>85</v>
      </c>
      <c r="D11" s="194">
        <f>'Kermeli Data'!F92</f>
        <v/>
      </c>
      <c r="E11" s="194">
        <f>'Kermeli Data'!G92</f>
        <v/>
      </c>
      <c r="F11" s="195" t="n">
        <v>0</v>
      </c>
      <c r="G11" s="195" t="n">
        <v>0.02</v>
      </c>
      <c r="H11" s="196" t="n">
        <v>0.7</v>
      </c>
      <c r="I11" s="196" t="n">
        <v>2.3</v>
      </c>
      <c r="J11" s="194">
        <f>IFERROR(AVERAGE(F11,G11)*$B$7,0)</f>
        <v/>
      </c>
      <c r="K11" s="194">
        <f>IFERROR(AVERAGE(H11,I11)*$B$8,0)</f>
        <v/>
      </c>
      <c r="L11" s="194">
        <f>J11+K11</f>
        <v/>
      </c>
      <c r="M11" s="194">
        <f>D11+E11</f>
        <v/>
      </c>
      <c r="N11" s="197">
        <f>IF(ABS(M11-(Q11+R11))&lt;0.0000001,"CORRECTED - matches source",IF(M11=0,"still zero - not wired","mismatch - check"))</f>
        <v/>
      </c>
      <c r="O11" s="198" t="inlineStr">
        <is>
          <t>Raw Materials Preparation</t>
        </is>
      </c>
      <c r="P11" s="7">
        <f>$B$9</f>
        <v/>
      </c>
      <c r="Q11" s="224">
        <f>J11/P11</f>
        <v/>
      </c>
      <c r="R11" s="224">
        <f>K11/P11</f>
        <v/>
      </c>
      <c r="S11" t="inlineStr">
        <is>
          <t>Clinker</t>
        </is>
      </c>
    </row>
    <row r="12">
      <c r="A12" s="192" t="inlineStr">
        <is>
          <t>High Efficiency Classifiers (raw materials prep)</t>
        </is>
      </c>
      <c r="B12" s="193" t="n">
        <v>94</v>
      </c>
      <c r="C12" s="193" t="n">
        <v>87</v>
      </c>
      <c r="D12" s="194">
        <f>'Kermeli Data'!F94</f>
        <v/>
      </c>
      <c r="E12" s="194">
        <f>'Kermeli Data'!G94</f>
        <v/>
      </c>
      <c r="F12" s="195" t="n"/>
      <c r="G12" s="195" t="n"/>
      <c r="H12" s="196" t="n">
        <v>3.9</v>
      </c>
      <c r="I12" s="196" t="n">
        <v>5.3</v>
      </c>
      <c r="J12" s="194">
        <f>IFERROR(AVERAGE(F12,G12)*$B$7,0)</f>
        <v/>
      </c>
      <c r="K12" s="194">
        <f>IFERROR(AVERAGE(H12,I12)*$B$8,0)</f>
        <v/>
      </c>
      <c r="L12" s="194">
        <f>J12+K12</f>
        <v/>
      </c>
      <c r="M12" s="194">
        <f>D12+E12</f>
        <v/>
      </c>
      <c r="N12" s="197">
        <f>IF(ABS(M12-(Q12+R12))&lt;0.0000001,"CORRECTED - matches source",IF(M12=0,"still zero - not wired","mismatch - check"))</f>
        <v/>
      </c>
      <c r="O12" s="198" t="inlineStr">
        <is>
          <t>Raw Materials Preparation</t>
        </is>
      </c>
      <c r="P12" s="7">
        <f>$B$9</f>
        <v/>
      </c>
      <c r="Q12" s="224">
        <f>J12/P12</f>
        <v/>
      </c>
      <c r="R12" s="224">
        <f>K12/P12</f>
        <v/>
      </c>
      <c r="S12" t="inlineStr">
        <is>
          <t>Clinker</t>
        </is>
      </c>
    </row>
    <row r="13">
      <c r="A13" s="192" t="inlineStr">
        <is>
          <t>Raw Meal Process Control</t>
        </is>
      </c>
      <c r="B13" s="193" t="n">
        <v>95</v>
      </c>
      <c r="C13" s="193" t="n">
        <v>88</v>
      </c>
      <c r="D13" s="194">
        <f>'Kermeli Data'!F95</f>
        <v/>
      </c>
      <c r="E13" s="194">
        <f>'Kermeli Data'!G95</f>
        <v/>
      </c>
      <c r="F13" s="195" t="n"/>
      <c r="G13" s="195" t="n"/>
      <c r="H13" s="196" t="n">
        <v>1.2</v>
      </c>
      <c r="I13" s="196" t="n">
        <v>1.6</v>
      </c>
      <c r="J13" s="194">
        <f>IFERROR(AVERAGE(F13,G13)*$B$7,0)</f>
        <v/>
      </c>
      <c r="K13" s="194">
        <f>IFERROR(AVERAGE(H13,I13)*$B$8,0)</f>
        <v/>
      </c>
      <c r="L13" s="194">
        <f>J13+K13</f>
        <v/>
      </c>
      <c r="M13" s="194">
        <f>D13+E13</f>
        <v/>
      </c>
      <c r="N13" s="197">
        <f>IF(ABS(M13-(Q13+R13))&lt;0.0000001,"CORRECTED - matches source",IF(M13=0,"still zero - not wired","mismatch - check"))</f>
        <v/>
      </c>
      <c r="O13" s="198" t="inlineStr">
        <is>
          <t>Raw Materials Preparation</t>
        </is>
      </c>
      <c r="P13" s="7">
        <f>$B$9</f>
        <v/>
      </c>
      <c r="Q13" s="224">
        <f>J13/P13</f>
        <v/>
      </c>
      <c r="R13" s="224">
        <f>K13/P13</f>
        <v/>
      </c>
      <c r="S13" t="inlineStr">
        <is>
          <t>Clinker</t>
        </is>
      </c>
    </row>
    <row r="14">
      <c r="A14" s="192" t="inlineStr">
        <is>
          <t>Low-Pressure Drop Suspension Preheaters</t>
        </is>
      </c>
      <c r="B14" s="193" t="n">
        <v>103</v>
      </c>
      <c r="C14" s="193" t="n">
        <v>96</v>
      </c>
      <c r="D14" s="194">
        <f>'Kermeli Data'!F103</f>
        <v/>
      </c>
      <c r="E14" s="194">
        <f>'Kermeli Data'!G103</f>
        <v/>
      </c>
      <c r="F14" s="195" t="n"/>
      <c r="G14" s="195" t="n"/>
      <c r="H14" s="196" t="n">
        <v>0.5</v>
      </c>
      <c r="I14" s="196" t="n">
        <v>3.7</v>
      </c>
      <c r="J14" s="194">
        <f>IFERROR(AVERAGE(F14,G14)*$B$7,0)</f>
        <v/>
      </c>
      <c r="K14" s="194">
        <f>IFERROR(AVERAGE(H14,I14)*$B$8,0)</f>
        <v/>
      </c>
      <c r="L14" s="194">
        <f>J14+K14</f>
        <v/>
      </c>
      <c r="M14" s="194">
        <f>D14+E14</f>
        <v/>
      </c>
      <c r="N14" s="197">
        <f>IF(ABS(M14-(Q14+R14))&lt;0.0000001,"CORRECTED - matches source",IF(M14=0,"still zero - not wired","mismatch - check"))</f>
        <v/>
      </c>
      <c r="O14" s="198" t="inlineStr">
        <is>
          <t>Clinker Making</t>
        </is>
      </c>
      <c r="P14" s="7">
        <f>$B$9</f>
        <v/>
      </c>
      <c r="Q14" s="224">
        <f>J14/P14</f>
        <v/>
      </c>
      <c r="R14" s="224">
        <f>K14/P14</f>
        <v/>
      </c>
      <c r="S14" t="inlineStr">
        <is>
          <t>Clinker</t>
        </is>
      </c>
    </row>
    <row r="15">
      <c r="A15" s="192" t="inlineStr">
        <is>
          <t>Energy Management and Process Control (finish grinding)</t>
        </is>
      </c>
      <c r="B15" s="193" t="n">
        <v>110</v>
      </c>
      <c r="C15" s="193" t="n">
        <v>103</v>
      </c>
      <c r="D15" s="194">
        <f>'Kermeli Data'!F110</f>
        <v/>
      </c>
      <c r="E15" s="194">
        <f>'Kermeli Data'!G110</f>
        <v/>
      </c>
      <c r="F15" s="195" t="n"/>
      <c r="G15" s="195" t="n"/>
      <c r="H15" s="196" t="n">
        <v>1.6</v>
      </c>
      <c r="I15" s="196" t="n">
        <v>8.5</v>
      </c>
      <c r="J15" s="194">
        <f>IFERROR(AVERAGE(F15,G15)*$B$7,0)</f>
        <v/>
      </c>
      <c r="K15" s="194">
        <f>IFERROR(AVERAGE(H15,I15)*$B$8,0)</f>
        <v/>
      </c>
      <c r="L15" s="194">
        <f>J15+K15</f>
        <v/>
      </c>
      <c r="M15" s="194">
        <f>D15+E15</f>
        <v/>
      </c>
      <c r="N15" s="197">
        <f>IF(ABS(M15-(Q15+R15))&lt;0.0000001,"CORRECTED - matches source",IF(M15=0,"still zero - not wired","mismatch - check"))</f>
        <v/>
      </c>
      <c r="O15" s="198" t="inlineStr">
        <is>
          <t>Finish Grinding</t>
        </is>
      </c>
      <c r="P15" s="7">
        <f>1</f>
        <v/>
      </c>
      <c r="Q15" s="224">
        <f>J15/P15</f>
        <v/>
      </c>
      <c r="R15" s="224">
        <f>K15/P15</f>
        <v/>
      </c>
      <c r="S15" t="inlineStr">
        <is>
          <t>Cement</t>
        </is>
      </c>
    </row>
    <row r="16">
      <c r="A16" s="192" t="inlineStr">
        <is>
          <t>High-Efficiency Classifiers (finish grinding)</t>
        </is>
      </c>
      <c r="B16" s="193" t="n">
        <v>112</v>
      </c>
      <c r="C16" s="193" t="n">
        <v>105</v>
      </c>
      <c r="D16" s="194">
        <f>'Kermeli Data'!F112</f>
        <v/>
      </c>
      <c r="E16" s="194">
        <f>'Kermeli Data'!G112</f>
        <v/>
      </c>
      <c r="F16" s="195" t="n"/>
      <c r="G16" s="195" t="n"/>
      <c r="H16" s="196" t="n">
        <v>1.7</v>
      </c>
      <c r="I16" s="196" t="n">
        <v>6</v>
      </c>
      <c r="J16" s="194">
        <f>IFERROR(AVERAGE(F16,G16)*$B$7,0)</f>
        <v/>
      </c>
      <c r="K16" s="194">
        <f>IFERROR(AVERAGE(H16,I16)*$B$8,0)</f>
        <v/>
      </c>
      <c r="L16" s="194">
        <f>J16+K16</f>
        <v/>
      </c>
      <c r="M16" s="194">
        <f>D16+E16</f>
        <v/>
      </c>
      <c r="N16" s="197">
        <f>IF(ABS(M16-(Q16+R16))&lt;0.0000001,"CORRECTED - matches source",IF(M16=0,"still zero - not wired","mismatch - check"))</f>
        <v/>
      </c>
      <c r="O16" s="198" t="inlineStr">
        <is>
          <t>Finish Grinding</t>
        </is>
      </c>
      <c r="P16" s="7">
        <f>1</f>
        <v/>
      </c>
      <c r="Q16" s="224">
        <f>J16/P16</f>
        <v/>
      </c>
      <c r="R16" s="224">
        <f>K16/P16</f>
        <v/>
      </c>
      <c r="S16" t="inlineStr">
        <is>
          <t>Cement</t>
        </is>
      </c>
    </row>
    <row r="17">
      <c r="A17" s="192" t="inlineStr">
        <is>
          <t>High Efficiency Motors</t>
        </is>
      </c>
      <c r="B17" s="193" t="n">
        <v>113</v>
      </c>
      <c r="C17" s="193" t="n">
        <v>106</v>
      </c>
      <c r="D17" s="194">
        <f>'Kermeli Data'!F113</f>
        <v/>
      </c>
      <c r="E17" s="194">
        <f>'Kermeli Data'!G113</f>
        <v/>
      </c>
      <c r="F17" s="195" t="n"/>
      <c r="G17" s="195" t="n"/>
      <c r="H17" s="196" t="n">
        <v>0</v>
      </c>
      <c r="I17" s="196" t="n">
        <v>5</v>
      </c>
      <c r="J17" s="194">
        <f>IFERROR(AVERAGE(F17,G17)*$B$7,0)</f>
        <v/>
      </c>
      <c r="K17" s="194">
        <f>IFERROR(AVERAGE(H17,I17)*$B$8,0)</f>
        <v/>
      </c>
      <c r="L17" s="194">
        <f>J17+K17</f>
        <v/>
      </c>
      <c r="M17" s="194">
        <f>D17+E17</f>
        <v/>
      </c>
      <c r="N17" s="243" t="inlineStr">
        <is>
          <t>SUPERSEDED - now sourced from Zhang, see row 131</t>
        </is>
      </c>
      <c r="O17" s="198" t="inlineStr">
        <is>
          <t>Plant Wide Measures</t>
        </is>
      </c>
      <c r="P17" s="7">
        <f>1</f>
        <v/>
      </c>
      <c r="Q17" s="224">
        <f>J17/P17</f>
        <v/>
      </c>
      <c r="R17" s="224">
        <f>K17/P17</f>
        <v/>
      </c>
      <c r="S17" t="inlineStr">
        <is>
          <t>Cement</t>
        </is>
      </c>
    </row>
    <row r="18">
      <c r="A18" s="192" t="inlineStr">
        <is>
          <t>Adjustable Speed Drives</t>
        </is>
      </c>
      <c r="B18" s="193" t="n">
        <v>114</v>
      </c>
      <c r="C18" s="193" t="n">
        <v>107</v>
      </c>
      <c r="D18" s="194">
        <f>'Kermeli Data'!F114</f>
        <v/>
      </c>
      <c r="E18" s="194">
        <f>'Kermeli Data'!G114</f>
        <v/>
      </c>
      <c r="F18" s="195" t="n"/>
      <c r="G18" s="195" t="n"/>
      <c r="H18" s="196" t="n">
        <v>5.5</v>
      </c>
      <c r="I18" s="196" t="n">
        <v>9</v>
      </c>
      <c r="J18" s="194">
        <f>IFERROR(AVERAGE(F18,G18)*$B$7,0)</f>
        <v/>
      </c>
      <c r="K18" s="194">
        <f>IFERROR(AVERAGE(H18,I18)*$B$8,0)</f>
        <v/>
      </c>
      <c r="L18" s="194">
        <f>J18+K18</f>
        <v/>
      </c>
      <c r="M18" s="194">
        <f>D18+E18</f>
        <v/>
      </c>
      <c r="N18" s="243" t="inlineStr">
        <is>
          <t>SUPERSEDED - now sourced from Zhang, see row 132</t>
        </is>
      </c>
      <c r="O18" s="198" t="inlineStr">
        <is>
          <t>Plant Wide Measures</t>
        </is>
      </c>
      <c r="P18" s="7">
        <f>1</f>
        <v/>
      </c>
      <c r="Q18" s="224">
        <f>J18/P18</f>
        <v/>
      </c>
      <c r="R18" s="224">
        <f>K18/P18</f>
        <v/>
      </c>
      <c r="S18" t="inlineStr">
        <is>
          <t>Cement</t>
        </is>
      </c>
    </row>
    <row r="20">
      <c r="A20" t="inlineStr">
        <is>
          <t>Blank ES fuel cells = "-" in Table 8, i.e. no fuel saving reported for that measure (treated as zero, not missing).</t>
        </is>
      </c>
    </row>
    <row r="22" ht="15.5" customHeight="1">
      <c r="A22" s="72" t="inlineStr">
        <is>
          <t>Findings</t>
        </is>
      </c>
    </row>
    <row r="23">
      <c r="A23" t="inlineStr">
        <is>
          <t>1. All 8 measures have non-zero savings in the primary source. Kermeli's 0 entries are not confirmed zeros.</t>
        </is>
      </c>
    </row>
    <row r="24">
      <c r="A24">
        <f>"2. Every source value converts to between "&amp;TEXT(MIN(L11:L18),"0.000")&amp;" and "&amp;TEXT(MAX(L11:L18),"0.000")&amp;" GJ/t - all below 0.05, so all round to 0.0 at one decimal place."</f>
        <v/>
      </c>
    </row>
    <row r="25">
      <c r="A25" t="inlineStr">
        <is>
          <t>3. Kermeli's savings columns are predominantly recorded at 0.1 GJ/t resolution (only 7 of 191 non-zero entries across the sheet are not multiples of 0.1; smallest is 0.01). Rounding to that resolution is the most likely explanation, rather than a transcription error.</t>
        </is>
      </c>
    </row>
    <row r="26">
      <c r="A26" t="inlineStr">
        <is>
          <t>4. Consequence in this model: fuel/elec = 0 makes economics P = 0, which gates AM (capex intensity) to 0 and blanks CCE. The measure contributes no savings AND its investment cost is discarded - it is inert rather than wrong-signed.</t>
        </is>
      </c>
    </row>
    <row r="27">
      <c r="A27" s="187" t="inlineStr">
        <is>
          <t>5. BASIS CAVEAT - not yet resolved: ENERGY STAR Table 8 is per ton of CEMENT. Kermeli Data rows 92-100 are mapped to product 'Clinker' in this workbook (economics col A). Converting these figures onto the clinker basis requires the clinker-to-cement ratio before any of the values above are used as replacements.</t>
        </is>
      </c>
    </row>
    <row r="28">
      <c r="A28" t="inlineStr">
        <is>
          <t>6. Investment costs also differ in basis: ENERGY STAR p.34 gives $1.8/ton raw material (plus $0.01/ton O&amp;M) for Improved Raw Mill Blending, whereas Kermeli Data col I records 4 EUR/t. Reconcile currency, year and denominator before use.</t>
        </is>
      </c>
    </row>
    <row r="29">
      <c r="A29" s="187" t="inlineStr">
        <is>
          <t>7. NOT YET REVIEWED against sources: pulp &amp; paper 'High consistency pulping' (Kermeli 49), 'Efficient disperser' (52), waste-heat 'Heat recovery from bleaching' (51), and iron &amp; steel efficiency measure 2. These are zero-effect but their sources have not been checked.</t>
        </is>
      </c>
    </row>
    <row r="31" ht="15.5" customHeight="1">
      <c r="A31" s="208" t="inlineStr">
        <is>
          <t>Does Kermeli's text explain the zeros?</t>
        </is>
      </c>
    </row>
    <row r="32">
      <c r="A32" t="inlineStr">
        <is>
          <t>Checked: Kermeli et al. (2022) main text and the full Supplementary Material (SM), including the cement measures table and its footnotes.</t>
        </is>
      </c>
    </row>
    <row r="33">
      <c r="A33" s="185" t="inlineStr">
        <is>
          <t>https://link.springer.com/article/10.1007/s12053-022-10071-8</t>
        </is>
      </c>
    </row>
    <row r="34">
      <c r="A34" s="1" t="inlineStr">
        <is>
          <t>ANSWER: No double-counting rationale. The words 'double count', 'overlap' and 'negligible' do not appear anywhere in the paper or the SM. No footnote on any zero-savings cement measure offers an explanation.</t>
        </is>
      </c>
    </row>
    <row r="35">
      <c r="A35" t="inlineStr">
        <is>
          <t>The one overlap adjustment in the paper is Eq. 10 (ES_impr,t = ES_t - ES_total/Production), which nets out savings already captured by previously adopted measures. It is applied at scenario level to avoid double counting across measures - it does NOT zero out individual table entries, and it is applied downstream of the SM values, not baked into them.</t>
        </is>
      </c>
    </row>
    <row r="36">
      <c r="A36" s="209" t="inlineStr">
        <is>
          <t>PROOF IT IS ROUNDING: Kermeli's SM cement table reports savings to one decimal place, and several rows carry the entry "-0.0" (Indirect Firing el., Conversion to Grate Cooler el., Optimize Grate Cooler el., Increase Preheater Stages el.). A true zero cannot be signed. "-0.0" is a small negative number displayed at 1dp, which proves the column is rounded - so "0.0" means |value| &lt; 0.05 GJ/t, not zero.</t>
        </is>
      </c>
    </row>
    <row r="37">
      <c r="A37" t="inlineStr">
        <is>
          <t>SOURCE CONFIRMED IDENTICAL: footnotes a, b and c on Kermeli's cement table all resolve to Worrell, Kermeli &amp; Galitsky (2013), the ENERGY STAR Guide for cement making - the same document reviewed above. Kermeli is a co-author of it. The earlier 'is it the same edition' caveat is resolved.</t>
        </is>
      </c>
    </row>
    <row r="38">
      <c r="A38" t="inlineStr">
        <is>
          <t>Kermeli SM values for our 8 measures match this workbook exactly (invest EUR/t: blending 4, classifiers-clinker 4, raw meal process control 0 with O&amp;M 0.1, LPD preheaters 6, EM&amp;PC-cement 1, classifiers-cement 3, motors 0, ASD 0), confirming the workbook transcription is faithful. The loss of precision happened upstream, in Kermeli's published table.</t>
        </is>
      </c>
    </row>
    <row r="39">
      <c r="A39" s="1" t="inlineStr">
        <is>
          <t>CONCLUSION: not an error in the workbook, and not an anti-double-counting device. It is precision loss in the published source. Recovering these measures means going back to Worrell et al. (2013) for the unrounded figures, as done in the table above.</t>
        </is>
      </c>
    </row>
    <row r="40">
      <c r="A40" t="inlineStr">
        <is>
          <t>Minor discrepancy noted, not yet chased: Kermeli gives a 30-year technical lifetime for Low-Pressure Drop Suspension Preheaters; economics row 96 carries 20. Worth a check.</t>
        </is>
      </c>
    </row>
    <row r="42" ht="15.5" customHeight="1">
      <c r="A42" s="72" t="inlineStr">
        <is>
          <t>Other rows with the same pattern (outside cement)</t>
        </is>
      </c>
    </row>
    <row r="43">
      <c r="A43" t="inlineStr">
        <is>
          <t>Kermeli Data has 15 rows in total with zero fuel AND zero elec savings. 8 are the cement rows reviewed above. Of the remaining 7:</t>
        </is>
      </c>
    </row>
    <row r="45">
      <c r="A45" s="205" t="inlineStr">
        <is>
          <t>Kermeli row</t>
        </is>
      </c>
      <c r="B45" s="206" t="inlineStr">
        <is>
          <t>Product</t>
        </is>
      </c>
      <c r="C45" s="206" t="inlineStr">
        <is>
          <t>Measure</t>
        </is>
      </c>
      <c r="D45" s="206" t="inlineStr">
        <is>
          <t>SM table</t>
        </is>
      </c>
      <c r="E45" s="206" t="inlineStr">
        <is>
          <t>Invest EUR/t</t>
        </is>
      </c>
      <c r="F45" s="206" t="inlineStr">
        <is>
          <t>Upstream source (SM footnote)</t>
        </is>
      </c>
      <c r="G45" s="207" t="inlineStr">
        <is>
          <t>Retrievable?</t>
        </is>
      </c>
    </row>
    <row r="46">
      <c r="A46" s="192" t="n">
        <v>18</v>
      </c>
      <c r="B46" s="193" t="inlineStr">
        <is>
          <t>Coke oven</t>
        </is>
      </c>
      <c r="C46" s="193" t="inlineStr">
        <is>
          <t>Variable speed drive on compressors</t>
        </is>
      </c>
      <c r="D46" s="193" t="inlineStr">
        <is>
          <t>S3 iron and steel</t>
        </is>
      </c>
      <c r="E46" s="193" t="n">
        <v>0.3</v>
      </c>
      <c r="F46" s="193" t="inlineStr">
        <is>
          <t>Zhang et al. (2019), J. Cleaner Production 232, 235-249, doi 10.1016/j.jclepro.2019.05.392</t>
        </is>
      </c>
      <c r="G46" s="211" t="inlineStr">
        <is>
          <t>RESOLVED - but via Worrell et al. (2010), see row 91</t>
        </is>
      </c>
    </row>
    <row r="47">
      <c r="A47" s="192" t="n">
        <v>49</v>
      </c>
      <c r="B47" s="193" t="inlineStr">
        <is>
          <t>Recovered fibre pulp</t>
        </is>
      </c>
      <c r="C47" s="193" t="inlineStr">
        <is>
          <t>High consistency pulping</t>
        </is>
      </c>
      <c r="D47" s="193" t="inlineStr">
        <is>
          <t>S5 pulp and paper</t>
        </is>
      </c>
      <c r="E47" s="193" t="n">
        <v>3</v>
      </c>
      <c r="F47" s="193" t="inlineStr">
        <is>
          <t>Fleiter et al. (2012), Energy 40(1), 84-99, doi 10.1016/j.energy.2012.02.025</t>
        </is>
      </c>
      <c r="G47" s="211" t="inlineStr">
        <is>
          <t>RESOLVED - see row 60 onwards</t>
        </is>
      </c>
    </row>
    <row r="48">
      <c r="A48" s="192" t="n">
        <v>51</v>
      </c>
      <c r="B48" s="193" t="inlineStr">
        <is>
          <t>Recovered fibre pulp</t>
        </is>
      </c>
      <c r="C48" s="193" t="inlineStr">
        <is>
          <t>Heat recovery from bleaching  &lt;-- the waste-heat slot</t>
        </is>
      </c>
      <c r="D48" s="193" t="inlineStr">
        <is>
          <t>S5 pulp and paper</t>
        </is>
      </c>
      <c r="E48" s="193" t="n">
        <v>2</v>
      </c>
      <c r="F48" s="193" t="inlineStr">
        <is>
          <t>Fleiter et al. (2012), Energy 40(1), 84-99, doi 10.1016/j.energy.2012.02.025</t>
        </is>
      </c>
      <c r="G48" s="211" t="inlineStr">
        <is>
          <t>RESOLVED - see row 60 onwards</t>
        </is>
      </c>
    </row>
    <row r="49">
      <c r="A49" s="192" t="n">
        <v>52</v>
      </c>
      <c r="B49" s="193" t="inlineStr">
        <is>
          <t>Recovered fibre pulp</t>
        </is>
      </c>
      <c r="C49" s="193" t="inlineStr">
        <is>
          <t>Efficient disperser</t>
        </is>
      </c>
      <c r="D49" s="193" t="inlineStr">
        <is>
          <t>S5 pulp and paper</t>
        </is>
      </c>
      <c r="E49" s="193" t="n">
        <v>1</v>
      </c>
      <c r="F49" s="193" t="inlineStr">
        <is>
          <t>Fleiter et al. (2012), Energy 40(1), 84-99, doi 10.1016/j.energy.2012.02.025</t>
        </is>
      </c>
      <c r="G49" s="211" t="inlineStr">
        <is>
          <t>RESOLVED - see row 60 onwards</t>
        </is>
      </c>
    </row>
    <row r="51">
      <c r="A51" s="210" t="inlineStr">
        <is>
          <t>The other 3 zero rows (Kermeli 162 Ammonia, 166 Ethylene, 170 Methanol - all 'H2 boilers') are NOT the same phenomenon and should be left alone. They sit in SM Part C (electrification / H2 technologies), where a zero in the fuel and elec savings columns is by design: the measure is a fuel switch, and its energy impact is carried in a separate column, not in these two.</t>
        </is>
      </c>
    </row>
    <row r="52">
      <c r="A52" s="187" t="inlineStr">
        <is>
          <t>All four rows above show 0.0 / 0.0 in Kermeli's SM at the same one-decimal resolution as the cement table, so the same rounding explanation is the likely cause - but that is an inference by analogy, NOT verified against the upstream sources.</t>
        </is>
      </c>
    </row>
    <row r="53">
      <c r="A53" t="inlineStr">
        <is>
          <t>STATUS UPDATE: both papers were supplied and read. The three pulp and paper rows are now resolved against Fleiter et al. (2012) - see row 60 onwards. The iron and steel row cannot be resolved from Zhang et al. (2019) - see row 73.</t>
        </is>
      </c>
    </row>
    <row r="55" ht="15.5" customHeight="1">
      <c r="A55" s="72" t="inlineStr">
        <is>
          <t>Materiality and a caution about partial correction</t>
        </is>
      </c>
    </row>
    <row r="56">
      <c r="A56">
        <f>"The 8 cement measures sum to "&amp;TEXT(SUM(L11:L18),"0.000")&amp;" GJ/t, against a clinker calcination SEC of 3.6 GJ/t (Kermeli et al. 2022). That is "&amp;TEXT(SUM(L11:L18)/3.6,"0.0%")&amp;" of clinker energy use - individually negligible, collectively not."</f>
        <v/>
      </c>
    </row>
    <row r="57">
      <c r="A57" s="212" t="inlineStr">
        <is>
          <t>CAUTION: the 0.1 GJ/t resolution affects EVERY row in Kermeli's tables, not only the ones that round to zero. A measure truly at 0.14 GJ/t is stored as 0.1 (a 29% understatement); one at 0.16 is stored as 0.2 (a 25% overstatement). Restoring precision for only the zero rows would make the dataset internally inconsistent - the smallest measures would carry three-decimal precision while larger ones stay at one decimal, biasing the cost curve.</t>
        </is>
      </c>
    </row>
    <row r="58">
      <c r="A58" t="inlineStr">
        <is>
          <t>Recommended sequence if these are to be corrected: (1) resolve the clinker-vs-cement basis, (2) decide whether to re-derive ALL cement measures from Worrell et al. (2013) rather than just the eight, (3) only then write values back into Kermeli Data. Nothing has been substituted yet - this sheet is documentation only.</t>
        </is>
      </c>
    </row>
    <row r="60" ht="15.5" customHeight="1">
      <c r="A60" s="72" t="inlineStr">
        <is>
          <t>Pulp and paper: verified against Fleiter et al. (2012)</t>
        </is>
      </c>
    </row>
    <row r="61">
      <c r="A61" t="inlineStr">
        <is>
          <t>Source: Fleiter, Fehrenbach, Worrell &amp; Eichhammer (2012), Energy 40(1) 84-99, Table 5 'Summary of technology assumptions: specific saving potentials and costs per energy efficiency measure' (p.92) and Table 6 (technical lifetimes).</t>
        </is>
      </c>
    </row>
    <row r="62">
      <c r="A62" s="1" t="inlineStr">
        <is>
          <t>Basis note: Fleiter reports per tonne of RCF (recovered fibre) pulp, which matches Kermeli's product 'Recovered fibre pulp'. Unlike the cement rows, there is NO basis mismatch here - these figures are directly usable.</t>
        </is>
      </c>
    </row>
    <row r="64">
      <c r="A64" s="205" t="inlineStr">
        <is>
          <t>Measure</t>
        </is>
      </c>
      <c r="B64" s="206" t="inlineStr">
        <is>
          <t>Kermeli row</t>
        </is>
      </c>
      <c r="C64" s="206" t="inlineStr">
        <is>
          <t>economics row</t>
        </is>
      </c>
      <c r="D64" s="206" t="inlineStr">
        <is>
          <t>Fleiter EEM no.</t>
        </is>
      </c>
      <c r="E64" s="206" t="inlineStr">
        <is>
          <t>Elec saving (MJ/t)</t>
        </is>
      </c>
      <c r="F64" s="206" t="inlineStr">
        <is>
          <t>Fuel saving (MJ/t)</t>
        </is>
      </c>
      <c r="G64" s="206" t="inlineStr">
        <is>
          <t>Total GJ/t</t>
        </is>
      </c>
      <c r="H64" s="206" t="inlineStr">
        <is>
          <t>Kermeli GJ/t</t>
        </is>
      </c>
      <c r="I64" s="206" t="inlineStr">
        <is>
          <t>Verdict</t>
        </is>
      </c>
      <c r="J64" s="206" t="inlineStr">
        <is>
          <t>Invest EUR/t (2007)</t>
        </is>
      </c>
      <c r="K64" s="207" t="inlineStr">
        <is>
          <t>Tech life (yrs)</t>
        </is>
      </c>
      <c r="L64" s="223" t="inlineStr">
        <is>
          <t>Fuel GJ/t to write</t>
        </is>
      </c>
      <c r="M64" s="223" t="inlineStr">
        <is>
          <t>Elec GJ/t to write</t>
        </is>
      </c>
    </row>
    <row r="65">
      <c r="A65" s="192" t="inlineStr">
        <is>
          <t>High consistency pulping</t>
        </is>
      </c>
      <c r="B65" s="193" t="n">
        <v>49</v>
      </c>
      <c r="C65" s="193" t="n">
        <v>42</v>
      </c>
      <c r="D65" s="193" t="n">
        <v>6</v>
      </c>
      <c r="E65" s="193" t="n">
        <v>20</v>
      </c>
      <c r="F65" s="193" t="n"/>
      <c r="G65" s="194">
        <f>(N(E65)+N(F65))/1000</f>
        <v/>
      </c>
      <c r="H65" s="194">
        <f>'Kermeli Data'!F49+'Kermeli Data'!G49</f>
        <v/>
      </c>
      <c r="I65" s="197">
        <f>IF(ABS(H65-(L65+M65))&lt;0.0000001,"CORRECTED - matches source",IF(H65=0,"still zero - not wired","mismatch - check"))</f>
        <v/>
      </c>
      <c r="J65" s="193" t="n">
        <v>2.4</v>
      </c>
      <c r="K65" s="198" t="n">
        <v>20</v>
      </c>
      <c r="L65" s="224">
        <f>N(F65)/1000</f>
        <v/>
      </c>
      <c r="M65" s="224">
        <f>N(E65)/1000</f>
        <v/>
      </c>
    </row>
    <row r="66">
      <c r="A66" s="213" t="inlineStr">
        <is>
          <t>Heat recovery from bleaching  &lt;-- the waste-heat slot</t>
        </is>
      </c>
      <c r="B66" s="193" t="n">
        <v>51</v>
      </c>
      <c r="C66" s="193" t="n">
        <v>44</v>
      </c>
      <c r="D66" s="193" t="n">
        <v>8</v>
      </c>
      <c r="E66" s="193" t="n"/>
      <c r="F66" s="193" t="n">
        <v>30</v>
      </c>
      <c r="G66" s="194">
        <f>(N(E66)+N(F66))/1000</f>
        <v/>
      </c>
      <c r="H66" s="194">
        <f>'Kermeli Data'!F51+'Kermeli Data'!G51</f>
        <v/>
      </c>
      <c r="I66" s="197">
        <f>IF(ABS(H66-(L66+M66))&lt;0.0000001,"CORRECTED - matches source",IF(H66=0,"still zero - not wired","mismatch - check"))</f>
        <v/>
      </c>
      <c r="J66" s="193" t="n">
        <v>1.3</v>
      </c>
      <c r="K66" s="198" t="n">
        <v>20</v>
      </c>
      <c r="L66" s="224">
        <f>N(F66)/1000</f>
        <v/>
      </c>
      <c r="M66" s="224">
        <f>N(E66)/1000</f>
        <v/>
      </c>
    </row>
    <row r="67">
      <c r="A67" s="192" t="inlineStr">
        <is>
          <t>Efficient dispersers</t>
        </is>
      </c>
      <c r="B67" s="193" t="n">
        <v>52</v>
      </c>
      <c r="C67" s="193" t="n">
        <v>45</v>
      </c>
      <c r="D67" s="193" t="n">
        <v>10</v>
      </c>
      <c r="E67" s="193" t="n">
        <v>22</v>
      </c>
      <c r="F67" s="193" t="n"/>
      <c r="G67" s="194">
        <f>(N(E67)+N(F67))/1000</f>
        <v/>
      </c>
      <c r="H67" s="194">
        <f>'Kermeli Data'!F52+'Kermeli Data'!G52</f>
        <v/>
      </c>
      <c r="I67" s="197">
        <f>IF(ABS(H67-(L67+M67))&lt;0.0000001,"CORRECTED - matches source",IF(H67=0,"still zero - not wired","mismatch - check"))</f>
        <v/>
      </c>
      <c r="J67" s="193" t="n">
        <v>1.1</v>
      </c>
      <c r="K67" s="198" t="n">
        <v>15</v>
      </c>
      <c r="L67" s="224">
        <f>N(F67)/1000</f>
        <v/>
      </c>
      <c r="M67" s="224">
        <f>N(E67)/1000</f>
        <v/>
      </c>
    </row>
    <row r="69">
      <c r="A69" s="209" t="inlineStr">
        <is>
          <t>All three convert to 0.020-0.030 GJ/t - again below 0.05, so again round to 0.0 at Kermeli's one-decimal resolution. Third independent confirmation of the rounding explanation.</t>
        </is>
      </c>
    </row>
    <row r="70">
      <c r="A70" t="inlineStr">
        <is>
          <t>Corroborating detail: Kermeli's technical lifetimes (20 / 20 / 15 yrs) match Fleiter Table 6 exactly, and Kermeli's investment costs (EUR 3 / 2 / 1 per t) are consistent with Fleiter's 2007 costs of EUR 2.4 / 1.3 / 1.1 per t uplifted for inflation and rounded to whole euros. The transcription is sound; only the savings precision was lost.</t>
        </is>
      </c>
    </row>
    <row r="71">
      <c r="A71" s="1" t="inlineStr">
        <is>
          <t>DOUBLE-COUNTING HYPOTHESIS CLOSED FOR PULP AND PAPER TOO: Fleiter's Table 7 lists the measures whose savings interact and must be implemented in a set order. It covers only Paper/Refiner (EEM 12, 11, 13), Paper/Drying section (15, 14, 13, 16, 17) and Mechanical pulp/Refining and grinding (5, 4, 3, 2). None of EEM 6, 8 or 10 appears, so the original author applied no overlap adjustment to them.</t>
        </is>
      </c>
    </row>
    <row r="73" ht="15.5" customHeight="1">
      <c r="A73" s="72" t="inlineStr">
        <is>
          <t>Iron and steel row 18 - Zhang et al. (2019) is a dead end as a source (see row 91 for the resolution)</t>
        </is>
      </c>
    </row>
    <row r="74">
      <c r="A74" s="187" t="inlineStr">
        <is>
          <t>The Aalto accepted-manuscript copy was retrieved and read in full. Zhang et al. (2019) publishes only the NAMES of its energy efficiency measures (Appendices S2 and S3); it reports no per-measure saving, cost or lifetime values. The paper states its parameters were drawn from ERI/NDRC China, IIP (2013), Hasanbeigi et al., US EPA (2010) and LBNL. So Kermeli's 0.0/0.0 and EUR0.3/t for 'Variable speed drive on compressors' cannot be checked against Zhang - it would need those underlying databases.</t>
        </is>
      </c>
    </row>
    <row r="76" ht="15.5" customHeight="1">
      <c r="A76" s="208" t="inlineStr">
        <is>
          <t>OPEN DECISION: are cross-cutting motor / drive measures in scope here, or in the stock-turnover &amp; standards channel?</t>
        </is>
      </c>
    </row>
    <row r="77">
      <c r="A77" t="inlineStr">
        <is>
          <t>Raised by Dan O'Brien re Kermeli row 18 (Variable speed drive on compressors). NOT YET ACTIONED - recorded here pending decision.</t>
        </is>
      </c>
    </row>
    <row r="78">
      <c r="A78" t="inlineStr">
        <is>
          <t>Criterion as written in the 10 existing exclusion notes (Kermeli Data col W): every one swaps a physical unit for a different unit - furnace replacement, new-build casting line, like-for-like refiner replacement, shoe press instead of a rotating cylinder, vertical shaft kiln choice, ball mills replaced with VRMs. A VSD is an add-on fitted to an existing motor or compressor; nothing is replaced, so on a literal reading it is a retrofit and stays.</t>
        </is>
      </c>
    </row>
    <row r="79">
      <c r="A79" t="inlineStr">
        <is>
          <t>Counter-argument (the reason this is a real question): the note on Kermeli row 111 broadens the channel to 'equipment stock / efficiency standards / early retirement'. EU Ecodesign Regulation 2019/1781 sets minimum efficiency requirements for BOTH motors and variable speed drives, so a standards channel could legitimately be carrying this adoption already - which would make keeping it a double count.</t>
        </is>
      </c>
    </row>
    <row r="81">
      <c r="A81" s="1" t="inlineStr">
        <is>
          <t>If the decision is to exclude, these are the affected rows - it is 4, not 1:</t>
        </is>
      </c>
    </row>
    <row r="82">
      <c r="A82" s="1" t="inlineStr">
        <is>
          <t>Kermeli row</t>
        </is>
      </c>
      <c r="B82" s="1" t="inlineStr">
        <is>
          <t>Product</t>
        </is>
      </c>
      <c r="C82" s="1" t="inlineStr">
        <is>
          <t>Measure</t>
        </is>
      </c>
      <c r="D82" s="1" t="inlineStr">
        <is>
          <t>Fuel GJ/t</t>
        </is>
      </c>
      <c r="E82" s="1" t="inlineStr">
        <is>
          <t>Elec GJ/t</t>
        </is>
      </c>
      <c r="F82" s="1" t="inlineStr">
        <is>
          <t>Invest EUR/t</t>
        </is>
      </c>
      <c r="G82" s="1" t="inlineStr">
        <is>
          <t>Effect of excluding</t>
        </is>
      </c>
    </row>
    <row r="83">
      <c r="A83" t="n">
        <v>18</v>
      </c>
      <c r="B83" t="inlineStr">
        <is>
          <t>Coke oven</t>
        </is>
      </c>
      <c r="C83" t="inlineStr">
        <is>
          <t>Variable speed drive on compressors</t>
        </is>
      </c>
      <c r="D83" s="77">
        <f>'Kermeli Data'!F18</f>
        <v/>
      </c>
      <c r="E83" s="77">
        <f>'Kermeli Data'!G18</f>
        <v/>
      </c>
      <c r="F83" s="69">
        <f>'Kermeli Data'!I18</f>
        <v/>
      </c>
      <c r="G83" t="inlineStr">
        <is>
          <t>none today - already inert (rounds to 0/0)</t>
        </is>
      </c>
    </row>
    <row r="84">
      <c r="A84" s="188" t="n">
        <v>30</v>
      </c>
      <c r="B84" s="188" t="inlineStr">
        <is>
          <t>BF/BOF steel</t>
        </is>
      </c>
      <c r="C84" s="188" t="inlineStr">
        <is>
          <t>Variable speed drives for flue gas control, pumps, fans</t>
        </is>
      </c>
      <c r="D84" s="215">
        <f>'Kermeli Data'!F30</f>
        <v/>
      </c>
      <c r="E84" s="215">
        <f>'Kermeli Data'!G30</f>
        <v/>
      </c>
      <c r="F84" s="217">
        <f>'Kermeli Data'!I30</f>
        <v/>
      </c>
      <c r="G84" s="188" t="inlineStr">
        <is>
          <t>REAL - this one is live and would change results</t>
        </is>
      </c>
    </row>
    <row r="85">
      <c r="A85" t="n">
        <v>113</v>
      </c>
      <c r="B85" t="inlineStr">
        <is>
          <t>Cement</t>
        </is>
      </c>
      <c r="C85" t="inlineStr">
        <is>
          <t>High efficiency motors</t>
        </is>
      </c>
      <c r="D85" s="77">
        <f>'Kermeli Data'!F113</f>
        <v/>
      </c>
      <c r="E85" s="77">
        <f>'Kermeli Data'!G113</f>
        <v/>
      </c>
      <c r="F85" s="69">
        <f>'Kermeli Data'!I113</f>
        <v/>
      </c>
      <c r="G85" t="inlineStr">
        <is>
          <t>none today - already inert</t>
        </is>
      </c>
    </row>
    <row r="86">
      <c r="A86" s="214" t="n">
        <v>114</v>
      </c>
      <c r="B86" s="214" t="inlineStr">
        <is>
          <t>Cement</t>
        </is>
      </c>
      <c r="C86" s="214" t="inlineStr">
        <is>
          <t>Adjustable speed drives</t>
        </is>
      </c>
      <c r="D86" s="216">
        <f>'Kermeli Data'!F114</f>
        <v/>
      </c>
      <c r="E86" s="216">
        <f>'Kermeli Data'!G114</f>
        <v/>
      </c>
      <c r="F86" s="218">
        <f>'Kermeli Data'!I114</f>
        <v/>
      </c>
      <c r="G86" s="214" t="inlineStr">
        <is>
          <t>none today - already inert</t>
        </is>
      </c>
    </row>
    <row r="88">
      <c r="A88" t="inlineStr">
        <is>
          <t>Note: heat pumps and MVR rows (Kermeli 131,135,138,143,144,149,150,155,156,163,167) also involve rotating equipment but are process electrification, not cross-cutting drives - a different class, not affected by this decision.</t>
        </is>
      </c>
    </row>
    <row r="89">
      <c r="A89" t="inlineStr">
        <is>
          <t>My read: keep all four. Nothing is replaced by a VSD retrofit, so they do not meet the criterion as the existing 10 notes apply it. But row 30 is the one that matters - if the consuming model's standards channel does cover motors and drives under Ecodesign 2019/1781, excluding row 30 is necessary and the other three should go with it for consistency.</t>
        </is>
      </c>
    </row>
    <row r="91" ht="15.5" customHeight="1">
      <c r="A91" s="72" t="inlineStr">
        <is>
          <t>Iron and steel row 18 - RESOLVED via Worrell et al. (2010), not Zhang</t>
        </is>
      </c>
    </row>
    <row r="92">
      <c r="A92" s="1" t="inlineStr">
        <is>
          <t>Source: Worrell, Blinde, Neelis, Blomen &amp; Masanet (2010), 'Energy Efficiency Improvement and Cost Saving Opportunities for the U.S. Iron and Steel Industry - An ENERGY STAR Guide', LBNL-4779E, Chapter 16 (Coke Making), p.87.</t>
        </is>
      </c>
    </row>
    <row r="93">
      <c r="A93" s="185" t="inlineStr">
        <is>
          <t>https://www.osti.gov/servlets/purl/1026806</t>
        </is>
      </c>
    </row>
    <row r="94">
      <c r="A94" t="inlineStr">
        <is>
          <t>Reported saving: 5-7 kBtu/ton, i.e. 6-8 MJ/tonne coke, from installing a VSD on a compressor at the Corus coke plant in the Netherlands (attributed to Farla et al., 1998).</t>
        </is>
      </c>
    </row>
    <row r="96">
      <c r="A96" s="189" t="inlineStr">
        <is>
          <t>Measure</t>
        </is>
      </c>
      <c r="B96" s="190" t="inlineStr">
        <is>
          <t>Kermeli row</t>
        </is>
      </c>
      <c r="C96" s="190" t="inlineStr">
        <is>
          <t>Source low (MJ/t coke)</t>
        </is>
      </c>
      <c r="D96" s="190" t="inlineStr">
        <is>
          <t>Source high (MJ/t coke)</t>
        </is>
      </c>
      <c r="E96" s="190" t="inlineStr">
        <is>
          <t>Source mid GJ/t</t>
        </is>
      </c>
      <c r="F96" s="190" t="inlineStr">
        <is>
          <t>Kermeli GJ/t</t>
        </is>
      </c>
      <c r="G96" s="191" t="inlineStr">
        <is>
          <t>Verdict</t>
        </is>
      </c>
      <c r="H96" s="223" t="inlineStr">
        <is>
          <t>Fuel GJ/t to write</t>
        </is>
      </c>
      <c r="I96" s="223" t="inlineStr">
        <is>
          <t>Elec GJ/t to write</t>
        </is>
      </c>
      <c r="J96" s="223" t="inlineStr">
        <is>
          <t>Note</t>
        </is>
      </c>
    </row>
    <row r="97">
      <c r="A97" s="199" t="inlineStr">
        <is>
          <t>Variable speed drive on compressors</t>
        </is>
      </c>
      <c r="B97" s="200" t="n">
        <v>18</v>
      </c>
      <c r="C97" s="200" t="n">
        <v>6</v>
      </c>
      <c r="D97" s="200" t="n">
        <v>8</v>
      </c>
      <c r="E97" s="201">
        <f>AVERAGE(C97,D97)/1000</f>
        <v/>
      </c>
      <c r="F97" s="201">
        <f>'Kermeli Data'!F18+'Kermeli Data'!G18</f>
        <v/>
      </c>
      <c r="G97" s="221">
        <f>IF(ABS(F97-(H97+I97))&lt;0.0000001,"CORRECTED - matches source",IF(F97=0,"still zero - not wired","mismatch - check"))</f>
        <v/>
      </c>
      <c r="H97" s="224" t="n">
        <v>0</v>
      </c>
      <c r="I97" s="224">
        <f>E97</f>
        <v/>
      </c>
      <c r="J97" t="inlineStr">
        <is>
          <t>VSD reduces compressor motor electricity, so the saving is assigned to elec, not fuel.</t>
        </is>
      </c>
    </row>
    <row r="99">
      <c r="A99">
        <f>"At "&amp;TEXT(AVERAGE(C97,D97)/1000,"0.000")&amp;" GJ/t this is the smallest of the lot - again far below 0.05, so again rounds to 0.0. Fourth independent confirmation of the rounding explanation, now across four separate upstream sources and three industries."</f>
        <v/>
      </c>
    </row>
    <row r="100">
      <c r="A100" t="inlineStr">
        <is>
          <t>Footnote attribution quirk: Kermeli tags row 18 with footnote a = (Zhang et al., 2019), but the figure traces to Worrell et al. (2010), which is footnote c on the same table. Zhang states its own parameters were drawn from LBNL among others, so the chain is consistent either way - but the direct citation for this number is Worrell et al. (2010), and that report is already cited elsewhere in this workbook (Kermeli Data col W, row 35 exclusion note).</t>
        </is>
      </c>
    </row>
    <row r="101">
      <c r="A101" s="1" t="inlineStr">
        <is>
          <t>BEARS ON THE ROW 76 DECISION: Worrell et al. (2010) describes this measure as installing a VSD on an existing compressor to handle time-varying coke oven gas flows. That is explicitly an add-on retrofit to equipment that stays in place, not a replacement - which strengthens the case for keeping these four rows in scope rather than moving them to the stock-turnover channel.</t>
        </is>
      </c>
    </row>
    <row r="103" ht="15.5" customHeight="1">
      <c r="A103" s="72" t="inlineStr">
        <is>
          <t>STATUS: all 12 reviewable zero-savings rows are now traced to an upstream source</t>
        </is>
      </c>
    </row>
    <row r="104">
      <c r="A104" t="inlineStr">
        <is>
          <t>8 cement (Worrell/Kermeli/Galitsky 2013) + 3 pulp and paper (Fleiter et al. 2012) + 1 iron and steel (Worrell et al. 2010). All 12 have non-zero savings at source, all fall below 0.05 GJ/t, all round to 0.0 at Kermeli's one-decimal resolution. The remaining 3 zero rows (Kermeli 162/166/170, H2 boilers) are zero by design and are not part of this issue.</t>
        </is>
      </c>
    </row>
    <row r="105">
      <c r="A105" t="inlineStr">
        <is>
          <t>Range of true values recovered: 0.007 to 0.030 GJ/t. No source contradicted the rounding explanation, and no source offered a double-counting or deliberate-suppression rationale.</t>
        </is>
      </c>
    </row>
    <row r="106">
      <c r="A106" s="212" t="inlineStr">
        <is>
          <t>STILL OPEN: (1) the clinker-vs-cement basis for the 8 cement rows, (2) whether to re-derive ALL Kermeli cement measures rather than only the suppressed ones (see row 57), (3) the cross-cutting motor/drive scope decision at row 76, (4) the 30-vs-20-year lifetime discrepancy at row 40. Nothing has been written back into Kermeli Data, economics or the output pages.</t>
        </is>
      </c>
    </row>
    <row r="108" ht="15.5" customHeight="1">
      <c r="A108" s="229" t="inlineStr">
        <is>
          <t>WIRED IN 2026-07-29 - corrections are now live</t>
        </is>
      </c>
    </row>
    <row r="109">
      <c r="A109" t="inlineStr">
        <is>
          <t>Kermeli Data cols F and G now hold formulas pointing at this sheet for the 12 corrected rows (18, 49, 51, 52, 92, 94, 95, 103, 110, 112, 113, 114), shown in green. Each carries a note with the source, table and page. Change a source figure here and the whole model re-runs.</t>
        </is>
      </c>
    </row>
    <row r="110">
      <c r="A110" t="inlineStr">
        <is>
          <t>Per decision 2026-07-29: only values that rounded to 0.0 were corrected. Non-zero 1-sig-fig values are left as published, on the basis that their rounding errors are roughly symmetric and should broadly offset.</t>
        </is>
      </c>
    </row>
    <row r="111">
      <c r="A111" s="212" t="inlineStr">
        <is>
          <t>ARTIFACT TO BE AWARE OF: Kermeli lists EUR 0/t investment and EUR 0/t O&amp;M for cement 'High efficiency motors' and 'Adjustable speed drives'. Now that they carry real savings, they enter the cost curve as FREE abatement (CCE = 0) and will rank ahead of everything else. Their true cost is not zero - ENERGY STAR reports payback of &lt;1 yr and 1-3 yrs respectively. The savings rounding has been fixed; the COST rounding has not.</t>
        </is>
      </c>
    </row>
    <row r="112">
      <c r="A112" t="inlineStr">
        <is>
          <t>For context this is a pre-existing pattern, not something the correction introduced: cement measures 'Energy Management and Control Systems', 'Kiln Combustion System Improvements' and 'Preheater Shell Heat Loss Reduction' already had positive savings against EUR 0/t capex before this change. The correction extends the pattern from 3 rows to 5.</t>
        </is>
      </c>
    </row>
    <row r="114" ht="15.5" customHeight="1">
      <c r="A114" s="72" t="inlineStr">
        <is>
          <t>Exact cells holding the zero capex / zero O&amp;M artifact</t>
        </is>
      </c>
    </row>
    <row r="115">
      <c r="A115" t="inlineStr">
        <is>
          <t>Kermeli Data col I = Investment (EUR/t), col K = Annual O&amp;M Costs (EUR/t). A row is 'free abatement' only when BOTH are zero and savings are positive. Five rows qualify:</t>
        </is>
      </c>
    </row>
    <row r="116">
      <c r="A116" s="189" t="inlineStr">
        <is>
          <t>Kermeli row</t>
        </is>
      </c>
      <c r="B116" s="190" t="inlineStr">
        <is>
          <t>Measure</t>
        </is>
      </c>
      <c r="C116" s="190" t="inlineStr">
        <is>
          <t>Capex cell</t>
        </is>
      </c>
      <c r="D116" s="190" t="inlineStr">
        <is>
          <t>O&amp;M cell</t>
        </is>
      </c>
      <c r="E116" s="190" t="inlineStr">
        <is>
          <t>economics row</t>
        </is>
      </c>
      <c r="F116" s="190" t="inlineStr">
        <is>
          <t>CCE cells (=0)</t>
        </is>
      </c>
      <c r="G116" s="191" t="inlineStr">
        <is>
          <t>Status</t>
        </is>
      </c>
    </row>
    <row r="117">
      <c r="A117" s="192" t="n">
        <v>96</v>
      </c>
      <c r="B117" s="193" t="inlineStr">
        <is>
          <t>Energy Management and Control Systems (clinker)</t>
        </is>
      </c>
      <c r="C117" s="230" t="inlineStr">
        <is>
          <t>Kermeli Data  I96</t>
        </is>
      </c>
      <c r="D117" s="230" t="inlineStr">
        <is>
          <t>Kermeli Data  K96</t>
        </is>
      </c>
      <c r="E117" s="193" t="n">
        <v>89</v>
      </c>
      <c r="F117" s="193" t="inlineStr">
        <is>
          <t>economics!S89 / T89</t>
        </is>
      </c>
      <c r="G117" s="198" t="inlineStr">
        <is>
          <t>pre-existing</t>
        </is>
      </c>
    </row>
    <row r="118">
      <c r="A118" s="192" t="n">
        <v>97</v>
      </c>
      <c r="B118" s="193" t="inlineStr">
        <is>
          <t>Kiln Combustion System Improvements (clinker)</t>
        </is>
      </c>
      <c r="C118" s="230" t="inlineStr">
        <is>
          <t>Kermeli Data  I97</t>
        </is>
      </c>
      <c r="D118" s="230" t="inlineStr">
        <is>
          <t>Kermeli Data  K97</t>
        </is>
      </c>
      <c r="E118" s="193" t="n">
        <v>90</v>
      </c>
      <c r="F118" s="193" t="inlineStr">
        <is>
          <t>economics!S90 / T90</t>
        </is>
      </c>
      <c r="G118" s="198" t="inlineStr">
        <is>
          <t>pre-existing</t>
        </is>
      </c>
    </row>
    <row r="119">
      <c r="A119" s="192" t="n">
        <v>100</v>
      </c>
      <c r="B119" s="193" t="inlineStr">
        <is>
          <t>Preheater Shell Heat Loss Reduction (clinker)</t>
        </is>
      </c>
      <c r="C119" s="230" t="inlineStr">
        <is>
          <t>Kermeli Data  I100</t>
        </is>
      </c>
      <c r="D119" s="230" t="inlineStr">
        <is>
          <t>Kermeli Data  K100</t>
        </is>
      </c>
      <c r="E119" s="193" t="n">
        <v>93</v>
      </c>
      <c r="F119" s="193" t="inlineStr">
        <is>
          <t>economics!S93 / T93</t>
        </is>
      </c>
      <c r="G119" s="198" t="inlineStr">
        <is>
          <t>pre-existing</t>
        </is>
      </c>
    </row>
    <row r="120">
      <c r="A120" s="231" t="n">
        <v>113</v>
      </c>
      <c r="B120" s="197" t="inlineStr">
        <is>
          <t>High efficiency motors (cement)</t>
        </is>
      </c>
      <c r="C120" s="232" t="inlineStr">
        <is>
          <t>Kermeli Data  I113</t>
        </is>
      </c>
      <c r="D120" s="232" t="inlineStr">
        <is>
          <t>Kermeli Data  K113</t>
        </is>
      </c>
      <c r="E120" s="197" t="n">
        <v>106</v>
      </c>
      <c r="F120" s="197" t="inlineStr">
        <is>
          <t>economics!S106 / T106</t>
        </is>
      </c>
      <c r="G120" s="233" t="inlineStr">
        <is>
          <t>NEWLY EXPOSED by the 2026-07-29 savings correction</t>
        </is>
      </c>
    </row>
    <row r="121">
      <c r="A121" s="234" t="n">
        <v>114</v>
      </c>
      <c r="B121" s="203" t="inlineStr">
        <is>
          <t>Adjustable speed drives (cement)</t>
        </is>
      </c>
      <c r="C121" s="235" t="inlineStr">
        <is>
          <t>Kermeli Data  I114</t>
        </is>
      </c>
      <c r="D121" s="235" t="inlineStr">
        <is>
          <t>Kermeli Data  K114</t>
        </is>
      </c>
      <c r="E121" s="203" t="n">
        <v>107</v>
      </c>
      <c r="F121" s="203" t="inlineStr">
        <is>
          <t>economics!S107 / T107</t>
        </is>
      </c>
      <c r="G121" s="221" t="inlineStr">
        <is>
          <t>NEWLY EXPOSED by the 2026-07-29 savings correction</t>
        </is>
      </c>
    </row>
    <row r="123">
      <c r="A123" t="inlineStr">
        <is>
          <t>Not artifacts, for the avoidance of doubt: 'Kermeli Data'!I95 (Raw Meal Process Control) has zero capex but O&amp;M of EUR0.1/t, and I119 (Primary aluminum, Lower the electrolysis temperature) has zero capex but O&amp;M of EUR75/t. Both therefore produce a non-zero CCE and rank normally.</t>
        </is>
      </c>
    </row>
    <row r="124">
      <c r="A124" t="inlineStr">
        <is>
          <t>The gate itself: economics col AM = IF(P&gt;0, L/P/0.947817, 0), and col L = H * cpi!$B$12 * cpi!$B$10 (capex inflated to model-year euros). With H = 0 the whole chain is zero regardless of savings, so CCE lands at exactly 0.</t>
        </is>
      </c>
    </row>
    <row r="126">
      <c r="A126" t="inlineStr">
        <is>
          <t>Kermeli tags 'High efficiency motors' with footnote f = (Zhang et al., 2021). On 2026-07-29 I corrected rows 113 and 114 using Worrell et al. (2013) ENERGY STAR Table 8 instead, because that was the cement source in hand. That was the wrong source for these two rows and is superseded below.</t>
        </is>
      </c>
    </row>
    <row r="127">
      <c r="A127" s="1" t="inlineStr">
        <is>
          <t>Source: Zhang, Xie, Sander, Yue &amp; Yu (2021), 'Potentials of energy efficiency improvement and energy-emission-health nexus in Jing-Jin-Ji's cement industry', Journal of Cleaner Production, Appendix A Table 2, measures 33 and 34 ('general measures', reported per tonne of clinker). Costs are stated in 2005 USD (paper, Methods).</t>
        </is>
      </c>
    </row>
    <row r="128">
      <c r="A128" t="inlineStr">
        <is>
          <t>Column alignment in the extracted table was confirmed arithmetically: emission reduction / electricity saving = 4.70/0.02 = 235 and 2.43/0.01 = 243 kg CO2 per GJ, a consistent grid emission factor, which fixes which column is which.</t>
        </is>
      </c>
    </row>
    <row r="130">
      <c r="A130" s="189" t="inlineStr">
        <is>
          <t>Measure</t>
        </is>
      </c>
      <c r="B130" s="190" t="inlineStr">
        <is>
          <t>Kermeli row</t>
        </is>
      </c>
      <c r="C130" s="190" t="inlineStr">
        <is>
          <t>Zhang no.</t>
        </is>
      </c>
      <c r="D130" s="190" t="inlineStr">
        <is>
          <t>Elec saving (GJ/t clinker)</t>
        </is>
      </c>
      <c r="E130" s="190" t="inlineStr">
        <is>
          <t>CO2 (kg/t clinker)</t>
        </is>
      </c>
      <c r="F130" s="190" t="inlineStr">
        <is>
          <t>Capital cost (2005 USD/t clinker)</t>
        </is>
      </c>
      <c r="G130" s="190" t="inlineStr">
        <is>
          <t>O&amp;M (2005 USD/t clinker)</t>
        </is>
      </c>
      <c r="H130" s="190" t="inlineStr">
        <is>
          <t>Life (yrs)</t>
        </is>
      </c>
      <c r="I130" s="190" t="inlineStr">
        <is>
          <t>Elec GJ/t CEMENT to write</t>
        </is>
      </c>
      <c r="J130" s="252" t="inlineStr">
        <is>
          <t>Capex EUR2021/t CEMENT to write</t>
        </is>
      </c>
      <c r="K130" s="223" t="inlineStr">
        <is>
          <t>O&amp;M EUR2021/t CEMENT to write</t>
        </is>
      </c>
    </row>
    <row r="131">
      <c r="A131" s="192" t="inlineStr">
        <is>
          <t>High Efficiency Motors</t>
        </is>
      </c>
      <c r="B131" s="193" t="n">
        <v>113</v>
      </c>
      <c r="C131" s="193" t="n">
        <v>33</v>
      </c>
      <c r="D131" s="195" t="n">
        <v>0.02</v>
      </c>
      <c r="E131" s="193" t="n">
        <v>4.7</v>
      </c>
      <c r="F131" s="241" t="n">
        <v>0.38</v>
      </c>
      <c r="G131" s="241" t="n">
        <v>0</v>
      </c>
      <c r="H131" s="193" t="n">
        <v>10</v>
      </c>
      <c r="I131" s="253">
        <f>D131*$B$9</f>
        <v/>
      </c>
      <c r="J131" s="254">
        <f>F131*$B$148*$B$9</f>
        <v/>
      </c>
      <c r="K131" s="255">
        <f>G131*$B$148*$B$9</f>
        <v/>
      </c>
    </row>
    <row r="132">
      <c r="A132" s="199" t="inlineStr">
        <is>
          <t>Adjustable Speed Drives</t>
        </is>
      </c>
      <c r="B132" s="200" t="n">
        <v>114</v>
      </c>
      <c r="C132" s="200" t="n">
        <v>34</v>
      </c>
      <c r="D132" s="202" t="n">
        <v>0.01</v>
      </c>
      <c r="E132" s="200" t="n">
        <v>2.43</v>
      </c>
      <c r="F132" s="242" t="n">
        <v>0.25</v>
      </c>
      <c r="G132" s="242" t="n">
        <v>0</v>
      </c>
      <c r="H132" s="200" t="n">
        <v>10</v>
      </c>
      <c r="I132" s="256">
        <f>D132*$B$9</f>
        <v/>
      </c>
      <c r="J132" s="254">
        <f>F132*$B$148*$B$9</f>
        <v/>
      </c>
      <c r="K132" s="255">
        <f>G132*$B$148*$B$9</f>
        <v/>
      </c>
    </row>
    <row r="134">
      <c r="A134" t="inlineStr">
        <is>
          <t>Basis: Zhang reports these plant-wide measures per tonne of CLINKER. Kermeli files both rows in the Cement section of her table, so the values above are multiplied by the clinker-to-cement ratio in B9 to land on a per-tonne-cement basis. Kermeli's own published values are rounded to 0.0, so it is not possible to tell from her table whether she converted - this is an inference, flagged as such.</t>
        </is>
      </c>
    </row>
    <row r="135">
      <c r="A135" t="inlineStr">
        <is>
          <t>Source divergence worth noting: ENERGY STAR put Adjustable Speed Drives ABOVE High Efficiency Motors (0.0261 vs 0.0090 GJ/t), whereas Zhang has the opposite ordering (0.0152 vs 0.0076 GJ/t cement). Different regions and plant stock. Zhang is used because it is the source Kermeli cited.</t>
        </is>
      </c>
    </row>
    <row r="137" ht="15.5" customHeight="1">
      <c r="A137" s="72" t="inlineStr">
        <is>
          <t>OPEN: the EUR0/t capex artifact is ALSO a rounding artifact, and now has real numbers behind it</t>
        </is>
      </c>
    </row>
    <row r="138">
      <c r="A138" t="inlineStr">
        <is>
          <t>Zhang gives capital costs of $0.38/t-clinker (motors) and $0.25/t-clinker (ASDs) in 2005 USD. Rounded to whole euros these become 0, which is exactly what Kermeli Data I113 and I114 contain. So the free-abatement problem is the same rounding phenomenon as the savings, sitting in the cost column.</t>
        </is>
      </c>
    </row>
    <row r="139">
      <c r="A139" s="187" t="inlineStr">
        <is>
          <t>BLOCKED on a convention: wiring these costs needs 2005 USD -&gt; the model's 2012 USD reporting basis. The cpi sheet holds CPI-U for 2012, 2015 and 2021 only - there is no 2005 row. Add a cited 2005 CPI-U figure and I can wire the capex the same way as the savings.</t>
        </is>
      </c>
    </row>
    <row r="141" ht="15.5" customHeight="1">
      <c r="A141" s="72" t="inlineStr">
        <is>
          <t>Zhang capex: 2005 USD converted onto Kermeli's 2021-EUR basis</t>
        </is>
      </c>
    </row>
    <row r="142">
      <c r="A142" t="inlineStr">
        <is>
          <t>Kermeli Data col I holds investment in 2021 EUR (see cpi!A3, and economics col L = H * cpi!B12 * cpi!B10 which takes 2021 EUR to 2012 USD). Zhang prices in 2005 USD. Chain: 2005 USD -&gt; 2021 USD via CPI-U, then USD -&gt; EUR at the 2021 average rate, then clinker -&gt; cement basis.</t>
        </is>
      </c>
    </row>
    <row r="144">
      <c r="A144" t="inlineStr">
        <is>
          <t>CPI-U 2005 (annual avg)</t>
        </is>
      </c>
      <c r="B144" s="249">
        <f>Data!D49</f>
        <v/>
      </c>
    </row>
    <row r="145">
      <c r="A145" t="inlineStr">
        <is>
          <t>CPI-U 2021 (annual avg)</t>
        </is>
      </c>
      <c r="B145" s="249">
        <f>Data!D65</f>
        <v/>
      </c>
    </row>
    <row r="146">
      <c r="A146" t="inlineStr">
        <is>
          <t>Inflation factor, 2005 -&gt; 2021 USD</t>
        </is>
      </c>
      <c r="B146" s="224">
        <f>B145/B144</f>
        <v/>
      </c>
    </row>
    <row r="147">
      <c r="A147" t="inlineStr">
        <is>
          <t>USD per EUR (2021 average)</t>
        </is>
      </c>
      <c r="B147" s="250">
        <f>cpi!B12</f>
        <v/>
      </c>
    </row>
    <row r="148">
      <c r="A148" t="inlineStr">
        <is>
          <t>Combined factor: 2005 USD -&gt; 2021 EUR</t>
        </is>
      </c>
      <c r="B148" s="251">
        <f>B146/B147</f>
        <v/>
      </c>
    </row>
    <row r="149">
      <c r="A149" t="inlineStr">
        <is>
          <t>CPI-U 2009 (annual avg)</t>
        </is>
      </c>
      <c r="B149" s="249">
        <f>Data!D53</f>
        <v/>
      </c>
    </row>
    <row r="150" ht="15.5" customHeight="1">
      <c r="A150" s="229" t="inlineStr">
        <is>
          <t>RESOLVED 2026-07-29: motors and ASDs no longer show as free abatement</t>
        </is>
      </c>
    </row>
    <row r="151">
      <c r="A151" t="inlineStr">
        <is>
          <t>Kermeli Data I113 = EUR0.3388/t and I114 = EUR0.2229/t (2021 EUR, per tonne cement). economics now returns CCE of 3.99-4.21 $/GJ for High efficiency motors and 5.25-5.54 $/GJ for Adjustable speed drives, with capex intensity 23.6 and 31.0. Both rank normally instead of at zero cost.</t>
        </is>
      </c>
    </row>
    <row r="152">
      <c r="A152" s="187" t="inlineStr">
        <is>
          <t>STILL FREE ABATEMENT - three clinker rows remain with zero capex AND zero O&amp;M against positive savings: Kermeli Data I96/K96 Energy Management and Control Systems, I97/K97 Kiln Combustion System Improvements, I100/K100 Preheater Shell Heat Loss Reduction (economics rows 89, 90, 93). These carry footnote c = Worrell et al. (2013) + Kermeli et al. (2019). ENERGY STAR reports non-zero paybacks for all three (&lt;2 yr, &lt;1 yr and 6 yr), so their true costs are also non-zero. Same rounding-to-whole-euros cause, not yet chased.</t>
        </is>
      </c>
    </row>
    <row r="153">
      <c r="A153" t="inlineStr">
        <is>
          <t>CPI REWIRING 2026-07-29: cpi!B6, B7 and B8 pull live from the Data sheet (Data!D56 = 2012, D59 = 2015, D65 = 2021); identical values, so the 334 economics and 5 validation references are unaffected. UPDATE later same day: the About conversions block is now also live-linked to cpi/Data, and both LEGACY tabs (WHRCC, Calcs) have been deleted, so no hardcoded deflators remain anywhere.</t>
        </is>
      </c>
    </row>
    <row r="155" ht="15.5" customHeight="1">
      <c r="A155" s="72" t="inlineStr">
        <is>
          <t>Capex for the three remaining free-abatement clinker rows - traced in Worrell et al. (2013)</t>
        </is>
      </c>
    </row>
    <row r="156">
      <c r="A156" t="inlineStr">
        <is>
          <t>Source: Worrell, Kermeli &amp; Galitsky (2013) ENERGY STAR Cement Guide, narrative sections (Table 8 has no cost column). All three have a stated investment cost, so Kermeli Data I96/I97/I100 = 0 is again rounding to whole euros, not absent data. None of the three states an O&amp;M cost, so K96/K97/K100 = 0 is likely faithful rather than rounded.</t>
        </is>
      </c>
    </row>
    <row r="157">
      <c r="A157" s="1" t="inlineStr">
        <is>
          <t>All three figures turn out to be 2009 dollars, so per your instruction to take Worrell's numbers in native dollars there is a single vintage to deflate from - no mixed-vintage problem.</t>
        </is>
      </c>
    </row>
    <row r="158">
      <c r="C158" t="inlineStr">
        <is>
          <t>Capex low (native-year USD/annual t clinker)</t>
        </is>
      </c>
    </row>
    <row r="159">
      <c r="A159" s="219" t="inlineStr">
        <is>
          <t>Kermeli row</t>
        </is>
      </c>
      <c r="B159" s="220" t="inlineStr">
        <is>
          <t>Measure</t>
        </is>
      </c>
      <c r="C159" s="220" t="inlineStr">
        <is>
          <t>Capex low (2009 USD/annual t clinker)</t>
        </is>
      </c>
      <c r="D159" s="220" t="inlineStr">
        <is>
          <t>Capex high</t>
        </is>
      </c>
      <c r="E159" s="220" t="inlineStr">
        <is>
          <t>Citation</t>
        </is>
      </c>
      <c r="F159" s="220" t="inlineStr">
        <is>
          <t>Payback check vs Table 8</t>
        </is>
      </c>
      <c r="G159" s="190" t="inlineStr">
        <is>
          <t>Capex mid (2009 USD)</t>
        </is>
      </c>
      <c r="H159" s="190" t="inlineStr">
        <is>
          <t>Capex 2021 EUR/t clinker to write</t>
        </is>
      </c>
      <c r="I159" s="191" t="inlineStr">
        <is>
          <t>Basis note</t>
        </is>
      </c>
    </row>
    <row r="160">
      <c r="A160" s="192" t="n">
        <v>96</v>
      </c>
      <c r="B160" s="193" t="inlineStr">
        <is>
          <t>Energy Management and Control Systems</t>
        </is>
      </c>
      <c r="C160" s="241" t="n">
        <v>0.16</v>
      </c>
      <c r="D160" s="241" t="n">
        <v>0.22</v>
      </c>
      <c r="E160" s="193" t="inlineStr">
        <is>
          <t>ECRA (2009)</t>
        </is>
      </c>
      <c r="F160" s="193" t="inlineStr">
        <is>
          <t>Table 8 says &lt;2 yr; text says 2 yr or less - match</t>
        </is>
      </c>
      <c r="G160" s="194">
        <f>AVERAGE(C160,D160)</f>
        <v/>
      </c>
      <c r="H160" s="253">
        <f>G160*($B$145/$B$149)/$B$147</f>
        <v/>
      </c>
      <c r="I160" s="198" t="inlineStr">
        <is>
          <t>per annual t clinker; Kermeli product is Clinker, so no basis conversion</t>
        </is>
      </c>
    </row>
    <row r="161">
      <c r="A161" s="192" t="n">
        <v>97</v>
      </c>
      <c r="B161" s="193" t="inlineStr">
        <is>
          <t>Kiln Combustion System Improvements</t>
        </is>
      </c>
      <c r="C161" s="241" t="n">
        <v>0.9</v>
      </c>
      <c r="D161" s="241" t="n">
        <v>0.9</v>
      </c>
      <c r="E161" s="193" t="inlineStr">
        <is>
          <t>FCT (2009)</t>
        </is>
      </c>
      <c r="F161" s="193" t="inlineStr">
        <is>
          <t>Table 8 says &lt;1 yr; text says less than a year - match</t>
        </is>
      </c>
      <c r="G161" s="194">
        <f>AVERAGE(C161,D161)</f>
        <v/>
      </c>
      <c r="H161" s="253">
        <f>G161*($B$145/$B$149)/$B$147</f>
        <v/>
      </c>
      <c r="I161" s="198" t="inlineStr">
        <is>
          <t>per annual t clinker; Kermeli product is Clinker, so no basis conversion</t>
        </is>
      </c>
    </row>
    <row r="162">
      <c r="A162" s="199" t="n">
        <v>100</v>
      </c>
      <c r="B162" s="200" t="inlineStr">
        <is>
          <t>Kiln Shell Heat Loss Reduction (relabelled from 'Preheater Shell' 2026-07-29)</t>
        </is>
      </c>
      <c r="C162" s="242" t="n">
        <v>0.23</v>
      </c>
      <c r="D162" s="242" t="n">
        <v>0.23</v>
      </c>
      <c r="E162" s="200" t="inlineStr">
        <is>
          <t>Lesnikoff (1999)</t>
        </is>
      </c>
      <c r="F162" s="200" t="inlineStr">
        <is>
          <t>Relabelled: savings 0.4 GJ/t match Kiln shell; capex re-sourced to '$0.23/annual ton clinker capacity' (1999 USD)</t>
        </is>
      </c>
      <c r="G162" s="201">
        <f>AVERAGE(C162,D162)</f>
        <v/>
      </c>
      <c r="H162" s="256">
        <f>G162*($B$145/Data!D43)/$B$147</f>
        <v/>
      </c>
      <c r="I162" s="204" t="inlineStr">
        <is>
          <t>per annual t clinker; Kermeli product is Clinker, so no basis conversion</t>
        </is>
      </c>
    </row>
    <row r="164">
      <c r="A164" t="inlineStr">
        <is>
          <t>Wired in 2026-07-29: Kermeli Data I96 = EUR0.2029, I97 = EUR0.9611 (2009 USD deflated), and I100 = EUR0.3163 (Kiln shell, Lesnikoff 1999 USD deflated; revised from the EUR0.3204 Preheater figure on relabelling). All 2021 EUR per tonne clinker; no clinker-to-cement conversion - Worrell states these per tonne of clinker and Kermeli files all three under Clinker.</t>
        </is>
      </c>
    </row>
    <row r="165">
      <c r="A165" t="inlineStr">
        <is>
          <t>O&amp;M left at zero for all three: Worrell states no O&amp;M figure for any of them, so K96/K97/K100 = 0 is faithful, not a rounding artifact.</t>
        </is>
      </c>
    </row>
    <row r="167">
      <c r="A167" s="257" t="inlineStr">
        <is>
          <t>RESOLVED 2026-07-29 (Dan O'Brien decision): row relabelled to Kiln Shell Heat Loss Reduction on both 'Kermeli Data' (B100) and this sheet; capex re-sourced to Lesnikoff (1999) $0.23/annual t clinker, deflated 1999-&gt;2021. Savings left at the published 0.4 GJ/t. Also closed same day: LPD Suspension Preheaters lifetime stays at 20 years (decision), despite Kermeli SM giving 30.</t>
        </is>
      </c>
    </row>
  </sheetData>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J426"/>
  <sheetViews>
    <sheetView zoomScale="59" zoomScaleNormal="85" workbookViewId="0">
      <pane ySplit="1" topLeftCell="A41" activePane="bottomLeft" state="frozen"/>
      <selection pane="bottomLeft" activeCell="A116" sqref="A116"/>
    </sheetView>
  </sheetViews>
  <sheetFormatPr baseColWidth="8" defaultRowHeight="14.5"/>
  <cols>
    <col width="32.7265625" customWidth="1" min="1" max="1"/>
    <col width="7.81640625" bestFit="1" customWidth="1" min="2" max="2"/>
    <col width="19.54296875" bestFit="1" customWidth="1" min="3" max="3"/>
    <col width="47.26953125" customWidth="1" min="4" max="4"/>
    <col width="27.54296875" bestFit="1" customWidth="1" min="5" max="5"/>
    <col width="12.1796875" customWidth="1" min="6" max="6"/>
    <col width="17.1796875" customWidth="1" min="7" max="7"/>
    <col width="21.453125" customWidth="1" min="8" max="8"/>
  </cols>
  <sheetData>
    <row r="1" ht="43.5" customFormat="1" customHeight="1" s="140">
      <c r="A1" s="138" t="inlineStr">
        <is>
          <t>Industry</t>
        </is>
      </c>
      <c r="B1" s="138" t="inlineStr">
        <is>
          <t>Code</t>
        </is>
      </c>
      <c r="C1" s="138" t="inlineStr">
        <is>
          <t>Slot</t>
        </is>
      </c>
      <c r="D1" s="138" t="inlineStr">
        <is>
          <t>Measure</t>
        </is>
      </c>
      <c r="E1" s="138" t="inlineStr">
        <is>
          <t>Fuel savings (% of industry total combustion fuel)</t>
        </is>
      </c>
      <c r="F1" s="138" t="inlineStr">
        <is>
          <t>Elec savings (% elec base)</t>
        </is>
      </c>
      <c r="G1" s="138" t="inlineStr">
        <is>
          <t>Capex intensity (2012$/MMBtu-yr)</t>
        </is>
      </c>
      <c r="H1" s="138" t="inlineStr">
        <is>
          <t>Opex intensity (2012$/yr per MMBtu-yr)</t>
        </is>
      </c>
      <c r="I1" s="138" t="inlineStr">
        <is>
          <t>Lifetime (yr)</t>
        </is>
      </c>
      <c r="J1" s="138" t="inlineStr">
        <is>
          <t>Source</t>
        </is>
      </c>
    </row>
    <row r="2">
      <c r="A2" t="inlineStr">
        <is>
          <t>agriculture and forestry 01T03</t>
        </is>
      </c>
      <c r="B2" t="inlineStr">
        <is>
          <t>01T03</t>
        </is>
      </c>
      <c r="C2" t="inlineStr">
        <is>
          <t>efficiency measure 1</t>
        </is>
      </c>
      <c r="D2" t="inlineStr">
        <is>
          <t>(empty slot)</t>
        </is>
      </c>
      <c r="E2" s="151" t="n">
        <v>0</v>
      </c>
      <c r="F2" s="151" t="n">
        <v>0</v>
      </c>
      <c r="G2" s="7" t="n">
        <v>0</v>
      </c>
      <c r="H2" s="7" t="n">
        <v>0</v>
      </c>
      <c r="I2" t="n">
        <v>20</v>
      </c>
    </row>
    <row r="3">
      <c r="A3" t="inlineStr">
        <is>
          <t>agriculture and forestry 01T03</t>
        </is>
      </c>
      <c r="B3" t="inlineStr">
        <is>
          <t>01T03</t>
        </is>
      </c>
      <c r="C3" t="inlineStr">
        <is>
          <t>efficiency measure 2</t>
        </is>
      </c>
      <c r="D3" t="inlineStr">
        <is>
          <t>(empty slot)</t>
        </is>
      </c>
      <c r="E3" s="151" t="n">
        <v>0</v>
      </c>
      <c r="F3" s="151" t="n">
        <v>0</v>
      </c>
      <c r="G3" s="7" t="n">
        <v>0</v>
      </c>
      <c r="H3" s="7" t="n">
        <v>0</v>
      </c>
      <c r="I3" t="n">
        <v>20</v>
      </c>
    </row>
    <row r="4">
      <c r="A4" t="inlineStr">
        <is>
          <t>agriculture and forestry 01T03</t>
        </is>
      </c>
      <c r="B4" t="inlineStr">
        <is>
          <t>01T03</t>
        </is>
      </c>
      <c r="C4" t="inlineStr">
        <is>
          <t>efficiency measure 3</t>
        </is>
      </c>
      <c r="D4" t="inlineStr">
        <is>
          <t>(empty slot)</t>
        </is>
      </c>
      <c r="E4" s="151" t="n">
        <v>0</v>
      </c>
      <c r="F4" s="151" t="n">
        <v>0</v>
      </c>
      <c r="G4" s="7" t="n">
        <v>0</v>
      </c>
      <c r="H4" s="7" t="n">
        <v>0</v>
      </c>
      <c r="I4" t="n">
        <v>20</v>
      </c>
    </row>
    <row r="5">
      <c r="A5" t="inlineStr">
        <is>
          <t>agriculture and forestry 01T03</t>
        </is>
      </c>
      <c r="B5" t="inlineStr">
        <is>
          <t>01T03</t>
        </is>
      </c>
      <c r="C5" t="inlineStr">
        <is>
          <t>efficiency measure 4</t>
        </is>
      </c>
      <c r="D5" t="inlineStr">
        <is>
          <t>(empty slot)</t>
        </is>
      </c>
      <c r="E5" s="151" t="n">
        <v>0</v>
      </c>
      <c r="F5" s="151" t="n">
        <v>0</v>
      </c>
      <c r="G5" s="7" t="n">
        <v>0</v>
      </c>
      <c r="H5" s="7" t="n">
        <v>0</v>
      </c>
      <c r="I5" t="n">
        <v>20</v>
      </c>
    </row>
    <row r="6">
      <c r="A6" t="inlineStr">
        <is>
          <t>agriculture and forestry 01T03</t>
        </is>
      </c>
      <c r="B6" t="inlineStr">
        <is>
          <t>01T03</t>
        </is>
      </c>
      <c r="C6" t="inlineStr">
        <is>
          <t>efficiency measure 5</t>
        </is>
      </c>
      <c r="D6" t="inlineStr">
        <is>
          <t>(empty slot)</t>
        </is>
      </c>
      <c r="E6" s="151" t="n">
        <v>0</v>
      </c>
      <c r="F6" s="151" t="n">
        <v>0</v>
      </c>
      <c r="G6" s="7" t="n">
        <v>0</v>
      </c>
      <c r="H6" s="7" t="n">
        <v>0</v>
      </c>
      <c r="I6" t="n">
        <v>20</v>
      </c>
    </row>
    <row r="7">
      <c r="A7" t="inlineStr">
        <is>
          <t>agriculture and forestry 01T03</t>
        </is>
      </c>
      <c r="B7" t="inlineStr">
        <is>
          <t>01T03</t>
        </is>
      </c>
      <c r="C7" t="inlineStr">
        <is>
          <t>efficiency measure 6</t>
        </is>
      </c>
      <c r="D7" t="inlineStr">
        <is>
          <t>(empty slot)</t>
        </is>
      </c>
      <c r="E7" s="151" t="n">
        <v>0</v>
      </c>
      <c r="F7" s="151" t="n">
        <v>0</v>
      </c>
      <c r="G7" s="7" t="n">
        <v>0</v>
      </c>
      <c r="H7" s="7" t="n">
        <v>0</v>
      </c>
      <c r="I7" t="n">
        <v>20</v>
      </c>
    </row>
    <row r="8">
      <c r="A8" t="inlineStr">
        <is>
          <t>agriculture and forestry 01T03</t>
        </is>
      </c>
      <c r="B8" t="inlineStr">
        <is>
          <t>01T03</t>
        </is>
      </c>
      <c r="C8" t="inlineStr">
        <is>
          <t>efficiency measure 7</t>
        </is>
      </c>
      <c r="D8" t="inlineStr">
        <is>
          <t>(empty slot)</t>
        </is>
      </c>
      <c r="E8" s="151" t="n">
        <v>0</v>
      </c>
      <c r="F8" s="151" t="n">
        <v>0</v>
      </c>
      <c r="G8" s="7" t="n">
        <v>0</v>
      </c>
      <c r="H8" s="7" t="n">
        <v>0</v>
      </c>
      <c r="I8" t="n">
        <v>20</v>
      </c>
    </row>
    <row r="9">
      <c r="A9" t="inlineStr">
        <is>
          <t>agriculture and forestry 01T03</t>
        </is>
      </c>
      <c r="B9" t="inlineStr">
        <is>
          <t>01T03</t>
        </is>
      </c>
      <c r="C9" t="inlineStr">
        <is>
          <t>efficiency measure 8</t>
        </is>
      </c>
      <c r="D9" t="inlineStr">
        <is>
          <t>(empty slot)</t>
        </is>
      </c>
      <c r="E9" s="151" t="n">
        <v>0</v>
      </c>
      <c r="F9" s="151" t="n">
        <v>0</v>
      </c>
      <c r="G9" s="7" t="n">
        <v>0</v>
      </c>
      <c r="H9" s="7" t="n">
        <v>0</v>
      </c>
      <c r="I9" t="n">
        <v>20</v>
      </c>
    </row>
    <row r="10">
      <c r="A10" t="inlineStr">
        <is>
          <t>agriculture and forestry 01T03</t>
        </is>
      </c>
      <c r="B10" t="inlineStr">
        <is>
          <t>01T03</t>
        </is>
      </c>
      <c r="C10" t="inlineStr">
        <is>
          <t>efficiency measure 9</t>
        </is>
      </c>
      <c r="D10" t="inlineStr">
        <is>
          <t>(empty slot)</t>
        </is>
      </c>
      <c r="E10" s="151" t="n">
        <v>0</v>
      </c>
      <c r="F10" s="151" t="n">
        <v>0</v>
      </c>
      <c r="G10" s="7" t="n">
        <v>0</v>
      </c>
      <c r="H10" s="7" t="n">
        <v>0</v>
      </c>
      <c r="I10" t="n">
        <v>20</v>
      </c>
    </row>
    <row r="11">
      <c r="A11" t="inlineStr">
        <is>
          <t>agriculture and forestry 01T03</t>
        </is>
      </c>
      <c r="B11" t="inlineStr">
        <is>
          <t>01T03</t>
        </is>
      </c>
      <c r="C11" t="inlineStr">
        <is>
          <t>efficiency measure 10</t>
        </is>
      </c>
      <c r="D11" t="inlineStr">
        <is>
          <t>(empty slot)</t>
        </is>
      </c>
      <c r="E11" s="151" t="n">
        <v>0</v>
      </c>
      <c r="F11" s="151" t="n">
        <v>0</v>
      </c>
      <c r="G11" s="7" t="n">
        <v>0</v>
      </c>
      <c r="H11" s="7" t="n">
        <v>0</v>
      </c>
      <c r="I11" t="n">
        <v>20</v>
      </c>
    </row>
    <row r="12">
      <c r="A12" t="inlineStr">
        <is>
          <t>agriculture and forestry 01T03</t>
        </is>
      </c>
      <c r="B12" t="inlineStr">
        <is>
          <t>01T03</t>
        </is>
      </c>
      <c r="C12" t="inlineStr">
        <is>
          <t>efficiency measure 11</t>
        </is>
      </c>
      <c r="D12" t="inlineStr">
        <is>
          <t>(empty slot)</t>
        </is>
      </c>
      <c r="E12" s="151" t="n">
        <v>0</v>
      </c>
      <c r="F12" s="151" t="n">
        <v>0</v>
      </c>
      <c r="G12" s="7" t="n">
        <v>0</v>
      </c>
      <c r="H12" s="7" t="n">
        <v>0</v>
      </c>
      <c r="I12" t="n">
        <v>20</v>
      </c>
    </row>
    <row r="13">
      <c r="A13" t="inlineStr">
        <is>
          <t>agriculture and forestry 01T03</t>
        </is>
      </c>
      <c r="B13" t="inlineStr">
        <is>
          <t>01T03</t>
        </is>
      </c>
      <c r="C13" t="inlineStr">
        <is>
          <t>efficiency measure 12</t>
        </is>
      </c>
      <c r="D13" t="inlineStr">
        <is>
          <t>(empty slot)</t>
        </is>
      </c>
      <c r="E13" s="151" t="n">
        <v>0</v>
      </c>
      <c r="F13" s="151" t="n">
        <v>0</v>
      </c>
      <c r="G13" s="7" t="n">
        <v>0</v>
      </c>
      <c r="H13" s="7" t="n">
        <v>0</v>
      </c>
      <c r="I13" t="n">
        <v>20</v>
      </c>
    </row>
    <row r="14">
      <c r="A14" t="inlineStr">
        <is>
          <t>agriculture and forestry 01T03</t>
        </is>
      </c>
      <c r="B14" t="inlineStr">
        <is>
          <t>01T03</t>
        </is>
      </c>
      <c r="C14" t="inlineStr">
        <is>
          <t>efficiency measure 13</t>
        </is>
      </c>
      <c r="D14" t="inlineStr">
        <is>
          <t>(empty slot)</t>
        </is>
      </c>
      <c r="E14" s="151" t="n">
        <v>0</v>
      </c>
      <c r="F14" s="151" t="n">
        <v>0</v>
      </c>
      <c r="G14" s="7" t="n">
        <v>0</v>
      </c>
      <c r="H14" s="7" t="n">
        <v>0</v>
      </c>
      <c r="I14" t="n">
        <v>20</v>
      </c>
    </row>
    <row r="15">
      <c r="A15" t="inlineStr">
        <is>
          <t>agriculture and forestry 01T03</t>
        </is>
      </c>
      <c r="B15" t="inlineStr">
        <is>
          <t>01T03</t>
        </is>
      </c>
      <c r="C15" t="inlineStr">
        <is>
          <t>efficiency measure 14</t>
        </is>
      </c>
      <c r="D15" t="inlineStr">
        <is>
          <t>(empty slot)</t>
        </is>
      </c>
      <c r="E15" s="151" t="n">
        <v>0</v>
      </c>
      <c r="F15" s="151" t="n">
        <v>0</v>
      </c>
      <c r="G15" s="7" t="n">
        <v>0</v>
      </c>
      <c r="H15" s="7" t="n">
        <v>0</v>
      </c>
      <c r="I15" t="n">
        <v>20</v>
      </c>
    </row>
    <row r="16">
      <c r="A16" t="inlineStr">
        <is>
          <t>agriculture and forestry 01T03</t>
        </is>
      </c>
      <c r="B16" t="inlineStr">
        <is>
          <t>01T03</t>
        </is>
      </c>
      <c r="C16" t="inlineStr">
        <is>
          <t>efficiency measure 15</t>
        </is>
      </c>
      <c r="D16" t="inlineStr">
        <is>
          <t>(empty slot)</t>
        </is>
      </c>
      <c r="E16" s="151" t="n">
        <v>0</v>
      </c>
      <c r="F16" s="151" t="n">
        <v>0</v>
      </c>
      <c r="G16" s="7" t="n">
        <v>0</v>
      </c>
      <c r="H16" s="7" t="n">
        <v>0</v>
      </c>
      <c r="I16" t="n">
        <v>20</v>
      </c>
    </row>
    <row r="17">
      <c r="A17" t="inlineStr">
        <is>
          <t>agriculture and forestry 01T03</t>
        </is>
      </c>
      <c r="B17" t="inlineStr">
        <is>
          <t>01T03</t>
        </is>
      </c>
      <c r="C17" t="inlineStr">
        <is>
          <t>efficiency measure 16</t>
        </is>
      </c>
      <c r="D17" t="inlineStr">
        <is>
          <t>(empty slot)</t>
        </is>
      </c>
      <c r="E17" s="151" t="n">
        <v>0</v>
      </c>
      <c r="F17" s="151" t="n">
        <v>0</v>
      </c>
      <c r="G17" s="7" t="n">
        <v>0</v>
      </c>
      <c r="H17" s="7" t="n">
        <v>0</v>
      </c>
      <c r="I17" t="n">
        <v>20</v>
      </c>
    </row>
    <row r="18">
      <c r="A18" t="inlineStr">
        <is>
          <t>agriculture and forestry 01T03</t>
        </is>
      </c>
      <c r="B18" t="inlineStr">
        <is>
          <t>01T03</t>
        </is>
      </c>
      <c r="C18" t="inlineStr">
        <is>
          <t>efficiency measure 17</t>
        </is>
      </c>
      <c r="D18" t="inlineStr">
        <is>
          <t>(empty slot)</t>
        </is>
      </c>
      <c r="E18" s="151" t="n">
        <v>0</v>
      </c>
      <c r="F18" s="151" t="n">
        <v>0</v>
      </c>
      <c r="G18" s="7" t="n">
        <v>0</v>
      </c>
      <c r="H18" s="7" t="n">
        <v>0</v>
      </c>
      <c r="I18" t="n">
        <v>20</v>
      </c>
    </row>
    <row r="19">
      <c r="A19" t="inlineStr">
        <is>
          <t>coal mining 05</t>
        </is>
      </c>
      <c r="B19" t="n">
        <v>5</v>
      </c>
      <c r="C19" t="inlineStr">
        <is>
          <t>efficiency measure 1</t>
        </is>
      </c>
      <c r="D19" t="inlineStr">
        <is>
          <t>(empty slot)</t>
        </is>
      </c>
      <c r="E19" s="151" t="n">
        <v>0</v>
      </c>
      <c r="F19" s="151" t="n">
        <v>0</v>
      </c>
      <c r="G19" s="7" t="n">
        <v>0</v>
      </c>
      <c r="H19" s="7" t="n">
        <v>0</v>
      </c>
      <c r="I19" t="n">
        <v>20</v>
      </c>
    </row>
    <row r="20">
      <c r="A20" t="inlineStr">
        <is>
          <t>coal mining 05</t>
        </is>
      </c>
      <c r="B20" t="n">
        <v>5</v>
      </c>
      <c r="C20" t="inlineStr">
        <is>
          <t>efficiency measure 2</t>
        </is>
      </c>
      <c r="D20" t="inlineStr">
        <is>
          <t>(empty slot)</t>
        </is>
      </c>
      <c r="E20" s="151" t="n">
        <v>0</v>
      </c>
      <c r="F20" s="151" t="n">
        <v>0</v>
      </c>
      <c r="G20" s="7" t="n">
        <v>0</v>
      </c>
      <c r="H20" s="7" t="n">
        <v>0</v>
      </c>
      <c r="I20" t="n">
        <v>20</v>
      </c>
    </row>
    <row r="21">
      <c r="A21" t="inlineStr">
        <is>
          <t>coal mining 05</t>
        </is>
      </c>
      <c r="B21" t="n">
        <v>5</v>
      </c>
      <c r="C21" t="inlineStr">
        <is>
          <t>efficiency measure 3</t>
        </is>
      </c>
      <c r="D21" t="inlineStr">
        <is>
          <t>(empty slot)</t>
        </is>
      </c>
      <c r="E21" s="151" t="n">
        <v>0</v>
      </c>
      <c r="F21" s="151" t="n">
        <v>0</v>
      </c>
      <c r="G21" s="7" t="n">
        <v>0</v>
      </c>
      <c r="H21" s="7" t="n">
        <v>0</v>
      </c>
      <c r="I21" t="n">
        <v>20</v>
      </c>
    </row>
    <row r="22">
      <c r="A22" t="inlineStr">
        <is>
          <t>coal mining 05</t>
        </is>
      </c>
      <c r="B22" t="n">
        <v>5</v>
      </c>
      <c r="C22" t="inlineStr">
        <is>
          <t>efficiency measure 4</t>
        </is>
      </c>
      <c r="D22" t="inlineStr">
        <is>
          <t>(empty slot)</t>
        </is>
      </c>
      <c r="E22" s="151" t="n">
        <v>0</v>
      </c>
      <c r="F22" s="151" t="n">
        <v>0</v>
      </c>
      <c r="G22" s="7" t="n">
        <v>0</v>
      </c>
      <c r="H22" s="7" t="n">
        <v>0</v>
      </c>
      <c r="I22" t="n">
        <v>20</v>
      </c>
    </row>
    <row r="23">
      <c r="A23" t="inlineStr">
        <is>
          <t>coal mining 05</t>
        </is>
      </c>
      <c r="B23" t="n">
        <v>5</v>
      </c>
      <c r="C23" t="inlineStr">
        <is>
          <t>efficiency measure 5</t>
        </is>
      </c>
      <c r="D23" t="inlineStr">
        <is>
          <t>(empty slot)</t>
        </is>
      </c>
      <c r="E23" s="151" t="n">
        <v>0</v>
      </c>
      <c r="F23" s="151" t="n">
        <v>0</v>
      </c>
      <c r="G23" s="7" t="n">
        <v>0</v>
      </c>
      <c r="H23" s="7" t="n">
        <v>0</v>
      </c>
      <c r="I23" t="n">
        <v>20</v>
      </c>
    </row>
    <row r="24">
      <c r="A24" t="inlineStr">
        <is>
          <t>coal mining 05</t>
        </is>
      </c>
      <c r="B24" t="n">
        <v>5</v>
      </c>
      <c r="C24" t="inlineStr">
        <is>
          <t>efficiency measure 6</t>
        </is>
      </c>
      <c r="D24" t="inlineStr">
        <is>
          <t>(empty slot)</t>
        </is>
      </c>
      <c r="E24" s="151" t="n">
        <v>0</v>
      </c>
      <c r="F24" s="151" t="n">
        <v>0</v>
      </c>
      <c r="G24" s="7" t="n">
        <v>0</v>
      </c>
      <c r="H24" s="7" t="n">
        <v>0</v>
      </c>
      <c r="I24" t="n">
        <v>20</v>
      </c>
    </row>
    <row r="25">
      <c r="A25" t="inlineStr">
        <is>
          <t>coal mining 05</t>
        </is>
      </c>
      <c r="B25" t="n">
        <v>5</v>
      </c>
      <c r="C25" t="inlineStr">
        <is>
          <t>efficiency measure 7</t>
        </is>
      </c>
      <c r="D25" t="inlineStr">
        <is>
          <t>(empty slot)</t>
        </is>
      </c>
      <c r="E25" s="151" t="n">
        <v>0</v>
      </c>
      <c r="F25" s="151" t="n">
        <v>0</v>
      </c>
      <c r="G25" s="7" t="n">
        <v>0</v>
      </c>
      <c r="H25" s="7" t="n">
        <v>0</v>
      </c>
      <c r="I25" t="n">
        <v>20</v>
      </c>
    </row>
    <row r="26">
      <c r="A26" t="inlineStr">
        <is>
          <t>coal mining 05</t>
        </is>
      </c>
      <c r="B26" t="n">
        <v>5</v>
      </c>
      <c r="C26" t="inlineStr">
        <is>
          <t>efficiency measure 8</t>
        </is>
      </c>
      <c r="D26" t="inlineStr">
        <is>
          <t>(empty slot)</t>
        </is>
      </c>
      <c r="E26" s="151" t="n">
        <v>0</v>
      </c>
      <c r="F26" s="151" t="n">
        <v>0</v>
      </c>
      <c r="G26" s="7" t="n">
        <v>0</v>
      </c>
      <c r="H26" s="7" t="n">
        <v>0</v>
      </c>
      <c r="I26" t="n">
        <v>20</v>
      </c>
    </row>
    <row r="27">
      <c r="A27" t="inlineStr">
        <is>
          <t>coal mining 05</t>
        </is>
      </c>
      <c r="B27" t="n">
        <v>5</v>
      </c>
      <c r="C27" t="inlineStr">
        <is>
          <t>efficiency measure 9</t>
        </is>
      </c>
      <c r="D27" t="inlineStr">
        <is>
          <t>(empty slot)</t>
        </is>
      </c>
      <c r="E27" s="151" t="n">
        <v>0</v>
      </c>
      <c r="F27" s="151" t="n">
        <v>0</v>
      </c>
      <c r="G27" s="7" t="n">
        <v>0</v>
      </c>
      <c r="H27" s="7" t="n">
        <v>0</v>
      </c>
      <c r="I27" t="n">
        <v>20</v>
      </c>
    </row>
    <row r="28">
      <c r="A28" t="inlineStr">
        <is>
          <t>coal mining 05</t>
        </is>
      </c>
      <c r="B28" t="n">
        <v>5</v>
      </c>
      <c r="C28" t="inlineStr">
        <is>
          <t>efficiency measure 10</t>
        </is>
      </c>
      <c r="D28" t="inlineStr">
        <is>
          <t>(empty slot)</t>
        </is>
      </c>
      <c r="E28" s="151" t="n">
        <v>0</v>
      </c>
      <c r="F28" s="151" t="n">
        <v>0</v>
      </c>
      <c r="G28" s="7" t="n">
        <v>0</v>
      </c>
      <c r="H28" s="7" t="n">
        <v>0</v>
      </c>
      <c r="I28" t="n">
        <v>20</v>
      </c>
    </row>
    <row r="29">
      <c r="A29" t="inlineStr">
        <is>
          <t>coal mining 05</t>
        </is>
      </c>
      <c r="B29" t="n">
        <v>5</v>
      </c>
      <c r="C29" t="inlineStr">
        <is>
          <t>efficiency measure 11</t>
        </is>
      </c>
      <c r="D29" t="inlineStr">
        <is>
          <t>(empty slot)</t>
        </is>
      </c>
      <c r="E29" s="151" t="n">
        <v>0</v>
      </c>
      <c r="F29" s="151" t="n">
        <v>0</v>
      </c>
      <c r="G29" s="7" t="n">
        <v>0</v>
      </c>
      <c r="H29" s="7" t="n">
        <v>0</v>
      </c>
      <c r="I29" t="n">
        <v>20</v>
      </c>
    </row>
    <row r="30">
      <c r="A30" t="inlineStr">
        <is>
          <t>coal mining 05</t>
        </is>
      </c>
      <c r="B30" t="n">
        <v>5</v>
      </c>
      <c r="C30" t="inlineStr">
        <is>
          <t>efficiency measure 12</t>
        </is>
      </c>
      <c r="D30" t="inlineStr">
        <is>
          <t>(empty slot)</t>
        </is>
      </c>
      <c r="E30" s="151" t="n">
        <v>0</v>
      </c>
      <c r="F30" s="151" t="n">
        <v>0</v>
      </c>
      <c r="G30" s="7" t="n">
        <v>0</v>
      </c>
      <c r="H30" s="7" t="n">
        <v>0</v>
      </c>
      <c r="I30" t="n">
        <v>20</v>
      </c>
    </row>
    <row r="31">
      <c r="A31" t="inlineStr">
        <is>
          <t>coal mining 05</t>
        </is>
      </c>
      <c r="B31" t="n">
        <v>5</v>
      </c>
      <c r="C31" t="inlineStr">
        <is>
          <t>efficiency measure 13</t>
        </is>
      </c>
      <c r="D31" t="inlineStr">
        <is>
          <t>(empty slot)</t>
        </is>
      </c>
      <c r="E31" s="151" t="n">
        <v>0</v>
      </c>
      <c r="F31" s="151" t="n">
        <v>0</v>
      </c>
      <c r="G31" s="7" t="n">
        <v>0</v>
      </c>
      <c r="H31" s="7" t="n">
        <v>0</v>
      </c>
      <c r="I31" t="n">
        <v>20</v>
      </c>
    </row>
    <row r="32">
      <c r="A32" t="inlineStr">
        <is>
          <t>coal mining 05</t>
        </is>
      </c>
      <c r="B32" t="n">
        <v>5</v>
      </c>
      <c r="C32" t="inlineStr">
        <is>
          <t>efficiency measure 14</t>
        </is>
      </c>
      <c r="D32" t="inlineStr">
        <is>
          <t>(empty slot)</t>
        </is>
      </c>
      <c r="E32" s="151" t="n">
        <v>0</v>
      </c>
      <c r="F32" s="151" t="n">
        <v>0</v>
      </c>
      <c r="G32" s="7" t="n">
        <v>0</v>
      </c>
      <c r="H32" s="7" t="n">
        <v>0</v>
      </c>
      <c r="I32" t="n">
        <v>20</v>
      </c>
    </row>
    <row r="33">
      <c r="A33" t="inlineStr">
        <is>
          <t>coal mining 05</t>
        </is>
      </c>
      <c r="B33" t="n">
        <v>5</v>
      </c>
      <c r="C33" t="inlineStr">
        <is>
          <t>efficiency measure 15</t>
        </is>
      </c>
      <c r="D33" t="inlineStr">
        <is>
          <t>(empty slot)</t>
        </is>
      </c>
      <c r="E33" s="151" t="n">
        <v>0</v>
      </c>
      <c r="F33" s="151" t="n">
        <v>0</v>
      </c>
      <c r="G33" s="7" t="n">
        <v>0</v>
      </c>
      <c r="H33" s="7" t="n">
        <v>0</v>
      </c>
      <c r="I33" t="n">
        <v>20</v>
      </c>
    </row>
    <row r="34">
      <c r="A34" t="inlineStr">
        <is>
          <t>coal mining 05</t>
        </is>
      </c>
      <c r="B34" t="n">
        <v>5</v>
      </c>
      <c r="C34" t="inlineStr">
        <is>
          <t>efficiency measure 16</t>
        </is>
      </c>
      <c r="D34" t="inlineStr">
        <is>
          <t>(empty slot)</t>
        </is>
      </c>
      <c r="E34" s="151" t="n">
        <v>0</v>
      </c>
      <c r="F34" s="151" t="n">
        <v>0</v>
      </c>
      <c r="G34" s="7" t="n">
        <v>0</v>
      </c>
      <c r="H34" s="7" t="n">
        <v>0</v>
      </c>
      <c r="I34" t="n">
        <v>20</v>
      </c>
    </row>
    <row r="35">
      <c r="A35" t="inlineStr">
        <is>
          <t>coal mining 05</t>
        </is>
      </c>
      <c r="B35" t="n">
        <v>5</v>
      </c>
      <c r="C35" t="inlineStr">
        <is>
          <t>efficiency measure 17</t>
        </is>
      </c>
      <c r="D35" t="inlineStr">
        <is>
          <t>(empty slot)</t>
        </is>
      </c>
      <c r="E35" s="151" t="n">
        <v>0</v>
      </c>
      <c r="F35" s="151" t="n">
        <v>0</v>
      </c>
      <c r="G35" s="7" t="n">
        <v>0</v>
      </c>
      <c r="H35" s="7" t="n">
        <v>0</v>
      </c>
      <c r="I35" t="n">
        <v>20</v>
      </c>
    </row>
    <row r="36">
      <c r="A36" t="inlineStr">
        <is>
          <t>oil and gas extraction 06</t>
        </is>
      </c>
      <c r="B36" t="n">
        <v>6</v>
      </c>
      <c r="C36" t="inlineStr">
        <is>
          <t>efficiency measure 1</t>
        </is>
      </c>
      <c r="D36" t="inlineStr">
        <is>
          <t>(empty slot)</t>
        </is>
      </c>
      <c r="E36" s="151" t="n">
        <v>0</v>
      </c>
      <c r="F36" s="151" t="n">
        <v>0</v>
      </c>
      <c r="G36" s="7" t="n">
        <v>0</v>
      </c>
      <c r="H36" s="7" t="n">
        <v>0</v>
      </c>
      <c r="I36" t="n">
        <v>20</v>
      </c>
    </row>
    <row r="37">
      <c r="A37" t="inlineStr">
        <is>
          <t>oil and gas extraction 06</t>
        </is>
      </c>
      <c r="B37" t="n">
        <v>6</v>
      </c>
      <c r="C37" t="inlineStr">
        <is>
          <t>efficiency measure 2</t>
        </is>
      </c>
      <c r="D37" t="inlineStr">
        <is>
          <t>(empty slot)</t>
        </is>
      </c>
      <c r="E37" s="151" t="n">
        <v>0</v>
      </c>
      <c r="F37" s="151" t="n">
        <v>0</v>
      </c>
      <c r="G37" s="7" t="n">
        <v>0</v>
      </c>
      <c r="H37" s="7" t="n">
        <v>0</v>
      </c>
      <c r="I37" t="n">
        <v>20</v>
      </c>
    </row>
    <row r="38">
      <c r="A38" t="inlineStr">
        <is>
          <t>oil and gas extraction 06</t>
        </is>
      </c>
      <c r="B38" t="n">
        <v>6</v>
      </c>
      <c r="C38" t="inlineStr">
        <is>
          <t>efficiency measure 3</t>
        </is>
      </c>
      <c r="D38" t="inlineStr">
        <is>
          <t>(empty slot)</t>
        </is>
      </c>
      <c r="E38" s="151" t="n">
        <v>0</v>
      </c>
      <c r="F38" s="151" t="n">
        <v>0</v>
      </c>
      <c r="G38" s="7" t="n">
        <v>0</v>
      </c>
      <c r="H38" s="7" t="n">
        <v>0</v>
      </c>
      <c r="I38" t="n">
        <v>20</v>
      </c>
    </row>
    <row r="39">
      <c r="A39" t="inlineStr">
        <is>
          <t>oil and gas extraction 06</t>
        </is>
      </c>
      <c r="B39" t="n">
        <v>6</v>
      </c>
      <c r="C39" t="inlineStr">
        <is>
          <t>efficiency measure 4</t>
        </is>
      </c>
      <c r="D39" t="inlineStr">
        <is>
          <t>(empty slot)</t>
        </is>
      </c>
      <c r="E39" s="151" t="n">
        <v>0</v>
      </c>
      <c r="F39" s="151" t="n">
        <v>0</v>
      </c>
      <c r="G39" s="7" t="n">
        <v>0</v>
      </c>
      <c r="H39" s="7" t="n">
        <v>0</v>
      </c>
      <c r="I39" t="n">
        <v>20</v>
      </c>
    </row>
    <row r="40">
      <c r="A40" t="inlineStr">
        <is>
          <t>oil and gas extraction 06</t>
        </is>
      </c>
      <c r="B40" t="n">
        <v>6</v>
      </c>
      <c r="C40" t="inlineStr">
        <is>
          <t>efficiency measure 5</t>
        </is>
      </c>
      <c r="D40" t="inlineStr">
        <is>
          <t>(empty slot)</t>
        </is>
      </c>
      <c r="E40" s="151" t="n">
        <v>0</v>
      </c>
      <c r="F40" s="151" t="n">
        <v>0</v>
      </c>
      <c r="G40" s="7" t="n">
        <v>0</v>
      </c>
      <c r="H40" s="7" t="n">
        <v>0</v>
      </c>
      <c r="I40" t="n">
        <v>20</v>
      </c>
    </row>
    <row r="41">
      <c r="A41" t="inlineStr">
        <is>
          <t>oil and gas extraction 06</t>
        </is>
      </c>
      <c r="B41" t="n">
        <v>6</v>
      </c>
      <c r="C41" t="inlineStr">
        <is>
          <t>efficiency measure 6</t>
        </is>
      </c>
      <c r="D41" t="inlineStr">
        <is>
          <t>(empty slot)</t>
        </is>
      </c>
      <c r="E41" s="151" t="n">
        <v>0</v>
      </c>
      <c r="F41" s="151" t="n">
        <v>0</v>
      </c>
      <c r="G41" s="7" t="n">
        <v>0</v>
      </c>
      <c r="H41" s="7" t="n">
        <v>0</v>
      </c>
      <c r="I41" t="n">
        <v>20</v>
      </c>
    </row>
    <row r="42">
      <c r="A42" t="inlineStr">
        <is>
          <t>oil and gas extraction 06</t>
        </is>
      </c>
      <c r="B42" t="n">
        <v>6</v>
      </c>
      <c r="C42" t="inlineStr">
        <is>
          <t>efficiency measure 7</t>
        </is>
      </c>
      <c r="D42" t="inlineStr">
        <is>
          <t>(empty slot)</t>
        </is>
      </c>
      <c r="E42" s="151" t="n">
        <v>0</v>
      </c>
      <c r="F42" s="151" t="n">
        <v>0</v>
      </c>
      <c r="G42" s="7" t="n">
        <v>0</v>
      </c>
      <c r="H42" s="7" t="n">
        <v>0</v>
      </c>
      <c r="I42" t="n">
        <v>20</v>
      </c>
    </row>
    <row r="43">
      <c r="A43" t="inlineStr">
        <is>
          <t>oil and gas extraction 06</t>
        </is>
      </c>
      <c r="B43" t="n">
        <v>6</v>
      </c>
      <c r="C43" t="inlineStr">
        <is>
          <t>efficiency measure 8</t>
        </is>
      </c>
      <c r="D43" t="inlineStr">
        <is>
          <t>(empty slot)</t>
        </is>
      </c>
      <c r="E43" s="151" t="n">
        <v>0</v>
      </c>
      <c r="F43" s="151" t="n">
        <v>0</v>
      </c>
      <c r="G43" s="7" t="n">
        <v>0</v>
      </c>
      <c r="H43" s="7" t="n">
        <v>0</v>
      </c>
      <c r="I43" t="n">
        <v>20</v>
      </c>
    </row>
    <row r="44">
      <c r="A44" t="inlineStr">
        <is>
          <t>oil and gas extraction 06</t>
        </is>
      </c>
      <c r="B44" t="n">
        <v>6</v>
      </c>
      <c r="C44" t="inlineStr">
        <is>
          <t>efficiency measure 9</t>
        </is>
      </c>
      <c r="D44" t="inlineStr">
        <is>
          <t>(empty slot)</t>
        </is>
      </c>
      <c r="E44" s="151" t="n">
        <v>0</v>
      </c>
      <c r="F44" s="151" t="n">
        <v>0</v>
      </c>
      <c r="G44" s="7" t="n">
        <v>0</v>
      </c>
      <c r="H44" s="7" t="n">
        <v>0</v>
      </c>
      <c r="I44" t="n">
        <v>20</v>
      </c>
    </row>
    <row r="45">
      <c r="A45" t="inlineStr">
        <is>
          <t>oil and gas extraction 06</t>
        </is>
      </c>
      <c r="B45" t="n">
        <v>6</v>
      </c>
      <c r="C45" t="inlineStr">
        <is>
          <t>efficiency measure 10</t>
        </is>
      </c>
      <c r="D45" t="inlineStr">
        <is>
          <t>(empty slot)</t>
        </is>
      </c>
      <c r="E45" s="151" t="n">
        <v>0</v>
      </c>
      <c r="F45" s="151" t="n">
        <v>0</v>
      </c>
      <c r="G45" s="7" t="n">
        <v>0</v>
      </c>
      <c r="H45" s="7" t="n">
        <v>0</v>
      </c>
      <c r="I45" t="n">
        <v>20</v>
      </c>
    </row>
    <row r="46">
      <c r="A46" t="inlineStr">
        <is>
          <t>oil and gas extraction 06</t>
        </is>
      </c>
      <c r="B46" t="n">
        <v>6</v>
      </c>
      <c r="C46" t="inlineStr">
        <is>
          <t>efficiency measure 11</t>
        </is>
      </c>
      <c r="D46" t="inlineStr">
        <is>
          <t>(empty slot)</t>
        </is>
      </c>
      <c r="E46" s="151" t="n">
        <v>0</v>
      </c>
      <c r="F46" s="151" t="n">
        <v>0</v>
      </c>
      <c r="G46" s="7" t="n">
        <v>0</v>
      </c>
      <c r="H46" s="7" t="n">
        <v>0</v>
      </c>
      <c r="I46" t="n">
        <v>20</v>
      </c>
    </row>
    <row r="47">
      <c r="A47" t="inlineStr">
        <is>
          <t>oil and gas extraction 06</t>
        </is>
      </c>
      <c r="B47" t="n">
        <v>6</v>
      </c>
      <c r="C47" t="inlineStr">
        <is>
          <t>efficiency measure 12</t>
        </is>
      </c>
      <c r="D47" t="inlineStr">
        <is>
          <t>(empty slot)</t>
        </is>
      </c>
      <c r="E47" s="151" t="n">
        <v>0</v>
      </c>
      <c r="F47" s="151" t="n">
        <v>0</v>
      </c>
      <c r="G47" s="7" t="n">
        <v>0</v>
      </c>
      <c r="H47" s="7" t="n">
        <v>0</v>
      </c>
      <c r="I47" t="n">
        <v>20</v>
      </c>
    </row>
    <row r="48">
      <c r="A48" t="inlineStr">
        <is>
          <t>oil and gas extraction 06</t>
        </is>
      </c>
      <c r="B48" t="n">
        <v>6</v>
      </c>
      <c r="C48" t="inlineStr">
        <is>
          <t>efficiency measure 13</t>
        </is>
      </c>
      <c r="D48" t="inlineStr">
        <is>
          <t>(empty slot)</t>
        </is>
      </c>
      <c r="E48" s="151" t="n">
        <v>0</v>
      </c>
      <c r="F48" s="151" t="n">
        <v>0</v>
      </c>
      <c r="G48" s="7" t="n">
        <v>0</v>
      </c>
      <c r="H48" s="7" t="n">
        <v>0</v>
      </c>
      <c r="I48" t="n">
        <v>20</v>
      </c>
    </row>
    <row r="49">
      <c r="A49" t="inlineStr">
        <is>
          <t>oil and gas extraction 06</t>
        </is>
      </c>
      <c r="B49" t="n">
        <v>6</v>
      </c>
      <c r="C49" t="inlineStr">
        <is>
          <t>efficiency measure 14</t>
        </is>
      </c>
      <c r="D49" t="inlineStr">
        <is>
          <t>(empty slot)</t>
        </is>
      </c>
      <c r="E49" s="151" t="n">
        <v>0</v>
      </c>
      <c r="F49" s="151" t="n">
        <v>0</v>
      </c>
      <c r="G49" s="7" t="n">
        <v>0</v>
      </c>
      <c r="H49" s="7" t="n">
        <v>0</v>
      </c>
      <c r="I49" t="n">
        <v>20</v>
      </c>
    </row>
    <row r="50">
      <c r="A50" t="inlineStr">
        <is>
          <t>oil and gas extraction 06</t>
        </is>
      </c>
      <c r="B50" t="n">
        <v>6</v>
      </c>
      <c r="C50" t="inlineStr">
        <is>
          <t>efficiency measure 15</t>
        </is>
      </c>
      <c r="D50" t="inlineStr">
        <is>
          <t>(empty slot)</t>
        </is>
      </c>
      <c r="E50" s="151" t="n">
        <v>0</v>
      </c>
      <c r="F50" s="151" t="n">
        <v>0</v>
      </c>
      <c r="G50" s="7" t="n">
        <v>0</v>
      </c>
      <c r="H50" s="7" t="n">
        <v>0</v>
      </c>
      <c r="I50" t="n">
        <v>20</v>
      </c>
    </row>
    <row r="51">
      <c r="A51" t="inlineStr">
        <is>
          <t>oil and gas extraction 06</t>
        </is>
      </c>
      <c r="B51" t="n">
        <v>6</v>
      </c>
      <c r="C51" t="inlineStr">
        <is>
          <t>efficiency measure 16</t>
        </is>
      </c>
      <c r="D51" t="inlineStr">
        <is>
          <t>(empty slot)</t>
        </is>
      </c>
      <c r="E51" s="151" t="n">
        <v>0</v>
      </c>
      <c r="F51" s="151" t="n">
        <v>0</v>
      </c>
      <c r="G51" s="7" t="n">
        <v>0</v>
      </c>
      <c r="H51" s="7" t="n">
        <v>0</v>
      </c>
      <c r="I51" t="n">
        <v>20</v>
      </c>
    </row>
    <row r="52">
      <c r="A52" t="inlineStr">
        <is>
          <t>oil and gas extraction 06</t>
        </is>
      </c>
      <c r="B52" t="n">
        <v>6</v>
      </c>
      <c r="C52" t="inlineStr">
        <is>
          <t>efficiency measure 17</t>
        </is>
      </c>
      <c r="D52" t="inlineStr">
        <is>
          <t>(empty slot)</t>
        </is>
      </c>
      <c r="E52" s="151" t="n">
        <v>0</v>
      </c>
      <c r="F52" s="151" t="n">
        <v>0</v>
      </c>
      <c r="G52" s="7" t="n">
        <v>0</v>
      </c>
      <c r="H52" s="7" t="n">
        <v>0</v>
      </c>
      <c r="I52" t="n">
        <v>20</v>
      </c>
    </row>
    <row r="53">
      <c r="A53" t="inlineStr">
        <is>
          <t>other mining and quarrying 07T08</t>
        </is>
      </c>
      <c r="B53" t="inlineStr">
        <is>
          <t>07T08</t>
        </is>
      </c>
      <c r="C53" t="inlineStr">
        <is>
          <t>efficiency measure 1</t>
        </is>
      </c>
      <c r="D53" t="inlineStr">
        <is>
          <t>(empty slot)</t>
        </is>
      </c>
      <c r="E53" s="151" t="n">
        <v>0</v>
      </c>
      <c r="F53" s="151" t="n">
        <v>0</v>
      </c>
      <c r="G53" s="7" t="n">
        <v>0</v>
      </c>
      <c r="H53" s="7" t="n">
        <v>0</v>
      </c>
      <c r="I53" t="n">
        <v>20</v>
      </c>
    </row>
    <row r="54">
      <c r="A54" t="inlineStr">
        <is>
          <t>other mining and quarrying 07T08</t>
        </is>
      </c>
      <c r="B54" t="inlineStr">
        <is>
          <t>07T08</t>
        </is>
      </c>
      <c r="C54" t="inlineStr">
        <is>
          <t>efficiency measure 2</t>
        </is>
      </c>
      <c r="D54" t="inlineStr">
        <is>
          <t>(empty slot)</t>
        </is>
      </c>
      <c r="E54" s="151" t="n">
        <v>0</v>
      </c>
      <c r="F54" s="151" t="n">
        <v>0</v>
      </c>
      <c r="G54" s="7" t="n">
        <v>0</v>
      </c>
      <c r="H54" s="7" t="n">
        <v>0</v>
      </c>
      <c r="I54" t="n">
        <v>20</v>
      </c>
    </row>
    <row r="55">
      <c r="A55" t="inlineStr">
        <is>
          <t>other mining and quarrying 07T08</t>
        </is>
      </c>
      <c r="B55" t="inlineStr">
        <is>
          <t>07T08</t>
        </is>
      </c>
      <c r="C55" t="inlineStr">
        <is>
          <t>efficiency measure 3</t>
        </is>
      </c>
      <c r="D55" t="inlineStr">
        <is>
          <t>(empty slot)</t>
        </is>
      </c>
      <c r="E55" s="151" t="n">
        <v>0</v>
      </c>
      <c r="F55" s="151" t="n">
        <v>0</v>
      </c>
      <c r="G55" s="7" t="n">
        <v>0</v>
      </c>
      <c r="H55" s="7" t="n">
        <v>0</v>
      </c>
      <c r="I55" t="n">
        <v>20</v>
      </c>
    </row>
    <row r="56">
      <c r="A56" t="inlineStr">
        <is>
          <t>other mining and quarrying 07T08</t>
        </is>
      </c>
      <c r="B56" t="inlineStr">
        <is>
          <t>07T08</t>
        </is>
      </c>
      <c r="C56" t="inlineStr">
        <is>
          <t>efficiency measure 4</t>
        </is>
      </c>
      <c r="D56" t="inlineStr">
        <is>
          <t>(empty slot)</t>
        </is>
      </c>
      <c r="E56" s="151" t="n">
        <v>0</v>
      </c>
      <c r="F56" s="151" t="n">
        <v>0</v>
      </c>
      <c r="G56" s="7" t="n">
        <v>0</v>
      </c>
      <c r="H56" s="7" t="n">
        <v>0</v>
      </c>
      <c r="I56" t="n">
        <v>20</v>
      </c>
    </row>
    <row r="57">
      <c r="A57" t="inlineStr">
        <is>
          <t>other mining and quarrying 07T08</t>
        </is>
      </c>
      <c r="B57" t="inlineStr">
        <is>
          <t>07T08</t>
        </is>
      </c>
      <c r="C57" t="inlineStr">
        <is>
          <t>efficiency measure 5</t>
        </is>
      </c>
      <c r="D57" t="inlineStr">
        <is>
          <t>(empty slot)</t>
        </is>
      </c>
      <c r="E57" s="151" t="n">
        <v>0</v>
      </c>
      <c r="F57" s="151" t="n">
        <v>0</v>
      </c>
      <c r="G57" s="7" t="n">
        <v>0</v>
      </c>
      <c r="H57" s="7" t="n">
        <v>0</v>
      </c>
      <c r="I57" t="n">
        <v>20</v>
      </c>
    </row>
    <row r="58">
      <c r="A58" t="inlineStr">
        <is>
          <t>other mining and quarrying 07T08</t>
        </is>
      </c>
      <c r="B58" t="inlineStr">
        <is>
          <t>07T08</t>
        </is>
      </c>
      <c r="C58" t="inlineStr">
        <is>
          <t>efficiency measure 6</t>
        </is>
      </c>
      <c r="D58" t="inlineStr">
        <is>
          <t>(empty slot)</t>
        </is>
      </c>
      <c r="E58" s="151" t="n">
        <v>0</v>
      </c>
      <c r="F58" s="151" t="n">
        <v>0</v>
      </c>
      <c r="G58" s="7" t="n">
        <v>0</v>
      </c>
      <c r="H58" s="7" t="n">
        <v>0</v>
      </c>
      <c r="I58" t="n">
        <v>20</v>
      </c>
    </row>
    <row r="59">
      <c r="A59" t="inlineStr">
        <is>
          <t>other mining and quarrying 07T08</t>
        </is>
      </c>
      <c r="B59" t="inlineStr">
        <is>
          <t>07T08</t>
        </is>
      </c>
      <c r="C59" t="inlineStr">
        <is>
          <t>efficiency measure 7</t>
        </is>
      </c>
      <c r="D59" t="inlineStr">
        <is>
          <t>(empty slot)</t>
        </is>
      </c>
      <c r="E59" s="151" t="n">
        <v>0</v>
      </c>
      <c r="F59" s="151" t="n">
        <v>0</v>
      </c>
      <c r="G59" s="7" t="n">
        <v>0</v>
      </c>
      <c r="H59" s="7" t="n">
        <v>0</v>
      </c>
      <c r="I59" t="n">
        <v>20</v>
      </c>
    </row>
    <row r="60">
      <c r="A60" t="inlineStr">
        <is>
          <t>other mining and quarrying 07T08</t>
        </is>
      </c>
      <c r="B60" t="inlineStr">
        <is>
          <t>07T08</t>
        </is>
      </c>
      <c r="C60" t="inlineStr">
        <is>
          <t>efficiency measure 8</t>
        </is>
      </c>
      <c r="D60" t="inlineStr">
        <is>
          <t>(empty slot)</t>
        </is>
      </c>
      <c r="E60" s="151" t="n">
        <v>0</v>
      </c>
      <c r="F60" s="151" t="n">
        <v>0</v>
      </c>
      <c r="G60" s="7" t="n">
        <v>0</v>
      </c>
      <c r="H60" s="7" t="n">
        <v>0</v>
      </c>
      <c r="I60" t="n">
        <v>20</v>
      </c>
    </row>
    <row r="61">
      <c r="A61" t="inlineStr">
        <is>
          <t>other mining and quarrying 07T08</t>
        </is>
      </c>
      <c r="B61" t="inlineStr">
        <is>
          <t>07T08</t>
        </is>
      </c>
      <c r="C61" t="inlineStr">
        <is>
          <t>efficiency measure 9</t>
        </is>
      </c>
      <c r="D61" t="inlineStr">
        <is>
          <t>(empty slot)</t>
        </is>
      </c>
      <c r="E61" s="151" t="n">
        <v>0</v>
      </c>
      <c r="F61" s="151" t="n">
        <v>0</v>
      </c>
      <c r="G61" s="7" t="n">
        <v>0</v>
      </c>
      <c r="H61" s="7" t="n">
        <v>0</v>
      </c>
      <c r="I61" t="n">
        <v>20</v>
      </c>
    </row>
    <row r="62">
      <c r="A62" t="inlineStr">
        <is>
          <t>other mining and quarrying 07T08</t>
        </is>
      </c>
      <c r="B62" t="inlineStr">
        <is>
          <t>07T08</t>
        </is>
      </c>
      <c r="C62" t="inlineStr">
        <is>
          <t>efficiency measure 10</t>
        </is>
      </c>
      <c r="D62" t="inlineStr">
        <is>
          <t>(empty slot)</t>
        </is>
      </c>
      <c r="E62" s="151" t="n">
        <v>0</v>
      </c>
      <c r="F62" s="151" t="n">
        <v>0</v>
      </c>
      <c r="G62" s="7" t="n">
        <v>0</v>
      </c>
      <c r="H62" s="7" t="n">
        <v>0</v>
      </c>
      <c r="I62" t="n">
        <v>20</v>
      </c>
    </row>
    <row r="63">
      <c r="A63" t="inlineStr">
        <is>
          <t>other mining and quarrying 07T08</t>
        </is>
      </c>
      <c r="B63" t="inlineStr">
        <is>
          <t>07T08</t>
        </is>
      </c>
      <c r="C63" t="inlineStr">
        <is>
          <t>efficiency measure 11</t>
        </is>
      </c>
      <c r="D63" t="inlineStr">
        <is>
          <t>(empty slot)</t>
        </is>
      </c>
      <c r="E63" s="151" t="n">
        <v>0</v>
      </c>
      <c r="F63" s="151" t="n">
        <v>0</v>
      </c>
      <c r="G63" s="7" t="n">
        <v>0</v>
      </c>
      <c r="H63" s="7" t="n">
        <v>0</v>
      </c>
      <c r="I63" t="n">
        <v>20</v>
      </c>
    </row>
    <row r="64">
      <c r="A64" t="inlineStr">
        <is>
          <t>other mining and quarrying 07T08</t>
        </is>
      </c>
      <c r="B64" t="inlineStr">
        <is>
          <t>07T08</t>
        </is>
      </c>
      <c r="C64" t="inlineStr">
        <is>
          <t>efficiency measure 12</t>
        </is>
      </c>
      <c r="D64" t="inlineStr">
        <is>
          <t>(empty slot)</t>
        </is>
      </c>
      <c r="E64" s="151" t="n">
        <v>0</v>
      </c>
      <c r="F64" s="151" t="n">
        <v>0</v>
      </c>
      <c r="G64" s="7" t="n">
        <v>0</v>
      </c>
      <c r="H64" s="7" t="n">
        <v>0</v>
      </c>
      <c r="I64" t="n">
        <v>20</v>
      </c>
    </row>
    <row r="65">
      <c r="A65" t="inlineStr">
        <is>
          <t>other mining and quarrying 07T08</t>
        </is>
      </c>
      <c r="B65" t="inlineStr">
        <is>
          <t>07T08</t>
        </is>
      </c>
      <c r="C65" t="inlineStr">
        <is>
          <t>efficiency measure 13</t>
        </is>
      </c>
      <c r="D65" t="inlineStr">
        <is>
          <t>(empty slot)</t>
        </is>
      </c>
      <c r="E65" s="151" t="n">
        <v>0</v>
      </c>
      <c r="F65" s="151" t="n">
        <v>0</v>
      </c>
      <c r="G65" s="7" t="n">
        <v>0</v>
      </c>
      <c r="H65" s="7" t="n">
        <v>0</v>
      </c>
      <c r="I65" t="n">
        <v>20</v>
      </c>
    </row>
    <row r="66">
      <c r="A66" t="inlineStr">
        <is>
          <t>other mining and quarrying 07T08</t>
        </is>
      </c>
      <c r="B66" t="inlineStr">
        <is>
          <t>07T08</t>
        </is>
      </c>
      <c r="C66" t="inlineStr">
        <is>
          <t>efficiency measure 14</t>
        </is>
      </c>
      <c r="D66" t="inlineStr">
        <is>
          <t>(empty slot)</t>
        </is>
      </c>
      <c r="E66" s="151" t="n">
        <v>0</v>
      </c>
      <c r="F66" s="151" t="n">
        <v>0</v>
      </c>
      <c r="G66" s="7" t="n">
        <v>0</v>
      </c>
      <c r="H66" s="7" t="n">
        <v>0</v>
      </c>
      <c r="I66" t="n">
        <v>20</v>
      </c>
    </row>
    <row r="67">
      <c r="A67" t="inlineStr">
        <is>
          <t>other mining and quarrying 07T08</t>
        </is>
      </c>
      <c r="B67" t="inlineStr">
        <is>
          <t>07T08</t>
        </is>
      </c>
      <c r="C67" t="inlineStr">
        <is>
          <t>efficiency measure 15</t>
        </is>
      </c>
      <c r="D67" t="inlineStr">
        <is>
          <t>(empty slot)</t>
        </is>
      </c>
      <c r="E67" s="151" t="n">
        <v>0</v>
      </c>
      <c r="F67" s="151" t="n">
        <v>0</v>
      </c>
      <c r="G67" s="7" t="n">
        <v>0</v>
      </c>
      <c r="H67" s="7" t="n">
        <v>0</v>
      </c>
      <c r="I67" t="n">
        <v>20</v>
      </c>
    </row>
    <row r="68">
      <c r="A68" t="inlineStr">
        <is>
          <t>other mining and quarrying 07T08</t>
        </is>
      </c>
      <c r="B68" t="inlineStr">
        <is>
          <t>07T08</t>
        </is>
      </c>
      <c r="C68" t="inlineStr">
        <is>
          <t>efficiency measure 16</t>
        </is>
      </c>
      <c r="D68" t="inlineStr">
        <is>
          <t>(empty slot)</t>
        </is>
      </c>
      <c r="E68" s="151" t="n">
        <v>0</v>
      </c>
      <c r="F68" s="151" t="n">
        <v>0</v>
      </c>
      <c r="G68" s="7" t="n">
        <v>0</v>
      </c>
      <c r="H68" s="7" t="n">
        <v>0</v>
      </c>
      <c r="I68" t="n">
        <v>20</v>
      </c>
    </row>
    <row r="69">
      <c r="A69" t="inlineStr">
        <is>
          <t>other mining and quarrying 07T08</t>
        </is>
      </c>
      <c r="B69" t="inlineStr">
        <is>
          <t>07T08</t>
        </is>
      </c>
      <c r="C69" t="inlineStr">
        <is>
          <t>efficiency measure 17</t>
        </is>
      </c>
      <c r="D69" t="inlineStr">
        <is>
          <t>(empty slot)</t>
        </is>
      </c>
      <c r="E69" s="151" t="n">
        <v>0</v>
      </c>
      <c r="F69" s="151" t="n">
        <v>0</v>
      </c>
      <c r="G69" s="7" t="n">
        <v>0</v>
      </c>
      <c r="H69" s="7" t="n">
        <v>0</v>
      </c>
      <c r="I69" t="n">
        <v>20</v>
      </c>
    </row>
    <row r="70">
      <c r="A70" t="inlineStr">
        <is>
          <t>food beverage and tobacco 10T12</t>
        </is>
      </c>
      <c r="B70" t="inlineStr">
        <is>
          <t>10T12</t>
        </is>
      </c>
      <c r="C70" t="inlineStr">
        <is>
          <t>efficiency measure 1</t>
        </is>
      </c>
      <c r="D70" t="inlineStr">
        <is>
          <t>(empty slot)</t>
        </is>
      </c>
      <c r="E70" s="151" t="n">
        <v>0</v>
      </c>
      <c r="F70" s="151" t="n">
        <v>0</v>
      </c>
      <c r="G70" s="7" t="n">
        <v>0</v>
      </c>
      <c r="H70" s="7" t="n">
        <v>0</v>
      </c>
      <c r="I70" t="n">
        <v>20</v>
      </c>
    </row>
    <row r="71">
      <c r="A71" t="inlineStr">
        <is>
          <t>food beverage and tobacco 10T12</t>
        </is>
      </c>
      <c r="B71" t="inlineStr">
        <is>
          <t>10T12</t>
        </is>
      </c>
      <c r="C71" t="inlineStr">
        <is>
          <t>efficiency measure 2</t>
        </is>
      </c>
      <c r="D71" t="inlineStr">
        <is>
          <t>(empty slot)</t>
        </is>
      </c>
      <c r="E71" s="151" t="n">
        <v>0</v>
      </c>
      <c r="F71" s="151" t="n">
        <v>0</v>
      </c>
      <c r="G71" s="7" t="n">
        <v>0</v>
      </c>
      <c r="H71" s="7" t="n">
        <v>0</v>
      </c>
      <c r="I71" t="n">
        <v>20</v>
      </c>
    </row>
    <row r="72">
      <c r="A72" t="inlineStr">
        <is>
          <t>food beverage and tobacco 10T12</t>
        </is>
      </c>
      <c r="B72" t="inlineStr">
        <is>
          <t>10T12</t>
        </is>
      </c>
      <c r="C72" t="inlineStr">
        <is>
          <t>efficiency measure 3</t>
        </is>
      </c>
      <c r="D72" t="inlineStr">
        <is>
          <t>(empty slot)</t>
        </is>
      </c>
      <c r="E72" s="151" t="n">
        <v>0</v>
      </c>
      <c r="F72" s="151" t="n">
        <v>0</v>
      </c>
      <c r="G72" s="7" t="n">
        <v>0</v>
      </c>
      <c r="H72" s="7" t="n">
        <v>0</v>
      </c>
      <c r="I72" t="n">
        <v>20</v>
      </c>
    </row>
    <row r="73">
      <c r="A73" t="inlineStr">
        <is>
          <t>food beverage and tobacco 10T12</t>
        </is>
      </c>
      <c r="B73" t="inlineStr">
        <is>
          <t>10T12</t>
        </is>
      </c>
      <c r="C73" t="inlineStr">
        <is>
          <t>efficiency measure 4</t>
        </is>
      </c>
      <c r="D73" t="inlineStr">
        <is>
          <t>(empty slot)</t>
        </is>
      </c>
      <c r="E73" s="151" t="n">
        <v>0</v>
      </c>
      <c r="F73" s="151" t="n">
        <v>0</v>
      </c>
      <c r="G73" s="7" t="n">
        <v>0</v>
      </c>
      <c r="H73" s="7" t="n">
        <v>0</v>
      </c>
      <c r="I73" t="n">
        <v>20</v>
      </c>
    </row>
    <row r="74">
      <c r="A74" t="inlineStr">
        <is>
          <t>food beverage and tobacco 10T12</t>
        </is>
      </c>
      <c r="B74" t="inlineStr">
        <is>
          <t>10T12</t>
        </is>
      </c>
      <c r="C74" t="inlineStr">
        <is>
          <t>efficiency measure 5</t>
        </is>
      </c>
      <c r="D74" t="inlineStr">
        <is>
          <t>(empty slot)</t>
        </is>
      </c>
      <c r="E74" s="151" t="n">
        <v>0</v>
      </c>
      <c r="F74" s="151" t="n">
        <v>0</v>
      </c>
      <c r="G74" s="7" t="n">
        <v>0</v>
      </c>
      <c r="H74" s="7" t="n">
        <v>0</v>
      </c>
      <c r="I74" t="n">
        <v>20</v>
      </c>
    </row>
    <row r="75">
      <c r="A75" t="inlineStr">
        <is>
          <t>food beverage and tobacco 10T12</t>
        </is>
      </c>
      <c r="B75" t="inlineStr">
        <is>
          <t>10T12</t>
        </is>
      </c>
      <c r="C75" t="inlineStr">
        <is>
          <t>efficiency measure 6</t>
        </is>
      </c>
      <c r="D75" t="inlineStr">
        <is>
          <t>(empty slot)</t>
        </is>
      </c>
      <c r="E75" s="151" t="n">
        <v>0</v>
      </c>
      <c r="F75" s="151" t="n">
        <v>0</v>
      </c>
      <c r="G75" s="7" t="n">
        <v>0</v>
      </c>
      <c r="H75" s="7" t="n">
        <v>0</v>
      </c>
      <c r="I75" t="n">
        <v>20</v>
      </c>
    </row>
    <row r="76">
      <c r="A76" t="inlineStr">
        <is>
          <t>food beverage and tobacco 10T12</t>
        </is>
      </c>
      <c r="B76" t="inlineStr">
        <is>
          <t>10T12</t>
        </is>
      </c>
      <c r="C76" t="inlineStr">
        <is>
          <t>efficiency measure 7</t>
        </is>
      </c>
      <c r="D76" t="inlineStr">
        <is>
          <t>(empty slot)</t>
        </is>
      </c>
      <c r="E76" s="151" t="n">
        <v>0</v>
      </c>
      <c r="F76" s="151" t="n">
        <v>0</v>
      </c>
      <c r="G76" s="7" t="n">
        <v>0</v>
      </c>
      <c r="H76" s="7" t="n">
        <v>0</v>
      </c>
      <c r="I76" t="n">
        <v>20</v>
      </c>
    </row>
    <row r="77">
      <c r="A77" t="inlineStr">
        <is>
          <t>food beverage and tobacco 10T12</t>
        </is>
      </c>
      <c r="B77" t="inlineStr">
        <is>
          <t>10T12</t>
        </is>
      </c>
      <c r="C77" t="inlineStr">
        <is>
          <t>efficiency measure 8</t>
        </is>
      </c>
      <c r="D77" t="inlineStr">
        <is>
          <t>(empty slot)</t>
        </is>
      </c>
      <c r="E77" s="151" t="n">
        <v>0</v>
      </c>
      <c r="F77" s="151" t="n">
        <v>0</v>
      </c>
      <c r="G77" s="7" t="n">
        <v>0</v>
      </c>
      <c r="H77" s="7" t="n">
        <v>0</v>
      </c>
      <c r="I77" t="n">
        <v>20</v>
      </c>
    </row>
    <row r="78">
      <c r="A78" t="inlineStr">
        <is>
          <t>food beverage and tobacco 10T12</t>
        </is>
      </c>
      <c r="B78" t="inlineStr">
        <is>
          <t>10T12</t>
        </is>
      </c>
      <c r="C78" t="inlineStr">
        <is>
          <t>efficiency measure 9</t>
        </is>
      </c>
      <c r="D78" t="inlineStr">
        <is>
          <t>(empty slot)</t>
        </is>
      </c>
      <c r="E78" s="151" t="n">
        <v>0</v>
      </c>
      <c r="F78" s="151" t="n">
        <v>0</v>
      </c>
      <c r="G78" s="7" t="n">
        <v>0</v>
      </c>
      <c r="H78" s="7" t="n">
        <v>0</v>
      </c>
      <c r="I78" t="n">
        <v>20</v>
      </c>
    </row>
    <row r="79">
      <c r="A79" t="inlineStr">
        <is>
          <t>food beverage and tobacco 10T12</t>
        </is>
      </c>
      <c r="B79" t="inlineStr">
        <is>
          <t>10T12</t>
        </is>
      </c>
      <c r="C79" t="inlineStr">
        <is>
          <t>efficiency measure 10</t>
        </is>
      </c>
      <c r="D79" t="inlineStr">
        <is>
          <t>(empty slot)</t>
        </is>
      </c>
      <c r="E79" s="151" t="n">
        <v>0</v>
      </c>
      <c r="F79" s="151" t="n">
        <v>0</v>
      </c>
      <c r="G79" s="7" t="n">
        <v>0</v>
      </c>
      <c r="H79" s="7" t="n">
        <v>0</v>
      </c>
      <c r="I79" t="n">
        <v>20</v>
      </c>
    </row>
    <row r="80">
      <c r="A80" t="inlineStr">
        <is>
          <t>food beverage and tobacco 10T12</t>
        </is>
      </c>
      <c r="B80" t="inlineStr">
        <is>
          <t>10T12</t>
        </is>
      </c>
      <c r="C80" t="inlineStr">
        <is>
          <t>efficiency measure 11</t>
        </is>
      </c>
      <c r="D80" t="inlineStr">
        <is>
          <t>(empty slot)</t>
        </is>
      </c>
      <c r="E80" s="151" t="n">
        <v>0</v>
      </c>
      <c r="F80" s="151" t="n">
        <v>0</v>
      </c>
      <c r="G80" s="7" t="n">
        <v>0</v>
      </c>
      <c r="H80" s="7" t="n">
        <v>0</v>
      </c>
      <c r="I80" t="n">
        <v>20</v>
      </c>
    </row>
    <row r="81">
      <c r="A81" t="inlineStr">
        <is>
          <t>food beverage and tobacco 10T12</t>
        </is>
      </c>
      <c r="B81" t="inlineStr">
        <is>
          <t>10T12</t>
        </is>
      </c>
      <c r="C81" t="inlineStr">
        <is>
          <t>efficiency measure 12</t>
        </is>
      </c>
      <c r="D81" t="inlineStr">
        <is>
          <t>(empty slot)</t>
        </is>
      </c>
      <c r="E81" s="151" t="n">
        <v>0</v>
      </c>
      <c r="F81" s="151" t="n">
        <v>0</v>
      </c>
      <c r="G81" s="7" t="n">
        <v>0</v>
      </c>
      <c r="H81" s="7" t="n">
        <v>0</v>
      </c>
      <c r="I81" t="n">
        <v>20</v>
      </c>
    </row>
    <row r="82">
      <c r="A82" t="inlineStr">
        <is>
          <t>food beverage and tobacco 10T12</t>
        </is>
      </c>
      <c r="B82" t="inlineStr">
        <is>
          <t>10T12</t>
        </is>
      </c>
      <c r="C82" t="inlineStr">
        <is>
          <t>efficiency measure 13</t>
        </is>
      </c>
      <c r="D82" t="inlineStr">
        <is>
          <t>(empty slot)</t>
        </is>
      </c>
      <c r="E82" s="151" t="n">
        <v>0</v>
      </c>
      <c r="F82" s="151" t="n">
        <v>0</v>
      </c>
      <c r="G82" s="7" t="n">
        <v>0</v>
      </c>
      <c r="H82" s="7" t="n">
        <v>0</v>
      </c>
      <c r="I82" t="n">
        <v>20</v>
      </c>
    </row>
    <row r="83">
      <c r="A83" t="inlineStr">
        <is>
          <t>food beverage and tobacco 10T12</t>
        </is>
      </c>
      <c r="B83" t="inlineStr">
        <is>
          <t>10T12</t>
        </is>
      </c>
      <c r="C83" t="inlineStr">
        <is>
          <t>efficiency measure 14</t>
        </is>
      </c>
      <c r="D83" t="inlineStr">
        <is>
          <t>(empty slot)</t>
        </is>
      </c>
      <c r="E83" s="151" t="n">
        <v>0</v>
      </c>
      <c r="F83" s="151" t="n">
        <v>0</v>
      </c>
      <c r="G83" s="7" t="n">
        <v>0</v>
      </c>
      <c r="H83" s="7" t="n">
        <v>0</v>
      </c>
      <c r="I83" t="n">
        <v>20</v>
      </c>
    </row>
    <row r="84">
      <c r="A84" t="inlineStr">
        <is>
          <t>food beverage and tobacco 10T12</t>
        </is>
      </c>
      <c r="B84" t="inlineStr">
        <is>
          <t>10T12</t>
        </is>
      </c>
      <c r="C84" t="inlineStr">
        <is>
          <t>efficiency measure 15</t>
        </is>
      </c>
      <c r="D84" t="inlineStr">
        <is>
          <t>(empty slot)</t>
        </is>
      </c>
      <c r="E84" s="151" t="n">
        <v>0</v>
      </c>
      <c r="F84" s="151" t="n">
        <v>0</v>
      </c>
      <c r="G84" s="7" t="n">
        <v>0</v>
      </c>
      <c r="H84" s="7" t="n">
        <v>0</v>
      </c>
      <c r="I84" t="n">
        <v>20</v>
      </c>
    </row>
    <row r="85">
      <c r="A85" t="inlineStr">
        <is>
          <t>food beverage and tobacco 10T12</t>
        </is>
      </c>
      <c r="B85" t="inlineStr">
        <is>
          <t>10T12</t>
        </is>
      </c>
      <c r="C85" t="inlineStr">
        <is>
          <t>efficiency measure 16</t>
        </is>
      </c>
      <c r="D85" t="inlineStr">
        <is>
          <t>(empty slot)</t>
        </is>
      </c>
      <c r="E85" s="151" t="n">
        <v>0</v>
      </c>
      <c r="F85" s="151" t="n">
        <v>0</v>
      </c>
      <c r="G85" s="7" t="n">
        <v>0</v>
      </c>
      <c r="H85" s="7" t="n">
        <v>0</v>
      </c>
      <c r="I85" t="n">
        <v>20</v>
      </c>
    </row>
    <row r="86">
      <c r="A86" t="inlineStr">
        <is>
          <t>food beverage and tobacco 10T12</t>
        </is>
      </c>
      <c r="B86" t="inlineStr">
        <is>
          <t>10T12</t>
        </is>
      </c>
      <c r="C86" t="inlineStr">
        <is>
          <t>efficiency measure 17</t>
        </is>
      </c>
      <c r="D86" t="inlineStr">
        <is>
          <t>(empty slot)</t>
        </is>
      </c>
      <c r="E86" s="151" t="n">
        <v>0</v>
      </c>
      <c r="F86" s="151" t="n">
        <v>0</v>
      </c>
      <c r="G86" s="7" t="n">
        <v>0</v>
      </c>
      <c r="H86" s="7" t="n">
        <v>0</v>
      </c>
      <c r="I86" t="n">
        <v>20</v>
      </c>
    </row>
    <row r="87">
      <c r="A87" t="inlineStr">
        <is>
          <t>textiles apparel and leather 13T15</t>
        </is>
      </c>
      <c r="B87" t="inlineStr">
        <is>
          <t>13T15</t>
        </is>
      </c>
      <c r="C87" t="inlineStr">
        <is>
          <t>efficiency measure 1</t>
        </is>
      </c>
      <c r="D87" t="inlineStr">
        <is>
          <t>(empty slot)</t>
        </is>
      </c>
      <c r="E87" s="151" t="n">
        <v>0</v>
      </c>
      <c r="F87" s="151" t="n">
        <v>0</v>
      </c>
      <c r="G87" s="7" t="n">
        <v>0</v>
      </c>
      <c r="H87" s="7" t="n">
        <v>0</v>
      </c>
      <c r="I87" t="n">
        <v>20</v>
      </c>
    </row>
    <row r="88">
      <c r="A88" t="inlineStr">
        <is>
          <t>textiles apparel and leather 13T15</t>
        </is>
      </c>
      <c r="B88" t="inlineStr">
        <is>
          <t>13T15</t>
        </is>
      </c>
      <c r="C88" t="inlineStr">
        <is>
          <t>efficiency measure 2</t>
        </is>
      </c>
      <c r="D88" t="inlineStr">
        <is>
          <t>(empty slot)</t>
        </is>
      </c>
      <c r="E88" s="151" t="n">
        <v>0</v>
      </c>
      <c r="F88" s="151" t="n">
        <v>0</v>
      </c>
      <c r="G88" s="7" t="n">
        <v>0</v>
      </c>
      <c r="H88" s="7" t="n">
        <v>0</v>
      </c>
      <c r="I88" t="n">
        <v>20</v>
      </c>
    </row>
    <row r="89">
      <c r="A89" t="inlineStr">
        <is>
          <t>textiles apparel and leather 13T15</t>
        </is>
      </c>
      <c r="B89" t="inlineStr">
        <is>
          <t>13T15</t>
        </is>
      </c>
      <c r="C89" t="inlineStr">
        <is>
          <t>efficiency measure 3</t>
        </is>
      </c>
      <c r="D89" t="inlineStr">
        <is>
          <t>(empty slot)</t>
        </is>
      </c>
      <c r="E89" s="151" t="n">
        <v>0</v>
      </c>
      <c r="F89" s="151" t="n">
        <v>0</v>
      </c>
      <c r="G89" s="7" t="n">
        <v>0</v>
      </c>
      <c r="H89" s="7" t="n">
        <v>0</v>
      </c>
      <c r="I89" t="n">
        <v>20</v>
      </c>
    </row>
    <row r="90">
      <c r="A90" t="inlineStr">
        <is>
          <t>textiles apparel and leather 13T15</t>
        </is>
      </c>
      <c r="B90" t="inlineStr">
        <is>
          <t>13T15</t>
        </is>
      </c>
      <c r="C90" t="inlineStr">
        <is>
          <t>efficiency measure 4</t>
        </is>
      </c>
      <c r="D90" t="inlineStr">
        <is>
          <t>(empty slot)</t>
        </is>
      </c>
      <c r="E90" s="151" t="n">
        <v>0</v>
      </c>
      <c r="F90" s="151" t="n">
        <v>0</v>
      </c>
      <c r="G90" s="7" t="n">
        <v>0</v>
      </c>
      <c r="H90" s="7" t="n">
        <v>0</v>
      </c>
      <c r="I90" t="n">
        <v>20</v>
      </c>
    </row>
    <row r="91">
      <c r="A91" t="inlineStr">
        <is>
          <t>textiles apparel and leather 13T15</t>
        </is>
      </c>
      <c r="B91" t="inlineStr">
        <is>
          <t>13T15</t>
        </is>
      </c>
      <c r="C91" t="inlineStr">
        <is>
          <t>efficiency measure 5</t>
        </is>
      </c>
      <c r="D91" t="inlineStr">
        <is>
          <t>(empty slot)</t>
        </is>
      </c>
      <c r="E91" s="151" t="n">
        <v>0</v>
      </c>
      <c r="F91" s="151" t="n">
        <v>0</v>
      </c>
      <c r="G91" s="7" t="n">
        <v>0</v>
      </c>
      <c r="H91" s="7" t="n">
        <v>0</v>
      </c>
      <c r="I91" t="n">
        <v>20</v>
      </c>
    </row>
    <row r="92">
      <c r="A92" t="inlineStr">
        <is>
          <t>textiles apparel and leather 13T15</t>
        </is>
      </c>
      <c r="B92" t="inlineStr">
        <is>
          <t>13T15</t>
        </is>
      </c>
      <c r="C92" t="inlineStr">
        <is>
          <t>efficiency measure 6</t>
        </is>
      </c>
      <c r="D92" t="inlineStr">
        <is>
          <t>(empty slot)</t>
        </is>
      </c>
      <c r="E92" s="151" t="n">
        <v>0</v>
      </c>
      <c r="F92" s="151" t="n">
        <v>0</v>
      </c>
      <c r="G92" s="7" t="n">
        <v>0</v>
      </c>
      <c r="H92" s="7" t="n">
        <v>0</v>
      </c>
      <c r="I92" t="n">
        <v>20</v>
      </c>
    </row>
    <row r="93">
      <c r="A93" t="inlineStr">
        <is>
          <t>textiles apparel and leather 13T15</t>
        </is>
      </c>
      <c r="B93" t="inlineStr">
        <is>
          <t>13T15</t>
        </is>
      </c>
      <c r="C93" t="inlineStr">
        <is>
          <t>efficiency measure 7</t>
        </is>
      </c>
      <c r="D93" t="inlineStr">
        <is>
          <t>(empty slot)</t>
        </is>
      </c>
      <c r="E93" s="151" t="n">
        <v>0</v>
      </c>
      <c r="F93" s="151" t="n">
        <v>0</v>
      </c>
      <c r="G93" s="7" t="n">
        <v>0</v>
      </c>
      <c r="H93" s="7" t="n">
        <v>0</v>
      </c>
      <c r="I93" t="n">
        <v>20</v>
      </c>
    </row>
    <row r="94">
      <c r="A94" t="inlineStr">
        <is>
          <t>textiles apparel and leather 13T15</t>
        </is>
      </c>
      <c r="B94" t="inlineStr">
        <is>
          <t>13T15</t>
        </is>
      </c>
      <c r="C94" t="inlineStr">
        <is>
          <t>efficiency measure 8</t>
        </is>
      </c>
      <c r="D94" t="inlineStr">
        <is>
          <t>(empty slot)</t>
        </is>
      </c>
      <c r="E94" s="151" t="n">
        <v>0</v>
      </c>
      <c r="F94" s="151" t="n">
        <v>0</v>
      </c>
      <c r="G94" s="7" t="n">
        <v>0</v>
      </c>
      <c r="H94" s="7" t="n">
        <v>0</v>
      </c>
      <c r="I94" t="n">
        <v>20</v>
      </c>
    </row>
    <row r="95">
      <c r="A95" t="inlineStr">
        <is>
          <t>textiles apparel and leather 13T15</t>
        </is>
      </c>
      <c r="B95" t="inlineStr">
        <is>
          <t>13T15</t>
        </is>
      </c>
      <c r="C95" t="inlineStr">
        <is>
          <t>efficiency measure 9</t>
        </is>
      </c>
      <c r="D95" t="inlineStr">
        <is>
          <t>(empty slot)</t>
        </is>
      </c>
      <c r="E95" s="151" t="n">
        <v>0</v>
      </c>
      <c r="F95" s="151" t="n">
        <v>0</v>
      </c>
      <c r="G95" s="7" t="n">
        <v>0</v>
      </c>
      <c r="H95" s="7" t="n">
        <v>0</v>
      </c>
      <c r="I95" t="n">
        <v>20</v>
      </c>
    </row>
    <row r="96">
      <c r="A96" t="inlineStr">
        <is>
          <t>textiles apparel and leather 13T15</t>
        </is>
      </c>
      <c r="B96" t="inlineStr">
        <is>
          <t>13T15</t>
        </is>
      </c>
      <c r="C96" t="inlineStr">
        <is>
          <t>efficiency measure 10</t>
        </is>
      </c>
      <c r="D96" t="inlineStr">
        <is>
          <t>(empty slot)</t>
        </is>
      </c>
      <c r="E96" s="151" t="n">
        <v>0</v>
      </c>
      <c r="F96" s="151" t="n">
        <v>0</v>
      </c>
      <c r="G96" s="7" t="n">
        <v>0</v>
      </c>
      <c r="H96" s="7" t="n">
        <v>0</v>
      </c>
      <c r="I96" t="n">
        <v>20</v>
      </c>
    </row>
    <row r="97">
      <c r="A97" t="inlineStr">
        <is>
          <t>textiles apparel and leather 13T15</t>
        </is>
      </c>
      <c r="B97" t="inlineStr">
        <is>
          <t>13T15</t>
        </is>
      </c>
      <c r="C97" t="inlineStr">
        <is>
          <t>efficiency measure 11</t>
        </is>
      </c>
      <c r="D97" t="inlineStr">
        <is>
          <t>(empty slot)</t>
        </is>
      </c>
      <c r="E97" s="151" t="n">
        <v>0</v>
      </c>
      <c r="F97" s="151" t="n">
        <v>0</v>
      </c>
      <c r="G97" s="7" t="n">
        <v>0</v>
      </c>
      <c r="H97" s="7" t="n">
        <v>0</v>
      </c>
      <c r="I97" t="n">
        <v>20</v>
      </c>
    </row>
    <row r="98">
      <c r="A98" t="inlineStr">
        <is>
          <t>textiles apparel and leather 13T15</t>
        </is>
      </c>
      <c r="B98" t="inlineStr">
        <is>
          <t>13T15</t>
        </is>
      </c>
      <c r="C98" t="inlineStr">
        <is>
          <t>efficiency measure 12</t>
        </is>
      </c>
      <c r="D98" t="inlineStr">
        <is>
          <t>(empty slot)</t>
        </is>
      </c>
      <c r="E98" s="151" t="n">
        <v>0</v>
      </c>
      <c r="F98" s="151" t="n">
        <v>0</v>
      </c>
      <c r="G98" s="7" t="n">
        <v>0</v>
      </c>
      <c r="H98" s="7" t="n">
        <v>0</v>
      </c>
      <c r="I98" t="n">
        <v>20</v>
      </c>
    </row>
    <row r="99">
      <c r="A99" t="inlineStr">
        <is>
          <t>textiles apparel and leather 13T15</t>
        </is>
      </c>
      <c r="B99" t="inlineStr">
        <is>
          <t>13T15</t>
        </is>
      </c>
      <c r="C99" t="inlineStr">
        <is>
          <t>efficiency measure 13</t>
        </is>
      </c>
      <c r="D99" t="inlineStr">
        <is>
          <t>(empty slot)</t>
        </is>
      </c>
      <c r="E99" s="151" t="n">
        <v>0</v>
      </c>
      <c r="F99" s="151" t="n">
        <v>0</v>
      </c>
      <c r="G99" s="7" t="n">
        <v>0</v>
      </c>
      <c r="H99" s="7" t="n">
        <v>0</v>
      </c>
      <c r="I99" t="n">
        <v>20</v>
      </c>
    </row>
    <row r="100">
      <c r="A100" t="inlineStr">
        <is>
          <t>textiles apparel and leather 13T15</t>
        </is>
      </c>
      <c r="B100" t="inlineStr">
        <is>
          <t>13T15</t>
        </is>
      </c>
      <c r="C100" t="inlineStr">
        <is>
          <t>efficiency measure 14</t>
        </is>
      </c>
      <c r="D100" t="inlineStr">
        <is>
          <t>(empty slot)</t>
        </is>
      </c>
      <c r="E100" s="151" t="n">
        <v>0</v>
      </c>
      <c r="F100" s="151" t="n">
        <v>0</v>
      </c>
      <c r="G100" s="7" t="n">
        <v>0</v>
      </c>
      <c r="H100" s="7" t="n">
        <v>0</v>
      </c>
      <c r="I100" t="n">
        <v>20</v>
      </c>
    </row>
    <row r="101">
      <c r="A101" t="inlineStr">
        <is>
          <t>textiles apparel and leather 13T15</t>
        </is>
      </c>
      <c r="B101" t="inlineStr">
        <is>
          <t>13T15</t>
        </is>
      </c>
      <c r="C101" t="inlineStr">
        <is>
          <t>efficiency measure 15</t>
        </is>
      </c>
      <c r="D101" t="inlineStr">
        <is>
          <t>(empty slot)</t>
        </is>
      </c>
      <c r="E101" s="151" t="n">
        <v>0</v>
      </c>
      <c r="F101" s="151" t="n">
        <v>0</v>
      </c>
      <c r="G101" s="7" t="n">
        <v>0</v>
      </c>
      <c r="H101" s="7" t="n">
        <v>0</v>
      </c>
      <c r="I101" t="n">
        <v>20</v>
      </c>
    </row>
    <row r="102">
      <c r="A102" t="inlineStr">
        <is>
          <t>textiles apparel and leather 13T15</t>
        </is>
      </c>
      <c r="B102" t="inlineStr">
        <is>
          <t>13T15</t>
        </is>
      </c>
      <c r="C102" t="inlineStr">
        <is>
          <t>efficiency measure 16</t>
        </is>
      </c>
      <c r="D102" t="inlineStr">
        <is>
          <t>(empty slot)</t>
        </is>
      </c>
      <c r="E102" s="151" t="n">
        <v>0</v>
      </c>
      <c r="F102" s="151" t="n">
        <v>0</v>
      </c>
      <c r="G102" s="7" t="n">
        <v>0</v>
      </c>
      <c r="H102" s="7" t="n">
        <v>0</v>
      </c>
      <c r="I102" t="n">
        <v>20</v>
      </c>
    </row>
    <row r="103">
      <c r="A103" t="inlineStr">
        <is>
          <t>textiles apparel and leather 13T15</t>
        </is>
      </c>
      <c r="B103" t="inlineStr">
        <is>
          <t>13T15</t>
        </is>
      </c>
      <c r="C103" t="inlineStr">
        <is>
          <t>efficiency measure 17</t>
        </is>
      </c>
      <c r="D103" t="inlineStr">
        <is>
          <t>(empty slot)</t>
        </is>
      </c>
      <c r="E103" s="151" t="n">
        <v>0</v>
      </c>
      <c r="F103" s="151" t="n">
        <v>0</v>
      </c>
      <c r="G103" s="7" t="n">
        <v>0</v>
      </c>
      <c r="H103" s="7" t="n">
        <v>0</v>
      </c>
      <c r="I103" t="n">
        <v>20</v>
      </c>
    </row>
    <row r="104">
      <c r="A104" t="inlineStr">
        <is>
          <t>wood products 16</t>
        </is>
      </c>
      <c r="B104" t="n">
        <v>16</v>
      </c>
      <c r="C104" t="inlineStr">
        <is>
          <t>efficiency measure 1</t>
        </is>
      </c>
      <c r="D104" t="inlineStr">
        <is>
          <t>(empty slot)</t>
        </is>
      </c>
      <c r="E104" s="151" t="n">
        <v>0</v>
      </c>
      <c r="F104" s="151" t="n">
        <v>0</v>
      </c>
      <c r="G104" s="7" t="n">
        <v>0</v>
      </c>
      <c r="H104" s="7" t="n">
        <v>0</v>
      </c>
      <c r="I104" t="n">
        <v>20</v>
      </c>
    </row>
    <row r="105">
      <c r="A105" t="inlineStr">
        <is>
          <t>wood products 16</t>
        </is>
      </c>
      <c r="B105" t="n">
        <v>16</v>
      </c>
      <c r="C105" t="inlineStr">
        <is>
          <t>efficiency measure 2</t>
        </is>
      </c>
      <c r="D105" t="inlineStr">
        <is>
          <t>(empty slot)</t>
        </is>
      </c>
      <c r="E105" s="151" t="n">
        <v>0</v>
      </c>
      <c r="F105" s="151" t="n">
        <v>0</v>
      </c>
      <c r="G105" s="7" t="n">
        <v>0</v>
      </c>
      <c r="H105" s="7" t="n">
        <v>0</v>
      </c>
      <c r="I105" t="n">
        <v>20</v>
      </c>
    </row>
    <row r="106">
      <c r="A106" t="inlineStr">
        <is>
          <t>wood products 16</t>
        </is>
      </c>
      <c r="B106" t="n">
        <v>16</v>
      </c>
      <c r="C106" t="inlineStr">
        <is>
          <t>efficiency measure 3</t>
        </is>
      </c>
      <c r="D106" t="inlineStr">
        <is>
          <t>(empty slot)</t>
        </is>
      </c>
      <c r="E106" s="151" t="n">
        <v>0</v>
      </c>
      <c r="F106" s="151" t="n">
        <v>0</v>
      </c>
      <c r="G106" s="7" t="n">
        <v>0</v>
      </c>
      <c r="H106" s="7" t="n">
        <v>0</v>
      </c>
      <c r="I106" t="n">
        <v>20</v>
      </c>
    </row>
    <row r="107">
      <c r="A107" t="inlineStr">
        <is>
          <t>wood products 16</t>
        </is>
      </c>
      <c r="B107" t="n">
        <v>16</v>
      </c>
      <c r="C107" t="inlineStr">
        <is>
          <t>efficiency measure 4</t>
        </is>
      </c>
      <c r="D107" t="inlineStr">
        <is>
          <t>(empty slot)</t>
        </is>
      </c>
      <c r="E107" s="151" t="n">
        <v>0</v>
      </c>
      <c r="F107" s="151" t="n">
        <v>0</v>
      </c>
      <c r="G107" s="7" t="n">
        <v>0</v>
      </c>
      <c r="H107" s="7" t="n">
        <v>0</v>
      </c>
      <c r="I107" t="n">
        <v>20</v>
      </c>
    </row>
    <row r="108">
      <c r="A108" t="inlineStr">
        <is>
          <t>wood products 16</t>
        </is>
      </c>
      <c r="B108" t="n">
        <v>16</v>
      </c>
      <c r="C108" t="inlineStr">
        <is>
          <t>efficiency measure 5</t>
        </is>
      </c>
      <c r="D108" t="inlineStr">
        <is>
          <t>(empty slot)</t>
        </is>
      </c>
      <c r="E108" s="151" t="n">
        <v>0</v>
      </c>
      <c r="F108" s="151" t="n">
        <v>0</v>
      </c>
      <c r="G108" s="7" t="n">
        <v>0</v>
      </c>
      <c r="H108" s="7" t="n">
        <v>0</v>
      </c>
      <c r="I108" t="n">
        <v>20</v>
      </c>
    </row>
    <row r="109">
      <c r="A109" t="inlineStr">
        <is>
          <t>wood products 16</t>
        </is>
      </c>
      <c r="B109" t="n">
        <v>16</v>
      </c>
      <c r="C109" t="inlineStr">
        <is>
          <t>efficiency measure 6</t>
        </is>
      </c>
      <c r="D109" t="inlineStr">
        <is>
          <t>(empty slot)</t>
        </is>
      </c>
      <c r="E109" s="151" t="n">
        <v>0</v>
      </c>
      <c r="F109" s="151" t="n">
        <v>0</v>
      </c>
      <c r="G109" s="7" t="n">
        <v>0</v>
      </c>
      <c r="H109" s="7" t="n">
        <v>0</v>
      </c>
      <c r="I109" t="n">
        <v>20</v>
      </c>
    </row>
    <row r="110">
      <c r="A110" t="inlineStr">
        <is>
          <t>wood products 16</t>
        </is>
      </c>
      <c r="B110" t="n">
        <v>16</v>
      </c>
      <c r="C110" t="inlineStr">
        <is>
          <t>efficiency measure 7</t>
        </is>
      </c>
      <c r="D110" t="inlineStr">
        <is>
          <t>(empty slot)</t>
        </is>
      </c>
      <c r="E110" s="151" t="n">
        <v>0</v>
      </c>
      <c r="F110" s="151" t="n">
        <v>0</v>
      </c>
      <c r="G110" s="7" t="n">
        <v>0</v>
      </c>
      <c r="H110" s="7" t="n">
        <v>0</v>
      </c>
      <c r="I110" t="n">
        <v>20</v>
      </c>
    </row>
    <row r="111">
      <c r="A111" t="inlineStr">
        <is>
          <t>wood products 16</t>
        </is>
      </c>
      <c r="B111" t="n">
        <v>16</v>
      </c>
      <c r="C111" t="inlineStr">
        <is>
          <t>efficiency measure 8</t>
        </is>
      </c>
      <c r="D111" t="inlineStr">
        <is>
          <t>(empty slot)</t>
        </is>
      </c>
      <c r="E111" s="151" t="n">
        <v>0</v>
      </c>
      <c r="F111" s="151" t="n">
        <v>0</v>
      </c>
      <c r="G111" s="7" t="n">
        <v>0</v>
      </c>
      <c r="H111" s="7" t="n">
        <v>0</v>
      </c>
      <c r="I111" t="n">
        <v>20</v>
      </c>
    </row>
    <row r="112">
      <c r="A112" t="inlineStr">
        <is>
          <t>wood products 16</t>
        </is>
      </c>
      <c r="B112" t="n">
        <v>16</v>
      </c>
      <c r="C112" t="inlineStr">
        <is>
          <t>efficiency measure 9</t>
        </is>
      </c>
      <c r="D112" t="inlineStr">
        <is>
          <t>(empty slot)</t>
        </is>
      </c>
      <c r="E112" s="151" t="n">
        <v>0</v>
      </c>
      <c r="F112" s="151" t="n">
        <v>0</v>
      </c>
      <c r="G112" s="7" t="n">
        <v>0</v>
      </c>
      <c r="H112" s="7" t="n">
        <v>0</v>
      </c>
      <c r="I112" t="n">
        <v>20</v>
      </c>
    </row>
    <row r="113">
      <c r="A113" t="inlineStr">
        <is>
          <t>wood products 16</t>
        </is>
      </c>
      <c r="B113" t="n">
        <v>16</v>
      </c>
      <c r="C113" t="inlineStr">
        <is>
          <t>efficiency measure 10</t>
        </is>
      </c>
      <c r="D113" t="inlineStr">
        <is>
          <t>(empty slot)</t>
        </is>
      </c>
      <c r="E113" s="151" t="n">
        <v>0</v>
      </c>
      <c r="F113" s="151" t="n">
        <v>0</v>
      </c>
      <c r="G113" s="7" t="n">
        <v>0</v>
      </c>
      <c r="H113" s="7" t="n">
        <v>0</v>
      </c>
      <c r="I113" t="n">
        <v>20</v>
      </c>
    </row>
    <row r="114">
      <c r="A114" t="inlineStr">
        <is>
          <t>wood products 16</t>
        </is>
      </c>
      <c r="B114" t="n">
        <v>16</v>
      </c>
      <c r="C114" t="inlineStr">
        <is>
          <t>efficiency measure 11</t>
        </is>
      </c>
      <c r="D114" t="inlineStr">
        <is>
          <t>(empty slot)</t>
        </is>
      </c>
      <c r="E114" s="151" t="n">
        <v>0</v>
      </c>
      <c r="F114" s="151" t="n">
        <v>0</v>
      </c>
      <c r="G114" s="7" t="n">
        <v>0</v>
      </c>
      <c r="H114" s="7" t="n">
        <v>0</v>
      </c>
      <c r="I114" t="n">
        <v>20</v>
      </c>
    </row>
    <row r="115">
      <c r="A115" t="inlineStr">
        <is>
          <t>wood products 16</t>
        </is>
      </c>
      <c r="B115" t="n">
        <v>16</v>
      </c>
      <c r="C115" t="inlineStr">
        <is>
          <t>efficiency measure 12</t>
        </is>
      </c>
      <c r="D115" t="inlineStr">
        <is>
          <t>(empty slot)</t>
        </is>
      </c>
      <c r="E115" s="151" t="n">
        <v>0</v>
      </c>
      <c r="F115" s="151" t="n">
        <v>0</v>
      </c>
      <c r="G115" s="7" t="n">
        <v>0</v>
      </c>
      <c r="H115" s="7" t="n">
        <v>0</v>
      </c>
      <c r="I115" t="n">
        <v>20</v>
      </c>
    </row>
    <row r="116">
      <c r="A116" t="inlineStr">
        <is>
          <t>wood products 16</t>
        </is>
      </c>
      <c r="B116" t="n">
        <v>16</v>
      </c>
      <c r="C116" t="inlineStr">
        <is>
          <t>efficiency measure 13</t>
        </is>
      </c>
      <c r="D116" t="inlineStr">
        <is>
          <t>(empty slot)</t>
        </is>
      </c>
      <c r="E116" s="151" t="n">
        <v>0</v>
      </c>
      <c r="F116" s="151" t="n">
        <v>0</v>
      </c>
      <c r="G116" s="7" t="n">
        <v>0</v>
      </c>
      <c r="H116" s="7" t="n">
        <v>0</v>
      </c>
      <c r="I116" t="n">
        <v>20</v>
      </c>
    </row>
    <row r="117">
      <c r="A117" t="inlineStr">
        <is>
          <t>wood products 16</t>
        </is>
      </c>
      <c r="B117" t="n">
        <v>16</v>
      </c>
      <c r="C117" t="inlineStr">
        <is>
          <t>efficiency measure 14</t>
        </is>
      </c>
      <c r="D117" t="inlineStr">
        <is>
          <t>(empty slot)</t>
        </is>
      </c>
      <c r="E117" s="151" t="n">
        <v>0</v>
      </c>
      <c r="F117" s="151" t="n">
        <v>0</v>
      </c>
      <c r="G117" s="7" t="n">
        <v>0</v>
      </c>
      <c r="H117" s="7" t="n">
        <v>0</v>
      </c>
      <c r="I117" t="n">
        <v>20</v>
      </c>
    </row>
    <row r="118">
      <c r="A118" t="inlineStr">
        <is>
          <t>wood products 16</t>
        </is>
      </c>
      <c r="B118" t="n">
        <v>16</v>
      </c>
      <c r="C118" t="inlineStr">
        <is>
          <t>efficiency measure 15</t>
        </is>
      </c>
      <c r="D118" t="inlineStr">
        <is>
          <t>(empty slot)</t>
        </is>
      </c>
      <c r="E118" s="151" t="n">
        <v>0</v>
      </c>
      <c r="F118" s="151" t="n">
        <v>0</v>
      </c>
      <c r="G118" s="7" t="n">
        <v>0</v>
      </c>
      <c r="H118" s="7" t="n">
        <v>0</v>
      </c>
      <c r="I118" t="n">
        <v>20</v>
      </c>
    </row>
    <row r="119">
      <c r="A119" t="inlineStr">
        <is>
          <t>wood products 16</t>
        </is>
      </c>
      <c r="B119" t="n">
        <v>16</v>
      </c>
      <c r="C119" t="inlineStr">
        <is>
          <t>efficiency measure 16</t>
        </is>
      </c>
      <c r="D119" t="inlineStr">
        <is>
          <t>(empty slot)</t>
        </is>
      </c>
      <c r="E119" s="151" t="n">
        <v>0</v>
      </c>
      <c r="F119" s="151" t="n">
        <v>0</v>
      </c>
      <c r="G119" s="7" t="n">
        <v>0</v>
      </c>
      <c r="H119" s="7" t="n">
        <v>0</v>
      </c>
      <c r="I119" t="n">
        <v>20</v>
      </c>
    </row>
    <row r="120">
      <c r="A120" t="inlineStr">
        <is>
          <t>wood products 16</t>
        </is>
      </c>
      <c r="B120" t="n">
        <v>16</v>
      </c>
      <c r="C120" t="inlineStr">
        <is>
          <t>efficiency measure 17</t>
        </is>
      </c>
      <c r="D120" t="inlineStr">
        <is>
          <t>(empty slot)</t>
        </is>
      </c>
      <c r="E120" s="151" t="n">
        <v>0</v>
      </c>
      <c r="F120" s="151" t="n">
        <v>0</v>
      </c>
      <c r="G120" s="7" t="n">
        <v>0</v>
      </c>
      <c r="H120" s="7" t="n">
        <v>0</v>
      </c>
      <c r="I120" t="n">
        <v>20</v>
      </c>
    </row>
    <row r="121">
      <c r="A121" t="inlineStr">
        <is>
          <t>pulp paper and printing 17T18</t>
        </is>
      </c>
      <c r="B121" t="inlineStr">
        <is>
          <t>17T18</t>
        </is>
      </c>
      <c r="C121" t="inlineStr">
        <is>
          <t>efficiency measure 1</t>
        </is>
      </c>
      <c r="D121">
        <f>economics!B41</f>
        <v/>
      </c>
      <c r="E121" s="151">
        <f>economics!AH41</f>
        <v/>
      </c>
      <c r="F121" s="151">
        <f>economics!AI41</f>
        <v/>
      </c>
      <c r="G121" s="7">
        <f>economics!AM41</f>
        <v/>
      </c>
      <c r="H121" s="7">
        <f>IFERROR(economics!M41/economics!P41/0.947817,0)</f>
        <v/>
      </c>
      <c r="I121">
        <f>economics!I41</f>
        <v/>
      </c>
      <c r="J121" t="inlineStr">
        <is>
          <t>Kermeli</t>
        </is>
      </c>
    </row>
    <row r="122">
      <c r="A122" t="inlineStr">
        <is>
          <t>pulp paper and printing 17T18</t>
        </is>
      </c>
      <c r="B122" t="inlineStr">
        <is>
          <t>17T18</t>
        </is>
      </c>
      <c r="C122" t="inlineStr">
        <is>
          <t>efficiency measure 2</t>
        </is>
      </c>
      <c r="D122">
        <f>economics!B42</f>
        <v/>
      </c>
      <c r="E122" s="151">
        <f>economics!AH42</f>
        <v/>
      </c>
      <c r="F122" s="151">
        <f>economics!AI42</f>
        <v/>
      </c>
      <c r="G122" s="7">
        <f>economics!AM42</f>
        <v/>
      </c>
      <c r="H122" s="7">
        <f>IFERROR(economics!M42/economics!P42/0.947817,0)</f>
        <v/>
      </c>
      <c r="I122">
        <f>economics!I42</f>
        <v/>
      </c>
      <c r="J122" t="inlineStr">
        <is>
          <t>Kermeli</t>
        </is>
      </c>
    </row>
    <row r="123">
      <c r="A123" t="inlineStr">
        <is>
          <t>pulp paper and printing 17T18</t>
        </is>
      </c>
      <c r="B123" t="inlineStr">
        <is>
          <t>17T18</t>
        </is>
      </c>
      <c r="C123" t="inlineStr">
        <is>
          <t>efficiency measure 3</t>
        </is>
      </c>
      <c r="D123">
        <f>economics!B43</f>
        <v/>
      </c>
      <c r="E123" s="151">
        <f>economics!AH43</f>
        <v/>
      </c>
      <c r="F123" s="151">
        <f>economics!AI43</f>
        <v/>
      </c>
      <c r="G123" s="7">
        <f>economics!AM43</f>
        <v/>
      </c>
      <c r="H123" s="7">
        <f>IFERROR(economics!M43/economics!P43/0.947817,0)</f>
        <v/>
      </c>
      <c r="I123">
        <f>economics!I43</f>
        <v/>
      </c>
      <c r="J123" t="inlineStr">
        <is>
          <t>Kermeli</t>
        </is>
      </c>
    </row>
    <row r="124">
      <c r="A124" t="inlineStr">
        <is>
          <t>pulp paper and printing 17T18</t>
        </is>
      </c>
      <c r="B124" t="inlineStr">
        <is>
          <t>17T18</t>
        </is>
      </c>
      <c r="C124" t="inlineStr">
        <is>
          <t>efficiency measure 4</t>
        </is>
      </c>
      <c r="D124">
        <f>economics!B45</f>
        <v/>
      </c>
      <c r="E124" s="151">
        <f>economics!AH45</f>
        <v/>
      </c>
      <c r="F124" s="151">
        <f>economics!AI45</f>
        <v/>
      </c>
      <c r="G124" s="7">
        <f>economics!AM45</f>
        <v/>
      </c>
      <c r="H124" s="7">
        <f>IFERROR(economics!M45/economics!P45/0.947817,0)</f>
        <v/>
      </c>
      <c r="I124">
        <f>economics!I45</f>
        <v/>
      </c>
      <c r="J124" t="inlineStr">
        <is>
          <t>Kermeli</t>
        </is>
      </c>
    </row>
    <row r="125">
      <c r="A125" t="inlineStr">
        <is>
          <t>pulp paper and printing 17T18</t>
        </is>
      </c>
      <c r="B125" t="inlineStr">
        <is>
          <t>17T18</t>
        </is>
      </c>
      <c r="C125" t="inlineStr">
        <is>
          <t>efficiency measure 5</t>
        </is>
      </c>
      <c r="D125" t="inlineStr">
        <is>
          <t>(empty slot)</t>
        </is>
      </c>
      <c r="E125" s="151" t="n">
        <v>0</v>
      </c>
      <c r="F125" s="151" t="n">
        <v>0</v>
      </c>
      <c r="G125" s="7" t="n">
        <v>0</v>
      </c>
      <c r="H125" s="7" t="n">
        <v>0</v>
      </c>
      <c r="I125" t="n">
        <v>20</v>
      </c>
    </row>
    <row r="126">
      <c r="A126" t="inlineStr">
        <is>
          <t>pulp paper and printing 17T18</t>
        </is>
      </c>
      <c r="B126" t="inlineStr">
        <is>
          <t>17T18</t>
        </is>
      </c>
      <c r="C126" t="inlineStr">
        <is>
          <t>efficiency measure 6</t>
        </is>
      </c>
      <c r="D126">
        <f>economics!B47</f>
        <v/>
      </c>
      <c r="E126" s="151">
        <f>economics!AH47</f>
        <v/>
      </c>
      <c r="F126" s="151">
        <f>economics!AI47</f>
        <v/>
      </c>
      <c r="G126" s="7">
        <f>economics!AM47</f>
        <v/>
      </c>
      <c r="H126" s="7">
        <f>IFERROR(economics!M47/economics!P47/0.947817,0)</f>
        <v/>
      </c>
      <c r="I126">
        <f>economics!I47</f>
        <v/>
      </c>
      <c r="J126" t="inlineStr">
        <is>
          <t>Kermeli</t>
        </is>
      </c>
    </row>
    <row r="127">
      <c r="A127" t="inlineStr">
        <is>
          <t>pulp paper and printing 17T18</t>
        </is>
      </c>
      <c r="B127" t="inlineStr">
        <is>
          <t>17T18</t>
        </is>
      </c>
      <c r="C127" t="inlineStr">
        <is>
          <t>efficiency measure 7</t>
        </is>
      </c>
      <c r="D127">
        <f>economics!B48</f>
        <v/>
      </c>
      <c r="E127" s="151">
        <f>economics!AH48</f>
        <v/>
      </c>
      <c r="F127" s="151">
        <f>economics!AI48</f>
        <v/>
      </c>
      <c r="G127" s="7">
        <f>economics!AM48</f>
        <v/>
      </c>
      <c r="H127" s="7">
        <f>IFERROR(economics!M48/economics!P48/0.947817,0)</f>
        <v/>
      </c>
      <c r="I127">
        <f>economics!I48</f>
        <v/>
      </c>
      <c r="J127" t="inlineStr">
        <is>
          <t>Kermeli</t>
        </is>
      </c>
    </row>
    <row r="128">
      <c r="A128" t="inlineStr">
        <is>
          <t>pulp paper and printing 17T18</t>
        </is>
      </c>
      <c r="B128" t="inlineStr">
        <is>
          <t>17T18</t>
        </is>
      </c>
      <c r="C128" t="inlineStr">
        <is>
          <t>efficiency measure 8</t>
        </is>
      </c>
      <c r="D128" t="inlineStr">
        <is>
          <t>(empty slot)</t>
        </is>
      </c>
      <c r="E128" s="151" t="n">
        <v>0</v>
      </c>
      <c r="F128" s="151" t="n">
        <v>0</v>
      </c>
      <c r="G128" s="7" t="n">
        <v>0</v>
      </c>
      <c r="H128" s="7" t="n">
        <v>0</v>
      </c>
      <c r="I128" t="n">
        <v>20</v>
      </c>
    </row>
    <row r="129">
      <c r="A129" t="inlineStr">
        <is>
          <t>pulp paper and printing 17T18</t>
        </is>
      </c>
      <c r="B129" t="inlineStr">
        <is>
          <t>17T18</t>
        </is>
      </c>
      <c r="C129" t="inlineStr">
        <is>
          <t>efficiency measure 9</t>
        </is>
      </c>
      <c r="D129" t="inlineStr">
        <is>
          <t>(empty slot)</t>
        </is>
      </c>
      <c r="E129" s="151" t="n">
        <v>0</v>
      </c>
      <c r="F129" s="151" t="n">
        <v>0</v>
      </c>
      <c r="G129" s="7" t="n">
        <v>0</v>
      </c>
      <c r="H129" s="7" t="n">
        <v>0</v>
      </c>
      <c r="I129" t="n">
        <v>20</v>
      </c>
    </row>
    <row r="130">
      <c r="A130" t="inlineStr">
        <is>
          <t>pulp paper and printing 17T18</t>
        </is>
      </c>
      <c r="B130" t="inlineStr">
        <is>
          <t>17T18</t>
        </is>
      </c>
      <c r="C130" t="inlineStr">
        <is>
          <t>efficiency measure 10</t>
        </is>
      </c>
      <c r="D130">
        <f>economics!B52</f>
        <v/>
      </c>
      <c r="E130" s="151">
        <f>economics!AH52</f>
        <v/>
      </c>
      <c r="F130" s="151">
        <f>economics!AI52</f>
        <v/>
      </c>
      <c r="G130" s="7">
        <f>economics!AM52</f>
        <v/>
      </c>
      <c r="H130" s="7">
        <f>IFERROR(economics!M52/economics!P52/0.947817,0)</f>
        <v/>
      </c>
      <c r="I130">
        <f>economics!I52</f>
        <v/>
      </c>
      <c r="J130" t="inlineStr">
        <is>
          <t>Kermeli</t>
        </is>
      </c>
    </row>
    <row r="131">
      <c r="A131" t="inlineStr">
        <is>
          <t>pulp paper and printing 17T18</t>
        </is>
      </c>
      <c r="B131" t="inlineStr">
        <is>
          <t>17T18</t>
        </is>
      </c>
      <c r="C131" t="inlineStr">
        <is>
          <t>efficiency measure 11</t>
        </is>
      </c>
      <c r="D131">
        <f>economics!B53</f>
        <v/>
      </c>
      <c r="E131" s="151">
        <f>economics!AH53</f>
        <v/>
      </c>
      <c r="F131" s="151">
        <f>economics!AI53</f>
        <v/>
      </c>
      <c r="G131" s="7">
        <f>economics!AM53</f>
        <v/>
      </c>
      <c r="H131" s="7">
        <f>IFERROR(economics!M53/economics!P53/0.947817,0)</f>
        <v/>
      </c>
      <c r="I131">
        <f>economics!I53</f>
        <v/>
      </c>
      <c r="J131" t="inlineStr">
        <is>
          <t>Kermeli</t>
        </is>
      </c>
    </row>
    <row r="132">
      <c r="A132" t="inlineStr">
        <is>
          <t>pulp paper and printing 17T18</t>
        </is>
      </c>
      <c r="B132" t="inlineStr">
        <is>
          <t>17T18</t>
        </is>
      </c>
      <c r="C132" t="inlineStr">
        <is>
          <t>efficiency measure 12</t>
        </is>
      </c>
      <c r="D132" t="inlineStr">
        <is>
          <t>(empty slot)</t>
        </is>
      </c>
      <c r="E132" s="151" t="n">
        <v>0</v>
      </c>
      <c r="F132" s="151" t="n">
        <v>0</v>
      </c>
      <c r="G132" s="7" t="n">
        <v>0</v>
      </c>
      <c r="H132" s="7" t="n">
        <v>0</v>
      </c>
      <c r="I132" t="n">
        <v>20</v>
      </c>
    </row>
    <row r="133">
      <c r="A133" t="inlineStr">
        <is>
          <t>pulp paper and printing 17T18</t>
        </is>
      </c>
      <c r="B133" t="inlineStr">
        <is>
          <t>17T18</t>
        </is>
      </c>
      <c r="C133" t="inlineStr">
        <is>
          <t>efficiency measure 13</t>
        </is>
      </c>
      <c r="D133" t="inlineStr">
        <is>
          <t>(empty slot)</t>
        </is>
      </c>
      <c r="E133" s="151" t="n">
        <v>0</v>
      </c>
      <c r="F133" s="151" t="n">
        <v>0</v>
      </c>
      <c r="G133" s="7" t="n">
        <v>0</v>
      </c>
      <c r="H133" s="7" t="n">
        <v>0</v>
      </c>
      <c r="I133" t="n">
        <v>20</v>
      </c>
    </row>
    <row r="134">
      <c r="A134" t="inlineStr">
        <is>
          <t>pulp paper and printing 17T18</t>
        </is>
      </c>
      <c r="B134" t="inlineStr">
        <is>
          <t>17T18</t>
        </is>
      </c>
      <c r="C134" t="inlineStr">
        <is>
          <t>efficiency measure 14</t>
        </is>
      </c>
      <c r="D134">
        <f>economics!B57</f>
        <v/>
      </c>
      <c r="E134" s="151">
        <f>economics!AH57</f>
        <v/>
      </c>
      <c r="F134" s="151">
        <f>economics!AI57</f>
        <v/>
      </c>
      <c r="G134" s="7">
        <f>economics!AM57</f>
        <v/>
      </c>
      <c r="H134" s="7">
        <f>IFERROR(economics!M57/economics!P57/0.947817,0)</f>
        <v/>
      </c>
      <c r="I134">
        <f>economics!I57</f>
        <v/>
      </c>
      <c r="J134" t="inlineStr">
        <is>
          <t>Kermeli</t>
        </is>
      </c>
    </row>
    <row r="135">
      <c r="A135" t="inlineStr">
        <is>
          <t>pulp paper and printing 17T18</t>
        </is>
      </c>
      <c r="B135" t="inlineStr">
        <is>
          <t>17T18</t>
        </is>
      </c>
      <c r="C135" t="inlineStr">
        <is>
          <t>efficiency measure 15</t>
        </is>
      </c>
      <c r="D135">
        <f>economics!B58</f>
        <v/>
      </c>
      <c r="E135" s="151">
        <f>economics!AH58</f>
        <v/>
      </c>
      <c r="F135" s="151">
        <f>economics!AI58</f>
        <v/>
      </c>
      <c r="G135" s="7">
        <f>economics!AM58</f>
        <v/>
      </c>
      <c r="H135" s="7">
        <f>IFERROR(economics!M58/economics!P58/0.947817,0)</f>
        <v/>
      </c>
      <c r="I135">
        <f>economics!I58</f>
        <v/>
      </c>
      <c r="J135" t="inlineStr">
        <is>
          <t>Kermeli</t>
        </is>
      </c>
    </row>
    <row r="136">
      <c r="A136" t="inlineStr">
        <is>
          <t>pulp paper and printing 17T18</t>
        </is>
      </c>
      <c r="B136" t="inlineStr">
        <is>
          <t>17T18</t>
        </is>
      </c>
      <c r="C136" t="inlineStr">
        <is>
          <t>efficiency measure 16</t>
        </is>
      </c>
      <c r="D136" t="inlineStr">
        <is>
          <t>(empty slot)</t>
        </is>
      </c>
      <c r="E136" s="151" t="n">
        <v>0</v>
      </c>
      <c r="F136" s="151" t="n">
        <v>0</v>
      </c>
      <c r="G136" s="7" t="n">
        <v>0</v>
      </c>
      <c r="H136" s="7" t="n">
        <v>0</v>
      </c>
      <c r="I136" t="n">
        <v>20</v>
      </c>
    </row>
    <row r="137">
      <c r="A137" t="inlineStr">
        <is>
          <t>pulp paper and printing 17T18</t>
        </is>
      </c>
      <c r="B137" t="inlineStr">
        <is>
          <t>17T18</t>
        </is>
      </c>
      <c r="C137" t="inlineStr">
        <is>
          <t>efficiency measure 17</t>
        </is>
      </c>
      <c r="D137" t="inlineStr">
        <is>
          <t>(empty slot)</t>
        </is>
      </c>
      <c r="E137" s="151" t="n">
        <v>0</v>
      </c>
      <c r="F137" s="151" t="n">
        <v>0</v>
      </c>
      <c r="G137" s="7" t="n">
        <v>0</v>
      </c>
      <c r="H137" s="7" t="n">
        <v>0</v>
      </c>
      <c r="I137" t="n">
        <v>20</v>
      </c>
    </row>
    <row r="138">
      <c r="A138" t="inlineStr">
        <is>
          <t>refined petroleum and coke 19</t>
        </is>
      </c>
      <c r="B138" t="n">
        <v>19</v>
      </c>
      <c r="C138" t="inlineStr">
        <is>
          <t>efficiency measure 1</t>
        </is>
      </c>
      <c r="D138" t="inlineStr">
        <is>
          <t>(empty slot)</t>
        </is>
      </c>
      <c r="E138" s="151" t="n">
        <v>0</v>
      </c>
      <c r="F138" s="151" t="n">
        <v>0</v>
      </c>
      <c r="G138" s="7" t="n">
        <v>0</v>
      </c>
      <c r="H138" s="7" t="n">
        <v>0</v>
      </c>
      <c r="I138" t="n">
        <v>20</v>
      </c>
    </row>
    <row r="139">
      <c r="A139" t="inlineStr">
        <is>
          <t>refined petroleum and coke 19</t>
        </is>
      </c>
      <c r="B139" t="n">
        <v>19</v>
      </c>
      <c r="C139" t="inlineStr">
        <is>
          <t>efficiency measure 2</t>
        </is>
      </c>
      <c r="D139" t="inlineStr">
        <is>
          <t>(empty slot)</t>
        </is>
      </c>
      <c r="E139" s="151" t="n">
        <v>0</v>
      </c>
      <c r="F139" s="151" t="n">
        <v>0</v>
      </c>
      <c r="G139" s="7" t="n">
        <v>0</v>
      </c>
      <c r="H139" s="7" t="n">
        <v>0</v>
      </c>
      <c r="I139" t="n">
        <v>20</v>
      </c>
    </row>
    <row r="140">
      <c r="A140" t="inlineStr">
        <is>
          <t>refined petroleum and coke 19</t>
        </is>
      </c>
      <c r="B140" t="n">
        <v>19</v>
      </c>
      <c r="C140" t="inlineStr">
        <is>
          <t>efficiency measure 3</t>
        </is>
      </c>
      <c r="D140" t="inlineStr">
        <is>
          <t>(empty slot)</t>
        </is>
      </c>
      <c r="E140" s="151" t="n">
        <v>0</v>
      </c>
      <c r="F140" s="151" t="n">
        <v>0</v>
      </c>
      <c r="G140" s="7" t="n">
        <v>0</v>
      </c>
      <c r="H140" s="7" t="n">
        <v>0</v>
      </c>
      <c r="I140" t="n">
        <v>20</v>
      </c>
    </row>
    <row r="141">
      <c r="A141" t="inlineStr">
        <is>
          <t>refined petroleum and coke 19</t>
        </is>
      </c>
      <c r="B141" t="n">
        <v>19</v>
      </c>
      <c r="C141" t="inlineStr">
        <is>
          <t>efficiency measure 4</t>
        </is>
      </c>
      <c r="D141" t="inlineStr">
        <is>
          <t>(empty slot)</t>
        </is>
      </c>
      <c r="E141" s="151" t="n">
        <v>0</v>
      </c>
      <c r="F141" s="151" t="n">
        <v>0</v>
      </c>
      <c r="G141" s="7" t="n">
        <v>0</v>
      </c>
      <c r="H141" s="7" t="n">
        <v>0</v>
      </c>
      <c r="I141" t="n">
        <v>20</v>
      </c>
    </row>
    <row r="142">
      <c r="A142" t="inlineStr">
        <is>
          <t>refined petroleum and coke 19</t>
        </is>
      </c>
      <c r="B142" t="n">
        <v>19</v>
      </c>
      <c r="C142" t="inlineStr">
        <is>
          <t>efficiency measure 5</t>
        </is>
      </c>
      <c r="D142" t="inlineStr">
        <is>
          <t>(empty slot)</t>
        </is>
      </c>
      <c r="E142" s="151" t="n">
        <v>0</v>
      </c>
      <c r="F142" s="151" t="n">
        <v>0</v>
      </c>
      <c r="G142" s="7" t="n">
        <v>0</v>
      </c>
      <c r="H142" s="7" t="n">
        <v>0</v>
      </c>
      <c r="I142" t="n">
        <v>20</v>
      </c>
    </row>
    <row r="143">
      <c r="A143" t="inlineStr">
        <is>
          <t>refined petroleum and coke 19</t>
        </is>
      </c>
      <c r="B143" t="n">
        <v>19</v>
      </c>
      <c r="C143" t="inlineStr">
        <is>
          <t>efficiency measure 6</t>
        </is>
      </c>
      <c r="D143" t="inlineStr">
        <is>
          <t>(empty slot)</t>
        </is>
      </c>
      <c r="E143" s="151" t="n">
        <v>0</v>
      </c>
      <c r="F143" s="151" t="n">
        <v>0</v>
      </c>
      <c r="G143" s="7" t="n">
        <v>0</v>
      </c>
      <c r="H143" s="7" t="n">
        <v>0</v>
      </c>
      <c r="I143" t="n">
        <v>20</v>
      </c>
    </row>
    <row r="144">
      <c r="A144" t="inlineStr">
        <is>
          <t>refined petroleum and coke 19</t>
        </is>
      </c>
      <c r="B144" t="n">
        <v>19</v>
      </c>
      <c r="C144" t="inlineStr">
        <is>
          <t>efficiency measure 7</t>
        </is>
      </c>
      <c r="D144" t="inlineStr">
        <is>
          <t>(empty slot)</t>
        </is>
      </c>
      <c r="E144" s="151" t="n">
        <v>0</v>
      </c>
      <c r="F144" s="151" t="n">
        <v>0</v>
      </c>
      <c r="G144" s="7" t="n">
        <v>0</v>
      </c>
      <c r="H144" s="7" t="n">
        <v>0</v>
      </c>
      <c r="I144" t="n">
        <v>20</v>
      </c>
    </row>
    <row r="145">
      <c r="A145" t="inlineStr">
        <is>
          <t>refined petroleum and coke 19</t>
        </is>
      </c>
      <c r="B145" t="n">
        <v>19</v>
      </c>
      <c r="C145" t="inlineStr">
        <is>
          <t>efficiency measure 8</t>
        </is>
      </c>
      <c r="D145" t="inlineStr">
        <is>
          <t>(empty slot)</t>
        </is>
      </c>
      <c r="E145" s="151" t="n">
        <v>0</v>
      </c>
      <c r="F145" s="151" t="n">
        <v>0</v>
      </c>
      <c r="G145" s="7" t="n">
        <v>0</v>
      </c>
      <c r="H145" s="7" t="n">
        <v>0</v>
      </c>
      <c r="I145" t="n">
        <v>20</v>
      </c>
    </row>
    <row r="146">
      <c r="A146" t="inlineStr">
        <is>
          <t>refined petroleum and coke 19</t>
        </is>
      </c>
      <c r="B146" t="n">
        <v>19</v>
      </c>
      <c r="C146" t="inlineStr">
        <is>
          <t>efficiency measure 9</t>
        </is>
      </c>
      <c r="D146" t="inlineStr">
        <is>
          <t>(empty slot)</t>
        </is>
      </c>
      <c r="E146" s="151" t="n">
        <v>0</v>
      </c>
      <c r="F146" s="151" t="n">
        <v>0</v>
      </c>
      <c r="G146" s="7" t="n">
        <v>0</v>
      </c>
      <c r="H146" s="7" t="n">
        <v>0</v>
      </c>
      <c r="I146" t="n">
        <v>20</v>
      </c>
    </row>
    <row r="147">
      <c r="A147" t="inlineStr">
        <is>
          <t>refined petroleum and coke 19</t>
        </is>
      </c>
      <c r="B147" t="n">
        <v>19</v>
      </c>
      <c r="C147" t="inlineStr">
        <is>
          <t>efficiency measure 10</t>
        </is>
      </c>
      <c r="D147" t="inlineStr">
        <is>
          <t>(empty slot)</t>
        </is>
      </c>
      <c r="E147" s="151" t="n">
        <v>0</v>
      </c>
      <c r="F147" s="151" t="n">
        <v>0</v>
      </c>
      <c r="G147" s="7" t="n">
        <v>0</v>
      </c>
      <c r="H147" s="7" t="n">
        <v>0</v>
      </c>
      <c r="I147" t="n">
        <v>20</v>
      </c>
    </row>
    <row r="148">
      <c r="A148" t="inlineStr">
        <is>
          <t>refined petroleum and coke 19</t>
        </is>
      </c>
      <c r="B148" t="n">
        <v>19</v>
      </c>
      <c r="C148" t="inlineStr">
        <is>
          <t>efficiency measure 11</t>
        </is>
      </c>
      <c r="D148" t="inlineStr">
        <is>
          <t>(empty slot)</t>
        </is>
      </c>
      <c r="E148" s="151" t="n">
        <v>0</v>
      </c>
      <c r="F148" s="151" t="n">
        <v>0</v>
      </c>
      <c r="G148" s="7" t="n">
        <v>0</v>
      </c>
      <c r="H148" s="7" t="n">
        <v>0</v>
      </c>
      <c r="I148" t="n">
        <v>20</v>
      </c>
    </row>
    <row r="149">
      <c r="A149" t="inlineStr">
        <is>
          <t>refined petroleum and coke 19</t>
        </is>
      </c>
      <c r="B149" t="n">
        <v>19</v>
      </c>
      <c r="C149" t="inlineStr">
        <is>
          <t>efficiency measure 12</t>
        </is>
      </c>
      <c r="D149" t="inlineStr">
        <is>
          <t>(empty slot)</t>
        </is>
      </c>
      <c r="E149" s="151" t="n">
        <v>0</v>
      </c>
      <c r="F149" s="151" t="n">
        <v>0</v>
      </c>
      <c r="G149" s="7" t="n">
        <v>0</v>
      </c>
      <c r="H149" s="7" t="n">
        <v>0</v>
      </c>
      <c r="I149" t="n">
        <v>20</v>
      </c>
    </row>
    <row r="150">
      <c r="A150" t="inlineStr">
        <is>
          <t>refined petroleum and coke 19</t>
        </is>
      </c>
      <c r="B150" t="n">
        <v>19</v>
      </c>
      <c r="C150" t="inlineStr">
        <is>
          <t>efficiency measure 13</t>
        </is>
      </c>
      <c r="D150" t="inlineStr">
        <is>
          <t>(empty slot)</t>
        </is>
      </c>
      <c r="E150" s="151" t="n">
        <v>0</v>
      </c>
      <c r="F150" s="151" t="n">
        <v>0</v>
      </c>
      <c r="G150" s="7" t="n">
        <v>0</v>
      </c>
      <c r="H150" s="7" t="n">
        <v>0</v>
      </c>
      <c r="I150" t="n">
        <v>20</v>
      </c>
    </row>
    <row r="151">
      <c r="A151" t="inlineStr">
        <is>
          <t>refined petroleum and coke 19</t>
        </is>
      </c>
      <c r="B151" t="n">
        <v>19</v>
      </c>
      <c r="C151" t="inlineStr">
        <is>
          <t>efficiency measure 14</t>
        </is>
      </c>
      <c r="D151" t="inlineStr">
        <is>
          <t>(empty slot)</t>
        </is>
      </c>
      <c r="E151" s="151" t="n">
        <v>0</v>
      </c>
      <c r="F151" s="151" t="n">
        <v>0</v>
      </c>
      <c r="G151" s="7" t="n">
        <v>0</v>
      </c>
      <c r="H151" s="7" t="n">
        <v>0</v>
      </c>
      <c r="I151" t="n">
        <v>20</v>
      </c>
    </row>
    <row r="152">
      <c r="A152" t="inlineStr">
        <is>
          <t>refined petroleum and coke 19</t>
        </is>
      </c>
      <c r="B152" t="n">
        <v>19</v>
      </c>
      <c r="C152" t="inlineStr">
        <is>
          <t>efficiency measure 15</t>
        </is>
      </c>
      <c r="D152" t="inlineStr">
        <is>
          <t>(empty slot)</t>
        </is>
      </c>
      <c r="E152" s="151" t="n">
        <v>0</v>
      </c>
      <c r="F152" s="151" t="n">
        <v>0</v>
      </c>
      <c r="G152" s="7" t="n">
        <v>0</v>
      </c>
      <c r="H152" s="7" t="n">
        <v>0</v>
      </c>
      <c r="I152" t="n">
        <v>20</v>
      </c>
    </row>
    <row r="153">
      <c r="A153" t="inlineStr">
        <is>
          <t>refined petroleum and coke 19</t>
        </is>
      </c>
      <c r="B153" t="n">
        <v>19</v>
      </c>
      <c r="C153" t="inlineStr">
        <is>
          <t>efficiency measure 16</t>
        </is>
      </c>
      <c r="D153" t="inlineStr">
        <is>
          <t>(empty slot)</t>
        </is>
      </c>
      <c r="E153" s="151" t="n">
        <v>0</v>
      </c>
      <c r="F153" s="151" t="n">
        <v>0</v>
      </c>
      <c r="G153" s="7" t="n">
        <v>0</v>
      </c>
      <c r="H153" s="7" t="n">
        <v>0</v>
      </c>
      <c r="I153" t="n">
        <v>20</v>
      </c>
    </row>
    <row r="154">
      <c r="A154" t="inlineStr">
        <is>
          <t>refined petroleum and coke 19</t>
        </is>
      </c>
      <c r="B154" t="n">
        <v>19</v>
      </c>
      <c r="C154" t="inlineStr">
        <is>
          <t>efficiency measure 17</t>
        </is>
      </c>
      <c r="D154" t="inlineStr">
        <is>
          <t>(empty slot)</t>
        </is>
      </c>
      <c r="E154" s="151" t="n">
        <v>0</v>
      </c>
      <c r="F154" s="151" t="n">
        <v>0</v>
      </c>
      <c r="G154" s="7" t="n">
        <v>0</v>
      </c>
      <c r="H154" s="7" t="n">
        <v>0</v>
      </c>
      <c r="I154" t="n">
        <v>20</v>
      </c>
    </row>
    <row r="155">
      <c r="A155" t="inlineStr">
        <is>
          <t>chemicals 20</t>
        </is>
      </c>
      <c r="B155" t="n">
        <v>20</v>
      </c>
      <c r="C155" t="inlineStr">
        <is>
          <t>efficiency measure 1</t>
        </is>
      </c>
      <c r="D155">
        <f>economics!B61</f>
        <v/>
      </c>
      <c r="E155" s="151">
        <f>economics!AH61</f>
        <v/>
      </c>
      <c r="F155" s="151">
        <f>economics!AI61</f>
        <v/>
      </c>
      <c r="G155" s="7">
        <f>economics!AM61</f>
        <v/>
      </c>
      <c r="H155" s="7">
        <f>IFERROR(economics!M61/economics!P61/0.947817,0)</f>
        <v/>
      </c>
      <c r="I155">
        <f>economics!I61</f>
        <v/>
      </c>
      <c r="J155" t="inlineStr">
        <is>
          <t>Kermeli</t>
        </is>
      </c>
    </row>
    <row r="156">
      <c r="A156" t="inlineStr">
        <is>
          <t>chemicals 20</t>
        </is>
      </c>
      <c r="B156" t="n">
        <v>20</v>
      </c>
      <c r="C156" t="inlineStr">
        <is>
          <t>efficiency measure 2</t>
        </is>
      </c>
      <c r="D156">
        <f>economics!B62</f>
        <v/>
      </c>
      <c r="E156" s="151">
        <f>economics!AH62</f>
        <v/>
      </c>
      <c r="F156" s="151">
        <f>economics!AI62</f>
        <v/>
      </c>
      <c r="G156" s="7">
        <f>economics!AM62</f>
        <v/>
      </c>
      <c r="H156" s="7">
        <f>IFERROR(economics!M62/economics!P62/0.947817,0)</f>
        <v/>
      </c>
      <c r="I156">
        <f>economics!I62</f>
        <v/>
      </c>
      <c r="J156" t="inlineStr">
        <is>
          <t>Kermeli</t>
        </is>
      </c>
    </row>
    <row r="157">
      <c r="A157" t="inlineStr">
        <is>
          <t>chemicals 20</t>
        </is>
      </c>
      <c r="B157" t="n">
        <v>20</v>
      </c>
      <c r="C157" t="inlineStr">
        <is>
          <t>efficiency measure 3</t>
        </is>
      </c>
      <c r="D157">
        <f>economics!B64</f>
        <v/>
      </c>
      <c r="E157" s="151">
        <f>economics!AH64</f>
        <v/>
      </c>
      <c r="F157" s="151">
        <f>economics!AI64</f>
        <v/>
      </c>
      <c r="G157" s="7">
        <f>economics!AM64</f>
        <v/>
      </c>
      <c r="H157" s="7">
        <f>IFERROR(economics!M64/economics!P64/0.947817,0)</f>
        <v/>
      </c>
      <c r="I157">
        <f>economics!I64</f>
        <v/>
      </c>
      <c r="J157" t="inlineStr">
        <is>
          <t>Kermeli</t>
        </is>
      </c>
    </row>
    <row r="158">
      <c r="A158" t="inlineStr">
        <is>
          <t>chemicals 20</t>
        </is>
      </c>
      <c r="B158" t="n">
        <v>20</v>
      </c>
      <c r="C158" t="inlineStr">
        <is>
          <t>efficiency measure 4</t>
        </is>
      </c>
      <c r="D158">
        <f>economics!B65</f>
        <v/>
      </c>
      <c r="E158" s="151">
        <f>economics!AH65</f>
        <v/>
      </c>
      <c r="F158" s="151">
        <f>economics!AI65</f>
        <v/>
      </c>
      <c r="G158" s="7">
        <f>economics!AM65</f>
        <v/>
      </c>
      <c r="H158" s="7">
        <f>IFERROR(economics!M65/economics!P65/0.947817,0)</f>
        <v/>
      </c>
      <c r="I158">
        <f>economics!I65</f>
        <v/>
      </c>
      <c r="J158" t="inlineStr">
        <is>
          <t>Kermeli</t>
        </is>
      </c>
    </row>
    <row r="159">
      <c r="A159" t="inlineStr">
        <is>
          <t>chemicals 20</t>
        </is>
      </c>
      <c r="B159" t="n">
        <v>20</v>
      </c>
      <c r="C159" t="inlineStr">
        <is>
          <t>efficiency measure 5</t>
        </is>
      </c>
      <c r="D159">
        <f>economics!B66</f>
        <v/>
      </c>
      <c r="E159" s="151">
        <f>economics!AH66</f>
        <v/>
      </c>
      <c r="F159" s="151">
        <f>economics!AI66</f>
        <v/>
      </c>
      <c r="G159" s="7">
        <f>economics!AM66</f>
        <v/>
      </c>
      <c r="H159" s="7">
        <f>IFERROR(economics!M66/economics!P66/0.947817,0)</f>
        <v/>
      </c>
      <c r="I159">
        <f>economics!I66</f>
        <v/>
      </c>
      <c r="J159" t="inlineStr">
        <is>
          <t>Kermeli</t>
        </is>
      </c>
    </row>
    <row r="160">
      <c r="A160" t="inlineStr">
        <is>
          <t>chemicals 20</t>
        </is>
      </c>
      <c r="B160" t="n">
        <v>20</v>
      </c>
      <c r="C160" t="inlineStr">
        <is>
          <t>efficiency measure 6</t>
        </is>
      </c>
      <c r="D160">
        <f>economics!B67</f>
        <v/>
      </c>
      <c r="E160" s="151">
        <f>economics!AH67</f>
        <v/>
      </c>
      <c r="F160" s="151">
        <f>economics!AI67</f>
        <v/>
      </c>
      <c r="G160" s="7">
        <f>economics!AM67</f>
        <v/>
      </c>
      <c r="H160" s="7">
        <f>IFERROR(economics!M67/economics!P67/0.947817,0)</f>
        <v/>
      </c>
      <c r="I160">
        <f>economics!I67</f>
        <v/>
      </c>
      <c r="J160" t="inlineStr">
        <is>
          <t>Kermeli</t>
        </is>
      </c>
    </row>
    <row r="161">
      <c r="A161" t="inlineStr">
        <is>
          <t>chemicals 20</t>
        </is>
      </c>
      <c r="B161" t="n">
        <v>20</v>
      </c>
      <c r="C161" t="inlineStr">
        <is>
          <t>efficiency measure 7</t>
        </is>
      </c>
      <c r="D161">
        <f>economics!B70</f>
        <v/>
      </c>
      <c r="E161" s="151">
        <f>economics!AH70</f>
        <v/>
      </c>
      <c r="F161" s="151">
        <f>economics!AI70</f>
        <v/>
      </c>
      <c r="G161" s="7">
        <f>economics!AM70</f>
        <v/>
      </c>
      <c r="H161" s="7">
        <f>IFERROR(economics!M70/economics!P70/0.947817,0)</f>
        <v/>
      </c>
      <c r="I161">
        <f>economics!I70</f>
        <v/>
      </c>
      <c r="J161" t="inlineStr">
        <is>
          <t>Kermeli</t>
        </is>
      </c>
    </row>
    <row r="162">
      <c r="A162" t="inlineStr">
        <is>
          <t>chemicals 20</t>
        </is>
      </c>
      <c r="B162" t="n">
        <v>20</v>
      </c>
      <c r="C162" t="inlineStr">
        <is>
          <t>efficiency measure 8</t>
        </is>
      </c>
      <c r="D162">
        <f>economics!B72</f>
        <v/>
      </c>
      <c r="E162" s="151">
        <f>economics!AH72</f>
        <v/>
      </c>
      <c r="F162" s="151">
        <f>economics!AI72</f>
        <v/>
      </c>
      <c r="G162" s="7">
        <f>economics!AM72</f>
        <v/>
      </c>
      <c r="H162" s="7">
        <f>IFERROR(economics!M72/economics!P72/0.947817,0)</f>
        <v/>
      </c>
      <c r="I162">
        <f>economics!I72</f>
        <v/>
      </c>
      <c r="J162" t="inlineStr">
        <is>
          <t>Kermeli</t>
        </is>
      </c>
    </row>
    <row r="163">
      <c r="A163" t="inlineStr">
        <is>
          <t>chemicals 20</t>
        </is>
      </c>
      <c r="B163" t="n">
        <v>20</v>
      </c>
      <c r="C163" t="inlineStr">
        <is>
          <t>efficiency measure 9</t>
        </is>
      </c>
      <c r="D163">
        <f>economics!B73</f>
        <v/>
      </c>
      <c r="E163" s="151">
        <f>economics!AH73</f>
        <v/>
      </c>
      <c r="F163" s="151">
        <f>economics!AI73</f>
        <v/>
      </c>
      <c r="G163" s="7">
        <f>economics!AM73</f>
        <v/>
      </c>
      <c r="H163" s="7">
        <f>IFERROR(economics!M73/economics!P73/0.947817,0)</f>
        <v/>
      </c>
      <c r="I163">
        <f>economics!I73</f>
        <v/>
      </c>
      <c r="J163" t="inlineStr">
        <is>
          <t>Kermeli</t>
        </is>
      </c>
    </row>
    <row r="164">
      <c r="A164" t="inlineStr">
        <is>
          <t>chemicals 20</t>
        </is>
      </c>
      <c r="B164" t="n">
        <v>20</v>
      </c>
      <c r="C164" t="inlineStr">
        <is>
          <t>efficiency measure 10</t>
        </is>
      </c>
      <c r="D164">
        <f>economics!B75</f>
        <v/>
      </c>
      <c r="E164" s="151">
        <f>economics!AH75</f>
        <v/>
      </c>
      <c r="F164" s="151">
        <f>economics!AI75</f>
        <v/>
      </c>
      <c r="G164" s="7">
        <f>economics!AM75</f>
        <v/>
      </c>
      <c r="H164" s="7">
        <f>IFERROR(economics!M75/economics!P75/0.947817,0)</f>
        <v/>
      </c>
      <c r="I164">
        <f>economics!I75</f>
        <v/>
      </c>
      <c r="J164" t="inlineStr">
        <is>
          <t>Kermeli</t>
        </is>
      </c>
    </row>
    <row r="165">
      <c r="A165" t="inlineStr">
        <is>
          <t>chemicals 20</t>
        </is>
      </c>
      <c r="B165" t="n">
        <v>20</v>
      </c>
      <c r="C165" t="inlineStr">
        <is>
          <t>efficiency measure 11</t>
        </is>
      </c>
      <c r="D165">
        <f>economics!B76</f>
        <v/>
      </c>
      <c r="E165" s="151">
        <f>economics!AH76</f>
        <v/>
      </c>
      <c r="F165" s="151">
        <f>economics!AI76</f>
        <v/>
      </c>
      <c r="G165" s="7">
        <f>economics!AM76</f>
        <v/>
      </c>
      <c r="H165" s="7">
        <f>IFERROR(economics!M76/economics!P76/0.947817,0)</f>
        <v/>
      </c>
      <c r="I165">
        <f>economics!I76</f>
        <v/>
      </c>
      <c r="J165" t="inlineStr">
        <is>
          <t>Kermeli</t>
        </is>
      </c>
    </row>
    <row r="166">
      <c r="A166" t="inlineStr">
        <is>
          <t>chemicals 20</t>
        </is>
      </c>
      <c r="B166" t="n">
        <v>20</v>
      </c>
      <c r="C166" t="inlineStr">
        <is>
          <t>efficiency measure 12</t>
        </is>
      </c>
      <c r="D166">
        <f>economics!B77</f>
        <v/>
      </c>
      <c r="E166" s="151">
        <f>economics!AH77</f>
        <v/>
      </c>
      <c r="F166" s="151">
        <f>economics!AI77</f>
        <v/>
      </c>
      <c r="G166" s="7">
        <f>economics!AM77</f>
        <v/>
      </c>
      <c r="H166" s="7">
        <f>IFERROR(economics!M77/economics!P77/0.947817,0)</f>
        <v/>
      </c>
      <c r="I166">
        <f>economics!I77</f>
        <v/>
      </c>
      <c r="J166" t="inlineStr">
        <is>
          <t>Kermeli</t>
        </is>
      </c>
    </row>
    <row r="167">
      <c r="A167" t="inlineStr">
        <is>
          <t>chemicals 20</t>
        </is>
      </c>
      <c r="B167" t="n">
        <v>20</v>
      </c>
      <c r="C167" t="inlineStr">
        <is>
          <t>efficiency measure 13</t>
        </is>
      </c>
      <c r="D167">
        <f>economics!B78</f>
        <v/>
      </c>
      <c r="E167" s="151">
        <f>economics!AH78</f>
        <v/>
      </c>
      <c r="F167" s="151">
        <f>economics!AI78</f>
        <v/>
      </c>
      <c r="G167" s="7">
        <f>economics!AM78</f>
        <v/>
      </c>
      <c r="H167" s="7">
        <f>IFERROR(economics!M78/economics!P78/0.947817,0)</f>
        <v/>
      </c>
      <c r="I167">
        <f>economics!I78</f>
        <v/>
      </c>
      <c r="J167" t="inlineStr">
        <is>
          <t>Kermeli</t>
        </is>
      </c>
    </row>
    <row r="168">
      <c r="A168" t="inlineStr">
        <is>
          <t>chemicals 20</t>
        </is>
      </c>
      <c r="B168" t="n">
        <v>20</v>
      </c>
      <c r="C168" t="inlineStr">
        <is>
          <t>efficiency measure 14</t>
        </is>
      </c>
      <c r="D168">
        <f>economics!B79</f>
        <v/>
      </c>
      <c r="E168" s="151">
        <f>economics!AH79</f>
        <v/>
      </c>
      <c r="F168" s="151">
        <f>economics!AI79</f>
        <v/>
      </c>
      <c r="G168" s="7">
        <f>economics!AM79</f>
        <v/>
      </c>
      <c r="H168" s="7">
        <f>IFERROR(economics!M79/economics!P79/0.947817,0)</f>
        <v/>
      </c>
      <c r="I168">
        <f>economics!I79</f>
        <v/>
      </c>
      <c r="J168" t="inlineStr">
        <is>
          <t>Kermeli</t>
        </is>
      </c>
    </row>
    <row r="169">
      <c r="A169" t="inlineStr">
        <is>
          <t>chemicals 20</t>
        </is>
      </c>
      <c r="B169" t="n">
        <v>20</v>
      </c>
      <c r="C169" t="inlineStr">
        <is>
          <t>efficiency measure 15</t>
        </is>
      </c>
      <c r="D169">
        <f>economics!B82</f>
        <v/>
      </c>
      <c r="E169" s="151">
        <f>economics!AH82</f>
        <v/>
      </c>
      <c r="F169" s="151">
        <f>economics!AI82</f>
        <v/>
      </c>
      <c r="G169" s="7">
        <f>economics!AM82</f>
        <v/>
      </c>
      <c r="H169" s="7">
        <f>IFERROR(economics!M82/economics!P82/0.947817,0)</f>
        <v/>
      </c>
      <c r="I169">
        <f>economics!I82</f>
        <v/>
      </c>
      <c r="J169" t="inlineStr">
        <is>
          <t>Kermeli</t>
        </is>
      </c>
    </row>
    <row r="170">
      <c r="A170" t="inlineStr">
        <is>
          <t>chemicals 20</t>
        </is>
      </c>
      <c r="B170" t="n">
        <v>20</v>
      </c>
      <c r="C170" t="inlineStr">
        <is>
          <t>efficiency measure 16</t>
        </is>
      </c>
      <c r="D170">
        <f>economics!B83</f>
        <v/>
      </c>
      <c r="E170" s="151">
        <f>economics!AH83</f>
        <v/>
      </c>
      <c r="F170" s="151">
        <f>economics!AI83</f>
        <v/>
      </c>
      <c r="G170" s="7">
        <f>economics!AM83</f>
        <v/>
      </c>
      <c r="H170" s="7">
        <f>IFERROR(economics!M83/economics!P83/0.947817,0)</f>
        <v/>
      </c>
      <c r="I170">
        <f>economics!I83</f>
        <v/>
      </c>
      <c r="J170" t="inlineStr">
        <is>
          <t>Kermeli</t>
        </is>
      </c>
    </row>
    <row r="171">
      <c r="A171" t="inlineStr">
        <is>
          <t>chemicals 20</t>
        </is>
      </c>
      <c r="B171" t="n">
        <v>20</v>
      </c>
      <c r="C171" t="inlineStr">
        <is>
          <t>efficiency measure 17</t>
        </is>
      </c>
      <c r="D171">
        <f>economics!B84</f>
        <v/>
      </c>
      <c r="E171" s="151">
        <f>economics!AH84</f>
        <v/>
      </c>
      <c r="F171" s="151">
        <f>economics!AI84</f>
        <v/>
      </c>
      <c r="G171" s="7">
        <f>economics!AM84</f>
        <v/>
      </c>
      <c r="H171" s="7">
        <f>IFERROR(economics!M84/economics!P84/0.947817,0)</f>
        <v/>
      </c>
      <c r="I171">
        <f>economics!I84</f>
        <v/>
      </c>
      <c r="J171" t="inlineStr">
        <is>
          <t>Kermeli</t>
        </is>
      </c>
    </row>
    <row r="172">
      <c r="A172" t="inlineStr">
        <is>
          <t>rubber and plastic products 22</t>
        </is>
      </c>
      <c r="B172" t="n">
        <v>22</v>
      </c>
      <c r="C172" t="inlineStr">
        <is>
          <t>efficiency measure 1</t>
        </is>
      </c>
      <c r="D172" t="inlineStr">
        <is>
          <t>(empty slot)</t>
        </is>
      </c>
      <c r="E172" s="151" t="n">
        <v>0</v>
      </c>
      <c r="F172" s="151" t="n">
        <v>0</v>
      </c>
      <c r="G172" s="7" t="n">
        <v>0</v>
      </c>
      <c r="H172" s="7" t="n">
        <v>0</v>
      </c>
      <c r="I172" t="n">
        <v>20</v>
      </c>
    </row>
    <row r="173">
      <c r="A173" t="inlineStr">
        <is>
          <t>rubber and plastic products 22</t>
        </is>
      </c>
      <c r="B173" t="n">
        <v>22</v>
      </c>
      <c r="C173" t="inlineStr">
        <is>
          <t>efficiency measure 2</t>
        </is>
      </c>
      <c r="D173" t="inlineStr">
        <is>
          <t>(empty slot)</t>
        </is>
      </c>
      <c r="E173" s="151" t="n">
        <v>0</v>
      </c>
      <c r="F173" s="151" t="n">
        <v>0</v>
      </c>
      <c r="G173" s="7" t="n">
        <v>0</v>
      </c>
      <c r="H173" s="7" t="n">
        <v>0</v>
      </c>
      <c r="I173" t="n">
        <v>20</v>
      </c>
    </row>
    <row r="174">
      <c r="A174" t="inlineStr">
        <is>
          <t>rubber and plastic products 22</t>
        </is>
      </c>
      <c r="B174" t="n">
        <v>22</v>
      </c>
      <c r="C174" t="inlineStr">
        <is>
          <t>efficiency measure 3</t>
        </is>
      </c>
      <c r="D174" t="inlineStr">
        <is>
          <t>(empty slot)</t>
        </is>
      </c>
      <c r="E174" s="151" t="n">
        <v>0</v>
      </c>
      <c r="F174" s="151" t="n">
        <v>0</v>
      </c>
      <c r="G174" s="7" t="n">
        <v>0</v>
      </c>
      <c r="H174" s="7" t="n">
        <v>0</v>
      </c>
      <c r="I174" t="n">
        <v>20</v>
      </c>
    </row>
    <row r="175">
      <c r="A175" t="inlineStr">
        <is>
          <t>rubber and plastic products 22</t>
        </is>
      </c>
      <c r="B175" t="n">
        <v>22</v>
      </c>
      <c r="C175" t="inlineStr">
        <is>
          <t>efficiency measure 4</t>
        </is>
      </c>
      <c r="D175" t="inlineStr">
        <is>
          <t>(empty slot)</t>
        </is>
      </c>
      <c r="E175" s="151" t="n">
        <v>0</v>
      </c>
      <c r="F175" s="151" t="n">
        <v>0</v>
      </c>
      <c r="G175" s="7" t="n">
        <v>0</v>
      </c>
      <c r="H175" s="7" t="n">
        <v>0</v>
      </c>
      <c r="I175" t="n">
        <v>20</v>
      </c>
    </row>
    <row r="176">
      <c r="A176" t="inlineStr">
        <is>
          <t>rubber and plastic products 22</t>
        </is>
      </c>
      <c r="B176" t="n">
        <v>22</v>
      </c>
      <c r="C176" t="inlineStr">
        <is>
          <t>efficiency measure 5</t>
        </is>
      </c>
      <c r="D176" t="inlineStr">
        <is>
          <t>(empty slot)</t>
        </is>
      </c>
      <c r="E176" s="151" t="n">
        <v>0</v>
      </c>
      <c r="F176" s="151" t="n">
        <v>0</v>
      </c>
      <c r="G176" s="7" t="n">
        <v>0</v>
      </c>
      <c r="H176" s="7" t="n">
        <v>0</v>
      </c>
      <c r="I176" t="n">
        <v>20</v>
      </c>
    </row>
    <row r="177">
      <c r="A177" t="inlineStr">
        <is>
          <t>rubber and plastic products 22</t>
        </is>
      </c>
      <c r="B177" t="n">
        <v>22</v>
      </c>
      <c r="C177" t="inlineStr">
        <is>
          <t>efficiency measure 6</t>
        </is>
      </c>
      <c r="D177" t="inlineStr">
        <is>
          <t>(empty slot)</t>
        </is>
      </c>
      <c r="E177" s="151" t="n">
        <v>0</v>
      </c>
      <c r="F177" s="151" t="n">
        <v>0</v>
      </c>
      <c r="G177" s="7" t="n">
        <v>0</v>
      </c>
      <c r="H177" s="7" t="n">
        <v>0</v>
      </c>
      <c r="I177" t="n">
        <v>20</v>
      </c>
    </row>
    <row r="178">
      <c r="A178" t="inlineStr">
        <is>
          <t>rubber and plastic products 22</t>
        </is>
      </c>
      <c r="B178" t="n">
        <v>22</v>
      </c>
      <c r="C178" t="inlineStr">
        <is>
          <t>efficiency measure 7</t>
        </is>
      </c>
      <c r="D178" t="inlineStr">
        <is>
          <t>(empty slot)</t>
        </is>
      </c>
      <c r="E178" s="151" t="n">
        <v>0</v>
      </c>
      <c r="F178" s="151" t="n">
        <v>0</v>
      </c>
      <c r="G178" s="7" t="n">
        <v>0</v>
      </c>
      <c r="H178" s="7" t="n">
        <v>0</v>
      </c>
      <c r="I178" t="n">
        <v>20</v>
      </c>
    </row>
    <row r="179">
      <c r="A179" t="inlineStr">
        <is>
          <t>rubber and plastic products 22</t>
        </is>
      </c>
      <c r="B179" t="n">
        <v>22</v>
      </c>
      <c r="C179" t="inlineStr">
        <is>
          <t>efficiency measure 8</t>
        </is>
      </c>
      <c r="D179" t="inlineStr">
        <is>
          <t>(empty slot)</t>
        </is>
      </c>
      <c r="E179" s="151" t="n">
        <v>0</v>
      </c>
      <c r="F179" s="151" t="n">
        <v>0</v>
      </c>
      <c r="G179" s="7" t="n">
        <v>0</v>
      </c>
      <c r="H179" s="7" t="n">
        <v>0</v>
      </c>
      <c r="I179" t="n">
        <v>20</v>
      </c>
    </row>
    <row r="180">
      <c r="A180" t="inlineStr">
        <is>
          <t>rubber and plastic products 22</t>
        </is>
      </c>
      <c r="B180" t="n">
        <v>22</v>
      </c>
      <c r="C180" t="inlineStr">
        <is>
          <t>efficiency measure 9</t>
        </is>
      </c>
      <c r="D180" t="inlineStr">
        <is>
          <t>(empty slot)</t>
        </is>
      </c>
      <c r="E180" s="151" t="n">
        <v>0</v>
      </c>
      <c r="F180" s="151" t="n">
        <v>0</v>
      </c>
      <c r="G180" s="7" t="n">
        <v>0</v>
      </c>
      <c r="H180" s="7" t="n">
        <v>0</v>
      </c>
      <c r="I180" t="n">
        <v>20</v>
      </c>
    </row>
    <row r="181">
      <c r="A181" t="inlineStr">
        <is>
          <t>rubber and plastic products 22</t>
        </is>
      </c>
      <c r="B181" t="n">
        <v>22</v>
      </c>
      <c r="C181" t="inlineStr">
        <is>
          <t>efficiency measure 10</t>
        </is>
      </c>
      <c r="D181" t="inlineStr">
        <is>
          <t>(empty slot)</t>
        </is>
      </c>
      <c r="E181" s="151" t="n">
        <v>0</v>
      </c>
      <c r="F181" s="151" t="n">
        <v>0</v>
      </c>
      <c r="G181" s="7" t="n">
        <v>0</v>
      </c>
      <c r="H181" s="7" t="n">
        <v>0</v>
      </c>
      <c r="I181" t="n">
        <v>20</v>
      </c>
    </row>
    <row r="182">
      <c r="A182" t="inlineStr">
        <is>
          <t>rubber and plastic products 22</t>
        </is>
      </c>
      <c r="B182" t="n">
        <v>22</v>
      </c>
      <c r="C182" t="inlineStr">
        <is>
          <t>efficiency measure 11</t>
        </is>
      </c>
      <c r="D182" t="inlineStr">
        <is>
          <t>(empty slot)</t>
        </is>
      </c>
      <c r="E182" s="151" t="n">
        <v>0</v>
      </c>
      <c r="F182" s="151" t="n">
        <v>0</v>
      </c>
      <c r="G182" s="7" t="n">
        <v>0</v>
      </c>
      <c r="H182" s="7" t="n">
        <v>0</v>
      </c>
      <c r="I182" t="n">
        <v>20</v>
      </c>
    </row>
    <row r="183">
      <c r="A183" t="inlineStr">
        <is>
          <t>rubber and plastic products 22</t>
        </is>
      </c>
      <c r="B183" t="n">
        <v>22</v>
      </c>
      <c r="C183" t="inlineStr">
        <is>
          <t>efficiency measure 12</t>
        </is>
      </c>
      <c r="D183" t="inlineStr">
        <is>
          <t>(empty slot)</t>
        </is>
      </c>
      <c r="E183" s="151" t="n">
        <v>0</v>
      </c>
      <c r="F183" s="151" t="n">
        <v>0</v>
      </c>
      <c r="G183" s="7" t="n">
        <v>0</v>
      </c>
      <c r="H183" s="7" t="n">
        <v>0</v>
      </c>
      <c r="I183" t="n">
        <v>20</v>
      </c>
    </row>
    <row r="184">
      <c r="A184" t="inlineStr">
        <is>
          <t>rubber and plastic products 22</t>
        </is>
      </c>
      <c r="B184" t="n">
        <v>22</v>
      </c>
      <c r="C184" t="inlineStr">
        <is>
          <t>efficiency measure 13</t>
        </is>
      </c>
      <c r="D184" t="inlineStr">
        <is>
          <t>(empty slot)</t>
        </is>
      </c>
      <c r="E184" s="151" t="n">
        <v>0</v>
      </c>
      <c r="F184" s="151" t="n">
        <v>0</v>
      </c>
      <c r="G184" s="7" t="n">
        <v>0</v>
      </c>
      <c r="H184" s="7" t="n">
        <v>0</v>
      </c>
      <c r="I184" t="n">
        <v>20</v>
      </c>
    </row>
    <row r="185">
      <c r="A185" t="inlineStr">
        <is>
          <t>rubber and plastic products 22</t>
        </is>
      </c>
      <c r="B185" t="n">
        <v>22</v>
      </c>
      <c r="C185" t="inlineStr">
        <is>
          <t>efficiency measure 14</t>
        </is>
      </c>
      <c r="D185" t="inlineStr">
        <is>
          <t>(empty slot)</t>
        </is>
      </c>
      <c r="E185" s="151" t="n">
        <v>0</v>
      </c>
      <c r="F185" s="151" t="n">
        <v>0</v>
      </c>
      <c r="G185" s="7" t="n">
        <v>0</v>
      </c>
      <c r="H185" s="7" t="n">
        <v>0</v>
      </c>
      <c r="I185" t="n">
        <v>20</v>
      </c>
    </row>
    <row r="186">
      <c r="A186" t="inlineStr">
        <is>
          <t>rubber and plastic products 22</t>
        </is>
      </c>
      <c r="B186" t="n">
        <v>22</v>
      </c>
      <c r="C186" t="inlineStr">
        <is>
          <t>efficiency measure 15</t>
        </is>
      </c>
      <c r="D186" t="inlineStr">
        <is>
          <t>(empty slot)</t>
        </is>
      </c>
      <c r="E186" s="151" t="n">
        <v>0</v>
      </c>
      <c r="F186" s="151" t="n">
        <v>0</v>
      </c>
      <c r="G186" s="7" t="n">
        <v>0</v>
      </c>
      <c r="H186" s="7" t="n">
        <v>0</v>
      </c>
      <c r="I186" t="n">
        <v>20</v>
      </c>
    </row>
    <row r="187">
      <c r="A187" t="inlineStr">
        <is>
          <t>rubber and plastic products 22</t>
        </is>
      </c>
      <c r="B187" t="n">
        <v>22</v>
      </c>
      <c r="C187" t="inlineStr">
        <is>
          <t>efficiency measure 16</t>
        </is>
      </c>
      <c r="D187" t="inlineStr">
        <is>
          <t>(empty slot)</t>
        </is>
      </c>
      <c r="E187" s="151" t="n">
        <v>0</v>
      </c>
      <c r="F187" s="151" t="n">
        <v>0</v>
      </c>
      <c r="G187" s="7" t="n">
        <v>0</v>
      </c>
      <c r="H187" s="7" t="n">
        <v>0</v>
      </c>
      <c r="I187" t="n">
        <v>20</v>
      </c>
    </row>
    <row r="188">
      <c r="A188" t="inlineStr">
        <is>
          <t>rubber and plastic products 22</t>
        </is>
      </c>
      <c r="B188" t="n">
        <v>22</v>
      </c>
      <c r="C188" t="inlineStr">
        <is>
          <t>efficiency measure 17</t>
        </is>
      </c>
      <c r="D188" t="inlineStr">
        <is>
          <t>(empty slot)</t>
        </is>
      </c>
      <c r="E188" s="151" t="n">
        <v>0</v>
      </c>
      <c r="F188" s="151" t="n">
        <v>0</v>
      </c>
      <c r="G188" s="7" t="n">
        <v>0</v>
      </c>
      <c r="H188" s="7" t="n">
        <v>0</v>
      </c>
      <c r="I188" t="n">
        <v>20</v>
      </c>
    </row>
    <row r="189">
      <c r="A189" t="inlineStr">
        <is>
          <t>glass and glass products 231</t>
        </is>
      </c>
      <c r="B189" t="n">
        <v>231</v>
      </c>
      <c r="C189" t="inlineStr">
        <is>
          <t>efficiency measure 1</t>
        </is>
      </c>
      <c r="D189">
        <f>economics!B31</f>
        <v/>
      </c>
      <c r="E189" s="151">
        <f>economics!AH31</f>
        <v/>
      </c>
      <c r="F189" s="151">
        <f>economics!AI31</f>
        <v/>
      </c>
      <c r="G189" s="7">
        <f>economics!AM31</f>
        <v/>
      </c>
      <c r="H189" s="7">
        <f>IFERROR(economics!M31/economics!P31/0.947817,0)</f>
        <v/>
      </c>
      <c r="I189">
        <f>economics!I31</f>
        <v/>
      </c>
      <c r="J189" t="inlineStr">
        <is>
          <t>Kermeli</t>
        </is>
      </c>
    </row>
    <row r="190">
      <c r="A190" t="inlineStr">
        <is>
          <t>glass and glass products 231</t>
        </is>
      </c>
      <c r="B190" t="n">
        <v>231</v>
      </c>
      <c r="C190" t="inlineStr">
        <is>
          <t>efficiency measure 2</t>
        </is>
      </c>
      <c r="D190">
        <f>economics!B33</f>
        <v/>
      </c>
      <c r="E190" s="151">
        <f>economics!AH33</f>
        <v/>
      </c>
      <c r="F190" s="151">
        <f>economics!AI33</f>
        <v/>
      </c>
      <c r="G190" s="7">
        <f>economics!AM33</f>
        <v/>
      </c>
      <c r="H190" s="7">
        <f>IFERROR(economics!M33/economics!P33/0.947817,0)</f>
        <v/>
      </c>
      <c r="I190">
        <f>economics!I33</f>
        <v/>
      </c>
      <c r="J190" t="inlineStr">
        <is>
          <t>Kermeli</t>
        </is>
      </c>
    </row>
    <row r="191">
      <c r="A191" t="inlineStr">
        <is>
          <t>glass and glass products 231</t>
        </is>
      </c>
      <c r="B191" t="n">
        <v>231</v>
      </c>
      <c r="C191" t="inlineStr">
        <is>
          <t>efficiency measure 3</t>
        </is>
      </c>
      <c r="D191">
        <f>economics!B34</f>
        <v/>
      </c>
      <c r="E191" s="151">
        <f>economics!AH34</f>
        <v/>
      </c>
      <c r="F191" s="151">
        <f>economics!AI34</f>
        <v/>
      </c>
      <c r="G191" s="7">
        <f>economics!AM34</f>
        <v/>
      </c>
      <c r="H191" s="7">
        <f>IFERROR(economics!M34/economics!P34/0.947817,0)</f>
        <v/>
      </c>
      <c r="I191">
        <f>economics!I34</f>
        <v/>
      </c>
      <c r="J191" t="inlineStr">
        <is>
          <t>Kermeli</t>
        </is>
      </c>
    </row>
    <row r="192">
      <c r="A192" t="inlineStr">
        <is>
          <t>glass and glass products 231</t>
        </is>
      </c>
      <c r="B192" t="n">
        <v>231</v>
      </c>
      <c r="C192" t="inlineStr">
        <is>
          <t>efficiency measure 4</t>
        </is>
      </c>
      <c r="D192">
        <f>economics!B38</f>
        <v/>
      </c>
      <c r="E192" s="151">
        <f>economics!AH38</f>
        <v/>
      </c>
      <c r="F192" s="151">
        <f>economics!AI38</f>
        <v/>
      </c>
      <c r="G192" s="7">
        <f>economics!AM38</f>
        <v/>
      </c>
      <c r="H192" s="7">
        <f>IFERROR(economics!M38/economics!P38/0.947817,0)</f>
        <v/>
      </c>
      <c r="I192">
        <f>economics!I38</f>
        <v/>
      </c>
      <c r="J192" t="inlineStr">
        <is>
          <t>Kermeli</t>
        </is>
      </c>
    </row>
    <row r="193">
      <c r="A193" t="inlineStr">
        <is>
          <t>glass and glass products 231</t>
        </is>
      </c>
      <c r="B193" t="n">
        <v>231</v>
      </c>
      <c r="C193" t="inlineStr">
        <is>
          <t>efficiency measure 5</t>
        </is>
      </c>
      <c r="D193">
        <f>economics!B39</f>
        <v/>
      </c>
      <c r="E193" s="151">
        <f>economics!AH39</f>
        <v/>
      </c>
      <c r="F193" s="151">
        <f>economics!AI39</f>
        <v/>
      </c>
      <c r="G193" s="7">
        <f>economics!AM39</f>
        <v/>
      </c>
      <c r="H193" s="7">
        <f>IFERROR(economics!M39/economics!P39/0.947817,0)</f>
        <v/>
      </c>
      <c r="I193">
        <f>economics!I39</f>
        <v/>
      </c>
      <c r="J193" t="inlineStr">
        <is>
          <t>Kermeli</t>
        </is>
      </c>
    </row>
    <row r="194">
      <c r="A194" t="inlineStr">
        <is>
          <t>glass and glass products 231</t>
        </is>
      </c>
      <c r="B194" t="n">
        <v>231</v>
      </c>
      <c r="C194" t="inlineStr">
        <is>
          <t>efficiency measure 6</t>
        </is>
      </c>
      <c r="D194" t="inlineStr">
        <is>
          <t>(empty slot)</t>
        </is>
      </c>
      <c r="E194" s="151" t="n">
        <v>0</v>
      </c>
      <c r="F194" s="151" t="n">
        <v>0</v>
      </c>
      <c r="G194" s="7" t="n">
        <v>0</v>
      </c>
      <c r="H194" s="7" t="n">
        <v>0</v>
      </c>
      <c r="I194" t="n">
        <v>20</v>
      </c>
    </row>
    <row r="195">
      <c r="A195" t="inlineStr">
        <is>
          <t>glass and glass products 231</t>
        </is>
      </c>
      <c r="B195" t="n">
        <v>231</v>
      </c>
      <c r="C195" t="inlineStr">
        <is>
          <t>efficiency measure 7</t>
        </is>
      </c>
      <c r="D195" t="inlineStr">
        <is>
          <t>(empty slot)</t>
        </is>
      </c>
      <c r="E195" s="151" t="n">
        <v>0</v>
      </c>
      <c r="F195" s="151" t="n">
        <v>0</v>
      </c>
      <c r="G195" s="7" t="n">
        <v>0</v>
      </c>
      <c r="H195" s="7" t="n">
        <v>0</v>
      </c>
      <c r="I195" t="n">
        <v>20</v>
      </c>
    </row>
    <row r="196">
      <c r="A196" t="inlineStr">
        <is>
          <t>glass and glass products 231</t>
        </is>
      </c>
      <c r="B196" t="n">
        <v>231</v>
      </c>
      <c r="C196" t="inlineStr">
        <is>
          <t>efficiency measure 8</t>
        </is>
      </c>
      <c r="D196" t="inlineStr">
        <is>
          <t>(empty slot)</t>
        </is>
      </c>
      <c r="E196" s="151" t="n">
        <v>0</v>
      </c>
      <c r="F196" s="151" t="n">
        <v>0</v>
      </c>
      <c r="G196" s="7" t="n">
        <v>0</v>
      </c>
      <c r="H196" s="7" t="n">
        <v>0</v>
      </c>
      <c r="I196" t="n">
        <v>20</v>
      </c>
    </row>
    <row r="197">
      <c r="A197" t="inlineStr">
        <is>
          <t>glass and glass products 231</t>
        </is>
      </c>
      <c r="B197" t="n">
        <v>231</v>
      </c>
      <c r="C197" t="inlineStr">
        <is>
          <t>efficiency measure 9</t>
        </is>
      </c>
      <c r="D197" t="inlineStr">
        <is>
          <t>(empty slot)</t>
        </is>
      </c>
      <c r="E197" s="151" t="n">
        <v>0</v>
      </c>
      <c r="F197" s="151" t="n">
        <v>0</v>
      </c>
      <c r="G197" s="7" t="n">
        <v>0</v>
      </c>
      <c r="H197" s="7" t="n">
        <v>0</v>
      </c>
      <c r="I197" t="n">
        <v>20</v>
      </c>
    </row>
    <row r="198">
      <c r="A198" t="inlineStr">
        <is>
          <t>glass and glass products 231</t>
        </is>
      </c>
      <c r="B198" t="n">
        <v>231</v>
      </c>
      <c r="C198" t="inlineStr">
        <is>
          <t>efficiency measure 10</t>
        </is>
      </c>
      <c r="D198" t="inlineStr">
        <is>
          <t>(empty slot)</t>
        </is>
      </c>
      <c r="E198" s="151" t="n">
        <v>0</v>
      </c>
      <c r="F198" s="151" t="n">
        <v>0</v>
      </c>
      <c r="G198" s="7" t="n">
        <v>0</v>
      </c>
      <c r="H198" s="7" t="n">
        <v>0</v>
      </c>
      <c r="I198" t="n">
        <v>20</v>
      </c>
    </row>
    <row r="199">
      <c r="A199" t="inlineStr">
        <is>
          <t>glass and glass products 231</t>
        </is>
      </c>
      <c r="B199" t="n">
        <v>231</v>
      </c>
      <c r="C199" t="inlineStr">
        <is>
          <t>efficiency measure 11</t>
        </is>
      </c>
      <c r="D199" t="inlineStr">
        <is>
          <t>(empty slot)</t>
        </is>
      </c>
      <c r="E199" s="151" t="n">
        <v>0</v>
      </c>
      <c r="F199" s="151" t="n">
        <v>0</v>
      </c>
      <c r="G199" s="7" t="n">
        <v>0</v>
      </c>
      <c r="H199" s="7" t="n">
        <v>0</v>
      </c>
      <c r="I199" t="n">
        <v>20</v>
      </c>
    </row>
    <row r="200">
      <c r="A200" t="inlineStr">
        <is>
          <t>glass and glass products 231</t>
        </is>
      </c>
      <c r="B200" t="n">
        <v>231</v>
      </c>
      <c r="C200" t="inlineStr">
        <is>
          <t>efficiency measure 12</t>
        </is>
      </c>
      <c r="D200" t="inlineStr">
        <is>
          <t>(empty slot)</t>
        </is>
      </c>
      <c r="E200" s="151" t="n">
        <v>0</v>
      </c>
      <c r="F200" s="151" t="n">
        <v>0</v>
      </c>
      <c r="G200" s="7" t="n">
        <v>0</v>
      </c>
      <c r="H200" s="7" t="n">
        <v>0</v>
      </c>
      <c r="I200" t="n">
        <v>20</v>
      </c>
    </row>
    <row r="201">
      <c r="A201" t="inlineStr">
        <is>
          <t>glass and glass products 231</t>
        </is>
      </c>
      <c r="B201" t="n">
        <v>231</v>
      </c>
      <c r="C201" t="inlineStr">
        <is>
          <t>efficiency measure 13</t>
        </is>
      </c>
      <c r="D201" t="inlineStr">
        <is>
          <t>(empty slot)</t>
        </is>
      </c>
      <c r="E201" s="151" t="n">
        <v>0</v>
      </c>
      <c r="F201" s="151" t="n">
        <v>0</v>
      </c>
      <c r="G201" s="7" t="n">
        <v>0</v>
      </c>
      <c r="H201" s="7" t="n">
        <v>0</v>
      </c>
      <c r="I201" t="n">
        <v>20</v>
      </c>
    </row>
    <row r="202">
      <c r="A202" t="inlineStr">
        <is>
          <t>glass and glass products 231</t>
        </is>
      </c>
      <c r="B202" t="n">
        <v>231</v>
      </c>
      <c r="C202" t="inlineStr">
        <is>
          <t>efficiency measure 14</t>
        </is>
      </c>
      <c r="D202" t="inlineStr">
        <is>
          <t>(empty slot)</t>
        </is>
      </c>
      <c r="E202" s="151" t="n">
        <v>0</v>
      </c>
      <c r="F202" s="151" t="n">
        <v>0</v>
      </c>
      <c r="G202" s="7" t="n">
        <v>0</v>
      </c>
      <c r="H202" s="7" t="n">
        <v>0</v>
      </c>
      <c r="I202" t="n">
        <v>20</v>
      </c>
    </row>
    <row r="203">
      <c r="A203" t="inlineStr">
        <is>
          <t>glass and glass products 231</t>
        </is>
      </c>
      <c r="B203" t="n">
        <v>231</v>
      </c>
      <c r="C203" t="inlineStr">
        <is>
          <t>efficiency measure 15</t>
        </is>
      </c>
      <c r="D203" t="inlineStr">
        <is>
          <t>(empty slot)</t>
        </is>
      </c>
      <c r="E203" s="151" t="n">
        <v>0</v>
      </c>
      <c r="F203" s="151" t="n">
        <v>0</v>
      </c>
      <c r="G203" s="7" t="n">
        <v>0</v>
      </c>
      <c r="H203" s="7" t="n">
        <v>0</v>
      </c>
      <c r="I203" t="n">
        <v>20</v>
      </c>
    </row>
    <row r="204">
      <c r="A204" t="inlineStr">
        <is>
          <t>glass and glass products 231</t>
        </is>
      </c>
      <c r="B204" t="n">
        <v>231</v>
      </c>
      <c r="C204" t="inlineStr">
        <is>
          <t>efficiency measure 16</t>
        </is>
      </c>
      <c r="D204" t="inlineStr">
        <is>
          <t>(empty slot)</t>
        </is>
      </c>
      <c r="E204" s="151" t="n">
        <v>0</v>
      </c>
      <c r="F204" s="151" t="n">
        <v>0</v>
      </c>
      <c r="G204" s="7" t="n">
        <v>0</v>
      </c>
      <c r="H204" s="7" t="n">
        <v>0</v>
      </c>
      <c r="I204" t="n">
        <v>20</v>
      </c>
    </row>
    <row r="205">
      <c r="A205" t="inlineStr">
        <is>
          <t>glass and glass products 231</t>
        </is>
      </c>
      <c r="B205" t="n">
        <v>231</v>
      </c>
      <c r="C205" t="inlineStr">
        <is>
          <t>efficiency measure 17</t>
        </is>
      </c>
      <c r="D205" t="inlineStr">
        <is>
          <t>(empty slot)</t>
        </is>
      </c>
      <c r="E205" s="151" t="n">
        <v>0</v>
      </c>
      <c r="F205" s="151" t="n">
        <v>0</v>
      </c>
      <c r="G205" s="7" t="n">
        <v>0</v>
      </c>
      <c r="H205" s="7" t="n">
        <v>0</v>
      </c>
      <c r="I205" t="n">
        <v>20</v>
      </c>
    </row>
    <row r="206">
      <c r="A206" t="inlineStr">
        <is>
          <t>cement and other nonmetallic minerals 239</t>
        </is>
      </c>
      <c r="B206" t="n">
        <v>239</v>
      </c>
      <c r="C206" t="inlineStr">
        <is>
          <t>efficiency measure 1</t>
        </is>
      </c>
      <c r="D206">
        <f>economics!B85</f>
        <v/>
      </c>
      <c r="E206" s="151">
        <f>economics!AH85</f>
        <v/>
      </c>
      <c r="F206" s="151">
        <f>economics!AI85</f>
        <v/>
      </c>
      <c r="G206" s="7">
        <f>economics!AM85</f>
        <v/>
      </c>
      <c r="H206" s="7">
        <f>IFERROR(economics!M85/economics!P85/0.947817,0)</f>
        <v/>
      </c>
      <c r="I206">
        <f>economics!I85</f>
        <v/>
      </c>
      <c r="J206" t="inlineStr">
        <is>
          <t>Kermeli</t>
        </is>
      </c>
    </row>
    <row r="207">
      <c r="A207" t="inlineStr">
        <is>
          <t>cement and other nonmetallic minerals 239</t>
        </is>
      </c>
      <c r="B207" t="n">
        <v>239</v>
      </c>
      <c r="C207" t="inlineStr">
        <is>
          <t>efficiency measure 2</t>
        </is>
      </c>
      <c r="D207">
        <f>economics!B86</f>
        <v/>
      </c>
      <c r="E207" s="151">
        <f>economics!AH86</f>
        <v/>
      </c>
      <c r="F207" s="151">
        <f>economics!AI86</f>
        <v/>
      </c>
      <c r="G207" s="7">
        <f>economics!AM86</f>
        <v/>
      </c>
      <c r="H207" s="7">
        <f>IFERROR(economics!M86/economics!P86/0.947817,0)</f>
        <v/>
      </c>
      <c r="I207">
        <f>economics!I86</f>
        <v/>
      </c>
      <c r="J207" t="inlineStr">
        <is>
          <t>Kermeli</t>
        </is>
      </c>
    </row>
    <row r="208">
      <c r="A208" t="inlineStr">
        <is>
          <t>cement and other nonmetallic minerals 239</t>
        </is>
      </c>
      <c r="B208" t="n">
        <v>239</v>
      </c>
      <c r="C208" t="inlineStr">
        <is>
          <t>efficiency measure 3</t>
        </is>
      </c>
      <c r="D208">
        <f>economics!B87</f>
        <v/>
      </c>
      <c r="E208" s="151">
        <f>economics!AH87</f>
        <v/>
      </c>
      <c r="F208" s="151">
        <f>economics!AI87</f>
        <v/>
      </c>
      <c r="G208" s="7">
        <f>economics!AM87</f>
        <v/>
      </c>
      <c r="H208" s="7">
        <f>IFERROR(economics!M87/economics!P87/0.947817,0)</f>
        <v/>
      </c>
      <c r="I208">
        <f>economics!I87</f>
        <v/>
      </c>
      <c r="J208" t="inlineStr">
        <is>
          <t>Kermeli</t>
        </is>
      </c>
    </row>
    <row r="209">
      <c r="A209" t="inlineStr">
        <is>
          <t>cement and other nonmetallic minerals 239</t>
        </is>
      </c>
      <c r="B209" t="n">
        <v>239</v>
      </c>
      <c r="C209" t="inlineStr">
        <is>
          <t>efficiency measure 4</t>
        </is>
      </c>
      <c r="D209">
        <f>economics!B88</f>
        <v/>
      </c>
      <c r="E209" s="151">
        <f>economics!AH88</f>
        <v/>
      </c>
      <c r="F209" s="151">
        <f>economics!AI88</f>
        <v/>
      </c>
      <c r="G209" s="7">
        <f>economics!AM88</f>
        <v/>
      </c>
      <c r="H209" s="7">
        <f>IFERROR(economics!M88/economics!P88/0.947817,0)</f>
        <v/>
      </c>
      <c r="I209">
        <f>economics!I88</f>
        <v/>
      </c>
      <c r="J209" t="inlineStr">
        <is>
          <t>Kermeli</t>
        </is>
      </c>
    </row>
    <row r="210">
      <c r="A210" t="inlineStr">
        <is>
          <t>cement and other nonmetallic minerals 239</t>
        </is>
      </c>
      <c r="B210" t="n">
        <v>239</v>
      </c>
      <c r="C210" t="inlineStr">
        <is>
          <t>efficiency measure 5</t>
        </is>
      </c>
      <c r="D210">
        <f>economics!B89</f>
        <v/>
      </c>
      <c r="E210" s="151">
        <f>economics!AH89</f>
        <v/>
      </c>
      <c r="F210" s="151">
        <f>economics!AI89</f>
        <v/>
      </c>
      <c r="G210" s="7">
        <f>economics!AM89</f>
        <v/>
      </c>
      <c r="H210" s="7">
        <f>IFERROR(economics!M89/economics!P89/0.947817,0)</f>
        <v/>
      </c>
      <c r="I210">
        <f>economics!I89</f>
        <v/>
      </c>
      <c r="J210" t="inlineStr">
        <is>
          <t>Kermeli</t>
        </is>
      </c>
    </row>
    <row r="211">
      <c r="A211" t="inlineStr">
        <is>
          <t>cement and other nonmetallic minerals 239</t>
        </is>
      </c>
      <c r="B211" t="n">
        <v>239</v>
      </c>
      <c r="C211" t="inlineStr">
        <is>
          <t>efficiency measure 6</t>
        </is>
      </c>
      <c r="D211">
        <f>economics!B90</f>
        <v/>
      </c>
      <c r="E211" s="151">
        <f>economics!AH90</f>
        <v/>
      </c>
      <c r="F211" s="151">
        <f>economics!AI90</f>
        <v/>
      </c>
      <c r="G211" s="7">
        <f>economics!AM90</f>
        <v/>
      </c>
      <c r="H211" s="7">
        <f>IFERROR(economics!M90/economics!P90/0.947817,0)</f>
        <v/>
      </c>
      <c r="I211">
        <f>economics!I90</f>
        <v/>
      </c>
      <c r="J211" t="inlineStr">
        <is>
          <t>Kermeli</t>
        </is>
      </c>
    </row>
    <row r="212">
      <c r="A212" t="inlineStr">
        <is>
          <t>cement and other nonmetallic minerals 239</t>
        </is>
      </c>
      <c r="B212" t="n">
        <v>239</v>
      </c>
      <c r="C212" t="inlineStr">
        <is>
          <t>efficiency measure 7</t>
        </is>
      </c>
      <c r="D212">
        <f>economics!B91</f>
        <v/>
      </c>
      <c r="E212" s="151">
        <f>economics!AH91</f>
        <v/>
      </c>
      <c r="F212" s="151">
        <f>economics!AI91</f>
        <v/>
      </c>
      <c r="G212" s="7">
        <f>economics!AM91</f>
        <v/>
      </c>
      <c r="H212" s="7">
        <f>IFERROR(economics!M91/economics!P91/0.947817,0)</f>
        <v/>
      </c>
      <c r="I212">
        <f>economics!I91</f>
        <v/>
      </c>
      <c r="J212" t="inlineStr">
        <is>
          <t>Kermeli</t>
        </is>
      </c>
    </row>
    <row r="213">
      <c r="A213" t="inlineStr">
        <is>
          <t>cement and other nonmetallic minerals 239</t>
        </is>
      </c>
      <c r="B213" t="n">
        <v>239</v>
      </c>
      <c r="C213" t="inlineStr">
        <is>
          <t>efficiency measure 8</t>
        </is>
      </c>
      <c r="D213">
        <f>economics!B92</f>
        <v/>
      </c>
      <c r="E213" s="151">
        <f>economics!AH92</f>
        <v/>
      </c>
      <c r="F213" s="151">
        <f>economics!AI92</f>
        <v/>
      </c>
      <c r="G213" s="7">
        <f>economics!AM92</f>
        <v/>
      </c>
      <c r="H213" s="7">
        <f>IFERROR(economics!M92/economics!P92/0.947817,0)</f>
        <v/>
      </c>
      <c r="I213">
        <f>economics!I92</f>
        <v/>
      </c>
      <c r="J213" t="inlineStr">
        <is>
          <t>Kermeli</t>
        </is>
      </c>
    </row>
    <row r="214">
      <c r="A214" t="inlineStr">
        <is>
          <t>cement and other nonmetallic minerals 239</t>
        </is>
      </c>
      <c r="B214" t="n">
        <v>239</v>
      </c>
      <c r="C214" t="inlineStr">
        <is>
          <t>efficiency measure 9</t>
        </is>
      </c>
      <c r="D214">
        <f>economics!B93</f>
        <v/>
      </c>
      <c r="E214" s="151">
        <f>economics!AH93</f>
        <v/>
      </c>
      <c r="F214" s="151">
        <f>economics!AI93</f>
        <v/>
      </c>
      <c r="G214" s="7">
        <f>economics!AM93</f>
        <v/>
      </c>
      <c r="H214" s="7">
        <f>IFERROR(economics!M93/economics!P93/0.947817,0)</f>
        <v/>
      </c>
      <c r="I214">
        <f>economics!I93</f>
        <v/>
      </c>
      <c r="J214" t="inlineStr">
        <is>
          <t>Kermeli</t>
        </is>
      </c>
    </row>
    <row r="215">
      <c r="A215" t="inlineStr">
        <is>
          <t>cement and other nonmetallic minerals 239</t>
        </is>
      </c>
      <c r="B215" t="n">
        <v>239</v>
      </c>
      <c r="C215" t="inlineStr">
        <is>
          <t>efficiency measure 10</t>
        </is>
      </c>
      <c r="D215">
        <f>economics!B96</f>
        <v/>
      </c>
      <c r="E215" s="151">
        <f>economics!AH96</f>
        <v/>
      </c>
      <c r="F215" s="151">
        <f>economics!AI96</f>
        <v/>
      </c>
      <c r="G215" s="7">
        <f>economics!AM96</f>
        <v/>
      </c>
      <c r="H215" s="7">
        <f>IFERROR(economics!M96/economics!P96/0.947817,0)</f>
        <v/>
      </c>
      <c r="I215">
        <f>economics!I96</f>
        <v/>
      </c>
      <c r="J215" t="inlineStr">
        <is>
          <t>Kermeli</t>
        </is>
      </c>
    </row>
    <row r="216">
      <c r="A216" t="inlineStr">
        <is>
          <t>cement and other nonmetallic minerals 239</t>
        </is>
      </c>
      <c r="B216" t="n">
        <v>239</v>
      </c>
      <c r="C216" t="inlineStr">
        <is>
          <t>efficiency measure 11</t>
        </is>
      </c>
      <c r="D216">
        <f>economics!B103</f>
        <v/>
      </c>
      <c r="E216" s="151">
        <f>economics!AH103</f>
        <v/>
      </c>
      <c r="F216" s="151">
        <f>economics!AI103</f>
        <v/>
      </c>
      <c r="G216" s="7">
        <f>economics!AM103</f>
        <v/>
      </c>
      <c r="H216" s="7">
        <f>IFERROR(economics!M103/economics!P103/0.947817,0)</f>
        <v/>
      </c>
      <c r="I216">
        <f>economics!I103</f>
        <v/>
      </c>
      <c r="J216" t="inlineStr">
        <is>
          <t>Kermeli</t>
        </is>
      </c>
    </row>
    <row r="217">
      <c r="A217" t="inlineStr">
        <is>
          <t>cement and other nonmetallic minerals 239</t>
        </is>
      </c>
      <c r="B217" t="n">
        <v>239</v>
      </c>
      <c r="C217" t="inlineStr">
        <is>
          <t>efficiency measure 12</t>
        </is>
      </c>
      <c r="D217" t="inlineStr">
        <is>
          <t>(empty slot)</t>
        </is>
      </c>
      <c r="E217" s="151" t="n">
        <v>0</v>
      </c>
      <c r="F217" s="151" t="n">
        <v>0</v>
      </c>
      <c r="G217" s="7" t="n">
        <v>0</v>
      </c>
      <c r="H217" s="7" t="n">
        <v>0</v>
      </c>
      <c r="I217" t="n">
        <v>20</v>
      </c>
    </row>
    <row r="218">
      <c r="A218" t="inlineStr">
        <is>
          <t>cement and other nonmetallic minerals 239</t>
        </is>
      </c>
      <c r="B218" t="n">
        <v>239</v>
      </c>
      <c r="C218" t="inlineStr">
        <is>
          <t>efficiency measure 13</t>
        </is>
      </c>
      <c r="D218">
        <f>economics!B105</f>
        <v/>
      </c>
      <c r="E218" s="151">
        <f>economics!AH105</f>
        <v/>
      </c>
      <c r="F218" s="151">
        <f>economics!AI105</f>
        <v/>
      </c>
      <c r="G218" s="7">
        <f>economics!AM105</f>
        <v/>
      </c>
      <c r="H218" s="7">
        <f>IFERROR(economics!M105/economics!P105/0.947817,0)</f>
        <v/>
      </c>
      <c r="I218">
        <f>economics!I105</f>
        <v/>
      </c>
      <c r="J218" t="inlineStr">
        <is>
          <t>Kermeli</t>
        </is>
      </c>
    </row>
    <row r="219">
      <c r="A219" t="inlineStr">
        <is>
          <t>cement and other nonmetallic minerals 239</t>
        </is>
      </c>
      <c r="B219" t="n">
        <v>239</v>
      </c>
      <c r="C219" t="inlineStr">
        <is>
          <t>efficiency measure 14</t>
        </is>
      </c>
      <c r="D219">
        <f>economics!B106</f>
        <v/>
      </c>
      <c r="E219" s="151">
        <f>economics!AH106</f>
        <v/>
      </c>
      <c r="F219" s="151">
        <f>economics!AI106</f>
        <v/>
      </c>
      <c r="G219" s="7">
        <f>economics!AM106</f>
        <v/>
      </c>
      <c r="H219" s="7">
        <f>IFERROR(economics!M106/economics!P106/0.947817,0)</f>
        <v/>
      </c>
      <c r="I219">
        <f>economics!I106</f>
        <v/>
      </c>
      <c r="J219" t="inlineStr">
        <is>
          <t>Kermeli</t>
        </is>
      </c>
    </row>
    <row r="220">
      <c r="A220" t="inlineStr">
        <is>
          <t>cement and other nonmetallic minerals 239</t>
        </is>
      </c>
      <c r="B220" t="n">
        <v>239</v>
      </c>
      <c r="C220" t="inlineStr">
        <is>
          <t>efficiency measure 15</t>
        </is>
      </c>
      <c r="D220">
        <f>economics!B107</f>
        <v/>
      </c>
      <c r="E220" s="151">
        <f>economics!AH107</f>
        <v/>
      </c>
      <c r="F220" s="151">
        <f>economics!AI107</f>
        <v/>
      </c>
      <c r="G220" s="7">
        <f>economics!AM107</f>
        <v/>
      </c>
      <c r="H220" s="7">
        <f>IFERROR(economics!M107/economics!P107/0.947817,0)</f>
        <v/>
      </c>
      <c r="I220">
        <f>economics!I107</f>
        <v/>
      </c>
      <c r="J220" t="inlineStr">
        <is>
          <t>Kermeli</t>
        </is>
      </c>
    </row>
    <row r="221">
      <c r="A221" t="inlineStr">
        <is>
          <t>cement and other nonmetallic minerals 239</t>
        </is>
      </c>
      <c r="B221" t="n">
        <v>239</v>
      </c>
      <c r="C221" t="inlineStr">
        <is>
          <t>efficiency measure 16</t>
        </is>
      </c>
      <c r="D221" t="inlineStr">
        <is>
          <t>(empty slot)</t>
        </is>
      </c>
      <c r="E221" s="151" t="n">
        <v>0</v>
      </c>
      <c r="F221" s="151" t="n">
        <v>0</v>
      </c>
      <c r="G221" s="7" t="n">
        <v>0</v>
      </c>
      <c r="H221" s="7" t="n">
        <v>0</v>
      </c>
      <c r="I221" t="n">
        <v>20</v>
      </c>
    </row>
    <row r="222">
      <c r="A222" t="inlineStr">
        <is>
          <t>cement and other nonmetallic minerals 239</t>
        </is>
      </c>
      <c r="B222" t="n">
        <v>239</v>
      </c>
      <c r="C222" t="inlineStr">
        <is>
          <t>efficiency measure 17</t>
        </is>
      </c>
      <c r="D222" t="inlineStr">
        <is>
          <t>(empty slot)</t>
        </is>
      </c>
      <c r="E222" s="151" t="n">
        <v>0</v>
      </c>
      <c r="F222" s="151" t="n">
        <v>0</v>
      </c>
      <c r="G222" s="7" t="n">
        <v>0</v>
      </c>
      <c r="H222" s="7" t="n">
        <v>0</v>
      </c>
      <c r="I222" t="n">
        <v>20</v>
      </c>
    </row>
    <row r="223">
      <c r="A223" t="inlineStr">
        <is>
          <t>iron and steel 241</t>
        </is>
      </c>
      <c r="B223" t="n">
        <v>241</v>
      </c>
      <c r="C223" t="inlineStr">
        <is>
          <t>efficiency measure 1</t>
        </is>
      </c>
      <c r="D223">
        <f>economics!B10</f>
        <v/>
      </c>
      <c r="E223" s="151">
        <f>economics!AH10</f>
        <v/>
      </c>
      <c r="F223" s="151">
        <f>economics!AI10</f>
        <v/>
      </c>
      <c r="G223" s="7">
        <f>economics!AM10</f>
        <v/>
      </c>
      <c r="H223" s="7">
        <f>IFERROR(economics!M10/economics!P10/0.947817,0)</f>
        <v/>
      </c>
      <c r="I223">
        <f>economics!I10</f>
        <v/>
      </c>
      <c r="J223" t="inlineStr">
        <is>
          <t>Kermeli</t>
        </is>
      </c>
    </row>
    <row r="224">
      <c r="A224" t="inlineStr">
        <is>
          <t>iron and steel 241</t>
        </is>
      </c>
      <c r="B224" t="n">
        <v>241</v>
      </c>
      <c r="C224" t="inlineStr">
        <is>
          <t>efficiency measure 2</t>
        </is>
      </c>
      <c r="D224">
        <f>economics!B11</f>
        <v/>
      </c>
      <c r="E224" s="151">
        <f>economics!AH11</f>
        <v/>
      </c>
      <c r="F224" s="151">
        <f>economics!AI11</f>
        <v/>
      </c>
      <c r="G224" s="7">
        <f>economics!AM11</f>
        <v/>
      </c>
      <c r="H224" s="7">
        <f>IFERROR(economics!M11/economics!P11/0.947817,0)</f>
        <v/>
      </c>
      <c r="I224">
        <f>economics!I11</f>
        <v/>
      </c>
      <c r="J224" t="inlineStr">
        <is>
          <t>Kermeli</t>
        </is>
      </c>
    </row>
    <row r="225">
      <c r="A225" t="inlineStr">
        <is>
          <t>iron and steel 241</t>
        </is>
      </c>
      <c r="B225" t="n">
        <v>241</v>
      </c>
      <c r="C225" t="inlineStr">
        <is>
          <t>efficiency measure 3</t>
        </is>
      </c>
      <c r="D225">
        <f>economics!B12</f>
        <v/>
      </c>
      <c r="E225" s="151">
        <f>economics!AH12</f>
        <v/>
      </c>
      <c r="F225" s="151">
        <f>economics!AI12</f>
        <v/>
      </c>
      <c r="G225" s="7">
        <f>economics!AM12</f>
        <v/>
      </c>
      <c r="H225" s="7">
        <f>IFERROR(economics!M12/economics!P12/0.947817,0)</f>
        <v/>
      </c>
      <c r="I225">
        <f>economics!I12</f>
        <v/>
      </c>
      <c r="J225" t="inlineStr">
        <is>
          <t>Kermeli</t>
        </is>
      </c>
    </row>
    <row r="226">
      <c r="A226" t="inlineStr">
        <is>
          <t>iron and steel 241</t>
        </is>
      </c>
      <c r="B226" t="n">
        <v>241</v>
      </c>
      <c r="C226" t="inlineStr">
        <is>
          <t>efficiency measure 4</t>
        </is>
      </c>
      <c r="D226">
        <f>economics!B15</f>
        <v/>
      </c>
      <c r="E226" s="151">
        <f>economics!AH15</f>
        <v/>
      </c>
      <c r="F226" s="151">
        <f>economics!AI15</f>
        <v/>
      </c>
      <c r="G226" s="7">
        <f>economics!AM15</f>
        <v/>
      </c>
      <c r="H226" s="7">
        <f>IFERROR(economics!M15/economics!P15/0.947817,0)</f>
        <v/>
      </c>
      <c r="I226">
        <f>economics!I15</f>
        <v/>
      </c>
      <c r="J226" t="inlineStr">
        <is>
          <t>Kermeli</t>
        </is>
      </c>
    </row>
    <row r="227">
      <c r="A227" t="inlineStr">
        <is>
          <t>iron and steel 241</t>
        </is>
      </c>
      <c r="B227" t="n">
        <v>241</v>
      </c>
      <c r="C227" t="inlineStr">
        <is>
          <t>efficiency measure 5</t>
        </is>
      </c>
      <c r="D227">
        <f>economics!B16</f>
        <v/>
      </c>
      <c r="E227" s="151">
        <f>economics!AH16</f>
        <v/>
      </c>
      <c r="F227" s="151">
        <f>economics!AI16</f>
        <v/>
      </c>
      <c r="G227" s="7">
        <f>economics!AM16</f>
        <v/>
      </c>
      <c r="H227" s="7">
        <f>IFERROR(economics!M16/economics!P16/0.947817,0)</f>
        <v/>
      </c>
      <c r="I227">
        <f>economics!I16</f>
        <v/>
      </c>
      <c r="J227" t="inlineStr">
        <is>
          <t>Kermeli</t>
        </is>
      </c>
    </row>
    <row r="228">
      <c r="A228" t="inlineStr">
        <is>
          <t>iron and steel 241</t>
        </is>
      </c>
      <c r="B228" t="n">
        <v>241</v>
      </c>
      <c r="C228" t="inlineStr">
        <is>
          <t>efficiency measure 6</t>
        </is>
      </c>
      <c r="D228">
        <f>economics!B18</f>
        <v/>
      </c>
      <c r="E228" s="151">
        <f>economics!AH18</f>
        <v/>
      </c>
      <c r="F228" s="151">
        <f>economics!AI18</f>
        <v/>
      </c>
      <c r="G228" s="7">
        <f>economics!AM18</f>
        <v/>
      </c>
      <c r="H228" s="7">
        <f>IFERROR(economics!M18/economics!P18/0.947817,0)</f>
        <v/>
      </c>
      <c r="I228">
        <f>economics!I18</f>
        <v/>
      </c>
      <c r="J228" t="inlineStr">
        <is>
          <t>Kermeli</t>
        </is>
      </c>
    </row>
    <row r="229">
      <c r="A229" t="inlineStr">
        <is>
          <t>iron and steel 241</t>
        </is>
      </c>
      <c r="B229" t="n">
        <v>241</v>
      </c>
      <c r="C229" t="inlineStr">
        <is>
          <t>efficiency measure 7</t>
        </is>
      </c>
      <c r="D229">
        <f>economics!B19</f>
        <v/>
      </c>
      <c r="E229" s="151">
        <f>economics!AH19</f>
        <v/>
      </c>
      <c r="F229" s="151">
        <f>economics!AI19</f>
        <v/>
      </c>
      <c r="G229" s="7">
        <f>economics!AM19</f>
        <v/>
      </c>
      <c r="H229" s="7">
        <f>IFERROR(economics!M19/economics!P19/0.947817,0)</f>
        <v/>
      </c>
      <c r="I229">
        <f>economics!I19</f>
        <v/>
      </c>
      <c r="J229" t="inlineStr">
        <is>
          <t>Kermeli</t>
        </is>
      </c>
    </row>
    <row r="230">
      <c r="A230" t="inlineStr">
        <is>
          <t>iron and steel 241</t>
        </is>
      </c>
      <c r="B230" t="n">
        <v>241</v>
      </c>
      <c r="C230" t="inlineStr">
        <is>
          <t>efficiency measure 8</t>
        </is>
      </c>
      <c r="D230">
        <f>economics!B20</f>
        <v/>
      </c>
      <c r="E230" s="151">
        <f>economics!AH20</f>
        <v/>
      </c>
      <c r="F230" s="151">
        <f>economics!AI20</f>
        <v/>
      </c>
      <c r="G230" s="7">
        <f>economics!AM20</f>
        <v/>
      </c>
      <c r="H230" s="7">
        <f>IFERROR(economics!M20/economics!P20/0.947817,0)</f>
        <v/>
      </c>
      <c r="I230">
        <f>economics!I20</f>
        <v/>
      </c>
      <c r="J230" t="inlineStr">
        <is>
          <t>Kermeli</t>
        </is>
      </c>
    </row>
    <row r="231">
      <c r="A231" t="inlineStr">
        <is>
          <t>iron and steel 241</t>
        </is>
      </c>
      <c r="B231" t="n">
        <v>241</v>
      </c>
      <c r="C231" t="inlineStr">
        <is>
          <t>efficiency measure 9</t>
        </is>
      </c>
      <c r="D231">
        <f>economics!B23</f>
        <v/>
      </c>
      <c r="E231" s="151">
        <f>economics!AH23</f>
        <v/>
      </c>
      <c r="F231" s="151">
        <f>economics!AI23</f>
        <v/>
      </c>
      <c r="G231" s="7">
        <f>economics!AM23</f>
        <v/>
      </c>
      <c r="H231" s="7">
        <f>IFERROR(economics!M23/economics!P23/0.947817,0)</f>
        <v/>
      </c>
      <c r="I231">
        <f>economics!I23</f>
        <v/>
      </c>
      <c r="J231" t="inlineStr">
        <is>
          <t>Kermeli</t>
        </is>
      </c>
    </row>
    <row r="232">
      <c r="A232" t="inlineStr">
        <is>
          <t>iron and steel 241</t>
        </is>
      </c>
      <c r="B232" t="n">
        <v>241</v>
      </c>
      <c r="C232" t="inlineStr">
        <is>
          <t>efficiency measure 10</t>
        </is>
      </c>
      <c r="D232">
        <f>economics!B24</f>
        <v/>
      </c>
      <c r="E232" s="151">
        <f>economics!AH24</f>
        <v/>
      </c>
      <c r="F232" s="151">
        <f>economics!AI24</f>
        <v/>
      </c>
      <c r="G232" s="7">
        <f>economics!AM24</f>
        <v/>
      </c>
      <c r="H232" s="7">
        <f>IFERROR(economics!M24/economics!P24/0.947817,0)</f>
        <v/>
      </c>
      <c r="I232">
        <f>economics!I24</f>
        <v/>
      </c>
      <c r="J232" t="inlineStr">
        <is>
          <t>Kermeli</t>
        </is>
      </c>
    </row>
    <row r="233">
      <c r="A233" t="inlineStr">
        <is>
          <t>iron and steel 241</t>
        </is>
      </c>
      <c r="B233" t="n">
        <v>241</v>
      </c>
      <c r="C233" t="inlineStr">
        <is>
          <t>efficiency measure 11</t>
        </is>
      </c>
      <c r="D233">
        <f>economics!B25</f>
        <v/>
      </c>
      <c r="E233" s="151">
        <f>economics!AH25</f>
        <v/>
      </c>
      <c r="F233" s="151">
        <f>economics!AI25</f>
        <v/>
      </c>
      <c r="G233" s="7">
        <f>economics!AM25</f>
        <v/>
      </c>
      <c r="H233" s="7">
        <f>IFERROR(economics!M25/economics!P25/0.947817,0)</f>
        <v/>
      </c>
      <c r="I233">
        <f>economics!I25</f>
        <v/>
      </c>
      <c r="J233" t="inlineStr">
        <is>
          <t>Kermeli</t>
        </is>
      </c>
    </row>
    <row r="234">
      <c r="A234" t="inlineStr">
        <is>
          <t>iron and steel 241</t>
        </is>
      </c>
      <c r="B234" t="n">
        <v>241</v>
      </c>
      <c r="C234" t="inlineStr">
        <is>
          <t>efficiency measure 12</t>
        </is>
      </c>
      <c r="D234">
        <f>economics!B26</f>
        <v/>
      </c>
      <c r="E234" s="151">
        <f>economics!AH26</f>
        <v/>
      </c>
      <c r="F234" s="151">
        <f>economics!AI26</f>
        <v/>
      </c>
      <c r="G234" s="7">
        <f>economics!AM26</f>
        <v/>
      </c>
      <c r="H234" s="7">
        <f>IFERROR(economics!M26/economics!P26/0.947817,0)</f>
        <v/>
      </c>
      <c r="I234">
        <f>economics!I26</f>
        <v/>
      </c>
      <c r="J234" t="inlineStr">
        <is>
          <t>Kermeli</t>
        </is>
      </c>
    </row>
    <row r="235">
      <c r="A235" t="inlineStr">
        <is>
          <t>iron and steel 241</t>
        </is>
      </c>
      <c r="B235" t="n">
        <v>241</v>
      </c>
      <c r="C235" t="inlineStr">
        <is>
          <t>efficiency measure 13</t>
        </is>
      </c>
      <c r="D235" t="inlineStr">
        <is>
          <t>(empty slot)</t>
        </is>
      </c>
      <c r="E235" s="151" t="n">
        <v>0</v>
      </c>
      <c r="F235" s="151" t="n">
        <v>0</v>
      </c>
      <c r="G235" s="7" t="n">
        <v>0</v>
      </c>
      <c r="H235" s="7" t="n">
        <v>0</v>
      </c>
      <c r="I235" t="n">
        <v>20</v>
      </c>
    </row>
    <row r="236">
      <c r="A236" t="inlineStr">
        <is>
          <t>iron and steel 241</t>
        </is>
      </c>
      <c r="B236" t="n">
        <v>241</v>
      </c>
      <c r="C236" t="inlineStr">
        <is>
          <t>efficiency measure 14</t>
        </is>
      </c>
      <c r="D236">
        <f>economics!B29</f>
        <v/>
      </c>
      <c r="E236" s="151">
        <f>economics!AH29</f>
        <v/>
      </c>
      <c r="F236" s="151">
        <f>economics!AI29</f>
        <v/>
      </c>
      <c r="G236" s="7">
        <f>economics!AM29</f>
        <v/>
      </c>
      <c r="H236" s="7">
        <f>IFERROR(economics!M29/economics!P29/0.947817,0)</f>
        <v/>
      </c>
      <c r="I236">
        <f>economics!I29</f>
        <v/>
      </c>
      <c r="J236" t="inlineStr">
        <is>
          <t>Kermeli</t>
        </is>
      </c>
    </row>
    <row r="237">
      <c r="A237" t="inlineStr">
        <is>
          <t>iron and steel 241</t>
        </is>
      </c>
      <c r="B237" t="n">
        <v>241</v>
      </c>
      <c r="C237" t="inlineStr">
        <is>
          <t>efficiency measure 15</t>
        </is>
      </c>
      <c r="D237" t="inlineStr">
        <is>
          <t>(empty slot)</t>
        </is>
      </c>
      <c r="E237" s="151" t="n">
        <v>0</v>
      </c>
      <c r="F237" s="151" t="n">
        <v>0</v>
      </c>
      <c r="G237" s="7" t="n">
        <v>0</v>
      </c>
      <c r="H237" s="7" t="n">
        <v>0</v>
      </c>
      <c r="I237" t="n">
        <v>20</v>
      </c>
    </row>
    <row r="238">
      <c r="A238" t="inlineStr">
        <is>
          <t>iron and steel 241</t>
        </is>
      </c>
      <c r="B238" t="n">
        <v>241</v>
      </c>
      <c r="C238" t="inlineStr">
        <is>
          <t>efficiency measure 16</t>
        </is>
      </c>
      <c r="D238" t="inlineStr">
        <is>
          <t>(empty slot)</t>
        </is>
      </c>
      <c r="E238" s="151" t="n">
        <v>0</v>
      </c>
      <c r="F238" s="151" t="n">
        <v>0</v>
      </c>
      <c r="G238" s="7" t="n">
        <v>0</v>
      </c>
      <c r="H238" s="7" t="n">
        <v>0</v>
      </c>
      <c r="I238" t="n">
        <v>20</v>
      </c>
    </row>
    <row r="239">
      <c r="A239" t="inlineStr">
        <is>
          <t>iron and steel 241</t>
        </is>
      </c>
      <c r="B239" t="n">
        <v>241</v>
      </c>
      <c r="C239" t="inlineStr">
        <is>
          <t>efficiency measure 17</t>
        </is>
      </c>
      <c r="D239" t="inlineStr">
        <is>
          <t>(empty slot)</t>
        </is>
      </c>
      <c r="E239" s="151" t="n">
        <v>0</v>
      </c>
      <c r="F239" s="151" t="n">
        <v>0</v>
      </c>
      <c r="G239" s="7" t="n">
        <v>0</v>
      </c>
      <c r="H239" s="7" t="n">
        <v>0</v>
      </c>
      <c r="I239" t="n">
        <v>20</v>
      </c>
    </row>
    <row r="240">
      <c r="A240" t="inlineStr">
        <is>
          <t>other metals 242</t>
        </is>
      </c>
      <c r="B240" t="n">
        <v>242</v>
      </c>
      <c r="C240" t="inlineStr">
        <is>
          <t>efficiency measure 1</t>
        </is>
      </c>
      <c r="D240">
        <f>economics!B2</f>
        <v/>
      </c>
      <c r="E240" s="151">
        <f>economics!AH2</f>
        <v/>
      </c>
      <c r="F240" s="151">
        <f>economics!AI2</f>
        <v/>
      </c>
      <c r="G240" s="7">
        <f>economics!AM2</f>
        <v/>
      </c>
      <c r="H240" s="7">
        <f>IFERROR(economics!M2/economics!P2/0.947817,0)</f>
        <v/>
      </c>
      <c r="I240">
        <f>economics!I2</f>
        <v/>
      </c>
      <c r="J240" t="inlineStr">
        <is>
          <t>Kermeli</t>
        </is>
      </c>
    </row>
    <row r="241">
      <c r="A241" t="inlineStr">
        <is>
          <t>other metals 242</t>
        </is>
      </c>
      <c r="B241" t="n">
        <v>242</v>
      </c>
      <c r="C241" t="inlineStr">
        <is>
          <t>efficiency measure 2</t>
        </is>
      </c>
      <c r="D241">
        <f>economics!B3</f>
        <v/>
      </c>
      <c r="E241" s="151">
        <f>economics!AH3</f>
        <v/>
      </c>
      <c r="F241" s="151">
        <f>economics!AI3</f>
        <v/>
      </c>
      <c r="G241" s="7">
        <f>economics!AM3</f>
        <v/>
      </c>
      <c r="H241" s="7">
        <f>IFERROR(economics!M3/economics!P3/0.947817,0)</f>
        <v/>
      </c>
      <c r="I241">
        <f>economics!I3</f>
        <v/>
      </c>
      <c r="J241" t="inlineStr">
        <is>
          <t>Kermeli</t>
        </is>
      </c>
    </row>
    <row r="242">
      <c r="A242" t="inlineStr">
        <is>
          <t>other metals 242</t>
        </is>
      </c>
      <c r="B242" t="n">
        <v>242</v>
      </c>
      <c r="C242" t="inlineStr">
        <is>
          <t>efficiency measure 3</t>
        </is>
      </c>
      <c r="D242">
        <f>economics!B4</f>
        <v/>
      </c>
      <c r="E242" s="151">
        <f>economics!AH4</f>
        <v/>
      </c>
      <c r="F242" s="151">
        <f>economics!AI4</f>
        <v/>
      </c>
      <c r="G242" s="7">
        <f>economics!AM4</f>
        <v/>
      </c>
      <c r="H242" s="7">
        <f>IFERROR(economics!M4/economics!P4/0.947817,0)</f>
        <v/>
      </c>
      <c r="I242">
        <f>economics!I4</f>
        <v/>
      </c>
      <c r="J242" t="inlineStr">
        <is>
          <t>Kermeli</t>
        </is>
      </c>
    </row>
    <row r="243">
      <c r="A243" t="inlineStr">
        <is>
          <t>other metals 242</t>
        </is>
      </c>
      <c r="B243" t="n">
        <v>242</v>
      </c>
      <c r="C243" t="inlineStr">
        <is>
          <t>efficiency measure 4</t>
        </is>
      </c>
      <c r="D243" t="inlineStr">
        <is>
          <t>(empty slot)</t>
        </is>
      </c>
      <c r="E243" s="151" t="n">
        <v>0</v>
      </c>
      <c r="F243" s="151" t="n">
        <v>0</v>
      </c>
      <c r="G243" s="7" t="n">
        <v>0</v>
      </c>
      <c r="H243" s="7" t="n">
        <v>0</v>
      </c>
      <c r="I243" t="n">
        <v>20</v>
      </c>
    </row>
    <row r="244">
      <c r="A244" t="inlineStr">
        <is>
          <t>other metals 242</t>
        </is>
      </c>
      <c r="B244" t="n">
        <v>242</v>
      </c>
      <c r="C244" t="inlineStr">
        <is>
          <t>efficiency measure 5</t>
        </is>
      </c>
      <c r="D244">
        <f>economics!B7</f>
        <v/>
      </c>
      <c r="E244" s="151">
        <f>economics!AH7</f>
        <v/>
      </c>
      <c r="F244" s="151">
        <f>economics!AI7</f>
        <v/>
      </c>
      <c r="G244" s="7">
        <f>economics!AM7</f>
        <v/>
      </c>
      <c r="H244" s="7">
        <f>IFERROR(economics!M7/economics!P7/0.947817,0)</f>
        <v/>
      </c>
      <c r="I244">
        <f>economics!I7</f>
        <v/>
      </c>
      <c r="J244" t="inlineStr">
        <is>
          <t>Kermeli</t>
        </is>
      </c>
    </row>
    <row r="245">
      <c r="A245" t="inlineStr">
        <is>
          <t>other metals 242</t>
        </is>
      </c>
      <c r="B245" t="n">
        <v>242</v>
      </c>
      <c r="C245" t="inlineStr">
        <is>
          <t>efficiency measure 6</t>
        </is>
      </c>
      <c r="D245">
        <f>economics!B9</f>
        <v/>
      </c>
      <c r="E245" s="151">
        <f>economics!AH9</f>
        <v/>
      </c>
      <c r="F245" s="151">
        <f>economics!AI9</f>
        <v/>
      </c>
      <c r="G245" s="7">
        <f>economics!AM9</f>
        <v/>
      </c>
      <c r="H245" s="7">
        <f>IFERROR(economics!M9/economics!P9/0.947817,0)</f>
        <v/>
      </c>
      <c r="I245">
        <f>economics!I9</f>
        <v/>
      </c>
      <c r="J245" t="inlineStr">
        <is>
          <t>Kermeli</t>
        </is>
      </c>
    </row>
    <row r="246">
      <c r="A246" t="inlineStr">
        <is>
          <t>other metals 242</t>
        </is>
      </c>
      <c r="B246" t="n">
        <v>242</v>
      </c>
      <c r="C246" t="inlineStr">
        <is>
          <t>efficiency measure 7</t>
        </is>
      </c>
      <c r="D246" t="inlineStr">
        <is>
          <t>(empty slot)</t>
        </is>
      </c>
      <c r="E246" s="151" t="n">
        <v>0</v>
      </c>
      <c r="F246" s="151" t="n">
        <v>0</v>
      </c>
      <c r="G246" s="7" t="n">
        <v>0</v>
      </c>
      <c r="H246" s="7" t="n">
        <v>0</v>
      </c>
      <c r="I246" t="n">
        <v>20</v>
      </c>
    </row>
    <row r="247">
      <c r="A247" t="inlineStr">
        <is>
          <t>other metals 242</t>
        </is>
      </c>
      <c r="B247" t="n">
        <v>242</v>
      </c>
      <c r="C247" t="inlineStr">
        <is>
          <t>efficiency measure 8</t>
        </is>
      </c>
      <c r="D247" t="inlineStr">
        <is>
          <t>(empty slot)</t>
        </is>
      </c>
      <c r="E247" s="151" t="n">
        <v>0</v>
      </c>
      <c r="F247" s="151" t="n">
        <v>0</v>
      </c>
      <c r="G247" s="7" t="n">
        <v>0</v>
      </c>
      <c r="H247" s="7" t="n">
        <v>0</v>
      </c>
      <c r="I247" t="n">
        <v>20</v>
      </c>
    </row>
    <row r="248">
      <c r="A248" t="inlineStr">
        <is>
          <t>other metals 242</t>
        </is>
      </c>
      <c r="B248" t="n">
        <v>242</v>
      </c>
      <c r="C248" t="inlineStr">
        <is>
          <t>efficiency measure 9</t>
        </is>
      </c>
      <c r="D248" t="inlineStr">
        <is>
          <t>(empty slot)</t>
        </is>
      </c>
      <c r="E248" s="151" t="n">
        <v>0</v>
      </c>
      <c r="F248" s="151" t="n">
        <v>0</v>
      </c>
      <c r="G248" s="7" t="n">
        <v>0</v>
      </c>
      <c r="H248" s="7" t="n">
        <v>0</v>
      </c>
      <c r="I248" t="n">
        <v>20</v>
      </c>
    </row>
    <row r="249">
      <c r="A249" t="inlineStr">
        <is>
          <t>other metals 242</t>
        </is>
      </c>
      <c r="B249" t="n">
        <v>242</v>
      </c>
      <c r="C249" t="inlineStr">
        <is>
          <t>efficiency measure 10</t>
        </is>
      </c>
      <c r="D249" t="inlineStr">
        <is>
          <t>(empty slot)</t>
        </is>
      </c>
      <c r="E249" s="151" t="n">
        <v>0</v>
      </c>
      <c r="F249" s="151" t="n">
        <v>0</v>
      </c>
      <c r="G249" s="7" t="n">
        <v>0</v>
      </c>
      <c r="H249" s="7" t="n">
        <v>0</v>
      </c>
      <c r="I249" t="n">
        <v>20</v>
      </c>
    </row>
    <row r="250">
      <c r="A250" t="inlineStr">
        <is>
          <t>other metals 242</t>
        </is>
      </c>
      <c r="B250" t="n">
        <v>242</v>
      </c>
      <c r="C250" t="inlineStr">
        <is>
          <t>efficiency measure 11</t>
        </is>
      </c>
      <c r="D250" t="inlineStr">
        <is>
          <t>(empty slot)</t>
        </is>
      </c>
      <c r="E250" s="151" t="n">
        <v>0</v>
      </c>
      <c r="F250" s="151" t="n">
        <v>0</v>
      </c>
      <c r="G250" s="7" t="n">
        <v>0</v>
      </c>
      <c r="H250" s="7" t="n">
        <v>0</v>
      </c>
      <c r="I250" t="n">
        <v>20</v>
      </c>
    </row>
    <row r="251">
      <c r="A251" t="inlineStr">
        <is>
          <t>other metals 242</t>
        </is>
      </c>
      <c r="B251" t="n">
        <v>242</v>
      </c>
      <c r="C251" t="inlineStr">
        <is>
          <t>efficiency measure 12</t>
        </is>
      </c>
      <c r="D251" t="inlineStr">
        <is>
          <t>(empty slot)</t>
        </is>
      </c>
      <c r="E251" s="151" t="n">
        <v>0</v>
      </c>
      <c r="F251" s="151" t="n">
        <v>0</v>
      </c>
      <c r="G251" s="7" t="n">
        <v>0</v>
      </c>
      <c r="H251" s="7" t="n">
        <v>0</v>
      </c>
      <c r="I251" t="n">
        <v>20</v>
      </c>
    </row>
    <row r="252">
      <c r="A252" t="inlineStr">
        <is>
          <t>other metals 242</t>
        </is>
      </c>
      <c r="B252" t="n">
        <v>242</v>
      </c>
      <c r="C252" t="inlineStr">
        <is>
          <t>efficiency measure 13</t>
        </is>
      </c>
      <c r="D252" t="inlineStr">
        <is>
          <t>(empty slot)</t>
        </is>
      </c>
      <c r="E252" s="151" t="n">
        <v>0</v>
      </c>
      <c r="F252" s="151" t="n">
        <v>0</v>
      </c>
      <c r="G252" s="7" t="n">
        <v>0</v>
      </c>
      <c r="H252" s="7" t="n">
        <v>0</v>
      </c>
      <c r="I252" t="n">
        <v>20</v>
      </c>
    </row>
    <row r="253">
      <c r="A253" t="inlineStr">
        <is>
          <t>other metals 242</t>
        </is>
      </c>
      <c r="B253" t="n">
        <v>242</v>
      </c>
      <c r="C253" t="inlineStr">
        <is>
          <t>efficiency measure 14</t>
        </is>
      </c>
      <c r="D253" t="inlineStr">
        <is>
          <t>(empty slot)</t>
        </is>
      </c>
      <c r="E253" s="151" t="n">
        <v>0</v>
      </c>
      <c r="F253" s="151" t="n">
        <v>0</v>
      </c>
      <c r="G253" s="7" t="n">
        <v>0</v>
      </c>
      <c r="H253" s="7" t="n">
        <v>0</v>
      </c>
      <c r="I253" t="n">
        <v>20</v>
      </c>
    </row>
    <row r="254">
      <c r="A254" t="inlineStr">
        <is>
          <t>other metals 242</t>
        </is>
      </c>
      <c r="B254" t="n">
        <v>242</v>
      </c>
      <c r="C254" t="inlineStr">
        <is>
          <t>efficiency measure 15</t>
        </is>
      </c>
      <c r="D254" t="inlineStr">
        <is>
          <t>(empty slot)</t>
        </is>
      </c>
      <c r="E254" s="151" t="n">
        <v>0</v>
      </c>
      <c r="F254" s="151" t="n">
        <v>0</v>
      </c>
      <c r="G254" s="7" t="n">
        <v>0</v>
      </c>
      <c r="H254" s="7" t="n">
        <v>0</v>
      </c>
      <c r="I254" t="n">
        <v>20</v>
      </c>
    </row>
    <row r="255">
      <c r="A255" t="inlineStr">
        <is>
          <t>other metals 242</t>
        </is>
      </c>
      <c r="B255" t="n">
        <v>242</v>
      </c>
      <c r="C255" t="inlineStr">
        <is>
          <t>efficiency measure 16</t>
        </is>
      </c>
      <c r="D255" t="inlineStr">
        <is>
          <t>(empty slot)</t>
        </is>
      </c>
      <c r="E255" s="151" t="n">
        <v>0</v>
      </c>
      <c r="F255" s="151" t="n">
        <v>0</v>
      </c>
      <c r="G255" s="7" t="n">
        <v>0</v>
      </c>
      <c r="H255" s="7" t="n">
        <v>0</v>
      </c>
      <c r="I255" t="n">
        <v>20</v>
      </c>
    </row>
    <row r="256">
      <c r="A256" t="inlineStr">
        <is>
          <t>other metals 242</t>
        </is>
      </c>
      <c r="B256" t="n">
        <v>242</v>
      </c>
      <c r="C256" t="inlineStr">
        <is>
          <t>efficiency measure 17</t>
        </is>
      </c>
      <c r="D256" t="inlineStr">
        <is>
          <t>(empty slot)</t>
        </is>
      </c>
      <c r="E256" s="151" t="n">
        <v>0</v>
      </c>
      <c r="F256" s="151" t="n">
        <v>0</v>
      </c>
      <c r="G256" s="7" t="n">
        <v>0</v>
      </c>
      <c r="H256" s="7" t="n">
        <v>0</v>
      </c>
      <c r="I256" t="n">
        <v>20</v>
      </c>
    </row>
    <row r="257">
      <c r="A257" t="inlineStr">
        <is>
          <t>metal products except machinery and vehicles 25</t>
        </is>
      </c>
      <c r="B257" t="n">
        <v>25</v>
      </c>
      <c r="C257" t="inlineStr">
        <is>
          <t>efficiency measure 1</t>
        </is>
      </c>
      <c r="D257" t="inlineStr">
        <is>
          <t>(empty slot)</t>
        </is>
      </c>
      <c r="E257" s="151" t="n">
        <v>0</v>
      </c>
      <c r="F257" s="151" t="n">
        <v>0</v>
      </c>
      <c r="G257" s="7" t="n">
        <v>0</v>
      </c>
      <c r="H257" s="7" t="n">
        <v>0</v>
      </c>
      <c r="I257" t="n">
        <v>20</v>
      </c>
    </row>
    <row r="258">
      <c r="A258" t="inlineStr">
        <is>
          <t>metal products except machinery and vehicles 25</t>
        </is>
      </c>
      <c r="B258" t="n">
        <v>25</v>
      </c>
      <c r="C258" t="inlineStr">
        <is>
          <t>efficiency measure 2</t>
        </is>
      </c>
      <c r="D258" t="inlineStr">
        <is>
          <t>(empty slot)</t>
        </is>
      </c>
      <c r="E258" s="151" t="n">
        <v>0</v>
      </c>
      <c r="F258" s="151" t="n">
        <v>0</v>
      </c>
      <c r="G258" s="7" t="n">
        <v>0</v>
      </c>
      <c r="H258" s="7" t="n">
        <v>0</v>
      </c>
      <c r="I258" t="n">
        <v>20</v>
      </c>
    </row>
    <row r="259">
      <c r="A259" t="inlineStr">
        <is>
          <t>metal products except machinery and vehicles 25</t>
        </is>
      </c>
      <c r="B259" t="n">
        <v>25</v>
      </c>
      <c r="C259" t="inlineStr">
        <is>
          <t>efficiency measure 3</t>
        </is>
      </c>
      <c r="D259" t="inlineStr">
        <is>
          <t>(empty slot)</t>
        </is>
      </c>
      <c r="E259" s="151" t="n">
        <v>0</v>
      </c>
      <c r="F259" s="151" t="n">
        <v>0</v>
      </c>
      <c r="G259" s="7" t="n">
        <v>0</v>
      </c>
      <c r="H259" s="7" t="n">
        <v>0</v>
      </c>
      <c r="I259" t="n">
        <v>20</v>
      </c>
    </row>
    <row r="260">
      <c r="A260" t="inlineStr">
        <is>
          <t>metal products except machinery and vehicles 25</t>
        </is>
      </c>
      <c r="B260" t="n">
        <v>25</v>
      </c>
      <c r="C260" t="inlineStr">
        <is>
          <t>efficiency measure 4</t>
        </is>
      </c>
      <c r="D260" t="inlineStr">
        <is>
          <t>(empty slot)</t>
        </is>
      </c>
      <c r="E260" s="151" t="n">
        <v>0</v>
      </c>
      <c r="F260" s="151" t="n">
        <v>0</v>
      </c>
      <c r="G260" s="7" t="n">
        <v>0</v>
      </c>
      <c r="H260" s="7" t="n">
        <v>0</v>
      </c>
      <c r="I260" t="n">
        <v>20</v>
      </c>
    </row>
    <row r="261">
      <c r="A261" t="inlineStr">
        <is>
          <t>metal products except machinery and vehicles 25</t>
        </is>
      </c>
      <c r="B261" t="n">
        <v>25</v>
      </c>
      <c r="C261" t="inlineStr">
        <is>
          <t>efficiency measure 5</t>
        </is>
      </c>
      <c r="D261" t="inlineStr">
        <is>
          <t>(empty slot)</t>
        </is>
      </c>
      <c r="E261" s="151" t="n">
        <v>0</v>
      </c>
      <c r="F261" s="151" t="n">
        <v>0</v>
      </c>
      <c r="G261" s="7" t="n">
        <v>0</v>
      </c>
      <c r="H261" s="7" t="n">
        <v>0</v>
      </c>
      <c r="I261" t="n">
        <v>20</v>
      </c>
    </row>
    <row r="262">
      <c r="A262" t="inlineStr">
        <is>
          <t>metal products except machinery and vehicles 25</t>
        </is>
      </c>
      <c r="B262" t="n">
        <v>25</v>
      </c>
      <c r="C262" t="inlineStr">
        <is>
          <t>efficiency measure 6</t>
        </is>
      </c>
      <c r="D262" t="inlineStr">
        <is>
          <t>(empty slot)</t>
        </is>
      </c>
      <c r="E262" s="151" t="n">
        <v>0</v>
      </c>
      <c r="F262" s="151" t="n">
        <v>0</v>
      </c>
      <c r="G262" s="7" t="n">
        <v>0</v>
      </c>
      <c r="H262" s="7" t="n">
        <v>0</v>
      </c>
      <c r="I262" t="n">
        <v>20</v>
      </c>
    </row>
    <row r="263">
      <c r="A263" t="inlineStr">
        <is>
          <t>metal products except machinery and vehicles 25</t>
        </is>
      </c>
      <c r="B263" t="n">
        <v>25</v>
      </c>
      <c r="C263" t="inlineStr">
        <is>
          <t>efficiency measure 7</t>
        </is>
      </c>
      <c r="D263" t="inlineStr">
        <is>
          <t>(empty slot)</t>
        </is>
      </c>
      <c r="E263" s="151" t="n">
        <v>0</v>
      </c>
      <c r="F263" s="151" t="n">
        <v>0</v>
      </c>
      <c r="G263" s="7" t="n">
        <v>0</v>
      </c>
      <c r="H263" s="7" t="n">
        <v>0</v>
      </c>
      <c r="I263" t="n">
        <v>20</v>
      </c>
    </row>
    <row r="264">
      <c r="A264" t="inlineStr">
        <is>
          <t>metal products except machinery and vehicles 25</t>
        </is>
      </c>
      <c r="B264" t="n">
        <v>25</v>
      </c>
      <c r="C264" t="inlineStr">
        <is>
          <t>efficiency measure 8</t>
        </is>
      </c>
      <c r="D264" t="inlineStr">
        <is>
          <t>(empty slot)</t>
        </is>
      </c>
      <c r="E264" s="151" t="n">
        <v>0</v>
      </c>
      <c r="F264" s="151" t="n">
        <v>0</v>
      </c>
      <c r="G264" s="7" t="n">
        <v>0</v>
      </c>
      <c r="H264" s="7" t="n">
        <v>0</v>
      </c>
      <c r="I264" t="n">
        <v>20</v>
      </c>
    </row>
    <row r="265">
      <c r="A265" t="inlineStr">
        <is>
          <t>metal products except machinery and vehicles 25</t>
        </is>
      </c>
      <c r="B265" t="n">
        <v>25</v>
      </c>
      <c r="C265" t="inlineStr">
        <is>
          <t>efficiency measure 9</t>
        </is>
      </c>
      <c r="D265" t="inlineStr">
        <is>
          <t>(empty slot)</t>
        </is>
      </c>
      <c r="E265" s="151" t="n">
        <v>0</v>
      </c>
      <c r="F265" s="151" t="n">
        <v>0</v>
      </c>
      <c r="G265" s="7" t="n">
        <v>0</v>
      </c>
      <c r="H265" s="7" t="n">
        <v>0</v>
      </c>
      <c r="I265" t="n">
        <v>20</v>
      </c>
    </row>
    <row r="266">
      <c r="A266" t="inlineStr">
        <is>
          <t>metal products except machinery and vehicles 25</t>
        </is>
      </c>
      <c r="B266" t="n">
        <v>25</v>
      </c>
      <c r="C266" t="inlineStr">
        <is>
          <t>efficiency measure 10</t>
        </is>
      </c>
      <c r="D266" t="inlineStr">
        <is>
          <t>(empty slot)</t>
        </is>
      </c>
      <c r="E266" s="151" t="n">
        <v>0</v>
      </c>
      <c r="F266" s="151" t="n">
        <v>0</v>
      </c>
      <c r="G266" s="7" t="n">
        <v>0</v>
      </c>
      <c r="H266" s="7" t="n">
        <v>0</v>
      </c>
      <c r="I266" t="n">
        <v>20</v>
      </c>
    </row>
    <row r="267">
      <c r="A267" t="inlineStr">
        <is>
          <t>metal products except machinery and vehicles 25</t>
        </is>
      </c>
      <c r="B267" t="n">
        <v>25</v>
      </c>
      <c r="C267" t="inlineStr">
        <is>
          <t>efficiency measure 11</t>
        </is>
      </c>
      <c r="D267" t="inlineStr">
        <is>
          <t>(empty slot)</t>
        </is>
      </c>
      <c r="E267" s="151" t="n">
        <v>0</v>
      </c>
      <c r="F267" s="151" t="n">
        <v>0</v>
      </c>
      <c r="G267" s="7" t="n">
        <v>0</v>
      </c>
      <c r="H267" s="7" t="n">
        <v>0</v>
      </c>
      <c r="I267" t="n">
        <v>20</v>
      </c>
    </row>
    <row r="268">
      <c r="A268" t="inlineStr">
        <is>
          <t>metal products except machinery and vehicles 25</t>
        </is>
      </c>
      <c r="B268" t="n">
        <v>25</v>
      </c>
      <c r="C268" t="inlineStr">
        <is>
          <t>efficiency measure 12</t>
        </is>
      </c>
      <c r="D268" t="inlineStr">
        <is>
          <t>(empty slot)</t>
        </is>
      </c>
      <c r="E268" s="151" t="n">
        <v>0</v>
      </c>
      <c r="F268" s="151" t="n">
        <v>0</v>
      </c>
      <c r="G268" s="7" t="n">
        <v>0</v>
      </c>
      <c r="H268" s="7" t="n">
        <v>0</v>
      </c>
      <c r="I268" t="n">
        <v>20</v>
      </c>
    </row>
    <row r="269">
      <c r="A269" t="inlineStr">
        <is>
          <t>metal products except machinery and vehicles 25</t>
        </is>
      </c>
      <c r="B269" t="n">
        <v>25</v>
      </c>
      <c r="C269" t="inlineStr">
        <is>
          <t>efficiency measure 13</t>
        </is>
      </c>
      <c r="D269" t="inlineStr">
        <is>
          <t>(empty slot)</t>
        </is>
      </c>
      <c r="E269" s="151" t="n">
        <v>0</v>
      </c>
      <c r="F269" s="151" t="n">
        <v>0</v>
      </c>
      <c r="G269" s="7" t="n">
        <v>0</v>
      </c>
      <c r="H269" s="7" t="n">
        <v>0</v>
      </c>
      <c r="I269" t="n">
        <v>20</v>
      </c>
    </row>
    <row r="270">
      <c r="A270" t="inlineStr">
        <is>
          <t>metal products except machinery and vehicles 25</t>
        </is>
      </c>
      <c r="B270" t="n">
        <v>25</v>
      </c>
      <c r="C270" t="inlineStr">
        <is>
          <t>efficiency measure 14</t>
        </is>
      </c>
      <c r="D270" t="inlineStr">
        <is>
          <t>(empty slot)</t>
        </is>
      </c>
      <c r="E270" s="151" t="n">
        <v>0</v>
      </c>
      <c r="F270" s="151" t="n">
        <v>0</v>
      </c>
      <c r="G270" s="7" t="n">
        <v>0</v>
      </c>
      <c r="H270" s="7" t="n">
        <v>0</v>
      </c>
      <c r="I270" t="n">
        <v>20</v>
      </c>
    </row>
    <row r="271">
      <c r="A271" t="inlineStr">
        <is>
          <t>metal products except machinery and vehicles 25</t>
        </is>
      </c>
      <c r="B271" t="n">
        <v>25</v>
      </c>
      <c r="C271" t="inlineStr">
        <is>
          <t>efficiency measure 15</t>
        </is>
      </c>
      <c r="D271" t="inlineStr">
        <is>
          <t>(empty slot)</t>
        </is>
      </c>
      <c r="E271" s="151" t="n">
        <v>0</v>
      </c>
      <c r="F271" s="151" t="n">
        <v>0</v>
      </c>
      <c r="G271" s="7" t="n">
        <v>0</v>
      </c>
      <c r="H271" s="7" t="n">
        <v>0</v>
      </c>
      <c r="I271" t="n">
        <v>20</v>
      </c>
    </row>
    <row r="272">
      <c r="A272" t="inlineStr">
        <is>
          <t>metal products except machinery and vehicles 25</t>
        </is>
      </c>
      <c r="B272" t="n">
        <v>25</v>
      </c>
      <c r="C272" t="inlineStr">
        <is>
          <t>efficiency measure 16</t>
        </is>
      </c>
      <c r="D272" t="inlineStr">
        <is>
          <t>(empty slot)</t>
        </is>
      </c>
      <c r="E272" s="151" t="n">
        <v>0</v>
      </c>
      <c r="F272" s="151" t="n">
        <v>0</v>
      </c>
      <c r="G272" s="7" t="n">
        <v>0</v>
      </c>
      <c r="H272" s="7" t="n">
        <v>0</v>
      </c>
      <c r="I272" t="n">
        <v>20</v>
      </c>
    </row>
    <row r="273">
      <c r="A273" t="inlineStr">
        <is>
          <t>metal products except machinery and vehicles 25</t>
        </is>
      </c>
      <c r="B273" t="n">
        <v>25</v>
      </c>
      <c r="C273" t="inlineStr">
        <is>
          <t>efficiency measure 17</t>
        </is>
      </c>
      <c r="D273" t="inlineStr">
        <is>
          <t>(empty slot)</t>
        </is>
      </c>
      <c r="E273" s="151" t="n">
        <v>0</v>
      </c>
      <c r="F273" s="151" t="n">
        <v>0</v>
      </c>
      <c r="G273" s="7" t="n">
        <v>0</v>
      </c>
      <c r="H273" s="7" t="n">
        <v>0</v>
      </c>
      <c r="I273" t="n">
        <v>20</v>
      </c>
    </row>
    <row r="274">
      <c r="A274" t="inlineStr">
        <is>
          <t>computers and electronics 26</t>
        </is>
      </c>
      <c r="B274" t="n">
        <v>26</v>
      </c>
      <c r="C274" t="inlineStr">
        <is>
          <t>efficiency measure 1</t>
        </is>
      </c>
      <c r="D274" t="inlineStr">
        <is>
          <t>(empty slot)</t>
        </is>
      </c>
      <c r="E274" s="151" t="n">
        <v>0</v>
      </c>
      <c r="F274" s="151" t="n">
        <v>0</v>
      </c>
      <c r="G274" s="7" t="n">
        <v>0</v>
      </c>
      <c r="H274" s="7" t="n">
        <v>0</v>
      </c>
      <c r="I274" t="n">
        <v>20</v>
      </c>
    </row>
    <row r="275">
      <c r="A275" t="inlineStr">
        <is>
          <t>computers and electronics 26</t>
        </is>
      </c>
      <c r="B275" t="n">
        <v>26</v>
      </c>
      <c r="C275" t="inlineStr">
        <is>
          <t>efficiency measure 2</t>
        </is>
      </c>
      <c r="D275" t="inlineStr">
        <is>
          <t>(empty slot)</t>
        </is>
      </c>
      <c r="E275" s="151" t="n">
        <v>0</v>
      </c>
      <c r="F275" s="151" t="n">
        <v>0</v>
      </c>
      <c r="G275" s="7" t="n">
        <v>0</v>
      </c>
      <c r="H275" s="7" t="n">
        <v>0</v>
      </c>
      <c r="I275" t="n">
        <v>20</v>
      </c>
    </row>
    <row r="276">
      <c r="A276" t="inlineStr">
        <is>
          <t>computers and electronics 26</t>
        </is>
      </c>
      <c r="B276" t="n">
        <v>26</v>
      </c>
      <c r="C276" t="inlineStr">
        <is>
          <t>efficiency measure 3</t>
        </is>
      </c>
      <c r="D276" t="inlineStr">
        <is>
          <t>(empty slot)</t>
        </is>
      </c>
      <c r="E276" s="151" t="n">
        <v>0</v>
      </c>
      <c r="F276" s="151" t="n">
        <v>0</v>
      </c>
      <c r="G276" s="7" t="n">
        <v>0</v>
      </c>
      <c r="H276" s="7" t="n">
        <v>0</v>
      </c>
      <c r="I276" t="n">
        <v>20</v>
      </c>
    </row>
    <row r="277">
      <c r="A277" t="inlineStr">
        <is>
          <t>computers and electronics 26</t>
        </is>
      </c>
      <c r="B277" t="n">
        <v>26</v>
      </c>
      <c r="C277" t="inlineStr">
        <is>
          <t>efficiency measure 4</t>
        </is>
      </c>
      <c r="D277" t="inlineStr">
        <is>
          <t>(empty slot)</t>
        </is>
      </c>
      <c r="E277" s="151" t="n">
        <v>0</v>
      </c>
      <c r="F277" s="151" t="n">
        <v>0</v>
      </c>
      <c r="G277" s="7" t="n">
        <v>0</v>
      </c>
      <c r="H277" s="7" t="n">
        <v>0</v>
      </c>
      <c r="I277" t="n">
        <v>20</v>
      </c>
    </row>
    <row r="278">
      <c r="A278" t="inlineStr">
        <is>
          <t>computers and electronics 26</t>
        </is>
      </c>
      <c r="B278" t="n">
        <v>26</v>
      </c>
      <c r="C278" t="inlineStr">
        <is>
          <t>efficiency measure 5</t>
        </is>
      </c>
      <c r="D278" t="inlineStr">
        <is>
          <t>(empty slot)</t>
        </is>
      </c>
      <c r="E278" s="151" t="n">
        <v>0</v>
      </c>
      <c r="F278" s="151" t="n">
        <v>0</v>
      </c>
      <c r="G278" s="7" t="n">
        <v>0</v>
      </c>
      <c r="H278" s="7" t="n">
        <v>0</v>
      </c>
      <c r="I278" t="n">
        <v>20</v>
      </c>
    </row>
    <row r="279">
      <c r="A279" t="inlineStr">
        <is>
          <t>computers and electronics 26</t>
        </is>
      </c>
      <c r="B279" t="n">
        <v>26</v>
      </c>
      <c r="C279" t="inlineStr">
        <is>
          <t>efficiency measure 6</t>
        </is>
      </c>
      <c r="D279" t="inlineStr">
        <is>
          <t>(empty slot)</t>
        </is>
      </c>
      <c r="E279" s="151" t="n">
        <v>0</v>
      </c>
      <c r="F279" s="151" t="n">
        <v>0</v>
      </c>
      <c r="G279" s="7" t="n">
        <v>0</v>
      </c>
      <c r="H279" s="7" t="n">
        <v>0</v>
      </c>
      <c r="I279" t="n">
        <v>20</v>
      </c>
    </row>
    <row r="280">
      <c r="A280" t="inlineStr">
        <is>
          <t>computers and electronics 26</t>
        </is>
      </c>
      <c r="B280" t="n">
        <v>26</v>
      </c>
      <c r="C280" t="inlineStr">
        <is>
          <t>efficiency measure 7</t>
        </is>
      </c>
      <c r="D280" t="inlineStr">
        <is>
          <t>(empty slot)</t>
        </is>
      </c>
      <c r="E280" s="151" t="n">
        <v>0</v>
      </c>
      <c r="F280" s="151" t="n">
        <v>0</v>
      </c>
      <c r="G280" s="7" t="n">
        <v>0</v>
      </c>
      <c r="H280" s="7" t="n">
        <v>0</v>
      </c>
      <c r="I280" t="n">
        <v>20</v>
      </c>
    </row>
    <row r="281">
      <c r="A281" t="inlineStr">
        <is>
          <t>computers and electronics 26</t>
        </is>
      </c>
      <c r="B281" t="n">
        <v>26</v>
      </c>
      <c r="C281" t="inlineStr">
        <is>
          <t>efficiency measure 8</t>
        </is>
      </c>
      <c r="D281" t="inlineStr">
        <is>
          <t>(empty slot)</t>
        </is>
      </c>
      <c r="E281" s="151" t="n">
        <v>0</v>
      </c>
      <c r="F281" s="151" t="n">
        <v>0</v>
      </c>
      <c r="G281" s="7" t="n">
        <v>0</v>
      </c>
      <c r="H281" s="7" t="n">
        <v>0</v>
      </c>
      <c r="I281" t="n">
        <v>20</v>
      </c>
    </row>
    <row r="282">
      <c r="A282" t="inlineStr">
        <is>
          <t>computers and electronics 26</t>
        </is>
      </c>
      <c r="B282" t="n">
        <v>26</v>
      </c>
      <c r="C282" t="inlineStr">
        <is>
          <t>efficiency measure 9</t>
        </is>
      </c>
      <c r="D282" t="inlineStr">
        <is>
          <t>(empty slot)</t>
        </is>
      </c>
      <c r="E282" s="151" t="n">
        <v>0</v>
      </c>
      <c r="F282" s="151" t="n">
        <v>0</v>
      </c>
      <c r="G282" s="7" t="n">
        <v>0</v>
      </c>
      <c r="H282" s="7" t="n">
        <v>0</v>
      </c>
      <c r="I282" t="n">
        <v>20</v>
      </c>
    </row>
    <row r="283">
      <c r="A283" t="inlineStr">
        <is>
          <t>computers and electronics 26</t>
        </is>
      </c>
      <c r="B283" t="n">
        <v>26</v>
      </c>
      <c r="C283" t="inlineStr">
        <is>
          <t>efficiency measure 10</t>
        </is>
      </c>
      <c r="D283" t="inlineStr">
        <is>
          <t>(empty slot)</t>
        </is>
      </c>
      <c r="E283" s="151" t="n">
        <v>0</v>
      </c>
      <c r="F283" s="151" t="n">
        <v>0</v>
      </c>
      <c r="G283" s="7" t="n">
        <v>0</v>
      </c>
      <c r="H283" s="7" t="n">
        <v>0</v>
      </c>
      <c r="I283" t="n">
        <v>20</v>
      </c>
    </row>
    <row r="284">
      <c r="A284" t="inlineStr">
        <is>
          <t>computers and electronics 26</t>
        </is>
      </c>
      <c r="B284" t="n">
        <v>26</v>
      </c>
      <c r="C284" t="inlineStr">
        <is>
          <t>efficiency measure 11</t>
        </is>
      </c>
      <c r="D284" t="inlineStr">
        <is>
          <t>(empty slot)</t>
        </is>
      </c>
      <c r="E284" s="151" t="n">
        <v>0</v>
      </c>
      <c r="F284" s="151" t="n">
        <v>0</v>
      </c>
      <c r="G284" s="7" t="n">
        <v>0</v>
      </c>
      <c r="H284" s="7" t="n">
        <v>0</v>
      </c>
      <c r="I284" t="n">
        <v>20</v>
      </c>
    </row>
    <row r="285">
      <c r="A285" t="inlineStr">
        <is>
          <t>computers and electronics 26</t>
        </is>
      </c>
      <c r="B285" t="n">
        <v>26</v>
      </c>
      <c r="C285" t="inlineStr">
        <is>
          <t>efficiency measure 12</t>
        </is>
      </c>
      <c r="D285" t="inlineStr">
        <is>
          <t>(empty slot)</t>
        </is>
      </c>
      <c r="E285" s="151" t="n">
        <v>0</v>
      </c>
      <c r="F285" s="151" t="n">
        <v>0</v>
      </c>
      <c r="G285" s="7" t="n">
        <v>0</v>
      </c>
      <c r="H285" s="7" t="n">
        <v>0</v>
      </c>
      <c r="I285" t="n">
        <v>20</v>
      </c>
    </row>
    <row r="286">
      <c r="A286" t="inlineStr">
        <is>
          <t>computers and electronics 26</t>
        </is>
      </c>
      <c r="B286" t="n">
        <v>26</v>
      </c>
      <c r="C286" t="inlineStr">
        <is>
          <t>efficiency measure 13</t>
        </is>
      </c>
      <c r="D286" t="inlineStr">
        <is>
          <t>(empty slot)</t>
        </is>
      </c>
      <c r="E286" s="151" t="n">
        <v>0</v>
      </c>
      <c r="F286" s="151" t="n">
        <v>0</v>
      </c>
      <c r="G286" s="7" t="n">
        <v>0</v>
      </c>
      <c r="H286" s="7" t="n">
        <v>0</v>
      </c>
      <c r="I286" t="n">
        <v>20</v>
      </c>
    </row>
    <row r="287">
      <c r="A287" t="inlineStr">
        <is>
          <t>computers and electronics 26</t>
        </is>
      </c>
      <c r="B287" t="n">
        <v>26</v>
      </c>
      <c r="C287" t="inlineStr">
        <is>
          <t>efficiency measure 14</t>
        </is>
      </c>
      <c r="D287" t="inlineStr">
        <is>
          <t>(empty slot)</t>
        </is>
      </c>
      <c r="E287" s="151" t="n">
        <v>0</v>
      </c>
      <c r="F287" s="151" t="n">
        <v>0</v>
      </c>
      <c r="G287" s="7" t="n">
        <v>0</v>
      </c>
      <c r="H287" s="7" t="n">
        <v>0</v>
      </c>
      <c r="I287" t="n">
        <v>20</v>
      </c>
    </row>
    <row r="288">
      <c r="A288" t="inlineStr">
        <is>
          <t>computers and electronics 26</t>
        </is>
      </c>
      <c r="B288" t="n">
        <v>26</v>
      </c>
      <c r="C288" t="inlineStr">
        <is>
          <t>efficiency measure 15</t>
        </is>
      </c>
      <c r="D288" t="inlineStr">
        <is>
          <t>(empty slot)</t>
        </is>
      </c>
      <c r="E288" s="151" t="n">
        <v>0</v>
      </c>
      <c r="F288" s="151" t="n">
        <v>0</v>
      </c>
      <c r="G288" s="7" t="n">
        <v>0</v>
      </c>
      <c r="H288" s="7" t="n">
        <v>0</v>
      </c>
      <c r="I288" t="n">
        <v>20</v>
      </c>
    </row>
    <row r="289">
      <c r="A289" t="inlineStr">
        <is>
          <t>computers and electronics 26</t>
        </is>
      </c>
      <c r="B289" t="n">
        <v>26</v>
      </c>
      <c r="C289" t="inlineStr">
        <is>
          <t>efficiency measure 16</t>
        </is>
      </c>
      <c r="D289" t="inlineStr">
        <is>
          <t>(empty slot)</t>
        </is>
      </c>
      <c r="E289" s="151" t="n">
        <v>0</v>
      </c>
      <c r="F289" s="151" t="n">
        <v>0</v>
      </c>
      <c r="G289" s="7" t="n">
        <v>0</v>
      </c>
      <c r="H289" s="7" t="n">
        <v>0</v>
      </c>
      <c r="I289" t="n">
        <v>20</v>
      </c>
    </row>
    <row r="290">
      <c r="A290" t="inlineStr">
        <is>
          <t>computers and electronics 26</t>
        </is>
      </c>
      <c r="B290" t="n">
        <v>26</v>
      </c>
      <c r="C290" t="inlineStr">
        <is>
          <t>efficiency measure 17</t>
        </is>
      </c>
      <c r="D290" t="inlineStr">
        <is>
          <t>(empty slot)</t>
        </is>
      </c>
      <c r="E290" s="151" t="n">
        <v>0</v>
      </c>
      <c r="F290" s="151" t="n">
        <v>0</v>
      </c>
      <c r="G290" s="7" t="n">
        <v>0</v>
      </c>
      <c r="H290" s="7" t="n">
        <v>0</v>
      </c>
      <c r="I290" t="n">
        <v>20</v>
      </c>
    </row>
    <row r="291">
      <c r="A291" t="inlineStr">
        <is>
          <t>appliances and electrical equipment 27</t>
        </is>
      </c>
      <c r="B291" t="n">
        <v>27</v>
      </c>
      <c r="C291" t="inlineStr">
        <is>
          <t>efficiency measure 1</t>
        </is>
      </c>
      <c r="D291" t="inlineStr">
        <is>
          <t>(empty slot)</t>
        </is>
      </c>
      <c r="E291" s="151" t="n">
        <v>0</v>
      </c>
      <c r="F291" s="151" t="n">
        <v>0</v>
      </c>
      <c r="G291" s="7" t="n">
        <v>0</v>
      </c>
      <c r="H291" s="7" t="n">
        <v>0</v>
      </c>
      <c r="I291" t="n">
        <v>20</v>
      </c>
    </row>
    <row r="292">
      <c r="A292" t="inlineStr">
        <is>
          <t>appliances and electrical equipment 27</t>
        </is>
      </c>
      <c r="B292" t="n">
        <v>27</v>
      </c>
      <c r="C292" t="inlineStr">
        <is>
          <t>efficiency measure 2</t>
        </is>
      </c>
      <c r="D292" t="inlineStr">
        <is>
          <t>(empty slot)</t>
        </is>
      </c>
      <c r="E292" s="151" t="n">
        <v>0</v>
      </c>
      <c r="F292" s="151" t="n">
        <v>0</v>
      </c>
      <c r="G292" s="7" t="n">
        <v>0</v>
      </c>
      <c r="H292" s="7" t="n">
        <v>0</v>
      </c>
      <c r="I292" t="n">
        <v>20</v>
      </c>
    </row>
    <row r="293">
      <c r="A293" t="inlineStr">
        <is>
          <t>appliances and electrical equipment 27</t>
        </is>
      </c>
      <c r="B293" t="n">
        <v>27</v>
      </c>
      <c r="C293" t="inlineStr">
        <is>
          <t>efficiency measure 3</t>
        </is>
      </c>
      <c r="D293" t="inlineStr">
        <is>
          <t>(empty slot)</t>
        </is>
      </c>
      <c r="E293" s="151" t="n">
        <v>0</v>
      </c>
      <c r="F293" s="151" t="n">
        <v>0</v>
      </c>
      <c r="G293" s="7" t="n">
        <v>0</v>
      </c>
      <c r="H293" s="7" t="n">
        <v>0</v>
      </c>
      <c r="I293" t="n">
        <v>20</v>
      </c>
    </row>
    <row r="294">
      <c r="A294" t="inlineStr">
        <is>
          <t>appliances and electrical equipment 27</t>
        </is>
      </c>
      <c r="B294" t="n">
        <v>27</v>
      </c>
      <c r="C294" t="inlineStr">
        <is>
          <t>efficiency measure 4</t>
        </is>
      </c>
      <c r="D294" t="inlineStr">
        <is>
          <t>(empty slot)</t>
        </is>
      </c>
      <c r="E294" s="151" t="n">
        <v>0</v>
      </c>
      <c r="F294" s="151" t="n">
        <v>0</v>
      </c>
      <c r="G294" s="7" t="n">
        <v>0</v>
      </c>
      <c r="H294" s="7" t="n">
        <v>0</v>
      </c>
      <c r="I294" t="n">
        <v>20</v>
      </c>
    </row>
    <row r="295">
      <c r="A295" t="inlineStr">
        <is>
          <t>appliances and electrical equipment 27</t>
        </is>
      </c>
      <c r="B295" t="n">
        <v>27</v>
      </c>
      <c r="C295" t="inlineStr">
        <is>
          <t>efficiency measure 5</t>
        </is>
      </c>
      <c r="D295" t="inlineStr">
        <is>
          <t>(empty slot)</t>
        </is>
      </c>
      <c r="E295" s="151" t="n">
        <v>0</v>
      </c>
      <c r="F295" s="151" t="n">
        <v>0</v>
      </c>
      <c r="G295" s="7" t="n">
        <v>0</v>
      </c>
      <c r="H295" s="7" t="n">
        <v>0</v>
      </c>
      <c r="I295" t="n">
        <v>20</v>
      </c>
    </row>
    <row r="296">
      <c r="A296" t="inlineStr">
        <is>
          <t>appliances and electrical equipment 27</t>
        </is>
      </c>
      <c r="B296" t="n">
        <v>27</v>
      </c>
      <c r="C296" t="inlineStr">
        <is>
          <t>efficiency measure 6</t>
        </is>
      </c>
      <c r="D296" t="inlineStr">
        <is>
          <t>(empty slot)</t>
        </is>
      </c>
      <c r="E296" s="151" t="n">
        <v>0</v>
      </c>
      <c r="F296" s="151" t="n">
        <v>0</v>
      </c>
      <c r="G296" s="7" t="n">
        <v>0</v>
      </c>
      <c r="H296" s="7" t="n">
        <v>0</v>
      </c>
      <c r="I296" t="n">
        <v>20</v>
      </c>
    </row>
    <row r="297">
      <c r="A297" t="inlineStr">
        <is>
          <t>appliances and electrical equipment 27</t>
        </is>
      </c>
      <c r="B297" t="n">
        <v>27</v>
      </c>
      <c r="C297" t="inlineStr">
        <is>
          <t>efficiency measure 7</t>
        </is>
      </c>
      <c r="D297" t="inlineStr">
        <is>
          <t>(empty slot)</t>
        </is>
      </c>
      <c r="E297" s="151" t="n">
        <v>0</v>
      </c>
      <c r="F297" s="151" t="n">
        <v>0</v>
      </c>
      <c r="G297" s="7" t="n">
        <v>0</v>
      </c>
      <c r="H297" s="7" t="n">
        <v>0</v>
      </c>
      <c r="I297" t="n">
        <v>20</v>
      </c>
    </row>
    <row r="298">
      <c r="A298" t="inlineStr">
        <is>
          <t>appliances and electrical equipment 27</t>
        </is>
      </c>
      <c r="B298" t="n">
        <v>27</v>
      </c>
      <c r="C298" t="inlineStr">
        <is>
          <t>efficiency measure 8</t>
        </is>
      </c>
      <c r="D298" t="inlineStr">
        <is>
          <t>(empty slot)</t>
        </is>
      </c>
      <c r="E298" s="151" t="n">
        <v>0</v>
      </c>
      <c r="F298" s="151" t="n">
        <v>0</v>
      </c>
      <c r="G298" s="7" t="n">
        <v>0</v>
      </c>
      <c r="H298" s="7" t="n">
        <v>0</v>
      </c>
      <c r="I298" t="n">
        <v>20</v>
      </c>
    </row>
    <row r="299">
      <c r="A299" t="inlineStr">
        <is>
          <t>appliances and electrical equipment 27</t>
        </is>
      </c>
      <c r="B299" t="n">
        <v>27</v>
      </c>
      <c r="C299" t="inlineStr">
        <is>
          <t>efficiency measure 9</t>
        </is>
      </c>
      <c r="D299" t="inlineStr">
        <is>
          <t>(empty slot)</t>
        </is>
      </c>
      <c r="E299" s="151" t="n">
        <v>0</v>
      </c>
      <c r="F299" s="151" t="n">
        <v>0</v>
      </c>
      <c r="G299" s="7" t="n">
        <v>0</v>
      </c>
      <c r="H299" s="7" t="n">
        <v>0</v>
      </c>
      <c r="I299" t="n">
        <v>20</v>
      </c>
    </row>
    <row r="300">
      <c r="A300" t="inlineStr">
        <is>
          <t>appliances and electrical equipment 27</t>
        </is>
      </c>
      <c r="B300" t="n">
        <v>27</v>
      </c>
      <c r="C300" t="inlineStr">
        <is>
          <t>efficiency measure 10</t>
        </is>
      </c>
      <c r="D300" t="inlineStr">
        <is>
          <t>(empty slot)</t>
        </is>
      </c>
      <c r="E300" s="151" t="n">
        <v>0</v>
      </c>
      <c r="F300" s="151" t="n">
        <v>0</v>
      </c>
      <c r="G300" s="7" t="n">
        <v>0</v>
      </c>
      <c r="H300" s="7" t="n">
        <v>0</v>
      </c>
      <c r="I300" t="n">
        <v>20</v>
      </c>
    </row>
    <row r="301">
      <c r="A301" t="inlineStr">
        <is>
          <t>appliances and electrical equipment 27</t>
        </is>
      </c>
      <c r="B301" t="n">
        <v>27</v>
      </c>
      <c r="C301" t="inlineStr">
        <is>
          <t>efficiency measure 11</t>
        </is>
      </c>
      <c r="D301" t="inlineStr">
        <is>
          <t>(empty slot)</t>
        </is>
      </c>
      <c r="E301" s="151" t="n">
        <v>0</v>
      </c>
      <c r="F301" s="151" t="n">
        <v>0</v>
      </c>
      <c r="G301" s="7" t="n">
        <v>0</v>
      </c>
      <c r="H301" s="7" t="n">
        <v>0</v>
      </c>
      <c r="I301" t="n">
        <v>20</v>
      </c>
    </row>
    <row r="302">
      <c r="A302" t="inlineStr">
        <is>
          <t>appliances and electrical equipment 27</t>
        </is>
      </c>
      <c r="B302" t="n">
        <v>27</v>
      </c>
      <c r="C302" t="inlineStr">
        <is>
          <t>efficiency measure 12</t>
        </is>
      </c>
      <c r="D302" t="inlineStr">
        <is>
          <t>(empty slot)</t>
        </is>
      </c>
      <c r="E302" s="151" t="n">
        <v>0</v>
      </c>
      <c r="F302" s="151" t="n">
        <v>0</v>
      </c>
      <c r="G302" s="7" t="n">
        <v>0</v>
      </c>
      <c r="H302" s="7" t="n">
        <v>0</v>
      </c>
      <c r="I302" t="n">
        <v>20</v>
      </c>
    </row>
    <row r="303">
      <c r="A303" t="inlineStr">
        <is>
          <t>appliances and electrical equipment 27</t>
        </is>
      </c>
      <c r="B303" t="n">
        <v>27</v>
      </c>
      <c r="C303" t="inlineStr">
        <is>
          <t>efficiency measure 13</t>
        </is>
      </c>
      <c r="D303" t="inlineStr">
        <is>
          <t>(empty slot)</t>
        </is>
      </c>
      <c r="E303" s="151" t="n">
        <v>0</v>
      </c>
      <c r="F303" s="151" t="n">
        <v>0</v>
      </c>
      <c r="G303" s="7" t="n">
        <v>0</v>
      </c>
      <c r="H303" s="7" t="n">
        <v>0</v>
      </c>
      <c r="I303" t="n">
        <v>20</v>
      </c>
    </row>
    <row r="304">
      <c r="A304" t="inlineStr">
        <is>
          <t>appliances and electrical equipment 27</t>
        </is>
      </c>
      <c r="B304" t="n">
        <v>27</v>
      </c>
      <c r="C304" t="inlineStr">
        <is>
          <t>efficiency measure 14</t>
        </is>
      </c>
      <c r="D304" t="inlineStr">
        <is>
          <t>(empty slot)</t>
        </is>
      </c>
      <c r="E304" s="151" t="n">
        <v>0</v>
      </c>
      <c r="F304" s="151" t="n">
        <v>0</v>
      </c>
      <c r="G304" s="7" t="n">
        <v>0</v>
      </c>
      <c r="H304" s="7" t="n">
        <v>0</v>
      </c>
      <c r="I304" t="n">
        <v>20</v>
      </c>
    </row>
    <row r="305">
      <c r="A305" t="inlineStr">
        <is>
          <t>appliances and electrical equipment 27</t>
        </is>
      </c>
      <c r="B305" t="n">
        <v>27</v>
      </c>
      <c r="C305" t="inlineStr">
        <is>
          <t>efficiency measure 15</t>
        </is>
      </c>
      <c r="D305" t="inlineStr">
        <is>
          <t>(empty slot)</t>
        </is>
      </c>
      <c r="E305" s="151" t="n">
        <v>0</v>
      </c>
      <c r="F305" s="151" t="n">
        <v>0</v>
      </c>
      <c r="G305" s="7" t="n">
        <v>0</v>
      </c>
      <c r="H305" s="7" t="n">
        <v>0</v>
      </c>
      <c r="I305" t="n">
        <v>20</v>
      </c>
    </row>
    <row r="306">
      <c r="A306" t="inlineStr">
        <is>
          <t>appliances and electrical equipment 27</t>
        </is>
      </c>
      <c r="B306" t="n">
        <v>27</v>
      </c>
      <c r="C306" t="inlineStr">
        <is>
          <t>efficiency measure 16</t>
        </is>
      </c>
      <c r="D306" t="inlineStr">
        <is>
          <t>(empty slot)</t>
        </is>
      </c>
      <c r="E306" s="151" t="n">
        <v>0</v>
      </c>
      <c r="F306" s="151" t="n">
        <v>0</v>
      </c>
      <c r="G306" s="7" t="n">
        <v>0</v>
      </c>
      <c r="H306" s="7" t="n">
        <v>0</v>
      </c>
      <c r="I306" t="n">
        <v>20</v>
      </c>
    </row>
    <row r="307">
      <c r="A307" t="inlineStr">
        <is>
          <t>appliances and electrical equipment 27</t>
        </is>
      </c>
      <c r="B307" t="n">
        <v>27</v>
      </c>
      <c r="C307" t="inlineStr">
        <is>
          <t>efficiency measure 17</t>
        </is>
      </c>
      <c r="D307" t="inlineStr">
        <is>
          <t>(empty slot)</t>
        </is>
      </c>
      <c r="E307" s="151" t="n">
        <v>0</v>
      </c>
      <c r="F307" s="151" t="n">
        <v>0</v>
      </c>
      <c r="G307" s="7" t="n">
        <v>0</v>
      </c>
      <c r="H307" s="7" t="n">
        <v>0</v>
      </c>
      <c r="I307" t="n">
        <v>20</v>
      </c>
    </row>
    <row r="308">
      <c r="A308" t="inlineStr">
        <is>
          <t>other machinery 28</t>
        </is>
      </c>
      <c r="B308" t="n">
        <v>28</v>
      </c>
      <c r="C308" t="inlineStr">
        <is>
          <t>efficiency measure 1</t>
        </is>
      </c>
      <c r="D308" t="inlineStr">
        <is>
          <t>(empty slot)</t>
        </is>
      </c>
      <c r="E308" s="151" t="n">
        <v>0</v>
      </c>
      <c r="F308" s="151" t="n">
        <v>0</v>
      </c>
      <c r="G308" s="7" t="n">
        <v>0</v>
      </c>
      <c r="H308" s="7" t="n">
        <v>0</v>
      </c>
      <c r="I308" t="n">
        <v>20</v>
      </c>
    </row>
    <row r="309">
      <c r="A309" t="inlineStr">
        <is>
          <t>other machinery 28</t>
        </is>
      </c>
      <c r="B309" t="n">
        <v>28</v>
      </c>
      <c r="C309" t="inlineStr">
        <is>
          <t>efficiency measure 2</t>
        </is>
      </c>
      <c r="D309" t="inlineStr">
        <is>
          <t>(empty slot)</t>
        </is>
      </c>
      <c r="E309" s="151" t="n">
        <v>0</v>
      </c>
      <c r="F309" s="151" t="n">
        <v>0</v>
      </c>
      <c r="G309" s="7" t="n">
        <v>0</v>
      </c>
      <c r="H309" s="7" t="n">
        <v>0</v>
      </c>
      <c r="I309" t="n">
        <v>20</v>
      </c>
    </row>
    <row r="310">
      <c r="A310" t="inlineStr">
        <is>
          <t>other machinery 28</t>
        </is>
      </c>
      <c r="B310" t="n">
        <v>28</v>
      </c>
      <c r="C310" t="inlineStr">
        <is>
          <t>efficiency measure 3</t>
        </is>
      </c>
      <c r="D310" t="inlineStr">
        <is>
          <t>(empty slot)</t>
        </is>
      </c>
      <c r="E310" s="151" t="n">
        <v>0</v>
      </c>
      <c r="F310" s="151" t="n">
        <v>0</v>
      </c>
      <c r="G310" s="7" t="n">
        <v>0</v>
      </c>
      <c r="H310" s="7" t="n">
        <v>0</v>
      </c>
      <c r="I310" t="n">
        <v>20</v>
      </c>
    </row>
    <row r="311">
      <c r="A311" t="inlineStr">
        <is>
          <t>other machinery 28</t>
        </is>
      </c>
      <c r="B311" t="n">
        <v>28</v>
      </c>
      <c r="C311" t="inlineStr">
        <is>
          <t>efficiency measure 4</t>
        </is>
      </c>
      <c r="D311" t="inlineStr">
        <is>
          <t>(empty slot)</t>
        </is>
      </c>
      <c r="E311" s="151" t="n">
        <v>0</v>
      </c>
      <c r="F311" s="151" t="n">
        <v>0</v>
      </c>
      <c r="G311" s="7" t="n">
        <v>0</v>
      </c>
      <c r="H311" s="7" t="n">
        <v>0</v>
      </c>
      <c r="I311" t="n">
        <v>20</v>
      </c>
    </row>
    <row r="312">
      <c r="A312" t="inlineStr">
        <is>
          <t>other machinery 28</t>
        </is>
      </c>
      <c r="B312" t="n">
        <v>28</v>
      </c>
      <c r="C312" t="inlineStr">
        <is>
          <t>efficiency measure 5</t>
        </is>
      </c>
      <c r="D312" t="inlineStr">
        <is>
          <t>(empty slot)</t>
        </is>
      </c>
      <c r="E312" s="151" t="n">
        <v>0</v>
      </c>
      <c r="F312" s="151" t="n">
        <v>0</v>
      </c>
      <c r="G312" s="7" t="n">
        <v>0</v>
      </c>
      <c r="H312" s="7" t="n">
        <v>0</v>
      </c>
      <c r="I312" t="n">
        <v>20</v>
      </c>
    </row>
    <row r="313">
      <c r="A313" t="inlineStr">
        <is>
          <t>other machinery 28</t>
        </is>
      </c>
      <c r="B313" t="n">
        <v>28</v>
      </c>
      <c r="C313" t="inlineStr">
        <is>
          <t>efficiency measure 6</t>
        </is>
      </c>
      <c r="D313" t="inlineStr">
        <is>
          <t>(empty slot)</t>
        </is>
      </c>
      <c r="E313" s="151" t="n">
        <v>0</v>
      </c>
      <c r="F313" s="151" t="n">
        <v>0</v>
      </c>
      <c r="G313" s="7" t="n">
        <v>0</v>
      </c>
      <c r="H313" s="7" t="n">
        <v>0</v>
      </c>
      <c r="I313" t="n">
        <v>20</v>
      </c>
    </row>
    <row r="314">
      <c r="A314" t="inlineStr">
        <is>
          <t>other machinery 28</t>
        </is>
      </c>
      <c r="B314" t="n">
        <v>28</v>
      </c>
      <c r="C314" t="inlineStr">
        <is>
          <t>efficiency measure 7</t>
        </is>
      </c>
      <c r="D314" t="inlineStr">
        <is>
          <t>(empty slot)</t>
        </is>
      </c>
      <c r="E314" s="151" t="n">
        <v>0</v>
      </c>
      <c r="F314" s="151" t="n">
        <v>0</v>
      </c>
      <c r="G314" s="7" t="n">
        <v>0</v>
      </c>
      <c r="H314" s="7" t="n">
        <v>0</v>
      </c>
      <c r="I314" t="n">
        <v>20</v>
      </c>
    </row>
    <row r="315">
      <c r="A315" t="inlineStr">
        <is>
          <t>other machinery 28</t>
        </is>
      </c>
      <c r="B315" t="n">
        <v>28</v>
      </c>
      <c r="C315" t="inlineStr">
        <is>
          <t>efficiency measure 8</t>
        </is>
      </c>
      <c r="D315" t="inlineStr">
        <is>
          <t>(empty slot)</t>
        </is>
      </c>
      <c r="E315" s="151" t="n">
        <v>0</v>
      </c>
      <c r="F315" s="151" t="n">
        <v>0</v>
      </c>
      <c r="G315" s="7" t="n">
        <v>0</v>
      </c>
      <c r="H315" s="7" t="n">
        <v>0</v>
      </c>
      <c r="I315" t="n">
        <v>20</v>
      </c>
    </row>
    <row r="316">
      <c r="A316" t="inlineStr">
        <is>
          <t>other machinery 28</t>
        </is>
      </c>
      <c r="B316" t="n">
        <v>28</v>
      </c>
      <c r="C316" t="inlineStr">
        <is>
          <t>efficiency measure 9</t>
        </is>
      </c>
      <c r="D316" t="inlineStr">
        <is>
          <t>(empty slot)</t>
        </is>
      </c>
      <c r="E316" s="151" t="n">
        <v>0</v>
      </c>
      <c r="F316" s="151" t="n">
        <v>0</v>
      </c>
      <c r="G316" s="7" t="n">
        <v>0</v>
      </c>
      <c r="H316" s="7" t="n">
        <v>0</v>
      </c>
      <c r="I316" t="n">
        <v>20</v>
      </c>
    </row>
    <row r="317">
      <c r="A317" t="inlineStr">
        <is>
          <t>other machinery 28</t>
        </is>
      </c>
      <c r="B317" t="n">
        <v>28</v>
      </c>
      <c r="C317" t="inlineStr">
        <is>
          <t>efficiency measure 10</t>
        </is>
      </c>
      <c r="D317" t="inlineStr">
        <is>
          <t>(empty slot)</t>
        </is>
      </c>
      <c r="E317" s="151" t="n">
        <v>0</v>
      </c>
      <c r="F317" s="151" t="n">
        <v>0</v>
      </c>
      <c r="G317" s="7" t="n">
        <v>0</v>
      </c>
      <c r="H317" s="7" t="n">
        <v>0</v>
      </c>
      <c r="I317" t="n">
        <v>20</v>
      </c>
    </row>
    <row r="318">
      <c r="A318" t="inlineStr">
        <is>
          <t>other machinery 28</t>
        </is>
      </c>
      <c r="B318" t="n">
        <v>28</v>
      </c>
      <c r="C318" t="inlineStr">
        <is>
          <t>efficiency measure 11</t>
        </is>
      </c>
      <c r="D318" t="inlineStr">
        <is>
          <t>(empty slot)</t>
        </is>
      </c>
      <c r="E318" s="151" t="n">
        <v>0</v>
      </c>
      <c r="F318" s="151" t="n">
        <v>0</v>
      </c>
      <c r="G318" s="7" t="n">
        <v>0</v>
      </c>
      <c r="H318" s="7" t="n">
        <v>0</v>
      </c>
      <c r="I318" t="n">
        <v>20</v>
      </c>
    </row>
    <row r="319">
      <c r="A319" t="inlineStr">
        <is>
          <t>other machinery 28</t>
        </is>
      </c>
      <c r="B319" t="n">
        <v>28</v>
      </c>
      <c r="C319" t="inlineStr">
        <is>
          <t>efficiency measure 12</t>
        </is>
      </c>
      <c r="D319" t="inlineStr">
        <is>
          <t>(empty slot)</t>
        </is>
      </c>
      <c r="E319" s="151" t="n">
        <v>0</v>
      </c>
      <c r="F319" s="151" t="n">
        <v>0</v>
      </c>
      <c r="G319" s="7" t="n">
        <v>0</v>
      </c>
      <c r="H319" s="7" t="n">
        <v>0</v>
      </c>
      <c r="I319" t="n">
        <v>20</v>
      </c>
    </row>
    <row r="320">
      <c r="A320" t="inlineStr">
        <is>
          <t>other machinery 28</t>
        </is>
      </c>
      <c r="B320" t="n">
        <v>28</v>
      </c>
      <c r="C320" t="inlineStr">
        <is>
          <t>efficiency measure 13</t>
        </is>
      </c>
      <c r="D320" t="inlineStr">
        <is>
          <t>(empty slot)</t>
        </is>
      </c>
      <c r="E320" s="151" t="n">
        <v>0</v>
      </c>
      <c r="F320" s="151" t="n">
        <v>0</v>
      </c>
      <c r="G320" s="7" t="n">
        <v>0</v>
      </c>
      <c r="H320" s="7" t="n">
        <v>0</v>
      </c>
      <c r="I320" t="n">
        <v>20</v>
      </c>
    </row>
    <row r="321">
      <c r="A321" t="inlineStr">
        <is>
          <t>other machinery 28</t>
        </is>
      </c>
      <c r="B321" t="n">
        <v>28</v>
      </c>
      <c r="C321" t="inlineStr">
        <is>
          <t>efficiency measure 14</t>
        </is>
      </c>
      <c r="D321" t="inlineStr">
        <is>
          <t>(empty slot)</t>
        </is>
      </c>
      <c r="E321" s="151" t="n">
        <v>0</v>
      </c>
      <c r="F321" s="151" t="n">
        <v>0</v>
      </c>
      <c r="G321" s="7" t="n">
        <v>0</v>
      </c>
      <c r="H321" s="7" t="n">
        <v>0</v>
      </c>
      <c r="I321" t="n">
        <v>20</v>
      </c>
    </row>
    <row r="322">
      <c r="A322" t="inlineStr">
        <is>
          <t>other machinery 28</t>
        </is>
      </c>
      <c r="B322" t="n">
        <v>28</v>
      </c>
      <c r="C322" t="inlineStr">
        <is>
          <t>efficiency measure 15</t>
        </is>
      </c>
      <c r="D322" t="inlineStr">
        <is>
          <t>(empty slot)</t>
        </is>
      </c>
      <c r="E322" s="151" t="n">
        <v>0</v>
      </c>
      <c r="F322" s="151" t="n">
        <v>0</v>
      </c>
      <c r="G322" s="7" t="n">
        <v>0</v>
      </c>
      <c r="H322" s="7" t="n">
        <v>0</v>
      </c>
      <c r="I322" t="n">
        <v>20</v>
      </c>
    </row>
    <row r="323">
      <c r="A323" t="inlineStr">
        <is>
          <t>other machinery 28</t>
        </is>
      </c>
      <c r="B323" t="n">
        <v>28</v>
      </c>
      <c r="C323" t="inlineStr">
        <is>
          <t>efficiency measure 16</t>
        </is>
      </c>
      <c r="D323" t="inlineStr">
        <is>
          <t>(empty slot)</t>
        </is>
      </c>
      <c r="E323" s="151" t="n">
        <v>0</v>
      </c>
      <c r="F323" s="151" t="n">
        <v>0</v>
      </c>
      <c r="G323" s="7" t="n">
        <v>0</v>
      </c>
      <c r="H323" s="7" t="n">
        <v>0</v>
      </c>
      <c r="I323" t="n">
        <v>20</v>
      </c>
    </row>
    <row r="324">
      <c r="A324" t="inlineStr">
        <is>
          <t>other machinery 28</t>
        </is>
      </c>
      <c r="B324" t="n">
        <v>28</v>
      </c>
      <c r="C324" t="inlineStr">
        <is>
          <t>efficiency measure 17</t>
        </is>
      </c>
      <c r="D324" t="inlineStr">
        <is>
          <t>(empty slot)</t>
        </is>
      </c>
      <c r="E324" s="151" t="n">
        <v>0</v>
      </c>
      <c r="F324" s="151" t="n">
        <v>0</v>
      </c>
      <c r="G324" s="7" t="n">
        <v>0</v>
      </c>
      <c r="H324" s="7" t="n">
        <v>0</v>
      </c>
      <c r="I324" t="n">
        <v>20</v>
      </c>
    </row>
    <row r="325">
      <c r="A325" t="inlineStr">
        <is>
          <t>road vehicles 29</t>
        </is>
      </c>
      <c r="B325" t="n">
        <v>29</v>
      </c>
      <c r="C325" t="inlineStr">
        <is>
          <t>efficiency measure 1</t>
        </is>
      </c>
      <c r="D325" t="inlineStr">
        <is>
          <t>(empty slot)</t>
        </is>
      </c>
      <c r="E325" s="151" t="n">
        <v>0</v>
      </c>
      <c r="F325" s="151" t="n">
        <v>0</v>
      </c>
      <c r="G325" s="7" t="n">
        <v>0</v>
      </c>
      <c r="H325" s="7" t="n">
        <v>0</v>
      </c>
      <c r="I325" t="n">
        <v>20</v>
      </c>
    </row>
    <row r="326">
      <c r="A326" t="inlineStr">
        <is>
          <t>road vehicles 29</t>
        </is>
      </c>
      <c r="B326" t="n">
        <v>29</v>
      </c>
      <c r="C326" t="inlineStr">
        <is>
          <t>efficiency measure 2</t>
        </is>
      </c>
      <c r="D326" t="inlineStr">
        <is>
          <t>(empty slot)</t>
        </is>
      </c>
      <c r="E326" s="151" t="n">
        <v>0</v>
      </c>
      <c r="F326" s="151" t="n">
        <v>0</v>
      </c>
      <c r="G326" s="7" t="n">
        <v>0</v>
      </c>
      <c r="H326" s="7" t="n">
        <v>0</v>
      </c>
      <c r="I326" t="n">
        <v>20</v>
      </c>
    </row>
    <row r="327">
      <c r="A327" t="inlineStr">
        <is>
          <t>road vehicles 29</t>
        </is>
      </c>
      <c r="B327" t="n">
        <v>29</v>
      </c>
      <c r="C327" t="inlineStr">
        <is>
          <t>efficiency measure 3</t>
        </is>
      </c>
      <c r="D327" t="inlineStr">
        <is>
          <t>(empty slot)</t>
        </is>
      </c>
      <c r="E327" s="151" t="n">
        <v>0</v>
      </c>
      <c r="F327" s="151" t="n">
        <v>0</v>
      </c>
      <c r="G327" s="7" t="n">
        <v>0</v>
      </c>
      <c r="H327" s="7" t="n">
        <v>0</v>
      </c>
      <c r="I327" t="n">
        <v>20</v>
      </c>
    </row>
    <row r="328">
      <c r="A328" t="inlineStr">
        <is>
          <t>road vehicles 29</t>
        </is>
      </c>
      <c r="B328" t="n">
        <v>29</v>
      </c>
      <c r="C328" t="inlineStr">
        <is>
          <t>efficiency measure 4</t>
        </is>
      </c>
      <c r="D328" t="inlineStr">
        <is>
          <t>(empty slot)</t>
        </is>
      </c>
      <c r="E328" s="151" t="n">
        <v>0</v>
      </c>
      <c r="F328" s="151" t="n">
        <v>0</v>
      </c>
      <c r="G328" s="7" t="n">
        <v>0</v>
      </c>
      <c r="H328" s="7" t="n">
        <v>0</v>
      </c>
      <c r="I328" t="n">
        <v>20</v>
      </c>
    </row>
    <row r="329">
      <c r="A329" t="inlineStr">
        <is>
          <t>road vehicles 29</t>
        </is>
      </c>
      <c r="B329" t="n">
        <v>29</v>
      </c>
      <c r="C329" t="inlineStr">
        <is>
          <t>efficiency measure 5</t>
        </is>
      </c>
      <c r="D329" t="inlineStr">
        <is>
          <t>(empty slot)</t>
        </is>
      </c>
      <c r="E329" s="151" t="n">
        <v>0</v>
      </c>
      <c r="F329" s="151" t="n">
        <v>0</v>
      </c>
      <c r="G329" s="7" t="n">
        <v>0</v>
      </c>
      <c r="H329" s="7" t="n">
        <v>0</v>
      </c>
      <c r="I329" t="n">
        <v>20</v>
      </c>
    </row>
    <row r="330">
      <c r="A330" t="inlineStr">
        <is>
          <t>road vehicles 29</t>
        </is>
      </c>
      <c r="B330" t="n">
        <v>29</v>
      </c>
      <c r="C330" t="inlineStr">
        <is>
          <t>efficiency measure 6</t>
        </is>
      </c>
      <c r="D330" t="inlineStr">
        <is>
          <t>(empty slot)</t>
        </is>
      </c>
      <c r="E330" s="151" t="n">
        <v>0</v>
      </c>
      <c r="F330" s="151" t="n">
        <v>0</v>
      </c>
      <c r="G330" s="7" t="n">
        <v>0</v>
      </c>
      <c r="H330" s="7" t="n">
        <v>0</v>
      </c>
      <c r="I330" t="n">
        <v>20</v>
      </c>
    </row>
    <row r="331">
      <c r="A331" t="inlineStr">
        <is>
          <t>road vehicles 29</t>
        </is>
      </c>
      <c r="B331" t="n">
        <v>29</v>
      </c>
      <c r="C331" t="inlineStr">
        <is>
          <t>efficiency measure 7</t>
        </is>
      </c>
      <c r="D331" t="inlineStr">
        <is>
          <t>(empty slot)</t>
        </is>
      </c>
      <c r="E331" s="151" t="n">
        <v>0</v>
      </c>
      <c r="F331" s="151" t="n">
        <v>0</v>
      </c>
      <c r="G331" s="7" t="n">
        <v>0</v>
      </c>
      <c r="H331" s="7" t="n">
        <v>0</v>
      </c>
      <c r="I331" t="n">
        <v>20</v>
      </c>
    </row>
    <row r="332">
      <c r="A332" t="inlineStr">
        <is>
          <t>road vehicles 29</t>
        </is>
      </c>
      <c r="B332" t="n">
        <v>29</v>
      </c>
      <c r="C332" t="inlineStr">
        <is>
          <t>efficiency measure 8</t>
        </is>
      </c>
      <c r="D332" t="inlineStr">
        <is>
          <t>(empty slot)</t>
        </is>
      </c>
      <c r="E332" s="151" t="n">
        <v>0</v>
      </c>
      <c r="F332" s="151" t="n">
        <v>0</v>
      </c>
      <c r="G332" s="7" t="n">
        <v>0</v>
      </c>
      <c r="H332" s="7" t="n">
        <v>0</v>
      </c>
      <c r="I332" t="n">
        <v>20</v>
      </c>
    </row>
    <row r="333">
      <c r="A333" t="inlineStr">
        <is>
          <t>road vehicles 29</t>
        </is>
      </c>
      <c r="B333" t="n">
        <v>29</v>
      </c>
      <c r="C333" t="inlineStr">
        <is>
          <t>efficiency measure 9</t>
        </is>
      </c>
      <c r="D333" t="inlineStr">
        <is>
          <t>(empty slot)</t>
        </is>
      </c>
      <c r="E333" s="151" t="n">
        <v>0</v>
      </c>
      <c r="F333" s="151" t="n">
        <v>0</v>
      </c>
      <c r="G333" s="7" t="n">
        <v>0</v>
      </c>
      <c r="H333" s="7" t="n">
        <v>0</v>
      </c>
      <c r="I333" t="n">
        <v>20</v>
      </c>
    </row>
    <row r="334">
      <c r="A334" t="inlineStr">
        <is>
          <t>road vehicles 29</t>
        </is>
      </c>
      <c r="B334" t="n">
        <v>29</v>
      </c>
      <c r="C334" t="inlineStr">
        <is>
          <t>efficiency measure 10</t>
        </is>
      </c>
      <c r="D334" t="inlineStr">
        <is>
          <t>(empty slot)</t>
        </is>
      </c>
      <c r="E334" s="151" t="n">
        <v>0</v>
      </c>
      <c r="F334" s="151" t="n">
        <v>0</v>
      </c>
      <c r="G334" s="7" t="n">
        <v>0</v>
      </c>
      <c r="H334" s="7" t="n">
        <v>0</v>
      </c>
      <c r="I334" t="n">
        <v>20</v>
      </c>
    </row>
    <row r="335">
      <c r="A335" t="inlineStr">
        <is>
          <t>road vehicles 29</t>
        </is>
      </c>
      <c r="B335" t="n">
        <v>29</v>
      </c>
      <c r="C335" t="inlineStr">
        <is>
          <t>efficiency measure 11</t>
        </is>
      </c>
      <c r="D335" t="inlineStr">
        <is>
          <t>(empty slot)</t>
        </is>
      </c>
      <c r="E335" s="151" t="n">
        <v>0</v>
      </c>
      <c r="F335" s="151" t="n">
        <v>0</v>
      </c>
      <c r="G335" s="7" t="n">
        <v>0</v>
      </c>
      <c r="H335" s="7" t="n">
        <v>0</v>
      </c>
      <c r="I335" t="n">
        <v>20</v>
      </c>
    </row>
    <row r="336">
      <c r="A336" t="inlineStr">
        <is>
          <t>road vehicles 29</t>
        </is>
      </c>
      <c r="B336" t="n">
        <v>29</v>
      </c>
      <c r="C336" t="inlineStr">
        <is>
          <t>efficiency measure 12</t>
        </is>
      </c>
      <c r="D336" t="inlineStr">
        <is>
          <t>(empty slot)</t>
        </is>
      </c>
      <c r="E336" s="151" t="n">
        <v>0</v>
      </c>
      <c r="F336" s="151" t="n">
        <v>0</v>
      </c>
      <c r="G336" s="7" t="n">
        <v>0</v>
      </c>
      <c r="H336" s="7" t="n">
        <v>0</v>
      </c>
      <c r="I336" t="n">
        <v>20</v>
      </c>
    </row>
    <row r="337">
      <c r="A337" t="inlineStr">
        <is>
          <t>road vehicles 29</t>
        </is>
      </c>
      <c r="B337" t="n">
        <v>29</v>
      </c>
      <c r="C337" t="inlineStr">
        <is>
          <t>efficiency measure 13</t>
        </is>
      </c>
      <c r="D337" t="inlineStr">
        <is>
          <t>(empty slot)</t>
        </is>
      </c>
      <c r="E337" s="151" t="n">
        <v>0</v>
      </c>
      <c r="F337" s="151" t="n">
        <v>0</v>
      </c>
      <c r="G337" s="7" t="n">
        <v>0</v>
      </c>
      <c r="H337" s="7" t="n">
        <v>0</v>
      </c>
      <c r="I337" t="n">
        <v>20</v>
      </c>
    </row>
    <row r="338">
      <c r="A338" t="inlineStr">
        <is>
          <t>road vehicles 29</t>
        </is>
      </c>
      <c r="B338" t="n">
        <v>29</v>
      </c>
      <c r="C338" t="inlineStr">
        <is>
          <t>efficiency measure 14</t>
        </is>
      </c>
      <c r="D338" t="inlineStr">
        <is>
          <t>(empty slot)</t>
        </is>
      </c>
      <c r="E338" s="151" t="n">
        <v>0</v>
      </c>
      <c r="F338" s="151" t="n">
        <v>0</v>
      </c>
      <c r="G338" s="7" t="n">
        <v>0</v>
      </c>
      <c r="H338" s="7" t="n">
        <v>0</v>
      </c>
      <c r="I338" t="n">
        <v>20</v>
      </c>
    </row>
    <row r="339">
      <c r="A339" t="inlineStr">
        <is>
          <t>road vehicles 29</t>
        </is>
      </c>
      <c r="B339" t="n">
        <v>29</v>
      </c>
      <c r="C339" t="inlineStr">
        <is>
          <t>efficiency measure 15</t>
        </is>
      </c>
      <c r="D339" t="inlineStr">
        <is>
          <t>(empty slot)</t>
        </is>
      </c>
      <c r="E339" s="151" t="n">
        <v>0</v>
      </c>
      <c r="F339" s="151" t="n">
        <v>0</v>
      </c>
      <c r="G339" s="7" t="n">
        <v>0</v>
      </c>
      <c r="H339" s="7" t="n">
        <v>0</v>
      </c>
      <c r="I339" t="n">
        <v>20</v>
      </c>
    </row>
    <row r="340">
      <c r="A340" t="inlineStr">
        <is>
          <t>road vehicles 29</t>
        </is>
      </c>
      <c r="B340" t="n">
        <v>29</v>
      </c>
      <c r="C340" t="inlineStr">
        <is>
          <t>efficiency measure 16</t>
        </is>
      </c>
      <c r="D340" t="inlineStr">
        <is>
          <t>(empty slot)</t>
        </is>
      </c>
      <c r="E340" s="151" t="n">
        <v>0</v>
      </c>
      <c r="F340" s="151" t="n">
        <v>0</v>
      </c>
      <c r="G340" s="7" t="n">
        <v>0</v>
      </c>
      <c r="H340" s="7" t="n">
        <v>0</v>
      </c>
      <c r="I340" t="n">
        <v>20</v>
      </c>
    </row>
    <row r="341">
      <c r="A341" t="inlineStr">
        <is>
          <t>road vehicles 29</t>
        </is>
      </c>
      <c r="B341" t="n">
        <v>29</v>
      </c>
      <c r="C341" t="inlineStr">
        <is>
          <t>efficiency measure 17</t>
        </is>
      </c>
      <c r="D341" t="inlineStr">
        <is>
          <t>(empty slot)</t>
        </is>
      </c>
      <c r="E341" s="151" t="n">
        <v>0</v>
      </c>
      <c r="F341" s="151" t="n">
        <v>0</v>
      </c>
      <c r="G341" s="7" t="n">
        <v>0</v>
      </c>
      <c r="H341" s="7" t="n">
        <v>0</v>
      </c>
      <c r="I341" t="n">
        <v>20</v>
      </c>
    </row>
    <row r="342">
      <c r="A342" t="inlineStr">
        <is>
          <t>nonroad vehicles 30</t>
        </is>
      </c>
      <c r="B342" t="n">
        <v>30</v>
      </c>
      <c r="C342" t="inlineStr">
        <is>
          <t>efficiency measure 1</t>
        </is>
      </c>
      <c r="D342" t="inlineStr">
        <is>
          <t>(empty slot)</t>
        </is>
      </c>
      <c r="E342" s="151" t="n">
        <v>0</v>
      </c>
      <c r="F342" s="151" t="n">
        <v>0</v>
      </c>
      <c r="G342" s="7" t="n">
        <v>0</v>
      </c>
      <c r="H342" s="7" t="n">
        <v>0</v>
      </c>
      <c r="I342" t="n">
        <v>20</v>
      </c>
    </row>
    <row r="343">
      <c r="A343" t="inlineStr">
        <is>
          <t>nonroad vehicles 30</t>
        </is>
      </c>
      <c r="B343" t="n">
        <v>30</v>
      </c>
      <c r="C343" t="inlineStr">
        <is>
          <t>efficiency measure 2</t>
        </is>
      </c>
      <c r="D343" t="inlineStr">
        <is>
          <t>(empty slot)</t>
        </is>
      </c>
      <c r="E343" s="151" t="n">
        <v>0</v>
      </c>
      <c r="F343" s="151" t="n">
        <v>0</v>
      </c>
      <c r="G343" s="7" t="n">
        <v>0</v>
      </c>
      <c r="H343" s="7" t="n">
        <v>0</v>
      </c>
      <c r="I343" t="n">
        <v>20</v>
      </c>
    </row>
    <row r="344">
      <c r="A344" t="inlineStr">
        <is>
          <t>nonroad vehicles 30</t>
        </is>
      </c>
      <c r="B344" t="n">
        <v>30</v>
      </c>
      <c r="C344" t="inlineStr">
        <is>
          <t>efficiency measure 3</t>
        </is>
      </c>
      <c r="D344" t="inlineStr">
        <is>
          <t>(empty slot)</t>
        </is>
      </c>
      <c r="E344" s="151" t="n">
        <v>0</v>
      </c>
      <c r="F344" s="151" t="n">
        <v>0</v>
      </c>
      <c r="G344" s="7" t="n">
        <v>0</v>
      </c>
      <c r="H344" s="7" t="n">
        <v>0</v>
      </c>
      <c r="I344" t="n">
        <v>20</v>
      </c>
    </row>
    <row r="345">
      <c r="A345" t="inlineStr">
        <is>
          <t>nonroad vehicles 30</t>
        </is>
      </c>
      <c r="B345" t="n">
        <v>30</v>
      </c>
      <c r="C345" t="inlineStr">
        <is>
          <t>efficiency measure 4</t>
        </is>
      </c>
      <c r="D345" t="inlineStr">
        <is>
          <t>(empty slot)</t>
        </is>
      </c>
      <c r="E345" s="151" t="n">
        <v>0</v>
      </c>
      <c r="F345" s="151" t="n">
        <v>0</v>
      </c>
      <c r="G345" s="7" t="n">
        <v>0</v>
      </c>
      <c r="H345" s="7" t="n">
        <v>0</v>
      </c>
      <c r="I345" t="n">
        <v>20</v>
      </c>
    </row>
    <row r="346">
      <c r="A346" t="inlineStr">
        <is>
          <t>nonroad vehicles 30</t>
        </is>
      </c>
      <c r="B346" t="n">
        <v>30</v>
      </c>
      <c r="C346" t="inlineStr">
        <is>
          <t>efficiency measure 5</t>
        </is>
      </c>
      <c r="D346" t="inlineStr">
        <is>
          <t>(empty slot)</t>
        </is>
      </c>
      <c r="E346" s="151" t="n">
        <v>0</v>
      </c>
      <c r="F346" s="151" t="n">
        <v>0</v>
      </c>
      <c r="G346" s="7" t="n">
        <v>0</v>
      </c>
      <c r="H346" s="7" t="n">
        <v>0</v>
      </c>
      <c r="I346" t="n">
        <v>20</v>
      </c>
    </row>
    <row r="347">
      <c r="A347" t="inlineStr">
        <is>
          <t>nonroad vehicles 30</t>
        </is>
      </c>
      <c r="B347" t="n">
        <v>30</v>
      </c>
      <c r="C347" t="inlineStr">
        <is>
          <t>efficiency measure 6</t>
        </is>
      </c>
      <c r="D347" t="inlineStr">
        <is>
          <t>(empty slot)</t>
        </is>
      </c>
      <c r="E347" s="151" t="n">
        <v>0</v>
      </c>
      <c r="F347" s="151" t="n">
        <v>0</v>
      </c>
      <c r="G347" s="7" t="n">
        <v>0</v>
      </c>
      <c r="H347" s="7" t="n">
        <v>0</v>
      </c>
      <c r="I347" t="n">
        <v>20</v>
      </c>
    </row>
    <row r="348">
      <c r="A348" t="inlineStr">
        <is>
          <t>nonroad vehicles 30</t>
        </is>
      </c>
      <c r="B348" t="n">
        <v>30</v>
      </c>
      <c r="C348" t="inlineStr">
        <is>
          <t>efficiency measure 7</t>
        </is>
      </c>
      <c r="D348" t="inlineStr">
        <is>
          <t>(empty slot)</t>
        </is>
      </c>
      <c r="E348" s="151" t="n">
        <v>0</v>
      </c>
      <c r="F348" s="151" t="n">
        <v>0</v>
      </c>
      <c r="G348" s="7" t="n">
        <v>0</v>
      </c>
      <c r="H348" s="7" t="n">
        <v>0</v>
      </c>
      <c r="I348" t="n">
        <v>20</v>
      </c>
    </row>
    <row r="349">
      <c r="A349" t="inlineStr">
        <is>
          <t>nonroad vehicles 30</t>
        </is>
      </c>
      <c r="B349" t="n">
        <v>30</v>
      </c>
      <c r="C349" t="inlineStr">
        <is>
          <t>efficiency measure 8</t>
        </is>
      </c>
      <c r="D349" t="inlineStr">
        <is>
          <t>(empty slot)</t>
        </is>
      </c>
      <c r="E349" s="151" t="n">
        <v>0</v>
      </c>
      <c r="F349" s="151" t="n">
        <v>0</v>
      </c>
      <c r="G349" s="7" t="n">
        <v>0</v>
      </c>
      <c r="H349" s="7" t="n">
        <v>0</v>
      </c>
      <c r="I349" t="n">
        <v>20</v>
      </c>
    </row>
    <row r="350">
      <c r="A350" t="inlineStr">
        <is>
          <t>nonroad vehicles 30</t>
        </is>
      </c>
      <c r="B350" t="n">
        <v>30</v>
      </c>
      <c r="C350" t="inlineStr">
        <is>
          <t>efficiency measure 9</t>
        </is>
      </c>
      <c r="D350" t="inlineStr">
        <is>
          <t>(empty slot)</t>
        </is>
      </c>
      <c r="E350" s="151" t="n">
        <v>0</v>
      </c>
      <c r="F350" s="151" t="n">
        <v>0</v>
      </c>
      <c r="G350" s="7" t="n">
        <v>0</v>
      </c>
      <c r="H350" s="7" t="n">
        <v>0</v>
      </c>
      <c r="I350" t="n">
        <v>20</v>
      </c>
    </row>
    <row r="351">
      <c r="A351" t="inlineStr">
        <is>
          <t>nonroad vehicles 30</t>
        </is>
      </c>
      <c r="B351" t="n">
        <v>30</v>
      </c>
      <c r="C351" t="inlineStr">
        <is>
          <t>efficiency measure 10</t>
        </is>
      </c>
      <c r="D351" t="inlineStr">
        <is>
          <t>(empty slot)</t>
        </is>
      </c>
      <c r="E351" s="151" t="n">
        <v>0</v>
      </c>
      <c r="F351" s="151" t="n">
        <v>0</v>
      </c>
      <c r="G351" s="7" t="n">
        <v>0</v>
      </c>
      <c r="H351" s="7" t="n">
        <v>0</v>
      </c>
      <c r="I351" t="n">
        <v>20</v>
      </c>
    </row>
    <row r="352">
      <c r="A352" t="inlineStr">
        <is>
          <t>nonroad vehicles 30</t>
        </is>
      </c>
      <c r="B352" t="n">
        <v>30</v>
      </c>
      <c r="C352" t="inlineStr">
        <is>
          <t>efficiency measure 11</t>
        </is>
      </c>
      <c r="D352" t="inlineStr">
        <is>
          <t>(empty slot)</t>
        </is>
      </c>
      <c r="E352" s="151" t="n">
        <v>0</v>
      </c>
      <c r="F352" s="151" t="n">
        <v>0</v>
      </c>
      <c r="G352" s="7" t="n">
        <v>0</v>
      </c>
      <c r="H352" s="7" t="n">
        <v>0</v>
      </c>
      <c r="I352" t="n">
        <v>20</v>
      </c>
    </row>
    <row r="353">
      <c r="A353" t="inlineStr">
        <is>
          <t>nonroad vehicles 30</t>
        </is>
      </c>
      <c r="B353" t="n">
        <v>30</v>
      </c>
      <c r="C353" t="inlineStr">
        <is>
          <t>efficiency measure 12</t>
        </is>
      </c>
      <c r="D353" t="inlineStr">
        <is>
          <t>(empty slot)</t>
        </is>
      </c>
      <c r="E353" s="151" t="n">
        <v>0</v>
      </c>
      <c r="F353" s="151" t="n">
        <v>0</v>
      </c>
      <c r="G353" s="7" t="n">
        <v>0</v>
      </c>
      <c r="H353" s="7" t="n">
        <v>0</v>
      </c>
      <c r="I353" t="n">
        <v>20</v>
      </c>
    </row>
    <row r="354">
      <c r="A354" t="inlineStr">
        <is>
          <t>nonroad vehicles 30</t>
        </is>
      </c>
      <c r="B354" t="n">
        <v>30</v>
      </c>
      <c r="C354" t="inlineStr">
        <is>
          <t>efficiency measure 13</t>
        </is>
      </c>
      <c r="D354" t="inlineStr">
        <is>
          <t>(empty slot)</t>
        </is>
      </c>
      <c r="E354" s="151" t="n">
        <v>0</v>
      </c>
      <c r="F354" s="151" t="n">
        <v>0</v>
      </c>
      <c r="G354" s="7" t="n">
        <v>0</v>
      </c>
      <c r="H354" s="7" t="n">
        <v>0</v>
      </c>
      <c r="I354" t="n">
        <v>20</v>
      </c>
    </row>
    <row r="355">
      <c r="A355" t="inlineStr">
        <is>
          <t>nonroad vehicles 30</t>
        </is>
      </c>
      <c r="B355" t="n">
        <v>30</v>
      </c>
      <c r="C355" t="inlineStr">
        <is>
          <t>efficiency measure 14</t>
        </is>
      </c>
      <c r="D355" t="inlineStr">
        <is>
          <t>(empty slot)</t>
        </is>
      </c>
      <c r="E355" s="151" t="n">
        <v>0</v>
      </c>
      <c r="F355" s="151" t="n">
        <v>0</v>
      </c>
      <c r="G355" s="7" t="n">
        <v>0</v>
      </c>
      <c r="H355" s="7" t="n">
        <v>0</v>
      </c>
      <c r="I355" t="n">
        <v>20</v>
      </c>
    </row>
    <row r="356">
      <c r="A356" t="inlineStr">
        <is>
          <t>nonroad vehicles 30</t>
        </is>
      </c>
      <c r="B356" t="n">
        <v>30</v>
      </c>
      <c r="C356" t="inlineStr">
        <is>
          <t>efficiency measure 15</t>
        </is>
      </c>
      <c r="D356" t="inlineStr">
        <is>
          <t>(empty slot)</t>
        </is>
      </c>
      <c r="E356" s="151" t="n">
        <v>0</v>
      </c>
      <c r="F356" s="151" t="n">
        <v>0</v>
      </c>
      <c r="G356" s="7" t="n">
        <v>0</v>
      </c>
      <c r="H356" s="7" t="n">
        <v>0</v>
      </c>
      <c r="I356" t="n">
        <v>20</v>
      </c>
    </row>
    <row r="357">
      <c r="A357" t="inlineStr">
        <is>
          <t>nonroad vehicles 30</t>
        </is>
      </c>
      <c r="B357" t="n">
        <v>30</v>
      </c>
      <c r="C357" t="inlineStr">
        <is>
          <t>efficiency measure 16</t>
        </is>
      </c>
      <c r="D357" t="inlineStr">
        <is>
          <t>(empty slot)</t>
        </is>
      </c>
      <c r="E357" s="151" t="n">
        <v>0</v>
      </c>
      <c r="F357" s="151" t="n">
        <v>0</v>
      </c>
      <c r="G357" s="7" t="n">
        <v>0</v>
      </c>
      <c r="H357" s="7" t="n">
        <v>0</v>
      </c>
      <c r="I357" t="n">
        <v>20</v>
      </c>
    </row>
    <row r="358">
      <c r="A358" t="inlineStr">
        <is>
          <t>nonroad vehicles 30</t>
        </is>
      </c>
      <c r="B358" t="n">
        <v>30</v>
      </c>
      <c r="C358" t="inlineStr">
        <is>
          <t>efficiency measure 17</t>
        </is>
      </c>
      <c r="D358" t="inlineStr">
        <is>
          <t>(empty slot)</t>
        </is>
      </c>
      <c r="E358" s="151" t="n">
        <v>0</v>
      </c>
      <c r="F358" s="151" t="n">
        <v>0</v>
      </c>
      <c r="G358" s="7" t="n">
        <v>0</v>
      </c>
      <c r="H358" s="7" t="n">
        <v>0</v>
      </c>
      <c r="I358" t="n">
        <v>20</v>
      </c>
    </row>
    <row r="359">
      <c r="A359" t="inlineStr">
        <is>
          <t>other manufacturing 31T33</t>
        </is>
      </c>
      <c r="B359" t="inlineStr">
        <is>
          <t>31T33</t>
        </is>
      </c>
      <c r="C359" t="inlineStr">
        <is>
          <t>efficiency measure 1</t>
        </is>
      </c>
      <c r="D359" t="inlineStr">
        <is>
          <t>(empty slot)</t>
        </is>
      </c>
      <c r="E359" s="151" t="n">
        <v>0</v>
      </c>
      <c r="F359" s="151" t="n">
        <v>0</v>
      </c>
      <c r="G359" s="7" t="n">
        <v>0</v>
      </c>
      <c r="H359" s="7" t="n">
        <v>0</v>
      </c>
      <c r="I359" t="n">
        <v>20</v>
      </c>
    </row>
    <row r="360">
      <c r="A360" t="inlineStr">
        <is>
          <t>other manufacturing 31T33</t>
        </is>
      </c>
      <c r="B360" t="inlineStr">
        <is>
          <t>31T33</t>
        </is>
      </c>
      <c r="C360" t="inlineStr">
        <is>
          <t>efficiency measure 2</t>
        </is>
      </c>
      <c r="D360" t="inlineStr">
        <is>
          <t>(empty slot)</t>
        </is>
      </c>
      <c r="E360" s="151" t="n">
        <v>0</v>
      </c>
      <c r="F360" s="151" t="n">
        <v>0</v>
      </c>
      <c r="G360" s="7" t="n">
        <v>0</v>
      </c>
      <c r="H360" s="7" t="n">
        <v>0</v>
      </c>
      <c r="I360" t="n">
        <v>20</v>
      </c>
    </row>
    <row r="361">
      <c r="A361" t="inlineStr">
        <is>
          <t>other manufacturing 31T33</t>
        </is>
      </c>
      <c r="B361" t="inlineStr">
        <is>
          <t>31T33</t>
        </is>
      </c>
      <c r="C361" t="inlineStr">
        <is>
          <t>efficiency measure 3</t>
        </is>
      </c>
      <c r="D361" t="inlineStr">
        <is>
          <t>(empty slot)</t>
        </is>
      </c>
      <c r="E361" s="151" t="n">
        <v>0</v>
      </c>
      <c r="F361" s="151" t="n">
        <v>0</v>
      </c>
      <c r="G361" s="7" t="n">
        <v>0</v>
      </c>
      <c r="H361" s="7" t="n">
        <v>0</v>
      </c>
      <c r="I361" t="n">
        <v>20</v>
      </c>
    </row>
    <row r="362">
      <c r="A362" t="inlineStr">
        <is>
          <t>other manufacturing 31T33</t>
        </is>
      </c>
      <c r="B362" t="inlineStr">
        <is>
          <t>31T33</t>
        </is>
      </c>
      <c r="C362" t="inlineStr">
        <is>
          <t>efficiency measure 4</t>
        </is>
      </c>
      <c r="D362" t="inlineStr">
        <is>
          <t>(empty slot)</t>
        </is>
      </c>
      <c r="E362" s="151" t="n">
        <v>0</v>
      </c>
      <c r="F362" s="151" t="n">
        <v>0</v>
      </c>
      <c r="G362" s="7" t="n">
        <v>0</v>
      </c>
      <c r="H362" s="7" t="n">
        <v>0</v>
      </c>
      <c r="I362" t="n">
        <v>20</v>
      </c>
    </row>
    <row r="363">
      <c r="A363" t="inlineStr">
        <is>
          <t>other manufacturing 31T33</t>
        </is>
      </c>
      <c r="B363" t="inlineStr">
        <is>
          <t>31T33</t>
        </is>
      </c>
      <c r="C363" t="inlineStr">
        <is>
          <t>efficiency measure 5</t>
        </is>
      </c>
      <c r="D363" t="inlineStr">
        <is>
          <t>(empty slot)</t>
        </is>
      </c>
      <c r="E363" s="151" t="n">
        <v>0</v>
      </c>
      <c r="F363" s="151" t="n">
        <v>0</v>
      </c>
      <c r="G363" s="7" t="n">
        <v>0</v>
      </c>
      <c r="H363" s="7" t="n">
        <v>0</v>
      </c>
      <c r="I363" t="n">
        <v>20</v>
      </c>
    </row>
    <row r="364">
      <c r="A364" t="inlineStr">
        <is>
          <t>other manufacturing 31T33</t>
        </is>
      </c>
      <c r="B364" t="inlineStr">
        <is>
          <t>31T33</t>
        </is>
      </c>
      <c r="C364" t="inlineStr">
        <is>
          <t>efficiency measure 6</t>
        </is>
      </c>
      <c r="D364" t="inlineStr">
        <is>
          <t>(empty slot)</t>
        </is>
      </c>
      <c r="E364" s="151" t="n">
        <v>0</v>
      </c>
      <c r="F364" s="151" t="n">
        <v>0</v>
      </c>
      <c r="G364" s="7" t="n">
        <v>0</v>
      </c>
      <c r="H364" s="7" t="n">
        <v>0</v>
      </c>
      <c r="I364" t="n">
        <v>20</v>
      </c>
    </row>
    <row r="365">
      <c r="A365" t="inlineStr">
        <is>
          <t>other manufacturing 31T33</t>
        </is>
      </c>
      <c r="B365" t="inlineStr">
        <is>
          <t>31T33</t>
        </is>
      </c>
      <c r="C365" t="inlineStr">
        <is>
          <t>efficiency measure 7</t>
        </is>
      </c>
      <c r="D365" t="inlineStr">
        <is>
          <t>(empty slot)</t>
        </is>
      </c>
      <c r="E365" s="151" t="n">
        <v>0</v>
      </c>
      <c r="F365" s="151" t="n">
        <v>0</v>
      </c>
      <c r="G365" s="7" t="n">
        <v>0</v>
      </c>
      <c r="H365" s="7" t="n">
        <v>0</v>
      </c>
      <c r="I365" t="n">
        <v>20</v>
      </c>
    </row>
    <row r="366">
      <c r="A366" t="inlineStr">
        <is>
          <t>other manufacturing 31T33</t>
        </is>
      </c>
      <c r="B366" t="inlineStr">
        <is>
          <t>31T33</t>
        </is>
      </c>
      <c r="C366" t="inlineStr">
        <is>
          <t>efficiency measure 8</t>
        </is>
      </c>
      <c r="D366" t="inlineStr">
        <is>
          <t>(empty slot)</t>
        </is>
      </c>
      <c r="E366" s="151" t="n">
        <v>0</v>
      </c>
      <c r="F366" s="151" t="n">
        <v>0</v>
      </c>
      <c r="G366" s="7" t="n">
        <v>0</v>
      </c>
      <c r="H366" s="7" t="n">
        <v>0</v>
      </c>
      <c r="I366" t="n">
        <v>20</v>
      </c>
    </row>
    <row r="367">
      <c r="A367" t="inlineStr">
        <is>
          <t>other manufacturing 31T33</t>
        </is>
      </c>
      <c r="B367" t="inlineStr">
        <is>
          <t>31T33</t>
        </is>
      </c>
      <c r="C367" t="inlineStr">
        <is>
          <t>efficiency measure 9</t>
        </is>
      </c>
      <c r="D367" t="inlineStr">
        <is>
          <t>(empty slot)</t>
        </is>
      </c>
      <c r="E367" s="151" t="n">
        <v>0</v>
      </c>
      <c r="F367" s="151" t="n">
        <v>0</v>
      </c>
      <c r="G367" s="7" t="n">
        <v>0</v>
      </c>
      <c r="H367" s="7" t="n">
        <v>0</v>
      </c>
      <c r="I367" t="n">
        <v>20</v>
      </c>
    </row>
    <row r="368">
      <c r="A368" t="inlineStr">
        <is>
          <t>other manufacturing 31T33</t>
        </is>
      </c>
      <c r="B368" t="inlineStr">
        <is>
          <t>31T33</t>
        </is>
      </c>
      <c r="C368" t="inlineStr">
        <is>
          <t>efficiency measure 10</t>
        </is>
      </c>
      <c r="D368" t="inlineStr">
        <is>
          <t>(empty slot)</t>
        </is>
      </c>
      <c r="E368" s="151" t="n">
        <v>0</v>
      </c>
      <c r="F368" s="151" t="n">
        <v>0</v>
      </c>
      <c r="G368" s="7" t="n">
        <v>0</v>
      </c>
      <c r="H368" s="7" t="n">
        <v>0</v>
      </c>
      <c r="I368" t="n">
        <v>20</v>
      </c>
    </row>
    <row r="369">
      <c r="A369" t="inlineStr">
        <is>
          <t>other manufacturing 31T33</t>
        </is>
      </c>
      <c r="B369" t="inlineStr">
        <is>
          <t>31T33</t>
        </is>
      </c>
      <c r="C369" t="inlineStr">
        <is>
          <t>efficiency measure 11</t>
        </is>
      </c>
      <c r="D369" t="inlineStr">
        <is>
          <t>(empty slot)</t>
        </is>
      </c>
      <c r="E369" s="151" t="n">
        <v>0</v>
      </c>
      <c r="F369" s="151" t="n">
        <v>0</v>
      </c>
      <c r="G369" s="7" t="n">
        <v>0</v>
      </c>
      <c r="H369" s="7" t="n">
        <v>0</v>
      </c>
      <c r="I369" t="n">
        <v>20</v>
      </c>
    </row>
    <row r="370">
      <c r="A370" t="inlineStr">
        <is>
          <t>other manufacturing 31T33</t>
        </is>
      </c>
      <c r="B370" t="inlineStr">
        <is>
          <t>31T33</t>
        </is>
      </c>
      <c r="C370" t="inlineStr">
        <is>
          <t>efficiency measure 12</t>
        </is>
      </c>
      <c r="D370" t="inlineStr">
        <is>
          <t>(empty slot)</t>
        </is>
      </c>
      <c r="E370" s="151" t="n">
        <v>0</v>
      </c>
      <c r="F370" s="151" t="n">
        <v>0</v>
      </c>
      <c r="G370" s="7" t="n">
        <v>0</v>
      </c>
      <c r="H370" s="7" t="n">
        <v>0</v>
      </c>
      <c r="I370" t="n">
        <v>20</v>
      </c>
    </row>
    <row r="371">
      <c r="A371" t="inlineStr">
        <is>
          <t>other manufacturing 31T33</t>
        </is>
      </c>
      <c r="B371" t="inlineStr">
        <is>
          <t>31T33</t>
        </is>
      </c>
      <c r="C371" t="inlineStr">
        <is>
          <t>efficiency measure 13</t>
        </is>
      </c>
      <c r="D371" t="inlineStr">
        <is>
          <t>(empty slot)</t>
        </is>
      </c>
      <c r="E371" s="151" t="n">
        <v>0</v>
      </c>
      <c r="F371" s="151" t="n">
        <v>0</v>
      </c>
      <c r="G371" s="7" t="n">
        <v>0</v>
      </c>
      <c r="H371" s="7" t="n">
        <v>0</v>
      </c>
      <c r="I371" t="n">
        <v>20</v>
      </c>
    </row>
    <row r="372">
      <c r="A372" t="inlineStr">
        <is>
          <t>other manufacturing 31T33</t>
        </is>
      </c>
      <c r="B372" t="inlineStr">
        <is>
          <t>31T33</t>
        </is>
      </c>
      <c r="C372" t="inlineStr">
        <is>
          <t>efficiency measure 14</t>
        </is>
      </c>
      <c r="D372" t="inlineStr">
        <is>
          <t>(empty slot)</t>
        </is>
      </c>
      <c r="E372" s="151" t="n">
        <v>0</v>
      </c>
      <c r="F372" s="151" t="n">
        <v>0</v>
      </c>
      <c r="G372" s="7" t="n">
        <v>0</v>
      </c>
      <c r="H372" s="7" t="n">
        <v>0</v>
      </c>
      <c r="I372" t="n">
        <v>20</v>
      </c>
    </row>
    <row r="373">
      <c r="A373" t="inlineStr">
        <is>
          <t>other manufacturing 31T33</t>
        </is>
      </c>
      <c r="B373" t="inlineStr">
        <is>
          <t>31T33</t>
        </is>
      </c>
      <c r="C373" t="inlineStr">
        <is>
          <t>efficiency measure 15</t>
        </is>
      </c>
      <c r="D373" t="inlineStr">
        <is>
          <t>(empty slot)</t>
        </is>
      </c>
      <c r="E373" s="151" t="n">
        <v>0</v>
      </c>
      <c r="F373" s="151" t="n">
        <v>0</v>
      </c>
      <c r="G373" s="7" t="n">
        <v>0</v>
      </c>
      <c r="H373" s="7" t="n">
        <v>0</v>
      </c>
      <c r="I373" t="n">
        <v>20</v>
      </c>
    </row>
    <row r="374">
      <c r="A374" t="inlineStr">
        <is>
          <t>other manufacturing 31T33</t>
        </is>
      </c>
      <c r="B374" t="inlineStr">
        <is>
          <t>31T33</t>
        </is>
      </c>
      <c r="C374" t="inlineStr">
        <is>
          <t>efficiency measure 16</t>
        </is>
      </c>
      <c r="D374" t="inlineStr">
        <is>
          <t>(empty slot)</t>
        </is>
      </c>
      <c r="E374" s="151" t="n">
        <v>0</v>
      </c>
      <c r="F374" s="151" t="n">
        <v>0</v>
      </c>
      <c r="G374" s="7" t="n">
        <v>0</v>
      </c>
      <c r="H374" s="7" t="n">
        <v>0</v>
      </c>
      <c r="I374" t="n">
        <v>20</v>
      </c>
    </row>
    <row r="375">
      <c r="A375" t="inlineStr">
        <is>
          <t>other manufacturing 31T33</t>
        </is>
      </c>
      <c r="B375" t="inlineStr">
        <is>
          <t>31T33</t>
        </is>
      </c>
      <c r="C375" t="inlineStr">
        <is>
          <t>efficiency measure 17</t>
        </is>
      </c>
      <c r="D375" t="inlineStr">
        <is>
          <t>(empty slot)</t>
        </is>
      </c>
      <c r="E375" s="151" t="n">
        <v>0</v>
      </c>
      <c r="F375" s="151" t="n">
        <v>0</v>
      </c>
      <c r="G375" s="7" t="n">
        <v>0</v>
      </c>
      <c r="H375" s="7" t="n">
        <v>0</v>
      </c>
      <c r="I375" t="n">
        <v>20</v>
      </c>
    </row>
    <row r="376">
      <c r="A376" t="inlineStr">
        <is>
          <t>energy pipelines and gas processing 352T353</t>
        </is>
      </c>
      <c r="B376" t="inlineStr">
        <is>
          <t>352T353</t>
        </is>
      </c>
      <c r="C376" t="inlineStr">
        <is>
          <t>efficiency measure 1</t>
        </is>
      </c>
      <c r="D376" t="inlineStr">
        <is>
          <t>(empty slot)</t>
        </is>
      </c>
      <c r="E376" s="151" t="n">
        <v>0</v>
      </c>
      <c r="F376" s="151" t="n">
        <v>0</v>
      </c>
      <c r="G376" s="7" t="n">
        <v>0</v>
      </c>
      <c r="H376" s="7" t="n">
        <v>0</v>
      </c>
      <c r="I376" t="n">
        <v>20</v>
      </c>
    </row>
    <row r="377">
      <c r="A377" t="inlineStr">
        <is>
          <t>energy pipelines and gas processing 352T353</t>
        </is>
      </c>
      <c r="B377" t="inlineStr">
        <is>
          <t>352T353</t>
        </is>
      </c>
      <c r="C377" t="inlineStr">
        <is>
          <t>efficiency measure 2</t>
        </is>
      </c>
      <c r="D377" t="inlineStr">
        <is>
          <t>(empty slot)</t>
        </is>
      </c>
      <c r="E377" s="151" t="n">
        <v>0</v>
      </c>
      <c r="F377" s="151" t="n">
        <v>0</v>
      </c>
      <c r="G377" s="7" t="n">
        <v>0</v>
      </c>
      <c r="H377" s="7" t="n">
        <v>0</v>
      </c>
      <c r="I377" t="n">
        <v>20</v>
      </c>
    </row>
    <row r="378">
      <c r="A378" t="inlineStr">
        <is>
          <t>energy pipelines and gas processing 352T353</t>
        </is>
      </c>
      <c r="B378" t="inlineStr">
        <is>
          <t>352T353</t>
        </is>
      </c>
      <c r="C378" t="inlineStr">
        <is>
          <t>efficiency measure 3</t>
        </is>
      </c>
      <c r="D378" t="inlineStr">
        <is>
          <t>(empty slot)</t>
        </is>
      </c>
      <c r="E378" s="151" t="n">
        <v>0</v>
      </c>
      <c r="F378" s="151" t="n">
        <v>0</v>
      </c>
      <c r="G378" s="7" t="n">
        <v>0</v>
      </c>
      <c r="H378" s="7" t="n">
        <v>0</v>
      </c>
      <c r="I378" t="n">
        <v>20</v>
      </c>
    </row>
    <row r="379">
      <c r="A379" t="inlineStr">
        <is>
          <t>energy pipelines and gas processing 352T353</t>
        </is>
      </c>
      <c r="B379" t="inlineStr">
        <is>
          <t>352T353</t>
        </is>
      </c>
      <c r="C379" t="inlineStr">
        <is>
          <t>efficiency measure 4</t>
        </is>
      </c>
      <c r="D379" t="inlineStr">
        <is>
          <t>(empty slot)</t>
        </is>
      </c>
      <c r="E379" s="151" t="n">
        <v>0</v>
      </c>
      <c r="F379" s="151" t="n">
        <v>0</v>
      </c>
      <c r="G379" s="7" t="n">
        <v>0</v>
      </c>
      <c r="H379" s="7" t="n">
        <v>0</v>
      </c>
      <c r="I379" t="n">
        <v>20</v>
      </c>
    </row>
    <row r="380">
      <c r="A380" t="inlineStr">
        <is>
          <t>energy pipelines and gas processing 352T353</t>
        </is>
      </c>
      <c r="B380" t="inlineStr">
        <is>
          <t>352T353</t>
        </is>
      </c>
      <c r="C380" t="inlineStr">
        <is>
          <t>efficiency measure 5</t>
        </is>
      </c>
      <c r="D380" t="inlineStr">
        <is>
          <t>(empty slot)</t>
        </is>
      </c>
      <c r="E380" s="151" t="n">
        <v>0</v>
      </c>
      <c r="F380" s="151" t="n">
        <v>0</v>
      </c>
      <c r="G380" s="7" t="n">
        <v>0</v>
      </c>
      <c r="H380" s="7" t="n">
        <v>0</v>
      </c>
      <c r="I380" t="n">
        <v>20</v>
      </c>
    </row>
    <row r="381">
      <c r="A381" t="inlineStr">
        <is>
          <t>energy pipelines and gas processing 352T353</t>
        </is>
      </c>
      <c r="B381" t="inlineStr">
        <is>
          <t>352T353</t>
        </is>
      </c>
      <c r="C381" t="inlineStr">
        <is>
          <t>efficiency measure 6</t>
        </is>
      </c>
      <c r="D381" t="inlineStr">
        <is>
          <t>(empty slot)</t>
        </is>
      </c>
      <c r="E381" s="151" t="n">
        <v>0</v>
      </c>
      <c r="F381" s="151" t="n">
        <v>0</v>
      </c>
      <c r="G381" s="7" t="n">
        <v>0</v>
      </c>
      <c r="H381" s="7" t="n">
        <v>0</v>
      </c>
      <c r="I381" t="n">
        <v>20</v>
      </c>
    </row>
    <row r="382">
      <c r="A382" t="inlineStr">
        <is>
          <t>energy pipelines and gas processing 352T353</t>
        </is>
      </c>
      <c r="B382" t="inlineStr">
        <is>
          <t>352T353</t>
        </is>
      </c>
      <c r="C382" t="inlineStr">
        <is>
          <t>efficiency measure 7</t>
        </is>
      </c>
      <c r="D382" t="inlineStr">
        <is>
          <t>(empty slot)</t>
        </is>
      </c>
      <c r="E382" s="151" t="n">
        <v>0</v>
      </c>
      <c r="F382" s="151" t="n">
        <v>0</v>
      </c>
      <c r="G382" s="7" t="n">
        <v>0</v>
      </c>
      <c r="H382" s="7" t="n">
        <v>0</v>
      </c>
      <c r="I382" t="n">
        <v>20</v>
      </c>
    </row>
    <row r="383">
      <c r="A383" t="inlineStr">
        <is>
          <t>energy pipelines and gas processing 352T353</t>
        </is>
      </c>
      <c r="B383" t="inlineStr">
        <is>
          <t>352T353</t>
        </is>
      </c>
      <c r="C383" t="inlineStr">
        <is>
          <t>efficiency measure 8</t>
        </is>
      </c>
      <c r="D383" t="inlineStr">
        <is>
          <t>(empty slot)</t>
        </is>
      </c>
      <c r="E383" s="151" t="n">
        <v>0</v>
      </c>
      <c r="F383" s="151" t="n">
        <v>0</v>
      </c>
      <c r="G383" s="7" t="n">
        <v>0</v>
      </c>
      <c r="H383" s="7" t="n">
        <v>0</v>
      </c>
      <c r="I383" t="n">
        <v>20</v>
      </c>
    </row>
    <row r="384">
      <c r="A384" t="inlineStr">
        <is>
          <t>energy pipelines and gas processing 352T353</t>
        </is>
      </c>
      <c r="B384" t="inlineStr">
        <is>
          <t>352T353</t>
        </is>
      </c>
      <c r="C384" t="inlineStr">
        <is>
          <t>efficiency measure 9</t>
        </is>
      </c>
      <c r="D384" t="inlineStr">
        <is>
          <t>(empty slot)</t>
        </is>
      </c>
      <c r="E384" s="151" t="n">
        <v>0</v>
      </c>
      <c r="F384" s="151" t="n">
        <v>0</v>
      </c>
      <c r="G384" s="7" t="n">
        <v>0</v>
      </c>
      <c r="H384" s="7" t="n">
        <v>0</v>
      </c>
      <c r="I384" t="n">
        <v>20</v>
      </c>
    </row>
    <row r="385">
      <c r="A385" t="inlineStr">
        <is>
          <t>energy pipelines and gas processing 352T353</t>
        </is>
      </c>
      <c r="B385" t="inlineStr">
        <is>
          <t>352T353</t>
        </is>
      </c>
      <c r="C385" t="inlineStr">
        <is>
          <t>efficiency measure 10</t>
        </is>
      </c>
      <c r="D385" t="inlineStr">
        <is>
          <t>(empty slot)</t>
        </is>
      </c>
      <c r="E385" s="151" t="n">
        <v>0</v>
      </c>
      <c r="F385" s="151" t="n">
        <v>0</v>
      </c>
      <c r="G385" s="7" t="n">
        <v>0</v>
      </c>
      <c r="H385" s="7" t="n">
        <v>0</v>
      </c>
      <c r="I385" t="n">
        <v>20</v>
      </c>
    </row>
    <row r="386">
      <c r="A386" t="inlineStr">
        <is>
          <t>energy pipelines and gas processing 352T353</t>
        </is>
      </c>
      <c r="B386" t="inlineStr">
        <is>
          <t>352T353</t>
        </is>
      </c>
      <c r="C386" t="inlineStr">
        <is>
          <t>efficiency measure 11</t>
        </is>
      </c>
      <c r="D386" t="inlineStr">
        <is>
          <t>(empty slot)</t>
        </is>
      </c>
      <c r="E386" s="151" t="n">
        <v>0</v>
      </c>
      <c r="F386" s="151" t="n">
        <v>0</v>
      </c>
      <c r="G386" s="7" t="n">
        <v>0</v>
      </c>
      <c r="H386" s="7" t="n">
        <v>0</v>
      </c>
      <c r="I386" t="n">
        <v>20</v>
      </c>
    </row>
    <row r="387">
      <c r="A387" t="inlineStr">
        <is>
          <t>energy pipelines and gas processing 352T353</t>
        </is>
      </c>
      <c r="B387" t="inlineStr">
        <is>
          <t>352T353</t>
        </is>
      </c>
      <c r="C387" t="inlineStr">
        <is>
          <t>efficiency measure 12</t>
        </is>
      </c>
      <c r="D387" t="inlineStr">
        <is>
          <t>(empty slot)</t>
        </is>
      </c>
      <c r="E387" s="151" t="n">
        <v>0</v>
      </c>
      <c r="F387" s="151" t="n">
        <v>0</v>
      </c>
      <c r="G387" s="7" t="n">
        <v>0</v>
      </c>
      <c r="H387" s="7" t="n">
        <v>0</v>
      </c>
      <c r="I387" t="n">
        <v>20</v>
      </c>
    </row>
    <row r="388">
      <c r="A388" t="inlineStr">
        <is>
          <t>energy pipelines and gas processing 352T353</t>
        </is>
      </c>
      <c r="B388" t="inlineStr">
        <is>
          <t>352T353</t>
        </is>
      </c>
      <c r="C388" t="inlineStr">
        <is>
          <t>efficiency measure 13</t>
        </is>
      </c>
      <c r="D388" t="inlineStr">
        <is>
          <t>(empty slot)</t>
        </is>
      </c>
      <c r="E388" s="151" t="n">
        <v>0</v>
      </c>
      <c r="F388" s="151" t="n">
        <v>0</v>
      </c>
      <c r="G388" s="7" t="n">
        <v>0</v>
      </c>
      <c r="H388" s="7" t="n">
        <v>0</v>
      </c>
      <c r="I388" t="n">
        <v>20</v>
      </c>
    </row>
    <row r="389">
      <c r="A389" t="inlineStr">
        <is>
          <t>energy pipelines and gas processing 352T353</t>
        </is>
      </c>
      <c r="B389" t="inlineStr">
        <is>
          <t>352T353</t>
        </is>
      </c>
      <c r="C389" t="inlineStr">
        <is>
          <t>efficiency measure 14</t>
        </is>
      </c>
      <c r="D389" t="inlineStr">
        <is>
          <t>(empty slot)</t>
        </is>
      </c>
      <c r="E389" s="151" t="n">
        <v>0</v>
      </c>
      <c r="F389" s="151" t="n">
        <v>0</v>
      </c>
      <c r="G389" s="7" t="n">
        <v>0</v>
      </c>
      <c r="H389" s="7" t="n">
        <v>0</v>
      </c>
      <c r="I389" t="n">
        <v>20</v>
      </c>
    </row>
    <row r="390">
      <c r="A390" t="inlineStr">
        <is>
          <t>energy pipelines and gas processing 352T353</t>
        </is>
      </c>
      <c r="B390" t="inlineStr">
        <is>
          <t>352T353</t>
        </is>
      </c>
      <c r="C390" t="inlineStr">
        <is>
          <t>efficiency measure 15</t>
        </is>
      </c>
      <c r="D390" t="inlineStr">
        <is>
          <t>(empty slot)</t>
        </is>
      </c>
      <c r="E390" s="151" t="n">
        <v>0</v>
      </c>
      <c r="F390" s="151" t="n">
        <v>0</v>
      </c>
      <c r="G390" s="7" t="n">
        <v>0</v>
      </c>
      <c r="H390" s="7" t="n">
        <v>0</v>
      </c>
      <c r="I390" t="n">
        <v>20</v>
      </c>
    </row>
    <row r="391">
      <c r="A391" t="inlineStr">
        <is>
          <t>energy pipelines and gas processing 352T353</t>
        </is>
      </c>
      <c r="B391" t="inlineStr">
        <is>
          <t>352T353</t>
        </is>
      </c>
      <c r="C391" t="inlineStr">
        <is>
          <t>efficiency measure 16</t>
        </is>
      </c>
      <c r="D391" t="inlineStr">
        <is>
          <t>(empty slot)</t>
        </is>
      </c>
      <c r="E391" s="151" t="n">
        <v>0</v>
      </c>
      <c r="F391" s="151" t="n">
        <v>0</v>
      </c>
      <c r="G391" s="7" t="n">
        <v>0</v>
      </c>
      <c r="H391" s="7" t="n">
        <v>0</v>
      </c>
      <c r="I391" t="n">
        <v>20</v>
      </c>
    </row>
    <row r="392">
      <c r="A392" t="inlineStr">
        <is>
          <t>energy pipelines and gas processing 352T353</t>
        </is>
      </c>
      <c r="B392" t="inlineStr">
        <is>
          <t>352T353</t>
        </is>
      </c>
      <c r="C392" t="inlineStr">
        <is>
          <t>efficiency measure 17</t>
        </is>
      </c>
      <c r="D392" t="inlineStr">
        <is>
          <t>(empty slot)</t>
        </is>
      </c>
      <c r="E392" s="151" t="n">
        <v>0</v>
      </c>
      <c r="F392" s="151" t="n">
        <v>0</v>
      </c>
      <c r="G392" s="7" t="n">
        <v>0</v>
      </c>
      <c r="H392" s="7" t="n">
        <v>0</v>
      </c>
      <c r="I392" t="n">
        <v>20</v>
      </c>
    </row>
    <row r="393">
      <c r="A393" t="inlineStr">
        <is>
          <t>water and waste 36T39</t>
        </is>
      </c>
      <c r="B393" t="inlineStr">
        <is>
          <t>36T39</t>
        </is>
      </c>
      <c r="C393" t="inlineStr">
        <is>
          <t>efficiency measure 1</t>
        </is>
      </c>
      <c r="D393" t="inlineStr">
        <is>
          <t>(empty slot)</t>
        </is>
      </c>
      <c r="E393" s="151" t="n">
        <v>0</v>
      </c>
      <c r="F393" s="151" t="n">
        <v>0</v>
      </c>
      <c r="G393" s="7" t="n">
        <v>0</v>
      </c>
      <c r="H393" s="7" t="n">
        <v>0</v>
      </c>
      <c r="I393" t="n">
        <v>20</v>
      </c>
    </row>
    <row r="394">
      <c r="A394" t="inlineStr">
        <is>
          <t>water and waste 36T39</t>
        </is>
      </c>
      <c r="B394" t="inlineStr">
        <is>
          <t>36T39</t>
        </is>
      </c>
      <c r="C394" t="inlineStr">
        <is>
          <t>efficiency measure 2</t>
        </is>
      </c>
      <c r="D394" t="inlineStr">
        <is>
          <t>(empty slot)</t>
        </is>
      </c>
      <c r="E394" s="151" t="n">
        <v>0</v>
      </c>
      <c r="F394" s="151" t="n">
        <v>0</v>
      </c>
      <c r="G394" s="7" t="n">
        <v>0</v>
      </c>
      <c r="H394" s="7" t="n">
        <v>0</v>
      </c>
      <c r="I394" t="n">
        <v>20</v>
      </c>
    </row>
    <row r="395">
      <c r="A395" t="inlineStr">
        <is>
          <t>water and waste 36T39</t>
        </is>
      </c>
      <c r="B395" t="inlineStr">
        <is>
          <t>36T39</t>
        </is>
      </c>
      <c r="C395" t="inlineStr">
        <is>
          <t>efficiency measure 3</t>
        </is>
      </c>
      <c r="D395" t="inlineStr">
        <is>
          <t>(empty slot)</t>
        </is>
      </c>
      <c r="E395" s="151" t="n">
        <v>0</v>
      </c>
      <c r="F395" s="151" t="n">
        <v>0</v>
      </c>
      <c r="G395" s="7" t="n">
        <v>0</v>
      </c>
      <c r="H395" s="7" t="n">
        <v>0</v>
      </c>
      <c r="I395" t="n">
        <v>20</v>
      </c>
    </row>
    <row r="396">
      <c r="A396" t="inlineStr">
        <is>
          <t>water and waste 36T39</t>
        </is>
      </c>
      <c r="B396" t="inlineStr">
        <is>
          <t>36T39</t>
        </is>
      </c>
      <c r="C396" t="inlineStr">
        <is>
          <t>efficiency measure 4</t>
        </is>
      </c>
      <c r="D396" t="inlineStr">
        <is>
          <t>(empty slot)</t>
        </is>
      </c>
      <c r="E396" s="151" t="n">
        <v>0</v>
      </c>
      <c r="F396" s="151" t="n">
        <v>0</v>
      </c>
      <c r="G396" s="7" t="n">
        <v>0</v>
      </c>
      <c r="H396" s="7" t="n">
        <v>0</v>
      </c>
      <c r="I396" t="n">
        <v>20</v>
      </c>
    </row>
    <row r="397">
      <c r="A397" t="inlineStr">
        <is>
          <t>water and waste 36T39</t>
        </is>
      </c>
      <c r="B397" t="inlineStr">
        <is>
          <t>36T39</t>
        </is>
      </c>
      <c r="C397" t="inlineStr">
        <is>
          <t>efficiency measure 5</t>
        </is>
      </c>
      <c r="D397" t="inlineStr">
        <is>
          <t>(empty slot)</t>
        </is>
      </c>
      <c r="E397" s="151" t="n">
        <v>0</v>
      </c>
      <c r="F397" s="151" t="n">
        <v>0</v>
      </c>
      <c r="G397" s="7" t="n">
        <v>0</v>
      </c>
      <c r="H397" s="7" t="n">
        <v>0</v>
      </c>
      <c r="I397" t="n">
        <v>20</v>
      </c>
    </row>
    <row r="398">
      <c r="A398" t="inlineStr">
        <is>
          <t>water and waste 36T39</t>
        </is>
      </c>
      <c r="B398" t="inlineStr">
        <is>
          <t>36T39</t>
        </is>
      </c>
      <c r="C398" t="inlineStr">
        <is>
          <t>efficiency measure 6</t>
        </is>
      </c>
      <c r="D398" t="inlineStr">
        <is>
          <t>(empty slot)</t>
        </is>
      </c>
      <c r="E398" s="151" t="n">
        <v>0</v>
      </c>
      <c r="F398" s="151" t="n">
        <v>0</v>
      </c>
      <c r="G398" s="7" t="n">
        <v>0</v>
      </c>
      <c r="H398" s="7" t="n">
        <v>0</v>
      </c>
      <c r="I398" t="n">
        <v>20</v>
      </c>
    </row>
    <row r="399">
      <c r="A399" t="inlineStr">
        <is>
          <t>water and waste 36T39</t>
        </is>
      </c>
      <c r="B399" t="inlineStr">
        <is>
          <t>36T39</t>
        </is>
      </c>
      <c r="C399" t="inlineStr">
        <is>
          <t>efficiency measure 7</t>
        </is>
      </c>
      <c r="D399" t="inlineStr">
        <is>
          <t>(empty slot)</t>
        </is>
      </c>
      <c r="E399" s="151" t="n">
        <v>0</v>
      </c>
      <c r="F399" s="151" t="n">
        <v>0</v>
      </c>
      <c r="G399" s="7" t="n">
        <v>0</v>
      </c>
      <c r="H399" s="7" t="n">
        <v>0</v>
      </c>
      <c r="I399" t="n">
        <v>20</v>
      </c>
    </row>
    <row r="400">
      <c r="A400" t="inlineStr">
        <is>
          <t>water and waste 36T39</t>
        </is>
      </c>
      <c r="B400" t="inlineStr">
        <is>
          <t>36T39</t>
        </is>
      </c>
      <c r="C400" t="inlineStr">
        <is>
          <t>efficiency measure 8</t>
        </is>
      </c>
      <c r="D400" t="inlineStr">
        <is>
          <t>(empty slot)</t>
        </is>
      </c>
      <c r="E400" s="151" t="n">
        <v>0</v>
      </c>
      <c r="F400" s="151" t="n">
        <v>0</v>
      </c>
      <c r="G400" s="7" t="n">
        <v>0</v>
      </c>
      <c r="H400" s="7" t="n">
        <v>0</v>
      </c>
      <c r="I400" t="n">
        <v>20</v>
      </c>
    </row>
    <row r="401">
      <c r="A401" t="inlineStr">
        <is>
          <t>water and waste 36T39</t>
        </is>
      </c>
      <c r="B401" t="inlineStr">
        <is>
          <t>36T39</t>
        </is>
      </c>
      <c r="C401" t="inlineStr">
        <is>
          <t>efficiency measure 9</t>
        </is>
      </c>
      <c r="D401" t="inlineStr">
        <is>
          <t>(empty slot)</t>
        </is>
      </c>
      <c r="E401" s="151" t="n">
        <v>0</v>
      </c>
      <c r="F401" s="151" t="n">
        <v>0</v>
      </c>
      <c r="G401" s="7" t="n">
        <v>0</v>
      </c>
      <c r="H401" s="7" t="n">
        <v>0</v>
      </c>
      <c r="I401" t="n">
        <v>20</v>
      </c>
    </row>
    <row r="402">
      <c r="A402" t="inlineStr">
        <is>
          <t>water and waste 36T39</t>
        </is>
      </c>
      <c r="B402" t="inlineStr">
        <is>
          <t>36T39</t>
        </is>
      </c>
      <c r="C402" t="inlineStr">
        <is>
          <t>efficiency measure 10</t>
        </is>
      </c>
      <c r="D402" t="inlineStr">
        <is>
          <t>(empty slot)</t>
        </is>
      </c>
      <c r="E402" s="151" t="n">
        <v>0</v>
      </c>
      <c r="F402" s="151" t="n">
        <v>0</v>
      </c>
      <c r="G402" s="7" t="n">
        <v>0</v>
      </c>
      <c r="H402" s="7" t="n">
        <v>0</v>
      </c>
      <c r="I402" t="n">
        <v>20</v>
      </c>
    </row>
    <row r="403">
      <c r="A403" t="inlineStr">
        <is>
          <t>water and waste 36T39</t>
        </is>
      </c>
      <c r="B403" t="inlineStr">
        <is>
          <t>36T39</t>
        </is>
      </c>
      <c r="C403" t="inlineStr">
        <is>
          <t>efficiency measure 11</t>
        </is>
      </c>
      <c r="D403" t="inlineStr">
        <is>
          <t>(empty slot)</t>
        </is>
      </c>
      <c r="E403" s="151" t="n">
        <v>0</v>
      </c>
      <c r="F403" s="151" t="n">
        <v>0</v>
      </c>
      <c r="G403" s="7" t="n">
        <v>0</v>
      </c>
      <c r="H403" s="7" t="n">
        <v>0</v>
      </c>
      <c r="I403" t="n">
        <v>20</v>
      </c>
    </row>
    <row r="404">
      <c r="A404" t="inlineStr">
        <is>
          <t>water and waste 36T39</t>
        </is>
      </c>
      <c r="B404" t="inlineStr">
        <is>
          <t>36T39</t>
        </is>
      </c>
      <c r="C404" t="inlineStr">
        <is>
          <t>efficiency measure 12</t>
        </is>
      </c>
      <c r="D404" t="inlineStr">
        <is>
          <t>(empty slot)</t>
        </is>
      </c>
      <c r="E404" s="151" t="n">
        <v>0</v>
      </c>
      <c r="F404" s="151" t="n">
        <v>0</v>
      </c>
      <c r="G404" s="7" t="n">
        <v>0</v>
      </c>
      <c r="H404" s="7" t="n">
        <v>0</v>
      </c>
      <c r="I404" t="n">
        <v>20</v>
      </c>
    </row>
    <row r="405">
      <c r="A405" t="inlineStr">
        <is>
          <t>water and waste 36T39</t>
        </is>
      </c>
      <c r="B405" t="inlineStr">
        <is>
          <t>36T39</t>
        </is>
      </c>
      <c r="C405" t="inlineStr">
        <is>
          <t>efficiency measure 13</t>
        </is>
      </c>
      <c r="D405" t="inlineStr">
        <is>
          <t>(empty slot)</t>
        </is>
      </c>
      <c r="E405" s="151" t="n">
        <v>0</v>
      </c>
      <c r="F405" s="151" t="n">
        <v>0</v>
      </c>
      <c r="G405" s="7" t="n">
        <v>0</v>
      </c>
      <c r="H405" s="7" t="n">
        <v>0</v>
      </c>
      <c r="I405" t="n">
        <v>20</v>
      </c>
    </row>
    <row r="406">
      <c r="A406" t="inlineStr">
        <is>
          <t>water and waste 36T39</t>
        </is>
      </c>
      <c r="B406" t="inlineStr">
        <is>
          <t>36T39</t>
        </is>
      </c>
      <c r="C406" t="inlineStr">
        <is>
          <t>efficiency measure 14</t>
        </is>
      </c>
      <c r="D406" t="inlineStr">
        <is>
          <t>(empty slot)</t>
        </is>
      </c>
      <c r="E406" s="151" t="n">
        <v>0</v>
      </c>
      <c r="F406" s="151" t="n">
        <v>0</v>
      </c>
      <c r="G406" s="7" t="n">
        <v>0</v>
      </c>
      <c r="H406" s="7" t="n">
        <v>0</v>
      </c>
      <c r="I406" t="n">
        <v>20</v>
      </c>
    </row>
    <row r="407">
      <c r="A407" t="inlineStr">
        <is>
          <t>water and waste 36T39</t>
        </is>
      </c>
      <c r="B407" t="inlineStr">
        <is>
          <t>36T39</t>
        </is>
      </c>
      <c r="C407" t="inlineStr">
        <is>
          <t>efficiency measure 15</t>
        </is>
      </c>
      <c r="D407" t="inlineStr">
        <is>
          <t>(empty slot)</t>
        </is>
      </c>
      <c r="E407" s="151" t="n">
        <v>0</v>
      </c>
      <c r="F407" s="151" t="n">
        <v>0</v>
      </c>
      <c r="G407" s="7" t="n">
        <v>0</v>
      </c>
      <c r="H407" s="7" t="n">
        <v>0</v>
      </c>
      <c r="I407" t="n">
        <v>20</v>
      </c>
    </row>
    <row r="408">
      <c r="A408" t="inlineStr">
        <is>
          <t>water and waste 36T39</t>
        </is>
      </c>
      <c r="B408" t="inlineStr">
        <is>
          <t>36T39</t>
        </is>
      </c>
      <c r="C408" t="inlineStr">
        <is>
          <t>efficiency measure 16</t>
        </is>
      </c>
      <c r="D408" t="inlineStr">
        <is>
          <t>(empty slot)</t>
        </is>
      </c>
      <c r="E408" s="151" t="n">
        <v>0</v>
      </c>
      <c r="F408" s="151" t="n">
        <v>0</v>
      </c>
      <c r="G408" s="7" t="n">
        <v>0</v>
      </c>
      <c r="H408" s="7" t="n">
        <v>0</v>
      </c>
      <c r="I408" t="n">
        <v>20</v>
      </c>
    </row>
    <row r="409">
      <c r="A409" t="inlineStr">
        <is>
          <t>water and waste 36T39</t>
        </is>
      </c>
      <c r="B409" t="inlineStr">
        <is>
          <t>36T39</t>
        </is>
      </c>
      <c r="C409" t="inlineStr">
        <is>
          <t>efficiency measure 17</t>
        </is>
      </c>
      <c r="D409" t="inlineStr">
        <is>
          <t>(empty slot)</t>
        </is>
      </c>
      <c r="E409" s="151" t="n">
        <v>0</v>
      </c>
      <c r="F409" s="151" t="n">
        <v>0</v>
      </c>
      <c r="G409" s="7" t="n">
        <v>0</v>
      </c>
      <c r="H409" s="7" t="n">
        <v>0</v>
      </c>
      <c r="I409" t="n">
        <v>20</v>
      </c>
    </row>
    <row r="410">
      <c r="A410" t="inlineStr">
        <is>
          <t>construction 41T43</t>
        </is>
      </c>
      <c r="B410" t="inlineStr">
        <is>
          <t>41T43</t>
        </is>
      </c>
      <c r="C410" t="inlineStr">
        <is>
          <t>efficiency measure 1</t>
        </is>
      </c>
      <c r="D410" t="inlineStr">
        <is>
          <t>(empty slot)</t>
        </is>
      </c>
      <c r="E410" s="151" t="n">
        <v>0</v>
      </c>
      <c r="F410" s="151" t="n">
        <v>0</v>
      </c>
      <c r="G410" s="7" t="n">
        <v>0</v>
      </c>
      <c r="H410" s="7" t="n">
        <v>0</v>
      </c>
      <c r="I410" t="n">
        <v>20</v>
      </c>
    </row>
    <row r="411">
      <c r="A411" t="inlineStr">
        <is>
          <t>construction 41T43</t>
        </is>
      </c>
      <c r="B411" t="inlineStr">
        <is>
          <t>41T43</t>
        </is>
      </c>
      <c r="C411" t="inlineStr">
        <is>
          <t>efficiency measure 2</t>
        </is>
      </c>
      <c r="D411" t="inlineStr">
        <is>
          <t>(empty slot)</t>
        </is>
      </c>
      <c r="E411" s="151" t="n">
        <v>0</v>
      </c>
      <c r="F411" s="151" t="n">
        <v>0</v>
      </c>
      <c r="G411" s="7" t="n">
        <v>0</v>
      </c>
      <c r="H411" s="7" t="n">
        <v>0</v>
      </c>
      <c r="I411" t="n">
        <v>20</v>
      </c>
    </row>
    <row r="412">
      <c r="A412" t="inlineStr">
        <is>
          <t>construction 41T43</t>
        </is>
      </c>
      <c r="B412" t="inlineStr">
        <is>
          <t>41T43</t>
        </is>
      </c>
      <c r="C412" t="inlineStr">
        <is>
          <t>efficiency measure 3</t>
        </is>
      </c>
      <c r="D412" t="inlineStr">
        <is>
          <t>(empty slot)</t>
        </is>
      </c>
      <c r="E412" s="151" t="n">
        <v>0</v>
      </c>
      <c r="F412" s="151" t="n">
        <v>0</v>
      </c>
      <c r="G412" s="7" t="n">
        <v>0</v>
      </c>
      <c r="H412" s="7" t="n">
        <v>0</v>
      </c>
      <c r="I412" t="n">
        <v>20</v>
      </c>
    </row>
    <row r="413">
      <c r="A413" t="inlineStr">
        <is>
          <t>construction 41T43</t>
        </is>
      </c>
      <c r="B413" t="inlineStr">
        <is>
          <t>41T43</t>
        </is>
      </c>
      <c r="C413" t="inlineStr">
        <is>
          <t>efficiency measure 4</t>
        </is>
      </c>
      <c r="D413" t="inlineStr">
        <is>
          <t>(empty slot)</t>
        </is>
      </c>
      <c r="E413" s="151" t="n">
        <v>0</v>
      </c>
      <c r="F413" s="151" t="n">
        <v>0</v>
      </c>
      <c r="G413" s="7" t="n">
        <v>0</v>
      </c>
      <c r="H413" s="7" t="n">
        <v>0</v>
      </c>
      <c r="I413" t="n">
        <v>20</v>
      </c>
    </row>
    <row r="414">
      <c r="A414" t="inlineStr">
        <is>
          <t>construction 41T43</t>
        </is>
      </c>
      <c r="B414" t="inlineStr">
        <is>
          <t>41T43</t>
        </is>
      </c>
      <c r="C414" t="inlineStr">
        <is>
          <t>efficiency measure 5</t>
        </is>
      </c>
      <c r="D414" t="inlineStr">
        <is>
          <t>(empty slot)</t>
        </is>
      </c>
      <c r="E414" s="151" t="n">
        <v>0</v>
      </c>
      <c r="F414" s="151" t="n">
        <v>0</v>
      </c>
      <c r="G414" s="7" t="n">
        <v>0</v>
      </c>
      <c r="H414" s="7" t="n">
        <v>0</v>
      </c>
      <c r="I414" t="n">
        <v>20</v>
      </c>
    </row>
    <row r="415">
      <c r="A415" t="inlineStr">
        <is>
          <t>construction 41T43</t>
        </is>
      </c>
      <c r="B415" t="inlineStr">
        <is>
          <t>41T43</t>
        </is>
      </c>
      <c r="C415" t="inlineStr">
        <is>
          <t>efficiency measure 6</t>
        </is>
      </c>
      <c r="D415" t="inlineStr">
        <is>
          <t>(empty slot)</t>
        </is>
      </c>
      <c r="E415" s="151" t="n">
        <v>0</v>
      </c>
      <c r="F415" s="151" t="n">
        <v>0</v>
      </c>
      <c r="G415" s="7" t="n">
        <v>0</v>
      </c>
      <c r="H415" s="7" t="n">
        <v>0</v>
      </c>
      <c r="I415" t="n">
        <v>20</v>
      </c>
    </row>
    <row r="416">
      <c r="A416" t="inlineStr">
        <is>
          <t>construction 41T43</t>
        </is>
      </c>
      <c r="B416" t="inlineStr">
        <is>
          <t>41T43</t>
        </is>
      </c>
      <c r="C416" t="inlineStr">
        <is>
          <t>efficiency measure 7</t>
        </is>
      </c>
      <c r="D416" t="inlineStr">
        <is>
          <t>(empty slot)</t>
        </is>
      </c>
      <c r="E416" s="151" t="n">
        <v>0</v>
      </c>
      <c r="F416" s="151" t="n">
        <v>0</v>
      </c>
      <c r="G416" s="7" t="n">
        <v>0</v>
      </c>
      <c r="H416" s="7" t="n">
        <v>0</v>
      </c>
      <c r="I416" t="n">
        <v>20</v>
      </c>
    </row>
    <row r="417">
      <c r="A417" t="inlineStr">
        <is>
          <t>construction 41T43</t>
        </is>
      </c>
      <c r="B417" t="inlineStr">
        <is>
          <t>41T43</t>
        </is>
      </c>
      <c r="C417" t="inlineStr">
        <is>
          <t>efficiency measure 8</t>
        </is>
      </c>
      <c r="D417" t="inlineStr">
        <is>
          <t>(empty slot)</t>
        </is>
      </c>
      <c r="E417" s="151" t="n">
        <v>0</v>
      </c>
      <c r="F417" s="151" t="n">
        <v>0</v>
      </c>
      <c r="G417" s="7" t="n">
        <v>0</v>
      </c>
      <c r="H417" s="7" t="n">
        <v>0</v>
      </c>
      <c r="I417" t="n">
        <v>20</v>
      </c>
    </row>
    <row r="418">
      <c r="A418" t="inlineStr">
        <is>
          <t>construction 41T43</t>
        </is>
      </c>
      <c r="B418" t="inlineStr">
        <is>
          <t>41T43</t>
        </is>
      </c>
      <c r="C418" t="inlineStr">
        <is>
          <t>efficiency measure 9</t>
        </is>
      </c>
      <c r="D418" t="inlineStr">
        <is>
          <t>(empty slot)</t>
        </is>
      </c>
      <c r="E418" s="151" t="n">
        <v>0</v>
      </c>
      <c r="F418" s="151" t="n">
        <v>0</v>
      </c>
      <c r="G418" s="7" t="n">
        <v>0</v>
      </c>
      <c r="H418" s="7" t="n">
        <v>0</v>
      </c>
      <c r="I418" t="n">
        <v>20</v>
      </c>
    </row>
    <row r="419">
      <c r="A419" t="inlineStr">
        <is>
          <t>construction 41T43</t>
        </is>
      </c>
      <c r="B419" t="inlineStr">
        <is>
          <t>41T43</t>
        </is>
      </c>
      <c r="C419" t="inlineStr">
        <is>
          <t>efficiency measure 10</t>
        </is>
      </c>
      <c r="D419" t="inlineStr">
        <is>
          <t>(empty slot)</t>
        </is>
      </c>
      <c r="E419" s="151" t="n">
        <v>0</v>
      </c>
      <c r="F419" s="151" t="n">
        <v>0</v>
      </c>
      <c r="G419" s="7" t="n">
        <v>0</v>
      </c>
      <c r="H419" s="7" t="n">
        <v>0</v>
      </c>
      <c r="I419" t="n">
        <v>20</v>
      </c>
    </row>
    <row r="420">
      <c r="A420" t="inlineStr">
        <is>
          <t>construction 41T43</t>
        </is>
      </c>
      <c r="B420" t="inlineStr">
        <is>
          <t>41T43</t>
        </is>
      </c>
      <c r="C420" t="inlineStr">
        <is>
          <t>efficiency measure 11</t>
        </is>
      </c>
      <c r="D420" t="inlineStr">
        <is>
          <t>(empty slot)</t>
        </is>
      </c>
      <c r="E420" s="151" t="n">
        <v>0</v>
      </c>
      <c r="F420" s="151" t="n">
        <v>0</v>
      </c>
      <c r="G420" s="7" t="n">
        <v>0</v>
      </c>
      <c r="H420" s="7" t="n">
        <v>0</v>
      </c>
      <c r="I420" t="n">
        <v>20</v>
      </c>
    </row>
    <row r="421">
      <c r="A421" t="inlineStr">
        <is>
          <t>construction 41T43</t>
        </is>
      </c>
      <c r="B421" t="inlineStr">
        <is>
          <t>41T43</t>
        </is>
      </c>
      <c r="C421" t="inlineStr">
        <is>
          <t>efficiency measure 12</t>
        </is>
      </c>
      <c r="D421" t="inlineStr">
        <is>
          <t>(empty slot)</t>
        </is>
      </c>
      <c r="E421" s="151" t="n">
        <v>0</v>
      </c>
      <c r="F421" s="151" t="n">
        <v>0</v>
      </c>
      <c r="G421" s="7" t="n">
        <v>0</v>
      </c>
      <c r="H421" s="7" t="n">
        <v>0</v>
      </c>
      <c r="I421" t="n">
        <v>20</v>
      </c>
    </row>
    <row r="422">
      <c r="A422" t="inlineStr">
        <is>
          <t>construction 41T43</t>
        </is>
      </c>
      <c r="B422" t="inlineStr">
        <is>
          <t>41T43</t>
        </is>
      </c>
      <c r="C422" t="inlineStr">
        <is>
          <t>efficiency measure 13</t>
        </is>
      </c>
      <c r="D422" t="inlineStr">
        <is>
          <t>(empty slot)</t>
        </is>
      </c>
      <c r="E422" s="151" t="n">
        <v>0</v>
      </c>
      <c r="F422" s="151" t="n">
        <v>0</v>
      </c>
      <c r="G422" s="7" t="n">
        <v>0</v>
      </c>
      <c r="H422" s="7" t="n">
        <v>0</v>
      </c>
      <c r="I422" t="n">
        <v>20</v>
      </c>
    </row>
    <row r="423">
      <c r="A423" t="inlineStr">
        <is>
          <t>construction 41T43</t>
        </is>
      </c>
      <c r="B423" t="inlineStr">
        <is>
          <t>41T43</t>
        </is>
      </c>
      <c r="C423" t="inlineStr">
        <is>
          <t>efficiency measure 14</t>
        </is>
      </c>
      <c r="D423" t="inlineStr">
        <is>
          <t>(empty slot)</t>
        </is>
      </c>
      <c r="E423" s="151" t="n">
        <v>0</v>
      </c>
      <c r="F423" s="151" t="n">
        <v>0</v>
      </c>
      <c r="G423" s="7" t="n">
        <v>0</v>
      </c>
      <c r="H423" s="7" t="n">
        <v>0</v>
      </c>
      <c r="I423" t="n">
        <v>20</v>
      </c>
    </row>
    <row r="424">
      <c r="A424" t="inlineStr">
        <is>
          <t>construction 41T43</t>
        </is>
      </c>
      <c r="B424" t="inlineStr">
        <is>
          <t>41T43</t>
        </is>
      </c>
      <c r="C424" t="inlineStr">
        <is>
          <t>efficiency measure 15</t>
        </is>
      </c>
      <c r="D424" t="inlineStr">
        <is>
          <t>(empty slot)</t>
        </is>
      </c>
      <c r="E424" s="151" t="n">
        <v>0</v>
      </c>
      <c r="F424" s="151" t="n">
        <v>0</v>
      </c>
      <c r="G424" s="7" t="n">
        <v>0</v>
      </c>
      <c r="H424" s="7" t="n">
        <v>0</v>
      </c>
      <c r="I424" t="n">
        <v>20</v>
      </c>
    </row>
    <row r="425">
      <c r="A425" t="inlineStr">
        <is>
          <t>construction 41T43</t>
        </is>
      </c>
      <c r="B425" t="inlineStr">
        <is>
          <t>41T43</t>
        </is>
      </c>
      <c r="C425" t="inlineStr">
        <is>
          <t>efficiency measure 16</t>
        </is>
      </c>
      <c r="D425" t="inlineStr">
        <is>
          <t>(empty slot)</t>
        </is>
      </c>
      <c r="E425" s="151" t="n">
        <v>0</v>
      </c>
      <c r="F425" s="151" t="n">
        <v>0</v>
      </c>
      <c r="G425" s="7" t="n">
        <v>0</v>
      </c>
      <c r="H425" s="7" t="n">
        <v>0</v>
      </c>
      <c r="I425" t="n">
        <v>20</v>
      </c>
    </row>
    <row r="426">
      <c r="A426" t="inlineStr">
        <is>
          <t>construction 41T43</t>
        </is>
      </c>
      <c r="B426" t="inlineStr">
        <is>
          <t>41T43</t>
        </is>
      </c>
      <c r="C426" t="inlineStr">
        <is>
          <t>efficiency measure 17</t>
        </is>
      </c>
      <c r="D426" t="inlineStr">
        <is>
          <t>(empty slot)</t>
        </is>
      </c>
      <c r="E426" s="151" t="n">
        <v>0</v>
      </c>
      <c r="F426" s="151" t="n">
        <v>0</v>
      </c>
      <c r="G426" s="7" t="n">
        <v>0</v>
      </c>
      <c r="H426" s="7" t="n">
        <v>0</v>
      </c>
      <c r="I426" t="n">
        <v>20</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176"/>
  <sheetViews>
    <sheetView topLeftCell="E1" workbookViewId="0">
      <selection activeCell="G20" sqref="G20"/>
    </sheetView>
  </sheetViews>
  <sheetFormatPr baseColWidth="8" defaultRowHeight="14.5"/>
  <cols>
    <col width="32.7265625" customWidth="1" min="1" max="1"/>
    <col width="47.26953125" customWidth="1" min="4" max="4"/>
    <col width="27.54296875" bestFit="1" customWidth="1" min="5" max="5"/>
  </cols>
  <sheetData>
    <row r="1">
      <c r="A1" s="1" t="inlineStr">
        <is>
          <t>Industry</t>
        </is>
      </c>
      <c r="B1" s="1" t="inlineStr">
        <is>
          <t>Code</t>
        </is>
      </c>
      <c r="C1" s="1" t="inlineStr">
        <is>
          <t>Slot</t>
        </is>
      </c>
      <c r="D1" s="1" t="inlineStr">
        <is>
          <t>Measure</t>
        </is>
      </c>
      <c r="E1" s="1" t="inlineStr">
        <is>
          <t>Fuel savings (% of industry total combustion fuel)</t>
        </is>
      </c>
      <c r="F1" s="1" t="inlineStr">
        <is>
          <t>Elec savings (% elec base)</t>
        </is>
      </c>
      <c r="G1" s="1" t="inlineStr">
        <is>
          <t>Capex intensity (2012$/MMBtu-yr)</t>
        </is>
      </c>
      <c r="H1" s="1" t="inlineStr">
        <is>
          <t>Opex intensity (2012$/yr per MMBtu-yr)</t>
        </is>
      </c>
      <c r="I1" s="1" t="inlineStr">
        <is>
          <t>Lifetime (yr)</t>
        </is>
      </c>
      <c r="J1" s="1" t="inlineStr">
        <is>
          <t>Source</t>
        </is>
      </c>
    </row>
    <row r="2">
      <c r="A2" t="inlineStr">
        <is>
          <t>agriculture and forestry 01T03</t>
        </is>
      </c>
      <c r="B2" t="inlineStr">
        <is>
          <t>01T03</t>
        </is>
      </c>
      <c r="C2" t="inlineStr">
        <is>
          <t>waste heat measure 1</t>
        </is>
      </c>
      <c r="D2" t="inlineStr">
        <is>
          <t>Bianchi-derived potential, assumed cost</t>
        </is>
      </c>
      <c r="E2" s="151">
        <f>'fuel-whr'!CW4</f>
        <v/>
      </c>
      <c r="F2" s="151" t="n">
        <v>0</v>
      </c>
      <c r="G2" s="7">
        <f>summary!$C$10/28.8/0.947817</f>
        <v/>
      </c>
      <c r="H2" s="7">
        <f>summary!$C$10*0.02/28.8/0.947817</f>
        <v/>
      </c>
      <c r="I2" t="n">
        <v>20</v>
      </c>
      <c r="J2" t="inlineStr">
        <is>
          <t>Bianchi fill</t>
        </is>
      </c>
    </row>
    <row r="3">
      <c r="A3" t="inlineStr">
        <is>
          <t>agriculture and forestry 01T03</t>
        </is>
      </c>
      <c r="B3" t="inlineStr">
        <is>
          <t>01T03</t>
        </is>
      </c>
      <c r="C3" t="inlineStr">
        <is>
          <t>waste heat measure 2</t>
        </is>
      </c>
      <c r="D3" t="inlineStr">
        <is>
          <t>(empty slot)</t>
        </is>
      </c>
      <c r="E3" s="151" t="n">
        <v>0</v>
      </c>
      <c r="F3" s="151" t="n">
        <v>0</v>
      </c>
      <c r="G3" s="7" t="n">
        <v>0</v>
      </c>
      <c r="H3" s="7" t="n">
        <v>0</v>
      </c>
      <c r="I3" t="n">
        <v>20</v>
      </c>
    </row>
    <row r="4">
      <c r="A4" t="inlineStr">
        <is>
          <t>agriculture and forestry 01T03</t>
        </is>
      </c>
      <c r="B4" t="inlineStr">
        <is>
          <t>01T03</t>
        </is>
      </c>
      <c r="C4" t="inlineStr">
        <is>
          <t>waste heat measure 3</t>
        </is>
      </c>
      <c r="D4" t="inlineStr">
        <is>
          <t>(empty slot)</t>
        </is>
      </c>
      <c r="E4" s="151" t="n">
        <v>0</v>
      </c>
      <c r="F4" s="151" t="n">
        <v>0</v>
      </c>
      <c r="G4" s="7" t="n">
        <v>0</v>
      </c>
      <c r="H4" s="7" t="n">
        <v>0</v>
      </c>
      <c r="I4" t="n">
        <v>20</v>
      </c>
    </row>
    <row r="5">
      <c r="A5" t="inlineStr">
        <is>
          <t>agriculture and forestry 01T03</t>
        </is>
      </c>
      <c r="B5" t="inlineStr">
        <is>
          <t>01T03</t>
        </is>
      </c>
      <c r="C5" t="inlineStr">
        <is>
          <t>waste heat measure 4</t>
        </is>
      </c>
      <c r="D5" t="inlineStr">
        <is>
          <t>(empty slot)</t>
        </is>
      </c>
      <c r="E5" s="151" t="n">
        <v>0</v>
      </c>
      <c r="F5" s="151" t="n">
        <v>0</v>
      </c>
      <c r="G5" s="7" t="n">
        <v>0</v>
      </c>
      <c r="H5" s="7" t="n">
        <v>0</v>
      </c>
      <c r="I5" t="n">
        <v>20</v>
      </c>
    </row>
    <row r="6">
      <c r="A6" t="inlineStr">
        <is>
          <t>agriculture and forestry 01T03</t>
        </is>
      </c>
      <c r="B6" t="inlineStr">
        <is>
          <t>01T03</t>
        </is>
      </c>
      <c r="C6" t="inlineStr">
        <is>
          <t>waste heat measure 5</t>
        </is>
      </c>
      <c r="D6" t="inlineStr">
        <is>
          <t>(empty slot)</t>
        </is>
      </c>
      <c r="E6" s="151" t="n">
        <v>0</v>
      </c>
      <c r="F6" s="151" t="n">
        <v>0</v>
      </c>
      <c r="G6" s="7" t="n">
        <v>0</v>
      </c>
      <c r="H6" s="7" t="n">
        <v>0</v>
      </c>
      <c r="I6" t="n">
        <v>20</v>
      </c>
    </row>
    <row r="7">
      <c r="A7" t="inlineStr">
        <is>
          <t>agriculture and forestry 01T03</t>
        </is>
      </c>
      <c r="B7" t="inlineStr">
        <is>
          <t>01T03</t>
        </is>
      </c>
      <c r="C7" t="inlineStr">
        <is>
          <t>waste heat measure 6</t>
        </is>
      </c>
      <c r="D7" t="inlineStr">
        <is>
          <t>(empty slot)</t>
        </is>
      </c>
      <c r="E7" s="151" t="n">
        <v>0</v>
      </c>
      <c r="F7" s="151" t="n">
        <v>0</v>
      </c>
      <c r="G7" s="7" t="n">
        <v>0</v>
      </c>
      <c r="H7" s="7" t="n">
        <v>0</v>
      </c>
      <c r="I7" t="n">
        <v>20</v>
      </c>
    </row>
    <row r="8">
      <c r="A8" t="inlineStr">
        <is>
          <t>agriculture and forestry 01T03</t>
        </is>
      </c>
      <c r="B8" t="inlineStr">
        <is>
          <t>01T03</t>
        </is>
      </c>
      <c r="C8" t="inlineStr">
        <is>
          <t>waste heat measure 7</t>
        </is>
      </c>
      <c r="D8" t="inlineStr">
        <is>
          <t>(empty slot)</t>
        </is>
      </c>
      <c r="E8" s="151" t="n">
        <v>0</v>
      </c>
      <c r="F8" s="151" t="n">
        <v>0</v>
      </c>
      <c r="G8" s="7" t="n">
        <v>0</v>
      </c>
      <c r="H8" s="7" t="n">
        <v>0</v>
      </c>
      <c r="I8" t="n">
        <v>20</v>
      </c>
    </row>
    <row r="9">
      <c r="A9" t="inlineStr">
        <is>
          <t>coal mining 05</t>
        </is>
      </c>
      <c r="B9" t="n">
        <v>5</v>
      </c>
      <c r="C9" t="inlineStr">
        <is>
          <t>waste heat measure 1</t>
        </is>
      </c>
      <c r="D9" t="inlineStr">
        <is>
          <t>Bianchi-derived potential, assumed cost</t>
        </is>
      </c>
      <c r="E9" s="151">
        <f>'fuel-whr'!CW5</f>
        <v/>
      </c>
      <c r="F9" s="151" t="n">
        <v>0</v>
      </c>
      <c r="G9" s="7">
        <f>summary!$C$10/28.8/0.947817</f>
        <v/>
      </c>
      <c r="H9" s="7">
        <f>summary!$C$10*0.02/28.8/0.947817</f>
        <v/>
      </c>
      <c r="I9" t="n">
        <v>20</v>
      </c>
      <c r="J9" t="inlineStr">
        <is>
          <t>Bianchi fill</t>
        </is>
      </c>
    </row>
    <row r="10">
      <c r="A10" t="inlineStr">
        <is>
          <t>coal mining 05</t>
        </is>
      </c>
      <c r="B10" t="n">
        <v>5</v>
      </c>
      <c r="C10" t="inlineStr">
        <is>
          <t>waste heat measure 2</t>
        </is>
      </c>
      <c r="D10" t="inlineStr">
        <is>
          <t>(empty slot)</t>
        </is>
      </c>
      <c r="E10" s="151" t="n">
        <v>0</v>
      </c>
      <c r="F10" s="151" t="n">
        <v>0</v>
      </c>
      <c r="G10" s="7" t="n">
        <v>0</v>
      </c>
      <c r="H10" s="7" t="n">
        <v>0</v>
      </c>
      <c r="I10" t="n">
        <v>20</v>
      </c>
    </row>
    <row r="11">
      <c r="A11" t="inlineStr">
        <is>
          <t>coal mining 05</t>
        </is>
      </c>
      <c r="B11" t="n">
        <v>5</v>
      </c>
      <c r="C11" t="inlineStr">
        <is>
          <t>waste heat measure 3</t>
        </is>
      </c>
      <c r="D11" t="inlineStr">
        <is>
          <t>(empty slot)</t>
        </is>
      </c>
      <c r="E11" s="151" t="n">
        <v>0</v>
      </c>
      <c r="F11" s="151" t="n">
        <v>0</v>
      </c>
      <c r="G11" s="7" t="n">
        <v>0</v>
      </c>
      <c r="H11" s="7" t="n">
        <v>0</v>
      </c>
      <c r="I11" t="n">
        <v>20</v>
      </c>
    </row>
    <row r="12">
      <c r="A12" t="inlineStr">
        <is>
          <t>coal mining 05</t>
        </is>
      </c>
      <c r="B12" t="n">
        <v>5</v>
      </c>
      <c r="C12" t="inlineStr">
        <is>
          <t>waste heat measure 4</t>
        </is>
      </c>
      <c r="D12" t="inlineStr">
        <is>
          <t>(empty slot)</t>
        </is>
      </c>
      <c r="E12" s="151" t="n">
        <v>0</v>
      </c>
      <c r="F12" s="151" t="n">
        <v>0</v>
      </c>
      <c r="G12" s="7" t="n">
        <v>0</v>
      </c>
      <c r="H12" s="7" t="n">
        <v>0</v>
      </c>
      <c r="I12" t="n">
        <v>20</v>
      </c>
    </row>
    <row r="13">
      <c r="A13" t="inlineStr">
        <is>
          <t>coal mining 05</t>
        </is>
      </c>
      <c r="B13" t="n">
        <v>5</v>
      </c>
      <c r="C13" t="inlineStr">
        <is>
          <t>waste heat measure 5</t>
        </is>
      </c>
      <c r="D13" t="inlineStr">
        <is>
          <t>(empty slot)</t>
        </is>
      </c>
      <c r="E13" s="151" t="n">
        <v>0</v>
      </c>
      <c r="F13" s="151" t="n">
        <v>0</v>
      </c>
      <c r="G13" s="7" t="n">
        <v>0</v>
      </c>
      <c r="H13" s="7" t="n">
        <v>0</v>
      </c>
      <c r="I13" t="n">
        <v>20</v>
      </c>
    </row>
    <row r="14">
      <c r="A14" t="inlineStr">
        <is>
          <t>coal mining 05</t>
        </is>
      </c>
      <c r="B14" t="n">
        <v>5</v>
      </c>
      <c r="C14" t="inlineStr">
        <is>
          <t>waste heat measure 6</t>
        </is>
      </c>
      <c r="D14" t="inlineStr">
        <is>
          <t>(empty slot)</t>
        </is>
      </c>
      <c r="E14" s="151" t="n">
        <v>0</v>
      </c>
      <c r="F14" s="151" t="n">
        <v>0</v>
      </c>
      <c r="G14" s="7" t="n">
        <v>0</v>
      </c>
      <c r="H14" s="7" t="n">
        <v>0</v>
      </c>
      <c r="I14" t="n">
        <v>20</v>
      </c>
    </row>
    <row r="15">
      <c r="A15" t="inlineStr">
        <is>
          <t>coal mining 05</t>
        </is>
      </c>
      <c r="B15" t="n">
        <v>5</v>
      </c>
      <c r="C15" t="inlineStr">
        <is>
          <t>waste heat measure 7</t>
        </is>
      </c>
      <c r="D15" t="inlineStr">
        <is>
          <t>(empty slot)</t>
        </is>
      </c>
      <c r="E15" s="151" t="n">
        <v>0</v>
      </c>
      <c r="F15" s="151" t="n">
        <v>0</v>
      </c>
      <c r="G15" s="7" t="n">
        <v>0</v>
      </c>
      <c r="H15" s="7" t="n">
        <v>0</v>
      </c>
      <c r="I15" t="n">
        <v>20</v>
      </c>
    </row>
    <row r="16">
      <c r="A16" t="inlineStr">
        <is>
          <t>oil and gas extraction 06</t>
        </is>
      </c>
      <c r="B16" t="n">
        <v>6</v>
      </c>
      <c r="C16" t="inlineStr">
        <is>
          <t>waste heat measure 1</t>
        </is>
      </c>
      <c r="D16" t="inlineStr">
        <is>
          <t>Bianchi-derived potential, assumed cost</t>
        </is>
      </c>
      <c r="E16" s="151">
        <f>'fuel-whr'!CW6</f>
        <v/>
      </c>
      <c r="F16" s="151" t="n">
        <v>0</v>
      </c>
      <c r="G16" s="7">
        <f>summary!$C$10/28.8/0.947817</f>
        <v/>
      </c>
      <c r="H16" s="7">
        <f>summary!$C$10*0.02/28.8/0.947817</f>
        <v/>
      </c>
      <c r="I16" t="n">
        <v>20</v>
      </c>
      <c r="J16" t="inlineStr">
        <is>
          <t>Bianchi fill</t>
        </is>
      </c>
    </row>
    <row r="17">
      <c r="A17" t="inlineStr">
        <is>
          <t>oil and gas extraction 06</t>
        </is>
      </c>
      <c r="B17" t="n">
        <v>6</v>
      </c>
      <c r="C17" t="inlineStr">
        <is>
          <t>waste heat measure 2</t>
        </is>
      </c>
      <c r="D17" t="inlineStr">
        <is>
          <t>(empty slot)</t>
        </is>
      </c>
      <c r="E17" s="151" t="n">
        <v>0</v>
      </c>
      <c r="F17" s="151" t="n">
        <v>0</v>
      </c>
      <c r="G17" s="7" t="n">
        <v>0</v>
      </c>
      <c r="H17" s="7" t="n">
        <v>0</v>
      </c>
      <c r="I17" t="n">
        <v>20</v>
      </c>
    </row>
    <row r="18">
      <c r="A18" t="inlineStr">
        <is>
          <t>oil and gas extraction 06</t>
        </is>
      </c>
      <c r="B18" t="n">
        <v>6</v>
      </c>
      <c r="C18" t="inlineStr">
        <is>
          <t>waste heat measure 3</t>
        </is>
      </c>
      <c r="D18" t="inlineStr">
        <is>
          <t>(empty slot)</t>
        </is>
      </c>
      <c r="E18" s="151" t="n">
        <v>0</v>
      </c>
      <c r="F18" s="151" t="n">
        <v>0</v>
      </c>
      <c r="G18" s="7" t="n">
        <v>0</v>
      </c>
      <c r="H18" s="7" t="n">
        <v>0</v>
      </c>
      <c r="I18" t="n">
        <v>20</v>
      </c>
    </row>
    <row r="19">
      <c r="A19" t="inlineStr">
        <is>
          <t>oil and gas extraction 06</t>
        </is>
      </c>
      <c r="B19" t="n">
        <v>6</v>
      </c>
      <c r="C19" t="inlineStr">
        <is>
          <t>waste heat measure 4</t>
        </is>
      </c>
      <c r="D19" t="inlineStr">
        <is>
          <t>(empty slot)</t>
        </is>
      </c>
      <c r="E19" s="151" t="n">
        <v>0</v>
      </c>
      <c r="F19" s="151" t="n">
        <v>0</v>
      </c>
      <c r="G19" s="7" t="n">
        <v>0</v>
      </c>
      <c r="H19" s="7" t="n">
        <v>0</v>
      </c>
      <c r="I19" t="n">
        <v>20</v>
      </c>
    </row>
    <row r="20">
      <c r="A20" t="inlineStr">
        <is>
          <t>oil and gas extraction 06</t>
        </is>
      </c>
      <c r="B20" t="n">
        <v>6</v>
      </c>
      <c r="C20" t="inlineStr">
        <is>
          <t>waste heat measure 5</t>
        </is>
      </c>
      <c r="D20" t="inlineStr">
        <is>
          <t>(empty slot)</t>
        </is>
      </c>
      <c r="E20" s="151" t="n">
        <v>0</v>
      </c>
      <c r="F20" s="151" t="n">
        <v>0</v>
      </c>
      <c r="G20" s="7" t="n">
        <v>0</v>
      </c>
      <c r="H20" s="7" t="n">
        <v>0</v>
      </c>
      <c r="I20" t="n">
        <v>20</v>
      </c>
    </row>
    <row r="21">
      <c r="A21" t="inlineStr">
        <is>
          <t>oil and gas extraction 06</t>
        </is>
      </c>
      <c r="B21" t="n">
        <v>6</v>
      </c>
      <c r="C21" t="inlineStr">
        <is>
          <t>waste heat measure 6</t>
        </is>
      </c>
      <c r="D21" t="inlineStr">
        <is>
          <t>(empty slot)</t>
        </is>
      </c>
      <c r="E21" s="151" t="n">
        <v>0</v>
      </c>
      <c r="F21" s="151" t="n">
        <v>0</v>
      </c>
      <c r="G21" s="7" t="n">
        <v>0</v>
      </c>
      <c r="H21" s="7" t="n">
        <v>0</v>
      </c>
      <c r="I21" t="n">
        <v>20</v>
      </c>
    </row>
    <row r="22">
      <c r="A22" t="inlineStr">
        <is>
          <t>oil and gas extraction 06</t>
        </is>
      </c>
      <c r="B22" t="n">
        <v>6</v>
      </c>
      <c r="C22" t="inlineStr">
        <is>
          <t>waste heat measure 7</t>
        </is>
      </c>
      <c r="D22" t="inlineStr">
        <is>
          <t>(empty slot)</t>
        </is>
      </c>
      <c r="E22" s="151" t="n">
        <v>0</v>
      </c>
      <c r="F22" s="151" t="n">
        <v>0</v>
      </c>
      <c r="G22" s="7" t="n">
        <v>0</v>
      </c>
      <c r="H22" s="7" t="n">
        <v>0</v>
      </c>
      <c r="I22" t="n">
        <v>20</v>
      </c>
    </row>
    <row r="23">
      <c r="A23" t="inlineStr">
        <is>
          <t>other mining and quarrying 07T08</t>
        </is>
      </c>
      <c r="B23" t="inlineStr">
        <is>
          <t>07T08</t>
        </is>
      </c>
      <c r="C23" t="inlineStr">
        <is>
          <t>waste heat measure 1</t>
        </is>
      </c>
      <c r="D23" t="inlineStr">
        <is>
          <t>Bianchi-derived potential, assumed cost</t>
        </is>
      </c>
      <c r="E23" s="151">
        <f>'fuel-whr'!CW7</f>
        <v/>
      </c>
      <c r="F23" s="151" t="n">
        <v>0</v>
      </c>
      <c r="G23" s="7">
        <f>summary!$C$10/28.8/0.947817</f>
        <v/>
      </c>
      <c r="H23" s="7">
        <f>summary!$C$10*0.02/28.8/0.947817</f>
        <v/>
      </c>
      <c r="I23" t="n">
        <v>20</v>
      </c>
      <c r="J23" t="inlineStr">
        <is>
          <t>Bianchi fill</t>
        </is>
      </c>
    </row>
    <row r="24">
      <c r="A24" t="inlineStr">
        <is>
          <t>other mining and quarrying 07T08</t>
        </is>
      </c>
      <c r="B24" t="inlineStr">
        <is>
          <t>07T08</t>
        </is>
      </c>
      <c r="C24" t="inlineStr">
        <is>
          <t>waste heat measure 2</t>
        </is>
      </c>
      <c r="D24" t="inlineStr">
        <is>
          <t>(empty slot)</t>
        </is>
      </c>
      <c r="E24" s="151" t="n">
        <v>0</v>
      </c>
      <c r="F24" s="151" t="n">
        <v>0</v>
      </c>
      <c r="G24" s="7" t="n">
        <v>0</v>
      </c>
      <c r="H24" s="7" t="n">
        <v>0</v>
      </c>
      <c r="I24" t="n">
        <v>20</v>
      </c>
    </row>
    <row r="25">
      <c r="A25" t="inlineStr">
        <is>
          <t>other mining and quarrying 07T08</t>
        </is>
      </c>
      <c r="B25" t="inlineStr">
        <is>
          <t>07T08</t>
        </is>
      </c>
      <c r="C25" t="inlineStr">
        <is>
          <t>waste heat measure 3</t>
        </is>
      </c>
      <c r="D25" t="inlineStr">
        <is>
          <t>(empty slot)</t>
        </is>
      </c>
      <c r="E25" s="151" t="n">
        <v>0</v>
      </c>
      <c r="F25" s="151" t="n">
        <v>0</v>
      </c>
      <c r="G25" s="7" t="n">
        <v>0</v>
      </c>
      <c r="H25" s="7" t="n">
        <v>0</v>
      </c>
      <c r="I25" t="n">
        <v>20</v>
      </c>
    </row>
    <row r="26">
      <c r="A26" t="inlineStr">
        <is>
          <t>other mining and quarrying 07T08</t>
        </is>
      </c>
      <c r="B26" t="inlineStr">
        <is>
          <t>07T08</t>
        </is>
      </c>
      <c r="C26" t="inlineStr">
        <is>
          <t>waste heat measure 4</t>
        </is>
      </c>
      <c r="D26" t="inlineStr">
        <is>
          <t>(empty slot)</t>
        </is>
      </c>
      <c r="E26" s="151" t="n">
        <v>0</v>
      </c>
      <c r="F26" s="151" t="n">
        <v>0</v>
      </c>
      <c r="G26" s="7" t="n">
        <v>0</v>
      </c>
      <c r="H26" s="7" t="n">
        <v>0</v>
      </c>
      <c r="I26" t="n">
        <v>20</v>
      </c>
    </row>
    <row r="27">
      <c r="A27" t="inlineStr">
        <is>
          <t>other mining and quarrying 07T08</t>
        </is>
      </c>
      <c r="B27" t="inlineStr">
        <is>
          <t>07T08</t>
        </is>
      </c>
      <c r="C27" t="inlineStr">
        <is>
          <t>waste heat measure 5</t>
        </is>
      </c>
      <c r="D27" t="inlineStr">
        <is>
          <t>(empty slot)</t>
        </is>
      </c>
      <c r="E27" s="151" t="n">
        <v>0</v>
      </c>
      <c r="F27" s="151" t="n">
        <v>0</v>
      </c>
      <c r="G27" s="7" t="n">
        <v>0</v>
      </c>
      <c r="H27" s="7" t="n">
        <v>0</v>
      </c>
      <c r="I27" t="n">
        <v>20</v>
      </c>
    </row>
    <row r="28">
      <c r="A28" t="inlineStr">
        <is>
          <t>other mining and quarrying 07T08</t>
        </is>
      </c>
      <c r="B28" t="inlineStr">
        <is>
          <t>07T08</t>
        </is>
      </c>
      <c r="C28" t="inlineStr">
        <is>
          <t>waste heat measure 6</t>
        </is>
      </c>
      <c r="D28" t="inlineStr">
        <is>
          <t>(empty slot)</t>
        </is>
      </c>
      <c r="E28" s="151" t="n">
        <v>0</v>
      </c>
      <c r="F28" s="151" t="n">
        <v>0</v>
      </c>
      <c r="G28" s="7" t="n">
        <v>0</v>
      </c>
      <c r="H28" s="7" t="n">
        <v>0</v>
      </c>
      <c r="I28" t="n">
        <v>20</v>
      </c>
    </row>
    <row r="29">
      <c r="A29" t="inlineStr">
        <is>
          <t>other mining and quarrying 07T08</t>
        </is>
      </c>
      <c r="B29" t="inlineStr">
        <is>
          <t>07T08</t>
        </is>
      </c>
      <c r="C29" t="inlineStr">
        <is>
          <t>waste heat measure 7</t>
        </is>
      </c>
      <c r="D29" t="inlineStr">
        <is>
          <t>(empty slot)</t>
        </is>
      </c>
      <c r="E29" s="151" t="n">
        <v>0</v>
      </c>
      <c r="F29" s="151" t="n">
        <v>0</v>
      </c>
      <c r="G29" s="7" t="n">
        <v>0</v>
      </c>
      <c r="H29" s="7" t="n">
        <v>0</v>
      </c>
      <c r="I29" t="n">
        <v>20</v>
      </c>
    </row>
    <row r="30">
      <c r="A30" t="inlineStr">
        <is>
          <t>food beverage and tobacco 10T12</t>
        </is>
      </c>
      <c r="B30" t="inlineStr">
        <is>
          <t>10T12</t>
        </is>
      </c>
      <c r="C30" t="inlineStr">
        <is>
          <t>waste heat measure 1</t>
        </is>
      </c>
      <c r="D30" t="inlineStr">
        <is>
          <t>Bianchi-derived potential, assumed cost</t>
        </is>
      </c>
      <c r="E30" s="151">
        <f>'fuel-whr'!CW8</f>
        <v/>
      </c>
      <c r="F30" s="151" t="n">
        <v>0</v>
      </c>
      <c r="G30" s="7">
        <f>summary!$C$10/28.8/0.947817</f>
        <v/>
      </c>
      <c r="H30" s="7">
        <f>summary!$C$10*0.02/28.8/0.947817</f>
        <v/>
      </c>
      <c r="I30" t="n">
        <v>20</v>
      </c>
      <c r="J30" t="inlineStr">
        <is>
          <t>Bianchi fill</t>
        </is>
      </c>
    </row>
    <row r="31">
      <c r="A31" t="inlineStr">
        <is>
          <t>food beverage and tobacco 10T12</t>
        </is>
      </c>
      <c r="B31" t="inlineStr">
        <is>
          <t>10T12</t>
        </is>
      </c>
      <c r="C31" t="inlineStr">
        <is>
          <t>waste heat measure 2</t>
        </is>
      </c>
      <c r="D31" t="inlineStr">
        <is>
          <t>(empty slot)</t>
        </is>
      </c>
      <c r="E31" s="151" t="n">
        <v>0</v>
      </c>
      <c r="F31" s="151" t="n">
        <v>0</v>
      </c>
      <c r="G31" s="7" t="n">
        <v>0</v>
      </c>
      <c r="H31" s="7" t="n">
        <v>0</v>
      </c>
      <c r="I31" t="n">
        <v>20</v>
      </c>
    </row>
    <row r="32">
      <c r="A32" t="inlineStr">
        <is>
          <t>food beverage and tobacco 10T12</t>
        </is>
      </c>
      <c r="B32" t="inlineStr">
        <is>
          <t>10T12</t>
        </is>
      </c>
      <c r="C32" t="inlineStr">
        <is>
          <t>waste heat measure 3</t>
        </is>
      </c>
      <c r="D32" t="inlineStr">
        <is>
          <t>(empty slot)</t>
        </is>
      </c>
      <c r="E32" s="151" t="n">
        <v>0</v>
      </c>
      <c r="F32" s="151" t="n">
        <v>0</v>
      </c>
      <c r="G32" s="7" t="n">
        <v>0</v>
      </c>
      <c r="H32" s="7" t="n">
        <v>0</v>
      </c>
      <c r="I32" t="n">
        <v>20</v>
      </c>
    </row>
    <row r="33">
      <c r="A33" t="inlineStr">
        <is>
          <t>food beverage and tobacco 10T12</t>
        </is>
      </c>
      <c r="B33" t="inlineStr">
        <is>
          <t>10T12</t>
        </is>
      </c>
      <c r="C33" t="inlineStr">
        <is>
          <t>waste heat measure 4</t>
        </is>
      </c>
      <c r="D33" t="inlineStr">
        <is>
          <t>(empty slot)</t>
        </is>
      </c>
      <c r="E33" s="151" t="n">
        <v>0</v>
      </c>
      <c r="F33" s="151" t="n">
        <v>0</v>
      </c>
      <c r="G33" s="7" t="n">
        <v>0</v>
      </c>
      <c r="H33" s="7" t="n">
        <v>0</v>
      </c>
      <c r="I33" t="n">
        <v>20</v>
      </c>
    </row>
    <row r="34">
      <c r="A34" t="inlineStr">
        <is>
          <t>food beverage and tobacco 10T12</t>
        </is>
      </c>
      <c r="B34" t="inlineStr">
        <is>
          <t>10T12</t>
        </is>
      </c>
      <c r="C34" t="inlineStr">
        <is>
          <t>waste heat measure 5</t>
        </is>
      </c>
      <c r="D34" t="inlineStr">
        <is>
          <t>(empty slot)</t>
        </is>
      </c>
      <c r="E34" s="151" t="n">
        <v>0</v>
      </c>
      <c r="F34" s="151" t="n">
        <v>0</v>
      </c>
      <c r="G34" s="7" t="n">
        <v>0</v>
      </c>
      <c r="H34" s="7" t="n">
        <v>0</v>
      </c>
      <c r="I34" t="n">
        <v>20</v>
      </c>
    </row>
    <row r="35">
      <c r="A35" t="inlineStr">
        <is>
          <t>food beverage and tobacco 10T12</t>
        </is>
      </c>
      <c r="B35" t="inlineStr">
        <is>
          <t>10T12</t>
        </is>
      </c>
      <c r="C35" t="inlineStr">
        <is>
          <t>waste heat measure 6</t>
        </is>
      </c>
      <c r="D35" t="inlineStr">
        <is>
          <t>(empty slot)</t>
        </is>
      </c>
      <c r="E35" s="151" t="n">
        <v>0</v>
      </c>
      <c r="F35" s="151" t="n">
        <v>0</v>
      </c>
      <c r="G35" s="7" t="n">
        <v>0</v>
      </c>
      <c r="H35" s="7" t="n">
        <v>0</v>
      </c>
      <c r="I35" t="n">
        <v>20</v>
      </c>
    </row>
    <row r="36">
      <c r="A36" t="inlineStr">
        <is>
          <t>food beverage and tobacco 10T12</t>
        </is>
      </c>
      <c r="B36" t="inlineStr">
        <is>
          <t>10T12</t>
        </is>
      </c>
      <c r="C36" t="inlineStr">
        <is>
          <t>waste heat measure 7</t>
        </is>
      </c>
      <c r="D36" t="inlineStr">
        <is>
          <t>(empty slot)</t>
        </is>
      </c>
      <c r="E36" s="151" t="n">
        <v>0</v>
      </c>
      <c r="F36" s="151" t="n">
        <v>0</v>
      </c>
      <c r="G36" s="7" t="n">
        <v>0</v>
      </c>
      <c r="H36" s="7" t="n">
        <v>0</v>
      </c>
      <c r="I36" t="n">
        <v>20</v>
      </c>
    </row>
    <row r="37">
      <c r="A37" t="inlineStr">
        <is>
          <t>textiles apparel and leather 13T15</t>
        </is>
      </c>
      <c r="B37" t="inlineStr">
        <is>
          <t>13T15</t>
        </is>
      </c>
      <c r="C37" t="inlineStr">
        <is>
          <t>waste heat measure 1</t>
        </is>
      </c>
      <c r="D37" t="inlineStr">
        <is>
          <t>Bianchi-derived potential, assumed cost</t>
        </is>
      </c>
      <c r="E37" s="151">
        <f>'fuel-whr'!CW9</f>
        <v/>
      </c>
      <c r="F37" s="151" t="n">
        <v>0</v>
      </c>
      <c r="G37" s="7">
        <f>summary!$C$10/28.8/0.947817</f>
        <v/>
      </c>
      <c r="H37" s="7">
        <f>summary!$C$10*0.02/28.8/0.947817</f>
        <v/>
      </c>
      <c r="I37" t="n">
        <v>20</v>
      </c>
      <c r="J37" t="inlineStr">
        <is>
          <t>Bianchi fill</t>
        </is>
      </c>
    </row>
    <row r="38">
      <c r="A38" t="inlineStr">
        <is>
          <t>textiles apparel and leather 13T15</t>
        </is>
      </c>
      <c r="B38" t="inlineStr">
        <is>
          <t>13T15</t>
        </is>
      </c>
      <c r="C38" t="inlineStr">
        <is>
          <t>waste heat measure 2</t>
        </is>
      </c>
      <c r="D38" t="inlineStr">
        <is>
          <t>(empty slot)</t>
        </is>
      </c>
      <c r="E38" s="151" t="n">
        <v>0</v>
      </c>
      <c r="F38" s="151" t="n">
        <v>0</v>
      </c>
      <c r="G38" s="7" t="n">
        <v>0</v>
      </c>
      <c r="H38" s="7" t="n">
        <v>0</v>
      </c>
      <c r="I38" t="n">
        <v>20</v>
      </c>
    </row>
    <row r="39">
      <c r="A39" t="inlineStr">
        <is>
          <t>textiles apparel and leather 13T15</t>
        </is>
      </c>
      <c r="B39" t="inlineStr">
        <is>
          <t>13T15</t>
        </is>
      </c>
      <c r="C39" t="inlineStr">
        <is>
          <t>waste heat measure 3</t>
        </is>
      </c>
      <c r="D39" t="inlineStr">
        <is>
          <t>(empty slot)</t>
        </is>
      </c>
      <c r="E39" s="151" t="n">
        <v>0</v>
      </c>
      <c r="F39" s="151" t="n">
        <v>0</v>
      </c>
      <c r="G39" s="7" t="n">
        <v>0</v>
      </c>
      <c r="H39" s="7" t="n">
        <v>0</v>
      </c>
      <c r="I39" t="n">
        <v>20</v>
      </c>
    </row>
    <row r="40">
      <c r="A40" t="inlineStr">
        <is>
          <t>textiles apparel and leather 13T15</t>
        </is>
      </c>
      <c r="B40" t="inlineStr">
        <is>
          <t>13T15</t>
        </is>
      </c>
      <c r="C40" t="inlineStr">
        <is>
          <t>waste heat measure 4</t>
        </is>
      </c>
      <c r="D40" t="inlineStr">
        <is>
          <t>(empty slot)</t>
        </is>
      </c>
      <c r="E40" s="151" t="n">
        <v>0</v>
      </c>
      <c r="F40" s="151" t="n">
        <v>0</v>
      </c>
      <c r="G40" s="7" t="n">
        <v>0</v>
      </c>
      <c r="H40" s="7" t="n">
        <v>0</v>
      </c>
      <c r="I40" t="n">
        <v>20</v>
      </c>
    </row>
    <row r="41">
      <c r="A41" t="inlineStr">
        <is>
          <t>textiles apparel and leather 13T15</t>
        </is>
      </c>
      <c r="B41" t="inlineStr">
        <is>
          <t>13T15</t>
        </is>
      </c>
      <c r="C41" t="inlineStr">
        <is>
          <t>waste heat measure 5</t>
        </is>
      </c>
      <c r="D41" t="inlineStr">
        <is>
          <t>(empty slot)</t>
        </is>
      </c>
      <c r="E41" s="151" t="n">
        <v>0</v>
      </c>
      <c r="F41" s="151" t="n">
        <v>0</v>
      </c>
      <c r="G41" s="7" t="n">
        <v>0</v>
      </c>
      <c r="H41" s="7" t="n">
        <v>0</v>
      </c>
      <c r="I41" t="n">
        <v>20</v>
      </c>
    </row>
    <row r="42">
      <c r="A42" t="inlineStr">
        <is>
          <t>textiles apparel and leather 13T15</t>
        </is>
      </c>
      <c r="B42" t="inlineStr">
        <is>
          <t>13T15</t>
        </is>
      </c>
      <c r="C42" t="inlineStr">
        <is>
          <t>waste heat measure 6</t>
        </is>
      </c>
      <c r="D42" t="inlineStr">
        <is>
          <t>(empty slot)</t>
        </is>
      </c>
      <c r="E42" s="151" t="n">
        <v>0</v>
      </c>
      <c r="F42" s="151" t="n">
        <v>0</v>
      </c>
      <c r="G42" s="7" t="n">
        <v>0</v>
      </c>
      <c r="H42" s="7" t="n">
        <v>0</v>
      </c>
      <c r="I42" t="n">
        <v>20</v>
      </c>
    </row>
    <row r="43">
      <c r="A43" t="inlineStr">
        <is>
          <t>textiles apparel and leather 13T15</t>
        </is>
      </c>
      <c r="B43" t="inlineStr">
        <is>
          <t>13T15</t>
        </is>
      </c>
      <c r="C43" t="inlineStr">
        <is>
          <t>waste heat measure 7</t>
        </is>
      </c>
      <c r="D43" t="inlineStr">
        <is>
          <t>(empty slot)</t>
        </is>
      </c>
      <c r="E43" s="151" t="n">
        <v>0</v>
      </c>
      <c r="F43" s="151" t="n">
        <v>0</v>
      </c>
      <c r="G43" s="7" t="n">
        <v>0</v>
      </c>
      <c r="H43" s="7" t="n">
        <v>0</v>
      </c>
      <c r="I43" t="n">
        <v>20</v>
      </c>
    </row>
    <row r="44">
      <c r="A44" t="inlineStr">
        <is>
          <t>wood products 16</t>
        </is>
      </c>
      <c r="B44" t="n">
        <v>16</v>
      </c>
      <c r="C44" t="inlineStr">
        <is>
          <t>waste heat measure 1</t>
        </is>
      </c>
      <c r="D44" t="inlineStr">
        <is>
          <t>Bianchi-derived potential, assumed cost</t>
        </is>
      </c>
      <c r="E44" s="151">
        <f>'fuel-whr'!CW10</f>
        <v/>
      </c>
      <c r="F44" s="151" t="n">
        <v>0</v>
      </c>
      <c r="G44" s="7">
        <f>summary!$C$10/28.8/0.947817</f>
        <v/>
      </c>
      <c r="H44" s="7">
        <f>summary!$C$10*0.02/28.8/0.947817</f>
        <v/>
      </c>
      <c r="I44" t="n">
        <v>20</v>
      </c>
      <c r="J44" t="inlineStr">
        <is>
          <t>Bianchi fill</t>
        </is>
      </c>
    </row>
    <row r="45">
      <c r="A45" t="inlineStr">
        <is>
          <t>wood products 16</t>
        </is>
      </c>
      <c r="B45" t="n">
        <v>16</v>
      </c>
      <c r="C45" t="inlineStr">
        <is>
          <t>waste heat measure 2</t>
        </is>
      </c>
      <c r="D45" t="inlineStr">
        <is>
          <t>(empty slot)</t>
        </is>
      </c>
      <c r="E45" s="151" t="n">
        <v>0</v>
      </c>
      <c r="F45" s="151" t="n">
        <v>0</v>
      </c>
      <c r="G45" s="7" t="n">
        <v>0</v>
      </c>
      <c r="H45" s="7" t="n">
        <v>0</v>
      </c>
      <c r="I45" t="n">
        <v>20</v>
      </c>
    </row>
    <row r="46">
      <c r="A46" t="inlineStr">
        <is>
          <t>wood products 16</t>
        </is>
      </c>
      <c r="B46" t="n">
        <v>16</v>
      </c>
      <c r="C46" t="inlineStr">
        <is>
          <t>waste heat measure 3</t>
        </is>
      </c>
      <c r="D46" t="inlineStr">
        <is>
          <t>(empty slot)</t>
        </is>
      </c>
      <c r="E46" s="151" t="n">
        <v>0</v>
      </c>
      <c r="F46" s="151" t="n">
        <v>0</v>
      </c>
      <c r="G46" s="7" t="n">
        <v>0</v>
      </c>
      <c r="H46" s="7" t="n">
        <v>0</v>
      </c>
      <c r="I46" t="n">
        <v>20</v>
      </c>
    </row>
    <row r="47">
      <c r="A47" t="inlineStr">
        <is>
          <t>wood products 16</t>
        </is>
      </c>
      <c r="B47" t="n">
        <v>16</v>
      </c>
      <c r="C47" t="inlineStr">
        <is>
          <t>waste heat measure 4</t>
        </is>
      </c>
      <c r="D47" t="inlineStr">
        <is>
          <t>(empty slot)</t>
        </is>
      </c>
      <c r="E47" s="151" t="n">
        <v>0</v>
      </c>
      <c r="F47" s="151" t="n">
        <v>0</v>
      </c>
      <c r="G47" s="7" t="n">
        <v>0</v>
      </c>
      <c r="H47" s="7" t="n">
        <v>0</v>
      </c>
      <c r="I47" t="n">
        <v>20</v>
      </c>
    </row>
    <row r="48">
      <c r="A48" t="inlineStr">
        <is>
          <t>wood products 16</t>
        </is>
      </c>
      <c r="B48" t="n">
        <v>16</v>
      </c>
      <c r="C48" t="inlineStr">
        <is>
          <t>waste heat measure 5</t>
        </is>
      </c>
      <c r="D48" t="inlineStr">
        <is>
          <t>(empty slot)</t>
        </is>
      </c>
      <c r="E48" s="151" t="n">
        <v>0</v>
      </c>
      <c r="F48" s="151" t="n">
        <v>0</v>
      </c>
      <c r="G48" s="7" t="n">
        <v>0</v>
      </c>
      <c r="H48" s="7" t="n">
        <v>0</v>
      </c>
      <c r="I48" t="n">
        <v>20</v>
      </c>
    </row>
    <row r="49">
      <c r="A49" t="inlineStr">
        <is>
          <t>wood products 16</t>
        </is>
      </c>
      <c r="B49" t="n">
        <v>16</v>
      </c>
      <c r="C49" t="inlineStr">
        <is>
          <t>waste heat measure 6</t>
        </is>
      </c>
      <c r="D49" t="inlineStr">
        <is>
          <t>(empty slot)</t>
        </is>
      </c>
      <c r="E49" s="151" t="n">
        <v>0</v>
      </c>
      <c r="F49" s="151" t="n">
        <v>0</v>
      </c>
      <c r="G49" s="7" t="n">
        <v>0</v>
      </c>
      <c r="H49" s="7" t="n">
        <v>0</v>
      </c>
      <c r="I49" t="n">
        <v>20</v>
      </c>
    </row>
    <row r="50">
      <c r="A50" t="inlineStr">
        <is>
          <t>wood products 16</t>
        </is>
      </c>
      <c r="B50" t="n">
        <v>16</v>
      </c>
      <c r="C50" t="inlineStr">
        <is>
          <t>waste heat measure 7</t>
        </is>
      </c>
      <c r="D50" t="inlineStr">
        <is>
          <t>(empty slot)</t>
        </is>
      </c>
      <c r="E50" s="151" t="n">
        <v>0</v>
      </c>
      <c r="F50" s="151" t="n">
        <v>0</v>
      </c>
      <c r="G50" s="7" t="n">
        <v>0</v>
      </c>
      <c r="H50" s="7" t="n">
        <v>0</v>
      </c>
      <c r="I50" t="n">
        <v>20</v>
      </c>
    </row>
    <row r="51">
      <c r="A51" t="inlineStr">
        <is>
          <t>pulp paper and printing 17T18</t>
        </is>
      </c>
      <c r="B51" t="inlineStr">
        <is>
          <t>17T18</t>
        </is>
      </c>
      <c r="C51" t="inlineStr">
        <is>
          <t>waste heat measure 1</t>
        </is>
      </c>
      <c r="D51">
        <f>economics!B40</f>
        <v/>
      </c>
      <c r="E51" s="151">
        <f>economics!AH40</f>
        <v/>
      </c>
      <c r="F51" s="151">
        <f>economics!AI40</f>
        <v/>
      </c>
      <c r="G51" s="7">
        <f>economics!AM40</f>
        <v/>
      </c>
      <c r="H51" s="7">
        <f>IFERROR(economics!M40/economics!P40/0.947817,0)</f>
        <v/>
      </c>
      <c r="I51">
        <f>economics!I40</f>
        <v/>
      </c>
      <c r="J51" t="inlineStr">
        <is>
          <t>Kermeli</t>
        </is>
      </c>
    </row>
    <row r="52">
      <c r="A52" t="inlineStr">
        <is>
          <t>pulp paper and printing 17T18</t>
        </is>
      </c>
      <c r="B52" t="inlineStr">
        <is>
          <t>17T18</t>
        </is>
      </c>
      <c r="C52" t="inlineStr">
        <is>
          <t>waste heat measure 2</t>
        </is>
      </c>
      <c r="D52">
        <f>economics!B44</f>
        <v/>
      </c>
      <c r="E52" s="151">
        <f>economics!AH44</f>
        <v/>
      </c>
      <c r="F52" s="151">
        <f>economics!AI44</f>
        <v/>
      </c>
      <c r="G52" s="7">
        <f>economics!AM44</f>
        <v/>
      </c>
      <c r="H52" s="7">
        <f>IFERROR(economics!M44/economics!P44/0.947817,0)</f>
        <v/>
      </c>
      <c r="I52">
        <f>economics!I44</f>
        <v/>
      </c>
      <c r="J52" t="inlineStr">
        <is>
          <t>Kermeli</t>
        </is>
      </c>
    </row>
    <row r="53">
      <c r="A53" t="inlineStr">
        <is>
          <t>pulp paper and printing 17T18</t>
        </is>
      </c>
      <c r="B53" t="inlineStr">
        <is>
          <t>17T18</t>
        </is>
      </c>
      <c r="C53" t="inlineStr">
        <is>
          <t>waste heat measure 3</t>
        </is>
      </c>
      <c r="D53">
        <f>economics!B50</f>
        <v/>
      </c>
      <c r="E53" s="151">
        <f>economics!AH50</f>
        <v/>
      </c>
      <c r="F53" s="151">
        <f>economics!AI50</f>
        <v/>
      </c>
      <c r="G53" s="7">
        <f>economics!AM50</f>
        <v/>
      </c>
      <c r="H53" s="7">
        <f>IFERROR(economics!M50/economics!P50/0.947817,0)</f>
        <v/>
      </c>
      <c r="I53">
        <f>economics!I50</f>
        <v/>
      </c>
      <c r="J53" t="inlineStr">
        <is>
          <t>Kermeli</t>
        </is>
      </c>
    </row>
    <row r="54">
      <c r="A54" t="inlineStr">
        <is>
          <t>pulp paper and printing 17T18</t>
        </is>
      </c>
      <c r="B54" t="inlineStr">
        <is>
          <t>17T18</t>
        </is>
      </c>
      <c r="C54" t="inlineStr">
        <is>
          <t>waste heat measure 4</t>
        </is>
      </c>
      <c r="D54">
        <f>economics!B55</f>
        <v/>
      </c>
      <c r="E54" s="151">
        <f>economics!AH55</f>
        <v/>
      </c>
      <c r="F54" s="151">
        <f>economics!AI55</f>
        <v/>
      </c>
      <c r="G54" s="7">
        <f>economics!AM55</f>
        <v/>
      </c>
      <c r="H54" s="7">
        <f>IFERROR(economics!M55/economics!P55/0.947817,0)</f>
        <v/>
      </c>
      <c r="I54">
        <f>economics!I55</f>
        <v/>
      </c>
      <c r="J54" t="inlineStr">
        <is>
          <t>Kermeli</t>
        </is>
      </c>
    </row>
    <row r="55">
      <c r="A55" t="inlineStr">
        <is>
          <t>pulp paper and printing 17T18</t>
        </is>
      </c>
      <c r="B55" t="inlineStr">
        <is>
          <t>17T18</t>
        </is>
      </c>
      <c r="C55" t="inlineStr">
        <is>
          <t>waste heat measure 5</t>
        </is>
      </c>
      <c r="D55">
        <f>economics!B60</f>
        <v/>
      </c>
      <c r="E55" s="151">
        <f>economics!AH60</f>
        <v/>
      </c>
      <c r="F55" s="151">
        <f>economics!AI60</f>
        <v/>
      </c>
      <c r="G55" s="7">
        <f>economics!AM60</f>
        <v/>
      </c>
      <c r="H55" s="7">
        <f>IFERROR(economics!M60/economics!P60/0.947817,0)</f>
        <v/>
      </c>
      <c r="I55">
        <f>economics!I60</f>
        <v/>
      </c>
      <c r="J55" t="inlineStr">
        <is>
          <t>Kermeli</t>
        </is>
      </c>
    </row>
    <row r="56">
      <c r="A56" t="inlineStr">
        <is>
          <t>pulp paper and printing 17T18</t>
        </is>
      </c>
      <c r="B56" t="inlineStr">
        <is>
          <t>17T18</t>
        </is>
      </c>
      <c r="C56" t="inlineStr">
        <is>
          <t>waste heat measure 6</t>
        </is>
      </c>
      <c r="D56" t="inlineStr">
        <is>
          <t>Gap-fill: economizer/condensing HX (LT+MT residual)</t>
        </is>
      </c>
      <c r="E56" s="151">
        <f>'fuel-whr'!CR11</f>
        <v/>
      </c>
      <c r="F56" s="151" t="n">
        <v>0</v>
      </c>
      <c r="G56" s="7">
        <f>summary!$C$7/28.8/0.947817</f>
        <v/>
      </c>
      <c r="H56" s="7">
        <f>summary!$C$7*0.02/28.8/0.947817</f>
        <v/>
      </c>
      <c r="I56" t="n">
        <v>20</v>
      </c>
      <c r="J56" t="inlineStr">
        <is>
          <t>gap-fill</t>
        </is>
      </c>
    </row>
    <row r="57">
      <c r="A57" t="inlineStr">
        <is>
          <t>pulp paper and printing 17T18</t>
        </is>
      </c>
      <c r="B57" t="inlineStr">
        <is>
          <t>17T18</t>
        </is>
      </c>
      <c r="C57" t="inlineStr">
        <is>
          <t>waste heat measure 7</t>
        </is>
      </c>
      <c r="D57" t="inlineStr">
        <is>
          <t>Gap-fill: recuperator/APH (HT residual, net of credit)</t>
        </is>
      </c>
      <c r="E57" s="151">
        <f>'fuel-whr'!CS11</f>
        <v/>
      </c>
      <c r="F57" s="151" t="n">
        <v>0</v>
      </c>
      <c r="G57" s="7">
        <f>summary!$C$6/28.8/0.947817</f>
        <v/>
      </c>
      <c r="H57" s="7">
        <f>summary!$C$6*0.02/28.8/0.947817</f>
        <v/>
      </c>
      <c r="I57" t="n">
        <v>20</v>
      </c>
      <c r="J57" t="inlineStr">
        <is>
          <t>gap-fill</t>
        </is>
      </c>
    </row>
    <row r="58">
      <c r="A58" t="inlineStr">
        <is>
          <t>refined petroleum and coke 19</t>
        </is>
      </c>
      <c r="B58" t="n">
        <v>19</v>
      </c>
      <c r="C58" t="inlineStr">
        <is>
          <t>waste heat measure 1</t>
        </is>
      </c>
      <c r="D58" t="inlineStr">
        <is>
          <t>Bianchi-derived potential, assumed cost</t>
        </is>
      </c>
      <c r="E58" s="151">
        <f>'fuel-whr'!CW12</f>
        <v/>
      </c>
      <c r="F58" s="151" t="n">
        <v>0</v>
      </c>
      <c r="G58" s="7">
        <f>summary!$C$10/28.8/0.947817</f>
        <v/>
      </c>
      <c r="H58" s="7">
        <f>summary!$C$10*0.02/28.8/0.947817</f>
        <v/>
      </c>
      <c r="I58" t="n">
        <v>20</v>
      </c>
      <c r="J58" t="inlineStr">
        <is>
          <t>Bianchi fill</t>
        </is>
      </c>
    </row>
    <row r="59">
      <c r="A59" t="inlineStr">
        <is>
          <t>refined petroleum and coke 19</t>
        </is>
      </c>
      <c r="B59" t="n">
        <v>19</v>
      </c>
      <c r="C59" t="inlineStr">
        <is>
          <t>waste heat measure 2</t>
        </is>
      </c>
      <c r="D59" t="inlineStr">
        <is>
          <t>(empty slot)</t>
        </is>
      </c>
      <c r="E59" s="151" t="n">
        <v>0</v>
      </c>
      <c r="F59" s="151" t="n">
        <v>0</v>
      </c>
      <c r="G59" s="7" t="n">
        <v>0</v>
      </c>
      <c r="H59" s="7" t="n">
        <v>0</v>
      </c>
      <c r="I59" t="n">
        <v>20</v>
      </c>
    </row>
    <row r="60">
      <c r="A60" t="inlineStr">
        <is>
          <t>refined petroleum and coke 19</t>
        </is>
      </c>
      <c r="B60" t="n">
        <v>19</v>
      </c>
      <c r="C60" t="inlineStr">
        <is>
          <t>waste heat measure 3</t>
        </is>
      </c>
      <c r="D60" t="inlineStr">
        <is>
          <t>(empty slot)</t>
        </is>
      </c>
      <c r="E60" s="151" t="n">
        <v>0</v>
      </c>
      <c r="F60" s="151" t="n">
        <v>0</v>
      </c>
      <c r="G60" s="7" t="n">
        <v>0</v>
      </c>
      <c r="H60" s="7" t="n">
        <v>0</v>
      </c>
      <c r="I60" t="n">
        <v>20</v>
      </c>
    </row>
    <row r="61">
      <c r="A61" t="inlineStr">
        <is>
          <t>refined petroleum and coke 19</t>
        </is>
      </c>
      <c r="B61" t="n">
        <v>19</v>
      </c>
      <c r="C61" t="inlineStr">
        <is>
          <t>waste heat measure 4</t>
        </is>
      </c>
      <c r="D61" t="inlineStr">
        <is>
          <t>(empty slot)</t>
        </is>
      </c>
      <c r="E61" s="151" t="n">
        <v>0</v>
      </c>
      <c r="F61" s="151" t="n">
        <v>0</v>
      </c>
      <c r="G61" s="7" t="n">
        <v>0</v>
      </c>
      <c r="H61" s="7" t="n">
        <v>0</v>
      </c>
      <c r="I61" t="n">
        <v>20</v>
      </c>
    </row>
    <row r="62">
      <c r="A62" t="inlineStr">
        <is>
          <t>refined petroleum and coke 19</t>
        </is>
      </c>
      <c r="B62" t="n">
        <v>19</v>
      </c>
      <c r="C62" t="inlineStr">
        <is>
          <t>waste heat measure 5</t>
        </is>
      </c>
      <c r="D62" t="inlineStr">
        <is>
          <t>(empty slot)</t>
        </is>
      </c>
      <c r="E62" s="151" t="n">
        <v>0</v>
      </c>
      <c r="F62" s="151" t="n">
        <v>0</v>
      </c>
      <c r="G62" s="7" t="n">
        <v>0</v>
      </c>
      <c r="H62" s="7" t="n">
        <v>0</v>
      </c>
      <c r="I62" t="n">
        <v>20</v>
      </c>
    </row>
    <row r="63">
      <c r="A63" t="inlineStr">
        <is>
          <t>refined petroleum and coke 19</t>
        </is>
      </c>
      <c r="B63" t="n">
        <v>19</v>
      </c>
      <c r="C63" t="inlineStr">
        <is>
          <t>waste heat measure 6</t>
        </is>
      </c>
      <c r="D63" t="inlineStr">
        <is>
          <t>(empty slot)</t>
        </is>
      </c>
      <c r="E63" s="151" t="n">
        <v>0</v>
      </c>
      <c r="F63" s="151" t="n">
        <v>0</v>
      </c>
      <c r="G63" s="7" t="n">
        <v>0</v>
      </c>
      <c r="H63" s="7" t="n">
        <v>0</v>
      </c>
      <c r="I63" t="n">
        <v>20</v>
      </c>
    </row>
    <row r="64">
      <c r="A64" t="inlineStr">
        <is>
          <t>refined petroleum and coke 19</t>
        </is>
      </c>
      <c r="B64" t="n">
        <v>19</v>
      </c>
      <c r="C64" t="inlineStr">
        <is>
          <t>waste heat measure 7</t>
        </is>
      </c>
      <c r="D64" t="inlineStr">
        <is>
          <t>(empty slot)</t>
        </is>
      </c>
      <c r="E64" s="151" t="n">
        <v>0</v>
      </c>
      <c r="F64" s="151" t="n">
        <v>0</v>
      </c>
      <c r="G64" s="7" t="n">
        <v>0</v>
      </c>
      <c r="H64" s="7" t="n">
        <v>0</v>
      </c>
      <c r="I64" t="n">
        <v>20</v>
      </c>
    </row>
    <row r="65">
      <c r="A65" t="inlineStr">
        <is>
          <t>chemicals 20</t>
        </is>
      </c>
      <c r="B65" t="n">
        <v>20</v>
      </c>
      <c r="C65" t="inlineStr">
        <is>
          <t>waste heat measure 1</t>
        </is>
      </c>
      <c r="D65">
        <f>economics!B69</f>
        <v/>
      </c>
      <c r="E65" s="151">
        <f>economics!AH69</f>
        <v/>
      </c>
      <c r="F65" s="151">
        <f>economics!AI69</f>
        <v/>
      </c>
      <c r="G65" s="7">
        <f>economics!AM69</f>
        <v/>
      </c>
      <c r="H65" s="7">
        <f>IFERROR(economics!M69/economics!P69/0.947817,0)</f>
        <v/>
      </c>
      <c r="I65">
        <f>economics!I69</f>
        <v/>
      </c>
      <c r="J65" t="inlineStr">
        <is>
          <t>Kermeli</t>
        </is>
      </c>
    </row>
    <row r="66">
      <c r="A66" t="inlineStr">
        <is>
          <t>chemicals 20</t>
        </is>
      </c>
      <c r="B66" t="n">
        <v>20</v>
      </c>
      <c r="C66" t="inlineStr">
        <is>
          <t>waste heat measure 2</t>
        </is>
      </c>
      <c r="D66">
        <f>economics!B80</f>
        <v/>
      </c>
      <c r="E66" s="151">
        <f>economics!AH80</f>
        <v/>
      </c>
      <c r="F66" s="151">
        <f>economics!AI80</f>
        <v/>
      </c>
      <c r="G66" s="7">
        <f>economics!AM80</f>
        <v/>
      </c>
      <c r="H66" s="7">
        <f>IFERROR(economics!M80/economics!P80/0.947817,0)</f>
        <v/>
      </c>
      <c r="I66">
        <f>economics!I80</f>
        <v/>
      </c>
      <c r="J66" t="inlineStr">
        <is>
          <t>Kermeli</t>
        </is>
      </c>
    </row>
    <row r="67">
      <c r="A67" t="inlineStr">
        <is>
          <t>chemicals 20</t>
        </is>
      </c>
      <c r="B67" t="n">
        <v>20</v>
      </c>
      <c r="C67" t="inlineStr">
        <is>
          <t>waste heat measure 3</t>
        </is>
      </c>
      <c r="D67">
        <f>economics!B81</f>
        <v/>
      </c>
      <c r="E67" s="151">
        <f>economics!AH81</f>
        <v/>
      </c>
      <c r="F67" s="151">
        <f>economics!AI81</f>
        <v/>
      </c>
      <c r="G67" s="7">
        <f>economics!AM81</f>
        <v/>
      </c>
      <c r="H67" s="7">
        <f>IFERROR(economics!M81/economics!P81/0.947817,0)</f>
        <v/>
      </c>
      <c r="I67">
        <f>economics!I81</f>
        <v/>
      </c>
      <c r="J67" t="inlineStr">
        <is>
          <t>Kermeli</t>
        </is>
      </c>
    </row>
    <row r="68">
      <c r="A68" t="inlineStr">
        <is>
          <t>chemicals 20</t>
        </is>
      </c>
      <c r="B68" t="n">
        <v>20</v>
      </c>
      <c r="C68" t="inlineStr">
        <is>
          <t>waste heat measure 4</t>
        </is>
      </c>
      <c r="D68" t="inlineStr">
        <is>
          <t>Gap-fill: economizer/condensing HX (LT+MT residual)</t>
        </is>
      </c>
      <c r="E68" s="151">
        <f>'fuel-whr'!CR13</f>
        <v/>
      </c>
      <c r="F68" s="151" t="n">
        <v>0</v>
      </c>
      <c r="G68" s="7">
        <f>summary!$C$7/28.8/0.947817</f>
        <v/>
      </c>
      <c r="H68" s="7">
        <f>summary!$C$7*0.02/28.8/0.947817</f>
        <v/>
      </c>
      <c r="I68" t="n">
        <v>20</v>
      </c>
      <c r="J68" t="inlineStr">
        <is>
          <t>gap-fill</t>
        </is>
      </c>
    </row>
    <row r="69">
      <c r="A69" t="inlineStr">
        <is>
          <t>chemicals 20</t>
        </is>
      </c>
      <c r="B69" t="n">
        <v>20</v>
      </c>
      <c r="C69" t="inlineStr">
        <is>
          <t>waste heat measure 5</t>
        </is>
      </c>
      <c r="D69" t="inlineStr">
        <is>
          <t>Gap-fill: recuperator/APH (HT residual, net of credit)</t>
        </is>
      </c>
      <c r="E69" s="151">
        <f>'fuel-whr'!CS13</f>
        <v/>
      </c>
      <c r="F69" s="151" t="n">
        <v>0</v>
      </c>
      <c r="G69" s="7">
        <f>summary!$C$6/28.8/0.947817</f>
        <v/>
      </c>
      <c r="H69" s="7">
        <f>summary!$C$6*0.02/28.8/0.947817</f>
        <v/>
      </c>
      <c r="I69" t="n">
        <v>20</v>
      </c>
      <c r="J69" t="inlineStr">
        <is>
          <t>gap-fill</t>
        </is>
      </c>
    </row>
    <row r="70">
      <c r="A70" t="inlineStr">
        <is>
          <t>chemicals 20</t>
        </is>
      </c>
      <c r="B70" t="n">
        <v>20</v>
      </c>
      <c r="C70" t="inlineStr">
        <is>
          <t>waste heat measure 6</t>
        </is>
      </c>
      <c r="D70" t="inlineStr">
        <is>
          <t>(empty slot)</t>
        </is>
      </c>
      <c r="E70" s="151" t="n">
        <v>0</v>
      </c>
      <c r="F70" s="151" t="n">
        <v>0</v>
      </c>
      <c r="G70" s="7" t="n">
        <v>0</v>
      </c>
      <c r="H70" s="7" t="n">
        <v>0</v>
      </c>
      <c r="I70" t="n">
        <v>20</v>
      </c>
    </row>
    <row r="71">
      <c r="A71" t="inlineStr">
        <is>
          <t>chemicals 20</t>
        </is>
      </c>
      <c r="B71" t="n">
        <v>20</v>
      </c>
      <c r="C71" t="inlineStr">
        <is>
          <t>waste heat measure 7</t>
        </is>
      </c>
      <c r="D71" t="inlineStr">
        <is>
          <t>(empty slot)</t>
        </is>
      </c>
      <c r="E71" s="151" t="n">
        <v>0</v>
      </c>
      <c r="F71" s="151" t="n">
        <v>0</v>
      </c>
      <c r="G71" s="7" t="n">
        <v>0</v>
      </c>
      <c r="H71" s="7" t="n">
        <v>0</v>
      </c>
      <c r="I71" t="n">
        <v>20</v>
      </c>
    </row>
    <row r="72">
      <c r="A72" t="inlineStr">
        <is>
          <t>rubber and plastic products 22</t>
        </is>
      </c>
      <c r="B72" t="n">
        <v>22</v>
      </c>
      <c r="C72" t="inlineStr">
        <is>
          <t>waste heat measure 1</t>
        </is>
      </c>
      <c r="D72" t="inlineStr">
        <is>
          <t>Bianchi-derived potential, assumed cost</t>
        </is>
      </c>
      <c r="E72" s="151">
        <f>'fuel-whr'!CW14</f>
        <v/>
      </c>
      <c r="F72" s="151" t="n">
        <v>0</v>
      </c>
      <c r="G72" s="7">
        <f>summary!$C$10/28.8/0.947817</f>
        <v/>
      </c>
      <c r="H72" s="7">
        <f>summary!$C$10*0.02/28.8/0.947817</f>
        <v/>
      </c>
      <c r="I72" t="n">
        <v>20</v>
      </c>
      <c r="J72" t="inlineStr">
        <is>
          <t>Bianchi fill</t>
        </is>
      </c>
    </row>
    <row r="73">
      <c r="A73" t="inlineStr">
        <is>
          <t>rubber and plastic products 22</t>
        </is>
      </c>
      <c r="B73" t="n">
        <v>22</v>
      </c>
      <c r="C73" t="inlineStr">
        <is>
          <t>waste heat measure 2</t>
        </is>
      </c>
      <c r="D73" t="inlineStr">
        <is>
          <t>(empty slot)</t>
        </is>
      </c>
      <c r="E73" s="151" t="n">
        <v>0</v>
      </c>
      <c r="F73" s="151" t="n">
        <v>0</v>
      </c>
      <c r="G73" s="7" t="n">
        <v>0</v>
      </c>
      <c r="H73" s="7" t="n">
        <v>0</v>
      </c>
      <c r="I73" t="n">
        <v>20</v>
      </c>
    </row>
    <row r="74">
      <c r="A74" t="inlineStr">
        <is>
          <t>rubber and plastic products 22</t>
        </is>
      </c>
      <c r="B74" t="n">
        <v>22</v>
      </c>
      <c r="C74" t="inlineStr">
        <is>
          <t>waste heat measure 3</t>
        </is>
      </c>
      <c r="D74" t="inlineStr">
        <is>
          <t>(empty slot)</t>
        </is>
      </c>
      <c r="E74" s="151" t="n">
        <v>0</v>
      </c>
      <c r="F74" s="151" t="n">
        <v>0</v>
      </c>
      <c r="G74" s="7" t="n">
        <v>0</v>
      </c>
      <c r="H74" s="7" t="n">
        <v>0</v>
      </c>
      <c r="I74" t="n">
        <v>20</v>
      </c>
    </row>
    <row r="75">
      <c r="A75" t="inlineStr">
        <is>
          <t>rubber and plastic products 22</t>
        </is>
      </c>
      <c r="B75" t="n">
        <v>22</v>
      </c>
      <c r="C75" t="inlineStr">
        <is>
          <t>waste heat measure 4</t>
        </is>
      </c>
      <c r="D75" t="inlineStr">
        <is>
          <t>(empty slot)</t>
        </is>
      </c>
      <c r="E75" s="151" t="n">
        <v>0</v>
      </c>
      <c r="F75" s="151" t="n">
        <v>0</v>
      </c>
      <c r="G75" s="7" t="n">
        <v>0</v>
      </c>
      <c r="H75" s="7" t="n">
        <v>0</v>
      </c>
      <c r="I75" t="n">
        <v>20</v>
      </c>
    </row>
    <row r="76">
      <c r="A76" t="inlineStr">
        <is>
          <t>rubber and plastic products 22</t>
        </is>
      </c>
      <c r="B76" t="n">
        <v>22</v>
      </c>
      <c r="C76" t="inlineStr">
        <is>
          <t>waste heat measure 5</t>
        </is>
      </c>
      <c r="D76" t="inlineStr">
        <is>
          <t>(empty slot)</t>
        </is>
      </c>
      <c r="E76" s="151" t="n">
        <v>0</v>
      </c>
      <c r="F76" s="151" t="n">
        <v>0</v>
      </c>
      <c r="G76" s="7" t="n">
        <v>0</v>
      </c>
      <c r="H76" s="7" t="n">
        <v>0</v>
      </c>
      <c r="I76" t="n">
        <v>20</v>
      </c>
    </row>
    <row r="77">
      <c r="A77" t="inlineStr">
        <is>
          <t>rubber and plastic products 22</t>
        </is>
      </c>
      <c r="B77" t="n">
        <v>22</v>
      </c>
      <c r="C77" t="inlineStr">
        <is>
          <t>waste heat measure 6</t>
        </is>
      </c>
      <c r="D77" t="inlineStr">
        <is>
          <t>(empty slot)</t>
        </is>
      </c>
      <c r="E77" s="151" t="n">
        <v>0</v>
      </c>
      <c r="F77" s="151" t="n">
        <v>0</v>
      </c>
      <c r="G77" s="7" t="n">
        <v>0</v>
      </c>
      <c r="H77" s="7" t="n">
        <v>0</v>
      </c>
      <c r="I77" t="n">
        <v>20</v>
      </c>
    </row>
    <row r="78">
      <c r="A78" t="inlineStr">
        <is>
          <t>rubber and plastic products 22</t>
        </is>
      </c>
      <c r="B78" t="n">
        <v>22</v>
      </c>
      <c r="C78" t="inlineStr">
        <is>
          <t>waste heat measure 7</t>
        </is>
      </c>
      <c r="D78" t="inlineStr">
        <is>
          <t>(empty slot)</t>
        </is>
      </c>
      <c r="E78" s="151" t="n">
        <v>0</v>
      </c>
      <c r="F78" s="151" t="n">
        <v>0</v>
      </c>
      <c r="G78" s="7" t="n">
        <v>0</v>
      </c>
      <c r="H78" s="7" t="n">
        <v>0</v>
      </c>
      <c r="I78" t="n">
        <v>20</v>
      </c>
    </row>
    <row r="79">
      <c r="A79" t="inlineStr">
        <is>
          <t>glass and glass products 231</t>
        </is>
      </c>
      <c r="B79" t="n">
        <v>231</v>
      </c>
      <c r="C79" t="inlineStr">
        <is>
          <t>waste heat measure 1</t>
        </is>
      </c>
      <c r="D79">
        <f>economics!B30</f>
        <v/>
      </c>
      <c r="E79" s="151">
        <f>economics!AH30</f>
        <v/>
      </c>
      <c r="F79" s="151">
        <f>economics!AI30</f>
        <v/>
      </c>
      <c r="G79" s="7">
        <f>economics!AM30</f>
        <v/>
      </c>
      <c r="H79" s="7">
        <f>IFERROR(economics!M30/economics!P30/0.947817,0)</f>
        <v/>
      </c>
      <c r="I79">
        <f>economics!I30</f>
        <v/>
      </c>
      <c r="J79" t="inlineStr">
        <is>
          <t>Kermeli</t>
        </is>
      </c>
    </row>
    <row r="80">
      <c r="A80" t="inlineStr">
        <is>
          <t>glass and glass products 231</t>
        </is>
      </c>
      <c r="B80" t="n">
        <v>231</v>
      </c>
      <c r="C80" t="inlineStr">
        <is>
          <t>waste heat measure 2</t>
        </is>
      </c>
      <c r="D80">
        <f>economics!B35</f>
        <v/>
      </c>
      <c r="E80" s="151">
        <f>economics!AH35</f>
        <v/>
      </c>
      <c r="F80" s="151">
        <f>economics!AI35</f>
        <v/>
      </c>
      <c r="G80" s="7">
        <f>economics!AM35</f>
        <v/>
      </c>
      <c r="H80" s="7">
        <f>IFERROR(economics!M35/economics!P35/0.947817,0)</f>
        <v/>
      </c>
      <c r="I80">
        <f>economics!I35</f>
        <v/>
      </c>
      <c r="J80" t="inlineStr">
        <is>
          <t>Kermeli</t>
        </is>
      </c>
    </row>
    <row r="81">
      <c r="A81" t="inlineStr">
        <is>
          <t>glass and glass products 231</t>
        </is>
      </c>
      <c r="B81" t="n">
        <v>231</v>
      </c>
      <c r="C81" t="inlineStr">
        <is>
          <t>waste heat measure 3</t>
        </is>
      </c>
      <c r="D81">
        <f>economics!B36</f>
        <v/>
      </c>
      <c r="E81" s="151">
        <f>economics!AH36</f>
        <v/>
      </c>
      <c r="F81" s="151">
        <f>economics!AI36</f>
        <v/>
      </c>
      <c r="G81" s="7">
        <f>economics!AM36</f>
        <v/>
      </c>
      <c r="H81" s="7">
        <f>IFERROR(economics!M36/economics!P36/0.947817,0)</f>
        <v/>
      </c>
      <c r="I81">
        <f>economics!I36</f>
        <v/>
      </c>
      <c r="J81" t="inlineStr">
        <is>
          <t>Kermeli</t>
        </is>
      </c>
    </row>
    <row r="82">
      <c r="A82" t="inlineStr">
        <is>
          <t>glass and glass products 231</t>
        </is>
      </c>
      <c r="B82" t="n">
        <v>231</v>
      </c>
      <c r="C82" t="inlineStr">
        <is>
          <t>waste heat measure 4</t>
        </is>
      </c>
      <c r="D82" t="inlineStr">
        <is>
          <t>Gap-fill: economizer/condensing HX (LT+MT residual)</t>
        </is>
      </c>
      <c r="E82" s="151">
        <f>'fuel-whr'!CR15</f>
        <v/>
      </c>
      <c r="F82" s="151" t="n">
        <v>0</v>
      </c>
      <c r="G82" s="7">
        <f>summary!$C$7/28.8/0.947817</f>
        <v/>
      </c>
      <c r="H82" s="7">
        <f>summary!$C$7*0.02/28.8/0.947817</f>
        <v/>
      </c>
      <c r="I82" t="n">
        <v>20</v>
      </c>
      <c r="J82" t="inlineStr">
        <is>
          <t>gap-fill</t>
        </is>
      </c>
    </row>
    <row r="83">
      <c r="A83" t="inlineStr">
        <is>
          <t>glass and glass products 231</t>
        </is>
      </c>
      <c r="B83" t="n">
        <v>231</v>
      </c>
      <c r="C83" t="inlineStr">
        <is>
          <t>waste heat measure 5</t>
        </is>
      </c>
      <c r="D83" t="inlineStr">
        <is>
          <t>Gap-fill: recuperator/APH (HT residual, net of credit)</t>
        </is>
      </c>
      <c r="E83" s="151">
        <f>'fuel-whr'!CS15</f>
        <v/>
      </c>
      <c r="F83" s="151" t="n">
        <v>0</v>
      </c>
      <c r="G83" s="7">
        <f>summary!$C$6/28.8/0.947817</f>
        <v/>
      </c>
      <c r="H83" s="7">
        <f>summary!$C$6*0.02/28.8/0.947817</f>
        <v/>
      </c>
      <c r="I83" t="n">
        <v>20</v>
      </c>
      <c r="J83" t="inlineStr">
        <is>
          <t>gap-fill</t>
        </is>
      </c>
    </row>
    <row r="84">
      <c r="A84" t="inlineStr">
        <is>
          <t>glass and glass products 231</t>
        </is>
      </c>
      <c r="B84" t="n">
        <v>231</v>
      </c>
      <c r="C84" t="inlineStr">
        <is>
          <t>waste heat measure 6</t>
        </is>
      </c>
      <c r="D84" t="inlineStr">
        <is>
          <t>(empty slot)</t>
        </is>
      </c>
      <c r="E84" s="151" t="n">
        <v>0</v>
      </c>
      <c r="F84" s="151" t="n">
        <v>0</v>
      </c>
      <c r="G84" s="7" t="n">
        <v>0</v>
      </c>
      <c r="H84" s="7" t="n">
        <v>0</v>
      </c>
      <c r="I84" t="n">
        <v>20</v>
      </c>
    </row>
    <row r="85">
      <c r="A85" t="inlineStr">
        <is>
          <t>glass and glass products 231</t>
        </is>
      </c>
      <c r="B85" t="n">
        <v>231</v>
      </c>
      <c r="C85" t="inlineStr">
        <is>
          <t>waste heat measure 7</t>
        </is>
      </c>
      <c r="D85" t="inlineStr">
        <is>
          <t>(empty slot)</t>
        </is>
      </c>
      <c r="E85" s="151" t="n">
        <v>0</v>
      </c>
      <c r="F85" s="151" t="n">
        <v>0</v>
      </c>
      <c r="G85" s="7" t="n">
        <v>0</v>
      </c>
      <c r="H85" s="7" t="n">
        <v>0</v>
      </c>
      <c r="I85" t="n">
        <v>20</v>
      </c>
    </row>
    <row r="86">
      <c r="A86" t="inlineStr">
        <is>
          <t>cement and other nonmetallic minerals 239</t>
        </is>
      </c>
      <c r="B86" t="n">
        <v>239</v>
      </c>
      <c r="C86" t="inlineStr">
        <is>
          <t>waste heat measure 1</t>
        </is>
      </c>
      <c r="D86">
        <f>economics!B94</f>
        <v/>
      </c>
      <c r="E86" s="151">
        <f>economics!AH94</f>
        <v/>
      </c>
      <c r="F86" s="151">
        <f>economics!AI94</f>
        <v/>
      </c>
      <c r="G86" s="7">
        <f>economics!AM94</f>
        <v/>
      </c>
      <c r="H86" s="7">
        <f>IFERROR(economics!M94/economics!P94/0.947817,0)</f>
        <v/>
      </c>
      <c r="I86">
        <f>economics!I94</f>
        <v/>
      </c>
      <c r="J86" t="inlineStr">
        <is>
          <t>Kermeli</t>
        </is>
      </c>
    </row>
    <row r="87">
      <c r="A87" t="inlineStr">
        <is>
          <t>cement and other nonmetallic minerals 239</t>
        </is>
      </c>
      <c r="B87" t="n">
        <v>239</v>
      </c>
      <c r="C87" t="inlineStr">
        <is>
          <t>waste heat measure 2</t>
        </is>
      </c>
      <c r="D87">
        <f>economics!B95</f>
        <v/>
      </c>
      <c r="E87" s="151">
        <f>economics!AH95</f>
        <v/>
      </c>
      <c r="F87" s="151">
        <f>economics!AI95</f>
        <v/>
      </c>
      <c r="G87" s="7">
        <f>economics!AM95</f>
        <v/>
      </c>
      <c r="H87" s="7">
        <f>IFERROR(economics!M95/economics!P95/0.947817,0)</f>
        <v/>
      </c>
      <c r="I87">
        <f>economics!I95</f>
        <v/>
      </c>
      <c r="J87" t="inlineStr">
        <is>
          <t>Kermeli</t>
        </is>
      </c>
    </row>
    <row r="88">
      <c r="A88" t="inlineStr">
        <is>
          <t>cement and other nonmetallic minerals 239</t>
        </is>
      </c>
      <c r="B88" t="n">
        <v>239</v>
      </c>
      <c r="C88" t="inlineStr">
        <is>
          <t>waste heat measure 3</t>
        </is>
      </c>
      <c r="D88">
        <f>economics!B97</f>
        <v/>
      </c>
      <c r="E88" s="151">
        <f>economics!AH97</f>
        <v/>
      </c>
      <c r="F88" s="151">
        <f>economics!AI97</f>
        <v/>
      </c>
      <c r="G88" s="7">
        <f>economics!AM97</f>
        <v/>
      </c>
      <c r="H88" s="7">
        <f>IFERROR(economics!M97/economics!P97/0.947817,0)</f>
        <v/>
      </c>
      <c r="I88">
        <f>economics!I97</f>
        <v/>
      </c>
      <c r="J88" t="inlineStr">
        <is>
          <t>Kermeli</t>
        </is>
      </c>
    </row>
    <row r="89">
      <c r="A89" t="inlineStr">
        <is>
          <t>cement and other nonmetallic minerals 239</t>
        </is>
      </c>
      <c r="B89" t="n">
        <v>239</v>
      </c>
      <c r="C89" t="inlineStr">
        <is>
          <t>waste heat measure 4</t>
        </is>
      </c>
      <c r="D89" t="inlineStr">
        <is>
          <t>Gap-fill: economizer/condensing HX (LT+MT residual)</t>
        </is>
      </c>
      <c r="E89" s="151">
        <f>'fuel-whr'!CR16</f>
        <v/>
      </c>
      <c r="F89" s="151" t="n">
        <v>0</v>
      </c>
      <c r="G89" s="7">
        <f>summary!$C$7/28.8/0.947817</f>
        <v/>
      </c>
      <c r="H89" s="7">
        <f>summary!$C$7*0.02/28.8/0.947817</f>
        <v/>
      </c>
      <c r="I89" t="n">
        <v>20</v>
      </c>
      <c r="J89" t="inlineStr">
        <is>
          <t>gap-fill</t>
        </is>
      </c>
    </row>
    <row r="90">
      <c r="A90" t="inlineStr">
        <is>
          <t>cement and other nonmetallic minerals 239</t>
        </is>
      </c>
      <c r="B90" t="n">
        <v>239</v>
      </c>
      <c r="C90" t="inlineStr">
        <is>
          <t>waste heat measure 5</t>
        </is>
      </c>
      <c r="D90" t="inlineStr">
        <is>
          <t>Gap-fill: recuperator/APH (HT residual, net of credit)</t>
        </is>
      </c>
      <c r="E90" s="151">
        <f>'fuel-whr'!CS16</f>
        <v/>
      </c>
      <c r="F90" s="151" t="n">
        <v>0</v>
      </c>
      <c r="G90" s="7">
        <f>summary!$C$6/28.8/0.947817</f>
        <v/>
      </c>
      <c r="H90" s="7">
        <f>summary!$C$6*0.02/28.8/0.947817</f>
        <v/>
      </c>
      <c r="I90" t="n">
        <v>20</v>
      </c>
      <c r="J90" t="inlineStr">
        <is>
          <t>gap-fill</t>
        </is>
      </c>
    </row>
    <row r="91">
      <c r="A91" t="inlineStr">
        <is>
          <t>cement and other nonmetallic minerals 239</t>
        </is>
      </c>
      <c r="B91" t="n">
        <v>239</v>
      </c>
      <c r="C91" t="inlineStr">
        <is>
          <t>waste heat measure 6</t>
        </is>
      </c>
      <c r="D91" t="inlineStr">
        <is>
          <t>(empty slot)</t>
        </is>
      </c>
      <c r="E91" s="151" t="n">
        <v>0</v>
      </c>
      <c r="F91" s="151" t="n">
        <v>0</v>
      </c>
      <c r="G91" s="7" t="n">
        <v>0</v>
      </c>
      <c r="H91" s="7" t="n">
        <v>0</v>
      </c>
      <c r="I91" t="n">
        <v>20</v>
      </c>
    </row>
    <row r="92">
      <c r="A92" t="inlineStr">
        <is>
          <t>cement and other nonmetallic minerals 239</t>
        </is>
      </c>
      <c r="B92" t="n">
        <v>239</v>
      </c>
      <c r="C92" t="inlineStr">
        <is>
          <t>waste heat measure 7</t>
        </is>
      </c>
      <c r="D92" t="inlineStr">
        <is>
          <t>(empty slot)</t>
        </is>
      </c>
      <c r="E92" s="151" t="n">
        <v>0</v>
      </c>
      <c r="F92" s="151" t="n">
        <v>0</v>
      </c>
      <c r="G92" s="7" t="n">
        <v>0</v>
      </c>
      <c r="H92" s="7" t="n">
        <v>0</v>
      </c>
      <c r="I92" t="n">
        <v>20</v>
      </c>
    </row>
    <row r="93">
      <c r="A93" t="inlineStr">
        <is>
          <t>iron and steel 241</t>
        </is>
      </c>
      <c r="B93" t="n">
        <v>241</v>
      </c>
      <c r="C93" t="inlineStr">
        <is>
          <t>waste heat measure 1</t>
        </is>
      </c>
      <c r="D93">
        <f>economics!B13</f>
        <v/>
      </c>
      <c r="E93" s="151">
        <f>economics!AH13</f>
        <v/>
      </c>
      <c r="F93" s="151">
        <f>economics!AI13</f>
        <v/>
      </c>
      <c r="G93" s="7">
        <f>economics!AM13</f>
        <v/>
      </c>
      <c r="H93" s="7">
        <f>IFERROR(economics!M13/economics!P13/0.947817,0)</f>
        <v/>
      </c>
      <c r="I93">
        <f>economics!I13</f>
        <v/>
      </c>
      <c r="J93" t="inlineStr">
        <is>
          <t>Kermeli</t>
        </is>
      </c>
    </row>
    <row r="94">
      <c r="A94" t="inlineStr">
        <is>
          <t>iron and steel 241</t>
        </is>
      </c>
      <c r="B94" t="n">
        <v>241</v>
      </c>
      <c r="C94" t="inlineStr">
        <is>
          <t>waste heat measure 2</t>
        </is>
      </c>
      <c r="D94">
        <f>economics!B14</f>
        <v/>
      </c>
      <c r="E94" s="151">
        <f>economics!AH14</f>
        <v/>
      </c>
      <c r="F94" s="151">
        <f>economics!AI14</f>
        <v/>
      </c>
      <c r="G94" s="7">
        <f>economics!AM14</f>
        <v/>
      </c>
      <c r="H94" s="7">
        <f>IFERROR(economics!M14/economics!P14/0.947817,0)</f>
        <v/>
      </c>
      <c r="I94">
        <f>economics!I14</f>
        <v/>
      </c>
      <c r="J94" t="inlineStr">
        <is>
          <t>Kermeli</t>
        </is>
      </c>
    </row>
    <row r="95">
      <c r="A95" t="inlineStr">
        <is>
          <t>iron and steel 241</t>
        </is>
      </c>
      <c r="B95" t="n">
        <v>241</v>
      </c>
      <c r="C95" t="inlineStr">
        <is>
          <t>waste heat measure 3</t>
        </is>
      </c>
      <c r="D95">
        <f>economics!B21</f>
        <v/>
      </c>
      <c r="E95" s="151">
        <f>economics!AH21</f>
        <v/>
      </c>
      <c r="F95" s="151">
        <f>economics!AI21</f>
        <v/>
      </c>
      <c r="G95" s="7">
        <f>economics!AM21</f>
        <v/>
      </c>
      <c r="H95" s="7">
        <f>IFERROR(economics!M21/economics!P21/0.947817,0)</f>
        <v/>
      </c>
      <c r="I95">
        <f>economics!I21</f>
        <v/>
      </c>
      <c r="J95" t="inlineStr">
        <is>
          <t>Kermeli</t>
        </is>
      </c>
    </row>
    <row r="96">
      <c r="A96" t="inlineStr">
        <is>
          <t>iron and steel 241</t>
        </is>
      </c>
      <c r="B96" t="n">
        <v>241</v>
      </c>
      <c r="C96" t="inlineStr">
        <is>
          <t>waste heat measure 4</t>
        </is>
      </c>
      <c r="D96">
        <f>economics!B22</f>
        <v/>
      </c>
      <c r="E96" s="151">
        <f>economics!AH22</f>
        <v/>
      </c>
      <c r="F96" s="151">
        <f>economics!AI22</f>
        <v/>
      </c>
      <c r="G96" s="7">
        <f>economics!AM22</f>
        <v/>
      </c>
      <c r="H96" s="7">
        <f>IFERROR(economics!M22/economics!P22/0.947817,0)</f>
        <v/>
      </c>
      <c r="I96">
        <f>economics!I22</f>
        <v/>
      </c>
      <c r="J96" t="inlineStr">
        <is>
          <t>Kermeli</t>
        </is>
      </c>
    </row>
    <row r="97">
      <c r="A97" t="inlineStr">
        <is>
          <t>iron and steel 241</t>
        </is>
      </c>
      <c r="B97" t="n">
        <v>241</v>
      </c>
      <c r="C97" t="inlineStr">
        <is>
          <t>waste heat measure 5</t>
        </is>
      </c>
      <c r="D97" t="inlineStr">
        <is>
          <t>Gap-fill: economizer/condensing HX (LT+MT residual)</t>
        </is>
      </c>
      <c r="E97" s="151">
        <f>'fuel-whr'!CR17</f>
        <v/>
      </c>
      <c r="F97" s="151" t="n">
        <v>0</v>
      </c>
      <c r="G97" s="7">
        <f>summary!$C$7/28.8/0.947817</f>
        <v/>
      </c>
      <c r="H97" s="7">
        <f>summary!$C$7*0.02/28.8/0.947817</f>
        <v/>
      </c>
      <c r="I97" t="n">
        <v>20</v>
      </c>
      <c r="J97" t="inlineStr">
        <is>
          <t>gap-fill</t>
        </is>
      </c>
    </row>
    <row r="98">
      <c r="A98" t="inlineStr">
        <is>
          <t>iron and steel 241</t>
        </is>
      </c>
      <c r="B98" t="n">
        <v>241</v>
      </c>
      <c r="C98" t="inlineStr">
        <is>
          <t>waste heat measure 6</t>
        </is>
      </c>
      <c r="D98" t="inlineStr">
        <is>
          <t>Gap-fill: recuperator/APH (HT residual, net of credit)</t>
        </is>
      </c>
      <c r="E98" s="151">
        <f>'fuel-whr'!CS17</f>
        <v/>
      </c>
      <c r="F98" s="151" t="n">
        <v>0</v>
      </c>
      <c r="G98" s="7">
        <f>summary!$C$6/28.8/0.947817</f>
        <v/>
      </c>
      <c r="H98" s="7">
        <f>summary!$C$6*0.02/28.8/0.947817</f>
        <v/>
      </c>
      <c r="I98" t="n">
        <v>20</v>
      </c>
      <c r="J98" t="inlineStr">
        <is>
          <t>gap-fill</t>
        </is>
      </c>
    </row>
    <row r="99">
      <c r="A99" t="inlineStr">
        <is>
          <t>iron and steel 241</t>
        </is>
      </c>
      <c r="B99" t="n">
        <v>241</v>
      </c>
      <c r="C99" t="inlineStr">
        <is>
          <t>waste heat measure 7</t>
        </is>
      </c>
      <c r="D99" t="inlineStr">
        <is>
          <t>(empty slot)</t>
        </is>
      </c>
      <c r="E99" s="151" t="n">
        <v>0</v>
      </c>
      <c r="F99" s="151" t="n">
        <v>0</v>
      </c>
      <c r="G99" s="7" t="n">
        <v>0</v>
      </c>
      <c r="H99" s="7" t="n">
        <v>0</v>
      </c>
      <c r="I99" t="n">
        <v>20</v>
      </c>
    </row>
    <row r="100">
      <c r="A100" t="inlineStr">
        <is>
          <t>other metals 242</t>
        </is>
      </c>
      <c r="B100" t="n">
        <v>242</v>
      </c>
      <c r="C100" t="inlineStr">
        <is>
          <t>waste heat measure 1</t>
        </is>
      </c>
      <c r="D100" t="inlineStr">
        <is>
          <t>Gap-fill: economizer/condensing HX (LT+MT residual)</t>
        </is>
      </c>
      <c r="E100" s="151">
        <f>'fuel-whr'!CR18</f>
        <v/>
      </c>
      <c r="F100" s="151" t="n">
        <v>0</v>
      </c>
      <c r="G100" s="7">
        <f>summary!$C$7/28.8/0.947817</f>
        <v/>
      </c>
      <c r="H100" s="7">
        <f>summary!$C$7*0.02/28.8/0.947817</f>
        <v/>
      </c>
      <c r="I100" t="n">
        <v>20</v>
      </c>
      <c r="J100" t="inlineStr">
        <is>
          <t>gap-fill</t>
        </is>
      </c>
    </row>
    <row r="101">
      <c r="A101" t="inlineStr">
        <is>
          <t>other metals 242</t>
        </is>
      </c>
      <c r="B101" t="n">
        <v>242</v>
      </c>
      <c r="C101" t="inlineStr">
        <is>
          <t>waste heat measure 2</t>
        </is>
      </c>
      <c r="D101" t="inlineStr">
        <is>
          <t>Gap-fill: recuperator/APH (HT residual, net of credit)</t>
        </is>
      </c>
      <c r="E101" s="151">
        <f>'fuel-whr'!CS18</f>
        <v/>
      </c>
      <c r="F101" s="151" t="n">
        <v>0</v>
      </c>
      <c r="G101" s="7">
        <f>summary!$C$6/28.8/0.947817</f>
        <v/>
      </c>
      <c r="H101" s="7">
        <f>summary!$C$6*0.02/28.8/0.947817</f>
        <v/>
      </c>
      <c r="I101" t="n">
        <v>20</v>
      </c>
      <c r="J101" t="inlineStr">
        <is>
          <t>gap-fill</t>
        </is>
      </c>
    </row>
    <row r="102">
      <c r="A102" t="inlineStr">
        <is>
          <t>other metals 242</t>
        </is>
      </c>
      <c r="B102" t="n">
        <v>242</v>
      </c>
      <c r="C102" t="inlineStr">
        <is>
          <t>waste heat measure 3</t>
        </is>
      </c>
      <c r="D102" t="inlineStr">
        <is>
          <t>(empty slot)</t>
        </is>
      </c>
      <c r="E102" s="151" t="n">
        <v>0</v>
      </c>
      <c r="F102" s="151" t="n">
        <v>0</v>
      </c>
      <c r="G102" s="7" t="n">
        <v>0</v>
      </c>
      <c r="H102" s="7" t="n">
        <v>0</v>
      </c>
      <c r="I102" t="n">
        <v>20</v>
      </c>
    </row>
    <row r="103">
      <c r="A103" t="inlineStr">
        <is>
          <t>other metals 242</t>
        </is>
      </c>
      <c r="B103" t="n">
        <v>242</v>
      </c>
      <c r="C103" t="inlineStr">
        <is>
          <t>waste heat measure 4</t>
        </is>
      </c>
      <c r="D103" t="inlineStr">
        <is>
          <t>(empty slot)</t>
        </is>
      </c>
      <c r="E103" s="151" t="n">
        <v>0</v>
      </c>
      <c r="F103" s="151" t="n">
        <v>0</v>
      </c>
      <c r="G103" s="7" t="n">
        <v>0</v>
      </c>
      <c r="H103" s="7" t="n">
        <v>0</v>
      </c>
      <c r="I103" t="n">
        <v>20</v>
      </c>
    </row>
    <row r="104">
      <c r="A104" t="inlineStr">
        <is>
          <t>other metals 242</t>
        </is>
      </c>
      <c r="B104" t="n">
        <v>242</v>
      </c>
      <c r="C104" t="inlineStr">
        <is>
          <t>waste heat measure 5</t>
        </is>
      </c>
      <c r="D104" t="inlineStr">
        <is>
          <t>(empty slot)</t>
        </is>
      </c>
      <c r="E104" s="151" t="n">
        <v>0</v>
      </c>
      <c r="F104" s="151" t="n">
        <v>0</v>
      </c>
      <c r="G104" s="7" t="n">
        <v>0</v>
      </c>
      <c r="H104" s="7" t="n">
        <v>0</v>
      </c>
      <c r="I104" t="n">
        <v>20</v>
      </c>
    </row>
    <row r="105">
      <c r="A105" t="inlineStr">
        <is>
          <t>other metals 242</t>
        </is>
      </c>
      <c r="B105" t="n">
        <v>242</v>
      </c>
      <c r="C105" t="inlineStr">
        <is>
          <t>waste heat measure 6</t>
        </is>
      </c>
      <c r="D105" t="inlineStr">
        <is>
          <t>(empty slot)</t>
        </is>
      </c>
      <c r="E105" s="151" t="n">
        <v>0</v>
      </c>
      <c r="F105" s="151" t="n">
        <v>0</v>
      </c>
      <c r="G105" s="7" t="n">
        <v>0</v>
      </c>
      <c r="H105" s="7" t="n">
        <v>0</v>
      </c>
      <c r="I105" t="n">
        <v>20</v>
      </c>
    </row>
    <row r="106">
      <c r="A106" t="inlineStr">
        <is>
          <t>other metals 242</t>
        </is>
      </c>
      <c r="B106" t="n">
        <v>242</v>
      </c>
      <c r="C106" t="inlineStr">
        <is>
          <t>waste heat measure 7</t>
        </is>
      </c>
      <c r="D106" t="inlineStr">
        <is>
          <t>(empty slot)</t>
        </is>
      </c>
      <c r="E106" s="151" t="n">
        <v>0</v>
      </c>
      <c r="F106" s="151" t="n">
        <v>0</v>
      </c>
      <c r="G106" s="7" t="n">
        <v>0</v>
      </c>
      <c r="H106" s="7" t="n">
        <v>0</v>
      </c>
      <c r="I106" t="n">
        <v>20</v>
      </c>
    </row>
    <row r="107">
      <c r="A107" t="inlineStr">
        <is>
          <t>metal products except machinery and vehicles 25</t>
        </is>
      </c>
      <c r="B107" t="n">
        <v>25</v>
      </c>
      <c r="C107" t="inlineStr">
        <is>
          <t>waste heat measure 1</t>
        </is>
      </c>
      <c r="D107" t="inlineStr">
        <is>
          <t>Bianchi-derived potential, assumed cost</t>
        </is>
      </c>
      <c r="E107" s="151">
        <f>'fuel-whr'!CW19</f>
        <v/>
      </c>
      <c r="F107" s="151" t="n">
        <v>0</v>
      </c>
      <c r="G107" s="7">
        <f>summary!$C$10/28.8/0.947817</f>
        <v/>
      </c>
      <c r="H107" s="7">
        <f>summary!$C$10*0.02/28.8/0.947817</f>
        <v/>
      </c>
      <c r="I107" t="n">
        <v>20</v>
      </c>
      <c r="J107" t="inlineStr">
        <is>
          <t>Bianchi fill</t>
        </is>
      </c>
    </row>
    <row r="108">
      <c r="A108" t="inlineStr">
        <is>
          <t>metal products except machinery and vehicles 25</t>
        </is>
      </c>
      <c r="B108" t="n">
        <v>25</v>
      </c>
      <c r="C108" t="inlineStr">
        <is>
          <t>waste heat measure 2</t>
        </is>
      </c>
      <c r="D108" t="inlineStr">
        <is>
          <t>(empty slot)</t>
        </is>
      </c>
      <c r="E108" s="151" t="n">
        <v>0</v>
      </c>
      <c r="F108" s="151" t="n">
        <v>0</v>
      </c>
      <c r="G108" s="7" t="n">
        <v>0</v>
      </c>
      <c r="H108" s="7" t="n">
        <v>0</v>
      </c>
      <c r="I108" t="n">
        <v>20</v>
      </c>
    </row>
    <row r="109">
      <c r="A109" t="inlineStr">
        <is>
          <t>metal products except machinery and vehicles 25</t>
        </is>
      </c>
      <c r="B109" t="n">
        <v>25</v>
      </c>
      <c r="C109" t="inlineStr">
        <is>
          <t>waste heat measure 3</t>
        </is>
      </c>
      <c r="D109" t="inlineStr">
        <is>
          <t>(empty slot)</t>
        </is>
      </c>
      <c r="E109" s="151" t="n">
        <v>0</v>
      </c>
      <c r="F109" s="151" t="n">
        <v>0</v>
      </c>
      <c r="G109" s="7" t="n">
        <v>0</v>
      </c>
      <c r="H109" s="7" t="n">
        <v>0</v>
      </c>
      <c r="I109" t="n">
        <v>20</v>
      </c>
    </row>
    <row r="110">
      <c r="A110" t="inlineStr">
        <is>
          <t>metal products except machinery and vehicles 25</t>
        </is>
      </c>
      <c r="B110" t="n">
        <v>25</v>
      </c>
      <c r="C110" t="inlineStr">
        <is>
          <t>waste heat measure 4</t>
        </is>
      </c>
      <c r="D110" t="inlineStr">
        <is>
          <t>(empty slot)</t>
        </is>
      </c>
      <c r="E110" s="151" t="n">
        <v>0</v>
      </c>
      <c r="F110" s="151" t="n">
        <v>0</v>
      </c>
      <c r="G110" s="7" t="n">
        <v>0</v>
      </c>
      <c r="H110" s="7" t="n">
        <v>0</v>
      </c>
      <c r="I110" t="n">
        <v>20</v>
      </c>
    </row>
    <row r="111">
      <c r="A111" t="inlineStr">
        <is>
          <t>metal products except machinery and vehicles 25</t>
        </is>
      </c>
      <c r="B111" t="n">
        <v>25</v>
      </c>
      <c r="C111" t="inlineStr">
        <is>
          <t>waste heat measure 5</t>
        </is>
      </c>
      <c r="D111" t="inlineStr">
        <is>
          <t>(empty slot)</t>
        </is>
      </c>
      <c r="E111" s="151" t="n">
        <v>0</v>
      </c>
      <c r="F111" s="151" t="n">
        <v>0</v>
      </c>
      <c r="G111" s="7" t="n">
        <v>0</v>
      </c>
      <c r="H111" s="7" t="n">
        <v>0</v>
      </c>
      <c r="I111" t="n">
        <v>20</v>
      </c>
    </row>
    <row r="112">
      <c r="A112" t="inlineStr">
        <is>
          <t>metal products except machinery and vehicles 25</t>
        </is>
      </c>
      <c r="B112" t="n">
        <v>25</v>
      </c>
      <c r="C112" t="inlineStr">
        <is>
          <t>waste heat measure 6</t>
        </is>
      </c>
      <c r="D112" t="inlineStr">
        <is>
          <t>(empty slot)</t>
        </is>
      </c>
      <c r="E112" s="151" t="n">
        <v>0</v>
      </c>
      <c r="F112" s="151" t="n">
        <v>0</v>
      </c>
      <c r="G112" s="7" t="n">
        <v>0</v>
      </c>
      <c r="H112" s="7" t="n">
        <v>0</v>
      </c>
      <c r="I112" t="n">
        <v>20</v>
      </c>
    </row>
    <row r="113">
      <c r="A113" t="inlineStr">
        <is>
          <t>metal products except machinery and vehicles 25</t>
        </is>
      </c>
      <c r="B113" t="n">
        <v>25</v>
      </c>
      <c r="C113" t="inlineStr">
        <is>
          <t>waste heat measure 7</t>
        </is>
      </c>
      <c r="D113" t="inlineStr">
        <is>
          <t>(empty slot)</t>
        </is>
      </c>
      <c r="E113" s="151" t="n">
        <v>0</v>
      </c>
      <c r="F113" s="151" t="n">
        <v>0</v>
      </c>
      <c r="G113" s="7" t="n">
        <v>0</v>
      </c>
      <c r="H113" s="7" t="n">
        <v>0</v>
      </c>
      <c r="I113" t="n">
        <v>20</v>
      </c>
    </row>
    <row r="114">
      <c r="A114" t="inlineStr">
        <is>
          <t>computers and electronics 26</t>
        </is>
      </c>
      <c r="B114" t="n">
        <v>26</v>
      </c>
      <c r="C114" t="inlineStr">
        <is>
          <t>waste heat measure 1</t>
        </is>
      </c>
      <c r="D114" t="inlineStr">
        <is>
          <t>Bianchi-derived potential, assumed cost</t>
        </is>
      </c>
      <c r="E114" s="151">
        <f>'fuel-whr'!CW20</f>
        <v/>
      </c>
      <c r="F114" s="151" t="n">
        <v>0</v>
      </c>
      <c r="G114" s="7">
        <f>summary!$C$10/28.8/0.947817</f>
        <v/>
      </c>
      <c r="H114" s="7">
        <f>summary!$C$10*0.02/28.8/0.947817</f>
        <v/>
      </c>
      <c r="I114" t="n">
        <v>20</v>
      </c>
      <c r="J114" t="inlineStr">
        <is>
          <t>Bianchi fill</t>
        </is>
      </c>
    </row>
    <row r="115">
      <c r="A115" t="inlineStr">
        <is>
          <t>computers and electronics 26</t>
        </is>
      </c>
      <c r="B115" t="n">
        <v>26</v>
      </c>
      <c r="C115" t="inlineStr">
        <is>
          <t>waste heat measure 2</t>
        </is>
      </c>
      <c r="D115" t="inlineStr">
        <is>
          <t>(empty slot)</t>
        </is>
      </c>
      <c r="E115" s="151" t="n">
        <v>0</v>
      </c>
      <c r="F115" s="151" t="n">
        <v>0</v>
      </c>
      <c r="G115" s="7" t="n">
        <v>0</v>
      </c>
      <c r="H115" s="7" t="n">
        <v>0</v>
      </c>
      <c r="I115" t="n">
        <v>20</v>
      </c>
    </row>
    <row r="116">
      <c r="A116" t="inlineStr">
        <is>
          <t>computers and electronics 26</t>
        </is>
      </c>
      <c r="B116" t="n">
        <v>26</v>
      </c>
      <c r="C116" t="inlineStr">
        <is>
          <t>waste heat measure 3</t>
        </is>
      </c>
      <c r="D116" t="inlineStr">
        <is>
          <t>(empty slot)</t>
        </is>
      </c>
      <c r="E116" s="151" t="n">
        <v>0</v>
      </c>
      <c r="F116" s="151" t="n">
        <v>0</v>
      </c>
      <c r="G116" s="7" t="n">
        <v>0</v>
      </c>
      <c r="H116" s="7" t="n">
        <v>0</v>
      </c>
      <c r="I116" t="n">
        <v>20</v>
      </c>
    </row>
    <row r="117">
      <c r="A117" t="inlineStr">
        <is>
          <t>computers and electronics 26</t>
        </is>
      </c>
      <c r="B117" t="n">
        <v>26</v>
      </c>
      <c r="C117" t="inlineStr">
        <is>
          <t>waste heat measure 4</t>
        </is>
      </c>
      <c r="D117" t="inlineStr">
        <is>
          <t>(empty slot)</t>
        </is>
      </c>
      <c r="E117" s="151" t="n">
        <v>0</v>
      </c>
      <c r="F117" s="151" t="n">
        <v>0</v>
      </c>
      <c r="G117" s="7" t="n">
        <v>0</v>
      </c>
      <c r="H117" s="7" t="n">
        <v>0</v>
      </c>
      <c r="I117" t="n">
        <v>20</v>
      </c>
    </row>
    <row r="118">
      <c r="A118" t="inlineStr">
        <is>
          <t>computers and electronics 26</t>
        </is>
      </c>
      <c r="B118" t="n">
        <v>26</v>
      </c>
      <c r="C118" t="inlineStr">
        <is>
          <t>waste heat measure 5</t>
        </is>
      </c>
      <c r="D118" t="inlineStr">
        <is>
          <t>(empty slot)</t>
        </is>
      </c>
      <c r="E118" s="151" t="n">
        <v>0</v>
      </c>
      <c r="F118" s="151" t="n">
        <v>0</v>
      </c>
      <c r="G118" s="7" t="n">
        <v>0</v>
      </c>
      <c r="H118" s="7" t="n">
        <v>0</v>
      </c>
      <c r="I118" t="n">
        <v>20</v>
      </c>
    </row>
    <row r="119">
      <c r="A119" t="inlineStr">
        <is>
          <t>computers and electronics 26</t>
        </is>
      </c>
      <c r="B119" t="n">
        <v>26</v>
      </c>
      <c r="C119" t="inlineStr">
        <is>
          <t>waste heat measure 6</t>
        </is>
      </c>
      <c r="D119" t="inlineStr">
        <is>
          <t>(empty slot)</t>
        </is>
      </c>
      <c r="E119" s="151" t="n">
        <v>0</v>
      </c>
      <c r="F119" s="151" t="n">
        <v>0</v>
      </c>
      <c r="G119" s="7" t="n">
        <v>0</v>
      </c>
      <c r="H119" s="7" t="n">
        <v>0</v>
      </c>
      <c r="I119" t="n">
        <v>20</v>
      </c>
    </row>
    <row r="120">
      <c r="A120" t="inlineStr">
        <is>
          <t>computers and electronics 26</t>
        </is>
      </c>
      <c r="B120" t="n">
        <v>26</v>
      </c>
      <c r="C120" t="inlineStr">
        <is>
          <t>waste heat measure 7</t>
        </is>
      </c>
      <c r="D120" t="inlineStr">
        <is>
          <t>(empty slot)</t>
        </is>
      </c>
      <c r="E120" s="151" t="n">
        <v>0</v>
      </c>
      <c r="F120" s="151" t="n">
        <v>0</v>
      </c>
      <c r="G120" s="7" t="n">
        <v>0</v>
      </c>
      <c r="H120" s="7" t="n">
        <v>0</v>
      </c>
      <c r="I120" t="n">
        <v>20</v>
      </c>
    </row>
    <row r="121">
      <c r="A121" t="inlineStr">
        <is>
          <t>appliances and electrical equipment 27</t>
        </is>
      </c>
      <c r="B121" t="n">
        <v>27</v>
      </c>
      <c r="C121" t="inlineStr">
        <is>
          <t>waste heat measure 1</t>
        </is>
      </c>
      <c r="D121" t="inlineStr">
        <is>
          <t>Bianchi-derived potential, assumed cost</t>
        </is>
      </c>
      <c r="E121" s="151">
        <f>'fuel-whr'!CW21</f>
        <v/>
      </c>
      <c r="F121" s="151" t="n">
        <v>0</v>
      </c>
      <c r="G121" s="7">
        <f>summary!$C$10/28.8/0.947817</f>
        <v/>
      </c>
      <c r="H121" s="7">
        <f>summary!$C$10*0.02/28.8/0.947817</f>
        <v/>
      </c>
      <c r="I121" t="n">
        <v>20</v>
      </c>
      <c r="J121" t="inlineStr">
        <is>
          <t>Bianchi fill</t>
        </is>
      </c>
    </row>
    <row r="122">
      <c r="A122" t="inlineStr">
        <is>
          <t>appliances and electrical equipment 27</t>
        </is>
      </c>
      <c r="B122" t="n">
        <v>27</v>
      </c>
      <c r="C122" t="inlineStr">
        <is>
          <t>waste heat measure 2</t>
        </is>
      </c>
      <c r="D122" t="inlineStr">
        <is>
          <t>(empty slot)</t>
        </is>
      </c>
      <c r="E122" s="151" t="n">
        <v>0</v>
      </c>
      <c r="F122" s="151" t="n">
        <v>0</v>
      </c>
      <c r="G122" s="7" t="n">
        <v>0</v>
      </c>
      <c r="H122" s="7" t="n">
        <v>0</v>
      </c>
      <c r="I122" t="n">
        <v>20</v>
      </c>
    </row>
    <row r="123">
      <c r="A123" t="inlineStr">
        <is>
          <t>appliances and electrical equipment 27</t>
        </is>
      </c>
      <c r="B123" t="n">
        <v>27</v>
      </c>
      <c r="C123" t="inlineStr">
        <is>
          <t>waste heat measure 3</t>
        </is>
      </c>
      <c r="D123" t="inlineStr">
        <is>
          <t>(empty slot)</t>
        </is>
      </c>
      <c r="E123" s="151" t="n">
        <v>0</v>
      </c>
      <c r="F123" s="151" t="n">
        <v>0</v>
      </c>
      <c r="G123" s="7" t="n">
        <v>0</v>
      </c>
      <c r="H123" s="7" t="n">
        <v>0</v>
      </c>
      <c r="I123" t="n">
        <v>20</v>
      </c>
    </row>
    <row r="124">
      <c r="A124" t="inlineStr">
        <is>
          <t>appliances and electrical equipment 27</t>
        </is>
      </c>
      <c r="B124" t="n">
        <v>27</v>
      </c>
      <c r="C124" t="inlineStr">
        <is>
          <t>waste heat measure 4</t>
        </is>
      </c>
      <c r="D124" t="inlineStr">
        <is>
          <t>(empty slot)</t>
        </is>
      </c>
      <c r="E124" s="151" t="n">
        <v>0</v>
      </c>
      <c r="F124" s="151" t="n">
        <v>0</v>
      </c>
      <c r="G124" s="7" t="n">
        <v>0</v>
      </c>
      <c r="H124" s="7" t="n">
        <v>0</v>
      </c>
      <c r="I124" t="n">
        <v>20</v>
      </c>
    </row>
    <row r="125">
      <c r="A125" t="inlineStr">
        <is>
          <t>appliances and electrical equipment 27</t>
        </is>
      </c>
      <c r="B125" t="n">
        <v>27</v>
      </c>
      <c r="C125" t="inlineStr">
        <is>
          <t>waste heat measure 5</t>
        </is>
      </c>
      <c r="D125" t="inlineStr">
        <is>
          <t>(empty slot)</t>
        </is>
      </c>
      <c r="E125" s="151" t="n">
        <v>0</v>
      </c>
      <c r="F125" s="151" t="n">
        <v>0</v>
      </c>
      <c r="G125" s="7" t="n">
        <v>0</v>
      </c>
      <c r="H125" s="7" t="n">
        <v>0</v>
      </c>
      <c r="I125" t="n">
        <v>20</v>
      </c>
    </row>
    <row r="126">
      <c r="A126" t="inlineStr">
        <is>
          <t>appliances and electrical equipment 27</t>
        </is>
      </c>
      <c r="B126" t="n">
        <v>27</v>
      </c>
      <c r="C126" t="inlineStr">
        <is>
          <t>waste heat measure 6</t>
        </is>
      </c>
      <c r="D126" t="inlineStr">
        <is>
          <t>(empty slot)</t>
        </is>
      </c>
      <c r="E126" s="151" t="n">
        <v>0</v>
      </c>
      <c r="F126" s="151" t="n">
        <v>0</v>
      </c>
      <c r="G126" s="7" t="n">
        <v>0</v>
      </c>
      <c r="H126" s="7" t="n">
        <v>0</v>
      </c>
      <c r="I126" t="n">
        <v>20</v>
      </c>
    </row>
    <row r="127">
      <c r="A127" t="inlineStr">
        <is>
          <t>appliances and electrical equipment 27</t>
        </is>
      </c>
      <c r="B127" t="n">
        <v>27</v>
      </c>
      <c r="C127" t="inlineStr">
        <is>
          <t>waste heat measure 7</t>
        </is>
      </c>
      <c r="D127" t="inlineStr">
        <is>
          <t>(empty slot)</t>
        </is>
      </c>
      <c r="E127" s="151" t="n">
        <v>0</v>
      </c>
      <c r="F127" s="151" t="n">
        <v>0</v>
      </c>
      <c r="G127" s="7" t="n">
        <v>0</v>
      </c>
      <c r="H127" s="7" t="n">
        <v>0</v>
      </c>
      <c r="I127" t="n">
        <v>20</v>
      </c>
    </row>
    <row r="128">
      <c r="A128" t="inlineStr">
        <is>
          <t>other machinery 28</t>
        </is>
      </c>
      <c r="B128" t="n">
        <v>28</v>
      </c>
      <c r="C128" t="inlineStr">
        <is>
          <t>waste heat measure 1</t>
        </is>
      </c>
      <c r="D128" t="inlineStr">
        <is>
          <t>Bianchi-derived potential, assumed cost</t>
        </is>
      </c>
      <c r="E128" s="151">
        <f>'fuel-whr'!CW22</f>
        <v/>
      </c>
      <c r="F128" s="151" t="n">
        <v>0</v>
      </c>
      <c r="G128" s="7">
        <f>summary!$C$10/28.8/0.947817</f>
        <v/>
      </c>
      <c r="H128" s="7">
        <f>summary!$C$10*0.02/28.8/0.947817</f>
        <v/>
      </c>
      <c r="I128" t="n">
        <v>20</v>
      </c>
      <c r="J128" t="inlineStr">
        <is>
          <t>Bianchi fill</t>
        </is>
      </c>
    </row>
    <row r="129">
      <c r="A129" t="inlineStr">
        <is>
          <t>other machinery 28</t>
        </is>
      </c>
      <c r="B129" t="n">
        <v>28</v>
      </c>
      <c r="C129" t="inlineStr">
        <is>
          <t>waste heat measure 2</t>
        </is>
      </c>
      <c r="D129" t="inlineStr">
        <is>
          <t>(empty slot)</t>
        </is>
      </c>
      <c r="E129" s="151" t="n">
        <v>0</v>
      </c>
      <c r="F129" s="151" t="n">
        <v>0</v>
      </c>
      <c r="G129" s="7" t="n">
        <v>0</v>
      </c>
      <c r="H129" s="7" t="n">
        <v>0</v>
      </c>
      <c r="I129" t="n">
        <v>20</v>
      </c>
    </row>
    <row r="130">
      <c r="A130" t="inlineStr">
        <is>
          <t>other machinery 28</t>
        </is>
      </c>
      <c r="B130" t="n">
        <v>28</v>
      </c>
      <c r="C130" t="inlineStr">
        <is>
          <t>waste heat measure 3</t>
        </is>
      </c>
      <c r="D130" t="inlineStr">
        <is>
          <t>(empty slot)</t>
        </is>
      </c>
      <c r="E130" s="151" t="n">
        <v>0</v>
      </c>
      <c r="F130" s="151" t="n">
        <v>0</v>
      </c>
      <c r="G130" s="7" t="n">
        <v>0</v>
      </c>
      <c r="H130" s="7" t="n">
        <v>0</v>
      </c>
      <c r="I130" t="n">
        <v>20</v>
      </c>
    </row>
    <row r="131">
      <c r="A131" t="inlineStr">
        <is>
          <t>other machinery 28</t>
        </is>
      </c>
      <c r="B131" t="n">
        <v>28</v>
      </c>
      <c r="C131" t="inlineStr">
        <is>
          <t>waste heat measure 4</t>
        </is>
      </c>
      <c r="D131" t="inlineStr">
        <is>
          <t>(empty slot)</t>
        </is>
      </c>
      <c r="E131" s="151" t="n">
        <v>0</v>
      </c>
      <c r="F131" s="151" t="n">
        <v>0</v>
      </c>
      <c r="G131" s="7" t="n">
        <v>0</v>
      </c>
      <c r="H131" s="7" t="n">
        <v>0</v>
      </c>
      <c r="I131" t="n">
        <v>20</v>
      </c>
    </row>
    <row r="132">
      <c r="A132" t="inlineStr">
        <is>
          <t>other machinery 28</t>
        </is>
      </c>
      <c r="B132" t="n">
        <v>28</v>
      </c>
      <c r="C132" t="inlineStr">
        <is>
          <t>waste heat measure 5</t>
        </is>
      </c>
      <c r="D132" t="inlineStr">
        <is>
          <t>(empty slot)</t>
        </is>
      </c>
      <c r="E132" s="151" t="n">
        <v>0</v>
      </c>
      <c r="F132" s="151" t="n">
        <v>0</v>
      </c>
      <c r="G132" s="7" t="n">
        <v>0</v>
      </c>
      <c r="H132" s="7" t="n">
        <v>0</v>
      </c>
      <c r="I132" t="n">
        <v>20</v>
      </c>
    </row>
    <row r="133">
      <c r="A133" t="inlineStr">
        <is>
          <t>other machinery 28</t>
        </is>
      </c>
      <c r="B133" t="n">
        <v>28</v>
      </c>
      <c r="C133" t="inlineStr">
        <is>
          <t>waste heat measure 6</t>
        </is>
      </c>
      <c r="D133" t="inlineStr">
        <is>
          <t>(empty slot)</t>
        </is>
      </c>
      <c r="E133" s="151" t="n">
        <v>0</v>
      </c>
      <c r="F133" s="151" t="n">
        <v>0</v>
      </c>
      <c r="G133" s="7" t="n">
        <v>0</v>
      </c>
      <c r="H133" s="7" t="n">
        <v>0</v>
      </c>
      <c r="I133" t="n">
        <v>20</v>
      </c>
    </row>
    <row r="134">
      <c r="A134" t="inlineStr">
        <is>
          <t>other machinery 28</t>
        </is>
      </c>
      <c r="B134" t="n">
        <v>28</v>
      </c>
      <c r="C134" t="inlineStr">
        <is>
          <t>waste heat measure 7</t>
        </is>
      </c>
      <c r="D134" t="inlineStr">
        <is>
          <t>(empty slot)</t>
        </is>
      </c>
      <c r="E134" s="151" t="n">
        <v>0</v>
      </c>
      <c r="F134" s="151" t="n">
        <v>0</v>
      </c>
      <c r="G134" s="7" t="n">
        <v>0</v>
      </c>
      <c r="H134" s="7" t="n">
        <v>0</v>
      </c>
      <c r="I134" t="n">
        <v>20</v>
      </c>
    </row>
    <row r="135">
      <c r="A135" t="inlineStr">
        <is>
          <t>road vehicles 29</t>
        </is>
      </c>
      <c r="B135" t="n">
        <v>29</v>
      </c>
      <c r="C135" t="inlineStr">
        <is>
          <t>waste heat measure 1</t>
        </is>
      </c>
      <c r="D135" t="inlineStr">
        <is>
          <t>Bianchi-derived potential, assumed cost</t>
        </is>
      </c>
      <c r="E135" s="151">
        <f>'fuel-whr'!CW23</f>
        <v/>
      </c>
      <c r="F135" s="151" t="n">
        <v>0</v>
      </c>
      <c r="G135" s="7">
        <f>summary!$C$10/28.8/0.947817</f>
        <v/>
      </c>
      <c r="H135" s="7">
        <f>summary!$C$10*0.02/28.8/0.947817</f>
        <v/>
      </c>
      <c r="I135" t="n">
        <v>20</v>
      </c>
      <c r="J135" t="inlineStr">
        <is>
          <t>Bianchi fill</t>
        </is>
      </c>
    </row>
    <row r="136">
      <c r="A136" t="inlineStr">
        <is>
          <t>road vehicles 29</t>
        </is>
      </c>
      <c r="B136" t="n">
        <v>29</v>
      </c>
      <c r="C136" t="inlineStr">
        <is>
          <t>waste heat measure 2</t>
        </is>
      </c>
      <c r="D136" t="inlineStr">
        <is>
          <t>(empty slot)</t>
        </is>
      </c>
      <c r="E136" s="151" t="n">
        <v>0</v>
      </c>
      <c r="F136" s="151" t="n">
        <v>0</v>
      </c>
      <c r="G136" s="7" t="n">
        <v>0</v>
      </c>
      <c r="H136" s="7" t="n">
        <v>0</v>
      </c>
      <c r="I136" t="n">
        <v>20</v>
      </c>
    </row>
    <row r="137">
      <c r="A137" t="inlineStr">
        <is>
          <t>road vehicles 29</t>
        </is>
      </c>
      <c r="B137" t="n">
        <v>29</v>
      </c>
      <c r="C137" t="inlineStr">
        <is>
          <t>waste heat measure 3</t>
        </is>
      </c>
      <c r="D137" t="inlineStr">
        <is>
          <t>(empty slot)</t>
        </is>
      </c>
      <c r="E137" s="151" t="n">
        <v>0</v>
      </c>
      <c r="F137" s="151" t="n">
        <v>0</v>
      </c>
      <c r="G137" s="7" t="n">
        <v>0</v>
      </c>
      <c r="H137" s="7" t="n">
        <v>0</v>
      </c>
      <c r="I137" t="n">
        <v>20</v>
      </c>
    </row>
    <row r="138">
      <c r="A138" t="inlineStr">
        <is>
          <t>road vehicles 29</t>
        </is>
      </c>
      <c r="B138" t="n">
        <v>29</v>
      </c>
      <c r="C138" t="inlineStr">
        <is>
          <t>waste heat measure 4</t>
        </is>
      </c>
      <c r="D138" t="inlineStr">
        <is>
          <t>(empty slot)</t>
        </is>
      </c>
      <c r="E138" s="151" t="n">
        <v>0</v>
      </c>
      <c r="F138" s="151" t="n">
        <v>0</v>
      </c>
      <c r="G138" s="7" t="n">
        <v>0</v>
      </c>
      <c r="H138" s="7" t="n">
        <v>0</v>
      </c>
      <c r="I138" t="n">
        <v>20</v>
      </c>
    </row>
    <row r="139">
      <c r="A139" t="inlineStr">
        <is>
          <t>road vehicles 29</t>
        </is>
      </c>
      <c r="B139" t="n">
        <v>29</v>
      </c>
      <c r="C139" t="inlineStr">
        <is>
          <t>waste heat measure 5</t>
        </is>
      </c>
      <c r="D139" t="inlineStr">
        <is>
          <t>(empty slot)</t>
        </is>
      </c>
      <c r="E139" s="151" t="n">
        <v>0</v>
      </c>
      <c r="F139" s="151" t="n">
        <v>0</v>
      </c>
      <c r="G139" s="7" t="n">
        <v>0</v>
      </c>
      <c r="H139" s="7" t="n">
        <v>0</v>
      </c>
      <c r="I139" t="n">
        <v>20</v>
      </c>
    </row>
    <row r="140">
      <c r="A140" t="inlineStr">
        <is>
          <t>road vehicles 29</t>
        </is>
      </c>
      <c r="B140" t="n">
        <v>29</v>
      </c>
      <c r="C140" t="inlineStr">
        <is>
          <t>waste heat measure 6</t>
        </is>
      </c>
      <c r="D140" t="inlineStr">
        <is>
          <t>(empty slot)</t>
        </is>
      </c>
      <c r="E140" s="151" t="n">
        <v>0</v>
      </c>
      <c r="F140" s="151" t="n">
        <v>0</v>
      </c>
      <c r="G140" s="7" t="n">
        <v>0</v>
      </c>
      <c r="H140" s="7" t="n">
        <v>0</v>
      </c>
      <c r="I140" t="n">
        <v>20</v>
      </c>
    </row>
    <row r="141">
      <c r="A141" t="inlineStr">
        <is>
          <t>road vehicles 29</t>
        </is>
      </c>
      <c r="B141" t="n">
        <v>29</v>
      </c>
      <c r="C141" t="inlineStr">
        <is>
          <t>waste heat measure 7</t>
        </is>
      </c>
      <c r="D141" t="inlineStr">
        <is>
          <t>(empty slot)</t>
        </is>
      </c>
      <c r="E141" s="151" t="n">
        <v>0</v>
      </c>
      <c r="F141" s="151" t="n">
        <v>0</v>
      </c>
      <c r="G141" s="7" t="n">
        <v>0</v>
      </c>
      <c r="H141" s="7" t="n">
        <v>0</v>
      </c>
      <c r="I141" t="n">
        <v>20</v>
      </c>
    </row>
    <row r="142">
      <c r="A142" t="inlineStr">
        <is>
          <t>nonroad vehicles 30</t>
        </is>
      </c>
      <c r="B142" t="n">
        <v>30</v>
      </c>
      <c r="C142" t="inlineStr">
        <is>
          <t>waste heat measure 1</t>
        </is>
      </c>
      <c r="D142" t="inlineStr">
        <is>
          <t>Bianchi-derived potential, assumed cost</t>
        </is>
      </c>
      <c r="E142" s="151">
        <f>'fuel-whr'!CW24</f>
        <v/>
      </c>
      <c r="F142" s="151" t="n">
        <v>0</v>
      </c>
      <c r="G142" s="7">
        <f>summary!$C$10/28.8/0.947817</f>
        <v/>
      </c>
      <c r="H142" s="7">
        <f>summary!$C$10*0.02/28.8/0.947817</f>
        <v/>
      </c>
      <c r="I142" t="n">
        <v>20</v>
      </c>
      <c r="J142" t="inlineStr">
        <is>
          <t>Bianchi fill</t>
        </is>
      </c>
    </row>
    <row r="143">
      <c r="A143" t="inlineStr">
        <is>
          <t>nonroad vehicles 30</t>
        </is>
      </c>
      <c r="B143" t="n">
        <v>30</v>
      </c>
      <c r="C143" t="inlineStr">
        <is>
          <t>waste heat measure 2</t>
        </is>
      </c>
      <c r="D143" t="inlineStr">
        <is>
          <t>(empty slot)</t>
        </is>
      </c>
      <c r="E143" s="151" t="n">
        <v>0</v>
      </c>
      <c r="F143" s="151" t="n">
        <v>0</v>
      </c>
      <c r="G143" s="7" t="n">
        <v>0</v>
      </c>
      <c r="H143" s="7" t="n">
        <v>0</v>
      </c>
      <c r="I143" t="n">
        <v>20</v>
      </c>
    </row>
    <row r="144">
      <c r="A144" t="inlineStr">
        <is>
          <t>nonroad vehicles 30</t>
        </is>
      </c>
      <c r="B144" t="n">
        <v>30</v>
      </c>
      <c r="C144" t="inlineStr">
        <is>
          <t>waste heat measure 3</t>
        </is>
      </c>
      <c r="D144" t="inlineStr">
        <is>
          <t>(empty slot)</t>
        </is>
      </c>
      <c r="E144" s="151" t="n">
        <v>0</v>
      </c>
      <c r="F144" s="151" t="n">
        <v>0</v>
      </c>
      <c r="G144" s="7" t="n">
        <v>0</v>
      </c>
      <c r="H144" s="7" t="n">
        <v>0</v>
      </c>
      <c r="I144" t="n">
        <v>20</v>
      </c>
    </row>
    <row r="145">
      <c r="A145" t="inlineStr">
        <is>
          <t>nonroad vehicles 30</t>
        </is>
      </c>
      <c r="B145" t="n">
        <v>30</v>
      </c>
      <c r="C145" t="inlineStr">
        <is>
          <t>waste heat measure 4</t>
        </is>
      </c>
      <c r="D145" t="inlineStr">
        <is>
          <t>(empty slot)</t>
        </is>
      </c>
      <c r="E145" s="151" t="n">
        <v>0</v>
      </c>
      <c r="F145" s="151" t="n">
        <v>0</v>
      </c>
      <c r="G145" s="7" t="n">
        <v>0</v>
      </c>
      <c r="H145" s="7" t="n">
        <v>0</v>
      </c>
      <c r="I145" t="n">
        <v>20</v>
      </c>
    </row>
    <row r="146">
      <c r="A146" t="inlineStr">
        <is>
          <t>nonroad vehicles 30</t>
        </is>
      </c>
      <c r="B146" t="n">
        <v>30</v>
      </c>
      <c r="C146" t="inlineStr">
        <is>
          <t>waste heat measure 5</t>
        </is>
      </c>
      <c r="D146" t="inlineStr">
        <is>
          <t>(empty slot)</t>
        </is>
      </c>
      <c r="E146" s="151" t="n">
        <v>0</v>
      </c>
      <c r="F146" s="151" t="n">
        <v>0</v>
      </c>
      <c r="G146" s="7" t="n">
        <v>0</v>
      </c>
      <c r="H146" s="7" t="n">
        <v>0</v>
      </c>
      <c r="I146" t="n">
        <v>20</v>
      </c>
    </row>
    <row r="147">
      <c r="A147" t="inlineStr">
        <is>
          <t>nonroad vehicles 30</t>
        </is>
      </c>
      <c r="B147" t="n">
        <v>30</v>
      </c>
      <c r="C147" t="inlineStr">
        <is>
          <t>waste heat measure 6</t>
        </is>
      </c>
      <c r="D147" t="inlineStr">
        <is>
          <t>(empty slot)</t>
        </is>
      </c>
      <c r="E147" s="151" t="n">
        <v>0</v>
      </c>
      <c r="F147" s="151" t="n">
        <v>0</v>
      </c>
      <c r="G147" s="7" t="n">
        <v>0</v>
      </c>
      <c r="H147" s="7" t="n">
        <v>0</v>
      </c>
      <c r="I147" t="n">
        <v>20</v>
      </c>
    </row>
    <row r="148">
      <c r="A148" t="inlineStr">
        <is>
          <t>nonroad vehicles 30</t>
        </is>
      </c>
      <c r="B148" t="n">
        <v>30</v>
      </c>
      <c r="C148" t="inlineStr">
        <is>
          <t>waste heat measure 7</t>
        </is>
      </c>
      <c r="D148" t="inlineStr">
        <is>
          <t>(empty slot)</t>
        </is>
      </c>
      <c r="E148" s="151" t="n">
        <v>0</v>
      </c>
      <c r="F148" s="151" t="n">
        <v>0</v>
      </c>
      <c r="G148" s="7" t="n">
        <v>0</v>
      </c>
      <c r="H148" s="7" t="n">
        <v>0</v>
      </c>
      <c r="I148" t="n">
        <v>20</v>
      </c>
    </row>
    <row r="149">
      <c r="A149" t="inlineStr">
        <is>
          <t>other manufacturing 31T33</t>
        </is>
      </c>
      <c r="B149" t="inlineStr">
        <is>
          <t>31T33</t>
        </is>
      </c>
      <c r="C149" t="inlineStr">
        <is>
          <t>waste heat measure 1</t>
        </is>
      </c>
      <c r="D149" t="inlineStr">
        <is>
          <t>Bianchi-derived potential, assumed cost</t>
        </is>
      </c>
      <c r="E149" s="151">
        <f>'fuel-whr'!CW25</f>
        <v/>
      </c>
      <c r="F149" s="151" t="n">
        <v>0</v>
      </c>
      <c r="G149" s="7">
        <f>summary!$C$10/28.8/0.947817</f>
        <v/>
      </c>
      <c r="H149" s="7">
        <f>summary!$C$10*0.02/28.8/0.947817</f>
        <v/>
      </c>
      <c r="I149" t="n">
        <v>20</v>
      </c>
      <c r="J149" t="inlineStr">
        <is>
          <t>Bianchi fill</t>
        </is>
      </c>
    </row>
    <row r="150">
      <c r="A150" t="inlineStr">
        <is>
          <t>other manufacturing 31T33</t>
        </is>
      </c>
      <c r="B150" t="inlineStr">
        <is>
          <t>31T33</t>
        </is>
      </c>
      <c r="C150" t="inlineStr">
        <is>
          <t>waste heat measure 2</t>
        </is>
      </c>
      <c r="D150" t="inlineStr">
        <is>
          <t>(empty slot)</t>
        </is>
      </c>
      <c r="E150" s="151" t="n">
        <v>0</v>
      </c>
      <c r="F150" s="151" t="n">
        <v>0</v>
      </c>
      <c r="G150" s="7" t="n">
        <v>0</v>
      </c>
      <c r="H150" s="7" t="n">
        <v>0</v>
      </c>
      <c r="I150" t="n">
        <v>20</v>
      </c>
    </row>
    <row r="151">
      <c r="A151" t="inlineStr">
        <is>
          <t>other manufacturing 31T33</t>
        </is>
      </c>
      <c r="B151" t="inlineStr">
        <is>
          <t>31T33</t>
        </is>
      </c>
      <c r="C151" t="inlineStr">
        <is>
          <t>waste heat measure 3</t>
        </is>
      </c>
      <c r="D151" t="inlineStr">
        <is>
          <t>(empty slot)</t>
        </is>
      </c>
      <c r="E151" s="151" t="n">
        <v>0</v>
      </c>
      <c r="F151" s="151" t="n">
        <v>0</v>
      </c>
      <c r="G151" s="7" t="n">
        <v>0</v>
      </c>
      <c r="H151" s="7" t="n">
        <v>0</v>
      </c>
      <c r="I151" t="n">
        <v>20</v>
      </c>
    </row>
    <row r="152">
      <c r="A152" t="inlineStr">
        <is>
          <t>other manufacturing 31T33</t>
        </is>
      </c>
      <c r="B152" t="inlineStr">
        <is>
          <t>31T33</t>
        </is>
      </c>
      <c r="C152" t="inlineStr">
        <is>
          <t>waste heat measure 4</t>
        </is>
      </c>
      <c r="D152" t="inlineStr">
        <is>
          <t>(empty slot)</t>
        </is>
      </c>
      <c r="E152" s="151" t="n">
        <v>0</v>
      </c>
      <c r="F152" s="151" t="n">
        <v>0</v>
      </c>
      <c r="G152" s="7" t="n">
        <v>0</v>
      </c>
      <c r="H152" s="7" t="n">
        <v>0</v>
      </c>
      <c r="I152" t="n">
        <v>20</v>
      </c>
    </row>
    <row r="153">
      <c r="A153" t="inlineStr">
        <is>
          <t>other manufacturing 31T33</t>
        </is>
      </c>
      <c r="B153" t="inlineStr">
        <is>
          <t>31T33</t>
        </is>
      </c>
      <c r="C153" t="inlineStr">
        <is>
          <t>waste heat measure 5</t>
        </is>
      </c>
      <c r="D153" t="inlineStr">
        <is>
          <t>(empty slot)</t>
        </is>
      </c>
      <c r="E153" s="151" t="n">
        <v>0</v>
      </c>
      <c r="F153" s="151" t="n">
        <v>0</v>
      </c>
      <c r="G153" s="7" t="n">
        <v>0</v>
      </c>
      <c r="H153" s="7" t="n">
        <v>0</v>
      </c>
      <c r="I153" t="n">
        <v>20</v>
      </c>
    </row>
    <row r="154">
      <c r="A154" t="inlineStr">
        <is>
          <t>other manufacturing 31T33</t>
        </is>
      </c>
      <c r="B154" t="inlineStr">
        <is>
          <t>31T33</t>
        </is>
      </c>
      <c r="C154" t="inlineStr">
        <is>
          <t>waste heat measure 6</t>
        </is>
      </c>
      <c r="D154" t="inlineStr">
        <is>
          <t>(empty slot)</t>
        </is>
      </c>
      <c r="E154" s="151" t="n">
        <v>0</v>
      </c>
      <c r="F154" s="151" t="n">
        <v>0</v>
      </c>
      <c r="G154" s="7" t="n">
        <v>0</v>
      </c>
      <c r="H154" s="7" t="n">
        <v>0</v>
      </c>
      <c r="I154" t="n">
        <v>20</v>
      </c>
    </row>
    <row r="155">
      <c r="A155" t="inlineStr">
        <is>
          <t>other manufacturing 31T33</t>
        </is>
      </c>
      <c r="B155" t="inlineStr">
        <is>
          <t>31T33</t>
        </is>
      </c>
      <c r="C155" t="inlineStr">
        <is>
          <t>waste heat measure 7</t>
        </is>
      </c>
      <c r="D155" t="inlineStr">
        <is>
          <t>(empty slot)</t>
        </is>
      </c>
      <c r="E155" s="151" t="n">
        <v>0</v>
      </c>
      <c r="F155" s="151" t="n">
        <v>0</v>
      </c>
      <c r="G155" s="7" t="n">
        <v>0</v>
      </c>
      <c r="H155" s="7" t="n">
        <v>0</v>
      </c>
      <c r="I155" t="n">
        <v>20</v>
      </c>
    </row>
    <row r="156">
      <c r="A156" t="inlineStr">
        <is>
          <t>energy pipelines and gas processing 352T353</t>
        </is>
      </c>
      <c r="B156" t="inlineStr">
        <is>
          <t>352T353</t>
        </is>
      </c>
      <c r="C156" t="inlineStr">
        <is>
          <t>waste heat measure 1</t>
        </is>
      </c>
      <c r="D156" t="inlineStr">
        <is>
          <t>Bianchi-derived potential, assumed cost</t>
        </is>
      </c>
      <c r="E156" s="151">
        <f>'fuel-whr'!CW26</f>
        <v/>
      </c>
      <c r="F156" s="151" t="n">
        <v>0</v>
      </c>
      <c r="G156" s="7">
        <f>summary!$C$10/28.8/0.947817</f>
        <v/>
      </c>
      <c r="H156" s="7">
        <f>summary!$C$10*0.02/28.8/0.947817</f>
        <v/>
      </c>
      <c r="I156" t="n">
        <v>20</v>
      </c>
      <c r="J156" t="inlineStr">
        <is>
          <t>Bianchi fill</t>
        </is>
      </c>
    </row>
    <row r="157">
      <c r="A157" t="inlineStr">
        <is>
          <t>energy pipelines and gas processing 352T353</t>
        </is>
      </c>
      <c r="B157" t="inlineStr">
        <is>
          <t>352T353</t>
        </is>
      </c>
      <c r="C157" t="inlineStr">
        <is>
          <t>waste heat measure 2</t>
        </is>
      </c>
      <c r="D157" t="inlineStr">
        <is>
          <t>(empty slot)</t>
        </is>
      </c>
      <c r="E157" s="151" t="n">
        <v>0</v>
      </c>
      <c r="F157" s="151" t="n">
        <v>0</v>
      </c>
      <c r="G157" s="7" t="n">
        <v>0</v>
      </c>
      <c r="H157" s="7" t="n">
        <v>0</v>
      </c>
      <c r="I157" t="n">
        <v>20</v>
      </c>
    </row>
    <row r="158">
      <c r="A158" t="inlineStr">
        <is>
          <t>energy pipelines and gas processing 352T353</t>
        </is>
      </c>
      <c r="B158" t="inlineStr">
        <is>
          <t>352T353</t>
        </is>
      </c>
      <c r="C158" t="inlineStr">
        <is>
          <t>waste heat measure 3</t>
        </is>
      </c>
      <c r="D158" t="inlineStr">
        <is>
          <t>(empty slot)</t>
        </is>
      </c>
      <c r="E158" s="151" t="n">
        <v>0</v>
      </c>
      <c r="F158" s="151" t="n">
        <v>0</v>
      </c>
      <c r="G158" s="7" t="n">
        <v>0</v>
      </c>
      <c r="H158" s="7" t="n">
        <v>0</v>
      </c>
      <c r="I158" t="n">
        <v>20</v>
      </c>
    </row>
    <row r="159">
      <c r="A159" t="inlineStr">
        <is>
          <t>energy pipelines and gas processing 352T353</t>
        </is>
      </c>
      <c r="B159" t="inlineStr">
        <is>
          <t>352T353</t>
        </is>
      </c>
      <c r="C159" t="inlineStr">
        <is>
          <t>waste heat measure 4</t>
        </is>
      </c>
      <c r="D159" t="inlineStr">
        <is>
          <t>(empty slot)</t>
        </is>
      </c>
      <c r="E159" s="151" t="n">
        <v>0</v>
      </c>
      <c r="F159" s="151" t="n">
        <v>0</v>
      </c>
      <c r="G159" s="7" t="n">
        <v>0</v>
      </c>
      <c r="H159" s="7" t="n">
        <v>0</v>
      </c>
      <c r="I159" t="n">
        <v>20</v>
      </c>
    </row>
    <row r="160">
      <c r="A160" t="inlineStr">
        <is>
          <t>energy pipelines and gas processing 352T353</t>
        </is>
      </c>
      <c r="B160" t="inlineStr">
        <is>
          <t>352T353</t>
        </is>
      </c>
      <c r="C160" t="inlineStr">
        <is>
          <t>waste heat measure 5</t>
        </is>
      </c>
      <c r="D160" t="inlineStr">
        <is>
          <t>(empty slot)</t>
        </is>
      </c>
      <c r="E160" s="151" t="n">
        <v>0</v>
      </c>
      <c r="F160" s="151" t="n">
        <v>0</v>
      </c>
      <c r="G160" s="7" t="n">
        <v>0</v>
      </c>
      <c r="H160" s="7" t="n">
        <v>0</v>
      </c>
      <c r="I160" t="n">
        <v>20</v>
      </c>
    </row>
    <row r="161">
      <c r="A161" t="inlineStr">
        <is>
          <t>energy pipelines and gas processing 352T353</t>
        </is>
      </c>
      <c r="B161" t="inlineStr">
        <is>
          <t>352T353</t>
        </is>
      </c>
      <c r="C161" t="inlineStr">
        <is>
          <t>waste heat measure 6</t>
        </is>
      </c>
      <c r="D161" t="inlineStr">
        <is>
          <t>(empty slot)</t>
        </is>
      </c>
      <c r="E161" s="151" t="n">
        <v>0</v>
      </c>
      <c r="F161" s="151" t="n">
        <v>0</v>
      </c>
      <c r="G161" s="7" t="n">
        <v>0</v>
      </c>
      <c r="H161" s="7" t="n">
        <v>0</v>
      </c>
      <c r="I161" t="n">
        <v>20</v>
      </c>
    </row>
    <row r="162">
      <c r="A162" t="inlineStr">
        <is>
          <t>energy pipelines and gas processing 352T353</t>
        </is>
      </c>
      <c r="B162" t="inlineStr">
        <is>
          <t>352T353</t>
        </is>
      </c>
      <c r="C162" t="inlineStr">
        <is>
          <t>waste heat measure 7</t>
        </is>
      </c>
      <c r="D162" t="inlineStr">
        <is>
          <t>(empty slot)</t>
        </is>
      </c>
      <c r="E162" s="151" t="n">
        <v>0</v>
      </c>
      <c r="F162" s="151" t="n">
        <v>0</v>
      </c>
      <c r="G162" s="7" t="n">
        <v>0</v>
      </c>
      <c r="H162" s="7" t="n">
        <v>0</v>
      </c>
      <c r="I162" t="n">
        <v>20</v>
      </c>
    </row>
    <row r="163">
      <c r="A163" t="inlineStr">
        <is>
          <t>water and waste 36T39</t>
        </is>
      </c>
      <c r="B163" t="inlineStr">
        <is>
          <t>36T39</t>
        </is>
      </c>
      <c r="C163" t="inlineStr">
        <is>
          <t>waste heat measure 1</t>
        </is>
      </c>
      <c r="D163" t="inlineStr">
        <is>
          <t>Bianchi-derived potential, assumed cost</t>
        </is>
      </c>
      <c r="E163" s="151">
        <f>'fuel-whr'!CW27</f>
        <v/>
      </c>
      <c r="F163" s="151" t="n">
        <v>0</v>
      </c>
      <c r="G163" s="7">
        <f>summary!$C$10/28.8/0.947817</f>
        <v/>
      </c>
      <c r="H163" s="7">
        <f>summary!$C$10*0.02/28.8/0.947817</f>
        <v/>
      </c>
      <c r="I163" t="n">
        <v>20</v>
      </c>
      <c r="J163" t="inlineStr">
        <is>
          <t>Bianchi fill</t>
        </is>
      </c>
    </row>
    <row r="164">
      <c r="A164" t="inlineStr">
        <is>
          <t>water and waste 36T39</t>
        </is>
      </c>
      <c r="B164" t="inlineStr">
        <is>
          <t>36T39</t>
        </is>
      </c>
      <c r="C164" t="inlineStr">
        <is>
          <t>waste heat measure 2</t>
        </is>
      </c>
      <c r="D164" t="inlineStr">
        <is>
          <t>(empty slot)</t>
        </is>
      </c>
      <c r="E164" s="151" t="n">
        <v>0</v>
      </c>
      <c r="F164" s="151" t="n">
        <v>0</v>
      </c>
      <c r="G164" s="7" t="n">
        <v>0</v>
      </c>
      <c r="H164" s="7" t="n">
        <v>0</v>
      </c>
      <c r="I164" t="n">
        <v>20</v>
      </c>
    </row>
    <row r="165">
      <c r="A165" t="inlineStr">
        <is>
          <t>water and waste 36T39</t>
        </is>
      </c>
      <c r="B165" t="inlineStr">
        <is>
          <t>36T39</t>
        </is>
      </c>
      <c r="C165" t="inlineStr">
        <is>
          <t>waste heat measure 3</t>
        </is>
      </c>
      <c r="D165" t="inlineStr">
        <is>
          <t>(empty slot)</t>
        </is>
      </c>
      <c r="E165" s="151" t="n">
        <v>0</v>
      </c>
      <c r="F165" s="151" t="n">
        <v>0</v>
      </c>
      <c r="G165" s="7" t="n">
        <v>0</v>
      </c>
      <c r="H165" s="7" t="n">
        <v>0</v>
      </c>
      <c r="I165" t="n">
        <v>20</v>
      </c>
    </row>
    <row r="166">
      <c r="A166" t="inlineStr">
        <is>
          <t>water and waste 36T39</t>
        </is>
      </c>
      <c r="B166" t="inlineStr">
        <is>
          <t>36T39</t>
        </is>
      </c>
      <c r="C166" t="inlineStr">
        <is>
          <t>waste heat measure 4</t>
        </is>
      </c>
      <c r="D166" t="inlineStr">
        <is>
          <t>(empty slot)</t>
        </is>
      </c>
      <c r="E166" s="151" t="n">
        <v>0</v>
      </c>
      <c r="F166" s="151" t="n">
        <v>0</v>
      </c>
      <c r="G166" s="7" t="n">
        <v>0</v>
      </c>
      <c r="H166" s="7" t="n">
        <v>0</v>
      </c>
      <c r="I166" t="n">
        <v>20</v>
      </c>
    </row>
    <row r="167">
      <c r="A167" t="inlineStr">
        <is>
          <t>water and waste 36T39</t>
        </is>
      </c>
      <c r="B167" t="inlineStr">
        <is>
          <t>36T39</t>
        </is>
      </c>
      <c r="C167" t="inlineStr">
        <is>
          <t>waste heat measure 5</t>
        </is>
      </c>
      <c r="D167" t="inlineStr">
        <is>
          <t>(empty slot)</t>
        </is>
      </c>
      <c r="E167" s="151" t="n">
        <v>0</v>
      </c>
      <c r="F167" s="151" t="n">
        <v>0</v>
      </c>
      <c r="G167" s="7" t="n">
        <v>0</v>
      </c>
      <c r="H167" s="7" t="n">
        <v>0</v>
      </c>
      <c r="I167" t="n">
        <v>20</v>
      </c>
    </row>
    <row r="168">
      <c r="A168" t="inlineStr">
        <is>
          <t>water and waste 36T39</t>
        </is>
      </c>
      <c r="B168" t="inlineStr">
        <is>
          <t>36T39</t>
        </is>
      </c>
      <c r="C168" t="inlineStr">
        <is>
          <t>waste heat measure 6</t>
        </is>
      </c>
      <c r="D168" t="inlineStr">
        <is>
          <t>(empty slot)</t>
        </is>
      </c>
      <c r="E168" s="151" t="n">
        <v>0</v>
      </c>
      <c r="F168" s="151" t="n">
        <v>0</v>
      </c>
      <c r="G168" s="7" t="n">
        <v>0</v>
      </c>
      <c r="H168" s="7" t="n">
        <v>0</v>
      </c>
      <c r="I168" t="n">
        <v>20</v>
      </c>
    </row>
    <row r="169">
      <c r="A169" t="inlineStr">
        <is>
          <t>water and waste 36T39</t>
        </is>
      </c>
      <c r="B169" t="inlineStr">
        <is>
          <t>36T39</t>
        </is>
      </c>
      <c r="C169" t="inlineStr">
        <is>
          <t>waste heat measure 7</t>
        </is>
      </c>
      <c r="D169" t="inlineStr">
        <is>
          <t>(empty slot)</t>
        </is>
      </c>
      <c r="E169" s="151" t="n">
        <v>0</v>
      </c>
      <c r="F169" s="151" t="n">
        <v>0</v>
      </c>
      <c r="G169" s="7" t="n">
        <v>0</v>
      </c>
      <c r="H169" s="7" t="n">
        <v>0</v>
      </c>
      <c r="I169" t="n">
        <v>20</v>
      </c>
    </row>
    <row r="170">
      <c r="A170" t="inlineStr">
        <is>
          <t>construction 41T43</t>
        </is>
      </c>
      <c r="B170" t="inlineStr">
        <is>
          <t>41T43</t>
        </is>
      </c>
      <c r="C170" t="inlineStr">
        <is>
          <t>waste heat measure 1</t>
        </is>
      </c>
      <c r="D170" t="inlineStr">
        <is>
          <t>Bianchi-derived potential, assumed cost</t>
        </is>
      </c>
      <c r="E170" s="151">
        <f>'fuel-whr'!CW28</f>
        <v/>
      </c>
      <c r="F170" s="151" t="n">
        <v>0</v>
      </c>
      <c r="G170" s="7">
        <f>summary!$C$10/28.8/0.947817</f>
        <v/>
      </c>
      <c r="H170" s="7">
        <f>summary!$C$10*0.02/28.8/0.947817</f>
        <v/>
      </c>
      <c r="I170" t="n">
        <v>20</v>
      </c>
      <c r="J170" t="inlineStr">
        <is>
          <t>Bianchi fill</t>
        </is>
      </c>
    </row>
    <row r="171">
      <c r="A171" t="inlineStr">
        <is>
          <t>construction 41T43</t>
        </is>
      </c>
      <c r="B171" t="inlineStr">
        <is>
          <t>41T43</t>
        </is>
      </c>
      <c r="C171" t="inlineStr">
        <is>
          <t>waste heat measure 2</t>
        </is>
      </c>
      <c r="D171" t="inlineStr">
        <is>
          <t>(empty slot)</t>
        </is>
      </c>
      <c r="E171" s="151" t="n">
        <v>0</v>
      </c>
      <c r="F171" s="151" t="n">
        <v>0</v>
      </c>
      <c r="G171" s="7" t="n">
        <v>0</v>
      </c>
      <c r="H171" s="7" t="n">
        <v>0</v>
      </c>
      <c r="I171" t="n">
        <v>20</v>
      </c>
    </row>
    <row r="172">
      <c r="A172" t="inlineStr">
        <is>
          <t>construction 41T43</t>
        </is>
      </c>
      <c r="B172" t="inlineStr">
        <is>
          <t>41T43</t>
        </is>
      </c>
      <c r="C172" t="inlineStr">
        <is>
          <t>waste heat measure 3</t>
        </is>
      </c>
      <c r="D172" t="inlineStr">
        <is>
          <t>(empty slot)</t>
        </is>
      </c>
      <c r="E172" s="151" t="n">
        <v>0</v>
      </c>
      <c r="F172" s="151" t="n">
        <v>0</v>
      </c>
      <c r="G172" s="7" t="n">
        <v>0</v>
      </c>
      <c r="H172" s="7" t="n">
        <v>0</v>
      </c>
      <c r="I172" t="n">
        <v>20</v>
      </c>
    </row>
    <row r="173">
      <c r="A173" t="inlineStr">
        <is>
          <t>construction 41T43</t>
        </is>
      </c>
      <c r="B173" t="inlineStr">
        <is>
          <t>41T43</t>
        </is>
      </c>
      <c r="C173" t="inlineStr">
        <is>
          <t>waste heat measure 4</t>
        </is>
      </c>
      <c r="D173" t="inlineStr">
        <is>
          <t>(empty slot)</t>
        </is>
      </c>
      <c r="E173" s="151" t="n">
        <v>0</v>
      </c>
      <c r="F173" s="151" t="n">
        <v>0</v>
      </c>
      <c r="G173" s="7" t="n">
        <v>0</v>
      </c>
      <c r="H173" s="7" t="n">
        <v>0</v>
      </c>
      <c r="I173" t="n">
        <v>20</v>
      </c>
    </row>
    <row r="174">
      <c r="A174" t="inlineStr">
        <is>
          <t>construction 41T43</t>
        </is>
      </c>
      <c r="B174" t="inlineStr">
        <is>
          <t>41T43</t>
        </is>
      </c>
      <c r="C174" t="inlineStr">
        <is>
          <t>waste heat measure 5</t>
        </is>
      </c>
      <c r="D174" t="inlineStr">
        <is>
          <t>(empty slot)</t>
        </is>
      </c>
      <c r="E174" s="151" t="n">
        <v>0</v>
      </c>
      <c r="F174" s="151" t="n">
        <v>0</v>
      </c>
      <c r="G174" s="7" t="n">
        <v>0</v>
      </c>
      <c r="H174" s="7" t="n">
        <v>0</v>
      </c>
      <c r="I174" t="n">
        <v>20</v>
      </c>
    </row>
    <row r="175">
      <c r="A175" t="inlineStr">
        <is>
          <t>construction 41T43</t>
        </is>
      </c>
      <c r="B175" t="inlineStr">
        <is>
          <t>41T43</t>
        </is>
      </c>
      <c r="C175" t="inlineStr">
        <is>
          <t>waste heat measure 6</t>
        </is>
      </c>
      <c r="D175" t="inlineStr">
        <is>
          <t>(empty slot)</t>
        </is>
      </c>
      <c r="E175" s="151" t="n">
        <v>0</v>
      </c>
      <c r="F175" s="151" t="n">
        <v>0</v>
      </c>
      <c r="G175" s="7" t="n">
        <v>0</v>
      </c>
      <c r="H175" s="7" t="n">
        <v>0</v>
      </c>
      <c r="I175" t="n">
        <v>20</v>
      </c>
    </row>
    <row r="176">
      <c r="A176" t="inlineStr">
        <is>
          <t>construction 41T43</t>
        </is>
      </c>
      <c r="B176" t="inlineStr">
        <is>
          <t>41T43</t>
        </is>
      </c>
      <c r="C176" t="inlineStr">
        <is>
          <t>waste heat measure 7</t>
        </is>
      </c>
      <c r="D176" t="inlineStr">
        <is>
          <t>(empty slot)</t>
        </is>
      </c>
      <c r="E176" s="151" t="n">
        <v>0</v>
      </c>
      <c r="F176" s="151" t="n">
        <v>0</v>
      </c>
      <c r="G176" s="7" t="n">
        <v>0</v>
      </c>
      <c r="H176" s="7" t="n">
        <v>0</v>
      </c>
      <c r="I176" t="n">
        <v>20</v>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7"/>
  <sheetViews>
    <sheetView workbookViewId="0">
      <selection activeCell="F16" sqref="F16"/>
    </sheetView>
  </sheetViews>
  <sheetFormatPr baseColWidth="8" defaultRowHeight="14.5"/>
  <sheetData>
    <row r="1">
      <c r="A1" t="inlineStr">
        <is>
          <t>waste heat measure 1</t>
        </is>
      </c>
    </row>
    <row r="2">
      <c r="A2" t="inlineStr">
        <is>
          <t>waste heat measure 2</t>
        </is>
      </c>
    </row>
    <row r="3">
      <c r="A3" t="inlineStr">
        <is>
          <t>waste heat measure 3</t>
        </is>
      </c>
    </row>
    <row r="4">
      <c r="A4" t="inlineStr">
        <is>
          <t>waste heat measure 4</t>
        </is>
      </c>
    </row>
    <row r="5">
      <c r="A5" t="inlineStr">
        <is>
          <t>waste heat measure 5</t>
        </is>
      </c>
    </row>
    <row r="6">
      <c r="A6" t="inlineStr">
        <is>
          <t>waste heat measure 6</t>
        </is>
      </c>
    </row>
    <row r="7">
      <c r="A7" t="inlineStr">
        <is>
          <t>waste heat measure 7</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A17"/>
  <sheetViews>
    <sheetView workbookViewId="0">
      <selection activeCell="G20" sqref="G20"/>
    </sheetView>
  </sheetViews>
  <sheetFormatPr baseColWidth="8" defaultRowHeight="14.5"/>
  <sheetData>
    <row r="1">
      <c r="A1" t="inlineStr">
        <is>
          <t>efficiency measure 1</t>
        </is>
      </c>
    </row>
    <row r="2">
      <c r="A2" t="inlineStr">
        <is>
          <t>efficiency measure 2</t>
        </is>
      </c>
    </row>
    <row r="3">
      <c r="A3" t="inlineStr">
        <is>
          <t>efficiency measure 3</t>
        </is>
      </c>
    </row>
    <row r="4">
      <c r="A4" t="inlineStr">
        <is>
          <t>efficiency measure 4</t>
        </is>
      </c>
    </row>
    <row r="5">
      <c r="A5" t="inlineStr">
        <is>
          <t>efficiency measure 5</t>
        </is>
      </c>
    </row>
    <row r="6">
      <c r="A6" t="inlineStr">
        <is>
          <t>efficiency measure 6</t>
        </is>
      </c>
    </row>
    <row r="7">
      <c r="A7" t="inlineStr">
        <is>
          <t>efficiency measure 7</t>
        </is>
      </c>
    </row>
    <row r="8">
      <c r="A8" t="inlineStr">
        <is>
          <t>efficiency measure 8</t>
        </is>
      </c>
    </row>
    <row r="9">
      <c r="A9" t="inlineStr">
        <is>
          <t>efficiency measure 9</t>
        </is>
      </c>
    </row>
    <row r="10">
      <c r="A10" t="inlineStr">
        <is>
          <t>efficiency measure 10</t>
        </is>
      </c>
    </row>
    <row r="11">
      <c r="A11" t="inlineStr">
        <is>
          <t>efficiency measure 11</t>
        </is>
      </c>
    </row>
    <row r="12">
      <c r="A12" t="inlineStr">
        <is>
          <t>efficiency measure 12</t>
        </is>
      </c>
    </row>
    <row r="13">
      <c r="A13" t="inlineStr">
        <is>
          <t>efficiency measure 13</t>
        </is>
      </c>
    </row>
    <row r="14">
      <c r="A14" t="inlineStr">
        <is>
          <t>efficiency measure 14</t>
        </is>
      </c>
    </row>
    <row r="15">
      <c r="A15" t="inlineStr">
        <is>
          <t>efficiency measure 15</t>
        </is>
      </c>
    </row>
    <row r="16">
      <c r="A16" t="inlineStr">
        <is>
          <t>efficiency measure 16</t>
        </is>
      </c>
    </row>
    <row r="17">
      <c r="A17" t="inlineStr">
        <is>
          <t>efficiency measure 17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Jeffrey Rissman</dc:creator>
  <dcterms:created xsi:type="dcterms:W3CDTF">2014-03-20T21:01:41Z</dcterms:created>
  <dcterms:modified xsi:type="dcterms:W3CDTF">2026-07-31T17:18:55Z</dcterms:modified>
  <cp:lastModifiedBy>Dan O'Brien</cp:lastModifiedBy>
</cp:coreProperties>
</file>